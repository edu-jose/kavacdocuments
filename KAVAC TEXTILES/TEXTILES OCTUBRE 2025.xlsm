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PENDRIVE NORELIS\NOMINA 2025\OCTUBRE\"/>
    </mc:Choice>
  </mc:AlternateContent>
  <bookViews>
    <workbookView xWindow="0" yWindow="0" windowWidth="12120" windowHeight="7815" tabRatio="708" activeTab="6"/>
  </bookViews>
  <sheets>
    <sheet name="RAC" sheetId="1" r:id="rId1"/>
    <sheet name="EJEMPLO CALCULO AGUINALDOS NUEV" sheetId="19" r:id="rId2"/>
    <sheet name="RAC (2025)" sheetId="23" r:id="rId3"/>
    <sheet name="Hoja1" sheetId="22" r:id="rId4"/>
    <sheet name="CONCEPTOS Y PARAMETROS" sheetId="15" r:id="rId5"/>
    <sheet name="POA (2024)" sheetId="21" state="hidden" r:id="rId6"/>
    <sheet name="TAB EMP" sheetId="9" r:id="rId7"/>
    <sheet name="TAB OBR" sheetId="10" r:id="rId8"/>
    <sheet name="CARGOS" sheetId="8" r:id="rId9"/>
    <sheet name="RRHH ( TEXTILES TRUJILLO) TRANS" sheetId="24" r:id="rId10"/>
  </sheets>
  <functionGroups builtInGroupCount="18"/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8" hidden="1">CARGOS!$A$1:$XFB$2216</definedName>
    <definedName name="_xlnm._FilterDatabase" localSheetId="5" hidden="1">'POA (2024)'!#REF!</definedName>
    <definedName name="_xlnm._FilterDatabase" localSheetId="0" hidden="1">RAC!#REF!</definedName>
    <definedName name="_xlnm._FilterDatabase" localSheetId="2" hidden="1">'RAC (2025)'!#REF!</definedName>
    <definedName name="_xlnm.Print_Area" localSheetId="1">'EJEMPLO CALCULO AGUINALDOS NUEV'!$A$1:$U$64</definedName>
    <definedName name="_xlnm.Print_Area" localSheetId="0">RAC!$A$1:$DJ$315</definedName>
    <definedName name="_xlnm.Print_Area" localSheetId="9">'RRHH ( TEXTILES TRUJILLO) TRANS'!$A$1:$H$3</definedName>
    <definedName name="BOMBERO">#REF!</definedName>
    <definedName name="CESTAT">'CONCEPTOS Y PARAMETROS'!$A$101:$A$102</definedName>
    <definedName name="DD">[1]PRIMAS!$A$2:$A$6</definedName>
    <definedName name="DEPARTAMENTOS">#REF!</definedName>
    <definedName name="DIAF">'CONCEPTOS Y PARAMETROS'!$A$59:$A$61</definedName>
    <definedName name="DIASDESC">'CONCEPTOS Y PARAMETROS'!$A$91:$A$95</definedName>
    <definedName name="DIRECTIVOS" localSheetId="5">'[2]TAB EMP'!$A$30:$A$36</definedName>
    <definedName name="DIRECTIVOS" localSheetId="2">'[3]TAB EMP'!$A$30:$A$36</definedName>
    <definedName name="DIRECTIVOS">'TAB EMP'!$A$30:$A$36</definedName>
    <definedName name="Empleado" localSheetId="5">[2]CARGOS!$A$2:$A$2028</definedName>
    <definedName name="Empleado" localSheetId="2">[3]CARGOS!$A$2:$A$2028</definedName>
    <definedName name="Empleado">CARGOS!$A$2:$A$2029</definedName>
    <definedName name="GEN">RAC!$DJ$8:$DJ$9</definedName>
    <definedName name="HIJOS">'CONCEPTOS Y PARAMETROS'!$E$47:$E$50</definedName>
    <definedName name="HORASE">'CONCEPTOS Y PARAMETROS'!$A$74:$A$84</definedName>
    <definedName name="MES">'CONCEPTOS Y PARAMETROS'!$J$3:$J$14</definedName>
    <definedName name="NAC">RAC!$DI$8:$DI$9</definedName>
    <definedName name="NEDUC">#REF!</definedName>
    <definedName name="Obrero" localSheetId="5">[2]CARGOS!$A$2029:$A$2213</definedName>
    <definedName name="Obrero" localSheetId="2">[3]CARGOS!$A$2029:$A$2213</definedName>
    <definedName name="Obrero">CARGOS!$A$2030:$A$2216</definedName>
    <definedName name="PHIJOS">RAC!$DD$9:$DD$11</definedName>
    <definedName name="TABEMP" localSheetId="5">'[2]TAB EMP'!$A$2:$A$29</definedName>
    <definedName name="TABEMP" localSheetId="2">'[3]TAB EMP'!$A$2:$A$29</definedName>
    <definedName name="TABEMP">'TAB EMP'!$A$2:$A$29</definedName>
    <definedName name="TABLACONCEPTO">[4]CONCEPTOS!$A$2:$A$28</definedName>
    <definedName name="TABOBR" localSheetId="5">'[2]TAB OBR'!$A$3:$A$12</definedName>
    <definedName name="TABOBR" localSheetId="2">'[3]TAB OBR'!$A$3:$A$12</definedName>
    <definedName name="TABOBR">'TAB OBR'!$A$3:$A$12</definedName>
  </definedNames>
  <calcPr calcId="162913"/>
</workbook>
</file>

<file path=xl/calcChain.xml><?xml version="1.0" encoding="utf-8"?>
<calcChain xmlns="http://schemas.openxmlformats.org/spreadsheetml/2006/main">
  <c r="BJ37" i="1" l="1"/>
  <c r="BJ40" i="1" s="1"/>
  <c r="BK27" i="1"/>
  <c r="BK28" i="1"/>
  <c r="BK29" i="1"/>
  <c r="BK30" i="1"/>
  <c r="BK31" i="1"/>
  <c r="BK32" i="1"/>
  <c r="BK33" i="1"/>
  <c r="BK34" i="1"/>
  <c r="BK35" i="1"/>
  <c r="BK36" i="1"/>
  <c r="BK26" i="1"/>
  <c r="BK21" i="1"/>
  <c r="BK22" i="1"/>
  <c r="BK23" i="1"/>
  <c r="BK20" i="1"/>
  <c r="BJ24" i="1"/>
  <c r="BK24" i="1"/>
  <c r="BK14" i="1"/>
  <c r="BK15" i="1"/>
  <c r="BK16" i="1"/>
  <c r="BK13" i="1"/>
  <c r="BJ18" i="1"/>
  <c r="BK37" i="1" l="1"/>
  <c r="BK40" i="1" s="1"/>
  <c r="BK18" i="1"/>
  <c r="AP37" i="1"/>
  <c r="AQ27" i="1"/>
  <c r="AQ28" i="1"/>
  <c r="AQ29" i="1"/>
  <c r="AQ30" i="1"/>
  <c r="AQ31" i="1"/>
  <c r="AQ32" i="1"/>
  <c r="AQ33" i="1"/>
  <c r="AQ34" i="1"/>
  <c r="AQ35" i="1"/>
  <c r="AQ36" i="1"/>
  <c r="AQ26" i="1"/>
  <c r="AP24" i="1"/>
  <c r="AQ21" i="1"/>
  <c r="AQ22" i="1"/>
  <c r="AQ23" i="1"/>
  <c r="AQ20" i="1"/>
  <c r="AQ14" i="1"/>
  <c r="AQ15" i="1"/>
  <c r="AQ16" i="1"/>
  <c r="AP18" i="1"/>
  <c r="AP40" i="1" s="1"/>
  <c r="AQ13" i="1"/>
  <c r="AQ37" i="1" l="1"/>
  <c r="AQ18" i="1"/>
  <c r="AQ40" i="1" s="1"/>
  <c r="AQ24" i="1"/>
  <c r="BZ27" i="1" l="1"/>
  <c r="BZ28" i="1"/>
  <c r="BZ29" i="1"/>
  <c r="BZ30" i="1"/>
  <c r="BZ31" i="1"/>
  <c r="BZ32" i="1"/>
  <c r="BZ33" i="1"/>
  <c r="BZ34" i="1"/>
  <c r="BZ35" i="1"/>
  <c r="BZ36" i="1"/>
  <c r="BZ26" i="1"/>
  <c r="BZ14" i="1"/>
  <c r="BZ15" i="1"/>
  <c r="BZ16" i="1"/>
  <c r="BZ17" i="1"/>
  <c r="BZ20" i="1"/>
  <c r="BZ21" i="1"/>
  <c r="BZ22" i="1"/>
  <c r="BZ23" i="1"/>
  <c r="BZ13" i="1"/>
  <c r="BZ18" i="1" l="1"/>
  <c r="AV18" i="1"/>
  <c r="P20" i="1" l="1"/>
  <c r="T20" i="1"/>
  <c r="V20" i="1" s="1"/>
  <c r="AA20" i="1"/>
  <c r="AG20" i="1"/>
  <c r="AI20" i="1"/>
  <c r="AN20" i="1"/>
  <c r="AL20" i="1" l="1"/>
  <c r="W20" i="1"/>
  <c r="BL20" i="1"/>
  <c r="BT20" i="1"/>
  <c r="BV20" i="1"/>
  <c r="CD20" i="1"/>
  <c r="CC20" i="1" l="1"/>
  <c r="BL27" i="1"/>
  <c r="BL28" i="1"/>
  <c r="BL29" i="1"/>
  <c r="BL30" i="1"/>
  <c r="BL31" i="1"/>
  <c r="BL32" i="1"/>
  <c r="BL33" i="1"/>
  <c r="BL34" i="1"/>
  <c r="BL35" i="1"/>
  <c r="BL36" i="1"/>
  <c r="BL26" i="1"/>
  <c r="BL137" i="1"/>
  <c r="BL21" i="1"/>
  <c r="BL22" i="1"/>
  <c r="BL23" i="1"/>
  <c r="BL14" i="1"/>
  <c r="BL15" i="1"/>
  <c r="BL16" i="1"/>
  <c r="BL18" i="1" s="1"/>
  <c r="BL13" i="1"/>
  <c r="AG27" i="1"/>
  <c r="AG28" i="1"/>
  <c r="AG29" i="1"/>
  <c r="AG30" i="1"/>
  <c r="AG31" i="1"/>
  <c r="AG32" i="1"/>
  <c r="AG33" i="1"/>
  <c r="AG34" i="1"/>
  <c r="AG35" i="1"/>
  <c r="AG36" i="1"/>
  <c r="AA27" i="1"/>
  <c r="AA28" i="1"/>
  <c r="AA29" i="1"/>
  <c r="AA30" i="1"/>
  <c r="AA31" i="1"/>
  <c r="AA32" i="1"/>
  <c r="AA33" i="1"/>
  <c r="AA34" i="1"/>
  <c r="AA35" i="1"/>
  <c r="AA36" i="1"/>
  <c r="BL24" i="1" l="1"/>
  <c r="BW57" i="1"/>
  <c r="BW59" i="1" s="1"/>
  <c r="AU37" i="1" l="1"/>
  <c r="BZ137" i="1" l="1"/>
  <c r="BZ37" i="1" l="1"/>
  <c r="B18" i="1"/>
  <c r="BU37" i="1" l="1"/>
  <c r="BU24" i="1"/>
  <c r="BU18" i="1"/>
  <c r="BU40" i="1" l="1"/>
  <c r="T16" i="1"/>
  <c r="T14" i="1"/>
  <c r="V14" i="1" s="1"/>
  <c r="T15" i="1"/>
  <c r="B137" i="1" l="1"/>
  <c r="AT37" i="1" l="1"/>
  <c r="B37" i="1" l="1"/>
  <c r="CD36" i="1" l="1"/>
  <c r="BT36" i="1"/>
  <c r="CC36" i="1"/>
  <c r="AN36" i="1"/>
  <c r="AI36" i="1"/>
  <c r="T36" i="1"/>
  <c r="V36" i="1" s="1"/>
  <c r="CD35" i="1"/>
  <c r="BT35" i="1"/>
  <c r="CC35" i="1"/>
  <c r="AN35" i="1"/>
  <c r="AI35" i="1"/>
  <c r="V35" i="1"/>
  <c r="W35" i="1" s="1"/>
  <c r="AY35" i="23"/>
  <c r="AX35" i="23"/>
  <c r="AW35" i="23"/>
  <c r="AV35" i="23"/>
  <c r="AR35" i="23"/>
  <c r="AQ35" i="23"/>
  <c r="AO35" i="23"/>
  <c r="AN35" i="23"/>
  <c r="X35" i="23"/>
  <c r="R35" i="23"/>
  <c r="P35" i="23"/>
  <c r="O35" i="23"/>
  <c r="K35" i="23"/>
  <c r="H35" i="23"/>
  <c r="F35" i="23"/>
  <c r="B35" i="23"/>
  <c r="AL36" i="1" l="1"/>
  <c r="AL35" i="1"/>
  <c r="W36" i="1"/>
  <c r="BV36" i="1"/>
  <c r="BV35" i="1"/>
  <c r="AH35" i="23"/>
  <c r="N35" i="23"/>
  <c r="AI35" i="23"/>
  <c r="BC38" i="23"/>
  <c r="BD38" i="23" s="1"/>
  <c r="BP38" i="23" s="1"/>
  <c r="BQ38" i="23" s="1"/>
  <c r="AU36" i="23"/>
  <c r="AM36" i="23"/>
  <c r="AL36" i="23"/>
  <c r="AK36" i="23"/>
  <c r="AD36" i="23"/>
  <c r="AA36" i="23"/>
  <c r="U36" i="23"/>
  <c r="T36" i="23"/>
  <c r="M36" i="23"/>
  <c r="L36" i="23"/>
  <c r="AY34" i="23"/>
  <c r="AX34" i="23"/>
  <c r="AW34" i="23"/>
  <c r="AV34" i="23"/>
  <c r="AR34" i="23"/>
  <c r="AQ34" i="23"/>
  <c r="AO34" i="23"/>
  <c r="AN34" i="23"/>
  <c r="X34" i="23"/>
  <c r="R34" i="23"/>
  <c r="P34" i="23"/>
  <c r="O34" i="23"/>
  <c r="K34" i="23"/>
  <c r="H34" i="23"/>
  <c r="AY33" i="23"/>
  <c r="AX33" i="23"/>
  <c r="AW33" i="23"/>
  <c r="AV33" i="23"/>
  <c r="AR33" i="23"/>
  <c r="AQ33" i="23"/>
  <c r="AO33" i="23"/>
  <c r="AN33" i="23"/>
  <c r="X33" i="23"/>
  <c r="R33" i="23"/>
  <c r="P33" i="23"/>
  <c r="O33" i="23"/>
  <c r="K33" i="23"/>
  <c r="AH33" i="23" s="1"/>
  <c r="H33" i="23"/>
  <c r="AY32" i="23"/>
  <c r="AX32" i="23"/>
  <c r="AW32" i="23"/>
  <c r="AV32" i="23"/>
  <c r="AR32" i="23"/>
  <c r="AQ32" i="23"/>
  <c r="AO32" i="23"/>
  <c r="AN32" i="23"/>
  <c r="X32" i="23"/>
  <c r="R32" i="23"/>
  <c r="P32" i="23"/>
  <c r="O32" i="23"/>
  <c r="K32" i="23"/>
  <c r="AI32" i="23" s="1"/>
  <c r="H32" i="23"/>
  <c r="AY31" i="23"/>
  <c r="AX31" i="23"/>
  <c r="AW31" i="23"/>
  <c r="AV31" i="23"/>
  <c r="AR31" i="23"/>
  <c r="AQ31" i="23"/>
  <c r="AO31" i="23"/>
  <c r="AN31" i="23"/>
  <c r="X31" i="23"/>
  <c r="R31" i="23"/>
  <c r="P31" i="23"/>
  <c r="O31" i="23"/>
  <c r="K31" i="23"/>
  <c r="AH31" i="23" s="1"/>
  <c r="F31" i="23"/>
  <c r="AY30" i="23"/>
  <c r="AX30" i="23"/>
  <c r="AW30" i="23"/>
  <c r="AV30" i="23"/>
  <c r="AR30" i="23"/>
  <c r="AQ30" i="23"/>
  <c r="AO30" i="23"/>
  <c r="AN30" i="23"/>
  <c r="X30" i="23"/>
  <c r="R30" i="23"/>
  <c r="P30" i="23"/>
  <c r="O30" i="23"/>
  <c r="K30" i="23"/>
  <c r="AH30" i="23" s="1"/>
  <c r="H30" i="23"/>
  <c r="F30" i="23"/>
  <c r="AY29" i="23"/>
  <c r="AX29" i="23"/>
  <c r="AW29" i="23"/>
  <c r="AV29" i="23"/>
  <c r="AR29" i="23"/>
  <c r="AQ29" i="23"/>
  <c r="AO29" i="23"/>
  <c r="AN29" i="23"/>
  <c r="X29" i="23"/>
  <c r="R29" i="23"/>
  <c r="P29" i="23"/>
  <c r="O29" i="23"/>
  <c r="K29" i="23"/>
  <c r="AI29" i="23" s="1"/>
  <c r="F29" i="23"/>
  <c r="AY28" i="23"/>
  <c r="AX28" i="23"/>
  <c r="AW28" i="23"/>
  <c r="AV28" i="23"/>
  <c r="AR28" i="23"/>
  <c r="AQ28" i="23"/>
  <c r="AO28" i="23"/>
  <c r="AN28" i="23"/>
  <c r="X28" i="23"/>
  <c r="R28" i="23"/>
  <c r="P28" i="23"/>
  <c r="O28" i="23"/>
  <c r="K28" i="23"/>
  <c r="AH28" i="23" s="1"/>
  <c r="H28" i="23"/>
  <c r="F28" i="23"/>
  <c r="AY27" i="23"/>
  <c r="AX27" i="23"/>
  <c r="AW27" i="23"/>
  <c r="AV27" i="23"/>
  <c r="AR27" i="23"/>
  <c r="AQ27" i="23"/>
  <c r="AO27" i="23"/>
  <c r="AN27" i="23"/>
  <c r="X27" i="23"/>
  <c r="R27" i="23"/>
  <c r="P27" i="23"/>
  <c r="O27" i="23"/>
  <c r="K27" i="23"/>
  <c r="H27" i="23"/>
  <c r="F27" i="23"/>
  <c r="AY26" i="23"/>
  <c r="AX26" i="23"/>
  <c r="AW26" i="23"/>
  <c r="AV26" i="23"/>
  <c r="AR26" i="23"/>
  <c r="AQ26" i="23"/>
  <c r="AO26" i="23"/>
  <c r="AN26" i="23"/>
  <c r="X26" i="23"/>
  <c r="R26" i="23"/>
  <c r="P26" i="23"/>
  <c r="O26" i="23"/>
  <c r="K26" i="23"/>
  <c r="AH26" i="23" s="1"/>
  <c r="H26" i="23"/>
  <c r="F26" i="23"/>
  <c r="AY25" i="23"/>
  <c r="AX25" i="23"/>
  <c r="AW25" i="23"/>
  <c r="AV25" i="23"/>
  <c r="AR25" i="23"/>
  <c r="AQ25" i="23"/>
  <c r="AO25" i="23"/>
  <c r="AN25" i="23"/>
  <c r="X25" i="23"/>
  <c r="S25" i="23"/>
  <c r="R25" i="23"/>
  <c r="P25" i="23"/>
  <c r="O25" i="23"/>
  <c r="K25" i="23"/>
  <c r="AI25" i="23" s="1"/>
  <c r="H25" i="23"/>
  <c r="F25" i="23"/>
  <c r="AY24" i="23"/>
  <c r="AX24" i="23"/>
  <c r="AW24" i="23"/>
  <c r="AV24" i="23"/>
  <c r="AR24" i="23"/>
  <c r="AQ24" i="23"/>
  <c r="AO24" i="23"/>
  <c r="AN24" i="23"/>
  <c r="X24" i="23"/>
  <c r="S24" i="23"/>
  <c r="R24" i="23"/>
  <c r="P24" i="23"/>
  <c r="O24" i="23"/>
  <c r="K24" i="23"/>
  <c r="AH24" i="23" s="1"/>
  <c r="H24" i="23"/>
  <c r="F24" i="23"/>
  <c r="AY23" i="23"/>
  <c r="AX23" i="23"/>
  <c r="AW23" i="23"/>
  <c r="AV23" i="23"/>
  <c r="AR23" i="23"/>
  <c r="AQ23" i="23"/>
  <c r="AO23" i="23"/>
  <c r="AN23" i="23"/>
  <c r="X23" i="23"/>
  <c r="S23" i="23"/>
  <c r="R23" i="23"/>
  <c r="P23" i="23"/>
  <c r="O23" i="23"/>
  <c r="K23" i="23"/>
  <c r="AI23" i="23" s="1"/>
  <c r="H23" i="23"/>
  <c r="F23" i="23"/>
  <c r="AY22" i="23"/>
  <c r="AX22" i="23"/>
  <c r="AW22" i="23"/>
  <c r="AV22" i="23"/>
  <c r="AR22" i="23"/>
  <c r="AQ22" i="23"/>
  <c r="AO22" i="23"/>
  <c r="AN22" i="23"/>
  <c r="X22" i="23"/>
  <c r="S22" i="23"/>
  <c r="R22" i="23"/>
  <c r="P22" i="23"/>
  <c r="O22" i="23"/>
  <c r="K22" i="23"/>
  <c r="AI22" i="23" s="1"/>
  <c r="H22" i="23"/>
  <c r="F22" i="23"/>
  <c r="AY21" i="23"/>
  <c r="AX21" i="23"/>
  <c r="AW21" i="23"/>
  <c r="AV21" i="23"/>
  <c r="AR21" i="23"/>
  <c r="AQ21" i="23"/>
  <c r="AO21" i="23"/>
  <c r="AN21" i="23"/>
  <c r="X21" i="23"/>
  <c r="S21" i="23"/>
  <c r="R21" i="23"/>
  <c r="P21" i="23"/>
  <c r="O21" i="23"/>
  <c r="K21" i="23"/>
  <c r="AI21" i="23" s="1"/>
  <c r="H21" i="23"/>
  <c r="F21" i="23"/>
  <c r="B21" i="23"/>
  <c r="AY20" i="23"/>
  <c r="AX20" i="23"/>
  <c r="AW20" i="23"/>
  <c r="AV20" i="23"/>
  <c r="AR20" i="23"/>
  <c r="AQ20" i="23"/>
  <c r="AO20" i="23"/>
  <c r="AN20" i="23"/>
  <c r="X20" i="23"/>
  <c r="S20" i="23"/>
  <c r="R20" i="23"/>
  <c r="P20" i="23"/>
  <c r="O20" i="23"/>
  <c r="K20" i="23"/>
  <c r="H20" i="23"/>
  <c r="F20" i="23"/>
  <c r="AV18" i="23"/>
  <c r="AM18" i="23"/>
  <c r="AL18" i="23"/>
  <c r="AA18" i="23"/>
  <c r="M18" i="23"/>
  <c r="L18" i="23"/>
  <c r="AY17" i="23"/>
  <c r="AX17" i="23"/>
  <c r="AW17" i="23"/>
  <c r="AR17" i="23"/>
  <c r="AQ17" i="23"/>
  <c r="AO17" i="23"/>
  <c r="AN17" i="23"/>
  <c r="X17" i="23"/>
  <c r="S17" i="23"/>
  <c r="R17" i="23"/>
  <c r="P17" i="23"/>
  <c r="O17" i="23"/>
  <c r="K17" i="23"/>
  <c r="H17" i="23"/>
  <c r="AU17" i="23" s="1"/>
  <c r="F17" i="23"/>
  <c r="AY16" i="23"/>
  <c r="AX16" i="23"/>
  <c r="AW16" i="23"/>
  <c r="AR16" i="23"/>
  <c r="AQ16" i="23"/>
  <c r="AO16" i="23"/>
  <c r="AN16" i="23"/>
  <c r="X16" i="23"/>
  <c r="S16" i="23"/>
  <c r="R16" i="23"/>
  <c r="P16" i="23"/>
  <c r="O16" i="23"/>
  <c r="K16" i="23"/>
  <c r="H16" i="23"/>
  <c r="AU16" i="23" s="1"/>
  <c r="F16" i="23"/>
  <c r="AY15" i="23"/>
  <c r="AX15" i="23"/>
  <c r="AW15" i="23"/>
  <c r="AR15" i="23"/>
  <c r="AQ15" i="23"/>
  <c r="AO15" i="23"/>
  <c r="AN15" i="23"/>
  <c r="X15" i="23"/>
  <c r="S15" i="23"/>
  <c r="R15" i="23"/>
  <c r="P15" i="23"/>
  <c r="O15" i="23"/>
  <c r="K15" i="23"/>
  <c r="AI15" i="23" s="1"/>
  <c r="H15" i="23"/>
  <c r="AU15" i="23" s="1"/>
  <c r="F15" i="23"/>
  <c r="AY14" i="23"/>
  <c r="AX14" i="23"/>
  <c r="AW14" i="23"/>
  <c r="AR14" i="23"/>
  <c r="AQ14" i="23"/>
  <c r="AO14" i="23"/>
  <c r="AN14" i="23"/>
  <c r="X14" i="23"/>
  <c r="R14" i="23"/>
  <c r="P14" i="23"/>
  <c r="O14" i="23"/>
  <c r="K14" i="23"/>
  <c r="AI14" i="23" s="1"/>
  <c r="H14" i="23"/>
  <c r="AU14" i="23" s="1"/>
  <c r="F14" i="23"/>
  <c r="AY13" i="23"/>
  <c r="AX13" i="23"/>
  <c r="AW13" i="23"/>
  <c r="AU13" i="23"/>
  <c r="AR13" i="23"/>
  <c r="AQ13" i="23"/>
  <c r="AO13" i="23"/>
  <c r="AN13" i="23"/>
  <c r="X13" i="23"/>
  <c r="R13" i="23"/>
  <c r="P13" i="23"/>
  <c r="O13" i="23"/>
  <c r="K13" i="23"/>
  <c r="AI13" i="23" s="1"/>
  <c r="F13" i="23"/>
  <c r="BO12" i="23"/>
  <c r="BN12" i="23"/>
  <c r="BM12" i="23"/>
  <c r="BL12" i="23"/>
  <c r="BK12" i="23"/>
  <c r="BJ12" i="23"/>
  <c r="BI12" i="23"/>
  <c r="BH12" i="23"/>
  <c r="BG12" i="23"/>
  <c r="BF12" i="23"/>
  <c r="BE12" i="23"/>
  <c r="BD12" i="23"/>
  <c r="AV11" i="23"/>
  <c r="AT11" i="23"/>
  <c r="AT39" i="23" s="1"/>
  <c r="AS11" i="23"/>
  <c r="AS39" i="23" s="1"/>
  <c r="AP11" i="23"/>
  <c r="AP39" i="23" s="1"/>
  <c r="AM11" i="23"/>
  <c r="AL11" i="23"/>
  <c r="AK11" i="23"/>
  <c r="AK39" i="23" s="1"/>
  <c r="AD11" i="23"/>
  <c r="AD39" i="23" s="1"/>
  <c r="AA11" i="23"/>
  <c r="U11" i="23"/>
  <c r="U39" i="23" s="1"/>
  <c r="T11" i="23"/>
  <c r="T39" i="23" s="1"/>
  <c r="M11" i="23"/>
  <c r="L11" i="23"/>
  <c r="AY10" i="23"/>
  <c r="AX10" i="23"/>
  <c r="AW10" i="23"/>
  <c r="AR10" i="23"/>
  <c r="AQ10" i="23"/>
  <c r="AO10" i="23"/>
  <c r="AN10" i="23"/>
  <c r="X10" i="23"/>
  <c r="S10" i="23"/>
  <c r="R10" i="23"/>
  <c r="P10" i="23"/>
  <c r="O10" i="23"/>
  <c r="K10" i="23"/>
  <c r="AI10" i="23" s="1"/>
  <c r="H10" i="23"/>
  <c r="AU10" i="23" s="1"/>
  <c r="AY9" i="23"/>
  <c r="AX9" i="23"/>
  <c r="AW9" i="23"/>
  <c r="AR9" i="23"/>
  <c r="AQ9" i="23"/>
  <c r="AO9" i="23"/>
  <c r="AN9" i="23"/>
  <c r="X9" i="23"/>
  <c r="S9" i="23"/>
  <c r="R9" i="23"/>
  <c r="P9" i="23"/>
  <c r="O9" i="23"/>
  <c r="K9" i="23"/>
  <c r="AH9" i="23" s="1"/>
  <c r="H9" i="23"/>
  <c r="AU9" i="23" s="1"/>
  <c r="AY8" i="23"/>
  <c r="AX8" i="23"/>
  <c r="AW8" i="23"/>
  <c r="AR8" i="23"/>
  <c r="AQ8" i="23"/>
  <c r="AO8" i="23"/>
  <c r="AN8" i="23"/>
  <c r="X8" i="23"/>
  <c r="R8" i="23"/>
  <c r="P8" i="23"/>
  <c r="O8" i="23"/>
  <c r="K8" i="23"/>
  <c r="H8" i="23"/>
  <c r="AU8" i="23" s="1"/>
  <c r="F8" i="23"/>
  <c r="AY7" i="23"/>
  <c r="AX7" i="23"/>
  <c r="AW7" i="23"/>
  <c r="AR7" i="23"/>
  <c r="AQ7" i="23"/>
  <c r="AO7" i="23"/>
  <c r="AN7" i="23"/>
  <c r="AI7" i="23"/>
  <c r="AH7" i="23"/>
  <c r="X7" i="23"/>
  <c r="R7" i="23"/>
  <c r="P7" i="23"/>
  <c r="O7" i="23"/>
  <c r="H7" i="23"/>
  <c r="AU7" i="23" s="1"/>
  <c r="F7" i="23"/>
  <c r="AY6" i="23"/>
  <c r="AX6" i="23"/>
  <c r="AW6" i="23"/>
  <c r="AR6" i="23"/>
  <c r="AQ6" i="23"/>
  <c r="AO6" i="23"/>
  <c r="AN6" i="23"/>
  <c r="X6" i="23"/>
  <c r="R6" i="23"/>
  <c r="P6" i="23"/>
  <c r="O6" i="23"/>
  <c r="K6" i="23"/>
  <c r="AH6" i="23" s="1"/>
  <c r="H6" i="23"/>
  <c r="AU6" i="23" s="1"/>
  <c r="F6" i="23"/>
  <c r="N6" i="23" s="1"/>
  <c r="AY5" i="23"/>
  <c r="AX5" i="23"/>
  <c r="AW5" i="23"/>
  <c r="AR5" i="23"/>
  <c r="AQ5" i="23"/>
  <c r="AO5" i="23"/>
  <c r="AN5" i="23"/>
  <c r="X5" i="23"/>
  <c r="R5" i="23"/>
  <c r="P5" i="23"/>
  <c r="O5" i="23"/>
  <c r="K5" i="23"/>
  <c r="AI5" i="23" s="1"/>
  <c r="H5" i="23"/>
  <c r="AU5" i="23" s="1"/>
  <c r="F5" i="23"/>
  <c r="B5" i="23"/>
  <c r="B6" i="23" s="1"/>
  <c r="AY4" i="23"/>
  <c r="AX4" i="23"/>
  <c r="AW4" i="23"/>
  <c r="AR4" i="23"/>
  <c r="AQ4" i="23"/>
  <c r="AO4" i="23"/>
  <c r="AN4" i="23"/>
  <c r="X4" i="23"/>
  <c r="R4" i="23"/>
  <c r="P4" i="23"/>
  <c r="O4" i="23"/>
  <c r="K4" i="23"/>
  <c r="H4" i="23"/>
  <c r="AU4" i="23" s="1"/>
  <c r="F4" i="23"/>
  <c r="BA1" i="23"/>
  <c r="AL39" i="23" l="1"/>
  <c r="AM39" i="23"/>
  <c r="Q35" i="23"/>
  <c r="V35" i="23" s="1"/>
  <c r="W35" i="23" s="1"/>
  <c r="N14" i="23"/>
  <c r="Q14" i="23" s="1"/>
  <c r="V14" i="23" s="1"/>
  <c r="W14" i="23" s="1"/>
  <c r="P36" i="23"/>
  <c r="AN36" i="23"/>
  <c r="AV36" i="23"/>
  <c r="AV39" i="23" s="1"/>
  <c r="AO18" i="23"/>
  <c r="N22" i="23"/>
  <c r="Q22" i="23" s="1"/>
  <c r="V22" i="23" s="1"/>
  <c r="W22" i="23" s="1"/>
  <c r="K11" i="23"/>
  <c r="S11" i="23"/>
  <c r="N29" i="23"/>
  <c r="Q29" i="23" s="1"/>
  <c r="V29" i="23" s="1"/>
  <c r="W29" i="23" s="1"/>
  <c r="N15" i="23"/>
  <c r="Q15" i="23" s="1"/>
  <c r="V15" i="23" s="1"/>
  <c r="W15" i="23" s="1"/>
  <c r="K36" i="23"/>
  <c r="AH25" i="23"/>
  <c r="N28" i="23"/>
  <c r="Q28" i="23" s="1"/>
  <c r="V28" i="23" s="1"/>
  <c r="W28" i="23" s="1"/>
  <c r="P11" i="23"/>
  <c r="N20" i="23"/>
  <c r="Q20" i="23" s="1"/>
  <c r="V20" i="23" s="1"/>
  <c r="S36" i="23"/>
  <c r="AQ36" i="23"/>
  <c r="AX36" i="23"/>
  <c r="AH22" i="23"/>
  <c r="N31" i="23"/>
  <c r="Q31" i="23" s="1"/>
  <c r="V31" i="23" s="1"/>
  <c r="W31" i="23" s="1"/>
  <c r="N32" i="23"/>
  <c r="Q32" i="23" s="1"/>
  <c r="V32" i="23" s="1"/>
  <c r="W32" i="23" s="1"/>
  <c r="AY11" i="23"/>
  <c r="AH15" i="23"/>
  <c r="N23" i="23"/>
  <c r="Q23" i="23" s="1"/>
  <c r="V23" i="23" s="1"/>
  <c r="W23" i="23" s="1"/>
  <c r="AI24" i="23"/>
  <c r="N30" i="23"/>
  <c r="Q30" i="23" s="1"/>
  <c r="V30" i="23" s="1"/>
  <c r="W30" i="23" s="1"/>
  <c r="AN11" i="23"/>
  <c r="N13" i="23"/>
  <c r="Q13" i="23" s="1"/>
  <c r="V13" i="23" s="1"/>
  <c r="AX18" i="23"/>
  <c r="S18" i="23"/>
  <c r="O11" i="23"/>
  <c r="AI4" i="23"/>
  <c r="AR11" i="23"/>
  <c r="N9" i="23"/>
  <c r="Q9" i="23" s="1"/>
  <c r="V9" i="23" s="1"/>
  <c r="W9" i="23" s="1"/>
  <c r="N10" i="23"/>
  <c r="R18" i="23"/>
  <c r="R36" i="23"/>
  <c r="AO36" i="23"/>
  <c r="AW36" i="23"/>
  <c r="AH23" i="23"/>
  <c r="AI31" i="23"/>
  <c r="AH32" i="23"/>
  <c r="AQ18" i="23"/>
  <c r="N26" i="23"/>
  <c r="Q26" i="23" s="1"/>
  <c r="V26" i="23" s="1"/>
  <c r="W26" i="23" s="1"/>
  <c r="AU11" i="23"/>
  <c r="R11" i="23"/>
  <c r="Q6" i="23"/>
  <c r="V6" i="23" s="1"/>
  <c r="W6" i="23" s="1"/>
  <c r="AH10" i="23"/>
  <c r="L39" i="23"/>
  <c r="AA39" i="23"/>
  <c r="O36" i="23"/>
  <c r="AI26" i="23"/>
  <c r="AI28" i="23"/>
  <c r="AH29" i="23"/>
  <c r="X11" i="23"/>
  <c r="AI30" i="23"/>
  <c r="N4" i="23"/>
  <c r="Q4" i="23" s="1"/>
  <c r="AO11" i="23"/>
  <c r="AW11" i="23"/>
  <c r="AH5" i="23"/>
  <c r="AI6" i="23"/>
  <c r="AI8" i="23"/>
  <c r="AI17" i="23"/>
  <c r="AH17" i="23"/>
  <c r="AQ11" i="23"/>
  <c r="AX11" i="23"/>
  <c r="N5" i="23"/>
  <c r="Q5" i="23" s="1"/>
  <c r="N7" i="23"/>
  <c r="B7" i="23"/>
  <c r="B8" i="23" s="1"/>
  <c r="N8" i="23"/>
  <c r="AH8" i="23"/>
  <c r="AH16" i="23"/>
  <c r="AI16" i="23"/>
  <c r="AI9" i="23"/>
  <c r="Q10" i="23"/>
  <c r="V10" i="23" s="1"/>
  <c r="W10" i="23" s="1"/>
  <c r="M39" i="23"/>
  <c r="O18" i="23"/>
  <c r="AR18" i="23"/>
  <c r="AY18" i="23"/>
  <c r="P18" i="23"/>
  <c r="AN18" i="23"/>
  <c r="AU18" i="23"/>
  <c r="AH14" i="23"/>
  <c r="N16" i="23"/>
  <c r="Q16" i="23" s="1"/>
  <c r="AH4" i="23"/>
  <c r="K18" i="23"/>
  <c r="X18" i="23"/>
  <c r="AH13" i="23"/>
  <c r="AW18" i="23"/>
  <c r="B18" i="23"/>
  <c r="AR36" i="23"/>
  <c r="AY36" i="23"/>
  <c r="N24" i="23"/>
  <c r="Q24" i="23" s="1"/>
  <c r="AI27" i="23"/>
  <c r="N17" i="23"/>
  <c r="Q17" i="23" s="1"/>
  <c r="X36" i="23"/>
  <c r="X37" i="23"/>
  <c r="AH20" i="23"/>
  <c r="N21" i="23"/>
  <c r="Q21" i="23" s="1"/>
  <c r="AH21" i="23"/>
  <c r="B22" i="23"/>
  <c r="B23" i="23" s="1"/>
  <c r="B24" i="23" s="1"/>
  <c r="B25" i="23" s="1"/>
  <c r="B26" i="23" s="1"/>
  <c r="B27" i="23" s="1"/>
  <c r="B28" i="23" s="1"/>
  <c r="N27" i="23"/>
  <c r="Q27" i="23" s="1"/>
  <c r="AH27" i="23"/>
  <c r="AI20" i="23"/>
  <c r="N25" i="23"/>
  <c r="Q25" i="23" s="1"/>
  <c r="AI33" i="23"/>
  <c r="N33" i="23"/>
  <c r="AH34" i="23"/>
  <c r="N34" i="23"/>
  <c r="Q34" i="23" s="1"/>
  <c r="AI34" i="23"/>
  <c r="Z6" i="23"/>
  <c r="Z15" i="23"/>
  <c r="Z22" i="23"/>
  <c r="Z9" i="23"/>
  <c r="Z26" i="23"/>
  <c r="Z30" i="23"/>
  <c r="Z32" i="23"/>
  <c r="Z14" i="23"/>
  <c r="Z31" i="23"/>
  <c r="Z29" i="23"/>
  <c r="Z23" i="23"/>
  <c r="Z28" i="23"/>
  <c r="Z35" i="23"/>
  <c r="Z10" i="23"/>
  <c r="K39" i="23" l="1"/>
  <c r="AN39" i="23"/>
  <c r="O40" i="23"/>
  <c r="R40" i="23"/>
  <c r="S39" i="23"/>
  <c r="AU39" i="23"/>
  <c r="P40" i="23"/>
  <c r="AX39" i="23"/>
  <c r="S40" i="23"/>
  <c r="AH11" i="23"/>
  <c r="AY39" i="23"/>
  <c r="AG35" i="23"/>
  <c r="AB35" i="23"/>
  <c r="AJ35" i="23"/>
  <c r="AE35" i="23"/>
  <c r="AC35" i="23"/>
  <c r="AQ39" i="23"/>
  <c r="B11" i="23"/>
  <c r="N36" i="23"/>
  <c r="Q33" i="23"/>
  <c r="V33" i="23" s="1"/>
  <c r="W33" i="23" s="1"/>
  <c r="X39" i="23"/>
  <c r="AR39" i="23"/>
  <c r="AI11" i="23"/>
  <c r="O39" i="23"/>
  <c r="AI18" i="23"/>
  <c r="R39" i="23"/>
  <c r="S47" i="23" s="1"/>
  <c r="AJ28" i="23"/>
  <c r="BC28" i="23" s="1"/>
  <c r="AC28" i="23"/>
  <c r="AG28" i="23"/>
  <c r="AB28" i="23"/>
  <c r="AE28" i="23"/>
  <c r="AE14" i="23"/>
  <c r="AC14" i="23"/>
  <c r="AG14" i="23"/>
  <c r="AB14" i="23"/>
  <c r="AJ14" i="23"/>
  <c r="AE15" i="23"/>
  <c r="AC15" i="23"/>
  <c r="AG15" i="23"/>
  <c r="AB15" i="23"/>
  <c r="AJ15" i="23"/>
  <c r="W13" i="23"/>
  <c r="AE10" i="23"/>
  <c r="AC10" i="23"/>
  <c r="AG10" i="23"/>
  <c r="AB10" i="23"/>
  <c r="AJ10" i="23"/>
  <c r="BC10" i="23" s="1"/>
  <c r="AJ6" i="23"/>
  <c r="BC6" i="23" s="1"/>
  <c r="AG6" i="23"/>
  <c r="AE6" i="23"/>
  <c r="AB6" i="23"/>
  <c r="AC6" i="23"/>
  <c r="AG32" i="23"/>
  <c r="AB32" i="23"/>
  <c r="AJ32" i="23"/>
  <c r="BC32" i="23" s="1"/>
  <c r="AE32" i="23"/>
  <c r="AC32" i="23"/>
  <c r="AG23" i="23"/>
  <c r="AB23" i="23"/>
  <c r="AJ23" i="23"/>
  <c r="BC23" i="23" s="1"/>
  <c r="AE23" i="23"/>
  <c r="AC23" i="23"/>
  <c r="AG31" i="23"/>
  <c r="AB31" i="23"/>
  <c r="AC31" i="23"/>
  <c r="AJ31" i="23"/>
  <c r="AE31" i="23"/>
  <c r="K41" i="23"/>
  <c r="K48" i="23"/>
  <c r="AC30" i="23"/>
  <c r="AJ30" i="23"/>
  <c r="AE30" i="23"/>
  <c r="AB30" i="23"/>
  <c r="AG30" i="23"/>
  <c r="AC26" i="23"/>
  <c r="AB26" i="23"/>
  <c r="AG26" i="23"/>
  <c r="AJ26" i="23"/>
  <c r="BC26" i="23" s="1"/>
  <c r="AE26" i="23"/>
  <c r="AG22" i="23"/>
  <c r="AB22" i="23"/>
  <c r="AC22" i="23"/>
  <c r="AJ22" i="23"/>
  <c r="BC22" i="23" s="1"/>
  <c r="AE22" i="23"/>
  <c r="AJ29" i="23"/>
  <c r="BC29" i="23" s="1"/>
  <c r="AC29" i="23"/>
  <c r="AG29" i="23"/>
  <c r="AE29" i="23"/>
  <c r="AB29" i="23"/>
  <c r="AG9" i="23"/>
  <c r="AB9" i="23"/>
  <c r="AE9" i="23"/>
  <c r="AC9" i="23"/>
  <c r="AJ9" i="23"/>
  <c r="BC9" i="23" s="1"/>
  <c r="AI36" i="23"/>
  <c r="AI39" i="23" s="1"/>
  <c r="AH36" i="23"/>
  <c r="Q8" i="23"/>
  <c r="V8" i="23" s="1"/>
  <c r="W8" i="23" s="1"/>
  <c r="Q7" i="23"/>
  <c r="V7" i="23" s="1"/>
  <c r="W7" i="23" s="1"/>
  <c r="AW39" i="23"/>
  <c r="P39" i="23"/>
  <c r="W20" i="23"/>
  <c r="AH18" i="23"/>
  <c r="V16" i="23"/>
  <c r="W16" i="23" s="1"/>
  <c r="N18" i="23"/>
  <c r="AO39" i="23"/>
  <c r="AO19" i="23"/>
  <c r="V34" i="23"/>
  <c r="W34" i="23" s="1"/>
  <c r="V25" i="23"/>
  <c r="W25" i="23" s="1"/>
  <c r="V27" i="23"/>
  <c r="W27" i="23" s="1"/>
  <c r="V21" i="23"/>
  <c r="W21" i="23" s="1"/>
  <c r="V5" i="23"/>
  <c r="W5" i="23" s="1"/>
  <c r="N11" i="23"/>
  <c r="V4" i="23"/>
  <c r="B36" i="23"/>
  <c r="V17" i="23"/>
  <c r="W17" i="23" s="1"/>
  <c r="V24" i="23"/>
  <c r="W24" i="23" s="1"/>
  <c r="Q18" i="23"/>
  <c r="Z24" i="23"/>
  <c r="Z8" i="23"/>
  <c r="Z21" i="23"/>
  <c r="Z17" i="23"/>
  <c r="Z27" i="23"/>
  <c r="Z13" i="23"/>
  <c r="Z33" i="23"/>
  <c r="Z25" i="23"/>
  <c r="Z20" i="23"/>
  <c r="Z16" i="23"/>
  <c r="Z34" i="23"/>
  <c r="Z5" i="23"/>
  <c r="Z7" i="23"/>
  <c r="S48" i="23" l="1"/>
  <c r="AH39" i="23"/>
  <c r="B39" i="23"/>
  <c r="Q36" i="23"/>
  <c r="AF31" i="23"/>
  <c r="Y31" i="23" s="1"/>
  <c r="AZ31" i="23" s="1"/>
  <c r="BA31" i="23" s="1"/>
  <c r="AF15" i="23"/>
  <c r="Y15" i="23" s="1"/>
  <c r="AZ15" i="23" s="1"/>
  <c r="BA15" i="23" s="1"/>
  <c r="AF35" i="23"/>
  <c r="Y35" i="23" s="1"/>
  <c r="AZ35" i="23" s="1"/>
  <c r="BA35" i="23" s="1"/>
  <c r="BC35" i="23"/>
  <c r="N39" i="23"/>
  <c r="AF9" i="23"/>
  <c r="Y9" i="23" s="1"/>
  <c r="AZ9" i="23" s="1"/>
  <c r="BA9" i="23" s="1"/>
  <c r="AF6" i="23"/>
  <c r="Y6" i="23" s="1"/>
  <c r="N40" i="23"/>
  <c r="AF29" i="23"/>
  <c r="Y29" i="23" s="1"/>
  <c r="AZ29" i="23" s="1"/>
  <c r="BA29" i="23" s="1"/>
  <c r="AF30" i="23"/>
  <c r="Y30" i="23" s="1"/>
  <c r="AZ30" i="23" s="1"/>
  <c r="BA30" i="23" s="1"/>
  <c r="AF23" i="23"/>
  <c r="Y23" i="23" s="1"/>
  <c r="AZ23" i="23" s="1"/>
  <c r="BA23" i="23" s="1"/>
  <c r="AF10" i="23"/>
  <c r="Y10" i="23" s="1"/>
  <c r="AZ10" i="23" s="1"/>
  <c r="BA10" i="23" s="1"/>
  <c r="R42" i="23"/>
  <c r="AF22" i="23"/>
  <c r="Y22" i="23" s="1"/>
  <c r="AZ22" i="23" s="1"/>
  <c r="BA22" i="23" s="1"/>
  <c r="AF14" i="23"/>
  <c r="Y14" i="23" s="1"/>
  <c r="AZ14" i="23" s="1"/>
  <c r="BA14" i="23" s="1"/>
  <c r="AF32" i="23"/>
  <c r="Y32" i="23" s="1"/>
  <c r="AZ32" i="23" s="1"/>
  <c r="BA32" i="23" s="1"/>
  <c r="Q11" i="23"/>
  <c r="AF26" i="23"/>
  <c r="Y26" i="23" s="1"/>
  <c r="AZ26" i="23" s="1"/>
  <c r="BA26" i="23" s="1"/>
  <c r="BC15" i="23"/>
  <c r="BO15" i="23" s="1"/>
  <c r="AF28" i="23"/>
  <c r="Y28" i="23" s="1"/>
  <c r="AZ28" i="23" s="1"/>
  <c r="BA28" i="23" s="1"/>
  <c r="Z36" i="23"/>
  <c r="Z18" i="23"/>
  <c r="BL29" i="23"/>
  <c r="BH29" i="23"/>
  <c r="BD29" i="23"/>
  <c r="BO29" i="23"/>
  <c r="BJ29" i="23"/>
  <c r="BE29" i="23"/>
  <c r="BM29" i="23"/>
  <c r="BG29" i="23"/>
  <c r="BK29" i="23"/>
  <c r="BF29" i="23"/>
  <c r="BN29" i="23"/>
  <c r="BN26" i="23"/>
  <c r="BJ26" i="23"/>
  <c r="BF26" i="23"/>
  <c r="BO26" i="23"/>
  <c r="BI26" i="23"/>
  <c r="BD26" i="23"/>
  <c r="BM26" i="23"/>
  <c r="BH26" i="23"/>
  <c r="BL26" i="23"/>
  <c r="BG26" i="23"/>
  <c r="BK26" i="23"/>
  <c r="BL6" i="23"/>
  <c r="BH6" i="23"/>
  <c r="BD6" i="23"/>
  <c r="BM6" i="23"/>
  <c r="BG6" i="23"/>
  <c r="BK6" i="23"/>
  <c r="BF6" i="23"/>
  <c r="BN6" i="23"/>
  <c r="BI6" i="23"/>
  <c r="BO6" i="23"/>
  <c r="BJ6" i="23"/>
  <c r="BE6" i="23"/>
  <c r="AC7" i="23"/>
  <c r="AB7" i="23"/>
  <c r="AG7" i="23"/>
  <c r="AE7" i="23"/>
  <c r="AJ7" i="23"/>
  <c r="BC7" i="23" s="1"/>
  <c r="BM9" i="23"/>
  <c r="BI9" i="23"/>
  <c r="BE9" i="23"/>
  <c r="BO9" i="23"/>
  <c r="BK9" i="23"/>
  <c r="BG9" i="23"/>
  <c r="BN9" i="23"/>
  <c r="BF9" i="23"/>
  <c r="BL9" i="23"/>
  <c r="BD9" i="23"/>
  <c r="BJ9" i="23"/>
  <c r="BH9" i="23"/>
  <c r="AE27" i="23"/>
  <c r="AG27" i="23"/>
  <c r="AB27" i="23"/>
  <c r="AJ27" i="23"/>
  <c r="BC27" i="23" s="1"/>
  <c r="AC27" i="23"/>
  <c r="AE8" i="23"/>
  <c r="AG8" i="23"/>
  <c r="AB8" i="23"/>
  <c r="AJ8" i="23"/>
  <c r="BC8" i="23" s="1"/>
  <c r="AC8" i="23"/>
  <c r="BM23" i="23"/>
  <c r="BI23" i="23"/>
  <c r="BE23" i="23"/>
  <c r="BK23" i="23"/>
  <c r="BF23" i="23"/>
  <c r="BO23" i="23"/>
  <c r="BJ23" i="23"/>
  <c r="BD23" i="23"/>
  <c r="BN23" i="23"/>
  <c r="BH23" i="23"/>
  <c r="BL23" i="23"/>
  <c r="BG23" i="23"/>
  <c r="BO10" i="23"/>
  <c r="BK10" i="23"/>
  <c r="BG10" i="23"/>
  <c r="BN10" i="23"/>
  <c r="BJ10" i="23"/>
  <c r="BF10" i="23"/>
  <c r="BM10" i="23"/>
  <c r="BI10" i="23"/>
  <c r="BE10" i="23"/>
  <c r="BL10" i="23"/>
  <c r="BH10" i="23"/>
  <c r="BD10" i="23"/>
  <c r="BM28" i="23"/>
  <c r="BI28" i="23"/>
  <c r="BE28" i="23"/>
  <c r="BK28" i="23"/>
  <c r="BN28" i="23"/>
  <c r="BH28" i="23"/>
  <c r="BL28" i="23"/>
  <c r="BG28" i="23"/>
  <c r="BO28" i="23"/>
  <c r="BJ28" i="23"/>
  <c r="BD28" i="23"/>
  <c r="AE5" i="23"/>
  <c r="AJ5" i="23"/>
  <c r="BC5" i="23" s="1"/>
  <c r="AC5" i="23"/>
  <c r="AG5" i="23"/>
  <c r="AB5" i="23"/>
  <c r="BM22" i="23"/>
  <c r="BI22" i="23"/>
  <c r="BE22" i="23"/>
  <c r="BO22" i="23"/>
  <c r="BJ22" i="23"/>
  <c r="BD22" i="23"/>
  <c r="BN22" i="23"/>
  <c r="BH22" i="23"/>
  <c r="BL22" i="23"/>
  <c r="BG22" i="23"/>
  <c r="BK22" i="23"/>
  <c r="BF22" i="23"/>
  <c r="V11" i="23"/>
  <c r="W4" i="23"/>
  <c r="AG25" i="23"/>
  <c r="AB25" i="23"/>
  <c r="AJ25" i="23"/>
  <c r="BC25" i="23" s="1"/>
  <c r="AE25" i="23"/>
  <c r="AC25" i="23"/>
  <c r="W36" i="23"/>
  <c r="W37" i="23"/>
  <c r="AE20" i="23"/>
  <c r="AC20" i="23"/>
  <c r="AG20" i="23"/>
  <c r="AB20" i="23"/>
  <c r="AJ20" i="23"/>
  <c r="V36" i="23"/>
  <c r="BM32" i="23"/>
  <c r="BI32" i="23"/>
  <c r="BE32" i="23"/>
  <c r="BL32" i="23"/>
  <c r="BH32" i="23"/>
  <c r="BK32" i="23"/>
  <c r="BJ32" i="23"/>
  <c r="BO32" i="23"/>
  <c r="BG32" i="23"/>
  <c r="BN32" i="23"/>
  <c r="BF32" i="23"/>
  <c r="AZ6" i="23"/>
  <c r="BA6" i="23" s="1"/>
  <c r="W19" i="23"/>
  <c r="AC13" i="23"/>
  <c r="W18" i="23"/>
  <c r="AG13" i="23"/>
  <c r="AB13" i="23"/>
  <c r="AJ13" i="23"/>
  <c r="AE13" i="23"/>
  <c r="BC30" i="23"/>
  <c r="BC31" i="23"/>
  <c r="V18" i="23"/>
  <c r="BK15" i="23"/>
  <c r="BG15" i="23"/>
  <c r="BF15" i="23"/>
  <c r="BM15" i="23"/>
  <c r="BI15" i="23"/>
  <c r="BH15" i="23"/>
  <c r="BD15" i="23"/>
  <c r="BC14" i="23"/>
  <c r="AG24" i="23"/>
  <c r="AB24" i="23"/>
  <c r="AJ24" i="23"/>
  <c r="AE24" i="23"/>
  <c r="AC24" i="23"/>
  <c r="AG33" i="23"/>
  <c r="AB33" i="23"/>
  <c r="AJ33" i="23"/>
  <c r="AE33" i="23"/>
  <c r="AC33" i="23"/>
  <c r="AJ17" i="23"/>
  <c r="BC17" i="23" s="1"/>
  <c r="AE17" i="23"/>
  <c r="AC17" i="23"/>
  <c r="AG17" i="23"/>
  <c r="AB17" i="23"/>
  <c r="AE21" i="23"/>
  <c r="AC21" i="23"/>
  <c r="AG21" i="23"/>
  <c r="AB21" i="23"/>
  <c r="AJ21" i="23"/>
  <c r="AG34" i="23"/>
  <c r="AB34" i="23"/>
  <c r="AJ34" i="23"/>
  <c r="AE34" i="23"/>
  <c r="AC34" i="23"/>
  <c r="AC16" i="23"/>
  <c r="AB16" i="23"/>
  <c r="AG16" i="23"/>
  <c r="AJ16" i="23"/>
  <c r="BC16" i="23" s="1"/>
  <c r="AE16" i="23"/>
  <c r="Z4" i="23"/>
  <c r="Q40" i="23" l="1"/>
  <c r="BD32" i="23"/>
  <c r="BF28" i="23"/>
  <c r="BP28" i="23" s="1"/>
  <c r="BQ28" i="23" s="1"/>
  <c r="BE26" i="23"/>
  <c r="BP26" i="23" s="1"/>
  <c r="BQ26" i="23" s="1"/>
  <c r="AF25" i="23"/>
  <c r="Y25" i="23" s="1"/>
  <c r="AZ25" i="23" s="1"/>
  <c r="BA25" i="23" s="1"/>
  <c r="BL15" i="23"/>
  <c r="BN15" i="23"/>
  <c r="BI29" i="23"/>
  <c r="BP29" i="23" s="1"/>
  <c r="BQ29" i="23" s="1"/>
  <c r="Q39" i="23"/>
  <c r="AF24" i="23"/>
  <c r="Y24" i="23" s="1"/>
  <c r="AZ24" i="23" s="1"/>
  <c r="BA24" i="23" s="1"/>
  <c r="BM35" i="23"/>
  <c r="BI35" i="23"/>
  <c r="BE35" i="23"/>
  <c r="BL35" i="23"/>
  <c r="BH35" i="23"/>
  <c r="BD35" i="23"/>
  <c r="BO35" i="23"/>
  <c r="BK35" i="23"/>
  <c r="BG35" i="23"/>
  <c r="BN35" i="23"/>
  <c r="BJ35" i="23"/>
  <c r="BF35" i="23"/>
  <c r="BE15" i="23"/>
  <c r="BJ15" i="23"/>
  <c r="AF16" i="23"/>
  <c r="Y16" i="23" s="1"/>
  <c r="BI16" i="23" s="1"/>
  <c r="AF8" i="23"/>
  <c r="Y8" i="23" s="1"/>
  <c r="AF34" i="23"/>
  <c r="Y34" i="23" s="1"/>
  <c r="AZ34" i="23" s="1"/>
  <c r="BA34" i="23" s="1"/>
  <c r="AF13" i="23"/>
  <c r="AF21" i="23"/>
  <c r="Y21" i="23" s="1"/>
  <c r="AZ21" i="23" s="1"/>
  <c r="BA21" i="23" s="1"/>
  <c r="AF27" i="23"/>
  <c r="Y27" i="23" s="1"/>
  <c r="AZ27" i="23" s="1"/>
  <c r="BA27" i="23" s="1"/>
  <c r="AF17" i="23"/>
  <c r="Y17" i="23" s="1"/>
  <c r="AZ17" i="23" s="1"/>
  <c r="BA17" i="23" s="1"/>
  <c r="BC24" i="23"/>
  <c r="AF33" i="23"/>
  <c r="Y33" i="23" s="1"/>
  <c r="AZ33" i="23" s="1"/>
  <c r="BA33" i="23" s="1"/>
  <c r="AF5" i="23"/>
  <c r="Y5" i="23" s="1"/>
  <c r="AZ5" i="23" s="1"/>
  <c r="BA5" i="23" s="1"/>
  <c r="AF7" i="23"/>
  <c r="Y7" i="23" s="1"/>
  <c r="AZ7" i="23" s="1"/>
  <c r="BA7" i="23" s="1"/>
  <c r="Z11" i="23"/>
  <c r="Z39" i="23" s="1"/>
  <c r="BO8" i="23"/>
  <c r="BK8" i="23"/>
  <c r="BG8" i="23"/>
  <c r="BM8" i="23"/>
  <c r="BI8" i="23"/>
  <c r="BE8" i="23"/>
  <c r="BH8" i="23"/>
  <c r="BN8" i="23"/>
  <c r="BF8" i="23"/>
  <c r="BJ8" i="23"/>
  <c r="BL8" i="23"/>
  <c r="BD8" i="23"/>
  <c r="BN16" i="23"/>
  <c r="BJ16" i="23"/>
  <c r="BF16" i="23"/>
  <c r="BO16" i="23"/>
  <c r="BD16" i="23"/>
  <c r="BM16" i="23"/>
  <c r="BH16" i="23"/>
  <c r="BL16" i="23"/>
  <c r="BG16" i="23"/>
  <c r="BK16" i="23"/>
  <c r="BE16" i="23"/>
  <c r="BO5" i="23"/>
  <c r="BK5" i="23"/>
  <c r="BG5" i="23"/>
  <c r="BL5" i="23"/>
  <c r="BF5" i="23"/>
  <c r="BJ5" i="23"/>
  <c r="BE5" i="23"/>
  <c r="BH5" i="23"/>
  <c r="BN5" i="23"/>
  <c r="BI5" i="23"/>
  <c r="BD5" i="23"/>
  <c r="BO27" i="23"/>
  <c r="BK27" i="23"/>
  <c r="BG27" i="23"/>
  <c r="BM27" i="23"/>
  <c r="BI27" i="23"/>
  <c r="BE27" i="23"/>
  <c r="BH27" i="23"/>
  <c r="BN27" i="23"/>
  <c r="BF27" i="23"/>
  <c r="BL27" i="23"/>
  <c r="BD27" i="23"/>
  <c r="BJ27" i="23"/>
  <c r="AJ36" i="23"/>
  <c r="AC36" i="23"/>
  <c r="AZ8" i="23"/>
  <c r="BA8" i="23" s="1"/>
  <c r="Y13" i="23"/>
  <c r="BC34" i="23"/>
  <c r="BC33" i="23"/>
  <c r="AB36" i="23"/>
  <c r="AE36" i="23"/>
  <c r="BM25" i="23"/>
  <c r="BI25" i="23"/>
  <c r="BE25" i="23"/>
  <c r="BN25" i="23"/>
  <c r="BH25" i="23"/>
  <c r="BL25" i="23"/>
  <c r="BG25" i="23"/>
  <c r="BK25" i="23"/>
  <c r="BF25" i="23"/>
  <c r="BO25" i="23"/>
  <c r="BJ25" i="23"/>
  <c r="W11" i="23"/>
  <c r="W39" i="23" s="1"/>
  <c r="AC4" i="23"/>
  <c r="AC11" i="23" s="1"/>
  <c r="W12" i="23"/>
  <c r="AB4" i="23"/>
  <c r="AB11" i="23" s="1"/>
  <c r="AG4" i="23"/>
  <c r="AG11" i="23" s="1"/>
  <c r="AJ4" i="23"/>
  <c r="AJ11" i="23" s="1"/>
  <c r="AE4" i="23"/>
  <c r="AE11" i="23" s="1"/>
  <c r="BP22" i="23"/>
  <c r="BQ22" i="23" s="1"/>
  <c r="BP6" i="23"/>
  <c r="BQ6" i="23" s="1"/>
  <c r="AJ18" i="23"/>
  <c r="BC21" i="23"/>
  <c r="BM31" i="23"/>
  <c r="BI31" i="23"/>
  <c r="BE31" i="23"/>
  <c r="BO31" i="23"/>
  <c r="BJ31" i="23"/>
  <c r="BD31" i="23"/>
  <c r="BN31" i="23"/>
  <c r="BH31" i="23"/>
  <c r="BL31" i="23"/>
  <c r="BG31" i="23"/>
  <c r="BK31" i="23"/>
  <c r="BF31" i="23"/>
  <c r="AE18" i="23"/>
  <c r="AB18" i="23"/>
  <c r="AC18" i="23"/>
  <c r="AG36" i="23"/>
  <c r="BC20" i="23"/>
  <c r="V39" i="23"/>
  <c r="BL17" i="23"/>
  <c r="BH17" i="23"/>
  <c r="BD17" i="23"/>
  <c r="BO17" i="23"/>
  <c r="BK17" i="23"/>
  <c r="BG17" i="23"/>
  <c r="BN17" i="23"/>
  <c r="BJ17" i="23"/>
  <c r="BF17" i="23"/>
  <c r="BE17" i="23"/>
  <c r="BM17" i="23"/>
  <c r="BM24" i="23"/>
  <c r="BI24" i="23"/>
  <c r="BE24" i="23"/>
  <c r="BL24" i="23"/>
  <c r="BG24" i="23"/>
  <c r="BK24" i="23"/>
  <c r="BF24" i="23"/>
  <c r="BO24" i="23"/>
  <c r="BJ24" i="23"/>
  <c r="BD24" i="23"/>
  <c r="BN24" i="23"/>
  <c r="BH24" i="23"/>
  <c r="BO14" i="23"/>
  <c r="BK14" i="23"/>
  <c r="BG14" i="23"/>
  <c r="BN14" i="23"/>
  <c r="BJ14" i="23"/>
  <c r="BF14" i="23"/>
  <c r="BM14" i="23"/>
  <c r="BI14" i="23"/>
  <c r="BE14" i="23"/>
  <c r="BH14" i="23"/>
  <c r="BD14" i="23"/>
  <c r="BL14" i="23"/>
  <c r="BN30" i="23"/>
  <c r="BJ30" i="23"/>
  <c r="BF30" i="23"/>
  <c r="BL30" i="23"/>
  <c r="BG30" i="23"/>
  <c r="BK30" i="23"/>
  <c r="BE30" i="23"/>
  <c r="BO30" i="23"/>
  <c r="BI30" i="23"/>
  <c r="BD30" i="23"/>
  <c r="BM30" i="23"/>
  <c r="BH30" i="23"/>
  <c r="BC13" i="23"/>
  <c r="AG18" i="23"/>
  <c r="BP32" i="23"/>
  <c r="BQ32" i="23" s="1"/>
  <c r="AF20" i="23"/>
  <c r="BP10" i="23"/>
  <c r="BQ10" i="23" s="1"/>
  <c r="BP23" i="23"/>
  <c r="BQ23" i="23" s="1"/>
  <c r="BP9" i="23"/>
  <c r="BQ9" i="23" s="1"/>
  <c r="BN7" i="23"/>
  <c r="BJ7" i="23"/>
  <c r="BF7" i="23"/>
  <c r="BM7" i="23"/>
  <c r="BH7" i="23"/>
  <c r="BL7" i="23"/>
  <c r="BG7" i="23"/>
  <c r="BO7" i="23"/>
  <c r="BI7" i="23"/>
  <c r="BD7" i="23"/>
  <c r="BK7" i="23"/>
  <c r="BE7" i="23"/>
  <c r="AF18" i="23" l="1"/>
  <c r="BD25" i="23"/>
  <c r="AZ16" i="23"/>
  <c r="BA16" i="23" s="1"/>
  <c r="BP15" i="23"/>
  <c r="BQ15" i="23" s="1"/>
  <c r="O42" i="23"/>
  <c r="O43" i="23" s="1"/>
  <c r="Q48" i="23"/>
  <c r="BI17" i="23"/>
  <c r="BP17" i="23" s="1"/>
  <c r="BQ17" i="23" s="1"/>
  <c r="BM5" i="23"/>
  <c r="BP5" i="23" s="1"/>
  <c r="BQ5" i="23" s="1"/>
  <c r="BP35" i="23"/>
  <c r="BQ35" i="23" s="1"/>
  <c r="BP7" i="23"/>
  <c r="BQ7" i="23" s="1"/>
  <c r="BP14" i="23"/>
  <c r="BQ14" i="23" s="1"/>
  <c r="AJ39" i="23"/>
  <c r="AH48" i="23" s="1"/>
  <c r="BC18" i="23"/>
  <c r="BN13" i="23"/>
  <c r="BN18" i="23" s="1"/>
  <c r="BJ13" i="23"/>
  <c r="BJ18" i="23" s="1"/>
  <c r="BF13" i="23"/>
  <c r="BF18" i="23" s="1"/>
  <c r="BM13" i="23"/>
  <c r="BM18" i="23" s="1"/>
  <c r="BI13" i="23"/>
  <c r="BE13" i="23"/>
  <c r="BE18" i="23" s="1"/>
  <c r="BL13" i="23"/>
  <c r="BL18" i="23" s="1"/>
  <c r="BH13" i="23"/>
  <c r="BH18" i="23" s="1"/>
  <c r="BD13" i="23"/>
  <c r="BO13" i="23"/>
  <c r="BO18" i="23" s="1"/>
  <c r="BK13" i="23"/>
  <c r="BK18" i="23" s="1"/>
  <c r="BG13" i="23"/>
  <c r="BG18" i="23" s="1"/>
  <c r="BC4" i="23"/>
  <c r="AF36" i="23"/>
  <c r="Y20" i="23"/>
  <c r="BD20" i="23" s="1"/>
  <c r="BP31" i="23"/>
  <c r="BQ31" i="23" s="1"/>
  <c r="AE39" i="23"/>
  <c r="AF4" i="23"/>
  <c r="AC39" i="23"/>
  <c r="BM33" i="23"/>
  <c r="BI33" i="23"/>
  <c r="BE33" i="23"/>
  <c r="BL33" i="23"/>
  <c r="BH33" i="23"/>
  <c r="BD33" i="23"/>
  <c r="BO33" i="23"/>
  <c r="BK33" i="23"/>
  <c r="BG33" i="23"/>
  <c r="BN33" i="23"/>
  <c r="BJ33" i="23"/>
  <c r="BF33" i="23"/>
  <c r="BP16" i="23"/>
  <c r="BC36" i="23"/>
  <c r="BO20" i="23"/>
  <c r="BK20" i="23"/>
  <c r="BG20" i="23"/>
  <c r="BN20" i="23"/>
  <c r="BJ20" i="23"/>
  <c r="BF20" i="23"/>
  <c r="BM20" i="23"/>
  <c r="BI20" i="23"/>
  <c r="BE20" i="23"/>
  <c r="BL20" i="23"/>
  <c r="BH20" i="23"/>
  <c r="BM34" i="23"/>
  <c r="BI34" i="23"/>
  <c r="BE34" i="23"/>
  <c r="BL34" i="23"/>
  <c r="BH34" i="23"/>
  <c r="BD34" i="23"/>
  <c r="BO34" i="23"/>
  <c r="BK34" i="23"/>
  <c r="BG34" i="23"/>
  <c r="BN34" i="23"/>
  <c r="BJ34" i="23"/>
  <c r="BF34" i="23"/>
  <c r="BP27" i="23"/>
  <c r="BQ27" i="23" s="1"/>
  <c r="BP30" i="23"/>
  <c r="BQ30" i="23" s="1"/>
  <c r="BP24" i="23"/>
  <c r="BQ24" i="23" s="1"/>
  <c r="BM21" i="23"/>
  <c r="BI21" i="23"/>
  <c r="BE21" i="23"/>
  <c r="BN21" i="23"/>
  <c r="BH21" i="23"/>
  <c r="BL21" i="23"/>
  <c r="BG21" i="23"/>
  <c r="BK21" i="23"/>
  <c r="BF21" i="23"/>
  <c r="BO21" i="23"/>
  <c r="BJ21" i="23"/>
  <c r="BD21" i="23"/>
  <c r="AG39" i="23"/>
  <c r="AB39" i="23"/>
  <c r="BP25" i="23"/>
  <c r="BQ25" i="23" s="1"/>
  <c r="Y18" i="23"/>
  <c r="AZ13" i="23"/>
  <c r="BP8" i="23"/>
  <c r="BQ8" i="23" s="1"/>
  <c r="Z48" i="23"/>
  <c r="AA42" i="23"/>
  <c r="BQ16" i="23" l="1"/>
  <c r="AH42" i="23"/>
  <c r="BI18" i="23"/>
  <c r="BP34" i="23"/>
  <c r="BQ34" i="23" s="1"/>
  <c r="BE36" i="23"/>
  <c r="BJ36" i="23"/>
  <c r="BO36" i="23"/>
  <c r="Y36" i="23"/>
  <c r="AZ20" i="23"/>
  <c r="BD36" i="23"/>
  <c r="BP20" i="23"/>
  <c r="BI36" i="23"/>
  <c r="BN36" i="23"/>
  <c r="Y4" i="23"/>
  <c r="BK4" i="23" s="1"/>
  <c r="BK11" i="23" s="1"/>
  <c r="AF11" i="23"/>
  <c r="AF39" i="23" s="1"/>
  <c r="BA13" i="23"/>
  <c r="BA18" i="23" s="1"/>
  <c r="AZ18" i="23"/>
  <c r="BH36" i="23"/>
  <c r="BM36" i="23"/>
  <c r="BG36" i="23"/>
  <c r="BP33" i="23"/>
  <c r="BQ33" i="23" s="1"/>
  <c r="BN4" i="23"/>
  <c r="BN11" i="23" s="1"/>
  <c r="BJ4" i="23"/>
  <c r="BJ11" i="23" s="1"/>
  <c r="BF4" i="23"/>
  <c r="BF11" i="23" s="1"/>
  <c r="BC11" i="23"/>
  <c r="BC39" i="23" s="1"/>
  <c r="BO4" i="23"/>
  <c r="BO11" i="23" s="1"/>
  <c r="BI4" i="23"/>
  <c r="BI11" i="23" s="1"/>
  <c r="BD4" i="23"/>
  <c r="BL4" i="23"/>
  <c r="BL11" i="23" s="1"/>
  <c r="BG4" i="23"/>
  <c r="BG11" i="23" s="1"/>
  <c r="BE4" i="23"/>
  <c r="BE11" i="23" s="1"/>
  <c r="BM4" i="23"/>
  <c r="BM11" i="23" s="1"/>
  <c r="BH4" i="23"/>
  <c r="BH11" i="23" s="1"/>
  <c r="BD18" i="23"/>
  <c r="BP13" i="23"/>
  <c r="AG48" i="23"/>
  <c r="AZ48" i="23" s="1"/>
  <c r="Q42" i="23"/>
  <c r="K43" i="23" s="1"/>
  <c r="BP21" i="23"/>
  <c r="BQ21" i="23" s="1"/>
  <c r="BL36" i="23"/>
  <c r="BF36" i="23"/>
  <c r="BK36" i="23"/>
  <c r="BM39" i="23" l="1"/>
  <c r="BH39" i="23"/>
  <c r="BG39" i="23"/>
  <c r="BO39" i="23"/>
  <c r="BN39" i="23"/>
  <c r="BE39" i="23"/>
  <c r="BI39" i="23"/>
  <c r="BJ39" i="23"/>
  <c r="BK39" i="23"/>
  <c r="BP36" i="23"/>
  <c r="BQ20" i="23"/>
  <c r="BQ36" i="23" s="1"/>
  <c r="Y11" i="23"/>
  <c r="Y39" i="23" s="1"/>
  <c r="AZ4" i="23"/>
  <c r="BL39" i="23"/>
  <c r="AZ36" i="23"/>
  <c r="BA20" i="23"/>
  <c r="BA36" i="23" s="1"/>
  <c r="BP18" i="23"/>
  <c r="BQ13" i="23"/>
  <c r="BQ18" i="23" s="1"/>
  <c r="BD11" i="23"/>
  <c r="BD39" i="23" s="1"/>
  <c r="BP4" i="23"/>
  <c r="BF39" i="23"/>
  <c r="BP11" i="23" l="1"/>
  <c r="BP39" i="23" s="1"/>
  <c r="BQ4" i="23"/>
  <c r="BQ11" i="23" s="1"/>
  <c r="BQ39" i="23" s="1"/>
  <c r="BA4" i="23"/>
  <c r="BA11" i="23" s="1"/>
  <c r="BA39" i="23" s="1"/>
  <c r="AZ11" i="23"/>
  <c r="AZ39" i="23" s="1"/>
  <c r="AZ49" i="23" s="1"/>
  <c r="F4" i="21" l="1"/>
  <c r="F14" i="21"/>
  <c r="AU24" i="1" l="1"/>
  <c r="AU18" i="1"/>
  <c r="AU40" i="1" l="1"/>
  <c r="BB8" i="1" l="1"/>
  <c r="I20" i="1" s="1"/>
  <c r="AO35" i="1"/>
  <c r="K20" i="1" l="1"/>
  <c r="Y20" i="1"/>
  <c r="BY35" i="1"/>
  <c r="I36" i="1"/>
  <c r="Y36" i="1" s="1"/>
  <c r="I35" i="1"/>
  <c r="Y35" i="1" s="1"/>
  <c r="I29" i="1"/>
  <c r="I32" i="1"/>
  <c r="I26" i="1"/>
  <c r="I23" i="1"/>
  <c r="I21" i="1"/>
  <c r="I28" i="1"/>
  <c r="I59" i="1"/>
  <c r="I15" i="1"/>
  <c r="I30" i="1"/>
  <c r="I33" i="1"/>
  <c r="I137" i="1"/>
  <c r="I16" i="1"/>
  <c r="I34" i="1"/>
  <c r="I13" i="1"/>
  <c r="I27" i="1"/>
  <c r="I31" i="1"/>
  <c r="I14" i="1"/>
  <c r="I22" i="1"/>
  <c r="B8" i="22"/>
  <c r="K35" i="1" l="1"/>
  <c r="K36" i="1"/>
  <c r="BL37" i="1" l="1"/>
  <c r="AT24" i="1"/>
  <c r="BL40" i="1" l="1"/>
  <c r="K13" i="1"/>
  <c r="AT18" i="1" l="1"/>
  <c r="BX18" i="1" l="1"/>
  <c r="U18" i="1"/>
  <c r="X18" i="1"/>
  <c r="AF18" i="1"/>
  <c r="AH18" i="1"/>
  <c r="AJ18" i="1"/>
  <c r="AK18" i="1"/>
  <c r="AZ18" i="1"/>
  <c r="BE18" i="1"/>
  <c r="M35" i="21"/>
  <c r="L35" i="21"/>
  <c r="K34" i="21"/>
  <c r="H34" i="21"/>
  <c r="K33" i="21"/>
  <c r="H33" i="21"/>
  <c r="K32" i="21"/>
  <c r="K31" i="21"/>
  <c r="H31" i="21"/>
  <c r="K30" i="21"/>
  <c r="K29" i="21"/>
  <c r="H29" i="21"/>
  <c r="K28" i="21"/>
  <c r="H28" i="21"/>
  <c r="F28" i="21"/>
  <c r="K27" i="21"/>
  <c r="H27" i="21"/>
  <c r="F27" i="21"/>
  <c r="K26" i="21"/>
  <c r="H26" i="21"/>
  <c r="F26" i="21"/>
  <c r="K25" i="21"/>
  <c r="H25" i="21"/>
  <c r="F25" i="21"/>
  <c r="K24" i="21"/>
  <c r="H24" i="21"/>
  <c r="F24" i="21"/>
  <c r="K23" i="21"/>
  <c r="H23" i="21"/>
  <c r="F23" i="21"/>
  <c r="K22" i="21"/>
  <c r="H22" i="21"/>
  <c r="F22" i="21"/>
  <c r="K21" i="21"/>
  <c r="H21" i="21"/>
  <c r="F21" i="21"/>
  <c r="B21" i="21"/>
  <c r="K20" i="21"/>
  <c r="H20" i="21"/>
  <c r="F20" i="21"/>
  <c r="M18" i="21"/>
  <c r="L18" i="21"/>
  <c r="K17" i="21"/>
  <c r="H17" i="21"/>
  <c r="F17" i="21"/>
  <c r="K16" i="21"/>
  <c r="H16" i="21"/>
  <c r="F16" i="21"/>
  <c r="K15" i="21"/>
  <c r="H15" i="21"/>
  <c r="F15" i="21"/>
  <c r="K14" i="21"/>
  <c r="H14" i="21"/>
  <c r="B14" i="21"/>
  <c r="K13" i="21"/>
  <c r="F13" i="21"/>
  <c r="M11" i="21"/>
  <c r="L11" i="21"/>
  <c r="K10" i="21"/>
  <c r="H10" i="21"/>
  <c r="K9" i="21"/>
  <c r="H9" i="21"/>
  <c r="K8" i="21"/>
  <c r="H8" i="21"/>
  <c r="F8" i="21"/>
  <c r="K7" i="21"/>
  <c r="H7" i="21"/>
  <c r="F7" i="21"/>
  <c r="K6" i="21"/>
  <c r="H6" i="21"/>
  <c r="F6" i="21"/>
  <c r="K5" i="21"/>
  <c r="H5" i="21"/>
  <c r="F5" i="21"/>
  <c r="B5" i="21"/>
  <c r="B6" i="21" s="1"/>
  <c r="B7" i="21" s="1"/>
  <c r="B8" i="21" s="1"/>
  <c r="K4" i="21"/>
  <c r="H4" i="21"/>
  <c r="M38" i="21" l="1"/>
  <c r="K35" i="21"/>
  <c r="K11" i="21"/>
  <c r="B11" i="21"/>
  <c r="K18" i="21"/>
  <c r="B15" i="21"/>
  <c r="B16" i="21" s="1"/>
  <c r="B17" i="21" s="1"/>
  <c r="B22" i="21"/>
  <c r="B23" i="21" s="1"/>
  <c r="B24" i="21" s="1"/>
  <c r="B25" i="21" s="1"/>
  <c r="B26" i="21" s="1"/>
  <c r="B27" i="21" s="1"/>
  <c r="B28" i="21" s="1"/>
  <c r="B29" i="21" s="1"/>
  <c r="L38" i="21"/>
  <c r="K38" i="21" l="1"/>
  <c r="K40" i="21" s="1"/>
  <c r="B18" i="21"/>
  <c r="B35" i="21"/>
  <c r="B38" i="21" l="1"/>
  <c r="K42" i="21" l="1"/>
  <c r="B21" i="1" l="1"/>
  <c r="T17" i="1"/>
  <c r="B22" i="1" l="1"/>
  <c r="B23" i="1" s="1"/>
  <c r="B24" i="1" l="1"/>
  <c r="K14" i="1"/>
  <c r="B40" i="1" l="1"/>
  <c r="BL17" i="1"/>
  <c r="K15" i="1" l="1"/>
  <c r="K16" i="1"/>
  <c r="I17" i="1"/>
  <c r="AN17" i="1" l="1"/>
  <c r="AI17" i="1"/>
  <c r="AG17" i="1"/>
  <c r="AA17" i="1"/>
  <c r="Z17" i="1"/>
  <c r="V17" i="1"/>
  <c r="Y17" i="1" s="1"/>
  <c r="AL17" i="1" l="1"/>
  <c r="W17" i="1"/>
  <c r="AB17" i="1"/>
  <c r="AD17" i="1" s="1"/>
  <c r="AC17" i="1" l="1"/>
  <c r="AM17" i="1" s="1"/>
  <c r="AY17" i="1" s="1"/>
  <c r="AE17" i="1"/>
  <c r="AO17" i="1"/>
  <c r="BD17" i="1" l="1"/>
  <c r="AS17" i="1"/>
  <c r="BN17" i="1" s="1"/>
  <c r="AV37" i="1" l="1"/>
  <c r="AV24" i="1"/>
  <c r="AV40" i="1" l="1"/>
  <c r="H28" i="19" l="1"/>
  <c r="D28" i="19"/>
  <c r="H27" i="19"/>
  <c r="D27" i="19"/>
  <c r="H26" i="19"/>
  <c r="D26" i="19"/>
  <c r="H25" i="19"/>
  <c r="D25" i="19"/>
  <c r="H24" i="19"/>
  <c r="D24" i="19"/>
  <c r="H23" i="19"/>
  <c r="D23" i="19"/>
  <c r="H22" i="19"/>
  <c r="D22" i="19"/>
  <c r="H21" i="19"/>
  <c r="D21" i="19"/>
  <c r="H20" i="19"/>
  <c r="D20" i="19"/>
  <c r="H19" i="19"/>
  <c r="D19" i="19"/>
  <c r="H18" i="19"/>
  <c r="D18" i="19"/>
  <c r="H17" i="19"/>
  <c r="D17" i="19"/>
  <c r="N15" i="19"/>
  <c r="L7" i="19"/>
  <c r="M7" i="19" s="1"/>
  <c r="L6" i="19"/>
  <c r="M6" i="19" s="1"/>
  <c r="L5" i="19"/>
  <c r="M5" i="19" s="1"/>
  <c r="K4" i="19"/>
  <c r="L4" i="19" s="1"/>
  <c r="O6" i="19" l="1"/>
  <c r="R6" i="19" s="1"/>
  <c r="S6" i="19" s="1"/>
  <c r="T6" i="19" s="1"/>
  <c r="O7" i="19"/>
  <c r="R7" i="19" s="1"/>
  <c r="S7" i="19" s="1"/>
  <c r="T7" i="19" s="1"/>
  <c r="O5" i="19"/>
  <c r="R5" i="19" s="1"/>
  <c r="S5" i="19" s="1"/>
  <c r="T5" i="19" s="1"/>
  <c r="M4" i="19"/>
  <c r="O4" i="19" s="1"/>
  <c r="T34" i="19" l="1"/>
  <c r="O8" i="19"/>
  <c r="O10" i="19" s="1"/>
  <c r="S62" i="19"/>
  <c r="T62" i="19" s="1"/>
  <c r="T35" i="19"/>
  <c r="R4" i="19"/>
  <c r="S4" i="19" s="1"/>
  <c r="BX37" i="1"/>
  <c r="T37" i="19" l="1"/>
  <c r="S8" i="19"/>
  <c r="S10" i="19" s="1"/>
  <c r="T4" i="19"/>
  <c r="T8" i="19" s="1"/>
  <c r="T10" i="19" s="1"/>
  <c r="CC34" i="1"/>
  <c r="BT34" i="1" l="1"/>
  <c r="AZ37" i="1" l="1"/>
  <c r="BE37" i="1"/>
  <c r="AJ37" i="1"/>
  <c r="AK37" i="1"/>
  <c r="AH37" i="1"/>
  <c r="AF37" i="1"/>
  <c r="U37" i="1"/>
  <c r="AN34" i="1"/>
  <c r="AI34" i="1"/>
  <c r="V34" i="1"/>
  <c r="AN131" i="1"/>
  <c r="AI131" i="1"/>
  <c r="AG131" i="1"/>
  <c r="AA131" i="1"/>
  <c r="T131" i="1"/>
  <c r="P131" i="1"/>
  <c r="W34" i="1" l="1"/>
  <c r="Y34" i="1"/>
  <c r="AL34" i="1"/>
  <c r="BV34" i="1"/>
  <c r="AL131" i="1"/>
  <c r="V131" i="1"/>
  <c r="W131" i="1" l="1"/>
  <c r="I131" i="1" l="1"/>
  <c r="K131" i="1" s="1"/>
  <c r="BT27" i="1"/>
  <c r="BT28" i="1"/>
  <c r="BT29" i="1"/>
  <c r="BT30" i="1"/>
  <c r="BT31" i="1"/>
  <c r="BT32" i="1"/>
  <c r="BT33" i="1"/>
  <c r="BT26" i="1"/>
  <c r="BT137" i="1"/>
  <c r="BT21" i="1"/>
  <c r="BT22" i="1"/>
  <c r="BT23" i="1"/>
  <c r="BT14" i="1"/>
  <c r="BT15" i="1"/>
  <c r="BT16" i="1"/>
  <c r="BT13" i="1"/>
  <c r="BT18" i="1" l="1"/>
  <c r="BT37" i="1"/>
  <c r="Y131" i="1"/>
  <c r="K34" i="1"/>
  <c r="BT24" i="1"/>
  <c r="X37" i="1"/>
  <c r="AN33" i="1"/>
  <c r="AI33" i="1"/>
  <c r="BV33" i="1"/>
  <c r="T33" i="1"/>
  <c r="V33" i="1" l="1"/>
  <c r="CC33" i="1"/>
  <c r="BT40" i="1"/>
  <c r="AL33" i="1"/>
  <c r="K33" i="1"/>
  <c r="W33" i="1" l="1"/>
  <c r="Y33" i="1"/>
  <c r="CD34" i="1" l="1"/>
  <c r="BX24" i="1" l="1"/>
  <c r="BX40" i="1" l="1"/>
  <c r="AX14" i="1" l="1"/>
  <c r="AX15" i="1"/>
  <c r="AY14" i="1"/>
  <c r="AY15" i="1"/>
  <c r="AW14" i="1"/>
  <c r="AW15" i="1"/>
  <c r="BD14" i="1"/>
  <c r="BD15" i="1"/>
  <c r="BC14" i="1"/>
  <c r="BC15" i="1"/>
  <c r="BB14" i="1"/>
  <c r="BB15" i="1"/>
  <c r="BF14" i="1" l="1"/>
  <c r="BA15" i="1"/>
  <c r="BA14" i="1"/>
  <c r="BF15" i="1"/>
  <c r="AA21" i="1"/>
  <c r="CB14" i="1" l="1"/>
  <c r="CB15" i="1"/>
  <c r="BH14" i="1"/>
  <c r="BH15" i="1"/>
  <c r="AT40" i="1" l="1"/>
  <c r="AA13" i="1"/>
  <c r="D1" i="1" l="1"/>
  <c r="AN14" i="1"/>
  <c r="AN15" i="1"/>
  <c r="AN16" i="1"/>
  <c r="AJ24" i="1" l="1"/>
  <c r="AK24" i="1"/>
  <c r="AZ24" i="1"/>
  <c r="BE24" i="1"/>
  <c r="X24" i="1"/>
  <c r="AN27" i="1"/>
  <c r="AN28" i="1"/>
  <c r="AN29" i="1"/>
  <c r="AN30" i="1"/>
  <c r="AN31" i="1"/>
  <c r="AN32" i="1"/>
  <c r="AI27" i="1"/>
  <c r="AI28" i="1"/>
  <c r="AI29" i="1"/>
  <c r="AI30" i="1"/>
  <c r="AI31" i="1"/>
  <c r="AI32" i="1"/>
  <c r="T29" i="1"/>
  <c r="T30" i="1"/>
  <c r="T31" i="1"/>
  <c r="T32" i="1"/>
  <c r="T27" i="1"/>
  <c r="T28" i="1"/>
  <c r="P27" i="1"/>
  <c r="P28" i="1"/>
  <c r="P29" i="1"/>
  <c r="P30" i="1"/>
  <c r="P31" i="1"/>
  <c r="P32" i="1"/>
  <c r="P137" i="1"/>
  <c r="P21" i="1"/>
  <c r="P22" i="1"/>
  <c r="P23" i="1"/>
  <c r="CC30" i="1" l="1"/>
  <c r="CC31" i="1"/>
  <c r="CC27" i="1"/>
  <c r="CC32" i="1"/>
  <c r="CC29" i="1"/>
  <c r="CC28" i="1"/>
  <c r="AL32" i="1"/>
  <c r="BV32" i="1"/>
  <c r="AL31" i="1"/>
  <c r="BV31" i="1"/>
  <c r="AL30" i="1"/>
  <c r="BV30" i="1"/>
  <c r="AL28" i="1"/>
  <c r="BV28" i="1"/>
  <c r="AL27" i="1"/>
  <c r="BV27" i="1"/>
  <c r="AL29" i="1"/>
  <c r="BV29" i="1"/>
  <c r="V28" i="1"/>
  <c r="V27" i="1"/>
  <c r="V32" i="1"/>
  <c r="V31" i="1"/>
  <c r="V30" i="1"/>
  <c r="V29" i="1"/>
  <c r="Y29" i="1" l="1"/>
  <c r="Y27" i="1"/>
  <c r="Y28" i="1"/>
  <c r="Y31" i="1"/>
  <c r="Y30" i="1"/>
  <c r="Y32" i="1"/>
  <c r="W29" i="1"/>
  <c r="W30" i="1"/>
  <c r="W31" i="1"/>
  <c r="W32" i="1"/>
  <c r="W27" i="1"/>
  <c r="W28" i="1"/>
  <c r="AA26" i="1" l="1"/>
  <c r="AA37" i="1" s="1"/>
  <c r="AA137" i="1"/>
  <c r="AA22" i="1"/>
  <c r="AA23" i="1"/>
  <c r="AA14" i="1"/>
  <c r="AA15" i="1"/>
  <c r="AA16" i="1"/>
  <c r="Z15" i="1"/>
  <c r="U24" i="1"/>
  <c r="AZ40" i="1"/>
  <c r="BE40" i="1"/>
  <c r="AJ40" i="1"/>
  <c r="AK40" i="1"/>
  <c r="AI26" i="1"/>
  <c r="AI37" i="1" s="1"/>
  <c r="AI137" i="1"/>
  <c r="AI21" i="1"/>
  <c r="AI22" i="1"/>
  <c r="AI23" i="1"/>
  <c r="AI14" i="1"/>
  <c r="AI15" i="1"/>
  <c r="AI16" i="1"/>
  <c r="AI13" i="1"/>
  <c r="AG26" i="1"/>
  <c r="AG37" i="1" s="1"/>
  <c r="AG137" i="1"/>
  <c r="AG21" i="1"/>
  <c r="AG22" i="1"/>
  <c r="AG23" i="1"/>
  <c r="AG14" i="1"/>
  <c r="AG15" i="1"/>
  <c r="AG16" i="1"/>
  <c r="AG13" i="1"/>
  <c r="AH24" i="1"/>
  <c r="AF24" i="1"/>
  <c r="C31" i="15"/>
  <c r="C30" i="15"/>
  <c r="P13" i="1"/>
  <c r="AI18" i="1" l="1"/>
  <c r="AG18" i="1"/>
  <c r="AA18" i="1"/>
  <c r="BV26" i="1"/>
  <c r="U40" i="1"/>
  <c r="AA24" i="1"/>
  <c r="AF40" i="1"/>
  <c r="AH40" i="1"/>
  <c r="AL13" i="1"/>
  <c r="BV13" i="1"/>
  <c r="AL14" i="1"/>
  <c r="BV14" i="1"/>
  <c r="AL23" i="1"/>
  <c r="BV23" i="1"/>
  <c r="AL21" i="1"/>
  <c r="BV21" i="1"/>
  <c r="AL16" i="1"/>
  <c r="BV16" i="1"/>
  <c r="AL15" i="1"/>
  <c r="BV15" i="1"/>
  <c r="AL22" i="1"/>
  <c r="BV22" i="1"/>
  <c r="AL137" i="1"/>
  <c r="BV137" i="1"/>
  <c r="AL26" i="1"/>
  <c r="AL37" i="1" s="1"/>
  <c r="BV37" i="1" l="1"/>
  <c r="BV18" i="1"/>
  <c r="AL18" i="1"/>
  <c r="AA40" i="1"/>
  <c r="BV24" i="1"/>
  <c r="AN26" i="1"/>
  <c r="AN37" i="1" s="1"/>
  <c r="AN137" i="1"/>
  <c r="AN21" i="1"/>
  <c r="AN22" i="1"/>
  <c r="AN23" i="1"/>
  <c r="AN13" i="1"/>
  <c r="AN18" i="1" s="1"/>
  <c r="BV40" i="1" l="1"/>
  <c r="AN24" i="1"/>
  <c r="K59" i="1"/>
  <c r="K32" i="1"/>
  <c r="K30" i="1"/>
  <c r="K27" i="1"/>
  <c r="K29" i="1"/>
  <c r="K31" i="1"/>
  <c r="K28" i="1"/>
  <c r="T26" i="1"/>
  <c r="AI24" i="1"/>
  <c r="BC8" i="1"/>
  <c r="Q40" i="1"/>
  <c r="P14" i="1"/>
  <c r="BV41" i="1" l="1"/>
  <c r="BC17" i="1"/>
  <c r="AX17" i="1"/>
  <c r="BB17" i="1"/>
  <c r="AW17" i="1"/>
  <c r="T37" i="1"/>
  <c r="AN40" i="1"/>
  <c r="AL24" i="1"/>
  <c r="AI40" i="1"/>
  <c r="CC13" i="1" l="1"/>
  <c r="BA17" i="1"/>
  <c r="BM17" i="1" s="1"/>
  <c r="BF17" i="1"/>
  <c r="CC26" i="1"/>
  <c r="CC37" i="1" s="1"/>
  <c r="AL40" i="1"/>
  <c r="DE10" i="1"/>
  <c r="DE11" i="1" s="1"/>
  <c r="C16" i="15"/>
  <c r="C10" i="15"/>
  <c r="C4" i="15"/>
  <c r="Z20" i="1" l="1"/>
  <c r="Z28" i="1"/>
  <c r="AB28" i="1" s="1"/>
  <c r="AC28" i="1" s="1"/>
  <c r="AM28" i="1" s="1"/>
  <c r="AR28" i="1" s="1"/>
  <c r="BI28" i="1" s="1"/>
  <c r="Z32" i="1"/>
  <c r="AB32" i="1" s="1"/>
  <c r="AC32" i="1" s="1"/>
  <c r="AM32" i="1" s="1"/>
  <c r="AR32" i="1" s="1"/>
  <c r="BI32" i="1" s="1"/>
  <c r="Z36" i="1"/>
  <c r="AB36" i="1" s="1"/>
  <c r="AC36" i="1" s="1"/>
  <c r="AM36" i="1" s="1"/>
  <c r="AR36" i="1" s="1"/>
  <c r="BI36" i="1" s="1"/>
  <c r="Z30" i="1"/>
  <c r="AB30" i="1" s="1"/>
  <c r="AC30" i="1" s="1"/>
  <c r="AM30" i="1" s="1"/>
  <c r="AR30" i="1" s="1"/>
  <c r="BI30" i="1" s="1"/>
  <c r="Z34" i="1"/>
  <c r="Z27" i="1"/>
  <c r="AB27" i="1" s="1"/>
  <c r="AC27" i="1" s="1"/>
  <c r="AM27" i="1" s="1"/>
  <c r="AR27" i="1" s="1"/>
  <c r="BI27" i="1" s="1"/>
  <c r="Z31" i="1"/>
  <c r="AB31" i="1" s="1"/>
  <c r="AC31" i="1" s="1"/>
  <c r="AM31" i="1" s="1"/>
  <c r="AR31" i="1" s="1"/>
  <c r="BI31" i="1" s="1"/>
  <c r="Z29" i="1"/>
  <c r="AB29" i="1" s="1"/>
  <c r="AC29" i="1" s="1"/>
  <c r="AM29" i="1" s="1"/>
  <c r="AR29" i="1" s="1"/>
  <c r="BI29" i="1" s="1"/>
  <c r="Z33" i="1"/>
  <c r="AB33" i="1" s="1"/>
  <c r="AC33" i="1" s="1"/>
  <c r="AM33" i="1" s="1"/>
  <c r="AR33" i="1" s="1"/>
  <c r="BI33" i="1" s="1"/>
  <c r="Z35" i="1"/>
  <c r="BR17" i="1"/>
  <c r="BH17" i="1"/>
  <c r="Z131" i="1"/>
  <c r="Z137" i="1"/>
  <c r="Z22" i="1"/>
  <c r="Z16" i="1"/>
  <c r="Z21" i="1"/>
  <c r="Z23" i="1"/>
  <c r="Z26" i="1"/>
  <c r="Z13" i="1"/>
  <c r="P26" i="1"/>
  <c r="P15" i="1"/>
  <c r="P16" i="1"/>
  <c r="AE36" i="1" l="1"/>
  <c r="BW36" i="1" s="1"/>
  <c r="BD31" i="1"/>
  <c r="AY31" i="1"/>
  <c r="AS31" i="1"/>
  <c r="BB31" i="1"/>
  <c r="AX31" i="1"/>
  <c r="AW31" i="1"/>
  <c r="BC31" i="1"/>
  <c r="BD36" i="1"/>
  <c r="AY36" i="1"/>
  <c r="AS36" i="1"/>
  <c r="BB36" i="1"/>
  <c r="AW36" i="1"/>
  <c r="BC36" i="1"/>
  <c r="AX36" i="1"/>
  <c r="AB35" i="1"/>
  <c r="AC35" i="1" s="1"/>
  <c r="AM35" i="1" s="1"/>
  <c r="AR35" i="1" s="1"/>
  <c r="BI35" i="1" s="1"/>
  <c r="AY27" i="1"/>
  <c r="BD27" i="1"/>
  <c r="AS27" i="1"/>
  <c r="BB27" i="1"/>
  <c r="AX27" i="1"/>
  <c r="AW27" i="1"/>
  <c r="AS32" i="1"/>
  <c r="AY32" i="1"/>
  <c r="BD32" i="1"/>
  <c r="AW32" i="1"/>
  <c r="BC32" i="1"/>
  <c r="BB32" i="1"/>
  <c r="AX32" i="1"/>
  <c r="AS33" i="1"/>
  <c r="BD33" i="1"/>
  <c r="AY33" i="1"/>
  <c r="BB33" i="1"/>
  <c r="AW33" i="1"/>
  <c r="AX33" i="1"/>
  <c r="BC33" i="1"/>
  <c r="AB34" i="1"/>
  <c r="AC34" i="1" s="1"/>
  <c r="AM34" i="1" s="1"/>
  <c r="AR34" i="1" s="1"/>
  <c r="BI34" i="1" s="1"/>
  <c r="BD28" i="1"/>
  <c r="AY28" i="1"/>
  <c r="AS28" i="1"/>
  <c r="AW28" i="1"/>
  <c r="BB28" i="1"/>
  <c r="BF28" i="1" s="1"/>
  <c r="AX28" i="1"/>
  <c r="BD29" i="1"/>
  <c r="AS29" i="1"/>
  <c r="AY29" i="1"/>
  <c r="BB29" i="1"/>
  <c r="AW29" i="1"/>
  <c r="BC29" i="1"/>
  <c r="AX29" i="1"/>
  <c r="AS30" i="1"/>
  <c r="AY30" i="1"/>
  <c r="BD30" i="1"/>
  <c r="AX30" i="1"/>
  <c r="BB30" i="1"/>
  <c r="BC30" i="1"/>
  <c r="AW30" i="1"/>
  <c r="AB20" i="1"/>
  <c r="AC20" i="1" s="1"/>
  <c r="AM20" i="1" s="1"/>
  <c r="AR20" i="1" s="1"/>
  <c r="BI20" i="1" s="1"/>
  <c r="AD36" i="1"/>
  <c r="AE33" i="1"/>
  <c r="AD33" i="1"/>
  <c r="Z18" i="1"/>
  <c r="AB131" i="1"/>
  <c r="AC131" i="1" s="1"/>
  <c r="AM131" i="1" s="1"/>
  <c r="Z37" i="1"/>
  <c r="Z24" i="1"/>
  <c r="Z25" i="1" s="1"/>
  <c r="AO33" i="1"/>
  <c r="AO36" i="1"/>
  <c r="AO20" i="1"/>
  <c r="AO131" i="1"/>
  <c r="BN36" i="1" l="1"/>
  <c r="BN33" i="1"/>
  <c r="BF36" i="1"/>
  <c r="BY20" i="1"/>
  <c r="BF30" i="1"/>
  <c r="BF29" i="1"/>
  <c r="AE20" i="1"/>
  <c r="BW20" i="1" s="1"/>
  <c r="BF33" i="1"/>
  <c r="AD20" i="1"/>
  <c r="AD34" i="1"/>
  <c r="AE34" i="1"/>
  <c r="BW34" i="1" s="1"/>
  <c r="AE35" i="1"/>
  <c r="BF31" i="1"/>
  <c r="AS35" i="1"/>
  <c r="BD35" i="1"/>
  <c r="AY35" i="1"/>
  <c r="BC35" i="1"/>
  <c r="AX35" i="1"/>
  <c r="BB35" i="1"/>
  <c r="AW35" i="1"/>
  <c r="AS34" i="1"/>
  <c r="BD34" i="1"/>
  <c r="AY34" i="1"/>
  <c r="BB34" i="1"/>
  <c r="BC34" i="1"/>
  <c r="AX34" i="1"/>
  <c r="AW34" i="1"/>
  <c r="AS20" i="1"/>
  <c r="BN20" i="1" s="1"/>
  <c r="BO20" i="1" s="1"/>
  <c r="AY20" i="1"/>
  <c r="BD20" i="1"/>
  <c r="AW20" i="1"/>
  <c r="BB20" i="1"/>
  <c r="AX20" i="1"/>
  <c r="BC20" i="1"/>
  <c r="BF32" i="1"/>
  <c r="BF27" i="1"/>
  <c r="AD35" i="1"/>
  <c r="BW33" i="1"/>
  <c r="BY36" i="1"/>
  <c r="CA36" i="1" s="1"/>
  <c r="CD33" i="1"/>
  <c r="BY33" i="1"/>
  <c r="AE28" i="1"/>
  <c r="AD28" i="1"/>
  <c r="AE31" i="1"/>
  <c r="AD31" i="1"/>
  <c r="AE29" i="1"/>
  <c r="AD29" i="1"/>
  <c r="AE27" i="1"/>
  <c r="AD27" i="1"/>
  <c r="AE30" i="1"/>
  <c r="AD30" i="1"/>
  <c r="AE32" i="1"/>
  <c r="AD32" i="1"/>
  <c r="BY131" i="1"/>
  <c r="CA131" i="1" s="1"/>
  <c r="AS131" i="1"/>
  <c r="BD131" i="1"/>
  <c r="AY131" i="1"/>
  <c r="BB131" i="1"/>
  <c r="BC131" i="1"/>
  <c r="AW131" i="1"/>
  <c r="AX131" i="1"/>
  <c r="AE131" i="1"/>
  <c r="AD131" i="1"/>
  <c r="Z40" i="1"/>
  <c r="AO9" i="1"/>
  <c r="AO32" i="1"/>
  <c r="AO31" i="1"/>
  <c r="BN35" i="1" l="1"/>
  <c r="BN31" i="1"/>
  <c r="BN32" i="1"/>
  <c r="CA20" i="1"/>
  <c r="BA35" i="1"/>
  <c r="BM35" i="1" s="1"/>
  <c r="BA20" i="1"/>
  <c r="BS20" i="1" s="1"/>
  <c r="BA34" i="1"/>
  <c r="BS34" i="1" s="1"/>
  <c r="CA33" i="1"/>
  <c r="BF20" i="1"/>
  <c r="BW35" i="1"/>
  <c r="CA35" i="1" s="1"/>
  <c r="BF34" i="1"/>
  <c r="BF35" i="1"/>
  <c r="BW32" i="1"/>
  <c r="BW27" i="1"/>
  <c r="BW29" i="1"/>
  <c r="BW28" i="1"/>
  <c r="BW30" i="1"/>
  <c r="BW31" i="1"/>
  <c r="BA36" i="1"/>
  <c r="CD32" i="1"/>
  <c r="CD31" i="1"/>
  <c r="CD30" i="1"/>
  <c r="CD29" i="1"/>
  <c r="CD27" i="1"/>
  <c r="CD28" i="1"/>
  <c r="BA33" i="1"/>
  <c r="BA131" i="1"/>
  <c r="BF131" i="1"/>
  <c r="BY31" i="1"/>
  <c r="BY32" i="1"/>
  <c r="AO10" i="1"/>
  <c r="AO8" i="1"/>
  <c r="BA28" i="1"/>
  <c r="BM28" i="1" s="1"/>
  <c r="BA27" i="1"/>
  <c r="BM27" i="1" s="1"/>
  <c r="AG24" i="1"/>
  <c r="BM20" i="1" l="1"/>
  <c r="CB20" i="1"/>
  <c r="CB35" i="1"/>
  <c r="BS35" i="1"/>
  <c r="BH20" i="1"/>
  <c r="BM34" i="1"/>
  <c r="CB34" i="1"/>
  <c r="BH34" i="1"/>
  <c r="BH35" i="1"/>
  <c r="CA31" i="1"/>
  <c r="CA32" i="1"/>
  <c r="BH36" i="1"/>
  <c r="BM36" i="1"/>
  <c r="BH33" i="1"/>
  <c r="BM33" i="1"/>
  <c r="BH28" i="1"/>
  <c r="BS27" i="1"/>
  <c r="BH27" i="1"/>
  <c r="BS28" i="1"/>
  <c r="BS33" i="1"/>
  <c r="BS36" i="1"/>
  <c r="CB36" i="1"/>
  <c r="BA31" i="1"/>
  <c r="BA32" i="1"/>
  <c r="BA30" i="1"/>
  <c r="BA29" i="1"/>
  <c r="CB33" i="1"/>
  <c r="CB27" i="1"/>
  <c r="CB28" i="1"/>
  <c r="AG40" i="1"/>
  <c r="BH30" i="1" l="1"/>
  <c r="BM30" i="1"/>
  <c r="BH32" i="1"/>
  <c r="BM32" i="1"/>
  <c r="BH31" i="1"/>
  <c r="BM31" i="1"/>
  <c r="BH29" i="1"/>
  <c r="BM29" i="1"/>
  <c r="BS31" i="1"/>
  <c r="BS29" i="1"/>
  <c r="BS30" i="1"/>
  <c r="BS32" i="1"/>
  <c r="CB31" i="1"/>
  <c r="CB32" i="1"/>
  <c r="CB30" i="1"/>
  <c r="CB29" i="1"/>
  <c r="K23" i="1"/>
  <c r="K22" i="1"/>
  <c r="K21" i="1"/>
  <c r="K137" i="1"/>
  <c r="K26" i="1"/>
  <c r="X40" i="1"/>
  <c r="T137" i="1" l="1"/>
  <c r="T21" i="1"/>
  <c r="T22" i="1"/>
  <c r="T23" i="1"/>
  <c r="CC23" i="1" l="1"/>
  <c r="CC21" i="1"/>
  <c r="CC22" i="1"/>
  <c r="CC137" i="1"/>
  <c r="T24" i="1"/>
  <c r="V26" i="1"/>
  <c r="V37" i="1" s="1"/>
  <c r="V23" i="1"/>
  <c r="V21" i="1"/>
  <c r="V13" i="1"/>
  <c r="V22" i="1"/>
  <c r="V137" i="1"/>
  <c r="CC15" i="1" l="1"/>
  <c r="T18" i="1"/>
  <c r="W13" i="1"/>
  <c r="CC16" i="1"/>
  <c r="CC24" i="1"/>
  <c r="Y14" i="1"/>
  <c r="Y137" i="1"/>
  <c r="Y22" i="1"/>
  <c r="Y13" i="1"/>
  <c r="Y21" i="1"/>
  <c r="Y23" i="1"/>
  <c r="Y26" i="1"/>
  <c r="V24" i="1"/>
  <c r="W26" i="1"/>
  <c r="W137" i="1"/>
  <c r="W23" i="1"/>
  <c r="W22" i="1"/>
  <c r="W21" i="1"/>
  <c r="V16" i="1"/>
  <c r="V15" i="1"/>
  <c r="W37" i="1" l="1"/>
  <c r="Y37" i="1"/>
  <c r="Y38" i="1" s="1"/>
  <c r="AB21" i="1"/>
  <c r="AE21" i="1" s="1"/>
  <c r="W24" i="1"/>
  <c r="V18" i="1"/>
  <c r="AB13" i="1"/>
  <c r="CC14" i="1"/>
  <c r="CC18" i="1" s="1"/>
  <c r="Y15" i="1"/>
  <c r="Y16" i="1"/>
  <c r="AB23" i="1"/>
  <c r="AE23" i="1" s="1"/>
  <c r="BW23" i="1" s="1"/>
  <c r="AB22" i="1"/>
  <c r="AE22" i="1" s="1"/>
  <c r="AB137" i="1"/>
  <c r="AD137" i="1" s="1"/>
  <c r="AB26" i="1"/>
  <c r="AB37" i="1" s="1"/>
  <c r="AB38" i="1" s="1"/>
  <c r="W14" i="1"/>
  <c r="W16" i="1"/>
  <c r="W15" i="1"/>
  <c r="W18" i="1" l="1"/>
  <c r="W40" i="1" s="1"/>
  <c r="AC21" i="1"/>
  <c r="AM21" i="1" s="1"/>
  <c r="AD21" i="1"/>
  <c r="AD22" i="1"/>
  <c r="AD23" i="1"/>
  <c r="AD26" i="1"/>
  <c r="Y18" i="1"/>
  <c r="Y19" i="1" s="1"/>
  <c r="AD13" i="1"/>
  <c r="CC40" i="1"/>
  <c r="CE40" i="1" s="1"/>
  <c r="BW21" i="1"/>
  <c r="BW22" i="1"/>
  <c r="AE137" i="1"/>
  <c r="AE13" i="1"/>
  <c r="AB16" i="1"/>
  <c r="AE16" i="1" s="1"/>
  <c r="AB14" i="1"/>
  <c r="AB15" i="1"/>
  <c r="AE15" i="1" s="1"/>
  <c r="BW15" i="1" s="1"/>
  <c r="AE26" i="1"/>
  <c r="Y24" i="1"/>
  <c r="Y25" i="1" s="1"/>
  <c r="AY21" i="1" l="1"/>
  <c r="AR21" i="1"/>
  <c r="BI21" i="1" s="1"/>
  <c r="AD37" i="1"/>
  <c r="BW16" i="1"/>
  <c r="AE37" i="1"/>
  <c r="AS21" i="1"/>
  <c r="AW21" i="1"/>
  <c r="BC21" i="1"/>
  <c r="BB21" i="1"/>
  <c r="AX21" i="1"/>
  <c r="BD21" i="1"/>
  <c r="AE14" i="1"/>
  <c r="AD14" i="1"/>
  <c r="BM14" i="1" s="1"/>
  <c r="AD24" i="1"/>
  <c r="AD15" i="1"/>
  <c r="BM15" i="1" s="1"/>
  <c r="AD16" i="1"/>
  <c r="AB18" i="1"/>
  <c r="AB19" i="1" s="1"/>
  <c r="BW13" i="1"/>
  <c r="BW137" i="1"/>
  <c r="BW26" i="1"/>
  <c r="BS15" i="1" l="1"/>
  <c r="BR15" i="1" s="1"/>
  <c r="BW14" i="1"/>
  <c r="CD21" i="1"/>
  <c r="BA21" i="1"/>
  <c r="BM21" i="1" s="1"/>
  <c r="BF21" i="1"/>
  <c r="BW24" i="1"/>
  <c r="AE18" i="1"/>
  <c r="AD18" i="1"/>
  <c r="AD40" i="1" s="1"/>
  <c r="BW37" i="1"/>
  <c r="BS14" i="1"/>
  <c r="BR14" i="1" s="1"/>
  <c r="D8" i="15"/>
  <c r="D9" i="15"/>
  <c r="BW18" i="1" l="1"/>
  <c r="BS21" i="1"/>
  <c r="CB21" i="1"/>
  <c r="BH21" i="1"/>
  <c r="BW40" i="1"/>
  <c r="AC22" i="1"/>
  <c r="AM22" i="1" s="1"/>
  <c r="AR22" i="1" s="1"/>
  <c r="AC15" i="1"/>
  <c r="AM15" i="1" s="1"/>
  <c r="AR15" i="1" s="1"/>
  <c r="BI15" i="1" s="1"/>
  <c r="AC23" i="1"/>
  <c r="AM23" i="1" s="1"/>
  <c r="AR23" i="1" s="1"/>
  <c r="BI23" i="1" s="1"/>
  <c r="AC14" i="1"/>
  <c r="AM14" i="1" s="1"/>
  <c r="AR14" i="1" s="1"/>
  <c r="BI14" i="1" s="1"/>
  <c r="AC16" i="1"/>
  <c r="AM16" i="1" s="1"/>
  <c r="AR16" i="1" s="1"/>
  <c r="BI16" i="1" s="1"/>
  <c r="AR24" i="1" l="1"/>
  <c r="BI22" i="1"/>
  <c r="BI24" i="1" s="1"/>
  <c r="CD22" i="1"/>
  <c r="CD14" i="1"/>
  <c r="CD15" i="1"/>
  <c r="CD16" i="1"/>
  <c r="CD23" i="1"/>
  <c r="AW22" i="1"/>
  <c r="AS14" i="1"/>
  <c r="AS16" i="1"/>
  <c r="AS23" i="1"/>
  <c r="AS22" i="1"/>
  <c r="AS15" i="1"/>
  <c r="AX16" i="1"/>
  <c r="AY16" i="1"/>
  <c r="AW16" i="1"/>
  <c r="BD16" i="1"/>
  <c r="BC16" i="1"/>
  <c r="BB16" i="1"/>
  <c r="AY23" i="1"/>
  <c r="AX23" i="1"/>
  <c r="AW23" i="1"/>
  <c r="BD23" i="1"/>
  <c r="BC23" i="1"/>
  <c r="BB23" i="1"/>
  <c r="AY22" i="1"/>
  <c r="AX22" i="1"/>
  <c r="BD22" i="1"/>
  <c r="BC22" i="1"/>
  <c r="BB22" i="1"/>
  <c r="BA22" i="1" l="1"/>
  <c r="BM22" i="1" s="1"/>
  <c r="BA23" i="1"/>
  <c r="BM23" i="1" s="1"/>
  <c r="BA16" i="1"/>
  <c r="BM16" i="1" s="1"/>
  <c r="BF22" i="1"/>
  <c r="BF16" i="1"/>
  <c r="BF23" i="1"/>
  <c r="V40" i="1"/>
  <c r="AC13" i="1"/>
  <c r="AC18" i="1" s="1"/>
  <c r="Y40" i="1"/>
  <c r="C15" i="15"/>
  <c r="AO15" i="1"/>
  <c r="AO16" i="1"/>
  <c r="AO22" i="1"/>
  <c r="AO27" i="1"/>
  <c r="AO28" i="1"/>
  <c r="AO23" i="1"/>
  <c r="AO29" i="1"/>
  <c r="AO30" i="1"/>
  <c r="AO14" i="1"/>
  <c r="AO21" i="1"/>
  <c r="BN21" i="1" l="1"/>
  <c r="BO21" i="1" s="1"/>
  <c r="BN30" i="1"/>
  <c r="BN29" i="1"/>
  <c r="BN23" i="1"/>
  <c r="BO23" i="1" s="1"/>
  <c r="BN28" i="1"/>
  <c r="BN27" i="1"/>
  <c r="BN22" i="1"/>
  <c r="BO22" i="1" s="1"/>
  <c r="BN16" i="1"/>
  <c r="BM24" i="1"/>
  <c r="BS16" i="1"/>
  <c r="BR16" i="1" s="1"/>
  <c r="BS23" i="1"/>
  <c r="BS22" i="1"/>
  <c r="BN14" i="1"/>
  <c r="BN15" i="1"/>
  <c r="AM13" i="1"/>
  <c r="AR13" i="1" s="1"/>
  <c r="BY22" i="1"/>
  <c r="CA22" i="1" s="1"/>
  <c r="BY14" i="1"/>
  <c r="CA14" i="1" s="1"/>
  <c r="BY21" i="1"/>
  <c r="CA21" i="1" s="1"/>
  <c r="BY28" i="1"/>
  <c r="CA28" i="1" s="1"/>
  <c r="BY16" i="1"/>
  <c r="CA16" i="1" s="1"/>
  <c r="BY15" i="1"/>
  <c r="CA15" i="1" s="1"/>
  <c r="BY29" i="1"/>
  <c r="CA29" i="1" s="1"/>
  <c r="BY27" i="1"/>
  <c r="CA27" i="1" s="1"/>
  <c r="BY23" i="1"/>
  <c r="CA23" i="1" s="1"/>
  <c r="BY30" i="1"/>
  <c r="CA30" i="1" s="1"/>
  <c r="CB16" i="1"/>
  <c r="BH22" i="1"/>
  <c r="BH16" i="1"/>
  <c r="BH23" i="1"/>
  <c r="CB22" i="1"/>
  <c r="CB23" i="1"/>
  <c r="AO13" i="1"/>
  <c r="BN24" i="1" l="1"/>
  <c r="AR18" i="1"/>
  <c r="BI13" i="1"/>
  <c r="BI18" i="1" s="1"/>
  <c r="CD13" i="1"/>
  <c r="CD18" i="1" s="1"/>
  <c r="AY13" i="1"/>
  <c r="AY18" i="1" s="1"/>
  <c r="AX13" i="1"/>
  <c r="AX18" i="1" s="1"/>
  <c r="AW13" i="1"/>
  <c r="BD13" i="1"/>
  <c r="BD18" i="1" s="1"/>
  <c r="BC13" i="1"/>
  <c r="BC18" i="1" s="1"/>
  <c r="BB13" i="1"/>
  <c r="AM18" i="1"/>
  <c r="AO18" i="1"/>
  <c r="AS13" i="1"/>
  <c r="AS18" i="1" s="1"/>
  <c r="BY13" i="1"/>
  <c r="CA13" i="1" s="1"/>
  <c r="BN13" i="1" l="1"/>
  <c r="BN18" i="1" s="1"/>
  <c r="BY18" i="1"/>
  <c r="BF13" i="1"/>
  <c r="BF18" i="1" s="1"/>
  <c r="BB18" i="1"/>
  <c r="BA13" i="1"/>
  <c r="BM13" i="1" s="1"/>
  <c r="BM18" i="1" s="1"/>
  <c r="AW18" i="1"/>
  <c r="CA18" i="1" l="1"/>
  <c r="CB13" i="1"/>
  <c r="CB18" i="1" s="1"/>
  <c r="BH13" i="1"/>
  <c r="BH18" i="1" s="1"/>
  <c r="BS13" i="1"/>
  <c r="BS18" i="1" s="1"/>
  <c r="BR18" i="1" s="1"/>
  <c r="BA18" i="1"/>
  <c r="W19" i="1" s="1"/>
  <c r="AE24" i="1"/>
  <c r="AE40" i="1" s="1"/>
  <c r="BM53" i="1" s="1"/>
  <c r="AB24" i="1"/>
  <c r="AB25" i="1" s="1"/>
  <c r="AC26" i="1"/>
  <c r="AC37" i="1" s="1"/>
  <c r="AC137" i="1"/>
  <c r="AM137" i="1" s="1"/>
  <c r="BM51" i="1" l="1"/>
  <c r="BM48" i="1"/>
  <c r="CD137" i="1"/>
  <c r="AB40" i="1"/>
  <c r="AS137" i="1"/>
  <c r="AM26" i="1"/>
  <c r="AR26" i="1" s="1"/>
  <c r="AY137" i="1"/>
  <c r="AX137" i="1"/>
  <c r="AW137" i="1"/>
  <c r="BD137" i="1"/>
  <c r="BC137" i="1"/>
  <c r="BB137" i="1"/>
  <c r="BL65" i="1"/>
  <c r="AC24" i="1"/>
  <c r="AO137" i="1"/>
  <c r="AO26" i="1"/>
  <c r="AR37" i="1" l="1"/>
  <c r="AR40" i="1" s="1"/>
  <c r="BI26" i="1"/>
  <c r="BI37" i="1" s="1"/>
  <c r="BI40" i="1" s="1"/>
  <c r="BN137" i="1"/>
  <c r="AS24" i="1"/>
  <c r="CD26" i="1"/>
  <c r="CD37" i="1" s="1"/>
  <c r="CD24" i="1"/>
  <c r="BM78" i="1"/>
  <c r="BN74" i="1"/>
  <c r="BA137" i="1"/>
  <c r="AX26" i="1"/>
  <c r="AX37" i="1" s="1"/>
  <c r="BC26" i="1"/>
  <c r="BC37" i="1" s="1"/>
  <c r="AY26" i="1"/>
  <c r="AY37" i="1" s="1"/>
  <c r="AW26" i="1"/>
  <c r="AW37" i="1" s="1"/>
  <c r="BD26" i="1"/>
  <c r="BD37" i="1" s="1"/>
  <c r="BB26" i="1"/>
  <c r="BB37" i="1" s="1"/>
  <c r="AM37" i="1"/>
  <c r="AS26" i="1"/>
  <c r="BY26" i="1"/>
  <c r="CA26" i="1" s="1"/>
  <c r="BY137" i="1"/>
  <c r="CA137" i="1" s="1"/>
  <c r="BF137" i="1"/>
  <c r="BB24" i="1"/>
  <c r="BC24" i="1"/>
  <c r="AW24" i="1"/>
  <c r="AX24" i="1"/>
  <c r="AM24" i="1"/>
  <c r="AC40" i="1"/>
  <c r="AO24" i="1"/>
  <c r="AY24" i="1"/>
  <c r="BD24" i="1"/>
  <c r="AS37" i="1" l="1"/>
  <c r="BN26" i="1"/>
  <c r="BS137" i="1"/>
  <c r="BM137" i="1"/>
  <c r="BB40" i="1"/>
  <c r="CD40" i="1"/>
  <c r="CC72" i="1"/>
  <c r="BY24" i="1"/>
  <c r="BA24" i="1"/>
  <c r="W25" i="1" s="1"/>
  <c r="BC40" i="1"/>
  <c r="AM40" i="1"/>
  <c r="AX40" i="1"/>
  <c r="BA26" i="1"/>
  <c r="BM26" i="1" s="1"/>
  <c r="BF26" i="1"/>
  <c r="BF37" i="1" s="1"/>
  <c r="BH137" i="1"/>
  <c r="AW40" i="1"/>
  <c r="CB137" i="1"/>
  <c r="BF24" i="1"/>
  <c r="BS26" i="1" l="1"/>
  <c r="BS37" i="1" s="1"/>
  <c r="BM37" i="1"/>
  <c r="BA37" i="1"/>
  <c r="W38" i="1" s="1"/>
  <c r="BH26" i="1"/>
  <c r="BH37" i="1" s="1"/>
  <c r="CB26" i="1"/>
  <c r="CB37" i="1" s="1"/>
  <c r="AS40" i="1"/>
  <c r="CA24" i="1"/>
  <c r="BZ24" i="1"/>
  <c r="BZ40" i="1" s="1"/>
  <c r="BH24" i="1"/>
  <c r="BS24" i="1"/>
  <c r="CB24" i="1"/>
  <c r="AY40" i="1"/>
  <c r="BD40" i="1"/>
  <c r="BM40" i="1" l="1"/>
  <c r="BA40" i="1"/>
  <c r="CB40" i="1"/>
  <c r="BF40" i="1"/>
  <c r="T40" i="1"/>
  <c r="BM47" i="1" l="1"/>
  <c r="BM52" i="1"/>
  <c r="BL64" i="1"/>
  <c r="BN64" i="1" s="1"/>
  <c r="BM50" i="1"/>
  <c r="BN73" i="1"/>
  <c r="BM77" i="1"/>
  <c r="AM41" i="1"/>
  <c r="AM44" i="1"/>
  <c r="BH40" i="1" l="1"/>
  <c r="CB72" i="1" s="1"/>
  <c r="AO34" i="1"/>
  <c r="BN34" i="1" l="1"/>
  <c r="BY34" i="1"/>
  <c r="AO37" i="1"/>
  <c r="AO40" i="1" s="1"/>
  <c r="CA34" i="1" l="1"/>
  <c r="CA37" i="1" s="1"/>
  <c r="CA40" i="1" s="1"/>
  <c r="BN37" i="1"/>
  <c r="BN40" i="1" s="1"/>
  <c r="BY37" i="1"/>
  <c r="BY40" i="1" s="1"/>
  <c r="CA45" i="1" l="1"/>
  <c r="CA72" i="1"/>
  <c r="BS40" i="1"/>
  <c r="BS74" i="1" l="1"/>
  <c r="BS52" i="1"/>
  <c r="BS53" i="1" s="1"/>
  <c r="BS49" i="1"/>
  <c r="BS50" i="1" l="1"/>
</calcChain>
</file>

<file path=xl/comments1.xml><?xml version="1.0" encoding="utf-8"?>
<comments xmlns="http://schemas.openxmlformats.org/spreadsheetml/2006/main">
  <authors>
    <author>Usuario</author>
    <author>Usuario1</author>
  </authors>
  <commentList>
    <comment ref="O11" authorId="0" shapeId="0">
      <text>
        <r>
          <rPr>
            <b/>
            <sz val="12"/>
            <color indexed="81"/>
            <rFont val="Tahoma"/>
            <family val="2"/>
          </rPr>
          <t>NOMINA:
 QUE CARGO ESPECIFICO DESEMPEÑA; COMO JEFE DE QUE DEPARTAMENTO ESTA??</t>
        </r>
      </text>
    </comment>
    <comment ref="BL1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 xml:space="preserve"> para cesta ticket el monto se coloca en conceptos y parametros para que cambie automaticamente en el formato.</t>
        </r>
      </text>
    </comment>
    <comment ref="V14" authorId="1" shapeId="0">
      <text>
        <r>
          <rPr>
            <b/>
            <sz val="19"/>
            <color indexed="81"/>
            <rFont val="Tahoma"/>
            <family val="2"/>
          </rPr>
          <t xml:space="preserve">VERIFICAR MONTO PARA ARRASTRAR LA FORMULA
</t>
        </r>
      </text>
    </comment>
  </commentList>
</comments>
</file>

<file path=xl/comments2.xml><?xml version="1.0" encoding="utf-8"?>
<comments xmlns="http://schemas.openxmlformats.org/spreadsheetml/2006/main">
  <authors>
    <author>LEONARDO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NOMINA:
INGRESO 01 DE ENERO 2021 TIENE MAS DE 1 AÑO; LA ALICUOTA DE VACACIONES SE MULTIPLICA POR 180 DIAS</t>
        </r>
      </text>
    </comment>
    <comment ref="F5" authorId="0" shapeId="0">
      <text>
        <r>
          <rPr>
            <sz val="11"/>
            <color indexed="81"/>
            <rFont val="Tahoma"/>
            <family val="2"/>
          </rPr>
          <t xml:space="preserve">NOMINA:
INGRESO </t>
        </r>
        <r>
          <rPr>
            <b/>
            <sz val="11"/>
            <color indexed="81"/>
            <rFont val="Tahoma"/>
            <family val="2"/>
          </rPr>
          <t>01 DE FEBRERO</t>
        </r>
        <r>
          <rPr>
            <sz val="11"/>
            <color indexed="81"/>
            <rFont val="Tahoma"/>
            <family val="2"/>
          </rPr>
          <t xml:space="preserve">; LA ALICUOTA DE VACACIONES SE MULTIPLICA POR </t>
        </r>
        <r>
          <rPr>
            <b/>
            <sz val="11"/>
            <color indexed="81"/>
            <rFont val="Tahoma"/>
            <family val="2"/>
          </rPr>
          <t xml:space="preserve">165 </t>
        </r>
        <r>
          <rPr>
            <sz val="11"/>
            <color indexed="81"/>
            <rFont val="Tahoma"/>
            <family val="2"/>
          </rPr>
          <t>DIAS.</t>
        </r>
      </text>
    </comment>
    <comment ref="P5" authorId="0" shapeId="0">
      <text>
        <r>
          <rPr>
            <b/>
            <sz val="10"/>
            <color indexed="81"/>
            <rFont val="Tahoma"/>
            <family val="2"/>
          </rPr>
          <t>NOMINA:
FRACCIONAR DIAS</t>
        </r>
        <r>
          <rPr>
            <b/>
            <sz val="8"/>
            <color indexed="81"/>
            <rFont val="Tahoma"/>
            <family val="2"/>
          </rPr>
          <t xml:space="preserve"> </t>
        </r>
      </text>
    </comment>
    <comment ref="Q5" authorId="0" shapeId="0">
      <text>
        <r>
          <rPr>
            <b/>
            <sz val="10"/>
            <color indexed="81"/>
            <rFont val="Tahoma"/>
            <family val="2"/>
          </rPr>
          <t xml:space="preserve">NOMINA:
</t>
        </r>
        <r>
          <rPr>
            <sz val="10"/>
            <color indexed="81"/>
            <rFont val="Tahoma"/>
            <family val="2"/>
          </rPr>
          <t xml:space="preserve">
FRACCIONAR DIAS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" authorId="0" shapeId="0">
      <text>
        <r>
          <rPr>
            <b/>
            <sz val="11"/>
            <color indexed="81"/>
            <rFont val="Tahoma"/>
            <family val="2"/>
          </rPr>
          <t>NOMINA:</t>
        </r>
        <r>
          <rPr>
            <sz val="11"/>
            <color indexed="81"/>
            <rFont val="Tahoma"/>
            <family val="2"/>
          </rPr>
          <t xml:space="preserve">
INGRESO 01 DE</t>
        </r>
        <r>
          <rPr>
            <b/>
            <sz val="11"/>
            <color indexed="81"/>
            <rFont val="Tahoma"/>
            <family val="2"/>
          </rPr>
          <t xml:space="preserve"> MARZO</t>
        </r>
        <r>
          <rPr>
            <sz val="11"/>
            <color indexed="81"/>
            <rFont val="Tahoma"/>
            <family val="2"/>
          </rPr>
          <t xml:space="preserve">; LA ALICUOTA DE VACACIONES SE MULTIPLICA POR </t>
        </r>
        <r>
          <rPr>
            <b/>
            <sz val="11"/>
            <color indexed="81"/>
            <rFont val="Tahoma"/>
            <family val="2"/>
          </rPr>
          <t xml:space="preserve">150 </t>
        </r>
        <r>
          <rPr>
            <sz val="11"/>
            <color indexed="81"/>
            <rFont val="Tahoma"/>
            <family val="2"/>
          </rPr>
          <t>DIAS.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" authorId="0" shapeId="0">
      <text>
        <r>
          <rPr>
            <b/>
            <sz val="10"/>
            <color indexed="81"/>
            <rFont val="Tahoma"/>
            <family val="2"/>
          </rPr>
          <t>NOMINA:
FRACCIONAR DIAS</t>
        </r>
        <r>
          <rPr>
            <b/>
            <sz val="8"/>
            <color indexed="81"/>
            <rFont val="Tahoma"/>
            <family val="2"/>
          </rPr>
          <t xml:space="preserve"> 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>NOMINA:</t>
        </r>
        <r>
          <rPr>
            <sz val="9"/>
            <color indexed="81"/>
            <rFont val="Tahoma"/>
            <family val="2"/>
          </rPr>
          <t xml:space="preserve">
FRACCIONAR DIAS 
</t>
        </r>
      </text>
    </comment>
    <comment ref="F7" authorId="0" shapeId="0">
      <text>
        <r>
          <rPr>
            <b/>
            <sz val="16"/>
            <color indexed="81"/>
            <rFont val="Tahoma"/>
            <family val="2"/>
          </rPr>
          <t>NOMINA:</t>
        </r>
        <r>
          <rPr>
            <u/>
            <sz val="16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 xml:space="preserve">
INGRESO </t>
        </r>
        <r>
          <rPr>
            <b/>
            <u/>
            <sz val="16"/>
            <color indexed="81"/>
            <rFont val="Tahoma"/>
            <family val="2"/>
          </rPr>
          <t>03 DE ABRI</t>
        </r>
        <r>
          <rPr>
            <b/>
            <sz val="16"/>
            <color indexed="81"/>
            <rFont val="Tahoma"/>
            <family val="2"/>
          </rPr>
          <t>L</t>
        </r>
        <r>
          <rPr>
            <sz val="16"/>
            <color indexed="81"/>
            <rFont val="Tahoma"/>
            <family val="2"/>
          </rPr>
          <t>; LA ALICUOTA DE VACACIONES SE MULTIPLICA POR</t>
        </r>
        <r>
          <rPr>
            <b/>
            <sz val="16"/>
            <color indexed="81"/>
            <rFont val="Tahoma"/>
            <family val="2"/>
          </rPr>
          <t xml:space="preserve"> 120 DIA</t>
        </r>
        <r>
          <rPr>
            <sz val="16"/>
            <color indexed="81"/>
            <rFont val="Tahoma"/>
            <family val="2"/>
          </rPr>
          <t xml:space="preserve">S y ALIC. AGUINALDOS POR 100.
COMO EMPEZO EN EL DIA 03  DEL MES SE TOMA LAS ALICUOTAS DEL </t>
        </r>
        <r>
          <rPr>
            <u/>
            <sz val="16"/>
            <color indexed="81"/>
            <rFont val="Tahoma"/>
            <family val="2"/>
          </rPr>
          <t>MES SIGUIENTE</t>
        </r>
        <r>
          <rPr>
            <sz val="16"/>
            <color indexed="81"/>
            <rFont val="Tahoma"/>
            <family val="2"/>
          </rPr>
          <t xml:space="preserve"> QUE SERIA EN ESTE CASO EL MES  DE </t>
        </r>
        <r>
          <rPr>
            <b/>
            <u/>
            <sz val="16"/>
            <color indexed="81"/>
            <rFont val="Tahoma"/>
            <family val="2"/>
          </rPr>
          <t>MAYO</t>
        </r>
        <r>
          <rPr>
            <b/>
            <sz val="16"/>
            <color indexed="81"/>
            <rFont val="Tahoma"/>
            <family val="2"/>
          </rPr>
          <t>.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>NOMINA:</t>
        </r>
        <r>
          <rPr>
            <sz val="9"/>
            <color indexed="81"/>
            <rFont val="Tahoma"/>
            <family val="2"/>
          </rPr>
          <t xml:space="preserve">
FRACCIONAR DIAS
</t>
        </r>
      </text>
    </comment>
  </commentList>
</comments>
</file>

<file path=xl/sharedStrings.xml><?xml version="1.0" encoding="utf-8"?>
<sst xmlns="http://schemas.openxmlformats.org/spreadsheetml/2006/main" count="142871" uniqueCount="4878">
  <si>
    <t>Nº</t>
  </si>
  <si>
    <t>GRADO</t>
  </si>
  <si>
    <t>CEDULA</t>
  </si>
  <si>
    <t>NOMBRES Y APELLIDOS</t>
  </si>
  <si>
    <t>FECHA DE INGRESO</t>
  </si>
  <si>
    <t>CARGO</t>
  </si>
  <si>
    <t>CODIGO DE CARGO</t>
  </si>
  <si>
    <t>SUELDO BASE</t>
  </si>
  <si>
    <t>PRIMA POR HIJOS</t>
  </si>
  <si>
    <t>TOTAL DE PRIMAS</t>
  </si>
  <si>
    <t>BONO NOCTURNO</t>
  </si>
  <si>
    <t>BONO VACACIONAL</t>
  </si>
  <si>
    <t>UNIFORME</t>
  </si>
  <si>
    <t>UTILES ESCOLARES</t>
  </si>
  <si>
    <t>JUGUETES</t>
  </si>
  <si>
    <t>APORTE PATRONAL</t>
  </si>
  <si>
    <t>SUELDO NORMAL MENSUAL</t>
  </si>
  <si>
    <t>PERSONAL DIRECTIVO</t>
  </si>
  <si>
    <t>CODCARGO</t>
  </si>
  <si>
    <t>DESCRIP</t>
  </si>
  <si>
    <t>TIPOCARGO</t>
  </si>
  <si>
    <t>CLASECARGO</t>
  </si>
  <si>
    <t>35131</t>
  </si>
  <si>
    <t>ABOGADO FISCAL I</t>
  </si>
  <si>
    <t>E</t>
  </si>
  <si>
    <t>UT</t>
  </si>
  <si>
    <t>35132</t>
  </si>
  <si>
    <t>ABOGADO FISCAL II</t>
  </si>
  <si>
    <t>35133</t>
  </si>
  <si>
    <t>ABOGADO FISCAL III</t>
  </si>
  <si>
    <t>35134</t>
  </si>
  <si>
    <t>ABOGADO FISCAL IV</t>
  </si>
  <si>
    <t>35135</t>
  </si>
  <si>
    <t>ABOGADO FISCAL JEFE</t>
  </si>
  <si>
    <t>35121</t>
  </si>
  <si>
    <t>ABOGADO I</t>
  </si>
  <si>
    <t>35122</t>
  </si>
  <si>
    <t>ABOGADO II</t>
  </si>
  <si>
    <t>35123</t>
  </si>
  <si>
    <t>ABOGADO III</t>
  </si>
  <si>
    <t>35124</t>
  </si>
  <si>
    <t>ABOGADO IV</t>
  </si>
  <si>
    <t>35125</t>
  </si>
  <si>
    <t>ABOGADO JEFE</t>
  </si>
  <si>
    <t>35151</t>
  </si>
  <si>
    <t>ABOGADO PROCURADURIA I</t>
  </si>
  <si>
    <t>35152</t>
  </si>
  <si>
    <t>ABOGADO PROCURADURIA II</t>
  </si>
  <si>
    <t>35153</t>
  </si>
  <si>
    <t>ABOGADO PROCURADURIA III</t>
  </si>
  <si>
    <t>35154</t>
  </si>
  <si>
    <t>ABOGADO PROCURADURIA IV</t>
  </si>
  <si>
    <t>36151</t>
  </si>
  <si>
    <t>ACTUARIO I</t>
  </si>
  <si>
    <t>36152</t>
  </si>
  <si>
    <t>ACTUARIO II</t>
  </si>
  <si>
    <t>36153</t>
  </si>
  <si>
    <t>ACTUARIO III</t>
  </si>
  <si>
    <t>36154</t>
  </si>
  <si>
    <t>ACTUARIO IV</t>
  </si>
  <si>
    <t>36155</t>
  </si>
  <si>
    <t>ACTUARIO V</t>
  </si>
  <si>
    <t>53111</t>
  </si>
  <si>
    <t>ADJUNTO INTERVENTOR DE ADUANAS I</t>
  </si>
  <si>
    <t>AD</t>
  </si>
  <si>
    <t>02</t>
  </si>
  <si>
    <t>53112</t>
  </si>
  <si>
    <t>ADJUNTO INTERVENTOR DE ADUANAS II</t>
  </si>
  <si>
    <t>03</t>
  </si>
  <si>
    <t>53113</t>
  </si>
  <si>
    <t>ADJUNTO INTERVENTOR DE ADUANAS III</t>
  </si>
  <si>
    <t>37530</t>
  </si>
  <si>
    <t>ADMINISTRADOR DE COLECCIONES</t>
  </si>
  <si>
    <t>12121</t>
  </si>
  <si>
    <t>ADMINISTRADOR I</t>
  </si>
  <si>
    <t>12122</t>
  </si>
  <si>
    <t>ADMINISTRADOR II</t>
  </si>
  <si>
    <t>12123</t>
  </si>
  <si>
    <t>ADMINISTRADOR III</t>
  </si>
  <si>
    <t>12124</t>
  </si>
  <si>
    <t>ADMINISTRADOR IV</t>
  </si>
  <si>
    <t>12130</t>
  </si>
  <si>
    <t>ADMINISTRADOR JEFE</t>
  </si>
  <si>
    <t>45211</t>
  </si>
  <si>
    <t>AEROTOPOGRAFO I</t>
  </si>
  <si>
    <t>45212</t>
  </si>
  <si>
    <t>AEROTOPOGRAFO II</t>
  </si>
  <si>
    <t>04</t>
  </si>
  <si>
    <t>45213</t>
  </si>
  <si>
    <t>AEROTOPOGRAFO III</t>
  </si>
  <si>
    <t>06</t>
  </si>
  <si>
    <t>45214</t>
  </si>
  <si>
    <t>AEROTOPOGRAFO IV</t>
  </si>
  <si>
    <t>08</t>
  </si>
  <si>
    <t>45220</t>
  </si>
  <si>
    <t>AEROTOPOGRAFO JEFE</t>
  </si>
  <si>
    <t>10</t>
  </si>
  <si>
    <t>84211</t>
  </si>
  <si>
    <t>AFERIDOR I</t>
  </si>
  <si>
    <t>01</t>
  </si>
  <si>
    <t>84212</t>
  </si>
  <si>
    <t>AFERIDOR II</t>
  </si>
  <si>
    <t>44110</t>
  </si>
  <si>
    <t>AFORADOR DE HIDROCARBUROS</t>
  </si>
  <si>
    <t>79551</t>
  </si>
  <si>
    <t>AGENTE AYUDA JUVENIL I</t>
  </si>
  <si>
    <t>79552</t>
  </si>
  <si>
    <t>AGENTE AYUDA JUVENIL II</t>
  </si>
  <si>
    <t>41351</t>
  </si>
  <si>
    <t>AGENTE COOPERATIVISTA I</t>
  </si>
  <si>
    <t>41352</t>
  </si>
  <si>
    <t>AGENTE COOPERATIVISTA II</t>
  </si>
  <si>
    <t>86221</t>
  </si>
  <si>
    <t>AGENTE DE INMIGRACION Y EXTRANJERIA I</t>
  </si>
  <si>
    <t>86222</t>
  </si>
  <si>
    <t>AGENTE DE INMIGRACION Y EXTRANJERIA II</t>
  </si>
  <si>
    <t>86223</t>
  </si>
  <si>
    <t>AGENTE DE INMIGRACION Y EXTRANJERIA III</t>
  </si>
  <si>
    <t>79611</t>
  </si>
  <si>
    <t>AGENTE DE VIVIENDA I</t>
  </si>
  <si>
    <t>79612</t>
  </si>
  <si>
    <t>AGENTE DE VIVIENDA II</t>
  </si>
  <si>
    <t>79613</t>
  </si>
  <si>
    <t>AGENTE DE VIVIENDA III</t>
  </si>
  <si>
    <t>43161</t>
  </si>
  <si>
    <t>AGRIMENSOR I</t>
  </si>
  <si>
    <t>43162</t>
  </si>
  <si>
    <t>AGRIMENSOR II</t>
  </si>
  <si>
    <t>43163</t>
  </si>
  <si>
    <t>AGRIMENSOR III</t>
  </si>
  <si>
    <t>43170</t>
  </si>
  <si>
    <t>AGRIMENSOR JEFE</t>
  </si>
  <si>
    <t>25211</t>
  </si>
  <si>
    <t>ALMACENISTA I</t>
  </si>
  <si>
    <t>25212</t>
  </si>
  <si>
    <t>ALMACENISTA II</t>
  </si>
  <si>
    <t>15141</t>
  </si>
  <si>
    <t>ANALISTA CENTRAL DE PERSONAL I</t>
  </si>
  <si>
    <t>15142</t>
  </si>
  <si>
    <t>ANALISTA CENTRAL DE PERSONAL II</t>
  </si>
  <si>
    <t>15143</t>
  </si>
  <si>
    <t>ANALISTA CENTRAL DE PERSONAL III</t>
  </si>
  <si>
    <t>15144</t>
  </si>
  <si>
    <t>ANALISTA CENTRAL DE PERSONAL IV</t>
  </si>
  <si>
    <t>15150</t>
  </si>
  <si>
    <t>ANALISTA CENTRAL DE PERSONAL JEFE</t>
  </si>
  <si>
    <t>13431</t>
  </si>
  <si>
    <t>ANALISTA CENTRAL DE PRESUPUESTO I</t>
  </si>
  <si>
    <t>13432</t>
  </si>
  <si>
    <t>ANALISTA CENTRAL DE PRESUPUESTO II</t>
  </si>
  <si>
    <t>13433</t>
  </si>
  <si>
    <t>ANALISTA CENTRAL DE PRESUPUESTO III</t>
  </si>
  <si>
    <t>13434</t>
  </si>
  <si>
    <t>ANALISTA CENTRAL DE PRESUPUESTO IV</t>
  </si>
  <si>
    <t>13440</t>
  </si>
  <si>
    <t>ANALISTA CENTRAL DE PRESUPUESTO JEFE</t>
  </si>
  <si>
    <t>13251</t>
  </si>
  <si>
    <t>ANALISTA CENTRAL ORGAN. Y SISTEMAS I</t>
  </si>
  <si>
    <t>13252</t>
  </si>
  <si>
    <t>ANALISTA CENTRAL ORGAN. Y SISTEMAS II</t>
  </si>
  <si>
    <t>13253</t>
  </si>
  <si>
    <t>ANALISTA CENTRAL ORGAN. Y SISTEMAS III</t>
  </si>
  <si>
    <t>13254</t>
  </si>
  <si>
    <t>ANALISTA CENTRAL ORGAN. Y SISTEMAS IV</t>
  </si>
  <si>
    <t>13260</t>
  </si>
  <si>
    <t>ANALISTA CENTRAL ORGAN. Y SISTEMAS JEFE</t>
  </si>
  <si>
    <t>15140</t>
  </si>
  <si>
    <t>ANALISTA CENTRAL PERSONAL EN FORMACION</t>
  </si>
  <si>
    <t>13430</t>
  </si>
  <si>
    <t>ANALISTA CENTRAL PRESUP EN FORMACION</t>
  </si>
  <si>
    <t>34110</t>
  </si>
  <si>
    <t>ANALISTA DE ASUNTOS AUDIOVISUALES</t>
  </si>
  <si>
    <t>16310</t>
  </si>
  <si>
    <t>ANALISTA DE COLOCACION Y SEGUIMIENTO</t>
  </si>
  <si>
    <t>25861</t>
  </si>
  <si>
    <t>ANALISTA DE CONTROL FINANCIERO I</t>
  </si>
  <si>
    <t>25862</t>
  </si>
  <si>
    <t>ANALISTA DE CONTROL FINANCIERO II</t>
  </si>
  <si>
    <t>25863</t>
  </si>
  <si>
    <t>ANALISTA DE CONTROL FINANCIERO III</t>
  </si>
  <si>
    <t>25864</t>
  </si>
  <si>
    <t>ANALISTA DE CONTROL FINANCIERO IV</t>
  </si>
  <si>
    <t>25870</t>
  </si>
  <si>
    <t>ANALISTA DE CONTROL FINANCIERO JEFE</t>
  </si>
  <si>
    <t>25866</t>
  </si>
  <si>
    <t>ANALISTA DE CONTROL FINANCIERO V</t>
  </si>
  <si>
    <t>14218</t>
  </si>
  <si>
    <t>ANALISTA DE CREDITOS AGROPECUARIO III</t>
  </si>
  <si>
    <t>14211</t>
  </si>
  <si>
    <t>ANALISTA DE CREDITOS AGROPECUARIOS I</t>
  </si>
  <si>
    <t>14212</t>
  </si>
  <si>
    <t>ANALISTA DE CREDITOS AGROPECUARIOS II</t>
  </si>
  <si>
    <t>14220</t>
  </si>
  <si>
    <t>ANALISTA DE CREDITOS AGROPECUARIOS JEFE</t>
  </si>
  <si>
    <t>13221</t>
  </si>
  <si>
    <t>ANALISTA DE ORGANIZACION Y SISTEMAS I</t>
  </si>
  <si>
    <t>13222</t>
  </si>
  <si>
    <t>ANALISTA DE ORGANIZACION Y SISTEMAS II</t>
  </si>
  <si>
    <t>13223</t>
  </si>
  <si>
    <t>ANALISTA DE ORGANIZACION Y SISTEMAS III</t>
  </si>
  <si>
    <t>13224</t>
  </si>
  <si>
    <t>ANALISTA DE ORGANIZACION Y SISTEMAS IV</t>
  </si>
  <si>
    <t>13230</t>
  </si>
  <si>
    <t>ANALISTA DE ORGANIZACION Y SISTEMAS JEFE</t>
  </si>
  <si>
    <t>15121</t>
  </si>
  <si>
    <t>ANALISTA DE PERSONAL I</t>
  </si>
  <si>
    <t>15122</t>
  </si>
  <si>
    <t>ANALISTA DE PERSONAL II</t>
  </si>
  <si>
    <t>15123</t>
  </si>
  <si>
    <t>ANALISTA DE PERSONAL III</t>
  </si>
  <si>
    <t>15124</t>
  </si>
  <si>
    <t>ANALISTA DE PERSONAL IV</t>
  </si>
  <si>
    <t>15125</t>
  </si>
  <si>
    <t>ANALISTA DE PERSONAL V</t>
  </si>
  <si>
    <t>15126</t>
  </si>
  <si>
    <t>ANALISTA DE PERSONAL VI</t>
  </si>
  <si>
    <t>13411</t>
  </si>
  <si>
    <t>ANALISTA DE PRESUPUESTO I</t>
  </si>
  <si>
    <t>13412</t>
  </si>
  <si>
    <t>ANALISTA DE PRESUPUESTO II</t>
  </si>
  <si>
    <t>13413</t>
  </si>
  <si>
    <t>ANALISTA DE PRESUPUESTO III</t>
  </si>
  <si>
    <t>13414</t>
  </si>
  <si>
    <t>ANALISTA DE PRESUPUESTO IV</t>
  </si>
  <si>
    <t>13420</t>
  </si>
  <si>
    <t>ANALISTA DE PRESUPUESTO JEFE</t>
  </si>
  <si>
    <t>23451</t>
  </si>
  <si>
    <t>ANALISTA DE PROCESAMIENTO DE DATOS I</t>
  </si>
  <si>
    <t>23452</t>
  </si>
  <si>
    <t>ANALISTA DE PROCESAMIENTO DE DATOS II</t>
  </si>
  <si>
    <t>23453</t>
  </si>
  <si>
    <t>ANALISTA DE PROCESAMIENTO DE DATOS III</t>
  </si>
  <si>
    <t>14411</t>
  </si>
  <si>
    <t>ANALISTA DE PROYECTOS AGROPECUARIOS I</t>
  </si>
  <si>
    <t>14412</t>
  </si>
  <si>
    <t>ANALISTA DE PROYECTOS AGROPECUARIOS II</t>
  </si>
  <si>
    <t>14413</t>
  </si>
  <si>
    <t>ANALISTA DE PROYECTOS AGROPECUARIOS III</t>
  </si>
  <si>
    <t>13281</t>
  </si>
  <si>
    <t>ANALISTA DE PROYECTOS INDUSTRIALES I</t>
  </si>
  <si>
    <t>13282</t>
  </si>
  <si>
    <t>ANALISTA DE PROYECTOS INDUSTRIALES II</t>
  </si>
  <si>
    <t>85311</t>
  </si>
  <si>
    <t>ANALISTA DE SEGURIDAD Y DEFENSA I</t>
  </si>
  <si>
    <t>85313</t>
  </si>
  <si>
    <t>ANALISTA DE SEGURIDAD Y DEFENSA III</t>
  </si>
  <si>
    <t>85314</t>
  </si>
  <si>
    <t>ANALISTA DE SEGURIDAD Y DEFENSA IV</t>
  </si>
  <si>
    <t>85320</t>
  </si>
  <si>
    <t>ANALISTA DE SEGURIDAD Y DEFENSA JEFE</t>
  </si>
  <si>
    <t>85312</t>
  </si>
  <si>
    <t>ANALISTA DE SEGURIDAD Y DENFENSA II</t>
  </si>
  <si>
    <t>14332</t>
  </si>
  <si>
    <t>ANALISTA DE SUPERV. DE CREDITOS AGRO II</t>
  </si>
  <si>
    <t>14333</t>
  </si>
  <si>
    <t>ANALISTA DE SUPERV. DE CREDITOS AGRO III</t>
  </si>
  <si>
    <t>14331</t>
  </si>
  <si>
    <t>ANALISTA DE SUPERV. DE CREDITOS AGRO. I</t>
  </si>
  <si>
    <t>14121</t>
  </si>
  <si>
    <t>ANALISTA FINANCIERO I</t>
  </si>
  <si>
    <t>14122</t>
  </si>
  <si>
    <t>ANALISTA FINANCIERO II</t>
  </si>
  <si>
    <t>14123</t>
  </si>
  <si>
    <t>ANALISTA FINANCIERO III</t>
  </si>
  <si>
    <t>14124</t>
  </si>
  <si>
    <t>ANALISTA FINANCIERO IV</t>
  </si>
  <si>
    <t>14130</t>
  </si>
  <si>
    <t>ANALISTA FINANCIERO JEFE</t>
  </si>
  <si>
    <t>14125</t>
  </si>
  <si>
    <t>ANALISTA FINANCIERO V</t>
  </si>
  <si>
    <t>15220</t>
  </si>
  <si>
    <t>ANALISTA OCUPACIONAL  JEFE</t>
  </si>
  <si>
    <t>15211</t>
  </si>
  <si>
    <t>ANALISTA OCUPACIONAL I</t>
  </si>
  <si>
    <t>15212</t>
  </si>
  <si>
    <t>ANALISTA OCUPACIONAL II</t>
  </si>
  <si>
    <t>36451</t>
  </si>
  <si>
    <t>ANTROPOLOGO I</t>
  </si>
  <si>
    <t>36452</t>
  </si>
  <si>
    <t>ANTROPOLOGO II</t>
  </si>
  <si>
    <t>36453</t>
  </si>
  <si>
    <t>ANTROPOLOGO III</t>
  </si>
  <si>
    <t>22121</t>
  </si>
  <si>
    <t>ARCHIVISTA I</t>
  </si>
  <si>
    <t>22122</t>
  </si>
  <si>
    <t>ARCHIVISTA II</t>
  </si>
  <si>
    <t>22123</t>
  </si>
  <si>
    <t>ARCHIVISTA III</t>
  </si>
  <si>
    <t>05</t>
  </si>
  <si>
    <t>22131</t>
  </si>
  <si>
    <t>ARCHIVOLOGO I</t>
  </si>
  <si>
    <t>22132</t>
  </si>
  <si>
    <t>ARCHIVOLOGO II</t>
  </si>
  <si>
    <t>22133</t>
  </si>
  <si>
    <t>ARCHIVOLOGO III</t>
  </si>
  <si>
    <t>22134</t>
  </si>
  <si>
    <t>ARCHIVOLOGO IV</t>
  </si>
  <si>
    <t>43531</t>
  </si>
  <si>
    <t>ARQUITECTO I</t>
  </si>
  <si>
    <t>43532</t>
  </si>
  <si>
    <t>ARQUITECTO II</t>
  </si>
  <si>
    <t>43533</t>
  </si>
  <si>
    <t>ARQUITECTO III</t>
  </si>
  <si>
    <t>43541</t>
  </si>
  <si>
    <t>ARQUITECTO JEFE I</t>
  </si>
  <si>
    <t>43542</t>
  </si>
  <si>
    <t>ARQUITECTO JEFE II</t>
  </si>
  <si>
    <t>43551</t>
  </si>
  <si>
    <t>ARQUITECTO PAISAJISTA I</t>
  </si>
  <si>
    <t>43552</t>
  </si>
  <si>
    <t>ARQUITECTO PAISAJISTA II</t>
  </si>
  <si>
    <t>43553</t>
  </si>
  <si>
    <t>ARQUITECTO PAISAJISTA III</t>
  </si>
  <si>
    <t>43561</t>
  </si>
  <si>
    <t>ARQUITECTO PAISAJISTA JEFE I</t>
  </si>
  <si>
    <t>43562</t>
  </si>
  <si>
    <t>ARQUITECTO PAISAJISTA JEFE II</t>
  </si>
  <si>
    <t>36760</t>
  </si>
  <si>
    <t>ASISTENTE  PABELLON DE FERIAS</t>
  </si>
  <si>
    <t>00918</t>
  </si>
  <si>
    <t>ASISTENTE A LA SECRETARIA PRIVADA</t>
  </si>
  <si>
    <t>DI</t>
  </si>
  <si>
    <t>12111</t>
  </si>
  <si>
    <t>ASISTENTE ADMINISTRATIVO I</t>
  </si>
  <si>
    <t>12112</t>
  </si>
  <si>
    <t>ASISTENTE ADMINISTRATIVO II</t>
  </si>
  <si>
    <t>12113</t>
  </si>
  <si>
    <t>ASISTENTE ADMINISTRATIVO III</t>
  </si>
  <si>
    <t>12114</t>
  </si>
  <si>
    <t>ASISTENTE ADMINISTRATIVO IV</t>
  </si>
  <si>
    <t>12115</t>
  </si>
  <si>
    <t>ASISTENTE ADMINISTRATIVO V</t>
  </si>
  <si>
    <t>51321</t>
  </si>
  <si>
    <t>ASISTENTE AEROPUERTO I</t>
  </si>
  <si>
    <t>51322</t>
  </si>
  <si>
    <t>ASISTENTE AEROPUERTO II</t>
  </si>
  <si>
    <t>51323</t>
  </si>
  <si>
    <t>ASISTENTE AEROPUERTO III</t>
  </si>
  <si>
    <t>41131</t>
  </si>
  <si>
    <t>ASISTENTE AGROPECUARIO I</t>
  </si>
  <si>
    <t>41132</t>
  </si>
  <si>
    <t>ASISTENTE AGROPECUARIO II</t>
  </si>
  <si>
    <t>00921</t>
  </si>
  <si>
    <t>ASISTENTE AL COORDINADOR</t>
  </si>
  <si>
    <t>00926</t>
  </si>
  <si>
    <t>ASISTENTE AL DIRECTOR</t>
  </si>
  <si>
    <t>52290</t>
  </si>
  <si>
    <t>ASISTENTE AL JEFE CAPITANIA DE PUERTOS</t>
  </si>
  <si>
    <t>00909</t>
  </si>
  <si>
    <t>ASISTENTE AL SECRETARIO</t>
  </si>
  <si>
    <t>14111</t>
  </si>
  <si>
    <t>ASISTENTE ANALISTA FINANCIERO I</t>
  </si>
  <si>
    <t>14112</t>
  </si>
  <si>
    <t>ASISTENTE ANALISTA FINANCIERO II</t>
  </si>
  <si>
    <t>31420</t>
  </si>
  <si>
    <t>ASISTENTE ASUNTOS LITERARIOS</t>
  </si>
  <si>
    <t>43610</t>
  </si>
  <si>
    <t>ASISTENTE AUXILIAR DE HIDROMETERIOLOGIA</t>
  </si>
  <si>
    <t>79320</t>
  </si>
  <si>
    <t>ASISTENTE AUXILIAR DE SERVICIO SOCIAL</t>
  </si>
  <si>
    <t>13240</t>
  </si>
  <si>
    <t>ASISTENTE CENTRAL DE ORGAN. Y SISTEMAS</t>
  </si>
  <si>
    <t>13311</t>
  </si>
  <si>
    <t>ASISTENTE DE ANALISTA I</t>
  </si>
  <si>
    <t>13312</t>
  </si>
  <si>
    <t>ASISTENTE DE ANALISTA II</t>
  </si>
  <si>
    <t>13313</t>
  </si>
  <si>
    <t>ASISTENTE DE ANALISTA III</t>
  </si>
  <si>
    <t>32410</t>
  </si>
  <si>
    <t>ASISTENTE DE ASUNTOS CINEMATOGRAFICOS</t>
  </si>
  <si>
    <t>35111</t>
  </si>
  <si>
    <t>ASISTENTE DE ASUNTOS LEGALES I</t>
  </si>
  <si>
    <t>35112</t>
  </si>
  <si>
    <t>ASISTENTE DE ASUNTOS LEGALES II</t>
  </si>
  <si>
    <t>36621</t>
  </si>
  <si>
    <t>ASISTENTE DE BIBLIOTECA I</t>
  </si>
  <si>
    <t>36622</t>
  </si>
  <si>
    <t>ASISTENTE DE BIBLIOTECA II</t>
  </si>
  <si>
    <t>36623</t>
  </si>
  <si>
    <t>ASISTENTE DE BIBLIOTECA III</t>
  </si>
  <si>
    <t>42511</t>
  </si>
  <si>
    <t>ASISTENTE DE BIOLOGIA I</t>
  </si>
  <si>
    <t>42512</t>
  </si>
  <si>
    <t>ASISTENTE DE BIOLOGIA II</t>
  </si>
  <si>
    <t>52271</t>
  </si>
  <si>
    <t>ASISTENTE DE CAPITAN DE PUERTO I</t>
  </si>
  <si>
    <t>52272</t>
  </si>
  <si>
    <t>ASISTENTE DE CAPITAN DE PUERTO II</t>
  </si>
  <si>
    <t>31311</t>
  </si>
  <si>
    <t>ASISTENTE DE COMUNICACION SOCIAL I</t>
  </si>
  <si>
    <t>31312</t>
  </si>
  <si>
    <t>ASISTENTE DE COMUNICACION SOCIAL II</t>
  </si>
  <si>
    <t>25850</t>
  </si>
  <si>
    <t>ASISTENTE DE CONTROL FINANCIERO</t>
  </si>
  <si>
    <t>77110</t>
  </si>
  <si>
    <t>ASISTENTE DE DIETETICA</t>
  </si>
  <si>
    <t>36211</t>
  </si>
  <si>
    <t>ASISTENTE DE ECONOMIA I</t>
  </si>
  <si>
    <t>36212</t>
  </si>
  <si>
    <t>ASISTENTE DE ECONOMIA II</t>
  </si>
  <si>
    <t>32120</t>
  </si>
  <si>
    <t>ASISTENTE DE ESCENOGRAFIA</t>
  </si>
  <si>
    <t>36121</t>
  </si>
  <si>
    <t>ASISTENTE DE ESTADISTICA I</t>
  </si>
  <si>
    <t>36122</t>
  </si>
  <si>
    <t>ASISTENTE DE ESTADISTICA II</t>
  </si>
  <si>
    <t>36123</t>
  </si>
  <si>
    <t>ASISTENTE DE ESTADISTICA III</t>
  </si>
  <si>
    <t>46931</t>
  </si>
  <si>
    <t>ASISTENTE DE ESTIMADOR DE ASTILLEROS I</t>
  </si>
  <si>
    <t>46932</t>
  </si>
  <si>
    <t>ASISTENTE DE ESTIMADOR DE ASTILLEROS II</t>
  </si>
  <si>
    <t>74121</t>
  </si>
  <si>
    <t>ASISTENTE DE FARMACIA I</t>
  </si>
  <si>
    <t>74122</t>
  </si>
  <si>
    <t>ASISTENTE DE FARMACIA II</t>
  </si>
  <si>
    <t>42611</t>
  </si>
  <si>
    <t>ASISTENTE DE GUARDAFAUNA I</t>
  </si>
  <si>
    <t>42612</t>
  </si>
  <si>
    <t>ASISTENTE DE GUARDAFAUNA II</t>
  </si>
  <si>
    <t>43621</t>
  </si>
  <si>
    <t>ASISTENTE DE HIDROMETEREOLOGIA I</t>
  </si>
  <si>
    <t>43622</t>
  </si>
  <si>
    <t>ASISTENTE DE HIDROMETERIOLOGIA II</t>
  </si>
  <si>
    <t>43623</t>
  </si>
  <si>
    <t>ASISTENTE DE HIDROMETERIOLOGIA III</t>
  </si>
  <si>
    <t>07</t>
  </si>
  <si>
    <t>86110</t>
  </si>
  <si>
    <t>ASISTENTE DE IDENTIFICACION</t>
  </si>
  <si>
    <t>43480</t>
  </si>
  <si>
    <t>ASISTENTE DE INGENIERIA</t>
  </si>
  <si>
    <t>86210</t>
  </si>
  <si>
    <t>ASISTENTE DE INMIGRACION Y EXTRANJERIA</t>
  </si>
  <si>
    <t>37310</t>
  </si>
  <si>
    <t>ASISTENTE DE INVESTIGADOR DE MUSEO</t>
  </si>
  <si>
    <t>72111</t>
  </si>
  <si>
    <t>ASISTENTE DE LABORATORIO CLINICO I</t>
  </si>
  <si>
    <t>72112</t>
  </si>
  <si>
    <t>ASISTENTE DE LABORATORIO CLINICO II</t>
  </si>
  <si>
    <t>37210</t>
  </si>
  <si>
    <t>ASISTENTE DE MUSEOGRAFIA</t>
  </si>
  <si>
    <t>22211</t>
  </si>
  <si>
    <t>ASISTENTE DE OFICINA I</t>
  </si>
  <si>
    <t>22212</t>
  </si>
  <si>
    <t>ASISTENTE DE OFICINA II</t>
  </si>
  <si>
    <t>72610</t>
  </si>
  <si>
    <t>ASISTENTE DE ORTESIS Y/O PROTESIS</t>
  </si>
  <si>
    <t>17910</t>
  </si>
  <si>
    <t>ASISTENTE DE PRE-ESCOLAR</t>
  </si>
  <si>
    <t>85611</t>
  </si>
  <si>
    <t>ASISTENTE DE PRIMEROS AUXILIOS I</t>
  </si>
  <si>
    <t>85612</t>
  </si>
  <si>
    <t>ASISTENTE DE PRIMEROS AUXILIOS II</t>
  </si>
  <si>
    <t>35210</t>
  </si>
  <si>
    <t>ASISTENTE DE PRODUCCION</t>
  </si>
  <si>
    <t>23410</t>
  </si>
  <si>
    <t>ASISTENTE DE PROGRAMACION</t>
  </si>
  <si>
    <t>37910</t>
  </si>
  <si>
    <t>ASISTENTE DE PROMOTOR CULTURA</t>
  </si>
  <si>
    <t>36710</t>
  </si>
  <si>
    <t>ASISTENTE DE PROMOTOR DE EXPORTACIONES</t>
  </si>
  <si>
    <t>33110</t>
  </si>
  <si>
    <t>ASISTENTE DE PROTOCOLO</t>
  </si>
  <si>
    <t>36311</t>
  </si>
  <si>
    <t>ASISTENTE DE PSICOLOGIA I</t>
  </si>
  <si>
    <t>36312</t>
  </si>
  <si>
    <t>ASISTENTE DE PSICOLOGIA II</t>
  </si>
  <si>
    <t>79110</t>
  </si>
  <si>
    <t>ASISTENTE DE PUERICULTURA</t>
  </si>
  <si>
    <t>72430</t>
  </si>
  <si>
    <t>ASISTENTE DE RAYOS X</t>
  </si>
  <si>
    <t>31330</t>
  </si>
  <si>
    <t>ASISTENTE DE RELACIONES PUBLICAS</t>
  </si>
  <si>
    <t>37410</t>
  </si>
  <si>
    <t>ASISTENTE DE RESTAURACION</t>
  </si>
  <si>
    <t>76220</t>
  </si>
  <si>
    <t>ASISTENTE DE SALUD PUBLICA</t>
  </si>
  <si>
    <t>79330</t>
  </si>
  <si>
    <t>ASISTENTE DE SERVICIO SOCIAL</t>
  </si>
  <si>
    <t>72510</t>
  </si>
  <si>
    <t>ASISTENTE DE TERAPIA</t>
  </si>
  <si>
    <t>43110</t>
  </si>
  <si>
    <t>ASISTENTE DE TOPOGRAFO</t>
  </si>
  <si>
    <t>78110</t>
  </si>
  <si>
    <t>ASISTENTE DE VETERINARIA</t>
  </si>
  <si>
    <t>31221</t>
  </si>
  <si>
    <t>ASISTENTE ESPECIALISTA EN INFORMACION I</t>
  </si>
  <si>
    <t>31222</t>
  </si>
  <si>
    <t>ASISTENTE ESPECIALISTA EN INFORMACION II</t>
  </si>
  <si>
    <t>21531</t>
  </si>
  <si>
    <t>ASISTENTE HABILITADO I</t>
  </si>
  <si>
    <t>21532</t>
  </si>
  <si>
    <t>ASISTENTE HABILITADO II</t>
  </si>
  <si>
    <t>47213</t>
  </si>
  <si>
    <t>ASISTENTE MATEMATICA III</t>
  </si>
  <si>
    <t>47211</t>
  </si>
  <si>
    <t>ASISTENTE MATEMATICAS I</t>
  </si>
  <si>
    <t>47212</t>
  </si>
  <si>
    <t>ASISTENTE MATEMATICAS II</t>
  </si>
  <si>
    <t>42620</t>
  </si>
  <si>
    <t>ASISTENTE TECNICO DE GUARDAFAUNA</t>
  </si>
  <si>
    <t>43491</t>
  </si>
  <si>
    <t>ASISTENTE TECNICO DE INGENIERIA I</t>
  </si>
  <si>
    <t>43492</t>
  </si>
  <si>
    <t>ASISTENTE TECNICO DE INGENIERIA II</t>
  </si>
  <si>
    <t>46110</t>
  </si>
  <si>
    <t>ASISTENTE TECNICO EN REPARACION Y MANTE.</t>
  </si>
  <si>
    <t>47110</t>
  </si>
  <si>
    <t>ASTRONOMO</t>
  </si>
  <si>
    <t>21211</t>
  </si>
  <si>
    <t>AUDITOR I</t>
  </si>
  <si>
    <t>21212</t>
  </si>
  <si>
    <t>AUDITOR II</t>
  </si>
  <si>
    <t>21213</t>
  </si>
  <si>
    <t>AUDITOR III</t>
  </si>
  <si>
    <t>21214</t>
  </si>
  <si>
    <t>AUDITOR IV</t>
  </si>
  <si>
    <t>21220</t>
  </si>
  <si>
    <t>AUDITOR JEFE</t>
  </si>
  <si>
    <t>37950</t>
  </si>
  <si>
    <t>AUTOGRAFISTA</t>
  </si>
  <si>
    <t>02043</t>
  </si>
  <si>
    <t>43221</t>
  </si>
  <si>
    <t>AVALUADOR DE INMUEBLES I</t>
  </si>
  <si>
    <t>43222</t>
  </si>
  <si>
    <t>AVALUADOR DE INMUEBLES II</t>
  </si>
  <si>
    <t>43223</t>
  </si>
  <si>
    <t>AVALUADOR DE INMUEBLES III</t>
  </si>
  <si>
    <t>43230</t>
  </si>
  <si>
    <t>AVALUADOR DE INMUEBLES JEFE</t>
  </si>
  <si>
    <t>36631</t>
  </si>
  <si>
    <t>BIBLIOTECOLOGO I</t>
  </si>
  <si>
    <t>36632</t>
  </si>
  <si>
    <t>BIBLIOTECOLOGO II</t>
  </si>
  <si>
    <t>36633</t>
  </si>
  <si>
    <t>BIBLIOTECOLOGO III</t>
  </si>
  <si>
    <t>36634</t>
  </si>
  <si>
    <t>BIBLIOTECOLOGO IV</t>
  </si>
  <si>
    <t>72221</t>
  </si>
  <si>
    <t>BIOANALISTA I</t>
  </si>
  <si>
    <t>72222</t>
  </si>
  <si>
    <t>BIOANALISTA II</t>
  </si>
  <si>
    <t>72223</t>
  </si>
  <si>
    <t>BIOANALISTA III</t>
  </si>
  <si>
    <t>72224</t>
  </si>
  <si>
    <t>BIOANALISTA IV</t>
  </si>
  <si>
    <t>72225</t>
  </si>
  <si>
    <t>BIOANALISTA V</t>
  </si>
  <si>
    <t>72226</t>
  </si>
  <si>
    <t>BIOANALISTA VI</t>
  </si>
  <si>
    <t>42521</t>
  </si>
  <si>
    <t>BIOLOGO I</t>
  </si>
  <si>
    <t>42522</t>
  </si>
  <si>
    <t>BIOLOGO II</t>
  </si>
  <si>
    <t>42523</t>
  </si>
  <si>
    <t>BIOLOGO III</t>
  </si>
  <si>
    <t>42530</t>
  </si>
  <si>
    <t>BIOLOGO JEFE</t>
  </si>
  <si>
    <t>03520</t>
  </si>
  <si>
    <t>BOMBARDINO SOLISTA</t>
  </si>
  <si>
    <t>62920</t>
  </si>
  <si>
    <t>BOMBERO (BOMBERO)</t>
  </si>
  <si>
    <t>BO</t>
  </si>
  <si>
    <t>81111</t>
  </si>
  <si>
    <t>BOMBERO I</t>
  </si>
  <si>
    <t>81112</t>
  </si>
  <si>
    <t>BOMBERO II</t>
  </si>
  <si>
    <t>81113</t>
  </si>
  <si>
    <t>BOMBERO III</t>
  </si>
  <si>
    <t>81114</t>
  </si>
  <si>
    <t>BOMBERO IV</t>
  </si>
  <si>
    <t>81121</t>
  </si>
  <si>
    <t>BOMBERO JEFE I</t>
  </si>
  <si>
    <t>09</t>
  </si>
  <si>
    <t>81122</t>
  </si>
  <si>
    <t>BOMBERO JEFE II</t>
  </si>
  <si>
    <t>03614</t>
  </si>
  <si>
    <t>BOMBO 3</t>
  </si>
  <si>
    <t>41631</t>
  </si>
  <si>
    <t>BOTANICO I</t>
  </si>
  <si>
    <t>41632</t>
  </si>
  <si>
    <t>BOTANICO II</t>
  </si>
  <si>
    <t>41633</t>
  </si>
  <si>
    <t>BOTANICO III</t>
  </si>
  <si>
    <t>41640</t>
  </si>
  <si>
    <t>BOTANICO JEFE</t>
  </si>
  <si>
    <t>62810</t>
  </si>
  <si>
    <t>CABO 1RO (BOMBERO)</t>
  </si>
  <si>
    <t>62820</t>
  </si>
  <si>
    <t>CABO 2DO (BOMBERO)</t>
  </si>
  <si>
    <t>21511</t>
  </si>
  <si>
    <t>CAJERO I</t>
  </si>
  <si>
    <t>21512</t>
  </si>
  <si>
    <t>CAJERO II</t>
  </si>
  <si>
    <t>21513</t>
  </si>
  <si>
    <t>CAJERO III</t>
  </si>
  <si>
    <t>21520</t>
  </si>
  <si>
    <t>CAJERO JEFE</t>
  </si>
  <si>
    <t>44121</t>
  </si>
  <si>
    <t>CALCULISTA DE HIDROCARBUROS I</t>
  </si>
  <si>
    <t>44122</t>
  </si>
  <si>
    <t>CALCULISTA DE HIDROCARBUROS II</t>
  </si>
  <si>
    <t>44123</t>
  </si>
  <si>
    <t>CALCULISTA DE HIDROCARBUROS III</t>
  </si>
  <si>
    <t>33510</t>
  </si>
  <si>
    <t>CALIGRAFO</t>
  </si>
  <si>
    <t>33311</t>
  </si>
  <si>
    <t>CAPELLAN I</t>
  </si>
  <si>
    <t>33312</t>
  </si>
  <si>
    <t>CAPELLAN II</t>
  </si>
  <si>
    <t>62500</t>
  </si>
  <si>
    <t>CAPITAN (BOMBERO)</t>
  </si>
  <si>
    <t>52480</t>
  </si>
  <si>
    <t>CAPITAN DE HELICOPTERO</t>
  </si>
  <si>
    <t>32455</t>
  </si>
  <si>
    <t>CAPITAN DE JET</t>
  </si>
  <si>
    <t>35420</t>
  </si>
  <si>
    <t>CAPITAN DE PISTON</t>
  </si>
  <si>
    <t>52281</t>
  </si>
  <si>
    <t>CAPITAN DE PUERTOS I</t>
  </si>
  <si>
    <t>52282</t>
  </si>
  <si>
    <t>CAPITAN DE PUERTOS II</t>
  </si>
  <si>
    <t>52385</t>
  </si>
  <si>
    <t>CAPITAN DE REMOLCADOR</t>
  </si>
  <si>
    <t>52395</t>
  </si>
  <si>
    <t>CAPITAN DE TRANSPORTE NAVAL</t>
  </si>
  <si>
    <t>52361</t>
  </si>
  <si>
    <t>CAPITAN I</t>
  </si>
  <si>
    <t>52362</t>
  </si>
  <si>
    <t>CAPITAN II</t>
  </si>
  <si>
    <t>52363</t>
  </si>
  <si>
    <t>CAPITAN III</t>
  </si>
  <si>
    <t>84410</t>
  </si>
  <si>
    <t>CENSOR RADIO Y TV</t>
  </si>
  <si>
    <t>72133</t>
  </si>
  <si>
    <t>CITOTECNOLOG III</t>
  </si>
  <si>
    <t>72131</t>
  </si>
  <si>
    <t>CITOTECNOLOGO I</t>
  </si>
  <si>
    <t>72132</t>
  </si>
  <si>
    <t>CITOTECNOLOGO II</t>
  </si>
  <si>
    <t>03534</t>
  </si>
  <si>
    <t>CLARINETE 1</t>
  </si>
  <si>
    <t>03563</t>
  </si>
  <si>
    <t>CLARINETE 2</t>
  </si>
  <si>
    <t>03606</t>
  </si>
  <si>
    <t>CLARINETE 3</t>
  </si>
  <si>
    <t>03518</t>
  </si>
  <si>
    <t>CLARINETE SOLISTA</t>
  </si>
  <si>
    <t>21611</t>
  </si>
  <si>
    <t>COBRADOR JEFE I</t>
  </si>
  <si>
    <t>21612</t>
  </si>
  <si>
    <t>COBRADOR JEFE II</t>
  </si>
  <si>
    <t>21630</t>
  </si>
  <si>
    <t>COLECTOR</t>
  </si>
  <si>
    <t>62200</t>
  </si>
  <si>
    <t>COMANDANTE</t>
  </si>
  <si>
    <t>52485</t>
  </si>
  <si>
    <t>COMANDANTE DE HELICOPTERO</t>
  </si>
  <si>
    <t>52460</t>
  </si>
  <si>
    <t>COMANDANTE DE JET</t>
  </si>
  <si>
    <t>52440</t>
  </si>
  <si>
    <t>COMANDANTE DE TURBO</t>
  </si>
  <si>
    <t>00917</t>
  </si>
  <si>
    <t>COMISIONADO ASUNTOS INTERINSTITUCIONALES</t>
  </si>
  <si>
    <t>84310</t>
  </si>
  <si>
    <t>COMISIONADO DEL TRABAJO</t>
  </si>
  <si>
    <t>84311</t>
  </si>
  <si>
    <t>COMISIONADO ESPECIAL DE TRABAJO I</t>
  </si>
  <si>
    <t>84312</t>
  </si>
  <si>
    <t>COMISIONADO ESPECIAL DE TRABAJO II</t>
  </si>
  <si>
    <t>00001</t>
  </si>
  <si>
    <t>COMISIONADO</t>
  </si>
  <si>
    <t>25311</t>
  </si>
  <si>
    <t>COMPRADOR I</t>
  </si>
  <si>
    <t>25312</t>
  </si>
  <si>
    <t>COMPRADOR II</t>
  </si>
  <si>
    <t>25313</t>
  </si>
  <si>
    <t>COMPRADOR III</t>
  </si>
  <si>
    <t>25321</t>
  </si>
  <si>
    <t>COMPRADOR JEFE I</t>
  </si>
  <si>
    <t>25322</t>
  </si>
  <si>
    <t>COMPRADOR JEFE II</t>
  </si>
  <si>
    <t>31321</t>
  </si>
  <si>
    <t>COMUNICADOR SOCIAL I</t>
  </si>
  <si>
    <t>31322</t>
  </si>
  <si>
    <t>COMUNICADOR SOCIAL II</t>
  </si>
  <si>
    <t>31323</t>
  </si>
  <si>
    <t>COMUNICADOR SOCIAL III</t>
  </si>
  <si>
    <t>00924</t>
  </si>
  <si>
    <t>CONSULTOR JURIDICO</t>
  </si>
  <si>
    <t>21111</t>
  </si>
  <si>
    <t>CONTABILISTA I</t>
  </si>
  <si>
    <t>21112</t>
  </si>
  <si>
    <t>CONTABILISTA II</t>
  </si>
  <si>
    <t>21113</t>
  </si>
  <si>
    <t>CONTABILISTA III</t>
  </si>
  <si>
    <t>21131</t>
  </si>
  <si>
    <t>CONTADOR I</t>
  </si>
  <si>
    <t>21132</t>
  </si>
  <si>
    <t>CONTADOR II</t>
  </si>
  <si>
    <t>21133</t>
  </si>
  <si>
    <t>CONTADOR III</t>
  </si>
  <si>
    <t>21134</t>
  </si>
  <si>
    <t>CONTADOR IV</t>
  </si>
  <si>
    <t>21140</t>
  </si>
  <si>
    <t>CONTADOR JEFE</t>
  </si>
  <si>
    <t>02057</t>
  </si>
  <si>
    <t>CONTRABAJO</t>
  </si>
  <si>
    <t>03558</t>
  </si>
  <si>
    <t>CONTRABAJO 1</t>
  </si>
  <si>
    <t>03559</t>
  </si>
  <si>
    <t>CONTRABAJO II</t>
  </si>
  <si>
    <t>85211</t>
  </si>
  <si>
    <t>CONTROLADOR DE ARMAS Y EXPLOSIVOS I</t>
  </si>
  <si>
    <t>85212</t>
  </si>
  <si>
    <t>CONTROLADOR DE ARMAS Y EXPLOSIVOS II</t>
  </si>
  <si>
    <t>85213</t>
  </si>
  <si>
    <t>CONTROLADOR DE ARMAS Y EXPLOSIVOS III</t>
  </si>
  <si>
    <t>51621</t>
  </si>
  <si>
    <t>CONTROLADOR DE TRANSITO AEREO I</t>
  </si>
  <si>
    <t>51622</t>
  </si>
  <si>
    <t>CONTROLADOR DE TRANSITO AEREO II</t>
  </si>
  <si>
    <t>51623</t>
  </si>
  <si>
    <t>CONTROLADOR DE TRANSITO AEREO III</t>
  </si>
  <si>
    <t>51624</t>
  </si>
  <si>
    <t>CONTROLADOR DE TRANSITO AEREO IV</t>
  </si>
  <si>
    <t>51631</t>
  </si>
  <si>
    <t>CONTROLADOR DE TRANSITO AEREO JEFE I</t>
  </si>
  <si>
    <t>51632</t>
  </si>
  <si>
    <t>CONTROLADOR DE TRANSITO AEREO JEFE II</t>
  </si>
  <si>
    <t>51633</t>
  </si>
  <si>
    <t>CONTROLADOR DE TRANSITO AEREO JEFE III</t>
  </si>
  <si>
    <t>51625</t>
  </si>
  <si>
    <t>CONTROLADOR DE TRANSITO AEREO V</t>
  </si>
  <si>
    <t>51626</t>
  </si>
  <si>
    <t>CONTROLADOR DE TRANSITO AEREO VI</t>
  </si>
  <si>
    <t>35422</t>
  </si>
  <si>
    <t>32421</t>
  </si>
  <si>
    <t>35423</t>
  </si>
  <si>
    <t>00929</t>
  </si>
  <si>
    <t>COORD. DE SEGUIMIENTO Y EVAL. DE POLITICAS PUBLICAS</t>
  </si>
  <si>
    <t>00936</t>
  </si>
  <si>
    <t>COORD. DEL COMITE ESTADAL DE LA VIVIENDA</t>
  </si>
  <si>
    <t>16111</t>
  </si>
  <si>
    <t>16112</t>
  </si>
  <si>
    <t>COORD. DESARROLLO DE RECURSOS HUMANOS II</t>
  </si>
  <si>
    <t>00941</t>
  </si>
  <si>
    <t>COORD. ENTES P Y P DE CULTURA Y DEPORTE</t>
  </si>
  <si>
    <t>36640</t>
  </si>
  <si>
    <t>COORD. RED DE BIBLIOTECAS E INFORM. ESTA</t>
  </si>
  <si>
    <t>15130</t>
  </si>
  <si>
    <t>COORD. REGISTRO NACIONAL PERMANENTE</t>
  </si>
  <si>
    <t>00904</t>
  </si>
  <si>
    <t>COORDINADOR</t>
  </si>
  <si>
    <t>00915</t>
  </si>
  <si>
    <t>COORDINADOR ADMINISTRATIVO</t>
  </si>
  <si>
    <t>33412</t>
  </si>
  <si>
    <t>33413</t>
  </si>
  <si>
    <t>33420</t>
  </si>
  <si>
    <t>84331</t>
  </si>
  <si>
    <t>00913</t>
  </si>
  <si>
    <t>COORDINADOR DE  ASISTENCIA TECNICA</t>
  </si>
  <si>
    <t>37940</t>
  </si>
  <si>
    <t>COORDINADOR DE  FORMACION CULTURAL</t>
  </si>
  <si>
    <t>33411</t>
  </si>
  <si>
    <t>COORDINADOR DE ASUNTOS INTERNACIONALES I</t>
  </si>
  <si>
    <t>84332</t>
  </si>
  <si>
    <t>31430</t>
  </si>
  <si>
    <t>COORDINADOR DE ASUNTOS LITERARIOS</t>
  </si>
  <si>
    <t>79560</t>
  </si>
  <si>
    <t>COORDINADOR DE AYUDA JUVENIL</t>
  </si>
  <si>
    <t>17361</t>
  </si>
  <si>
    <t>COORDINADOR DE CENTRO I</t>
  </si>
  <si>
    <t>17362</t>
  </si>
  <si>
    <t>COORDINADOR DE CENTRO II</t>
  </si>
  <si>
    <t>00925</t>
  </si>
  <si>
    <t>COORDINADOR DE CIENCIAS POLITICAS</t>
  </si>
  <si>
    <t>71380</t>
  </si>
  <si>
    <t>COORDINADOR DE ESCUELAS DE ENFERMERIA</t>
  </si>
  <si>
    <t>00920</t>
  </si>
  <si>
    <t>COORDINADOR DE EVENTOS Y PROTOCOLO</t>
  </si>
  <si>
    <t>17231</t>
  </si>
  <si>
    <t>COORDINADOR DE FORMACION EMPRESARIA I</t>
  </si>
  <si>
    <t>17232</t>
  </si>
  <si>
    <t>COORDINADOR DE FORMACION EMPRESARIAL II</t>
  </si>
  <si>
    <t>17350</t>
  </si>
  <si>
    <t>COORDINADOR DE FORMACION PROFESIONAL</t>
  </si>
  <si>
    <t>85410</t>
  </si>
  <si>
    <t>COORDINADOR DE FRONTERAS</t>
  </si>
  <si>
    <t>16611</t>
  </si>
  <si>
    <t>COORDINADOR DE PROGRAMAS DE FORMACION I</t>
  </si>
  <si>
    <t>16612</t>
  </si>
  <si>
    <t>COORDINADOR DE PROGRAMAS DE FORMACION II</t>
  </si>
  <si>
    <t>32130</t>
  </si>
  <si>
    <t>COORDINADOR DE PROGRAMAS TV</t>
  </si>
  <si>
    <t>33120</t>
  </si>
  <si>
    <t>COORDINADOR DE PROTOCOLO</t>
  </si>
  <si>
    <t>00927</t>
  </si>
  <si>
    <t>COORDINADOR DE RENDICION DE CUENTA</t>
  </si>
  <si>
    <t>31581</t>
  </si>
  <si>
    <t>COORDINADOR DE SERVICIOS TURISTICOS I</t>
  </si>
  <si>
    <t>31582</t>
  </si>
  <si>
    <t>COORDINADOR DE SERVICIOS TURISTICOS II</t>
  </si>
  <si>
    <t>00912</t>
  </si>
  <si>
    <t>COORDINADOR DEFENSA CIVIL</t>
  </si>
  <si>
    <t>31350</t>
  </si>
  <si>
    <t>COORDINADOR PUBLICITARIO</t>
  </si>
  <si>
    <t>79540</t>
  </si>
  <si>
    <t>COORDINADOR RECREACION</t>
  </si>
  <si>
    <t>00914</t>
  </si>
  <si>
    <t>COORDINADOR ZONAL</t>
  </si>
  <si>
    <t>52471</t>
  </si>
  <si>
    <t>COPILOTO DE HELICOPTERO I</t>
  </si>
  <si>
    <t>52472</t>
  </si>
  <si>
    <t>COPILOTO DE HELICOTERO II</t>
  </si>
  <si>
    <t>52411</t>
  </si>
  <si>
    <t>COPILOTO DE PISTON I</t>
  </si>
  <si>
    <t>52412</t>
  </si>
  <si>
    <t>COPILOTO DE PISTON II</t>
  </si>
  <si>
    <t>52430</t>
  </si>
  <si>
    <t>COPILOTO DE TURBO</t>
  </si>
  <si>
    <t>03562</t>
  </si>
  <si>
    <t>COPISTA ARCHIVERO</t>
  </si>
  <si>
    <t>00916</t>
  </si>
  <si>
    <t>CORDINADOR DE ORGANISMOS CULTURALES</t>
  </si>
  <si>
    <t>03582</t>
  </si>
  <si>
    <t>CORNO 2</t>
  </si>
  <si>
    <t>03610</t>
  </si>
  <si>
    <t>CORNO 3</t>
  </si>
  <si>
    <t>03550</t>
  </si>
  <si>
    <t>CORNO I</t>
  </si>
  <si>
    <t>62100</t>
  </si>
  <si>
    <t>CORONEL (BOMBERO)</t>
  </si>
  <si>
    <t>31410</t>
  </si>
  <si>
    <t>CORRECTOR DE ESTILO</t>
  </si>
  <si>
    <t>82111</t>
  </si>
  <si>
    <t>DELEGADO PRUEBA I</t>
  </si>
  <si>
    <t>82112</t>
  </si>
  <si>
    <t>DELEGADO PRUEBA II</t>
  </si>
  <si>
    <t>82113</t>
  </si>
  <si>
    <t>DELEGADO PRUEBA III</t>
  </si>
  <si>
    <t>82114</t>
  </si>
  <si>
    <t>DELEGADO PRUEBA IV</t>
  </si>
  <si>
    <t>82115</t>
  </si>
  <si>
    <t>DELEGADO PRUEBA V</t>
  </si>
  <si>
    <t>79211</t>
  </si>
  <si>
    <t>DEMOSTRADORA DEL HOGAR I</t>
  </si>
  <si>
    <t>79212</t>
  </si>
  <si>
    <t>DEMOSTRADORA DEL HOGAR II</t>
  </si>
  <si>
    <t>79213</t>
  </si>
  <si>
    <t>DEMOSTRADORA DEL HOGAR III</t>
  </si>
  <si>
    <t>79220</t>
  </si>
  <si>
    <t>DEMOSTRADORA DEL HOGAR JEFE</t>
  </si>
  <si>
    <t>21350</t>
  </si>
  <si>
    <t>DEPOSITARIO DE ESPECIES FISCALES</t>
  </si>
  <si>
    <t>21355</t>
  </si>
  <si>
    <t>DEPOSITARIO DE ESPECIES FISCALES JEFE</t>
  </si>
  <si>
    <t>43770</t>
  </si>
  <si>
    <t>DIAGRAMADOR</t>
  </si>
  <si>
    <t>43741</t>
  </si>
  <si>
    <t>DIBUJANTE CARTOGRAFICIO I</t>
  </si>
  <si>
    <t>43742</t>
  </si>
  <si>
    <t>DIBUJANTE CARTOGRAFICO II</t>
  </si>
  <si>
    <t>43743</t>
  </si>
  <si>
    <t>DIBUJANTE CARTOGRAFICO III</t>
  </si>
  <si>
    <t>43744</t>
  </si>
  <si>
    <t>DIBUJANTE CARTOGRAFICO IV</t>
  </si>
  <si>
    <t>43750</t>
  </si>
  <si>
    <t>DIBUJANTE CARTOGRAFICO JEFE</t>
  </si>
  <si>
    <t>43721</t>
  </si>
  <si>
    <t>DIBUJANTE I</t>
  </si>
  <si>
    <t>43722</t>
  </si>
  <si>
    <t>DIBUJANTE II</t>
  </si>
  <si>
    <t>43723</t>
  </si>
  <si>
    <t>DIBUJANTE III</t>
  </si>
  <si>
    <t>43781</t>
  </si>
  <si>
    <t>DIBUJANTE ILUSTRADOR I</t>
  </si>
  <si>
    <t>43782</t>
  </si>
  <si>
    <t>DIBUJANTE ILUSTRADOR II</t>
  </si>
  <si>
    <t>43790</t>
  </si>
  <si>
    <t>DIBUJANTE ILUSTRADOR JEFE</t>
  </si>
  <si>
    <t>43730</t>
  </si>
  <si>
    <t>DIBUJANTE JEFE</t>
  </si>
  <si>
    <t>77121</t>
  </si>
  <si>
    <t>DIETISTA I</t>
  </si>
  <si>
    <t>77122</t>
  </si>
  <si>
    <t>DIETISTA II</t>
  </si>
  <si>
    <t>77123</t>
  </si>
  <si>
    <t>DIETISTA III</t>
  </si>
  <si>
    <t>77124</t>
  </si>
  <si>
    <t>DIETISTA IV</t>
  </si>
  <si>
    <t>77130</t>
  </si>
  <si>
    <t>DIETISTA JEFE</t>
  </si>
  <si>
    <t>00903</t>
  </si>
  <si>
    <t>DIRECTOR</t>
  </si>
  <si>
    <t>03502</t>
  </si>
  <si>
    <t>DIRECTOR DE BANDA</t>
  </si>
  <si>
    <t>71390</t>
  </si>
  <si>
    <t>DIRECTOR DE ESCUELAS DE ENFERMERIA</t>
  </si>
  <si>
    <t>34150</t>
  </si>
  <si>
    <t>DIRECTOR DE PROGRAMAS DE CURSOS</t>
  </si>
  <si>
    <t>32135</t>
  </si>
  <si>
    <t>DIRECTOR DE PROGRAMAS TV</t>
  </si>
  <si>
    <t>43724</t>
  </si>
  <si>
    <t>80000</t>
  </si>
  <si>
    <t>62910</t>
  </si>
  <si>
    <t>DISTINGUIDO (BOMBERO)</t>
  </si>
  <si>
    <t>77141</t>
  </si>
  <si>
    <t>ECONOMA I</t>
  </si>
  <si>
    <t>77142</t>
  </si>
  <si>
    <t>ECONOMA II</t>
  </si>
  <si>
    <t>36221</t>
  </si>
  <si>
    <t>ECONOMISTA I</t>
  </si>
  <si>
    <t>36222</t>
  </si>
  <si>
    <t>ECONOMISTA II</t>
  </si>
  <si>
    <t>36223</t>
  </si>
  <si>
    <t>ECONOMISTA III</t>
  </si>
  <si>
    <t>36231</t>
  </si>
  <si>
    <t>ECONOMISTA JEFE I</t>
  </si>
  <si>
    <t>36232</t>
  </si>
  <si>
    <t>ECONOMISTA JEFE II</t>
  </si>
  <si>
    <t>36233</t>
  </si>
  <si>
    <t>ECONOMISTA JEFE III</t>
  </si>
  <si>
    <t>31360</t>
  </si>
  <si>
    <t>EDITOR</t>
  </si>
  <si>
    <t>31120</t>
  </si>
  <si>
    <t>EDITOR DE NOTICIAS EDUCATIVAS</t>
  </si>
  <si>
    <t>32170</t>
  </si>
  <si>
    <t>EDITOR FILMICO</t>
  </si>
  <si>
    <t>31110</t>
  </si>
  <si>
    <t>EDITOR HISTORICO</t>
  </si>
  <si>
    <t>31370</t>
  </si>
  <si>
    <t>EDITOR JEFE</t>
  </si>
  <si>
    <t>37812</t>
  </si>
  <si>
    <t>ENCUADERNADOR DE CONSERVACION II</t>
  </si>
  <si>
    <t>37813</t>
  </si>
  <si>
    <t>ENCUADERNADOR DE CONSERVACION III</t>
  </si>
  <si>
    <t>37820</t>
  </si>
  <si>
    <t>ENCUADERNADOR DE CONSERVACION JEFE</t>
  </si>
  <si>
    <t>71310</t>
  </si>
  <si>
    <t>ENFERMERA ANESTESISTA</t>
  </si>
  <si>
    <t>71351</t>
  </si>
  <si>
    <t>ENFERMERA DE SALUD PUBLICA I</t>
  </si>
  <si>
    <t>71352</t>
  </si>
  <si>
    <t>ENFERMERA DE SALUD PUBLICA II</t>
  </si>
  <si>
    <t>71353</t>
  </si>
  <si>
    <t>ENFERMERA DE SALUD PUBLICA III</t>
  </si>
  <si>
    <t>71354</t>
  </si>
  <si>
    <t>ENFERMERA DE SALUD PUBLICA IV</t>
  </si>
  <si>
    <t>71362</t>
  </si>
  <si>
    <t>ENFERMERA DE SALUD PUBLICA JEFE II</t>
  </si>
  <si>
    <t>71363</t>
  </si>
  <si>
    <t>ENFERMERA DE SALUD PUBLICA JEFE III</t>
  </si>
  <si>
    <t>71364</t>
  </si>
  <si>
    <t>ENFERMERA DE SALUD PUBLICA JEFE V</t>
  </si>
  <si>
    <t>71355</t>
  </si>
  <si>
    <t>ENFERMERA DE SALUD PUBLICA V</t>
  </si>
  <si>
    <t>71321</t>
  </si>
  <si>
    <t>ENFERMERA HEMOTERAPISTA I</t>
  </si>
  <si>
    <t>71322</t>
  </si>
  <si>
    <t>ENFERMERA HEMOTERAPISTA II</t>
  </si>
  <si>
    <t>71323</t>
  </si>
  <si>
    <t>ENFERMERA HEMOTERAPISTA III</t>
  </si>
  <si>
    <t>71331</t>
  </si>
  <si>
    <t>ENFERMERA I</t>
  </si>
  <si>
    <t>71332</t>
  </si>
  <si>
    <t>ENFERMERA II</t>
  </si>
  <si>
    <t>71333</t>
  </si>
  <si>
    <t>ENFERMERA III</t>
  </si>
  <si>
    <t>71341</t>
  </si>
  <si>
    <t>ENFERMERA JEFE I</t>
  </si>
  <si>
    <t>71342</t>
  </si>
  <si>
    <t>ENFERMERA JEFE II</t>
  </si>
  <si>
    <t>71343</t>
  </si>
  <si>
    <t>ENFERMERA JEFE III</t>
  </si>
  <si>
    <t>34232</t>
  </si>
  <si>
    <t>34231</t>
  </si>
  <si>
    <t>ENTRENADOR DEPORTIVO I</t>
  </si>
  <si>
    <t>34233</t>
  </si>
  <si>
    <t>ENTRENADOR DEPORTIVO III</t>
  </si>
  <si>
    <t>34234</t>
  </si>
  <si>
    <t>ENTRENADOR DEPORTIVO IV</t>
  </si>
  <si>
    <t>34235</t>
  </si>
  <si>
    <t>ENTRENADOR DEPORTIVO V</t>
  </si>
  <si>
    <t>34236</t>
  </si>
  <si>
    <t>ENTRENADOR DEPORTIVO VI</t>
  </si>
  <si>
    <t>34237</t>
  </si>
  <si>
    <t>ENTRENADOR DEPORTIVO VII</t>
  </si>
  <si>
    <t>32125</t>
  </si>
  <si>
    <t>ESCENOGRAFO</t>
  </si>
  <si>
    <t>35231</t>
  </si>
  <si>
    <t>ESCRIBIENTE DE REGISTRO I</t>
  </si>
  <si>
    <t>35232</t>
  </si>
  <si>
    <t>ESCRIBIENTE DE REGISTROS  II</t>
  </si>
  <si>
    <t>12310</t>
  </si>
  <si>
    <t>ESPECIALISTA EN ASISTENCIA TECNICA</t>
  </si>
  <si>
    <t>41311</t>
  </si>
  <si>
    <t>ESPECIALISTA EN EXTENSION I</t>
  </si>
  <si>
    <t>41312</t>
  </si>
  <si>
    <t>ESPECIALISTA EN EXTENSION II</t>
  </si>
  <si>
    <t>41313</t>
  </si>
  <si>
    <t>ESPECIALISTA EN EXTENSION III</t>
  </si>
  <si>
    <t>41314</t>
  </si>
  <si>
    <t>ESPECIALISTA EN EXTENSION IV</t>
  </si>
  <si>
    <t>31231</t>
  </si>
  <si>
    <t>ESPECIALISTA EN INFORMACION I</t>
  </si>
  <si>
    <t>31232</t>
  </si>
  <si>
    <t>ESPECIALISTA EN INFORMACION II</t>
  </si>
  <si>
    <t>31233</t>
  </si>
  <si>
    <t>ESPECIALISTA EN INFORMACION III</t>
  </si>
  <si>
    <t>23471</t>
  </si>
  <si>
    <t>ESPECIALISTA EN INFORMATICA I</t>
  </si>
  <si>
    <t>23472</t>
  </si>
  <si>
    <t>ESPECIALISTA EN INFORMATICA II</t>
  </si>
  <si>
    <t>36131</t>
  </si>
  <si>
    <t>ESTADISTICO I</t>
  </si>
  <si>
    <t>36132</t>
  </si>
  <si>
    <t>ESTADISTICO II</t>
  </si>
  <si>
    <t>36133</t>
  </si>
  <si>
    <t>ESTADISTICO III</t>
  </si>
  <si>
    <t>36141</t>
  </si>
  <si>
    <t>ESTADISTICO JEFE I</t>
  </si>
  <si>
    <t>36142</t>
  </si>
  <si>
    <t>ESTADISTICO JEFE II</t>
  </si>
  <si>
    <t>46960</t>
  </si>
  <si>
    <t>ESTIMADOR DE ASTILLEROS</t>
  </si>
  <si>
    <t>25810</t>
  </si>
  <si>
    <t>EXAMINADOR AUXILIADOR DE BANCO</t>
  </si>
  <si>
    <t>25821</t>
  </si>
  <si>
    <t>EXAMINADOR DE BANCOS I</t>
  </si>
  <si>
    <t>25822</t>
  </si>
  <si>
    <t>EXAMINADOR DE BANCOS II</t>
  </si>
  <si>
    <t>25823</t>
  </si>
  <si>
    <t>EXAMINADOR DE BANCOS III</t>
  </si>
  <si>
    <t>25824</t>
  </si>
  <si>
    <t>EXAMINADOR DE BANCOS IV</t>
  </si>
  <si>
    <t>25830</t>
  </si>
  <si>
    <t>EXAMINADOR DE BANCOS JEFE</t>
  </si>
  <si>
    <t>25825</t>
  </si>
  <si>
    <t>EXAMINADOR DE BANCOS V</t>
  </si>
  <si>
    <t>21641</t>
  </si>
  <si>
    <t>EXPENDEDOR DE ESPECIES FISCALES I</t>
  </si>
  <si>
    <t>21642</t>
  </si>
  <si>
    <t>EXPENDEDOR DE ESPECIES FISCALES II</t>
  </si>
  <si>
    <t>03542</t>
  </si>
  <si>
    <t>FAGOT 1</t>
  </si>
  <si>
    <t>03568</t>
  </si>
  <si>
    <t>FAGOT 2</t>
  </si>
  <si>
    <t>74211</t>
  </si>
  <si>
    <t>FARMACEUTICO I</t>
  </si>
  <si>
    <t>74212</t>
  </si>
  <si>
    <t>FARMACEUTICO II</t>
  </si>
  <si>
    <t>74213</t>
  </si>
  <si>
    <t>FARMACEUTICO III</t>
  </si>
  <si>
    <t>74221</t>
  </si>
  <si>
    <t>FARMACEUTICO JEFE I</t>
  </si>
  <si>
    <t>74222</t>
  </si>
  <si>
    <t>FARMACEUTICO JEFE II</t>
  </si>
  <si>
    <t>74231</t>
  </si>
  <si>
    <t>FARMACOLOGO I</t>
  </si>
  <si>
    <t>74232</t>
  </si>
  <si>
    <t>FARMACOLOGO II</t>
  </si>
  <si>
    <t>74233</t>
  </si>
  <si>
    <t>FARMACOLOGO III</t>
  </si>
  <si>
    <t>74240</t>
  </si>
  <si>
    <t>FARMACOLOGO JEFE</t>
  </si>
  <si>
    <t>25710</t>
  </si>
  <si>
    <t>FISCAL DE BIENES COMERCIALES</t>
  </si>
  <si>
    <t>21651</t>
  </si>
  <si>
    <t>FISCAL DE COTIZACIONES I</t>
  </si>
  <si>
    <t>21652</t>
  </si>
  <si>
    <t>FISCAL DE COTIZACIONES II</t>
  </si>
  <si>
    <t>21380</t>
  </si>
  <si>
    <t>FISCAL DE EMPRESAS</t>
  </si>
  <si>
    <t>51351</t>
  </si>
  <si>
    <t>FISCAL DE PREVENSION Y VIGILANCIA I</t>
  </si>
  <si>
    <t>51352</t>
  </si>
  <si>
    <t>FISCAL DE PREVENSION Y VIGILANCIA II</t>
  </si>
  <si>
    <t>51360</t>
  </si>
  <si>
    <t>FISCAL DE PREVENSION Y VIGILANCIA JEFE</t>
  </si>
  <si>
    <t>21321</t>
  </si>
  <si>
    <t>FISCAL DE RENTAS I</t>
  </si>
  <si>
    <t>21322</t>
  </si>
  <si>
    <t>FISCAL DE RENTAS II</t>
  </si>
  <si>
    <t>21323</t>
  </si>
  <si>
    <t>FISCAL DE RENTAS III</t>
  </si>
  <si>
    <t>21324</t>
  </si>
  <si>
    <t>FISCAL DE RENTAS IV</t>
  </si>
  <si>
    <t>21335</t>
  </si>
  <si>
    <t>FISCAL DE RENTAS JEFE</t>
  </si>
  <si>
    <t>21325</t>
  </si>
  <si>
    <t>FISCAL DE RENTAS V</t>
  </si>
  <si>
    <t>21371</t>
  </si>
  <si>
    <t>FISCAL TECNICO I</t>
  </si>
  <si>
    <t>21372</t>
  </si>
  <si>
    <t>FISCAL TECNICO II</t>
  </si>
  <si>
    <t>21373</t>
  </si>
  <si>
    <t>FISCAL TECNICO III</t>
  </si>
  <si>
    <t>21375</t>
  </si>
  <si>
    <t>FISCAL TECNICO JEFE</t>
  </si>
  <si>
    <t>72531</t>
  </si>
  <si>
    <t>FISIOTERAPEUTA I</t>
  </si>
  <si>
    <t>75532</t>
  </si>
  <si>
    <t>FISIOTERAPEUTA II</t>
  </si>
  <si>
    <t>72533</t>
  </si>
  <si>
    <t>FISIOTERAPEUTA III</t>
  </si>
  <si>
    <t>72534</t>
  </si>
  <si>
    <t>FISIOTERAPEUTA IV</t>
  </si>
  <si>
    <t>03538</t>
  </si>
  <si>
    <t>FLAUTA 1</t>
  </si>
  <si>
    <t>03564</t>
  </si>
  <si>
    <t>FLAUTA 2</t>
  </si>
  <si>
    <t>17510</t>
  </si>
  <si>
    <t>FORMADOR DE INSTRUCTORES</t>
  </si>
  <si>
    <t>37711</t>
  </si>
  <si>
    <t>FOTOGRAFO ARTISTICO I</t>
  </si>
  <si>
    <t>37712</t>
  </si>
  <si>
    <t>FOTOGRAFO ARTISTICO II</t>
  </si>
  <si>
    <t>45251</t>
  </si>
  <si>
    <t>FOTOGRAFO I</t>
  </si>
  <si>
    <t>45252</t>
  </si>
  <si>
    <t>FOTOGRAFO II</t>
  </si>
  <si>
    <t>45253</t>
  </si>
  <si>
    <t>FOTOGRAFO III</t>
  </si>
  <si>
    <t>45281</t>
  </si>
  <si>
    <t>FOTOGRAMETRISTA I</t>
  </si>
  <si>
    <t>45282</t>
  </si>
  <si>
    <t>FOTOGRAMETRISTA II</t>
  </si>
  <si>
    <t>45283</t>
  </si>
  <si>
    <t>FOTOGRAMETRISTA III</t>
  </si>
  <si>
    <t>45284</t>
  </si>
  <si>
    <t>FOTOGRAMETRISTA IV</t>
  </si>
  <si>
    <t>45290</t>
  </si>
  <si>
    <t>FOTOGRAMETRISTA JEFE</t>
  </si>
  <si>
    <t>44381</t>
  </si>
  <si>
    <t>GEMOLOGO I</t>
  </si>
  <si>
    <t>44382</t>
  </si>
  <si>
    <t>GEMOLOGO II</t>
  </si>
  <si>
    <t>36511</t>
  </si>
  <si>
    <t>GEOGRAFO I</t>
  </si>
  <si>
    <t>36512</t>
  </si>
  <si>
    <t>GEOGRAFO II</t>
  </si>
  <si>
    <t>36513</t>
  </si>
  <si>
    <t>GEOGRAFO III</t>
  </si>
  <si>
    <t>44341</t>
  </si>
  <si>
    <t>GEOLOGO I</t>
  </si>
  <si>
    <t>44342</t>
  </si>
  <si>
    <t>GEOLOGO II</t>
  </si>
  <si>
    <t>44343</t>
  </si>
  <si>
    <t>GEOLOGO III</t>
  </si>
  <si>
    <t>44351</t>
  </si>
  <si>
    <t>GEOLOGO JEFE I</t>
  </si>
  <si>
    <t>44352</t>
  </si>
  <si>
    <t>GEOLOGO JEFE II</t>
  </si>
  <si>
    <t>00900</t>
  </si>
  <si>
    <t>GOBERNADOR</t>
  </si>
  <si>
    <t>42631</t>
  </si>
  <si>
    <t>GUARDAFAUNA I</t>
  </si>
  <si>
    <t>42632</t>
  </si>
  <si>
    <t>GUARDAFAUNA II</t>
  </si>
  <si>
    <t>42633</t>
  </si>
  <si>
    <t>GUARDAFAUNA III</t>
  </si>
  <si>
    <t>79511</t>
  </si>
  <si>
    <t>GUIA DE CENTRO I</t>
  </si>
  <si>
    <t>79512</t>
  </si>
  <si>
    <t>GUIA DE CENTRO II</t>
  </si>
  <si>
    <t>21541</t>
  </si>
  <si>
    <t>HABILITADO I</t>
  </si>
  <si>
    <t>21542</t>
  </si>
  <si>
    <t>HABILITADO II</t>
  </si>
  <si>
    <t>21543</t>
  </si>
  <si>
    <t>HABILITADO III</t>
  </si>
  <si>
    <t>21550</t>
  </si>
  <si>
    <t>HABILITADO JEFE</t>
  </si>
  <si>
    <t>43911</t>
  </si>
  <si>
    <t>HIDROGRAFO I</t>
  </si>
  <si>
    <t>43916</t>
  </si>
  <si>
    <t>HIDROGRAFO II</t>
  </si>
  <si>
    <t>43920</t>
  </si>
  <si>
    <t>HIDROGRAFO JEFE</t>
  </si>
  <si>
    <t>43631</t>
  </si>
  <si>
    <t>HIDROMETEOROLOGISTA I</t>
  </si>
  <si>
    <t>43632</t>
  </si>
  <si>
    <t>HIDROMETEOROLOGISTA II</t>
  </si>
  <si>
    <t>43633</t>
  </si>
  <si>
    <t>HIDROMETEOROLOGISTA III</t>
  </si>
  <si>
    <t>73121</t>
  </si>
  <si>
    <t>HIGIENISTA DENTAL I</t>
  </si>
  <si>
    <t>73122</t>
  </si>
  <si>
    <t>HIGIENISTA DENTAL II</t>
  </si>
  <si>
    <t>51361</t>
  </si>
  <si>
    <t>INFORMADOR DE AEROPUERTO I</t>
  </si>
  <si>
    <t>51362</t>
  </si>
  <si>
    <t>INFORMADOR DE AEROPUERTO II</t>
  </si>
  <si>
    <t>71111</t>
  </si>
  <si>
    <t>INFORMADOR TURISTICO  I</t>
  </si>
  <si>
    <t>31521</t>
  </si>
  <si>
    <t>INFORMADOR TURISTICO I</t>
  </si>
  <si>
    <t>31522</t>
  </si>
  <si>
    <t>INFORMADOR TURISTICO II</t>
  </si>
  <si>
    <t>31523</t>
  </si>
  <si>
    <t>INFORMADOR TURISTICO III</t>
  </si>
  <si>
    <t>31524</t>
  </si>
  <si>
    <t>INFORMADOR TURISTICO IV</t>
  </si>
  <si>
    <t>31530</t>
  </si>
  <si>
    <t>INFORMADOR TURISTICO JEFE</t>
  </si>
  <si>
    <t>46411</t>
  </si>
  <si>
    <t>INGENIERO AERONAUTICO I</t>
  </si>
  <si>
    <t>46412</t>
  </si>
  <si>
    <t>INGENIERO AERONAUTICO II</t>
  </si>
  <si>
    <t>41151</t>
  </si>
  <si>
    <t>INGENIERO AGRONOMO I</t>
  </si>
  <si>
    <t>41152</t>
  </si>
  <si>
    <t>INGENIERO AGRONOMO II</t>
  </si>
  <si>
    <t>41153</t>
  </si>
  <si>
    <t>INGENIERO AGRONOMO III</t>
  </si>
  <si>
    <t>41154</t>
  </si>
  <si>
    <t>INGENIERO AGRONOMO IV</t>
  </si>
  <si>
    <t>41160</t>
  </si>
  <si>
    <t>INGENIERO AGRONOMO JEFE</t>
  </si>
  <si>
    <t>41155</t>
  </si>
  <si>
    <t>INGENIERO AGRONOMO V</t>
  </si>
  <si>
    <t>43421</t>
  </si>
  <si>
    <t>INGENIERO CIVIL I</t>
  </si>
  <si>
    <t>43422</t>
  </si>
  <si>
    <t>INGENIERO CIVIL II</t>
  </si>
  <si>
    <t>43423</t>
  </si>
  <si>
    <t>INGENIERO CIVIL III</t>
  </si>
  <si>
    <t>43431</t>
  </si>
  <si>
    <t>INGENIERO CIVIL JEFE I</t>
  </si>
  <si>
    <t>43432</t>
  </si>
  <si>
    <t>INGENIERO CIVIL JEFE II</t>
  </si>
  <si>
    <t>43433</t>
  </si>
  <si>
    <t>INGENIERO CIVIL JEFE III</t>
  </si>
  <si>
    <t>44411</t>
  </si>
  <si>
    <t>INGENIERO DE MINA I</t>
  </si>
  <si>
    <t>44412</t>
  </si>
  <si>
    <t>INGENIERO DE MINAS II</t>
  </si>
  <si>
    <t>44413</t>
  </si>
  <si>
    <t>INGENIERO DE MINAS III</t>
  </si>
  <si>
    <t>44421</t>
  </si>
  <si>
    <t>INGENIERO DE MINAS JEFE I</t>
  </si>
  <si>
    <t>44422</t>
  </si>
  <si>
    <t>INGENIERO DE MINAS JEFE II</t>
  </si>
  <si>
    <t>46511</t>
  </si>
  <si>
    <t>INGENIERO ELECTRICISTA I</t>
  </si>
  <si>
    <t>46512</t>
  </si>
  <si>
    <t>INGENIERO ELECTRICISTA II</t>
  </si>
  <si>
    <t>46513</t>
  </si>
  <si>
    <t>INGENIERO ELECTRICISTA III</t>
  </si>
  <si>
    <t>46520</t>
  </si>
  <si>
    <t>INGENIERO ELECTRICISTA JEFE</t>
  </si>
  <si>
    <t>41721</t>
  </si>
  <si>
    <t>INGENIERO FORESTAL I</t>
  </si>
  <si>
    <t>41722</t>
  </si>
  <si>
    <t>INGENIERO FORESTAL II</t>
  </si>
  <si>
    <t>41723</t>
  </si>
  <si>
    <t>INGENIERO FORESTAL III</t>
  </si>
  <si>
    <t>41731</t>
  </si>
  <si>
    <t>INGENIERO FORESTAL JEFE I</t>
  </si>
  <si>
    <t>41732</t>
  </si>
  <si>
    <t>INGENIERO FORESTAL JEFE II</t>
  </si>
  <si>
    <t>44436</t>
  </si>
  <si>
    <t>INGENIERO GEODESTA I</t>
  </si>
  <si>
    <t>44362</t>
  </si>
  <si>
    <t>INGENIERO GEODESTA II</t>
  </si>
  <si>
    <t>44363</t>
  </si>
  <si>
    <t>INGENIERO GEODESTA III</t>
  </si>
  <si>
    <t>44371</t>
  </si>
  <si>
    <t>INGENIERO GEODESTA JEFE I</t>
  </si>
  <si>
    <t>44372</t>
  </si>
  <si>
    <t>INGENIERO GEODESTA JEFE II</t>
  </si>
  <si>
    <t>43651</t>
  </si>
  <si>
    <t>INGENIERO HIDROMETEOROLISTA JEFE I</t>
  </si>
  <si>
    <t>43652</t>
  </si>
  <si>
    <t>INGENIERO HIDROMETEOROLISTA JEFE II</t>
  </si>
  <si>
    <t>43641</t>
  </si>
  <si>
    <t>INGENIERO HIDROMETEOROLOGISTA I</t>
  </si>
  <si>
    <t>43642</t>
  </si>
  <si>
    <t>INGENIERO HIDROMETEOROLOSTA II</t>
  </si>
  <si>
    <t>43643</t>
  </si>
  <si>
    <t>INGENIERO HIROMETEROLOGISTA III</t>
  </si>
  <si>
    <t>46611</t>
  </si>
  <si>
    <t>INGENIERO INDUSTRIAL I</t>
  </si>
  <si>
    <t>46612</t>
  </si>
  <si>
    <t>INGENIERO INDUSTRIAL II</t>
  </si>
  <si>
    <t>46613</t>
  </si>
  <si>
    <t>INGENIERO INDUSTRIAL III</t>
  </si>
  <si>
    <t>46311</t>
  </si>
  <si>
    <t>INGENIERO MECANICO I</t>
  </si>
  <si>
    <t>46312</t>
  </si>
  <si>
    <t>INGENIERO MECANICO II</t>
  </si>
  <si>
    <t>46313</t>
  </si>
  <si>
    <t>INGENIERO MECANICO III</t>
  </si>
  <si>
    <t>46320</t>
  </si>
  <si>
    <t>INGENIERO MECANICO JEFE</t>
  </si>
  <si>
    <t>44210</t>
  </si>
  <si>
    <t>INGENIERO METALURGICO</t>
  </si>
  <si>
    <t>46811</t>
  </si>
  <si>
    <t>INGENIERO NAVAL I</t>
  </si>
  <si>
    <t>46812</t>
  </si>
  <si>
    <t>INGENIERO NAVAL II</t>
  </si>
  <si>
    <t>46813</t>
  </si>
  <si>
    <t>INGENIERO NAVAL III</t>
  </si>
  <si>
    <t>46820</t>
  </si>
  <si>
    <t>INGENIERO NAVAL JEFE</t>
  </si>
  <si>
    <t>46711</t>
  </si>
  <si>
    <t>INGENIERO NUCLEAR I</t>
  </si>
  <si>
    <t>46712</t>
  </si>
  <si>
    <t>INGENIERO NUCLEAR II</t>
  </si>
  <si>
    <t>46713</t>
  </si>
  <si>
    <t>INGENIERO NUCLEAR III</t>
  </si>
  <si>
    <t>46720</t>
  </si>
  <si>
    <t>INGENIERO NUCLEAR JEFE</t>
  </si>
  <si>
    <t>44521</t>
  </si>
  <si>
    <t>INGENIERO PETROLERO I</t>
  </si>
  <si>
    <t>44522</t>
  </si>
  <si>
    <t>INGENIERO PETROLERO II</t>
  </si>
  <si>
    <t>44523</t>
  </si>
  <si>
    <t>INGENIERO PETROLERO III</t>
  </si>
  <si>
    <t>44531</t>
  </si>
  <si>
    <t>INGENIERO PETROLERO JEFE I</t>
  </si>
  <si>
    <t>44532</t>
  </si>
  <si>
    <t>INGENIERO PETROLERO JEFE II</t>
  </si>
  <si>
    <t>44741</t>
  </si>
  <si>
    <t>INGENIERO QUIMICO I</t>
  </si>
  <si>
    <t>44742</t>
  </si>
  <si>
    <t>INGENIERO QUIMICO II</t>
  </si>
  <si>
    <t>44743</t>
  </si>
  <si>
    <t>INGENIERO QUIMICO III</t>
  </si>
  <si>
    <t>44751</t>
  </si>
  <si>
    <t>INGENIERO QUIMICO JEFE I</t>
  </si>
  <si>
    <t>44752</t>
  </si>
  <si>
    <t>INGENIERO QUMICO JEFE II</t>
  </si>
  <si>
    <t>43441</t>
  </si>
  <si>
    <t>INGENIERO SANITARIO I</t>
  </si>
  <si>
    <t>43442</t>
  </si>
  <si>
    <t>INGENIERO SANITARIO II</t>
  </si>
  <si>
    <t>43443</t>
  </si>
  <si>
    <t>INGENIERO SANITARIO III</t>
  </si>
  <si>
    <t>43451</t>
  </si>
  <si>
    <t>INGENIERO SANITARIO JEFE I</t>
  </si>
  <si>
    <t>43452</t>
  </si>
  <si>
    <t>INGENIERO SANITARIO JEFE II</t>
  </si>
  <si>
    <t>43453</t>
  </si>
  <si>
    <t>INGENIERO SANITARIO JEFE III</t>
  </si>
  <si>
    <t>43311</t>
  </si>
  <si>
    <t>INPECTOR DE MAQUINARIAS I</t>
  </si>
  <si>
    <t>35213</t>
  </si>
  <si>
    <t>INSP. NACIONAL DE REGIST Y NOTARIAS III</t>
  </si>
  <si>
    <t>35212</t>
  </si>
  <si>
    <t>INSP. NACIONAL DE REGIST. Y NOTARIAS II</t>
  </si>
  <si>
    <t>35220</t>
  </si>
  <si>
    <t>INSPEC NACIONAL DE REG. Y NOTARIAS JEFE</t>
  </si>
  <si>
    <t>21711</t>
  </si>
  <si>
    <t>INSPEC.  RELACIONES CON EL SEGURO SOCIAL</t>
  </si>
  <si>
    <t>35211</t>
  </si>
  <si>
    <t>INSPEC. NACIONAL DE REGISTROS Y NOTARIAS</t>
  </si>
  <si>
    <t>21712</t>
  </si>
  <si>
    <t>INSPEC. RELACIONES SEGURO SOCIAL II</t>
  </si>
  <si>
    <t>21411</t>
  </si>
  <si>
    <t>INSPECTOR ADMINISTRATIVO I</t>
  </si>
  <si>
    <t>21413</t>
  </si>
  <si>
    <t>INSPECTOR ADMINISTRATIVO III</t>
  </si>
  <si>
    <t>21414</t>
  </si>
  <si>
    <t>INSPECTOR ADMINISTRATIVO IV</t>
  </si>
  <si>
    <t>21425</t>
  </si>
  <si>
    <t>INSPECTOR ADMINISTRATIVO JEFE</t>
  </si>
  <si>
    <t>21412</t>
  </si>
  <si>
    <t>INSPECTOR AMDINISTRATIVO II</t>
  </si>
  <si>
    <t>43460</t>
  </si>
  <si>
    <t>INSPECTOR AUX. DE OBRAS DE INGENIERIA</t>
  </si>
  <si>
    <t>51750</t>
  </si>
  <si>
    <t>INSPECTOR DE AEROPUERTOS</t>
  </si>
  <si>
    <t>44611</t>
  </si>
  <si>
    <t>INSPECTOR DE DERIVADOS HIDROCARBUROS I</t>
  </si>
  <si>
    <t>44612</t>
  </si>
  <si>
    <t>INSPECTOR DE DERIVADOS HIDROCARBUROS II</t>
  </si>
  <si>
    <t>43210</t>
  </si>
  <si>
    <t>INSPECTOR DE INMUEBLES</t>
  </si>
  <si>
    <t>43312</t>
  </si>
  <si>
    <t>INSPECTOR DE MAQUINARIAS II</t>
  </si>
  <si>
    <t>46171</t>
  </si>
  <si>
    <t>INSPECTOR DE MECANICA DE AVIACION I</t>
  </si>
  <si>
    <t>46172</t>
  </si>
  <si>
    <t>INSPECTOR DE MECANICA DE AVIACION II</t>
  </si>
  <si>
    <t>46173</t>
  </si>
  <si>
    <t>INSPECTOR DE MECANICA DE AVIACION III</t>
  </si>
  <si>
    <t>43471</t>
  </si>
  <si>
    <t>INSPECTOR DE OBRAS DE INGENIERIA I</t>
  </si>
  <si>
    <t>43472</t>
  </si>
  <si>
    <t>INSPECTOR DE OBRAS DE INGENIERIA II</t>
  </si>
  <si>
    <t>82210</t>
  </si>
  <si>
    <t>INSPECTOR DE PRISIONES</t>
  </si>
  <si>
    <t>82220</t>
  </si>
  <si>
    <t>INSPECTOR DE PRISIONES JEFE</t>
  </si>
  <si>
    <t>53230</t>
  </si>
  <si>
    <t>INSPECTOR DE PUERTOS</t>
  </si>
  <si>
    <t>21311</t>
  </si>
  <si>
    <t>INSPECTOR DE RENTAS I</t>
  </si>
  <si>
    <t>21312</t>
  </si>
  <si>
    <t>INSPECTOR DE RENTAS II</t>
  </si>
  <si>
    <t>21315</t>
  </si>
  <si>
    <t>INSPECTOR DE RENTAS JEFE</t>
  </si>
  <si>
    <t>76233</t>
  </si>
  <si>
    <t>INSPECTOR DE SALID PUBLICA III</t>
  </si>
  <si>
    <t>76231</t>
  </si>
  <si>
    <t>INSPECTOR DE SALUD PUBLICA I</t>
  </si>
  <si>
    <t>46232</t>
  </si>
  <si>
    <t>INSPECTOR DE SALUD PUBLICA II</t>
  </si>
  <si>
    <t>76234</t>
  </si>
  <si>
    <t>INSPECTOR DE SALUD PUBLICA IV</t>
  </si>
  <si>
    <t>85111</t>
  </si>
  <si>
    <t>INSPECTOR DE SEGURIDAD INDUSTRIAL</t>
  </si>
  <si>
    <t>85112</t>
  </si>
  <si>
    <t>INSPECTOR DE SEGURIDAD INDUSTRIAL II</t>
  </si>
  <si>
    <t>85113</t>
  </si>
  <si>
    <t>INSPECTOR DE SEGURIDAD INDUSTRIAL III</t>
  </si>
  <si>
    <t>85114</t>
  </si>
  <si>
    <t>INSPECTOR DE SEGURIDAD INDUSTRIAL IV</t>
  </si>
  <si>
    <t>25511</t>
  </si>
  <si>
    <t>INSPECTOR DE SEGUROS COMERCIALES I</t>
  </si>
  <si>
    <t>25512</t>
  </si>
  <si>
    <t>INSPECTOR DE SEGUROS COMERCIALES II</t>
  </si>
  <si>
    <t>25520</t>
  </si>
  <si>
    <t>INSPECTOR DE SEGUROS COMERIALES JEFE</t>
  </si>
  <si>
    <t>25513</t>
  </si>
  <si>
    <t>INSPECTOR DE SEUGROS COMERCIALES III</t>
  </si>
  <si>
    <t>51731</t>
  </si>
  <si>
    <t>INSPECTOR DE TELECOMUNICACIONES I</t>
  </si>
  <si>
    <t>51732</t>
  </si>
  <si>
    <t>INSPECTOR DE TELECOMUNICACIONES II</t>
  </si>
  <si>
    <t>51733</t>
  </si>
  <si>
    <t>INSPECTOR DE TELECOMUNICACIONES III</t>
  </si>
  <si>
    <t>84321</t>
  </si>
  <si>
    <t>INSPECTOR DE TRABAJO I</t>
  </si>
  <si>
    <t>84322</t>
  </si>
  <si>
    <t>INSPECTOR DE TRABAJO II</t>
  </si>
  <si>
    <t>84323</t>
  </si>
  <si>
    <t>INSPECTOR DE TRABAJO III</t>
  </si>
  <si>
    <t>84324</t>
  </si>
  <si>
    <t>INSPECTOR DE TRABAJO IV</t>
  </si>
  <si>
    <t>84325</t>
  </si>
  <si>
    <t>INSPECTOR DE TRABAJO V</t>
  </si>
  <si>
    <t>52121</t>
  </si>
  <si>
    <t>INSPECTOR DE TRANSPORTE I</t>
  </si>
  <si>
    <t>52122</t>
  </si>
  <si>
    <t>INSPECTOR DE TRANSPORTE II</t>
  </si>
  <si>
    <t>52255</t>
  </si>
  <si>
    <t>INSPECTOR DE ZONAS MARITIMAS</t>
  </si>
  <si>
    <t>64110</t>
  </si>
  <si>
    <t>INSPECTOR ELECTRICISTA</t>
  </si>
  <si>
    <t>21361</t>
  </si>
  <si>
    <t>INSPECTOR GENERAL DE HACIENDA I</t>
  </si>
  <si>
    <t>21362</t>
  </si>
  <si>
    <t>INSPECTOR GENERAL DE HACIENDA II</t>
  </si>
  <si>
    <t>21363</t>
  </si>
  <si>
    <t>INSPECTOR GENERAL DE HACIENDA III</t>
  </si>
  <si>
    <t>21364</t>
  </si>
  <si>
    <t>INSPECTOR GENERAL DE HACIENDA IV</t>
  </si>
  <si>
    <t>86130</t>
  </si>
  <si>
    <t>INSPECTOR IDENTIFICACION Y EXTRANJERIA</t>
  </si>
  <si>
    <t>31561</t>
  </si>
  <si>
    <t>INSPECTOR TURISTICO I</t>
  </si>
  <si>
    <t>31562</t>
  </si>
  <si>
    <t>INSPECTOR TURISTICO II</t>
  </si>
  <si>
    <t>31563</t>
  </si>
  <si>
    <t>INSPECTOR TURISTICO III</t>
  </si>
  <si>
    <t>31564</t>
  </si>
  <si>
    <t>INSPECTOR TURISTICO IV</t>
  </si>
  <si>
    <t>31571</t>
  </si>
  <si>
    <t>INSPECTOR TURISTICO JEFE I</t>
  </si>
  <si>
    <t>31572</t>
  </si>
  <si>
    <t>INSPECTOR TURISTICO JEFE II</t>
  </si>
  <si>
    <t>16410</t>
  </si>
  <si>
    <t>INSTRC. DE ALFABETIZACION Y EDUC. BASICA</t>
  </si>
  <si>
    <t>17340</t>
  </si>
  <si>
    <t>INSTRC. FORMACION PROF. EN EL AREA COMER</t>
  </si>
  <si>
    <t>17320</t>
  </si>
  <si>
    <t>INSTRUC FORMACION PROF, ART,Y SERV.</t>
  </si>
  <si>
    <t>41411</t>
  </si>
  <si>
    <t>INSTRUCTOR AGROPECUARIO I</t>
  </si>
  <si>
    <t>41413</t>
  </si>
  <si>
    <t>INSTRUCTOR AGROPECUARIO III</t>
  </si>
  <si>
    <t>41421</t>
  </si>
  <si>
    <t>INSTRUCTOR AGROPECUARIO JEFE I</t>
  </si>
  <si>
    <t>41422</t>
  </si>
  <si>
    <t>INSTRUCTOR AGROPECURIO JEFE II</t>
  </si>
  <si>
    <t>71370</t>
  </si>
  <si>
    <t>INSTRUCTOR DE ENFERMERIA</t>
  </si>
  <si>
    <t>54110</t>
  </si>
  <si>
    <t>INSTRUCTOR DE ERONAUTICA CIVIL</t>
  </si>
  <si>
    <t>17330</t>
  </si>
  <si>
    <t>INSTRUCTOR DE FORM. PROFESIONAL EN EL AREA DE OFICINA</t>
  </si>
  <si>
    <t>17212</t>
  </si>
  <si>
    <t>INSTRUCTOR DE FORMACION EMPRESARIA II</t>
  </si>
  <si>
    <t>17211</t>
  </si>
  <si>
    <t>INSTRUCTOR DE FORMACION EMPRESARIAL</t>
  </si>
  <si>
    <t>17213</t>
  </si>
  <si>
    <t>INSTRUCTOR DE FORMACION EMPRESARIAL III</t>
  </si>
  <si>
    <t>17920</t>
  </si>
  <si>
    <t>INSTRUCTOR DE PRE-ESCOLAR</t>
  </si>
  <si>
    <t>54210</t>
  </si>
  <si>
    <t>INSTRUCTOR DE TECNICAS NAUTICAS</t>
  </si>
  <si>
    <t>54220</t>
  </si>
  <si>
    <t>INSTRUCTOR DE TECNICAS NAUTICAS JEFE</t>
  </si>
  <si>
    <t>54140</t>
  </si>
  <si>
    <t>INSTRUCTOR INSTRUMENTAL DE VUELO</t>
  </si>
  <si>
    <t>41412</t>
  </si>
  <si>
    <t>INSTURCTOR AGROPECUARIO II</t>
  </si>
  <si>
    <t>03750</t>
  </si>
  <si>
    <t>INTENDENTE DE HOSPITAL I</t>
  </si>
  <si>
    <t>71212</t>
  </si>
  <si>
    <t>INTENDENTE DE HOSPITAL II</t>
  </si>
  <si>
    <t>71213</t>
  </si>
  <si>
    <t>INTENDENTE DE HOSPITAL III</t>
  </si>
  <si>
    <t>71214</t>
  </si>
  <si>
    <t>INTENDENTE DE HOSPITAL IV</t>
  </si>
  <si>
    <t>71215</t>
  </si>
  <si>
    <t>INTENDENTE DE HOSPITAL V</t>
  </si>
  <si>
    <t>53122</t>
  </si>
  <si>
    <t>INTERVENTOR DE ADUANAS II</t>
  </si>
  <si>
    <t>53123</t>
  </si>
  <si>
    <t>INTERVENTOR DE ADUANAS III</t>
  </si>
  <si>
    <t>53121</t>
  </si>
  <si>
    <t>INTERVENTOR DE ADUNAS I</t>
  </si>
  <si>
    <t>37321</t>
  </si>
  <si>
    <t>INVESTIGADOR DE MUSEO I</t>
  </si>
  <si>
    <t>37322</t>
  </si>
  <si>
    <t>INVESTIGADOR DE MUSEO II</t>
  </si>
  <si>
    <t>37323</t>
  </si>
  <si>
    <t>INVESTIGADOR DE MUSEO III</t>
  </si>
  <si>
    <t>41220</t>
  </si>
  <si>
    <t>INVESTIGADOR EN ADIESTRAMIENTO</t>
  </si>
  <si>
    <t>41221</t>
  </si>
  <si>
    <t>INVESTIGADOR I</t>
  </si>
  <si>
    <t>41222</t>
  </si>
  <si>
    <t>INVESTIGADOR II</t>
  </si>
  <si>
    <t>41223</t>
  </si>
  <si>
    <t>INVESTIGADOR III</t>
  </si>
  <si>
    <t>41224</t>
  </si>
  <si>
    <t>INVESTIGADOR IV</t>
  </si>
  <si>
    <t>41230</t>
  </si>
  <si>
    <t>INVESTIGADOR JEFE</t>
  </si>
  <si>
    <t>36811</t>
  </si>
  <si>
    <t>INVESTIGADOR SOCIAL I</t>
  </si>
  <si>
    <t>36812</t>
  </si>
  <si>
    <t>INVESTIGADOR SOCIAL II</t>
  </si>
  <si>
    <t>36813</t>
  </si>
  <si>
    <t>INVESTIGADOR SOCIAL III</t>
  </si>
  <si>
    <t>36820</t>
  </si>
  <si>
    <t>INVESTIGADOR SOCIAL JEFE</t>
  </si>
  <si>
    <t>41225</t>
  </si>
  <si>
    <t>INVESTIGADOR V</t>
  </si>
  <si>
    <t>53221</t>
  </si>
  <si>
    <t>JEE DE SERVICIOS PORTUARIOS I</t>
  </si>
  <si>
    <t>52295</t>
  </si>
  <si>
    <t>JEFE CAPITAN DE PUERTO</t>
  </si>
  <si>
    <t>79532</t>
  </si>
  <si>
    <t>JEFE CENTRO ATENCION POR ABANDONO</t>
  </si>
  <si>
    <t>79533</t>
  </si>
  <si>
    <t>JEFE CENTRO ATENCION POR TRATAMIENTO</t>
  </si>
  <si>
    <t>34120</t>
  </si>
  <si>
    <t>JEFE CENTRO AUDIOVISUAL</t>
  </si>
  <si>
    <t>79531</t>
  </si>
  <si>
    <t>JEFE CENTRO DE PREVENCION</t>
  </si>
  <si>
    <t>36432</t>
  </si>
  <si>
    <t>JEFE CENTRO INDIGENISTA II</t>
  </si>
  <si>
    <t>36431</t>
  </si>
  <si>
    <t>JEFE CENTRO INDIGENITA I</t>
  </si>
  <si>
    <t>51331</t>
  </si>
  <si>
    <t>JEFE DE AEROPUERTO I</t>
  </si>
  <si>
    <t>51332</t>
  </si>
  <si>
    <t>JEFE DE AEROPUERTO II</t>
  </si>
  <si>
    <t>51333</t>
  </si>
  <si>
    <t>JEFE DE AEROPUERTO III</t>
  </si>
  <si>
    <t>51334</t>
  </si>
  <si>
    <t>JEFE DE AEROPUERTO IV</t>
  </si>
  <si>
    <t>51335</t>
  </si>
  <si>
    <t>JEFE DE AEROPUERTO V</t>
  </si>
  <si>
    <t>43320</t>
  </si>
  <si>
    <t>JEFE DE CONTROL DE MAQUINAS</t>
  </si>
  <si>
    <t>00906</t>
  </si>
  <si>
    <t>JEFE DE DEPARTAMENTO</t>
  </si>
  <si>
    <t>00905</t>
  </si>
  <si>
    <t>JEFE DE DIVISION</t>
  </si>
  <si>
    <t>00919</t>
  </si>
  <si>
    <t>JEFE DE DIVISION ADMINISTRATIVO</t>
  </si>
  <si>
    <t>00922</t>
  </si>
  <si>
    <t>JEFE DE EJECUCION Y CONTROL DE PRESUPUES</t>
  </si>
  <si>
    <t>23461</t>
  </si>
  <si>
    <t>JEFE DE INFORMATICA I</t>
  </si>
  <si>
    <t>23462</t>
  </si>
  <si>
    <t>JEFE DE INFORMATICA II</t>
  </si>
  <si>
    <t>23463</t>
  </si>
  <si>
    <t>JEFE DE INFORMATICA III</t>
  </si>
  <si>
    <t>45230</t>
  </si>
  <si>
    <t>JEFE DE LABORATORIO DE AEROFOTOGRAFIA</t>
  </si>
  <si>
    <t>52321</t>
  </si>
  <si>
    <t>JEFE DE MAQUINAS I</t>
  </si>
  <si>
    <t>52322</t>
  </si>
  <si>
    <t>JEFE DE MAQUINAS II</t>
  </si>
  <si>
    <t>00923</t>
  </si>
  <si>
    <t>JEFE DE OBREROS</t>
  </si>
  <si>
    <t>00907</t>
  </si>
  <si>
    <t>JEFE DE OFICINA</t>
  </si>
  <si>
    <t>36780</t>
  </si>
  <si>
    <t>JEFE DE PABELLON DE FERIAS</t>
  </si>
  <si>
    <t>17930</t>
  </si>
  <si>
    <t>JEFE DE PRE-ESCOLAR</t>
  </si>
  <si>
    <t>31341</t>
  </si>
  <si>
    <t>JEFE DE RELACIONES PUBLICAS I</t>
  </si>
  <si>
    <t>31342</t>
  </si>
  <si>
    <t>JEFE DE RELACIONES PUBLICAS II</t>
  </si>
  <si>
    <t>31343</t>
  </si>
  <si>
    <t>JEFE DE RELACIONES PUBLICAS III</t>
  </si>
  <si>
    <t>00910</t>
  </si>
  <si>
    <t>JEFE DE SECCION</t>
  </si>
  <si>
    <t>53222</t>
  </si>
  <si>
    <t>JEFE DE SERVICIOS PORTUARIOS II</t>
  </si>
  <si>
    <t>53223</t>
  </si>
  <si>
    <t>JEFE DE SERVICIOS PORTUARIOS III</t>
  </si>
  <si>
    <t>53224</t>
  </si>
  <si>
    <t>JEFE DE SERVICIOS PORTUARIOS IV</t>
  </si>
  <si>
    <t>52141</t>
  </si>
  <si>
    <t>JEFE DE TRANSPORTE AUTOMOTOR I</t>
  </si>
  <si>
    <t>52143</t>
  </si>
  <si>
    <t>JEFE DE TRANSPORTE AUTONOMOR III</t>
  </si>
  <si>
    <t>52142</t>
  </si>
  <si>
    <t>JEFE DE TRASPORTE AUTOMOTOR II</t>
  </si>
  <si>
    <t>00908</t>
  </si>
  <si>
    <t>JEFE DE ZONA</t>
  </si>
  <si>
    <t>76310</t>
  </si>
  <si>
    <t>JEFE DE ZONA DE SANEAMIENTO AMBIENTAL</t>
  </si>
  <si>
    <t>52260</t>
  </si>
  <si>
    <t>JEFE ESTACION DE PILOTO</t>
  </si>
  <si>
    <t>00928</t>
  </si>
  <si>
    <t>JEFE SECCION DE RENDICION DE CUENTAS</t>
  </si>
  <si>
    <t>12210</t>
  </si>
  <si>
    <t>JEFE TECNICO AMDINISTRATIVO</t>
  </si>
  <si>
    <t>32230</t>
  </si>
  <si>
    <t>LABORATORISTA CINEMATOGRAFICO</t>
  </si>
  <si>
    <t>45121</t>
  </si>
  <si>
    <t>LABORATORISTA I</t>
  </si>
  <si>
    <t>45122</t>
  </si>
  <si>
    <t>LABORATORISTA II</t>
  </si>
  <si>
    <t>45123</t>
  </si>
  <si>
    <t>LABORATORISTA III</t>
  </si>
  <si>
    <t>32160</t>
  </si>
  <si>
    <t>LIBRETISTA DE RADIO</t>
  </si>
  <si>
    <t>44131</t>
  </si>
  <si>
    <t>LIQUIDADOR DE HIDROCARBUROS I</t>
  </si>
  <si>
    <t>44132</t>
  </si>
  <si>
    <t>LIQUIDADOR DE HIDROCARBUROS II</t>
  </si>
  <si>
    <t>44133</t>
  </si>
  <si>
    <t>LIQUIDADOR DE HIDROCARBUROS III</t>
  </si>
  <si>
    <t>44140</t>
  </si>
  <si>
    <t>LIQUIDADOR DE HIDROCARBUROS JEFE</t>
  </si>
  <si>
    <t>21341</t>
  </si>
  <si>
    <t>LIQUIDADOR I</t>
  </si>
  <si>
    <t>21342</t>
  </si>
  <si>
    <t>LIQUIDADOR II</t>
  </si>
  <si>
    <t>21343</t>
  </si>
  <si>
    <t>LIQUIDADOR III</t>
  </si>
  <si>
    <t>21345</t>
  </si>
  <si>
    <t>LIQUIDADOR JEFE</t>
  </si>
  <si>
    <t>32141</t>
  </si>
  <si>
    <t>LOCUTOR I</t>
  </si>
  <si>
    <t>32142</t>
  </si>
  <si>
    <t>LOCUTOR II</t>
  </si>
  <si>
    <t>43521</t>
  </si>
  <si>
    <t>MAQUETISTA I</t>
  </si>
  <si>
    <t>43522</t>
  </si>
  <si>
    <t>MAQUETISTA II</t>
  </si>
  <si>
    <t>32115</t>
  </si>
  <si>
    <t>MAQUILLADOR</t>
  </si>
  <si>
    <t>52350</t>
  </si>
  <si>
    <t>MAQUINISTA DE REMOLCADOR</t>
  </si>
  <si>
    <t>52390</t>
  </si>
  <si>
    <t>MAQUINISTA DE TRANSPORTE NAVAL</t>
  </si>
  <si>
    <t>47221</t>
  </si>
  <si>
    <t>MATEMATICO I</t>
  </si>
  <si>
    <t>47222</t>
  </si>
  <si>
    <t>MATEMATICO II</t>
  </si>
  <si>
    <t>62400</t>
  </si>
  <si>
    <t>MAYOR (BOMBERO)</t>
  </si>
  <si>
    <t>75211</t>
  </si>
  <si>
    <t>MEDICO DE SALUD PUBLICA I</t>
  </si>
  <si>
    <t>75212</t>
  </si>
  <si>
    <t>MEDICO DE SALUD PUBLICA II</t>
  </si>
  <si>
    <t>75213</t>
  </si>
  <si>
    <t>MEDICO DE SALUD PUBLICA III</t>
  </si>
  <si>
    <t>75221</t>
  </si>
  <si>
    <t>MEDICO DE SALUD PUBLICA JEFE</t>
  </si>
  <si>
    <t>75222</t>
  </si>
  <si>
    <t>MEDICO DE SALUD PUBLICA JEFE II</t>
  </si>
  <si>
    <t>75223</t>
  </si>
  <si>
    <t>MEDICO DE SALUD PUBLICA JEFE III</t>
  </si>
  <si>
    <t>75151</t>
  </si>
  <si>
    <t>MEDICO DIRECTOR DE HOSPITAL I</t>
  </si>
  <si>
    <t>75152</t>
  </si>
  <si>
    <t>MEDICO DIRECTOR DE HOSPITAL II</t>
  </si>
  <si>
    <t>75153</t>
  </si>
  <si>
    <t>MEDICO DIRECTOR DE HOSPITAL III</t>
  </si>
  <si>
    <t>75154</t>
  </si>
  <si>
    <t>MEDICO DIRECTOR DE HOSPITAL IV</t>
  </si>
  <si>
    <t>75311</t>
  </si>
  <si>
    <t>MEDICO ESPECIALISTA I</t>
  </si>
  <si>
    <t>75312</t>
  </si>
  <si>
    <t>MEDICO ESPECIALISTA II</t>
  </si>
  <si>
    <t>75131</t>
  </si>
  <si>
    <t>MEDICO I</t>
  </si>
  <si>
    <t>75132</t>
  </si>
  <si>
    <t>MEDICO II</t>
  </si>
  <si>
    <t>75110</t>
  </si>
  <si>
    <t>MEDICO INTERNO</t>
  </si>
  <si>
    <t>75141</t>
  </si>
  <si>
    <t>MEDICO JEFE I</t>
  </si>
  <si>
    <t>75142</t>
  </si>
  <si>
    <t>MEDICO JEFE II</t>
  </si>
  <si>
    <t>75143</t>
  </si>
  <si>
    <t>MEDICO JEFE III</t>
  </si>
  <si>
    <t>75144</t>
  </si>
  <si>
    <t>MEDICO JEFE IV</t>
  </si>
  <si>
    <t>75120</t>
  </si>
  <si>
    <t>MEDICO RESIDENTE</t>
  </si>
  <si>
    <t>78211</t>
  </si>
  <si>
    <t>MEDICO VETERINARIO I</t>
  </si>
  <si>
    <t>78212</t>
  </si>
  <si>
    <t>MEDICO VETERINARIO II</t>
  </si>
  <si>
    <t>78213</t>
  </si>
  <si>
    <t>MEDICO VETERINARIO III</t>
  </si>
  <si>
    <t>78221</t>
  </si>
  <si>
    <t>MEDICO VETERINARIO JEFE I</t>
  </si>
  <si>
    <t>78222</t>
  </si>
  <si>
    <t>MEDICO VETERINARIO JEFE II</t>
  </si>
  <si>
    <t>84231</t>
  </si>
  <si>
    <t>METROLOGO I</t>
  </si>
  <si>
    <t>84232</t>
  </si>
  <si>
    <t>METROLOGO II</t>
  </si>
  <si>
    <t>84233</t>
  </si>
  <si>
    <t>METROLOGO III</t>
  </si>
  <si>
    <t>84241</t>
  </si>
  <si>
    <t>METROLOGO JEFE I</t>
  </si>
  <si>
    <t>84242</t>
  </si>
  <si>
    <t>METROLOGO JEFE II</t>
  </si>
  <si>
    <t>72311</t>
  </si>
  <si>
    <t>MICROBIOLOGO I</t>
  </si>
  <si>
    <t>72312</t>
  </si>
  <si>
    <t>MICROBIOLOGO II</t>
  </si>
  <si>
    <t>72313</t>
  </si>
  <si>
    <t>MICROBIOLOGO III</t>
  </si>
  <si>
    <t>72320</t>
  </si>
  <si>
    <t>MICROBIOLOGO JEFE</t>
  </si>
  <si>
    <t>45341</t>
  </si>
  <si>
    <t>MICROFILMADOR I</t>
  </si>
  <si>
    <t>45342</t>
  </si>
  <si>
    <t>MICROFILMADOR II</t>
  </si>
  <si>
    <t>45343</t>
  </si>
  <si>
    <t>MICROFILMADOR III</t>
  </si>
  <si>
    <t>45344</t>
  </si>
  <si>
    <t>MICROFILMADOR IV</t>
  </si>
  <si>
    <t>37221</t>
  </si>
  <si>
    <t>MUSEOGRAFO I</t>
  </si>
  <si>
    <t>37222</t>
  </si>
  <si>
    <t>MUSEOGRAFO II</t>
  </si>
  <si>
    <t>37223</t>
  </si>
  <si>
    <t>MUSEOGRAFO III</t>
  </si>
  <si>
    <t>37111</t>
  </si>
  <si>
    <t>MUSEOLOGO</t>
  </si>
  <si>
    <t>37112</t>
  </si>
  <si>
    <t>MUSEOLOGO II</t>
  </si>
  <si>
    <t>37113</t>
  </si>
  <si>
    <t>MUSEOLOGO III</t>
  </si>
  <si>
    <t>37114</t>
  </si>
  <si>
    <t>MUSEOLOGO IV</t>
  </si>
  <si>
    <t>03540</t>
  </si>
  <si>
    <t>OBOE 1</t>
  </si>
  <si>
    <t>03566</t>
  </si>
  <si>
    <t>OBOE 2</t>
  </si>
  <si>
    <t>84421</t>
  </si>
  <si>
    <t>OBSERVADOR DE RADIO Y TV I</t>
  </si>
  <si>
    <t>84422</t>
  </si>
  <si>
    <t>OBSERVADOR DE RADIO Y TV II</t>
  </si>
  <si>
    <t>73212</t>
  </si>
  <si>
    <t>ODONTOLO II</t>
  </si>
  <si>
    <t>73211</t>
  </si>
  <si>
    <t>ODONTOLOGO I</t>
  </si>
  <si>
    <t>73213</t>
  </si>
  <si>
    <t>ODONTOLOGO III</t>
  </si>
  <si>
    <t>73221</t>
  </si>
  <si>
    <t>ODONTOLOGO JEFE I</t>
  </si>
  <si>
    <t>73222</t>
  </si>
  <si>
    <t>ODONTOLOGO JEFE II</t>
  </si>
  <si>
    <t>85511</t>
  </si>
  <si>
    <t>OFICIAL DE BUSQUEDA Y SALVAMENTO I</t>
  </si>
  <si>
    <t>85512</t>
  </si>
  <si>
    <t>OFICIAL DE BUSQUEDA Y SALVAMENTO II</t>
  </si>
  <si>
    <t>85513</t>
  </si>
  <si>
    <t>OFICIAL DE BUSQUEDA Y SALVAMENTO III</t>
  </si>
  <si>
    <t>85514</t>
  </si>
  <si>
    <t>OFICIAL DE BUSQUEDA Y SALVAMENTO IV</t>
  </si>
  <si>
    <t>52311</t>
  </si>
  <si>
    <t>OFICIAL DE MAQUINAS I</t>
  </si>
  <si>
    <t>52312</t>
  </si>
  <si>
    <t>OFICIAL DE MAQUINAS II</t>
  </si>
  <si>
    <t>52313</t>
  </si>
  <si>
    <t>OFICIAL DE MAQUINAS III</t>
  </si>
  <si>
    <t>52211</t>
  </si>
  <si>
    <t>OFICIAL DE MARINA I</t>
  </si>
  <si>
    <t>52212</t>
  </si>
  <si>
    <t>OFICIAL DE MARINA II</t>
  </si>
  <si>
    <t>52213</t>
  </si>
  <si>
    <t>OFICIAL DE MARINA III</t>
  </si>
  <si>
    <t>52214</t>
  </si>
  <si>
    <t>OFICIAL DE MARINA IV</t>
  </si>
  <si>
    <t>52221</t>
  </si>
  <si>
    <t>OFICIAL DE MARINA JEFE I</t>
  </si>
  <si>
    <t>52222</t>
  </si>
  <si>
    <t>OFICIAL DE MARINA JEFE II</t>
  </si>
  <si>
    <t>52223</t>
  </si>
  <si>
    <t>OFICIAL DE MARINA JEFE III</t>
  </si>
  <si>
    <t>52331</t>
  </si>
  <si>
    <t>OFICIAL DE NAVEGACION I</t>
  </si>
  <si>
    <t>52332</t>
  </si>
  <si>
    <t>OFICIAL DE NAVEGACION II</t>
  </si>
  <si>
    <t>52333</t>
  </si>
  <si>
    <t>OFICIAL DE NAVEGACION III</t>
  </si>
  <si>
    <t>23331</t>
  </si>
  <si>
    <t>OPERADOR DE EQUIPOS DE COMPUTACION I</t>
  </si>
  <si>
    <t>23332</t>
  </si>
  <si>
    <t>OPERADOR DE EQUIPOS DE COMPUTACION II</t>
  </si>
  <si>
    <t>23333</t>
  </si>
  <si>
    <t>OPERADOR DE EQUIPOS DE COMPUTACION III</t>
  </si>
  <si>
    <t>32220</t>
  </si>
  <si>
    <t>OPERADOR DE EQUIPOS DE TV Y/O CINE</t>
  </si>
  <si>
    <t>52340</t>
  </si>
  <si>
    <t>OPERADOR DE QUPOS DE DRAGADO</t>
  </si>
  <si>
    <t>23110</t>
  </si>
  <si>
    <t>OPERADOR DE REPRODUCCION I</t>
  </si>
  <si>
    <t>51421</t>
  </si>
  <si>
    <t>OPERADOR DE SOPORTE TECNICO</t>
  </si>
  <si>
    <t>51451</t>
  </si>
  <si>
    <t>OPERADOR DE TELECOMUNICACIONES AERO. I</t>
  </si>
  <si>
    <t>51452</t>
  </si>
  <si>
    <t>OPERADOR DE TELECOMUNICACIONES AERON. II</t>
  </si>
  <si>
    <t>51411</t>
  </si>
  <si>
    <t>OPERADOR DE TELECOMUNICACIONES I</t>
  </si>
  <si>
    <t>51412</t>
  </si>
  <si>
    <t>OPERADOR DE TELECOMUNICACIONES II</t>
  </si>
  <si>
    <t>51413</t>
  </si>
  <si>
    <t>OPERADOR DE TELECOMUNICACIONES III</t>
  </si>
  <si>
    <t>51414</t>
  </si>
  <si>
    <t>OPERADOR DE TELECOMUNICACIONES IV</t>
  </si>
  <si>
    <t>51420</t>
  </si>
  <si>
    <t>OPERADOR DE TELECOMUNICACIONES JEFE</t>
  </si>
  <si>
    <t>51461</t>
  </si>
  <si>
    <t>OPERADOR TELECOMUNICACIONES AER. JEFE I</t>
  </si>
  <si>
    <t>51453</t>
  </si>
  <si>
    <t>OPERADOR TELECOMUNICACIONES AERON. III</t>
  </si>
  <si>
    <t>51454</t>
  </si>
  <si>
    <t>OPERADOR TELECOMUNICACIONES AERON. IV</t>
  </si>
  <si>
    <t>51455</t>
  </si>
  <si>
    <t>OPERADOR TELECOMUNICACIONES AERON. V</t>
  </si>
  <si>
    <t>51462</t>
  </si>
  <si>
    <t>OPERADOR TELECOMUNICAICONES AER. JEFE II</t>
  </si>
  <si>
    <t>51456</t>
  </si>
  <si>
    <t>OPERADOR TELECOMUNICAICONES AERON.VI</t>
  </si>
  <si>
    <t>36480</t>
  </si>
  <si>
    <t>PALEONTOLOGO</t>
  </si>
  <si>
    <t>52370</t>
  </si>
  <si>
    <t>PATRON DE LANCHA</t>
  </si>
  <si>
    <t>41743</t>
  </si>
  <si>
    <t>PERITO FORESTAL  III</t>
  </si>
  <si>
    <t>41741</t>
  </si>
  <si>
    <t>PERITO FORESTAL I</t>
  </si>
  <si>
    <t>41742</t>
  </si>
  <si>
    <t>PERITO FORESTAL II</t>
  </si>
  <si>
    <t>41751</t>
  </si>
  <si>
    <t>PERITO FORESTAL JEFE I</t>
  </si>
  <si>
    <t>41752</t>
  </si>
  <si>
    <t>PERITO FORESTAL JEFE II</t>
  </si>
  <si>
    <t>52230</t>
  </si>
  <si>
    <t>PERITO NAVAL</t>
  </si>
  <si>
    <t>85531</t>
  </si>
  <si>
    <t>PILOTO DE BUSQUEDA Y SALVAMENTO I</t>
  </si>
  <si>
    <t>85532</t>
  </si>
  <si>
    <t>PILOTO DE BUSQUEDA Y SALVAMENTO II</t>
  </si>
  <si>
    <t>85533</t>
  </si>
  <si>
    <t>PILOTO DE BUSQUEDA Y SALVAMENTO III</t>
  </si>
  <si>
    <t>85534</t>
  </si>
  <si>
    <t>PILOTO DE BUSQUEDA Y SALVAMENTO IV</t>
  </si>
  <si>
    <t>85553</t>
  </si>
  <si>
    <t>PILOTO DE HELICOPTERO BUSQUD. Y SALV.III</t>
  </si>
  <si>
    <t>85552</t>
  </si>
  <si>
    <t>PILOTO DE HELICOPTERO BUSQUEDA Y SALV II</t>
  </si>
  <si>
    <t>85551</t>
  </si>
  <si>
    <t>PILOTO DE HELICOPTERO DE BUSQUEDA Y SALV</t>
  </si>
  <si>
    <t>51741</t>
  </si>
  <si>
    <t>PILOTO INSPECTOR DE VUELO I</t>
  </si>
  <si>
    <t>51742</t>
  </si>
  <si>
    <t>PILOTO INSPECTOR DE VUELO II</t>
  </si>
  <si>
    <t>54122</t>
  </si>
  <si>
    <t>PILOTO INSTRUCTOR DE VUELO II</t>
  </si>
  <si>
    <t>54123</t>
  </si>
  <si>
    <t>PILOTO INSTRUCTOR DE VUELO III</t>
  </si>
  <si>
    <t>54130</t>
  </si>
  <si>
    <t>PILOTO INSTRUCTOR DE VUELO JEFE</t>
  </si>
  <si>
    <t>52490</t>
  </si>
  <si>
    <t>PILOTO JEFE</t>
  </si>
  <si>
    <t>52495</t>
  </si>
  <si>
    <t>PILOTO JEFE DE OPERACIONES</t>
  </si>
  <si>
    <t>52250</t>
  </si>
  <si>
    <t>PILOTO OFICIAL DE LA MARINA MERCANTE</t>
  </si>
  <si>
    <t>13380</t>
  </si>
  <si>
    <t>PLANIFICADOR CENTRAL EN FORMACION</t>
  </si>
  <si>
    <t>13381</t>
  </si>
  <si>
    <t>PLANIFICADOR CENTRAL I</t>
  </si>
  <si>
    <t>13382</t>
  </si>
  <si>
    <t>PLANIFICADOR CENTRAL II</t>
  </si>
  <si>
    <t>13383</t>
  </si>
  <si>
    <t>PLANIFICADOR CENTRAL III</t>
  </si>
  <si>
    <t>13384</t>
  </si>
  <si>
    <t>PLANIFICADOR CENTRAL IV</t>
  </si>
  <si>
    <t>13390</t>
  </si>
  <si>
    <t>PLANIFICADOR CENTRAL JEFE</t>
  </si>
  <si>
    <t>13361</t>
  </si>
  <si>
    <t>PLANIFICADOR I</t>
  </si>
  <si>
    <t>13362</t>
  </si>
  <si>
    <t>PLANIFICADOR II</t>
  </si>
  <si>
    <t>13363</t>
  </si>
  <si>
    <t>PLANIFICADOR III</t>
  </si>
  <si>
    <t>13364</t>
  </si>
  <si>
    <t>PLANIFICADOR IV</t>
  </si>
  <si>
    <t>13370</t>
  </si>
  <si>
    <t>PLANIFICADOR JEFE</t>
  </si>
  <si>
    <t>13365</t>
  </si>
  <si>
    <t>PLANIFICADOR V</t>
  </si>
  <si>
    <t>61221</t>
  </si>
  <si>
    <t>PREFECTO DE MUNICIPIO</t>
  </si>
  <si>
    <t>61222</t>
  </si>
  <si>
    <t>PREFECTO DE PARROQUIA</t>
  </si>
  <si>
    <t>52451</t>
  </si>
  <si>
    <t>PRIMER OFICIAL DE JET I</t>
  </si>
  <si>
    <t>52452</t>
  </si>
  <si>
    <t>PRIMER OFICIAL DE JET II</t>
  </si>
  <si>
    <t>52435</t>
  </si>
  <si>
    <t>PRIMER OFICIAL DE TURBO</t>
  </si>
  <si>
    <t>35140</t>
  </si>
  <si>
    <t>PROCURADOR DE TRABAJADORES</t>
  </si>
  <si>
    <t>32175</t>
  </si>
  <si>
    <t>PRODUCTOR DE RADIO</t>
  </si>
  <si>
    <t>34170</t>
  </si>
  <si>
    <t>PROGRAMADOR DE FORMACION PROFES. JEFE</t>
  </si>
  <si>
    <t>34160</t>
  </si>
  <si>
    <t>PROGRAMADOR DE FORMACION PROFESIONAL</t>
  </si>
  <si>
    <t>23421</t>
  </si>
  <si>
    <t>PROGRAMADOR I</t>
  </si>
  <si>
    <t>23422</t>
  </si>
  <si>
    <t>PROGRAMADOR II</t>
  </si>
  <si>
    <t>23423</t>
  </si>
  <si>
    <t>PROGRAMADOR III</t>
  </si>
  <si>
    <t>23424</t>
  </si>
  <si>
    <t>PROGRAMADOR IV</t>
  </si>
  <si>
    <t>79372</t>
  </si>
  <si>
    <t>PROMOTOR  SOCIAL I</t>
  </si>
  <si>
    <t>37921</t>
  </si>
  <si>
    <t>PROMOTOR CULTURAL I</t>
  </si>
  <si>
    <t>37922</t>
  </si>
  <si>
    <t>PROMOTOR CULTURAL II</t>
  </si>
  <si>
    <t>79370</t>
  </si>
  <si>
    <t>PROMOTOR DE BIENESTAR SOCIAL</t>
  </si>
  <si>
    <t>17310</t>
  </si>
  <si>
    <t>PROMOTOR DE CURSOS</t>
  </si>
  <si>
    <t>36721</t>
  </si>
  <si>
    <t>PROMOTOR DE EXPORTACIONES I</t>
  </si>
  <si>
    <t>36722</t>
  </si>
  <si>
    <t>PROMOTOR DE EXPORTACIONES II</t>
  </si>
  <si>
    <t>36723</t>
  </si>
  <si>
    <t>PROMOTOR DE EXPORTACIONES III</t>
  </si>
  <si>
    <t>36730</t>
  </si>
  <si>
    <t>PROMOTOR DE EXPORTACIONES JEFE</t>
  </si>
  <si>
    <t>79371</t>
  </si>
  <si>
    <t>PROMOTOR DEPORTIVO</t>
  </si>
  <si>
    <t>79230</t>
  </si>
  <si>
    <t>PROMOTOR RURAL</t>
  </si>
  <si>
    <t>31541</t>
  </si>
  <si>
    <t>PROMOTOR TURISTICO I</t>
  </si>
  <si>
    <t>31542</t>
  </si>
  <si>
    <t>PROMOTOR TURISTICO II</t>
  </si>
  <si>
    <t>31543</t>
  </si>
  <si>
    <t>PROMOTOR TURISTICO III</t>
  </si>
  <si>
    <t>31544</t>
  </si>
  <si>
    <t>PROMOTOR TURISTICO IV</t>
  </si>
  <si>
    <t>31550</t>
  </si>
  <si>
    <t>PROMOTOR TURISTICO JEFE</t>
  </si>
  <si>
    <t>36770</t>
  </si>
  <si>
    <t>PROYECTISTA DE PABELLON DE FERIAS</t>
  </si>
  <si>
    <t>36321</t>
  </si>
  <si>
    <t>PSICOLOGO I</t>
  </si>
  <si>
    <t>36322</t>
  </si>
  <si>
    <t>PSICOLOGO II</t>
  </si>
  <si>
    <t>36323</t>
  </si>
  <si>
    <t>PSICOLOGO III</t>
  </si>
  <si>
    <t>36325</t>
  </si>
  <si>
    <t>PSICOLOGO JEFE</t>
  </si>
  <si>
    <t>34130</t>
  </si>
  <si>
    <t>PSICOPEDAGOGO</t>
  </si>
  <si>
    <t>79120</t>
  </si>
  <si>
    <t>PUERICULTORA</t>
  </si>
  <si>
    <t>44721</t>
  </si>
  <si>
    <t>QUIMICO I</t>
  </si>
  <si>
    <t>44722</t>
  </si>
  <si>
    <t>QUIMICO II</t>
  </si>
  <si>
    <t>44723</t>
  </si>
  <si>
    <t>QUIMICO III</t>
  </si>
  <si>
    <t>44731</t>
  </si>
  <si>
    <t>QUIMICO JEFE I</t>
  </si>
  <si>
    <t>44732</t>
  </si>
  <si>
    <t>QUIMICO JEFE II</t>
  </si>
  <si>
    <t>51431</t>
  </si>
  <si>
    <t>RADIO OPERADOR DE CRIPTOGRAFO I</t>
  </si>
  <si>
    <t>51432</t>
  </si>
  <si>
    <t>RADIO OPERADOR DE CRIPTOGRAFO II</t>
  </si>
  <si>
    <t>51440</t>
  </si>
  <si>
    <t>RADIO OPERADOR DE CRIPTOGRAFO JEFE</t>
  </si>
  <si>
    <t>51470</t>
  </si>
  <si>
    <t>RADIOTELEFONISTA</t>
  </si>
  <si>
    <t>22230</t>
  </si>
  <si>
    <t>RECEPCIONISTA</t>
  </si>
  <si>
    <t>03549</t>
  </si>
  <si>
    <t>REDOBLANTE 1</t>
  </si>
  <si>
    <t>25111</t>
  </si>
  <si>
    <t>REGISTRADOR DE BIENES Y MATERIAS I</t>
  </si>
  <si>
    <t>25112</t>
  </si>
  <si>
    <t>REGISTRADOR DE BIENES Y MATERIAS II</t>
  </si>
  <si>
    <t>25113</t>
  </si>
  <si>
    <t>REGISTRADOR DE BIENES Y MATERIAS III</t>
  </si>
  <si>
    <t>25114</t>
  </si>
  <si>
    <t>REGISTRADOR DE BIENES Y MATERIAS IV</t>
  </si>
  <si>
    <t>37520</t>
  </si>
  <si>
    <t>REGISTRADOR DE MUSEO</t>
  </si>
  <si>
    <t>37421</t>
  </si>
  <si>
    <t>RESTAURADOR I</t>
  </si>
  <si>
    <t>37422</t>
  </si>
  <si>
    <t>RESTAURADOR II</t>
  </si>
  <si>
    <t>37423</t>
  </si>
  <si>
    <t>RESTAURADOR III</t>
  </si>
  <si>
    <t>37430</t>
  </si>
  <si>
    <t>RESTAURADOR JEFE</t>
  </si>
  <si>
    <t>21831</t>
  </si>
  <si>
    <t>REVISOR DE CONTRALORIA I</t>
  </si>
  <si>
    <t>21832</t>
  </si>
  <si>
    <t>REVISOR DE CONTRALORIA II</t>
  </si>
  <si>
    <t>21833</t>
  </si>
  <si>
    <t>REVISOR DE CONTRALORIA III</t>
  </si>
  <si>
    <t>21834</t>
  </si>
  <si>
    <t>REVISOR DE CONTRALORIA IV</t>
  </si>
  <si>
    <t>21835</t>
  </si>
  <si>
    <t>REVISOR DE CONTRALORIA V</t>
  </si>
  <si>
    <t>62710</t>
  </si>
  <si>
    <t>SARGENTO 1RO (BOMBERO)</t>
  </si>
  <si>
    <t>62720</t>
  </si>
  <si>
    <t>SARGENTO 2DO (BOMBERO)</t>
  </si>
  <si>
    <t>62700</t>
  </si>
  <si>
    <t>SARGENTO AYUDANTE (BOMBERO)</t>
  </si>
  <si>
    <t>03544</t>
  </si>
  <si>
    <t>SAXO ALTO 1</t>
  </si>
  <si>
    <t>03570</t>
  </si>
  <si>
    <t>SAXO ALTO 2</t>
  </si>
  <si>
    <t>03571</t>
  </si>
  <si>
    <t>SAXO TENOR</t>
  </si>
  <si>
    <t>03575</t>
  </si>
  <si>
    <t>SAXO-BARITONO</t>
  </si>
  <si>
    <t>90100</t>
  </si>
  <si>
    <t>SECRETARIA GRAL. ENCARGADA</t>
  </si>
  <si>
    <t>00902</t>
  </si>
  <si>
    <t>SECRETARIO (A) PRIVADO (A)</t>
  </si>
  <si>
    <t>24321</t>
  </si>
  <si>
    <t>SECRETARIO BILINGUE I</t>
  </si>
  <si>
    <t>24322</t>
  </si>
  <si>
    <t>SECRETARIO BILINGUE II</t>
  </si>
  <si>
    <t>24314</t>
  </si>
  <si>
    <t>SECRETARIO DE DESPACHO</t>
  </si>
  <si>
    <t>24341</t>
  </si>
  <si>
    <t>SECRETARIO EJECUTIVO I</t>
  </si>
  <si>
    <t>24342</t>
  </si>
  <si>
    <t>SECRETARIO EJECUTIVO II</t>
  </si>
  <si>
    <t>24343</t>
  </si>
  <si>
    <t>SECRETARIO EJECUTIVO III</t>
  </si>
  <si>
    <t>00901</t>
  </si>
  <si>
    <t>SECRETARIO GRAL .DE GOBIERNO</t>
  </si>
  <si>
    <t>24311</t>
  </si>
  <si>
    <t>SECRETARIO I</t>
  </si>
  <si>
    <t>24312</t>
  </si>
  <si>
    <t>SECRETARIO II</t>
  </si>
  <si>
    <t>24313</t>
  </si>
  <si>
    <t>SECRETARIO III</t>
  </si>
  <si>
    <t>00000</t>
  </si>
  <si>
    <t>SIN CARGO</t>
  </si>
  <si>
    <t>36425</t>
  </si>
  <si>
    <t>SOCIOLOG JEFE</t>
  </si>
  <si>
    <t>36421</t>
  </si>
  <si>
    <t>SOCIOLOGO I</t>
  </si>
  <si>
    <t>36422</t>
  </si>
  <si>
    <t>SOCIOLOGO II</t>
  </si>
  <si>
    <t>36423</t>
  </si>
  <si>
    <t>SOCIOLOGO III</t>
  </si>
  <si>
    <t>45411</t>
  </si>
  <si>
    <t>SOPLADOR DE VIDRIO I</t>
  </si>
  <si>
    <t>45412</t>
  </si>
  <si>
    <t>SOPLADOR DE VIDRIO II</t>
  </si>
  <si>
    <t>45420</t>
  </si>
  <si>
    <t>SOPLADOR DE VIDRIO JEFE</t>
  </si>
  <si>
    <t>03508</t>
  </si>
  <si>
    <t>SUB DIRECTOR DE ORQUESTA</t>
  </si>
  <si>
    <t>21360</t>
  </si>
  <si>
    <t>SUB INSPECTOR GENERAL DE HACIENDA</t>
  </si>
  <si>
    <t>62610</t>
  </si>
  <si>
    <t>SUBTENIENTE (BOMBERO)</t>
  </si>
  <si>
    <t>23340</t>
  </si>
  <si>
    <t>16413</t>
  </si>
  <si>
    <t>SUPERVISOR ALFABETIZACION Y EDUC BAS III</t>
  </si>
  <si>
    <t>16411</t>
  </si>
  <si>
    <t>SUPERVISOR ALFABETIZACION Y EDUC BAS. I</t>
  </si>
  <si>
    <t>16412</t>
  </si>
  <si>
    <t>SUPERVISOR ALFABETIZACION Y EDUC.BAS II</t>
  </si>
  <si>
    <t>37960</t>
  </si>
  <si>
    <t>SUPERVISOR AUTOGRAFISTA</t>
  </si>
  <si>
    <t>25220</t>
  </si>
  <si>
    <t>SUPERVISOR DE ALMACEN</t>
  </si>
  <si>
    <t>16711</t>
  </si>
  <si>
    <t>SUPERVISOR DE APRENDIZAJE I</t>
  </si>
  <si>
    <t>16712</t>
  </si>
  <si>
    <t>SUPERVISOR DE APRENDIZAJE II</t>
  </si>
  <si>
    <t>16713</t>
  </si>
  <si>
    <t>SUPERVISOR DE APRENDIZAJE III</t>
  </si>
  <si>
    <t>16714</t>
  </si>
  <si>
    <t>SUPERVISOR DE APRENDIZAJE IV</t>
  </si>
  <si>
    <t>46921</t>
  </si>
  <si>
    <t>SUPERVISOR DE ASTILLEROS I</t>
  </si>
  <si>
    <t>46922</t>
  </si>
  <si>
    <t>SUPERVISOR DE ASTILLEROS II</t>
  </si>
  <si>
    <t>69220</t>
  </si>
  <si>
    <t>SUPERVISOR DE CAPORALES</t>
  </si>
  <si>
    <t>21635</t>
  </si>
  <si>
    <t>SUPERVISOR DE COLECTORES</t>
  </si>
  <si>
    <t>65121</t>
  </si>
  <si>
    <t>SUPERVISOR DE CONSERVACION AUTOM. I</t>
  </si>
  <si>
    <t>65122</t>
  </si>
  <si>
    <t>SUPERVISOR DE CONSERVACION AUTOMOTORA II</t>
  </si>
  <si>
    <t>14342</t>
  </si>
  <si>
    <t>SUPERVISOR DE CREDITOS AGROPECUARIO II</t>
  </si>
  <si>
    <t>14341</t>
  </si>
  <si>
    <t>SUPERVISOR DE CREDITOS AGROPECUARIOS I</t>
  </si>
  <si>
    <t>14343</t>
  </si>
  <si>
    <t>SUPERVISOR DE CREDITOS AGROPECUARIOS III</t>
  </si>
  <si>
    <t>52345</t>
  </si>
  <si>
    <t>SUPERVISOR DE EQUIPOS DE DRAGADO</t>
  </si>
  <si>
    <t>41321</t>
  </si>
  <si>
    <t>SUPERVISOR DE EXTENSION I</t>
  </si>
  <si>
    <t>41322</t>
  </si>
  <si>
    <t>SUPERVISOR DE EXTENSION II</t>
  </si>
  <si>
    <t>43215</t>
  </si>
  <si>
    <t>SUPERVISOR DE INSPECTORES DE INMUEBLES</t>
  </si>
  <si>
    <t>16513</t>
  </si>
  <si>
    <t>16511</t>
  </si>
  <si>
    <t>SUPERVISOR DE INSTRUCCION A DISTANCIA I</t>
  </si>
  <si>
    <t>16512</t>
  </si>
  <si>
    <t>SUPERVISOR DE INSTRUCCION A DISTANCIA II</t>
  </si>
  <si>
    <t>41811</t>
  </si>
  <si>
    <t>SUPERVISOR DE MANTENIMIENTO DE PARQUES I</t>
  </si>
  <si>
    <t>65111</t>
  </si>
  <si>
    <t>SUPERVISOR DE MECANICOS AUTOMOTORES I</t>
  </si>
  <si>
    <t>65112</t>
  </si>
  <si>
    <t>SUPERVISOR DE MECANICOS AUTOMOTORES II</t>
  </si>
  <si>
    <t>69250</t>
  </si>
  <si>
    <t>SUPERVISOR DE OBRAS PUBLICAS</t>
  </si>
  <si>
    <t>69240</t>
  </si>
  <si>
    <t>SUPERVISOR DE OBRAS SANITARIAS</t>
  </si>
  <si>
    <t>32521</t>
  </si>
  <si>
    <t>SUPERVISOR DE PRODUCCION I</t>
  </si>
  <si>
    <t>32522</t>
  </si>
  <si>
    <t>SUPERVISOR DE PRODUCCION II</t>
  </si>
  <si>
    <t>23430</t>
  </si>
  <si>
    <t>SUPERVISOR DE PROGRAMACION</t>
  </si>
  <si>
    <t>23120</t>
  </si>
  <si>
    <t>SUPERVISOR DE REPRODUCCION II</t>
  </si>
  <si>
    <t>22414</t>
  </si>
  <si>
    <t>SUPERVISOR DE SERVICIOS GENERAL IV</t>
  </si>
  <si>
    <t>22411</t>
  </si>
  <si>
    <t>SUPERVISOR DE SERVICIOS GENERALES I</t>
  </si>
  <si>
    <t>22412</t>
  </si>
  <si>
    <t>SUPERVISOR DE SERVICIOS GENERALES II</t>
  </si>
  <si>
    <t>22413</t>
  </si>
  <si>
    <t>SUPERVISOR DE SERVICIOS GENERALES III</t>
  </si>
  <si>
    <t>63121</t>
  </si>
  <si>
    <t>SUPERVISOR DE TALLER DE IMPRENTA I</t>
  </si>
  <si>
    <t>63122</t>
  </si>
  <si>
    <t>SUPERVISOR DE TALLER DE IMPRENTA II</t>
  </si>
  <si>
    <t>63123</t>
  </si>
  <si>
    <t>SUPERVISOR DE TALLER DE IMPRENTA III</t>
  </si>
  <si>
    <t>17430</t>
  </si>
  <si>
    <t>SUPERVISOR DOCENTE</t>
  </si>
  <si>
    <t>17440</t>
  </si>
  <si>
    <t>SUPERVISOR DOCENTE JEFE</t>
  </si>
  <si>
    <t>21660</t>
  </si>
  <si>
    <t>SUPERVISOR FISCAL DE COTIZACIONES</t>
  </si>
  <si>
    <t>21670</t>
  </si>
  <si>
    <t>SUPERVISOR FISCAL JEFE</t>
  </si>
  <si>
    <t>41812</t>
  </si>
  <si>
    <t>41813</t>
  </si>
  <si>
    <t>41814</t>
  </si>
  <si>
    <t>42450</t>
  </si>
  <si>
    <t>TAXIDERMISTA</t>
  </si>
  <si>
    <t>51541</t>
  </si>
  <si>
    <t>TEC EN RADIOCOMUNICACIONES AERON. JEFE</t>
  </si>
  <si>
    <t>71220</t>
  </si>
  <si>
    <t>TEC. EN DOTACION DE EQUIPOS DE HOSPITAL</t>
  </si>
  <si>
    <t>46161</t>
  </si>
  <si>
    <t>TEC. EN FABRICACION DE CUCHILLAS DE DIAM</t>
  </si>
  <si>
    <t>51542</t>
  </si>
  <si>
    <t>TEC. EN RADIOCOMUNICACIONES AER.JEFE II</t>
  </si>
  <si>
    <t>51531</t>
  </si>
  <si>
    <t>TEC. EN RADIOCOMUNICACIONES AERON. I</t>
  </si>
  <si>
    <t>51532</t>
  </si>
  <si>
    <t>TEC. EN RADIOCOMUNICACIONES AERONA. II</t>
  </si>
  <si>
    <t>51534</t>
  </si>
  <si>
    <t>TEC. EN RADIOCOMUNICACIONES AERONAU. IV</t>
  </si>
  <si>
    <t>51535</t>
  </si>
  <si>
    <t>TEC. EN RADIOCOMUNICACIONES AERONAU. V</t>
  </si>
  <si>
    <t>51536</t>
  </si>
  <si>
    <t>TEC. EN RADIOCOMUNICACIONES AERONAU. VI</t>
  </si>
  <si>
    <t>51533</t>
  </si>
  <si>
    <t>TEC. EN RADIOCOMUNICAICONES AERONA. III</t>
  </si>
  <si>
    <t>46164</t>
  </si>
  <si>
    <t>TEC. FABRICACION CUCHILLA DIAMANTE IV</t>
  </si>
  <si>
    <t>46162</t>
  </si>
  <si>
    <t>TEC. FABRICACION CUCHILLAS DIAMANTES II</t>
  </si>
  <si>
    <t>46163</t>
  </si>
  <si>
    <t>TEC. FABRICACION CUCHILLAS DIAMANTES III</t>
  </si>
  <si>
    <t>51552</t>
  </si>
  <si>
    <t>TECNICO AERNAUTICO II</t>
  </si>
  <si>
    <t>51551</t>
  </si>
  <si>
    <t>TECNICO AERONAUTICO I</t>
  </si>
  <si>
    <t>51560</t>
  </si>
  <si>
    <t>TECNICO AERONAUTICO JEFE</t>
  </si>
  <si>
    <t>41111</t>
  </si>
  <si>
    <t>TECNICO AGROPECUARIO I</t>
  </si>
  <si>
    <t>41112</t>
  </si>
  <si>
    <t>TECNICO AGROPECUARIO II</t>
  </si>
  <si>
    <t>41113</t>
  </si>
  <si>
    <t>TECNICO AGROPECUARIO III</t>
  </si>
  <si>
    <t>41114</t>
  </si>
  <si>
    <t>TECNICO AGROPECUARIO IV</t>
  </si>
  <si>
    <t>41120</t>
  </si>
  <si>
    <t>TECNICO AGROPECUARIO JEFE</t>
  </si>
  <si>
    <t>53131</t>
  </si>
  <si>
    <t>TECNICO ARANCELARIO I</t>
  </si>
  <si>
    <t>53140</t>
  </si>
  <si>
    <t>TECNICO ARANCELARIO JEFE</t>
  </si>
  <si>
    <t>53132</t>
  </si>
  <si>
    <t>TECNICO ARANGELARIO II</t>
  </si>
  <si>
    <t>46910</t>
  </si>
  <si>
    <t>TECNICO DE ASTILLEROS</t>
  </si>
  <si>
    <t>52240</t>
  </si>
  <si>
    <t>TECNICO DE BALIZAMIENTO</t>
  </si>
  <si>
    <t>52245</t>
  </si>
  <si>
    <t>TECNICO DE BALIZAMIENTO JEFE</t>
  </si>
  <si>
    <t>72411</t>
  </si>
  <si>
    <t>TECNICO DE EQUIPOS MEDICOS I</t>
  </si>
  <si>
    <t>72412</t>
  </si>
  <si>
    <t>TECNICO DE EQUIPOS MEDICOS II</t>
  </si>
  <si>
    <t>72413</t>
  </si>
  <si>
    <t>TECNICO DE EQUIPOS MEDICOS III</t>
  </si>
  <si>
    <t>86121</t>
  </si>
  <si>
    <t>TECNICO DE IDENTIDICACION I</t>
  </si>
  <si>
    <t>86122</t>
  </si>
  <si>
    <t>TECNICO DE IDENTIFICACION II</t>
  </si>
  <si>
    <t>86123</t>
  </si>
  <si>
    <t>TECNICO DE IDENTIFICACION III</t>
  </si>
  <si>
    <t>71121</t>
  </si>
  <si>
    <t>TECNICO DE REGISTRO Y EST. DE SALUD I</t>
  </si>
  <si>
    <t>71122</t>
  </si>
  <si>
    <t>TECNICO DE REGISTRO Y EST. DE SALUD II</t>
  </si>
  <si>
    <t>71123</t>
  </si>
  <si>
    <t>TECNICO DE REGISTRO Y ESTAD DE SALUD III</t>
  </si>
  <si>
    <t>71124</t>
  </si>
  <si>
    <t>TECNICO DE REGISTRO Y ESTAD DE SALUD IV</t>
  </si>
  <si>
    <t>46121</t>
  </si>
  <si>
    <t>TECNICO DE REPARACION Y MANTENIMIENTO I</t>
  </si>
  <si>
    <t>46122</t>
  </si>
  <si>
    <t>TECNICO DE REPARACION Y MANTENIMIENTO II</t>
  </si>
  <si>
    <t>51211</t>
  </si>
  <si>
    <t>TECNICO EN DRAGADO I</t>
  </si>
  <si>
    <t>51212</t>
  </si>
  <si>
    <t>TECNICO EN DRAGADO II</t>
  </si>
  <si>
    <t>51213</t>
  </si>
  <si>
    <t>TECNICO EN DRAGADO III</t>
  </si>
  <si>
    <t>44311</t>
  </si>
  <si>
    <t>TECNICO EN GEOLOGIA Y MINAS I</t>
  </si>
  <si>
    <t>44312</t>
  </si>
  <si>
    <t>TECNICO EN GEOLOGIA Y MINAS II</t>
  </si>
  <si>
    <t>44313</t>
  </si>
  <si>
    <t>TECNICO EN GEOLOGIA Y MINAS III</t>
  </si>
  <si>
    <t>79380</t>
  </si>
  <si>
    <t>TECNICO EN GERONTOLOGIA</t>
  </si>
  <si>
    <t>51581</t>
  </si>
  <si>
    <t>TECNICO EN INFORMACION AERONAUTICA I</t>
  </si>
  <si>
    <t>51582</t>
  </si>
  <si>
    <t>TECNICO EN INFORMACION AERONAUTICA II</t>
  </si>
  <si>
    <t>51583</t>
  </si>
  <si>
    <t>TECNICO EN INFORMACION AERONAUTICA III</t>
  </si>
  <si>
    <t>51584</t>
  </si>
  <si>
    <t>TECNICO EN INFORMACION AERONAUTICA IV</t>
  </si>
  <si>
    <t>51590</t>
  </si>
  <si>
    <t>TECNICO EN INFORMACION AERONAUTICA JEFE</t>
  </si>
  <si>
    <t>51585</t>
  </si>
  <si>
    <t>TECNICO EN INFORMACION AERONAUTICA V</t>
  </si>
  <si>
    <t>84221</t>
  </si>
  <si>
    <t>TECNICO EN METROLOGIA I</t>
  </si>
  <si>
    <t>84222</t>
  </si>
  <si>
    <t>TECNICO EN METROLOGIA II</t>
  </si>
  <si>
    <t>84223</t>
  </si>
  <si>
    <t>TECNICO EN METROLOGIA III</t>
  </si>
  <si>
    <t>72620</t>
  </si>
  <si>
    <t>TECNICO EN ORTEIS Y/O PROTESIS</t>
  </si>
  <si>
    <t>44511</t>
  </si>
  <si>
    <t>TECNICO EN PETROLEO I</t>
  </si>
  <si>
    <t>44512</t>
  </si>
  <si>
    <t>TECNICO EN PETROLEO II</t>
  </si>
  <si>
    <t>44513</t>
  </si>
  <si>
    <t>TECNICO EN PETROLEO III</t>
  </si>
  <si>
    <t>51511</t>
  </si>
  <si>
    <t>TECNICO EN TELECOMUNICACIONES I</t>
  </si>
  <si>
    <t>51512</t>
  </si>
  <si>
    <t>TECNICO EN TELECOMUNICACIONES II</t>
  </si>
  <si>
    <t>51513</t>
  </si>
  <si>
    <t>TECNICO EN TELECOMUNICACIONES III</t>
  </si>
  <si>
    <t>51514</t>
  </si>
  <si>
    <t>TECNICO EN TELECOMUNICACIONES IV</t>
  </si>
  <si>
    <t>51521</t>
  </si>
  <si>
    <t>TECNICO EN TELECOMUNICACIONES JEFE I</t>
  </si>
  <si>
    <t>51522</t>
  </si>
  <si>
    <t>TECNICO EN TELECOMUNICACIONES JEFE II</t>
  </si>
  <si>
    <t>51523</t>
  </si>
  <si>
    <t>TECNICO EN TELECOMUNICACIONES JEFE III</t>
  </si>
  <si>
    <t>51515</t>
  </si>
  <si>
    <t>TECNICO EN TELECOMUNICACIONES V</t>
  </si>
  <si>
    <t>51516</t>
  </si>
  <si>
    <t>TECNICO EN TELECOMUNICACIONES VI</t>
  </si>
  <si>
    <t>72140</t>
  </si>
  <si>
    <t>TECNICO HISTOLOGO</t>
  </si>
  <si>
    <t>84511</t>
  </si>
  <si>
    <t>TECNICO NORMALIZADOR I</t>
  </si>
  <si>
    <t>84512</t>
  </si>
  <si>
    <t>TECNICO NORMALIZADOR II</t>
  </si>
  <si>
    <t>84513</t>
  </si>
  <si>
    <t>TECNICO NORMALIZADOR III</t>
  </si>
  <si>
    <t>53241</t>
  </si>
  <si>
    <t>TECNICO PORTUARIO I</t>
  </si>
  <si>
    <t>53242</t>
  </si>
  <si>
    <t>TECNICO PORTUARIO II</t>
  </si>
  <si>
    <t>53250</t>
  </si>
  <si>
    <t>TECNICO PORTUARIO JEFE</t>
  </si>
  <si>
    <t>44711</t>
  </si>
  <si>
    <t>TECNICO QUIMICO I</t>
  </si>
  <si>
    <t>44712</t>
  </si>
  <si>
    <t>TECNICO QUIMICO II</t>
  </si>
  <si>
    <t>44713</t>
  </si>
  <si>
    <t>TECNICO QUIMICO III</t>
  </si>
  <si>
    <t>44714</t>
  </si>
  <si>
    <t>TECNICO QUIMICO IV</t>
  </si>
  <si>
    <t>72441</t>
  </si>
  <si>
    <t>TECNICO RADIOLOGO I</t>
  </si>
  <si>
    <t>72442</t>
  </si>
  <si>
    <t>TECNICO RADIOLOGO II</t>
  </si>
  <si>
    <t>72443</t>
  </si>
  <si>
    <t>TECNICO RADIOLOGO III</t>
  </si>
  <si>
    <t>42150</t>
  </si>
  <si>
    <t>TECNICO SUPERIOR AGRICULTOR</t>
  </si>
  <si>
    <t>79341</t>
  </si>
  <si>
    <t>TECNICO SUPERIOR EN TRABAJO SOCIAL I</t>
  </si>
  <si>
    <t>79342</t>
  </si>
  <si>
    <t>TECNICO SUPERIOR EN TRABAJO SOCIAL II</t>
  </si>
  <si>
    <t>42140</t>
  </si>
  <si>
    <t>TECNICO SUPERIOR PESQUERO</t>
  </si>
  <si>
    <t>53311</t>
  </si>
  <si>
    <t>TECNICO VALORADOR I</t>
  </si>
  <si>
    <t>53312</t>
  </si>
  <si>
    <t>TECNICO VALORADOR II</t>
  </si>
  <si>
    <t>53313</t>
  </si>
  <si>
    <t>TECNICO VALORADOR III</t>
  </si>
  <si>
    <t>53320</t>
  </si>
  <si>
    <t>TECNICO VALORADOR JEFE</t>
  </si>
  <si>
    <t>51480</t>
  </si>
  <si>
    <t>TELEFONISTA</t>
  </si>
  <si>
    <t>62600</t>
  </si>
  <si>
    <t>TENIENTE (BOMBERO)</t>
  </si>
  <si>
    <t>62300</t>
  </si>
  <si>
    <t>TENIENTE CORONEL (BOMBERO)</t>
  </si>
  <si>
    <t>72521</t>
  </si>
  <si>
    <t>TERAPEUTA OCUPACIONAL I</t>
  </si>
  <si>
    <t>72522</t>
  </si>
  <si>
    <t>TERAPEUTA OCUPACIONAL II</t>
  </si>
  <si>
    <t>72523</t>
  </si>
  <si>
    <t>TERAPEUTA OCUPACIONAL III</t>
  </si>
  <si>
    <t>72524</t>
  </si>
  <si>
    <t>TERAPEUTA OCUPACIONAL IV</t>
  </si>
  <si>
    <t>72541</t>
  </si>
  <si>
    <t>TERAPISTA DE LENGUAJE I</t>
  </si>
  <si>
    <t>72542</t>
  </si>
  <si>
    <t>TERAPISTA DE LENGUAJE II</t>
  </si>
  <si>
    <t>00911</t>
  </si>
  <si>
    <t>TESORERO(A) GENERAL DEL ESTADO</t>
  </si>
  <si>
    <t>03556</t>
  </si>
  <si>
    <t>TIMBAL 1</t>
  </si>
  <si>
    <t>43141</t>
  </si>
  <si>
    <t>TOPOGRAFO CARTOGRAFICO I</t>
  </si>
  <si>
    <t>43142</t>
  </si>
  <si>
    <t>TOPOGRAFO CARTOGRAFICO II</t>
  </si>
  <si>
    <t>43150</t>
  </si>
  <si>
    <t>TOPOGRAFO CARTOGRAFICO JEFE</t>
  </si>
  <si>
    <t>43121</t>
  </si>
  <si>
    <t>TOPOGRAFO I</t>
  </si>
  <si>
    <t>43122</t>
  </si>
  <si>
    <t>TOPOGRAFO II</t>
  </si>
  <si>
    <t>79351</t>
  </si>
  <si>
    <t>TRABAJADOR SOCIAL I</t>
  </si>
  <si>
    <t>79352</t>
  </si>
  <si>
    <t>TRABAJADOR SOCIAL II</t>
  </si>
  <si>
    <t>79353</t>
  </si>
  <si>
    <t>TRABAJADOR SOCIAL III</t>
  </si>
  <si>
    <t>79354</t>
  </si>
  <si>
    <t>TRABAJADOR SOCIAL IV</t>
  </si>
  <si>
    <t>22311</t>
  </si>
  <si>
    <t>TRADUCTOR I</t>
  </si>
  <si>
    <t>22312</t>
  </si>
  <si>
    <t>TRADUCTOR II</t>
  </si>
  <si>
    <t>22313</t>
  </si>
  <si>
    <t>TRADUCTOR III</t>
  </si>
  <si>
    <t>22322</t>
  </si>
  <si>
    <t>TRADUCTOR MULTILINGUE II</t>
  </si>
  <si>
    <t>22321</t>
  </si>
  <si>
    <t>TRADUCTOR MULTILUNGUE I</t>
  </si>
  <si>
    <t>53151</t>
  </si>
  <si>
    <t>TRAMITADOR DE ASUNTOS DE ADUANA I</t>
  </si>
  <si>
    <t>53152</t>
  </si>
  <si>
    <t>TRAMITADOR DE ASUNTOS DE ADUANA II</t>
  </si>
  <si>
    <t>53160</t>
  </si>
  <si>
    <t>TRAMITADOR DE ASUNTOS DE ADUANA JEFE</t>
  </si>
  <si>
    <t>03552</t>
  </si>
  <si>
    <t>TROMBON 1</t>
  </si>
  <si>
    <t>03584</t>
  </si>
  <si>
    <t>TROMBON 2</t>
  </si>
  <si>
    <t>03613</t>
  </si>
  <si>
    <t>TROMBON 3</t>
  </si>
  <si>
    <t>03548</t>
  </si>
  <si>
    <t>TROMPETA 1</t>
  </si>
  <si>
    <t>03580</t>
  </si>
  <si>
    <t>TROMPETA 2</t>
  </si>
  <si>
    <t>03608</t>
  </si>
  <si>
    <t>TROMPETA 3</t>
  </si>
  <si>
    <t>03512</t>
  </si>
  <si>
    <t>TROMPETA SOLISTA</t>
  </si>
  <si>
    <t>03554</t>
  </si>
  <si>
    <t>TUBA 1</t>
  </si>
  <si>
    <t>03586</t>
  </si>
  <si>
    <t>TUBA 2</t>
  </si>
  <si>
    <t>79521</t>
  </si>
  <si>
    <t>TUTOR FACILITADOR I</t>
  </si>
  <si>
    <t>79522</t>
  </si>
  <si>
    <t>TUTOR FACILITADOR II</t>
  </si>
  <si>
    <t>79523</t>
  </si>
  <si>
    <t>TUTOR FACILITADOR III</t>
  </si>
  <si>
    <t>43811</t>
  </si>
  <si>
    <t>URBANISTA I</t>
  </si>
  <si>
    <t>43812</t>
  </si>
  <si>
    <t>URBANISTA II</t>
  </si>
  <si>
    <t>43813</t>
  </si>
  <si>
    <t>URBANISTA III</t>
  </si>
  <si>
    <t>43820</t>
  </si>
  <si>
    <t>URBANISTA JEFE</t>
  </si>
  <si>
    <t>03577</t>
  </si>
  <si>
    <t>VIOLIN 1</t>
  </si>
  <si>
    <t>03576</t>
  </si>
  <si>
    <t>VIOLONCELLO</t>
  </si>
  <si>
    <t>42431</t>
  </si>
  <si>
    <t>ZOOLOGO I</t>
  </si>
  <si>
    <t>42432</t>
  </si>
  <si>
    <t>ZOOLOGO II</t>
  </si>
  <si>
    <t>41511</t>
  </si>
  <si>
    <t>ZOOTECNISTA I</t>
  </si>
  <si>
    <t>41512</t>
  </si>
  <si>
    <t>ZOOTECNISTA II</t>
  </si>
  <si>
    <t>41513</t>
  </si>
  <si>
    <t>ZOOTECNISTA III</t>
  </si>
  <si>
    <t>41514</t>
  </si>
  <si>
    <t>ZOOTECNISTA IV</t>
  </si>
  <si>
    <t>41520</t>
  </si>
  <si>
    <t>ZOOTECNISTA JEFE</t>
  </si>
  <si>
    <t>41515</t>
  </si>
  <si>
    <t>ZOOTECNISTA V</t>
  </si>
  <si>
    <t>ACARREADOR</t>
  </si>
  <si>
    <t>7101</t>
  </si>
  <si>
    <t>O</t>
  </si>
  <si>
    <t>OB</t>
  </si>
  <si>
    <t>7225</t>
  </si>
  <si>
    <t>ARMADOR DE PUERTOS</t>
  </si>
  <si>
    <t>5250</t>
  </si>
  <si>
    <t>ASCENSORISTA</t>
  </si>
  <si>
    <t>3125</t>
  </si>
  <si>
    <t>ASEADOR</t>
  </si>
  <si>
    <t>7102</t>
  </si>
  <si>
    <t>6231</t>
  </si>
  <si>
    <t>6232</t>
  </si>
  <si>
    <t>AUXILIAR DE AUTOPSIA</t>
  </si>
  <si>
    <t>6225</t>
  </si>
  <si>
    <t>AUXILIAR DE CRISTALERIA</t>
  </si>
  <si>
    <t>8524</t>
  </si>
  <si>
    <t>AUXILIAR DE ENFERMERIA</t>
  </si>
  <si>
    <t>6274</t>
  </si>
  <si>
    <t>AUXILIAR DE NUTRICION</t>
  </si>
  <si>
    <t>6227</t>
  </si>
  <si>
    <t>AUXILIAR DE ODONTOLOGIA</t>
  </si>
  <si>
    <t>6228</t>
  </si>
  <si>
    <t>AUXILIAR DE SERVICIOS DE OFICINA</t>
  </si>
  <si>
    <t>7202</t>
  </si>
  <si>
    <t>AUXILIAR DE SERVICIOS DE TREN</t>
  </si>
  <si>
    <t>3202</t>
  </si>
  <si>
    <t>AUXILIAR DE TELECOMUNICACIONES</t>
  </si>
  <si>
    <t>7203</t>
  </si>
  <si>
    <t>AUXILIAR DE VETERINARIA</t>
  </si>
  <si>
    <t>1201</t>
  </si>
  <si>
    <t>6201</t>
  </si>
  <si>
    <t>6226</t>
  </si>
  <si>
    <t>6229</t>
  </si>
  <si>
    <t>AYUDANTE AGROPECUARIO</t>
  </si>
  <si>
    <t>1151</t>
  </si>
  <si>
    <t>AYUDANTE BARMAN</t>
  </si>
  <si>
    <t>2125</t>
  </si>
  <si>
    <t>AYUDANTE DE ALMACEN</t>
  </si>
  <si>
    <t>7201</t>
  </si>
  <si>
    <t>AYUDANTE DE ARTES GRAFICAS</t>
  </si>
  <si>
    <t>4150</t>
  </si>
  <si>
    <t>AYUDANTE DE AULA</t>
  </si>
  <si>
    <t>7125</t>
  </si>
  <si>
    <t>AYUDANTE DE CARGA</t>
  </si>
  <si>
    <t>7150</t>
  </si>
  <si>
    <t>AYUDANTE DE CARPINTERIA</t>
  </si>
  <si>
    <t>7228</t>
  </si>
  <si>
    <t>AYUDANTE DE COSTURA</t>
  </si>
  <si>
    <t>7103</t>
  </si>
  <si>
    <t>AYUDANTE DE INSTALADOR DE ANTENA</t>
  </si>
  <si>
    <t>5154</t>
  </si>
  <si>
    <t>AYUDANTE DE LABORATORIO GEONALITICO</t>
  </si>
  <si>
    <t>5150</t>
  </si>
  <si>
    <t>AYUDANTE DE MAQUINARIA</t>
  </si>
  <si>
    <t>5125</t>
  </si>
  <si>
    <t>AYUDANTE DE MECANICO</t>
  </si>
  <si>
    <t>5126</t>
  </si>
  <si>
    <t>AYUDANTE DE OPERACIONES FERROVIARIAS</t>
  </si>
  <si>
    <t>7178</t>
  </si>
  <si>
    <t>AYUDANTE DE PANADEROS Y PASTELERO</t>
  </si>
  <si>
    <t>2126</t>
  </si>
  <si>
    <t>AYUDANTE DE SERV. DE PUERTO Y AEROPUERTO</t>
  </si>
  <si>
    <t>3129</t>
  </si>
  <si>
    <t>AYUDANTE DE SERVICIOS DE COCINA</t>
  </si>
  <si>
    <t>2127</t>
  </si>
  <si>
    <t>AYUDANTE DE SERVICIOS GENERALES</t>
  </si>
  <si>
    <t>7152</t>
  </si>
  <si>
    <t>AYUDANTE DE TOPOGRAFIA</t>
  </si>
  <si>
    <t>7226</t>
  </si>
  <si>
    <t>AYUDANTE INSPECTOR</t>
  </si>
  <si>
    <t>8521</t>
  </si>
  <si>
    <t>AYUDANTE MANTENIMIENTO DE VIAS TERRESTRE</t>
  </si>
  <si>
    <t>5152</t>
  </si>
  <si>
    <t>AYUDANTE MANTENIMIENTO VIAS FERROVIARIAS</t>
  </si>
  <si>
    <t>5151</t>
  </si>
  <si>
    <t>AYUDANTE POSTAL TELEGRAFICO</t>
  </si>
  <si>
    <t>7126</t>
  </si>
  <si>
    <t>BARBERO</t>
  </si>
  <si>
    <t>3150</t>
  </si>
  <si>
    <t>BARMAN</t>
  </si>
  <si>
    <t>2201</t>
  </si>
  <si>
    <t>BOTONES</t>
  </si>
  <si>
    <t>3126</t>
  </si>
  <si>
    <t>BUZO</t>
  </si>
  <si>
    <t>7250</t>
  </si>
  <si>
    <t>CAJISTA</t>
  </si>
  <si>
    <t>4174</t>
  </si>
  <si>
    <t>CAMARERA</t>
  </si>
  <si>
    <t>7104</t>
  </si>
  <si>
    <t>CAMILLERO</t>
  </si>
  <si>
    <t>6174</t>
  </si>
  <si>
    <t>CAPITAN DE MESONEROS</t>
  </si>
  <si>
    <t>3301</t>
  </si>
  <si>
    <t>CAPORAL DE EQUIPOS</t>
  </si>
  <si>
    <t>8525</t>
  </si>
  <si>
    <t>CARNICERO</t>
  </si>
  <si>
    <t>2150</t>
  </si>
  <si>
    <t>CARPINTERO</t>
  </si>
  <si>
    <t>7227</t>
  </si>
  <si>
    <t>CERRAJERO</t>
  </si>
  <si>
    <t>7127</t>
  </si>
  <si>
    <t>CLASIFICADOR DE FRUTOS</t>
  </si>
  <si>
    <t>1150</t>
  </si>
  <si>
    <t>CLASIFICADOS POSTAL TELEGRAFICO</t>
  </si>
  <si>
    <t>7207</t>
  </si>
  <si>
    <t>2129</t>
  </si>
  <si>
    <t>CONSERJE</t>
  </si>
  <si>
    <t>7159</t>
  </si>
  <si>
    <t>CONTRAMAESTRE</t>
  </si>
  <si>
    <t>7301</t>
  </si>
  <si>
    <t>CONTROL ASIST, MEDICAS</t>
  </si>
  <si>
    <t>8523</t>
  </si>
  <si>
    <t>COSTURERA</t>
  </si>
  <si>
    <t>7204</t>
  </si>
  <si>
    <t>CUIDADOR DE ANIMALES</t>
  </si>
  <si>
    <t>1174</t>
  </si>
  <si>
    <t>CHOFER</t>
  </si>
  <si>
    <t>7174</t>
  </si>
  <si>
    <t>CHOFER DE CARGA</t>
  </si>
  <si>
    <t>7231</t>
  </si>
  <si>
    <t>CHOFER DE TRANSPORTE</t>
  </si>
  <si>
    <t>7206</t>
  </si>
  <si>
    <t>DEPOSITARIO</t>
  </si>
  <si>
    <t>7135</t>
  </si>
  <si>
    <t>DESPACHADOR DE COMBUSTIBLE</t>
  </si>
  <si>
    <t>5127</t>
  </si>
  <si>
    <t>DESPACHADOR DE MERCANCIA</t>
  </si>
  <si>
    <t>3127</t>
  </si>
  <si>
    <t>DESPENSERO</t>
  </si>
  <si>
    <t>2174</t>
  </si>
  <si>
    <t>ELECTRICISTA DE ALTA TENSION</t>
  </si>
  <si>
    <t>7274</t>
  </si>
  <si>
    <t>ELECTROMECANICO</t>
  </si>
  <si>
    <t>7275</t>
  </si>
  <si>
    <t>EMBALADOR</t>
  </si>
  <si>
    <t>8522</t>
  </si>
  <si>
    <t>ESCOLTA</t>
  </si>
  <si>
    <t>8250</t>
  </si>
  <si>
    <t>ESPESORISTA</t>
  </si>
  <si>
    <t>8526</t>
  </si>
  <si>
    <t>FISCAL DE MATADERO</t>
  </si>
  <si>
    <t>1175</t>
  </si>
  <si>
    <t>FOTOGRABADOR PLANCHISTA</t>
  </si>
  <si>
    <t>4225</t>
  </si>
  <si>
    <t>FUMIGADOR</t>
  </si>
  <si>
    <t>6150</t>
  </si>
  <si>
    <t>GUARDA BARRERA</t>
  </si>
  <si>
    <t>7105</t>
  </si>
  <si>
    <t>GUARDAPARQUES</t>
  </si>
  <si>
    <t>8251</t>
  </si>
  <si>
    <t>GUARDAPARQUEZ</t>
  </si>
  <si>
    <t>6251</t>
  </si>
  <si>
    <t>GUIA VACACIONISTA</t>
  </si>
  <si>
    <t>3201</t>
  </si>
  <si>
    <t>GUILLOTINERO</t>
  </si>
  <si>
    <t>4152</t>
  </si>
  <si>
    <t>HERRERO</t>
  </si>
  <si>
    <t>7208</t>
  </si>
  <si>
    <t>INCINERADOR</t>
  </si>
  <si>
    <t>8520</t>
  </si>
  <si>
    <t>INSTALADOR DE ANTENA</t>
  </si>
  <si>
    <t>5251</t>
  </si>
  <si>
    <t>JARDINERO</t>
  </si>
  <si>
    <t>7153</t>
  </si>
  <si>
    <t>JEFE DE OBRERO</t>
  </si>
  <si>
    <t>0911</t>
  </si>
  <si>
    <t>LATONERO Y PINTOR</t>
  </si>
  <si>
    <t>5174</t>
  </si>
  <si>
    <t>LAVADOR Y ENGRASADOR</t>
  </si>
  <si>
    <t>5128</t>
  </si>
  <si>
    <t>LAVANDERO</t>
  </si>
  <si>
    <t>7128</t>
  </si>
  <si>
    <t>LENCERO</t>
  </si>
  <si>
    <t>7106</t>
  </si>
  <si>
    <t>LINOTIPISTA</t>
  </si>
  <si>
    <t>4202</t>
  </si>
  <si>
    <t>MAITRE</t>
  </si>
  <si>
    <t>3350</t>
  </si>
  <si>
    <t>MANIPULADOR DE FRUTOS</t>
  </si>
  <si>
    <t>1125</t>
  </si>
  <si>
    <t>MAQUINISTA</t>
  </si>
  <si>
    <t>5201</t>
  </si>
  <si>
    <t>MARINERO</t>
  </si>
  <si>
    <t>7154</t>
  </si>
  <si>
    <t>MECANICO AUTOMOTRIZ</t>
  </si>
  <si>
    <t>5225</t>
  </si>
  <si>
    <t>MECANICO DE AVIACION</t>
  </si>
  <si>
    <t>5275</t>
  </si>
  <si>
    <t>MECANICO DE BOBLIWG</t>
  </si>
  <si>
    <t>5175</t>
  </si>
  <si>
    <t>MECANICO DE BOGIS FERROVIARIO</t>
  </si>
  <si>
    <t>5277</t>
  </si>
  <si>
    <t>MECANICO DE MOTO</t>
  </si>
  <si>
    <t>5176</t>
  </si>
  <si>
    <t>MECANICO DE MOTORES DIESEL</t>
  </si>
  <si>
    <t>5274</t>
  </si>
  <si>
    <t>MECANICO DE REFRIGERACION</t>
  </si>
  <si>
    <t>5226</t>
  </si>
  <si>
    <t>MECANICO SISTEMA NEUMATICO FERROVIARIO</t>
  </si>
  <si>
    <t>5276</t>
  </si>
  <si>
    <t>MENSAJERO</t>
  </si>
  <si>
    <t>7129</t>
  </si>
  <si>
    <t>MENSAJERO MOTORIZADO</t>
  </si>
  <si>
    <t>7155</t>
  </si>
  <si>
    <t>MESONERO</t>
  </si>
  <si>
    <t>3175</t>
  </si>
  <si>
    <t>MODISTO</t>
  </si>
  <si>
    <t>7251</t>
  </si>
  <si>
    <t>3174</t>
  </si>
  <si>
    <t>OBRERO DE MANTENIMIENTO</t>
  </si>
  <si>
    <t>8123</t>
  </si>
  <si>
    <t>2202</t>
  </si>
  <si>
    <t>OP</t>
  </si>
  <si>
    <t>OPERADOR DE CALDERA</t>
  </si>
  <si>
    <t>7215</t>
  </si>
  <si>
    <t>OPERADOR DE MAQUINARIA PESADA</t>
  </si>
  <si>
    <t>5229</t>
  </si>
  <si>
    <t>OPERADOR DE PRENSA DE IMPRESION</t>
  </si>
  <si>
    <t>4250</t>
  </si>
  <si>
    <t>OPERADOR DE SALAS MOVILES</t>
  </si>
  <si>
    <t>7211</t>
  </si>
  <si>
    <t>OPERADOR DE SONIDO</t>
  </si>
  <si>
    <t>7160</t>
  </si>
  <si>
    <t>OPERADOR FERROVIARIO DE MANTENIMIENTO</t>
  </si>
  <si>
    <t>7210</t>
  </si>
  <si>
    <t>OPERADOR MAQUINARIA DE VIA FERREA</t>
  </si>
  <si>
    <t>5232</t>
  </si>
  <si>
    <t>OPERARIO COMPAGINACION Y ENCUADERNACION</t>
  </si>
  <si>
    <t>4125</t>
  </si>
  <si>
    <t>OPERARIO DE ACUEDUCTO</t>
  </si>
  <si>
    <t>5227</t>
  </si>
  <si>
    <t>OPERARIO DE EQUIPO DE TELECOMUNICACION</t>
  </si>
  <si>
    <t>7209</t>
  </si>
  <si>
    <t>OPERARIO DE FARO</t>
  </si>
  <si>
    <t>7130</t>
  </si>
  <si>
    <t>OPERARIO DE MAQUINA FOTOCOPIADORA</t>
  </si>
  <si>
    <t>4151</t>
  </si>
  <si>
    <t>OPERARIO DE MAQUINA LIVIANA</t>
  </si>
  <si>
    <t>5202</t>
  </si>
  <si>
    <t>OPERARIO DE PISCINA</t>
  </si>
  <si>
    <t>5203</t>
  </si>
  <si>
    <t>OPERARIO DE PLANTA HIDROELECTRICA</t>
  </si>
  <si>
    <t>5230</t>
  </si>
  <si>
    <t>OPERARIO MANTENIMIENTO VIAS TERRESTRES</t>
  </si>
  <si>
    <t>5228</t>
  </si>
  <si>
    <t>OPERARIO MAQUINA PRODUCCION FARMACEUTICA</t>
  </si>
  <si>
    <t>6175</t>
  </si>
  <si>
    <t>PANADERO</t>
  </si>
  <si>
    <t>2175</t>
  </si>
  <si>
    <t>PASTELERO</t>
  </si>
  <si>
    <t>2203</t>
  </si>
  <si>
    <t>PESCADOR</t>
  </si>
  <si>
    <t>1202</t>
  </si>
  <si>
    <t>PINTOR</t>
  </si>
  <si>
    <t>7177</t>
  </si>
  <si>
    <t>PLANCHADOR</t>
  </si>
  <si>
    <t>7131</t>
  </si>
  <si>
    <t>PLOMERO</t>
  </si>
  <si>
    <t>7212</t>
  </si>
  <si>
    <t>PORTERO</t>
  </si>
  <si>
    <t>3128</t>
  </si>
  <si>
    <t>PRACTICO FLUVIAL</t>
  </si>
  <si>
    <t>7175</t>
  </si>
  <si>
    <t>RAPARADOR DE BICICLETA</t>
  </si>
  <si>
    <t>5153</t>
  </si>
  <si>
    <t>RASTRILLERO</t>
  </si>
  <si>
    <t>8527</t>
  </si>
  <si>
    <t>RECEPTOR INFORMADOR</t>
  </si>
  <si>
    <t>3176</t>
  </si>
  <si>
    <t>REPARADOR DE MQUINA DE OFICINA</t>
  </si>
  <si>
    <t>7157</t>
  </si>
  <si>
    <t>REPARADOR DE NEUMATICO</t>
  </si>
  <si>
    <t>5129</t>
  </si>
  <si>
    <t>REPARADOR DE PARACAIDAS</t>
  </si>
  <si>
    <t>5231</t>
  </si>
  <si>
    <t>REPARADOR DE RADIADOR</t>
  </si>
  <si>
    <t>5130</t>
  </si>
  <si>
    <t>REPARTIDOR DE ALIMENTOS</t>
  </si>
  <si>
    <t>2128</t>
  </si>
  <si>
    <t>REPARTIDOR POSTAL TELEGRAFICO</t>
  </si>
  <si>
    <t>7176</t>
  </si>
  <si>
    <t>SALVAVIDAS</t>
  </si>
  <si>
    <t>8225</t>
  </si>
  <si>
    <t>SOLDADOR</t>
  </si>
  <si>
    <t>7229</t>
  </si>
  <si>
    <t>SUPERV. MANTENIMIENTO VIAS FERROVIARIA</t>
  </si>
  <si>
    <t>5302</t>
  </si>
  <si>
    <t>SUPERVISOR DE ARMADOR DE PUENTES</t>
  </si>
  <si>
    <t>5350</t>
  </si>
  <si>
    <t>SUPERVISOR DE ASCENSORISTAS</t>
  </si>
  <si>
    <t>3809</t>
  </si>
  <si>
    <t>SUPERVISOR DE AUXILIAR DE VETERINARIA</t>
  </si>
  <si>
    <t>1301</t>
  </si>
  <si>
    <t>SUPERVISOR DE CAMARERAS</t>
  </si>
  <si>
    <t>7302</t>
  </si>
  <si>
    <t>SUPERVISOR DE COCINA</t>
  </si>
  <si>
    <t>2301</t>
  </si>
  <si>
    <t>SUPERVISOR DE FUMIGACION</t>
  </si>
  <si>
    <t>6301</t>
  </si>
  <si>
    <t>SUPERVISOR DE MANTENIMIENTO DE AREAS PUBLICAS</t>
  </si>
  <si>
    <t>7305</t>
  </si>
  <si>
    <t>SUPERVISOR DE PLANTA HIDROELECTRICA</t>
  </si>
  <si>
    <t>5301</t>
  </si>
  <si>
    <t>SUPERVISOR DE SEGURIDAD</t>
  </si>
  <si>
    <t>8350</t>
  </si>
  <si>
    <t>SUPERVISOR DE SERVICIOS DE REPROD. E IMP</t>
  </si>
  <si>
    <t>4350</t>
  </si>
  <si>
    <t>SUPERVISOR DE SERVICIOS ESPECIALIZADOS</t>
  </si>
  <si>
    <t>7350</t>
  </si>
  <si>
    <t>SUPERVISOR DE SERVICIOS INTERNOS</t>
  </si>
  <si>
    <t>7303</t>
  </si>
  <si>
    <t>SUPERVISOR DE VIVEROS</t>
  </si>
  <si>
    <t>1302</t>
  </si>
  <si>
    <t>SUPERVISOR EMPAQUE Y ENVASE PROD. FARM.</t>
  </si>
  <si>
    <t>6302</t>
  </si>
  <si>
    <t>SUPERVISOR OPERACIONES FERROVIARIAS</t>
  </si>
  <si>
    <t>7351</t>
  </si>
  <si>
    <t>TALABARTERO</t>
  </si>
  <si>
    <t>7158</t>
  </si>
  <si>
    <t>TAPICERO</t>
  </si>
  <si>
    <t>7213</t>
  </si>
  <si>
    <t>TAQUILLERO</t>
  </si>
  <si>
    <t>3151</t>
  </si>
  <si>
    <t>TIMONEL DE EMBARCACION</t>
  </si>
  <si>
    <t>7214</t>
  </si>
  <si>
    <t>TORNERO</t>
  </si>
  <si>
    <t>7230</t>
  </si>
  <si>
    <t>VIGILANTE</t>
  </si>
  <si>
    <t>8201</t>
  </si>
  <si>
    <t>ZAPATERO</t>
  </si>
  <si>
    <t>7132</t>
  </si>
  <si>
    <t>OBRERO</t>
  </si>
  <si>
    <t>99A</t>
  </si>
  <si>
    <t>99B</t>
  </si>
  <si>
    <t>99C</t>
  </si>
  <si>
    <t>99D</t>
  </si>
  <si>
    <t>99E</t>
  </si>
  <si>
    <t>TIPO</t>
  </si>
  <si>
    <t>TABULADOR DE OBREROS</t>
  </si>
  <si>
    <t>99F</t>
  </si>
  <si>
    <t>99G</t>
  </si>
  <si>
    <t>TSU</t>
  </si>
  <si>
    <t>NIVEL EDUCATIVO</t>
  </si>
  <si>
    <t>EMPLEADO</t>
  </si>
  <si>
    <t>CODIGO</t>
  </si>
  <si>
    <t>DENOMINACION</t>
  </si>
  <si>
    <t>INFORMACION</t>
  </si>
  <si>
    <t>C0003</t>
  </si>
  <si>
    <t>PRIMA ANTIGÜEDAD</t>
  </si>
  <si>
    <t>C0004</t>
  </si>
  <si>
    <t>C0005</t>
  </si>
  <si>
    <t>PRIMAS POR PROFESIONALIZACION</t>
  </si>
  <si>
    <t>C0006</t>
  </si>
  <si>
    <t>C0010</t>
  </si>
  <si>
    <t>C0019</t>
  </si>
  <si>
    <t>C0025</t>
  </si>
  <si>
    <t>BONO NAVIDEÑO</t>
  </si>
  <si>
    <t>S.S.O.</t>
  </si>
  <si>
    <t>PARO FORZOSO</t>
  </si>
  <si>
    <t>NRO. DE HIJOS</t>
  </si>
  <si>
    <t>JULIO</t>
  </si>
  <si>
    <t>TOTAL PERSONAL DIRECTIVO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</si>
  <si>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</si>
  <si>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</si>
  <si>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</si>
  <si>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</si>
  <si>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</si>
  <si>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</si>
  <si>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</si>
  <si>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</si>
  <si>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</si>
  <si>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Directora de Talento Humano</t>
  </si>
  <si>
    <t>Coordinadora de Educación Nutricional</t>
  </si>
  <si>
    <t>Coordinadora de Investigación Nutricional</t>
  </si>
  <si>
    <t>Director de planificación y presupuesto</t>
  </si>
  <si>
    <t>Coordinador Fogones Comunales</t>
  </si>
  <si>
    <t>Coordinador PAE</t>
  </si>
  <si>
    <t>Director de Asistencia Alimentaria</t>
  </si>
  <si>
    <t>Coordinnador de Centros de Atención Integral</t>
  </si>
  <si>
    <t>Director de Atención al Ciudadano</t>
  </si>
  <si>
    <t>AUXILIAR DE TERAPIA</t>
  </si>
  <si>
    <t xml:space="preserve">TOTAL GENERAL </t>
  </si>
  <si>
    <t>CAJA DE AHORRO</t>
  </si>
  <si>
    <t>PRIMA TRANSPORTE</t>
  </si>
  <si>
    <t>DIAS FERIADOS</t>
  </si>
  <si>
    <t>ANTIGÜEDAD</t>
  </si>
  <si>
    <t>PROFESIONALIZACION</t>
  </si>
  <si>
    <t>AÑOS</t>
  </si>
  <si>
    <t>PORCENTAJE</t>
  </si>
  <si>
    <t>GRADO INSTRUCCIÓN</t>
  </si>
  <si>
    <t>BACHILLER</t>
  </si>
  <si>
    <t>UNIVERSITARIO</t>
  </si>
  <si>
    <t>ESPECIALISTA</t>
  </si>
  <si>
    <t>MAESTRIA</t>
  </si>
  <si>
    <t>DOCTOR</t>
  </si>
  <si>
    <t>MONTO</t>
  </si>
  <si>
    <t>COORDINADORES -COMISIONADOS</t>
  </si>
  <si>
    <t>DIRECTORES DE LINEA -VICEPRESIDENTES</t>
  </si>
  <si>
    <t>ASIST- JEFES DE DEPART- CONSULTOR- JEFES DE DIVISION</t>
  </si>
  <si>
    <t>MAXIMA AUTORIDAD -DIRECTORES-SECRETARIO PRIVADO- PRESIDENTE</t>
  </si>
  <si>
    <t>SECRETARIO GENERAL</t>
  </si>
  <si>
    <t>NOVIEMBRE</t>
  </si>
  <si>
    <t>DICIEMBRE</t>
  </si>
  <si>
    <t>CLASIFICACION DE CARGOS - GRADOS</t>
  </si>
  <si>
    <t>AÑO DE FORMULACION</t>
  </si>
  <si>
    <t>CONCEPTOS</t>
  </si>
  <si>
    <t>FAOV POLÍTICA HABITACIONAL</t>
  </si>
  <si>
    <t>CANT. LUNES-MES</t>
  </si>
  <si>
    <t>MES</t>
  </si>
  <si>
    <t>CANT LUNES</t>
  </si>
  <si>
    <t xml:space="preserve"> </t>
  </si>
  <si>
    <t>COMISIONADO.</t>
  </si>
  <si>
    <t>INSTRUCTOR I   N.G.</t>
  </si>
  <si>
    <t>INSTRUCTOR II  N.G.</t>
  </si>
  <si>
    <t>INSTRUCTOR III N.G.</t>
  </si>
  <si>
    <t>INSTRUCTOR N.G TCVD</t>
  </si>
  <si>
    <t>DOCENTE AULA IV</t>
  </si>
  <si>
    <t>INSTRUCTOR MARROQUINERIA</t>
  </si>
  <si>
    <t>AUX. BIBLIOTECA TCVN</t>
  </si>
  <si>
    <t>AUXILIAR DE BIBLIOTECA TID</t>
  </si>
  <si>
    <t>ASIST. BIBLIOTECA III</t>
  </si>
  <si>
    <t>ASIST. BIBLIOTECA TCVN</t>
  </si>
  <si>
    <t>DOCENTE N.G. 1-6</t>
  </si>
  <si>
    <t>DOC. BASICA N.G. 19 TID</t>
  </si>
  <si>
    <t>DOC. BASICA N.G. TCVID</t>
  </si>
  <si>
    <t>DOC. BASICA N.G. 16 TCVNMA</t>
  </si>
  <si>
    <t>DOC. BASICA N.G. 789 TCVNMA</t>
  </si>
  <si>
    <t>DOC. DIRECTOR BAS. N.G. 16 TCVNMA</t>
  </si>
  <si>
    <t>DOC. DIRECTOR BAS. N.G. 789 TCVNMA</t>
  </si>
  <si>
    <t>DOC. BASICA N.G. TCVD</t>
  </si>
  <si>
    <t>DOC. SUB DIRECTOR N.G. TIDN</t>
  </si>
  <si>
    <t>DOC. DIRECTOR ARTES P.</t>
  </si>
  <si>
    <t>DOC. BASICA N.G. 789 TCVNHC</t>
  </si>
  <si>
    <t>DOC. PRE-ESCOLAR N.G.</t>
  </si>
  <si>
    <t>DOC. DIRECTOR N.G.</t>
  </si>
  <si>
    <t>DOC. DIRECTOR VI 77</t>
  </si>
  <si>
    <t>DOC. BAS. I 77 INTERINO</t>
  </si>
  <si>
    <t>DOC. BASICA I   77 16 TSE</t>
  </si>
  <si>
    <t>DOC. BASICA II  77 16 TSE</t>
  </si>
  <si>
    <t>DOC. SUP.NG. III MEFDTC</t>
  </si>
  <si>
    <t>DOC. DIRECTOR VI 139</t>
  </si>
  <si>
    <t>DOC. PLAN.16 77 IV</t>
  </si>
  <si>
    <t>DOC. PLAN.16 77  V</t>
  </si>
  <si>
    <t>DOC. PLAN.16 77 VI</t>
  </si>
  <si>
    <t>ALFABETIZADOR</t>
  </si>
  <si>
    <t>DOC. 77-TC. III.</t>
  </si>
  <si>
    <t>DOC. ORIENT. 77  III TID</t>
  </si>
  <si>
    <t>DOC. BASICA V ORIENT.77 TID</t>
  </si>
  <si>
    <t>DOC. BAS.PLANIF.IV TC 77</t>
  </si>
  <si>
    <t>DOC. BAS. PLANIF. V TC 77</t>
  </si>
  <si>
    <t>DOC. ORIEN. I 77 1-6 TC</t>
  </si>
  <si>
    <t>DOC. ORIEN. V 77 1-6 TID</t>
  </si>
  <si>
    <t>DOC. PLANIF. V   TC</t>
  </si>
  <si>
    <t>DOC. PRE-ESC. I   77  TID</t>
  </si>
  <si>
    <t>DOC. PRE-ESC. II  77  TID</t>
  </si>
  <si>
    <t>DOC. PRE-ESC. III 77  TID</t>
  </si>
  <si>
    <t>DOC. PRE-ESC. IV  77  TID</t>
  </si>
  <si>
    <t>DOC. PRE-ESC. V   77  TID</t>
  </si>
  <si>
    <t>DOC. PRE-ESC. VI  77  TID</t>
  </si>
  <si>
    <t>DOC. PRE-ESC. I   139 TID</t>
  </si>
  <si>
    <t>DOC. PRE-ESC. II  139 TID</t>
  </si>
  <si>
    <t>DOC. PRE-ESC. III 139 TID</t>
  </si>
  <si>
    <t>DOC. PRE-ESC. IV  139 TID</t>
  </si>
  <si>
    <t>DOC. PRE-ESC. V   139 TID</t>
  </si>
  <si>
    <t>DOC. PRE-ESC. VI  139 TID</t>
  </si>
  <si>
    <t>DOC. BASICA 77  TID</t>
  </si>
  <si>
    <t>DOC. BASICA I 77 TID</t>
  </si>
  <si>
    <t>DOC. BASICA II  77  TID</t>
  </si>
  <si>
    <t>DOC. BASICA III 77  TID</t>
  </si>
  <si>
    <t>DOC. BASICA IV  77  TID</t>
  </si>
  <si>
    <t>DOC. BASICA V   77  TID</t>
  </si>
  <si>
    <t>DOC. BASICA VI  77  TID</t>
  </si>
  <si>
    <t>DOC. BASICA I   139 TID</t>
  </si>
  <si>
    <t>DOC. BASICA II  139 TID</t>
  </si>
  <si>
    <t>DOC. BASICA III 139 TID</t>
  </si>
  <si>
    <t>DOC. BASICA IV  139 TID</t>
  </si>
  <si>
    <t>DOC. BASICA V   139 TID</t>
  </si>
  <si>
    <t>DOC. BASICA VI  139 TID</t>
  </si>
  <si>
    <t>DOC. BASICA V  139 TCVD-MEF</t>
  </si>
  <si>
    <t>DOC. BASICA I    77 TCVNMA</t>
  </si>
  <si>
    <t>DOC. BASICA II 77 TCVNMA</t>
  </si>
  <si>
    <t>DOC. BASICA III  77 TCVNMA</t>
  </si>
  <si>
    <t>DOC. BASICA IV   77 TCVNMA</t>
  </si>
  <si>
    <t>DOC. BASICA V    77 TCVNMA</t>
  </si>
  <si>
    <t>DOC. BASICA VI   77 TCVNMA</t>
  </si>
  <si>
    <t>DOC. BASICA I   139 TCVNMA</t>
  </si>
  <si>
    <t>DOC. BASICA II  139 TCVNMA</t>
  </si>
  <si>
    <t>DOC. BASICA III 139 TCVNMA</t>
  </si>
  <si>
    <t>DOC. BASICA IV  139 TCVNMA</t>
  </si>
  <si>
    <t>DOC. BASICA V   139 TCVNMA</t>
  </si>
  <si>
    <t>DOC. BASICA VI  139 TCVNMA</t>
  </si>
  <si>
    <t>DOC. BASICA IV  77 TC-V</t>
  </si>
  <si>
    <t>DOC. BASICA V   77 TC-V 79</t>
  </si>
  <si>
    <t>DOC. BASICA 77  TCVD</t>
  </si>
  <si>
    <t>DOC. BASICA I   77  TCVD</t>
  </si>
  <si>
    <t>DOC. BASICA II 77  TCVD</t>
  </si>
  <si>
    <t>DOC. BASICA III 77  TCVD</t>
  </si>
  <si>
    <t>DOC. BASICA IV  77  TCVD</t>
  </si>
  <si>
    <t>DOC. BASICA V   77  TCVD</t>
  </si>
  <si>
    <t>DOC. BASICA VI  77  TCVD</t>
  </si>
  <si>
    <t>DOC. BASICA VI   77 TCVD</t>
  </si>
  <si>
    <t>DOC. BASICA II 77</t>
  </si>
  <si>
    <t>DOC. BAS. III T.S.E  TCVD</t>
  </si>
  <si>
    <t>DOC. BASICA I   139 TCVD</t>
  </si>
  <si>
    <t>DOC. BASICA II  139 TCVD</t>
  </si>
  <si>
    <t>DOC. BASICA III 139 TCVD</t>
  </si>
  <si>
    <t>DOC. BASICA IV  139 TCVD</t>
  </si>
  <si>
    <t>DOC. BASICA V   139 TCVD</t>
  </si>
  <si>
    <t>DOC. BASICA VI  139 TCVD</t>
  </si>
  <si>
    <t>DOC. PRE-ESC I 77 TID INTERINO</t>
  </si>
  <si>
    <t>DOC. BAS. I 77 TID INTERINO</t>
  </si>
  <si>
    <t>DOC. BAS. I T.S.E. TID INTERINO</t>
  </si>
  <si>
    <t>DOC. PRE-ESC I TSE TID INTERINO</t>
  </si>
  <si>
    <t>DOC. BAS. I 77 TCVDMA INTERINO</t>
  </si>
  <si>
    <t>DOC. BAS I TSE TCVDMA INTERINO</t>
  </si>
  <si>
    <t>DOC. BAS I 77 TCVD INTERINO</t>
  </si>
  <si>
    <t>PROF. PINTURA Y DIBUJO</t>
  </si>
  <si>
    <t>INSTRUCTOR ECONOMIA DOMESTICA</t>
  </si>
  <si>
    <t>DOC. SUB DIRECTOR PRE-ESCOLAR II 77</t>
  </si>
  <si>
    <t>DOC. SUB DIRECTOR PRE-ESCOLAR III 77</t>
  </si>
  <si>
    <t>DOC. SUB DIRECTOR PRE-ESCOLAR IV 77</t>
  </si>
  <si>
    <t>DOC. SUB DIRECTOR PRE-ESCOLAR V  77</t>
  </si>
  <si>
    <t>DOC. SUB DIRECTOR PRE-ESCOLAR VI 77</t>
  </si>
  <si>
    <t>DOC. SUB DIRECTOR PRE-ESC. T.S.E. TID II</t>
  </si>
  <si>
    <t>DOC. SUB DIRECTOR PRE-ESC. T.S.E. TID IV</t>
  </si>
  <si>
    <t>DOC. SUB DIRECTOR PRE-ESC. T.S.E. TID V</t>
  </si>
  <si>
    <t>DOC. SUB DIRECTOR PRE-ESC. T.S.E. TID VI</t>
  </si>
  <si>
    <t>DOC. SUB DIRECTOR PRE-ESCOLAR II 139</t>
  </si>
  <si>
    <t>DOC. SUB DIRECTOR BASICA IV  TID</t>
  </si>
  <si>
    <t>DOC. SUB DIRECTOR PRE-ESCOLAR V  139</t>
  </si>
  <si>
    <t>DOC. SUB DIRECTOR PRE-ESCOLAR VI 139</t>
  </si>
  <si>
    <t>DOC. SUB DIRECTOR BASICA 77 TID</t>
  </si>
  <si>
    <t>DOC. SUB DIRECTOR BASICA I 77 TID</t>
  </si>
  <si>
    <t>DOC. SUB DIRECTOR BASICA II  77 TID</t>
  </si>
  <si>
    <t>DOC. SUB DIRECTOR BASICA III  77 TID</t>
  </si>
  <si>
    <t>DOC. SUB DIRECTOR BASICA IV  77 TID</t>
  </si>
  <si>
    <t>DOC. SUB DIRECTOR BASICA V   77 TID</t>
  </si>
  <si>
    <t>DOC. SUB DIRECTOR BASICA VI  77 TID</t>
  </si>
  <si>
    <t>DOC. SUB DIRECTOR BASICA  I  139 TID</t>
  </si>
  <si>
    <t>DOC. SUB DIRECTOR BASICA  II 139 TID</t>
  </si>
  <si>
    <t>DOC. SUB DIRECTOR BASICA III 139 TID</t>
  </si>
  <si>
    <t>DOC. SUB DIRECTOR BASICA IV 139 TID</t>
  </si>
  <si>
    <t>DOC. SUB DIRECTOR BASICA V  139 TID</t>
  </si>
  <si>
    <t>DOC. SUB DIRECTOR BASICA VI 139 TID</t>
  </si>
  <si>
    <t>DOC. SUB DIRECTOR BASICA VI  77 TCVNMA</t>
  </si>
  <si>
    <t>PROFESOR I TID</t>
  </si>
  <si>
    <t>INSTRUCTOR MUSICAL</t>
  </si>
  <si>
    <t>DOC. DIRECTOR PRE-ESC. I   77  TID</t>
  </si>
  <si>
    <t>DOC. DIRECTOR PRE-ESC  II  77  TID</t>
  </si>
  <si>
    <t>DOC. DIRECTOR PRE-ESC. III  77 TID</t>
  </si>
  <si>
    <t>DOC. DIRECTOR PRE-ESC. IV  77  TID</t>
  </si>
  <si>
    <t>DOC. DIRECTOR PRE-ESC. V   77  TID</t>
  </si>
  <si>
    <t>DOC. DIRECTOR PRE-ESC. VI  77  TID</t>
  </si>
  <si>
    <t>INSTRUCTOR DE MANUALIDADES TCVD</t>
  </si>
  <si>
    <t>DOC. DIRECTOR PRE-ESC. III 139 TID</t>
  </si>
  <si>
    <t>DOC. DIRECTOR PRE-ESC. IV  139 TID</t>
  </si>
  <si>
    <t>DOC. DIRECTOR PRE-ESC. V   139 TID</t>
  </si>
  <si>
    <t>DOC. DIRECTOR PRE-ESC. VI  139 TID</t>
  </si>
  <si>
    <t>DOC. DIRECTOR BASICA 77  TID</t>
  </si>
  <si>
    <t>DOC. DIRECTOR BASICA I   77  TID</t>
  </si>
  <si>
    <t>DOC. DIRECTOR BASICA II  77  TID</t>
  </si>
  <si>
    <t>DOC. DIRECTOR BASICA III 77 TID</t>
  </si>
  <si>
    <t>DOC. DIRECTOR BASICA IV  77 TID</t>
  </si>
  <si>
    <t>DOC. DIRECTOR BASICA V   77 TID</t>
  </si>
  <si>
    <t>DOC. DIRECTOR BASICA VI  77 TID</t>
  </si>
  <si>
    <t>DOC. DIRECTOR BASICA III 139 TID</t>
  </si>
  <si>
    <t>DOC. DIRECTOR BASICA IV 139 TID</t>
  </si>
  <si>
    <t>DOC. DIRECTOR BASICA V  139 TID</t>
  </si>
  <si>
    <t>DOC. DIRECTOR BASICA VI 139 TID</t>
  </si>
  <si>
    <t>DOC. DIRECTOR BASICA I  77 TCVNMA</t>
  </si>
  <si>
    <t>DOC. DIRECTOR TCV NMA 77-III</t>
  </si>
  <si>
    <t>DOC. DIRECTOR BASICA IV  77 TCVNMA</t>
  </si>
  <si>
    <t>DOC. DIRECTOR BASICA  V  77 TCVNMA</t>
  </si>
  <si>
    <t>DOC. DIRECTOR BASICA VI  77 TCVNMA</t>
  </si>
  <si>
    <t>DOC. DIRECTOR BASICA  I 139 TCVNMA</t>
  </si>
  <si>
    <t>DOC. DIRECTOR BASICA IV 139 TCVNMA</t>
  </si>
  <si>
    <t>DOC. DIRECTOR BASICA  V 139 TCVNMA</t>
  </si>
  <si>
    <t>DOC. DIRECTOR BASICA VI 139 TCVNMA</t>
  </si>
  <si>
    <t>DOC. DIRECTOR 77-TC  IV.</t>
  </si>
  <si>
    <t>DOC. DIRECTOR BASICA VI  77 TINMA</t>
  </si>
  <si>
    <t>DOC. SUP.BAS. II 77  TC</t>
  </si>
  <si>
    <t>DOC. SUP. BAS. III 77</t>
  </si>
  <si>
    <t>DOC. SUP.BAS. IV 77  TC</t>
  </si>
  <si>
    <t>DOC. SUP.BAS. V  77  TC</t>
  </si>
  <si>
    <t>DOC. SUP.BAS  VI 77  TC</t>
  </si>
  <si>
    <t>DOC. ORIENTADOR 77-TC. I.</t>
  </si>
  <si>
    <t>DOC. ORI.BAS. III 77</t>
  </si>
  <si>
    <t>DOC. SUP.BAS. IV 139 TC</t>
  </si>
  <si>
    <t>DOC. SUP.BAS. V  139 TC</t>
  </si>
  <si>
    <t>DOC. SUP.BAS. VI 139 TC</t>
  </si>
  <si>
    <t>TECNICO SUPERIOR III 77 TID</t>
  </si>
  <si>
    <t>SECRETARIO EJECUTIVO DEL COMITE SUPERIOR DEL G.E.P.D.T</t>
  </si>
  <si>
    <t>COORDINADOR DE PREFECTURAS</t>
  </si>
  <si>
    <t>COORD. DE DIFUSIONLITER. Y TEATRAL</t>
  </si>
  <si>
    <t>ALFABETIZADOR I   77</t>
  </si>
  <si>
    <t>ALFABETIZADOR II  77</t>
  </si>
  <si>
    <t>ALFABETIZADOR III 77</t>
  </si>
  <si>
    <t>ALFABETIZADOR IV  77</t>
  </si>
  <si>
    <t>ALFABETIZADOR V   77</t>
  </si>
  <si>
    <t>ALFABETIZADOR VI  77</t>
  </si>
  <si>
    <t>ALFABETIZADOR I   139</t>
  </si>
  <si>
    <t>ALFABETIZADOR II  139</t>
  </si>
  <si>
    <t>ALFABETIZADOR III 139</t>
  </si>
  <si>
    <t>ALFABETIZADOR IV  139</t>
  </si>
  <si>
    <t>ALFABETIZADOR V   139</t>
  </si>
  <si>
    <t>ALFABETIZADOR VI  139</t>
  </si>
  <si>
    <t>ASISTENTE DE TEATRO  IV 139</t>
  </si>
  <si>
    <t>ASIST. DE TALLER III N.G.</t>
  </si>
  <si>
    <t>ASIS. COORD. RED. B. IV 139</t>
  </si>
  <si>
    <t>AUX. BIBLIOTECA PUB. I  139</t>
  </si>
  <si>
    <t>AUX. BIBLIOTECA PUB. II 139</t>
  </si>
  <si>
    <t>AUX. BIBLIOTECA PUB.III 139</t>
  </si>
  <si>
    <t>AUX. BIBLIOTECA PUB. IV 139</t>
  </si>
  <si>
    <t>AUX. BIBLIOTECA PUB. V  139</t>
  </si>
  <si>
    <t>AUX. BIBLIOTECA PUB. VI 139</t>
  </si>
  <si>
    <t>AUX. BIBLIOTECA PUB. I   77</t>
  </si>
  <si>
    <t>AUX. BIBLIOTECA PUB. II  77</t>
  </si>
  <si>
    <t>AUX. BIBLIOTECA PUB. III 77</t>
  </si>
  <si>
    <t>AUX. BIBLIOTECA PUB. IV  77</t>
  </si>
  <si>
    <t>AUX. BIBLIOTECA PUB. V   77</t>
  </si>
  <si>
    <t>AUX. BIBLIOTECA PUB. VI  77</t>
  </si>
  <si>
    <t>COORD.  I   77</t>
  </si>
  <si>
    <t>COORD.  II  77</t>
  </si>
  <si>
    <t>COORD.  III 77</t>
  </si>
  <si>
    <t>COORD.  IV  77</t>
  </si>
  <si>
    <t>COORD.  V   77</t>
  </si>
  <si>
    <t>COORD.  VI  77</t>
  </si>
  <si>
    <t>COORD. CONSERV. Y M.</t>
  </si>
  <si>
    <t>COORD. I   139</t>
  </si>
  <si>
    <t>COORD. II  139</t>
  </si>
  <si>
    <t>COORD. III 139</t>
  </si>
  <si>
    <t>COORD. IV  139</t>
  </si>
  <si>
    <t>COORD. V   139</t>
  </si>
  <si>
    <t>COORD. VI  139</t>
  </si>
  <si>
    <t>COORD.EDUC.RURAL</t>
  </si>
  <si>
    <t>COORD. DOCENTE 77</t>
  </si>
  <si>
    <t>COORD. DOCENTE I   77</t>
  </si>
  <si>
    <t>COORD. DOCENTE II  77</t>
  </si>
  <si>
    <t>COORD. DOCENTE III 77</t>
  </si>
  <si>
    <t>COORD. DOCENTE IV  77</t>
  </si>
  <si>
    <t>COORD. DOCENTE V   77</t>
  </si>
  <si>
    <t>COORD. DOCENTE VI  77</t>
  </si>
  <si>
    <t>COORD.DIF.C.CUL.VI 139</t>
  </si>
  <si>
    <t>DIRECTOR I   139</t>
  </si>
  <si>
    <t>DIRECTOR II  139</t>
  </si>
  <si>
    <t>DIRECTOR III 139</t>
  </si>
  <si>
    <t>DIRECTOR IV  139</t>
  </si>
  <si>
    <t>DIRECTOR V   139</t>
  </si>
  <si>
    <t>DIRECTOR VI  139</t>
  </si>
  <si>
    <t>DIRECTOR I   77</t>
  </si>
  <si>
    <t>DIRECTOR II  77</t>
  </si>
  <si>
    <t>DIRECTOR III 77</t>
  </si>
  <si>
    <t>DIRECTOR IV  77</t>
  </si>
  <si>
    <t>DIRECTOR V   77</t>
  </si>
  <si>
    <t>DIRECTOR VI  77</t>
  </si>
  <si>
    <t>INSTRUCTOR I   77</t>
  </si>
  <si>
    <t>INSTRUCTOR II  77</t>
  </si>
  <si>
    <t>INSTRUCTOR III 77</t>
  </si>
  <si>
    <t>INSTRUCTOR IV  77</t>
  </si>
  <si>
    <t>INSTRUCTOR V   77</t>
  </si>
  <si>
    <t>INSTRUCTOR VI  77</t>
  </si>
  <si>
    <t>INSTRUCTOR I   139</t>
  </si>
  <si>
    <t>INSTRUCTOR II  139</t>
  </si>
  <si>
    <t>INSTRUCTOR III 139</t>
  </si>
  <si>
    <t>INSTRUCTOR IV  139</t>
  </si>
  <si>
    <t>INSTRUCTOR V   139</t>
  </si>
  <si>
    <t>INSTRUCTOR VI  139</t>
  </si>
  <si>
    <t>DOCENTE ORIENTADOR</t>
  </si>
  <si>
    <t>DOC. ORIENTADOR 77 TC IV</t>
  </si>
  <si>
    <t>DOC. ORIENTADOR 77 TC V</t>
  </si>
  <si>
    <t>PROF. CLARINETE II  77</t>
  </si>
  <si>
    <t>PROF. DE PIANO  IV  139</t>
  </si>
  <si>
    <t>PROF. DE PIANO III  77</t>
  </si>
  <si>
    <t>PROF. DIB. Y DEC. G.III 77</t>
  </si>
  <si>
    <t>PROF. DIBUJO Y DEC. VI 77</t>
  </si>
  <si>
    <t>PROF. HIST. MUSICA VI  139</t>
  </si>
  <si>
    <t>PROF. HISTORIA DEL A.IV 77</t>
  </si>
  <si>
    <t>PROF. HISTORIA DEL A.VI 77</t>
  </si>
  <si>
    <t>PROF. KINDER MUSICAL VI 77</t>
  </si>
  <si>
    <t>PROF. LANG. PLASTICO I 77</t>
  </si>
  <si>
    <t>PROF. PIANO PRINCIPAL III 77</t>
  </si>
  <si>
    <t>PROF. PINTURA INFAN. V 77</t>
  </si>
  <si>
    <t>PROF. VIOLA III 77</t>
  </si>
  <si>
    <t>PROF. VIOLIN III 77</t>
  </si>
  <si>
    <t>PROF. VIOLONCELLO III 77</t>
  </si>
  <si>
    <t>PROF. GUITARRA VI 139</t>
  </si>
  <si>
    <t>INSTRUCTOR I</t>
  </si>
  <si>
    <t>INTRUCTOR DEPORTIVO</t>
  </si>
  <si>
    <t>PROF. FOTOGRAFIA  VI  139</t>
  </si>
  <si>
    <t>PROF. MUSICA POP. VI   77</t>
  </si>
  <si>
    <t>PROF. HISTORIA EST.III 77</t>
  </si>
  <si>
    <t>DOC. PRE-ESC TSE TID I</t>
  </si>
  <si>
    <t>DOC. PRE-ESC TSE TID II</t>
  </si>
  <si>
    <t>DOC. PRE-ESC TSE TID III</t>
  </si>
  <si>
    <t>DOC. PRE-ESC TSE TID IV</t>
  </si>
  <si>
    <t>DOC. PRE-ESC TSE TID V</t>
  </si>
  <si>
    <t>DOC. PRE-ESC TSE TID VI</t>
  </si>
  <si>
    <t>DOC. DIRECTOR BASICO I  T.S.E.</t>
  </si>
  <si>
    <t>DOC. DIRECTOR BASICO II  T.S.E.</t>
  </si>
  <si>
    <t>DOC. DIRECTOR BASICO III  T.S.E.</t>
  </si>
  <si>
    <t>DOC. DIRECTOR BASICO IV  T.S.E.</t>
  </si>
  <si>
    <t>DOC. DIRECTOR BASICO V  T.S.E.</t>
  </si>
  <si>
    <t>DOC. DIRECTOR BASICO VI  T.S.E.</t>
  </si>
  <si>
    <t>DOC. SUB DIRECTOR BASICO I  T.S.E.</t>
  </si>
  <si>
    <t>DOC. SUB DIRECTOR BASICO IV  T.S.E.</t>
  </si>
  <si>
    <t>DOC. SUB DIRECTOR BASICO V  T.S.E.</t>
  </si>
  <si>
    <t>DOC. SUB DIRECTOR BASICA IV  T.S.E</t>
  </si>
  <si>
    <t>DOC. SUB DIRECTOR BASICO VI T.S.E.</t>
  </si>
  <si>
    <t>DOC. BASICA 16-TSE TID I</t>
  </si>
  <si>
    <t>DOC. BASICA 16-TSE TID II</t>
  </si>
  <si>
    <t>DOC. BASICA 16-TSE TID III</t>
  </si>
  <si>
    <t>DOC. BASICA 16-TSE TID IV</t>
  </si>
  <si>
    <t>DOC. BASICA 16-TSE TID V</t>
  </si>
  <si>
    <t>DOC. BASICA 16- TSE TID VI</t>
  </si>
  <si>
    <t>DOC. BASICA 789-TSE TCVD I</t>
  </si>
  <si>
    <t>DOC. BASICA 789-TSE TCVD II</t>
  </si>
  <si>
    <t>DOC. BASICA 789-TSE TCVD III</t>
  </si>
  <si>
    <t>DOC. BASICA 789-TSE TCVD IV</t>
  </si>
  <si>
    <t>DOC. BASICA 789-TSE TCVD V</t>
  </si>
  <si>
    <t>DOC. BASICA 789-TSE TCVD VI</t>
  </si>
  <si>
    <t>DOC. BASICA 16-789 TSE TCVD I</t>
  </si>
  <si>
    <t>DOC. BASICA 16-789 TSE TCVD II</t>
  </si>
  <si>
    <t>DOC. BASICA 16-789 TSE TCVD III</t>
  </si>
  <si>
    <t>DOC. BASICA 16-789 TSE TCVD IV</t>
  </si>
  <si>
    <t>DOC. BASICA 16-789 TSE TCVD V</t>
  </si>
  <si>
    <t>DOC. BASICA 16-789 TSE TCVD VI</t>
  </si>
  <si>
    <t>DOC. BASICO I  T.S.E. TCVNMA</t>
  </si>
  <si>
    <t>DOC. BASICO II  T.S.E. TCVNMA</t>
  </si>
  <si>
    <t>DOC. BASICO III T.S.E. TCVNMA</t>
  </si>
  <si>
    <t>DOC. BASICO IV  T.S.E. TCVNMA</t>
  </si>
  <si>
    <t>DOC. BASCO V  T.S.E. TCVNMA</t>
  </si>
  <si>
    <t>DOC. BASICO  VI  T.S.E. TCVNMA</t>
  </si>
  <si>
    <t>DOC. DIRECTOR BASICA IV T.S.E TID</t>
  </si>
  <si>
    <t>DOC. DIRECTOR BASICA  V T.S.E TID</t>
  </si>
  <si>
    <t>PROF. CLARINETE VI</t>
  </si>
  <si>
    <t>SUB DIRECTOR VI 139</t>
  </si>
  <si>
    <t>INSTRUCTOR MANUALIDADES I</t>
  </si>
  <si>
    <t>INSTRUCTOR MANUALIDADES III</t>
  </si>
  <si>
    <t>INSTRUCTOR MANUALIDADES II</t>
  </si>
  <si>
    <t>INST.CORT.Y CONFECC. N.G.</t>
  </si>
  <si>
    <t>INST. MUSICAL N.G.</t>
  </si>
  <si>
    <t>INSTRUCTOR</t>
  </si>
  <si>
    <t>INST.BALLET Y DANZAS N.G.</t>
  </si>
  <si>
    <t>INST.DANZAS III N.G.</t>
  </si>
  <si>
    <t>INST.REPOSTERIA C. N.G.</t>
  </si>
  <si>
    <t>INST.PINTURA 77 III</t>
  </si>
  <si>
    <t>INST.DIBUJO INFANTIL N.G.</t>
  </si>
  <si>
    <t>INST.PINTURA Y DIB. VI 139</t>
  </si>
  <si>
    <t>DIRECTOR ESCUELA 139 III</t>
  </si>
  <si>
    <t>INST.CERAMICA Y ESC. N.G.</t>
  </si>
  <si>
    <t>COORD.DOCENTE N.G.</t>
  </si>
  <si>
    <t>INST.TEATRO-TITERES 139 III</t>
  </si>
  <si>
    <t>INST.TEJIDO E HILADO 77 IV</t>
  </si>
  <si>
    <t>INST.PINTURA Y D. N.G.</t>
  </si>
  <si>
    <t>DIRECTOR ESCUELA N.G.</t>
  </si>
  <si>
    <t>PROF.CERAMICA ARTISTICA N.G.</t>
  </si>
  <si>
    <t>INST.DANZAS FOLKLORICAS N.G.</t>
  </si>
  <si>
    <t>ALFABETIZADOR N.G.</t>
  </si>
  <si>
    <t>INST.CORTE Y CONF. 77 VI</t>
  </si>
  <si>
    <t>INST.BORDADO A MAQUINA N.G.</t>
  </si>
  <si>
    <t>INST.DE PELUQUERIA N.G.</t>
  </si>
  <si>
    <t>PROF.TEATRO N.G.</t>
  </si>
  <si>
    <t>ASISTENTE DE TALLER N.G.</t>
  </si>
  <si>
    <t>PROFESOR DE VIOLA N.G.</t>
  </si>
  <si>
    <t>PROFESOR DE VIOLIN N.G.</t>
  </si>
  <si>
    <t>PROF. MANUALIDADES 77 II</t>
  </si>
  <si>
    <t>AUX. BIBLIOTECA PUB. N.G.</t>
  </si>
  <si>
    <t>DIRECTOR DE ESCUELA 139 III</t>
  </si>
  <si>
    <t>INST.MANUALIDADES N.G.</t>
  </si>
  <si>
    <t>ASIST. DE TALLER II</t>
  </si>
  <si>
    <t>ASIST.COORD.RED.B. IV 77</t>
  </si>
  <si>
    <t>PROF. CLARINETE N.G.</t>
  </si>
  <si>
    <t>PROF. TROMPETA N.G.</t>
  </si>
  <si>
    <t>PROF. KINDER MUSICAL N.G.</t>
  </si>
  <si>
    <t>PROF. FORMACION CORAL</t>
  </si>
  <si>
    <t>PROF. PIANO COMPLEMENTARIO</t>
  </si>
  <si>
    <t>PROF. CORNO I</t>
  </si>
  <si>
    <t>PROF. TEORIA Y SOLFEO</t>
  </si>
  <si>
    <t>PROF. ARMONIA COMPLEMENTARIA</t>
  </si>
  <si>
    <t>PROF. HISTORIA ESTETICA</t>
  </si>
  <si>
    <t>PROF. FLAUTA</t>
  </si>
  <si>
    <t>PROF. OBOE</t>
  </si>
  <si>
    <t>PROF. MANUALIDADES III 77</t>
  </si>
  <si>
    <t>INST. CORTE Y CONF. 77 III</t>
  </si>
  <si>
    <t>INST. ARTES MANUALES N.G.</t>
  </si>
  <si>
    <t>PROF. ESCULTURA N.G.</t>
  </si>
  <si>
    <t>PROF. CORTE Y CONF. 77  IV</t>
  </si>
  <si>
    <t>PROF. BALLET Y DANZAS</t>
  </si>
  <si>
    <t>INST. TEATRO Y TITERES N.G.</t>
  </si>
  <si>
    <t>INST. B. Y DANZAS 77 III</t>
  </si>
  <si>
    <t>SUB DIRECTOR N.G.</t>
  </si>
  <si>
    <t>PROF. RECURSOS AUDIO N.G</t>
  </si>
  <si>
    <t>PROF. CERAMICA N.G.</t>
  </si>
  <si>
    <t>INST. MUSICAL 77 IV</t>
  </si>
  <si>
    <t>CLARINETE I</t>
  </si>
  <si>
    <t>COORD.DOCENTE BAS.16TC. VI 77</t>
  </si>
  <si>
    <t>COORD.DIF.Y PROM.DOC.BAS.16 TC.139</t>
  </si>
  <si>
    <t>COORD. INV. Y FLOK.</t>
  </si>
  <si>
    <t>COORD.MANT. Y CONSERV.</t>
  </si>
  <si>
    <t>PIANO COMPLEMENTARIO</t>
  </si>
  <si>
    <t>FLAUTA I</t>
  </si>
  <si>
    <t>CLARINETE II</t>
  </si>
  <si>
    <t>ARMONICA</t>
  </si>
  <si>
    <t>FORMAS MUSICALES</t>
  </si>
  <si>
    <t>GUITARRA</t>
  </si>
  <si>
    <t>CUATRO</t>
  </si>
  <si>
    <t>MANDOLINA</t>
  </si>
  <si>
    <t>FAGOT</t>
  </si>
  <si>
    <t>OBOE</t>
  </si>
  <si>
    <t>PERCUSION</t>
  </si>
  <si>
    <t>VIOLONCHELO</t>
  </si>
  <si>
    <t>VIOLA</t>
  </si>
  <si>
    <t>VIOLIN</t>
  </si>
  <si>
    <t>LENGUAJE MUSICAL</t>
  </si>
  <si>
    <t>PROF. HORAS DE BASICA(2746HRAS)</t>
  </si>
  <si>
    <t>PROF. HORAS EDUC MEDIA(1373 HRAS)</t>
  </si>
  <si>
    <t>INSTRUMENTO III</t>
  </si>
  <si>
    <t>INSTRUMENTO II</t>
  </si>
  <si>
    <t>INSTRUMENTO I</t>
  </si>
  <si>
    <t>SOLISTA</t>
  </si>
  <si>
    <t>VIOLINCILLO</t>
  </si>
  <si>
    <t>DOC. BASICA III 77 TCVN</t>
  </si>
  <si>
    <t>ASISTENTE ADMINISTRATIVO VI</t>
  </si>
  <si>
    <t>ADMINISTRADOR V</t>
  </si>
  <si>
    <t>ANALISTA CENTRAL ORGAN. Y SISTEMAS V</t>
  </si>
  <si>
    <t>ANALISTA DE PROYECTOS INDUSTRIALES III</t>
  </si>
  <si>
    <t>COCINERO</t>
  </si>
  <si>
    <t>HABILITADO IV</t>
  </si>
  <si>
    <t>OBRERO NO CLASIFICADO</t>
  </si>
  <si>
    <t>PROGRAMADOR V</t>
  </si>
  <si>
    <t>ANALISTA DE PROCESAMIENTO DE DATOS IV</t>
  </si>
  <si>
    <t>ANALISTA DE PROCESAMIENTO DE DATOS V</t>
  </si>
  <si>
    <t>REGISTRADOR DE BIENES Y MATERIAS V</t>
  </si>
  <si>
    <t>ANALISTA DE CONTROL FINANCIERO JEFE II</t>
  </si>
  <si>
    <t>NIÑERA</t>
  </si>
  <si>
    <t>ENTRENADOR DE PORTIVO II</t>
  </si>
  <si>
    <t>MAESTRO(A)</t>
  </si>
  <si>
    <t>PRECEPTOR</t>
  </si>
  <si>
    <t>MAESTRA BIBLIOTECARIA</t>
  </si>
  <si>
    <t>PROF DE CUATRO</t>
  </si>
  <si>
    <t>DIRECTOR CENTRO DE CULTURA</t>
  </si>
  <si>
    <t>ALFABETIZADOR NG TCVDMA</t>
  </si>
  <si>
    <t>ALFABETIZADOR I TCVDMA</t>
  </si>
  <si>
    <t>ALFABETIZADOR II TCVDMA</t>
  </si>
  <si>
    <t>ALFABETIZADOR III TCVDMA</t>
  </si>
  <si>
    <t>ALFABETIZADOR IV TCVDMA</t>
  </si>
  <si>
    <t>ALFABETIZADOR V TCVDMA</t>
  </si>
  <si>
    <t>ALFABETIZADOR VI TCVDMA</t>
  </si>
  <si>
    <t>BIBLIOTECARIA</t>
  </si>
  <si>
    <t>COORD DOC VI 77 TID (36 HORAS) Y DOCENTE BASICO VI (06 HORAS)</t>
  </si>
  <si>
    <t>COORDINADOR DOCENTE BASICO VI 77 TID (36 HORAS) Y TCVD (7HORAS)</t>
  </si>
  <si>
    <t>COORDINADOR DOCENTE BASICO VI TC (36 HORAS) Y DOC. BAS. VI TC (11 HORAS)</t>
  </si>
  <si>
    <t>COORDINADORA DOCENTE V 77 Y DOCENTE BASICA V 77 TCVN Y DOCENTE AULA V (ZONA EDUCATIVA)</t>
  </si>
  <si>
    <t>DIRECTOR BASICO VI TID (36 HORAS) Y DOCENTE BASICO VI 77 TCVD (18 HORAS)</t>
  </si>
  <si>
    <t>DIRECTOR DE CULTURA Y PROFESOR PH NOCTURNO GR</t>
  </si>
  <si>
    <t>DIRECTORA DOCENTE BASICA VI 139 TID Y DOCENTE BASICA VI 139 TCVN</t>
  </si>
  <si>
    <t>DIRECTORA ESCUELA ANDRES BLANCO Y MAESTRA PH GR NOCTURNO VALERA</t>
  </si>
  <si>
    <t>DOC.DIRECTOR BASICA VI 139 TID (36HRS) Y ALFABETIZADOR V 139 (16HRS)</t>
  </si>
  <si>
    <t>DOCENTE BASICA 19-77 TID</t>
  </si>
  <si>
    <t>DOCENTE BASICA DIRECTORA 16-77 TID</t>
  </si>
  <si>
    <t>DOCENTE BASICA DIRECTORA V 77 TCVD (20 HORAS) Y TC (40 HORAS)</t>
  </si>
  <si>
    <t>DOCENTE BASICA I 77 TCVD  (12 HORAS) Y DOCENTE BASICA I 77 TCVD (08 HORAS)</t>
  </si>
  <si>
    <t>DOCENTE BASICA IV 77 TCVD (18 HORAS) Y DOCENTE BASICA IV 77 TID (33,33 HORAS)</t>
  </si>
  <si>
    <t>DOCENTE BASICA IV 77 TCVD (22 HORAS) Y DOCENTE BASICA IV 77 TID (33,33 HORAS)</t>
  </si>
  <si>
    <t>DOCENTE BASICA IV 77 TCVD Y DOCENTE IV 77 TCVD</t>
  </si>
  <si>
    <t>DOCENTE BASICA IV 77 TID (33,33 HORAS) Y ALFABETIZADORA (16 HORAS)</t>
  </si>
  <si>
    <t>DOCENTE BASICA IV 77 TID (33,33 HORAS) Y DOCENTE BASICA IV 77 TCVD (10 HORAS)</t>
  </si>
  <si>
    <t>DOCENTE BASICA IV 77 TID (33,33 HORAS) Y DOCENTE BASICA IV TCVD (14 HORAS)</t>
  </si>
  <si>
    <t>DOCENTE BASICA IV 77 TID (33,33 HORAS) Y TCVD (12 HORAS)</t>
  </si>
  <si>
    <t>DOCENTE BASICA IV 77 TID (33,33 HORAS) Y TCVD (20 HORAS)</t>
  </si>
  <si>
    <t>DOCENTE BASICA IV 77 TID Y DOCENTE DE AULA (ZONA EDUCATIVA)</t>
  </si>
  <si>
    <t>DOCENTE BASICA NG 16 TCVNMA (16 HORAS)</t>
  </si>
  <si>
    <t>DOCENTE BASICA III 77 TID/TCVD</t>
  </si>
  <si>
    <t>DOCENTE BASICA IV 139 TCVNMA (16 HORAS)</t>
  </si>
  <si>
    <t>DOCENTE BASICA IV 77 TID Y DOCENTE BASICA IV 77 TCVD</t>
  </si>
  <si>
    <t>DOCENTE BASICA NG TCVD (20 HORAS)</t>
  </si>
  <si>
    <t>DOCENTE BASICA NG TCVD (07 HORAS)</t>
  </si>
  <si>
    <t>DOCENTE BASICA NG TCVD (12 HORAS)</t>
  </si>
  <si>
    <t>DOCENTE BASICA NG TCVD (12 HR) Y INSTRUCTOR II (24 HR)</t>
  </si>
  <si>
    <t>DOCENTE BASICA SUPERVISORA VI 139 TC Y DOCENTE BASICA VI 139 TCVNM</t>
  </si>
  <si>
    <t>DOCENTE BASICA V  77 TID (33,33 HORAS) Y DOCENTE BASICA V 77 TCVD (19HORAS)</t>
  </si>
  <si>
    <t>DOCENTE BASICA V 139 TID Y DOCENTE BASICA V 139 TCVN</t>
  </si>
  <si>
    <t>DOCENTE BASICA V 77 TID (33,33 HORAS)  Y TCVNMA (16 HORAS)</t>
  </si>
  <si>
    <t>DOCENTE BASICA V 77 TID (33,33 HORAS) Y TCVD (02 HORAS)</t>
  </si>
  <si>
    <t>DOCENTE BASICA V 77 TID (33,33 HORAS) Y TCVD (08 HORAS)</t>
  </si>
  <si>
    <t>DOCENTE BASICA V 77 TID (33,33 HORAS) Y TCVD (17 HORAS)</t>
  </si>
  <si>
    <t>DOCENTE BASICA V 77 TID (33,33 HORAS) Y TCVD (19 HORAS)</t>
  </si>
  <si>
    <t>DOCENTE BASICA V 77 TID Y V 77 (33,33 HORAS) TCVD (10 HORAS)</t>
  </si>
  <si>
    <t>DOCENTE BASICA V 77 TID Y V 77 (33,33 HORAS) TCVD (20 HORAS)</t>
  </si>
  <si>
    <t>DOCENTE BASICA VI 139 TID (33.33 HORAS) Y DOCENTE BASICA VI 139 TCVD (16 HORAS)</t>
  </si>
  <si>
    <t>DOCENTE BASICA VI 139 TID Y COORDINADORA VI 139</t>
  </si>
  <si>
    <t>DOCENTE BASICA VI 139 TID Y DOCENTE BASICA VI 139 TCVD</t>
  </si>
  <si>
    <t>DOCENTE BASICA VI 139 TID Y DOCENTE BASICA VI 139 TCVNM</t>
  </si>
  <si>
    <t>DOCENTE BASICA VI 77 TCVD (13 HORAS) Y COORDINADORA VI (36 HORAS)</t>
  </si>
  <si>
    <t>DOCENTE BASICA VI 77 TCVNM, MAESTRA ALFABETIZADORA, DIRECTORA DOCENTE BASICA VI TCVN, DOCENTE BASICA</t>
  </si>
  <si>
    <t>DOCENTE BASICA VI 77 TID  (33.33 HORAS) Y TCVNMA  (16 HORAS)</t>
  </si>
  <si>
    <t>DOCENTE BASICA VI 77 TID  (33.33) / TCVD (12 HORAS)</t>
  </si>
  <si>
    <t>DOCENTE BASICA VI 77 TID (10 HORAS)  /TCVD (33,33 HORAS)</t>
  </si>
  <si>
    <t>DOCENTE BASICA VI 77 TID (33 HORAS) Y TCVD (07 HORAS)</t>
  </si>
  <si>
    <t>DOCENTE BASICA VI 77 TID (33 HORAS) Y TCVD (08 HORAS)</t>
  </si>
  <si>
    <t>DOCENTE BASICA VI 77 TID (33 HORAS), V 77 TCVD (08 HORAS)</t>
  </si>
  <si>
    <t>DOCENTE BASICA VI 77 TID (33,33 HORAS)  Y TCVD (20 HORAS)</t>
  </si>
  <si>
    <t>DOCENTE BASICA VI 77 TID (33,33 HORAS) /TCVNMA (15 HORAS)</t>
  </si>
  <si>
    <t>DOCENTE BASICA VI 77 TID (33,33 HORAS) Y  TCVD (6 HORAS)</t>
  </si>
  <si>
    <t>DOCENTE BASICA VI 77 TID (33,33 HORAS) Y ALFABETIZADORA VI 77 (16 HORAS)</t>
  </si>
  <si>
    <t>DOCENTE BASICA VI 77 TID (33,33 HORAS) Y TCVD (04 HORAS)</t>
  </si>
  <si>
    <t>DOCENTE BASICA VI 77 TID (33,33 HORAS) Y TCVD (11 HORAS)</t>
  </si>
  <si>
    <t>DOCENTE BASICA VI 77 TID (33,33 HORAS) Y TCVNMA (14 HORAS)</t>
  </si>
  <si>
    <t>DOC. BASICA V  77  TCVD  (10 HORAS) Y TCVNMA (16) HORAS</t>
  </si>
  <si>
    <t>DOCENTE BASICA VI 77 TID (33,33) Y DOCENTE BASICO VI 77 TCVD (12 HORAS)</t>
  </si>
  <si>
    <t>DOCENTE BASICA VI 77 TID (33,33) Y TCVD (14 HORAS)</t>
  </si>
  <si>
    <t>DOCENTE BASICA VI 77 TID (33.33 HORAS) Y TCVD (16 HORAS)</t>
  </si>
  <si>
    <t>DOCENTE BASICA VI 77 TID (33.33 HORAS) Y TCVD (19 HORAS)</t>
  </si>
  <si>
    <t>DOCENTE BASICA VI 77 TID (36 HORAS) Y DOCENTE BASICO TCVD (12 HORAS)</t>
  </si>
  <si>
    <t>DOCENTE BASICA VI 77 TID Y DOCENTE BASICA VI 77 TCNM</t>
  </si>
  <si>
    <t>DOCENTE BASICA VI 77 TID Y DOCENTE DE AULA (ZONA EDUCATIVA)</t>
  </si>
  <si>
    <t>DOCENTE BASICO 16-139 TCVN Y DOCENTE DIRECTOR BASICO 139 TID VI</t>
  </si>
  <si>
    <t>DOCENTE BASICO 16-77 TCVNM/MA VI Y DOCENTE SUB-DIRECTOR 16-77 TID VI Y PH (08 HORAS)</t>
  </si>
  <si>
    <t>DOCENTE BASICO 16-77 TCVNMA VI, Y SUPERVISOR BASICO</t>
  </si>
  <si>
    <t>DOCENTE BASICO IV 77 TID (33,33 HORAS) Y TCVD (08 HORAS)</t>
  </si>
  <si>
    <t>DOCENTE BASICO IV 77 TID (33,33 HORAS) Y TCVD (12 HORAS)</t>
  </si>
  <si>
    <t>DOCENTE BASICO IV 77 TID (33,33 HORAS) Y TCVD (16 HORAS)</t>
  </si>
  <si>
    <t>DOCENTE BASICO IV 77 TID (33,33 HORAS) Y TCVD (18 HORAS)</t>
  </si>
  <si>
    <t>DOCENTE BASICO IV 77 TID (33,33 HORAS) Y TCVD (20 HORAS)</t>
  </si>
  <si>
    <t>DOCENTE BASICO IV 77 TID (33,33 HORAS) Y TCVNMA (16 HORAS)</t>
  </si>
  <si>
    <t>DOCENTE BASICO V 77 TCVNMA (16 HORAS) Y DOCENTE SUPERVISOR BASICO V 77 TC (40 HORAS)</t>
  </si>
  <si>
    <t>DOCENTE BASICO V 77 TID (33 HORAS) Y TVCNMA (16 HORAS)</t>
  </si>
  <si>
    <t>DOCENTE BASICO V 77 TID (33,33 HORAS) Y TCVD (05 HORAS)</t>
  </si>
  <si>
    <t>DOCENTE BASICO V 77 TID (33,33 HORAS) Y TCVD (14 HORAS)</t>
  </si>
  <si>
    <t>DOCENTE BASICO V 77 TID (33,33 HORAS) Y TCVN (10 HORAS)</t>
  </si>
  <si>
    <t>DOCENTE BASICO V 77 TID (33,33 HORAS) Y TCVN (16 HORAS)</t>
  </si>
  <si>
    <t>DOCENTE BASICO V 77 TID (33,33 HORAS)Y TCVD (07 HORAS)</t>
  </si>
  <si>
    <t>DOCENTE BASICO V 77 TID (33.33 HORAS) Y TCVD (21 HORAS)</t>
  </si>
  <si>
    <t>DOCENTE BASICO V TID (33.33 HORAS), Y TCVD (11 HORAS)</t>
  </si>
  <si>
    <t>DOCENTE BASICO V TSE TCVNMA (16 HR)</t>
  </si>
  <si>
    <t>DOCENTE BASICO VI  77 TID (33,33 HORAS) Y TCVD (14 HORAS)</t>
  </si>
  <si>
    <t>DOCENTE BASICO VI 77 (33,33 HORAS)  TID Y TCVD (8 HORAS)</t>
  </si>
  <si>
    <t>DOCENTE BASICO VI 77 TCVD (33 HORAS) TID (17 HORAS)</t>
  </si>
  <si>
    <t>DOCENTE BASICO VI 77 TID (33,33 HORAS) Y DOCENTE BASICO VI 77 TCVD (8 HORAS)</t>
  </si>
  <si>
    <t>DOCENTE BASICO VI 77 TID (33,33 HORAS) Y TCVD (20 HORAS)</t>
  </si>
  <si>
    <t>DOCENTE BASICO VI 77 TID (33,33 HORAS) Y TCVD (6 HORAS)</t>
  </si>
  <si>
    <t>DOCENTE BASICO VI 77 TID (33,33)  / TCVNMA (11)</t>
  </si>
  <si>
    <t>DOCENTE BASICO VI 77 TID (33.33 HORAS) Y TCVD (6 HORAS)</t>
  </si>
  <si>
    <t>DOCENTE BASICO VI 77 TID Y DOCENTE BASICO VI 77 TCVD Y DOCENTE BASICO VI 77 TCVD Y 2 CARGOS MAS</t>
  </si>
  <si>
    <t>DOCENTE BASICO Y DIRECTOR 16-139 TID VI</t>
  </si>
  <si>
    <t>DOCENTE DIRECTOR BASICA IV 77 TCVD Y COORDINADOR DOCENTE</t>
  </si>
  <si>
    <t>DOCENTE DIRECTOR BASICA VI 77 TID (36 HORAS) Y TCVNMA (16 HORAS)</t>
  </si>
  <si>
    <t>DOCENTE DIRECTOR BASICA VI 77 TID (36HORAS) Y TCVD (10 HORAS)</t>
  </si>
  <si>
    <t>DOCENTE DIRECTOR BASICO V 77 TID (40 HORAS) Y DOCENTE BASICO V 77 TCVM (16 HORAS)</t>
  </si>
  <si>
    <t>DOCENTE DIRECTOR BASICO VI 139 TID (36 HORAS), Y DOCENTE DIRECTOR BASICO VI 139 TCVN (20 HORAS)</t>
  </si>
  <si>
    <t>DOCENTE DIRECTOR BASICO VI 77 TID (36 HORAS) Y DOC BASICO VI 77 TCVD (13 HORAS)</t>
  </si>
  <si>
    <t>DOCENTE DIRECTOR BASICO VI 77 TID (36 HORAS) Y TCVD (17 HORAS)</t>
  </si>
  <si>
    <t>DOCENTE DIRECTOR BASICO VI 77 TID (40 HORAS) Y DOC BASICO VI 77 TCVD (06 HORAS)</t>
  </si>
  <si>
    <t>DOCENTE DIRECTOR BASICO VI 77 TID (40 HORAS) Y DOCENTE BASICO VI 77 TCVNMA (16 HORAS)</t>
  </si>
  <si>
    <t>DOCENTE DIRECTOR PRE-ESCOLAR VI 77 TID (36 HORAS)</t>
  </si>
  <si>
    <t>DOCENTE DIRECTORA BASICA V 77 TCVNMA 20HRS</t>
  </si>
  <si>
    <t>DOCENTE DIRECTORA BASICA VI 139 (36 HORAS) TID Y ALFABETIZADORA VI 139</t>
  </si>
  <si>
    <t>DOCENTE DIRECTORA BASICA VI 77 TID (36 HORAS) Y DOCENTE BASICA V 77 TCVD (4 HORAS)</t>
  </si>
  <si>
    <t>DOCENTE ORIENTADOR V 77 1-6 TID (36 HORAS)</t>
  </si>
  <si>
    <t>DOCENTE PLANIFICADORA 16-77 VI (36 HORAS) Y DOC BAS VI 77 TCVMA (16 HORAS)</t>
  </si>
  <si>
    <t>DOCENTE PRE-ESCOLAR IV 77 TID (33,33 HORAS) Y DOCENTE BASICA IV 77 TCVD (06 HORAS)</t>
  </si>
  <si>
    <t>DOCENTE PREESCOLAR VI 77 TID (33.33 HORAS) Y DOCENTE BASICO V 77 TCVNMA (16 HORAS)</t>
  </si>
  <si>
    <t>DOCENTE SD BASICA VI 77 TID (40 HORAS) Y TCVD (14 HORAS)</t>
  </si>
  <si>
    <t>DOCENTE SUB-DIRECTOR BASICA IV 77 TID (36 HORAS)Y DOCENTE IV BASICO TCVD (16 HORAS)</t>
  </si>
  <si>
    <t>DOCENTE SUB-DIRECTOR BASICO IV 77 TID (40 HORAS) Y DOCENTE BASICO IV 77 TCVD (08 HORAS)</t>
  </si>
  <si>
    <t>DOCENTE SUB-DIRECTORA BASICA V 77 TID (36 HORAS) Y TCVD (08 HORAS)</t>
  </si>
  <si>
    <t>DOCENTE SUB-DIRECTORA BASICA V TSE (36 HORAS)</t>
  </si>
  <si>
    <t>DOCENTE SUB-DIRECTORA BASICA VI 77 TID (40 HORAS) Y (07 HORAS)</t>
  </si>
  <si>
    <t>DOCENTE SUB-DIRECTORA BASICO VI 77 TID (36 HORAS) Y (16 HORAS)</t>
  </si>
  <si>
    <t>DOCENTE SUP BASICA VI 77 TC (40 HORAS), DOCENTE BAS VI TCVN (16 HORAS) Y DOCENTE VI AULA (5 HORAS)</t>
  </si>
  <si>
    <t>DOCENTE SUPERVISOR V 77 TC</t>
  </si>
  <si>
    <t>DOCENTE SUPERVISOR BASICO V 77 TC Y DOCENTE BASICO V 77 TCVN Y DOCENTE DE AULA V (ZONA EDUC)</t>
  </si>
  <si>
    <t>DOCENTE SUPERVISOR BASICO VI 139 TC (40 HORAS) Y DOCENTE BASICO VI 139 TCVNMA (16 HORAS)</t>
  </si>
  <si>
    <t>DOCENTE SUPERVISOR BASICO VI 77 TC Y DOCENTE IV AULA (13 HORAS)</t>
  </si>
  <si>
    <t>DOCENTE V 77 TID (33,33 HORAS) Y TCVD (13 HORAS)</t>
  </si>
  <si>
    <t>EJECUTANTE DE CLARINETE</t>
  </si>
  <si>
    <t>FLAUTA 2/ INSTRUCTOR I 16HRS</t>
  </si>
  <si>
    <t>INSTRUCTOR I (16HRS) Y DOC NG (33.33HRS.)</t>
  </si>
  <si>
    <t>INSTRUCTOR III NG (33,33 HORAS) Y DOCENTE BASICO 16 TSE TCVD I (04 HR)</t>
  </si>
  <si>
    <t>INSTRUCTOR III NG (33,33 HORAS) Y ENTRENADOR DEPORTIVO (33,33 HORAS)</t>
  </si>
  <si>
    <t>INSTRUCTOR MUSICAL Y DOCENTE IV AULA</t>
  </si>
  <si>
    <t>INSTRUCTORA DE COCINA Y ARTE CULINARIA</t>
  </si>
  <si>
    <t>INSTRUCTORA III NG (16 HORAS) Y DOCENTE BASICA NG 1-6 TCVNM (33,33 HORAS)</t>
  </si>
  <si>
    <t>MAESTRA ALFABETIZADORA</t>
  </si>
  <si>
    <t>MAESTRA COORDINADORA</t>
  </si>
  <si>
    <t>MAESTRA N§ 10</t>
  </si>
  <si>
    <t>MAESTRA N§ 2</t>
  </si>
  <si>
    <t>MAESTRA NORMALISTA</t>
  </si>
  <si>
    <t>MAESTRA TIPO A</t>
  </si>
  <si>
    <t>PROFESOR DE CONTRABAJO</t>
  </si>
  <si>
    <t>PROFESOR DE ESCULTURA Y ARTES GRAFICAS Y DOCENTE AULA MEDIA PROFESIONAL NG</t>
  </si>
  <si>
    <t>PROFESOR DE MUSICA</t>
  </si>
  <si>
    <t>PROFESOR POR HORA (24 HORAS)</t>
  </si>
  <si>
    <t>PROFESORA DE CORTE Y COSTURA Y DIRECTORA DE LA ESCUELA ANDRES ELOY BLANCO</t>
  </si>
  <si>
    <t>PROFESORA DE MECANOGRAFIA</t>
  </si>
  <si>
    <t>PROFESORA DE PINTURA INFANTIL, PROFESORA DE EDUCACION ARTISTICA Y COORDINADORA DOCENTE.</t>
  </si>
  <si>
    <t>PROFESORA DE PINTURA Y DIBUJO (06 HORAS) Y DOCENTE IV COORDINADOR (24 HORAS)</t>
  </si>
  <si>
    <t>PROFESORA NOCTURNA (NACIONAL) Y COORDINADORA DOCENTE VI</t>
  </si>
  <si>
    <t>SUB-DIRECTOR (35 HORAS)  NG Y CLARINETE</t>
  </si>
  <si>
    <t>SUPERVISOR I</t>
  </si>
  <si>
    <t>SUPERVISOR II Y MAESTRO PH GR NOCTURNO</t>
  </si>
  <si>
    <t>SUPERVISORA III</t>
  </si>
  <si>
    <t>DOCENTE DE BASICA III TSE 16 H Y AUXILIAR DE BIBLIOTECA</t>
  </si>
  <si>
    <t>DOCENTE BASICO IV 77 TCVD (36 HORAS)</t>
  </si>
  <si>
    <t>DOCENTE BASICO IV 77 TID/TCVD</t>
  </si>
  <si>
    <t>DOCENTE BASICO VI 77 TCVD / TCVD</t>
  </si>
  <si>
    <t>DOCENTE DIRECTOR BASICA VI 139 TID (36 HORAS)</t>
  </si>
  <si>
    <t>DOCENTE DIRECTORA BASICA IV 77 TID (36 HORAS)</t>
  </si>
  <si>
    <t>DOCENTE SUB-DIRECTOR BASICA IV 77 TID (36 HORAS)</t>
  </si>
  <si>
    <t>INSTRUCTOR I Y III NG (16 H)</t>
  </si>
  <si>
    <t>DOC. BASICA V   77  TID (33.33 HORAS /TCVD (10 HORAS)</t>
  </si>
  <si>
    <t>DOC.BAS. VI 77 TID (36 HORAS) /TCVD (08 HORAS)</t>
  </si>
  <si>
    <t>DOC. SUB DIR. IV  77 TID /DOC BASICA IV 77 TCVNMA</t>
  </si>
  <si>
    <t>DOC. BAS. I 77 TID (33.33 HORAS)/TCVD (18 HORAS)</t>
  </si>
  <si>
    <t>DOC. SUP. BAS.  VI 77 TC (40 HORAS) TCVNMA (16 HORAS)</t>
  </si>
  <si>
    <t>DOC. N.G.  TCVID (10 HORAS)/ TCVNMA (09 HORAS)</t>
  </si>
  <si>
    <t>DOC. BAS. VI  TID (33.33 HORAS)/TCVD (14 HORAS)</t>
  </si>
  <si>
    <t>DOC. BASICA V 77 TID (33.33) TCVD (20 HORAS)</t>
  </si>
  <si>
    <t>DOC. BAS. IV 77 TID (33.33 HORAS)/TCVD (06 HORAS)</t>
  </si>
  <si>
    <t>DOC. BAS.V TCVD (16 HORAS) /TCVNMA (10 HORAS)</t>
  </si>
  <si>
    <t>DOC. BAS. VI 139 TID / INSTRUCTOR I (16 HORAS)</t>
  </si>
  <si>
    <t>DOC. BAS. VI  77  TID (33.33 HORAS)/TCVD (19 HORAS)</t>
  </si>
  <si>
    <t>DOC. BASICA IV 77 TCVD (19 HORAS) TID  (33.33 HORAS)</t>
  </si>
  <si>
    <t>DOC.BAS. VI 77 TID  (33.33 HORAS) /TCVD (05 HORAS)</t>
  </si>
  <si>
    <t>DOC.SUB.BAS.IV TID (36 HOTAS) /TCVD (4 HORAS) Y (8 HORAS)</t>
  </si>
  <si>
    <t>DOC. BAS. IV 77 TID (33.33 HORAS)/ TCVD (16 HORAS)</t>
  </si>
  <si>
    <t>DOC. BASICA V   77  TID (33.33 HORAS) /TCVD (13 HORAS)</t>
  </si>
  <si>
    <t>DOC.PRE-ESC. /TID (33.33) Y TCVD (17 HORAS)</t>
  </si>
  <si>
    <t>DOC.BAS. V 77 TID (33.33 HORAS) /TCVD (05 HORAS)</t>
  </si>
  <si>
    <t>DOC.BAS. V 77 TID (33.33 HORAS)-TCVD (05 HORAS)</t>
  </si>
  <si>
    <t>DOC. BAS. IV  77  TID (33.33 HORAS)/TCVD (14 HORAS)</t>
  </si>
  <si>
    <t>DOC.BAS. VI 77TID (33.33 HORAS) / TCVMNA (16 HORAS)</t>
  </si>
  <si>
    <t>DOC. BAS. V 77 TID (33.33 HORAS) /TCVD (10 HORAS)</t>
  </si>
  <si>
    <t>INSTRUCTOR I (16 HORAS) / DIREC.  BAND (16 HORAS)</t>
  </si>
  <si>
    <t>DOC.BAS VI 77 TID (33.33 HORAS) / TCVD (16 HORAS)</t>
  </si>
  <si>
    <t>DOC. BAS. VI 77 TID (33.33 HORAS) /TCVD (16 HORAS)</t>
  </si>
  <si>
    <t>DOC. BAS. I (03 HORAS) Y DOC BAS IV 77 TID (33 HORAS9 /TCVD (09 HORAS)</t>
  </si>
  <si>
    <t>DOC.BAS. VI 77 TID (33.33 HORAS) /TCVD (20 HORAS)</t>
  </si>
  <si>
    <t>DOC.BAS.VI 77 TID (33.33 HORAS) /TCVD (10 HORAS)</t>
  </si>
  <si>
    <t>DOC.BAS. VI 77 TID (36 HORAS) /TCVD (14 HORAS)</t>
  </si>
  <si>
    <t>DOC. BASICA VI 77 TID (33.33 HORAS) TCVNMA (11 HORAS)</t>
  </si>
  <si>
    <t>DOC.BAS.VI 77 TID (33 HORAS) /TCVD (14 HORAS)</t>
  </si>
  <si>
    <t>DOC. BASICA IV  77  TID  (33 HORAS) /TCVD (14 HORAS)</t>
  </si>
  <si>
    <t>DOC. SUB. DIR. BAS. VI 77 (36 HORAS) DOC BAS VI 77 TCVD (14 HORAS)</t>
  </si>
  <si>
    <t>DOC. BAS. V   77  TID (33,33 HORAS) /TCVD (13 HORAS)</t>
  </si>
  <si>
    <t>DOC.BAS. VI 77 TID (33,33 HORAS) / TCVD (20 HORAS)</t>
  </si>
  <si>
    <t>DOC. BAS. VI  77  TID (33.33 HORAS)/TCVD (12 HORAS)</t>
  </si>
  <si>
    <t>DOC. BAS. V   77  TID (33,33 HORAS) /TCVD (11 HORAS)</t>
  </si>
  <si>
    <t>DOC. BASICA VI 77 TID (33.33 HORAS) TCVN (12 HORAS)</t>
  </si>
  <si>
    <t>DOCENTE N.G 1-6 TCVD (33,33 HORAS) / DOC BASICA NG TCVD (14 HORAS)</t>
  </si>
  <si>
    <t>SUB DIRECTOR Y PROFESOR DE MANUALIDADES</t>
  </si>
  <si>
    <t>SUB-DIRECTOR</t>
  </si>
  <si>
    <t>COORD. DOCENTE IV 77 TC (36 HORAS) Y DOCENTE IV 77 TCVNMA (16 HORAS)</t>
  </si>
  <si>
    <t>DIRECTOR DE BANDA Y PROFESOR DE FLAUTA Y PIANO</t>
  </si>
  <si>
    <t>SUB-DIRECTOR Y MAESTRO TCVDNMA</t>
  </si>
  <si>
    <t>DOCENTE BASICO 16-139 TCVNMA</t>
  </si>
  <si>
    <t>DOC. DIRECTOR BASICA 77 TCVNMA</t>
  </si>
  <si>
    <t>DOCENTE PRE-ESCOLAR VI 139 TID (33,33 HORAS) Y DOC. BASICA VI 139 TCVNMA  (16 HORAS)</t>
  </si>
  <si>
    <t>DOCENTE PLANIFICADOR VI 77 TC (36 HORAS) Y DOCENTE BASICA VI 77 TCVNMA (16 HORAS)</t>
  </si>
  <si>
    <t>INSTRUCTOR III NG (33,33) Y DOCENTE BASICA NG TCVNMA (16 HORAS)</t>
  </si>
  <si>
    <t>DOCENTE BASICO NG TID (33,33 HORAS) Y DOCENTE BASICA NG TCVNMA (16 HORAS)</t>
  </si>
  <si>
    <t>DOCENTE COOD. 139 VI TID (33,33 HORAS) Y DOCENTE BASICO VI 139 TCVNMA (16 HORAS)</t>
  </si>
  <si>
    <t>CONTRABAJO I/ INST. I N.G. (16 HORAS)</t>
  </si>
  <si>
    <t>PROFESOR(A) DE CORTE Y CONFECCIÓN</t>
  </si>
  <si>
    <t>DOCENTE BASICO DE ADULTOS Y COORD PROM DIF CULT</t>
  </si>
  <si>
    <t>DOC. DIR. BASICA  VI 139 TID (36 HORAS) Y DOC. BAS. VI 139 TCVNMA (16 HORAS)</t>
  </si>
  <si>
    <t>DOC. SUBDIR. BAS. (36 HORAS) Y PROF. DE KINDER MUSICAL (16 HORAS)</t>
  </si>
  <si>
    <t>SUB DIRECTORA (36 HORAS) Y DIRECTORA (20 HORAS)</t>
  </si>
  <si>
    <t>SUBDIR. (36 HORAS) PROF. DE PIANO Y KINDER MUSICAL (26 HORAS)</t>
  </si>
  <si>
    <t>MAESTRA (33.33 HORAS) Y PROF. PH GR (20 HORAS)</t>
  </si>
  <si>
    <t>DOC. BAS. DIR. VI 77 T.C. V.N.</t>
  </si>
  <si>
    <t>DOC. BAS. 77 TCVNMA/DOC IV AULA ADULTOS/DIRECTOR DE EDUCACION</t>
  </si>
  <si>
    <t>DOCENTE BASICO VI 77 TID (33,33 HORAS) / TCVD (6 HORAS) / TCVD (12 HORAS)</t>
  </si>
  <si>
    <t>DOC. BASICO SUPERVISOR (40 HORAS) Y DIRECTOR VI 77 (16 HORAS)</t>
  </si>
  <si>
    <t>DOC. BAS. N.G. TCVNMA / AUXILIAR DE BIBLIOTECA</t>
  </si>
  <si>
    <t>DOC. BASICA V  77  TID/TCVNMA</t>
  </si>
  <si>
    <t>DOCENTE SUPERVISOR BASICO VI 77 TCVNMA</t>
  </si>
  <si>
    <t>PROFESOR DE MANUALIDADES</t>
  </si>
  <si>
    <t>MAESTRO TCVDNMA</t>
  </si>
  <si>
    <t>COORDINADOR DOCENTE BASICO VI TCVD</t>
  </si>
  <si>
    <t>TECNICO EN AGROALIMENTARIA</t>
  </si>
  <si>
    <t>SUPERVISOR DE TELEFONISTA</t>
  </si>
  <si>
    <t>INSPECTOR DE OBRAS DE INGENIERIA III</t>
  </si>
  <si>
    <t>ASISTENTE TECNICO DE INGENIERIA III</t>
  </si>
  <si>
    <t>DISEÑADOR GRAFICO</t>
  </si>
  <si>
    <t>DISEÑADOR GRAFICO II</t>
  </si>
  <si>
    <t>DISEÑADOR GRAFICO III</t>
  </si>
  <si>
    <t>DISEÑADOR GRAFICO IV</t>
  </si>
  <si>
    <t>FOTOGRAFO IV</t>
  </si>
  <si>
    <t>TECNICO DE REPARACION Y MANTENIMIENTO III</t>
  </si>
  <si>
    <t>INGENIERO INDUSTRIAL IV</t>
  </si>
  <si>
    <t>INGENIERO AGRICOLA I</t>
  </si>
  <si>
    <t>INGENIERO AGRICOLA II</t>
  </si>
  <si>
    <t>INGENIERO AGRICOLA III</t>
  </si>
  <si>
    <t>INGENIERO AGRICOLA IV</t>
  </si>
  <si>
    <t>INGENIERO AGRICOLA V</t>
  </si>
  <si>
    <t>INGENIERO EN CONSTRUCCION CIVIL I</t>
  </si>
  <si>
    <t>INGENIERO EN CONSTRUCCION CIVIL II</t>
  </si>
  <si>
    <t>INGENIERO EN CONSTRUCCION CIVIL III</t>
  </si>
  <si>
    <t>INGENIERO EN TELECOMUNICACIONES II</t>
  </si>
  <si>
    <t>INGENIERO EN INFORMATICA I</t>
  </si>
  <si>
    <t>SUPERVISOR I (171)</t>
  </si>
  <si>
    <t>COMANDANTE GENERAL</t>
  </si>
  <si>
    <t>CONDUCTORES DE 3RA</t>
  </si>
  <si>
    <t>CONDUCTORES DE 2DA</t>
  </si>
  <si>
    <t>CONDUCTORES DE 1RA</t>
  </si>
  <si>
    <t>ORDENANZA  I</t>
  </si>
  <si>
    <t>ORDENANZA II</t>
  </si>
  <si>
    <t>AGENTE</t>
  </si>
  <si>
    <t>ORDENANZA III</t>
  </si>
  <si>
    <t>AGENTE DISIP</t>
  </si>
  <si>
    <t>DISTINGUIDO</t>
  </si>
  <si>
    <t>CABO 1RO</t>
  </si>
  <si>
    <t>CABO 2DO</t>
  </si>
  <si>
    <t>SARGENTO 2DA</t>
  </si>
  <si>
    <t>SARGENTO 1RA</t>
  </si>
  <si>
    <t>SARGENTO MAYOR</t>
  </si>
  <si>
    <t>SUB INSPECTOR</t>
  </si>
  <si>
    <t>INSPECTOR</t>
  </si>
  <si>
    <t>INSPECTOR JEFE</t>
  </si>
  <si>
    <t>SUB COMISARIO</t>
  </si>
  <si>
    <t>COMISARIO</t>
  </si>
  <si>
    <t>COMISARIO JEFE</t>
  </si>
  <si>
    <t>COMISARIO GENERAL</t>
  </si>
  <si>
    <t>LCDO(A) EN GESTION AMBIENTAL</t>
  </si>
  <si>
    <t>COORDINADOR DE PROGRAMA (SAPNNAET)</t>
  </si>
  <si>
    <t>LCDO(A) EN GESTION SOCIAL</t>
  </si>
  <si>
    <t>JEFE DE ARTE Y FOLKLORE</t>
  </si>
  <si>
    <t>ALBAÑIL</t>
  </si>
  <si>
    <t>SUPERVISOR DE VIGILANCIA</t>
  </si>
  <si>
    <t>SUPERVISOR ASISTENCIAL</t>
  </si>
  <si>
    <t>JEFE DE SERVICIO (SALUD)</t>
  </si>
  <si>
    <t>ASEADOR DE MATERIALES DE LABORATORIO</t>
  </si>
  <si>
    <t>INSPECTOR AUXILIAR DE OBRAS</t>
  </si>
  <si>
    <t>CHOFER DE CISTERNA</t>
  </si>
  <si>
    <t>CRIMINOLOGO</t>
  </si>
  <si>
    <t>OFICIAL</t>
  </si>
  <si>
    <t>OFICIAL AGREGADO</t>
  </si>
  <si>
    <t>OFICIAL JEFE</t>
  </si>
  <si>
    <t>SUPERVISOR</t>
  </si>
  <si>
    <t>SUPERVISOR AGREGADO</t>
  </si>
  <si>
    <t>SUPERVISOR JEFE</t>
  </si>
  <si>
    <t>COMISIONADO AGREGADO</t>
  </si>
  <si>
    <t>DIRECTOR GENERAL</t>
  </si>
  <si>
    <t>COMISIONADO JEFE</t>
  </si>
  <si>
    <t>OFICIAL (GRADO 0)</t>
  </si>
  <si>
    <t>OFICIAL (GRADO 1)</t>
  </si>
  <si>
    <t>OFICIAL (GRADO 2)</t>
  </si>
  <si>
    <t>OFICIAL AGREGADO (GRADO 0)</t>
  </si>
  <si>
    <t>OFICIAL AGREGADO (GRADO 1)</t>
  </si>
  <si>
    <t>OFICIAL AGREGADO (GRADO 2)</t>
  </si>
  <si>
    <t>OFICIAL JEFE (GRADO 0)</t>
  </si>
  <si>
    <t>OFICIAL JEFE (GRADO 1)</t>
  </si>
  <si>
    <t>OFICIAL JEFE (GRADO 2)</t>
  </si>
  <si>
    <t>SUPERVISOR (GRADO 0)</t>
  </si>
  <si>
    <t>SUPERVISOR (GRADO 1)</t>
  </si>
  <si>
    <t>SUPERVISOR (GRADO 2)</t>
  </si>
  <si>
    <t>SUPERVISOR AGREGADO (GRADO 0)</t>
  </si>
  <si>
    <t>SUPERVISOR AGREGADO (GRADO 1)</t>
  </si>
  <si>
    <t>SUPERVISOR AGREGADO (GRADO 2)</t>
  </si>
  <si>
    <t>SUPERVISOR JEFE (GRADO 0)</t>
  </si>
  <si>
    <t>SUPERVISOR JEFE (GRADO 1)</t>
  </si>
  <si>
    <t>SUPERVISOR JEFE (GRADO 2)</t>
  </si>
  <si>
    <t>COMISIONADO (GRADO 0)</t>
  </si>
  <si>
    <t>COMISIONADO (GRADO 1)</t>
  </si>
  <si>
    <t>COMISIONADO (GRADO 2)</t>
  </si>
  <si>
    <t>COMISIONADO AGREGADO (GRADO 0)</t>
  </si>
  <si>
    <t>COMISIONADO AGREGADO (GRADO 1)</t>
  </si>
  <si>
    <t>COMISIONADO AGREGADO (GRADO 2)</t>
  </si>
  <si>
    <t>COMISIONADO JEFE (GRADO 0)</t>
  </si>
  <si>
    <t>COMISIONADO JEFE (GRADO 1)</t>
  </si>
  <si>
    <t>COMISIONADO JEFE (GRADO 2)</t>
  </si>
  <si>
    <t>COMISIONADO JEFE (GRADO 3)</t>
  </si>
  <si>
    <t>00011</t>
  </si>
  <si>
    <t>00012</t>
  </si>
  <si>
    <t>00013</t>
  </si>
  <si>
    <t>00014</t>
  </si>
  <si>
    <t>00015</t>
  </si>
  <si>
    <t>00016</t>
  </si>
  <si>
    <t>00021</t>
  </si>
  <si>
    <t>00030</t>
  </si>
  <si>
    <t>00031</t>
  </si>
  <si>
    <t>00032</t>
  </si>
  <si>
    <t>00033</t>
  </si>
  <si>
    <t>00034</t>
  </si>
  <si>
    <t>00041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</si>
  <si>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</si>
  <si>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</si>
  <si>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</si>
  <si>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</si>
  <si>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</si>
  <si>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</si>
  <si>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</si>
  <si>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</si>
  <si>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</si>
  <si>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</si>
  <si>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00061</t>
  </si>
  <si>
    <t>00062</t>
  </si>
  <si>
    <t>00066</t>
  </si>
  <si>
    <t>00070</t>
  </si>
  <si>
    <t>00071</t>
  </si>
  <si>
    <t>00072</t>
  </si>
  <si>
    <t>00073</t>
  </si>
  <si>
    <t>00076</t>
  </si>
  <si>
    <t>00077</t>
  </si>
  <si>
    <t>00078</t>
  </si>
  <si>
    <t>00079</t>
  </si>
  <si>
    <t>00081</t>
  </si>
  <si>
    <t>00084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</si>
  <si>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</si>
  <si>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</si>
  <si>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</si>
  <si>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</si>
  <si>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</si>
  <si>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</si>
  <si>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</si>
  <si>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</si>
  <si>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</si>
  <si>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</si>
  <si>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</si>
  <si>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</si>
  <si>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</si>
  <si>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00111</t>
  </si>
  <si>
    <t>00112</t>
  </si>
  <si>
    <t>00113</t>
  </si>
  <si>
    <t>00114</t>
  </si>
  <si>
    <t>00115</t>
  </si>
  <si>
    <t>00116</t>
  </si>
  <si>
    <t>00120</t>
  </si>
  <si>
    <t>00121</t>
  </si>
  <si>
    <t>00122</t>
  </si>
  <si>
    <t>00123</t>
  </si>
  <si>
    <t>00124</t>
  </si>
  <si>
    <t>00125</t>
  </si>
  <si>
    <t>00126</t>
  </si>
  <si>
    <t>00131</t>
  </si>
  <si>
    <t>00132</t>
  </si>
  <si>
    <t>00133</t>
  </si>
  <si>
    <t>00134</t>
  </si>
  <si>
    <t>00135</t>
  </si>
  <si>
    <t>00136</t>
  </si>
  <si>
    <t>00155</t>
  </si>
  <si>
    <t>00161</t>
  </si>
  <si>
    <t>00162</t>
  </si>
  <si>
    <t>00163</t>
  </si>
  <si>
    <t>00164</t>
  </si>
  <si>
    <t>00165</t>
  </si>
  <si>
    <t>00166</t>
  </si>
  <si>
    <t>00171</t>
  </si>
  <si>
    <t>00172</t>
  </si>
  <si>
    <t>00173</t>
  </si>
  <si>
    <t>00174</t>
  </si>
  <si>
    <t>00175</t>
  </si>
  <si>
    <t>00176</t>
  </si>
  <si>
    <t>00204</t>
  </si>
  <si>
    <t>00205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</si>
  <si>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</si>
  <si>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</si>
  <si>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</si>
  <si>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</si>
  <si>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</si>
  <si>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</si>
  <si>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</si>
  <si>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</si>
  <si>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</si>
  <si>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</si>
  <si>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00231</t>
  </si>
  <si>
    <t>00232</t>
  </si>
  <si>
    <t>00233</t>
  </si>
  <si>
    <t>00234</t>
  </si>
  <si>
    <t>00235</t>
  </si>
  <si>
    <t>00236</t>
  </si>
  <si>
    <t>00241</t>
  </si>
  <si>
    <t>00242</t>
  </si>
  <si>
    <t>00243</t>
  </si>
  <si>
    <t>00244</t>
  </si>
  <si>
    <t>00245</t>
  </si>
  <si>
    <t>00246</t>
  </si>
  <si>
    <t>00301</t>
  </si>
  <si>
    <t>00311</t>
  </si>
  <si>
    <t>00321</t>
  </si>
  <si>
    <t>00331</t>
  </si>
  <si>
    <t>00341</t>
  </si>
  <si>
    <t>00351</t>
  </si>
  <si>
    <t>00361</t>
  </si>
  <si>
    <t>00592</t>
  </si>
  <si>
    <t>00616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</si>
  <si>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</si>
  <si>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</si>
  <si>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</si>
  <si>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</si>
  <si>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</si>
  <si>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</si>
  <si>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</si>
  <si>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</si>
  <si>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</si>
  <si>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</si>
  <si>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</si>
  <si>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00634</t>
  </si>
  <si>
    <t>00635</t>
  </si>
  <si>
    <t>00636</t>
  </si>
  <si>
    <t>00640</t>
  </si>
  <si>
    <t>00641</t>
  </si>
  <si>
    <t>00642</t>
  </si>
  <si>
    <t>00643</t>
  </si>
  <si>
    <t>00644</t>
  </si>
  <si>
    <t>00645</t>
  </si>
  <si>
    <t>00646</t>
  </si>
  <si>
    <t>00651</t>
  </si>
  <si>
    <t>00652</t>
  </si>
  <si>
    <t>00653</t>
  </si>
  <si>
    <t>00654</t>
  </si>
  <si>
    <t>00655</t>
  </si>
  <si>
    <t>00656</t>
  </si>
  <si>
    <t>00666</t>
  </si>
  <si>
    <t>00704</t>
  </si>
  <si>
    <t>00712</t>
  </si>
  <si>
    <t>00721</t>
  </si>
  <si>
    <t>00722</t>
  </si>
  <si>
    <t>00723</t>
  </si>
  <si>
    <t>00724</t>
  </si>
  <si>
    <t>00725</t>
  </si>
  <si>
    <t>00726</t>
  </si>
  <si>
    <t>00728</t>
  </si>
  <si>
    <t>00733</t>
  </si>
  <si>
    <t>00734</t>
  </si>
  <si>
    <t>00735</t>
  </si>
  <si>
    <t>00736</t>
  </si>
  <si>
    <t>00740</t>
  </si>
  <si>
    <t>00741</t>
  </si>
  <si>
    <t>00742</t>
  </si>
  <si>
    <t>00743</t>
  </si>
  <si>
    <t>00744</t>
  </si>
  <si>
    <t>00745</t>
  </si>
  <si>
    <t>00746</t>
  </si>
  <si>
    <t>00753</t>
  </si>
  <si>
    <t>00754</t>
  </si>
  <si>
    <t>00755</t>
  </si>
  <si>
    <t>00756</t>
  </si>
  <si>
    <t>00761</t>
  </si>
  <si>
    <t>00763</t>
  </si>
  <si>
    <t>00764</t>
  </si>
  <si>
    <t>00765</t>
  </si>
  <si>
    <t>00766</t>
  </si>
  <si>
    <t>00771</t>
  </si>
  <si>
    <t>00774</t>
  </si>
  <si>
    <t>00775</t>
  </si>
  <si>
    <t>00776</t>
  </si>
  <si>
    <t>00789</t>
  </si>
  <si>
    <t>00806</t>
  </si>
  <si>
    <t>00862</t>
  </si>
  <si>
    <t>00863</t>
  </si>
  <si>
    <t>00864</t>
  </si>
  <si>
    <t>00865</t>
  </si>
  <si>
    <t>00866</t>
  </si>
  <si>
    <t>00868</t>
  </si>
  <si>
    <t>00870</t>
  </si>
  <si>
    <t>00874</t>
  </si>
  <si>
    <t>00875</t>
  </si>
  <si>
    <t>00876</t>
  </si>
  <si>
    <t>00877</t>
  </si>
  <si>
    <t>00930</t>
  </si>
  <si>
    <t>00931</t>
  </si>
  <si>
    <t>00945</t>
  </si>
  <si>
    <t>01101</t>
  </si>
  <si>
    <t>01102</t>
  </si>
  <si>
    <t>01103</t>
  </si>
  <si>
    <t>01104</t>
  </si>
  <si>
    <t>01105</t>
  </si>
  <si>
    <t>01106</t>
  </si>
  <si>
    <t>01111</t>
  </si>
  <si>
    <t>01112</t>
  </si>
  <si>
    <t>01113</t>
  </si>
  <si>
    <t>01114</t>
  </si>
  <si>
    <t>01115</t>
  </si>
  <si>
    <t>01116</t>
  </si>
  <si>
    <t>01126</t>
  </si>
  <si>
    <t>01130</t>
  </si>
  <si>
    <t>01146</t>
  </si>
  <si>
    <t>01150</t>
  </si>
  <si>
    <t>01201</t>
  </si>
  <si>
    <t>01202</t>
  </si>
  <si>
    <t>01203</t>
  </si>
  <si>
    <t>01204</t>
  </si>
  <si>
    <t>01205</t>
  </si>
  <si>
    <t>01206</t>
  </si>
  <si>
    <t>01211</t>
  </si>
  <si>
    <t>01212</t>
  </si>
  <si>
    <t>01213</t>
  </si>
  <si>
    <t>01214</t>
  </si>
  <si>
    <t>01215</t>
  </si>
  <si>
    <t>01216</t>
  </si>
  <si>
    <t>01301</t>
  </si>
  <si>
    <t>01302</t>
  </si>
  <si>
    <t>01303</t>
  </si>
  <si>
    <t>01304</t>
  </si>
  <si>
    <t>01305</t>
  </si>
  <si>
    <t>01306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</si>
  <si>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</si>
  <si>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</si>
  <si>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</si>
  <si>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</si>
  <si>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</si>
  <si>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</si>
  <si>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</si>
  <si>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</si>
  <si>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</si>
  <si>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</si>
  <si>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</si>
  <si>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</si>
  <si>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</si>
  <si>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</si>
  <si>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</si>
  <si>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</si>
  <si>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01331</t>
  </si>
  <si>
    <t>01332</t>
  </si>
  <si>
    <t>01333</t>
  </si>
  <si>
    <t>01334</t>
  </si>
  <si>
    <t>01335</t>
  </si>
  <si>
    <t>01336</t>
  </si>
  <si>
    <t>01341</t>
  </si>
  <si>
    <t>01342</t>
  </si>
  <si>
    <t>01343</t>
  </si>
  <si>
    <t>01344</t>
  </si>
  <si>
    <t>01345</t>
  </si>
  <si>
    <t>01346</t>
  </si>
  <si>
    <t>01361</t>
  </si>
  <si>
    <t>01362</t>
  </si>
  <si>
    <t>01363</t>
  </si>
  <si>
    <t>01364</t>
  </si>
  <si>
    <t>01365</t>
  </si>
  <si>
    <t>01366</t>
  </si>
  <si>
    <t>01371</t>
  </si>
  <si>
    <t>01372</t>
  </si>
  <si>
    <t>01373</t>
  </si>
  <si>
    <t>01374</t>
  </si>
  <si>
    <t>01375</t>
  </si>
  <si>
    <t>01376</t>
  </si>
  <si>
    <t>01403</t>
  </si>
  <si>
    <t>01404</t>
  </si>
  <si>
    <t>01405</t>
  </si>
  <si>
    <t>01412</t>
  </si>
  <si>
    <t>01424</t>
  </si>
  <si>
    <t>01433</t>
  </si>
  <si>
    <t>01443</t>
  </si>
  <si>
    <t>01446</t>
  </si>
  <si>
    <t>01453</t>
  </si>
  <si>
    <t>01454</t>
  </si>
  <si>
    <t>01456</t>
  </si>
  <si>
    <t>01466</t>
  </si>
  <si>
    <t>01471</t>
  </si>
  <si>
    <t>01483</t>
  </si>
  <si>
    <t>01495</t>
  </si>
  <si>
    <t>01513</t>
  </si>
  <si>
    <t>01523</t>
  </si>
  <si>
    <t>01533</t>
  </si>
  <si>
    <t>01534</t>
  </si>
  <si>
    <t>01535</t>
  </si>
  <si>
    <t>01536</t>
  </si>
  <si>
    <t>01546</t>
  </si>
  <si>
    <t>01556</t>
  </si>
  <si>
    <t>01563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</si>
  <si>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</si>
  <si>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</si>
  <si>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</si>
  <si>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</si>
  <si>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</si>
  <si>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</si>
  <si>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</si>
  <si>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</si>
  <si>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</si>
  <si>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</si>
  <si>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</si>
  <si>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</si>
  <si>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</si>
  <si>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</si>
  <si>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</si>
  <si>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</si>
  <si>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01618</t>
  </si>
  <si>
    <t>01621</t>
  </si>
  <si>
    <t>01622</t>
  </si>
  <si>
    <t>01623</t>
  </si>
  <si>
    <t>01624</t>
  </si>
  <si>
    <t>01625</t>
  </si>
  <si>
    <t>01626</t>
  </si>
  <si>
    <t>01631</t>
  </si>
  <si>
    <t>01632</t>
  </si>
  <si>
    <t>01633</t>
  </si>
  <si>
    <t>01634</t>
  </si>
  <si>
    <t>01635</t>
  </si>
  <si>
    <t>01636</t>
  </si>
  <si>
    <t>01651</t>
  </si>
  <si>
    <t>01652</t>
  </si>
  <si>
    <t>01653</t>
  </si>
  <si>
    <t>01654</t>
  </si>
  <si>
    <t>01655</t>
  </si>
  <si>
    <t>01656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</si>
  <si>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</si>
  <si>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</si>
  <si>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</si>
  <si>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</si>
  <si>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</si>
  <si>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</si>
  <si>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</si>
  <si>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</si>
  <si>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01827</t>
  </si>
  <si>
    <t>01926</t>
  </si>
  <si>
    <t>02000</t>
  </si>
  <si>
    <t>02001</t>
  </si>
  <si>
    <t>02002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</si>
  <si>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</si>
  <si>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</si>
  <si>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</si>
  <si>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</si>
  <si>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</si>
  <si>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</si>
  <si>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</si>
  <si>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</si>
  <si>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</si>
  <si>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</si>
  <si>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02017</t>
  </si>
  <si>
    <t>02018</t>
  </si>
  <si>
    <t>02019</t>
  </si>
  <si>
    <t>02021</t>
  </si>
  <si>
    <t>02022</t>
  </si>
  <si>
    <t>02024</t>
  </si>
  <si>
    <t>02025</t>
  </si>
  <si>
    <t>02026</t>
  </si>
  <si>
    <t>02027</t>
  </si>
  <si>
    <t>02028</t>
  </si>
  <si>
    <t>02029</t>
  </si>
  <si>
    <t>02030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</si>
  <si>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</si>
  <si>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</si>
  <si>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</si>
  <si>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</si>
  <si>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</si>
  <si>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</si>
  <si>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</si>
  <si>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</si>
  <si>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02042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</si>
  <si>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</si>
  <si>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</si>
  <si>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</si>
  <si>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</si>
  <si>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</si>
  <si>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</si>
  <si>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</si>
  <si>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</si>
  <si>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</si>
  <si>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</si>
  <si>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</si>
  <si>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</si>
  <si>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</si>
  <si>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</si>
  <si>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</si>
  <si>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</si>
  <si>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</si>
  <si>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</si>
  <si>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</si>
  <si>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</si>
  <si>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</si>
  <si>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</si>
  <si>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</si>
  <si>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</si>
  <si>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</si>
  <si>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</si>
  <si>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</si>
  <si>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</si>
  <si>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</si>
  <si>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</si>
  <si>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02080</t>
  </si>
  <si>
    <t>02081</t>
  </si>
  <si>
    <t>02082</t>
  </si>
  <si>
    <t>02083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</si>
  <si>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</si>
  <si>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</si>
  <si>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</si>
  <si>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</si>
  <si>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</si>
  <si>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</si>
  <si>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</si>
  <si>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</si>
  <si>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</si>
  <si>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</si>
  <si>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</si>
  <si>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</si>
  <si>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</si>
  <si>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03748</t>
  </si>
  <si>
    <t>03749</t>
  </si>
  <si>
    <t>03751</t>
  </si>
  <si>
    <t>03752</t>
  </si>
  <si>
    <t>03753</t>
  </si>
  <si>
    <t>03754</t>
  </si>
  <si>
    <t>03755</t>
  </si>
  <si>
    <t>09127</t>
  </si>
  <si>
    <t>12116</t>
  </si>
  <si>
    <t>12125</t>
  </si>
  <si>
    <t>13255</t>
  </si>
  <si>
    <t>13283</t>
  </si>
  <si>
    <t>21544</t>
  </si>
  <si>
    <t>23425</t>
  </si>
  <si>
    <t>23454</t>
  </si>
  <si>
    <t>23455</t>
  </si>
  <si>
    <t>25115</t>
  </si>
  <si>
    <t>25871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</si>
  <si>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</si>
  <si>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</si>
  <si>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</si>
  <si>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</si>
  <si>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</si>
  <si>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</si>
  <si>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</si>
  <si>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</si>
  <si>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</si>
  <si>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</si>
  <si>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</si>
  <si>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</si>
  <si>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</si>
  <si>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</si>
  <si>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</si>
  <si>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</si>
  <si>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</si>
  <si>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</si>
  <si>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</si>
  <si>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</si>
  <si>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</si>
  <si>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</si>
  <si>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</si>
  <si>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</si>
  <si>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</si>
  <si>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</si>
  <si>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40027</t>
  </si>
  <si>
    <t>40028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</si>
  <si>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</si>
  <si>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</si>
  <si>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</si>
  <si>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</si>
  <si>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</si>
  <si>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</si>
  <si>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</si>
  <si>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</si>
  <si>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</si>
  <si>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</si>
  <si>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</si>
  <si>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</si>
  <si>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</si>
  <si>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</si>
  <si>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40043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</si>
  <si>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</si>
  <si>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</si>
  <si>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</si>
  <si>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</si>
  <si>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</si>
  <si>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</si>
  <si>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</si>
  <si>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</si>
  <si>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</si>
  <si>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</si>
  <si>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</si>
  <si>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</si>
  <si>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</si>
  <si>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</si>
  <si>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</si>
  <si>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</si>
  <si>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</si>
  <si>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</si>
  <si>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</si>
  <si>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</si>
  <si>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</si>
  <si>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</si>
  <si>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</si>
  <si>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</si>
  <si>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</si>
  <si>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</si>
  <si>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</si>
  <si>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</si>
  <si>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</si>
  <si>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</si>
  <si>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</si>
  <si>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</si>
  <si>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</si>
  <si>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</si>
  <si>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</si>
  <si>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</si>
  <si>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</si>
  <si>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</si>
  <si>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</si>
  <si>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</si>
  <si>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</si>
  <si>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</si>
  <si>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</si>
  <si>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</si>
  <si>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</si>
  <si>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</si>
  <si>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</si>
  <si>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</si>
  <si>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</si>
  <si>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</si>
  <si>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</si>
  <si>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</si>
  <si>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</si>
  <si>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</si>
  <si>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</si>
  <si>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</si>
  <si>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</si>
  <si>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</si>
  <si>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</si>
  <si>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</si>
  <si>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</si>
  <si>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</si>
  <si>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</si>
  <si>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</si>
  <si>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</si>
  <si>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</si>
  <si>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</si>
  <si>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</si>
  <si>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</si>
  <si>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</si>
  <si>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</si>
  <si>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</si>
  <si>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</si>
  <si>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</si>
  <si>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</si>
  <si>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</si>
  <si>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</si>
  <si>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</si>
  <si>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</si>
  <si>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</si>
  <si>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</si>
  <si>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</si>
  <si>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</si>
  <si>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</si>
  <si>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</si>
  <si>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</si>
  <si>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</si>
  <si>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</si>
  <si>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</si>
  <si>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</si>
  <si>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</si>
  <si>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</si>
  <si>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</si>
  <si>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</si>
  <si>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</si>
  <si>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</si>
  <si>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</si>
  <si>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</si>
  <si>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</si>
  <si>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</si>
  <si>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</si>
  <si>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</si>
  <si>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</si>
  <si>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</si>
  <si>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</si>
  <si>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</si>
  <si>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</si>
  <si>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</si>
  <si>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</si>
  <si>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</si>
  <si>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</si>
  <si>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</si>
  <si>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</si>
  <si>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</si>
  <si>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</si>
  <si>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</si>
  <si>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</si>
  <si>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</si>
  <si>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</si>
  <si>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</si>
  <si>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</si>
  <si>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</si>
  <si>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</si>
  <si>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</si>
  <si>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</si>
  <si>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</si>
  <si>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</si>
  <si>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</si>
  <si>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</si>
  <si>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</si>
  <si>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</si>
  <si>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</si>
  <si>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40176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</si>
  <si>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</si>
  <si>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</si>
  <si>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</si>
  <si>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</si>
  <si>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</si>
  <si>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</si>
  <si>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</si>
  <si>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</si>
  <si>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</si>
  <si>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</si>
  <si>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</si>
  <si>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</si>
  <si>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</si>
  <si>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</si>
  <si>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</si>
  <si>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</si>
  <si>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</si>
  <si>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</si>
  <si>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</si>
  <si>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</si>
  <si>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</si>
  <si>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</si>
  <si>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</si>
  <si>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</si>
  <si>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</si>
  <si>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</si>
  <si>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</si>
  <si>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</si>
  <si>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</si>
  <si>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</si>
  <si>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</si>
  <si>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</si>
  <si>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</si>
  <si>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</si>
  <si>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</si>
  <si>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</si>
  <si>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</si>
  <si>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</si>
  <si>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</si>
  <si>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</si>
  <si>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</si>
  <si>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</si>
  <si>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</si>
  <si>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</si>
  <si>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</si>
  <si>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</si>
  <si>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</si>
  <si>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</si>
  <si>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</si>
  <si>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</si>
  <si>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</si>
  <si>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</si>
  <si>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</si>
  <si>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</si>
  <si>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</si>
  <si>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</si>
  <si>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</si>
  <si>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</si>
  <si>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40235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</si>
  <si>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</si>
  <si>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</si>
  <si>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</si>
  <si>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</si>
  <si>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</si>
  <si>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</si>
  <si>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</si>
  <si>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</si>
  <si>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</si>
  <si>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</si>
  <si>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</si>
  <si>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40300</t>
  </si>
  <si>
    <t>40301</t>
  </si>
  <si>
    <t>40302</t>
  </si>
  <si>
    <t>40303</t>
  </si>
  <si>
    <t>41121</t>
  </si>
  <si>
    <t>41815</t>
  </si>
  <si>
    <t>43473</t>
  </si>
  <si>
    <t>43493</t>
  </si>
  <si>
    <t>43725</t>
  </si>
  <si>
    <t>43726</t>
  </si>
  <si>
    <t>43727</t>
  </si>
  <si>
    <t>45254</t>
  </si>
  <si>
    <t>46123</t>
  </si>
  <si>
    <t>46614</t>
  </si>
  <si>
    <t>50001</t>
  </si>
  <si>
    <t>50002</t>
  </si>
  <si>
    <t>50003</t>
  </si>
  <si>
    <t>50004</t>
  </si>
  <si>
    <t>50005</t>
  </si>
  <si>
    <t>50011</t>
  </si>
  <si>
    <t>50012</t>
  </si>
  <si>
    <t>50013</t>
  </si>
  <si>
    <t>50014</t>
  </si>
  <si>
    <t>50015</t>
  </si>
  <si>
    <t>50020</t>
  </si>
  <si>
    <t>50030</t>
  </si>
  <si>
    <t>51214</t>
  </si>
  <si>
    <t>62162</t>
  </si>
  <si>
    <t>62211</t>
  </si>
  <si>
    <t>62212</t>
  </si>
  <si>
    <t>62213</t>
  </si>
  <si>
    <t>62221</t>
  </si>
  <si>
    <t>62222</t>
  </si>
  <si>
    <t>62223</t>
  </si>
  <si>
    <t>62224</t>
  </si>
  <si>
    <t>62225</t>
  </si>
  <si>
    <t>62231</t>
  </si>
  <si>
    <t>62240</t>
  </si>
  <si>
    <t>62241</t>
  </si>
  <si>
    <t>62251</t>
  </si>
  <si>
    <t>62252</t>
  </si>
  <si>
    <t>62253</t>
  </si>
  <si>
    <t>62261</t>
  </si>
  <si>
    <t>62262</t>
  </si>
  <si>
    <t>62263</t>
  </si>
  <si>
    <t>62271</t>
  </si>
  <si>
    <t>62272</t>
  </si>
  <si>
    <t>62273</t>
  </si>
  <si>
    <t>62274</t>
  </si>
  <si>
    <t>65000</t>
  </si>
  <si>
    <t>65001</t>
  </si>
  <si>
    <t>65002</t>
  </si>
  <si>
    <t>71211</t>
  </si>
  <si>
    <t>7360</t>
  </si>
  <si>
    <t>7361</t>
  </si>
  <si>
    <t>7362</t>
  </si>
  <si>
    <t>8528</t>
  </si>
  <si>
    <t>8529</t>
  </si>
  <si>
    <t>8530</t>
  </si>
  <si>
    <t>85321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</si>
  <si>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</si>
  <si>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</si>
  <si>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</si>
  <si>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</si>
  <si>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</si>
  <si>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</si>
  <si>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</si>
  <si>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</si>
  <si>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</si>
  <si>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</si>
  <si>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</si>
  <si>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</si>
  <si>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</si>
  <si>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</si>
  <si>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</si>
  <si>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</si>
  <si>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</si>
  <si>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</si>
  <si>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</si>
  <si>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</si>
  <si>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</si>
  <si>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</si>
  <si>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</si>
  <si>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</si>
  <si>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</si>
  <si>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</si>
  <si>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</si>
  <si>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</si>
  <si>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</si>
  <si>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</si>
  <si>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</si>
  <si>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</si>
  <si>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</si>
  <si>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</si>
  <si>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</si>
  <si>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</si>
  <si>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</si>
  <si>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</si>
  <si>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/>
  </si>
  <si>
    <t>99</t>
  </si>
  <si>
    <t>DO</t>
  </si>
  <si>
    <t>15</t>
  </si>
  <si>
    <t>17</t>
  </si>
  <si>
    <t>19</t>
  </si>
  <si>
    <t>20</t>
  </si>
  <si>
    <t>21</t>
  </si>
  <si>
    <t>23</t>
  </si>
  <si>
    <t>24</t>
  </si>
  <si>
    <t>25</t>
  </si>
  <si>
    <t>22</t>
  </si>
  <si>
    <t>18</t>
  </si>
  <si>
    <t>26</t>
  </si>
  <si>
    <t>16</t>
  </si>
  <si>
    <t>11</t>
  </si>
  <si>
    <t>28</t>
  </si>
  <si>
    <t>13</t>
  </si>
  <si>
    <t>12</t>
  </si>
  <si>
    <t>14</t>
  </si>
  <si>
    <t>PO</t>
  </si>
  <si>
    <t>DE 0 A 2 AÑOS</t>
  </si>
  <si>
    <t>DE 3 A 5 AÑOS</t>
  </si>
  <si>
    <t>DE 6 A 8 AÑOS</t>
  </si>
  <si>
    <t>DE 9 A 11 AÑOS</t>
  </si>
  <si>
    <t>DE 12 A 14 AÑOS</t>
  </si>
  <si>
    <t>DE 15 A 17 AÑOS</t>
  </si>
  <si>
    <t>DE 18 EN ADELANTE</t>
  </si>
  <si>
    <t>PRESIDENTE</t>
  </si>
  <si>
    <t>61223</t>
  </si>
  <si>
    <t>VICEPRESIDENTE</t>
  </si>
  <si>
    <t>90101</t>
  </si>
  <si>
    <t>JEFE DE UNIDAD</t>
  </si>
  <si>
    <t>ASISTENTE AL PRESIDENTE</t>
  </si>
  <si>
    <t>90103</t>
  </si>
  <si>
    <t>BECAS PARA HIJOS/AS ESTUDIANTES</t>
  </si>
  <si>
    <t>BECAS PARA TRABAJADORES/AS ESTUDIANTES</t>
  </si>
  <si>
    <t>CONTRIBUCION PARA TRABAJADORES/AS CON DISCAPACIDAD</t>
  </si>
  <si>
    <t>CONTRIBUCION PARA HIJOS/AS CON DISCAPACIDAD</t>
  </si>
  <si>
    <t>DIA DE LA MADRE</t>
  </si>
  <si>
    <t>DIA DEL PADRE</t>
  </si>
  <si>
    <t>DIA DEL NIÑO</t>
  </si>
  <si>
    <t>AYUDA POR NACIMIENTO</t>
  </si>
  <si>
    <t>AYUDA POR MATRIMONIO</t>
  </si>
  <si>
    <t>C0100</t>
  </si>
  <si>
    <t>C0200</t>
  </si>
  <si>
    <t>C0300</t>
  </si>
  <si>
    <t>C0400</t>
  </si>
  <si>
    <t>PRIMA DE HIJOS</t>
  </si>
  <si>
    <t>AGUINALDOS</t>
  </si>
  <si>
    <t>TOTAL OBREROS FIJOS</t>
  </si>
  <si>
    <t>ALICUOTA VACACIONES</t>
  </si>
  <si>
    <t>ALICUOTA AGUINALDOS</t>
  </si>
  <si>
    <t>ASEADOR AREAS PUBLICAS</t>
  </si>
  <si>
    <t>7107</t>
  </si>
  <si>
    <t>AUXILIAR DE BIBLIOTECA N.G.</t>
  </si>
  <si>
    <t>AUXILIAR DE FARMACIA</t>
  </si>
  <si>
    <t>AUXILIAR DE LABORATORIO</t>
  </si>
  <si>
    <t>AUXILIAR DE MEZCLAS PRODUCTOS FARMACEUTICOS</t>
  </si>
  <si>
    <t>AUXILIAR DE OFICINA I</t>
  </si>
  <si>
    <t>10002</t>
  </si>
  <si>
    <t>AUXILIAR DE PRE-ESCOLAR</t>
  </si>
  <si>
    <t>AUXILIAR DE PRUEBAS PRODUCTOS FARMACEUTICOS</t>
  </si>
  <si>
    <t>AUXILIAR DE RAYOS X</t>
  </si>
  <si>
    <t>AUXILIAR DE TERAPIA N.G.</t>
  </si>
  <si>
    <t>AUXILIAR DE TERAPIA NG</t>
  </si>
  <si>
    <t>AYUDANTE DE ALBAÑIL</t>
  </si>
  <si>
    <t>7222</t>
  </si>
  <si>
    <t>CONTRALOR INTERNO</t>
  </si>
  <si>
    <t>10000</t>
  </si>
  <si>
    <t>COORDINADOR DE ASUNTOS CINEMATOGRAFICOS I</t>
  </si>
  <si>
    <t>COORDINADOR DE ASUNTOS CINEMATOGRAFICOS II</t>
  </si>
  <si>
    <t>COORDINADOR DE ASUNTOS CINEMATOGRAFICOS III</t>
  </si>
  <si>
    <t>COORDINADOR DE ASUNTOS INTERNACIONALES II</t>
  </si>
  <si>
    <t>COORDINADOR DE ASUNTOS INTERNACIONALES III</t>
  </si>
  <si>
    <t>COORDINADOR DE ASUNTOS LABORALES I</t>
  </si>
  <si>
    <t>COORDINADOR DE ASUNTOS LABORALES II</t>
  </si>
  <si>
    <t>COORDINADOR DE DESARROLLO DE RECURSOS HUMANOS I</t>
  </si>
  <si>
    <t>COORDINADOR DE MAQUINARIA PESADA</t>
  </si>
  <si>
    <t>7244</t>
  </si>
  <si>
    <t>COORDINADOR DEASUNTOS INTERNACIONALES JEFE</t>
  </si>
  <si>
    <t>COORDINADOR GENERAL DE PERSONAL</t>
  </si>
  <si>
    <t>10003</t>
  </si>
  <si>
    <t>DIRECTOR TOPOGRAFO</t>
  </si>
  <si>
    <t>10004</t>
  </si>
  <si>
    <t>FISCAL DE OBRAS I</t>
  </si>
  <si>
    <t>10006</t>
  </si>
  <si>
    <t>FISCAL I  (OBREROS)</t>
  </si>
  <si>
    <t>7240</t>
  </si>
  <si>
    <t>FISCAL II (OBREROS)</t>
  </si>
  <si>
    <t>7241</t>
  </si>
  <si>
    <t>GERENTE</t>
  </si>
  <si>
    <t>00932</t>
  </si>
  <si>
    <t>INGENIERO DE GAS I</t>
  </si>
  <si>
    <t>INGENIERO EN AGROSISTEMAS I</t>
  </si>
  <si>
    <t>INSPECTOR AUXILIAR DE OPERACIONES DE AREAS PUBLICAS</t>
  </si>
  <si>
    <t>7221</t>
  </si>
  <si>
    <t>00950</t>
  </si>
  <si>
    <t>MECANOGRAFA(O) II</t>
  </si>
  <si>
    <t>10001</t>
  </si>
  <si>
    <t>PAGADOR</t>
  </si>
  <si>
    <t>7224</t>
  </si>
  <si>
    <t>PERSONAL ADMINISTRATIVO NO CLASIFICADO</t>
  </si>
  <si>
    <t>10005</t>
  </si>
  <si>
    <t>SECRETARIA EJECUTIVA [SUB DIRECTORA]</t>
  </si>
  <si>
    <t>24344</t>
  </si>
  <si>
    <t>SECRETARIO(A) DE DESPACHO</t>
  </si>
  <si>
    <t>SUPERVISOR DE CAMIONES CISTERNA</t>
  </si>
  <si>
    <t>7243</t>
  </si>
  <si>
    <t>SUPERVISOR DE INSTRUCCION A DISTANCIA III</t>
  </si>
  <si>
    <t>SUPERVISOR DE MANTENIMIENTO DE PARQUES II</t>
  </si>
  <si>
    <t>SUPERVISOR DE MANTENIMIENTO DE PARQUES III</t>
  </si>
  <si>
    <t>SUPERVISOR DE MANTENIMIENTO DE PARQUES IV</t>
  </si>
  <si>
    <t>SUPERVISOR DE MANTENIMIENTO I (OPE)</t>
  </si>
  <si>
    <t>7242</t>
  </si>
  <si>
    <t>SUPERVISOR DE ZONA (OPE)</t>
  </si>
  <si>
    <t>7223</t>
  </si>
  <si>
    <t>SUPERVISOR OPERADOR EQUIPOS DE COMPUTACION</t>
  </si>
  <si>
    <t>EMPLEADOS FIJOS</t>
  </si>
  <si>
    <t>TOTAL EMPLEADOS FIJOS</t>
  </si>
  <si>
    <t>OBREROS FIJOS</t>
  </si>
  <si>
    <t>EVALUACION POR DESEMPEÑO</t>
  </si>
  <si>
    <t>BONO DIA OBRERO</t>
  </si>
  <si>
    <t>BONO DIA  EMPLEADO PUBLICO</t>
  </si>
  <si>
    <t>MES ACTUAL</t>
  </si>
  <si>
    <t>MONTO PRIMERA QUINCENA</t>
  </si>
  <si>
    <t>MONTO SEGUNDA QUINCENA</t>
  </si>
  <si>
    <t>SUELDO QUINCENAL</t>
  </si>
  <si>
    <t xml:space="preserve">SUELDO COBRADO EN OTRA INSTITUCION  </t>
  </si>
  <si>
    <t>SUELDO BASE A PAGAR MENSUAL</t>
  </si>
  <si>
    <t>INSTITUCION DONDE ESTA EN COMISIÓN DE SERVICIO</t>
  </si>
  <si>
    <t>TOTAL AÑOS DE SERVICIO</t>
  </si>
  <si>
    <t>DEDUCCIONES</t>
  </si>
  <si>
    <t>TOTAL DE DEDUCCIONES</t>
  </si>
  <si>
    <t>SS0                                (4%)</t>
  </si>
  <si>
    <t>PARO             FORZOSO                                           (0,5%)</t>
  </si>
  <si>
    <t>FAOV                            (1%)</t>
  </si>
  <si>
    <t>FECHA DE NACIMENTO</t>
  </si>
  <si>
    <t>SS0                 (9%)</t>
  </si>
  <si>
    <t>PARO             FORZOSO               (2%)</t>
  </si>
  <si>
    <t>FAOV                     (2%)</t>
  </si>
  <si>
    <r>
      <t xml:space="preserve">P3VI   </t>
    </r>
    <r>
      <rPr>
        <sz val="8"/>
        <color theme="1"/>
        <rFont val="Arial"/>
        <family val="2"/>
      </rPr>
      <t>(18 EN ADELANTE)</t>
    </r>
  </si>
  <si>
    <r>
      <t xml:space="preserve">P2V   </t>
    </r>
    <r>
      <rPr>
        <sz val="8"/>
        <color theme="1"/>
        <rFont val="Arial"/>
        <family val="2"/>
      </rPr>
      <t xml:space="preserve"> (18 EN ADELANTE)</t>
    </r>
  </si>
  <si>
    <r>
      <t xml:space="preserve">T2V  </t>
    </r>
    <r>
      <rPr>
        <sz val="8"/>
        <rFont val="Arial"/>
        <family val="2"/>
      </rPr>
      <t xml:space="preserve"> (18 EN ADELANTE)</t>
    </r>
  </si>
  <si>
    <r>
      <t xml:space="preserve">B3IV   </t>
    </r>
    <r>
      <rPr>
        <sz val="8"/>
        <rFont val="Arial"/>
        <family val="2"/>
      </rPr>
      <t>(18 EN ADELANTE)</t>
    </r>
  </si>
  <si>
    <r>
      <t xml:space="preserve">B1  </t>
    </r>
    <r>
      <rPr>
        <sz val="8"/>
        <rFont val="Arial"/>
        <family val="2"/>
      </rPr>
      <t xml:space="preserve"> (0-2 AÑOS)</t>
    </r>
  </si>
  <si>
    <r>
      <t xml:space="preserve">B2   </t>
    </r>
    <r>
      <rPr>
        <sz val="8"/>
        <rFont val="Arial"/>
        <family val="2"/>
      </rPr>
      <t>(3-5 AÑOS)</t>
    </r>
  </si>
  <si>
    <r>
      <t xml:space="preserve">B3   </t>
    </r>
    <r>
      <rPr>
        <sz val="8"/>
        <rFont val="Arial"/>
        <family val="2"/>
      </rPr>
      <t>(6-8 AÑOS)</t>
    </r>
  </si>
  <si>
    <r>
      <t xml:space="preserve">B3I  </t>
    </r>
    <r>
      <rPr>
        <sz val="8"/>
        <rFont val="Arial"/>
        <family val="2"/>
      </rPr>
      <t xml:space="preserve"> (9-11 AÑOS</t>
    </r>
    <r>
      <rPr>
        <sz val="11"/>
        <rFont val="Arial"/>
        <family val="2"/>
      </rPr>
      <t>)</t>
    </r>
  </si>
  <si>
    <r>
      <t xml:space="preserve">B3II   </t>
    </r>
    <r>
      <rPr>
        <sz val="8"/>
        <rFont val="Arial"/>
        <family val="2"/>
      </rPr>
      <t>(12-14 AÑOS)</t>
    </r>
  </si>
  <si>
    <r>
      <t xml:space="preserve">B3III   </t>
    </r>
    <r>
      <rPr>
        <sz val="8"/>
        <rFont val="Arial"/>
        <family val="2"/>
      </rPr>
      <t>(15-17 AÑOS)</t>
    </r>
  </si>
  <si>
    <r>
      <t xml:space="preserve">T1   </t>
    </r>
    <r>
      <rPr>
        <sz val="8"/>
        <rFont val="Arial"/>
        <family val="2"/>
      </rPr>
      <t>(0-2 AÑOS)</t>
    </r>
  </si>
  <si>
    <r>
      <t xml:space="preserve">T2   </t>
    </r>
    <r>
      <rPr>
        <sz val="8"/>
        <color theme="1"/>
        <rFont val="Arial"/>
        <family val="2"/>
      </rPr>
      <t>(3-5 AÑOS)</t>
    </r>
  </si>
  <si>
    <r>
      <t xml:space="preserve">T2I   </t>
    </r>
    <r>
      <rPr>
        <sz val="8"/>
        <color theme="1"/>
        <rFont val="Arial"/>
        <family val="2"/>
      </rPr>
      <t>(6-8 AÑOS)</t>
    </r>
  </si>
  <si>
    <r>
      <t xml:space="preserve">T2II   </t>
    </r>
    <r>
      <rPr>
        <sz val="8"/>
        <color theme="1"/>
        <rFont val="Arial"/>
        <family val="2"/>
      </rPr>
      <t>(9-11 AÑOS)</t>
    </r>
  </si>
  <si>
    <r>
      <t xml:space="preserve">T2III   </t>
    </r>
    <r>
      <rPr>
        <sz val="8"/>
        <color theme="1"/>
        <rFont val="Arial"/>
        <family val="2"/>
      </rPr>
      <t>(12-14 AÑOS)</t>
    </r>
  </si>
  <si>
    <r>
      <t xml:space="preserve">T2IV   </t>
    </r>
    <r>
      <rPr>
        <sz val="8"/>
        <color theme="1"/>
        <rFont val="Arial"/>
        <family val="2"/>
      </rPr>
      <t>(15-17 AÑOS)</t>
    </r>
  </si>
  <si>
    <r>
      <t xml:space="preserve">P1   </t>
    </r>
    <r>
      <rPr>
        <sz val="8"/>
        <color theme="1"/>
        <rFont val="Arial"/>
        <family val="2"/>
      </rPr>
      <t>(0-2 AÑOS)</t>
    </r>
  </si>
  <si>
    <r>
      <t xml:space="preserve">P2  </t>
    </r>
    <r>
      <rPr>
        <sz val="8"/>
        <color theme="1"/>
        <rFont val="Arial"/>
        <family val="2"/>
      </rPr>
      <t xml:space="preserve"> (3-5 AÑOS)</t>
    </r>
  </si>
  <si>
    <r>
      <t xml:space="preserve">P2I   </t>
    </r>
    <r>
      <rPr>
        <sz val="8"/>
        <color theme="1"/>
        <rFont val="Arial"/>
        <family val="2"/>
      </rPr>
      <t>(6-8 AÑOS)</t>
    </r>
  </si>
  <si>
    <r>
      <t xml:space="preserve">P2II   </t>
    </r>
    <r>
      <rPr>
        <sz val="8"/>
        <color theme="1"/>
        <rFont val="Arial"/>
        <family val="2"/>
      </rPr>
      <t xml:space="preserve">(9-11 AÑOS)  </t>
    </r>
  </si>
  <si>
    <r>
      <t xml:space="preserve">P2III   </t>
    </r>
    <r>
      <rPr>
        <sz val="8"/>
        <color theme="1"/>
        <rFont val="Arial"/>
        <family val="2"/>
      </rPr>
      <t>(12-14 AÑOS)</t>
    </r>
  </si>
  <si>
    <r>
      <t xml:space="preserve">P2IV   </t>
    </r>
    <r>
      <rPr>
        <sz val="8"/>
        <color theme="1"/>
        <rFont val="Arial"/>
        <family val="2"/>
      </rPr>
      <t>(15-17 AÑOS)</t>
    </r>
  </si>
  <si>
    <r>
      <t xml:space="preserve">P3   </t>
    </r>
    <r>
      <rPr>
        <sz val="8"/>
        <color theme="1"/>
        <rFont val="Arial"/>
        <family val="2"/>
      </rPr>
      <t xml:space="preserve"> (0-2 AÑOS)</t>
    </r>
  </si>
  <si>
    <r>
      <t xml:space="preserve">P3I </t>
    </r>
    <r>
      <rPr>
        <sz val="8"/>
        <color theme="1"/>
        <rFont val="Arial"/>
        <family val="2"/>
      </rPr>
      <t xml:space="preserve">    (3-5 AÑOS)</t>
    </r>
  </si>
  <si>
    <r>
      <t xml:space="preserve">P3II     </t>
    </r>
    <r>
      <rPr>
        <sz val="8"/>
        <color theme="1"/>
        <rFont val="Arial"/>
        <family val="2"/>
      </rPr>
      <t>(6-8 AÑOS)</t>
    </r>
  </si>
  <si>
    <r>
      <t xml:space="preserve">P3III    </t>
    </r>
    <r>
      <rPr>
        <sz val="8"/>
        <color theme="1"/>
        <rFont val="Arial"/>
        <family val="2"/>
      </rPr>
      <t xml:space="preserve">(9-11 AÑOS)    </t>
    </r>
  </si>
  <si>
    <r>
      <t xml:space="preserve">P3IV    </t>
    </r>
    <r>
      <rPr>
        <sz val="8"/>
        <color theme="1"/>
        <rFont val="Arial"/>
        <family val="2"/>
      </rPr>
      <t>(12-14 AÑOS)</t>
    </r>
  </si>
  <si>
    <r>
      <t xml:space="preserve">P3V    </t>
    </r>
    <r>
      <rPr>
        <sz val="8"/>
        <color theme="1"/>
        <rFont val="Arial"/>
        <family val="2"/>
      </rPr>
      <t>(15-17 AÑOS)</t>
    </r>
  </si>
  <si>
    <t>HIJOS</t>
  </si>
  <si>
    <t>BECAS</t>
  </si>
  <si>
    <t>LUNES</t>
  </si>
  <si>
    <t>MESES</t>
  </si>
  <si>
    <t>GRADO DE INSTRUCCIÓN (CARRERA)</t>
  </si>
  <si>
    <t>0</t>
  </si>
  <si>
    <t>((SN*4/12)+SN)/30*180</t>
  </si>
  <si>
    <t>MONTO TOTAL DE BECAS Y/O CONTRIB. X DISCAPAC</t>
  </si>
  <si>
    <t>CANT. LUNES DEL MES</t>
  </si>
  <si>
    <t>NACIONALIDAD</t>
  </si>
  <si>
    <t>F</t>
  </si>
  <si>
    <t>M</t>
  </si>
  <si>
    <t>V</t>
  </si>
  <si>
    <t>GENERO</t>
  </si>
  <si>
    <t>AÑOS DE SERVICIOS RECONOCIDOS</t>
  </si>
  <si>
    <t>AÑOS SERVICIO (INSTITUCION)</t>
  </si>
  <si>
    <t>PRIMAS</t>
  </si>
  <si>
    <t>COMISION DE SERVICIO</t>
  </si>
  <si>
    <t>PRIMAS FRACCIONADAS</t>
  </si>
  <si>
    <t xml:space="preserve">1era Quincena Primas Fraccionadas </t>
  </si>
  <si>
    <t xml:space="preserve">2da Quincena Primas Fraccionadas </t>
  </si>
  <si>
    <t>VIGILANTE NOCTURNO</t>
  </si>
  <si>
    <t xml:space="preserve">MES DE </t>
  </si>
  <si>
    <t>DE</t>
  </si>
  <si>
    <t xml:space="preserve">              BECAS/CONTRIBUCION POR DISCAPACIDAD</t>
  </si>
  <si>
    <t>TOTAL DE APORTES</t>
  </si>
  <si>
    <t xml:space="preserve"> INSTITUCIÓN A LA QUE PERTENECE</t>
  </si>
  <si>
    <t>BONO DE EMERGENCIA</t>
  </si>
  <si>
    <t>(((SN*6/12)+SN)/30)*150</t>
  </si>
  <si>
    <t>NRO. DE HIJOS (EDAD ESCOLAR)</t>
  </si>
  <si>
    <t>NRO. DE HIJOS (DISCAPACIDAD)</t>
  </si>
  <si>
    <t>CANT. DIAS FERIADOS</t>
  </si>
  <si>
    <t>REYES CARVAJAL JOSE RAMON</t>
  </si>
  <si>
    <t>H.EXTRAS</t>
  </si>
  <si>
    <t>DIAS DESCANS</t>
  </si>
  <si>
    <t>CESTA TICKET</t>
  </si>
  <si>
    <t xml:space="preserve">TOTAL DE DEDUCCIONES + APORTES </t>
  </si>
  <si>
    <t>CESTA T</t>
  </si>
  <si>
    <t>Lopez Margarita</t>
  </si>
  <si>
    <t>1RA QUINCENA</t>
  </si>
  <si>
    <t>2DA QUINCENA</t>
  </si>
  <si>
    <t>TXT BONO NOCTURNO</t>
  </si>
  <si>
    <t>TXT BECAS</t>
  </si>
  <si>
    <t>APORTES + DEDUCCIONES</t>
  </si>
  <si>
    <t>TXT</t>
  </si>
  <si>
    <t>Ramírez Montilla Dora Nakany</t>
  </si>
  <si>
    <t>García Hendels</t>
  </si>
  <si>
    <t>Olmos José Luis</t>
  </si>
  <si>
    <t>Arias Yelitza</t>
  </si>
  <si>
    <t xml:space="preserve">SERRADA  YURAIMA </t>
  </si>
  <si>
    <t xml:space="preserve">VILLAMIZAR MARIA </t>
  </si>
  <si>
    <t xml:space="preserve">RUIZ  ANDREINA </t>
  </si>
  <si>
    <t xml:space="preserve">MATOS HAIDEE </t>
  </si>
  <si>
    <t>GONZALEZ MARITZA</t>
  </si>
  <si>
    <t xml:space="preserve">PEÑA MIRNA </t>
  </si>
  <si>
    <t>RANGEL KEILA YOHANA</t>
  </si>
  <si>
    <t xml:space="preserve">BARRETO RIVERO CARLIN DANIELA </t>
  </si>
  <si>
    <t xml:space="preserve">SERRADA JENNY </t>
  </si>
  <si>
    <t xml:space="preserve">GONZÁLEZ DE MONTILLA BENEDICTA </t>
  </si>
  <si>
    <t xml:space="preserve">RUZZA GONZALEZ GLADYS JOSEFINA </t>
  </si>
  <si>
    <t>P2V    (18 EN ADELANTE)</t>
  </si>
  <si>
    <t>SI</t>
  </si>
  <si>
    <t>AÑOS SERVICIO</t>
  </si>
  <si>
    <t>AÑOS DE SERVICIOS PREVIOS</t>
  </si>
  <si>
    <t>OLMOS RODRIGUEZ EBERTO DE JESUS</t>
  </si>
  <si>
    <t>ARAUJO RIVAS THAILY DEL ROSARIO</t>
  </si>
  <si>
    <t>LOPEZ MARGARITA</t>
  </si>
  <si>
    <t>SERRADA GLADYS</t>
  </si>
  <si>
    <t>RAMÍREZ MONTILLA DORA NAKANY</t>
  </si>
  <si>
    <t>P1</t>
  </si>
  <si>
    <t>GARCÍA HENDELS</t>
  </si>
  <si>
    <t>OLMOS JOSE LUIS</t>
  </si>
  <si>
    <t>VALERA NORELIS</t>
  </si>
  <si>
    <t>ARIAS YELITZA</t>
  </si>
  <si>
    <t>B1</t>
  </si>
  <si>
    <t>VACANTE</t>
  </si>
  <si>
    <t>YA</t>
  </si>
  <si>
    <t>GERENCIA TRIBUTARIA</t>
  </si>
  <si>
    <t>SAPNNAET</t>
  </si>
  <si>
    <t>MTTO EQUIPOS MEC</t>
  </si>
  <si>
    <t>SUAREZ SIMANCAS MARI CARMEN</t>
  </si>
  <si>
    <t>P3V    (15-17 AÑOS)</t>
  </si>
  <si>
    <t>SOLORZANO VALERA JACQUELINE</t>
  </si>
  <si>
    <t>MATHEUS RIVAS YOHAN</t>
  </si>
  <si>
    <t>EGRESO JULIO</t>
  </si>
  <si>
    <t>RENUNCIA</t>
  </si>
  <si>
    <t>NRO DE CUENTA</t>
  </si>
  <si>
    <t>01020373210000246550</t>
  </si>
  <si>
    <t>01020747910000432704</t>
  </si>
  <si>
    <t>01020369410100094432</t>
  </si>
  <si>
    <t>01020369400100075212</t>
  </si>
  <si>
    <t>01020373200100088779</t>
  </si>
  <si>
    <t>01020373250000853066</t>
  </si>
  <si>
    <t>01020373290000678623</t>
  </si>
  <si>
    <t>01020373210100059961</t>
  </si>
  <si>
    <t>01020373270000678526</t>
  </si>
  <si>
    <t>01020373280000706252</t>
  </si>
  <si>
    <t>01020747930000350462</t>
  </si>
  <si>
    <t>01020373210000678636</t>
  </si>
  <si>
    <t>01020373210000693161</t>
  </si>
  <si>
    <t>01020373250000707086</t>
  </si>
  <si>
    <t>01020494160000556211</t>
  </si>
  <si>
    <t>01020494160100026575</t>
  </si>
  <si>
    <t>01020373280001051265</t>
  </si>
  <si>
    <t>Gonzalez Pabón Marianela</t>
  </si>
  <si>
    <t>01020373210000439451</t>
  </si>
  <si>
    <t>DIAS DE VACACIONES</t>
  </si>
  <si>
    <t>DIAS DE AGUINALDOS</t>
  </si>
  <si>
    <t>ALICUOTA VACAC</t>
  </si>
  <si>
    <t>ALICUOTA AGUINALD</t>
  </si>
  <si>
    <t>EJEMPLO</t>
  </si>
  <si>
    <t>TIPO PERSONAL</t>
  </si>
  <si>
    <t>APELLIDOS Y NOMBRES</t>
  </si>
  <si>
    <t>CÉDULA</t>
  </si>
  <si>
    <t>AÑOS DE SERVICIO</t>
  </si>
  <si>
    <t>SUELDO BASE MENSUAL</t>
  </si>
  <si>
    <t>PRIMA HIJO</t>
  </si>
  <si>
    <t>PRIMA DE TRANSPORTE</t>
  </si>
  <si>
    <t>PRIMA PROFESIONAL</t>
  </si>
  <si>
    <t>TOTAL PRIMAS</t>
  </si>
  <si>
    <t>SUELDO NORMAL</t>
  </si>
  <si>
    <t>BONO FIN DE AÑO (AGUINALDOS)</t>
  </si>
  <si>
    <t>CALCULO         (1 MESES)                   37,5 dias</t>
  </si>
  <si>
    <t>MONTO A SOLICITAR        (1 MES DE AGUINALDOS)</t>
  </si>
  <si>
    <t>DIRECTIVO</t>
  </si>
  <si>
    <t>LUIS LOPEZ</t>
  </si>
  <si>
    <t xml:space="preserve">EMPLEADO </t>
  </si>
  <si>
    <t>ROSA MENDEZ</t>
  </si>
  <si>
    <t>ANALISTA DE PERSONALII</t>
  </si>
  <si>
    <t>JOSE LUIS PEREZ</t>
  </si>
  <si>
    <t>T1</t>
  </si>
  <si>
    <t>125</t>
  </si>
  <si>
    <t>DAIVELIS PEÑA</t>
  </si>
  <si>
    <t>100</t>
  </si>
  <si>
    <t>FRACCIONADOS</t>
  </si>
  <si>
    <r>
      <rPr>
        <b/>
        <sz val="12"/>
        <color indexed="8"/>
        <rFont val="Calibri"/>
        <family val="2"/>
      </rPr>
      <t>150 dias</t>
    </r>
    <r>
      <rPr>
        <sz val="12"/>
        <color indexed="8"/>
        <rFont val="Calibri"/>
        <family val="2"/>
      </rPr>
      <t xml:space="preserve"> dividido en 4 partes</t>
    </r>
  </si>
  <si>
    <t> Alicuotas VACACIONES </t>
  </si>
  <si>
    <t>Alicuotas AGUINALDOS </t>
  </si>
  <si>
    <t>dias</t>
  </si>
  <si>
    <t>MES INGRESO</t>
  </si>
  <si>
    <t>MESES TRABAJADOS</t>
  </si>
  <si>
    <t>VACACIONES FRACCIONADOS</t>
  </si>
  <si>
    <t>AGUINALDOS FRACCIONADOS</t>
  </si>
  <si>
    <t>FORMULA DIAS VACACIONES FRACCIONADOS </t>
  </si>
  <si>
    <t>FORMULA DIAS AGUINALDOS  FRACCIONADOS </t>
  </si>
  <si>
    <t>180/12*MESES TRABAJADO</t>
  </si>
  <si>
    <t>150/12*MESES TRABAJADO</t>
  </si>
  <si>
    <t>alicuotas ejemplo poa</t>
  </si>
  <si>
    <t>((T12/30)*(120/12))</t>
  </si>
  <si>
    <t>VAC</t>
  </si>
  <si>
    <t>AGU</t>
  </si>
  <si>
    <t>(((SN))/30*180/12+(SN))/30*120</t>
  </si>
  <si>
    <t>ELABORADO POR:</t>
  </si>
  <si>
    <t>Lcda. Valera Norelis</t>
  </si>
  <si>
    <t xml:space="preserve"> C.I. N° 15.216.786</t>
  </si>
  <si>
    <t>Administrador I</t>
  </si>
  <si>
    <t>REVISADO POR:</t>
  </si>
  <si>
    <t xml:space="preserve">  Econ. Marianela González Pabón </t>
  </si>
  <si>
    <t xml:space="preserve">   C.I. N° 12.798.736</t>
  </si>
  <si>
    <t>Directora Administrativa (E )</t>
  </si>
  <si>
    <t>APROBADO POR:</t>
  </si>
  <si>
    <t>Presidente (E )</t>
  </si>
  <si>
    <t>GONZALEZ PABON MARIANELA</t>
  </si>
  <si>
    <t>P2</t>
  </si>
  <si>
    <t>P2V</t>
  </si>
  <si>
    <t>P2III</t>
  </si>
  <si>
    <t>P3V</t>
  </si>
  <si>
    <t>ESPECIFICACION DEL CARGO</t>
  </si>
  <si>
    <t>1ERA QUINC</t>
  </si>
  <si>
    <t>2DA QUINC</t>
  </si>
  <si>
    <t>DIRECTOR ADMINISTRATIVO</t>
  </si>
  <si>
    <t>COORDINADOR DPTO PRODUCCIÓN</t>
  </si>
  <si>
    <t>P2   (3-5 AÑOS)</t>
  </si>
  <si>
    <t>Almazán Barragán María de los Angeles</t>
  </si>
  <si>
    <t>(1 MES DE AGUINALDOS)</t>
  </si>
  <si>
    <t>PERS</t>
  </si>
  <si>
    <t>Mayor. María Almazán B.</t>
  </si>
  <si>
    <t>C.I. N° 19.591.141</t>
  </si>
  <si>
    <t>DOS DIAS POR AÑO DE SERVICIO</t>
  </si>
  <si>
    <t>BONO DE FIN DE AÑO</t>
  </si>
  <si>
    <t>ALICUOTA BONO VAC</t>
  </si>
  <si>
    <t>ALICUOTA BONO FIN DE AÑO</t>
  </si>
  <si>
    <t>HORAS EXTRAS</t>
  </si>
  <si>
    <t>SUELDO INTEGRAL</t>
  </si>
  <si>
    <t>SS0</t>
  </si>
  <si>
    <t>PARO             FORZOSO</t>
  </si>
  <si>
    <t>FAOV</t>
  </si>
  <si>
    <t>PRESTACIONES POR ANTIGÜEDAD</t>
  </si>
  <si>
    <t>FONDO DE JUBILACION</t>
  </si>
  <si>
    <t>BONO JUGUETES</t>
  </si>
  <si>
    <t>BONO DIA DE LA MADRE</t>
  </si>
  <si>
    <t>BONO DIA DEL PADRE</t>
  </si>
  <si>
    <t>BONO DIA DEL NIÑO</t>
  </si>
  <si>
    <t>BONO DIA EMPLEADO PUBLICO</t>
  </si>
  <si>
    <t>BONO SIN INCIDENCIA SALARIAL</t>
  </si>
  <si>
    <t>UTILES</t>
  </si>
  <si>
    <t>TOTAL ANUAL</t>
  </si>
  <si>
    <t>HORA HOMBRE</t>
  </si>
  <si>
    <t>COSTO MENSUAL</t>
  </si>
  <si>
    <t>TOTAL</t>
  </si>
  <si>
    <t>VERIFICACION</t>
  </si>
  <si>
    <t>ALMAZAN BARRAGAN MARIA DE LOS ANGELES</t>
  </si>
  <si>
    <t>VIELMA JENIFER</t>
  </si>
  <si>
    <t>HCM</t>
  </si>
  <si>
    <t>(TEXTILES TRUJILLO)</t>
  </si>
  <si>
    <t>ficha</t>
  </si>
  <si>
    <t>cedula</t>
  </si>
  <si>
    <t>nombre</t>
  </si>
  <si>
    <t>cargo</t>
  </si>
  <si>
    <t>des_cargo</t>
  </si>
  <si>
    <t>des_depen</t>
  </si>
  <si>
    <t>depen</t>
  </si>
  <si>
    <t>f_ing</t>
  </si>
  <si>
    <t>sueldo</t>
  </si>
  <si>
    <t>sector</t>
  </si>
  <si>
    <t>m_presu</t>
  </si>
  <si>
    <t>m_codban</t>
  </si>
  <si>
    <t>cuenta</t>
  </si>
  <si>
    <t>grapaso</t>
  </si>
  <si>
    <t>anos_reco</t>
  </si>
  <si>
    <t>tipers</t>
  </si>
  <si>
    <t>c0003antiguedad</t>
  </si>
  <si>
    <t>c0004transte</t>
  </si>
  <si>
    <t>c0010hijos</t>
  </si>
  <si>
    <t>c0028profesional20</t>
  </si>
  <si>
    <t>c0300becaestudiotrabajador</t>
  </si>
  <si>
    <t>c0312profesional25</t>
  </si>
  <si>
    <t>300926</t>
  </si>
  <si>
    <t>JAIMES BENCOMO, EMILIO ANTONIO</t>
  </si>
  <si>
    <t>RRHH (TEXTILES TRUJILLO)</t>
  </si>
  <si>
    <t>00-351</t>
  </si>
  <si>
    <t>01090051</t>
  </si>
  <si>
    <t>01020373210000217615</t>
  </si>
  <si>
    <t>B1-1</t>
  </si>
  <si>
    <t>GOBERNACION</t>
  </si>
  <si>
    <t xml:space="preserve">Valera Vargas Norelis </t>
  </si>
  <si>
    <t>Vielma Jenifer</t>
  </si>
  <si>
    <t>01020369440000056960</t>
  </si>
  <si>
    <t>1 ERA QUINC</t>
  </si>
  <si>
    <t>2 DA QUINC</t>
  </si>
  <si>
    <t>CANT. OPERACIONES</t>
  </si>
  <si>
    <t>EGRESO</t>
  </si>
  <si>
    <t>|</t>
  </si>
  <si>
    <t>P2IV   (15-17 AÑOS)</t>
  </si>
  <si>
    <t>B2   (3-5 AÑOS)</t>
  </si>
  <si>
    <t>SE CORRIGE EL GRADO POR LA ANTIGÜEDAD</t>
  </si>
  <si>
    <t>NO BORRAAR</t>
  </si>
  <si>
    <t>Quinc+dia  becas</t>
  </si>
  <si>
    <t>BONO DIA DEL EMPLEADO PUBLICO</t>
  </si>
  <si>
    <t>VINCULACION ME</t>
  </si>
  <si>
    <t>CALCULO DE AGUINALDOS</t>
  </si>
  <si>
    <t>CALCULO TOTAL DE AGUINALDOS</t>
  </si>
  <si>
    <t>1ERA QUINCENA</t>
  </si>
  <si>
    <t>BONO DE NAVIDAD</t>
  </si>
  <si>
    <t>TOTAL AGUINALDOS+BONO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</si>
</sst>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_-* #,##0.00\ _€_-;\-* #,##0.00\ _€_-;_-* &quot;-&quot;??\ _€_-;_-@_-"/>
    <numFmt numFmtId="165" formatCode="00"/>
    <numFmt numFmtId="166" formatCode="#,##0.00_ ;\-#,##0.00\ "/>
    <numFmt numFmtId="167" formatCode="dd/mm/yyyy;@"/>
    <numFmt numFmtId="168" formatCode="#,##0_ ;\-#,##0\ "/>
    <numFmt numFmtId="169" formatCode="_-* #,##0\ _€_-;\-* #,##0\ _€_-;_-* &quot;-&quot;??\ _€_-;_-@_-"/>
    <numFmt numFmtId="170" formatCode="#,##0.0"/>
  </numFmts>
  <fonts count="12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indexed="8"/>
      <name val="Calibri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2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color theme="0" tint="-0.14999847407452621"/>
      <name val="arial"/>
      <family val="2"/>
    </font>
    <font>
      <sz val="9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2"/>
      <color rgb="FFFF0000"/>
      <name val="Arial"/>
      <family val="2"/>
    </font>
    <font>
      <sz val="10"/>
      <color theme="0" tint="-0.1499984740745262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0" tint="-0.34998626667073579"/>
      <name val="Arial"/>
      <family val="2"/>
    </font>
    <font>
      <b/>
      <sz val="15"/>
      <name val="Arial"/>
      <family val="2"/>
    </font>
    <font>
      <sz val="9"/>
      <color theme="0"/>
      <name val="arial"/>
      <family val="2"/>
    </font>
    <font>
      <sz val="7"/>
      <color theme="0"/>
      <name val="arial"/>
      <family val="2"/>
    </font>
    <font>
      <b/>
      <sz val="8"/>
      <name val="Verdana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Calibri"/>
      <family val="2"/>
      <charset val="1"/>
    </font>
    <font>
      <b/>
      <u/>
      <sz val="11"/>
      <color theme="1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indexed="81"/>
      <name val="Tahoma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indexed="81"/>
      <name val="Tahoma"/>
      <family val="2"/>
    </font>
    <font>
      <u/>
      <sz val="16"/>
      <color indexed="81"/>
      <name val="Tahoma"/>
      <family val="2"/>
    </font>
    <font>
      <sz val="16"/>
      <color indexed="81"/>
      <name val="Tahoma"/>
      <family val="2"/>
    </font>
    <font>
      <b/>
      <u/>
      <sz val="16"/>
      <color indexed="81"/>
      <name val="Tahoma"/>
      <family val="2"/>
    </font>
    <font>
      <b/>
      <sz val="18"/>
      <color indexed="81"/>
      <name val="Tahoma"/>
      <family val="2"/>
    </font>
    <font>
      <sz val="18"/>
      <color theme="1"/>
      <name val="arial"/>
      <family val="2"/>
    </font>
    <font>
      <sz val="16"/>
      <color theme="0" tint="-0.249977111117893"/>
      <name val="Arial"/>
      <family val="2"/>
    </font>
    <font>
      <b/>
      <sz val="12"/>
      <color indexed="81"/>
      <name val="Tahoma"/>
      <family val="2"/>
    </font>
    <font>
      <sz val="48"/>
      <color theme="1"/>
      <name val="Arial"/>
      <family val="2"/>
    </font>
    <font>
      <b/>
      <sz val="48"/>
      <name val="Tahoma"/>
      <family val="2"/>
    </font>
    <font>
      <sz val="16"/>
      <color theme="0"/>
      <name val="Arial"/>
      <family val="2"/>
    </font>
    <font>
      <b/>
      <sz val="22"/>
      <color theme="1"/>
      <name val="Arial"/>
      <family val="2"/>
    </font>
    <font>
      <sz val="22"/>
      <color theme="0" tint="-0.249977111117893"/>
      <name val="Arial"/>
      <family val="2"/>
    </font>
    <font>
      <b/>
      <sz val="24"/>
      <color theme="1"/>
      <name val="Arial"/>
      <family val="2"/>
    </font>
    <font>
      <sz val="22"/>
      <name val="Arial"/>
      <family val="2"/>
    </font>
    <font>
      <b/>
      <sz val="22"/>
      <name val="Arial"/>
      <family val="2"/>
    </font>
    <font>
      <b/>
      <sz val="22"/>
      <color rgb="FFFF0000"/>
      <name val="Arial"/>
      <family val="2"/>
    </font>
    <font>
      <b/>
      <sz val="26"/>
      <color theme="1"/>
      <name val="Arial"/>
      <family val="2"/>
    </font>
    <font>
      <b/>
      <sz val="26"/>
      <name val="Arial"/>
      <family val="2"/>
    </font>
    <font>
      <sz val="26"/>
      <color theme="1"/>
      <name val="Arial"/>
      <family val="2"/>
    </font>
    <font>
      <b/>
      <sz val="30"/>
      <color theme="1"/>
      <name val="Arial"/>
      <family val="2"/>
    </font>
    <font>
      <b/>
      <sz val="30"/>
      <name val="Arial"/>
      <family val="2"/>
    </font>
    <font>
      <sz val="30"/>
      <color theme="1"/>
      <name val="Arial"/>
      <family val="2"/>
    </font>
    <font>
      <sz val="30"/>
      <color rgb="FFFF0000"/>
      <name val="Arial"/>
      <family val="2"/>
    </font>
    <font>
      <b/>
      <sz val="30"/>
      <color rgb="FFFF0000"/>
      <name val="Arial"/>
      <family val="2"/>
    </font>
    <font>
      <b/>
      <sz val="22"/>
      <color theme="0"/>
      <name val="Arial"/>
      <family val="2"/>
    </font>
    <font>
      <b/>
      <sz val="22"/>
      <color theme="9" tint="0.79998168889431442"/>
      <name val="Arial"/>
      <family val="2"/>
    </font>
    <font>
      <sz val="22"/>
      <color theme="0" tint="-0.14999847407452621"/>
      <name val="Arial"/>
      <family val="2"/>
    </font>
    <font>
      <b/>
      <sz val="18"/>
      <color theme="1"/>
      <name val="Arial"/>
      <family val="2"/>
    </font>
    <font>
      <sz val="16"/>
      <name val="Calibri"/>
      <family val="2"/>
      <scheme val="minor"/>
    </font>
    <font>
      <b/>
      <sz val="20"/>
      <color theme="1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24"/>
      <color theme="1"/>
      <name val="Arial"/>
      <family val="2"/>
    </font>
    <font>
      <b/>
      <sz val="48"/>
      <color theme="1"/>
      <name val="Arial"/>
      <family val="2"/>
    </font>
    <font>
      <b/>
      <sz val="19"/>
      <color indexed="81"/>
      <name val="Tahoma"/>
      <family val="2"/>
    </font>
    <font>
      <sz val="36"/>
      <color theme="1"/>
      <name val="Arial"/>
      <family val="2"/>
    </font>
    <font>
      <sz val="20"/>
      <name val="Arial"/>
      <family val="2"/>
    </font>
    <font>
      <sz val="20"/>
      <color rgb="FFFF0000"/>
      <name val="Arial"/>
      <family val="2"/>
    </font>
    <font>
      <sz val="20"/>
      <color theme="1"/>
      <name val="Arial"/>
      <family val="2"/>
    </font>
    <font>
      <b/>
      <sz val="60"/>
      <color theme="1"/>
      <name val="Arial"/>
      <family val="2"/>
    </font>
    <font>
      <b/>
      <sz val="72"/>
      <name val="Arial"/>
      <family val="2"/>
    </font>
    <font>
      <b/>
      <sz val="25"/>
      <color theme="1"/>
      <name val="Arial"/>
      <family val="2"/>
    </font>
    <font>
      <b/>
      <sz val="26"/>
      <color rgb="FFFF0000"/>
      <name val="Arial"/>
      <family val="2"/>
    </font>
    <font>
      <b/>
      <sz val="40"/>
      <color theme="1"/>
      <name val="Arial"/>
      <family val="2"/>
    </font>
    <font>
      <b/>
      <sz val="50"/>
      <color theme="1"/>
      <name val="Arial"/>
      <family val="2"/>
    </font>
    <font>
      <b/>
      <sz val="28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00"/>
        <bgColor rgb="FF9999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CCCFF"/>
      </patternFill>
    </fill>
    <fill>
      <patternFill patternType="solid">
        <fgColor rgb="FFFFFF00"/>
        <bgColor rgb="FFCCCCFF"/>
      </patternFill>
    </fill>
    <fill>
      <patternFill patternType="solid">
        <fgColor theme="5" tint="0.39997558519241921"/>
        <bgColor rgb="FF9999FF"/>
      </patternFill>
    </fill>
    <fill>
      <patternFill patternType="solid">
        <fgColor theme="4" tint="0.59999389629810485"/>
        <bgColor rgb="FFCCCCFF"/>
      </patternFill>
    </fill>
    <fill>
      <patternFill patternType="solid">
        <fgColor rgb="FFE6B9B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0" fontId="10" fillId="0" borderId="0"/>
    <xf numFmtId="0" fontId="8" fillId="0" borderId="0"/>
    <xf numFmtId="0" fontId="7" fillId="0" borderId="0"/>
    <xf numFmtId="0" fontId="8" fillId="0" borderId="0" applyFont="0" applyFill="0" applyBorder="0" applyAlignment="0" applyProtection="0"/>
    <xf numFmtId="0" fontId="49" fillId="0" borderId="0"/>
    <xf numFmtId="43" fontId="7" fillId="0" borderId="0" applyFont="0" applyFill="0" applyBorder="0" applyAlignment="0" applyProtection="0"/>
    <xf numFmtId="0" fontId="8" fillId="0" borderId="0"/>
    <xf numFmtId="0" fontId="111" fillId="0" borderId="0"/>
  </cellStyleXfs>
  <cellXfs count="1070">
    <xf numFmtId="0" fontId="0" fillId="0" borderId="0" xfId="0"/>
    <xf numFmtId="0" fontId="11" fillId="4" borderId="0" xfId="0" applyFont="1" applyFill="1"/>
    <xf numFmtId="4" fontId="11" fillId="4" borderId="0" xfId="0" applyNumberFormat="1" applyFont="1" applyFill="1"/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1" fillId="4" borderId="18" xfId="0" applyFont="1" applyFill="1" applyBorder="1" applyAlignment="1">
      <alignment horizontal="left" vertical="center"/>
    </xf>
    <xf numFmtId="49" fontId="11" fillId="4" borderId="1" xfId="0" applyNumberFormat="1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49" fontId="11" fillId="4" borderId="9" xfId="0" applyNumberFormat="1" applyFont="1" applyFill="1" applyBorder="1" applyAlignment="1">
      <alignment horizontal="left" vertical="center"/>
    </xf>
    <xf numFmtId="0" fontId="11" fillId="4" borderId="1" xfId="0" applyNumberFormat="1" applyFont="1" applyFill="1" applyBorder="1" applyAlignment="1">
      <alignment horizontal="left" vertical="center"/>
    </xf>
    <xf numFmtId="49" fontId="11" fillId="4" borderId="9" xfId="0" quotePrefix="1" applyNumberFormat="1" applyFont="1" applyFill="1" applyBorder="1" applyAlignment="1">
      <alignment horizontal="left" vertical="center"/>
    </xf>
    <xf numFmtId="49" fontId="11" fillId="4" borderId="1" xfId="0" quotePrefix="1" applyNumberFormat="1" applyFont="1" applyFill="1" applyBorder="1" applyAlignment="1">
      <alignment horizontal="left" vertical="center"/>
    </xf>
    <xf numFmtId="1" fontId="11" fillId="4" borderId="18" xfId="0" applyNumberFormat="1" applyFont="1" applyFill="1" applyBorder="1" applyAlignment="1">
      <alignment horizontal="left" vertical="center"/>
    </xf>
    <xf numFmtId="1" fontId="11" fillId="4" borderId="1" xfId="0" applyNumberFormat="1" applyFont="1" applyFill="1" applyBorder="1" applyAlignment="1">
      <alignment horizontal="left" vertical="center"/>
    </xf>
    <xf numFmtId="49" fontId="11" fillId="4" borderId="0" xfId="0" applyNumberFormat="1" applyFont="1" applyFill="1" applyAlignment="1">
      <alignment horizontal="left" vertical="center"/>
    </xf>
    <xf numFmtId="0" fontId="16" fillId="2" borderId="6" xfId="0" applyFont="1" applyFill="1" applyBorder="1" applyAlignment="1">
      <alignment horizontal="center" vertical="center"/>
    </xf>
    <xf numFmtId="49" fontId="16" fillId="2" borderId="7" xfId="0" applyNumberFormat="1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49" fontId="16" fillId="2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/>
    <xf numFmtId="0" fontId="6" fillId="4" borderId="0" xfId="0" applyNumberFormat="1" applyFont="1" applyFill="1" applyAlignment="1">
      <alignment horizontal="center"/>
    </xf>
    <xf numFmtId="0" fontId="6" fillId="4" borderId="0" xfId="1" applyNumberFormat="1" applyFont="1" applyFill="1" applyBorder="1" applyAlignment="1">
      <alignment horizontal="center"/>
    </xf>
    <xf numFmtId="4" fontId="6" fillId="4" borderId="0" xfId="0" applyNumberFormat="1" applyFont="1" applyFill="1"/>
    <xf numFmtId="0" fontId="15" fillId="4" borderId="0" xfId="0" applyFont="1" applyFill="1" applyAlignment="1">
      <alignment vertical="center"/>
    </xf>
    <xf numFmtId="4" fontId="15" fillId="4" borderId="0" xfId="0" applyNumberFormat="1" applyFont="1" applyFill="1" applyAlignment="1">
      <alignment vertical="center"/>
    </xf>
    <xf numFmtId="0" fontId="18" fillId="4" borderId="0" xfId="0" applyFont="1" applyFill="1" applyAlignment="1">
      <alignment vertical="center"/>
    </xf>
    <xf numFmtId="14" fontId="15" fillId="2" borderId="8" xfId="0" applyNumberFormat="1" applyFont="1" applyFill="1" applyBorder="1" applyAlignment="1">
      <alignment horizontal="center" vertical="center" wrapText="1"/>
    </xf>
    <xf numFmtId="14" fontId="11" fillId="4" borderId="0" xfId="0" applyNumberFormat="1" applyFont="1" applyFill="1"/>
    <xf numFmtId="0" fontId="11" fillId="4" borderId="0" xfId="0" applyFont="1" applyFill="1" applyAlignment="1">
      <alignment horizontal="center"/>
    </xf>
    <xf numFmtId="0" fontId="18" fillId="4" borderId="0" xfId="0" applyFont="1" applyFill="1" applyAlignment="1">
      <alignment horizontal="left" vertical="center"/>
    </xf>
    <xf numFmtId="0" fontId="12" fillId="4" borderId="16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12" fillId="4" borderId="12" xfId="0" applyNumberFormat="1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18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12" fillId="4" borderId="18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9" fontId="6" fillId="4" borderId="19" xfId="0" applyNumberFormat="1" applyFont="1" applyFill="1" applyBorder="1" applyAlignment="1">
      <alignment horizontal="left" vertical="center"/>
    </xf>
    <xf numFmtId="0" fontId="6" fillId="4" borderId="19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10" fontId="6" fillId="4" borderId="1" xfId="0" applyNumberFormat="1" applyFont="1" applyFill="1" applyBorder="1" applyAlignment="1">
      <alignment horizontal="left" vertical="center"/>
    </xf>
    <xf numFmtId="10" fontId="12" fillId="4" borderId="1" xfId="0" applyNumberFormat="1" applyFont="1" applyFill="1" applyBorder="1" applyAlignment="1">
      <alignment horizontal="left" vertical="center"/>
    </xf>
    <xf numFmtId="0" fontId="12" fillId="4" borderId="12" xfId="0" applyFont="1" applyFill="1" applyBorder="1" applyAlignment="1">
      <alignment horizontal="left" vertical="center" wrapText="1"/>
    </xf>
    <xf numFmtId="0" fontId="12" fillId="4" borderId="12" xfId="0" applyFont="1" applyFill="1" applyBorder="1" applyAlignment="1">
      <alignment horizontal="left" vertical="center"/>
    </xf>
    <xf numFmtId="10" fontId="6" fillId="4" borderId="12" xfId="0" applyNumberFormat="1" applyFont="1" applyFill="1" applyBorder="1" applyAlignment="1">
      <alignment horizontal="left" vertical="center"/>
    </xf>
    <xf numFmtId="0" fontId="17" fillId="6" borderId="8" xfId="0" applyFont="1" applyFill="1" applyBorder="1" applyAlignment="1">
      <alignment horizontal="center" vertical="center" wrapText="1"/>
    </xf>
    <xf numFmtId="0" fontId="17" fillId="6" borderId="23" xfId="0" applyFont="1" applyFill="1" applyBorder="1" applyAlignment="1">
      <alignment horizontal="center" vertical="center"/>
    </xf>
    <xf numFmtId="0" fontId="17" fillId="6" borderId="25" xfId="0" applyFont="1" applyFill="1" applyBorder="1" applyAlignment="1">
      <alignment horizontal="center" vertical="center"/>
    </xf>
    <xf numFmtId="0" fontId="17" fillId="6" borderId="25" xfId="0" applyFont="1" applyFill="1" applyBorder="1" applyAlignment="1">
      <alignment horizontal="center" vertical="center" wrapText="1"/>
    </xf>
    <xf numFmtId="0" fontId="15" fillId="2" borderId="6" xfId="0" applyNumberFormat="1" applyFont="1" applyFill="1" applyBorder="1" applyAlignment="1">
      <alignment horizontal="center" vertical="center"/>
    </xf>
    <xf numFmtId="0" fontId="6" fillId="4" borderId="0" xfId="0" applyNumberFormat="1" applyFont="1" applyFill="1"/>
    <xf numFmtId="165" fontId="6" fillId="4" borderId="16" xfId="0" applyNumberFormat="1" applyFont="1" applyFill="1" applyBorder="1" applyAlignment="1">
      <alignment horizontal="center" vertical="center"/>
    </xf>
    <xf numFmtId="165" fontId="6" fillId="4" borderId="23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12" fillId="4" borderId="21" xfId="0" applyNumberFormat="1" applyFont="1" applyFill="1" applyBorder="1" applyAlignment="1">
      <alignment horizontal="left" vertical="center"/>
    </xf>
    <xf numFmtId="0" fontId="12" fillId="4" borderId="25" xfId="0" applyNumberFormat="1" applyFont="1" applyFill="1" applyBorder="1" applyAlignment="1">
      <alignment horizontal="left" vertical="center"/>
    </xf>
    <xf numFmtId="0" fontId="12" fillId="4" borderId="24" xfId="0" applyNumberFormat="1" applyFont="1" applyFill="1" applyBorder="1" applyAlignment="1">
      <alignment horizontal="left" vertical="center"/>
    </xf>
    <xf numFmtId="0" fontId="13" fillId="6" borderId="25" xfId="0" applyFont="1" applyFill="1" applyBorder="1" applyAlignment="1">
      <alignment horizontal="left" vertical="center"/>
    </xf>
    <xf numFmtId="0" fontId="13" fillId="6" borderId="25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 wrapText="1"/>
    </xf>
    <xf numFmtId="49" fontId="6" fillId="4" borderId="9" xfId="0" applyNumberFormat="1" applyFont="1" applyFill="1" applyBorder="1" applyAlignment="1">
      <alignment horizontal="left" vertical="center"/>
    </xf>
    <xf numFmtId="0" fontId="21" fillId="4" borderId="0" xfId="5" applyFont="1" applyFill="1" applyAlignment="1">
      <alignment horizontal="center" vertical="center"/>
    </xf>
    <xf numFmtId="0" fontId="21" fillId="4" borderId="0" xfId="5" applyFont="1" applyFill="1" applyAlignment="1">
      <alignment horizontal="center" vertical="center" wrapText="1"/>
    </xf>
    <xf numFmtId="164" fontId="21" fillId="4" borderId="0" xfId="1" applyFont="1" applyFill="1" applyAlignment="1">
      <alignment horizontal="center" vertical="center"/>
    </xf>
    <xf numFmtId="4" fontId="11" fillId="4" borderId="0" xfId="0" applyNumberFormat="1" applyFont="1" applyFill="1" applyAlignment="1">
      <alignment horizontal="center" vertical="center"/>
    </xf>
    <xf numFmtId="0" fontId="4" fillId="4" borderId="18" xfId="0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4" fillId="4" borderId="9" xfId="0" applyNumberFormat="1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49" fontId="3" fillId="4" borderId="9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left" vertical="center"/>
    </xf>
    <xf numFmtId="0" fontId="6" fillId="4" borderId="0" xfId="0" applyFont="1" applyFill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6" fillId="4" borderId="32" xfId="0" applyFont="1" applyFill="1" applyBorder="1" applyAlignment="1">
      <alignment horizontal="left" vertical="center"/>
    </xf>
    <xf numFmtId="0" fontId="1" fillId="4" borderId="33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20" fillId="8" borderId="30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22" fillId="4" borderId="16" xfId="0" applyFont="1" applyFill="1" applyBorder="1" applyAlignment="1">
      <alignment horizontal="left" vertical="center"/>
    </xf>
    <xf numFmtId="0" fontId="27" fillId="4" borderId="21" xfId="5" applyFont="1" applyFill="1" applyBorder="1" applyAlignment="1">
      <alignment horizontal="center" vertical="center"/>
    </xf>
    <xf numFmtId="0" fontId="27" fillId="4" borderId="9" xfId="5" applyFont="1" applyFill="1" applyBorder="1" applyAlignment="1">
      <alignment horizontal="center" vertical="center" wrapText="1"/>
    </xf>
    <xf numFmtId="0" fontId="27" fillId="4" borderId="9" xfId="5" applyFont="1" applyFill="1" applyBorder="1" applyAlignment="1">
      <alignment horizontal="center" vertical="center"/>
    </xf>
    <xf numFmtId="4" fontId="27" fillId="4" borderId="9" xfId="5" applyNumberFormat="1" applyFont="1" applyFill="1" applyBorder="1" applyAlignment="1">
      <alignment horizontal="center" vertical="center"/>
    </xf>
    <xf numFmtId="4" fontId="27" fillId="4" borderId="0" xfId="5" applyNumberFormat="1" applyFont="1" applyFill="1" applyAlignment="1">
      <alignment horizontal="center" vertical="center"/>
    </xf>
    <xf numFmtId="0" fontId="22" fillId="4" borderId="18" xfId="0" applyFont="1" applyFill="1" applyBorder="1" applyAlignment="1">
      <alignment horizontal="left" vertical="center"/>
    </xf>
    <xf numFmtId="49" fontId="22" fillId="4" borderId="18" xfId="0" applyNumberFormat="1" applyFont="1" applyFill="1" applyBorder="1" applyAlignment="1">
      <alignment horizontal="left" vertical="center"/>
    </xf>
    <xf numFmtId="0" fontId="21" fillId="4" borderId="18" xfId="0" applyFont="1" applyFill="1" applyBorder="1" applyAlignment="1">
      <alignment horizontal="left" vertical="center"/>
    </xf>
    <xf numFmtId="0" fontId="21" fillId="4" borderId="18" xfId="5" applyFont="1" applyFill="1" applyBorder="1" applyAlignment="1">
      <alignment horizontal="left" vertical="center"/>
    </xf>
    <xf numFmtId="0" fontId="21" fillId="4" borderId="15" xfId="5" applyFont="1" applyFill="1" applyBorder="1" applyAlignment="1">
      <alignment horizontal="left" vertical="center"/>
    </xf>
    <xf numFmtId="0" fontId="21" fillId="4" borderId="0" xfId="5" applyFont="1" applyFill="1" applyAlignment="1">
      <alignment horizontal="left" vertical="center"/>
    </xf>
    <xf numFmtId="4" fontId="25" fillId="6" borderId="8" xfId="5" applyNumberFormat="1" applyFont="1" applyFill="1" applyBorder="1" applyAlignment="1">
      <alignment horizontal="center" vertical="center" wrapText="1"/>
    </xf>
    <xf numFmtId="4" fontId="27" fillId="4" borderId="9" xfId="5" applyNumberFormat="1" applyFont="1" applyFill="1" applyBorder="1" applyAlignment="1">
      <alignment horizontal="left" vertical="center"/>
    </xf>
    <xf numFmtId="4" fontId="27" fillId="4" borderId="20" xfId="5" applyNumberFormat="1" applyFont="1" applyFill="1" applyBorder="1" applyAlignment="1">
      <alignment horizontal="left" vertical="center"/>
    </xf>
    <xf numFmtId="2" fontId="15" fillId="6" borderId="7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164" fontId="21" fillId="4" borderId="0" xfId="5" applyNumberFormat="1" applyFont="1" applyFill="1" applyAlignment="1">
      <alignment horizontal="center" vertical="center"/>
    </xf>
    <xf numFmtId="43" fontId="21" fillId="4" borderId="0" xfId="5" applyNumberFormat="1" applyFont="1" applyFill="1" applyAlignment="1">
      <alignment horizontal="center" vertical="center"/>
    </xf>
    <xf numFmtId="10" fontId="1" fillId="2" borderId="12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2" fontId="12" fillId="4" borderId="1" xfId="0" applyNumberFormat="1" applyFont="1" applyFill="1" applyBorder="1" applyAlignment="1">
      <alignment horizontal="left" vertical="center"/>
    </xf>
    <xf numFmtId="2" fontId="17" fillId="6" borderId="25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left" vertical="center"/>
    </xf>
    <xf numFmtId="2" fontId="6" fillId="4" borderId="1" xfId="0" applyNumberFormat="1" applyFont="1" applyFill="1" applyBorder="1" applyAlignment="1">
      <alignment horizontal="left" vertical="center"/>
    </xf>
    <xf numFmtId="2" fontId="1" fillId="4" borderId="1" xfId="0" applyNumberFormat="1" applyFont="1" applyFill="1" applyBorder="1" applyAlignment="1">
      <alignment horizontal="left" vertical="center"/>
    </xf>
    <xf numFmtId="2" fontId="6" fillId="4" borderId="19" xfId="0" applyNumberFormat="1" applyFont="1" applyFill="1" applyBorder="1" applyAlignment="1">
      <alignment horizontal="left" vertical="center"/>
    </xf>
    <xf numFmtId="2" fontId="6" fillId="4" borderId="0" xfId="0" applyNumberFormat="1" applyFont="1" applyFill="1" applyAlignment="1">
      <alignment horizontal="left" vertical="center"/>
    </xf>
    <xf numFmtId="2" fontId="9" fillId="6" borderId="28" xfId="0" applyNumberFormat="1" applyFont="1" applyFill="1" applyBorder="1" applyAlignment="1">
      <alignment horizontal="center" vertical="center"/>
    </xf>
    <xf numFmtId="166" fontId="24" fillId="9" borderId="1" xfId="1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left" vertical="center"/>
    </xf>
    <xf numFmtId="1" fontId="1" fillId="4" borderId="14" xfId="0" applyNumberFormat="1" applyFont="1" applyFill="1" applyBorder="1" applyAlignment="1">
      <alignment horizontal="center" vertical="center"/>
    </xf>
    <xf numFmtId="2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6" fillId="4" borderId="25" xfId="0" applyFont="1" applyFill="1" applyBorder="1" applyAlignment="1">
      <alignment horizontal="left" vertical="center"/>
    </xf>
    <xf numFmtId="10" fontId="9" fillId="4" borderId="12" xfId="0" applyNumberFormat="1" applyFont="1" applyFill="1" applyBorder="1" applyAlignment="1">
      <alignment horizontal="left" vertical="center"/>
    </xf>
    <xf numFmtId="0" fontId="9" fillId="4" borderId="12" xfId="0" applyFont="1" applyFill="1" applyBorder="1" applyAlignment="1">
      <alignment horizontal="left" vertical="center"/>
    </xf>
    <xf numFmtId="0" fontId="32" fillId="4" borderId="0" xfId="0" applyFont="1" applyFill="1" applyAlignment="1">
      <alignment horizontal="left" vertical="center"/>
    </xf>
    <xf numFmtId="0" fontId="28" fillId="4" borderId="0" xfId="0" applyFont="1" applyFill="1" applyAlignment="1">
      <alignment horizontal="left" vertical="center"/>
    </xf>
    <xf numFmtId="2" fontId="1" fillId="10" borderId="1" xfId="0" applyNumberFormat="1" applyFont="1" applyFill="1" applyBorder="1" applyAlignment="1">
      <alignment horizontal="left" vertical="center"/>
    </xf>
    <xf numFmtId="0" fontId="2" fillId="10" borderId="1" xfId="0" applyNumberFormat="1" applyFont="1" applyFill="1" applyBorder="1" applyAlignment="1">
      <alignment horizontal="left" vertical="center"/>
    </xf>
    <xf numFmtId="164" fontId="1" fillId="4" borderId="9" xfId="1" applyFont="1" applyFill="1" applyBorder="1"/>
    <xf numFmtId="164" fontId="1" fillId="4" borderId="20" xfId="1" applyFont="1" applyFill="1" applyBorder="1"/>
    <xf numFmtId="0" fontId="11" fillId="4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1" fillId="4" borderId="0" xfId="0" applyFont="1" applyFill="1" applyProtection="1">
      <protection locked="0"/>
    </xf>
    <xf numFmtId="14" fontId="11" fillId="4" borderId="0" xfId="0" applyNumberFormat="1" applyFont="1" applyFill="1" applyProtection="1">
      <protection locked="0"/>
    </xf>
    <xf numFmtId="0" fontId="1" fillId="4" borderId="0" xfId="0" applyFont="1" applyFill="1" applyAlignment="1" applyProtection="1">
      <alignment horizontal="center"/>
      <protection locked="0"/>
    </xf>
    <xf numFmtId="4" fontId="11" fillId="4" borderId="0" xfId="0" applyNumberFormat="1" applyFont="1" applyFill="1" applyAlignment="1" applyProtection="1">
      <alignment horizontal="center" vertical="center"/>
      <protection locked="0"/>
    </xf>
    <xf numFmtId="2" fontId="11" fillId="4" borderId="0" xfId="0" applyNumberFormat="1" applyFont="1" applyFill="1" applyAlignment="1" applyProtection="1">
      <alignment horizontal="center" vertical="center"/>
      <protection locked="0"/>
    </xf>
    <xf numFmtId="4" fontId="11" fillId="4" borderId="0" xfId="0" applyNumberFormat="1" applyFont="1" applyFill="1" applyProtection="1"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horizontal="center" vertical="center"/>
      <protection locked="0"/>
    </xf>
    <xf numFmtId="4" fontId="9" fillId="3" borderId="7" xfId="0" applyNumberFormat="1" applyFont="1" applyFill="1" applyBorder="1" applyAlignment="1" applyProtection="1">
      <alignment horizontal="center" vertical="center" wrapText="1"/>
      <protection locked="0"/>
    </xf>
    <xf numFmtId="4" fontId="9" fillId="3" borderId="27" xfId="0" applyNumberFormat="1" applyFont="1" applyFill="1" applyBorder="1" applyAlignment="1" applyProtection="1">
      <alignment horizontal="center" vertical="center" wrapText="1"/>
      <protection locked="0"/>
    </xf>
    <xf numFmtId="3" fontId="29" fillId="10" borderId="0" xfId="0" applyNumberFormat="1" applyFont="1" applyFill="1" applyAlignment="1" applyProtection="1">
      <alignment horizontal="center" vertical="center"/>
      <protection locked="0"/>
    </xf>
    <xf numFmtId="0" fontId="11" fillId="4" borderId="0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locked="0"/>
    </xf>
    <xf numFmtId="4" fontId="1" fillId="4" borderId="0" xfId="0" applyNumberFormat="1" applyFont="1" applyFill="1" applyProtection="1"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9" fillId="4" borderId="0" xfId="0" applyFont="1" applyFill="1" applyAlignment="1" applyProtection="1">
      <alignment horizontal="center"/>
      <protection locked="0"/>
    </xf>
    <xf numFmtId="0" fontId="31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protection locked="0"/>
    </xf>
    <xf numFmtId="0" fontId="18" fillId="4" borderId="0" xfId="0" applyFont="1" applyFill="1" applyAlignment="1" applyProtection="1">
      <alignment horizontal="center" vertical="center"/>
      <protection locked="0"/>
    </xf>
    <xf numFmtId="0" fontId="18" fillId="4" borderId="0" xfId="0" applyFont="1" applyFill="1" applyAlignment="1" applyProtection="1">
      <alignment vertical="center"/>
      <protection locked="0"/>
    </xf>
    <xf numFmtId="14" fontId="18" fillId="4" borderId="0" xfId="0" applyNumberFormat="1" applyFont="1" applyFill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left" vertical="center"/>
      <protection locked="0"/>
    </xf>
    <xf numFmtId="0" fontId="18" fillId="4" borderId="0" xfId="0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Border="1" applyAlignment="1" applyProtection="1">
      <alignment vertical="center"/>
      <protection locked="0"/>
    </xf>
    <xf numFmtId="2" fontId="28" fillId="4" borderId="0" xfId="0" applyNumberFormat="1" applyFont="1" applyFill="1" applyBorder="1" applyAlignment="1" applyProtection="1">
      <alignment horizontal="center" vertical="center"/>
      <protection locked="0"/>
    </xf>
    <xf numFmtId="0" fontId="30" fillId="4" borderId="0" xfId="0" applyFont="1" applyFill="1" applyAlignment="1" applyProtection="1">
      <alignment horizontal="center" vertical="center"/>
      <protection locked="0"/>
    </xf>
    <xf numFmtId="0" fontId="9" fillId="7" borderId="4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alignment horizontal="center"/>
      <protection locked="0"/>
    </xf>
    <xf numFmtId="14" fontId="11" fillId="4" borderId="0" xfId="0" applyNumberFormat="1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Border="1" applyAlignment="1" applyProtection="1">
      <alignment horizontal="center" vertical="center"/>
      <protection locked="0"/>
    </xf>
    <xf numFmtId="4" fontId="11" fillId="4" borderId="0" xfId="0" applyNumberFormat="1" applyFont="1" applyFill="1" applyBorder="1" applyAlignment="1" applyProtection="1">
      <alignment horizontal="center" vertical="center"/>
      <protection locked="0"/>
    </xf>
    <xf numFmtId="2" fontId="11" fillId="4" borderId="0" xfId="0" applyNumberFormat="1" applyFont="1" applyFill="1" applyBorder="1" applyAlignment="1" applyProtection="1">
      <alignment horizontal="center" vertical="center"/>
      <protection locked="0"/>
    </xf>
    <xf numFmtId="0" fontId="33" fillId="0" borderId="17" xfId="0" applyFont="1" applyBorder="1" applyAlignment="1" applyProtection="1">
      <alignment horizont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3" fontId="33" fillId="0" borderId="22" xfId="0" applyNumberFormat="1" applyFont="1" applyFill="1" applyBorder="1" applyProtection="1">
      <protection locked="0"/>
    </xf>
    <xf numFmtId="0" fontId="33" fillId="0" borderId="1" xfId="0" applyFont="1" applyFill="1" applyBorder="1" applyProtection="1"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4" fontId="33" fillId="0" borderId="1" xfId="0" applyNumberFormat="1" applyFont="1" applyFill="1" applyBorder="1" applyProtection="1">
      <protection locked="0"/>
    </xf>
    <xf numFmtId="1" fontId="33" fillId="0" borderId="22" xfId="0" applyNumberFormat="1" applyFont="1" applyFill="1" applyBorder="1" applyAlignment="1" applyProtection="1">
      <alignment horizontal="center"/>
      <protection locked="0"/>
    </xf>
    <xf numFmtId="1" fontId="33" fillId="4" borderId="1" xfId="0" applyNumberFormat="1" applyFont="1" applyFill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4" fontId="33" fillId="4" borderId="22" xfId="0" applyNumberFormat="1" applyFont="1" applyFill="1" applyBorder="1" applyAlignment="1" applyProtection="1">
      <alignment horizontal="center" vertical="center"/>
      <protection locked="0"/>
    </xf>
    <xf numFmtId="0" fontId="33" fillId="4" borderId="22" xfId="0" applyFont="1" applyFill="1" applyBorder="1" applyAlignment="1" applyProtection="1">
      <alignment horizontal="center"/>
      <protection locked="0"/>
    </xf>
    <xf numFmtId="4" fontId="33" fillId="0" borderId="22" xfId="0" applyNumberFormat="1" applyFont="1" applyBorder="1" applyAlignment="1" applyProtection="1">
      <alignment horizontal="center" vertical="center"/>
      <protection locked="0"/>
    </xf>
    <xf numFmtId="3" fontId="33" fillId="0" borderId="22" xfId="0" applyNumberFormat="1" applyFont="1" applyBorder="1" applyAlignment="1" applyProtection="1">
      <alignment horizontal="center" vertical="center"/>
      <protection locked="0"/>
    </xf>
    <xf numFmtId="2" fontId="33" fillId="4" borderId="22" xfId="0" applyNumberFormat="1" applyFont="1" applyFill="1" applyBorder="1" applyAlignment="1" applyProtection="1">
      <alignment horizontal="center" vertical="center"/>
      <protection locked="0"/>
    </xf>
    <xf numFmtId="4" fontId="33" fillId="0" borderId="27" xfId="0" applyNumberFormat="1" applyFont="1" applyFill="1" applyBorder="1" applyAlignment="1" applyProtection="1">
      <alignment horizontal="center" vertical="center"/>
      <protection locked="0"/>
    </xf>
    <xf numFmtId="4" fontId="19" fillId="0" borderId="14" xfId="0" applyNumberFormat="1" applyFont="1" applyBorder="1" applyAlignment="1" applyProtection="1">
      <alignment horizontal="center" vertical="center"/>
      <protection locked="0"/>
    </xf>
    <xf numFmtId="4" fontId="19" fillId="10" borderId="14" xfId="0" applyNumberFormat="1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/>
      <protection locked="0"/>
    </xf>
    <xf numFmtId="1" fontId="33" fillId="2" borderId="22" xfId="0" applyNumberFormat="1" applyFont="1" applyFill="1" applyBorder="1" applyAlignment="1" applyProtection="1">
      <alignment horizontal="center"/>
    </xf>
    <xf numFmtId="0" fontId="33" fillId="2" borderId="22" xfId="0" applyFont="1" applyFill="1" applyBorder="1" applyAlignment="1" applyProtection="1">
      <alignment horizontal="right"/>
    </xf>
    <xf numFmtId="4" fontId="33" fillId="2" borderId="22" xfId="0" applyNumberFormat="1" applyFont="1" applyFill="1" applyBorder="1" applyAlignment="1" applyProtection="1">
      <alignment horizontal="center" vertical="center"/>
    </xf>
    <xf numFmtId="2" fontId="33" fillId="2" borderId="22" xfId="0" applyNumberFormat="1" applyFont="1" applyFill="1" applyBorder="1" applyAlignment="1" applyProtection="1">
      <alignment horizontal="center" vertical="center"/>
    </xf>
    <xf numFmtId="4" fontId="33" fillId="2" borderId="27" xfId="0" applyNumberFormat="1" applyFont="1" applyFill="1" applyBorder="1" applyAlignment="1" applyProtection="1">
      <alignment horizontal="center" vertical="center"/>
    </xf>
    <xf numFmtId="4" fontId="33" fillId="2" borderId="34" xfId="0" applyNumberFormat="1" applyFont="1" applyFill="1" applyBorder="1" applyAlignment="1" applyProtection="1">
      <alignment horizontal="center" vertical="center"/>
    </xf>
    <xf numFmtId="4" fontId="33" fillId="2" borderId="11" xfId="0" applyNumberFormat="1" applyFont="1" applyFill="1" applyBorder="1" applyAlignment="1" applyProtection="1">
      <alignment horizontal="center" vertical="center"/>
    </xf>
    <xf numFmtId="4" fontId="33" fillId="4" borderId="27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left" vertical="center"/>
    </xf>
    <xf numFmtId="164" fontId="6" fillId="4" borderId="1" xfId="1" applyFont="1" applyFill="1" applyBorder="1" applyAlignment="1">
      <alignment horizontal="left" vertical="center"/>
    </xf>
    <xf numFmtId="3" fontId="36" fillId="2" borderId="1" xfId="0" applyNumberFormat="1" applyFont="1" applyFill="1" applyBorder="1" applyAlignment="1" applyProtection="1">
      <alignment horizontal="center" vertical="center"/>
    </xf>
    <xf numFmtId="2" fontId="9" fillId="11" borderId="2" xfId="0" applyNumberFormat="1" applyFont="1" applyFill="1" applyBorder="1" applyAlignment="1" applyProtection="1">
      <alignment vertical="center"/>
      <protection locked="0"/>
    </xf>
    <xf numFmtId="2" fontId="9" fillId="11" borderId="3" xfId="0" applyNumberFormat="1" applyFont="1" applyFill="1" applyBorder="1" applyAlignment="1" applyProtection="1">
      <alignment vertical="center"/>
      <protection locked="0"/>
    </xf>
    <xf numFmtId="2" fontId="15" fillId="11" borderId="3" xfId="0" applyNumberFormat="1" applyFont="1" applyFill="1" applyBorder="1" applyAlignment="1" applyProtection="1">
      <alignment vertical="center"/>
      <protection locked="0"/>
    </xf>
    <xf numFmtId="2" fontId="15" fillId="11" borderId="4" xfId="0" applyNumberFormat="1" applyFont="1" applyFill="1" applyBorder="1" applyAlignment="1" applyProtection="1">
      <alignment vertical="center"/>
      <protection locked="0"/>
    </xf>
    <xf numFmtId="4" fontId="9" fillId="2" borderId="42" xfId="0" applyNumberFormat="1" applyFont="1" applyFill="1" applyBorder="1" applyAlignment="1" applyProtection="1">
      <alignment vertical="center"/>
      <protection locked="0"/>
    </xf>
    <xf numFmtId="4" fontId="9" fillId="2" borderId="43" xfId="0" applyNumberFormat="1" applyFont="1" applyFill="1" applyBorder="1" applyAlignment="1" applyProtection="1">
      <alignment vertical="center"/>
      <protection locked="0"/>
    </xf>
    <xf numFmtId="0" fontId="18" fillId="4" borderId="0" xfId="0" applyFont="1" applyFill="1" applyAlignment="1">
      <alignment horizontal="center" vertical="center"/>
    </xf>
    <xf numFmtId="14" fontId="18" fillId="4" borderId="0" xfId="0" applyNumberFormat="1" applyFont="1" applyFill="1" applyAlignment="1">
      <alignment vertical="center"/>
    </xf>
    <xf numFmtId="4" fontId="9" fillId="3" borderId="7" xfId="0" applyNumberFormat="1" applyFont="1" applyFill="1" applyBorder="1" applyAlignment="1">
      <alignment horizontal="center" vertical="center"/>
    </xf>
    <xf numFmtId="14" fontId="9" fillId="3" borderId="7" xfId="0" applyNumberFormat="1" applyFont="1" applyFill="1" applyBorder="1" applyAlignment="1">
      <alignment horizontal="center" vertical="center" wrapText="1"/>
    </xf>
    <xf numFmtId="4" fontId="9" fillId="3" borderId="7" xfId="0" applyNumberFormat="1" applyFont="1" applyFill="1" applyBorder="1" applyAlignment="1">
      <alignment horizontal="center" vertical="center" wrapText="1"/>
    </xf>
    <xf numFmtId="4" fontId="9" fillId="17" borderId="7" xfId="0" applyNumberFormat="1" applyFont="1" applyFill="1" applyBorder="1" applyAlignment="1">
      <alignment horizontal="center" vertical="center" wrapText="1"/>
    </xf>
    <xf numFmtId="4" fontId="9" fillId="17" borderId="8" xfId="0" applyNumberFormat="1" applyFont="1" applyFill="1" applyBorder="1" applyAlignment="1">
      <alignment horizontal="center" vertical="center" wrapText="1"/>
    </xf>
    <xf numFmtId="0" fontId="9" fillId="4" borderId="0" xfId="0" applyFont="1" applyFill="1" applyBorder="1" applyAlignment="1"/>
    <xf numFmtId="14" fontId="1" fillId="4" borderId="0" xfId="0" applyNumberFormat="1" applyFont="1" applyFill="1" applyBorder="1"/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/>
    <xf numFmtId="0" fontId="1" fillId="4" borderId="0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1" fillId="0" borderId="22" xfId="0" applyFont="1" applyFill="1" applyBorder="1"/>
    <xf numFmtId="0" fontId="12" fillId="0" borderId="1" xfId="0" applyFont="1" applyFill="1" applyBorder="1" applyAlignment="1" applyProtection="1"/>
    <xf numFmtId="14" fontId="1" fillId="0" borderId="22" xfId="0" applyNumberFormat="1" applyFont="1" applyFill="1" applyBorder="1"/>
    <xf numFmtId="1" fontId="1" fillId="0" borderId="22" xfId="0" applyNumberFormat="1" applyFont="1" applyBorder="1" applyAlignment="1">
      <alignment horizontal="center"/>
    </xf>
    <xf numFmtId="1" fontId="1" fillId="0" borderId="27" xfId="0" applyNumberFormat="1" applyFont="1" applyFill="1" applyBorder="1" applyAlignment="1">
      <alignment horizontal="center"/>
    </xf>
    <xf numFmtId="0" fontId="1" fillId="0" borderId="27" xfId="0" applyFont="1" applyFill="1" applyBorder="1" applyAlignment="1">
      <alignment horizontal="right"/>
    </xf>
    <xf numFmtId="0" fontId="1" fillId="0" borderId="27" xfId="0" applyFont="1" applyFill="1" applyBorder="1"/>
    <xf numFmtId="0" fontId="1" fillId="0" borderId="27" xfId="0" applyFont="1" applyFill="1" applyBorder="1" applyAlignment="1">
      <alignment horizontal="center" vertical="center"/>
    </xf>
    <xf numFmtId="0" fontId="1" fillId="0" borderId="2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1" fillId="0" borderId="1" xfId="0" applyFont="1" applyFill="1" applyBorder="1"/>
    <xf numFmtId="14" fontId="1" fillId="0" borderId="1" xfId="0" applyNumberFormat="1" applyFont="1" applyFill="1" applyBorder="1"/>
    <xf numFmtId="1" fontId="1" fillId="0" borderId="12" xfId="0" applyNumberFormat="1" applyFont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3" xfId="0" applyFont="1" applyFill="1" applyBorder="1"/>
    <xf numFmtId="0" fontId="12" fillId="0" borderId="33" xfId="0" applyFont="1" applyFill="1" applyBorder="1" applyAlignment="1" applyProtection="1"/>
    <xf numFmtId="14" fontId="1" fillId="0" borderId="33" xfId="0" applyNumberFormat="1" applyFont="1" applyFill="1" applyBorder="1"/>
    <xf numFmtId="1" fontId="1" fillId="0" borderId="25" xfId="0" applyNumberFormat="1" applyFont="1" applyBorder="1" applyAlignment="1">
      <alignment horizontal="center"/>
    </xf>
    <xf numFmtId="1" fontId="1" fillId="0" borderId="25" xfId="0" applyNumberFormat="1" applyFont="1" applyFill="1" applyBorder="1" applyAlignment="1">
      <alignment horizontal="center"/>
    </xf>
    <xf numFmtId="0" fontId="1" fillId="0" borderId="25" xfId="0" applyFont="1" applyFill="1" applyBorder="1" applyAlignment="1">
      <alignment horizontal="right"/>
    </xf>
    <xf numFmtId="0" fontId="1" fillId="0" borderId="25" xfId="0" applyFont="1" applyFill="1" applyBorder="1"/>
    <xf numFmtId="0" fontId="1" fillId="0" borderId="25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/>
    </xf>
    <xf numFmtId="3" fontId="42" fillId="0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3" borderId="45" xfId="0" applyFont="1" applyFill="1" applyBorder="1" applyAlignment="1">
      <alignment horizontal="center" vertical="center"/>
    </xf>
    <xf numFmtId="4" fontId="13" fillId="3" borderId="25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14" fontId="12" fillId="0" borderId="1" xfId="0" applyNumberFormat="1" applyFont="1" applyFill="1" applyBorder="1" applyAlignment="1" applyProtection="1">
      <alignment horizontal="center"/>
    </xf>
    <xf numFmtId="1" fontId="1" fillId="0" borderId="22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right"/>
    </xf>
    <xf numFmtId="0" fontId="12" fillId="0" borderId="22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1" fontId="1" fillId="0" borderId="12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right"/>
    </xf>
    <xf numFmtId="0" fontId="12" fillId="0" borderId="12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/>
    </xf>
    <xf numFmtId="3" fontId="42" fillId="0" borderId="37" xfId="0" applyNumberFormat="1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4" fontId="9" fillId="3" borderId="25" xfId="0" applyNumberFormat="1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3" fontId="42" fillId="0" borderId="46" xfId="0" applyNumberFormat="1" applyFont="1" applyFill="1" applyBorder="1" applyAlignment="1">
      <alignment horizontal="center"/>
    </xf>
    <xf numFmtId="0" fontId="12" fillId="0" borderId="1" xfId="0" applyFont="1" applyBorder="1"/>
    <xf numFmtId="0" fontId="1" fillId="0" borderId="22" xfId="0" applyFont="1" applyBorder="1" applyAlignment="1">
      <alignment horizontal="right"/>
    </xf>
    <xf numFmtId="165" fontId="12" fillId="0" borderId="22" xfId="0" quotePrefix="1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2" fillId="0" borderId="1" xfId="0" applyFont="1" applyFill="1" applyBorder="1"/>
    <xf numFmtId="165" fontId="12" fillId="0" borderId="1" xfId="0" quotePrefix="1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9" fillId="0" borderId="33" xfId="0" applyFont="1" applyFill="1" applyBorder="1" applyAlignment="1">
      <alignment horizontal="center" vertical="center"/>
    </xf>
    <xf numFmtId="3" fontId="42" fillId="0" borderId="0" xfId="0" applyNumberFormat="1" applyFont="1" applyFill="1" applyBorder="1" applyAlignment="1">
      <alignment horizontal="center"/>
    </xf>
    <xf numFmtId="0" fontId="12" fillId="0" borderId="33" xfId="0" applyFont="1" applyFill="1" applyBorder="1"/>
    <xf numFmtId="1" fontId="1" fillId="0" borderId="33" xfId="0" applyNumberFormat="1" applyFont="1" applyBorder="1" applyAlignment="1">
      <alignment horizontal="center"/>
    </xf>
    <xf numFmtId="1" fontId="1" fillId="0" borderId="33" xfId="0" applyNumberFormat="1" applyFont="1" applyFill="1" applyBorder="1" applyAlignment="1">
      <alignment horizontal="center"/>
    </xf>
    <xf numFmtId="0" fontId="1" fillId="0" borderId="33" xfId="0" applyFont="1" applyBorder="1" applyAlignment="1">
      <alignment horizontal="right"/>
    </xf>
    <xf numFmtId="165" fontId="12" fillId="0" borderId="33" xfId="0" quotePrefix="1" applyNumberFormat="1" applyFont="1" applyFill="1" applyBorder="1" applyAlignment="1">
      <alignment horizontal="center" vertical="center"/>
    </xf>
    <xf numFmtId="0" fontId="1" fillId="0" borderId="3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/>
    <xf numFmtId="0" fontId="1" fillId="0" borderId="0" xfId="0" applyFont="1" applyAlignment="1">
      <alignment horizontal="center"/>
    </xf>
    <xf numFmtId="0" fontId="9" fillId="17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9" fillId="2" borderId="6" xfId="0" applyNumberFormat="1" applyFont="1" applyFill="1" applyBorder="1" applyAlignment="1">
      <alignment horizontal="center" vertical="center"/>
    </xf>
    <xf numFmtId="14" fontId="1" fillId="4" borderId="0" xfId="0" applyNumberFormat="1" applyFont="1" applyFill="1"/>
    <xf numFmtId="4" fontId="1" fillId="4" borderId="0" xfId="0" applyNumberFormat="1" applyFont="1" applyFill="1" applyAlignment="1">
      <alignment horizontal="center" vertical="center"/>
    </xf>
    <xf numFmtId="4" fontId="1" fillId="4" borderId="0" xfId="0" applyNumberFormat="1" applyFont="1" applyFill="1"/>
    <xf numFmtId="4" fontId="1" fillId="4" borderId="0" xfId="0" applyNumberFormat="1" applyFont="1" applyFill="1" applyAlignment="1">
      <alignment horizontal="center"/>
    </xf>
    <xf numFmtId="4" fontId="43" fillId="8" borderId="0" xfId="0" applyNumberFormat="1" applyFont="1" applyFill="1" applyAlignment="1">
      <alignment horizontal="center" vertical="center"/>
    </xf>
    <xf numFmtId="4" fontId="11" fillId="4" borderId="0" xfId="0" applyNumberFormat="1" applyFont="1" applyFill="1" applyProtection="1"/>
    <xf numFmtId="0" fontId="37" fillId="16" borderId="1" xfId="7" applyFont="1" applyFill="1" applyBorder="1" applyAlignment="1" applyProtection="1">
      <alignment horizontal="center" vertical="center"/>
    </xf>
    <xf numFmtId="0" fontId="37" fillId="8" borderId="1" xfId="7" applyFont="1" applyFill="1" applyBorder="1" applyAlignment="1" applyProtection="1">
      <alignment horizontal="center" vertical="center"/>
    </xf>
    <xf numFmtId="0" fontId="40" fillId="0" borderId="0" xfId="7" applyFont="1" applyFill="1" applyAlignment="1" applyProtection="1">
      <alignment vertical="center"/>
    </xf>
    <xf numFmtId="0" fontId="11" fillId="4" borderId="0" xfId="0" applyFont="1" applyFill="1" applyProtection="1"/>
    <xf numFmtId="4" fontId="33" fillId="4" borderId="48" xfId="0" applyNumberFormat="1" applyFont="1" applyFill="1" applyBorder="1" applyAlignment="1" applyProtection="1">
      <alignment horizontal="center" vertical="center"/>
      <protection locked="0"/>
    </xf>
    <xf numFmtId="0" fontId="47" fillId="0" borderId="0" xfId="0" applyNumberFormat="1" applyFont="1" applyFill="1" applyBorder="1" applyAlignment="1" applyProtection="1">
      <alignment horizontal="center" vertical="center" wrapText="1"/>
    </xf>
    <xf numFmtId="0" fontId="48" fillId="18" borderId="11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NumberFormat="1" applyFont="1" applyBorder="1" applyAlignment="1" applyProtection="1">
      <alignment horizontal="center" vertical="center"/>
    </xf>
    <xf numFmtId="0" fontId="47" fillId="19" borderId="2" xfId="12" applyNumberFormat="1" applyFont="1" applyFill="1" applyBorder="1" applyAlignment="1" applyProtection="1">
      <alignment horizontal="center" vertical="center" wrapText="1"/>
      <protection locked="0"/>
    </xf>
    <xf numFmtId="0" fontId="47" fillId="20" borderId="2" xfId="12" applyNumberFormat="1" applyFont="1" applyFill="1" applyBorder="1" applyAlignment="1" applyProtection="1">
      <alignment horizontal="center" vertical="center" wrapText="1"/>
      <protection locked="0"/>
    </xf>
    <xf numFmtId="0" fontId="47" fillId="20" borderId="7" xfId="12" applyNumberFormat="1" applyFont="1" applyFill="1" applyBorder="1" applyAlignment="1" applyProtection="1">
      <alignment horizontal="center" vertical="center" wrapText="1"/>
      <protection locked="0"/>
    </xf>
    <xf numFmtId="0" fontId="50" fillId="21" borderId="7" xfId="12" applyNumberFormat="1" applyFont="1" applyFill="1" applyBorder="1" applyAlignment="1" applyProtection="1">
      <alignment horizontal="center" vertical="center" wrapText="1" shrinkToFit="1"/>
      <protection locked="0"/>
    </xf>
    <xf numFmtId="0" fontId="47" fillId="20" borderId="7" xfId="12" applyNumberFormat="1" applyFont="1" applyFill="1" applyBorder="1" applyAlignment="1" applyProtection="1">
      <alignment horizontal="center" vertical="center" wrapText="1" shrinkToFit="1"/>
      <protection locked="0"/>
    </xf>
    <xf numFmtId="0" fontId="47" fillId="22" borderId="7" xfId="0" applyNumberFormat="1" applyFont="1" applyFill="1" applyBorder="1" applyAlignment="1" applyProtection="1">
      <alignment horizontal="center" vertical="center" wrapText="1"/>
      <protection locked="0"/>
    </xf>
    <xf numFmtId="0" fontId="47" fillId="22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18" borderId="27" xfId="0" applyNumberFormat="1" applyFont="1" applyFill="1" applyBorder="1" applyAlignment="1" applyProtection="1">
      <alignment horizontal="center" vertical="center" wrapText="1"/>
      <protection locked="0"/>
    </xf>
    <xf numFmtId="0" fontId="51" fillId="23" borderId="1" xfId="12" applyNumberFormat="1" applyFont="1" applyFill="1" applyBorder="1" applyAlignment="1" applyProtection="1">
      <alignment horizontal="center" vertical="center" wrapText="1"/>
      <protection locked="0"/>
    </xf>
    <xf numFmtId="0" fontId="51" fillId="21" borderId="49" xfId="12" applyNumberFormat="1" applyFont="1" applyFill="1" applyBorder="1" applyAlignment="1" applyProtection="1">
      <alignment horizontal="center" vertical="center" wrapText="1"/>
      <protection locked="0"/>
    </xf>
    <xf numFmtId="0" fontId="19" fillId="18" borderId="7" xfId="0" applyNumberFormat="1" applyFont="1" applyFill="1" applyBorder="1" applyAlignment="1" applyProtection="1">
      <alignment horizontal="center" vertical="center" wrapText="1"/>
      <protection locked="0"/>
    </xf>
    <xf numFmtId="0" fontId="47" fillId="20" borderId="8" xfId="12" applyNumberFormat="1" applyFont="1" applyFill="1" applyBorder="1" applyAlignment="1" applyProtection="1">
      <alignment horizontal="center" vertical="center" wrapText="1"/>
      <protection locked="0"/>
    </xf>
    <xf numFmtId="0" fontId="34" fillId="19" borderId="50" xfId="12" applyNumberFormat="1" applyFont="1" applyFill="1" applyBorder="1" applyAlignment="1" applyProtection="1">
      <alignment horizontal="center" vertical="center" wrapText="1"/>
      <protection locked="0"/>
    </xf>
    <xf numFmtId="0" fontId="41" fillId="0" borderId="22" xfId="0" applyNumberFormat="1" applyFont="1" applyBorder="1" applyAlignment="1" applyProtection="1">
      <alignment horizontal="center" vertical="center" wrapText="1"/>
      <protection locked="0"/>
    </xf>
    <xf numFmtId="3" fontId="41" fillId="0" borderId="22" xfId="0" applyNumberFormat="1" applyFont="1" applyBorder="1" applyAlignment="1" applyProtection="1">
      <alignment horizontal="center" vertical="center" wrapText="1"/>
      <protection locked="0"/>
    </xf>
    <xf numFmtId="0" fontId="41" fillId="0" borderId="22" xfId="0" applyNumberFormat="1" applyFont="1" applyBorder="1" applyAlignment="1" applyProtection="1">
      <alignment horizontal="center" vertical="center" wrapText="1"/>
    </xf>
    <xf numFmtId="167" fontId="34" fillId="0" borderId="22" xfId="0" applyNumberFormat="1" applyFont="1" applyBorder="1" applyAlignment="1" applyProtection="1">
      <alignment horizontal="center" vertical="center" wrapText="1"/>
    </xf>
    <xf numFmtId="1" fontId="41" fillId="0" borderId="22" xfId="13" applyNumberFormat="1" applyFont="1" applyBorder="1" applyAlignment="1" applyProtection="1">
      <alignment horizontal="center" vertical="center" wrapText="1"/>
    </xf>
    <xf numFmtId="4" fontId="52" fillId="0" borderId="22" xfId="0" applyNumberFormat="1" applyFont="1" applyBorder="1" applyAlignment="1" applyProtection="1">
      <alignment horizontal="center" vertical="center" wrapText="1"/>
    </xf>
    <xf numFmtId="4" fontId="52" fillId="0" borderId="12" xfId="0" applyNumberFormat="1" applyFont="1" applyBorder="1" applyAlignment="1" applyProtection="1">
      <alignment horizontal="center" vertical="center" wrapText="1"/>
    </xf>
    <xf numFmtId="43" fontId="53" fillId="5" borderId="12" xfId="13" applyFont="1" applyFill="1" applyBorder="1" applyAlignment="1" applyProtection="1">
      <alignment horizontal="center" vertical="center" wrapText="1"/>
    </xf>
    <xf numFmtId="43" fontId="53" fillId="0" borderId="12" xfId="13" applyFont="1" applyBorder="1" applyAlignment="1" applyProtection="1">
      <alignment horizontal="center" vertical="center" wrapText="1"/>
    </xf>
    <xf numFmtId="168" fontId="54" fillId="0" borderId="1" xfId="13" applyNumberFormat="1" applyFont="1" applyBorder="1" applyAlignment="1">
      <alignment horizontal="center" vertical="center"/>
    </xf>
    <xf numFmtId="49" fontId="54" fillId="0" borderId="1" xfId="13" applyNumberFormat="1" applyFont="1" applyBorder="1" applyAlignment="1">
      <alignment horizontal="center" vertical="center"/>
    </xf>
    <xf numFmtId="43" fontId="54" fillId="0" borderId="46" xfId="13" applyFont="1" applyBorder="1" applyAlignment="1">
      <alignment vertical="center"/>
    </xf>
    <xf numFmtId="4" fontId="55" fillId="4" borderId="22" xfId="0" applyNumberFormat="1" applyFont="1" applyFill="1" applyBorder="1" applyAlignment="1" applyProtection="1">
      <alignment horizontal="center" vertical="center" wrapText="1"/>
    </xf>
    <xf numFmtId="0" fontId="56" fillId="0" borderId="0" xfId="0" applyFont="1"/>
    <xf numFmtId="164" fontId="56" fillId="0" borderId="0" xfId="0" applyNumberFormat="1" applyFont="1"/>
    <xf numFmtId="0" fontId="57" fillId="19" borderId="51" xfId="12" applyNumberFormat="1" applyFont="1" applyFill="1" applyBorder="1" applyAlignment="1" applyProtection="1">
      <alignment horizontal="center" vertical="center" wrapText="1"/>
      <protection locked="0"/>
    </xf>
    <xf numFmtId="0" fontId="58" fillId="0" borderId="7" xfId="0" applyNumberFormat="1" applyFont="1" applyBorder="1" applyAlignment="1" applyProtection="1">
      <alignment horizontal="center" vertical="center" wrapText="1"/>
      <protection locked="0"/>
    </xf>
    <xf numFmtId="3" fontId="58" fillId="0" borderId="7" xfId="0" applyNumberFormat="1" applyFont="1" applyBorder="1" applyAlignment="1" applyProtection="1">
      <alignment horizontal="center" vertical="center" wrapText="1"/>
      <protection locked="0"/>
    </xf>
    <xf numFmtId="0" fontId="41" fillId="0" borderId="7" xfId="0" applyNumberFormat="1" applyFont="1" applyBorder="1" applyAlignment="1" applyProtection="1">
      <alignment horizontal="center" vertical="center" wrapText="1"/>
    </xf>
    <xf numFmtId="167" fontId="34" fillId="0" borderId="7" xfId="0" applyNumberFormat="1" applyFont="1" applyBorder="1" applyAlignment="1" applyProtection="1">
      <alignment horizontal="center" vertical="center" wrapText="1"/>
    </xf>
    <xf numFmtId="1" fontId="58" fillId="0" borderId="22" xfId="13" applyNumberFormat="1" applyFont="1" applyBorder="1" applyAlignment="1" applyProtection="1">
      <alignment horizontal="center" vertical="center" wrapText="1"/>
    </xf>
    <xf numFmtId="0" fontId="58" fillId="0" borderId="10" xfId="0" applyNumberFormat="1" applyFont="1" applyBorder="1" applyAlignment="1" applyProtection="1">
      <alignment horizontal="center" vertical="center" wrapText="1"/>
      <protection locked="0"/>
    </xf>
    <xf numFmtId="4" fontId="52" fillId="0" borderId="27" xfId="0" applyNumberFormat="1" applyFont="1" applyBorder="1" applyAlignment="1" applyProtection="1">
      <alignment horizontal="center" vertical="center" wrapText="1"/>
    </xf>
    <xf numFmtId="0" fontId="41" fillId="0" borderId="10" xfId="0" applyNumberFormat="1" applyFont="1" applyBorder="1" applyAlignment="1" applyProtection="1">
      <alignment horizontal="center" vertical="center" wrapText="1"/>
      <protection locked="0"/>
    </xf>
    <xf numFmtId="3" fontId="41" fillId="0" borderId="7" xfId="0" applyNumberFormat="1" applyFont="1" applyBorder="1" applyAlignment="1" applyProtection="1">
      <alignment horizontal="center" vertical="center" wrapText="1"/>
      <protection locked="0"/>
    </xf>
    <xf numFmtId="0" fontId="41" fillId="0" borderId="7" xfId="0" applyNumberFormat="1" applyFont="1" applyBorder="1" applyAlignment="1" applyProtection="1">
      <alignment horizontal="center" vertical="center" wrapText="1"/>
      <protection locked="0"/>
    </xf>
    <xf numFmtId="167" fontId="59" fillId="8" borderId="7" xfId="0" applyNumberFormat="1" applyFont="1" applyFill="1" applyBorder="1" applyAlignment="1" applyProtection="1">
      <alignment horizontal="center" vertical="center" wrapText="1"/>
    </xf>
    <xf numFmtId="4" fontId="52" fillId="0" borderId="1" xfId="0" applyNumberFormat="1" applyFont="1" applyBorder="1" applyAlignment="1" applyProtection="1">
      <alignment horizontal="center" vertical="center" wrapText="1"/>
    </xf>
    <xf numFmtId="168" fontId="54" fillId="8" borderId="1" xfId="13" applyNumberFormat="1" applyFont="1" applyFill="1" applyBorder="1" applyAlignment="1">
      <alignment horizontal="center" vertical="center"/>
    </xf>
    <xf numFmtId="49" fontId="54" fillId="8" borderId="1" xfId="13" applyNumberFormat="1" applyFont="1" applyFill="1" applyBorder="1" applyAlignment="1">
      <alignment horizontal="center" vertical="center"/>
    </xf>
    <xf numFmtId="0" fontId="54" fillId="0" borderId="0" xfId="0" applyFont="1"/>
    <xf numFmtId="166" fontId="55" fillId="20" borderId="25" xfId="13" applyNumberFormat="1" applyFont="1" applyFill="1" applyBorder="1" applyAlignment="1" applyProtection="1">
      <alignment horizontal="center" vertical="center" wrapText="1"/>
      <protection locked="0"/>
    </xf>
    <xf numFmtId="166" fontId="35" fillId="20" borderId="7" xfId="13" applyNumberFormat="1" applyFont="1" applyFill="1" applyBorder="1" applyAlignment="1" applyProtection="1">
      <alignment horizontal="center" vertical="center" wrapText="1"/>
      <protection locked="0"/>
    </xf>
    <xf numFmtId="43" fontId="7" fillId="0" borderId="0" xfId="13" applyFont="1"/>
    <xf numFmtId="0" fontId="5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0" xfId="0" applyNumberFormat="1" applyFont="1" applyFill="1" applyBorder="1" applyAlignment="1" applyProtection="1">
      <alignment horizontal="center" vertical="center" wrapText="1"/>
      <protection locked="0"/>
    </xf>
    <xf numFmtId="166" fontId="55" fillId="20" borderId="6" xfId="13" applyNumberFormat="1" applyFont="1" applyFill="1" applyBorder="1" applyAlignment="1" applyProtection="1">
      <alignment horizontal="center" vertical="center" wrapText="1"/>
      <protection locked="0"/>
    </xf>
    <xf numFmtId="166" fontId="35" fillId="20" borderId="6" xfId="13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44" fillId="8" borderId="1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0" fontId="64" fillId="0" borderId="0" xfId="0" applyFont="1"/>
    <xf numFmtId="0" fontId="65" fillId="0" borderId="0" xfId="0" applyFont="1" applyFill="1" applyBorder="1" applyAlignment="1">
      <alignment horizontal="center"/>
    </xf>
    <xf numFmtId="0" fontId="64" fillId="8" borderId="1" xfId="0" applyFont="1" applyFill="1" applyBorder="1"/>
    <xf numFmtId="0" fontId="64" fillId="8" borderId="0" xfId="0" applyFont="1" applyFill="1"/>
    <xf numFmtId="0" fontId="66" fillId="24" borderId="35" xfId="0" applyFont="1" applyFill="1" applyBorder="1" applyAlignment="1">
      <alignment horizontal="center" wrapText="1"/>
    </xf>
    <xf numFmtId="0" fontId="66" fillId="24" borderId="40" xfId="0" applyFont="1" applyFill="1" applyBorder="1" applyAlignment="1">
      <alignment horizontal="center" wrapText="1"/>
    </xf>
    <xf numFmtId="0" fontId="66" fillId="8" borderId="40" xfId="0" applyFont="1" applyFill="1" applyBorder="1" applyAlignment="1">
      <alignment horizontal="center" wrapText="1"/>
    </xf>
    <xf numFmtId="0" fontId="66" fillId="0" borderId="0" xfId="0" applyFont="1" applyFill="1" applyBorder="1" applyAlignment="1">
      <alignment horizontal="center" wrapText="1"/>
    </xf>
    <xf numFmtId="0" fontId="68" fillId="25" borderId="35" xfId="0" applyFont="1" applyFill="1" applyBorder="1"/>
    <xf numFmtId="0" fontId="69" fillId="0" borderId="40" xfId="0" applyFont="1" applyBorder="1" applyAlignment="1">
      <alignment horizontal="center"/>
    </xf>
    <xf numFmtId="0" fontId="46" fillId="0" borderId="0" xfId="0" applyFont="1"/>
    <xf numFmtId="0" fontId="69" fillId="0" borderId="0" xfId="0" applyFont="1" applyFill="1" applyBorder="1" applyAlignment="1">
      <alignment horizontal="center"/>
    </xf>
    <xf numFmtId="0" fontId="46" fillId="0" borderId="0" xfId="0" applyFont="1" applyFill="1"/>
    <xf numFmtId="0" fontId="70" fillId="0" borderId="0" xfId="0" applyFont="1"/>
    <xf numFmtId="0" fontId="69" fillId="0" borderId="0" xfId="0" applyFont="1" applyBorder="1" applyAlignment="1">
      <alignment horizontal="center"/>
    </xf>
    <xf numFmtId="0" fontId="45" fillId="0" borderId="0" xfId="0" applyFont="1"/>
    <xf numFmtId="43" fontId="70" fillId="0" borderId="0" xfId="13" applyFont="1"/>
    <xf numFmtId="164" fontId="70" fillId="0" borderId="0" xfId="0" applyNumberFormat="1" applyFont="1"/>
    <xf numFmtId="0" fontId="0" fillId="0" borderId="1" xfId="0" applyBorder="1"/>
    <xf numFmtId="0" fontId="64" fillId="0" borderId="1" xfId="0" applyFont="1" applyBorder="1"/>
    <xf numFmtId="43" fontId="64" fillId="0" borderId="1" xfId="13" applyFont="1" applyBorder="1"/>
    <xf numFmtId="164" fontId="1" fillId="8" borderId="1" xfId="1" applyFont="1" applyFill="1" applyBorder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14" fontId="53" fillId="2" borderId="1" xfId="0" applyNumberFormat="1" applyFont="1" applyFill="1" applyBorder="1" applyProtection="1"/>
    <xf numFmtId="1" fontId="53" fillId="4" borderId="1" xfId="0" applyNumberFormat="1" applyFont="1" applyFill="1" applyBorder="1" applyAlignment="1" applyProtection="1">
      <alignment horizontal="center"/>
      <protection locked="0"/>
    </xf>
    <xf numFmtId="4" fontId="53" fillId="4" borderId="22" xfId="0" applyNumberFormat="1" applyFont="1" applyFill="1" applyBorder="1" applyAlignment="1" applyProtection="1">
      <alignment horizontal="center" vertical="center"/>
    </xf>
    <xf numFmtId="4" fontId="53" fillId="0" borderId="22" xfId="0" applyNumberFormat="1" applyFont="1" applyBorder="1" applyAlignment="1" applyProtection="1">
      <alignment horizontal="center" vertical="center"/>
    </xf>
    <xf numFmtId="2" fontId="53" fillId="4" borderId="22" xfId="0" applyNumberFormat="1" applyFont="1" applyFill="1" applyBorder="1" applyAlignment="1" applyProtection="1">
      <alignment horizontal="center" vertical="center"/>
      <protection locked="0"/>
    </xf>
    <xf numFmtId="4" fontId="35" fillId="4" borderId="14" xfId="0" applyNumberFormat="1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Protection="1">
      <protection locked="0"/>
    </xf>
    <xf numFmtId="4" fontId="53" fillId="4" borderId="0" xfId="0" applyNumberFormat="1" applyFont="1" applyFill="1" applyProtection="1"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86" fillId="4" borderId="0" xfId="0" applyFont="1" applyFill="1" applyAlignment="1" applyProtection="1">
      <alignment horizontal="center"/>
      <protection locked="0"/>
    </xf>
    <xf numFmtId="4" fontId="53" fillId="2" borderId="1" xfId="0" applyNumberFormat="1" applyFont="1" applyFill="1" applyBorder="1" applyAlignment="1" applyProtection="1">
      <alignment horizontal="center" vertical="center"/>
    </xf>
    <xf numFmtId="0" fontId="53" fillId="4" borderId="1" xfId="0" applyFont="1" applyFill="1" applyBorder="1" applyProtection="1">
      <protection locked="0"/>
    </xf>
    <xf numFmtId="0" fontId="35" fillId="4" borderId="1" xfId="0" applyFont="1" applyFill="1" applyBorder="1" applyAlignment="1" applyProtection="1">
      <alignment horizontal="center" vertical="center"/>
      <protection locked="0"/>
    </xf>
    <xf numFmtId="3" fontId="53" fillId="4" borderId="1" xfId="0" applyNumberFormat="1" applyFont="1" applyFill="1" applyBorder="1" applyProtection="1">
      <protection locked="0"/>
    </xf>
    <xf numFmtId="0" fontId="53" fillId="4" borderId="1" xfId="0" applyFont="1" applyFill="1" applyBorder="1" applyAlignment="1" applyProtection="1">
      <alignment horizontal="center"/>
      <protection locked="0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35" fillId="7" borderId="2" xfId="0" applyFont="1" applyFill="1" applyBorder="1" applyAlignment="1" applyProtection="1">
      <alignment vertical="center"/>
      <protection locked="0"/>
    </xf>
    <xf numFmtId="0" fontId="35" fillId="7" borderId="31" xfId="0" applyFont="1" applyFill="1" applyBorder="1" applyAlignment="1" applyProtection="1">
      <alignment vertical="center"/>
      <protection locked="0"/>
    </xf>
    <xf numFmtId="0" fontId="35" fillId="7" borderId="4" xfId="0" applyFont="1" applyFill="1" applyBorder="1" applyAlignment="1" applyProtection="1">
      <alignment vertical="center"/>
      <protection locked="0"/>
    </xf>
    <xf numFmtId="0" fontId="35" fillId="4" borderId="0" xfId="0" applyFont="1" applyFill="1" applyBorder="1" applyAlignment="1" applyProtection="1">
      <alignment vertical="center"/>
      <protection locked="0"/>
    </xf>
    <xf numFmtId="0" fontId="35" fillId="4" borderId="0" xfId="0" applyFont="1" applyFill="1" applyBorder="1" applyAlignment="1" applyProtection="1">
      <alignment horizontal="center" vertical="center"/>
      <protection locked="0"/>
    </xf>
    <xf numFmtId="14" fontId="53" fillId="4" borderId="0" xfId="0" applyNumberFormat="1" applyFont="1" applyFill="1" applyBorder="1" applyAlignment="1" applyProtection="1">
      <alignment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vertical="center"/>
      <protection locked="0"/>
    </xf>
    <xf numFmtId="0" fontId="53" fillId="4" borderId="5" xfId="0" applyFont="1" applyFill="1" applyBorder="1" applyAlignment="1" applyProtection="1">
      <alignment horizontal="center" vertical="center"/>
      <protection locked="0"/>
    </xf>
    <xf numFmtId="0" fontId="53" fillId="4" borderId="3" xfId="0" applyFont="1" applyFill="1" applyBorder="1" applyAlignment="1" applyProtection="1">
      <alignment horizontal="center" vertical="center"/>
      <protection locked="0"/>
    </xf>
    <xf numFmtId="4" fontId="53" fillId="4" borderId="0" xfId="0" applyNumberFormat="1" applyFont="1" applyFill="1" applyBorder="1" applyAlignment="1" applyProtection="1">
      <alignment horizontal="center" vertical="center"/>
      <protection locked="0"/>
    </xf>
    <xf numFmtId="2" fontId="53" fillId="4" borderId="0" xfId="0" applyNumberFormat="1" applyFont="1" applyFill="1" applyBorder="1" applyAlignment="1" applyProtection="1">
      <alignment horizontal="center" vertical="center"/>
      <protection locked="0"/>
    </xf>
    <xf numFmtId="4" fontId="53" fillId="4" borderId="0" xfId="0" applyNumberFormat="1" applyFont="1" applyFill="1" applyAlignment="1" applyProtection="1">
      <alignment vertical="center"/>
      <protection locked="0"/>
    </xf>
    <xf numFmtId="0" fontId="53" fillId="4" borderId="0" xfId="0" applyFont="1" applyFill="1" applyAlignment="1" applyProtection="1">
      <alignment vertical="center"/>
      <protection locked="0"/>
    </xf>
    <xf numFmtId="0" fontId="53" fillId="4" borderId="0" xfId="0" applyFont="1" applyFill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right"/>
    </xf>
    <xf numFmtId="4" fontId="53" fillId="4" borderId="0" xfId="0" applyNumberFormat="1" applyFont="1" applyFill="1" applyBorder="1" applyProtection="1">
      <protection locked="0"/>
    </xf>
    <xf numFmtId="0" fontId="35" fillId="7" borderId="2" xfId="0" applyFont="1" applyFill="1" applyBorder="1" applyAlignment="1" applyProtection="1">
      <protection locked="0"/>
    </xf>
    <xf numFmtId="0" fontId="35" fillId="7" borderId="3" xfId="0" applyFont="1" applyFill="1" applyBorder="1" applyAlignment="1" applyProtection="1">
      <protection locked="0"/>
    </xf>
    <xf numFmtId="0" fontId="35" fillId="7" borderId="40" xfId="0" applyFont="1" applyFill="1" applyBorder="1" applyAlignment="1" applyProtection="1">
      <protection locked="0"/>
    </xf>
    <xf numFmtId="0" fontId="35" fillId="4" borderId="0" xfId="0" applyFont="1" applyFill="1" applyBorder="1" applyAlignment="1" applyProtection="1">
      <protection locked="0"/>
    </xf>
    <xf numFmtId="0" fontId="35" fillId="4" borderId="0" xfId="0" applyFont="1" applyFill="1" applyBorder="1" applyAlignment="1" applyProtection="1">
      <alignment horizontal="center"/>
      <protection locked="0"/>
    </xf>
    <xf numFmtId="14" fontId="53" fillId="4" borderId="0" xfId="0" applyNumberFormat="1" applyFont="1" applyFill="1" applyBorder="1" applyProtection="1">
      <protection locked="0"/>
    </xf>
    <xf numFmtId="0" fontId="53" fillId="4" borderId="0" xfId="0" applyFont="1" applyFill="1" applyBorder="1" applyAlignment="1" applyProtection="1">
      <alignment horizontal="center"/>
      <protection locked="0"/>
    </xf>
    <xf numFmtId="0" fontId="53" fillId="4" borderId="0" xfId="0" applyFont="1" applyFill="1" applyBorder="1" applyProtection="1">
      <protection locked="0"/>
    </xf>
    <xf numFmtId="4" fontId="53" fillId="4" borderId="0" xfId="0" applyNumberFormat="1" applyFont="1" applyFill="1" applyProtection="1"/>
    <xf numFmtId="4" fontId="53" fillId="4" borderId="1" xfId="0" applyNumberFormat="1" applyFont="1" applyFill="1" applyBorder="1" applyAlignment="1" applyProtection="1">
      <alignment horizontal="center" vertical="center"/>
      <protection locked="0"/>
    </xf>
    <xf numFmtId="4" fontId="53" fillId="4" borderId="1" xfId="0" applyNumberFormat="1" applyFont="1" applyFill="1" applyBorder="1" applyAlignment="1" applyProtection="1">
      <alignment horizontal="center" vertical="center"/>
    </xf>
    <xf numFmtId="2" fontId="53" fillId="2" borderId="1" xfId="0" applyNumberFormat="1" applyFont="1" applyFill="1" applyBorder="1" applyAlignment="1" applyProtection="1">
      <alignment horizontal="center" vertical="center"/>
    </xf>
    <xf numFmtId="2" fontId="53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31" xfId="0" applyFont="1" applyFill="1" applyBorder="1"/>
    <xf numFmtId="0" fontId="1" fillId="0" borderId="30" xfId="0" applyFont="1" applyFill="1" applyBorder="1" applyAlignment="1">
      <alignment horizontal="center" vertical="center"/>
    </xf>
    <xf numFmtId="4" fontId="53" fillId="2" borderId="33" xfId="0" applyNumberFormat="1" applyFont="1" applyFill="1" applyBorder="1" applyAlignment="1" applyProtection="1">
      <alignment horizontal="center" vertical="center"/>
    </xf>
    <xf numFmtId="4" fontId="35" fillId="13" borderId="28" xfId="0" applyNumberFormat="1" applyFont="1" applyFill="1" applyBorder="1" applyAlignment="1" applyProtection="1">
      <alignment horizontal="center" vertical="center"/>
    </xf>
    <xf numFmtId="1" fontId="53" fillId="2" borderId="1" xfId="0" applyNumberFormat="1" applyFont="1" applyFill="1" applyBorder="1" applyAlignment="1" applyProtection="1">
      <alignment horizontal="center"/>
    </xf>
    <xf numFmtId="3" fontId="53" fillId="4" borderId="1" xfId="0" applyNumberFormat="1" applyFont="1" applyFill="1" applyBorder="1" applyAlignment="1" applyProtection="1">
      <alignment horizontal="center" vertical="center"/>
      <protection locked="0"/>
    </xf>
    <xf numFmtId="4" fontId="35" fillId="2" borderId="1" xfId="0" applyNumberFormat="1" applyFont="1" applyFill="1" applyBorder="1" applyAlignment="1" applyProtection="1">
      <alignment horizontal="center" vertical="center"/>
    </xf>
    <xf numFmtId="2" fontId="53" fillId="4" borderId="1" xfId="0" applyNumberFormat="1" applyFont="1" applyFill="1" applyBorder="1" applyAlignment="1" applyProtection="1">
      <alignment horizontal="center" vertical="center"/>
    </xf>
    <xf numFmtId="4" fontId="38" fillId="4" borderId="0" xfId="0" applyNumberFormat="1" applyFont="1" applyFill="1" applyAlignment="1" applyProtection="1">
      <alignment horizontal="center" vertical="center"/>
      <protection locked="0"/>
    </xf>
    <xf numFmtId="4" fontId="39" fillId="4" borderId="0" xfId="0" applyNumberFormat="1" applyFont="1" applyFill="1" applyAlignment="1" applyProtection="1">
      <alignment horizontal="center" vertical="center"/>
      <protection locked="0"/>
    </xf>
    <xf numFmtId="4" fontId="39" fillId="4" borderId="0" xfId="0" applyNumberFormat="1" applyFont="1" applyFill="1" applyBorder="1" applyAlignment="1" applyProtection="1">
      <alignment horizontal="center" vertical="center"/>
      <protection locked="0"/>
    </xf>
    <xf numFmtId="4" fontId="33" fillId="4" borderId="22" xfId="0" applyNumberFormat="1" applyFont="1" applyFill="1" applyBorder="1" applyAlignment="1" applyProtection="1">
      <alignment horizontal="center" vertical="center"/>
    </xf>
    <xf numFmtId="0" fontId="85" fillId="4" borderId="0" xfId="0" applyFont="1" applyFill="1" applyProtection="1">
      <protection locked="0"/>
    </xf>
    <xf numFmtId="0" fontId="1" fillId="4" borderId="0" xfId="0" applyFont="1" applyFill="1" applyAlignment="1">
      <alignment horizontal="center"/>
    </xf>
    <xf numFmtId="0" fontId="53" fillId="8" borderId="1" xfId="0" applyFont="1" applyFill="1" applyBorder="1" applyProtection="1">
      <protection locked="0"/>
    </xf>
    <xf numFmtId="4" fontId="9" fillId="3" borderId="6" xfId="0" applyNumberFormat="1" applyFont="1" applyFill="1" applyBorder="1" applyAlignment="1">
      <alignment horizontal="center" vertical="center"/>
    </xf>
    <xf numFmtId="4" fontId="1" fillId="0" borderId="27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3" fontId="42" fillId="0" borderId="33" xfId="0" applyNumberFormat="1" applyFont="1" applyFill="1" applyBorder="1" applyAlignment="1">
      <alignment horizontal="center"/>
    </xf>
    <xf numFmtId="0" fontId="12" fillId="0" borderId="47" xfId="0" applyFont="1" applyFill="1" applyBorder="1" applyAlignment="1" applyProtection="1"/>
    <xf numFmtId="14" fontId="1" fillId="0" borderId="47" xfId="0" applyNumberFormat="1" applyFont="1" applyFill="1" applyBorder="1"/>
    <xf numFmtId="1" fontId="1" fillId="0" borderId="47" xfId="0" applyNumberFormat="1" applyFont="1" applyBorder="1" applyAlignment="1">
      <alignment horizontal="center"/>
    </xf>
    <xf numFmtId="1" fontId="1" fillId="0" borderId="47" xfId="0" applyNumberFormat="1" applyFont="1" applyFill="1" applyBorder="1" applyAlignment="1">
      <alignment horizontal="center"/>
    </xf>
    <xf numFmtId="0" fontId="1" fillId="0" borderId="47" xfId="0" applyFont="1" applyFill="1" applyBorder="1" applyAlignment="1">
      <alignment horizontal="right"/>
    </xf>
    <xf numFmtId="0" fontId="1" fillId="0" borderId="54" xfId="0" applyFont="1" applyBorder="1" applyAlignment="1">
      <alignment horizontal="center"/>
    </xf>
    <xf numFmtId="4" fontId="14" fillId="4" borderId="0" xfId="0" applyNumberFormat="1" applyFont="1" applyFill="1" applyAlignment="1">
      <alignment horizontal="center" vertical="center"/>
    </xf>
    <xf numFmtId="0" fontId="33" fillId="0" borderId="12" xfId="0" applyFont="1" applyFill="1" applyBorder="1" applyProtection="1">
      <protection locked="0"/>
    </xf>
    <xf numFmtId="3" fontId="34" fillId="2" borderId="11" xfId="0" applyNumberFormat="1" applyFont="1" applyFill="1" applyBorder="1" applyAlignment="1" applyProtection="1">
      <alignment horizontal="center" vertical="center"/>
      <protection locked="0"/>
    </xf>
    <xf numFmtId="3" fontId="34" fillId="2" borderId="13" xfId="0" applyNumberFormat="1" applyFont="1" applyFill="1" applyBorder="1" applyAlignment="1" applyProtection="1">
      <alignment horizontal="center" vertical="center"/>
      <protection locked="0"/>
    </xf>
    <xf numFmtId="0" fontId="34" fillId="7" borderId="2" xfId="0" applyFont="1" applyFill="1" applyBorder="1" applyAlignment="1" applyProtection="1">
      <protection locked="0"/>
    </xf>
    <xf numFmtId="4" fontId="14" fillId="4" borderId="0" xfId="0" applyNumberFormat="1" applyFont="1" applyFill="1" applyAlignment="1" applyProtection="1">
      <alignment horizontal="center" vertical="center"/>
      <protection locked="0"/>
    </xf>
    <xf numFmtId="3" fontId="14" fillId="10" borderId="0" xfId="0" applyNumberFormat="1" applyFont="1" applyFill="1" applyAlignment="1" applyProtection="1">
      <alignment horizontal="center" vertical="center"/>
      <protection locked="0"/>
    </xf>
    <xf numFmtId="4" fontId="14" fillId="4" borderId="0" xfId="0" applyNumberFormat="1" applyFont="1" applyFill="1" applyBorder="1" applyAlignment="1" applyProtection="1">
      <alignment horizontal="center" vertical="center"/>
      <protection locked="0"/>
    </xf>
    <xf numFmtId="4" fontId="60" fillId="4" borderId="1" xfId="0" applyNumberFormat="1" applyFont="1" applyFill="1" applyBorder="1" applyAlignment="1" applyProtection="1">
      <alignment horizontal="center" vertical="center"/>
      <protection locked="0"/>
    </xf>
    <xf numFmtId="4" fontId="60" fillId="4" borderId="0" xfId="0" applyNumberFormat="1" applyFont="1" applyFill="1" applyBorder="1" applyAlignment="1" applyProtection="1">
      <alignment horizontal="center" vertical="center"/>
      <protection locked="0"/>
    </xf>
    <xf numFmtId="4" fontId="31" fillId="0" borderId="27" xfId="0" applyNumberFormat="1" applyFont="1" applyFill="1" applyBorder="1" applyAlignment="1" applyProtection="1">
      <alignment horizontal="center" vertical="center"/>
      <protection locked="0"/>
    </xf>
    <xf numFmtId="0" fontId="35" fillId="4" borderId="0" xfId="0" applyFont="1" applyFill="1" applyAlignment="1" applyProtection="1">
      <alignment horizontal="center" wrapText="1"/>
    </xf>
    <xf numFmtId="0" fontId="11" fillId="4" borderId="0" xfId="0" applyFont="1" applyFill="1" applyAlignment="1" applyProtection="1">
      <alignment wrapText="1"/>
      <protection locked="0"/>
    </xf>
    <xf numFmtId="0" fontId="18" fillId="4" borderId="0" xfId="0" applyFont="1" applyFill="1" applyAlignment="1" applyProtection="1">
      <alignment vertical="center" wrapText="1"/>
      <protection locked="0"/>
    </xf>
    <xf numFmtId="0" fontId="9" fillId="4" borderId="0" xfId="0" applyFont="1" applyFill="1" applyBorder="1" applyAlignment="1" applyProtection="1">
      <alignment wrapText="1"/>
      <protection locked="0"/>
    </xf>
    <xf numFmtId="0" fontId="53" fillId="4" borderId="1" xfId="0" applyFont="1" applyFill="1" applyBorder="1" applyAlignment="1" applyProtection="1">
      <alignment wrapText="1"/>
      <protection locked="0"/>
    </xf>
    <xf numFmtId="0" fontId="35" fillId="4" borderId="0" xfId="0" applyFont="1" applyFill="1" applyBorder="1" applyAlignment="1" applyProtection="1">
      <alignment vertical="center" wrapText="1"/>
      <protection locked="0"/>
    </xf>
    <xf numFmtId="0" fontId="35" fillId="4" borderId="0" xfId="0" applyFont="1" applyFill="1" applyBorder="1" applyAlignment="1" applyProtection="1">
      <alignment wrapText="1"/>
      <protection locked="0"/>
    </xf>
    <xf numFmtId="0" fontId="11" fillId="4" borderId="0" xfId="0" applyFont="1" applyFill="1" applyAlignment="1">
      <alignment wrapText="1"/>
    </xf>
    <xf numFmtId="0" fontId="33" fillId="0" borderId="1" xfId="0" applyFont="1" applyFill="1" applyBorder="1" applyAlignment="1" applyProtection="1">
      <alignment wrapText="1"/>
      <protection locked="0"/>
    </xf>
    <xf numFmtId="14" fontId="53" fillId="8" borderId="1" xfId="0" applyNumberFormat="1" applyFont="1" applyFill="1" applyBorder="1" applyProtection="1">
      <protection locked="0"/>
    </xf>
    <xf numFmtId="0" fontId="53" fillId="4" borderId="0" xfId="0" applyFont="1" applyFill="1" applyAlignment="1" applyProtection="1">
      <alignment wrapText="1"/>
      <protection locked="0"/>
    </xf>
    <xf numFmtId="2" fontId="53" fillId="4" borderId="0" xfId="0" applyNumberFormat="1" applyFont="1" applyFill="1" applyAlignment="1" applyProtection="1">
      <alignment horizontal="center" vertical="center"/>
      <protection locked="0"/>
    </xf>
    <xf numFmtId="4" fontId="53" fillId="0" borderId="0" xfId="0" applyNumberFormat="1" applyFont="1"/>
    <xf numFmtId="4" fontId="53" fillId="4" borderId="0" xfId="0" applyNumberFormat="1" applyFont="1" applyFill="1" applyAlignment="1" applyProtection="1">
      <alignment horizontal="center"/>
      <protection locked="0"/>
    </xf>
    <xf numFmtId="164" fontId="35" fillId="4" borderId="1" xfId="1" applyFont="1" applyFill="1" applyBorder="1" applyProtection="1"/>
    <xf numFmtId="14" fontId="53" fillId="4" borderId="0" xfId="0" applyNumberFormat="1" applyFont="1" applyFill="1" applyProtection="1">
      <protection locked="0"/>
    </xf>
    <xf numFmtId="4" fontId="53" fillId="4" borderId="0" xfId="0" applyNumberFormat="1" applyFont="1" applyFill="1" applyAlignment="1" applyProtection="1">
      <alignment horizontal="center" vertical="center"/>
      <protection locked="0"/>
    </xf>
    <xf numFmtId="4" fontId="35" fillId="8" borderId="0" xfId="0" applyNumberFormat="1" applyFont="1" applyFill="1" applyAlignment="1" applyProtection="1">
      <alignment horizontal="center" vertical="center"/>
      <protection locked="0"/>
    </xf>
    <xf numFmtId="4" fontId="60" fillId="4" borderId="0" xfId="0" applyNumberFormat="1" applyFont="1" applyFill="1" applyAlignment="1" applyProtection="1">
      <alignment horizontal="center" vertical="center"/>
      <protection locked="0"/>
    </xf>
    <xf numFmtId="0" fontId="53" fillId="7" borderId="1" xfId="0" applyFont="1" applyFill="1" applyBorder="1" applyProtection="1">
      <protection locked="0"/>
    </xf>
    <xf numFmtId="0" fontId="53" fillId="8" borderId="16" xfId="0" applyFont="1" applyFill="1" applyBorder="1" applyAlignment="1" applyProtection="1">
      <alignment horizontal="center"/>
      <protection locked="0"/>
    </xf>
    <xf numFmtId="0" fontId="35" fillId="0" borderId="12" xfId="0" applyFont="1" applyFill="1" applyBorder="1" applyAlignment="1" applyProtection="1">
      <alignment horizontal="center" vertical="center"/>
      <protection locked="0"/>
    </xf>
    <xf numFmtId="3" fontId="53" fillId="8" borderId="12" xfId="0" applyNumberFormat="1" applyFont="1" applyFill="1" applyBorder="1" applyProtection="1">
      <protection locked="0"/>
    </xf>
    <xf numFmtId="0" fontId="53" fillId="8" borderId="12" xfId="0" applyNumberFormat="1" applyFont="1" applyFill="1" applyBorder="1" applyAlignment="1" applyProtection="1">
      <alignment horizontal="left" wrapText="1"/>
      <protection locked="0"/>
    </xf>
    <xf numFmtId="0" fontId="53" fillId="8" borderId="1" xfId="0" applyFont="1" applyFill="1" applyBorder="1" applyAlignment="1" applyProtection="1">
      <alignment horizontal="center"/>
      <protection locked="0"/>
    </xf>
    <xf numFmtId="1" fontId="53" fillId="8" borderId="22" xfId="0" applyNumberFormat="1" applyFont="1" applyFill="1" applyBorder="1" applyAlignment="1" applyProtection="1">
      <alignment horizontal="center"/>
    </xf>
    <xf numFmtId="1" fontId="53" fillId="8" borderId="12" xfId="0" applyNumberFormat="1" applyFont="1" applyFill="1" applyBorder="1" applyAlignment="1" applyProtection="1">
      <alignment horizontal="center"/>
      <protection locked="0"/>
    </xf>
    <xf numFmtId="1" fontId="53" fillId="8" borderId="1" xfId="0" applyNumberFormat="1" applyFont="1" applyFill="1" applyBorder="1" applyAlignment="1" applyProtection="1">
      <alignment horizontal="center"/>
      <protection locked="0"/>
    </xf>
    <xf numFmtId="0" fontId="53" fillId="8" borderId="1" xfId="0" applyFont="1" applyFill="1" applyBorder="1" applyAlignment="1" applyProtection="1">
      <alignment horizontal="right"/>
    </xf>
    <xf numFmtId="165" fontId="52" fillId="8" borderId="1" xfId="0" quotePrefix="1" applyNumberFormat="1" applyFont="1" applyFill="1" applyBorder="1" applyAlignment="1" applyProtection="1">
      <alignment horizontal="center" vertical="center"/>
      <protection locked="0"/>
    </xf>
    <xf numFmtId="4" fontId="53" fillId="8" borderId="1" xfId="0" applyNumberFormat="1" applyFont="1" applyFill="1" applyBorder="1" applyAlignment="1" applyProtection="1">
      <alignment horizontal="center" vertical="center"/>
    </xf>
    <xf numFmtId="4" fontId="53" fillId="8" borderId="22" xfId="0" applyNumberFormat="1" applyFont="1" applyFill="1" applyBorder="1" applyAlignment="1" applyProtection="1">
      <alignment horizontal="center" vertical="center"/>
      <protection locked="0"/>
    </xf>
    <xf numFmtId="4" fontId="53" fillId="8" borderId="22" xfId="0" applyNumberFormat="1" applyFont="1" applyFill="1" applyBorder="1" applyAlignment="1" applyProtection="1">
      <alignment horizontal="center" vertical="center"/>
    </xf>
    <xf numFmtId="0" fontId="53" fillId="8" borderId="22" xfId="0" applyFont="1" applyFill="1" applyBorder="1" applyAlignment="1" applyProtection="1">
      <alignment horizontal="center"/>
      <protection locked="0"/>
    </xf>
    <xf numFmtId="3" fontId="53" fillId="8" borderId="22" xfId="0" applyNumberFormat="1" applyFont="1" applyFill="1" applyBorder="1" applyAlignment="1" applyProtection="1">
      <alignment horizontal="center" vertical="center"/>
      <protection locked="0"/>
    </xf>
    <xf numFmtId="2" fontId="53" fillId="8" borderId="22" xfId="0" applyNumberFormat="1" applyFont="1" applyFill="1" applyBorder="1" applyAlignment="1" applyProtection="1">
      <alignment horizontal="center" vertical="center"/>
    </xf>
    <xf numFmtId="2" fontId="53" fillId="8" borderId="22" xfId="0" applyNumberFormat="1" applyFont="1" applyFill="1" applyBorder="1" applyAlignment="1" applyProtection="1">
      <alignment horizontal="center" vertical="center"/>
      <protection locked="0"/>
    </xf>
    <xf numFmtId="4" fontId="60" fillId="8" borderId="27" xfId="0" applyNumberFormat="1" applyFont="1" applyFill="1" applyBorder="1" applyAlignment="1" applyProtection="1">
      <alignment horizontal="center" vertical="center"/>
      <protection locked="0"/>
    </xf>
    <xf numFmtId="4" fontId="53" fillId="8" borderId="27" xfId="0" applyNumberFormat="1" applyFont="1" applyFill="1" applyBorder="1" applyAlignment="1" applyProtection="1">
      <alignment horizontal="center" vertical="center"/>
      <protection locked="0"/>
    </xf>
    <xf numFmtId="4" fontId="53" fillId="8" borderId="34" xfId="0" applyNumberFormat="1" applyFont="1" applyFill="1" applyBorder="1" applyAlignment="1" applyProtection="1">
      <alignment horizontal="center" vertical="center"/>
    </xf>
    <xf numFmtId="4" fontId="53" fillId="8" borderId="11" xfId="0" applyNumberFormat="1" applyFont="1" applyFill="1" applyBorder="1" applyAlignment="1" applyProtection="1">
      <alignment horizontal="center" vertical="center"/>
    </xf>
    <xf numFmtId="4" fontId="53" fillId="8" borderId="1" xfId="0" applyNumberFormat="1" applyFont="1" applyFill="1" applyBorder="1" applyAlignment="1" applyProtection="1">
      <alignment horizontal="center" vertical="center"/>
      <protection locked="0"/>
    </xf>
    <xf numFmtId="4" fontId="53" fillId="8" borderId="46" xfId="0" applyNumberFormat="1" applyFont="1" applyFill="1" applyBorder="1" applyAlignment="1" applyProtection="1">
      <alignment horizontal="center" vertical="center"/>
      <protection locked="0"/>
    </xf>
    <xf numFmtId="4" fontId="35" fillId="8" borderId="14" xfId="0" applyNumberFormat="1" applyFont="1" applyFill="1" applyBorder="1" applyAlignment="1" applyProtection="1">
      <alignment horizontal="center" vertical="center"/>
      <protection locked="0"/>
    </xf>
    <xf numFmtId="4" fontId="53" fillId="8" borderId="0" xfId="0" applyNumberFormat="1" applyFont="1" applyFill="1" applyProtection="1">
      <protection locked="0"/>
    </xf>
    <xf numFmtId="4" fontId="53" fillId="8" borderId="0" xfId="0" applyNumberFormat="1" applyFont="1" applyFill="1" applyBorder="1" applyProtection="1">
      <protection locked="0"/>
    </xf>
    <xf numFmtId="164" fontId="53" fillId="8" borderId="1" xfId="1" applyFont="1" applyFill="1" applyBorder="1" applyProtection="1"/>
    <xf numFmtId="0" fontId="53" fillId="8" borderId="0" xfId="0" applyFont="1" applyFill="1" applyProtection="1">
      <protection locked="0"/>
    </xf>
    <xf numFmtId="0" fontId="53" fillId="8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>
      <alignment horizontal="center"/>
    </xf>
    <xf numFmtId="0" fontId="53" fillId="4" borderId="0" xfId="0" applyFont="1" applyFill="1" applyAlignment="1">
      <alignment horizontal="center" vertical="center"/>
    </xf>
    <xf numFmtId="0" fontId="53" fillId="4" borderId="0" xfId="0" applyFont="1" applyFill="1"/>
    <xf numFmtId="0" fontId="53" fillId="4" borderId="0" xfId="0" applyFont="1" applyFill="1" applyAlignment="1">
      <alignment wrapText="1"/>
    </xf>
    <xf numFmtId="14" fontId="53" fillId="4" borderId="0" xfId="0" applyNumberFormat="1" applyFont="1" applyFill="1"/>
    <xf numFmtId="4" fontId="53" fillId="4" borderId="0" xfId="0" applyNumberFormat="1" applyFont="1" applyFill="1" applyAlignment="1">
      <alignment horizontal="center" vertical="center"/>
    </xf>
    <xf numFmtId="2" fontId="53" fillId="4" borderId="0" xfId="0" applyNumberFormat="1" applyFont="1" applyFill="1" applyAlignment="1">
      <alignment horizontal="center" vertical="center"/>
    </xf>
    <xf numFmtId="4" fontId="60" fillId="4" borderId="0" xfId="0" applyNumberFormat="1" applyFont="1" applyFill="1" applyAlignment="1">
      <alignment horizontal="center" vertical="center"/>
    </xf>
    <xf numFmtId="4" fontId="53" fillId="4" borderId="0" xfId="0" applyNumberFormat="1" applyFont="1" applyFill="1"/>
    <xf numFmtId="0" fontId="53" fillId="4" borderId="0" xfId="0" applyFont="1" applyFill="1" applyAlignment="1" applyProtection="1">
      <alignment horizontal="center"/>
      <protection locked="0"/>
    </xf>
    <xf numFmtId="14" fontId="53" fillId="4" borderId="1" xfId="0" applyNumberFormat="1" applyFont="1" applyFill="1" applyBorder="1" applyAlignment="1" applyProtection="1">
      <alignment horizontal="center"/>
      <protection locked="0"/>
    </xf>
    <xf numFmtId="0" fontId="53" fillId="8" borderId="1" xfId="0" applyNumberFormat="1" applyFont="1" applyFill="1" applyBorder="1" applyAlignment="1" applyProtection="1">
      <alignment horizontal="center"/>
      <protection locked="0"/>
    </xf>
    <xf numFmtId="14" fontId="33" fillId="0" borderId="1" xfId="0" applyNumberFormat="1" applyFont="1" applyFill="1" applyBorder="1" applyAlignment="1" applyProtection="1">
      <alignment horizontal="center"/>
      <protection locked="0"/>
    </xf>
    <xf numFmtId="0" fontId="88" fillId="4" borderId="0" xfId="0" applyFont="1" applyFill="1" applyAlignment="1" applyProtection="1">
      <alignment horizontal="center" vertical="center"/>
      <protection locked="0"/>
    </xf>
    <xf numFmtId="0" fontId="88" fillId="4" borderId="0" xfId="0" applyFont="1" applyFill="1" applyProtection="1">
      <protection locked="0"/>
    </xf>
    <xf numFmtId="0" fontId="88" fillId="4" borderId="0" xfId="0" applyFont="1" applyFill="1" applyAlignment="1" applyProtection="1">
      <alignment wrapText="1"/>
      <protection locked="0"/>
    </xf>
    <xf numFmtId="0" fontId="88" fillId="4" borderId="0" xfId="0" applyFont="1" applyFill="1" applyAlignment="1" applyProtection="1">
      <alignment horizontal="center"/>
      <protection locked="0"/>
    </xf>
    <xf numFmtId="4" fontId="88" fillId="4" borderId="0" xfId="0" applyNumberFormat="1" applyFont="1" applyFill="1" applyAlignment="1" applyProtection="1">
      <alignment horizontal="center" vertical="center"/>
      <protection locked="0"/>
    </xf>
    <xf numFmtId="0" fontId="89" fillId="0" borderId="0" xfId="0" applyFont="1" applyFill="1" applyBorder="1" applyAlignment="1"/>
    <xf numFmtId="4" fontId="90" fillId="4" borderId="0" xfId="0" applyNumberFormat="1" applyFont="1" applyFill="1" applyBorder="1" applyAlignment="1" applyProtection="1">
      <alignment horizontal="center" vertical="center"/>
      <protection locked="0"/>
    </xf>
    <xf numFmtId="4" fontId="90" fillId="4" borderId="0" xfId="0" applyNumberFormat="1" applyFont="1" applyFill="1" applyBorder="1" applyProtection="1">
      <protection locked="0"/>
    </xf>
    <xf numFmtId="0" fontId="0" fillId="8" borderId="0" xfId="0" applyFill="1"/>
    <xf numFmtId="4" fontId="35" fillId="8" borderId="1" xfId="0" applyNumberFormat="1" applyFont="1" applyFill="1" applyBorder="1" applyAlignment="1" applyProtection="1">
      <alignment horizontal="center" vertical="center"/>
      <protection locked="0"/>
    </xf>
    <xf numFmtId="4" fontId="35" fillId="8" borderId="1" xfId="0" applyNumberFormat="1" applyFont="1" applyFill="1" applyBorder="1" applyProtection="1">
      <protection locked="0"/>
    </xf>
    <xf numFmtId="0" fontId="53" fillId="4" borderId="0" xfId="0" applyFont="1" applyFill="1" applyAlignment="1" applyProtection="1">
      <alignment horizontal="center"/>
      <protection locked="0"/>
    </xf>
    <xf numFmtId="4" fontId="35" fillId="4" borderId="0" xfId="0" applyNumberFormat="1" applyFont="1" applyFill="1" applyAlignment="1" applyProtection="1">
      <alignment horizontal="center" vertical="center"/>
      <protection locked="0"/>
    </xf>
    <xf numFmtId="0" fontId="37" fillId="8" borderId="37" xfId="7" applyFont="1" applyFill="1" applyBorder="1" applyAlignment="1" applyProtection="1">
      <alignment horizontal="center" vertical="center"/>
    </xf>
    <xf numFmtId="0" fontId="20" fillId="0" borderId="17" xfId="0" applyFont="1" applyBorder="1" applyAlignment="1" applyProtection="1">
      <alignment horizontal="center"/>
      <protection locked="0"/>
    </xf>
    <xf numFmtId="0" fontId="91" fillId="0" borderId="22" xfId="0" applyFont="1" applyBorder="1" applyAlignment="1" applyProtection="1">
      <alignment horizontal="center" vertical="center"/>
      <protection locked="0"/>
    </xf>
    <xf numFmtId="3" fontId="20" fillId="0" borderId="22" xfId="0" applyNumberFormat="1" applyFont="1" applyFill="1" applyBorder="1" applyProtection="1">
      <protection locked="0"/>
    </xf>
    <xf numFmtId="0" fontId="20" fillId="0" borderId="1" xfId="0" applyFont="1" applyFill="1" applyBorder="1" applyAlignment="1" applyProtection="1">
      <alignment wrapText="1"/>
      <protection locked="0"/>
    </xf>
    <xf numFmtId="0" fontId="20" fillId="0" borderId="1" xfId="0" applyFont="1" applyFill="1" applyBorder="1" applyAlignment="1" applyProtection="1">
      <alignment horizontal="center"/>
      <protection locked="0"/>
    </xf>
    <xf numFmtId="14" fontId="20" fillId="4" borderId="1" xfId="0" applyNumberFormat="1" applyFont="1" applyFill="1" applyBorder="1" applyAlignment="1" applyProtection="1">
      <alignment horizontal="center"/>
      <protection locked="0"/>
    </xf>
    <xf numFmtId="14" fontId="20" fillId="2" borderId="1" xfId="0" applyNumberFormat="1" applyFont="1" applyFill="1" applyBorder="1" applyProtection="1"/>
    <xf numFmtId="1" fontId="20" fillId="2" borderId="22" xfId="0" applyNumberFormat="1" applyFont="1" applyFill="1" applyBorder="1" applyAlignment="1" applyProtection="1">
      <alignment horizontal="center"/>
    </xf>
    <xf numFmtId="1" fontId="20" fillId="0" borderId="22" xfId="0" applyNumberFormat="1" applyFont="1" applyFill="1" applyBorder="1" applyAlignment="1" applyProtection="1">
      <alignment horizontal="center"/>
      <protection locked="0"/>
    </xf>
    <xf numFmtId="1" fontId="20" fillId="4" borderId="1" xfId="0" applyNumberFormat="1" applyFont="1" applyFill="1" applyBorder="1" applyAlignment="1" applyProtection="1">
      <alignment horizontal="center"/>
      <protection locked="0"/>
    </xf>
    <xf numFmtId="0" fontId="20" fillId="0" borderId="1" xfId="0" applyFont="1" applyFill="1" applyBorder="1" applyProtection="1">
      <protection locked="0"/>
    </xf>
    <xf numFmtId="0" fontId="20" fillId="2" borderId="22" xfId="0" applyFont="1" applyFill="1" applyBorder="1" applyAlignment="1" applyProtection="1">
      <alignment horizontal="right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4" fontId="20" fillId="2" borderId="22" xfId="0" applyNumberFormat="1" applyFont="1" applyFill="1" applyBorder="1" applyAlignment="1" applyProtection="1">
      <alignment horizontal="center" vertical="center"/>
    </xf>
    <xf numFmtId="4" fontId="20" fillId="4" borderId="22" xfId="0" applyNumberFormat="1" applyFont="1" applyFill="1" applyBorder="1" applyAlignment="1" applyProtection="1">
      <alignment horizontal="center" vertical="center"/>
      <protection locked="0"/>
    </xf>
    <xf numFmtId="4" fontId="20" fillId="4" borderId="22" xfId="0" applyNumberFormat="1" applyFont="1" applyFill="1" applyBorder="1" applyAlignment="1" applyProtection="1">
      <alignment horizontal="center" vertical="center"/>
    </xf>
    <xf numFmtId="0" fontId="20" fillId="4" borderId="22" xfId="0" applyFont="1" applyFill="1" applyBorder="1" applyAlignment="1" applyProtection="1">
      <alignment horizontal="center"/>
      <protection locked="0"/>
    </xf>
    <xf numFmtId="4" fontId="20" fillId="0" borderId="22" xfId="0" applyNumberFormat="1" applyFont="1" applyBorder="1" applyAlignment="1" applyProtection="1">
      <alignment horizontal="center" vertical="center"/>
    </xf>
    <xf numFmtId="3" fontId="20" fillId="0" borderId="22" xfId="0" applyNumberFormat="1" applyFont="1" applyBorder="1" applyAlignment="1" applyProtection="1">
      <alignment horizontal="center" vertical="center"/>
      <protection locked="0"/>
    </xf>
    <xf numFmtId="2" fontId="20" fillId="2" borderId="22" xfId="0" applyNumberFormat="1" applyFont="1" applyFill="1" applyBorder="1" applyAlignment="1" applyProtection="1">
      <alignment horizontal="center" vertical="center"/>
    </xf>
    <xf numFmtId="2" fontId="20" fillId="4" borderId="22" xfId="0" applyNumberFormat="1" applyFont="1" applyFill="1" applyBorder="1" applyAlignment="1" applyProtection="1">
      <alignment horizontal="center" vertical="center"/>
      <protection locked="0"/>
    </xf>
    <xf numFmtId="2" fontId="20" fillId="4" borderId="22" xfId="0" applyNumberFormat="1" applyFont="1" applyFill="1" applyBorder="1" applyAlignment="1" applyProtection="1">
      <alignment horizontal="center" vertical="center"/>
    </xf>
    <xf numFmtId="4" fontId="20" fillId="14" borderId="22" xfId="0" applyNumberFormat="1" applyFont="1" applyFill="1" applyBorder="1" applyAlignment="1" applyProtection="1">
      <alignment horizontal="center" vertical="center"/>
    </xf>
    <xf numFmtId="4" fontId="23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2" borderId="34" xfId="0" applyNumberFormat="1" applyFont="1" applyFill="1" applyBorder="1" applyAlignment="1" applyProtection="1">
      <alignment horizontal="center" vertical="center"/>
    </xf>
    <xf numFmtId="4" fontId="20" fillId="2" borderId="11" xfId="0" applyNumberFormat="1" applyFont="1" applyFill="1" applyBorder="1" applyAlignment="1" applyProtection="1">
      <alignment horizontal="center" vertical="center"/>
    </xf>
    <xf numFmtId="4" fontId="20" fillId="2" borderId="27" xfId="0" applyNumberFormat="1" applyFont="1" applyFill="1" applyBorder="1" applyAlignment="1" applyProtection="1">
      <alignment horizontal="center" vertical="center"/>
    </xf>
    <xf numFmtId="4" fontId="20" fillId="14" borderId="27" xfId="0" applyNumberFormat="1" applyFont="1" applyFill="1" applyBorder="1" applyAlignment="1" applyProtection="1">
      <alignment horizontal="center" vertical="center"/>
    </xf>
    <xf numFmtId="4" fontId="20" fillId="4" borderId="48" xfId="0" applyNumberFormat="1" applyFont="1" applyFill="1" applyBorder="1" applyAlignment="1" applyProtection="1">
      <alignment horizontal="center" vertical="center"/>
      <protection locked="0"/>
    </xf>
    <xf numFmtId="4" fontId="91" fillId="13" borderId="14" xfId="0" applyNumberFormat="1" applyFont="1" applyFill="1" applyBorder="1" applyAlignment="1" applyProtection="1">
      <alignment horizontal="center" vertical="center"/>
    </xf>
    <xf numFmtId="4" fontId="91" fillId="4" borderId="14" xfId="0" applyNumberFormat="1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Protection="1">
      <protection locked="0"/>
    </xf>
    <xf numFmtId="0" fontId="20" fillId="4" borderId="0" xfId="0" applyFont="1" applyFill="1" applyProtection="1">
      <protection locked="0"/>
    </xf>
    <xf numFmtId="164" fontId="20" fillId="4" borderId="1" xfId="1" applyFont="1" applyFill="1" applyBorder="1" applyProtection="1"/>
    <xf numFmtId="0" fontId="20" fillId="4" borderId="0" xfId="0" applyFont="1" applyFill="1" applyAlignment="1" applyProtection="1">
      <alignment horizontal="center"/>
      <protection locked="0"/>
    </xf>
    <xf numFmtId="0" fontId="92" fillId="4" borderId="0" xfId="0" applyFont="1" applyFill="1" applyAlignment="1" applyProtection="1">
      <alignment horizontal="center"/>
      <protection locked="0"/>
    </xf>
    <xf numFmtId="0" fontId="20" fillId="0" borderId="18" xfId="0" applyFont="1" applyBorder="1" applyAlignment="1" applyProtection="1">
      <alignment horizontal="center"/>
      <protection locked="0"/>
    </xf>
    <xf numFmtId="3" fontId="20" fillId="0" borderId="1" xfId="0" applyNumberFormat="1" applyFont="1" applyFill="1" applyBorder="1" applyProtection="1">
      <protection locked="0"/>
    </xf>
    <xf numFmtId="1" fontId="20" fillId="0" borderId="1" xfId="0" applyNumberFormat="1" applyFont="1" applyFill="1" applyBorder="1" applyAlignment="1" applyProtection="1">
      <alignment horizontal="center"/>
      <protection locked="0"/>
    </xf>
    <xf numFmtId="0" fontId="20" fillId="4" borderId="12" xfId="0" applyFont="1" applyFill="1" applyBorder="1" applyProtection="1">
      <protection locked="0"/>
    </xf>
    <xf numFmtId="4" fontId="20" fillId="2" borderId="1" xfId="0" applyNumberFormat="1" applyFont="1" applyFill="1" applyBorder="1" applyAlignment="1" applyProtection="1">
      <alignment horizontal="center" vertical="center"/>
    </xf>
    <xf numFmtId="0" fontId="20" fillId="4" borderId="1" xfId="0" applyFont="1" applyFill="1" applyBorder="1" applyProtection="1">
      <protection locked="0"/>
    </xf>
    <xf numFmtId="49" fontId="20" fillId="4" borderId="48" xfId="0" applyNumberFormat="1" applyFont="1" applyFill="1" applyBorder="1" applyAlignment="1" applyProtection="1">
      <alignment horizontal="center" vertical="center"/>
      <protection locked="0"/>
    </xf>
    <xf numFmtId="3" fontId="20" fillId="4" borderId="33" xfId="0" applyNumberFormat="1" applyFont="1" applyFill="1" applyBorder="1" applyProtection="1">
      <protection locked="0"/>
    </xf>
    <xf numFmtId="0" fontId="20" fillId="4" borderId="33" xfId="0" applyFont="1" applyFill="1" applyBorder="1" applyAlignment="1" applyProtection="1">
      <alignment wrapText="1"/>
      <protection locked="0"/>
    </xf>
    <xf numFmtId="0" fontId="20" fillId="4" borderId="33" xfId="0" applyFont="1" applyFill="1" applyBorder="1" applyAlignment="1" applyProtection="1">
      <alignment horizontal="center"/>
      <protection locked="0"/>
    </xf>
    <xf numFmtId="14" fontId="20" fillId="4" borderId="33" xfId="0" applyNumberFormat="1" applyFont="1" applyFill="1" applyBorder="1" applyAlignment="1" applyProtection="1">
      <alignment horizontal="center"/>
      <protection locked="0"/>
    </xf>
    <xf numFmtId="14" fontId="20" fillId="2" borderId="33" xfId="0" applyNumberFormat="1" applyFont="1" applyFill="1" applyBorder="1" applyProtection="1"/>
    <xf numFmtId="1" fontId="20" fillId="2" borderId="27" xfId="0" applyNumberFormat="1" applyFont="1" applyFill="1" applyBorder="1" applyAlignment="1" applyProtection="1">
      <alignment horizontal="center"/>
    </xf>
    <xf numFmtId="1" fontId="20" fillId="4" borderId="33" xfId="0" applyNumberFormat="1" applyFont="1" applyFill="1" applyBorder="1" applyAlignment="1" applyProtection="1">
      <alignment horizontal="center"/>
      <protection locked="0"/>
    </xf>
    <xf numFmtId="0" fontId="20" fillId="4" borderId="33" xfId="0" applyFont="1" applyFill="1" applyBorder="1" applyProtection="1">
      <protection locked="0"/>
    </xf>
    <xf numFmtId="0" fontId="20" fillId="2" borderId="27" xfId="0" applyFont="1" applyFill="1" applyBorder="1" applyAlignment="1" applyProtection="1">
      <alignment horizontal="right"/>
    </xf>
    <xf numFmtId="0" fontId="20" fillId="4" borderId="33" xfId="0" applyFont="1" applyFill="1" applyBorder="1" applyAlignment="1" applyProtection="1">
      <alignment horizontal="center" vertical="center"/>
      <protection locked="0"/>
    </xf>
    <xf numFmtId="4" fontId="20" fillId="2" borderId="33" xfId="0" applyNumberFormat="1" applyFont="1" applyFill="1" applyBorder="1" applyAlignment="1" applyProtection="1">
      <alignment horizontal="center" vertical="center"/>
    </xf>
    <xf numFmtId="4" fontId="20" fillId="4" borderId="27" xfId="0" applyNumberFormat="1" applyFont="1" applyFill="1" applyBorder="1" applyAlignment="1" applyProtection="1">
      <alignment horizontal="center" vertical="center"/>
      <protection locked="0"/>
    </xf>
    <xf numFmtId="4" fontId="20" fillId="4" borderId="27" xfId="0" applyNumberFormat="1" applyFont="1" applyFill="1" applyBorder="1" applyAlignment="1" applyProtection="1">
      <alignment horizontal="center" vertical="center"/>
    </xf>
    <xf numFmtId="0" fontId="20" fillId="4" borderId="27" xfId="0" applyFont="1" applyFill="1" applyBorder="1" applyAlignment="1" applyProtection="1">
      <alignment horizontal="center"/>
      <protection locked="0"/>
    </xf>
    <xf numFmtId="3" fontId="20" fillId="4" borderId="27" xfId="0" applyNumberFormat="1" applyFont="1" applyFill="1" applyBorder="1" applyAlignment="1" applyProtection="1">
      <alignment horizontal="center" vertical="center"/>
      <protection locked="0"/>
    </xf>
    <xf numFmtId="2" fontId="20" fillId="2" borderId="27" xfId="0" applyNumberFormat="1" applyFont="1" applyFill="1" applyBorder="1" applyAlignment="1" applyProtection="1">
      <alignment horizontal="center" vertical="center"/>
    </xf>
    <xf numFmtId="2" fontId="20" fillId="4" borderId="27" xfId="0" applyNumberFormat="1" applyFont="1" applyFill="1" applyBorder="1" applyAlignment="1" applyProtection="1">
      <alignment horizontal="center" vertical="center"/>
      <protection locked="0"/>
    </xf>
    <xf numFmtId="2" fontId="20" fillId="4" borderId="27" xfId="0" applyNumberFormat="1" applyFont="1" applyFill="1" applyBorder="1" applyAlignment="1" applyProtection="1">
      <alignment horizontal="center" vertical="center"/>
    </xf>
    <xf numFmtId="4" fontId="23" fillId="4" borderId="27" xfId="0" applyNumberFormat="1" applyFont="1" applyFill="1" applyBorder="1" applyAlignment="1" applyProtection="1">
      <alignment horizontal="center" vertical="center"/>
      <protection locked="0"/>
    </xf>
    <xf numFmtId="4" fontId="20" fillId="2" borderId="48" xfId="0" applyNumberFormat="1" applyFont="1" applyFill="1" applyBorder="1" applyAlignment="1" applyProtection="1">
      <alignment horizontal="center" vertical="center"/>
    </xf>
    <xf numFmtId="4" fontId="20" fillId="2" borderId="53" xfId="0" applyNumberFormat="1" applyFont="1" applyFill="1" applyBorder="1" applyAlignment="1" applyProtection="1">
      <alignment horizontal="center" vertical="center"/>
    </xf>
    <xf numFmtId="4" fontId="91" fillId="2" borderId="28" xfId="0" applyNumberFormat="1" applyFont="1" applyFill="1" applyBorder="1" applyAlignment="1" applyProtection="1">
      <alignment horizontal="center" vertical="center"/>
    </xf>
    <xf numFmtId="0" fontId="91" fillId="0" borderId="22" xfId="0" applyFont="1" applyFill="1" applyBorder="1" applyAlignment="1" applyProtection="1">
      <alignment horizontal="center" vertical="center"/>
      <protection locked="0"/>
    </xf>
    <xf numFmtId="0" fontId="20" fillId="0" borderId="1" xfId="0" applyNumberFormat="1" applyFont="1" applyFill="1" applyBorder="1" applyAlignment="1" applyProtection="1">
      <alignment wrapText="1"/>
      <protection locked="0"/>
    </xf>
    <xf numFmtId="0" fontId="20" fillId="2" borderId="1" xfId="0" applyFont="1" applyFill="1" applyBorder="1" applyAlignment="1" applyProtection="1">
      <alignment horizontal="right"/>
    </xf>
    <xf numFmtId="4" fontId="20" fillId="2" borderId="12" xfId="0" applyNumberFormat="1" applyFont="1" applyFill="1" applyBorder="1" applyAlignment="1" applyProtection="1">
      <alignment horizontal="center" vertical="center"/>
    </xf>
    <xf numFmtId="4" fontId="20" fillId="4" borderId="0" xfId="0" applyNumberFormat="1" applyFont="1" applyFill="1" applyBorder="1" applyProtection="1">
      <protection locked="0"/>
    </xf>
    <xf numFmtId="0" fontId="91" fillId="0" borderId="1" xfId="0" applyFont="1" applyFill="1" applyBorder="1" applyAlignment="1" applyProtection="1">
      <alignment horizontal="center" vertical="center"/>
      <protection locked="0"/>
    </xf>
    <xf numFmtId="1" fontId="20" fillId="0" borderId="12" xfId="0" applyNumberFormat="1" applyFont="1" applyFill="1" applyBorder="1" applyAlignment="1" applyProtection="1">
      <alignment horizontal="center"/>
      <protection locked="0"/>
    </xf>
    <xf numFmtId="0" fontId="20" fillId="0" borderId="12" xfId="0" applyFont="1" applyFill="1" applyBorder="1" applyProtection="1">
      <protection locked="0"/>
    </xf>
    <xf numFmtId="0" fontId="20" fillId="4" borderId="1" xfId="0" applyFont="1" applyFill="1" applyBorder="1" applyAlignment="1" applyProtection="1">
      <alignment horizontal="center"/>
      <protection locked="0"/>
    </xf>
    <xf numFmtId="164" fontId="93" fillId="8" borderId="1" xfId="1" applyFont="1" applyFill="1" applyBorder="1" applyProtection="1"/>
    <xf numFmtId="0" fontId="20" fillId="0" borderId="1" xfId="0" applyNumberFormat="1" applyFont="1" applyFill="1" applyBorder="1" applyAlignment="1" applyProtection="1">
      <alignment horizontal="left" wrapText="1"/>
      <protection locked="0"/>
    </xf>
    <xf numFmtId="165" fontId="94" fillId="0" borderId="1" xfId="0" quotePrefix="1" applyNumberFormat="1" applyFont="1" applyFill="1" applyBorder="1" applyAlignment="1" applyProtection="1">
      <alignment horizontal="center" vertical="center"/>
      <protection locked="0"/>
    </xf>
    <xf numFmtId="3" fontId="20" fillId="0" borderId="12" xfId="0" applyNumberFormat="1" applyFont="1" applyFill="1" applyBorder="1" applyProtection="1">
      <protection locked="0"/>
    </xf>
    <xf numFmtId="0" fontId="20" fillId="4" borderId="17" xfId="0" applyFont="1" applyFill="1" applyBorder="1" applyAlignment="1" applyProtection="1">
      <alignment horizontal="center"/>
      <protection locked="0"/>
    </xf>
    <xf numFmtId="3" fontId="20" fillId="4" borderId="12" xfId="0" applyNumberFormat="1" applyFont="1" applyFill="1" applyBorder="1" applyProtection="1">
      <protection locked="0"/>
    </xf>
    <xf numFmtId="0" fontId="20" fillId="4" borderId="1" xfId="0" applyNumberFormat="1" applyFont="1" applyFill="1" applyBorder="1" applyAlignment="1" applyProtection="1">
      <alignment horizontal="left" wrapText="1"/>
      <protection locked="0"/>
    </xf>
    <xf numFmtId="1" fontId="20" fillId="4" borderId="12" xfId="0" applyNumberFormat="1" applyFont="1" applyFill="1" applyBorder="1" applyAlignment="1" applyProtection="1">
      <alignment horizontal="center"/>
      <protection locked="0"/>
    </xf>
    <xf numFmtId="165" fontId="94" fillId="4" borderId="1" xfId="0" quotePrefix="1" applyNumberFormat="1" applyFont="1" applyFill="1" applyBorder="1" applyAlignment="1" applyProtection="1">
      <alignment horizontal="center" vertical="center"/>
      <protection locked="0"/>
    </xf>
    <xf numFmtId="3" fontId="20" fillId="4" borderId="22" xfId="0" applyNumberFormat="1" applyFont="1" applyFill="1" applyBorder="1" applyAlignment="1" applyProtection="1">
      <alignment horizontal="center" vertical="center"/>
      <protection locked="0"/>
    </xf>
    <xf numFmtId="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1" fontId="20" fillId="2" borderId="12" xfId="0" applyNumberFormat="1" applyFont="1" applyFill="1" applyBorder="1" applyAlignment="1" applyProtection="1">
      <alignment horizontal="center"/>
    </xf>
    <xf numFmtId="4" fontId="20" fillId="4" borderId="47" xfId="0" applyNumberFormat="1" applyFont="1" applyFill="1" applyBorder="1" applyAlignment="1" applyProtection="1">
      <alignment horizontal="center" vertical="center"/>
      <protection locked="0"/>
    </xf>
    <xf numFmtId="4" fontId="20" fillId="2" borderId="47" xfId="0" applyNumberFormat="1" applyFont="1" applyFill="1" applyBorder="1" applyAlignment="1" applyProtection="1">
      <alignment horizontal="center" vertical="center"/>
    </xf>
    <xf numFmtId="4" fontId="20" fillId="4" borderId="47" xfId="0" applyNumberFormat="1" applyFont="1" applyFill="1" applyBorder="1" applyAlignment="1" applyProtection="1">
      <alignment horizontal="center" vertical="center"/>
    </xf>
    <xf numFmtId="3" fontId="20" fillId="0" borderId="47" xfId="0" applyNumberFormat="1" applyFont="1" applyBorder="1" applyAlignment="1" applyProtection="1">
      <alignment horizontal="center" vertical="center"/>
      <protection locked="0"/>
    </xf>
    <xf numFmtId="4" fontId="20" fillId="4" borderId="1" xfId="0" applyNumberFormat="1" applyFont="1" applyFill="1" applyBorder="1" applyAlignment="1" applyProtection="1">
      <alignment horizontal="center" vertical="center"/>
    </xf>
    <xf numFmtId="4" fontId="20" fillId="0" borderId="1" xfId="0" applyNumberFormat="1" applyFont="1" applyBorder="1" applyAlignment="1" applyProtection="1">
      <alignment horizontal="center" vertical="center"/>
    </xf>
    <xf numFmtId="3" fontId="20" fillId="0" borderId="1" xfId="0" applyNumberFormat="1" applyFont="1" applyBorder="1" applyAlignment="1" applyProtection="1">
      <alignment horizontal="center" vertical="center"/>
      <protection locked="0"/>
    </xf>
    <xf numFmtId="2" fontId="20" fillId="2" borderId="1" xfId="0" applyNumberFormat="1" applyFont="1" applyFill="1" applyBorder="1" applyAlignment="1" applyProtection="1">
      <alignment horizontal="center" vertical="center"/>
    </xf>
    <xf numFmtId="2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0" fillId="4" borderId="1" xfId="0" applyNumberFormat="1" applyFont="1" applyFill="1" applyBorder="1" applyAlignment="1" applyProtection="1">
      <alignment horizontal="center" vertical="center"/>
    </xf>
    <xf numFmtId="4" fontId="20" fillId="14" borderId="1" xfId="0" applyNumberFormat="1" applyFont="1" applyFill="1" applyBorder="1" applyAlignment="1" applyProtection="1">
      <alignment horizontal="center" vertical="center"/>
    </xf>
    <xf numFmtId="4" fontId="20" fillId="0" borderId="1" xfId="0" applyNumberFormat="1" applyFont="1" applyFill="1" applyBorder="1" applyAlignment="1" applyProtection="1">
      <alignment horizontal="center" vertical="center"/>
      <protection locked="0"/>
    </xf>
    <xf numFmtId="0" fontId="9" fillId="7" borderId="5" xfId="0" applyFont="1" applyFill="1" applyBorder="1" applyAlignment="1" applyProtection="1">
      <protection locked="0"/>
    </xf>
    <xf numFmtId="0" fontId="91" fillId="0" borderId="12" xfId="0" applyFont="1" applyBorder="1" applyAlignment="1" applyProtection="1">
      <alignment horizontal="center" vertical="center"/>
      <protection locked="0"/>
    </xf>
    <xf numFmtId="4" fontId="35" fillId="8" borderId="57" xfId="0" applyNumberFormat="1" applyFont="1" applyFill="1" applyBorder="1" applyAlignment="1" applyProtection="1">
      <alignment horizontal="center"/>
    </xf>
    <xf numFmtId="0" fontId="97" fillId="0" borderId="0" xfId="0" applyFont="1" applyBorder="1" applyAlignment="1" applyProtection="1">
      <alignment horizontal="center"/>
      <protection locked="0"/>
    </xf>
    <xf numFmtId="0" fontId="97" fillId="3" borderId="12" xfId="0" applyFont="1" applyFill="1" applyBorder="1" applyAlignment="1" applyProtection="1">
      <alignment horizontal="center" vertical="center"/>
      <protection locked="0"/>
    </xf>
    <xf numFmtId="0" fontId="97" fillId="3" borderId="31" xfId="0" applyFont="1" applyFill="1" applyBorder="1" applyAlignment="1" applyProtection="1">
      <protection locked="0"/>
    </xf>
    <xf numFmtId="0" fontId="97" fillId="3" borderId="31" xfId="0" applyFont="1" applyFill="1" applyBorder="1" applyAlignment="1" applyProtection="1">
      <alignment horizontal="center"/>
      <protection locked="0"/>
    </xf>
    <xf numFmtId="0" fontId="97" fillId="3" borderId="30" xfId="0" applyFont="1" applyFill="1" applyBorder="1" applyAlignment="1" applyProtection="1">
      <protection locked="0"/>
    </xf>
    <xf numFmtId="4" fontId="98" fillId="3" borderId="25" xfId="0" applyNumberFormat="1" applyFont="1" applyFill="1" applyBorder="1" applyAlignment="1" applyProtection="1">
      <alignment horizontal="center" vertical="center"/>
      <protection locked="0"/>
    </xf>
    <xf numFmtId="4" fontId="99" fillId="4" borderId="0" xfId="0" applyNumberFormat="1" applyFont="1" applyFill="1" applyProtection="1">
      <protection locked="0"/>
    </xf>
    <xf numFmtId="4" fontId="97" fillId="4" borderId="0" xfId="0" applyNumberFormat="1" applyFont="1" applyFill="1" applyBorder="1" applyProtection="1">
      <protection locked="0"/>
    </xf>
    <xf numFmtId="164" fontId="97" fillId="8" borderId="1" xfId="1" applyFont="1" applyFill="1" applyBorder="1" applyAlignment="1" applyProtection="1">
      <alignment vertical="center"/>
    </xf>
    <xf numFmtId="0" fontId="99" fillId="4" borderId="0" xfId="0" applyFont="1" applyFill="1" applyProtection="1">
      <protection locked="0"/>
    </xf>
    <xf numFmtId="0" fontId="99" fillId="4" borderId="0" xfId="0" applyFont="1" applyFill="1" applyAlignment="1" applyProtection="1">
      <alignment horizontal="center"/>
      <protection locked="0"/>
    </xf>
    <xf numFmtId="0" fontId="100" fillId="0" borderId="0" xfId="0" applyFont="1" applyBorder="1" applyAlignment="1" applyProtection="1">
      <alignment horizontal="center"/>
      <protection locked="0"/>
    </xf>
    <xf numFmtId="0" fontId="100" fillId="3" borderId="1" xfId="0" applyFont="1" applyFill="1" applyBorder="1" applyAlignment="1" applyProtection="1">
      <alignment horizontal="center" vertical="center"/>
      <protection locked="0"/>
    </xf>
    <xf numFmtId="0" fontId="100" fillId="3" borderId="1" xfId="0" applyFont="1" applyFill="1" applyBorder="1" applyAlignment="1" applyProtection="1">
      <protection locked="0"/>
    </xf>
    <xf numFmtId="0" fontId="100" fillId="3" borderId="1" xfId="0" applyFont="1" applyFill="1" applyBorder="1" applyAlignment="1" applyProtection="1">
      <alignment horizontal="center"/>
      <protection locked="0"/>
    </xf>
    <xf numFmtId="4" fontId="100" fillId="3" borderId="25" xfId="0" applyNumberFormat="1" applyFont="1" applyFill="1" applyBorder="1" applyAlignment="1" applyProtection="1">
      <alignment horizontal="center" vertical="center"/>
      <protection locked="0"/>
    </xf>
    <xf numFmtId="3" fontId="101" fillId="3" borderId="7" xfId="0" applyNumberFormat="1" applyFont="1" applyFill="1" applyBorder="1" applyAlignment="1" applyProtection="1">
      <alignment horizontal="center" vertical="center"/>
      <protection locked="0"/>
    </xf>
    <xf numFmtId="3" fontId="100" fillId="3" borderId="25" xfId="0" applyNumberFormat="1" applyFont="1" applyFill="1" applyBorder="1" applyAlignment="1" applyProtection="1">
      <alignment horizontal="center" vertical="center"/>
      <protection locked="0"/>
    </xf>
    <xf numFmtId="4" fontId="101" fillId="3" borderId="25" xfId="0" applyNumberFormat="1" applyFont="1" applyFill="1" applyBorder="1" applyAlignment="1" applyProtection="1">
      <alignment horizontal="center" vertical="center"/>
      <protection locked="0"/>
    </xf>
    <xf numFmtId="4" fontId="100" fillId="4" borderId="0" xfId="0" applyNumberFormat="1" applyFont="1" applyFill="1" applyProtection="1">
      <protection locked="0"/>
    </xf>
    <xf numFmtId="4" fontId="100" fillId="4" borderId="0" xfId="0" applyNumberFormat="1" applyFont="1" applyFill="1" applyBorder="1" applyProtection="1">
      <protection locked="0"/>
    </xf>
    <xf numFmtId="164" fontId="100" fillId="8" borderId="1" xfId="1" applyFont="1" applyFill="1" applyBorder="1" applyProtection="1"/>
    <xf numFmtId="0" fontId="100" fillId="4" borderId="0" xfId="0" applyFont="1" applyFill="1" applyProtection="1">
      <protection locked="0"/>
    </xf>
    <xf numFmtId="0" fontId="100" fillId="4" borderId="0" xfId="0" applyFont="1" applyFill="1" applyAlignment="1" applyProtection="1">
      <alignment horizontal="center"/>
      <protection locked="0"/>
    </xf>
    <xf numFmtId="0" fontId="102" fillId="4" borderId="0" xfId="0" applyFont="1" applyFill="1" applyAlignment="1" applyProtection="1">
      <alignment horizontal="center"/>
      <protection locked="0"/>
    </xf>
    <xf numFmtId="0" fontId="102" fillId="4" borderId="0" xfId="0" applyFont="1" applyFill="1" applyAlignment="1" applyProtection="1">
      <alignment horizontal="center" vertical="center"/>
      <protection locked="0"/>
    </xf>
    <xf numFmtId="0" fontId="102" fillId="4" borderId="0" xfId="0" applyFont="1" applyFill="1" applyProtection="1">
      <protection locked="0"/>
    </xf>
    <xf numFmtId="0" fontId="102" fillId="4" borderId="0" xfId="0" applyFont="1" applyFill="1" applyAlignment="1" applyProtection="1">
      <alignment wrapText="1"/>
      <protection locked="0"/>
    </xf>
    <xf numFmtId="2" fontId="102" fillId="4" borderId="0" xfId="0" applyNumberFormat="1" applyFont="1" applyFill="1" applyAlignment="1" applyProtection="1">
      <alignment horizontal="center" vertical="center"/>
      <protection locked="0"/>
    </xf>
    <xf numFmtId="0" fontId="103" fillId="4" borderId="0" xfId="0" applyFont="1" applyFill="1" applyAlignment="1" applyProtection="1">
      <alignment horizontal="center" vertical="center"/>
      <protection locked="0"/>
    </xf>
    <xf numFmtId="2" fontId="102" fillId="4" borderId="0" xfId="0" applyNumberFormat="1" applyFont="1" applyFill="1" applyProtection="1">
      <protection locked="0"/>
    </xf>
    <xf numFmtId="4" fontId="102" fillId="4" borderId="0" xfId="0" applyNumberFormat="1" applyFont="1" applyFill="1" applyProtection="1">
      <protection locked="0"/>
    </xf>
    <xf numFmtId="0" fontId="102" fillId="0" borderId="0" xfId="0" applyFont="1" applyAlignment="1" applyProtection="1">
      <alignment horizontal="center"/>
      <protection locked="0"/>
    </xf>
    <xf numFmtId="0" fontId="100" fillId="11" borderId="11" xfId="0" applyFont="1" applyFill="1" applyBorder="1" applyAlignment="1" applyProtection="1">
      <alignment horizontal="center" vertical="center"/>
      <protection locked="0"/>
    </xf>
    <xf numFmtId="0" fontId="100" fillId="2" borderId="2" xfId="0" applyFont="1" applyFill="1" applyBorder="1" applyAlignment="1" applyProtection="1">
      <alignment horizontal="center"/>
      <protection locked="0"/>
    </xf>
    <xf numFmtId="0" fontId="100" fillId="2" borderId="3" xfId="0" applyFont="1" applyFill="1" applyBorder="1" applyAlignment="1" applyProtection="1">
      <alignment horizontal="center" wrapText="1"/>
      <protection locked="0"/>
    </xf>
    <xf numFmtId="0" fontId="100" fillId="2" borderId="3" xfId="0" applyFont="1" applyFill="1" applyBorder="1" applyAlignment="1" applyProtection="1">
      <alignment horizontal="center"/>
      <protection locked="0"/>
    </xf>
    <xf numFmtId="0" fontId="100" fillId="2" borderId="4" xfId="0" applyFont="1" applyFill="1" applyBorder="1" applyAlignment="1" applyProtection="1">
      <alignment horizontal="center"/>
      <protection locked="0"/>
    </xf>
    <xf numFmtId="4" fontId="100" fillId="2" borderId="6" xfId="0" applyNumberFormat="1" applyFont="1" applyFill="1" applyBorder="1" applyAlignment="1" applyProtection="1">
      <alignment horizontal="center" vertical="center"/>
      <protection locked="0"/>
    </xf>
    <xf numFmtId="0" fontId="102" fillId="0" borderId="0" xfId="0" applyFont="1" applyAlignment="1" applyProtection="1">
      <alignment horizontal="center" vertical="center"/>
      <protection locked="0"/>
    </xf>
    <xf numFmtId="3" fontId="100" fillId="2" borderId="6" xfId="0" applyNumberFormat="1" applyFont="1" applyFill="1" applyBorder="1" applyAlignment="1" applyProtection="1">
      <alignment horizontal="center" vertical="center"/>
      <protection locked="0"/>
    </xf>
    <xf numFmtId="1" fontId="100" fillId="2" borderId="6" xfId="0" applyNumberFormat="1" applyFont="1" applyFill="1" applyBorder="1" applyAlignment="1" applyProtection="1">
      <alignment horizontal="center" vertical="center"/>
      <protection locked="0"/>
    </xf>
    <xf numFmtId="4" fontId="104" fillId="2" borderId="6" xfId="0" applyNumberFormat="1" applyFont="1" applyFill="1" applyBorder="1" applyAlignment="1" applyProtection="1">
      <alignment horizontal="center" vertical="center"/>
      <protection locked="0"/>
    </xf>
    <xf numFmtId="4" fontId="102" fillId="0" borderId="0" xfId="0" applyNumberFormat="1" applyFont="1"/>
    <xf numFmtId="4" fontId="102" fillId="4" borderId="0" xfId="0" applyNumberFormat="1" applyFont="1" applyFill="1" applyAlignment="1" applyProtection="1">
      <alignment horizontal="center"/>
      <protection locked="0"/>
    </xf>
    <xf numFmtId="169" fontId="102" fillId="4" borderId="1" xfId="1" applyNumberFormat="1" applyFont="1" applyFill="1" applyBorder="1" applyProtection="1"/>
    <xf numFmtId="4" fontId="91" fillId="11" borderId="6" xfId="0" applyNumberFormat="1" applyFont="1" applyFill="1" applyBorder="1" applyAlignment="1" applyProtection="1">
      <alignment horizontal="center" vertical="center"/>
      <protection locked="0"/>
    </xf>
    <xf numFmtId="4" fontId="91" fillId="11" borderId="7" xfId="0" applyNumberFormat="1" applyFont="1" applyFill="1" applyBorder="1" applyAlignment="1" applyProtection="1">
      <alignment horizontal="center" vertical="center"/>
      <protection locked="0"/>
    </xf>
    <xf numFmtId="4" fontId="91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5" xfId="0" applyNumberFormat="1" applyFont="1" applyFill="1" applyBorder="1" applyAlignment="1" applyProtection="1">
      <alignment horizontal="center" vertical="center" wrapText="1"/>
      <protection locked="0"/>
    </xf>
    <xf numFmtId="4" fontId="91" fillId="11" borderId="8" xfId="0" applyNumberFormat="1" applyFont="1" applyFill="1" applyBorder="1" applyAlignment="1" applyProtection="1">
      <alignment horizontal="center" vertical="center" wrapText="1"/>
      <protection locked="0"/>
    </xf>
    <xf numFmtId="4" fontId="91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05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6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105" fillId="11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3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4" xfId="0" applyNumberFormat="1" applyFont="1" applyFill="1" applyBorder="1" applyAlignment="1" applyProtection="1">
      <alignment horizontal="center" vertical="center" wrapText="1"/>
      <protection locked="0"/>
    </xf>
    <xf numFmtId="2" fontId="105" fillId="11" borderId="4" xfId="0" applyNumberFormat="1" applyFont="1" applyFill="1" applyBorder="1" applyAlignment="1" applyProtection="1">
      <alignment horizontal="center" vertical="center" wrapText="1"/>
      <protection locked="0"/>
    </xf>
    <xf numFmtId="2" fontId="20" fillId="11" borderId="25" xfId="0" applyNumberFormat="1" applyFont="1" applyFill="1" applyBorder="1" applyAlignment="1" applyProtection="1">
      <alignment horizontal="center" vertical="center" wrapText="1"/>
      <protection locked="0"/>
    </xf>
    <xf numFmtId="2" fontId="105" fillId="11" borderId="35" xfId="0" applyNumberFormat="1" applyFont="1" applyFill="1" applyBorder="1" applyAlignment="1" applyProtection="1">
      <alignment horizontal="center" vertical="center" wrapText="1"/>
      <protection locked="0"/>
    </xf>
    <xf numFmtId="2" fontId="20" fillId="11" borderId="41" xfId="0" applyNumberFormat="1" applyFont="1" applyFill="1" applyBorder="1" applyAlignment="1" applyProtection="1">
      <alignment horizontal="center" vertical="center" wrapText="1"/>
      <protection locked="0"/>
    </xf>
    <xf numFmtId="4" fontId="106" fillId="3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20" fillId="3" borderId="10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1" xfId="0" applyNumberFormat="1" applyFont="1" applyFill="1" applyBorder="1" applyAlignment="1" applyProtection="1">
      <alignment horizontal="center" vertical="center" wrapText="1"/>
      <protection locked="0"/>
    </xf>
    <xf numFmtId="4" fontId="96" fillId="15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0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25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5" xfId="0" applyNumberFormat="1" applyFont="1" applyFill="1" applyBorder="1" applyAlignment="1" applyProtection="1">
      <alignment horizontal="center" vertical="center" wrapText="1"/>
      <protection locked="0"/>
    </xf>
    <xf numFmtId="4" fontId="91" fillId="2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23" xfId="0" applyNumberFormat="1" applyFont="1" applyFill="1" applyBorder="1" applyAlignment="1" applyProtection="1">
      <alignment horizontal="center" vertical="center" wrapText="1"/>
      <protection locked="0"/>
    </xf>
    <xf numFmtId="4" fontId="105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05" fillId="3" borderId="11" xfId="0" applyNumberFormat="1" applyFont="1" applyFill="1" applyBorder="1" applyAlignment="1" applyProtection="1">
      <alignment horizontal="center" vertical="center" wrapText="1"/>
      <protection locked="0"/>
    </xf>
    <xf numFmtId="4" fontId="95" fillId="2" borderId="1" xfId="11" applyNumberFormat="1" applyFont="1" applyFill="1" applyBorder="1" applyAlignment="1" applyProtection="1">
      <alignment horizontal="center" vertical="center" wrapText="1"/>
    </xf>
    <xf numFmtId="0" fontId="95" fillId="2" borderId="1" xfId="7" applyFont="1" applyFill="1" applyBorder="1" applyAlignment="1" applyProtection="1">
      <alignment horizontal="center" vertical="center" wrapText="1"/>
    </xf>
    <xf numFmtId="4" fontId="95" fillId="15" borderId="1" xfId="11" applyNumberFormat="1" applyFont="1" applyFill="1" applyBorder="1" applyAlignment="1" applyProtection="1">
      <alignment horizontal="center" vertical="center" wrapText="1"/>
    </xf>
    <xf numFmtId="0" fontId="20" fillId="4" borderId="0" xfId="0" applyFont="1" applyFill="1" applyBorder="1" applyProtection="1">
      <protection locked="0"/>
    </xf>
    <xf numFmtId="0" fontId="107" fillId="4" borderId="0" xfId="0" applyFont="1" applyFill="1" applyBorder="1" applyAlignment="1" applyProtection="1">
      <alignment horizontal="center" vertical="center"/>
      <protection locked="0"/>
    </xf>
    <xf numFmtId="4" fontId="107" fillId="4" borderId="0" xfId="0" applyNumberFormat="1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Alignment="1" applyProtection="1">
      <alignment horizontal="left" vertical="center"/>
      <protection locked="0"/>
    </xf>
    <xf numFmtId="4" fontId="85" fillId="11" borderId="11" xfId="0" applyNumberFormat="1" applyFont="1" applyFill="1" applyBorder="1" applyAlignment="1" applyProtection="1">
      <alignment horizontal="center" vertical="center" wrapText="1"/>
      <protection locked="0"/>
    </xf>
    <xf numFmtId="4" fontId="108" fillId="2" borderId="6" xfId="0" applyNumberFormat="1" applyFont="1" applyFill="1" applyBorder="1" applyAlignment="1" applyProtection="1">
      <alignment horizontal="left" vertical="center"/>
      <protection locked="0"/>
    </xf>
    <xf numFmtId="4" fontId="108" fillId="2" borderId="4" xfId="0" applyNumberFormat="1" applyFont="1" applyFill="1" applyBorder="1" applyAlignment="1" applyProtection="1">
      <alignment horizontal="center" vertical="center"/>
      <protection locked="0"/>
    </xf>
    <xf numFmtId="4" fontId="108" fillId="2" borderId="3" xfId="0" applyNumberFormat="1" applyFont="1" applyFill="1" applyBorder="1" applyAlignment="1" applyProtection="1">
      <alignment horizontal="left" vertical="center"/>
      <protection locked="0"/>
    </xf>
    <xf numFmtId="4" fontId="108" fillId="2" borderId="4" xfId="0" applyNumberFormat="1" applyFont="1" applyFill="1" applyBorder="1" applyAlignment="1" applyProtection="1">
      <alignment horizontal="left" vertical="center"/>
      <protection locked="0"/>
    </xf>
    <xf numFmtId="0" fontId="85" fillId="4" borderId="0" xfId="0" applyFont="1" applyFill="1" applyAlignment="1" applyProtection="1">
      <alignment horizontal="center" vertical="center"/>
      <protection locked="0"/>
    </xf>
    <xf numFmtId="4" fontId="108" fillId="2" borderId="2" xfId="0" applyNumberFormat="1" applyFont="1" applyFill="1" applyBorder="1" applyAlignment="1" applyProtection="1">
      <alignment horizontal="center" vertical="center"/>
      <protection locked="0"/>
    </xf>
    <xf numFmtId="4" fontId="108" fillId="2" borderId="3" xfId="0" applyNumberFormat="1" applyFont="1" applyFill="1" applyBorder="1" applyAlignment="1" applyProtection="1">
      <alignment horizontal="center" vertical="center"/>
      <protection locked="0"/>
    </xf>
    <xf numFmtId="43" fontId="109" fillId="5" borderId="1" xfId="13" applyFont="1" applyFill="1" applyBorder="1" applyAlignment="1">
      <alignment vertical="center"/>
    </xf>
    <xf numFmtId="4" fontId="20" fillId="4" borderId="1" xfId="0" applyNumberFormat="1" applyFont="1" applyFill="1" applyBorder="1" applyProtection="1">
      <protection locked="0"/>
    </xf>
    <xf numFmtId="164" fontId="35" fillId="0" borderId="29" xfId="1" applyFont="1" applyBorder="1" applyAlignment="1" applyProtection="1">
      <alignment horizontal="center"/>
      <protection locked="0"/>
    </xf>
    <xf numFmtId="164" fontId="35" fillId="3" borderId="39" xfId="1" applyFont="1" applyFill="1" applyBorder="1" applyAlignment="1" applyProtection="1">
      <protection locked="0"/>
    </xf>
    <xf numFmtId="164" fontId="35" fillId="3" borderId="39" xfId="1" applyFont="1" applyFill="1" applyBorder="1" applyAlignment="1" applyProtection="1">
      <alignment horizontal="center"/>
      <protection locked="0"/>
    </xf>
    <xf numFmtId="164" fontId="35" fillId="3" borderId="38" xfId="1" applyFont="1" applyFill="1" applyBorder="1" applyAlignment="1" applyProtection="1">
      <protection locked="0"/>
    </xf>
    <xf numFmtId="164" fontId="97" fillId="3" borderId="7" xfId="1" applyFont="1" applyFill="1" applyBorder="1" applyAlignment="1" applyProtection="1">
      <alignment horizontal="center" vertical="center"/>
    </xf>
    <xf numFmtId="164" fontId="97" fillId="3" borderId="7" xfId="1" applyFont="1" applyFill="1" applyBorder="1" applyAlignment="1" applyProtection="1">
      <alignment horizontal="center" vertical="center"/>
      <protection locked="0"/>
    </xf>
    <xf numFmtId="164" fontId="98" fillId="3" borderId="7" xfId="1" applyFont="1" applyFill="1" applyBorder="1" applyAlignment="1" applyProtection="1">
      <alignment horizontal="center" vertical="center"/>
      <protection locked="0"/>
    </xf>
    <xf numFmtId="164" fontId="35" fillId="3" borderId="7" xfId="1" applyFont="1" applyFill="1" applyBorder="1" applyAlignment="1" applyProtection="1">
      <alignment horizontal="center" vertical="center"/>
      <protection locked="0"/>
    </xf>
    <xf numFmtId="164" fontId="35" fillId="4" borderId="0" xfId="1" applyFont="1" applyFill="1" applyProtection="1">
      <protection locked="0"/>
    </xf>
    <xf numFmtId="164" fontId="35" fillId="4" borderId="0" xfId="1" applyFont="1" applyFill="1" applyBorder="1" applyProtection="1">
      <protection locked="0"/>
    </xf>
    <xf numFmtId="164" fontId="35" fillId="4" borderId="0" xfId="1" applyFont="1" applyFill="1" applyAlignment="1" applyProtection="1">
      <alignment horizontal="center"/>
      <protection locked="0"/>
    </xf>
    <xf numFmtId="0" fontId="20" fillId="8" borderId="17" xfId="0" applyFont="1" applyFill="1" applyBorder="1" applyAlignment="1" applyProtection="1">
      <alignment horizontal="center"/>
      <protection locked="0"/>
    </xf>
    <xf numFmtId="0" fontId="91" fillId="8" borderId="22" xfId="0" applyFont="1" applyFill="1" applyBorder="1" applyAlignment="1" applyProtection="1">
      <alignment horizontal="center" vertical="center"/>
      <protection locked="0"/>
    </xf>
    <xf numFmtId="0" fontId="20" fillId="8" borderId="1" xfId="0" applyNumberFormat="1" applyFont="1" applyFill="1" applyBorder="1" applyAlignment="1" applyProtection="1">
      <alignment horizontal="left" wrapText="1"/>
      <protection locked="0"/>
    </xf>
    <xf numFmtId="0" fontId="20" fillId="8" borderId="1" xfId="0" applyFont="1" applyFill="1" applyBorder="1" applyAlignment="1" applyProtection="1">
      <alignment horizontal="center"/>
      <protection locked="0"/>
    </xf>
    <xf numFmtId="14" fontId="20" fillId="8" borderId="1" xfId="0" applyNumberFormat="1" applyFont="1" applyFill="1" applyBorder="1" applyAlignment="1" applyProtection="1">
      <alignment horizontal="center"/>
      <protection locked="0"/>
    </xf>
    <xf numFmtId="14" fontId="20" fillId="8" borderId="1" xfId="0" applyNumberFormat="1" applyFont="1" applyFill="1" applyBorder="1" applyProtection="1"/>
    <xf numFmtId="1" fontId="20" fillId="8" borderId="22" xfId="0" applyNumberFormat="1" applyFont="1" applyFill="1" applyBorder="1" applyAlignment="1" applyProtection="1">
      <alignment horizontal="center"/>
    </xf>
    <xf numFmtId="1" fontId="20" fillId="8" borderId="12" xfId="0" applyNumberFormat="1" applyFont="1" applyFill="1" applyBorder="1" applyAlignment="1" applyProtection="1">
      <alignment horizontal="center"/>
      <protection locked="0"/>
    </xf>
    <xf numFmtId="1" fontId="20" fillId="8" borderId="1" xfId="0" applyNumberFormat="1" applyFont="1" applyFill="1" applyBorder="1" applyAlignment="1" applyProtection="1">
      <alignment horizontal="center"/>
      <protection locked="0"/>
    </xf>
    <xf numFmtId="0" fontId="20" fillId="8" borderId="1" xfId="0" applyFont="1" applyFill="1" applyBorder="1" applyProtection="1">
      <protection locked="0"/>
    </xf>
    <xf numFmtId="0" fontId="20" fillId="8" borderId="12" xfId="0" applyFont="1" applyFill="1" applyBorder="1" applyProtection="1">
      <protection locked="0"/>
    </xf>
    <xf numFmtId="0" fontId="20" fillId="8" borderId="1" xfId="0" applyFont="1" applyFill="1" applyBorder="1" applyAlignment="1" applyProtection="1">
      <alignment horizontal="right"/>
    </xf>
    <xf numFmtId="165" fontId="94" fillId="8" borderId="1" xfId="0" quotePrefix="1" applyNumberFormat="1" applyFont="1" applyFill="1" applyBorder="1" applyAlignment="1" applyProtection="1">
      <alignment horizontal="center"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</xf>
    <xf numFmtId="4" fontId="20" fillId="8" borderId="22" xfId="0" applyNumberFormat="1" applyFont="1" applyFill="1" applyBorder="1" applyAlignment="1" applyProtection="1">
      <alignment horizontal="center" vertical="center"/>
      <protection locked="0"/>
    </xf>
    <xf numFmtId="4" fontId="20" fillId="8" borderId="22" xfId="0" applyNumberFormat="1" applyFont="1" applyFill="1" applyBorder="1" applyAlignment="1" applyProtection="1">
      <alignment horizontal="center" vertical="center"/>
    </xf>
    <xf numFmtId="0" fontId="20" fillId="8" borderId="22" xfId="0" applyFont="1" applyFill="1" applyBorder="1" applyAlignment="1" applyProtection="1">
      <alignment horizontal="center"/>
      <protection locked="0"/>
    </xf>
    <xf numFmtId="3" fontId="20" fillId="8" borderId="22" xfId="0" applyNumberFormat="1" applyFont="1" applyFill="1" applyBorder="1" applyAlignment="1" applyProtection="1">
      <alignment horizontal="center" vertical="center"/>
      <protection locked="0"/>
    </xf>
    <xf numFmtId="2" fontId="20" fillId="8" borderId="22" xfId="0" applyNumberFormat="1" applyFont="1" applyFill="1" applyBorder="1" applyAlignment="1" applyProtection="1">
      <alignment horizontal="center" vertical="center"/>
    </xf>
    <xf numFmtId="2" fontId="20" fillId="8" borderId="22" xfId="0" applyNumberFormat="1" applyFont="1" applyFill="1" applyBorder="1" applyAlignment="1" applyProtection="1">
      <alignment horizontal="center" vertical="center"/>
      <protection locked="0"/>
    </xf>
    <xf numFmtId="4" fontId="23" fillId="8" borderId="27" xfId="0" applyNumberFormat="1" applyFont="1" applyFill="1" applyBorder="1" applyAlignment="1" applyProtection="1">
      <alignment horizontal="center" vertical="center"/>
      <protection locked="0"/>
    </xf>
    <xf numFmtId="4" fontId="20" fillId="8" borderId="27" xfId="0" applyNumberFormat="1" applyFont="1" applyFill="1" applyBorder="1" applyAlignment="1" applyProtection="1">
      <alignment horizontal="center" vertical="center"/>
      <protection locked="0"/>
    </xf>
    <xf numFmtId="4" fontId="20" fillId="8" borderId="34" xfId="0" applyNumberFormat="1" applyFont="1" applyFill="1" applyBorder="1" applyAlignment="1" applyProtection="1">
      <alignment horizontal="center" vertical="center"/>
    </xf>
    <xf numFmtId="4" fontId="20" fillId="8" borderId="11" xfId="0" applyNumberFormat="1" applyFont="1" applyFill="1" applyBorder="1" applyAlignment="1" applyProtection="1">
      <alignment horizontal="center" vertical="center"/>
    </xf>
    <xf numFmtId="4" fontId="20" fillId="8" borderId="27" xfId="0" applyNumberFormat="1" applyFont="1" applyFill="1" applyBorder="1" applyAlignment="1" applyProtection="1">
      <alignment horizontal="center" vertical="center"/>
    </xf>
    <xf numFmtId="4" fontId="20" fillId="8" borderId="48" xfId="0" applyNumberFormat="1" applyFont="1" applyFill="1" applyBorder="1" applyAlignment="1" applyProtection="1">
      <alignment horizontal="center" vertical="center"/>
      <protection locked="0"/>
    </xf>
    <xf numFmtId="4" fontId="91" fillId="8" borderId="14" xfId="0" applyNumberFormat="1" applyFont="1" applyFill="1" applyBorder="1" applyAlignment="1" applyProtection="1">
      <alignment horizontal="center" vertical="center"/>
    </xf>
    <xf numFmtId="4" fontId="91" fillId="8" borderId="14" xfId="0" applyNumberFormat="1" applyFont="1" applyFill="1" applyBorder="1" applyAlignment="1" applyProtection="1">
      <alignment horizontal="center" vertical="center"/>
      <protection locked="0"/>
    </xf>
    <xf numFmtId="4" fontId="20" fillId="8" borderId="0" xfId="0" applyNumberFormat="1" applyFont="1" applyFill="1" applyProtection="1">
      <protection locked="0"/>
    </xf>
    <xf numFmtId="4" fontId="20" fillId="8" borderId="0" xfId="0" applyNumberFormat="1" applyFont="1" applyFill="1" applyBorder="1" applyProtection="1">
      <protection locked="0"/>
    </xf>
    <xf numFmtId="164" fontId="20" fillId="8" borderId="1" xfId="1" applyFont="1" applyFill="1" applyBorder="1" applyProtection="1"/>
    <xf numFmtId="4" fontId="20" fillId="8" borderId="1" xfId="0" applyNumberFormat="1" applyFont="1" applyFill="1" applyBorder="1" applyProtection="1">
      <protection locked="0"/>
    </xf>
    <xf numFmtId="0" fontId="20" fillId="8" borderId="0" xfId="0" applyFont="1" applyFill="1" applyProtection="1">
      <protection locked="0"/>
    </xf>
    <xf numFmtId="0" fontId="20" fillId="8" borderId="0" xfId="0" applyFont="1" applyFill="1" applyAlignment="1" applyProtection="1">
      <alignment horizontal="center"/>
      <protection locked="0"/>
    </xf>
    <xf numFmtId="3" fontId="20" fillId="8" borderId="1" xfId="0" applyNumberFormat="1" applyFont="1" applyFill="1" applyBorder="1" applyProtection="1">
      <protection locked="0"/>
    </xf>
    <xf numFmtId="0" fontId="1" fillId="4" borderId="0" xfId="0" applyFont="1" applyFill="1" applyAlignment="1">
      <alignment horizontal="center"/>
    </xf>
    <xf numFmtId="4" fontId="110" fillId="8" borderId="1" xfId="0" applyNumberFormat="1" applyFont="1" applyFill="1" applyBorder="1" applyProtection="1">
      <protection locked="0"/>
    </xf>
    <xf numFmtId="4" fontId="19" fillId="6" borderId="11" xfId="0" applyNumberFormat="1" applyFont="1" applyFill="1" applyBorder="1" applyAlignment="1">
      <alignment horizontal="center" vertical="center"/>
    </xf>
    <xf numFmtId="4" fontId="18" fillId="4" borderId="58" xfId="0" applyNumberFormat="1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4" fontId="18" fillId="4" borderId="0" xfId="0" applyNumberFormat="1" applyFont="1" applyFill="1" applyBorder="1" applyAlignment="1">
      <alignment horizontal="center" vertical="center"/>
    </xf>
    <xf numFmtId="4" fontId="15" fillId="4" borderId="0" xfId="0" applyNumberFormat="1" applyFont="1" applyFill="1" applyBorder="1" applyAlignment="1">
      <alignment horizontal="center" vertical="center"/>
    </xf>
    <xf numFmtId="4" fontId="15" fillId="4" borderId="5" xfId="0" applyNumberFormat="1" applyFont="1" applyFill="1" applyBorder="1" applyAlignment="1">
      <alignment horizontal="center" vertical="center"/>
    </xf>
    <xf numFmtId="3" fontId="19" fillId="6" borderId="2" xfId="0" applyNumberFormat="1" applyFont="1" applyFill="1" applyBorder="1" applyAlignment="1">
      <alignment horizontal="center" vertical="center"/>
    </xf>
    <xf numFmtId="3" fontId="19" fillId="6" borderId="11" xfId="0" applyNumberFormat="1" applyFont="1" applyFill="1" applyBorder="1" applyAlignment="1">
      <alignment horizontal="center" vertical="center"/>
    </xf>
    <xf numFmtId="3" fontId="19" fillId="6" borderId="6" xfId="0" applyNumberFormat="1" applyFont="1" applyFill="1" applyBorder="1" applyAlignment="1">
      <alignment horizontal="center" vertical="center"/>
    </xf>
    <xf numFmtId="3" fontId="19" fillId="6" borderId="7" xfId="0" applyNumberFormat="1" applyFont="1" applyFill="1" applyBorder="1" applyAlignment="1">
      <alignment horizontal="center" vertical="center"/>
    </xf>
    <xf numFmtId="3" fontId="19" fillId="6" borderId="8" xfId="0" applyNumberFormat="1" applyFont="1" applyFill="1" applyBorder="1" applyAlignment="1">
      <alignment horizontal="center" vertical="center"/>
    </xf>
    <xf numFmtId="4" fontId="9" fillId="3" borderId="6" xfId="0" applyNumberFormat="1" applyFont="1" applyFill="1" applyBorder="1" applyAlignment="1">
      <alignment horizontal="center" vertical="center" wrapText="1"/>
    </xf>
    <xf numFmtId="4" fontId="9" fillId="3" borderId="10" xfId="0" applyNumberFormat="1" applyFont="1" applyFill="1" applyBorder="1" applyAlignment="1">
      <alignment horizontal="center" vertical="center" wrapText="1"/>
    </xf>
    <xf numFmtId="4" fontId="9" fillId="3" borderId="4" xfId="0" applyNumberFormat="1" applyFont="1" applyFill="1" applyBorder="1" applyAlignment="1">
      <alignment horizontal="center" vertical="center" wrapText="1"/>
    </xf>
    <xf numFmtId="4" fontId="9" fillId="26" borderId="6" xfId="0" applyNumberFormat="1" applyFont="1" applyFill="1" applyBorder="1" applyAlignment="1">
      <alignment horizontal="center" vertical="center" wrapText="1"/>
    </xf>
    <xf numFmtId="4" fontId="9" fillId="26" borderId="7" xfId="0" applyNumberFormat="1" applyFont="1" applyFill="1" applyBorder="1" applyAlignment="1">
      <alignment horizontal="center" vertical="center" wrapText="1"/>
    </xf>
    <xf numFmtId="4" fontId="9" fillId="26" borderId="8" xfId="0" applyNumberFormat="1" applyFont="1" applyFill="1" applyBorder="1" applyAlignment="1">
      <alignment horizontal="center" vertical="center" wrapText="1"/>
    </xf>
    <xf numFmtId="4" fontId="9" fillId="26" borderId="3" xfId="0" applyNumberFormat="1" applyFont="1" applyFill="1" applyBorder="1" applyAlignment="1">
      <alignment horizontal="center" vertical="center" wrapText="1"/>
    </xf>
    <xf numFmtId="4" fontId="9" fillId="26" borderId="11" xfId="0" applyNumberFormat="1" applyFont="1" applyFill="1" applyBorder="1" applyAlignment="1">
      <alignment horizontal="center" vertical="center" wrapText="1"/>
    </xf>
    <xf numFmtId="4" fontId="9" fillId="3" borderId="24" xfId="0" applyNumberFormat="1" applyFont="1" applyFill="1" applyBorder="1" applyAlignment="1">
      <alignment horizontal="center" vertical="center" wrapText="1"/>
    </xf>
    <xf numFmtId="4" fontId="9" fillId="2" borderId="6" xfId="0" applyNumberFormat="1" applyFont="1" applyFill="1" applyBorder="1" applyAlignment="1">
      <alignment horizontal="center" vertical="center" wrapText="1"/>
    </xf>
    <xf numFmtId="4" fontId="9" fillId="2" borderId="7" xfId="0" applyNumberFormat="1" applyFont="1" applyFill="1" applyBorder="1" applyAlignment="1">
      <alignment horizontal="center" vertical="center" wrapText="1"/>
    </xf>
    <xf numFmtId="4" fontId="9" fillId="2" borderId="8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4" fontId="1" fillId="0" borderId="22" xfId="0" applyNumberFormat="1" applyFont="1" applyFill="1" applyBorder="1" applyAlignment="1">
      <alignment horizontal="center" vertical="center"/>
    </xf>
    <xf numFmtId="4" fontId="1" fillId="0" borderId="22" xfId="0" applyNumberFormat="1" applyFont="1" applyBorder="1" applyAlignment="1">
      <alignment horizontal="center" vertical="center"/>
    </xf>
    <xf numFmtId="4" fontId="1" fillId="0" borderId="27" xfId="0" applyNumberFormat="1" applyFont="1" applyFill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7" xfId="0" applyNumberFormat="1" applyFont="1" applyBorder="1" applyAlignment="1">
      <alignment horizontal="center" vertical="center"/>
    </xf>
    <xf numFmtId="4" fontId="1" fillId="4" borderId="14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center" vertical="center"/>
    </xf>
    <xf numFmtId="4" fontId="1" fillId="0" borderId="18" xfId="0" applyNumberFormat="1" applyFont="1" applyBorder="1" applyAlignment="1">
      <alignment horizontal="center" vertical="center"/>
    </xf>
    <xf numFmtId="4" fontId="1" fillId="4" borderId="9" xfId="0" applyNumberFormat="1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/>
    </xf>
    <xf numFmtId="4" fontId="1" fillId="0" borderId="20" xfId="0" applyNumberFormat="1" applyFont="1" applyBorder="1" applyAlignment="1">
      <alignment horizontal="center" vertical="center"/>
    </xf>
    <xf numFmtId="4" fontId="1" fillId="0" borderId="25" xfId="0" applyNumberFormat="1" applyFont="1" applyFill="1" applyBorder="1" applyAlignment="1">
      <alignment horizontal="center" vertical="center"/>
    </xf>
    <xf numFmtId="4" fontId="1" fillId="0" borderId="25" xfId="0" applyNumberFormat="1" applyFont="1" applyBorder="1" applyAlignment="1">
      <alignment horizontal="center" vertical="center"/>
    </xf>
    <xf numFmtId="4" fontId="1" fillId="0" borderId="47" xfId="0" applyNumberFormat="1" applyFont="1" applyBorder="1" applyAlignment="1">
      <alignment horizontal="center" vertical="center"/>
    </xf>
    <xf numFmtId="4" fontId="9" fillId="4" borderId="0" xfId="0" applyNumberFormat="1" applyFont="1" applyFill="1" applyBorder="1"/>
    <xf numFmtId="4" fontId="1" fillId="4" borderId="0" xfId="0" applyNumberFormat="1" applyFont="1" applyFill="1" applyBorder="1"/>
    <xf numFmtId="4" fontId="1" fillId="0" borderId="12" xfId="0" applyNumberFormat="1" applyFont="1" applyFill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21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4" fontId="1" fillId="4" borderId="21" xfId="0" applyNumberFormat="1" applyFont="1" applyFill="1" applyBorder="1" applyAlignment="1">
      <alignment horizontal="center" vertical="center"/>
    </xf>
    <xf numFmtId="4" fontId="13" fillId="5" borderId="25" xfId="0" applyNumberFormat="1" applyFont="1" applyFill="1" applyBorder="1" applyAlignment="1">
      <alignment horizontal="center" vertical="center"/>
    </xf>
    <xf numFmtId="4" fontId="9" fillId="2" borderId="28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4" fontId="9" fillId="2" borderId="8" xfId="0" applyNumberFormat="1" applyFont="1" applyFill="1" applyBorder="1" applyAlignment="1">
      <alignment horizontal="center" vertical="center"/>
    </xf>
    <xf numFmtId="4" fontId="9" fillId="2" borderId="23" xfId="0" applyNumberFormat="1" applyFont="1" applyFill="1" applyBorder="1" applyAlignment="1">
      <alignment horizontal="center" vertical="center"/>
    </xf>
    <xf numFmtId="4" fontId="14" fillId="8" borderId="0" xfId="0" applyNumberFormat="1" applyFont="1" applyFill="1" applyAlignment="1">
      <alignment horizontal="center" vertical="center"/>
    </xf>
    <xf numFmtId="4" fontId="1" fillId="27" borderId="0" xfId="0" applyNumberFormat="1" applyFont="1" applyFill="1" applyAlignment="1">
      <alignment horizontal="center" vertical="center"/>
    </xf>
    <xf numFmtId="0" fontId="112" fillId="0" borderId="0" xfId="15" applyFont="1"/>
    <xf numFmtId="0" fontId="57" fillId="0" borderId="1" xfId="15" applyFont="1" applyBorder="1" applyAlignment="1">
      <alignment horizontal="center" wrapText="1"/>
    </xf>
    <xf numFmtId="0" fontId="57" fillId="28" borderId="1" xfId="15" applyFont="1" applyFill="1" applyBorder="1" applyAlignment="1">
      <alignment horizontal="center" wrapText="1"/>
    </xf>
    <xf numFmtId="14" fontId="57" fillId="28" borderId="1" xfId="15" applyNumberFormat="1" applyFont="1" applyFill="1" applyBorder="1" applyAlignment="1">
      <alignment horizontal="center" wrapText="1"/>
    </xf>
    <xf numFmtId="0" fontId="57" fillId="0" borderId="0" xfId="15" applyFont="1" applyAlignment="1">
      <alignment horizontal="center" wrapText="1"/>
    </xf>
    <xf numFmtId="0" fontId="113" fillId="0" borderId="1" xfId="15" applyFont="1" applyBorder="1" applyAlignment="1">
      <alignment horizontal="center"/>
    </xf>
    <xf numFmtId="0" fontId="113" fillId="0" borderId="1" xfId="15" applyFont="1" applyBorder="1"/>
    <xf numFmtId="0" fontId="113" fillId="0" borderId="1" xfId="15" applyFont="1" applyBorder="1" applyAlignment="1">
      <alignment wrapText="1"/>
    </xf>
    <xf numFmtId="14" fontId="113" fillId="0" borderId="1" xfId="15" applyNumberFormat="1" applyFont="1" applyBorder="1" applyAlignment="1">
      <alignment horizontal="center"/>
    </xf>
    <xf numFmtId="0" fontId="111" fillId="0" borderId="0" xfId="15"/>
    <xf numFmtId="0" fontId="53" fillId="4" borderId="0" xfId="0" applyFont="1" applyFill="1" applyAlignment="1" applyProtection="1">
      <alignment horizontal="center"/>
      <protection locked="0"/>
    </xf>
    <xf numFmtId="0" fontId="20" fillId="4" borderId="12" xfId="0" applyFont="1" applyFill="1" applyBorder="1" applyAlignment="1" applyProtection="1">
      <alignment horizontal="center" vertical="center"/>
      <protection locked="0"/>
    </xf>
    <xf numFmtId="4" fontId="85" fillId="4" borderId="0" xfId="0" applyNumberFormat="1" applyFont="1" applyFill="1" applyProtection="1">
      <protection locked="0"/>
    </xf>
    <xf numFmtId="4" fontId="20" fillId="4" borderId="0" xfId="0" applyNumberFormat="1" applyFont="1" applyFill="1" applyAlignment="1" applyProtection="1">
      <alignment vertical="center"/>
      <protection locked="0"/>
    </xf>
    <xf numFmtId="3" fontId="20" fillId="4" borderId="47" xfId="0" applyNumberFormat="1" applyFont="1" applyFill="1" applyBorder="1" applyAlignment="1" applyProtection="1">
      <alignment horizontal="center" vertical="center"/>
      <protection locked="0"/>
    </xf>
    <xf numFmtId="4" fontId="114" fillId="4" borderId="0" xfId="0" applyNumberFormat="1" applyFont="1" applyFill="1" applyProtection="1">
      <protection locked="0"/>
    </xf>
    <xf numFmtId="0" fontId="115" fillId="4" borderId="0" xfId="0" applyFont="1" applyFill="1" applyAlignment="1" applyProtection="1">
      <alignment horizontal="left"/>
      <protection locked="0"/>
    </xf>
    <xf numFmtId="0" fontId="20" fillId="4" borderId="18" xfId="0" applyFont="1" applyFill="1" applyBorder="1" applyAlignment="1" applyProtection="1">
      <alignment horizontal="center"/>
      <protection locked="0"/>
    </xf>
    <xf numFmtId="0" fontId="20" fillId="29" borderId="17" xfId="0" applyFont="1" applyFill="1" applyBorder="1" applyAlignment="1" applyProtection="1">
      <alignment horizontal="center"/>
      <protection locked="0"/>
    </xf>
    <xf numFmtId="0" fontId="91" fillId="29" borderId="1" xfId="0" applyFont="1" applyFill="1" applyBorder="1" applyAlignment="1" applyProtection="1">
      <alignment horizontal="center" vertical="center"/>
      <protection locked="0"/>
    </xf>
    <xf numFmtId="3" fontId="20" fillId="29" borderId="1" xfId="0" applyNumberFormat="1" applyFont="1" applyFill="1" applyBorder="1" applyProtection="1">
      <protection locked="0"/>
    </xf>
    <xf numFmtId="0" fontId="20" fillId="29" borderId="1" xfId="0" applyFont="1" applyFill="1" applyBorder="1" applyAlignment="1" applyProtection="1">
      <alignment wrapText="1"/>
      <protection locked="0"/>
    </xf>
    <xf numFmtId="0" fontId="20" fillId="29" borderId="1" xfId="0" applyFont="1" applyFill="1" applyBorder="1" applyAlignment="1" applyProtection="1">
      <alignment horizontal="center"/>
      <protection locked="0"/>
    </xf>
    <xf numFmtId="14" fontId="20" fillId="29" borderId="1" xfId="0" applyNumberFormat="1" applyFont="1" applyFill="1" applyBorder="1" applyAlignment="1" applyProtection="1">
      <alignment horizontal="center"/>
      <protection locked="0"/>
    </xf>
    <xf numFmtId="14" fontId="20" fillId="29" borderId="1" xfId="0" applyNumberFormat="1" applyFont="1" applyFill="1" applyBorder="1" applyProtection="1"/>
    <xf numFmtId="1" fontId="20" fillId="29" borderId="22" xfId="0" applyNumberFormat="1" applyFont="1" applyFill="1" applyBorder="1" applyAlignment="1" applyProtection="1">
      <alignment horizontal="center"/>
    </xf>
    <xf numFmtId="1" fontId="20" fillId="29" borderId="22" xfId="0" applyNumberFormat="1" applyFont="1" applyFill="1" applyBorder="1" applyAlignment="1" applyProtection="1">
      <alignment horizontal="center"/>
      <protection locked="0"/>
    </xf>
    <xf numFmtId="1" fontId="20" fillId="29" borderId="1" xfId="0" applyNumberFormat="1" applyFont="1" applyFill="1" applyBorder="1" applyAlignment="1" applyProtection="1">
      <alignment horizontal="center"/>
      <protection locked="0"/>
    </xf>
    <xf numFmtId="0" fontId="20" fillId="29" borderId="1" xfId="0" applyFont="1" applyFill="1" applyBorder="1" applyProtection="1">
      <protection locked="0"/>
    </xf>
    <xf numFmtId="0" fontId="20" fillId="29" borderId="22" xfId="0" applyFont="1" applyFill="1" applyBorder="1" applyAlignment="1" applyProtection="1">
      <alignment horizontal="right"/>
    </xf>
    <xf numFmtId="0" fontId="20" fillId="29" borderId="1" xfId="0" applyFont="1" applyFill="1" applyBorder="1" applyAlignment="1" applyProtection="1">
      <alignment horizontal="center" vertical="center"/>
      <protection locked="0"/>
    </xf>
    <xf numFmtId="4" fontId="20" fillId="29" borderId="22" xfId="0" applyNumberFormat="1" applyFont="1" applyFill="1" applyBorder="1" applyAlignment="1" applyProtection="1">
      <alignment horizontal="center" vertical="center"/>
    </xf>
    <xf numFmtId="4" fontId="20" fillId="29" borderId="22" xfId="0" applyNumberFormat="1" applyFont="1" applyFill="1" applyBorder="1" applyAlignment="1" applyProtection="1">
      <alignment horizontal="center" vertical="center"/>
      <protection locked="0"/>
    </xf>
    <xf numFmtId="0" fontId="20" fillId="29" borderId="22" xfId="0" applyFont="1" applyFill="1" applyBorder="1" applyAlignment="1" applyProtection="1">
      <alignment horizontal="center"/>
      <protection locked="0"/>
    </xf>
    <xf numFmtId="3" fontId="20" fillId="29" borderId="22" xfId="0" applyNumberFormat="1" applyFont="1" applyFill="1" applyBorder="1" applyAlignment="1" applyProtection="1">
      <alignment horizontal="center" vertical="center"/>
      <protection locked="0"/>
    </xf>
    <xf numFmtId="2" fontId="20" fillId="29" borderId="22" xfId="0" applyNumberFormat="1" applyFont="1" applyFill="1" applyBorder="1" applyAlignment="1" applyProtection="1">
      <alignment horizontal="center" vertical="center"/>
    </xf>
    <xf numFmtId="2" fontId="20" fillId="29" borderId="22" xfId="0" applyNumberFormat="1" applyFont="1" applyFill="1" applyBorder="1" applyAlignment="1" applyProtection="1">
      <alignment horizontal="center" vertical="center"/>
      <protection locked="0"/>
    </xf>
    <xf numFmtId="4" fontId="23" fillId="29" borderId="27" xfId="0" applyNumberFormat="1" applyFont="1" applyFill="1" applyBorder="1" applyAlignment="1" applyProtection="1">
      <alignment horizontal="center" vertical="center"/>
      <protection locked="0"/>
    </xf>
    <xf numFmtId="4" fontId="20" fillId="29" borderId="27" xfId="0" applyNumberFormat="1" applyFont="1" applyFill="1" applyBorder="1" applyAlignment="1" applyProtection="1">
      <alignment horizontal="center" vertical="center"/>
      <protection locked="0"/>
    </xf>
    <xf numFmtId="4" fontId="20" fillId="29" borderId="34" xfId="0" applyNumberFormat="1" applyFont="1" applyFill="1" applyBorder="1" applyAlignment="1" applyProtection="1">
      <alignment horizontal="center" vertical="center"/>
    </xf>
    <xf numFmtId="4" fontId="20" fillId="29" borderId="11" xfId="0" applyNumberFormat="1" applyFont="1" applyFill="1" applyBorder="1" applyAlignment="1" applyProtection="1">
      <alignment horizontal="center" vertical="center"/>
    </xf>
    <xf numFmtId="4" fontId="20" fillId="29" borderId="27" xfId="0" applyNumberFormat="1" applyFont="1" applyFill="1" applyBorder="1" applyAlignment="1" applyProtection="1">
      <alignment horizontal="center" vertical="center"/>
    </xf>
    <xf numFmtId="4" fontId="20" fillId="29" borderId="48" xfId="0" applyNumberFormat="1" applyFont="1" applyFill="1" applyBorder="1" applyAlignment="1" applyProtection="1">
      <alignment horizontal="center" vertical="center"/>
      <protection locked="0"/>
    </xf>
    <xf numFmtId="4" fontId="91" fillId="29" borderId="14" xfId="0" applyNumberFormat="1" applyFont="1" applyFill="1" applyBorder="1" applyAlignment="1" applyProtection="1">
      <alignment horizontal="center" vertical="center"/>
    </xf>
    <xf numFmtId="4" fontId="91" fillId="29" borderId="14" xfId="0" applyNumberFormat="1" applyFont="1" applyFill="1" applyBorder="1" applyAlignment="1" applyProtection="1">
      <alignment horizontal="center" vertical="center"/>
      <protection locked="0"/>
    </xf>
    <xf numFmtId="4" fontId="20" fillId="29" borderId="0" xfId="0" applyNumberFormat="1" applyFont="1" applyFill="1" applyProtection="1">
      <protection locked="0"/>
    </xf>
    <xf numFmtId="0" fontId="20" fillId="29" borderId="0" xfId="0" applyFont="1" applyFill="1" applyProtection="1">
      <protection locked="0"/>
    </xf>
    <xf numFmtId="4" fontId="20" fillId="29" borderId="1" xfId="0" applyNumberFormat="1" applyFont="1" applyFill="1" applyBorder="1" applyProtection="1">
      <protection locked="0"/>
    </xf>
    <xf numFmtId="0" fontId="20" fillId="29" borderId="0" xfId="0" applyFont="1" applyFill="1" applyAlignment="1" applyProtection="1">
      <alignment horizontal="center"/>
      <protection locked="0"/>
    </xf>
    <xf numFmtId="0" fontId="92" fillId="29" borderId="0" xfId="0" applyFont="1" applyFill="1" applyAlignment="1" applyProtection="1">
      <alignment horizontal="center"/>
      <protection locked="0"/>
    </xf>
    <xf numFmtId="4" fontId="20" fillId="30" borderId="30" xfId="0" applyNumberFormat="1" applyFont="1" applyFill="1" applyBorder="1" applyAlignment="1" applyProtection="1">
      <alignment horizontal="center" vertical="center" wrapText="1"/>
      <protection locked="0"/>
    </xf>
    <xf numFmtId="4" fontId="91" fillId="15" borderId="2" xfId="0" applyNumberFormat="1" applyFont="1" applyFill="1" applyBorder="1" applyAlignment="1" applyProtection="1">
      <alignment horizontal="center" vertical="center" wrapText="1"/>
    </xf>
    <xf numFmtId="169" fontId="91" fillId="8" borderId="1" xfId="1" applyNumberFormat="1" applyFont="1" applyFill="1" applyBorder="1" applyAlignment="1" applyProtection="1">
      <alignment horizontal="center" vertical="center" wrapText="1"/>
    </xf>
    <xf numFmtId="169" fontId="97" fillId="8" borderId="1" xfId="1" applyNumberFormat="1" applyFont="1" applyFill="1" applyBorder="1" applyAlignment="1" applyProtection="1">
      <alignment vertical="center"/>
    </xf>
    <xf numFmtId="169" fontId="11" fillId="4" borderId="0" xfId="1" applyNumberFormat="1" applyFont="1" applyFill="1" applyAlignment="1" applyProtection="1">
      <alignment horizontal="center" vertical="center"/>
    </xf>
    <xf numFmtId="169" fontId="20" fillId="8" borderId="1" xfId="1" applyNumberFormat="1" applyFont="1" applyFill="1" applyBorder="1" applyAlignment="1" applyProtection="1">
      <alignment horizontal="center" vertical="center"/>
    </xf>
    <xf numFmtId="169" fontId="53" fillId="4" borderId="0" xfId="1" applyNumberFormat="1" applyFont="1" applyFill="1" applyAlignment="1" applyProtection="1">
      <alignment horizontal="center" vertical="center"/>
    </xf>
    <xf numFmtId="169" fontId="53" fillId="8" borderId="1" xfId="1" applyNumberFormat="1" applyFont="1" applyFill="1" applyBorder="1" applyAlignment="1" applyProtection="1">
      <alignment horizontal="center" vertical="center"/>
    </xf>
    <xf numFmtId="169" fontId="97" fillId="4" borderId="1" xfId="1" applyNumberFormat="1" applyFont="1" applyFill="1" applyBorder="1" applyAlignment="1" applyProtection="1">
      <alignment horizontal="center" vertical="center"/>
    </xf>
    <xf numFmtId="169" fontId="97" fillId="4" borderId="1" xfId="1" applyNumberFormat="1" applyFont="1" applyFill="1" applyBorder="1" applyAlignment="1" applyProtection="1">
      <alignment horizontal="center"/>
    </xf>
    <xf numFmtId="164" fontId="99" fillId="29" borderId="1" xfId="1" applyFont="1" applyFill="1" applyBorder="1" applyProtection="1"/>
    <xf numFmtId="169" fontId="99" fillId="29" borderId="1" xfId="1" applyNumberFormat="1" applyFont="1" applyFill="1" applyBorder="1" applyAlignment="1" applyProtection="1">
      <alignment horizontal="center" vertical="center"/>
    </xf>
    <xf numFmtId="164" fontId="99" fillId="4" borderId="1" xfId="1" applyFont="1" applyFill="1" applyBorder="1" applyProtection="1"/>
    <xf numFmtId="169" fontId="99" fillId="4" borderId="1" xfId="1" applyNumberFormat="1" applyFont="1" applyFill="1" applyBorder="1" applyAlignment="1" applyProtection="1">
      <alignment horizontal="center" vertical="center"/>
    </xf>
    <xf numFmtId="164" fontId="99" fillId="4" borderId="1" xfId="1" applyFont="1" applyFill="1" applyBorder="1" applyAlignment="1" applyProtection="1">
      <alignment vertical="center"/>
    </xf>
    <xf numFmtId="164" fontId="97" fillId="8" borderId="1" xfId="1" applyFont="1" applyFill="1" applyBorder="1" applyProtection="1"/>
    <xf numFmtId="169" fontId="97" fillId="8" borderId="1" xfId="1" applyNumberFormat="1" applyFont="1" applyFill="1" applyBorder="1" applyProtection="1"/>
    <xf numFmtId="4" fontId="99" fillId="4" borderId="0" xfId="0" applyNumberFormat="1" applyFont="1" applyFill="1" applyProtection="1"/>
    <xf numFmtId="0" fontId="99" fillId="4" borderId="0" xfId="0" applyFont="1" applyFill="1" applyProtection="1"/>
    <xf numFmtId="164" fontId="97" fillId="4" borderId="1" xfId="1" applyFont="1" applyFill="1" applyBorder="1" applyProtection="1"/>
    <xf numFmtId="164" fontId="99" fillId="4" borderId="0" xfId="1" applyFont="1" applyFill="1" applyBorder="1" applyAlignment="1" applyProtection="1">
      <alignment horizontal="center" vertical="center"/>
    </xf>
    <xf numFmtId="0" fontId="20" fillId="4" borderId="17" xfId="0" applyFont="1" applyFill="1" applyBorder="1" applyAlignment="1" applyProtection="1">
      <alignment horizontal="center" vertical="center"/>
      <protection locked="0"/>
    </xf>
    <xf numFmtId="3" fontId="20" fillId="4" borderId="12" xfId="0" applyNumberFormat="1" applyFont="1" applyFill="1" applyBorder="1" applyAlignment="1" applyProtection="1">
      <alignment vertical="center"/>
      <protection locked="0"/>
    </xf>
    <xf numFmtId="0" fontId="20" fillId="4" borderId="1" xfId="0" applyNumberFormat="1" applyFont="1" applyFill="1" applyBorder="1" applyAlignment="1" applyProtection="1">
      <alignment horizontal="left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14" fontId="20" fillId="4" borderId="1" xfId="0" applyNumberFormat="1" applyFont="1" applyFill="1" applyBorder="1" applyAlignment="1" applyProtection="1">
      <alignment horizontal="center" vertical="center"/>
      <protection locked="0"/>
    </xf>
    <xf numFmtId="14" fontId="20" fillId="2" borderId="1" xfId="0" applyNumberFormat="1" applyFont="1" applyFill="1" applyBorder="1" applyAlignment="1" applyProtection="1">
      <alignment vertical="center"/>
    </xf>
    <xf numFmtId="1" fontId="20" fillId="2" borderId="22" xfId="0" applyNumberFormat="1" applyFont="1" applyFill="1" applyBorder="1" applyAlignment="1" applyProtection="1">
      <alignment horizontal="center" vertical="center"/>
    </xf>
    <xf numFmtId="1" fontId="20" fillId="4" borderId="12" xfId="0" applyNumberFormat="1" applyFont="1" applyFill="1" applyBorder="1" applyAlignment="1" applyProtection="1">
      <alignment horizontal="center" vertical="center"/>
      <protection locked="0"/>
    </xf>
    <xf numFmtId="1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vertical="center"/>
      <protection locked="0"/>
    </xf>
    <xf numFmtId="4" fontId="20" fillId="4" borderId="0" xfId="0" applyNumberFormat="1" applyFont="1" applyFill="1" applyBorder="1" applyAlignment="1" applyProtection="1">
      <alignment vertical="center"/>
      <protection locked="0"/>
    </xf>
    <xf numFmtId="0" fontId="20" fillId="4" borderId="0" xfId="0" applyFont="1" applyFill="1" applyAlignment="1" applyProtection="1">
      <alignment vertical="center"/>
      <protection locked="0"/>
    </xf>
    <xf numFmtId="0" fontId="20" fillId="4" borderId="0" xfId="0" applyFont="1" applyFill="1" applyAlignment="1" applyProtection="1">
      <alignment horizontal="center" vertical="center"/>
      <protection locked="0"/>
    </xf>
    <xf numFmtId="3" fontId="20" fillId="4" borderId="1" xfId="0" applyNumberFormat="1" applyFont="1" applyFill="1" applyBorder="1" applyProtection="1">
      <protection locked="0"/>
    </xf>
    <xf numFmtId="0" fontId="20" fillId="4" borderId="1" xfId="0" applyFont="1" applyFill="1" applyBorder="1" applyAlignment="1" applyProtection="1">
      <alignment wrapText="1"/>
      <protection locked="0"/>
    </xf>
    <xf numFmtId="14" fontId="20" fillId="4" borderId="1" xfId="0" applyNumberFormat="1" applyFont="1" applyFill="1" applyBorder="1" applyProtection="1"/>
    <xf numFmtId="4" fontId="85" fillId="8" borderId="0" xfId="0" applyNumberFormat="1" applyFont="1" applyFill="1" applyAlignment="1" applyProtection="1">
      <alignment wrapText="1"/>
      <protection locked="0"/>
    </xf>
    <xf numFmtId="43" fontId="53" fillId="4" borderId="0" xfId="0" applyNumberFormat="1" applyFont="1" applyFill="1" applyProtection="1"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118" fillId="4" borderId="1" xfId="0" applyFont="1" applyFill="1" applyBorder="1" applyAlignment="1" applyProtection="1">
      <alignment horizontal="center" vertical="center"/>
      <protection locked="0"/>
    </xf>
    <xf numFmtId="0" fontId="119" fillId="0" borderId="1" xfId="0" applyFont="1" applyFill="1" applyBorder="1" applyAlignment="1" applyProtection="1">
      <alignment horizontal="center" vertical="center"/>
      <protection locked="0"/>
    </xf>
    <xf numFmtId="0" fontId="119" fillId="4" borderId="1" xfId="0" applyFont="1" applyFill="1" applyBorder="1" applyAlignment="1" applyProtection="1">
      <alignment horizontal="center" vertical="center"/>
      <protection locked="0"/>
    </xf>
    <xf numFmtId="0" fontId="91" fillId="4" borderId="22" xfId="0" applyFont="1" applyFill="1" applyBorder="1" applyAlignment="1" applyProtection="1">
      <alignment horizontal="center" vertical="center"/>
      <protection locked="0"/>
    </xf>
    <xf numFmtId="4" fontId="120" fillId="8" borderId="0" xfId="0" applyNumberFormat="1" applyFont="1" applyFill="1" applyProtection="1">
      <protection locked="0"/>
    </xf>
    <xf numFmtId="164" fontId="53" fillId="8" borderId="0" xfId="0" applyNumberFormat="1" applyFont="1" applyFill="1" applyProtection="1">
      <protection locked="0"/>
    </xf>
    <xf numFmtId="43" fontId="20" fillId="4" borderId="0" xfId="0" applyNumberFormat="1" applyFont="1" applyFill="1" applyProtection="1">
      <protection locked="0"/>
    </xf>
    <xf numFmtId="0" fontId="120" fillId="4" borderId="0" xfId="0" applyFont="1" applyFill="1" applyAlignment="1" applyProtection="1">
      <alignment horizontal="center"/>
      <protection locked="0"/>
    </xf>
    <xf numFmtId="4" fontId="23" fillId="2" borderId="22" xfId="0" applyNumberFormat="1" applyFont="1" applyFill="1" applyBorder="1" applyAlignment="1" applyProtection="1">
      <alignment horizontal="center" vertical="center"/>
    </xf>
    <xf numFmtId="4" fontId="96" fillId="13" borderId="14" xfId="0" applyNumberFormat="1" applyFont="1" applyFill="1" applyBorder="1" applyAlignment="1" applyProtection="1">
      <alignment horizontal="center" vertical="center"/>
    </xf>
    <xf numFmtId="4" fontId="95" fillId="13" borderId="14" xfId="0" applyNumberFormat="1" applyFont="1" applyFill="1" applyBorder="1" applyAlignment="1" applyProtection="1">
      <alignment horizontal="center" vertical="center"/>
    </xf>
    <xf numFmtId="3" fontId="108" fillId="2" borderId="2" xfId="0" applyNumberFormat="1" applyFont="1" applyFill="1" applyBorder="1" applyAlignment="1" applyProtection="1">
      <alignment horizontal="center" vertical="center"/>
    </xf>
    <xf numFmtId="3" fontId="108" fillId="2" borderId="1" xfId="0" applyNumberFormat="1" applyFont="1" applyFill="1" applyBorder="1" applyAlignment="1" applyProtection="1">
      <alignment horizontal="center" vertical="center"/>
    </xf>
    <xf numFmtId="4" fontId="122" fillId="3" borderId="25" xfId="0" applyNumberFormat="1" applyFont="1" applyFill="1" applyBorder="1" applyAlignment="1" applyProtection="1">
      <alignment horizontal="center" vertical="center"/>
      <protection locked="0"/>
    </xf>
    <xf numFmtId="0" fontId="91" fillId="8" borderId="1" xfId="0" applyFont="1" applyFill="1" applyBorder="1" applyAlignment="1" applyProtection="1">
      <alignment horizontal="center" vertical="center"/>
      <protection locked="0"/>
    </xf>
    <xf numFmtId="3" fontId="20" fillId="8" borderId="22" xfId="0" applyNumberFormat="1" applyFont="1" applyFill="1" applyBorder="1" applyProtection="1">
      <protection locked="0"/>
    </xf>
    <xf numFmtId="0" fontId="20" fillId="8" borderId="1" xfId="0" applyNumberFormat="1" applyFont="1" applyFill="1" applyBorder="1" applyAlignment="1" applyProtection="1">
      <alignment wrapText="1"/>
      <protection locked="0"/>
    </xf>
    <xf numFmtId="0" fontId="118" fillId="8" borderId="1" xfId="0" applyFont="1" applyFill="1" applyBorder="1" applyAlignment="1" applyProtection="1">
      <alignment horizontal="center" vertical="center"/>
      <protection locked="0"/>
    </xf>
    <xf numFmtId="4" fontId="20" fillId="8" borderId="12" xfId="0" applyNumberFormat="1" applyFont="1" applyFill="1" applyBorder="1" applyAlignment="1" applyProtection="1">
      <alignment horizontal="center" vertical="center"/>
    </xf>
    <xf numFmtId="4" fontId="95" fillId="8" borderId="14" xfId="0" applyNumberFormat="1" applyFont="1" applyFill="1" applyBorder="1" applyAlignment="1" applyProtection="1">
      <alignment horizontal="center" vertical="center"/>
    </xf>
    <xf numFmtId="4" fontId="110" fillId="8" borderId="1" xfId="0" applyNumberFormat="1" applyFont="1" applyFill="1" applyBorder="1" applyAlignment="1" applyProtection="1">
      <alignment horizontal="center" vertical="center"/>
      <protection locked="0"/>
    </xf>
    <xf numFmtId="4" fontId="123" fillId="4" borderId="1" xfId="0" applyNumberFormat="1" applyFont="1" applyFill="1" applyBorder="1" applyProtection="1">
      <protection locked="0"/>
    </xf>
    <xf numFmtId="169" fontId="124" fillId="29" borderId="1" xfId="1" applyNumberFormat="1" applyFont="1" applyFill="1" applyBorder="1" applyAlignment="1" applyProtection="1">
      <alignment horizontal="center" vertical="center"/>
    </xf>
    <xf numFmtId="0" fontId="53" fillId="4" borderId="0" xfId="0" applyFont="1" applyFill="1" applyAlignment="1" applyProtection="1">
      <alignment horizontal="center"/>
      <protection locked="0"/>
    </xf>
    <xf numFmtId="4" fontId="27" fillId="4" borderId="0" xfId="0" applyNumberFormat="1" applyFont="1" applyFill="1" applyBorder="1" applyAlignment="1" applyProtection="1">
      <alignment horizontal="center" vertical="center"/>
      <protection locked="0"/>
    </xf>
    <xf numFmtId="0" fontId="27" fillId="4" borderId="0" xfId="0" applyFont="1" applyFill="1" applyBorder="1" applyAlignment="1" applyProtection="1">
      <alignment vertical="center"/>
      <protection locked="0"/>
    </xf>
    <xf numFmtId="4" fontId="110" fillId="15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26" fillId="8" borderId="1" xfId="0" applyNumberFormat="1" applyFont="1" applyFill="1" applyBorder="1" applyProtection="1">
      <protection locked="0"/>
    </xf>
    <xf numFmtId="164" fontId="102" fillId="4" borderId="0" xfId="0" applyNumberFormat="1" applyFont="1" applyFill="1" applyProtection="1">
      <protection locked="0"/>
    </xf>
    <xf numFmtId="170" fontId="93" fillId="5" borderId="19" xfId="0" applyNumberFormat="1" applyFont="1" applyFill="1" applyBorder="1" applyAlignment="1" applyProtection="1">
      <alignment horizontal="center" vertical="center" wrapText="1"/>
      <protection locked="0"/>
    </xf>
    <xf numFmtId="4" fontId="93" fillId="5" borderId="20" xfId="0" applyNumberFormat="1" applyFont="1" applyFill="1" applyBorder="1" applyAlignment="1" applyProtection="1">
      <alignment horizontal="center" vertical="center" wrapText="1"/>
      <protection locked="0"/>
    </xf>
    <xf numFmtId="0" fontId="35" fillId="4" borderId="1" xfId="0" applyFont="1" applyFill="1" applyBorder="1" applyAlignment="1">
      <alignment horizontal="left" vertical="center"/>
    </xf>
    <xf numFmtId="0" fontId="35" fillId="4" borderId="1" xfId="0" applyFont="1" applyFill="1" applyBorder="1" applyAlignment="1">
      <alignment horizontal="left" vertical="center" wrapText="1"/>
    </xf>
    <xf numFmtId="4" fontId="99" fillId="2" borderId="22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Alignment="1" applyProtection="1">
      <alignment horizontal="center" vertical="center"/>
      <protection locked="0"/>
    </xf>
    <xf numFmtId="1" fontId="38" fillId="4" borderId="0" xfId="0" applyNumberFormat="1" applyFont="1" applyFill="1" applyAlignment="1" applyProtection="1">
      <alignment horizontal="center" vertical="center"/>
      <protection locked="0"/>
    </xf>
    <xf numFmtId="1" fontId="39" fillId="4" borderId="0" xfId="0" applyNumberFormat="1" applyFont="1" applyFill="1" applyAlignment="1" applyProtection="1">
      <alignment horizontal="center" vertical="center"/>
      <protection locked="0"/>
    </xf>
    <xf numFmtId="1" fontId="93" fillId="5" borderId="15" xfId="0" applyNumberFormat="1" applyFont="1" applyFill="1" applyBorder="1" applyAlignment="1" applyProtection="1">
      <alignment horizontal="center" vertical="center" wrapText="1"/>
      <protection locked="0"/>
    </xf>
    <xf numFmtId="1" fontId="11" fillId="4" borderId="0" xfId="0" applyNumberFormat="1" applyFont="1" applyFill="1" applyBorder="1" applyAlignment="1" applyProtection="1">
      <alignment horizontal="center" vertical="center"/>
      <protection locked="0"/>
    </xf>
    <xf numFmtId="1" fontId="99" fillId="4" borderId="22" xfId="0" applyNumberFormat="1" applyFont="1" applyFill="1" applyBorder="1" applyAlignment="1" applyProtection="1">
      <alignment horizontal="center" vertical="center"/>
    </xf>
    <xf numFmtId="1" fontId="99" fillId="29" borderId="22" xfId="0" applyNumberFormat="1" applyFont="1" applyFill="1" applyBorder="1" applyAlignment="1" applyProtection="1">
      <alignment horizontal="center" vertical="center"/>
    </xf>
    <xf numFmtId="1" fontId="98" fillId="3" borderId="25" xfId="0" applyNumberFormat="1" applyFont="1" applyFill="1" applyBorder="1" applyAlignment="1" applyProtection="1">
      <alignment horizontal="center" vertical="center"/>
      <protection locked="0"/>
    </xf>
    <xf numFmtId="1" fontId="53" fillId="4" borderId="0" xfId="0" applyNumberFormat="1" applyFont="1" applyFill="1" applyBorder="1" applyAlignment="1" applyProtection="1">
      <alignment horizontal="center" vertical="center"/>
      <protection locked="0"/>
    </xf>
    <xf numFmtId="1" fontId="100" fillId="3" borderId="25" xfId="0" applyNumberFormat="1" applyFont="1" applyFill="1" applyBorder="1" applyAlignment="1" applyProtection="1">
      <alignment horizontal="center" vertical="center"/>
      <protection locked="0"/>
    </xf>
    <xf numFmtId="1" fontId="102" fillId="4" borderId="0" xfId="0" applyNumberFormat="1" applyFont="1" applyFill="1" applyAlignment="1" applyProtection="1">
      <alignment horizontal="center" vertical="center"/>
      <protection locked="0"/>
    </xf>
    <xf numFmtId="1" fontId="53" fillId="4" borderId="0" xfId="0" applyNumberFormat="1" applyFont="1" applyFill="1" applyAlignment="1" applyProtection="1">
      <alignment horizontal="center" vertical="center"/>
      <protection locked="0"/>
    </xf>
    <xf numFmtId="1" fontId="20" fillId="4" borderId="0" xfId="0" applyNumberFormat="1" applyFont="1" applyFill="1" applyAlignment="1" applyProtection="1">
      <alignment vertical="center"/>
      <protection locked="0"/>
    </xf>
    <xf numFmtId="1" fontId="53" fillId="4" borderId="22" xfId="0" applyNumberFormat="1" applyFont="1" applyFill="1" applyBorder="1" applyAlignment="1" applyProtection="1">
      <alignment horizontal="center" vertical="center"/>
    </xf>
    <xf numFmtId="1" fontId="20" fillId="8" borderId="22" xfId="0" applyNumberFormat="1" applyFont="1" applyFill="1" applyBorder="1" applyAlignment="1" applyProtection="1">
      <alignment horizontal="center" vertical="center"/>
    </xf>
    <xf numFmtId="1" fontId="53" fillId="4" borderId="0" xfId="0" applyNumberFormat="1" applyFont="1" applyFill="1" applyAlignment="1">
      <alignment horizontal="center" vertical="center"/>
    </xf>
    <xf numFmtId="1" fontId="11" fillId="4" borderId="0" xfId="0" applyNumberFormat="1" applyFont="1" applyFill="1" applyAlignment="1">
      <alignment horizontal="center" vertical="center"/>
    </xf>
    <xf numFmtId="1" fontId="33" fillId="4" borderId="22" xfId="0" applyNumberFormat="1" applyFont="1" applyFill="1" applyBorder="1" applyAlignment="1" applyProtection="1">
      <alignment horizontal="center" vertical="center"/>
    </xf>
    <xf numFmtId="4" fontId="35" fillId="2" borderId="29" xfId="0" applyNumberFormat="1" applyFont="1" applyFill="1" applyBorder="1" applyAlignment="1" applyProtection="1">
      <alignment horizontal="center" vertical="center"/>
    </xf>
    <xf numFmtId="3" fontId="91" fillId="12" borderId="11" xfId="0" applyNumberFormat="1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Alignment="1" applyProtection="1">
      <alignment horizontal="center" vertical="center"/>
      <protection locked="0"/>
    </xf>
    <xf numFmtId="0" fontId="121" fillId="11" borderId="37" xfId="0" applyFont="1" applyFill="1" applyBorder="1" applyAlignment="1" applyProtection="1">
      <alignment horizontal="center" vertical="center" wrapText="1"/>
      <protection locked="0"/>
    </xf>
    <xf numFmtId="0" fontId="121" fillId="11" borderId="38" xfId="0" applyFont="1" applyFill="1" applyBorder="1" applyAlignment="1" applyProtection="1">
      <alignment horizontal="center" vertical="center" wrapText="1"/>
      <protection locked="0"/>
    </xf>
    <xf numFmtId="0" fontId="89" fillId="4" borderId="0" xfId="14" applyFont="1" applyFill="1" applyBorder="1" applyAlignment="1">
      <alignment horizontal="center" vertical="center" wrapText="1"/>
    </xf>
    <xf numFmtId="0" fontId="89" fillId="0" borderId="0" xfId="0" applyFont="1" applyFill="1" applyBorder="1" applyAlignment="1">
      <alignment horizontal="center"/>
    </xf>
    <xf numFmtId="0" fontId="117" fillId="4" borderId="0" xfId="0" applyFont="1" applyFill="1" applyAlignment="1" applyProtection="1">
      <alignment horizontal="center"/>
      <protection locked="0"/>
    </xf>
    <xf numFmtId="0" fontId="125" fillId="11" borderId="37" xfId="0" applyFont="1" applyFill="1" applyBorder="1" applyAlignment="1" applyProtection="1">
      <alignment horizontal="center" vertical="center" wrapText="1"/>
      <protection locked="0"/>
    </xf>
    <xf numFmtId="0" fontId="125" fillId="11" borderId="38" xfId="0" applyFont="1" applyFill="1" applyBorder="1" applyAlignment="1" applyProtection="1">
      <alignment horizontal="center" vertical="center" wrapText="1"/>
      <protection locked="0"/>
    </xf>
    <xf numFmtId="4" fontId="127" fillId="5" borderId="17" xfId="0" applyNumberFormat="1" applyFont="1" applyFill="1" applyBorder="1" applyAlignment="1" applyProtection="1">
      <alignment horizontal="center" vertical="center"/>
      <protection locked="0"/>
    </xf>
    <xf numFmtId="4" fontId="127" fillId="5" borderId="22" xfId="0" applyNumberFormat="1" applyFont="1" applyFill="1" applyBorder="1" applyAlignment="1" applyProtection="1">
      <alignment horizontal="center" vertical="center"/>
      <protection locked="0"/>
    </xf>
    <xf numFmtId="4" fontId="127" fillId="5" borderId="14" xfId="0" applyNumberFormat="1" applyFont="1" applyFill="1" applyBorder="1" applyAlignment="1" applyProtection="1">
      <alignment horizontal="center" vertical="center"/>
      <protection locked="0"/>
    </xf>
    <xf numFmtId="0" fontId="100" fillId="3" borderId="37" xfId="0" applyFont="1" applyFill="1" applyBorder="1" applyAlignment="1" applyProtection="1">
      <alignment horizontal="center"/>
      <protection locked="0"/>
    </xf>
    <xf numFmtId="0" fontId="100" fillId="3" borderId="38" xfId="0" applyFont="1" applyFill="1" applyBorder="1" applyAlignment="1" applyProtection="1">
      <alignment horizontal="center"/>
      <protection locked="0"/>
    </xf>
    <xf numFmtId="164" fontId="35" fillId="3" borderId="37" xfId="1" applyFont="1" applyFill="1" applyBorder="1" applyAlignment="1" applyProtection="1">
      <alignment horizontal="center"/>
      <protection locked="0"/>
    </xf>
    <xf numFmtId="164" fontId="35" fillId="3" borderId="39" xfId="1" applyFont="1" applyFill="1" applyBorder="1" applyAlignment="1" applyProtection="1">
      <alignment horizontal="center"/>
      <protection locked="0"/>
    </xf>
    <xf numFmtId="0" fontId="97" fillId="3" borderId="55" xfId="0" applyFont="1" applyFill="1" applyBorder="1" applyAlignment="1" applyProtection="1">
      <alignment horizontal="center"/>
      <protection locked="0"/>
    </xf>
    <xf numFmtId="0" fontId="97" fillId="3" borderId="56" xfId="0" applyFont="1" applyFill="1" applyBorder="1" applyAlignment="1" applyProtection="1">
      <alignment horizont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4" xfId="0" applyFont="1" applyFill="1" applyBorder="1" applyAlignment="1" applyProtection="1">
      <alignment horizontal="center" vertical="center"/>
      <protection locked="0"/>
    </xf>
    <xf numFmtId="4" fontId="108" fillId="2" borderId="36" xfId="0" applyNumberFormat="1" applyFont="1" applyFill="1" applyBorder="1" applyAlignment="1" applyProtection="1">
      <alignment horizontal="center" vertical="center" wrapText="1"/>
      <protection locked="0"/>
    </xf>
    <xf numFmtId="4" fontId="10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0" fontId="117" fillId="8" borderId="0" xfId="0" applyFont="1" applyFill="1" applyAlignment="1" applyProtection="1">
      <alignment horizontal="center"/>
      <protection locked="0"/>
    </xf>
    <xf numFmtId="0" fontId="67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0" fontId="71" fillId="24" borderId="2" xfId="0" applyFont="1" applyFill="1" applyBorder="1" applyAlignment="1">
      <alignment horizontal="center" wrapText="1"/>
    </xf>
    <xf numFmtId="0" fontId="71" fillId="24" borderId="4" xfId="0" applyFont="1" applyFill="1" applyBorder="1" applyAlignment="1">
      <alignment horizontal="center" wrapText="1"/>
    </xf>
    <xf numFmtId="0" fontId="71" fillId="24" borderId="52" xfId="0" applyFont="1" applyFill="1" applyBorder="1" applyAlignment="1">
      <alignment horizontal="center" wrapText="1"/>
    </xf>
    <xf numFmtId="0" fontId="72" fillId="0" borderId="2" xfId="0" applyFont="1" applyBorder="1" applyAlignment="1">
      <alignment horizontal="center" wrapText="1"/>
    </xf>
    <xf numFmtId="0" fontId="72" fillId="0" borderId="4" xfId="0" applyFont="1" applyBorder="1" applyAlignment="1">
      <alignment horizontal="center" wrapText="1"/>
    </xf>
    <xf numFmtId="0" fontId="46" fillId="8" borderId="1" xfId="0" applyFont="1" applyFill="1" applyBorder="1" applyAlignment="1">
      <alignment horizontal="center"/>
    </xf>
    <xf numFmtId="0" fontId="44" fillId="8" borderId="1" xfId="0" applyFont="1" applyFill="1" applyBorder="1" applyAlignment="1">
      <alignment horizontal="center"/>
    </xf>
    <xf numFmtId="0" fontId="61" fillId="0" borderId="1" xfId="0" applyFont="1" applyFill="1" applyBorder="1" applyAlignment="1">
      <alignment horizontal="center"/>
    </xf>
    <xf numFmtId="0" fontId="65" fillId="0" borderId="45" xfId="0" applyFont="1" applyBorder="1" applyAlignment="1">
      <alignment horizontal="center"/>
    </xf>
    <xf numFmtId="0" fontId="65" fillId="0" borderId="31" xfId="0" applyFont="1" applyBorder="1" applyAlignment="1">
      <alignment horizontal="center"/>
    </xf>
    <xf numFmtId="0" fontId="65" fillId="0" borderId="40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5" fillId="4" borderId="5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4" fontId="16" fillId="6" borderId="2" xfId="0" applyNumberFormat="1" applyFont="1" applyFill="1" applyBorder="1" applyAlignment="1">
      <alignment horizontal="center" vertical="center"/>
    </xf>
    <xf numFmtId="4" fontId="16" fillId="6" borderId="3" xfId="0" applyNumberFormat="1" applyFont="1" applyFill="1" applyBorder="1" applyAlignment="1">
      <alignment horizontal="center" vertical="center"/>
    </xf>
    <xf numFmtId="4" fontId="16" fillId="6" borderId="4" xfId="0" applyNumberFormat="1" applyFont="1" applyFill="1" applyBorder="1" applyAlignment="1">
      <alignment horizontal="center" vertical="center"/>
    </xf>
    <xf numFmtId="0" fontId="9" fillId="7" borderId="44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9" fillId="3" borderId="31" xfId="0" applyFont="1" applyFill="1" applyBorder="1" applyAlignment="1">
      <alignment horizontal="center"/>
    </xf>
    <xf numFmtId="0" fontId="9" fillId="3" borderId="30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7" fillId="6" borderId="36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15" fillId="6" borderId="28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</cellXfs>
  <cellStyles count="16">
    <cellStyle name="Millares" xfId="1" builtinId="3"/>
    <cellStyle name="Millares 2" xfId="13"/>
    <cellStyle name="Millares 2 2 2" xfId="11"/>
    <cellStyle name="Normal" xfId="0" builtinId="0"/>
    <cellStyle name="Normal 11" xfId="5"/>
    <cellStyle name="Normal 11 2" xfId="6"/>
    <cellStyle name="Normal 2" xfId="12"/>
    <cellStyle name="Normal 2 2" xfId="7"/>
    <cellStyle name="Normal 2 2 2" xfId="14"/>
    <cellStyle name="Normal 2 5" xfId="3"/>
    <cellStyle name="Normal 2 6" xfId="4"/>
    <cellStyle name="Normal 2 7" xfId="2"/>
    <cellStyle name="Normal 3" xfId="15"/>
    <cellStyle name="Normal 4 14" xfId="10"/>
    <cellStyle name="Normal 4_REVISION NOMINA 2013 EMAO" xfId="8"/>
    <cellStyle name="Normal 7" xfId="9"/>
  </cellStyles>
  <dxfs count="0"/>
  <tableStyles count="0" defaultTableStyle="TableStyleMedium2" defaultPivotStyle="PivotStyleLight16"/>
  <colors>
    <mruColors>
      <color rgb="FFE0E0E0"/>
      <color rgb="FFE8E8E8"/>
      <color rgb="FFE4E4E4"/>
      <color rgb="FFFF5050"/>
      <color rgb="FFEEEEEE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</xdr:row>
      <xdr:rowOff>0</xdr:rowOff>
    </xdr:from>
    <xdr:to>
      <xdr:col>3</xdr:col>
      <xdr:colOff>1936750</xdr:colOff>
      <xdr:row>7</xdr:row>
      <xdr:rowOff>603250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8750"/>
          <a:ext cx="6540499" cy="1714500"/>
        </a:xfrm>
        <a:prstGeom prst="rect">
          <a:avLst/>
        </a:prstGeom>
      </xdr:spPr>
    </xdr:pic>
    <xdr:clientData/>
  </xdr:twoCellAnchor>
  <xdr:twoCellAnchor editAs="oneCell">
    <xdr:from>
      <xdr:col>4</xdr:col>
      <xdr:colOff>853282</xdr:colOff>
      <xdr:row>1</xdr:row>
      <xdr:rowOff>35719</xdr:rowOff>
    </xdr:from>
    <xdr:to>
      <xdr:col>9</xdr:col>
      <xdr:colOff>63500</xdr:colOff>
      <xdr:row>7</xdr:row>
      <xdr:rowOff>571500</xdr:rowOff>
    </xdr:to>
    <xdr:pic>
      <xdr:nvPicPr>
        <xdr:cNvPr id="3" name="2 Imagen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6532" y="35719"/>
          <a:ext cx="6449218" cy="1805781"/>
        </a:xfrm>
        <a:prstGeom prst="rect">
          <a:avLst/>
        </a:prstGeom>
        <a:noFill/>
        <a:ln>
          <a:noFill/>
        </a:ln>
        <a:ex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443593</xdr:colOff>
      <xdr:row>36</xdr:row>
      <xdr:rowOff>81642</xdr:rowOff>
    </xdr:from>
    <xdr:to>
      <xdr:col>12</xdr:col>
      <xdr:colOff>650875</xdr:colOff>
      <xdr:row>63</xdr:row>
      <xdr:rowOff>152400</xdr:rowOff>
    </xdr:to>
    <xdr:sp macro="" textlink="">
      <xdr:nvSpPr>
        <xdr:cNvPr id="2" name="1 CuadroTexto"/>
        <xdr:cNvSpPr txBox="1"/>
      </xdr:nvSpPr>
      <xdr:spPr>
        <a:xfrm>
          <a:off x="443593" y="14645367"/>
          <a:ext cx="12389757" cy="55381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LES ENVIO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UN MODELO 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DE FORMULA PARA: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CALCULO DE BONO DE AGUINALDOS.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LOS CUADROS CON LAS ALICUOTAS DE VACACIONES Y AGUINALDOS FRACCIONADOS.( PARA TRABAJADORES QUE TIENEN MENOS DE UN AÑO LABORADO) .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   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NOTA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:  CUANDO LA PERSONA INGRESA A TRABAJAR APARTIR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DEL </a:t>
          </a:r>
          <a:r>
            <a:rPr lang="es-ES" sz="1600" b="1" i="0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DIA 03 DEL MES EN ADELANTE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; SE TOMA LA ALICUOTA FRACCIONADA DEL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MES SIGUIENTE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                                                            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    EJEMPLO: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 SI INGRESO 03/04/2025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TOMA LA ALICUOTA DEL MES SIGUIENTE OSEA DE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MAYO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FORMULA PARA EL CALCULO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 </a:t>
          </a:r>
        </a:p>
        <a:p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20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ES" sz="2000" b="1" i="0">
              <a:solidFill>
                <a:schemeClr val="dk1"/>
              </a:solidFill>
              <a:latin typeface="+mn-lt"/>
              <a:ea typeface="+mn-ea"/>
              <a:cs typeface="+mn-cs"/>
            </a:rPr>
            <a:t>=(((sueldnormal))/30*180/12+(sueldnormal))/30*150 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EL TOTAL SE DIVIDE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ENTRE 4 PARA CALCULAR 1 MES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         (Que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serian 37,5 dias)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SI SE 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SOLICITAN 2 MESES  DE AGUINALDOS;  LA PUEDEN DIVIDIR ENTRE 2 .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400"/>
            </a:lnSpc>
          </a:pPr>
          <a:endParaRPr lang="es-E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Users\Asistente%201%20RRHH\Documents\NOMINAS\IMET%202018\GOBERNACI&#211;N\09%20SEPTIEMBRE\SEGUNDA%20QUINCENA\NOMINA%202DA.SEPTIEMBR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OAS%202024\RAC%202024%20TEXTILES%20TRUJILLO%20C.A.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uarios\Usuario1\Documentos\DOCUMENTOS\POA%20ENTES%202025%20APROBADO\YUS\RAC%202025%20TEXTILES%20TRUJILLO%20C.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POA%202018%20INST\POA%20EMPL%20DESP%20GOB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YUSMELIT%20BASTIDAS\Downloads\TEXTILES%20JULIO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OBR"/>
      <sheetName val="TAB EMP"/>
      <sheetName val="DISTRIBUCIÓN (GDP)"/>
      <sheetName val="RAC"/>
      <sheetName val="CARGOS"/>
      <sheetName val="CONCEPTOS Y PARAMETROS"/>
    </sheetNames>
    <sheetDataSet>
      <sheetData sheetId="0" refreshError="1">
        <row r="1">
          <cell r="A1" t="str">
            <v>TABULADOR DE OBREROS</v>
          </cell>
          <cell r="B1">
            <v>409</v>
          </cell>
        </row>
        <row r="2">
          <cell r="A2" t="str">
            <v>GRADO</v>
          </cell>
          <cell r="B2" t="str">
            <v>MONTO</v>
          </cell>
        </row>
        <row r="3">
          <cell r="A3">
            <v>1</v>
          </cell>
          <cell r="B3">
            <v>130</v>
          </cell>
        </row>
        <row r="4">
          <cell r="A4">
            <v>2</v>
          </cell>
          <cell r="B4">
            <v>142</v>
          </cell>
        </row>
        <row r="5">
          <cell r="A5">
            <v>3</v>
          </cell>
          <cell r="B5">
            <v>152</v>
          </cell>
        </row>
        <row r="6">
          <cell r="A6">
            <v>4</v>
          </cell>
          <cell r="B6">
            <v>161</v>
          </cell>
        </row>
        <row r="7">
          <cell r="A7">
            <v>5</v>
          </cell>
          <cell r="B7">
            <v>171</v>
          </cell>
        </row>
        <row r="8">
          <cell r="A8">
            <v>6</v>
          </cell>
          <cell r="B8">
            <v>181</v>
          </cell>
        </row>
        <row r="9">
          <cell r="A9">
            <v>7</v>
          </cell>
          <cell r="B9">
            <v>190</v>
          </cell>
        </row>
        <row r="10">
          <cell r="A10">
            <v>8</v>
          </cell>
          <cell r="B10">
            <v>200</v>
          </cell>
        </row>
        <row r="11">
          <cell r="A11">
            <v>9</v>
          </cell>
          <cell r="B11">
            <v>210</v>
          </cell>
        </row>
        <row r="12">
          <cell r="A12">
            <v>10</v>
          </cell>
          <cell r="B12">
            <v>219</v>
          </cell>
        </row>
        <row r="15">
          <cell r="A15">
            <v>219</v>
          </cell>
          <cell r="B15">
            <v>219</v>
          </cell>
        </row>
      </sheetData>
      <sheetData sheetId="1" refreshError="1">
        <row r="1">
          <cell r="A1" t="str">
            <v>GRADO</v>
          </cell>
          <cell r="B1" t="str">
            <v>MONTO</v>
          </cell>
        </row>
        <row r="2">
          <cell r="A2" t="str">
            <v>B1</v>
          </cell>
          <cell r="B2">
            <v>130</v>
          </cell>
        </row>
        <row r="3">
          <cell r="A3" t="str">
            <v>B2</v>
          </cell>
          <cell r="B3">
            <v>150</v>
          </cell>
        </row>
        <row r="4">
          <cell r="A4" t="str">
            <v>B3</v>
          </cell>
          <cell r="B4">
            <v>170</v>
          </cell>
        </row>
        <row r="5">
          <cell r="A5" t="str">
            <v>B3I</v>
          </cell>
          <cell r="B5">
            <v>172</v>
          </cell>
        </row>
        <row r="6">
          <cell r="A6" t="str">
            <v>B3II</v>
          </cell>
          <cell r="B6">
            <v>174</v>
          </cell>
        </row>
        <row r="7">
          <cell r="A7" t="str">
            <v>B3III</v>
          </cell>
          <cell r="B7">
            <v>176</v>
          </cell>
        </row>
        <row r="8">
          <cell r="A8" t="str">
            <v>B3IV</v>
          </cell>
          <cell r="B8">
            <v>177</v>
          </cell>
        </row>
        <row r="9">
          <cell r="A9" t="str">
            <v>T1</v>
          </cell>
          <cell r="B9">
            <v>192</v>
          </cell>
        </row>
        <row r="10">
          <cell r="A10" t="str">
            <v>T2</v>
          </cell>
          <cell r="B10">
            <v>219</v>
          </cell>
        </row>
        <row r="11">
          <cell r="A11" t="str">
            <v>T2I</v>
          </cell>
          <cell r="B11">
            <v>221</v>
          </cell>
        </row>
        <row r="12">
          <cell r="A12" t="str">
            <v>T2II</v>
          </cell>
          <cell r="B12">
            <v>223</v>
          </cell>
        </row>
        <row r="13">
          <cell r="A13" t="str">
            <v>T2III</v>
          </cell>
          <cell r="B13">
            <v>225</v>
          </cell>
        </row>
        <row r="14">
          <cell r="A14" t="str">
            <v>T2IV</v>
          </cell>
          <cell r="B14">
            <v>226</v>
          </cell>
        </row>
        <row r="15">
          <cell r="A15" t="str">
            <v>T2V</v>
          </cell>
          <cell r="B15">
            <v>228</v>
          </cell>
        </row>
        <row r="16">
          <cell r="A16" t="str">
            <v>P1</v>
          </cell>
          <cell r="B16">
            <v>246</v>
          </cell>
        </row>
        <row r="17">
          <cell r="A17" t="str">
            <v>P2</v>
          </cell>
          <cell r="B17">
            <v>277</v>
          </cell>
        </row>
        <row r="18">
          <cell r="A18" t="str">
            <v>P2I</v>
          </cell>
          <cell r="B18">
            <v>279</v>
          </cell>
        </row>
        <row r="19">
          <cell r="A19" t="str">
            <v>P2II</v>
          </cell>
          <cell r="B19">
            <v>281</v>
          </cell>
        </row>
        <row r="20">
          <cell r="A20" t="str">
            <v>P2III</v>
          </cell>
          <cell r="B20">
            <v>283</v>
          </cell>
        </row>
        <row r="21">
          <cell r="A21" t="str">
            <v>P2IV</v>
          </cell>
          <cell r="B21">
            <v>285</v>
          </cell>
        </row>
        <row r="22">
          <cell r="A22" t="str">
            <v>P2V</v>
          </cell>
          <cell r="B22">
            <v>287</v>
          </cell>
        </row>
        <row r="23">
          <cell r="A23" t="str">
            <v>P3</v>
          </cell>
          <cell r="B23">
            <v>305</v>
          </cell>
        </row>
        <row r="24">
          <cell r="A24" t="str">
            <v>P3I</v>
          </cell>
          <cell r="B24">
            <v>307</v>
          </cell>
        </row>
        <row r="25">
          <cell r="A25" t="str">
            <v>P3II</v>
          </cell>
          <cell r="B25">
            <v>308</v>
          </cell>
        </row>
        <row r="26">
          <cell r="A26" t="str">
            <v>P3III</v>
          </cell>
          <cell r="B26">
            <v>310</v>
          </cell>
        </row>
        <row r="27">
          <cell r="A27" t="str">
            <v>P3IV</v>
          </cell>
          <cell r="B27">
            <v>312</v>
          </cell>
        </row>
        <row r="28">
          <cell r="A28" t="str">
            <v>P3V</v>
          </cell>
          <cell r="B28">
            <v>314</v>
          </cell>
        </row>
        <row r="29">
          <cell r="A29" t="str">
            <v>P3VI</v>
          </cell>
          <cell r="B29">
            <v>316</v>
          </cell>
        </row>
        <row r="30">
          <cell r="A30" t="str">
            <v>99A</v>
          </cell>
          <cell r="B30">
            <v>348</v>
          </cell>
        </row>
        <row r="31">
          <cell r="A31" t="str">
            <v>99B</v>
          </cell>
          <cell r="B31">
            <v>363</v>
          </cell>
        </row>
        <row r="32">
          <cell r="A32" t="str">
            <v>99C</v>
          </cell>
          <cell r="B32">
            <v>363</v>
          </cell>
        </row>
        <row r="33">
          <cell r="A33" t="str">
            <v>99D</v>
          </cell>
          <cell r="B33">
            <v>376</v>
          </cell>
        </row>
        <row r="34">
          <cell r="A34" t="str">
            <v>99E</v>
          </cell>
          <cell r="B34">
            <v>409</v>
          </cell>
        </row>
        <row r="35">
          <cell r="A35" t="str">
            <v>99F</v>
          </cell>
          <cell r="B35">
            <v>409</v>
          </cell>
        </row>
        <row r="36">
          <cell r="A36" t="str">
            <v>99G</v>
          </cell>
          <cell r="B36">
            <v>409</v>
          </cell>
        </row>
      </sheetData>
      <sheetData sheetId="2" refreshError="1"/>
      <sheetData sheetId="3" refreshError="1"/>
      <sheetData sheetId="4" refreshError="1">
        <row r="1">
          <cell r="A1" t="str">
            <v>DESCRIP</v>
          </cell>
          <cell r="B1" t="str">
            <v>CODCARGO</v>
          </cell>
          <cell r="C1" t="str">
            <v>TIPOCARGO</v>
          </cell>
          <cell r="D1" t="str">
            <v>CLASECARGO</v>
          </cell>
          <cell r="E1" t="str">
            <v>GRADO</v>
          </cell>
        </row>
        <row r="2">
          <cell r="A2" t="str">
            <v>DOC. BASICO SUPERVISOR (40 HORAS) Y DIRECTOR VI 77 (16 HORAS)</v>
          </cell>
          <cell r="B2" t="str">
            <v>40244</v>
          </cell>
          <cell r="C2" t="str">
            <v/>
          </cell>
          <cell r="D2" t="str">
            <v/>
          </cell>
          <cell r="E2" t="str">
            <v/>
          </cell>
        </row>
        <row r="3">
          <cell r="A3" t="str">
            <v>ABOGADO FISCAL I</v>
          </cell>
          <cell r="B3" t="str">
            <v>35131</v>
          </cell>
          <cell r="C3" t="str">
            <v>E</v>
          </cell>
          <cell r="D3" t="str">
            <v>UT</v>
          </cell>
          <cell r="E3" t="str">
            <v>18</v>
          </cell>
        </row>
        <row r="4">
          <cell r="A4" t="str">
            <v>ABOGADO FISCAL II</v>
          </cell>
          <cell r="B4" t="str">
            <v>35132</v>
          </cell>
          <cell r="C4" t="str">
            <v>E</v>
          </cell>
          <cell r="D4" t="str">
            <v>UT</v>
          </cell>
          <cell r="E4" t="str">
            <v>20</v>
          </cell>
        </row>
        <row r="5">
          <cell r="A5" t="str">
            <v>ABOGADO FISCAL III</v>
          </cell>
          <cell r="B5" t="str">
            <v>35133</v>
          </cell>
          <cell r="C5" t="str">
            <v>E</v>
          </cell>
          <cell r="D5" t="str">
            <v>UT</v>
          </cell>
          <cell r="E5" t="str">
            <v>21</v>
          </cell>
        </row>
        <row r="6">
          <cell r="A6" t="str">
            <v>ABOGADO FISCAL IV</v>
          </cell>
          <cell r="B6" t="str">
            <v>35134</v>
          </cell>
          <cell r="C6" t="str">
            <v>E</v>
          </cell>
          <cell r="D6" t="str">
            <v>UT</v>
          </cell>
          <cell r="E6" t="str">
            <v>23</v>
          </cell>
        </row>
        <row r="7">
          <cell r="A7" t="str">
            <v>ABOGADO FISCAL JEFE</v>
          </cell>
          <cell r="B7" t="str">
            <v>35135</v>
          </cell>
          <cell r="C7" t="str">
            <v>E</v>
          </cell>
          <cell r="D7" t="str">
            <v>UT</v>
          </cell>
          <cell r="E7" t="str">
            <v>25</v>
          </cell>
        </row>
        <row r="8">
          <cell r="A8" t="str">
            <v>ABOGADO I</v>
          </cell>
          <cell r="B8" t="str">
            <v>35121</v>
          </cell>
          <cell r="C8" t="str">
            <v>E</v>
          </cell>
          <cell r="D8" t="str">
            <v>UT</v>
          </cell>
          <cell r="E8" t="str">
            <v>17</v>
          </cell>
        </row>
        <row r="9">
          <cell r="A9" t="str">
            <v>ABOGADO II</v>
          </cell>
          <cell r="B9" t="str">
            <v>35122</v>
          </cell>
          <cell r="C9" t="str">
            <v>E</v>
          </cell>
          <cell r="D9" t="str">
            <v>UT</v>
          </cell>
          <cell r="E9" t="str">
            <v>19</v>
          </cell>
        </row>
        <row r="10">
          <cell r="A10" t="str">
            <v>ABOGADO III</v>
          </cell>
          <cell r="B10" t="str">
            <v>35123</v>
          </cell>
          <cell r="C10" t="str">
            <v>E</v>
          </cell>
          <cell r="D10" t="str">
            <v>UT</v>
          </cell>
          <cell r="E10" t="str">
            <v>21</v>
          </cell>
        </row>
        <row r="11">
          <cell r="A11" t="str">
            <v>ABOGADO IV</v>
          </cell>
          <cell r="B11" t="str">
            <v>35124</v>
          </cell>
          <cell r="C11" t="str">
            <v>E</v>
          </cell>
          <cell r="D11" t="str">
            <v>UT</v>
          </cell>
          <cell r="E11" t="str">
            <v>23</v>
          </cell>
        </row>
        <row r="12">
          <cell r="A12" t="str">
            <v>ABOGADO JEFE</v>
          </cell>
          <cell r="B12" t="str">
            <v>35125</v>
          </cell>
          <cell r="C12" t="str">
            <v>E</v>
          </cell>
          <cell r="D12" t="str">
            <v>UT</v>
          </cell>
          <cell r="E12" t="str">
            <v>25</v>
          </cell>
        </row>
        <row r="13">
          <cell r="A13" t="str">
            <v>ABOGADO PROCURADURIA I</v>
          </cell>
          <cell r="B13" t="str">
            <v>35151</v>
          </cell>
          <cell r="C13" t="str">
            <v>E</v>
          </cell>
          <cell r="D13" t="str">
            <v>UT</v>
          </cell>
          <cell r="E13" t="str">
            <v>19</v>
          </cell>
        </row>
        <row r="14">
          <cell r="A14" t="str">
            <v>ABOGADO PROCURADURIA II</v>
          </cell>
          <cell r="B14" t="str">
            <v>35152</v>
          </cell>
          <cell r="C14" t="str">
            <v>E</v>
          </cell>
          <cell r="D14" t="str">
            <v>UT</v>
          </cell>
          <cell r="E14" t="str">
            <v>21</v>
          </cell>
        </row>
        <row r="15">
          <cell r="A15" t="str">
            <v>ABOGADO PROCURADURIA III</v>
          </cell>
          <cell r="B15" t="str">
            <v>35153</v>
          </cell>
          <cell r="C15" t="str">
            <v>E</v>
          </cell>
          <cell r="D15" t="str">
            <v>UT</v>
          </cell>
          <cell r="E15" t="str">
            <v>23</v>
          </cell>
        </row>
        <row r="16">
          <cell r="A16" t="str">
            <v>ABOGADO PROCURADURIA IV</v>
          </cell>
          <cell r="B16" t="str">
            <v>35154</v>
          </cell>
          <cell r="C16" t="str">
            <v>E</v>
          </cell>
          <cell r="D16" t="str">
            <v>UT</v>
          </cell>
          <cell r="E16" t="str">
            <v>25</v>
          </cell>
        </row>
        <row r="17">
          <cell r="A17" t="str">
            <v>ACTUARIO I</v>
          </cell>
          <cell r="B17" t="str">
            <v>36151</v>
          </cell>
          <cell r="C17" t="str">
            <v>E</v>
          </cell>
          <cell r="D17" t="str">
            <v>UT</v>
          </cell>
          <cell r="E17" t="str">
            <v>17</v>
          </cell>
        </row>
        <row r="18">
          <cell r="A18" t="str">
            <v>ACTUARIO II</v>
          </cell>
          <cell r="B18" t="str">
            <v>36152</v>
          </cell>
          <cell r="C18" t="str">
            <v>E</v>
          </cell>
          <cell r="D18" t="str">
            <v>UT</v>
          </cell>
          <cell r="E18" t="str">
            <v>19</v>
          </cell>
        </row>
        <row r="19">
          <cell r="A19" t="str">
            <v>ACTUARIO III</v>
          </cell>
          <cell r="B19" t="str">
            <v>36153</v>
          </cell>
          <cell r="C19" t="str">
            <v>E</v>
          </cell>
          <cell r="D19" t="str">
            <v>UT</v>
          </cell>
          <cell r="E19" t="str">
            <v>21</v>
          </cell>
        </row>
        <row r="20">
          <cell r="A20" t="str">
            <v>ACTUARIO IV</v>
          </cell>
          <cell r="B20" t="str">
            <v>36154</v>
          </cell>
          <cell r="C20" t="str">
            <v>E</v>
          </cell>
          <cell r="D20" t="str">
            <v>UT</v>
          </cell>
          <cell r="E20" t="str">
            <v>23</v>
          </cell>
        </row>
        <row r="21">
          <cell r="A21" t="str">
            <v>ACTUARIO V</v>
          </cell>
          <cell r="B21" t="str">
            <v>36155</v>
          </cell>
          <cell r="C21" t="str">
            <v>E</v>
          </cell>
          <cell r="D21" t="str">
            <v>UT</v>
          </cell>
          <cell r="E21" t="str">
            <v>24</v>
          </cell>
        </row>
        <row r="22">
          <cell r="A22" t="str">
            <v>ADJUNTO INTERVENTOR DE ADUANAS I</v>
          </cell>
          <cell r="B22" t="str">
            <v>53111</v>
          </cell>
          <cell r="C22" t="str">
            <v>E</v>
          </cell>
          <cell r="D22" t="str">
            <v>AD</v>
          </cell>
          <cell r="E22" t="str">
            <v>02</v>
          </cell>
        </row>
        <row r="23">
          <cell r="A23" t="str">
            <v>ADJUNTO INTERVENTOR DE ADUANAS II</v>
          </cell>
          <cell r="B23" t="str">
            <v>53112</v>
          </cell>
          <cell r="C23" t="str">
            <v>E</v>
          </cell>
          <cell r="D23" t="str">
            <v>AD</v>
          </cell>
          <cell r="E23" t="str">
            <v>03</v>
          </cell>
        </row>
        <row r="24">
          <cell r="A24" t="str">
            <v>ADJUNTO INTERVENTOR DE ADUANAS III</v>
          </cell>
          <cell r="B24" t="str">
            <v>53113</v>
          </cell>
          <cell r="C24" t="str">
            <v>E</v>
          </cell>
          <cell r="D24" t="str">
            <v>UT</v>
          </cell>
          <cell r="E24" t="str">
            <v>15</v>
          </cell>
        </row>
        <row r="25">
          <cell r="A25" t="str">
            <v>ADMINISTRADOR DE COLECCIONES</v>
          </cell>
          <cell r="B25" t="str">
            <v>37530</v>
          </cell>
          <cell r="C25" t="str">
            <v>E</v>
          </cell>
          <cell r="D25" t="str">
            <v>UT</v>
          </cell>
          <cell r="E25" t="str">
            <v>17</v>
          </cell>
        </row>
        <row r="26">
          <cell r="A26" t="str">
            <v>ADMINISTRADOR I</v>
          </cell>
          <cell r="B26" t="str">
            <v>12121</v>
          </cell>
          <cell r="C26" t="str">
            <v>E</v>
          </cell>
          <cell r="D26" t="str">
            <v>UT</v>
          </cell>
          <cell r="E26" t="str">
            <v>17</v>
          </cell>
        </row>
        <row r="27">
          <cell r="A27" t="str">
            <v>ADMINISTRADOR II</v>
          </cell>
          <cell r="B27" t="str">
            <v>12122</v>
          </cell>
          <cell r="C27" t="str">
            <v>E</v>
          </cell>
          <cell r="D27" t="str">
            <v>UT</v>
          </cell>
          <cell r="E27" t="str">
            <v>19</v>
          </cell>
        </row>
        <row r="28">
          <cell r="A28" t="str">
            <v>ADMINISTRADOR III</v>
          </cell>
          <cell r="B28" t="str">
            <v>12123</v>
          </cell>
          <cell r="C28" t="str">
            <v>E</v>
          </cell>
          <cell r="D28" t="str">
            <v>UT</v>
          </cell>
          <cell r="E28" t="str">
            <v>21</v>
          </cell>
        </row>
        <row r="29">
          <cell r="A29" t="str">
            <v>ADMINISTRADOR IV</v>
          </cell>
          <cell r="B29" t="str">
            <v>12124</v>
          </cell>
          <cell r="C29" t="str">
            <v>E</v>
          </cell>
          <cell r="D29" t="str">
            <v>UT</v>
          </cell>
          <cell r="E29" t="str">
            <v>23</v>
          </cell>
        </row>
        <row r="30">
          <cell r="A30" t="str">
            <v>ADMINISTRADOR JEFE</v>
          </cell>
          <cell r="B30" t="str">
            <v>12130</v>
          </cell>
          <cell r="C30" t="str">
            <v>E</v>
          </cell>
          <cell r="D30" t="str">
            <v>UT</v>
          </cell>
          <cell r="E30" t="str">
            <v>25</v>
          </cell>
        </row>
        <row r="31">
          <cell r="A31" t="str">
            <v>ADMINISTRADOR V</v>
          </cell>
          <cell r="B31" t="str">
            <v>12125</v>
          </cell>
          <cell r="C31" t="str">
            <v>E</v>
          </cell>
          <cell r="D31" t="str">
            <v>AD</v>
          </cell>
          <cell r="E31" t="str">
            <v>24</v>
          </cell>
        </row>
        <row r="32">
          <cell r="A32" t="str">
            <v>AEROTOPOGRAFO I</v>
          </cell>
          <cell r="B32" t="str">
            <v>45211</v>
          </cell>
          <cell r="C32" t="str">
            <v>E</v>
          </cell>
          <cell r="D32" t="str">
            <v>AD</v>
          </cell>
          <cell r="E32" t="str">
            <v>02</v>
          </cell>
        </row>
        <row r="33">
          <cell r="A33" t="str">
            <v>AEROTOPOGRAFO II</v>
          </cell>
          <cell r="B33" t="str">
            <v>45212</v>
          </cell>
          <cell r="C33" t="str">
            <v>E</v>
          </cell>
          <cell r="D33" t="str">
            <v>AD</v>
          </cell>
          <cell r="E33" t="str">
            <v>04</v>
          </cell>
        </row>
        <row r="34">
          <cell r="A34" t="str">
            <v>AEROTOPOGRAFO III</v>
          </cell>
          <cell r="B34" t="str">
            <v>45213</v>
          </cell>
          <cell r="C34" t="str">
            <v>E</v>
          </cell>
          <cell r="D34" t="str">
            <v>AD</v>
          </cell>
          <cell r="E34" t="str">
            <v>06</v>
          </cell>
        </row>
        <row r="35">
          <cell r="A35" t="str">
            <v>AEROTOPOGRAFO IV</v>
          </cell>
          <cell r="B35" t="str">
            <v>45214</v>
          </cell>
          <cell r="C35" t="str">
            <v>E</v>
          </cell>
          <cell r="D35" t="str">
            <v>AD</v>
          </cell>
          <cell r="E35" t="str">
            <v>08</v>
          </cell>
        </row>
        <row r="36">
          <cell r="A36" t="str">
            <v>AEROTOPOGRAFO JEFE</v>
          </cell>
          <cell r="B36" t="str">
            <v>45220</v>
          </cell>
          <cell r="C36" t="str">
            <v>E</v>
          </cell>
          <cell r="D36" t="str">
            <v>AD</v>
          </cell>
          <cell r="E36" t="str">
            <v>10</v>
          </cell>
        </row>
        <row r="37">
          <cell r="A37" t="str">
            <v>AFERIDOR I</v>
          </cell>
          <cell r="B37" t="str">
            <v>84211</v>
          </cell>
          <cell r="C37" t="str">
            <v>E</v>
          </cell>
          <cell r="D37" t="str">
            <v>AD</v>
          </cell>
          <cell r="E37" t="str">
            <v>01</v>
          </cell>
        </row>
        <row r="38">
          <cell r="A38" t="str">
            <v>AFERIDOR II</v>
          </cell>
          <cell r="B38" t="str">
            <v>84212</v>
          </cell>
          <cell r="C38" t="str">
            <v>E</v>
          </cell>
          <cell r="D38" t="str">
            <v>AD</v>
          </cell>
          <cell r="E38" t="str">
            <v>03</v>
          </cell>
        </row>
        <row r="39">
          <cell r="A39" t="str">
            <v>AFORADOR DE HIDROCARBUROS</v>
          </cell>
          <cell r="B39" t="str">
            <v>44110</v>
          </cell>
          <cell r="C39" t="str">
            <v>E</v>
          </cell>
          <cell r="D39" t="str">
            <v>AD</v>
          </cell>
          <cell r="E39" t="str">
            <v>01</v>
          </cell>
        </row>
        <row r="40">
          <cell r="A40" t="str">
            <v>AGENTE</v>
          </cell>
          <cell r="B40" t="str">
            <v>62223</v>
          </cell>
          <cell r="C40" t="str">
            <v>E</v>
          </cell>
          <cell r="D40" t="str">
            <v>PO</v>
          </cell>
          <cell r="E40" t="str">
            <v>03</v>
          </cell>
        </row>
        <row r="41">
          <cell r="A41" t="str">
            <v>AGENTE AYUDA JUVENIL I</v>
          </cell>
          <cell r="B41" t="str">
            <v>79551</v>
          </cell>
          <cell r="C41" t="str">
            <v>E</v>
          </cell>
          <cell r="D41" t="str">
            <v>AD</v>
          </cell>
          <cell r="E41" t="str">
            <v>02</v>
          </cell>
        </row>
        <row r="42">
          <cell r="A42" t="str">
            <v>AGENTE AYUDA JUVENIL II</v>
          </cell>
          <cell r="B42" t="str">
            <v>79552</v>
          </cell>
          <cell r="C42" t="str">
            <v>E</v>
          </cell>
          <cell r="D42" t="str">
            <v>AD</v>
          </cell>
          <cell r="E42" t="str">
            <v>04</v>
          </cell>
        </row>
        <row r="43">
          <cell r="A43" t="str">
            <v>AGENTE COOPERATIVISTA I</v>
          </cell>
          <cell r="B43" t="str">
            <v>41351</v>
          </cell>
          <cell r="C43" t="str">
            <v>E</v>
          </cell>
          <cell r="D43" t="str">
            <v>AD</v>
          </cell>
          <cell r="E43" t="str">
            <v>02</v>
          </cell>
        </row>
        <row r="44">
          <cell r="A44" t="str">
            <v>AGENTE COOPERATIVISTA II</v>
          </cell>
          <cell r="B44" t="str">
            <v>41352</v>
          </cell>
          <cell r="C44" t="str">
            <v>E</v>
          </cell>
          <cell r="D44" t="str">
            <v>AD</v>
          </cell>
          <cell r="E44" t="str">
            <v>03</v>
          </cell>
        </row>
        <row r="45">
          <cell r="A45" t="str">
            <v>AGENTE DE INMIGRACION Y EXTRANJERIA I</v>
          </cell>
          <cell r="B45" t="str">
            <v>86221</v>
          </cell>
          <cell r="C45" t="str">
            <v>E</v>
          </cell>
          <cell r="D45" t="str">
            <v>UT</v>
          </cell>
          <cell r="E45" t="str">
            <v>15</v>
          </cell>
        </row>
        <row r="46">
          <cell r="A46" t="str">
            <v>AGENTE DE INMIGRACION Y EXTRANJERIA II</v>
          </cell>
          <cell r="B46" t="str">
            <v>86222</v>
          </cell>
          <cell r="C46" t="str">
            <v>E</v>
          </cell>
          <cell r="D46" t="str">
            <v>UT</v>
          </cell>
          <cell r="E46" t="str">
            <v>17</v>
          </cell>
        </row>
        <row r="47">
          <cell r="A47" t="str">
            <v>AGENTE DE INMIGRACION Y EXTRANJERIA III</v>
          </cell>
          <cell r="B47" t="str">
            <v>86223</v>
          </cell>
          <cell r="C47" t="str">
            <v>E</v>
          </cell>
          <cell r="D47" t="str">
            <v>UT</v>
          </cell>
          <cell r="E47" t="str">
            <v>19</v>
          </cell>
        </row>
        <row r="48">
          <cell r="A48" t="str">
            <v>AGENTE DE VIVIENDA I</v>
          </cell>
          <cell r="B48" t="str">
            <v>79611</v>
          </cell>
          <cell r="C48" t="str">
            <v>E</v>
          </cell>
          <cell r="D48" t="str">
            <v>AD</v>
          </cell>
          <cell r="E48" t="str">
            <v>02</v>
          </cell>
        </row>
        <row r="49">
          <cell r="A49" t="str">
            <v>AGENTE DE VIVIENDA II</v>
          </cell>
          <cell r="B49" t="str">
            <v>79612</v>
          </cell>
          <cell r="C49" t="str">
            <v>E</v>
          </cell>
          <cell r="D49" t="str">
            <v>UT</v>
          </cell>
          <cell r="E49" t="str">
            <v>15</v>
          </cell>
        </row>
        <row r="50">
          <cell r="A50" t="str">
            <v>AGENTE DE VIVIENDA III</v>
          </cell>
          <cell r="B50" t="str">
            <v>79613</v>
          </cell>
          <cell r="C50" t="str">
            <v>E</v>
          </cell>
          <cell r="D50" t="str">
            <v>UT</v>
          </cell>
          <cell r="E50" t="str">
            <v>17</v>
          </cell>
        </row>
        <row r="51">
          <cell r="A51" t="str">
            <v>AGENTE DISIP</v>
          </cell>
          <cell r="B51" t="str">
            <v>62225</v>
          </cell>
          <cell r="C51" t="str">
            <v>E</v>
          </cell>
          <cell r="D51" t="str">
            <v>PO</v>
          </cell>
          <cell r="E51" t="str">
            <v/>
          </cell>
        </row>
        <row r="52">
          <cell r="A52" t="str">
            <v>AGRIMENSOR I</v>
          </cell>
          <cell r="B52" t="str">
            <v>43161</v>
          </cell>
          <cell r="C52" t="str">
            <v>E</v>
          </cell>
          <cell r="D52" t="str">
            <v>UT</v>
          </cell>
          <cell r="E52" t="str">
            <v>17</v>
          </cell>
        </row>
        <row r="53">
          <cell r="A53" t="str">
            <v>AGRIMENSOR II</v>
          </cell>
          <cell r="B53" t="str">
            <v>43162</v>
          </cell>
          <cell r="C53" t="str">
            <v>E</v>
          </cell>
          <cell r="D53" t="str">
            <v>UT</v>
          </cell>
          <cell r="E53" t="str">
            <v>18</v>
          </cell>
        </row>
        <row r="54">
          <cell r="A54" t="str">
            <v>AGRIMENSOR III</v>
          </cell>
          <cell r="B54" t="str">
            <v>43163</v>
          </cell>
          <cell r="C54" t="str">
            <v>E</v>
          </cell>
          <cell r="D54" t="str">
            <v>UT</v>
          </cell>
          <cell r="E54" t="str">
            <v>19</v>
          </cell>
        </row>
        <row r="55">
          <cell r="A55" t="str">
            <v>AGRIMENSOR JEFE</v>
          </cell>
          <cell r="B55" t="str">
            <v>43170</v>
          </cell>
          <cell r="C55" t="str">
            <v>E</v>
          </cell>
          <cell r="D55" t="str">
            <v>UT</v>
          </cell>
          <cell r="E55" t="str">
            <v>21</v>
          </cell>
        </row>
        <row r="56">
          <cell r="A56" t="str">
            <v>ALFABETIZADOR</v>
          </cell>
          <cell r="B56" t="str">
            <v>00081</v>
          </cell>
          <cell r="C56" t="str">
            <v>E</v>
          </cell>
          <cell r="D56" t="str">
            <v>DO</v>
          </cell>
          <cell r="E56" t="str">
            <v/>
          </cell>
        </row>
        <row r="57">
          <cell r="A57" t="str">
            <v>ALFABETIZADOR I   139</v>
          </cell>
          <cell r="B57" t="str">
            <v>01111</v>
          </cell>
          <cell r="C57" t="str">
            <v>E</v>
          </cell>
          <cell r="D57" t="str">
            <v>DO</v>
          </cell>
          <cell r="E57" t="str">
            <v/>
          </cell>
        </row>
        <row r="58">
          <cell r="A58" t="str">
            <v>ALFABETIZADOR I   77</v>
          </cell>
          <cell r="B58" t="str">
            <v>01101</v>
          </cell>
          <cell r="C58" t="str">
            <v>E</v>
          </cell>
          <cell r="D58" t="str">
            <v>DO</v>
          </cell>
          <cell r="E58" t="str">
            <v/>
          </cell>
        </row>
        <row r="59">
          <cell r="A59" t="str">
            <v>ALFABETIZADOR I TCVDMA</v>
          </cell>
          <cell r="B59" t="str">
            <v>40007</v>
          </cell>
          <cell r="C59" t="str">
            <v>E</v>
          </cell>
          <cell r="D59" t="str">
            <v>DO</v>
          </cell>
          <cell r="E59" t="str">
            <v/>
          </cell>
        </row>
        <row r="60">
          <cell r="A60" t="str">
            <v>ALFABETIZADOR II  139</v>
          </cell>
          <cell r="B60" t="str">
            <v>01112</v>
          </cell>
          <cell r="C60" t="str">
            <v>E</v>
          </cell>
          <cell r="D60" t="str">
            <v>DO</v>
          </cell>
          <cell r="E60" t="str">
            <v/>
          </cell>
        </row>
        <row r="61">
          <cell r="A61" t="str">
            <v>ALFABETIZADOR II  77</v>
          </cell>
          <cell r="B61" t="str">
            <v>01102</v>
          </cell>
          <cell r="C61" t="str">
            <v>E</v>
          </cell>
          <cell r="D61" t="str">
            <v>DO</v>
          </cell>
          <cell r="E61" t="str">
            <v/>
          </cell>
        </row>
        <row r="62">
          <cell r="A62" t="str">
            <v>ALFABETIZADOR II TCVDMA</v>
          </cell>
          <cell r="B62" t="str">
            <v>40008</v>
          </cell>
          <cell r="C62" t="str">
            <v>E</v>
          </cell>
          <cell r="D62" t="str">
            <v>DO</v>
          </cell>
          <cell r="E62" t="str">
            <v/>
          </cell>
        </row>
        <row r="63">
          <cell r="A63" t="str">
            <v>ALFABETIZADOR III 139</v>
          </cell>
          <cell r="B63" t="str">
            <v>01113</v>
          </cell>
          <cell r="C63" t="str">
            <v>E</v>
          </cell>
          <cell r="D63" t="str">
            <v>DO</v>
          </cell>
          <cell r="E63" t="str">
            <v/>
          </cell>
        </row>
        <row r="64">
          <cell r="A64" t="str">
            <v>ALFABETIZADOR III 77</v>
          </cell>
          <cell r="B64" t="str">
            <v>01103</v>
          </cell>
          <cell r="C64" t="str">
            <v>E</v>
          </cell>
          <cell r="D64" t="str">
            <v>DO</v>
          </cell>
          <cell r="E64" t="str">
            <v/>
          </cell>
        </row>
        <row r="65">
          <cell r="A65" t="str">
            <v>ALFABETIZADOR III TCVDMA</v>
          </cell>
          <cell r="B65" t="str">
            <v>40009</v>
          </cell>
          <cell r="C65" t="str">
            <v>E</v>
          </cell>
          <cell r="D65" t="str">
            <v>DO</v>
          </cell>
          <cell r="E65" t="str">
            <v/>
          </cell>
        </row>
        <row r="66">
          <cell r="A66" t="str">
            <v>ALFABETIZADOR IV  139</v>
          </cell>
          <cell r="B66" t="str">
            <v>01114</v>
          </cell>
          <cell r="C66" t="str">
            <v>E</v>
          </cell>
          <cell r="D66" t="str">
            <v>DO</v>
          </cell>
          <cell r="E66" t="str">
            <v/>
          </cell>
        </row>
        <row r="67">
          <cell r="A67" t="str">
            <v>ALFABETIZADOR IV  77</v>
          </cell>
          <cell r="B67" t="str">
            <v>01104</v>
          </cell>
          <cell r="C67" t="str">
            <v>E</v>
          </cell>
          <cell r="D67" t="str">
            <v>DO</v>
          </cell>
          <cell r="E67" t="str">
            <v/>
          </cell>
        </row>
        <row r="68">
          <cell r="A68" t="str">
            <v>ALFABETIZADOR IV TCVDMA</v>
          </cell>
          <cell r="B68" t="str">
            <v>40010</v>
          </cell>
          <cell r="C68" t="str">
            <v>E</v>
          </cell>
          <cell r="D68" t="str">
            <v>DO</v>
          </cell>
          <cell r="E68" t="str">
            <v/>
          </cell>
        </row>
        <row r="69">
          <cell r="A69" t="str">
            <v>ALFABETIZADOR N.G.</v>
          </cell>
          <cell r="B69" t="str">
            <v>02027</v>
          </cell>
          <cell r="C69" t="str">
            <v>E</v>
          </cell>
          <cell r="D69" t="str">
            <v>DO</v>
          </cell>
          <cell r="E69" t="str">
            <v/>
          </cell>
        </row>
        <row r="70">
          <cell r="A70" t="str">
            <v>ALFABETIZADOR NG TCVDMA</v>
          </cell>
          <cell r="B70" t="str">
            <v>40006</v>
          </cell>
          <cell r="C70" t="str">
            <v>E</v>
          </cell>
          <cell r="D70" t="str">
            <v>DO</v>
          </cell>
          <cell r="E70" t="str">
            <v/>
          </cell>
        </row>
        <row r="71">
          <cell r="A71" t="str">
            <v>ALFABETIZADOR V   139</v>
          </cell>
          <cell r="B71" t="str">
            <v>01115</v>
          </cell>
          <cell r="C71" t="str">
            <v>E</v>
          </cell>
          <cell r="D71" t="str">
            <v>DO</v>
          </cell>
          <cell r="E71" t="str">
            <v/>
          </cell>
        </row>
        <row r="72">
          <cell r="A72" t="str">
            <v>ALFABETIZADOR V   77</v>
          </cell>
          <cell r="B72" t="str">
            <v>01105</v>
          </cell>
          <cell r="C72" t="str">
            <v>E</v>
          </cell>
          <cell r="D72" t="str">
            <v>DO</v>
          </cell>
          <cell r="E72" t="str">
            <v/>
          </cell>
        </row>
        <row r="73">
          <cell r="A73" t="str">
            <v>ALFABETIZADOR V TCVDMA</v>
          </cell>
          <cell r="B73" t="str">
            <v>40011</v>
          </cell>
          <cell r="C73" t="str">
            <v>E</v>
          </cell>
          <cell r="D73" t="str">
            <v>DO</v>
          </cell>
          <cell r="E73" t="str">
            <v/>
          </cell>
        </row>
        <row r="74">
          <cell r="A74" t="str">
            <v>ALFABETIZADOR VI  139</v>
          </cell>
          <cell r="B74" t="str">
            <v>01116</v>
          </cell>
          <cell r="C74" t="str">
            <v>E</v>
          </cell>
          <cell r="D74" t="str">
            <v>DO</v>
          </cell>
          <cell r="E74" t="str">
            <v/>
          </cell>
        </row>
        <row r="75">
          <cell r="A75" t="str">
            <v>ALFABETIZADOR VI  77</v>
          </cell>
          <cell r="B75" t="str">
            <v>01106</v>
          </cell>
          <cell r="C75" t="str">
            <v>E</v>
          </cell>
          <cell r="D75" t="str">
            <v>DO</v>
          </cell>
          <cell r="E75" t="str">
            <v/>
          </cell>
        </row>
        <row r="76">
          <cell r="A76" t="str">
            <v>ALFABETIZADOR VI TCVDMA</v>
          </cell>
          <cell r="B76" t="str">
            <v>40012</v>
          </cell>
          <cell r="C76" t="str">
            <v>E</v>
          </cell>
          <cell r="D76" t="str">
            <v>DO</v>
          </cell>
          <cell r="E76" t="str">
            <v/>
          </cell>
        </row>
        <row r="77">
          <cell r="A77" t="str">
            <v>ALMACENISTA I</v>
          </cell>
          <cell r="B77" t="str">
            <v>25211</v>
          </cell>
          <cell r="C77" t="str">
            <v>E</v>
          </cell>
          <cell r="D77" t="str">
            <v>AD</v>
          </cell>
          <cell r="E77" t="str">
            <v>01</v>
          </cell>
        </row>
        <row r="78">
          <cell r="A78" t="str">
            <v>ALMACENISTA II</v>
          </cell>
          <cell r="B78" t="str">
            <v>25212</v>
          </cell>
          <cell r="C78" t="str">
            <v>E</v>
          </cell>
          <cell r="D78" t="str">
            <v>AD</v>
          </cell>
          <cell r="E78" t="str">
            <v>03</v>
          </cell>
        </row>
        <row r="79">
          <cell r="A79" t="str">
            <v>ANALISTA CENTRAL DE PERSONAL I</v>
          </cell>
          <cell r="B79" t="str">
            <v>15141</v>
          </cell>
          <cell r="C79" t="str">
            <v>E</v>
          </cell>
          <cell r="D79" t="str">
            <v>UT</v>
          </cell>
          <cell r="E79" t="str">
            <v>19</v>
          </cell>
        </row>
        <row r="80">
          <cell r="A80" t="str">
            <v>ANALISTA CENTRAL DE PERSONAL II</v>
          </cell>
          <cell r="B80" t="str">
            <v>15142</v>
          </cell>
          <cell r="C80" t="str">
            <v>E</v>
          </cell>
          <cell r="D80" t="str">
            <v>UT</v>
          </cell>
          <cell r="E80" t="str">
            <v>21</v>
          </cell>
        </row>
        <row r="81">
          <cell r="A81" t="str">
            <v>ANALISTA CENTRAL DE PERSONAL III</v>
          </cell>
          <cell r="B81" t="str">
            <v>15143</v>
          </cell>
          <cell r="C81" t="str">
            <v>E</v>
          </cell>
          <cell r="D81" t="str">
            <v>UT</v>
          </cell>
          <cell r="E81" t="str">
            <v>23</v>
          </cell>
        </row>
        <row r="82">
          <cell r="A82" t="str">
            <v>ANALISTA CENTRAL DE PERSONAL IV</v>
          </cell>
          <cell r="B82" t="str">
            <v>15144</v>
          </cell>
          <cell r="C82" t="str">
            <v>E</v>
          </cell>
          <cell r="D82" t="str">
            <v>UT</v>
          </cell>
          <cell r="E82" t="str">
            <v>24</v>
          </cell>
        </row>
        <row r="83">
          <cell r="A83" t="str">
            <v>ANALISTA CENTRAL DE PERSONAL JEFE</v>
          </cell>
          <cell r="B83" t="str">
            <v>15150</v>
          </cell>
          <cell r="C83" t="str">
            <v>E</v>
          </cell>
          <cell r="D83" t="str">
            <v>UT</v>
          </cell>
          <cell r="E83" t="str">
            <v>26</v>
          </cell>
        </row>
        <row r="84">
          <cell r="A84" t="str">
            <v>ANALISTA CENTRAL DE PRESUPUESTO I</v>
          </cell>
          <cell r="B84" t="str">
            <v>13431</v>
          </cell>
          <cell r="C84" t="str">
            <v>E</v>
          </cell>
          <cell r="D84" t="str">
            <v>UT</v>
          </cell>
          <cell r="E84" t="str">
            <v>19</v>
          </cell>
        </row>
        <row r="85">
          <cell r="A85" t="str">
            <v>ANALISTA CENTRAL DE PRESUPUESTO II</v>
          </cell>
          <cell r="B85" t="str">
            <v>13432</v>
          </cell>
          <cell r="C85" t="str">
            <v>E</v>
          </cell>
          <cell r="D85" t="str">
            <v>UT</v>
          </cell>
          <cell r="E85" t="str">
            <v>21</v>
          </cell>
        </row>
        <row r="86">
          <cell r="A86" t="str">
            <v>ANALISTA CENTRAL DE PRESUPUESTO III</v>
          </cell>
          <cell r="B86" t="str">
            <v>13433</v>
          </cell>
          <cell r="C86" t="str">
            <v>E</v>
          </cell>
          <cell r="D86" t="str">
            <v>UT</v>
          </cell>
          <cell r="E86" t="str">
            <v>23</v>
          </cell>
        </row>
        <row r="87">
          <cell r="A87" t="str">
            <v>ANALISTA CENTRAL DE PRESUPUESTO IV</v>
          </cell>
          <cell r="B87" t="str">
            <v>13434</v>
          </cell>
          <cell r="C87" t="str">
            <v>E</v>
          </cell>
          <cell r="D87" t="str">
            <v>UT</v>
          </cell>
          <cell r="E87" t="str">
            <v>24</v>
          </cell>
        </row>
        <row r="88">
          <cell r="A88" t="str">
            <v>ANALISTA CENTRAL DE PRESUPUESTO JEFE</v>
          </cell>
          <cell r="B88" t="str">
            <v>13440</v>
          </cell>
          <cell r="C88" t="str">
            <v>E</v>
          </cell>
          <cell r="D88" t="str">
            <v>UT</v>
          </cell>
          <cell r="E88" t="str">
            <v>26</v>
          </cell>
        </row>
        <row r="89">
          <cell r="A89" t="str">
            <v>ANALISTA CENTRAL ORGAN. Y SISTEMAS I</v>
          </cell>
          <cell r="B89" t="str">
            <v>13251</v>
          </cell>
          <cell r="C89" t="str">
            <v>E</v>
          </cell>
          <cell r="D89" t="str">
            <v>UT</v>
          </cell>
          <cell r="E89" t="str">
            <v>18</v>
          </cell>
        </row>
        <row r="90">
          <cell r="A90" t="str">
            <v>ANALISTA CENTRAL ORGAN. Y SISTEMAS II</v>
          </cell>
          <cell r="B90" t="str">
            <v>13252</v>
          </cell>
          <cell r="C90" t="str">
            <v>E</v>
          </cell>
          <cell r="D90" t="str">
            <v>UT</v>
          </cell>
          <cell r="E90" t="str">
            <v>20</v>
          </cell>
        </row>
        <row r="91">
          <cell r="A91" t="str">
            <v>ANALISTA CENTRAL ORGAN. Y SISTEMAS III</v>
          </cell>
          <cell r="B91" t="str">
            <v>13253</v>
          </cell>
          <cell r="C91" t="str">
            <v>E</v>
          </cell>
          <cell r="D91" t="str">
            <v>UT</v>
          </cell>
          <cell r="E91" t="str">
            <v>22</v>
          </cell>
        </row>
        <row r="92">
          <cell r="A92" t="str">
            <v>ANALISTA CENTRAL ORGAN. Y SISTEMAS IV</v>
          </cell>
          <cell r="B92" t="str">
            <v>13254</v>
          </cell>
          <cell r="C92" t="str">
            <v>E</v>
          </cell>
          <cell r="D92" t="str">
            <v>UT</v>
          </cell>
          <cell r="E92" t="str">
            <v>24</v>
          </cell>
        </row>
        <row r="93">
          <cell r="A93" t="str">
            <v>ANALISTA CENTRAL ORGAN. Y SISTEMAS JEFE</v>
          </cell>
          <cell r="B93" t="str">
            <v>13260</v>
          </cell>
          <cell r="C93" t="str">
            <v>E</v>
          </cell>
          <cell r="D93" t="str">
            <v>UT</v>
          </cell>
          <cell r="E93" t="str">
            <v>25</v>
          </cell>
        </row>
        <row r="94">
          <cell r="A94" t="str">
            <v>ANALISTA CENTRAL ORGAN. Y SISTEMAS V</v>
          </cell>
          <cell r="B94" t="str">
            <v>13255</v>
          </cell>
          <cell r="C94" t="str">
            <v>E</v>
          </cell>
          <cell r="D94" t="str">
            <v>UT</v>
          </cell>
          <cell r="E94" t="str">
            <v>25</v>
          </cell>
        </row>
        <row r="95">
          <cell r="A95" t="str">
            <v>ANALISTA CENTRAL PERSONAL EN FORMACION</v>
          </cell>
          <cell r="B95" t="str">
            <v>15140</v>
          </cell>
          <cell r="C95" t="str">
            <v>E</v>
          </cell>
          <cell r="D95" t="str">
            <v>UT</v>
          </cell>
          <cell r="E95" t="str">
            <v>17</v>
          </cell>
        </row>
        <row r="96">
          <cell r="A96" t="str">
            <v>ANALISTA CENTRAL PRESUP EN FORMACION</v>
          </cell>
          <cell r="B96" t="str">
            <v>13430</v>
          </cell>
          <cell r="C96" t="str">
            <v>E</v>
          </cell>
          <cell r="D96" t="str">
            <v>UT</v>
          </cell>
          <cell r="E96" t="str">
            <v>17</v>
          </cell>
        </row>
        <row r="97">
          <cell r="A97" t="str">
            <v>ANALISTA DE ASUNTOS AUDIOVISUALES</v>
          </cell>
          <cell r="B97" t="str">
            <v>34110</v>
          </cell>
          <cell r="C97" t="str">
            <v>E</v>
          </cell>
          <cell r="D97" t="str">
            <v>UT</v>
          </cell>
          <cell r="E97" t="str">
            <v>15</v>
          </cell>
        </row>
        <row r="98">
          <cell r="A98" t="str">
            <v>ANALISTA DE COLOCACION Y SEGUIMIENTO</v>
          </cell>
          <cell r="B98" t="str">
            <v>16310</v>
          </cell>
          <cell r="C98" t="str">
            <v>E</v>
          </cell>
          <cell r="D98" t="str">
            <v>UT</v>
          </cell>
          <cell r="E98" t="str">
            <v>17</v>
          </cell>
        </row>
        <row r="99">
          <cell r="A99" t="str">
            <v>ANALISTA DE CONTROL FINANCIERO I</v>
          </cell>
          <cell r="B99" t="str">
            <v>25861</v>
          </cell>
          <cell r="C99" t="str">
            <v>E</v>
          </cell>
          <cell r="D99" t="str">
            <v>UT</v>
          </cell>
          <cell r="E99" t="str">
            <v>18</v>
          </cell>
        </row>
        <row r="100">
          <cell r="A100" t="str">
            <v>ANALISTA DE CONTROL FINANCIERO II</v>
          </cell>
          <cell r="B100" t="str">
            <v>25862</v>
          </cell>
          <cell r="C100" t="str">
            <v>E</v>
          </cell>
          <cell r="D100" t="str">
            <v>UT</v>
          </cell>
          <cell r="E100" t="str">
            <v>20</v>
          </cell>
        </row>
        <row r="101">
          <cell r="A101" t="str">
            <v>ANALISTA DE CONTROL FINANCIERO III</v>
          </cell>
          <cell r="B101" t="str">
            <v>25863</v>
          </cell>
          <cell r="C101" t="str">
            <v>E</v>
          </cell>
          <cell r="D101" t="str">
            <v>UT</v>
          </cell>
          <cell r="E101" t="str">
            <v>22</v>
          </cell>
        </row>
        <row r="102">
          <cell r="A102" t="str">
            <v>ANALISTA DE CONTROL FINANCIERO IV</v>
          </cell>
          <cell r="B102" t="str">
            <v>25864</v>
          </cell>
          <cell r="C102" t="str">
            <v>E</v>
          </cell>
          <cell r="D102" t="str">
            <v>UT</v>
          </cell>
          <cell r="E102" t="str">
            <v>23</v>
          </cell>
        </row>
        <row r="103">
          <cell r="A103" t="str">
            <v>ANALISTA DE CONTROL FINANCIERO JEFE</v>
          </cell>
          <cell r="B103" t="str">
            <v>25870</v>
          </cell>
          <cell r="C103" t="str">
            <v>E</v>
          </cell>
          <cell r="D103" t="str">
            <v>UT</v>
          </cell>
          <cell r="E103" t="str">
            <v>26</v>
          </cell>
        </row>
        <row r="104">
          <cell r="A104" t="str">
            <v>ANALISTA DE CONTROL FINANCIERO JEFE II</v>
          </cell>
          <cell r="B104" t="str">
            <v>25871</v>
          </cell>
          <cell r="C104" t="str">
            <v>E</v>
          </cell>
          <cell r="D104" t="str">
            <v>UT</v>
          </cell>
          <cell r="E104" t="str">
            <v>28</v>
          </cell>
        </row>
        <row r="105">
          <cell r="A105" t="str">
            <v>ANALISTA DE CONTROL FINANCIERO V</v>
          </cell>
          <cell r="B105" t="str">
            <v>25866</v>
          </cell>
          <cell r="C105" t="str">
            <v>E</v>
          </cell>
          <cell r="D105" t="str">
            <v>UT</v>
          </cell>
          <cell r="E105" t="str">
            <v>25</v>
          </cell>
        </row>
        <row r="106">
          <cell r="A106" t="str">
            <v>ANALISTA DE CREDITOS AGROPECUARIO III</v>
          </cell>
          <cell r="B106" t="str">
            <v>14218</v>
          </cell>
          <cell r="C106" t="str">
            <v>E</v>
          </cell>
          <cell r="D106" t="str">
            <v>UT</v>
          </cell>
          <cell r="E106" t="str">
            <v>22</v>
          </cell>
        </row>
        <row r="107">
          <cell r="A107" t="str">
            <v>ANALISTA DE CREDITOS AGROPECUARIOS I</v>
          </cell>
          <cell r="B107" t="str">
            <v>14211</v>
          </cell>
          <cell r="C107" t="str">
            <v>E</v>
          </cell>
          <cell r="D107" t="str">
            <v>UT</v>
          </cell>
          <cell r="E107" t="str">
            <v>19</v>
          </cell>
        </row>
        <row r="108">
          <cell r="A108" t="str">
            <v>ANALISTA DE CREDITOS AGROPECUARIOS II</v>
          </cell>
          <cell r="B108" t="str">
            <v>14212</v>
          </cell>
          <cell r="C108" t="str">
            <v>E</v>
          </cell>
          <cell r="D108" t="str">
            <v>UT</v>
          </cell>
          <cell r="E108" t="str">
            <v>21</v>
          </cell>
        </row>
        <row r="109">
          <cell r="A109" t="str">
            <v>ANALISTA DE CREDITOS AGROPECUARIOS JEFE</v>
          </cell>
          <cell r="B109" t="str">
            <v>14220</v>
          </cell>
          <cell r="C109" t="str">
            <v>E</v>
          </cell>
          <cell r="D109" t="str">
            <v>UT</v>
          </cell>
          <cell r="E109" t="str">
            <v>24</v>
          </cell>
        </row>
        <row r="110">
          <cell r="A110" t="str">
            <v>ANALISTA DE ORGANIZACION Y SISTEMAS I</v>
          </cell>
          <cell r="B110" t="str">
            <v>13221</v>
          </cell>
          <cell r="C110" t="str">
            <v>E</v>
          </cell>
          <cell r="D110" t="str">
            <v>UT</v>
          </cell>
          <cell r="E110" t="str">
            <v>15</v>
          </cell>
        </row>
        <row r="111">
          <cell r="A111" t="str">
            <v>ANALISTA DE ORGANIZACION Y SISTEMAS II</v>
          </cell>
          <cell r="B111" t="str">
            <v>13222</v>
          </cell>
          <cell r="C111" t="str">
            <v>E</v>
          </cell>
          <cell r="D111" t="str">
            <v>UT</v>
          </cell>
          <cell r="E111" t="str">
            <v>17</v>
          </cell>
        </row>
        <row r="112">
          <cell r="A112" t="str">
            <v>ANALISTA DE ORGANIZACION Y SISTEMAS III</v>
          </cell>
          <cell r="B112" t="str">
            <v>13223</v>
          </cell>
          <cell r="C112" t="str">
            <v>E</v>
          </cell>
          <cell r="D112" t="str">
            <v>UT</v>
          </cell>
          <cell r="E112" t="str">
            <v>19</v>
          </cell>
        </row>
        <row r="113">
          <cell r="A113" t="str">
            <v>ANALISTA DE ORGANIZACION Y SISTEMAS IV</v>
          </cell>
          <cell r="B113" t="str">
            <v>13224</v>
          </cell>
          <cell r="C113" t="str">
            <v>E</v>
          </cell>
          <cell r="D113" t="str">
            <v>UT</v>
          </cell>
          <cell r="E113" t="str">
            <v>21</v>
          </cell>
        </row>
        <row r="114">
          <cell r="A114" t="str">
            <v>ANALISTA DE ORGANIZACION Y SISTEMAS JEFE</v>
          </cell>
          <cell r="B114" t="str">
            <v>13230</v>
          </cell>
          <cell r="C114" t="str">
            <v>E</v>
          </cell>
          <cell r="D114" t="str">
            <v>UT</v>
          </cell>
          <cell r="E114" t="str">
            <v>23</v>
          </cell>
        </row>
        <row r="115">
          <cell r="A115" t="str">
            <v>ANALISTA DE PERSONAL I</v>
          </cell>
          <cell r="B115" t="str">
            <v>15121</v>
          </cell>
          <cell r="C115" t="str">
            <v>E</v>
          </cell>
          <cell r="D115" t="str">
            <v>UT</v>
          </cell>
          <cell r="E115" t="str">
            <v>17</v>
          </cell>
        </row>
        <row r="116">
          <cell r="A116" t="str">
            <v>ANALISTA DE PERSONAL II</v>
          </cell>
          <cell r="B116" t="str">
            <v>15122</v>
          </cell>
          <cell r="C116" t="str">
            <v>E</v>
          </cell>
          <cell r="D116" t="str">
            <v>UT</v>
          </cell>
          <cell r="E116" t="str">
            <v>19</v>
          </cell>
        </row>
        <row r="117">
          <cell r="A117" t="str">
            <v>ANALISTA DE PERSONAL III</v>
          </cell>
          <cell r="B117" t="str">
            <v>15123</v>
          </cell>
          <cell r="C117" t="str">
            <v>E</v>
          </cell>
          <cell r="D117" t="str">
            <v>UT</v>
          </cell>
          <cell r="E117" t="str">
            <v>21</v>
          </cell>
        </row>
        <row r="118">
          <cell r="A118" t="str">
            <v>ANALISTA DE PERSONAL IV</v>
          </cell>
          <cell r="B118" t="str">
            <v>15124</v>
          </cell>
          <cell r="C118" t="str">
            <v>E</v>
          </cell>
          <cell r="D118" t="str">
            <v>UT</v>
          </cell>
          <cell r="E118" t="str">
            <v>22</v>
          </cell>
        </row>
        <row r="119">
          <cell r="A119" t="str">
            <v>ANALISTA DE PERSONAL V</v>
          </cell>
          <cell r="B119" t="str">
            <v>15125</v>
          </cell>
          <cell r="C119" t="str">
            <v>E</v>
          </cell>
          <cell r="D119" t="str">
            <v>UT</v>
          </cell>
          <cell r="E119" t="str">
            <v>23</v>
          </cell>
        </row>
        <row r="120">
          <cell r="A120" t="str">
            <v>ANALISTA DE PERSONAL VI</v>
          </cell>
          <cell r="B120" t="str">
            <v>15126</v>
          </cell>
          <cell r="C120" t="str">
            <v>E</v>
          </cell>
          <cell r="D120" t="str">
            <v>UT</v>
          </cell>
          <cell r="E120" t="str">
            <v>25</v>
          </cell>
        </row>
        <row r="121">
          <cell r="A121" t="str">
            <v>ANALISTA DE PRESUPUESTO I</v>
          </cell>
          <cell r="B121" t="str">
            <v>13411</v>
          </cell>
          <cell r="C121" t="str">
            <v>E</v>
          </cell>
          <cell r="D121" t="str">
            <v>UT</v>
          </cell>
          <cell r="E121" t="str">
            <v>15</v>
          </cell>
        </row>
        <row r="122">
          <cell r="A122" t="str">
            <v>ANALISTA DE PRESUPUESTO II</v>
          </cell>
          <cell r="B122" t="str">
            <v>13412</v>
          </cell>
          <cell r="C122" t="str">
            <v>E</v>
          </cell>
          <cell r="D122" t="str">
            <v>UT</v>
          </cell>
          <cell r="E122" t="str">
            <v>17</v>
          </cell>
        </row>
        <row r="123">
          <cell r="A123" t="str">
            <v>ANALISTA DE PRESUPUESTO III</v>
          </cell>
          <cell r="B123" t="str">
            <v>13413</v>
          </cell>
          <cell r="C123" t="str">
            <v>E</v>
          </cell>
          <cell r="D123" t="str">
            <v>UT</v>
          </cell>
          <cell r="E123" t="str">
            <v>19</v>
          </cell>
        </row>
        <row r="124">
          <cell r="A124" t="str">
            <v>ANALISTA DE PRESUPUESTO IV</v>
          </cell>
          <cell r="B124" t="str">
            <v>13414</v>
          </cell>
          <cell r="C124" t="str">
            <v>E</v>
          </cell>
          <cell r="D124" t="str">
            <v>UT</v>
          </cell>
          <cell r="E124" t="str">
            <v>21</v>
          </cell>
        </row>
        <row r="125">
          <cell r="A125" t="str">
            <v>ANALISTA DE PRESUPUESTO JEFE</v>
          </cell>
          <cell r="B125" t="str">
            <v>13420</v>
          </cell>
          <cell r="C125" t="str">
            <v>E</v>
          </cell>
          <cell r="D125" t="str">
            <v>UT</v>
          </cell>
          <cell r="E125" t="str">
            <v>23</v>
          </cell>
        </row>
        <row r="126">
          <cell r="A126" t="str">
            <v>ANALISTA DE PROCESAMIENTO DE DATOS I</v>
          </cell>
          <cell r="B126" t="str">
            <v>23451</v>
          </cell>
          <cell r="C126" t="str">
            <v>E</v>
          </cell>
          <cell r="D126" t="str">
            <v>UT</v>
          </cell>
          <cell r="E126" t="str">
            <v>19</v>
          </cell>
        </row>
        <row r="127">
          <cell r="A127" t="str">
            <v>ANALISTA DE PROCESAMIENTO DE DATOS II</v>
          </cell>
          <cell r="B127" t="str">
            <v>23452</v>
          </cell>
          <cell r="C127" t="str">
            <v>E</v>
          </cell>
          <cell r="D127" t="str">
            <v>UT</v>
          </cell>
          <cell r="E127" t="str">
            <v>21</v>
          </cell>
        </row>
        <row r="128">
          <cell r="A128" t="str">
            <v>ANALISTA DE PROCESAMIENTO DE DATOS III</v>
          </cell>
          <cell r="B128" t="str">
            <v>23453</v>
          </cell>
          <cell r="C128" t="str">
            <v>E</v>
          </cell>
          <cell r="D128" t="str">
            <v>UT</v>
          </cell>
          <cell r="E128" t="str">
            <v>23</v>
          </cell>
        </row>
        <row r="129">
          <cell r="A129" t="str">
            <v>ANALISTA DE PROCESAMIENTO DE DATOS IV</v>
          </cell>
          <cell r="B129" t="str">
            <v>23454</v>
          </cell>
          <cell r="C129" t="str">
            <v>E</v>
          </cell>
          <cell r="D129" t="str">
            <v>UT</v>
          </cell>
          <cell r="E129" t="str">
            <v>24</v>
          </cell>
        </row>
        <row r="130">
          <cell r="A130" t="str">
            <v>ANALISTA DE PROCESAMIENTO DE DATOS V</v>
          </cell>
          <cell r="B130" t="str">
            <v>23455</v>
          </cell>
          <cell r="C130" t="str">
            <v>E</v>
          </cell>
          <cell r="D130" t="str">
            <v>UT</v>
          </cell>
          <cell r="E130" t="str">
            <v>25</v>
          </cell>
        </row>
        <row r="131">
          <cell r="A131" t="str">
            <v>ANALISTA DE PROYECTOS AGROPECUARIOS I</v>
          </cell>
          <cell r="B131" t="str">
            <v>14411</v>
          </cell>
          <cell r="C131" t="str">
            <v>E</v>
          </cell>
          <cell r="D131" t="str">
            <v>UT</v>
          </cell>
          <cell r="E131" t="str">
            <v>19</v>
          </cell>
        </row>
        <row r="132">
          <cell r="A132" t="str">
            <v>ANALISTA DE PROYECTOS AGROPECUARIOS II</v>
          </cell>
          <cell r="B132" t="str">
            <v>14412</v>
          </cell>
          <cell r="C132" t="str">
            <v>E</v>
          </cell>
          <cell r="D132" t="str">
            <v>UT</v>
          </cell>
          <cell r="E132" t="str">
            <v>21</v>
          </cell>
        </row>
        <row r="133">
          <cell r="A133" t="str">
            <v>ANALISTA DE PROYECTOS AGROPECUARIOS III</v>
          </cell>
          <cell r="B133" t="str">
            <v>14413</v>
          </cell>
          <cell r="C133" t="str">
            <v>E</v>
          </cell>
          <cell r="D133" t="str">
            <v>UT</v>
          </cell>
          <cell r="E133" t="str">
            <v>22</v>
          </cell>
        </row>
        <row r="134">
          <cell r="A134" t="str">
            <v>ANALISTA DE PROYECTOS INDUSTRIALES I</v>
          </cell>
          <cell r="B134" t="str">
            <v>13281</v>
          </cell>
          <cell r="C134" t="str">
            <v>E</v>
          </cell>
          <cell r="D134" t="str">
            <v>UT</v>
          </cell>
          <cell r="E134" t="str">
            <v>17</v>
          </cell>
        </row>
        <row r="135">
          <cell r="A135" t="str">
            <v>ANALISTA DE PROYECTOS INDUSTRIALES II</v>
          </cell>
          <cell r="B135" t="str">
            <v>13282</v>
          </cell>
          <cell r="C135" t="str">
            <v>E</v>
          </cell>
          <cell r="D135" t="str">
            <v>UT</v>
          </cell>
          <cell r="E135" t="str">
            <v>19</v>
          </cell>
        </row>
        <row r="136">
          <cell r="A136" t="str">
            <v>ANALISTA DE PROYECTOS INDUSTRIALES III</v>
          </cell>
          <cell r="B136" t="str">
            <v>13283</v>
          </cell>
          <cell r="C136" t="str">
            <v>E</v>
          </cell>
          <cell r="D136" t="str">
            <v>UT</v>
          </cell>
          <cell r="E136" t="str">
            <v>20</v>
          </cell>
        </row>
        <row r="137">
          <cell r="A137" t="str">
            <v>ANALISTA DE SEGURIDAD Y DEFENSA I</v>
          </cell>
          <cell r="B137" t="str">
            <v>85311</v>
          </cell>
          <cell r="C137" t="str">
            <v>E</v>
          </cell>
          <cell r="D137" t="str">
            <v>UT</v>
          </cell>
          <cell r="E137" t="str">
            <v>17</v>
          </cell>
        </row>
        <row r="138">
          <cell r="A138" t="str">
            <v>ANALISTA DE SEGURIDAD Y DEFENSA III</v>
          </cell>
          <cell r="B138" t="str">
            <v>85313</v>
          </cell>
          <cell r="C138" t="str">
            <v>E</v>
          </cell>
          <cell r="D138" t="str">
            <v>UT</v>
          </cell>
          <cell r="E138" t="str">
            <v>22</v>
          </cell>
        </row>
        <row r="139">
          <cell r="A139" t="str">
            <v>ANALISTA DE SEGURIDAD Y DEFENSA IV</v>
          </cell>
          <cell r="B139" t="str">
            <v>85314</v>
          </cell>
          <cell r="C139" t="str">
            <v>E</v>
          </cell>
          <cell r="D139" t="str">
            <v>UT</v>
          </cell>
          <cell r="E139" t="str">
            <v>24</v>
          </cell>
        </row>
        <row r="140">
          <cell r="A140" t="str">
            <v>ANALISTA DE SEGURIDAD Y DEFENSA JEFE</v>
          </cell>
          <cell r="B140" t="str">
            <v>85320</v>
          </cell>
          <cell r="C140" t="str">
            <v>E</v>
          </cell>
          <cell r="D140" t="str">
            <v>UT</v>
          </cell>
          <cell r="E140" t="str">
            <v>26</v>
          </cell>
        </row>
        <row r="141">
          <cell r="A141" t="str">
            <v>ANALISTA DE SEGURIDAD Y DENFENSA II</v>
          </cell>
          <cell r="B141" t="str">
            <v>85312</v>
          </cell>
          <cell r="C141" t="str">
            <v>E</v>
          </cell>
          <cell r="D141" t="str">
            <v>UT</v>
          </cell>
          <cell r="E141" t="str">
            <v>20</v>
          </cell>
        </row>
        <row r="142">
          <cell r="A142" t="str">
            <v>ANALISTA DE SUPERV. DE CREDITOS AGRO II</v>
          </cell>
          <cell r="B142" t="str">
            <v>14332</v>
          </cell>
          <cell r="C142" t="str">
            <v>E</v>
          </cell>
          <cell r="D142" t="str">
            <v>UT</v>
          </cell>
          <cell r="E142" t="str">
            <v>21</v>
          </cell>
        </row>
        <row r="143">
          <cell r="A143" t="str">
            <v>ANALISTA DE SUPERV. DE CREDITOS AGRO III</v>
          </cell>
          <cell r="B143" t="str">
            <v>14333</v>
          </cell>
          <cell r="C143" t="str">
            <v>E</v>
          </cell>
          <cell r="D143" t="str">
            <v>UT</v>
          </cell>
          <cell r="E143" t="str">
            <v>23</v>
          </cell>
        </row>
        <row r="144">
          <cell r="A144" t="str">
            <v>ANALISTA DE SUPERV. DE CREDITOS AGRO. I</v>
          </cell>
          <cell r="B144" t="str">
            <v>14331</v>
          </cell>
          <cell r="C144" t="str">
            <v>E</v>
          </cell>
          <cell r="D144" t="str">
            <v>UT</v>
          </cell>
          <cell r="E144" t="str">
            <v>19</v>
          </cell>
        </row>
        <row r="145">
          <cell r="A145" t="str">
            <v>ANALISTA FINANCIERO I</v>
          </cell>
          <cell r="B145" t="str">
            <v>14121</v>
          </cell>
          <cell r="C145" t="str">
            <v>E</v>
          </cell>
          <cell r="D145" t="str">
            <v>UT</v>
          </cell>
          <cell r="E145" t="str">
            <v>17</v>
          </cell>
        </row>
        <row r="146">
          <cell r="A146" t="str">
            <v>ANALISTA FINANCIERO II</v>
          </cell>
          <cell r="B146" t="str">
            <v>14122</v>
          </cell>
          <cell r="C146" t="str">
            <v>E</v>
          </cell>
          <cell r="D146" t="str">
            <v>UT</v>
          </cell>
          <cell r="E146" t="str">
            <v>19</v>
          </cell>
        </row>
        <row r="147">
          <cell r="A147" t="str">
            <v>ANALISTA FINANCIERO III</v>
          </cell>
          <cell r="B147" t="str">
            <v>14123</v>
          </cell>
          <cell r="C147" t="str">
            <v>E</v>
          </cell>
          <cell r="D147" t="str">
            <v>UT</v>
          </cell>
          <cell r="E147" t="str">
            <v>21</v>
          </cell>
        </row>
        <row r="148">
          <cell r="A148" t="str">
            <v>ANALISTA FINANCIERO IV</v>
          </cell>
          <cell r="B148" t="str">
            <v>14124</v>
          </cell>
          <cell r="C148" t="str">
            <v>E</v>
          </cell>
          <cell r="D148" t="str">
            <v>UT</v>
          </cell>
          <cell r="E148" t="str">
            <v>22</v>
          </cell>
        </row>
        <row r="149">
          <cell r="A149" t="str">
            <v>ANALISTA FINANCIERO JEFE</v>
          </cell>
          <cell r="B149" t="str">
            <v>14130</v>
          </cell>
          <cell r="C149" t="str">
            <v>E</v>
          </cell>
          <cell r="D149" t="str">
            <v>UT</v>
          </cell>
          <cell r="E149" t="str">
            <v>24</v>
          </cell>
        </row>
        <row r="150">
          <cell r="A150" t="str">
            <v>ANALISTA FINANCIERO V</v>
          </cell>
          <cell r="B150" t="str">
            <v>14125</v>
          </cell>
          <cell r="C150" t="str">
            <v>E</v>
          </cell>
          <cell r="D150" t="str">
            <v>UT</v>
          </cell>
          <cell r="E150" t="str">
            <v>23</v>
          </cell>
        </row>
        <row r="151">
          <cell r="A151" t="str">
            <v>ANALISTA OCUPACIONAL  JEFE</v>
          </cell>
          <cell r="B151" t="str">
            <v>15220</v>
          </cell>
          <cell r="C151" t="str">
            <v>E</v>
          </cell>
          <cell r="D151" t="str">
            <v>UT</v>
          </cell>
          <cell r="E151" t="str">
            <v>21</v>
          </cell>
        </row>
        <row r="152">
          <cell r="A152" t="str">
            <v>ANALISTA OCUPACIONAL I</v>
          </cell>
          <cell r="B152" t="str">
            <v>15211</v>
          </cell>
          <cell r="C152" t="str">
            <v>E</v>
          </cell>
          <cell r="D152" t="str">
            <v>UT</v>
          </cell>
          <cell r="E152" t="str">
            <v>17</v>
          </cell>
        </row>
        <row r="153">
          <cell r="A153" t="str">
            <v>ANALISTA OCUPACIONAL II</v>
          </cell>
          <cell r="B153" t="str">
            <v>15212</v>
          </cell>
          <cell r="C153" t="str">
            <v>E</v>
          </cell>
          <cell r="D153" t="str">
            <v>UT</v>
          </cell>
          <cell r="E153" t="str">
            <v>19</v>
          </cell>
        </row>
        <row r="154">
          <cell r="A154" t="str">
            <v>ANTROPOLOGO I</v>
          </cell>
          <cell r="B154" t="str">
            <v>36451</v>
          </cell>
          <cell r="C154" t="str">
            <v>E</v>
          </cell>
          <cell r="D154" t="str">
            <v>UT</v>
          </cell>
          <cell r="E154" t="str">
            <v>17</v>
          </cell>
        </row>
        <row r="155">
          <cell r="A155" t="str">
            <v>ANTROPOLOGO II</v>
          </cell>
          <cell r="B155" t="str">
            <v>36452</v>
          </cell>
          <cell r="C155" t="str">
            <v>E</v>
          </cell>
          <cell r="D155" t="str">
            <v>UT</v>
          </cell>
          <cell r="E155" t="str">
            <v>19</v>
          </cell>
        </row>
        <row r="156">
          <cell r="A156" t="str">
            <v>ANTROPOLOGO III</v>
          </cell>
          <cell r="B156" t="str">
            <v>36453</v>
          </cell>
          <cell r="C156" t="str">
            <v>E</v>
          </cell>
          <cell r="D156" t="str">
            <v>UT</v>
          </cell>
          <cell r="E156" t="str">
            <v>21</v>
          </cell>
        </row>
        <row r="157">
          <cell r="A157" t="str">
            <v>ARCHIVISTA I</v>
          </cell>
          <cell r="B157" t="str">
            <v>22121</v>
          </cell>
          <cell r="C157" t="str">
            <v>E</v>
          </cell>
          <cell r="D157" t="str">
            <v>AD</v>
          </cell>
          <cell r="E157" t="str">
            <v>01</v>
          </cell>
        </row>
        <row r="158">
          <cell r="A158" t="str">
            <v>ARCHIVISTA II</v>
          </cell>
          <cell r="B158" t="str">
            <v>22122</v>
          </cell>
          <cell r="C158" t="str">
            <v>E</v>
          </cell>
          <cell r="D158" t="str">
            <v>AD</v>
          </cell>
          <cell r="E158" t="str">
            <v>03</v>
          </cell>
        </row>
        <row r="159">
          <cell r="A159" t="str">
            <v>ARCHIVISTA III</v>
          </cell>
          <cell r="B159" t="str">
            <v>22123</v>
          </cell>
          <cell r="C159" t="str">
            <v>E</v>
          </cell>
          <cell r="D159" t="str">
            <v>AD</v>
          </cell>
          <cell r="E159" t="str">
            <v>05</v>
          </cell>
        </row>
        <row r="160">
          <cell r="A160" t="str">
            <v>ARCHIVOLOGO I</v>
          </cell>
          <cell r="B160" t="str">
            <v>22131</v>
          </cell>
          <cell r="C160" t="str">
            <v>E</v>
          </cell>
          <cell r="D160" t="str">
            <v>UT</v>
          </cell>
          <cell r="E160" t="str">
            <v>17</v>
          </cell>
        </row>
        <row r="161">
          <cell r="A161" t="str">
            <v>ARCHIVOLOGO II</v>
          </cell>
          <cell r="B161" t="str">
            <v>22132</v>
          </cell>
          <cell r="C161" t="str">
            <v>E</v>
          </cell>
          <cell r="D161" t="str">
            <v>UT</v>
          </cell>
          <cell r="E161" t="str">
            <v>19</v>
          </cell>
        </row>
        <row r="162">
          <cell r="A162" t="str">
            <v>ARCHIVOLOGO III</v>
          </cell>
          <cell r="B162" t="str">
            <v>22133</v>
          </cell>
          <cell r="C162" t="str">
            <v>E</v>
          </cell>
          <cell r="D162" t="str">
            <v>UT</v>
          </cell>
          <cell r="E162" t="str">
            <v>21</v>
          </cell>
        </row>
        <row r="163">
          <cell r="A163" t="str">
            <v>ARCHIVOLOGO IV</v>
          </cell>
          <cell r="B163" t="str">
            <v>22134</v>
          </cell>
          <cell r="C163" t="str">
            <v>E</v>
          </cell>
          <cell r="D163" t="str">
            <v>UT</v>
          </cell>
          <cell r="E163" t="str">
            <v>23</v>
          </cell>
        </row>
        <row r="164">
          <cell r="A164" t="str">
            <v>ARMONICA</v>
          </cell>
          <cell r="B164" t="str">
            <v>02082</v>
          </cell>
          <cell r="C164" t="str">
            <v>E</v>
          </cell>
          <cell r="D164" t="str">
            <v>DO</v>
          </cell>
          <cell r="E164" t="str">
            <v/>
          </cell>
        </row>
        <row r="165">
          <cell r="A165" t="str">
            <v>ARQUITECTO I</v>
          </cell>
          <cell r="B165" t="str">
            <v>43531</v>
          </cell>
          <cell r="C165" t="str">
            <v>E</v>
          </cell>
          <cell r="D165" t="str">
            <v>UT</v>
          </cell>
          <cell r="E165" t="str">
            <v>18</v>
          </cell>
        </row>
        <row r="166">
          <cell r="A166" t="str">
            <v>ARQUITECTO II</v>
          </cell>
          <cell r="B166" t="str">
            <v>43532</v>
          </cell>
          <cell r="C166" t="str">
            <v>E</v>
          </cell>
          <cell r="D166" t="str">
            <v>UT</v>
          </cell>
          <cell r="E166" t="str">
            <v>19</v>
          </cell>
        </row>
        <row r="167">
          <cell r="A167" t="str">
            <v>ARQUITECTO III</v>
          </cell>
          <cell r="B167" t="str">
            <v>43533</v>
          </cell>
          <cell r="C167" t="str">
            <v>E</v>
          </cell>
          <cell r="D167" t="str">
            <v>UT</v>
          </cell>
          <cell r="E167" t="str">
            <v>21</v>
          </cell>
        </row>
        <row r="168">
          <cell r="A168" t="str">
            <v>ARQUITECTO JEFE I</v>
          </cell>
          <cell r="B168" t="str">
            <v>43541</v>
          </cell>
          <cell r="C168" t="str">
            <v>E</v>
          </cell>
          <cell r="D168" t="str">
            <v>UT</v>
          </cell>
          <cell r="E168" t="str">
            <v>22</v>
          </cell>
        </row>
        <row r="169">
          <cell r="A169" t="str">
            <v>ARQUITECTO JEFE II</v>
          </cell>
          <cell r="B169" t="str">
            <v>43542</v>
          </cell>
          <cell r="C169" t="str">
            <v>E</v>
          </cell>
          <cell r="D169" t="str">
            <v>UT</v>
          </cell>
          <cell r="E169" t="str">
            <v>24</v>
          </cell>
        </row>
        <row r="170">
          <cell r="A170" t="str">
            <v>ARQUITECTO PAISAJISTA I</v>
          </cell>
          <cell r="B170" t="str">
            <v>43551</v>
          </cell>
          <cell r="C170" t="str">
            <v>E</v>
          </cell>
          <cell r="D170" t="str">
            <v>UT</v>
          </cell>
          <cell r="E170" t="str">
            <v>18</v>
          </cell>
        </row>
        <row r="171">
          <cell r="A171" t="str">
            <v>ARQUITECTO PAISAJISTA II</v>
          </cell>
          <cell r="B171" t="str">
            <v>43552</v>
          </cell>
          <cell r="C171" t="str">
            <v>E</v>
          </cell>
          <cell r="D171" t="str">
            <v>UT</v>
          </cell>
          <cell r="E171" t="str">
            <v>19</v>
          </cell>
        </row>
        <row r="172">
          <cell r="A172" t="str">
            <v>ARQUITECTO PAISAJISTA III</v>
          </cell>
          <cell r="B172" t="str">
            <v>43553</v>
          </cell>
          <cell r="C172" t="str">
            <v>E</v>
          </cell>
          <cell r="D172" t="str">
            <v>UT</v>
          </cell>
          <cell r="E172" t="str">
            <v>21</v>
          </cell>
        </row>
        <row r="173">
          <cell r="A173" t="str">
            <v>ARQUITECTO PAISAJISTA JEFE I</v>
          </cell>
          <cell r="B173" t="str">
            <v>43561</v>
          </cell>
          <cell r="C173" t="str">
            <v>E</v>
          </cell>
          <cell r="D173" t="str">
            <v>UT</v>
          </cell>
          <cell r="E173" t="str">
            <v>22</v>
          </cell>
        </row>
        <row r="174">
          <cell r="A174" t="str">
            <v>ARQUITECTO PAISAJISTA JEFE II</v>
          </cell>
          <cell r="B174" t="str">
            <v>43562</v>
          </cell>
          <cell r="C174" t="str">
            <v>E</v>
          </cell>
          <cell r="D174" t="str">
            <v>UT</v>
          </cell>
          <cell r="E174" t="str">
            <v>24</v>
          </cell>
        </row>
        <row r="175">
          <cell r="A175" t="str">
            <v>ASIS. COORD. RED. B. IV 139</v>
          </cell>
          <cell r="B175" t="str">
            <v>01146</v>
          </cell>
          <cell r="C175" t="str">
            <v>E</v>
          </cell>
          <cell r="D175" t="str">
            <v>DO</v>
          </cell>
          <cell r="E175" t="str">
            <v/>
          </cell>
        </row>
        <row r="176">
          <cell r="A176" t="str">
            <v>ASIST. BIBLIOTECA III</v>
          </cell>
          <cell r="B176" t="str">
            <v>00033</v>
          </cell>
          <cell r="C176" t="str">
            <v>E</v>
          </cell>
          <cell r="D176" t="str">
            <v>DO</v>
          </cell>
          <cell r="E176" t="str">
            <v/>
          </cell>
        </row>
        <row r="177">
          <cell r="A177" t="str">
            <v>ASIST. BIBLIOTECA TCVN</v>
          </cell>
          <cell r="B177" t="str">
            <v>00034</v>
          </cell>
          <cell r="C177" t="str">
            <v>E</v>
          </cell>
          <cell r="D177" t="str">
            <v>DO</v>
          </cell>
          <cell r="E177" t="str">
            <v/>
          </cell>
        </row>
        <row r="178">
          <cell r="A178" t="str">
            <v>ASIST. DE TALLER II</v>
          </cell>
          <cell r="B178" t="str">
            <v>02042</v>
          </cell>
          <cell r="C178" t="str">
            <v>E</v>
          </cell>
          <cell r="D178" t="str">
            <v>DO</v>
          </cell>
          <cell r="E178" t="str">
            <v/>
          </cell>
        </row>
        <row r="179">
          <cell r="A179" t="str">
            <v>ASIST. DE TALLER III N.G.</v>
          </cell>
          <cell r="B179" t="str">
            <v>01130</v>
          </cell>
          <cell r="C179" t="str">
            <v>E</v>
          </cell>
          <cell r="D179" t="str">
            <v>DO</v>
          </cell>
          <cell r="E179" t="str">
            <v/>
          </cell>
        </row>
        <row r="180">
          <cell r="A180" t="str">
            <v>ASIST.COORD.RED.B. IV 77</v>
          </cell>
          <cell r="B180" t="str">
            <v>02045</v>
          </cell>
          <cell r="C180" t="str">
            <v>E</v>
          </cell>
          <cell r="D180" t="str">
            <v>DO</v>
          </cell>
          <cell r="E180" t="str">
            <v/>
          </cell>
        </row>
        <row r="181">
          <cell r="A181" t="str">
            <v>ASISTENTE  PABELLON DE FERIAS</v>
          </cell>
          <cell r="B181" t="str">
            <v>36760</v>
          </cell>
          <cell r="C181" t="str">
            <v>E</v>
          </cell>
          <cell r="D181" t="str">
            <v>UT</v>
          </cell>
          <cell r="E181" t="str">
            <v>16</v>
          </cell>
        </row>
        <row r="182">
          <cell r="A182" t="str">
            <v>ASISTENTE A LA SECRETARIA PRIVADA</v>
          </cell>
          <cell r="B182" t="str">
            <v>00918</v>
          </cell>
          <cell r="C182" t="str">
            <v>E</v>
          </cell>
          <cell r="D182" t="str">
            <v>DI</v>
          </cell>
          <cell r="E182" t="str">
            <v>99</v>
          </cell>
        </row>
        <row r="183">
          <cell r="A183" t="str">
            <v>ASISTENTE ADMINISTRATIVO I</v>
          </cell>
          <cell r="B183" t="str">
            <v>12111</v>
          </cell>
          <cell r="C183" t="str">
            <v>E</v>
          </cell>
          <cell r="D183" t="str">
            <v>AD</v>
          </cell>
          <cell r="E183" t="str">
            <v>01</v>
          </cell>
        </row>
        <row r="184">
          <cell r="A184" t="str">
            <v>ASISTENTE ADMINISTRATIVO II</v>
          </cell>
          <cell r="B184" t="str">
            <v>12112</v>
          </cell>
          <cell r="C184" t="str">
            <v>E</v>
          </cell>
          <cell r="D184" t="str">
            <v>AD</v>
          </cell>
          <cell r="E184" t="str">
            <v>03</v>
          </cell>
        </row>
        <row r="185">
          <cell r="A185" t="str">
            <v>ASISTENTE ADMINISTRATIVO III</v>
          </cell>
          <cell r="B185" t="str">
            <v>12113</v>
          </cell>
          <cell r="C185" t="str">
            <v>E</v>
          </cell>
          <cell r="D185" t="str">
            <v>UT</v>
          </cell>
          <cell r="E185" t="str">
            <v>15</v>
          </cell>
        </row>
        <row r="186">
          <cell r="A186" t="str">
            <v>ASISTENTE ADMINISTRATIVO IV</v>
          </cell>
          <cell r="B186" t="str">
            <v>12114</v>
          </cell>
          <cell r="C186" t="str">
            <v>E</v>
          </cell>
          <cell r="D186" t="str">
            <v>UT</v>
          </cell>
          <cell r="E186" t="str">
            <v>17</v>
          </cell>
        </row>
        <row r="187">
          <cell r="A187" t="str">
            <v>ASISTENTE ADMINISTRATIVO V</v>
          </cell>
          <cell r="B187" t="str">
            <v>12115</v>
          </cell>
          <cell r="C187" t="str">
            <v>E</v>
          </cell>
          <cell r="D187" t="str">
            <v>UT</v>
          </cell>
          <cell r="E187" t="str">
            <v>19</v>
          </cell>
        </row>
        <row r="188">
          <cell r="A188" t="str">
            <v>ASISTENTE ADMINISTRATIVO VI</v>
          </cell>
          <cell r="B188" t="str">
            <v>12116</v>
          </cell>
          <cell r="C188" t="str">
            <v>E</v>
          </cell>
          <cell r="D188" t="str">
            <v>UT</v>
          </cell>
          <cell r="E188" t="str">
            <v>20</v>
          </cell>
        </row>
        <row r="189">
          <cell r="A189" t="str">
            <v>ASISTENTE AEROPUERTO I</v>
          </cell>
          <cell r="B189" t="str">
            <v>51321</v>
          </cell>
          <cell r="C189" t="str">
            <v>E</v>
          </cell>
          <cell r="D189" t="str">
            <v>AD</v>
          </cell>
          <cell r="E189" t="str">
            <v>01</v>
          </cell>
        </row>
        <row r="190">
          <cell r="A190" t="str">
            <v>ASISTENTE AEROPUERTO II</v>
          </cell>
          <cell r="B190" t="str">
            <v>51322</v>
          </cell>
          <cell r="C190" t="str">
            <v>E</v>
          </cell>
          <cell r="D190" t="str">
            <v>AD</v>
          </cell>
          <cell r="E190" t="str">
            <v>02</v>
          </cell>
        </row>
        <row r="191">
          <cell r="A191" t="str">
            <v>ASISTENTE AEROPUERTO III</v>
          </cell>
          <cell r="B191" t="str">
            <v>51323</v>
          </cell>
          <cell r="C191" t="str">
            <v>E</v>
          </cell>
          <cell r="D191" t="str">
            <v>UT</v>
          </cell>
          <cell r="E191" t="str">
            <v>15</v>
          </cell>
        </row>
        <row r="192">
          <cell r="A192" t="str">
            <v>ASISTENTE AGROPECUARIO I</v>
          </cell>
          <cell r="B192" t="str">
            <v>41131</v>
          </cell>
          <cell r="C192" t="str">
            <v>E</v>
          </cell>
          <cell r="D192" t="str">
            <v>AD</v>
          </cell>
          <cell r="E192" t="str">
            <v>01</v>
          </cell>
        </row>
        <row r="193">
          <cell r="A193" t="str">
            <v>ASISTENTE AGROPECUARIO II</v>
          </cell>
          <cell r="B193" t="str">
            <v>41132</v>
          </cell>
          <cell r="C193" t="str">
            <v>E</v>
          </cell>
          <cell r="D193" t="str">
            <v>AD</v>
          </cell>
          <cell r="E193" t="str">
            <v>03</v>
          </cell>
        </row>
        <row r="194">
          <cell r="A194" t="str">
            <v>ASISTENTE AL COORDINADOR</v>
          </cell>
          <cell r="B194" t="str">
            <v>00921</v>
          </cell>
          <cell r="C194" t="str">
            <v>E</v>
          </cell>
          <cell r="D194" t="str">
            <v>DI</v>
          </cell>
          <cell r="E194" t="str">
            <v>99</v>
          </cell>
        </row>
        <row r="195">
          <cell r="A195" t="str">
            <v>ASISTENTE AL DIRECTOR</v>
          </cell>
          <cell r="B195" t="str">
            <v>00926</v>
          </cell>
          <cell r="C195" t="str">
            <v>E</v>
          </cell>
          <cell r="D195" t="str">
            <v>DI</v>
          </cell>
          <cell r="E195" t="str">
            <v>99</v>
          </cell>
        </row>
        <row r="196">
          <cell r="A196" t="str">
            <v>ASISTENTE AL JEFE CAPITANIA DE PUERTOS</v>
          </cell>
          <cell r="B196" t="str">
            <v>52290</v>
          </cell>
          <cell r="C196" t="str">
            <v>E</v>
          </cell>
          <cell r="D196" t="str">
            <v>UT</v>
          </cell>
          <cell r="E196" t="str">
            <v>22</v>
          </cell>
        </row>
        <row r="197">
          <cell r="A197" t="str">
            <v>ASISTENTE AL PRESIDENTE</v>
          </cell>
          <cell r="B197" t="str">
            <v>90103</v>
          </cell>
          <cell r="C197" t="str">
            <v>E</v>
          </cell>
          <cell r="D197" t="str">
            <v>DI</v>
          </cell>
          <cell r="E197" t="str">
            <v>99</v>
          </cell>
        </row>
        <row r="198">
          <cell r="A198" t="str">
            <v>ASISTENTE AL SECRETARIO</v>
          </cell>
          <cell r="B198" t="str">
            <v>00909</v>
          </cell>
          <cell r="C198" t="str">
            <v>E</v>
          </cell>
          <cell r="D198" t="str">
            <v>DI</v>
          </cell>
          <cell r="E198" t="str">
            <v>99</v>
          </cell>
        </row>
        <row r="199">
          <cell r="A199" t="str">
            <v>ASISTENTE ANALISTA FINANCIERO I</v>
          </cell>
          <cell r="B199" t="str">
            <v>14111</v>
          </cell>
          <cell r="C199" t="str">
            <v>E</v>
          </cell>
          <cell r="D199" t="str">
            <v>AD</v>
          </cell>
          <cell r="E199" t="str">
            <v>01</v>
          </cell>
        </row>
        <row r="200">
          <cell r="A200" t="str">
            <v>ASISTENTE ANALISTA FINANCIERO II</v>
          </cell>
          <cell r="B200" t="str">
            <v>14112</v>
          </cell>
          <cell r="C200" t="str">
            <v>E</v>
          </cell>
          <cell r="D200" t="str">
            <v>UT</v>
          </cell>
          <cell r="E200" t="str">
            <v>15</v>
          </cell>
        </row>
        <row r="201">
          <cell r="A201" t="str">
            <v>ASISTENTE ASUNTOS LITERARIOS</v>
          </cell>
          <cell r="B201" t="str">
            <v>31420</v>
          </cell>
          <cell r="C201" t="str">
            <v>E</v>
          </cell>
          <cell r="D201" t="str">
            <v>AD</v>
          </cell>
          <cell r="E201" t="str">
            <v>04</v>
          </cell>
        </row>
        <row r="202">
          <cell r="A202" t="str">
            <v>ASISTENTE AUXILIAR DE HIDROMETERIOLOGIA</v>
          </cell>
          <cell r="B202" t="str">
            <v>43610</v>
          </cell>
          <cell r="C202" t="str">
            <v>E</v>
          </cell>
          <cell r="D202" t="str">
            <v>AD</v>
          </cell>
          <cell r="E202" t="str">
            <v>01</v>
          </cell>
        </row>
        <row r="203">
          <cell r="A203" t="str">
            <v>ASISTENTE AUXILIAR DE SERVICIO SOCIAL</v>
          </cell>
          <cell r="B203" t="str">
            <v>79320</v>
          </cell>
          <cell r="C203" t="str">
            <v>E</v>
          </cell>
          <cell r="D203" t="str">
            <v>AD</v>
          </cell>
          <cell r="E203" t="str">
            <v>01</v>
          </cell>
        </row>
        <row r="204">
          <cell r="A204" t="str">
            <v>ASISTENTE CENTRAL DE ORGAN. Y SISTEMAS</v>
          </cell>
          <cell r="B204" t="str">
            <v>13240</v>
          </cell>
          <cell r="C204" t="str">
            <v>E</v>
          </cell>
          <cell r="D204" t="str">
            <v>AD</v>
          </cell>
          <cell r="E204" t="str">
            <v>05</v>
          </cell>
        </row>
        <row r="205">
          <cell r="A205" t="str">
            <v>ASISTENTE DE ANALISTA I</v>
          </cell>
          <cell r="B205" t="str">
            <v>13311</v>
          </cell>
          <cell r="C205" t="str">
            <v>E</v>
          </cell>
          <cell r="D205" t="str">
            <v>AD</v>
          </cell>
          <cell r="E205" t="str">
            <v>01</v>
          </cell>
        </row>
        <row r="206">
          <cell r="A206" t="str">
            <v>ASISTENTE DE ANALISTA II</v>
          </cell>
          <cell r="B206" t="str">
            <v>13312</v>
          </cell>
          <cell r="C206" t="str">
            <v>E</v>
          </cell>
          <cell r="D206" t="str">
            <v>AD</v>
          </cell>
          <cell r="E206" t="str">
            <v>03</v>
          </cell>
        </row>
        <row r="207">
          <cell r="A207" t="str">
            <v>ASISTENTE DE ANALISTA III</v>
          </cell>
          <cell r="B207" t="str">
            <v>13313</v>
          </cell>
          <cell r="C207" t="str">
            <v>E</v>
          </cell>
          <cell r="D207" t="str">
            <v>UT</v>
          </cell>
          <cell r="E207" t="str">
            <v>15</v>
          </cell>
        </row>
        <row r="208">
          <cell r="A208" t="str">
            <v>ASISTENTE DE ASUNTOS CINEMATOGRAFICOS</v>
          </cell>
          <cell r="B208" t="str">
            <v>32410</v>
          </cell>
          <cell r="C208" t="str">
            <v>E</v>
          </cell>
          <cell r="D208" t="str">
            <v>AD</v>
          </cell>
          <cell r="E208" t="str">
            <v>02</v>
          </cell>
        </row>
        <row r="209">
          <cell r="A209" t="str">
            <v>ASISTENTE DE ASUNTOS LEGALES I</v>
          </cell>
          <cell r="B209" t="str">
            <v>35111</v>
          </cell>
          <cell r="C209" t="str">
            <v>E</v>
          </cell>
          <cell r="D209" t="str">
            <v>AD</v>
          </cell>
          <cell r="E209" t="str">
            <v>03</v>
          </cell>
        </row>
        <row r="210">
          <cell r="A210" t="str">
            <v>ASISTENTE DE ASUNTOS LEGALES II</v>
          </cell>
          <cell r="B210" t="str">
            <v>35112</v>
          </cell>
          <cell r="C210" t="str">
            <v>E</v>
          </cell>
          <cell r="D210" t="str">
            <v>AD</v>
          </cell>
          <cell r="E210" t="str">
            <v>05</v>
          </cell>
        </row>
        <row r="211">
          <cell r="A211" t="str">
            <v>ASISTENTE DE BIBLIOTECA I</v>
          </cell>
          <cell r="B211" t="str">
            <v>36621</v>
          </cell>
          <cell r="C211" t="str">
            <v>E</v>
          </cell>
          <cell r="D211" t="str">
            <v>AD</v>
          </cell>
          <cell r="E211" t="str">
            <v>01</v>
          </cell>
        </row>
        <row r="212">
          <cell r="A212" t="str">
            <v>ASISTENTE DE BIBLIOTECA II</v>
          </cell>
          <cell r="B212" t="str">
            <v>36622</v>
          </cell>
          <cell r="C212" t="str">
            <v>E</v>
          </cell>
          <cell r="D212" t="str">
            <v>AD</v>
          </cell>
          <cell r="E212" t="str">
            <v>02</v>
          </cell>
        </row>
        <row r="213">
          <cell r="A213" t="str">
            <v>ASISTENTE DE BIBLIOTECA III</v>
          </cell>
          <cell r="B213" t="str">
            <v>36623</v>
          </cell>
          <cell r="C213" t="str">
            <v>E</v>
          </cell>
          <cell r="D213" t="str">
            <v>UT</v>
          </cell>
          <cell r="E213" t="str">
            <v>15</v>
          </cell>
        </row>
        <row r="214">
          <cell r="A214" t="str">
            <v>ASISTENTE DE BIOLOGIA I</v>
          </cell>
          <cell r="B214" t="str">
            <v>42511</v>
          </cell>
          <cell r="C214" t="str">
            <v>E</v>
          </cell>
          <cell r="D214" t="str">
            <v>AD</v>
          </cell>
          <cell r="E214" t="str">
            <v>01</v>
          </cell>
        </row>
        <row r="215">
          <cell r="A215" t="str">
            <v>ASISTENTE DE BIOLOGIA II</v>
          </cell>
          <cell r="B215" t="str">
            <v>42512</v>
          </cell>
          <cell r="C215" t="str">
            <v>E</v>
          </cell>
          <cell r="D215" t="str">
            <v>AD</v>
          </cell>
          <cell r="E215" t="str">
            <v>04</v>
          </cell>
        </row>
        <row r="216">
          <cell r="A216" t="str">
            <v>ASISTENTE DE CAPITAN DE PUERTO I</v>
          </cell>
          <cell r="B216" t="str">
            <v>52271</v>
          </cell>
          <cell r="C216" t="str">
            <v>E</v>
          </cell>
          <cell r="D216" t="str">
            <v>UT</v>
          </cell>
          <cell r="E216" t="str">
            <v>18</v>
          </cell>
        </row>
        <row r="217">
          <cell r="A217" t="str">
            <v>ASISTENTE DE CAPITAN DE PUERTO II</v>
          </cell>
          <cell r="B217" t="str">
            <v>52272</v>
          </cell>
          <cell r="C217" t="str">
            <v>E</v>
          </cell>
          <cell r="D217" t="str">
            <v>UT</v>
          </cell>
          <cell r="E217" t="str">
            <v>19</v>
          </cell>
        </row>
        <row r="218">
          <cell r="A218" t="str">
            <v>ASISTENTE DE COMUNICACION SOCIAL I</v>
          </cell>
          <cell r="B218" t="str">
            <v>31311</v>
          </cell>
          <cell r="C218" t="str">
            <v>E</v>
          </cell>
          <cell r="D218" t="str">
            <v>AD</v>
          </cell>
          <cell r="E218" t="str">
            <v>02</v>
          </cell>
        </row>
        <row r="219">
          <cell r="A219" t="str">
            <v>ASISTENTE DE COMUNICACION SOCIAL II</v>
          </cell>
          <cell r="B219" t="str">
            <v>31312</v>
          </cell>
          <cell r="C219" t="str">
            <v>E</v>
          </cell>
          <cell r="D219" t="str">
            <v>AD</v>
          </cell>
          <cell r="E219" t="str">
            <v>04</v>
          </cell>
        </row>
        <row r="220">
          <cell r="A220" t="str">
            <v>ASISTENTE DE CONTROL FINANCIERO</v>
          </cell>
          <cell r="B220" t="str">
            <v>25850</v>
          </cell>
          <cell r="C220" t="str">
            <v>E</v>
          </cell>
          <cell r="D220" t="str">
            <v>AD</v>
          </cell>
          <cell r="E220" t="str">
            <v>05</v>
          </cell>
        </row>
        <row r="221">
          <cell r="A221" t="str">
            <v>ASISTENTE DE DIETETICA</v>
          </cell>
          <cell r="B221" t="str">
            <v>77110</v>
          </cell>
          <cell r="C221" t="str">
            <v>E</v>
          </cell>
          <cell r="D221" t="str">
            <v>AD</v>
          </cell>
          <cell r="E221" t="str">
            <v>01</v>
          </cell>
        </row>
        <row r="222">
          <cell r="A222" t="str">
            <v>ASISTENTE DE ECONOMIA I</v>
          </cell>
          <cell r="B222" t="str">
            <v>36211</v>
          </cell>
          <cell r="C222" t="str">
            <v>E</v>
          </cell>
          <cell r="D222" t="str">
            <v>AD</v>
          </cell>
          <cell r="E222" t="str">
            <v>01</v>
          </cell>
        </row>
        <row r="223">
          <cell r="A223" t="str">
            <v>ASISTENTE DE ECONOMIA II</v>
          </cell>
          <cell r="B223" t="str">
            <v>36212</v>
          </cell>
          <cell r="C223" t="str">
            <v>E</v>
          </cell>
          <cell r="D223" t="str">
            <v>AD</v>
          </cell>
          <cell r="E223" t="str">
            <v>03</v>
          </cell>
        </row>
        <row r="224">
          <cell r="A224" t="str">
            <v>ASISTENTE DE ESCENOGRAFIA</v>
          </cell>
          <cell r="B224" t="str">
            <v>32120</v>
          </cell>
          <cell r="C224" t="str">
            <v>E</v>
          </cell>
          <cell r="D224" t="str">
            <v>AD</v>
          </cell>
          <cell r="E224" t="str">
            <v>01</v>
          </cell>
        </row>
        <row r="225">
          <cell r="A225" t="str">
            <v>ASISTENTE DE ESTADISTICA I</v>
          </cell>
          <cell r="B225" t="str">
            <v>36121</v>
          </cell>
          <cell r="C225" t="str">
            <v>E</v>
          </cell>
          <cell r="D225" t="str">
            <v>AD</v>
          </cell>
          <cell r="E225" t="str">
            <v>01</v>
          </cell>
        </row>
        <row r="226">
          <cell r="A226" t="str">
            <v>ASISTENTE DE ESTADISTICA II</v>
          </cell>
          <cell r="B226" t="str">
            <v>36122</v>
          </cell>
          <cell r="C226" t="str">
            <v>E</v>
          </cell>
          <cell r="D226" t="str">
            <v>AD</v>
          </cell>
          <cell r="E226" t="str">
            <v>02</v>
          </cell>
        </row>
        <row r="227">
          <cell r="A227" t="str">
            <v>ASISTENTE DE ESTADISTICA III</v>
          </cell>
          <cell r="B227" t="str">
            <v>36123</v>
          </cell>
          <cell r="C227" t="str">
            <v>E</v>
          </cell>
          <cell r="D227" t="str">
            <v>UT</v>
          </cell>
          <cell r="E227" t="str">
            <v>15</v>
          </cell>
        </row>
        <row r="228">
          <cell r="A228" t="str">
            <v>ASISTENTE DE ESTIMADOR DE ASTILLEROS I</v>
          </cell>
          <cell r="B228" t="str">
            <v>46931</v>
          </cell>
          <cell r="C228" t="str">
            <v>E</v>
          </cell>
          <cell r="D228" t="str">
            <v>AD</v>
          </cell>
          <cell r="E228" t="str">
            <v>02</v>
          </cell>
        </row>
        <row r="229">
          <cell r="A229" t="str">
            <v>ASISTENTE DE ESTIMADOR DE ASTILLEROS II</v>
          </cell>
          <cell r="B229" t="str">
            <v>46932</v>
          </cell>
          <cell r="C229" t="str">
            <v>E</v>
          </cell>
          <cell r="D229" t="str">
            <v>UT</v>
          </cell>
          <cell r="E229" t="str">
            <v>15</v>
          </cell>
        </row>
        <row r="230">
          <cell r="A230" t="str">
            <v>ASISTENTE DE FARMACIA I</v>
          </cell>
          <cell r="B230" t="str">
            <v>74121</v>
          </cell>
          <cell r="C230" t="str">
            <v>E</v>
          </cell>
          <cell r="D230" t="str">
            <v>AD</v>
          </cell>
          <cell r="E230" t="str">
            <v>01</v>
          </cell>
        </row>
        <row r="231">
          <cell r="A231" t="str">
            <v>ASISTENTE DE FARMACIA II</v>
          </cell>
          <cell r="B231" t="str">
            <v>74122</v>
          </cell>
          <cell r="C231" t="str">
            <v>E</v>
          </cell>
          <cell r="D231" t="str">
            <v>AD</v>
          </cell>
          <cell r="E231" t="str">
            <v>03</v>
          </cell>
        </row>
        <row r="232">
          <cell r="A232" t="str">
            <v>ASISTENTE DE GUARDAFAUNA I</v>
          </cell>
          <cell r="B232" t="str">
            <v>42611</v>
          </cell>
          <cell r="C232" t="str">
            <v>E</v>
          </cell>
          <cell r="D232" t="str">
            <v>AD</v>
          </cell>
          <cell r="E232" t="str">
            <v>02</v>
          </cell>
        </row>
        <row r="233">
          <cell r="A233" t="str">
            <v>ASISTENTE DE GUARDAFAUNA II</v>
          </cell>
          <cell r="B233" t="str">
            <v>42612</v>
          </cell>
          <cell r="C233" t="str">
            <v>E</v>
          </cell>
          <cell r="D233" t="str">
            <v>AD</v>
          </cell>
          <cell r="E233" t="str">
            <v>04</v>
          </cell>
        </row>
        <row r="234">
          <cell r="A234" t="str">
            <v>ASISTENTE DE HIDROMETEREOLOGIA I</v>
          </cell>
          <cell r="B234" t="str">
            <v>43621</v>
          </cell>
          <cell r="C234" t="str">
            <v>E</v>
          </cell>
          <cell r="D234" t="str">
            <v>AD</v>
          </cell>
          <cell r="E234" t="str">
            <v>03</v>
          </cell>
        </row>
        <row r="235">
          <cell r="A235" t="str">
            <v>ASISTENTE DE HIDROMETERIOLOGIA II</v>
          </cell>
          <cell r="B235" t="str">
            <v>43622</v>
          </cell>
          <cell r="C235" t="str">
            <v>E</v>
          </cell>
          <cell r="D235" t="str">
            <v>AD</v>
          </cell>
          <cell r="E235" t="str">
            <v>05</v>
          </cell>
        </row>
        <row r="236">
          <cell r="A236" t="str">
            <v>ASISTENTE DE HIDROMETERIOLOGIA III</v>
          </cell>
          <cell r="B236" t="str">
            <v>43623</v>
          </cell>
          <cell r="C236" t="str">
            <v>E</v>
          </cell>
          <cell r="D236" t="str">
            <v>AD</v>
          </cell>
          <cell r="E236" t="str">
            <v>07</v>
          </cell>
        </row>
        <row r="237">
          <cell r="A237" t="str">
            <v>ASISTENTE DE IDENTIFICACION</v>
          </cell>
          <cell r="B237" t="str">
            <v>86110</v>
          </cell>
          <cell r="C237" t="str">
            <v>E</v>
          </cell>
          <cell r="D237" t="str">
            <v>AD</v>
          </cell>
          <cell r="E237" t="str">
            <v>01</v>
          </cell>
        </row>
        <row r="238">
          <cell r="A238" t="str">
            <v>ASISTENTE DE INGENIERIA</v>
          </cell>
          <cell r="B238" t="str">
            <v>43480</v>
          </cell>
          <cell r="C238" t="str">
            <v>E</v>
          </cell>
          <cell r="D238" t="str">
            <v>AD</v>
          </cell>
          <cell r="E238" t="str">
            <v>02</v>
          </cell>
        </row>
        <row r="239">
          <cell r="A239" t="str">
            <v>ASISTENTE DE INMIGRACION Y EXTRANJERIA</v>
          </cell>
          <cell r="B239" t="str">
            <v>86210</v>
          </cell>
          <cell r="C239" t="str">
            <v>E</v>
          </cell>
          <cell r="D239" t="str">
            <v>AD</v>
          </cell>
          <cell r="E239" t="str">
            <v>01</v>
          </cell>
        </row>
        <row r="240">
          <cell r="A240" t="str">
            <v>ASISTENTE DE INVESTIGADOR DE MUSEO</v>
          </cell>
          <cell r="B240" t="str">
            <v>37310</v>
          </cell>
          <cell r="C240" t="str">
            <v>E</v>
          </cell>
          <cell r="D240" t="str">
            <v>UT</v>
          </cell>
          <cell r="E240" t="str">
            <v>15</v>
          </cell>
        </row>
        <row r="241">
          <cell r="A241" t="str">
            <v>ASISTENTE DE LABORATORIO CLINICO I</v>
          </cell>
          <cell r="B241" t="str">
            <v>72111</v>
          </cell>
          <cell r="C241" t="str">
            <v>E</v>
          </cell>
          <cell r="D241" t="str">
            <v>AD</v>
          </cell>
          <cell r="E241" t="str">
            <v>01</v>
          </cell>
        </row>
        <row r="242">
          <cell r="A242" t="str">
            <v>ASISTENTE DE LABORATORIO CLINICO II</v>
          </cell>
          <cell r="B242" t="str">
            <v>72112</v>
          </cell>
          <cell r="C242" t="str">
            <v>E</v>
          </cell>
          <cell r="D242" t="str">
            <v>AD</v>
          </cell>
          <cell r="E242" t="str">
            <v>03</v>
          </cell>
        </row>
        <row r="243">
          <cell r="A243" t="str">
            <v>ASISTENTE DE MUSEOGRAFIA</v>
          </cell>
          <cell r="B243" t="str">
            <v>37210</v>
          </cell>
          <cell r="C243" t="str">
            <v>E</v>
          </cell>
          <cell r="D243" t="str">
            <v>UT</v>
          </cell>
          <cell r="E243" t="str">
            <v>15</v>
          </cell>
        </row>
        <row r="244">
          <cell r="A244" t="str">
            <v>ASISTENTE DE OFICINA I</v>
          </cell>
          <cell r="B244" t="str">
            <v>22211</v>
          </cell>
          <cell r="C244" t="str">
            <v>E</v>
          </cell>
          <cell r="D244" t="str">
            <v>AD</v>
          </cell>
          <cell r="E244" t="str">
            <v>01</v>
          </cell>
        </row>
        <row r="245">
          <cell r="A245" t="str">
            <v>ASISTENTE DE OFICINA II</v>
          </cell>
          <cell r="B245" t="str">
            <v>22212</v>
          </cell>
          <cell r="C245" t="str">
            <v>E</v>
          </cell>
          <cell r="D245" t="str">
            <v>AD</v>
          </cell>
          <cell r="E245" t="str">
            <v>03</v>
          </cell>
        </row>
        <row r="246">
          <cell r="A246" t="str">
            <v>ASISTENTE DE ORTESIS Y/O PROTESIS</v>
          </cell>
          <cell r="B246" t="str">
            <v>72610</v>
          </cell>
          <cell r="C246" t="str">
            <v>E</v>
          </cell>
          <cell r="D246" t="str">
            <v>AD</v>
          </cell>
          <cell r="E246" t="str">
            <v>01</v>
          </cell>
        </row>
        <row r="247">
          <cell r="A247" t="str">
            <v>ASISTENTE DE PRE-ESCOLAR</v>
          </cell>
          <cell r="B247" t="str">
            <v>17910</v>
          </cell>
          <cell r="C247" t="str">
            <v>E</v>
          </cell>
          <cell r="D247" t="str">
            <v>AD</v>
          </cell>
          <cell r="E247" t="str">
            <v>01</v>
          </cell>
        </row>
        <row r="248">
          <cell r="A248" t="str">
            <v>ASISTENTE DE PRIMEROS AUXILIOS I</v>
          </cell>
          <cell r="B248" t="str">
            <v>85611</v>
          </cell>
          <cell r="C248" t="str">
            <v>E</v>
          </cell>
          <cell r="D248" t="str">
            <v>AD</v>
          </cell>
          <cell r="E248" t="str">
            <v>01</v>
          </cell>
        </row>
        <row r="249">
          <cell r="A249" t="str">
            <v>ASISTENTE DE PRIMEROS AUXILIOS II</v>
          </cell>
          <cell r="B249" t="str">
            <v>85612</v>
          </cell>
          <cell r="C249" t="str">
            <v>E</v>
          </cell>
          <cell r="D249" t="str">
            <v>UT</v>
          </cell>
          <cell r="E249" t="str">
            <v>15</v>
          </cell>
        </row>
        <row r="250">
          <cell r="A250" t="str">
            <v>ASISTENTE DE PRODUCCION</v>
          </cell>
          <cell r="B250" t="str">
            <v>35210</v>
          </cell>
          <cell r="C250" t="str">
            <v>E</v>
          </cell>
          <cell r="D250" t="str">
            <v>AD</v>
          </cell>
          <cell r="E250" t="str">
            <v>01</v>
          </cell>
        </row>
        <row r="251">
          <cell r="A251" t="str">
            <v>ASISTENTE DE PROGRAMACION</v>
          </cell>
          <cell r="B251" t="str">
            <v>23410</v>
          </cell>
          <cell r="C251" t="str">
            <v>E</v>
          </cell>
          <cell r="D251" t="str">
            <v>AD</v>
          </cell>
          <cell r="E251" t="str">
            <v>02</v>
          </cell>
        </row>
        <row r="252">
          <cell r="A252" t="str">
            <v>ASISTENTE DE PROMOTOR CULTURA</v>
          </cell>
          <cell r="B252" t="str">
            <v>37910</v>
          </cell>
          <cell r="C252" t="str">
            <v>E</v>
          </cell>
          <cell r="D252" t="str">
            <v>AD</v>
          </cell>
          <cell r="E252" t="str">
            <v>02</v>
          </cell>
        </row>
        <row r="253">
          <cell r="A253" t="str">
            <v>ASISTENTE DE PROMOTOR DE EXPORTACIONES</v>
          </cell>
          <cell r="B253" t="str">
            <v>36710</v>
          </cell>
          <cell r="C253" t="str">
            <v>E</v>
          </cell>
          <cell r="D253" t="str">
            <v>UT</v>
          </cell>
          <cell r="E253" t="str">
            <v>15</v>
          </cell>
        </row>
        <row r="254">
          <cell r="A254" t="str">
            <v>ASISTENTE DE PROTOCOLO</v>
          </cell>
          <cell r="B254" t="str">
            <v>33110</v>
          </cell>
          <cell r="C254" t="str">
            <v>E</v>
          </cell>
          <cell r="D254" t="str">
            <v>AD</v>
          </cell>
          <cell r="E254" t="str">
            <v>05</v>
          </cell>
        </row>
        <row r="255">
          <cell r="A255" t="str">
            <v>ASISTENTE DE PSICOLOGIA I</v>
          </cell>
          <cell r="B255" t="str">
            <v>36311</v>
          </cell>
          <cell r="C255" t="str">
            <v>E</v>
          </cell>
          <cell r="D255" t="str">
            <v>AD</v>
          </cell>
          <cell r="E255" t="str">
            <v>02</v>
          </cell>
        </row>
        <row r="256">
          <cell r="A256" t="str">
            <v>ASISTENTE DE PSICOLOGIA II</v>
          </cell>
          <cell r="B256" t="str">
            <v>36312</v>
          </cell>
          <cell r="C256" t="str">
            <v>E</v>
          </cell>
          <cell r="D256" t="str">
            <v>AD</v>
          </cell>
          <cell r="E256" t="str">
            <v>04</v>
          </cell>
        </row>
        <row r="257">
          <cell r="A257" t="str">
            <v>ASISTENTE DE PUERICULTURA</v>
          </cell>
          <cell r="B257" t="str">
            <v>79110</v>
          </cell>
          <cell r="C257" t="str">
            <v>E</v>
          </cell>
          <cell r="D257" t="str">
            <v>AD</v>
          </cell>
          <cell r="E257" t="str">
            <v>02</v>
          </cell>
        </row>
        <row r="258">
          <cell r="A258" t="str">
            <v>ASISTENTE DE RAYOS X</v>
          </cell>
          <cell r="B258" t="str">
            <v>72430</v>
          </cell>
          <cell r="C258" t="str">
            <v>E</v>
          </cell>
          <cell r="D258" t="str">
            <v>AD</v>
          </cell>
          <cell r="E258" t="str">
            <v>01</v>
          </cell>
        </row>
        <row r="259">
          <cell r="A259" t="str">
            <v>ASISTENTE DE RELACIONES PUBLICAS</v>
          </cell>
          <cell r="B259" t="str">
            <v>31330</v>
          </cell>
          <cell r="C259" t="str">
            <v>E</v>
          </cell>
          <cell r="D259" t="str">
            <v>UT</v>
          </cell>
          <cell r="E259" t="str">
            <v>15</v>
          </cell>
        </row>
        <row r="260">
          <cell r="A260" t="str">
            <v>ASISTENTE DE RESTAURACION</v>
          </cell>
          <cell r="B260" t="str">
            <v>37410</v>
          </cell>
          <cell r="C260" t="str">
            <v>E</v>
          </cell>
          <cell r="D260" t="str">
            <v>AD</v>
          </cell>
          <cell r="E260" t="str">
            <v>01</v>
          </cell>
        </row>
        <row r="261">
          <cell r="A261" t="str">
            <v>ASISTENTE DE SALUD PUBLICA</v>
          </cell>
          <cell r="B261" t="str">
            <v>76220</v>
          </cell>
          <cell r="C261" t="str">
            <v>E</v>
          </cell>
          <cell r="D261" t="str">
            <v>AD</v>
          </cell>
          <cell r="E261" t="str">
            <v>02</v>
          </cell>
        </row>
        <row r="262">
          <cell r="A262" t="str">
            <v>ASISTENTE DE SERVICIO SOCIAL</v>
          </cell>
          <cell r="B262" t="str">
            <v>79330</v>
          </cell>
          <cell r="C262" t="str">
            <v>E</v>
          </cell>
          <cell r="D262" t="str">
            <v>AD</v>
          </cell>
          <cell r="E262" t="str">
            <v>03</v>
          </cell>
        </row>
        <row r="263">
          <cell r="A263" t="str">
            <v>ASISTENTE DE TALLER N.G.</v>
          </cell>
          <cell r="B263" t="str">
            <v>02034</v>
          </cell>
          <cell r="C263" t="str">
            <v>E</v>
          </cell>
          <cell r="D263" t="str">
            <v>DO</v>
          </cell>
          <cell r="E263" t="str">
            <v/>
          </cell>
        </row>
        <row r="264">
          <cell r="A264" t="str">
            <v>ASISTENTE DE TEATRO  IV 139</v>
          </cell>
          <cell r="B264" t="str">
            <v>01126</v>
          </cell>
          <cell r="C264" t="str">
            <v>E</v>
          </cell>
          <cell r="D264" t="str">
            <v>DO</v>
          </cell>
          <cell r="E264" t="str">
            <v/>
          </cell>
        </row>
        <row r="265">
          <cell r="A265" t="str">
            <v>ASISTENTE DE TERAPIA</v>
          </cell>
          <cell r="B265" t="str">
            <v>72510</v>
          </cell>
          <cell r="C265" t="str">
            <v>E</v>
          </cell>
          <cell r="D265" t="str">
            <v>AD</v>
          </cell>
          <cell r="E265" t="str">
            <v>01</v>
          </cell>
        </row>
        <row r="266">
          <cell r="A266" t="str">
            <v>ASISTENTE DE TOPOGRAFO</v>
          </cell>
          <cell r="B266" t="str">
            <v>43110</v>
          </cell>
          <cell r="C266" t="str">
            <v>E</v>
          </cell>
          <cell r="D266" t="str">
            <v>AD</v>
          </cell>
          <cell r="E266" t="str">
            <v>02</v>
          </cell>
        </row>
        <row r="267">
          <cell r="A267" t="str">
            <v>ASISTENTE DE VETERINARIA</v>
          </cell>
          <cell r="B267" t="str">
            <v>78110</v>
          </cell>
          <cell r="C267" t="str">
            <v>E</v>
          </cell>
          <cell r="D267" t="str">
            <v>AD</v>
          </cell>
          <cell r="E267" t="str">
            <v>01</v>
          </cell>
        </row>
        <row r="268">
          <cell r="A268" t="str">
            <v>ASISTENTE ESPECIALISTA EN INFORMACION I</v>
          </cell>
          <cell r="B268" t="str">
            <v>31221</v>
          </cell>
          <cell r="C268" t="str">
            <v>E</v>
          </cell>
          <cell r="D268" t="str">
            <v>AD</v>
          </cell>
          <cell r="E268" t="str">
            <v>02</v>
          </cell>
        </row>
        <row r="269">
          <cell r="A269" t="str">
            <v>ASISTENTE ESPECIALISTA EN INFORMACION II</v>
          </cell>
          <cell r="B269" t="str">
            <v>31222</v>
          </cell>
          <cell r="C269" t="str">
            <v>E</v>
          </cell>
          <cell r="D269" t="str">
            <v>UT</v>
          </cell>
          <cell r="E269" t="str">
            <v>15</v>
          </cell>
        </row>
        <row r="270">
          <cell r="A270" t="str">
            <v>ASISTENTE HABILITADO I</v>
          </cell>
          <cell r="B270" t="str">
            <v>21531</v>
          </cell>
          <cell r="C270" t="str">
            <v>E</v>
          </cell>
          <cell r="D270" t="str">
            <v>AD</v>
          </cell>
          <cell r="E270" t="str">
            <v>01</v>
          </cell>
        </row>
        <row r="271">
          <cell r="A271" t="str">
            <v>ASISTENTE HABILITADO II</v>
          </cell>
          <cell r="B271" t="str">
            <v>21532</v>
          </cell>
          <cell r="C271" t="str">
            <v>E</v>
          </cell>
          <cell r="D271" t="str">
            <v>AD</v>
          </cell>
          <cell r="E271" t="str">
            <v>02</v>
          </cell>
        </row>
        <row r="272">
          <cell r="A272" t="str">
            <v>ASISTENTE MATEMATICA III</v>
          </cell>
          <cell r="B272" t="str">
            <v>47213</v>
          </cell>
          <cell r="C272" t="str">
            <v>E</v>
          </cell>
          <cell r="D272" t="str">
            <v>UT</v>
          </cell>
          <cell r="E272" t="str">
            <v>15</v>
          </cell>
        </row>
        <row r="273">
          <cell r="A273" t="str">
            <v>ASISTENTE MATEMATICAS I</v>
          </cell>
          <cell r="B273" t="str">
            <v>47211</v>
          </cell>
          <cell r="C273" t="str">
            <v>E</v>
          </cell>
          <cell r="D273" t="str">
            <v>AD</v>
          </cell>
          <cell r="E273" t="str">
            <v>01</v>
          </cell>
        </row>
        <row r="274">
          <cell r="A274" t="str">
            <v>ASISTENTE MATEMATICAS II</v>
          </cell>
          <cell r="B274" t="str">
            <v>47212</v>
          </cell>
          <cell r="C274" t="str">
            <v>E</v>
          </cell>
          <cell r="D274" t="str">
            <v>AD</v>
          </cell>
          <cell r="E274" t="str">
            <v>03</v>
          </cell>
        </row>
        <row r="275">
          <cell r="A275" t="str">
            <v>ASISTENTE TECNICO DE GUARDAFAUNA</v>
          </cell>
          <cell r="B275" t="str">
            <v>42620</v>
          </cell>
          <cell r="C275" t="str">
            <v>E</v>
          </cell>
          <cell r="D275" t="str">
            <v>UT</v>
          </cell>
          <cell r="E275" t="str">
            <v>16</v>
          </cell>
        </row>
        <row r="276">
          <cell r="A276" t="str">
            <v>ASISTENTE TECNICO DE INGENIERIA I</v>
          </cell>
          <cell r="B276" t="str">
            <v>43491</v>
          </cell>
          <cell r="C276" t="str">
            <v>E</v>
          </cell>
          <cell r="D276" t="str">
            <v>UT</v>
          </cell>
          <cell r="E276" t="str">
            <v>15</v>
          </cell>
        </row>
        <row r="277">
          <cell r="A277" t="str">
            <v>ASISTENTE TECNICO DE INGENIERIA II</v>
          </cell>
          <cell r="B277" t="str">
            <v>43492</v>
          </cell>
          <cell r="C277" t="str">
            <v>E</v>
          </cell>
          <cell r="D277" t="str">
            <v>UT</v>
          </cell>
          <cell r="E277" t="str">
            <v>17</v>
          </cell>
        </row>
        <row r="278">
          <cell r="A278" t="str">
            <v>ASISTENTE TECNICO DE INGENIERIA III</v>
          </cell>
          <cell r="B278" t="str">
            <v>43493</v>
          </cell>
          <cell r="C278" t="str">
            <v>E</v>
          </cell>
          <cell r="D278" t="str">
            <v>UT</v>
          </cell>
          <cell r="E278" t="str">
            <v>19</v>
          </cell>
        </row>
        <row r="279">
          <cell r="A279" t="str">
            <v>ASISTENTE TECNICO EN REPARACION Y MANTE.</v>
          </cell>
          <cell r="B279" t="str">
            <v>46110</v>
          </cell>
          <cell r="C279" t="str">
            <v>E</v>
          </cell>
          <cell r="D279" t="str">
            <v>AD</v>
          </cell>
          <cell r="E279" t="str">
            <v>02</v>
          </cell>
        </row>
        <row r="280">
          <cell r="A280" t="str">
            <v>ASTRONOMO</v>
          </cell>
          <cell r="B280" t="str">
            <v>47110</v>
          </cell>
          <cell r="C280" t="str">
            <v>E</v>
          </cell>
          <cell r="D280" t="str">
            <v>UT</v>
          </cell>
          <cell r="E280" t="str">
            <v>18</v>
          </cell>
        </row>
        <row r="281">
          <cell r="A281" t="str">
            <v>AUDITOR I</v>
          </cell>
          <cell r="B281" t="str">
            <v>21211</v>
          </cell>
          <cell r="C281" t="str">
            <v>E</v>
          </cell>
          <cell r="D281" t="str">
            <v>UT</v>
          </cell>
          <cell r="E281" t="str">
            <v>17</v>
          </cell>
        </row>
        <row r="282">
          <cell r="A282" t="str">
            <v>AUDITOR II</v>
          </cell>
          <cell r="B282" t="str">
            <v>21212</v>
          </cell>
          <cell r="C282" t="str">
            <v>E</v>
          </cell>
          <cell r="D282" t="str">
            <v>UT</v>
          </cell>
          <cell r="E282" t="str">
            <v>19</v>
          </cell>
        </row>
        <row r="283">
          <cell r="A283" t="str">
            <v>AUDITOR III</v>
          </cell>
          <cell r="B283" t="str">
            <v>21213</v>
          </cell>
          <cell r="C283" t="str">
            <v>E</v>
          </cell>
          <cell r="D283" t="str">
            <v>UT</v>
          </cell>
          <cell r="E283" t="str">
            <v>21</v>
          </cell>
        </row>
        <row r="284">
          <cell r="A284" t="str">
            <v>AUDITOR IV</v>
          </cell>
          <cell r="B284" t="str">
            <v>21214</v>
          </cell>
          <cell r="C284" t="str">
            <v>E</v>
          </cell>
          <cell r="D284" t="str">
            <v>UT</v>
          </cell>
          <cell r="E284" t="str">
            <v>23</v>
          </cell>
        </row>
        <row r="285">
          <cell r="A285" t="str">
            <v>AUDITOR JEFE</v>
          </cell>
          <cell r="B285" t="str">
            <v>21220</v>
          </cell>
          <cell r="C285" t="str">
            <v>E</v>
          </cell>
          <cell r="D285" t="str">
            <v>UT</v>
          </cell>
          <cell r="E285" t="str">
            <v>25</v>
          </cell>
        </row>
        <row r="286">
          <cell r="A286" t="str">
            <v>AUTOGRAFISTA</v>
          </cell>
          <cell r="B286" t="str">
            <v>37950</v>
          </cell>
          <cell r="C286" t="str">
            <v>E</v>
          </cell>
          <cell r="D286" t="str">
            <v>AD</v>
          </cell>
          <cell r="E286" t="str">
            <v>02</v>
          </cell>
        </row>
        <row r="287">
          <cell r="A287" t="str">
            <v>AUX. BIBLIOTECA PUB. I   77</v>
          </cell>
          <cell r="B287" t="str">
            <v>01211</v>
          </cell>
          <cell r="C287" t="str">
            <v>E</v>
          </cell>
          <cell r="D287" t="str">
            <v>DO</v>
          </cell>
          <cell r="E287" t="str">
            <v/>
          </cell>
        </row>
        <row r="288">
          <cell r="A288" t="str">
            <v>AUX. BIBLIOTECA PUB. I  139</v>
          </cell>
          <cell r="B288" t="str">
            <v>01201</v>
          </cell>
          <cell r="C288" t="str">
            <v>E</v>
          </cell>
          <cell r="D288" t="str">
            <v>DO</v>
          </cell>
          <cell r="E288" t="str">
            <v/>
          </cell>
        </row>
        <row r="289">
          <cell r="A289" t="str">
            <v>AUX. BIBLIOTECA PUB. II  77</v>
          </cell>
          <cell r="B289" t="str">
            <v>01212</v>
          </cell>
          <cell r="C289" t="str">
            <v>E</v>
          </cell>
          <cell r="D289" t="str">
            <v>DO</v>
          </cell>
          <cell r="E289" t="str">
            <v/>
          </cell>
        </row>
        <row r="290">
          <cell r="A290" t="str">
            <v>AUX. BIBLIOTECA PUB. II 139</v>
          </cell>
          <cell r="B290" t="str">
            <v>01202</v>
          </cell>
          <cell r="C290" t="str">
            <v>E</v>
          </cell>
          <cell r="D290" t="str">
            <v>DO</v>
          </cell>
          <cell r="E290" t="str">
            <v/>
          </cell>
        </row>
        <row r="291">
          <cell r="A291" t="str">
            <v>AUX. BIBLIOTECA PUB. III 77</v>
          </cell>
          <cell r="B291" t="str">
            <v>01213</v>
          </cell>
          <cell r="C291" t="str">
            <v>E</v>
          </cell>
          <cell r="D291" t="str">
            <v>DO</v>
          </cell>
          <cell r="E291" t="str">
            <v/>
          </cell>
        </row>
        <row r="292">
          <cell r="A292" t="str">
            <v>AUX. BIBLIOTECA PUB. IV  77</v>
          </cell>
          <cell r="B292" t="str">
            <v>01214</v>
          </cell>
          <cell r="C292" t="str">
            <v>E</v>
          </cell>
          <cell r="D292" t="str">
            <v>DO</v>
          </cell>
          <cell r="E292" t="str">
            <v/>
          </cell>
        </row>
        <row r="293">
          <cell r="A293" t="str">
            <v>AUX. BIBLIOTECA PUB. IV 139</v>
          </cell>
          <cell r="B293" t="str">
            <v>01204</v>
          </cell>
          <cell r="C293" t="str">
            <v>E</v>
          </cell>
          <cell r="D293" t="str">
            <v>DO</v>
          </cell>
          <cell r="E293" t="str">
            <v/>
          </cell>
        </row>
        <row r="294">
          <cell r="A294" t="str">
            <v>AUX. BIBLIOTECA PUB. N.G.</v>
          </cell>
          <cell r="B294" t="str">
            <v>02038</v>
          </cell>
          <cell r="C294" t="str">
            <v>E</v>
          </cell>
          <cell r="D294" t="str">
            <v>DO</v>
          </cell>
          <cell r="E294" t="str">
            <v/>
          </cell>
        </row>
        <row r="295">
          <cell r="A295" t="str">
            <v>AUX. BIBLIOTECA PUB. V   77</v>
          </cell>
          <cell r="B295" t="str">
            <v>01215</v>
          </cell>
          <cell r="C295" t="str">
            <v>E</v>
          </cell>
          <cell r="D295" t="str">
            <v>DO</v>
          </cell>
          <cell r="E295" t="str">
            <v/>
          </cell>
        </row>
        <row r="296">
          <cell r="A296" t="str">
            <v>AUX. BIBLIOTECA PUB. V  139</v>
          </cell>
          <cell r="B296" t="str">
            <v>01205</v>
          </cell>
          <cell r="C296" t="str">
            <v>E</v>
          </cell>
          <cell r="D296" t="str">
            <v>DO</v>
          </cell>
          <cell r="E296" t="str">
            <v/>
          </cell>
        </row>
        <row r="297">
          <cell r="A297" t="str">
            <v>AUX. BIBLIOTECA PUB. VI  77</v>
          </cell>
          <cell r="B297" t="str">
            <v>01216</v>
          </cell>
          <cell r="C297" t="str">
            <v>E</v>
          </cell>
          <cell r="D297" t="str">
            <v>DO</v>
          </cell>
          <cell r="E297" t="str">
            <v/>
          </cell>
        </row>
        <row r="298">
          <cell r="A298" t="str">
            <v>AUX. BIBLIOTECA PUB. VI 139</v>
          </cell>
          <cell r="B298" t="str">
            <v>01206</v>
          </cell>
          <cell r="C298" t="str">
            <v>E</v>
          </cell>
          <cell r="D298" t="str">
            <v>DO</v>
          </cell>
          <cell r="E298" t="str">
            <v/>
          </cell>
        </row>
        <row r="299">
          <cell r="A299" t="str">
            <v>AUX. BIBLIOTECA PUB.III 139</v>
          </cell>
          <cell r="B299" t="str">
            <v>01203</v>
          </cell>
          <cell r="C299" t="str">
            <v>E</v>
          </cell>
          <cell r="D299" t="str">
            <v>DO</v>
          </cell>
          <cell r="E299" t="str">
            <v/>
          </cell>
        </row>
        <row r="300">
          <cell r="A300" t="str">
            <v>AUX. BIBLIOTECA TCVN</v>
          </cell>
          <cell r="B300" t="str">
            <v>00030</v>
          </cell>
          <cell r="C300" t="str">
            <v>E</v>
          </cell>
          <cell r="D300" t="str">
            <v>DO</v>
          </cell>
          <cell r="E300" t="str">
            <v/>
          </cell>
        </row>
        <row r="301">
          <cell r="A301" t="str">
            <v>AUXILIAR DE BIBLIOTECA N.G.</v>
          </cell>
          <cell r="B301" t="str">
            <v>00031</v>
          </cell>
          <cell r="C301" t="str">
            <v>E</v>
          </cell>
          <cell r="D301" t="str">
            <v>DO</v>
          </cell>
          <cell r="E301" t="str">
            <v/>
          </cell>
        </row>
        <row r="302">
          <cell r="A302" t="str">
            <v>AUXILIAR DE BIBLIOTECA TID</v>
          </cell>
          <cell r="B302" t="str">
            <v>00032</v>
          </cell>
          <cell r="C302" t="str">
            <v>E</v>
          </cell>
          <cell r="D302" t="str">
            <v>DO</v>
          </cell>
          <cell r="E302" t="str">
            <v/>
          </cell>
        </row>
        <row r="303">
          <cell r="A303" t="str">
            <v>AUXILIAR DE OFICINA I</v>
          </cell>
          <cell r="B303" t="str">
            <v>10002</v>
          </cell>
          <cell r="C303" t="str">
            <v>E</v>
          </cell>
          <cell r="D303" t="str">
            <v>AD</v>
          </cell>
          <cell r="E303" t="str">
            <v>01</v>
          </cell>
        </row>
        <row r="304">
          <cell r="A304" t="str">
            <v>AUXILIAR DE PRE-ESCOLAR</v>
          </cell>
          <cell r="B304" t="str">
            <v>00021</v>
          </cell>
          <cell r="C304" t="str">
            <v>E</v>
          </cell>
          <cell r="D304" t="str">
            <v>DO</v>
          </cell>
          <cell r="E304" t="str">
            <v/>
          </cell>
        </row>
        <row r="305">
          <cell r="A305" t="str">
            <v>AUXILIAR DE TERAPIA</v>
          </cell>
          <cell r="B305" t="str">
            <v>01150</v>
          </cell>
          <cell r="C305" t="str">
            <v>E</v>
          </cell>
          <cell r="D305" t="str">
            <v>DO</v>
          </cell>
          <cell r="E305" t="str">
            <v/>
          </cell>
        </row>
        <row r="306">
          <cell r="A306" t="str">
            <v>AUXILIAR DE TERAPIA N.G.</v>
          </cell>
          <cell r="B306" t="str">
            <v>02043</v>
          </cell>
          <cell r="C306" t="str">
            <v>E</v>
          </cell>
          <cell r="D306" t="str">
            <v>AD</v>
          </cell>
          <cell r="E306" t="str">
            <v/>
          </cell>
        </row>
        <row r="307">
          <cell r="A307" t="str">
            <v>AUXILIAR DE TERAPIA NG</v>
          </cell>
          <cell r="B307" t="str">
            <v>40240</v>
          </cell>
          <cell r="C307" t="str">
            <v>E</v>
          </cell>
          <cell r="D307" t="str">
            <v>DO</v>
          </cell>
          <cell r="E307" t="str">
            <v/>
          </cell>
        </row>
        <row r="308">
          <cell r="A308" t="str">
            <v>AVALUADOR DE INMUEBLES I</v>
          </cell>
          <cell r="B308" t="str">
            <v>43221</v>
          </cell>
          <cell r="C308" t="str">
            <v>E</v>
          </cell>
          <cell r="D308" t="str">
            <v>AD</v>
          </cell>
          <cell r="E308" t="str">
            <v>02</v>
          </cell>
        </row>
        <row r="309">
          <cell r="A309" t="str">
            <v>AVALUADOR DE INMUEBLES II</v>
          </cell>
          <cell r="B309" t="str">
            <v>43222</v>
          </cell>
          <cell r="C309" t="str">
            <v>E</v>
          </cell>
          <cell r="D309" t="str">
            <v>AD</v>
          </cell>
          <cell r="E309" t="str">
            <v>04</v>
          </cell>
        </row>
        <row r="310">
          <cell r="A310" t="str">
            <v>AVALUADOR DE INMUEBLES III</v>
          </cell>
          <cell r="B310" t="str">
            <v>43223</v>
          </cell>
          <cell r="C310" t="str">
            <v>E</v>
          </cell>
          <cell r="D310" t="str">
            <v>UT</v>
          </cell>
          <cell r="E310" t="str">
            <v>18</v>
          </cell>
        </row>
        <row r="311">
          <cell r="A311" t="str">
            <v>AVALUADOR DE INMUEBLES JEFE</v>
          </cell>
          <cell r="B311" t="str">
            <v>43230</v>
          </cell>
          <cell r="C311" t="str">
            <v>E</v>
          </cell>
          <cell r="D311" t="str">
            <v>UT</v>
          </cell>
          <cell r="E311" t="str">
            <v>19</v>
          </cell>
        </row>
        <row r="312">
          <cell r="A312" t="str">
            <v>BIBLIOTECARIA</v>
          </cell>
          <cell r="B312" t="str">
            <v>40013</v>
          </cell>
          <cell r="C312" t="str">
            <v>E</v>
          </cell>
          <cell r="D312" t="str">
            <v>DO</v>
          </cell>
          <cell r="E312" t="str">
            <v/>
          </cell>
        </row>
        <row r="313">
          <cell r="A313" t="str">
            <v>BIBLIOTECOLOGO I</v>
          </cell>
          <cell r="B313" t="str">
            <v>36631</v>
          </cell>
          <cell r="C313" t="str">
            <v>E</v>
          </cell>
          <cell r="D313" t="str">
            <v>UT</v>
          </cell>
          <cell r="E313" t="str">
            <v>17</v>
          </cell>
        </row>
        <row r="314">
          <cell r="A314" t="str">
            <v>BIBLIOTECOLOGO II</v>
          </cell>
          <cell r="B314" t="str">
            <v>36632</v>
          </cell>
          <cell r="C314" t="str">
            <v>E</v>
          </cell>
          <cell r="D314" t="str">
            <v>UT</v>
          </cell>
          <cell r="E314" t="str">
            <v>19</v>
          </cell>
        </row>
        <row r="315">
          <cell r="A315" t="str">
            <v>BIBLIOTECOLOGO III</v>
          </cell>
          <cell r="B315" t="str">
            <v>36633</v>
          </cell>
          <cell r="C315" t="str">
            <v>E</v>
          </cell>
          <cell r="D315" t="str">
            <v>UT</v>
          </cell>
          <cell r="E315" t="str">
            <v>21</v>
          </cell>
        </row>
        <row r="316">
          <cell r="A316" t="str">
            <v>BIBLIOTECOLOGO IV</v>
          </cell>
          <cell r="B316" t="str">
            <v>36634</v>
          </cell>
          <cell r="C316" t="str">
            <v>E</v>
          </cell>
          <cell r="D316" t="str">
            <v>UT</v>
          </cell>
          <cell r="E316" t="str">
            <v>23</v>
          </cell>
        </row>
        <row r="317">
          <cell r="A317" t="str">
            <v>BIOANALISTA I</v>
          </cell>
          <cell r="B317" t="str">
            <v>72221</v>
          </cell>
          <cell r="C317" t="str">
            <v>E</v>
          </cell>
          <cell r="D317" t="str">
            <v>UT</v>
          </cell>
          <cell r="E317" t="str">
            <v>17</v>
          </cell>
        </row>
        <row r="318">
          <cell r="A318" t="str">
            <v>BIOANALISTA II</v>
          </cell>
          <cell r="B318" t="str">
            <v>72222</v>
          </cell>
          <cell r="C318" t="str">
            <v>E</v>
          </cell>
          <cell r="D318" t="str">
            <v>UT</v>
          </cell>
          <cell r="E318" t="str">
            <v>19</v>
          </cell>
        </row>
        <row r="319">
          <cell r="A319" t="str">
            <v>BIOANALISTA III</v>
          </cell>
          <cell r="B319" t="str">
            <v>72223</v>
          </cell>
          <cell r="C319" t="str">
            <v>E</v>
          </cell>
          <cell r="D319" t="str">
            <v>UT</v>
          </cell>
          <cell r="E319" t="str">
            <v>21</v>
          </cell>
        </row>
        <row r="320">
          <cell r="A320" t="str">
            <v>BIOANALISTA IV</v>
          </cell>
          <cell r="B320" t="str">
            <v>72224</v>
          </cell>
          <cell r="C320" t="str">
            <v>E</v>
          </cell>
          <cell r="D320" t="str">
            <v>UT</v>
          </cell>
          <cell r="E320" t="str">
            <v>23</v>
          </cell>
        </row>
        <row r="321">
          <cell r="A321" t="str">
            <v>BIOANALISTA V</v>
          </cell>
          <cell r="B321" t="str">
            <v>72225</v>
          </cell>
          <cell r="C321" t="str">
            <v>E</v>
          </cell>
          <cell r="D321" t="str">
            <v>UT</v>
          </cell>
          <cell r="E321" t="str">
            <v>24</v>
          </cell>
        </row>
        <row r="322">
          <cell r="A322" t="str">
            <v>BIOANALISTA VI</v>
          </cell>
          <cell r="B322" t="str">
            <v>72226</v>
          </cell>
          <cell r="C322" t="str">
            <v>E</v>
          </cell>
          <cell r="D322" t="str">
            <v>UT</v>
          </cell>
          <cell r="E322" t="str">
            <v>25</v>
          </cell>
        </row>
        <row r="323">
          <cell r="A323" t="str">
            <v>BIOLOGO I</v>
          </cell>
          <cell r="B323" t="str">
            <v>42521</v>
          </cell>
          <cell r="C323" t="str">
            <v>E</v>
          </cell>
          <cell r="D323" t="str">
            <v>UT</v>
          </cell>
          <cell r="E323" t="str">
            <v>17</v>
          </cell>
        </row>
        <row r="324">
          <cell r="A324" t="str">
            <v>BIOLOGO II</v>
          </cell>
          <cell r="B324" t="str">
            <v>42522</v>
          </cell>
          <cell r="C324" t="str">
            <v>E</v>
          </cell>
          <cell r="D324" t="str">
            <v>UT</v>
          </cell>
          <cell r="E324" t="str">
            <v>19</v>
          </cell>
        </row>
        <row r="325">
          <cell r="A325" t="str">
            <v>BIOLOGO III</v>
          </cell>
          <cell r="B325" t="str">
            <v>42523</v>
          </cell>
          <cell r="C325" t="str">
            <v>E</v>
          </cell>
          <cell r="D325" t="str">
            <v>UT</v>
          </cell>
          <cell r="E325" t="str">
            <v>21</v>
          </cell>
        </row>
        <row r="326">
          <cell r="A326" t="str">
            <v>BIOLOGO JEFE</v>
          </cell>
          <cell r="B326" t="str">
            <v>42530</v>
          </cell>
          <cell r="C326" t="str">
            <v>E</v>
          </cell>
          <cell r="D326" t="str">
            <v>UT</v>
          </cell>
          <cell r="E326" t="str">
            <v>22</v>
          </cell>
        </row>
        <row r="327">
          <cell r="A327" t="str">
            <v>BOMBARDINO SOLISTA</v>
          </cell>
          <cell r="B327" t="str">
            <v>03520</v>
          </cell>
          <cell r="C327" t="str">
            <v>E</v>
          </cell>
          <cell r="D327" t="str">
            <v>AD</v>
          </cell>
          <cell r="E327" t="str">
            <v>01</v>
          </cell>
        </row>
        <row r="328">
          <cell r="A328" t="str">
            <v>BOMBERO (BOMBERO)</v>
          </cell>
          <cell r="B328" t="str">
            <v>62920</v>
          </cell>
          <cell r="C328" t="str">
            <v>E</v>
          </cell>
          <cell r="D328" t="str">
            <v>BO</v>
          </cell>
          <cell r="E328" t="str">
            <v>02</v>
          </cell>
        </row>
        <row r="329">
          <cell r="A329" t="str">
            <v>BOMBERO I</v>
          </cell>
          <cell r="B329" t="str">
            <v>81111</v>
          </cell>
          <cell r="C329" t="str">
            <v>E</v>
          </cell>
          <cell r="D329" t="str">
            <v>BO</v>
          </cell>
          <cell r="E329" t="str">
            <v>01</v>
          </cell>
        </row>
        <row r="330">
          <cell r="A330" t="str">
            <v>BOMBERO II</v>
          </cell>
          <cell r="B330" t="str">
            <v>81112</v>
          </cell>
          <cell r="C330" t="str">
            <v>E</v>
          </cell>
          <cell r="D330" t="str">
            <v>BO</v>
          </cell>
          <cell r="E330" t="str">
            <v>03</v>
          </cell>
        </row>
        <row r="331">
          <cell r="A331" t="str">
            <v>BOMBERO III</v>
          </cell>
          <cell r="B331" t="str">
            <v>81113</v>
          </cell>
          <cell r="C331" t="str">
            <v>E</v>
          </cell>
          <cell r="D331" t="str">
            <v>BO</v>
          </cell>
          <cell r="E331" t="str">
            <v>05</v>
          </cell>
        </row>
        <row r="332">
          <cell r="A332" t="str">
            <v>BOMBERO IV</v>
          </cell>
          <cell r="B332" t="str">
            <v>81114</v>
          </cell>
          <cell r="C332" t="str">
            <v>E</v>
          </cell>
          <cell r="D332" t="str">
            <v>BO</v>
          </cell>
          <cell r="E332" t="str">
            <v>07</v>
          </cell>
        </row>
        <row r="333">
          <cell r="A333" t="str">
            <v>BOMBERO JEFE I</v>
          </cell>
          <cell r="B333" t="str">
            <v>81121</v>
          </cell>
          <cell r="C333" t="str">
            <v>E</v>
          </cell>
          <cell r="D333" t="str">
            <v>BO</v>
          </cell>
          <cell r="E333" t="str">
            <v>09</v>
          </cell>
        </row>
        <row r="334">
          <cell r="A334" t="str">
            <v>BOMBERO JEFE II</v>
          </cell>
          <cell r="B334" t="str">
            <v>81122</v>
          </cell>
          <cell r="C334" t="str">
            <v>E</v>
          </cell>
          <cell r="D334" t="str">
            <v>BO</v>
          </cell>
          <cell r="E334" t="str">
            <v>10</v>
          </cell>
        </row>
        <row r="335">
          <cell r="A335" t="str">
            <v>BOMBO 3</v>
          </cell>
          <cell r="B335" t="str">
            <v>03614</v>
          </cell>
          <cell r="C335" t="str">
            <v>E</v>
          </cell>
          <cell r="D335" t="str">
            <v>AD</v>
          </cell>
          <cell r="E335" t="str">
            <v>01</v>
          </cell>
        </row>
        <row r="336">
          <cell r="A336" t="str">
            <v>BOTANICO I</v>
          </cell>
          <cell r="B336" t="str">
            <v>41631</v>
          </cell>
          <cell r="C336" t="str">
            <v>E</v>
          </cell>
          <cell r="D336" t="str">
            <v>UT</v>
          </cell>
          <cell r="E336" t="str">
            <v>17</v>
          </cell>
        </row>
        <row r="337">
          <cell r="A337" t="str">
            <v>BOTANICO II</v>
          </cell>
          <cell r="B337" t="str">
            <v>41632</v>
          </cell>
          <cell r="C337" t="str">
            <v>E</v>
          </cell>
          <cell r="D337" t="str">
            <v>UT</v>
          </cell>
          <cell r="E337" t="str">
            <v>19</v>
          </cell>
        </row>
        <row r="338">
          <cell r="A338" t="str">
            <v>BOTANICO III</v>
          </cell>
          <cell r="B338" t="str">
            <v>41633</v>
          </cell>
          <cell r="C338" t="str">
            <v>E</v>
          </cell>
          <cell r="D338" t="str">
            <v>UT</v>
          </cell>
          <cell r="E338" t="str">
            <v>21</v>
          </cell>
        </row>
        <row r="339">
          <cell r="A339" t="str">
            <v>BOTANICO JEFE</v>
          </cell>
          <cell r="B339" t="str">
            <v>41640</v>
          </cell>
          <cell r="C339" t="str">
            <v>E</v>
          </cell>
          <cell r="D339" t="str">
            <v>UT</v>
          </cell>
          <cell r="E339" t="str">
            <v>23</v>
          </cell>
        </row>
        <row r="340">
          <cell r="A340" t="str">
            <v>CABO 1RO</v>
          </cell>
          <cell r="B340" t="str">
            <v>62240</v>
          </cell>
          <cell r="C340" t="str">
            <v>E</v>
          </cell>
          <cell r="D340" t="str">
            <v>PO</v>
          </cell>
          <cell r="E340" t="str">
            <v>06</v>
          </cell>
        </row>
        <row r="341">
          <cell r="A341" t="str">
            <v>CABO 1RO (BOMBERO)</v>
          </cell>
          <cell r="B341" t="str">
            <v>62810</v>
          </cell>
          <cell r="C341" t="str">
            <v>E</v>
          </cell>
          <cell r="D341" t="str">
            <v>BO</v>
          </cell>
          <cell r="E341" t="str">
            <v>05</v>
          </cell>
        </row>
        <row r="342">
          <cell r="A342" t="str">
            <v>CABO 2DO</v>
          </cell>
          <cell r="B342" t="str">
            <v>62241</v>
          </cell>
          <cell r="C342" t="str">
            <v>E</v>
          </cell>
          <cell r="D342" t="str">
            <v>PO</v>
          </cell>
          <cell r="E342" t="str">
            <v>05</v>
          </cell>
        </row>
        <row r="343">
          <cell r="A343" t="str">
            <v>CABO 2DO (BOMBERO)</v>
          </cell>
          <cell r="B343" t="str">
            <v>62820</v>
          </cell>
          <cell r="C343" t="str">
            <v>E</v>
          </cell>
          <cell r="D343" t="str">
            <v>BO</v>
          </cell>
          <cell r="E343" t="str">
            <v>04</v>
          </cell>
        </row>
        <row r="344">
          <cell r="A344" t="str">
            <v>CAJERO I</v>
          </cell>
          <cell r="B344" t="str">
            <v>21511</v>
          </cell>
          <cell r="C344" t="str">
            <v>E</v>
          </cell>
          <cell r="D344" t="str">
            <v>AD</v>
          </cell>
          <cell r="E344" t="str">
            <v>01</v>
          </cell>
        </row>
        <row r="345">
          <cell r="A345" t="str">
            <v>CAJERO II</v>
          </cell>
          <cell r="B345" t="str">
            <v>21512</v>
          </cell>
          <cell r="C345" t="str">
            <v>E</v>
          </cell>
          <cell r="D345" t="str">
            <v>AD</v>
          </cell>
          <cell r="E345" t="str">
            <v>03</v>
          </cell>
        </row>
        <row r="346">
          <cell r="A346" t="str">
            <v>CAJERO III</v>
          </cell>
          <cell r="B346" t="str">
            <v>21513</v>
          </cell>
          <cell r="C346" t="str">
            <v>E</v>
          </cell>
          <cell r="D346" t="str">
            <v>AD</v>
          </cell>
          <cell r="E346" t="str">
            <v>04</v>
          </cell>
        </row>
        <row r="347">
          <cell r="A347" t="str">
            <v>CAJERO JEFE</v>
          </cell>
          <cell r="B347" t="str">
            <v>21520</v>
          </cell>
          <cell r="C347" t="str">
            <v>E</v>
          </cell>
          <cell r="D347" t="str">
            <v>AD</v>
          </cell>
          <cell r="E347" t="str">
            <v>06</v>
          </cell>
        </row>
        <row r="348">
          <cell r="A348" t="str">
            <v>CALCULISTA DE HIDROCARBUROS I</v>
          </cell>
          <cell r="B348" t="str">
            <v>44121</v>
          </cell>
          <cell r="C348" t="str">
            <v>E</v>
          </cell>
          <cell r="D348" t="str">
            <v>AD</v>
          </cell>
          <cell r="E348" t="str">
            <v>02</v>
          </cell>
        </row>
        <row r="349">
          <cell r="A349" t="str">
            <v>CALCULISTA DE HIDROCARBUROS II</v>
          </cell>
          <cell r="B349" t="str">
            <v>44122</v>
          </cell>
          <cell r="C349" t="str">
            <v>E</v>
          </cell>
          <cell r="D349" t="str">
            <v>AD</v>
          </cell>
          <cell r="E349" t="str">
            <v>03</v>
          </cell>
        </row>
        <row r="350">
          <cell r="A350" t="str">
            <v>CALCULISTA DE HIDROCARBUROS III</v>
          </cell>
          <cell r="B350" t="str">
            <v>44123</v>
          </cell>
          <cell r="C350" t="str">
            <v>E</v>
          </cell>
          <cell r="D350" t="str">
            <v>AD</v>
          </cell>
          <cell r="E350" t="str">
            <v>04</v>
          </cell>
        </row>
        <row r="351">
          <cell r="A351" t="str">
            <v>CALIGRAFO</v>
          </cell>
          <cell r="B351" t="str">
            <v>33510</v>
          </cell>
          <cell r="C351" t="str">
            <v>E</v>
          </cell>
          <cell r="D351" t="str">
            <v>AD</v>
          </cell>
          <cell r="E351" t="str">
            <v>03</v>
          </cell>
        </row>
        <row r="352">
          <cell r="A352" t="str">
            <v>CAPELLAN I</v>
          </cell>
          <cell r="B352" t="str">
            <v>33311</v>
          </cell>
          <cell r="C352" t="str">
            <v>E</v>
          </cell>
          <cell r="D352" t="str">
            <v>UT</v>
          </cell>
          <cell r="E352" t="str">
            <v>15</v>
          </cell>
        </row>
        <row r="353">
          <cell r="A353" t="str">
            <v>CAPELLAN II</v>
          </cell>
          <cell r="B353" t="str">
            <v>33312</v>
          </cell>
          <cell r="C353" t="str">
            <v>E</v>
          </cell>
          <cell r="D353" t="str">
            <v>UT</v>
          </cell>
          <cell r="E353" t="str">
            <v>17</v>
          </cell>
        </row>
        <row r="354">
          <cell r="A354" t="str">
            <v>CAPITAN (BOMBERO)</v>
          </cell>
          <cell r="B354" t="str">
            <v>62500</v>
          </cell>
          <cell r="C354" t="str">
            <v>E</v>
          </cell>
          <cell r="D354" t="str">
            <v>BO</v>
          </cell>
          <cell r="E354" t="str">
            <v>13</v>
          </cell>
        </row>
        <row r="355">
          <cell r="A355" t="str">
            <v>CAPITAN DE HELICOPTERO</v>
          </cell>
          <cell r="B355" t="str">
            <v>52480</v>
          </cell>
          <cell r="C355" t="str">
            <v>E</v>
          </cell>
          <cell r="D355" t="str">
            <v>AD</v>
          </cell>
          <cell r="E355" t="str">
            <v>10</v>
          </cell>
        </row>
        <row r="356">
          <cell r="A356" t="str">
            <v>CAPITAN DE JET</v>
          </cell>
          <cell r="B356" t="str">
            <v>32455</v>
          </cell>
          <cell r="C356" t="str">
            <v>E</v>
          </cell>
          <cell r="D356" t="str">
            <v>AD</v>
          </cell>
          <cell r="E356" t="str">
            <v>13</v>
          </cell>
        </row>
        <row r="357">
          <cell r="A357" t="str">
            <v>CAPITAN DE PISTON</v>
          </cell>
          <cell r="B357" t="str">
            <v>35420</v>
          </cell>
          <cell r="C357" t="str">
            <v>E</v>
          </cell>
          <cell r="D357" t="str">
            <v>AD</v>
          </cell>
          <cell r="E357" t="str">
            <v>10</v>
          </cell>
        </row>
        <row r="358">
          <cell r="A358" t="str">
            <v>CAPITAN DE PUERTOS I</v>
          </cell>
          <cell r="B358" t="str">
            <v>52281</v>
          </cell>
          <cell r="C358" t="str">
            <v>E</v>
          </cell>
          <cell r="D358" t="str">
            <v>UT</v>
          </cell>
          <cell r="E358" t="str">
            <v>20</v>
          </cell>
        </row>
        <row r="359">
          <cell r="A359" t="str">
            <v>CAPITAN DE PUERTOS II</v>
          </cell>
          <cell r="B359" t="str">
            <v>52282</v>
          </cell>
          <cell r="C359" t="str">
            <v>E</v>
          </cell>
          <cell r="D359" t="str">
            <v>UT</v>
          </cell>
          <cell r="E359" t="str">
            <v>21</v>
          </cell>
        </row>
        <row r="360">
          <cell r="A360" t="str">
            <v>CAPITAN DE REMOLCADOR</v>
          </cell>
          <cell r="B360" t="str">
            <v>52385</v>
          </cell>
          <cell r="C360" t="str">
            <v>E</v>
          </cell>
          <cell r="D360" t="str">
            <v>AD</v>
          </cell>
          <cell r="E360" t="str">
            <v>01</v>
          </cell>
        </row>
        <row r="361">
          <cell r="A361" t="str">
            <v>CAPITAN DE TRANSPORTE NAVAL</v>
          </cell>
          <cell r="B361" t="str">
            <v>52395</v>
          </cell>
          <cell r="C361" t="str">
            <v>E</v>
          </cell>
          <cell r="D361" t="str">
            <v>UT</v>
          </cell>
          <cell r="E361" t="str">
            <v>19</v>
          </cell>
        </row>
        <row r="362">
          <cell r="A362" t="str">
            <v>CAPITAN I</v>
          </cell>
          <cell r="B362" t="str">
            <v>52361</v>
          </cell>
          <cell r="C362" t="str">
            <v>E</v>
          </cell>
          <cell r="D362" t="str">
            <v>UT</v>
          </cell>
          <cell r="E362" t="str">
            <v>20</v>
          </cell>
        </row>
        <row r="363">
          <cell r="A363" t="str">
            <v>CAPITAN II</v>
          </cell>
          <cell r="B363" t="str">
            <v>52362</v>
          </cell>
          <cell r="C363" t="str">
            <v>E</v>
          </cell>
          <cell r="D363" t="str">
            <v>UT</v>
          </cell>
          <cell r="E363" t="str">
            <v>21</v>
          </cell>
        </row>
        <row r="364">
          <cell r="A364" t="str">
            <v>CAPITAN III</v>
          </cell>
          <cell r="B364" t="str">
            <v>52363</v>
          </cell>
          <cell r="C364" t="str">
            <v>E</v>
          </cell>
          <cell r="D364" t="str">
            <v>UT</v>
          </cell>
          <cell r="E364" t="str">
            <v>22</v>
          </cell>
        </row>
        <row r="365">
          <cell r="A365" t="str">
            <v>CENSOR RADIO Y TV</v>
          </cell>
          <cell r="B365" t="str">
            <v>84410</v>
          </cell>
          <cell r="C365" t="str">
            <v>E</v>
          </cell>
          <cell r="D365" t="str">
            <v>UT</v>
          </cell>
          <cell r="E365" t="str">
            <v>17</v>
          </cell>
        </row>
        <row r="366">
          <cell r="A366" t="str">
            <v>CITOTECNOLOG III</v>
          </cell>
          <cell r="B366" t="str">
            <v>72133</v>
          </cell>
          <cell r="C366" t="str">
            <v>E</v>
          </cell>
          <cell r="D366" t="str">
            <v>UT</v>
          </cell>
          <cell r="E366" t="str">
            <v>19</v>
          </cell>
        </row>
        <row r="367">
          <cell r="A367" t="str">
            <v>CITOTECNOLOGO I</v>
          </cell>
          <cell r="B367" t="str">
            <v>72131</v>
          </cell>
          <cell r="C367" t="str">
            <v>E</v>
          </cell>
          <cell r="D367" t="str">
            <v>UT</v>
          </cell>
          <cell r="E367" t="str">
            <v>15</v>
          </cell>
        </row>
        <row r="368">
          <cell r="A368" t="str">
            <v>CITOTECNOLOGO II</v>
          </cell>
          <cell r="B368" t="str">
            <v>72132</v>
          </cell>
          <cell r="C368" t="str">
            <v>E</v>
          </cell>
          <cell r="D368" t="str">
            <v>UT</v>
          </cell>
          <cell r="E368" t="str">
            <v>17</v>
          </cell>
        </row>
        <row r="369">
          <cell r="A369" t="str">
            <v>CLARINETE 1</v>
          </cell>
          <cell r="B369" t="str">
            <v>03534</v>
          </cell>
          <cell r="C369" t="str">
            <v>E</v>
          </cell>
          <cell r="D369" t="str">
            <v>AD</v>
          </cell>
          <cell r="E369" t="str">
            <v>01</v>
          </cell>
        </row>
        <row r="370">
          <cell r="A370" t="str">
            <v>CLARINETE 2</v>
          </cell>
          <cell r="B370" t="str">
            <v>03563</v>
          </cell>
          <cell r="C370" t="str">
            <v>E</v>
          </cell>
          <cell r="D370" t="str">
            <v>AD</v>
          </cell>
          <cell r="E370" t="str">
            <v>01</v>
          </cell>
        </row>
        <row r="371">
          <cell r="A371" t="str">
            <v>CLARINETE 3</v>
          </cell>
          <cell r="B371" t="str">
            <v>03606</v>
          </cell>
          <cell r="C371" t="str">
            <v>E</v>
          </cell>
          <cell r="D371" t="str">
            <v>AD</v>
          </cell>
          <cell r="E371" t="str">
            <v>01</v>
          </cell>
        </row>
        <row r="372">
          <cell r="A372" t="str">
            <v>CLARINETE I</v>
          </cell>
          <cell r="B372" t="str">
            <v>02073</v>
          </cell>
          <cell r="C372" t="str">
            <v>E</v>
          </cell>
          <cell r="D372" t="str">
            <v>DO</v>
          </cell>
          <cell r="E372" t="str">
            <v/>
          </cell>
        </row>
        <row r="373">
          <cell r="A373" t="str">
            <v>CLARINETE II</v>
          </cell>
          <cell r="B373" t="str">
            <v>02081</v>
          </cell>
          <cell r="C373" t="str">
            <v>E</v>
          </cell>
          <cell r="D373" t="str">
            <v>DO</v>
          </cell>
          <cell r="E373" t="str">
            <v/>
          </cell>
        </row>
        <row r="374">
          <cell r="A374" t="str">
            <v>CLARINETE SOLISTA</v>
          </cell>
          <cell r="B374" t="str">
            <v>03518</v>
          </cell>
          <cell r="C374" t="str">
            <v>E</v>
          </cell>
          <cell r="D374" t="str">
            <v>AD</v>
          </cell>
          <cell r="E374" t="str">
            <v>01</v>
          </cell>
        </row>
        <row r="375">
          <cell r="A375" t="str">
            <v>COBRADOR JEFE I</v>
          </cell>
          <cell r="B375" t="str">
            <v>21611</v>
          </cell>
          <cell r="C375" t="str">
            <v>E</v>
          </cell>
          <cell r="D375" t="str">
            <v>AD</v>
          </cell>
          <cell r="E375" t="str">
            <v>02</v>
          </cell>
        </row>
        <row r="376">
          <cell r="A376" t="str">
            <v>COBRADOR JEFE II</v>
          </cell>
          <cell r="B376" t="str">
            <v>21612</v>
          </cell>
          <cell r="C376" t="str">
            <v>E</v>
          </cell>
          <cell r="D376" t="str">
            <v>UT</v>
          </cell>
          <cell r="E376" t="str">
            <v>15</v>
          </cell>
        </row>
        <row r="377">
          <cell r="A377" t="str">
            <v>COLECTOR</v>
          </cell>
          <cell r="B377" t="str">
            <v>21630</v>
          </cell>
          <cell r="C377" t="str">
            <v>E</v>
          </cell>
          <cell r="D377" t="str">
            <v>AD</v>
          </cell>
          <cell r="E377" t="str">
            <v>01</v>
          </cell>
        </row>
        <row r="378">
          <cell r="A378" t="str">
            <v>COMANDANTE</v>
          </cell>
          <cell r="B378" t="str">
            <v>62200</v>
          </cell>
          <cell r="C378" t="str">
            <v>E</v>
          </cell>
          <cell r="D378" t="str">
            <v>DI</v>
          </cell>
          <cell r="E378" t="str">
            <v>99</v>
          </cell>
        </row>
        <row r="379">
          <cell r="A379" t="str">
            <v>COMANDANTE DE HELICOPTERO</v>
          </cell>
          <cell r="B379" t="str">
            <v>52485</v>
          </cell>
          <cell r="C379" t="str">
            <v>E</v>
          </cell>
          <cell r="D379" t="str">
            <v>AD</v>
          </cell>
          <cell r="E379" t="str">
            <v>12</v>
          </cell>
        </row>
        <row r="380">
          <cell r="A380" t="str">
            <v>COMANDANTE DE JET</v>
          </cell>
          <cell r="B380" t="str">
            <v>52460</v>
          </cell>
          <cell r="C380" t="str">
            <v>E</v>
          </cell>
          <cell r="D380" t="str">
            <v>AD</v>
          </cell>
          <cell r="E380" t="str">
            <v>14</v>
          </cell>
        </row>
        <row r="381">
          <cell r="A381" t="str">
            <v>COMANDANTE DE TURBO</v>
          </cell>
          <cell r="B381" t="str">
            <v>52440</v>
          </cell>
          <cell r="C381" t="str">
            <v>E</v>
          </cell>
          <cell r="D381" t="str">
            <v>AD</v>
          </cell>
          <cell r="E381" t="str">
            <v>12</v>
          </cell>
        </row>
        <row r="382">
          <cell r="A382" t="str">
            <v>COMANDANTE GENERAL</v>
          </cell>
          <cell r="B382" t="str">
            <v>62162</v>
          </cell>
          <cell r="C382" t="str">
            <v>E</v>
          </cell>
          <cell r="D382" t="str">
            <v>PO</v>
          </cell>
          <cell r="E382" t="str">
            <v>99</v>
          </cell>
        </row>
        <row r="383">
          <cell r="A383" t="str">
            <v>COMISARIO</v>
          </cell>
          <cell r="B383" t="str">
            <v>62272</v>
          </cell>
          <cell r="C383" t="str">
            <v>E</v>
          </cell>
          <cell r="D383" t="str">
            <v>PO</v>
          </cell>
          <cell r="E383" t="str">
            <v>21</v>
          </cell>
        </row>
        <row r="384">
          <cell r="A384" t="str">
            <v>COMISARIO GENERAL</v>
          </cell>
          <cell r="B384" t="str">
            <v>62274</v>
          </cell>
          <cell r="C384" t="str">
            <v>E</v>
          </cell>
          <cell r="D384" t="str">
            <v>PO</v>
          </cell>
          <cell r="E384" t="str">
            <v>23</v>
          </cell>
        </row>
        <row r="385">
          <cell r="A385" t="str">
            <v>COMISARIO JEFE</v>
          </cell>
          <cell r="B385" t="str">
            <v>62273</v>
          </cell>
          <cell r="C385" t="str">
            <v>E</v>
          </cell>
          <cell r="D385" t="str">
            <v>PO</v>
          </cell>
          <cell r="E385" t="str">
            <v>22</v>
          </cell>
        </row>
        <row r="386">
          <cell r="A386" t="str">
            <v>COMISIONADO</v>
          </cell>
          <cell r="B386" t="str">
            <v>90006</v>
          </cell>
          <cell r="C386" t="str">
            <v>E</v>
          </cell>
          <cell r="D386" t="str">
            <v>PO</v>
          </cell>
          <cell r="E386" t="str">
            <v/>
          </cell>
        </row>
        <row r="387">
          <cell r="A387" t="str">
            <v>COMISIONADO (GRADO 0)</v>
          </cell>
          <cell r="B387" t="str">
            <v>90038</v>
          </cell>
          <cell r="C387" t="str">
            <v>E</v>
          </cell>
          <cell r="D387" t="str">
            <v>PO</v>
          </cell>
          <cell r="E387" t="str">
            <v/>
          </cell>
        </row>
        <row r="388">
          <cell r="A388" t="str">
            <v>COMISIONADO (GRADO 1)</v>
          </cell>
          <cell r="B388" t="str">
            <v>90039</v>
          </cell>
          <cell r="C388" t="str">
            <v>E</v>
          </cell>
          <cell r="D388" t="str">
            <v>PO</v>
          </cell>
          <cell r="E388" t="str">
            <v/>
          </cell>
        </row>
        <row r="389">
          <cell r="A389" t="str">
            <v>COMISIONADO (GRADO 2)</v>
          </cell>
          <cell r="B389" t="str">
            <v>90040</v>
          </cell>
          <cell r="C389" t="str">
            <v>E</v>
          </cell>
          <cell r="D389" t="str">
            <v>PO</v>
          </cell>
          <cell r="E389" t="str">
            <v/>
          </cell>
        </row>
        <row r="390">
          <cell r="A390" t="str">
            <v>COMISIONADO AGREGADO</v>
          </cell>
          <cell r="B390" t="str">
            <v>90007</v>
          </cell>
          <cell r="C390" t="str">
            <v>E</v>
          </cell>
          <cell r="D390" t="str">
            <v>PO</v>
          </cell>
          <cell r="E390" t="str">
            <v/>
          </cell>
        </row>
        <row r="391">
          <cell r="A391" t="str">
            <v>COMISIONADO AGREGADO (GRADO 0)</v>
          </cell>
          <cell r="B391" t="str">
            <v>90041</v>
          </cell>
          <cell r="C391" t="str">
            <v>E</v>
          </cell>
          <cell r="D391" t="str">
            <v>PO</v>
          </cell>
          <cell r="E391" t="str">
            <v/>
          </cell>
        </row>
        <row r="392">
          <cell r="A392" t="str">
            <v>COMISIONADO AGREGADO (GRADO 1)</v>
          </cell>
          <cell r="B392" t="str">
            <v>90042</v>
          </cell>
          <cell r="C392" t="str">
            <v>E</v>
          </cell>
          <cell r="D392" t="str">
            <v>PO</v>
          </cell>
          <cell r="E392" t="str">
            <v/>
          </cell>
        </row>
        <row r="393">
          <cell r="A393" t="str">
            <v>COMISIONADO AGREGADO (GRADO 2)</v>
          </cell>
          <cell r="B393" t="str">
            <v>90043</v>
          </cell>
          <cell r="C393" t="str">
            <v>E</v>
          </cell>
          <cell r="D393" t="str">
            <v>PO</v>
          </cell>
          <cell r="E393" t="str">
            <v/>
          </cell>
        </row>
        <row r="394">
          <cell r="A394" t="str">
            <v>COMISIONADO ASUNTOS INTERINSTITUCIONALES</v>
          </cell>
          <cell r="B394" t="str">
            <v>00917</v>
          </cell>
          <cell r="C394" t="str">
            <v>E</v>
          </cell>
          <cell r="D394" t="str">
            <v>DI</v>
          </cell>
          <cell r="E394" t="str">
            <v>99</v>
          </cell>
        </row>
        <row r="395">
          <cell r="A395" t="str">
            <v>COMISIONADO DEL TRABAJO</v>
          </cell>
          <cell r="B395" t="str">
            <v>84310</v>
          </cell>
          <cell r="C395" t="str">
            <v>E</v>
          </cell>
          <cell r="D395" t="str">
            <v>AD</v>
          </cell>
          <cell r="E395" t="str">
            <v>01</v>
          </cell>
        </row>
        <row r="396">
          <cell r="A396" t="str">
            <v>COMISIONADO ESPECIAL DE TRABAJO I</v>
          </cell>
          <cell r="B396" t="str">
            <v>84311</v>
          </cell>
          <cell r="C396" t="str">
            <v>E</v>
          </cell>
          <cell r="D396" t="str">
            <v>AD</v>
          </cell>
          <cell r="E396" t="str">
            <v>02</v>
          </cell>
        </row>
        <row r="397">
          <cell r="A397" t="str">
            <v>COMISIONADO ESPECIAL DE TRABAJO II</v>
          </cell>
          <cell r="B397" t="str">
            <v>84312</v>
          </cell>
          <cell r="C397" t="str">
            <v>E</v>
          </cell>
          <cell r="D397" t="str">
            <v>AD</v>
          </cell>
          <cell r="E397" t="str">
            <v>03</v>
          </cell>
        </row>
        <row r="398">
          <cell r="A398" t="str">
            <v>COMISIONADO JEFE</v>
          </cell>
          <cell r="B398" t="str">
            <v>90009</v>
          </cell>
          <cell r="C398" t="str">
            <v>E</v>
          </cell>
          <cell r="D398" t="str">
            <v>PO</v>
          </cell>
          <cell r="E398" t="str">
            <v>99</v>
          </cell>
        </row>
        <row r="399">
          <cell r="A399" t="str">
            <v>COMISIONADO JEFE (GRADO 0)</v>
          </cell>
          <cell r="B399" t="str">
            <v>90044</v>
          </cell>
          <cell r="C399" t="str">
            <v>E</v>
          </cell>
          <cell r="D399" t="str">
            <v>PO</v>
          </cell>
          <cell r="E399" t="str">
            <v/>
          </cell>
        </row>
        <row r="400">
          <cell r="A400" t="str">
            <v>COMISIONADO JEFE (GRADO 1)</v>
          </cell>
          <cell r="B400" t="str">
            <v>90045</v>
          </cell>
          <cell r="C400" t="str">
            <v>E</v>
          </cell>
          <cell r="D400" t="str">
            <v>PO</v>
          </cell>
          <cell r="E400" t="str">
            <v/>
          </cell>
        </row>
        <row r="401">
          <cell r="A401" t="str">
            <v>COMISIONADO JEFE (GRADO 2)</v>
          </cell>
          <cell r="B401" t="str">
            <v>90046</v>
          </cell>
          <cell r="C401" t="str">
            <v>E</v>
          </cell>
          <cell r="D401" t="str">
            <v>PO</v>
          </cell>
          <cell r="E401" t="str">
            <v/>
          </cell>
        </row>
        <row r="402">
          <cell r="A402" t="str">
            <v>COMISIONADO JEFE (GRADO 3)</v>
          </cell>
          <cell r="B402" t="str">
            <v>90047</v>
          </cell>
          <cell r="C402" t="str">
            <v>E</v>
          </cell>
          <cell r="D402" t="str">
            <v>PO</v>
          </cell>
          <cell r="E402" t="str">
            <v/>
          </cell>
        </row>
        <row r="403">
          <cell r="A403" t="str">
            <v>COMISIONADO.</v>
          </cell>
          <cell r="B403" t="str">
            <v>00001</v>
          </cell>
          <cell r="C403" t="str">
            <v>E</v>
          </cell>
          <cell r="D403" t="str">
            <v>DI</v>
          </cell>
          <cell r="E403" t="str">
            <v>99</v>
          </cell>
        </row>
        <row r="404">
          <cell r="A404" t="str">
            <v>COMPRADOR I</v>
          </cell>
          <cell r="B404" t="str">
            <v>25311</v>
          </cell>
          <cell r="C404" t="str">
            <v>E</v>
          </cell>
          <cell r="D404" t="str">
            <v>AD</v>
          </cell>
          <cell r="E404" t="str">
            <v>01</v>
          </cell>
        </row>
        <row r="405">
          <cell r="A405" t="str">
            <v>COMPRADOR II</v>
          </cell>
          <cell r="B405" t="str">
            <v>25312</v>
          </cell>
          <cell r="C405" t="str">
            <v>E</v>
          </cell>
          <cell r="D405" t="str">
            <v>AD</v>
          </cell>
          <cell r="E405" t="str">
            <v>03</v>
          </cell>
        </row>
        <row r="406">
          <cell r="A406" t="str">
            <v>COMPRADOR III</v>
          </cell>
          <cell r="B406" t="str">
            <v>25313</v>
          </cell>
          <cell r="C406" t="str">
            <v>E</v>
          </cell>
          <cell r="D406" t="str">
            <v>UT</v>
          </cell>
          <cell r="E406" t="str">
            <v>15</v>
          </cell>
        </row>
        <row r="407">
          <cell r="A407" t="str">
            <v>COMPRADOR JEFE I</v>
          </cell>
          <cell r="B407" t="str">
            <v>25321</v>
          </cell>
          <cell r="C407" t="str">
            <v>E</v>
          </cell>
          <cell r="D407" t="str">
            <v>UT</v>
          </cell>
          <cell r="E407" t="str">
            <v>17</v>
          </cell>
        </row>
        <row r="408">
          <cell r="A408" t="str">
            <v>COMPRADOR JEFE II</v>
          </cell>
          <cell r="B408" t="str">
            <v>25322</v>
          </cell>
          <cell r="C408" t="str">
            <v>E</v>
          </cell>
          <cell r="D408" t="str">
            <v>UT</v>
          </cell>
          <cell r="E408" t="str">
            <v>19</v>
          </cell>
        </row>
        <row r="409">
          <cell r="A409" t="str">
            <v>COMUNICADOR SOCIAL I</v>
          </cell>
          <cell r="B409" t="str">
            <v>31321</v>
          </cell>
          <cell r="C409" t="str">
            <v>E</v>
          </cell>
          <cell r="D409" t="str">
            <v>UT</v>
          </cell>
          <cell r="E409" t="str">
            <v>17</v>
          </cell>
        </row>
        <row r="410">
          <cell r="A410" t="str">
            <v>COMUNICADOR SOCIAL II</v>
          </cell>
          <cell r="B410" t="str">
            <v>31322</v>
          </cell>
          <cell r="C410" t="str">
            <v>E</v>
          </cell>
          <cell r="D410" t="str">
            <v>UT</v>
          </cell>
          <cell r="E410" t="str">
            <v>19</v>
          </cell>
        </row>
        <row r="411">
          <cell r="A411" t="str">
            <v>COMUNICADOR SOCIAL III</v>
          </cell>
          <cell r="B411" t="str">
            <v>31323</v>
          </cell>
          <cell r="C411" t="str">
            <v>E</v>
          </cell>
          <cell r="D411" t="str">
            <v>UT</v>
          </cell>
          <cell r="E411" t="str">
            <v>21</v>
          </cell>
        </row>
        <row r="412">
          <cell r="A412" t="str">
            <v>CONDUCTORES DE 1RA</v>
          </cell>
          <cell r="B412" t="str">
            <v>62213</v>
          </cell>
          <cell r="C412" t="str">
            <v>E</v>
          </cell>
          <cell r="D412" t="str">
            <v>PO</v>
          </cell>
          <cell r="E412" t="str">
            <v/>
          </cell>
        </row>
        <row r="413">
          <cell r="A413" t="str">
            <v>CONDUCTORES DE 2DA</v>
          </cell>
          <cell r="B413" t="str">
            <v>62212</v>
          </cell>
          <cell r="C413" t="str">
            <v>E</v>
          </cell>
          <cell r="D413" t="str">
            <v>PO</v>
          </cell>
          <cell r="E413" t="str">
            <v/>
          </cell>
        </row>
        <row r="414">
          <cell r="A414" t="str">
            <v>CONDUCTORES DE 3RA</v>
          </cell>
          <cell r="B414" t="str">
            <v>62211</v>
          </cell>
          <cell r="C414" t="str">
            <v>E</v>
          </cell>
          <cell r="D414" t="str">
            <v>PO</v>
          </cell>
          <cell r="E414" t="str">
            <v/>
          </cell>
        </row>
        <row r="415">
          <cell r="A415" t="str">
            <v>CONSULTOR JURIDICO</v>
          </cell>
          <cell r="B415" t="str">
            <v>00924</v>
          </cell>
          <cell r="C415" t="str">
            <v>E</v>
          </cell>
          <cell r="D415" t="str">
            <v>DI</v>
          </cell>
          <cell r="E415" t="str">
            <v>99</v>
          </cell>
        </row>
        <row r="416">
          <cell r="A416" t="str">
            <v>CONTABILISTA I</v>
          </cell>
          <cell r="B416" t="str">
            <v>21111</v>
          </cell>
          <cell r="C416" t="str">
            <v>E</v>
          </cell>
          <cell r="D416" t="str">
            <v>AD</v>
          </cell>
          <cell r="E416" t="str">
            <v>01</v>
          </cell>
        </row>
        <row r="417">
          <cell r="A417" t="str">
            <v>CONTABILISTA II</v>
          </cell>
          <cell r="B417" t="str">
            <v>21112</v>
          </cell>
          <cell r="C417" t="str">
            <v>E</v>
          </cell>
          <cell r="D417" t="str">
            <v>AD</v>
          </cell>
          <cell r="E417" t="str">
            <v>03</v>
          </cell>
        </row>
        <row r="418">
          <cell r="A418" t="str">
            <v>CONTABILISTA III</v>
          </cell>
          <cell r="B418" t="str">
            <v>21113</v>
          </cell>
          <cell r="C418" t="str">
            <v>E</v>
          </cell>
          <cell r="D418" t="str">
            <v>UT</v>
          </cell>
          <cell r="E418" t="str">
            <v>15</v>
          </cell>
        </row>
        <row r="419">
          <cell r="A419" t="str">
            <v>CONTADOR I</v>
          </cell>
          <cell r="B419" t="str">
            <v>21131</v>
          </cell>
          <cell r="C419" t="str">
            <v>E</v>
          </cell>
          <cell r="D419" t="str">
            <v>UT</v>
          </cell>
          <cell r="E419" t="str">
            <v>17</v>
          </cell>
        </row>
        <row r="420">
          <cell r="A420" t="str">
            <v>CONTADOR II</v>
          </cell>
          <cell r="B420" t="str">
            <v>21132</v>
          </cell>
          <cell r="C420" t="str">
            <v>E</v>
          </cell>
          <cell r="D420" t="str">
            <v>UT</v>
          </cell>
          <cell r="E420" t="str">
            <v>19</v>
          </cell>
        </row>
        <row r="421">
          <cell r="A421" t="str">
            <v>CONTADOR III</v>
          </cell>
          <cell r="B421" t="str">
            <v>21133</v>
          </cell>
          <cell r="C421" t="str">
            <v>E</v>
          </cell>
          <cell r="D421" t="str">
            <v>UT</v>
          </cell>
          <cell r="E421" t="str">
            <v>21</v>
          </cell>
        </row>
        <row r="422">
          <cell r="A422" t="str">
            <v>CONTADOR IV</v>
          </cell>
          <cell r="B422" t="str">
            <v>21134</v>
          </cell>
          <cell r="C422" t="str">
            <v>E</v>
          </cell>
          <cell r="D422" t="str">
            <v>UT</v>
          </cell>
          <cell r="E422" t="str">
            <v>23</v>
          </cell>
        </row>
        <row r="423">
          <cell r="A423" t="str">
            <v>CONTADOR JEFE</v>
          </cell>
          <cell r="B423" t="str">
            <v>21140</v>
          </cell>
          <cell r="C423" t="str">
            <v>E</v>
          </cell>
          <cell r="D423" t="str">
            <v>UT</v>
          </cell>
          <cell r="E423" t="str">
            <v>25</v>
          </cell>
        </row>
        <row r="424">
          <cell r="A424" t="str">
            <v>CONTRABAJO</v>
          </cell>
          <cell r="B424" t="str">
            <v>02057</v>
          </cell>
          <cell r="C424" t="str">
            <v>E</v>
          </cell>
          <cell r="D424" t="str">
            <v>AD</v>
          </cell>
          <cell r="E424" t="str">
            <v>01</v>
          </cell>
        </row>
        <row r="425">
          <cell r="A425" t="str">
            <v>CONTRABAJO</v>
          </cell>
          <cell r="B425" t="str">
            <v>03622</v>
          </cell>
          <cell r="C425" t="str">
            <v>E</v>
          </cell>
          <cell r="D425" t="str">
            <v>AD</v>
          </cell>
          <cell r="E425" t="str">
            <v>01</v>
          </cell>
        </row>
        <row r="426">
          <cell r="A426" t="str">
            <v>CONTRABAJO 1</v>
          </cell>
          <cell r="B426" t="str">
            <v>03558</v>
          </cell>
          <cell r="C426" t="str">
            <v>E</v>
          </cell>
          <cell r="D426" t="str">
            <v>AD</v>
          </cell>
          <cell r="E426" t="str">
            <v>01</v>
          </cell>
        </row>
        <row r="427">
          <cell r="A427" t="str">
            <v>CONTRABAJO I/ INST. I N.G. (16 HORAS)</v>
          </cell>
          <cell r="B427" t="str">
            <v>40232</v>
          </cell>
          <cell r="C427" t="str">
            <v>E</v>
          </cell>
          <cell r="D427" t="str">
            <v>DO</v>
          </cell>
          <cell r="E427" t="str">
            <v/>
          </cell>
        </row>
        <row r="428">
          <cell r="A428" t="str">
            <v>CONTRABAJO II</v>
          </cell>
          <cell r="B428" t="str">
            <v>03559</v>
          </cell>
          <cell r="C428" t="str">
            <v>E</v>
          </cell>
          <cell r="D428" t="str">
            <v>AD</v>
          </cell>
          <cell r="E428" t="str">
            <v>01</v>
          </cell>
        </row>
        <row r="429">
          <cell r="A429" t="str">
            <v>CONTRALOR INTERNO</v>
          </cell>
          <cell r="B429" t="str">
            <v>10000</v>
          </cell>
          <cell r="C429" t="str">
            <v>E</v>
          </cell>
          <cell r="D429" t="str">
            <v>UT</v>
          </cell>
          <cell r="E429" t="str">
            <v>19</v>
          </cell>
        </row>
        <row r="430">
          <cell r="A430" t="str">
            <v>CONTROLADOR DE ARMAS Y EXPLOSIVOS I</v>
          </cell>
          <cell r="B430" t="str">
            <v>85211</v>
          </cell>
          <cell r="C430" t="str">
            <v>E</v>
          </cell>
          <cell r="D430" t="str">
            <v>AD</v>
          </cell>
          <cell r="E430" t="str">
            <v>04</v>
          </cell>
        </row>
        <row r="431">
          <cell r="A431" t="str">
            <v>CONTROLADOR DE ARMAS Y EXPLOSIVOS II</v>
          </cell>
          <cell r="B431" t="str">
            <v>85212</v>
          </cell>
          <cell r="C431" t="str">
            <v>E</v>
          </cell>
          <cell r="D431" t="str">
            <v>AD</v>
          </cell>
          <cell r="E431" t="str">
            <v>06</v>
          </cell>
        </row>
        <row r="432">
          <cell r="A432" t="str">
            <v>CONTROLADOR DE ARMAS Y EXPLOSIVOS III</v>
          </cell>
          <cell r="B432" t="str">
            <v>85213</v>
          </cell>
          <cell r="C432" t="str">
            <v>E</v>
          </cell>
          <cell r="D432" t="str">
            <v>AD</v>
          </cell>
          <cell r="E432" t="str">
            <v>08</v>
          </cell>
        </row>
        <row r="433">
          <cell r="A433" t="str">
            <v>CONTROLADOR DE TRANSITO AEREO I</v>
          </cell>
          <cell r="B433" t="str">
            <v>51621</v>
          </cell>
          <cell r="C433" t="str">
            <v>E</v>
          </cell>
          <cell r="D433" t="str">
            <v>AD</v>
          </cell>
          <cell r="E433" t="str">
            <v>03</v>
          </cell>
        </row>
        <row r="434">
          <cell r="A434" t="str">
            <v>CONTROLADOR DE TRANSITO AEREO II</v>
          </cell>
          <cell r="B434" t="str">
            <v>51622</v>
          </cell>
          <cell r="C434" t="str">
            <v>E</v>
          </cell>
          <cell r="D434" t="str">
            <v>AD</v>
          </cell>
          <cell r="E434" t="str">
            <v>05</v>
          </cell>
        </row>
        <row r="435">
          <cell r="A435" t="str">
            <v>CONTROLADOR DE TRANSITO AEREO III</v>
          </cell>
          <cell r="B435" t="str">
            <v>51623</v>
          </cell>
          <cell r="C435" t="str">
            <v>E</v>
          </cell>
          <cell r="D435" t="str">
            <v>AD</v>
          </cell>
          <cell r="E435" t="str">
            <v>07</v>
          </cell>
        </row>
        <row r="436">
          <cell r="A436" t="str">
            <v>CONTROLADOR DE TRANSITO AEREO IV</v>
          </cell>
          <cell r="B436" t="str">
            <v>51624</v>
          </cell>
          <cell r="C436" t="str">
            <v>E</v>
          </cell>
          <cell r="D436" t="str">
            <v>AD</v>
          </cell>
          <cell r="E436" t="str">
            <v>08</v>
          </cell>
        </row>
        <row r="437">
          <cell r="A437" t="str">
            <v>CONTROLADOR DE TRANSITO AEREO JEFE I</v>
          </cell>
          <cell r="B437" t="str">
            <v>51631</v>
          </cell>
          <cell r="C437" t="str">
            <v>E</v>
          </cell>
          <cell r="D437" t="str">
            <v>AD</v>
          </cell>
          <cell r="E437" t="str">
            <v>11</v>
          </cell>
        </row>
        <row r="438">
          <cell r="A438" t="str">
            <v>CONTROLADOR DE TRANSITO AEREO JEFE II</v>
          </cell>
          <cell r="B438" t="str">
            <v>51632</v>
          </cell>
          <cell r="C438" t="str">
            <v>E</v>
          </cell>
          <cell r="D438" t="str">
            <v>AD</v>
          </cell>
          <cell r="E438" t="str">
            <v>12</v>
          </cell>
        </row>
        <row r="439">
          <cell r="A439" t="str">
            <v>CONTROLADOR DE TRANSITO AEREO JEFE III</v>
          </cell>
          <cell r="B439" t="str">
            <v>51633</v>
          </cell>
          <cell r="C439" t="str">
            <v>E</v>
          </cell>
          <cell r="D439" t="str">
            <v>AD</v>
          </cell>
          <cell r="E439" t="str">
            <v>13</v>
          </cell>
        </row>
        <row r="440">
          <cell r="A440" t="str">
            <v>CONTROLADOR DE TRANSITO AEREO V</v>
          </cell>
          <cell r="B440" t="str">
            <v>51625</v>
          </cell>
          <cell r="C440" t="str">
            <v>E</v>
          </cell>
          <cell r="D440" t="str">
            <v>AD</v>
          </cell>
          <cell r="E440" t="str">
            <v>09</v>
          </cell>
        </row>
        <row r="441">
          <cell r="A441" t="str">
            <v>CONTROLADOR DE TRANSITO AEREO VI</v>
          </cell>
          <cell r="B441" t="str">
            <v>51626</v>
          </cell>
          <cell r="C441" t="str">
            <v>E</v>
          </cell>
          <cell r="D441" t="str">
            <v>AD</v>
          </cell>
          <cell r="E441" t="str">
            <v>10</v>
          </cell>
        </row>
        <row r="442">
          <cell r="A442" t="str">
            <v>COORD DOC VI 77 TID (36 HORAS) Y DOCENTE BASICO VI (06 HORAS)</v>
          </cell>
          <cell r="B442" t="str">
            <v>40014</v>
          </cell>
          <cell r="C442" t="str">
            <v>E</v>
          </cell>
          <cell r="D442" t="str">
            <v>DO</v>
          </cell>
          <cell r="E442" t="str">
            <v/>
          </cell>
        </row>
        <row r="443">
          <cell r="A443" t="str">
            <v>COORD.  I   77</v>
          </cell>
          <cell r="B443" t="str">
            <v>01301</v>
          </cell>
          <cell r="C443" t="str">
            <v>E</v>
          </cell>
          <cell r="D443" t="str">
            <v>DO</v>
          </cell>
          <cell r="E443" t="str">
            <v/>
          </cell>
        </row>
        <row r="444">
          <cell r="A444" t="str">
            <v>COORD.  II  77</v>
          </cell>
          <cell r="B444" t="str">
            <v>01302</v>
          </cell>
          <cell r="C444" t="str">
            <v>E</v>
          </cell>
          <cell r="D444" t="str">
            <v>DO</v>
          </cell>
          <cell r="E444" t="str">
            <v/>
          </cell>
        </row>
        <row r="445">
          <cell r="A445" t="str">
            <v>COORD.  III 77</v>
          </cell>
          <cell r="B445" t="str">
            <v>01303</v>
          </cell>
          <cell r="C445" t="str">
            <v>E</v>
          </cell>
          <cell r="D445" t="str">
            <v>DO</v>
          </cell>
          <cell r="E445" t="str">
            <v/>
          </cell>
        </row>
        <row r="446">
          <cell r="A446" t="str">
            <v>COORD.  IV  77</v>
          </cell>
          <cell r="B446" t="str">
            <v>01304</v>
          </cell>
          <cell r="C446" t="str">
            <v>E</v>
          </cell>
          <cell r="D446" t="str">
            <v>DO</v>
          </cell>
          <cell r="E446" t="str">
            <v/>
          </cell>
        </row>
        <row r="447">
          <cell r="A447" t="str">
            <v>COORD.  V   77</v>
          </cell>
          <cell r="B447" t="str">
            <v>01305</v>
          </cell>
          <cell r="C447" t="str">
            <v>E</v>
          </cell>
          <cell r="D447" t="str">
            <v>DO</v>
          </cell>
          <cell r="E447" t="str">
            <v/>
          </cell>
        </row>
        <row r="448">
          <cell r="A448" t="str">
            <v>COORD.  VI  77</v>
          </cell>
          <cell r="B448" t="str">
            <v>01306</v>
          </cell>
          <cell r="C448" t="str">
            <v>E</v>
          </cell>
          <cell r="D448" t="str">
            <v>DO</v>
          </cell>
          <cell r="E448" t="str">
            <v/>
          </cell>
        </row>
        <row r="449">
          <cell r="A449" t="str">
            <v>COORD. CONSERV. Y M.</v>
          </cell>
          <cell r="B449" t="str">
            <v>01310</v>
          </cell>
          <cell r="C449" t="str">
            <v>E</v>
          </cell>
          <cell r="D449" t="str">
            <v>DO</v>
          </cell>
          <cell r="E449" t="str">
            <v/>
          </cell>
        </row>
        <row r="450">
          <cell r="A450" t="str">
            <v>COORD. DE DIFUSIONLITER. Y TEATRAL</v>
          </cell>
          <cell r="B450" t="str">
            <v>00945</v>
          </cell>
          <cell r="C450" t="str">
            <v>E</v>
          </cell>
          <cell r="D450" t="str">
            <v>DO</v>
          </cell>
          <cell r="E450" t="str">
            <v/>
          </cell>
        </row>
        <row r="451">
          <cell r="A451" t="str">
            <v>COORD. DE SEGUIMIENTO Y EVAL. DE POLITICAS PUBLICAS</v>
          </cell>
          <cell r="B451" t="str">
            <v>00929</v>
          </cell>
          <cell r="C451" t="str">
            <v>E</v>
          </cell>
          <cell r="D451" t="str">
            <v>DI</v>
          </cell>
          <cell r="E451" t="str">
            <v>99</v>
          </cell>
        </row>
        <row r="452">
          <cell r="A452" t="str">
            <v>COORD. DEL COMITE ESTADAL DE LA VIVIENDA</v>
          </cell>
          <cell r="B452" t="str">
            <v>00936</v>
          </cell>
          <cell r="C452" t="str">
            <v>E</v>
          </cell>
          <cell r="D452" t="str">
            <v>DI</v>
          </cell>
          <cell r="E452" t="str">
            <v>99</v>
          </cell>
        </row>
        <row r="453">
          <cell r="A453" t="str">
            <v>COORD. DESARROLLO DE RECURSOS HUMANOS II</v>
          </cell>
          <cell r="B453" t="str">
            <v>16112</v>
          </cell>
          <cell r="C453" t="str">
            <v>E</v>
          </cell>
          <cell r="D453" t="str">
            <v>UT</v>
          </cell>
          <cell r="E453" t="str">
            <v>20</v>
          </cell>
        </row>
        <row r="454">
          <cell r="A454" t="str">
            <v>COORD. DOCENTE 77</v>
          </cell>
          <cell r="B454" t="str">
            <v>01320</v>
          </cell>
          <cell r="C454" t="str">
            <v>E</v>
          </cell>
          <cell r="D454" t="str">
            <v>DO</v>
          </cell>
          <cell r="E454" t="str">
            <v/>
          </cell>
        </row>
        <row r="455">
          <cell r="A455" t="str">
            <v>COORD. DOCENTE I   77</v>
          </cell>
          <cell r="B455" t="str">
            <v>01321</v>
          </cell>
          <cell r="C455" t="str">
            <v>E</v>
          </cell>
          <cell r="D455" t="str">
            <v>DO</v>
          </cell>
          <cell r="E455" t="str">
            <v/>
          </cell>
        </row>
        <row r="456">
          <cell r="A456" t="str">
            <v>COORD. DOCENTE II  77</v>
          </cell>
          <cell r="B456" t="str">
            <v>01322</v>
          </cell>
          <cell r="C456" t="str">
            <v>E</v>
          </cell>
          <cell r="D456" t="str">
            <v>DO</v>
          </cell>
          <cell r="E456" t="str">
            <v/>
          </cell>
        </row>
        <row r="457">
          <cell r="A457" t="str">
            <v>COORD. DOCENTE III 77</v>
          </cell>
          <cell r="B457" t="str">
            <v>01323</v>
          </cell>
          <cell r="C457" t="str">
            <v>E</v>
          </cell>
          <cell r="D457" t="str">
            <v>DO</v>
          </cell>
          <cell r="E457" t="str">
            <v/>
          </cell>
        </row>
        <row r="458">
          <cell r="A458" t="str">
            <v>COORD. DOCENTE IV  77</v>
          </cell>
          <cell r="B458" t="str">
            <v>01324</v>
          </cell>
          <cell r="C458" t="str">
            <v>E</v>
          </cell>
          <cell r="D458" t="str">
            <v>DO</v>
          </cell>
          <cell r="E458" t="str">
            <v/>
          </cell>
        </row>
        <row r="459">
          <cell r="A459" t="str">
            <v>COORD. DOCENTE IV 77 TC (36 HORAS) Y DOCENTE IV 77 TCVNMA (16 HORAS)</v>
          </cell>
          <cell r="B459" t="str">
            <v>40221</v>
          </cell>
          <cell r="C459" t="str">
            <v>E</v>
          </cell>
          <cell r="D459" t="str">
            <v>DO</v>
          </cell>
          <cell r="E459" t="str">
            <v/>
          </cell>
        </row>
        <row r="460">
          <cell r="A460" t="str">
            <v>COORD. DOCENTE V   77</v>
          </cell>
          <cell r="B460" t="str">
            <v>01325</v>
          </cell>
          <cell r="C460" t="str">
            <v>E</v>
          </cell>
          <cell r="D460" t="str">
            <v>DO</v>
          </cell>
          <cell r="E460" t="str">
            <v/>
          </cell>
        </row>
        <row r="461">
          <cell r="A461" t="str">
            <v>COORD. DOCENTE VI  77</v>
          </cell>
          <cell r="B461" t="str">
            <v>01326</v>
          </cell>
          <cell r="C461" t="str">
            <v>E</v>
          </cell>
          <cell r="D461" t="str">
            <v>DO</v>
          </cell>
          <cell r="E461" t="str">
            <v/>
          </cell>
        </row>
        <row r="462">
          <cell r="A462" t="str">
            <v>COORD. ENTES P Y P DE CULTURA Y DEPORTE</v>
          </cell>
          <cell r="B462" t="str">
            <v>00941</v>
          </cell>
          <cell r="C462" t="str">
            <v>E</v>
          </cell>
          <cell r="D462" t="str">
            <v>DI</v>
          </cell>
          <cell r="E462" t="str">
            <v>99</v>
          </cell>
        </row>
        <row r="463">
          <cell r="A463" t="str">
            <v>COORD. I   139</v>
          </cell>
          <cell r="B463" t="str">
            <v>01311</v>
          </cell>
          <cell r="C463" t="str">
            <v>E</v>
          </cell>
          <cell r="D463" t="str">
            <v>DO</v>
          </cell>
          <cell r="E463" t="str">
            <v/>
          </cell>
        </row>
        <row r="464">
          <cell r="A464" t="str">
            <v>COORD. II  139</v>
          </cell>
          <cell r="B464" t="str">
            <v>01312</v>
          </cell>
          <cell r="C464" t="str">
            <v>E</v>
          </cell>
          <cell r="D464" t="str">
            <v>DO</v>
          </cell>
          <cell r="E464" t="str">
            <v/>
          </cell>
        </row>
        <row r="465">
          <cell r="A465" t="str">
            <v>COORD. III 139</v>
          </cell>
          <cell r="B465" t="str">
            <v>01313</v>
          </cell>
          <cell r="C465" t="str">
            <v>E</v>
          </cell>
          <cell r="D465" t="str">
            <v>DO</v>
          </cell>
          <cell r="E465" t="str">
            <v/>
          </cell>
        </row>
        <row r="466">
          <cell r="A466" t="str">
            <v>COORD. INV. Y FLOK.</v>
          </cell>
          <cell r="B466" t="str">
            <v>02076</v>
          </cell>
          <cell r="C466" t="str">
            <v>E</v>
          </cell>
          <cell r="D466" t="str">
            <v>DO</v>
          </cell>
          <cell r="E466" t="str">
            <v/>
          </cell>
        </row>
        <row r="467">
          <cell r="A467" t="str">
            <v>COORD. IV  139</v>
          </cell>
          <cell r="B467" t="str">
            <v>01314</v>
          </cell>
          <cell r="C467" t="str">
            <v>E</v>
          </cell>
          <cell r="D467" t="str">
            <v>DO</v>
          </cell>
          <cell r="E467" t="str">
            <v/>
          </cell>
        </row>
        <row r="468">
          <cell r="A468" t="str">
            <v>COORD. RED DE BIBLIOTECAS E INFORM. ESTA</v>
          </cell>
          <cell r="B468" t="str">
            <v>36640</v>
          </cell>
          <cell r="C468" t="str">
            <v>E</v>
          </cell>
          <cell r="D468" t="str">
            <v>UT</v>
          </cell>
          <cell r="E468" t="str">
            <v>26</v>
          </cell>
        </row>
        <row r="469">
          <cell r="A469" t="str">
            <v>COORD. REGISTRO NACIONAL PERMANENTE</v>
          </cell>
          <cell r="B469" t="str">
            <v>15130</v>
          </cell>
          <cell r="C469" t="str">
            <v>E</v>
          </cell>
          <cell r="D469" t="str">
            <v>UT</v>
          </cell>
          <cell r="E469" t="str">
            <v>20</v>
          </cell>
        </row>
        <row r="470">
          <cell r="A470" t="str">
            <v>COORD. V   139</v>
          </cell>
          <cell r="B470" t="str">
            <v>01315</v>
          </cell>
          <cell r="C470" t="str">
            <v>E</v>
          </cell>
          <cell r="D470" t="str">
            <v>DO</v>
          </cell>
          <cell r="E470" t="str">
            <v/>
          </cell>
        </row>
        <row r="471">
          <cell r="A471" t="str">
            <v>COORD. VI  139</v>
          </cell>
          <cell r="B471" t="str">
            <v>01316</v>
          </cell>
          <cell r="C471" t="str">
            <v>E</v>
          </cell>
          <cell r="D471" t="str">
            <v>DO</v>
          </cell>
          <cell r="E471" t="str">
            <v/>
          </cell>
        </row>
        <row r="472">
          <cell r="A472" t="str">
            <v>COORD.DIF.C.CUL.VI 139</v>
          </cell>
          <cell r="B472" t="str">
            <v>01327</v>
          </cell>
          <cell r="C472" t="str">
            <v>E</v>
          </cell>
          <cell r="D472" t="str">
            <v>DO</v>
          </cell>
          <cell r="E472" t="str">
            <v/>
          </cell>
        </row>
        <row r="473">
          <cell r="A473" t="str">
            <v>COORD.DIF.Y PROM.DOC.BAS.16 TC.139</v>
          </cell>
          <cell r="B473" t="str">
            <v>02075</v>
          </cell>
          <cell r="C473" t="str">
            <v>E</v>
          </cell>
          <cell r="D473" t="str">
            <v>DO</v>
          </cell>
          <cell r="E473" t="str">
            <v/>
          </cell>
        </row>
        <row r="474">
          <cell r="A474" t="str">
            <v>COORD.DOCENTE BAS.16TC. VI 77</v>
          </cell>
          <cell r="B474" t="str">
            <v>02074</v>
          </cell>
          <cell r="C474" t="str">
            <v>E</v>
          </cell>
          <cell r="D474" t="str">
            <v>DO</v>
          </cell>
          <cell r="E474" t="str">
            <v/>
          </cell>
        </row>
        <row r="475">
          <cell r="A475" t="str">
            <v>COORD.DOCENTE N.G.</v>
          </cell>
          <cell r="B475" t="str">
            <v>02018</v>
          </cell>
          <cell r="C475" t="str">
            <v>E</v>
          </cell>
          <cell r="D475" t="str">
            <v>DO</v>
          </cell>
          <cell r="E475" t="str">
            <v/>
          </cell>
        </row>
        <row r="476">
          <cell r="A476" t="str">
            <v>COORD.EDUC.RURAL</v>
          </cell>
          <cell r="B476" t="str">
            <v>01317</v>
          </cell>
          <cell r="C476" t="str">
            <v>E</v>
          </cell>
          <cell r="D476" t="str">
            <v>DO</v>
          </cell>
          <cell r="E476" t="str">
            <v/>
          </cell>
        </row>
        <row r="477">
          <cell r="A477" t="str">
            <v>COORD.MANT. Y CONSERV.</v>
          </cell>
          <cell r="B477" t="str">
            <v>02077</v>
          </cell>
          <cell r="C477" t="str">
            <v>E</v>
          </cell>
          <cell r="D477" t="str">
            <v>DO</v>
          </cell>
          <cell r="E477" t="str">
            <v/>
          </cell>
        </row>
        <row r="478">
          <cell r="A478" t="str">
            <v>COORDINADOR</v>
          </cell>
          <cell r="B478" t="str">
            <v>00904</v>
          </cell>
          <cell r="C478" t="str">
            <v>E</v>
          </cell>
          <cell r="D478" t="str">
            <v>DI</v>
          </cell>
          <cell r="E478" t="str">
            <v>99</v>
          </cell>
        </row>
        <row r="479">
          <cell r="A479" t="str">
            <v>COORDINADOR</v>
          </cell>
          <cell r="B479" t="str">
            <v>40225</v>
          </cell>
          <cell r="C479" t="str">
            <v>E</v>
          </cell>
          <cell r="D479" t="str">
            <v>DO</v>
          </cell>
          <cell r="E479" t="str">
            <v/>
          </cell>
        </row>
        <row r="480">
          <cell r="A480" t="str">
            <v>COORDINADOR ADMINISTRATIVO</v>
          </cell>
          <cell r="B480" t="str">
            <v>00915</v>
          </cell>
          <cell r="C480" t="str">
            <v>E</v>
          </cell>
          <cell r="D480" t="str">
            <v>DI</v>
          </cell>
          <cell r="E480" t="str">
            <v>99</v>
          </cell>
        </row>
        <row r="481">
          <cell r="A481" t="str">
            <v>COORDINADOR DE  ASISTENCIA TECNICA</v>
          </cell>
          <cell r="B481" t="str">
            <v>00913</v>
          </cell>
          <cell r="C481" t="str">
            <v>E</v>
          </cell>
          <cell r="D481" t="str">
            <v>DI</v>
          </cell>
          <cell r="E481" t="str">
            <v>99</v>
          </cell>
        </row>
        <row r="482">
          <cell r="A482" t="str">
            <v>COORDINADOR DE  FORMACION CULTURAL</v>
          </cell>
          <cell r="B482" t="str">
            <v>37940</v>
          </cell>
          <cell r="C482" t="str">
            <v>E</v>
          </cell>
          <cell r="D482" t="str">
            <v>AD</v>
          </cell>
          <cell r="E482" t="str">
            <v>02</v>
          </cell>
        </row>
        <row r="483">
          <cell r="A483" t="str">
            <v>COORDINADOR DE ASUNTOS CINEMATOGRAFICOS I</v>
          </cell>
          <cell r="B483" t="str">
            <v>32421</v>
          </cell>
          <cell r="C483" t="str">
            <v>E</v>
          </cell>
          <cell r="D483" t="str">
            <v>UT</v>
          </cell>
          <cell r="E483" t="str">
            <v>15</v>
          </cell>
        </row>
        <row r="484">
          <cell r="A484" t="str">
            <v>COORDINADOR DE ASUNTOS CINEMATOGRAFICOS II</v>
          </cell>
          <cell r="B484" t="str">
            <v>35422</v>
          </cell>
          <cell r="C484" t="str">
            <v>E</v>
          </cell>
          <cell r="D484" t="str">
            <v>UT</v>
          </cell>
          <cell r="E484" t="str">
            <v>17</v>
          </cell>
        </row>
        <row r="485">
          <cell r="A485" t="str">
            <v>COORDINADOR DE ASUNTOS CINEMATOGRAFICOS III</v>
          </cell>
          <cell r="B485" t="str">
            <v>35423</v>
          </cell>
          <cell r="C485" t="str">
            <v>E</v>
          </cell>
          <cell r="D485" t="str">
            <v>UT</v>
          </cell>
          <cell r="E485" t="str">
            <v>19</v>
          </cell>
        </row>
        <row r="486">
          <cell r="A486" t="str">
            <v>COORDINADOR DE ASUNTOS INTERNACIONALES I</v>
          </cell>
          <cell r="B486" t="str">
            <v>33411</v>
          </cell>
          <cell r="C486" t="str">
            <v>E</v>
          </cell>
          <cell r="D486" t="str">
            <v>UT</v>
          </cell>
          <cell r="E486" t="str">
            <v>17</v>
          </cell>
        </row>
        <row r="487">
          <cell r="A487" t="str">
            <v>COORDINADOR DE ASUNTOS INTERNACIONALES II</v>
          </cell>
          <cell r="B487" t="str">
            <v>33412</v>
          </cell>
          <cell r="C487" t="str">
            <v>E</v>
          </cell>
          <cell r="D487" t="str">
            <v>UT</v>
          </cell>
          <cell r="E487" t="str">
            <v>19</v>
          </cell>
        </row>
        <row r="488">
          <cell r="A488" t="str">
            <v>COORDINADOR DE ASUNTOS INTERNACIONALES III</v>
          </cell>
          <cell r="B488" t="str">
            <v>33413</v>
          </cell>
          <cell r="C488" t="str">
            <v>E</v>
          </cell>
          <cell r="D488" t="str">
            <v>UT</v>
          </cell>
          <cell r="E488" t="str">
            <v>21</v>
          </cell>
        </row>
        <row r="489">
          <cell r="A489" t="str">
            <v>COORDINADOR DE ASUNTOS LABORALES I</v>
          </cell>
          <cell r="B489" t="str">
            <v>84331</v>
          </cell>
          <cell r="C489" t="str">
            <v>E</v>
          </cell>
          <cell r="D489" t="str">
            <v>UT</v>
          </cell>
          <cell r="E489" t="str">
            <v>19</v>
          </cell>
        </row>
        <row r="490">
          <cell r="A490" t="str">
            <v>COORDINADOR DE ASUNTOS LABORALES II</v>
          </cell>
          <cell r="B490" t="str">
            <v>84332</v>
          </cell>
          <cell r="C490" t="str">
            <v>E</v>
          </cell>
          <cell r="D490" t="str">
            <v>UT</v>
          </cell>
          <cell r="E490" t="str">
            <v>21</v>
          </cell>
        </row>
        <row r="491">
          <cell r="A491" t="str">
            <v>COORDINADOR DE ASUNTOS LITERARIOS</v>
          </cell>
          <cell r="B491" t="str">
            <v>31430</v>
          </cell>
          <cell r="C491" t="str">
            <v>E</v>
          </cell>
          <cell r="D491" t="str">
            <v>UT</v>
          </cell>
          <cell r="E491" t="str">
            <v>19</v>
          </cell>
        </row>
        <row r="492">
          <cell r="A492" t="str">
            <v>COORDINADOR DE AYUDA JUVENIL</v>
          </cell>
          <cell r="B492" t="str">
            <v>79560</v>
          </cell>
          <cell r="C492" t="str">
            <v>E</v>
          </cell>
          <cell r="D492" t="str">
            <v>AD</v>
          </cell>
          <cell r="E492" t="str">
            <v>05</v>
          </cell>
        </row>
        <row r="493">
          <cell r="A493" t="str">
            <v>COORDINADOR DE CENTRO I</v>
          </cell>
          <cell r="B493" t="str">
            <v>17361</v>
          </cell>
          <cell r="C493" t="str">
            <v>E</v>
          </cell>
          <cell r="D493" t="str">
            <v>UT</v>
          </cell>
          <cell r="E493" t="str">
            <v>22</v>
          </cell>
        </row>
        <row r="494">
          <cell r="A494" t="str">
            <v>COORDINADOR DE CENTRO II</v>
          </cell>
          <cell r="B494" t="str">
            <v>17362</v>
          </cell>
          <cell r="C494" t="str">
            <v>E</v>
          </cell>
          <cell r="D494" t="str">
            <v>UT</v>
          </cell>
          <cell r="E494" t="str">
            <v>24</v>
          </cell>
        </row>
        <row r="495">
          <cell r="A495" t="str">
            <v>COORDINADOR DE CIENCIAS POLITICAS</v>
          </cell>
          <cell r="B495" t="str">
            <v>00925</v>
          </cell>
          <cell r="C495" t="str">
            <v>E</v>
          </cell>
          <cell r="D495" t="str">
            <v>DI</v>
          </cell>
          <cell r="E495" t="str">
            <v>99</v>
          </cell>
        </row>
        <row r="496">
          <cell r="A496" t="str">
            <v>COORDINADOR DE DESARROLLO DE RECURSOS HUMANOS I</v>
          </cell>
          <cell r="B496" t="str">
            <v>16111</v>
          </cell>
          <cell r="C496" t="str">
            <v>E</v>
          </cell>
          <cell r="D496" t="str">
            <v>UT</v>
          </cell>
          <cell r="E496" t="str">
            <v>18</v>
          </cell>
        </row>
        <row r="497">
          <cell r="A497" t="str">
            <v>COORDINADOR DE ESCUELAS DE ENFERMERIA</v>
          </cell>
          <cell r="B497" t="str">
            <v>71380</v>
          </cell>
          <cell r="C497" t="str">
            <v>E</v>
          </cell>
          <cell r="D497" t="str">
            <v>UT</v>
          </cell>
          <cell r="E497" t="str">
            <v>19</v>
          </cell>
        </row>
        <row r="498">
          <cell r="A498" t="str">
            <v>COORDINADOR DE EVENTOS Y PROTOCOLO</v>
          </cell>
          <cell r="B498" t="str">
            <v>00920</v>
          </cell>
          <cell r="C498" t="str">
            <v>E</v>
          </cell>
          <cell r="D498" t="str">
            <v>DI</v>
          </cell>
          <cell r="E498" t="str">
            <v>99</v>
          </cell>
        </row>
        <row r="499">
          <cell r="A499" t="str">
            <v>COORDINADOR DE FORMACION EMPRESARIA I</v>
          </cell>
          <cell r="B499" t="str">
            <v>17231</v>
          </cell>
          <cell r="C499" t="str">
            <v>E</v>
          </cell>
          <cell r="D499" t="str">
            <v>AD</v>
          </cell>
          <cell r="E499" t="str">
            <v>10</v>
          </cell>
        </row>
        <row r="500">
          <cell r="A500" t="str">
            <v>COORDINADOR DE FORMACION EMPRESARIAL II</v>
          </cell>
          <cell r="B500" t="str">
            <v>17232</v>
          </cell>
          <cell r="C500" t="str">
            <v>E</v>
          </cell>
          <cell r="D500" t="str">
            <v>AD</v>
          </cell>
          <cell r="E500" t="str">
            <v>11</v>
          </cell>
        </row>
        <row r="501">
          <cell r="A501" t="str">
            <v>COORDINADOR DE FORMACION PROFESIONAL</v>
          </cell>
          <cell r="B501" t="str">
            <v>17350</v>
          </cell>
          <cell r="C501" t="str">
            <v>E</v>
          </cell>
          <cell r="D501" t="str">
            <v>UT</v>
          </cell>
          <cell r="E501" t="str">
            <v>20</v>
          </cell>
        </row>
        <row r="502">
          <cell r="A502" t="str">
            <v>COORDINADOR DE FRONTERAS</v>
          </cell>
          <cell r="B502" t="str">
            <v>85410</v>
          </cell>
          <cell r="C502" t="str">
            <v>E</v>
          </cell>
          <cell r="D502" t="str">
            <v>AD</v>
          </cell>
          <cell r="E502" t="str">
            <v>04</v>
          </cell>
        </row>
        <row r="503">
          <cell r="A503" t="str">
            <v>COORDINADOR DE PREFECTURAS</v>
          </cell>
          <cell r="B503" t="str">
            <v>00931</v>
          </cell>
          <cell r="C503" t="str">
            <v>E</v>
          </cell>
          <cell r="D503" t="str">
            <v>DI</v>
          </cell>
          <cell r="E503" t="str">
            <v>99</v>
          </cell>
        </row>
        <row r="504">
          <cell r="A504" t="str">
            <v>COORDINADOR DE PROGRAMA (SAPNNAET)</v>
          </cell>
          <cell r="B504" t="str">
            <v>65001</v>
          </cell>
          <cell r="C504" t="str">
            <v>E</v>
          </cell>
          <cell r="D504" t="str">
            <v>UT</v>
          </cell>
          <cell r="E504" t="str">
            <v>22</v>
          </cell>
        </row>
        <row r="505">
          <cell r="A505" t="str">
            <v>COORDINADOR DE PROGRAMAS DE FORMACION I</v>
          </cell>
          <cell r="B505" t="str">
            <v>16611</v>
          </cell>
          <cell r="C505" t="str">
            <v>E</v>
          </cell>
          <cell r="D505" t="str">
            <v>UT</v>
          </cell>
          <cell r="E505" t="str">
            <v>22</v>
          </cell>
        </row>
        <row r="506">
          <cell r="A506" t="str">
            <v>COORDINADOR DE PROGRAMAS DE FORMACION II</v>
          </cell>
          <cell r="B506" t="str">
            <v>16612</v>
          </cell>
          <cell r="C506" t="str">
            <v>E</v>
          </cell>
          <cell r="D506" t="str">
            <v>UT</v>
          </cell>
          <cell r="E506" t="str">
            <v>24</v>
          </cell>
        </row>
        <row r="507">
          <cell r="A507" t="str">
            <v>COORDINADOR DE PROGRAMAS TV</v>
          </cell>
          <cell r="B507" t="str">
            <v>32130</v>
          </cell>
          <cell r="C507" t="str">
            <v>E</v>
          </cell>
          <cell r="D507" t="str">
            <v>AD</v>
          </cell>
          <cell r="E507" t="str">
            <v>04</v>
          </cell>
        </row>
        <row r="508">
          <cell r="A508" t="str">
            <v>COORDINADOR DE PROTOCOLO</v>
          </cell>
          <cell r="B508" t="str">
            <v>33120</v>
          </cell>
          <cell r="C508" t="str">
            <v>E</v>
          </cell>
          <cell r="D508" t="str">
            <v>UT</v>
          </cell>
          <cell r="E508" t="str">
            <v>19</v>
          </cell>
        </row>
        <row r="509">
          <cell r="A509" t="str">
            <v>COORDINADOR DE RENDICION DE CUENTA</v>
          </cell>
          <cell r="B509" t="str">
            <v>00927</v>
          </cell>
          <cell r="C509" t="str">
            <v>E</v>
          </cell>
          <cell r="D509" t="str">
            <v>DI</v>
          </cell>
          <cell r="E509" t="str">
            <v>99</v>
          </cell>
        </row>
        <row r="510">
          <cell r="A510" t="str">
            <v>COORDINADOR DE SERVICIOS TURISTICOS I</v>
          </cell>
          <cell r="B510" t="str">
            <v>31581</v>
          </cell>
          <cell r="C510" t="str">
            <v>E</v>
          </cell>
          <cell r="D510" t="str">
            <v>UT</v>
          </cell>
          <cell r="E510" t="str">
            <v>20</v>
          </cell>
        </row>
        <row r="511">
          <cell r="A511" t="str">
            <v>COORDINADOR DE SERVICIOS TURISTICOS II</v>
          </cell>
          <cell r="B511" t="str">
            <v>31582</v>
          </cell>
          <cell r="C511" t="str">
            <v>E</v>
          </cell>
          <cell r="D511" t="str">
            <v>UT</v>
          </cell>
          <cell r="E511" t="str">
            <v>22</v>
          </cell>
        </row>
        <row r="512">
          <cell r="A512" t="str">
            <v>COORDINADOR DEASUNTOS INTERNACIONALES JEFE</v>
          </cell>
          <cell r="B512" t="str">
            <v>33420</v>
          </cell>
          <cell r="C512" t="str">
            <v>E</v>
          </cell>
          <cell r="D512" t="str">
            <v>UT</v>
          </cell>
          <cell r="E512" t="str">
            <v>23</v>
          </cell>
        </row>
        <row r="513">
          <cell r="A513" t="str">
            <v>COORDINADOR DEFENSA CIVIL</v>
          </cell>
          <cell r="B513" t="str">
            <v>00912</v>
          </cell>
          <cell r="C513" t="str">
            <v>E</v>
          </cell>
          <cell r="D513" t="str">
            <v>DI</v>
          </cell>
          <cell r="E513" t="str">
            <v>99</v>
          </cell>
        </row>
        <row r="514">
          <cell r="A514" t="str">
            <v>COORDINADOR DOCENTE BASICO VI 77 TID (36 HORAS) Y TCVD (7HORAS)</v>
          </cell>
          <cell r="B514" t="str">
            <v>40015</v>
          </cell>
          <cell r="C514" t="str">
            <v>E</v>
          </cell>
          <cell r="D514" t="str">
            <v>DO</v>
          </cell>
          <cell r="E514" t="str">
            <v/>
          </cell>
        </row>
        <row r="515">
          <cell r="A515" t="str">
            <v>COORDINADOR DOCENTE BASICO VI TC (36 HORAS) Y DOC. BAS. VI TC (11 HORAS)</v>
          </cell>
          <cell r="B515" t="str">
            <v>40016</v>
          </cell>
          <cell r="C515" t="str">
            <v>E</v>
          </cell>
          <cell r="D515" t="str">
            <v>DO</v>
          </cell>
          <cell r="E515" t="str">
            <v/>
          </cell>
        </row>
        <row r="516">
          <cell r="A516" t="str">
            <v>COORDINADOR DOCENTE BASICO VI TCVD</v>
          </cell>
          <cell r="B516" t="str">
            <v>40303</v>
          </cell>
          <cell r="C516" t="str">
            <v>E</v>
          </cell>
          <cell r="D516" t="str">
            <v>DO</v>
          </cell>
          <cell r="E516" t="str">
            <v/>
          </cell>
        </row>
        <row r="517">
          <cell r="A517" t="str">
            <v>COORDINADOR GENERAL DE PERSONAL</v>
          </cell>
          <cell r="B517" t="str">
            <v>10003</v>
          </cell>
          <cell r="C517" t="str">
            <v>E</v>
          </cell>
          <cell r="D517" t="str">
            <v>UT</v>
          </cell>
          <cell r="E517" t="str">
            <v>17</v>
          </cell>
        </row>
        <row r="518">
          <cell r="A518" t="str">
            <v>COORDINADOR PUBLICITARIO</v>
          </cell>
          <cell r="B518" t="str">
            <v>31350</v>
          </cell>
          <cell r="C518" t="str">
            <v>E</v>
          </cell>
          <cell r="D518" t="str">
            <v>UT</v>
          </cell>
          <cell r="E518" t="str">
            <v>19</v>
          </cell>
        </row>
        <row r="519">
          <cell r="A519" t="str">
            <v>COORDINADOR RECREACION</v>
          </cell>
          <cell r="B519" t="str">
            <v>79540</v>
          </cell>
          <cell r="C519" t="str">
            <v>E</v>
          </cell>
          <cell r="D519" t="str">
            <v>UT</v>
          </cell>
          <cell r="E519" t="str">
            <v>15</v>
          </cell>
        </row>
        <row r="520">
          <cell r="A520" t="str">
            <v>COORDINADOR ZONAL</v>
          </cell>
          <cell r="B520" t="str">
            <v>00914</v>
          </cell>
          <cell r="C520" t="str">
            <v>E</v>
          </cell>
          <cell r="D520" t="str">
            <v>DI</v>
          </cell>
          <cell r="E520" t="str">
            <v>99</v>
          </cell>
        </row>
        <row r="521">
          <cell r="A521" t="str">
            <v>COORDINADORA DOCENTE V 77 Y DOCENTE BASICA V 77 TCVN Y DOCENTE AULA V (ZONA EDUCATIVA)</v>
          </cell>
          <cell r="B521" t="str">
            <v>40017</v>
          </cell>
          <cell r="C521" t="str">
            <v>E</v>
          </cell>
          <cell r="D521" t="str">
            <v>DO</v>
          </cell>
          <cell r="E521" t="str">
            <v/>
          </cell>
        </row>
        <row r="522">
          <cell r="A522" t="str">
            <v>COPILOTO DE HELICOPTERO I</v>
          </cell>
          <cell r="B522" t="str">
            <v>52471</v>
          </cell>
          <cell r="C522" t="str">
            <v>E</v>
          </cell>
          <cell r="D522" t="str">
            <v>AD</v>
          </cell>
          <cell r="E522" t="str">
            <v>06</v>
          </cell>
        </row>
        <row r="523">
          <cell r="A523" t="str">
            <v>COPILOTO DE HELICOTERO II</v>
          </cell>
          <cell r="B523" t="str">
            <v>52472</v>
          </cell>
          <cell r="C523" t="str">
            <v>E</v>
          </cell>
          <cell r="D523" t="str">
            <v>AD</v>
          </cell>
          <cell r="E523" t="str">
            <v>08</v>
          </cell>
        </row>
        <row r="524">
          <cell r="A524" t="str">
            <v>COPILOTO DE PISTON I</v>
          </cell>
          <cell r="B524" t="str">
            <v>52411</v>
          </cell>
          <cell r="C524" t="str">
            <v>E</v>
          </cell>
          <cell r="D524" t="str">
            <v>AD</v>
          </cell>
          <cell r="E524" t="str">
            <v>06</v>
          </cell>
        </row>
        <row r="525">
          <cell r="A525" t="str">
            <v>COPILOTO DE PISTON II</v>
          </cell>
          <cell r="B525" t="str">
            <v>52412</v>
          </cell>
          <cell r="C525" t="str">
            <v>E</v>
          </cell>
          <cell r="D525" t="str">
            <v>AD</v>
          </cell>
          <cell r="E525" t="str">
            <v>08</v>
          </cell>
        </row>
        <row r="526">
          <cell r="A526" t="str">
            <v>COPILOTO DE TURBO</v>
          </cell>
          <cell r="B526" t="str">
            <v>52430</v>
          </cell>
          <cell r="C526" t="str">
            <v>E</v>
          </cell>
          <cell r="D526" t="str">
            <v>AD</v>
          </cell>
          <cell r="E526" t="str">
            <v>08</v>
          </cell>
        </row>
        <row r="527">
          <cell r="A527" t="str">
            <v>COPISTA ARCHIVERO</v>
          </cell>
          <cell r="B527" t="str">
            <v>03562</v>
          </cell>
          <cell r="C527" t="str">
            <v>E</v>
          </cell>
          <cell r="D527" t="str">
            <v>AD</v>
          </cell>
          <cell r="E527" t="str">
            <v>01</v>
          </cell>
        </row>
        <row r="528">
          <cell r="A528" t="str">
            <v>CORDINADOR DE ORGANISMOS CULTURALES</v>
          </cell>
          <cell r="B528" t="str">
            <v>00916</v>
          </cell>
          <cell r="C528" t="str">
            <v>E</v>
          </cell>
          <cell r="D528" t="str">
            <v>DI</v>
          </cell>
          <cell r="E528" t="str">
            <v>99</v>
          </cell>
        </row>
        <row r="529">
          <cell r="A529" t="str">
            <v>CORNO 2</v>
          </cell>
          <cell r="B529" t="str">
            <v>03582</v>
          </cell>
          <cell r="C529" t="str">
            <v>E</v>
          </cell>
          <cell r="D529" t="str">
            <v>AD</v>
          </cell>
          <cell r="E529" t="str">
            <v>01</v>
          </cell>
        </row>
        <row r="530">
          <cell r="A530" t="str">
            <v>CORNO 3</v>
          </cell>
          <cell r="B530" t="str">
            <v>03610</v>
          </cell>
          <cell r="C530" t="str">
            <v>E</v>
          </cell>
          <cell r="D530" t="str">
            <v>AD</v>
          </cell>
          <cell r="E530" t="str">
            <v>01</v>
          </cell>
        </row>
        <row r="531">
          <cell r="A531" t="str">
            <v>CORNO I</v>
          </cell>
          <cell r="B531" t="str">
            <v>03550</v>
          </cell>
          <cell r="C531" t="str">
            <v>E</v>
          </cell>
          <cell r="D531" t="str">
            <v>AD</v>
          </cell>
          <cell r="E531" t="str">
            <v>01</v>
          </cell>
        </row>
        <row r="532">
          <cell r="A532" t="str">
            <v>CORONEL (BOMBERO)</v>
          </cell>
          <cell r="B532" t="str">
            <v>62100</v>
          </cell>
          <cell r="C532" t="str">
            <v>E</v>
          </cell>
          <cell r="D532" t="str">
            <v>BO</v>
          </cell>
          <cell r="E532" t="str">
            <v/>
          </cell>
        </row>
        <row r="533">
          <cell r="A533" t="str">
            <v>CORRECTOR DE ESTILO</v>
          </cell>
          <cell r="B533" t="str">
            <v>31410</v>
          </cell>
          <cell r="C533" t="str">
            <v>E</v>
          </cell>
          <cell r="D533" t="str">
            <v>AD</v>
          </cell>
          <cell r="E533" t="str">
            <v>04</v>
          </cell>
        </row>
        <row r="534">
          <cell r="A534" t="str">
            <v>CRIMINOLOGO</v>
          </cell>
          <cell r="B534" t="str">
            <v>85321</v>
          </cell>
          <cell r="C534" t="str">
            <v>E</v>
          </cell>
          <cell r="D534" t="str">
            <v>UT</v>
          </cell>
          <cell r="E534" t="str">
            <v>18</v>
          </cell>
        </row>
        <row r="535">
          <cell r="A535" t="str">
            <v>CUATRO</v>
          </cell>
          <cell r="B535" t="str">
            <v>03617</v>
          </cell>
          <cell r="C535" t="str">
            <v>E</v>
          </cell>
          <cell r="D535" t="str">
            <v>AD</v>
          </cell>
          <cell r="E535" t="str">
            <v>01</v>
          </cell>
        </row>
        <row r="536">
          <cell r="A536" t="str">
            <v>DELEGADO PRUEBA I</v>
          </cell>
          <cell r="B536" t="str">
            <v>82111</v>
          </cell>
          <cell r="C536" t="str">
            <v>E</v>
          </cell>
          <cell r="D536" t="str">
            <v>UT</v>
          </cell>
          <cell r="E536" t="str">
            <v>17</v>
          </cell>
        </row>
        <row r="537">
          <cell r="A537" t="str">
            <v>DELEGADO PRUEBA II</v>
          </cell>
          <cell r="B537" t="str">
            <v>82112</v>
          </cell>
          <cell r="C537" t="str">
            <v>E</v>
          </cell>
          <cell r="D537" t="str">
            <v>UT</v>
          </cell>
          <cell r="E537" t="str">
            <v>19</v>
          </cell>
        </row>
        <row r="538">
          <cell r="A538" t="str">
            <v>DELEGADO PRUEBA III</v>
          </cell>
          <cell r="B538" t="str">
            <v>82113</v>
          </cell>
          <cell r="C538" t="str">
            <v>E</v>
          </cell>
          <cell r="D538" t="str">
            <v>UT</v>
          </cell>
          <cell r="E538" t="str">
            <v>21</v>
          </cell>
        </row>
        <row r="539">
          <cell r="A539" t="str">
            <v>DELEGADO PRUEBA IV</v>
          </cell>
          <cell r="B539" t="str">
            <v>82114</v>
          </cell>
          <cell r="C539" t="str">
            <v>E</v>
          </cell>
          <cell r="D539" t="str">
            <v>UT</v>
          </cell>
          <cell r="E539" t="str">
            <v>23</v>
          </cell>
        </row>
        <row r="540">
          <cell r="A540" t="str">
            <v>DELEGADO PRUEBA V</v>
          </cell>
          <cell r="B540" t="str">
            <v>82115</v>
          </cell>
          <cell r="C540" t="str">
            <v>E</v>
          </cell>
          <cell r="D540" t="str">
            <v>UT</v>
          </cell>
          <cell r="E540" t="str">
            <v>25</v>
          </cell>
        </row>
        <row r="541">
          <cell r="A541" t="str">
            <v>DEMOSTRADORA DEL HOGAR I</v>
          </cell>
          <cell r="B541" t="str">
            <v>79211</v>
          </cell>
          <cell r="C541" t="str">
            <v>E</v>
          </cell>
          <cell r="D541" t="str">
            <v>AD</v>
          </cell>
          <cell r="E541" t="str">
            <v>02</v>
          </cell>
        </row>
        <row r="542">
          <cell r="A542" t="str">
            <v>DEMOSTRADORA DEL HOGAR II</v>
          </cell>
          <cell r="B542" t="str">
            <v>79212</v>
          </cell>
          <cell r="C542" t="str">
            <v>E</v>
          </cell>
          <cell r="D542" t="str">
            <v>AD</v>
          </cell>
          <cell r="E542" t="str">
            <v>03</v>
          </cell>
        </row>
        <row r="543">
          <cell r="A543" t="str">
            <v>DEMOSTRADORA DEL HOGAR III</v>
          </cell>
          <cell r="B543" t="str">
            <v>79213</v>
          </cell>
          <cell r="C543" t="str">
            <v>E</v>
          </cell>
          <cell r="D543" t="str">
            <v>AD</v>
          </cell>
          <cell r="E543" t="str">
            <v>05</v>
          </cell>
        </row>
        <row r="544">
          <cell r="A544" t="str">
            <v>DEMOSTRADORA DEL HOGAR JEFE</v>
          </cell>
          <cell r="B544" t="str">
            <v>79220</v>
          </cell>
          <cell r="C544" t="str">
            <v>E</v>
          </cell>
          <cell r="D544" t="str">
            <v>AD</v>
          </cell>
          <cell r="E544" t="str">
            <v>06</v>
          </cell>
        </row>
        <row r="545">
          <cell r="A545" t="str">
            <v>DEPOSITARIO DE ESPECIES FISCALES</v>
          </cell>
          <cell r="B545" t="str">
            <v>21350</v>
          </cell>
          <cell r="C545" t="str">
            <v>E</v>
          </cell>
          <cell r="D545" t="str">
            <v>UT</v>
          </cell>
          <cell r="E545" t="str">
            <v>15</v>
          </cell>
        </row>
        <row r="546">
          <cell r="A546" t="str">
            <v>DEPOSITARIO DE ESPECIES FISCALES JEFE</v>
          </cell>
          <cell r="B546" t="str">
            <v>21355</v>
          </cell>
          <cell r="C546" t="str">
            <v>E</v>
          </cell>
          <cell r="D546" t="str">
            <v>UT</v>
          </cell>
          <cell r="E546" t="str">
            <v>17</v>
          </cell>
        </row>
        <row r="547">
          <cell r="A547" t="str">
            <v>DIAGRAMADOR</v>
          </cell>
          <cell r="B547" t="str">
            <v>43770</v>
          </cell>
          <cell r="C547" t="str">
            <v>E</v>
          </cell>
          <cell r="D547" t="str">
            <v>AD</v>
          </cell>
          <cell r="E547" t="str">
            <v>02</v>
          </cell>
        </row>
        <row r="548">
          <cell r="A548" t="str">
            <v>DIBUJANTE CARTOGRAFICIO I</v>
          </cell>
          <cell r="B548" t="str">
            <v>43741</v>
          </cell>
          <cell r="C548" t="str">
            <v>E</v>
          </cell>
          <cell r="D548" t="str">
            <v>AD</v>
          </cell>
          <cell r="E548" t="str">
            <v>02</v>
          </cell>
        </row>
        <row r="549">
          <cell r="A549" t="str">
            <v>DIBUJANTE CARTOGRAFICO II</v>
          </cell>
          <cell r="B549" t="str">
            <v>43742</v>
          </cell>
          <cell r="C549" t="str">
            <v>E</v>
          </cell>
          <cell r="D549" t="str">
            <v>AD</v>
          </cell>
          <cell r="E549" t="str">
            <v>04</v>
          </cell>
        </row>
        <row r="550">
          <cell r="A550" t="str">
            <v>DIBUJANTE CARTOGRAFICO III</v>
          </cell>
          <cell r="B550" t="str">
            <v>43743</v>
          </cell>
          <cell r="C550" t="str">
            <v>E</v>
          </cell>
          <cell r="D550" t="str">
            <v>AD</v>
          </cell>
          <cell r="E550" t="str">
            <v>06</v>
          </cell>
        </row>
        <row r="551">
          <cell r="A551" t="str">
            <v>DIBUJANTE CARTOGRAFICO IV</v>
          </cell>
          <cell r="B551" t="str">
            <v>43744</v>
          </cell>
          <cell r="C551" t="str">
            <v>E</v>
          </cell>
          <cell r="D551" t="str">
            <v>AD</v>
          </cell>
          <cell r="E551" t="str">
            <v>08</v>
          </cell>
        </row>
        <row r="552">
          <cell r="A552" t="str">
            <v>DIBUJANTE CARTOGRAFICO JEFE</v>
          </cell>
          <cell r="B552" t="str">
            <v>43750</v>
          </cell>
          <cell r="C552" t="str">
            <v>E</v>
          </cell>
          <cell r="D552" t="str">
            <v>AD</v>
          </cell>
          <cell r="E552" t="str">
            <v>10</v>
          </cell>
        </row>
        <row r="553">
          <cell r="A553" t="str">
            <v>DIBUJANTE I</v>
          </cell>
          <cell r="B553" t="str">
            <v>43721</v>
          </cell>
          <cell r="C553" t="str">
            <v>E</v>
          </cell>
          <cell r="D553" t="str">
            <v>AD</v>
          </cell>
          <cell r="E553" t="str">
            <v>01</v>
          </cell>
        </row>
        <row r="554">
          <cell r="A554" t="str">
            <v>DIBUJANTE II</v>
          </cell>
          <cell r="B554" t="str">
            <v>43722</v>
          </cell>
          <cell r="C554" t="str">
            <v>E</v>
          </cell>
          <cell r="D554" t="str">
            <v>AD</v>
          </cell>
          <cell r="E554" t="str">
            <v>03</v>
          </cell>
        </row>
        <row r="555">
          <cell r="A555" t="str">
            <v>DIBUJANTE III</v>
          </cell>
          <cell r="B555" t="str">
            <v>43723</v>
          </cell>
          <cell r="C555" t="str">
            <v>E</v>
          </cell>
          <cell r="D555" t="str">
            <v>AD</v>
          </cell>
          <cell r="E555" t="str">
            <v>05</v>
          </cell>
        </row>
        <row r="556">
          <cell r="A556" t="str">
            <v>DIBUJANTE ILUSTRADOR I</v>
          </cell>
          <cell r="B556" t="str">
            <v>43781</v>
          </cell>
          <cell r="C556" t="str">
            <v>E</v>
          </cell>
          <cell r="D556" t="str">
            <v>AD</v>
          </cell>
          <cell r="E556" t="str">
            <v>04</v>
          </cell>
        </row>
        <row r="557">
          <cell r="A557" t="str">
            <v>DIBUJANTE ILUSTRADOR II</v>
          </cell>
          <cell r="B557" t="str">
            <v>43782</v>
          </cell>
          <cell r="C557" t="str">
            <v>E</v>
          </cell>
          <cell r="D557" t="str">
            <v>AD</v>
          </cell>
          <cell r="E557" t="str">
            <v>06</v>
          </cell>
        </row>
        <row r="558">
          <cell r="A558" t="str">
            <v>DIBUJANTE ILUSTRADOR JEFE</v>
          </cell>
          <cell r="B558" t="str">
            <v>43790</v>
          </cell>
          <cell r="C558" t="str">
            <v>E</v>
          </cell>
          <cell r="D558" t="str">
            <v>AD</v>
          </cell>
          <cell r="E558" t="str">
            <v>10</v>
          </cell>
        </row>
        <row r="559">
          <cell r="A559" t="str">
            <v>DIBUJANTE JEFE</v>
          </cell>
          <cell r="B559" t="str">
            <v>43730</v>
          </cell>
          <cell r="C559" t="str">
            <v>E</v>
          </cell>
          <cell r="D559" t="str">
            <v>AD</v>
          </cell>
          <cell r="E559" t="str">
            <v>06</v>
          </cell>
        </row>
        <row r="560">
          <cell r="A560" t="str">
            <v>DIETISTA I</v>
          </cell>
          <cell r="B560" t="str">
            <v>77121</v>
          </cell>
          <cell r="C560" t="str">
            <v>E</v>
          </cell>
          <cell r="D560" t="str">
            <v>UT</v>
          </cell>
          <cell r="E560" t="str">
            <v>17</v>
          </cell>
        </row>
        <row r="561">
          <cell r="A561" t="str">
            <v>DIETISTA II</v>
          </cell>
          <cell r="B561" t="str">
            <v>77122</v>
          </cell>
          <cell r="C561" t="str">
            <v>E</v>
          </cell>
          <cell r="D561" t="str">
            <v>UT</v>
          </cell>
          <cell r="E561" t="str">
            <v>19</v>
          </cell>
        </row>
        <row r="562">
          <cell r="A562" t="str">
            <v>DIETISTA III</v>
          </cell>
          <cell r="B562" t="str">
            <v>77123</v>
          </cell>
          <cell r="C562" t="str">
            <v>E</v>
          </cell>
          <cell r="D562" t="str">
            <v>UT</v>
          </cell>
          <cell r="E562" t="str">
            <v>21</v>
          </cell>
        </row>
        <row r="563">
          <cell r="A563" t="str">
            <v>DIETISTA IV</v>
          </cell>
          <cell r="B563" t="str">
            <v>77124</v>
          </cell>
          <cell r="C563" t="str">
            <v>E</v>
          </cell>
          <cell r="D563" t="str">
            <v>UT</v>
          </cell>
          <cell r="E563" t="str">
            <v>23</v>
          </cell>
        </row>
        <row r="564">
          <cell r="A564" t="str">
            <v>DIETISTA JEFE</v>
          </cell>
          <cell r="B564" t="str">
            <v>77130</v>
          </cell>
          <cell r="C564" t="str">
            <v>E</v>
          </cell>
          <cell r="D564" t="str">
            <v>UT</v>
          </cell>
          <cell r="E564" t="str">
            <v>24</v>
          </cell>
        </row>
        <row r="565">
          <cell r="A565" t="str">
            <v>DIRECTOR</v>
          </cell>
          <cell r="B565" t="str">
            <v>00903</v>
          </cell>
          <cell r="C565" t="str">
            <v>E</v>
          </cell>
          <cell r="D565" t="str">
            <v>DI</v>
          </cell>
          <cell r="E565" t="str">
            <v>99</v>
          </cell>
        </row>
        <row r="566">
          <cell r="A566" t="str">
            <v>DIRECTOR</v>
          </cell>
          <cell r="B566" t="str">
            <v>40018</v>
          </cell>
          <cell r="C566" t="str">
            <v>E</v>
          </cell>
          <cell r="D566" t="str">
            <v>DO</v>
          </cell>
          <cell r="E566" t="str">
            <v/>
          </cell>
        </row>
        <row r="567">
          <cell r="A567" t="str">
            <v>DIRECTOR BASICO VI TID (36 HORAS) Y DOCENTE BASICO VI 77 TCVD (18 HORAS)</v>
          </cell>
          <cell r="B567" t="str">
            <v>40019</v>
          </cell>
          <cell r="C567" t="str">
            <v>E</v>
          </cell>
          <cell r="D567" t="str">
            <v>DO</v>
          </cell>
          <cell r="E567" t="str">
            <v/>
          </cell>
        </row>
        <row r="568">
          <cell r="A568" t="str">
            <v>DIRECTOR CENTRO DE CULTURA</v>
          </cell>
          <cell r="B568" t="str">
            <v>40005</v>
          </cell>
          <cell r="C568" t="str">
            <v>E</v>
          </cell>
          <cell r="D568" t="str">
            <v>DO</v>
          </cell>
          <cell r="E568" t="str">
            <v/>
          </cell>
        </row>
        <row r="569">
          <cell r="A569" t="str">
            <v>DIRECTOR DE BANDA</v>
          </cell>
          <cell r="B569" t="str">
            <v>03502</v>
          </cell>
          <cell r="C569" t="str">
            <v>E</v>
          </cell>
          <cell r="D569" t="str">
            <v>AD</v>
          </cell>
          <cell r="E569" t="str">
            <v>03</v>
          </cell>
        </row>
        <row r="570">
          <cell r="A570" t="str">
            <v>DIRECTOR DE BANDA Y PROFESOR DE FLAUTA Y PIANO</v>
          </cell>
          <cell r="B570" t="str">
            <v>40222</v>
          </cell>
          <cell r="C570" t="str">
            <v>E</v>
          </cell>
          <cell r="D570" t="str">
            <v>DO</v>
          </cell>
          <cell r="E570" t="str">
            <v/>
          </cell>
        </row>
        <row r="571">
          <cell r="A571" t="str">
            <v>DIRECTOR DE CULTURA Y PROFESOR PH NOCTURNO GR</v>
          </cell>
          <cell r="B571" t="str">
            <v>40020</v>
          </cell>
          <cell r="C571" t="str">
            <v>E</v>
          </cell>
          <cell r="D571" t="str">
            <v>DO</v>
          </cell>
          <cell r="E571" t="str">
            <v/>
          </cell>
        </row>
        <row r="572">
          <cell r="A572" t="str">
            <v>DIRECTOR DE ESCUELA 139 III</v>
          </cell>
          <cell r="B572" t="str">
            <v>02039</v>
          </cell>
          <cell r="C572" t="str">
            <v>E</v>
          </cell>
          <cell r="D572" t="str">
            <v>DO</v>
          </cell>
          <cell r="E572" t="str">
            <v/>
          </cell>
        </row>
        <row r="573">
          <cell r="A573" t="str">
            <v>DIRECTOR DE ESCUELAS DE ENFERMERIA</v>
          </cell>
          <cell r="B573" t="str">
            <v>71390</v>
          </cell>
          <cell r="C573" t="str">
            <v>E</v>
          </cell>
          <cell r="D573" t="str">
            <v>UT</v>
          </cell>
          <cell r="E573" t="str">
            <v>20</v>
          </cell>
        </row>
        <row r="574">
          <cell r="A574" t="str">
            <v>DIRECTOR DE PROGRAMAS DE CURSOS</v>
          </cell>
          <cell r="B574" t="str">
            <v>34150</v>
          </cell>
          <cell r="C574" t="str">
            <v>E</v>
          </cell>
          <cell r="D574" t="str">
            <v>UT</v>
          </cell>
          <cell r="E574" t="str">
            <v>19</v>
          </cell>
        </row>
        <row r="575">
          <cell r="A575" t="str">
            <v>DIRECTOR DE PROGRAMAS TV</v>
          </cell>
          <cell r="B575" t="str">
            <v>32135</v>
          </cell>
          <cell r="C575" t="str">
            <v>E</v>
          </cell>
          <cell r="D575" t="str">
            <v>AD</v>
          </cell>
          <cell r="E575" t="str">
            <v>05</v>
          </cell>
        </row>
        <row r="576">
          <cell r="A576" t="str">
            <v>DIRECTOR ESCUELA 139 III</v>
          </cell>
          <cell r="B576" t="str">
            <v>02013</v>
          </cell>
          <cell r="C576" t="str">
            <v>E</v>
          </cell>
          <cell r="D576" t="str">
            <v>DO</v>
          </cell>
          <cell r="E576" t="str">
            <v/>
          </cell>
        </row>
        <row r="577">
          <cell r="A577" t="str">
            <v>DIRECTOR ESCUELA N.G.</v>
          </cell>
          <cell r="B577" t="str">
            <v>02024</v>
          </cell>
          <cell r="C577" t="str">
            <v>E</v>
          </cell>
          <cell r="D577" t="str">
            <v>DO</v>
          </cell>
          <cell r="E577" t="str">
            <v/>
          </cell>
        </row>
        <row r="578">
          <cell r="A578" t="str">
            <v>DIRECTOR GENERAL</v>
          </cell>
          <cell r="B578" t="str">
            <v>90008</v>
          </cell>
          <cell r="C578" t="str">
            <v>E</v>
          </cell>
          <cell r="D578" t="str">
            <v>PO</v>
          </cell>
          <cell r="E578" t="str">
            <v>99</v>
          </cell>
        </row>
        <row r="579">
          <cell r="A579" t="str">
            <v>DIRECTOR I   139</v>
          </cell>
          <cell r="B579" t="str">
            <v>01331</v>
          </cell>
          <cell r="C579" t="str">
            <v>E</v>
          </cell>
          <cell r="D579" t="str">
            <v>DO</v>
          </cell>
          <cell r="E579" t="str">
            <v/>
          </cell>
        </row>
        <row r="580">
          <cell r="A580" t="str">
            <v>DIRECTOR I   77</v>
          </cell>
          <cell r="B580" t="str">
            <v>01341</v>
          </cell>
          <cell r="C580" t="str">
            <v>E</v>
          </cell>
          <cell r="D580" t="str">
            <v>DO</v>
          </cell>
          <cell r="E580" t="str">
            <v/>
          </cell>
        </row>
        <row r="581">
          <cell r="A581" t="str">
            <v>DIRECTOR II  139</v>
          </cell>
          <cell r="B581" t="str">
            <v>01332</v>
          </cell>
          <cell r="C581" t="str">
            <v>E</v>
          </cell>
          <cell r="D581" t="str">
            <v>DO</v>
          </cell>
          <cell r="E581" t="str">
            <v/>
          </cell>
        </row>
        <row r="582">
          <cell r="A582" t="str">
            <v>DIRECTOR II  77</v>
          </cell>
          <cell r="B582" t="str">
            <v>01342</v>
          </cell>
          <cell r="C582" t="str">
            <v>E</v>
          </cell>
          <cell r="D582" t="str">
            <v>DO</v>
          </cell>
          <cell r="E582" t="str">
            <v/>
          </cell>
        </row>
        <row r="583">
          <cell r="A583" t="str">
            <v>DIRECTOR III 139</v>
          </cell>
          <cell r="B583" t="str">
            <v>01333</v>
          </cell>
          <cell r="C583" t="str">
            <v>E</v>
          </cell>
          <cell r="D583" t="str">
            <v>DO</v>
          </cell>
          <cell r="E583" t="str">
            <v/>
          </cell>
        </row>
        <row r="584">
          <cell r="A584" t="str">
            <v>DIRECTOR III 77</v>
          </cell>
          <cell r="B584" t="str">
            <v>01343</v>
          </cell>
          <cell r="C584" t="str">
            <v>E</v>
          </cell>
          <cell r="D584" t="str">
            <v>DO</v>
          </cell>
          <cell r="E584" t="str">
            <v/>
          </cell>
        </row>
        <row r="585">
          <cell r="A585" t="str">
            <v>DIRECTOR IV  139</v>
          </cell>
          <cell r="B585" t="str">
            <v>01334</v>
          </cell>
          <cell r="C585" t="str">
            <v>E</v>
          </cell>
          <cell r="D585" t="str">
            <v>DO</v>
          </cell>
          <cell r="E585" t="str">
            <v/>
          </cell>
        </row>
        <row r="586">
          <cell r="A586" t="str">
            <v>DIRECTOR IV  77</v>
          </cell>
          <cell r="B586" t="str">
            <v>01344</v>
          </cell>
          <cell r="C586" t="str">
            <v>E</v>
          </cell>
          <cell r="D586" t="str">
            <v>DO</v>
          </cell>
          <cell r="E586" t="str">
            <v/>
          </cell>
        </row>
        <row r="587">
          <cell r="A587" t="str">
            <v>DIRECTOR TOPOGRAFO</v>
          </cell>
          <cell r="B587" t="str">
            <v>10004</v>
          </cell>
          <cell r="C587" t="str">
            <v>E</v>
          </cell>
          <cell r="D587" t="str">
            <v>AD</v>
          </cell>
          <cell r="E587" t="str">
            <v>02</v>
          </cell>
        </row>
        <row r="588">
          <cell r="A588" t="str">
            <v>DIRECTOR V   139</v>
          </cell>
          <cell r="B588" t="str">
            <v>01335</v>
          </cell>
          <cell r="C588" t="str">
            <v>E</v>
          </cell>
          <cell r="D588" t="str">
            <v>DO</v>
          </cell>
          <cell r="E588" t="str">
            <v/>
          </cell>
        </row>
        <row r="589">
          <cell r="A589" t="str">
            <v>DIRECTOR V   77</v>
          </cell>
          <cell r="B589" t="str">
            <v>01345</v>
          </cell>
          <cell r="C589" t="str">
            <v>E</v>
          </cell>
          <cell r="D589" t="str">
            <v>DO</v>
          </cell>
          <cell r="E589" t="str">
            <v/>
          </cell>
        </row>
        <row r="590">
          <cell r="A590" t="str">
            <v>DIRECTOR VI  139</v>
          </cell>
          <cell r="B590" t="str">
            <v>01336</v>
          </cell>
          <cell r="C590" t="str">
            <v>E</v>
          </cell>
          <cell r="D590" t="str">
            <v>DO</v>
          </cell>
          <cell r="E590" t="str">
            <v/>
          </cell>
        </row>
        <row r="591">
          <cell r="A591" t="str">
            <v>DIRECTOR VI  77</v>
          </cell>
          <cell r="B591" t="str">
            <v>01346</v>
          </cell>
          <cell r="C591" t="str">
            <v>E</v>
          </cell>
          <cell r="D591" t="str">
            <v>DO</v>
          </cell>
          <cell r="E591" t="str">
            <v/>
          </cell>
        </row>
        <row r="592">
          <cell r="A592" t="str">
            <v>DIRECTORA DOCENTE BASICA VI 139 TID Y DOCENTE BASICA VI 139 TCVN</v>
          </cell>
          <cell r="B592" t="str">
            <v>40021</v>
          </cell>
          <cell r="C592" t="str">
            <v>E</v>
          </cell>
          <cell r="D592" t="str">
            <v>DO</v>
          </cell>
          <cell r="E592" t="str">
            <v/>
          </cell>
        </row>
        <row r="593">
          <cell r="A593" t="str">
            <v>DIRECTORA ESCUELA ANDRES BLANCO Y MAESTRA PH GR NOCTURNO VALERA</v>
          </cell>
          <cell r="B593" t="str">
            <v>40022</v>
          </cell>
          <cell r="C593" t="str">
            <v>E</v>
          </cell>
          <cell r="D593" t="str">
            <v>DO</v>
          </cell>
          <cell r="E593" t="str">
            <v/>
          </cell>
        </row>
        <row r="594">
          <cell r="A594" t="str">
            <v>DISEÑADOR GRAFICO</v>
          </cell>
          <cell r="B594" t="str">
            <v>43724</v>
          </cell>
          <cell r="C594" t="str">
            <v>E</v>
          </cell>
          <cell r="D594" t="str">
            <v>UT</v>
          </cell>
          <cell r="E594" t="str">
            <v>15</v>
          </cell>
        </row>
        <row r="595">
          <cell r="A595" t="str">
            <v>DISEÑADOR GRAFICO</v>
          </cell>
          <cell r="B595" t="str">
            <v>80000</v>
          </cell>
          <cell r="C595" t="str">
            <v>E</v>
          </cell>
          <cell r="D595" t="str">
            <v>UT</v>
          </cell>
          <cell r="E595" t="str">
            <v>15</v>
          </cell>
        </row>
        <row r="596">
          <cell r="A596" t="str">
            <v>DISEÑADOR GRAFICO II</v>
          </cell>
          <cell r="B596" t="str">
            <v>43725</v>
          </cell>
          <cell r="C596" t="str">
            <v>E</v>
          </cell>
          <cell r="D596" t="str">
            <v>UT</v>
          </cell>
          <cell r="E596" t="str">
            <v>17</v>
          </cell>
        </row>
        <row r="597">
          <cell r="A597" t="str">
            <v>DISEÑADOR GRAFICO III</v>
          </cell>
          <cell r="B597" t="str">
            <v>43726</v>
          </cell>
          <cell r="C597" t="str">
            <v>E</v>
          </cell>
          <cell r="D597" t="str">
            <v>UT</v>
          </cell>
          <cell r="E597" t="str">
            <v>19</v>
          </cell>
        </row>
        <row r="598">
          <cell r="A598" t="str">
            <v>DISEÑADOR GRAFICO IV</v>
          </cell>
          <cell r="B598" t="str">
            <v>43727</v>
          </cell>
          <cell r="C598" t="str">
            <v>E</v>
          </cell>
          <cell r="D598" t="str">
            <v>UT</v>
          </cell>
          <cell r="E598" t="str">
            <v>21</v>
          </cell>
        </row>
        <row r="599">
          <cell r="A599" t="str">
            <v>DISTINGUIDO</v>
          </cell>
          <cell r="B599" t="str">
            <v>62231</v>
          </cell>
          <cell r="C599" t="str">
            <v>E</v>
          </cell>
          <cell r="D599" t="str">
            <v>PO</v>
          </cell>
          <cell r="E599" t="str">
            <v>04</v>
          </cell>
        </row>
        <row r="600">
          <cell r="A600" t="str">
            <v>DISTINGUIDO (BOMBERO)</v>
          </cell>
          <cell r="B600" t="str">
            <v>62910</v>
          </cell>
          <cell r="C600" t="str">
            <v>E</v>
          </cell>
          <cell r="D600" t="str">
            <v>BO</v>
          </cell>
          <cell r="E600" t="str">
            <v>03</v>
          </cell>
        </row>
        <row r="601">
          <cell r="A601" t="str">
            <v>DOC. 77-TC. III.</v>
          </cell>
          <cell r="B601" t="str">
            <v>00084</v>
          </cell>
          <cell r="C601" t="str">
            <v>E</v>
          </cell>
          <cell r="D601" t="str">
            <v>DO</v>
          </cell>
          <cell r="E601" t="str">
            <v/>
          </cell>
        </row>
        <row r="602">
          <cell r="A602" t="str">
            <v>DOC. BAS I 77 TCVD INTERINO</v>
          </cell>
          <cell r="B602" t="str">
            <v>00361</v>
          </cell>
          <cell r="C602" t="str">
            <v>E</v>
          </cell>
          <cell r="D602" t="str">
            <v>DO</v>
          </cell>
          <cell r="E602" t="str">
            <v/>
          </cell>
        </row>
        <row r="603">
          <cell r="A603" t="str">
            <v>DOC. BAS I TSE TCVDMA INTERINO</v>
          </cell>
          <cell r="B603" t="str">
            <v>00351</v>
          </cell>
          <cell r="C603" t="str">
            <v>E</v>
          </cell>
          <cell r="D603" t="str">
            <v>DO</v>
          </cell>
          <cell r="E603" t="str">
            <v/>
          </cell>
        </row>
        <row r="604">
          <cell r="A604" t="str">
            <v>DOC. BAS. 77 TCVNMA/DOC IV AULA ADULTOS/DIRECTOR DE EDUCACION</v>
          </cell>
          <cell r="B604" t="str">
            <v>40242</v>
          </cell>
          <cell r="C604" t="str">
            <v>E</v>
          </cell>
          <cell r="D604" t="str">
            <v>DO</v>
          </cell>
          <cell r="E604" t="str">
            <v/>
          </cell>
        </row>
        <row r="605">
          <cell r="A605" t="str">
            <v>DOC. BAS. DIR. VI 77 T.C. V.N.</v>
          </cell>
          <cell r="B605" t="str">
            <v>40241</v>
          </cell>
          <cell r="C605" t="str">
            <v>E</v>
          </cell>
          <cell r="D605" t="str">
            <v>DO</v>
          </cell>
          <cell r="E605" t="str">
            <v/>
          </cell>
        </row>
        <row r="606">
          <cell r="A606" t="str">
            <v>DOC. BAS. I (03 HORAS) Y DOC BAS IV 77 TID (33 HORAS9 /TCVD (09 HORAS)</v>
          </cell>
          <cell r="B606" t="str">
            <v>40205</v>
          </cell>
          <cell r="C606" t="str">
            <v>E</v>
          </cell>
          <cell r="D606" t="str">
            <v>DO</v>
          </cell>
          <cell r="E606" t="str">
            <v/>
          </cell>
        </row>
        <row r="607">
          <cell r="A607" t="str">
            <v>DOC. BAS. I 77 INTERINO</v>
          </cell>
          <cell r="B607" t="str">
            <v>00070</v>
          </cell>
          <cell r="C607" t="str">
            <v>E</v>
          </cell>
          <cell r="D607" t="str">
            <v>DO</v>
          </cell>
          <cell r="E607" t="str">
            <v/>
          </cell>
        </row>
        <row r="608">
          <cell r="A608" t="str">
            <v>DOC. BAS. I 77 TCVDMA INTERINO</v>
          </cell>
          <cell r="B608" t="str">
            <v>00341</v>
          </cell>
          <cell r="C608" t="str">
            <v>E</v>
          </cell>
          <cell r="D608" t="str">
            <v>DO</v>
          </cell>
          <cell r="E608" t="str">
            <v/>
          </cell>
        </row>
        <row r="609">
          <cell r="A609" t="str">
            <v>DOC. BAS. I 77 TID (33.33 HORAS)/TCVD (18 HORAS)</v>
          </cell>
          <cell r="B609" t="str">
            <v>40182</v>
          </cell>
          <cell r="C609" t="str">
            <v>E</v>
          </cell>
          <cell r="D609" t="str">
            <v>DO</v>
          </cell>
          <cell r="E609" t="str">
            <v/>
          </cell>
        </row>
        <row r="610">
          <cell r="A610" t="str">
            <v>DOC. BAS. I 77 TID INTERINO</v>
          </cell>
          <cell r="B610" t="str">
            <v>00311</v>
          </cell>
          <cell r="C610" t="str">
            <v>E</v>
          </cell>
          <cell r="D610" t="str">
            <v>DO</v>
          </cell>
          <cell r="E610" t="str">
            <v/>
          </cell>
        </row>
        <row r="611">
          <cell r="A611" t="str">
            <v>DOC. BAS. I T.S.E. TID INTERINO</v>
          </cell>
          <cell r="B611" t="str">
            <v>00321</v>
          </cell>
          <cell r="C611" t="str">
            <v>E</v>
          </cell>
          <cell r="D611" t="str">
            <v>DO</v>
          </cell>
          <cell r="E611" t="str">
            <v/>
          </cell>
        </row>
        <row r="612">
          <cell r="A612" t="str">
            <v>DOC. BAS. III T.S.E  TCVD</v>
          </cell>
          <cell r="B612" t="str">
            <v>00229</v>
          </cell>
          <cell r="C612" t="str">
            <v>E</v>
          </cell>
          <cell r="D612" t="str">
            <v>DO</v>
          </cell>
          <cell r="E612" t="str">
            <v/>
          </cell>
        </row>
        <row r="613">
          <cell r="A613" t="str">
            <v>DOC. BAS. IV  77  TID (33.33 HORAS)/TCVD (14 HORAS)</v>
          </cell>
          <cell r="B613" t="str">
            <v>40199</v>
          </cell>
          <cell r="C613" t="str">
            <v>E</v>
          </cell>
          <cell r="D613" t="str">
            <v>DO</v>
          </cell>
          <cell r="E613" t="str">
            <v/>
          </cell>
        </row>
        <row r="614">
          <cell r="A614" t="str">
            <v>DOC. BAS. IV 77 TID (33.33 HORAS)/ TCVD (16 HORAS)</v>
          </cell>
          <cell r="B614" t="str">
            <v>40194</v>
          </cell>
          <cell r="C614" t="str">
            <v>E</v>
          </cell>
          <cell r="D614" t="str">
            <v>DO</v>
          </cell>
          <cell r="E614" t="str">
            <v/>
          </cell>
        </row>
        <row r="615">
          <cell r="A615" t="str">
            <v>DOC. BAS. IV 77 TID (33.33 HORAS)/TCVD (06 HORAS)</v>
          </cell>
          <cell r="B615" t="str">
            <v>40187</v>
          </cell>
          <cell r="C615" t="str">
            <v>E</v>
          </cell>
          <cell r="D615" t="str">
            <v>DO</v>
          </cell>
          <cell r="E615" t="str">
            <v/>
          </cell>
        </row>
        <row r="616">
          <cell r="A616" t="str">
            <v>DOC. BAS. N.G. TCVNMA / AUXILIAR DE BIBLIOTECA</v>
          </cell>
          <cell r="B616" t="str">
            <v>40245</v>
          </cell>
          <cell r="C616" t="str">
            <v>E</v>
          </cell>
          <cell r="D616" t="str">
            <v>DO</v>
          </cell>
          <cell r="E616" t="str">
            <v/>
          </cell>
        </row>
        <row r="617">
          <cell r="A617" t="str">
            <v>DOC. BAS. PLANIF. V TC 77</v>
          </cell>
          <cell r="B617" t="str">
            <v>00097</v>
          </cell>
          <cell r="C617" t="str">
            <v>E</v>
          </cell>
          <cell r="D617" t="str">
            <v>DO</v>
          </cell>
          <cell r="E617" t="str">
            <v/>
          </cell>
        </row>
        <row r="618">
          <cell r="A618" t="str">
            <v>DOC. BAS. V   77  TID (33,33 HORAS) /TCVD (11 HORAS)</v>
          </cell>
          <cell r="B618" t="str">
            <v>40216</v>
          </cell>
          <cell r="C618" t="str">
            <v>E</v>
          </cell>
          <cell r="D618" t="str">
            <v>DO</v>
          </cell>
          <cell r="E618" t="str">
            <v/>
          </cell>
        </row>
        <row r="619">
          <cell r="A619" t="str">
            <v>DOC. BAS. V   77  TID (33,33 HORAS) /TCVD (13 HORAS)</v>
          </cell>
          <cell r="B619" t="str">
            <v>40213</v>
          </cell>
          <cell r="C619" t="str">
            <v>E</v>
          </cell>
          <cell r="D619" t="str">
            <v>DO</v>
          </cell>
          <cell r="E619" t="str">
            <v/>
          </cell>
        </row>
        <row r="620">
          <cell r="A620" t="str">
            <v>DOC. BAS. V 77 TID (33.33 HORAS) /TCVD (10 HORAS)</v>
          </cell>
          <cell r="B620" t="str">
            <v>40201</v>
          </cell>
          <cell r="C620" t="str">
            <v>E</v>
          </cell>
          <cell r="D620" t="str">
            <v>DO</v>
          </cell>
          <cell r="E620" t="str">
            <v/>
          </cell>
        </row>
        <row r="621">
          <cell r="A621" t="str">
            <v>DOC. BAS. VI  77  TID (33.33 HORAS)/TCVD (12 HORAS)</v>
          </cell>
          <cell r="B621" t="str">
            <v>40215</v>
          </cell>
          <cell r="C621" t="str">
            <v>E</v>
          </cell>
          <cell r="D621" t="str">
            <v>DO</v>
          </cell>
          <cell r="E621" t="str">
            <v/>
          </cell>
        </row>
        <row r="622">
          <cell r="A622" t="str">
            <v>DOC. BAS. VI  77  TID (33.33 HORAS)/TCVD (19 HORAS)</v>
          </cell>
          <cell r="B622" t="str">
            <v>40190</v>
          </cell>
          <cell r="C622" t="str">
            <v>E</v>
          </cell>
          <cell r="D622" t="str">
            <v>DO</v>
          </cell>
          <cell r="E622" t="str">
            <v/>
          </cell>
        </row>
        <row r="623">
          <cell r="A623" t="str">
            <v>DOC. BAS. VI  TID (33.33 HORAS)/TCVD (14 HORAS)</v>
          </cell>
          <cell r="B623" t="str">
            <v>40185</v>
          </cell>
          <cell r="C623" t="str">
            <v>E</v>
          </cell>
          <cell r="D623" t="str">
            <v>DO</v>
          </cell>
          <cell r="E623" t="str">
            <v/>
          </cell>
        </row>
        <row r="624">
          <cell r="A624" t="str">
            <v>DOC. BAS. VI 139 TID / INSTRUCTOR I (16 HORAS)</v>
          </cell>
          <cell r="B624" t="str">
            <v>40189</v>
          </cell>
          <cell r="C624" t="str">
            <v>E</v>
          </cell>
          <cell r="D624" t="str">
            <v>DO</v>
          </cell>
          <cell r="E624" t="str">
            <v/>
          </cell>
        </row>
        <row r="625">
          <cell r="A625" t="str">
            <v>DOC. BAS. VI 77 TID (33.33 HORAS) /TCVD (16 HORAS)</v>
          </cell>
          <cell r="B625" t="str">
            <v>40204</v>
          </cell>
          <cell r="C625" t="str">
            <v>E</v>
          </cell>
          <cell r="D625" t="str">
            <v>DO</v>
          </cell>
          <cell r="E625" t="str">
            <v/>
          </cell>
        </row>
        <row r="626">
          <cell r="A626" t="str">
            <v>DOC. BAS.PLANIF.IV TC 77</v>
          </cell>
          <cell r="B626" t="str">
            <v>00096</v>
          </cell>
          <cell r="C626" t="str">
            <v>E</v>
          </cell>
          <cell r="D626" t="str">
            <v>DO</v>
          </cell>
          <cell r="E626" t="str">
            <v/>
          </cell>
        </row>
        <row r="627">
          <cell r="A627" t="str">
            <v>DOC. BAS.V TCVD (16 HORAS) /TCVNMA (10 HORAS)</v>
          </cell>
          <cell r="B627" t="str">
            <v>40188</v>
          </cell>
          <cell r="C627" t="str">
            <v>E</v>
          </cell>
          <cell r="D627" t="str">
            <v>DO</v>
          </cell>
          <cell r="E627" t="str">
            <v/>
          </cell>
        </row>
        <row r="628">
          <cell r="A628" t="str">
            <v>DOC. BASCO V  T.S.E. TCVNMA</v>
          </cell>
          <cell r="B628" t="str">
            <v>01665</v>
          </cell>
          <cell r="C628" t="str">
            <v>E</v>
          </cell>
          <cell r="D628" t="str">
            <v>DO</v>
          </cell>
          <cell r="E628" t="str">
            <v/>
          </cell>
        </row>
        <row r="629">
          <cell r="A629" t="str">
            <v>DOC. BASICA 16- TSE TID VI</v>
          </cell>
          <cell r="B629" t="str">
            <v>01626</v>
          </cell>
          <cell r="C629" t="str">
            <v>E</v>
          </cell>
          <cell r="D629" t="str">
            <v>DO</v>
          </cell>
          <cell r="E629" t="str">
            <v/>
          </cell>
        </row>
        <row r="630">
          <cell r="A630" t="str">
            <v>DOC. BASICA 16-789 TSE TCVD I</v>
          </cell>
          <cell r="B630" t="str">
            <v>01651</v>
          </cell>
          <cell r="C630" t="str">
            <v>E</v>
          </cell>
          <cell r="D630" t="str">
            <v>DO</v>
          </cell>
          <cell r="E630" t="str">
            <v/>
          </cell>
        </row>
        <row r="631">
          <cell r="A631" t="str">
            <v>DOC. BASICA 16-789 TSE TCVD II</v>
          </cell>
          <cell r="B631" t="str">
            <v>01652</v>
          </cell>
          <cell r="C631" t="str">
            <v>E</v>
          </cell>
          <cell r="D631" t="str">
            <v>DO</v>
          </cell>
          <cell r="E631" t="str">
            <v/>
          </cell>
        </row>
        <row r="632">
          <cell r="A632" t="str">
            <v>DOC. BASICA 16-789 TSE TCVD III</v>
          </cell>
          <cell r="B632" t="str">
            <v>01653</v>
          </cell>
          <cell r="C632" t="str">
            <v>E</v>
          </cell>
          <cell r="D632" t="str">
            <v>DO</v>
          </cell>
          <cell r="E632" t="str">
            <v/>
          </cell>
        </row>
        <row r="633">
          <cell r="A633" t="str">
            <v>DOC. BASICA 16-789 TSE TCVD IV</v>
          </cell>
          <cell r="B633" t="str">
            <v>01654</v>
          </cell>
          <cell r="C633" t="str">
            <v>E</v>
          </cell>
          <cell r="D633" t="str">
            <v>DO</v>
          </cell>
          <cell r="E633" t="str">
            <v/>
          </cell>
        </row>
        <row r="634">
          <cell r="A634" t="str">
            <v>DOC. BASICA 16-789 TSE TCVD V</v>
          </cell>
          <cell r="B634" t="str">
            <v>01655</v>
          </cell>
          <cell r="C634" t="str">
            <v>E</v>
          </cell>
          <cell r="D634" t="str">
            <v>DO</v>
          </cell>
          <cell r="E634" t="str">
            <v/>
          </cell>
        </row>
        <row r="635">
          <cell r="A635" t="str">
            <v>DOC. BASICA 16-789 TSE TCVD VI</v>
          </cell>
          <cell r="B635" t="str">
            <v>01656</v>
          </cell>
          <cell r="C635" t="str">
            <v>E</v>
          </cell>
          <cell r="D635" t="str">
            <v>DO</v>
          </cell>
          <cell r="E635" t="str">
            <v/>
          </cell>
        </row>
        <row r="636">
          <cell r="A636" t="str">
            <v>DOC. BASICA 16-TSE TID I</v>
          </cell>
          <cell r="B636" t="str">
            <v>01621</v>
          </cell>
          <cell r="C636" t="str">
            <v>E</v>
          </cell>
          <cell r="D636" t="str">
            <v>DO</v>
          </cell>
          <cell r="E636" t="str">
            <v/>
          </cell>
        </row>
        <row r="637">
          <cell r="A637" t="str">
            <v>DOC. BASICA 16-TSE TID II</v>
          </cell>
          <cell r="B637" t="str">
            <v>01622</v>
          </cell>
          <cell r="C637" t="str">
            <v>E</v>
          </cell>
          <cell r="D637" t="str">
            <v>DO</v>
          </cell>
          <cell r="E637" t="str">
            <v/>
          </cell>
        </row>
        <row r="638">
          <cell r="A638" t="str">
            <v>DOC. BASICA 16-TSE TID III</v>
          </cell>
          <cell r="B638" t="str">
            <v>01623</v>
          </cell>
          <cell r="C638" t="str">
            <v>E</v>
          </cell>
          <cell r="D638" t="str">
            <v>DO</v>
          </cell>
          <cell r="E638" t="str">
            <v/>
          </cell>
        </row>
        <row r="639">
          <cell r="A639" t="str">
            <v>DOC. BASICA 16-TSE TID IV</v>
          </cell>
          <cell r="B639" t="str">
            <v>01624</v>
          </cell>
          <cell r="C639" t="str">
            <v>E</v>
          </cell>
          <cell r="D639" t="str">
            <v>DO</v>
          </cell>
          <cell r="E639" t="str">
            <v/>
          </cell>
        </row>
        <row r="640">
          <cell r="A640" t="str">
            <v>DOC. BASICA 16-TSE TID V</v>
          </cell>
          <cell r="B640" t="str">
            <v>01625</v>
          </cell>
          <cell r="C640" t="str">
            <v>E</v>
          </cell>
          <cell r="D640" t="str">
            <v>DO</v>
          </cell>
          <cell r="E640" t="str">
            <v/>
          </cell>
        </row>
        <row r="641">
          <cell r="A641" t="str">
            <v>DOC. BASICA 77  TCVD</v>
          </cell>
          <cell r="B641" t="str">
            <v>00220</v>
          </cell>
          <cell r="C641" t="str">
            <v>E</v>
          </cell>
          <cell r="D641" t="str">
            <v>DO</v>
          </cell>
          <cell r="E641" t="str">
            <v/>
          </cell>
        </row>
        <row r="642">
          <cell r="A642" t="str">
            <v>DOC. BASICA 77  TID</v>
          </cell>
          <cell r="B642" t="str">
            <v>00120</v>
          </cell>
          <cell r="C642" t="str">
            <v>E</v>
          </cell>
          <cell r="D642" t="str">
            <v>DO</v>
          </cell>
          <cell r="E642" t="str">
            <v/>
          </cell>
        </row>
        <row r="643">
          <cell r="A643" t="str">
            <v>DOC. BASICA 789-TSE TCVD I</v>
          </cell>
          <cell r="B643" t="str">
            <v>01631</v>
          </cell>
          <cell r="C643" t="str">
            <v>E</v>
          </cell>
          <cell r="D643" t="str">
            <v>DO</v>
          </cell>
          <cell r="E643" t="str">
            <v/>
          </cell>
        </row>
        <row r="644">
          <cell r="A644" t="str">
            <v>DOC. BASICA 789-TSE TCVD II</v>
          </cell>
          <cell r="B644" t="str">
            <v>01632</v>
          </cell>
          <cell r="C644" t="str">
            <v>E</v>
          </cell>
          <cell r="D644" t="str">
            <v>DO</v>
          </cell>
          <cell r="E644" t="str">
            <v/>
          </cell>
        </row>
        <row r="645">
          <cell r="A645" t="str">
            <v>DOC. BASICA 789-TSE TCVD III</v>
          </cell>
          <cell r="B645" t="str">
            <v>01633</v>
          </cell>
          <cell r="C645" t="str">
            <v>E</v>
          </cell>
          <cell r="D645" t="str">
            <v>DO</v>
          </cell>
          <cell r="E645" t="str">
            <v/>
          </cell>
        </row>
        <row r="646">
          <cell r="A646" t="str">
            <v>DOC. BASICA 789-TSE TCVD IV</v>
          </cell>
          <cell r="B646" t="str">
            <v>01634</v>
          </cell>
          <cell r="C646" t="str">
            <v>E</v>
          </cell>
          <cell r="D646" t="str">
            <v>DO</v>
          </cell>
          <cell r="E646" t="str">
            <v/>
          </cell>
        </row>
        <row r="647">
          <cell r="A647" t="str">
            <v>DOC. BASICA 789-TSE TCVD V</v>
          </cell>
          <cell r="B647" t="str">
            <v>01635</v>
          </cell>
          <cell r="C647" t="str">
            <v>E</v>
          </cell>
          <cell r="D647" t="str">
            <v>DO</v>
          </cell>
          <cell r="E647" t="str">
            <v/>
          </cell>
        </row>
        <row r="648">
          <cell r="A648" t="str">
            <v>DOC. BASICA 789-TSE TCVD VI</v>
          </cell>
          <cell r="B648" t="str">
            <v>01636</v>
          </cell>
          <cell r="C648" t="str">
            <v>E</v>
          </cell>
          <cell r="D648" t="str">
            <v>DO</v>
          </cell>
          <cell r="E648" t="str">
            <v/>
          </cell>
        </row>
        <row r="649">
          <cell r="A649" t="str">
            <v>DOC. BASICA I    77 TCVNMA</v>
          </cell>
          <cell r="B649" t="str">
            <v>00161</v>
          </cell>
          <cell r="C649" t="str">
            <v>E</v>
          </cell>
          <cell r="D649" t="str">
            <v>DO</v>
          </cell>
          <cell r="E649" t="str">
            <v/>
          </cell>
        </row>
        <row r="650">
          <cell r="A650" t="str">
            <v>DOC. BASICA I    77 TCVNMA</v>
          </cell>
          <cell r="B650" t="str">
            <v>00241</v>
          </cell>
          <cell r="C650" t="str">
            <v>E</v>
          </cell>
          <cell r="D650" t="str">
            <v>DO</v>
          </cell>
          <cell r="E650" t="str">
            <v/>
          </cell>
        </row>
        <row r="651">
          <cell r="A651" t="str">
            <v>DOC. BASICA I   139 TCVD</v>
          </cell>
          <cell r="B651" t="str">
            <v>00231</v>
          </cell>
          <cell r="C651" t="str">
            <v>E</v>
          </cell>
          <cell r="D651" t="str">
            <v>DO</v>
          </cell>
          <cell r="E651" t="str">
            <v/>
          </cell>
        </row>
        <row r="652">
          <cell r="A652" t="str">
            <v>DOC. BASICA I   139 TCVNMA</v>
          </cell>
          <cell r="B652" t="str">
            <v>00171</v>
          </cell>
          <cell r="C652" t="str">
            <v>E</v>
          </cell>
          <cell r="D652" t="str">
            <v>DO</v>
          </cell>
          <cell r="E652" t="str">
            <v/>
          </cell>
        </row>
        <row r="653">
          <cell r="A653" t="str">
            <v>DOC. BASICA I   139 TID</v>
          </cell>
          <cell r="B653" t="str">
            <v>00131</v>
          </cell>
          <cell r="C653" t="str">
            <v>E</v>
          </cell>
          <cell r="D653" t="str">
            <v>DO</v>
          </cell>
          <cell r="E653" t="str">
            <v/>
          </cell>
        </row>
        <row r="654">
          <cell r="A654" t="str">
            <v>DOC. BASICA I   77  TCVD</v>
          </cell>
          <cell r="B654" t="str">
            <v>00221</v>
          </cell>
          <cell r="C654" t="str">
            <v>E</v>
          </cell>
          <cell r="D654" t="str">
            <v>DO</v>
          </cell>
          <cell r="E654" t="str">
            <v/>
          </cell>
        </row>
        <row r="655">
          <cell r="A655" t="str">
            <v>DOC. BASICA I   77 16 TSE</v>
          </cell>
          <cell r="B655" t="str">
            <v>00071</v>
          </cell>
          <cell r="C655" t="str">
            <v>E</v>
          </cell>
          <cell r="D655" t="str">
            <v>DO</v>
          </cell>
          <cell r="E655" t="str">
            <v/>
          </cell>
        </row>
        <row r="656">
          <cell r="A656" t="str">
            <v>DOC. BASICA I 77 TID</v>
          </cell>
          <cell r="B656" t="str">
            <v>00121</v>
          </cell>
          <cell r="C656" t="str">
            <v>E</v>
          </cell>
          <cell r="D656" t="str">
            <v>DO</v>
          </cell>
          <cell r="E656" t="str">
            <v/>
          </cell>
        </row>
        <row r="657">
          <cell r="A657" t="str">
            <v>DOC. BASICA II  139 TCVD</v>
          </cell>
          <cell r="B657" t="str">
            <v>00232</v>
          </cell>
          <cell r="C657" t="str">
            <v>E</v>
          </cell>
          <cell r="D657" t="str">
            <v>DO</v>
          </cell>
          <cell r="E657" t="str">
            <v/>
          </cell>
        </row>
        <row r="658">
          <cell r="A658" t="str">
            <v>DOC. BASICA II  139 TCVNMA</v>
          </cell>
          <cell r="B658" t="str">
            <v>00172</v>
          </cell>
          <cell r="C658" t="str">
            <v>E</v>
          </cell>
          <cell r="D658" t="str">
            <v>DO</v>
          </cell>
          <cell r="E658" t="str">
            <v/>
          </cell>
        </row>
        <row r="659">
          <cell r="A659" t="str">
            <v>DOC. BASICA II  139 TID</v>
          </cell>
          <cell r="B659" t="str">
            <v>00132</v>
          </cell>
          <cell r="C659" t="str">
            <v>E</v>
          </cell>
          <cell r="D659" t="str">
            <v>DO</v>
          </cell>
          <cell r="E659" t="str">
            <v/>
          </cell>
        </row>
        <row r="660">
          <cell r="A660" t="str">
            <v>DOC. BASICA II  77  TID</v>
          </cell>
          <cell r="B660" t="str">
            <v>00122</v>
          </cell>
          <cell r="C660" t="str">
            <v>E</v>
          </cell>
          <cell r="D660" t="str">
            <v>DO</v>
          </cell>
          <cell r="E660" t="str">
            <v/>
          </cell>
        </row>
        <row r="661">
          <cell r="A661" t="str">
            <v>DOC. BASICA II  77 16 TSE</v>
          </cell>
          <cell r="B661" t="str">
            <v>00072</v>
          </cell>
          <cell r="C661" t="str">
            <v>E</v>
          </cell>
          <cell r="D661" t="str">
            <v>DO</v>
          </cell>
          <cell r="E661" t="str">
            <v/>
          </cell>
        </row>
        <row r="662">
          <cell r="A662" t="str">
            <v>DOC. BASICA II 77</v>
          </cell>
          <cell r="B662" t="str">
            <v>00228</v>
          </cell>
          <cell r="C662" t="str">
            <v>E</v>
          </cell>
          <cell r="D662" t="str">
            <v>DO</v>
          </cell>
          <cell r="E662" t="str">
            <v/>
          </cell>
        </row>
        <row r="663">
          <cell r="A663" t="str">
            <v>DOC. BASICA II 77  TCVD</v>
          </cell>
          <cell r="B663" t="str">
            <v>00222</v>
          </cell>
          <cell r="C663" t="str">
            <v>E</v>
          </cell>
          <cell r="D663" t="str">
            <v>DO</v>
          </cell>
          <cell r="E663" t="str">
            <v/>
          </cell>
        </row>
        <row r="664">
          <cell r="A664" t="str">
            <v>DOC. BASICA II 77 TCVNMA</v>
          </cell>
          <cell r="B664" t="str">
            <v>00162</v>
          </cell>
          <cell r="C664" t="str">
            <v>E</v>
          </cell>
          <cell r="D664" t="str">
            <v>DO</v>
          </cell>
          <cell r="E664" t="str">
            <v/>
          </cell>
        </row>
        <row r="665">
          <cell r="A665" t="str">
            <v>DOC. BASICA II 77 TCVNMA</v>
          </cell>
          <cell r="B665" t="str">
            <v>00242</v>
          </cell>
          <cell r="C665" t="str">
            <v>E</v>
          </cell>
          <cell r="D665" t="str">
            <v>DO</v>
          </cell>
          <cell r="E665" t="str">
            <v/>
          </cell>
        </row>
        <row r="666">
          <cell r="A666" t="str">
            <v>DOC. BASICA III  77 TCVNMA</v>
          </cell>
          <cell r="B666" t="str">
            <v>00163</v>
          </cell>
          <cell r="C666" t="str">
            <v>E</v>
          </cell>
          <cell r="D666" t="str">
            <v>DO</v>
          </cell>
          <cell r="E666" t="str">
            <v/>
          </cell>
        </row>
        <row r="667">
          <cell r="A667" t="str">
            <v>DOC. BASICA III  77 TCVNMA</v>
          </cell>
          <cell r="B667" t="str">
            <v>00243</v>
          </cell>
          <cell r="C667" t="str">
            <v>E</v>
          </cell>
          <cell r="D667" t="str">
            <v>DO</v>
          </cell>
          <cell r="E667" t="str">
            <v/>
          </cell>
        </row>
        <row r="668">
          <cell r="A668" t="str">
            <v>DOC. BASICA III 139 TCVD</v>
          </cell>
          <cell r="B668" t="str">
            <v>00233</v>
          </cell>
          <cell r="C668" t="str">
            <v>E</v>
          </cell>
          <cell r="D668" t="str">
            <v>DO</v>
          </cell>
          <cell r="E668" t="str">
            <v/>
          </cell>
        </row>
        <row r="669">
          <cell r="A669" t="str">
            <v>DOC. BASICA III 139 TCVNMA</v>
          </cell>
          <cell r="B669" t="str">
            <v>00173</v>
          </cell>
          <cell r="C669" t="str">
            <v>E</v>
          </cell>
          <cell r="D669" t="str">
            <v>DO</v>
          </cell>
          <cell r="E669" t="str">
            <v/>
          </cell>
        </row>
        <row r="670">
          <cell r="A670" t="str">
            <v>DOC. BASICA III 139 TID</v>
          </cell>
          <cell r="B670" t="str">
            <v>00133</v>
          </cell>
          <cell r="C670" t="str">
            <v>E</v>
          </cell>
          <cell r="D670" t="str">
            <v>DO</v>
          </cell>
          <cell r="E670" t="str">
            <v/>
          </cell>
        </row>
        <row r="671">
          <cell r="A671" t="str">
            <v>DOC. BASICA III 77  TCVD</v>
          </cell>
          <cell r="B671" t="str">
            <v>00223</v>
          </cell>
          <cell r="C671" t="str">
            <v>E</v>
          </cell>
          <cell r="D671" t="str">
            <v>DO</v>
          </cell>
          <cell r="E671" t="str">
            <v/>
          </cell>
        </row>
        <row r="672">
          <cell r="A672" t="str">
            <v>DOC. BASICA III 77  TID</v>
          </cell>
          <cell r="B672" t="str">
            <v>00123</v>
          </cell>
          <cell r="C672" t="str">
            <v>E</v>
          </cell>
          <cell r="D672" t="str">
            <v>DO</v>
          </cell>
          <cell r="E672" t="str">
            <v/>
          </cell>
        </row>
        <row r="673">
          <cell r="A673" t="str">
            <v>DOC. BASICA III 77 TCVN</v>
          </cell>
          <cell r="B673" t="str">
            <v>09127</v>
          </cell>
          <cell r="C673" t="str">
            <v>E</v>
          </cell>
          <cell r="D673" t="str">
            <v>DO</v>
          </cell>
          <cell r="E673" t="str">
            <v/>
          </cell>
        </row>
        <row r="674">
          <cell r="A674" t="str">
            <v>DOC. BASICA IV   77 TCVNMA</v>
          </cell>
          <cell r="B674" t="str">
            <v>00164</v>
          </cell>
          <cell r="C674" t="str">
            <v>E</v>
          </cell>
          <cell r="D674" t="str">
            <v>DO</v>
          </cell>
          <cell r="E674" t="str">
            <v/>
          </cell>
        </row>
        <row r="675">
          <cell r="A675" t="str">
            <v>DOC. BASICA IV   77 TCVNMA</v>
          </cell>
          <cell r="B675" t="str">
            <v>00244</v>
          </cell>
          <cell r="C675" t="str">
            <v>E</v>
          </cell>
          <cell r="D675" t="str">
            <v>DO</v>
          </cell>
          <cell r="E675" t="str">
            <v/>
          </cell>
        </row>
        <row r="676">
          <cell r="A676" t="str">
            <v>DOC. BASICA IV  139 TCVD</v>
          </cell>
          <cell r="B676" t="str">
            <v>00234</v>
          </cell>
          <cell r="C676" t="str">
            <v>E</v>
          </cell>
          <cell r="D676" t="str">
            <v>DO</v>
          </cell>
          <cell r="E676" t="str">
            <v/>
          </cell>
        </row>
        <row r="677">
          <cell r="A677" t="str">
            <v>DOC. BASICA IV  139 TCVNMA</v>
          </cell>
          <cell r="B677" t="str">
            <v>00174</v>
          </cell>
          <cell r="C677" t="str">
            <v>E</v>
          </cell>
          <cell r="D677" t="str">
            <v>DO</v>
          </cell>
          <cell r="E677" t="str">
            <v/>
          </cell>
        </row>
        <row r="678">
          <cell r="A678" t="str">
            <v>DOC. BASICA IV  139 TID</v>
          </cell>
          <cell r="B678" t="str">
            <v>00134</v>
          </cell>
          <cell r="C678" t="str">
            <v>E</v>
          </cell>
          <cell r="D678" t="str">
            <v>DO</v>
          </cell>
          <cell r="E678" t="str">
            <v/>
          </cell>
        </row>
        <row r="679">
          <cell r="A679" t="str">
            <v>DOC. BASICA IV  77  TCVD</v>
          </cell>
          <cell r="B679" t="str">
            <v>00224</v>
          </cell>
          <cell r="C679" t="str">
            <v>E</v>
          </cell>
          <cell r="D679" t="str">
            <v>DO</v>
          </cell>
          <cell r="E679" t="str">
            <v/>
          </cell>
        </row>
        <row r="680">
          <cell r="A680" t="str">
            <v>DOC. BASICA IV  77  TID</v>
          </cell>
          <cell r="B680" t="str">
            <v>00124</v>
          </cell>
          <cell r="C680" t="str">
            <v>E</v>
          </cell>
          <cell r="D680" t="str">
            <v>DO</v>
          </cell>
          <cell r="E680" t="str">
            <v/>
          </cell>
        </row>
        <row r="681">
          <cell r="A681" t="str">
            <v>DOC. BASICA IV  77  TID  (33 HORAS) /TCVD (14 HORAS)</v>
          </cell>
          <cell r="B681" t="str">
            <v>40211</v>
          </cell>
          <cell r="C681" t="str">
            <v>E</v>
          </cell>
          <cell r="D681" t="str">
            <v>DO</v>
          </cell>
          <cell r="E681" t="str">
            <v/>
          </cell>
        </row>
        <row r="682">
          <cell r="A682" t="str">
            <v>DOC. BASICA IV  77 TC-V</v>
          </cell>
          <cell r="B682" t="str">
            <v>00204</v>
          </cell>
          <cell r="C682" t="str">
            <v>E</v>
          </cell>
          <cell r="D682" t="str">
            <v>DO</v>
          </cell>
          <cell r="E682" t="str">
            <v/>
          </cell>
        </row>
        <row r="683">
          <cell r="A683" t="str">
            <v>DOC. BASICA IV 77 TCVD (19 HORAS) TID  (33.33 HORAS)</v>
          </cell>
          <cell r="B683" t="str">
            <v>40191</v>
          </cell>
          <cell r="C683" t="str">
            <v>E</v>
          </cell>
          <cell r="D683" t="str">
            <v>DO</v>
          </cell>
          <cell r="E683" t="str">
            <v/>
          </cell>
        </row>
        <row r="684">
          <cell r="A684" t="str">
            <v>DOC. BASICA N.G. 16 TCVNMA</v>
          </cell>
          <cell r="B684" t="str">
            <v>00048</v>
          </cell>
          <cell r="C684" t="str">
            <v>E</v>
          </cell>
          <cell r="D684" t="str">
            <v>DO</v>
          </cell>
          <cell r="E684" t="str">
            <v/>
          </cell>
        </row>
        <row r="685">
          <cell r="A685" t="str">
            <v>DOC. BASICA N.G. 19 TID</v>
          </cell>
          <cell r="B685" t="str">
            <v>00046</v>
          </cell>
          <cell r="C685" t="str">
            <v>E</v>
          </cell>
          <cell r="D685" t="str">
            <v>DO</v>
          </cell>
          <cell r="E685" t="str">
            <v/>
          </cell>
        </row>
        <row r="686">
          <cell r="A686" t="str">
            <v>DOC. BASICA N.G. 789 TCVNHC</v>
          </cell>
          <cell r="B686" t="str">
            <v>00055</v>
          </cell>
          <cell r="C686" t="str">
            <v>E</v>
          </cell>
          <cell r="D686" t="str">
            <v>DO</v>
          </cell>
          <cell r="E686" t="str">
            <v/>
          </cell>
        </row>
        <row r="687">
          <cell r="A687" t="str">
            <v>DOC. BASICA N.G. 789 TCVNMA</v>
          </cell>
          <cell r="B687" t="str">
            <v>00049</v>
          </cell>
          <cell r="C687" t="str">
            <v>E</v>
          </cell>
          <cell r="D687" t="str">
            <v>DO</v>
          </cell>
          <cell r="E687" t="str">
            <v/>
          </cell>
        </row>
        <row r="688">
          <cell r="A688" t="str">
            <v>DOC. BASICA N.G. TCVD</v>
          </cell>
          <cell r="B688" t="str">
            <v>00052</v>
          </cell>
          <cell r="C688" t="str">
            <v>E</v>
          </cell>
          <cell r="D688" t="str">
            <v>DO</v>
          </cell>
          <cell r="E688" t="str">
            <v/>
          </cell>
        </row>
        <row r="689">
          <cell r="A689" t="str">
            <v>DOC. BASICA N.G. TCVID</v>
          </cell>
          <cell r="B689" t="str">
            <v>00047</v>
          </cell>
          <cell r="C689" t="str">
            <v>E</v>
          </cell>
          <cell r="D689" t="str">
            <v>DO</v>
          </cell>
          <cell r="E689" t="str">
            <v/>
          </cell>
        </row>
        <row r="690">
          <cell r="A690" t="str">
            <v>DOC. BASICA V    77 TCVNMA</v>
          </cell>
          <cell r="B690" t="str">
            <v>00165</v>
          </cell>
          <cell r="C690" t="str">
            <v>E</v>
          </cell>
          <cell r="D690" t="str">
            <v>DO</v>
          </cell>
          <cell r="E690" t="str">
            <v/>
          </cell>
        </row>
        <row r="691">
          <cell r="A691" t="str">
            <v>DOC. BASICA V    77 TCVNMA</v>
          </cell>
          <cell r="B691" t="str">
            <v>00245</v>
          </cell>
          <cell r="C691" t="str">
            <v>E</v>
          </cell>
          <cell r="D691" t="str">
            <v>DO</v>
          </cell>
          <cell r="E691" t="str">
            <v/>
          </cell>
        </row>
        <row r="692">
          <cell r="A692" t="str">
            <v>DOC. BASICA V   139 TCVD</v>
          </cell>
          <cell r="B692" t="str">
            <v>00235</v>
          </cell>
          <cell r="C692" t="str">
            <v>E</v>
          </cell>
          <cell r="D692" t="str">
            <v>DO</v>
          </cell>
          <cell r="E692" t="str">
            <v/>
          </cell>
        </row>
        <row r="693">
          <cell r="A693" t="str">
            <v>DOC. BASICA V   139 TCVNMA</v>
          </cell>
          <cell r="B693" t="str">
            <v>00175</v>
          </cell>
          <cell r="C693" t="str">
            <v>E</v>
          </cell>
          <cell r="D693" t="str">
            <v>DO</v>
          </cell>
          <cell r="E693" t="str">
            <v/>
          </cell>
        </row>
        <row r="694">
          <cell r="A694" t="str">
            <v>DOC. BASICA V   139 TID</v>
          </cell>
          <cell r="B694" t="str">
            <v>00135</v>
          </cell>
          <cell r="C694" t="str">
            <v>E</v>
          </cell>
          <cell r="D694" t="str">
            <v>DO</v>
          </cell>
          <cell r="E694" t="str">
            <v/>
          </cell>
        </row>
        <row r="695">
          <cell r="A695" t="str">
            <v>DOC. BASICA V   77  TCVD</v>
          </cell>
          <cell r="B695" t="str">
            <v>00225</v>
          </cell>
          <cell r="C695" t="str">
            <v>E</v>
          </cell>
          <cell r="D695" t="str">
            <v>DO</v>
          </cell>
          <cell r="E695" t="str">
            <v/>
          </cell>
        </row>
        <row r="696">
          <cell r="A696" t="str">
            <v>DOC. BASICA V   77  TID</v>
          </cell>
          <cell r="B696" t="str">
            <v>00125</v>
          </cell>
          <cell r="C696" t="str">
            <v>E</v>
          </cell>
          <cell r="D696" t="str">
            <v>DO</v>
          </cell>
          <cell r="E696" t="str">
            <v/>
          </cell>
        </row>
        <row r="697">
          <cell r="A697" t="str">
            <v>DOC. BASICA V   77  TID (33.33 HORAS /TCVD (10 HORAS)</v>
          </cell>
          <cell r="B697" t="str">
            <v>40179</v>
          </cell>
          <cell r="C697" t="str">
            <v>E</v>
          </cell>
          <cell r="D697" t="str">
            <v>DO</v>
          </cell>
          <cell r="E697" t="str">
            <v/>
          </cell>
        </row>
        <row r="698">
          <cell r="A698" t="str">
            <v>DOC. BASICA V   77  TID (33.33 HORAS) /TCVD (13 HORAS)</v>
          </cell>
          <cell r="B698" t="str">
            <v>40195</v>
          </cell>
          <cell r="C698" t="str">
            <v>E</v>
          </cell>
          <cell r="D698" t="str">
            <v>DO</v>
          </cell>
          <cell r="E698" t="str">
            <v/>
          </cell>
        </row>
        <row r="699">
          <cell r="A699" t="str">
            <v>DOC. BASICA V   77 TC-V 79</v>
          </cell>
          <cell r="B699" t="str">
            <v>00205</v>
          </cell>
          <cell r="C699" t="str">
            <v>E</v>
          </cell>
          <cell r="D699" t="str">
            <v>DO</v>
          </cell>
          <cell r="E699" t="str">
            <v/>
          </cell>
        </row>
        <row r="700">
          <cell r="A700" t="str">
            <v>DOC. BASICA V  139 TCVD-MEF</v>
          </cell>
          <cell r="B700" t="str">
            <v>00155</v>
          </cell>
          <cell r="C700" t="str">
            <v>E</v>
          </cell>
          <cell r="D700" t="str">
            <v>DO</v>
          </cell>
          <cell r="E700" t="str">
            <v/>
          </cell>
        </row>
        <row r="701">
          <cell r="A701" t="str">
            <v>DOC. BASICA V  77  TCVD  (10 HORAS) Y TCVNMA (16) HORAS</v>
          </cell>
          <cell r="B701" t="str">
            <v>40076</v>
          </cell>
          <cell r="C701" t="str">
            <v>E</v>
          </cell>
          <cell r="D701" t="str">
            <v>DO</v>
          </cell>
          <cell r="E701" t="str">
            <v/>
          </cell>
        </row>
        <row r="702">
          <cell r="A702" t="str">
            <v>DOC. BASICA V  77  TID/TCVNMA</v>
          </cell>
          <cell r="B702" t="str">
            <v>40246</v>
          </cell>
          <cell r="C702" t="str">
            <v>E</v>
          </cell>
          <cell r="D702" t="str">
            <v>DO</v>
          </cell>
          <cell r="E702" t="str">
            <v/>
          </cell>
        </row>
        <row r="703">
          <cell r="A703" t="str">
            <v>DOC. BASICA V 77 TID (33.33) TCVD (20 HORAS)</v>
          </cell>
          <cell r="B703" t="str">
            <v>40186</v>
          </cell>
          <cell r="C703" t="str">
            <v>E</v>
          </cell>
          <cell r="D703" t="str">
            <v>DO</v>
          </cell>
          <cell r="E703" t="str">
            <v/>
          </cell>
        </row>
        <row r="704">
          <cell r="A704" t="str">
            <v>DOC. BASICA V ORIENT.77 TID</v>
          </cell>
          <cell r="B704" t="str">
            <v>00095</v>
          </cell>
          <cell r="C704" t="str">
            <v>E</v>
          </cell>
          <cell r="D704" t="str">
            <v>DO</v>
          </cell>
          <cell r="E704" t="str">
            <v/>
          </cell>
        </row>
        <row r="705">
          <cell r="A705" t="str">
            <v>DOC. BASICA VI   77 TCVD</v>
          </cell>
          <cell r="B705" t="str">
            <v>00227</v>
          </cell>
          <cell r="C705" t="str">
            <v>E</v>
          </cell>
          <cell r="D705" t="str">
            <v>DO</v>
          </cell>
          <cell r="E705" t="str">
            <v/>
          </cell>
        </row>
        <row r="706">
          <cell r="A706" t="str">
            <v>DOC. BASICA VI   77 TCVNMA</v>
          </cell>
          <cell r="B706" t="str">
            <v>00166</v>
          </cell>
          <cell r="C706" t="str">
            <v>E</v>
          </cell>
          <cell r="D706" t="str">
            <v>DO</v>
          </cell>
          <cell r="E706" t="str">
            <v/>
          </cell>
        </row>
        <row r="707">
          <cell r="A707" t="str">
            <v>DOC. BASICA VI   77 TCVNMA</v>
          </cell>
          <cell r="B707" t="str">
            <v>00246</v>
          </cell>
          <cell r="C707" t="str">
            <v>E</v>
          </cell>
          <cell r="D707" t="str">
            <v>DO</v>
          </cell>
          <cell r="E707" t="str">
            <v/>
          </cell>
        </row>
        <row r="708">
          <cell r="A708" t="str">
            <v>DOC. BASICA VI  139 TCVD</v>
          </cell>
          <cell r="B708" t="str">
            <v>00236</v>
          </cell>
          <cell r="C708" t="str">
            <v>E</v>
          </cell>
          <cell r="D708" t="str">
            <v>DO</v>
          </cell>
          <cell r="E708" t="str">
            <v/>
          </cell>
        </row>
        <row r="709">
          <cell r="A709" t="str">
            <v>DOC. BASICA VI  139 TCVNMA</v>
          </cell>
          <cell r="B709" t="str">
            <v>00176</v>
          </cell>
          <cell r="C709" t="str">
            <v>E</v>
          </cell>
          <cell r="D709" t="str">
            <v>DO</v>
          </cell>
          <cell r="E709" t="str">
            <v/>
          </cell>
        </row>
        <row r="710">
          <cell r="A710" t="str">
            <v>DOC. BASICA VI  139 TID</v>
          </cell>
          <cell r="B710" t="str">
            <v>00136</v>
          </cell>
          <cell r="C710" t="str">
            <v>E</v>
          </cell>
          <cell r="D710" t="str">
            <v>DO</v>
          </cell>
          <cell r="E710" t="str">
            <v/>
          </cell>
        </row>
        <row r="711">
          <cell r="A711" t="str">
            <v>DOC. BASICA VI  77  TCVD</v>
          </cell>
          <cell r="B711" t="str">
            <v>00226</v>
          </cell>
          <cell r="C711" t="str">
            <v>E</v>
          </cell>
          <cell r="D711" t="str">
            <v>DO</v>
          </cell>
          <cell r="E711" t="str">
            <v/>
          </cell>
        </row>
        <row r="712">
          <cell r="A712" t="str">
            <v>DOC. BASICA VI  77  TID</v>
          </cell>
          <cell r="B712" t="str">
            <v>00126</v>
          </cell>
          <cell r="C712" t="str">
            <v>E</v>
          </cell>
          <cell r="D712" t="str">
            <v>DO</v>
          </cell>
          <cell r="E712" t="str">
            <v/>
          </cell>
        </row>
        <row r="713">
          <cell r="A713" t="str">
            <v>DOC. BASICA VI 77 TID (33.33 HORAS) TCVN (12 HORAS)</v>
          </cell>
          <cell r="B713" t="str">
            <v>40217</v>
          </cell>
          <cell r="C713" t="str">
            <v>E</v>
          </cell>
          <cell r="D713" t="str">
            <v>DO</v>
          </cell>
          <cell r="E713" t="str">
            <v/>
          </cell>
        </row>
        <row r="714">
          <cell r="A714" t="str">
            <v>DOC. BASICA VI 77 TID (33.33 HORAS) TCVNMA (11 HORAS)</v>
          </cell>
          <cell r="B714" t="str">
            <v>40209</v>
          </cell>
          <cell r="C714" t="str">
            <v>E</v>
          </cell>
          <cell r="D714" t="str">
            <v>DO</v>
          </cell>
          <cell r="E714" t="str">
            <v/>
          </cell>
        </row>
        <row r="715">
          <cell r="A715" t="str">
            <v>DOC. BASICO  VI  T.S.E. TCVNMA</v>
          </cell>
          <cell r="B715" t="str">
            <v>01666</v>
          </cell>
          <cell r="C715" t="str">
            <v>E</v>
          </cell>
          <cell r="D715" t="str">
            <v>DO</v>
          </cell>
          <cell r="E715" t="str">
            <v/>
          </cell>
        </row>
        <row r="716">
          <cell r="A716" t="str">
            <v>DOC. BASICO I  T.S.E. TCVNMA</v>
          </cell>
          <cell r="B716" t="str">
            <v>01661</v>
          </cell>
          <cell r="C716" t="str">
            <v>E</v>
          </cell>
          <cell r="D716" t="str">
            <v>DO</v>
          </cell>
          <cell r="E716" t="str">
            <v/>
          </cell>
        </row>
        <row r="717">
          <cell r="A717" t="str">
            <v>DOC. BASICO II  T.S.E. TCVNMA</v>
          </cell>
          <cell r="B717" t="str">
            <v>01662</v>
          </cell>
          <cell r="C717" t="str">
            <v>E</v>
          </cell>
          <cell r="D717" t="str">
            <v>DO</v>
          </cell>
          <cell r="E717" t="str">
            <v/>
          </cell>
        </row>
        <row r="718">
          <cell r="A718" t="str">
            <v>DOC. BASICO III T.S.E. TCVNMA</v>
          </cell>
          <cell r="B718" t="str">
            <v>01663</v>
          </cell>
          <cell r="C718" t="str">
            <v>E</v>
          </cell>
          <cell r="D718" t="str">
            <v>DO</v>
          </cell>
          <cell r="E718" t="str">
            <v/>
          </cell>
        </row>
        <row r="719">
          <cell r="A719" t="str">
            <v>DOC. BASICO IV  T.S.E. TCVNMA</v>
          </cell>
          <cell r="B719" t="str">
            <v>01664</v>
          </cell>
          <cell r="C719" t="str">
            <v>E</v>
          </cell>
          <cell r="D719" t="str">
            <v>DO</v>
          </cell>
          <cell r="E719" t="str">
            <v/>
          </cell>
        </row>
        <row r="720">
          <cell r="A720" t="str">
            <v>DOC. DIR. BASICA  VI 139 TID (36 HORAS) Y DOC. BAS. VI 139 TCVNMA (16 HORAS)</v>
          </cell>
          <cell r="B720" t="str">
            <v>40235</v>
          </cell>
          <cell r="C720" t="str">
            <v>E</v>
          </cell>
          <cell r="D720" t="str">
            <v>DO</v>
          </cell>
          <cell r="E720" t="str">
            <v/>
          </cell>
        </row>
        <row r="721">
          <cell r="A721" t="str">
            <v>DOC. DIRECTOR 77-TC  IV.</v>
          </cell>
          <cell r="B721" t="str">
            <v>00789</v>
          </cell>
          <cell r="C721" t="str">
            <v>E</v>
          </cell>
          <cell r="D721" t="str">
            <v>DO</v>
          </cell>
          <cell r="E721" t="str">
            <v/>
          </cell>
        </row>
        <row r="722">
          <cell r="A722" t="str">
            <v>DOC. DIRECTOR ARTES P.</v>
          </cell>
          <cell r="B722" t="str">
            <v>00054</v>
          </cell>
          <cell r="C722" t="str">
            <v>E</v>
          </cell>
          <cell r="D722" t="str">
            <v>DO</v>
          </cell>
          <cell r="E722" t="str">
            <v/>
          </cell>
        </row>
        <row r="723">
          <cell r="A723" t="str">
            <v>DOC. DIRECTOR BAS. N.G. 16 TCVNMA</v>
          </cell>
          <cell r="B723" t="str">
            <v>00050</v>
          </cell>
          <cell r="C723" t="str">
            <v>E</v>
          </cell>
          <cell r="D723" t="str">
            <v>DO</v>
          </cell>
          <cell r="E723" t="str">
            <v/>
          </cell>
        </row>
        <row r="724">
          <cell r="A724" t="str">
            <v>DOC. DIRECTOR BAS. N.G. 789 TCVNMA</v>
          </cell>
          <cell r="B724" t="str">
            <v>00051</v>
          </cell>
          <cell r="C724" t="str">
            <v>E</v>
          </cell>
          <cell r="D724" t="str">
            <v>DO</v>
          </cell>
          <cell r="E724" t="str">
            <v/>
          </cell>
        </row>
        <row r="725">
          <cell r="A725" t="str">
            <v>DOC. DIRECTOR BASICA  I 139 TCVNMA</v>
          </cell>
          <cell r="B725" t="str">
            <v>00771</v>
          </cell>
          <cell r="C725" t="str">
            <v>E</v>
          </cell>
          <cell r="D725" t="str">
            <v>DO</v>
          </cell>
          <cell r="E725" t="str">
            <v/>
          </cell>
        </row>
        <row r="726">
          <cell r="A726" t="str">
            <v>DOC. DIRECTOR BASICA  V  77 TCVNMA</v>
          </cell>
          <cell r="B726" t="str">
            <v>00765</v>
          </cell>
          <cell r="C726" t="str">
            <v>E</v>
          </cell>
          <cell r="D726" t="str">
            <v>DO</v>
          </cell>
          <cell r="E726" t="str">
            <v/>
          </cell>
        </row>
        <row r="727">
          <cell r="A727" t="str">
            <v>DOC. DIRECTOR BASICA  V 139 TCVNMA</v>
          </cell>
          <cell r="B727" t="str">
            <v>00775</v>
          </cell>
          <cell r="C727" t="str">
            <v>E</v>
          </cell>
          <cell r="D727" t="str">
            <v>DO</v>
          </cell>
          <cell r="E727" t="str">
            <v/>
          </cell>
        </row>
        <row r="728">
          <cell r="A728" t="str">
            <v>DOC. DIRECTOR BASICA  V T.S.E TID</v>
          </cell>
          <cell r="B728" t="str">
            <v>01668</v>
          </cell>
          <cell r="C728" t="str">
            <v>E</v>
          </cell>
          <cell r="D728" t="str">
            <v>DO</v>
          </cell>
          <cell r="E728" t="str">
            <v/>
          </cell>
        </row>
        <row r="729">
          <cell r="A729" t="str">
            <v>DOC. DIRECTOR BASICA 77  TID</v>
          </cell>
          <cell r="B729" t="str">
            <v>00740</v>
          </cell>
          <cell r="C729" t="str">
            <v>E</v>
          </cell>
          <cell r="D729" t="str">
            <v>DO</v>
          </cell>
          <cell r="E729" t="str">
            <v/>
          </cell>
        </row>
        <row r="730">
          <cell r="A730" t="str">
            <v>DOC. DIRECTOR BASICA 77 TCVNMA</v>
          </cell>
          <cell r="B730" t="str">
            <v>40226</v>
          </cell>
          <cell r="C730" t="str">
            <v>E</v>
          </cell>
          <cell r="D730" t="str">
            <v>DO</v>
          </cell>
          <cell r="E730" t="str">
            <v/>
          </cell>
        </row>
        <row r="731">
          <cell r="A731" t="str">
            <v>DOC. DIRECTOR BASICA I   77  TID</v>
          </cell>
          <cell r="B731" t="str">
            <v>00741</v>
          </cell>
          <cell r="C731" t="str">
            <v>E</v>
          </cell>
          <cell r="D731" t="str">
            <v>DO</v>
          </cell>
          <cell r="E731" t="str">
            <v/>
          </cell>
        </row>
        <row r="732">
          <cell r="A732" t="str">
            <v>DOC. DIRECTOR BASICA I  77 TCVNMA</v>
          </cell>
          <cell r="B732" t="str">
            <v>00761</v>
          </cell>
          <cell r="C732" t="str">
            <v>E</v>
          </cell>
          <cell r="D732" t="str">
            <v>DO</v>
          </cell>
          <cell r="E732" t="str">
            <v/>
          </cell>
        </row>
        <row r="733">
          <cell r="A733" t="str">
            <v>DOC. DIRECTOR BASICA II  77  TID</v>
          </cell>
          <cell r="B733" t="str">
            <v>00742</v>
          </cell>
          <cell r="C733" t="str">
            <v>E</v>
          </cell>
          <cell r="D733" t="str">
            <v>DO</v>
          </cell>
          <cell r="E733" t="str">
            <v/>
          </cell>
        </row>
        <row r="734">
          <cell r="A734" t="str">
            <v>DOC. DIRECTOR BASICA III 139 TID</v>
          </cell>
          <cell r="B734" t="str">
            <v>00753</v>
          </cell>
          <cell r="C734" t="str">
            <v>E</v>
          </cell>
          <cell r="D734" t="str">
            <v>DO</v>
          </cell>
          <cell r="E734" t="str">
            <v/>
          </cell>
        </row>
        <row r="735">
          <cell r="A735" t="str">
            <v>DOC. DIRECTOR BASICA III 77 TID</v>
          </cell>
          <cell r="B735" t="str">
            <v>00743</v>
          </cell>
          <cell r="C735" t="str">
            <v>E</v>
          </cell>
          <cell r="D735" t="str">
            <v>DO</v>
          </cell>
          <cell r="E735" t="str">
            <v/>
          </cell>
        </row>
        <row r="736">
          <cell r="A736" t="str">
            <v>DOC. DIRECTOR BASICA IV  77 TCVNMA</v>
          </cell>
          <cell r="B736" t="str">
            <v>00764</v>
          </cell>
          <cell r="C736" t="str">
            <v>E</v>
          </cell>
          <cell r="D736" t="str">
            <v>DO</v>
          </cell>
          <cell r="E736" t="str">
            <v/>
          </cell>
        </row>
        <row r="737">
          <cell r="A737" t="str">
            <v>DOC. DIRECTOR BASICA IV  77 TID</v>
          </cell>
          <cell r="B737" t="str">
            <v>00744</v>
          </cell>
          <cell r="C737" t="str">
            <v>E</v>
          </cell>
          <cell r="D737" t="str">
            <v>DO</v>
          </cell>
          <cell r="E737" t="str">
            <v/>
          </cell>
        </row>
        <row r="738">
          <cell r="A738" t="str">
            <v>DOC. DIRECTOR BASICA IV 139 TCVNMA</v>
          </cell>
          <cell r="B738" t="str">
            <v>00774</v>
          </cell>
          <cell r="C738" t="str">
            <v>E</v>
          </cell>
          <cell r="D738" t="str">
            <v>DO</v>
          </cell>
          <cell r="E738" t="str">
            <v/>
          </cell>
        </row>
        <row r="739">
          <cell r="A739" t="str">
            <v>DOC. DIRECTOR BASICA IV 139 TID</v>
          </cell>
          <cell r="B739" t="str">
            <v>00754</v>
          </cell>
          <cell r="C739" t="str">
            <v>E</v>
          </cell>
          <cell r="D739" t="str">
            <v>DO</v>
          </cell>
          <cell r="E739" t="str">
            <v/>
          </cell>
        </row>
        <row r="740">
          <cell r="A740" t="str">
            <v>DOC. DIRECTOR BASICA IV T.S.E TID</v>
          </cell>
          <cell r="B740" t="str">
            <v>01667</v>
          </cell>
          <cell r="C740" t="str">
            <v>E</v>
          </cell>
          <cell r="D740" t="str">
            <v>DO</v>
          </cell>
          <cell r="E740" t="str">
            <v/>
          </cell>
        </row>
        <row r="741">
          <cell r="A741" t="str">
            <v>DOC. DIRECTOR BASICA V   77 TID</v>
          </cell>
          <cell r="B741" t="str">
            <v>00745</v>
          </cell>
          <cell r="C741" t="str">
            <v>E</v>
          </cell>
          <cell r="D741" t="str">
            <v>DO</v>
          </cell>
          <cell r="E741" t="str">
            <v/>
          </cell>
        </row>
        <row r="742">
          <cell r="A742" t="str">
            <v>DOC. DIRECTOR BASICA V  139 TID</v>
          </cell>
          <cell r="B742" t="str">
            <v>00755</v>
          </cell>
          <cell r="C742" t="str">
            <v>E</v>
          </cell>
          <cell r="D742" t="str">
            <v>DO</v>
          </cell>
          <cell r="E742" t="str">
            <v/>
          </cell>
        </row>
        <row r="743">
          <cell r="A743" t="str">
            <v>DOC. DIRECTOR BASICA VI  77 TCVNMA</v>
          </cell>
          <cell r="B743" t="str">
            <v>00766</v>
          </cell>
          <cell r="C743" t="str">
            <v>E</v>
          </cell>
          <cell r="D743" t="str">
            <v>DO</v>
          </cell>
          <cell r="E743" t="str">
            <v/>
          </cell>
        </row>
        <row r="744">
          <cell r="A744" t="str">
            <v>DOC. DIRECTOR BASICA VI  77 TID</v>
          </cell>
          <cell r="B744" t="str">
            <v>00746</v>
          </cell>
          <cell r="C744" t="str">
            <v>E</v>
          </cell>
          <cell r="D744" t="str">
            <v>DO</v>
          </cell>
          <cell r="E744" t="str">
            <v/>
          </cell>
        </row>
        <row r="745">
          <cell r="A745" t="str">
            <v>DOC. DIRECTOR BASICA VI  77 TINMA</v>
          </cell>
          <cell r="B745" t="str">
            <v>00806</v>
          </cell>
          <cell r="C745" t="str">
            <v>E</v>
          </cell>
          <cell r="D745" t="str">
            <v>DO</v>
          </cell>
          <cell r="E745" t="str">
            <v/>
          </cell>
        </row>
        <row r="746">
          <cell r="A746" t="str">
            <v>DOC. DIRECTOR BASICA VI 139 TCVNMA</v>
          </cell>
          <cell r="B746" t="str">
            <v>00776</v>
          </cell>
          <cell r="C746" t="str">
            <v>E</v>
          </cell>
          <cell r="D746" t="str">
            <v>DO</v>
          </cell>
          <cell r="E746" t="str">
            <v/>
          </cell>
        </row>
        <row r="747">
          <cell r="A747" t="str">
            <v>DOC. DIRECTOR BASICA VI 139 TID</v>
          </cell>
          <cell r="B747" t="str">
            <v>00756</v>
          </cell>
          <cell r="C747" t="str">
            <v>E</v>
          </cell>
          <cell r="D747" t="str">
            <v>DO</v>
          </cell>
          <cell r="E747" t="str">
            <v/>
          </cell>
        </row>
        <row r="748">
          <cell r="A748" t="str">
            <v>DOC. DIRECTOR BASICO I  T.S.E.</v>
          </cell>
          <cell r="B748" t="str">
            <v>01607</v>
          </cell>
          <cell r="C748" t="str">
            <v>E</v>
          </cell>
          <cell r="D748" t="str">
            <v>DO</v>
          </cell>
          <cell r="E748" t="str">
            <v/>
          </cell>
        </row>
        <row r="749">
          <cell r="A749" t="str">
            <v>DOC. DIRECTOR BASICO II  T.S.E.</v>
          </cell>
          <cell r="B749" t="str">
            <v>01608</v>
          </cell>
          <cell r="C749" t="str">
            <v>E</v>
          </cell>
          <cell r="D749" t="str">
            <v>DO</v>
          </cell>
          <cell r="E749" t="str">
            <v/>
          </cell>
        </row>
        <row r="750">
          <cell r="A750" t="str">
            <v>DOC. DIRECTOR BASICO III  T.S.E.</v>
          </cell>
          <cell r="B750" t="str">
            <v>01609</v>
          </cell>
          <cell r="C750" t="str">
            <v>E</v>
          </cell>
          <cell r="D750" t="str">
            <v>DO</v>
          </cell>
          <cell r="E750" t="str">
            <v/>
          </cell>
        </row>
        <row r="751">
          <cell r="A751" t="str">
            <v>DOC. DIRECTOR BASICO IV  T.S.E.</v>
          </cell>
          <cell r="B751" t="str">
            <v>01610</v>
          </cell>
          <cell r="C751" t="str">
            <v>E</v>
          </cell>
          <cell r="D751" t="str">
            <v>DO</v>
          </cell>
          <cell r="E751" t="str">
            <v/>
          </cell>
        </row>
        <row r="752">
          <cell r="A752" t="str">
            <v>DOC. DIRECTOR BASICO V  T.S.E.</v>
          </cell>
          <cell r="B752" t="str">
            <v>01611</v>
          </cell>
          <cell r="C752" t="str">
            <v>E</v>
          </cell>
          <cell r="D752" t="str">
            <v>DO</v>
          </cell>
          <cell r="E752" t="str">
            <v/>
          </cell>
        </row>
        <row r="753">
          <cell r="A753" t="str">
            <v>DOC. DIRECTOR BASICO VI  T.S.E.</v>
          </cell>
          <cell r="B753" t="str">
            <v>01612</v>
          </cell>
          <cell r="C753" t="str">
            <v>E</v>
          </cell>
          <cell r="D753" t="str">
            <v>DO</v>
          </cell>
          <cell r="E753" t="str">
            <v/>
          </cell>
        </row>
        <row r="754">
          <cell r="A754" t="str">
            <v>DOC. DIRECTOR N.G.</v>
          </cell>
          <cell r="B754" t="str">
            <v>00062</v>
          </cell>
          <cell r="C754" t="str">
            <v>E</v>
          </cell>
          <cell r="D754" t="str">
            <v>DO</v>
          </cell>
          <cell r="E754" t="str">
            <v/>
          </cell>
        </row>
        <row r="755">
          <cell r="A755" t="str">
            <v>DOC. DIRECTOR PRE-ESC  II  77  TID</v>
          </cell>
          <cell r="B755" t="str">
            <v>00722</v>
          </cell>
          <cell r="C755" t="str">
            <v>E</v>
          </cell>
          <cell r="D755" t="str">
            <v>DO</v>
          </cell>
          <cell r="E755" t="str">
            <v/>
          </cell>
        </row>
        <row r="756">
          <cell r="A756" t="str">
            <v>DOC. DIRECTOR PRE-ESC. I   77  TID</v>
          </cell>
          <cell r="B756" t="str">
            <v>00721</v>
          </cell>
          <cell r="C756" t="str">
            <v>E</v>
          </cell>
          <cell r="D756" t="str">
            <v>DO</v>
          </cell>
          <cell r="E756" t="str">
            <v/>
          </cell>
        </row>
        <row r="757">
          <cell r="A757" t="str">
            <v>DOC. DIRECTOR PRE-ESC. III  77 TID</v>
          </cell>
          <cell r="B757" t="str">
            <v>00723</v>
          </cell>
          <cell r="C757" t="str">
            <v>E</v>
          </cell>
          <cell r="D757" t="str">
            <v>DO</v>
          </cell>
          <cell r="E757" t="str">
            <v/>
          </cell>
        </row>
        <row r="758">
          <cell r="A758" t="str">
            <v>DOC. DIRECTOR PRE-ESC. III 139 TID</v>
          </cell>
          <cell r="B758" t="str">
            <v>00733</v>
          </cell>
          <cell r="C758" t="str">
            <v>E</v>
          </cell>
          <cell r="D758" t="str">
            <v>DO</v>
          </cell>
          <cell r="E758" t="str">
            <v/>
          </cell>
        </row>
        <row r="759">
          <cell r="A759" t="str">
            <v>DOC. DIRECTOR PRE-ESC. IV  139 TID</v>
          </cell>
          <cell r="B759" t="str">
            <v>00734</v>
          </cell>
          <cell r="C759" t="str">
            <v>E</v>
          </cell>
          <cell r="D759" t="str">
            <v>DO</v>
          </cell>
          <cell r="E759" t="str">
            <v/>
          </cell>
        </row>
        <row r="760">
          <cell r="A760" t="str">
            <v>DOC. DIRECTOR PRE-ESC. IV  77  TID</v>
          </cell>
          <cell r="B760" t="str">
            <v>00724</v>
          </cell>
          <cell r="C760" t="str">
            <v>E</v>
          </cell>
          <cell r="D760" t="str">
            <v>DO</v>
          </cell>
          <cell r="E760" t="str">
            <v/>
          </cell>
        </row>
        <row r="761">
          <cell r="A761" t="str">
            <v>DOC. DIRECTOR PRE-ESC. V   139 TID</v>
          </cell>
          <cell r="B761" t="str">
            <v>00735</v>
          </cell>
          <cell r="C761" t="str">
            <v>E</v>
          </cell>
          <cell r="D761" t="str">
            <v>DO</v>
          </cell>
          <cell r="E761" t="str">
            <v/>
          </cell>
        </row>
        <row r="762">
          <cell r="A762" t="str">
            <v>DOC. DIRECTOR PRE-ESC. V   77  TID</v>
          </cell>
          <cell r="B762" t="str">
            <v>00725</v>
          </cell>
          <cell r="C762" t="str">
            <v>E</v>
          </cell>
          <cell r="D762" t="str">
            <v>DO</v>
          </cell>
          <cell r="E762" t="str">
            <v/>
          </cell>
        </row>
        <row r="763">
          <cell r="A763" t="str">
            <v>DOC. DIRECTOR PRE-ESC. VI  139 TID</v>
          </cell>
          <cell r="B763" t="str">
            <v>00736</v>
          </cell>
          <cell r="C763" t="str">
            <v>E</v>
          </cell>
          <cell r="D763" t="str">
            <v>DO</v>
          </cell>
          <cell r="E763" t="str">
            <v/>
          </cell>
        </row>
        <row r="764">
          <cell r="A764" t="str">
            <v>DOC. DIRECTOR PRE-ESC. VI  77  TID</v>
          </cell>
          <cell r="B764" t="str">
            <v>00726</v>
          </cell>
          <cell r="C764" t="str">
            <v>E</v>
          </cell>
          <cell r="D764" t="str">
            <v>DO</v>
          </cell>
          <cell r="E764" t="str">
            <v/>
          </cell>
        </row>
        <row r="765">
          <cell r="A765" t="str">
            <v>DOC. DIRECTOR TCV NMA 77-III</v>
          </cell>
          <cell r="B765" t="str">
            <v>00763</v>
          </cell>
          <cell r="C765" t="str">
            <v>E</v>
          </cell>
          <cell r="D765" t="str">
            <v>DO</v>
          </cell>
          <cell r="E765" t="str">
            <v/>
          </cell>
        </row>
        <row r="766">
          <cell r="A766" t="str">
            <v>DOC. DIRECTOR VI 139</v>
          </cell>
          <cell r="B766" t="str">
            <v>00076</v>
          </cell>
          <cell r="C766" t="str">
            <v>E</v>
          </cell>
          <cell r="D766" t="str">
            <v>DO</v>
          </cell>
          <cell r="E766" t="str">
            <v/>
          </cell>
        </row>
        <row r="767">
          <cell r="A767" t="str">
            <v>DOC. DIRECTOR VI 77</v>
          </cell>
          <cell r="B767" t="str">
            <v>00066</v>
          </cell>
          <cell r="C767" t="str">
            <v>E</v>
          </cell>
          <cell r="D767" t="str">
            <v>DO</v>
          </cell>
          <cell r="E767" t="str">
            <v/>
          </cell>
        </row>
        <row r="768">
          <cell r="A768" t="str">
            <v>DOC. N.G.  TCVID (10 HORAS)/ TCVNMA (09 HORAS)</v>
          </cell>
          <cell r="B768" t="str">
            <v>40184</v>
          </cell>
          <cell r="C768" t="str">
            <v>E</v>
          </cell>
          <cell r="D768" t="str">
            <v>DO</v>
          </cell>
          <cell r="E768" t="str">
            <v/>
          </cell>
        </row>
        <row r="769">
          <cell r="A769" t="str">
            <v>DOC. ORI.BAS. III 77</v>
          </cell>
          <cell r="B769" t="str">
            <v>00870</v>
          </cell>
          <cell r="C769" t="str">
            <v>E</v>
          </cell>
          <cell r="D769" t="str">
            <v>DO</v>
          </cell>
          <cell r="E769" t="str">
            <v/>
          </cell>
        </row>
        <row r="770">
          <cell r="A770" t="str">
            <v>DOC. ORIEN. I 77 1-6 TC</v>
          </cell>
          <cell r="B770" t="str">
            <v>00098</v>
          </cell>
          <cell r="C770" t="str">
            <v>E</v>
          </cell>
          <cell r="D770" t="str">
            <v>DO</v>
          </cell>
          <cell r="E770" t="str">
            <v/>
          </cell>
        </row>
        <row r="771">
          <cell r="A771" t="str">
            <v>DOC. ORIEN. V 77 1-6 TID</v>
          </cell>
          <cell r="B771" t="str">
            <v>00099</v>
          </cell>
          <cell r="C771" t="str">
            <v>E</v>
          </cell>
          <cell r="D771" t="str">
            <v>DO</v>
          </cell>
          <cell r="E771" t="str">
            <v/>
          </cell>
        </row>
        <row r="772">
          <cell r="A772" t="str">
            <v>DOC. ORIENT. 77  III TID</v>
          </cell>
          <cell r="B772" t="str">
            <v>00094</v>
          </cell>
          <cell r="C772" t="str">
            <v>E</v>
          </cell>
          <cell r="D772" t="str">
            <v>DO</v>
          </cell>
          <cell r="E772" t="str">
            <v/>
          </cell>
        </row>
        <row r="773">
          <cell r="A773" t="str">
            <v>DOC. ORIENTADOR 77 TC IV</v>
          </cell>
          <cell r="B773" t="str">
            <v>01404</v>
          </cell>
          <cell r="C773" t="str">
            <v>E</v>
          </cell>
          <cell r="D773" t="str">
            <v>DO</v>
          </cell>
          <cell r="E773" t="str">
            <v/>
          </cell>
        </row>
        <row r="774">
          <cell r="A774" t="str">
            <v>DOC. ORIENTADOR 77 TC V</v>
          </cell>
          <cell r="B774" t="str">
            <v>01405</v>
          </cell>
          <cell r="C774" t="str">
            <v>E</v>
          </cell>
          <cell r="D774" t="str">
            <v>DO</v>
          </cell>
          <cell r="E774" t="str">
            <v/>
          </cell>
        </row>
        <row r="775">
          <cell r="A775" t="str">
            <v>DOC. ORIENTADOR 77-TC. I.</v>
          </cell>
          <cell r="B775" t="str">
            <v>00868</v>
          </cell>
          <cell r="C775" t="str">
            <v>E</v>
          </cell>
          <cell r="D775" t="str">
            <v>DO</v>
          </cell>
          <cell r="E775" t="str">
            <v/>
          </cell>
        </row>
        <row r="776">
          <cell r="A776" t="str">
            <v>DOC. PLAN.16 77  V</v>
          </cell>
          <cell r="B776" t="str">
            <v>00078</v>
          </cell>
          <cell r="C776" t="str">
            <v>E</v>
          </cell>
          <cell r="D776" t="str">
            <v>DO</v>
          </cell>
          <cell r="E776" t="str">
            <v/>
          </cell>
        </row>
        <row r="777">
          <cell r="A777" t="str">
            <v>DOC. PLAN.16 77 IV</v>
          </cell>
          <cell r="B777" t="str">
            <v>00077</v>
          </cell>
          <cell r="C777" t="str">
            <v>E</v>
          </cell>
          <cell r="D777" t="str">
            <v>DO</v>
          </cell>
          <cell r="E777" t="str">
            <v/>
          </cell>
        </row>
        <row r="778">
          <cell r="A778" t="str">
            <v>DOC. PLAN.16 77 VI</v>
          </cell>
          <cell r="B778" t="str">
            <v>00079</v>
          </cell>
          <cell r="C778" t="str">
            <v>E</v>
          </cell>
          <cell r="D778" t="str">
            <v>DO</v>
          </cell>
          <cell r="E778" t="str">
            <v/>
          </cell>
        </row>
        <row r="779">
          <cell r="A779" t="str">
            <v>DOC. PLANIF. V   TC</v>
          </cell>
          <cell r="B779" t="str">
            <v>00100</v>
          </cell>
          <cell r="C779" t="str">
            <v>E</v>
          </cell>
          <cell r="D779" t="str">
            <v>DO</v>
          </cell>
          <cell r="E779" t="str">
            <v/>
          </cell>
        </row>
        <row r="780">
          <cell r="A780" t="str">
            <v>DOC. PRE-ESC I 77 TID INTERINO</v>
          </cell>
          <cell r="B780" t="str">
            <v>00301</v>
          </cell>
          <cell r="C780" t="str">
            <v>E</v>
          </cell>
          <cell r="D780" t="str">
            <v>DO</v>
          </cell>
          <cell r="E780" t="str">
            <v/>
          </cell>
        </row>
        <row r="781">
          <cell r="A781" t="str">
            <v>DOC. PRE-ESC I TSE TID INTERINO</v>
          </cell>
          <cell r="B781" t="str">
            <v>00331</v>
          </cell>
          <cell r="C781" t="str">
            <v>E</v>
          </cell>
          <cell r="D781" t="str">
            <v>DO</v>
          </cell>
          <cell r="E781" t="str">
            <v/>
          </cell>
        </row>
        <row r="782">
          <cell r="A782" t="str">
            <v>DOC. PRE-ESC TSE TID I</v>
          </cell>
          <cell r="B782" t="str">
            <v>01601</v>
          </cell>
          <cell r="C782" t="str">
            <v>E</v>
          </cell>
          <cell r="D782" t="str">
            <v>DO</v>
          </cell>
          <cell r="E782" t="str">
            <v/>
          </cell>
        </row>
        <row r="783">
          <cell r="A783" t="str">
            <v>DOC. PRE-ESC TSE TID II</v>
          </cell>
          <cell r="B783" t="str">
            <v>01602</v>
          </cell>
          <cell r="C783" t="str">
            <v>E</v>
          </cell>
          <cell r="D783" t="str">
            <v>DO</v>
          </cell>
          <cell r="E783" t="str">
            <v/>
          </cell>
        </row>
        <row r="784">
          <cell r="A784" t="str">
            <v>DOC. PRE-ESC TSE TID III</v>
          </cell>
          <cell r="B784" t="str">
            <v>01603</v>
          </cell>
          <cell r="C784" t="str">
            <v>E</v>
          </cell>
          <cell r="D784" t="str">
            <v>DO</v>
          </cell>
          <cell r="E784" t="str">
            <v/>
          </cell>
        </row>
        <row r="785">
          <cell r="A785" t="str">
            <v>DOC. PRE-ESC TSE TID IV</v>
          </cell>
          <cell r="B785" t="str">
            <v>01604</v>
          </cell>
          <cell r="C785" t="str">
            <v>E</v>
          </cell>
          <cell r="D785" t="str">
            <v>DO</v>
          </cell>
          <cell r="E785" t="str">
            <v/>
          </cell>
        </row>
        <row r="786">
          <cell r="A786" t="str">
            <v>DOC. PRE-ESC TSE TID V</v>
          </cell>
          <cell r="B786" t="str">
            <v>01605</v>
          </cell>
          <cell r="C786" t="str">
            <v>E</v>
          </cell>
          <cell r="D786" t="str">
            <v>DO</v>
          </cell>
          <cell r="E786" t="str">
            <v/>
          </cell>
        </row>
        <row r="787">
          <cell r="A787" t="str">
            <v>DOC. PRE-ESC TSE TID VI</v>
          </cell>
          <cell r="B787" t="str">
            <v>01606</v>
          </cell>
          <cell r="C787" t="str">
            <v>E</v>
          </cell>
          <cell r="D787" t="str">
            <v>DO</v>
          </cell>
          <cell r="E787" t="str">
            <v/>
          </cell>
        </row>
        <row r="788">
          <cell r="A788" t="str">
            <v>DOC. PRE-ESC. I   139 TID</v>
          </cell>
          <cell r="B788" t="str">
            <v>00111</v>
          </cell>
          <cell r="C788" t="str">
            <v>E</v>
          </cell>
          <cell r="D788" t="str">
            <v>DO</v>
          </cell>
          <cell r="E788" t="str">
            <v/>
          </cell>
        </row>
        <row r="789">
          <cell r="A789" t="str">
            <v>DOC. PRE-ESC. I   77  TID</v>
          </cell>
          <cell r="B789" t="str">
            <v>00101</v>
          </cell>
          <cell r="C789" t="str">
            <v>E</v>
          </cell>
          <cell r="D789" t="str">
            <v>DO</v>
          </cell>
          <cell r="E789" t="str">
            <v/>
          </cell>
        </row>
        <row r="790">
          <cell r="A790" t="str">
            <v>DOC. PRE-ESC. II  139 TID</v>
          </cell>
          <cell r="B790" t="str">
            <v>00112</v>
          </cell>
          <cell r="C790" t="str">
            <v>E</v>
          </cell>
          <cell r="D790" t="str">
            <v>DO</v>
          </cell>
          <cell r="E790" t="str">
            <v/>
          </cell>
        </row>
        <row r="791">
          <cell r="A791" t="str">
            <v>DOC. PRE-ESC. II  77  TID</v>
          </cell>
          <cell r="B791" t="str">
            <v>00102</v>
          </cell>
          <cell r="C791" t="str">
            <v>E</v>
          </cell>
          <cell r="D791" t="str">
            <v>DO</v>
          </cell>
          <cell r="E791" t="str">
            <v/>
          </cell>
        </row>
        <row r="792">
          <cell r="A792" t="str">
            <v>DOC. PRE-ESC. III 139 TID</v>
          </cell>
          <cell r="B792" t="str">
            <v>00113</v>
          </cell>
          <cell r="C792" t="str">
            <v>E</v>
          </cell>
          <cell r="D792" t="str">
            <v>DO</v>
          </cell>
          <cell r="E792" t="str">
            <v/>
          </cell>
        </row>
        <row r="793">
          <cell r="A793" t="str">
            <v>DOC. PRE-ESC. III 77  TID</v>
          </cell>
          <cell r="B793" t="str">
            <v>00103</v>
          </cell>
          <cell r="C793" t="str">
            <v>E</v>
          </cell>
          <cell r="D793" t="str">
            <v>DO</v>
          </cell>
          <cell r="E793" t="str">
            <v/>
          </cell>
        </row>
        <row r="794">
          <cell r="A794" t="str">
            <v>DOC. PRE-ESC. IV  139 TID</v>
          </cell>
          <cell r="B794" t="str">
            <v>00114</v>
          </cell>
          <cell r="C794" t="str">
            <v>E</v>
          </cell>
          <cell r="D794" t="str">
            <v>DO</v>
          </cell>
          <cell r="E794" t="str">
            <v/>
          </cell>
        </row>
        <row r="795">
          <cell r="A795" t="str">
            <v>DOC. PRE-ESC. IV  77  TID</v>
          </cell>
          <cell r="B795" t="str">
            <v>00104</v>
          </cell>
          <cell r="C795" t="str">
            <v>E</v>
          </cell>
          <cell r="D795" t="str">
            <v>DO</v>
          </cell>
          <cell r="E795" t="str">
            <v/>
          </cell>
        </row>
        <row r="796">
          <cell r="A796" t="str">
            <v>DOC. PRE-ESC. V   139 TID</v>
          </cell>
          <cell r="B796" t="str">
            <v>00115</v>
          </cell>
          <cell r="C796" t="str">
            <v>E</v>
          </cell>
          <cell r="D796" t="str">
            <v>DO</v>
          </cell>
          <cell r="E796" t="str">
            <v/>
          </cell>
        </row>
        <row r="797">
          <cell r="A797" t="str">
            <v>DOC. PRE-ESC. V   77  TID</v>
          </cell>
          <cell r="B797" t="str">
            <v>00105</v>
          </cell>
          <cell r="C797" t="str">
            <v>E</v>
          </cell>
          <cell r="D797" t="str">
            <v>DO</v>
          </cell>
          <cell r="E797" t="str">
            <v/>
          </cell>
        </row>
        <row r="798">
          <cell r="A798" t="str">
            <v>DOC. PRE-ESC. VI  139 TID</v>
          </cell>
          <cell r="B798" t="str">
            <v>00116</v>
          </cell>
          <cell r="C798" t="str">
            <v>E</v>
          </cell>
          <cell r="D798" t="str">
            <v>DO</v>
          </cell>
          <cell r="E798" t="str">
            <v/>
          </cell>
        </row>
        <row r="799">
          <cell r="A799" t="str">
            <v>DOC. PRE-ESC. VI  77  TID</v>
          </cell>
          <cell r="B799" t="str">
            <v>00106</v>
          </cell>
          <cell r="C799" t="str">
            <v>E</v>
          </cell>
          <cell r="D799" t="str">
            <v>DO</v>
          </cell>
          <cell r="E799" t="str">
            <v/>
          </cell>
        </row>
        <row r="800">
          <cell r="A800" t="str">
            <v>DOC. PRE-ESCOLAR N.G.</v>
          </cell>
          <cell r="B800" t="str">
            <v>00061</v>
          </cell>
          <cell r="C800" t="str">
            <v>E</v>
          </cell>
          <cell r="D800" t="str">
            <v>DO</v>
          </cell>
          <cell r="E800" t="str">
            <v/>
          </cell>
        </row>
        <row r="801">
          <cell r="A801" t="str">
            <v>DOC. SUB DIR. IV  77 TID /DOC BASICA IV 77 TCVNMA</v>
          </cell>
          <cell r="B801" t="str">
            <v>40181</v>
          </cell>
          <cell r="C801" t="str">
            <v>E</v>
          </cell>
          <cell r="D801" t="str">
            <v>DO</v>
          </cell>
          <cell r="E801" t="str">
            <v/>
          </cell>
        </row>
        <row r="802">
          <cell r="A802" t="str">
            <v>DOC. SUB DIRECTOR BASICA  I  139 TID</v>
          </cell>
          <cell r="B802" t="str">
            <v>00651</v>
          </cell>
          <cell r="C802" t="str">
            <v>E</v>
          </cell>
          <cell r="D802" t="str">
            <v>DO</v>
          </cell>
          <cell r="E802" t="str">
            <v/>
          </cell>
        </row>
        <row r="803">
          <cell r="A803" t="str">
            <v>DOC. SUB DIRECTOR BASICA  II 139 TID</v>
          </cell>
          <cell r="B803" t="str">
            <v>00652</v>
          </cell>
          <cell r="C803" t="str">
            <v>E</v>
          </cell>
          <cell r="D803" t="str">
            <v>DO</v>
          </cell>
          <cell r="E803" t="str">
            <v/>
          </cell>
        </row>
        <row r="804">
          <cell r="A804" t="str">
            <v>DOC. SUB DIRECTOR BASICA 77 TID</v>
          </cell>
          <cell r="B804" t="str">
            <v>00640</v>
          </cell>
          <cell r="C804" t="str">
            <v>E</v>
          </cell>
          <cell r="D804" t="str">
            <v>DO</v>
          </cell>
          <cell r="E804" t="str">
            <v/>
          </cell>
        </row>
        <row r="805">
          <cell r="A805" t="str">
            <v>DOC. SUB DIRECTOR BASICA I 77 TID</v>
          </cell>
          <cell r="B805" t="str">
            <v>00641</v>
          </cell>
          <cell r="C805" t="str">
            <v>E</v>
          </cell>
          <cell r="D805" t="str">
            <v>DO</v>
          </cell>
          <cell r="E805" t="str">
            <v/>
          </cell>
        </row>
        <row r="806">
          <cell r="A806" t="str">
            <v>DOC. SUB DIRECTOR BASICA II  77 TID</v>
          </cell>
          <cell r="B806" t="str">
            <v>00642</v>
          </cell>
          <cell r="C806" t="str">
            <v>E</v>
          </cell>
          <cell r="D806" t="str">
            <v>DO</v>
          </cell>
          <cell r="E806" t="str">
            <v/>
          </cell>
        </row>
        <row r="807">
          <cell r="A807" t="str">
            <v>DOC. SUB DIRECTOR BASICA III  77 TID</v>
          </cell>
          <cell r="B807" t="str">
            <v>00643</v>
          </cell>
          <cell r="C807" t="str">
            <v>E</v>
          </cell>
          <cell r="D807" t="str">
            <v>DO</v>
          </cell>
          <cell r="E807" t="str">
            <v/>
          </cell>
        </row>
        <row r="808">
          <cell r="A808" t="str">
            <v>DOC. SUB DIRECTOR BASICA III 139 TID</v>
          </cell>
          <cell r="B808" t="str">
            <v>00653</v>
          </cell>
          <cell r="C808" t="str">
            <v>E</v>
          </cell>
          <cell r="D808" t="str">
            <v>DO</v>
          </cell>
          <cell r="E808" t="str">
            <v/>
          </cell>
        </row>
        <row r="809">
          <cell r="A809" t="str">
            <v>DOC. SUB DIRECTOR BASICA IV  77 TID</v>
          </cell>
          <cell r="B809" t="str">
            <v>00644</v>
          </cell>
          <cell r="C809" t="str">
            <v>E</v>
          </cell>
          <cell r="D809" t="str">
            <v>DO</v>
          </cell>
          <cell r="E809" t="str">
            <v/>
          </cell>
        </row>
        <row r="810">
          <cell r="A810" t="str">
            <v>DOC. SUB DIRECTOR BASICA IV  T.S.E</v>
          </cell>
          <cell r="B810" t="str">
            <v>01616</v>
          </cell>
          <cell r="C810" t="str">
            <v>E</v>
          </cell>
          <cell r="D810" t="str">
            <v>DO</v>
          </cell>
          <cell r="E810" t="str">
            <v/>
          </cell>
        </row>
        <row r="811">
          <cell r="A811" t="str">
            <v>DOC. SUB DIRECTOR BASICA IV  TID</v>
          </cell>
          <cell r="B811" t="str">
            <v>00634</v>
          </cell>
          <cell r="C811" t="str">
            <v>E</v>
          </cell>
          <cell r="D811" t="str">
            <v>DO</v>
          </cell>
          <cell r="E811" t="str">
            <v/>
          </cell>
        </row>
        <row r="812">
          <cell r="A812" t="str">
            <v>DOC. SUB DIRECTOR BASICA IV 139 TID</v>
          </cell>
          <cell r="B812" t="str">
            <v>00654</v>
          </cell>
          <cell r="C812" t="str">
            <v>E</v>
          </cell>
          <cell r="D812" t="str">
            <v>DO</v>
          </cell>
          <cell r="E812" t="str">
            <v/>
          </cell>
        </row>
        <row r="813">
          <cell r="A813" t="str">
            <v>DOC. SUB DIRECTOR BASICA V   77 TID</v>
          </cell>
          <cell r="B813" t="str">
            <v>00645</v>
          </cell>
          <cell r="C813" t="str">
            <v>E</v>
          </cell>
          <cell r="D813" t="str">
            <v>DO</v>
          </cell>
          <cell r="E813" t="str">
            <v/>
          </cell>
        </row>
        <row r="814">
          <cell r="A814" t="str">
            <v>DOC. SUB DIRECTOR BASICA V  139 TID</v>
          </cell>
          <cell r="B814" t="str">
            <v>00655</v>
          </cell>
          <cell r="C814" t="str">
            <v>E</v>
          </cell>
          <cell r="D814" t="str">
            <v>DO</v>
          </cell>
          <cell r="E814" t="str">
            <v/>
          </cell>
        </row>
        <row r="815">
          <cell r="A815" t="str">
            <v>DOC. SUB DIRECTOR BASICA VI  77 TCVNMA</v>
          </cell>
          <cell r="B815" t="str">
            <v>00666</v>
          </cell>
          <cell r="C815" t="str">
            <v>E</v>
          </cell>
          <cell r="D815" t="str">
            <v>DO</v>
          </cell>
          <cell r="E815" t="str">
            <v/>
          </cell>
        </row>
        <row r="816">
          <cell r="A816" t="str">
            <v>DOC. SUB DIRECTOR BASICA VI  77 TID</v>
          </cell>
          <cell r="B816" t="str">
            <v>00646</v>
          </cell>
          <cell r="C816" t="str">
            <v>E</v>
          </cell>
          <cell r="D816" t="str">
            <v>DO</v>
          </cell>
          <cell r="E816" t="str">
            <v/>
          </cell>
        </row>
        <row r="817">
          <cell r="A817" t="str">
            <v>DOC. SUB DIRECTOR BASICA VI 139 TID</v>
          </cell>
          <cell r="B817" t="str">
            <v>00656</v>
          </cell>
          <cell r="C817" t="str">
            <v>E</v>
          </cell>
          <cell r="D817" t="str">
            <v>DO</v>
          </cell>
          <cell r="E817" t="str">
            <v/>
          </cell>
        </row>
        <row r="818">
          <cell r="A818" t="str">
            <v>DOC. SUB DIRECTOR BASICO I  T.S.E.</v>
          </cell>
          <cell r="B818" t="str">
            <v>01613</v>
          </cell>
          <cell r="C818" t="str">
            <v>E</v>
          </cell>
          <cell r="D818" t="str">
            <v>DO</v>
          </cell>
          <cell r="E818" t="str">
            <v/>
          </cell>
        </row>
        <row r="819">
          <cell r="A819" t="str">
            <v>DOC. SUB DIRECTOR BASICO IV  T.S.E.</v>
          </cell>
          <cell r="B819" t="str">
            <v>01614</v>
          </cell>
          <cell r="C819" t="str">
            <v>E</v>
          </cell>
          <cell r="D819" t="str">
            <v>DO</v>
          </cell>
          <cell r="E819" t="str">
            <v/>
          </cell>
        </row>
        <row r="820">
          <cell r="A820" t="str">
            <v>DOC. SUB DIRECTOR BASICO V  T.S.E.</v>
          </cell>
          <cell r="B820" t="str">
            <v>01615</v>
          </cell>
          <cell r="C820" t="str">
            <v>E</v>
          </cell>
          <cell r="D820" t="str">
            <v>DO</v>
          </cell>
          <cell r="E820" t="str">
            <v/>
          </cell>
        </row>
        <row r="821">
          <cell r="A821" t="str">
            <v>DOC. SUB DIRECTOR BASICO VI T.S.E.</v>
          </cell>
          <cell r="B821" t="str">
            <v>01618</v>
          </cell>
          <cell r="C821" t="str">
            <v>E</v>
          </cell>
          <cell r="D821" t="str">
            <v>DO</v>
          </cell>
          <cell r="E821" t="str">
            <v/>
          </cell>
        </row>
        <row r="822">
          <cell r="A822" t="str">
            <v>DOC. SUB DIRECTOR N.G. TIDN</v>
          </cell>
          <cell r="B822" t="str">
            <v>00053</v>
          </cell>
          <cell r="C822" t="str">
            <v>E</v>
          </cell>
          <cell r="D822" t="str">
            <v>DO</v>
          </cell>
          <cell r="E822" t="str">
            <v/>
          </cell>
        </row>
        <row r="823">
          <cell r="A823" t="str">
            <v>DOC. SUB DIRECTOR PRE-ESC. T.S.E. TID II</v>
          </cell>
          <cell r="B823" t="str">
            <v>00627</v>
          </cell>
          <cell r="C823" t="str">
            <v>E</v>
          </cell>
          <cell r="D823" t="str">
            <v>DO</v>
          </cell>
          <cell r="E823" t="str">
            <v/>
          </cell>
        </row>
        <row r="824">
          <cell r="A824" t="str">
            <v>DOC. SUB DIRECTOR PRE-ESC. T.S.E. TID II</v>
          </cell>
          <cell r="B824" t="str">
            <v>00628</v>
          </cell>
          <cell r="C824" t="str">
            <v>E</v>
          </cell>
          <cell r="D824" t="str">
            <v>DO</v>
          </cell>
          <cell r="E824" t="str">
            <v/>
          </cell>
        </row>
        <row r="825">
          <cell r="A825" t="str">
            <v>DOC. SUB DIRECTOR PRE-ESC. T.S.E. TID IV</v>
          </cell>
          <cell r="B825" t="str">
            <v>00629</v>
          </cell>
          <cell r="C825" t="str">
            <v>E</v>
          </cell>
          <cell r="D825" t="str">
            <v>DO</v>
          </cell>
          <cell r="E825" t="str">
            <v/>
          </cell>
        </row>
        <row r="826">
          <cell r="A826" t="str">
            <v>DOC. SUB DIRECTOR PRE-ESC. T.S.E. TID V</v>
          </cell>
          <cell r="B826" t="str">
            <v>00630</v>
          </cell>
          <cell r="C826" t="str">
            <v>E</v>
          </cell>
          <cell r="D826" t="str">
            <v>DO</v>
          </cell>
          <cell r="E826" t="str">
            <v/>
          </cell>
        </row>
        <row r="827">
          <cell r="A827" t="str">
            <v>DOC. SUB DIRECTOR PRE-ESC. T.S.E. TID VI</v>
          </cell>
          <cell r="B827" t="str">
            <v>00631</v>
          </cell>
          <cell r="C827" t="str">
            <v>E</v>
          </cell>
          <cell r="D827" t="str">
            <v>DO</v>
          </cell>
          <cell r="E827" t="str">
            <v/>
          </cell>
        </row>
        <row r="828">
          <cell r="A828" t="str">
            <v>DOC. SUB DIRECTOR PRE-ESCOLAR II 139</v>
          </cell>
          <cell r="B828" t="str">
            <v>00632</v>
          </cell>
          <cell r="C828" t="str">
            <v>E</v>
          </cell>
          <cell r="D828" t="str">
            <v>DO</v>
          </cell>
          <cell r="E828" t="str">
            <v/>
          </cell>
        </row>
        <row r="829">
          <cell r="A829" t="str">
            <v>DOC. SUB DIRECTOR PRE-ESCOLAR II 77</v>
          </cell>
          <cell r="B829" t="str">
            <v>00622</v>
          </cell>
          <cell r="C829" t="str">
            <v>E</v>
          </cell>
          <cell r="D829" t="str">
            <v>DO</v>
          </cell>
          <cell r="E829" t="str">
            <v/>
          </cell>
        </row>
        <row r="830">
          <cell r="A830" t="str">
            <v>DOC. SUB DIRECTOR PRE-ESCOLAR III 77</v>
          </cell>
          <cell r="B830" t="str">
            <v>00623</v>
          </cell>
          <cell r="C830" t="str">
            <v>E</v>
          </cell>
          <cell r="D830" t="str">
            <v>DO</v>
          </cell>
          <cell r="E830" t="str">
            <v/>
          </cell>
        </row>
        <row r="831">
          <cell r="A831" t="str">
            <v>DOC. SUB DIRECTOR PRE-ESCOLAR IV 77</v>
          </cell>
          <cell r="B831" t="str">
            <v>00624</v>
          </cell>
          <cell r="C831" t="str">
            <v>E</v>
          </cell>
          <cell r="D831" t="str">
            <v>DO</v>
          </cell>
          <cell r="E831" t="str">
            <v/>
          </cell>
        </row>
        <row r="832">
          <cell r="A832" t="str">
            <v>DOC. SUB DIRECTOR PRE-ESCOLAR V  139</v>
          </cell>
          <cell r="B832" t="str">
            <v>00635</v>
          </cell>
          <cell r="C832" t="str">
            <v>E</v>
          </cell>
          <cell r="D832" t="str">
            <v>DO</v>
          </cell>
          <cell r="E832" t="str">
            <v/>
          </cell>
        </row>
        <row r="833">
          <cell r="A833" t="str">
            <v>DOC. SUB DIRECTOR PRE-ESCOLAR V  77</v>
          </cell>
          <cell r="B833" t="str">
            <v>00625</v>
          </cell>
          <cell r="C833" t="str">
            <v>E</v>
          </cell>
          <cell r="D833" t="str">
            <v>DO</v>
          </cell>
          <cell r="E833" t="str">
            <v/>
          </cell>
        </row>
        <row r="834">
          <cell r="A834" t="str">
            <v>DOC. SUB DIRECTOR PRE-ESCOLAR VI 139</v>
          </cell>
          <cell r="B834" t="str">
            <v>00636</v>
          </cell>
          <cell r="C834" t="str">
            <v>E</v>
          </cell>
          <cell r="D834" t="str">
            <v>DO</v>
          </cell>
          <cell r="E834" t="str">
            <v/>
          </cell>
        </row>
        <row r="835">
          <cell r="A835" t="str">
            <v>DOC. SUB DIRECTOR PRE-ESCOLAR VI 77</v>
          </cell>
          <cell r="B835" t="str">
            <v>00626</v>
          </cell>
          <cell r="C835" t="str">
            <v>E</v>
          </cell>
          <cell r="D835" t="str">
            <v>DO</v>
          </cell>
          <cell r="E835" t="str">
            <v/>
          </cell>
        </row>
        <row r="836">
          <cell r="A836" t="str">
            <v>DOC. SUB. DIR. BAS. VI 77 (36 HORAS) DOC BAS VI 77 TCVD (14 HORAS)</v>
          </cell>
          <cell r="B836" t="str">
            <v>40212</v>
          </cell>
          <cell r="C836" t="str">
            <v>E</v>
          </cell>
          <cell r="D836" t="str">
            <v>DO</v>
          </cell>
          <cell r="E836" t="str">
            <v/>
          </cell>
        </row>
        <row r="837">
          <cell r="A837" t="str">
            <v>DOC. SUBDIR. BAS. (36 HORAS) Y PROF. DE KINDER MUSICAL (16 HORAS)</v>
          </cell>
          <cell r="B837" t="str">
            <v>40236</v>
          </cell>
          <cell r="C837" t="str">
            <v>E</v>
          </cell>
          <cell r="D837" t="str">
            <v>DO</v>
          </cell>
          <cell r="E837" t="str">
            <v/>
          </cell>
        </row>
        <row r="838">
          <cell r="A838" t="str">
            <v>DOC. SUP. BAS.  VI 77 TC (40 HORAS) TCVNMA (16 HORAS)</v>
          </cell>
          <cell r="B838" t="str">
            <v>40183</v>
          </cell>
          <cell r="C838" t="str">
            <v>E</v>
          </cell>
          <cell r="D838" t="str">
            <v>DO</v>
          </cell>
          <cell r="E838" t="str">
            <v/>
          </cell>
        </row>
        <row r="839">
          <cell r="A839" t="str">
            <v>DOC. SUP. BAS. III 77</v>
          </cell>
          <cell r="B839" t="str">
            <v>00863</v>
          </cell>
          <cell r="C839" t="str">
            <v>E</v>
          </cell>
          <cell r="D839" t="str">
            <v>DO</v>
          </cell>
          <cell r="E839" t="str">
            <v/>
          </cell>
        </row>
        <row r="840">
          <cell r="A840" t="str">
            <v>DOC. SUP.BAS  VI 77  TC</v>
          </cell>
          <cell r="B840" t="str">
            <v>00866</v>
          </cell>
          <cell r="C840" t="str">
            <v>E</v>
          </cell>
          <cell r="D840" t="str">
            <v>DO</v>
          </cell>
          <cell r="E840" t="str">
            <v/>
          </cell>
        </row>
        <row r="841">
          <cell r="A841" t="str">
            <v>DOC. SUP.BAS. II 77  TC</v>
          </cell>
          <cell r="B841" t="str">
            <v>00862</v>
          </cell>
          <cell r="C841" t="str">
            <v>E</v>
          </cell>
          <cell r="D841" t="str">
            <v>DO</v>
          </cell>
          <cell r="E841" t="str">
            <v/>
          </cell>
        </row>
        <row r="842">
          <cell r="A842" t="str">
            <v>DOC. SUP.BAS. IV 139 TC</v>
          </cell>
          <cell r="B842" t="str">
            <v>00874</v>
          </cell>
          <cell r="C842" t="str">
            <v>E</v>
          </cell>
          <cell r="D842" t="str">
            <v>DO</v>
          </cell>
          <cell r="E842" t="str">
            <v/>
          </cell>
        </row>
        <row r="843">
          <cell r="A843" t="str">
            <v>DOC. SUP.BAS. IV 77  TC</v>
          </cell>
          <cell r="B843" t="str">
            <v>00864</v>
          </cell>
          <cell r="C843" t="str">
            <v>E</v>
          </cell>
          <cell r="D843" t="str">
            <v>DO</v>
          </cell>
          <cell r="E843" t="str">
            <v/>
          </cell>
        </row>
        <row r="844">
          <cell r="A844" t="str">
            <v>DOC. SUP.BAS. V  139 TC</v>
          </cell>
          <cell r="B844" t="str">
            <v>00875</v>
          </cell>
          <cell r="C844" t="str">
            <v>E</v>
          </cell>
          <cell r="D844" t="str">
            <v>DO</v>
          </cell>
          <cell r="E844" t="str">
            <v/>
          </cell>
        </row>
        <row r="845">
          <cell r="A845" t="str">
            <v>DOC. SUP.BAS. V  77  TC</v>
          </cell>
          <cell r="B845" t="str">
            <v>00865</v>
          </cell>
          <cell r="C845" t="str">
            <v>E</v>
          </cell>
          <cell r="D845" t="str">
            <v>DO</v>
          </cell>
          <cell r="E845" t="str">
            <v/>
          </cell>
        </row>
        <row r="846">
          <cell r="A846" t="str">
            <v>DOC. SUP.BAS. VI 139 TC</v>
          </cell>
          <cell r="B846" t="str">
            <v>00876</v>
          </cell>
          <cell r="C846" t="str">
            <v>E</v>
          </cell>
          <cell r="D846" t="str">
            <v>DO</v>
          </cell>
          <cell r="E846" t="str">
            <v/>
          </cell>
        </row>
        <row r="847">
          <cell r="A847" t="str">
            <v>DOC. SUP.NG. III MEFDTC</v>
          </cell>
          <cell r="B847" t="str">
            <v>00073</v>
          </cell>
          <cell r="C847" t="str">
            <v>E</v>
          </cell>
          <cell r="D847" t="str">
            <v>DO</v>
          </cell>
          <cell r="E847" t="str">
            <v/>
          </cell>
        </row>
        <row r="848">
          <cell r="A848" t="str">
            <v>DOC.BAS VI 77 TID (33.33 HORAS) / TCVD (16 HORAS)</v>
          </cell>
          <cell r="B848" t="str">
            <v>40203</v>
          </cell>
          <cell r="C848" t="str">
            <v>E</v>
          </cell>
          <cell r="D848" t="str">
            <v>DO</v>
          </cell>
          <cell r="E848" t="str">
            <v/>
          </cell>
        </row>
        <row r="849">
          <cell r="A849" t="str">
            <v>DOC.BAS. V 77 TID (33.33 HORAS) /TCVD (05 HORAS)</v>
          </cell>
          <cell r="B849" t="str">
            <v>40197</v>
          </cell>
          <cell r="C849" t="str">
            <v>E</v>
          </cell>
          <cell r="D849" t="str">
            <v>DO</v>
          </cell>
          <cell r="E849" t="str">
            <v/>
          </cell>
        </row>
        <row r="850">
          <cell r="A850" t="str">
            <v>DOC.BAS. V 77 TID (33.33 HORAS)-TCVD (05 HORAS)</v>
          </cell>
          <cell r="B850" t="str">
            <v>40198</v>
          </cell>
          <cell r="C850" t="str">
            <v>E</v>
          </cell>
          <cell r="D850" t="str">
            <v>DO</v>
          </cell>
          <cell r="E850" t="str">
            <v/>
          </cell>
        </row>
        <row r="851">
          <cell r="A851" t="str">
            <v>DOC.BAS. VI 77 TID  (33.33 HORAS) /TCVD (05 HORAS)</v>
          </cell>
          <cell r="B851" t="str">
            <v>40192</v>
          </cell>
          <cell r="C851" t="str">
            <v>E</v>
          </cell>
          <cell r="D851" t="str">
            <v>DO</v>
          </cell>
          <cell r="E851" t="str">
            <v/>
          </cell>
        </row>
        <row r="852">
          <cell r="A852" t="str">
            <v>DOC.BAS. VI 77 TID (33,33 HORAS) / TCVD (20 HORAS)</v>
          </cell>
          <cell r="B852" t="str">
            <v>40214</v>
          </cell>
          <cell r="C852" t="str">
            <v>E</v>
          </cell>
          <cell r="D852" t="str">
            <v>DO</v>
          </cell>
          <cell r="E852" t="str">
            <v/>
          </cell>
        </row>
        <row r="853">
          <cell r="A853" t="str">
            <v>DOC.BAS. VI 77 TID (33.33 HORAS) /TCVD (20 HORAS)</v>
          </cell>
          <cell r="B853" t="str">
            <v>40206</v>
          </cell>
          <cell r="C853" t="str">
            <v>E</v>
          </cell>
          <cell r="D853" t="str">
            <v>DO</v>
          </cell>
          <cell r="E853" t="str">
            <v/>
          </cell>
        </row>
        <row r="854">
          <cell r="A854" t="str">
            <v>DOC.BAS. VI 77 TID (36 HORAS) /TCVD (08 HORAS)</v>
          </cell>
          <cell r="B854" t="str">
            <v>40180</v>
          </cell>
          <cell r="C854" t="str">
            <v>E</v>
          </cell>
          <cell r="D854" t="str">
            <v>DO</v>
          </cell>
          <cell r="E854" t="str">
            <v/>
          </cell>
        </row>
        <row r="855">
          <cell r="A855" t="str">
            <v>DOC.BAS. VI 77 TID (36 HORAS) /TCVD (14 HORAS)</v>
          </cell>
          <cell r="B855" t="str">
            <v>40208</v>
          </cell>
          <cell r="C855" t="str">
            <v>E</v>
          </cell>
          <cell r="D855" t="str">
            <v>DO</v>
          </cell>
          <cell r="E855" t="str">
            <v/>
          </cell>
        </row>
        <row r="856">
          <cell r="A856" t="str">
            <v>DOC.BAS. VI 77TID (33.33 HORAS) / TCVMNA (16 HORAS)</v>
          </cell>
          <cell r="B856" t="str">
            <v>40200</v>
          </cell>
          <cell r="C856" t="str">
            <v>E</v>
          </cell>
          <cell r="D856" t="str">
            <v>DO</v>
          </cell>
          <cell r="E856" t="str">
            <v/>
          </cell>
        </row>
        <row r="857">
          <cell r="A857" t="str">
            <v>DOC.BAS.VI 77 TID (33 HORAS) /TCVD (14 HORAS)</v>
          </cell>
          <cell r="B857" t="str">
            <v>40210</v>
          </cell>
          <cell r="C857" t="str">
            <v>E</v>
          </cell>
          <cell r="D857" t="str">
            <v>DO</v>
          </cell>
          <cell r="E857" t="str">
            <v/>
          </cell>
        </row>
        <row r="858">
          <cell r="A858" t="str">
            <v>DOC.BAS.VI 77 TID (33.33 HORAS) /TCVD (10 HORAS)</v>
          </cell>
          <cell r="B858" t="str">
            <v>40207</v>
          </cell>
          <cell r="C858" t="str">
            <v>E</v>
          </cell>
          <cell r="D858" t="str">
            <v>DO</v>
          </cell>
          <cell r="E858" t="str">
            <v/>
          </cell>
        </row>
        <row r="859">
          <cell r="A859" t="str">
            <v>DOC.DIRECTOR BASICA VI 139 TID (36HRS) Y ALFABETIZADOR V 139 (16HRS)</v>
          </cell>
          <cell r="B859" t="str">
            <v>40023</v>
          </cell>
          <cell r="C859" t="str">
            <v>E</v>
          </cell>
          <cell r="D859" t="str">
            <v>DO</v>
          </cell>
          <cell r="E859" t="str">
            <v/>
          </cell>
        </row>
        <row r="860">
          <cell r="A860" t="str">
            <v>DOC.PRE-ESC. /TID (33.33) Y TCVD (17 HORAS)</v>
          </cell>
          <cell r="B860" t="str">
            <v>40196</v>
          </cell>
          <cell r="C860" t="str">
            <v>E</v>
          </cell>
          <cell r="D860" t="str">
            <v>DO</v>
          </cell>
          <cell r="E860" t="str">
            <v/>
          </cell>
        </row>
        <row r="861">
          <cell r="A861" t="str">
            <v>DOC.SUB.BAS.IV TID (36 HOTAS) /TCVD (4 HORAS) Y (8 HORAS)</v>
          </cell>
          <cell r="B861" t="str">
            <v>40193</v>
          </cell>
          <cell r="C861" t="str">
            <v>E</v>
          </cell>
          <cell r="D861" t="str">
            <v>DO</v>
          </cell>
          <cell r="E861" t="str">
            <v/>
          </cell>
        </row>
        <row r="862">
          <cell r="A862" t="str">
            <v>DOCENTE AULA IV</v>
          </cell>
          <cell r="B862" t="str">
            <v>00015</v>
          </cell>
          <cell r="C862" t="str">
            <v>E</v>
          </cell>
          <cell r="D862" t="str">
            <v>DO</v>
          </cell>
          <cell r="E862" t="str">
            <v/>
          </cell>
        </row>
        <row r="863">
          <cell r="A863" t="str">
            <v>DOCENTE BASICA 19-77 TID</v>
          </cell>
          <cell r="B863" t="str">
            <v>40024</v>
          </cell>
          <cell r="C863" t="str">
            <v>E</v>
          </cell>
          <cell r="D863" t="str">
            <v>DO</v>
          </cell>
          <cell r="E863" t="str">
            <v/>
          </cell>
        </row>
        <row r="864">
          <cell r="A864" t="str">
            <v>DOCENTE BASICA DIRECTORA 16-77 TID</v>
          </cell>
          <cell r="B864" t="str">
            <v>40025</v>
          </cell>
          <cell r="C864" t="str">
            <v>E</v>
          </cell>
          <cell r="D864" t="str">
            <v>DO</v>
          </cell>
          <cell r="E864" t="str">
            <v/>
          </cell>
        </row>
        <row r="865">
          <cell r="A865" t="str">
            <v>DOCENTE BASICA DIRECTORA V 77 TCVD (20 HORAS) Y TC (40 HORAS)</v>
          </cell>
          <cell r="B865" t="str">
            <v>40026</v>
          </cell>
          <cell r="C865" t="str">
            <v>E</v>
          </cell>
          <cell r="D865" t="str">
            <v>DO</v>
          </cell>
          <cell r="E865" t="str">
            <v/>
          </cell>
        </row>
        <row r="866">
          <cell r="A866" t="str">
            <v>DOCENTE BASICA I 77 TCVD  (12 HORAS) Y DOCENTE BASICA I 77 TCVD (08 HORAS)</v>
          </cell>
          <cell r="B866" t="str">
            <v>40027</v>
          </cell>
          <cell r="C866" t="str">
            <v>E</v>
          </cell>
          <cell r="D866" t="str">
            <v>DO</v>
          </cell>
          <cell r="E866" t="str">
            <v/>
          </cell>
        </row>
        <row r="867">
          <cell r="A867" t="str">
            <v>DOCENTE BASICA III 77 TID/TCVD</v>
          </cell>
          <cell r="B867" t="str">
            <v>40038</v>
          </cell>
          <cell r="C867" t="str">
            <v>E</v>
          </cell>
          <cell r="D867" t="str">
            <v>DO</v>
          </cell>
          <cell r="E867" t="str">
            <v/>
          </cell>
        </row>
        <row r="868">
          <cell r="A868" t="str">
            <v>DOCENTE BASICA IV 139 TCVNMA (16 HORAS)</v>
          </cell>
          <cell r="B868" t="str">
            <v>40039</v>
          </cell>
          <cell r="C868" t="str">
            <v>E</v>
          </cell>
          <cell r="D868" t="str">
            <v>DO</v>
          </cell>
          <cell r="E868" t="str">
            <v/>
          </cell>
        </row>
        <row r="869">
          <cell r="A869" t="str">
            <v>DOCENTE BASICA IV 77 TCVD (18 HORAS) Y DOCENTE BASICA IV 77 TID (33,33 HORAS)</v>
          </cell>
          <cell r="B869" t="str">
            <v>40028</v>
          </cell>
          <cell r="C869" t="str">
            <v>E</v>
          </cell>
          <cell r="D869" t="str">
            <v>DO</v>
          </cell>
          <cell r="E869" t="str">
            <v/>
          </cell>
        </row>
        <row r="870">
          <cell r="A870" t="str">
            <v>DOCENTE BASICA IV 77 TCVD (22 HORAS) Y DOCENTE BASICA IV 77 TID (33,33 HORAS)</v>
          </cell>
          <cell r="B870" t="str">
            <v>40029</v>
          </cell>
          <cell r="C870" t="str">
            <v>E</v>
          </cell>
          <cell r="D870" t="str">
            <v>DO</v>
          </cell>
          <cell r="E870" t="str">
            <v/>
          </cell>
        </row>
        <row r="871">
          <cell r="A871" t="str">
            <v>DOCENTE BASICA IV 77 TCVD Y DOCENTE IV 77 TCVD</v>
          </cell>
          <cell r="B871" t="str">
            <v>40030</v>
          </cell>
          <cell r="C871" t="str">
            <v>E</v>
          </cell>
          <cell r="D871" t="str">
            <v>DO</v>
          </cell>
          <cell r="E871" t="str">
            <v/>
          </cell>
        </row>
        <row r="872">
          <cell r="A872" t="str">
            <v>DOCENTE BASICA IV 77 TID (33,33 HORAS) Y ALFABETIZADORA (16 HORAS)</v>
          </cell>
          <cell r="B872" t="str">
            <v>40031</v>
          </cell>
          <cell r="C872" t="str">
            <v>E</v>
          </cell>
          <cell r="D872" t="str">
            <v>DO</v>
          </cell>
          <cell r="E872" t="str">
            <v/>
          </cell>
        </row>
        <row r="873">
          <cell r="A873" t="str">
            <v>DOCENTE BASICA IV 77 TID (33,33 HORAS) Y DOCENTE BASICA IV 77 TCVD (10 HORAS)</v>
          </cell>
          <cell r="B873" t="str">
            <v>40032</v>
          </cell>
          <cell r="C873" t="str">
            <v>E</v>
          </cell>
          <cell r="D873" t="str">
            <v>DO</v>
          </cell>
          <cell r="E873" t="str">
            <v/>
          </cell>
        </row>
        <row r="874">
          <cell r="A874" t="str">
            <v>DOCENTE BASICA IV 77 TID (33,33 HORAS) Y DOCENTE BASICA IV TCVD (14 HORAS)</v>
          </cell>
          <cell r="B874" t="str">
            <v>40033</v>
          </cell>
          <cell r="C874" t="str">
            <v>E</v>
          </cell>
          <cell r="D874" t="str">
            <v>DO</v>
          </cell>
          <cell r="E874" t="str">
            <v/>
          </cell>
        </row>
        <row r="875">
          <cell r="A875" t="str">
            <v>DOCENTE BASICA IV 77 TID (33,33 HORAS) Y TCVD (12 HORAS)</v>
          </cell>
          <cell r="B875" t="str">
            <v>40034</v>
          </cell>
          <cell r="C875" t="str">
            <v>E</v>
          </cell>
          <cell r="D875" t="str">
            <v>DO</v>
          </cell>
          <cell r="E875" t="str">
            <v/>
          </cell>
        </row>
        <row r="876">
          <cell r="A876" t="str">
            <v>DOCENTE BASICA IV 77 TID (33,33 HORAS) Y TCVD (20 HORAS)</v>
          </cell>
          <cell r="B876" t="str">
            <v>40035</v>
          </cell>
          <cell r="C876" t="str">
            <v>E</v>
          </cell>
          <cell r="D876" t="str">
            <v>DO</v>
          </cell>
          <cell r="E876" t="str">
            <v/>
          </cell>
        </row>
        <row r="877">
          <cell r="A877" t="str">
            <v>DOCENTE BASICA IV 77 TID Y DOCENTE BASICA IV 77 TCVD</v>
          </cell>
          <cell r="B877" t="str">
            <v>40040</v>
          </cell>
          <cell r="C877" t="str">
            <v>E</v>
          </cell>
          <cell r="D877" t="str">
            <v>DO</v>
          </cell>
          <cell r="E877" t="str">
            <v/>
          </cell>
        </row>
        <row r="878">
          <cell r="A878" t="str">
            <v>DOCENTE BASICA IV 77 TID Y DOCENTE DE AULA (ZONA EDUCATIVA)</v>
          </cell>
          <cell r="B878" t="str">
            <v>40036</v>
          </cell>
          <cell r="C878" t="str">
            <v>E</v>
          </cell>
          <cell r="D878" t="str">
            <v>DO</v>
          </cell>
          <cell r="E878" t="str">
            <v/>
          </cell>
        </row>
        <row r="879">
          <cell r="A879" t="str">
            <v>DOCENTE BASICA NG 16 TCVNMA (16 HORAS)</v>
          </cell>
          <cell r="B879" t="str">
            <v>40037</v>
          </cell>
          <cell r="C879" t="str">
            <v>E</v>
          </cell>
          <cell r="D879" t="str">
            <v>DO</v>
          </cell>
          <cell r="E879" t="str">
            <v/>
          </cell>
        </row>
        <row r="880">
          <cell r="A880" t="str">
            <v>DOCENTE BASICA NG TCVD (07 HORAS)</v>
          </cell>
          <cell r="B880" t="str">
            <v>40042</v>
          </cell>
          <cell r="C880" t="str">
            <v>E</v>
          </cell>
          <cell r="D880" t="str">
            <v>DO</v>
          </cell>
          <cell r="E880" t="str">
            <v/>
          </cell>
        </row>
        <row r="881">
          <cell r="A881" t="str">
            <v>DOCENTE BASICA NG TCVD (12 HORAS)</v>
          </cell>
          <cell r="B881" t="str">
            <v>40043</v>
          </cell>
          <cell r="C881" t="str">
            <v>E</v>
          </cell>
          <cell r="D881" t="str">
            <v>DO</v>
          </cell>
          <cell r="E881" t="str">
            <v/>
          </cell>
        </row>
        <row r="882">
          <cell r="A882" t="str">
            <v>DOCENTE BASICA NG TCVD (12 HR) Y INSTRUCTOR II (24 HR)</v>
          </cell>
          <cell r="B882" t="str">
            <v>40044</v>
          </cell>
          <cell r="C882" t="str">
            <v>E</v>
          </cell>
          <cell r="D882" t="str">
            <v>DO</v>
          </cell>
          <cell r="E882" t="str">
            <v/>
          </cell>
        </row>
        <row r="883">
          <cell r="A883" t="str">
            <v>DOCENTE BASICA NG TCVD (20 HORAS)</v>
          </cell>
          <cell r="B883" t="str">
            <v>40041</v>
          </cell>
          <cell r="C883" t="str">
            <v>E</v>
          </cell>
          <cell r="D883" t="str">
            <v>DO</v>
          </cell>
          <cell r="E883" t="str">
            <v/>
          </cell>
        </row>
        <row r="884">
          <cell r="A884" t="str">
            <v>DOCENTE BASICA SUPERVISORA VI 139 TC Y DOCENTE BASICA VI 139 TCVNM</v>
          </cell>
          <cell r="B884" t="str">
            <v>40045</v>
          </cell>
          <cell r="C884" t="str">
            <v>E</v>
          </cell>
          <cell r="D884" t="str">
            <v>DO</v>
          </cell>
          <cell r="E884" t="str">
            <v/>
          </cell>
        </row>
        <row r="885">
          <cell r="A885" t="str">
            <v>DOCENTE BASICA V  77 TID (33,33 HORAS) Y DOCENTE BASICA V 77 TCVD (19HORAS)</v>
          </cell>
          <cell r="B885" t="str">
            <v>40046</v>
          </cell>
          <cell r="C885" t="str">
            <v>E</v>
          </cell>
          <cell r="D885" t="str">
            <v>DO</v>
          </cell>
          <cell r="E885" t="str">
            <v/>
          </cell>
        </row>
        <row r="886">
          <cell r="A886" t="str">
            <v>DOCENTE BASICA V 139 TID Y DOCENTE BASICA V 139 TCVN</v>
          </cell>
          <cell r="B886" t="str">
            <v>40047</v>
          </cell>
          <cell r="C886" t="str">
            <v>E</v>
          </cell>
          <cell r="D886" t="str">
            <v>DO</v>
          </cell>
          <cell r="E886" t="str">
            <v/>
          </cell>
        </row>
        <row r="887">
          <cell r="A887" t="str">
            <v>DOCENTE BASICA V 77 TID (33,33 HORAS)  Y TCVNMA (16 HORAS)</v>
          </cell>
          <cell r="B887" t="str">
            <v>40048</v>
          </cell>
          <cell r="C887" t="str">
            <v>E</v>
          </cell>
          <cell r="D887" t="str">
            <v>DO</v>
          </cell>
          <cell r="E887" t="str">
            <v/>
          </cell>
        </row>
        <row r="888">
          <cell r="A888" t="str">
            <v>DOCENTE BASICA V 77 TID (33,33 HORAS) Y TCVD (02 HORAS)</v>
          </cell>
          <cell r="B888" t="str">
            <v>40049</v>
          </cell>
          <cell r="C888" t="str">
            <v>E</v>
          </cell>
          <cell r="D888" t="str">
            <v>DO</v>
          </cell>
          <cell r="E888" t="str">
            <v/>
          </cell>
        </row>
        <row r="889">
          <cell r="A889" t="str">
            <v>DOCENTE BASICA V 77 TID (33,33 HORAS) Y TCVD (08 HORAS)</v>
          </cell>
          <cell r="B889" t="str">
            <v>40050</v>
          </cell>
          <cell r="C889" t="str">
            <v>E</v>
          </cell>
          <cell r="D889" t="str">
            <v>DO</v>
          </cell>
          <cell r="E889" t="str">
            <v/>
          </cell>
        </row>
        <row r="890">
          <cell r="A890" t="str">
            <v>DOCENTE BASICA V 77 TID (33,33 HORAS) Y TCVD (17 HORAS)</v>
          </cell>
          <cell r="B890" t="str">
            <v>40051</v>
          </cell>
          <cell r="C890" t="str">
            <v>E</v>
          </cell>
          <cell r="D890" t="str">
            <v>DO</v>
          </cell>
          <cell r="E890" t="str">
            <v/>
          </cell>
        </row>
        <row r="891">
          <cell r="A891" t="str">
            <v>DOCENTE BASICA V 77 TID (33,33 HORAS) Y TCVD (19 HORAS)</v>
          </cell>
          <cell r="B891" t="str">
            <v>40052</v>
          </cell>
          <cell r="C891" t="str">
            <v>E</v>
          </cell>
          <cell r="D891" t="str">
            <v>DO</v>
          </cell>
          <cell r="E891" t="str">
            <v/>
          </cell>
        </row>
        <row r="892">
          <cell r="A892" t="str">
            <v>DOCENTE BASICA V 77 TID Y V 77 (33,33 HORAS) TCVD (10 HORAS)</v>
          </cell>
          <cell r="B892" t="str">
            <v>40053</v>
          </cell>
          <cell r="C892" t="str">
            <v>E</v>
          </cell>
          <cell r="D892" t="str">
            <v>DO</v>
          </cell>
          <cell r="E892" t="str">
            <v/>
          </cell>
        </row>
        <row r="893">
          <cell r="A893" t="str">
            <v>DOCENTE BASICA V 77 TID Y V 77 (33,33 HORAS) TCVD (20 HORAS)</v>
          </cell>
          <cell r="B893" t="str">
            <v>40054</v>
          </cell>
          <cell r="C893" t="str">
            <v>E</v>
          </cell>
          <cell r="D893" t="str">
            <v>DO</v>
          </cell>
          <cell r="E893" t="str">
            <v/>
          </cell>
        </row>
        <row r="894">
          <cell r="A894" t="str">
            <v>DOCENTE BASICA VI 139 TID (33.33 HORAS) Y DOCENTE BASICA VI 139 TCVD (16 HORAS)</v>
          </cell>
          <cell r="B894" t="str">
            <v>40055</v>
          </cell>
          <cell r="C894" t="str">
            <v>E</v>
          </cell>
          <cell r="D894" t="str">
            <v>DO</v>
          </cell>
          <cell r="E894" t="str">
            <v/>
          </cell>
        </row>
        <row r="895">
          <cell r="A895" t="str">
            <v>DOCENTE BASICA VI 139 TID Y COORDINADORA VI 139</v>
          </cell>
          <cell r="B895" t="str">
            <v>40056</v>
          </cell>
          <cell r="C895" t="str">
            <v>E</v>
          </cell>
          <cell r="D895" t="str">
            <v>DO</v>
          </cell>
          <cell r="E895" t="str">
            <v/>
          </cell>
        </row>
        <row r="896">
          <cell r="A896" t="str">
            <v>DOCENTE BASICA VI 139 TID Y DOCENTE BASICA VI 139 TCVD</v>
          </cell>
          <cell r="B896" t="str">
            <v>40057</v>
          </cell>
          <cell r="C896" t="str">
            <v>E</v>
          </cell>
          <cell r="D896" t="str">
            <v>DO</v>
          </cell>
          <cell r="E896" t="str">
            <v/>
          </cell>
        </row>
        <row r="897">
          <cell r="A897" t="str">
            <v>DOCENTE BASICA VI 139 TID Y DOCENTE BASICA VI 139 TCVNM</v>
          </cell>
          <cell r="B897" t="str">
            <v>40058</v>
          </cell>
          <cell r="C897" t="str">
            <v>E</v>
          </cell>
          <cell r="D897" t="str">
            <v>DO</v>
          </cell>
          <cell r="E897" t="str">
            <v/>
          </cell>
        </row>
        <row r="898">
          <cell r="A898" t="str">
            <v>DOCENTE BASICA VI 77 TCVD (13 HORAS) Y COORDINADORA VI (36 HORAS)</v>
          </cell>
          <cell r="B898" t="str">
            <v>40059</v>
          </cell>
          <cell r="C898" t="str">
            <v>E</v>
          </cell>
          <cell r="D898" t="str">
            <v>DO</v>
          </cell>
          <cell r="E898" t="str">
            <v/>
          </cell>
        </row>
        <row r="899">
          <cell r="A899" t="str">
            <v>DOCENTE BASICA VI 77 TCVNM, MAESTRA ALFABETIZADORA, DIRECTORA DOCENTE BASICA VI TCVN, DOCENTE BASICA</v>
          </cell>
          <cell r="B899" t="str">
            <v>40060</v>
          </cell>
          <cell r="C899" t="str">
            <v>E</v>
          </cell>
          <cell r="D899" t="str">
            <v>DO</v>
          </cell>
          <cell r="E899" t="str">
            <v/>
          </cell>
        </row>
        <row r="900">
          <cell r="A900" t="str">
            <v>DOCENTE BASICA VI 77 TID  (33.33 HORAS) Y TCVNMA  (16 HORAS)</v>
          </cell>
          <cell r="B900" t="str">
            <v>40061</v>
          </cell>
          <cell r="C900" t="str">
            <v>E</v>
          </cell>
          <cell r="D900" t="str">
            <v>DO</v>
          </cell>
          <cell r="E900" t="str">
            <v/>
          </cell>
        </row>
        <row r="901">
          <cell r="A901" t="str">
            <v>DOCENTE BASICA VI 77 TID  (33.33) / TCVD (12 HORAS)</v>
          </cell>
          <cell r="B901" t="str">
            <v>40062</v>
          </cell>
          <cell r="C901" t="str">
            <v>E</v>
          </cell>
          <cell r="D901" t="str">
            <v>DO</v>
          </cell>
          <cell r="E901" t="str">
            <v/>
          </cell>
        </row>
        <row r="902">
          <cell r="A902" t="str">
            <v>DOCENTE BASICA VI 77 TID (10 HORAS)  /TCVD (33,33 HORAS)</v>
          </cell>
          <cell r="B902" t="str">
            <v>40063</v>
          </cell>
          <cell r="C902" t="str">
            <v>E</v>
          </cell>
          <cell r="D902" t="str">
            <v>DO</v>
          </cell>
          <cell r="E902" t="str">
            <v/>
          </cell>
        </row>
        <row r="903">
          <cell r="A903" t="str">
            <v>DOCENTE BASICA VI 77 TID (33 HORAS) Y TCVD (07 HORAS)</v>
          </cell>
          <cell r="B903" t="str">
            <v>40064</v>
          </cell>
          <cell r="C903" t="str">
            <v>E</v>
          </cell>
          <cell r="D903" t="str">
            <v>DO</v>
          </cell>
          <cell r="E903" t="str">
            <v/>
          </cell>
        </row>
        <row r="904">
          <cell r="A904" t="str">
            <v>DOCENTE BASICA VI 77 TID (33 HORAS) Y TCVD (08 HORAS)</v>
          </cell>
          <cell r="B904" t="str">
            <v>40065</v>
          </cell>
          <cell r="C904" t="str">
            <v>E</v>
          </cell>
          <cell r="D904" t="str">
            <v>DO</v>
          </cell>
          <cell r="E904" t="str">
            <v/>
          </cell>
        </row>
        <row r="905">
          <cell r="A905" t="str">
            <v>DOCENTE BASICA VI 77 TID (33 HORAS), V 77 TCVD (08 HORAS)</v>
          </cell>
          <cell r="B905" t="str">
            <v>40066</v>
          </cell>
          <cell r="C905" t="str">
            <v>E</v>
          </cell>
          <cell r="D905" t="str">
            <v>DO</v>
          </cell>
          <cell r="E905" t="str">
            <v/>
          </cell>
        </row>
        <row r="906">
          <cell r="A906" t="str">
            <v>DOCENTE BASICA VI 77 TID (33,33 HORAS)  Y TCVD (20 HORAS)</v>
          </cell>
          <cell r="B906" t="str">
            <v>40067</v>
          </cell>
          <cell r="C906" t="str">
            <v>E</v>
          </cell>
          <cell r="D906" t="str">
            <v>DO</v>
          </cell>
          <cell r="E906" t="str">
            <v/>
          </cell>
        </row>
        <row r="907">
          <cell r="A907" t="str">
            <v>DOCENTE BASICA VI 77 TID (33,33 HORAS) /TCVNMA (15 HORAS)</v>
          </cell>
          <cell r="B907" t="str">
            <v>40068</v>
          </cell>
          <cell r="C907" t="str">
            <v>E</v>
          </cell>
          <cell r="D907" t="str">
            <v>DO</v>
          </cell>
          <cell r="E907" t="str">
            <v/>
          </cell>
        </row>
        <row r="908">
          <cell r="A908" t="str">
            <v>DOCENTE BASICA VI 77 TID (33,33 HORAS) Y  TCVD (6 HORAS)</v>
          </cell>
          <cell r="B908" t="str">
            <v>40069</v>
          </cell>
          <cell r="C908" t="str">
            <v>E</v>
          </cell>
          <cell r="D908" t="str">
            <v>DO</v>
          </cell>
          <cell r="E908" t="str">
            <v/>
          </cell>
        </row>
        <row r="909">
          <cell r="A909" t="str">
            <v>DOCENTE BASICA VI 77 TID (33,33 HORAS) Y ALFABETIZADORA VI 77 (16 HORAS)</v>
          </cell>
          <cell r="B909" t="str">
            <v>40070</v>
          </cell>
          <cell r="C909" t="str">
            <v>E</v>
          </cell>
          <cell r="D909" t="str">
            <v>DO</v>
          </cell>
          <cell r="E909" t="str">
            <v/>
          </cell>
        </row>
        <row r="910">
          <cell r="A910" t="str">
            <v>DOCENTE BASICA VI 77 TID (33,33 HORAS) Y TCVD (04 HORAS)</v>
          </cell>
          <cell r="B910" t="str">
            <v>40071</v>
          </cell>
          <cell r="C910" t="str">
            <v>E</v>
          </cell>
          <cell r="D910" t="str">
            <v>DO</v>
          </cell>
          <cell r="E910" t="str">
            <v/>
          </cell>
        </row>
        <row r="911">
          <cell r="A911" t="str">
            <v>DOCENTE BASICA VI 77 TID (33,33 HORAS) Y TCVD (04 HORAS)</v>
          </cell>
          <cell r="B911" t="str">
            <v>40072</v>
          </cell>
          <cell r="C911" t="str">
            <v>E</v>
          </cell>
          <cell r="D911" t="str">
            <v>DO</v>
          </cell>
          <cell r="E911" t="str">
            <v/>
          </cell>
        </row>
        <row r="912">
          <cell r="A912" t="str">
            <v>DOCENTE BASICA VI 77 TID (33,33 HORAS) Y TCVD (04 HORAS)</v>
          </cell>
          <cell r="B912" t="str">
            <v>40073</v>
          </cell>
          <cell r="C912" t="str">
            <v>E</v>
          </cell>
          <cell r="D912" t="str">
            <v>DO</v>
          </cell>
          <cell r="E912" t="str">
            <v/>
          </cell>
        </row>
        <row r="913">
          <cell r="A913" t="str">
            <v>DOCENTE BASICA VI 77 TID (33,33 HORAS) Y TCVD (11 HORAS)</v>
          </cell>
          <cell r="B913" t="str">
            <v>40074</v>
          </cell>
          <cell r="C913" t="str">
            <v>E</v>
          </cell>
          <cell r="D913" t="str">
            <v>DO</v>
          </cell>
          <cell r="E913" t="str">
            <v/>
          </cell>
        </row>
        <row r="914">
          <cell r="A914" t="str">
            <v>DOCENTE BASICA VI 77 TID (33,33 HORAS) Y TCVNMA (14 HORAS)</v>
          </cell>
          <cell r="B914" t="str">
            <v>40075</v>
          </cell>
          <cell r="C914" t="str">
            <v>E</v>
          </cell>
          <cell r="D914" t="str">
            <v>DO</v>
          </cell>
          <cell r="E914" t="str">
            <v/>
          </cell>
        </row>
        <row r="915">
          <cell r="A915" t="str">
            <v>DOCENTE BASICA VI 77 TID (33,33) Y DOCENTE BASICO VI 77 TCVD (12 HORAS)</v>
          </cell>
          <cell r="B915" t="str">
            <v>40077</v>
          </cell>
          <cell r="C915" t="str">
            <v>E</v>
          </cell>
          <cell r="D915" t="str">
            <v>DO</v>
          </cell>
          <cell r="E915" t="str">
            <v/>
          </cell>
        </row>
        <row r="916">
          <cell r="A916" t="str">
            <v>DOCENTE BASICA VI 77 TID (33,33) Y TCVD (14 HORAS)</v>
          </cell>
          <cell r="B916" t="str">
            <v>40078</v>
          </cell>
          <cell r="C916" t="str">
            <v>E</v>
          </cell>
          <cell r="D916" t="str">
            <v>DO</v>
          </cell>
          <cell r="E916" t="str">
            <v/>
          </cell>
        </row>
        <row r="917">
          <cell r="A917" t="str">
            <v>DOCENTE BASICA VI 77 TID (33.33 HORAS) Y TCVD (16 HORAS)</v>
          </cell>
          <cell r="B917" t="str">
            <v>40079</v>
          </cell>
          <cell r="C917" t="str">
            <v>E</v>
          </cell>
          <cell r="D917" t="str">
            <v>DO</v>
          </cell>
          <cell r="E917" t="str">
            <v/>
          </cell>
        </row>
        <row r="918">
          <cell r="A918" t="str">
            <v>DOCENTE BASICA VI 77 TID (33.33 HORAS) Y TCVD (19 HORAS)</v>
          </cell>
          <cell r="B918" t="str">
            <v>40080</v>
          </cell>
          <cell r="C918" t="str">
            <v>E</v>
          </cell>
          <cell r="D918" t="str">
            <v>DO</v>
          </cell>
          <cell r="E918" t="str">
            <v/>
          </cell>
        </row>
        <row r="919">
          <cell r="A919" t="str">
            <v>DOCENTE BASICA VI 77 TID (36 HORAS) Y DOCENTE BASICO TCVD (12 HORAS)</v>
          </cell>
          <cell r="B919" t="str">
            <v>40081</v>
          </cell>
          <cell r="C919" t="str">
            <v>E</v>
          </cell>
          <cell r="D919" t="str">
            <v>DO</v>
          </cell>
          <cell r="E919" t="str">
            <v/>
          </cell>
        </row>
        <row r="920">
          <cell r="A920" t="str">
            <v>DOCENTE BASICA VI 77 TID Y DOCENTE BASICA VI 77 TCNM</v>
          </cell>
          <cell r="B920" t="str">
            <v>40082</v>
          </cell>
          <cell r="C920" t="str">
            <v>E</v>
          </cell>
          <cell r="D920" t="str">
            <v>DO</v>
          </cell>
          <cell r="E920" t="str">
            <v/>
          </cell>
        </row>
        <row r="921">
          <cell r="A921" t="str">
            <v>DOCENTE BASICA VI 77 TID Y DOCENTE DE AULA (ZONA EDUCATIVA)</v>
          </cell>
          <cell r="B921" t="str">
            <v>40083</v>
          </cell>
          <cell r="C921" t="str">
            <v>E</v>
          </cell>
          <cell r="D921" t="str">
            <v>DO</v>
          </cell>
          <cell r="E921" t="str">
            <v/>
          </cell>
        </row>
        <row r="922">
          <cell r="A922" t="str">
            <v>DOCENTE BASICO 16-139 TCVN Y DOCENTE DIRECTOR BASICO 139 TID VI</v>
          </cell>
          <cell r="B922" t="str">
            <v>40084</v>
          </cell>
          <cell r="C922" t="str">
            <v>E</v>
          </cell>
          <cell r="D922" t="str">
            <v>DO</v>
          </cell>
          <cell r="E922" t="str">
            <v/>
          </cell>
        </row>
        <row r="923">
          <cell r="A923" t="str">
            <v>DOCENTE BASICO 16-139 TCVNMA</v>
          </cell>
          <cell r="B923" t="str">
            <v>40224</v>
          </cell>
          <cell r="C923" t="str">
            <v>E</v>
          </cell>
          <cell r="D923" t="str">
            <v>DO</v>
          </cell>
          <cell r="E923" t="str">
            <v/>
          </cell>
        </row>
        <row r="924">
          <cell r="A924" t="str">
            <v>DOCENTE BASICO 16-77 TCVNM/MA VI Y DOCENTE SUB-DIRECTOR 16-77 TID VI Y PH (08 HORAS)</v>
          </cell>
          <cell r="B924" t="str">
            <v>40085</v>
          </cell>
          <cell r="C924" t="str">
            <v>E</v>
          </cell>
          <cell r="D924" t="str">
            <v>DO</v>
          </cell>
          <cell r="E924" t="str">
            <v/>
          </cell>
        </row>
        <row r="925">
          <cell r="A925" t="str">
            <v>DOCENTE BASICO 16-77 TCVNMA VI, Y SUPERVISOR BASICO</v>
          </cell>
          <cell r="B925" t="str">
            <v>40086</v>
          </cell>
          <cell r="C925" t="str">
            <v>E</v>
          </cell>
          <cell r="D925" t="str">
            <v>DO</v>
          </cell>
          <cell r="E925" t="str">
            <v/>
          </cell>
        </row>
        <row r="926">
          <cell r="A926" t="str">
            <v>DOCENTE BASICO DE ADULTOS Y COORD PROM DIF CULT</v>
          </cell>
          <cell r="B926" t="str">
            <v>40234</v>
          </cell>
          <cell r="C926" t="str">
            <v>E</v>
          </cell>
          <cell r="D926" t="str">
            <v>DO</v>
          </cell>
          <cell r="E926" t="str">
            <v/>
          </cell>
        </row>
        <row r="927">
          <cell r="A927" t="str">
            <v>DOCENTE BASICO IV 77 TCVD (36 HORAS)</v>
          </cell>
          <cell r="B927" t="str">
            <v>40172</v>
          </cell>
          <cell r="C927" t="str">
            <v>E</v>
          </cell>
          <cell r="D927" t="str">
            <v>DO</v>
          </cell>
          <cell r="E927" t="str">
            <v/>
          </cell>
        </row>
        <row r="928">
          <cell r="A928" t="str">
            <v>DOCENTE BASICO IV 77 TID (33,33 HORAS) Y TCVD (08 HORAS)</v>
          </cell>
          <cell r="B928" t="str">
            <v>40087</v>
          </cell>
          <cell r="C928" t="str">
            <v>E</v>
          </cell>
          <cell r="D928" t="str">
            <v>DO</v>
          </cell>
          <cell r="E928" t="str">
            <v/>
          </cell>
        </row>
        <row r="929">
          <cell r="A929" t="str">
            <v>DOCENTE BASICO IV 77 TID (33,33 HORAS) Y TCVD (08 HORAS)</v>
          </cell>
          <cell r="B929" t="str">
            <v>40088</v>
          </cell>
          <cell r="C929" t="str">
            <v>E</v>
          </cell>
          <cell r="D929" t="str">
            <v>DO</v>
          </cell>
          <cell r="E929" t="str">
            <v/>
          </cell>
        </row>
        <row r="930">
          <cell r="A930" t="str">
            <v>DOCENTE BASICO IV 77 TID (33,33 HORAS) Y TCVD (12 HORAS)</v>
          </cell>
          <cell r="B930" t="str">
            <v>40089</v>
          </cell>
          <cell r="C930" t="str">
            <v>E</v>
          </cell>
          <cell r="D930" t="str">
            <v>DO</v>
          </cell>
          <cell r="E930" t="str">
            <v/>
          </cell>
        </row>
        <row r="931">
          <cell r="A931" t="str">
            <v>DOCENTE BASICO IV 77 TID (33,33 HORAS) Y TCVD (16 HORAS)</v>
          </cell>
          <cell r="B931" t="str">
            <v>40090</v>
          </cell>
          <cell r="C931" t="str">
            <v>E</v>
          </cell>
          <cell r="D931" t="str">
            <v>DO</v>
          </cell>
          <cell r="E931" t="str">
            <v/>
          </cell>
        </row>
        <row r="932">
          <cell r="A932" t="str">
            <v>DOCENTE BASICO IV 77 TID (33,33 HORAS) Y TCVD (18 HORAS)</v>
          </cell>
          <cell r="B932" t="str">
            <v>40091</v>
          </cell>
          <cell r="C932" t="str">
            <v>E</v>
          </cell>
          <cell r="D932" t="str">
            <v>DO</v>
          </cell>
          <cell r="E932" t="str">
            <v/>
          </cell>
        </row>
        <row r="933">
          <cell r="A933" t="str">
            <v>DOCENTE BASICO IV 77 TID (33,33 HORAS) Y TCVD (20 HORAS)</v>
          </cell>
          <cell r="B933" t="str">
            <v>40092</v>
          </cell>
          <cell r="C933" t="str">
            <v>E</v>
          </cell>
          <cell r="D933" t="str">
            <v>DO</v>
          </cell>
          <cell r="E933" t="str">
            <v/>
          </cell>
        </row>
        <row r="934">
          <cell r="A934" t="str">
            <v>DOCENTE BASICO IV 77 TID (33,33 HORAS) Y TCVNMA (16 HORAS)</v>
          </cell>
          <cell r="B934" t="str">
            <v>40093</v>
          </cell>
          <cell r="C934" t="str">
            <v>E</v>
          </cell>
          <cell r="D934" t="str">
            <v>DO</v>
          </cell>
          <cell r="E934" t="str">
            <v/>
          </cell>
        </row>
        <row r="935">
          <cell r="A935" t="str">
            <v>DOCENTE BASICO IV 77 TID/TCVD</v>
          </cell>
          <cell r="B935" t="str">
            <v>40173</v>
          </cell>
          <cell r="C935" t="str">
            <v>E</v>
          </cell>
          <cell r="D935" t="str">
            <v>DO</v>
          </cell>
          <cell r="E935" t="str">
            <v/>
          </cell>
        </row>
        <row r="936">
          <cell r="A936" t="str">
            <v>DOCENTE BASICO NG TID (33,33 HORAS) Y DOCENTE BASICA NG TCVNMA (16 HORAS)</v>
          </cell>
          <cell r="B936" t="str">
            <v>40230</v>
          </cell>
          <cell r="C936" t="str">
            <v>E</v>
          </cell>
          <cell r="D936" t="str">
            <v>DO</v>
          </cell>
          <cell r="E936" t="str">
            <v/>
          </cell>
        </row>
        <row r="937">
          <cell r="A937" t="str">
            <v>DOCENTE BASICO V 77 TCVNMA (16 HORAS) Y DOCENTE SUPERVISOR BASICO V 77 TC (40 HORAS)</v>
          </cell>
          <cell r="B937" t="str">
            <v>40094</v>
          </cell>
          <cell r="C937" t="str">
            <v>E</v>
          </cell>
          <cell r="D937" t="str">
            <v>DO</v>
          </cell>
          <cell r="E937" t="str">
            <v/>
          </cell>
        </row>
        <row r="938">
          <cell r="A938" t="str">
            <v>DOCENTE BASICO V 77 TID (33 HORAS) Y TVCNMA (16 HORAS)</v>
          </cell>
          <cell r="B938" t="str">
            <v>40095</v>
          </cell>
          <cell r="C938" t="str">
            <v>E</v>
          </cell>
          <cell r="D938" t="str">
            <v>DO</v>
          </cell>
          <cell r="E938" t="str">
            <v/>
          </cell>
        </row>
        <row r="939">
          <cell r="A939" t="str">
            <v>DOCENTE BASICO V 77 TID (33,33 HORAS) Y TCVD (05 HORAS)</v>
          </cell>
          <cell r="B939" t="str">
            <v>40096</v>
          </cell>
          <cell r="C939" t="str">
            <v>E</v>
          </cell>
          <cell r="D939" t="str">
            <v>DO</v>
          </cell>
          <cell r="E939" t="str">
            <v/>
          </cell>
        </row>
        <row r="940">
          <cell r="A940" t="str">
            <v>DOCENTE BASICO V 77 TID (33,33 HORAS) Y TCVD (14 HORAS)</v>
          </cell>
          <cell r="B940" t="str">
            <v>40097</v>
          </cell>
          <cell r="C940" t="str">
            <v>E</v>
          </cell>
          <cell r="D940" t="str">
            <v>DO</v>
          </cell>
          <cell r="E940" t="str">
            <v/>
          </cell>
        </row>
        <row r="941">
          <cell r="A941" t="str">
            <v>DOCENTE BASICO V 77 TID (33,33 HORAS) Y TCVN (10 HORAS)</v>
          </cell>
          <cell r="B941" t="str">
            <v>40098</v>
          </cell>
          <cell r="C941" t="str">
            <v>E</v>
          </cell>
          <cell r="D941" t="str">
            <v>DO</v>
          </cell>
          <cell r="E941" t="str">
            <v/>
          </cell>
        </row>
        <row r="942">
          <cell r="A942" t="str">
            <v>DOCENTE BASICO V 77 TID (33,33 HORAS) Y TCVN (16 HORAS)</v>
          </cell>
          <cell r="B942" t="str">
            <v>40099</v>
          </cell>
          <cell r="C942" t="str">
            <v>E</v>
          </cell>
          <cell r="D942" t="str">
            <v>DO</v>
          </cell>
          <cell r="E942" t="str">
            <v/>
          </cell>
        </row>
        <row r="943">
          <cell r="A943" t="str">
            <v>DOCENTE BASICO V 77 TID (33,33 HORAS)Y TCVD (07 HORAS)</v>
          </cell>
          <cell r="B943" t="str">
            <v>40100</v>
          </cell>
          <cell r="C943" t="str">
            <v>E</v>
          </cell>
          <cell r="D943" t="str">
            <v>DO</v>
          </cell>
          <cell r="E943" t="str">
            <v/>
          </cell>
        </row>
        <row r="944">
          <cell r="A944" t="str">
            <v>DOCENTE BASICO V 77 TID (33.33 HORAS) Y TCVD (21 HORAS)</v>
          </cell>
          <cell r="B944" t="str">
            <v>40101</v>
          </cell>
          <cell r="C944" t="str">
            <v>E</v>
          </cell>
          <cell r="D944" t="str">
            <v>DO</v>
          </cell>
          <cell r="E944" t="str">
            <v/>
          </cell>
        </row>
        <row r="945">
          <cell r="A945" t="str">
            <v>DOCENTE BASICO V TID (33.33 HORAS), Y TCVD (11 HORAS)</v>
          </cell>
          <cell r="B945" t="str">
            <v>40102</v>
          </cell>
          <cell r="C945" t="str">
            <v>E</v>
          </cell>
          <cell r="D945" t="str">
            <v>DO</v>
          </cell>
          <cell r="E945" t="str">
            <v/>
          </cell>
        </row>
        <row r="946">
          <cell r="A946" t="str">
            <v>DOCENTE BASICO V TSE TCVNMA (16 HR)</v>
          </cell>
          <cell r="B946" t="str">
            <v>40103</v>
          </cell>
          <cell r="C946" t="str">
            <v>E</v>
          </cell>
          <cell r="D946" t="str">
            <v>DO</v>
          </cell>
          <cell r="E946" t="str">
            <v/>
          </cell>
        </row>
        <row r="947">
          <cell r="A947" t="str">
            <v>DOCENTE BASICO VI  77 TID (33,33 HORAS) Y TCVD (14 HORAS)</v>
          </cell>
          <cell r="B947" t="str">
            <v>40104</v>
          </cell>
          <cell r="C947" t="str">
            <v>E</v>
          </cell>
          <cell r="D947" t="str">
            <v>DO</v>
          </cell>
          <cell r="E947" t="str">
            <v/>
          </cell>
        </row>
        <row r="948">
          <cell r="A948" t="str">
            <v>DOCENTE BASICO VI 77 (33,33 HORAS)  TID Y TCVD (8 HORAS)</v>
          </cell>
          <cell r="B948" t="str">
            <v>40105</v>
          </cell>
          <cell r="C948" t="str">
            <v>E</v>
          </cell>
          <cell r="D948" t="str">
            <v>DO</v>
          </cell>
          <cell r="E948" t="str">
            <v/>
          </cell>
        </row>
        <row r="949">
          <cell r="A949" t="str">
            <v>DOCENTE BASICO VI 77 TCVD (33 HORAS) TID (17 HORAS)</v>
          </cell>
          <cell r="B949" t="str">
            <v>40106</v>
          </cell>
          <cell r="C949" t="str">
            <v>E</v>
          </cell>
          <cell r="D949" t="str">
            <v>DO</v>
          </cell>
          <cell r="E949" t="str">
            <v/>
          </cell>
        </row>
        <row r="950">
          <cell r="A950" t="str">
            <v>DOCENTE BASICO VI 77 TCVD / TCVD</v>
          </cell>
          <cell r="B950" t="str">
            <v>40174</v>
          </cell>
          <cell r="C950" t="str">
            <v>E</v>
          </cell>
          <cell r="D950" t="str">
            <v>DO</v>
          </cell>
          <cell r="E950" t="str">
            <v/>
          </cell>
        </row>
        <row r="951">
          <cell r="A951" t="str">
            <v>DOCENTE BASICO VI 77 TID (33,33 HORAS) / TCVD (6 HORAS) / TCVD (12 HORAS)</v>
          </cell>
          <cell r="B951" t="str">
            <v>40243</v>
          </cell>
          <cell r="C951" t="str">
            <v>E</v>
          </cell>
          <cell r="D951" t="str">
            <v>DO</v>
          </cell>
          <cell r="E951" t="str">
            <v/>
          </cell>
        </row>
        <row r="952">
          <cell r="A952" t="str">
            <v>DOCENTE BASICO VI 77 TID (33,33 HORAS) Y DOCENTE BASICO VI 77 TCVD (8 HORAS)</v>
          </cell>
          <cell r="B952" t="str">
            <v>40107</v>
          </cell>
          <cell r="C952" t="str">
            <v>E</v>
          </cell>
          <cell r="D952" t="str">
            <v>DO</v>
          </cell>
          <cell r="E952" t="str">
            <v/>
          </cell>
        </row>
        <row r="953">
          <cell r="A953" t="str">
            <v>DOCENTE BASICO VI 77 TID (33,33 HORAS) Y TCVD (20 HORAS)</v>
          </cell>
          <cell r="B953" t="str">
            <v>40108</v>
          </cell>
          <cell r="C953" t="str">
            <v>E</v>
          </cell>
          <cell r="D953" t="str">
            <v>DO</v>
          </cell>
          <cell r="E953" t="str">
            <v/>
          </cell>
        </row>
        <row r="954">
          <cell r="A954" t="str">
            <v>DOCENTE BASICO VI 77 TID (33,33 HORAS) Y TCVD (6 HORAS)</v>
          </cell>
          <cell r="B954" t="str">
            <v>40109</v>
          </cell>
          <cell r="C954" t="str">
            <v>E</v>
          </cell>
          <cell r="D954" t="str">
            <v>DO</v>
          </cell>
          <cell r="E954" t="str">
            <v/>
          </cell>
        </row>
        <row r="955">
          <cell r="A955" t="str">
            <v>DOCENTE BASICO VI 77 TID (33,33)  / TCVNMA (11)</v>
          </cell>
          <cell r="B955" t="str">
            <v>40110</v>
          </cell>
          <cell r="C955" t="str">
            <v>E</v>
          </cell>
          <cell r="D955" t="str">
            <v>DO</v>
          </cell>
          <cell r="E955" t="str">
            <v/>
          </cell>
        </row>
        <row r="956">
          <cell r="A956" t="str">
            <v>DOCENTE BASICO VI 77 TID (33.33 HORAS) Y TCVD (6 HORAS)</v>
          </cell>
          <cell r="B956" t="str">
            <v>40111</v>
          </cell>
          <cell r="C956" t="str">
            <v>E</v>
          </cell>
          <cell r="D956" t="str">
            <v>DO</v>
          </cell>
          <cell r="E956" t="str">
            <v/>
          </cell>
        </row>
        <row r="957">
          <cell r="A957" t="str">
            <v>DOCENTE BASICO VI 77 TID Y DOCENTE BASICO VI 77 TCVD Y DOCENTE BASICO VI 77 TCVD Y 2 CARGOS MAS</v>
          </cell>
          <cell r="B957" t="str">
            <v>40112</v>
          </cell>
          <cell r="C957" t="str">
            <v>E</v>
          </cell>
          <cell r="D957" t="str">
            <v>DO</v>
          </cell>
          <cell r="E957" t="str">
            <v/>
          </cell>
        </row>
        <row r="958">
          <cell r="A958" t="str">
            <v>DOCENTE BASICO Y DIRECTOR 16-139 TID VI</v>
          </cell>
          <cell r="B958" t="str">
            <v>40113</v>
          </cell>
          <cell r="C958" t="str">
            <v>E</v>
          </cell>
          <cell r="D958" t="str">
            <v>DO</v>
          </cell>
          <cell r="E958" t="str">
            <v/>
          </cell>
        </row>
        <row r="959">
          <cell r="A959" t="str">
            <v>DOCENTE COOD. 139 VI TID (33,33 HORAS) Y DOCENTE BASICO VI 139 TCVNMA (16 HORAS)</v>
          </cell>
          <cell r="B959" t="str">
            <v>40231</v>
          </cell>
          <cell r="C959" t="str">
            <v>E</v>
          </cell>
          <cell r="D959" t="str">
            <v>DO</v>
          </cell>
          <cell r="E959" t="str">
            <v/>
          </cell>
        </row>
        <row r="960">
          <cell r="A960" t="str">
            <v>DOCENTE DE BASICA III TSE 16 H Y AUXILIAR DE BIBLIOTECA</v>
          </cell>
          <cell r="B960" t="str">
            <v>40171</v>
          </cell>
          <cell r="C960" t="str">
            <v>E</v>
          </cell>
          <cell r="D960" t="str">
            <v>DO</v>
          </cell>
          <cell r="E960" t="str">
            <v/>
          </cell>
        </row>
        <row r="961">
          <cell r="A961" t="str">
            <v>DOCENTE DIRECTOR BASICA IV 77 TCVD Y COORDINADOR DOCENTE</v>
          </cell>
          <cell r="B961" t="str">
            <v>40114</v>
          </cell>
          <cell r="C961" t="str">
            <v>E</v>
          </cell>
          <cell r="D961" t="str">
            <v>DO</v>
          </cell>
          <cell r="E961" t="str">
            <v/>
          </cell>
        </row>
        <row r="962">
          <cell r="A962" t="str">
            <v>DOCENTE DIRECTOR BASICA VI 139 TID (36 HORAS)</v>
          </cell>
          <cell r="B962" t="str">
            <v>40175</v>
          </cell>
          <cell r="C962" t="str">
            <v>E</v>
          </cell>
          <cell r="D962" t="str">
            <v>DO</v>
          </cell>
          <cell r="E962" t="str">
            <v/>
          </cell>
        </row>
        <row r="963">
          <cell r="A963" t="str">
            <v>DOCENTE DIRECTOR BASICA VI 77 TID (36 HORAS) Y TCVNMA (16 HORAS)</v>
          </cell>
          <cell r="B963" t="str">
            <v>40115</v>
          </cell>
          <cell r="C963" t="str">
            <v>E</v>
          </cell>
          <cell r="D963" t="str">
            <v>DO</v>
          </cell>
          <cell r="E963" t="str">
            <v/>
          </cell>
        </row>
        <row r="964">
          <cell r="A964" t="str">
            <v>DOCENTE DIRECTOR BASICA VI 77 TID (36HORAS) Y TCVD (10 HORAS)</v>
          </cell>
          <cell r="B964" t="str">
            <v>40116</v>
          </cell>
          <cell r="C964" t="str">
            <v>E</v>
          </cell>
          <cell r="D964" t="str">
            <v>DO</v>
          </cell>
          <cell r="E964" t="str">
            <v/>
          </cell>
        </row>
        <row r="965">
          <cell r="A965" t="str">
            <v>DOCENTE DIRECTOR BASICO V 77 TID (40 HORAS) Y DOCENTE BASICO V 77 TCVM (16 HORAS)</v>
          </cell>
          <cell r="B965" t="str">
            <v>40117</v>
          </cell>
          <cell r="C965" t="str">
            <v>E</v>
          </cell>
          <cell r="D965" t="str">
            <v>DO</v>
          </cell>
          <cell r="E965" t="str">
            <v/>
          </cell>
        </row>
        <row r="966">
          <cell r="A966" t="str">
            <v>DOCENTE DIRECTOR BASICO VI 139 TID (36 HORAS), Y DOCENTE DIRECTOR BASICO VI 139 TCVN (20 HORAS)</v>
          </cell>
          <cell r="B966" t="str">
            <v>40118</v>
          </cell>
          <cell r="C966" t="str">
            <v>E</v>
          </cell>
          <cell r="D966" t="str">
            <v>DO</v>
          </cell>
          <cell r="E966" t="str">
            <v/>
          </cell>
        </row>
        <row r="967">
          <cell r="A967" t="str">
            <v>DOCENTE DIRECTOR BASICO VI 77 TID (36 HORAS) Y DOC BASICO VI 77 TCVD (13 HORAS)</v>
          </cell>
          <cell r="B967" t="str">
            <v>40119</v>
          </cell>
          <cell r="C967" t="str">
            <v>E</v>
          </cell>
          <cell r="D967" t="str">
            <v>DO</v>
          </cell>
          <cell r="E967" t="str">
            <v/>
          </cell>
        </row>
        <row r="968">
          <cell r="A968" t="str">
            <v>DOCENTE DIRECTOR BASICO VI 77 TID (36 HORAS) Y TCVD (17 HORAS)</v>
          </cell>
          <cell r="B968" t="str">
            <v>40120</v>
          </cell>
          <cell r="C968" t="str">
            <v>E</v>
          </cell>
          <cell r="D968" t="str">
            <v>DO</v>
          </cell>
          <cell r="E968" t="str">
            <v/>
          </cell>
        </row>
        <row r="969">
          <cell r="A969" t="str">
            <v>DOCENTE DIRECTOR BASICO VI 77 TID (40 HORAS) Y DOC BASICO VI 77 TCVD (06 HORAS)</v>
          </cell>
          <cell r="B969" t="str">
            <v>40121</v>
          </cell>
          <cell r="C969" t="str">
            <v>E</v>
          </cell>
          <cell r="D969" t="str">
            <v>DO</v>
          </cell>
          <cell r="E969" t="str">
            <v/>
          </cell>
        </row>
        <row r="970">
          <cell r="A970" t="str">
            <v>DOCENTE DIRECTOR BASICO VI 77 TID (40 HORAS) Y DOCENTE BASICO VI 77 TCVNMA (16 HORAS)</v>
          </cell>
          <cell r="B970" t="str">
            <v>40122</v>
          </cell>
          <cell r="C970" t="str">
            <v>E</v>
          </cell>
          <cell r="D970" t="str">
            <v>DO</v>
          </cell>
          <cell r="E970" t="str">
            <v/>
          </cell>
        </row>
        <row r="971">
          <cell r="A971" t="str">
            <v>DOCENTE DIRECTOR PRE-ESCOLAR VI 77 TID (36 HORAS)</v>
          </cell>
          <cell r="B971" t="str">
            <v>40123</v>
          </cell>
          <cell r="C971" t="str">
            <v>E</v>
          </cell>
          <cell r="D971" t="str">
            <v>DO</v>
          </cell>
          <cell r="E971" t="str">
            <v/>
          </cell>
        </row>
        <row r="972">
          <cell r="A972" t="str">
            <v>DOCENTE DIRECTORA BASICA IV 77 TID (36 HORAS)</v>
          </cell>
          <cell r="B972" t="str">
            <v>40176</v>
          </cell>
          <cell r="C972" t="str">
            <v>E</v>
          </cell>
          <cell r="D972" t="str">
            <v>DO</v>
          </cell>
          <cell r="E972" t="str">
            <v/>
          </cell>
        </row>
        <row r="973">
          <cell r="A973" t="str">
            <v>DOCENTE DIRECTORA BASICA V 77 TCVNMA 20HRS</v>
          </cell>
          <cell r="B973" t="str">
            <v>40124</v>
          </cell>
          <cell r="C973" t="str">
            <v>E</v>
          </cell>
          <cell r="D973" t="str">
            <v>DO</v>
          </cell>
          <cell r="E973" t="str">
            <v/>
          </cell>
        </row>
        <row r="974">
          <cell r="A974" t="str">
            <v>DOCENTE DIRECTORA BASICA VI 139 (36 HORAS) TID Y ALFABETIZADORA VI 139</v>
          </cell>
          <cell r="B974" t="str">
            <v>40125</v>
          </cell>
          <cell r="C974" t="str">
            <v>E</v>
          </cell>
          <cell r="D974" t="str">
            <v>DO</v>
          </cell>
          <cell r="E974" t="str">
            <v/>
          </cell>
        </row>
        <row r="975">
          <cell r="A975" t="str">
            <v>DOCENTE DIRECTORA BASICA VI 77 TID (36 HORAS) Y DOCENTE BASICA V 77 TCVD (4 HORAS)</v>
          </cell>
          <cell r="B975" t="str">
            <v>40126</v>
          </cell>
          <cell r="C975" t="str">
            <v>E</v>
          </cell>
          <cell r="D975" t="str">
            <v>DO</v>
          </cell>
          <cell r="E975" t="str">
            <v/>
          </cell>
        </row>
        <row r="976">
          <cell r="A976" t="str">
            <v>DOCENTE N.G 1-6 TCVD (33,33 HORAS) / DOC BASICA NG TCVD (14 HORAS)</v>
          </cell>
          <cell r="B976" t="str">
            <v>40218</v>
          </cell>
          <cell r="C976" t="str">
            <v>E</v>
          </cell>
          <cell r="D976" t="str">
            <v>DO</v>
          </cell>
          <cell r="E976" t="str">
            <v/>
          </cell>
        </row>
        <row r="977">
          <cell r="A977" t="str">
            <v>DOCENTE N.G. 1-6</v>
          </cell>
          <cell r="B977" t="str">
            <v>00041</v>
          </cell>
          <cell r="C977" t="str">
            <v>E</v>
          </cell>
          <cell r="D977" t="str">
            <v>DO</v>
          </cell>
          <cell r="E977" t="str">
            <v/>
          </cell>
        </row>
        <row r="978">
          <cell r="A978" t="str">
            <v>DOCENTE ORIENTADOR</v>
          </cell>
          <cell r="B978" t="str">
            <v>01403</v>
          </cell>
          <cell r="C978" t="str">
            <v>E</v>
          </cell>
          <cell r="D978" t="str">
            <v>DO</v>
          </cell>
          <cell r="E978" t="str">
            <v/>
          </cell>
        </row>
        <row r="979">
          <cell r="A979" t="str">
            <v>DOCENTE ORIENTADOR V 77 1-6 TID (36 HORAS)</v>
          </cell>
          <cell r="B979" t="str">
            <v>40127</v>
          </cell>
          <cell r="C979" t="str">
            <v>E</v>
          </cell>
          <cell r="D979" t="str">
            <v>DO</v>
          </cell>
          <cell r="E979" t="str">
            <v/>
          </cell>
        </row>
        <row r="980">
          <cell r="A980" t="str">
            <v>DOCENTE PLANIFICADOR VI 77 TC (36 HORAS) Y DOCENTE BASICA VI 77 TCVNMA (16 HORAS)</v>
          </cell>
          <cell r="B980" t="str">
            <v>40228</v>
          </cell>
          <cell r="C980" t="str">
            <v>E</v>
          </cell>
          <cell r="D980" t="str">
            <v>DO</v>
          </cell>
          <cell r="E980" t="str">
            <v/>
          </cell>
        </row>
        <row r="981">
          <cell r="A981" t="str">
            <v>DOCENTE PLANIFICADORA 16-77 VI (36 HORAS) Y DOC BAS VI 77 TCVMA (16 HORAS)</v>
          </cell>
          <cell r="B981" t="str">
            <v>40128</v>
          </cell>
          <cell r="C981" t="str">
            <v>E</v>
          </cell>
          <cell r="D981" t="str">
            <v>DO</v>
          </cell>
          <cell r="E981" t="str">
            <v/>
          </cell>
        </row>
        <row r="982">
          <cell r="A982" t="str">
            <v>DOCENTE PRE-ESCOLAR IV 77 TID (33,33 HORAS) Y DOCENTE BASICA IV 77 TCVD (06 HORAS)</v>
          </cell>
          <cell r="B982" t="str">
            <v>40129</v>
          </cell>
          <cell r="C982" t="str">
            <v>E</v>
          </cell>
          <cell r="D982" t="str">
            <v>DO</v>
          </cell>
          <cell r="E982" t="str">
            <v/>
          </cell>
        </row>
        <row r="983">
          <cell r="A983" t="str">
            <v>DOCENTE PRE-ESCOLAR VI 139 TID (33,33 HORAS) Y DOC. BASICA VI 139 TCVNMA  (16 HORAS)</v>
          </cell>
          <cell r="B983" t="str">
            <v>40227</v>
          </cell>
          <cell r="C983" t="str">
            <v>E</v>
          </cell>
          <cell r="D983" t="str">
            <v>DO</v>
          </cell>
          <cell r="E983" t="str">
            <v/>
          </cell>
        </row>
        <row r="984">
          <cell r="A984" t="str">
            <v>DOCENTE PREESCOLAR VI 77 TID (33.33 HORAS) Y DOCENTE BASICO V 77 TCVNMA (16 HORAS)</v>
          </cell>
          <cell r="B984" t="str">
            <v>40130</v>
          </cell>
          <cell r="C984" t="str">
            <v>E</v>
          </cell>
          <cell r="D984" t="str">
            <v>DO</v>
          </cell>
          <cell r="E984" t="str">
            <v/>
          </cell>
        </row>
        <row r="985">
          <cell r="A985" t="str">
            <v>DOCENTE SD BASICA VI 77 TID (40 HORAS) Y TCVD (14 HORAS)</v>
          </cell>
          <cell r="B985" t="str">
            <v>40131</v>
          </cell>
          <cell r="C985" t="str">
            <v>E</v>
          </cell>
          <cell r="D985" t="str">
            <v>DO</v>
          </cell>
          <cell r="E985" t="str">
            <v/>
          </cell>
        </row>
        <row r="986">
          <cell r="A986" t="str">
            <v>DOCENTE SUB-DIRECTOR BASICA IV 77 TID (36 HORAS)</v>
          </cell>
          <cell r="B986" t="str">
            <v>40177</v>
          </cell>
          <cell r="C986" t="str">
            <v>E</v>
          </cell>
          <cell r="D986" t="str">
            <v>DO</v>
          </cell>
          <cell r="E986" t="str">
            <v/>
          </cell>
        </row>
        <row r="987">
          <cell r="A987" t="str">
            <v>DOCENTE SUB-DIRECTOR BASICA IV 77 TID (36 HORAS)Y DOCENTE IV BASICO TCVD (16 HORAS)</v>
          </cell>
          <cell r="B987" t="str">
            <v>40132</v>
          </cell>
          <cell r="C987" t="str">
            <v>E</v>
          </cell>
          <cell r="D987" t="str">
            <v>DO</v>
          </cell>
          <cell r="E987" t="str">
            <v/>
          </cell>
        </row>
        <row r="988">
          <cell r="A988" t="str">
            <v>DOCENTE SUB-DIRECTOR BASICO IV 77 TID (40 HORAS) Y DOCENTE BASICO IV 77 TCVD (08 HORAS)</v>
          </cell>
          <cell r="B988" t="str">
            <v>40133</v>
          </cell>
          <cell r="C988" t="str">
            <v>E</v>
          </cell>
          <cell r="D988" t="str">
            <v>DO</v>
          </cell>
          <cell r="E988" t="str">
            <v/>
          </cell>
        </row>
        <row r="989">
          <cell r="A989" t="str">
            <v>DOCENTE SUB-DIRECTORA BASICA V 77 TID (36 HORAS) Y TCVD (08 HORAS)</v>
          </cell>
          <cell r="B989" t="str">
            <v>40134</v>
          </cell>
          <cell r="C989" t="str">
            <v>E</v>
          </cell>
          <cell r="D989" t="str">
            <v>DO</v>
          </cell>
          <cell r="E989" t="str">
            <v/>
          </cell>
        </row>
        <row r="990">
          <cell r="A990" t="str">
            <v>DOCENTE SUB-DIRECTORA BASICA V TSE (36 HORAS)</v>
          </cell>
          <cell r="B990" t="str">
            <v>40135</v>
          </cell>
          <cell r="C990" t="str">
            <v>E</v>
          </cell>
          <cell r="D990" t="str">
            <v>DO</v>
          </cell>
          <cell r="E990" t="str">
            <v/>
          </cell>
        </row>
        <row r="991">
          <cell r="A991" t="str">
            <v>DOCENTE SUB-DIRECTORA BASICA VI 77 TID (40 HORAS) Y (07 HORAS)</v>
          </cell>
          <cell r="B991" t="str">
            <v>40136</v>
          </cell>
          <cell r="C991" t="str">
            <v>E</v>
          </cell>
          <cell r="D991" t="str">
            <v>DO</v>
          </cell>
          <cell r="E991" t="str">
            <v/>
          </cell>
        </row>
        <row r="992">
          <cell r="A992" t="str">
            <v>DOCENTE SUB-DIRECTORA BASICO VI 77 TID (36 HORAS) Y (16 HORAS)</v>
          </cell>
          <cell r="B992" t="str">
            <v>40137</v>
          </cell>
          <cell r="C992" t="str">
            <v>E</v>
          </cell>
          <cell r="D992" t="str">
            <v>DO</v>
          </cell>
          <cell r="E992" t="str">
            <v/>
          </cell>
        </row>
        <row r="993">
          <cell r="A993" t="str">
            <v>DOCENTE SUP BASICA VI 77 TC (40 HORAS), DOCENTE BAS VI TCVN (16 HORAS) Y DOCENTE VI AULA (5 HORAS)</v>
          </cell>
          <cell r="B993" t="str">
            <v>40138</v>
          </cell>
          <cell r="C993" t="str">
            <v>E</v>
          </cell>
          <cell r="D993" t="str">
            <v>DO</v>
          </cell>
          <cell r="E993" t="str">
            <v/>
          </cell>
        </row>
        <row r="994">
          <cell r="A994" t="str">
            <v>DOCENTE SUPERVISOR BASICO V 77 TC Y DOCENTE BASICO V 77 TCVN Y DOCENTE DE AULA V (ZONA EDUC)</v>
          </cell>
          <cell r="B994" t="str">
            <v>40140</v>
          </cell>
          <cell r="C994" t="str">
            <v>E</v>
          </cell>
          <cell r="D994" t="str">
            <v>DO</v>
          </cell>
          <cell r="E994" t="str">
            <v/>
          </cell>
        </row>
        <row r="995">
          <cell r="A995" t="str">
            <v>DOCENTE SUPERVISOR BASICO VI 139 TC (40 HORAS) Y DOCENTE BASICO VI 139 TCVNMA (16 HORAS)</v>
          </cell>
          <cell r="B995" t="str">
            <v>40141</v>
          </cell>
          <cell r="C995" t="str">
            <v>E</v>
          </cell>
          <cell r="D995" t="str">
            <v>DO</v>
          </cell>
          <cell r="E995" t="str">
            <v/>
          </cell>
        </row>
        <row r="996">
          <cell r="A996" t="str">
            <v>DOCENTE SUPERVISOR BASICO VI 77 TC Y DOCENTE IV AULA (13 HORAS)</v>
          </cell>
          <cell r="B996" t="str">
            <v>40142</v>
          </cell>
          <cell r="C996" t="str">
            <v>E</v>
          </cell>
          <cell r="D996" t="str">
            <v>DO</v>
          </cell>
          <cell r="E996" t="str">
            <v/>
          </cell>
        </row>
        <row r="997">
          <cell r="A997" t="str">
            <v>DOCENTE SUPERVISOR BASICO VI 77 TCVNMA</v>
          </cell>
          <cell r="B997" t="str">
            <v>40300</v>
          </cell>
          <cell r="C997" t="str">
            <v>E</v>
          </cell>
          <cell r="D997" t="str">
            <v>DO</v>
          </cell>
          <cell r="E997" t="str">
            <v/>
          </cell>
        </row>
        <row r="998">
          <cell r="A998" t="str">
            <v>DOCENTE SUPERVISOR V 77 TC</v>
          </cell>
          <cell r="B998" t="str">
            <v>40139</v>
          </cell>
          <cell r="C998" t="str">
            <v>E</v>
          </cell>
          <cell r="D998" t="str">
            <v>DO</v>
          </cell>
          <cell r="E998" t="str">
            <v/>
          </cell>
        </row>
        <row r="999">
          <cell r="A999" t="str">
            <v>DOCENTE V 77 TID (33,33 HORAS) Y TCVD (13 HORAS)</v>
          </cell>
          <cell r="B999" t="str">
            <v>40143</v>
          </cell>
          <cell r="C999" t="str">
            <v>E</v>
          </cell>
          <cell r="D999" t="str">
            <v>DO</v>
          </cell>
          <cell r="E999" t="str">
            <v/>
          </cell>
        </row>
        <row r="1000">
          <cell r="A1000" t="str">
            <v>ECONOMA I</v>
          </cell>
          <cell r="B1000" t="str">
            <v>77141</v>
          </cell>
          <cell r="C1000" t="str">
            <v>E</v>
          </cell>
          <cell r="D1000" t="str">
            <v>AD</v>
          </cell>
          <cell r="E1000" t="str">
            <v>01</v>
          </cell>
        </row>
        <row r="1001">
          <cell r="A1001" t="str">
            <v>ECONOMA II</v>
          </cell>
          <cell r="B1001" t="str">
            <v>77142</v>
          </cell>
          <cell r="C1001" t="str">
            <v>E</v>
          </cell>
          <cell r="D1001" t="str">
            <v>AD</v>
          </cell>
          <cell r="E1001" t="str">
            <v>03</v>
          </cell>
        </row>
        <row r="1002">
          <cell r="A1002" t="str">
            <v>ECONOMISTA I</v>
          </cell>
          <cell r="B1002" t="str">
            <v>36221</v>
          </cell>
          <cell r="C1002" t="str">
            <v>E</v>
          </cell>
          <cell r="D1002" t="str">
            <v>UT</v>
          </cell>
          <cell r="E1002" t="str">
            <v>17</v>
          </cell>
        </row>
        <row r="1003">
          <cell r="A1003" t="str">
            <v>ECONOMISTA II</v>
          </cell>
          <cell r="B1003" t="str">
            <v>36222</v>
          </cell>
          <cell r="C1003" t="str">
            <v>E</v>
          </cell>
          <cell r="D1003" t="str">
            <v>UT</v>
          </cell>
          <cell r="E1003" t="str">
            <v>19</v>
          </cell>
        </row>
        <row r="1004">
          <cell r="A1004" t="str">
            <v>ECONOMISTA III</v>
          </cell>
          <cell r="B1004" t="str">
            <v>36223</v>
          </cell>
          <cell r="C1004" t="str">
            <v>E</v>
          </cell>
          <cell r="D1004" t="str">
            <v>UT</v>
          </cell>
          <cell r="E1004" t="str">
            <v>20</v>
          </cell>
        </row>
        <row r="1005">
          <cell r="A1005" t="str">
            <v>ECONOMISTA JEFE I</v>
          </cell>
          <cell r="B1005" t="str">
            <v>36231</v>
          </cell>
          <cell r="C1005" t="str">
            <v>E</v>
          </cell>
          <cell r="D1005" t="str">
            <v>UT</v>
          </cell>
          <cell r="E1005" t="str">
            <v>22</v>
          </cell>
        </row>
        <row r="1006">
          <cell r="A1006" t="str">
            <v>ECONOMISTA JEFE II</v>
          </cell>
          <cell r="B1006" t="str">
            <v>36232</v>
          </cell>
          <cell r="C1006" t="str">
            <v>E</v>
          </cell>
          <cell r="D1006" t="str">
            <v>UT</v>
          </cell>
          <cell r="E1006" t="str">
            <v>23</v>
          </cell>
        </row>
        <row r="1007">
          <cell r="A1007" t="str">
            <v>ECONOMISTA JEFE III</v>
          </cell>
          <cell r="B1007" t="str">
            <v>36233</v>
          </cell>
          <cell r="C1007" t="str">
            <v>E</v>
          </cell>
          <cell r="D1007" t="str">
            <v>UT</v>
          </cell>
          <cell r="E1007" t="str">
            <v>24</v>
          </cell>
        </row>
        <row r="1008">
          <cell r="A1008" t="str">
            <v>EDITOR</v>
          </cell>
          <cell r="B1008" t="str">
            <v>31360</v>
          </cell>
          <cell r="C1008" t="str">
            <v>E</v>
          </cell>
          <cell r="D1008" t="str">
            <v>UT</v>
          </cell>
          <cell r="E1008" t="str">
            <v>23</v>
          </cell>
        </row>
        <row r="1009">
          <cell r="A1009" t="str">
            <v>EDITOR DE NOTICIAS EDUCATIVAS</v>
          </cell>
          <cell r="B1009" t="str">
            <v>31120</v>
          </cell>
          <cell r="C1009" t="str">
            <v>E</v>
          </cell>
          <cell r="D1009" t="str">
            <v>UT</v>
          </cell>
          <cell r="E1009" t="str">
            <v>17</v>
          </cell>
        </row>
        <row r="1010">
          <cell r="A1010" t="str">
            <v>EDITOR FILMICO</v>
          </cell>
          <cell r="B1010" t="str">
            <v>32170</v>
          </cell>
          <cell r="C1010" t="str">
            <v>E</v>
          </cell>
          <cell r="D1010" t="str">
            <v>AD</v>
          </cell>
          <cell r="E1010" t="str">
            <v>03</v>
          </cell>
        </row>
        <row r="1011">
          <cell r="A1011" t="str">
            <v>EDITOR HISTORICO</v>
          </cell>
          <cell r="B1011" t="str">
            <v>31110</v>
          </cell>
          <cell r="C1011" t="str">
            <v>E</v>
          </cell>
          <cell r="D1011" t="str">
            <v>UT</v>
          </cell>
          <cell r="E1011" t="str">
            <v>17</v>
          </cell>
        </row>
        <row r="1012">
          <cell r="A1012" t="str">
            <v>EDITOR JEFE</v>
          </cell>
          <cell r="B1012" t="str">
            <v>31370</v>
          </cell>
          <cell r="C1012" t="str">
            <v>E</v>
          </cell>
          <cell r="D1012" t="str">
            <v>UT</v>
          </cell>
          <cell r="E1012" t="str">
            <v>25</v>
          </cell>
        </row>
        <row r="1013">
          <cell r="A1013" t="str">
            <v>EJECUTANTE DE CLARINETE</v>
          </cell>
          <cell r="B1013" t="str">
            <v>40144</v>
          </cell>
          <cell r="C1013" t="str">
            <v>E</v>
          </cell>
          <cell r="D1013" t="str">
            <v>DO</v>
          </cell>
          <cell r="E1013" t="str">
            <v/>
          </cell>
        </row>
        <row r="1014">
          <cell r="A1014" t="str">
            <v>ENCUADERNADOR DE CONSERVACION II</v>
          </cell>
          <cell r="B1014" t="str">
            <v>37812</v>
          </cell>
          <cell r="C1014" t="str">
            <v>E</v>
          </cell>
          <cell r="D1014" t="str">
            <v>AD</v>
          </cell>
          <cell r="E1014" t="str">
            <v>03</v>
          </cell>
        </row>
        <row r="1015">
          <cell r="A1015" t="str">
            <v>ENCUADERNADOR DE CONSERVACION III</v>
          </cell>
          <cell r="B1015" t="str">
            <v>37813</v>
          </cell>
          <cell r="C1015" t="str">
            <v>E</v>
          </cell>
          <cell r="D1015" t="str">
            <v>AD</v>
          </cell>
          <cell r="E1015" t="str">
            <v>06</v>
          </cell>
        </row>
        <row r="1016">
          <cell r="A1016" t="str">
            <v>ENCUADERNADOR DE CONSERVACION JEFE</v>
          </cell>
          <cell r="B1016" t="str">
            <v>37820</v>
          </cell>
          <cell r="C1016" t="str">
            <v>E</v>
          </cell>
          <cell r="D1016" t="str">
            <v>AD</v>
          </cell>
          <cell r="E1016" t="str">
            <v>10</v>
          </cell>
        </row>
        <row r="1017">
          <cell r="A1017" t="str">
            <v>ENFERMERA ANESTESISTA</v>
          </cell>
          <cell r="B1017" t="str">
            <v>71310</v>
          </cell>
          <cell r="C1017" t="str">
            <v>E</v>
          </cell>
          <cell r="D1017" t="str">
            <v>AD</v>
          </cell>
          <cell r="E1017" t="str">
            <v>03</v>
          </cell>
        </row>
        <row r="1018">
          <cell r="A1018" t="str">
            <v>ENFERMERA DE SALUD PUBLICA I</v>
          </cell>
          <cell r="B1018" t="str">
            <v>71351</v>
          </cell>
          <cell r="C1018" t="str">
            <v>E</v>
          </cell>
          <cell r="D1018" t="str">
            <v>AD</v>
          </cell>
          <cell r="E1018" t="str">
            <v>02</v>
          </cell>
        </row>
        <row r="1019">
          <cell r="A1019" t="str">
            <v>ENFERMERA DE SALUD PUBLICA II</v>
          </cell>
          <cell r="B1019" t="str">
            <v>71352</v>
          </cell>
          <cell r="C1019" t="str">
            <v>E</v>
          </cell>
          <cell r="D1019" t="str">
            <v>AD</v>
          </cell>
          <cell r="E1019" t="str">
            <v>03</v>
          </cell>
        </row>
        <row r="1020">
          <cell r="A1020" t="str">
            <v>ENFERMERA DE SALUD PUBLICA III</v>
          </cell>
          <cell r="B1020" t="str">
            <v>71353</v>
          </cell>
          <cell r="C1020" t="str">
            <v>E</v>
          </cell>
          <cell r="D1020" t="str">
            <v>UT</v>
          </cell>
          <cell r="E1020" t="str">
            <v>16</v>
          </cell>
        </row>
        <row r="1021">
          <cell r="A1021" t="str">
            <v>ENFERMERA DE SALUD PUBLICA IV</v>
          </cell>
          <cell r="B1021" t="str">
            <v>71354</v>
          </cell>
          <cell r="C1021" t="str">
            <v>E</v>
          </cell>
          <cell r="D1021" t="str">
            <v>UT</v>
          </cell>
          <cell r="E1021" t="str">
            <v>17</v>
          </cell>
        </row>
        <row r="1022">
          <cell r="A1022" t="str">
            <v>ENFERMERA DE SALUD PUBLICA JEFE II</v>
          </cell>
          <cell r="B1022" t="str">
            <v>71362</v>
          </cell>
          <cell r="C1022" t="str">
            <v>E</v>
          </cell>
          <cell r="D1022" t="str">
            <v>UT</v>
          </cell>
          <cell r="E1022" t="str">
            <v>21</v>
          </cell>
        </row>
        <row r="1023">
          <cell r="A1023" t="str">
            <v>ENFERMERA DE SALUD PUBLICA JEFE III</v>
          </cell>
          <cell r="B1023" t="str">
            <v>71363</v>
          </cell>
          <cell r="C1023" t="str">
            <v>E</v>
          </cell>
          <cell r="D1023" t="str">
            <v>UT</v>
          </cell>
          <cell r="E1023" t="str">
            <v>22</v>
          </cell>
        </row>
        <row r="1024">
          <cell r="A1024" t="str">
            <v>ENFERMERA DE SALUD PUBLICA JEFE V</v>
          </cell>
          <cell r="B1024" t="str">
            <v>71364</v>
          </cell>
          <cell r="C1024" t="str">
            <v>E</v>
          </cell>
          <cell r="D1024" t="str">
            <v>UT</v>
          </cell>
          <cell r="E1024" t="str">
            <v>24</v>
          </cell>
        </row>
        <row r="1025">
          <cell r="A1025" t="str">
            <v>ENFERMERA DE SALUD PUBLICA V</v>
          </cell>
          <cell r="B1025" t="str">
            <v>71355</v>
          </cell>
          <cell r="C1025" t="str">
            <v>E</v>
          </cell>
          <cell r="D1025" t="str">
            <v>UT</v>
          </cell>
          <cell r="E1025" t="str">
            <v>19</v>
          </cell>
        </row>
        <row r="1026">
          <cell r="A1026" t="str">
            <v>ENFERMERA HEMOTERAPISTA I</v>
          </cell>
          <cell r="B1026" t="str">
            <v>71321</v>
          </cell>
          <cell r="C1026" t="str">
            <v>E</v>
          </cell>
          <cell r="D1026" t="str">
            <v>AD</v>
          </cell>
          <cell r="E1026" t="str">
            <v>03</v>
          </cell>
        </row>
        <row r="1027">
          <cell r="A1027" t="str">
            <v>ENFERMERA HEMOTERAPISTA II</v>
          </cell>
          <cell r="B1027" t="str">
            <v>71322</v>
          </cell>
          <cell r="C1027" t="str">
            <v>E</v>
          </cell>
          <cell r="D1027" t="str">
            <v>UT</v>
          </cell>
          <cell r="E1027" t="str">
            <v>16</v>
          </cell>
        </row>
        <row r="1028">
          <cell r="A1028" t="str">
            <v>ENFERMERA HEMOTERAPISTA III</v>
          </cell>
          <cell r="B1028" t="str">
            <v>71323</v>
          </cell>
          <cell r="C1028" t="str">
            <v>E</v>
          </cell>
          <cell r="D1028" t="str">
            <v>UT</v>
          </cell>
          <cell r="E1028" t="str">
            <v>18</v>
          </cell>
        </row>
        <row r="1029">
          <cell r="A1029" t="str">
            <v>ENFERMERA I</v>
          </cell>
          <cell r="B1029" t="str">
            <v>71331</v>
          </cell>
          <cell r="C1029" t="str">
            <v>E</v>
          </cell>
          <cell r="D1029" t="str">
            <v>AD</v>
          </cell>
          <cell r="E1029" t="str">
            <v>02</v>
          </cell>
        </row>
        <row r="1030">
          <cell r="A1030" t="str">
            <v>ENFERMERA II</v>
          </cell>
          <cell r="B1030" t="str">
            <v>71332</v>
          </cell>
          <cell r="C1030" t="str">
            <v>E</v>
          </cell>
          <cell r="D1030" t="str">
            <v>AD</v>
          </cell>
          <cell r="E1030" t="str">
            <v>03</v>
          </cell>
        </row>
        <row r="1031">
          <cell r="A1031" t="str">
            <v>ENFERMERA III</v>
          </cell>
          <cell r="B1031" t="str">
            <v>71333</v>
          </cell>
          <cell r="C1031" t="str">
            <v>E</v>
          </cell>
          <cell r="D1031" t="str">
            <v>AD</v>
          </cell>
          <cell r="E1031" t="str">
            <v>04</v>
          </cell>
        </row>
        <row r="1032">
          <cell r="A1032" t="str">
            <v>ENFERMERA JEFE I</v>
          </cell>
          <cell r="B1032" t="str">
            <v>71341</v>
          </cell>
          <cell r="C1032" t="str">
            <v>E</v>
          </cell>
          <cell r="D1032" t="str">
            <v>UT</v>
          </cell>
          <cell r="E1032" t="str">
            <v>16</v>
          </cell>
        </row>
        <row r="1033">
          <cell r="A1033" t="str">
            <v>ENFERMERA JEFE II</v>
          </cell>
          <cell r="B1033" t="str">
            <v>71342</v>
          </cell>
          <cell r="C1033" t="str">
            <v>E</v>
          </cell>
          <cell r="D1033" t="str">
            <v>UT</v>
          </cell>
          <cell r="E1033" t="str">
            <v>17</v>
          </cell>
        </row>
        <row r="1034">
          <cell r="A1034" t="str">
            <v>ENFERMERA JEFE III</v>
          </cell>
          <cell r="B1034" t="str">
            <v>71343</v>
          </cell>
          <cell r="C1034" t="str">
            <v>E</v>
          </cell>
          <cell r="D1034" t="str">
            <v>UT</v>
          </cell>
          <cell r="E1034" t="str">
            <v>19</v>
          </cell>
        </row>
        <row r="1035">
          <cell r="A1035" t="str">
            <v>ENTRENADOR DE PORTIVO II</v>
          </cell>
          <cell r="B1035" t="str">
            <v>34232</v>
          </cell>
          <cell r="C1035" t="str">
            <v>E</v>
          </cell>
          <cell r="D1035" t="str">
            <v>AD</v>
          </cell>
          <cell r="E1035" t="str">
            <v>02</v>
          </cell>
        </row>
        <row r="1036">
          <cell r="A1036" t="str">
            <v>ENTRENADOR DEPORTIVO I</v>
          </cell>
          <cell r="B1036" t="str">
            <v>34231</v>
          </cell>
          <cell r="C1036" t="str">
            <v>E</v>
          </cell>
          <cell r="D1036" t="str">
            <v>AD</v>
          </cell>
          <cell r="E1036" t="str">
            <v>01</v>
          </cell>
        </row>
        <row r="1037">
          <cell r="A1037" t="str">
            <v>ENTRENADOR DEPORTIVO III</v>
          </cell>
          <cell r="B1037" t="str">
            <v>34233</v>
          </cell>
          <cell r="C1037" t="str">
            <v>E</v>
          </cell>
          <cell r="D1037" t="str">
            <v>UT</v>
          </cell>
          <cell r="E1037" t="str">
            <v>15</v>
          </cell>
        </row>
        <row r="1038">
          <cell r="A1038" t="str">
            <v>ENTRENADOR DEPORTIVO IV</v>
          </cell>
          <cell r="B1038" t="str">
            <v>34234</v>
          </cell>
          <cell r="C1038" t="str">
            <v>E</v>
          </cell>
          <cell r="D1038" t="str">
            <v>UT</v>
          </cell>
          <cell r="E1038" t="str">
            <v>17</v>
          </cell>
        </row>
        <row r="1039">
          <cell r="A1039" t="str">
            <v>ENTRENADOR DEPORTIVO V</v>
          </cell>
          <cell r="B1039" t="str">
            <v>34235</v>
          </cell>
          <cell r="C1039" t="str">
            <v>E</v>
          </cell>
          <cell r="D1039" t="str">
            <v>UT</v>
          </cell>
          <cell r="E1039" t="str">
            <v>19</v>
          </cell>
        </row>
        <row r="1040">
          <cell r="A1040" t="str">
            <v>ENTRENADOR DEPORTIVO VI</v>
          </cell>
          <cell r="B1040" t="str">
            <v>34236</v>
          </cell>
          <cell r="C1040" t="str">
            <v>E</v>
          </cell>
          <cell r="D1040" t="str">
            <v>UT</v>
          </cell>
          <cell r="E1040" t="str">
            <v>21</v>
          </cell>
        </row>
        <row r="1041">
          <cell r="A1041" t="str">
            <v>ENTRENADOR DEPORTIVO VII</v>
          </cell>
          <cell r="B1041" t="str">
            <v>34237</v>
          </cell>
          <cell r="C1041" t="str">
            <v>E</v>
          </cell>
          <cell r="D1041" t="str">
            <v>UT</v>
          </cell>
          <cell r="E1041" t="str">
            <v>23</v>
          </cell>
        </row>
        <row r="1042">
          <cell r="A1042" t="str">
            <v>ESCENOGRAFO</v>
          </cell>
          <cell r="B1042" t="str">
            <v>32125</v>
          </cell>
          <cell r="C1042" t="str">
            <v>E</v>
          </cell>
          <cell r="D1042" t="str">
            <v>AD</v>
          </cell>
          <cell r="E1042" t="str">
            <v>04</v>
          </cell>
        </row>
        <row r="1043">
          <cell r="A1043" t="str">
            <v>ESCRIBIENTE DE REGISTRO I</v>
          </cell>
          <cell r="B1043" t="str">
            <v>35231</v>
          </cell>
          <cell r="C1043" t="str">
            <v>E</v>
          </cell>
          <cell r="D1043" t="str">
            <v>AD</v>
          </cell>
          <cell r="E1043" t="str">
            <v>01</v>
          </cell>
        </row>
        <row r="1044">
          <cell r="A1044" t="str">
            <v>ESCRIBIENTE DE REGISTROS  II</v>
          </cell>
          <cell r="B1044" t="str">
            <v>35232</v>
          </cell>
          <cell r="C1044" t="str">
            <v>E</v>
          </cell>
          <cell r="D1044" t="str">
            <v>AD</v>
          </cell>
          <cell r="E1044" t="str">
            <v>03</v>
          </cell>
        </row>
        <row r="1045">
          <cell r="A1045" t="str">
            <v>ESPECIALISTA EN ASISTENCIA TECNICA</v>
          </cell>
          <cell r="B1045" t="str">
            <v>12310</v>
          </cell>
          <cell r="C1045" t="str">
            <v>E</v>
          </cell>
          <cell r="D1045" t="str">
            <v>UT</v>
          </cell>
          <cell r="E1045" t="str">
            <v>25</v>
          </cell>
        </row>
        <row r="1046">
          <cell r="A1046" t="str">
            <v>ESPECIALISTA EN EXTENSION I</v>
          </cell>
          <cell r="B1046" t="str">
            <v>41311</v>
          </cell>
          <cell r="C1046" t="str">
            <v>E</v>
          </cell>
          <cell r="D1046" t="str">
            <v>AD</v>
          </cell>
          <cell r="E1046" t="str">
            <v>03</v>
          </cell>
        </row>
        <row r="1047">
          <cell r="A1047" t="str">
            <v>ESPECIALISTA EN EXTENSION II</v>
          </cell>
          <cell r="B1047" t="str">
            <v>41312</v>
          </cell>
          <cell r="C1047" t="str">
            <v>E</v>
          </cell>
          <cell r="D1047" t="str">
            <v>UT</v>
          </cell>
          <cell r="E1047" t="str">
            <v>15</v>
          </cell>
        </row>
        <row r="1048">
          <cell r="A1048" t="str">
            <v>ESPECIALISTA EN EXTENSION III</v>
          </cell>
          <cell r="B1048" t="str">
            <v>41313</v>
          </cell>
          <cell r="C1048" t="str">
            <v>E</v>
          </cell>
          <cell r="D1048" t="str">
            <v>UT</v>
          </cell>
          <cell r="E1048" t="str">
            <v>18</v>
          </cell>
        </row>
        <row r="1049">
          <cell r="A1049" t="str">
            <v>ESPECIALISTA EN EXTENSION IV</v>
          </cell>
          <cell r="B1049" t="str">
            <v>41314</v>
          </cell>
          <cell r="C1049" t="str">
            <v>E</v>
          </cell>
          <cell r="D1049" t="str">
            <v>UT</v>
          </cell>
          <cell r="E1049" t="str">
            <v>19</v>
          </cell>
        </row>
        <row r="1050">
          <cell r="A1050" t="str">
            <v>ESPECIALISTA EN INFORMACION I</v>
          </cell>
          <cell r="B1050" t="str">
            <v>31231</v>
          </cell>
          <cell r="C1050" t="str">
            <v>E</v>
          </cell>
          <cell r="D1050" t="str">
            <v>UT</v>
          </cell>
          <cell r="E1050" t="str">
            <v>17</v>
          </cell>
        </row>
        <row r="1051">
          <cell r="A1051" t="str">
            <v>ESPECIALISTA EN INFORMACION II</v>
          </cell>
          <cell r="B1051" t="str">
            <v>31232</v>
          </cell>
          <cell r="C1051" t="str">
            <v>E</v>
          </cell>
          <cell r="D1051" t="str">
            <v>UT</v>
          </cell>
          <cell r="E1051" t="str">
            <v>19</v>
          </cell>
        </row>
        <row r="1052">
          <cell r="A1052" t="str">
            <v>ESPECIALISTA EN INFORMACION III</v>
          </cell>
          <cell r="B1052" t="str">
            <v>31233</v>
          </cell>
          <cell r="C1052" t="str">
            <v>E</v>
          </cell>
          <cell r="D1052" t="str">
            <v>UT</v>
          </cell>
          <cell r="E1052" t="str">
            <v>21</v>
          </cell>
        </row>
        <row r="1053">
          <cell r="A1053" t="str">
            <v>ESPECIALISTA EN INFORMATICA I</v>
          </cell>
          <cell r="B1053" t="str">
            <v>23471</v>
          </cell>
          <cell r="C1053" t="str">
            <v>E</v>
          </cell>
          <cell r="D1053" t="str">
            <v>UT</v>
          </cell>
          <cell r="E1053" t="str">
            <v>24</v>
          </cell>
        </row>
        <row r="1054">
          <cell r="A1054" t="str">
            <v>ESPECIALISTA EN INFORMATICA II</v>
          </cell>
          <cell r="B1054" t="str">
            <v>23472</v>
          </cell>
          <cell r="C1054" t="str">
            <v>E</v>
          </cell>
          <cell r="D1054" t="str">
            <v>UT</v>
          </cell>
          <cell r="E1054" t="str">
            <v>26</v>
          </cell>
        </row>
        <row r="1055">
          <cell r="A1055" t="str">
            <v>ESTADISTICO I</v>
          </cell>
          <cell r="B1055" t="str">
            <v>36131</v>
          </cell>
          <cell r="C1055" t="str">
            <v>E</v>
          </cell>
          <cell r="D1055" t="str">
            <v>UT</v>
          </cell>
          <cell r="E1055" t="str">
            <v>17</v>
          </cell>
        </row>
        <row r="1056">
          <cell r="A1056" t="str">
            <v>ESTADISTICO II</v>
          </cell>
          <cell r="B1056" t="str">
            <v>36132</v>
          </cell>
          <cell r="C1056" t="str">
            <v>E</v>
          </cell>
          <cell r="D1056" t="str">
            <v>UT</v>
          </cell>
          <cell r="E1056" t="str">
            <v>19</v>
          </cell>
        </row>
        <row r="1057">
          <cell r="A1057" t="str">
            <v>ESTADISTICO III</v>
          </cell>
          <cell r="B1057" t="str">
            <v>36133</v>
          </cell>
          <cell r="C1057" t="str">
            <v>E</v>
          </cell>
          <cell r="D1057" t="str">
            <v>UT</v>
          </cell>
          <cell r="E1057" t="str">
            <v>21</v>
          </cell>
        </row>
        <row r="1058">
          <cell r="A1058" t="str">
            <v>ESTADISTICO JEFE I</v>
          </cell>
          <cell r="B1058" t="str">
            <v>36141</v>
          </cell>
          <cell r="C1058" t="str">
            <v>E</v>
          </cell>
          <cell r="D1058" t="str">
            <v>UT</v>
          </cell>
          <cell r="E1058" t="str">
            <v>23</v>
          </cell>
        </row>
        <row r="1059">
          <cell r="A1059" t="str">
            <v>ESTADISTICO JEFE II</v>
          </cell>
          <cell r="B1059" t="str">
            <v>36142</v>
          </cell>
          <cell r="C1059" t="str">
            <v>E</v>
          </cell>
          <cell r="D1059" t="str">
            <v>UT</v>
          </cell>
          <cell r="E1059" t="str">
            <v>24</v>
          </cell>
        </row>
        <row r="1060">
          <cell r="A1060" t="str">
            <v>ESTIMADOR DE ASTILLEROS</v>
          </cell>
          <cell r="B1060" t="str">
            <v>46960</v>
          </cell>
          <cell r="C1060" t="str">
            <v>E</v>
          </cell>
          <cell r="D1060" t="str">
            <v>UT</v>
          </cell>
          <cell r="E1060" t="str">
            <v>19</v>
          </cell>
        </row>
        <row r="1061">
          <cell r="A1061" t="str">
            <v>EXAMINADOR AUXILIADOR DE BANCO</v>
          </cell>
          <cell r="B1061" t="str">
            <v>25810</v>
          </cell>
          <cell r="C1061" t="str">
            <v>E</v>
          </cell>
          <cell r="D1061" t="str">
            <v>UT</v>
          </cell>
          <cell r="E1061" t="str">
            <v>16</v>
          </cell>
        </row>
        <row r="1062">
          <cell r="A1062" t="str">
            <v>EXAMINADOR DE BANCOS I</v>
          </cell>
          <cell r="B1062" t="str">
            <v>25821</v>
          </cell>
          <cell r="C1062" t="str">
            <v>E</v>
          </cell>
          <cell r="D1062" t="str">
            <v>UT</v>
          </cell>
          <cell r="E1062" t="str">
            <v>18</v>
          </cell>
        </row>
        <row r="1063">
          <cell r="A1063" t="str">
            <v>EXAMINADOR DE BANCOS II</v>
          </cell>
          <cell r="B1063" t="str">
            <v>25822</v>
          </cell>
          <cell r="C1063" t="str">
            <v>E</v>
          </cell>
          <cell r="D1063" t="str">
            <v>UT</v>
          </cell>
          <cell r="E1063" t="str">
            <v>20</v>
          </cell>
        </row>
        <row r="1064">
          <cell r="A1064" t="str">
            <v>EXAMINADOR DE BANCOS III</v>
          </cell>
          <cell r="B1064" t="str">
            <v>25823</v>
          </cell>
          <cell r="C1064" t="str">
            <v>E</v>
          </cell>
          <cell r="D1064" t="str">
            <v>UT</v>
          </cell>
          <cell r="E1064" t="str">
            <v>22</v>
          </cell>
        </row>
        <row r="1065">
          <cell r="A1065" t="str">
            <v>EXAMINADOR DE BANCOS IV</v>
          </cell>
          <cell r="B1065" t="str">
            <v>25824</v>
          </cell>
          <cell r="C1065" t="str">
            <v>E</v>
          </cell>
          <cell r="D1065" t="str">
            <v>UT</v>
          </cell>
          <cell r="E1065" t="str">
            <v>23</v>
          </cell>
        </row>
        <row r="1066">
          <cell r="A1066" t="str">
            <v>EXAMINADOR DE BANCOS JEFE</v>
          </cell>
          <cell r="B1066" t="str">
            <v>25830</v>
          </cell>
          <cell r="C1066" t="str">
            <v>E</v>
          </cell>
          <cell r="D1066" t="str">
            <v>UT</v>
          </cell>
          <cell r="E1066" t="str">
            <v>26</v>
          </cell>
        </row>
        <row r="1067">
          <cell r="A1067" t="str">
            <v>EXAMINADOR DE BANCOS V</v>
          </cell>
          <cell r="B1067" t="str">
            <v>25825</v>
          </cell>
          <cell r="C1067" t="str">
            <v>E</v>
          </cell>
          <cell r="D1067" t="str">
            <v>UT</v>
          </cell>
          <cell r="E1067" t="str">
            <v>25</v>
          </cell>
        </row>
        <row r="1068">
          <cell r="A1068" t="str">
            <v>EXPENDEDOR DE ESPECIES FISCALES I</v>
          </cell>
          <cell r="B1068" t="str">
            <v>21641</v>
          </cell>
          <cell r="C1068" t="str">
            <v>E</v>
          </cell>
          <cell r="D1068" t="str">
            <v>AD</v>
          </cell>
          <cell r="E1068" t="str">
            <v>02</v>
          </cell>
        </row>
        <row r="1069">
          <cell r="A1069" t="str">
            <v>EXPENDEDOR DE ESPECIES FISCALES II</v>
          </cell>
          <cell r="B1069" t="str">
            <v>21642</v>
          </cell>
          <cell r="C1069" t="str">
            <v>E</v>
          </cell>
          <cell r="D1069" t="str">
            <v>AD</v>
          </cell>
          <cell r="E1069" t="str">
            <v>03</v>
          </cell>
        </row>
        <row r="1070">
          <cell r="A1070" t="str">
            <v>FAGOT</v>
          </cell>
          <cell r="B1070" t="str">
            <v>03619</v>
          </cell>
          <cell r="C1070" t="str">
            <v>E</v>
          </cell>
          <cell r="D1070" t="str">
            <v>AD</v>
          </cell>
          <cell r="E1070" t="str">
            <v>01</v>
          </cell>
        </row>
        <row r="1071">
          <cell r="A1071" t="str">
            <v>FAGOT 1</v>
          </cell>
          <cell r="B1071" t="str">
            <v>03542</v>
          </cell>
          <cell r="C1071" t="str">
            <v>E</v>
          </cell>
          <cell r="D1071" t="str">
            <v>AD</v>
          </cell>
          <cell r="E1071" t="str">
            <v>01</v>
          </cell>
        </row>
        <row r="1072">
          <cell r="A1072" t="str">
            <v>FAGOT 2</v>
          </cell>
          <cell r="B1072" t="str">
            <v>03568</v>
          </cell>
          <cell r="C1072" t="str">
            <v>E</v>
          </cell>
          <cell r="D1072" t="str">
            <v>AD</v>
          </cell>
          <cell r="E1072" t="str">
            <v>01</v>
          </cell>
        </row>
        <row r="1073">
          <cell r="A1073" t="str">
            <v>FARMACEUTICO I</v>
          </cell>
          <cell r="B1073" t="str">
            <v>74211</v>
          </cell>
          <cell r="C1073" t="str">
            <v>E</v>
          </cell>
          <cell r="D1073" t="str">
            <v>UT</v>
          </cell>
          <cell r="E1073" t="str">
            <v>17</v>
          </cell>
        </row>
        <row r="1074">
          <cell r="A1074" t="str">
            <v>FARMACEUTICO II</v>
          </cell>
          <cell r="B1074" t="str">
            <v>74212</v>
          </cell>
          <cell r="C1074" t="str">
            <v>E</v>
          </cell>
          <cell r="D1074" t="str">
            <v>UT</v>
          </cell>
          <cell r="E1074" t="str">
            <v>19</v>
          </cell>
        </row>
        <row r="1075">
          <cell r="A1075" t="str">
            <v>FARMACEUTICO III</v>
          </cell>
          <cell r="B1075" t="str">
            <v>74213</v>
          </cell>
          <cell r="C1075" t="str">
            <v>E</v>
          </cell>
          <cell r="D1075" t="str">
            <v>UT</v>
          </cell>
          <cell r="E1075" t="str">
            <v>20</v>
          </cell>
        </row>
        <row r="1076">
          <cell r="A1076" t="str">
            <v>FARMACEUTICO JEFE I</v>
          </cell>
          <cell r="B1076" t="str">
            <v>74221</v>
          </cell>
          <cell r="C1076" t="str">
            <v>E</v>
          </cell>
          <cell r="D1076" t="str">
            <v>UT</v>
          </cell>
          <cell r="E1076" t="str">
            <v>22</v>
          </cell>
        </row>
        <row r="1077">
          <cell r="A1077" t="str">
            <v>FARMACEUTICO JEFE II</v>
          </cell>
          <cell r="B1077" t="str">
            <v>74222</v>
          </cell>
          <cell r="C1077" t="str">
            <v>E</v>
          </cell>
          <cell r="D1077" t="str">
            <v>UT</v>
          </cell>
          <cell r="E1077" t="str">
            <v>23</v>
          </cell>
        </row>
        <row r="1078">
          <cell r="A1078" t="str">
            <v>FARMACOLOGO I</v>
          </cell>
          <cell r="B1078" t="str">
            <v>74231</v>
          </cell>
          <cell r="C1078" t="str">
            <v>E</v>
          </cell>
          <cell r="D1078" t="str">
            <v>UT</v>
          </cell>
          <cell r="E1078" t="str">
            <v>19</v>
          </cell>
        </row>
        <row r="1079">
          <cell r="A1079" t="str">
            <v>FARMACOLOGO II</v>
          </cell>
          <cell r="B1079" t="str">
            <v>74232</v>
          </cell>
          <cell r="C1079" t="str">
            <v>E</v>
          </cell>
          <cell r="D1079" t="str">
            <v>UT</v>
          </cell>
          <cell r="E1079" t="str">
            <v>20</v>
          </cell>
        </row>
        <row r="1080">
          <cell r="A1080" t="str">
            <v>FARMACOLOGO III</v>
          </cell>
          <cell r="B1080" t="str">
            <v>74233</v>
          </cell>
          <cell r="C1080" t="str">
            <v>E</v>
          </cell>
          <cell r="D1080" t="str">
            <v>UT</v>
          </cell>
          <cell r="E1080" t="str">
            <v>21</v>
          </cell>
        </row>
        <row r="1081">
          <cell r="A1081" t="str">
            <v>FARMACOLOGO JEFE</v>
          </cell>
          <cell r="B1081" t="str">
            <v>74240</v>
          </cell>
          <cell r="C1081" t="str">
            <v>E</v>
          </cell>
          <cell r="D1081" t="str">
            <v>UT</v>
          </cell>
          <cell r="E1081" t="str">
            <v>22</v>
          </cell>
        </row>
        <row r="1082">
          <cell r="A1082" t="str">
            <v>FISCAL DE BIENES COMERCIALES</v>
          </cell>
          <cell r="B1082" t="str">
            <v>25710</v>
          </cell>
          <cell r="C1082" t="str">
            <v>E</v>
          </cell>
          <cell r="D1082" t="str">
            <v>AD</v>
          </cell>
          <cell r="E1082" t="str">
            <v>01</v>
          </cell>
        </row>
        <row r="1083">
          <cell r="A1083" t="str">
            <v>FISCAL DE COTIZACIONES I</v>
          </cell>
          <cell r="B1083" t="str">
            <v>21651</v>
          </cell>
          <cell r="C1083" t="str">
            <v>E</v>
          </cell>
          <cell r="D1083" t="str">
            <v>UT</v>
          </cell>
          <cell r="E1083" t="str">
            <v>16</v>
          </cell>
        </row>
        <row r="1084">
          <cell r="A1084" t="str">
            <v>FISCAL DE COTIZACIONES II</v>
          </cell>
          <cell r="B1084" t="str">
            <v>21652</v>
          </cell>
          <cell r="C1084" t="str">
            <v>E</v>
          </cell>
          <cell r="D1084" t="str">
            <v>UT</v>
          </cell>
          <cell r="E1084" t="str">
            <v>18</v>
          </cell>
        </row>
        <row r="1085">
          <cell r="A1085" t="str">
            <v>FISCAL DE EMPRESAS</v>
          </cell>
          <cell r="B1085" t="str">
            <v>21380</v>
          </cell>
          <cell r="C1085" t="str">
            <v>E</v>
          </cell>
          <cell r="D1085" t="str">
            <v>AD</v>
          </cell>
          <cell r="E1085" t="str">
            <v>01</v>
          </cell>
        </row>
        <row r="1086">
          <cell r="A1086" t="str">
            <v>FISCAL DE OBRAS I</v>
          </cell>
          <cell r="B1086" t="str">
            <v>10006</v>
          </cell>
          <cell r="C1086" t="str">
            <v>E</v>
          </cell>
          <cell r="D1086" t="str">
            <v>UT</v>
          </cell>
          <cell r="E1086" t="str">
            <v>15</v>
          </cell>
        </row>
        <row r="1087">
          <cell r="A1087" t="str">
            <v>FISCAL DE PREVENSION Y VIGILANCIA I</v>
          </cell>
          <cell r="B1087" t="str">
            <v>51351</v>
          </cell>
          <cell r="C1087" t="str">
            <v>E</v>
          </cell>
          <cell r="D1087" t="str">
            <v>AD</v>
          </cell>
          <cell r="E1087" t="str">
            <v>02</v>
          </cell>
        </row>
        <row r="1088">
          <cell r="A1088" t="str">
            <v>FISCAL DE PREVENSION Y VIGILANCIA II</v>
          </cell>
          <cell r="B1088" t="str">
            <v>51352</v>
          </cell>
          <cell r="C1088" t="str">
            <v>E</v>
          </cell>
          <cell r="D1088" t="str">
            <v>AD</v>
          </cell>
          <cell r="E1088" t="str">
            <v>03</v>
          </cell>
        </row>
        <row r="1089">
          <cell r="A1089" t="str">
            <v>FISCAL DE PREVENSION Y VIGILANCIA JEFE</v>
          </cell>
          <cell r="B1089" t="str">
            <v>51360</v>
          </cell>
          <cell r="C1089" t="str">
            <v>E</v>
          </cell>
          <cell r="D1089" t="str">
            <v>AD</v>
          </cell>
          <cell r="E1089" t="str">
            <v>05</v>
          </cell>
        </row>
        <row r="1090">
          <cell r="A1090" t="str">
            <v>FISCAL DE RENTAS I</v>
          </cell>
          <cell r="B1090" t="str">
            <v>21321</v>
          </cell>
          <cell r="C1090" t="str">
            <v>E</v>
          </cell>
          <cell r="D1090" t="str">
            <v>UT</v>
          </cell>
          <cell r="E1090" t="str">
            <v>16</v>
          </cell>
        </row>
        <row r="1091">
          <cell r="A1091" t="str">
            <v>FISCAL DE RENTAS II</v>
          </cell>
          <cell r="B1091" t="str">
            <v>21322</v>
          </cell>
          <cell r="C1091" t="str">
            <v>E</v>
          </cell>
          <cell r="D1091" t="str">
            <v>UT</v>
          </cell>
          <cell r="E1091" t="str">
            <v>18</v>
          </cell>
        </row>
        <row r="1092">
          <cell r="A1092" t="str">
            <v>FISCAL DE RENTAS III</v>
          </cell>
          <cell r="B1092" t="str">
            <v>21323</v>
          </cell>
          <cell r="C1092" t="str">
            <v>E</v>
          </cell>
          <cell r="D1092" t="str">
            <v>UT</v>
          </cell>
          <cell r="E1092" t="str">
            <v>20</v>
          </cell>
        </row>
        <row r="1093">
          <cell r="A1093" t="str">
            <v>FISCAL DE RENTAS IV</v>
          </cell>
          <cell r="B1093" t="str">
            <v>21324</v>
          </cell>
          <cell r="C1093" t="str">
            <v>E</v>
          </cell>
          <cell r="D1093" t="str">
            <v>UT</v>
          </cell>
          <cell r="E1093" t="str">
            <v>22</v>
          </cell>
        </row>
        <row r="1094">
          <cell r="A1094" t="str">
            <v>FISCAL DE RENTAS JEFE</v>
          </cell>
          <cell r="B1094" t="str">
            <v>21335</v>
          </cell>
          <cell r="C1094" t="str">
            <v>E</v>
          </cell>
          <cell r="D1094" t="str">
            <v>UT</v>
          </cell>
          <cell r="E1094" t="str">
            <v>26</v>
          </cell>
        </row>
        <row r="1095">
          <cell r="A1095" t="str">
            <v>FISCAL DE RENTAS V</v>
          </cell>
          <cell r="B1095" t="str">
            <v>21325</v>
          </cell>
          <cell r="C1095" t="str">
            <v>E</v>
          </cell>
          <cell r="D1095" t="str">
            <v>UT</v>
          </cell>
          <cell r="E1095" t="str">
            <v>24</v>
          </cell>
        </row>
        <row r="1096">
          <cell r="A1096" t="str">
            <v>FISCAL TECNICO I</v>
          </cell>
          <cell r="B1096" t="str">
            <v>21371</v>
          </cell>
          <cell r="C1096" t="str">
            <v>E</v>
          </cell>
          <cell r="D1096" t="str">
            <v>UT</v>
          </cell>
          <cell r="E1096" t="str">
            <v>18</v>
          </cell>
        </row>
        <row r="1097">
          <cell r="A1097" t="str">
            <v>FISCAL TECNICO II</v>
          </cell>
          <cell r="B1097" t="str">
            <v>21372</v>
          </cell>
          <cell r="C1097" t="str">
            <v>E</v>
          </cell>
          <cell r="D1097" t="str">
            <v>UT</v>
          </cell>
          <cell r="E1097" t="str">
            <v>20</v>
          </cell>
        </row>
        <row r="1098">
          <cell r="A1098" t="str">
            <v>FISCAL TECNICO III</v>
          </cell>
          <cell r="B1098" t="str">
            <v>21373</v>
          </cell>
          <cell r="C1098" t="str">
            <v>E</v>
          </cell>
          <cell r="D1098" t="str">
            <v>UT</v>
          </cell>
          <cell r="E1098" t="str">
            <v>22</v>
          </cell>
        </row>
        <row r="1099">
          <cell r="A1099" t="str">
            <v>FISCAL TECNICO JEFE</v>
          </cell>
          <cell r="B1099" t="str">
            <v>21375</v>
          </cell>
          <cell r="C1099" t="str">
            <v>E</v>
          </cell>
          <cell r="D1099" t="str">
            <v>UT</v>
          </cell>
          <cell r="E1099" t="str">
            <v>24</v>
          </cell>
        </row>
        <row r="1100">
          <cell r="A1100" t="str">
            <v>FISIOTERAPEUTA I</v>
          </cell>
          <cell r="B1100" t="str">
            <v>72531</v>
          </cell>
          <cell r="C1100" t="str">
            <v>E</v>
          </cell>
          <cell r="D1100" t="str">
            <v>UT</v>
          </cell>
          <cell r="E1100" t="str">
            <v>15</v>
          </cell>
        </row>
        <row r="1101">
          <cell r="A1101" t="str">
            <v>FISIOTERAPEUTA II</v>
          </cell>
          <cell r="B1101" t="str">
            <v>75532</v>
          </cell>
          <cell r="C1101" t="str">
            <v>E</v>
          </cell>
          <cell r="D1101" t="str">
            <v>UT</v>
          </cell>
          <cell r="E1101" t="str">
            <v>17</v>
          </cell>
        </row>
        <row r="1102">
          <cell r="A1102" t="str">
            <v>FISIOTERAPEUTA III</v>
          </cell>
          <cell r="B1102" t="str">
            <v>72533</v>
          </cell>
          <cell r="C1102" t="str">
            <v>E</v>
          </cell>
          <cell r="D1102" t="str">
            <v>UT</v>
          </cell>
          <cell r="E1102" t="str">
            <v>19</v>
          </cell>
        </row>
        <row r="1103">
          <cell r="A1103" t="str">
            <v>FISIOTERAPEUTA IV</v>
          </cell>
          <cell r="B1103" t="str">
            <v>72534</v>
          </cell>
          <cell r="C1103" t="str">
            <v>E</v>
          </cell>
          <cell r="D1103" t="str">
            <v>UT</v>
          </cell>
          <cell r="E1103" t="str">
            <v>21</v>
          </cell>
        </row>
        <row r="1104">
          <cell r="A1104" t="str">
            <v>FLAUTA 1</v>
          </cell>
          <cell r="B1104" t="str">
            <v>03538</v>
          </cell>
          <cell r="C1104" t="str">
            <v>E</v>
          </cell>
          <cell r="D1104" t="str">
            <v>AD</v>
          </cell>
          <cell r="E1104" t="str">
            <v>01</v>
          </cell>
        </row>
        <row r="1105">
          <cell r="A1105" t="str">
            <v>FLAUTA 2</v>
          </cell>
          <cell r="B1105" t="str">
            <v>03564</v>
          </cell>
          <cell r="C1105" t="str">
            <v>E</v>
          </cell>
          <cell r="D1105" t="str">
            <v>AD</v>
          </cell>
          <cell r="E1105" t="str">
            <v>01</v>
          </cell>
        </row>
        <row r="1106">
          <cell r="A1106" t="str">
            <v>FLAUTA 2/ INSTRUCTOR I 16HRS</v>
          </cell>
          <cell r="B1106" t="str">
            <v>40145</v>
          </cell>
          <cell r="C1106" t="str">
            <v>E</v>
          </cell>
          <cell r="D1106" t="str">
            <v>DO</v>
          </cell>
          <cell r="E1106" t="str">
            <v/>
          </cell>
        </row>
        <row r="1107">
          <cell r="A1107" t="str">
            <v>FLAUTA I</v>
          </cell>
          <cell r="B1107" t="str">
            <v>02080</v>
          </cell>
          <cell r="C1107" t="str">
            <v>E</v>
          </cell>
          <cell r="D1107" t="str">
            <v>DO</v>
          </cell>
          <cell r="E1107" t="str">
            <v/>
          </cell>
        </row>
        <row r="1108">
          <cell r="A1108" t="str">
            <v>FORMADOR DE INSTRUCTORES</v>
          </cell>
          <cell r="B1108" t="str">
            <v>17510</v>
          </cell>
          <cell r="C1108" t="str">
            <v>E</v>
          </cell>
          <cell r="D1108" t="str">
            <v>UT</v>
          </cell>
          <cell r="E1108" t="str">
            <v>19</v>
          </cell>
        </row>
        <row r="1109">
          <cell r="A1109" t="str">
            <v>FORMAS MUSICALES</v>
          </cell>
          <cell r="B1109" t="str">
            <v>02083</v>
          </cell>
          <cell r="C1109" t="str">
            <v>E</v>
          </cell>
          <cell r="D1109" t="str">
            <v>DO</v>
          </cell>
          <cell r="E1109" t="str">
            <v/>
          </cell>
        </row>
        <row r="1110">
          <cell r="A1110" t="str">
            <v>FOTOGRAFO ARTISTICO I</v>
          </cell>
          <cell r="B1110" t="str">
            <v>37711</v>
          </cell>
          <cell r="C1110" t="str">
            <v>E</v>
          </cell>
          <cell r="D1110" t="str">
            <v>AD</v>
          </cell>
          <cell r="E1110" t="str">
            <v>03</v>
          </cell>
        </row>
        <row r="1111">
          <cell r="A1111" t="str">
            <v>FOTOGRAFO ARTISTICO II</v>
          </cell>
          <cell r="B1111" t="str">
            <v>37712</v>
          </cell>
          <cell r="C1111" t="str">
            <v>E</v>
          </cell>
          <cell r="D1111" t="str">
            <v>AD</v>
          </cell>
          <cell r="E1111" t="str">
            <v>05</v>
          </cell>
        </row>
        <row r="1112">
          <cell r="A1112" t="str">
            <v>FOTOGRAFO I</v>
          </cell>
          <cell r="B1112" t="str">
            <v>45251</v>
          </cell>
          <cell r="C1112" t="str">
            <v>E</v>
          </cell>
          <cell r="D1112" t="str">
            <v>AD</v>
          </cell>
          <cell r="E1112" t="str">
            <v>01</v>
          </cell>
        </row>
        <row r="1113">
          <cell r="A1113" t="str">
            <v>FOTOGRAFO II</v>
          </cell>
          <cell r="B1113" t="str">
            <v>45252</v>
          </cell>
          <cell r="C1113" t="str">
            <v>E</v>
          </cell>
          <cell r="D1113" t="str">
            <v>AD</v>
          </cell>
          <cell r="E1113" t="str">
            <v>03</v>
          </cell>
        </row>
        <row r="1114">
          <cell r="A1114" t="str">
            <v>FOTOGRAFO III</v>
          </cell>
          <cell r="B1114" t="str">
            <v>45253</v>
          </cell>
          <cell r="C1114" t="str">
            <v>E</v>
          </cell>
          <cell r="D1114" t="str">
            <v>UT</v>
          </cell>
          <cell r="E1114" t="str">
            <v>17</v>
          </cell>
        </row>
        <row r="1115">
          <cell r="A1115" t="str">
            <v>FOTOGRAFO IV</v>
          </cell>
          <cell r="B1115" t="str">
            <v>45254</v>
          </cell>
          <cell r="C1115" t="str">
            <v>E</v>
          </cell>
          <cell r="D1115" t="str">
            <v>UT</v>
          </cell>
          <cell r="E1115" t="str">
            <v>18</v>
          </cell>
        </row>
        <row r="1116">
          <cell r="A1116" t="str">
            <v>FOTOGRAMETRISTA I</v>
          </cell>
          <cell r="B1116" t="str">
            <v>45281</v>
          </cell>
          <cell r="C1116" t="str">
            <v>E</v>
          </cell>
          <cell r="D1116" t="str">
            <v>AD</v>
          </cell>
          <cell r="E1116" t="str">
            <v>02</v>
          </cell>
        </row>
        <row r="1117">
          <cell r="A1117" t="str">
            <v>FOTOGRAMETRISTA II</v>
          </cell>
          <cell r="B1117" t="str">
            <v>45282</v>
          </cell>
          <cell r="C1117" t="str">
            <v>E</v>
          </cell>
          <cell r="D1117" t="str">
            <v>AD</v>
          </cell>
          <cell r="E1117" t="str">
            <v>04</v>
          </cell>
        </row>
        <row r="1118">
          <cell r="A1118" t="str">
            <v>FOTOGRAMETRISTA III</v>
          </cell>
          <cell r="B1118" t="str">
            <v>45283</v>
          </cell>
          <cell r="C1118" t="str">
            <v>E</v>
          </cell>
          <cell r="D1118" t="str">
            <v>AD</v>
          </cell>
          <cell r="E1118" t="str">
            <v>06</v>
          </cell>
        </row>
        <row r="1119">
          <cell r="A1119" t="str">
            <v>FOTOGRAMETRISTA IV</v>
          </cell>
          <cell r="B1119" t="str">
            <v>45284</v>
          </cell>
          <cell r="C1119" t="str">
            <v>E</v>
          </cell>
          <cell r="D1119" t="str">
            <v>AD</v>
          </cell>
          <cell r="E1119" t="str">
            <v>08</v>
          </cell>
        </row>
        <row r="1120">
          <cell r="A1120" t="str">
            <v>FOTOGRAMETRISTA JEFE</v>
          </cell>
          <cell r="B1120" t="str">
            <v>45290</v>
          </cell>
          <cell r="C1120" t="str">
            <v>E</v>
          </cell>
          <cell r="D1120" t="str">
            <v>AD</v>
          </cell>
          <cell r="E1120" t="str">
            <v>10</v>
          </cell>
        </row>
        <row r="1121">
          <cell r="A1121" t="str">
            <v>GEMOLOGO I</v>
          </cell>
          <cell r="B1121" t="str">
            <v>44381</v>
          </cell>
          <cell r="C1121" t="str">
            <v>E</v>
          </cell>
          <cell r="D1121" t="str">
            <v>AD</v>
          </cell>
          <cell r="E1121" t="str">
            <v>05</v>
          </cell>
        </row>
        <row r="1122">
          <cell r="A1122" t="str">
            <v>GEMOLOGO II</v>
          </cell>
          <cell r="B1122" t="str">
            <v>44382</v>
          </cell>
          <cell r="C1122" t="str">
            <v>E</v>
          </cell>
          <cell r="D1122" t="str">
            <v>AD</v>
          </cell>
          <cell r="E1122" t="str">
            <v>07</v>
          </cell>
        </row>
        <row r="1123">
          <cell r="A1123" t="str">
            <v>GEOGRAFO I</v>
          </cell>
          <cell r="B1123" t="str">
            <v>36511</v>
          </cell>
          <cell r="C1123" t="str">
            <v>E</v>
          </cell>
          <cell r="D1123" t="str">
            <v>UT</v>
          </cell>
          <cell r="E1123" t="str">
            <v>17</v>
          </cell>
        </row>
        <row r="1124">
          <cell r="A1124" t="str">
            <v>GEOGRAFO II</v>
          </cell>
          <cell r="B1124" t="str">
            <v>36512</v>
          </cell>
          <cell r="C1124" t="str">
            <v>E</v>
          </cell>
          <cell r="D1124" t="str">
            <v>UT</v>
          </cell>
          <cell r="E1124" t="str">
            <v>19</v>
          </cell>
        </row>
        <row r="1125">
          <cell r="A1125" t="str">
            <v>GEOGRAFO III</v>
          </cell>
          <cell r="B1125" t="str">
            <v>36513</v>
          </cell>
          <cell r="C1125" t="str">
            <v>E</v>
          </cell>
          <cell r="D1125" t="str">
            <v>UT</v>
          </cell>
          <cell r="E1125" t="str">
            <v>21</v>
          </cell>
        </row>
        <row r="1126">
          <cell r="A1126" t="str">
            <v>GEOLOGO I</v>
          </cell>
          <cell r="B1126" t="str">
            <v>44341</v>
          </cell>
          <cell r="C1126" t="str">
            <v>E</v>
          </cell>
          <cell r="D1126" t="str">
            <v>UT</v>
          </cell>
          <cell r="E1126" t="str">
            <v>18</v>
          </cell>
        </row>
        <row r="1127">
          <cell r="A1127" t="str">
            <v>GEOLOGO II</v>
          </cell>
          <cell r="B1127" t="str">
            <v>44342</v>
          </cell>
          <cell r="C1127" t="str">
            <v>E</v>
          </cell>
          <cell r="D1127" t="str">
            <v>UT</v>
          </cell>
          <cell r="E1127" t="str">
            <v>19</v>
          </cell>
        </row>
        <row r="1128">
          <cell r="A1128" t="str">
            <v>GEOLOGO III</v>
          </cell>
          <cell r="B1128" t="str">
            <v>44343</v>
          </cell>
          <cell r="C1128" t="str">
            <v>E</v>
          </cell>
          <cell r="D1128" t="str">
            <v>UT</v>
          </cell>
          <cell r="E1128" t="str">
            <v>21</v>
          </cell>
        </row>
        <row r="1129">
          <cell r="A1129" t="str">
            <v>GEOLOGO JEFE I</v>
          </cell>
          <cell r="B1129" t="str">
            <v>44351</v>
          </cell>
          <cell r="C1129" t="str">
            <v>E</v>
          </cell>
          <cell r="D1129" t="str">
            <v>UT</v>
          </cell>
          <cell r="E1129" t="str">
            <v>22</v>
          </cell>
        </row>
        <row r="1130">
          <cell r="A1130" t="str">
            <v>GEOLOGO JEFE II</v>
          </cell>
          <cell r="B1130" t="str">
            <v>44352</v>
          </cell>
          <cell r="C1130" t="str">
            <v>E</v>
          </cell>
          <cell r="D1130" t="str">
            <v>UT</v>
          </cell>
          <cell r="E1130" t="str">
            <v>24</v>
          </cell>
        </row>
        <row r="1131">
          <cell r="A1131" t="str">
            <v>GERENTE</v>
          </cell>
          <cell r="B1131" t="str">
            <v>00932</v>
          </cell>
          <cell r="C1131" t="str">
            <v>E</v>
          </cell>
          <cell r="D1131" t="str">
            <v>DI</v>
          </cell>
          <cell r="E1131" t="str">
            <v>99</v>
          </cell>
        </row>
        <row r="1132">
          <cell r="A1132" t="str">
            <v>GOBERNADOR</v>
          </cell>
          <cell r="B1132" t="str">
            <v>00900</v>
          </cell>
          <cell r="C1132" t="str">
            <v>E</v>
          </cell>
          <cell r="D1132" t="str">
            <v>DI</v>
          </cell>
          <cell r="E1132" t="str">
            <v>99</v>
          </cell>
        </row>
        <row r="1133">
          <cell r="A1133" t="str">
            <v>GUARDAFAUNA I</v>
          </cell>
          <cell r="B1133" t="str">
            <v>42631</v>
          </cell>
          <cell r="C1133" t="str">
            <v>E</v>
          </cell>
          <cell r="D1133" t="str">
            <v>UT</v>
          </cell>
          <cell r="E1133" t="str">
            <v>18</v>
          </cell>
        </row>
        <row r="1134">
          <cell r="A1134" t="str">
            <v>GUARDAFAUNA II</v>
          </cell>
          <cell r="B1134" t="str">
            <v>42632</v>
          </cell>
          <cell r="C1134" t="str">
            <v>E</v>
          </cell>
          <cell r="D1134" t="str">
            <v>UT</v>
          </cell>
          <cell r="E1134" t="str">
            <v>20</v>
          </cell>
        </row>
        <row r="1135">
          <cell r="A1135" t="str">
            <v>GUARDAFAUNA III</v>
          </cell>
          <cell r="B1135" t="str">
            <v>42633</v>
          </cell>
          <cell r="C1135" t="str">
            <v>E</v>
          </cell>
          <cell r="D1135" t="str">
            <v>UT</v>
          </cell>
          <cell r="E1135" t="str">
            <v>22</v>
          </cell>
        </row>
        <row r="1136">
          <cell r="A1136" t="str">
            <v>GUIA DE CENTRO I</v>
          </cell>
          <cell r="B1136" t="str">
            <v>79511</v>
          </cell>
          <cell r="C1136" t="str">
            <v>E</v>
          </cell>
          <cell r="D1136" t="str">
            <v>AD</v>
          </cell>
          <cell r="E1136" t="str">
            <v>02</v>
          </cell>
        </row>
        <row r="1137">
          <cell r="A1137" t="str">
            <v>GUIA DE CENTRO II</v>
          </cell>
          <cell r="B1137" t="str">
            <v>79512</v>
          </cell>
          <cell r="C1137" t="str">
            <v>E</v>
          </cell>
          <cell r="D1137" t="str">
            <v>AD</v>
          </cell>
          <cell r="E1137" t="str">
            <v>04</v>
          </cell>
        </row>
        <row r="1138">
          <cell r="A1138" t="str">
            <v>GUITARRA</v>
          </cell>
          <cell r="B1138" t="str">
            <v>03616</v>
          </cell>
          <cell r="C1138" t="str">
            <v>E</v>
          </cell>
          <cell r="D1138" t="str">
            <v>AD</v>
          </cell>
          <cell r="E1138" t="str">
            <v>01</v>
          </cell>
        </row>
        <row r="1139">
          <cell r="A1139" t="str">
            <v>HABILITADO I</v>
          </cell>
          <cell r="B1139" t="str">
            <v>21541</v>
          </cell>
          <cell r="C1139" t="str">
            <v>E</v>
          </cell>
          <cell r="D1139" t="str">
            <v>AD</v>
          </cell>
          <cell r="E1139" t="str">
            <v>03</v>
          </cell>
        </row>
        <row r="1140">
          <cell r="A1140" t="str">
            <v>HABILITADO II</v>
          </cell>
          <cell r="B1140" t="str">
            <v>21542</v>
          </cell>
          <cell r="C1140" t="str">
            <v>E</v>
          </cell>
          <cell r="D1140" t="str">
            <v>UT</v>
          </cell>
          <cell r="E1140" t="str">
            <v>17</v>
          </cell>
        </row>
        <row r="1141">
          <cell r="A1141" t="str">
            <v>HABILITADO III</v>
          </cell>
          <cell r="B1141" t="str">
            <v>21543</v>
          </cell>
          <cell r="C1141" t="str">
            <v>E</v>
          </cell>
          <cell r="D1141" t="str">
            <v>UT</v>
          </cell>
          <cell r="E1141" t="str">
            <v>19</v>
          </cell>
        </row>
        <row r="1142">
          <cell r="A1142" t="str">
            <v>HABILITADO IV</v>
          </cell>
          <cell r="B1142" t="str">
            <v>21544</v>
          </cell>
          <cell r="C1142" t="str">
            <v>E</v>
          </cell>
          <cell r="D1142" t="str">
            <v>UT</v>
          </cell>
          <cell r="E1142" t="str">
            <v>20</v>
          </cell>
        </row>
        <row r="1143">
          <cell r="A1143" t="str">
            <v>HABILITADO JEFE</v>
          </cell>
          <cell r="B1143" t="str">
            <v>21550</v>
          </cell>
          <cell r="C1143" t="str">
            <v>E</v>
          </cell>
          <cell r="D1143" t="str">
            <v>UT</v>
          </cell>
          <cell r="E1143" t="str">
            <v>21</v>
          </cell>
        </row>
        <row r="1144">
          <cell r="A1144" t="str">
            <v>HIDROGRAFO I</v>
          </cell>
          <cell r="B1144" t="str">
            <v>43911</v>
          </cell>
          <cell r="C1144" t="str">
            <v>E</v>
          </cell>
          <cell r="D1144" t="str">
            <v>UT</v>
          </cell>
          <cell r="E1144" t="str">
            <v>16</v>
          </cell>
        </row>
        <row r="1145">
          <cell r="A1145" t="str">
            <v>HIDROGRAFO II</v>
          </cell>
          <cell r="B1145" t="str">
            <v>43916</v>
          </cell>
          <cell r="C1145" t="str">
            <v>E</v>
          </cell>
          <cell r="D1145" t="str">
            <v>UT</v>
          </cell>
          <cell r="E1145" t="str">
            <v>18</v>
          </cell>
        </row>
        <row r="1146">
          <cell r="A1146" t="str">
            <v>HIDROGRAFO JEFE</v>
          </cell>
          <cell r="B1146" t="str">
            <v>43920</v>
          </cell>
          <cell r="C1146" t="str">
            <v>E</v>
          </cell>
          <cell r="D1146" t="str">
            <v>UT</v>
          </cell>
          <cell r="E1146" t="str">
            <v>20</v>
          </cell>
        </row>
        <row r="1147">
          <cell r="A1147" t="str">
            <v>HIDROMETEOROLOGISTA I</v>
          </cell>
          <cell r="B1147" t="str">
            <v>43631</v>
          </cell>
          <cell r="C1147" t="str">
            <v>E</v>
          </cell>
          <cell r="D1147" t="str">
            <v>UT</v>
          </cell>
          <cell r="E1147" t="str">
            <v>17</v>
          </cell>
        </row>
        <row r="1148">
          <cell r="A1148" t="str">
            <v>HIDROMETEOROLOGISTA II</v>
          </cell>
          <cell r="B1148" t="str">
            <v>43632</v>
          </cell>
          <cell r="C1148" t="str">
            <v>E</v>
          </cell>
          <cell r="D1148" t="str">
            <v>UT</v>
          </cell>
          <cell r="E1148" t="str">
            <v>18</v>
          </cell>
        </row>
        <row r="1149">
          <cell r="A1149" t="str">
            <v>HIDROMETEOROLOGISTA III</v>
          </cell>
          <cell r="B1149" t="str">
            <v>43633</v>
          </cell>
          <cell r="C1149" t="str">
            <v>E</v>
          </cell>
          <cell r="D1149" t="str">
            <v>UT</v>
          </cell>
          <cell r="E1149" t="str">
            <v>19</v>
          </cell>
        </row>
        <row r="1150">
          <cell r="A1150" t="str">
            <v>HIGIENISTA DENTAL I</v>
          </cell>
          <cell r="B1150" t="str">
            <v>73121</v>
          </cell>
          <cell r="C1150" t="str">
            <v>E</v>
          </cell>
          <cell r="D1150" t="str">
            <v>AD</v>
          </cell>
          <cell r="E1150" t="str">
            <v>01</v>
          </cell>
        </row>
        <row r="1151">
          <cell r="A1151" t="str">
            <v>HIGIENISTA DENTAL II</v>
          </cell>
          <cell r="B1151" t="str">
            <v>73122</v>
          </cell>
          <cell r="C1151" t="str">
            <v>E</v>
          </cell>
          <cell r="D1151" t="str">
            <v>AD</v>
          </cell>
          <cell r="E1151" t="str">
            <v>04</v>
          </cell>
        </row>
        <row r="1152">
          <cell r="A1152" t="str">
            <v>INFORMADOR DE AEROPUERTO I</v>
          </cell>
          <cell r="B1152" t="str">
            <v>51361</v>
          </cell>
          <cell r="C1152" t="str">
            <v>E</v>
          </cell>
          <cell r="D1152" t="str">
            <v>AD</v>
          </cell>
          <cell r="E1152" t="str">
            <v>01</v>
          </cell>
        </row>
        <row r="1153">
          <cell r="A1153" t="str">
            <v>INFORMADOR DE AEROPUERTO II</v>
          </cell>
          <cell r="B1153" t="str">
            <v>51362</v>
          </cell>
          <cell r="C1153" t="str">
            <v>E</v>
          </cell>
          <cell r="D1153" t="str">
            <v>AD</v>
          </cell>
          <cell r="E1153" t="str">
            <v>03</v>
          </cell>
        </row>
        <row r="1154">
          <cell r="A1154" t="str">
            <v>INFORMADOR TURISTICO  I</v>
          </cell>
          <cell r="B1154" t="str">
            <v>71111</v>
          </cell>
          <cell r="C1154" t="str">
            <v>E</v>
          </cell>
          <cell r="D1154" t="str">
            <v>AD</v>
          </cell>
          <cell r="E1154" t="str">
            <v/>
          </cell>
        </row>
        <row r="1155">
          <cell r="A1155" t="str">
            <v>INFORMADOR TURISTICO I</v>
          </cell>
          <cell r="B1155" t="str">
            <v>31521</v>
          </cell>
          <cell r="C1155" t="str">
            <v>E</v>
          </cell>
          <cell r="D1155" t="str">
            <v>AD</v>
          </cell>
          <cell r="E1155" t="str">
            <v>03</v>
          </cell>
        </row>
        <row r="1156">
          <cell r="A1156" t="str">
            <v>INFORMADOR TURISTICO II</v>
          </cell>
          <cell r="B1156" t="str">
            <v>31522</v>
          </cell>
          <cell r="C1156" t="str">
            <v>E</v>
          </cell>
          <cell r="D1156" t="str">
            <v>UT</v>
          </cell>
          <cell r="E1156" t="str">
            <v>15</v>
          </cell>
        </row>
        <row r="1157">
          <cell r="A1157" t="str">
            <v>INFORMADOR TURISTICO III</v>
          </cell>
          <cell r="B1157" t="str">
            <v>31523</v>
          </cell>
          <cell r="C1157" t="str">
            <v>E</v>
          </cell>
          <cell r="D1157" t="str">
            <v>UT</v>
          </cell>
          <cell r="E1157" t="str">
            <v>16</v>
          </cell>
        </row>
        <row r="1158">
          <cell r="A1158" t="str">
            <v>INFORMADOR TURISTICO IV</v>
          </cell>
          <cell r="B1158" t="str">
            <v>31524</v>
          </cell>
          <cell r="C1158" t="str">
            <v>E</v>
          </cell>
          <cell r="D1158" t="str">
            <v>UT</v>
          </cell>
          <cell r="E1158" t="str">
            <v>18</v>
          </cell>
        </row>
        <row r="1159">
          <cell r="A1159" t="str">
            <v>INFORMADOR TURISTICO JEFE</v>
          </cell>
          <cell r="B1159" t="str">
            <v>31530</v>
          </cell>
          <cell r="C1159" t="str">
            <v>E</v>
          </cell>
          <cell r="D1159" t="str">
            <v>UT</v>
          </cell>
          <cell r="E1159" t="str">
            <v>20</v>
          </cell>
        </row>
        <row r="1160">
          <cell r="A1160" t="str">
            <v>INGENIERO AERONAUTICO I</v>
          </cell>
          <cell r="B1160" t="str">
            <v>46411</v>
          </cell>
          <cell r="C1160" t="str">
            <v>E</v>
          </cell>
          <cell r="D1160" t="str">
            <v>UT</v>
          </cell>
          <cell r="E1160" t="str">
            <v>18</v>
          </cell>
        </row>
        <row r="1161">
          <cell r="A1161" t="str">
            <v>INGENIERO AERONAUTICO II</v>
          </cell>
          <cell r="B1161" t="str">
            <v>46412</v>
          </cell>
          <cell r="C1161" t="str">
            <v>E</v>
          </cell>
          <cell r="D1161" t="str">
            <v>UT</v>
          </cell>
          <cell r="E1161" t="str">
            <v>19</v>
          </cell>
        </row>
        <row r="1162">
          <cell r="A1162" t="str">
            <v>INGENIERO AGRICOLA I</v>
          </cell>
          <cell r="B1162" t="str">
            <v>50001</v>
          </cell>
          <cell r="C1162" t="str">
            <v>E</v>
          </cell>
          <cell r="D1162" t="str">
            <v>UT</v>
          </cell>
          <cell r="E1162" t="str">
            <v>18</v>
          </cell>
        </row>
        <row r="1163">
          <cell r="A1163" t="str">
            <v>INGENIERO AGRICOLA II</v>
          </cell>
          <cell r="B1163" t="str">
            <v>50002</v>
          </cell>
          <cell r="C1163" t="str">
            <v>E</v>
          </cell>
          <cell r="D1163" t="str">
            <v>UT</v>
          </cell>
          <cell r="E1163" t="str">
            <v>19</v>
          </cell>
        </row>
        <row r="1164">
          <cell r="A1164" t="str">
            <v>INGENIERO AGRICOLA III</v>
          </cell>
          <cell r="B1164" t="str">
            <v>50003</v>
          </cell>
          <cell r="C1164" t="str">
            <v>E</v>
          </cell>
          <cell r="D1164" t="str">
            <v>UT</v>
          </cell>
          <cell r="E1164" t="str">
            <v>21</v>
          </cell>
        </row>
        <row r="1165">
          <cell r="A1165" t="str">
            <v>INGENIERO AGRICOLA IV</v>
          </cell>
          <cell r="B1165" t="str">
            <v>50004</v>
          </cell>
          <cell r="C1165" t="str">
            <v>E</v>
          </cell>
          <cell r="D1165" t="str">
            <v>UT</v>
          </cell>
          <cell r="E1165" t="str">
            <v>22</v>
          </cell>
        </row>
        <row r="1166">
          <cell r="A1166" t="str">
            <v>INGENIERO AGRICOLA V</v>
          </cell>
          <cell r="B1166" t="str">
            <v>50005</v>
          </cell>
          <cell r="C1166" t="str">
            <v>E</v>
          </cell>
          <cell r="D1166" t="str">
            <v>UT</v>
          </cell>
          <cell r="E1166" t="str">
            <v>23</v>
          </cell>
        </row>
        <row r="1167">
          <cell r="A1167" t="str">
            <v>INGENIERO AGRONOMO I</v>
          </cell>
          <cell r="B1167" t="str">
            <v>41151</v>
          </cell>
          <cell r="C1167" t="str">
            <v>E</v>
          </cell>
          <cell r="D1167" t="str">
            <v>UT</v>
          </cell>
          <cell r="E1167" t="str">
            <v>18</v>
          </cell>
        </row>
        <row r="1168">
          <cell r="A1168" t="str">
            <v>INGENIERO AGRONOMO II</v>
          </cell>
          <cell r="B1168" t="str">
            <v>41152</v>
          </cell>
          <cell r="C1168" t="str">
            <v>E</v>
          </cell>
          <cell r="D1168" t="str">
            <v>UT</v>
          </cell>
          <cell r="E1168" t="str">
            <v>19</v>
          </cell>
        </row>
        <row r="1169">
          <cell r="A1169" t="str">
            <v>INGENIERO AGRONOMO III</v>
          </cell>
          <cell r="B1169" t="str">
            <v>41153</v>
          </cell>
          <cell r="C1169" t="str">
            <v>E</v>
          </cell>
          <cell r="D1169" t="str">
            <v>UT</v>
          </cell>
          <cell r="E1169" t="str">
            <v>21</v>
          </cell>
        </row>
        <row r="1170">
          <cell r="A1170" t="str">
            <v>INGENIERO AGRONOMO IV</v>
          </cell>
          <cell r="B1170" t="str">
            <v>41154</v>
          </cell>
          <cell r="C1170" t="str">
            <v>E</v>
          </cell>
          <cell r="D1170" t="str">
            <v>UT</v>
          </cell>
          <cell r="E1170" t="str">
            <v>22</v>
          </cell>
        </row>
        <row r="1171">
          <cell r="A1171" t="str">
            <v>INGENIERO AGRONOMO JEFE</v>
          </cell>
          <cell r="B1171" t="str">
            <v>41160</v>
          </cell>
          <cell r="C1171" t="str">
            <v>E</v>
          </cell>
          <cell r="D1171" t="str">
            <v>UT</v>
          </cell>
          <cell r="E1171" t="str">
            <v>25</v>
          </cell>
        </row>
        <row r="1172">
          <cell r="A1172" t="str">
            <v>INGENIERO AGRONOMO V</v>
          </cell>
          <cell r="B1172" t="str">
            <v>41155</v>
          </cell>
          <cell r="C1172" t="str">
            <v>E</v>
          </cell>
          <cell r="D1172" t="str">
            <v>UT</v>
          </cell>
          <cell r="E1172" t="str">
            <v>24</v>
          </cell>
        </row>
        <row r="1173">
          <cell r="A1173" t="str">
            <v>INGENIERO CIVIL I</v>
          </cell>
          <cell r="B1173" t="str">
            <v>43421</v>
          </cell>
          <cell r="C1173" t="str">
            <v>E</v>
          </cell>
          <cell r="D1173" t="str">
            <v>UT</v>
          </cell>
          <cell r="E1173" t="str">
            <v>18</v>
          </cell>
        </row>
        <row r="1174">
          <cell r="A1174" t="str">
            <v>INGENIERO CIVIL II</v>
          </cell>
          <cell r="B1174" t="str">
            <v>43422</v>
          </cell>
          <cell r="C1174" t="str">
            <v>E</v>
          </cell>
          <cell r="D1174" t="str">
            <v>UT</v>
          </cell>
          <cell r="E1174" t="str">
            <v>19</v>
          </cell>
        </row>
        <row r="1175">
          <cell r="A1175" t="str">
            <v>INGENIERO CIVIL III</v>
          </cell>
          <cell r="B1175" t="str">
            <v>43423</v>
          </cell>
          <cell r="C1175" t="str">
            <v>E</v>
          </cell>
          <cell r="D1175" t="str">
            <v>UT</v>
          </cell>
          <cell r="E1175" t="str">
            <v>21</v>
          </cell>
        </row>
        <row r="1176">
          <cell r="A1176" t="str">
            <v>INGENIERO CIVIL JEFE I</v>
          </cell>
          <cell r="B1176" t="str">
            <v>43431</v>
          </cell>
          <cell r="C1176" t="str">
            <v>E</v>
          </cell>
          <cell r="D1176" t="str">
            <v>UT</v>
          </cell>
          <cell r="E1176" t="str">
            <v>22</v>
          </cell>
        </row>
        <row r="1177">
          <cell r="A1177" t="str">
            <v>INGENIERO CIVIL JEFE II</v>
          </cell>
          <cell r="B1177" t="str">
            <v>43432</v>
          </cell>
          <cell r="C1177" t="str">
            <v>E</v>
          </cell>
          <cell r="D1177" t="str">
            <v>UT</v>
          </cell>
          <cell r="E1177" t="str">
            <v>24</v>
          </cell>
        </row>
        <row r="1178">
          <cell r="A1178" t="str">
            <v>INGENIERO CIVIL JEFE III</v>
          </cell>
          <cell r="B1178" t="str">
            <v>43433</v>
          </cell>
          <cell r="C1178" t="str">
            <v>E</v>
          </cell>
          <cell r="D1178" t="str">
            <v>UT</v>
          </cell>
          <cell r="E1178" t="str">
            <v>25</v>
          </cell>
        </row>
        <row r="1179">
          <cell r="A1179" t="str">
            <v>INGENIERO DE GAS I</v>
          </cell>
          <cell r="B1179" t="str">
            <v>50015</v>
          </cell>
          <cell r="C1179" t="str">
            <v>E</v>
          </cell>
          <cell r="D1179" t="str">
            <v>UT</v>
          </cell>
          <cell r="E1179" t="str">
            <v>18</v>
          </cell>
        </row>
        <row r="1180">
          <cell r="A1180" t="str">
            <v>INGENIERO DE MINA I</v>
          </cell>
          <cell r="B1180" t="str">
            <v>44411</v>
          </cell>
          <cell r="C1180" t="str">
            <v>E</v>
          </cell>
          <cell r="D1180" t="str">
            <v>UT</v>
          </cell>
          <cell r="E1180" t="str">
            <v>18</v>
          </cell>
        </row>
        <row r="1181">
          <cell r="A1181" t="str">
            <v>INGENIERO DE MINAS II</v>
          </cell>
          <cell r="B1181" t="str">
            <v>44412</v>
          </cell>
          <cell r="C1181" t="str">
            <v>E</v>
          </cell>
          <cell r="D1181" t="str">
            <v>UT</v>
          </cell>
          <cell r="E1181" t="str">
            <v>19</v>
          </cell>
        </row>
        <row r="1182">
          <cell r="A1182" t="str">
            <v>INGENIERO DE MINAS III</v>
          </cell>
          <cell r="B1182" t="str">
            <v>44413</v>
          </cell>
          <cell r="C1182" t="str">
            <v>E</v>
          </cell>
          <cell r="D1182" t="str">
            <v>UT</v>
          </cell>
          <cell r="E1182" t="str">
            <v>21</v>
          </cell>
        </row>
        <row r="1183">
          <cell r="A1183" t="str">
            <v>INGENIERO DE MINAS JEFE I</v>
          </cell>
          <cell r="B1183" t="str">
            <v>44421</v>
          </cell>
          <cell r="C1183" t="str">
            <v>E</v>
          </cell>
          <cell r="D1183" t="str">
            <v>UT</v>
          </cell>
          <cell r="E1183" t="str">
            <v>22</v>
          </cell>
        </row>
        <row r="1184">
          <cell r="A1184" t="str">
            <v>INGENIERO DE MINAS JEFE II</v>
          </cell>
          <cell r="B1184" t="str">
            <v>44422</v>
          </cell>
          <cell r="C1184" t="str">
            <v>E</v>
          </cell>
          <cell r="D1184" t="str">
            <v>UT</v>
          </cell>
          <cell r="E1184" t="str">
            <v>24</v>
          </cell>
        </row>
        <row r="1185">
          <cell r="A1185" t="str">
            <v>INGENIERO ELECTRICISTA I</v>
          </cell>
          <cell r="B1185" t="str">
            <v>46511</v>
          </cell>
          <cell r="C1185" t="str">
            <v>E</v>
          </cell>
          <cell r="D1185" t="str">
            <v>UT</v>
          </cell>
          <cell r="E1185" t="str">
            <v>18</v>
          </cell>
        </row>
        <row r="1186">
          <cell r="A1186" t="str">
            <v>INGENIERO ELECTRICISTA II</v>
          </cell>
          <cell r="B1186" t="str">
            <v>46512</v>
          </cell>
          <cell r="C1186" t="str">
            <v>E</v>
          </cell>
          <cell r="D1186" t="str">
            <v>UT</v>
          </cell>
          <cell r="E1186" t="str">
            <v>19</v>
          </cell>
        </row>
        <row r="1187">
          <cell r="A1187" t="str">
            <v>INGENIERO ELECTRICISTA III</v>
          </cell>
          <cell r="B1187" t="str">
            <v>46513</v>
          </cell>
          <cell r="C1187" t="str">
            <v>E</v>
          </cell>
          <cell r="D1187" t="str">
            <v>UT</v>
          </cell>
          <cell r="E1187" t="str">
            <v>21</v>
          </cell>
        </row>
        <row r="1188">
          <cell r="A1188" t="str">
            <v>INGENIERO ELECTRICISTA JEFE</v>
          </cell>
          <cell r="B1188" t="str">
            <v>46520</v>
          </cell>
          <cell r="C1188" t="str">
            <v>E</v>
          </cell>
          <cell r="D1188" t="str">
            <v>UT</v>
          </cell>
          <cell r="E1188" t="str">
            <v>22</v>
          </cell>
        </row>
        <row r="1189">
          <cell r="A1189" t="str">
            <v>INGENIERO EN AGROSISTEMAS I</v>
          </cell>
          <cell r="B1189" t="str">
            <v>50014</v>
          </cell>
          <cell r="C1189" t="str">
            <v>E</v>
          </cell>
          <cell r="D1189" t="str">
            <v>UT</v>
          </cell>
          <cell r="E1189" t="str">
            <v>18</v>
          </cell>
        </row>
        <row r="1190">
          <cell r="A1190" t="str">
            <v>INGENIERO EN CONSTRUCCION CIVIL I</v>
          </cell>
          <cell r="B1190" t="str">
            <v>50011</v>
          </cell>
          <cell r="C1190" t="str">
            <v>E</v>
          </cell>
          <cell r="D1190" t="str">
            <v>UT</v>
          </cell>
          <cell r="E1190" t="str">
            <v>18</v>
          </cell>
        </row>
        <row r="1191">
          <cell r="A1191" t="str">
            <v>INGENIERO EN CONSTRUCCION CIVIL II</v>
          </cell>
          <cell r="B1191" t="str">
            <v>50012</v>
          </cell>
          <cell r="C1191" t="str">
            <v>E</v>
          </cell>
          <cell r="D1191" t="str">
            <v>UT</v>
          </cell>
          <cell r="E1191" t="str">
            <v>19</v>
          </cell>
        </row>
        <row r="1192">
          <cell r="A1192" t="str">
            <v>INGENIERO EN CONSTRUCCION CIVIL III</v>
          </cell>
          <cell r="B1192" t="str">
            <v>50013</v>
          </cell>
          <cell r="C1192" t="str">
            <v>E</v>
          </cell>
          <cell r="D1192" t="str">
            <v>UT</v>
          </cell>
          <cell r="E1192" t="str">
            <v>20</v>
          </cell>
        </row>
        <row r="1193">
          <cell r="A1193" t="str">
            <v>INGENIERO EN INFORMATICA I</v>
          </cell>
          <cell r="B1193" t="str">
            <v>50030</v>
          </cell>
          <cell r="C1193" t="str">
            <v>E</v>
          </cell>
          <cell r="D1193" t="str">
            <v>AD</v>
          </cell>
          <cell r="E1193" t="str">
            <v>18</v>
          </cell>
        </row>
        <row r="1194">
          <cell r="A1194" t="str">
            <v>INGENIERO EN TELECOMUNICACIONES II</v>
          </cell>
          <cell r="B1194" t="str">
            <v>50020</v>
          </cell>
          <cell r="C1194" t="str">
            <v>E</v>
          </cell>
          <cell r="D1194" t="str">
            <v>UT</v>
          </cell>
          <cell r="E1194" t="str">
            <v>18</v>
          </cell>
        </row>
        <row r="1195">
          <cell r="A1195" t="str">
            <v>INGENIERO FORESTAL I</v>
          </cell>
          <cell r="B1195" t="str">
            <v>41721</v>
          </cell>
          <cell r="C1195" t="str">
            <v>E</v>
          </cell>
          <cell r="D1195" t="str">
            <v>UT</v>
          </cell>
          <cell r="E1195" t="str">
            <v>18</v>
          </cell>
        </row>
        <row r="1196">
          <cell r="A1196" t="str">
            <v>INGENIERO FORESTAL II</v>
          </cell>
          <cell r="B1196" t="str">
            <v>41722</v>
          </cell>
          <cell r="C1196" t="str">
            <v>E</v>
          </cell>
          <cell r="D1196" t="str">
            <v>UT</v>
          </cell>
          <cell r="E1196" t="str">
            <v>19</v>
          </cell>
        </row>
        <row r="1197">
          <cell r="A1197" t="str">
            <v>INGENIERO FORESTAL III</v>
          </cell>
          <cell r="B1197" t="str">
            <v>41723</v>
          </cell>
          <cell r="C1197" t="str">
            <v>E</v>
          </cell>
          <cell r="D1197" t="str">
            <v>UT</v>
          </cell>
          <cell r="E1197" t="str">
            <v>21</v>
          </cell>
        </row>
        <row r="1198">
          <cell r="A1198" t="str">
            <v>INGENIERO FORESTAL JEFE I</v>
          </cell>
          <cell r="B1198" t="str">
            <v>41731</v>
          </cell>
          <cell r="C1198" t="str">
            <v>E</v>
          </cell>
          <cell r="D1198" t="str">
            <v>UT</v>
          </cell>
          <cell r="E1198" t="str">
            <v>22</v>
          </cell>
        </row>
        <row r="1199">
          <cell r="A1199" t="str">
            <v>INGENIERO FORESTAL JEFE II</v>
          </cell>
          <cell r="B1199" t="str">
            <v>41732</v>
          </cell>
          <cell r="C1199" t="str">
            <v>E</v>
          </cell>
          <cell r="D1199" t="str">
            <v>UT</v>
          </cell>
          <cell r="E1199" t="str">
            <v>24</v>
          </cell>
        </row>
        <row r="1200">
          <cell r="A1200" t="str">
            <v>INGENIERO GEODESTA I</v>
          </cell>
          <cell r="B1200" t="str">
            <v>44436</v>
          </cell>
          <cell r="C1200" t="str">
            <v>E</v>
          </cell>
          <cell r="D1200" t="str">
            <v>UT</v>
          </cell>
          <cell r="E1200" t="str">
            <v>18</v>
          </cell>
        </row>
        <row r="1201">
          <cell r="A1201" t="str">
            <v>INGENIERO GEODESTA II</v>
          </cell>
          <cell r="B1201" t="str">
            <v>44362</v>
          </cell>
          <cell r="C1201" t="str">
            <v>E</v>
          </cell>
          <cell r="D1201" t="str">
            <v>UT</v>
          </cell>
          <cell r="E1201" t="str">
            <v>19</v>
          </cell>
        </row>
        <row r="1202">
          <cell r="A1202" t="str">
            <v>INGENIERO GEODESTA III</v>
          </cell>
          <cell r="B1202" t="str">
            <v>44363</v>
          </cell>
          <cell r="C1202" t="str">
            <v>E</v>
          </cell>
          <cell r="D1202" t="str">
            <v>UT</v>
          </cell>
          <cell r="E1202" t="str">
            <v>21</v>
          </cell>
        </row>
        <row r="1203">
          <cell r="A1203" t="str">
            <v>INGENIERO GEODESTA JEFE I</v>
          </cell>
          <cell r="B1203" t="str">
            <v>44371</v>
          </cell>
          <cell r="C1203" t="str">
            <v>E</v>
          </cell>
          <cell r="D1203" t="str">
            <v>UT</v>
          </cell>
          <cell r="E1203" t="str">
            <v>22</v>
          </cell>
        </row>
        <row r="1204">
          <cell r="A1204" t="str">
            <v>INGENIERO GEODESTA JEFE II</v>
          </cell>
          <cell r="B1204" t="str">
            <v>44372</v>
          </cell>
          <cell r="C1204" t="str">
            <v>E</v>
          </cell>
          <cell r="D1204" t="str">
            <v>UT</v>
          </cell>
          <cell r="E1204" t="str">
            <v>24</v>
          </cell>
        </row>
        <row r="1205">
          <cell r="A1205" t="str">
            <v>INGENIERO HIDROMETEOROLISTA JEFE I</v>
          </cell>
          <cell r="B1205" t="str">
            <v>43651</v>
          </cell>
          <cell r="C1205" t="str">
            <v>E</v>
          </cell>
          <cell r="D1205" t="str">
            <v>UT</v>
          </cell>
          <cell r="E1205" t="str">
            <v>22</v>
          </cell>
        </row>
        <row r="1206">
          <cell r="A1206" t="str">
            <v>INGENIERO HIDROMETEOROLISTA JEFE II</v>
          </cell>
          <cell r="B1206" t="str">
            <v>43652</v>
          </cell>
          <cell r="C1206" t="str">
            <v>E</v>
          </cell>
          <cell r="D1206" t="str">
            <v>UT</v>
          </cell>
          <cell r="E1206" t="str">
            <v>24</v>
          </cell>
        </row>
        <row r="1207">
          <cell r="A1207" t="str">
            <v>INGENIERO HIDROMETEOROLOGISTA I</v>
          </cell>
          <cell r="B1207" t="str">
            <v>43641</v>
          </cell>
          <cell r="C1207" t="str">
            <v>E</v>
          </cell>
          <cell r="D1207" t="str">
            <v>UT</v>
          </cell>
          <cell r="E1207" t="str">
            <v>18</v>
          </cell>
        </row>
        <row r="1208">
          <cell r="A1208" t="str">
            <v>INGENIERO HIDROMETEOROLOSTA II</v>
          </cell>
          <cell r="B1208" t="str">
            <v>43642</v>
          </cell>
          <cell r="C1208" t="str">
            <v>E</v>
          </cell>
          <cell r="D1208" t="str">
            <v>UT</v>
          </cell>
          <cell r="E1208" t="str">
            <v>21</v>
          </cell>
        </row>
        <row r="1209">
          <cell r="A1209" t="str">
            <v>INGENIERO HIROMETEROLOGISTA III</v>
          </cell>
          <cell r="B1209" t="str">
            <v>43643</v>
          </cell>
          <cell r="C1209" t="str">
            <v>E</v>
          </cell>
          <cell r="D1209" t="str">
            <v>UT</v>
          </cell>
          <cell r="E1209" t="str">
            <v>21</v>
          </cell>
        </row>
        <row r="1210">
          <cell r="A1210" t="str">
            <v>INGENIERO INDUSTRIAL I</v>
          </cell>
          <cell r="B1210" t="str">
            <v>46611</v>
          </cell>
          <cell r="C1210" t="str">
            <v>E</v>
          </cell>
          <cell r="D1210" t="str">
            <v>UT</v>
          </cell>
          <cell r="E1210" t="str">
            <v>18</v>
          </cell>
        </row>
        <row r="1211">
          <cell r="A1211" t="str">
            <v>INGENIERO INDUSTRIAL II</v>
          </cell>
          <cell r="B1211" t="str">
            <v>46612</v>
          </cell>
          <cell r="C1211" t="str">
            <v>E</v>
          </cell>
          <cell r="D1211" t="str">
            <v>UT</v>
          </cell>
          <cell r="E1211" t="str">
            <v>19</v>
          </cell>
        </row>
        <row r="1212">
          <cell r="A1212" t="str">
            <v>INGENIERO INDUSTRIAL III</v>
          </cell>
          <cell r="B1212" t="str">
            <v>46613</v>
          </cell>
          <cell r="C1212" t="str">
            <v>E</v>
          </cell>
          <cell r="D1212" t="str">
            <v>UT</v>
          </cell>
          <cell r="E1212" t="str">
            <v>21</v>
          </cell>
        </row>
        <row r="1213">
          <cell r="A1213" t="str">
            <v>INGENIERO INDUSTRIAL IV</v>
          </cell>
          <cell r="B1213" t="str">
            <v>46614</v>
          </cell>
          <cell r="C1213" t="str">
            <v>E</v>
          </cell>
          <cell r="D1213" t="str">
            <v>UT</v>
          </cell>
          <cell r="E1213" t="str">
            <v>23</v>
          </cell>
        </row>
        <row r="1214">
          <cell r="A1214" t="str">
            <v>INGENIERO MECANICO I</v>
          </cell>
          <cell r="B1214" t="str">
            <v>46311</v>
          </cell>
          <cell r="C1214" t="str">
            <v>E</v>
          </cell>
          <cell r="D1214" t="str">
            <v>UT</v>
          </cell>
          <cell r="E1214" t="str">
            <v>18</v>
          </cell>
        </row>
        <row r="1215">
          <cell r="A1215" t="str">
            <v>INGENIERO MECANICO II</v>
          </cell>
          <cell r="B1215" t="str">
            <v>46312</v>
          </cell>
          <cell r="C1215" t="str">
            <v>E</v>
          </cell>
          <cell r="D1215" t="str">
            <v>UT</v>
          </cell>
          <cell r="E1215" t="str">
            <v>19</v>
          </cell>
        </row>
        <row r="1216">
          <cell r="A1216" t="str">
            <v>INGENIERO MECANICO III</v>
          </cell>
          <cell r="B1216" t="str">
            <v>46313</v>
          </cell>
          <cell r="C1216" t="str">
            <v>E</v>
          </cell>
          <cell r="D1216" t="str">
            <v>UT</v>
          </cell>
          <cell r="E1216" t="str">
            <v>21</v>
          </cell>
        </row>
        <row r="1217">
          <cell r="A1217" t="str">
            <v>INGENIERO MECANICO JEFE</v>
          </cell>
          <cell r="B1217" t="str">
            <v>46320</v>
          </cell>
          <cell r="C1217" t="str">
            <v>E</v>
          </cell>
          <cell r="D1217" t="str">
            <v>UT</v>
          </cell>
          <cell r="E1217" t="str">
            <v>22</v>
          </cell>
        </row>
        <row r="1218">
          <cell r="A1218" t="str">
            <v>INGENIERO METALURGICO</v>
          </cell>
          <cell r="B1218" t="str">
            <v>44210</v>
          </cell>
          <cell r="C1218" t="str">
            <v>E</v>
          </cell>
          <cell r="D1218" t="str">
            <v>UT</v>
          </cell>
          <cell r="E1218" t="str">
            <v>18</v>
          </cell>
        </row>
        <row r="1219">
          <cell r="A1219" t="str">
            <v>INGENIERO NAVAL I</v>
          </cell>
          <cell r="B1219" t="str">
            <v>46811</v>
          </cell>
          <cell r="C1219" t="str">
            <v>E</v>
          </cell>
          <cell r="D1219" t="str">
            <v>UT</v>
          </cell>
          <cell r="E1219" t="str">
            <v>18</v>
          </cell>
        </row>
        <row r="1220">
          <cell r="A1220" t="str">
            <v>INGENIERO NAVAL II</v>
          </cell>
          <cell r="B1220" t="str">
            <v>46812</v>
          </cell>
          <cell r="C1220" t="str">
            <v>E</v>
          </cell>
          <cell r="D1220" t="str">
            <v>UT</v>
          </cell>
          <cell r="E1220" t="str">
            <v>19</v>
          </cell>
        </row>
        <row r="1221">
          <cell r="A1221" t="str">
            <v>INGENIERO NAVAL III</v>
          </cell>
          <cell r="B1221" t="str">
            <v>46813</v>
          </cell>
          <cell r="C1221" t="str">
            <v>E</v>
          </cell>
          <cell r="D1221" t="str">
            <v>UT</v>
          </cell>
          <cell r="E1221" t="str">
            <v>21</v>
          </cell>
        </row>
        <row r="1222">
          <cell r="A1222" t="str">
            <v>INGENIERO NAVAL JEFE</v>
          </cell>
          <cell r="B1222" t="str">
            <v>46820</v>
          </cell>
          <cell r="C1222" t="str">
            <v>E</v>
          </cell>
          <cell r="D1222" t="str">
            <v>UT</v>
          </cell>
          <cell r="E1222" t="str">
            <v>22</v>
          </cell>
        </row>
        <row r="1223">
          <cell r="A1223" t="str">
            <v>INGENIERO NUCLEAR I</v>
          </cell>
          <cell r="B1223" t="str">
            <v>46711</v>
          </cell>
          <cell r="C1223" t="str">
            <v>E</v>
          </cell>
          <cell r="D1223" t="str">
            <v>UT</v>
          </cell>
          <cell r="E1223" t="str">
            <v>18</v>
          </cell>
        </row>
        <row r="1224">
          <cell r="A1224" t="str">
            <v>INGENIERO NUCLEAR II</v>
          </cell>
          <cell r="B1224" t="str">
            <v>46712</v>
          </cell>
          <cell r="C1224" t="str">
            <v>E</v>
          </cell>
          <cell r="D1224" t="str">
            <v>UT</v>
          </cell>
          <cell r="E1224" t="str">
            <v>19</v>
          </cell>
        </row>
        <row r="1225">
          <cell r="A1225" t="str">
            <v>INGENIERO NUCLEAR III</v>
          </cell>
          <cell r="B1225" t="str">
            <v>46713</v>
          </cell>
          <cell r="C1225" t="str">
            <v>E</v>
          </cell>
          <cell r="D1225" t="str">
            <v>UT</v>
          </cell>
          <cell r="E1225" t="str">
            <v>21</v>
          </cell>
        </row>
        <row r="1226">
          <cell r="A1226" t="str">
            <v>INGENIERO NUCLEAR JEFE</v>
          </cell>
          <cell r="B1226" t="str">
            <v>46720</v>
          </cell>
          <cell r="C1226" t="str">
            <v>E</v>
          </cell>
          <cell r="D1226" t="str">
            <v>UT</v>
          </cell>
          <cell r="E1226" t="str">
            <v>22</v>
          </cell>
        </row>
        <row r="1227">
          <cell r="A1227" t="str">
            <v>INGENIERO PETROLERO I</v>
          </cell>
          <cell r="B1227" t="str">
            <v>44521</v>
          </cell>
          <cell r="C1227" t="str">
            <v>E</v>
          </cell>
          <cell r="D1227" t="str">
            <v>UT</v>
          </cell>
          <cell r="E1227" t="str">
            <v>18</v>
          </cell>
        </row>
        <row r="1228">
          <cell r="A1228" t="str">
            <v>INGENIERO PETROLERO II</v>
          </cell>
          <cell r="B1228" t="str">
            <v>44522</v>
          </cell>
          <cell r="C1228" t="str">
            <v>E</v>
          </cell>
          <cell r="D1228" t="str">
            <v>UT</v>
          </cell>
          <cell r="E1228" t="str">
            <v>19</v>
          </cell>
        </row>
        <row r="1229">
          <cell r="A1229" t="str">
            <v>INGENIERO PETROLERO III</v>
          </cell>
          <cell r="B1229" t="str">
            <v>44523</v>
          </cell>
          <cell r="C1229" t="str">
            <v>E</v>
          </cell>
          <cell r="D1229" t="str">
            <v>UT</v>
          </cell>
          <cell r="E1229" t="str">
            <v>21</v>
          </cell>
        </row>
        <row r="1230">
          <cell r="A1230" t="str">
            <v>INGENIERO PETROLERO JEFE I</v>
          </cell>
          <cell r="B1230" t="str">
            <v>44531</v>
          </cell>
          <cell r="C1230" t="str">
            <v>E</v>
          </cell>
          <cell r="D1230" t="str">
            <v>UT</v>
          </cell>
          <cell r="E1230" t="str">
            <v>22</v>
          </cell>
        </row>
        <row r="1231">
          <cell r="A1231" t="str">
            <v>INGENIERO PETROLERO JEFE II</v>
          </cell>
          <cell r="B1231" t="str">
            <v>44532</v>
          </cell>
          <cell r="C1231" t="str">
            <v>E</v>
          </cell>
          <cell r="D1231" t="str">
            <v>UT</v>
          </cell>
          <cell r="E1231" t="str">
            <v>24</v>
          </cell>
        </row>
        <row r="1232">
          <cell r="A1232" t="str">
            <v>INGENIERO QUIMICO I</v>
          </cell>
          <cell r="B1232" t="str">
            <v>44741</v>
          </cell>
          <cell r="C1232" t="str">
            <v>E</v>
          </cell>
          <cell r="D1232" t="str">
            <v>UT</v>
          </cell>
          <cell r="E1232" t="str">
            <v>18</v>
          </cell>
        </row>
        <row r="1233">
          <cell r="A1233" t="str">
            <v>INGENIERO QUIMICO II</v>
          </cell>
          <cell r="B1233" t="str">
            <v>44742</v>
          </cell>
          <cell r="C1233" t="str">
            <v>E</v>
          </cell>
          <cell r="D1233" t="str">
            <v>UT</v>
          </cell>
          <cell r="E1233" t="str">
            <v>19</v>
          </cell>
        </row>
        <row r="1234">
          <cell r="A1234" t="str">
            <v>INGENIERO QUIMICO III</v>
          </cell>
          <cell r="B1234" t="str">
            <v>44743</v>
          </cell>
          <cell r="C1234" t="str">
            <v>E</v>
          </cell>
          <cell r="D1234" t="str">
            <v>UT</v>
          </cell>
          <cell r="E1234" t="str">
            <v>21</v>
          </cell>
        </row>
        <row r="1235">
          <cell r="A1235" t="str">
            <v>INGENIERO QUIMICO JEFE I</v>
          </cell>
          <cell r="B1235" t="str">
            <v>44751</v>
          </cell>
          <cell r="C1235" t="str">
            <v>E</v>
          </cell>
          <cell r="D1235" t="str">
            <v>UT</v>
          </cell>
          <cell r="E1235" t="str">
            <v>22</v>
          </cell>
        </row>
        <row r="1236">
          <cell r="A1236" t="str">
            <v>INGENIERO QUMICO JEFE II</v>
          </cell>
          <cell r="B1236" t="str">
            <v>44752</v>
          </cell>
          <cell r="C1236" t="str">
            <v>E</v>
          </cell>
          <cell r="D1236" t="str">
            <v>UT</v>
          </cell>
          <cell r="E1236" t="str">
            <v>24</v>
          </cell>
        </row>
        <row r="1237">
          <cell r="A1237" t="str">
            <v>INGENIERO SANITARIO I</v>
          </cell>
          <cell r="B1237" t="str">
            <v>43441</v>
          </cell>
          <cell r="C1237" t="str">
            <v>E</v>
          </cell>
          <cell r="D1237" t="str">
            <v>UT</v>
          </cell>
          <cell r="E1237" t="str">
            <v>18</v>
          </cell>
        </row>
        <row r="1238">
          <cell r="A1238" t="str">
            <v>INGENIERO SANITARIO II</v>
          </cell>
          <cell r="B1238" t="str">
            <v>43442</v>
          </cell>
          <cell r="C1238" t="str">
            <v>E</v>
          </cell>
          <cell r="D1238" t="str">
            <v>UT</v>
          </cell>
          <cell r="E1238" t="str">
            <v>19</v>
          </cell>
        </row>
        <row r="1239">
          <cell r="A1239" t="str">
            <v>INGENIERO SANITARIO III</v>
          </cell>
          <cell r="B1239" t="str">
            <v>43443</v>
          </cell>
          <cell r="C1239" t="str">
            <v>E</v>
          </cell>
          <cell r="D1239" t="str">
            <v>UT</v>
          </cell>
          <cell r="E1239" t="str">
            <v>21</v>
          </cell>
        </row>
        <row r="1240">
          <cell r="A1240" t="str">
            <v>INGENIERO SANITARIO JEFE I</v>
          </cell>
          <cell r="B1240" t="str">
            <v>43451</v>
          </cell>
          <cell r="C1240" t="str">
            <v>E</v>
          </cell>
          <cell r="D1240" t="str">
            <v>UT</v>
          </cell>
          <cell r="E1240" t="str">
            <v>22</v>
          </cell>
        </row>
        <row r="1241">
          <cell r="A1241" t="str">
            <v>INGENIERO SANITARIO JEFE II</v>
          </cell>
          <cell r="B1241" t="str">
            <v>43452</v>
          </cell>
          <cell r="C1241" t="str">
            <v>E</v>
          </cell>
          <cell r="D1241" t="str">
            <v>UT</v>
          </cell>
          <cell r="E1241" t="str">
            <v>24</v>
          </cell>
        </row>
        <row r="1242">
          <cell r="A1242" t="str">
            <v>INGENIERO SANITARIO JEFE III</v>
          </cell>
          <cell r="B1242" t="str">
            <v>43453</v>
          </cell>
          <cell r="C1242" t="str">
            <v>E</v>
          </cell>
          <cell r="D1242" t="str">
            <v>UT</v>
          </cell>
          <cell r="E1242" t="str">
            <v>25</v>
          </cell>
        </row>
        <row r="1243">
          <cell r="A1243" t="str">
            <v>INPECTOR DE MAQUINARIAS I</v>
          </cell>
          <cell r="B1243" t="str">
            <v>43311</v>
          </cell>
          <cell r="C1243" t="str">
            <v>E</v>
          </cell>
          <cell r="D1243" t="str">
            <v>AD</v>
          </cell>
          <cell r="E1243" t="str">
            <v>02</v>
          </cell>
        </row>
        <row r="1244">
          <cell r="A1244" t="str">
            <v>INSP. NACIONAL DE REGIST Y NOTARIAS III</v>
          </cell>
          <cell r="B1244" t="str">
            <v>35213</v>
          </cell>
          <cell r="C1244" t="str">
            <v>E</v>
          </cell>
          <cell r="D1244" t="str">
            <v>UT</v>
          </cell>
          <cell r="E1244" t="str">
            <v>20</v>
          </cell>
        </row>
        <row r="1245">
          <cell r="A1245" t="str">
            <v>INSP. NACIONAL DE REGIST. Y NOTARIAS II</v>
          </cell>
          <cell r="B1245" t="str">
            <v>35212</v>
          </cell>
          <cell r="C1245" t="str">
            <v>E</v>
          </cell>
          <cell r="D1245" t="str">
            <v>UT</v>
          </cell>
          <cell r="E1245" t="str">
            <v>19</v>
          </cell>
        </row>
        <row r="1246">
          <cell r="A1246" t="str">
            <v>INSPEC NACIONAL DE REG. Y NOTARIAS JEFE</v>
          </cell>
          <cell r="B1246" t="str">
            <v>35220</v>
          </cell>
          <cell r="C1246" t="str">
            <v>E</v>
          </cell>
          <cell r="D1246" t="str">
            <v>UT</v>
          </cell>
          <cell r="E1246" t="str">
            <v>22</v>
          </cell>
        </row>
        <row r="1247">
          <cell r="A1247" t="str">
            <v>INSPEC.  RELACIONES CON EL SEGURO SOCIAL</v>
          </cell>
          <cell r="B1247" t="str">
            <v>21711</v>
          </cell>
          <cell r="C1247" t="str">
            <v>E</v>
          </cell>
          <cell r="D1247" t="str">
            <v>AD</v>
          </cell>
          <cell r="E1247" t="str">
            <v>02</v>
          </cell>
        </row>
        <row r="1248">
          <cell r="A1248" t="str">
            <v>INSPEC. NACIONAL DE REGISTROS Y NOTARIAS</v>
          </cell>
          <cell r="B1248" t="str">
            <v>35211</v>
          </cell>
          <cell r="C1248" t="str">
            <v>E</v>
          </cell>
          <cell r="D1248" t="str">
            <v>UT</v>
          </cell>
          <cell r="E1248" t="str">
            <v>18</v>
          </cell>
        </row>
        <row r="1249">
          <cell r="A1249" t="str">
            <v>INSPEC. RELACIONES SEGURO SOCIAL II</v>
          </cell>
          <cell r="B1249" t="str">
            <v>21712</v>
          </cell>
          <cell r="C1249" t="str">
            <v>E</v>
          </cell>
          <cell r="D1249" t="str">
            <v>UT</v>
          </cell>
          <cell r="E1249" t="str">
            <v>15</v>
          </cell>
        </row>
        <row r="1250">
          <cell r="A1250" t="str">
            <v>INSPECTOR</v>
          </cell>
          <cell r="B1250" t="str">
            <v>62262</v>
          </cell>
          <cell r="C1250" t="str">
            <v>E</v>
          </cell>
          <cell r="D1250" t="str">
            <v>PO</v>
          </cell>
          <cell r="E1250" t="str">
            <v>18</v>
          </cell>
        </row>
        <row r="1251">
          <cell r="A1251" t="str">
            <v>INSPECTOR ADMINISTRATIVO I</v>
          </cell>
          <cell r="B1251" t="str">
            <v>21411</v>
          </cell>
          <cell r="C1251" t="str">
            <v>E</v>
          </cell>
          <cell r="D1251" t="str">
            <v>UT</v>
          </cell>
          <cell r="E1251" t="str">
            <v>17</v>
          </cell>
        </row>
        <row r="1252">
          <cell r="A1252" t="str">
            <v>INSPECTOR ADMINISTRATIVO III</v>
          </cell>
          <cell r="B1252" t="str">
            <v>21413</v>
          </cell>
          <cell r="C1252" t="str">
            <v>E</v>
          </cell>
          <cell r="D1252" t="str">
            <v>UT</v>
          </cell>
          <cell r="E1252" t="str">
            <v>21</v>
          </cell>
        </row>
        <row r="1253">
          <cell r="A1253" t="str">
            <v>INSPECTOR ADMINISTRATIVO IV</v>
          </cell>
          <cell r="B1253" t="str">
            <v>21414</v>
          </cell>
          <cell r="C1253" t="str">
            <v>E</v>
          </cell>
          <cell r="D1253" t="str">
            <v>UT</v>
          </cell>
          <cell r="E1253" t="str">
            <v>23</v>
          </cell>
        </row>
        <row r="1254">
          <cell r="A1254" t="str">
            <v>INSPECTOR ADMINISTRATIVO JEFE</v>
          </cell>
          <cell r="B1254" t="str">
            <v>21425</v>
          </cell>
          <cell r="C1254" t="str">
            <v>E</v>
          </cell>
          <cell r="D1254" t="str">
            <v>UT</v>
          </cell>
          <cell r="E1254" t="str">
            <v>25</v>
          </cell>
        </row>
        <row r="1255">
          <cell r="A1255" t="str">
            <v>INSPECTOR AMDINISTRATIVO II</v>
          </cell>
          <cell r="B1255" t="str">
            <v>21412</v>
          </cell>
          <cell r="C1255" t="str">
            <v>E</v>
          </cell>
          <cell r="D1255" t="str">
            <v>UT</v>
          </cell>
          <cell r="E1255" t="str">
            <v>19</v>
          </cell>
        </row>
        <row r="1256">
          <cell r="A1256" t="str">
            <v>INSPECTOR AUX. DE OBRAS DE INGENIERIA</v>
          </cell>
          <cell r="B1256" t="str">
            <v>43460</v>
          </cell>
          <cell r="C1256" t="str">
            <v>E</v>
          </cell>
          <cell r="D1256" t="str">
            <v>AD</v>
          </cell>
          <cell r="E1256" t="str">
            <v>02</v>
          </cell>
        </row>
        <row r="1257">
          <cell r="A1257" t="str">
            <v>INSPECTOR DE AEROPUERTOS</v>
          </cell>
          <cell r="B1257" t="str">
            <v>51750</v>
          </cell>
          <cell r="C1257" t="str">
            <v>E</v>
          </cell>
          <cell r="D1257" t="str">
            <v>AD</v>
          </cell>
          <cell r="E1257" t="str">
            <v>02</v>
          </cell>
        </row>
        <row r="1258">
          <cell r="A1258" t="str">
            <v>INSPECTOR DE DERIVADOS HIDROCARBUROS I</v>
          </cell>
          <cell r="B1258" t="str">
            <v>44611</v>
          </cell>
          <cell r="C1258" t="str">
            <v>E</v>
          </cell>
          <cell r="D1258" t="str">
            <v>AD</v>
          </cell>
          <cell r="E1258" t="str">
            <v>02</v>
          </cell>
        </row>
        <row r="1259">
          <cell r="A1259" t="str">
            <v>INSPECTOR DE DERIVADOS HIDROCARBUROS II</v>
          </cell>
          <cell r="B1259" t="str">
            <v>44612</v>
          </cell>
          <cell r="C1259" t="str">
            <v>E</v>
          </cell>
          <cell r="D1259" t="str">
            <v>UT</v>
          </cell>
          <cell r="E1259" t="str">
            <v>15</v>
          </cell>
        </row>
        <row r="1260">
          <cell r="A1260" t="str">
            <v>INSPECTOR DE INMUEBLES</v>
          </cell>
          <cell r="B1260" t="str">
            <v>43210</v>
          </cell>
          <cell r="C1260" t="str">
            <v>E</v>
          </cell>
          <cell r="D1260" t="str">
            <v>AD</v>
          </cell>
          <cell r="E1260" t="str">
            <v>01</v>
          </cell>
        </row>
        <row r="1261">
          <cell r="A1261" t="str">
            <v>INSPECTOR DE MAQUINARIAS II</v>
          </cell>
          <cell r="B1261" t="str">
            <v>43312</v>
          </cell>
          <cell r="C1261" t="str">
            <v>E</v>
          </cell>
          <cell r="D1261" t="str">
            <v>UT</v>
          </cell>
          <cell r="E1261" t="str">
            <v>15</v>
          </cell>
        </row>
        <row r="1262">
          <cell r="A1262" t="str">
            <v>INSPECTOR DE MECANICA DE AVIACION I</v>
          </cell>
          <cell r="B1262" t="str">
            <v>46171</v>
          </cell>
          <cell r="C1262" t="str">
            <v>E</v>
          </cell>
          <cell r="D1262" t="str">
            <v>UT</v>
          </cell>
          <cell r="E1262" t="str">
            <v>16</v>
          </cell>
        </row>
        <row r="1263">
          <cell r="A1263" t="str">
            <v>INSPECTOR DE MECANICA DE AVIACION II</v>
          </cell>
          <cell r="B1263" t="str">
            <v>46172</v>
          </cell>
          <cell r="C1263" t="str">
            <v>E</v>
          </cell>
          <cell r="D1263" t="str">
            <v>UT</v>
          </cell>
          <cell r="E1263" t="str">
            <v>17</v>
          </cell>
        </row>
        <row r="1264">
          <cell r="A1264" t="str">
            <v>INSPECTOR DE MECANICA DE AVIACION III</v>
          </cell>
          <cell r="B1264" t="str">
            <v>46173</v>
          </cell>
          <cell r="C1264" t="str">
            <v>E</v>
          </cell>
          <cell r="D1264" t="str">
            <v>UT</v>
          </cell>
          <cell r="E1264" t="str">
            <v>19</v>
          </cell>
        </row>
        <row r="1265">
          <cell r="A1265" t="str">
            <v>INSPECTOR DE OBRAS DE INGENIERIA I</v>
          </cell>
          <cell r="B1265" t="str">
            <v>43471</v>
          </cell>
          <cell r="C1265" t="str">
            <v>E</v>
          </cell>
          <cell r="D1265" t="str">
            <v>UT</v>
          </cell>
          <cell r="E1265" t="str">
            <v>15</v>
          </cell>
        </row>
        <row r="1266">
          <cell r="A1266" t="str">
            <v>INSPECTOR DE OBRAS DE INGENIERIA II</v>
          </cell>
          <cell r="B1266" t="str">
            <v>43472</v>
          </cell>
          <cell r="C1266" t="str">
            <v>E</v>
          </cell>
          <cell r="D1266" t="str">
            <v>UT</v>
          </cell>
          <cell r="E1266" t="str">
            <v>17</v>
          </cell>
        </row>
        <row r="1267">
          <cell r="A1267" t="str">
            <v>INSPECTOR DE OBRAS DE INGENIERIA III</v>
          </cell>
          <cell r="B1267" t="str">
            <v>43473</v>
          </cell>
          <cell r="C1267" t="str">
            <v>E</v>
          </cell>
          <cell r="D1267" t="str">
            <v>UT</v>
          </cell>
          <cell r="E1267" t="str">
            <v>19</v>
          </cell>
        </row>
        <row r="1268">
          <cell r="A1268" t="str">
            <v>INSPECTOR DE PRISIONES</v>
          </cell>
          <cell r="B1268" t="str">
            <v>82210</v>
          </cell>
          <cell r="C1268" t="str">
            <v>E</v>
          </cell>
          <cell r="D1268" t="str">
            <v>AD</v>
          </cell>
          <cell r="E1268" t="str">
            <v>07</v>
          </cell>
        </row>
        <row r="1269">
          <cell r="A1269" t="str">
            <v>INSPECTOR DE PRISIONES JEFE</v>
          </cell>
          <cell r="B1269" t="str">
            <v>82220</v>
          </cell>
          <cell r="C1269" t="str">
            <v>E</v>
          </cell>
          <cell r="D1269" t="str">
            <v>AD</v>
          </cell>
          <cell r="E1269" t="str">
            <v>11</v>
          </cell>
        </row>
        <row r="1270">
          <cell r="A1270" t="str">
            <v>INSPECTOR DE PUERTOS</v>
          </cell>
          <cell r="B1270" t="str">
            <v>53230</v>
          </cell>
          <cell r="C1270" t="str">
            <v>E</v>
          </cell>
          <cell r="D1270" t="str">
            <v>UT</v>
          </cell>
          <cell r="E1270" t="str">
            <v>17</v>
          </cell>
        </row>
        <row r="1271">
          <cell r="A1271" t="str">
            <v>INSPECTOR DE RENTAS I</v>
          </cell>
          <cell r="B1271" t="str">
            <v>21311</v>
          </cell>
          <cell r="C1271" t="str">
            <v>E</v>
          </cell>
          <cell r="D1271" t="str">
            <v>UT</v>
          </cell>
          <cell r="E1271" t="str">
            <v>22</v>
          </cell>
        </row>
        <row r="1272">
          <cell r="A1272" t="str">
            <v>INSPECTOR DE RENTAS II</v>
          </cell>
          <cell r="B1272" t="str">
            <v>21312</v>
          </cell>
          <cell r="C1272" t="str">
            <v>E</v>
          </cell>
          <cell r="D1272" t="str">
            <v>UT</v>
          </cell>
          <cell r="E1272" t="str">
            <v>24</v>
          </cell>
        </row>
        <row r="1273">
          <cell r="A1273" t="str">
            <v>INSPECTOR DE RENTAS JEFE</v>
          </cell>
          <cell r="B1273" t="str">
            <v>21315</v>
          </cell>
          <cell r="C1273" t="str">
            <v>E</v>
          </cell>
          <cell r="D1273" t="str">
            <v>UT</v>
          </cell>
          <cell r="E1273" t="str">
            <v>26</v>
          </cell>
        </row>
        <row r="1274">
          <cell r="A1274" t="str">
            <v>INSPECTOR DE SALID PUBLICA III</v>
          </cell>
          <cell r="B1274" t="str">
            <v>76233</v>
          </cell>
          <cell r="C1274" t="str">
            <v>E</v>
          </cell>
          <cell r="D1274" t="str">
            <v>AD</v>
          </cell>
          <cell r="E1274" t="str">
            <v>08</v>
          </cell>
        </row>
        <row r="1275">
          <cell r="A1275" t="str">
            <v>INSPECTOR DE SALUD PUBLICA I</v>
          </cell>
          <cell r="B1275" t="str">
            <v>76231</v>
          </cell>
          <cell r="C1275" t="str">
            <v>E</v>
          </cell>
          <cell r="D1275" t="str">
            <v>AD</v>
          </cell>
          <cell r="E1275" t="str">
            <v>04</v>
          </cell>
        </row>
        <row r="1276">
          <cell r="A1276" t="str">
            <v>INSPECTOR DE SALUD PUBLICA II</v>
          </cell>
          <cell r="B1276" t="str">
            <v>46232</v>
          </cell>
          <cell r="C1276" t="str">
            <v>E</v>
          </cell>
          <cell r="D1276" t="str">
            <v>AD</v>
          </cell>
          <cell r="E1276" t="str">
            <v>06</v>
          </cell>
        </row>
        <row r="1277">
          <cell r="A1277" t="str">
            <v>INSPECTOR DE SALUD PUBLICA IV</v>
          </cell>
          <cell r="B1277" t="str">
            <v>76234</v>
          </cell>
          <cell r="C1277" t="str">
            <v>E</v>
          </cell>
          <cell r="D1277" t="str">
            <v>AD</v>
          </cell>
          <cell r="E1277" t="str">
            <v>10</v>
          </cell>
        </row>
        <row r="1278">
          <cell r="A1278" t="str">
            <v>INSPECTOR DE SEGURIDAD INDUSTRIAL</v>
          </cell>
          <cell r="B1278" t="str">
            <v>85111</v>
          </cell>
          <cell r="C1278" t="str">
            <v>E</v>
          </cell>
          <cell r="D1278" t="str">
            <v>AD</v>
          </cell>
          <cell r="E1278" t="str">
            <v>02</v>
          </cell>
        </row>
        <row r="1279">
          <cell r="A1279" t="str">
            <v>INSPECTOR DE SEGURIDAD INDUSTRIAL II</v>
          </cell>
          <cell r="B1279" t="str">
            <v>85112</v>
          </cell>
          <cell r="C1279" t="str">
            <v>E</v>
          </cell>
          <cell r="D1279" t="str">
            <v>UT</v>
          </cell>
          <cell r="E1279" t="str">
            <v>15</v>
          </cell>
        </row>
        <row r="1280">
          <cell r="A1280" t="str">
            <v>INSPECTOR DE SEGURIDAD INDUSTRIAL III</v>
          </cell>
          <cell r="B1280" t="str">
            <v>85113</v>
          </cell>
          <cell r="C1280" t="str">
            <v>E</v>
          </cell>
          <cell r="D1280" t="str">
            <v>UT</v>
          </cell>
          <cell r="E1280" t="str">
            <v>17</v>
          </cell>
        </row>
        <row r="1281">
          <cell r="A1281" t="str">
            <v>INSPECTOR DE SEGURIDAD INDUSTRIAL IV</v>
          </cell>
          <cell r="B1281" t="str">
            <v>85114</v>
          </cell>
          <cell r="C1281" t="str">
            <v>E</v>
          </cell>
          <cell r="D1281" t="str">
            <v>UT</v>
          </cell>
          <cell r="E1281" t="str">
            <v>18</v>
          </cell>
        </row>
        <row r="1282">
          <cell r="A1282" t="str">
            <v>INSPECTOR DE SEGUROS COMERCIALES I</v>
          </cell>
          <cell r="B1282" t="str">
            <v>25511</v>
          </cell>
          <cell r="C1282" t="str">
            <v>E</v>
          </cell>
          <cell r="D1282" t="str">
            <v>UT</v>
          </cell>
          <cell r="E1282" t="str">
            <v>15</v>
          </cell>
        </row>
        <row r="1283">
          <cell r="A1283" t="str">
            <v>INSPECTOR DE SEGUROS COMERCIALES II</v>
          </cell>
          <cell r="B1283" t="str">
            <v>25512</v>
          </cell>
          <cell r="C1283" t="str">
            <v>E</v>
          </cell>
          <cell r="D1283" t="str">
            <v>UT</v>
          </cell>
          <cell r="E1283" t="str">
            <v>17</v>
          </cell>
        </row>
        <row r="1284">
          <cell r="A1284" t="str">
            <v>INSPECTOR DE SEGUROS COMERIALES JEFE</v>
          </cell>
          <cell r="B1284" t="str">
            <v>25520</v>
          </cell>
          <cell r="C1284" t="str">
            <v>E</v>
          </cell>
          <cell r="D1284" t="str">
            <v>UT</v>
          </cell>
          <cell r="E1284" t="str">
            <v>21</v>
          </cell>
        </row>
        <row r="1285">
          <cell r="A1285" t="str">
            <v>INSPECTOR DE SEUGROS COMERCIALES III</v>
          </cell>
          <cell r="B1285" t="str">
            <v>25513</v>
          </cell>
          <cell r="C1285" t="str">
            <v>E</v>
          </cell>
          <cell r="D1285" t="str">
            <v>UT</v>
          </cell>
          <cell r="E1285" t="str">
            <v>19</v>
          </cell>
        </row>
        <row r="1286">
          <cell r="A1286" t="str">
            <v>INSPECTOR DE TELECOMUNICACIONES I</v>
          </cell>
          <cell r="B1286" t="str">
            <v>51731</v>
          </cell>
          <cell r="C1286" t="str">
            <v>E</v>
          </cell>
          <cell r="D1286" t="str">
            <v>AD</v>
          </cell>
          <cell r="E1286" t="str">
            <v>07</v>
          </cell>
        </row>
        <row r="1287">
          <cell r="A1287" t="str">
            <v>INSPECTOR DE TELECOMUNICACIONES II</v>
          </cell>
          <cell r="B1287" t="str">
            <v>51732</v>
          </cell>
          <cell r="C1287" t="str">
            <v>E</v>
          </cell>
          <cell r="D1287" t="str">
            <v>AD</v>
          </cell>
          <cell r="E1287" t="str">
            <v>08</v>
          </cell>
        </row>
        <row r="1288">
          <cell r="A1288" t="str">
            <v>INSPECTOR DE TELECOMUNICACIONES III</v>
          </cell>
          <cell r="B1288" t="str">
            <v>51733</v>
          </cell>
          <cell r="C1288" t="str">
            <v>E</v>
          </cell>
          <cell r="D1288" t="str">
            <v>AD</v>
          </cell>
          <cell r="E1288" t="str">
            <v>09</v>
          </cell>
        </row>
        <row r="1289">
          <cell r="A1289" t="str">
            <v>INSPECTOR DE TRABAJO I</v>
          </cell>
          <cell r="B1289" t="str">
            <v>84321</v>
          </cell>
          <cell r="C1289" t="str">
            <v>E</v>
          </cell>
          <cell r="D1289" t="str">
            <v>UT</v>
          </cell>
          <cell r="E1289" t="str">
            <v>17</v>
          </cell>
        </row>
        <row r="1290">
          <cell r="A1290" t="str">
            <v>INSPECTOR DE TRABAJO II</v>
          </cell>
          <cell r="B1290" t="str">
            <v>84322</v>
          </cell>
          <cell r="C1290" t="str">
            <v>E</v>
          </cell>
          <cell r="D1290" t="str">
            <v>UT</v>
          </cell>
          <cell r="E1290" t="str">
            <v>19</v>
          </cell>
        </row>
        <row r="1291">
          <cell r="A1291" t="str">
            <v>INSPECTOR DE TRABAJO III</v>
          </cell>
          <cell r="B1291" t="str">
            <v>84323</v>
          </cell>
          <cell r="C1291" t="str">
            <v>E</v>
          </cell>
          <cell r="D1291" t="str">
            <v>UT</v>
          </cell>
          <cell r="E1291" t="str">
            <v>21</v>
          </cell>
        </row>
        <row r="1292">
          <cell r="A1292" t="str">
            <v>INSPECTOR DE TRABAJO IV</v>
          </cell>
          <cell r="B1292" t="str">
            <v>84324</v>
          </cell>
          <cell r="C1292" t="str">
            <v>E</v>
          </cell>
          <cell r="D1292" t="str">
            <v>UT</v>
          </cell>
          <cell r="E1292" t="str">
            <v>23</v>
          </cell>
        </row>
        <row r="1293">
          <cell r="A1293" t="str">
            <v>INSPECTOR DE TRABAJO V</v>
          </cell>
          <cell r="B1293" t="str">
            <v>84325</v>
          </cell>
          <cell r="C1293" t="str">
            <v>E</v>
          </cell>
          <cell r="D1293" t="str">
            <v>UT</v>
          </cell>
          <cell r="E1293" t="str">
            <v>25</v>
          </cell>
        </row>
        <row r="1294">
          <cell r="A1294" t="str">
            <v>INSPECTOR DE TRANSPORTE I</v>
          </cell>
          <cell r="B1294" t="str">
            <v>52121</v>
          </cell>
          <cell r="C1294" t="str">
            <v>E</v>
          </cell>
          <cell r="D1294" t="str">
            <v>AD</v>
          </cell>
          <cell r="E1294" t="str">
            <v>01</v>
          </cell>
        </row>
        <row r="1295">
          <cell r="A1295" t="str">
            <v>INSPECTOR DE TRANSPORTE II</v>
          </cell>
          <cell r="B1295" t="str">
            <v>52122</v>
          </cell>
          <cell r="C1295" t="str">
            <v>E</v>
          </cell>
          <cell r="D1295" t="str">
            <v>AD</v>
          </cell>
          <cell r="E1295" t="str">
            <v>02</v>
          </cell>
        </row>
        <row r="1296">
          <cell r="A1296" t="str">
            <v>INSPECTOR DE ZONAS MARITIMAS</v>
          </cell>
          <cell r="B1296" t="str">
            <v>52255</v>
          </cell>
          <cell r="C1296" t="str">
            <v>E</v>
          </cell>
          <cell r="D1296" t="str">
            <v>UT</v>
          </cell>
          <cell r="E1296" t="str">
            <v>17</v>
          </cell>
        </row>
        <row r="1297">
          <cell r="A1297" t="str">
            <v>INSPECTOR ELECTRICISTA</v>
          </cell>
          <cell r="B1297" t="str">
            <v>64110</v>
          </cell>
          <cell r="C1297" t="str">
            <v>E</v>
          </cell>
          <cell r="D1297" t="str">
            <v>AD</v>
          </cell>
          <cell r="E1297" t="str">
            <v>01</v>
          </cell>
        </row>
        <row r="1298">
          <cell r="A1298" t="str">
            <v>INSPECTOR GENERAL DE HACIENDA I</v>
          </cell>
          <cell r="B1298" t="str">
            <v>21361</v>
          </cell>
          <cell r="C1298" t="str">
            <v>E</v>
          </cell>
          <cell r="D1298" t="str">
            <v>UT</v>
          </cell>
          <cell r="E1298" t="str">
            <v>21</v>
          </cell>
        </row>
        <row r="1299">
          <cell r="A1299" t="str">
            <v>INSPECTOR GENERAL DE HACIENDA II</v>
          </cell>
          <cell r="B1299" t="str">
            <v>21362</v>
          </cell>
          <cell r="C1299" t="str">
            <v>E</v>
          </cell>
          <cell r="D1299" t="str">
            <v>UT</v>
          </cell>
          <cell r="E1299" t="str">
            <v>23</v>
          </cell>
        </row>
        <row r="1300">
          <cell r="A1300" t="str">
            <v>INSPECTOR GENERAL DE HACIENDA III</v>
          </cell>
          <cell r="B1300" t="str">
            <v>21363</v>
          </cell>
          <cell r="C1300" t="str">
            <v>E</v>
          </cell>
          <cell r="D1300" t="str">
            <v>UT</v>
          </cell>
          <cell r="E1300" t="str">
            <v>25</v>
          </cell>
        </row>
        <row r="1301">
          <cell r="A1301" t="str">
            <v>INSPECTOR GENERAL DE HACIENDA IV</v>
          </cell>
          <cell r="B1301" t="str">
            <v>21364</v>
          </cell>
          <cell r="C1301" t="str">
            <v>E</v>
          </cell>
          <cell r="D1301" t="str">
            <v>UT</v>
          </cell>
          <cell r="E1301" t="str">
            <v>26</v>
          </cell>
        </row>
        <row r="1302">
          <cell r="A1302" t="str">
            <v>INSPECTOR IDENTIFICACION Y EXTRANJERIA</v>
          </cell>
          <cell r="B1302" t="str">
            <v>86130</v>
          </cell>
          <cell r="C1302" t="str">
            <v>E</v>
          </cell>
          <cell r="D1302" t="str">
            <v>UT</v>
          </cell>
          <cell r="E1302" t="str">
            <v>18</v>
          </cell>
        </row>
        <row r="1303">
          <cell r="A1303" t="str">
            <v>INSPECTOR JEFE</v>
          </cell>
          <cell r="B1303" t="str">
            <v>62263</v>
          </cell>
          <cell r="C1303" t="str">
            <v>E</v>
          </cell>
          <cell r="D1303" t="str">
            <v>PO</v>
          </cell>
          <cell r="E1303" t="str">
            <v>19</v>
          </cell>
        </row>
        <row r="1304">
          <cell r="A1304" t="str">
            <v>INSPECTOR TURISTICO I</v>
          </cell>
          <cell r="B1304" t="str">
            <v>31561</v>
          </cell>
          <cell r="C1304" t="str">
            <v>E</v>
          </cell>
          <cell r="D1304" t="str">
            <v>AD</v>
          </cell>
          <cell r="E1304" t="str">
            <v>01</v>
          </cell>
        </row>
        <row r="1305">
          <cell r="A1305" t="str">
            <v>INSPECTOR TURISTICO II</v>
          </cell>
          <cell r="B1305" t="str">
            <v>31562</v>
          </cell>
          <cell r="C1305" t="str">
            <v>E</v>
          </cell>
          <cell r="D1305" t="str">
            <v>UT</v>
          </cell>
          <cell r="E1305" t="str">
            <v>15</v>
          </cell>
        </row>
        <row r="1306">
          <cell r="A1306" t="str">
            <v>INSPECTOR TURISTICO III</v>
          </cell>
          <cell r="B1306" t="str">
            <v>31563</v>
          </cell>
          <cell r="C1306" t="str">
            <v>E</v>
          </cell>
          <cell r="D1306" t="str">
            <v>UT</v>
          </cell>
          <cell r="E1306" t="str">
            <v>16</v>
          </cell>
        </row>
        <row r="1307">
          <cell r="A1307" t="str">
            <v>INSPECTOR TURISTICO IV</v>
          </cell>
          <cell r="B1307" t="str">
            <v>31564</v>
          </cell>
          <cell r="C1307" t="str">
            <v>E</v>
          </cell>
          <cell r="D1307" t="str">
            <v>UT</v>
          </cell>
          <cell r="E1307" t="str">
            <v>18</v>
          </cell>
        </row>
        <row r="1308">
          <cell r="A1308" t="str">
            <v>INSPECTOR TURISTICO JEFE I</v>
          </cell>
          <cell r="B1308" t="str">
            <v>31571</v>
          </cell>
          <cell r="C1308" t="str">
            <v>E</v>
          </cell>
          <cell r="D1308" t="str">
            <v>UT</v>
          </cell>
          <cell r="E1308" t="str">
            <v>20</v>
          </cell>
        </row>
        <row r="1309">
          <cell r="A1309" t="str">
            <v>INSPECTOR TURISTICO JEFE II</v>
          </cell>
          <cell r="B1309" t="str">
            <v>31572</v>
          </cell>
          <cell r="C1309" t="str">
            <v>E</v>
          </cell>
          <cell r="D1309" t="str">
            <v>UT</v>
          </cell>
          <cell r="E1309" t="str">
            <v>22</v>
          </cell>
        </row>
        <row r="1310">
          <cell r="A1310" t="str">
            <v>INST. ARTES MANUALES N.G.</v>
          </cell>
          <cell r="B1310" t="str">
            <v>02063</v>
          </cell>
          <cell r="C1310" t="str">
            <v>E</v>
          </cell>
          <cell r="D1310" t="str">
            <v>DO</v>
          </cell>
          <cell r="E1310" t="str">
            <v/>
          </cell>
        </row>
        <row r="1311">
          <cell r="A1311" t="str">
            <v>INST. B. Y DANZAS 77 III</v>
          </cell>
          <cell r="B1311" t="str">
            <v>02068</v>
          </cell>
          <cell r="C1311" t="str">
            <v>E</v>
          </cell>
          <cell r="D1311" t="str">
            <v>DO</v>
          </cell>
          <cell r="E1311" t="str">
            <v/>
          </cell>
        </row>
        <row r="1312">
          <cell r="A1312" t="str">
            <v>INST. CORTE Y CONF. 77 III</v>
          </cell>
          <cell r="B1312" t="str">
            <v>02062</v>
          </cell>
          <cell r="C1312" t="str">
            <v>E</v>
          </cell>
          <cell r="D1312" t="str">
            <v>DO</v>
          </cell>
          <cell r="E1312" t="str">
            <v/>
          </cell>
        </row>
        <row r="1313">
          <cell r="A1313" t="str">
            <v>INST. MUSICAL 77 IV</v>
          </cell>
          <cell r="B1313" t="str">
            <v>02072</v>
          </cell>
          <cell r="C1313" t="str">
            <v>E</v>
          </cell>
          <cell r="D1313" t="str">
            <v>DO</v>
          </cell>
          <cell r="E1313" t="str">
            <v/>
          </cell>
        </row>
        <row r="1314">
          <cell r="A1314" t="str">
            <v>INST. MUSICAL N.G.</v>
          </cell>
          <cell r="B1314" t="str">
            <v>02005</v>
          </cell>
          <cell r="C1314" t="str">
            <v>E</v>
          </cell>
          <cell r="D1314" t="str">
            <v>DO</v>
          </cell>
          <cell r="E1314" t="str">
            <v/>
          </cell>
        </row>
        <row r="1315">
          <cell r="A1315" t="str">
            <v>INST. TEATRO Y TITERES N.G.</v>
          </cell>
          <cell r="B1315" t="str">
            <v>02067</v>
          </cell>
          <cell r="C1315" t="str">
            <v>E</v>
          </cell>
          <cell r="D1315" t="str">
            <v>DO</v>
          </cell>
          <cell r="E1315" t="str">
            <v/>
          </cell>
        </row>
        <row r="1316">
          <cell r="A1316" t="str">
            <v>INST.BALLET Y DANZAS N.G.</v>
          </cell>
          <cell r="B1316" t="str">
            <v>02007</v>
          </cell>
          <cell r="C1316" t="str">
            <v>E</v>
          </cell>
          <cell r="D1316" t="str">
            <v>DO</v>
          </cell>
          <cell r="E1316" t="str">
            <v/>
          </cell>
        </row>
        <row r="1317">
          <cell r="A1317" t="str">
            <v>INST.BORDADO A MAQUINA N.G.</v>
          </cell>
          <cell r="B1317" t="str">
            <v>02029</v>
          </cell>
          <cell r="C1317" t="str">
            <v>E</v>
          </cell>
          <cell r="D1317" t="str">
            <v>DO</v>
          </cell>
          <cell r="E1317" t="str">
            <v/>
          </cell>
        </row>
        <row r="1318">
          <cell r="A1318" t="str">
            <v>INST.CERAMICA Y ESC. N.G.</v>
          </cell>
          <cell r="B1318" t="str">
            <v>02017</v>
          </cell>
          <cell r="C1318" t="str">
            <v>E</v>
          </cell>
          <cell r="D1318" t="str">
            <v>DO</v>
          </cell>
          <cell r="E1318" t="str">
            <v/>
          </cell>
        </row>
        <row r="1319">
          <cell r="A1319" t="str">
            <v>INST.CORT.Y CONFECC. N.G.</v>
          </cell>
          <cell r="B1319" t="str">
            <v>02004</v>
          </cell>
          <cell r="C1319" t="str">
            <v>E</v>
          </cell>
          <cell r="D1319" t="str">
            <v>DO</v>
          </cell>
          <cell r="E1319" t="str">
            <v/>
          </cell>
        </row>
        <row r="1320">
          <cell r="A1320" t="str">
            <v>INST.CORTE Y CONF. 77 VI</v>
          </cell>
          <cell r="B1320" t="str">
            <v>02028</v>
          </cell>
          <cell r="C1320" t="str">
            <v>E</v>
          </cell>
          <cell r="D1320" t="str">
            <v>DO</v>
          </cell>
          <cell r="E1320" t="str">
            <v/>
          </cell>
        </row>
        <row r="1321">
          <cell r="A1321" t="str">
            <v>INST.DANZAS FOLKLORICAS N.G.</v>
          </cell>
          <cell r="B1321" t="str">
            <v>02026</v>
          </cell>
          <cell r="C1321" t="str">
            <v>E</v>
          </cell>
          <cell r="D1321" t="str">
            <v>DO</v>
          </cell>
          <cell r="E1321" t="str">
            <v/>
          </cell>
        </row>
        <row r="1322">
          <cell r="A1322" t="str">
            <v>INST.DANZAS III N.G.</v>
          </cell>
          <cell r="B1322" t="str">
            <v>02008</v>
          </cell>
          <cell r="C1322" t="str">
            <v>E</v>
          </cell>
          <cell r="D1322" t="str">
            <v>DO</v>
          </cell>
          <cell r="E1322" t="str">
            <v/>
          </cell>
        </row>
        <row r="1323">
          <cell r="A1323" t="str">
            <v>INST.DE PELUQUERIA N.G.</v>
          </cell>
          <cell r="B1323" t="str">
            <v>02030</v>
          </cell>
          <cell r="C1323" t="str">
            <v>E</v>
          </cell>
          <cell r="D1323" t="str">
            <v>DO</v>
          </cell>
          <cell r="E1323" t="str">
            <v/>
          </cell>
        </row>
        <row r="1324">
          <cell r="A1324" t="str">
            <v>INST.DIBUJO INFANTIL N.G.</v>
          </cell>
          <cell r="B1324" t="str">
            <v>02011</v>
          </cell>
          <cell r="C1324" t="str">
            <v>E</v>
          </cell>
          <cell r="D1324" t="str">
            <v>DO</v>
          </cell>
          <cell r="E1324" t="str">
            <v/>
          </cell>
        </row>
        <row r="1325">
          <cell r="A1325" t="str">
            <v>INST.MANUALIDADES N.G.</v>
          </cell>
          <cell r="B1325" t="str">
            <v>02040</v>
          </cell>
          <cell r="C1325" t="str">
            <v>E</v>
          </cell>
          <cell r="D1325" t="str">
            <v>DO</v>
          </cell>
          <cell r="E1325" t="str">
            <v/>
          </cell>
        </row>
        <row r="1326">
          <cell r="A1326" t="str">
            <v>INST.PINTURA 77 III</v>
          </cell>
          <cell r="B1326" t="str">
            <v>02010</v>
          </cell>
          <cell r="C1326" t="str">
            <v>E</v>
          </cell>
          <cell r="D1326" t="str">
            <v>DO</v>
          </cell>
          <cell r="E1326" t="str">
            <v/>
          </cell>
        </row>
        <row r="1327">
          <cell r="A1327" t="str">
            <v>INST.PINTURA Y D. N.G.</v>
          </cell>
          <cell r="B1327" t="str">
            <v>02022</v>
          </cell>
          <cell r="C1327" t="str">
            <v>E</v>
          </cell>
          <cell r="D1327" t="str">
            <v>DO</v>
          </cell>
          <cell r="E1327" t="str">
            <v/>
          </cell>
        </row>
        <row r="1328">
          <cell r="A1328" t="str">
            <v>INST.PINTURA Y DIB. VI 139</v>
          </cell>
          <cell r="B1328" t="str">
            <v>02012</v>
          </cell>
          <cell r="C1328" t="str">
            <v>E</v>
          </cell>
          <cell r="D1328" t="str">
            <v>DO</v>
          </cell>
          <cell r="E1328" t="str">
            <v/>
          </cell>
        </row>
        <row r="1329">
          <cell r="A1329" t="str">
            <v>INST.REPOSTERIA C. N.G.</v>
          </cell>
          <cell r="B1329" t="str">
            <v>02009</v>
          </cell>
          <cell r="C1329" t="str">
            <v>E</v>
          </cell>
          <cell r="D1329" t="str">
            <v>DO</v>
          </cell>
          <cell r="E1329" t="str">
            <v/>
          </cell>
        </row>
        <row r="1330">
          <cell r="A1330" t="str">
            <v>INST.TEATRO-TITERES 139 III</v>
          </cell>
          <cell r="B1330" t="str">
            <v>02019</v>
          </cell>
          <cell r="C1330" t="str">
            <v>E</v>
          </cell>
          <cell r="D1330" t="str">
            <v>DO</v>
          </cell>
          <cell r="E1330" t="str">
            <v/>
          </cell>
        </row>
        <row r="1331">
          <cell r="A1331" t="str">
            <v>INST.TEJIDO E HILADO 77 IV</v>
          </cell>
          <cell r="B1331" t="str">
            <v>02021</v>
          </cell>
          <cell r="C1331" t="str">
            <v>E</v>
          </cell>
          <cell r="D1331" t="str">
            <v>DO</v>
          </cell>
          <cell r="E1331" t="str">
            <v/>
          </cell>
        </row>
        <row r="1332">
          <cell r="A1332" t="str">
            <v>INSTRC. DE ALFABETIZACION Y EDUC. BASICA</v>
          </cell>
          <cell r="B1332" t="str">
            <v>16410</v>
          </cell>
          <cell r="C1332" t="str">
            <v>E</v>
          </cell>
          <cell r="D1332" t="str">
            <v>AD</v>
          </cell>
          <cell r="E1332" t="str">
            <v>03</v>
          </cell>
        </row>
        <row r="1333">
          <cell r="A1333" t="str">
            <v>INSTRC. FORMACION PROF. EN EL AREA COMER</v>
          </cell>
          <cell r="B1333" t="str">
            <v>17340</v>
          </cell>
          <cell r="C1333" t="str">
            <v>E</v>
          </cell>
          <cell r="D1333" t="str">
            <v>UT</v>
          </cell>
          <cell r="E1333" t="str">
            <v>18</v>
          </cell>
        </row>
        <row r="1334">
          <cell r="A1334" t="str">
            <v>INSTRUC FORMACION PROF, ART,Y SERV.</v>
          </cell>
          <cell r="B1334" t="str">
            <v>17320</v>
          </cell>
          <cell r="C1334" t="str">
            <v>E</v>
          </cell>
          <cell r="D1334" t="str">
            <v>AD</v>
          </cell>
          <cell r="E1334" t="str">
            <v>07</v>
          </cell>
        </row>
        <row r="1335">
          <cell r="A1335" t="str">
            <v>INSTRUCTOR</v>
          </cell>
          <cell r="B1335" t="str">
            <v>02006</v>
          </cell>
          <cell r="C1335" t="str">
            <v>E</v>
          </cell>
          <cell r="D1335" t="str">
            <v>DO</v>
          </cell>
          <cell r="E1335" t="str">
            <v/>
          </cell>
        </row>
        <row r="1336">
          <cell r="A1336" t="str">
            <v>INSTRUCTOR AGROPECUARIO I</v>
          </cell>
          <cell r="B1336" t="str">
            <v>41411</v>
          </cell>
          <cell r="C1336" t="str">
            <v>E</v>
          </cell>
          <cell r="D1336" t="str">
            <v>AD</v>
          </cell>
          <cell r="E1336" t="str">
            <v>02</v>
          </cell>
        </row>
        <row r="1337">
          <cell r="A1337" t="str">
            <v>INSTRUCTOR AGROPECUARIO III</v>
          </cell>
          <cell r="B1337" t="str">
            <v>41413</v>
          </cell>
          <cell r="C1337" t="str">
            <v>E</v>
          </cell>
          <cell r="D1337" t="str">
            <v>UT</v>
          </cell>
          <cell r="E1337" t="str">
            <v>15</v>
          </cell>
        </row>
        <row r="1338">
          <cell r="A1338" t="str">
            <v>INSTRUCTOR AGROPECUARIO JEFE I</v>
          </cell>
          <cell r="B1338" t="str">
            <v>41421</v>
          </cell>
          <cell r="C1338" t="str">
            <v>E</v>
          </cell>
          <cell r="D1338" t="str">
            <v>UT</v>
          </cell>
          <cell r="E1338" t="str">
            <v>16</v>
          </cell>
        </row>
        <row r="1339">
          <cell r="A1339" t="str">
            <v>INSTRUCTOR AGROPECURIO JEFE II</v>
          </cell>
          <cell r="B1339" t="str">
            <v>41422</v>
          </cell>
          <cell r="C1339" t="str">
            <v>E</v>
          </cell>
          <cell r="D1339" t="str">
            <v>UT</v>
          </cell>
          <cell r="E1339" t="str">
            <v>18</v>
          </cell>
        </row>
        <row r="1340">
          <cell r="A1340" t="str">
            <v>INSTRUCTOR DE ENFERMERIA</v>
          </cell>
          <cell r="B1340" t="str">
            <v>71370</v>
          </cell>
          <cell r="C1340" t="str">
            <v>E</v>
          </cell>
          <cell r="D1340" t="str">
            <v>UT</v>
          </cell>
          <cell r="E1340" t="str">
            <v>17</v>
          </cell>
        </row>
        <row r="1341">
          <cell r="A1341" t="str">
            <v>INSTRUCTOR DE ERONAUTICA CIVIL</v>
          </cell>
          <cell r="B1341" t="str">
            <v>54110</v>
          </cell>
          <cell r="C1341" t="str">
            <v>E</v>
          </cell>
          <cell r="D1341" t="str">
            <v>AD</v>
          </cell>
          <cell r="E1341" t="str">
            <v>09</v>
          </cell>
        </row>
        <row r="1342">
          <cell r="A1342" t="str">
            <v>INSTRUCTOR DE FORM. PROFESIONAL EN EL AREA DE OFICINA</v>
          </cell>
          <cell r="B1342" t="str">
            <v>17330</v>
          </cell>
          <cell r="C1342" t="str">
            <v>E</v>
          </cell>
          <cell r="D1342" t="str">
            <v>UT</v>
          </cell>
          <cell r="E1342" t="str">
            <v>18</v>
          </cell>
        </row>
        <row r="1343">
          <cell r="A1343" t="str">
            <v>INSTRUCTOR DE FORMACION EMPRESARIA II</v>
          </cell>
          <cell r="B1343" t="str">
            <v>17212</v>
          </cell>
          <cell r="C1343" t="str">
            <v>E</v>
          </cell>
          <cell r="D1343" t="str">
            <v>AD</v>
          </cell>
          <cell r="E1343" t="str">
            <v>07</v>
          </cell>
        </row>
        <row r="1344">
          <cell r="A1344" t="str">
            <v>INSTRUCTOR DE FORMACION EMPRESARIAL</v>
          </cell>
          <cell r="B1344" t="str">
            <v>17211</v>
          </cell>
          <cell r="C1344" t="str">
            <v>E</v>
          </cell>
          <cell r="D1344" t="str">
            <v>AD</v>
          </cell>
          <cell r="E1344" t="str">
            <v>06</v>
          </cell>
        </row>
        <row r="1345">
          <cell r="A1345" t="str">
            <v>INSTRUCTOR DE FORMACION EMPRESARIAL III</v>
          </cell>
          <cell r="B1345" t="str">
            <v>17213</v>
          </cell>
          <cell r="C1345" t="str">
            <v>E</v>
          </cell>
          <cell r="D1345" t="str">
            <v>AD</v>
          </cell>
          <cell r="E1345" t="str">
            <v>08</v>
          </cell>
        </row>
        <row r="1346">
          <cell r="A1346" t="str">
            <v>INSTRUCTOR DE MANUALIDADES TCVD</v>
          </cell>
          <cell r="B1346" t="str">
            <v>00728</v>
          </cell>
          <cell r="C1346" t="str">
            <v>E</v>
          </cell>
          <cell r="D1346" t="str">
            <v>DO</v>
          </cell>
          <cell r="E1346" t="str">
            <v/>
          </cell>
        </row>
        <row r="1347">
          <cell r="A1347" t="str">
            <v>INSTRUCTOR DE PRE-ESCOLAR</v>
          </cell>
          <cell r="B1347" t="str">
            <v>17920</v>
          </cell>
          <cell r="C1347" t="str">
            <v>E</v>
          </cell>
          <cell r="D1347" t="str">
            <v>UT</v>
          </cell>
          <cell r="E1347" t="str">
            <v>15</v>
          </cell>
        </row>
        <row r="1348">
          <cell r="A1348" t="str">
            <v>INSTRUCTOR DE TECNICAS NAUTICAS</v>
          </cell>
          <cell r="B1348" t="str">
            <v>54210</v>
          </cell>
          <cell r="C1348" t="str">
            <v>E</v>
          </cell>
          <cell r="D1348" t="str">
            <v>UT</v>
          </cell>
          <cell r="E1348" t="str">
            <v>17</v>
          </cell>
        </row>
        <row r="1349">
          <cell r="A1349" t="str">
            <v>INSTRUCTOR DE TECNICAS NAUTICAS JEFE</v>
          </cell>
          <cell r="B1349" t="str">
            <v>54220</v>
          </cell>
          <cell r="C1349" t="str">
            <v>E</v>
          </cell>
          <cell r="D1349" t="str">
            <v>UT</v>
          </cell>
          <cell r="E1349" t="str">
            <v>19</v>
          </cell>
        </row>
        <row r="1350">
          <cell r="A1350" t="str">
            <v>INSTRUCTOR ECONOMIA DOMESTICA</v>
          </cell>
          <cell r="B1350" t="str">
            <v>00616</v>
          </cell>
          <cell r="C1350" t="str">
            <v>E</v>
          </cell>
          <cell r="D1350" t="str">
            <v>DO</v>
          </cell>
          <cell r="E1350" t="str">
            <v/>
          </cell>
        </row>
        <row r="1351">
          <cell r="A1351" t="str">
            <v>INSTRUCTOR I</v>
          </cell>
          <cell r="B1351" t="str">
            <v>01535</v>
          </cell>
          <cell r="C1351" t="str">
            <v>E</v>
          </cell>
          <cell r="D1351" t="str">
            <v>DO</v>
          </cell>
          <cell r="E1351" t="str">
            <v/>
          </cell>
        </row>
        <row r="1352">
          <cell r="A1352" t="str">
            <v>INSTRUCTOR I   139</v>
          </cell>
          <cell r="B1352" t="str">
            <v>01371</v>
          </cell>
          <cell r="C1352" t="str">
            <v>E</v>
          </cell>
          <cell r="D1352" t="str">
            <v>DO</v>
          </cell>
          <cell r="E1352" t="str">
            <v/>
          </cell>
        </row>
        <row r="1353">
          <cell r="A1353" t="str">
            <v>INSTRUCTOR I   77</v>
          </cell>
          <cell r="B1353" t="str">
            <v>01361</v>
          </cell>
          <cell r="C1353" t="str">
            <v>E</v>
          </cell>
          <cell r="D1353" t="str">
            <v>DO</v>
          </cell>
          <cell r="E1353" t="str">
            <v/>
          </cell>
        </row>
        <row r="1354">
          <cell r="A1354" t="str">
            <v>INSTRUCTOR I   N.G.</v>
          </cell>
          <cell r="B1354" t="str">
            <v>00011</v>
          </cell>
          <cell r="C1354" t="str">
            <v>E</v>
          </cell>
          <cell r="D1354" t="str">
            <v>DO</v>
          </cell>
          <cell r="E1354" t="str">
            <v/>
          </cell>
        </row>
        <row r="1355">
          <cell r="A1355" t="str">
            <v>INSTRUCTOR I (16 HORAS) / DIREC.  BAND (16 HORAS)</v>
          </cell>
          <cell r="B1355" t="str">
            <v>40202</v>
          </cell>
          <cell r="C1355" t="str">
            <v>E</v>
          </cell>
          <cell r="D1355" t="str">
            <v>DO</v>
          </cell>
          <cell r="E1355" t="str">
            <v/>
          </cell>
        </row>
        <row r="1356">
          <cell r="A1356" t="str">
            <v>INSTRUCTOR I (16HRS) Y DOC NG (33.33HRS.)</v>
          </cell>
          <cell r="B1356" t="str">
            <v>40146</v>
          </cell>
          <cell r="C1356" t="str">
            <v>E</v>
          </cell>
          <cell r="D1356" t="str">
            <v>DO</v>
          </cell>
          <cell r="E1356" t="str">
            <v/>
          </cell>
        </row>
        <row r="1357">
          <cell r="A1357" t="str">
            <v>INSTRUCTOR I Y III NG (16 H)</v>
          </cell>
          <cell r="B1357" t="str">
            <v>40178</v>
          </cell>
          <cell r="C1357" t="str">
            <v>E</v>
          </cell>
          <cell r="D1357" t="str">
            <v>DO</v>
          </cell>
          <cell r="E1357" t="str">
            <v/>
          </cell>
        </row>
        <row r="1358">
          <cell r="A1358" t="str">
            <v>INSTRUCTOR II  139</v>
          </cell>
          <cell r="B1358" t="str">
            <v>01372</v>
          </cell>
          <cell r="C1358" t="str">
            <v>E</v>
          </cell>
          <cell r="D1358" t="str">
            <v>DO</v>
          </cell>
          <cell r="E1358" t="str">
            <v/>
          </cell>
        </row>
        <row r="1359">
          <cell r="A1359" t="str">
            <v>INSTRUCTOR II  77</v>
          </cell>
          <cell r="B1359" t="str">
            <v>01362</v>
          </cell>
          <cell r="C1359" t="str">
            <v>E</v>
          </cell>
          <cell r="D1359" t="str">
            <v>DO</v>
          </cell>
          <cell r="E1359" t="str">
            <v/>
          </cell>
        </row>
        <row r="1360">
          <cell r="A1360" t="str">
            <v>INSTRUCTOR II  N.G.</v>
          </cell>
          <cell r="B1360" t="str">
            <v>00012</v>
          </cell>
          <cell r="C1360" t="str">
            <v>E</v>
          </cell>
          <cell r="D1360" t="str">
            <v>DO</v>
          </cell>
          <cell r="E1360" t="str">
            <v/>
          </cell>
        </row>
        <row r="1361">
          <cell r="A1361" t="str">
            <v>INSTRUCTOR III 139</v>
          </cell>
          <cell r="B1361" t="str">
            <v>01373</v>
          </cell>
          <cell r="C1361" t="str">
            <v>E</v>
          </cell>
          <cell r="D1361" t="str">
            <v>DO</v>
          </cell>
          <cell r="E1361" t="str">
            <v/>
          </cell>
        </row>
        <row r="1362">
          <cell r="A1362" t="str">
            <v>INSTRUCTOR III 77</v>
          </cell>
          <cell r="B1362" t="str">
            <v>01363</v>
          </cell>
          <cell r="C1362" t="str">
            <v>E</v>
          </cell>
          <cell r="D1362" t="str">
            <v>DO</v>
          </cell>
          <cell r="E1362" t="str">
            <v/>
          </cell>
        </row>
        <row r="1363">
          <cell r="A1363" t="str">
            <v>INSTRUCTOR III N.G.</v>
          </cell>
          <cell r="B1363" t="str">
            <v>00013</v>
          </cell>
          <cell r="C1363" t="str">
            <v>E</v>
          </cell>
          <cell r="D1363" t="str">
            <v>DO</v>
          </cell>
          <cell r="E1363" t="str">
            <v/>
          </cell>
        </row>
        <row r="1364">
          <cell r="A1364" t="str">
            <v>INSTRUCTOR III NG (33,33 HORAS) Y DOCENTE BASICO 16 TSE TCVD I (04 HR)</v>
          </cell>
          <cell r="B1364" t="str">
            <v>40147</v>
          </cell>
          <cell r="C1364" t="str">
            <v>E</v>
          </cell>
          <cell r="D1364" t="str">
            <v>DO</v>
          </cell>
          <cell r="E1364" t="str">
            <v/>
          </cell>
        </row>
        <row r="1365">
          <cell r="A1365" t="str">
            <v>INSTRUCTOR III NG (33,33 HORAS) Y ENTRENADOR DEPORTIVO (33,33 HORAS)</v>
          </cell>
          <cell r="B1365" t="str">
            <v>40148</v>
          </cell>
          <cell r="C1365" t="str">
            <v>E</v>
          </cell>
          <cell r="D1365" t="str">
            <v>DO</v>
          </cell>
          <cell r="E1365" t="str">
            <v/>
          </cell>
        </row>
        <row r="1366">
          <cell r="A1366" t="str">
            <v>INSTRUCTOR III NG (33,33) Y DOCENTE BASICA NG TCVNMA (16 HORAS)</v>
          </cell>
          <cell r="B1366" t="str">
            <v>40229</v>
          </cell>
          <cell r="C1366" t="str">
            <v>E</v>
          </cell>
          <cell r="D1366" t="str">
            <v>DO</v>
          </cell>
          <cell r="E1366" t="str">
            <v/>
          </cell>
        </row>
        <row r="1367">
          <cell r="A1367" t="str">
            <v>INSTRUCTOR INSTRUMENTAL DE VUELO</v>
          </cell>
          <cell r="B1367" t="str">
            <v>54140</v>
          </cell>
          <cell r="C1367" t="str">
            <v>E</v>
          </cell>
          <cell r="D1367" t="str">
            <v>AD</v>
          </cell>
          <cell r="E1367" t="str">
            <v>02</v>
          </cell>
        </row>
        <row r="1368">
          <cell r="A1368" t="str">
            <v>INSTRUCTOR IV  139</v>
          </cell>
          <cell r="B1368" t="str">
            <v>01374</v>
          </cell>
          <cell r="C1368" t="str">
            <v>E</v>
          </cell>
          <cell r="D1368" t="str">
            <v>DO</v>
          </cell>
          <cell r="E1368" t="str">
            <v/>
          </cell>
        </row>
        <row r="1369">
          <cell r="A1369" t="str">
            <v>INSTRUCTOR IV  77</v>
          </cell>
          <cell r="B1369" t="str">
            <v>01364</v>
          </cell>
          <cell r="C1369" t="str">
            <v>E</v>
          </cell>
          <cell r="D1369" t="str">
            <v>DO</v>
          </cell>
          <cell r="E1369" t="str">
            <v/>
          </cell>
        </row>
        <row r="1370">
          <cell r="A1370" t="str">
            <v>INSTRUCTOR MANUALIDADES I</v>
          </cell>
          <cell r="B1370" t="str">
            <v>02000</v>
          </cell>
          <cell r="C1370" t="str">
            <v>E</v>
          </cell>
          <cell r="D1370" t="str">
            <v>DO</v>
          </cell>
          <cell r="E1370" t="str">
            <v/>
          </cell>
        </row>
        <row r="1371">
          <cell r="A1371" t="str">
            <v>INSTRUCTOR MANUALIDADES II</v>
          </cell>
          <cell r="B1371" t="str">
            <v>02002</v>
          </cell>
          <cell r="C1371" t="str">
            <v>E</v>
          </cell>
          <cell r="D1371" t="str">
            <v>DO</v>
          </cell>
          <cell r="E1371" t="str">
            <v/>
          </cell>
        </row>
        <row r="1372">
          <cell r="A1372" t="str">
            <v>INSTRUCTOR MANUALIDADES III</v>
          </cell>
          <cell r="B1372" t="str">
            <v>02001</v>
          </cell>
          <cell r="C1372" t="str">
            <v>E</v>
          </cell>
          <cell r="D1372" t="str">
            <v>DO</v>
          </cell>
          <cell r="E1372" t="str">
            <v/>
          </cell>
        </row>
        <row r="1373">
          <cell r="A1373" t="str">
            <v>INSTRUCTOR MARROQUINERIA</v>
          </cell>
          <cell r="B1373" t="str">
            <v>00016</v>
          </cell>
          <cell r="C1373" t="str">
            <v>E</v>
          </cell>
          <cell r="D1373" t="str">
            <v>DO</v>
          </cell>
          <cell r="E1373" t="str">
            <v/>
          </cell>
        </row>
        <row r="1374">
          <cell r="A1374" t="str">
            <v>INSTRUCTOR MUSICAL</v>
          </cell>
          <cell r="B1374" t="str">
            <v>00712</v>
          </cell>
          <cell r="C1374" t="str">
            <v>E</v>
          </cell>
          <cell r="D1374" t="str">
            <v>DO</v>
          </cell>
          <cell r="E1374" t="str">
            <v/>
          </cell>
        </row>
        <row r="1375">
          <cell r="A1375" t="str">
            <v>INSTRUCTOR MUSICAL Y DOCENTE IV AULA</v>
          </cell>
          <cell r="B1375" t="str">
            <v>40149</v>
          </cell>
          <cell r="C1375" t="str">
            <v>E</v>
          </cell>
          <cell r="D1375" t="str">
            <v>DO</v>
          </cell>
          <cell r="E1375" t="str">
            <v/>
          </cell>
        </row>
        <row r="1376">
          <cell r="A1376" t="str">
            <v>INSTRUCTOR N.G TCVD</v>
          </cell>
          <cell r="B1376" t="str">
            <v>00014</v>
          </cell>
          <cell r="C1376" t="str">
            <v>E</v>
          </cell>
          <cell r="D1376" t="str">
            <v>DO</v>
          </cell>
          <cell r="E1376" t="str">
            <v/>
          </cell>
        </row>
        <row r="1377">
          <cell r="A1377" t="str">
            <v>INSTRUCTOR V   139</v>
          </cell>
          <cell r="B1377" t="str">
            <v>01375</v>
          </cell>
          <cell r="C1377" t="str">
            <v>E</v>
          </cell>
          <cell r="D1377" t="str">
            <v>DO</v>
          </cell>
          <cell r="E1377" t="str">
            <v/>
          </cell>
        </row>
        <row r="1378">
          <cell r="A1378" t="str">
            <v>INSTRUCTOR V   77</v>
          </cell>
          <cell r="B1378" t="str">
            <v>01365</v>
          </cell>
          <cell r="C1378" t="str">
            <v>E</v>
          </cell>
          <cell r="D1378" t="str">
            <v>DO</v>
          </cell>
          <cell r="E1378" t="str">
            <v/>
          </cell>
        </row>
        <row r="1379">
          <cell r="A1379" t="str">
            <v>INSTRUCTOR VI  139</v>
          </cell>
          <cell r="B1379" t="str">
            <v>01376</v>
          </cell>
          <cell r="C1379" t="str">
            <v>E</v>
          </cell>
          <cell r="D1379" t="str">
            <v>DO</v>
          </cell>
          <cell r="E1379" t="str">
            <v/>
          </cell>
        </row>
        <row r="1380">
          <cell r="A1380" t="str">
            <v>INSTRUCTOR VI  77</v>
          </cell>
          <cell r="B1380" t="str">
            <v>01366</v>
          </cell>
          <cell r="C1380" t="str">
            <v>E</v>
          </cell>
          <cell r="D1380" t="str">
            <v>DO</v>
          </cell>
          <cell r="E1380" t="str">
            <v/>
          </cell>
        </row>
        <row r="1381">
          <cell r="A1381" t="str">
            <v>INSTRUCTORA DE COCINA Y ARTE CULINARIA</v>
          </cell>
          <cell r="B1381" t="str">
            <v>40150</v>
          </cell>
          <cell r="C1381" t="str">
            <v>E</v>
          </cell>
          <cell r="D1381" t="str">
            <v>DO</v>
          </cell>
          <cell r="E1381" t="str">
            <v/>
          </cell>
        </row>
        <row r="1382">
          <cell r="A1382" t="str">
            <v>INSTRUCTORA III NG (16 HORAS) Y DOCENTE BASICA NG 1-6 TCVNM (33,33 HORAS)</v>
          </cell>
          <cell r="B1382" t="str">
            <v>40151</v>
          </cell>
          <cell r="C1382" t="str">
            <v>E</v>
          </cell>
          <cell r="D1382" t="str">
            <v>DO</v>
          </cell>
          <cell r="E1382" t="str">
            <v/>
          </cell>
        </row>
        <row r="1383">
          <cell r="A1383" t="str">
            <v>INSTRUMENTO I</v>
          </cell>
          <cell r="B1383" t="str">
            <v>03753</v>
          </cell>
          <cell r="C1383" t="str">
            <v>E</v>
          </cell>
          <cell r="D1383" t="str">
            <v>DO</v>
          </cell>
          <cell r="E1383" t="str">
            <v>06</v>
          </cell>
        </row>
        <row r="1384">
          <cell r="A1384" t="str">
            <v>INSTRUMENTO II</v>
          </cell>
          <cell r="B1384" t="str">
            <v>03752</v>
          </cell>
          <cell r="C1384" t="str">
            <v>E</v>
          </cell>
          <cell r="D1384" t="str">
            <v>DO</v>
          </cell>
          <cell r="E1384" t="str">
            <v>04</v>
          </cell>
        </row>
        <row r="1385">
          <cell r="A1385" t="str">
            <v>INSTRUMENTO III</v>
          </cell>
          <cell r="B1385" t="str">
            <v>03751</v>
          </cell>
          <cell r="C1385" t="str">
            <v>E</v>
          </cell>
          <cell r="D1385" t="str">
            <v>DO</v>
          </cell>
          <cell r="E1385" t="str">
            <v>02</v>
          </cell>
        </row>
        <row r="1386">
          <cell r="A1386" t="str">
            <v>INSTURCTOR AGROPECUARIO II</v>
          </cell>
          <cell r="B1386" t="str">
            <v>41412</v>
          </cell>
          <cell r="C1386" t="str">
            <v>E</v>
          </cell>
          <cell r="D1386" t="str">
            <v>AD</v>
          </cell>
          <cell r="E1386" t="str">
            <v>03</v>
          </cell>
        </row>
        <row r="1387">
          <cell r="A1387" t="str">
            <v>INTENDENTE DE HOSPITAL I</v>
          </cell>
          <cell r="B1387" t="str">
            <v>03750</v>
          </cell>
          <cell r="C1387" t="str">
            <v>E</v>
          </cell>
          <cell r="D1387" t="str">
            <v>AD</v>
          </cell>
          <cell r="E1387" t="str">
            <v>02</v>
          </cell>
        </row>
        <row r="1388">
          <cell r="A1388" t="str">
            <v>INTENDENTE DE HOSPITAL II</v>
          </cell>
          <cell r="B1388" t="str">
            <v>71212</v>
          </cell>
          <cell r="C1388" t="str">
            <v>E</v>
          </cell>
          <cell r="D1388" t="str">
            <v>UT</v>
          </cell>
          <cell r="E1388" t="str">
            <v>15</v>
          </cell>
        </row>
        <row r="1389">
          <cell r="A1389" t="str">
            <v>INTENDENTE DE HOSPITAL III</v>
          </cell>
          <cell r="B1389" t="str">
            <v>71213</v>
          </cell>
          <cell r="C1389" t="str">
            <v>E</v>
          </cell>
          <cell r="D1389" t="str">
            <v>UT</v>
          </cell>
          <cell r="E1389" t="str">
            <v>17</v>
          </cell>
        </row>
        <row r="1390">
          <cell r="A1390" t="str">
            <v>INTENDENTE DE HOSPITAL IV</v>
          </cell>
          <cell r="B1390" t="str">
            <v>71214</v>
          </cell>
          <cell r="C1390" t="str">
            <v>E</v>
          </cell>
          <cell r="D1390" t="str">
            <v>UT</v>
          </cell>
          <cell r="E1390" t="str">
            <v>19</v>
          </cell>
        </row>
        <row r="1391">
          <cell r="A1391" t="str">
            <v>INTENDENTE DE HOSPITAL V</v>
          </cell>
          <cell r="B1391" t="str">
            <v>71215</v>
          </cell>
          <cell r="C1391" t="str">
            <v>E</v>
          </cell>
          <cell r="D1391" t="str">
            <v>UT</v>
          </cell>
          <cell r="E1391" t="str">
            <v>21</v>
          </cell>
        </row>
        <row r="1392">
          <cell r="A1392" t="str">
            <v>INTERVENTOR DE ADUANAS II</v>
          </cell>
          <cell r="B1392" t="str">
            <v>53122</v>
          </cell>
          <cell r="C1392" t="str">
            <v>E</v>
          </cell>
          <cell r="D1392" t="str">
            <v>UT</v>
          </cell>
          <cell r="E1392" t="str">
            <v>17</v>
          </cell>
        </row>
        <row r="1393">
          <cell r="A1393" t="str">
            <v>INTERVENTOR DE ADUANAS III</v>
          </cell>
          <cell r="B1393" t="str">
            <v>53123</v>
          </cell>
          <cell r="C1393" t="str">
            <v>E</v>
          </cell>
          <cell r="D1393" t="str">
            <v>UT</v>
          </cell>
          <cell r="E1393" t="str">
            <v>18</v>
          </cell>
        </row>
        <row r="1394">
          <cell r="A1394" t="str">
            <v>INTERVENTOR DE ADUNAS I</v>
          </cell>
          <cell r="B1394" t="str">
            <v>53121</v>
          </cell>
          <cell r="C1394" t="str">
            <v>E</v>
          </cell>
          <cell r="D1394" t="str">
            <v>UT</v>
          </cell>
          <cell r="E1394" t="str">
            <v>16</v>
          </cell>
        </row>
        <row r="1395">
          <cell r="A1395" t="str">
            <v>INTRUCTOR DEPORTIVO</v>
          </cell>
          <cell r="B1395" t="str">
            <v>01536</v>
          </cell>
          <cell r="C1395" t="str">
            <v>E</v>
          </cell>
          <cell r="D1395" t="str">
            <v>DO</v>
          </cell>
          <cell r="E1395" t="str">
            <v/>
          </cell>
        </row>
        <row r="1396">
          <cell r="A1396" t="str">
            <v>INVESTIGADOR DE MUSEO I</v>
          </cell>
          <cell r="B1396" t="str">
            <v>37321</v>
          </cell>
          <cell r="C1396" t="str">
            <v>E</v>
          </cell>
          <cell r="D1396" t="str">
            <v>UT</v>
          </cell>
          <cell r="E1396" t="str">
            <v>17</v>
          </cell>
        </row>
        <row r="1397">
          <cell r="A1397" t="str">
            <v>INVESTIGADOR DE MUSEO II</v>
          </cell>
          <cell r="B1397" t="str">
            <v>37322</v>
          </cell>
          <cell r="C1397" t="str">
            <v>E</v>
          </cell>
          <cell r="D1397" t="str">
            <v>UT</v>
          </cell>
          <cell r="E1397" t="str">
            <v>19</v>
          </cell>
        </row>
        <row r="1398">
          <cell r="A1398" t="str">
            <v>INVESTIGADOR DE MUSEO III</v>
          </cell>
          <cell r="B1398" t="str">
            <v>37323</v>
          </cell>
          <cell r="C1398" t="str">
            <v>E</v>
          </cell>
          <cell r="D1398" t="str">
            <v>UT</v>
          </cell>
          <cell r="E1398" t="str">
            <v>20</v>
          </cell>
        </row>
        <row r="1399">
          <cell r="A1399" t="str">
            <v>INVESTIGADOR EN ADIESTRAMIENTO</v>
          </cell>
          <cell r="B1399" t="str">
            <v>41220</v>
          </cell>
          <cell r="C1399" t="str">
            <v>E</v>
          </cell>
          <cell r="D1399" t="str">
            <v>UT</v>
          </cell>
          <cell r="E1399" t="str">
            <v>19</v>
          </cell>
        </row>
        <row r="1400">
          <cell r="A1400" t="str">
            <v>INVESTIGADOR I</v>
          </cell>
          <cell r="B1400" t="str">
            <v>41221</v>
          </cell>
          <cell r="C1400" t="str">
            <v>E</v>
          </cell>
          <cell r="D1400" t="str">
            <v>UT</v>
          </cell>
          <cell r="E1400" t="str">
            <v>19</v>
          </cell>
        </row>
        <row r="1401">
          <cell r="A1401" t="str">
            <v>INVESTIGADOR II</v>
          </cell>
          <cell r="B1401" t="str">
            <v>41222</v>
          </cell>
          <cell r="C1401" t="str">
            <v>E</v>
          </cell>
          <cell r="D1401" t="str">
            <v>UT</v>
          </cell>
          <cell r="E1401" t="str">
            <v>20</v>
          </cell>
        </row>
        <row r="1402">
          <cell r="A1402" t="str">
            <v>INVESTIGADOR III</v>
          </cell>
          <cell r="B1402" t="str">
            <v>41223</v>
          </cell>
          <cell r="C1402" t="str">
            <v>E</v>
          </cell>
          <cell r="D1402" t="str">
            <v>UT</v>
          </cell>
          <cell r="E1402" t="str">
            <v>21</v>
          </cell>
        </row>
        <row r="1403">
          <cell r="A1403" t="str">
            <v>INVESTIGADOR IV</v>
          </cell>
          <cell r="B1403" t="str">
            <v>41224</v>
          </cell>
          <cell r="C1403" t="str">
            <v>E</v>
          </cell>
          <cell r="D1403" t="str">
            <v>UT</v>
          </cell>
          <cell r="E1403" t="str">
            <v>23</v>
          </cell>
        </row>
        <row r="1404">
          <cell r="A1404" t="str">
            <v>INVESTIGADOR JEFE</v>
          </cell>
          <cell r="B1404" t="str">
            <v>41230</v>
          </cell>
          <cell r="C1404" t="str">
            <v>E</v>
          </cell>
          <cell r="D1404" t="str">
            <v>UT</v>
          </cell>
          <cell r="E1404" t="str">
            <v>25</v>
          </cell>
        </row>
        <row r="1405">
          <cell r="A1405" t="str">
            <v>INVESTIGADOR SOCIAL I</v>
          </cell>
          <cell r="B1405" t="str">
            <v>36811</v>
          </cell>
          <cell r="C1405" t="str">
            <v>E</v>
          </cell>
          <cell r="D1405" t="str">
            <v>UT</v>
          </cell>
          <cell r="E1405" t="str">
            <v>17</v>
          </cell>
        </row>
        <row r="1406">
          <cell r="A1406" t="str">
            <v>INVESTIGADOR SOCIAL II</v>
          </cell>
          <cell r="B1406" t="str">
            <v>36812</v>
          </cell>
          <cell r="C1406" t="str">
            <v>E</v>
          </cell>
          <cell r="D1406" t="str">
            <v>UT</v>
          </cell>
          <cell r="E1406" t="str">
            <v>19</v>
          </cell>
        </row>
        <row r="1407">
          <cell r="A1407" t="str">
            <v>INVESTIGADOR SOCIAL III</v>
          </cell>
          <cell r="B1407" t="str">
            <v>36813</v>
          </cell>
          <cell r="C1407" t="str">
            <v>E</v>
          </cell>
          <cell r="D1407" t="str">
            <v>UT</v>
          </cell>
          <cell r="E1407" t="str">
            <v>21</v>
          </cell>
        </row>
        <row r="1408">
          <cell r="A1408" t="str">
            <v>INVESTIGADOR SOCIAL JEFE</v>
          </cell>
          <cell r="B1408" t="str">
            <v>36820</v>
          </cell>
          <cell r="C1408" t="str">
            <v>E</v>
          </cell>
          <cell r="D1408" t="str">
            <v>UT</v>
          </cell>
          <cell r="E1408" t="str">
            <v>23</v>
          </cell>
        </row>
        <row r="1409">
          <cell r="A1409" t="str">
            <v>INVESTIGADOR V</v>
          </cell>
          <cell r="B1409" t="str">
            <v>41225</v>
          </cell>
          <cell r="C1409" t="str">
            <v>E</v>
          </cell>
          <cell r="D1409" t="str">
            <v>UT</v>
          </cell>
          <cell r="E1409" t="str">
            <v>24</v>
          </cell>
        </row>
        <row r="1410">
          <cell r="A1410" t="str">
            <v>JEE DE SERVICIOS PORTUARIOS I</v>
          </cell>
          <cell r="B1410" t="str">
            <v>53221</v>
          </cell>
          <cell r="C1410" t="str">
            <v>E</v>
          </cell>
          <cell r="D1410" t="str">
            <v>AD</v>
          </cell>
          <cell r="E1410" t="str">
            <v>03</v>
          </cell>
        </row>
        <row r="1411">
          <cell r="A1411" t="str">
            <v>JEFE CAPITAN DE PUERTO</v>
          </cell>
          <cell r="B1411" t="str">
            <v>52295</v>
          </cell>
          <cell r="C1411" t="str">
            <v>E</v>
          </cell>
          <cell r="D1411" t="str">
            <v>UT</v>
          </cell>
          <cell r="E1411" t="str">
            <v>25</v>
          </cell>
        </row>
        <row r="1412">
          <cell r="A1412" t="str">
            <v>JEFE CENTRO ATENCION POR ABANDONO</v>
          </cell>
          <cell r="B1412" t="str">
            <v>79532</v>
          </cell>
          <cell r="C1412" t="str">
            <v>E</v>
          </cell>
          <cell r="D1412" t="str">
            <v>UT</v>
          </cell>
          <cell r="E1412" t="str">
            <v>23</v>
          </cell>
        </row>
        <row r="1413">
          <cell r="A1413" t="str">
            <v>JEFE CENTRO ATENCION POR TRATAMIENTO</v>
          </cell>
          <cell r="B1413" t="str">
            <v>79533</v>
          </cell>
          <cell r="C1413" t="str">
            <v>E</v>
          </cell>
          <cell r="D1413" t="str">
            <v>UT</v>
          </cell>
          <cell r="E1413" t="str">
            <v>25</v>
          </cell>
        </row>
        <row r="1414">
          <cell r="A1414" t="str">
            <v>JEFE CENTRO AUDIOVISUAL</v>
          </cell>
          <cell r="B1414" t="str">
            <v>34120</v>
          </cell>
          <cell r="C1414" t="str">
            <v>E</v>
          </cell>
          <cell r="D1414" t="str">
            <v>UT</v>
          </cell>
          <cell r="E1414" t="str">
            <v>17</v>
          </cell>
        </row>
        <row r="1415">
          <cell r="A1415" t="str">
            <v>JEFE CENTRO DE PREVENCION</v>
          </cell>
          <cell r="B1415" t="str">
            <v>79531</v>
          </cell>
          <cell r="C1415" t="str">
            <v>E</v>
          </cell>
          <cell r="D1415" t="str">
            <v>UT</v>
          </cell>
          <cell r="E1415" t="str">
            <v>21</v>
          </cell>
        </row>
        <row r="1416">
          <cell r="A1416" t="str">
            <v>JEFE CENTRO INDIGENISTA II</v>
          </cell>
          <cell r="B1416" t="str">
            <v>36432</v>
          </cell>
          <cell r="C1416" t="str">
            <v>E</v>
          </cell>
          <cell r="D1416" t="str">
            <v>UT</v>
          </cell>
          <cell r="E1416" t="str">
            <v>22</v>
          </cell>
        </row>
        <row r="1417">
          <cell r="A1417" t="str">
            <v>JEFE CENTRO INDIGENITA I</v>
          </cell>
          <cell r="B1417" t="str">
            <v>36431</v>
          </cell>
          <cell r="C1417" t="str">
            <v>E</v>
          </cell>
          <cell r="D1417" t="str">
            <v>UT</v>
          </cell>
          <cell r="E1417" t="str">
            <v>20</v>
          </cell>
        </row>
        <row r="1418">
          <cell r="A1418" t="str">
            <v>JEFE DE AEROPUERTO I</v>
          </cell>
          <cell r="B1418" t="str">
            <v>51331</v>
          </cell>
          <cell r="C1418" t="str">
            <v>E</v>
          </cell>
          <cell r="D1418" t="str">
            <v>UT</v>
          </cell>
          <cell r="E1418" t="str">
            <v>17</v>
          </cell>
        </row>
        <row r="1419">
          <cell r="A1419" t="str">
            <v>JEFE DE AEROPUERTO II</v>
          </cell>
          <cell r="B1419" t="str">
            <v>51332</v>
          </cell>
          <cell r="C1419" t="str">
            <v>E</v>
          </cell>
          <cell r="D1419" t="str">
            <v>UT</v>
          </cell>
          <cell r="E1419" t="str">
            <v>19</v>
          </cell>
        </row>
        <row r="1420">
          <cell r="A1420" t="str">
            <v>JEFE DE AEROPUERTO III</v>
          </cell>
          <cell r="B1420" t="str">
            <v>51333</v>
          </cell>
          <cell r="C1420" t="str">
            <v>E</v>
          </cell>
          <cell r="D1420" t="str">
            <v>UT</v>
          </cell>
          <cell r="E1420" t="str">
            <v>21</v>
          </cell>
        </row>
        <row r="1421">
          <cell r="A1421" t="str">
            <v>JEFE DE AEROPUERTO IV</v>
          </cell>
          <cell r="B1421" t="str">
            <v>51334</v>
          </cell>
          <cell r="C1421" t="str">
            <v>E</v>
          </cell>
          <cell r="D1421" t="str">
            <v>UT</v>
          </cell>
          <cell r="E1421" t="str">
            <v>23</v>
          </cell>
        </row>
        <row r="1422">
          <cell r="A1422" t="str">
            <v>JEFE DE AEROPUERTO V</v>
          </cell>
          <cell r="B1422" t="str">
            <v>51335</v>
          </cell>
          <cell r="C1422" t="str">
            <v>E</v>
          </cell>
          <cell r="D1422" t="str">
            <v>UT</v>
          </cell>
          <cell r="E1422" t="str">
            <v>24</v>
          </cell>
        </row>
        <row r="1423">
          <cell r="A1423" t="str">
            <v>JEFE DE ARTE Y FOLKLORE</v>
          </cell>
          <cell r="B1423" t="str">
            <v>71211</v>
          </cell>
          <cell r="C1423" t="str">
            <v>E</v>
          </cell>
          <cell r="D1423" t="str">
            <v>DO</v>
          </cell>
          <cell r="E1423" t="str">
            <v>03</v>
          </cell>
        </row>
        <row r="1424">
          <cell r="A1424" t="str">
            <v>JEFE DE CONTROL DE MAQUINAS</v>
          </cell>
          <cell r="B1424" t="str">
            <v>43320</v>
          </cell>
          <cell r="C1424" t="str">
            <v>E</v>
          </cell>
          <cell r="D1424" t="str">
            <v>UT</v>
          </cell>
          <cell r="E1424" t="str">
            <v>17</v>
          </cell>
        </row>
        <row r="1425">
          <cell r="A1425" t="str">
            <v>JEFE DE DEPARTAMENTO</v>
          </cell>
          <cell r="B1425" t="str">
            <v>00906</v>
          </cell>
          <cell r="C1425" t="str">
            <v>E</v>
          </cell>
          <cell r="D1425" t="str">
            <v>DI</v>
          </cell>
          <cell r="E1425" t="str">
            <v>99</v>
          </cell>
        </row>
        <row r="1426">
          <cell r="A1426" t="str">
            <v>JEFE DE DIVISION</v>
          </cell>
          <cell r="B1426" t="str">
            <v>00905</v>
          </cell>
          <cell r="C1426" t="str">
            <v>E</v>
          </cell>
          <cell r="D1426" t="str">
            <v>DI</v>
          </cell>
          <cell r="E1426" t="str">
            <v>99</v>
          </cell>
        </row>
        <row r="1427">
          <cell r="A1427" t="str">
            <v>JEFE DE DIVISION ADMINISTRATIVO</v>
          </cell>
          <cell r="B1427" t="str">
            <v>00919</v>
          </cell>
          <cell r="C1427" t="str">
            <v>E</v>
          </cell>
          <cell r="D1427" t="str">
            <v>DI</v>
          </cell>
          <cell r="E1427" t="str">
            <v>99</v>
          </cell>
        </row>
        <row r="1428">
          <cell r="A1428" t="str">
            <v>JEFE DE EJECUCION Y CONTROL DE PRESUPUES</v>
          </cell>
          <cell r="B1428" t="str">
            <v>00922</v>
          </cell>
          <cell r="C1428" t="str">
            <v>E</v>
          </cell>
          <cell r="D1428" t="str">
            <v>DI</v>
          </cell>
          <cell r="E1428" t="str">
            <v>99</v>
          </cell>
        </row>
        <row r="1429">
          <cell r="A1429" t="str">
            <v>JEFE DE INFORMATICA I</v>
          </cell>
          <cell r="B1429" t="str">
            <v>23461</v>
          </cell>
          <cell r="C1429" t="str">
            <v>E</v>
          </cell>
          <cell r="D1429" t="str">
            <v>UT</v>
          </cell>
          <cell r="E1429" t="str">
            <v>22</v>
          </cell>
        </row>
        <row r="1430">
          <cell r="A1430" t="str">
            <v>JEFE DE INFORMATICA II</v>
          </cell>
          <cell r="B1430" t="str">
            <v>23462</v>
          </cell>
          <cell r="C1430" t="str">
            <v>E</v>
          </cell>
          <cell r="D1430" t="str">
            <v>UT</v>
          </cell>
          <cell r="E1430" t="str">
            <v>24</v>
          </cell>
        </row>
        <row r="1431">
          <cell r="A1431" t="str">
            <v>JEFE DE INFORMATICA III</v>
          </cell>
          <cell r="B1431" t="str">
            <v>23463</v>
          </cell>
          <cell r="C1431" t="str">
            <v>E</v>
          </cell>
          <cell r="D1431" t="str">
            <v>UT</v>
          </cell>
          <cell r="E1431" t="str">
            <v>26</v>
          </cell>
        </row>
        <row r="1432">
          <cell r="A1432" t="str">
            <v>JEFE DE LABORATORIO DE AEROFOTOGRAFIA</v>
          </cell>
          <cell r="B1432" t="str">
            <v>45230</v>
          </cell>
          <cell r="C1432" t="str">
            <v>E</v>
          </cell>
          <cell r="D1432" t="str">
            <v>UT</v>
          </cell>
          <cell r="E1432" t="str">
            <v>21</v>
          </cell>
        </row>
        <row r="1433">
          <cell r="A1433" t="str">
            <v>JEFE DE MAQUINAS I</v>
          </cell>
          <cell r="B1433" t="str">
            <v>52321</v>
          </cell>
          <cell r="C1433" t="str">
            <v>E</v>
          </cell>
          <cell r="D1433" t="str">
            <v>UT</v>
          </cell>
          <cell r="E1433" t="str">
            <v>20</v>
          </cell>
        </row>
        <row r="1434">
          <cell r="A1434" t="str">
            <v>JEFE DE MAQUINAS II</v>
          </cell>
          <cell r="B1434" t="str">
            <v>52322</v>
          </cell>
          <cell r="C1434" t="str">
            <v>E</v>
          </cell>
          <cell r="D1434" t="str">
            <v>UT</v>
          </cell>
          <cell r="E1434" t="str">
            <v>21</v>
          </cell>
        </row>
        <row r="1435">
          <cell r="A1435" t="str">
            <v>JEFE DE OBREROS</v>
          </cell>
          <cell r="B1435" t="str">
            <v>00923</v>
          </cell>
          <cell r="C1435" t="str">
            <v>E</v>
          </cell>
          <cell r="D1435" t="str">
            <v>DI</v>
          </cell>
          <cell r="E1435" t="str">
            <v>99</v>
          </cell>
        </row>
        <row r="1436">
          <cell r="A1436" t="str">
            <v>JEFE DE OFICINA</v>
          </cell>
          <cell r="B1436" t="str">
            <v>00907</v>
          </cell>
          <cell r="C1436" t="str">
            <v>E</v>
          </cell>
          <cell r="D1436" t="str">
            <v>DI</v>
          </cell>
          <cell r="E1436" t="str">
            <v>99</v>
          </cell>
        </row>
        <row r="1437">
          <cell r="A1437" t="str">
            <v>JEFE DE PABELLON DE FERIAS</v>
          </cell>
          <cell r="B1437" t="str">
            <v>36780</v>
          </cell>
          <cell r="C1437" t="str">
            <v>E</v>
          </cell>
          <cell r="D1437" t="str">
            <v>UT</v>
          </cell>
          <cell r="E1437" t="str">
            <v>23</v>
          </cell>
        </row>
        <row r="1438">
          <cell r="A1438" t="str">
            <v>JEFE DE PRE-ESCOLAR</v>
          </cell>
          <cell r="B1438" t="str">
            <v>17930</v>
          </cell>
          <cell r="C1438" t="str">
            <v>E</v>
          </cell>
          <cell r="D1438" t="str">
            <v>UT</v>
          </cell>
          <cell r="E1438" t="str">
            <v>17</v>
          </cell>
        </row>
        <row r="1439">
          <cell r="A1439" t="str">
            <v>JEFE DE RELACIONES PUBLICAS I</v>
          </cell>
          <cell r="B1439" t="str">
            <v>31341</v>
          </cell>
          <cell r="C1439" t="str">
            <v>E</v>
          </cell>
          <cell r="D1439" t="str">
            <v>UT</v>
          </cell>
          <cell r="E1439" t="str">
            <v>17</v>
          </cell>
        </row>
        <row r="1440">
          <cell r="A1440" t="str">
            <v>JEFE DE RELACIONES PUBLICAS II</v>
          </cell>
          <cell r="B1440" t="str">
            <v>31342</v>
          </cell>
          <cell r="C1440" t="str">
            <v>E</v>
          </cell>
          <cell r="D1440" t="str">
            <v>UT</v>
          </cell>
          <cell r="E1440" t="str">
            <v>19</v>
          </cell>
        </row>
        <row r="1441">
          <cell r="A1441" t="str">
            <v>JEFE DE RELACIONES PUBLICAS III</v>
          </cell>
          <cell r="B1441" t="str">
            <v>31343</v>
          </cell>
          <cell r="C1441" t="str">
            <v>E</v>
          </cell>
          <cell r="D1441" t="str">
            <v>UT</v>
          </cell>
          <cell r="E1441" t="str">
            <v>21</v>
          </cell>
        </row>
        <row r="1442">
          <cell r="A1442" t="str">
            <v>JEFE DE SECCION</v>
          </cell>
          <cell r="B1442" t="str">
            <v>00910</v>
          </cell>
          <cell r="C1442" t="str">
            <v>E</v>
          </cell>
          <cell r="D1442" t="str">
            <v>DI</v>
          </cell>
          <cell r="E1442" t="str">
            <v>99</v>
          </cell>
        </row>
        <row r="1443">
          <cell r="A1443" t="str">
            <v>JEFE DE SERVICIOS PORTUARIOS II</v>
          </cell>
          <cell r="B1443" t="str">
            <v>53222</v>
          </cell>
          <cell r="C1443" t="str">
            <v>E</v>
          </cell>
          <cell r="D1443" t="str">
            <v>UT</v>
          </cell>
          <cell r="E1443" t="str">
            <v>16</v>
          </cell>
        </row>
        <row r="1444">
          <cell r="A1444" t="str">
            <v>JEFE DE SERVICIOS PORTUARIOS III</v>
          </cell>
          <cell r="B1444" t="str">
            <v>53223</v>
          </cell>
          <cell r="C1444" t="str">
            <v>E</v>
          </cell>
          <cell r="D1444" t="str">
            <v>UT</v>
          </cell>
          <cell r="E1444" t="str">
            <v>18</v>
          </cell>
        </row>
        <row r="1445">
          <cell r="A1445" t="str">
            <v>JEFE DE SERVICIOS PORTUARIOS IV</v>
          </cell>
          <cell r="B1445" t="str">
            <v>53224</v>
          </cell>
          <cell r="C1445" t="str">
            <v>E</v>
          </cell>
          <cell r="D1445" t="str">
            <v>UT</v>
          </cell>
          <cell r="E1445" t="str">
            <v>20</v>
          </cell>
        </row>
        <row r="1446">
          <cell r="A1446" t="str">
            <v>JEFE DE TRANSPORTE AUTOMOTOR I</v>
          </cell>
          <cell r="B1446" t="str">
            <v>52141</v>
          </cell>
          <cell r="C1446" t="str">
            <v>E</v>
          </cell>
          <cell r="D1446" t="str">
            <v>AD</v>
          </cell>
          <cell r="E1446" t="str">
            <v>01</v>
          </cell>
        </row>
        <row r="1447">
          <cell r="A1447" t="str">
            <v>JEFE DE TRANSPORTE AUTONOMOR III</v>
          </cell>
          <cell r="B1447" t="str">
            <v>52143</v>
          </cell>
          <cell r="C1447" t="str">
            <v>E</v>
          </cell>
          <cell r="D1447" t="str">
            <v>UT</v>
          </cell>
          <cell r="E1447" t="str">
            <v>17</v>
          </cell>
        </row>
        <row r="1448">
          <cell r="A1448" t="str">
            <v>JEFE DE TRASPORTE AUTOMOTOR II</v>
          </cell>
          <cell r="B1448" t="str">
            <v>52142</v>
          </cell>
          <cell r="C1448" t="str">
            <v>E</v>
          </cell>
          <cell r="D1448" t="str">
            <v>AD</v>
          </cell>
          <cell r="E1448" t="str">
            <v>03</v>
          </cell>
        </row>
        <row r="1449">
          <cell r="A1449" t="str">
            <v>JEFE DE UNIDAD</v>
          </cell>
          <cell r="B1449" t="str">
            <v>00950</v>
          </cell>
          <cell r="C1449" t="str">
            <v>E</v>
          </cell>
          <cell r="D1449" t="str">
            <v>DI</v>
          </cell>
          <cell r="E1449" t="str">
            <v>99</v>
          </cell>
        </row>
        <row r="1450">
          <cell r="A1450" t="str">
            <v>JEFE DE ZONA</v>
          </cell>
          <cell r="B1450" t="str">
            <v>00908</v>
          </cell>
          <cell r="C1450" t="str">
            <v>E</v>
          </cell>
          <cell r="D1450" t="str">
            <v>DI</v>
          </cell>
          <cell r="E1450" t="str">
            <v>99</v>
          </cell>
        </row>
        <row r="1451">
          <cell r="A1451" t="str">
            <v>JEFE DE ZONA DE SANEAMIENTO AMBIENTAL</v>
          </cell>
          <cell r="B1451" t="str">
            <v>76310</v>
          </cell>
          <cell r="C1451" t="str">
            <v>E</v>
          </cell>
          <cell r="D1451" t="str">
            <v>UT</v>
          </cell>
          <cell r="E1451" t="str">
            <v>23</v>
          </cell>
        </row>
        <row r="1452">
          <cell r="A1452" t="str">
            <v>JEFE ESTACION DE PILOTO</v>
          </cell>
          <cell r="B1452" t="str">
            <v>52260</v>
          </cell>
          <cell r="C1452" t="str">
            <v>E</v>
          </cell>
          <cell r="D1452" t="str">
            <v>UT</v>
          </cell>
          <cell r="E1452" t="str">
            <v>18</v>
          </cell>
        </row>
        <row r="1453">
          <cell r="A1453" t="str">
            <v>JEFE SECCION DE RENDICION DE CUENTAS</v>
          </cell>
          <cell r="B1453" t="str">
            <v>00928</v>
          </cell>
          <cell r="C1453" t="str">
            <v>E</v>
          </cell>
          <cell r="D1453" t="str">
            <v>DI</v>
          </cell>
          <cell r="E1453" t="str">
            <v>99</v>
          </cell>
        </row>
        <row r="1454">
          <cell r="A1454" t="str">
            <v>JEFE TECNICO AMDINISTRATIVO</v>
          </cell>
          <cell r="B1454" t="str">
            <v>12210</v>
          </cell>
          <cell r="C1454" t="str">
            <v>E</v>
          </cell>
          <cell r="D1454" t="str">
            <v>UT</v>
          </cell>
          <cell r="E1454" t="str">
            <v>22</v>
          </cell>
        </row>
        <row r="1455">
          <cell r="A1455" t="str">
            <v>LABORATORISTA CINEMATOGRAFICO</v>
          </cell>
          <cell r="B1455" t="str">
            <v>32230</v>
          </cell>
          <cell r="C1455" t="str">
            <v>E</v>
          </cell>
          <cell r="D1455" t="str">
            <v>AD</v>
          </cell>
          <cell r="E1455" t="str">
            <v>03</v>
          </cell>
        </row>
        <row r="1456">
          <cell r="A1456" t="str">
            <v>LABORATORISTA I</v>
          </cell>
          <cell r="B1456" t="str">
            <v>45121</v>
          </cell>
          <cell r="C1456" t="str">
            <v>E</v>
          </cell>
          <cell r="D1456" t="str">
            <v>AD</v>
          </cell>
          <cell r="E1456" t="str">
            <v>01</v>
          </cell>
        </row>
        <row r="1457">
          <cell r="A1457" t="str">
            <v>LABORATORISTA II</v>
          </cell>
          <cell r="B1457" t="str">
            <v>45122</v>
          </cell>
          <cell r="C1457" t="str">
            <v>E</v>
          </cell>
          <cell r="D1457" t="str">
            <v>AD</v>
          </cell>
          <cell r="E1457" t="str">
            <v>03</v>
          </cell>
        </row>
        <row r="1458">
          <cell r="A1458" t="str">
            <v>LABORATORISTA III</v>
          </cell>
          <cell r="B1458" t="str">
            <v>45123</v>
          </cell>
          <cell r="C1458" t="str">
            <v>E</v>
          </cell>
          <cell r="D1458" t="str">
            <v>UT</v>
          </cell>
          <cell r="E1458" t="str">
            <v>15</v>
          </cell>
        </row>
        <row r="1459">
          <cell r="A1459" t="str">
            <v>LCDO(A) EN GESTION AMBIENTAL</v>
          </cell>
          <cell r="B1459" t="str">
            <v>65000</v>
          </cell>
          <cell r="C1459" t="str">
            <v>E</v>
          </cell>
          <cell r="D1459" t="str">
            <v>UT</v>
          </cell>
          <cell r="E1459" t="str">
            <v>17</v>
          </cell>
        </row>
        <row r="1460">
          <cell r="A1460" t="str">
            <v>LCDO(A) EN GESTION SOCIAL</v>
          </cell>
          <cell r="B1460" t="str">
            <v>65002</v>
          </cell>
          <cell r="C1460" t="str">
            <v>E</v>
          </cell>
          <cell r="D1460" t="str">
            <v>UT</v>
          </cell>
          <cell r="E1460" t="str">
            <v>17</v>
          </cell>
        </row>
        <row r="1461">
          <cell r="A1461" t="str">
            <v>LENGUAJE MUSICAL</v>
          </cell>
          <cell r="B1461" t="str">
            <v>03627</v>
          </cell>
          <cell r="C1461" t="str">
            <v>E</v>
          </cell>
          <cell r="D1461" t="str">
            <v>AD</v>
          </cell>
          <cell r="E1461" t="str">
            <v>01</v>
          </cell>
        </row>
        <row r="1462">
          <cell r="A1462" t="str">
            <v>LIBRETISTA DE RADIO</v>
          </cell>
          <cell r="B1462" t="str">
            <v>32160</v>
          </cell>
          <cell r="C1462" t="str">
            <v>E</v>
          </cell>
          <cell r="D1462" t="str">
            <v>UT</v>
          </cell>
          <cell r="E1462" t="str">
            <v>15</v>
          </cell>
        </row>
        <row r="1463">
          <cell r="A1463" t="str">
            <v>LIQUIDADOR DE HIDROCARBUROS I</v>
          </cell>
          <cell r="B1463" t="str">
            <v>44131</v>
          </cell>
          <cell r="C1463" t="str">
            <v>E</v>
          </cell>
          <cell r="D1463" t="str">
            <v>AD</v>
          </cell>
          <cell r="E1463" t="str">
            <v>02</v>
          </cell>
        </row>
        <row r="1464">
          <cell r="A1464" t="str">
            <v>LIQUIDADOR DE HIDROCARBUROS II</v>
          </cell>
          <cell r="B1464" t="str">
            <v>44132</v>
          </cell>
          <cell r="C1464" t="str">
            <v>E</v>
          </cell>
          <cell r="D1464" t="str">
            <v>UT</v>
          </cell>
          <cell r="E1464" t="str">
            <v>15</v>
          </cell>
        </row>
        <row r="1465">
          <cell r="A1465" t="str">
            <v>LIQUIDADOR DE HIDROCARBUROS III</v>
          </cell>
          <cell r="B1465" t="str">
            <v>44133</v>
          </cell>
          <cell r="C1465" t="str">
            <v>E</v>
          </cell>
          <cell r="D1465" t="str">
            <v>UT</v>
          </cell>
          <cell r="E1465" t="str">
            <v>17</v>
          </cell>
        </row>
        <row r="1466">
          <cell r="A1466" t="str">
            <v>LIQUIDADOR DE HIDROCARBUROS JEFE</v>
          </cell>
          <cell r="B1466" t="str">
            <v>44140</v>
          </cell>
          <cell r="C1466" t="str">
            <v>E</v>
          </cell>
          <cell r="D1466" t="str">
            <v>UT</v>
          </cell>
          <cell r="E1466" t="str">
            <v>19</v>
          </cell>
        </row>
        <row r="1467">
          <cell r="A1467" t="str">
            <v>LIQUIDADOR I</v>
          </cell>
          <cell r="B1467" t="str">
            <v>21341</v>
          </cell>
          <cell r="C1467" t="str">
            <v>E</v>
          </cell>
          <cell r="D1467" t="str">
            <v>UT</v>
          </cell>
          <cell r="E1467" t="str">
            <v>15</v>
          </cell>
        </row>
        <row r="1468">
          <cell r="A1468" t="str">
            <v>LIQUIDADOR II</v>
          </cell>
          <cell r="B1468" t="str">
            <v>21342</v>
          </cell>
          <cell r="C1468" t="str">
            <v>E</v>
          </cell>
          <cell r="D1468" t="str">
            <v>UT</v>
          </cell>
          <cell r="E1468" t="str">
            <v>17</v>
          </cell>
        </row>
        <row r="1469">
          <cell r="A1469" t="str">
            <v>LIQUIDADOR III</v>
          </cell>
          <cell r="B1469" t="str">
            <v>21343</v>
          </cell>
          <cell r="C1469" t="str">
            <v>E</v>
          </cell>
          <cell r="D1469" t="str">
            <v>UT</v>
          </cell>
          <cell r="E1469" t="str">
            <v>18</v>
          </cell>
        </row>
        <row r="1470">
          <cell r="A1470" t="str">
            <v>LIQUIDADOR JEFE</v>
          </cell>
          <cell r="B1470" t="str">
            <v>21345</v>
          </cell>
          <cell r="C1470" t="str">
            <v>E</v>
          </cell>
          <cell r="D1470" t="str">
            <v>UT</v>
          </cell>
          <cell r="E1470" t="str">
            <v>20</v>
          </cell>
        </row>
        <row r="1471">
          <cell r="A1471" t="str">
            <v>LOCUTOR I</v>
          </cell>
          <cell r="B1471" t="str">
            <v>32141</v>
          </cell>
          <cell r="C1471" t="str">
            <v>E</v>
          </cell>
          <cell r="D1471" t="str">
            <v>AD</v>
          </cell>
          <cell r="E1471" t="str">
            <v>03</v>
          </cell>
        </row>
        <row r="1472">
          <cell r="A1472" t="str">
            <v>LOCUTOR II</v>
          </cell>
          <cell r="B1472" t="str">
            <v>32142</v>
          </cell>
          <cell r="C1472" t="str">
            <v>E</v>
          </cell>
          <cell r="D1472" t="str">
            <v>AD</v>
          </cell>
          <cell r="E1472" t="str">
            <v>05</v>
          </cell>
        </row>
        <row r="1473">
          <cell r="A1473" t="str">
            <v>MAESTRA (33.33 HORAS) Y PROF. PH GR (20 HORAS)</v>
          </cell>
          <cell r="B1473" t="str">
            <v>40239</v>
          </cell>
          <cell r="C1473" t="str">
            <v>E</v>
          </cell>
          <cell r="D1473" t="str">
            <v>DO</v>
          </cell>
          <cell r="E1473" t="str">
            <v/>
          </cell>
        </row>
        <row r="1474">
          <cell r="A1474" t="str">
            <v>MAESTRA ALFABETIZADORA</v>
          </cell>
          <cell r="B1474" t="str">
            <v>40152</v>
          </cell>
          <cell r="C1474" t="str">
            <v>E</v>
          </cell>
          <cell r="D1474" t="str">
            <v>DO</v>
          </cell>
          <cell r="E1474" t="str">
            <v/>
          </cell>
        </row>
        <row r="1475">
          <cell r="A1475" t="str">
            <v>MAESTRA BIBLIOTECARIA</v>
          </cell>
          <cell r="B1475" t="str">
            <v>40003</v>
          </cell>
          <cell r="C1475" t="str">
            <v>E</v>
          </cell>
          <cell r="D1475" t="str">
            <v>DO</v>
          </cell>
          <cell r="E1475" t="str">
            <v/>
          </cell>
        </row>
        <row r="1476">
          <cell r="A1476" t="str">
            <v>MAESTRA COORDINADORA</v>
          </cell>
          <cell r="B1476" t="str">
            <v>40153</v>
          </cell>
          <cell r="C1476" t="str">
            <v>E</v>
          </cell>
          <cell r="D1476" t="str">
            <v>DO</v>
          </cell>
          <cell r="E1476" t="str">
            <v/>
          </cell>
        </row>
        <row r="1477">
          <cell r="A1477" t="str">
            <v>MAESTRA N§ 10</v>
          </cell>
          <cell r="B1477" t="str">
            <v>40154</v>
          </cell>
          <cell r="C1477" t="str">
            <v>E</v>
          </cell>
          <cell r="D1477" t="str">
            <v>DO</v>
          </cell>
          <cell r="E1477" t="str">
            <v/>
          </cell>
        </row>
        <row r="1478">
          <cell r="A1478" t="str">
            <v>MAESTRA N§ 2</v>
          </cell>
          <cell r="B1478" t="str">
            <v>40155</v>
          </cell>
          <cell r="C1478" t="str">
            <v>E</v>
          </cell>
          <cell r="D1478" t="str">
            <v>DO</v>
          </cell>
          <cell r="E1478" t="str">
            <v/>
          </cell>
        </row>
        <row r="1479">
          <cell r="A1479" t="str">
            <v>MAESTRA NORMALISTA</v>
          </cell>
          <cell r="B1479" t="str">
            <v>40156</v>
          </cell>
          <cell r="C1479" t="str">
            <v>E</v>
          </cell>
          <cell r="D1479" t="str">
            <v>DO</v>
          </cell>
          <cell r="E1479" t="str">
            <v/>
          </cell>
        </row>
        <row r="1480">
          <cell r="A1480" t="str">
            <v>MAESTRA TIPO A</v>
          </cell>
          <cell r="B1480" t="str">
            <v>40157</v>
          </cell>
          <cell r="C1480" t="str">
            <v>E</v>
          </cell>
          <cell r="D1480" t="str">
            <v>DO</v>
          </cell>
          <cell r="E1480" t="str">
            <v/>
          </cell>
        </row>
        <row r="1481">
          <cell r="A1481" t="str">
            <v>MAESTRO TCVDNMA</v>
          </cell>
          <cell r="B1481" t="str">
            <v>40302</v>
          </cell>
          <cell r="C1481" t="str">
            <v>E</v>
          </cell>
          <cell r="D1481" t="str">
            <v>DO</v>
          </cell>
          <cell r="E1481" t="str">
            <v/>
          </cell>
        </row>
        <row r="1482">
          <cell r="A1482" t="str">
            <v>MAESTRO(A)</v>
          </cell>
          <cell r="B1482" t="str">
            <v>40001</v>
          </cell>
          <cell r="C1482" t="str">
            <v>E</v>
          </cell>
          <cell r="D1482" t="str">
            <v>DO</v>
          </cell>
          <cell r="E1482" t="str">
            <v/>
          </cell>
        </row>
        <row r="1483">
          <cell r="A1483" t="str">
            <v>MANDOLINA</v>
          </cell>
          <cell r="B1483" t="str">
            <v>03618</v>
          </cell>
          <cell r="C1483" t="str">
            <v>E</v>
          </cell>
          <cell r="D1483" t="str">
            <v>AD</v>
          </cell>
          <cell r="E1483" t="str">
            <v>01</v>
          </cell>
        </row>
        <row r="1484">
          <cell r="A1484" t="str">
            <v>MAQUETISTA I</v>
          </cell>
          <cell r="B1484" t="str">
            <v>43521</v>
          </cell>
          <cell r="C1484" t="str">
            <v>E</v>
          </cell>
          <cell r="D1484" t="str">
            <v>AD</v>
          </cell>
          <cell r="E1484" t="str">
            <v>03</v>
          </cell>
        </row>
        <row r="1485">
          <cell r="A1485" t="str">
            <v>MAQUETISTA II</v>
          </cell>
          <cell r="B1485" t="str">
            <v>43522</v>
          </cell>
          <cell r="C1485" t="str">
            <v>E</v>
          </cell>
          <cell r="D1485" t="str">
            <v>AD</v>
          </cell>
          <cell r="E1485" t="str">
            <v>05</v>
          </cell>
        </row>
        <row r="1486">
          <cell r="A1486" t="str">
            <v>MAQUILLADOR</v>
          </cell>
          <cell r="B1486" t="str">
            <v>32115</v>
          </cell>
          <cell r="C1486" t="str">
            <v>E</v>
          </cell>
          <cell r="D1486" t="str">
            <v>AD</v>
          </cell>
          <cell r="E1486" t="str">
            <v>01</v>
          </cell>
        </row>
        <row r="1487">
          <cell r="A1487" t="str">
            <v>MAQUINISTA DE REMOLCADOR</v>
          </cell>
          <cell r="B1487" t="str">
            <v>52350</v>
          </cell>
          <cell r="C1487" t="str">
            <v>E</v>
          </cell>
          <cell r="D1487" t="str">
            <v>UT</v>
          </cell>
          <cell r="E1487" t="str">
            <v>15</v>
          </cell>
        </row>
        <row r="1488">
          <cell r="A1488" t="str">
            <v>MAQUINISTA DE TRANSPORTE NAVAL</v>
          </cell>
          <cell r="B1488" t="str">
            <v>52390</v>
          </cell>
          <cell r="C1488" t="str">
            <v>E</v>
          </cell>
          <cell r="D1488" t="str">
            <v>UT</v>
          </cell>
          <cell r="E1488" t="str">
            <v>15</v>
          </cell>
        </row>
        <row r="1489">
          <cell r="A1489" t="str">
            <v>MATEMATICO I</v>
          </cell>
          <cell r="B1489" t="str">
            <v>47221</v>
          </cell>
          <cell r="C1489" t="str">
            <v>E</v>
          </cell>
          <cell r="D1489" t="str">
            <v>UT</v>
          </cell>
          <cell r="E1489" t="str">
            <v>17</v>
          </cell>
        </row>
        <row r="1490">
          <cell r="A1490" t="str">
            <v>MATEMATICO II</v>
          </cell>
          <cell r="B1490" t="str">
            <v>47222</v>
          </cell>
          <cell r="C1490" t="str">
            <v>E</v>
          </cell>
          <cell r="D1490" t="str">
            <v>UT</v>
          </cell>
          <cell r="E1490" t="str">
            <v>19</v>
          </cell>
        </row>
        <row r="1491">
          <cell r="A1491" t="str">
            <v>MAYOR (BOMBERO)</v>
          </cell>
          <cell r="B1491" t="str">
            <v>62400</v>
          </cell>
          <cell r="C1491" t="str">
            <v>E</v>
          </cell>
          <cell r="D1491" t="str">
            <v>BO</v>
          </cell>
          <cell r="E1491" t="str">
            <v/>
          </cell>
        </row>
        <row r="1492">
          <cell r="A1492" t="str">
            <v>MECANOGRAFA(O) II</v>
          </cell>
          <cell r="B1492" t="str">
            <v>10001</v>
          </cell>
          <cell r="C1492" t="str">
            <v>E</v>
          </cell>
          <cell r="D1492" t="str">
            <v>AD</v>
          </cell>
          <cell r="E1492" t="str">
            <v>03</v>
          </cell>
        </row>
        <row r="1493">
          <cell r="A1493" t="str">
            <v>MEDICO DE SALUD PUBLICA I</v>
          </cell>
          <cell r="B1493" t="str">
            <v>75211</v>
          </cell>
          <cell r="C1493" t="str">
            <v>E</v>
          </cell>
          <cell r="D1493" t="str">
            <v>UT</v>
          </cell>
          <cell r="E1493" t="str">
            <v>19</v>
          </cell>
        </row>
        <row r="1494">
          <cell r="A1494" t="str">
            <v>MEDICO DE SALUD PUBLICA II</v>
          </cell>
          <cell r="B1494" t="str">
            <v>75212</v>
          </cell>
          <cell r="C1494" t="str">
            <v>E</v>
          </cell>
          <cell r="D1494" t="str">
            <v>UT</v>
          </cell>
          <cell r="E1494" t="str">
            <v>21</v>
          </cell>
        </row>
        <row r="1495">
          <cell r="A1495" t="str">
            <v>MEDICO DE SALUD PUBLICA III</v>
          </cell>
          <cell r="B1495" t="str">
            <v>75213</v>
          </cell>
          <cell r="C1495" t="str">
            <v>E</v>
          </cell>
          <cell r="D1495" t="str">
            <v>UT</v>
          </cell>
          <cell r="E1495" t="str">
            <v>22</v>
          </cell>
        </row>
        <row r="1496">
          <cell r="A1496" t="str">
            <v>MEDICO DE SALUD PUBLICA JEFE</v>
          </cell>
          <cell r="B1496" t="str">
            <v>75221</v>
          </cell>
          <cell r="C1496" t="str">
            <v>E</v>
          </cell>
          <cell r="D1496" t="str">
            <v>UT</v>
          </cell>
          <cell r="E1496" t="str">
            <v>23</v>
          </cell>
        </row>
        <row r="1497">
          <cell r="A1497" t="str">
            <v>MEDICO DE SALUD PUBLICA JEFE II</v>
          </cell>
          <cell r="B1497" t="str">
            <v>75222</v>
          </cell>
          <cell r="C1497" t="str">
            <v>E</v>
          </cell>
          <cell r="D1497" t="str">
            <v>UT</v>
          </cell>
          <cell r="E1497" t="str">
            <v>24</v>
          </cell>
        </row>
        <row r="1498">
          <cell r="A1498" t="str">
            <v>MEDICO DE SALUD PUBLICA JEFE III</v>
          </cell>
          <cell r="B1498" t="str">
            <v>75223</v>
          </cell>
          <cell r="C1498" t="str">
            <v>E</v>
          </cell>
          <cell r="D1498" t="str">
            <v>UT</v>
          </cell>
          <cell r="E1498" t="str">
            <v>25</v>
          </cell>
        </row>
        <row r="1499">
          <cell r="A1499" t="str">
            <v>MEDICO DIRECTOR DE HOSPITAL I</v>
          </cell>
          <cell r="B1499" t="str">
            <v>75151</v>
          </cell>
          <cell r="C1499" t="str">
            <v>E</v>
          </cell>
          <cell r="D1499" t="str">
            <v>UT</v>
          </cell>
          <cell r="E1499" t="str">
            <v>22</v>
          </cell>
        </row>
        <row r="1500">
          <cell r="A1500" t="str">
            <v>MEDICO DIRECTOR DE HOSPITAL II</v>
          </cell>
          <cell r="B1500" t="str">
            <v>75152</v>
          </cell>
          <cell r="C1500" t="str">
            <v>E</v>
          </cell>
          <cell r="D1500" t="str">
            <v>UT</v>
          </cell>
          <cell r="E1500" t="str">
            <v>23</v>
          </cell>
        </row>
        <row r="1501">
          <cell r="A1501" t="str">
            <v>MEDICO DIRECTOR DE HOSPITAL III</v>
          </cell>
          <cell r="B1501" t="str">
            <v>75153</v>
          </cell>
          <cell r="C1501" t="str">
            <v>E</v>
          </cell>
          <cell r="D1501" t="str">
            <v>UT</v>
          </cell>
          <cell r="E1501" t="str">
            <v>24</v>
          </cell>
        </row>
        <row r="1502">
          <cell r="A1502" t="str">
            <v>MEDICO DIRECTOR DE HOSPITAL IV</v>
          </cell>
          <cell r="B1502" t="str">
            <v>75154</v>
          </cell>
          <cell r="C1502" t="str">
            <v>E</v>
          </cell>
          <cell r="D1502" t="str">
            <v>UT</v>
          </cell>
          <cell r="E1502" t="str">
            <v>25</v>
          </cell>
        </row>
        <row r="1503">
          <cell r="A1503" t="str">
            <v>MEDICO ESPECIALISTA I</v>
          </cell>
          <cell r="B1503" t="str">
            <v>75311</v>
          </cell>
          <cell r="C1503" t="str">
            <v>E</v>
          </cell>
          <cell r="D1503" t="str">
            <v>UT</v>
          </cell>
          <cell r="E1503" t="str">
            <v>19</v>
          </cell>
        </row>
        <row r="1504">
          <cell r="A1504" t="str">
            <v>MEDICO ESPECIALISTA II</v>
          </cell>
          <cell r="B1504" t="str">
            <v>75312</v>
          </cell>
          <cell r="C1504" t="str">
            <v>E</v>
          </cell>
          <cell r="D1504" t="str">
            <v>UT</v>
          </cell>
          <cell r="E1504" t="str">
            <v>21</v>
          </cell>
        </row>
        <row r="1505">
          <cell r="A1505" t="str">
            <v>MEDICO I</v>
          </cell>
          <cell r="B1505" t="str">
            <v>75131</v>
          </cell>
          <cell r="C1505" t="str">
            <v>E</v>
          </cell>
          <cell r="D1505" t="str">
            <v>UT</v>
          </cell>
          <cell r="E1505" t="str">
            <v>18</v>
          </cell>
        </row>
        <row r="1506">
          <cell r="A1506" t="str">
            <v>MEDICO II</v>
          </cell>
          <cell r="B1506" t="str">
            <v>75132</v>
          </cell>
          <cell r="C1506" t="str">
            <v>E</v>
          </cell>
          <cell r="D1506" t="str">
            <v>UT</v>
          </cell>
          <cell r="E1506" t="str">
            <v>20</v>
          </cell>
        </row>
        <row r="1507">
          <cell r="A1507" t="str">
            <v>MEDICO INTERNO</v>
          </cell>
          <cell r="B1507" t="str">
            <v>75110</v>
          </cell>
          <cell r="C1507" t="str">
            <v>E</v>
          </cell>
          <cell r="D1507" t="str">
            <v>UT</v>
          </cell>
          <cell r="E1507" t="str">
            <v>17</v>
          </cell>
        </row>
        <row r="1508">
          <cell r="A1508" t="str">
            <v>MEDICO JEFE I</v>
          </cell>
          <cell r="B1508" t="str">
            <v>75141</v>
          </cell>
          <cell r="C1508" t="str">
            <v>E</v>
          </cell>
          <cell r="D1508" t="str">
            <v>AD</v>
          </cell>
          <cell r="E1508" t="str">
            <v>21</v>
          </cell>
        </row>
        <row r="1509">
          <cell r="A1509" t="str">
            <v>MEDICO JEFE II</v>
          </cell>
          <cell r="B1509" t="str">
            <v>75142</v>
          </cell>
          <cell r="C1509" t="str">
            <v>E</v>
          </cell>
          <cell r="D1509" t="str">
            <v>UT</v>
          </cell>
          <cell r="E1509" t="str">
            <v>22</v>
          </cell>
        </row>
        <row r="1510">
          <cell r="A1510" t="str">
            <v>MEDICO JEFE III</v>
          </cell>
          <cell r="B1510" t="str">
            <v>75143</v>
          </cell>
          <cell r="C1510" t="str">
            <v>E</v>
          </cell>
          <cell r="D1510" t="str">
            <v>UT</v>
          </cell>
          <cell r="E1510" t="str">
            <v>23</v>
          </cell>
        </row>
        <row r="1511">
          <cell r="A1511" t="str">
            <v>MEDICO JEFE IV</v>
          </cell>
          <cell r="B1511" t="str">
            <v>75144</v>
          </cell>
          <cell r="C1511" t="str">
            <v>E</v>
          </cell>
          <cell r="D1511" t="str">
            <v>UT</v>
          </cell>
          <cell r="E1511" t="str">
            <v>24</v>
          </cell>
        </row>
        <row r="1512">
          <cell r="A1512" t="str">
            <v>MEDICO RESIDENTE</v>
          </cell>
          <cell r="B1512" t="str">
            <v>75120</v>
          </cell>
          <cell r="C1512" t="str">
            <v>E</v>
          </cell>
          <cell r="D1512" t="str">
            <v>UT</v>
          </cell>
          <cell r="E1512" t="str">
            <v>18</v>
          </cell>
        </row>
        <row r="1513">
          <cell r="A1513" t="str">
            <v>MEDICO VETERINARIO I</v>
          </cell>
          <cell r="B1513" t="str">
            <v>78211</v>
          </cell>
          <cell r="C1513" t="str">
            <v>E</v>
          </cell>
          <cell r="D1513" t="str">
            <v>UT</v>
          </cell>
          <cell r="E1513" t="str">
            <v>18</v>
          </cell>
        </row>
        <row r="1514">
          <cell r="A1514" t="str">
            <v>MEDICO VETERINARIO II</v>
          </cell>
          <cell r="B1514" t="str">
            <v>78212</v>
          </cell>
          <cell r="C1514" t="str">
            <v>E</v>
          </cell>
          <cell r="D1514" t="str">
            <v>UT</v>
          </cell>
          <cell r="E1514" t="str">
            <v>19</v>
          </cell>
        </row>
        <row r="1515">
          <cell r="A1515" t="str">
            <v>MEDICO VETERINARIO III</v>
          </cell>
          <cell r="B1515" t="str">
            <v>78213</v>
          </cell>
          <cell r="C1515" t="str">
            <v>E</v>
          </cell>
          <cell r="D1515" t="str">
            <v>UT</v>
          </cell>
          <cell r="E1515" t="str">
            <v>21</v>
          </cell>
        </row>
        <row r="1516">
          <cell r="A1516" t="str">
            <v>MEDICO VETERINARIO JEFE I</v>
          </cell>
          <cell r="B1516" t="str">
            <v>78221</v>
          </cell>
          <cell r="C1516" t="str">
            <v>E</v>
          </cell>
          <cell r="D1516" t="str">
            <v>UT</v>
          </cell>
          <cell r="E1516" t="str">
            <v>22</v>
          </cell>
        </row>
        <row r="1517">
          <cell r="A1517" t="str">
            <v>MEDICO VETERINARIO JEFE II</v>
          </cell>
          <cell r="B1517" t="str">
            <v>78222</v>
          </cell>
          <cell r="C1517" t="str">
            <v>E</v>
          </cell>
          <cell r="D1517" t="str">
            <v>UT</v>
          </cell>
          <cell r="E1517" t="str">
            <v>24</v>
          </cell>
        </row>
        <row r="1518">
          <cell r="A1518" t="str">
            <v>METROLOGO I</v>
          </cell>
          <cell r="B1518" t="str">
            <v>84231</v>
          </cell>
          <cell r="C1518" t="str">
            <v>E</v>
          </cell>
          <cell r="D1518" t="str">
            <v>UT</v>
          </cell>
          <cell r="E1518" t="str">
            <v>18</v>
          </cell>
        </row>
        <row r="1519">
          <cell r="A1519" t="str">
            <v>METROLOGO II</v>
          </cell>
          <cell r="B1519" t="str">
            <v>84232</v>
          </cell>
          <cell r="C1519" t="str">
            <v>E</v>
          </cell>
          <cell r="D1519" t="str">
            <v>UT</v>
          </cell>
          <cell r="E1519" t="str">
            <v>19</v>
          </cell>
        </row>
        <row r="1520">
          <cell r="A1520" t="str">
            <v>METROLOGO III</v>
          </cell>
          <cell r="B1520" t="str">
            <v>84233</v>
          </cell>
          <cell r="C1520" t="str">
            <v>E</v>
          </cell>
          <cell r="D1520" t="str">
            <v>UT</v>
          </cell>
          <cell r="E1520" t="str">
            <v>21</v>
          </cell>
        </row>
        <row r="1521">
          <cell r="A1521" t="str">
            <v>METROLOGO JEFE I</v>
          </cell>
          <cell r="B1521" t="str">
            <v>84241</v>
          </cell>
          <cell r="C1521" t="str">
            <v>E</v>
          </cell>
          <cell r="D1521" t="str">
            <v>UT</v>
          </cell>
          <cell r="E1521" t="str">
            <v>22</v>
          </cell>
        </row>
        <row r="1522">
          <cell r="A1522" t="str">
            <v>METROLOGO JEFE II</v>
          </cell>
          <cell r="B1522" t="str">
            <v>84242</v>
          </cell>
          <cell r="C1522" t="str">
            <v>E</v>
          </cell>
          <cell r="D1522" t="str">
            <v>UT</v>
          </cell>
          <cell r="E1522" t="str">
            <v>24</v>
          </cell>
        </row>
        <row r="1523">
          <cell r="A1523" t="str">
            <v>MICROBIOLOGO I</v>
          </cell>
          <cell r="B1523" t="str">
            <v>72311</v>
          </cell>
          <cell r="C1523" t="str">
            <v>E</v>
          </cell>
          <cell r="D1523" t="str">
            <v>UT</v>
          </cell>
          <cell r="E1523" t="str">
            <v>19</v>
          </cell>
        </row>
        <row r="1524">
          <cell r="A1524" t="str">
            <v>MICROBIOLOGO II</v>
          </cell>
          <cell r="B1524" t="str">
            <v>72312</v>
          </cell>
          <cell r="C1524" t="str">
            <v>E</v>
          </cell>
          <cell r="D1524" t="str">
            <v>UT</v>
          </cell>
          <cell r="E1524" t="str">
            <v>20</v>
          </cell>
        </row>
        <row r="1525">
          <cell r="A1525" t="str">
            <v>MICROBIOLOGO III</v>
          </cell>
          <cell r="B1525" t="str">
            <v>72313</v>
          </cell>
          <cell r="C1525" t="str">
            <v>E</v>
          </cell>
          <cell r="D1525" t="str">
            <v>UT</v>
          </cell>
          <cell r="E1525" t="str">
            <v>22</v>
          </cell>
        </row>
        <row r="1526">
          <cell r="A1526" t="str">
            <v>MICROBIOLOGO JEFE</v>
          </cell>
          <cell r="B1526" t="str">
            <v>72320</v>
          </cell>
          <cell r="C1526" t="str">
            <v>E</v>
          </cell>
          <cell r="D1526" t="str">
            <v>UT</v>
          </cell>
          <cell r="E1526" t="str">
            <v>24</v>
          </cell>
        </row>
        <row r="1527">
          <cell r="A1527" t="str">
            <v>MICROFILMADOR I</v>
          </cell>
          <cell r="B1527" t="str">
            <v>45341</v>
          </cell>
          <cell r="C1527" t="str">
            <v>E</v>
          </cell>
          <cell r="D1527" t="str">
            <v>AD</v>
          </cell>
          <cell r="E1527" t="str">
            <v>02</v>
          </cell>
        </row>
        <row r="1528">
          <cell r="A1528" t="str">
            <v>MICROFILMADOR II</v>
          </cell>
          <cell r="B1528" t="str">
            <v>45342</v>
          </cell>
          <cell r="C1528" t="str">
            <v>E</v>
          </cell>
          <cell r="D1528" t="str">
            <v>UT</v>
          </cell>
          <cell r="E1528" t="str">
            <v>15</v>
          </cell>
        </row>
        <row r="1529">
          <cell r="A1529" t="str">
            <v>MICROFILMADOR III</v>
          </cell>
          <cell r="B1529" t="str">
            <v>45343</v>
          </cell>
          <cell r="C1529" t="str">
            <v>E</v>
          </cell>
          <cell r="D1529" t="str">
            <v>UT</v>
          </cell>
          <cell r="E1529" t="str">
            <v>17</v>
          </cell>
        </row>
        <row r="1530">
          <cell r="A1530" t="str">
            <v>MICROFILMADOR IV</v>
          </cell>
          <cell r="B1530" t="str">
            <v>45344</v>
          </cell>
          <cell r="C1530" t="str">
            <v>E</v>
          </cell>
          <cell r="D1530" t="str">
            <v>UT</v>
          </cell>
          <cell r="E1530" t="str">
            <v>19</v>
          </cell>
        </row>
        <row r="1531">
          <cell r="A1531" t="str">
            <v>MUSEOGRAFO I</v>
          </cell>
          <cell r="B1531" t="str">
            <v>37221</v>
          </cell>
          <cell r="C1531" t="str">
            <v>E</v>
          </cell>
          <cell r="D1531" t="str">
            <v>UT</v>
          </cell>
          <cell r="E1531" t="str">
            <v>17</v>
          </cell>
        </row>
        <row r="1532">
          <cell r="A1532" t="str">
            <v>MUSEOGRAFO II</v>
          </cell>
          <cell r="B1532" t="str">
            <v>37222</v>
          </cell>
          <cell r="C1532" t="str">
            <v>E</v>
          </cell>
          <cell r="D1532" t="str">
            <v>UT</v>
          </cell>
          <cell r="E1532" t="str">
            <v>19</v>
          </cell>
        </row>
        <row r="1533">
          <cell r="A1533" t="str">
            <v>MUSEOGRAFO III</v>
          </cell>
          <cell r="B1533" t="str">
            <v>37223</v>
          </cell>
          <cell r="C1533" t="str">
            <v>E</v>
          </cell>
          <cell r="D1533" t="str">
            <v>UT</v>
          </cell>
          <cell r="E1533" t="str">
            <v>20</v>
          </cell>
        </row>
        <row r="1534">
          <cell r="A1534" t="str">
            <v>MUSEOLOGO</v>
          </cell>
          <cell r="B1534" t="str">
            <v>37111</v>
          </cell>
          <cell r="C1534" t="str">
            <v>E</v>
          </cell>
          <cell r="D1534" t="str">
            <v>UT</v>
          </cell>
          <cell r="E1534" t="str">
            <v>17</v>
          </cell>
        </row>
        <row r="1535">
          <cell r="A1535" t="str">
            <v>MUSEOLOGO II</v>
          </cell>
          <cell r="B1535" t="str">
            <v>37112</v>
          </cell>
          <cell r="C1535" t="str">
            <v>E</v>
          </cell>
          <cell r="D1535" t="str">
            <v>UT</v>
          </cell>
          <cell r="E1535" t="str">
            <v>19</v>
          </cell>
        </row>
        <row r="1536">
          <cell r="A1536" t="str">
            <v>MUSEOLOGO III</v>
          </cell>
          <cell r="B1536" t="str">
            <v>37113</v>
          </cell>
          <cell r="C1536" t="str">
            <v>E</v>
          </cell>
          <cell r="D1536" t="str">
            <v>UT</v>
          </cell>
          <cell r="E1536" t="str">
            <v>21</v>
          </cell>
        </row>
        <row r="1537">
          <cell r="A1537" t="str">
            <v>MUSEOLOGO IV</v>
          </cell>
          <cell r="B1537" t="str">
            <v>37114</v>
          </cell>
          <cell r="C1537" t="str">
            <v>E</v>
          </cell>
          <cell r="D1537" t="str">
            <v>UT</v>
          </cell>
          <cell r="E1537" t="str">
            <v>22</v>
          </cell>
        </row>
        <row r="1538">
          <cell r="A1538" t="str">
            <v>OBOE</v>
          </cell>
          <cell r="B1538" t="str">
            <v>03620</v>
          </cell>
          <cell r="C1538" t="str">
            <v>E</v>
          </cell>
          <cell r="D1538" t="str">
            <v>AD</v>
          </cell>
          <cell r="E1538" t="str">
            <v>01</v>
          </cell>
        </row>
        <row r="1539">
          <cell r="A1539" t="str">
            <v>OBOE</v>
          </cell>
          <cell r="B1539" t="str">
            <v>03621</v>
          </cell>
          <cell r="C1539" t="str">
            <v>E</v>
          </cell>
          <cell r="D1539" t="str">
            <v>AD</v>
          </cell>
          <cell r="E1539" t="str">
            <v>01</v>
          </cell>
        </row>
        <row r="1540">
          <cell r="A1540" t="str">
            <v>OBOE 1</v>
          </cell>
          <cell r="B1540" t="str">
            <v>03540</v>
          </cell>
          <cell r="C1540" t="str">
            <v>E</v>
          </cell>
          <cell r="D1540" t="str">
            <v>AD</v>
          </cell>
          <cell r="E1540" t="str">
            <v>01</v>
          </cell>
        </row>
        <row r="1541">
          <cell r="A1541" t="str">
            <v>OBOE 2</v>
          </cell>
          <cell r="B1541" t="str">
            <v>03566</v>
          </cell>
          <cell r="C1541" t="str">
            <v>E</v>
          </cell>
          <cell r="D1541" t="str">
            <v>AD</v>
          </cell>
          <cell r="E1541" t="str">
            <v>01</v>
          </cell>
        </row>
        <row r="1542">
          <cell r="A1542" t="str">
            <v>OBSERVADOR DE RADIO Y TV I</v>
          </cell>
          <cell r="B1542" t="str">
            <v>84421</v>
          </cell>
          <cell r="C1542" t="str">
            <v>E</v>
          </cell>
          <cell r="D1542" t="str">
            <v>AD</v>
          </cell>
          <cell r="E1542" t="str">
            <v>01</v>
          </cell>
        </row>
        <row r="1543">
          <cell r="A1543" t="str">
            <v>OBSERVADOR DE RADIO Y TV II</v>
          </cell>
          <cell r="B1543" t="str">
            <v>84422</v>
          </cell>
          <cell r="C1543" t="str">
            <v>E</v>
          </cell>
          <cell r="D1543" t="str">
            <v>UT</v>
          </cell>
          <cell r="E1543" t="str">
            <v>15</v>
          </cell>
        </row>
        <row r="1544">
          <cell r="A1544" t="str">
            <v>ODONTOLO II</v>
          </cell>
          <cell r="B1544" t="str">
            <v>73212</v>
          </cell>
          <cell r="C1544" t="str">
            <v>E</v>
          </cell>
          <cell r="D1544" t="str">
            <v>UT</v>
          </cell>
          <cell r="E1544" t="str">
            <v>19</v>
          </cell>
        </row>
        <row r="1545">
          <cell r="A1545" t="str">
            <v>ODONTOLOGO I</v>
          </cell>
          <cell r="B1545" t="str">
            <v>73211</v>
          </cell>
          <cell r="C1545" t="str">
            <v>E</v>
          </cell>
          <cell r="D1545" t="str">
            <v>UT</v>
          </cell>
          <cell r="E1545" t="str">
            <v>17</v>
          </cell>
        </row>
        <row r="1546">
          <cell r="A1546" t="str">
            <v>ODONTOLOGO III</v>
          </cell>
          <cell r="B1546" t="str">
            <v>73213</v>
          </cell>
          <cell r="C1546" t="str">
            <v>E</v>
          </cell>
          <cell r="D1546" t="str">
            <v>UT</v>
          </cell>
          <cell r="E1546" t="str">
            <v>21</v>
          </cell>
        </row>
        <row r="1547">
          <cell r="A1547" t="str">
            <v>ODONTOLOGO JEFE I</v>
          </cell>
          <cell r="B1547" t="str">
            <v>73221</v>
          </cell>
          <cell r="C1547" t="str">
            <v>E</v>
          </cell>
          <cell r="D1547" t="str">
            <v>UT</v>
          </cell>
          <cell r="E1547" t="str">
            <v>23</v>
          </cell>
        </row>
        <row r="1548">
          <cell r="A1548" t="str">
            <v>ODONTOLOGO JEFE II</v>
          </cell>
          <cell r="B1548" t="str">
            <v>73222</v>
          </cell>
          <cell r="C1548" t="str">
            <v>E</v>
          </cell>
          <cell r="D1548" t="str">
            <v>UT</v>
          </cell>
          <cell r="E1548" t="str">
            <v>24</v>
          </cell>
        </row>
        <row r="1549">
          <cell r="A1549" t="str">
            <v>OFICIAL</v>
          </cell>
          <cell r="B1549" t="str">
            <v>90000</v>
          </cell>
          <cell r="C1549" t="str">
            <v>E</v>
          </cell>
          <cell r="D1549" t="str">
            <v>PO</v>
          </cell>
          <cell r="E1549" t="str">
            <v/>
          </cell>
        </row>
        <row r="1550">
          <cell r="A1550" t="str">
            <v>OFICIAL (GRADO 0)</v>
          </cell>
          <cell r="B1550" t="str">
            <v>90020</v>
          </cell>
          <cell r="C1550" t="str">
            <v>E</v>
          </cell>
          <cell r="D1550" t="str">
            <v>PO</v>
          </cell>
          <cell r="E1550" t="str">
            <v/>
          </cell>
        </row>
        <row r="1551">
          <cell r="A1551" t="str">
            <v>OFICIAL (GRADO 1)</v>
          </cell>
          <cell r="B1551" t="str">
            <v>90021</v>
          </cell>
          <cell r="C1551" t="str">
            <v>E</v>
          </cell>
          <cell r="D1551" t="str">
            <v>PO</v>
          </cell>
          <cell r="E1551" t="str">
            <v/>
          </cell>
        </row>
        <row r="1552">
          <cell r="A1552" t="str">
            <v>OFICIAL (GRADO 2)</v>
          </cell>
          <cell r="B1552" t="str">
            <v>90022</v>
          </cell>
          <cell r="C1552" t="str">
            <v>E</v>
          </cell>
          <cell r="D1552" t="str">
            <v>PO</v>
          </cell>
          <cell r="E1552" t="str">
            <v/>
          </cell>
        </row>
        <row r="1553">
          <cell r="A1553" t="str">
            <v>OFICIAL AGREGADO</v>
          </cell>
          <cell r="B1553" t="str">
            <v>90001</v>
          </cell>
          <cell r="C1553" t="str">
            <v>E</v>
          </cell>
          <cell r="D1553" t="str">
            <v>PO</v>
          </cell>
          <cell r="E1553" t="str">
            <v/>
          </cell>
        </row>
        <row r="1554">
          <cell r="A1554" t="str">
            <v>OFICIAL AGREGADO (GRADO 0)</v>
          </cell>
          <cell r="B1554" t="str">
            <v>90023</v>
          </cell>
          <cell r="C1554" t="str">
            <v>E</v>
          </cell>
          <cell r="D1554" t="str">
            <v>PO</v>
          </cell>
          <cell r="E1554" t="str">
            <v/>
          </cell>
        </row>
        <row r="1555">
          <cell r="A1555" t="str">
            <v>OFICIAL AGREGADO (GRADO 1)</v>
          </cell>
          <cell r="B1555" t="str">
            <v>90024</v>
          </cell>
          <cell r="C1555" t="str">
            <v>E</v>
          </cell>
          <cell r="D1555" t="str">
            <v>PO</v>
          </cell>
          <cell r="E1555" t="str">
            <v/>
          </cell>
        </row>
        <row r="1556">
          <cell r="A1556" t="str">
            <v>OFICIAL AGREGADO (GRADO 2)</v>
          </cell>
          <cell r="B1556" t="str">
            <v>90025</v>
          </cell>
          <cell r="C1556" t="str">
            <v>E</v>
          </cell>
          <cell r="D1556" t="str">
            <v>PO</v>
          </cell>
          <cell r="E1556" t="str">
            <v/>
          </cell>
        </row>
        <row r="1557">
          <cell r="A1557" t="str">
            <v>OFICIAL DE BUSQUEDA Y SALVAMENTO I</v>
          </cell>
          <cell r="B1557" t="str">
            <v>85511</v>
          </cell>
          <cell r="C1557" t="str">
            <v>E</v>
          </cell>
          <cell r="D1557" t="str">
            <v>AD</v>
          </cell>
          <cell r="E1557" t="str">
            <v>11</v>
          </cell>
        </row>
        <row r="1558">
          <cell r="A1558" t="str">
            <v>OFICIAL DE BUSQUEDA Y SALVAMENTO II</v>
          </cell>
          <cell r="B1558" t="str">
            <v>85512</v>
          </cell>
          <cell r="C1558" t="str">
            <v>E</v>
          </cell>
          <cell r="D1558" t="str">
            <v>AD</v>
          </cell>
          <cell r="E1558" t="str">
            <v>12</v>
          </cell>
        </row>
        <row r="1559">
          <cell r="A1559" t="str">
            <v>OFICIAL DE BUSQUEDA Y SALVAMENTO III</v>
          </cell>
          <cell r="B1559" t="str">
            <v>85513</v>
          </cell>
          <cell r="C1559" t="str">
            <v>E</v>
          </cell>
          <cell r="D1559" t="str">
            <v>AD</v>
          </cell>
          <cell r="E1559" t="str">
            <v>13</v>
          </cell>
        </row>
        <row r="1560">
          <cell r="A1560" t="str">
            <v>OFICIAL DE BUSQUEDA Y SALVAMENTO IV</v>
          </cell>
          <cell r="B1560" t="str">
            <v>85514</v>
          </cell>
          <cell r="C1560" t="str">
            <v>E</v>
          </cell>
          <cell r="D1560" t="str">
            <v>AD</v>
          </cell>
          <cell r="E1560" t="str">
            <v>14</v>
          </cell>
        </row>
        <row r="1561">
          <cell r="A1561" t="str">
            <v>OFICIAL DE MAQUINAS I</v>
          </cell>
          <cell r="B1561" t="str">
            <v>52311</v>
          </cell>
          <cell r="C1561" t="str">
            <v>E</v>
          </cell>
          <cell r="D1561" t="str">
            <v>UT</v>
          </cell>
          <cell r="E1561" t="str">
            <v>15</v>
          </cell>
        </row>
        <row r="1562">
          <cell r="A1562" t="str">
            <v>OFICIAL DE MAQUINAS II</v>
          </cell>
          <cell r="B1562" t="str">
            <v>52312</v>
          </cell>
          <cell r="C1562" t="str">
            <v>E</v>
          </cell>
          <cell r="D1562" t="str">
            <v>UT</v>
          </cell>
          <cell r="E1562" t="str">
            <v>17</v>
          </cell>
        </row>
        <row r="1563">
          <cell r="A1563" t="str">
            <v>OFICIAL DE MAQUINAS III</v>
          </cell>
          <cell r="B1563" t="str">
            <v>52313</v>
          </cell>
          <cell r="C1563" t="str">
            <v>E</v>
          </cell>
          <cell r="D1563" t="str">
            <v>UT</v>
          </cell>
          <cell r="E1563" t="str">
            <v>19</v>
          </cell>
        </row>
        <row r="1564">
          <cell r="A1564" t="str">
            <v>OFICIAL DE MARINA I</v>
          </cell>
          <cell r="B1564" t="str">
            <v>52211</v>
          </cell>
          <cell r="C1564" t="str">
            <v>E</v>
          </cell>
          <cell r="D1564" t="str">
            <v>UT</v>
          </cell>
          <cell r="E1564" t="str">
            <v>15</v>
          </cell>
        </row>
        <row r="1565">
          <cell r="A1565" t="str">
            <v>OFICIAL DE MARINA II</v>
          </cell>
          <cell r="B1565" t="str">
            <v>52212</v>
          </cell>
          <cell r="C1565" t="str">
            <v>E</v>
          </cell>
          <cell r="D1565" t="str">
            <v>UT</v>
          </cell>
          <cell r="E1565" t="str">
            <v>17</v>
          </cell>
        </row>
        <row r="1566">
          <cell r="A1566" t="str">
            <v>OFICIAL DE MARINA III</v>
          </cell>
          <cell r="B1566" t="str">
            <v>52213</v>
          </cell>
          <cell r="C1566" t="str">
            <v>E</v>
          </cell>
          <cell r="D1566" t="str">
            <v>UT</v>
          </cell>
          <cell r="E1566" t="str">
            <v>19</v>
          </cell>
        </row>
        <row r="1567">
          <cell r="A1567" t="str">
            <v>OFICIAL DE MARINA IV</v>
          </cell>
          <cell r="B1567" t="str">
            <v>52214</v>
          </cell>
          <cell r="C1567" t="str">
            <v>E</v>
          </cell>
          <cell r="D1567" t="str">
            <v>UT</v>
          </cell>
          <cell r="E1567" t="str">
            <v>21</v>
          </cell>
        </row>
        <row r="1568">
          <cell r="A1568" t="str">
            <v>OFICIAL DE MARINA JEFE I</v>
          </cell>
          <cell r="B1568" t="str">
            <v>52221</v>
          </cell>
          <cell r="C1568" t="str">
            <v>E</v>
          </cell>
          <cell r="D1568" t="str">
            <v>UT</v>
          </cell>
          <cell r="E1568" t="str">
            <v>22</v>
          </cell>
        </row>
        <row r="1569">
          <cell r="A1569" t="str">
            <v>OFICIAL DE MARINA JEFE II</v>
          </cell>
          <cell r="B1569" t="str">
            <v>52222</v>
          </cell>
          <cell r="C1569" t="str">
            <v>E</v>
          </cell>
          <cell r="D1569" t="str">
            <v>UT</v>
          </cell>
          <cell r="E1569" t="str">
            <v>23</v>
          </cell>
        </row>
        <row r="1570">
          <cell r="A1570" t="str">
            <v>OFICIAL DE MARINA JEFE III</v>
          </cell>
          <cell r="B1570" t="str">
            <v>52223</v>
          </cell>
          <cell r="C1570" t="str">
            <v>E</v>
          </cell>
          <cell r="D1570" t="str">
            <v>UT</v>
          </cell>
          <cell r="E1570" t="str">
            <v>24</v>
          </cell>
        </row>
        <row r="1571">
          <cell r="A1571" t="str">
            <v>OFICIAL DE NAVEGACION I</v>
          </cell>
          <cell r="B1571" t="str">
            <v>52331</v>
          </cell>
          <cell r="C1571" t="str">
            <v>E</v>
          </cell>
          <cell r="D1571" t="str">
            <v>UT</v>
          </cell>
          <cell r="E1571" t="str">
            <v>15</v>
          </cell>
        </row>
        <row r="1572">
          <cell r="A1572" t="str">
            <v>OFICIAL DE NAVEGACION II</v>
          </cell>
          <cell r="B1572" t="str">
            <v>52332</v>
          </cell>
          <cell r="C1572" t="str">
            <v>E</v>
          </cell>
          <cell r="D1572" t="str">
            <v>UT</v>
          </cell>
          <cell r="E1572" t="str">
            <v>17</v>
          </cell>
        </row>
        <row r="1573">
          <cell r="A1573" t="str">
            <v>OFICIAL DE NAVEGACION III</v>
          </cell>
          <cell r="B1573" t="str">
            <v>52333</v>
          </cell>
          <cell r="C1573" t="str">
            <v>E</v>
          </cell>
          <cell r="D1573" t="str">
            <v>UT</v>
          </cell>
          <cell r="E1573" t="str">
            <v>19</v>
          </cell>
        </row>
        <row r="1574">
          <cell r="A1574" t="str">
            <v>OFICIAL JEFE</v>
          </cell>
          <cell r="B1574" t="str">
            <v>90002</v>
          </cell>
          <cell r="C1574" t="str">
            <v>E</v>
          </cell>
          <cell r="D1574" t="str">
            <v>PO</v>
          </cell>
          <cell r="E1574" t="str">
            <v/>
          </cell>
        </row>
        <row r="1575">
          <cell r="A1575" t="str">
            <v>OFICIAL JEFE (GRADO 0)</v>
          </cell>
          <cell r="B1575" t="str">
            <v>90026</v>
          </cell>
          <cell r="C1575" t="str">
            <v>E</v>
          </cell>
          <cell r="D1575" t="str">
            <v>PO</v>
          </cell>
          <cell r="E1575" t="str">
            <v/>
          </cell>
        </row>
        <row r="1576">
          <cell r="A1576" t="str">
            <v>OFICIAL JEFE (GRADO 1)</v>
          </cell>
          <cell r="B1576" t="str">
            <v>90027</v>
          </cell>
          <cell r="C1576" t="str">
            <v>E</v>
          </cell>
          <cell r="D1576" t="str">
            <v>PO</v>
          </cell>
          <cell r="E1576" t="str">
            <v/>
          </cell>
        </row>
        <row r="1577">
          <cell r="A1577" t="str">
            <v>OFICIAL JEFE (GRADO 2)</v>
          </cell>
          <cell r="B1577" t="str">
            <v>90028</v>
          </cell>
          <cell r="C1577" t="str">
            <v>E</v>
          </cell>
          <cell r="D1577" t="str">
            <v>PO</v>
          </cell>
          <cell r="E1577" t="str">
            <v/>
          </cell>
        </row>
        <row r="1578">
          <cell r="A1578" t="str">
            <v>OPERADOR DE EQUIPOS DE COMPUTACION I</v>
          </cell>
          <cell r="B1578" t="str">
            <v>23331</v>
          </cell>
          <cell r="C1578" t="str">
            <v>E</v>
          </cell>
          <cell r="D1578" t="str">
            <v>AD</v>
          </cell>
          <cell r="E1578" t="str">
            <v>01</v>
          </cell>
        </row>
        <row r="1579">
          <cell r="A1579" t="str">
            <v>OPERADOR DE EQUIPOS DE COMPUTACION II</v>
          </cell>
          <cell r="B1579" t="str">
            <v>23332</v>
          </cell>
          <cell r="C1579" t="str">
            <v>E</v>
          </cell>
          <cell r="D1579" t="str">
            <v>AD</v>
          </cell>
          <cell r="E1579" t="str">
            <v>03</v>
          </cell>
        </row>
        <row r="1580">
          <cell r="A1580" t="str">
            <v>OPERADOR DE EQUIPOS DE COMPUTACION III</v>
          </cell>
          <cell r="B1580" t="str">
            <v>23333</v>
          </cell>
          <cell r="C1580" t="str">
            <v>E</v>
          </cell>
          <cell r="D1580" t="str">
            <v>UT</v>
          </cell>
          <cell r="E1580" t="str">
            <v>16</v>
          </cell>
        </row>
        <row r="1581">
          <cell r="A1581" t="str">
            <v>OPERADOR DE EQUIPOS DE TV Y/O CINE</v>
          </cell>
          <cell r="B1581" t="str">
            <v>32220</v>
          </cell>
          <cell r="C1581" t="str">
            <v>E</v>
          </cell>
          <cell r="D1581" t="str">
            <v>AD</v>
          </cell>
          <cell r="E1581" t="str">
            <v>03</v>
          </cell>
        </row>
        <row r="1582">
          <cell r="A1582" t="str">
            <v>OPERADOR DE QUPOS DE DRAGADO</v>
          </cell>
          <cell r="B1582" t="str">
            <v>52340</v>
          </cell>
          <cell r="C1582" t="str">
            <v>E</v>
          </cell>
          <cell r="D1582" t="str">
            <v>AD</v>
          </cell>
          <cell r="E1582" t="str">
            <v>02</v>
          </cell>
        </row>
        <row r="1583">
          <cell r="A1583" t="str">
            <v>OPERADOR DE REPRODUCCION I</v>
          </cell>
          <cell r="B1583" t="str">
            <v>23110</v>
          </cell>
          <cell r="C1583" t="str">
            <v>E</v>
          </cell>
          <cell r="D1583" t="str">
            <v>AD</v>
          </cell>
          <cell r="E1583" t="str">
            <v>01</v>
          </cell>
        </row>
        <row r="1584">
          <cell r="A1584" t="str">
            <v>OPERADOR DE SOPORTE TECNICO</v>
          </cell>
          <cell r="B1584" t="str">
            <v>51421</v>
          </cell>
          <cell r="C1584" t="str">
            <v>E</v>
          </cell>
          <cell r="D1584" t="str">
            <v>UT</v>
          </cell>
          <cell r="E1584" t="str">
            <v>05</v>
          </cell>
        </row>
        <row r="1585">
          <cell r="A1585" t="str">
            <v>OPERADOR DE TELECOMUNICACIONES AERO. I</v>
          </cell>
          <cell r="B1585" t="str">
            <v>51451</v>
          </cell>
          <cell r="C1585" t="str">
            <v>E</v>
          </cell>
          <cell r="D1585" t="str">
            <v>AD</v>
          </cell>
          <cell r="E1585" t="str">
            <v>04</v>
          </cell>
        </row>
        <row r="1586">
          <cell r="A1586" t="str">
            <v>OPERADOR DE TELECOMUNICACIONES AERON. II</v>
          </cell>
          <cell r="B1586" t="str">
            <v>51452</v>
          </cell>
          <cell r="C1586" t="str">
            <v>E</v>
          </cell>
          <cell r="D1586" t="str">
            <v>AD</v>
          </cell>
          <cell r="E1586" t="str">
            <v>05</v>
          </cell>
        </row>
        <row r="1587">
          <cell r="A1587" t="str">
            <v>OPERADOR DE TELECOMUNICACIONES I</v>
          </cell>
          <cell r="B1587" t="str">
            <v>51411</v>
          </cell>
          <cell r="C1587" t="str">
            <v>E</v>
          </cell>
          <cell r="D1587" t="str">
            <v>AD</v>
          </cell>
          <cell r="E1587" t="str">
            <v>01</v>
          </cell>
        </row>
        <row r="1588">
          <cell r="A1588" t="str">
            <v>OPERADOR DE TELECOMUNICACIONES II</v>
          </cell>
          <cell r="B1588" t="str">
            <v>51412</v>
          </cell>
          <cell r="C1588" t="str">
            <v>E</v>
          </cell>
          <cell r="D1588" t="str">
            <v>AD</v>
          </cell>
          <cell r="E1588" t="str">
            <v>03</v>
          </cell>
        </row>
        <row r="1589">
          <cell r="A1589" t="str">
            <v>OPERADOR DE TELECOMUNICACIONES III</v>
          </cell>
          <cell r="B1589" t="str">
            <v>51413</v>
          </cell>
          <cell r="C1589" t="str">
            <v>E</v>
          </cell>
          <cell r="D1589" t="str">
            <v>AD</v>
          </cell>
          <cell r="E1589" t="str">
            <v>05</v>
          </cell>
        </row>
        <row r="1590">
          <cell r="A1590" t="str">
            <v>OPERADOR DE TELECOMUNICACIONES IV</v>
          </cell>
          <cell r="B1590" t="str">
            <v>51414</v>
          </cell>
          <cell r="C1590" t="str">
            <v>E</v>
          </cell>
          <cell r="D1590" t="str">
            <v>AD</v>
          </cell>
          <cell r="E1590" t="str">
            <v>07</v>
          </cell>
        </row>
        <row r="1591">
          <cell r="A1591" t="str">
            <v>OPERADOR DE TELECOMUNICACIONES JEFE</v>
          </cell>
          <cell r="B1591" t="str">
            <v>51420</v>
          </cell>
          <cell r="C1591" t="str">
            <v>E</v>
          </cell>
          <cell r="D1591" t="str">
            <v>AD</v>
          </cell>
          <cell r="E1591" t="str">
            <v>11</v>
          </cell>
        </row>
        <row r="1592">
          <cell r="A1592" t="str">
            <v>OPERADOR TELECOMUNICACIONES AER. JEFE I</v>
          </cell>
          <cell r="B1592" t="str">
            <v>51461</v>
          </cell>
          <cell r="C1592" t="str">
            <v>E</v>
          </cell>
          <cell r="D1592" t="str">
            <v>AD</v>
          </cell>
          <cell r="E1592" t="str">
            <v>11</v>
          </cell>
        </row>
        <row r="1593">
          <cell r="A1593" t="str">
            <v>OPERADOR TELECOMUNICACIONES AERON. III</v>
          </cell>
          <cell r="B1593" t="str">
            <v>51453</v>
          </cell>
          <cell r="C1593" t="str">
            <v>E</v>
          </cell>
          <cell r="D1593" t="str">
            <v>AD</v>
          </cell>
          <cell r="E1593" t="str">
            <v>06</v>
          </cell>
        </row>
        <row r="1594">
          <cell r="A1594" t="str">
            <v>OPERADOR TELECOMUNICACIONES AERON. IV</v>
          </cell>
          <cell r="B1594" t="str">
            <v>51454</v>
          </cell>
          <cell r="C1594" t="str">
            <v>E</v>
          </cell>
          <cell r="D1594" t="str">
            <v>AD</v>
          </cell>
          <cell r="E1594" t="str">
            <v>07</v>
          </cell>
        </row>
        <row r="1595">
          <cell r="A1595" t="str">
            <v>OPERADOR TELECOMUNICACIONES AERON. V</v>
          </cell>
          <cell r="B1595" t="str">
            <v>51455</v>
          </cell>
          <cell r="C1595" t="str">
            <v>E</v>
          </cell>
          <cell r="D1595" t="str">
            <v>AD</v>
          </cell>
          <cell r="E1595" t="str">
            <v>08</v>
          </cell>
        </row>
        <row r="1596">
          <cell r="A1596" t="str">
            <v>OPERADOR TELECOMUNICAICONES AER. JEFE II</v>
          </cell>
          <cell r="B1596" t="str">
            <v>51462</v>
          </cell>
          <cell r="C1596" t="str">
            <v>E</v>
          </cell>
          <cell r="D1596" t="str">
            <v>AD</v>
          </cell>
          <cell r="E1596" t="str">
            <v>13</v>
          </cell>
        </row>
        <row r="1597">
          <cell r="A1597" t="str">
            <v>OPERADOR TELECOMUNICAICONES AERON.VI</v>
          </cell>
          <cell r="B1597" t="str">
            <v>51456</v>
          </cell>
          <cell r="C1597" t="str">
            <v>E</v>
          </cell>
          <cell r="D1597" t="str">
            <v>AD</v>
          </cell>
          <cell r="E1597" t="str">
            <v>09</v>
          </cell>
        </row>
        <row r="1598">
          <cell r="A1598" t="str">
            <v>ORDENANZA  I</v>
          </cell>
          <cell r="B1598" t="str">
            <v>62221</v>
          </cell>
          <cell r="C1598" t="str">
            <v>E</v>
          </cell>
          <cell r="D1598" t="str">
            <v>PO</v>
          </cell>
          <cell r="E1598" t="str">
            <v/>
          </cell>
        </row>
        <row r="1599">
          <cell r="A1599" t="str">
            <v>ORDENANZA II</v>
          </cell>
          <cell r="B1599" t="str">
            <v>62222</v>
          </cell>
          <cell r="C1599" t="str">
            <v>E</v>
          </cell>
          <cell r="D1599" t="str">
            <v>PO</v>
          </cell>
          <cell r="E1599" t="str">
            <v/>
          </cell>
        </row>
        <row r="1600">
          <cell r="A1600" t="str">
            <v>ORDENANZA III</v>
          </cell>
          <cell r="B1600" t="str">
            <v>62224</v>
          </cell>
          <cell r="C1600" t="str">
            <v>E</v>
          </cell>
          <cell r="D1600" t="str">
            <v>PO</v>
          </cell>
          <cell r="E1600" t="str">
            <v/>
          </cell>
        </row>
        <row r="1601">
          <cell r="A1601" t="str">
            <v>PALEONTOLOGO</v>
          </cell>
          <cell r="B1601" t="str">
            <v>36480</v>
          </cell>
          <cell r="C1601" t="str">
            <v>E</v>
          </cell>
          <cell r="D1601" t="str">
            <v>UT</v>
          </cell>
          <cell r="E1601" t="str">
            <v>20</v>
          </cell>
        </row>
        <row r="1602">
          <cell r="A1602" t="str">
            <v>PATRON DE LANCHA</v>
          </cell>
          <cell r="B1602" t="str">
            <v>52370</v>
          </cell>
          <cell r="C1602" t="str">
            <v>E</v>
          </cell>
          <cell r="D1602" t="str">
            <v>AD</v>
          </cell>
          <cell r="E1602" t="str">
            <v>01</v>
          </cell>
        </row>
        <row r="1603">
          <cell r="A1603" t="str">
            <v>PERCUSION</v>
          </cell>
          <cell r="B1603" t="str">
            <v>03623</v>
          </cell>
          <cell r="C1603" t="str">
            <v>E</v>
          </cell>
          <cell r="D1603" t="str">
            <v>AD</v>
          </cell>
          <cell r="E1603" t="str">
            <v>01</v>
          </cell>
        </row>
        <row r="1604">
          <cell r="A1604" t="str">
            <v>PERITO FORESTAL  III</v>
          </cell>
          <cell r="B1604" t="str">
            <v>41743</v>
          </cell>
          <cell r="C1604" t="str">
            <v>E</v>
          </cell>
          <cell r="D1604" t="str">
            <v>UT</v>
          </cell>
          <cell r="E1604" t="str">
            <v>17</v>
          </cell>
        </row>
        <row r="1605">
          <cell r="A1605" t="str">
            <v>PERITO FORESTAL I</v>
          </cell>
          <cell r="B1605" t="str">
            <v>41741</v>
          </cell>
          <cell r="C1605" t="str">
            <v>E</v>
          </cell>
          <cell r="D1605" t="str">
            <v>AD</v>
          </cell>
          <cell r="E1605" t="str">
            <v>02</v>
          </cell>
        </row>
        <row r="1606">
          <cell r="A1606" t="str">
            <v>PERITO FORESTAL II</v>
          </cell>
          <cell r="B1606" t="str">
            <v>41742</v>
          </cell>
          <cell r="C1606" t="str">
            <v>E</v>
          </cell>
          <cell r="D1606" t="str">
            <v>UT</v>
          </cell>
          <cell r="E1606" t="str">
            <v>15</v>
          </cell>
        </row>
        <row r="1607">
          <cell r="A1607" t="str">
            <v>PERITO FORESTAL JEFE I</v>
          </cell>
          <cell r="B1607" t="str">
            <v>41751</v>
          </cell>
          <cell r="C1607" t="str">
            <v>E</v>
          </cell>
          <cell r="D1607" t="str">
            <v>UT</v>
          </cell>
          <cell r="E1607" t="str">
            <v>19</v>
          </cell>
        </row>
        <row r="1608">
          <cell r="A1608" t="str">
            <v>PERITO FORESTAL JEFE II</v>
          </cell>
          <cell r="B1608" t="str">
            <v>41752</v>
          </cell>
          <cell r="C1608" t="str">
            <v>E</v>
          </cell>
          <cell r="D1608" t="str">
            <v>UT</v>
          </cell>
          <cell r="E1608" t="str">
            <v>21</v>
          </cell>
        </row>
        <row r="1609">
          <cell r="A1609" t="str">
            <v>PERITO NAVAL</v>
          </cell>
          <cell r="B1609" t="str">
            <v>52230</v>
          </cell>
          <cell r="C1609" t="str">
            <v>E</v>
          </cell>
          <cell r="D1609" t="str">
            <v>UT</v>
          </cell>
          <cell r="E1609" t="str">
            <v>20</v>
          </cell>
        </row>
        <row r="1610">
          <cell r="A1610" t="str">
            <v>PERSONAL ADMINISTRATIVO NO CLASIFICADO</v>
          </cell>
          <cell r="B1610" t="str">
            <v>10005</v>
          </cell>
          <cell r="C1610" t="str">
            <v>E</v>
          </cell>
          <cell r="D1610" t="str">
            <v>AD</v>
          </cell>
          <cell r="E1610" t="str">
            <v>01</v>
          </cell>
        </row>
        <row r="1611">
          <cell r="A1611" t="str">
            <v>PIANO COMPLEMENTARIO</v>
          </cell>
          <cell r="B1611" t="str">
            <v>02078</v>
          </cell>
          <cell r="C1611" t="str">
            <v>E</v>
          </cell>
          <cell r="D1611" t="str">
            <v>AD</v>
          </cell>
          <cell r="E1611" t="str">
            <v>01</v>
          </cell>
        </row>
        <row r="1612">
          <cell r="A1612" t="str">
            <v>PIANO COMPLEMENTARIO</v>
          </cell>
          <cell r="B1612" t="str">
            <v>03615</v>
          </cell>
          <cell r="C1612" t="str">
            <v>E</v>
          </cell>
          <cell r="D1612" t="str">
            <v>AD</v>
          </cell>
          <cell r="E1612" t="str">
            <v>01</v>
          </cell>
        </row>
        <row r="1613">
          <cell r="A1613" t="str">
            <v>PILOTO DE BUSQUEDA Y SALVAMENTO I</v>
          </cell>
          <cell r="B1613" t="str">
            <v>85531</v>
          </cell>
          <cell r="C1613" t="str">
            <v>E</v>
          </cell>
          <cell r="D1613" t="str">
            <v>AD</v>
          </cell>
          <cell r="E1613" t="str">
            <v>11</v>
          </cell>
        </row>
        <row r="1614">
          <cell r="A1614" t="str">
            <v>PILOTO DE BUSQUEDA Y SALVAMENTO II</v>
          </cell>
          <cell r="B1614" t="str">
            <v>85532</v>
          </cell>
          <cell r="C1614" t="str">
            <v>E</v>
          </cell>
          <cell r="D1614" t="str">
            <v>AD</v>
          </cell>
          <cell r="E1614" t="str">
            <v>12</v>
          </cell>
        </row>
        <row r="1615">
          <cell r="A1615" t="str">
            <v>PILOTO DE BUSQUEDA Y SALVAMENTO III</v>
          </cell>
          <cell r="B1615" t="str">
            <v>85533</v>
          </cell>
          <cell r="C1615" t="str">
            <v>E</v>
          </cell>
          <cell r="D1615" t="str">
            <v>AD</v>
          </cell>
          <cell r="E1615" t="str">
            <v>13</v>
          </cell>
        </row>
        <row r="1616">
          <cell r="A1616" t="str">
            <v>PILOTO DE BUSQUEDA Y SALVAMENTO IV</v>
          </cell>
          <cell r="B1616" t="str">
            <v>85534</v>
          </cell>
          <cell r="C1616" t="str">
            <v>E</v>
          </cell>
          <cell r="D1616" t="str">
            <v>AD</v>
          </cell>
          <cell r="E1616" t="str">
            <v>14</v>
          </cell>
        </row>
        <row r="1617">
          <cell r="A1617" t="str">
            <v>PILOTO DE HELICOPTERO BUSQUD. Y SALV.III</v>
          </cell>
          <cell r="B1617" t="str">
            <v>85553</v>
          </cell>
          <cell r="C1617" t="str">
            <v>E</v>
          </cell>
          <cell r="D1617" t="str">
            <v>AD</v>
          </cell>
          <cell r="E1617" t="str">
            <v>12</v>
          </cell>
        </row>
        <row r="1618">
          <cell r="A1618" t="str">
            <v>PILOTO DE HELICOPTERO BUSQUEDA Y SALV II</v>
          </cell>
          <cell r="B1618" t="str">
            <v>85552</v>
          </cell>
          <cell r="C1618" t="str">
            <v>E</v>
          </cell>
          <cell r="D1618" t="str">
            <v>AD</v>
          </cell>
          <cell r="E1618" t="str">
            <v>11</v>
          </cell>
        </row>
        <row r="1619">
          <cell r="A1619" t="str">
            <v>PILOTO DE HELICOPTERO DE BUSQUEDA Y SALV</v>
          </cell>
          <cell r="B1619" t="str">
            <v>85551</v>
          </cell>
          <cell r="C1619" t="str">
            <v>E</v>
          </cell>
          <cell r="D1619" t="str">
            <v>AD</v>
          </cell>
          <cell r="E1619" t="str">
            <v>10</v>
          </cell>
        </row>
        <row r="1620">
          <cell r="A1620" t="str">
            <v>PILOTO INSPECTOR DE VUELO I</v>
          </cell>
          <cell r="B1620" t="str">
            <v>51741</v>
          </cell>
          <cell r="C1620" t="str">
            <v>E</v>
          </cell>
          <cell r="D1620" t="str">
            <v>AD</v>
          </cell>
          <cell r="E1620" t="str">
            <v>07</v>
          </cell>
        </row>
        <row r="1621">
          <cell r="A1621" t="str">
            <v>PILOTO INSPECTOR DE VUELO II</v>
          </cell>
          <cell r="B1621" t="str">
            <v>51742</v>
          </cell>
          <cell r="C1621" t="str">
            <v>E</v>
          </cell>
          <cell r="D1621" t="str">
            <v>AD</v>
          </cell>
          <cell r="E1621" t="str">
            <v>08</v>
          </cell>
        </row>
        <row r="1622">
          <cell r="A1622" t="str">
            <v>PILOTO INSTRUCTOR DE VUELO II</v>
          </cell>
          <cell r="B1622" t="str">
            <v>54122</v>
          </cell>
          <cell r="C1622" t="str">
            <v>E</v>
          </cell>
          <cell r="D1622" t="str">
            <v>AD</v>
          </cell>
          <cell r="E1622" t="str">
            <v>08</v>
          </cell>
        </row>
        <row r="1623">
          <cell r="A1623" t="str">
            <v>PILOTO INSTRUCTOR DE VUELO III</v>
          </cell>
          <cell r="B1623" t="str">
            <v>54123</v>
          </cell>
          <cell r="C1623" t="str">
            <v>E</v>
          </cell>
          <cell r="D1623" t="str">
            <v>AD</v>
          </cell>
          <cell r="E1623" t="str">
            <v>09</v>
          </cell>
        </row>
        <row r="1624">
          <cell r="A1624" t="str">
            <v>PILOTO INSTRUCTOR DE VUELO JEFE</v>
          </cell>
          <cell r="B1624" t="str">
            <v>54130</v>
          </cell>
          <cell r="C1624" t="str">
            <v>E</v>
          </cell>
          <cell r="D1624" t="str">
            <v>AD</v>
          </cell>
          <cell r="E1624" t="str">
            <v>10</v>
          </cell>
        </row>
        <row r="1625">
          <cell r="A1625" t="str">
            <v>PILOTO JEFE</v>
          </cell>
          <cell r="B1625" t="str">
            <v>52490</v>
          </cell>
          <cell r="C1625" t="str">
            <v>E</v>
          </cell>
          <cell r="D1625" t="str">
            <v>AD</v>
          </cell>
          <cell r="E1625" t="str">
            <v>13</v>
          </cell>
        </row>
        <row r="1626">
          <cell r="A1626" t="str">
            <v>PILOTO JEFE DE OPERACIONES</v>
          </cell>
          <cell r="B1626" t="str">
            <v>52495</v>
          </cell>
          <cell r="C1626" t="str">
            <v>E</v>
          </cell>
          <cell r="D1626" t="str">
            <v>AD</v>
          </cell>
          <cell r="E1626" t="str">
            <v>14</v>
          </cell>
        </row>
        <row r="1627">
          <cell r="A1627" t="str">
            <v>PILOTO OFICIAL DE LA MARINA MERCANTE</v>
          </cell>
          <cell r="B1627" t="str">
            <v>52250</v>
          </cell>
          <cell r="C1627" t="str">
            <v>E</v>
          </cell>
          <cell r="D1627" t="str">
            <v>UT</v>
          </cell>
          <cell r="E1627" t="str">
            <v>16</v>
          </cell>
        </row>
        <row r="1628">
          <cell r="A1628" t="str">
            <v>PLANIFICADOR CENTRAL EN FORMACION</v>
          </cell>
          <cell r="B1628" t="str">
            <v>13380</v>
          </cell>
          <cell r="C1628" t="str">
            <v>E</v>
          </cell>
          <cell r="D1628" t="str">
            <v>UT</v>
          </cell>
          <cell r="E1628" t="str">
            <v>17</v>
          </cell>
        </row>
        <row r="1629">
          <cell r="A1629" t="str">
            <v>PLANIFICADOR CENTRAL I</v>
          </cell>
          <cell r="B1629" t="str">
            <v>13381</v>
          </cell>
          <cell r="C1629" t="str">
            <v>E</v>
          </cell>
          <cell r="D1629" t="str">
            <v>UT</v>
          </cell>
          <cell r="E1629" t="str">
            <v>19</v>
          </cell>
        </row>
        <row r="1630">
          <cell r="A1630" t="str">
            <v>PLANIFICADOR CENTRAL II</v>
          </cell>
          <cell r="B1630" t="str">
            <v>13382</v>
          </cell>
          <cell r="C1630" t="str">
            <v>E</v>
          </cell>
          <cell r="D1630" t="str">
            <v>UT</v>
          </cell>
          <cell r="E1630" t="str">
            <v>21</v>
          </cell>
        </row>
        <row r="1631">
          <cell r="A1631" t="str">
            <v>PLANIFICADOR CENTRAL III</v>
          </cell>
          <cell r="B1631" t="str">
            <v>13383</v>
          </cell>
          <cell r="C1631" t="str">
            <v>E</v>
          </cell>
          <cell r="D1631" t="str">
            <v>UT</v>
          </cell>
          <cell r="E1631" t="str">
            <v>23</v>
          </cell>
        </row>
        <row r="1632">
          <cell r="A1632" t="str">
            <v>PLANIFICADOR CENTRAL IV</v>
          </cell>
          <cell r="B1632" t="str">
            <v>13384</v>
          </cell>
          <cell r="C1632" t="str">
            <v>E</v>
          </cell>
          <cell r="D1632" t="str">
            <v>UT</v>
          </cell>
          <cell r="E1632" t="str">
            <v>24</v>
          </cell>
        </row>
        <row r="1633">
          <cell r="A1633" t="str">
            <v>PLANIFICADOR CENTRAL JEFE</v>
          </cell>
          <cell r="B1633" t="str">
            <v>13390</v>
          </cell>
          <cell r="C1633" t="str">
            <v>E</v>
          </cell>
          <cell r="D1633" t="str">
            <v>UT</v>
          </cell>
          <cell r="E1633" t="str">
            <v>26</v>
          </cell>
        </row>
        <row r="1634">
          <cell r="A1634" t="str">
            <v>PLANIFICADOR I</v>
          </cell>
          <cell r="B1634" t="str">
            <v>13361</v>
          </cell>
          <cell r="C1634" t="str">
            <v>E</v>
          </cell>
          <cell r="D1634" t="str">
            <v>UT</v>
          </cell>
          <cell r="E1634" t="str">
            <v>17</v>
          </cell>
        </row>
        <row r="1635">
          <cell r="A1635" t="str">
            <v>PLANIFICADOR II</v>
          </cell>
          <cell r="B1635" t="str">
            <v>13362</v>
          </cell>
          <cell r="C1635" t="str">
            <v>E</v>
          </cell>
          <cell r="D1635" t="str">
            <v>UT</v>
          </cell>
          <cell r="E1635" t="str">
            <v>19</v>
          </cell>
        </row>
        <row r="1636">
          <cell r="A1636" t="str">
            <v>PLANIFICADOR III</v>
          </cell>
          <cell r="B1636" t="str">
            <v>13363</v>
          </cell>
          <cell r="C1636" t="str">
            <v>E</v>
          </cell>
          <cell r="D1636" t="str">
            <v>UT</v>
          </cell>
          <cell r="E1636" t="str">
            <v>21</v>
          </cell>
        </row>
        <row r="1637">
          <cell r="A1637" t="str">
            <v>PLANIFICADOR IV</v>
          </cell>
          <cell r="B1637" t="str">
            <v>13364</v>
          </cell>
          <cell r="C1637" t="str">
            <v>E</v>
          </cell>
          <cell r="D1637" t="str">
            <v>UT</v>
          </cell>
          <cell r="E1637" t="str">
            <v>22</v>
          </cell>
        </row>
        <row r="1638">
          <cell r="A1638" t="str">
            <v>PLANIFICADOR JEFE</v>
          </cell>
          <cell r="B1638" t="str">
            <v>13370</v>
          </cell>
          <cell r="C1638" t="str">
            <v>E</v>
          </cell>
          <cell r="D1638" t="str">
            <v>UT</v>
          </cell>
          <cell r="E1638" t="str">
            <v>24</v>
          </cell>
        </row>
        <row r="1639">
          <cell r="A1639" t="str">
            <v>PLANIFICADOR V</v>
          </cell>
          <cell r="B1639" t="str">
            <v>13365</v>
          </cell>
          <cell r="C1639" t="str">
            <v>E</v>
          </cell>
          <cell r="D1639" t="str">
            <v>UT</v>
          </cell>
          <cell r="E1639" t="str">
            <v>23</v>
          </cell>
        </row>
        <row r="1640">
          <cell r="A1640" t="str">
            <v>PRECEPTOR</v>
          </cell>
          <cell r="B1640" t="str">
            <v>40002</v>
          </cell>
          <cell r="C1640" t="str">
            <v>E</v>
          </cell>
          <cell r="D1640" t="str">
            <v>DO</v>
          </cell>
          <cell r="E1640" t="str">
            <v/>
          </cell>
        </row>
        <row r="1641">
          <cell r="A1641" t="str">
            <v>PREFECTO DE MUNICIPIO</v>
          </cell>
          <cell r="B1641" t="str">
            <v>61221</v>
          </cell>
          <cell r="C1641" t="str">
            <v>E</v>
          </cell>
          <cell r="D1641" t="str">
            <v>DI</v>
          </cell>
          <cell r="E1641" t="str">
            <v>99</v>
          </cell>
        </row>
        <row r="1642">
          <cell r="A1642" t="str">
            <v>PREFECTO DE PARROQUIA</v>
          </cell>
          <cell r="B1642" t="str">
            <v>61222</v>
          </cell>
          <cell r="C1642" t="str">
            <v>E</v>
          </cell>
          <cell r="D1642" t="str">
            <v>DI</v>
          </cell>
          <cell r="E1642" t="str">
            <v>99</v>
          </cell>
        </row>
        <row r="1643">
          <cell r="A1643" t="str">
            <v>PRESIDENTE</v>
          </cell>
          <cell r="B1643" t="str">
            <v>61223</v>
          </cell>
          <cell r="C1643" t="str">
            <v>E</v>
          </cell>
          <cell r="D1643" t="str">
            <v>DI</v>
          </cell>
          <cell r="E1643" t="str">
            <v>99</v>
          </cell>
        </row>
        <row r="1644">
          <cell r="A1644" t="str">
            <v>PRIMER OFICIAL DE JET I</v>
          </cell>
          <cell r="B1644" t="str">
            <v>52451</v>
          </cell>
          <cell r="C1644" t="str">
            <v>E</v>
          </cell>
          <cell r="D1644" t="str">
            <v>AD</v>
          </cell>
          <cell r="E1644" t="str">
            <v>09</v>
          </cell>
        </row>
        <row r="1645">
          <cell r="A1645" t="str">
            <v>PRIMER OFICIAL DE JET II</v>
          </cell>
          <cell r="B1645" t="str">
            <v>52452</v>
          </cell>
          <cell r="C1645" t="str">
            <v>E</v>
          </cell>
          <cell r="D1645" t="str">
            <v>AD</v>
          </cell>
          <cell r="E1645" t="str">
            <v>11</v>
          </cell>
        </row>
        <row r="1646">
          <cell r="A1646" t="str">
            <v>PRIMER OFICIAL DE TURBO</v>
          </cell>
          <cell r="B1646" t="str">
            <v>52435</v>
          </cell>
          <cell r="C1646" t="str">
            <v>E</v>
          </cell>
          <cell r="D1646" t="str">
            <v>AD</v>
          </cell>
          <cell r="E1646" t="str">
            <v>10</v>
          </cell>
        </row>
        <row r="1647">
          <cell r="A1647" t="str">
            <v>PROCURADOR DE TRABAJADORES</v>
          </cell>
          <cell r="B1647" t="str">
            <v>35140</v>
          </cell>
          <cell r="C1647" t="str">
            <v>E</v>
          </cell>
          <cell r="D1647" t="str">
            <v>UT</v>
          </cell>
          <cell r="E1647" t="str">
            <v>20</v>
          </cell>
        </row>
        <row r="1648">
          <cell r="A1648" t="str">
            <v>PRODUCTOR DE RADIO</v>
          </cell>
          <cell r="B1648" t="str">
            <v>32175</v>
          </cell>
          <cell r="C1648" t="str">
            <v>E</v>
          </cell>
          <cell r="D1648" t="str">
            <v>UT</v>
          </cell>
          <cell r="E1648" t="str">
            <v>17</v>
          </cell>
        </row>
        <row r="1649">
          <cell r="A1649" t="str">
            <v>PROF DE CUATRO</v>
          </cell>
          <cell r="B1649" t="str">
            <v>40004</v>
          </cell>
          <cell r="C1649" t="str">
            <v>E</v>
          </cell>
          <cell r="D1649" t="str">
            <v>DO</v>
          </cell>
          <cell r="E1649" t="str">
            <v/>
          </cell>
        </row>
        <row r="1650">
          <cell r="A1650" t="str">
            <v>PROF. ARMONIA COMPLEMENTARIA</v>
          </cell>
          <cell r="B1650" t="str">
            <v>02054</v>
          </cell>
          <cell r="C1650" t="str">
            <v>E</v>
          </cell>
          <cell r="D1650" t="str">
            <v>DO</v>
          </cell>
          <cell r="E1650" t="str">
            <v/>
          </cell>
        </row>
        <row r="1651">
          <cell r="A1651" t="str">
            <v>PROF. BALLET Y DANZAS</v>
          </cell>
          <cell r="B1651" t="str">
            <v>02066</v>
          </cell>
          <cell r="C1651" t="str">
            <v>E</v>
          </cell>
          <cell r="D1651" t="str">
            <v>DO</v>
          </cell>
          <cell r="E1651" t="str">
            <v/>
          </cell>
        </row>
        <row r="1652">
          <cell r="A1652" t="str">
            <v>PROF. CERAMICA N.G.</v>
          </cell>
          <cell r="B1652" t="str">
            <v>02071</v>
          </cell>
          <cell r="C1652" t="str">
            <v>E</v>
          </cell>
          <cell r="D1652" t="str">
            <v>DO</v>
          </cell>
          <cell r="E1652" t="str">
            <v/>
          </cell>
        </row>
        <row r="1653">
          <cell r="A1653" t="str">
            <v>PROF. CLARINETE II  77</v>
          </cell>
          <cell r="B1653" t="str">
            <v>01412</v>
          </cell>
          <cell r="C1653" t="str">
            <v>E</v>
          </cell>
          <cell r="D1653" t="str">
            <v>DO</v>
          </cell>
          <cell r="E1653" t="str">
            <v/>
          </cell>
        </row>
        <row r="1654">
          <cell r="A1654" t="str">
            <v>PROF. CLARINETE N.G.</v>
          </cell>
          <cell r="B1654" t="str">
            <v>02047</v>
          </cell>
          <cell r="C1654" t="str">
            <v>E</v>
          </cell>
          <cell r="D1654" t="str">
            <v>DO</v>
          </cell>
          <cell r="E1654" t="str">
            <v/>
          </cell>
        </row>
        <row r="1655">
          <cell r="A1655" t="str">
            <v>PROF. CLARINETE VI</v>
          </cell>
          <cell r="B1655" t="str">
            <v>01827</v>
          </cell>
          <cell r="C1655" t="str">
            <v>E</v>
          </cell>
          <cell r="D1655" t="str">
            <v>DO</v>
          </cell>
          <cell r="E1655" t="str">
            <v/>
          </cell>
        </row>
        <row r="1656">
          <cell r="A1656" t="str">
            <v>PROF. CORNO I</v>
          </cell>
          <cell r="B1656" t="str">
            <v>02052</v>
          </cell>
          <cell r="C1656" t="str">
            <v>E</v>
          </cell>
          <cell r="D1656" t="str">
            <v>DO</v>
          </cell>
          <cell r="E1656" t="str">
            <v/>
          </cell>
        </row>
        <row r="1657">
          <cell r="A1657" t="str">
            <v>PROF. CORTE Y CONF. 77  IV</v>
          </cell>
          <cell r="B1657" t="str">
            <v>02065</v>
          </cell>
          <cell r="C1657" t="str">
            <v>E</v>
          </cell>
          <cell r="D1657" t="str">
            <v>DO</v>
          </cell>
          <cell r="E1657" t="str">
            <v/>
          </cell>
        </row>
        <row r="1658">
          <cell r="A1658" t="str">
            <v>PROF. DE PIANO  IV  139</v>
          </cell>
          <cell r="B1658" t="str">
            <v>01424</v>
          </cell>
          <cell r="C1658" t="str">
            <v>E</v>
          </cell>
          <cell r="D1658" t="str">
            <v>DO</v>
          </cell>
          <cell r="E1658" t="str">
            <v/>
          </cell>
        </row>
        <row r="1659">
          <cell r="A1659" t="str">
            <v>PROF. DE PIANO III  77</v>
          </cell>
          <cell r="B1659" t="str">
            <v>01433</v>
          </cell>
          <cell r="C1659" t="str">
            <v>E</v>
          </cell>
          <cell r="D1659" t="str">
            <v>DO</v>
          </cell>
          <cell r="E1659" t="str">
            <v/>
          </cell>
        </row>
        <row r="1660">
          <cell r="A1660" t="str">
            <v>PROF. DIB. Y DEC. G.III 77</v>
          </cell>
          <cell r="B1660" t="str">
            <v>01443</v>
          </cell>
          <cell r="C1660" t="str">
            <v>E</v>
          </cell>
          <cell r="D1660" t="str">
            <v>DO</v>
          </cell>
          <cell r="E1660" t="str">
            <v/>
          </cell>
        </row>
        <row r="1661">
          <cell r="A1661" t="str">
            <v>PROF. DIBUJO Y DEC. VI 77</v>
          </cell>
          <cell r="B1661" t="str">
            <v>01446</v>
          </cell>
          <cell r="C1661" t="str">
            <v>E</v>
          </cell>
          <cell r="D1661" t="str">
            <v>DO</v>
          </cell>
          <cell r="E1661" t="str">
            <v/>
          </cell>
        </row>
        <row r="1662">
          <cell r="A1662" t="str">
            <v>PROF. ESCULTURA N.G.</v>
          </cell>
          <cell r="B1662" t="str">
            <v>02064</v>
          </cell>
          <cell r="C1662" t="str">
            <v>E</v>
          </cell>
          <cell r="D1662" t="str">
            <v>DO</v>
          </cell>
          <cell r="E1662" t="str">
            <v/>
          </cell>
        </row>
        <row r="1663">
          <cell r="A1663" t="str">
            <v>PROF. FLAUTA</v>
          </cell>
          <cell r="B1663" t="str">
            <v>02059</v>
          </cell>
          <cell r="C1663" t="str">
            <v>E</v>
          </cell>
          <cell r="D1663" t="str">
            <v>DO</v>
          </cell>
          <cell r="E1663" t="str">
            <v/>
          </cell>
        </row>
        <row r="1664">
          <cell r="A1664" t="str">
            <v>PROF. FORMACION CORAL</v>
          </cell>
          <cell r="B1664" t="str">
            <v>02050</v>
          </cell>
          <cell r="C1664" t="str">
            <v>E</v>
          </cell>
          <cell r="D1664" t="str">
            <v>DO</v>
          </cell>
          <cell r="E1664" t="str">
            <v/>
          </cell>
        </row>
        <row r="1665">
          <cell r="A1665" t="str">
            <v>PROF. FOTOGRAFIA  VI  139</v>
          </cell>
          <cell r="B1665" t="str">
            <v>01546</v>
          </cell>
          <cell r="C1665" t="str">
            <v>E</v>
          </cell>
          <cell r="D1665" t="str">
            <v>DO</v>
          </cell>
          <cell r="E1665" t="str">
            <v/>
          </cell>
        </row>
        <row r="1666">
          <cell r="A1666" t="str">
            <v>PROF. GUITARRA VI 139</v>
          </cell>
          <cell r="B1666" t="str">
            <v>01534</v>
          </cell>
          <cell r="C1666" t="str">
            <v>E</v>
          </cell>
          <cell r="D1666" t="str">
            <v>DO</v>
          </cell>
          <cell r="E1666" t="str">
            <v/>
          </cell>
        </row>
        <row r="1667">
          <cell r="A1667" t="str">
            <v>PROF. HIST. MUSICA VI  139</v>
          </cell>
          <cell r="B1667" t="str">
            <v>01453</v>
          </cell>
          <cell r="C1667" t="str">
            <v>E</v>
          </cell>
          <cell r="D1667" t="str">
            <v>DO</v>
          </cell>
          <cell r="E1667" t="str">
            <v/>
          </cell>
        </row>
        <row r="1668">
          <cell r="A1668" t="str">
            <v>PROF. HISTORIA DEL A.IV 77</v>
          </cell>
          <cell r="B1668" t="str">
            <v>01454</v>
          </cell>
          <cell r="C1668" t="str">
            <v>E</v>
          </cell>
          <cell r="D1668" t="str">
            <v>DO</v>
          </cell>
          <cell r="E1668" t="str">
            <v/>
          </cell>
        </row>
        <row r="1669">
          <cell r="A1669" t="str">
            <v>PROF. HISTORIA DEL A.VI 77</v>
          </cell>
          <cell r="B1669" t="str">
            <v>01456</v>
          </cell>
          <cell r="C1669" t="str">
            <v>E</v>
          </cell>
          <cell r="D1669" t="str">
            <v>DO</v>
          </cell>
          <cell r="E1669" t="str">
            <v/>
          </cell>
        </row>
        <row r="1670">
          <cell r="A1670" t="str">
            <v>PROF. HISTORIA EST.III 77</v>
          </cell>
          <cell r="B1670" t="str">
            <v>01563</v>
          </cell>
          <cell r="C1670" t="str">
            <v>E</v>
          </cell>
          <cell r="D1670" t="str">
            <v>DO</v>
          </cell>
          <cell r="E1670" t="str">
            <v/>
          </cell>
        </row>
        <row r="1671">
          <cell r="A1671" t="str">
            <v>PROF. HISTORIA ESTETICA</v>
          </cell>
          <cell r="B1671" t="str">
            <v>02058</v>
          </cell>
          <cell r="C1671" t="str">
            <v>E</v>
          </cell>
          <cell r="D1671" t="str">
            <v>DO</v>
          </cell>
          <cell r="E1671" t="str">
            <v/>
          </cell>
        </row>
        <row r="1672">
          <cell r="A1672" t="str">
            <v>PROF. HORAS DE BASICA(2746HRAS)</v>
          </cell>
          <cell r="B1672" t="str">
            <v>03748</v>
          </cell>
          <cell r="C1672" t="str">
            <v>E</v>
          </cell>
          <cell r="D1672" t="str">
            <v>DO</v>
          </cell>
          <cell r="E1672" t="str">
            <v/>
          </cell>
        </row>
        <row r="1673">
          <cell r="A1673" t="str">
            <v>PROF. HORAS EDUC MEDIA(1373 HRAS)</v>
          </cell>
          <cell r="B1673" t="str">
            <v>03749</v>
          </cell>
          <cell r="C1673" t="str">
            <v>E</v>
          </cell>
          <cell r="D1673" t="str">
            <v>DO</v>
          </cell>
          <cell r="E1673" t="str">
            <v/>
          </cell>
        </row>
        <row r="1674">
          <cell r="A1674" t="str">
            <v>PROF. KINDER MUSICAL N.G.</v>
          </cell>
          <cell r="B1674" t="str">
            <v>02049</v>
          </cell>
          <cell r="C1674" t="str">
            <v>E</v>
          </cell>
          <cell r="D1674" t="str">
            <v>DO</v>
          </cell>
          <cell r="E1674" t="str">
            <v/>
          </cell>
        </row>
        <row r="1675">
          <cell r="A1675" t="str">
            <v>PROF. KINDER MUSICAL VI 77</v>
          </cell>
          <cell r="B1675" t="str">
            <v>01466</v>
          </cell>
          <cell r="C1675" t="str">
            <v>E</v>
          </cell>
          <cell r="D1675" t="str">
            <v>DO</v>
          </cell>
          <cell r="E1675" t="str">
            <v/>
          </cell>
        </row>
        <row r="1676">
          <cell r="A1676" t="str">
            <v>PROF. LANG. PLASTICO I 77</v>
          </cell>
          <cell r="B1676" t="str">
            <v>01471</v>
          </cell>
          <cell r="C1676" t="str">
            <v>E</v>
          </cell>
          <cell r="D1676" t="str">
            <v>DO</v>
          </cell>
          <cell r="E1676" t="str">
            <v/>
          </cell>
        </row>
        <row r="1677">
          <cell r="A1677" t="str">
            <v>PROF. MANUALIDADES 77 II</v>
          </cell>
          <cell r="B1677" t="str">
            <v>02037</v>
          </cell>
          <cell r="C1677" t="str">
            <v>E</v>
          </cell>
          <cell r="D1677" t="str">
            <v>DO</v>
          </cell>
          <cell r="E1677" t="str">
            <v/>
          </cell>
        </row>
        <row r="1678">
          <cell r="A1678" t="str">
            <v>PROF. MANUALIDADES III 77</v>
          </cell>
          <cell r="B1678" t="str">
            <v>02061</v>
          </cell>
          <cell r="C1678" t="str">
            <v>E</v>
          </cell>
          <cell r="D1678" t="str">
            <v>DO</v>
          </cell>
          <cell r="E1678" t="str">
            <v/>
          </cell>
        </row>
        <row r="1679">
          <cell r="A1679" t="str">
            <v>PROF. MUSICA POP. VI   77</v>
          </cell>
          <cell r="B1679" t="str">
            <v>01556</v>
          </cell>
          <cell r="C1679" t="str">
            <v>E</v>
          </cell>
          <cell r="D1679" t="str">
            <v>DO</v>
          </cell>
          <cell r="E1679" t="str">
            <v/>
          </cell>
        </row>
        <row r="1680">
          <cell r="A1680" t="str">
            <v>PROF. OBOE</v>
          </cell>
          <cell r="B1680" t="str">
            <v>02060</v>
          </cell>
          <cell r="C1680" t="str">
            <v>E</v>
          </cell>
          <cell r="D1680" t="str">
            <v>DO</v>
          </cell>
          <cell r="E1680" t="str">
            <v/>
          </cell>
        </row>
        <row r="1681">
          <cell r="A1681" t="str">
            <v>PROF. PIANO COMPLEMENTARIO</v>
          </cell>
          <cell r="B1681" t="str">
            <v>02051</v>
          </cell>
          <cell r="C1681" t="str">
            <v>E</v>
          </cell>
          <cell r="D1681" t="str">
            <v>DO</v>
          </cell>
          <cell r="E1681" t="str">
            <v/>
          </cell>
        </row>
        <row r="1682">
          <cell r="A1682" t="str">
            <v>PROF. PIANO PRINCIPAL III 77</v>
          </cell>
          <cell r="B1682" t="str">
            <v>01483</v>
          </cell>
          <cell r="C1682" t="str">
            <v>E</v>
          </cell>
          <cell r="D1682" t="str">
            <v>DO</v>
          </cell>
          <cell r="E1682" t="str">
            <v/>
          </cell>
        </row>
        <row r="1683">
          <cell r="A1683" t="str">
            <v>PROF. PINTURA INFAN. V 77</v>
          </cell>
          <cell r="B1683" t="str">
            <v>01495</v>
          </cell>
          <cell r="C1683" t="str">
            <v>E</v>
          </cell>
          <cell r="D1683" t="str">
            <v>DO</v>
          </cell>
          <cell r="E1683" t="str">
            <v/>
          </cell>
        </row>
        <row r="1684">
          <cell r="A1684" t="str">
            <v>PROF. PINTURA Y DIBUJO</v>
          </cell>
          <cell r="B1684" t="str">
            <v>00592</v>
          </cell>
          <cell r="C1684" t="str">
            <v>E</v>
          </cell>
          <cell r="D1684" t="str">
            <v>DO</v>
          </cell>
          <cell r="E1684" t="str">
            <v/>
          </cell>
        </row>
        <row r="1685">
          <cell r="A1685" t="str">
            <v>PROF. RECURSOS AUDIO N.G</v>
          </cell>
          <cell r="B1685" t="str">
            <v>02070</v>
          </cell>
          <cell r="C1685" t="str">
            <v>E</v>
          </cell>
          <cell r="D1685" t="str">
            <v>DO</v>
          </cell>
          <cell r="E1685" t="str">
            <v/>
          </cell>
        </row>
        <row r="1686">
          <cell r="A1686" t="str">
            <v>PROF. TEORIA Y SOLFEO</v>
          </cell>
          <cell r="B1686" t="str">
            <v>02053</v>
          </cell>
          <cell r="C1686" t="str">
            <v>E</v>
          </cell>
          <cell r="D1686" t="str">
            <v>DO</v>
          </cell>
          <cell r="E1686" t="str">
            <v/>
          </cell>
        </row>
        <row r="1687">
          <cell r="A1687" t="str">
            <v>PROF. TROMPETA N.G.</v>
          </cell>
          <cell r="B1687" t="str">
            <v>02048</v>
          </cell>
          <cell r="C1687" t="str">
            <v>E</v>
          </cell>
          <cell r="D1687" t="str">
            <v>DO</v>
          </cell>
          <cell r="E1687" t="str">
            <v/>
          </cell>
        </row>
        <row r="1688">
          <cell r="A1688" t="str">
            <v>PROF. VIOLA III 77</v>
          </cell>
          <cell r="B1688" t="str">
            <v>01513</v>
          </cell>
          <cell r="C1688" t="str">
            <v>E</v>
          </cell>
          <cell r="D1688" t="str">
            <v>DO</v>
          </cell>
          <cell r="E1688" t="str">
            <v/>
          </cell>
        </row>
        <row r="1689">
          <cell r="A1689" t="str">
            <v>PROF. VIOLIN III 77</v>
          </cell>
          <cell r="B1689" t="str">
            <v>01523</v>
          </cell>
          <cell r="C1689" t="str">
            <v>E</v>
          </cell>
          <cell r="D1689" t="str">
            <v>DO</v>
          </cell>
          <cell r="E1689" t="str">
            <v/>
          </cell>
        </row>
        <row r="1690">
          <cell r="A1690" t="str">
            <v>PROF. VIOLONCELLO III 77</v>
          </cell>
          <cell r="B1690" t="str">
            <v>01533</v>
          </cell>
          <cell r="C1690" t="str">
            <v>E</v>
          </cell>
          <cell r="D1690" t="str">
            <v>DO</v>
          </cell>
          <cell r="E1690" t="str">
            <v/>
          </cell>
        </row>
        <row r="1691">
          <cell r="A1691" t="str">
            <v>PROF.CERAMICA ARTISTICA N.G.</v>
          </cell>
          <cell r="B1691" t="str">
            <v>02025</v>
          </cell>
          <cell r="C1691" t="str">
            <v>E</v>
          </cell>
          <cell r="D1691" t="str">
            <v>DO</v>
          </cell>
          <cell r="E1691" t="str">
            <v/>
          </cell>
        </row>
        <row r="1692">
          <cell r="A1692" t="str">
            <v>PROF.TEATRO N.G.</v>
          </cell>
          <cell r="B1692" t="str">
            <v>02033</v>
          </cell>
          <cell r="C1692" t="str">
            <v>E</v>
          </cell>
          <cell r="D1692" t="str">
            <v>DO</v>
          </cell>
          <cell r="E1692" t="str">
            <v/>
          </cell>
        </row>
        <row r="1693">
          <cell r="A1693" t="str">
            <v>PROFESOR DE CONTRABAJO</v>
          </cell>
          <cell r="B1693" t="str">
            <v>40158</v>
          </cell>
          <cell r="C1693" t="str">
            <v>E</v>
          </cell>
          <cell r="D1693" t="str">
            <v>DO</v>
          </cell>
          <cell r="E1693" t="str">
            <v/>
          </cell>
        </row>
        <row r="1694">
          <cell r="A1694" t="str">
            <v>PROFESOR DE ESCULTURA Y ARTES GRAFICAS Y DOCENTE AULA MEDIA PROFESIONAL NG</v>
          </cell>
          <cell r="B1694" t="str">
            <v>40159</v>
          </cell>
          <cell r="C1694" t="str">
            <v>E</v>
          </cell>
          <cell r="D1694" t="str">
            <v>DO</v>
          </cell>
          <cell r="E1694" t="str">
            <v/>
          </cell>
        </row>
        <row r="1695">
          <cell r="A1695" t="str">
            <v>PROFESOR DE MANUALIDADES</v>
          </cell>
          <cell r="B1695" t="str">
            <v>40301</v>
          </cell>
          <cell r="C1695" t="str">
            <v>E</v>
          </cell>
          <cell r="D1695" t="str">
            <v>DO</v>
          </cell>
          <cell r="E1695" t="str">
            <v/>
          </cell>
        </row>
        <row r="1696">
          <cell r="A1696" t="str">
            <v>PROFESOR DE MUSICA</v>
          </cell>
          <cell r="B1696" t="str">
            <v>40160</v>
          </cell>
          <cell r="C1696" t="str">
            <v>E</v>
          </cell>
          <cell r="D1696" t="str">
            <v>DO</v>
          </cell>
          <cell r="E1696" t="str">
            <v/>
          </cell>
        </row>
        <row r="1697">
          <cell r="A1697" t="str">
            <v>PROFESOR DE VIOLA N.G.</v>
          </cell>
          <cell r="B1697" t="str">
            <v>02035</v>
          </cell>
          <cell r="C1697" t="str">
            <v>E</v>
          </cell>
          <cell r="D1697" t="str">
            <v>DO</v>
          </cell>
          <cell r="E1697" t="str">
            <v/>
          </cell>
        </row>
        <row r="1698">
          <cell r="A1698" t="str">
            <v>PROFESOR DE VIOLIN N.G.</v>
          </cell>
          <cell r="B1698" t="str">
            <v>02036</v>
          </cell>
          <cell r="C1698" t="str">
            <v>E</v>
          </cell>
          <cell r="D1698" t="str">
            <v>DO</v>
          </cell>
          <cell r="E1698" t="str">
            <v/>
          </cell>
        </row>
        <row r="1699">
          <cell r="A1699" t="str">
            <v>PROFESOR I TID</v>
          </cell>
          <cell r="B1699" t="str">
            <v>00704</v>
          </cell>
          <cell r="C1699" t="str">
            <v>E</v>
          </cell>
          <cell r="D1699" t="str">
            <v>DO</v>
          </cell>
          <cell r="E1699" t="str">
            <v/>
          </cell>
        </row>
        <row r="1700">
          <cell r="A1700" t="str">
            <v>PROFESOR POR HORA (24 HORAS)</v>
          </cell>
          <cell r="B1700" t="str">
            <v>40161</v>
          </cell>
          <cell r="C1700" t="str">
            <v>E</v>
          </cell>
          <cell r="D1700" t="str">
            <v>DO</v>
          </cell>
          <cell r="E1700" t="str">
            <v/>
          </cell>
        </row>
        <row r="1701">
          <cell r="A1701" t="str">
            <v>PROFESOR(A) DE CORTE Y CONFECCIÓN</v>
          </cell>
          <cell r="B1701" t="str">
            <v>40233</v>
          </cell>
          <cell r="C1701" t="str">
            <v>E</v>
          </cell>
          <cell r="D1701" t="str">
            <v>DO</v>
          </cell>
          <cell r="E1701" t="str">
            <v/>
          </cell>
        </row>
        <row r="1702">
          <cell r="A1702" t="str">
            <v>PROFESORA DE CORTE Y COSTURA Y DIRECTORA DE LA ESCUELA ANDRES ELOY BLANCO</v>
          </cell>
          <cell r="B1702" t="str">
            <v>40162</v>
          </cell>
          <cell r="C1702" t="str">
            <v>E</v>
          </cell>
          <cell r="D1702" t="str">
            <v>DO</v>
          </cell>
          <cell r="E1702" t="str">
            <v/>
          </cell>
        </row>
        <row r="1703">
          <cell r="A1703" t="str">
            <v>PROFESORA DE MECANOGRAFIA</v>
          </cell>
          <cell r="B1703" t="str">
            <v>40163</v>
          </cell>
          <cell r="C1703" t="str">
            <v>E</v>
          </cell>
          <cell r="D1703" t="str">
            <v>DO</v>
          </cell>
          <cell r="E1703" t="str">
            <v/>
          </cell>
        </row>
        <row r="1704">
          <cell r="A1704" t="str">
            <v>PROFESORA DE PINTURA INFANTIL, PROFESORA DE EDUCACION ARTISTICA Y COORDINADORA DOCENTE.</v>
          </cell>
          <cell r="B1704" t="str">
            <v>40164</v>
          </cell>
          <cell r="C1704" t="str">
            <v>E</v>
          </cell>
          <cell r="D1704" t="str">
            <v>DO</v>
          </cell>
          <cell r="E1704" t="str">
            <v/>
          </cell>
        </row>
        <row r="1705">
          <cell r="A1705" t="str">
            <v>PROFESORA DE PINTURA Y DIBUJO (06 HORAS) Y DOCENTE IV COORDINADOR (24 HORAS)</v>
          </cell>
          <cell r="B1705" t="str">
            <v>40165</v>
          </cell>
          <cell r="C1705" t="str">
            <v>E</v>
          </cell>
          <cell r="D1705" t="str">
            <v>DO</v>
          </cell>
          <cell r="E1705" t="str">
            <v/>
          </cell>
        </row>
        <row r="1706">
          <cell r="A1706" t="str">
            <v>PROFESORA NOCTURNA (NACIONAL) Y COORDINADORA DOCENTE VI</v>
          </cell>
          <cell r="B1706" t="str">
            <v>40166</v>
          </cell>
          <cell r="C1706" t="str">
            <v>E</v>
          </cell>
          <cell r="D1706" t="str">
            <v>DO</v>
          </cell>
          <cell r="E1706" t="str">
            <v/>
          </cell>
        </row>
        <row r="1707">
          <cell r="A1707" t="str">
            <v>PROGRAMADOR DE FORMACION PROFES. JEFE</v>
          </cell>
          <cell r="B1707" t="str">
            <v>34170</v>
          </cell>
          <cell r="C1707" t="str">
            <v>E</v>
          </cell>
          <cell r="D1707" t="str">
            <v>UT</v>
          </cell>
          <cell r="E1707" t="str">
            <v>23</v>
          </cell>
        </row>
        <row r="1708">
          <cell r="A1708" t="str">
            <v>PROGRAMADOR DE FORMACION PROFESIONAL</v>
          </cell>
          <cell r="B1708" t="str">
            <v>34160</v>
          </cell>
          <cell r="C1708" t="str">
            <v>E</v>
          </cell>
          <cell r="D1708" t="str">
            <v>UT</v>
          </cell>
          <cell r="E1708" t="str">
            <v>20</v>
          </cell>
        </row>
        <row r="1709">
          <cell r="A1709" t="str">
            <v>PROGRAMADOR I</v>
          </cell>
          <cell r="B1709" t="str">
            <v>23421</v>
          </cell>
          <cell r="C1709" t="str">
            <v>E</v>
          </cell>
          <cell r="D1709" t="str">
            <v>AD</v>
          </cell>
          <cell r="E1709" t="str">
            <v>04</v>
          </cell>
        </row>
        <row r="1710">
          <cell r="A1710" t="str">
            <v>PROGRAMADOR II</v>
          </cell>
          <cell r="B1710" t="str">
            <v>23422</v>
          </cell>
          <cell r="C1710" t="str">
            <v>E</v>
          </cell>
          <cell r="D1710" t="str">
            <v>UT</v>
          </cell>
          <cell r="E1710" t="str">
            <v>17</v>
          </cell>
        </row>
        <row r="1711">
          <cell r="A1711" t="str">
            <v>PROGRAMADOR III</v>
          </cell>
          <cell r="B1711" t="str">
            <v>23423</v>
          </cell>
          <cell r="C1711" t="str">
            <v>E</v>
          </cell>
          <cell r="D1711" t="str">
            <v>UT</v>
          </cell>
          <cell r="E1711" t="str">
            <v>19</v>
          </cell>
        </row>
        <row r="1712">
          <cell r="A1712" t="str">
            <v>PROGRAMADOR IV</v>
          </cell>
          <cell r="B1712" t="str">
            <v>23424</v>
          </cell>
          <cell r="C1712" t="str">
            <v>E</v>
          </cell>
          <cell r="D1712" t="str">
            <v>UT</v>
          </cell>
          <cell r="E1712" t="str">
            <v>21</v>
          </cell>
        </row>
        <row r="1713">
          <cell r="A1713" t="str">
            <v>PROGRAMADOR V</v>
          </cell>
          <cell r="B1713" t="str">
            <v>23425</v>
          </cell>
          <cell r="C1713" t="str">
            <v>E</v>
          </cell>
          <cell r="D1713" t="str">
            <v>UT</v>
          </cell>
          <cell r="E1713" t="str">
            <v>22</v>
          </cell>
        </row>
        <row r="1714">
          <cell r="A1714" t="str">
            <v>PROMOTOR  SOCIAL I</v>
          </cell>
          <cell r="B1714" t="str">
            <v>79372</v>
          </cell>
          <cell r="C1714" t="str">
            <v>E</v>
          </cell>
          <cell r="D1714" t="str">
            <v>AD</v>
          </cell>
          <cell r="E1714" t="str">
            <v>01</v>
          </cell>
        </row>
        <row r="1715">
          <cell r="A1715" t="str">
            <v>PROMOTOR CULTURAL I</v>
          </cell>
          <cell r="B1715" t="str">
            <v>37921</v>
          </cell>
          <cell r="C1715" t="str">
            <v>E</v>
          </cell>
          <cell r="D1715" t="str">
            <v>UT</v>
          </cell>
          <cell r="E1715" t="str">
            <v>17</v>
          </cell>
        </row>
        <row r="1716">
          <cell r="A1716" t="str">
            <v>PROMOTOR CULTURAL II</v>
          </cell>
          <cell r="B1716" t="str">
            <v>37922</v>
          </cell>
          <cell r="C1716" t="str">
            <v>E</v>
          </cell>
          <cell r="D1716" t="str">
            <v>UT</v>
          </cell>
          <cell r="E1716" t="str">
            <v>19</v>
          </cell>
        </row>
        <row r="1717">
          <cell r="A1717" t="str">
            <v>PROMOTOR DE BIENESTAR SOCIAL</v>
          </cell>
          <cell r="B1717" t="str">
            <v>79370</v>
          </cell>
          <cell r="C1717" t="str">
            <v>E</v>
          </cell>
          <cell r="D1717" t="str">
            <v>AD</v>
          </cell>
          <cell r="E1717" t="str">
            <v>03</v>
          </cell>
        </row>
        <row r="1718">
          <cell r="A1718" t="str">
            <v>PROMOTOR DE CURSOS</v>
          </cell>
          <cell r="B1718" t="str">
            <v>17310</v>
          </cell>
          <cell r="C1718" t="str">
            <v>E</v>
          </cell>
          <cell r="D1718" t="str">
            <v>AD</v>
          </cell>
          <cell r="E1718" t="str">
            <v>04</v>
          </cell>
        </row>
        <row r="1719">
          <cell r="A1719" t="str">
            <v>PROMOTOR DE EXPORTACIONES I</v>
          </cell>
          <cell r="B1719" t="str">
            <v>36721</v>
          </cell>
          <cell r="C1719" t="str">
            <v>E</v>
          </cell>
          <cell r="D1719" t="str">
            <v>UT</v>
          </cell>
          <cell r="E1719" t="str">
            <v>17</v>
          </cell>
        </row>
        <row r="1720">
          <cell r="A1720" t="str">
            <v>PROMOTOR DE EXPORTACIONES II</v>
          </cell>
          <cell r="B1720" t="str">
            <v>36722</v>
          </cell>
          <cell r="C1720" t="str">
            <v>E</v>
          </cell>
          <cell r="D1720" t="str">
            <v>UT</v>
          </cell>
          <cell r="E1720" t="str">
            <v>19</v>
          </cell>
        </row>
        <row r="1721">
          <cell r="A1721" t="str">
            <v>PROMOTOR DE EXPORTACIONES III</v>
          </cell>
          <cell r="B1721" t="str">
            <v>36723</v>
          </cell>
          <cell r="C1721" t="str">
            <v>E</v>
          </cell>
          <cell r="D1721" t="str">
            <v>UT</v>
          </cell>
          <cell r="E1721" t="str">
            <v>21</v>
          </cell>
        </row>
        <row r="1722">
          <cell r="A1722" t="str">
            <v>PROMOTOR DE EXPORTACIONES JEFE</v>
          </cell>
          <cell r="B1722" t="str">
            <v>36730</v>
          </cell>
          <cell r="C1722" t="str">
            <v>E</v>
          </cell>
          <cell r="D1722" t="str">
            <v>UT</v>
          </cell>
          <cell r="E1722" t="str">
            <v>23</v>
          </cell>
        </row>
        <row r="1723">
          <cell r="A1723" t="str">
            <v>PROMOTOR DEPORTIVO</v>
          </cell>
          <cell r="B1723" t="str">
            <v>79371</v>
          </cell>
          <cell r="C1723" t="str">
            <v>E</v>
          </cell>
          <cell r="D1723" t="str">
            <v>AD</v>
          </cell>
          <cell r="E1723" t="str">
            <v>01</v>
          </cell>
        </row>
        <row r="1724">
          <cell r="A1724" t="str">
            <v>PROMOTOR RURAL</v>
          </cell>
          <cell r="B1724" t="str">
            <v>79230</v>
          </cell>
          <cell r="C1724" t="str">
            <v>E</v>
          </cell>
          <cell r="D1724" t="str">
            <v>AD</v>
          </cell>
          <cell r="E1724" t="str">
            <v>01</v>
          </cell>
        </row>
        <row r="1725">
          <cell r="A1725" t="str">
            <v>PROMOTOR TURISTICO I</v>
          </cell>
          <cell r="B1725" t="str">
            <v>31541</v>
          </cell>
          <cell r="C1725" t="str">
            <v>E</v>
          </cell>
          <cell r="D1725" t="str">
            <v>AD</v>
          </cell>
          <cell r="E1725" t="str">
            <v>01</v>
          </cell>
        </row>
        <row r="1726">
          <cell r="A1726" t="str">
            <v>PROMOTOR TURISTICO II</v>
          </cell>
          <cell r="B1726" t="str">
            <v>31542</v>
          </cell>
          <cell r="C1726" t="str">
            <v>E</v>
          </cell>
          <cell r="D1726" t="str">
            <v>UT</v>
          </cell>
          <cell r="E1726" t="str">
            <v>15</v>
          </cell>
        </row>
        <row r="1727">
          <cell r="A1727" t="str">
            <v>PROMOTOR TURISTICO III</v>
          </cell>
          <cell r="B1727" t="str">
            <v>31543</v>
          </cell>
          <cell r="C1727" t="str">
            <v>E</v>
          </cell>
          <cell r="D1727" t="str">
            <v>UT</v>
          </cell>
          <cell r="E1727" t="str">
            <v>16</v>
          </cell>
        </row>
        <row r="1728">
          <cell r="A1728" t="str">
            <v>PROMOTOR TURISTICO IV</v>
          </cell>
          <cell r="B1728" t="str">
            <v>31544</v>
          </cell>
          <cell r="C1728" t="str">
            <v>E</v>
          </cell>
          <cell r="D1728" t="str">
            <v>UT</v>
          </cell>
          <cell r="E1728" t="str">
            <v>18</v>
          </cell>
        </row>
        <row r="1729">
          <cell r="A1729" t="str">
            <v>PROMOTOR TURISTICO JEFE</v>
          </cell>
          <cell r="B1729" t="str">
            <v>31550</v>
          </cell>
          <cell r="C1729" t="str">
            <v>E</v>
          </cell>
          <cell r="D1729" t="str">
            <v>UT</v>
          </cell>
          <cell r="E1729" t="str">
            <v>20</v>
          </cell>
        </row>
        <row r="1730">
          <cell r="A1730" t="str">
            <v>PROYECTISTA DE PABELLON DE FERIAS</v>
          </cell>
          <cell r="B1730" t="str">
            <v>36770</v>
          </cell>
          <cell r="C1730" t="str">
            <v>E</v>
          </cell>
          <cell r="D1730" t="str">
            <v>UT</v>
          </cell>
          <cell r="E1730" t="str">
            <v>21</v>
          </cell>
        </row>
        <row r="1731">
          <cell r="A1731" t="str">
            <v>PSICOLOGO I</v>
          </cell>
          <cell r="B1731" t="str">
            <v>36321</v>
          </cell>
          <cell r="C1731" t="str">
            <v>E</v>
          </cell>
          <cell r="D1731" t="str">
            <v>UT</v>
          </cell>
          <cell r="E1731" t="str">
            <v>17</v>
          </cell>
        </row>
        <row r="1732">
          <cell r="A1732" t="str">
            <v>PSICOLOGO II</v>
          </cell>
          <cell r="B1732" t="str">
            <v>36322</v>
          </cell>
          <cell r="C1732" t="str">
            <v>E</v>
          </cell>
          <cell r="D1732" t="str">
            <v>UT</v>
          </cell>
          <cell r="E1732" t="str">
            <v>19</v>
          </cell>
        </row>
        <row r="1733">
          <cell r="A1733" t="str">
            <v>PSICOLOGO III</v>
          </cell>
          <cell r="B1733" t="str">
            <v>36323</v>
          </cell>
          <cell r="C1733" t="str">
            <v>E</v>
          </cell>
          <cell r="D1733" t="str">
            <v>UT</v>
          </cell>
          <cell r="E1733" t="str">
            <v>21</v>
          </cell>
        </row>
        <row r="1734">
          <cell r="A1734" t="str">
            <v>PSICOLOGO JEFE</v>
          </cell>
          <cell r="B1734" t="str">
            <v>36325</v>
          </cell>
          <cell r="C1734" t="str">
            <v>E</v>
          </cell>
          <cell r="D1734" t="str">
            <v>UT</v>
          </cell>
          <cell r="E1734" t="str">
            <v>23</v>
          </cell>
        </row>
        <row r="1735">
          <cell r="A1735" t="str">
            <v>PSICOPEDAGOGO</v>
          </cell>
          <cell r="B1735" t="str">
            <v>34130</v>
          </cell>
          <cell r="C1735" t="str">
            <v>E</v>
          </cell>
          <cell r="D1735" t="str">
            <v>UT</v>
          </cell>
          <cell r="E1735" t="str">
            <v>15</v>
          </cell>
        </row>
        <row r="1736">
          <cell r="A1736" t="str">
            <v>PUERICULTORA</v>
          </cell>
          <cell r="B1736" t="str">
            <v>79120</v>
          </cell>
          <cell r="C1736" t="str">
            <v>E</v>
          </cell>
          <cell r="D1736" t="str">
            <v>AD</v>
          </cell>
          <cell r="E1736" t="str">
            <v>04</v>
          </cell>
        </row>
        <row r="1737">
          <cell r="A1737" t="str">
            <v>QUIMICO I</v>
          </cell>
          <cell r="B1737" t="str">
            <v>44721</v>
          </cell>
          <cell r="C1737" t="str">
            <v>E</v>
          </cell>
          <cell r="D1737" t="str">
            <v>UT</v>
          </cell>
          <cell r="E1737" t="str">
            <v>17</v>
          </cell>
        </row>
        <row r="1738">
          <cell r="A1738" t="str">
            <v>QUIMICO II</v>
          </cell>
          <cell r="B1738" t="str">
            <v>44722</v>
          </cell>
          <cell r="C1738" t="str">
            <v>E</v>
          </cell>
          <cell r="D1738" t="str">
            <v>UT</v>
          </cell>
          <cell r="E1738" t="str">
            <v>19</v>
          </cell>
        </row>
        <row r="1739">
          <cell r="A1739" t="str">
            <v>QUIMICO III</v>
          </cell>
          <cell r="B1739" t="str">
            <v>44723</v>
          </cell>
          <cell r="C1739" t="str">
            <v>E</v>
          </cell>
          <cell r="D1739" t="str">
            <v>UT</v>
          </cell>
          <cell r="E1739" t="str">
            <v>21</v>
          </cell>
        </row>
        <row r="1740">
          <cell r="A1740" t="str">
            <v>QUIMICO JEFE I</v>
          </cell>
          <cell r="B1740" t="str">
            <v>44731</v>
          </cell>
          <cell r="C1740" t="str">
            <v>E</v>
          </cell>
          <cell r="D1740" t="str">
            <v>UT</v>
          </cell>
          <cell r="E1740" t="str">
            <v>22</v>
          </cell>
        </row>
        <row r="1741">
          <cell r="A1741" t="str">
            <v>QUIMICO JEFE II</v>
          </cell>
          <cell r="B1741" t="str">
            <v>44732</v>
          </cell>
          <cell r="C1741" t="str">
            <v>E</v>
          </cell>
          <cell r="D1741" t="str">
            <v>UT</v>
          </cell>
          <cell r="E1741" t="str">
            <v>23</v>
          </cell>
        </row>
        <row r="1742">
          <cell r="A1742" t="str">
            <v>RADIO OPERADOR DE CRIPTOGRAFO I</v>
          </cell>
          <cell r="B1742" t="str">
            <v>51431</v>
          </cell>
          <cell r="C1742" t="str">
            <v>E</v>
          </cell>
          <cell r="D1742" t="str">
            <v>AD</v>
          </cell>
          <cell r="E1742" t="str">
            <v>03</v>
          </cell>
        </row>
        <row r="1743">
          <cell r="A1743" t="str">
            <v>RADIO OPERADOR DE CRIPTOGRAFO II</v>
          </cell>
          <cell r="B1743" t="str">
            <v>51432</v>
          </cell>
          <cell r="C1743" t="str">
            <v>E</v>
          </cell>
          <cell r="D1743" t="str">
            <v>AD</v>
          </cell>
          <cell r="E1743" t="str">
            <v>06</v>
          </cell>
        </row>
        <row r="1744">
          <cell r="A1744" t="str">
            <v>RADIO OPERADOR DE CRIPTOGRAFO JEFE</v>
          </cell>
          <cell r="B1744" t="str">
            <v>51440</v>
          </cell>
          <cell r="C1744" t="str">
            <v>E</v>
          </cell>
          <cell r="D1744" t="str">
            <v>AD</v>
          </cell>
          <cell r="E1744" t="str">
            <v>08</v>
          </cell>
        </row>
        <row r="1745">
          <cell r="A1745" t="str">
            <v>RADIOTELEFONISTA</v>
          </cell>
          <cell r="B1745" t="str">
            <v>51470</v>
          </cell>
          <cell r="C1745" t="str">
            <v>E</v>
          </cell>
          <cell r="D1745" t="str">
            <v>AD</v>
          </cell>
          <cell r="E1745" t="str">
            <v>01</v>
          </cell>
        </row>
        <row r="1746">
          <cell r="A1746" t="str">
            <v>RECEPCIONISTA</v>
          </cell>
          <cell r="B1746" t="str">
            <v>22230</v>
          </cell>
          <cell r="C1746" t="str">
            <v>E</v>
          </cell>
          <cell r="D1746" t="str">
            <v>AD</v>
          </cell>
          <cell r="E1746" t="str">
            <v>01</v>
          </cell>
        </row>
        <row r="1747">
          <cell r="A1747" t="str">
            <v>REDOBLANTE 1</v>
          </cell>
          <cell r="B1747" t="str">
            <v>03549</v>
          </cell>
          <cell r="C1747" t="str">
            <v>E</v>
          </cell>
          <cell r="D1747" t="str">
            <v>AD</v>
          </cell>
          <cell r="E1747" t="str">
            <v>01</v>
          </cell>
        </row>
        <row r="1748">
          <cell r="A1748" t="str">
            <v>REGISTRADOR DE BIENES Y MATERIAS I</v>
          </cell>
          <cell r="B1748" t="str">
            <v>25111</v>
          </cell>
          <cell r="C1748" t="str">
            <v>E</v>
          </cell>
          <cell r="D1748" t="str">
            <v>AD</v>
          </cell>
          <cell r="E1748" t="str">
            <v>01</v>
          </cell>
        </row>
        <row r="1749">
          <cell r="A1749" t="str">
            <v>REGISTRADOR DE BIENES Y MATERIAS II</v>
          </cell>
          <cell r="B1749" t="str">
            <v>25112</v>
          </cell>
          <cell r="C1749" t="str">
            <v>E</v>
          </cell>
          <cell r="D1749" t="str">
            <v>AD</v>
          </cell>
          <cell r="E1749" t="str">
            <v>02</v>
          </cell>
        </row>
        <row r="1750">
          <cell r="A1750" t="str">
            <v>REGISTRADOR DE BIENES Y MATERIAS III</v>
          </cell>
          <cell r="B1750" t="str">
            <v>25113</v>
          </cell>
          <cell r="C1750" t="str">
            <v>E</v>
          </cell>
          <cell r="D1750" t="str">
            <v>UT</v>
          </cell>
          <cell r="E1750" t="str">
            <v>15</v>
          </cell>
        </row>
        <row r="1751">
          <cell r="A1751" t="str">
            <v>REGISTRADOR DE BIENES Y MATERIAS IV</v>
          </cell>
          <cell r="B1751" t="str">
            <v>25114</v>
          </cell>
          <cell r="C1751" t="str">
            <v>E</v>
          </cell>
          <cell r="D1751" t="str">
            <v>UT</v>
          </cell>
          <cell r="E1751" t="str">
            <v>17</v>
          </cell>
        </row>
        <row r="1752">
          <cell r="A1752" t="str">
            <v>REGISTRADOR DE BIENES Y MATERIAS V</v>
          </cell>
          <cell r="B1752" t="str">
            <v>25115</v>
          </cell>
          <cell r="C1752" t="str">
            <v>E</v>
          </cell>
          <cell r="D1752" t="str">
            <v>UT</v>
          </cell>
          <cell r="E1752" t="str">
            <v>18</v>
          </cell>
        </row>
        <row r="1753">
          <cell r="A1753" t="str">
            <v>REGISTRADOR DE MUSEO</v>
          </cell>
          <cell r="B1753" t="str">
            <v>37520</v>
          </cell>
          <cell r="C1753" t="str">
            <v>E</v>
          </cell>
          <cell r="D1753" t="str">
            <v>AD</v>
          </cell>
          <cell r="E1753" t="str">
            <v>04</v>
          </cell>
        </row>
        <row r="1754">
          <cell r="A1754" t="str">
            <v>RESTAURADOR I</v>
          </cell>
          <cell r="B1754" t="str">
            <v>37421</v>
          </cell>
          <cell r="C1754" t="str">
            <v>E</v>
          </cell>
          <cell r="D1754" t="str">
            <v>AD</v>
          </cell>
          <cell r="E1754" t="str">
            <v>02</v>
          </cell>
        </row>
        <row r="1755">
          <cell r="A1755" t="str">
            <v>RESTAURADOR II</v>
          </cell>
          <cell r="B1755" t="str">
            <v>37422</v>
          </cell>
          <cell r="C1755" t="str">
            <v>E</v>
          </cell>
          <cell r="D1755" t="str">
            <v>AD</v>
          </cell>
          <cell r="E1755" t="str">
            <v>04</v>
          </cell>
        </row>
        <row r="1756">
          <cell r="A1756" t="str">
            <v>RESTAURADOR III</v>
          </cell>
          <cell r="B1756" t="str">
            <v>37423</v>
          </cell>
          <cell r="C1756" t="str">
            <v>E</v>
          </cell>
          <cell r="D1756" t="str">
            <v>UT</v>
          </cell>
          <cell r="E1756" t="str">
            <v>17</v>
          </cell>
        </row>
        <row r="1757">
          <cell r="A1757" t="str">
            <v>RESTAURADOR JEFE</v>
          </cell>
          <cell r="B1757" t="str">
            <v>37430</v>
          </cell>
          <cell r="C1757" t="str">
            <v>E</v>
          </cell>
          <cell r="D1757" t="str">
            <v>UT</v>
          </cell>
          <cell r="E1757" t="str">
            <v>20</v>
          </cell>
        </row>
        <row r="1758">
          <cell r="A1758" t="str">
            <v>REVISOR DE CONTRALORIA I</v>
          </cell>
          <cell r="B1758" t="str">
            <v>21831</v>
          </cell>
          <cell r="C1758" t="str">
            <v>E</v>
          </cell>
          <cell r="D1758" t="str">
            <v>UT</v>
          </cell>
          <cell r="E1758" t="str">
            <v>15</v>
          </cell>
        </row>
        <row r="1759">
          <cell r="A1759" t="str">
            <v>REVISOR DE CONTRALORIA II</v>
          </cell>
          <cell r="B1759" t="str">
            <v>21832</v>
          </cell>
          <cell r="C1759" t="str">
            <v>E</v>
          </cell>
          <cell r="D1759" t="str">
            <v>UT</v>
          </cell>
          <cell r="E1759" t="str">
            <v>17</v>
          </cell>
        </row>
        <row r="1760">
          <cell r="A1760" t="str">
            <v>REVISOR DE CONTRALORIA III</v>
          </cell>
          <cell r="B1760" t="str">
            <v>21833</v>
          </cell>
          <cell r="C1760" t="str">
            <v>E</v>
          </cell>
          <cell r="D1760" t="str">
            <v>UT</v>
          </cell>
          <cell r="E1760" t="str">
            <v>19</v>
          </cell>
        </row>
        <row r="1761">
          <cell r="A1761" t="str">
            <v>REVISOR DE CONTRALORIA IV</v>
          </cell>
          <cell r="B1761" t="str">
            <v>21834</v>
          </cell>
          <cell r="C1761" t="str">
            <v>E</v>
          </cell>
          <cell r="D1761" t="str">
            <v>UT</v>
          </cell>
          <cell r="E1761" t="str">
            <v>20</v>
          </cell>
        </row>
        <row r="1762">
          <cell r="A1762" t="str">
            <v>REVISOR DE CONTRALORIA V</v>
          </cell>
          <cell r="B1762" t="str">
            <v>21835</v>
          </cell>
          <cell r="C1762" t="str">
            <v>E</v>
          </cell>
          <cell r="D1762" t="str">
            <v>UT</v>
          </cell>
          <cell r="E1762" t="str">
            <v>22</v>
          </cell>
        </row>
        <row r="1763">
          <cell r="A1763" t="str">
            <v>SARGENTO 1RA</v>
          </cell>
          <cell r="B1763" t="str">
            <v>62252</v>
          </cell>
          <cell r="C1763" t="str">
            <v>E</v>
          </cell>
          <cell r="D1763" t="str">
            <v>PO</v>
          </cell>
          <cell r="E1763" t="str">
            <v>08</v>
          </cell>
        </row>
        <row r="1764">
          <cell r="A1764" t="str">
            <v>SARGENTO 1RO (BOMBERO)</v>
          </cell>
          <cell r="B1764" t="str">
            <v>62710</v>
          </cell>
          <cell r="C1764" t="str">
            <v>E</v>
          </cell>
          <cell r="D1764" t="str">
            <v>BO</v>
          </cell>
          <cell r="E1764" t="str">
            <v>07</v>
          </cell>
        </row>
        <row r="1765">
          <cell r="A1765" t="str">
            <v>SARGENTO 2DA</v>
          </cell>
          <cell r="B1765" t="str">
            <v>62251</v>
          </cell>
          <cell r="C1765" t="str">
            <v>E</v>
          </cell>
          <cell r="D1765" t="str">
            <v>PO</v>
          </cell>
          <cell r="E1765" t="str">
            <v>07</v>
          </cell>
        </row>
        <row r="1766">
          <cell r="A1766" t="str">
            <v>SARGENTO 2DO (BOMBERO)</v>
          </cell>
          <cell r="B1766" t="str">
            <v>62720</v>
          </cell>
          <cell r="C1766" t="str">
            <v>E</v>
          </cell>
          <cell r="D1766" t="str">
            <v>BO</v>
          </cell>
          <cell r="E1766" t="str">
            <v>06</v>
          </cell>
        </row>
        <row r="1767">
          <cell r="A1767" t="str">
            <v>SARGENTO AYUDANTE (BOMBERO)</v>
          </cell>
          <cell r="B1767" t="str">
            <v>62700</v>
          </cell>
          <cell r="C1767" t="str">
            <v>E</v>
          </cell>
          <cell r="D1767" t="str">
            <v>BO</v>
          </cell>
          <cell r="E1767" t="str">
            <v>08</v>
          </cell>
        </row>
        <row r="1768">
          <cell r="A1768" t="str">
            <v>SARGENTO MAYOR</v>
          </cell>
          <cell r="B1768" t="str">
            <v>62253</v>
          </cell>
          <cell r="C1768" t="str">
            <v>E</v>
          </cell>
          <cell r="D1768" t="str">
            <v>PO</v>
          </cell>
          <cell r="E1768" t="str">
            <v>09</v>
          </cell>
        </row>
        <row r="1769">
          <cell r="A1769" t="str">
            <v>SAXO ALTO 1</v>
          </cell>
          <cell r="B1769" t="str">
            <v>03544</v>
          </cell>
          <cell r="C1769" t="str">
            <v>E</v>
          </cell>
          <cell r="D1769" t="str">
            <v>AD</v>
          </cell>
          <cell r="E1769" t="str">
            <v>01</v>
          </cell>
        </row>
        <row r="1770">
          <cell r="A1770" t="str">
            <v>SAXO ALTO 2</v>
          </cell>
          <cell r="B1770" t="str">
            <v>03570</v>
          </cell>
          <cell r="C1770" t="str">
            <v>E</v>
          </cell>
          <cell r="D1770" t="str">
            <v>AD</v>
          </cell>
          <cell r="E1770" t="str">
            <v>01</v>
          </cell>
        </row>
        <row r="1771">
          <cell r="A1771" t="str">
            <v>SAXO TENOR</v>
          </cell>
          <cell r="B1771" t="str">
            <v>03571</v>
          </cell>
          <cell r="C1771" t="str">
            <v>E</v>
          </cell>
          <cell r="D1771" t="str">
            <v>AD</v>
          </cell>
          <cell r="E1771" t="str">
            <v>01</v>
          </cell>
        </row>
        <row r="1772">
          <cell r="A1772" t="str">
            <v>SAXO-BARITONO</v>
          </cell>
          <cell r="B1772" t="str">
            <v>03575</v>
          </cell>
          <cell r="C1772" t="str">
            <v>E</v>
          </cell>
          <cell r="D1772" t="str">
            <v>AD</v>
          </cell>
          <cell r="E1772" t="str">
            <v>01</v>
          </cell>
        </row>
        <row r="1773">
          <cell r="A1773" t="str">
            <v>SECRETARIA EJECUTIVA [SUB DIRECTORA]</v>
          </cell>
          <cell r="B1773" t="str">
            <v>24344</v>
          </cell>
          <cell r="C1773" t="str">
            <v>E</v>
          </cell>
          <cell r="D1773" t="str">
            <v>DI</v>
          </cell>
          <cell r="E1773" t="str">
            <v>99</v>
          </cell>
        </row>
        <row r="1774">
          <cell r="A1774" t="str">
            <v>SECRETARIA GRAL. ENCARGADA</v>
          </cell>
          <cell r="B1774" t="str">
            <v>90100</v>
          </cell>
          <cell r="C1774" t="str">
            <v>E</v>
          </cell>
          <cell r="D1774" t="str">
            <v>AD</v>
          </cell>
          <cell r="E1774" t="str">
            <v>99</v>
          </cell>
        </row>
        <row r="1775">
          <cell r="A1775" t="str">
            <v>SECRETARIO (A) PRIVADO (A)</v>
          </cell>
          <cell r="B1775" t="str">
            <v>00902</v>
          </cell>
          <cell r="C1775" t="str">
            <v>E</v>
          </cell>
          <cell r="D1775" t="str">
            <v>DI</v>
          </cell>
          <cell r="E1775" t="str">
            <v>99</v>
          </cell>
        </row>
        <row r="1776">
          <cell r="A1776" t="str">
            <v>SECRETARIO BILINGUE I</v>
          </cell>
          <cell r="B1776" t="str">
            <v>24321</v>
          </cell>
          <cell r="C1776" t="str">
            <v>E</v>
          </cell>
          <cell r="D1776" t="str">
            <v>AD</v>
          </cell>
          <cell r="E1776" t="str">
            <v>05</v>
          </cell>
        </row>
        <row r="1777">
          <cell r="A1777" t="str">
            <v>SECRETARIO BILINGUE II</v>
          </cell>
          <cell r="B1777" t="str">
            <v>24322</v>
          </cell>
          <cell r="C1777" t="str">
            <v>E</v>
          </cell>
          <cell r="D1777" t="str">
            <v>AD</v>
          </cell>
          <cell r="E1777" t="str">
            <v>07</v>
          </cell>
        </row>
        <row r="1778">
          <cell r="A1778" t="str">
            <v>SECRETARIO DE DESPACHO</v>
          </cell>
          <cell r="B1778" t="str">
            <v>24314</v>
          </cell>
          <cell r="C1778" t="str">
            <v>E</v>
          </cell>
          <cell r="D1778" t="str">
            <v>AD</v>
          </cell>
          <cell r="E1778" t="str">
            <v>99</v>
          </cell>
        </row>
        <row r="1779">
          <cell r="A1779" t="str">
            <v>SECRETARIO EJECUTIVO DEL COMITE SUPERIOR DEL G.E.P.D.T</v>
          </cell>
          <cell r="B1779" t="str">
            <v>00930</v>
          </cell>
          <cell r="C1779" t="str">
            <v>E</v>
          </cell>
          <cell r="D1779" t="str">
            <v>DI</v>
          </cell>
          <cell r="E1779" t="str">
            <v>99</v>
          </cell>
        </row>
        <row r="1780">
          <cell r="A1780" t="str">
            <v>SECRETARIO EJECUTIVO I</v>
          </cell>
          <cell r="B1780" t="str">
            <v>24341</v>
          </cell>
          <cell r="C1780" t="str">
            <v>E</v>
          </cell>
          <cell r="D1780" t="str">
            <v>AD</v>
          </cell>
          <cell r="E1780" t="str">
            <v>07</v>
          </cell>
        </row>
        <row r="1781">
          <cell r="A1781" t="str">
            <v>SECRETARIO EJECUTIVO II</v>
          </cell>
          <cell r="B1781" t="str">
            <v>24342</v>
          </cell>
          <cell r="C1781" t="str">
            <v>E</v>
          </cell>
          <cell r="D1781" t="str">
            <v>AD</v>
          </cell>
          <cell r="E1781" t="str">
            <v>09</v>
          </cell>
        </row>
        <row r="1782">
          <cell r="A1782" t="str">
            <v>SECRETARIO EJECUTIVO III</v>
          </cell>
          <cell r="B1782" t="str">
            <v>24343</v>
          </cell>
          <cell r="C1782" t="str">
            <v>E</v>
          </cell>
          <cell r="D1782" t="str">
            <v>AD</v>
          </cell>
          <cell r="E1782" t="str">
            <v>11</v>
          </cell>
        </row>
        <row r="1783">
          <cell r="A1783" t="str">
            <v>SECRETARIO GRAL .DE GOBIERNO</v>
          </cell>
          <cell r="B1783" t="str">
            <v>00901</v>
          </cell>
          <cell r="C1783" t="str">
            <v>E</v>
          </cell>
          <cell r="D1783" t="str">
            <v>DI</v>
          </cell>
          <cell r="E1783" t="str">
            <v>99</v>
          </cell>
        </row>
        <row r="1784">
          <cell r="A1784" t="str">
            <v>SECRETARIO I</v>
          </cell>
          <cell r="B1784" t="str">
            <v>24311</v>
          </cell>
          <cell r="C1784" t="str">
            <v>E</v>
          </cell>
          <cell r="D1784" t="str">
            <v>AD</v>
          </cell>
          <cell r="E1784" t="str">
            <v>01</v>
          </cell>
        </row>
        <row r="1785">
          <cell r="A1785" t="str">
            <v>SECRETARIO II</v>
          </cell>
          <cell r="B1785" t="str">
            <v>24312</v>
          </cell>
          <cell r="C1785" t="str">
            <v>E</v>
          </cell>
          <cell r="D1785" t="str">
            <v>AD</v>
          </cell>
          <cell r="E1785" t="str">
            <v>03</v>
          </cell>
        </row>
        <row r="1786">
          <cell r="A1786" t="str">
            <v>SECRETARIO III</v>
          </cell>
          <cell r="B1786" t="str">
            <v>24313</v>
          </cell>
          <cell r="C1786" t="str">
            <v>E</v>
          </cell>
          <cell r="D1786" t="str">
            <v>AD</v>
          </cell>
          <cell r="E1786" t="str">
            <v>05</v>
          </cell>
        </row>
        <row r="1787">
          <cell r="A1787" t="str">
            <v>SECRETARIO(A) DE DESPACHO</v>
          </cell>
          <cell r="B1787" t="str">
            <v>24314</v>
          </cell>
          <cell r="C1787" t="str">
            <v>E</v>
          </cell>
          <cell r="D1787" t="str">
            <v>AD</v>
          </cell>
          <cell r="E1787" t="str">
            <v>99</v>
          </cell>
        </row>
        <row r="1788">
          <cell r="A1788" t="str">
            <v>SIN CARGO</v>
          </cell>
          <cell r="B1788" t="str">
            <v>00000</v>
          </cell>
          <cell r="C1788" t="str">
            <v>E</v>
          </cell>
          <cell r="D1788" t="str">
            <v>AD</v>
          </cell>
          <cell r="E1788" t="str">
            <v/>
          </cell>
        </row>
        <row r="1789">
          <cell r="A1789" t="str">
            <v>SOCIOLOG JEFE</v>
          </cell>
          <cell r="B1789" t="str">
            <v>36425</v>
          </cell>
          <cell r="C1789" t="str">
            <v>E</v>
          </cell>
          <cell r="D1789" t="str">
            <v>UT</v>
          </cell>
          <cell r="E1789" t="str">
            <v>23</v>
          </cell>
        </row>
        <row r="1790">
          <cell r="A1790" t="str">
            <v>SOCIOLOGO I</v>
          </cell>
          <cell r="B1790" t="str">
            <v>36421</v>
          </cell>
          <cell r="C1790" t="str">
            <v>E</v>
          </cell>
          <cell r="D1790" t="str">
            <v>UT</v>
          </cell>
          <cell r="E1790" t="str">
            <v>17</v>
          </cell>
        </row>
        <row r="1791">
          <cell r="A1791" t="str">
            <v>SOCIOLOGO II</v>
          </cell>
          <cell r="B1791" t="str">
            <v>36422</v>
          </cell>
          <cell r="C1791" t="str">
            <v>E</v>
          </cell>
          <cell r="D1791" t="str">
            <v>UT</v>
          </cell>
          <cell r="E1791" t="str">
            <v>19</v>
          </cell>
        </row>
        <row r="1792">
          <cell r="A1792" t="str">
            <v>SOCIOLOGO III</v>
          </cell>
          <cell r="B1792" t="str">
            <v>36423</v>
          </cell>
          <cell r="C1792" t="str">
            <v>E</v>
          </cell>
          <cell r="D1792" t="str">
            <v>UT</v>
          </cell>
          <cell r="E1792" t="str">
            <v>21</v>
          </cell>
        </row>
        <row r="1793">
          <cell r="A1793" t="str">
            <v>SOLISTA</v>
          </cell>
          <cell r="B1793" t="str">
            <v>03754</v>
          </cell>
          <cell r="C1793" t="str">
            <v>E</v>
          </cell>
          <cell r="D1793" t="str">
            <v>DO</v>
          </cell>
          <cell r="E1793" t="str">
            <v>06</v>
          </cell>
        </row>
        <row r="1794">
          <cell r="A1794" t="str">
            <v>SOPLADOR DE VIDRIO I</v>
          </cell>
          <cell r="B1794" t="str">
            <v>45411</v>
          </cell>
          <cell r="C1794" t="str">
            <v>E</v>
          </cell>
          <cell r="D1794" t="str">
            <v>AD</v>
          </cell>
          <cell r="E1794" t="str">
            <v>01</v>
          </cell>
        </row>
        <row r="1795">
          <cell r="A1795" t="str">
            <v>SOPLADOR DE VIDRIO II</v>
          </cell>
          <cell r="B1795" t="str">
            <v>45412</v>
          </cell>
          <cell r="C1795" t="str">
            <v>E</v>
          </cell>
          <cell r="D1795" t="str">
            <v>AD</v>
          </cell>
          <cell r="E1795" t="str">
            <v>04</v>
          </cell>
        </row>
        <row r="1796">
          <cell r="A1796" t="str">
            <v>SOPLADOR DE VIDRIO JEFE</v>
          </cell>
          <cell r="B1796" t="str">
            <v>45420</v>
          </cell>
          <cell r="C1796" t="str">
            <v>E</v>
          </cell>
          <cell r="D1796" t="str">
            <v>AD</v>
          </cell>
          <cell r="E1796" t="str">
            <v>07</v>
          </cell>
        </row>
        <row r="1797">
          <cell r="A1797" t="str">
            <v>SUB COMISARIO</v>
          </cell>
          <cell r="B1797" t="str">
            <v>62271</v>
          </cell>
          <cell r="C1797" t="str">
            <v>E</v>
          </cell>
          <cell r="D1797" t="str">
            <v>PO</v>
          </cell>
          <cell r="E1797" t="str">
            <v>20</v>
          </cell>
        </row>
        <row r="1798">
          <cell r="A1798" t="str">
            <v>SUB DIRECTOR DE ORQUESTA</v>
          </cell>
          <cell r="B1798" t="str">
            <v>03508</v>
          </cell>
          <cell r="C1798" t="str">
            <v>E</v>
          </cell>
          <cell r="D1798" t="str">
            <v>AD</v>
          </cell>
          <cell r="E1798" t="str">
            <v>02</v>
          </cell>
        </row>
        <row r="1799">
          <cell r="A1799" t="str">
            <v>SUB DIRECTOR N.G.</v>
          </cell>
          <cell r="B1799" t="str">
            <v>02069</v>
          </cell>
          <cell r="C1799" t="str">
            <v>E</v>
          </cell>
          <cell r="D1799" t="str">
            <v>DO</v>
          </cell>
          <cell r="E1799" t="str">
            <v/>
          </cell>
        </row>
        <row r="1800">
          <cell r="A1800" t="str">
            <v>SUB DIRECTOR VI 139</v>
          </cell>
          <cell r="B1800" t="str">
            <v>01926</v>
          </cell>
          <cell r="C1800" t="str">
            <v>E</v>
          </cell>
          <cell r="D1800" t="str">
            <v>DO</v>
          </cell>
          <cell r="E1800" t="str">
            <v/>
          </cell>
        </row>
        <row r="1801">
          <cell r="A1801" t="str">
            <v>SUB DIRECTOR Y PROFESOR DE MANUALIDADES</v>
          </cell>
          <cell r="B1801" t="str">
            <v>40219</v>
          </cell>
          <cell r="C1801" t="str">
            <v>E</v>
          </cell>
          <cell r="D1801" t="str">
            <v>DO</v>
          </cell>
          <cell r="E1801" t="str">
            <v/>
          </cell>
        </row>
        <row r="1802">
          <cell r="A1802" t="str">
            <v>SUB DIRECTORA (36 HORAS) Y DIRECTORA (20 HORAS)</v>
          </cell>
          <cell r="B1802" t="str">
            <v>40237</v>
          </cell>
          <cell r="C1802" t="str">
            <v>E</v>
          </cell>
          <cell r="D1802" t="str">
            <v>DO</v>
          </cell>
          <cell r="E1802" t="str">
            <v/>
          </cell>
        </row>
        <row r="1803">
          <cell r="A1803" t="str">
            <v>SUB INSPECTOR</v>
          </cell>
          <cell r="B1803" t="str">
            <v>62261</v>
          </cell>
          <cell r="C1803" t="str">
            <v>E</v>
          </cell>
          <cell r="D1803" t="str">
            <v>PO</v>
          </cell>
          <cell r="E1803" t="str">
            <v>17</v>
          </cell>
        </row>
        <row r="1804">
          <cell r="A1804" t="str">
            <v>SUB INSPECTOR GENERAL DE HACIENDA</v>
          </cell>
          <cell r="B1804" t="str">
            <v>21360</v>
          </cell>
          <cell r="C1804" t="str">
            <v>E</v>
          </cell>
          <cell r="D1804" t="str">
            <v>UT</v>
          </cell>
          <cell r="E1804" t="str">
            <v>19</v>
          </cell>
        </row>
        <row r="1805">
          <cell r="A1805" t="str">
            <v>SUBDIR. (36 HORAS) PROF. DE PIANO Y KINDER MUSICAL (26 HORAS)</v>
          </cell>
          <cell r="B1805" t="str">
            <v>40238</v>
          </cell>
          <cell r="C1805" t="str">
            <v>E</v>
          </cell>
          <cell r="D1805" t="str">
            <v>DO</v>
          </cell>
          <cell r="E1805" t="str">
            <v/>
          </cell>
        </row>
        <row r="1806">
          <cell r="A1806" t="str">
            <v>SUB-DIRECTOR</v>
          </cell>
          <cell r="B1806" t="str">
            <v>40220</v>
          </cell>
          <cell r="C1806" t="str">
            <v>E</v>
          </cell>
          <cell r="D1806" t="str">
            <v>DO</v>
          </cell>
          <cell r="E1806" t="str">
            <v/>
          </cell>
        </row>
        <row r="1807">
          <cell r="A1807" t="str">
            <v>SUB-DIRECTOR (35 HORAS)  NG Y CLARINETE</v>
          </cell>
          <cell r="B1807" t="str">
            <v>40167</v>
          </cell>
          <cell r="C1807" t="str">
            <v>E</v>
          </cell>
          <cell r="D1807" t="str">
            <v>DO</v>
          </cell>
          <cell r="E1807" t="str">
            <v/>
          </cell>
        </row>
        <row r="1808">
          <cell r="A1808" t="str">
            <v>SUB-DIRECTOR Y MAESTRO TCVDNMA</v>
          </cell>
          <cell r="B1808" t="str">
            <v>40223</v>
          </cell>
          <cell r="C1808" t="str">
            <v>E</v>
          </cell>
          <cell r="D1808" t="str">
            <v>DO</v>
          </cell>
          <cell r="E1808" t="str">
            <v/>
          </cell>
        </row>
        <row r="1809">
          <cell r="A1809" t="str">
            <v>SUBTENIENTE (BOMBERO)</v>
          </cell>
          <cell r="B1809" t="str">
            <v>62610</v>
          </cell>
          <cell r="C1809" t="str">
            <v>E</v>
          </cell>
          <cell r="D1809" t="str">
            <v>BO</v>
          </cell>
          <cell r="E1809" t="str">
            <v>11</v>
          </cell>
        </row>
        <row r="1810">
          <cell r="A1810" t="str">
            <v>SUPERVISOR</v>
          </cell>
          <cell r="B1810" t="str">
            <v>90003</v>
          </cell>
          <cell r="C1810" t="str">
            <v>E</v>
          </cell>
          <cell r="D1810" t="str">
            <v>PO</v>
          </cell>
          <cell r="E1810" t="str">
            <v/>
          </cell>
        </row>
        <row r="1811">
          <cell r="A1811" t="str">
            <v>SUPERVISOR (GRADO 0)</v>
          </cell>
          <cell r="B1811" t="str">
            <v>90029</v>
          </cell>
          <cell r="C1811" t="str">
            <v>E</v>
          </cell>
          <cell r="D1811" t="str">
            <v>PO</v>
          </cell>
          <cell r="E1811" t="str">
            <v/>
          </cell>
        </row>
        <row r="1812">
          <cell r="A1812" t="str">
            <v>SUPERVISOR (GRADO 1)</v>
          </cell>
          <cell r="B1812" t="str">
            <v>90030</v>
          </cell>
          <cell r="C1812" t="str">
            <v>E</v>
          </cell>
          <cell r="D1812" t="str">
            <v>PO</v>
          </cell>
          <cell r="E1812" t="str">
            <v/>
          </cell>
        </row>
        <row r="1813">
          <cell r="A1813" t="str">
            <v>SUPERVISOR (GRADO 2)</v>
          </cell>
          <cell r="B1813" t="str">
            <v>90031</v>
          </cell>
          <cell r="C1813" t="str">
            <v>E</v>
          </cell>
          <cell r="D1813" t="str">
            <v>PO</v>
          </cell>
          <cell r="E1813" t="str">
            <v/>
          </cell>
        </row>
        <row r="1814">
          <cell r="A1814" t="str">
            <v>SUPERVISOR AGREGADO</v>
          </cell>
          <cell r="B1814" t="str">
            <v>90004</v>
          </cell>
          <cell r="C1814" t="str">
            <v>E</v>
          </cell>
          <cell r="D1814" t="str">
            <v>PO</v>
          </cell>
          <cell r="E1814" t="str">
            <v/>
          </cell>
        </row>
        <row r="1815">
          <cell r="A1815" t="str">
            <v>SUPERVISOR AGREGADO (GRADO 0)</v>
          </cell>
          <cell r="B1815" t="str">
            <v>90032</v>
          </cell>
          <cell r="C1815" t="str">
            <v>E</v>
          </cell>
          <cell r="D1815" t="str">
            <v>PO</v>
          </cell>
          <cell r="E1815" t="str">
            <v/>
          </cell>
        </row>
        <row r="1816">
          <cell r="A1816" t="str">
            <v>SUPERVISOR AGREGADO (GRADO 1)</v>
          </cell>
          <cell r="B1816" t="str">
            <v>90033</v>
          </cell>
          <cell r="C1816" t="str">
            <v>E</v>
          </cell>
          <cell r="D1816" t="str">
            <v>PO</v>
          </cell>
          <cell r="E1816" t="str">
            <v/>
          </cell>
        </row>
        <row r="1817">
          <cell r="A1817" t="str">
            <v>SUPERVISOR AGREGADO (GRADO 2)</v>
          </cell>
          <cell r="B1817" t="str">
            <v>90034</v>
          </cell>
          <cell r="C1817" t="str">
            <v>E</v>
          </cell>
          <cell r="D1817" t="str">
            <v>PO</v>
          </cell>
          <cell r="E1817" t="str">
            <v/>
          </cell>
        </row>
        <row r="1818">
          <cell r="A1818" t="str">
            <v>SUPERVISOR ALFABETIZACION Y EDUC BAS III</v>
          </cell>
          <cell r="B1818" t="str">
            <v>16413</v>
          </cell>
          <cell r="C1818" t="str">
            <v>E</v>
          </cell>
          <cell r="D1818" t="str">
            <v>UT</v>
          </cell>
          <cell r="E1818" t="str">
            <v>20</v>
          </cell>
        </row>
        <row r="1819">
          <cell r="A1819" t="str">
            <v>SUPERVISOR ALFABETIZACION Y EDUC BAS. I</v>
          </cell>
          <cell r="B1819" t="str">
            <v>16411</v>
          </cell>
          <cell r="C1819" t="str">
            <v>E</v>
          </cell>
          <cell r="D1819" t="str">
            <v>UT</v>
          </cell>
          <cell r="E1819" t="str">
            <v>16</v>
          </cell>
        </row>
        <row r="1820">
          <cell r="A1820" t="str">
            <v>SUPERVISOR ALFABETIZACION Y EDUC.BAS II</v>
          </cell>
          <cell r="B1820" t="str">
            <v>16412</v>
          </cell>
          <cell r="C1820" t="str">
            <v>E</v>
          </cell>
          <cell r="D1820" t="str">
            <v>UT</v>
          </cell>
          <cell r="E1820" t="str">
            <v>18</v>
          </cell>
        </row>
        <row r="1821">
          <cell r="A1821" t="str">
            <v>SUPERVISOR AUTOGRAFISTA</v>
          </cell>
          <cell r="B1821" t="str">
            <v>37960</v>
          </cell>
          <cell r="C1821" t="str">
            <v>E</v>
          </cell>
          <cell r="D1821" t="str">
            <v>AD</v>
          </cell>
          <cell r="E1821" t="str">
            <v>08</v>
          </cell>
        </row>
        <row r="1822">
          <cell r="A1822" t="str">
            <v>SUPERVISOR DE ALMACEN</v>
          </cell>
          <cell r="B1822" t="str">
            <v>25220</v>
          </cell>
          <cell r="C1822" t="str">
            <v>E</v>
          </cell>
          <cell r="D1822" t="str">
            <v>UT</v>
          </cell>
          <cell r="E1822" t="str">
            <v>16</v>
          </cell>
        </row>
        <row r="1823">
          <cell r="A1823" t="str">
            <v>SUPERVISOR DE APRENDIZAJE I</v>
          </cell>
          <cell r="B1823" t="str">
            <v>16711</v>
          </cell>
          <cell r="C1823" t="str">
            <v>E</v>
          </cell>
          <cell r="D1823" t="str">
            <v>UT</v>
          </cell>
          <cell r="E1823" t="str">
            <v>16</v>
          </cell>
        </row>
        <row r="1824">
          <cell r="A1824" t="str">
            <v>SUPERVISOR DE APRENDIZAJE II</v>
          </cell>
          <cell r="B1824" t="str">
            <v>16712</v>
          </cell>
          <cell r="C1824" t="str">
            <v>E</v>
          </cell>
          <cell r="D1824" t="str">
            <v>UT</v>
          </cell>
          <cell r="E1824" t="str">
            <v>18</v>
          </cell>
        </row>
        <row r="1825">
          <cell r="A1825" t="str">
            <v>SUPERVISOR DE APRENDIZAJE III</v>
          </cell>
          <cell r="B1825" t="str">
            <v>16713</v>
          </cell>
          <cell r="C1825" t="str">
            <v>E</v>
          </cell>
          <cell r="D1825" t="str">
            <v>UT</v>
          </cell>
          <cell r="E1825" t="str">
            <v>20</v>
          </cell>
        </row>
        <row r="1826">
          <cell r="A1826" t="str">
            <v>SUPERVISOR DE APRENDIZAJE IV</v>
          </cell>
          <cell r="B1826" t="str">
            <v>16714</v>
          </cell>
          <cell r="C1826" t="str">
            <v>E</v>
          </cell>
          <cell r="D1826" t="str">
            <v>UT</v>
          </cell>
          <cell r="E1826" t="str">
            <v>22</v>
          </cell>
        </row>
        <row r="1827">
          <cell r="A1827" t="str">
            <v>SUPERVISOR DE ASTILLEROS I</v>
          </cell>
          <cell r="B1827" t="str">
            <v>46921</v>
          </cell>
          <cell r="C1827" t="str">
            <v>E</v>
          </cell>
          <cell r="D1827" t="str">
            <v>UT</v>
          </cell>
          <cell r="E1827" t="str">
            <v>15</v>
          </cell>
        </row>
        <row r="1828">
          <cell r="A1828" t="str">
            <v>SUPERVISOR DE ASTILLEROS II</v>
          </cell>
          <cell r="B1828" t="str">
            <v>46922</v>
          </cell>
          <cell r="C1828" t="str">
            <v>E</v>
          </cell>
          <cell r="D1828" t="str">
            <v>UT</v>
          </cell>
          <cell r="E1828" t="str">
            <v>17</v>
          </cell>
        </row>
        <row r="1829">
          <cell r="A1829" t="str">
            <v>SUPERVISOR DE CAPORALES</v>
          </cell>
          <cell r="B1829" t="str">
            <v>69220</v>
          </cell>
          <cell r="C1829" t="str">
            <v>E</v>
          </cell>
          <cell r="D1829" t="str">
            <v>AD</v>
          </cell>
          <cell r="E1829" t="str">
            <v>02</v>
          </cell>
        </row>
        <row r="1830">
          <cell r="A1830" t="str">
            <v>SUPERVISOR DE COLECTORES</v>
          </cell>
          <cell r="B1830" t="str">
            <v>21635</v>
          </cell>
          <cell r="C1830" t="str">
            <v>E</v>
          </cell>
          <cell r="D1830" t="str">
            <v>AD</v>
          </cell>
          <cell r="E1830" t="str">
            <v>02</v>
          </cell>
        </row>
        <row r="1831">
          <cell r="A1831" t="str">
            <v>SUPERVISOR DE CONSERVACION AUTOM. I</v>
          </cell>
          <cell r="B1831" t="str">
            <v>65121</v>
          </cell>
          <cell r="C1831" t="str">
            <v>E</v>
          </cell>
          <cell r="D1831" t="str">
            <v>UT</v>
          </cell>
          <cell r="E1831" t="str">
            <v>15</v>
          </cell>
        </row>
        <row r="1832">
          <cell r="A1832" t="str">
            <v>SUPERVISOR DE CONSERVACION AUTOMOTORA II</v>
          </cell>
          <cell r="B1832" t="str">
            <v>65122</v>
          </cell>
          <cell r="C1832" t="str">
            <v>E</v>
          </cell>
          <cell r="D1832" t="str">
            <v>UT</v>
          </cell>
          <cell r="E1832" t="str">
            <v>16</v>
          </cell>
        </row>
        <row r="1833">
          <cell r="A1833" t="str">
            <v>SUPERVISOR DE CREDITOS AGROPECUARIO II</v>
          </cell>
          <cell r="B1833" t="str">
            <v>14342</v>
          </cell>
          <cell r="C1833" t="str">
            <v>E</v>
          </cell>
          <cell r="D1833" t="str">
            <v>UT</v>
          </cell>
          <cell r="E1833" t="str">
            <v>21</v>
          </cell>
        </row>
        <row r="1834">
          <cell r="A1834" t="str">
            <v>SUPERVISOR DE CREDITOS AGROPECUARIOS I</v>
          </cell>
          <cell r="B1834" t="str">
            <v>14341</v>
          </cell>
          <cell r="C1834" t="str">
            <v>E</v>
          </cell>
          <cell r="D1834" t="str">
            <v>UT</v>
          </cell>
          <cell r="E1834" t="str">
            <v>19</v>
          </cell>
        </row>
        <row r="1835">
          <cell r="A1835" t="str">
            <v>SUPERVISOR DE CREDITOS AGROPECUARIOS III</v>
          </cell>
          <cell r="B1835" t="str">
            <v>14343</v>
          </cell>
          <cell r="C1835" t="str">
            <v>E</v>
          </cell>
          <cell r="D1835" t="str">
            <v>UT</v>
          </cell>
          <cell r="E1835" t="str">
            <v>23</v>
          </cell>
        </row>
        <row r="1836">
          <cell r="A1836" t="str">
            <v>SUPERVISOR DE EQUIPOS DE DRAGADO</v>
          </cell>
          <cell r="B1836" t="str">
            <v>52345</v>
          </cell>
          <cell r="C1836" t="str">
            <v>E</v>
          </cell>
          <cell r="D1836" t="str">
            <v>UT</v>
          </cell>
          <cell r="E1836" t="str">
            <v>17</v>
          </cell>
        </row>
        <row r="1837">
          <cell r="A1837" t="str">
            <v>SUPERVISOR DE EXTENSION I</v>
          </cell>
          <cell r="B1837" t="str">
            <v>41321</v>
          </cell>
          <cell r="C1837" t="str">
            <v>E</v>
          </cell>
          <cell r="D1837" t="str">
            <v>UT</v>
          </cell>
          <cell r="E1837" t="str">
            <v>19</v>
          </cell>
        </row>
        <row r="1838">
          <cell r="A1838" t="str">
            <v>SUPERVISOR DE EXTENSION II</v>
          </cell>
          <cell r="B1838" t="str">
            <v>41322</v>
          </cell>
          <cell r="C1838" t="str">
            <v>E</v>
          </cell>
          <cell r="D1838" t="str">
            <v>UT</v>
          </cell>
          <cell r="E1838" t="str">
            <v>20</v>
          </cell>
        </row>
        <row r="1839">
          <cell r="A1839" t="str">
            <v>SUPERVISOR DE INSPECTORES DE INMUEBLES</v>
          </cell>
          <cell r="B1839" t="str">
            <v>43215</v>
          </cell>
          <cell r="C1839" t="str">
            <v>E</v>
          </cell>
          <cell r="D1839" t="str">
            <v>UT</v>
          </cell>
          <cell r="E1839" t="str">
            <v>19</v>
          </cell>
        </row>
        <row r="1840">
          <cell r="A1840" t="str">
            <v>SUPERVISOR DE INSTRUCCION A DISTANCIA I</v>
          </cell>
          <cell r="B1840" t="str">
            <v>16511</v>
          </cell>
          <cell r="C1840" t="str">
            <v>E</v>
          </cell>
          <cell r="D1840" t="str">
            <v>UT</v>
          </cell>
          <cell r="E1840" t="str">
            <v>16</v>
          </cell>
        </row>
        <row r="1841">
          <cell r="A1841" t="str">
            <v>SUPERVISOR DE INSTRUCCION A DISTANCIA II</v>
          </cell>
          <cell r="B1841" t="str">
            <v>16512</v>
          </cell>
          <cell r="C1841" t="str">
            <v>E</v>
          </cell>
          <cell r="D1841" t="str">
            <v>UT</v>
          </cell>
          <cell r="E1841" t="str">
            <v>18</v>
          </cell>
        </row>
        <row r="1842">
          <cell r="A1842" t="str">
            <v>SUPERVISOR DE INSTRUCCION A DISTANCIA III</v>
          </cell>
          <cell r="B1842" t="str">
            <v>16513</v>
          </cell>
          <cell r="C1842" t="str">
            <v>E</v>
          </cell>
          <cell r="D1842" t="str">
            <v>UT</v>
          </cell>
          <cell r="E1842" t="str">
            <v>20</v>
          </cell>
        </row>
        <row r="1843">
          <cell r="A1843" t="str">
            <v>SUPERVISOR DE MANTENIMIENTO DE PARQUES I</v>
          </cell>
          <cell r="B1843" t="str">
            <v>41811</v>
          </cell>
          <cell r="C1843" t="str">
            <v>E</v>
          </cell>
          <cell r="D1843" t="str">
            <v>AD</v>
          </cell>
          <cell r="E1843" t="str">
            <v>03</v>
          </cell>
        </row>
        <row r="1844">
          <cell r="A1844" t="str">
            <v>SUPERVISOR DE MANTENIMIENTO DE PARQUES II</v>
          </cell>
          <cell r="B1844" t="str">
            <v>41812</v>
          </cell>
          <cell r="C1844" t="str">
            <v>E</v>
          </cell>
          <cell r="D1844" t="str">
            <v>UT</v>
          </cell>
          <cell r="E1844" t="str">
            <v>15</v>
          </cell>
        </row>
        <row r="1845">
          <cell r="A1845" t="str">
            <v>SUPERVISOR DE MANTENIMIENTO DE PARQUES III</v>
          </cell>
          <cell r="B1845" t="str">
            <v>41813</v>
          </cell>
          <cell r="C1845" t="str">
            <v>E</v>
          </cell>
          <cell r="D1845" t="str">
            <v>UT</v>
          </cell>
          <cell r="E1845" t="str">
            <v>16</v>
          </cell>
        </row>
        <row r="1846">
          <cell r="A1846" t="str">
            <v>SUPERVISOR DE MANTENIMIENTO DE PARQUES IV</v>
          </cell>
          <cell r="B1846" t="str">
            <v>41814</v>
          </cell>
          <cell r="C1846" t="str">
            <v>E</v>
          </cell>
          <cell r="D1846" t="str">
            <v>UT</v>
          </cell>
          <cell r="E1846" t="str">
            <v>17</v>
          </cell>
        </row>
        <row r="1847">
          <cell r="A1847" t="str">
            <v>SUPERVISOR DE MECANICOS AUTOMOTORES I</v>
          </cell>
          <cell r="B1847" t="str">
            <v>65111</v>
          </cell>
          <cell r="C1847" t="str">
            <v>E</v>
          </cell>
          <cell r="D1847" t="str">
            <v>AD</v>
          </cell>
          <cell r="E1847" t="str">
            <v>02</v>
          </cell>
        </row>
        <row r="1848">
          <cell r="A1848" t="str">
            <v>SUPERVISOR DE MECANICOS AUTOMOTORES II</v>
          </cell>
          <cell r="B1848" t="str">
            <v>65112</v>
          </cell>
          <cell r="C1848" t="str">
            <v>E</v>
          </cell>
          <cell r="D1848" t="str">
            <v>AD</v>
          </cell>
          <cell r="E1848" t="str">
            <v>03</v>
          </cell>
        </row>
        <row r="1849">
          <cell r="A1849" t="str">
            <v>SUPERVISOR DE OBRAS PUBLICAS</v>
          </cell>
          <cell r="B1849" t="str">
            <v>69250</v>
          </cell>
          <cell r="C1849" t="str">
            <v>E</v>
          </cell>
          <cell r="D1849" t="str">
            <v>AD</v>
          </cell>
          <cell r="E1849" t="str">
            <v>02</v>
          </cell>
        </row>
        <row r="1850">
          <cell r="A1850" t="str">
            <v>SUPERVISOR DE OBRAS SANITARIAS</v>
          </cell>
          <cell r="B1850" t="str">
            <v>69240</v>
          </cell>
          <cell r="C1850" t="str">
            <v>E</v>
          </cell>
          <cell r="D1850" t="str">
            <v>AD</v>
          </cell>
          <cell r="E1850" t="str">
            <v>02</v>
          </cell>
        </row>
        <row r="1851">
          <cell r="A1851" t="str">
            <v>SUPERVISOR DE PRODUCCION I</v>
          </cell>
          <cell r="B1851" t="str">
            <v>32521</v>
          </cell>
          <cell r="C1851" t="str">
            <v>E</v>
          </cell>
          <cell r="D1851" t="str">
            <v>AD</v>
          </cell>
          <cell r="E1851" t="str">
            <v>05</v>
          </cell>
        </row>
        <row r="1852">
          <cell r="A1852" t="str">
            <v>SUPERVISOR DE PRODUCCION II</v>
          </cell>
          <cell r="B1852" t="str">
            <v>32522</v>
          </cell>
          <cell r="C1852" t="str">
            <v>E</v>
          </cell>
          <cell r="D1852" t="str">
            <v>UT</v>
          </cell>
          <cell r="E1852" t="str">
            <v>18</v>
          </cell>
        </row>
        <row r="1853">
          <cell r="A1853" t="str">
            <v>SUPERVISOR DE PROGRAMACION</v>
          </cell>
          <cell r="B1853" t="str">
            <v>23430</v>
          </cell>
          <cell r="C1853" t="str">
            <v>E</v>
          </cell>
          <cell r="D1853" t="str">
            <v>UT</v>
          </cell>
          <cell r="E1853" t="str">
            <v>23</v>
          </cell>
        </row>
        <row r="1854">
          <cell r="A1854" t="str">
            <v>SUPERVISOR DE REPRODUCCION II</v>
          </cell>
          <cell r="B1854" t="str">
            <v>23120</v>
          </cell>
          <cell r="C1854" t="str">
            <v>E</v>
          </cell>
          <cell r="D1854" t="str">
            <v>AD</v>
          </cell>
          <cell r="E1854" t="str">
            <v>03</v>
          </cell>
        </row>
        <row r="1855">
          <cell r="A1855" t="str">
            <v>SUPERVISOR DE SERVICIOS GENERAL IV</v>
          </cell>
          <cell r="B1855" t="str">
            <v>22414</v>
          </cell>
          <cell r="C1855" t="str">
            <v>E</v>
          </cell>
          <cell r="D1855" t="str">
            <v>UT</v>
          </cell>
          <cell r="E1855" t="str">
            <v>20</v>
          </cell>
        </row>
        <row r="1856">
          <cell r="A1856" t="str">
            <v>SUPERVISOR DE SERVICIOS GENERALES I</v>
          </cell>
          <cell r="B1856" t="str">
            <v>22411</v>
          </cell>
          <cell r="C1856" t="str">
            <v>E</v>
          </cell>
          <cell r="D1856" t="str">
            <v>AD</v>
          </cell>
          <cell r="E1856" t="str">
            <v>03</v>
          </cell>
        </row>
        <row r="1857">
          <cell r="A1857" t="str">
            <v>SUPERVISOR DE SERVICIOS GENERALES II</v>
          </cell>
          <cell r="B1857" t="str">
            <v>22412</v>
          </cell>
          <cell r="C1857" t="str">
            <v>E</v>
          </cell>
          <cell r="D1857" t="str">
            <v>AD</v>
          </cell>
          <cell r="E1857" t="str">
            <v>05</v>
          </cell>
        </row>
        <row r="1858">
          <cell r="A1858" t="str">
            <v>SUPERVISOR DE SERVICIOS GENERALES III</v>
          </cell>
          <cell r="B1858" t="str">
            <v>22413</v>
          </cell>
          <cell r="C1858" t="str">
            <v>E</v>
          </cell>
          <cell r="D1858" t="str">
            <v>UT</v>
          </cell>
          <cell r="E1858" t="str">
            <v>18</v>
          </cell>
        </row>
        <row r="1859">
          <cell r="A1859" t="str">
            <v>SUPERVISOR DE TALLER DE IMPRENTA I</v>
          </cell>
          <cell r="B1859" t="str">
            <v>63121</v>
          </cell>
          <cell r="C1859" t="str">
            <v>E</v>
          </cell>
          <cell r="D1859" t="str">
            <v>AD</v>
          </cell>
          <cell r="E1859" t="str">
            <v>01</v>
          </cell>
        </row>
        <row r="1860">
          <cell r="A1860" t="str">
            <v>SUPERVISOR DE TALLER DE IMPRENTA II</v>
          </cell>
          <cell r="B1860" t="str">
            <v>63122</v>
          </cell>
          <cell r="C1860" t="str">
            <v>E</v>
          </cell>
          <cell r="D1860" t="str">
            <v>AD</v>
          </cell>
          <cell r="E1860" t="str">
            <v>03</v>
          </cell>
        </row>
        <row r="1861">
          <cell r="A1861" t="str">
            <v>SUPERVISOR DE TALLER DE IMPRENTA III</v>
          </cell>
          <cell r="B1861" t="str">
            <v>63123</v>
          </cell>
          <cell r="C1861" t="str">
            <v>E</v>
          </cell>
          <cell r="D1861" t="str">
            <v>AD</v>
          </cell>
          <cell r="E1861" t="str">
            <v>16</v>
          </cell>
        </row>
        <row r="1862">
          <cell r="A1862" t="str">
            <v>SUPERVISOR DE TELEFONISTA</v>
          </cell>
          <cell r="B1862" t="str">
            <v>41815</v>
          </cell>
          <cell r="C1862" t="str">
            <v>E</v>
          </cell>
          <cell r="D1862" t="str">
            <v>UT</v>
          </cell>
          <cell r="E1862" t="str">
            <v>15</v>
          </cell>
        </row>
        <row r="1863">
          <cell r="A1863" t="str">
            <v>SUPERVISOR DOCENTE</v>
          </cell>
          <cell r="B1863" t="str">
            <v>17430</v>
          </cell>
          <cell r="C1863" t="str">
            <v>E</v>
          </cell>
          <cell r="D1863" t="str">
            <v>UT</v>
          </cell>
          <cell r="E1863" t="str">
            <v>19</v>
          </cell>
        </row>
        <row r="1864">
          <cell r="A1864" t="str">
            <v>SUPERVISOR DOCENTE JEFE</v>
          </cell>
          <cell r="B1864" t="str">
            <v>17440</v>
          </cell>
          <cell r="C1864" t="str">
            <v>E</v>
          </cell>
          <cell r="D1864" t="str">
            <v>UT</v>
          </cell>
          <cell r="E1864" t="str">
            <v>21</v>
          </cell>
        </row>
        <row r="1865">
          <cell r="A1865" t="str">
            <v>SUPERVISOR FISCAL DE COTIZACIONES</v>
          </cell>
          <cell r="B1865" t="str">
            <v>21660</v>
          </cell>
          <cell r="C1865" t="str">
            <v>E</v>
          </cell>
          <cell r="D1865" t="str">
            <v>UT</v>
          </cell>
          <cell r="E1865" t="str">
            <v>20</v>
          </cell>
        </row>
        <row r="1866">
          <cell r="A1866" t="str">
            <v>SUPERVISOR FISCAL JEFE</v>
          </cell>
          <cell r="B1866" t="str">
            <v>21670</v>
          </cell>
          <cell r="C1866" t="str">
            <v>E</v>
          </cell>
          <cell r="D1866" t="str">
            <v>UT</v>
          </cell>
          <cell r="E1866" t="str">
            <v>22</v>
          </cell>
        </row>
        <row r="1867">
          <cell r="A1867" t="str">
            <v>SUPERVISOR I</v>
          </cell>
          <cell r="B1867" t="str">
            <v>40168</v>
          </cell>
          <cell r="C1867" t="str">
            <v>E</v>
          </cell>
          <cell r="D1867" t="str">
            <v>DO</v>
          </cell>
          <cell r="E1867" t="str">
            <v/>
          </cell>
        </row>
        <row r="1868">
          <cell r="A1868" t="str">
            <v>SUPERVISOR I (171)</v>
          </cell>
          <cell r="B1868" t="str">
            <v>51214</v>
          </cell>
          <cell r="C1868" t="str">
            <v>E</v>
          </cell>
          <cell r="D1868" t="str">
            <v>AD</v>
          </cell>
          <cell r="E1868" t="str">
            <v>01</v>
          </cell>
        </row>
        <row r="1869">
          <cell r="A1869" t="str">
            <v>SUPERVISOR II Y MAESTRO PH GR NOCTURNO</v>
          </cell>
          <cell r="B1869" t="str">
            <v>40169</v>
          </cell>
          <cell r="C1869" t="str">
            <v>E</v>
          </cell>
          <cell r="D1869" t="str">
            <v>DO</v>
          </cell>
          <cell r="E1869" t="str">
            <v/>
          </cell>
        </row>
        <row r="1870">
          <cell r="A1870" t="str">
            <v>SUPERVISOR JEFE</v>
          </cell>
          <cell r="B1870" t="str">
            <v>90005</v>
          </cell>
          <cell r="C1870" t="str">
            <v>E</v>
          </cell>
          <cell r="D1870" t="str">
            <v>PO</v>
          </cell>
          <cell r="E1870" t="str">
            <v/>
          </cell>
        </row>
        <row r="1871">
          <cell r="A1871" t="str">
            <v>SUPERVISOR JEFE (GRADO 0)</v>
          </cell>
          <cell r="B1871" t="str">
            <v>90035</v>
          </cell>
          <cell r="C1871" t="str">
            <v>E</v>
          </cell>
          <cell r="D1871" t="str">
            <v>PO</v>
          </cell>
          <cell r="E1871" t="str">
            <v/>
          </cell>
        </row>
        <row r="1872">
          <cell r="A1872" t="str">
            <v>SUPERVISOR JEFE (GRADO 1)</v>
          </cell>
          <cell r="B1872" t="str">
            <v>90036</v>
          </cell>
          <cell r="C1872" t="str">
            <v>E</v>
          </cell>
          <cell r="D1872" t="str">
            <v>PO</v>
          </cell>
          <cell r="E1872" t="str">
            <v/>
          </cell>
        </row>
        <row r="1873">
          <cell r="A1873" t="str">
            <v>SUPERVISOR JEFE (GRADO 2)</v>
          </cell>
          <cell r="B1873" t="str">
            <v>90037</v>
          </cell>
          <cell r="C1873" t="str">
            <v>E</v>
          </cell>
          <cell r="D1873" t="str">
            <v>PO</v>
          </cell>
          <cell r="E1873" t="str">
            <v/>
          </cell>
        </row>
        <row r="1874">
          <cell r="A1874" t="str">
            <v>SUPERVISOR OPERADOR EQUIPOS DE COMPUTACION</v>
          </cell>
          <cell r="B1874" t="str">
            <v>23340</v>
          </cell>
          <cell r="C1874" t="str">
            <v>E</v>
          </cell>
          <cell r="D1874" t="str">
            <v>UT</v>
          </cell>
          <cell r="E1874" t="str">
            <v>18</v>
          </cell>
        </row>
        <row r="1875">
          <cell r="A1875" t="str">
            <v>SUPERVISORA III</v>
          </cell>
          <cell r="B1875" t="str">
            <v>40170</v>
          </cell>
          <cell r="C1875" t="str">
            <v>E</v>
          </cell>
          <cell r="D1875" t="str">
            <v>DO</v>
          </cell>
          <cell r="E1875" t="str">
            <v/>
          </cell>
        </row>
        <row r="1876">
          <cell r="A1876" t="str">
            <v>TAXIDERMISTA</v>
          </cell>
          <cell r="B1876" t="str">
            <v>42450</v>
          </cell>
          <cell r="C1876" t="str">
            <v>E</v>
          </cell>
          <cell r="D1876" t="str">
            <v>AD</v>
          </cell>
          <cell r="E1876" t="str">
            <v>02</v>
          </cell>
        </row>
        <row r="1877">
          <cell r="A1877" t="str">
            <v>TEC EN RADIOCOMUNICACIONES AERON. JEFE</v>
          </cell>
          <cell r="B1877" t="str">
            <v>51541</v>
          </cell>
          <cell r="C1877" t="str">
            <v>E</v>
          </cell>
          <cell r="D1877" t="str">
            <v>UT</v>
          </cell>
          <cell r="E1877" t="str">
            <v>22</v>
          </cell>
        </row>
        <row r="1878">
          <cell r="A1878" t="str">
            <v>TEC. EN DOTACION DE EQUIPOS DE HOSPITAL</v>
          </cell>
          <cell r="B1878" t="str">
            <v>71220</v>
          </cell>
          <cell r="C1878" t="str">
            <v>E</v>
          </cell>
          <cell r="D1878" t="str">
            <v>AD</v>
          </cell>
          <cell r="E1878" t="str">
            <v>05</v>
          </cell>
        </row>
        <row r="1879">
          <cell r="A1879" t="str">
            <v>TEC. EN FABRICACION DE CUCHILLAS DE DIAM</v>
          </cell>
          <cell r="B1879" t="str">
            <v>46161</v>
          </cell>
          <cell r="C1879" t="str">
            <v>E</v>
          </cell>
          <cell r="D1879" t="str">
            <v>AD</v>
          </cell>
          <cell r="E1879" t="str">
            <v>02</v>
          </cell>
        </row>
        <row r="1880">
          <cell r="A1880" t="str">
            <v>TEC. EN RADIOCOMUNICACIONES AER.JEFE II</v>
          </cell>
          <cell r="B1880" t="str">
            <v>51542</v>
          </cell>
          <cell r="C1880" t="str">
            <v>E</v>
          </cell>
          <cell r="D1880" t="str">
            <v>UT</v>
          </cell>
          <cell r="E1880" t="str">
            <v>24</v>
          </cell>
        </row>
        <row r="1881">
          <cell r="A1881" t="str">
            <v>TEC. EN RADIOCOMUNICACIONES AERON. I</v>
          </cell>
          <cell r="B1881" t="str">
            <v>51531</v>
          </cell>
          <cell r="C1881" t="str">
            <v>E</v>
          </cell>
          <cell r="D1881" t="str">
            <v>UT</v>
          </cell>
          <cell r="E1881" t="str">
            <v>16</v>
          </cell>
        </row>
        <row r="1882">
          <cell r="A1882" t="str">
            <v>TEC. EN RADIOCOMUNICACIONES AERONA. II</v>
          </cell>
          <cell r="B1882" t="str">
            <v>51532</v>
          </cell>
          <cell r="C1882" t="str">
            <v>E</v>
          </cell>
          <cell r="D1882" t="str">
            <v>UT</v>
          </cell>
          <cell r="E1882" t="str">
            <v>17</v>
          </cell>
        </row>
        <row r="1883">
          <cell r="A1883" t="str">
            <v>TEC. EN RADIOCOMUNICACIONES AERONAU. IV</v>
          </cell>
          <cell r="B1883" t="str">
            <v>51534</v>
          </cell>
          <cell r="C1883" t="str">
            <v>E</v>
          </cell>
          <cell r="D1883" t="str">
            <v>UT</v>
          </cell>
          <cell r="E1883" t="str">
            <v>19</v>
          </cell>
        </row>
        <row r="1884">
          <cell r="A1884" t="str">
            <v>TEC. EN RADIOCOMUNICACIONES AERONAU. V</v>
          </cell>
          <cell r="B1884" t="str">
            <v>51535</v>
          </cell>
          <cell r="C1884" t="str">
            <v>E</v>
          </cell>
          <cell r="D1884" t="str">
            <v>UT</v>
          </cell>
          <cell r="E1884" t="str">
            <v>20</v>
          </cell>
        </row>
        <row r="1885">
          <cell r="A1885" t="str">
            <v>TEC. EN RADIOCOMUNICACIONES AERONAU. VI</v>
          </cell>
          <cell r="B1885" t="str">
            <v>51536</v>
          </cell>
          <cell r="C1885" t="str">
            <v>E</v>
          </cell>
          <cell r="D1885" t="str">
            <v>UT</v>
          </cell>
          <cell r="E1885" t="str">
            <v>21</v>
          </cell>
        </row>
        <row r="1886">
          <cell r="A1886" t="str">
            <v>TEC. EN RADIOCOMUNICAICONES AERONA. III</v>
          </cell>
          <cell r="B1886" t="str">
            <v>51533</v>
          </cell>
          <cell r="C1886" t="str">
            <v>E</v>
          </cell>
          <cell r="D1886" t="str">
            <v>UT</v>
          </cell>
          <cell r="E1886" t="str">
            <v>18</v>
          </cell>
        </row>
        <row r="1887">
          <cell r="A1887" t="str">
            <v>TEC. FABRICACION CUCHILLA DIAMANTE IV</v>
          </cell>
          <cell r="B1887" t="str">
            <v>46164</v>
          </cell>
          <cell r="C1887" t="str">
            <v>E</v>
          </cell>
          <cell r="D1887" t="str">
            <v>AD</v>
          </cell>
          <cell r="E1887" t="str">
            <v>08</v>
          </cell>
        </row>
        <row r="1888">
          <cell r="A1888" t="str">
            <v>TEC. FABRICACION CUCHILLAS DIAMANTES II</v>
          </cell>
          <cell r="B1888" t="str">
            <v>46162</v>
          </cell>
          <cell r="C1888" t="str">
            <v>E</v>
          </cell>
          <cell r="D1888" t="str">
            <v>AD</v>
          </cell>
          <cell r="E1888" t="str">
            <v>03</v>
          </cell>
        </row>
        <row r="1889">
          <cell r="A1889" t="str">
            <v>TEC. FABRICACION CUCHILLAS DIAMANTES III</v>
          </cell>
          <cell r="B1889" t="str">
            <v>46163</v>
          </cell>
          <cell r="C1889" t="str">
            <v>E</v>
          </cell>
          <cell r="D1889" t="str">
            <v>AD</v>
          </cell>
          <cell r="E1889" t="str">
            <v>05</v>
          </cell>
        </row>
        <row r="1890">
          <cell r="A1890" t="str">
            <v>TECNICO AERNAUTICO II</v>
          </cell>
          <cell r="B1890" t="str">
            <v>51552</v>
          </cell>
          <cell r="C1890" t="str">
            <v>E</v>
          </cell>
          <cell r="D1890" t="str">
            <v>UT</v>
          </cell>
          <cell r="E1890" t="str">
            <v>20</v>
          </cell>
        </row>
        <row r="1891">
          <cell r="A1891" t="str">
            <v>TECNICO AERONAUTICO I</v>
          </cell>
          <cell r="B1891" t="str">
            <v>51551</v>
          </cell>
          <cell r="C1891" t="str">
            <v>E</v>
          </cell>
          <cell r="D1891" t="str">
            <v>UT</v>
          </cell>
          <cell r="E1891" t="str">
            <v>18</v>
          </cell>
        </row>
        <row r="1892">
          <cell r="A1892" t="str">
            <v>TECNICO AERONAUTICO JEFE</v>
          </cell>
          <cell r="B1892" t="str">
            <v>51560</v>
          </cell>
          <cell r="C1892" t="str">
            <v>E</v>
          </cell>
          <cell r="D1892" t="str">
            <v>UT</v>
          </cell>
          <cell r="E1892" t="str">
            <v>22</v>
          </cell>
        </row>
        <row r="1893">
          <cell r="A1893" t="str">
            <v>TECNICO AGROPECUARIO I</v>
          </cell>
          <cell r="B1893" t="str">
            <v>41111</v>
          </cell>
          <cell r="C1893" t="str">
            <v>E</v>
          </cell>
          <cell r="D1893" t="str">
            <v>AD</v>
          </cell>
          <cell r="E1893" t="str">
            <v>02</v>
          </cell>
        </row>
        <row r="1894">
          <cell r="A1894" t="str">
            <v>TECNICO AGROPECUARIO II</v>
          </cell>
          <cell r="B1894" t="str">
            <v>41112</v>
          </cell>
          <cell r="C1894" t="str">
            <v>E</v>
          </cell>
          <cell r="D1894" t="str">
            <v>AD</v>
          </cell>
          <cell r="E1894" t="str">
            <v>03</v>
          </cell>
        </row>
        <row r="1895">
          <cell r="A1895" t="str">
            <v>TECNICO AGROPECUARIO III</v>
          </cell>
          <cell r="B1895" t="str">
            <v>41113</v>
          </cell>
          <cell r="C1895" t="str">
            <v>E</v>
          </cell>
          <cell r="D1895" t="str">
            <v>UT</v>
          </cell>
          <cell r="E1895" t="str">
            <v>15</v>
          </cell>
        </row>
        <row r="1896">
          <cell r="A1896" t="str">
            <v>TECNICO AGROPECUARIO IV</v>
          </cell>
          <cell r="B1896" t="str">
            <v>41114</v>
          </cell>
          <cell r="C1896" t="str">
            <v>E</v>
          </cell>
          <cell r="D1896" t="str">
            <v>UT</v>
          </cell>
          <cell r="E1896" t="str">
            <v>17</v>
          </cell>
        </row>
        <row r="1897">
          <cell r="A1897" t="str">
            <v>TECNICO AGROPECUARIO JEFE</v>
          </cell>
          <cell r="B1897" t="str">
            <v>41120</v>
          </cell>
          <cell r="C1897" t="str">
            <v>E</v>
          </cell>
          <cell r="D1897" t="str">
            <v>UT</v>
          </cell>
          <cell r="E1897" t="str">
            <v>19</v>
          </cell>
        </row>
        <row r="1898">
          <cell r="A1898" t="str">
            <v>TECNICO ARANCELARIO I</v>
          </cell>
          <cell r="B1898" t="str">
            <v>53131</v>
          </cell>
          <cell r="C1898" t="str">
            <v>E</v>
          </cell>
          <cell r="D1898" t="str">
            <v>UT</v>
          </cell>
          <cell r="E1898" t="str">
            <v>17</v>
          </cell>
        </row>
        <row r="1899">
          <cell r="A1899" t="str">
            <v>TECNICO ARANCELARIO JEFE</v>
          </cell>
          <cell r="B1899" t="str">
            <v>53140</v>
          </cell>
          <cell r="C1899" t="str">
            <v>E</v>
          </cell>
          <cell r="D1899" t="str">
            <v>UT</v>
          </cell>
          <cell r="E1899" t="str">
            <v>21</v>
          </cell>
        </row>
        <row r="1900">
          <cell r="A1900" t="str">
            <v>TECNICO ARANGELARIO II</v>
          </cell>
          <cell r="B1900" t="str">
            <v>53132</v>
          </cell>
          <cell r="C1900" t="str">
            <v>E</v>
          </cell>
          <cell r="D1900" t="str">
            <v>UT</v>
          </cell>
          <cell r="E1900" t="str">
            <v>19</v>
          </cell>
        </row>
        <row r="1901">
          <cell r="A1901" t="str">
            <v>TECNICO DE ASTILLEROS</v>
          </cell>
          <cell r="B1901" t="str">
            <v>46910</v>
          </cell>
          <cell r="C1901" t="str">
            <v>E</v>
          </cell>
          <cell r="D1901" t="str">
            <v>AD</v>
          </cell>
          <cell r="E1901" t="str">
            <v>02</v>
          </cell>
        </row>
        <row r="1902">
          <cell r="A1902" t="str">
            <v>TECNICO DE BALIZAMIENTO</v>
          </cell>
          <cell r="B1902" t="str">
            <v>52240</v>
          </cell>
          <cell r="C1902" t="str">
            <v>E</v>
          </cell>
          <cell r="D1902" t="str">
            <v>UT</v>
          </cell>
          <cell r="E1902" t="str">
            <v>15</v>
          </cell>
        </row>
        <row r="1903">
          <cell r="A1903" t="str">
            <v>TECNICO DE BALIZAMIENTO JEFE</v>
          </cell>
          <cell r="B1903" t="str">
            <v>52245</v>
          </cell>
          <cell r="C1903" t="str">
            <v>E</v>
          </cell>
          <cell r="D1903" t="str">
            <v>UT</v>
          </cell>
          <cell r="E1903" t="str">
            <v>18</v>
          </cell>
        </row>
        <row r="1904">
          <cell r="A1904" t="str">
            <v>TECNICO DE EQUIPOS MEDICOS I</v>
          </cell>
          <cell r="B1904" t="str">
            <v>72411</v>
          </cell>
          <cell r="C1904" t="str">
            <v>E</v>
          </cell>
          <cell r="D1904" t="str">
            <v>UT</v>
          </cell>
          <cell r="E1904" t="str">
            <v>15</v>
          </cell>
        </row>
        <row r="1905">
          <cell r="A1905" t="str">
            <v>TECNICO DE EQUIPOS MEDICOS II</v>
          </cell>
          <cell r="B1905" t="str">
            <v>72412</v>
          </cell>
          <cell r="C1905" t="str">
            <v>E</v>
          </cell>
          <cell r="D1905" t="str">
            <v>UT</v>
          </cell>
          <cell r="E1905" t="str">
            <v>17</v>
          </cell>
        </row>
        <row r="1906">
          <cell r="A1906" t="str">
            <v>TECNICO DE EQUIPOS MEDICOS III</v>
          </cell>
          <cell r="B1906" t="str">
            <v>72413</v>
          </cell>
          <cell r="C1906" t="str">
            <v>E</v>
          </cell>
          <cell r="D1906" t="str">
            <v>UT</v>
          </cell>
          <cell r="E1906" t="str">
            <v>18</v>
          </cell>
        </row>
        <row r="1907">
          <cell r="A1907" t="str">
            <v>TECNICO DE IDENTIDICACION I</v>
          </cell>
          <cell r="B1907" t="str">
            <v>86121</v>
          </cell>
          <cell r="C1907" t="str">
            <v>E</v>
          </cell>
          <cell r="D1907" t="str">
            <v>UT</v>
          </cell>
          <cell r="E1907" t="str">
            <v>15</v>
          </cell>
        </row>
        <row r="1908">
          <cell r="A1908" t="str">
            <v>TECNICO DE IDENTIFICACION II</v>
          </cell>
          <cell r="B1908" t="str">
            <v>86122</v>
          </cell>
          <cell r="C1908" t="str">
            <v>E</v>
          </cell>
          <cell r="D1908" t="str">
            <v>UT</v>
          </cell>
          <cell r="E1908" t="str">
            <v>17</v>
          </cell>
        </row>
        <row r="1909">
          <cell r="A1909" t="str">
            <v>TECNICO DE IDENTIFICACION III</v>
          </cell>
          <cell r="B1909" t="str">
            <v>86123</v>
          </cell>
          <cell r="C1909" t="str">
            <v>E</v>
          </cell>
          <cell r="D1909" t="str">
            <v>UT</v>
          </cell>
          <cell r="E1909" t="str">
            <v>19</v>
          </cell>
        </row>
        <row r="1910">
          <cell r="A1910" t="str">
            <v>TECNICO DE REGISTRO Y EST. DE SALUD I</v>
          </cell>
          <cell r="B1910" t="str">
            <v>71121</v>
          </cell>
          <cell r="C1910" t="str">
            <v>E</v>
          </cell>
          <cell r="D1910" t="str">
            <v>AD</v>
          </cell>
          <cell r="E1910" t="str">
            <v>02</v>
          </cell>
        </row>
        <row r="1911">
          <cell r="A1911" t="str">
            <v>TECNICO DE REGISTRO Y EST. DE SALUD II</v>
          </cell>
          <cell r="B1911" t="str">
            <v>71122</v>
          </cell>
          <cell r="C1911" t="str">
            <v>E</v>
          </cell>
          <cell r="D1911" t="str">
            <v>AD</v>
          </cell>
          <cell r="E1911" t="str">
            <v>04</v>
          </cell>
        </row>
        <row r="1912">
          <cell r="A1912" t="str">
            <v>TECNICO DE REGISTRO Y ESTAD DE SALUD III</v>
          </cell>
          <cell r="B1912" t="str">
            <v>71123</v>
          </cell>
          <cell r="C1912" t="str">
            <v>E</v>
          </cell>
          <cell r="D1912" t="str">
            <v>AD</v>
          </cell>
          <cell r="E1912" t="str">
            <v>06</v>
          </cell>
        </row>
        <row r="1913">
          <cell r="A1913" t="str">
            <v>TECNICO DE REGISTRO Y ESTAD DE SALUD IV</v>
          </cell>
          <cell r="B1913" t="str">
            <v>71124</v>
          </cell>
          <cell r="C1913" t="str">
            <v>E</v>
          </cell>
          <cell r="D1913" t="str">
            <v>AD</v>
          </cell>
          <cell r="E1913" t="str">
            <v>09</v>
          </cell>
        </row>
        <row r="1914">
          <cell r="A1914" t="str">
            <v>TECNICO DE REPARACION Y MANTENIMIENTO I</v>
          </cell>
          <cell r="B1914" t="str">
            <v>46121</v>
          </cell>
          <cell r="C1914" t="str">
            <v>E</v>
          </cell>
          <cell r="D1914" t="str">
            <v>UT</v>
          </cell>
          <cell r="E1914" t="str">
            <v>15</v>
          </cell>
        </row>
        <row r="1915">
          <cell r="A1915" t="str">
            <v>TECNICO DE REPARACION Y MANTENIMIENTO II</v>
          </cell>
          <cell r="B1915" t="str">
            <v>46122</v>
          </cell>
          <cell r="C1915" t="str">
            <v>E</v>
          </cell>
          <cell r="D1915" t="str">
            <v>UT</v>
          </cell>
          <cell r="E1915" t="str">
            <v>17</v>
          </cell>
        </row>
        <row r="1916">
          <cell r="A1916" t="str">
            <v>TECNICO DE REPARACION Y MANTENIMIENTO III</v>
          </cell>
          <cell r="B1916" t="str">
            <v>46123</v>
          </cell>
          <cell r="C1916" t="str">
            <v>E</v>
          </cell>
          <cell r="D1916" t="str">
            <v>UT</v>
          </cell>
          <cell r="E1916" t="str">
            <v>19</v>
          </cell>
        </row>
        <row r="1917">
          <cell r="A1917" t="str">
            <v>TECNICO EN AGROALIMENTARIA</v>
          </cell>
          <cell r="B1917" t="str">
            <v>41121</v>
          </cell>
          <cell r="C1917" t="str">
            <v>E</v>
          </cell>
          <cell r="D1917" t="str">
            <v>UT</v>
          </cell>
          <cell r="E1917" t="str">
            <v>15</v>
          </cell>
        </row>
        <row r="1918">
          <cell r="A1918" t="str">
            <v>TECNICO EN DRAGADO I</v>
          </cell>
          <cell r="B1918" t="str">
            <v>51211</v>
          </cell>
          <cell r="C1918" t="str">
            <v>E</v>
          </cell>
          <cell r="D1918" t="str">
            <v>AD</v>
          </cell>
          <cell r="E1918" t="str">
            <v>03</v>
          </cell>
        </row>
        <row r="1919">
          <cell r="A1919" t="str">
            <v>TECNICO EN DRAGADO II</v>
          </cell>
          <cell r="B1919" t="str">
            <v>51212</v>
          </cell>
          <cell r="C1919" t="str">
            <v>E</v>
          </cell>
          <cell r="D1919" t="str">
            <v>AD</v>
          </cell>
          <cell r="E1919" t="str">
            <v>05</v>
          </cell>
        </row>
        <row r="1920">
          <cell r="A1920" t="str">
            <v>TECNICO EN DRAGADO III</v>
          </cell>
          <cell r="B1920" t="str">
            <v>51213</v>
          </cell>
          <cell r="C1920" t="str">
            <v>E</v>
          </cell>
          <cell r="D1920" t="str">
            <v>AD</v>
          </cell>
          <cell r="E1920" t="str">
            <v>07</v>
          </cell>
        </row>
        <row r="1921">
          <cell r="A1921" t="str">
            <v>TECNICO EN GEOLOGIA Y MINAS I</v>
          </cell>
          <cell r="B1921" t="str">
            <v>44311</v>
          </cell>
          <cell r="C1921" t="str">
            <v>E</v>
          </cell>
          <cell r="D1921" t="str">
            <v>UT</v>
          </cell>
          <cell r="E1921" t="str">
            <v>15</v>
          </cell>
        </row>
        <row r="1922">
          <cell r="A1922" t="str">
            <v>TECNICO EN GEOLOGIA Y MINAS II</v>
          </cell>
          <cell r="B1922" t="str">
            <v>44312</v>
          </cell>
          <cell r="C1922" t="str">
            <v>E</v>
          </cell>
          <cell r="D1922" t="str">
            <v>UT</v>
          </cell>
          <cell r="E1922" t="str">
            <v>16</v>
          </cell>
        </row>
        <row r="1923">
          <cell r="A1923" t="str">
            <v>TECNICO EN GEOLOGIA Y MINAS III</v>
          </cell>
          <cell r="B1923" t="str">
            <v>44313</v>
          </cell>
          <cell r="C1923" t="str">
            <v>E</v>
          </cell>
          <cell r="D1923" t="str">
            <v>UT</v>
          </cell>
          <cell r="E1923" t="str">
            <v>18</v>
          </cell>
        </row>
        <row r="1924">
          <cell r="A1924" t="str">
            <v>TECNICO EN GERONTOLOGIA</v>
          </cell>
          <cell r="B1924" t="str">
            <v>79380</v>
          </cell>
          <cell r="C1924" t="str">
            <v>E</v>
          </cell>
          <cell r="D1924" t="str">
            <v>UT</v>
          </cell>
          <cell r="E1924" t="str">
            <v>15</v>
          </cell>
        </row>
        <row r="1925">
          <cell r="A1925" t="str">
            <v>TECNICO EN INFORMACION AERONAUTICA I</v>
          </cell>
          <cell r="B1925" t="str">
            <v>51581</v>
          </cell>
          <cell r="C1925" t="str">
            <v>E</v>
          </cell>
          <cell r="D1925" t="str">
            <v>AD</v>
          </cell>
          <cell r="E1925" t="str">
            <v>02</v>
          </cell>
        </row>
        <row r="1926">
          <cell r="A1926" t="str">
            <v>TECNICO EN INFORMACION AERONAUTICA II</v>
          </cell>
          <cell r="B1926" t="str">
            <v>51582</v>
          </cell>
          <cell r="C1926" t="str">
            <v>E</v>
          </cell>
          <cell r="D1926" t="str">
            <v>AD</v>
          </cell>
          <cell r="E1926" t="str">
            <v>03</v>
          </cell>
        </row>
        <row r="1927">
          <cell r="A1927" t="str">
            <v>TECNICO EN INFORMACION AERONAUTICA III</v>
          </cell>
          <cell r="B1927" t="str">
            <v>51583</v>
          </cell>
          <cell r="C1927" t="str">
            <v>E</v>
          </cell>
          <cell r="D1927" t="str">
            <v>AD</v>
          </cell>
          <cell r="E1927" t="str">
            <v>04</v>
          </cell>
        </row>
        <row r="1928">
          <cell r="A1928" t="str">
            <v>TECNICO EN INFORMACION AERONAUTICA IV</v>
          </cell>
          <cell r="B1928" t="str">
            <v>51584</v>
          </cell>
          <cell r="C1928" t="str">
            <v>E</v>
          </cell>
          <cell r="D1928" t="str">
            <v>AD</v>
          </cell>
          <cell r="E1928" t="str">
            <v>05</v>
          </cell>
        </row>
        <row r="1929">
          <cell r="A1929" t="str">
            <v>TECNICO EN INFORMACION AERONAUTICA JEFE</v>
          </cell>
          <cell r="B1929" t="str">
            <v>51590</v>
          </cell>
          <cell r="C1929" t="str">
            <v>E</v>
          </cell>
          <cell r="D1929" t="str">
            <v>AD</v>
          </cell>
          <cell r="E1929" t="str">
            <v>08</v>
          </cell>
        </row>
        <row r="1930">
          <cell r="A1930" t="str">
            <v>TECNICO EN INFORMACION AERONAUTICA V</v>
          </cell>
          <cell r="B1930" t="str">
            <v>51585</v>
          </cell>
          <cell r="C1930" t="str">
            <v>E</v>
          </cell>
          <cell r="D1930" t="str">
            <v>AD</v>
          </cell>
          <cell r="E1930" t="str">
            <v>06</v>
          </cell>
        </row>
        <row r="1931">
          <cell r="A1931" t="str">
            <v>TECNICO EN METROLOGIA I</v>
          </cell>
          <cell r="B1931" t="str">
            <v>84221</v>
          </cell>
          <cell r="C1931" t="str">
            <v>E</v>
          </cell>
          <cell r="D1931" t="str">
            <v>UT</v>
          </cell>
          <cell r="E1931" t="str">
            <v>15</v>
          </cell>
        </row>
        <row r="1932">
          <cell r="A1932" t="str">
            <v>TECNICO EN METROLOGIA II</v>
          </cell>
          <cell r="B1932" t="str">
            <v>84222</v>
          </cell>
          <cell r="C1932" t="str">
            <v>E</v>
          </cell>
          <cell r="D1932" t="str">
            <v>UT</v>
          </cell>
          <cell r="E1932" t="str">
            <v>16</v>
          </cell>
        </row>
        <row r="1933">
          <cell r="A1933" t="str">
            <v>TECNICO EN METROLOGIA III</v>
          </cell>
          <cell r="B1933" t="str">
            <v>84223</v>
          </cell>
          <cell r="C1933" t="str">
            <v>E</v>
          </cell>
          <cell r="D1933" t="str">
            <v>UT</v>
          </cell>
          <cell r="E1933" t="str">
            <v>17</v>
          </cell>
        </row>
        <row r="1934">
          <cell r="A1934" t="str">
            <v>TECNICO EN ORTEIS Y/O PROTESIS</v>
          </cell>
          <cell r="B1934" t="str">
            <v>72620</v>
          </cell>
          <cell r="C1934" t="str">
            <v>E</v>
          </cell>
          <cell r="D1934" t="str">
            <v>AD</v>
          </cell>
          <cell r="E1934" t="str">
            <v>04</v>
          </cell>
        </row>
        <row r="1935">
          <cell r="A1935" t="str">
            <v>TECNICO EN PETROLEO I</v>
          </cell>
          <cell r="B1935" t="str">
            <v>44511</v>
          </cell>
          <cell r="C1935" t="str">
            <v>E</v>
          </cell>
          <cell r="D1935" t="str">
            <v>UT</v>
          </cell>
          <cell r="E1935" t="str">
            <v>15</v>
          </cell>
        </row>
        <row r="1936">
          <cell r="A1936" t="str">
            <v>TECNICO EN PETROLEO II</v>
          </cell>
          <cell r="B1936" t="str">
            <v>44512</v>
          </cell>
          <cell r="C1936" t="str">
            <v>E</v>
          </cell>
          <cell r="D1936" t="str">
            <v>UT</v>
          </cell>
          <cell r="E1936" t="str">
            <v>16</v>
          </cell>
        </row>
        <row r="1937">
          <cell r="A1937" t="str">
            <v>TECNICO EN PETROLEO III</v>
          </cell>
          <cell r="B1937" t="str">
            <v>44513</v>
          </cell>
          <cell r="C1937" t="str">
            <v>E</v>
          </cell>
          <cell r="D1937" t="str">
            <v>UT</v>
          </cell>
          <cell r="E1937" t="str">
            <v>18</v>
          </cell>
        </row>
        <row r="1938">
          <cell r="A1938" t="str">
            <v>TECNICO EN TELECOMUNICACIONES I</v>
          </cell>
          <cell r="B1938" t="str">
            <v>51511</v>
          </cell>
          <cell r="C1938" t="str">
            <v>E</v>
          </cell>
          <cell r="D1938" t="str">
            <v>AD</v>
          </cell>
          <cell r="E1938" t="str">
            <v>01</v>
          </cell>
        </row>
        <row r="1939">
          <cell r="A1939" t="str">
            <v>TECNICO EN TELECOMUNICACIONES II</v>
          </cell>
          <cell r="B1939" t="str">
            <v>51512</v>
          </cell>
          <cell r="C1939" t="str">
            <v>E</v>
          </cell>
          <cell r="D1939" t="str">
            <v>AD</v>
          </cell>
          <cell r="E1939" t="str">
            <v>02</v>
          </cell>
        </row>
        <row r="1940">
          <cell r="A1940" t="str">
            <v>TECNICO EN TELECOMUNICACIONES III</v>
          </cell>
          <cell r="B1940" t="str">
            <v>51513</v>
          </cell>
          <cell r="C1940" t="str">
            <v>E</v>
          </cell>
          <cell r="D1940" t="str">
            <v>AD</v>
          </cell>
          <cell r="E1940" t="str">
            <v>03</v>
          </cell>
        </row>
        <row r="1941">
          <cell r="A1941" t="str">
            <v>TECNICO EN TELECOMUNICACIONES IV</v>
          </cell>
          <cell r="B1941" t="str">
            <v>51514</v>
          </cell>
          <cell r="C1941" t="str">
            <v>E</v>
          </cell>
          <cell r="D1941" t="str">
            <v>UT</v>
          </cell>
          <cell r="E1941" t="str">
            <v>15</v>
          </cell>
        </row>
        <row r="1942">
          <cell r="A1942" t="str">
            <v>TECNICO EN TELECOMUNICACIONES JEFE I</v>
          </cell>
          <cell r="B1942" t="str">
            <v>51521</v>
          </cell>
          <cell r="C1942" t="str">
            <v>E</v>
          </cell>
          <cell r="D1942" t="str">
            <v>UT</v>
          </cell>
          <cell r="E1942" t="str">
            <v>18</v>
          </cell>
        </row>
        <row r="1943">
          <cell r="A1943" t="str">
            <v>TECNICO EN TELECOMUNICACIONES JEFE II</v>
          </cell>
          <cell r="B1943" t="str">
            <v>51522</v>
          </cell>
          <cell r="C1943" t="str">
            <v>E</v>
          </cell>
          <cell r="D1943" t="str">
            <v>UT</v>
          </cell>
          <cell r="E1943" t="str">
            <v>20</v>
          </cell>
        </row>
        <row r="1944">
          <cell r="A1944" t="str">
            <v>TECNICO EN TELECOMUNICACIONES JEFE III</v>
          </cell>
          <cell r="B1944" t="str">
            <v>51523</v>
          </cell>
          <cell r="C1944" t="str">
            <v>E</v>
          </cell>
          <cell r="D1944" t="str">
            <v>UT</v>
          </cell>
          <cell r="E1944" t="str">
            <v>22</v>
          </cell>
        </row>
        <row r="1945">
          <cell r="A1945" t="str">
            <v>TECNICO EN TELECOMUNICACIONES V</v>
          </cell>
          <cell r="B1945" t="str">
            <v>51515</v>
          </cell>
          <cell r="C1945" t="str">
            <v>E</v>
          </cell>
          <cell r="D1945" t="str">
            <v>UT</v>
          </cell>
          <cell r="E1945" t="str">
            <v>16</v>
          </cell>
        </row>
        <row r="1946">
          <cell r="A1946" t="str">
            <v>TECNICO EN TELECOMUNICACIONES VI</v>
          </cell>
          <cell r="B1946" t="str">
            <v>51516</v>
          </cell>
          <cell r="C1946" t="str">
            <v>E</v>
          </cell>
          <cell r="D1946" t="str">
            <v>UT</v>
          </cell>
          <cell r="E1946" t="str">
            <v>17</v>
          </cell>
        </row>
        <row r="1947">
          <cell r="A1947" t="str">
            <v>TECNICO HISTOLOGO</v>
          </cell>
          <cell r="B1947" t="str">
            <v>72140</v>
          </cell>
          <cell r="C1947" t="str">
            <v>E</v>
          </cell>
          <cell r="D1947" t="str">
            <v>AD</v>
          </cell>
          <cell r="E1947" t="str">
            <v>01</v>
          </cell>
        </row>
        <row r="1948">
          <cell r="A1948" t="str">
            <v>TECNICO NORMALIZADOR I</v>
          </cell>
          <cell r="B1948" t="str">
            <v>84511</v>
          </cell>
          <cell r="C1948" t="str">
            <v>E</v>
          </cell>
          <cell r="D1948" t="str">
            <v>UT</v>
          </cell>
          <cell r="E1948" t="str">
            <v>19</v>
          </cell>
        </row>
        <row r="1949">
          <cell r="A1949" t="str">
            <v>TECNICO NORMALIZADOR II</v>
          </cell>
          <cell r="B1949" t="str">
            <v>84512</v>
          </cell>
          <cell r="C1949" t="str">
            <v>E</v>
          </cell>
          <cell r="D1949" t="str">
            <v>UT</v>
          </cell>
          <cell r="E1949" t="str">
            <v>20</v>
          </cell>
        </row>
        <row r="1950">
          <cell r="A1950" t="str">
            <v>TECNICO NORMALIZADOR III</v>
          </cell>
          <cell r="B1950" t="str">
            <v>84513</v>
          </cell>
          <cell r="C1950" t="str">
            <v>E</v>
          </cell>
          <cell r="D1950" t="str">
            <v>UT</v>
          </cell>
          <cell r="E1950" t="str">
            <v>21</v>
          </cell>
        </row>
        <row r="1951">
          <cell r="A1951" t="str">
            <v>TECNICO PORTUARIO I</v>
          </cell>
          <cell r="B1951" t="str">
            <v>53241</v>
          </cell>
          <cell r="C1951" t="str">
            <v>E</v>
          </cell>
          <cell r="D1951" t="str">
            <v>UT</v>
          </cell>
          <cell r="E1951" t="str">
            <v>16</v>
          </cell>
        </row>
        <row r="1952">
          <cell r="A1952" t="str">
            <v>TECNICO PORTUARIO II</v>
          </cell>
          <cell r="B1952" t="str">
            <v>53242</v>
          </cell>
          <cell r="C1952" t="str">
            <v>E</v>
          </cell>
          <cell r="D1952" t="str">
            <v>UT</v>
          </cell>
          <cell r="E1952" t="str">
            <v>18</v>
          </cell>
        </row>
        <row r="1953">
          <cell r="A1953" t="str">
            <v>TECNICO PORTUARIO JEFE</v>
          </cell>
          <cell r="B1953" t="str">
            <v>53250</v>
          </cell>
          <cell r="C1953" t="str">
            <v>E</v>
          </cell>
          <cell r="D1953" t="str">
            <v>UT</v>
          </cell>
          <cell r="E1953" t="str">
            <v>20</v>
          </cell>
        </row>
        <row r="1954">
          <cell r="A1954" t="str">
            <v>TECNICO QUIMICO I</v>
          </cell>
          <cell r="B1954" t="str">
            <v>44711</v>
          </cell>
          <cell r="C1954" t="str">
            <v>E</v>
          </cell>
          <cell r="D1954" t="str">
            <v>AD</v>
          </cell>
          <cell r="E1954" t="str">
            <v>02</v>
          </cell>
        </row>
        <row r="1955">
          <cell r="A1955" t="str">
            <v>TECNICO QUIMICO II</v>
          </cell>
          <cell r="B1955" t="str">
            <v>44712</v>
          </cell>
          <cell r="C1955" t="str">
            <v>E</v>
          </cell>
          <cell r="D1955" t="str">
            <v>UT</v>
          </cell>
          <cell r="E1955" t="str">
            <v>15</v>
          </cell>
        </row>
        <row r="1956">
          <cell r="A1956" t="str">
            <v>TECNICO QUIMICO III</v>
          </cell>
          <cell r="B1956" t="str">
            <v>44713</v>
          </cell>
          <cell r="C1956" t="str">
            <v>E</v>
          </cell>
          <cell r="D1956" t="str">
            <v>UT</v>
          </cell>
          <cell r="E1956" t="str">
            <v>17</v>
          </cell>
        </row>
        <row r="1957">
          <cell r="A1957" t="str">
            <v>TECNICO QUIMICO IV</v>
          </cell>
          <cell r="B1957" t="str">
            <v>44714</v>
          </cell>
          <cell r="C1957" t="str">
            <v>E</v>
          </cell>
          <cell r="D1957" t="str">
            <v>UT</v>
          </cell>
          <cell r="E1957" t="str">
            <v>18</v>
          </cell>
        </row>
        <row r="1958">
          <cell r="A1958" t="str">
            <v>TECNICO RADIOLOGO I</v>
          </cell>
          <cell r="B1958" t="str">
            <v>72441</v>
          </cell>
          <cell r="C1958" t="str">
            <v>E</v>
          </cell>
          <cell r="D1958" t="str">
            <v>AD</v>
          </cell>
          <cell r="E1958" t="str">
            <v>03</v>
          </cell>
        </row>
        <row r="1959">
          <cell r="A1959" t="str">
            <v>TECNICO RADIOLOGO II</v>
          </cell>
          <cell r="B1959" t="str">
            <v>72442</v>
          </cell>
          <cell r="C1959" t="str">
            <v>E</v>
          </cell>
          <cell r="D1959" t="str">
            <v>AD</v>
          </cell>
          <cell r="E1959" t="str">
            <v>04</v>
          </cell>
        </row>
        <row r="1960">
          <cell r="A1960" t="str">
            <v>TECNICO RADIOLOGO III</v>
          </cell>
          <cell r="B1960" t="str">
            <v>72443</v>
          </cell>
          <cell r="C1960" t="str">
            <v>E</v>
          </cell>
          <cell r="D1960" t="str">
            <v>AD</v>
          </cell>
          <cell r="E1960" t="str">
            <v>06</v>
          </cell>
        </row>
        <row r="1961">
          <cell r="A1961" t="str">
            <v>TECNICO SUPERIOR AGRICULTOR</v>
          </cell>
          <cell r="B1961" t="str">
            <v>42150</v>
          </cell>
          <cell r="C1961" t="str">
            <v>E</v>
          </cell>
          <cell r="D1961" t="str">
            <v>UT</v>
          </cell>
          <cell r="E1961" t="str">
            <v>15</v>
          </cell>
        </row>
        <row r="1962">
          <cell r="A1962" t="str">
            <v>TECNICO SUPERIOR EN TRABAJO SOCIAL I</v>
          </cell>
          <cell r="B1962" t="str">
            <v>79341</v>
          </cell>
          <cell r="C1962" t="str">
            <v>E</v>
          </cell>
          <cell r="D1962" t="str">
            <v>UT</v>
          </cell>
          <cell r="E1962" t="str">
            <v>15</v>
          </cell>
        </row>
        <row r="1963">
          <cell r="A1963" t="str">
            <v>TECNICO SUPERIOR EN TRABAJO SOCIAL II</v>
          </cell>
          <cell r="B1963" t="str">
            <v>79342</v>
          </cell>
          <cell r="C1963" t="str">
            <v>E</v>
          </cell>
          <cell r="D1963" t="str">
            <v>UT</v>
          </cell>
          <cell r="E1963" t="str">
            <v>16</v>
          </cell>
        </row>
        <row r="1964">
          <cell r="A1964" t="str">
            <v>TECNICO SUPERIOR III 77 TID</v>
          </cell>
          <cell r="B1964" t="str">
            <v>00877</v>
          </cell>
          <cell r="C1964" t="str">
            <v>E</v>
          </cell>
          <cell r="D1964" t="str">
            <v>DO</v>
          </cell>
          <cell r="E1964" t="str">
            <v/>
          </cell>
        </row>
        <row r="1965">
          <cell r="A1965" t="str">
            <v>TECNICO SUPERIOR PESQUERO</v>
          </cell>
          <cell r="B1965" t="str">
            <v>42140</v>
          </cell>
          <cell r="C1965" t="str">
            <v>E</v>
          </cell>
          <cell r="D1965" t="str">
            <v>UT</v>
          </cell>
          <cell r="E1965" t="str">
            <v>15</v>
          </cell>
        </row>
        <row r="1966">
          <cell r="A1966" t="str">
            <v>TECNICO VALORADOR I</v>
          </cell>
          <cell r="B1966" t="str">
            <v>53311</v>
          </cell>
          <cell r="C1966" t="str">
            <v>E</v>
          </cell>
          <cell r="D1966" t="str">
            <v>UT</v>
          </cell>
          <cell r="E1966" t="str">
            <v>15</v>
          </cell>
        </row>
        <row r="1967">
          <cell r="A1967" t="str">
            <v>TECNICO VALORADOR II</v>
          </cell>
          <cell r="B1967" t="str">
            <v>53312</v>
          </cell>
          <cell r="C1967" t="str">
            <v>E</v>
          </cell>
          <cell r="D1967" t="str">
            <v>UT</v>
          </cell>
          <cell r="E1967" t="str">
            <v>17</v>
          </cell>
        </row>
        <row r="1968">
          <cell r="A1968" t="str">
            <v>TECNICO VALORADOR III</v>
          </cell>
          <cell r="B1968" t="str">
            <v>53313</v>
          </cell>
          <cell r="C1968" t="str">
            <v>E</v>
          </cell>
          <cell r="D1968" t="str">
            <v>UT</v>
          </cell>
          <cell r="E1968" t="str">
            <v>19</v>
          </cell>
        </row>
        <row r="1969">
          <cell r="A1969" t="str">
            <v>TECNICO VALORADOR JEFE</v>
          </cell>
          <cell r="B1969" t="str">
            <v>53320</v>
          </cell>
          <cell r="C1969" t="str">
            <v>E</v>
          </cell>
          <cell r="D1969" t="str">
            <v>UT</v>
          </cell>
          <cell r="E1969" t="str">
            <v>21</v>
          </cell>
        </row>
        <row r="1970">
          <cell r="A1970" t="str">
            <v>TELEFONISTA</v>
          </cell>
          <cell r="B1970" t="str">
            <v>51480</v>
          </cell>
          <cell r="C1970" t="str">
            <v>E</v>
          </cell>
          <cell r="D1970" t="str">
            <v>AD</v>
          </cell>
          <cell r="E1970" t="str">
            <v>01</v>
          </cell>
        </row>
        <row r="1971">
          <cell r="A1971" t="str">
            <v>TENIENTE (BOMBERO)</v>
          </cell>
          <cell r="B1971" t="str">
            <v>62600</v>
          </cell>
          <cell r="C1971" t="str">
            <v>E</v>
          </cell>
          <cell r="D1971" t="str">
            <v>BO</v>
          </cell>
          <cell r="E1971" t="str">
            <v>12</v>
          </cell>
        </row>
        <row r="1972">
          <cell r="A1972" t="str">
            <v>TENIENTE CORONEL (BOMBERO)</v>
          </cell>
          <cell r="B1972" t="str">
            <v>62300</v>
          </cell>
          <cell r="C1972" t="str">
            <v>E</v>
          </cell>
          <cell r="D1972" t="str">
            <v>BO</v>
          </cell>
          <cell r="E1972" t="str">
            <v/>
          </cell>
        </row>
        <row r="1973">
          <cell r="A1973" t="str">
            <v>TERAPEUTA OCUPACIONAL I</v>
          </cell>
          <cell r="B1973" t="str">
            <v>72521</v>
          </cell>
          <cell r="C1973" t="str">
            <v>E</v>
          </cell>
          <cell r="D1973" t="str">
            <v>UT</v>
          </cell>
          <cell r="E1973" t="str">
            <v>15</v>
          </cell>
        </row>
        <row r="1974">
          <cell r="A1974" t="str">
            <v>TERAPEUTA OCUPACIONAL II</v>
          </cell>
          <cell r="B1974" t="str">
            <v>72522</v>
          </cell>
          <cell r="C1974" t="str">
            <v>E</v>
          </cell>
          <cell r="D1974" t="str">
            <v>UT</v>
          </cell>
          <cell r="E1974" t="str">
            <v>17</v>
          </cell>
        </row>
        <row r="1975">
          <cell r="A1975" t="str">
            <v>TERAPEUTA OCUPACIONAL III</v>
          </cell>
          <cell r="B1975" t="str">
            <v>72523</v>
          </cell>
          <cell r="C1975" t="str">
            <v>E</v>
          </cell>
          <cell r="D1975" t="str">
            <v>UT</v>
          </cell>
          <cell r="E1975" t="str">
            <v>19</v>
          </cell>
        </row>
        <row r="1976">
          <cell r="A1976" t="str">
            <v>TERAPEUTA OCUPACIONAL IV</v>
          </cell>
          <cell r="B1976" t="str">
            <v>72524</v>
          </cell>
          <cell r="C1976" t="str">
            <v>E</v>
          </cell>
          <cell r="D1976" t="str">
            <v>UT</v>
          </cell>
          <cell r="E1976" t="str">
            <v>21</v>
          </cell>
        </row>
        <row r="1977">
          <cell r="A1977" t="str">
            <v>TERAPISTA DE LENGUAJE I</v>
          </cell>
          <cell r="B1977" t="str">
            <v>72541</v>
          </cell>
          <cell r="C1977" t="str">
            <v>E</v>
          </cell>
          <cell r="D1977" t="str">
            <v>UT</v>
          </cell>
          <cell r="E1977" t="str">
            <v>15</v>
          </cell>
        </row>
        <row r="1978">
          <cell r="A1978" t="str">
            <v>TERAPISTA DE LENGUAJE II</v>
          </cell>
          <cell r="B1978" t="str">
            <v>72542</v>
          </cell>
          <cell r="C1978" t="str">
            <v>E</v>
          </cell>
          <cell r="D1978" t="str">
            <v>UT</v>
          </cell>
          <cell r="E1978" t="str">
            <v>17</v>
          </cell>
        </row>
        <row r="1979">
          <cell r="A1979" t="str">
            <v>TESORERO(A) GENERAL DEL ESTADO</v>
          </cell>
          <cell r="B1979" t="str">
            <v>00911</v>
          </cell>
          <cell r="C1979" t="str">
            <v>E</v>
          </cell>
          <cell r="D1979" t="str">
            <v>DI</v>
          </cell>
          <cell r="E1979" t="str">
            <v>99</v>
          </cell>
        </row>
        <row r="1980">
          <cell r="A1980" t="str">
            <v>TIMBAL 1</v>
          </cell>
          <cell r="B1980" t="str">
            <v>03556</v>
          </cell>
          <cell r="C1980" t="str">
            <v>E</v>
          </cell>
          <cell r="D1980" t="str">
            <v>AD</v>
          </cell>
          <cell r="E1980" t="str">
            <v>01</v>
          </cell>
        </row>
        <row r="1981">
          <cell r="A1981" t="str">
            <v>TOPOGRAFO CARTOGRAFICO I</v>
          </cell>
          <cell r="B1981" t="str">
            <v>43141</v>
          </cell>
          <cell r="C1981" t="str">
            <v>E</v>
          </cell>
          <cell r="D1981" t="str">
            <v>UT</v>
          </cell>
          <cell r="E1981" t="str">
            <v>16</v>
          </cell>
        </row>
        <row r="1982">
          <cell r="A1982" t="str">
            <v>TOPOGRAFO CARTOGRAFICO II</v>
          </cell>
          <cell r="B1982" t="str">
            <v>43142</v>
          </cell>
          <cell r="C1982" t="str">
            <v>E</v>
          </cell>
          <cell r="D1982" t="str">
            <v>UT</v>
          </cell>
          <cell r="E1982" t="str">
            <v>18</v>
          </cell>
        </row>
        <row r="1983">
          <cell r="A1983" t="str">
            <v>TOPOGRAFO CARTOGRAFICO JEFE</v>
          </cell>
          <cell r="B1983" t="str">
            <v>43150</v>
          </cell>
          <cell r="C1983" t="str">
            <v>E</v>
          </cell>
          <cell r="D1983" t="str">
            <v>UT</v>
          </cell>
          <cell r="E1983" t="str">
            <v>20</v>
          </cell>
        </row>
        <row r="1984">
          <cell r="A1984" t="str">
            <v>TOPOGRAFO I</v>
          </cell>
          <cell r="B1984" t="str">
            <v>43121</v>
          </cell>
          <cell r="C1984" t="str">
            <v>E</v>
          </cell>
          <cell r="D1984" t="str">
            <v>UT</v>
          </cell>
          <cell r="E1984" t="str">
            <v>15</v>
          </cell>
        </row>
        <row r="1985">
          <cell r="A1985" t="str">
            <v>TOPOGRAFO II</v>
          </cell>
          <cell r="B1985" t="str">
            <v>43122</v>
          </cell>
          <cell r="C1985" t="str">
            <v>E</v>
          </cell>
          <cell r="D1985" t="str">
            <v>UT</v>
          </cell>
          <cell r="E1985" t="str">
            <v>17</v>
          </cell>
        </row>
        <row r="1986">
          <cell r="A1986" t="str">
            <v>TRABAJADOR SOCIAL I</v>
          </cell>
          <cell r="B1986" t="str">
            <v>79351</v>
          </cell>
          <cell r="C1986" t="str">
            <v>E</v>
          </cell>
          <cell r="D1986" t="str">
            <v>UT</v>
          </cell>
          <cell r="E1986" t="str">
            <v>17</v>
          </cell>
        </row>
        <row r="1987">
          <cell r="A1987" t="str">
            <v>TRABAJADOR SOCIAL II</v>
          </cell>
          <cell r="B1987" t="str">
            <v>79352</v>
          </cell>
          <cell r="C1987" t="str">
            <v>E</v>
          </cell>
          <cell r="D1987" t="str">
            <v>UT</v>
          </cell>
          <cell r="E1987" t="str">
            <v>19</v>
          </cell>
        </row>
        <row r="1988">
          <cell r="A1988" t="str">
            <v>TRABAJADOR SOCIAL III</v>
          </cell>
          <cell r="B1988" t="str">
            <v>79353</v>
          </cell>
          <cell r="C1988" t="str">
            <v>E</v>
          </cell>
          <cell r="D1988" t="str">
            <v>UT</v>
          </cell>
          <cell r="E1988" t="str">
            <v>21</v>
          </cell>
        </row>
        <row r="1989">
          <cell r="A1989" t="str">
            <v>TRABAJADOR SOCIAL IV</v>
          </cell>
          <cell r="B1989" t="str">
            <v>79354</v>
          </cell>
          <cell r="C1989" t="str">
            <v>E</v>
          </cell>
          <cell r="D1989" t="str">
            <v>UT</v>
          </cell>
          <cell r="E1989" t="str">
            <v>22</v>
          </cell>
        </row>
        <row r="1990">
          <cell r="A1990" t="str">
            <v>TRADUCTOR I</v>
          </cell>
          <cell r="B1990" t="str">
            <v>22311</v>
          </cell>
          <cell r="C1990" t="str">
            <v>E</v>
          </cell>
          <cell r="D1990" t="str">
            <v>UT</v>
          </cell>
          <cell r="E1990" t="str">
            <v>17</v>
          </cell>
        </row>
        <row r="1991">
          <cell r="A1991" t="str">
            <v>TRADUCTOR II</v>
          </cell>
          <cell r="B1991" t="str">
            <v>22312</v>
          </cell>
          <cell r="C1991" t="str">
            <v>E</v>
          </cell>
          <cell r="D1991" t="str">
            <v>UT</v>
          </cell>
          <cell r="E1991" t="str">
            <v>19</v>
          </cell>
        </row>
        <row r="1992">
          <cell r="A1992" t="str">
            <v>TRADUCTOR III</v>
          </cell>
          <cell r="B1992" t="str">
            <v>22313</v>
          </cell>
          <cell r="C1992" t="str">
            <v>E</v>
          </cell>
          <cell r="D1992" t="str">
            <v>UT</v>
          </cell>
          <cell r="E1992" t="str">
            <v>21</v>
          </cell>
        </row>
        <row r="1993">
          <cell r="A1993" t="str">
            <v>TRADUCTOR MULTILINGUE II</v>
          </cell>
          <cell r="B1993" t="str">
            <v>22322</v>
          </cell>
          <cell r="C1993" t="str">
            <v>E</v>
          </cell>
          <cell r="D1993" t="str">
            <v>UT</v>
          </cell>
          <cell r="E1993" t="str">
            <v>25</v>
          </cell>
        </row>
        <row r="1994">
          <cell r="A1994" t="str">
            <v>TRADUCTOR MULTILUNGUE I</v>
          </cell>
          <cell r="B1994" t="str">
            <v>22321</v>
          </cell>
          <cell r="C1994" t="str">
            <v>E</v>
          </cell>
          <cell r="D1994" t="str">
            <v>UT</v>
          </cell>
          <cell r="E1994" t="str">
            <v>23</v>
          </cell>
        </row>
        <row r="1995">
          <cell r="A1995" t="str">
            <v>TRAMITADOR DE ASUNTOS DE ADUANA I</v>
          </cell>
          <cell r="B1995" t="str">
            <v>53151</v>
          </cell>
          <cell r="C1995" t="str">
            <v>E</v>
          </cell>
          <cell r="D1995" t="str">
            <v>AD</v>
          </cell>
          <cell r="E1995" t="str">
            <v>01</v>
          </cell>
        </row>
        <row r="1996">
          <cell r="A1996" t="str">
            <v>TRAMITADOR DE ASUNTOS DE ADUANA II</v>
          </cell>
          <cell r="B1996" t="str">
            <v>53152</v>
          </cell>
          <cell r="C1996" t="str">
            <v>E</v>
          </cell>
          <cell r="D1996" t="str">
            <v>AD</v>
          </cell>
          <cell r="E1996" t="str">
            <v>03</v>
          </cell>
        </row>
        <row r="1997">
          <cell r="A1997" t="str">
            <v>TRAMITADOR DE ASUNTOS DE ADUANA JEFE</v>
          </cell>
          <cell r="B1997" t="str">
            <v>53160</v>
          </cell>
          <cell r="C1997" t="str">
            <v>E</v>
          </cell>
          <cell r="D1997" t="str">
            <v>UT</v>
          </cell>
          <cell r="E1997" t="str">
            <v>15</v>
          </cell>
        </row>
        <row r="1998">
          <cell r="A1998" t="str">
            <v>TROMBON 1</v>
          </cell>
          <cell r="B1998" t="str">
            <v>03552</v>
          </cell>
          <cell r="C1998" t="str">
            <v>E</v>
          </cell>
          <cell r="D1998" t="str">
            <v>AD</v>
          </cell>
          <cell r="E1998" t="str">
            <v>01</v>
          </cell>
        </row>
        <row r="1999">
          <cell r="A1999" t="str">
            <v>TROMBON 2</v>
          </cell>
          <cell r="B1999" t="str">
            <v>03584</v>
          </cell>
          <cell r="C1999" t="str">
            <v>E</v>
          </cell>
          <cell r="D1999" t="str">
            <v>AD</v>
          </cell>
          <cell r="E1999" t="str">
            <v>01</v>
          </cell>
        </row>
        <row r="2000">
          <cell r="A2000" t="str">
            <v>TROMBON 3</v>
          </cell>
          <cell r="B2000" t="str">
            <v>03613</v>
          </cell>
          <cell r="C2000" t="str">
            <v>E</v>
          </cell>
          <cell r="D2000" t="str">
            <v>AD</v>
          </cell>
          <cell r="E2000" t="str">
            <v>01</v>
          </cell>
        </row>
        <row r="2001">
          <cell r="A2001" t="str">
            <v>TROMPETA 1</v>
          </cell>
          <cell r="B2001" t="str">
            <v>03548</v>
          </cell>
          <cell r="C2001" t="str">
            <v>E</v>
          </cell>
          <cell r="D2001" t="str">
            <v>AD</v>
          </cell>
          <cell r="E2001" t="str">
            <v>01</v>
          </cell>
        </row>
        <row r="2002">
          <cell r="A2002" t="str">
            <v>TROMPETA 2</v>
          </cell>
          <cell r="B2002" t="str">
            <v>03580</v>
          </cell>
          <cell r="C2002" t="str">
            <v>E</v>
          </cell>
          <cell r="D2002" t="str">
            <v>AD</v>
          </cell>
          <cell r="E2002" t="str">
            <v>01</v>
          </cell>
        </row>
        <row r="2003">
          <cell r="A2003" t="str">
            <v>TROMPETA 3</v>
          </cell>
          <cell r="B2003" t="str">
            <v>03608</v>
          </cell>
          <cell r="C2003" t="str">
            <v>E</v>
          </cell>
          <cell r="D2003" t="str">
            <v>AD</v>
          </cell>
          <cell r="E2003" t="str">
            <v>01</v>
          </cell>
        </row>
        <row r="2004">
          <cell r="A2004" t="str">
            <v>TROMPETA SOLISTA</v>
          </cell>
          <cell r="B2004" t="str">
            <v>03512</v>
          </cell>
          <cell r="C2004" t="str">
            <v>E</v>
          </cell>
          <cell r="D2004" t="str">
            <v>AD</v>
          </cell>
          <cell r="E2004" t="str">
            <v>01</v>
          </cell>
        </row>
        <row r="2005">
          <cell r="A2005" t="str">
            <v>TUBA 1</v>
          </cell>
          <cell r="B2005" t="str">
            <v>03554</v>
          </cell>
          <cell r="C2005" t="str">
            <v>E</v>
          </cell>
          <cell r="D2005" t="str">
            <v>AD</v>
          </cell>
          <cell r="E2005" t="str">
            <v>01</v>
          </cell>
        </row>
        <row r="2006">
          <cell r="A2006" t="str">
            <v>TUBA 2</v>
          </cell>
          <cell r="B2006" t="str">
            <v>03586</v>
          </cell>
          <cell r="C2006" t="str">
            <v>E</v>
          </cell>
          <cell r="D2006" t="str">
            <v>AD</v>
          </cell>
          <cell r="E2006" t="str">
            <v>01</v>
          </cell>
        </row>
        <row r="2007">
          <cell r="A2007" t="str">
            <v>TUTOR FACILITADOR I</v>
          </cell>
          <cell r="B2007" t="str">
            <v>79521</v>
          </cell>
          <cell r="C2007" t="str">
            <v>E</v>
          </cell>
          <cell r="D2007" t="str">
            <v>UT</v>
          </cell>
          <cell r="E2007" t="str">
            <v>18</v>
          </cell>
        </row>
        <row r="2008">
          <cell r="A2008" t="str">
            <v>TUTOR FACILITADOR II</v>
          </cell>
          <cell r="B2008" t="str">
            <v>79522</v>
          </cell>
          <cell r="C2008" t="str">
            <v>E</v>
          </cell>
          <cell r="D2008" t="str">
            <v>UT</v>
          </cell>
          <cell r="E2008" t="str">
            <v>20</v>
          </cell>
        </row>
        <row r="2009">
          <cell r="A2009" t="str">
            <v>TUTOR FACILITADOR III</v>
          </cell>
          <cell r="B2009" t="str">
            <v>79523</v>
          </cell>
          <cell r="C2009" t="str">
            <v>E</v>
          </cell>
          <cell r="D2009" t="str">
            <v>UT</v>
          </cell>
          <cell r="E2009" t="str">
            <v>22</v>
          </cell>
        </row>
        <row r="2010">
          <cell r="A2010" t="str">
            <v>URBANISTA I</v>
          </cell>
          <cell r="B2010" t="str">
            <v>43811</v>
          </cell>
          <cell r="C2010" t="str">
            <v>E</v>
          </cell>
          <cell r="D2010" t="str">
            <v>UT</v>
          </cell>
          <cell r="E2010" t="str">
            <v>18</v>
          </cell>
        </row>
        <row r="2011">
          <cell r="A2011" t="str">
            <v>URBANISTA II</v>
          </cell>
          <cell r="B2011" t="str">
            <v>43812</v>
          </cell>
          <cell r="C2011" t="str">
            <v>E</v>
          </cell>
          <cell r="D2011" t="str">
            <v>UT</v>
          </cell>
          <cell r="E2011" t="str">
            <v>19</v>
          </cell>
        </row>
        <row r="2012">
          <cell r="A2012" t="str">
            <v>URBANISTA III</v>
          </cell>
          <cell r="B2012" t="str">
            <v>43813</v>
          </cell>
          <cell r="C2012" t="str">
            <v>E</v>
          </cell>
          <cell r="D2012" t="str">
            <v>UT</v>
          </cell>
          <cell r="E2012" t="str">
            <v>21</v>
          </cell>
        </row>
        <row r="2013">
          <cell r="A2013" t="str">
            <v>URBANISTA JEFE</v>
          </cell>
          <cell r="B2013" t="str">
            <v>43820</v>
          </cell>
          <cell r="C2013" t="str">
            <v>E</v>
          </cell>
          <cell r="D2013" t="str">
            <v>UT</v>
          </cell>
          <cell r="E2013" t="str">
            <v>23</v>
          </cell>
        </row>
        <row r="2014">
          <cell r="A2014" t="str">
            <v>VICEPRESIDENTE</v>
          </cell>
          <cell r="B2014" t="str">
            <v>90101</v>
          </cell>
          <cell r="C2014" t="str">
            <v>E</v>
          </cell>
          <cell r="D2014" t="str">
            <v>DI</v>
          </cell>
          <cell r="E2014" t="str">
            <v>99</v>
          </cell>
        </row>
        <row r="2015">
          <cell r="A2015" t="str">
            <v>VIOLA</v>
          </cell>
          <cell r="B2015" t="str">
            <v>03625</v>
          </cell>
          <cell r="C2015" t="str">
            <v>E</v>
          </cell>
          <cell r="D2015" t="str">
            <v>AD</v>
          </cell>
          <cell r="E2015" t="str">
            <v>01</v>
          </cell>
        </row>
        <row r="2016">
          <cell r="A2016" t="str">
            <v>VIOLIN</v>
          </cell>
          <cell r="B2016" t="str">
            <v>03626</v>
          </cell>
          <cell r="C2016" t="str">
            <v>E</v>
          </cell>
          <cell r="D2016" t="str">
            <v>AD</v>
          </cell>
          <cell r="E2016" t="str">
            <v>01</v>
          </cell>
        </row>
        <row r="2017">
          <cell r="A2017" t="str">
            <v>VIOLIN 1</v>
          </cell>
          <cell r="B2017" t="str">
            <v>03577</v>
          </cell>
          <cell r="C2017" t="str">
            <v>E</v>
          </cell>
          <cell r="D2017" t="str">
            <v>AD</v>
          </cell>
          <cell r="E2017" t="str">
            <v>01</v>
          </cell>
        </row>
        <row r="2018">
          <cell r="A2018" t="str">
            <v>VIOLINCILLO</v>
          </cell>
          <cell r="B2018" t="str">
            <v>03755</v>
          </cell>
          <cell r="C2018" t="str">
            <v>E</v>
          </cell>
          <cell r="D2018" t="str">
            <v>DO</v>
          </cell>
          <cell r="E2018" t="str">
            <v/>
          </cell>
        </row>
        <row r="2019">
          <cell r="A2019" t="str">
            <v>VIOLONCELLO</v>
          </cell>
          <cell r="B2019" t="str">
            <v>03576</v>
          </cell>
          <cell r="C2019" t="str">
            <v>E</v>
          </cell>
          <cell r="D2019" t="str">
            <v>AD</v>
          </cell>
          <cell r="E2019" t="str">
            <v>01</v>
          </cell>
        </row>
        <row r="2020">
          <cell r="A2020" t="str">
            <v>VIOLONCHELO</v>
          </cell>
          <cell r="B2020" t="str">
            <v>03624</v>
          </cell>
          <cell r="C2020" t="str">
            <v>E</v>
          </cell>
          <cell r="D2020" t="str">
            <v>AD</v>
          </cell>
          <cell r="E2020" t="str">
            <v>01</v>
          </cell>
        </row>
        <row r="2021">
          <cell r="A2021" t="str">
            <v>ZOOLOGO I</v>
          </cell>
          <cell r="B2021" t="str">
            <v>42431</v>
          </cell>
          <cell r="C2021" t="str">
            <v>E</v>
          </cell>
          <cell r="D2021" t="str">
            <v>UT</v>
          </cell>
          <cell r="E2021" t="str">
            <v>17</v>
          </cell>
        </row>
        <row r="2022">
          <cell r="A2022" t="str">
            <v>ZOOLOGO II</v>
          </cell>
          <cell r="B2022" t="str">
            <v>42432</v>
          </cell>
          <cell r="C2022" t="str">
            <v>E</v>
          </cell>
          <cell r="D2022" t="str">
            <v>UT</v>
          </cell>
          <cell r="E2022" t="str">
            <v>19</v>
          </cell>
        </row>
        <row r="2023">
          <cell r="A2023" t="str">
            <v>ZOOTECNISTA I</v>
          </cell>
          <cell r="B2023" t="str">
            <v>41511</v>
          </cell>
          <cell r="C2023" t="str">
            <v>E</v>
          </cell>
          <cell r="D2023" t="str">
            <v>UT</v>
          </cell>
          <cell r="E2023" t="str">
            <v>18</v>
          </cell>
        </row>
        <row r="2024">
          <cell r="A2024" t="str">
            <v>ZOOTECNISTA II</v>
          </cell>
          <cell r="B2024" t="str">
            <v>41512</v>
          </cell>
          <cell r="C2024" t="str">
            <v>E</v>
          </cell>
          <cell r="D2024" t="str">
            <v>UT</v>
          </cell>
          <cell r="E2024" t="str">
            <v>19</v>
          </cell>
        </row>
        <row r="2025">
          <cell r="A2025" t="str">
            <v>ZOOTECNISTA III</v>
          </cell>
          <cell r="B2025" t="str">
            <v>41513</v>
          </cell>
          <cell r="C2025" t="str">
            <v>E</v>
          </cell>
          <cell r="D2025" t="str">
            <v>UT</v>
          </cell>
          <cell r="E2025" t="str">
            <v>21</v>
          </cell>
        </row>
        <row r="2026">
          <cell r="A2026" t="str">
            <v>ZOOTECNISTA IV</v>
          </cell>
          <cell r="B2026" t="str">
            <v>41514</v>
          </cell>
          <cell r="C2026" t="str">
            <v>E</v>
          </cell>
          <cell r="D2026" t="str">
            <v>UT</v>
          </cell>
          <cell r="E2026" t="str">
            <v>22</v>
          </cell>
        </row>
        <row r="2027">
          <cell r="A2027" t="str">
            <v>ZOOTECNISTA JEFE</v>
          </cell>
          <cell r="B2027" t="str">
            <v>41520</v>
          </cell>
          <cell r="C2027" t="str">
            <v>E</v>
          </cell>
          <cell r="D2027" t="str">
            <v>UT</v>
          </cell>
          <cell r="E2027" t="str">
            <v>25</v>
          </cell>
        </row>
        <row r="2028">
          <cell r="A2028" t="str">
            <v>ZOOTECNISTA V</v>
          </cell>
          <cell r="B2028" t="str">
            <v>41515</v>
          </cell>
          <cell r="C2028" t="str">
            <v>E</v>
          </cell>
          <cell r="D2028" t="str">
            <v>UT</v>
          </cell>
          <cell r="E2028" t="str">
            <v>24</v>
          </cell>
        </row>
        <row r="2029">
          <cell r="A2029" t="str">
            <v>ACARREADOR</v>
          </cell>
          <cell r="B2029" t="str">
            <v>7101</v>
          </cell>
          <cell r="C2029" t="str">
            <v>O</v>
          </cell>
          <cell r="D2029" t="str">
            <v>OB</v>
          </cell>
          <cell r="E2029" t="str">
            <v>01</v>
          </cell>
        </row>
        <row r="2030">
          <cell r="A2030" t="str">
            <v>ALBAÑIL</v>
          </cell>
          <cell r="B2030" t="str">
            <v>7225</v>
          </cell>
          <cell r="C2030" t="str">
            <v>O</v>
          </cell>
          <cell r="D2030" t="str">
            <v>OB</v>
          </cell>
          <cell r="E2030" t="str">
            <v>06</v>
          </cell>
        </row>
        <row r="2031">
          <cell r="A2031" t="str">
            <v>ARMADOR DE PUERTOS</v>
          </cell>
          <cell r="B2031" t="str">
            <v>5250</v>
          </cell>
          <cell r="C2031" t="str">
            <v>O</v>
          </cell>
          <cell r="D2031" t="str">
            <v>OB</v>
          </cell>
          <cell r="E2031" t="str">
            <v>07</v>
          </cell>
        </row>
        <row r="2032">
          <cell r="A2032" t="str">
            <v>ASCENSORISTA</v>
          </cell>
          <cell r="B2032" t="str">
            <v>3125</v>
          </cell>
          <cell r="C2032" t="str">
            <v>O</v>
          </cell>
          <cell r="D2032" t="str">
            <v>OB</v>
          </cell>
          <cell r="E2032" t="str">
            <v>02</v>
          </cell>
        </row>
        <row r="2033">
          <cell r="A2033" t="str">
            <v>ASEADOR</v>
          </cell>
          <cell r="B2033" t="str">
            <v>7102</v>
          </cell>
          <cell r="C2033" t="str">
            <v>O</v>
          </cell>
          <cell r="D2033" t="str">
            <v>OB</v>
          </cell>
          <cell r="E2033" t="str">
            <v>01</v>
          </cell>
        </row>
        <row r="2034">
          <cell r="A2034" t="str">
            <v>ASEADOR AREAS PUBLICAS</v>
          </cell>
          <cell r="B2034" t="str">
            <v>7107</v>
          </cell>
          <cell r="C2034" t="str">
            <v>O</v>
          </cell>
          <cell r="D2034" t="str">
            <v>OB</v>
          </cell>
          <cell r="E2034" t="str">
            <v>01</v>
          </cell>
        </row>
        <row r="2035">
          <cell r="A2035" t="str">
            <v>ASEADOR DE MATERIALES DE LABORATORIO</v>
          </cell>
          <cell r="B2035" t="str">
            <v>8528</v>
          </cell>
          <cell r="C2035" t="str">
            <v>O</v>
          </cell>
          <cell r="D2035" t="str">
            <v>OB</v>
          </cell>
          <cell r="E2035" t="str">
            <v>03</v>
          </cell>
        </row>
        <row r="2036">
          <cell r="A2036" t="str">
            <v>AUXILIAR DE AUTOPSIA</v>
          </cell>
          <cell r="B2036" t="str">
            <v>6225</v>
          </cell>
          <cell r="C2036" t="str">
            <v>O</v>
          </cell>
          <cell r="D2036" t="str">
            <v>OB</v>
          </cell>
          <cell r="E2036" t="str">
            <v>06</v>
          </cell>
        </row>
        <row r="2037">
          <cell r="A2037" t="str">
            <v>AUXILIAR DE CRISTALERIA</v>
          </cell>
          <cell r="B2037" t="str">
            <v>8524</v>
          </cell>
          <cell r="C2037" t="str">
            <v>O</v>
          </cell>
          <cell r="D2037" t="str">
            <v>OB</v>
          </cell>
          <cell r="E2037" t="str">
            <v>08</v>
          </cell>
        </row>
        <row r="2038">
          <cell r="A2038" t="str">
            <v>AUXILIAR DE ENFERMERIA</v>
          </cell>
          <cell r="B2038" t="str">
            <v>6274</v>
          </cell>
          <cell r="C2038" t="str">
            <v>O</v>
          </cell>
          <cell r="D2038" t="str">
            <v>OB</v>
          </cell>
          <cell r="E2038" t="str">
            <v>08</v>
          </cell>
        </row>
        <row r="2039">
          <cell r="A2039" t="str">
            <v>AUXILIAR DE FARMACIA</v>
          </cell>
          <cell r="B2039" t="str">
            <v>6201</v>
          </cell>
          <cell r="C2039" t="str">
            <v>O</v>
          </cell>
          <cell r="D2039" t="str">
            <v>OB</v>
          </cell>
          <cell r="E2039" t="str">
            <v>05</v>
          </cell>
        </row>
        <row r="2040">
          <cell r="A2040" t="str">
            <v>AUXILIAR DE LABORATORIO</v>
          </cell>
          <cell r="B2040" t="str">
            <v>6226</v>
          </cell>
          <cell r="C2040" t="str">
            <v>O</v>
          </cell>
          <cell r="D2040" t="str">
            <v>OB</v>
          </cell>
          <cell r="E2040" t="str">
            <v>06</v>
          </cell>
        </row>
        <row r="2041">
          <cell r="A2041" t="str">
            <v>AUXILIAR DE MEZCLAS PRODUCTOS FARMACEUTICOS</v>
          </cell>
          <cell r="B2041" t="str">
            <v>6231</v>
          </cell>
          <cell r="C2041" t="str">
            <v>O</v>
          </cell>
          <cell r="D2041" t="str">
            <v>OB</v>
          </cell>
          <cell r="E2041" t="str">
            <v>06</v>
          </cell>
        </row>
        <row r="2042">
          <cell r="A2042" t="str">
            <v>AUXILIAR DE NUTRICION</v>
          </cell>
          <cell r="B2042" t="str">
            <v>6227</v>
          </cell>
          <cell r="C2042" t="str">
            <v>O</v>
          </cell>
          <cell r="D2042" t="str">
            <v>OB</v>
          </cell>
          <cell r="E2042" t="str">
            <v>06</v>
          </cell>
        </row>
        <row r="2043">
          <cell r="A2043" t="str">
            <v>AUXILIAR DE ODONTOLOGIA</v>
          </cell>
          <cell r="B2043" t="str">
            <v>6228</v>
          </cell>
          <cell r="C2043" t="str">
            <v>O</v>
          </cell>
          <cell r="D2043" t="str">
            <v>OB</v>
          </cell>
          <cell r="E2043" t="str">
            <v>06</v>
          </cell>
        </row>
        <row r="2044">
          <cell r="A2044" t="str">
            <v>AUXILIAR DE PRUEBAS PRODUCTOS FARMACEUTICOS</v>
          </cell>
          <cell r="B2044" t="str">
            <v>6232</v>
          </cell>
          <cell r="C2044" t="str">
            <v>O</v>
          </cell>
          <cell r="D2044" t="str">
            <v>OB</v>
          </cell>
          <cell r="E2044" t="str">
            <v>06</v>
          </cell>
        </row>
        <row r="2045">
          <cell r="A2045" t="str">
            <v>AUXILIAR DE RAYOS X</v>
          </cell>
          <cell r="B2045" t="str">
            <v>6229</v>
          </cell>
          <cell r="C2045" t="str">
            <v>O</v>
          </cell>
          <cell r="D2045" t="str">
            <v>OB</v>
          </cell>
          <cell r="E2045" t="str">
            <v>06</v>
          </cell>
        </row>
        <row r="2046">
          <cell r="A2046" t="str">
            <v>AUXILIAR DE SERVICIOS DE OFICINA</v>
          </cell>
          <cell r="B2046" t="str">
            <v>7202</v>
          </cell>
          <cell r="C2046" t="str">
            <v>O</v>
          </cell>
          <cell r="D2046" t="str">
            <v>OB</v>
          </cell>
          <cell r="E2046" t="str">
            <v>05</v>
          </cell>
        </row>
        <row r="2047">
          <cell r="A2047" t="str">
            <v>AUXILIAR DE SERVICIOS DE TREN</v>
          </cell>
          <cell r="B2047" t="str">
            <v>3202</v>
          </cell>
          <cell r="C2047" t="str">
            <v>O</v>
          </cell>
          <cell r="D2047" t="str">
            <v>OB</v>
          </cell>
          <cell r="E2047" t="str">
            <v>05</v>
          </cell>
        </row>
        <row r="2048">
          <cell r="A2048" t="str">
            <v>AUXILIAR DE TELECOMUNICACIONES</v>
          </cell>
          <cell r="B2048" t="str">
            <v>7203</v>
          </cell>
          <cell r="C2048" t="str">
            <v>O</v>
          </cell>
          <cell r="D2048" t="str">
            <v>OB</v>
          </cell>
          <cell r="E2048" t="str">
            <v>05</v>
          </cell>
        </row>
        <row r="2049">
          <cell r="A2049" t="str">
            <v>AUXILIAR DE VETERINARIA</v>
          </cell>
          <cell r="B2049" t="str">
            <v>1201</v>
          </cell>
          <cell r="C2049" t="str">
            <v>O</v>
          </cell>
          <cell r="D2049" t="str">
            <v>OB</v>
          </cell>
          <cell r="E2049" t="str">
            <v>05</v>
          </cell>
        </row>
        <row r="2050">
          <cell r="A2050" t="str">
            <v>AYUDANTE AGROPECUARIO</v>
          </cell>
          <cell r="B2050" t="str">
            <v>1151</v>
          </cell>
          <cell r="C2050" t="str">
            <v>O</v>
          </cell>
          <cell r="D2050" t="str">
            <v>OB</v>
          </cell>
          <cell r="E2050" t="str">
            <v>03</v>
          </cell>
        </row>
        <row r="2051">
          <cell r="A2051" t="str">
            <v>AYUDANTE BARMAN</v>
          </cell>
          <cell r="B2051" t="str">
            <v>2125</v>
          </cell>
          <cell r="C2051" t="str">
            <v>O</v>
          </cell>
          <cell r="D2051" t="str">
            <v>OB</v>
          </cell>
          <cell r="E2051" t="str">
            <v>02</v>
          </cell>
        </row>
        <row r="2052">
          <cell r="A2052" t="str">
            <v>AYUDANTE DE ALBAÑIL</v>
          </cell>
          <cell r="B2052" t="str">
            <v>7222</v>
          </cell>
          <cell r="C2052" t="str">
            <v>O</v>
          </cell>
          <cell r="D2052" t="str">
            <v>OB</v>
          </cell>
          <cell r="E2052" t="str">
            <v>03</v>
          </cell>
        </row>
        <row r="2053">
          <cell r="A2053" t="str">
            <v>AYUDANTE DE ALMACEN</v>
          </cell>
          <cell r="B2053" t="str">
            <v>7201</v>
          </cell>
          <cell r="C2053" t="str">
            <v>O</v>
          </cell>
          <cell r="D2053" t="str">
            <v>OB</v>
          </cell>
          <cell r="E2053" t="str">
            <v>05</v>
          </cell>
        </row>
        <row r="2054">
          <cell r="A2054" t="str">
            <v>AYUDANTE DE ARTES GRAFICAS</v>
          </cell>
          <cell r="B2054" t="str">
            <v>4150</v>
          </cell>
          <cell r="C2054" t="str">
            <v>O</v>
          </cell>
          <cell r="D2054" t="str">
            <v>OB</v>
          </cell>
          <cell r="E2054" t="str">
            <v>03</v>
          </cell>
        </row>
        <row r="2055">
          <cell r="A2055" t="str">
            <v>AYUDANTE DE AULA</v>
          </cell>
          <cell r="B2055" t="str">
            <v>7125</v>
          </cell>
          <cell r="C2055" t="str">
            <v>O</v>
          </cell>
          <cell r="D2055" t="str">
            <v>OB</v>
          </cell>
          <cell r="E2055" t="str">
            <v>02</v>
          </cell>
        </row>
        <row r="2056">
          <cell r="A2056" t="str">
            <v>AYUDANTE DE CARGA</v>
          </cell>
          <cell r="B2056" t="str">
            <v>7150</v>
          </cell>
          <cell r="C2056" t="str">
            <v>O</v>
          </cell>
          <cell r="D2056" t="str">
            <v>OB</v>
          </cell>
          <cell r="E2056" t="str">
            <v>03</v>
          </cell>
        </row>
        <row r="2057">
          <cell r="A2057" t="str">
            <v>AYUDANTE DE CARPINTERIA</v>
          </cell>
          <cell r="B2057" t="str">
            <v>7228</v>
          </cell>
          <cell r="C2057" t="str">
            <v>O</v>
          </cell>
          <cell r="D2057" t="str">
            <v>OB</v>
          </cell>
          <cell r="E2057" t="str">
            <v>03</v>
          </cell>
        </row>
        <row r="2058">
          <cell r="A2058" t="str">
            <v>AYUDANTE DE COSTURA</v>
          </cell>
          <cell r="B2058" t="str">
            <v>7103</v>
          </cell>
          <cell r="C2058" t="str">
            <v>O</v>
          </cell>
          <cell r="D2058" t="str">
            <v>OB</v>
          </cell>
          <cell r="E2058" t="str">
            <v>01</v>
          </cell>
        </row>
        <row r="2059">
          <cell r="A2059" t="str">
            <v>AYUDANTE DE INSTALADOR DE ANTENA</v>
          </cell>
          <cell r="B2059" t="str">
            <v>5154</v>
          </cell>
          <cell r="C2059" t="str">
            <v>O</v>
          </cell>
          <cell r="D2059" t="str">
            <v>OB</v>
          </cell>
          <cell r="E2059" t="str">
            <v>03</v>
          </cell>
        </row>
        <row r="2060">
          <cell r="A2060" t="str">
            <v>AYUDANTE DE LABORATORIO GEONALITICO</v>
          </cell>
          <cell r="B2060" t="str">
            <v>5150</v>
          </cell>
          <cell r="C2060" t="str">
            <v>O</v>
          </cell>
          <cell r="D2060" t="str">
            <v>OB</v>
          </cell>
          <cell r="E2060" t="str">
            <v>03</v>
          </cell>
        </row>
        <row r="2061">
          <cell r="A2061" t="str">
            <v>AYUDANTE DE MAQUINARIA</v>
          </cell>
          <cell r="B2061" t="str">
            <v>5125</v>
          </cell>
          <cell r="C2061" t="str">
            <v>O</v>
          </cell>
          <cell r="D2061" t="str">
            <v>OB</v>
          </cell>
          <cell r="E2061" t="str">
            <v>02</v>
          </cell>
        </row>
        <row r="2062">
          <cell r="A2062" t="str">
            <v>AYUDANTE DE MECANICO</v>
          </cell>
          <cell r="B2062" t="str">
            <v>5126</v>
          </cell>
          <cell r="C2062" t="str">
            <v>O</v>
          </cell>
          <cell r="D2062" t="str">
            <v>OB</v>
          </cell>
          <cell r="E2062" t="str">
            <v>02</v>
          </cell>
        </row>
        <row r="2063">
          <cell r="A2063" t="str">
            <v>AYUDANTE DE OPERACIONES FERROVIARIAS</v>
          </cell>
          <cell r="B2063" t="str">
            <v>7178</v>
          </cell>
          <cell r="C2063" t="str">
            <v>O</v>
          </cell>
          <cell r="D2063" t="str">
            <v>OB</v>
          </cell>
          <cell r="E2063" t="str">
            <v>04</v>
          </cell>
        </row>
        <row r="2064">
          <cell r="A2064" t="str">
            <v>AYUDANTE DE PANADEROS Y PASTELERO</v>
          </cell>
          <cell r="B2064" t="str">
            <v>2126</v>
          </cell>
          <cell r="C2064" t="str">
            <v>O</v>
          </cell>
          <cell r="D2064" t="str">
            <v>OB</v>
          </cell>
          <cell r="E2064" t="str">
            <v>02</v>
          </cell>
        </row>
        <row r="2065">
          <cell r="A2065" t="str">
            <v>AYUDANTE DE SERV. DE PUERTO Y AEROPUERTO</v>
          </cell>
          <cell r="B2065" t="str">
            <v>3129</v>
          </cell>
          <cell r="C2065" t="str">
            <v>O</v>
          </cell>
          <cell r="D2065" t="str">
            <v>OB</v>
          </cell>
          <cell r="E2065" t="str">
            <v>02</v>
          </cell>
        </row>
        <row r="2066">
          <cell r="A2066" t="str">
            <v>AYUDANTE DE SERVICIOS DE COCINA</v>
          </cell>
          <cell r="B2066" t="str">
            <v>2127</v>
          </cell>
          <cell r="C2066" t="str">
            <v>O</v>
          </cell>
          <cell r="D2066" t="str">
            <v>OB</v>
          </cell>
          <cell r="E2066" t="str">
            <v>02</v>
          </cell>
        </row>
        <row r="2067">
          <cell r="A2067" t="str">
            <v>AYUDANTE DE SERVICIOS GENERALES</v>
          </cell>
          <cell r="B2067" t="str">
            <v>7152</v>
          </cell>
          <cell r="C2067" t="str">
            <v>O</v>
          </cell>
          <cell r="D2067" t="str">
            <v>OB</v>
          </cell>
          <cell r="E2067" t="str">
            <v>03</v>
          </cell>
        </row>
        <row r="2068">
          <cell r="A2068" t="str">
            <v>AYUDANTE DE TOPOGRAFIA</v>
          </cell>
          <cell r="B2068" t="str">
            <v>7226</v>
          </cell>
          <cell r="C2068" t="str">
            <v>O</v>
          </cell>
          <cell r="D2068" t="str">
            <v>OB</v>
          </cell>
          <cell r="E2068" t="str">
            <v>06</v>
          </cell>
        </row>
        <row r="2069">
          <cell r="A2069" t="str">
            <v>AYUDANTE INSPECTOR</v>
          </cell>
          <cell r="B2069" t="str">
            <v>8521</v>
          </cell>
          <cell r="C2069" t="str">
            <v>O</v>
          </cell>
          <cell r="D2069" t="str">
            <v>OB</v>
          </cell>
          <cell r="E2069" t="str">
            <v>07</v>
          </cell>
        </row>
        <row r="2070">
          <cell r="A2070" t="str">
            <v>AYUDANTE MANTENIMIENTO DE VIAS TERRESTRE</v>
          </cell>
          <cell r="B2070" t="str">
            <v>5152</v>
          </cell>
          <cell r="C2070" t="str">
            <v>O</v>
          </cell>
          <cell r="D2070" t="str">
            <v>OB</v>
          </cell>
          <cell r="E2070" t="str">
            <v>03</v>
          </cell>
        </row>
        <row r="2071">
          <cell r="A2071" t="str">
            <v>AYUDANTE MANTENIMIENTO VIAS FERROVIARIAS</v>
          </cell>
          <cell r="B2071" t="str">
            <v>5151</v>
          </cell>
          <cell r="C2071" t="str">
            <v>O</v>
          </cell>
          <cell r="D2071" t="str">
            <v>OB</v>
          </cell>
          <cell r="E2071" t="str">
            <v>03</v>
          </cell>
        </row>
        <row r="2072">
          <cell r="A2072" t="str">
            <v>AYUDANTE POSTAL TELEGRAFICO</v>
          </cell>
          <cell r="B2072" t="str">
            <v>7126</v>
          </cell>
          <cell r="C2072" t="str">
            <v>O</v>
          </cell>
          <cell r="D2072" t="str">
            <v>OB</v>
          </cell>
          <cell r="E2072" t="str">
            <v>02</v>
          </cell>
        </row>
        <row r="2073">
          <cell r="A2073" t="str">
            <v>BARBERO</v>
          </cell>
          <cell r="B2073" t="str">
            <v>3150</v>
          </cell>
          <cell r="C2073" t="str">
            <v>O</v>
          </cell>
          <cell r="D2073" t="str">
            <v>OB</v>
          </cell>
          <cell r="E2073" t="str">
            <v>03</v>
          </cell>
        </row>
        <row r="2074">
          <cell r="A2074" t="str">
            <v>BARMAN</v>
          </cell>
          <cell r="B2074" t="str">
            <v>2201</v>
          </cell>
          <cell r="C2074" t="str">
            <v>O</v>
          </cell>
          <cell r="D2074" t="str">
            <v>OB</v>
          </cell>
          <cell r="E2074" t="str">
            <v>05</v>
          </cell>
        </row>
        <row r="2075">
          <cell r="A2075" t="str">
            <v>BOTONES</v>
          </cell>
          <cell r="B2075" t="str">
            <v>3126</v>
          </cell>
          <cell r="C2075" t="str">
            <v>O</v>
          </cell>
          <cell r="D2075" t="str">
            <v>OB</v>
          </cell>
          <cell r="E2075" t="str">
            <v>02</v>
          </cell>
        </row>
        <row r="2076">
          <cell r="A2076" t="str">
            <v>BUZO</v>
          </cell>
          <cell r="B2076" t="str">
            <v>7250</v>
          </cell>
          <cell r="C2076" t="str">
            <v>O</v>
          </cell>
          <cell r="D2076" t="str">
            <v>OB</v>
          </cell>
          <cell r="E2076" t="str">
            <v>07</v>
          </cell>
        </row>
        <row r="2077">
          <cell r="A2077" t="str">
            <v>CAJISTA</v>
          </cell>
          <cell r="B2077" t="str">
            <v>4174</v>
          </cell>
          <cell r="C2077" t="str">
            <v>O</v>
          </cell>
          <cell r="D2077" t="str">
            <v>OB</v>
          </cell>
          <cell r="E2077" t="str">
            <v>04</v>
          </cell>
        </row>
        <row r="2078">
          <cell r="A2078" t="str">
            <v>CAMARERA</v>
          </cell>
          <cell r="B2078" t="str">
            <v>7104</v>
          </cell>
          <cell r="C2078" t="str">
            <v>O</v>
          </cell>
          <cell r="D2078" t="str">
            <v>OB</v>
          </cell>
          <cell r="E2078" t="str">
            <v>01</v>
          </cell>
        </row>
        <row r="2079">
          <cell r="A2079" t="str">
            <v>CAMILLERO</v>
          </cell>
          <cell r="B2079" t="str">
            <v>6174</v>
          </cell>
          <cell r="C2079" t="str">
            <v>O</v>
          </cell>
          <cell r="D2079" t="str">
            <v>OB</v>
          </cell>
          <cell r="E2079" t="str">
            <v>04</v>
          </cell>
        </row>
        <row r="2080">
          <cell r="A2080" t="str">
            <v>CAPITAN DE MESONEROS</v>
          </cell>
          <cell r="B2080" t="str">
            <v>3301</v>
          </cell>
          <cell r="C2080" t="str">
            <v>O</v>
          </cell>
          <cell r="D2080" t="str">
            <v>OB</v>
          </cell>
          <cell r="E2080" t="str">
            <v>09</v>
          </cell>
        </row>
        <row r="2081">
          <cell r="A2081" t="str">
            <v>CAPORAL DE EQUIPOS</v>
          </cell>
          <cell r="B2081" t="str">
            <v>8525</v>
          </cell>
          <cell r="C2081" t="str">
            <v>O</v>
          </cell>
          <cell r="D2081" t="str">
            <v>OB</v>
          </cell>
          <cell r="E2081" t="str">
            <v>07</v>
          </cell>
        </row>
        <row r="2082">
          <cell r="A2082" t="str">
            <v>CARNICERO</v>
          </cell>
          <cell r="B2082" t="str">
            <v>2150</v>
          </cell>
          <cell r="C2082" t="str">
            <v>O</v>
          </cell>
          <cell r="D2082" t="str">
            <v>OB</v>
          </cell>
          <cell r="E2082" t="str">
            <v>02</v>
          </cell>
        </row>
        <row r="2083">
          <cell r="A2083" t="str">
            <v>CARPINTERO</v>
          </cell>
          <cell r="B2083" t="str">
            <v>7227</v>
          </cell>
          <cell r="C2083" t="str">
            <v>O</v>
          </cell>
          <cell r="D2083" t="str">
            <v>OB</v>
          </cell>
          <cell r="E2083" t="str">
            <v>06</v>
          </cell>
        </row>
        <row r="2084">
          <cell r="A2084" t="str">
            <v>CERRAJERO</v>
          </cell>
          <cell r="B2084" t="str">
            <v>7127</v>
          </cell>
          <cell r="C2084" t="str">
            <v>O</v>
          </cell>
          <cell r="D2084" t="str">
            <v>OB</v>
          </cell>
          <cell r="E2084" t="str">
            <v>02</v>
          </cell>
        </row>
        <row r="2085">
          <cell r="A2085" t="str">
            <v>CHOFER</v>
          </cell>
          <cell r="B2085" t="str">
            <v>7174</v>
          </cell>
          <cell r="C2085" t="str">
            <v>O</v>
          </cell>
          <cell r="D2085" t="str">
            <v>OB</v>
          </cell>
          <cell r="E2085" t="str">
            <v>04</v>
          </cell>
        </row>
        <row r="2086">
          <cell r="A2086" t="str">
            <v>CHOFER DE CARGA</v>
          </cell>
          <cell r="B2086" t="str">
            <v>7231</v>
          </cell>
          <cell r="C2086" t="str">
            <v>O</v>
          </cell>
          <cell r="D2086" t="str">
            <v>OB</v>
          </cell>
          <cell r="E2086" t="str">
            <v>06</v>
          </cell>
        </row>
        <row r="2087">
          <cell r="A2087" t="str">
            <v>CHOFER DE CISTERNA</v>
          </cell>
          <cell r="B2087" t="str">
            <v>8530</v>
          </cell>
          <cell r="C2087" t="str">
            <v>O</v>
          </cell>
          <cell r="D2087" t="str">
            <v>OB</v>
          </cell>
          <cell r="E2087" t="str">
            <v>04</v>
          </cell>
        </row>
        <row r="2088">
          <cell r="A2088" t="str">
            <v>CHOFER DE TRANSPORTE</v>
          </cell>
          <cell r="B2088" t="str">
            <v>7206</v>
          </cell>
          <cell r="C2088" t="str">
            <v>O</v>
          </cell>
          <cell r="D2088" t="str">
            <v>OB</v>
          </cell>
          <cell r="E2088" t="str">
            <v>05</v>
          </cell>
        </row>
        <row r="2089">
          <cell r="A2089" t="str">
            <v>CLASIFICADOR DE FRUTOS</v>
          </cell>
          <cell r="B2089" t="str">
            <v>1150</v>
          </cell>
          <cell r="C2089" t="str">
            <v>O</v>
          </cell>
          <cell r="D2089" t="str">
            <v>OB</v>
          </cell>
          <cell r="E2089" t="str">
            <v>03</v>
          </cell>
        </row>
        <row r="2090">
          <cell r="A2090" t="str">
            <v>CLASIFICADOS POSTAL TELEGRAFICO</v>
          </cell>
          <cell r="B2090" t="str">
            <v>7207</v>
          </cell>
          <cell r="C2090" t="str">
            <v>O</v>
          </cell>
          <cell r="D2090" t="str">
            <v>OB</v>
          </cell>
          <cell r="E2090" t="str">
            <v>05</v>
          </cell>
        </row>
        <row r="2091">
          <cell r="A2091" t="str">
            <v>COCINERO</v>
          </cell>
          <cell r="B2091" t="str">
            <v>2129</v>
          </cell>
          <cell r="C2091" t="str">
            <v>O</v>
          </cell>
          <cell r="D2091" t="str">
            <v>OB</v>
          </cell>
          <cell r="E2091" t="str">
            <v>02</v>
          </cell>
        </row>
        <row r="2092">
          <cell r="A2092" t="str">
            <v>CONSERJE</v>
          </cell>
          <cell r="B2092" t="str">
            <v>7159</v>
          </cell>
          <cell r="C2092" t="str">
            <v>O</v>
          </cell>
          <cell r="D2092" t="str">
            <v>OB</v>
          </cell>
          <cell r="E2092" t="str">
            <v>03</v>
          </cell>
        </row>
        <row r="2093">
          <cell r="A2093" t="str">
            <v>CONTRAMAESTRE</v>
          </cell>
          <cell r="B2093" t="str">
            <v>7301</v>
          </cell>
          <cell r="C2093" t="str">
            <v>O</v>
          </cell>
          <cell r="D2093" t="str">
            <v>OB</v>
          </cell>
          <cell r="E2093" t="str">
            <v>09</v>
          </cell>
        </row>
        <row r="2094">
          <cell r="A2094" t="str">
            <v>CONTROL ASIST, MEDICAS</v>
          </cell>
          <cell r="B2094" t="str">
            <v>8523</v>
          </cell>
          <cell r="C2094" t="str">
            <v>O</v>
          </cell>
          <cell r="D2094" t="str">
            <v>OB</v>
          </cell>
          <cell r="E2094" t="str">
            <v>08</v>
          </cell>
        </row>
        <row r="2095">
          <cell r="A2095" t="str">
            <v>COORDINADOR DE MAQUINARIA PESADA</v>
          </cell>
          <cell r="B2095" t="str">
            <v>7244</v>
          </cell>
          <cell r="C2095" t="str">
            <v>O</v>
          </cell>
          <cell r="D2095" t="str">
            <v>OB</v>
          </cell>
          <cell r="E2095" t="str">
            <v>03</v>
          </cell>
        </row>
        <row r="2096">
          <cell r="A2096" t="str">
            <v>COSTURERA</v>
          </cell>
          <cell r="B2096" t="str">
            <v>7204</v>
          </cell>
          <cell r="C2096" t="str">
            <v>O</v>
          </cell>
          <cell r="D2096" t="str">
            <v>OB</v>
          </cell>
          <cell r="E2096" t="str">
            <v>05</v>
          </cell>
        </row>
        <row r="2097">
          <cell r="A2097" t="str">
            <v>CUIDADOR DE ANIMALES</v>
          </cell>
          <cell r="B2097" t="str">
            <v>1174</v>
          </cell>
          <cell r="C2097" t="str">
            <v>O</v>
          </cell>
          <cell r="D2097" t="str">
            <v>OB</v>
          </cell>
          <cell r="E2097" t="str">
            <v>04</v>
          </cell>
        </row>
        <row r="2098">
          <cell r="A2098" t="str">
            <v>DEPOSITARIO</v>
          </cell>
          <cell r="B2098" t="str">
            <v>7135</v>
          </cell>
          <cell r="C2098" t="str">
            <v>O</v>
          </cell>
          <cell r="D2098" t="str">
            <v>OB</v>
          </cell>
          <cell r="E2098" t="str">
            <v>02</v>
          </cell>
        </row>
        <row r="2099">
          <cell r="A2099" t="str">
            <v>DESPACHADOR DE COMBUSTIBLE</v>
          </cell>
          <cell r="B2099" t="str">
            <v>5127</v>
          </cell>
          <cell r="C2099" t="str">
            <v>O</v>
          </cell>
          <cell r="D2099" t="str">
            <v>OB</v>
          </cell>
          <cell r="E2099" t="str">
            <v>02</v>
          </cell>
        </row>
        <row r="2100">
          <cell r="A2100" t="str">
            <v>DESPACHADOR DE MERCANCIA</v>
          </cell>
          <cell r="B2100" t="str">
            <v>3127</v>
          </cell>
          <cell r="C2100" t="str">
            <v>O</v>
          </cell>
          <cell r="D2100" t="str">
            <v>OB</v>
          </cell>
          <cell r="E2100" t="str">
            <v>02</v>
          </cell>
        </row>
        <row r="2101">
          <cell r="A2101" t="str">
            <v>DESPENSERO</v>
          </cell>
          <cell r="B2101" t="str">
            <v>2174</v>
          </cell>
          <cell r="C2101" t="str">
            <v>O</v>
          </cell>
          <cell r="D2101" t="str">
            <v>OB</v>
          </cell>
          <cell r="E2101" t="str">
            <v>04</v>
          </cell>
        </row>
        <row r="2102">
          <cell r="A2102" t="str">
            <v>ELECTRICISTA DE ALTA TENSION</v>
          </cell>
          <cell r="B2102" t="str">
            <v>7274</v>
          </cell>
          <cell r="C2102" t="str">
            <v>O</v>
          </cell>
          <cell r="D2102" t="str">
            <v>OB</v>
          </cell>
          <cell r="E2102" t="str">
            <v>08</v>
          </cell>
        </row>
        <row r="2103">
          <cell r="A2103" t="str">
            <v>ELECTROMECANICO</v>
          </cell>
          <cell r="B2103" t="str">
            <v>7275</v>
          </cell>
          <cell r="C2103" t="str">
            <v>O</v>
          </cell>
          <cell r="D2103" t="str">
            <v>OB</v>
          </cell>
          <cell r="E2103" t="str">
            <v>08</v>
          </cell>
        </row>
        <row r="2104">
          <cell r="A2104" t="str">
            <v>EMBALADOR</v>
          </cell>
          <cell r="B2104" t="str">
            <v>8522</v>
          </cell>
          <cell r="C2104" t="str">
            <v>O</v>
          </cell>
          <cell r="D2104" t="str">
            <v>OB</v>
          </cell>
          <cell r="E2104" t="str">
            <v>05</v>
          </cell>
        </row>
        <row r="2105">
          <cell r="A2105" t="str">
            <v>ESCOLTA</v>
          </cell>
          <cell r="B2105" t="str">
            <v>8250</v>
          </cell>
          <cell r="C2105" t="str">
            <v>O</v>
          </cell>
          <cell r="D2105" t="str">
            <v>OB</v>
          </cell>
          <cell r="E2105" t="str">
            <v>07</v>
          </cell>
        </row>
        <row r="2106">
          <cell r="A2106" t="str">
            <v>ESPESORISTA</v>
          </cell>
          <cell r="B2106" t="str">
            <v>8526</v>
          </cell>
          <cell r="C2106" t="str">
            <v>O</v>
          </cell>
          <cell r="D2106" t="str">
            <v>OB</v>
          </cell>
          <cell r="E2106" t="str">
            <v>05</v>
          </cell>
        </row>
        <row r="2107">
          <cell r="A2107" t="str">
            <v>FISCAL DE MATADERO</v>
          </cell>
          <cell r="B2107" t="str">
            <v>1175</v>
          </cell>
          <cell r="C2107" t="str">
            <v>O</v>
          </cell>
          <cell r="D2107" t="str">
            <v>OB</v>
          </cell>
          <cell r="E2107" t="str">
            <v>04</v>
          </cell>
        </row>
        <row r="2108">
          <cell r="A2108" t="str">
            <v>FISCAL I  (OBREROS)</v>
          </cell>
          <cell r="B2108" t="str">
            <v>7240</v>
          </cell>
          <cell r="C2108" t="str">
            <v>O</v>
          </cell>
          <cell r="D2108" t="str">
            <v>OB</v>
          </cell>
          <cell r="E2108" t="str">
            <v>02</v>
          </cell>
        </row>
        <row r="2109">
          <cell r="A2109" t="str">
            <v>FISCAL II (OBREROS)</v>
          </cell>
          <cell r="B2109" t="str">
            <v>7241</v>
          </cell>
          <cell r="C2109" t="str">
            <v>O</v>
          </cell>
          <cell r="D2109" t="str">
            <v>OB</v>
          </cell>
          <cell r="E2109" t="str">
            <v>04</v>
          </cell>
        </row>
        <row r="2110">
          <cell r="A2110" t="str">
            <v>FOTOGRABADOR PLANCHISTA</v>
          </cell>
          <cell r="B2110" t="str">
            <v>4225</v>
          </cell>
          <cell r="C2110" t="str">
            <v>O</v>
          </cell>
          <cell r="D2110" t="str">
            <v>OB</v>
          </cell>
          <cell r="E2110" t="str">
            <v>06</v>
          </cell>
        </row>
        <row r="2111">
          <cell r="A2111" t="str">
            <v>FUMIGADOR</v>
          </cell>
          <cell r="B2111" t="str">
            <v>6150</v>
          </cell>
          <cell r="C2111" t="str">
            <v>O</v>
          </cell>
          <cell r="D2111" t="str">
            <v>OB</v>
          </cell>
          <cell r="E2111" t="str">
            <v>03</v>
          </cell>
        </row>
        <row r="2112">
          <cell r="A2112" t="str">
            <v>GUARDA BARRERA</v>
          </cell>
          <cell r="B2112" t="str">
            <v>7105</v>
          </cell>
          <cell r="C2112" t="str">
            <v>O</v>
          </cell>
          <cell r="D2112" t="str">
            <v>OB</v>
          </cell>
          <cell r="E2112" t="str">
            <v>01</v>
          </cell>
        </row>
        <row r="2113">
          <cell r="A2113" t="str">
            <v>GUARDAPARQUES</v>
          </cell>
          <cell r="B2113" t="str">
            <v>8251</v>
          </cell>
          <cell r="C2113" t="str">
            <v>O</v>
          </cell>
          <cell r="D2113" t="str">
            <v>OB</v>
          </cell>
          <cell r="E2113" t="str">
            <v>07</v>
          </cell>
        </row>
        <row r="2114">
          <cell r="A2114" t="str">
            <v>GUARDAPARQUEZ</v>
          </cell>
          <cell r="B2114" t="str">
            <v>6251</v>
          </cell>
          <cell r="C2114" t="str">
            <v>O</v>
          </cell>
          <cell r="D2114" t="str">
            <v>OB</v>
          </cell>
          <cell r="E2114" t="str">
            <v>07</v>
          </cell>
        </row>
        <row r="2115">
          <cell r="A2115" t="str">
            <v>GUIA VACACIONISTA</v>
          </cell>
          <cell r="B2115" t="str">
            <v>3201</v>
          </cell>
          <cell r="C2115" t="str">
            <v>O</v>
          </cell>
          <cell r="D2115" t="str">
            <v>OB</v>
          </cell>
          <cell r="E2115" t="str">
            <v>05</v>
          </cell>
        </row>
        <row r="2116">
          <cell r="A2116" t="str">
            <v>GUILLOTINERO</v>
          </cell>
          <cell r="B2116" t="str">
            <v>4152</v>
          </cell>
          <cell r="C2116" t="str">
            <v>O</v>
          </cell>
          <cell r="D2116" t="str">
            <v>OB</v>
          </cell>
          <cell r="E2116" t="str">
            <v>03</v>
          </cell>
        </row>
        <row r="2117">
          <cell r="A2117" t="str">
            <v>HERRERO</v>
          </cell>
          <cell r="B2117" t="str">
            <v>7208</v>
          </cell>
          <cell r="C2117" t="str">
            <v>O</v>
          </cell>
          <cell r="D2117" t="str">
            <v>OB</v>
          </cell>
          <cell r="E2117" t="str">
            <v>05</v>
          </cell>
        </row>
        <row r="2118">
          <cell r="A2118" t="str">
            <v>INCINERADOR</v>
          </cell>
          <cell r="B2118" t="str">
            <v>8520</v>
          </cell>
          <cell r="C2118" t="str">
            <v>O</v>
          </cell>
          <cell r="D2118" t="str">
            <v>OB</v>
          </cell>
          <cell r="E2118" t="str">
            <v>07</v>
          </cell>
        </row>
        <row r="2119">
          <cell r="A2119" t="str">
            <v>INSPECTOR AUXILIAR DE OBRAS</v>
          </cell>
          <cell r="B2119" t="str">
            <v>8529</v>
          </cell>
          <cell r="C2119" t="str">
            <v>O</v>
          </cell>
          <cell r="D2119" t="str">
            <v>OB</v>
          </cell>
          <cell r="E2119" t="str">
            <v>07</v>
          </cell>
        </row>
        <row r="2120">
          <cell r="A2120" t="str">
            <v>INSPECTOR AUXILIAR DE OPERACIONES DE AREAS PUBLICAS</v>
          </cell>
          <cell r="B2120" t="str">
            <v>7221</v>
          </cell>
          <cell r="C2120" t="str">
            <v>O</v>
          </cell>
          <cell r="D2120" t="str">
            <v>OB</v>
          </cell>
          <cell r="E2120" t="str">
            <v>01</v>
          </cell>
        </row>
        <row r="2121">
          <cell r="A2121" t="str">
            <v>INSTALADOR DE ANTENA</v>
          </cell>
          <cell r="B2121" t="str">
            <v>5251</v>
          </cell>
          <cell r="C2121" t="str">
            <v>O</v>
          </cell>
          <cell r="D2121" t="str">
            <v>OB</v>
          </cell>
          <cell r="E2121" t="str">
            <v>07</v>
          </cell>
        </row>
        <row r="2122">
          <cell r="A2122" t="str">
            <v>JARDINERO</v>
          </cell>
          <cell r="B2122" t="str">
            <v>7153</v>
          </cell>
          <cell r="C2122" t="str">
            <v>O</v>
          </cell>
          <cell r="D2122" t="str">
            <v>OB</v>
          </cell>
          <cell r="E2122" t="str">
            <v>03</v>
          </cell>
        </row>
        <row r="2123">
          <cell r="A2123" t="str">
            <v>JEFE DE OBRERO</v>
          </cell>
          <cell r="B2123" t="str">
            <v>0911</v>
          </cell>
          <cell r="C2123" t="str">
            <v>O</v>
          </cell>
          <cell r="D2123" t="str">
            <v>DI</v>
          </cell>
          <cell r="E2123" t="str">
            <v>99</v>
          </cell>
        </row>
        <row r="2124">
          <cell r="A2124" t="str">
            <v>JEFE DE SERVICIO (SALUD)</v>
          </cell>
          <cell r="B2124" t="str">
            <v>7362</v>
          </cell>
          <cell r="C2124" t="str">
            <v>O</v>
          </cell>
          <cell r="D2124" t="str">
            <v>OB</v>
          </cell>
          <cell r="E2124" t="str">
            <v>06</v>
          </cell>
        </row>
        <row r="2125">
          <cell r="A2125" t="str">
            <v>LATONERO Y PINTOR</v>
          </cell>
          <cell r="B2125" t="str">
            <v>5174</v>
          </cell>
          <cell r="C2125" t="str">
            <v>O</v>
          </cell>
          <cell r="D2125" t="str">
            <v>OB</v>
          </cell>
          <cell r="E2125" t="str">
            <v>04</v>
          </cell>
        </row>
        <row r="2126">
          <cell r="A2126" t="str">
            <v>LAVADOR Y ENGRASADOR</v>
          </cell>
          <cell r="B2126" t="str">
            <v>5128</v>
          </cell>
          <cell r="C2126" t="str">
            <v>O</v>
          </cell>
          <cell r="D2126" t="str">
            <v>OB</v>
          </cell>
          <cell r="E2126" t="str">
            <v>02</v>
          </cell>
        </row>
        <row r="2127">
          <cell r="A2127" t="str">
            <v>LAVANDERO</v>
          </cell>
          <cell r="B2127" t="str">
            <v>7128</v>
          </cell>
          <cell r="C2127" t="str">
            <v>O</v>
          </cell>
          <cell r="D2127" t="str">
            <v>OB</v>
          </cell>
          <cell r="E2127" t="str">
            <v>02</v>
          </cell>
        </row>
        <row r="2128">
          <cell r="A2128" t="str">
            <v>LENCERO</v>
          </cell>
          <cell r="B2128" t="str">
            <v>7106</v>
          </cell>
          <cell r="C2128" t="str">
            <v>O</v>
          </cell>
          <cell r="D2128" t="str">
            <v>OB</v>
          </cell>
          <cell r="E2128" t="str">
            <v>01</v>
          </cell>
        </row>
        <row r="2129">
          <cell r="A2129" t="str">
            <v>LINOTIPISTA</v>
          </cell>
          <cell r="B2129" t="str">
            <v>4202</v>
          </cell>
          <cell r="C2129" t="str">
            <v>O</v>
          </cell>
          <cell r="D2129" t="str">
            <v>OB</v>
          </cell>
          <cell r="E2129" t="str">
            <v>05</v>
          </cell>
        </row>
        <row r="2130">
          <cell r="A2130" t="str">
            <v>MAITRE</v>
          </cell>
          <cell r="B2130" t="str">
            <v>3350</v>
          </cell>
          <cell r="C2130" t="str">
            <v>O</v>
          </cell>
          <cell r="D2130" t="str">
            <v>OB</v>
          </cell>
          <cell r="E2130" t="str">
            <v>10</v>
          </cell>
        </row>
        <row r="2131">
          <cell r="A2131" t="str">
            <v>MANIPULADOR DE FRUTOS</v>
          </cell>
          <cell r="B2131" t="str">
            <v>1125</v>
          </cell>
          <cell r="C2131" t="str">
            <v>O</v>
          </cell>
          <cell r="D2131" t="str">
            <v>OB</v>
          </cell>
          <cell r="E2131" t="str">
            <v>02</v>
          </cell>
        </row>
        <row r="2132">
          <cell r="A2132" t="str">
            <v>MAQUINISTA</v>
          </cell>
          <cell r="B2132" t="str">
            <v>5201</v>
          </cell>
          <cell r="C2132" t="str">
            <v>O</v>
          </cell>
          <cell r="D2132" t="str">
            <v>OB</v>
          </cell>
          <cell r="E2132" t="str">
            <v>05</v>
          </cell>
        </row>
        <row r="2133">
          <cell r="A2133" t="str">
            <v>MARINERO</v>
          </cell>
          <cell r="B2133" t="str">
            <v>7154</v>
          </cell>
          <cell r="C2133" t="str">
            <v>O</v>
          </cell>
          <cell r="D2133" t="str">
            <v>OB</v>
          </cell>
          <cell r="E2133" t="str">
            <v>03</v>
          </cell>
        </row>
        <row r="2134">
          <cell r="A2134" t="str">
            <v>MECANICO AUTOMOTRIZ</v>
          </cell>
          <cell r="B2134" t="str">
            <v>5225</v>
          </cell>
          <cell r="C2134" t="str">
            <v>O</v>
          </cell>
          <cell r="D2134" t="str">
            <v>OB</v>
          </cell>
          <cell r="E2134" t="str">
            <v>06</v>
          </cell>
        </row>
        <row r="2135">
          <cell r="A2135" t="str">
            <v>MECANICO DE AVIACION</v>
          </cell>
          <cell r="B2135" t="str">
            <v>5275</v>
          </cell>
          <cell r="C2135" t="str">
            <v>O</v>
          </cell>
          <cell r="D2135" t="str">
            <v>OB</v>
          </cell>
          <cell r="E2135" t="str">
            <v>08</v>
          </cell>
        </row>
        <row r="2136">
          <cell r="A2136" t="str">
            <v>MECANICO DE BOBLIWG</v>
          </cell>
          <cell r="B2136" t="str">
            <v>5175</v>
          </cell>
          <cell r="C2136" t="str">
            <v>O</v>
          </cell>
          <cell r="D2136" t="str">
            <v>OB</v>
          </cell>
          <cell r="E2136" t="str">
            <v>04</v>
          </cell>
        </row>
        <row r="2137">
          <cell r="A2137" t="str">
            <v>MECANICO DE BOGIS FERROVIARIO</v>
          </cell>
          <cell r="B2137" t="str">
            <v>5277</v>
          </cell>
          <cell r="C2137" t="str">
            <v>O</v>
          </cell>
          <cell r="D2137" t="str">
            <v>OB</v>
          </cell>
          <cell r="E2137" t="str">
            <v>08</v>
          </cell>
        </row>
        <row r="2138">
          <cell r="A2138" t="str">
            <v>MECANICO DE MOTO</v>
          </cell>
          <cell r="B2138" t="str">
            <v>5176</v>
          </cell>
          <cell r="C2138" t="str">
            <v>O</v>
          </cell>
          <cell r="D2138" t="str">
            <v>OB</v>
          </cell>
          <cell r="E2138" t="str">
            <v>04</v>
          </cell>
        </row>
        <row r="2139">
          <cell r="A2139" t="str">
            <v>MECANICO DE MOTORES DIESEL</v>
          </cell>
          <cell r="B2139" t="str">
            <v>5274</v>
          </cell>
          <cell r="C2139" t="str">
            <v>O</v>
          </cell>
          <cell r="D2139" t="str">
            <v>OB</v>
          </cell>
          <cell r="E2139" t="str">
            <v>08</v>
          </cell>
        </row>
        <row r="2140">
          <cell r="A2140" t="str">
            <v>MECANICO DE REFRIGERACION</v>
          </cell>
          <cell r="B2140" t="str">
            <v>5226</v>
          </cell>
          <cell r="C2140" t="str">
            <v>O</v>
          </cell>
          <cell r="D2140" t="str">
            <v>OB</v>
          </cell>
          <cell r="E2140" t="str">
            <v>06</v>
          </cell>
        </row>
        <row r="2141">
          <cell r="A2141" t="str">
            <v>MECANICO SISTEMA NEUMATICO FERROVIARIO</v>
          </cell>
          <cell r="B2141" t="str">
            <v>5276</v>
          </cell>
          <cell r="C2141" t="str">
            <v>O</v>
          </cell>
          <cell r="D2141" t="str">
            <v>OB</v>
          </cell>
          <cell r="E2141" t="str">
            <v>08</v>
          </cell>
        </row>
        <row r="2142">
          <cell r="A2142" t="str">
            <v>MENSAJERO</v>
          </cell>
          <cell r="B2142" t="str">
            <v>7129</v>
          </cell>
          <cell r="C2142" t="str">
            <v>O</v>
          </cell>
          <cell r="D2142" t="str">
            <v>OB</v>
          </cell>
          <cell r="E2142" t="str">
            <v>02</v>
          </cell>
        </row>
        <row r="2143">
          <cell r="A2143" t="str">
            <v>MENSAJERO MOTORIZADO</v>
          </cell>
          <cell r="B2143" t="str">
            <v>7155</v>
          </cell>
          <cell r="C2143" t="str">
            <v>O</v>
          </cell>
          <cell r="D2143" t="str">
            <v>OB</v>
          </cell>
          <cell r="E2143" t="str">
            <v>03</v>
          </cell>
        </row>
        <row r="2144">
          <cell r="A2144" t="str">
            <v>MESONERO</v>
          </cell>
          <cell r="B2144" t="str">
            <v>3175</v>
          </cell>
          <cell r="C2144" t="str">
            <v>O</v>
          </cell>
          <cell r="D2144" t="str">
            <v>OB</v>
          </cell>
          <cell r="E2144" t="str">
            <v>04</v>
          </cell>
        </row>
        <row r="2145">
          <cell r="A2145" t="str">
            <v>MODISTO</v>
          </cell>
          <cell r="B2145" t="str">
            <v>7251</v>
          </cell>
          <cell r="C2145" t="str">
            <v>O</v>
          </cell>
          <cell r="D2145" t="str">
            <v>OB</v>
          </cell>
          <cell r="E2145" t="str">
            <v>07</v>
          </cell>
        </row>
        <row r="2146">
          <cell r="A2146" t="str">
            <v>NIÑERA</v>
          </cell>
          <cell r="B2146" t="str">
            <v>3174</v>
          </cell>
          <cell r="C2146" t="str">
            <v>O</v>
          </cell>
          <cell r="D2146" t="str">
            <v>OB</v>
          </cell>
          <cell r="E2146" t="str">
            <v>04</v>
          </cell>
        </row>
        <row r="2147">
          <cell r="A2147" t="str">
            <v>OBRERO DE MANTENIMIENTO</v>
          </cell>
          <cell r="B2147" t="str">
            <v>8123</v>
          </cell>
          <cell r="C2147" t="str">
            <v>O</v>
          </cell>
          <cell r="D2147" t="str">
            <v>OB</v>
          </cell>
          <cell r="E2147" t="str">
            <v>05</v>
          </cell>
        </row>
        <row r="2148">
          <cell r="A2148" t="str">
            <v>OBRERO NO CLASIFICADO</v>
          </cell>
          <cell r="B2148" t="str">
            <v>2202</v>
          </cell>
          <cell r="C2148" t="str">
            <v>O</v>
          </cell>
          <cell r="D2148" t="str">
            <v>OP</v>
          </cell>
          <cell r="E2148" t="str">
            <v>01</v>
          </cell>
        </row>
        <row r="2149">
          <cell r="A2149" t="str">
            <v>OPERADOR DE CALDERA</v>
          </cell>
          <cell r="B2149" t="str">
            <v>7215</v>
          </cell>
          <cell r="C2149" t="str">
            <v>O</v>
          </cell>
          <cell r="D2149" t="str">
            <v>OB</v>
          </cell>
          <cell r="E2149" t="str">
            <v>05</v>
          </cell>
        </row>
        <row r="2150">
          <cell r="A2150" t="str">
            <v>OPERADOR DE MAQUINARIA PESADA</v>
          </cell>
          <cell r="B2150" t="str">
            <v>5229</v>
          </cell>
          <cell r="C2150" t="str">
            <v>O</v>
          </cell>
          <cell r="D2150" t="str">
            <v>OB</v>
          </cell>
          <cell r="E2150" t="str">
            <v>06</v>
          </cell>
        </row>
        <row r="2151">
          <cell r="A2151" t="str">
            <v>OPERADOR DE PRENSA DE IMPRESION</v>
          </cell>
          <cell r="B2151" t="str">
            <v>4250</v>
          </cell>
          <cell r="C2151" t="str">
            <v>O</v>
          </cell>
          <cell r="D2151" t="str">
            <v>OB</v>
          </cell>
          <cell r="E2151" t="str">
            <v>07</v>
          </cell>
        </row>
        <row r="2152">
          <cell r="A2152" t="str">
            <v>OPERADOR DE SALAS MOVILES</v>
          </cell>
          <cell r="B2152" t="str">
            <v>7211</v>
          </cell>
          <cell r="C2152" t="str">
            <v>O</v>
          </cell>
          <cell r="D2152" t="str">
            <v>OB</v>
          </cell>
          <cell r="E2152" t="str">
            <v>05</v>
          </cell>
        </row>
        <row r="2153">
          <cell r="A2153" t="str">
            <v>OPERADOR DE SONIDO</v>
          </cell>
          <cell r="B2153" t="str">
            <v>7160</v>
          </cell>
          <cell r="C2153" t="str">
            <v>O</v>
          </cell>
          <cell r="D2153" t="str">
            <v>OB</v>
          </cell>
          <cell r="E2153" t="str">
            <v>03</v>
          </cell>
        </row>
        <row r="2154">
          <cell r="A2154" t="str">
            <v>OPERADOR FERROVIARIO DE MANTENIMIENTO</v>
          </cell>
          <cell r="B2154" t="str">
            <v>7210</v>
          </cell>
          <cell r="C2154" t="str">
            <v>O</v>
          </cell>
          <cell r="D2154" t="str">
            <v>OB</v>
          </cell>
          <cell r="E2154" t="str">
            <v>05</v>
          </cell>
        </row>
        <row r="2155">
          <cell r="A2155" t="str">
            <v>OPERADOR MAQUINARIA DE VIA FERREA</v>
          </cell>
          <cell r="B2155" t="str">
            <v>5232</v>
          </cell>
          <cell r="C2155" t="str">
            <v>O</v>
          </cell>
          <cell r="D2155" t="str">
            <v>OB</v>
          </cell>
          <cell r="E2155" t="str">
            <v>06</v>
          </cell>
        </row>
        <row r="2156">
          <cell r="A2156" t="str">
            <v>OPERARIO COMPAGINACION Y ENCUADERNACION</v>
          </cell>
          <cell r="B2156" t="str">
            <v>4125</v>
          </cell>
          <cell r="C2156" t="str">
            <v>O</v>
          </cell>
          <cell r="D2156" t="str">
            <v>OB</v>
          </cell>
          <cell r="E2156" t="str">
            <v>02</v>
          </cell>
        </row>
        <row r="2157">
          <cell r="A2157" t="str">
            <v>OPERARIO DE ACUEDUCTO</v>
          </cell>
          <cell r="B2157" t="str">
            <v>5227</v>
          </cell>
          <cell r="C2157" t="str">
            <v>O</v>
          </cell>
          <cell r="D2157" t="str">
            <v>OB</v>
          </cell>
          <cell r="E2157" t="str">
            <v>06</v>
          </cell>
        </row>
        <row r="2158">
          <cell r="A2158" t="str">
            <v>OPERARIO DE EQUIPO DE TELECOMUNICACION</v>
          </cell>
          <cell r="B2158" t="str">
            <v>7209</v>
          </cell>
          <cell r="C2158" t="str">
            <v>O</v>
          </cell>
          <cell r="D2158" t="str">
            <v>OB</v>
          </cell>
          <cell r="E2158" t="str">
            <v>05</v>
          </cell>
        </row>
        <row r="2159">
          <cell r="A2159" t="str">
            <v>OPERARIO DE FARO</v>
          </cell>
          <cell r="B2159" t="str">
            <v>7130</v>
          </cell>
          <cell r="C2159" t="str">
            <v>O</v>
          </cell>
          <cell r="D2159" t="str">
            <v>OB</v>
          </cell>
          <cell r="E2159" t="str">
            <v>02</v>
          </cell>
        </row>
        <row r="2160">
          <cell r="A2160" t="str">
            <v>OPERARIO DE MAQUINA FOTOCOPIADORA</v>
          </cell>
          <cell r="B2160" t="str">
            <v>4151</v>
          </cell>
          <cell r="C2160" t="str">
            <v>O</v>
          </cell>
          <cell r="D2160" t="str">
            <v>OB</v>
          </cell>
          <cell r="E2160" t="str">
            <v>03</v>
          </cell>
        </row>
        <row r="2161">
          <cell r="A2161" t="str">
            <v>OPERARIO DE MAQUINA LIVIANA</v>
          </cell>
          <cell r="B2161" t="str">
            <v>5202</v>
          </cell>
          <cell r="C2161" t="str">
            <v>O</v>
          </cell>
          <cell r="D2161" t="str">
            <v>OB</v>
          </cell>
          <cell r="E2161" t="str">
            <v>05</v>
          </cell>
        </row>
        <row r="2162">
          <cell r="A2162" t="str">
            <v>OPERARIO DE PISCINA</v>
          </cell>
          <cell r="B2162" t="str">
            <v>5203</v>
          </cell>
          <cell r="C2162" t="str">
            <v>O</v>
          </cell>
          <cell r="D2162" t="str">
            <v>OB</v>
          </cell>
          <cell r="E2162" t="str">
            <v>05</v>
          </cell>
        </row>
        <row r="2163">
          <cell r="A2163" t="str">
            <v>OPERARIO DE PLANTA HIDROELECTRICA</v>
          </cell>
          <cell r="B2163" t="str">
            <v>5230</v>
          </cell>
          <cell r="C2163" t="str">
            <v>O</v>
          </cell>
          <cell r="D2163" t="str">
            <v>OB</v>
          </cell>
          <cell r="E2163" t="str">
            <v>06</v>
          </cell>
        </row>
        <row r="2164">
          <cell r="A2164" t="str">
            <v>OPERARIO MANTENIMIENTO VIAS TERRESTRES</v>
          </cell>
          <cell r="B2164" t="str">
            <v>5228</v>
          </cell>
          <cell r="C2164" t="str">
            <v>O</v>
          </cell>
          <cell r="D2164" t="str">
            <v>OB</v>
          </cell>
          <cell r="E2164" t="str">
            <v>06</v>
          </cell>
        </row>
        <row r="2165">
          <cell r="A2165" t="str">
            <v>OPERARIO MAQUINA PRODUCCION FARMACEUTICA</v>
          </cell>
          <cell r="B2165" t="str">
            <v>6175</v>
          </cell>
          <cell r="C2165" t="str">
            <v>O</v>
          </cell>
          <cell r="D2165" t="str">
            <v>OB</v>
          </cell>
          <cell r="E2165" t="str">
            <v>04</v>
          </cell>
        </row>
        <row r="2166">
          <cell r="A2166" t="str">
            <v>PAGADOR</v>
          </cell>
          <cell r="B2166" t="str">
            <v>7224</v>
          </cell>
          <cell r="C2166" t="str">
            <v>O</v>
          </cell>
          <cell r="D2166" t="str">
            <v>OB</v>
          </cell>
          <cell r="E2166" t="str">
            <v>03</v>
          </cell>
        </row>
        <row r="2167">
          <cell r="A2167" t="str">
            <v>PANADERO</v>
          </cell>
          <cell r="B2167" t="str">
            <v>2175</v>
          </cell>
          <cell r="C2167" t="str">
            <v>O</v>
          </cell>
          <cell r="D2167" t="str">
            <v>OB</v>
          </cell>
          <cell r="E2167" t="str">
            <v>04</v>
          </cell>
        </row>
        <row r="2168">
          <cell r="A2168" t="str">
            <v>PASTELERO</v>
          </cell>
          <cell r="B2168" t="str">
            <v>2203</v>
          </cell>
          <cell r="C2168" t="str">
            <v>O</v>
          </cell>
          <cell r="D2168" t="str">
            <v>OB</v>
          </cell>
          <cell r="E2168" t="str">
            <v>05</v>
          </cell>
        </row>
        <row r="2169">
          <cell r="A2169" t="str">
            <v>PESCADOR</v>
          </cell>
          <cell r="B2169" t="str">
            <v>1202</v>
          </cell>
          <cell r="C2169" t="str">
            <v>O</v>
          </cell>
          <cell r="D2169" t="str">
            <v>OB</v>
          </cell>
          <cell r="E2169" t="str">
            <v>05</v>
          </cell>
        </row>
        <row r="2170">
          <cell r="A2170" t="str">
            <v>PINTOR</v>
          </cell>
          <cell r="B2170" t="str">
            <v>7177</v>
          </cell>
          <cell r="C2170" t="str">
            <v>O</v>
          </cell>
          <cell r="D2170" t="str">
            <v>OB</v>
          </cell>
          <cell r="E2170" t="str">
            <v>04</v>
          </cell>
        </row>
        <row r="2171">
          <cell r="A2171" t="str">
            <v>PLANCHADOR</v>
          </cell>
          <cell r="B2171" t="str">
            <v>7131</v>
          </cell>
          <cell r="C2171" t="str">
            <v>O</v>
          </cell>
          <cell r="D2171" t="str">
            <v>OB</v>
          </cell>
          <cell r="E2171" t="str">
            <v>02</v>
          </cell>
        </row>
        <row r="2172">
          <cell r="A2172" t="str">
            <v>PLOMERO</v>
          </cell>
          <cell r="B2172" t="str">
            <v>7212</v>
          </cell>
          <cell r="C2172" t="str">
            <v>O</v>
          </cell>
          <cell r="D2172" t="str">
            <v>OB</v>
          </cell>
          <cell r="E2172" t="str">
            <v>05</v>
          </cell>
        </row>
        <row r="2173">
          <cell r="A2173" t="str">
            <v>PORTERO</v>
          </cell>
          <cell r="B2173" t="str">
            <v>3128</v>
          </cell>
          <cell r="C2173" t="str">
            <v>O</v>
          </cell>
          <cell r="D2173" t="str">
            <v>OB</v>
          </cell>
          <cell r="E2173" t="str">
            <v>02</v>
          </cell>
        </row>
        <row r="2174">
          <cell r="A2174" t="str">
            <v>PRACTICO FLUVIAL</v>
          </cell>
          <cell r="B2174" t="str">
            <v>7175</v>
          </cell>
          <cell r="C2174" t="str">
            <v>O</v>
          </cell>
          <cell r="D2174" t="str">
            <v>OB</v>
          </cell>
          <cell r="E2174" t="str">
            <v>04</v>
          </cell>
        </row>
        <row r="2175">
          <cell r="A2175" t="str">
            <v>RAPARADOR DE BICICLETA</v>
          </cell>
          <cell r="B2175" t="str">
            <v>5153</v>
          </cell>
          <cell r="C2175" t="str">
            <v>O</v>
          </cell>
          <cell r="D2175" t="str">
            <v>OB</v>
          </cell>
          <cell r="E2175" t="str">
            <v>03</v>
          </cell>
        </row>
        <row r="2176">
          <cell r="A2176" t="str">
            <v>RASTRILLERO</v>
          </cell>
          <cell r="B2176" t="str">
            <v>8527</v>
          </cell>
          <cell r="C2176" t="str">
            <v>O</v>
          </cell>
          <cell r="D2176" t="str">
            <v>OB</v>
          </cell>
          <cell r="E2176" t="str">
            <v>03</v>
          </cell>
        </row>
        <row r="2177">
          <cell r="A2177" t="str">
            <v>RECEPTOR INFORMADOR</v>
          </cell>
          <cell r="B2177" t="str">
            <v>3176</v>
          </cell>
          <cell r="C2177" t="str">
            <v>O</v>
          </cell>
          <cell r="D2177" t="str">
            <v>OB</v>
          </cell>
          <cell r="E2177" t="str">
            <v>04</v>
          </cell>
        </row>
        <row r="2178">
          <cell r="A2178" t="str">
            <v>REPARADOR DE MQUINA DE OFICINA</v>
          </cell>
          <cell r="B2178" t="str">
            <v>7157</v>
          </cell>
          <cell r="C2178" t="str">
            <v>O</v>
          </cell>
          <cell r="D2178" t="str">
            <v>OB</v>
          </cell>
          <cell r="E2178" t="str">
            <v>03</v>
          </cell>
        </row>
        <row r="2179">
          <cell r="A2179" t="str">
            <v>REPARADOR DE NEUMATICO</v>
          </cell>
          <cell r="B2179" t="str">
            <v>5129</v>
          </cell>
          <cell r="C2179" t="str">
            <v>O</v>
          </cell>
          <cell r="D2179" t="str">
            <v>OB</v>
          </cell>
          <cell r="E2179" t="str">
            <v>02</v>
          </cell>
        </row>
        <row r="2180">
          <cell r="A2180" t="str">
            <v>REPARADOR DE PARACAIDAS</v>
          </cell>
          <cell r="B2180" t="str">
            <v>5231</v>
          </cell>
          <cell r="C2180" t="str">
            <v>O</v>
          </cell>
          <cell r="D2180" t="str">
            <v>OB</v>
          </cell>
          <cell r="E2180" t="str">
            <v>06</v>
          </cell>
        </row>
        <row r="2181">
          <cell r="A2181" t="str">
            <v>REPARADOR DE RADIADOR</v>
          </cell>
          <cell r="B2181" t="str">
            <v>5130</v>
          </cell>
          <cell r="C2181" t="str">
            <v>O</v>
          </cell>
          <cell r="D2181" t="str">
            <v>OB</v>
          </cell>
          <cell r="E2181" t="str">
            <v>02</v>
          </cell>
        </row>
        <row r="2182">
          <cell r="A2182" t="str">
            <v>REPARTIDOR DE ALIMENTOS</v>
          </cell>
          <cell r="B2182" t="str">
            <v>2128</v>
          </cell>
          <cell r="C2182" t="str">
            <v>O</v>
          </cell>
          <cell r="D2182" t="str">
            <v>OB</v>
          </cell>
          <cell r="E2182" t="str">
            <v>02</v>
          </cell>
        </row>
        <row r="2183">
          <cell r="A2183" t="str">
            <v>REPARTIDOR POSTAL TELEGRAFICO</v>
          </cell>
          <cell r="B2183" t="str">
            <v>7176</v>
          </cell>
          <cell r="C2183" t="str">
            <v>O</v>
          </cell>
          <cell r="D2183" t="str">
            <v>OB</v>
          </cell>
          <cell r="E2183" t="str">
            <v>04</v>
          </cell>
        </row>
        <row r="2184">
          <cell r="A2184" t="str">
            <v>SALVAVIDAS</v>
          </cell>
          <cell r="B2184" t="str">
            <v>8225</v>
          </cell>
          <cell r="C2184" t="str">
            <v>O</v>
          </cell>
          <cell r="D2184" t="str">
            <v>OB</v>
          </cell>
          <cell r="E2184" t="str">
            <v>06</v>
          </cell>
        </row>
        <row r="2185">
          <cell r="A2185" t="str">
            <v>SOLDADOR</v>
          </cell>
          <cell r="B2185" t="str">
            <v>7229</v>
          </cell>
          <cell r="C2185" t="str">
            <v>O</v>
          </cell>
          <cell r="D2185" t="str">
            <v>OB</v>
          </cell>
          <cell r="E2185" t="str">
            <v>06</v>
          </cell>
        </row>
        <row r="2186">
          <cell r="A2186" t="str">
            <v>SUPERV. MANTENIMIENTO VIAS FERROVIARIA</v>
          </cell>
          <cell r="B2186" t="str">
            <v>5302</v>
          </cell>
          <cell r="C2186" t="str">
            <v>O</v>
          </cell>
          <cell r="D2186" t="str">
            <v>OB</v>
          </cell>
          <cell r="E2186" t="str">
            <v>09</v>
          </cell>
        </row>
        <row r="2187">
          <cell r="A2187" t="str">
            <v>SUPERVISOR ASISTENCIAL</v>
          </cell>
          <cell r="B2187" t="str">
            <v>7361</v>
          </cell>
          <cell r="C2187" t="str">
            <v>O</v>
          </cell>
          <cell r="D2187" t="str">
            <v>OB</v>
          </cell>
          <cell r="E2187" t="str">
            <v>08</v>
          </cell>
        </row>
        <row r="2188">
          <cell r="A2188" t="str">
            <v>SUPERVISOR DE ARMADOR DE PUENTES</v>
          </cell>
          <cell r="B2188" t="str">
            <v>5350</v>
          </cell>
          <cell r="C2188" t="str">
            <v>O</v>
          </cell>
          <cell r="D2188" t="str">
            <v>OB</v>
          </cell>
          <cell r="E2188" t="str">
            <v>10</v>
          </cell>
        </row>
        <row r="2189">
          <cell r="A2189" t="str">
            <v>SUPERVISOR DE ASCENSORISTAS</v>
          </cell>
          <cell r="B2189" t="str">
            <v>3809</v>
          </cell>
          <cell r="C2189" t="str">
            <v>O</v>
          </cell>
          <cell r="D2189" t="str">
            <v>OB</v>
          </cell>
          <cell r="E2189" t="str">
            <v>09</v>
          </cell>
        </row>
        <row r="2190">
          <cell r="A2190" t="str">
            <v>SUPERVISOR DE AUXILIAR DE VETERINARIA</v>
          </cell>
          <cell r="B2190" t="str">
            <v>1301</v>
          </cell>
          <cell r="C2190" t="str">
            <v>O</v>
          </cell>
          <cell r="D2190" t="str">
            <v>OB</v>
          </cell>
          <cell r="E2190" t="str">
            <v>09</v>
          </cell>
        </row>
        <row r="2191">
          <cell r="A2191" t="str">
            <v>SUPERVISOR DE CAMARERAS</v>
          </cell>
          <cell r="B2191" t="str">
            <v>7302</v>
          </cell>
          <cell r="C2191" t="str">
            <v>O</v>
          </cell>
          <cell r="D2191" t="str">
            <v>OB</v>
          </cell>
          <cell r="E2191" t="str">
            <v>09</v>
          </cell>
        </row>
        <row r="2192">
          <cell r="A2192" t="str">
            <v>SUPERVISOR DE CAMIONES CISTERNA</v>
          </cell>
          <cell r="B2192" t="str">
            <v>7243</v>
          </cell>
          <cell r="C2192" t="str">
            <v>O</v>
          </cell>
          <cell r="D2192" t="str">
            <v>OB</v>
          </cell>
          <cell r="E2192" t="str">
            <v>03</v>
          </cell>
        </row>
        <row r="2193">
          <cell r="A2193" t="str">
            <v>SUPERVISOR DE COCINA</v>
          </cell>
          <cell r="B2193" t="str">
            <v>2301</v>
          </cell>
          <cell r="C2193" t="str">
            <v>O</v>
          </cell>
          <cell r="D2193" t="str">
            <v>OB</v>
          </cell>
          <cell r="E2193" t="str">
            <v>09</v>
          </cell>
        </row>
        <row r="2194">
          <cell r="A2194" t="str">
            <v>SUPERVISOR DE FUMIGACION</v>
          </cell>
          <cell r="B2194" t="str">
            <v>6301</v>
          </cell>
          <cell r="C2194" t="str">
            <v>O</v>
          </cell>
          <cell r="D2194" t="str">
            <v>OB</v>
          </cell>
          <cell r="E2194" t="str">
            <v>09</v>
          </cell>
        </row>
        <row r="2195">
          <cell r="A2195" t="str">
            <v>SUPERVISOR DE MANTENIMIENTO DE AREAS PUBLICAS</v>
          </cell>
          <cell r="B2195" t="str">
            <v>7305</v>
          </cell>
          <cell r="C2195" t="str">
            <v>O</v>
          </cell>
          <cell r="D2195" t="str">
            <v>OB</v>
          </cell>
          <cell r="E2195" t="str">
            <v>09</v>
          </cell>
        </row>
        <row r="2196">
          <cell r="A2196" t="str">
            <v>SUPERVISOR DE MANTENIMIENTO I (OPE)</v>
          </cell>
          <cell r="B2196" t="str">
            <v>7242</v>
          </cell>
          <cell r="C2196" t="str">
            <v>O</v>
          </cell>
          <cell r="D2196" t="str">
            <v>OB</v>
          </cell>
          <cell r="E2196" t="str">
            <v>03</v>
          </cell>
        </row>
        <row r="2197">
          <cell r="A2197" t="str">
            <v>SUPERVISOR DE PLANTA HIDROELECTRICA</v>
          </cell>
          <cell r="B2197" t="str">
            <v>5301</v>
          </cell>
          <cell r="C2197" t="str">
            <v>O</v>
          </cell>
          <cell r="D2197" t="str">
            <v>OB</v>
          </cell>
          <cell r="E2197" t="str">
            <v>09</v>
          </cell>
        </row>
        <row r="2198">
          <cell r="A2198" t="str">
            <v>SUPERVISOR DE SEGURIDAD</v>
          </cell>
          <cell r="B2198" t="str">
            <v>8350</v>
          </cell>
          <cell r="C2198" t="str">
            <v>O</v>
          </cell>
          <cell r="D2198" t="str">
            <v>OB</v>
          </cell>
          <cell r="E2198" t="str">
            <v>10</v>
          </cell>
        </row>
        <row r="2199">
          <cell r="A2199" t="str">
            <v>SUPERVISOR DE SERVICIOS DE REPROD. E IMP</v>
          </cell>
          <cell r="B2199" t="str">
            <v>4350</v>
          </cell>
          <cell r="C2199" t="str">
            <v>O</v>
          </cell>
          <cell r="D2199" t="str">
            <v>OB</v>
          </cell>
          <cell r="E2199" t="str">
            <v>10</v>
          </cell>
        </row>
        <row r="2200">
          <cell r="A2200" t="str">
            <v>SUPERVISOR DE SERVICIOS ESPECIALIZADOS</v>
          </cell>
          <cell r="B2200" t="str">
            <v>7350</v>
          </cell>
          <cell r="C2200" t="str">
            <v>O</v>
          </cell>
          <cell r="D2200" t="str">
            <v>OB</v>
          </cell>
          <cell r="E2200" t="str">
            <v>10</v>
          </cell>
        </row>
        <row r="2201">
          <cell r="A2201" t="str">
            <v>SUPERVISOR DE SERVICIOS INTERNOS</v>
          </cell>
          <cell r="B2201" t="str">
            <v>7303</v>
          </cell>
          <cell r="C2201" t="str">
            <v>O</v>
          </cell>
          <cell r="D2201" t="str">
            <v>OB</v>
          </cell>
          <cell r="E2201" t="str">
            <v>09</v>
          </cell>
        </row>
        <row r="2202">
          <cell r="A2202" t="str">
            <v>SUPERVISOR DE VIGILANCIA</v>
          </cell>
          <cell r="B2202" t="str">
            <v>7360</v>
          </cell>
          <cell r="C2202" t="str">
            <v>O</v>
          </cell>
          <cell r="D2202" t="str">
            <v>OB</v>
          </cell>
          <cell r="E2202" t="str">
            <v>08</v>
          </cell>
        </row>
        <row r="2203">
          <cell r="A2203" t="str">
            <v>SUPERVISOR DE VIVEROS</v>
          </cell>
          <cell r="B2203" t="str">
            <v>1302</v>
          </cell>
          <cell r="C2203" t="str">
            <v>O</v>
          </cell>
          <cell r="D2203" t="str">
            <v>OB</v>
          </cell>
          <cell r="E2203" t="str">
            <v>09</v>
          </cell>
        </row>
        <row r="2204">
          <cell r="A2204" t="str">
            <v>SUPERVISOR DE ZONA (OPE)</v>
          </cell>
          <cell r="B2204" t="str">
            <v>7223</v>
          </cell>
          <cell r="C2204" t="str">
            <v>O</v>
          </cell>
          <cell r="D2204" t="str">
            <v>OB</v>
          </cell>
          <cell r="E2204" t="str">
            <v>08</v>
          </cell>
        </row>
        <row r="2205">
          <cell r="A2205" t="str">
            <v>SUPERVISOR EMPAQUE Y ENVASE PROD. FARM.</v>
          </cell>
          <cell r="B2205" t="str">
            <v>6302</v>
          </cell>
          <cell r="C2205" t="str">
            <v>O</v>
          </cell>
          <cell r="D2205" t="str">
            <v>OB</v>
          </cell>
          <cell r="E2205" t="str">
            <v>09</v>
          </cell>
        </row>
        <row r="2206">
          <cell r="A2206" t="str">
            <v>SUPERVISOR OPERACIONES FERROVIARIAS</v>
          </cell>
          <cell r="B2206" t="str">
            <v>7351</v>
          </cell>
          <cell r="C2206" t="str">
            <v>O</v>
          </cell>
          <cell r="D2206" t="str">
            <v>OB</v>
          </cell>
          <cell r="E2206" t="str">
            <v>10</v>
          </cell>
        </row>
        <row r="2207">
          <cell r="A2207" t="str">
            <v>TALABARTERO</v>
          </cell>
          <cell r="B2207" t="str">
            <v>7158</v>
          </cell>
          <cell r="C2207" t="str">
            <v>O</v>
          </cell>
          <cell r="D2207" t="str">
            <v>OB</v>
          </cell>
          <cell r="E2207" t="str">
            <v>03</v>
          </cell>
        </row>
        <row r="2208">
          <cell r="A2208" t="str">
            <v>TAPICERO</v>
          </cell>
          <cell r="B2208" t="str">
            <v>7213</v>
          </cell>
          <cell r="C2208" t="str">
            <v>O</v>
          </cell>
          <cell r="D2208" t="str">
            <v>OB</v>
          </cell>
          <cell r="E2208" t="str">
            <v>05</v>
          </cell>
        </row>
        <row r="2209">
          <cell r="A2209" t="str">
            <v>TAQUILLERO</v>
          </cell>
          <cell r="B2209" t="str">
            <v>3151</v>
          </cell>
          <cell r="C2209" t="str">
            <v>O</v>
          </cell>
          <cell r="D2209" t="str">
            <v>OB</v>
          </cell>
          <cell r="E2209" t="str">
            <v>03</v>
          </cell>
        </row>
        <row r="2210">
          <cell r="A2210" t="str">
            <v>TIMONEL DE EMBARCACION</v>
          </cell>
          <cell r="B2210" t="str">
            <v>7214</v>
          </cell>
          <cell r="C2210" t="str">
            <v>O</v>
          </cell>
          <cell r="D2210" t="str">
            <v>OB</v>
          </cell>
          <cell r="E2210" t="str">
            <v>05</v>
          </cell>
        </row>
        <row r="2211">
          <cell r="A2211" t="str">
            <v>TORNERO</v>
          </cell>
          <cell r="B2211" t="str">
            <v>7230</v>
          </cell>
          <cell r="C2211" t="str">
            <v>O</v>
          </cell>
          <cell r="D2211" t="str">
            <v>OB</v>
          </cell>
          <cell r="E2211" t="str">
            <v>06</v>
          </cell>
        </row>
        <row r="2212">
          <cell r="A2212" t="str">
            <v>VIGILANTE</v>
          </cell>
          <cell r="B2212" t="str">
            <v>8201</v>
          </cell>
          <cell r="C2212" t="str">
            <v>O</v>
          </cell>
          <cell r="D2212" t="str">
            <v>OB</v>
          </cell>
          <cell r="E2212" t="str">
            <v>05</v>
          </cell>
        </row>
        <row r="2213">
          <cell r="A2213" t="str">
            <v>ZAPATERO</v>
          </cell>
          <cell r="B2213" t="str">
            <v>7132</v>
          </cell>
          <cell r="C2213" t="str">
            <v>O</v>
          </cell>
          <cell r="D2213" t="str">
            <v>OB</v>
          </cell>
          <cell r="E2213" t="str">
            <v>02</v>
          </cell>
        </row>
      </sheetData>
      <sheetData sheetId="5" refreshError="1">
        <row r="2">
          <cell r="L2">
            <v>2024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TRIBUCIÓN (GDP)"/>
      <sheetName val="RAC"/>
      <sheetName val="CARGOS"/>
      <sheetName val="TAB EMP"/>
      <sheetName val="TAB OBR"/>
      <sheetName val="CONCEPTOS Y PARAMETROS"/>
    </sheetNames>
    <sheetDataSet>
      <sheetData sheetId="0"/>
      <sheetData sheetId="1"/>
      <sheetData sheetId="2">
        <row r="1">
          <cell r="A1" t="str">
            <v>DESCRIP</v>
          </cell>
          <cell r="B1" t="str">
            <v>CODCARGO</v>
          </cell>
          <cell r="C1" t="str">
            <v>TIPOCARGO</v>
          </cell>
          <cell r="D1" t="str">
            <v>CLASECARGO</v>
          </cell>
          <cell r="E1" t="str">
            <v>GRADO</v>
          </cell>
        </row>
        <row r="2">
          <cell r="A2" t="str">
            <v>DOC. BASICO SUPERVISOR (40 HORAS) Y DIRECTOR VI 77 (16 HORAS)</v>
          </cell>
          <cell r="B2" t="str">
            <v>40244</v>
          </cell>
          <cell r="C2" t="str">
            <v/>
          </cell>
          <cell r="D2" t="str">
            <v/>
          </cell>
          <cell r="E2" t="str">
            <v/>
          </cell>
        </row>
        <row r="3">
          <cell r="A3" t="str">
            <v>ABOGADO FISCAL I</v>
          </cell>
          <cell r="B3" t="str">
            <v>35131</v>
          </cell>
          <cell r="C3" t="str">
            <v>E</v>
          </cell>
          <cell r="D3" t="str">
            <v>UT</v>
          </cell>
          <cell r="E3" t="str">
            <v>18</v>
          </cell>
        </row>
        <row r="4">
          <cell r="A4" t="str">
            <v>ABOGADO FISCAL II</v>
          </cell>
          <cell r="B4" t="str">
            <v>35132</v>
          </cell>
          <cell r="C4" t="str">
            <v>E</v>
          </cell>
          <cell r="D4" t="str">
            <v>UT</v>
          </cell>
          <cell r="E4" t="str">
            <v>20</v>
          </cell>
        </row>
        <row r="5">
          <cell r="A5" t="str">
            <v>ABOGADO FISCAL III</v>
          </cell>
          <cell r="B5" t="str">
            <v>35133</v>
          </cell>
          <cell r="C5" t="str">
            <v>E</v>
          </cell>
          <cell r="D5" t="str">
            <v>UT</v>
          </cell>
          <cell r="E5" t="str">
            <v>21</v>
          </cell>
        </row>
        <row r="6">
          <cell r="A6" t="str">
            <v>ABOGADO FISCAL IV</v>
          </cell>
          <cell r="B6" t="str">
            <v>35134</v>
          </cell>
          <cell r="C6" t="str">
            <v>E</v>
          </cell>
          <cell r="D6" t="str">
            <v>UT</v>
          </cell>
          <cell r="E6" t="str">
            <v>23</v>
          </cell>
        </row>
        <row r="7">
          <cell r="A7" t="str">
            <v>ABOGADO FISCAL JEFE</v>
          </cell>
          <cell r="B7" t="str">
            <v>35135</v>
          </cell>
          <cell r="C7" t="str">
            <v>E</v>
          </cell>
          <cell r="D7" t="str">
            <v>UT</v>
          </cell>
          <cell r="E7" t="str">
            <v>25</v>
          </cell>
        </row>
        <row r="8">
          <cell r="A8" t="str">
            <v>ABOGADO I</v>
          </cell>
          <cell r="B8" t="str">
            <v>35121</v>
          </cell>
          <cell r="C8" t="str">
            <v>E</v>
          </cell>
          <cell r="D8" t="str">
            <v>UT</v>
          </cell>
          <cell r="E8" t="str">
            <v>17</v>
          </cell>
        </row>
        <row r="9">
          <cell r="A9" t="str">
            <v>ABOGADO II</v>
          </cell>
          <cell r="B9" t="str">
            <v>35122</v>
          </cell>
          <cell r="C9" t="str">
            <v>E</v>
          </cell>
          <cell r="D9" t="str">
            <v>UT</v>
          </cell>
          <cell r="E9" t="str">
            <v>19</v>
          </cell>
        </row>
        <row r="10">
          <cell r="A10" t="str">
            <v>ABOGADO III</v>
          </cell>
          <cell r="B10" t="str">
            <v>35123</v>
          </cell>
          <cell r="C10" t="str">
            <v>E</v>
          </cell>
          <cell r="D10" t="str">
            <v>UT</v>
          </cell>
          <cell r="E10" t="str">
            <v>21</v>
          </cell>
        </row>
        <row r="11">
          <cell r="A11" t="str">
            <v>ABOGADO IV</v>
          </cell>
          <cell r="B11" t="str">
            <v>35124</v>
          </cell>
          <cell r="C11" t="str">
            <v>E</v>
          </cell>
          <cell r="D11" t="str">
            <v>UT</v>
          </cell>
          <cell r="E11" t="str">
            <v>23</v>
          </cell>
        </row>
        <row r="12">
          <cell r="A12" t="str">
            <v>ABOGADO JEFE</v>
          </cell>
          <cell r="B12" t="str">
            <v>35125</v>
          </cell>
          <cell r="C12" t="str">
            <v>E</v>
          </cell>
          <cell r="D12" t="str">
            <v>UT</v>
          </cell>
          <cell r="E12" t="str">
            <v>25</v>
          </cell>
        </row>
        <row r="13">
          <cell r="A13" t="str">
            <v>ABOGADO PROCURADURIA I</v>
          </cell>
          <cell r="B13" t="str">
            <v>35151</v>
          </cell>
          <cell r="C13" t="str">
            <v>E</v>
          </cell>
          <cell r="D13" t="str">
            <v>UT</v>
          </cell>
          <cell r="E13" t="str">
            <v>19</v>
          </cell>
        </row>
        <row r="14">
          <cell r="A14" t="str">
            <v>ABOGADO PROCURADURIA II</v>
          </cell>
          <cell r="B14" t="str">
            <v>35152</v>
          </cell>
          <cell r="C14" t="str">
            <v>E</v>
          </cell>
          <cell r="D14" t="str">
            <v>UT</v>
          </cell>
          <cell r="E14" t="str">
            <v>21</v>
          </cell>
        </row>
        <row r="15">
          <cell r="A15" t="str">
            <v>ABOGADO PROCURADURIA III</v>
          </cell>
          <cell r="B15" t="str">
            <v>35153</v>
          </cell>
          <cell r="C15" t="str">
            <v>E</v>
          </cell>
          <cell r="D15" t="str">
            <v>UT</v>
          </cell>
          <cell r="E15" t="str">
            <v>23</v>
          </cell>
        </row>
        <row r="16">
          <cell r="A16" t="str">
            <v>ABOGADO PROCURADURIA IV</v>
          </cell>
          <cell r="B16" t="str">
            <v>35154</v>
          </cell>
          <cell r="C16" t="str">
            <v>E</v>
          </cell>
          <cell r="D16" t="str">
            <v>UT</v>
          </cell>
          <cell r="E16" t="str">
            <v>25</v>
          </cell>
        </row>
        <row r="17">
          <cell r="A17" t="str">
            <v>ACTUARIO I</v>
          </cell>
          <cell r="B17" t="str">
            <v>36151</v>
          </cell>
          <cell r="C17" t="str">
            <v>E</v>
          </cell>
          <cell r="D17" t="str">
            <v>UT</v>
          </cell>
          <cell r="E17" t="str">
            <v>17</v>
          </cell>
        </row>
        <row r="18">
          <cell r="A18" t="str">
            <v>ACTUARIO II</v>
          </cell>
          <cell r="B18" t="str">
            <v>36152</v>
          </cell>
          <cell r="C18" t="str">
            <v>E</v>
          </cell>
          <cell r="D18" t="str">
            <v>UT</v>
          </cell>
          <cell r="E18" t="str">
            <v>19</v>
          </cell>
        </row>
        <row r="19">
          <cell r="A19" t="str">
            <v>ACTUARIO III</v>
          </cell>
          <cell r="B19" t="str">
            <v>36153</v>
          </cell>
          <cell r="C19" t="str">
            <v>E</v>
          </cell>
          <cell r="D19" t="str">
            <v>UT</v>
          </cell>
          <cell r="E19" t="str">
            <v>21</v>
          </cell>
        </row>
        <row r="20">
          <cell r="A20" t="str">
            <v>ACTUARIO IV</v>
          </cell>
          <cell r="B20" t="str">
            <v>36154</v>
          </cell>
          <cell r="C20" t="str">
            <v>E</v>
          </cell>
          <cell r="D20" t="str">
            <v>UT</v>
          </cell>
          <cell r="E20" t="str">
            <v>23</v>
          </cell>
        </row>
        <row r="21">
          <cell r="A21" t="str">
            <v>ACTUARIO V</v>
          </cell>
          <cell r="B21" t="str">
            <v>36155</v>
          </cell>
          <cell r="C21" t="str">
            <v>E</v>
          </cell>
          <cell r="D21" t="str">
            <v>UT</v>
          </cell>
          <cell r="E21" t="str">
            <v>24</v>
          </cell>
        </row>
        <row r="22">
          <cell r="A22" t="str">
            <v>ADJUNTO INTERVENTOR DE ADUANAS I</v>
          </cell>
          <cell r="B22" t="str">
            <v>53111</v>
          </cell>
          <cell r="C22" t="str">
            <v>E</v>
          </cell>
          <cell r="D22" t="str">
            <v>AD</v>
          </cell>
          <cell r="E22" t="str">
            <v>02</v>
          </cell>
        </row>
        <row r="23">
          <cell r="A23" t="str">
            <v>ADJUNTO INTERVENTOR DE ADUANAS II</v>
          </cell>
          <cell r="B23" t="str">
            <v>53112</v>
          </cell>
          <cell r="C23" t="str">
            <v>E</v>
          </cell>
          <cell r="D23" t="str">
            <v>AD</v>
          </cell>
          <cell r="E23" t="str">
            <v>03</v>
          </cell>
        </row>
        <row r="24">
          <cell r="A24" t="str">
            <v>ADJUNTO INTERVENTOR DE ADUANAS III</v>
          </cell>
          <cell r="B24" t="str">
            <v>53113</v>
          </cell>
          <cell r="C24" t="str">
            <v>E</v>
          </cell>
          <cell r="D24" t="str">
            <v>UT</v>
          </cell>
          <cell r="E24" t="str">
            <v>15</v>
          </cell>
        </row>
        <row r="25">
          <cell r="A25" t="str">
            <v>ADMINISTRADOR DE COLECCIONES</v>
          </cell>
          <cell r="B25" t="str">
            <v>37530</v>
          </cell>
          <cell r="C25" t="str">
            <v>E</v>
          </cell>
          <cell r="D25" t="str">
            <v>UT</v>
          </cell>
          <cell r="E25" t="str">
            <v>17</v>
          </cell>
        </row>
        <row r="26">
          <cell r="A26" t="str">
            <v>ADMINISTRADOR I</v>
          </cell>
          <cell r="B26" t="str">
            <v>12121</v>
          </cell>
          <cell r="C26" t="str">
            <v>E</v>
          </cell>
          <cell r="D26" t="str">
            <v>UT</v>
          </cell>
          <cell r="E26" t="str">
            <v>17</v>
          </cell>
        </row>
        <row r="27">
          <cell r="A27" t="str">
            <v>ADMINISTRADOR II</v>
          </cell>
          <cell r="B27" t="str">
            <v>12122</v>
          </cell>
          <cell r="C27" t="str">
            <v>E</v>
          </cell>
          <cell r="D27" t="str">
            <v>UT</v>
          </cell>
          <cell r="E27" t="str">
            <v>19</v>
          </cell>
        </row>
        <row r="28">
          <cell r="A28" t="str">
            <v>ADMINISTRADOR III</v>
          </cell>
          <cell r="B28" t="str">
            <v>12123</v>
          </cell>
          <cell r="C28" t="str">
            <v>E</v>
          </cell>
          <cell r="D28" t="str">
            <v>UT</v>
          </cell>
          <cell r="E28" t="str">
            <v>21</v>
          </cell>
        </row>
        <row r="29">
          <cell r="A29" t="str">
            <v>ADMINISTRADOR IV</v>
          </cell>
          <cell r="B29" t="str">
            <v>12124</v>
          </cell>
          <cell r="C29" t="str">
            <v>E</v>
          </cell>
          <cell r="D29" t="str">
            <v>UT</v>
          </cell>
          <cell r="E29" t="str">
            <v>23</v>
          </cell>
        </row>
        <row r="30">
          <cell r="A30" t="str">
            <v>ADMINISTRADOR JEFE</v>
          </cell>
          <cell r="B30" t="str">
            <v>12130</v>
          </cell>
          <cell r="C30" t="str">
            <v>E</v>
          </cell>
          <cell r="D30" t="str">
            <v>UT</v>
          </cell>
          <cell r="E30" t="str">
            <v>25</v>
          </cell>
        </row>
        <row r="31">
          <cell r="A31" t="str">
            <v>ADMINISTRADOR V</v>
          </cell>
          <cell r="B31" t="str">
            <v>12125</v>
          </cell>
          <cell r="C31" t="str">
            <v>E</v>
          </cell>
          <cell r="D31" t="str">
            <v>AD</v>
          </cell>
          <cell r="E31" t="str">
            <v>24</v>
          </cell>
        </row>
        <row r="32">
          <cell r="A32" t="str">
            <v>AEROTOPOGRAFO I</v>
          </cell>
          <cell r="B32" t="str">
            <v>45211</v>
          </cell>
          <cell r="C32" t="str">
            <v>E</v>
          </cell>
          <cell r="D32" t="str">
            <v>AD</v>
          </cell>
          <cell r="E32" t="str">
            <v>02</v>
          </cell>
        </row>
        <row r="33">
          <cell r="A33" t="str">
            <v>AEROTOPOGRAFO II</v>
          </cell>
          <cell r="B33" t="str">
            <v>45212</v>
          </cell>
          <cell r="C33" t="str">
            <v>E</v>
          </cell>
          <cell r="D33" t="str">
            <v>AD</v>
          </cell>
          <cell r="E33" t="str">
            <v>04</v>
          </cell>
        </row>
        <row r="34">
          <cell r="A34" t="str">
            <v>AEROTOPOGRAFO III</v>
          </cell>
          <cell r="B34" t="str">
            <v>45213</v>
          </cell>
          <cell r="C34" t="str">
            <v>E</v>
          </cell>
          <cell r="D34" t="str">
            <v>AD</v>
          </cell>
          <cell r="E34" t="str">
            <v>06</v>
          </cell>
        </row>
        <row r="35">
          <cell r="A35" t="str">
            <v>AEROTOPOGRAFO IV</v>
          </cell>
          <cell r="B35" t="str">
            <v>45214</v>
          </cell>
          <cell r="C35" t="str">
            <v>E</v>
          </cell>
          <cell r="D35" t="str">
            <v>AD</v>
          </cell>
          <cell r="E35" t="str">
            <v>08</v>
          </cell>
        </row>
        <row r="36">
          <cell r="A36" t="str">
            <v>AEROTOPOGRAFO JEFE</v>
          </cell>
          <cell r="B36" t="str">
            <v>45220</v>
          </cell>
          <cell r="C36" t="str">
            <v>E</v>
          </cell>
          <cell r="D36" t="str">
            <v>AD</v>
          </cell>
          <cell r="E36" t="str">
            <v>10</v>
          </cell>
        </row>
        <row r="37">
          <cell r="A37" t="str">
            <v>AFERIDOR I</v>
          </cell>
          <cell r="B37" t="str">
            <v>84211</v>
          </cell>
          <cell r="C37" t="str">
            <v>E</v>
          </cell>
          <cell r="D37" t="str">
            <v>AD</v>
          </cell>
          <cell r="E37" t="str">
            <v>01</v>
          </cell>
        </row>
        <row r="38">
          <cell r="A38" t="str">
            <v>AFERIDOR II</v>
          </cell>
          <cell r="B38" t="str">
            <v>84212</v>
          </cell>
          <cell r="C38" t="str">
            <v>E</v>
          </cell>
          <cell r="D38" t="str">
            <v>AD</v>
          </cell>
          <cell r="E38" t="str">
            <v>03</v>
          </cell>
        </row>
        <row r="39">
          <cell r="A39" t="str">
            <v>AFORADOR DE HIDROCARBUROS</v>
          </cell>
          <cell r="B39" t="str">
            <v>44110</v>
          </cell>
          <cell r="C39" t="str">
            <v>E</v>
          </cell>
          <cell r="D39" t="str">
            <v>AD</v>
          </cell>
          <cell r="E39" t="str">
            <v>01</v>
          </cell>
        </row>
        <row r="40">
          <cell r="A40" t="str">
            <v>AGENTE</v>
          </cell>
          <cell r="B40" t="str">
            <v>62223</v>
          </cell>
          <cell r="C40" t="str">
            <v>E</v>
          </cell>
          <cell r="D40" t="str">
            <v>PO</v>
          </cell>
          <cell r="E40" t="str">
            <v>03</v>
          </cell>
        </row>
        <row r="41">
          <cell r="A41" t="str">
            <v>AGENTE AYUDA JUVENIL I</v>
          </cell>
          <cell r="B41" t="str">
            <v>79551</v>
          </cell>
          <cell r="C41" t="str">
            <v>E</v>
          </cell>
          <cell r="D41" t="str">
            <v>AD</v>
          </cell>
          <cell r="E41" t="str">
            <v>02</v>
          </cell>
        </row>
        <row r="42">
          <cell r="A42" t="str">
            <v>AGENTE AYUDA JUVENIL II</v>
          </cell>
          <cell r="B42" t="str">
            <v>79552</v>
          </cell>
          <cell r="C42" t="str">
            <v>E</v>
          </cell>
          <cell r="D42" t="str">
            <v>AD</v>
          </cell>
          <cell r="E42" t="str">
            <v>04</v>
          </cell>
        </row>
        <row r="43">
          <cell r="A43" t="str">
            <v>AGENTE COOPERATIVISTA I</v>
          </cell>
          <cell r="B43" t="str">
            <v>41351</v>
          </cell>
          <cell r="C43" t="str">
            <v>E</v>
          </cell>
          <cell r="D43" t="str">
            <v>AD</v>
          </cell>
          <cell r="E43" t="str">
            <v>02</v>
          </cell>
        </row>
        <row r="44">
          <cell r="A44" t="str">
            <v>AGENTE COOPERATIVISTA II</v>
          </cell>
          <cell r="B44" t="str">
            <v>41352</v>
          </cell>
          <cell r="C44" t="str">
            <v>E</v>
          </cell>
          <cell r="D44" t="str">
            <v>AD</v>
          </cell>
          <cell r="E44" t="str">
            <v>03</v>
          </cell>
        </row>
        <row r="45">
          <cell r="A45" t="str">
            <v>AGENTE DE INMIGRACION Y EXTRANJERIA I</v>
          </cell>
          <cell r="B45" t="str">
            <v>86221</v>
          </cell>
          <cell r="C45" t="str">
            <v>E</v>
          </cell>
          <cell r="D45" t="str">
            <v>UT</v>
          </cell>
          <cell r="E45" t="str">
            <v>15</v>
          </cell>
        </row>
        <row r="46">
          <cell r="A46" t="str">
            <v>AGENTE DE INMIGRACION Y EXTRANJERIA II</v>
          </cell>
          <cell r="B46" t="str">
            <v>86222</v>
          </cell>
          <cell r="C46" t="str">
            <v>E</v>
          </cell>
          <cell r="D46" t="str">
            <v>UT</v>
          </cell>
          <cell r="E46" t="str">
            <v>17</v>
          </cell>
        </row>
        <row r="47">
          <cell r="A47" t="str">
            <v>AGENTE DE INMIGRACION Y EXTRANJERIA III</v>
          </cell>
          <cell r="B47" t="str">
            <v>86223</v>
          </cell>
          <cell r="C47" t="str">
            <v>E</v>
          </cell>
          <cell r="D47" t="str">
            <v>UT</v>
          </cell>
          <cell r="E47" t="str">
            <v>19</v>
          </cell>
        </row>
        <row r="48">
          <cell r="A48" t="str">
            <v>AGENTE DE VIVIENDA I</v>
          </cell>
          <cell r="B48" t="str">
            <v>79611</v>
          </cell>
          <cell r="C48" t="str">
            <v>E</v>
          </cell>
          <cell r="D48" t="str">
            <v>AD</v>
          </cell>
          <cell r="E48" t="str">
            <v>02</v>
          </cell>
        </row>
        <row r="49">
          <cell r="A49" t="str">
            <v>AGENTE DE VIVIENDA II</v>
          </cell>
          <cell r="B49" t="str">
            <v>79612</v>
          </cell>
          <cell r="C49" t="str">
            <v>E</v>
          </cell>
          <cell r="D49" t="str">
            <v>UT</v>
          </cell>
          <cell r="E49" t="str">
            <v>15</v>
          </cell>
        </row>
        <row r="50">
          <cell r="A50" t="str">
            <v>AGENTE DE VIVIENDA III</v>
          </cell>
          <cell r="B50" t="str">
            <v>79613</v>
          </cell>
          <cell r="C50" t="str">
            <v>E</v>
          </cell>
          <cell r="D50" t="str">
            <v>UT</v>
          </cell>
          <cell r="E50" t="str">
            <v>17</v>
          </cell>
        </row>
        <row r="51">
          <cell r="A51" t="str">
            <v>AGENTE DISIP</v>
          </cell>
          <cell r="B51" t="str">
            <v>62225</v>
          </cell>
          <cell r="C51" t="str">
            <v>E</v>
          </cell>
          <cell r="D51" t="str">
            <v>PO</v>
          </cell>
          <cell r="E51" t="str">
            <v/>
          </cell>
        </row>
        <row r="52">
          <cell r="A52" t="str">
            <v>AGRIMENSOR I</v>
          </cell>
          <cell r="B52" t="str">
            <v>43161</v>
          </cell>
          <cell r="C52" t="str">
            <v>E</v>
          </cell>
          <cell r="D52" t="str">
            <v>UT</v>
          </cell>
          <cell r="E52" t="str">
            <v>17</v>
          </cell>
        </row>
        <row r="53">
          <cell r="A53" t="str">
            <v>AGRIMENSOR II</v>
          </cell>
          <cell r="B53" t="str">
            <v>43162</v>
          </cell>
          <cell r="C53" t="str">
            <v>E</v>
          </cell>
          <cell r="D53" t="str">
            <v>UT</v>
          </cell>
          <cell r="E53" t="str">
            <v>18</v>
          </cell>
        </row>
        <row r="54">
          <cell r="A54" t="str">
            <v>AGRIMENSOR III</v>
          </cell>
          <cell r="B54" t="str">
            <v>43163</v>
          </cell>
          <cell r="C54" t="str">
            <v>E</v>
          </cell>
          <cell r="D54" t="str">
            <v>UT</v>
          </cell>
          <cell r="E54" t="str">
            <v>19</v>
          </cell>
        </row>
        <row r="55">
          <cell r="A55" t="str">
            <v>AGRIMENSOR JEFE</v>
          </cell>
          <cell r="B55" t="str">
            <v>43170</v>
          </cell>
          <cell r="C55" t="str">
            <v>E</v>
          </cell>
          <cell r="D55" t="str">
            <v>UT</v>
          </cell>
          <cell r="E55" t="str">
            <v>21</v>
          </cell>
        </row>
        <row r="56">
          <cell r="A56" t="str">
            <v>ALFABETIZADOR</v>
          </cell>
          <cell r="B56" t="str">
            <v>00081</v>
          </cell>
          <cell r="C56" t="str">
            <v>E</v>
          </cell>
          <cell r="D56" t="str">
            <v>DO</v>
          </cell>
          <cell r="E56" t="str">
            <v/>
          </cell>
        </row>
        <row r="57">
          <cell r="A57" t="str">
            <v>ALFABETIZADOR I   139</v>
          </cell>
          <cell r="B57" t="str">
            <v>01111</v>
          </cell>
          <cell r="C57" t="str">
            <v>E</v>
          </cell>
          <cell r="D57" t="str">
            <v>DO</v>
          </cell>
          <cell r="E57" t="str">
            <v/>
          </cell>
        </row>
        <row r="58">
          <cell r="A58" t="str">
            <v>ALFABETIZADOR I   77</v>
          </cell>
          <cell r="B58" t="str">
            <v>01101</v>
          </cell>
          <cell r="C58" t="str">
            <v>E</v>
          </cell>
          <cell r="D58" t="str">
            <v>DO</v>
          </cell>
          <cell r="E58" t="str">
            <v/>
          </cell>
        </row>
        <row r="59">
          <cell r="A59" t="str">
            <v>ALFABETIZADOR I TCVDMA</v>
          </cell>
          <cell r="B59" t="str">
            <v>40007</v>
          </cell>
          <cell r="C59" t="str">
            <v>E</v>
          </cell>
          <cell r="D59" t="str">
            <v>DO</v>
          </cell>
          <cell r="E59" t="str">
            <v/>
          </cell>
        </row>
        <row r="60">
          <cell r="A60" t="str">
            <v>ALFABETIZADOR II  139</v>
          </cell>
          <cell r="B60" t="str">
            <v>01112</v>
          </cell>
          <cell r="C60" t="str">
            <v>E</v>
          </cell>
          <cell r="D60" t="str">
            <v>DO</v>
          </cell>
          <cell r="E60" t="str">
            <v/>
          </cell>
        </row>
        <row r="61">
          <cell r="A61" t="str">
            <v>ALFABETIZADOR II  77</v>
          </cell>
          <cell r="B61" t="str">
            <v>01102</v>
          </cell>
          <cell r="C61" t="str">
            <v>E</v>
          </cell>
          <cell r="D61" t="str">
            <v>DO</v>
          </cell>
          <cell r="E61" t="str">
            <v/>
          </cell>
        </row>
        <row r="62">
          <cell r="A62" t="str">
            <v>ALFABETIZADOR II TCVDMA</v>
          </cell>
          <cell r="B62" t="str">
            <v>40008</v>
          </cell>
          <cell r="C62" t="str">
            <v>E</v>
          </cell>
          <cell r="D62" t="str">
            <v>DO</v>
          </cell>
          <cell r="E62" t="str">
            <v/>
          </cell>
        </row>
        <row r="63">
          <cell r="A63" t="str">
            <v>ALFABETIZADOR III 139</v>
          </cell>
          <cell r="B63" t="str">
            <v>01113</v>
          </cell>
          <cell r="C63" t="str">
            <v>E</v>
          </cell>
          <cell r="D63" t="str">
            <v>DO</v>
          </cell>
          <cell r="E63" t="str">
            <v/>
          </cell>
        </row>
        <row r="64">
          <cell r="A64" t="str">
            <v>ALFABETIZADOR III 77</v>
          </cell>
          <cell r="B64" t="str">
            <v>01103</v>
          </cell>
          <cell r="C64" t="str">
            <v>E</v>
          </cell>
          <cell r="D64" t="str">
            <v>DO</v>
          </cell>
          <cell r="E64" t="str">
            <v/>
          </cell>
        </row>
        <row r="65">
          <cell r="A65" t="str">
            <v>ALFABETIZADOR III TCVDMA</v>
          </cell>
          <cell r="B65" t="str">
            <v>40009</v>
          </cell>
          <cell r="C65" t="str">
            <v>E</v>
          </cell>
          <cell r="D65" t="str">
            <v>DO</v>
          </cell>
          <cell r="E65" t="str">
            <v/>
          </cell>
        </row>
        <row r="66">
          <cell r="A66" t="str">
            <v>ALFABETIZADOR IV  139</v>
          </cell>
          <cell r="B66" t="str">
            <v>01114</v>
          </cell>
          <cell r="C66" t="str">
            <v>E</v>
          </cell>
          <cell r="D66" t="str">
            <v>DO</v>
          </cell>
          <cell r="E66" t="str">
            <v/>
          </cell>
        </row>
        <row r="67">
          <cell r="A67" t="str">
            <v>ALFABETIZADOR IV  77</v>
          </cell>
          <cell r="B67" t="str">
            <v>01104</v>
          </cell>
          <cell r="C67" t="str">
            <v>E</v>
          </cell>
          <cell r="D67" t="str">
            <v>DO</v>
          </cell>
          <cell r="E67" t="str">
            <v/>
          </cell>
        </row>
        <row r="68">
          <cell r="A68" t="str">
            <v>ALFABETIZADOR IV TCVDMA</v>
          </cell>
          <cell r="B68" t="str">
            <v>40010</v>
          </cell>
          <cell r="C68" t="str">
            <v>E</v>
          </cell>
          <cell r="D68" t="str">
            <v>DO</v>
          </cell>
          <cell r="E68" t="str">
            <v/>
          </cell>
        </row>
        <row r="69">
          <cell r="A69" t="str">
            <v>ALFABETIZADOR N.G.</v>
          </cell>
          <cell r="B69" t="str">
            <v>02027</v>
          </cell>
          <cell r="C69" t="str">
            <v>E</v>
          </cell>
          <cell r="D69" t="str">
            <v>DO</v>
          </cell>
          <cell r="E69" t="str">
            <v/>
          </cell>
        </row>
        <row r="70">
          <cell r="A70" t="str">
            <v>ALFABETIZADOR NG TCVDMA</v>
          </cell>
          <cell r="B70" t="str">
            <v>40006</v>
          </cell>
          <cell r="C70" t="str">
            <v>E</v>
          </cell>
          <cell r="D70" t="str">
            <v>DO</v>
          </cell>
          <cell r="E70" t="str">
            <v/>
          </cell>
        </row>
        <row r="71">
          <cell r="A71" t="str">
            <v>ALFABETIZADOR V   139</v>
          </cell>
          <cell r="B71" t="str">
            <v>01115</v>
          </cell>
          <cell r="C71" t="str">
            <v>E</v>
          </cell>
          <cell r="D71" t="str">
            <v>DO</v>
          </cell>
          <cell r="E71" t="str">
            <v/>
          </cell>
        </row>
        <row r="72">
          <cell r="A72" t="str">
            <v>ALFABETIZADOR V   77</v>
          </cell>
          <cell r="B72" t="str">
            <v>01105</v>
          </cell>
          <cell r="C72" t="str">
            <v>E</v>
          </cell>
          <cell r="D72" t="str">
            <v>DO</v>
          </cell>
          <cell r="E72" t="str">
            <v/>
          </cell>
        </row>
        <row r="73">
          <cell r="A73" t="str">
            <v>ALFABETIZADOR V TCVDMA</v>
          </cell>
          <cell r="B73" t="str">
            <v>40011</v>
          </cell>
          <cell r="C73" t="str">
            <v>E</v>
          </cell>
          <cell r="D73" t="str">
            <v>DO</v>
          </cell>
          <cell r="E73" t="str">
            <v/>
          </cell>
        </row>
        <row r="74">
          <cell r="A74" t="str">
            <v>ALFABETIZADOR VI  139</v>
          </cell>
          <cell r="B74" t="str">
            <v>01116</v>
          </cell>
          <cell r="C74" t="str">
            <v>E</v>
          </cell>
          <cell r="D74" t="str">
            <v>DO</v>
          </cell>
          <cell r="E74" t="str">
            <v/>
          </cell>
        </row>
        <row r="75">
          <cell r="A75" t="str">
            <v>ALFABETIZADOR VI  77</v>
          </cell>
          <cell r="B75" t="str">
            <v>01106</v>
          </cell>
          <cell r="C75" t="str">
            <v>E</v>
          </cell>
          <cell r="D75" t="str">
            <v>DO</v>
          </cell>
          <cell r="E75" t="str">
            <v/>
          </cell>
        </row>
        <row r="76">
          <cell r="A76" t="str">
            <v>ALFABETIZADOR VI TCVDMA</v>
          </cell>
          <cell r="B76" t="str">
            <v>40012</v>
          </cell>
          <cell r="C76" t="str">
            <v>E</v>
          </cell>
          <cell r="D76" t="str">
            <v>DO</v>
          </cell>
          <cell r="E76" t="str">
            <v/>
          </cell>
        </row>
        <row r="77">
          <cell r="A77" t="str">
            <v>ALMACENISTA I</v>
          </cell>
          <cell r="B77" t="str">
            <v>25211</v>
          </cell>
          <cell r="C77" t="str">
            <v>E</v>
          </cell>
          <cell r="D77" t="str">
            <v>AD</v>
          </cell>
          <cell r="E77" t="str">
            <v>01</v>
          </cell>
        </row>
        <row r="78">
          <cell r="A78" t="str">
            <v>ALMACENISTA II</v>
          </cell>
          <cell r="B78" t="str">
            <v>25212</v>
          </cell>
          <cell r="C78" t="str">
            <v>E</v>
          </cell>
          <cell r="D78" t="str">
            <v>AD</v>
          </cell>
          <cell r="E78" t="str">
            <v>03</v>
          </cell>
        </row>
        <row r="79">
          <cell r="A79" t="str">
            <v>ANALISTA CENTRAL DE PERSONAL I</v>
          </cell>
          <cell r="B79" t="str">
            <v>15141</v>
          </cell>
          <cell r="C79" t="str">
            <v>E</v>
          </cell>
          <cell r="D79" t="str">
            <v>UT</v>
          </cell>
          <cell r="E79" t="str">
            <v>19</v>
          </cell>
        </row>
        <row r="80">
          <cell r="A80" t="str">
            <v>ANALISTA CENTRAL DE PERSONAL II</v>
          </cell>
          <cell r="B80" t="str">
            <v>15142</v>
          </cell>
          <cell r="C80" t="str">
            <v>E</v>
          </cell>
          <cell r="D80" t="str">
            <v>UT</v>
          </cell>
          <cell r="E80" t="str">
            <v>21</v>
          </cell>
        </row>
        <row r="81">
          <cell r="A81" t="str">
            <v>ANALISTA CENTRAL DE PERSONAL III</v>
          </cell>
          <cell r="B81" t="str">
            <v>15143</v>
          </cell>
          <cell r="C81" t="str">
            <v>E</v>
          </cell>
          <cell r="D81" t="str">
            <v>UT</v>
          </cell>
          <cell r="E81" t="str">
            <v>23</v>
          </cell>
        </row>
        <row r="82">
          <cell r="A82" t="str">
            <v>ANALISTA CENTRAL DE PERSONAL IV</v>
          </cell>
          <cell r="B82" t="str">
            <v>15144</v>
          </cell>
          <cell r="C82" t="str">
            <v>E</v>
          </cell>
          <cell r="D82" t="str">
            <v>UT</v>
          </cell>
          <cell r="E82" t="str">
            <v>24</v>
          </cell>
        </row>
        <row r="83">
          <cell r="A83" t="str">
            <v>ANALISTA CENTRAL DE PERSONAL JEFE</v>
          </cell>
          <cell r="B83" t="str">
            <v>15150</v>
          </cell>
          <cell r="C83" t="str">
            <v>E</v>
          </cell>
          <cell r="D83" t="str">
            <v>UT</v>
          </cell>
          <cell r="E83" t="str">
            <v>26</v>
          </cell>
        </row>
        <row r="84">
          <cell r="A84" t="str">
            <v>ANALISTA CENTRAL DE PRESUPUESTO I</v>
          </cell>
          <cell r="B84" t="str">
            <v>13431</v>
          </cell>
          <cell r="C84" t="str">
            <v>E</v>
          </cell>
          <cell r="D84" t="str">
            <v>UT</v>
          </cell>
          <cell r="E84" t="str">
            <v>19</v>
          </cell>
        </row>
        <row r="85">
          <cell r="A85" t="str">
            <v>ANALISTA CENTRAL DE PRESUPUESTO II</v>
          </cell>
          <cell r="B85" t="str">
            <v>13432</v>
          </cell>
          <cell r="C85" t="str">
            <v>E</v>
          </cell>
          <cell r="D85" t="str">
            <v>UT</v>
          </cell>
          <cell r="E85" t="str">
            <v>21</v>
          </cell>
        </row>
        <row r="86">
          <cell r="A86" t="str">
            <v>ANALISTA CENTRAL DE PRESUPUESTO III</v>
          </cell>
          <cell r="B86" t="str">
            <v>13433</v>
          </cell>
          <cell r="C86" t="str">
            <v>E</v>
          </cell>
          <cell r="D86" t="str">
            <v>UT</v>
          </cell>
          <cell r="E86" t="str">
            <v>23</v>
          </cell>
        </row>
        <row r="87">
          <cell r="A87" t="str">
            <v>ANALISTA CENTRAL DE PRESUPUESTO IV</v>
          </cell>
          <cell r="B87" t="str">
            <v>13434</v>
          </cell>
          <cell r="C87" t="str">
            <v>E</v>
          </cell>
          <cell r="D87" t="str">
            <v>UT</v>
          </cell>
          <cell r="E87" t="str">
            <v>24</v>
          </cell>
        </row>
        <row r="88">
          <cell r="A88" t="str">
            <v>ANALISTA CENTRAL DE PRESUPUESTO JEFE</v>
          </cell>
          <cell r="B88" t="str">
            <v>13440</v>
          </cell>
          <cell r="C88" t="str">
            <v>E</v>
          </cell>
          <cell r="D88" t="str">
            <v>UT</v>
          </cell>
          <cell r="E88" t="str">
            <v>26</v>
          </cell>
        </row>
        <row r="89">
          <cell r="A89" t="str">
            <v>ANALISTA CENTRAL ORGAN. Y SISTEMAS I</v>
          </cell>
          <cell r="B89" t="str">
            <v>13251</v>
          </cell>
          <cell r="C89" t="str">
            <v>E</v>
          </cell>
          <cell r="D89" t="str">
            <v>UT</v>
          </cell>
          <cell r="E89" t="str">
            <v>18</v>
          </cell>
        </row>
        <row r="90">
          <cell r="A90" t="str">
            <v>ANALISTA CENTRAL ORGAN. Y SISTEMAS II</v>
          </cell>
          <cell r="B90" t="str">
            <v>13252</v>
          </cell>
          <cell r="C90" t="str">
            <v>E</v>
          </cell>
          <cell r="D90" t="str">
            <v>UT</v>
          </cell>
          <cell r="E90" t="str">
            <v>20</v>
          </cell>
        </row>
        <row r="91">
          <cell r="A91" t="str">
            <v>ANALISTA CENTRAL ORGAN. Y SISTEMAS III</v>
          </cell>
          <cell r="B91" t="str">
            <v>13253</v>
          </cell>
          <cell r="C91" t="str">
            <v>E</v>
          </cell>
          <cell r="D91" t="str">
            <v>UT</v>
          </cell>
          <cell r="E91" t="str">
            <v>22</v>
          </cell>
        </row>
        <row r="92">
          <cell r="A92" t="str">
            <v>ANALISTA CENTRAL ORGAN. Y SISTEMAS IV</v>
          </cell>
          <cell r="B92" t="str">
            <v>13254</v>
          </cell>
          <cell r="C92" t="str">
            <v>E</v>
          </cell>
          <cell r="D92" t="str">
            <v>UT</v>
          </cell>
          <cell r="E92" t="str">
            <v>24</v>
          </cell>
        </row>
        <row r="93">
          <cell r="A93" t="str">
            <v>ANALISTA CENTRAL ORGAN. Y SISTEMAS JEFE</v>
          </cell>
          <cell r="B93" t="str">
            <v>13260</v>
          </cell>
          <cell r="C93" t="str">
            <v>E</v>
          </cell>
          <cell r="D93" t="str">
            <v>UT</v>
          </cell>
          <cell r="E93" t="str">
            <v>25</v>
          </cell>
        </row>
        <row r="94">
          <cell r="A94" t="str">
            <v>ANALISTA CENTRAL ORGAN. Y SISTEMAS V</v>
          </cell>
          <cell r="B94" t="str">
            <v>13255</v>
          </cell>
          <cell r="C94" t="str">
            <v>E</v>
          </cell>
          <cell r="D94" t="str">
            <v>UT</v>
          </cell>
          <cell r="E94" t="str">
            <v>25</v>
          </cell>
        </row>
        <row r="95">
          <cell r="A95" t="str">
            <v>ANALISTA CENTRAL PERSONAL EN FORMACION</v>
          </cell>
          <cell r="B95" t="str">
            <v>15140</v>
          </cell>
          <cell r="C95" t="str">
            <v>E</v>
          </cell>
          <cell r="D95" t="str">
            <v>UT</v>
          </cell>
          <cell r="E95" t="str">
            <v>17</v>
          </cell>
        </row>
        <row r="96">
          <cell r="A96" t="str">
            <v>ANALISTA CENTRAL PRESUP EN FORMACION</v>
          </cell>
          <cell r="B96" t="str">
            <v>13430</v>
          </cell>
          <cell r="C96" t="str">
            <v>E</v>
          </cell>
          <cell r="D96" t="str">
            <v>UT</v>
          </cell>
          <cell r="E96" t="str">
            <v>17</v>
          </cell>
        </row>
        <row r="97">
          <cell r="A97" t="str">
            <v>ANALISTA DE ASUNTOS AUDIOVISUALES</v>
          </cell>
          <cell r="B97" t="str">
            <v>34110</v>
          </cell>
          <cell r="C97" t="str">
            <v>E</v>
          </cell>
          <cell r="D97" t="str">
            <v>UT</v>
          </cell>
          <cell r="E97" t="str">
            <v>15</v>
          </cell>
        </row>
        <row r="98">
          <cell r="A98" t="str">
            <v>ANALISTA DE COLOCACION Y SEGUIMIENTO</v>
          </cell>
          <cell r="B98" t="str">
            <v>16310</v>
          </cell>
          <cell r="C98" t="str">
            <v>E</v>
          </cell>
          <cell r="D98" t="str">
            <v>UT</v>
          </cell>
          <cell r="E98" t="str">
            <v>17</v>
          </cell>
        </row>
        <row r="99">
          <cell r="A99" t="str">
            <v>ANALISTA DE CONTROL FINANCIERO I</v>
          </cell>
          <cell r="B99" t="str">
            <v>25861</v>
          </cell>
          <cell r="C99" t="str">
            <v>E</v>
          </cell>
          <cell r="D99" t="str">
            <v>UT</v>
          </cell>
          <cell r="E99" t="str">
            <v>18</v>
          </cell>
        </row>
        <row r="100">
          <cell r="A100" t="str">
            <v>ANALISTA DE CONTROL FINANCIERO II</v>
          </cell>
          <cell r="B100" t="str">
            <v>25862</v>
          </cell>
          <cell r="C100" t="str">
            <v>E</v>
          </cell>
          <cell r="D100" t="str">
            <v>UT</v>
          </cell>
          <cell r="E100" t="str">
            <v>20</v>
          </cell>
        </row>
        <row r="101">
          <cell r="A101" t="str">
            <v>ANALISTA DE CONTROL FINANCIERO III</v>
          </cell>
          <cell r="B101" t="str">
            <v>25863</v>
          </cell>
          <cell r="C101" t="str">
            <v>E</v>
          </cell>
          <cell r="D101" t="str">
            <v>UT</v>
          </cell>
          <cell r="E101" t="str">
            <v>22</v>
          </cell>
        </row>
        <row r="102">
          <cell r="A102" t="str">
            <v>ANALISTA DE CONTROL FINANCIERO IV</v>
          </cell>
          <cell r="B102" t="str">
            <v>25864</v>
          </cell>
          <cell r="C102" t="str">
            <v>E</v>
          </cell>
          <cell r="D102" t="str">
            <v>UT</v>
          </cell>
          <cell r="E102" t="str">
            <v>23</v>
          </cell>
        </row>
        <row r="103">
          <cell r="A103" t="str">
            <v>ANALISTA DE CONTROL FINANCIERO JEFE</v>
          </cell>
          <cell r="B103" t="str">
            <v>25870</v>
          </cell>
          <cell r="C103" t="str">
            <v>E</v>
          </cell>
          <cell r="D103" t="str">
            <v>UT</v>
          </cell>
          <cell r="E103" t="str">
            <v>26</v>
          </cell>
        </row>
        <row r="104">
          <cell r="A104" t="str">
            <v>ANALISTA DE CONTROL FINANCIERO JEFE II</v>
          </cell>
          <cell r="B104" t="str">
            <v>25871</v>
          </cell>
          <cell r="C104" t="str">
            <v>E</v>
          </cell>
          <cell r="D104" t="str">
            <v>UT</v>
          </cell>
          <cell r="E104" t="str">
            <v>28</v>
          </cell>
        </row>
        <row r="105">
          <cell r="A105" t="str">
            <v>ANALISTA DE CONTROL FINANCIERO V</v>
          </cell>
          <cell r="B105" t="str">
            <v>25866</v>
          </cell>
          <cell r="C105" t="str">
            <v>E</v>
          </cell>
          <cell r="D105" t="str">
            <v>UT</v>
          </cell>
          <cell r="E105" t="str">
            <v>25</v>
          </cell>
        </row>
        <row r="106">
          <cell r="A106" t="str">
            <v>ANALISTA DE CREDITOS AGROPECUARIO III</v>
          </cell>
          <cell r="B106" t="str">
            <v>14218</v>
          </cell>
          <cell r="C106" t="str">
            <v>E</v>
          </cell>
          <cell r="D106" t="str">
            <v>UT</v>
          </cell>
          <cell r="E106" t="str">
            <v>22</v>
          </cell>
        </row>
        <row r="107">
          <cell r="A107" t="str">
            <v>ANALISTA DE CREDITOS AGROPECUARIOS I</v>
          </cell>
          <cell r="B107" t="str">
            <v>14211</v>
          </cell>
          <cell r="C107" t="str">
            <v>E</v>
          </cell>
          <cell r="D107" t="str">
            <v>UT</v>
          </cell>
          <cell r="E107" t="str">
            <v>19</v>
          </cell>
        </row>
        <row r="108">
          <cell r="A108" t="str">
            <v>ANALISTA DE CREDITOS AGROPECUARIOS II</v>
          </cell>
          <cell r="B108" t="str">
            <v>14212</v>
          </cell>
          <cell r="C108" t="str">
            <v>E</v>
          </cell>
          <cell r="D108" t="str">
            <v>UT</v>
          </cell>
          <cell r="E108" t="str">
            <v>21</v>
          </cell>
        </row>
        <row r="109">
          <cell r="A109" t="str">
            <v>ANALISTA DE CREDITOS AGROPECUARIOS JEFE</v>
          </cell>
          <cell r="B109" t="str">
            <v>14220</v>
          </cell>
          <cell r="C109" t="str">
            <v>E</v>
          </cell>
          <cell r="D109" t="str">
            <v>UT</v>
          </cell>
          <cell r="E109" t="str">
            <v>24</v>
          </cell>
        </row>
        <row r="110">
          <cell r="A110" t="str">
            <v>ANALISTA DE ORGANIZACION Y SISTEMAS I</v>
          </cell>
          <cell r="B110" t="str">
            <v>13221</v>
          </cell>
          <cell r="C110" t="str">
            <v>E</v>
          </cell>
          <cell r="D110" t="str">
            <v>UT</v>
          </cell>
          <cell r="E110" t="str">
            <v>15</v>
          </cell>
        </row>
        <row r="111">
          <cell r="A111" t="str">
            <v>ANALISTA DE ORGANIZACION Y SISTEMAS II</v>
          </cell>
          <cell r="B111" t="str">
            <v>13222</v>
          </cell>
          <cell r="C111" t="str">
            <v>E</v>
          </cell>
          <cell r="D111" t="str">
            <v>UT</v>
          </cell>
          <cell r="E111" t="str">
            <v>17</v>
          </cell>
        </row>
        <row r="112">
          <cell r="A112" t="str">
            <v>ANALISTA DE ORGANIZACION Y SISTEMAS III</v>
          </cell>
          <cell r="B112" t="str">
            <v>13223</v>
          </cell>
          <cell r="C112" t="str">
            <v>E</v>
          </cell>
          <cell r="D112" t="str">
            <v>UT</v>
          </cell>
          <cell r="E112" t="str">
            <v>19</v>
          </cell>
        </row>
        <row r="113">
          <cell r="A113" t="str">
            <v>ANALISTA DE ORGANIZACION Y SISTEMAS IV</v>
          </cell>
          <cell r="B113" t="str">
            <v>13224</v>
          </cell>
          <cell r="C113" t="str">
            <v>E</v>
          </cell>
          <cell r="D113" t="str">
            <v>UT</v>
          </cell>
          <cell r="E113" t="str">
            <v>21</v>
          </cell>
        </row>
        <row r="114">
          <cell r="A114" t="str">
            <v>ANALISTA DE ORGANIZACION Y SISTEMAS JEFE</v>
          </cell>
          <cell r="B114" t="str">
            <v>13230</v>
          </cell>
          <cell r="C114" t="str">
            <v>E</v>
          </cell>
          <cell r="D114" t="str">
            <v>UT</v>
          </cell>
          <cell r="E114" t="str">
            <v>23</v>
          </cell>
        </row>
        <row r="115">
          <cell r="A115" t="str">
            <v>ANALISTA DE PERSONAL I</v>
          </cell>
          <cell r="B115" t="str">
            <v>15121</v>
          </cell>
          <cell r="C115" t="str">
            <v>E</v>
          </cell>
          <cell r="D115" t="str">
            <v>UT</v>
          </cell>
          <cell r="E115" t="str">
            <v>17</v>
          </cell>
        </row>
        <row r="116">
          <cell r="A116" t="str">
            <v>ANALISTA DE PERSONAL II</v>
          </cell>
          <cell r="B116" t="str">
            <v>15122</v>
          </cell>
          <cell r="C116" t="str">
            <v>E</v>
          </cell>
          <cell r="D116" t="str">
            <v>UT</v>
          </cell>
          <cell r="E116" t="str">
            <v>19</v>
          </cell>
        </row>
        <row r="117">
          <cell r="A117" t="str">
            <v>ANALISTA DE PERSONAL III</v>
          </cell>
          <cell r="B117" t="str">
            <v>15123</v>
          </cell>
          <cell r="C117" t="str">
            <v>E</v>
          </cell>
          <cell r="D117" t="str">
            <v>UT</v>
          </cell>
          <cell r="E117" t="str">
            <v>21</v>
          </cell>
        </row>
        <row r="118">
          <cell r="A118" t="str">
            <v>ANALISTA DE PERSONAL IV</v>
          </cell>
          <cell r="B118" t="str">
            <v>15124</v>
          </cell>
          <cell r="C118" t="str">
            <v>E</v>
          </cell>
          <cell r="D118" t="str">
            <v>UT</v>
          </cell>
          <cell r="E118" t="str">
            <v>22</v>
          </cell>
        </row>
        <row r="119">
          <cell r="A119" t="str">
            <v>ANALISTA DE PERSONAL V</v>
          </cell>
          <cell r="B119" t="str">
            <v>15125</v>
          </cell>
          <cell r="C119" t="str">
            <v>E</v>
          </cell>
          <cell r="D119" t="str">
            <v>UT</v>
          </cell>
          <cell r="E119" t="str">
            <v>23</v>
          </cell>
        </row>
        <row r="120">
          <cell r="A120" t="str">
            <v>ANALISTA DE PERSONAL VI</v>
          </cell>
          <cell r="B120" t="str">
            <v>15126</v>
          </cell>
          <cell r="C120" t="str">
            <v>E</v>
          </cell>
          <cell r="D120" t="str">
            <v>UT</v>
          </cell>
          <cell r="E120" t="str">
            <v>25</v>
          </cell>
        </row>
        <row r="121">
          <cell r="A121" t="str">
            <v>ANALISTA DE PRESUPUESTO I</v>
          </cell>
          <cell r="B121" t="str">
            <v>13411</v>
          </cell>
          <cell r="C121" t="str">
            <v>E</v>
          </cell>
          <cell r="D121" t="str">
            <v>UT</v>
          </cell>
          <cell r="E121" t="str">
            <v>15</v>
          </cell>
        </row>
        <row r="122">
          <cell r="A122" t="str">
            <v>ANALISTA DE PRESUPUESTO II</v>
          </cell>
          <cell r="B122" t="str">
            <v>13412</v>
          </cell>
          <cell r="C122" t="str">
            <v>E</v>
          </cell>
          <cell r="D122" t="str">
            <v>UT</v>
          </cell>
          <cell r="E122" t="str">
            <v>17</v>
          </cell>
        </row>
        <row r="123">
          <cell r="A123" t="str">
            <v>ANALISTA DE PRESUPUESTO III</v>
          </cell>
          <cell r="B123" t="str">
            <v>13413</v>
          </cell>
          <cell r="C123" t="str">
            <v>E</v>
          </cell>
          <cell r="D123" t="str">
            <v>UT</v>
          </cell>
          <cell r="E123" t="str">
            <v>19</v>
          </cell>
        </row>
        <row r="124">
          <cell r="A124" t="str">
            <v>ANALISTA DE PRESUPUESTO IV</v>
          </cell>
          <cell r="B124" t="str">
            <v>13414</v>
          </cell>
          <cell r="C124" t="str">
            <v>E</v>
          </cell>
          <cell r="D124" t="str">
            <v>UT</v>
          </cell>
          <cell r="E124" t="str">
            <v>21</v>
          </cell>
        </row>
        <row r="125">
          <cell r="A125" t="str">
            <v>ANALISTA DE PRESUPUESTO JEFE</v>
          </cell>
          <cell r="B125" t="str">
            <v>13420</v>
          </cell>
          <cell r="C125" t="str">
            <v>E</v>
          </cell>
          <cell r="D125" t="str">
            <v>UT</v>
          </cell>
          <cell r="E125" t="str">
            <v>23</v>
          </cell>
        </row>
        <row r="126">
          <cell r="A126" t="str">
            <v>ANALISTA DE PROCESAMIENTO DE DATOS I</v>
          </cell>
          <cell r="B126" t="str">
            <v>23451</v>
          </cell>
          <cell r="C126" t="str">
            <v>E</v>
          </cell>
          <cell r="D126" t="str">
            <v>UT</v>
          </cell>
          <cell r="E126" t="str">
            <v>19</v>
          </cell>
        </row>
        <row r="127">
          <cell r="A127" t="str">
            <v>ANALISTA DE PROCESAMIENTO DE DATOS II</v>
          </cell>
          <cell r="B127" t="str">
            <v>23452</v>
          </cell>
          <cell r="C127" t="str">
            <v>E</v>
          </cell>
          <cell r="D127" t="str">
            <v>UT</v>
          </cell>
          <cell r="E127" t="str">
            <v>21</v>
          </cell>
        </row>
        <row r="128">
          <cell r="A128" t="str">
            <v>ANALISTA DE PROCESAMIENTO DE DATOS III</v>
          </cell>
          <cell r="B128" t="str">
            <v>23453</v>
          </cell>
          <cell r="C128" t="str">
            <v>E</v>
          </cell>
          <cell r="D128" t="str">
            <v>UT</v>
          </cell>
          <cell r="E128" t="str">
            <v>23</v>
          </cell>
        </row>
        <row r="129">
          <cell r="A129" t="str">
            <v>ANALISTA DE PROCESAMIENTO DE DATOS IV</v>
          </cell>
          <cell r="B129" t="str">
            <v>23454</v>
          </cell>
          <cell r="C129" t="str">
            <v>E</v>
          </cell>
          <cell r="D129" t="str">
            <v>UT</v>
          </cell>
          <cell r="E129" t="str">
            <v>24</v>
          </cell>
        </row>
        <row r="130">
          <cell r="A130" t="str">
            <v>ANALISTA DE PROCESAMIENTO DE DATOS V</v>
          </cell>
          <cell r="B130" t="str">
            <v>23455</v>
          </cell>
          <cell r="C130" t="str">
            <v>E</v>
          </cell>
          <cell r="D130" t="str">
            <v>UT</v>
          </cell>
          <cell r="E130" t="str">
            <v>25</v>
          </cell>
        </row>
        <row r="131">
          <cell r="A131" t="str">
            <v>ANALISTA DE PROYECTOS AGROPECUARIOS I</v>
          </cell>
          <cell r="B131" t="str">
            <v>14411</v>
          </cell>
          <cell r="C131" t="str">
            <v>E</v>
          </cell>
          <cell r="D131" t="str">
            <v>UT</v>
          </cell>
          <cell r="E131" t="str">
            <v>19</v>
          </cell>
        </row>
        <row r="132">
          <cell r="A132" t="str">
            <v>ANALISTA DE PROYECTOS AGROPECUARIOS II</v>
          </cell>
          <cell r="B132" t="str">
            <v>14412</v>
          </cell>
          <cell r="C132" t="str">
            <v>E</v>
          </cell>
          <cell r="D132" t="str">
            <v>UT</v>
          </cell>
          <cell r="E132" t="str">
            <v>21</v>
          </cell>
        </row>
        <row r="133">
          <cell r="A133" t="str">
            <v>ANALISTA DE PROYECTOS AGROPECUARIOS III</v>
          </cell>
          <cell r="B133" t="str">
            <v>14413</v>
          </cell>
          <cell r="C133" t="str">
            <v>E</v>
          </cell>
          <cell r="D133" t="str">
            <v>UT</v>
          </cell>
          <cell r="E133" t="str">
            <v>22</v>
          </cell>
        </row>
        <row r="134">
          <cell r="A134" t="str">
            <v>ANALISTA DE PROYECTOS INDUSTRIALES I</v>
          </cell>
          <cell r="B134" t="str">
            <v>13281</v>
          </cell>
          <cell r="C134" t="str">
            <v>E</v>
          </cell>
          <cell r="D134" t="str">
            <v>UT</v>
          </cell>
          <cell r="E134" t="str">
            <v>17</v>
          </cell>
        </row>
        <row r="135">
          <cell r="A135" t="str">
            <v>ANALISTA DE PROYECTOS INDUSTRIALES II</v>
          </cell>
          <cell r="B135" t="str">
            <v>13282</v>
          </cell>
          <cell r="C135" t="str">
            <v>E</v>
          </cell>
          <cell r="D135" t="str">
            <v>UT</v>
          </cell>
          <cell r="E135" t="str">
            <v>19</v>
          </cell>
        </row>
        <row r="136">
          <cell r="A136" t="str">
            <v>ANALISTA DE PROYECTOS INDUSTRIALES III</v>
          </cell>
          <cell r="B136" t="str">
            <v>13283</v>
          </cell>
          <cell r="C136" t="str">
            <v>E</v>
          </cell>
          <cell r="D136" t="str">
            <v>UT</v>
          </cell>
          <cell r="E136" t="str">
            <v>20</v>
          </cell>
        </row>
        <row r="137">
          <cell r="A137" t="str">
            <v>ANALISTA DE SEGURIDAD Y DEFENSA I</v>
          </cell>
          <cell r="B137" t="str">
            <v>85311</v>
          </cell>
          <cell r="C137" t="str">
            <v>E</v>
          </cell>
          <cell r="D137" t="str">
            <v>UT</v>
          </cell>
          <cell r="E137" t="str">
            <v>17</v>
          </cell>
        </row>
        <row r="138">
          <cell r="A138" t="str">
            <v>ANALISTA DE SEGURIDAD Y DEFENSA III</v>
          </cell>
          <cell r="B138" t="str">
            <v>85313</v>
          </cell>
          <cell r="C138" t="str">
            <v>E</v>
          </cell>
          <cell r="D138" t="str">
            <v>UT</v>
          </cell>
          <cell r="E138" t="str">
            <v>22</v>
          </cell>
        </row>
        <row r="139">
          <cell r="A139" t="str">
            <v>ANALISTA DE SEGURIDAD Y DEFENSA IV</v>
          </cell>
          <cell r="B139" t="str">
            <v>85314</v>
          </cell>
          <cell r="C139" t="str">
            <v>E</v>
          </cell>
          <cell r="D139" t="str">
            <v>UT</v>
          </cell>
          <cell r="E139" t="str">
            <v>24</v>
          </cell>
        </row>
        <row r="140">
          <cell r="A140" t="str">
            <v>ANALISTA DE SEGURIDAD Y DEFENSA JEFE</v>
          </cell>
          <cell r="B140" t="str">
            <v>85320</v>
          </cell>
          <cell r="C140" t="str">
            <v>E</v>
          </cell>
          <cell r="D140" t="str">
            <v>UT</v>
          </cell>
          <cell r="E140" t="str">
            <v>26</v>
          </cell>
        </row>
        <row r="141">
          <cell r="A141" t="str">
            <v>ANALISTA DE SEGURIDAD Y DENFENSA II</v>
          </cell>
          <cell r="B141" t="str">
            <v>85312</v>
          </cell>
          <cell r="C141" t="str">
            <v>E</v>
          </cell>
          <cell r="D141" t="str">
            <v>UT</v>
          </cell>
          <cell r="E141" t="str">
            <v>20</v>
          </cell>
        </row>
        <row r="142">
          <cell r="A142" t="str">
            <v>ANALISTA DE SUPERV. DE CREDITOS AGRO II</v>
          </cell>
          <cell r="B142" t="str">
            <v>14332</v>
          </cell>
          <cell r="C142" t="str">
            <v>E</v>
          </cell>
          <cell r="D142" t="str">
            <v>UT</v>
          </cell>
          <cell r="E142" t="str">
            <v>21</v>
          </cell>
        </row>
        <row r="143">
          <cell r="A143" t="str">
            <v>ANALISTA DE SUPERV. DE CREDITOS AGRO III</v>
          </cell>
          <cell r="B143" t="str">
            <v>14333</v>
          </cell>
          <cell r="C143" t="str">
            <v>E</v>
          </cell>
          <cell r="D143" t="str">
            <v>UT</v>
          </cell>
          <cell r="E143" t="str">
            <v>23</v>
          </cell>
        </row>
        <row r="144">
          <cell r="A144" t="str">
            <v>ANALISTA DE SUPERV. DE CREDITOS AGRO. I</v>
          </cell>
          <cell r="B144" t="str">
            <v>14331</v>
          </cell>
          <cell r="C144" t="str">
            <v>E</v>
          </cell>
          <cell r="D144" t="str">
            <v>UT</v>
          </cell>
          <cell r="E144" t="str">
            <v>19</v>
          </cell>
        </row>
        <row r="145">
          <cell r="A145" t="str">
            <v>ANALISTA FINANCIERO I</v>
          </cell>
          <cell r="B145" t="str">
            <v>14121</v>
          </cell>
          <cell r="C145" t="str">
            <v>E</v>
          </cell>
          <cell r="D145" t="str">
            <v>UT</v>
          </cell>
          <cell r="E145" t="str">
            <v>17</v>
          </cell>
        </row>
        <row r="146">
          <cell r="A146" t="str">
            <v>ANALISTA FINANCIERO II</v>
          </cell>
          <cell r="B146" t="str">
            <v>14122</v>
          </cell>
          <cell r="C146" t="str">
            <v>E</v>
          </cell>
          <cell r="D146" t="str">
            <v>UT</v>
          </cell>
          <cell r="E146" t="str">
            <v>19</v>
          </cell>
        </row>
        <row r="147">
          <cell r="A147" t="str">
            <v>ANALISTA FINANCIERO III</v>
          </cell>
          <cell r="B147" t="str">
            <v>14123</v>
          </cell>
          <cell r="C147" t="str">
            <v>E</v>
          </cell>
          <cell r="D147" t="str">
            <v>UT</v>
          </cell>
          <cell r="E147" t="str">
            <v>21</v>
          </cell>
        </row>
        <row r="148">
          <cell r="A148" t="str">
            <v>ANALISTA FINANCIERO IV</v>
          </cell>
          <cell r="B148" t="str">
            <v>14124</v>
          </cell>
          <cell r="C148" t="str">
            <v>E</v>
          </cell>
          <cell r="D148" t="str">
            <v>UT</v>
          </cell>
          <cell r="E148" t="str">
            <v>22</v>
          </cell>
        </row>
        <row r="149">
          <cell r="A149" t="str">
            <v>ANALISTA FINANCIERO JEFE</v>
          </cell>
          <cell r="B149" t="str">
            <v>14130</v>
          </cell>
          <cell r="C149" t="str">
            <v>E</v>
          </cell>
          <cell r="D149" t="str">
            <v>UT</v>
          </cell>
          <cell r="E149" t="str">
            <v>24</v>
          </cell>
        </row>
        <row r="150">
          <cell r="A150" t="str">
            <v>ANALISTA FINANCIERO V</v>
          </cell>
          <cell r="B150" t="str">
            <v>14125</v>
          </cell>
          <cell r="C150" t="str">
            <v>E</v>
          </cell>
          <cell r="D150" t="str">
            <v>UT</v>
          </cell>
          <cell r="E150" t="str">
            <v>23</v>
          </cell>
        </row>
        <row r="151">
          <cell r="A151" t="str">
            <v>ANALISTA OCUPACIONAL  JEFE</v>
          </cell>
          <cell r="B151" t="str">
            <v>15220</v>
          </cell>
          <cell r="C151" t="str">
            <v>E</v>
          </cell>
          <cell r="D151" t="str">
            <v>UT</v>
          </cell>
          <cell r="E151" t="str">
            <v>21</v>
          </cell>
        </row>
        <row r="152">
          <cell r="A152" t="str">
            <v>ANALISTA OCUPACIONAL I</v>
          </cell>
          <cell r="B152" t="str">
            <v>15211</v>
          </cell>
          <cell r="C152" t="str">
            <v>E</v>
          </cell>
          <cell r="D152" t="str">
            <v>UT</v>
          </cell>
          <cell r="E152" t="str">
            <v>17</v>
          </cell>
        </row>
        <row r="153">
          <cell r="A153" t="str">
            <v>ANALISTA OCUPACIONAL II</v>
          </cell>
          <cell r="B153" t="str">
            <v>15212</v>
          </cell>
          <cell r="C153" t="str">
            <v>E</v>
          </cell>
          <cell r="D153" t="str">
            <v>UT</v>
          </cell>
          <cell r="E153" t="str">
            <v>19</v>
          </cell>
        </row>
        <row r="154">
          <cell r="A154" t="str">
            <v>ANTROPOLOGO I</v>
          </cell>
          <cell r="B154" t="str">
            <v>36451</v>
          </cell>
          <cell r="C154" t="str">
            <v>E</v>
          </cell>
          <cell r="D154" t="str">
            <v>UT</v>
          </cell>
          <cell r="E154" t="str">
            <v>17</v>
          </cell>
        </row>
        <row r="155">
          <cell r="A155" t="str">
            <v>ANTROPOLOGO II</v>
          </cell>
          <cell r="B155" t="str">
            <v>36452</v>
          </cell>
          <cell r="C155" t="str">
            <v>E</v>
          </cell>
          <cell r="D155" t="str">
            <v>UT</v>
          </cell>
          <cell r="E155" t="str">
            <v>19</v>
          </cell>
        </row>
        <row r="156">
          <cell r="A156" t="str">
            <v>ANTROPOLOGO III</v>
          </cell>
          <cell r="B156" t="str">
            <v>36453</v>
          </cell>
          <cell r="C156" t="str">
            <v>E</v>
          </cell>
          <cell r="D156" t="str">
            <v>UT</v>
          </cell>
          <cell r="E156" t="str">
            <v>21</v>
          </cell>
        </row>
        <row r="157">
          <cell r="A157" t="str">
            <v>ARCHIVISTA I</v>
          </cell>
          <cell r="B157" t="str">
            <v>22121</v>
          </cell>
          <cell r="C157" t="str">
            <v>E</v>
          </cell>
          <cell r="D157" t="str">
            <v>AD</v>
          </cell>
          <cell r="E157" t="str">
            <v>01</v>
          </cell>
        </row>
        <row r="158">
          <cell r="A158" t="str">
            <v>ARCHIVISTA II</v>
          </cell>
          <cell r="B158" t="str">
            <v>22122</v>
          </cell>
          <cell r="C158" t="str">
            <v>E</v>
          </cell>
          <cell r="D158" t="str">
            <v>AD</v>
          </cell>
          <cell r="E158" t="str">
            <v>03</v>
          </cell>
        </row>
        <row r="159">
          <cell r="A159" t="str">
            <v>ARCHIVISTA III</v>
          </cell>
          <cell r="B159" t="str">
            <v>22123</v>
          </cell>
          <cell r="C159" t="str">
            <v>E</v>
          </cell>
          <cell r="D159" t="str">
            <v>AD</v>
          </cell>
          <cell r="E159" t="str">
            <v>05</v>
          </cell>
        </row>
        <row r="160">
          <cell r="A160" t="str">
            <v>ARCHIVOLOGO I</v>
          </cell>
          <cell r="B160" t="str">
            <v>22131</v>
          </cell>
          <cell r="C160" t="str">
            <v>E</v>
          </cell>
          <cell r="D160" t="str">
            <v>UT</v>
          </cell>
          <cell r="E160" t="str">
            <v>17</v>
          </cell>
        </row>
        <row r="161">
          <cell r="A161" t="str">
            <v>ARCHIVOLOGO II</v>
          </cell>
          <cell r="B161" t="str">
            <v>22132</v>
          </cell>
          <cell r="C161" t="str">
            <v>E</v>
          </cell>
          <cell r="D161" t="str">
            <v>UT</v>
          </cell>
          <cell r="E161" t="str">
            <v>19</v>
          </cell>
        </row>
        <row r="162">
          <cell r="A162" t="str">
            <v>ARCHIVOLOGO III</v>
          </cell>
          <cell r="B162" t="str">
            <v>22133</v>
          </cell>
          <cell r="C162" t="str">
            <v>E</v>
          </cell>
          <cell r="D162" t="str">
            <v>UT</v>
          </cell>
          <cell r="E162" t="str">
            <v>21</v>
          </cell>
        </row>
        <row r="163">
          <cell r="A163" t="str">
            <v>ARCHIVOLOGO IV</v>
          </cell>
          <cell r="B163" t="str">
            <v>22134</v>
          </cell>
          <cell r="C163" t="str">
            <v>E</v>
          </cell>
          <cell r="D163" t="str">
            <v>UT</v>
          </cell>
          <cell r="E163" t="str">
            <v>23</v>
          </cell>
        </row>
        <row r="164">
          <cell r="A164" t="str">
            <v>ARMONICA</v>
          </cell>
          <cell r="B164" t="str">
            <v>02082</v>
          </cell>
          <cell r="C164" t="str">
            <v>E</v>
          </cell>
          <cell r="D164" t="str">
            <v>DO</v>
          </cell>
          <cell r="E164" t="str">
            <v/>
          </cell>
        </row>
        <row r="165">
          <cell r="A165" t="str">
            <v>ARQUITECTO I</v>
          </cell>
          <cell r="B165" t="str">
            <v>43531</v>
          </cell>
          <cell r="C165" t="str">
            <v>E</v>
          </cell>
          <cell r="D165" t="str">
            <v>UT</v>
          </cell>
          <cell r="E165" t="str">
            <v>18</v>
          </cell>
        </row>
        <row r="166">
          <cell r="A166" t="str">
            <v>ARQUITECTO II</v>
          </cell>
          <cell r="B166" t="str">
            <v>43532</v>
          </cell>
          <cell r="C166" t="str">
            <v>E</v>
          </cell>
          <cell r="D166" t="str">
            <v>UT</v>
          </cell>
          <cell r="E166" t="str">
            <v>19</v>
          </cell>
        </row>
        <row r="167">
          <cell r="A167" t="str">
            <v>ARQUITECTO III</v>
          </cell>
          <cell r="B167" t="str">
            <v>43533</v>
          </cell>
          <cell r="C167" t="str">
            <v>E</v>
          </cell>
          <cell r="D167" t="str">
            <v>UT</v>
          </cell>
          <cell r="E167" t="str">
            <v>21</v>
          </cell>
        </row>
        <row r="168">
          <cell r="A168" t="str">
            <v>ARQUITECTO JEFE I</v>
          </cell>
          <cell r="B168" t="str">
            <v>43541</v>
          </cell>
          <cell r="C168" t="str">
            <v>E</v>
          </cell>
          <cell r="D168" t="str">
            <v>UT</v>
          </cell>
          <cell r="E168" t="str">
            <v>22</v>
          </cell>
        </row>
        <row r="169">
          <cell r="A169" t="str">
            <v>ARQUITECTO JEFE II</v>
          </cell>
          <cell r="B169" t="str">
            <v>43542</v>
          </cell>
          <cell r="C169" t="str">
            <v>E</v>
          </cell>
          <cell r="D169" t="str">
            <v>UT</v>
          </cell>
          <cell r="E169" t="str">
            <v>24</v>
          </cell>
        </row>
        <row r="170">
          <cell r="A170" t="str">
            <v>ARQUITECTO PAISAJISTA I</v>
          </cell>
          <cell r="B170" t="str">
            <v>43551</v>
          </cell>
          <cell r="C170" t="str">
            <v>E</v>
          </cell>
          <cell r="D170" t="str">
            <v>UT</v>
          </cell>
          <cell r="E170" t="str">
            <v>18</v>
          </cell>
        </row>
        <row r="171">
          <cell r="A171" t="str">
            <v>ARQUITECTO PAISAJISTA II</v>
          </cell>
          <cell r="B171" t="str">
            <v>43552</v>
          </cell>
          <cell r="C171" t="str">
            <v>E</v>
          </cell>
          <cell r="D171" t="str">
            <v>UT</v>
          </cell>
          <cell r="E171" t="str">
            <v>19</v>
          </cell>
        </row>
        <row r="172">
          <cell r="A172" t="str">
            <v>ARQUITECTO PAISAJISTA III</v>
          </cell>
          <cell r="B172" t="str">
            <v>43553</v>
          </cell>
          <cell r="C172" t="str">
            <v>E</v>
          </cell>
          <cell r="D172" t="str">
            <v>UT</v>
          </cell>
          <cell r="E172" t="str">
            <v>21</v>
          </cell>
        </row>
        <row r="173">
          <cell r="A173" t="str">
            <v>ARQUITECTO PAISAJISTA JEFE I</v>
          </cell>
          <cell r="B173" t="str">
            <v>43561</v>
          </cell>
          <cell r="C173" t="str">
            <v>E</v>
          </cell>
          <cell r="D173" t="str">
            <v>UT</v>
          </cell>
          <cell r="E173" t="str">
            <v>22</v>
          </cell>
        </row>
        <row r="174">
          <cell r="A174" t="str">
            <v>ARQUITECTO PAISAJISTA JEFE II</v>
          </cell>
          <cell r="B174" t="str">
            <v>43562</v>
          </cell>
          <cell r="C174" t="str">
            <v>E</v>
          </cell>
          <cell r="D174" t="str">
            <v>UT</v>
          </cell>
          <cell r="E174" t="str">
            <v>24</v>
          </cell>
        </row>
        <row r="175">
          <cell r="A175" t="str">
            <v>ASIS. COORD. RED. B. IV 139</v>
          </cell>
          <cell r="B175" t="str">
            <v>01146</v>
          </cell>
          <cell r="C175" t="str">
            <v>E</v>
          </cell>
          <cell r="D175" t="str">
            <v>DO</v>
          </cell>
          <cell r="E175" t="str">
            <v/>
          </cell>
        </row>
        <row r="176">
          <cell r="A176" t="str">
            <v>ASIST. BIBLIOTECA III</v>
          </cell>
          <cell r="B176" t="str">
            <v>00033</v>
          </cell>
          <cell r="C176" t="str">
            <v>E</v>
          </cell>
          <cell r="D176" t="str">
            <v>DO</v>
          </cell>
          <cell r="E176" t="str">
            <v/>
          </cell>
        </row>
        <row r="177">
          <cell r="A177" t="str">
            <v>ASIST. BIBLIOTECA TCVN</v>
          </cell>
          <cell r="B177" t="str">
            <v>00034</v>
          </cell>
          <cell r="C177" t="str">
            <v>E</v>
          </cell>
          <cell r="D177" t="str">
            <v>DO</v>
          </cell>
          <cell r="E177" t="str">
            <v/>
          </cell>
        </row>
        <row r="178">
          <cell r="A178" t="str">
            <v>ASIST. DE TALLER II</v>
          </cell>
          <cell r="B178" t="str">
            <v>02042</v>
          </cell>
          <cell r="C178" t="str">
            <v>E</v>
          </cell>
          <cell r="D178" t="str">
            <v>DO</v>
          </cell>
          <cell r="E178" t="str">
            <v/>
          </cell>
        </row>
        <row r="179">
          <cell r="A179" t="str">
            <v>ASIST. DE TALLER III N.G.</v>
          </cell>
          <cell r="B179" t="str">
            <v>01130</v>
          </cell>
          <cell r="C179" t="str">
            <v>E</v>
          </cell>
          <cell r="D179" t="str">
            <v>DO</v>
          </cell>
          <cell r="E179" t="str">
            <v/>
          </cell>
        </row>
        <row r="180">
          <cell r="A180" t="str">
            <v>ASIST.COORD.RED.B. IV 77</v>
          </cell>
          <cell r="B180" t="str">
            <v>02045</v>
          </cell>
          <cell r="C180" t="str">
            <v>E</v>
          </cell>
          <cell r="D180" t="str">
            <v>DO</v>
          </cell>
          <cell r="E180" t="str">
            <v/>
          </cell>
        </row>
        <row r="181">
          <cell r="A181" t="str">
            <v>ASISTENTE  PABELLON DE FERIAS</v>
          </cell>
          <cell r="B181" t="str">
            <v>36760</v>
          </cell>
          <cell r="C181" t="str">
            <v>E</v>
          </cell>
          <cell r="D181" t="str">
            <v>UT</v>
          </cell>
          <cell r="E181" t="str">
            <v>16</v>
          </cell>
        </row>
        <row r="182">
          <cell r="A182" t="str">
            <v>ASISTENTE A LA SECRETARIA PRIVADA</v>
          </cell>
          <cell r="B182" t="str">
            <v>00918</v>
          </cell>
          <cell r="C182" t="str">
            <v>E</v>
          </cell>
          <cell r="D182" t="str">
            <v>DI</v>
          </cell>
          <cell r="E182" t="str">
            <v>99</v>
          </cell>
        </row>
        <row r="183">
          <cell r="A183" t="str">
            <v>ASISTENTE ADMINISTRATIVO I</v>
          </cell>
          <cell r="B183" t="str">
            <v>12111</v>
          </cell>
          <cell r="C183" t="str">
            <v>E</v>
          </cell>
          <cell r="D183" t="str">
            <v>AD</v>
          </cell>
          <cell r="E183" t="str">
            <v>01</v>
          </cell>
        </row>
        <row r="184">
          <cell r="A184" t="str">
            <v>ASISTENTE ADMINISTRATIVO II</v>
          </cell>
          <cell r="B184" t="str">
            <v>12112</v>
          </cell>
          <cell r="C184" t="str">
            <v>E</v>
          </cell>
          <cell r="D184" t="str">
            <v>AD</v>
          </cell>
          <cell r="E184" t="str">
            <v>03</v>
          </cell>
        </row>
        <row r="185">
          <cell r="A185" t="str">
            <v>ASISTENTE ADMINISTRATIVO III</v>
          </cell>
          <cell r="B185" t="str">
            <v>12113</v>
          </cell>
          <cell r="C185" t="str">
            <v>E</v>
          </cell>
          <cell r="D185" t="str">
            <v>UT</v>
          </cell>
          <cell r="E185" t="str">
            <v>15</v>
          </cell>
        </row>
        <row r="186">
          <cell r="A186" t="str">
            <v>ASISTENTE ADMINISTRATIVO IV</v>
          </cell>
          <cell r="B186" t="str">
            <v>12114</v>
          </cell>
          <cell r="C186" t="str">
            <v>E</v>
          </cell>
          <cell r="D186" t="str">
            <v>UT</v>
          </cell>
          <cell r="E186" t="str">
            <v>17</v>
          </cell>
        </row>
        <row r="187">
          <cell r="A187" t="str">
            <v>ASISTENTE ADMINISTRATIVO V</v>
          </cell>
          <cell r="B187" t="str">
            <v>12115</v>
          </cell>
          <cell r="C187" t="str">
            <v>E</v>
          </cell>
          <cell r="D187" t="str">
            <v>UT</v>
          </cell>
          <cell r="E187" t="str">
            <v>19</v>
          </cell>
        </row>
        <row r="188">
          <cell r="A188" t="str">
            <v>ASISTENTE ADMINISTRATIVO VI</v>
          </cell>
          <cell r="B188" t="str">
            <v>12116</v>
          </cell>
          <cell r="C188" t="str">
            <v>E</v>
          </cell>
          <cell r="D188" t="str">
            <v>UT</v>
          </cell>
          <cell r="E188" t="str">
            <v>20</v>
          </cell>
        </row>
        <row r="189">
          <cell r="A189" t="str">
            <v>ASISTENTE AEROPUERTO I</v>
          </cell>
          <cell r="B189" t="str">
            <v>51321</v>
          </cell>
          <cell r="C189" t="str">
            <v>E</v>
          </cell>
          <cell r="D189" t="str">
            <v>AD</v>
          </cell>
          <cell r="E189" t="str">
            <v>01</v>
          </cell>
        </row>
        <row r="190">
          <cell r="A190" t="str">
            <v>ASISTENTE AEROPUERTO II</v>
          </cell>
          <cell r="B190" t="str">
            <v>51322</v>
          </cell>
          <cell r="C190" t="str">
            <v>E</v>
          </cell>
          <cell r="D190" t="str">
            <v>AD</v>
          </cell>
          <cell r="E190" t="str">
            <v>02</v>
          </cell>
        </row>
        <row r="191">
          <cell r="A191" t="str">
            <v>ASISTENTE AEROPUERTO III</v>
          </cell>
          <cell r="B191" t="str">
            <v>51323</v>
          </cell>
          <cell r="C191" t="str">
            <v>E</v>
          </cell>
          <cell r="D191" t="str">
            <v>UT</v>
          </cell>
          <cell r="E191" t="str">
            <v>15</v>
          </cell>
        </row>
        <row r="192">
          <cell r="A192" t="str">
            <v>ASISTENTE AGROPECUARIO I</v>
          </cell>
          <cell r="B192" t="str">
            <v>41131</v>
          </cell>
          <cell r="C192" t="str">
            <v>E</v>
          </cell>
          <cell r="D192" t="str">
            <v>AD</v>
          </cell>
          <cell r="E192" t="str">
            <v>01</v>
          </cell>
        </row>
        <row r="193">
          <cell r="A193" t="str">
            <v>ASISTENTE AGROPECUARIO II</v>
          </cell>
          <cell r="B193" t="str">
            <v>41132</v>
          </cell>
          <cell r="C193" t="str">
            <v>E</v>
          </cell>
          <cell r="D193" t="str">
            <v>AD</v>
          </cell>
          <cell r="E193" t="str">
            <v>03</v>
          </cell>
        </row>
        <row r="194">
          <cell r="A194" t="str">
            <v>ASISTENTE AL COORDINADOR</v>
          </cell>
          <cell r="B194" t="str">
            <v>00921</v>
          </cell>
          <cell r="C194" t="str">
            <v>E</v>
          </cell>
          <cell r="D194" t="str">
            <v>DI</v>
          </cell>
          <cell r="E194" t="str">
            <v>99</v>
          </cell>
        </row>
        <row r="195">
          <cell r="A195" t="str">
            <v>ASISTENTE AL DIRECTOR</v>
          </cell>
          <cell r="B195" t="str">
            <v>00926</v>
          </cell>
          <cell r="C195" t="str">
            <v>E</v>
          </cell>
          <cell r="D195" t="str">
            <v>DI</v>
          </cell>
          <cell r="E195" t="str">
            <v>99</v>
          </cell>
        </row>
        <row r="196">
          <cell r="A196" t="str">
            <v>ASISTENTE AL JEFE CAPITANIA DE PUERTOS</v>
          </cell>
          <cell r="B196" t="str">
            <v>52290</v>
          </cell>
          <cell r="C196" t="str">
            <v>E</v>
          </cell>
          <cell r="D196" t="str">
            <v>UT</v>
          </cell>
          <cell r="E196" t="str">
            <v>22</v>
          </cell>
        </row>
        <row r="197">
          <cell r="A197" t="str">
            <v>ASISTENTE AL PRESIDENTE</v>
          </cell>
          <cell r="B197" t="str">
            <v>90103</v>
          </cell>
          <cell r="C197" t="str">
            <v>E</v>
          </cell>
          <cell r="D197" t="str">
            <v>DI</v>
          </cell>
          <cell r="E197" t="str">
            <v>99</v>
          </cell>
        </row>
        <row r="198">
          <cell r="A198" t="str">
            <v>ASISTENTE AL SECRETARIO</v>
          </cell>
          <cell r="B198" t="str">
            <v>00909</v>
          </cell>
          <cell r="C198" t="str">
            <v>E</v>
          </cell>
          <cell r="D198" t="str">
            <v>DI</v>
          </cell>
          <cell r="E198" t="str">
            <v>99</v>
          </cell>
        </row>
        <row r="199">
          <cell r="A199" t="str">
            <v>ASISTENTE ANALISTA FINANCIERO I</v>
          </cell>
          <cell r="B199" t="str">
            <v>14111</v>
          </cell>
          <cell r="C199" t="str">
            <v>E</v>
          </cell>
          <cell r="D199" t="str">
            <v>AD</v>
          </cell>
          <cell r="E199" t="str">
            <v>01</v>
          </cell>
        </row>
        <row r="200">
          <cell r="A200" t="str">
            <v>ASISTENTE ANALISTA FINANCIERO II</v>
          </cell>
          <cell r="B200" t="str">
            <v>14112</v>
          </cell>
          <cell r="C200" t="str">
            <v>E</v>
          </cell>
          <cell r="D200" t="str">
            <v>UT</v>
          </cell>
          <cell r="E200" t="str">
            <v>15</v>
          </cell>
        </row>
        <row r="201">
          <cell r="A201" t="str">
            <v>ASISTENTE ASUNTOS LITERARIOS</v>
          </cell>
          <cell r="B201" t="str">
            <v>31420</v>
          </cell>
          <cell r="C201" t="str">
            <v>E</v>
          </cell>
          <cell r="D201" t="str">
            <v>AD</v>
          </cell>
          <cell r="E201" t="str">
            <v>04</v>
          </cell>
        </row>
        <row r="202">
          <cell r="A202" t="str">
            <v>ASISTENTE AUXILIAR DE HIDROMETERIOLOGIA</v>
          </cell>
          <cell r="B202" t="str">
            <v>43610</v>
          </cell>
          <cell r="C202" t="str">
            <v>E</v>
          </cell>
          <cell r="D202" t="str">
            <v>AD</v>
          </cell>
          <cell r="E202" t="str">
            <v>01</v>
          </cell>
        </row>
        <row r="203">
          <cell r="A203" t="str">
            <v>ASISTENTE AUXILIAR DE SERVICIO SOCIAL</v>
          </cell>
          <cell r="B203" t="str">
            <v>79320</v>
          </cell>
          <cell r="C203" t="str">
            <v>E</v>
          </cell>
          <cell r="D203" t="str">
            <v>AD</v>
          </cell>
          <cell r="E203" t="str">
            <v>01</v>
          </cell>
        </row>
        <row r="204">
          <cell r="A204" t="str">
            <v>ASISTENTE CENTRAL DE ORGAN. Y SISTEMAS</v>
          </cell>
          <cell r="B204" t="str">
            <v>13240</v>
          </cell>
          <cell r="C204" t="str">
            <v>E</v>
          </cell>
          <cell r="D204" t="str">
            <v>AD</v>
          </cell>
          <cell r="E204" t="str">
            <v>05</v>
          </cell>
        </row>
        <row r="205">
          <cell r="A205" t="str">
            <v>ASISTENTE DE ANALISTA I</v>
          </cell>
          <cell r="B205" t="str">
            <v>13311</v>
          </cell>
          <cell r="C205" t="str">
            <v>E</v>
          </cell>
          <cell r="D205" t="str">
            <v>AD</v>
          </cell>
          <cell r="E205" t="str">
            <v>01</v>
          </cell>
        </row>
        <row r="206">
          <cell r="A206" t="str">
            <v>ASISTENTE DE ANALISTA II</v>
          </cell>
          <cell r="B206" t="str">
            <v>13312</v>
          </cell>
          <cell r="C206" t="str">
            <v>E</v>
          </cell>
          <cell r="D206" t="str">
            <v>AD</v>
          </cell>
          <cell r="E206" t="str">
            <v>03</v>
          </cell>
        </row>
        <row r="207">
          <cell r="A207" t="str">
            <v>ASISTENTE DE ANALISTA III</v>
          </cell>
          <cell r="B207" t="str">
            <v>13313</v>
          </cell>
          <cell r="C207" t="str">
            <v>E</v>
          </cell>
          <cell r="D207" t="str">
            <v>UT</v>
          </cell>
          <cell r="E207" t="str">
            <v>15</v>
          </cell>
        </row>
        <row r="208">
          <cell r="A208" t="str">
            <v>ASISTENTE DE ASUNTOS CINEMATOGRAFICOS</v>
          </cell>
          <cell r="B208" t="str">
            <v>32410</v>
          </cell>
          <cell r="C208" t="str">
            <v>E</v>
          </cell>
          <cell r="D208" t="str">
            <v>AD</v>
          </cell>
          <cell r="E208" t="str">
            <v>02</v>
          </cell>
        </row>
        <row r="209">
          <cell r="A209" t="str">
            <v>ASISTENTE DE ASUNTOS LEGALES I</v>
          </cell>
          <cell r="B209" t="str">
            <v>35111</v>
          </cell>
          <cell r="C209" t="str">
            <v>E</v>
          </cell>
          <cell r="D209" t="str">
            <v>AD</v>
          </cell>
          <cell r="E209" t="str">
            <v>03</v>
          </cell>
        </row>
        <row r="210">
          <cell r="A210" t="str">
            <v>ASISTENTE DE ASUNTOS LEGALES II</v>
          </cell>
          <cell r="B210" t="str">
            <v>35112</v>
          </cell>
          <cell r="C210" t="str">
            <v>E</v>
          </cell>
          <cell r="D210" t="str">
            <v>AD</v>
          </cell>
          <cell r="E210" t="str">
            <v>05</v>
          </cell>
        </row>
        <row r="211">
          <cell r="A211" t="str">
            <v>ASISTENTE DE BIBLIOTECA I</v>
          </cell>
          <cell r="B211" t="str">
            <v>36621</v>
          </cell>
          <cell r="C211" t="str">
            <v>E</v>
          </cell>
          <cell r="D211" t="str">
            <v>AD</v>
          </cell>
          <cell r="E211" t="str">
            <v>01</v>
          </cell>
        </row>
        <row r="212">
          <cell r="A212" t="str">
            <v>ASISTENTE DE BIBLIOTECA II</v>
          </cell>
          <cell r="B212" t="str">
            <v>36622</v>
          </cell>
          <cell r="C212" t="str">
            <v>E</v>
          </cell>
          <cell r="D212" t="str">
            <v>AD</v>
          </cell>
          <cell r="E212" t="str">
            <v>02</v>
          </cell>
        </row>
        <row r="213">
          <cell r="A213" t="str">
            <v>ASISTENTE DE BIBLIOTECA III</v>
          </cell>
          <cell r="B213" t="str">
            <v>36623</v>
          </cell>
          <cell r="C213" t="str">
            <v>E</v>
          </cell>
          <cell r="D213" t="str">
            <v>UT</v>
          </cell>
          <cell r="E213" t="str">
            <v>15</v>
          </cell>
        </row>
        <row r="214">
          <cell r="A214" t="str">
            <v>ASISTENTE DE BIOLOGIA I</v>
          </cell>
          <cell r="B214" t="str">
            <v>42511</v>
          </cell>
          <cell r="C214" t="str">
            <v>E</v>
          </cell>
          <cell r="D214" t="str">
            <v>AD</v>
          </cell>
          <cell r="E214" t="str">
            <v>01</v>
          </cell>
        </row>
        <row r="215">
          <cell r="A215" t="str">
            <v>ASISTENTE DE BIOLOGIA II</v>
          </cell>
          <cell r="B215" t="str">
            <v>42512</v>
          </cell>
          <cell r="C215" t="str">
            <v>E</v>
          </cell>
          <cell r="D215" t="str">
            <v>AD</v>
          </cell>
          <cell r="E215" t="str">
            <v>04</v>
          </cell>
        </row>
        <row r="216">
          <cell r="A216" t="str">
            <v>ASISTENTE DE CAPITAN DE PUERTO I</v>
          </cell>
          <cell r="B216" t="str">
            <v>52271</v>
          </cell>
          <cell r="C216" t="str">
            <v>E</v>
          </cell>
          <cell r="D216" t="str">
            <v>UT</v>
          </cell>
          <cell r="E216" t="str">
            <v>18</v>
          </cell>
        </row>
        <row r="217">
          <cell r="A217" t="str">
            <v>ASISTENTE DE CAPITAN DE PUERTO II</v>
          </cell>
          <cell r="B217" t="str">
            <v>52272</v>
          </cell>
          <cell r="C217" t="str">
            <v>E</v>
          </cell>
          <cell r="D217" t="str">
            <v>UT</v>
          </cell>
          <cell r="E217" t="str">
            <v>19</v>
          </cell>
        </row>
        <row r="218">
          <cell r="A218" t="str">
            <v>ASISTENTE DE COMUNICACION SOCIAL I</v>
          </cell>
          <cell r="B218" t="str">
            <v>31311</v>
          </cell>
          <cell r="C218" t="str">
            <v>E</v>
          </cell>
          <cell r="D218" t="str">
            <v>AD</v>
          </cell>
          <cell r="E218" t="str">
            <v>02</v>
          </cell>
        </row>
        <row r="219">
          <cell r="A219" t="str">
            <v>ASISTENTE DE COMUNICACION SOCIAL II</v>
          </cell>
          <cell r="B219" t="str">
            <v>31312</v>
          </cell>
          <cell r="C219" t="str">
            <v>E</v>
          </cell>
          <cell r="D219" t="str">
            <v>AD</v>
          </cell>
          <cell r="E219" t="str">
            <v>04</v>
          </cell>
        </row>
        <row r="220">
          <cell r="A220" t="str">
            <v>ASISTENTE DE CONTROL FINANCIERO</v>
          </cell>
          <cell r="B220" t="str">
            <v>25850</v>
          </cell>
          <cell r="C220" t="str">
            <v>E</v>
          </cell>
          <cell r="D220" t="str">
            <v>AD</v>
          </cell>
          <cell r="E220" t="str">
            <v>05</v>
          </cell>
        </row>
        <row r="221">
          <cell r="A221" t="str">
            <v>ASISTENTE DE DIETETICA</v>
          </cell>
          <cell r="B221" t="str">
            <v>77110</v>
          </cell>
          <cell r="C221" t="str">
            <v>E</v>
          </cell>
          <cell r="D221" t="str">
            <v>AD</v>
          </cell>
          <cell r="E221" t="str">
            <v>01</v>
          </cell>
        </row>
        <row r="222">
          <cell r="A222" t="str">
            <v>ASISTENTE DE ECONOMIA I</v>
          </cell>
          <cell r="B222" t="str">
            <v>36211</v>
          </cell>
          <cell r="C222" t="str">
            <v>E</v>
          </cell>
          <cell r="D222" t="str">
            <v>AD</v>
          </cell>
          <cell r="E222" t="str">
            <v>01</v>
          </cell>
        </row>
        <row r="223">
          <cell r="A223" t="str">
            <v>ASISTENTE DE ECONOMIA II</v>
          </cell>
          <cell r="B223" t="str">
            <v>36212</v>
          </cell>
          <cell r="C223" t="str">
            <v>E</v>
          </cell>
          <cell r="D223" t="str">
            <v>AD</v>
          </cell>
          <cell r="E223" t="str">
            <v>03</v>
          </cell>
        </row>
        <row r="224">
          <cell r="A224" t="str">
            <v>ASISTENTE DE ESCENOGRAFIA</v>
          </cell>
          <cell r="B224" t="str">
            <v>32120</v>
          </cell>
          <cell r="C224" t="str">
            <v>E</v>
          </cell>
          <cell r="D224" t="str">
            <v>AD</v>
          </cell>
          <cell r="E224" t="str">
            <v>01</v>
          </cell>
        </row>
        <row r="225">
          <cell r="A225" t="str">
            <v>ASISTENTE DE ESTADISTICA I</v>
          </cell>
          <cell r="B225" t="str">
            <v>36121</v>
          </cell>
          <cell r="C225" t="str">
            <v>E</v>
          </cell>
          <cell r="D225" t="str">
            <v>AD</v>
          </cell>
          <cell r="E225" t="str">
            <v>01</v>
          </cell>
        </row>
        <row r="226">
          <cell r="A226" t="str">
            <v>ASISTENTE DE ESTADISTICA II</v>
          </cell>
          <cell r="B226" t="str">
            <v>36122</v>
          </cell>
          <cell r="C226" t="str">
            <v>E</v>
          </cell>
          <cell r="D226" t="str">
            <v>AD</v>
          </cell>
          <cell r="E226" t="str">
            <v>02</v>
          </cell>
        </row>
        <row r="227">
          <cell r="A227" t="str">
            <v>ASISTENTE DE ESTADISTICA III</v>
          </cell>
          <cell r="B227" t="str">
            <v>36123</v>
          </cell>
          <cell r="C227" t="str">
            <v>E</v>
          </cell>
          <cell r="D227" t="str">
            <v>UT</v>
          </cell>
          <cell r="E227" t="str">
            <v>15</v>
          </cell>
        </row>
        <row r="228">
          <cell r="A228" t="str">
            <v>ASISTENTE DE ESTIMADOR DE ASTILLEROS I</v>
          </cell>
          <cell r="B228" t="str">
            <v>46931</v>
          </cell>
          <cell r="C228" t="str">
            <v>E</v>
          </cell>
          <cell r="D228" t="str">
            <v>AD</v>
          </cell>
          <cell r="E228" t="str">
            <v>02</v>
          </cell>
        </row>
        <row r="229">
          <cell r="A229" t="str">
            <v>ASISTENTE DE ESTIMADOR DE ASTILLEROS II</v>
          </cell>
          <cell r="B229" t="str">
            <v>46932</v>
          </cell>
          <cell r="C229" t="str">
            <v>E</v>
          </cell>
          <cell r="D229" t="str">
            <v>UT</v>
          </cell>
          <cell r="E229" t="str">
            <v>15</v>
          </cell>
        </row>
        <row r="230">
          <cell r="A230" t="str">
            <v>ASISTENTE DE FARMACIA I</v>
          </cell>
          <cell r="B230" t="str">
            <v>74121</v>
          </cell>
          <cell r="C230" t="str">
            <v>E</v>
          </cell>
          <cell r="D230" t="str">
            <v>AD</v>
          </cell>
          <cell r="E230" t="str">
            <v>01</v>
          </cell>
        </row>
        <row r="231">
          <cell r="A231" t="str">
            <v>ASISTENTE DE FARMACIA II</v>
          </cell>
          <cell r="B231" t="str">
            <v>74122</v>
          </cell>
          <cell r="C231" t="str">
            <v>E</v>
          </cell>
          <cell r="D231" t="str">
            <v>AD</v>
          </cell>
          <cell r="E231" t="str">
            <v>03</v>
          </cell>
        </row>
        <row r="232">
          <cell r="A232" t="str">
            <v>ASISTENTE DE GUARDAFAUNA I</v>
          </cell>
          <cell r="B232" t="str">
            <v>42611</v>
          </cell>
          <cell r="C232" t="str">
            <v>E</v>
          </cell>
          <cell r="D232" t="str">
            <v>AD</v>
          </cell>
          <cell r="E232" t="str">
            <v>02</v>
          </cell>
        </row>
        <row r="233">
          <cell r="A233" t="str">
            <v>ASISTENTE DE GUARDAFAUNA II</v>
          </cell>
          <cell r="B233" t="str">
            <v>42612</v>
          </cell>
          <cell r="C233" t="str">
            <v>E</v>
          </cell>
          <cell r="D233" t="str">
            <v>AD</v>
          </cell>
          <cell r="E233" t="str">
            <v>04</v>
          </cell>
        </row>
        <row r="234">
          <cell r="A234" t="str">
            <v>ASISTENTE DE HIDROMETEREOLOGIA I</v>
          </cell>
          <cell r="B234" t="str">
            <v>43621</v>
          </cell>
          <cell r="C234" t="str">
            <v>E</v>
          </cell>
          <cell r="D234" t="str">
            <v>AD</v>
          </cell>
          <cell r="E234" t="str">
            <v>03</v>
          </cell>
        </row>
        <row r="235">
          <cell r="A235" t="str">
            <v>ASISTENTE DE HIDROMETERIOLOGIA II</v>
          </cell>
          <cell r="B235" t="str">
            <v>43622</v>
          </cell>
          <cell r="C235" t="str">
            <v>E</v>
          </cell>
          <cell r="D235" t="str">
            <v>AD</v>
          </cell>
          <cell r="E235" t="str">
            <v>05</v>
          </cell>
        </row>
        <row r="236">
          <cell r="A236" t="str">
            <v>ASISTENTE DE HIDROMETERIOLOGIA III</v>
          </cell>
          <cell r="B236" t="str">
            <v>43623</v>
          </cell>
          <cell r="C236" t="str">
            <v>E</v>
          </cell>
          <cell r="D236" t="str">
            <v>AD</v>
          </cell>
          <cell r="E236" t="str">
            <v>07</v>
          </cell>
        </row>
        <row r="237">
          <cell r="A237" t="str">
            <v>ASISTENTE DE IDENTIFICACION</v>
          </cell>
          <cell r="B237" t="str">
            <v>86110</v>
          </cell>
          <cell r="C237" t="str">
            <v>E</v>
          </cell>
          <cell r="D237" t="str">
            <v>AD</v>
          </cell>
          <cell r="E237" t="str">
            <v>01</v>
          </cell>
        </row>
        <row r="238">
          <cell r="A238" t="str">
            <v>ASISTENTE DE INGENIERIA</v>
          </cell>
          <cell r="B238" t="str">
            <v>43480</v>
          </cell>
          <cell r="C238" t="str">
            <v>E</v>
          </cell>
          <cell r="D238" t="str">
            <v>AD</v>
          </cell>
          <cell r="E238" t="str">
            <v>02</v>
          </cell>
        </row>
        <row r="239">
          <cell r="A239" t="str">
            <v>ASISTENTE DE INMIGRACION Y EXTRANJERIA</v>
          </cell>
          <cell r="B239" t="str">
            <v>86210</v>
          </cell>
          <cell r="C239" t="str">
            <v>E</v>
          </cell>
          <cell r="D239" t="str">
            <v>AD</v>
          </cell>
          <cell r="E239" t="str">
            <v>01</v>
          </cell>
        </row>
        <row r="240">
          <cell r="A240" t="str">
            <v>ASISTENTE DE INVESTIGADOR DE MUSEO</v>
          </cell>
          <cell r="B240" t="str">
            <v>37310</v>
          </cell>
          <cell r="C240" t="str">
            <v>E</v>
          </cell>
          <cell r="D240" t="str">
            <v>UT</v>
          </cell>
          <cell r="E240" t="str">
            <v>15</v>
          </cell>
        </row>
        <row r="241">
          <cell r="A241" t="str">
            <v>ASISTENTE DE LABORATORIO CLINICO I</v>
          </cell>
          <cell r="B241" t="str">
            <v>72111</v>
          </cell>
          <cell r="C241" t="str">
            <v>E</v>
          </cell>
          <cell r="D241" t="str">
            <v>AD</v>
          </cell>
          <cell r="E241" t="str">
            <v>01</v>
          </cell>
        </row>
        <row r="242">
          <cell r="A242" t="str">
            <v>ASISTENTE DE LABORATORIO CLINICO II</v>
          </cell>
          <cell r="B242" t="str">
            <v>72112</v>
          </cell>
          <cell r="C242" t="str">
            <v>E</v>
          </cell>
          <cell r="D242" t="str">
            <v>AD</v>
          </cell>
          <cell r="E242" t="str">
            <v>03</v>
          </cell>
        </row>
        <row r="243">
          <cell r="A243" t="str">
            <v>ASISTENTE DE MUSEOGRAFIA</v>
          </cell>
          <cell r="B243" t="str">
            <v>37210</v>
          </cell>
          <cell r="C243" t="str">
            <v>E</v>
          </cell>
          <cell r="D243" t="str">
            <v>UT</v>
          </cell>
          <cell r="E243" t="str">
            <v>15</v>
          </cell>
        </row>
        <row r="244">
          <cell r="A244" t="str">
            <v>ASISTENTE DE OFICINA I</v>
          </cell>
          <cell r="B244" t="str">
            <v>22211</v>
          </cell>
          <cell r="C244" t="str">
            <v>E</v>
          </cell>
          <cell r="D244" t="str">
            <v>AD</v>
          </cell>
          <cell r="E244" t="str">
            <v>01</v>
          </cell>
        </row>
        <row r="245">
          <cell r="A245" t="str">
            <v>ASISTENTE DE OFICINA II</v>
          </cell>
          <cell r="B245" t="str">
            <v>22212</v>
          </cell>
          <cell r="C245" t="str">
            <v>E</v>
          </cell>
          <cell r="D245" t="str">
            <v>AD</v>
          </cell>
          <cell r="E245" t="str">
            <v>03</v>
          </cell>
        </row>
        <row r="246">
          <cell r="A246" t="str">
            <v>ASISTENTE DE ORTESIS Y/O PROTESIS</v>
          </cell>
          <cell r="B246" t="str">
            <v>72610</v>
          </cell>
          <cell r="C246" t="str">
            <v>E</v>
          </cell>
          <cell r="D246" t="str">
            <v>AD</v>
          </cell>
          <cell r="E246" t="str">
            <v>01</v>
          </cell>
        </row>
        <row r="247">
          <cell r="A247" t="str">
            <v>ASISTENTE DE PRE-ESCOLAR</v>
          </cell>
          <cell r="B247" t="str">
            <v>17910</v>
          </cell>
          <cell r="C247" t="str">
            <v>E</v>
          </cell>
          <cell r="D247" t="str">
            <v>AD</v>
          </cell>
          <cell r="E247" t="str">
            <v>01</v>
          </cell>
        </row>
        <row r="248">
          <cell r="A248" t="str">
            <v>ASISTENTE DE PRIMEROS AUXILIOS I</v>
          </cell>
          <cell r="B248" t="str">
            <v>85611</v>
          </cell>
          <cell r="C248" t="str">
            <v>E</v>
          </cell>
          <cell r="D248" t="str">
            <v>AD</v>
          </cell>
          <cell r="E248" t="str">
            <v>01</v>
          </cell>
        </row>
        <row r="249">
          <cell r="A249" t="str">
            <v>ASISTENTE DE PRIMEROS AUXILIOS II</v>
          </cell>
          <cell r="B249" t="str">
            <v>85612</v>
          </cell>
          <cell r="C249" t="str">
            <v>E</v>
          </cell>
          <cell r="D249" t="str">
            <v>UT</v>
          </cell>
          <cell r="E249" t="str">
            <v>15</v>
          </cell>
        </row>
        <row r="250">
          <cell r="A250" t="str">
            <v>ASISTENTE DE PRODUCCION</v>
          </cell>
          <cell r="B250" t="str">
            <v>35210</v>
          </cell>
          <cell r="C250" t="str">
            <v>E</v>
          </cell>
          <cell r="D250" t="str">
            <v>AD</v>
          </cell>
          <cell r="E250" t="str">
            <v>01</v>
          </cell>
        </row>
        <row r="251">
          <cell r="A251" t="str">
            <v>ASISTENTE DE PROGRAMACION</v>
          </cell>
          <cell r="B251" t="str">
            <v>23410</v>
          </cell>
          <cell r="C251" t="str">
            <v>E</v>
          </cell>
          <cell r="D251" t="str">
            <v>AD</v>
          </cell>
          <cell r="E251" t="str">
            <v>02</v>
          </cell>
        </row>
        <row r="252">
          <cell r="A252" t="str">
            <v>ASISTENTE DE PROMOTOR CULTURA</v>
          </cell>
          <cell r="B252" t="str">
            <v>37910</v>
          </cell>
          <cell r="C252" t="str">
            <v>E</v>
          </cell>
          <cell r="D252" t="str">
            <v>AD</v>
          </cell>
          <cell r="E252" t="str">
            <v>02</v>
          </cell>
        </row>
        <row r="253">
          <cell r="A253" t="str">
            <v>ASISTENTE DE PROMOTOR DE EXPORTACIONES</v>
          </cell>
          <cell r="B253" t="str">
            <v>36710</v>
          </cell>
          <cell r="C253" t="str">
            <v>E</v>
          </cell>
          <cell r="D253" t="str">
            <v>UT</v>
          </cell>
          <cell r="E253" t="str">
            <v>15</v>
          </cell>
        </row>
        <row r="254">
          <cell r="A254" t="str">
            <v>ASISTENTE DE PROTOCOLO</v>
          </cell>
          <cell r="B254" t="str">
            <v>33110</v>
          </cell>
          <cell r="C254" t="str">
            <v>E</v>
          </cell>
          <cell r="D254" t="str">
            <v>AD</v>
          </cell>
          <cell r="E254" t="str">
            <v>05</v>
          </cell>
        </row>
        <row r="255">
          <cell r="A255" t="str">
            <v>ASISTENTE DE PSICOLOGIA I</v>
          </cell>
          <cell r="B255" t="str">
            <v>36311</v>
          </cell>
          <cell r="C255" t="str">
            <v>E</v>
          </cell>
          <cell r="D255" t="str">
            <v>AD</v>
          </cell>
          <cell r="E255" t="str">
            <v>02</v>
          </cell>
        </row>
        <row r="256">
          <cell r="A256" t="str">
            <v>ASISTENTE DE PSICOLOGIA II</v>
          </cell>
          <cell r="B256" t="str">
            <v>36312</v>
          </cell>
          <cell r="C256" t="str">
            <v>E</v>
          </cell>
          <cell r="D256" t="str">
            <v>AD</v>
          </cell>
          <cell r="E256" t="str">
            <v>04</v>
          </cell>
        </row>
        <row r="257">
          <cell r="A257" t="str">
            <v>ASISTENTE DE PUERICULTURA</v>
          </cell>
          <cell r="B257" t="str">
            <v>79110</v>
          </cell>
          <cell r="C257" t="str">
            <v>E</v>
          </cell>
          <cell r="D257" t="str">
            <v>AD</v>
          </cell>
          <cell r="E257" t="str">
            <v>02</v>
          </cell>
        </row>
        <row r="258">
          <cell r="A258" t="str">
            <v>ASISTENTE DE RAYOS X</v>
          </cell>
          <cell r="B258" t="str">
            <v>72430</v>
          </cell>
          <cell r="C258" t="str">
            <v>E</v>
          </cell>
          <cell r="D258" t="str">
            <v>AD</v>
          </cell>
          <cell r="E258" t="str">
            <v>01</v>
          </cell>
        </row>
        <row r="259">
          <cell r="A259" t="str">
            <v>ASISTENTE DE RELACIONES PUBLICAS</v>
          </cell>
          <cell r="B259" t="str">
            <v>31330</v>
          </cell>
          <cell r="C259" t="str">
            <v>E</v>
          </cell>
          <cell r="D259" t="str">
            <v>UT</v>
          </cell>
          <cell r="E259" t="str">
            <v>15</v>
          </cell>
        </row>
        <row r="260">
          <cell r="A260" t="str">
            <v>ASISTENTE DE RESTAURACION</v>
          </cell>
          <cell r="B260" t="str">
            <v>37410</v>
          </cell>
          <cell r="C260" t="str">
            <v>E</v>
          </cell>
          <cell r="D260" t="str">
            <v>AD</v>
          </cell>
          <cell r="E260" t="str">
            <v>01</v>
          </cell>
        </row>
        <row r="261">
          <cell r="A261" t="str">
            <v>ASISTENTE DE SALUD PUBLICA</v>
          </cell>
          <cell r="B261" t="str">
            <v>76220</v>
          </cell>
          <cell r="C261" t="str">
            <v>E</v>
          </cell>
          <cell r="D261" t="str">
            <v>AD</v>
          </cell>
          <cell r="E261" t="str">
            <v>02</v>
          </cell>
        </row>
        <row r="262">
          <cell r="A262" t="str">
            <v>ASISTENTE DE SERVICIO SOCIAL</v>
          </cell>
          <cell r="B262" t="str">
            <v>79330</v>
          </cell>
          <cell r="C262" t="str">
            <v>E</v>
          </cell>
          <cell r="D262" t="str">
            <v>AD</v>
          </cell>
          <cell r="E262" t="str">
            <v>03</v>
          </cell>
        </row>
        <row r="263">
          <cell r="A263" t="str">
            <v>ASISTENTE DE TALLER N.G.</v>
          </cell>
          <cell r="B263" t="str">
            <v>02034</v>
          </cell>
          <cell r="C263" t="str">
            <v>E</v>
          </cell>
          <cell r="D263" t="str">
            <v>DO</v>
          </cell>
          <cell r="E263" t="str">
            <v/>
          </cell>
        </row>
        <row r="264">
          <cell r="A264" t="str">
            <v>ASISTENTE DE TEATRO  IV 139</v>
          </cell>
          <cell r="B264" t="str">
            <v>01126</v>
          </cell>
          <cell r="C264" t="str">
            <v>E</v>
          </cell>
          <cell r="D264" t="str">
            <v>DO</v>
          </cell>
          <cell r="E264" t="str">
            <v/>
          </cell>
        </row>
        <row r="265">
          <cell r="A265" t="str">
            <v>ASISTENTE DE TERAPIA</v>
          </cell>
          <cell r="B265" t="str">
            <v>72510</v>
          </cell>
          <cell r="C265" t="str">
            <v>E</v>
          </cell>
          <cell r="D265" t="str">
            <v>AD</v>
          </cell>
          <cell r="E265" t="str">
            <v>01</v>
          </cell>
        </row>
        <row r="266">
          <cell r="A266" t="str">
            <v>ASISTENTE DE TOPOGRAFO</v>
          </cell>
          <cell r="B266" t="str">
            <v>43110</v>
          </cell>
          <cell r="C266" t="str">
            <v>E</v>
          </cell>
          <cell r="D266" t="str">
            <v>AD</v>
          </cell>
          <cell r="E266" t="str">
            <v>02</v>
          </cell>
        </row>
        <row r="267">
          <cell r="A267" t="str">
            <v>ASISTENTE DE VETERINARIA</v>
          </cell>
          <cell r="B267" t="str">
            <v>78110</v>
          </cell>
          <cell r="C267" t="str">
            <v>E</v>
          </cell>
          <cell r="D267" t="str">
            <v>AD</v>
          </cell>
          <cell r="E267" t="str">
            <v>01</v>
          </cell>
        </row>
        <row r="268">
          <cell r="A268" t="str">
            <v>ASISTENTE ESPECIALISTA EN INFORMACION I</v>
          </cell>
          <cell r="B268" t="str">
            <v>31221</v>
          </cell>
          <cell r="C268" t="str">
            <v>E</v>
          </cell>
          <cell r="D268" t="str">
            <v>AD</v>
          </cell>
          <cell r="E268" t="str">
            <v>02</v>
          </cell>
        </row>
        <row r="269">
          <cell r="A269" t="str">
            <v>ASISTENTE ESPECIALISTA EN INFORMACION II</v>
          </cell>
          <cell r="B269" t="str">
            <v>31222</v>
          </cell>
          <cell r="C269" t="str">
            <v>E</v>
          </cell>
          <cell r="D269" t="str">
            <v>UT</v>
          </cell>
          <cell r="E269" t="str">
            <v>15</v>
          </cell>
        </row>
        <row r="270">
          <cell r="A270" t="str">
            <v>ASISTENTE HABILITADO I</v>
          </cell>
          <cell r="B270" t="str">
            <v>21531</v>
          </cell>
          <cell r="C270" t="str">
            <v>E</v>
          </cell>
          <cell r="D270" t="str">
            <v>AD</v>
          </cell>
          <cell r="E270" t="str">
            <v>01</v>
          </cell>
        </row>
        <row r="271">
          <cell r="A271" t="str">
            <v>ASISTENTE HABILITADO II</v>
          </cell>
          <cell r="B271" t="str">
            <v>21532</v>
          </cell>
          <cell r="C271" t="str">
            <v>E</v>
          </cell>
          <cell r="D271" t="str">
            <v>AD</v>
          </cell>
          <cell r="E271" t="str">
            <v>02</v>
          </cell>
        </row>
        <row r="272">
          <cell r="A272" t="str">
            <v>ASISTENTE MATEMATICA III</v>
          </cell>
          <cell r="B272" t="str">
            <v>47213</v>
          </cell>
          <cell r="C272" t="str">
            <v>E</v>
          </cell>
          <cell r="D272" t="str">
            <v>UT</v>
          </cell>
          <cell r="E272" t="str">
            <v>15</v>
          </cell>
        </row>
        <row r="273">
          <cell r="A273" t="str">
            <v>ASISTENTE MATEMATICAS I</v>
          </cell>
          <cell r="B273" t="str">
            <v>47211</v>
          </cell>
          <cell r="C273" t="str">
            <v>E</v>
          </cell>
          <cell r="D273" t="str">
            <v>AD</v>
          </cell>
          <cell r="E273" t="str">
            <v>01</v>
          </cell>
        </row>
        <row r="274">
          <cell r="A274" t="str">
            <v>ASISTENTE MATEMATICAS II</v>
          </cell>
          <cell r="B274" t="str">
            <v>47212</v>
          </cell>
          <cell r="C274" t="str">
            <v>E</v>
          </cell>
          <cell r="D274" t="str">
            <v>AD</v>
          </cell>
          <cell r="E274" t="str">
            <v>03</v>
          </cell>
        </row>
        <row r="275">
          <cell r="A275" t="str">
            <v>ASISTENTE TECNICO DE GUARDAFAUNA</v>
          </cell>
          <cell r="B275" t="str">
            <v>42620</v>
          </cell>
          <cell r="C275" t="str">
            <v>E</v>
          </cell>
          <cell r="D275" t="str">
            <v>UT</v>
          </cell>
          <cell r="E275" t="str">
            <v>16</v>
          </cell>
        </row>
        <row r="276">
          <cell r="A276" t="str">
            <v>ASISTENTE TECNICO DE INGENIERIA I</v>
          </cell>
          <cell r="B276" t="str">
            <v>43491</v>
          </cell>
          <cell r="C276" t="str">
            <v>E</v>
          </cell>
          <cell r="D276" t="str">
            <v>UT</v>
          </cell>
          <cell r="E276" t="str">
            <v>15</v>
          </cell>
        </row>
        <row r="277">
          <cell r="A277" t="str">
            <v>ASISTENTE TECNICO DE INGENIERIA II</v>
          </cell>
          <cell r="B277" t="str">
            <v>43492</v>
          </cell>
          <cell r="C277" t="str">
            <v>E</v>
          </cell>
          <cell r="D277" t="str">
            <v>UT</v>
          </cell>
          <cell r="E277" t="str">
            <v>17</v>
          </cell>
        </row>
        <row r="278">
          <cell r="A278" t="str">
            <v>ASISTENTE TECNICO DE INGENIERIA III</v>
          </cell>
          <cell r="B278" t="str">
            <v>43493</v>
          </cell>
          <cell r="C278" t="str">
            <v>E</v>
          </cell>
          <cell r="D278" t="str">
            <v>UT</v>
          </cell>
          <cell r="E278" t="str">
            <v>19</v>
          </cell>
        </row>
        <row r="279">
          <cell r="A279" t="str">
            <v>ASISTENTE TECNICO EN REPARACION Y MANTE.</v>
          </cell>
          <cell r="B279" t="str">
            <v>46110</v>
          </cell>
          <cell r="C279" t="str">
            <v>E</v>
          </cell>
          <cell r="D279" t="str">
            <v>AD</v>
          </cell>
          <cell r="E279" t="str">
            <v>02</v>
          </cell>
        </row>
        <row r="280">
          <cell r="A280" t="str">
            <v>ASTRONOMO</v>
          </cell>
          <cell r="B280" t="str">
            <v>47110</v>
          </cell>
          <cell r="C280" t="str">
            <v>E</v>
          </cell>
          <cell r="D280" t="str">
            <v>UT</v>
          </cell>
          <cell r="E280" t="str">
            <v>18</v>
          </cell>
        </row>
        <row r="281">
          <cell r="A281" t="str">
            <v>AUDITOR I</v>
          </cell>
          <cell r="B281" t="str">
            <v>21211</v>
          </cell>
          <cell r="C281" t="str">
            <v>E</v>
          </cell>
          <cell r="D281" t="str">
            <v>UT</v>
          </cell>
          <cell r="E281" t="str">
            <v>17</v>
          </cell>
        </row>
        <row r="282">
          <cell r="A282" t="str">
            <v>AUDITOR II</v>
          </cell>
          <cell r="B282" t="str">
            <v>21212</v>
          </cell>
          <cell r="C282" t="str">
            <v>E</v>
          </cell>
          <cell r="D282" t="str">
            <v>UT</v>
          </cell>
          <cell r="E282" t="str">
            <v>19</v>
          </cell>
        </row>
        <row r="283">
          <cell r="A283" t="str">
            <v>AUDITOR III</v>
          </cell>
          <cell r="B283" t="str">
            <v>21213</v>
          </cell>
          <cell r="C283" t="str">
            <v>E</v>
          </cell>
          <cell r="D283" t="str">
            <v>UT</v>
          </cell>
          <cell r="E283" t="str">
            <v>21</v>
          </cell>
        </row>
        <row r="284">
          <cell r="A284" t="str">
            <v>AUDITOR IV</v>
          </cell>
          <cell r="B284" t="str">
            <v>21214</v>
          </cell>
          <cell r="C284" t="str">
            <v>E</v>
          </cell>
          <cell r="D284" t="str">
            <v>UT</v>
          </cell>
          <cell r="E284" t="str">
            <v>23</v>
          </cell>
        </row>
        <row r="285">
          <cell r="A285" t="str">
            <v>AUDITOR JEFE</v>
          </cell>
          <cell r="B285" t="str">
            <v>21220</v>
          </cell>
          <cell r="C285" t="str">
            <v>E</v>
          </cell>
          <cell r="D285" t="str">
            <v>UT</v>
          </cell>
          <cell r="E285" t="str">
            <v>25</v>
          </cell>
        </row>
        <row r="286">
          <cell r="A286" t="str">
            <v>AUTOGRAFISTA</v>
          </cell>
          <cell r="B286" t="str">
            <v>37950</v>
          </cell>
          <cell r="C286" t="str">
            <v>E</v>
          </cell>
          <cell r="D286" t="str">
            <v>AD</v>
          </cell>
          <cell r="E286" t="str">
            <v>02</v>
          </cell>
        </row>
        <row r="287">
          <cell r="A287" t="str">
            <v>AUX. BIBLIOTECA PUB. I   77</v>
          </cell>
          <cell r="B287" t="str">
            <v>01211</v>
          </cell>
          <cell r="C287" t="str">
            <v>E</v>
          </cell>
          <cell r="D287" t="str">
            <v>DO</v>
          </cell>
          <cell r="E287" t="str">
            <v/>
          </cell>
        </row>
        <row r="288">
          <cell r="A288" t="str">
            <v>AUX. BIBLIOTECA PUB. I  139</v>
          </cell>
          <cell r="B288" t="str">
            <v>01201</v>
          </cell>
          <cell r="C288" t="str">
            <v>E</v>
          </cell>
          <cell r="D288" t="str">
            <v>DO</v>
          </cell>
          <cell r="E288" t="str">
            <v/>
          </cell>
        </row>
        <row r="289">
          <cell r="A289" t="str">
            <v>AUX. BIBLIOTECA PUB. II  77</v>
          </cell>
          <cell r="B289" t="str">
            <v>01212</v>
          </cell>
          <cell r="C289" t="str">
            <v>E</v>
          </cell>
          <cell r="D289" t="str">
            <v>DO</v>
          </cell>
          <cell r="E289" t="str">
            <v/>
          </cell>
        </row>
        <row r="290">
          <cell r="A290" t="str">
            <v>AUX. BIBLIOTECA PUB. II 139</v>
          </cell>
          <cell r="B290" t="str">
            <v>01202</v>
          </cell>
          <cell r="C290" t="str">
            <v>E</v>
          </cell>
          <cell r="D290" t="str">
            <v>DO</v>
          </cell>
          <cell r="E290" t="str">
            <v/>
          </cell>
        </row>
        <row r="291">
          <cell r="A291" t="str">
            <v>AUX. BIBLIOTECA PUB. III 77</v>
          </cell>
          <cell r="B291" t="str">
            <v>01213</v>
          </cell>
          <cell r="C291" t="str">
            <v>E</v>
          </cell>
          <cell r="D291" t="str">
            <v>DO</v>
          </cell>
          <cell r="E291" t="str">
            <v/>
          </cell>
        </row>
        <row r="292">
          <cell r="A292" t="str">
            <v>AUX. BIBLIOTECA PUB. IV  77</v>
          </cell>
          <cell r="B292" t="str">
            <v>01214</v>
          </cell>
          <cell r="C292" t="str">
            <v>E</v>
          </cell>
          <cell r="D292" t="str">
            <v>DO</v>
          </cell>
          <cell r="E292" t="str">
            <v/>
          </cell>
        </row>
        <row r="293">
          <cell r="A293" t="str">
            <v>AUX. BIBLIOTECA PUB. IV 139</v>
          </cell>
          <cell r="B293" t="str">
            <v>01204</v>
          </cell>
          <cell r="C293" t="str">
            <v>E</v>
          </cell>
          <cell r="D293" t="str">
            <v>DO</v>
          </cell>
          <cell r="E293" t="str">
            <v/>
          </cell>
        </row>
        <row r="294">
          <cell r="A294" t="str">
            <v>AUX. BIBLIOTECA PUB. N.G.</v>
          </cell>
          <cell r="B294" t="str">
            <v>02038</v>
          </cell>
          <cell r="C294" t="str">
            <v>E</v>
          </cell>
          <cell r="D294" t="str">
            <v>DO</v>
          </cell>
          <cell r="E294" t="str">
            <v/>
          </cell>
        </row>
        <row r="295">
          <cell r="A295" t="str">
            <v>AUX. BIBLIOTECA PUB. V   77</v>
          </cell>
          <cell r="B295" t="str">
            <v>01215</v>
          </cell>
          <cell r="C295" t="str">
            <v>E</v>
          </cell>
          <cell r="D295" t="str">
            <v>DO</v>
          </cell>
          <cell r="E295" t="str">
            <v/>
          </cell>
        </row>
        <row r="296">
          <cell r="A296" t="str">
            <v>AUX. BIBLIOTECA PUB. V  139</v>
          </cell>
          <cell r="B296" t="str">
            <v>01205</v>
          </cell>
          <cell r="C296" t="str">
            <v>E</v>
          </cell>
          <cell r="D296" t="str">
            <v>DO</v>
          </cell>
          <cell r="E296" t="str">
            <v/>
          </cell>
        </row>
        <row r="297">
          <cell r="A297" t="str">
            <v>AUX. BIBLIOTECA PUB. VI  77</v>
          </cell>
          <cell r="B297" t="str">
            <v>01216</v>
          </cell>
          <cell r="C297" t="str">
            <v>E</v>
          </cell>
          <cell r="D297" t="str">
            <v>DO</v>
          </cell>
          <cell r="E297" t="str">
            <v/>
          </cell>
        </row>
        <row r="298">
          <cell r="A298" t="str">
            <v>AUX. BIBLIOTECA PUB. VI 139</v>
          </cell>
          <cell r="B298" t="str">
            <v>01206</v>
          </cell>
          <cell r="C298" t="str">
            <v>E</v>
          </cell>
          <cell r="D298" t="str">
            <v>DO</v>
          </cell>
          <cell r="E298" t="str">
            <v/>
          </cell>
        </row>
        <row r="299">
          <cell r="A299" t="str">
            <v>AUX. BIBLIOTECA PUB.III 139</v>
          </cell>
          <cell r="B299" t="str">
            <v>01203</v>
          </cell>
          <cell r="C299" t="str">
            <v>E</v>
          </cell>
          <cell r="D299" t="str">
            <v>DO</v>
          </cell>
          <cell r="E299" t="str">
            <v/>
          </cell>
        </row>
        <row r="300">
          <cell r="A300" t="str">
            <v>AUX. BIBLIOTECA TCVN</v>
          </cell>
          <cell r="B300" t="str">
            <v>00030</v>
          </cell>
          <cell r="C300" t="str">
            <v>E</v>
          </cell>
          <cell r="D300" t="str">
            <v>DO</v>
          </cell>
          <cell r="E300" t="str">
            <v/>
          </cell>
        </row>
        <row r="301">
          <cell r="A301" t="str">
            <v>AUXILIAR DE BIBLIOTECA N.G.</v>
          </cell>
          <cell r="B301" t="str">
            <v>00031</v>
          </cell>
          <cell r="C301" t="str">
            <v>E</v>
          </cell>
          <cell r="D301" t="str">
            <v>DO</v>
          </cell>
          <cell r="E301" t="str">
            <v/>
          </cell>
        </row>
        <row r="302">
          <cell r="A302" t="str">
            <v>AUXILIAR DE BIBLIOTECA TID</v>
          </cell>
          <cell r="B302" t="str">
            <v>00032</v>
          </cell>
          <cell r="C302" t="str">
            <v>E</v>
          </cell>
          <cell r="D302" t="str">
            <v>DO</v>
          </cell>
          <cell r="E302" t="str">
            <v/>
          </cell>
        </row>
        <row r="303">
          <cell r="A303" t="str">
            <v>AUXILIAR DE OFICINA I</v>
          </cell>
          <cell r="B303" t="str">
            <v>10002</v>
          </cell>
          <cell r="C303" t="str">
            <v>E</v>
          </cell>
          <cell r="D303" t="str">
            <v>AD</v>
          </cell>
          <cell r="E303" t="str">
            <v>01</v>
          </cell>
        </row>
        <row r="304">
          <cell r="A304" t="str">
            <v>AUXILIAR DE PRE-ESCOLAR</v>
          </cell>
          <cell r="B304" t="str">
            <v>00021</v>
          </cell>
          <cell r="C304" t="str">
            <v>E</v>
          </cell>
          <cell r="D304" t="str">
            <v>DO</v>
          </cell>
          <cell r="E304" t="str">
            <v/>
          </cell>
        </row>
        <row r="305">
          <cell r="A305" t="str">
            <v>AUXILIAR DE TERAPIA</v>
          </cell>
          <cell r="B305" t="str">
            <v>01150</v>
          </cell>
          <cell r="C305" t="str">
            <v>E</v>
          </cell>
          <cell r="D305" t="str">
            <v>DO</v>
          </cell>
          <cell r="E305" t="str">
            <v/>
          </cell>
        </row>
        <row r="306">
          <cell r="A306" t="str">
            <v>AUXILIAR DE TERAPIA N.G.</v>
          </cell>
          <cell r="B306" t="str">
            <v>02043</v>
          </cell>
          <cell r="C306" t="str">
            <v>E</v>
          </cell>
          <cell r="D306" t="str">
            <v>AD</v>
          </cell>
          <cell r="E306" t="str">
            <v/>
          </cell>
        </row>
        <row r="307">
          <cell r="A307" t="str">
            <v>AUXILIAR DE TERAPIA NG</v>
          </cell>
          <cell r="B307" t="str">
            <v>40240</v>
          </cell>
          <cell r="C307" t="str">
            <v>E</v>
          </cell>
          <cell r="D307" t="str">
            <v>DO</v>
          </cell>
          <cell r="E307" t="str">
            <v/>
          </cell>
        </row>
        <row r="308">
          <cell r="A308" t="str">
            <v>AVALUADOR DE INMUEBLES I</v>
          </cell>
          <cell r="B308" t="str">
            <v>43221</v>
          </cell>
          <cell r="C308" t="str">
            <v>E</v>
          </cell>
          <cell r="D308" t="str">
            <v>AD</v>
          </cell>
          <cell r="E308" t="str">
            <v>02</v>
          </cell>
        </row>
        <row r="309">
          <cell r="A309" t="str">
            <v>AVALUADOR DE INMUEBLES II</v>
          </cell>
          <cell r="B309" t="str">
            <v>43222</v>
          </cell>
          <cell r="C309" t="str">
            <v>E</v>
          </cell>
          <cell r="D309" t="str">
            <v>AD</v>
          </cell>
          <cell r="E309" t="str">
            <v>04</v>
          </cell>
        </row>
        <row r="310">
          <cell r="A310" t="str">
            <v>AVALUADOR DE INMUEBLES III</v>
          </cell>
          <cell r="B310" t="str">
            <v>43223</v>
          </cell>
          <cell r="C310" t="str">
            <v>E</v>
          </cell>
          <cell r="D310" t="str">
            <v>UT</v>
          </cell>
          <cell r="E310" t="str">
            <v>18</v>
          </cell>
        </row>
        <row r="311">
          <cell r="A311" t="str">
            <v>AVALUADOR DE INMUEBLES JEFE</v>
          </cell>
          <cell r="B311" t="str">
            <v>43230</v>
          </cell>
          <cell r="C311" t="str">
            <v>E</v>
          </cell>
          <cell r="D311" t="str">
            <v>UT</v>
          </cell>
          <cell r="E311" t="str">
            <v>19</v>
          </cell>
        </row>
        <row r="312">
          <cell r="A312" t="str">
            <v>BIBLIOTECARIA</v>
          </cell>
          <cell r="B312" t="str">
            <v>40013</v>
          </cell>
          <cell r="C312" t="str">
            <v>E</v>
          </cell>
          <cell r="D312" t="str">
            <v>DO</v>
          </cell>
          <cell r="E312" t="str">
            <v/>
          </cell>
        </row>
        <row r="313">
          <cell r="A313" t="str">
            <v>BIBLIOTECOLOGO I</v>
          </cell>
          <cell r="B313" t="str">
            <v>36631</v>
          </cell>
          <cell r="C313" t="str">
            <v>E</v>
          </cell>
          <cell r="D313" t="str">
            <v>UT</v>
          </cell>
          <cell r="E313" t="str">
            <v>17</v>
          </cell>
        </row>
        <row r="314">
          <cell r="A314" t="str">
            <v>BIBLIOTECOLOGO II</v>
          </cell>
          <cell r="B314" t="str">
            <v>36632</v>
          </cell>
          <cell r="C314" t="str">
            <v>E</v>
          </cell>
          <cell r="D314" t="str">
            <v>UT</v>
          </cell>
          <cell r="E314" t="str">
            <v>19</v>
          </cell>
        </row>
        <row r="315">
          <cell r="A315" t="str">
            <v>BIBLIOTECOLOGO III</v>
          </cell>
          <cell r="B315" t="str">
            <v>36633</v>
          </cell>
          <cell r="C315" t="str">
            <v>E</v>
          </cell>
          <cell r="D315" t="str">
            <v>UT</v>
          </cell>
          <cell r="E315" t="str">
            <v>21</v>
          </cell>
        </row>
        <row r="316">
          <cell r="A316" t="str">
            <v>BIBLIOTECOLOGO IV</v>
          </cell>
          <cell r="B316" t="str">
            <v>36634</v>
          </cell>
          <cell r="C316" t="str">
            <v>E</v>
          </cell>
          <cell r="D316" t="str">
            <v>UT</v>
          </cell>
          <cell r="E316" t="str">
            <v>23</v>
          </cell>
        </row>
        <row r="317">
          <cell r="A317" t="str">
            <v>BIOANALISTA I</v>
          </cell>
          <cell r="B317" t="str">
            <v>72221</v>
          </cell>
          <cell r="C317" t="str">
            <v>E</v>
          </cell>
          <cell r="D317" t="str">
            <v>UT</v>
          </cell>
          <cell r="E317" t="str">
            <v>17</v>
          </cell>
        </row>
        <row r="318">
          <cell r="A318" t="str">
            <v>BIOANALISTA II</v>
          </cell>
          <cell r="B318" t="str">
            <v>72222</v>
          </cell>
          <cell r="C318" t="str">
            <v>E</v>
          </cell>
          <cell r="D318" t="str">
            <v>UT</v>
          </cell>
          <cell r="E318" t="str">
            <v>19</v>
          </cell>
        </row>
        <row r="319">
          <cell r="A319" t="str">
            <v>BIOANALISTA III</v>
          </cell>
          <cell r="B319" t="str">
            <v>72223</v>
          </cell>
          <cell r="C319" t="str">
            <v>E</v>
          </cell>
          <cell r="D319" t="str">
            <v>UT</v>
          </cell>
          <cell r="E319" t="str">
            <v>21</v>
          </cell>
        </row>
        <row r="320">
          <cell r="A320" t="str">
            <v>BIOANALISTA IV</v>
          </cell>
          <cell r="B320" t="str">
            <v>72224</v>
          </cell>
          <cell r="C320" t="str">
            <v>E</v>
          </cell>
          <cell r="D320" t="str">
            <v>UT</v>
          </cell>
          <cell r="E320" t="str">
            <v>23</v>
          </cell>
        </row>
        <row r="321">
          <cell r="A321" t="str">
            <v>BIOANALISTA V</v>
          </cell>
          <cell r="B321" t="str">
            <v>72225</v>
          </cell>
          <cell r="C321" t="str">
            <v>E</v>
          </cell>
          <cell r="D321" t="str">
            <v>UT</v>
          </cell>
          <cell r="E321" t="str">
            <v>24</v>
          </cell>
        </row>
        <row r="322">
          <cell r="A322" t="str">
            <v>BIOANALISTA VI</v>
          </cell>
          <cell r="B322" t="str">
            <v>72226</v>
          </cell>
          <cell r="C322" t="str">
            <v>E</v>
          </cell>
          <cell r="D322" t="str">
            <v>UT</v>
          </cell>
          <cell r="E322" t="str">
            <v>25</v>
          </cell>
        </row>
        <row r="323">
          <cell r="A323" t="str">
            <v>BIOLOGO I</v>
          </cell>
          <cell r="B323" t="str">
            <v>42521</v>
          </cell>
          <cell r="C323" t="str">
            <v>E</v>
          </cell>
          <cell r="D323" t="str">
            <v>UT</v>
          </cell>
          <cell r="E323" t="str">
            <v>17</v>
          </cell>
        </row>
        <row r="324">
          <cell r="A324" t="str">
            <v>BIOLOGO II</v>
          </cell>
          <cell r="B324" t="str">
            <v>42522</v>
          </cell>
          <cell r="C324" t="str">
            <v>E</v>
          </cell>
          <cell r="D324" t="str">
            <v>UT</v>
          </cell>
          <cell r="E324" t="str">
            <v>19</v>
          </cell>
        </row>
        <row r="325">
          <cell r="A325" t="str">
            <v>BIOLOGO III</v>
          </cell>
          <cell r="B325" t="str">
            <v>42523</v>
          </cell>
          <cell r="C325" t="str">
            <v>E</v>
          </cell>
          <cell r="D325" t="str">
            <v>UT</v>
          </cell>
          <cell r="E325" t="str">
            <v>21</v>
          </cell>
        </row>
        <row r="326">
          <cell r="A326" t="str">
            <v>BIOLOGO JEFE</v>
          </cell>
          <cell r="B326" t="str">
            <v>42530</v>
          </cell>
          <cell r="C326" t="str">
            <v>E</v>
          </cell>
          <cell r="D326" t="str">
            <v>UT</v>
          </cell>
          <cell r="E326" t="str">
            <v>22</v>
          </cell>
        </row>
        <row r="327">
          <cell r="A327" t="str">
            <v>BOMBARDINO SOLISTA</v>
          </cell>
          <cell r="B327" t="str">
            <v>03520</v>
          </cell>
          <cell r="C327" t="str">
            <v>E</v>
          </cell>
          <cell r="D327" t="str">
            <v>AD</v>
          </cell>
          <cell r="E327" t="str">
            <v>01</v>
          </cell>
        </row>
        <row r="328">
          <cell r="A328" t="str">
            <v>BOMBERO (BOMBERO)</v>
          </cell>
          <cell r="B328" t="str">
            <v>62920</v>
          </cell>
          <cell r="C328" t="str">
            <v>E</v>
          </cell>
          <cell r="D328" t="str">
            <v>BO</v>
          </cell>
          <cell r="E328" t="str">
            <v>02</v>
          </cell>
        </row>
        <row r="329">
          <cell r="A329" t="str">
            <v>BOMBERO I</v>
          </cell>
          <cell r="B329" t="str">
            <v>81111</v>
          </cell>
          <cell r="C329" t="str">
            <v>E</v>
          </cell>
          <cell r="D329" t="str">
            <v>BO</v>
          </cell>
          <cell r="E329" t="str">
            <v>01</v>
          </cell>
        </row>
        <row r="330">
          <cell r="A330" t="str">
            <v>BOMBERO II</v>
          </cell>
          <cell r="B330" t="str">
            <v>81112</v>
          </cell>
          <cell r="C330" t="str">
            <v>E</v>
          </cell>
          <cell r="D330" t="str">
            <v>BO</v>
          </cell>
          <cell r="E330" t="str">
            <v>03</v>
          </cell>
        </row>
        <row r="331">
          <cell r="A331" t="str">
            <v>BOMBERO III</v>
          </cell>
          <cell r="B331" t="str">
            <v>81113</v>
          </cell>
          <cell r="C331" t="str">
            <v>E</v>
          </cell>
          <cell r="D331" t="str">
            <v>BO</v>
          </cell>
          <cell r="E331" t="str">
            <v>05</v>
          </cell>
        </row>
        <row r="332">
          <cell r="A332" t="str">
            <v>BOMBERO IV</v>
          </cell>
          <cell r="B332" t="str">
            <v>81114</v>
          </cell>
          <cell r="C332" t="str">
            <v>E</v>
          </cell>
          <cell r="D332" t="str">
            <v>BO</v>
          </cell>
          <cell r="E332" t="str">
            <v>07</v>
          </cell>
        </row>
        <row r="333">
          <cell r="A333" t="str">
            <v>BOMBERO JEFE I</v>
          </cell>
          <cell r="B333" t="str">
            <v>81121</v>
          </cell>
          <cell r="C333" t="str">
            <v>E</v>
          </cell>
          <cell r="D333" t="str">
            <v>BO</v>
          </cell>
          <cell r="E333" t="str">
            <v>09</v>
          </cell>
        </row>
        <row r="334">
          <cell r="A334" t="str">
            <v>BOMBERO JEFE II</v>
          </cell>
          <cell r="B334" t="str">
            <v>81122</v>
          </cell>
          <cell r="C334" t="str">
            <v>E</v>
          </cell>
          <cell r="D334" t="str">
            <v>BO</v>
          </cell>
          <cell r="E334" t="str">
            <v>10</v>
          </cell>
        </row>
        <row r="335">
          <cell r="A335" t="str">
            <v>BOMBO 3</v>
          </cell>
          <cell r="B335" t="str">
            <v>03614</v>
          </cell>
          <cell r="C335" t="str">
            <v>E</v>
          </cell>
          <cell r="D335" t="str">
            <v>AD</v>
          </cell>
          <cell r="E335" t="str">
            <v>01</v>
          </cell>
        </row>
        <row r="336">
          <cell r="A336" t="str">
            <v>BOTANICO I</v>
          </cell>
          <cell r="B336" t="str">
            <v>41631</v>
          </cell>
          <cell r="C336" t="str">
            <v>E</v>
          </cell>
          <cell r="D336" t="str">
            <v>UT</v>
          </cell>
          <cell r="E336" t="str">
            <v>17</v>
          </cell>
        </row>
        <row r="337">
          <cell r="A337" t="str">
            <v>BOTANICO II</v>
          </cell>
          <cell r="B337" t="str">
            <v>41632</v>
          </cell>
          <cell r="C337" t="str">
            <v>E</v>
          </cell>
          <cell r="D337" t="str">
            <v>UT</v>
          </cell>
          <cell r="E337" t="str">
            <v>19</v>
          </cell>
        </row>
        <row r="338">
          <cell r="A338" t="str">
            <v>BOTANICO III</v>
          </cell>
          <cell r="B338" t="str">
            <v>41633</v>
          </cell>
          <cell r="C338" t="str">
            <v>E</v>
          </cell>
          <cell r="D338" t="str">
            <v>UT</v>
          </cell>
          <cell r="E338" t="str">
            <v>21</v>
          </cell>
        </row>
        <row r="339">
          <cell r="A339" t="str">
            <v>BOTANICO JEFE</v>
          </cell>
          <cell r="B339" t="str">
            <v>41640</v>
          </cell>
          <cell r="C339" t="str">
            <v>E</v>
          </cell>
          <cell r="D339" t="str">
            <v>UT</v>
          </cell>
          <cell r="E339" t="str">
            <v>23</v>
          </cell>
        </row>
        <row r="340">
          <cell r="A340" t="str">
            <v>CABO 1RO</v>
          </cell>
          <cell r="B340" t="str">
            <v>62240</v>
          </cell>
          <cell r="C340" t="str">
            <v>E</v>
          </cell>
          <cell r="D340" t="str">
            <v>PO</v>
          </cell>
          <cell r="E340" t="str">
            <v>06</v>
          </cell>
        </row>
        <row r="341">
          <cell r="A341" t="str">
            <v>CABO 1RO (BOMBERO)</v>
          </cell>
          <cell r="B341" t="str">
            <v>62810</v>
          </cell>
          <cell r="C341" t="str">
            <v>E</v>
          </cell>
          <cell r="D341" t="str">
            <v>BO</v>
          </cell>
          <cell r="E341" t="str">
            <v>05</v>
          </cell>
        </row>
        <row r="342">
          <cell r="A342" t="str">
            <v>CABO 2DO</v>
          </cell>
          <cell r="B342" t="str">
            <v>62241</v>
          </cell>
          <cell r="C342" t="str">
            <v>E</v>
          </cell>
          <cell r="D342" t="str">
            <v>PO</v>
          </cell>
          <cell r="E342" t="str">
            <v>05</v>
          </cell>
        </row>
        <row r="343">
          <cell r="A343" t="str">
            <v>CABO 2DO (BOMBERO)</v>
          </cell>
          <cell r="B343" t="str">
            <v>62820</v>
          </cell>
          <cell r="C343" t="str">
            <v>E</v>
          </cell>
          <cell r="D343" t="str">
            <v>BO</v>
          </cell>
          <cell r="E343" t="str">
            <v>04</v>
          </cell>
        </row>
        <row r="344">
          <cell r="A344" t="str">
            <v>CAJERO I</v>
          </cell>
          <cell r="B344" t="str">
            <v>21511</v>
          </cell>
          <cell r="C344" t="str">
            <v>E</v>
          </cell>
          <cell r="D344" t="str">
            <v>AD</v>
          </cell>
          <cell r="E344" t="str">
            <v>01</v>
          </cell>
        </row>
        <row r="345">
          <cell r="A345" t="str">
            <v>CAJERO II</v>
          </cell>
          <cell r="B345" t="str">
            <v>21512</v>
          </cell>
          <cell r="C345" t="str">
            <v>E</v>
          </cell>
          <cell r="D345" t="str">
            <v>AD</v>
          </cell>
          <cell r="E345" t="str">
            <v>03</v>
          </cell>
        </row>
        <row r="346">
          <cell r="A346" t="str">
            <v>CAJERO III</v>
          </cell>
          <cell r="B346" t="str">
            <v>21513</v>
          </cell>
          <cell r="C346" t="str">
            <v>E</v>
          </cell>
          <cell r="D346" t="str">
            <v>AD</v>
          </cell>
          <cell r="E346" t="str">
            <v>04</v>
          </cell>
        </row>
        <row r="347">
          <cell r="A347" t="str">
            <v>CAJERO JEFE</v>
          </cell>
          <cell r="B347" t="str">
            <v>21520</v>
          </cell>
          <cell r="C347" t="str">
            <v>E</v>
          </cell>
          <cell r="D347" t="str">
            <v>AD</v>
          </cell>
          <cell r="E347" t="str">
            <v>06</v>
          </cell>
        </row>
        <row r="348">
          <cell r="A348" t="str">
            <v>CALCULISTA DE HIDROCARBUROS I</v>
          </cell>
          <cell r="B348" t="str">
            <v>44121</v>
          </cell>
          <cell r="C348" t="str">
            <v>E</v>
          </cell>
          <cell r="D348" t="str">
            <v>AD</v>
          </cell>
          <cell r="E348" t="str">
            <v>02</v>
          </cell>
        </row>
        <row r="349">
          <cell r="A349" t="str">
            <v>CALCULISTA DE HIDROCARBUROS II</v>
          </cell>
          <cell r="B349" t="str">
            <v>44122</v>
          </cell>
          <cell r="C349" t="str">
            <v>E</v>
          </cell>
          <cell r="D349" t="str">
            <v>AD</v>
          </cell>
          <cell r="E349" t="str">
            <v>03</v>
          </cell>
        </row>
        <row r="350">
          <cell r="A350" t="str">
            <v>CALCULISTA DE HIDROCARBUROS III</v>
          </cell>
          <cell r="B350" t="str">
            <v>44123</v>
          </cell>
          <cell r="C350" t="str">
            <v>E</v>
          </cell>
          <cell r="D350" t="str">
            <v>AD</v>
          </cell>
          <cell r="E350" t="str">
            <v>04</v>
          </cell>
        </row>
        <row r="351">
          <cell r="A351" t="str">
            <v>CALIGRAFO</v>
          </cell>
          <cell r="B351" t="str">
            <v>33510</v>
          </cell>
          <cell r="C351" t="str">
            <v>E</v>
          </cell>
          <cell r="D351" t="str">
            <v>AD</v>
          </cell>
          <cell r="E351" t="str">
            <v>03</v>
          </cell>
        </row>
        <row r="352">
          <cell r="A352" t="str">
            <v>CAPELLAN I</v>
          </cell>
          <cell r="B352" t="str">
            <v>33311</v>
          </cell>
          <cell r="C352" t="str">
            <v>E</v>
          </cell>
          <cell r="D352" t="str">
            <v>UT</v>
          </cell>
          <cell r="E352" t="str">
            <v>15</v>
          </cell>
        </row>
        <row r="353">
          <cell r="A353" t="str">
            <v>CAPELLAN II</v>
          </cell>
          <cell r="B353" t="str">
            <v>33312</v>
          </cell>
          <cell r="C353" t="str">
            <v>E</v>
          </cell>
          <cell r="D353" t="str">
            <v>UT</v>
          </cell>
          <cell r="E353" t="str">
            <v>17</v>
          </cell>
        </row>
        <row r="354">
          <cell r="A354" t="str">
            <v>CAPITAN (BOMBERO)</v>
          </cell>
          <cell r="B354" t="str">
            <v>62500</v>
          </cell>
          <cell r="C354" t="str">
            <v>E</v>
          </cell>
          <cell r="D354" t="str">
            <v>BO</v>
          </cell>
          <cell r="E354" t="str">
            <v>13</v>
          </cell>
        </row>
        <row r="355">
          <cell r="A355" t="str">
            <v>CAPITAN DE HELICOPTERO</v>
          </cell>
          <cell r="B355" t="str">
            <v>52480</v>
          </cell>
          <cell r="C355" t="str">
            <v>E</v>
          </cell>
          <cell r="D355" t="str">
            <v>AD</v>
          </cell>
          <cell r="E355" t="str">
            <v>10</v>
          </cell>
        </row>
        <row r="356">
          <cell r="A356" t="str">
            <v>CAPITAN DE JET</v>
          </cell>
          <cell r="B356" t="str">
            <v>32455</v>
          </cell>
          <cell r="C356" t="str">
            <v>E</v>
          </cell>
          <cell r="D356" t="str">
            <v>AD</v>
          </cell>
          <cell r="E356" t="str">
            <v>13</v>
          </cell>
        </row>
        <row r="357">
          <cell r="A357" t="str">
            <v>CAPITAN DE PISTON</v>
          </cell>
          <cell r="B357" t="str">
            <v>35420</v>
          </cell>
          <cell r="C357" t="str">
            <v>E</v>
          </cell>
          <cell r="D357" t="str">
            <v>AD</v>
          </cell>
          <cell r="E357" t="str">
            <v>10</v>
          </cell>
        </row>
        <row r="358">
          <cell r="A358" t="str">
            <v>CAPITAN DE PUERTOS I</v>
          </cell>
          <cell r="B358" t="str">
            <v>52281</v>
          </cell>
          <cell r="C358" t="str">
            <v>E</v>
          </cell>
          <cell r="D358" t="str">
            <v>UT</v>
          </cell>
          <cell r="E358" t="str">
            <v>20</v>
          </cell>
        </row>
        <row r="359">
          <cell r="A359" t="str">
            <v>CAPITAN DE PUERTOS II</v>
          </cell>
          <cell r="B359" t="str">
            <v>52282</v>
          </cell>
          <cell r="C359" t="str">
            <v>E</v>
          </cell>
          <cell r="D359" t="str">
            <v>UT</v>
          </cell>
          <cell r="E359" t="str">
            <v>21</v>
          </cell>
        </row>
        <row r="360">
          <cell r="A360" t="str">
            <v>CAPITAN DE REMOLCADOR</v>
          </cell>
          <cell r="B360" t="str">
            <v>52385</v>
          </cell>
          <cell r="C360" t="str">
            <v>E</v>
          </cell>
          <cell r="D360" t="str">
            <v>AD</v>
          </cell>
          <cell r="E360" t="str">
            <v>01</v>
          </cell>
        </row>
        <row r="361">
          <cell r="A361" t="str">
            <v>CAPITAN DE TRANSPORTE NAVAL</v>
          </cell>
          <cell r="B361" t="str">
            <v>52395</v>
          </cell>
          <cell r="C361" t="str">
            <v>E</v>
          </cell>
          <cell r="D361" t="str">
            <v>UT</v>
          </cell>
          <cell r="E361" t="str">
            <v>19</v>
          </cell>
        </row>
        <row r="362">
          <cell r="A362" t="str">
            <v>CAPITAN I</v>
          </cell>
          <cell r="B362" t="str">
            <v>52361</v>
          </cell>
          <cell r="C362" t="str">
            <v>E</v>
          </cell>
          <cell r="D362" t="str">
            <v>UT</v>
          </cell>
          <cell r="E362" t="str">
            <v>20</v>
          </cell>
        </row>
        <row r="363">
          <cell r="A363" t="str">
            <v>CAPITAN II</v>
          </cell>
          <cell r="B363" t="str">
            <v>52362</v>
          </cell>
          <cell r="C363" t="str">
            <v>E</v>
          </cell>
          <cell r="D363" t="str">
            <v>UT</v>
          </cell>
          <cell r="E363" t="str">
            <v>21</v>
          </cell>
        </row>
        <row r="364">
          <cell r="A364" t="str">
            <v>CAPITAN III</v>
          </cell>
          <cell r="B364" t="str">
            <v>52363</v>
          </cell>
          <cell r="C364" t="str">
            <v>E</v>
          </cell>
          <cell r="D364" t="str">
            <v>UT</v>
          </cell>
          <cell r="E364" t="str">
            <v>22</v>
          </cell>
        </row>
        <row r="365">
          <cell r="A365" t="str">
            <v>CENSOR RADIO Y TV</v>
          </cell>
          <cell r="B365" t="str">
            <v>84410</v>
          </cell>
          <cell r="C365" t="str">
            <v>E</v>
          </cell>
          <cell r="D365" t="str">
            <v>UT</v>
          </cell>
          <cell r="E365" t="str">
            <v>17</v>
          </cell>
        </row>
        <row r="366">
          <cell r="A366" t="str">
            <v>CITOTECNOLOG III</v>
          </cell>
          <cell r="B366" t="str">
            <v>72133</v>
          </cell>
          <cell r="C366" t="str">
            <v>E</v>
          </cell>
          <cell r="D366" t="str">
            <v>UT</v>
          </cell>
          <cell r="E366" t="str">
            <v>19</v>
          </cell>
        </row>
        <row r="367">
          <cell r="A367" t="str">
            <v>CITOTECNOLOGO I</v>
          </cell>
          <cell r="B367" t="str">
            <v>72131</v>
          </cell>
          <cell r="C367" t="str">
            <v>E</v>
          </cell>
          <cell r="D367" t="str">
            <v>UT</v>
          </cell>
          <cell r="E367" t="str">
            <v>15</v>
          </cell>
        </row>
        <row r="368">
          <cell r="A368" t="str">
            <v>CITOTECNOLOGO II</v>
          </cell>
          <cell r="B368" t="str">
            <v>72132</v>
          </cell>
          <cell r="C368" t="str">
            <v>E</v>
          </cell>
          <cell r="D368" t="str">
            <v>UT</v>
          </cell>
          <cell r="E368" t="str">
            <v>17</v>
          </cell>
        </row>
        <row r="369">
          <cell r="A369" t="str">
            <v>CLARINETE 1</v>
          </cell>
          <cell r="B369" t="str">
            <v>03534</v>
          </cell>
          <cell r="C369" t="str">
            <v>E</v>
          </cell>
          <cell r="D369" t="str">
            <v>AD</v>
          </cell>
          <cell r="E369" t="str">
            <v>01</v>
          </cell>
        </row>
        <row r="370">
          <cell r="A370" t="str">
            <v>CLARINETE 2</v>
          </cell>
          <cell r="B370" t="str">
            <v>03563</v>
          </cell>
          <cell r="C370" t="str">
            <v>E</v>
          </cell>
          <cell r="D370" t="str">
            <v>AD</v>
          </cell>
          <cell r="E370" t="str">
            <v>01</v>
          </cell>
        </row>
        <row r="371">
          <cell r="A371" t="str">
            <v>CLARINETE 3</v>
          </cell>
          <cell r="B371" t="str">
            <v>03606</v>
          </cell>
          <cell r="C371" t="str">
            <v>E</v>
          </cell>
          <cell r="D371" t="str">
            <v>AD</v>
          </cell>
          <cell r="E371" t="str">
            <v>01</v>
          </cell>
        </row>
        <row r="372">
          <cell r="A372" t="str">
            <v>CLARINETE I</v>
          </cell>
          <cell r="B372" t="str">
            <v>02073</v>
          </cell>
          <cell r="C372" t="str">
            <v>E</v>
          </cell>
          <cell r="D372" t="str">
            <v>DO</v>
          </cell>
          <cell r="E372" t="str">
            <v/>
          </cell>
        </row>
        <row r="373">
          <cell r="A373" t="str">
            <v>CLARINETE II</v>
          </cell>
          <cell r="B373" t="str">
            <v>02081</v>
          </cell>
          <cell r="C373" t="str">
            <v>E</v>
          </cell>
          <cell r="D373" t="str">
            <v>DO</v>
          </cell>
          <cell r="E373" t="str">
            <v/>
          </cell>
        </row>
        <row r="374">
          <cell r="A374" t="str">
            <v>CLARINETE SOLISTA</v>
          </cell>
          <cell r="B374" t="str">
            <v>03518</v>
          </cell>
          <cell r="C374" t="str">
            <v>E</v>
          </cell>
          <cell r="D374" t="str">
            <v>AD</v>
          </cell>
          <cell r="E374" t="str">
            <v>01</v>
          </cell>
        </row>
        <row r="375">
          <cell r="A375" t="str">
            <v>COBRADOR JEFE I</v>
          </cell>
          <cell r="B375" t="str">
            <v>21611</v>
          </cell>
          <cell r="C375" t="str">
            <v>E</v>
          </cell>
          <cell r="D375" t="str">
            <v>AD</v>
          </cell>
          <cell r="E375" t="str">
            <v>02</v>
          </cell>
        </row>
        <row r="376">
          <cell r="A376" t="str">
            <v>COBRADOR JEFE II</v>
          </cell>
          <cell r="B376" t="str">
            <v>21612</v>
          </cell>
          <cell r="C376" t="str">
            <v>E</v>
          </cell>
          <cell r="D376" t="str">
            <v>UT</v>
          </cell>
          <cell r="E376" t="str">
            <v>15</v>
          </cell>
        </row>
        <row r="377">
          <cell r="A377" t="str">
            <v>COLECTOR</v>
          </cell>
          <cell r="B377" t="str">
            <v>21630</v>
          </cell>
          <cell r="C377" t="str">
            <v>E</v>
          </cell>
          <cell r="D377" t="str">
            <v>AD</v>
          </cell>
          <cell r="E377" t="str">
            <v>01</v>
          </cell>
        </row>
        <row r="378">
          <cell r="A378" t="str">
            <v>COMANDANTE</v>
          </cell>
          <cell r="B378" t="str">
            <v>62200</v>
          </cell>
          <cell r="C378" t="str">
            <v>E</v>
          </cell>
          <cell r="D378" t="str">
            <v>DI</v>
          </cell>
          <cell r="E378" t="str">
            <v>99</v>
          </cell>
        </row>
        <row r="379">
          <cell r="A379" t="str">
            <v>COMANDANTE DE HELICOPTERO</v>
          </cell>
          <cell r="B379" t="str">
            <v>52485</v>
          </cell>
          <cell r="C379" t="str">
            <v>E</v>
          </cell>
          <cell r="D379" t="str">
            <v>AD</v>
          </cell>
          <cell r="E379" t="str">
            <v>12</v>
          </cell>
        </row>
        <row r="380">
          <cell r="A380" t="str">
            <v>COMANDANTE DE JET</v>
          </cell>
          <cell r="B380" t="str">
            <v>52460</v>
          </cell>
          <cell r="C380" t="str">
            <v>E</v>
          </cell>
          <cell r="D380" t="str">
            <v>AD</v>
          </cell>
          <cell r="E380" t="str">
            <v>14</v>
          </cell>
        </row>
        <row r="381">
          <cell r="A381" t="str">
            <v>COMANDANTE DE TURBO</v>
          </cell>
          <cell r="B381" t="str">
            <v>52440</v>
          </cell>
          <cell r="C381" t="str">
            <v>E</v>
          </cell>
          <cell r="D381" t="str">
            <v>AD</v>
          </cell>
          <cell r="E381" t="str">
            <v>12</v>
          </cell>
        </row>
        <row r="382">
          <cell r="A382" t="str">
            <v>COMANDANTE GENERAL</v>
          </cell>
          <cell r="B382" t="str">
            <v>62162</v>
          </cell>
          <cell r="C382" t="str">
            <v>E</v>
          </cell>
          <cell r="D382" t="str">
            <v>PO</v>
          </cell>
          <cell r="E382" t="str">
            <v>99</v>
          </cell>
        </row>
        <row r="383">
          <cell r="A383" t="str">
            <v>COMISARIO</v>
          </cell>
          <cell r="B383" t="str">
            <v>62272</v>
          </cell>
          <cell r="C383" t="str">
            <v>E</v>
          </cell>
          <cell r="D383" t="str">
            <v>PO</v>
          </cell>
          <cell r="E383" t="str">
            <v>21</v>
          </cell>
        </row>
        <row r="384">
          <cell r="A384" t="str">
            <v>COMISARIO GENERAL</v>
          </cell>
          <cell r="B384" t="str">
            <v>62274</v>
          </cell>
          <cell r="C384" t="str">
            <v>E</v>
          </cell>
          <cell r="D384" t="str">
            <v>PO</v>
          </cell>
          <cell r="E384" t="str">
            <v>23</v>
          </cell>
        </row>
        <row r="385">
          <cell r="A385" t="str">
            <v>COMISARIO JEFE</v>
          </cell>
          <cell r="B385" t="str">
            <v>62273</v>
          </cell>
          <cell r="C385" t="str">
            <v>E</v>
          </cell>
          <cell r="D385" t="str">
            <v>PO</v>
          </cell>
          <cell r="E385" t="str">
            <v>22</v>
          </cell>
        </row>
        <row r="386">
          <cell r="A386" t="str">
            <v>COMISIONADO</v>
          </cell>
          <cell r="B386" t="str">
            <v>90006</v>
          </cell>
          <cell r="C386" t="str">
            <v>E</v>
          </cell>
          <cell r="D386" t="str">
            <v>PO</v>
          </cell>
          <cell r="E386" t="str">
            <v/>
          </cell>
        </row>
        <row r="387">
          <cell r="A387" t="str">
            <v>COMISIONADO (GRADO 0)</v>
          </cell>
          <cell r="B387" t="str">
            <v>90038</v>
          </cell>
          <cell r="C387" t="str">
            <v>E</v>
          </cell>
          <cell r="D387" t="str">
            <v>PO</v>
          </cell>
          <cell r="E387" t="str">
            <v/>
          </cell>
        </row>
        <row r="388">
          <cell r="A388" t="str">
            <v>COMISIONADO (GRADO 1)</v>
          </cell>
          <cell r="B388" t="str">
            <v>90039</v>
          </cell>
          <cell r="C388" t="str">
            <v>E</v>
          </cell>
          <cell r="D388" t="str">
            <v>PO</v>
          </cell>
          <cell r="E388" t="str">
            <v/>
          </cell>
        </row>
        <row r="389">
          <cell r="A389" t="str">
            <v>COMISIONADO (GRADO 2)</v>
          </cell>
          <cell r="B389" t="str">
            <v>90040</v>
          </cell>
          <cell r="C389" t="str">
            <v>E</v>
          </cell>
          <cell r="D389" t="str">
            <v>PO</v>
          </cell>
          <cell r="E389" t="str">
            <v/>
          </cell>
        </row>
        <row r="390">
          <cell r="A390" t="str">
            <v>COMISIONADO AGREGADO</v>
          </cell>
          <cell r="B390" t="str">
            <v>90007</v>
          </cell>
          <cell r="C390" t="str">
            <v>E</v>
          </cell>
          <cell r="D390" t="str">
            <v>PO</v>
          </cell>
          <cell r="E390" t="str">
            <v/>
          </cell>
        </row>
        <row r="391">
          <cell r="A391" t="str">
            <v>COMISIONADO AGREGADO (GRADO 0)</v>
          </cell>
          <cell r="B391" t="str">
            <v>90041</v>
          </cell>
          <cell r="C391" t="str">
            <v>E</v>
          </cell>
          <cell r="D391" t="str">
            <v>PO</v>
          </cell>
          <cell r="E391" t="str">
            <v/>
          </cell>
        </row>
        <row r="392">
          <cell r="A392" t="str">
            <v>COMISIONADO AGREGADO (GRADO 1)</v>
          </cell>
          <cell r="B392" t="str">
            <v>90042</v>
          </cell>
          <cell r="C392" t="str">
            <v>E</v>
          </cell>
          <cell r="D392" t="str">
            <v>PO</v>
          </cell>
          <cell r="E392" t="str">
            <v/>
          </cell>
        </row>
        <row r="393">
          <cell r="A393" t="str">
            <v>COMISIONADO AGREGADO (GRADO 2)</v>
          </cell>
          <cell r="B393" t="str">
            <v>90043</v>
          </cell>
          <cell r="C393" t="str">
            <v>E</v>
          </cell>
          <cell r="D393" t="str">
            <v>PO</v>
          </cell>
          <cell r="E393" t="str">
            <v/>
          </cell>
        </row>
        <row r="394">
          <cell r="A394" t="str">
            <v>COMISIONADO ASUNTOS INTERINSTITUCIONALES</v>
          </cell>
          <cell r="B394" t="str">
            <v>00917</v>
          </cell>
          <cell r="C394" t="str">
            <v>E</v>
          </cell>
          <cell r="D394" t="str">
            <v>DI</v>
          </cell>
          <cell r="E394" t="str">
            <v>99</v>
          </cell>
        </row>
        <row r="395">
          <cell r="A395" t="str">
            <v>COMISIONADO DEL TRABAJO</v>
          </cell>
          <cell r="B395" t="str">
            <v>84310</v>
          </cell>
          <cell r="C395" t="str">
            <v>E</v>
          </cell>
          <cell r="D395" t="str">
            <v>AD</v>
          </cell>
          <cell r="E395" t="str">
            <v>01</v>
          </cell>
        </row>
        <row r="396">
          <cell r="A396" t="str">
            <v>COMISIONADO ESPECIAL DE TRABAJO I</v>
          </cell>
          <cell r="B396" t="str">
            <v>84311</v>
          </cell>
          <cell r="C396" t="str">
            <v>E</v>
          </cell>
          <cell r="D396" t="str">
            <v>AD</v>
          </cell>
          <cell r="E396" t="str">
            <v>02</v>
          </cell>
        </row>
        <row r="397">
          <cell r="A397" t="str">
            <v>COMISIONADO ESPECIAL DE TRABAJO II</v>
          </cell>
          <cell r="B397" t="str">
            <v>84312</v>
          </cell>
          <cell r="C397" t="str">
            <v>E</v>
          </cell>
          <cell r="D397" t="str">
            <v>AD</v>
          </cell>
          <cell r="E397" t="str">
            <v>03</v>
          </cell>
        </row>
        <row r="398">
          <cell r="A398" t="str">
            <v>COMISIONADO JEFE</v>
          </cell>
          <cell r="B398" t="str">
            <v>90009</v>
          </cell>
          <cell r="C398" t="str">
            <v>E</v>
          </cell>
          <cell r="D398" t="str">
            <v>PO</v>
          </cell>
          <cell r="E398" t="str">
            <v>99</v>
          </cell>
        </row>
        <row r="399">
          <cell r="A399" t="str">
            <v>COMISIONADO JEFE (GRADO 0)</v>
          </cell>
          <cell r="B399" t="str">
            <v>90044</v>
          </cell>
          <cell r="C399" t="str">
            <v>E</v>
          </cell>
          <cell r="D399" t="str">
            <v>PO</v>
          </cell>
          <cell r="E399" t="str">
            <v/>
          </cell>
        </row>
        <row r="400">
          <cell r="A400" t="str">
            <v>COMISIONADO JEFE (GRADO 1)</v>
          </cell>
          <cell r="B400" t="str">
            <v>90045</v>
          </cell>
          <cell r="C400" t="str">
            <v>E</v>
          </cell>
          <cell r="D400" t="str">
            <v>PO</v>
          </cell>
          <cell r="E400" t="str">
            <v/>
          </cell>
        </row>
        <row r="401">
          <cell r="A401" t="str">
            <v>COMISIONADO JEFE (GRADO 2)</v>
          </cell>
          <cell r="B401" t="str">
            <v>90046</v>
          </cell>
          <cell r="C401" t="str">
            <v>E</v>
          </cell>
          <cell r="D401" t="str">
            <v>PO</v>
          </cell>
          <cell r="E401" t="str">
            <v/>
          </cell>
        </row>
        <row r="402">
          <cell r="A402" t="str">
            <v>COMISIONADO JEFE (GRADO 3)</v>
          </cell>
          <cell r="B402" t="str">
            <v>90047</v>
          </cell>
          <cell r="C402" t="str">
            <v>E</v>
          </cell>
          <cell r="D402" t="str">
            <v>PO</v>
          </cell>
          <cell r="E402" t="str">
            <v/>
          </cell>
        </row>
        <row r="403">
          <cell r="A403" t="str">
            <v>COMISIONADO.</v>
          </cell>
          <cell r="B403" t="str">
            <v>00001</v>
          </cell>
          <cell r="C403" t="str">
            <v>E</v>
          </cell>
          <cell r="D403" t="str">
            <v>DI</v>
          </cell>
          <cell r="E403" t="str">
            <v>99</v>
          </cell>
        </row>
        <row r="404">
          <cell r="A404" t="str">
            <v>COMPRADOR I</v>
          </cell>
          <cell r="B404" t="str">
            <v>25311</v>
          </cell>
          <cell r="C404" t="str">
            <v>E</v>
          </cell>
          <cell r="D404" t="str">
            <v>AD</v>
          </cell>
          <cell r="E404" t="str">
            <v>01</v>
          </cell>
        </row>
        <row r="405">
          <cell r="A405" t="str">
            <v>COMPRADOR II</v>
          </cell>
          <cell r="B405" t="str">
            <v>25312</v>
          </cell>
          <cell r="C405" t="str">
            <v>E</v>
          </cell>
          <cell r="D405" t="str">
            <v>AD</v>
          </cell>
          <cell r="E405" t="str">
            <v>03</v>
          </cell>
        </row>
        <row r="406">
          <cell r="A406" t="str">
            <v>COMPRADOR III</v>
          </cell>
          <cell r="B406" t="str">
            <v>25313</v>
          </cell>
          <cell r="C406" t="str">
            <v>E</v>
          </cell>
          <cell r="D406" t="str">
            <v>UT</v>
          </cell>
          <cell r="E406" t="str">
            <v>15</v>
          </cell>
        </row>
        <row r="407">
          <cell r="A407" t="str">
            <v>COMPRADOR JEFE I</v>
          </cell>
          <cell r="B407" t="str">
            <v>25321</v>
          </cell>
          <cell r="C407" t="str">
            <v>E</v>
          </cell>
          <cell r="D407" t="str">
            <v>UT</v>
          </cell>
          <cell r="E407" t="str">
            <v>17</v>
          </cell>
        </row>
        <row r="408">
          <cell r="A408" t="str">
            <v>COMPRADOR JEFE II</v>
          </cell>
          <cell r="B408" t="str">
            <v>25322</v>
          </cell>
          <cell r="C408" t="str">
            <v>E</v>
          </cell>
          <cell r="D408" t="str">
            <v>UT</v>
          </cell>
          <cell r="E408" t="str">
            <v>19</v>
          </cell>
        </row>
        <row r="409">
          <cell r="A409" t="str">
            <v>COMUNICADOR SOCIAL I</v>
          </cell>
          <cell r="B409" t="str">
            <v>31321</v>
          </cell>
          <cell r="C409" t="str">
            <v>E</v>
          </cell>
          <cell r="D409" t="str">
            <v>UT</v>
          </cell>
          <cell r="E409" t="str">
            <v>17</v>
          </cell>
        </row>
        <row r="410">
          <cell r="A410" t="str">
            <v>COMUNICADOR SOCIAL II</v>
          </cell>
          <cell r="B410" t="str">
            <v>31322</v>
          </cell>
          <cell r="C410" t="str">
            <v>E</v>
          </cell>
          <cell r="D410" t="str">
            <v>UT</v>
          </cell>
          <cell r="E410" t="str">
            <v>19</v>
          </cell>
        </row>
        <row r="411">
          <cell r="A411" t="str">
            <v>COMUNICADOR SOCIAL III</v>
          </cell>
          <cell r="B411" t="str">
            <v>31323</v>
          </cell>
          <cell r="C411" t="str">
            <v>E</v>
          </cell>
          <cell r="D411" t="str">
            <v>UT</v>
          </cell>
          <cell r="E411" t="str">
            <v>21</v>
          </cell>
        </row>
        <row r="412">
          <cell r="A412" t="str">
            <v>CONDUCTORES DE 1RA</v>
          </cell>
          <cell r="B412" t="str">
            <v>62213</v>
          </cell>
          <cell r="C412" t="str">
            <v>E</v>
          </cell>
          <cell r="D412" t="str">
            <v>PO</v>
          </cell>
          <cell r="E412" t="str">
            <v/>
          </cell>
        </row>
        <row r="413">
          <cell r="A413" t="str">
            <v>CONDUCTORES DE 2DA</v>
          </cell>
          <cell r="B413" t="str">
            <v>62212</v>
          </cell>
          <cell r="C413" t="str">
            <v>E</v>
          </cell>
          <cell r="D413" t="str">
            <v>PO</v>
          </cell>
          <cell r="E413" t="str">
            <v/>
          </cell>
        </row>
        <row r="414">
          <cell r="A414" t="str">
            <v>CONDUCTORES DE 3RA</v>
          </cell>
          <cell r="B414" t="str">
            <v>62211</v>
          </cell>
          <cell r="C414" t="str">
            <v>E</v>
          </cell>
          <cell r="D414" t="str">
            <v>PO</v>
          </cell>
          <cell r="E414" t="str">
            <v/>
          </cell>
        </row>
        <row r="415">
          <cell r="A415" t="str">
            <v>CONSULTOR JURIDICO</v>
          </cell>
          <cell r="B415" t="str">
            <v>00924</v>
          </cell>
          <cell r="C415" t="str">
            <v>E</v>
          </cell>
          <cell r="D415" t="str">
            <v>DI</v>
          </cell>
          <cell r="E415" t="str">
            <v>99</v>
          </cell>
        </row>
        <row r="416">
          <cell r="A416" t="str">
            <v>CONTABILISTA I</v>
          </cell>
          <cell r="B416" t="str">
            <v>21111</v>
          </cell>
          <cell r="C416" t="str">
            <v>E</v>
          </cell>
          <cell r="D416" t="str">
            <v>AD</v>
          </cell>
          <cell r="E416" t="str">
            <v>01</v>
          </cell>
        </row>
        <row r="417">
          <cell r="A417" t="str">
            <v>CONTABILISTA II</v>
          </cell>
          <cell r="B417" t="str">
            <v>21112</v>
          </cell>
          <cell r="C417" t="str">
            <v>E</v>
          </cell>
          <cell r="D417" t="str">
            <v>AD</v>
          </cell>
          <cell r="E417" t="str">
            <v>03</v>
          </cell>
        </row>
        <row r="418">
          <cell r="A418" t="str">
            <v>CONTABILISTA III</v>
          </cell>
          <cell r="B418" t="str">
            <v>21113</v>
          </cell>
          <cell r="C418" t="str">
            <v>E</v>
          </cell>
          <cell r="D418" t="str">
            <v>UT</v>
          </cell>
          <cell r="E418" t="str">
            <v>15</v>
          </cell>
        </row>
        <row r="419">
          <cell r="A419" t="str">
            <v>CONTADOR I</v>
          </cell>
          <cell r="B419" t="str">
            <v>21131</v>
          </cell>
          <cell r="C419" t="str">
            <v>E</v>
          </cell>
          <cell r="D419" t="str">
            <v>UT</v>
          </cell>
          <cell r="E419" t="str">
            <v>17</v>
          </cell>
        </row>
        <row r="420">
          <cell r="A420" t="str">
            <v>CONTADOR II</v>
          </cell>
          <cell r="B420" t="str">
            <v>21132</v>
          </cell>
          <cell r="C420" t="str">
            <v>E</v>
          </cell>
          <cell r="D420" t="str">
            <v>UT</v>
          </cell>
          <cell r="E420" t="str">
            <v>19</v>
          </cell>
        </row>
        <row r="421">
          <cell r="A421" t="str">
            <v>CONTADOR III</v>
          </cell>
          <cell r="B421" t="str">
            <v>21133</v>
          </cell>
          <cell r="C421" t="str">
            <v>E</v>
          </cell>
          <cell r="D421" t="str">
            <v>UT</v>
          </cell>
          <cell r="E421" t="str">
            <v>21</v>
          </cell>
        </row>
        <row r="422">
          <cell r="A422" t="str">
            <v>CONTADOR IV</v>
          </cell>
          <cell r="B422" t="str">
            <v>21134</v>
          </cell>
          <cell r="C422" t="str">
            <v>E</v>
          </cell>
          <cell r="D422" t="str">
            <v>UT</v>
          </cell>
          <cell r="E422" t="str">
            <v>23</v>
          </cell>
        </row>
        <row r="423">
          <cell r="A423" t="str">
            <v>CONTADOR JEFE</v>
          </cell>
          <cell r="B423" t="str">
            <v>21140</v>
          </cell>
          <cell r="C423" t="str">
            <v>E</v>
          </cell>
          <cell r="D423" t="str">
            <v>UT</v>
          </cell>
          <cell r="E423" t="str">
            <v>25</v>
          </cell>
        </row>
        <row r="424">
          <cell r="A424" t="str">
            <v>CONTRABAJO</v>
          </cell>
          <cell r="B424" t="str">
            <v>02057</v>
          </cell>
          <cell r="C424" t="str">
            <v>E</v>
          </cell>
          <cell r="D424" t="str">
            <v>AD</v>
          </cell>
          <cell r="E424" t="str">
            <v>01</v>
          </cell>
        </row>
        <row r="425">
          <cell r="A425" t="str">
            <v>CONTRABAJO</v>
          </cell>
          <cell r="B425" t="str">
            <v>03622</v>
          </cell>
          <cell r="C425" t="str">
            <v>E</v>
          </cell>
          <cell r="D425" t="str">
            <v>AD</v>
          </cell>
          <cell r="E425" t="str">
            <v>01</v>
          </cell>
        </row>
        <row r="426">
          <cell r="A426" t="str">
            <v>CONTRABAJO 1</v>
          </cell>
          <cell r="B426" t="str">
            <v>03558</v>
          </cell>
          <cell r="C426" t="str">
            <v>E</v>
          </cell>
          <cell r="D426" t="str">
            <v>AD</v>
          </cell>
          <cell r="E426" t="str">
            <v>01</v>
          </cell>
        </row>
        <row r="427">
          <cell r="A427" t="str">
            <v>CONTRABAJO I/ INST. I N.G. (16 HORAS)</v>
          </cell>
          <cell r="B427" t="str">
            <v>40232</v>
          </cell>
          <cell r="C427" t="str">
            <v>E</v>
          </cell>
          <cell r="D427" t="str">
            <v>DO</v>
          </cell>
          <cell r="E427" t="str">
            <v/>
          </cell>
        </row>
        <row r="428">
          <cell r="A428" t="str">
            <v>CONTRABAJO II</v>
          </cell>
          <cell r="B428" t="str">
            <v>03559</v>
          </cell>
          <cell r="C428" t="str">
            <v>E</v>
          </cell>
          <cell r="D428" t="str">
            <v>AD</v>
          </cell>
          <cell r="E428" t="str">
            <v>01</v>
          </cell>
        </row>
        <row r="429">
          <cell r="A429" t="str">
            <v>CONTRALOR INTERNO</v>
          </cell>
          <cell r="B429" t="str">
            <v>10000</v>
          </cell>
          <cell r="C429" t="str">
            <v>E</v>
          </cell>
          <cell r="D429" t="str">
            <v>UT</v>
          </cell>
          <cell r="E429" t="str">
            <v>19</v>
          </cell>
        </row>
        <row r="430">
          <cell r="A430" t="str">
            <v>CONTROLADOR DE ARMAS Y EXPLOSIVOS I</v>
          </cell>
          <cell r="B430" t="str">
            <v>85211</v>
          </cell>
          <cell r="C430" t="str">
            <v>E</v>
          </cell>
          <cell r="D430" t="str">
            <v>AD</v>
          </cell>
          <cell r="E430" t="str">
            <v>04</v>
          </cell>
        </row>
        <row r="431">
          <cell r="A431" t="str">
            <v>CONTROLADOR DE ARMAS Y EXPLOSIVOS II</v>
          </cell>
          <cell r="B431" t="str">
            <v>85212</v>
          </cell>
          <cell r="C431" t="str">
            <v>E</v>
          </cell>
          <cell r="D431" t="str">
            <v>AD</v>
          </cell>
          <cell r="E431" t="str">
            <v>06</v>
          </cell>
        </row>
        <row r="432">
          <cell r="A432" t="str">
            <v>CONTROLADOR DE ARMAS Y EXPLOSIVOS III</v>
          </cell>
          <cell r="B432" t="str">
            <v>85213</v>
          </cell>
          <cell r="C432" t="str">
            <v>E</v>
          </cell>
          <cell r="D432" t="str">
            <v>AD</v>
          </cell>
          <cell r="E432" t="str">
            <v>08</v>
          </cell>
        </row>
        <row r="433">
          <cell r="A433" t="str">
            <v>CONTROLADOR DE TRANSITO AEREO I</v>
          </cell>
          <cell r="B433" t="str">
            <v>51621</v>
          </cell>
          <cell r="C433" t="str">
            <v>E</v>
          </cell>
          <cell r="D433" t="str">
            <v>AD</v>
          </cell>
          <cell r="E433" t="str">
            <v>03</v>
          </cell>
        </row>
        <row r="434">
          <cell r="A434" t="str">
            <v>CONTROLADOR DE TRANSITO AEREO II</v>
          </cell>
          <cell r="B434" t="str">
            <v>51622</v>
          </cell>
          <cell r="C434" t="str">
            <v>E</v>
          </cell>
          <cell r="D434" t="str">
            <v>AD</v>
          </cell>
          <cell r="E434" t="str">
            <v>05</v>
          </cell>
        </row>
        <row r="435">
          <cell r="A435" t="str">
            <v>CONTROLADOR DE TRANSITO AEREO III</v>
          </cell>
          <cell r="B435" t="str">
            <v>51623</v>
          </cell>
          <cell r="C435" t="str">
            <v>E</v>
          </cell>
          <cell r="D435" t="str">
            <v>AD</v>
          </cell>
          <cell r="E435" t="str">
            <v>07</v>
          </cell>
        </row>
        <row r="436">
          <cell r="A436" t="str">
            <v>CONTROLADOR DE TRANSITO AEREO IV</v>
          </cell>
          <cell r="B436" t="str">
            <v>51624</v>
          </cell>
          <cell r="C436" t="str">
            <v>E</v>
          </cell>
          <cell r="D436" t="str">
            <v>AD</v>
          </cell>
          <cell r="E436" t="str">
            <v>08</v>
          </cell>
        </row>
        <row r="437">
          <cell r="A437" t="str">
            <v>CONTROLADOR DE TRANSITO AEREO JEFE I</v>
          </cell>
          <cell r="B437" t="str">
            <v>51631</v>
          </cell>
          <cell r="C437" t="str">
            <v>E</v>
          </cell>
          <cell r="D437" t="str">
            <v>AD</v>
          </cell>
          <cell r="E437" t="str">
            <v>11</v>
          </cell>
        </row>
        <row r="438">
          <cell r="A438" t="str">
            <v>CONTROLADOR DE TRANSITO AEREO JEFE II</v>
          </cell>
          <cell r="B438" t="str">
            <v>51632</v>
          </cell>
          <cell r="C438" t="str">
            <v>E</v>
          </cell>
          <cell r="D438" t="str">
            <v>AD</v>
          </cell>
          <cell r="E438" t="str">
            <v>12</v>
          </cell>
        </row>
        <row r="439">
          <cell r="A439" t="str">
            <v>CONTROLADOR DE TRANSITO AEREO JEFE III</v>
          </cell>
          <cell r="B439" t="str">
            <v>51633</v>
          </cell>
          <cell r="C439" t="str">
            <v>E</v>
          </cell>
          <cell r="D439" t="str">
            <v>AD</v>
          </cell>
          <cell r="E439" t="str">
            <v>13</v>
          </cell>
        </row>
        <row r="440">
          <cell r="A440" t="str">
            <v>CONTROLADOR DE TRANSITO AEREO V</v>
          </cell>
          <cell r="B440" t="str">
            <v>51625</v>
          </cell>
          <cell r="C440" t="str">
            <v>E</v>
          </cell>
          <cell r="D440" t="str">
            <v>AD</v>
          </cell>
          <cell r="E440" t="str">
            <v>09</v>
          </cell>
        </row>
        <row r="441">
          <cell r="A441" t="str">
            <v>CONTROLADOR DE TRANSITO AEREO VI</v>
          </cell>
          <cell r="B441" t="str">
            <v>51626</v>
          </cell>
          <cell r="C441" t="str">
            <v>E</v>
          </cell>
          <cell r="D441" t="str">
            <v>AD</v>
          </cell>
          <cell r="E441" t="str">
            <v>10</v>
          </cell>
        </row>
        <row r="442">
          <cell r="A442" t="str">
            <v>COORD DOC VI 77 TID (36 HORAS) Y DOCENTE BASICO VI (06 HORAS)</v>
          </cell>
          <cell r="B442" t="str">
            <v>40014</v>
          </cell>
          <cell r="C442" t="str">
            <v>E</v>
          </cell>
          <cell r="D442" t="str">
            <v>DO</v>
          </cell>
          <cell r="E442" t="str">
            <v/>
          </cell>
        </row>
        <row r="443">
          <cell r="A443" t="str">
            <v>COORD.  I   77</v>
          </cell>
          <cell r="B443" t="str">
            <v>01301</v>
          </cell>
          <cell r="C443" t="str">
            <v>E</v>
          </cell>
          <cell r="D443" t="str">
            <v>DO</v>
          </cell>
          <cell r="E443" t="str">
            <v/>
          </cell>
        </row>
        <row r="444">
          <cell r="A444" t="str">
            <v>COORD.  II  77</v>
          </cell>
          <cell r="B444" t="str">
            <v>01302</v>
          </cell>
          <cell r="C444" t="str">
            <v>E</v>
          </cell>
          <cell r="D444" t="str">
            <v>DO</v>
          </cell>
          <cell r="E444" t="str">
            <v/>
          </cell>
        </row>
        <row r="445">
          <cell r="A445" t="str">
            <v>COORD.  III 77</v>
          </cell>
          <cell r="B445" t="str">
            <v>01303</v>
          </cell>
          <cell r="C445" t="str">
            <v>E</v>
          </cell>
          <cell r="D445" t="str">
            <v>DO</v>
          </cell>
          <cell r="E445" t="str">
            <v/>
          </cell>
        </row>
        <row r="446">
          <cell r="A446" t="str">
            <v>COORD.  IV  77</v>
          </cell>
          <cell r="B446" t="str">
            <v>01304</v>
          </cell>
          <cell r="C446" t="str">
            <v>E</v>
          </cell>
          <cell r="D446" t="str">
            <v>DO</v>
          </cell>
          <cell r="E446" t="str">
            <v/>
          </cell>
        </row>
        <row r="447">
          <cell r="A447" t="str">
            <v>COORD.  V   77</v>
          </cell>
          <cell r="B447" t="str">
            <v>01305</v>
          </cell>
          <cell r="C447" t="str">
            <v>E</v>
          </cell>
          <cell r="D447" t="str">
            <v>DO</v>
          </cell>
          <cell r="E447" t="str">
            <v/>
          </cell>
        </row>
        <row r="448">
          <cell r="A448" t="str">
            <v>COORD.  VI  77</v>
          </cell>
          <cell r="B448" t="str">
            <v>01306</v>
          </cell>
          <cell r="C448" t="str">
            <v>E</v>
          </cell>
          <cell r="D448" t="str">
            <v>DO</v>
          </cell>
          <cell r="E448" t="str">
            <v/>
          </cell>
        </row>
        <row r="449">
          <cell r="A449" t="str">
            <v>COORD. CONSERV. Y M.</v>
          </cell>
          <cell r="B449" t="str">
            <v>01310</v>
          </cell>
          <cell r="C449" t="str">
            <v>E</v>
          </cell>
          <cell r="D449" t="str">
            <v>DO</v>
          </cell>
          <cell r="E449" t="str">
            <v/>
          </cell>
        </row>
        <row r="450">
          <cell r="A450" t="str">
            <v>COORD. DE DIFUSIONLITER. Y TEATRAL</v>
          </cell>
          <cell r="B450" t="str">
            <v>00945</v>
          </cell>
          <cell r="C450" t="str">
            <v>E</v>
          </cell>
          <cell r="D450" t="str">
            <v>DO</v>
          </cell>
          <cell r="E450" t="str">
            <v/>
          </cell>
        </row>
        <row r="451">
          <cell r="A451" t="str">
            <v>COORD. DE SEGUIMIENTO Y EVAL. DE POLITICAS PUBLICAS</v>
          </cell>
          <cell r="B451" t="str">
            <v>00929</v>
          </cell>
          <cell r="C451" t="str">
            <v>E</v>
          </cell>
          <cell r="D451" t="str">
            <v>DI</v>
          </cell>
          <cell r="E451" t="str">
            <v>99</v>
          </cell>
        </row>
        <row r="452">
          <cell r="A452" t="str">
            <v>COORD. DEL COMITE ESTADAL DE LA VIVIENDA</v>
          </cell>
          <cell r="B452" t="str">
            <v>00936</v>
          </cell>
          <cell r="C452" t="str">
            <v>E</v>
          </cell>
          <cell r="D452" t="str">
            <v>DI</v>
          </cell>
          <cell r="E452" t="str">
            <v>99</v>
          </cell>
        </row>
        <row r="453">
          <cell r="A453" t="str">
            <v>COORD. DESARROLLO DE RECURSOS HUMANOS II</v>
          </cell>
          <cell r="B453" t="str">
            <v>16112</v>
          </cell>
          <cell r="C453" t="str">
            <v>E</v>
          </cell>
          <cell r="D453" t="str">
            <v>UT</v>
          </cell>
          <cell r="E453" t="str">
            <v>20</v>
          </cell>
        </row>
        <row r="454">
          <cell r="A454" t="str">
            <v>COORD. DOCENTE 77</v>
          </cell>
          <cell r="B454" t="str">
            <v>01320</v>
          </cell>
          <cell r="C454" t="str">
            <v>E</v>
          </cell>
          <cell r="D454" t="str">
            <v>DO</v>
          </cell>
          <cell r="E454" t="str">
            <v/>
          </cell>
        </row>
        <row r="455">
          <cell r="A455" t="str">
            <v>COORD. DOCENTE I   77</v>
          </cell>
          <cell r="B455" t="str">
            <v>01321</v>
          </cell>
          <cell r="C455" t="str">
            <v>E</v>
          </cell>
          <cell r="D455" t="str">
            <v>DO</v>
          </cell>
          <cell r="E455" t="str">
            <v/>
          </cell>
        </row>
        <row r="456">
          <cell r="A456" t="str">
            <v>COORD. DOCENTE II  77</v>
          </cell>
          <cell r="B456" t="str">
            <v>01322</v>
          </cell>
          <cell r="C456" t="str">
            <v>E</v>
          </cell>
          <cell r="D456" t="str">
            <v>DO</v>
          </cell>
          <cell r="E456" t="str">
            <v/>
          </cell>
        </row>
        <row r="457">
          <cell r="A457" t="str">
            <v>COORD. DOCENTE III 77</v>
          </cell>
          <cell r="B457" t="str">
            <v>01323</v>
          </cell>
          <cell r="C457" t="str">
            <v>E</v>
          </cell>
          <cell r="D457" t="str">
            <v>DO</v>
          </cell>
          <cell r="E457" t="str">
            <v/>
          </cell>
        </row>
        <row r="458">
          <cell r="A458" t="str">
            <v>COORD. DOCENTE IV  77</v>
          </cell>
          <cell r="B458" t="str">
            <v>01324</v>
          </cell>
          <cell r="C458" t="str">
            <v>E</v>
          </cell>
          <cell r="D458" t="str">
            <v>DO</v>
          </cell>
          <cell r="E458" t="str">
            <v/>
          </cell>
        </row>
        <row r="459">
          <cell r="A459" t="str">
            <v>COORD. DOCENTE IV 77 TC (36 HORAS) Y DOCENTE IV 77 TCVNMA (16 HORAS)</v>
          </cell>
          <cell r="B459" t="str">
            <v>40221</v>
          </cell>
          <cell r="C459" t="str">
            <v>E</v>
          </cell>
          <cell r="D459" t="str">
            <v>DO</v>
          </cell>
          <cell r="E459" t="str">
            <v/>
          </cell>
        </row>
        <row r="460">
          <cell r="A460" t="str">
            <v>COORD. DOCENTE V   77</v>
          </cell>
          <cell r="B460" t="str">
            <v>01325</v>
          </cell>
          <cell r="C460" t="str">
            <v>E</v>
          </cell>
          <cell r="D460" t="str">
            <v>DO</v>
          </cell>
          <cell r="E460" t="str">
            <v/>
          </cell>
        </row>
        <row r="461">
          <cell r="A461" t="str">
            <v>COORD. DOCENTE VI  77</v>
          </cell>
          <cell r="B461" t="str">
            <v>01326</v>
          </cell>
          <cell r="C461" t="str">
            <v>E</v>
          </cell>
          <cell r="D461" t="str">
            <v>DO</v>
          </cell>
          <cell r="E461" t="str">
            <v/>
          </cell>
        </row>
        <row r="462">
          <cell r="A462" t="str">
            <v>COORD. ENTES P Y P DE CULTURA Y DEPORTE</v>
          </cell>
          <cell r="B462" t="str">
            <v>00941</v>
          </cell>
          <cell r="C462" t="str">
            <v>E</v>
          </cell>
          <cell r="D462" t="str">
            <v>DI</v>
          </cell>
          <cell r="E462" t="str">
            <v>99</v>
          </cell>
        </row>
        <row r="463">
          <cell r="A463" t="str">
            <v>COORD. I   139</v>
          </cell>
          <cell r="B463" t="str">
            <v>01311</v>
          </cell>
          <cell r="C463" t="str">
            <v>E</v>
          </cell>
          <cell r="D463" t="str">
            <v>DO</v>
          </cell>
          <cell r="E463" t="str">
            <v/>
          </cell>
        </row>
        <row r="464">
          <cell r="A464" t="str">
            <v>COORD. II  139</v>
          </cell>
          <cell r="B464" t="str">
            <v>01312</v>
          </cell>
          <cell r="C464" t="str">
            <v>E</v>
          </cell>
          <cell r="D464" t="str">
            <v>DO</v>
          </cell>
          <cell r="E464" t="str">
            <v/>
          </cell>
        </row>
        <row r="465">
          <cell r="A465" t="str">
            <v>COORD. III 139</v>
          </cell>
          <cell r="B465" t="str">
            <v>01313</v>
          </cell>
          <cell r="C465" t="str">
            <v>E</v>
          </cell>
          <cell r="D465" t="str">
            <v>DO</v>
          </cell>
          <cell r="E465" t="str">
            <v/>
          </cell>
        </row>
        <row r="466">
          <cell r="A466" t="str">
            <v>COORD. INV. Y FLOK.</v>
          </cell>
          <cell r="B466" t="str">
            <v>02076</v>
          </cell>
          <cell r="C466" t="str">
            <v>E</v>
          </cell>
          <cell r="D466" t="str">
            <v>DO</v>
          </cell>
          <cell r="E466" t="str">
            <v/>
          </cell>
        </row>
        <row r="467">
          <cell r="A467" t="str">
            <v>COORD. IV  139</v>
          </cell>
          <cell r="B467" t="str">
            <v>01314</v>
          </cell>
          <cell r="C467" t="str">
            <v>E</v>
          </cell>
          <cell r="D467" t="str">
            <v>DO</v>
          </cell>
          <cell r="E467" t="str">
            <v/>
          </cell>
        </row>
        <row r="468">
          <cell r="A468" t="str">
            <v>COORD. RED DE BIBLIOTECAS E INFORM. ESTA</v>
          </cell>
          <cell r="B468" t="str">
            <v>36640</v>
          </cell>
          <cell r="C468" t="str">
            <v>E</v>
          </cell>
          <cell r="D468" t="str">
            <v>UT</v>
          </cell>
          <cell r="E468" t="str">
            <v>26</v>
          </cell>
        </row>
        <row r="469">
          <cell r="A469" t="str">
            <v>COORD. REGISTRO NACIONAL PERMANENTE</v>
          </cell>
          <cell r="B469" t="str">
            <v>15130</v>
          </cell>
          <cell r="C469" t="str">
            <v>E</v>
          </cell>
          <cell r="D469" t="str">
            <v>UT</v>
          </cell>
          <cell r="E469" t="str">
            <v>20</v>
          </cell>
        </row>
        <row r="470">
          <cell r="A470" t="str">
            <v>COORD. V   139</v>
          </cell>
          <cell r="B470" t="str">
            <v>01315</v>
          </cell>
          <cell r="C470" t="str">
            <v>E</v>
          </cell>
          <cell r="D470" t="str">
            <v>DO</v>
          </cell>
          <cell r="E470" t="str">
            <v/>
          </cell>
        </row>
        <row r="471">
          <cell r="A471" t="str">
            <v>COORD. VI  139</v>
          </cell>
          <cell r="B471" t="str">
            <v>01316</v>
          </cell>
          <cell r="C471" t="str">
            <v>E</v>
          </cell>
          <cell r="D471" t="str">
            <v>DO</v>
          </cell>
          <cell r="E471" t="str">
            <v/>
          </cell>
        </row>
        <row r="472">
          <cell r="A472" t="str">
            <v>COORD.DIF.C.CUL.VI 139</v>
          </cell>
          <cell r="B472" t="str">
            <v>01327</v>
          </cell>
          <cell r="C472" t="str">
            <v>E</v>
          </cell>
          <cell r="D472" t="str">
            <v>DO</v>
          </cell>
          <cell r="E472" t="str">
            <v/>
          </cell>
        </row>
        <row r="473">
          <cell r="A473" t="str">
            <v>COORD.DIF.Y PROM.DOC.BAS.16 TC.139</v>
          </cell>
          <cell r="B473" t="str">
            <v>02075</v>
          </cell>
          <cell r="C473" t="str">
            <v>E</v>
          </cell>
          <cell r="D473" t="str">
            <v>DO</v>
          </cell>
          <cell r="E473" t="str">
            <v/>
          </cell>
        </row>
        <row r="474">
          <cell r="A474" t="str">
            <v>COORD.DOCENTE BAS.16TC. VI 77</v>
          </cell>
          <cell r="B474" t="str">
            <v>02074</v>
          </cell>
          <cell r="C474" t="str">
            <v>E</v>
          </cell>
          <cell r="D474" t="str">
            <v>DO</v>
          </cell>
          <cell r="E474" t="str">
            <v/>
          </cell>
        </row>
        <row r="475">
          <cell r="A475" t="str">
            <v>COORD.DOCENTE N.G.</v>
          </cell>
          <cell r="B475" t="str">
            <v>02018</v>
          </cell>
          <cell r="C475" t="str">
            <v>E</v>
          </cell>
          <cell r="D475" t="str">
            <v>DO</v>
          </cell>
          <cell r="E475" t="str">
            <v/>
          </cell>
        </row>
        <row r="476">
          <cell r="A476" t="str">
            <v>COORD.EDUC.RURAL</v>
          </cell>
          <cell r="B476" t="str">
            <v>01317</v>
          </cell>
          <cell r="C476" t="str">
            <v>E</v>
          </cell>
          <cell r="D476" t="str">
            <v>DO</v>
          </cell>
          <cell r="E476" t="str">
            <v/>
          </cell>
        </row>
        <row r="477">
          <cell r="A477" t="str">
            <v>COORD.MANT. Y CONSERV.</v>
          </cell>
          <cell r="B477" t="str">
            <v>02077</v>
          </cell>
          <cell r="C477" t="str">
            <v>E</v>
          </cell>
          <cell r="D477" t="str">
            <v>DO</v>
          </cell>
          <cell r="E477" t="str">
            <v/>
          </cell>
        </row>
        <row r="478">
          <cell r="A478" t="str">
            <v>COORDINADOR</v>
          </cell>
          <cell r="B478" t="str">
            <v>00904</v>
          </cell>
          <cell r="C478" t="str">
            <v>E</v>
          </cell>
          <cell r="D478" t="str">
            <v>DI</v>
          </cell>
          <cell r="E478" t="str">
            <v>99</v>
          </cell>
        </row>
        <row r="479">
          <cell r="A479" t="str">
            <v>COORDINADOR</v>
          </cell>
          <cell r="B479" t="str">
            <v>40225</v>
          </cell>
          <cell r="C479" t="str">
            <v>E</v>
          </cell>
          <cell r="D479" t="str">
            <v>DO</v>
          </cell>
          <cell r="E479" t="str">
            <v/>
          </cell>
        </row>
        <row r="480">
          <cell r="A480" t="str">
            <v>COORDINADOR ADMINISTRATIVO</v>
          </cell>
          <cell r="B480" t="str">
            <v>00915</v>
          </cell>
          <cell r="C480" t="str">
            <v>E</v>
          </cell>
          <cell r="D480" t="str">
            <v>DI</v>
          </cell>
          <cell r="E480" t="str">
            <v>99</v>
          </cell>
        </row>
        <row r="481">
          <cell r="A481" t="str">
            <v>COORDINADOR DE  ASISTENCIA TECNICA</v>
          </cell>
          <cell r="B481" t="str">
            <v>00913</v>
          </cell>
          <cell r="C481" t="str">
            <v>E</v>
          </cell>
          <cell r="D481" t="str">
            <v>DI</v>
          </cell>
          <cell r="E481" t="str">
            <v>99</v>
          </cell>
        </row>
        <row r="482">
          <cell r="A482" t="str">
            <v>COORDINADOR DE  FORMACION CULTURAL</v>
          </cell>
          <cell r="B482" t="str">
            <v>37940</v>
          </cell>
          <cell r="C482" t="str">
            <v>E</v>
          </cell>
          <cell r="D482" t="str">
            <v>AD</v>
          </cell>
          <cell r="E482" t="str">
            <v>02</v>
          </cell>
        </row>
        <row r="483">
          <cell r="A483" t="str">
            <v>COORDINADOR DE ASUNTOS CINEMATOGRAFICOS I</v>
          </cell>
          <cell r="B483" t="str">
            <v>32421</v>
          </cell>
          <cell r="C483" t="str">
            <v>E</v>
          </cell>
          <cell r="D483" t="str">
            <v>UT</v>
          </cell>
          <cell r="E483" t="str">
            <v>15</v>
          </cell>
        </row>
        <row r="484">
          <cell r="A484" t="str">
            <v>COORDINADOR DE ASUNTOS CINEMATOGRAFICOS II</v>
          </cell>
          <cell r="B484" t="str">
            <v>35422</v>
          </cell>
          <cell r="C484" t="str">
            <v>E</v>
          </cell>
          <cell r="D484" t="str">
            <v>UT</v>
          </cell>
          <cell r="E484" t="str">
            <v>17</v>
          </cell>
        </row>
        <row r="485">
          <cell r="A485" t="str">
            <v>COORDINADOR DE ASUNTOS CINEMATOGRAFICOS III</v>
          </cell>
          <cell r="B485" t="str">
            <v>35423</v>
          </cell>
          <cell r="C485" t="str">
            <v>E</v>
          </cell>
          <cell r="D485" t="str">
            <v>UT</v>
          </cell>
          <cell r="E485" t="str">
            <v>19</v>
          </cell>
        </row>
        <row r="486">
          <cell r="A486" t="str">
            <v>COORDINADOR DE ASUNTOS INTERNACIONALES I</v>
          </cell>
          <cell r="B486" t="str">
            <v>33411</v>
          </cell>
          <cell r="C486" t="str">
            <v>E</v>
          </cell>
          <cell r="D486" t="str">
            <v>UT</v>
          </cell>
          <cell r="E486" t="str">
            <v>17</v>
          </cell>
        </row>
        <row r="487">
          <cell r="A487" t="str">
            <v>COORDINADOR DE ASUNTOS INTERNACIONALES II</v>
          </cell>
          <cell r="B487" t="str">
            <v>33412</v>
          </cell>
          <cell r="C487" t="str">
            <v>E</v>
          </cell>
          <cell r="D487" t="str">
            <v>UT</v>
          </cell>
          <cell r="E487" t="str">
            <v>19</v>
          </cell>
        </row>
        <row r="488">
          <cell r="A488" t="str">
            <v>COORDINADOR DE ASUNTOS INTERNACIONALES III</v>
          </cell>
          <cell r="B488" t="str">
            <v>33413</v>
          </cell>
          <cell r="C488" t="str">
            <v>E</v>
          </cell>
          <cell r="D488" t="str">
            <v>UT</v>
          </cell>
          <cell r="E488" t="str">
            <v>21</v>
          </cell>
        </row>
        <row r="489">
          <cell r="A489" t="str">
            <v>COORDINADOR DE ASUNTOS LABORALES I</v>
          </cell>
          <cell r="B489" t="str">
            <v>84331</v>
          </cell>
          <cell r="C489" t="str">
            <v>E</v>
          </cell>
          <cell r="D489" t="str">
            <v>UT</v>
          </cell>
          <cell r="E489" t="str">
            <v>19</v>
          </cell>
        </row>
        <row r="490">
          <cell r="A490" t="str">
            <v>COORDINADOR DE ASUNTOS LABORALES II</v>
          </cell>
          <cell r="B490" t="str">
            <v>84332</v>
          </cell>
          <cell r="C490" t="str">
            <v>E</v>
          </cell>
          <cell r="D490" t="str">
            <v>UT</v>
          </cell>
          <cell r="E490" t="str">
            <v>21</v>
          </cell>
        </row>
        <row r="491">
          <cell r="A491" t="str">
            <v>COORDINADOR DE ASUNTOS LITERARIOS</v>
          </cell>
          <cell r="B491" t="str">
            <v>31430</v>
          </cell>
          <cell r="C491" t="str">
            <v>E</v>
          </cell>
          <cell r="D491" t="str">
            <v>UT</v>
          </cell>
          <cell r="E491" t="str">
            <v>19</v>
          </cell>
        </row>
        <row r="492">
          <cell r="A492" t="str">
            <v>COORDINADOR DE AYUDA JUVENIL</v>
          </cell>
          <cell r="B492" t="str">
            <v>79560</v>
          </cell>
          <cell r="C492" t="str">
            <v>E</v>
          </cell>
          <cell r="D492" t="str">
            <v>AD</v>
          </cell>
          <cell r="E492" t="str">
            <v>05</v>
          </cell>
        </row>
        <row r="493">
          <cell r="A493" t="str">
            <v>COORDINADOR DE CENTRO I</v>
          </cell>
          <cell r="B493" t="str">
            <v>17361</v>
          </cell>
          <cell r="C493" t="str">
            <v>E</v>
          </cell>
          <cell r="D493" t="str">
            <v>UT</v>
          </cell>
          <cell r="E493" t="str">
            <v>22</v>
          </cell>
        </row>
        <row r="494">
          <cell r="A494" t="str">
            <v>COORDINADOR DE CENTRO II</v>
          </cell>
          <cell r="B494" t="str">
            <v>17362</v>
          </cell>
          <cell r="C494" t="str">
            <v>E</v>
          </cell>
          <cell r="D494" t="str">
            <v>UT</v>
          </cell>
          <cell r="E494" t="str">
            <v>24</v>
          </cell>
        </row>
        <row r="495">
          <cell r="A495" t="str">
            <v>COORDINADOR DE CIENCIAS POLITICAS</v>
          </cell>
          <cell r="B495" t="str">
            <v>00925</v>
          </cell>
          <cell r="C495" t="str">
            <v>E</v>
          </cell>
          <cell r="D495" t="str">
            <v>DI</v>
          </cell>
          <cell r="E495" t="str">
            <v>99</v>
          </cell>
        </row>
        <row r="496">
          <cell r="A496" t="str">
            <v>COORDINADOR DE DESARROLLO DE RECURSOS HUMANOS I</v>
          </cell>
          <cell r="B496" t="str">
            <v>16111</v>
          </cell>
          <cell r="C496" t="str">
            <v>E</v>
          </cell>
          <cell r="D496" t="str">
            <v>UT</v>
          </cell>
          <cell r="E496" t="str">
            <v>18</v>
          </cell>
        </row>
        <row r="497">
          <cell r="A497" t="str">
            <v>COORDINADOR DE ESCUELAS DE ENFERMERIA</v>
          </cell>
          <cell r="B497" t="str">
            <v>71380</v>
          </cell>
          <cell r="C497" t="str">
            <v>E</v>
          </cell>
          <cell r="D497" t="str">
            <v>UT</v>
          </cell>
          <cell r="E497" t="str">
            <v>19</v>
          </cell>
        </row>
        <row r="498">
          <cell r="A498" t="str">
            <v>COORDINADOR DE EVENTOS Y PROTOCOLO</v>
          </cell>
          <cell r="B498" t="str">
            <v>00920</v>
          </cell>
          <cell r="C498" t="str">
            <v>E</v>
          </cell>
          <cell r="D498" t="str">
            <v>DI</v>
          </cell>
          <cell r="E498" t="str">
            <v>99</v>
          </cell>
        </row>
        <row r="499">
          <cell r="A499" t="str">
            <v>COORDINADOR DE FORMACION EMPRESARIA I</v>
          </cell>
          <cell r="B499" t="str">
            <v>17231</v>
          </cell>
          <cell r="C499" t="str">
            <v>E</v>
          </cell>
          <cell r="D499" t="str">
            <v>AD</v>
          </cell>
          <cell r="E499" t="str">
            <v>10</v>
          </cell>
        </row>
        <row r="500">
          <cell r="A500" t="str">
            <v>COORDINADOR DE FORMACION EMPRESARIAL II</v>
          </cell>
          <cell r="B500" t="str">
            <v>17232</v>
          </cell>
          <cell r="C500" t="str">
            <v>E</v>
          </cell>
          <cell r="D500" t="str">
            <v>AD</v>
          </cell>
          <cell r="E500" t="str">
            <v>11</v>
          </cell>
        </row>
        <row r="501">
          <cell r="A501" t="str">
            <v>COORDINADOR DE FORMACION PROFESIONAL</v>
          </cell>
          <cell r="B501" t="str">
            <v>17350</v>
          </cell>
          <cell r="C501" t="str">
            <v>E</v>
          </cell>
          <cell r="D501" t="str">
            <v>UT</v>
          </cell>
          <cell r="E501" t="str">
            <v>20</v>
          </cell>
        </row>
        <row r="502">
          <cell r="A502" t="str">
            <v>COORDINADOR DE FRONTERAS</v>
          </cell>
          <cell r="B502" t="str">
            <v>85410</v>
          </cell>
          <cell r="C502" t="str">
            <v>E</v>
          </cell>
          <cell r="D502" t="str">
            <v>AD</v>
          </cell>
          <cell r="E502" t="str">
            <v>04</v>
          </cell>
        </row>
        <row r="503">
          <cell r="A503" t="str">
            <v>COORDINADOR DE PREFECTURAS</v>
          </cell>
          <cell r="B503" t="str">
            <v>00931</v>
          </cell>
          <cell r="C503" t="str">
            <v>E</v>
          </cell>
          <cell r="D503" t="str">
            <v>DI</v>
          </cell>
          <cell r="E503" t="str">
            <v>99</v>
          </cell>
        </row>
        <row r="504">
          <cell r="A504" t="str">
            <v>COORDINADOR DE PROGRAMA (SAPNNAET)</v>
          </cell>
          <cell r="B504" t="str">
            <v>65001</v>
          </cell>
          <cell r="C504" t="str">
            <v>E</v>
          </cell>
          <cell r="D504" t="str">
            <v>UT</v>
          </cell>
          <cell r="E504" t="str">
            <v>22</v>
          </cell>
        </row>
        <row r="505">
          <cell r="A505" t="str">
            <v>COORDINADOR DE PROGRAMAS DE FORMACION I</v>
          </cell>
          <cell r="B505" t="str">
            <v>16611</v>
          </cell>
          <cell r="C505" t="str">
            <v>E</v>
          </cell>
          <cell r="D505" t="str">
            <v>UT</v>
          </cell>
          <cell r="E505" t="str">
            <v>22</v>
          </cell>
        </row>
        <row r="506">
          <cell r="A506" t="str">
            <v>COORDINADOR DE PROGRAMAS DE FORMACION II</v>
          </cell>
          <cell r="B506" t="str">
            <v>16612</v>
          </cell>
          <cell r="C506" t="str">
            <v>E</v>
          </cell>
          <cell r="D506" t="str">
            <v>UT</v>
          </cell>
          <cell r="E506" t="str">
            <v>24</v>
          </cell>
        </row>
        <row r="507">
          <cell r="A507" t="str">
            <v>COORDINADOR DE PROGRAMAS TV</v>
          </cell>
          <cell r="B507" t="str">
            <v>32130</v>
          </cell>
          <cell r="C507" t="str">
            <v>E</v>
          </cell>
          <cell r="D507" t="str">
            <v>AD</v>
          </cell>
          <cell r="E507" t="str">
            <v>04</v>
          </cell>
        </row>
        <row r="508">
          <cell r="A508" t="str">
            <v>COORDINADOR DE PROTOCOLO</v>
          </cell>
          <cell r="B508" t="str">
            <v>33120</v>
          </cell>
          <cell r="C508" t="str">
            <v>E</v>
          </cell>
          <cell r="D508" t="str">
            <v>UT</v>
          </cell>
          <cell r="E508" t="str">
            <v>19</v>
          </cell>
        </row>
        <row r="509">
          <cell r="A509" t="str">
            <v>COORDINADOR DE RENDICION DE CUENTA</v>
          </cell>
          <cell r="B509" t="str">
            <v>00927</v>
          </cell>
          <cell r="C509" t="str">
            <v>E</v>
          </cell>
          <cell r="D509" t="str">
            <v>DI</v>
          </cell>
          <cell r="E509" t="str">
            <v>99</v>
          </cell>
        </row>
        <row r="510">
          <cell r="A510" t="str">
            <v>COORDINADOR DE SERVICIOS TURISTICOS I</v>
          </cell>
          <cell r="B510" t="str">
            <v>31581</v>
          </cell>
          <cell r="C510" t="str">
            <v>E</v>
          </cell>
          <cell r="D510" t="str">
            <v>UT</v>
          </cell>
          <cell r="E510" t="str">
            <v>20</v>
          </cell>
        </row>
        <row r="511">
          <cell r="A511" t="str">
            <v>COORDINADOR DE SERVICIOS TURISTICOS II</v>
          </cell>
          <cell r="B511" t="str">
            <v>31582</v>
          </cell>
          <cell r="C511" t="str">
            <v>E</v>
          </cell>
          <cell r="D511" t="str">
            <v>UT</v>
          </cell>
          <cell r="E511" t="str">
            <v>22</v>
          </cell>
        </row>
        <row r="512">
          <cell r="A512" t="str">
            <v>COORDINADOR DEASUNTOS INTERNACIONALES JEFE</v>
          </cell>
          <cell r="B512" t="str">
            <v>33420</v>
          </cell>
          <cell r="C512" t="str">
            <v>E</v>
          </cell>
          <cell r="D512" t="str">
            <v>UT</v>
          </cell>
          <cell r="E512" t="str">
            <v>23</v>
          </cell>
        </row>
        <row r="513">
          <cell r="A513" t="str">
            <v>COORDINADOR DEFENSA CIVIL</v>
          </cell>
          <cell r="B513" t="str">
            <v>00912</v>
          </cell>
          <cell r="C513" t="str">
            <v>E</v>
          </cell>
          <cell r="D513" t="str">
            <v>DI</v>
          </cell>
          <cell r="E513" t="str">
            <v>99</v>
          </cell>
        </row>
        <row r="514">
          <cell r="A514" t="str">
            <v>COORDINADOR DOCENTE BASICO VI 77 TID (36 HORAS) Y TCVD (7HORAS)</v>
          </cell>
          <cell r="B514" t="str">
            <v>40015</v>
          </cell>
          <cell r="C514" t="str">
            <v>E</v>
          </cell>
          <cell r="D514" t="str">
            <v>DO</v>
          </cell>
          <cell r="E514" t="str">
            <v/>
          </cell>
        </row>
        <row r="515">
          <cell r="A515" t="str">
            <v>COORDINADOR DOCENTE BASICO VI TC (36 HORAS) Y DOC. BAS. VI TC (11 HORAS)</v>
          </cell>
          <cell r="B515" t="str">
            <v>40016</v>
          </cell>
          <cell r="C515" t="str">
            <v>E</v>
          </cell>
          <cell r="D515" t="str">
            <v>DO</v>
          </cell>
          <cell r="E515" t="str">
            <v/>
          </cell>
        </row>
        <row r="516">
          <cell r="A516" t="str">
            <v>COORDINADOR DOCENTE BASICO VI TCVD</v>
          </cell>
          <cell r="B516" t="str">
            <v>40303</v>
          </cell>
          <cell r="C516" t="str">
            <v>E</v>
          </cell>
          <cell r="D516" t="str">
            <v>DO</v>
          </cell>
          <cell r="E516" t="str">
            <v/>
          </cell>
        </row>
        <row r="517">
          <cell r="A517" t="str">
            <v>COORDINADOR GENERAL DE PERSONAL</v>
          </cell>
          <cell r="B517" t="str">
            <v>10003</v>
          </cell>
          <cell r="C517" t="str">
            <v>E</v>
          </cell>
          <cell r="D517" t="str">
            <v>UT</v>
          </cell>
          <cell r="E517" t="str">
            <v>17</v>
          </cell>
        </row>
        <row r="518">
          <cell r="A518" t="str">
            <v>COORDINADOR PUBLICITARIO</v>
          </cell>
          <cell r="B518" t="str">
            <v>31350</v>
          </cell>
          <cell r="C518" t="str">
            <v>E</v>
          </cell>
          <cell r="D518" t="str">
            <v>UT</v>
          </cell>
          <cell r="E518" t="str">
            <v>19</v>
          </cell>
        </row>
        <row r="519">
          <cell r="A519" t="str">
            <v>COORDINADOR RECREACION</v>
          </cell>
          <cell r="B519" t="str">
            <v>79540</v>
          </cell>
          <cell r="C519" t="str">
            <v>E</v>
          </cell>
          <cell r="D519" t="str">
            <v>UT</v>
          </cell>
          <cell r="E519" t="str">
            <v>15</v>
          </cell>
        </row>
        <row r="520">
          <cell r="A520" t="str">
            <v>COORDINADOR ZONAL</v>
          </cell>
          <cell r="B520" t="str">
            <v>00914</v>
          </cell>
          <cell r="C520" t="str">
            <v>E</v>
          </cell>
          <cell r="D520" t="str">
            <v>DI</v>
          </cell>
          <cell r="E520" t="str">
            <v>99</v>
          </cell>
        </row>
        <row r="521">
          <cell r="A521" t="str">
            <v>COORDINADORA DOCENTE V 77 Y DOCENTE BASICA V 77 TCVN Y DOCENTE AULA V (ZONA EDUCATIVA)</v>
          </cell>
          <cell r="B521" t="str">
            <v>40017</v>
          </cell>
          <cell r="C521" t="str">
            <v>E</v>
          </cell>
          <cell r="D521" t="str">
            <v>DO</v>
          </cell>
          <cell r="E521" t="str">
            <v/>
          </cell>
        </row>
        <row r="522">
          <cell r="A522" t="str">
            <v>COPILOTO DE HELICOPTERO I</v>
          </cell>
          <cell r="B522" t="str">
            <v>52471</v>
          </cell>
          <cell r="C522" t="str">
            <v>E</v>
          </cell>
          <cell r="D522" t="str">
            <v>AD</v>
          </cell>
          <cell r="E522" t="str">
            <v>06</v>
          </cell>
        </row>
        <row r="523">
          <cell r="A523" t="str">
            <v>COPILOTO DE HELICOTERO II</v>
          </cell>
          <cell r="B523" t="str">
            <v>52472</v>
          </cell>
          <cell r="C523" t="str">
            <v>E</v>
          </cell>
          <cell r="D523" t="str">
            <v>AD</v>
          </cell>
          <cell r="E523" t="str">
            <v>08</v>
          </cell>
        </row>
        <row r="524">
          <cell r="A524" t="str">
            <v>COPILOTO DE PISTON I</v>
          </cell>
          <cell r="B524" t="str">
            <v>52411</v>
          </cell>
          <cell r="C524" t="str">
            <v>E</v>
          </cell>
          <cell r="D524" t="str">
            <v>AD</v>
          </cell>
          <cell r="E524" t="str">
            <v>06</v>
          </cell>
        </row>
        <row r="525">
          <cell r="A525" t="str">
            <v>COPILOTO DE PISTON II</v>
          </cell>
          <cell r="B525" t="str">
            <v>52412</v>
          </cell>
          <cell r="C525" t="str">
            <v>E</v>
          </cell>
          <cell r="D525" t="str">
            <v>AD</v>
          </cell>
          <cell r="E525" t="str">
            <v>08</v>
          </cell>
        </row>
        <row r="526">
          <cell r="A526" t="str">
            <v>COPILOTO DE TURBO</v>
          </cell>
          <cell r="B526" t="str">
            <v>52430</v>
          </cell>
          <cell r="C526" t="str">
            <v>E</v>
          </cell>
          <cell r="D526" t="str">
            <v>AD</v>
          </cell>
          <cell r="E526" t="str">
            <v>08</v>
          </cell>
        </row>
        <row r="527">
          <cell r="A527" t="str">
            <v>COPISTA ARCHIVERO</v>
          </cell>
          <cell r="B527" t="str">
            <v>03562</v>
          </cell>
          <cell r="C527" t="str">
            <v>E</v>
          </cell>
          <cell r="D527" t="str">
            <v>AD</v>
          </cell>
          <cell r="E527" t="str">
            <v>01</v>
          </cell>
        </row>
        <row r="528">
          <cell r="A528" t="str">
            <v>CORDINADOR DE ORGANISMOS CULTURALES</v>
          </cell>
          <cell r="B528" t="str">
            <v>00916</v>
          </cell>
          <cell r="C528" t="str">
            <v>E</v>
          </cell>
          <cell r="D528" t="str">
            <v>DI</v>
          </cell>
          <cell r="E528" t="str">
            <v>99</v>
          </cell>
        </row>
        <row r="529">
          <cell r="A529" t="str">
            <v>CORNO 2</v>
          </cell>
          <cell r="B529" t="str">
            <v>03582</v>
          </cell>
          <cell r="C529" t="str">
            <v>E</v>
          </cell>
          <cell r="D529" t="str">
            <v>AD</v>
          </cell>
          <cell r="E529" t="str">
            <v>01</v>
          </cell>
        </row>
        <row r="530">
          <cell r="A530" t="str">
            <v>CORNO 3</v>
          </cell>
          <cell r="B530" t="str">
            <v>03610</v>
          </cell>
          <cell r="C530" t="str">
            <v>E</v>
          </cell>
          <cell r="D530" t="str">
            <v>AD</v>
          </cell>
          <cell r="E530" t="str">
            <v>01</v>
          </cell>
        </row>
        <row r="531">
          <cell r="A531" t="str">
            <v>CORNO I</v>
          </cell>
          <cell r="B531" t="str">
            <v>03550</v>
          </cell>
          <cell r="C531" t="str">
            <v>E</v>
          </cell>
          <cell r="D531" t="str">
            <v>AD</v>
          </cell>
          <cell r="E531" t="str">
            <v>01</v>
          </cell>
        </row>
        <row r="532">
          <cell r="A532" t="str">
            <v>CORONEL (BOMBERO)</v>
          </cell>
          <cell r="B532" t="str">
            <v>62100</v>
          </cell>
          <cell r="C532" t="str">
            <v>E</v>
          </cell>
          <cell r="D532" t="str">
            <v>BO</v>
          </cell>
          <cell r="E532" t="str">
            <v/>
          </cell>
        </row>
        <row r="533">
          <cell r="A533" t="str">
            <v>CORRECTOR DE ESTILO</v>
          </cell>
          <cell r="B533" t="str">
            <v>31410</v>
          </cell>
          <cell r="C533" t="str">
            <v>E</v>
          </cell>
          <cell r="D533" t="str">
            <v>AD</v>
          </cell>
          <cell r="E533" t="str">
            <v>04</v>
          </cell>
        </row>
        <row r="534">
          <cell r="A534" t="str">
            <v>CRIMINOLOGO</v>
          </cell>
          <cell r="B534" t="str">
            <v>85321</v>
          </cell>
          <cell r="C534" t="str">
            <v>E</v>
          </cell>
          <cell r="D534" t="str">
            <v>UT</v>
          </cell>
          <cell r="E534" t="str">
            <v>18</v>
          </cell>
        </row>
        <row r="535">
          <cell r="A535" t="str">
            <v>CUATRO</v>
          </cell>
          <cell r="B535" t="str">
            <v>03617</v>
          </cell>
          <cell r="C535" t="str">
            <v>E</v>
          </cell>
          <cell r="D535" t="str">
            <v>AD</v>
          </cell>
          <cell r="E535" t="str">
            <v>01</v>
          </cell>
        </row>
        <row r="536">
          <cell r="A536" t="str">
            <v>DELEGADO PRUEBA I</v>
          </cell>
          <cell r="B536" t="str">
            <v>82111</v>
          </cell>
          <cell r="C536" t="str">
            <v>E</v>
          </cell>
          <cell r="D536" t="str">
            <v>UT</v>
          </cell>
          <cell r="E536" t="str">
            <v>17</v>
          </cell>
        </row>
        <row r="537">
          <cell r="A537" t="str">
            <v>DELEGADO PRUEBA II</v>
          </cell>
          <cell r="B537" t="str">
            <v>82112</v>
          </cell>
          <cell r="C537" t="str">
            <v>E</v>
          </cell>
          <cell r="D537" t="str">
            <v>UT</v>
          </cell>
          <cell r="E537" t="str">
            <v>19</v>
          </cell>
        </row>
        <row r="538">
          <cell r="A538" t="str">
            <v>DELEGADO PRUEBA III</v>
          </cell>
          <cell r="B538" t="str">
            <v>82113</v>
          </cell>
          <cell r="C538" t="str">
            <v>E</v>
          </cell>
          <cell r="D538" t="str">
            <v>UT</v>
          </cell>
          <cell r="E538" t="str">
            <v>21</v>
          </cell>
        </row>
        <row r="539">
          <cell r="A539" t="str">
            <v>DELEGADO PRUEBA IV</v>
          </cell>
          <cell r="B539" t="str">
            <v>82114</v>
          </cell>
          <cell r="C539" t="str">
            <v>E</v>
          </cell>
          <cell r="D539" t="str">
            <v>UT</v>
          </cell>
          <cell r="E539" t="str">
            <v>23</v>
          </cell>
        </row>
        <row r="540">
          <cell r="A540" t="str">
            <v>DELEGADO PRUEBA V</v>
          </cell>
          <cell r="B540" t="str">
            <v>82115</v>
          </cell>
          <cell r="C540" t="str">
            <v>E</v>
          </cell>
          <cell r="D540" t="str">
            <v>UT</v>
          </cell>
          <cell r="E540" t="str">
            <v>25</v>
          </cell>
        </row>
        <row r="541">
          <cell r="A541" t="str">
            <v>DEMOSTRADORA DEL HOGAR I</v>
          </cell>
          <cell r="B541" t="str">
            <v>79211</v>
          </cell>
          <cell r="C541" t="str">
            <v>E</v>
          </cell>
          <cell r="D541" t="str">
            <v>AD</v>
          </cell>
          <cell r="E541" t="str">
            <v>02</v>
          </cell>
        </row>
        <row r="542">
          <cell r="A542" t="str">
            <v>DEMOSTRADORA DEL HOGAR II</v>
          </cell>
          <cell r="B542" t="str">
            <v>79212</v>
          </cell>
          <cell r="C542" t="str">
            <v>E</v>
          </cell>
          <cell r="D542" t="str">
            <v>AD</v>
          </cell>
          <cell r="E542" t="str">
            <v>03</v>
          </cell>
        </row>
        <row r="543">
          <cell r="A543" t="str">
            <v>DEMOSTRADORA DEL HOGAR III</v>
          </cell>
          <cell r="B543" t="str">
            <v>79213</v>
          </cell>
          <cell r="C543" t="str">
            <v>E</v>
          </cell>
          <cell r="D543" t="str">
            <v>AD</v>
          </cell>
          <cell r="E543" t="str">
            <v>05</v>
          </cell>
        </row>
        <row r="544">
          <cell r="A544" t="str">
            <v>DEMOSTRADORA DEL HOGAR JEFE</v>
          </cell>
          <cell r="B544" t="str">
            <v>79220</v>
          </cell>
          <cell r="C544" t="str">
            <v>E</v>
          </cell>
          <cell r="D544" t="str">
            <v>AD</v>
          </cell>
          <cell r="E544" t="str">
            <v>06</v>
          </cell>
        </row>
        <row r="545">
          <cell r="A545" t="str">
            <v>DEPOSITARIO DE ESPECIES FISCALES</v>
          </cell>
          <cell r="B545" t="str">
            <v>21350</v>
          </cell>
          <cell r="C545" t="str">
            <v>E</v>
          </cell>
          <cell r="D545" t="str">
            <v>UT</v>
          </cell>
          <cell r="E545" t="str">
            <v>15</v>
          </cell>
        </row>
        <row r="546">
          <cell r="A546" t="str">
            <v>DEPOSITARIO DE ESPECIES FISCALES JEFE</v>
          </cell>
          <cell r="B546" t="str">
            <v>21355</v>
          </cell>
          <cell r="C546" t="str">
            <v>E</v>
          </cell>
          <cell r="D546" t="str">
            <v>UT</v>
          </cell>
          <cell r="E546" t="str">
            <v>17</v>
          </cell>
        </row>
        <row r="547">
          <cell r="A547" t="str">
            <v>DIAGRAMADOR</v>
          </cell>
          <cell r="B547" t="str">
            <v>43770</v>
          </cell>
          <cell r="C547" t="str">
            <v>E</v>
          </cell>
          <cell r="D547" t="str">
            <v>AD</v>
          </cell>
          <cell r="E547" t="str">
            <v>02</v>
          </cell>
        </row>
        <row r="548">
          <cell r="A548" t="str">
            <v>DIBUJANTE CARTOGRAFICIO I</v>
          </cell>
          <cell r="B548" t="str">
            <v>43741</v>
          </cell>
          <cell r="C548" t="str">
            <v>E</v>
          </cell>
          <cell r="D548" t="str">
            <v>AD</v>
          </cell>
          <cell r="E548" t="str">
            <v>02</v>
          </cell>
        </row>
        <row r="549">
          <cell r="A549" t="str">
            <v>DIBUJANTE CARTOGRAFICO II</v>
          </cell>
          <cell r="B549" t="str">
            <v>43742</v>
          </cell>
          <cell r="C549" t="str">
            <v>E</v>
          </cell>
          <cell r="D549" t="str">
            <v>AD</v>
          </cell>
          <cell r="E549" t="str">
            <v>04</v>
          </cell>
        </row>
        <row r="550">
          <cell r="A550" t="str">
            <v>DIBUJANTE CARTOGRAFICO III</v>
          </cell>
          <cell r="B550" t="str">
            <v>43743</v>
          </cell>
          <cell r="C550" t="str">
            <v>E</v>
          </cell>
          <cell r="D550" t="str">
            <v>AD</v>
          </cell>
          <cell r="E550" t="str">
            <v>06</v>
          </cell>
        </row>
        <row r="551">
          <cell r="A551" t="str">
            <v>DIBUJANTE CARTOGRAFICO IV</v>
          </cell>
          <cell r="B551" t="str">
            <v>43744</v>
          </cell>
          <cell r="C551" t="str">
            <v>E</v>
          </cell>
          <cell r="D551" t="str">
            <v>AD</v>
          </cell>
          <cell r="E551" t="str">
            <v>08</v>
          </cell>
        </row>
        <row r="552">
          <cell r="A552" t="str">
            <v>DIBUJANTE CARTOGRAFICO JEFE</v>
          </cell>
          <cell r="B552" t="str">
            <v>43750</v>
          </cell>
          <cell r="C552" t="str">
            <v>E</v>
          </cell>
          <cell r="D552" t="str">
            <v>AD</v>
          </cell>
          <cell r="E552" t="str">
            <v>10</v>
          </cell>
        </row>
        <row r="553">
          <cell r="A553" t="str">
            <v>DIBUJANTE I</v>
          </cell>
          <cell r="B553" t="str">
            <v>43721</v>
          </cell>
          <cell r="C553" t="str">
            <v>E</v>
          </cell>
          <cell r="D553" t="str">
            <v>AD</v>
          </cell>
          <cell r="E553" t="str">
            <v>01</v>
          </cell>
        </row>
        <row r="554">
          <cell r="A554" t="str">
            <v>DIBUJANTE II</v>
          </cell>
          <cell r="B554" t="str">
            <v>43722</v>
          </cell>
          <cell r="C554" t="str">
            <v>E</v>
          </cell>
          <cell r="D554" t="str">
            <v>AD</v>
          </cell>
          <cell r="E554" t="str">
            <v>03</v>
          </cell>
        </row>
        <row r="555">
          <cell r="A555" t="str">
            <v>DIBUJANTE III</v>
          </cell>
          <cell r="B555" t="str">
            <v>43723</v>
          </cell>
          <cell r="C555" t="str">
            <v>E</v>
          </cell>
          <cell r="D555" t="str">
            <v>AD</v>
          </cell>
          <cell r="E555" t="str">
            <v>05</v>
          </cell>
        </row>
        <row r="556">
          <cell r="A556" t="str">
            <v>DIBUJANTE ILUSTRADOR I</v>
          </cell>
          <cell r="B556" t="str">
            <v>43781</v>
          </cell>
          <cell r="C556" t="str">
            <v>E</v>
          </cell>
          <cell r="D556" t="str">
            <v>AD</v>
          </cell>
          <cell r="E556" t="str">
            <v>04</v>
          </cell>
        </row>
        <row r="557">
          <cell r="A557" t="str">
            <v>DIBUJANTE ILUSTRADOR II</v>
          </cell>
          <cell r="B557" t="str">
            <v>43782</v>
          </cell>
          <cell r="C557" t="str">
            <v>E</v>
          </cell>
          <cell r="D557" t="str">
            <v>AD</v>
          </cell>
          <cell r="E557" t="str">
            <v>06</v>
          </cell>
        </row>
        <row r="558">
          <cell r="A558" t="str">
            <v>DIBUJANTE ILUSTRADOR JEFE</v>
          </cell>
          <cell r="B558" t="str">
            <v>43790</v>
          </cell>
          <cell r="C558" t="str">
            <v>E</v>
          </cell>
          <cell r="D558" t="str">
            <v>AD</v>
          </cell>
          <cell r="E558" t="str">
            <v>10</v>
          </cell>
        </row>
        <row r="559">
          <cell r="A559" t="str">
            <v>DIBUJANTE JEFE</v>
          </cell>
          <cell r="B559" t="str">
            <v>43730</v>
          </cell>
          <cell r="C559" t="str">
            <v>E</v>
          </cell>
          <cell r="D559" t="str">
            <v>AD</v>
          </cell>
          <cell r="E559" t="str">
            <v>06</v>
          </cell>
        </row>
        <row r="560">
          <cell r="A560" t="str">
            <v>DIETISTA I</v>
          </cell>
          <cell r="B560" t="str">
            <v>77121</v>
          </cell>
          <cell r="C560" t="str">
            <v>E</v>
          </cell>
          <cell r="D560" t="str">
            <v>UT</v>
          </cell>
          <cell r="E560" t="str">
            <v>17</v>
          </cell>
        </row>
        <row r="561">
          <cell r="A561" t="str">
            <v>DIETISTA II</v>
          </cell>
          <cell r="B561" t="str">
            <v>77122</v>
          </cell>
          <cell r="C561" t="str">
            <v>E</v>
          </cell>
          <cell r="D561" t="str">
            <v>UT</v>
          </cell>
          <cell r="E561" t="str">
            <v>19</v>
          </cell>
        </row>
        <row r="562">
          <cell r="A562" t="str">
            <v>DIETISTA III</v>
          </cell>
          <cell r="B562" t="str">
            <v>77123</v>
          </cell>
          <cell r="C562" t="str">
            <v>E</v>
          </cell>
          <cell r="D562" t="str">
            <v>UT</v>
          </cell>
          <cell r="E562" t="str">
            <v>21</v>
          </cell>
        </row>
        <row r="563">
          <cell r="A563" t="str">
            <v>DIETISTA IV</v>
          </cell>
          <cell r="B563" t="str">
            <v>77124</v>
          </cell>
          <cell r="C563" t="str">
            <v>E</v>
          </cell>
          <cell r="D563" t="str">
            <v>UT</v>
          </cell>
          <cell r="E563" t="str">
            <v>23</v>
          </cell>
        </row>
        <row r="564">
          <cell r="A564" t="str">
            <v>DIETISTA JEFE</v>
          </cell>
          <cell r="B564" t="str">
            <v>77130</v>
          </cell>
          <cell r="C564" t="str">
            <v>E</v>
          </cell>
          <cell r="D564" t="str">
            <v>UT</v>
          </cell>
          <cell r="E564" t="str">
            <v>24</v>
          </cell>
        </row>
        <row r="565">
          <cell r="A565" t="str">
            <v>DIRECTOR</v>
          </cell>
          <cell r="B565" t="str">
            <v>00903</v>
          </cell>
          <cell r="C565" t="str">
            <v>E</v>
          </cell>
          <cell r="D565" t="str">
            <v>DI</v>
          </cell>
          <cell r="E565" t="str">
            <v>99</v>
          </cell>
        </row>
        <row r="566">
          <cell r="A566" t="str">
            <v>DIRECTOR</v>
          </cell>
          <cell r="B566" t="str">
            <v>40018</v>
          </cell>
          <cell r="C566" t="str">
            <v>E</v>
          </cell>
          <cell r="D566" t="str">
            <v>DO</v>
          </cell>
          <cell r="E566" t="str">
            <v/>
          </cell>
        </row>
        <row r="567">
          <cell r="A567" t="str">
            <v>DIRECTOR BASICO VI TID (36 HORAS) Y DOCENTE BASICO VI 77 TCVD (18 HORAS)</v>
          </cell>
          <cell r="B567" t="str">
            <v>40019</v>
          </cell>
          <cell r="C567" t="str">
            <v>E</v>
          </cell>
          <cell r="D567" t="str">
            <v>DO</v>
          </cell>
          <cell r="E567" t="str">
            <v/>
          </cell>
        </row>
        <row r="568">
          <cell r="A568" t="str">
            <v>DIRECTOR CENTRO DE CULTURA</v>
          </cell>
          <cell r="B568" t="str">
            <v>40005</v>
          </cell>
          <cell r="C568" t="str">
            <v>E</v>
          </cell>
          <cell r="D568" t="str">
            <v>DO</v>
          </cell>
          <cell r="E568" t="str">
            <v/>
          </cell>
        </row>
        <row r="569">
          <cell r="A569" t="str">
            <v>DIRECTOR DE BANDA</v>
          </cell>
          <cell r="B569" t="str">
            <v>03502</v>
          </cell>
          <cell r="C569" t="str">
            <v>E</v>
          </cell>
          <cell r="D569" t="str">
            <v>AD</v>
          </cell>
          <cell r="E569" t="str">
            <v>03</v>
          </cell>
        </row>
        <row r="570">
          <cell r="A570" t="str">
            <v>DIRECTOR DE BANDA Y PROFESOR DE FLAUTA Y PIANO</v>
          </cell>
          <cell r="B570" t="str">
            <v>40222</v>
          </cell>
          <cell r="C570" t="str">
            <v>E</v>
          </cell>
          <cell r="D570" t="str">
            <v>DO</v>
          </cell>
          <cell r="E570" t="str">
            <v/>
          </cell>
        </row>
        <row r="571">
          <cell r="A571" t="str">
            <v>DIRECTOR DE CULTURA Y PROFESOR PH NOCTURNO GR</v>
          </cell>
          <cell r="B571" t="str">
            <v>40020</v>
          </cell>
          <cell r="C571" t="str">
            <v>E</v>
          </cell>
          <cell r="D571" t="str">
            <v>DO</v>
          </cell>
          <cell r="E571" t="str">
            <v/>
          </cell>
        </row>
        <row r="572">
          <cell r="A572" t="str">
            <v>DIRECTOR DE ESCUELA 139 III</v>
          </cell>
          <cell r="B572" t="str">
            <v>02039</v>
          </cell>
          <cell r="C572" t="str">
            <v>E</v>
          </cell>
          <cell r="D572" t="str">
            <v>DO</v>
          </cell>
          <cell r="E572" t="str">
            <v/>
          </cell>
        </row>
        <row r="573">
          <cell r="A573" t="str">
            <v>DIRECTOR DE ESCUELAS DE ENFERMERIA</v>
          </cell>
          <cell r="B573" t="str">
            <v>71390</v>
          </cell>
          <cell r="C573" t="str">
            <v>E</v>
          </cell>
          <cell r="D573" t="str">
            <v>UT</v>
          </cell>
          <cell r="E573" t="str">
            <v>20</v>
          </cell>
        </row>
        <row r="574">
          <cell r="A574" t="str">
            <v>DIRECTOR DE PROGRAMAS DE CURSOS</v>
          </cell>
          <cell r="B574" t="str">
            <v>34150</v>
          </cell>
          <cell r="C574" t="str">
            <v>E</v>
          </cell>
          <cell r="D574" t="str">
            <v>UT</v>
          </cell>
          <cell r="E574" t="str">
            <v>19</v>
          </cell>
        </row>
        <row r="575">
          <cell r="A575" t="str">
            <v>DIRECTOR DE PROGRAMAS TV</v>
          </cell>
          <cell r="B575" t="str">
            <v>32135</v>
          </cell>
          <cell r="C575" t="str">
            <v>E</v>
          </cell>
          <cell r="D575" t="str">
            <v>AD</v>
          </cell>
          <cell r="E575" t="str">
            <v>05</v>
          </cell>
        </row>
        <row r="576">
          <cell r="A576" t="str">
            <v>DIRECTOR ESCUELA 139 III</v>
          </cell>
          <cell r="B576" t="str">
            <v>02013</v>
          </cell>
          <cell r="C576" t="str">
            <v>E</v>
          </cell>
          <cell r="D576" t="str">
            <v>DO</v>
          </cell>
          <cell r="E576" t="str">
            <v/>
          </cell>
        </row>
        <row r="577">
          <cell r="A577" t="str">
            <v>DIRECTOR ESCUELA N.G.</v>
          </cell>
          <cell r="B577" t="str">
            <v>02024</v>
          </cell>
          <cell r="C577" t="str">
            <v>E</v>
          </cell>
          <cell r="D577" t="str">
            <v>DO</v>
          </cell>
          <cell r="E577" t="str">
            <v/>
          </cell>
        </row>
        <row r="578">
          <cell r="A578" t="str">
            <v>DIRECTOR GENERAL</v>
          </cell>
          <cell r="B578" t="str">
            <v>90008</v>
          </cell>
          <cell r="C578" t="str">
            <v>E</v>
          </cell>
          <cell r="D578" t="str">
            <v>PO</v>
          </cell>
          <cell r="E578" t="str">
            <v>99</v>
          </cell>
        </row>
        <row r="579">
          <cell r="A579" t="str">
            <v>DIRECTOR I   139</v>
          </cell>
          <cell r="B579" t="str">
            <v>01331</v>
          </cell>
          <cell r="C579" t="str">
            <v>E</v>
          </cell>
          <cell r="D579" t="str">
            <v>DO</v>
          </cell>
          <cell r="E579" t="str">
            <v/>
          </cell>
        </row>
        <row r="580">
          <cell r="A580" t="str">
            <v>DIRECTOR I   77</v>
          </cell>
          <cell r="B580" t="str">
            <v>01341</v>
          </cell>
          <cell r="C580" t="str">
            <v>E</v>
          </cell>
          <cell r="D580" t="str">
            <v>DO</v>
          </cell>
          <cell r="E580" t="str">
            <v/>
          </cell>
        </row>
        <row r="581">
          <cell r="A581" t="str">
            <v>DIRECTOR II  139</v>
          </cell>
          <cell r="B581" t="str">
            <v>01332</v>
          </cell>
          <cell r="C581" t="str">
            <v>E</v>
          </cell>
          <cell r="D581" t="str">
            <v>DO</v>
          </cell>
          <cell r="E581" t="str">
            <v/>
          </cell>
        </row>
        <row r="582">
          <cell r="A582" t="str">
            <v>DIRECTOR II  77</v>
          </cell>
          <cell r="B582" t="str">
            <v>01342</v>
          </cell>
          <cell r="C582" t="str">
            <v>E</v>
          </cell>
          <cell r="D582" t="str">
            <v>DO</v>
          </cell>
          <cell r="E582" t="str">
            <v/>
          </cell>
        </row>
        <row r="583">
          <cell r="A583" t="str">
            <v>DIRECTOR III 139</v>
          </cell>
          <cell r="B583" t="str">
            <v>01333</v>
          </cell>
          <cell r="C583" t="str">
            <v>E</v>
          </cell>
          <cell r="D583" t="str">
            <v>DO</v>
          </cell>
          <cell r="E583" t="str">
            <v/>
          </cell>
        </row>
        <row r="584">
          <cell r="A584" t="str">
            <v>DIRECTOR III 77</v>
          </cell>
          <cell r="B584" t="str">
            <v>01343</v>
          </cell>
          <cell r="C584" t="str">
            <v>E</v>
          </cell>
          <cell r="D584" t="str">
            <v>DO</v>
          </cell>
          <cell r="E584" t="str">
            <v/>
          </cell>
        </row>
        <row r="585">
          <cell r="A585" t="str">
            <v>DIRECTOR IV  139</v>
          </cell>
          <cell r="B585" t="str">
            <v>01334</v>
          </cell>
          <cell r="C585" t="str">
            <v>E</v>
          </cell>
          <cell r="D585" t="str">
            <v>DO</v>
          </cell>
          <cell r="E585" t="str">
            <v/>
          </cell>
        </row>
        <row r="586">
          <cell r="A586" t="str">
            <v>DIRECTOR IV  77</v>
          </cell>
          <cell r="B586" t="str">
            <v>01344</v>
          </cell>
          <cell r="C586" t="str">
            <v>E</v>
          </cell>
          <cell r="D586" t="str">
            <v>DO</v>
          </cell>
          <cell r="E586" t="str">
            <v/>
          </cell>
        </row>
        <row r="587">
          <cell r="A587" t="str">
            <v>DIRECTOR TOPOGRAFO</v>
          </cell>
          <cell r="B587" t="str">
            <v>10004</v>
          </cell>
          <cell r="C587" t="str">
            <v>E</v>
          </cell>
          <cell r="D587" t="str">
            <v>AD</v>
          </cell>
          <cell r="E587" t="str">
            <v>02</v>
          </cell>
        </row>
        <row r="588">
          <cell r="A588" t="str">
            <v>DIRECTOR V   139</v>
          </cell>
          <cell r="B588" t="str">
            <v>01335</v>
          </cell>
          <cell r="C588" t="str">
            <v>E</v>
          </cell>
          <cell r="D588" t="str">
            <v>DO</v>
          </cell>
          <cell r="E588" t="str">
            <v/>
          </cell>
        </row>
        <row r="589">
          <cell r="A589" t="str">
            <v>DIRECTOR V   77</v>
          </cell>
          <cell r="B589" t="str">
            <v>01345</v>
          </cell>
          <cell r="C589" t="str">
            <v>E</v>
          </cell>
          <cell r="D589" t="str">
            <v>DO</v>
          </cell>
          <cell r="E589" t="str">
            <v/>
          </cell>
        </row>
        <row r="590">
          <cell r="A590" t="str">
            <v>DIRECTOR VI  139</v>
          </cell>
          <cell r="B590" t="str">
            <v>01336</v>
          </cell>
          <cell r="C590" t="str">
            <v>E</v>
          </cell>
          <cell r="D590" t="str">
            <v>DO</v>
          </cell>
          <cell r="E590" t="str">
            <v/>
          </cell>
        </row>
        <row r="591">
          <cell r="A591" t="str">
            <v>DIRECTOR VI  77</v>
          </cell>
          <cell r="B591" t="str">
            <v>01346</v>
          </cell>
          <cell r="C591" t="str">
            <v>E</v>
          </cell>
          <cell r="D591" t="str">
            <v>DO</v>
          </cell>
          <cell r="E591" t="str">
            <v/>
          </cell>
        </row>
        <row r="592">
          <cell r="A592" t="str">
            <v>DIRECTORA DOCENTE BASICA VI 139 TID Y DOCENTE BASICA VI 139 TCVN</v>
          </cell>
          <cell r="B592" t="str">
            <v>40021</v>
          </cell>
          <cell r="C592" t="str">
            <v>E</v>
          </cell>
          <cell r="D592" t="str">
            <v>DO</v>
          </cell>
          <cell r="E592" t="str">
            <v/>
          </cell>
        </row>
        <row r="593">
          <cell r="A593" t="str">
            <v>DIRECTORA ESCUELA ANDRES BLANCO Y MAESTRA PH GR NOCTURNO VALERA</v>
          </cell>
          <cell r="B593" t="str">
            <v>40022</v>
          </cell>
          <cell r="C593" t="str">
            <v>E</v>
          </cell>
          <cell r="D593" t="str">
            <v>DO</v>
          </cell>
          <cell r="E593" t="str">
            <v/>
          </cell>
        </row>
        <row r="594">
          <cell r="A594" t="str">
            <v>DISEÑADOR GRAFICO</v>
          </cell>
          <cell r="B594" t="str">
            <v>43724</v>
          </cell>
          <cell r="C594" t="str">
            <v>E</v>
          </cell>
          <cell r="D594" t="str">
            <v>UT</v>
          </cell>
          <cell r="E594" t="str">
            <v>15</v>
          </cell>
        </row>
        <row r="595">
          <cell r="A595" t="str">
            <v>DISEÑADOR GRAFICO</v>
          </cell>
          <cell r="B595" t="str">
            <v>80000</v>
          </cell>
          <cell r="C595" t="str">
            <v>E</v>
          </cell>
          <cell r="D595" t="str">
            <v>UT</v>
          </cell>
          <cell r="E595" t="str">
            <v>15</v>
          </cell>
        </row>
        <row r="596">
          <cell r="A596" t="str">
            <v>DISEÑADOR GRAFICO II</v>
          </cell>
          <cell r="B596" t="str">
            <v>43725</v>
          </cell>
          <cell r="C596" t="str">
            <v>E</v>
          </cell>
          <cell r="D596" t="str">
            <v>UT</v>
          </cell>
          <cell r="E596" t="str">
            <v>17</v>
          </cell>
        </row>
        <row r="597">
          <cell r="A597" t="str">
            <v>DISEÑADOR GRAFICO III</v>
          </cell>
          <cell r="B597" t="str">
            <v>43726</v>
          </cell>
          <cell r="C597" t="str">
            <v>E</v>
          </cell>
          <cell r="D597" t="str">
            <v>UT</v>
          </cell>
          <cell r="E597" t="str">
            <v>19</v>
          </cell>
        </row>
        <row r="598">
          <cell r="A598" t="str">
            <v>DISEÑADOR GRAFICO IV</v>
          </cell>
          <cell r="B598" t="str">
            <v>43727</v>
          </cell>
          <cell r="C598" t="str">
            <v>E</v>
          </cell>
          <cell r="D598" t="str">
            <v>UT</v>
          </cell>
          <cell r="E598" t="str">
            <v>21</v>
          </cell>
        </row>
        <row r="599">
          <cell r="A599" t="str">
            <v>DISTINGUIDO</v>
          </cell>
          <cell r="B599" t="str">
            <v>62231</v>
          </cell>
          <cell r="C599" t="str">
            <v>E</v>
          </cell>
          <cell r="D599" t="str">
            <v>PO</v>
          </cell>
          <cell r="E599" t="str">
            <v>04</v>
          </cell>
        </row>
        <row r="600">
          <cell r="A600" t="str">
            <v>DISTINGUIDO (BOMBERO)</v>
          </cell>
          <cell r="B600" t="str">
            <v>62910</v>
          </cell>
          <cell r="C600" t="str">
            <v>E</v>
          </cell>
          <cell r="D600" t="str">
            <v>BO</v>
          </cell>
          <cell r="E600" t="str">
            <v>03</v>
          </cell>
        </row>
        <row r="601">
          <cell r="A601" t="str">
            <v>DOC. 77-TC. III.</v>
          </cell>
          <cell r="B601" t="str">
            <v>00084</v>
          </cell>
          <cell r="C601" t="str">
            <v>E</v>
          </cell>
          <cell r="D601" t="str">
            <v>DO</v>
          </cell>
          <cell r="E601" t="str">
            <v/>
          </cell>
        </row>
        <row r="602">
          <cell r="A602" t="str">
            <v>DOC. BAS I 77 TCVD INTERINO</v>
          </cell>
          <cell r="B602" t="str">
            <v>00361</v>
          </cell>
          <cell r="C602" t="str">
            <v>E</v>
          </cell>
          <cell r="D602" t="str">
            <v>DO</v>
          </cell>
          <cell r="E602" t="str">
            <v/>
          </cell>
        </row>
        <row r="603">
          <cell r="A603" t="str">
            <v>DOC. BAS I TSE TCVDMA INTERINO</v>
          </cell>
          <cell r="B603" t="str">
            <v>00351</v>
          </cell>
          <cell r="C603" t="str">
            <v>E</v>
          </cell>
          <cell r="D603" t="str">
            <v>DO</v>
          </cell>
          <cell r="E603" t="str">
            <v/>
          </cell>
        </row>
        <row r="604">
          <cell r="A604" t="str">
            <v>DOC. BAS. 77 TCVNMA/DOC IV AULA ADULTOS/DIRECTOR DE EDUCACION</v>
          </cell>
          <cell r="B604" t="str">
            <v>40242</v>
          </cell>
          <cell r="C604" t="str">
            <v>E</v>
          </cell>
          <cell r="D604" t="str">
            <v>DO</v>
          </cell>
          <cell r="E604" t="str">
            <v/>
          </cell>
        </row>
        <row r="605">
          <cell r="A605" t="str">
            <v>DOC. BAS. DIR. VI 77 T.C. V.N.</v>
          </cell>
          <cell r="B605" t="str">
            <v>40241</v>
          </cell>
          <cell r="C605" t="str">
            <v>E</v>
          </cell>
          <cell r="D605" t="str">
            <v>DO</v>
          </cell>
          <cell r="E605" t="str">
            <v/>
          </cell>
        </row>
        <row r="606">
          <cell r="A606" t="str">
            <v>DOC. BAS. I (03 HORAS) Y DOC BAS IV 77 TID (33 HORAS9 /TCVD (09 HORAS)</v>
          </cell>
          <cell r="B606" t="str">
            <v>40205</v>
          </cell>
          <cell r="C606" t="str">
            <v>E</v>
          </cell>
          <cell r="D606" t="str">
            <v>DO</v>
          </cell>
          <cell r="E606" t="str">
            <v/>
          </cell>
        </row>
        <row r="607">
          <cell r="A607" t="str">
            <v>DOC. BAS. I 77 INTERINO</v>
          </cell>
          <cell r="B607" t="str">
            <v>00070</v>
          </cell>
          <cell r="C607" t="str">
            <v>E</v>
          </cell>
          <cell r="D607" t="str">
            <v>DO</v>
          </cell>
          <cell r="E607" t="str">
            <v/>
          </cell>
        </row>
        <row r="608">
          <cell r="A608" t="str">
            <v>DOC. BAS. I 77 TCVDMA INTERINO</v>
          </cell>
          <cell r="B608" t="str">
            <v>00341</v>
          </cell>
          <cell r="C608" t="str">
            <v>E</v>
          </cell>
          <cell r="D608" t="str">
            <v>DO</v>
          </cell>
          <cell r="E608" t="str">
            <v/>
          </cell>
        </row>
        <row r="609">
          <cell r="A609" t="str">
            <v>DOC. BAS. I 77 TID (33.33 HORAS)/TCVD (18 HORAS)</v>
          </cell>
          <cell r="B609" t="str">
            <v>40182</v>
          </cell>
          <cell r="C609" t="str">
            <v>E</v>
          </cell>
          <cell r="D609" t="str">
            <v>DO</v>
          </cell>
          <cell r="E609" t="str">
            <v/>
          </cell>
        </row>
        <row r="610">
          <cell r="A610" t="str">
            <v>DOC. BAS. I 77 TID INTERINO</v>
          </cell>
          <cell r="B610" t="str">
            <v>00311</v>
          </cell>
          <cell r="C610" t="str">
            <v>E</v>
          </cell>
          <cell r="D610" t="str">
            <v>DO</v>
          </cell>
          <cell r="E610" t="str">
            <v/>
          </cell>
        </row>
        <row r="611">
          <cell r="A611" t="str">
            <v>DOC. BAS. I T.S.E. TID INTERINO</v>
          </cell>
          <cell r="B611" t="str">
            <v>00321</v>
          </cell>
          <cell r="C611" t="str">
            <v>E</v>
          </cell>
          <cell r="D611" t="str">
            <v>DO</v>
          </cell>
          <cell r="E611" t="str">
            <v/>
          </cell>
        </row>
        <row r="612">
          <cell r="A612" t="str">
            <v>DOC. BAS. III T.S.E  TCVD</v>
          </cell>
          <cell r="B612" t="str">
            <v>00229</v>
          </cell>
          <cell r="C612" t="str">
            <v>E</v>
          </cell>
          <cell r="D612" t="str">
            <v>DO</v>
          </cell>
          <cell r="E612" t="str">
            <v/>
          </cell>
        </row>
        <row r="613">
          <cell r="A613" t="str">
            <v>DOC. BAS. IV  77  TID (33.33 HORAS)/TCVD (14 HORAS)</v>
          </cell>
          <cell r="B613" t="str">
            <v>40199</v>
          </cell>
          <cell r="C613" t="str">
            <v>E</v>
          </cell>
          <cell r="D613" t="str">
            <v>DO</v>
          </cell>
          <cell r="E613" t="str">
            <v/>
          </cell>
        </row>
        <row r="614">
          <cell r="A614" t="str">
            <v>DOC. BAS. IV 77 TID (33.33 HORAS)/ TCVD (16 HORAS)</v>
          </cell>
          <cell r="B614" t="str">
            <v>40194</v>
          </cell>
          <cell r="C614" t="str">
            <v>E</v>
          </cell>
          <cell r="D614" t="str">
            <v>DO</v>
          </cell>
          <cell r="E614" t="str">
            <v/>
          </cell>
        </row>
        <row r="615">
          <cell r="A615" t="str">
            <v>DOC. BAS. IV 77 TID (33.33 HORAS)/TCVD (06 HORAS)</v>
          </cell>
          <cell r="B615" t="str">
            <v>40187</v>
          </cell>
          <cell r="C615" t="str">
            <v>E</v>
          </cell>
          <cell r="D615" t="str">
            <v>DO</v>
          </cell>
          <cell r="E615" t="str">
            <v/>
          </cell>
        </row>
        <row r="616">
          <cell r="A616" t="str">
            <v>DOC. BAS. N.G. TCVNMA / AUXILIAR DE BIBLIOTECA</v>
          </cell>
          <cell r="B616" t="str">
            <v>40245</v>
          </cell>
          <cell r="C616" t="str">
            <v>E</v>
          </cell>
          <cell r="D616" t="str">
            <v>DO</v>
          </cell>
          <cell r="E616" t="str">
            <v/>
          </cell>
        </row>
        <row r="617">
          <cell r="A617" t="str">
            <v>DOC. BAS. PLANIF. V TC 77</v>
          </cell>
          <cell r="B617" t="str">
            <v>00097</v>
          </cell>
          <cell r="C617" t="str">
            <v>E</v>
          </cell>
          <cell r="D617" t="str">
            <v>DO</v>
          </cell>
          <cell r="E617" t="str">
            <v/>
          </cell>
        </row>
        <row r="618">
          <cell r="A618" t="str">
            <v>DOC. BAS. V   77  TID (33,33 HORAS) /TCVD (11 HORAS)</v>
          </cell>
          <cell r="B618" t="str">
            <v>40216</v>
          </cell>
          <cell r="C618" t="str">
            <v>E</v>
          </cell>
          <cell r="D618" t="str">
            <v>DO</v>
          </cell>
          <cell r="E618" t="str">
            <v/>
          </cell>
        </row>
        <row r="619">
          <cell r="A619" t="str">
            <v>DOC. BAS. V   77  TID (33,33 HORAS) /TCVD (13 HORAS)</v>
          </cell>
          <cell r="B619" t="str">
            <v>40213</v>
          </cell>
          <cell r="C619" t="str">
            <v>E</v>
          </cell>
          <cell r="D619" t="str">
            <v>DO</v>
          </cell>
          <cell r="E619" t="str">
            <v/>
          </cell>
        </row>
        <row r="620">
          <cell r="A620" t="str">
            <v>DOC. BAS. V 77 TID (33.33 HORAS) /TCVD (10 HORAS)</v>
          </cell>
          <cell r="B620" t="str">
            <v>40201</v>
          </cell>
          <cell r="C620" t="str">
            <v>E</v>
          </cell>
          <cell r="D620" t="str">
            <v>DO</v>
          </cell>
          <cell r="E620" t="str">
            <v/>
          </cell>
        </row>
        <row r="621">
          <cell r="A621" t="str">
            <v>DOC. BAS. VI  77  TID (33.33 HORAS)/TCVD (12 HORAS)</v>
          </cell>
          <cell r="B621" t="str">
            <v>40215</v>
          </cell>
          <cell r="C621" t="str">
            <v>E</v>
          </cell>
          <cell r="D621" t="str">
            <v>DO</v>
          </cell>
          <cell r="E621" t="str">
            <v/>
          </cell>
        </row>
        <row r="622">
          <cell r="A622" t="str">
            <v>DOC. BAS. VI  77  TID (33.33 HORAS)/TCVD (19 HORAS)</v>
          </cell>
          <cell r="B622" t="str">
            <v>40190</v>
          </cell>
          <cell r="C622" t="str">
            <v>E</v>
          </cell>
          <cell r="D622" t="str">
            <v>DO</v>
          </cell>
          <cell r="E622" t="str">
            <v/>
          </cell>
        </row>
        <row r="623">
          <cell r="A623" t="str">
            <v>DOC. BAS. VI  TID (33.33 HORAS)/TCVD (14 HORAS)</v>
          </cell>
          <cell r="B623" t="str">
            <v>40185</v>
          </cell>
          <cell r="C623" t="str">
            <v>E</v>
          </cell>
          <cell r="D623" t="str">
            <v>DO</v>
          </cell>
          <cell r="E623" t="str">
            <v/>
          </cell>
        </row>
        <row r="624">
          <cell r="A624" t="str">
            <v>DOC. BAS. VI 139 TID / INSTRUCTOR I (16 HORAS)</v>
          </cell>
          <cell r="B624" t="str">
            <v>40189</v>
          </cell>
          <cell r="C624" t="str">
            <v>E</v>
          </cell>
          <cell r="D624" t="str">
            <v>DO</v>
          </cell>
          <cell r="E624" t="str">
            <v/>
          </cell>
        </row>
        <row r="625">
          <cell r="A625" t="str">
            <v>DOC. BAS. VI 77 TID (33.33 HORAS) /TCVD (16 HORAS)</v>
          </cell>
          <cell r="B625" t="str">
            <v>40204</v>
          </cell>
          <cell r="C625" t="str">
            <v>E</v>
          </cell>
          <cell r="D625" t="str">
            <v>DO</v>
          </cell>
          <cell r="E625" t="str">
            <v/>
          </cell>
        </row>
        <row r="626">
          <cell r="A626" t="str">
            <v>DOC. BAS.PLANIF.IV TC 77</v>
          </cell>
          <cell r="B626" t="str">
            <v>00096</v>
          </cell>
          <cell r="C626" t="str">
            <v>E</v>
          </cell>
          <cell r="D626" t="str">
            <v>DO</v>
          </cell>
          <cell r="E626" t="str">
            <v/>
          </cell>
        </row>
        <row r="627">
          <cell r="A627" t="str">
            <v>DOC. BAS.V TCVD (16 HORAS) /TCVNMA (10 HORAS)</v>
          </cell>
          <cell r="B627" t="str">
            <v>40188</v>
          </cell>
          <cell r="C627" t="str">
            <v>E</v>
          </cell>
          <cell r="D627" t="str">
            <v>DO</v>
          </cell>
          <cell r="E627" t="str">
            <v/>
          </cell>
        </row>
        <row r="628">
          <cell r="A628" t="str">
            <v>DOC. BASCO V  T.S.E. TCVNMA</v>
          </cell>
          <cell r="B628" t="str">
            <v>01665</v>
          </cell>
          <cell r="C628" t="str">
            <v>E</v>
          </cell>
          <cell r="D628" t="str">
            <v>DO</v>
          </cell>
          <cell r="E628" t="str">
            <v/>
          </cell>
        </row>
        <row r="629">
          <cell r="A629" t="str">
            <v>DOC. BASICA 16- TSE TID VI</v>
          </cell>
          <cell r="B629" t="str">
            <v>01626</v>
          </cell>
          <cell r="C629" t="str">
            <v>E</v>
          </cell>
          <cell r="D629" t="str">
            <v>DO</v>
          </cell>
          <cell r="E629" t="str">
            <v/>
          </cell>
        </row>
        <row r="630">
          <cell r="A630" t="str">
            <v>DOC. BASICA 16-789 TSE TCVD I</v>
          </cell>
          <cell r="B630" t="str">
            <v>01651</v>
          </cell>
          <cell r="C630" t="str">
            <v>E</v>
          </cell>
          <cell r="D630" t="str">
            <v>DO</v>
          </cell>
          <cell r="E630" t="str">
            <v/>
          </cell>
        </row>
        <row r="631">
          <cell r="A631" t="str">
            <v>DOC. BASICA 16-789 TSE TCVD II</v>
          </cell>
          <cell r="B631" t="str">
            <v>01652</v>
          </cell>
          <cell r="C631" t="str">
            <v>E</v>
          </cell>
          <cell r="D631" t="str">
            <v>DO</v>
          </cell>
          <cell r="E631" t="str">
            <v/>
          </cell>
        </row>
        <row r="632">
          <cell r="A632" t="str">
            <v>DOC. BASICA 16-789 TSE TCVD III</v>
          </cell>
          <cell r="B632" t="str">
            <v>01653</v>
          </cell>
          <cell r="C632" t="str">
            <v>E</v>
          </cell>
          <cell r="D632" t="str">
            <v>DO</v>
          </cell>
          <cell r="E632" t="str">
            <v/>
          </cell>
        </row>
        <row r="633">
          <cell r="A633" t="str">
            <v>DOC. BASICA 16-789 TSE TCVD IV</v>
          </cell>
          <cell r="B633" t="str">
            <v>01654</v>
          </cell>
          <cell r="C633" t="str">
            <v>E</v>
          </cell>
          <cell r="D633" t="str">
            <v>DO</v>
          </cell>
          <cell r="E633" t="str">
            <v/>
          </cell>
        </row>
        <row r="634">
          <cell r="A634" t="str">
            <v>DOC. BASICA 16-789 TSE TCVD V</v>
          </cell>
          <cell r="B634" t="str">
            <v>01655</v>
          </cell>
          <cell r="C634" t="str">
            <v>E</v>
          </cell>
          <cell r="D634" t="str">
            <v>DO</v>
          </cell>
          <cell r="E634" t="str">
            <v/>
          </cell>
        </row>
        <row r="635">
          <cell r="A635" t="str">
            <v>DOC. BASICA 16-789 TSE TCVD VI</v>
          </cell>
          <cell r="B635" t="str">
            <v>01656</v>
          </cell>
          <cell r="C635" t="str">
            <v>E</v>
          </cell>
          <cell r="D635" t="str">
            <v>DO</v>
          </cell>
          <cell r="E635" t="str">
            <v/>
          </cell>
        </row>
        <row r="636">
          <cell r="A636" t="str">
            <v>DOC. BASICA 16-TSE TID I</v>
          </cell>
          <cell r="B636" t="str">
            <v>01621</v>
          </cell>
          <cell r="C636" t="str">
            <v>E</v>
          </cell>
          <cell r="D636" t="str">
            <v>DO</v>
          </cell>
          <cell r="E636" t="str">
            <v/>
          </cell>
        </row>
        <row r="637">
          <cell r="A637" t="str">
            <v>DOC. BASICA 16-TSE TID II</v>
          </cell>
          <cell r="B637" t="str">
            <v>01622</v>
          </cell>
          <cell r="C637" t="str">
            <v>E</v>
          </cell>
          <cell r="D637" t="str">
            <v>DO</v>
          </cell>
          <cell r="E637" t="str">
            <v/>
          </cell>
        </row>
        <row r="638">
          <cell r="A638" t="str">
            <v>DOC. BASICA 16-TSE TID III</v>
          </cell>
          <cell r="B638" t="str">
            <v>01623</v>
          </cell>
          <cell r="C638" t="str">
            <v>E</v>
          </cell>
          <cell r="D638" t="str">
            <v>DO</v>
          </cell>
          <cell r="E638" t="str">
            <v/>
          </cell>
        </row>
        <row r="639">
          <cell r="A639" t="str">
            <v>DOC. BASICA 16-TSE TID IV</v>
          </cell>
          <cell r="B639" t="str">
            <v>01624</v>
          </cell>
          <cell r="C639" t="str">
            <v>E</v>
          </cell>
          <cell r="D639" t="str">
            <v>DO</v>
          </cell>
          <cell r="E639" t="str">
            <v/>
          </cell>
        </row>
        <row r="640">
          <cell r="A640" t="str">
            <v>DOC. BASICA 16-TSE TID V</v>
          </cell>
          <cell r="B640" t="str">
            <v>01625</v>
          </cell>
          <cell r="C640" t="str">
            <v>E</v>
          </cell>
          <cell r="D640" t="str">
            <v>DO</v>
          </cell>
          <cell r="E640" t="str">
            <v/>
          </cell>
        </row>
        <row r="641">
          <cell r="A641" t="str">
            <v>DOC. BASICA 77  TCVD</v>
          </cell>
          <cell r="B641" t="str">
            <v>00220</v>
          </cell>
          <cell r="C641" t="str">
            <v>E</v>
          </cell>
          <cell r="D641" t="str">
            <v>DO</v>
          </cell>
          <cell r="E641" t="str">
            <v/>
          </cell>
        </row>
        <row r="642">
          <cell r="A642" t="str">
            <v>DOC. BASICA 77  TID</v>
          </cell>
          <cell r="B642" t="str">
            <v>00120</v>
          </cell>
          <cell r="C642" t="str">
            <v>E</v>
          </cell>
          <cell r="D642" t="str">
            <v>DO</v>
          </cell>
          <cell r="E642" t="str">
            <v/>
          </cell>
        </row>
        <row r="643">
          <cell r="A643" t="str">
            <v>DOC. BASICA 789-TSE TCVD I</v>
          </cell>
          <cell r="B643" t="str">
            <v>01631</v>
          </cell>
          <cell r="C643" t="str">
            <v>E</v>
          </cell>
          <cell r="D643" t="str">
            <v>DO</v>
          </cell>
          <cell r="E643" t="str">
            <v/>
          </cell>
        </row>
        <row r="644">
          <cell r="A644" t="str">
            <v>DOC. BASICA 789-TSE TCVD II</v>
          </cell>
          <cell r="B644" t="str">
            <v>01632</v>
          </cell>
          <cell r="C644" t="str">
            <v>E</v>
          </cell>
          <cell r="D644" t="str">
            <v>DO</v>
          </cell>
          <cell r="E644" t="str">
            <v/>
          </cell>
        </row>
        <row r="645">
          <cell r="A645" t="str">
            <v>DOC. BASICA 789-TSE TCVD III</v>
          </cell>
          <cell r="B645" t="str">
            <v>01633</v>
          </cell>
          <cell r="C645" t="str">
            <v>E</v>
          </cell>
          <cell r="D645" t="str">
            <v>DO</v>
          </cell>
          <cell r="E645" t="str">
            <v/>
          </cell>
        </row>
        <row r="646">
          <cell r="A646" t="str">
            <v>DOC. BASICA 789-TSE TCVD IV</v>
          </cell>
          <cell r="B646" t="str">
            <v>01634</v>
          </cell>
          <cell r="C646" t="str">
            <v>E</v>
          </cell>
          <cell r="D646" t="str">
            <v>DO</v>
          </cell>
          <cell r="E646" t="str">
            <v/>
          </cell>
        </row>
        <row r="647">
          <cell r="A647" t="str">
            <v>DOC. BASICA 789-TSE TCVD V</v>
          </cell>
          <cell r="B647" t="str">
            <v>01635</v>
          </cell>
          <cell r="C647" t="str">
            <v>E</v>
          </cell>
          <cell r="D647" t="str">
            <v>DO</v>
          </cell>
          <cell r="E647" t="str">
            <v/>
          </cell>
        </row>
        <row r="648">
          <cell r="A648" t="str">
            <v>DOC. BASICA 789-TSE TCVD VI</v>
          </cell>
          <cell r="B648" t="str">
            <v>01636</v>
          </cell>
          <cell r="C648" t="str">
            <v>E</v>
          </cell>
          <cell r="D648" t="str">
            <v>DO</v>
          </cell>
          <cell r="E648" t="str">
            <v/>
          </cell>
        </row>
        <row r="649">
          <cell r="A649" t="str">
            <v>DOC. BASICA I    77 TCVNMA</v>
          </cell>
          <cell r="B649" t="str">
            <v>00161</v>
          </cell>
          <cell r="C649" t="str">
            <v>E</v>
          </cell>
          <cell r="D649" t="str">
            <v>DO</v>
          </cell>
          <cell r="E649" t="str">
            <v/>
          </cell>
        </row>
        <row r="650">
          <cell r="A650" t="str">
            <v>DOC. BASICA I    77 TCVNMA</v>
          </cell>
          <cell r="B650" t="str">
            <v>00241</v>
          </cell>
          <cell r="C650" t="str">
            <v>E</v>
          </cell>
          <cell r="D650" t="str">
            <v>DO</v>
          </cell>
          <cell r="E650" t="str">
            <v/>
          </cell>
        </row>
        <row r="651">
          <cell r="A651" t="str">
            <v>DOC. BASICA I   139 TCVD</v>
          </cell>
          <cell r="B651" t="str">
            <v>00231</v>
          </cell>
          <cell r="C651" t="str">
            <v>E</v>
          </cell>
          <cell r="D651" t="str">
            <v>DO</v>
          </cell>
          <cell r="E651" t="str">
            <v/>
          </cell>
        </row>
        <row r="652">
          <cell r="A652" t="str">
            <v>DOC. BASICA I   139 TCVNMA</v>
          </cell>
          <cell r="B652" t="str">
            <v>00171</v>
          </cell>
          <cell r="C652" t="str">
            <v>E</v>
          </cell>
          <cell r="D652" t="str">
            <v>DO</v>
          </cell>
          <cell r="E652" t="str">
            <v/>
          </cell>
        </row>
        <row r="653">
          <cell r="A653" t="str">
            <v>DOC. BASICA I   139 TID</v>
          </cell>
          <cell r="B653" t="str">
            <v>00131</v>
          </cell>
          <cell r="C653" t="str">
            <v>E</v>
          </cell>
          <cell r="D653" t="str">
            <v>DO</v>
          </cell>
          <cell r="E653" t="str">
            <v/>
          </cell>
        </row>
        <row r="654">
          <cell r="A654" t="str">
            <v>DOC. BASICA I   77  TCVD</v>
          </cell>
          <cell r="B654" t="str">
            <v>00221</v>
          </cell>
          <cell r="C654" t="str">
            <v>E</v>
          </cell>
          <cell r="D654" t="str">
            <v>DO</v>
          </cell>
          <cell r="E654" t="str">
            <v/>
          </cell>
        </row>
        <row r="655">
          <cell r="A655" t="str">
            <v>DOC. BASICA I   77 16 TSE</v>
          </cell>
          <cell r="B655" t="str">
            <v>00071</v>
          </cell>
          <cell r="C655" t="str">
            <v>E</v>
          </cell>
          <cell r="D655" t="str">
            <v>DO</v>
          </cell>
          <cell r="E655" t="str">
            <v/>
          </cell>
        </row>
        <row r="656">
          <cell r="A656" t="str">
            <v>DOC. BASICA I 77 TID</v>
          </cell>
          <cell r="B656" t="str">
            <v>00121</v>
          </cell>
          <cell r="C656" t="str">
            <v>E</v>
          </cell>
          <cell r="D656" t="str">
            <v>DO</v>
          </cell>
          <cell r="E656" t="str">
            <v/>
          </cell>
        </row>
        <row r="657">
          <cell r="A657" t="str">
            <v>DOC. BASICA II  139 TCVD</v>
          </cell>
          <cell r="B657" t="str">
            <v>00232</v>
          </cell>
          <cell r="C657" t="str">
            <v>E</v>
          </cell>
          <cell r="D657" t="str">
            <v>DO</v>
          </cell>
          <cell r="E657" t="str">
            <v/>
          </cell>
        </row>
        <row r="658">
          <cell r="A658" t="str">
            <v>DOC. BASICA II  139 TCVNMA</v>
          </cell>
          <cell r="B658" t="str">
            <v>00172</v>
          </cell>
          <cell r="C658" t="str">
            <v>E</v>
          </cell>
          <cell r="D658" t="str">
            <v>DO</v>
          </cell>
          <cell r="E658" t="str">
            <v/>
          </cell>
        </row>
        <row r="659">
          <cell r="A659" t="str">
            <v>DOC. BASICA II  139 TID</v>
          </cell>
          <cell r="B659" t="str">
            <v>00132</v>
          </cell>
          <cell r="C659" t="str">
            <v>E</v>
          </cell>
          <cell r="D659" t="str">
            <v>DO</v>
          </cell>
          <cell r="E659" t="str">
            <v/>
          </cell>
        </row>
        <row r="660">
          <cell r="A660" t="str">
            <v>DOC. BASICA II  77  TID</v>
          </cell>
          <cell r="B660" t="str">
            <v>00122</v>
          </cell>
          <cell r="C660" t="str">
            <v>E</v>
          </cell>
          <cell r="D660" t="str">
            <v>DO</v>
          </cell>
          <cell r="E660" t="str">
            <v/>
          </cell>
        </row>
        <row r="661">
          <cell r="A661" t="str">
            <v>DOC. BASICA II  77 16 TSE</v>
          </cell>
          <cell r="B661" t="str">
            <v>00072</v>
          </cell>
          <cell r="C661" t="str">
            <v>E</v>
          </cell>
          <cell r="D661" t="str">
            <v>DO</v>
          </cell>
          <cell r="E661" t="str">
            <v/>
          </cell>
        </row>
        <row r="662">
          <cell r="A662" t="str">
            <v>DOC. BASICA II 77</v>
          </cell>
          <cell r="B662" t="str">
            <v>00228</v>
          </cell>
          <cell r="C662" t="str">
            <v>E</v>
          </cell>
          <cell r="D662" t="str">
            <v>DO</v>
          </cell>
          <cell r="E662" t="str">
            <v/>
          </cell>
        </row>
        <row r="663">
          <cell r="A663" t="str">
            <v>DOC. BASICA II 77  TCVD</v>
          </cell>
          <cell r="B663" t="str">
            <v>00222</v>
          </cell>
          <cell r="C663" t="str">
            <v>E</v>
          </cell>
          <cell r="D663" t="str">
            <v>DO</v>
          </cell>
          <cell r="E663" t="str">
            <v/>
          </cell>
        </row>
        <row r="664">
          <cell r="A664" t="str">
            <v>DOC. BASICA II 77 TCVNMA</v>
          </cell>
          <cell r="B664" t="str">
            <v>00162</v>
          </cell>
          <cell r="C664" t="str">
            <v>E</v>
          </cell>
          <cell r="D664" t="str">
            <v>DO</v>
          </cell>
          <cell r="E664" t="str">
            <v/>
          </cell>
        </row>
        <row r="665">
          <cell r="A665" t="str">
            <v>DOC. BASICA II 77 TCVNMA</v>
          </cell>
          <cell r="B665" t="str">
            <v>00242</v>
          </cell>
          <cell r="C665" t="str">
            <v>E</v>
          </cell>
          <cell r="D665" t="str">
            <v>DO</v>
          </cell>
          <cell r="E665" t="str">
            <v/>
          </cell>
        </row>
        <row r="666">
          <cell r="A666" t="str">
            <v>DOC. BASICA III  77 TCVNMA</v>
          </cell>
          <cell r="B666" t="str">
            <v>00163</v>
          </cell>
          <cell r="C666" t="str">
            <v>E</v>
          </cell>
          <cell r="D666" t="str">
            <v>DO</v>
          </cell>
          <cell r="E666" t="str">
            <v/>
          </cell>
        </row>
        <row r="667">
          <cell r="A667" t="str">
            <v>DOC. BASICA III  77 TCVNMA</v>
          </cell>
          <cell r="B667" t="str">
            <v>00243</v>
          </cell>
          <cell r="C667" t="str">
            <v>E</v>
          </cell>
          <cell r="D667" t="str">
            <v>DO</v>
          </cell>
          <cell r="E667" t="str">
            <v/>
          </cell>
        </row>
        <row r="668">
          <cell r="A668" t="str">
            <v>DOC. BASICA III 139 TCVD</v>
          </cell>
          <cell r="B668" t="str">
            <v>00233</v>
          </cell>
          <cell r="C668" t="str">
            <v>E</v>
          </cell>
          <cell r="D668" t="str">
            <v>DO</v>
          </cell>
          <cell r="E668" t="str">
            <v/>
          </cell>
        </row>
        <row r="669">
          <cell r="A669" t="str">
            <v>DOC. BASICA III 139 TCVNMA</v>
          </cell>
          <cell r="B669" t="str">
            <v>00173</v>
          </cell>
          <cell r="C669" t="str">
            <v>E</v>
          </cell>
          <cell r="D669" t="str">
            <v>DO</v>
          </cell>
          <cell r="E669" t="str">
            <v/>
          </cell>
        </row>
        <row r="670">
          <cell r="A670" t="str">
            <v>DOC. BASICA III 139 TID</v>
          </cell>
          <cell r="B670" t="str">
            <v>00133</v>
          </cell>
          <cell r="C670" t="str">
            <v>E</v>
          </cell>
          <cell r="D670" t="str">
            <v>DO</v>
          </cell>
          <cell r="E670" t="str">
            <v/>
          </cell>
        </row>
        <row r="671">
          <cell r="A671" t="str">
            <v>DOC. BASICA III 77  TCVD</v>
          </cell>
          <cell r="B671" t="str">
            <v>00223</v>
          </cell>
          <cell r="C671" t="str">
            <v>E</v>
          </cell>
          <cell r="D671" t="str">
            <v>DO</v>
          </cell>
          <cell r="E671" t="str">
            <v/>
          </cell>
        </row>
        <row r="672">
          <cell r="A672" t="str">
            <v>DOC. BASICA III 77  TID</v>
          </cell>
          <cell r="B672" t="str">
            <v>00123</v>
          </cell>
          <cell r="C672" t="str">
            <v>E</v>
          </cell>
          <cell r="D672" t="str">
            <v>DO</v>
          </cell>
          <cell r="E672" t="str">
            <v/>
          </cell>
        </row>
        <row r="673">
          <cell r="A673" t="str">
            <v>DOC. BASICA III 77 TCVN</v>
          </cell>
          <cell r="B673" t="str">
            <v>09127</v>
          </cell>
          <cell r="C673" t="str">
            <v>E</v>
          </cell>
          <cell r="D673" t="str">
            <v>DO</v>
          </cell>
          <cell r="E673" t="str">
            <v/>
          </cell>
        </row>
        <row r="674">
          <cell r="A674" t="str">
            <v>DOC. BASICA IV   77 TCVNMA</v>
          </cell>
          <cell r="B674" t="str">
            <v>00164</v>
          </cell>
          <cell r="C674" t="str">
            <v>E</v>
          </cell>
          <cell r="D674" t="str">
            <v>DO</v>
          </cell>
          <cell r="E674" t="str">
            <v/>
          </cell>
        </row>
        <row r="675">
          <cell r="A675" t="str">
            <v>DOC. BASICA IV   77 TCVNMA</v>
          </cell>
          <cell r="B675" t="str">
            <v>00244</v>
          </cell>
          <cell r="C675" t="str">
            <v>E</v>
          </cell>
          <cell r="D675" t="str">
            <v>DO</v>
          </cell>
          <cell r="E675" t="str">
            <v/>
          </cell>
        </row>
        <row r="676">
          <cell r="A676" t="str">
            <v>DOC. BASICA IV  139 TCVD</v>
          </cell>
          <cell r="B676" t="str">
            <v>00234</v>
          </cell>
          <cell r="C676" t="str">
            <v>E</v>
          </cell>
          <cell r="D676" t="str">
            <v>DO</v>
          </cell>
          <cell r="E676" t="str">
            <v/>
          </cell>
        </row>
        <row r="677">
          <cell r="A677" t="str">
            <v>DOC. BASICA IV  139 TCVNMA</v>
          </cell>
          <cell r="B677" t="str">
            <v>00174</v>
          </cell>
          <cell r="C677" t="str">
            <v>E</v>
          </cell>
          <cell r="D677" t="str">
            <v>DO</v>
          </cell>
          <cell r="E677" t="str">
            <v/>
          </cell>
        </row>
        <row r="678">
          <cell r="A678" t="str">
            <v>DOC. BASICA IV  139 TID</v>
          </cell>
          <cell r="B678" t="str">
            <v>00134</v>
          </cell>
          <cell r="C678" t="str">
            <v>E</v>
          </cell>
          <cell r="D678" t="str">
            <v>DO</v>
          </cell>
          <cell r="E678" t="str">
            <v/>
          </cell>
        </row>
        <row r="679">
          <cell r="A679" t="str">
            <v>DOC. BASICA IV  77  TCVD</v>
          </cell>
          <cell r="B679" t="str">
            <v>00224</v>
          </cell>
          <cell r="C679" t="str">
            <v>E</v>
          </cell>
          <cell r="D679" t="str">
            <v>DO</v>
          </cell>
          <cell r="E679" t="str">
            <v/>
          </cell>
        </row>
        <row r="680">
          <cell r="A680" t="str">
            <v>DOC. BASICA IV  77  TID</v>
          </cell>
          <cell r="B680" t="str">
            <v>00124</v>
          </cell>
          <cell r="C680" t="str">
            <v>E</v>
          </cell>
          <cell r="D680" t="str">
            <v>DO</v>
          </cell>
          <cell r="E680" t="str">
            <v/>
          </cell>
        </row>
        <row r="681">
          <cell r="A681" t="str">
            <v>DOC. BASICA IV  77  TID  (33 HORAS) /TCVD (14 HORAS)</v>
          </cell>
          <cell r="B681" t="str">
            <v>40211</v>
          </cell>
          <cell r="C681" t="str">
            <v>E</v>
          </cell>
          <cell r="D681" t="str">
            <v>DO</v>
          </cell>
          <cell r="E681" t="str">
            <v/>
          </cell>
        </row>
        <row r="682">
          <cell r="A682" t="str">
            <v>DOC. BASICA IV  77 TC-V</v>
          </cell>
          <cell r="B682" t="str">
            <v>00204</v>
          </cell>
          <cell r="C682" t="str">
            <v>E</v>
          </cell>
          <cell r="D682" t="str">
            <v>DO</v>
          </cell>
          <cell r="E682" t="str">
            <v/>
          </cell>
        </row>
        <row r="683">
          <cell r="A683" t="str">
            <v>DOC. BASICA IV 77 TCVD (19 HORAS) TID  (33.33 HORAS)</v>
          </cell>
          <cell r="B683" t="str">
            <v>40191</v>
          </cell>
          <cell r="C683" t="str">
            <v>E</v>
          </cell>
          <cell r="D683" t="str">
            <v>DO</v>
          </cell>
          <cell r="E683" t="str">
            <v/>
          </cell>
        </row>
        <row r="684">
          <cell r="A684" t="str">
            <v>DOC. BASICA N.G. 16 TCVNMA</v>
          </cell>
          <cell r="B684" t="str">
            <v>00048</v>
          </cell>
          <cell r="C684" t="str">
            <v>E</v>
          </cell>
          <cell r="D684" t="str">
            <v>DO</v>
          </cell>
          <cell r="E684" t="str">
            <v/>
          </cell>
        </row>
        <row r="685">
          <cell r="A685" t="str">
            <v>DOC. BASICA N.G. 19 TID</v>
          </cell>
          <cell r="B685" t="str">
            <v>00046</v>
          </cell>
          <cell r="C685" t="str">
            <v>E</v>
          </cell>
          <cell r="D685" t="str">
            <v>DO</v>
          </cell>
          <cell r="E685" t="str">
            <v/>
          </cell>
        </row>
        <row r="686">
          <cell r="A686" t="str">
            <v>DOC. BASICA N.G. 789 TCVNHC</v>
          </cell>
          <cell r="B686" t="str">
            <v>00055</v>
          </cell>
          <cell r="C686" t="str">
            <v>E</v>
          </cell>
          <cell r="D686" t="str">
            <v>DO</v>
          </cell>
          <cell r="E686" t="str">
            <v/>
          </cell>
        </row>
        <row r="687">
          <cell r="A687" t="str">
            <v>DOC. BASICA N.G. 789 TCVNMA</v>
          </cell>
          <cell r="B687" t="str">
            <v>00049</v>
          </cell>
          <cell r="C687" t="str">
            <v>E</v>
          </cell>
          <cell r="D687" t="str">
            <v>DO</v>
          </cell>
          <cell r="E687" t="str">
            <v/>
          </cell>
        </row>
        <row r="688">
          <cell r="A688" t="str">
            <v>DOC. BASICA N.G. TCVD</v>
          </cell>
          <cell r="B688" t="str">
            <v>00052</v>
          </cell>
          <cell r="C688" t="str">
            <v>E</v>
          </cell>
          <cell r="D688" t="str">
            <v>DO</v>
          </cell>
          <cell r="E688" t="str">
            <v/>
          </cell>
        </row>
        <row r="689">
          <cell r="A689" t="str">
            <v>DOC. BASICA N.G. TCVID</v>
          </cell>
          <cell r="B689" t="str">
            <v>00047</v>
          </cell>
          <cell r="C689" t="str">
            <v>E</v>
          </cell>
          <cell r="D689" t="str">
            <v>DO</v>
          </cell>
          <cell r="E689" t="str">
            <v/>
          </cell>
        </row>
        <row r="690">
          <cell r="A690" t="str">
            <v>DOC. BASICA V    77 TCVNMA</v>
          </cell>
          <cell r="B690" t="str">
            <v>00165</v>
          </cell>
          <cell r="C690" t="str">
            <v>E</v>
          </cell>
          <cell r="D690" t="str">
            <v>DO</v>
          </cell>
          <cell r="E690" t="str">
            <v/>
          </cell>
        </row>
        <row r="691">
          <cell r="A691" t="str">
            <v>DOC. BASICA V    77 TCVNMA</v>
          </cell>
          <cell r="B691" t="str">
            <v>00245</v>
          </cell>
          <cell r="C691" t="str">
            <v>E</v>
          </cell>
          <cell r="D691" t="str">
            <v>DO</v>
          </cell>
          <cell r="E691" t="str">
            <v/>
          </cell>
        </row>
        <row r="692">
          <cell r="A692" t="str">
            <v>DOC. BASICA V   139 TCVD</v>
          </cell>
          <cell r="B692" t="str">
            <v>00235</v>
          </cell>
          <cell r="C692" t="str">
            <v>E</v>
          </cell>
          <cell r="D692" t="str">
            <v>DO</v>
          </cell>
          <cell r="E692" t="str">
            <v/>
          </cell>
        </row>
        <row r="693">
          <cell r="A693" t="str">
            <v>DOC. BASICA V   139 TCVNMA</v>
          </cell>
          <cell r="B693" t="str">
            <v>00175</v>
          </cell>
          <cell r="C693" t="str">
            <v>E</v>
          </cell>
          <cell r="D693" t="str">
            <v>DO</v>
          </cell>
          <cell r="E693" t="str">
            <v/>
          </cell>
        </row>
        <row r="694">
          <cell r="A694" t="str">
            <v>DOC. BASICA V   139 TID</v>
          </cell>
          <cell r="B694" t="str">
            <v>00135</v>
          </cell>
          <cell r="C694" t="str">
            <v>E</v>
          </cell>
          <cell r="D694" t="str">
            <v>DO</v>
          </cell>
          <cell r="E694" t="str">
            <v/>
          </cell>
        </row>
        <row r="695">
          <cell r="A695" t="str">
            <v>DOC. BASICA V   77  TCVD</v>
          </cell>
          <cell r="B695" t="str">
            <v>00225</v>
          </cell>
          <cell r="C695" t="str">
            <v>E</v>
          </cell>
          <cell r="D695" t="str">
            <v>DO</v>
          </cell>
          <cell r="E695" t="str">
            <v/>
          </cell>
        </row>
        <row r="696">
          <cell r="A696" t="str">
            <v>DOC. BASICA V   77  TID</v>
          </cell>
          <cell r="B696" t="str">
            <v>00125</v>
          </cell>
          <cell r="C696" t="str">
            <v>E</v>
          </cell>
          <cell r="D696" t="str">
            <v>DO</v>
          </cell>
          <cell r="E696" t="str">
            <v/>
          </cell>
        </row>
        <row r="697">
          <cell r="A697" t="str">
            <v>DOC. BASICA V   77  TID (33.33 HORAS /TCVD (10 HORAS)</v>
          </cell>
          <cell r="B697" t="str">
            <v>40179</v>
          </cell>
          <cell r="C697" t="str">
            <v>E</v>
          </cell>
          <cell r="D697" t="str">
            <v>DO</v>
          </cell>
          <cell r="E697" t="str">
            <v/>
          </cell>
        </row>
        <row r="698">
          <cell r="A698" t="str">
            <v>DOC. BASICA V   77  TID (33.33 HORAS) /TCVD (13 HORAS)</v>
          </cell>
          <cell r="B698" t="str">
            <v>40195</v>
          </cell>
          <cell r="C698" t="str">
            <v>E</v>
          </cell>
          <cell r="D698" t="str">
            <v>DO</v>
          </cell>
          <cell r="E698" t="str">
            <v/>
          </cell>
        </row>
        <row r="699">
          <cell r="A699" t="str">
            <v>DOC. BASICA V   77 TC-V 79</v>
          </cell>
          <cell r="B699" t="str">
            <v>00205</v>
          </cell>
          <cell r="C699" t="str">
            <v>E</v>
          </cell>
          <cell r="D699" t="str">
            <v>DO</v>
          </cell>
          <cell r="E699" t="str">
            <v/>
          </cell>
        </row>
        <row r="700">
          <cell r="A700" t="str">
            <v>DOC. BASICA V  139 TCVD-MEF</v>
          </cell>
          <cell r="B700" t="str">
            <v>00155</v>
          </cell>
          <cell r="C700" t="str">
            <v>E</v>
          </cell>
          <cell r="D700" t="str">
            <v>DO</v>
          </cell>
          <cell r="E700" t="str">
            <v/>
          </cell>
        </row>
        <row r="701">
          <cell r="A701" t="str">
            <v>DOC. BASICA V  77  TCVD  (10 HORAS) Y TCVNMA (16) HORAS</v>
          </cell>
          <cell r="B701" t="str">
            <v>40076</v>
          </cell>
          <cell r="C701" t="str">
            <v>E</v>
          </cell>
          <cell r="D701" t="str">
            <v>DO</v>
          </cell>
          <cell r="E701" t="str">
            <v/>
          </cell>
        </row>
        <row r="702">
          <cell r="A702" t="str">
            <v>DOC. BASICA V  77  TID/TCVNMA</v>
          </cell>
          <cell r="B702" t="str">
            <v>40246</v>
          </cell>
          <cell r="C702" t="str">
            <v>E</v>
          </cell>
          <cell r="D702" t="str">
            <v>DO</v>
          </cell>
          <cell r="E702" t="str">
            <v/>
          </cell>
        </row>
        <row r="703">
          <cell r="A703" t="str">
            <v>DOC. BASICA V 77 TID (33.33) TCVD (20 HORAS)</v>
          </cell>
          <cell r="B703" t="str">
            <v>40186</v>
          </cell>
          <cell r="C703" t="str">
            <v>E</v>
          </cell>
          <cell r="D703" t="str">
            <v>DO</v>
          </cell>
          <cell r="E703" t="str">
            <v/>
          </cell>
        </row>
        <row r="704">
          <cell r="A704" t="str">
            <v>DOC. BASICA V ORIENT.77 TID</v>
          </cell>
          <cell r="B704" t="str">
            <v>00095</v>
          </cell>
          <cell r="C704" t="str">
            <v>E</v>
          </cell>
          <cell r="D704" t="str">
            <v>DO</v>
          </cell>
          <cell r="E704" t="str">
            <v/>
          </cell>
        </row>
        <row r="705">
          <cell r="A705" t="str">
            <v>DOC. BASICA VI   77 TCVD</v>
          </cell>
          <cell r="B705" t="str">
            <v>00227</v>
          </cell>
          <cell r="C705" t="str">
            <v>E</v>
          </cell>
          <cell r="D705" t="str">
            <v>DO</v>
          </cell>
          <cell r="E705" t="str">
            <v/>
          </cell>
        </row>
        <row r="706">
          <cell r="A706" t="str">
            <v>DOC. BASICA VI   77 TCVNMA</v>
          </cell>
          <cell r="B706" t="str">
            <v>00166</v>
          </cell>
          <cell r="C706" t="str">
            <v>E</v>
          </cell>
          <cell r="D706" t="str">
            <v>DO</v>
          </cell>
          <cell r="E706" t="str">
            <v/>
          </cell>
        </row>
        <row r="707">
          <cell r="A707" t="str">
            <v>DOC. BASICA VI   77 TCVNMA</v>
          </cell>
          <cell r="B707" t="str">
            <v>00246</v>
          </cell>
          <cell r="C707" t="str">
            <v>E</v>
          </cell>
          <cell r="D707" t="str">
            <v>DO</v>
          </cell>
          <cell r="E707" t="str">
            <v/>
          </cell>
        </row>
        <row r="708">
          <cell r="A708" t="str">
            <v>DOC. BASICA VI  139 TCVD</v>
          </cell>
          <cell r="B708" t="str">
            <v>00236</v>
          </cell>
          <cell r="C708" t="str">
            <v>E</v>
          </cell>
          <cell r="D708" t="str">
            <v>DO</v>
          </cell>
          <cell r="E708" t="str">
            <v/>
          </cell>
        </row>
        <row r="709">
          <cell r="A709" t="str">
            <v>DOC. BASICA VI  139 TCVNMA</v>
          </cell>
          <cell r="B709" t="str">
            <v>00176</v>
          </cell>
          <cell r="C709" t="str">
            <v>E</v>
          </cell>
          <cell r="D709" t="str">
            <v>DO</v>
          </cell>
          <cell r="E709" t="str">
            <v/>
          </cell>
        </row>
        <row r="710">
          <cell r="A710" t="str">
            <v>DOC. BASICA VI  139 TID</v>
          </cell>
          <cell r="B710" t="str">
            <v>00136</v>
          </cell>
          <cell r="C710" t="str">
            <v>E</v>
          </cell>
          <cell r="D710" t="str">
            <v>DO</v>
          </cell>
          <cell r="E710" t="str">
            <v/>
          </cell>
        </row>
        <row r="711">
          <cell r="A711" t="str">
            <v>DOC. BASICA VI  77  TCVD</v>
          </cell>
          <cell r="B711" t="str">
            <v>00226</v>
          </cell>
          <cell r="C711" t="str">
            <v>E</v>
          </cell>
          <cell r="D711" t="str">
            <v>DO</v>
          </cell>
          <cell r="E711" t="str">
            <v/>
          </cell>
        </row>
        <row r="712">
          <cell r="A712" t="str">
            <v>DOC. BASICA VI  77  TID</v>
          </cell>
          <cell r="B712" t="str">
            <v>00126</v>
          </cell>
          <cell r="C712" t="str">
            <v>E</v>
          </cell>
          <cell r="D712" t="str">
            <v>DO</v>
          </cell>
          <cell r="E712" t="str">
            <v/>
          </cell>
        </row>
        <row r="713">
          <cell r="A713" t="str">
            <v>DOC. BASICA VI 77 TID (33.33 HORAS) TCVN (12 HORAS)</v>
          </cell>
          <cell r="B713" t="str">
            <v>40217</v>
          </cell>
          <cell r="C713" t="str">
            <v>E</v>
          </cell>
          <cell r="D713" t="str">
            <v>DO</v>
          </cell>
          <cell r="E713" t="str">
            <v/>
          </cell>
        </row>
        <row r="714">
          <cell r="A714" t="str">
            <v>DOC. BASICA VI 77 TID (33.33 HORAS) TCVNMA (11 HORAS)</v>
          </cell>
          <cell r="B714" t="str">
            <v>40209</v>
          </cell>
          <cell r="C714" t="str">
            <v>E</v>
          </cell>
          <cell r="D714" t="str">
            <v>DO</v>
          </cell>
          <cell r="E714" t="str">
            <v/>
          </cell>
        </row>
        <row r="715">
          <cell r="A715" t="str">
            <v>DOC. BASICO  VI  T.S.E. TCVNMA</v>
          </cell>
          <cell r="B715" t="str">
            <v>01666</v>
          </cell>
          <cell r="C715" t="str">
            <v>E</v>
          </cell>
          <cell r="D715" t="str">
            <v>DO</v>
          </cell>
          <cell r="E715" t="str">
            <v/>
          </cell>
        </row>
        <row r="716">
          <cell r="A716" t="str">
            <v>DOC. BASICO I  T.S.E. TCVNMA</v>
          </cell>
          <cell r="B716" t="str">
            <v>01661</v>
          </cell>
          <cell r="C716" t="str">
            <v>E</v>
          </cell>
          <cell r="D716" t="str">
            <v>DO</v>
          </cell>
          <cell r="E716" t="str">
            <v/>
          </cell>
        </row>
        <row r="717">
          <cell r="A717" t="str">
            <v>DOC. BASICO II  T.S.E. TCVNMA</v>
          </cell>
          <cell r="B717" t="str">
            <v>01662</v>
          </cell>
          <cell r="C717" t="str">
            <v>E</v>
          </cell>
          <cell r="D717" t="str">
            <v>DO</v>
          </cell>
          <cell r="E717" t="str">
            <v/>
          </cell>
        </row>
        <row r="718">
          <cell r="A718" t="str">
            <v>DOC. BASICO III T.S.E. TCVNMA</v>
          </cell>
          <cell r="B718" t="str">
            <v>01663</v>
          </cell>
          <cell r="C718" t="str">
            <v>E</v>
          </cell>
          <cell r="D718" t="str">
            <v>DO</v>
          </cell>
          <cell r="E718" t="str">
            <v/>
          </cell>
        </row>
        <row r="719">
          <cell r="A719" t="str">
            <v>DOC. BASICO IV  T.S.E. TCVNMA</v>
          </cell>
          <cell r="B719" t="str">
            <v>01664</v>
          </cell>
          <cell r="C719" t="str">
            <v>E</v>
          </cell>
          <cell r="D719" t="str">
            <v>DO</v>
          </cell>
          <cell r="E719" t="str">
            <v/>
          </cell>
        </row>
        <row r="720">
          <cell r="A720" t="str">
            <v>DOC. DIR. BASICA  VI 139 TID (36 HORAS) Y DOC. BAS. VI 139 TCVNMA (16 HORAS)</v>
          </cell>
          <cell r="B720" t="str">
            <v>40235</v>
          </cell>
          <cell r="C720" t="str">
            <v>E</v>
          </cell>
          <cell r="D720" t="str">
            <v>DO</v>
          </cell>
          <cell r="E720" t="str">
            <v/>
          </cell>
        </row>
        <row r="721">
          <cell r="A721" t="str">
            <v>DOC. DIRECTOR 77-TC  IV.</v>
          </cell>
          <cell r="B721" t="str">
            <v>00789</v>
          </cell>
          <cell r="C721" t="str">
            <v>E</v>
          </cell>
          <cell r="D721" t="str">
            <v>DO</v>
          </cell>
          <cell r="E721" t="str">
            <v/>
          </cell>
        </row>
        <row r="722">
          <cell r="A722" t="str">
            <v>DOC. DIRECTOR ARTES P.</v>
          </cell>
          <cell r="B722" t="str">
            <v>00054</v>
          </cell>
          <cell r="C722" t="str">
            <v>E</v>
          </cell>
          <cell r="D722" t="str">
            <v>DO</v>
          </cell>
          <cell r="E722" t="str">
            <v/>
          </cell>
        </row>
        <row r="723">
          <cell r="A723" t="str">
            <v>DOC. DIRECTOR BAS. N.G. 16 TCVNMA</v>
          </cell>
          <cell r="B723" t="str">
            <v>00050</v>
          </cell>
          <cell r="C723" t="str">
            <v>E</v>
          </cell>
          <cell r="D723" t="str">
            <v>DO</v>
          </cell>
          <cell r="E723" t="str">
            <v/>
          </cell>
        </row>
        <row r="724">
          <cell r="A724" t="str">
            <v>DOC. DIRECTOR BAS. N.G. 789 TCVNMA</v>
          </cell>
          <cell r="B724" t="str">
            <v>00051</v>
          </cell>
          <cell r="C724" t="str">
            <v>E</v>
          </cell>
          <cell r="D724" t="str">
            <v>DO</v>
          </cell>
          <cell r="E724" t="str">
            <v/>
          </cell>
        </row>
        <row r="725">
          <cell r="A725" t="str">
            <v>DOC. DIRECTOR BASICA  I 139 TCVNMA</v>
          </cell>
          <cell r="B725" t="str">
            <v>00771</v>
          </cell>
          <cell r="C725" t="str">
            <v>E</v>
          </cell>
          <cell r="D725" t="str">
            <v>DO</v>
          </cell>
          <cell r="E725" t="str">
            <v/>
          </cell>
        </row>
        <row r="726">
          <cell r="A726" t="str">
            <v>DOC. DIRECTOR BASICA  V  77 TCVNMA</v>
          </cell>
          <cell r="B726" t="str">
            <v>00765</v>
          </cell>
          <cell r="C726" t="str">
            <v>E</v>
          </cell>
          <cell r="D726" t="str">
            <v>DO</v>
          </cell>
          <cell r="E726" t="str">
            <v/>
          </cell>
        </row>
        <row r="727">
          <cell r="A727" t="str">
            <v>DOC. DIRECTOR BASICA  V 139 TCVNMA</v>
          </cell>
          <cell r="B727" t="str">
            <v>00775</v>
          </cell>
          <cell r="C727" t="str">
            <v>E</v>
          </cell>
          <cell r="D727" t="str">
            <v>DO</v>
          </cell>
          <cell r="E727" t="str">
            <v/>
          </cell>
        </row>
        <row r="728">
          <cell r="A728" t="str">
            <v>DOC. DIRECTOR BASICA  V T.S.E TID</v>
          </cell>
          <cell r="B728" t="str">
            <v>01668</v>
          </cell>
          <cell r="C728" t="str">
            <v>E</v>
          </cell>
          <cell r="D728" t="str">
            <v>DO</v>
          </cell>
          <cell r="E728" t="str">
            <v/>
          </cell>
        </row>
        <row r="729">
          <cell r="A729" t="str">
            <v>DOC. DIRECTOR BASICA 77  TID</v>
          </cell>
          <cell r="B729" t="str">
            <v>00740</v>
          </cell>
          <cell r="C729" t="str">
            <v>E</v>
          </cell>
          <cell r="D729" t="str">
            <v>DO</v>
          </cell>
          <cell r="E729" t="str">
            <v/>
          </cell>
        </row>
        <row r="730">
          <cell r="A730" t="str">
            <v>DOC. DIRECTOR BASICA 77 TCVNMA</v>
          </cell>
          <cell r="B730" t="str">
            <v>40226</v>
          </cell>
          <cell r="C730" t="str">
            <v>E</v>
          </cell>
          <cell r="D730" t="str">
            <v>DO</v>
          </cell>
          <cell r="E730" t="str">
            <v/>
          </cell>
        </row>
        <row r="731">
          <cell r="A731" t="str">
            <v>DOC. DIRECTOR BASICA I   77  TID</v>
          </cell>
          <cell r="B731" t="str">
            <v>00741</v>
          </cell>
          <cell r="C731" t="str">
            <v>E</v>
          </cell>
          <cell r="D731" t="str">
            <v>DO</v>
          </cell>
          <cell r="E731" t="str">
            <v/>
          </cell>
        </row>
        <row r="732">
          <cell r="A732" t="str">
            <v>DOC. DIRECTOR BASICA I  77 TCVNMA</v>
          </cell>
          <cell r="B732" t="str">
            <v>00761</v>
          </cell>
          <cell r="C732" t="str">
            <v>E</v>
          </cell>
          <cell r="D732" t="str">
            <v>DO</v>
          </cell>
          <cell r="E732" t="str">
            <v/>
          </cell>
        </row>
        <row r="733">
          <cell r="A733" t="str">
            <v>DOC. DIRECTOR BASICA II  77  TID</v>
          </cell>
          <cell r="B733" t="str">
            <v>00742</v>
          </cell>
          <cell r="C733" t="str">
            <v>E</v>
          </cell>
          <cell r="D733" t="str">
            <v>DO</v>
          </cell>
          <cell r="E733" t="str">
            <v/>
          </cell>
        </row>
        <row r="734">
          <cell r="A734" t="str">
            <v>DOC. DIRECTOR BASICA III 139 TID</v>
          </cell>
          <cell r="B734" t="str">
            <v>00753</v>
          </cell>
          <cell r="C734" t="str">
            <v>E</v>
          </cell>
          <cell r="D734" t="str">
            <v>DO</v>
          </cell>
          <cell r="E734" t="str">
            <v/>
          </cell>
        </row>
        <row r="735">
          <cell r="A735" t="str">
            <v>DOC. DIRECTOR BASICA III 77 TID</v>
          </cell>
          <cell r="B735" t="str">
            <v>00743</v>
          </cell>
          <cell r="C735" t="str">
            <v>E</v>
          </cell>
          <cell r="D735" t="str">
            <v>DO</v>
          </cell>
          <cell r="E735" t="str">
            <v/>
          </cell>
        </row>
        <row r="736">
          <cell r="A736" t="str">
            <v>DOC. DIRECTOR BASICA IV  77 TCVNMA</v>
          </cell>
          <cell r="B736" t="str">
            <v>00764</v>
          </cell>
          <cell r="C736" t="str">
            <v>E</v>
          </cell>
          <cell r="D736" t="str">
            <v>DO</v>
          </cell>
          <cell r="E736" t="str">
            <v/>
          </cell>
        </row>
        <row r="737">
          <cell r="A737" t="str">
            <v>DOC. DIRECTOR BASICA IV  77 TID</v>
          </cell>
          <cell r="B737" t="str">
            <v>00744</v>
          </cell>
          <cell r="C737" t="str">
            <v>E</v>
          </cell>
          <cell r="D737" t="str">
            <v>DO</v>
          </cell>
          <cell r="E737" t="str">
            <v/>
          </cell>
        </row>
        <row r="738">
          <cell r="A738" t="str">
            <v>DOC. DIRECTOR BASICA IV 139 TCVNMA</v>
          </cell>
          <cell r="B738" t="str">
            <v>00774</v>
          </cell>
          <cell r="C738" t="str">
            <v>E</v>
          </cell>
          <cell r="D738" t="str">
            <v>DO</v>
          </cell>
          <cell r="E738" t="str">
            <v/>
          </cell>
        </row>
        <row r="739">
          <cell r="A739" t="str">
            <v>DOC. DIRECTOR BASICA IV 139 TID</v>
          </cell>
          <cell r="B739" t="str">
            <v>00754</v>
          </cell>
          <cell r="C739" t="str">
            <v>E</v>
          </cell>
          <cell r="D739" t="str">
            <v>DO</v>
          </cell>
          <cell r="E739" t="str">
            <v/>
          </cell>
        </row>
        <row r="740">
          <cell r="A740" t="str">
            <v>DOC. DIRECTOR BASICA IV T.S.E TID</v>
          </cell>
          <cell r="B740" t="str">
            <v>01667</v>
          </cell>
          <cell r="C740" t="str">
            <v>E</v>
          </cell>
          <cell r="D740" t="str">
            <v>DO</v>
          </cell>
          <cell r="E740" t="str">
            <v/>
          </cell>
        </row>
        <row r="741">
          <cell r="A741" t="str">
            <v>DOC. DIRECTOR BASICA V   77 TID</v>
          </cell>
          <cell r="B741" t="str">
            <v>00745</v>
          </cell>
          <cell r="C741" t="str">
            <v>E</v>
          </cell>
          <cell r="D741" t="str">
            <v>DO</v>
          </cell>
          <cell r="E741" t="str">
            <v/>
          </cell>
        </row>
        <row r="742">
          <cell r="A742" t="str">
            <v>DOC. DIRECTOR BASICA V  139 TID</v>
          </cell>
          <cell r="B742" t="str">
            <v>00755</v>
          </cell>
          <cell r="C742" t="str">
            <v>E</v>
          </cell>
          <cell r="D742" t="str">
            <v>DO</v>
          </cell>
          <cell r="E742" t="str">
            <v/>
          </cell>
        </row>
        <row r="743">
          <cell r="A743" t="str">
            <v>DOC. DIRECTOR BASICA VI  77 TCVNMA</v>
          </cell>
          <cell r="B743" t="str">
            <v>00766</v>
          </cell>
          <cell r="C743" t="str">
            <v>E</v>
          </cell>
          <cell r="D743" t="str">
            <v>DO</v>
          </cell>
          <cell r="E743" t="str">
            <v/>
          </cell>
        </row>
        <row r="744">
          <cell r="A744" t="str">
            <v>DOC. DIRECTOR BASICA VI  77 TID</v>
          </cell>
          <cell r="B744" t="str">
            <v>00746</v>
          </cell>
          <cell r="C744" t="str">
            <v>E</v>
          </cell>
          <cell r="D744" t="str">
            <v>DO</v>
          </cell>
          <cell r="E744" t="str">
            <v/>
          </cell>
        </row>
        <row r="745">
          <cell r="A745" t="str">
            <v>DOC. DIRECTOR BASICA VI  77 TINMA</v>
          </cell>
          <cell r="B745" t="str">
            <v>00806</v>
          </cell>
          <cell r="C745" t="str">
            <v>E</v>
          </cell>
          <cell r="D745" t="str">
            <v>DO</v>
          </cell>
          <cell r="E745" t="str">
            <v/>
          </cell>
        </row>
        <row r="746">
          <cell r="A746" t="str">
            <v>DOC. DIRECTOR BASICA VI 139 TCVNMA</v>
          </cell>
          <cell r="B746" t="str">
            <v>00776</v>
          </cell>
          <cell r="C746" t="str">
            <v>E</v>
          </cell>
          <cell r="D746" t="str">
            <v>DO</v>
          </cell>
          <cell r="E746" t="str">
            <v/>
          </cell>
        </row>
        <row r="747">
          <cell r="A747" t="str">
            <v>DOC. DIRECTOR BASICA VI 139 TID</v>
          </cell>
          <cell r="B747" t="str">
            <v>00756</v>
          </cell>
          <cell r="C747" t="str">
            <v>E</v>
          </cell>
          <cell r="D747" t="str">
            <v>DO</v>
          </cell>
          <cell r="E747" t="str">
            <v/>
          </cell>
        </row>
        <row r="748">
          <cell r="A748" t="str">
            <v>DOC. DIRECTOR BASICO I  T.S.E.</v>
          </cell>
          <cell r="B748" t="str">
            <v>01607</v>
          </cell>
          <cell r="C748" t="str">
            <v>E</v>
          </cell>
          <cell r="D748" t="str">
            <v>DO</v>
          </cell>
          <cell r="E748" t="str">
            <v/>
          </cell>
        </row>
        <row r="749">
          <cell r="A749" t="str">
            <v>DOC. DIRECTOR BASICO II  T.S.E.</v>
          </cell>
          <cell r="B749" t="str">
            <v>01608</v>
          </cell>
          <cell r="C749" t="str">
            <v>E</v>
          </cell>
          <cell r="D749" t="str">
            <v>DO</v>
          </cell>
          <cell r="E749" t="str">
            <v/>
          </cell>
        </row>
        <row r="750">
          <cell r="A750" t="str">
            <v>DOC. DIRECTOR BASICO III  T.S.E.</v>
          </cell>
          <cell r="B750" t="str">
            <v>01609</v>
          </cell>
          <cell r="C750" t="str">
            <v>E</v>
          </cell>
          <cell r="D750" t="str">
            <v>DO</v>
          </cell>
          <cell r="E750" t="str">
            <v/>
          </cell>
        </row>
        <row r="751">
          <cell r="A751" t="str">
            <v>DOC. DIRECTOR BASICO IV  T.S.E.</v>
          </cell>
          <cell r="B751" t="str">
            <v>01610</v>
          </cell>
          <cell r="C751" t="str">
            <v>E</v>
          </cell>
          <cell r="D751" t="str">
            <v>DO</v>
          </cell>
          <cell r="E751" t="str">
            <v/>
          </cell>
        </row>
        <row r="752">
          <cell r="A752" t="str">
            <v>DOC. DIRECTOR BASICO V  T.S.E.</v>
          </cell>
          <cell r="B752" t="str">
            <v>01611</v>
          </cell>
          <cell r="C752" t="str">
            <v>E</v>
          </cell>
          <cell r="D752" t="str">
            <v>DO</v>
          </cell>
          <cell r="E752" t="str">
            <v/>
          </cell>
        </row>
        <row r="753">
          <cell r="A753" t="str">
            <v>DOC. DIRECTOR BASICO VI  T.S.E.</v>
          </cell>
          <cell r="B753" t="str">
            <v>01612</v>
          </cell>
          <cell r="C753" t="str">
            <v>E</v>
          </cell>
          <cell r="D753" t="str">
            <v>DO</v>
          </cell>
          <cell r="E753" t="str">
            <v/>
          </cell>
        </row>
        <row r="754">
          <cell r="A754" t="str">
            <v>DOC. DIRECTOR N.G.</v>
          </cell>
          <cell r="B754" t="str">
            <v>00062</v>
          </cell>
          <cell r="C754" t="str">
            <v>E</v>
          </cell>
          <cell r="D754" t="str">
            <v>DO</v>
          </cell>
          <cell r="E754" t="str">
            <v/>
          </cell>
        </row>
        <row r="755">
          <cell r="A755" t="str">
            <v>DOC. DIRECTOR PRE-ESC  II  77  TID</v>
          </cell>
          <cell r="B755" t="str">
            <v>00722</v>
          </cell>
          <cell r="C755" t="str">
            <v>E</v>
          </cell>
          <cell r="D755" t="str">
            <v>DO</v>
          </cell>
          <cell r="E755" t="str">
            <v/>
          </cell>
        </row>
        <row r="756">
          <cell r="A756" t="str">
            <v>DOC. DIRECTOR PRE-ESC. I   77  TID</v>
          </cell>
          <cell r="B756" t="str">
            <v>00721</v>
          </cell>
          <cell r="C756" t="str">
            <v>E</v>
          </cell>
          <cell r="D756" t="str">
            <v>DO</v>
          </cell>
          <cell r="E756" t="str">
            <v/>
          </cell>
        </row>
        <row r="757">
          <cell r="A757" t="str">
            <v>DOC. DIRECTOR PRE-ESC. III  77 TID</v>
          </cell>
          <cell r="B757" t="str">
            <v>00723</v>
          </cell>
          <cell r="C757" t="str">
            <v>E</v>
          </cell>
          <cell r="D757" t="str">
            <v>DO</v>
          </cell>
          <cell r="E757" t="str">
            <v/>
          </cell>
        </row>
        <row r="758">
          <cell r="A758" t="str">
            <v>DOC. DIRECTOR PRE-ESC. III 139 TID</v>
          </cell>
          <cell r="B758" t="str">
            <v>00733</v>
          </cell>
          <cell r="C758" t="str">
            <v>E</v>
          </cell>
          <cell r="D758" t="str">
            <v>DO</v>
          </cell>
          <cell r="E758" t="str">
            <v/>
          </cell>
        </row>
        <row r="759">
          <cell r="A759" t="str">
            <v>DOC. DIRECTOR PRE-ESC. IV  139 TID</v>
          </cell>
          <cell r="B759" t="str">
            <v>00734</v>
          </cell>
          <cell r="C759" t="str">
            <v>E</v>
          </cell>
          <cell r="D759" t="str">
            <v>DO</v>
          </cell>
          <cell r="E759" t="str">
            <v/>
          </cell>
        </row>
        <row r="760">
          <cell r="A760" t="str">
            <v>DOC. DIRECTOR PRE-ESC. IV  77  TID</v>
          </cell>
          <cell r="B760" t="str">
            <v>00724</v>
          </cell>
          <cell r="C760" t="str">
            <v>E</v>
          </cell>
          <cell r="D760" t="str">
            <v>DO</v>
          </cell>
          <cell r="E760" t="str">
            <v/>
          </cell>
        </row>
        <row r="761">
          <cell r="A761" t="str">
            <v>DOC. DIRECTOR PRE-ESC. V   139 TID</v>
          </cell>
          <cell r="B761" t="str">
            <v>00735</v>
          </cell>
          <cell r="C761" t="str">
            <v>E</v>
          </cell>
          <cell r="D761" t="str">
            <v>DO</v>
          </cell>
          <cell r="E761" t="str">
            <v/>
          </cell>
        </row>
        <row r="762">
          <cell r="A762" t="str">
            <v>DOC. DIRECTOR PRE-ESC. V   77  TID</v>
          </cell>
          <cell r="B762" t="str">
            <v>00725</v>
          </cell>
          <cell r="C762" t="str">
            <v>E</v>
          </cell>
          <cell r="D762" t="str">
            <v>DO</v>
          </cell>
          <cell r="E762" t="str">
            <v/>
          </cell>
        </row>
        <row r="763">
          <cell r="A763" t="str">
            <v>DOC. DIRECTOR PRE-ESC. VI  139 TID</v>
          </cell>
          <cell r="B763" t="str">
            <v>00736</v>
          </cell>
          <cell r="C763" t="str">
            <v>E</v>
          </cell>
          <cell r="D763" t="str">
            <v>DO</v>
          </cell>
          <cell r="E763" t="str">
            <v/>
          </cell>
        </row>
        <row r="764">
          <cell r="A764" t="str">
            <v>DOC. DIRECTOR PRE-ESC. VI  77  TID</v>
          </cell>
          <cell r="B764" t="str">
            <v>00726</v>
          </cell>
          <cell r="C764" t="str">
            <v>E</v>
          </cell>
          <cell r="D764" t="str">
            <v>DO</v>
          </cell>
          <cell r="E764" t="str">
            <v/>
          </cell>
        </row>
        <row r="765">
          <cell r="A765" t="str">
            <v>DOC. DIRECTOR TCV NMA 77-III</v>
          </cell>
          <cell r="B765" t="str">
            <v>00763</v>
          </cell>
          <cell r="C765" t="str">
            <v>E</v>
          </cell>
          <cell r="D765" t="str">
            <v>DO</v>
          </cell>
          <cell r="E765" t="str">
            <v/>
          </cell>
        </row>
        <row r="766">
          <cell r="A766" t="str">
            <v>DOC. DIRECTOR VI 139</v>
          </cell>
          <cell r="B766" t="str">
            <v>00076</v>
          </cell>
          <cell r="C766" t="str">
            <v>E</v>
          </cell>
          <cell r="D766" t="str">
            <v>DO</v>
          </cell>
          <cell r="E766" t="str">
            <v/>
          </cell>
        </row>
        <row r="767">
          <cell r="A767" t="str">
            <v>DOC. DIRECTOR VI 77</v>
          </cell>
          <cell r="B767" t="str">
            <v>00066</v>
          </cell>
          <cell r="C767" t="str">
            <v>E</v>
          </cell>
          <cell r="D767" t="str">
            <v>DO</v>
          </cell>
          <cell r="E767" t="str">
            <v/>
          </cell>
        </row>
        <row r="768">
          <cell r="A768" t="str">
            <v>DOC. N.G.  TCVID (10 HORAS)/ TCVNMA (09 HORAS)</v>
          </cell>
          <cell r="B768" t="str">
            <v>40184</v>
          </cell>
          <cell r="C768" t="str">
            <v>E</v>
          </cell>
          <cell r="D768" t="str">
            <v>DO</v>
          </cell>
          <cell r="E768" t="str">
            <v/>
          </cell>
        </row>
        <row r="769">
          <cell r="A769" t="str">
            <v>DOC. ORI.BAS. III 77</v>
          </cell>
          <cell r="B769" t="str">
            <v>00870</v>
          </cell>
          <cell r="C769" t="str">
            <v>E</v>
          </cell>
          <cell r="D769" t="str">
            <v>DO</v>
          </cell>
          <cell r="E769" t="str">
            <v/>
          </cell>
        </row>
        <row r="770">
          <cell r="A770" t="str">
            <v>DOC. ORIEN. I 77 1-6 TC</v>
          </cell>
          <cell r="B770" t="str">
            <v>00098</v>
          </cell>
          <cell r="C770" t="str">
            <v>E</v>
          </cell>
          <cell r="D770" t="str">
            <v>DO</v>
          </cell>
          <cell r="E770" t="str">
            <v/>
          </cell>
        </row>
        <row r="771">
          <cell r="A771" t="str">
            <v>DOC. ORIEN. V 77 1-6 TID</v>
          </cell>
          <cell r="B771" t="str">
            <v>00099</v>
          </cell>
          <cell r="C771" t="str">
            <v>E</v>
          </cell>
          <cell r="D771" t="str">
            <v>DO</v>
          </cell>
          <cell r="E771" t="str">
            <v/>
          </cell>
        </row>
        <row r="772">
          <cell r="A772" t="str">
            <v>DOC. ORIENT. 77  III TID</v>
          </cell>
          <cell r="B772" t="str">
            <v>00094</v>
          </cell>
          <cell r="C772" t="str">
            <v>E</v>
          </cell>
          <cell r="D772" t="str">
            <v>DO</v>
          </cell>
          <cell r="E772" t="str">
            <v/>
          </cell>
        </row>
        <row r="773">
          <cell r="A773" t="str">
            <v>DOC. ORIENTADOR 77 TC IV</v>
          </cell>
          <cell r="B773" t="str">
            <v>01404</v>
          </cell>
          <cell r="C773" t="str">
            <v>E</v>
          </cell>
          <cell r="D773" t="str">
            <v>DO</v>
          </cell>
          <cell r="E773" t="str">
            <v/>
          </cell>
        </row>
        <row r="774">
          <cell r="A774" t="str">
            <v>DOC. ORIENTADOR 77 TC V</v>
          </cell>
          <cell r="B774" t="str">
            <v>01405</v>
          </cell>
          <cell r="C774" t="str">
            <v>E</v>
          </cell>
          <cell r="D774" t="str">
            <v>DO</v>
          </cell>
          <cell r="E774" t="str">
            <v/>
          </cell>
        </row>
        <row r="775">
          <cell r="A775" t="str">
            <v>DOC. ORIENTADOR 77-TC. I.</v>
          </cell>
          <cell r="B775" t="str">
            <v>00868</v>
          </cell>
          <cell r="C775" t="str">
            <v>E</v>
          </cell>
          <cell r="D775" t="str">
            <v>DO</v>
          </cell>
          <cell r="E775" t="str">
            <v/>
          </cell>
        </row>
        <row r="776">
          <cell r="A776" t="str">
            <v>DOC. PLAN.16 77  V</v>
          </cell>
          <cell r="B776" t="str">
            <v>00078</v>
          </cell>
          <cell r="C776" t="str">
            <v>E</v>
          </cell>
          <cell r="D776" t="str">
            <v>DO</v>
          </cell>
          <cell r="E776" t="str">
            <v/>
          </cell>
        </row>
        <row r="777">
          <cell r="A777" t="str">
            <v>DOC. PLAN.16 77 IV</v>
          </cell>
          <cell r="B777" t="str">
            <v>00077</v>
          </cell>
          <cell r="C777" t="str">
            <v>E</v>
          </cell>
          <cell r="D777" t="str">
            <v>DO</v>
          </cell>
          <cell r="E777" t="str">
            <v/>
          </cell>
        </row>
        <row r="778">
          <cell r="A778" t="str">
            <v>DOC. PLAN.16 77 VI</v>
          </cell>
          <cell r="B778" t="str">
            <v>00079</v>
          </cell>
          <cell r="C778" t="str">
            <v>E</v>
          </cell>
          <cell r="D778" t="str">
            <v>DO</v>
          </cell>
          <cell r="E778" t="str">
            <v/>
          </cell>
        </row>
        <row r="779">
          <cell r="A779" t="str">
            <v>DOC. PLANIF. V   TC</v>
          </cell>
          <cell r="B779" t="str">
            <v>00100</v>
          </cell>
          <cell r="C779" t="str">
            <v>E</v>
          </cell>
          <cell r="D779" t="str">
            <v>DO</v>
          </cell>
          <cell r="E779" t="str">
            <v/>
          </cell>
        </row>
        <row r="780">
          <cell r="A780" t="str">
            <v>DOC. PRE-ESC I 77 TID INTERINO</v>
          </cell>
          <cell r="B780" t="str">
            <v>00301</v>
          </cell>
          <cell r="C780" t="str">
            <v>E</v>
          </cell>
          <cell r="D780" t="str">
            <v>DO</v>
          </cell>
          <cell r="E780" t="str">
            <v/>
          </cell>
        </row>
        <row r="781">
          <cell r="A781" t="str">
            <v>DOC. PRE-ESC I TSE TID INTERINO</v>
          </cell>
          <cell r="B781" t="str">
            <v>00331</v>
          </cell>
          <cell r="C781" t="str">
            <v>E</v>
          </cell>
          <cell r="D781" t="str">
            <v>DO</v>
          </cell>
          <cell r="E781" t="str">
            <v/>
          </cell>
        </row>
        <row r="782">
          <cell r="A782" t="str">
            <v>DOC. PRE-ESC TSE TID I</v>
          </cell>
          <cell r="B782" t="str">
            <v>01601</v>
          </cell>
          <cell r="C782" t="str">
            <v>E</v>
          </cell>
          <cell r="D782" t="str">
            <v>DO</v>
          </cell>
          <cell r="E782" t="str">
            <v/>
          </cell>
        </row>
        <row r="783">
          <cell r="A783" t="str">
            <v>DOC. PRE-ESC TSE TID II</v>
          </cell>
          <cell r="B783" t="str">
            <v>01602</v>
          </cell>
          <cell r="C783" t="str">
            <v>E</v>
          </cell>
          <cell r="D783" t="str">
            <v>DO</v>
          </cell>
          <cell r="E783" t="str">
            <v/>
          </cell>
        </row>
        <row r="784">
          <cell r="A784" t="str">
            <v>DOC. PRE-ESC TSE TID III</v>
          </cell>
          <cell r="B784" t="str">
            <v>01603</v>
          </cell>
          <cell r="C784" t="str">
            <v>E</v>
          </cell>
          <cell r="D784" t="str">
            <v>DO</v>
          </cell>
          <cell r="E784" t="str">
            <v/>
          </cell>
        </row>
        <row r="785">
          <cell r="A785" t="str">
            <v>DOC. PRE-ESC TSE TID IV</v>
          </cell>
          <cell r="B785" t="str">
            <v>01604</v>
          </cell>
          <cell r="C785" t="str">
            <v>E</v>
          </cell>
          <cell r="D785" t="str">
            <v>DO</v>
          </cell>
          <cell r="E785" t="str">
            <v/>
          </cell>
        </row>
        <row r="786">
          <cell r="A786" t="str">
            <v>DOC. PRE-ESC TSE TID V</v>
          </cell>
          <cell r="B786" t="str">
            <v>01605</v>
          </cell>
          <cell r="C786" t="str">
            <v>E</v>
          </cell>
          <cell r="D786" t="str">
            <v>DO</v>
          </cell>
          <cell r="E786" t="str">
            <v/>
          </cell>
        </row>
        <row r="787">
          <cell r="A787" t="str">
            <v>DOC. PRE-ESC TSE TID VI</v>
          </cell>
          <cell r="B787" t="str">
            <v>01606</v>
          </cell>
          <cell r="C787" t="str">
            <v>E</v>
          </cell>
          <cell r="D787" t="str">
            <v>DO</v>
          </cell>
          <cell r="E787" t="str">
            <v/>
          </cell>
        </row>
        <row r="788">
          <cell r="A788" t="str">
            <v>DOC. PRE-ESC. I   139 TID</v>
          </cell>
          <cell r="B788" t="str">
            <v>00111</v>
          </cell>
          <cell r="C788" t="str">
            <v>E</v>
          </cell>
          <cell r="D788" t="str">
            <v>DO</v>
          </cell>
          <cell r="E788" t="str">
            <v/>
          </cell>
        </row>
        <row r="789">
          <cell r="A789" t="str">
            <v>DOC. PRE-ESC. I   77  TID</v>
          </cell>
          <cell r="B789" t="str">
            <v>00101</v>
          </cell>
          <cell r="C789" t="str">
            <v>E</v>
          </cell>
          <cell r="D789" t="str">
            <v>DO</v>
          </cell>
          <cell r="E789" t="str">
            <v/>
          </cell>
        </row>
        <row r="790">
          <cell r="A790" t="str">
            <v>DOC. PRE-ESC. II  139 TID</v>
          </cell>
          <cell r="B790" t="str">
            <v>00112</v>
          </cell>
          <cell r="C790" t="str">
            <v>E</v>
          </cell>
          <cell r="D790" t="str">
            <v>DO</v>
          </cell>
          <cell r="E790" t="str">
            <v/>
          </cell>
        </row>
        <row r="791">
          <cell r="A791" t="str">
            <v>DOC. PRE-ESC. II  77  TID</v>
          </cell>
          <cell r="B791" t="str">
            <v>00102</v>
          </cell>
          <cell r="C791" t="str">
            <v>E</v>
          </cell>
          <cell r="D791" t="str">
            <v>DO</v>
          </cell>
          <cell r="E791" t="str">
            <v/>
          </cell>
        </row>
        <row r="792">
          <cell r="A792" t="str">
            <v>DOC. PRE-ESC. III 139 TID</v>
          </cell>
          <cell r="B792" t="str">
            <v>00113</v>
          </cell>
          <cell r="C792" t="str">
            <v>E</v>
          </cell>
          <cell r="D792" t="str">
            <v>DO</v>
          </cell>
          <cell r="E792" t="str">
            <v/>
          </cell>
        </row>
        <row r="793">
          <cell r="A793" t="str">
            <v>DOC. PRE-ESC. III 77  TID</v>
          </cell>
          <cell r="B793" t="str">
            <v>00103</v>
          </cell>
          <cell r="C793" t="str">
            <v>E</v>
          </cell>
          <cell r="D793" t="str">
            <v>DO</v>
          </cell>
          <cell r="E793" t="str">
            <v/>
          </cell>
        </row>
        <row r="794">
          <cell r="A794" t="str">
            <v>DOC. PRE-ESC. IV  139 TID</v>
          </cell>
          <cell r="B794" t="str">
            <v>00114</v>
          </cell>
          <cell r="C794" t="str">
            <v>E</v>
          </cell>
          <cell r="D794" t="str">
            <v>DO</v>
          </cell>
          <cell r="E794" t="str">
            <v/>
          </cell>
        </row>
        <row r="795">
          <cell r="A795" t="str">
            <v>DOC. PRE-ESC. IV  77  TID</v>
          </cell>
          <cell r="B795" t="str">
            <v>00104</v>
          </cell>
          <cell r="C795" t="str">
            <v>E</v>
          </cell>
          <cell r="D795" t="str">
            <v>DO</v>
          </cell>
          <cell r="E795" t="str">
            <v/>
          </cell>
        </row>
        <row r="796">
          <cell r="A796" t="str">
            <v>DOC. PRE-ESC. V   139 TID</v>
          </cell>
          <cell r="B796" t="str">
            <v>00115</v>
          </cell>
          <cell r="C796" t="str">
            <v>E</v>
          </cell>
          <cell r="D796" t="str">
            <v>DO</v>
          </cell>
          <cell r="E796" t="str">
            <v/>
          </cell>
        </row>
        <row r="797">
          <cell r="A797" t="str">
            <v>DOC. PRE-ESC. V   77  TID</v>
          </cell>
          <cell r="B797" t="str">
            <v>00105</v>
          </cell>
          <cell r="C797" t="str">
            <v>E</v>
          </cell>
          <cell r="D797" t="str">
            <v>DO</v>
          </cell>
          <cell r="E797" t="str">
            <v/>
          </cell>
        </row>
        <row r="798">
          <cell r="A798" t="str">
            <v>DOC. PRE-ESC. VI  139 TID</v>
          </cell>
          <cell r="B798" t="str">
            <v>00116</v>
          </cell>
          <cell r="C798" t="str">
            <v>E</v>
          </cell>
          <cell r="D798" t="str">
            <v>DO</v>
          </cell>
          <cell r="E798" t="str">
            <v/>
          </cell>
        </row>
        <row r="799">
          <cell r="A799" t="str">
            <v>DOC. PRE-ESC. VI  77  TID</v>
          </cell>
          <cell r="B799" t="str">
            <v>00106</v>
          </cell>
          <cell r="C799" t="str">
            <v>E</v>
          </cell>
          <cell r="D799" t="str">
            <v>DO</v>
          </cell>
          <cell r="E799" t="str">
            <v/>
          </cell>
        </row>
        <row r="800">
          <cell r="A800" t="str">
            <v>DOC. PRE-ESCOLAR N.G.</v>
          </cell>
          <cell r="B800" t="str">
            <v>00061</v>
          </cell>
          <cell r="C800" t="str">
            <v>E</v>
          </cell>
          <cell r="D800" t="str">
            <v>DO</v>
          </cell>
          <cell r="E800" t="str">
            <v/>
          </cell>
        </row>
        <row r="801">
          <cell r="A801" t="str">
            <v>DOC. SUB DIR. IV  77 TID /DOC BASICA IV 77 TCVNMA</v>
          </cell>
          <cell r="B801" t="str">
            <v>40181</v>
          </cell>
          <cell r="C801" t="str">
            <v>E</v>
          </cell>
          <cell r="D801" t="str">
            <v>DO</v>
          </cell>
          <cell r="E801" t="str">
            <v/>
          </cell>
        </row>
        <row r="802">
          <cell r="A802" t="str">
            <v>DOC. SUB DIRECTOR BASICA  I  139 TID</v>
          </cell>
          <cell r="B802" t="str">
            <v>00651</v>
          </cell>
          <cell r="C802" t="str">
            <v>E</v>
          </cell>
          <cell r="D802" t="str">
            <v>DO</v>
          </cell>
          <cell r="E802" t="str">
            <v/>
          </cell>
        </row>
        <row r="803">
          <cell r="A803" t="str">
            <v>DOC. SUB DIRECTOR BASICA  II 139 TID</v>
          </cell>
          <cell r="B803" t="str">
            <v>00652</v>
          </cell>
          <cell r="C803" t="str">
            <v>E</v>
          </cell>
          <cell r="D803" t="str">
            <v>DO</v>
          </cell>
          <cell r="E803" t="str">
            <v/>
          </cell>
        </row>
        <row r="804">
          <cell r="A804" t="str">
            <v>DOC. SUB DIRECTOR BASICA 77 TID</v>
          </cell>
          <cell r="B804" t="str">
            <v>00640</v>
          </cell>
          <cell r="C804" t="str">
            <v>E</v>
          </cell>
          <cell r="D804" t="str">
            <v>DO</v>
          </cell>
          <cell r="E804" t="str">
            <v/>
          </cell>
        </row>
        <row r="805">
          <cell r="A805" t="str">
            <v>DOC. SUB DIRECTOR BASICA I 77 TID</v>
          </cell>
          <cell r="B805" t="str">
            <v>00641</v>
          </cell>
          <cell r="C805" t="str">
            <v>E</v>
          </cell>
          <cell r="D805" t="str">
            <v>DO</v>
          </cell>
          <cell r="E805" t="str">
            <v/>
          </cell>
        </row>
        <row r="806">
          <cell r="A806" t="str">
            <v>DOC. SUB DIRECTOR BASICA II  77 TID</v>
          </cell>
          <cell r="B806" t="str">
            <v>00642</v>
          </cell>
          <cell r="C806" t="str">
            <v>E</v>
          </cell>
          <cell r="D806" t="str">
            <v>DO</v>
          </cell>
          <cell r="E806" t="str">
            <v/>
          </cell>
        </row>
        <row r="807">
          <cell r="A807" t="str">
            <v>DOC. SUB DIRECTOR BASICA III  77 TID</v>
          </cell>
          <cell r="B807" t="str">
            <v>00643</v>
          </cell>
          <cell r="C807" t="str">
            <v>E</v>
          </cell>
          <cell r="D807" t="str">
            <v>DO</v>
          </cell>
          <cell r="E807" t="str">
            <v/>
          </cell>
        </row>
        <row r="808">
          <cell r="A808" t="str">
            <v>DOC. SUB DIRECTOR BASICA III 139 TID</v>
          </cell>
          <cell r="B808" t="str">
            <v>00653</v>
          </cell>
          <cell r="C808" t="str">
            <v>E</v>
          </cell>
          <cell r="D808" t="str">
            <v>DO</v>
          </cell>
          <cell r="E808" t="str">
            <v/>
          </cell>
        </row>
        <row r="809">
          <cell r="A809" t="str">
            <v>DOC. SUB DIRECTOR BASICA IV  77 TID</v>
          </cell>
          <cell r="B809" t="str">
            <v>00644</v>
          </cell>
          <cell r="C809" t="str">
            <v>E</v>
          </cell>
          <cell r="D809" t="str">
            <v>DO</v>
          </cell>
          <cell r="E809" t="str">
            <v/>
          </cell>
        </row>
        <row r="810">
          <cell r="A810" t="str">
            <v>DOC. SUB DIRECTOR BASICA IV  T.S.E</v>
          </cell>
          <cell r="B810" t="str">
            <v>01616</v>
          </cell>
          <cell r="C810" t="str">
            <v>E</v>
          </cell>
          <cell r="D810" t="str">
            <v>DO</v>
          </cell>
          <cell r="E810" t="str">
            <v/>
          </cell>
        </row>
        <row r="811">
          <cell r="A811" t="str">
            <v>DOC. SUB DIRECTOR BASICA IV  TID</v>
          </cell>
          <cell r="B811" t="str">
            <v>00634</v>
          </cell>
          <cell r="C811" t="str">
            <v>E</v>
          </cell>
          <cell r="D811" t="str">
            <v>DO</v>
          </cell>
          <cell r="E811" t="str">
            <v/>
          </cell>
        </row>
        <row r="812">
          <cell r="A812" t="str">
            <v>DOC. SUB DIRECTOR BASICA IV 139 TID</v>
          </cell>
          <cell r="B812" t="str">
            <v>00654</v>
          </cell>
          <cell r="C812" t="str">
            <v>E</v>
          </cell>
          <cell r="D812" t="str">
            <v>DO</v>
          </cell>
          <cell r="E812" t="str">
            <v/>
          </cell>
        </row>
        <row r="813">
          <cell r="A813" t="str">
            <v>DOC. SUB DIRECTOR BASICA V   77 TID</v>
          </cell>
          <cell r="B813" t="str">
            <v>00645</v>
          </cell>
          <cell r="C813" t="str">
            <v>E</v>
          </cell>
          <cell r="D813" t="str">
            <v>DO</v>
          </cell>
          <cell r="E813" t="str">
            <v/>
          </cell>
        </row>
        <row r="814">
          <cell r="A814" t="str">
            <v>DOC. SUB DIRECTOR BASICA V  139 TID</v>
          </cell>
          <cell r="B814" t="str">
            <v>00655</v>
          </cell>
          <cell r="C814" t="str">
            <v>E</v>
          </cell>
          <cell r="D814" t="str">
            <v>DO</v>
          </cell>
          <cell r="E814" t="str">
            <v/>
          </cell>
        </row>
        <row r="815">
          <cell r="A815" t="str">
            <v>DOC. SUB DIRECTOR BASICA VI  77 TCVNMA</v>
          </cell>
          <cell r="B815" t="str">
            <v>00666</v>
          </cell>
          <cell r="C815" t="str">
            <v>E</v>
          </cell>
          <cell r="D815" t="str">
            <v>DO</v>
          </cell>
          <cell r="E815" t="str">
            <v/>
          </cell>
        </row>
        <row r="816">
          <cell r="A816" t="str">
            <v>DOC. SUB DIRECTOR BASICA VI  77 TID</v>
          </cell>
          <cell r="B816" t="str">
            <v>00646</v>
          </cell>
          <cell r="C816" t="str">
            <v>E</v>
          </cell>
          <cell r="D816" t="str">
            <v>DO</v>
          </cell>
          <cell r="E816" t="str">
            <v/>
          </cell>
        </row>
        <row r="817">
          <cell r="A817" t="str">
            <v>DOC. SUB DIRECTOR BASICA VI 139 TID</v>
          </cell>
          <cell r="B817" t="str">
            <v>00656</v>
          </cell>
          <cell r="C817" t="str">
            <v>E</v>
          </cell>
          <cell r="D817" t="str">
            <v>DO</v>
          </cell>
          <cell r="E817" t="str">
            <v/>
          </cell>
        </row>
        <row r="818">
          <cell r="A818" t="str">
            <v>DOC. SUB DIRECTOR BASICO I  T.S.E.</v>
          </cell>
          <cell r="B818" t="str">
            <v>01613</v>
          </cell>
          <cell r="C818" t="str">
            <v>E</v>
          </cell>
          <cell r="D818" t="str">
            <v>DO</v>
          </cell>
          <cell r="E818" t="str">
            <v/>
          </cell>
        </row>
        <row r="819">
          <cell r="A819" t="str">
            <v>DOC. SUB DIRECTOR BASICO IV  T.S.E.</v>
          </cell>
          <cell r="B819" t="str">
            <v>01614</v>
          </cell>
          <cell r="C819" t="str">
            <v>E</v>
          </cell>
          <cell r="D819" t="str">
            <v>DO</v>
          </cell>
          <cell r="E819" t="str">
            <v/>
          </cell>
        </row>
        <row r="820">
          <cell r="A820" t="str">
            <v>DOC. SUB DIRECTOR BASICO V  T.S.E.</v>
          </cell>
          <cell r="B820" t="str">
            <v>01615</v>
          </cell>
          <cell r="C820" t="str">
            <v>E</v>
          </cell>
          <cell r="D820" t="str">
            <v>DO</v>
          </cell>
          <cell r="E820" t="str">
            <v/>
          </cell>
        </row>
        <row r="821">
          <cell r="A821" t="str">
            <v>DOC. SUB DIRECTOR BASICO VI T.S.E.</v>
          </cell>
          <cell r="B821" t="str">
            <v>01618</v>
          </cell>
          <cell r="C821" t="str">
            <v>E</v>
          </cell>
          <cell r="D821" t="str">
            <v>DO</v>
          </cell>
          <cell r="E821" t="str">
            <v/>
          </cell>
        </row>
        <row r="822">
          <cell r="A822" t="str">
            <v>DOC. SUB DIRECTOR N.G. TIDN</v>
          </cell>
          <cell r="B822" t="str">
            <v>00053</v>
          </cell>
          <cell r="C822" t="str">
            <v>E</v>
          </cell>
          <cell r="D822" t="str">
            <v>DO</v>
          </cell>
          <cell r="E822" t="str">
            <v/>
          </cell>
        </row>
        <row r="823">
          <cell r="A823" t="str">
            <v>DOC. SUB DIRECTOR PRE-ESC. T.S.E. TID II</v>
          </cell>
          <cell r="B823" t="str">
            <v>00627</v>
          </cell>
          <cell r="C823" t="str">
            <v>E</v>
          </cell>
          <cell r="D823" t="str">
            <v>DO</v>
          </cell>
          <cell r="E823" t="str">
            <v/>
          </cell>
        </row>
        <row r="824">
          <cell r="A824" t="str">
            <v>DOC. SUB DIRECTOR PRE-ESC. T.S.E. TID II</v>
          </cell>
          <cell r="B824" t="str">
            <v>00628</v>
          </cell>
          <cell r="C824" t="str">
            <v>E</v>
          </cell>
          <cell r="D824" t="str">
            <v>DO</v>
          </cell>
          <cell r="E824" t="str">
            <v/>
          </cell>
        </row>
        <row r="825">
          <cell r="A825" t="str">
            <v>DOC. SUB DIRECTOR PRE-ESC. T.S.E. TID IV</v>
          </cell>
          <cell r="B825" t="str">
            <v>00629</v>
          </cell>
          <cell r="C825" t="str">
            <v>E</v>
          </cell>
          <cell r="D825" t="str">
            <v>DO</v>
          </cell>
          <cell r="E825" t="str">
            <v/>
          </cell>
        </row>
        <row r="826">
          <cell r="A826" t="str">
            <v>DOC. SUB DIRECTOR PRE-ESC. T.S.E. TID V</v>
          </cell>
          <cell r="B826" t="str">
            <v>00630</v>
          </cell>
          <cell r="C826" t="str">
            <v>E</v>
          </cell>
          <cell r="D826" t="str">
            <v>DO</v>
          </cell>
          <cell r="E826" t="str">
            <v/>
          </cell>
        </row>
        <row r="827">
          <cell r="A827" t="str">
            <v>DOC. SUB DIRECTOR PRE-ESC. T.S.E. TID VI</v>
          </cell>
          <cell r="B827" t="str">
            <v>00631</v>
          </cell>
          <cell r="C827" t="str">
            <v>E</v>
          </cell>
          <cell r="D827" t="str">
            <v>DO</v>
          </cell>
          <cell r="E827" t="str">
            <v/>
          </cell>
        </row>
        <row r="828">
          <cell r="A828" t="str">
            <v>DOC. SUB DIRECTOR PRE-ESCOLAR II 139</v>
          </cell>
          <cell r="B828" t="str">
            <v>00632</v>
          </cell>
          <cell r="C828" t="str">
            <v>E</v>
          </cell>
          <cell r="D828" t="str">
            <v>DO</v>
          </cell>
          <cell r="E828" t="str">
            <v/>
          </cell>
        </row>
        <row r="829">
          <cell r="A829" t="str">
            <v>DOC. SUB DIRECTOR PRE-ESCOLAR II 77</v>
          </cell>
          <cell r="B829" t="str">
            <v>00622</v>
          </cell>
          <cell r="C829" t="str">
            <v>E</v>
          </cell>
          <cell r="D829" t="str">
            <v>DO</v>
          </cell>
          <cell r="E829" t="str">
            <v/>
          </cell>
        </row>
        <row r="830">
          <cell r="A830" t="str">
            <v>DOC. SUB DIRECTOR PRE-ESCOLAR III 77</v>
          </cell>
          <cell r="B830" t="str">
            <v>00623</v>
          </cell>
          <cell r="C830" t="str">
            <v>E</v>
          </cell>
          <cell r="D830" t="str">
            <v>DO</v>
          </cell>
          <cell r="E830" t="str">
            <v/>
          </cell>
        </row>
        <row r="831">
          <cell r="A831" t="str">
            <v>DOC. SUB DIRECTOR PRE-ESCOLAR IV 77</v>
          </cell>
          <cell r="B831" t="str">
            <v>00624</v>
          </cell>
          <cell r="C831" t="str">
            <v>E</v>
          </cell>
          <cell r="D831" t="str">
            <v>DO</v>
          </cell>
          <cell r="E831" t="str">
            <v/>
          </cell>
        </row>
        <row r="832">
          <cell r="A832" t="str">
            <v>DOC. SUB DIRECTOR PRE-ESCOLAR V  139</v>
          </cell>
          <cell r="B832" t="str">
            <v>00635</v>
          </cell>
          <cell r="C832" t="str">
            <v>E</v>
          </cell>
          <cell r="D832" t="str">
            <v>DO</v>
          </cell>
          <cell r="E832" t="str">
            <v/>
          </cell>
        </row>
        <row r="833">
          <cell r="A833" t="str">
            <v>DOC. SUB DIRECTOR PRE-ESCOLAR V  77</v>
          </cell>
          <cell r="B833" t="str">
            <v>00625</v>
          </cell>
          <cell r="C833" t="str">
            <v>E</v>
          </cell>
          <cell r="D833" t="str">
            <v>DO</v>
          </cell>
          <cell r="E833" t="str">
            <v/>
          </cell>
        </row>
        <row r="834">
          <cell r="A834" t="str">
            <v>DOC. SUB DIRECTOR PRE-ESCOLAR VI 139</v>
          </cell>
          <cell r="B834" t="str">
            <v>00636</v>
          </cell>
          <cell r="C834" t="str">
            <v>E</v>
          </cell>
          <cell r="D834" t="str">
            <v>DO</v>
          </cell>
          <cell r="E834" t="str">
            <v/>
          </cell>
        </row>
        <row r="835">
          <cell r="A835" t="str">
            <v>DOC. SUB DIRECTOR PRE-ESCOLAR VI 77</v>
          </cell>
          <cell r="B835" t="str">
            <v>00626</v>
          </cell>
          <cell r="C835" t="str">
            <v>E</v>
          </cell>
          <cell r="D835" t="str">
            <v>DO</v>
          </cell>
          <cell r="E835" t="str">
            <v/>
          </cell>
        </row>
        <row r="836">
          <cell r="A836" t="str">
            <v>DOC. SUB. DIR. BAS. VI 77 (36 HORAS) DOC BAS VI 77 TCVD (14 HORAS)</v>
          </cell>
          <cell r="B836" t="str">
            <v>40212</v>
          </cell>
          <cell r="C836" t="str">
            <v>E</v>
          </cell>
          <cell r="D836" t="str">
            <v>DO</v>
          </cell>
          <cell r="E836" t="str">
            <v/>
          </cell>
        </row>
        <row r="837">
          <cell r="A837" t="str">
            <v>DOC. SUBDIR. BAS. (36 HORAS) Y PROF. DE KINDER MUSICAL (16 HORAS)</v>
          </cell>
          <cell r="B837" t="str">
            <v>40236</v>
          </cell>
          <cell r="C837" t="str">
            <v>E</v>
          </cell>
          <cell r="D837" t="str">
            <v>DO</v>
          </cell>
          <cell r="E837" t="str">
            <v/>
          </cell>
        </row>
        <row r="838">
          <cell r="A838" t="str">
            <v>DOC. SUP. BAS.  VI 77 TC (40 HORAS) TCVNMA (16 HORAS)</v>
          </cell>
          <cell r="B838" t="str">
            <v>40183</v>
          </cell>
          <cell r="C838" t="str">
            <v>E</v>
          </cell>
          <cell r="D838" t="str">
            <v>DO</v>
          </cell>
          <cell r="E838" t="str">
            <v/>
          </cell>
        </row>
        <row r="839">
          <cell r="A839" t="str">
            <v>DOC. SUP. BAS. III 77</v>
          </cell>
          <cell r="B839" t="str">
            <v>00863</v>
          </cell>
          <cell r="C839" t="str">
            <v>E</v>
          </cell>
          <cell r="D839" t="str">
            <v>DO</v>
          </cell>
          <cell r="E839" t="str">
            <v/>
          </cell>
        </row>
        <row r="840">
          <cell r="A840" t="str">
            <v>DOC. SUP.BAS  VI 77  TC</v>
          </cell>
          <cell r="B840" t="str">
            <v>00866</v>
          </cell>
          <cell r="C840" t="str">
            <v>E</v>
          </cell>
          <cell r="D840" t="str">
            <v>DO</v>
          </cell>
          <cell r="E840" t="str">
            <v/>
          </cell>
        </row>
        <row r="841">
          <cell r="A841" t="str">
            <v>DOC. SUP.BAS. II 77  TC</v>
          </cell>
          <cell r="B841" t="str">
            <v>00862</v>
          </cell>
          <cell r="C841" t="str">
            <v>E</v>
          </cell>
          <cell r="D841" t="str">
            <v>DO</v>
          </cell>
          <cell r="E841" t="str">
            <v/>
          </cell>
        </row>
        <row r="842">
          <cell r="A842" t="str">
            <v>DOC. SUP.BAS. IV 139 TC</v>
          </cell>
          <cell r="B842" t="str">
            <v>00874</v>
          </cell>
          <cell r="C842" t="str">
            <v>E</v>
          </cell>
          <cell r="D842" t="str">
            <v>DO</v>
          </cell>
          <cell r="E842" t="str">
            <v/>
          </cell>
        </row>
        <row r="843">
          <cell r="A843" t="str">
            <v>DOC. SUP.BAS. IV 77  TC</v>
          </cell>
          <cell r="B843" t="str">
            <v>00864</v>
          </cell>
          <cell r="C843" t="str">
            <v>E</v>
          </cell>
          <cell r="D843" t="str">
            <v>DO</v>
          </cell>
          <cell r="E843" t="str">
            <v/>
          </cell>
        </row>
        <row r="844">
          <cell r="A844" t="str">
            <v>DOC. SUP.BAS. V  139 TC</v>
          </cell>
          <cell r="B844" t="str">
            <v>00875</v>
          </cell>
          <cell r="C844" t="str">
            <v>E</v>
          </cell>
          <cell r="D844" t="str">
            <v>DO</v>
          </cell>
          <cell r="E844" t="str">
            <v/>
          </cell>
        </row>
        <row r="845">
          <cell r="A845" t="str">
            <v>DOC. SUP.BAS. V  77  TC</v>
          </cell>
          <cell r="B845" t="str">
            <v>00865</v>
          </cell>
          <cell r="C845" t="str">
            <v>E</v>
          </cell>
          <cell r="D845" t="str">
            <v>DO</v>
          </cell>
          <cell r="E845" t="str">
            <v/>
          </cell>
        </row>
        <row r="846">
          <cell r="A846" t="str">
            <v>DOC. SUP.BAS. VI 139 TC</v>
          </cell>
          <cell r="B846" t="str">
            <v>00876</v>
          </cell>
          <cell r="C846" t="str">
            <v>E</v>
          </cell>
          <cell r="D846" t="str">
            <v>DO</v>
          </cell>
          <cell r="E846" t="str">
            <v/>
          </cell>
        </row>
        <row r="847">
          <cell r="A847" t="str">
            <v>DOC. SUP.NG. III MEFDTC</v>
          </cell>
          <cell r="B847" t="str">
            <v>00073</v>
          </cell>
          <cell r="C847" t="str">
            <v>E</v>
          </cell>
          <cell r="D847" t="str">
            <v>DO</v>
          </cell>
          <cell r="E847" t="str">
            <v/>
          </cell>
        </row>
        <row r="848">
          <cell r="A848" t="str">
            <v>DOC.BAS VI 77 TID (33.33 HORAS) / TCVD (16 HORAS)</v>
          </cell>
          <cell r="B848" t="str">
            <v>40203</v>
          </cell>
          <cell r="C848" t="str">
            <v>E</v>
          </cell>
          <cell r="D848" t="str">
            <v>DO</v>
          </cell>
          <cell r="E848" t="str">
            <v/>
          </cell>
        </row>
        <row r="849">
          <cell r="A849" t="str">
            <v>DOC.BAS. V 77 TID (33.33 HORAS) /TCVD (05 HORAS)</v>
          </cell>
          <cell r="B849" t="str">
            <v>40197</v>
          </cell>
          <cell r="C849" t="str">
            <v>E</v>
          </cell>
          <cell r="D849" t="str">
            <v>DO</v>
          </cell>
          <cell r="E849" t="str">
            <v/>
          </cell>
        </row>
        <row r="850">
          <cell r="A850" t="str">
            <v>DOC.BAS. V 77 TID (33.33 HORAS)-TCVD (05 HORAS)</v>
          </cell>
          <cell r="B850" t="str">
            <v>40198</v>
          </cell>
          <cell r="C850" t="str">
            <v>E</v>
          </cell>
          <cell r="D850" t="str">
            <v>DO</v>
          </cell>
          <cell r="E850" t="str">
            <v/>
          </cell>
        </row>
        <row r="851">
          <cell r="A851" t="str">
            <v>DOC.BAS. VI 77 TID  (33.33 HORAS) /TCVD (05 HORAS)</v>
          </cell>
          <cell r="B851" t="str">
            <v>40192</v>
          </cell>
          <cell r="C851" t="str">
            <v>E</v>
          </cell>
          <cell r="D851" t="str">
            <v>DO</v>
          </cell>
          <cell r="E851" t="str">
            <v/>
          </cell>
        </row>
        <row r="852">
          <cell r="A852" t="str">
            <v>DOC.BAS. VI 77 TID (33,33 HORAS) / TCVD (20 HORAS)</v>
          </cell>
          <cell r="B852" t="str">
            <v>40214</v>
          </cell>
          <cell r="C852" t="str">
            <v>E</v>
          </cell>
          <cell r="D852" t="str">
            <v>DO</v>
          </cell>
          <cell r="E852" t="str">
            <v/>
          </cell>
        </row>
        <row r="853">
          <cell r="A853" t="str">
            <v>DOC.BAS. VI 77 TID (33.33 HORAS) /TCVD (20 HORAS)</v>
          </cell>
          <cell r="B853" t="str">
            <v>40206</v>
          </cell>
          <cell r="C853" t="str">
            <v>E</v>
          </cell>
          <cell r="D853" t="str">
            <v>DO</v>
          </cell>
          <cell r="E853" t="str">
            <v/>
          </cell>
        </row>
        <row r="854">
          <cell r="A854" t="str">
            <v>DOC.BAS. VI 77 TID (36 HORAS) /TCVD (08 HORAS)</v>
          </cell>
          <cell r="B854" t="str">
            <v>40180</v>
          </cell>
          <cell r="C854" t="str">
            <v>E</v>
          </cell>
          <cell r="D854" t="str">
            <v>DO</v>
          </cell>
          <cell r="E854" t="str">
            <v/>
          </cell>
        </row>
        <row r="855">
          <cell r="A855" t="str">
            <v>DOC.BAS. VI 77 TID (36 HORAS) /TCVD (14 HORAS)</v>
          </cell>
          <cell r="B855" t="str">
            <v>40208</v>
          </cell>
          <cell r="C855" t="str">
            <v>E</v>
          </cell>
          <cell r="D855" t="str">
            <v>DO</v>
          </cell>
          <cell r="E855" t="str">
            <v/>
          </cell>
        </row>
        <row r="856">
          <cell r="A856" t="str">
            <v>DOC.BAS. VI 77TID (33.33 HORAS) / TCVMNA (16 HORAS)</v>
          </cell>
          <cell r="B856" t="str">
            <v>40200</v>
          </cell>
          <cell r="C856" t="str">
            <v>E</v>
          </cell>
          <cell r="D856" t="str">
            <v>DO</v>
          </cell>
          <cell r="E856" t="str">
            <v/>
          </cell>
        </row>
        <row r="857">
          <cell r="A857" t="str">
            <v>DOC.BAS.VI 77 TID (33 HORAS) /TCVD (14 HORAS)</v>
          </cell>
          <cell r="B857" t="str">
            <v>40210</v>
          </cell>
          <cell r="C857" t="str">
            <v>E</v>
          </cell>
          <cell r="D857" t="str">
            <v>DO</v>
          </cell>
          <cell r="E857" t="str">
            <v/>
          </cell>
        </row>
        <row r="858">
          <cell r="A858" t="str">
            <v>DOC.BAS.VI 77 TID (33.33 HORAS) /TCVD (10 HORAS)</v>
          </cell>
          <cell r="B858" t="str">
            <v>40207</v>
          </cell>
          <cell r="C858" t="str">
            <v>E</v>
          </cell>
          <cell r="D858" t="str">
            <v>DO</v>
          </cell>
          <cell r="E858" t="str">
            <v/>
          </cell>
        </row>
        <row r="859">
          <cell r="A859" t="str">
            <v>DOC.DIRECTOR BASICA VI 139 TID (36HRS) Y ALFABETIZADOR V 139 (16HRS)</v>
          </cell>
          <cell r="B859" t="str">
            <v>40023</v>
          </cell>
          <cell r="C859" t="str">
            <v>E</v>
          </cell>
          <cell r="D859" t="str">
            <v>DO</v>
          </cell>
          <cell r="E859" t="str">
            <v/>
          </cell>
        </row>
        <row r="860">
          <cell r="A860" t="str">
            <v>DOC.PRE-ESC. /TID (33.33) Y TCVD (17 HORAS)</v>
          </cell>
          <cell r="B860" t="str">
            <v>40196</v>
          </cell>
          <cell r="C860" t="str">
            <v>E</v>
          </cell>
          <cell r="D860" t="str">
            <v>DO</v>
          </cell>
          <cell r="E860" t="str">
            <v/>
          </cell>
        </row>
        <row r="861">
          <cell r="A861" t="str">
            <v>DOC.SUB.BAS.IV TID (36 HOTAS) /TCVD (4 HORAS) Y (8 HORAS)</v>
          </cell>
          <cell r="B861" t="str">
            <v>40193</v>
          </cell>
          <cell r="C861" t="str">
            <v>E</v>
          </cell>
          <cell r="D861" t="str">
            <v>DO</v>
          </cell>
          <cell r="E861" t="str">
            <v/>
          </cell>
        </row>
        <row r="862">
          <cell r="A862" t="str">
            <v>DOCENTE AULA IV</v>
          </cell>
          <cell r="B862" t="str">
            <v>00015</v>
          </cell>
          <cell r="C862" t="str">
            <v>E</v>
          </cell>
          <cell r="D862" t="str">
            <v>DO</v>
          </cell>
          <cell r="E862" t="str">
            <v/>
          </cell>
        </row>
        <row r="863">
          <cell r="A863" t="str">
            <v>DOCENTE BASICA 19-77 TID</v>
          </cell>
          <cell r="B863" t="str">
            <v>40024</v>
          </cell>
          <cell r="C863" t="str">
            <v>E</v>
          </cell>
          <cell r="D863" t="str">
            <v>DO</v>
          </cell>
          <cell r="E863" t="str">
            <v/>
          </cell>
        </row>
        <row r="864">
          <cell r="A864" t="str">
            <v>DOCENTE BASICA DIRECTORA 16-77 TID</v>
          </cell>
          <cell r="B864" t="str">
            <v>40025</v>
          </cell>
          <cell r="C864" t="str">
            <v>E</v>
          </cell>
          <cell r="D864" t="str">
            <v>DO</v>
          </cell>
          <cell r="E864" t="str">
            <v/>
          </cell>
        </row>
        <row r="865">
          <cell r="A865" t="str">
            <v>DOCENTE BASICA DIRECTORA V 77 TCVD (20 HORAS) Y TC (40 HORAS)</v>
          </cell>
          <cell r="B865" t="str">
            <v>40026</v>
          </cell>
          <cell r="C865" t="str">
            <v>E</v>
          </cell>
          <cell r="D865" t="str">
            <v>DO</v>
          </cell>
          <cell r="E865" t="str">
            <v/>
          </cell>
        </row>
        <row r="866">
          <cell r="A866" t="str">
            <v>DOCENTE BASICA I 77 TCVD  (12 HORAS) Y DOCENTE BASICA I 77 TCVD (08 HORAS)</v>
          </cell>
          <cell r="B866" t="str">
            <v>40027</v>
          </cell>
          <cell r="C866" t="str">
            <v>E</v>
          </cell>
          <cell r="D866" t="str">
            <v>DO</v>
          </cell>
          <cell r="E866" t="str">
            <v/>
          </cell>
        </row>
        <row r="867">
          <cell r="A867" t="str">
            <v>DOCENTE BASICA III 77 TID/TCVD</v>
          </cell>
          <cell r="B867" t="str">
            <v>40038</v>
          </cell>
          <cell r="C867" t="str">
            <v>E</v>
          </cell>
          <cell r="D867" t="str">
            <v>DO</v>
          </cell>
          <cell r="E867" t="str">
            <v/>
          </cell>
        </row>
        <row r="868">
          <cell r="A868" t="str">
            <v>DOCENTE BASICA IV 139 TCVNMA (16 HORAS)</v>
          </cell>
          <cell r="B868" t="str">
            <v>40039</v>
          </cell>
          <cell r="C868" t="str">
            <v>E</v>
          </cell>
          <cell r="D868" t="str">
            <v>DO</v>
          </cell>
          <cell r="E868" t="str">
            <v/>
          </cell>
        </row>
        <row r="869">
          <cell r="A869" t="str">
            <v>DOCENTE BASICA IV 77 TCVD (18 HORAS) Y DOCENTE BASICA IV 77 TID (33,33 HORAS)</v>
          </cell>
          <cell r="B869" t="str">
            <v>40028</v>
          </cell>
          <cell r="C869" t="str">
            <v>E</v>
          </cell>
          <cell r="D869" t="str">
            <v>DO</v>
          </cell>
          <cell r="E869" t="str">
            <v/>
          </cell>
        </row>
        <row r="870">
          <cell r="A870" t="str">
            <v>DOCENTE BASICA IV 77 TCVD (22 HORAS) Y DOCENTE BASICA IV 77 TID (33,33 HORAS)</v>
          </cell>
          <cell r="B870" t="str">
            <v>40029</v>
          </cell>
          <cell r="C870" t="str">
            <v>E</v>
          </cell>
          <cell r="D870" t="str">
            <v>DO</v>
          </cell>
          <cell r="E870" t="str">
            <v/>
          </cell>
        </row>
        <row r="871">
          <cell r="A871" t="str">
            <v>DOCENTE BASICA IV 77 TCVD Y DOCENTE IV 77 TCVD</v>
          </cell>
          <cell r="B871" t="str">
            <v>40030</v>
          </cell>
          <cell r="C871" t="str">
            <v>E</v>
          </cell>
          <cell r="D871" t="str">
            <v>DO</v>
          </cell>
          <cell r="E871" t="str">
            <v/>
          </cell>
        </row>
        <row r="872">
          <cell r="A872" t="str">
            <v>DOCENTE BASICA IV 77 TID (33,33 HORAS) Y ALFABETIZADORA (16 HORAS)</v>
          </cell>
          <cell r="B872" t="str">
            <v>40031</v>
          </cell>
          <cell r="C872" t="str">
            <v>E</v>
          </cell>
          <cell r="D872" t="str">
            <v>DO</v>
          </cell>
          <cell r="E872" t="str">
            <v/>
          </cell>
        </row>
        <row r="873">
          <cell r="A873" t="str">
            <v>DOCENTE BASICA IV 77 TID (33,33 HORAS) Y DOCENTE BASICA IV 77 TCVD (10 HORAS)</v>
          </cell>
          <cell r="B873" t="str">
            <v>40032</v>
          </cell>
          <cell r="C873" t="str">
            <v>E</v>
          </cell>
          <cell r="D873" t="str">
            <v>DO</v>
          </cell>
          <cell r="E873" t="str">
            <v/>
          </cell>
        </row>
        <row r="874">
          <cell r="A874" t="str">
            <v>DOCENTE BASICA IV 77 TID (33,33 HORAS) Y DOCENTE BASICA IV TCVD (14 HORAS)</v>
          </cell>
          <cell r="B874" t="str">
            <v>40033</v>
          </cell>
          <cell r="C874" t="str">
            <v>E</v>
          </cell>
          <cell r="D874" t="str">
            <v>DO</v>
          </cell>
          <cell r="E874" t="str">
            <v/>
          </cell>
        </row>
        <row r="875">
          <cell r="A875" t="str">
            <v>DOCENTE BASICA IV 77 TID (33,33 HORAS) Y TCVD (12 HORAS)</v>
          </cell>
          <cell r="B875" t="str">
            <v>40034</v>
          </cell>
          <cell r="C875" t="str">
            <v>E</v>
          </cell>
          <cell r="D875" t="str">
            <v>DO</v>
          </cell>
          <cell r="E875" t="str">
            <v/>
          </cell>
        </row>
        <row r="876">
          <cell r="A876" t="str">
            <v>DOCENTE BASICA IV 77 TID (33,33 HORAS) Y TCVD (20 HORAS)</v>
          </cell>
          <cell r="B876" t="str">
            <v>40035</v>
          </cell>
          <cell r="C876" t="str">
            <v>E</v>
          </cell>
          <cell r="D876" t="str">
            <v>DO</v>
          </cell>
          <cell r="E876" t="str">
            <v/>
          </cell>
        </row>
        <row r="877">
          <cell r="A877" t="str">
            <v>DOCENTE BASICA IV 77 TID Y DOCENTE BASICA IV 77 TCVD</v>
          </cell>
          <cell r="B877" t="str">
            <v>40040</v>
          </cell>
          <cell r="C877" t="str">
            <v>E</v>
          </cell>
          <cell r="D877" t="str">
            <v>DO</v>
          </cell>
          <cell r="E877" t="str">
            <v/>
          </cell>
        </row>
        <row r="878">
          <cell r="A878" t="str">
            <v>DOCENTE BASICA IV 77 TID Y DOCENTE DE AULA (ZONA EDUCATIVA)</v>
          </cell>
          <cell r="B878" t="str">
            <v>40036</v>
          </cell>
          <cell r="C878" t="str">
            <v>E</v>
          </cell>
          <cell r="D878" t="str">
            <v>DO</v>
          </cell>
          <cell r="E878" t="str">
            <v/>
          </cell>
        </row>
        <row r="879">
          <cell r="A879" t="str">
            <v>DOCENTE BASICA NG 16 TCVNMA (16 HORAS)</v>
          </cell>
          <cell r="B879" t="str">
            <v>40037</v>
          </cell>
          <cell r="C879" t="str">
            <v>E</v>
          </cell>
          <cell r="D879" t="str">
            <v>DO</v>
          </cell>
          <cell r="E879" t="str">
            <v/>
          </cell>
        </row>
        <row r="880">
          <cell r="A880" t="str">
            <v>DOCENTE BASICA NG TCVD (07 HORAS)</v>
          </cell>
          <cell r="B880" t="str">
            <v>40042</v>
          </cell>
          <cell r="C880" t="str">
            <v>E</v>
          </cell>
          <cell r="D880" t="str">
            <v>DO</v>
          </cell>
          <cell r="E880" t="str">
            <v/>
          </cell>
        </row>
        <row r="881">
          <cell r="A881" t="str">
            <v>DOCENTE BASICA NG TCVD (12 HORAS)</v>
          </cell>
          <cell r="B881" t="str">
            <v>40043</v>
          </cell>
          <cell r="C881" t="str">
            <v>E</v>
          </cell>
          <cell r="D881" t="str">
            <v>DO</v>
          </cell>
          <cell r="E881" t="str">
            <v/>
          </cell>
        </row>
        <row r="882">
          <cell r="A882" t="str">
            <v>DOCENTE BASICA NG TCVD (12 HR) Y INSTRUCTOR II (24 HR)</v>
          </cell>
          <cell r="B882" t="str">
            <v>40044</v>
          </cell>
          <cell r="C882" t="str">
            <v>E</v>
          </cell>
          <cell r="D882" t="str">
            <v>DO</v>
          </cell>
          <cell r="E882" t="str">
            <v/>
          </cell>
        </row>
        <row r="883">
          <cell r="A883" t="str">
            <v>DOCENTE BASICA NG TCVD (20 HORAS)</v>
          </cell>
          <cell r="B883" t="str">
            <v>40041</v>
          </cell>
          <cell r="C883" t="str">
            <v>E</v>
          </cell>
          <cell r="D883" t="str">
            <v>DO</v>
          </cell>
          <cell r="E883" t="str">
            <v/>
          </cell>
        </row>
        <row r="884">
          <cell r="A884" t="str">
            <v>DOCENTE BASICA SUPERVISORA VI 139 TC Y DOCENTE BASICA VI 139 TCVNM</v>
          </cell>
          <cell r="B884" t="str">
            <v>40045</v>
          </cell>
          <cell r="C884" t="str">
            <v>E</v>
          </cell>
          <cell r="D884" t="str">
            <v>DO</v>
          </cell>
          <cell r="E884" t="str">
            <v/>
          </cell>
        </row>
        <row r="885">
          <cell r="A885" t="str">
            <v>DOCENTE BASICA V  77 TID (33,33 HORAS) Y DOCENTE BASICA V 77 TCVD (19HORAS)</v>
          </cell>
          <cell r="B885" t="str">
            <v>40046</v>
          </cell>
          <cell r="C885" t="str">
            <v>E</v>
          </cell>
          <cell r="D885" t="str">
            <v>DO</v>
          </cell>
          <cell r="E885" t="str">
            <v/>
          </cell>
        </row>
        <row r="886">
          <cell r="A886" t="str">
            <v>DOCENTE BASICA V 139 TID Y DOCENTE BASICA V 139 TCVN</v>
          </cell>
          <cell r="B886" t="str">
            <v>40047</v>
          </cell>
          <cell r="C886" t="str">
            <v>E</v>
          </cell>
          <cell r="D886" t="str">
            <v>DO</v>
          </cell>
          <cell r="E886" t="str">
            <v/>
          </cell>
        </row>
        <row r="887">
          <cell r="A887" t="str">
            <v>DOCENTE BASICA V 77 TID (33,33 HORAS)  Y TCVNMA (16 HORAS)</v>
          </cell>
          <cell r="B887" t="str">
            <v>40048</v>
          </cell>
          <cell r="C887" t="str">
            <v>E</v>
          </cell>
          <cell r="D887" t="str">
            <v>DO</v>
          </cell>
          <cell r="E887" t="str">
            <v/>
          </cell>
        </row>
        <row r="888">
          <cell r="A888" t="str">
            <v>DOCENTE BASICA V 77 TID (33,33 HORAS) Y TCVD (02 HORAS)</v>
          </cell>
          <cell r="B888" t="str">
            <v>40049</v>
          </cell>
          <cell r="C888" t="str">
            <v>E</v>
          </cell>
          <cell r="D888" t="str">
            <v>DO</v>
          </cell>
          <cell r="E888" t="str">
            <v/>
          </cell>
        </row>
        <row r="889">
          <cell r="A889" t="str">
            <v>DOCENTE BASICA V 77 TID (33,33 HORAS) Y TCVD (08 HORAS)</v>
          </cell>
          <cell r="B889" t="str">
            <v>40050</v>
          </cell>
          <cell r="C889" t="str">
            <v>E</v>
          </cell>
          <cell r="D889" t="str">
            <v>DO</v>
          </cell>
          <cell r="E889" t="str">
            <v/>
          </cell>
        </row>
        <row r="890">
          <cell r="A890" t="str">
            <v>DOCENTE BASICA V 77 TID (33,33 HORAS) Y TCVD (17 HORAS)</v>
          </cell>
          <cell r="B890" t="str">
            <v>40051</v>
          </cell>
          <cell r="C890" t="str">
            <v>E</v>
          </cell>
          <cell r="D890" t="str">
            <v>DO</v>
          </cell>
          <cell r="E890" t="str">
            <v/>
          </cell>
        </row>
        <row r="891">
          <cell r="A891" t="str">
            <v>DOCENTE BASICA V 77 TID (33,33 HORAS) Y TCVD (19 HORAS)</v>
          </cell>
          <cell r="B891" t="str">
            <v>40052</v>
          </cell>
          <cell r="C891" t="str">
            <v>E</v>
          </cell>
          <cell r="D891" t="str">
            <v>DO</v>
          </cell>
          <cell r="E891" t="str">
            <v/>
          </cell>
        </row>
        <row r="892">
          <cell r="A892" t="str">
            <v>DOCENTE BASICA V 77 TID Y V 77 (33,33 HORAS) TCVD (10 HORAS)</v>
          </cell>
          <cell r="B892" t="str">
            <v>40053</v>
          </cell>
          <cell r="C892" t="str">
            <v>E</v>
          </cell>
          <cell r="D892" t="str">
            <v>DO</v>
          </cell>
          <cell r="E892" t="str">
            <v/>
          </cell>
        </row>
        <row r="893">
          <cell r="A893" t="str">
            <v>DOCENTE BASICA V 77 TID Y V 77 (33,33 HORAS) TCVD (20 HORAS)</v>
          </cell>
          <cell r="B893" t="str">
            <v>40054</v>
          </cell>
          <cell r="C893" t="str">
            <v>E</v>
          </cell>
          <cell r="D893" t="str">
            <v>DO</v>
          </cell>
          <cell r="E893" t="str">
            <v/>
          </cell>
        </row>
        <row r="894">
          <cell r="A894" t="str">
            <v>DOCENTE BASICA VI 139 TID (33.33 HORAS) Y DOCENTE BASICA VI 139 TCVD (16 HORAS)</v>
          </cell>
          <cell r="B894" t="str">
            <v>40055</v>
          </cell>
          <cell r="C894" t="str">
            <v>E</v>
          </cell>
          <cell r="D894" t="str">
            <v>DO</v>
          </cell>
          <cell r="E894" t="str">
            <v/>
          </cell>
        </row>
        <row r="895">
          <cell r="A895" t="str">
            <v>DOCENTE BASICA VI 139 TID Y COORDINADORA VI 139</v>
          </cell>
          <cell r="B895" t="str">
            <v>40056</v>
          </cell>
          <cell r="C895" t="str">
            <v>E</v>
          </cell>
          <cell r="D895" t="str">
            <v>DO</v>
          </cell>
          <cell r="E895" t="str">
            <v/>
          </cell>
        </row>
        <row r="896">
          <cell r="A896" t="str">
            <v>DOCENTE BASICA VI 139 TID Y DOCENTE BASICA VI 139 TCVD</v>
          </cell>
          <cell r="B896" t="str">
            <v>40057</v>
          </cell>
          <cell r="C896" t="str">
            <v>E</v>
          </cell>
          <cell r="D896" t="str">
            <v>DO</v>
          </cell>
          <cell r="E896" t="str">
            <v/>
          </cell>
        </row>
        <row r="897">
          <cell r="A897" t="str">
            <v>DOCENTE BASICA VI 139 TID Y DOCENTE BASICA VI 139 TCVNM</v>
          </cell>
          <cell r="B897" t="str">
            <v>40058</v>
          </cell>
          <cell r="C897" t="str">
            <v>E</v>
          </cell>
          <cell r="D897" t="str">
            <v>DO</v>
          </cell>
          <cell r="E897" t="str">
            <v/>
          </cell>
        </row>
        <row r="898">
          <cell r="A898" t="str">
            <v>DOCENTE BASICA VI 77 TCVD (13 HORAS) Y COORDINADORA VI (36 HORAS)</v>
          </cell>
          <cell r="B898" t="str">
            <v>40059</v>
          </cell>
          <cell r="C898" t="str">
            <v>E</v>
          </cell>
          <cell r="D898" t="str">
            <v>DO</v>
          </cell>
          <cell r="E898" t="str">
            <v/>
          </cell>
        </row>
        <row r="899">
          <cell r="A899" t="str">
            <v>DOCENTE BASICA VI 77 TCVNM, MAESTRA ALFABETIZADORA, DIRECTORA DOCENTE BASICA VI TCVN, DOCENTE BASICA</v>
          </cell>
          <cell r="B899" t="str">
            <v>40060</v>
          </cell>
          <cell r="C899" t="str">
            <v>E</v>
          </cell>
          <cell r="D899" t="str">
            <v>DO</v>
          </cell>
          <cell r="E899" t="str">
            <v/>
          </cell>
        </row>
        <row r="900">
          <cell r="A900" t="str">
            <v>DOCENTE BASICA VI 77 TID  (33.33 HORAS) Y TCVNMA  (16 HORAS)</v>
          </cell>
          <cell r="B900" t="str">
            <v>40061</v>
          </cell>
          <cell r="C900" t="str">
            <v>E</v>
          </cell>
          <cell r="D900" t="str">
            <v>DO</v>
          </cell>
          <cell r="E900" t="str">
            <v/>
          </cell>
        </row>
        <row r="901">
          <cell r="A901" t="str">
            <v>DOCENTE BASICA VI 77 TID  (33.33) / TCVD (12 HORAS)</v>
          </cell>
          <cell r="B901" t="str">
            <v>40062</v>
          </cell>
          <cell r="C901" t="str">
            <v>E</v>
          </cell>
          <cell r="D901" t="str">
            <v>DO</v>
          </cell>
          <cell r="E901" t="str">
            <v/>
          </cell>
        </row>
        <row r="902">
          <cell r="A902" t="str">
            <v>DOCENTE BASICA VI 77 TID (10 HORAS)  /TCVD (33,33 HORAS)</v>
          </cell>
          <cell r="B902" t="str">
            <v>40063</v>
          </cell>
          <cell r="C902" t="str">
            <v>E</v>
          </cell>
          <cell r="D902" t="str">
            <v>DO</v>
          </cell>
          <cell r="E902" t="str">
            <v/>
          </cell>
        </row>
        <row r="903">
          <cell r="A903" t="str">
            <v>DOCENTE BASICA VI 77 TID (33 HORAS) Y TCVD (07 HORAS)</v>
          </cell>
          <cell r="B903" t="str">
            <v>40064</v>
          </cell>
          <cell r="C903" t="str">
            <v>E</v>
          </cell>
          <cell r="D903" t="str">
            <v>DO</v>
          </cell>
          <cell r="E903" t="str">
            <v/>
          </cell>
        </row>
        <row r="904">
          <cell r="A904" t="str">
            <v>DOCENTE BASICA VI 77 TID (33 HORAS) Y TCVD (08 HORAS)</v>
          </cell>
          <cell r="B904" t="str">
            <v>40065</v>
          </cell>
          <cell r="C904" t="str">
            <v>E</v>
          </cell>
          <cell r="D904" t="str">
            <v>DO</v>
          </cell>
          <cell r="E904" t="str">
            <v/>
          </cell>
        </row>
        <row r="905">
          <cell r="A905" t="str">
            <v>DOCENTE BASICA VI 77 TID (33 HORAS), V 77 TCVD (08 HORAS)</v>
          </cell>
          <cell r="B905" t="str">
            <v>40066</v>
          </cell>
          <cell r="C905" t="str">
            <v>E</v>
          </cell>
          <cell r="D905" t="str">
            <v>DO</v>
          </cell>
          <cell r="E905" t="str">
            <v/>
          </cell>
        </row>
        <row r="906">
          <cell r="A906" t="str">
            <v>DOCENTE BASICA VI 77 TID (33,33 HORAS)  Y TCVD (20 HORAS)</v>
          </cell>
          <cell r="B906" t="str">
            <v>40067</v>
          </cell>
          <cell r="C906" t="str">
            <v>E</v>
          </cell>
          <cell r="D906" t="str">
            <v>DO</v>
          </cell>
          <cell r="E906" t="str">
            <v/>
          </cell>
        </row>
        <row r="907">
          <cell r="A907" t="str">
            <v>DOCENTE BASICA VI 77 TID (33,33 HORAS) /TCVNMA (15 HORAS)</v>
          </cell>
          <cell r="B907" t="str">
            <v>40068</v>
          </cell>
          <cell r="C907" t="str">
            <v>E</v>
          </cell>
          <cell r="D907" t="str">
            <v>DO</v>
          </cell>
          <cell r="E907" t="str">
            <v/>
          </cell>
        </row>
        <row r="908">
          <cell r="A908" t="str">
            <v>DOCENTE BASICA VI 77 TID (33,33 HORAS) Y  TCVD (6 HORAS)</v>
          </cell>
          <cell r="B908" t="str">
            <v>40069</v>
          </cell>
          <cell r="C908" t="str">
            <v>E</v>
          </cell>
          <cell r="D908" t="str">
            <v>DO</v>
          </cell>
          <cell r="E908" t="str">
            <v/>
          </cell>
        </row>
        <row r="909">
          <cell r="A909" t="str">
            <v>DOCENTE BASICA VI 77 TID (33,33 HORAS) Y ALFABETIZADORA VI 77 (16 HORAS)</v>
          </cell>
          <cell r="B909" t="str">
            <v>40070</v>
          </cell>
          <cell r="C909" t="str">
            <v>E</v>
          </cell>
          <cell r="D909" t="str">
            <v>DO</v>
          </cell>
          <cell r="E909" t="str">
            <v/>
          </cell>
        </row>
        <row r="910">
          <cell r="A910" t="str">
            <v>DOCENTE BASICA VI 77 TID (33,33 HORAS) Y TCVD (04 HORAS)</v>
          </cell>
          <cell r="B910" t="str">
            <v>40071</v>
          </cell>
          <cell r="C910" t="str">
            <v>E</v>
          </cell>
          <cell r="D910" t="str">
            <v>DO</v>
          </cell>
          <cell r="E910" t="str">
            <v/>
          </cell>
        </row>
        <row r="911">
          <cell r="A911" t="str">
            <v>DOCENTE BASICA VI 77 TID (33,33 HORAS) Y TCVD (04 HORAS)</v>
          </cell>
          <cell r="B911" t="str">
            <v>40072</v>
          </cell>
          <cell r="C911" t="str">
            <v>E</v>
          </cell>
          <cell r="D911" t="str">
            <v>DO</v>
          </cell>
          <cell r="E911" t="str">
            <v/>
          </cell>
        </row>
        <row r="912">
          <cell r="A912" t="str">
            <v>DOCENTE BASICA VI 77 TID (33,33 HORAS) Y TCVD (04 HORAS)</v>
          </cell>
          <cell r="B912" t="str">
            <v>40073</v>
          </cell>
          <cell r="C912" t="str">
            <v>E</v>
          </cell>
          <cell r="D912" t="str">
            <v>DO</v>
          </cell>
          <cell r="E912" t="str">
            <v/>
          </cell>
        </row>
        <row r="913">
          <cell r="A913" t="str">
            <v>DOCENTE BASICA VI 77 TID (33,33 HORAS) Y TCVD (11 HORAS)</v>
          </cell>
          <cell r="B913" t="str">
            <v>40074</v>
          </cell>
          <cell r="C913" t="str">
            <v>E</v>
          </cell>
          <cell r="D913" t="str">
            <v>DO</v>
          </cell>
          <cell r="E913" t="str">
            <v/>
          </cell>
        </row>
        <row r="914">
          <cell r="A914" t="str">
            <v>DOCENTE BASICA VI 77 TID (33,33 HORAS) Y TCVNMA (14 HORAS)</v>
          </cell>
          <cell r="B914" t="str">
            <v>40075</v>
          </cell>
          <cell r="C914" t="str">
            <v>E</v>
          </cell>
          <cell r="D914" t="str">
            <v>DO</v>
          </cell>
          <cell r="E914" t="str">
            <v/>
          </cell>
        </row>
        <row r="915">
          <cell r="A915" t="str">
            <v>DOCENTE BASICA VI 77 TID (33,33) Y DOCENTE BASICO VI 77 TCVD (12 HORAS)</v>
          </cell>
          <cell r="B915" t="str">
            <v>40077</v>
          </cell>
          <cell r="C915" t="str">
            <v>E</v>
          </cell>
          <cell r="D915" t="str">
            <v>DO</v>
          </cell>
          <cell r="E915" t="str">
            <v/>
          </cell>
        </row>
        <row r="916">
          <cell r="A916" t="str">
            <v>DOCENTE BASICA VI 77 TID (33,33) Y TCVD (14 HORAS)</v>
          </cell>
          <cell r="B916" t="str">
            <v>40078</v>
          </cell>
          <cell r="C916" t="str">
            <v>E</v>
          </cell>
          <cell r="D916" t="str">
            <v>DO</v>
          </cell>
          <cell r="E916" t="str">
            <v/>
          </cell>
        </row>
        <row r="917">
          <cell r="A917" t="str">
            <v>DOCENTE BASICA VI 77 TID (33.33 HORAS) Y TCVD (16 HORAS)</v>
          </cell>
          <cell r="B917" t="str">
            <v>40079</v>
          </cell>
          <cell r="C917" t="str">
            <v>E</v>
          </cell>
          <cell r="D917" t="str">
            <v>DO</v>
          </cell>
          <cell r="E917" t="str">
            <v/>
          </cell>
        </row>
        <row r="918">
          <cell r="A918" t="str">
            <v>DOCENTE BASICA VI 77 TID (33.33 HORAS) Y TCVD (19 HORAS)</v>
          </cell>
          <cell r="B918" t="str">
            <v>40080</v>
          </cell>
          <cell r="C918" t="str">
            <v>E</v>
          </cell>
          <cell r="D918" t="str">
            <v>DO</v>
          </cell>
          <cell r="E918" t="str">
            <v/>
          </cell>
        </row>
        <row r="919">
          <cell r="A919" t="str">
            <v>DOCENTE BASICA VI 77 TID (36 HORAS) Y DOCENTE BASICO TCVD (12 HORAS)</v>
          </cell>
          <cell r="B919" t="str">
            <v>40081</v>
          </cell>
          <cell r="C919" t="str">
            <v>E</v>
          </cell>
          <cell r="D919" t="str">
            <v>DO</v>
          </cell>
          <cell r="E919" t="str">
            <v/>
          </cell>
        </row>
        <row r="920">
          <cell r="A920" t="str">
            <v>DOCENTE BASICA VI 77 TID Y DOCENTE BASICA VI 77 TCNM</v>
          </cell>
          <cell r="B920" t="str">
            <v>40082</v>
          </cell>
          <cell r="C920" t="str">
            <v>E</v>
          </cell>
          <cell r="D920" t="str">
            <v>DO</v>
          </cell>
          <cell r="E920" t="str">
            <v/>
          </cell>
        </row>
        <row r="921">
          <cell r="A921" t="str">
            <v>DOCENTE BASICA VI 77 TID Y DOCENTE DE AULA (ZONA EDUCATIVA)</v>
          </cell>
          <cell r="B921" t="str">
            <v>40083</v>
          </cell>
          <cell r="C921" t="str">
            <v>E</v>
          </cell>
          <cell r="D921" t="str">
            <v>DO</v>
          </cell>
          <cell r="E921" t="str">
            <v/>
          </cell>
        </row>
        <row r="922">
          <cell r="A922" t="str">
            <v>DOCENTE BASICO 16-139 TCVN Y DOCENTE DIRECTOR BASICO 139 TID VI</v>
          </cell>
          <cell r="B922" t="str">
            <v>40084</v>
          </cell>
          <cell r="C922" t="str">
            <v>E</v>
          </cell>
          <cell r="D922" t="str">
            <v>DO</v>
          </cell>
          <cell r="E922" t="str">
            <v/>
          </cell>
        </row>
        <row r="923">
          <cell r="A923" t="str">
            <v>DOCENTE BASICO 16-139 TCVNMA</v>
          </cell>
          <cell r="B923" t="str">
            <v>40224</v>
          </cell>
          <cell r="C923" t="str">
            <v>E</v>
          </cell>
          <cell r="D923" t="str">
            <v>DO</v>
          </cell>
          <cell r="E923" t="str">
            <v/>
          </cell>
        </row>
        <row r="924">
          <cell r="A924" t="str">
            <v>DOCENTE BASICO 16-77 TCVNM/MA VI Y DOCENTE SUB-DIRECTOR 16-77 TID VI Y PH (08 HORAS)</v>
          </cell>
          <cell r="B924" t="str">
            <v>40085</v>
          </cell>
          <cell r="C924" t="str">
            <v>E</v>
          </cell>
          <cell r="D924" t="str">
            <v>DO</v>
          </cell>
          <cell r="E924" t="str">
            <v/>
          </cell>
        </row>
        <row r="925">
          <cell r="A925" t="str">
            <v>DOCENTE BASICO 16-77 TCVNMA VI, Y SUPERVISOR BASICO</v>
          </cell>
          <cell r="B925" t="str">
            <v>40086</v>
          </cell>
          <cell r="C925" t="str">
            <v>E</v>
          </cell>
          <cell r="D925" t="str">
            <v>DO</v>
          </cell>
          <cell r="E925" t="str">
            <v/>
          </cell>
        </row>
        <row r="926">
          <cell r="A926" t="str">
            <v>DOCENTE BASICO DE ADULTOS Y COORD PROM DIF CULT</v>
          </cell>
          <cell r="B926" t="str">
            <v>40234</v>
          </cell>
          <cell r="C926" t="str">
            <v>E</v>
          </cell>
          <cell r="D926" t="str">
            <v>DO</v>
          </cell>
          <cell r="E926" t="str">
            <v/>
          </cell>
        </row>
        <row r="927">
          <cell r="A927" t="str">
            <v>DOCENTE BASICO IV 77 TCVD (36 HORAS)</v>
          </cell>
          <cell r="B927" t="str">
            <v>40172</v>
          </cell>
          <cell r="C927" t="str">
            <v>E</v>
          </cell>
          <cell r="D927" t="str">
            <v>DO</v>
          </cell>
          <cell r="E927" t="str">
            <v/>
          </cell>
        </row>
        <row r="928">
          <cell r="A928" t="str">
            <v>DOCENTE BASICO IV 77 TID (33,33 HORAS) Y TCVD (08 HORAS)</v>
          </cell>
          <cell r="B928" t="str">
            <v>40087</v>
          </cell>
          <cell r="C928" t="str">
            <v>E</v>
          </cell>
          <cell r="D928" t="str">
            <v>DO</v>
          </cell>
          <cell r="E928" t="str">
            <v/>
          </cell>
        </row>
        <row r="929">
          <cell r="A929" t="str">
            <v>DOCENTE BASICO IV 77 TID (33,33 HORAS) Y TCVD (08 HORAS)</v>
          </cell>
          <cell r="B929" t="str">
            <v>40088</v>
          </cell>
          <cell r="C929" t="str">
            <v>E</v>
          </cell>
          <cell r="D929" t="str">
            <v>DO</v>
          </cell>
          <cell r="E929" t="str">
            <v/>
          </cell>
        </row>
        <row r="930">
          <cell r="A930" t="str">
            <v>DOCENTE BASICO IV 77 TID (33,33 HORAS) Y TCVD (12 HORAS)</v>
          </cell>
          <cell r="B930" t="str">
            <v>40089</v>
          </cell>
          <cell r="C930" t="str">
            <v>E</v>
          </cell>
          <cell r="D930" t="str">
            <v>DO</v>
          </cell>
          <cell r="E930" t="str">
            <v/>
          </cell>
        </row>
        <row r="931">
          <cell r="A931" t="str">
            <v>DOCENTE BASICO IV 77 TID (33,33 HORAS) Y TCVD (16 HORAS)</v>
          </cell>
          <cell r="B931" t="str">
            <v>40090</v>
          </cell>
          <cell r="C931" t="str">
            <v>E</v>
          </cell>
          <cell r="D931" t="str">
            <v>DO</v>
          </cell>
          <cell r="E931" t="str">
            <v/>
          </cell>
        </row>
        <row r="932">
          <cell r="A932" t="str">
            <v>DOCENTE BASICO IV 77 TID (33,33 HORAS) Y TCVD (18 HORAS)</v>
          </cell>
          <cell r="B932" t="str">
            <v>40091</v>
          </cell>
          <cell r="C932" t="str">
            <v>E</v>
          </cell>
          <cell r="D932" t="str">
            <v>DO</v>
          </cell>
          <cell r="E932" t="str">
            <v/>
          </cell>
        </row>
        <row r="933">
          <cell r="A933" t="str">
            <v>DOCENTE BASICO IV 77 TID (33,33 HORAS) Y TCVD (20 HORAS)</v>
          </cell>
          <cell r="B933" t="str">
            <v>40092</v>
          </cell>
          <cell r="C933" t="str">
            <v>E</v>
          </cell>
          <cell r="D933" t="str">
            <v>DO</v>
          </cell>
          <cell r="E933" t="str">
            <v/>
          </cell>
        </row>
        <row r="934">
          <cell r="A934" t="str">
            <v>DOCENTE BASICO IV 77 TID (33,33 HORAS) Y TCVNMA (16 HORAS)</v>
          </cell>
          <cell r="B934" t="str">
            <v>40093</v>
          </cell>
          <cell r="C934" t="str">
            <v>E</v>
          </cell>
          <cell r="D934" t="str">
            <v>DO</v>
          </cell>
          <cell r="E934" t="str">
            <v/>
          </cell>
        </row>
        <row r="935">
          <cell r="A935" t="str">
            <v>DOCENTE BASICO IV 77 TID/TCVD</v>
          </cell>
          <cell r="B935" t="str">
            <v>40173</v>
          </cell>
          <cell r="C935" t="str">
            <v>E</v>
          </cell>
          <cell r="D935" t="str">
            <v>DO</v>
          </cell>
          <cell r="E935" t="str">
            <v/>
          </cell>
        </row>
        <row r="936">
          <cell r="A936" t="str">
            <v>DOCENTE BASICO NG TID (33,33 HORAS) Y DOCENTE BASICA NG TCVNMA (16 HORAS)</v>
          </cell>
          <cell r="B936" t="str">
            <v>40230</v>
          </cell>
          <cell r="C936" t="str">
            <v>E</v>
          </cell>
          <cell r="D936" t="str">
            <v>DO</v>
          </cell>
          <cell r="E936" t="str">
            <v/>
          </cell>
        </row>
        <row r="937">
          <cell r="A937" t="str">
            <v>DOCENTE BASICO V 77 TCVNMA (16 HORAS) Y DOCENTE SUPERVISOR BASICO V 77 TC (40 HORAS)</v>
          </cell>
          <cell r="B937" t="str">
            <v>40094</v>
          </cell>
          <cell r="C937" t="str">
            <v>E</v>
          </cell>
          <cell r="D937" t="str">
            <v>DO</v>
          </cell>
          <cell r="E937" t="str">
            <v/>
          </cell>
        </row>
        <row r="938">
          <cell r="A938" t="str">
            <v>DOCENTE BASICO V 77 TID (33 HORAS) Y TVCNMA (16 HORAS)</v>
          </cell>
          <cell r="B938" t="str">
            <v>40095</v>
          </cell>
          <cell r="C938" t="str">
            <v>E</v>
          </cell>
          <cell r="D938" t="str">
            <v>DO</v>
          </cell>
          <cell r="E938" t="str">
            <v/>
          </cell>
        </row>
        <row r="939">
          <cell r="A939" t="str">
            <v>DOCENTE BASICO V 77 TID (33,33 HORAS) Y TCVD (05 HORAS)</v>
          </cell>
          <cell r="B939" t="str">
            <v>40096</v>
          </cell>
          <cell r="C939" t="str">
            <v>E</v>
          </cell>
          <cell r="D939" t="str">
            <v>DO</v>
          </cell>
          <cell r="E939" t="str">
            <v/>
          </cell>
        </row>
        <row r="940">
          <cell r="A940" t="str">
            <v>DOCENTE BASICO V 77 TID (33,33 HORAS) Y TCVD (14 HORAS)</v>
          </cell>
          <cell r="B940" t="str">
            <v>40097</v>
          </cell>
          <cell r="C940" t="str">
            <v>E</v>
          </cell>
          <cell r="D940" t="str">
            <v>DO</v>
          </cell>
          <cell r="E940" t="str">
            <v/>
          </cell>
        </row>
        <row r="941">
          <cell r="A941" t="str">
            <v>DOCENTE BASICO V 77 TID (33,33 HORAS) Y TCVN (10 HORAS)</v>
          </cell>
          <cell r="B941" t="str">
            <v>40098</v>
          </cell>
          <cell r="C941" t="str">
            <v>E</v>
          </cell>
          <cell r="D941" t="str">
            <v>DO</v>
          </cell>
          <cell r="E941" t="str">
            <v/>
          </cell>
        </row>
        <row r="942">
          <cell r="A942" t="str">
            <v>DOCENTE BASICO V 77 TID (33,33 HORAS) Y TCVN (16 HORAS)</v>
          </cell>
          <cell r="B942" t="str">
            <v>40099</v>
          </cell>
          <cell r="C942" t="str">
            <v>E</v>
          </cell>
          <cell r="D942" t="str">
            <v>DO</v>
          </cell>
          <cell r="E942" t="str">
            <v/>
          </cell>
        </row>
        <row r="943">
          <cell r="A943" t="str">
            <v>DOCENTE BASICO V 77 TID (33,33 HORAS)Y TCVD (07 HORAS)</v>
          </cell>
          <cell r="B943" t="str">
            <v>40100</v>
          </cell>
          <cell r="C943" t="str">
            <v>E</v>
          </cell>
          <cell r="D943" t="str">
            <v>DO</v>
          </cell>
          <cell r="E943" t="str">
            <v/>
          </cell>
        </row>
        <row r="944">
          <cell r="A944" t="str">
            <v>DOCENTE BASICO V 77 TID (33.33 HORAS) Y TCVD (21 HORAS)</v>
          </cell>
          <cell r="B944" t="str">
            <v>40101</v>
          </cell>
          <cell r="C944" t="str">
            <v>E</v>
          </cell>
          <cell r="D944" t="str">
            <v>DO</v>
          </cell>
          <cell r="E944" t="str">
            <v/>
          </cell>
        </row>
        <row r="945">
          <cell r="A945" t="str">
            <v>DOCENTE BASICO V TID (33.33 HORAS), Y TCVD (11 HORAS)</v>
          </cell>
          <cell r="B945" t="str">
            <v>40102</v>
          </cell>
          <cell r="C945" t="str">
            <v>E</v>
          </cell>
          <cell r="D945" t="str">
            <v>DO</v>
          </cell>
          <cell r="E945" t="str">
            <v/>
          </cell>
        </row>
        <row r="946">
          <cell r="A946" t="str">
            <v>DOCENTE BASICO V TSE TCVNMA (16 HR)</v>
          </cell>
          <cell r="B946" t="str">
            <v>40103</v>
          </cell>
          <cell r="C946" t="str">
            <v>E</v>
          </cell>
          <cell r="D946" t="str">
            <v>DO</v>
          </cell>
          <cell r="E946" t="str">
            <v/>
          </cell>
        </row>
        <row r="947">
          <cell r="A947" t="str">
            <v>DOCENTE BASICO VI  77 TID (33,33 HORAS) Y TCVD (14 HORAS)</v>
          </cell>
          <cell r="B947" t="str">
            <v>40104</v>
          </cell>
          <cell r="C947" t="str">
            <v>E</v>
          </cell>
          <cell r="D947" t="str">
            <v>DO</v>
          </cell>
          <cell r="E947" t="str">
            <v/>
          </cell>
        </row>
        <row r="948">
          <cell r="A948" t="str">
            <v>DOCENTE BASICO VI 77 (33,33 HORAS)  TID Y TCVD (8 HORAS)</v>
          </cell>
          <cell r="B948" t="str">
            <v>40105</v>
          </cell>
          <cell r="C948" t="str">
            <v>E</v>
          </cell>
          <cell r="D948" t="str">
            <v>DO</v>
          </cell>
          <cell r="E948" t="str">
            <v/>
          </cell>
        </row>
        <row r="949">
          <cell r="A949" t="str">
            <v>DOCENTE BASICO VI 77 TCVD (33 HORAS) TID (17 HORAS)</v>
          </cell>
          <cell r="B949" t="str">
            <v>40106</v>
          </cell>
          <cell r="C949" t="str">
            <v>E</v>
          </cell>
          <cell r="D949" t="str">
            <v>DO</v>
          </cell>
          <cell r="E949" t="str">
            <v/>
          </cell>
        </row>
        <row r="950">
          <cell r="A950" t="str">
            <v>DOCENTE BASICO VI 77 TCVD / TCVD</v>
          </cell>
          <cell r="B950" t="str">
            <v>40174</v>
          </cell>
          <cell r="C950" t="str">
            <v>E</v>
          </cell>
          <cell r="D950" t="str">
            <v>DO</v>
          </cell>
          <cell r="E950" t="str">
            <v/>
          </cell>
        </row>
        <row r="951">
          <cell r="A951" t="str">
            <v>DOCENTE BASICO VI 77 TID (33,33 HORAS) / TCVD (6 HORAS) / TCVD (12 HORAS)</v>
          </cell>
          <cell r="B951" t="str">
            <v>40243</v>
          </cell>
          <cell r="C951" t="str">
            <v>E</v>
          </cell>
          <cell r="D951" t="str">
            <v>DO</v>
          </cell>
          <cell r="E951" t="str">
            <v/>
          </cell>
        </row>
        <row r="952">
          <cell r="A952" t="str">
            <v>DOCENTE BASICO VI 77 TID (33,33 HORAS) Y DOCENTE BASICO VI 77 TCVD (8 HORAS)</v>
          </cell>
          <cell r="B952" t="str">
            <v>40107</v>
          </cell>
          <cell r="C952" t="str">
            <v>E</v>
          </cell>
          <cell r="D952" t="str">
            <v>DO</v>
          </cell>
          <cell r="E952" t="str">
            <v/>
          </cell>
        </row>
        <row r="953">
          <cell r="A953" t="str">
            <v>DOCENTE BASICO VI 77 TID (33,33 HORAS) Y TCVD (20 HORAS)</v>
          </cell>
          <cell r="B953" t="str">
            <v>40108</v>
          </cell>
          <cell r="C953" t="str">
            <v>E</v>
          </cell>
          <cell r="D953" t="str">
            <v>DO</v>
          </cell>
          <cell r="E953" t="str">
            <v/>
          </cell>
        </row>
        <row r="954">
          <cell r="A954" t="str">
            <v>DOCENTE BASICO VI 77 TID (33,33 HORAS) Y TCVD (6 HORAS)</v>
          </cell>
          <cell r="B954" t="str">
            <v>40109</v>
          </cell>
          <cell r="C954" t="str">
            <v>E</v>
          </cell>
          <cell r="D954" t="str">
            <v>DO</v>
          </cell>
          <cell r="E954" t="str">
            <v/>
          </cell>
        </row>
        <row r="955">
          <cell r="A955" t="str">
            <v>DOCENTE BASICO VI 77 TID (33,33)  / TCVNMA (11)</v>
          </cell>
          <cell r="B955" t="str">
            <v>40110</v>
          </cell>
          <cell r="C955" t="str">
            <v>E</v>
          </cell>
          <cell r="D955" t="str">
            <v>DO</v>
          </cell>
          <cell r="E955" t="str">
            <v/>
          </cell>
        </row>
        <row r="956">
          <cell r="A956" t="str">
            <v>DOCENTE BASICO VI 77 TID (33.33 HORAS) Y TCVD (6 HORAS)</v>
          </cell>
          <cell r="B956" t="str">
            <v>40111</v>
          </cell>
          <cell r="C956" t="str">
            <v>E</v>
          </cell>
          <cell r="D956" t="str">
            <v>DO</v>
          </cell>
          <cell r="E956" t="str">
            <v/>
          </cell>
        </row>
        <row r="957">
          <cell r="A957" t="str">
            <v>DOCENTE BASICO VI 77 TID Y DOCENTE BASICO VI 77 TCVD Y DOCENTE BASICO VI 77 TCVD Y 2 CARGOS MAS</v>
          </cell>
          <cell r="B957" t="str">
            <v>40112</v>
          </cell>
          <cell r="C957" t="str">
            <v>E</v>
          </cell>
          <cell r="D957" t="str">
            <v>DO</v>
          </cell>
          <cell r="E957" t="str">
            <v/>
          </cell>
        </row>
        <row r="958">
          <cell r="A958" t="str">
            <v>DOCENTE BASICO Y DIRECTOR 16-139 TID VI</v>
          </cell>
          <cell r="B958" t="str">
            <v>40113</v>
          </cell>
          <cell r="C958" t="str">
            <v>E</v>
          </cell>
          <cell r="D958" t="str">
            <v>DO</v>
          </cell>
          <cell r="E958" t="str">
            <v/>
          </cell>
        </row>
        <row r="959">
          <cell r="A959" t="str">
            <v>DOCENTE COOD. 139 VI TID (33,33 HORAS) Y DOCENTE BASICO VI 139 TCVNMA (16 HORAS)</v>
          </cell>
          <cell r="B959" t="str">
            <v>40231</v>
          </cell>
          <cell r="C959" t="str">
            <v>E</v>
          </cell>
          <cell r="D959" t="str">
            <v>DO</v>
          </cell>
          <cell r="E959" t="str">
            <v/>
          </cell>
        </row>
        <row r="960">
          <cell r="A960" t="str">
            <v>DOCENTE DE BASICA III TSE 16 H Y AUXILIAR DE BIBLIOTECA</v>
          </cell>
          <cell r="B960" t="str">
            <v>40171</v>
          </cell>
          <cell r="C960" t="str">
            <v>E</v>
          </cell>
          <cell r="D960" t="str">
            <v>DO</v>
          </cell>
          <cell r="E960" t="str">
            <v/>
          </cell>
        </row>
        <row r="961">
          <cell r="A961" t="str">
            <v>DOCENTE DIRECTOR BASICA IV 77 TCVD Y COORDINADOR DOCENTE</v>
          </cell>
          <cell r="B961" t="str">
            <v>40114</v>
          </cell>
          <cell r="C961" t="str">
            <v>E</v>
          </cell>
          <cell r="D961" t="str">
            <v>DO</v>
          </cell>
          <cell r="E961" t="str">
            <v/>
          </cell>
        </row>
        <row r="962">
          <cell r="A962" t="str">
            <v>DOCENTE DIRECTOR BASICA VI 139 TID (36 HORAS)</v>
          </cell>
          <cell r="B962" t="str">
            <v>40175</v>
          </cell>
          <cell r="C962" t="str">
            <v>E</v>
          </cell>
          <cell r="D962" t="str">
            <v>DO</v>
          </cell>
          <cell r="E962" t="str">
            <v/>
          </cell>
        </row>
        <row r="963">
          <cell r="A963" t="str">
            <v>DOCENTE DIRECTOR BASICA VI 77 TID (36 HORAS) Y TCVNMA (16 HORAS)</v>
          </cell>
          <cell r="B963" t="str">
            <v>40115</v>
          </cell>
          <cell r="C963" t="str">
            <v>E</v>
          </cell>
          <cell r="D963" t="str">
            <v>DO</v>
          </cell>
          <cell r="E963" t="str">
            <v/>
          </cell>
        </row>
        <row r="964">
          <cell r="A964" t="str">
            <v>DOCENTE DIRECTOR BASICA VI 77 TID (36HORAS) Y TCVD (10 HORAS)</v>
          </cell>
          <cell r="B964" t="str">
            <v>40116</v>
          </cell>
          <cell r="C964" t="str">
            <v>E</v>
          </cell>
          <cell r="D964" t="str">
            <v>DO</v>
          </cell>
          <cell r="E964" t="str">
            <v/>
          </cell>
        </row>
        <row r="965">
          <cell r="A965" t="str">
            <v>DOCENTE DIRECTOR BASICO V 77 TID (40 HORAS) Y DOCENTE BASICO V 77 TCVM (16 HORAS)</v>
          </cell>
          <cell r="B965" t="str">
            <v>40117</v>
          </cell>
          <cell r="C965" t="str">
            <v>E</v>
          </cell>
          <cell r="D965" t="str">
            <v>DO</v>
          </cell>
          <cell r="E965" t="str">
            <v/>
          </cell>
        </row>
        <row r="966">
          <cell r="A966" t="str">
            <v>DOCENTE DIRECTOR BASICO VI 139 TID (36 HORAS), Y DOCENTE DIRECTOR BASICO VI 139 TCVN (20 HORAS)</v>
          </cell>
          <cell r="B966" t="str">
            <v>40118</v>
          </cell>
          <cell r="C966" t="str">
            <v>E</v>
          </cell>
          <cell r="D966" t="str">
            <v>DO</v>
          </cell>
          <cell r="E966" t="str">
            <v/>
          </cell>
        </row>
        <row r="967">
          <cell r="A967" t="str">
            <v>DOCENTE DIRECTOR BASICO VI 77 TID (36 HORAS) Y DOC BASICO VI 77 TCVD (13 HORAS)</v>
          </cell>
          <cell r="B967" t="str">
            <v>40119</v>
          </cell>
          <cell r="C967" t="str">
            <v>E</v>
          </cell>
          <cell r="D967" t="str">
            <v>DO</v>
          </cell>
          <cell r="E967" t="str">
            <v/>
          </cell>
        </row>
        <row r="968">
          <cell r="A968" t="str">
            <v>DOCENTE DIRECTOR BASICO VI 77 TID (36 HORAS) Y TCVD (17 HORAS)</v>
          </cell>
          <cell r="B968" t="str">
            <v>40120</v>
          </cell>
          <cell r="C968" t="str">
            <v>E</v>
          </cell>
          <cell r="D968" t="str">
            <v>DO</v>
          </cell>
          <cell r="E968" t="str">
            <v/>
          </cell>
        </row>
        <row r="969">
          <cell r="A969" t="str">
            <v>DOCENTE DIRECTOR BASICO VI 77 TID (40 HORAS) Y DOC BASICO VI 77 TCVD (06 HORAS)</v>
          </cell>
          <cell r="B969" t="str">
            <v>40121</v>
          </cell>
          <cell r="C969" t="str">
            <v>E</v>
          </cell>
          <cell r="D969" t="str">
            <v>DO</v>
          </cell>
          <cell r="E969" t="str">
            <v/>
          </cell>
        </row>
        <row r="970">
          <cell r="A970" t="str">
            <v>DOCENTE DIRECTOR BASICO VI 77 TID (40 HORAS) Y DOCENTE BASICO VI 77 TCVNMA (16 HORAS)</v>
          </cell>
          <cell r="B970" t="str">
            <v>40122</v>
          </cell>
          <cell r="C970" t="str">
            <v>E</v>
          </cell>
          <cell r="D970" t="str">
            <v>DO</v>
          </cell>
          <cell r="E970" t="str">
            <v/>
          </cell>
        </row>
        <row r="971">
          <cell r="A971" t="str">
            <v>DOCENTE DIRECTOR PRE-ESCOLAR VI 77 TID (36 HORAS)</v>
          </cell>
          <cell r="B971" t="str">
            <v>40123</v>
          </cell>
          <cell r="C971" t="str">
            <v>E</v>
          </cell>
          <cell r="D971" t="str">
            <v>DO</v>
          </cell>
          <cell r="E971" t="str">
            <v/>
          </cell>
        </row>
        <row r="972">
          <cell r="A972" t="str">
            <v>DOCENTE DIRECTORA BASICA IV 77 TID (36 HORAS)</v>
          </cell>
          <cell r="B972" t="str">
            <v>40176</v>
          </cell>
          <cell r="C972" t="str">
            <v>E</v>
          </cell>
          <cell r="D972" t="str">
            <v>DO</v>
          </cell>
          <cell r="E972" t="str">
            <v/>
          </cell>
        </row>
        <row r="973">
          <cell r="A973" t="str">
            <v>DOCENTE DIRECTORA BASICA V 77 TCVNMA 20HRS</v>
          </cell>
          <cell r="B973" t="str">
            <v>40124</v>
          </cell>
          <cell r="C973" t="str">
            <v>E</v>
          </cell>
          <cell r="D973" t="str">
            <v>DO</v>
          </cell>
          <cell r="E973" t="str">
            <v/>
          </cell>
        </row>
        <row r="974">
          <cell r="A974" t="str">
            <v>DOCENTE DIRECTORA BASICA VI 139 (36 HORAS) TID Y ALFABETIZADORA VI 139</v>
          </cell>
          <cell r="B974" t="str">
            <v>40125</v>
          </cell>
          <cell r="C974" t="str">
            <v>E</v>
          </cell>
          <cell r="D974" t="str">
            <v>DO</v>
          </cell>
          <cell r="E974" t="str">
            <v/>
          </cell>
        </row>
        <row r="975">
          <cell r="A975" t="str">
            <v>DOCENTE DIRECTORA BASICA VI 77 TID (36 HORAS) Y DOCENTE BASICA V 77 TCVD (4 HORAS)</v>
          </cell>
          <cell r="B975" t="str">
            <v>40126</v>
          </cell>
          <cell r="C975" t="str">
            <v>E</v>
          </cell>
          <cell r="D975" t="str">
            <v>DO</v>
          </cell>
          <cell r="E975" t="str">
            <v/>
          </cell>
        </row>
        <row r="976">
          <cell r="A976" t="str">
            <v>DOCENTE N.G 1-6 TCVD (33,33 HORAS) / DOC BASICA NG TCVD (14 HORAS)</v>
          </cell>
          <cell r="B976" t="str">
            <v>40218</v>
          </cell>
          <cell r="C976" t="str">
            <v>E</v>
          </cell>
          <cell r="D976" t="str">
            <v>DO</v>
          </cell>
          <cell r="E976" t="str">
            <v/>
          </cell>
        </row>
        <row r="977">
          <cell r="A977" t="str">
            <v>DOCENTE N.G. 1-6</v>
          </cell>
          <cell r="B977" t="str">
            <v>00041</v>
          </cell>
          <cell r="C977" t="str">
            <v>E</v>
          </cell>
          <cell r="D977" t="str">
            <v>DO</v>
          </cell>
          <cell r="E977" t="str">
            <v/>
          </cell>
        </row>
        <row r="978">
          <cell r="A978" t="str">
            <v>DOCENTE ORIENTADOR</v>
          </cell>
          <cell r="B978" t="str">
            <v>01403</v>
          </cell>
          <cell r="C978" t="str">
            <v>E</v>
          </cell>
          <cell r="D978" t="str">
            <v>DO</v>
          </cell>
          <cell r="E978" t="str">
            <v/>
          </cell>
        </row>
        <row r="979">
          <cell r="A979" t="str">
            <v>DOCENTE ORIENTADOR V 77 1-6 TID (36 HORAS)</v>
          </cell>
          <cell r="B979" t="str">
            <v>40127</v>
          </cell>
          <cell r="C979" t="str">
            <v>E</v>
          </cell>
          <cell r="D979" t="str">
            <v>DO</v>
          </cell>
          <cell r="E979" t="str">
            <v/>
          </cell>
        </row>
        <row r="980">
          <cell r="A980" t="str">
            <v>DOCENTE PLANIFICADOR VI 77 TC (36 HORAS) Y DOCENTE BASICA VI 77 TCVNMA (16 HORAS)</v>
          </cell>
          <cell r="B980" t="str">
            <v>40228</v>
          </cell>
          <cell r="C980" t="str">
            <v>E</v>
          </cell>
          <cell r="D980" t="str">
            <v>DO</v>
          </cell>
          <cell r="E980" t="str">
            <v/>
          </cell>
        </row>
        <row r="981">
          <cell r="A981" t="str">
            <v>DOCENTE PLANIFICADORA 16-77 VI (36 HORAS) Y DOC BAS VI 77 TCVMA (16 HORAS)</v>
          </cell>
          <cell r="B981" t="str">
            <v>40128</v>
          </cell>
          <cell r="C981" t="str">
            <v>E</v>
          </cell>
          <cell r="D981" t="str">
            <v>DO</v>
          </cell>
          <cell r="E981" t="str">
            <v/>
          </cell>
        </row>
        <row r="982">
          <cell r="A982" t="str">
            <v>DOCENTE PRE-ESCOLAR IV 77 TID (33,33 HORAS) Y DOCENTE BASICA IV 77 TCVD (06 HORAS)</v>
          </cell>
          <cell r="B982" t="str">
            <v>40129</v>
          </cell>
          <cell r="C982" t="str">
            <v>E</v>
          </cell>
          <cell r="D982" t="str">
            <v>DO</v>
          </cell>
          <cell r="E982" t="str">
            <v/>
          </cell>
        </row>
        <row r="983">
          <cell r="A983" t="str">
            <v>DOCENTE PRE-ESCOLAR VI 139 TID (33,33 HORAS) Y DOC. BASICA VI 139 TCVNMA  (16 HORAS)</v>
          </cell>
          <cell r="B983" t="str">
            <v>40227</v>
          </cell>
          <cell r="C983" t="str">
            <v>E</v>
          </cell>
          <cell r="D983" t="str">
            <v>DO</v>
          </cell>
          <cell r="E983" t="str">
            <v/>
          </cell>
        </row>
        <row r="984">
          <cell r="A984" t="str">
            <v>DOCENTE PREESCOLAR VI 77 TID (33.33 HORAS) Y DOCENTE BASICO V 77 TCVNMA (16 HORAS)</v>
          </cell>
          <cell r="B984" t="str">
            <v>40130</v>
          </cell>
          <cell r="C984" t="str">
            <v>E</v>
          </cell>
          <cell r="D984" t="str">
            <v>DO</v>
          </cell>
          <cell r="E984" t="str">
            <v/>
          </cell>
        </row>
        <row r="985">
          <cell r="A985" t="str">
            <v>DOCENTE SD BASICA VI 77 TID (40 HORAS) Y TCVD (14 HORAS)</v>
          </cell>
          <cell r="B985" t="str">
            <v>40131</v>
          </cell>
          <cell r="C985" t="str">
            <v>E</v>
          </cell>
          <cell r="D985" t="str">
            <v>DO</v>
          </cell>
          <cell r="E985" t="str">
            <v/>
          </cell>
        </row>
        <row r="986">
          <cell r="A986" t="str">
            <v>DOCENTE SUB-DIRECTOR BASICA IV 77 TID (36 HORAS)</v>
          </cell>
          <cell r="B986" t="str">
            <v>40177</v>
          </cell>
          <cell r="C986" t="str">
            <v>E</v>
          </cell>
          <cell r="D986" t="str">
            <v>DO</v>
          </cell>
          <cell r="E986" t="str">
            <v/>
          </cell>
        </row>
        <row r="987">
          <cell r="A987" t="str">
            <v>DOCENTE SUB-DIRECTOR BASICA IV 77 TID (36 HORAS)Y DOCENTE IV BASICO TCVD (16 HORAS)</v>
          </cell>
          <cell r="B987" t="str">
            <v>40132</v>
          </cell>
          <cell r="C987" t="str">
            <v>E</v>
          </cell>
          <cell r="D987" t="str">
            <v>DO</v>
          </cell>
          <cell r="E987" t="str">
            <v/>
          </cell>
        </row>
        <row r="988">
          <cell r="A988" t="str">
            <v>DOCENTE SUB-DIRECTOR BASICO IV 77 TID (40 HORAS) Y DOCENTE BASICO IV 77 TCVD (08 HORAS)</v>
          </cell>
          <cell r="B988" t="str">
            <v>40133</v>
          </cell>
          <cell r="C988" t="str">
            <v>E</v>
          </cell>
          <cell r="D988" t="str">
            <v>DO</v>
          </cell>
          <cell r="E988" t="str">
            <v/>
          </cell>
        </row>
        <row r="989">
          <cell r="A989" t="str">
            <v>DOCENTE SUB-DIRECTORA BASICA V 77 TID (36 HORAS) Y TCVD (08 HORAS)</v>
          </cell>
          <cell r="B989" t="str">
            <v>40134</v>
          </cell>
          <cell r="C989" t="str">
            <v>E</v>
          </cell>
          <cell r="D989" t="str">
            <v>DO</v>
          </cell>
          <cell r="E989" t="str">
            <v/>
          </cell>
        </row>
        <row r="990">
          <cell r="A990" t="str">
            <v>DOCENTE SUB-DIRECTORA BASICA V TSE (36 HORAS)</v>
          </cell>
          <cell r="B990" t="str">
            <v>40135</v>
          </cell>
          <cell r="C990" t="str">
            <v>E</v>
          </cell>
          <cell r="D990" t="str">
            <v>DO</v>
          </cell>
          <cell r="E990" t="str">
            <v/>
          </cell>
        </row>
        <row r="991">
          <cell r="A991" t="str">
            <v>DOCENTE SUB-DIRECTORA BASICA VI 77 TID (40 HORAS) Y (07 HORAS)</v>
          </cell>
          <cell r="B991" t="str">
            <v>40136</v>
          </cell>
          <cell r="C991" t="str">
            <v>E</v>
          </cell>
          <cell r="D991" t="str">
            <v>DO</v>
          </cell>
          <cell r="E991" t="str">
            <v/>
          </cell>
        </row>
        <row r="992">
          <cell r="A992" t="str">
            <v>DOCENTE SUB-DIRECTORA BASICO VI 77 TID (36 HORAS) Y (16 HORAS)</v>
          </cell>
          <cell r="B992" t="str">
            <v>40137</v>
          </cell>
          <cell r="C992" t="str">
            <v>E</v>
          </cell>
          <cell r="D992" t="str">
            <v>DO</v>
          </cell>
          <cell r="E992" t="str">
            <v/>
          </cell>
        </row>
        <row r="993">
          <cell r="A993" t="str">
            <v>DOCENTE SUP BASICA VI 77 TC (40 HORAS), DOCENTE BAS VI TCVN (16 HORAS) Y DOCENTE VI AULA (5 HORAS)</v>
          </cell>
          <cell r="B993" t="str">
            <v>40138</v>
          </cell>
          <cell r="C993" t="str">
            <v>E</v>
          </cell>
          <cell r="D993" t="str">
            <v>DO</v>
          </cell>
          <cell r="E993" t="str">
            <v/>
          </cell>
        </row>
        <row r="994">
          <cell r="A994" t="str">
            <v>DOCENTE SUPERVISOR BASICO V 77 TC Y DOCENTE BASICO V 77 TCVN Y DOCENTE DE AULA V (ZONA EDUC)</v>
          </cell>
          <cell r="B994" t="str">
            <v>40140</v>
          </cell>
          <cell r="C994" t="str">
            <v>E</v>
          </cell>
          <cell r="D994" t="str">
            <v>DO</v>
          </cell>
          <cell r="E994" t="str">
            <v/>
          </cell>
        </row>
        <row r="995">
          <cell r="A995" t="str">
            <v>DOCENTE SUPERVISOR BASICO VI 139 TC (40 HORAS) Y DOCENTE BASICO VI 139 TCVNMA (16 HORAS)</v>
          </cell>
          <cell r="B995" t="str">
            <v>40141</v>
          </cell>
          <cell r="C995" t="str">
            <v>E</v>
          </cell>
          <cell r="D995" t="str">
            <v>DO</v>
          </cell>
          <cell r="E995" t="str">
            <v/>
          </cell>
        </row>
        <row r="996">
          <cell r="A996" t="str">
            <v>DOCENTE SUPERVISOR BASICO VI 77 TC Y DOCENTE IV AULA (13 HORAS)</v>
          </cell>
          <cell r="B996" t="str">
            <v>40142</v>
          </cell>
          <cell r="C996" t="str">
            <v>E</v>
          </cell>
          <cell r="D996" t="str">
            <v>DO</v>
          </cell>
          <cell r="E996" t="str">
            <v/>
          </cell>
        </row>
        <row r="997">
          <cell r="A997" t="str">
            <v>DOCENTE SUPERVISOR BASICO VI 77 TCVNMA</v>
          </cell>
          <cell r="B997" t="str">
            <v>40300</v>
          </cell>
          <cell r="C997" t="str">
            <v>E</v>
          </cell>
          <cell r="D997" t="str">
            <v>DO</v>
          </cell>
          <cell r="E997" t="str">
            <v/>
          </cell>
        </row>
        <row r="998">
          <cell r="A998" t="str">
            <v>DOCENTE SUPERVISOR V 77 TC</v>
          </cell>
          <cell r="B998" t="str">
            <v>40139</v>
          </cell>
          <cell r="C998" t="str">
            <v>E</v>
          </cell>
          <cell r="D998" t="str">
            <v>DO</v>
          </cell>
          <cell r="E998" t="str">
            <v/>
          </cell>
        </row>
        <row r="999">
          <cell r="A999" t="str">
            <v>DOCENTE V 77 TID (33,33 HORAS) Y TCVD (13 HORAS)</v>
          </cell>
          <cell r="B999" t="str">
            <v>40143</v>
          </cell>
          <cell r="C999" t="str">
            <v>E</v>
          </cell>
          <cell r="D999" t="str">
            <v>DO</v>
          </cell>
          <cell r="E999" t="str">
            <v/>
          </cell>
        </row>
        <row r="1000">
          <cell r="A1000" t="str">
            <v>ECONOMA I</v>
          </cell>
          <cell r="B1000" t="str">
            <v>77141</v>
          </cell>
          <cell r="C1000" t="str">
            <v>E</v>
          </cell>
          <cell r="D1000" t="str">
            <v>AD</v>
          </cell>
          <cell r="E1000" t="str">
            <v>01</v>
          </cell>
        </row>
        <row r="1001">
          <cell r="A1001" t="str">
            <v>ECONOMA II</v>
          </cell>
          <cell r="B1001" t="str">
            <v>77142</v>
          </cell>
          <cell r="C1001" t="str">
            <v>E</v>
          </cell>
          <cell r="D1001" t="str">
            <v>AD</v>
          </cell>
          <cell r="E1001" t="str">
            <v>03</v>
          </cell>
        </row>
        <row r="1002">
          <cell r="A1002" t="str">
            <v>ECONOMISTA I</v>
          </cell>
          <cell r="B1002" t="str">
            <v>36221</v>
          </cell>
          <cell r="C1002" t="str">
            <v>E</v>
          </cell>
          <cell r="D1002" t="str">
            <v>UT</v>
          </cell>
          <cell r="E1002" t="str">
            <v>17</v>
          </cell>
        </row>
        <row r="1003">
          <cell r="A1003" t="str">
            <v>ECONOMISTA II</v>
          </cell>
          <cell r="B1003" t="str">
            <v>36222</v>
          </cell>
          <cell r="C1003" t="str">
            <v>E</v>
          </cell>
          <cell r="D1003" t="str">
            <v>UT</v>
          </cell>
          <cell r="E1003" t="str">
            <v>19</v>
          </cell>
        </row>
        <row r="1004">
          <cell r="A1004" t="str">
            <v>ECONOMISTA III</v>
          </cell>
          <cell r="B1004" t="str">
            <v>36223</v>
          </cell>
          <cell r="C1004" t="str">
            <v>E</v>
          </cell>
          <cell r="D1004" t="str">
            <v>UT</v>
          </cell>
          <cell r="E1004" t="str">
            <v>20</v>
          </cell>
        </row>
        <row r="1005">
          <cell r="A1005" t="str">
            <v>ECONOMISTA JEFE I</v>
          </cell>
          <cell r="B1005" t="str">
            <v>36231</v>
          </cell>
          <cell r="C1005" t="str">
            <v>E</v>
          </cell>
          <cell r="D1005" t="str">
            <v>UT</v>
          </cell>
          <cell r="E1005" t="str">
            <v>22</v>
          </cell>
        </row>
        <row r="1006">
          <cell r="A1006" t="str">
            <v>ECONOMISTA JEFE II</v>
          </cell>
          <cell r="B1006" t="str">
            <v>36232</v>
          </cell>
          <cell r="C1006" t="str">
            <v>E</v>
          </cell>
          <cell r="D1006" t="str">
            <v>UT</v>
          </cell>
          <cell r="E1006" t="str">
            <v>23</v>
          </cell>
        </row>
        <row r="1007">
          <cell r="A1007" t="str">
            <v>ECONOMISTA JEFE III</v>
          </cell>
          <cell r="B1007" t="str">
            <v>36233</v>
          </cell>
          <cell r="C1007" t="str">
            <v>E</v>
          </cell>
          <cell r="D1007" t="str">
            <v>UT</v>
          </cell>
          <cell r="E1007" t="str">
            <v>24</v>
          </cell>
        </row>
        <row r="1008">
          <cell r="A1008" t="str">
            <v>EDITOR</v>
          </cell>
          <cell r="B1008" t="str">
            <v>31360</v>
          </cell>
          <cell r="C1008" t="str">
            <v>E</v>
          </cell>
          <cell r="D1008" t="str">
            <v>UT</v>
          </cell>
          <cell r="E1008" t="str">
            <v>23</v>
          </cell>
        </row>
        <row r="1009">
          <cell r="A1009" t="str">
            <v>EDITOR DE NOTICIAS EDUCATIVAS</v>
          </cell>
          <cell r="B1009" t="str">
            <v>31120</v>
          </cell>
          <cell r="C1009" t="str">
            <v>E</v>
          </cell>
          <cell r="D1009" t="str">
            <v>UT</v>
          </cell>
          <cell r="E1009" t="str">
            <v>17</v>
          </cell>
        </row>
        <row r="1010">
          <cell r="A1010" t="str">
            <v>EDITOR FILMICO</v>
          </cell>
          <cell r="B1010" t="str">
            <v>32170</v>
          </cell>
          <cell r="C1010" t="str">
            <v>E</v>
          </cell>
          <cell r="D1010" t="str">
            <v>AD</v>
          </cell>
          <cell r="E1010" t="str">
            <v>03</v>
          </cell>
        </row>
        <row r="1011">
          <cell r="A1011" t="str">
            <v>EDITOR HISTORICO</v>
          </cell>
          <cell r="B1011" t="str">
            <v>31110</v>
          </cell>
          <cell r="C1011" t="str">
            <v>E</v>
          </cell>
          <cell r="D1011" t="str">
            <v>UT</v>
          </cell>
          <cell r="E1011" t="str">
            <v>17</v>
          </cell>
        </row>
        <row r="1012">
          <cell r="A1012" t="str">
            <v>EDITOR JEFE</v>
          </cell>
          <cell r="B1012" t="str">
            <v>31370</v>
          </cell>
          <cell r="C1012" t="str">
            <v>E</v>
          </cell>
          <cell r="D1012" t="str">
            <v>UT</v>
          </cell>
          <cell r="E1012" t="str">
            <v>25</v>
          </cell>
        </row>
        <row r="1013">
          <cell r="A1013" t="str">
            <v>EJECUTANTE DE CLARINETE</v>
          </cell>
          <cell r="B1013" t="str">
            <v>40144</v>
          </cell>
          <cell r="C1013" t="str">
            <v>E</v>
          </cell>
          <cell r="D1013" t="str">
            <v>DO</v>
          </cell>
          <cell r="E1013" t="str">
            <v/>
          </cell>
        </row>
        <row r="1014">
          <cell r="A1014" t="str">
            <v>ENCUADERNADOR DE CONSERVACION II</v>
          </cell>
          <cell r="B1014" t="str">
            <v>37812</v>
          </cell>
          <cell r="C1014" t="str">
            <v>E</v>
          </cell>
          <cell r="D1014" t="str">
            <v>AD</v>
          </cell>
          <cell r="E1014" t="str">
            <v>03</v>
          </cell>
        </row>
        <row r="1015">
          <cell r="A1015" t="str">
            <v>ENCUADERNADOR DE CONSERVACION III</v>
          </cell>
          <cell r="B1015" t="str">
            <v>37813</v>
          </cell>
          <cell r="C1015" t="str">
            <v>E</v>
          </cell>
          <cell r="D1015" t="str">
            <v>AD</v>
          </cell>
          <cell r="E1015" t="str">
            <v>06</v>
          </cell>
        </row>
        <row r="1016">
          <cell r="A1016" t="str">
            <v>ENCUADERNADOR DE CONSERVACION JEFE</v>
          </cell>
          <cell r="B1016" t="str">
            <v>37820</v>
          </cell>
          <cell r="C1016" t="str">
            <v>E</v>
          </cell>
          <cell r="D1016" t="str">
            <v>AD</v>
          </cell>
          <cell r="E1016" t="str">
            <v>10</v>
          </cell>
        </row>
        <row r="1017">
          <cell r="A1017" t="str">
            <v>ENFERMERA ANESTESISTA</v>
          </cell>
          <cell r="B1017" t="str">
            <v>71310</v>
          </cell>
          <cell r="C1017" t="str">
            <v>E</v>
          </cell>
          <cell r="D1017" t="str">
            <v>AD</v>
          </cell>
          <cell r="E1017" t="str">
            <v>03</v>
          </cell>
        </row>
        <row r="1018">
          <cell r="A1018" t="str">
            <v>ENFERMERA DE SALUD PUBLICA I</v>
          </cell>
          <cell r="B1018" t="str">
            <v>71351</v>
          </cell>
          <cell r="C1018" t="str">
            <v>E</v>
          </cell>
          <cell r="D1018" t="str">
            <v>AD</v>
          </cell>
          <cell r="E1018" t="str">
            <v>02</v>
          </cell>
        </row>
        <row r="1019">
          <cell r="A1019" t="str">
            <v>ENFERMERA DE SALUD PUBLICA II</v>
          </cell>
          <cell r="B1019" t="str">
            <v>71352</v>
          </cell>
          <cell r="C1019" t="str">
            <v>E</v>
          </cell>
          <cell r="D1019" t="str">
            <v>AD</v>
          </cell>
          <cell r="E1019" t="str">
            <v>03</v>
          </cell>
        </row>
        <row r="1020">
          <cell r="A1020" t="str">
            <v>ENFERMERA DE SALUD PUBLICA III</v>
          </cell>
          <cell r="B1020" t="str">
            <v>71353</v>
          </cell>
          <cell r="C1020" t="str">
            <v>E</v>
          </cell>
          <cell r="D1020" t="str">
            <v>UT</v>
          </cell>
          <cell r="E1020" t="str">
            <v>16</v>
          </cell>
        </row>
        <row r="1021">
          <cell r="A1021" t="str">
            <v>ENFERMERA DE SALUD PUBLICA IV</v>
          </cell>
          <cell r="B1021" t="str">
            <v>71354</v>
          </cell>
          <cell r="C1021" t="str">
            <v>E</v>
          </cell>
          <cell r="D1021" t="str">
            <v>UT</v>
          </cell>
          <cell r="E1021" t="str">
            <v>17</v>
          </cell>
        </row>
        <row r="1022">
          <cell r="A1022" t="str">
            <v>ENFERMERA DE SALUD PUBLICA JEFE II</v>
          </cell>
          <cell r="B1022" t="str">
            <v>71362</v>
          </cell>
          <cell r="C1022" t="str">
            <v>E</v>
          </cell>
          <cell r="D1022" t="str">
            <v>UT</v>
          </cell>
          <cell r="E1022" t="str">
            <v>21</v>
          </cell>
        </row>
        <row r="1023">
          <cell r="A1023" t="str">
            <v>ENFERMERA DE SALUD PUBLICA JEFE III</v>
          </cell>
          <cell r="B1023" t="str">
            <v>71363</v>
          </cell>
          <cell r="C1023" t="str">
            <v>E</v>
          </cell>
          <cell r="D1023" t="str">
            <v>UT</v>
          </cell>
          <cell r="E1023" t="str">
            <v>22</v>
          </cell>
        </row>
        <row r="1024">
          <cell r="A1024" t="str">
            <v>ENFERMERA DE SALUD PUBLICA JEFE V</v>
          </cell>
          <cell r="B1024" t="str">
            <v>71364</v>
          </cell>
          <cell r="C1024" t="str">
            <v>E</v>
          </cell>
          <cell r="D1024" t="str">
            <v>UT</v>
          </cell>
          <cell r="E1024" t="str">
            <v>24</v>
          </cell>
        </row>
        <row r="1025">
          <cell r="A1025" t="str">
            <v>ENFERMERA DE SALUD PUBLICA V</v>
          </cell>
          <cell r="B1025" t="str">
            <v>71355</v>
          </cell>
          <cell r="C1025" t="str">
            <v>E</v>
          </cell>
          <cell r="D1025" t="str">
            <v>UT</v>
          </cell>
          <cell r="E1025" t="str">
            <v>19</v>
          </cell>
        </row>
        <row r="1026">
          <cell r="A1026" t="str">
            <v>ENFERMERA HEMOTERAPISTA I</v>
          </cell>
          <cell r="B1026" t="str">
            <v>71321</v>
          </cell>
          <cell r="C1026" t="str">
            <v>E</v>
          </cell>
          <cell r="D1026" t="str">
            <v>AD</v>
          </cell>
          <cell r="E1026" t="str">
            <v>03</v>
          </cell>
        </row>
        <row r="1027">
          <cell r="A1027" t="str">
            <v>ENFERMERA HEMOTERAPISTA II</v>
          </cell>
          <cell r="B1027" t="str">
            <v>71322</v>
          </cell>
          <cell r="C1027" t="str">
            <v>E</v>
          </cell>
          <cell r="D1027" t="str">
            <v>UT</v>
          </cell>
          <cell r="E1027" t="str">
            <v>16</v>
          </cell>
        </row>
        <row r="1028">
          <cell r="A1028" t="str">
            <v>ENFERMERA HEMOTERAPISTA III</v>
          </cell>
          <cell r="B1028" t="str">
            <v>71323</v>
          </cell>
          <cell r="C1028" t="str">
            <v>E</v>
          </cell>
          <cell r="D1028" t="str">
            <v>UT</v>
          </cell>
          <cell r="E1028" t="str">
            <v>18</v>
          </cell>
        </row>
        <row r="1029">
          <cell r="A1029" t="str">
            <v>ENFERMERA I</v>
          </cell>
          <cell r="B1029" t="str">
            <v>71331</v>
          </cell>
          <cell r="C1029" t="str">
            <v>E</v>
          </cell>
          <cell r="D1029" t="str">
            <v>AD</v>
          </cell>
          <cell r="E1029" t="str">
            <v>02</v>
          </cell>
        </row>
        <row r="1030">
          <cell r="A1030" t="str">
            <v>ENFERMERA II</v>
          </cell>
          <cell r="B1030" t="str">
            <v>71332</v>
          </cell>
          <cell r="C1030" t="str">
            <v>E</v>
          </cell>
          <cell r="D1030" t="str">
            <v>AD</v>
          </cell>
          <cell r="E1030" t="str">
            <v>03</v>
          </cell>
        </row>
        <row r="1031">
          <cell r="A1031" t="str">
            <v>ENFERMERA III</v>
          </cell>
          <cell r="B1031" t="str">
            <v>71333</v>
          </cell>
          <cell r="C1031" t="str">
            <v>E</v>
          </cell>
          <cell r="D1031" t="str">
            <v>AD</v>
          </cell>
          <cell r="E1031" t="str">
            <v>04</v>
          </cell>
        </row>
        <row r="1032">
          <cell r="A1032" t="str">
            <v>ENFERMERA JEFE I</v>
          </cell>
          <cell r="B1032" t="str">
            <v>71341</v>
          </cell>
          <cell r="C1032" t="str">
            <v>E</v>
          </cell>
          <cell r="D1032" t="str">
            <v>UT</v>
          </cell>
          <cell r="E1032" t="str">
            <v>16</v>
          </cell>
        </row>
        <row r="1033">
          <cell r="A1033" t="str">
            <v>ENFERMERA JEFE II</v>
          </cell>
          <cell r="B1033" t="str">
            <v>71342</v>
          </cell>
          <cell r="C1033" t="str">
            <v>E</v>
          </cell>
          <cell r="D1033" t="str">
            <v>UT</v>
          </cell>
          <cell r="E1033" t="str">
            <v>17</v>
          </cell>
        </row>
        <row r="1034">
          <cell r="A1034" t="str">
            <v>ENFERMERA JEFE III</v>
          </cell>
          <cell r="B1034" t="str">
            <v>71343</v>
          </cell>
          <cell r="C1034" t="str">
            <v>E</v>
          </cell>
          <cell r="D1034" t="str">
            <v>UT</v>
          </cell>
          <cell r="E1034" t="str">
            <v>19</v>
          </cell>
        </row>
        <row r="1035">
          <cell r="A1035" t="str">
            <v>ENTRENADOR DE PORTIVO II</v>
          </cell>
          <cell r="B1035" t="str">
            <v>34232</v>
          </cell>
          <cell r="C1035" t="str">
            <v>E</v>
          </cell>
          <cell r="D1035" t="str">
            <v>AD</v>
          </cell>
          <cell r="E1035" t="str">
            <v>02</v>
          </cell>
        </row>
        <row r="1036">
          <cell r="A1036" t="str">
            <v>ENTRENADOR DEPORTIVO I</v>
          </cell>
          <cell r="B1036" t="str">
            <v>34231</v>
          </cell>
          <cell r="C1036" t="str">
            <v>E</v>
          </cell>
          <cell r="D1036" t="str">
            <v>AD</v>
          </cell>
          <cell r="E1036" t="str">
            <v>01</v>
          </cell>
        </row>
        <row r="1037">
          <cell r="A1037" t="str">
            <v>ENTRENADOR DEPORTIVO III</v>
          </cell>
          <cell r="B1037" t="str">
            <v>34233</v>
          </cell>
          <cell r="C1037" t="str">
            <v>E</v>
          </cell>
          <cell r="D1037" t="str">
            <v>UT</v>
          </cell>
          <cell r="E1037" t="str">
            <v>15</v>
          </cell>
        </row>
        <row r="1038">
          <cell r="A1038" t="str">
            <v>ENTRENADOR DEPORTIVO IV</v>
          </cell>
          <cell r="B1038" t="str">
            <v>34234</v>
          </cell>
          <cell r="C1038" t="str">
            <v>E</v>
          </cell>
          <cell r="D1038" t="str">
            <v>UT</v>
          </cell>
          <cell r="E1038" t="str">
            <v>17</v>
          </cell>
        </row>
        <row r="1039">
          <cell r="A1039" t="str">
            <v>ENTRENADOR DEPORTIVO V</v>
          </cell>
          <cell r="B1039" t="str">
            <v>34235</v>
          </cell>
          <cell r="C1039" t="str">
            <v>E</v>
          </cell>
          <cell r="D1039" t="str">
            <v>UT</v>
          </cell>
          <cell r="E1039" t="str">
            <v>19</v>
          </cell>
        </row>
        <row r="1040">
          <cell r="A1040" t="str">
            <v>ENTRENADOR DEPORTIVO VI</v>
          </cell>
          <cell r="B1040" t="str">
            <v>34236</v>
          </cell>
          <cell r="C1040" t="str">
            <v>E</v>
          </cell>
          <cell r="D1040" t="str">
            <v>UT</v>
          </cell>
          <cell r="E1040" t="str">
            <v>21</v>
          </cell>
        </row>
        <row r="1041">
          <cell r="A1041" t="str">
            <v>ENTRENADOR DEPORTIVO VII</v>
          </cell>
          <cell r="B1041" t="str">
            <v>34237</v>
          </cell>
          <cell r="C1041" t="str">
            <v>E</v>
          </cell>
          <cell r="D1041" t="str">
            <v>UT</v>
          </cell>
          <cell r="E1041" t="str">
            <v>23</v>
          </cell>
        </row>
        <row r="1042">
          <cell r="A1042" t="str">
            <v>ESCENOGRAFO</v>
          </cell>
          <cell r="B1042" t="str">
            <v>32125</v>
          </cell>
          <cell r="C1042" t="str">
            <v>E</v>
          </cell>
          <cell r="D1042" t="str">
            <v>AD</v>
          </cell>
          <cell r="E1042" t="str">
            <v>04</v>
          </cell>
        </row>
        <row r="1043">
          <cell r="A1043" t="str">
            <v>ESCRIBIENTE DE REGISTRO I</v>
          </cell>
          <cell r="B1043" t="str">
            <v>35231</v>
          </cell>
          <cell r="C1043" t="str">
            <v>E</v>
          </cell>
          <cell r="D1043" t="str">
            <v>AD</v>
          </cell>
          <cell r="E1043" t="str">
            <v>01</v>
          </cell>
        </row>
        <row r="1044">
          <cell r="A1044" t="str">
            <v>ESCRIBIENTE DE REGISTROS  II</v>
          </cell>
          <cell r="B1044" t="str">
            <v>35232</v>
          </cell>
          <cell r="C1044" t="str">
            <v>E</v>
          </cell>
          <cell r="D1044" t="str">
            <v>AD</v>
          </cell>
          <cell r="E1044" t="str">
            <v>03</v>
          </cell>
        </row>
        <row r="1045">
          <cell r="A1045" t="str">
            <v>ESPECIALISTA EN ASISTENCIA TECNICA</v>
          </cell>
          <cell r="B1045" t="str">
            <v>12310</v>
          </cell>
          <cell r="C1045" t="str">
            <v>E</v>
          </cell>
          <cell r="D1045" t="str">
            <v>UT</v>
          </cell>
          <cell r="E1045" t="str">
            <v>25</v>
          </cell>
        </row>
        <row r="1046">
          <cell r="A1046" t="str">
            <v>ESPECIALISTA EN EXTENSION I</v>
          </cell>
          <cell r="B1046" t="str">
            <v>41311</v>
          </cell>
          <cell r="C1046" t="str">
            <v>E</v>
          </cell>
          <cell r="D1046" t="str">
            <v>AD</v>
          </cell>
          <cell r="E1046" t="str">
            <v>03</v>
          </cell>
        </row>
        <row r="1047">
          <cell r="A1047" t="str">
            <v>ESPECIALISTA EN EXTENSION II</v>
          </cell>
          <cell r="B1047" t="str">
            <v>41312</v>
          </cell>
          <cell r="C1047" t="str">
            <v>E</v>
          </cell>
          <cell r="D1047" t="str">
            <v>UT</v>
          </cell>
          <cell r="E1047" t="str">
            <v>15</v>
          </cell>
        </row>
        <row r="1048">
          <cell r="A1048" t="str">
            <v>ESPECIALISTA EN EXTENSION III</v>
          </cell>
          <cell r="B1048" t="str">
            <v>41313</v>
          </cell>
          <cell r="C1048" t="str">
            <v>E</v>
          </cell>
          <cell r="D1048" t="str">
            <v>UT</v>
          </cell>
          <cell r="E1048" t="str">
            <v>18</v>
          </cell>
        </row>
        <row r="1049">
          <cell r="A1049" t="str">
            <v>ESPECIALISTA EN EXTENSION IV</v>
          </cell>
          <cell r="B1049" t="str">
            <v>41314</v>
          </cell>
          <cell r="C1049" t="str">
            <v>E</v>
          </cell>
          <cell r="D1049" t="str">
            <v>UT</v>
          </cell>
          <cell r="E1049" t="str">
            <v>19</v>
          </cell>
        </row>
        <row r="1050">
          <cell r="A1050" t="str">
            <v>ESPECIALISTA EN INFORMACION I</v>
          </cell>
          <cell r="B1050" t="str">
            <v>31231</v>
          </cell>
          <cell r="C1050" t="str">
            <v>E</v>
          </cell>
          <cell r="D1050" t="str">
            <v>UT</v>
          </cell>
          <cell r="E1050" t="str">
            <v>17</v>
          </cell>
        </row>
        <row r="1051">
          <cell r="A1051" t="str">
            <v>ESPECIALISTA EN INFORMACION II</v>
          </cell>
          <cell r="B1051" t="str">
            <v>31232</v>
          </cell>
          <cell r="C1051" t="str">
            <v>E</v>
          </cell>
          <cell r="D1051" t="str">
            <v>UT</v>
          </cell>
          <cell r="E1051" t="str">
            <v>19</v>
          </cell>
        </row>
        <row r="1052">
          <cell r="A1052" t="str">
            <v>ESPECIALISTA EN INFORMACION III</v>
          </cell>
          <cell r="B1052" t="str">
            <v>31233</v>
          </cell>
          <cell r="C1052" t="str">
            <v>E</v>
          </cell>
          <cell r="D1052" t="str">
            <v>UT</v>
          </cell>
          <cell r="E1052" t="str">
            <v>21</v>
          </cell>
        </row>
        <row r="1053">
          <cell r="A1053" t="str">
            <v>ESPECIALISTA EN INFORMATICA I</v>
          </cell>
          <cell r="B1053" t="str">
            <v>23471</v>
          </cell>
          <cell r="C1053" t="str">
            <v>E</v>
          </cell>
          <cell r="D1053" t="str">
            <v>UT</v>
          </cell>
          <cell r="E1053" t="str">
            <v>24</v>
          </cell>
        </row>
        <row r="1054">
          <cell r="A1054" t="str">
            <v>ESPECIALISTA EN INFORMATICA II</v>
          </cell>
          <cell r="B1054" t="str">
            <v>23472</v>
          </cell>
          <cell r="C1054" t="str">
            <v>E</v>
          </cell>
          <cell r="D1054" t="str">
            <v>UT</v>
          </cell>
          <cell r="E1054" t="str">
            <v>26</v>
          </cell>
        </row>
        <row r="1055">
          <cell r="A1055" t="str">
            <v>ESTADISTICO I</v>
          </cell>
          <cell r="B1055" t="str">
            <v>36131</v>
          </cell>
          <cell r="C1055" t="str">
            <v>E</v>
          </cell>
          <cell r="D1055" t="str">
            <v>UT</v>
          </cell>
          <cell r="E1055" t="str">
            <v>17</v>
          </cell>
        </row>
        <row r="1056">
          <cell r="A1056" t="str">
            <v>ESTADISTICO II</v>
          </cell>
          <cell r="B1056" t="str">
            <v>36132</v>
          </cell>
          <cell r="C1056" t="str">
            <v>E</v>
          </cell>
          <cell r="D1056" t="str">
            <v>UT</v>
          </cell>
          <cell r="E1056" t="str">
            <v>19</v>
          </cell>
        </row>
        <row r="1057">
          <cell r="A1057" t="str">
            <v>ESTADISTICO III</v>
          </cell>
          <cell r="B1057" t="str">
            <v>36133</v>
          </cell>
          <cell r="C1057" t="str">
            <v>E</v>
          </cell>
          <cell r="D1057" t="str">
            <v>UT</v>
          </cell>
          <cell r="E1057" t="str">
            <v>21</v>
          </cell>
        </row>
        <row r="1058">
          <cell r="A1058" t="str">
            <v>ESTADISTICO JEFE I</v>
          </cell>
          <cell r="B1058" t="str">
            <v>36141</v>
          </cell>
          <cell r="C1058" t="str">
            <v>E</v>
          </cell>
          <cell r="D1058" t="str">
            <v>UT</v>
          </cell>
          <cell r="E1058" t="str">
            <v>23</v>
          </cell>
        </row>
        <row r="1059">
          <cell r="A1059" t="str">
            <v>ESTADISTICO JEFE II</v>
          </cell>
          <cell r="B1059" t="str">
            <v>36142</v>
          </cell>
          <cell r="C1059" t="str">
            <v>E</v>
          </cell>
          <cell r="D1059" t="str">
            <v>UT</v>
          </cell>
          <cell r="E1059" t="str">
            <v>24</v>
          </cell>
        </row>
        <row r="1060">
          <cell r="A1060" t="str">
            <v>ESTIMADOR DE ASTILLEROS</v>
          </cell>
          <cell r="B1060" t="str">
            <v>46960</v>
          </cell>
          <cell r="C1060" t="str">
            <v>E</v>
          </cell>
          <cell r="D1060" t="str">
            <v>UT</v>
          </cell>
          <cell r="E1060" t="str">
            <v>19</v>
          </cell>
        </row>
        <row r="1061">
          <cell r="A1061" t="str">
            <v>EXAMINADOR AUXILIADOR DE BANCO</v>
          </cell>
          <cell r="B1061" t="str">
            <v>25810</v>
          </cell>
          <cell r="C1061" t="str">
            <v>E</v>
          </cell>
          <cell r="D1061" t="str">
            <v>UT</v>
          </cell>
          <cell r="E1061" t="str">
            <v>16</v>
          </cell>
        </row>
        <row r="1062">
          <cell r="A1062" t="str">
            <v>EXAMINADOR DE BANCOS I</v>
          </cell>
          <cell r="B1062" t="str">
            <v>25821</v>
          </cell>
          <cell r="C1062" t="str">
            <v>E</v>
          </cell>
          <cell r="D1062" t="str">
            <v>UT</v>
          </cell>
          <cell r="E1062" t="str">
            <v>18</v>
          </cell>
        </row>
        <row r="1063">
          <cell r="A1063" t="str">
            <v>EXAMINADOR DE BANCOS II</v>
          </cell>
          <cell r="B1063" t="str">
            <v>25822</v>
          </cell>
          <cell r="C1063" t="str">
            <v>E</v>
          </cell>
          <cell r="D1063" t="str">
            <v>UT</v>
          </cell>
          <cell r="E1063" t="str">
            <v>20</v>
          </cell>
        </row>
        <row r="1064">
          <cell r="A1064" t="str">
            <v>EXAMINADOR DE BANCOS III</v>
          </cell>
          <cell r="B1064" t="str">
            <v>25823</v>
          </cell>
          <cell r="C1064" t="str">
            <v>E</v>
          </cell>
          <cell r="D1064" t="str">
            <v>UT</v>
          </cell>
          <cell r="E1064" t="str">
            <v>22</v>
          </cell>
        </row>
        <row r="1065">
          <cell r="A1065" t="str">
            <v>EXAMINADOR DE BANCOS IV</v>
          </cell>
          <cell r="B1065" t="str">
            <v>25824</v>
          </cell>
          <cell r="C1065" t="str">
            <v>E</v>
          </cell>
          <cell r="D1065" t="str">
            <v>UT</v>
          </cell>
          <cell r="E1065" t="str">
            <v>23</v>
          </cell>
        </row>
        <row r="1066">
          <cell r="A1066" t="str">
            <v>EXAMINADOR DE BANCOS JEFE</v>
          </cell>
          <cell r="B1066" t="str">
            <v>25830</v>
          </cell>
          <cell r="C1066" t="str">
            <v>E</v>
          </cell>
          <cell r="D1066" t="str">
            <v>UT</v>
          </cell>
          <cell r="E1066" t="str">
            <v>26</v>
          </cell>
        </row>
        <row r="1067">
          <cell r="A1067" t="str">
            <v>EXAMINADOR DE BANCOS V</v>
          </cell>
          <cell r="B1067" t="str">
            <v>25825</v>
          </cell>
          <cell r="C1067" t="str">
            <v>E</v>
          </cell>
          <cell r="D1067" t="str">
            <v>UT</v>
          </cell>
          <cell r="E1067" t="str">
            <v>25</v>
          </cell>
        </row>
        <row r="1068">
          <cell r="A1068" t="str">
            <v>EXPENDEDOR DE ESPECIES FISCALES I</v>
          </cell>
          <cell r="B1068" t="str">
            <v>21641</v>
          </cell>
          <cell r="C1068" t="str">
            <v>E</v>
          </cell>
          <cell r="D1068" t="str">
            <v>AD</v>
          </cell>
          <cell r="E1068" t="str">
            <v>02</v>
          </cell>
        </row>
        <row r="1069">
          <cell r="A1069" t="str">
            <v>EXPENDEDOR DE ESPECIES FISCALES II</v>
          </cell>
          <cell r="B1069" t="str">
            <v>21642</v>
          </cell>
          <cell r="C1069" t="str">
            <v>E</v>
          </cell>
          <cell r="D1069" t="str">
            <v>AD</v>
          </cell>
          <cell r="E1069" t="str">
            <v>03</v>
          </cell>
        </row>
        <row r="1070">
          <cell r="A1070" t="str">
            <v>FAGOT</v>
          </cell>
          <cell r="B1070" t="str">
            <v>03619</v>
          </cell>
          <cell r="C1070" t="str">
            <v>E</v>
          </cell>
          <cell r="D1070" t="str">
            <v>AD</v>
          </cell>
          <cell r="E1070" t="str">
            <v>01</v>
          </cell>
        </row>
        <row r="1071">
          <cell r="A1071" t="str">
            <v>FAGOT 1</v>
          </cell>
          <cell r="B1071" t="str">
            <v>03542</v>
          </cell>
          <cell r="C1071" t="str">
            <v>E</v>
          </cell>
          <cell r="D1071" t="str">
            <v>AD</v>
          </cell>
          <cell r="E1071" t="str">
            <v>01</v>
          </cell>
        </row>
        <row r="1072">
          <cell r="A1072" t="str">
            <v>FAGOT 2</v>
          </cell>
          <cell r="B1072" t="str">
            <v>03568</v>
          </cell>
          <cell r="C1072" t="str">
            <v>E</v>
          </cell>
          <cell r="D1072" t="str">
            <v>AD</v>
          </cell>
          <cell r="E1072" t="str">
            <v>01</v>
          </cell>
        </row>
        <row r="1073">
          <cell r="A1073" t="str">
            <v>FARMACEUTICO I</v>
          </cell>
          <cell r="B1073" t="str">
            <v>74211</v>
          </cell>
          <cell r="C1073" t="str">
            <v>E</v>
          </cell>
          <cell r="D1073" t="str">
            <v>UT</v>
          </cell>
          <cell r="E1073" t="str">
            <v>17</v>
          </cell>
        </row>
        <row r="1074">
          <cell r="A1074" t="str">
            <v>FARMACEUTICO II</v>
          </cell>
          <cell r="B1074" t="str">
            <v>74212</v>
          </cell>
          <cell r="C1074" t="str">
            <v>E</v>
          </cell>
          <cell r="D1074" t="str">
            <v>UT</v>
          </cell>
          <cell r="E1074" t="str">
            <v>19</v>
          </cell>
        </row>
        <row r="1075">
          <cell r="A1075" t="str">
            <v>FARMACEUTICO III</v>
          </cell>
          <cell r="B1075" t="str">
            <v>74213</v>
          </cell>
          <cell r="C1075" t="str">
            <v>E</v>
          </cell>
          <cell r="D1075" t="str">
            <v>UT</v>
          </cell>
          <cell r="E1075" t="str">
            <v>20</v>
          </cell>
        </row>
        <row r="1076">
          <cell r="A1076" t="str">
            <v>FARMACEUTICO JEFE I</v>
          </cell>
          <cell r="B1076" t="str">
            <v>74221</v>
          </cell>
          <cell r="C1076" t="str">
            <v>E</v>
          </cell>
          <cell r="D1076" t="str">
            <v>UT</v>
          </cell>
          <cell r="E1076" t="str">
            <v>22</v>
          </cell>
        </row>
        <row r="1077">
          <cell r="A1077" t="str">
            <v>FARMACEUTICO JEFE II</v>
          </cell>
          <cell r="B1077" t="str">
            <v>74222</v>
          </cell>
          <cell r="C1077" t="str">
            <v>E</v>
          </cell>
          <cell r="D1077" t="str">
            <v>UT</v>
          </cell>
          <cell r="E1077" t="str">
            <v>23</v>
          </cell>
        </row>
        <row r="1078">
          <cell r="A1078" t="str">
            <v>FARMACOLOGO I</v>
          </cell>
          <cell r="B1078" t="str">
            <v>74231</v>
          </cell>
          <cell r="C1078" t="str">
            <v>E</v>
          </cell>
          <cell r="D1078" t="str">
            <v>UT</v>
          </cell>
          <cell r="E1078" t="str">
            <v>19</v>
          </cell>
        </row>
        <row r="1079">
          <cell r="A1079" t="str">
            <v>FARMACOLOGO II</v>
          </cell>
          <cell r="B1079" t="str">
            <v>74232</v>
          </cell>
          <cell r="C1079" t="str">
            <v>E</v>
          </cell>
          <cell r="D1079" t="str">
            <v>UT</v>
          </cell>
          <cell r="E1079" t="str">
            <v>20</v>
          </cell>
        </row>
        <row r="1080">
          <cell r="A1080" t="str">
            <v>FARMACOLOGO III</v>
          </cell>
          <cell r="B1080" t="str">
            <v>74233</v>
          </cell>
          <cell r="C1080" t="str">
            <v>E</v>
          </cell>
          <cell r="D1080" t="str">
            <v>UT</v>
          </cell>
          <cell r="E1080" t="str">
            <v>21</v>
          </cell>
        </row>
        <row r="1081">
          <cell r="A1081" t="str">
            <v>FARMACOLOGO JEFE</v>
          </cell>
          <cell r="B1081" t="str">
            <v>74240</v>
          </cell>
          <cell r="C1081" t="str">
            <v>E</v>
          </cell>
          <cell r="D1081" t="str">
            <v>UT</v>
          </cell>
          <cell r="E1081" t="str">
            <v>22</v>
          </cell>
        </row>
        <row r="1082">
          <cell r="A1082" t="str">
            <v>FISCAL DE BIENES COMERCIALES</v>
          </cell>
          <cell r="B1082" t="str">
            <v>25710</v>
          </cell>
          <cell r="C1082" t="str">
            <v>E</v>
          </cell>
          <cell r="D1082" t="str">
            <v>AD</v>
          </cell>
          <cell r="E1082" t="str">
            <v>01</v>
          </cell>
        </row>
        <row r="1083">
          <cell r="A1083" t="str">
            <v>FISCAL DE COTIZACIONES I</v>
          </cell>
          <cell r="B1083" t="str">
            <v>21651</v>
          </cell>
          <cell r="C1083" t="str">
            <v>E</v>
          </cell>
          <cell r="D1083" t="str">
            <v>UT</v>
          </cell>
          <cell r="E1083" t="str">
            <v>16</v>
          </cell>
        </row>
        <row r="1084">
          <cell r="A1084" t="str">
            <v>FISCAL DE COTIZACIONES II</v>
          </cell>
          <cell r="B1084" t="str">
            <v>21652</v>
          </cell>
          <cell r="C1084" t="str">
            <v>E</v>
          </cell>
          <cell r="D1084" t="str">
            <v>UT</v>
          </cell>
          <cell r="E1084" t="str">
            <v>18</v>
          </cell>
        </row>
        <row r="1085">
          <cell r="A1085" t="str">
            <v>FISCAL DE EMPRESAS</v>
          </cell>
          <cell r="B1085" t="str">
            <v>21380</v>
          </cell>
          <cell r="C1085" t="str">
            <v>E</v>
          </cell>
          <cell r="D1085" t="str">
            <v>AD</v>
          </cell>
          <cell r="E1085" t="str">
            <v>01</v>
          </cell>
        </row>
        <row r="1086">
          <cell r="A1086" t="str">
            <v>FISCAL DE OBRAS I</v>
          </cell>
          <cell r="B1086" t="str">
            <v>10006</v>
          </cell>
          <cell r="C1086" t="str">
            <v>E</v>
          </cell>
          <cell r="D1086" t="str">
            <v>UT</v>
          </cell>
          <cell r="E1086" t="str">
            <v>15</v>
          </cell>
        </row>
        <row r="1087">
          <cell r="A1087" t="str">
            <v>FISCAL DE PREVENSION Y VIGILANCIA I</v>
          </cell>
          <cell r="B1087" t="str">
            <v>51351</v>
          </cell>
          <cell r="C1087" t="str">
            <v>E</v>
          </cell>
          <cell r="D1087" t="str">
            <v>AD</v>
          </cell>
          <cell r="E1087" t="str">
            <v>02</v>
          </cell>
        </row>
        <row r="1088">
          <cell r="A1088" t="str">
            <v>FISCAL DE PREVENSION Y VIGILANCIA II</v>
          </cell>
          <cell r="B1088" t="str">
            <v>51352</v>
          </cell>
          <cell r="C1088" t="str">
            <v>E</v>
          </cell>
          <cell r="D1088" t="str">
            <v>AD</v>
          </cell>
          <cell r="E1088" t="str">
            <v>03</v>
          </cell>
        </row>
        <row r="1089">
          <cell r="A1089" t="str">
            <v>FISCAL DE PREVENSION Y VIGILANCIA JEFE</v>
          </cell>
          <cell r="B1089" t="str">
            <v>51360</v>
          </cell>
          <cell r="C1089" t="str">
            <v>E</v>
          </cell>
          <cell r="D1089" t="str">
            <v>AD</v>
          </cell>
          <cell r="E1089" t="str">
            <v>05</v>
          </cell>
        </row>
        <row r="1090">
          <cell r="A1090" t="str">
            <v>FISCAL DE RENTAS I</v>
          </cell>
          <cell r="B1090" t="str">
            <v>21321</v>
          </cell>
          <cell r="C1090" t="str">
            <v>E</v>
          </cell>
          <cell r="D1090" t="str">
            <v>UT</v>
          </cell>
          <cell r="E1090" t="str">
            <v>16</v>
          </cell>
        </row>
        <row r="1091">
          <cell r="A1091" t="str">
            <v>FISCAL DE RENTAS II</v>
          </cell>
          <cell r="B1091" t="str">
            <v>21322</v>
          </cell>
          <cell r="C1091" t="str">
            <v>E</v>
          </cell>
          <cell r="D1091" t="str">
            <v>UT</v>
          </cell>
          <cell r="E1091" t="str">
            <v>18</v>
          </cell>
        </row>
        <row r="1092">
          <cell r="A1092" t="str">
            <v>FISCAL DE RENTAS III</v>
          </cell>
          <cell r="B1092" t="str">
            <v>21323</v>
          </cell>
          <cell r="C1092" t="str">
            <v>E</v>
          </cell>
          <cell r="D1092" t="str">
            <v>UT</v>
          </cell>
          <cell r="E1092" t="str">
            <v>20</v>
          </cell>
        </row>
        <row r="1093">
          <cell r="A1093" t="str">
            <v>FISCAL DE RENTAS IV</v>
          </cell>
          <cell r="B1093" t="str">
            <v>21324</v>
          </cell>
          <cell r="C1093" t="str">
            <v>E</v>
          </cell>
          <cell r="D1093" t="str">
            <v>UT</v>
          </cell>
          <cell r="E1093" t="str">
            <v>22</v>
          </cell>
        </row>
        <row r="1094">
          <cell r="A1094" t="str">
            <v>FISCAL DE RENTAS JEFE</v>
          </cell>
          <cell r="B1094" t="str">
            <v>21335</v>
          </cell>
          <cell r="C1094" t="str">
            <v>E</v>
          </cell>
          <cell r="D1094" t="str">
            <v>UT</v>
          </cell>
          <cell r="E1094" t="str">
            <v>26</v>
          </cell>
        </row>
        <row r="1095">
          <cell r="A1095" t="str">
            <v>FISCAL DE RENTAS V</v>
          </cell>
          <cell r="B1095" t="str">
            <v>21325</v>
          </cell>
          <cell r="C1095" t="str">
            <v>E</v>
          </cell>
          <cell r="D1095" t="str">
            <v>UT</v>
          </cell>
          <cell r="E1095" t="str">
            <v>24</v>
          </cell>
        </row>
        <row r="1096">
          <cell r="A1096" t="str">
            <v>FISCAL TECNICO I</v>
          </cell>
          <cell r="B1096" t="str">
            <v>21371</v>
          </cell>
          <cell r="C1096" t="str">
            <v>E</v>
          </cell>
          <cell r="D1096" t="str">
            <v>UT</v>
          </cell>
          <cell r="E1096" t="str">
            <v>18</v>
          </cell>
        </row>
        <row r="1097">
          <cell r="A1097" t="str">
            <v>FISCAL TECNICO II</v>
          </cell>
          <cell r="B1097" t="str">
            <v>21372</v>
          </cell>
          <cell r="C1097" t="str">
            <v>E</v>
          </cell>
          <cell r="D1097" t="str">
            <v>UT</v>
          </cell>
          <cell r="E1097" t="str">
            <v>20</v>
          </cell>
        </row>
        <row r="1098">
          <cell r="A1098" t="str">
            <v>FISCAL TECNICO III</v>
          </cell>
          <cell r="B1098" t="str">
            <v>21373</v>
          </cell>
          <cell r="C1098" t="str">
            <v>E</v>
          </cell>
          <cell r="D1098" t="str">
            <v>UT</v>
          </cell>
          <cell r="E1098" t="str">
            <v>22</v>
          </cell>
        </row>
        <row r="1099">
          <cell r="A1099" t="str">
            <v>FISCAL TECNICO JEFE</v>
          </cell>
          <cell r="B1099" t="str">
            <v>21375</v>
          </cell>
          <cell r="C1099" t="str">
            <v>E</v>
          </cell>
          <cell r="D1099" t="str">
            <v>UT</v>
          </cell>
          <cell r="E1099" t="str">
            <v>24</v>
          </cell>
        </row>
        <row r="1100">
          <cell r="A1100" t="str">
            <v>FISIOTERAPEUTA I</v>
          </cell>
          <cell r="B1100" t="str">
            <v>72531</v>
          </cell>
          <cell r="C1100" t="str">
            <v>E</v>
          </cell>
          <cell r="D1100" t="str">
            <v>UT</v>
          </cell>
          <cell r="E1100" t="str">
            <v>15</v>
          </cell>
        </row>
        <row r="1101">
          <cell r="A1101" t="str">
            <v>FISIOTERAPEUTA II</v>
          </cell>
          <cell r="B1101" t="str">
            <v>75532</v>
          </cell>
          <cell r="C1101" t="str">
            <v>E</v>
          </cell>
          <cell r="D1101" t="str">
            <v>UT</v>
          </cell>
          <cell r="E1101" t="str">
            <v>17</v>
          </cell>
        </row>
        <row r="1102">
          <cell r="A1102" t="str">
            <v>FISIOTERAPEUTA III</v>
          </cell>
          <cell r="B1102" t="str">
            <v>72533</v>
          </cell>
          <cell r="C1102" t="str">
            <v>E</v>
          </cell>
          <cell r="D1102" t="str">
            <v>UT</v>
          </cell>
          <cell r="E1102" t="str">
            <v>19</v>
          </cell>
        </row>
        <row r="1103">
          <cell r="A1103" t="str">
            <v>FISIOTERAPEUTA IV</v>
          </cell>
          <cell r="B1103" t="str">
            <v>72534</v>
          </cell>
          <cell r="C1103" t="str">
            <v>E</v>
          </cell>
          <cell r="D1103" t="str">
            <v>UT</v>
          </cell>
          <cell r="E1103" t="str">
            <v>21</v>
          </cell>
        </row>
        <row r="1104">
          <cell r="A1104" t="str">
            <v>FLAUTA 1</v>
          </cell>
          <cell r="B1104" t="str">
            <v>03538</v>
          </cell>
          <cell r="C1104" t="str">
            <v>E</v>
          </cell>
          <cell r="D1104" t="str">
            <v>AD</v>
          </cell>
          <cell r="E1104" t="str">
            <v>01</v>
          </cell>
        </row>
        <row r="1105">
          <cell r="A1105" t="str">
            <v>FLAUTA 2</v>
          </cell>
          <cell r="B1105" t="str">
            <v>03564</v>
          </cell>
          <cell r="C1105" t="str">
            <v>E</v>
          </cell>
          <cell r="D1105" t="str">
            <v>AD</v>
          </cell>
          <cell r="E1105" t="str">
            <v>01</v>
          </cell>
        </row>
        <row r="1106">
          <cell r="A1106" t="str">
            <v>FLAUTA 2/ INSTRUCTOR I 16HRS</v>
          </cell>
          <cell r="B1106" t="str">
            <v>40145</v>
          </cell>
          <cell r="C1106" t="str">
            <v>E</v>
          </cell>
          <cell r="D1106" t="str">
            <v>DO</v>
          </cell>
          <cell r="E1106" t="str">
            <v/>
          </cell>
        </row>
        <row r="1107">
          <cell r="A1107" t="str">
            <v>FLAUTA I</v>
          </cell>
          <cell r="B1107" t="str">
            <v>02080</v>
          </cell>
          <cell r="C1107" t="str">
            <v>E</v>
          </cell>
          <cell r="D1107" t="str">
            <v>DO</v>
          </cell>
          <cell r="E1107" t="str">
            <v/>
          </cell>
        </row>
        <row r="1108">
          <cell r="A1108" t="str">
            <v>FORMADOR DE INSTRUCTORES</v>
          </cell>
          <cell r="B1108" t="str">
            <v>17510</v>
          </cell>
          <cell r="C1108" t="str">
            <v>E</v>
          </cell>
          <cell r="D1108" t="str">
            <v>UT</v>
          </cell>
          <cell r="E1108" t="str">
            <v>19</v>
          </cell>
        </row>
        <row r="1109">
          <cell r="A1109" t="str">
            <v>FORMAS MUSICALES</v>
          </cell>
          <cell r="B1109" t="str">
            <v>02083</v>
          </cell>
          <cell r="C1109" t="str">
            <v>E</v>
          </cell>
          <cell r="D1109" t="str">
            <v>DO</v>
          </cell>
          <cell r="E1109" t="str">
            <v/>
          </cell>
        </row>
        <row r="1110">
          <cell r="A1110" t="str">
            <v>FOTOGRAFO ARTISTICO I</v>
          </cell>
          <cell r="B1110" t="str">
            <v>37711</v>
          </cell>
          <cell r="C1110" t="str">
            <v>E</v>
          </cell>
          <cell r="D1110" t="str">
            <v>AD</v>
          </cell>
          <cell r="E1110" t="str">
            <v>03</v>
          </cell>
        </row>
        <row r="1111">
          <cell r="A1111" t="str">
            <v>FOTOGRAFO ARTISTICO II</v>
          </cell>
          <cell r="B1111" t="str">
            <v>37712</v>
          </cell>
          <cell r="C1111" t="str">
            <v>E</v>
          </cell>
          <cell r="D1111" t="str">
            <v>AD</v>
          </cell>
          <cell r="E1111" t="str">
            <v>05</v>
          </cell>
        </row>
        <row r="1112">
          <cell r="A1112" t="str">
            <v>FOTOGRAFO I</v>
          </cell>
          <cell r="B1112" t="str">
            <v>45251</v>
          </cell>
          <cell r="C1112" t="str">
            <v>E</v>
          </cell>
          <cell r="D1112" t="str">
            <v>AD</v>
          </cell>
          <cell r="E1112" t="str">
            <v>01</v>
          </cell>
        </row>
        <row r="1113">
          <cell r="A1113" t="str">
            <v>FOTOGRAFO II</v>
          </cell>
          <cell r="B1113" t="str">
            <v>45252</v>
          </cell>
          <cell r="C1113" t="str">
            <v>E</v>
          </cell>
          <cell r="D1113" t="str">
            <v>AD</v>
          </cell>
          <cell r="E1113" t="str">
            <v>03</v>
          </cell>
        </row>
        <row r="1114">
          <cell r="A1114" t="str">
            <v>FOTOGRAFO III</v>
          </cell>
          <cell r="B1114" t="str">
            <v>45253</v>
          </cell>
          <cell r="C1114" t="str">
            <v>E</v>
          </cell>
          <cell r="D1114" t="str">
            <v>UT</v>
          </cell>
          <cell r="E1114" t="str">
            <v>17</v>
          </cell>
        </row>
        <row r="1115">
          <cell r="A1115" t="str">
            <v>FOTOGRAFO IV</v>
          </cell>
          <cell r="B1115" t="str">
            <v>45254</v>
          </cell>
          <cell r="C1115" t="str">
            <v>E</v>
          </cell>
          <cell r="D1115" t="str">
            <v>UT</v>
          </cell>
          <cell r="E1115" t="str">
            <v>18</v>
          </cell>
        </row>
        <row r="1116">
          <cell r="A1116" t="str">
            <v>FOTOGRAMETRISTA I</v>
          </cell>
          <cell r="B1116" t="str">
            <v>45281</v>
          </cell>
          <cell r="C1116" t="str">
            <v>E</v>
          </cell>
          <cell r="D1116" t="str">
            <v>AD</v>
          </cell>
          <cell r="E1116" t="str">
            <v>02</v>
          </cell>
        </row>
        <row r="1117">
          <cell r="A1117" t="str">
            <v>FOTOGRAMETRISTA II</v>
          </cell>
          <cell r="B1117" t="str">
            <v>45282</v>
          </cell>
          <cell r="C1117" t="str">
            <v>E</v>
          </cell>
          <cell r="D1117" t="str">
            <v>AD</v>
          </cell>
          <cell r="E1117" t="str">
            <v>04</v>
          </cell>
        </row>
        <row r="1118">
          <cell r="A1118" t="str">
            <v>FOTOGRAMETRISTA III</v>
          </cell>
          <cell r="B1118" t="str">
            <v>45283</v>
          </cell>
          <cell r="C1118" t="str">
            <v>E</v>
          </cell>
          <cell r="D1118" t="str">
            <v>AD</v>
          </cell>
          <cell r="E1118" t="str">
            <v>06</v>
          </cell>
        </row>
        <row r="1119">
          <cell r="A1119" t="str">
            <v>FOTOGRAMETRISTA IV</v>
          </cell>
          <cell r="B1119" t="str">
            <v>45284</v>
          </cell>
          <cell r="C1119" t="str">
            <v>E</v>
          </cell>
          <cell r="D1119" t="str">
            <v>AD</v>
          </cell>
          <cell r="E1119" t="str">
            <v>08</v>
          </cell>
        </row>
        <row r="1120">
          <cell r="A1120" t="str">
            <v>FOTOGRAMETRISTA JEFE</v>
          </cell>
          <cell r="B1120" t="str">
            <v>45290</v>
          </cell>
          <cell r="C1120" t="str">
            <v>E</v>
          </cell>
          <cell r="D1120" t="str">
            <v>AD</v>
          </cell>
          <cell r="E1120" t="str">
            <v>10</v>
          </cell>
        </row>
        <row r="1121">
          <cell r="A1121" t="str">
            <v>GEMOLOGO I</v>
          </cell>
          <cell r="B1121" t="str">
            <v>44381</v>
          </cell>
          <cell r="C1121" t="str">
            <v>E</v>
          </cell>
          <cell r="D1121" t="str">
            <v>AD</v>
          </cell>
          <cell r="E1121" t="str">
            <v>05</v>
          </cell>
        </row>
        <row r="1122">
          <cell r="A1122" t="str">
            <v>GEMOLOGO II</v>
          </cell>
          <cell r="B1122" t="str">
            <v>44382</v>
          </cell>
          <cell r="C1122" t="str">
            <v>E</v>
          </cell>
          <cell r="D1122" t="str">
            <v>AD</v>
          </cell>
          <cell r="E1122" t="str">
            <v>07</v>
          </cell>
        </row>
        <row r="1123">
          <cell r="A1123" t="str">
            <v>GEOGRAFO I</v>
          </cell>
          <cell r="B1123" t="str">
            <v>36511</v>
          </cell>
          <cell r="C1123" t="str">
            <v>E</v>
          </cell>
          <cell r="D1123" t="str">
            <v>UT</v>
          </cell>
          <cell r="E1123" t="str">
            <v>17</v>
          </cell>
        </row>
        <row r="1124">
          <cell r="A1124" t="str">
            <v>GEOGRAFO II</v>
          </cell>
          <cell r="B1124" t="str">
            <v>36512</v>
          </cell>
          <cell r="C1124" t="str">
            <v>E</v>
          </cell>
          <cell r="D1124" t="str">
            <v>UT</v>
          </cell>
          <cell r="E1124" t="str">
            <v>19</v>
          </cell>
        </row>
        <row r="1125">
          <cell r="A1125" t="str">
            <v>GEOGRAFO III</v>
          </cell>
          <cell r="B1125" t="str">
            <v>36513</v>
          </cell>
          <cell r="C1125" t="str">
            <v>E</v>
          </cell>
          <cell r="D1125" t="str">
            <v>UT</v>
          </cell>
          <cell r="E1125" t="str">
            <v>21</v>
          </cell>
        </row>
        <row r="1126">
          <cell r="A1126" t="str">
            <v>GEOLOGO I</v>
          </cell>
          <cell r="B1126" t="str">
            <v>44341</v>
          </cell>
          <cell r="C1126" t="str">
            <v>E</v>
          </cell>
          <cell r="D1126" t="str">
            <v>UT</v>
          </cell>
          <cell r="E1126" t="str">
            <v>18</v>
          </cell>
        </row>
        <row r="1127">
          <cell r="A1127" t="str">
            <v>GEOLOGO II</v>
          </cell>
          <cell r="B1127" t="str">
            <v>44342</v>
          </cell>
          <cell r="C1127" t="str">
            <v>E</v>
          </cell>
          <cell r="D1127" t="str">
            <v>UT</v>
          </cell>
          <cell r="E1127" t="str">
            <v>19</v>
          </cell>
        </row>
        <row r="1128">
          <cell r="A1128" t="str">
            <v>GEOLOGO III</v>
          </cell>
          <cell r="B1128" t="str">
            <v>44343</v>
          </cell>
          <cell r="C1128" t="str">
            <v>E</v>
          </cell>
          <cell r="D1128" t="str">
            <v>UT</v>
          </cell>
          <cell r="E1128" t="str">
            <v>21</v>
          </cell>
        </row>
        <row r="1129">
          <cell r="A1129" t="str">
            <v>GEOLOGO JEFE I</v>
          </cell>
          <cell r="B1129" t="str">
            <v>44351</v>
          </cell>
          <cell r="C1129" t="str">
            <v>E</v>
          </cell>
          <cell r="D1129" t="str">
            <v>UT</v>
          </cell>
          <cell r="E1129" t="str">
            <v>22</v>
          </cell>
        </row>
        <row r="1130">
          <cell r="A1130" t="str">
            <v>GEOLOGO JEFE II</v>
          </cell>
          <cell r="B1130" t="str">
            <v>44352</v>
          </cell>
          <cell r="C1130" t="str">
            <v>E</v>
          </cell>
          <cell r="D1130" t="str">
            <v>UT</v>
          </cell>
          <cell r="E1130" t="str">
            <v>24</v>
          </cell>
        </row>
        <row r="1131">
          <cell r="A1131" t="str">
            <v>GERENTE</v>
          </cell>
          <cell r="B1131" t="str">
            <v>00932</v>
          </cell>
          <cell r="C1131" t="str">
            <v>E</v>
          </cell>
          <cell r="D1131" t="str">
            <v>DI</v>
          </cell>
          <cell r="E1131" t="str">
            <v>99</v>
          </cell>
        </row>
        <row r="1132">
          <cell r="A1132" t="str">
            <v>GOBERNADOR</v>
          </cell>
          <cell r="B1132" t="str">
            <v>00900</v>
          </cell>
          <cell r="C1132" t="str">
            <v>E</v>
          </cell>
          <cell r="D1132" t="str">
            <v>DI</v>
          </cell>
          <cell r="E1132" t="str">
            <v>99</v>
          </cell>
        </row>
        <row r="1133">
          <cell r="A1133" t="str">
            <v>GUARDAFAUNA I</v>
          </cell>
          <cell r="B1133" t="str">
            <v>42631</v>
          </cell>
          <cell r="C1133" t="str">
            <v>E</v>
          </cell>
          <cell r="D1133" t="str">
            <v>UT</v>
          </cell>
          <cell r="E1133" t="str">
            <v>18</v>
          </cell>
        </row>
        <row r="1134">
          <cell r="A1134" t="str">
            <v>GUARDAFAUNA II</v>
          </cell>
          <cell r="B1134" t="str">
            <v>42632</v>
          </cell>
          <cell r="C1134" t="str">
            <v>E</v>
          </cell>
          <cell r="D1134" t="str">
            <v>UT</v>
          </cell>
          <cell r="E1134" t="str">
            <v>20</v>
          </cell>
        </row>
        <row r="1135">
          <cell r="A1135" t="str">
            <v>GUARDAFAUNA III</v>
          </cell>
          <cell r="B1135" t="str">
            <v>42633</v>
          </cell>
          <cell r="C1135" t="str">
            <v>E</v>
          </cell>
          <cell r="D1135" t="str">
            <v>UT</v>
          </cell>
          <cell r="E1135" t="str">
            <v>22</v>
          </cell>
        </row>
        <row r="1136">
          <cell r="A1136" t="str">
            <v>GUIA DE CENTRO I</v>
          </cell>
          <cell r="B1136" t="str">
            <v>79511</v>
          </cell>
          <cell r="C1136" t="str">
            <v>E</v>
          </cell>
          <cell r="D1136" t="str">
            <v>AD</v>
          </cell>
          <cell r="E1136" t="str">
            <v>02</v>
          </cell>
        </row>
        <row r="1137">
          <cell r="A1137" t="str">
            <v>GUIA DE CENTRO II</v>
          </cell>
          <cell r="B1137" t="str">
            <v>79512</v>
          </cell>
          <cell r="C1137" t="str">
            <v>E</v>
          </cell>
          <cell r="D1137" t="str">
            <v>AD</v>
          </cell>
          <cell r="E1137" t="str">
            <v>04</v>
          </cell>
        </row>
        <row r="1138">
          <cell r="A1138" t="str">
            <v>GUITARRA</v>
          </cell>
          <cell r="B1138" t="str">
            <v>03616</v>
          </cell>
          <cell r="C1138" t="str">
            <v>E</v>
          </cell>
          <cell r="D1138" t="str">
            <v>AD</v>
          </cell>
          <cell r="E1138" t="str">
            <v>01</v>
          </cell>
        </row>
        <row r="1139">
          <cell r="A1139" t="str">
            <v>HABILITADO I</v>
          </cell>
          <cell r="B1139" t="str">
            <v>21541</v>
          </cell>
          <cell r="C1139" t="str">
            <v>E</v>
          </cell>
          <cell r="D1139" t="str">
            <v>AD</v>
          </cell>
          <cell r="E1139" t="str">
            <v>03</v>
          </cell>
        </row>
        <row r="1140">
          <cell r="A1140" t="str">
            <v>HABILITADO II</v>
          </cell>
          <cell r="B1140" t="str">
            <v>21542</v>
          </cell>
          <cell r="C1140" t="str">
            <v>E</v>
          </cell>
          <cell r="D1140" t="str">
            <v>UT</v>
          </cell>
          <cell r="E1140" t="str">
            <v>17</v>
          </cell>
        </row>
        <row r="1141">
          <cell r="A1141" t="str">
            <v>HABILITADO III</v>
          </cell>
          <cell r="B1141" t="str">
            <v>21543</v>
          </cell>
          <cell r="C1141" t="str">
            <v>E</v>
          </cell>
          <cell r="D1141" t="str">
            <v>UT</v>
          </cell>
          <cell r="E1141" t="str">
            <v>19</v>
          </cell>
        </row>
        <row r="1142">
          <cell r="A1142" t="str">
            <v>HABILITADO IV</v>
          </cell>
          <cell r="B1142" t="str">
            <v>21544</v>
          </cell>
          <cell r="C1142" t="str">
            <v>E</v>
          </cell>
          <cell r="D1142" t="str">
            <v>UT</v>
          </cell>
          <cell r="E1142" t="str">
            <v>20</v>
          </cell>
        </row>
        <row r="1143">
          <cell r="A1143" t="str">
            <v>HABILITADO JEFE</v>
          </cell>
          <cell r="B1143" t="str">
            <v>21550</v>
          </cell>
          <cell r="C1143" t="str">
            <v>E</v>
          </cell>
          <cell r="D1143" t="str">
            <v>UT</v>
          </cell>
          <cell r="E1143" t="str">
            <v>21</v>
          </cell>
        </row>
        <row r="1144">
          <cell r="A1144" t="str">
            <v>HIDROGRAFO I</v>
          </cell>
          <cell r="B1144" t="str">
            <v>43911</v>
          </cell>
          <cell r="C1144" t="str">
            <v>E</v>
          </cell>
          <cell r="D1144" t="str">
            <v>UT</v>
          </cell>
          <cell r="E1144" t="str">
            <v>16</v>
          </cell>
        </row>
        <row r="1145">
          <cell r="A1145" t="str">
            <v>HIDROGRAFO II</v>
          </cell>
          <cell r="B1145" t="str">
            <v>43916</v>
          </cell>
          <cell r="C1145" t="str">
            <v>E</v>
          </cell>
          <cell r="D1145" t="str">
            <v>UT</v>
          </cell>
          <cell r="E1145" t="str">
            <v>18</v>
          </cell>
        </row>
        <row r="1146">
          <cell r="A1146" t="str">
            <v>HIDROGRAFO JEFE</v>
          </cell>
          <cell r="B1146" t="str">
            <v>43920</v>
          </cell>
          <cell r="C1146" t="str">
            <v>E</v>
          </cell>
          <cell r="D1146" t="str">
            <v>UT</v>
          </cell>
          <cell r="E1146" t="str">
            <v>20</v>
          </cell>
        </row>
        <row r="1147">
          <cell r="A1147" t="str">
            <v>HIDROMETEOROLOGISTA I</v>
          </cell>
          <cell r="B1147" t="str">
            <v>43631</v>
          </cell>
          <cell r="C1147" t="str">
            <v>E</v>
          </cell>
          <cell r="D1147" t="str">
            <v>UT</v>
          </cell>
          <cell r="E1147" t="str">
            <v>17</v>
          </cell>
        </row>
        <row r="1148">
          <cell r="A1148" t="str">
            <v>HIDROMETEOROLOGISTA II</v>
          </cell>
          <cell r="B1148" t="str">
            <v>43632</v>
          </cell>
          <cell r="C1148" t="str">
            <v>E</v>
          </cell>
          <cell r="D1148" t="str">
            <v>UT</v>
          </cell>
          <cell r="E1148" t="str">
            <v>18</v>
          </cell>
        </row>
        <row r="1149">
          <cell r="A1149" t="str">
            <v>HIDROMETEOROLOGISTA III</v>
          </cell>
          <cell r="B1149" t="str">
            <v>43633</v>
          </cell>
          <cell r="C1149" t="str">
            <v>E</v>
          </cell>
          <cell r="D1149" t="str">
            <v>UT</v>
          </cell>
          <cell r="E1149" t="str">
            <v>19</v>
          </cell>
        </row>
        <row r="1150">
          <cell r="A1150" t="str">
            <v>HIGIENISTA DENTAL I</v>
          </cell>
          <cell r="B1150" t="str">
            <v>73121</v>
          </cell>
          <cell r="C1150" t="str">
            <v>E</v>
          </cell>
          <cell r="D1150" t="str">
            <v>AD</v>
          </cell>
          <cell r="E1150" t="str">
            <v>01</v>
          </cell>
        </row>
        <row r="1151">
          <cell r="A1151" t="str">
            <v>HIGIENISTA DENTAL II</v>
          </cell>
          <cell r="B1151" t="str">
            <v>73122</v>
          </cell>
          <cell r="C1151" t="str">
            <v>E</v>
          </cell>
          <cell r="D1151" t="str">
            <v>AD</v>
          </cell>
          <cell r="E1151" t="str">
            <v>04</v>
          </cell>
        </row>
        <row r="1152">
          <cell r="A1152" t="str">
            <v>INFORMADOR DE AEROPUERTO I</v>
          </cell>
          <cell r="B1152" t="str">
            <v>51361</v>
          </cell>
          <cell r="C1152" t="str">
            <v>E</v>
          </cell>
          <cell r="D1152" t="str">
            <v>AD</v>
          </cell>
          <cell r="E1152" t="str">
            <v>01</v>
          </cell>
        </row>
        <row r="1153">
          <cell r="A1153" t="str">
            <v>INFORMADOR DE AEROPUERTO II</v>
          </cell>
          <cell r="B1153" t="str">
            <v>51362</v>
          </cell>
          <cell r="C1153" t="str">
            <v>E</v>
          </cell>
          <cell r="D1153" t="str">
            <v>AD</v>
          </cell>
          <cell r="E1153" t="str">
            <v>03</v>
          </cell>
        </row>
        <row r="1154">
          <cell r="A1154" t="str">
            <v>INFORMADOR TURISTICO  I</v>
          </cell>
          <cell r="B1154" t="str">
            <v>71111</v>
          </cell>
          <cell r="C1154" t="str">
            <v>E</v>
          </cell>
          <cell r="D1154" t="str">
            <v>AD</v>
          </cell>
          <cell r="E1154" t="str">
            <v/>
          </cell>
        </row>
        <row r="1155">
          <cell r="A1155" t="str">
            <v>INFORMADOR TURISTICO I</v>
          </cell>
          <cell r="B1155" t="str">
            <v>31521</v>
          </cell>
          <cell r="C1155" t="str">
            <v>E</v>
          </cell>
          <cell r="D1155" t="str">
            <v>AD</v>
          </cell>
          <cell r="E1155" t="str">
            <v>03</v>
          </cell>
        </row>
        <row r="1156">
          <cell r="A1156" t="str">
            <v>INFORMADOR TURISTICO II</v>
          </cell>
          <cell r="B1156" t="str">
            <v>31522</v>
          </cell>
          <cell r="C1156" t="str">
            <v>E</v>
          </cell>
          <cell r="D1156" t="str">
            <v>UT</v>
          </cell>
          <cell r="E1156" t="str">
            <v>15</v>
          </cell>
        </row>
        <row r="1157">
          <cell r="A1157" t="str">
            <v>INFORMADOR TURISTICO III</v>
          </cell>
          <cell r="B1157" t="str">
            <v>31523</v>
          </cell>
          <cell r="C1157" t="str">
            <v>E</v>
          </cell>
          <cell r="D1157" t="str">
            <v>UT</v>
          </cell>
          <cell r="E1157" t="str">
            <v>16</v>
          </cell>
        </row>
        <row r="1158">
          <cell r="A1158" t="str">
            <v>INFORMADOR TURISTICO IV</v>
          </cell>
          <cell r="B1158" t="str">
            <v>31524</v>
          </cell>
          <cell r="C1158" t="str">
            <v>E</v>
          </cell>
          <cell r="D1158" t="str">
            <v>UT</v>
          </cell>
          <cell r="E1158" t="str">
            <v>18</v>
          </cell>
        </row>
        <row r="1159">
          <cell r="A1159" t="str">
            <v>INFORMADOR TURISTICO JEFE</v>
          </cell>
          <cell r="B1159" t="str">
            <v>31530</v>
          </cell>
          <cell r="C1159" t="str">
            <v>E</v>
          </cell>
          <cell r="D1159" t="str">
            <v>UT</v>
          </cell>
          <cell r="E1159" t="str">
            <v>20</v>
          </cell>
        </row>
        <row r="1160">
          <cell r="A1160" t="str">
            <v>INGENIERO AERONAUTICO I</v>
          </cell>
          <cell r="B1160" t="str">
            <v>46411</v>
          </cell>
          <cell r="C1160" t="str">
            <v>E</v>
          </cell>
          <cell r="D1160" t="str">
            <v>UT</v>
          </cell>
          <cell r="E1160" t="str">
            <v>18</v>
          </cell>
        </row>
        <row r="1161">
          <cell r="A1161" t="str">
            <v>INGENIERO AERONAUTICO II</v>
          </cell>
          <cell r="B1161" t="str">
            <v>46412</v>
          </cell>
          <cell r="C1161" t="str">
            <v>E</v>
          </cell>
          <cell r="D1161" t="str">
            <v>UT</v>
          </cell>
          <cell r="E1161" t="str">
            <v>19</v>
          </cell>
        </row>
        <row r="1162">
          <cell r="A1162" t="str">
            <v>INGENIERO AGRICOLA I</v>
          </cell>
          <cell r="B1162" t="str">
            <v>50001</v>
          </cell>
          <cell r="C1162" t="str">
            <v>E</v>
          </cell>
          <cell r="D1162" t="str">
            <v>UT</v>
          </cell>
          <cell r="E1162" t="str">
            <v>18</v>
          </cell>
        </row>
        <row r="1163">
          <cell r="A1163" t="str">
            <v>INGENIERO AGRICOLA II</v>
          </cell>
          <cell r="B1163" t="str">
            <v>50002</v>
          </cell>
          <cell r="C1163" t="str">
            <v>E</v>
          </cell>
          <cell r="D1163" t="str">
            <v>UT</v>
          </cell>
          <cell r="E1163" t="str">
            <v>19</v>
          </cell>
        </row>
        <row r="1164">
          <cell r="A1164" t="str">
            <v>INGENIERO AGRICOLA III</v>
          </cell>
          <cell r="B1164" t="str">
            <v>50003</v>
          </cell>
          <cell r="C1164" t="str">
            <v>E</v>
          </cell>
          <cell r="D1164" t="str">
            <v>UT</v>
          </cell>
          <cell r="E1164" t="str">
            <v>21</v>
          </cell>
        </row>
        <row r="1165">
          <cell r="A1165" t="str">
            <v>INGENIERO AGRICOLA IV</v>
          </cell>
          <cell r="B1165" t="str">
            <v>50004</v>
          </cell>
          <cell r="C1165" t="str">
            <v>E</v>
          </cell>
          <cell r="D1165" t="str">
            <v>UT</v>
          </cell>
          <cell r="E1165" t="str">
            <v>22</v>
          </cell>
        </row>
        <row r="1166">
          <cell r="A1166" t="str">
            <v>INGENIERO AGRICOLA V</v>
          </cell>
          <cell r="B1166" t="str">
            <v>50005</v>
          </cell>
          <cell r="C1166" t="str">
            <v>E</v>
          </cell>
          <cell r="D1166" t="str">
            <v>UT</v>
          </cell>
          <cell r="E1166" t="str">
            <v>23</v>
          </cell>
        </row>
        <row r="1167">
          <cell r="A1167" t="str">
            <v>INGENIERO AGRONOMO I</v>
          </cell>
          <cell r="B1167" t="str">
            <v>41151</v>
          </cell>
          <cell r="C1167" t="str">
            <v>E</v>
          </cell>
          <cell r="D1167" t="str">
            <v>UT</v>
          </cell>
          <cell r="E1167" t="str">
            <v>18</v>
          </cell>
        </row>
        <row r="1168">
          <cell r="A1168" t="str">
            <v>INGENIERO AGRONOMO II</v>
          </cell>
          <cell r="B1168" t="str">
            <v>41152</v>
          </cell>
          <cell r="C1168" t="str">
            <v>E</v>
          </cell>
          <cell r="D1168" t="str">
            <v>UT</v>
          </cell>
          <cell r="E1168" t="str">
            <v>19</v>
          </cell>
        </row>
        <row r="1169">
          <cell r="A1169" t="str">
            <v>INGENIERO AGRONOMO III</v>
          </cell>
          <cell r="B1169" t="str">
            <v>41153</v>
          </cell>
          <cell r="C1169" t="str">
            <v>E</v>
          </cell>
          <cell r="D1169" t="str">
            <v>UT</v>
          </cell>
          <cell r="E1169" t="str">
            <v>21</v>
          </cell>
        </row>
        <row r="1170">
          <cell r="A1170" t="str">
            <v>INGENIERO AGRONOMO IV</v>
          </cell>
          <cell r="B1170" t="str">
            <v>41154</v>
          </cell>
          <cell r="C1170" t="str">
            <v>E</v>
          </cell>
          <cell r="D1170" t="str">
            <v>UT</v>
          </cell>
          <cell r="E1170" t="str">
            <v>22</v>
          </cell>
        </row>
        <row r="1171">
          <cell r="A1171" t="str">
            <v>INGENIERO AGRONOMO JEFE</v>
          </cell>
          <cell r="B1171" t="str">
            <v>41160</v>
          </cell>
          <cell r="C1171" t="str">
            <v>E</v>
          </cell>
          <cell r="D1171" t="str">
            <v>UT</v>
          </cell>
          <cell r="E1171" t="str">
            <v>25</v>
          </cell>
        </row>
        <row r="1172">
          <cell r="A1172" t="str">
            <v>INGENIERO AGRONOMO V</v>
          </cell>
          <cell r="B1172" t="str">
            <v>41155</v>
          </cell>
          <cell r="C1172" t="str">
            <v>E</v>
          </cell>
          <cell r="D1172" t="str">
            <v>UT</v>
          </cell>
          <cell r="E1172" t="str">
            <v>24</v>
          </cell>
        </row>
        <row r="1173">
          <cell r="A1173" t="str">
            <v>INGENIERO CIVIL I</v>
          </cell>
          <cell r="B1173" t="str">
            <v>43421</v>
          </cell>
          <cell r="C1173" t="str">
            <v>E</v>
          </cell>
          <cell r="D1173" t="str">
            <v>UT</v>
          </cell>
          <cell r="E1173" t="str">
            <v>18</v>
          </cell>
        </row>
        <row r="1174">
          <cell r="A1174" t="str">
            <v>INGENIERO CIVIL II</v>
          </cell>
          <cell r="B1174" t="str">
            <v>43422</v>
          </cell>
          <cell r="C1174" t="str">
            <v>E</v>
          </cell>
          <cell r="D1174" t="str">
            <v>UT</v>
          </cell>
          <cell r="E1174" t="str">
            <v>19</v>
          </cell>
        </row>
        <row r="1175">
          <cell r="A1175" t="str">
            <v>INGENIERO CIVIL III</v>
          </cell>
          <cell r="B1175" t="str">
            <v>43423</v>
          </cell>
          <cell r="C1175" t="str">
            <v>E</v>
          </cell>
          <cell r="D1175" t="str">
            <v>UT</v>
          </cell>
          <cell r="E1175" t="str">
            <v>21</v>
          </cell>
        </row>
        <row r="1176">
          <cell r="A1176" t="str">
            <v>INGENIERO CIVIL JEFE I</v>
          </cell>
          <cell r="B1176" t="str">
            <v>43431</v>
          </cell>
          <cell r="C1176" t="str">
            <v>E</v>
          </cell>
          <cell r="D1176" t="str">
            <v>UT</v>
          </cell>
          <cell r="E1176" t="str">
            <v>22</v>
          </cell>
        </row>
        <row r="1177">
          <cell r="A1177" t="str">
            <v>INGENIERO CIVIL JEFE II</v>
          </cell>
          <cell r="B1177" t="str">
            <v>43432</v>
          </cell>
          <cell r="C1177" t="str">
            <v>E</v>
          </cell>
          <cell r="D1177" t="str">
            <v>UT</v>
          </cell>
          <cell r="E1177" t="str">
            <v>24</v>
          </cell>
        </row>
        <row r="1178">
          <cell r="A1178" t="str">
            <v>INGENIERO CIVIL JEFE III</v>
          </cell>
          <cell r="B1178" t="str">
            <v>43433</v>
          </cell>
          <cell r="C1178" t="str">
            <v>E</v>
          </cell>
          <cell r="D1178" t="str">
            <v>UT</v>
          </cell>
          <cell r="E1178" t="str">
            <v>25</v>
          </cell>
        </row>
        <row r="1179">
          <cell r="A1179" t="str">
            <v>INGENIERO DE GAS I</v>
          </cell>
          <cell r="B1179" t="str">
            <v>50015</v>
          </cell>
          <cell r="C1179" t="str">
            <v>E</v>
          </cell>
          <cell r="D1179" t="str">
            <v>UT</v>
          </cell>
          <cell r="E1179" t="str">
            <v>18</v>
          </cell>
        </row>
        <row r="1180">
          <cell r="A1180" t="str">
            <v>INGENIERO DE MINA I</v>
          </cell>
          <cell r="B1180" t="str">
            <v>44411</v>
          </cell>
          <cell r="C1180" t="str">
            <v>E</v>
          </cell>
          <cell r="D1180" t="str">
            <v>UT</v>
          </cell>
          <cell r="E1180" t="str">
            <v>18</v>
          </cell>
        </row>
        <row r="1181">
          <cell r="A1181" t="str">
            <v>INGENIERO DE MINAS II</v>
          </cell>
          <cell r="B1181" t="str">
            <v>44412</v>
          </cell>
          <cell r="C1181" t="str">
            <v>E</v>
          </cell>
          <cell r="D1181" t="str">
            <v>UT</v>
          </cell>
          <cell r="E1181" t="str">
            <v>19</v>
          </cell>
        </row>
        <row r="1182">
          <cell r="A1182" t="str">
            <v>INGENIERO DE MINAS III</v>
          </cell>
          <cell r="B1182" t="str">
            <v>44413</v>
          </cell>
          <cell r="C1182" t="str">
            <v>E</v>
          </cell>
          <cell r="D1182" t="str">
            <v>UT</v>
          </cell>
          <cell r="E1182" t="str">
            <v>21</v>
          </cell>
        </row>
        <row r="1183">
          <cell r="A1183" t="str">
            <v>INGENIERO DE MINAS JEFE I</v>
          </cell>
          <cell r="B1183" t="str">
            <v>44421</v>
          </cell>
          <cell r="C1183" t="str">
            <v>E</v>
          </cell>
          <cell r="D1183" t="str">
            <v>UT</v>
          </cell>
          <cell r="E1183" t="str">
            <v>22</v>
          </cell>
        </row>
        <row r="1184">
          <cell r="A1184" t="str">
            <v>INGENIERO DE MINAS JEFE II</v>
          </cell>
          <cell r="B1184" t="str">
            <v>44422</v>
          </cell>
          <cell r="C1184" t="str">
            <v>E</v>
          </cell>
          <cell r="D1184" t="str">
            <v>UT</v>
          </cell>
          <cell r="E1184" t="str">
            <v>24</v>
          </cell>
        </row>
        <row r="1185">
          <cell r="A1185" t="str">
            <v>INGENIERO ELECTRICISTA I</v>
          </cell>
          <cell r="B1185" t="str">
            <v>46511</v>
          </cell>
          <cell r="C1185" t="str">
            <v>E</v>
          </cell>
          <cell r="D1185" t="str">
            <v>UT</v>
          </cell>
          <cell r="E1185" t="str">
            <v>18</v>
          </cell>
        </row>
        <row r="1186">
          <cell r="A1186" t="str">
            <v>INGENIERO ELECTRICISTA II</v>
          </cell>
          <cell r="B1186" t="str">
            <v>46512</v>
          </cell>
          <cell r="C1186" t="str">
            <v>E</v>
          </cell>
          <cell r="D1186" t="str">
            <v>UT</v>
          </cell>
          <cell r="E1186" t="str">
            <v>19</v>
          </cell>
        </row>
        <row r="1187">
          <cell r="A1187" t="str">
            <v>INGENIERO ELECTRICISTA III</v>
          </cell>
          <cell r="B1187" t="str">
            <v>46513</v>
          </cell>
          <cell r="C1187" t="str">
            <v>E</v>
          </cell>
          <cell r="D1187" t="str">
            <v>UT</v>
          </cell>
          <cell r="E1187" t="str">
            <v>21</v>
          </cell>
        </row>
        <row r="1188">
          <cell r="A1188" t="str">
            <v>INGENIERO ELECTRICISTA JEFE</v>
          </cell>
          <cell r="B1188" t="str">
            <v>46520</v>
          </cell>
          <cell r="C1188" t="str">
            <v>E</v>
          </cell>
          <cell r="D1188" t="str">
            <v>UT</v>
          </cell>
          <cell r="E1188" t="str">
            <v>22</v>
          </cell>
        </row>
        <row r="1189">
          <cell r="A1189" t="str">
            <v>INGENIERO EN AGROSISTEMAS I</v>
          </cell>
          <cell r="B1189" t="str">
            <v>50014</v>
          </cell>
          <cell r="C1189" t="str">
            <v>E</v>
          </cell>
          <cell r="D1189" t="str">
            <v>UT</v>
          </cell>
          <cell r="E1189" t="str">
            <v>18</v>
          </cell>
        </row>
        <row r="1190">
          <cell r="A1190" t="str">
            <v>INGENIERO EN CONSTRUCCION CIVIL I</v>
          </cell>
          <cell r="B1190" t="str">
            <v>50011</v>
          </cell>
          <cell r="C1190" t="str">
            <v>E</v>
          </cell>
          <cell r="D1190" t="str">
            <v>UT</v>
          </cell>
          <cell r="E1190" t="str">
            <v>18</v>
          </cell>
        </row>
        <row r="1191">
          <cell r="A1191" t="str">
            <v>INGENIERO EN CONSTRUCCION CIVIL II</v>
          </cell>
          <cell r="B1191" t="str">
            <v>50012</v>
          </cell>
          <cell r="C1191" t="str">
            <v>E</v>
          </cell>
          <cell r="D1191" t="str">
            <v>UT</v>
          </cell>
          <cell r="E1191" t="str">
            <v>19</v>
          </cell>
        </row>
        <row r="1192">
          <cell r="A1192" t="str">
            <v>INGENIERO EN CONSTRUCCION CIVIL III</v>
          </cell>
          <cell r="B1192" t="str">
            <v>50013</v>
          </cell>
          <cell r="C1192" t="str">
            <v>E</v>
          </cell>
          <cell r="D1192" t="str">
            <v>UT</v>
          </cell>
          <cell r="E1192" t="str">
            <v>20</v>
          </cell>
        </row>
        <row r="1193">
          <cell r="A1193" t="str">
            <v>INGENIERO EN INFORMATICA I</v>
          </cell>
          <cell r="B1193" t="str">
            <v>50030</v>
          </cell>
          <cell r="C1193" t="str">
            <v>E</v>
          </cell>
          <cell r="D1193" t="str">
            <v>AD</v>
          </cell>
          <cell r="E1193" t="str">
            <v>18</v>
          </cell>
        </row>
        <row r="1194">
          <cell r="A1194" t="str">
            <v>INGENIERO EN TELECOMUNICACIONES II</v>
          </cell>
          <cell r="B1194" t="str">
            <v>50020</v>
          </cell>
          <cell r="C1194" t="str">
            <v>E</v>
          </cell>
          <cell r="D1194" t="str">
            <v>UT</v>
          </cell>
          <cell r="E1194" t="str">
            <v>18</v>
          </cell>
        </row>
        <row r="1195">
          <cell r="A1195" t="str">
            <v>INGENIERO FORESTAL I</v>
          </cell>
          <cell r="B1195" t="str">
            <v>41721</v>
          </cell>
          <cell r="C1195" t="str">
            <v>E</v>
          </cell>
          <cell r="D1195" t="str">
            <v>UT</v>
          </cell>
          <cell r="E1195" t="str">
            <v>18</v>
          </cell>
        </row>
        <row r="1196">
          <cell r="A1196" t="str">
            <v>INGENIERO FORESTAL II</v>
          </cell>
          <cell r="B1196" t="str">
            <v>41722</v>
          </cell>
          <cell r="C1196" t="str">
            <v>E</v>
          </cell>
          <cell r="D1196" t="str">
            <v>UT</v>
          </cell>
          <cell r="E1196" t="str">
            <v>19</v>
          </cell>
        </row>
        <row r="1197">
          <cell r="A1197" t="str">
            <v>INGENIERO FORESTAL III</v>
          </cell>
          <cell r="B1197" t="str">
            <v>41723</v>
          </cell>
          <cell r="C1197" t="str">
            <v>E</v>
          </cell>
          <cell r="D1197" t="str">
            <v>UT</v>
          </cell>
          <cell r="E1197" t="str">
            <v>21</v>
          </cell>
        </row>
        <row r="1198">
          <cell r="A1198" t="str">
            <v>INGENIERO FORESTAL JEFE I</v>
          </cell>
          <cell r="B1198" t="str">
            <v>41731</v>
          </cell>
          <cell r="C1198" t="str">
            <v>E</v>
          </cell>
          <cell r="D1198" t="str">
            <v>UT</v>
          </cell>
          <cell r="E1198" t="str">
            <v>22</v>
          </cell>
        </row>
        <row r="1199">
          <cell r="A1199" t="str">
            <v>INGENIERO FORESTAL JEFE II</v>
          </cell>
          <cell r="B1199" t="str">
            <v>41732</v>
          </cell>
          <cell r="C1199" t="str">
            <v>E</v>
          </cell>
          <cell r="D1199" t="str">
            <v>UT</v>
          </cell>
          <cell r="E1199" t="str">
            <v>24</v>
          </cell>
        </row>
        <row r="1200">
          <cell r="A1200" t="str">
            <v>INGENIERO GEODESTA I</v>
          </cell>
          <cell r="B1200" t="str">
            <v>44436</v>
          </cell>
          <cell r="C1200" t="str">
            <v>E</v>
          </cell>
          <cell r="D1200" t="str">
            <v>UT</v>
          </cell>
          <cell r="E1200" t="str">
            <v>18</v>
          </cell>
        </row>
        <row r="1201">
          <cell r="A1201" t="str">
            <v>INGENIERO GEODESTA II</v>
          </cell>
          <cell r="B1201" t="str">
            <v>44362</v>
          </cell>
          <cell r="C1201" t="str">
            <v>E</v>
          </cell>
          <cell r="D1201" t="str">
            <v>UT</v>
          </cell>
          <cell r="E1201" t="str">
            <v>19</v>
          </cell>
        </row>
        <row r="1202">
          <cell r="A1202" t="str">
            <v>INGENIERO GEODESTA III</v>
          </cell>
          <cell r="B1202" t="str">
            <v>44363</v>
          </cell>
          <cell r="C1202" t="str">
            <v>E</v>
          </cell>
          <cell r="D1202" t="str">
            <v>UT</v>
          </cell>
          <cell r="E1202" t="str">
            <v>21</v>
          </cell>
        </row>
        <row r="1203">
          <cell r="A1203" t="str">
            <v>INGENIERO GEODESTA JEFE I</v>
          </cell>
          <cell r="B1203" t="str">
            <v>44371</v>
          </cell>
          <cell r="C1203" t="str">
            <v>E</v>
          </cell>
          <cell r="D1203" t="str">
            <v>UT</v>
          </cell>
          <cell r="E1203" t="str">
            <v>22</v>
          </cell>
        </row>
        <row r="1204">
          <cell r="A1204" t="str">
            <v>INGENIERO GEODESTA JEFE II</v>
          </cell>
          <cell r="B1204" t="str">
            <v>44372</v>
          </cell>
          <cell r="C1204" t="str">
            <v>E</v>
          </cell>
          <cell r="D1204" t="str">
            <v>UT</v>
          </cell>
          <cell r="E1204" t="str">
            <v>24</v>
          </cell>
        </row>
        <row r="1205">
          <cell r="A1205" t="str">
            <v>INGENIERO HIDROMETEOROLISTA JEFE I</v>
          </cell>
          <cell r="B1205" t="str">
            <v>43651</v>
          </cell>
          <cell r="C1205" t="str">
            <v>E</v>
          </cell>
          <cell r="D1205" t="str">
            <v>UT</v>
          </cell>
          <cell r="E1205" t="str">
            <v>22</v>
          </cell>
        </row>
        <row r="1206">
          <cell r="A1206" t="str">
            <v>INGENIERO HIDROMETEOROLISTA JEFE II</v>
          </cell>
          <cell r="B1206" t="str">
            <v>43652</v>
          </cell>
          <cell r="C1206" t="str">
            <v>E</v>
          </cell>
          <cell r="D1206" t="str">
            <v>UT</v>
          </cell>
          <cell r="E1206" t="str">
            <v>24</v>
          </cell>
        </row>
        <row r="1207">
          <cell r="A1207" t="str">
            <v>INGENIERO HIDROMETEOROLOGISTA I</v>
          </cell>
          <cell r="B1207" t="str">
            <v>43641</v>
          </cell>
          <cell r="C1207" t="str">
            <v>E</v>
          </cell>
          <cell r="D1207" t="str">
            <v>UT</v>
          </cell>
          <cell r="E1207" t="str">
            <v>18</v>
          </cell>
        </row>
        <row r="1208">
          <cell r="A1208" t="str">
            <v>INGENIERO HIDROMETEOROLOSTA II</v>
          </cell>
          <cell r="B1208" t="str">
            <v>43642</v>
          </cell>
          <cell r="C1208" t="str">
            <v>E</v>
          </cell>
          <cell r="D1208" t="str">
            <v>UT</v>
          </cell>
          <cell r="E1208" t="str">
            <v>21</v>
          </cell>
        </row>
        <row r="1209">
          <cell r="A1209" t="str">
            <v>INGENIERO HIROMETEROLOGISTA III</v>
          </cell>
          <cell r="B1209" t="str">
            <v>43643</v>
          </cell>
          <cell r="C1209" t="str">
            <v>E</v>
          </cell>
          <cell r="D1209" t="str">
            <v>UT</v>
          </cell>
          <cell r="E1209" t="str">
            <v>21</v>
          </cell>
        </row>
        <row r="1210">
          <cell r="A1210" t="str">
            <v>INGENIERO INDUSTRIAL I</v>
          </cell>
          <cell r="B1210" t="str">
            <v>46611</v>
          </cell>
          <cell r="C1210" t="str">
            <v>E</v>
          </cell>
          <cell r="D1210" t="str">
            <v>UT</v>
          </cell>
          <cell r="E1210" t="str">
            <v>18</v>
          </cell>
        </row>
        <row r="1211">
          <cell r="A1211" t="str">
            <v>INGENIERO INDUSTRIAL II</v>
          </cell>
          <cell r="B1211" t="str">
            <v>46612</v>
          </cell>
          <cell r="C1211" t="str">
            <v>E</v>
          </cell>
          <cell r="D1211" t="str">
            <v>UT</v>
          </cell>
          <cell r="E1211" t="str">
            <v>19</v>
          </cell>
        </row>
        <row r="1212">
          <cell r="A1212" t="str">
            <v>INGENIERO INDUSTRIAL III</v>
          </cell>
          <cell r="B1212" t="str">
            <v>46613</v>
          </cell>
          <cell r="C1212" t="str">
            <v>E</v>
          </cell>
          <cell r="D1212" t="str">
            <v>UT</v>
          </cell>
          <cell r="E1212" t="str">
            <v>21</v>
          </cell>
        </row>
        <row r="1213">
          <cell r="A1213" t="str">
            <v>INGENIERO INDUSTRIAL IV</v>
          </cell>
          <cell r="B1213" t="str">
            <v>46614</v>
          </cell>
          <cell r="C1213" t="str">
            <v>E</v>
          </cell>
          <cell r="D1213" t="str">
            <v>UT</v>
          </cell>
          <cell r="E1213" t="str">
            <v>23</v>
          </cell>
        </row>
        <row r="1214">
          <cell r="A1214" t="str">
            <v>INGENIERO MECANICO I</v>
          </cell>
          <cell r="B1214" t="str">
            <v>46311</v>
          </cell>
          <cell r="C1214" t="str">
            <v>E</v>
          </cell>
          <cell r="D1214" t="str">
            <v>UT</v>
          </cell>
          <cell r="E1214" t="str">
            <v>18</v>
          </cell>
        </row>
        <row r="1215">
          <cell r="A1215" t="str">
            <v>INGENIERO MECANICO II</v>
          </cell>
          <cell r="B1215" t="str">
            <v>46312</v>
          </cell>
          <cell r="C1215" t="str">
            <v>E</v>
          </cell>
          <cell r="D1215" t="str">
            <v>UT</v>
          </cell>
          <cell r="E1215" t="str">
            <v>19</v>
          </cell>
        </row>
        <row r="1216">
          <cell r="A1216" t="str">
            <v>INGENIERO MECANICO III</v>
          </cell>
          <cell r="B1216" t="str">
            <v>46313</v>
          </cell>
          <cell r="C1216" t="str">
            <v>E</v>
          </cell>
          <cell r="D1216" t="str">
            <v>UT</v>
          </cell>
          <cell r="E1216" t="str">
            <v>21</v>
          </cell>
        </row>
        <row r="1217">
          <cell r="A1217" t="str">
            <v>INGENIERO MECANICO JEFE</v>
          </cell>
          <cell r="B1217" t="str">
            <v>46320</v>
          </cell>
          <cell r="C1217" t="str">
            <v>E</v>
          </cell>
          <cell r="D1217" t="str">
            <v>UT</v>
          </cell>
          <cell r="E1217" t="str">
            <v>22</v>
          </cell>
        </row>
        <row r="1218">
          <cell r="A1218" t="str">
            <v>INGENIERO METALURGICO</v>
          </cell>
          <cell r="B1218" t="str">
            <v>44210</v>
          </cell>
          <cell r="C1218" t="str">
            <v>E</v>
          </cell>
          <cell r="D1218" t="str">
            <v>UT</v>
          </cell>
          <cell r="E1218" t="str">
            <v>18</v>
          </cell>
        </row>
        <row r="1219">
          <cell r="A1219" t="str">
            <v>INGENIERO NAVAL I</v>
          </cell>
          <cell r="B1219" t="str">
            <v>46811</v>
          </cell>
          <cell r="C1219" t="str">
            <v>E</v>
          </cell>
          <cell r="D1219" t="str">
            <v>UT</v>
          </cell>
          <cell r="E1219" t="str">
            <v>18</v>
          </cell>
        </row>
        <row r="1220">
          <cell r="A1220" t="str">
            <v>INGENIERO NAVAL II</v>
          </cell>
          <cell r="B1220" t="str">
            <v>46812</v>
          </cell>
          <cell r="C1220" t="str">
            <v>E</v>
          </cell>
          <cell r="D1220" t="str">
            <v>UT</v>
          </cell>
          <cell r="E1220" t="str">
            <v>19</v>
          </cell>
        </row>
        <row r="1221">
          <cell r="A1221" t="str">
            <v>INGENIERO NAVAL III</v>
          </cell>
          <cell r="B1221" t="str">
            <v>46813</v>
          </cell>
          <cell r="C1221" t="str">
            <v>E</v>
          </cell>
          <cell r="D1221" t="str">
            <v>UT</v>
          </cell>
          <cell r="E1221" t="str">
            <v>21</v>
          </cell>
        </row>
        <row r="1222">
          <cell r="A1222" t="str">
            <v>INGENIERO NAVAL JEFE</v>
          </cell>
          <cell r="B1222" t="str">
            <v>46820</v>
          </cell>
          <cell r="C1222" t="str">
            <v>E</v>
          </cell>
          <cell r="D1222" t="str">
            <v>UT</v>
          </cell>
          <cell r="E1222" t="str">
            <v>22</v>
          </cell>
        </row>
        <row r="1223">
          <cell r="A1223" t="str">
            <v>INGENIERO NUCLEAR I</v>
          </cell>
          <cell r="B1223" t="str">
            <v>46711</v>
          </cell>
          <cell r="C1223" t="str">
            <v>E</v>
          </cell>
          <cell r="D1223" t="str">
            <v>UT</v>
          </cell>
          <cell r="E1223" t="str">
            <v>18</v>
          </cell>
        </row>
        <row r="1224">
          <cell r="A1224" t="str">
            <v>INGENIERO NUCLEAR II</v>
          </cell>
          <cell r="B1224" t="str">
            <v>46712</v>
          </cell>
          <cell r="C1224" t="str">
            <v>E</v>
          </cell>
          <cell r="D1224" t="str">
            <v>UT</v>
          </cell>
          <cell r="E1224" t="str">
            <v>19</v>
          </cell>
        </row>
        <row r="1225">
          <cell r="A1225" t="str">
            <v>INGENIERO NUCLEAR III</v>
          </cell>
          <cell r="B1225" t="str">
            <v>46713</v>
          </cell>
          <cell r="C1225" t="str">
            <v>E</v>
          </cell>
          <cell r="D1225" t="str">
            <v>UT</v>
          </cell>
          <cell r="E1225" t="str">
            <v>21</v>
          </cell>
        </row>
        <row r="1226">
          <cell r="A1226" t="str">
            <v>INGENIERO NUCLEAR JEFE</v>
          </cell>
          <cell r="B1226" t="str">
            <v>46720</v>
          </cell>
          <cell r="C1226" t="str">
            <v>E</v>
          </cell>
          <cell r="D1226" t="str">
            <v>UT</v>
          </cell>
          <cell r="E1226" t="str">
            <v>22</v>
          </cell>
        </row>
        <row r="1227">
          <cell r="A1227" t="str">
            <v>INGENIERO PETROLERO I</v>
          </cell>
          <cell r="B1227" t="str">
            <v>44521</v>
          </cell>
          <cell r="C1227" t="str">
            <v>E</v>
          </cell>
          <cell r="D1227" t="str">
            <v>UT</v>
          </cell>
          <cell r="E1227" t="str">
            <v>18</v>
          </cell>
        </row>
        <row r="1228">
          <cell r="A1228" t="str">
            <v>INGENIERO PETROLERO II</v>
          </cell>
          <cell r="B1228" t="str">
            <v>44522</v>
          </cell>
          <cell r="C1228" t="str">
            <v>E</v>
          </cell>
          <cell r="D1228" t="str">
            <v>UT</v>
          </cell>
          <cell r="E1228" t="str">
            <v>19</v>
          </cell>
        </row>
        <row r="1229">
          <cell r="A1229" t="str">
            <v>INGENIERO PETROLERO III</v>
          </cell>
          <cell r="B1229" t="str">
            <v>44523</v>
          </cell>
          <cell r="C1229" t="str">
            <v>E</v>
          </cell>
          <cell r="D1229" t="str">
            <v>UT</v>
          </cell>
          <cell r="E1229" t="str">
            <v>21</v>
          </cell>
        </row>
        <row r="1230">
          <cell r="A1230" t="str">
            <v>INGENIERO PETROLERO JEFE I</v>
          </cell>
          <cell r="B1230" t="str">
            <v>44531</v>
          </cell>
          <cell r="C1230" t="str">
            <v>E</v>
          </cell>
          <cell r="D1230" t="str">
            <v>UT</v>
          </cell>
          <cell r="E1230" t="str">
            <v>22</v>
          </cell>
        </row>
        <row r="1231">
          <cell r="A1231" t="str">
            <v>INGENIERO PETROLERO JEFE II</v>
          </cell>
          <cell r="B1231" t="str">
            <v>44532</v>
          </cell>
          <cell r="C1231" t="str">
            <v>E</v>
          </cell>
          <cell r="D1231" t="str">
            <v>UT</v>
          </cell>
          <cell r="E1231" t="str">
            <v>24</v>
          </cell>
        </row>
        <row r="1232">
          <cell r="A1232" t="str">
            <v>INGENIERO QUIMICO I</v>
          </cell>
          <cell r="B1232" t="str">
            <v>44741</v>
          </cell>
          <cell r="C1232" t="str">
            <v>E</v>
          </cell>
          <cell r="D1232" t="str">
            <v>UT</v>
          </cell>
          <cell r="E1232" t="str">
            <v>18</v>
          </cell>
        </row>
        <row r="1233">
          <cell r="A1233" t="str">
            <v>INGENIERO QUIMICO II</v>
          </cell>
          <cell r="B1233" t="str">
            <v>44742</v>
          </cell>
          <cell r="C1233" t="str">
            <v>E</v>
          </cell>
          <cell r="D1233" t="str">
            <v>UT</v>
          </cell>
          <cell r="E1233" t="str">
            <v>19</v>
          </cell>
        </row>
        <row r="1234">
          <cell r="A1234" t="str">
            <v>INGENIERO QUIMICO III</v>
          </cell>
          <cell r="B1234" t="str">
            <v>44743</v>
          </cell>
          <cell r="C1234" t="str">
            <v>E</v>
          </cell>
          <cell r="D1234" t="str">
            <v>UT</v>
          </cell>
          <cell r="E1234" t="str">
            <v>21</v>
          </cell>
        </row>
        <row r="1235">
          <cell r="A1235" t="str">
            <v>INGENIERO QUIMICO JEFE I</v>
          </cell>
          <cell r="B1235" t="str">
            <v>44751</v>
          </cell>
          <cell r="C1235" t="str">
            <v>E</v>
          </cell>
          <cell r="D1235" t="str">
            <v>UT</v>
          </cell>
          <cell r="E1235" t="str">
            <v>22</v>
          </cell>
        </row>
        <row r="1236">
          <cell r="A1236" t="str">
            <v>INGENIERO QUMICO JEFE II</v>
          </cell>
          <cell r="B1236" t="str">
            <v>44752</v>
          </cell>
          <cell r="C1236" t="str">
            <v>E</v>
          </cell>
          <cell r="D1236" t="str">
            <v>UT</v>
          </cell>
          <cell r="E1236" t="str">
            <v>24</v>
          </cell>
        </row>
        <row r="1237">
          <cell r="A1237" t="str">
            <v>INGENIERO SANITARIO I</v>
          </cell>
          <cell r="B1237" t="str">
            <v>43441</v>
          </cell>
          <cell r="C1237" t="str">
            <v>E</v>
          </cell>
          <cell r="D1237" t="str">
            <v>UT</v>
          </cell>
          <cell r="E1237" t="str">
            <v>18</v>
          </cell>
        </row>
        <row r="1238">
          <cell r="A1238" t="str">
            <v>INGENIERO SANITARIO II</v>
          </cell>
          <cell r="B1238" t="str">
            <v>43442</v>
          </cell>
          <cell r="C1238" t="str">
            <v>E</v>
          </cell>
          <cell r="D1238" t="str">
            <v>UT</v>
          </cell>
          <cell r="E1238" t="str">
            <v>19</v>
          </cell>
        </row>
        <row r="1239">
          <cell r="A1239" t="str">
            <v>INGENIERO SANITARIO III</v>
          </cell>
          <cell r="B1239" t="str">
            <v>43443</v>
          </cell>
          <cell r="C1239" t="str">
            <v>E</v>
          </cell>
          <cell r="D1239" t="str">
            <v>UT</v>
          </cell>
          <cell r="E1239" t="str">
            <v>21</v>
          </cell>
        </row>
        <row r="1240">
          <cell r="A1240" t="str">
            <v>INGENIERO SANITARIO JEFE I</v>
          </cell>
          <cell r="B1240" t="str">
            <v>43451</v>
          </cell>
          <cell r="C1240" t="str">
            <v>E</v>
          </cell>
          <cell r="D1240" t="str">
            <v>UT</v>
          </cell>
          <cell r="E1240" t="str">
            <v>22</v>
          </cell>
        </row>
        <row r="1241">
          <cell r="A1241" t="str">
            <v>INGENIERO SANITARIO JEFE II</v>
          </cell>
          <cell r="B1241" t="str">
            <v>43452</v>
          </cell>
          <cell r="C1241" t="str">
            <v>E</v>
          </cell>
          <cell r="D1241" t="str">
            <v>UT</v>
          </cell>
          <cell r="E1241" t="str">
            <v>24</v>
          </cell>
        </row>
        <row r="1242">
          <cell r="A1242" t="str">
            <v>INGENIERO SANITARIO JEFE III</v>
          </cell>
          <cell r="B1242" t="str">
            <v>43453</v>
          </cell>
          <cell r="C1242" t="str">
            <v>E</v>
          </cell>
          <cell r="D1242" t="str">
            <v>UT</v>
          </cell>
          <cell r="E1242" t="str">
            <v>25</v>
          </cell>
        </row>
        <row r="1243">
          <cell r="A1243" t="str">
            <v>INPECTOR DE MAQUINARIAS I</v>
          </cell>
          <cell r="B1243" t="str">
            <v>43311</v>
          </cell>
          <cell r="C1243" t="str">
            <v>E</v>
          </cell>
          <cell r="D1243" t="str">
            <v>AD</v>
          </cell>
          <cell r="E1243" t="str">
            <v>02</v>
          </cell>
        </row>
        <row r="1244">
          <cell r="A1244" t="str">
            <v>INSP. NACIONAL DE REGIST Y NOTARIAS III</v>
          </cell>
          <cell r="B1244" t="str">
            <v>35213</v>
          </cell>
          <cell r="C1244" t="str">
            <v>E</v>
          </cell>
          <cell r="D1244" t="str">
            <v>UT</v>
          </cell>
          <cell r="E1244" t="str">
            <v>20</v>
          </cell>
        </row>
        <row r="1245">
          <cell r="A1245" t="str">
            <v>INSP. NACIONAL DE REGIST. Y NOTARIAS II</v>
          </cell>
          <cell r="B1245" t="str">
            <v>35212</v>
          </cell>
          <cell r="C1245" t="str">
            <v>E</v>
          </cell>
          <cell r="D1245" t="str">
            <v>UT</v>
          </cell>
          <cell r="E1245" t="str">
            <v>19</v>
          </cell>
        </row>
        <row r="1246">
          <cell r="A1246" t="str">
            <v>INSPEC NACIONAL DE REG. Y NOTARIAS JEFE</v>
          </cell>
          <cell r="B1246" t="str">
            <v>35220</v>
          </cell>
          <cell r="C1246" t="str">
            <v>E</v>
          </cell>
          <cell r="D1246" t="str">
            <v>UT</v>
          </cell>
          <cell r="E1246" t="str">
            <v>22</v>
          </cell>
        </row>
        <row r="1247">
          <cell r="A1247" t="str">
            <v>INSPEC.  RELACIONES CON EL SEGURO SOCIAL</v>
          </cell>
          <cell r="B1247" t="str">
            <v>21711</v>
          </cell>
          <cell r="C1247" t="str">
            <v>E</v>
          </cell>
          <cell r="D1247" t="str">
            <v>AD</v>
          </cell>
          <cell r="E1247" t="str">
            <v>02</v>
          </cell>
        </row>
        <row r="1248">
          <cell r="A1248" t="str">
            <v>INSPEC. NACIONAL DE REGISTROS Y NOTARIAS</v>
          </cell>
          <cell r="B1248" t="str">
            <v>35211</v>
          </cell>
          <cell r="C1248" t="str">
            <v>E</v>
          </cell>
          <cell r="D1248" t="str">
            <v>UT</v>
          </cell>
          <cell r="E1248" t="str">
            <v>18</v>
          </cell>
        </row>
        <row r="1249">
          <cell r="A1249" t="str">
            <v>INSPEC. RELACIONES SEGURO SOCIAL II</v>
          </cell>
          <cell r="B1249" t="str">
            <v>21712</v>
          </cell>
          <cell r="C1249" t="str">
            <v>E</v>
          </cell>
          <cell r="D1249" t="str">
            <v>UT</v>
          </cell>
          <cell r="E1249" t="str">
            <v>15</v>
          </cell>
        </row>
        <row r="1250">
          <cell r="A1250" t="str">
            <v>INSPECTOR</v>
          </cell>
          <cell r="B1250" t="str">
            <v>62262</v>
          </cell>
          <cell r="C1250" t="str">
            <v>E</v>
          </cell>
          <cell r="D1250" t="str">
            <v>PO</v>
          </cell>
          <cell r="E1250" t="str">
            <v>18</v>
          </cell>
        </row>
        <row r="1251">
          <cell r="A1251" t="str">
            <v>INSPECTOR ADMINISTRATIVO I</v>
          </cell>
          <cell r="B1251" t="str">
            <v>21411</v>
          </cell>
          <cell r="C1251" t="str">
            <v>E</v>
          </cell>
          <cell r="D1251" t="str">
            <v>UT</v>
          </cell>
          <cell r="E1251" t="str">
            <v>17</v>
          </cell>
        </row>
        <row r="1252">
          <cell r="A1252" t="str">
            <v>INSPECTOR ADMINISTRATIVO III</v>
          </cell>
          <cell r="B1252" t="str">
            <v>21413</v>
          </cell>
          <cell r="C1252" t="str">
            <v>E</v>
          </cell>
          <cell r="D1252" t="str">
            <v>UT</v>
          </cell>
          <cell r="E1252" t="str">
            <v>21</v>
          </cell>
        </row>
        <row r="1253">
          <cell r="A1253" t="str">
            <v>INSPECTOR ADMINISTRATIVO IV</v>
          </cell>
          <cell r="B1253" t="str">
            <v>21414</v>
          </cell>
          <cell r="C1253" t="str">
            <v>E</v>
          </cell>
          <cell r="D1253" t="str">
            <v>UT</v>
          </cell>
          <cell r="E1253" t="str">
            <v>23</v>
          </cell>
        </row>
        <row r="1254">
          <cell r="A1254" t="str">
            <v>INSPECTOR ADMINISTRATIVO JEFE</v>
          </cell>
          <cell r="B1254" t="str">
            <v>21425</v>
          </cell>
          <cell r="C1254" t="str">
            <v>E</v>
          </cell>
          <cell r="D1254" t="str">
            <v>UT</v>
          </cell>
          <cell r="E1254" t="str">
            <v>25</v>
          </cell>
        </row>
        <row r="1255">
          <cell r="A1255" t="str">
            <v>INSPECTOR AMDINISTRATIVO II</v>
          </cell>
          <cell r="B1255" t="str">
            <v>21412</v>
          </cell>
          <cell r="C1255" t="str">
            <v>E</v>
          </cell>
          <cell r="D1255" t="str">
            <v>UT</v>
          </cell>
          <cell r="E1255" t="str">
            <v>19</v>
          </cell>
        </row>
        <row r="1256">
          <cell r="A1256" t="str">
            <v>INSPECTOR AUX. DE OBRAS DE INGENIERIA</v>
          </cell>
          <cell r="B1256" t="str">
            <v>43460</v>
          </cell>
          <cell r="C1256" t="str">
            <v>E</v>
          </cell>
          <cell r="D1256" t="str">
            <v>AD</v>
          </cell>
          <cell r="E1256" t="str">
            <v>02</v>
          </cell>
        </row>
        <row r="1257">
          <cell r="A1257" t="str">
            <v>INSPECTOR DE AEROPUERTOS</v>
          </cell>
          <cell r="B1257" t="str">
            <v>51750</v>
          </cell>
          <cell r="C1257" t="str">
            <v>E</v>
          </cell>
          <cell r="D1257" t="str">
            <v>AD</v>
          </cell>
          <cell r="E1257" t="str">
            <v>02</v>
          </cell>
        </row>
        <row r="1258">
          <cell r="A1258" t="str">
            <v>INSPECTOR DE DERIVADOS HIDROCARBUROS I</v>
          </cell>
          <cell r="B1258" t="str">
            <v>44611</v>
          </cell>
          <cell r="C1258" t="str">
            <v>E</v>
          </cell>
          <cell r="D1258" t="str">
            <v>AD</v>
          </cell>
          <cell r="E1258" t="str">
            <v>02</v>
          </cell>
        </row>
        <row r="1259">
          <cell r="A1259" t="str">
            <v>INSPECTOR DE DERIVADOS HIDROCARBUROS II</v>
          </cell>
          <cell r="B1259" t="str">
            <v>44612</v>
          </cell>
          <cell r="C1259" t="str">
            <v>E</v>
          </cell>
          <cell r="D1259" t="str">
            <v>UT</v>
          </cell>
          <cell r="E1259" t="str">
            <v>15</v>
          </cell>
        </row>
        <row r="1260">
          <cell r="A1260" t="str">
            <v>INSPECTOR DE INMUEBLES</v>
          </cell>
          <cell r="B1260" t="str">
            <v>43210</v>
          </cell>
          <cell r="C1260" t="str">
            <v>E</v>
          </cell>
          <cell r="D1260" t="str">
            <v>AD</v>
          </cell>
          <cell r="E1260" t="str">
            <v>01</v>
          </cell>
        </row>
        <row r="1261">
          <cell r="A1261" t="str">
            <v>INSPECTOR DE MAQUINARIAS II</v>
          </cell>
          <cell r="B1261" t="str">
            <v>43312</v>
          </cell>
          <cell r="C1261" t="str">
            <v>E</v>
          </cell>
          <cell r="D1261" t="str">
            <v>UT</v>
          </cell>
          <cell r="E1261" t="str">
            <v>15</v>
          </cell>
        </row>
        <row r="1262">
          <cell r="A1262" t="str">
            <v>INSPECTOR DE MECANICA DE AVIACION I</v>
          </cell>
          <cell r="B1262" t="str">
            <v>46171</v>
          </cell>
          <cell r="C1262" t="str">
            <v>E</v>
          </cell>
          <cell r="D1262" t="str">
            <v>UT</v>
          </cell>
          <cell r="E1262" t="str">
            <v>16</v>
          </cell>
        </row>
        <row r="1263">
          <cell r="A1263" t="str">
            <v>INSPECTOR DE MECANICA DE AVIACION II</v>
          </cell>
          <cell r="B1263" t="str">
            <v>46172</v>
          </cell>
          <cell r="C1263" t="str">
            <v>E</v>
          </cell>
          <cell r="D1263" t="str">
            <v>UT</v>
          </cell>
          <cell r="E1263" t="str">
            <v>17</v>
          </cell>
        </row>
        <row r="1264">
          <cell r="A1264" t="str">
            <v>INSPECTOR DE MECANICA DE AVIACION III</v>
          </cell>
          <cell r="B1264" t="str">
            <v>46173</v>
          </cell>
          <cell r="C1264" t="str">
            <v>E</v>
          </cell>
          <cell r="D1264" t="str">
            <v>UT</v>
          </cell>
          <cell r="E1264" t="str">
            <v>19</v>
          </cell>
        </row>
        <row r="1265">
          <cell r="A1265" t="str">
            <v>INSPECTOR DE OBRAS DE INGENIERIA I</v>
          </cell>
          <cell r="B1265" t="str">
            <v>43471</v>
          </cell>
          <cell r="C1265" t="str">
            <v>E</v>
          </cell>
          <cell r="D1265" t="str">
            <v>UT</v>
          </cell>
          <cell r="E1265" t="str">
            <v>15</v>
          </cell>
        </row>
        <row r="1266">
          <cell r="A1266" t="str">
            <v>INSPECTOR DE OBRAS DE INGENIERIA II</v>
          </cell>
          <cell r="B1266" t="str">
            <v>43472</v>
          </cell>
          <cell r="C1266" t="str">
            <v>E</v>
          </cell>
          <cell r="D1266" t="str">
            <v>UT</v>
          </cell>
          <cell r="E1266" t="str">
            <v>17</v>
          </cell>
        </row>
        <row r="1267">
          <cell r="A1267" t="str">
            <v>INSPECTOR DE OBRAS DE INGENIERIA III</v>
          </cell>
          <cell r="B1267" t="str">
            <v>43473</v>
          </cell>
          <cell r="C1267" t="str">
            <v>E</v>
          </cell>
          <cell r="D1267" t="str">
            <v>UT</v>
          </cell>
          <cell r="E1267" t="str">
            <v>19</v>
          </cell>
        </row>
        <row r="1268">
          <cell r="A1268" t="str">
            <v>INSPECTOR DE PRISIONES</v>
          </cell>
          <cell r="B1268" t="str">
            <v>82210</v>
          </cell>
          <cell r="C1268" t="str">
            <v>E</v>
          </cell>
          <cell r="D1268" t="str">
            <v>AD</v>
          </cell>
          <cell r="E1268" t="str">
            <v>07</v>
          </cell>
        </row>
        <row r="1269">
          <cell r="A1269" t="str">
            <v>INSPECTOR DE PRISIONES JEFE</v>
          </cell>
          <cell r="B1269" t="str">
            <v>82220</v>
          </cell>
          <cell r="C1269" t="str">
            <v>E</v>
          </cell>
          <cell r="D1269" t="str">
            <v>AD</v>
          </cell>
          <cell r="E1269" t="str">
            <v>11</v>
          </cell>
        </row>
        <row r="1270">
          <cell r="A1270" t="str">
            <v>INSPECTOR DE PUERTOS</v>
          </cell>
          <cell r="B1270" t="str">
            <v>53230</v>
          </cell>
          <cell r="C1270" t="str">
            <v>E</v>
          </cell>
          <cell r="D1270" t="str">
            <v>UT</v>
          </cell>
          <cell r="E1270" t="str">
            <v>17</v>
          </cell>
        </row>
        <row r="1271">
          <cell r="A1271" t="str">
            <v>INSPECTOR DE RENTAS I</v>
          </cell>
          <cell r="B1271" t="str">
            <v>21311</v>
          </cell>
          <cell r="C1271" t="str">
            <v>E</v>
          </cell>
          <cell r="D1271" t="str">
            <v>UT</v>
          </cell>
          <cell r="E1271" t="str">
            <v>22</v>
          </cell>
        </row>
        <row r="1272">
          <cell r="A1272" t="str">
            <v>INSPECTOR DE RENTAS II</v>
          </cell>
          <cell r="B1272" t="str">
            <v>21312</v>
          </cell>
          <cell r="C1272" t="str">
            <v>E</v>
          </cell>
          <cell r="D1272" t="str">
            <v>UT</v>
          </cell>
          <cell r="E1272" t="str">
            <v>24</v>
          </cell>
        </row>
        <row r="1273">
          <cell r="A1273" t="str">
            <v>INSPECTOR DE RENTAS JEFE</v>
          </cell>
          <cell r="B1273" t="str">
            <v>21315</v>
          </cell>
          <cell r="C1273" t="str">
            <v>E</v>
          </cell>
          <cell r="D1273" t="str">
            <v>UT</v>
          </cell>
          <cell r="E1273" t="str">
            <v>26</v>
          </cell>
        </row>
        <row r="1274">
          <cell r="A1274" t="str">
            <v>INSPECTOR DE SALID PUBLICA III</v>
          </cell>
          <cell r="B1274" t="str">
            <v>76233</v>
          </cell>
          <cell r="C1274" t="str">
            <v>E</v>
          </cell>
          <cell r="D1274" t="str">
            <v>AD</v>
          </cell>
          <cell r="E1274" t="str">
            <v>08</v>
          </cell>
        </row>
        <row r="1275">
          <cell r="A1275" t="str">
            <v>INSPECTOR DE SALUD PUBLICA I</v>
          </cell>
          <cell r="B1275" t="str">
            <v>76231</v>
          </cell>
          <cell r="C1275" t="str">
            <v>E</v>
          </cell>
          <cell r="D1275" t="str">
            <v>AD</v>
          </cell>
          <cell r="E1275" t="str">
            <v>04</v>
          </cell>
        </row>
        <row r="1276">
          <cell r="A1276" t="str">
            <v>INSPECTOR DE SALUD PUBLICA II</v>
          </cell>
          <cell r="B1276" t="str">
            <v>46232</v>
          </cell>
          <cell r="C1276" t="str">
            <v>E</v>
          </cell>
          <cell r="D1276" t="str">
            <v>AD</v>
          </cell>
          <cell r="E1276" t="str">
            <v>06</v>
          </cell>
        </row>
        <row r="1277">
          <cell r="A1277" t="str">
            <v>INSPECTOR DE SALUD PUBLICA IV</v>
          </cell>
          <cell r="B1277" t="str">
            <v>76234</v>
          </cell>
          <cell r="C1277" t="str">
            <v>E</v>
          </cell>
          <cell r="D1277" t="str">
            <v>AD</v>
          </cell>
          <cell r="E1277" t="str">
            <v>10</v>
          </cell>
        </row>
        <row r="1278">
          <cell r="A1278" t="str">
            <v>INSPECTOR DE SEGURIDAD INDUSTRIAL</v>
          </cell>
          <cell r="B1278" t="str">
            <v>85111</v>
          </cell>
          <cell r="C1278" t="str">
            <v>E</v>
          </cell>
          <cell r="D1278" t="str">
            <v>AD</v>
          </cell>
          <cell r="E1278" t="str">
            <v>02</v>
          </cell>
        </row>
        <row r="1279">
          <cell r="A1279" t="str">
            <v>INSPECTOR DE SEGURIDAD INDUSTRIAL II</v>
          </cell>
          <cell r="B1279" t="str">
            <v>85112</v>
          </cell>
          <cell r="C1279" t="str">
            <v>E</v>
          </cell>
          <cell r="D1279" t="str">
            <v>UT</v>
          </cell>
          <cell r="E1279" t="str">
            <v>15</v>
          </cell>
        </row>
        <row r="1280">
          <cell r="A1280" t="str">
            <v>INSPECTOR DE SEGURIDAD INDUSTRIAL III</v>
          </cell>
          <cell r="B1280" t="str">
            <v>85113</v>
          </cell>
          <cell r="C1280" t="str">
            <v>E</v>
          </cell>
          <cell r="D1280" t="str">
            <v>UT</v>
          </cell>
          <cell r="E1280" t="str">
            <v>17</v>
          </cell>
        </row>
        <row r="1281">
          <cell r="A1281" t="str">
            <v>INSPECTOR DE SEGURIDAD INDUSTRIAL IV</v>
          </cell>
          <cell r="B1281" t="str">
            <v>85114</v>
          </cell>
          <cell r="C1281" t="str">
            <v>E</v>
          </cell>
          <cell r="D1281" t="str">
            <v>UT</v>
          </cell>
          <cell r="E1281" t="str">
            <v>18</v>
          </cell>
        </row>
        <row r="1282">
          <cell r="A1282" t="str">
            <v>INSPECTOR DE SEGUROS COMERCIALES I</v>
          </cell>
          <cell r="B1282" t="str">
            <v>25511</v>
          </cell>
          <cell r="C1282" t="str">
            <v>E</v>
          </cell>
          <cell r="D1282" t="str">
            <v>UT</v>
          </cell>
          <cell r="E1282" t="str">
            <v>15</v>
          </cell>
        </row>
        <row r="1283">
          <cell r="A1283" t="str">
            <v>INSPECTOR DE SEGUROS COMERCIALES II</v>
          </cell>
          <cell r="B1283" t="str">
            <v>25512</v>
          </cell>
          <cell r="C1283" t="str">
            <v>E</v>
          </cell>
          <cell r="D1283" t="str">
            <v>UT</v>
          </cell>
          <cell r="E1283" t="str">
            <v>17</v>
          </cell>
        </row>
        <row r="1284">
          <cell r="A1284" t="str">
            <v>INSPECTOR DE SEGUROS COMERIALES JEFE</v>
          </cell>
          <cell r="B1284" t="str">
            <v>25520</v>
          </cell>
          <cell r="C1284" t="str">
            <v>E</v>
          </cell>
          <cell r="D1284" t="str">
            <v>UT</v>
          </cell>
          <cell r="E1284" t="str">
            <v>21</v>
          </cell>
        </row>
        <row r="1285">
          <cell r="A1285" t="str">
            <v>INSPECTOR DE SEUGROS COMERCIALES III</v>
          </cell>
          <cell r="B1285" t="str">
            <v>25513</v>
          </cell>
          <cell r="C1285" t="str">
            <v>E</v>
          </cell>
          <cell r="D1285" t="str">
            <v>UT</v>
          </cell>
          <cell r="E1285" t="str">
            <v>19</v>
          </cell>
        </row>
        <row r="1286">
          <cell r="A1286" t="str">
            <v>INSPECTOR DE TELECOMUNICACIONES I</v>
          </cell>
          <cell r="B1286" t="str">
            <v>51731</v>
          </cell>
          <cell r="C1286" t="str">
            <v>E</v>
          </cell>
          <cell r="D1286" t="str">
            <v>AD</v>
          </cell>
          <cell r="E1286" t="str">
            <v>07</v>
          </cell>
        </row>
        <row r="1287">
          <cell r="A1287" t="str">
            <v>INSPECTOR DE TELECOMUNICACIONES II</v>
          </cell>
          <cell r="B1287" t="str">
            <v>51732</v>
          </cell>
          <cell r="C1287" t="str">
            <v>E</v>
          </cell>
          <cell r="D1287" t="str">
            <v>AD</v>
          </cell>
          <cell r="E1287" t="str">
            <v>08</v>
          </cell>
        </row>
        <row r="1288">
          <cell r="A1288" t="str">
            <v>INSPECTOR DE TELECOMUNICACIONES III</v>
          </cell>
          <cell r="B1288" t="str">
            <v>51733</v>
          </cell>
          <cell r="C1288" t="str">
            <v>E</v>
          </cell>
          <cell r="D1288" t="str">
            <v>AD</v>
          </cell>
          <cell r="E1288" t="str">
            <v>09</v>
          </cell>
        </row>
        <row r="1289">
          <cell r="A1289" t="str">
            <v>INSPECTOR DE TRABAJO I</v>
          </cell>
          <cell r="B1289" t="str">
            <v>84321</v>
          </cell>
          <cell r="C1289" t="str">
            <v>E</v>
          </cell>
          <cell r="D1289" t="str">
            <v>UT</v>
          </cell>
          <cell r="E1289" t="str">
            <v>17</v>
          </cell>
        </row>
        <row r="1290">
          <cell r="A1290" t="str">
            <v>INSPECTOR DE TRABAJO II</v>
          </cell>
          <cell r="B1290" t="str">
            <v>84322</v>
          </cell>
          <cell r="C1290" t="str">
            <v>E</v>
          </cell>
          <cell r="D1290" t="str">
            <v>UT</v>
          </cell>
          <cell r="E1290" t="str">
            <v>19</v>
          </cell>
        </row>
        <row r="1291">
          <cell r="A1291" t="str">
            <v>INSPECTOR DE TRABAJO III</v>
          </cell>
          <cell r="B1291" t="str">
            <v>84323</v>
          </cell>
          <cell r="C1291" t="str">
            <v>E</v>
          </cell>
          <cell r="D1291" t="str">
            <v>UT</v>
          </cell>
          <cell r="E1291" t="str">
            <v>21</v>
          </cell>
        </row>
        <row r="1292">
          <cell r="A1292" t="str">
            <v>INSPECTOR DE TRABAJO IV</v>
          </cell>
          <cell r="B1292" t="str">
            <v>84324</v>
          </cell>
          <cell r="C1292" t="str">
            <v>E</v>
          </cell>
          <cell r="D1292" t="str">
            <v>UT</v>
          </cell>
          <cell r="E1292" t="str">
            <v>23</v>
          </cell>
        </row>
        <row r="1293">
          <cell r="A1293" t="str">
            <v>INSPECTOR DE TRABAJO V</v>
          </cell>
          <cell r="B1293" t="str">
            <v>84325</v>
          </cell>
          <cell r="C1293" t="str">
            <v>E</v>
          </cell>
          <cell r="D1293" t="str">
            <v>UT</v>
          </cell>
          <cell r="E1293" t="str">
            <v>25</v>
          </cell>
        </row>
        <row r="1294">
          <cell r="A1294" t="str">
            <v>INSPECTOR DE TRANSPORTE I</v>
          </cell>
          <cell r="B1294" t="str">
            <v>52121</v>
          </cell>
          <cell r="C1294" t="str">
            <v>E</v>
          </cell>
          <cell r="D1294" t="str">
            <v>AD</v>
          </cell>
          <cell r="E1294" t="str">
            <v>01</v>
          </cell>
        </row>
        <row r="1295">
          <cell r="A1295" t="str">
            <v>INSPECTOR DE TRANSPORTE II</v>
          </cell>
          <cell r="B1295" t="str">
            <v>52122</v>
          </cell>
          <cell r="C1295" t="str">
            <v>E</v>
          </cell>
          <cell r="D1295" t="str">
            <v>AD</v>
          </cell>
          <cell r="E1295" t="str">
            <v>02</v>
          </cell>
        </row>
        <row r="1296">
          <cell r="A1296" t="str">
            <v>INSPECTOR DE ZONAS MARITIMAS</v>
          </cell>
          <cell r="B1296" t="str">
            <v>52255</v>
          </cell>
          <cell r="C1296" t="str">
            <v>E</v>
          </cell>
          <cell r="D1296" t="str">
            <v>UT</v>
          </cell>
          <cell r="E1296" t="str">
            <v>17</v>
          </cell>
        </row>
        <row r="1297">
          <cell r="A1297" t="str">
            <v>INSPECTOR ELECTRICISTA</v>
          </cell>
          <cell r="B1297" t="str">
            <v>64110</v>
          </cell>
          <cell r="C1297" t="str">
            <v>E</v>
          </cell>
          <cell r="D1297" t="str">
            <v>AD</v>
          </cell>
          <cell r="E1297" t="str">
            <v>01</v>
          </cell>
        </row>
        <row r="1298">
          <cell r="A1298" t="str">
            <v>INSPECTOR GENERAL DE HACIENDA I</v>
          </cell>
          <cell r="B1298" t="str">
            <v>21361</v>
          </cell>
          <cell r="C1298" t="str">
            <v>E</v>
          </cell>
          <cell r="D1298" t="str">
            <v>UT</v>
          </cell>
          <cell r="E1298" t="str">
            <v>21</v>
          </cell>
        </row>
        <row r="1299">
          <cell r="A1299" t="str">
            <v>INSPECTOR GENERAL DE HACIENDA II</v>
          </cell>
          <cell r="B1299" t="str">
            <v>21362</v>
          </cell>
          <cell r="C1299" t="str">
            <v>E</v>
          </cell>
          <cell r="D1299" t="str">
            <v>UT</v>
          </cell>
          <cell r="E1299" t="str">
            <v>23</v>
          </cell>
        </row>
        <row r="1300">
          <cell r="A1300" t="str">
            <v>INSPECTOR GENERAL DE HACIENDA III</v>
          </cell>
          <cell r="B1300" t="str">
            <v>21363</v>
          </cell>
          <cell r="C1300" t="str">
            <v>E</v>
          </cell>
          <cell r="D1300" t="str">
            <v>UT</v>
          </cell>
          <cell r="E1300" t="str">
            <v>25</v>
          </cell>
        </row>
        <row r="1301">
          <cell r="A1301" t="str">
            <v>INSPECTOR GENERAL DE HACIENDA IV</v>
          </cell>
          <cell r="B1301" t="str">
            <v>21364</v>
          </cell>
          <cell r="C1301" t="str">
            <v>E</v>
          </cell>
          <cell r="D1301" t="str">
            <v>UT</v>
          </cell>
          <cell r="E1301" t="str">
            <v>26</v>
          </cell>
        </row>
        <row r="1302">
          <cell r="A1302" t="str">
            <v>INSPECTOR IDENTIFICACION Y EXTRANJERIA</v>
          </cell>
          <cell r="B1302" t="str">
            <v>86130</v>
          </cell>
          <cell r="C1302" t="str">
            <v>E</v>
          </cell>
          <cell r="D1302" t="str">
            <v>UT</v>
          </cell>
          <cell r="E1302" t="str">
            <v>18</v>
          </cell>
        </row>
        <row r="1303">
          <cell r="A1303" t="str">
            <v>INSPECTOR JEFE</v>
          </cell>
          <cell r="B1303" t="str">
            <v>62263</v>
          </cell>
          <cell r="C1303" t="str">
            <v>E</v>
          </cell>
          <cell r="D1303" t="str">
            <v>PO</v>
          </cell>
          <cell r="E1303" t="str">
            <v>19</v>
          </cell>
        </row>
        <row r="1304">
          <cell r="A1304" t="str">
            <v>INSPECTOR TURISTICO I</v>
          </cell>
          <cell r="B1304" t="str">
            <v>31561</v>
          </cell>
          <cell r="C1304" t="str">
            <v>E</v>
          </cell>
          <cell r="D1304" t="str">
            <v>AD</v>
          </cell>
          <cell r="E1304" t="str">
            <v>01</v>
          </cell>
        </row>
        <row r="1305">
          <cell r="A1305" t="str">
            <v>INSPECTOR TURISTICO II</v>
          </cell>
          <cell r="B1305" t="str">
            <v>31562</v>
          </cell>
          <cell r="C1305" t="str">
            <v>E</v>
          </cell>
          <cell r="D1305" t="str">
            <v>UT</v>
          </cell>
          <cell r="E1305" t="str">
            <v>15</v>
          </cell>
        </row>
        <row r="1306">
          <cell r="A1306" t="str">
            <v>INSPECTOR TURISTICO III</v>
          </cell>
          <cell r="B1306" t="str">
            <v>31563</v>
          </cell>
          <cell r="C1306" t="str">
            <v>E</v>
          </cell>
          <cell r="D1306" t="str">
            <v>UT</v>
          </cell>
          <cell r="E1306" t="str">
            <v>16</v>
          </cell>
        </row>
        <row r="1307">
          <cell r="A1307" t="str">
            <v>INSPECTOR TURISTICO IV</v>
          </cell>
          <cell r="B1307" t="str">
            <v>31564</v>
          </cell>
          <cell r="C1307" t="str">
            <v>E</v>
          </cell>
          <cell r="D1307" t="str">
            <v>UT</v>
          </cell>
          <cell r="E1307" t="str">
            <v>18</v>
          </cell>
        </row>
        <row r="1308">
          <cell r="A1308" t="str">
            <v>INSPECTOR TURISTICO JEFE I</v>
          </cell>
          <cell r="B1308" t="str">
            <v>31571</v>
          </cell>
          <cell r="C1308" t="str">
            <v>E</v>
          </cell>
          <cell r="D1308" t="str">
            <v>UT</v>
          </cell>
          <cell r="E1308" t="str">
            <v>20</v>
          </cell>
        </row>
        <row r="1309">
          <cell r="A1309" t="str">
            <v>INSPECTOR TURISTICO JEFE II</v>
          </cell>
          <cell r="B1309" t="str">
            <v>31572</v>
          </cell>
          <cell r="C1309" t="str">
            <v>E</v>
          </cell>
          <cell r="D1309" t="str">
            <v>UT</v>
          </cell>
          <cell r="E1309" t="str">
            <v>22</v>
          </cell>
        </row>
        <row r="1310">
          <cell r="A1310" t="str">
            <v>INST. ARTES MANUALES N.G.</v>
          </cell>
          <cell r="B1310" t="str">
            <v>02063</v>
          </cell>
          <cell r="C1310" t="str">
            <v>E</v>
          </cell>
          <cell r="D1310" t="str">
            <v>DO</v>
          </cell>
          <cell r="E1310" t="str">
            <v/>
          </cell>
        </row>
        <row r="1311">
          <cell r="A1311" t="str">
            <v>INST. B. Y DANZAS 77 III</v>
          </cell>
          <cell r="B1311" t="str">
            <v>02068</v>
          </cell>
          <cell r="C1311" t="str">
            <v>E</v>
          </cell>
          <cell r="D1311" t="str">
            <v>DO</v>
          </cell>
          <cell r="E1311" t="str">
            <v/>
          </cell>
        </row>
        <row r="1312">
          <cell r="A1312" t="str">
            <v>INST. CORTE Y CONF. 77 III</v>
          </cell>
          <cell r="B1312" t="str">
            <v>02062</v>
          </cell>
          <cell r="C1312" t="str">
            <v>E</v>
          </cell>
          <cell r="D1312" t="str">
            <v>DO</v>
          </cell>
          <cell r="E1312" t="str">
            <v/>
          </cell>
        </row>
        <row r="1313">
          <cell r="A1313" t="str">
            <v>INST. MUSICAL 77 IV</v>
          </cell>
          <cell r="B1313" t="str">
            <v>02072</v>
          </cell>
          <cell r="C1313" t="str">
            <v>E</v>
          </cell>
          <cell r="D1313" t="str">
            <v>DO</v>
          </cell>
          <cell r="E1313" t="str">
            <v/>
          </cell>
        </row>
        <row r="1314">
          <cell r="A1314" t="str">
            <v>INST. MUSICAL N.G.</v>
          </cell>
          <cell r="B1314" t="str">
            <v>02005</v>
          </cell>
          <cell r="C1314" t="str">
            <v>E</v>
          </cell>
          <cell r="D1314" t="str">
            <v>DO</v>
          </cell>
          <cell r="E1314" t="str">
            <v/>
          </cell>
        </row>
        <row r="1315">
          <cell r="A1315" t="str">
            <v>INST. TEATRO Y TITERES N.G.</v>
          </cell>
          <cell r="B1315" t="str">
            <v>02067</v>
          </cell>
          <cell r="C1315" t="str">
            <v>E</v>
          </cell>
          <cell r="D1315" t="str">
            <v>DO</v>
          </cell>
          <cell r="E1315" t="str">
            <v/>
          </cell>
        </row>
        <row r="1316">
          <cell r="A1316" t="str">
            <v>INST.BALLET Y DANZAS N.G.</v>
          </cell>
          <cell r="B1316" t="str">
            <v>02007</v>
          </cell>
          <cell r="C1316" t="str">
            <v>E</v>
          </cell>
          <cell r="D1316" t="str">
            <v>DO</v>
          </cell>
          <cell r="E1316" t="str">
            <v/>
          </cell>
        </row>
        <row r="1317">
          <cell r="A1317" t="str">
            <v>INST.BORDADO A MAQUINA N.G.</v>
          </cell>
          <cell r="B1317" t="str">
            <v>02029</v>
          </cell>
          <cell r="C1317" t="str">
            <v>E</v>
          </cell>
          <cell r="D1317" t="str">
            <v>DO</v>
          </cell>
          <cell r="E1317" t="str">
            <v/>
          </cell>
        </row>
        <row r="1318">
          <cell r="A1318" t="str">
            <v>INST.CERAMICA Y ESC. N.G.</v>
          </cell>
          <cell r="B1318" t="str">
            <v>02017</v>
          </cell>
          <cell r="C1318" t="str">
            <v>E</v>
          </cell>
          <cell r="D1318" t="str">
            <v>DO</v>
          </cell>
          <cell r="E1318" t="str">
            <v/>
          </cell>
        </row>
        <row r="1319">
          <cell r="A1319" t="str">
            <v>INST.CORT.Y CONFECC. N.G.</v>
          </cell>
          <cell r="B1319" t="str">
            <v>02004</v>
          </cell>
          <cell r="C1319" t="str">
            <v>E</v>
          </cell>
          <cell r="D1319" t="str">
            <v>DO</v>
          </cell>
          <cell r="E1319" t="str">
            <v/>
          </cell>
        </row>
        <row r="1320">
          <cell r="A1320" t="str">
            <v>INST.CORTE Y CONF. 77 VI</v>
          </cell>
          <cell r="B1320" t="str">
            <v>02028</v>
          </cell>
          <cell r="C1320" t="str">
            <v>E</v>
          </cell>
          <cell r="D1320" t="str">
            <v>DO</v>
          </cell>
          <cell r="E1320" t="str">
            <v/>
          </cell>
        </row>
        <row r="1321">
          <cell r="A1321" t="str">
            <v>INST.DANZAS FOLKLORICAS N.G.</v>
          </cell>
          <cell r="B1321" t="str">
            <v>02026</v>
          </cell>
          <cell r="C1321" t="str">
            <v>E</v>
          </cell>
          <cell r="D1321" t="str">
            <v>DO</v>
          </cell>
          <cell r="E1321" t="str">
            <v/>
          </cell>
        </row>
        <row r="1322">
          <cell r="A1322" t="str">
            <v>INST.DANZAS III N.G.</v>
          </cell>
          <cell r="B1322" t="str">
            <v>02008</v>
          </cell>
          <cell r="C1322" t="str">
            <v>E</v>
          </cell>
          <cell r="D1322" t="str">
            <v>DO</v>
          </cell>
          <cell r="E1322" t="str">
            <v/>
          </cell>
        </row>
        <row r="1323">
          <cell r="A1323" t="str">
            <v>INST.DE PELUQUERIA N.G.</v>
          </cell>
          <cell r="B1323" t="str">
            <v>02030</v>
          </cell>
          <cell r="C1323" t="str">
            <v>E</v>
          </cell>
          <cell r="D1323" t="str">
            <v>DO</v>
          </cell>
          <cell r="E1323" t="str">
            <v/>
          </cell>
        </row>
        <row r="1324">
          <cell r="A1324" t="str">
            <v>INST.DIBUJO INFANTIL N.G.</v>
          </cell>
          <cell r="B1324" t="str">
            <v>02011</v>
          </cell>
          <cell r="C1324" t="str">
            <v>E</v>
          </cell>
          <cell r="D1324" t="str">
            <v>DO</v>
          </cell>
          <cell r="E1324" t="str">
            <v/>
          </cell>
        </row>
        <row r="1325">
          <cell r="A1325" t="str">
            <v>INST.MANUALIDADES N.G.</v>
          </cell>
          <cell r="B1325" t="str">
            <v>02040</v>
          </cell>
          <cell r="C1325" t="str">
            <v>E</v>
          </cell>
          <cell r="D1325" t="str">
            <v>DO</v>
          </cell>
          <cell r="E1325" t="str">
            <v/>
          </cell>
        </row>
        <row r="1326">
          <cell r="A1326" t="str">
            <v>INST.PINTURA 77 III</v>
          </cell>
          <cell r="B1326" t="str">
            <v>02010</v>
          </cell>
          <cell r="C1326" t="str">
            <v>E</v>
          </cell>
          <cell r="D1326" t="str">
            <v>DO</v>
          </cell>
          <cell r="E1326" t="str">
            <v/>
          </cell>
        </row>
        <row r="1327">
          <cell r="A1327" t="str">
            <v>INST.PINTURA Y D. N.G.</v>
          </cell>
          <cell r="B1327" t="str">
            <v>02022</v>
          </cell>
          <cell r="C1327" t="str">
            <v>E</v>
          </cell>
          <cell r="D1327" t="str">
            <v>DO</v>
          </cell>
          <cell r="E1327" t="str">
            <v/>
          </cell>
        </row>
        <row r="1328">
          <cell r="A1328" t="str">
            <v>INST.PINTURA Y DIB. VI 139</v>
          </cell>
          <cell r="B1328" t="str">
            <v>02012</v>
          </cell>
          <cell r="C1328" t="str">
            <v>E</v>
          </cell>
          <cell r="D1328" t="str">
            <v>DO</v>
          </cell>
          <cell r="E1328" t="str">
            <v/>
          </cell>
        </row>
        <row r="1329">
          <cell r="A1329" t="str">
            <v>INST.REPOSTERIA C. N.G.</v>
          </cell>
          <cell r="B1329" t="str">
            <v>02009</v>
          </cell>
          <cell r="C1329" t="str">
            <v>E</v>
          </cell>
          <cell r="D1329" t="str">
            <v>DO</v>
          </cell>
          <cell r="E1329" t="str">
            <v/>
          </cell>
        </row>
        <row r="1330">
          <cell r="A1330" t="str">
            <v>INST.TEATRO-TITERES 139 III</v>
          </cell>
          <cell r="B1330" t="str">
            <v>02019</v>
          </cell>
          <cell r="C1330" t="str">
            <v>E</v>
          </cell>
          <cell r="D1330" t="str">
            <v>DO</v>
          </cell>
          <cell r="E1330" t="str">
            <v/>
          </cell>
        </row>
        <row r="1331">
          <cell r="A1331" t="str">
            <v>INST.TEJIDO E HILADO 77 IV</v>
          </cell>
          <cell r="B1331" t="str">
            <v>02021</v>
          </cell>
          <cell r="C1331" t="str">
            <v>E</v>
          </cell>
          <cell r="D1331" t="str">
            <v>DO</v>
          </cell>
          <cell r="E1331" t="str">
            <v/>
          </cell>
        </row>
        <row r="1332">
          <cell r="A1332" t="str">
            <v>INSTRC. DE ALFABETIZACION Y EDUC. BASICA</v>
          </cell>
          <cell r="B1332" t="str">
            <v>16410</v>
          </cell>
          <cell r="C1332" t="str">
            <v>E</v>
          </cell>
          <cell r="D1332" t="str">
            <v>AD</v>
          </cell>
          <cell r="E1332" t="str">
            <v>03</v>
          </cell>
        </row>
        <row r="1333">
          <cell r="A1333" t="str">
            <v>INSTRC. FORMACION PROF. EN EL AREA COMER</v>
          </cell>
          <cell r="B1333" t="str">
            <v>17340</v>
          </cell>
          <cell r="C1333" t="str">
            <v>E</v>
          </cell>
          <cell r="D1333" t="str">
            <v>UT</v>
          </cell>
          <cell r="E1333" t="str">
            <v>18</v>
          </cell>
        </row>
        <row r="1334">
          <cell r="A1334" t="str">
            <v>INSTRUC FORMACION PROF, ART,Y SERV.</v>
          </cell>
          <cell r="B1334" t="str">
            <v>17320</v>
          </cell>
          <cell r="C1334" t="str">
            <v>E</v>
          </cell>
          <cell r="D1334" t="str">
            <v>AD</v>
          </cell>
          <cell r="E1334" t="str">
            <v>07</v>
          </cell>
        </row>
        <row r="1335">
          <cell r="A1335" t="str">
            <v>INSTRUCTOR</v>
          </cell>
          <cell r="B1335" t="str">
            <v>02006</v>
          </cell>
          <cell r="C1335" t="str">
            <v>E</v>
          </cell>
          <cell r="D1335" t="str">
            <v>DO</v>
          </cell>
          <cell r="E1335" t="str">
            <v/>
          </cell>
        </row>
        <row r="1336">
          <cell r="A1336" t="str">
            <v>INSTRUCTOR AGROPECUARIO I</v>
          </cell>
          <cell r="B1336" t="str">
            <v>41411</v>
          </cell>
          <cell r="C1336" t="str">
            <v>E</v>
          </cell>
          <cell r="D1336" t="str">
            <v>AD</v>
          </cell>
          <cell r="E1336" t="str">
            <v>02</v>
          </cell>
        </row>
        <row r="1337">
          <cell r="A1337" t="str">
            <v>INSTRUCTOR AGROPECUARIO III</v>
          </cell>
          <cell r="B1337" t="str">
            <v>41413</v>
          </cell>
          <cell r="C1337" t="str">
            <v>E</v>
          </cell>
          <cell r="D1337" t="str">
            <v>UT</v>
          </cell>
          <cell r="E1337" t="str">
            <v>15</v>
          </cell>
        </row>
        <row r="1338">
          <cell r="A1338" t="str">
            <v>INSTRUCTOR AGROPECUARIO JEFE I</v>
          </cell>
          <cell r="B1338" t="str">
            <v>41421</v>
          </cell>
          <cell r="C1338" t="str">
            <v>E</v>
          </cell>
          <cell r="D1338" t="str">
            <v>UT</v>
          </cell>
          <cell r="E1338" t="str">
            <v>16</v>
          </cell>
        </row>
        <row r="1339">
          <cell r="A1339" t="str">
            <v>INSTRUCTOR AGROPECURIO JEFE II</v>
          </cell>
          <cell r="B1339" t="str">
            <v>41422</v>
          </cell>
          <cell r="C1339" t="str">
            <v>E</v>
          </cell>
          <cell r="D1339" t="str">
            <v>UT</v>
          </cell>
          <cell r="E1339" t="str">
            <v>18</v>
          </cell>
        </row>
        <row r="1340">
          <cell r="A1340" t="str">
            <v>INSTRUCTOR DE ENFERMERIA</v>
          </cell>
          <cell r="B1340" t="str">
            <v>71370</v>
          </cell>
          <cell r="C1340" t="str">
            <v>E</v>
          </cell>
          <cell r="D1340" t="str">
            <v>UT</v>
          </cell>
          <cell r="E1340" t="str">
            <v>17</v>
          </cell>
        </row>
        <row r="1341">
          <cell r="A1341" t="str">
            <v>INSTRUCTOR DE ERONAUTICA CIVIL</v>
          </cell>
          <cell r="B1341" t="str">
            <v>54110</v>
          </cell>
          <cell r="C1341" t="str">
            <v>E</v>
          </cell>
          <cell r="D1341" t="str">
            <v>AD</v>
          </cell>
          <cell r="E1341" t="str">
            <v>09</v>
          </cell>
        </row>
        <row r="1342">
          <cell r="A1342" t="str">
            <v>INSTRUCTOR DE FORM. PROFESIONAL EN EL AREA DE OFICINA</v>
          </cell>
          <cell r="B1342" t="str">
            <v>17330</v>
          </cell>
          <cell r="C1342" t="str">
            <v>E</v>
          </cell>
          <cell r="D1342" t="str">
            <v>UT</v>
          </cell>
          <cell r="E1342" t="str">
            <v>18</v>
          </cell>
        </row>
        <row r="1343">
          <cell r="A1343" t="str">
            <v>INSTRUCTOR DE FORMACION EMPRESARIA II</v>
          </cell>
          <cell r="B1343" t="str">
            <v>17212</v>
          </cell>
          <cell r="C1343" t="str">
            <v>E</v>
          </cell>
          <cell r="D1343" t="str">
            <v>AD</v>
          </cell>
          <cell r="E1343" t="str">
            <v>07</v>
          </cell>
        </row>
        <row r="1344">
          <cell r="A1344" t="str">
            <v>INSTRUCTOR DE FORMACION EMPRESARIAL</v>
          </cell>
          <cell r="B1344" t="str">
            <v>17211</v>
          </cell>
          <cell r="C1344" t="str">
            <v>E</v>
          </cell>
          <cell r="D1344" t="str">
            <v>AD</v>
          </cell>
          <cell r="E1344" t="str">
            <v>06</v>
          </cell>
        </row>
        <row r="1345">
          <cell r="A1345" t="str">
            <v>INSTRUCTOR DE FORMACION EMPRESARIAL III</v>
          </cell>
          <cell r="B1345" t="str">
            <v>17213</v>
          </cell>
          <cell r="C1345" t="str">
            <v>E</v>
          </cell>
          <cell r="D1345" t="str">
            <v>AD</v>
          </cell>
          <cell r="E1345" t="str">
            <v>08</v>
          </cell>
        </row>
        <row r="1346">
          <cell r="A1346" t="str">
            <v>INSTRUCTOR DE MANUALIDADES TCVD</v>
          </cell>
          <cell r="B1346" t="str">
            <v>00728</v>
          </cell>
          <cell r="C1346" t="str">
            <v>E</v>
          </cell>
          <cell r="D1346" t="str">
            <v>DO</v>
          </cell>
          <cell r="E1346" t="str">
            <v/>
          </cell>
        </row>
        <row r="1347">
          <cell r="A1347" t="str">
            <v>INSTRUCTOR DE PRE-ESCOLAR</v>
          </cell>
          <cell r="B1347" t="str">
            <v>17920</v>
          </cell>
          <cell r="C1347" t="str">
            <v>E</v>
          </cell>
          <cell r="D1347" t="str">
            <v>UT</v>
          </cell>
          <cell r="E1347" t="str">
            <v>15</v>
          </cell>
        </row>
        <row r="1348">
          <cell r="A1348" t="str">
            <v>INSTRUCTOR DE TECNICAS NAUTICAS</v>
          </cell>
          <cell r="B1348" t="str">
            <v>54210</v>
          </cell>
          <cell r="C1348" t="str">
            <v>E</v>
          </cell>
          <cell r="D1348" t="str">
            <v>UT</v>
          </cell>
          <cell r="E1348" t="str">
            <v>17</v>
          </cell>
        </row>
        <row r="1349">
          <cell r="A1349" t="str">
            <v>INSTRUCTOR DE TECNICAS NAUTICAS JEFE</v>
          </cell>
          <cell r="B1349" t="str">
            <v>54220</v>
          </cell>
          <cell r="C1349" t="str">
            <v>E</v>
          </cell>
          <cell r="D1349" t="str">
            <v>UT</v>
          </cell>
          <cell r="E1349" t="str">
            <v>19</v>
          </cell>
        </row>
        <row r="1350">
          <cell r="A1350" t="str">
            <v>INSTRUCTOR ECONOMIA DOMESTICA</v>
          </cell>
          <cell r="B1350" t="str">
            <v>00616</v>
          </cell>
          <cell r="C1350" t="str">
            <v>E</v>
          </cell>
          <cell r="D1350" t="str">
            <v>DO</v>
          </cell>
          <cell r="E1350" t="str">
            <v/>
          </cell>
        </row>
        <row r="1351">
          <cell r="A1351" t="str">
            <v>INSTRUCTOR I</v>
          </cell>
          <cell r="B1351" t="str">
            <v>01535</v>
          </cell>
          <cell r="C1351" t="str">
            <v>E</v>
          </cell>
          <cell r="D1351" t="str">
            <v>DO</v>
          </cell>
          <cell r="E1351" t="str">
            <v/>
          </cell>
        </row>
        <row r="1352">
          <cell r="A1352" t="str">
            <v>INSTRUCTOR I   139</v>
          </cell>
          <cell r="B1352" t="str">
            <v>01371</v>
          </cell>
          <cell r="C1352" t="str">
            <v>E</v>
          </cell>
          <cell r="D1352" t="str">
            <v>DO</v>
          </cell>
          <cell r="E1352" t="str">
            <v/>
          </cell>
        </row>
        <row r="1353">
          <cell r="A1353" t="str">
            <v>INSTRUCTOR I   77</v>
          </cell>
          <cell r="B1353" t="str">
            <v>01361</v>
          </cell>
          <cell r="C1353" t="str">
            <v>E</v>
          </cell>
          <cell r="D1353" t="str">
            <v>DO</v>
          </cell>
          <cell r="E1353" t="str">
            <v/>
          </cell>
        </row>
        <row r="1354">
          <cell r="A1354" t="str">
            <v>INSTRUCTOR I   N.G.</v>
          </cell>
          <cell r="B1354" t="str">
            <v>00011</v>
          </cell>
          <cell r="C1354" t="str">
            <v>E</v>
          </cell>
          <cell r="D1354" t="str">
            <v>DO</v>
          </cell>
          <cell r="E1354" t="str">
            <v/>
          </cell>
        </row>
        <row r="1355">
          <cell r="A1355" t="str">
            <v>INSTRUCTOR I (16 HORAS) / DIREC.  BAND (16 HORAS)</v>
          </cell>
          <cell r="B1355" t="str">
            <v>40202</v>
          </cell>
          <cell r="C1355" t="str">
            <v>E</v>
          </cell>
          <cell r="D1355" t="str">
            <v>DO</v>
          </cell>
          <cell r="E1355" t="str">
            <v/>
          </cell>
        </row>
        <row r="1356">
          <cell r="A1356" t="str">
            <v>INSTRUCTOR I (16HRS) Y DOC NG (33.33HRS.)</v>
          </cell>
          <cell r="B1356" t="str">
            <v>40146</v>
          </cell>
          <cell r="C1356" t="str">
            <v>E</v>
          </cell>
          <cell r="D1356" t="str">
            <v>DO</v>
          </cell>
          <cell r="E1356" t="str">
            <v/>
          </cell>
        </row>
        <row r="1357">
          <cell r="A1357" t="str">
            <v>INSTRUCTOR I Y III NG (16 H)</v>
          </cell>
          <cell r="B1357" t="str">
            <v>40178</v>
          </cell>
          <cell r="C1357" t="str">
            <v>E</v>
          </cell>
          <cell r="D1357" t="str">
            <v>DO</v>
          </cell>
          <cell r="E1357" t="str">
            <v/>
          </cell>
        </row>
        <row r="1358">
          <cell r="A1358" t="str">
            <v>INSTRUCTOR II  139</v>
          </cell>
          <cell r="B1358" t="str">
            <v>01372</v>
          </cell>
          <cell r="C1358" t="str">
            <v>E</v>
          </cell>
          <cell r="D1358" t="str">
            <v>DO</v>
          </cell>
          <cell r="E1358" t="str">
            <v/>
          </cell>
        </row>
        <row r="1359">
          <cell r="A1359" t="str">
            <v>INSTRUCTOR II  77</v>
          </cell>
          <cell r="B1359" t="str">
            <v>01362</v>
          </cell>
          <cell r="C1359" t="str">
            <v>E</v>
          </cell>
          <cell r="D1359" t="str">
            <v>DO</v>
          </cell>
          <cell r="E1359" t="str">
            <v/>
          </cell>
        </row>
        <row r="1360">
          <cell r="A1360" t="str">
            <v>INSTRUCTOR II  N.G.</v>
          </cell>
          <cell r="B1360" t="str">
            <v>00012</v>
          </cell>
          <cell r="C1360" t="str">
            <v>E</v>
          </cell>
          <cell r="D1360" t="str">
            <v>DO</v>
          </cell>
          <cell r="E1360" t="str">
            <v/>
          </cell>
        </row>
        <row r="1361">
          <cell r="A1361" t="str">
            <v>INSTRUCTOR III 139</v>
          </cell>
          <cell r="B1361" t="str">
            <v>01373</v>
          </cell>
          <cell r="C1361" t="str">
            <v>E</v>
          </cell>
          <cell r="D1361" t="str">
            <v>DO</v>
          </cell>
          <cell r="E1361" t="str">
            <v/>
          </cell>
        </row>
        <row r="1362">
          <cell r="A1362" t="str">
            <v>INSTRUCTOR III 77</v>
          </cell>
          <cell r="B1362" t="str">
            <v>01363</v>
          </cell>
          <cell r="C1362" t="str">
            <v>E</v>
          </cell>
          <cell r="D1362" t="str">
            <v>DO</v>
          </cell>
          <cell r="E1362" t="str">
            <v/>
          </cell>
        </row>
        <row r="1363">
          <cell r="A1363" t="str">
            <v>INSTRUCTOR III N.G.</v>
          </cell>
          <cell r="B1363" t="str">
            <v>00013</v>
          </cell>
          <cell r="C1363" t="str">
            <v>E</v>
          </cell>
          <cell r="D1363" t="str">
            <v>DO</v>
          </cell>
          <cell r="E1363" t="str">
            <v/>
          </cell>
        </row>
        <row r="1364">
          <cell r="A1364" t="str">
            <v>INSTRUCTOR III NG (33,33 HORAS) Y DOCENTE BASICO 16 TSE TCVD I (04 HR)</v>
          </cell>
          <cell r="B1364" t="str">
            <v>40147</v>
          </cell>
          <cell r="C1364" t="str">
            <v>E</v>
          </cell>
          <cell r="D1364" t="str">
            <v>DO</v>
          </cell>
          <cell r="E1364" t="str">
            <v/>
          </cell>
        </row>
        <row r="1365">
          <cell r="A1365" t="str">
            <v>INSTRUCTOR III NG (33,33 HORAS) Y ENTRENADOR DEPORTIVO (33,33 HORAS)</v>
          </cell>
          <cell r="B1365" t="str">
            <v>40148</v>
          </cell>
          <cell r="C1365" t="str">
            <v>E</v>
          </cell>
          <cell r="D1365" t="str">
            <v>DO</v>
          </cell>
          <cell r="E1365" t="str">
            <v/>
          </cell>
        </row>
        <row r="1366">
          <cell r="A1366" t="str">
            <v>INSTRUCTOR III NG (33,33) Y DOCENTE BASICA NG TCVNMA (16 HORAS)</v>
          </cell>
          <cell r="B1366" t="str">
            <v>40229</v>
          </cell>
          <cell r="C1366" t="str">
            <v>E</v>
          </cell>
          <cell r="D1366" t="str">
            <v>DO</v>
          </cell>
          <cell r="E1366" t="str">
            <v/>
          </cell>
        </row>
        <row r="1367">
          <cell r="A1367" t="str">
            <v>INSTRUCTOR INSTRUMENTAL DE VUELO</v>
          </cell>
          <cell r="B1367" t="str">
            <v>54140</v>
          </cell>
          <cell r="C1367" t="str">
            <v>E</v>
          </cell>
          <cell r="D1367" t="str">
            <v>AD</v>
          </cell>
          <cell r="E1367" t="str">
            <v>02</v>
          </cell>
        </row>
        <row r="1368">
          <cell r="A1368" t="str">
            <v>INSTRUCTOR IV  139</v>
          </cell>
          <cell r="B1368" t="str">
            <v>01374</v>
          </cell>
          <cell r="C1368" t="str">
            <v>E</v>
          </cell>
          <cell r="D1368" t="str">
            <v>DO</v>
          </cell>
          <cell r="E1368" t="str">
            <v/>
          </cell>
        </row>
        <row r="1369">
          <cell r="A1369" t="str">
            <v>INSTRUCTOR IV  77</v>
          </cell>
          <cell r="B1369" t="str">
            <v>01364</v>
          </cell>
          <cell r="C1369" t="str">
            <v>E</v>
          </cell>
          <cell r="D1369" t="str">
            <v>DO</v>
          </cell>
          <cell r="E1369" t="str">
            <v/>
          </cell>
        </row>
        <row r="1370">
          <cell r="A1370" t="str">
            <v>INSTRUCTOR MANUALIDADES I</v>
          </cell>
          <cell r="B1370" t="str">
            <v>02000</v>
          </cell>
          <cell r="C1370" t="str">
            <v>E</v>
          </cell>
          <cell r="D1370" t="str">
            <v>DO</v>
          </cell>
          <cell r="E1370" t="str">
            <v/>
          </cell>
        </row>
        <row r="1371">
          <cell r="A1371" t="str">
            <v>INSTRUCTOR MANUALIDADES II</v>
          </cell>
          <cell r="B1371" t="str">
            <v>02002</v>
          </cell>
          <cell r="C1371" t="str">
            <v>E</v>
          </cell>
          <cell r="D1371" t="str">
            <v>DO</v>
          </cell>
          <cell r="E1371" t="str">
            <v/>
          </cell>
        </row>
        <row r="1372">
          <cell r="A1372" t="str">
            <v>INSTRUCTOR MANUALIDADES III</v>
          </cell>
          <cell r="B1372" t="str">
            <v>02001</v>
          </cell>
          <cell r="C1372" t="str">
            <v>E</v>
          </cell>
          <cell r="D1372" t="str">
            <v>DO</v>
          </cell>
          <cell r="E1372" t="str">
            <v/>
          </cell>
        </row>
        <row r="1373">
          <cell r="A1373" t="str">
            <v>INSTRUCTOR MARROQUINERIA</v>
          </cell>
          <cell r="B1373" t="str">
            <v>00016</v>
          </cell>
          <cell r="C1373" t="str">
            <v>E</v>
          </cell>
          <cell r="D1373" t="str">
            <v>DO</v>
          </cell>
          <cell r="E1373" t="str">
            <v/>
          </cell>
        </row>
        <row r="1374">
          <cell r="A1374" t="str">
            <v>INSTRUCTOR MUSICAL</v>
          </cell>
          <cell r="B1374" t="str">
            <v>00712</v>
          </cell>
          <cell r="C1374" t="str">
            <v>E</v>
          </cell>
          <cell r="D1374" t="str">
            <v>DO</v>
          </cell>
          <cell r="E1374" t="str">
            <v/>
          </cell>
        </row>
        <row r="1375">
          <cell r="A1375" t="str">
            <v>INSTRUCTOR MUSICAL Y DOCENTE IV AULA</v>
          </cell>
          <cell r="B1375" t="str">
            <v>40149</v>
          </cell>
          <cell r="C1375" t="str">
            <v>E</v>
          </cell>
          <cell r="D1375" t="str">
            <v>DO</v>
          </cell>
          <cell r="E1375" t="str">
            <v/>
          </cell>
        </row>
        <row r="1376">
          <cell r="A1376" t="str">
            <v>INSTRUCTOR N.G TCVD</v>
          </cell>
          <cell r="B1376" t="str">
            <v>00014</v>
          </cell>
          <cell r="C1376" t="str">
            <v>E</v>
          </cell>
          <cell r="D1376" t="str">
            <v>DO</v>
          </cell>
          <cell r="E1376" t="str">
            <v/>
          </cell>
        </row>
        <row r="1377">
          <cell r="A1377" t="str">
            <v>INSTRUCTOR V   139</v>
          </cell>
          <cell r="B1377" t="str">
            <v>01375</v>
          </cell>
          <cell r="C1377" t="str">
            <v>E</v>
          </cell>
          <cell r="D1377" t="str">
            <v>DO</v>
          </cell>
          <cell r="E1377" t="str">
            <v/>
          </cell>
        </row>
        <row r="1378">
          <cell r="A1378" t="str">
            <v>INSTRUCTOR V   77</v>
          </cell>
          <cell r="B1378" t="str">
            <v>01365</v>
          </cell>
          <cell r="C1378" t="str">
            <v>E</v>
          </cell>
          <cell r="D1378" t="str">
            <v>DO</v>
          </cell>
          <cell r="E1378" t="str">
            <v/>
          </cell>
        </row>
        <row r="1379">
          <cell r="A1379" t="str">
            <v>INSTRUCTOR VI  139</v>
          </cell>
          <cell r="B1379" t="str">
            <v>01376</v>
          </cell>
          <cell r="C1379" t="str">
            <v>E</v>
          </cell>
          <cell r="D1379" t="str">
            <v>DO</v>
          </cell>
          <cell r="E1379" t="str">
            <v/>
          </cell>
        </row>
        <row r="1380">
          <cell r="A1380" t="str">
            <v>INSTRUCTOR VI  77</v>
          </cell>
          <cell r="B1380" t="str">
            <v>01366</v>
          </cell>
          <cell r="C1380" t="str">
            <v>E</v>
          </cell>
          <cell r="D1380" t="str">
            <v>DO</v>
          </cell>
          <cell r="E1380" t="str">
            <v/>
          </cell>
        </row>
        <row r="1381">
          <cell r="A1381" t="str">
            <v>INSTRUCTORA DE COCINA Y ARTE CULINARIA</v>
          </cell>
          <cell r="B1381" t="str">
            <v>40150</v>
          </cell>
          <cell r="C1381" t="str">
            <v>E</v>
          </cell>
          <cell r="D1381" t="str">
            <v>DO</v>
          </cell>
          <cell r="E1381" t="str">
            <v/>
          </cell>
        </row>
        <row r="1382">
          <cell r="A1382" t="str">
            <v>INSTRUCTORA III NG (16 HORAS) Y DOCENTE BASICA NG 1-6 TCVNM (33,33 HORAS)</v>
          </cell>
          <cell r="B1382" t="str">
            <v>40151</v>
          </cell>
          <cell r="C1382" t="str">
            <v>E</v>
          </cell>
          <cell r="D1382" t="str">
            <v>DO</v>
          </cell>
          <cell r="E1382" t="str">
            <v/>
          </cell>
        </row>
        <row r="1383">
          <cell r="A1383" t="str">
            <v>INSTRUMENTO I</v>
          </cell>
          <cell r="B1383" t="str">
            <v>03753</v>
          </cell>
          <cell r="C1383" t="str">
            <v>E</v>
          </cell>
          <cell r="D1383" t="str">
            <v>DO</v>
          </cell>
          <cell r="E1383" t="str">
            <v>06</v>
          </cell>
        </row>
        <row r="1384">
          <cell r="A1384" t="str">
            <v>INSTRUMENTO II</v>
          </cell>
          <cell r="B1384" t="str">
            <v>03752</v>
          </cell>
          <cell r="C1384" t="str">
            <v>E</v>
          </cell>
          <cell r="D1384" t="str">
            <v>DO</v>
          </cell>
          <cell r="E1384" t="str">
            <v>04</v>
          </cell>
        </row>
        <row r="1385">
          <cell r="A1385" t="str">
            <v>INSTRUMENTO III</v>
          </cell>
          <cell r="B1385" t="str">
            <v>03751</v>
          </cell>
          <cell r="C1385" t="str">
            <v>E</v>
          </cell>
          <cell r="D1385" t="str">
            <v>DO</v>
          </cell>
          <cell r="E1385" t="str">
            <v>02</v>
          </cell>
        </row>
        <row r="1386">
          <cell r="A1386" t="str">
            <v>INSTURCTOR AGROPECUARIO II</v>
          </cell>
          <cell r="B1386" t="str">
            <v>41412</v>
          </cell>
          <cell r="C1386" t="str">
            <v>E</v>
          </cell>
          <cell r="D1386" t="str">
            <v>AD</v>
          </cell>
          <cell r="E1386" t="str">
            <v>03</v>
          </cell>
        </row>
        <row r="1387">
          <cell r="A1387" t="str">
            <v>INTENDENTE DE HOSPITAL I</v>
          </cell>
          <cell r="B1387" t="str">
            <v>03750</v>
          </cell>
          <cell r="C1387" t="str">
            <v>E</v>
          </cell>
          <cell r="D1387" t="str">
            <v>AD</v>
          </cell>
          <cell r="E1387" t="str">
            <v>02</v>
          </cell>
        </row>
        <row r="1388">
          <cell r="A1388" t="str">
            <v>INTENDENTE DE HOSPITAL II</v>
          </cell>
          <cell r="B1388" t="str">
            <v>71212</v>
          </cell>
          <cell r="C1388" t="str">
            <v>E</v>
          </cell>
          <cell r="D1388" t="str">
            <v>UT</v>
          </cell>
          <cell r="E1388" t="str">
            <v>15</v>
          </cell>
        </row>
        <row r="1389">
          <cell r="A1389" t="str">
            <v>INTENDENTE DE HOSPITAL III</v>
          </cell>
          <cell r="B1389" t="str">
            <v>71213</v>
          </cell>
          <cell r="C1389" t="str">
            <v>E</v>
          </cell>
          <cell r="D1389" t="str">
            <v>UT</v>
          </cell>
          <cell r="E1389" t="str">
            <v>17</v>
          </cell>
        </row>
        <row r="1390">
          <cell r="A1390" t="str">
            <v>INTENDENTE DE HOSPITAL IV</v>
          </cell>
          <cell r="B1390" t="str">
            <v>71214</v>
          </cell>
          <cell r="C1390" t="str">
            <v>E</v>
          </cell>
          <cell r="D1390" t="str">
            <v>UT</v>
          </cell>
          <cell r="E1390" t="str">
            <v>19</v>
          </cell>
        </row>
        <row r="1391">
          <cell r="A1391" t="str">
            <v>INTENDENTE DE HOSPITAL V</v>
          </cell>
          <cell r="B1391" t="str">
            <v>71215</v>
          </cell>
          <cell r="C1391" t="str">
            <v>E</v>
          </cell>
          <cell r="D1391" t="str">
            <v>UT</v>
          </cell>
          <cell r="E1391" t="str">
            <v>21</v>
          </cell>
        </row>
        <row r="1392">
          <cell r="A1392" t="str">
            <v>INTERVENTOR DE ADUANAS II</v>
          </cell>
          <cell r="B1392" t="str">
            <v>53122</v>
          </cell>
          <cell r="C1392" t="str">
            <v>E</v>
          </cell>
          <cell r="D1392" t="str">
            <v>UT</v>
          </cell>
          <cell r="E1392" t="str">
            <v>17</v>
          </cell>
        </row>
        <row r="1393">
          <cell r="A1393" t="str">
            <v>INTERVENTOR DE ADUANAS III</v>
          </cell>
          <cell r="B1393" t="str">
            <v>53123</v>
          </cell>
          <cell r="C1393" t="str">
            <v>E</v>
          </cell>
          <cell r="D1393" t="str">
            <v>UT</v>
          </cell>
          <cell r="E1393" t="str">
            <v>18</v>
          </cell>
        </row>
        <row r="1394">
          <cell r="A1394" t="str">
            <v>INTERVENTOR DE ADUNAS I</v>
          </cell>
          <cell r="B1394" t="str">
            <v>53121</v>
          </cell>
          <cell r="C1394" t="str">
            <v>E</v>
          </cell>
          <cell r="D1394" t="str">
            <v>UT</v>
          </cell>
          <cell r="E1394" t="str">
            <v>16</v>
          </cell>
        </row>
        <row r="1395">
          <cell r="A1395" t="str">
            <v>INTRUCTOR DEPORTIVO</v>
          </cell>
          <cell r="B1395" t="str">
            <v>01536</v>
          </cell>
          <cell r="C1395" t="str">
            <v>E</v>
          </cell>
          <cell r="D1395" t="str">
            <v>DO</v>
          </cell>
          <cell r="E1395" t="str">
            <v/>
          </cell>
        </row>
        <row r="1396">
          <cell r="A1396" t="str">
            <v>INVESTIGADOR DE MUSEO I</v>
          </cell>
          <cell r="B1396" t="str">
            <v>37321</v>
          </cell>
          <cell r="C1396" t="str">
            <v>E</v>
          </cell>
          <cell r="D1396" t="str">
            <v>UT</v>
          </cell>
          <cell r="E1396" t="str">
            <v>17</v>
          </cell>
        </row>
        <row r="1397">
          <cell r="A1397" t="str">
            <v>INVESTIGADOR DE MUSEO II</v>
          </cell>
          <cell r="B1397" t="str">
            <v>37322</v>
          </cell>
          <cell r="C1397" t="str">
            <v>E</v>
          </cell>
          <cell r="D1397" t="str">
            <v>UT</v>
          </cell>
          <cell r="E1397" t="str">
            <v>19</v>
          </cell>
        </row>
        <row r="1398">
          <cell r="A1398" t="str">
            <v>INVESTIGADOR DE MUSEO III</v>
          </cell>
          <cell r="B1398" t="str">
            <v>37323</v>
          </cell>
          <cell r="C1398" t="str">
            <v>E</v>
          </cell>
          <cell r="D1398" t="str">
            <v>UT</v>
          </cell>
          <cell r="E1398" t="str">
            <v>20</v>
          </cell>
        </row>
        <row r="1399">
          <cell r="A1399" t="str">
            <v>INVESTIGADOR EN ADIESTRAMIENTO</v>
          </cell>
          <cell r="B1399" t="str">
            <v>41220</v>
          </cell>
          <cell r="C1399" t="str">
            <v>E</v>
          </cell>
          <cell r="D1399" t="str">
            <v>UT</v>
          </cell>
          <cell r="E1399" t="str">
            <v>19</v>
          </cell>
        </row>
        <row r="1400">
          <cell r="A1400" t="str">
            <v>INVESTIGADOR I</v>
          </cell>
          <cell r="B1400" t="str">
            <v>41221</v>
          </cell>
          <cell r="C1400" t="str">
            <v>E</v>
          </cell>
          <cell r="D1400" t="str">
            <v>UT</v>
          </cell>
          <cell r="E1400" t="str">
            <v>19</v>
          </cell>
        </row>
        <row r="1401">
          <cell r="A1401" t="str">
            <v>INVESTIGADOR II</v>
          </cell>
          <cell r="B1401" t="str">
            <v>41222</v>
          </cell>
          <cell r="C1401" t="str">
            <v>E</v>
          </cell>
          <cell r="D1401" t="str">
            <v>UT</v>
          </cell>
          <cell r="E1401" t="str">
            <v>20</v>
          </cell>
        </row>
        <row r="1402">
          <cell r="A1402" t="str">
            <v>INVESTIGADOR III</v>
          </cell>
          <cell r="B1402" t="str">
            <v>41223</v>
          </cell>
          <cell r="C1402" t="str">
            <v>E</v>
          </cell>
          <cell r="D1402" t="str">
            <v>UT</v>
          </cell>
          <cell r="E1402" t="str">
            <v>21</v>
          </cell>
        </row>
        <row r="1403">
          <cell r="A1403" t="str">
            <v>INVESTIGADOR IV</v>
          </cell>
          <cell r="B1403" t="str">
            <v>41224</v>
          </cell>
          <cell r="C1403" t="str">
            <v>E</v>
          </cell>
          <cell r="D1403" t="str">
            <v>UT</v>
          </cell>
          <cell r="E1403" t="str">
            <v>23</v>
          </cell>
        </row>
        <row r="1404">
          <cell r="A1404" t="str">
            <v>INVESTIGADOR JEFE</v>
          </cell>
          <cell r="B1404" t="str">
            <v>41230</v>
          </cell>
          <cell r="C1404" t="str">
            <v>E</v>
          </cell>
          <cell r="D1404" t="str">
            <v>UT</v>
          </cell>
          <cell r="E1404" t="str">
            <v>25</v>
          </cell>
        </row>
        <row r="1405">
          <cell r="A1405" t="str">
            <v>INVESTIGADOR SOCIAL I</v>
          </cell>
          <cell r="B1405" t="str">
            <v>36811</v>
          </cell>
          <cell r="C1405" t="str">
            <v>E</v>
          </cell>
          <cell r="D1405" t="str">
            <v>UT</v>
          </cell>
          <cell r="E1405" t="str">
            <v>17</v>
          </cell>
        </row>
        <row r="1406">
          <cell r="A1406" t="str">
            <v>INVESTIGADOR SOCIAL II</v>
          </cell>
          <cell r="B1406" t="str">
            <v>36812</v>
          </cell>
          <cell r="C1406" t="str">
            <v>E</v>
          </cell>
          <cell r="D1406" t="str">
            <v>UT</v>
          </cell>
          <cell r="E1406" t="str">
            <v>19</v>
          </cell>
        </row>
        <row r="1407">
          <cell r="A1407" t="str">
            <v>INVESTIGADOR SOCIAL III</v>
          </cell>
          <cell r="B1407" t="str">
            <v>36813</v>
          </cell>
          <cell r="C1407" t="str">
            <v>E</v>
          </cell>
          <cell r="D1407" t="str">
            <v>UT</v>
          </cell>
          <cell r="E1407" t="str">
            <v>21</v>
          </cell>
        </row>
        <row r="1408">
          <cell r="A1408" t="str">
            <v>INVESTIGADOR SOCIAL JEFE</v>
          </cell>
          <cell r="B1408" t="str">
            <v>36820</v>
          </cell>
          <cell r="C1408" t="str">
            <v>E</v>
          </cell>
          <cell r="D1408" t="str">
            <v>UT</v>
          </cell>
          <cell r="E1408" t="str">
            <v>23</v>
          </cell>
        </row>
        <row r="1409">
          <cell r="A1409" t="str">
            <v>INVESTIGADOR V</v>
          </cell>
          <cell r="B1409" t="str">
            <v>41225</v>
          </cell>
          <cell r="C1409" t="str">
            <v>E</v>
          </cell>
          <cell r="D1409" t="str">
            <v>UT</v>
          </cell>
          <cell r="E1409" t="str">
            <v>24</v>
          </cell>
        </row>
        <row r="1410">
          <cell r="A1410" t="str">
            <v>JEE DE SERVICIOS PORTUARIOS I</v>
          </cell>
          <cell r="B1410" t="str">
            <v>53221</v>
          </cell>
          <cell r="C1410" t="str">
            <v>E</v>
          </cell>
          <cell r="D1410" t="str">
            <v>AD</v>
          </cell>
          <cell r="E1410" t="str">
            <v>03</v>
          </cell>
        </row>
        <row r="1411">
          <cell r="A1411" t="str">
            <v>JEFE CAPITAN DE PUERTO</v>
          </cell>
          <cell r="B1411" t="str">
            <v>52295</v>
          </cell>
          <cell r="C1411" t="str">
            <v>E</v>
          </cell>
          <cell r="D1411" t="str">
            <v>UT</v>
          </cell>
          <cell r="E1411" t="str">
            <v>25</v>
          </cell>
        </row>
        <row r="1412">
          <cell r="A1412" t="str">
            <v>JEFE CENTRO ATENCION POR ABANDONO</v>
          </cell>
          <cell r="B1412" t="str">
            <v>79532</v>
          </cell>
          <cell r="C1412" t="str">
            <v>E</v>
          </cell>
          <cell r="D1412" t="str">
            <v>UT</v>
          </cell>
          <cell r="E1412" t="str">
            <v>23</v>
          </cell>
        </row>
        <row r="1413">
          <cell r="A1413" t="str">
            <v>JEFE CENTRO ATENCION POR TRATAMIENTO</v>
          </cell>
          <cell r="B1413" t="str">
            <v>79533</v>
          </cell>
          <cell r="C1413" t="str">
            <v>E</v>
          </cell>
          <cell r="D1413" t="str">
            <v>UT</v>
          </cell>
          <cell r="E1413" t="str">
            <v>25</v>
          </cell>
        </row>
        <row r="1414">
          <cell r="A1414" t="str">
            <v>JEFE CENTRO AUDIOVISUAL</v>
          </cell>
          <cell r="B1414" t="str">
            <v>34120</v>
          </cell>
          <cell r="C1414" t="str">
            <v>E</v>
          </cell>
          <cell r="D1414" t="str">
            <v>UT</v>
          </cell>
          <cell r="E1414" t="str">
            <v>17</v>
          </cell>
        </row>
        <row r="1415">
          <cell r="A1415" t="str">
            <v>JEFE CENTRO DE PREVENCION</v>
          </cell>
          <cell r="B1415" t="str">
            <v>79531</v>
          </cell>
          <cell r="C1415" t="str">
            <v>E</v>
          </cell>
          <cell r="D1415" t="str">
            <v>UT</v>
          </cell>
          <cell r="E1415" t="str">
            <v>21</v>
          </cell>
        </row>
        <row r="1416">
          <cell r="A1416" t="str">
            <v>JEFE CENTRO INDIGENISTA II</v>
          </cell>
          <cell r="B1416" t="str">
            <v>36432</v>
          </cell>
          <cell r="C1416" t="str">
            <v>E</v>
          </cell>
          <cell r="D1416" t="str">
            <v>UT</v>
          </cell>
          <cell r="E1416" t="str">
            <v>22</v>
          </cell>
        </row>
        <row r="1417">
          <cell r="A1417" t="str">
            <v>JEFE CENTRO INDIGENITA I</v>
          </cell>
          <cell r="B1417" t="str">
            <v>36431</v>
          </cell>
          <cell r="C1417" t="str">
            <v>E</v>
          </cell>
          <cell r="D1417" t="str">
            <v>UT</v>
          </cell>
          <cell r="E1417" t="str">
            <v>20</v>
          </cell>
        </row>
        <row r="1418">
          <cell r="A1418" t="str">
            <v>JEFE DE AEROPUERTO I</v>
          </cell>
          <cell r="B1418" t="str">
            <v>51331</v>
          </cell>
          <cell r="C1418" t="str">
            <v>E</v>
          </cell>
          <cell r="D1418" t="str">
            <v>UT</v>
          </cell>
          <cell r="E1418" t="str">
            <v>17</v>
          </cell>
        </row>
        <row r="1419">
          <cell r="A1419" t="str">
            <v>JEFE DE AEROPUERTO II</v>
          </cell>
          <cell r="B1419" t="str">
            <v>51332</v>
          </cell>
          <cell r="C1419" t="str">
            <v>E</v>
          </cell>
          <cell r="D1419" t="str">
            <v>UT</v>
          </cell>
          <cell r="E1419" t="str">
            <v>19</v>
          </cell>
        </row>
        <row r="1420">
          <cell r="A1420" t="str">
            <v>JEFE DE AEROPUERTO III</v>
          </cell>
          <cell r="B1420" t="str">
            <v>51333</v>
          </cell>
          <cell r="C1420" t="str">
            <v>E</v>
          </cell>
          <cell r="D1420" t="str">
            <v>UT</v>
          </cell>
          <cell r="E1420" t="str">
            <v>21</v>
          </cell>
        </row>
        <row r="1421">
          <cell r="A1421" t="str">
            <v>JEFE DE AEROPUERTO IV</v>
          </cell>
          <cell r="B1421" t="str">
            <v>51334</v>
          </cell>
          <cell r="C1421" t="str">
            <v>E</v>
          </cell>
          <cell r="D1421" t="str">
            <v>UT</v>
          </cell>
          <cell r="E1421" t="str">
            <v>23</v>
          </cell>
        </row>
        <row r="1422">
          <cell r="A1422" t="str">
            <v>JEFE DE AEROPUERTO V</v>
          </cell>
          <cell r="B1422" t="str">
            <v>51335</v>
          </cell>
          <cell r="C1422" t="str">
            <v>E</v>
          </cell>
          <cell r="D1422" t="str">
            <v>UT</v>
          </cell>
          <cell r="E1422" t="str">
            <v>24</v>
          </cell>
        </row>
        <row r="1423">
          <cell r="A1423" t="str">
            <v>JEFE DE ARTE Y FOLKLORE</v>
          </cell>
          <cell r="B1423" t="str">
            <v>71211</v>
          </cell>
          <cell r="C1423" t="str">
            <v>E</v>
          </cell>
          <cell r="D1423" t="str">
            <v>DO</v>
          </cell>
          <cell r="E1423" t="str">
            <v>03</v>
          </cell>
        </row>
        <row r="1424">
          <cell r="A1424" t="str">
            <v>JEFE DE CONTROL DE MAQUINAS</v>
          </cell>
          <cell r="B1424" t="str">
            <v>43320</v>
          </cell>
          <cell r="C1424" t="str">
            <v>E</v>
          </cell>
          <cell r="D1424" t="str">
            <v>UT</v>
          </cell>
          <cell r="E1424" t="str">
            <v>17</v>
          </cell>
        </row>
        <row r="1425">
          <cell r="A1425" t="str">
            <v>JEFE DE DEPARTAMENTO</v>
          </cell>
          <cell r="B1425" t="str">
            <v>00906</v>
          </cell>
          <cell r="C1425" t="str">
            <v>E</v>
          </cell>
          <cell r="D1425" t="str">
            <v>DI</v>
          </cell>
          <cell r="E1425" t="str">
            <v>99</v>
          </cell>
        </row>
        <row r="1426">
          <cell r="A1426" t="str">
            <v>JEFE DE DIVISION</v>
          </cell>
          <cell r="B1426" t="str">
            <v>00905</v>
          </cell>
          <cell r="C1426" t="str">
            <v>E</v>
          </cell>
          <cell r="D1426" t="str">
            <v>DI</v>
          </cell>
          <cell r="E1426" t="str">
            <v>99</v>
          </cell>
        </row>
        <row r="1427">
          <cell r="A1427" t="str">
            <v>JEFE DE DIVISION ADMINISTRATIVO</v>
          </cell>
          <cell r="B1427" t="str">
            <v>00919</v>
          </cell>
          <cell r="C1427" t="str">
            <v>E</v>
          </cell>
          <cell r="D1427" t="str">
            <v>DI</v>
          </cell>
          <cell r="E1427" t="str">
            <v>99</v>
          </cell>
        </row>
        <row r="1428">
          <cell r="A1428" t="str">
            <v>JEFE DE EJECUCION Y CONTROL DE PRESUPUES</v>
          </cell>
          <cell r="B1428" t="str">
            <v>00922</v>
          </cell>
          <cell r="C1428" t="str">
            <v>E</v>
          </cell>
          <cell r="D1428" t="str">
            <v>DI</v>
          </cell>
          <cell r="E1428" t="str">
            <v>99</v>
          </cell>
        </row>
        <row r="1429">
          <cell r="A1429" t="str">
            <v>JEFE DE INFORMATICA I</v>
          </cell>
          <cell r="B1429" t="str">
            <v>23461</v>
          </cell>
          <cell r="C1429" t="str">
            <v>E</v>
          </cell>
          <cell r="D1429" t="str">
            <v>UT</v>
          </cell>
          <cell r="E1429" t="str">
            <v>22</v>
          </cell>
        </row>
        <row r="1430">
          <cell r="A1430" t="str">
            <v>JEFE DE INFORMATICA II</v>
          </cell>
          <cell r="B1430" t="str">
            <v>23462</v>
          </cell>
          <cell r="C1430" t="str">
            <v>E</v>
          </cell>
          <cell r="D1430" t="str">
            <v>UT</v>
          </cell>
          <cell r="E1430" t="str">
            <v>24</v>
          </cell>
        </row>
        <row r="1431">
          <cell r="A1431" t="str">
            <v>JEFE DE INFORMATICA III</v>
          </cell>
          <cell r="B1431" t="str">
            <v>23463</v>
          </cell>
          <cell r="C1431" t="str">
            <v>E</v>
          </cell>
          <cell r="D1431" t="str">
            <v>UT</v>
          </cell>
          <cell r="E1431" t="str">
            <v>26</v>
          </cell>
        </row>
        <row r="1432">
          <cell r="A1432" t="str">
            <v>JEFE DE LABORATORIO DE AEROFOTOGRAFIA</v>
          </cell>
          <cell r="B1432" t="str">
            <v>45230</v>
          </cell>
          <cell r="C1432" t="str">
            <v>E</v>
          </cell>
          <cell r="D1432" t="str">
            <v>UT</v>
          </cell>
          <cell r="E1432" t="str">
            <v>21</v>
          </cell>
        </row>
        <row r="1433">
          <cell r="A1433" t="str">
            <v>JEFE DE MAQUINAS I</v>
          </cell>
          <cell r="B1433" t="str">
            <v>52321</v>
          </cell>
          <cell r="C1433" t="str">
            <v>E</v>
          </cell>
          <cell r="D1433" t="str">
            <v>UT</v>
          </cell>
          <cell r="E1433" t="str">
            <v>20</v>
          </cell>
        </row>
        <row r="1434">
          <cell r="A1434" t="str">
            <v>JEFE DE MAQUINAS II</v>
          </cell>
          <cell r="B1434" t="str">
            <v>52322</v>
          </cell>
          <cell r="C1434" t="str">
            <v>E</v>
          </cell>
          <cell r="D1434" t="str">
            <v>UT</v>
          </cell>
          <cell r="E1434" t="str">
            <v>21</v>
          </cell>
        </row>
        <row r="1435">
          <cell r="A1435" t="str">
            <v>JEFE DE OBREROS</v>
          </cell>
          <cell r="B1435" t="str">
            <v>00923</v>
          </cell>
          <cell r="C1435" t="str">
            <v>E</v>
          </cell>
          <cell r="D1435" t="str">
            <v>DI</v>
          </cell>
          <cell r="E1435" t="str">
            <v>99</v>
          </cell>
        </row>
        <row r="1436">
          <cell r="A1436" t="str">
            <v>JEFE DE OFICINA</v>
          </cell>
          <cell r="B1436" t="str">
            <v>00907</v>
          </cell>
          <cell r="C1436" t="str">
            <v>E</v>
          </cell>
          <cell r="D1436" t="str">
            <v>DI</v>
          </cell>
          <cell r="E1436" t="str">
            <v>99</v>
          </cell>
        </row>
        <row r="1437">
          <cell r="A1437" t="str">
            <v>JEFE DE PABELLON DE FERIAS</v>
          </cell>
          <cell r="B1437" t="str">
            <v>36780</v>
          </cell>
          <cell r="C1437" t="str">
            <v>E</v>
          </cell>
          <cell r="D1437" t="str">
            <v>UT</v>
          </cell>
          <cell r="E1437" t="str">
            <v>23</v>
          </cell>
        </row>
        <row r="1438">
          <cell r="A1438" t="str">
            <v>JEFE DE PRE-ESCOLAR</v>
          </cell>
          <cell r="B1438" t="str">
            <v>17930</v>
          </cell>
          <cell r="C1438" t="str">
            <v>E</v>
          </cell>
          <cell r="D1438" t="str">
            <v>UT</v>
          </cell>
          <cell r="E1438" t="str">
            <v>17</v>
          </cell>
        </row>
        <row r="1439">
          <cell r="A1439" t="str">
            <v>JEFE DE RELACIONES PUBLICAS I</v>
          </cell>
          <cell r="B1439" t="str">
            <v>31341</v>
          </cell>
          <cell r="C1439" t="str">
            <v>E</v>
          </cell>
          <cell r="D1439" t="str">
            <v>UT</v>
          </cell>
          <cell r="E1439" t="str">
            <v>17</v>
          </cell>
        </row>
        <row r="1440">
          <cell r="A1440" t="str">
            <v>JEFE DE RELACIONES PUBLICAS II</v>
          </cell>
          <cell r="B1440" t="str">
            <v>31342</v>
          </cell>
          <cell r="C1440" t="str">
            <v>E</v>
          </cell>
          <cell r="D1440" t="str">
            <v>UT</v>
          </cell>
          <cell r="E1440" t="str">
            <v>19</v>
          </cell>
        </row>
        <row r="1441">
          <cell r="A1441" t="str">
            <v>JEFE DE RELACIONES PUBLICAS III</v>
          </cell>
          <cell r="B1441" t="str">
            <v>31343</v>
          </cell>
          <cell r="C1441" t="str">
            <v>E</v>
          </cell>
          <cell r="D1441" t="str">
            <v>UT</v>
          </cell>
          <cell r="E1441" t="str">
            <v>21</v>
          </cell>
        </row>
        <row r="1442">
          <cell r="A1442" t="str">
            <v>JEFE DE SECCION</v>
          </cell>
          <cell r="B1442" t="str">
            <v>00910</v>
          </cell>
          <cell r="C1442" t="str">
            <v>E</v>
          </cell>
          <cell r="D1442" t="str">
            <v>DI</v>
          </cell>
          <cell r="E1442" t="str">
            <v>99</v>
          </cell>
        </row>
        <row r="1443">
          <cell r="A1443" t="str">
            <v>JEFE DE SERVICIOS PORTUARIOS II</v>
          </cell>
          <cell r="B1443" t="str">
            <v>53222</v>
          </cell>
          <cell r="C1443" t="str">
            <v>E</v>
          </cell>
          <cell r="D1443" t="str">
            <v>UT</v>
          </cell>
          <cell r="E1443" t="str">
            <v>16</v>
          </cell>
        </row>
        <row r="1444">
          <cell r="A1444" t="str">
            <v>JEFE DE SERVICIOS PORTUARIOS III</v>
          </cell>
          <cell r="B1444" t="str">
            <v>53223</v>
          </cell>
          <cell r="C1444" t="str">
            <v>E</v>
          </cell>
          <cell r="D1444" t="str">
            <v>UT</v>
          </cell>
          <cell r="E1444" t="str">
            <v>18</v>
          </cell>
        </row>
        <row r="1445">
          <cell r="A1445" t="str">
            <v>JEFE DE SERVICIOS PORTUARIOS IV</v>
          </cell>
          <cell r="B1445" t="str">
            <v>53224</v>
          </cell>
          <cell r="C1445" t="str">
            <v>E</v>
          </cell>
          <cell r="D1445" t="str">
            <v>UT</v>
          </cell>
          <cell r="E1445" t="str">
            <v>20</v>
          </cell>
        </row>
        <row r="1446">
          <cell r="A1446" t="str">
            <v>JEFE DE TRANSPORTE AUTOMOTOR I</v>
          </cell>
          <cell r="B1446" t="str">
            <v>52141</v>
          </cell>
          <cell r="C1446" t="str">
            <v>E</v>
          </cell>
          <cell r="D1446" t="str">
            <v>AD</v>
          </cell>
          <cell r="E1446" t="str">
            <v>01</v>
          </cell>
        </row>
        <row r="1447">
          <cell r="A1447" t="str">
            <v>JEFE DE TRANSPORTE AUTONOMOR III</v>
          </cell>
          <cell r="B1447" t="str">
            <v>52143</v>
          </cell>
          <cell r="C1447" t="str">
            <v>E</v>
          </cell>
          <cell r="D1447" t="str">
            <v>UT</v>
          </cell>
          <cell r="E1447" t="str">
            <v>17</v>
          </cell>
        </row>
        <row r="1448">
          <cell r="A1448" t="str">
            <v>JEFE DE TRASPORTE AUTOMOTOR II</v>
          </cell>
          <cell r="B1448" t="str">
            <v>52142</v>
          </cell>
          <cell r="C1448" t="str">
            <v>E</v>
          </cell>
          <cell r="D1448" t="str">
            <v>AD</v>
          </cell>
          <cell r="E1448" t="str">
            <v>03</v>
          </cell>
        </row>
        <row r="1449">
          <cell r="A1449" t="str">
            <v>JEFE DE UNIDAD</v>
          </cell>
          <cell r="B1449" t="str">
            <v>00950</v>
          </cell>
          <cell r="C1449" t="str">
            <v>E</v>
          </cell>
          <cell r="D1449" t="str">
            <v>DI</v>
          </cell>
          <cell r="E1449" t="str">
            <v>99</v>
          </cell>
        </row>
        <row r="1450">
          <cell r="A1450" t="str">
            <v>JEFE DE ZONA</v>
          </cell>
          <cell r="B1450" t="str">
            <v>00908</v>
          </cell>
          <cell r="C1450" t="str">
            <v>E</v>
          </cell>
          <cell r="D1450" t="str">
            <v>DI</v>
          </cell>
          <cell r="E1450" t="str">
            <v>99</v>
          </cell>
        </row>
        <row r="1451">
          <cell r="A1451" t="str">
            <v>JEFE DE ZONA DE SANEAMIENTO AMBIENTAL</v>
          </cell>
          <cell r="B1451" t="str">
            <v>76310</v>
          </cell>
          <cell r="C1451" t="str">
            <v>E</v>
          </cell>
          <cell r="D1451" t="str">
            <v>UT</v>
          </cell>
          <cell r="E1451" t="str">
            <v>23</v>
          </cell>
        </row>
        <row r="1452">
          <cell r="A1452" t="str">
            <v>JEFE ESTACION DE PILOTO</v>
          </cell>
          <cell r="B1452" t="str">
            <v>52260</v>
          </cell>
          <cell r="C1452" t="str">
            <v>E</v>
          </cell>
          <cell r="D1452" t="str">
            <v>UT</v>
          </cell>
          <cell r="E1452" t="str">
            <v>18</v>
          </cell>
        </row>
        <row r="1453">
          <cell r="A1453" t="str">
            <v>JEFE SECCION DE RENDICION DE CUENTAS</v>
          </cell>
          <cell r="B1453" t="str">
            <v>00928</v>
          </cell>
          <cell r="C1453" t="str">
            <v>E</v>
          </cell>
          <cell r="D1453" t="str">
            <v>DI</v>
          </cell>
          <cell r="E1453" t="str">
            <v>99</v>
          </cell>
        </row>
        <row r="1454">
          <cell r="A1454" t="str">
            <v>JEFE TECNICO AMDINISTRATIVO</v>
          </cell>
          <cell r="B1454" t="str">
            <v>12210</v>
          </cell>
          <cell r="C1454" t="str">
            <v>E</v>
          </cell>
          <cell r="D1454" t="str">
            <v>UT</v>
          </cell>
          <cell r="E1454" t="str">
            <v>22</v>
          </cell>
        </row>
        <row r="1455">
          <cell r="A1455" t="str">
            <v>LABORATORISTA CINEMATOGRAFICO</v>
          </cell>
          <cell r="B1455" t="str">
            <v>32230</v>
          </cell>
          <cell r="C1455" t="str">
            <v>E</v>
          </cell>
          <cell r="D1455" t="str">
            <v>AD</v>
          </cell>
          <cell r="E1455" t="str">
            <v>03</v>
          </cell>
        </row>
        <row r="1456">
          <cell r="A1456" t="str">
            <v>LABORATORISTA I</v>
          </cell>
          <cell r="B1456" t="str">
            <v>45121</v>
          </cell>
          <cell r="C1456" t="str">
            <v>E</v>
          </cell>
          <cell r="D1456" t="str">
            <v>AD</v>
          </cell>
          <cell r="E1456" t="str">
            <v>01</v>
          </cell>
        </row>
        <row r="1457">
          <cell r="A1457" t="str">
            <v>LABORATORISTA II</v>
          </cell>
          <cell r="B1457" t="str">
            <v>45122</v>
          </cell>
          <cell r="C1457" t="str">
            <v>E</v>
          </cell>
          <cell r="D1457" t="str">
            <v>AD</v>
          </cell>
          <cell r="E1457" t="str">
            <v>03</v>
          </cell>
        </row>
        <row r="1458">
          <cell r="A1458" t="str">
            <v>LABORATORISTA III</v>
          </cell>
          <cell r="B1458" t="str">
            <v>45123</v>
          </cell>
          <cell r="C1458" t="str">
            <v>E</v>
          </cell>
          <cell r="D1458" t="str">
            <v>UT</v>
          </cell>
          <cell r="E1458" t="str">
            <v>15</v>
          </cell>
        </row>
        <row r="1459">
          <cell r="A1459" t="str">
            <v>LCDO(A) EN GESTION AMBIENTAL</v>
          </cell>
          <cell r="B1459" t="str">
            <v>65000</v>
          </cell>
          <cell r="C1459" t="str">
            <v>E</v>
          </cell>
          <cell r="D1459" t="str">
            <v>UT</v>
          </cell>
          <cell r="E1459" t="str">
            <v>17</v>
          </cell>
        </row>
        <row r="1460">
          <cell r="A1460" t="str">
            <v>LCDO(A) EN GESTION SOCIAL</v>
          </cell>
          <cell r="B1460" t="str">
            <v>65002</v>
          </cell>
          <cell r="C1460" t="str">
            <v>E</v>
          </cell>
          <cell r="D1460" t="str">
            <v>UT</v>
          </cell>
          <cell r="E1460" t="str">
            <v>17</v>
          </cell>
        </row>
        <row r="1461">
          <cell r="A1461" t="str">
            <v>LENGUAJE MUSICAL</v>
          </cell>
          <cell r="B1461" t="str">
            <v>03627</v>
          </cell>
          <cell r="C1461" t="str">
            <v>E</v>
          </cell>
          <cell r="D1461" t="str">
            <v>AD</v>
          </cell>
          <cell r="E1461" t="str">
            <v>01</v>
          </cell>
        </row>
        <row r="1462">
          <cell r="A1462" t="str">
            <v>LIBRETISTA DE RADIO</v>
          </cell>
          <cell r="B1462" t="str">
            <v>32160</v>
          </cell>
          <cell r="C1462" t="str">
            <v>E</v>
          </cell>
          <cell r="D1462" t="str">
            <v>UT</v>
          </cell>
          <cell r="E1462" t="str">
            <v>15</v>
          </cell>
        </row>
        <row r="1463">
          <cell r="A1463" t="str">
            <v>LIQUIDADOR DE HIDROCARBUROS I</v>
          </cell>
          <cell r="B1463" t="str">
            <v>44131</v>
          </cell>
          <cell r="C1463" t="str">
            <v>E</v>
          </cell>
          <cell r="D1463" t="str">
            <v>AD</v>
          </cell>
          <cell r="E1463" t="str">
            <v>02</v>
          </cell>
        </row>
        <row r="1464">
          <cell r="A1464" t="str">
            <v>LIQUIDADOR DE HIDROCARBUROS II</v>
          </cell>
          <cell r="B1464" t="str">
            <v>44132</v>
          </cell>
          <cell r="C1464" t="str">
            <v>E</v>
          </cell>
          <cell r="D1464" t="str">
            <v>UT</v>
          </cell>
          <cell r="E1464" t="str">
            <v>15</v>
          </cell>
        </row>
        <row r="1465">
          <cell r="A1465" t="str">
            <v>LIQUIDADOR DE HIDROCARBUROS III</v>
          </cell>
          <cell r="B1465" t="str">
            <v>44133</v>
          </cell>
          <cell r="C1465" t="str">
            <v>E</v>
          </cell>
          <cell r="D1465" t="str">
            <v>UT</v>
          </cell>
          <cell r="E1465" t="str">
            <v>17</v>
          </cell>
        </row>
        <row r="1466">
          <cell r="A1466" t="str">
            <v>LIQUIDADOR DE HIDROCARBUROS JEFE</v>
          </cell>
          <cell r="B1466" t="str">
            <v>44140</v>
          </cell>
          <cell r="C1466" t="str">
            <v>E</v>
          </cell>
          <cell r="D1466" t="str">
            <v>UT</v>
          </cell>
          <cell r="E1466" t="str">
            <v>19</v>
          </cell>
        </row>
        <row r="1467">
          <cell r="A1467" t="str">
            <v>LIQUIDADOR I</v>
          </cell>
          <cell r="B1467" t="str">
            <v>21341</v>
          </cell>
          <cell r="C1467" t="str">
            <v>E</v>
          </cell>
          <cell r="D1467" t="str">
            <v>UT</v>
          </cell>
          <cell r="E1467" t="str">
            <v>15</v>
          </cell>
        </row>
        <row r="1468">
          <cell r="A1468" t="str">
            <v>LIQUIDADOR II</v>
          </cell>
          <cell r="B1468" t="str">
            <v>21342</v>
          </cell>
          <cell r="C1468" t="str">
            <v>E</v>
          </cell>
          <cell r="D1468" t="str">
            <v>UT</v>
          </cell>
          <cell r="E1468" t="str">
            <v>17</v>
          </cell>
        </row>
        <row r="1469">
          <cell r="A1469" t="str">
            <v>LIQUIDADOR III</v>
          </cell>
          <cell r="B1469" t="str">
            <v>21343</v>
          </cell>
          <cell r="C1469" t="str">
            <v>E</v>
          </cell>
          <cell r="D1469" t="str">
            <v>UT</v>
          </cell>
          <cell r="E1469" t="str">
            <v>18</v>
          </cell>
        </row>
        <row r="1470">
          <cell r="A1470" t="str">
            <v>LIQUIDADOR JEFE</v>
          </cell>
          <cell r="B1470" t="str">
            <v>21345</v>
          </cell>
          <cell r="C1470" t="str">
            <v>E</v>
          </cell>
          <cell r="D1470" t="str">
            <v>UT</v>
          </cell>
          <cell r="E1470" t="str">
            <v>20</v>
          </cell>
        </row>
        <row r="1471">
          <cell r="A1471" t="str">
            <v>LOCUTOR I</v>
          </cell>
          <cell r="B1471" t="str">
            <v>32141</v>
          </cell>
          <cell r="C1471" t="str">
            <v>E</v>
          </cell>
          <cell r="D1471" t="str">
            <v>AD</v>
          </cell>
          <cell r="E1471" t="str">
            <v>03</v>
          </cell>
        </row>
        <row r="1472">
          <cell r="A1472" t="str">
            <v>LOCUTOR II</v>
          </cell>
          <cell r="B1472" t="str">
            <v>32142</v>
          </cell>
          <cell r="C1472" t="str">
            <v>E</v>
          </cell>
          <cell r="D1472" t="str">
            <v>AD</v>
          </cell>
          <cell r="E1472" t="str">
            <v>05</v>
          </cell>
        </row>
        <row r="1473">
          <cell r="A1473" t="str">
            <v>MAESTRA (33.33 HORAS) Y PROF. PH GR (20 HORAS)</v>
          </cell>
          <cell r="B1473" t="str">
            <v>40239</v>
          </cell>
          <cell r="C1473" t="str">
            <v>E</v>
          </cell>
          <cell r="D1473" t="str">
            <v>DO</v>
          </cell>
          <cell r="E1473" t="str">
            <v/>
          </cell>
        </row>
        <row r="1474">
          <cell r="A1474" t="str">
            <v>MAESTRA ALFABETIZADORA</v>
          </cell>
          <cell r="B1474" t="str">
            <v>40152</v>
          </cell>
          <cell r="C1474" t="str">
            <v>E</v>
          </cell>
          <cell r="D1474" t="str">
            <v>DO</v>
          </cell>
          <cell r="E1474" t="str">
            <v/>
          </cell>
        </row>
        <row r="1475">
          <cell r="A1475" t="str">
            <v>MAESTRA BIBLIOTECARIA</v>
          </cell>
          <cell r="B1475" t="str">
            <v>40003</v>
          </cell>
          <cell r="C1475" t="str">
            <v>E</v>
          </cell>
          <cell r="D1475" t="str">
            <v>DO</v>
          </cell>
          <cell r="E1475" t="str">
            <v/>
          </cell>
        </row>
        <row r="1476">
          <cell r="A1476" t="str">
            <v>MAESTRA COORDINADORA</v>
          </cell>
          <cell r="B1476" t="str">
            <v>40153</v>
          </cell>
          <cell r="C1476" t="str">
            <v>E</v>
          </cell>
          <cell r="D1476" t="str">
            <v>DO</v>
          </cell>
          <cell r="E1476" t="str">
            <v/>
          </cell>
        </row>
        <row r="1477">
          <cell r="A1477" t="str">
            <v>MAESTRA N§ 10</v>
          </cell>
          <cell r="B1477" t="str">
            <v>40154</v>
          </cell>
          <cell r="C1477" t="str">
            <v>E</v>
          </cell>
          <cell r="D1477" t="str">
            <v>DO</v>
          </cell>
          <cell r="E1477" t="str">
            <v/>
          </cell>
        </row>
        <row r="1478">
          <cell r="A1478" t="str">
            <v>MAESTRA N§ 2</v>
          </cell>
          <cell r="B1478" t="str">
            <v>40155</v>
          </cell>
          <cell r="C1478" t="str">
            <v>E</v>
          </cell>
          <cell r="D1478" t="str">
            <v>DO</v>
          </cell>
          <cell r="E1478" t="str">
            <v/>
          </cell>
        </row>
        <row r="1479">
          <cell r="A1479" t="str">
            <v>MAESTRA NORMALISTA</v>
          </cell>
          <cell r="B1479" t="str">
            <v>40156</v>
          </cell>
          <cell r="C1479" t="str">
            <v>E</v>
          </cell>
          <cell r="D1479" t="str">
            <v>DO</v>
          </cell>
          <cell r="E1479" t="str">
            <v/>
          </cell>
        </row>
        <row r="1480">
          <cell r="A1480" t="str">
            <v>MAESTRA TIPO A</v>
          </cell>
          <cell r="B1480" t="str">
            <v>40157</v>
          </cell>
          <cell r="C1480" t="str">
            <v>E</v>
          </cell>
          <cell r="D1480" t="str">
            <v>DO</v>
          </cell>
          <cell r="E1480" t="str">
            <v/>
          </cell>
        </row>
        <row r="1481">
          <cell r="A1481" t="str">
            <v>MAESTRO TCVDNMA</v>
          </cell>
          <cell r="B1481" t="str">
            <v>40302</v>
          </cell>
          <cell r="C1481" t="str">
            <v>E</v>
          </cell>
          <cell r="D1481" t="str">
            <v>DO</v>
          </cell>
          <cell r="E1481" t="str">
            <v/>
          </cell>
        </row>
        <row r="1482">
          <cell r="A1482" t="str">
            <v>MAESTRO(A)</v>
          </cell>
          <cell r="B1482" t="str">
            <v>40001</v>
          </cell>
          <cell r="C1482" t="str">
            <v>E</v>
          </cell>
          <cell r="D1482" t="str">
            <v>DO</v>
          </cell>
          <cell r="E1482" t="str">
            <v/>
          </cell>
        </row>
        <row r="1483">
          <cell r="A1483" t="str">
            <v>MANDOLINA</v>
          </cell>
          <cell r="B1483" t="str">
            <v>03618</v>
          </cell>
          <cell r="C1483" t="str">
            <v>E</v>
          </cell>
          <cell r="D1483" t="str">
            <v>AD</v>
          </cell>
          <cell r="E1483" t="str">
            <v>01</v>
          </cell>
        </row>
        <row r="1484">
          <cell r="A1484" t="str">
            <v>MAQUETISTA I</v>
          </cell>
          <cell r="B1484" t="str">
            <v>43521</v>
          </cell>
          <cell r="C1484" t="str">
            <v>E</v>
          </cell>
          <cell r="D1484" t="str">
            <v>AD</v>
          </cell>
          <cell r="E1484" t="str">
            <v>03</v>
          </cell>
        </row>
        <row r="1485">
          <cell r="A1485" t="str">
            <v>MAQUETISTA II</v>
          </cell>
          <cell r="B1485" t="str">
            <v>43522</v>
          </cell>
          <cell r="C1485" t="str">
            <v>E</v>
          </cell>
          <cell r="D1485" t="str">
            <v>AD</v>
          </cell>
          <cell r="E1485" t="str">
            <v>05</v>
          </cell>
        </row>
        <row r="1486">
          <cell r="A1486" t="str">
            <v>MAQUILLADOR</v>
          </cell>
          <cell r="B1486" t="str">
            <v>32115</v>
          </cell>
          <cell r="C1486" t="str">
            <v>E</v>
          </cell>
          <cell r="D1486" t="str">
            <v>AD</v>
          </cell>
          <cell r="E1486" t="str">
            <v>01</v>
          </cell>
        </row>
        <row r="1487">
          <cell r="A1487" t="str">
            <v>MAQUINISTA DE REMOLCADOR</v>
          </cell>
          <cell r="B1487" t="str">
            <v>52350</v>
          </cell>
          <cell r="C1487" t="str">
            <v>E</v>
          </cell>
          <cell r="D1487" t="str">
            <v>UT</v>
          </cell>
          <cell r="E1487" t="str">
            <v>15</v>
          </cell>
        </row>
        <row r="1488">
          <cell r="A1488" t="str">
            <v>MAQUINISTA DE TRANSPORTE NAVAL</v>
          </cell>
          <cell r="B1488" t="str">
            <v>52390</v>
          </cell>
          <cell r="C1488" t="str">
            <v>E</v>
          </cell>
          <cell r="D1488" t="str">
            <v>UT</v>
          </cell>
          <cell r="E1488" t="str">
            <v>15</v>
          </cell>
        </row>
        <row r="1489">
          <cell r="A1489" t="str">
            <v>MATEMATICO I</v>
          </cell>
          <cell r="B1489" t="str">
            <v>47221</v>
          </cell>
          <cell r="C1489" t="str">
            <v>E</v>
          </cell>
          <cell r="D1489" t="str">
            <v>UT</v>
          </cell>
          <cell r="E1489" t="str">
            <v>17</v>
          </cell>
        </row>
        <row r="1490">
          <cell r="A1490" t="str">
            <v>MATEMATICO II</v>
          </cell>
          <cell r="B1490" t="str">
            <v>47222</v>
          </cell>
          <cell r="C1490" t="str">
            <v>E</v>
          </cell>
          <cell r="D1490" t="str">
            <v>UT</v>
          </cell>
          <cell r="E1490" t="str">
            <v>19</v>
          </cell>
        </row>
        <row r="1491">
          <cell r="A1491" t="str">
            <v>MAYOR (BOMBERO)</v>
          </cell>
          <cell r="B1491" t="str">
            <v>62400</v>
          </cell>
          <cell r="C1491" t="str">
            <v>E</v>
          </cell>
          <cell r="D1491" t="str">
            <v>BO</v>
          </cell>
          <cell r="E1491" t="str">
            <v/>
          </cell>
        </row>
        <row r="1492">
          <cell r="A1492" t="str">
            <v>MECANOGRAFA(O) II</v>
          </cell>
          <cell r="B1492" t="str">
            <v>10001</v>
          </cell>
          <cell r="C1492" t="str">
            <v>E</v>
          </cell>
          <cell r="D1492" t="str">
            <v>AD</v>
          </cell>
          <cell r="E1492" t="str">
            <v>03</v>
          </cell>
        </row>
        <row r="1493">
          <cell r="A1493" t="str">
            <v>MEDICO DE SALUD PUBLICA I</v>
          </cell>
          <cell r="B1493" t="str">
            <v>75211</v>
          </cell>
          <cell r="C1493" t="str">
            <v>E</v>
          </cell>
          <cell r="D1493" t="str">
            <v>UT</v>
          </cell>
          <cell r="E1493" t="str">
            <v>19</v>
          </cell>
        </row>
        <row r="1494">
          <cell r="A1494" t="str">
            <v>MEDICO DE SALUD PUBLICA II</v>
          </cell>
          <cell r="B1494" t="str">
            <v>75212</v>
          </cell>
          <cell r="C1494" t="str">
            <v>E</v>
          </cell>
          <cell r="D1494" t="str">
            <v>UT</v>
          </cell>
          <cell r="E1494" t="str">
            <v>21</v>
          </cell>
        </row>
        <row r="1495">
          <cell r="A1495" t="str">
            <v>MEDICO DE SALUD PUBLICA III</v>
          </cell>
          <cell r="B1495" t="str">
            <v>75213</v>
          </cell>
          <cell r="C1495" t="str">
            <v>E</v>
          </cell>
          <cell r="D1495" t="str">
            <v>UT</v>
          </cell>
          <cell r="E1495" t="str">
            <v>22</v>
          </cell>
        </row>
        <row r="1496">
          <cell r="A1496" t="str">
            <v>MEDICO DE SALUD PUBLICA JEFE</v>
          </cell>
          <cell r="B1496" t="str">
            <v>75221</v>
          </cell>
          <cell r="C1496" t="str">
            <v>E</v>
          </cell>
          <cell r="D1496" t="str">
            <v>UT</v>
          </cell>
          <cell r="E1496" t="str">
            <v>23</v>
          </cell>
        </row>
        <row r="1497">
          <cell r="A1497" t="str">
            <v>MEDICO DE SALUD PUBLICA JEFE II</v>
          </cell>
          <cell r="B1497" t="str">
            <v>75222</v>
          </cell>
          <cell r="C1497" t="str">
            <v>E</v>
          </cell>
          <cell r="D1497" t="str">
            <v>UT</v>
          </cell>
          <cell r="E1497" t="str">
            <v>24</v>
          </cell>
        </row>
        <row r="1498">
          <cell r="A1498" t="str">
            <v>MEDICO DE SALUD PUBLICA JEFE III</v>
          </cell>
          <cell r="B1498" t="str">
            <v>75223</v>
          </cell>
          <cell r="C1498" t="str">
            <v>E</v>
          </cell>
          <cell r="D1498" t="str">
            <v>UT</v>
          </cell>
          <cell r="E1498" t="str">
            <v>25</v>
          </cell>
        </row>
        <row r="1499">
          <cell r="A1499" t="str">
            <v>MEDICO DIRECTOR DE HOSPITAL I</v>
          </cell>
          <cell r="B1499" t="str">
            <v>75151</v>
          </cell>
          <cell r="C1499" t="str">
            <v>E</v>
          </cell>
          <cell r="D1499" t="str">
            <v>UT</v>
          </cell>
          <cell r="E1499" t="str">
            <v>22</v>
          </cell>
        </row>
        <row r="1500">
          <cell r="A1500" t="str">
            <v>MEDICO DIRECTOR DE HOSPITAL II</v>
          </cell>
          <cell r="B1500" t="str">
            <v>75152</v>
          </cell>
          <cell r="C1500" t="str">
            <v>E</v>
          </cell>
          <cell r="D1500" t="str">
            <v>UT</v>
          </cell>
          <cell r="E1500" t="str">
            <v>23</v>
          </cell>
        </row>
        <row r="1501">
          <cell r="A1501" t="str">
            <v>MEDICO DIRECTOR DE HOSPITAL III</v>
          </cell>
          <cell r="B1501" t="str">
            <v>75153</v>
          </cell>
          <cell r="C1501" t="str">
            <v>E</v>
          </cell>
          <cell r="D1501" t="str">
            <v>UT</v>
          </cell>
          <cell r="E1501" t="str">
            <v>24</v>
          </cell>
        </row>
        <row r="1502">
          <cell r="A1502" t="str">
            <v>MEDICO DIRECTOR DE HOSPITAL IV</v>
          </cell>
          <cell r="B1502" t="str">
            <v>75154</v>
          </cell>
          <cell r="C1502" t="str">
            <v>E</v>
          </cell>
          <cell r="D1502" t="str">
            <v>UT</v>
          </cell>
          <cell r="E1502" t="str">
            <v>25</v>
          </cell>
        </row>
        <row r="1503">
          <cell r="A1503" t="str">
            <v>MEDICO ESPECIALISTA I</v>
          </cell>
          <cell r="B1503" t="str">
            <v>75311</v>
          </cell>
          <cell r="C1503" t="str">
            <v>E</v>
          </cell>
          <cell r="D1503" t="str">
            <v>UT</v>
          </cell>
          <cell r="E1503" t="str">
            <v>19</v>
          </cell>
        </row>
        <row r="1504">
          <cell r="A1504" t="str">
            <v>MEDICO ESPECIALISTA II</v>
          </cell>
          <cell r="B1504" t="str">
            <v>75312</v>
          </cell>
          <cell r="C1504" t="str">
            <v>E</v>
          </cell>
          <cell r="D1504" t="str">
            <v>UT</v>
          </cell>
          <cell r="E1504" t="str">
            <v>21</v>
          </cell>
        </row>
        <row r="1505">
          <cell r="A1505" t="str">
            <v>MEDICO I</v>
          </cell>
          <cell r="B1505" t="str">
            <v>75131</v>
          </cell>
          <cell r="C1505" t="str">
            <v>E</v>
          </cell>
          <cell r="D1505" t="str">
            <v>UT</v>
          </cell>
          <cell r="E1505" t="str">
            <v>18</v>
          </cell>
        </row>
        <row r="1506">
          <cell r="A1506" t="str">
            <v>MEDICO II</v>
          </cell>
          <cell r="B1506" t="str">
            <v>75132</v>
          </cell>
          <cell r="C1506" t="str">
            <v>E</v>
          </cell>
          <cell r="D1506" t="str">
            <v>UT</v>
          </cell>
          <cell r="E1506" t="str">
            <v>20</v>
          </cell>
        </row>
        <row r="1507">
          <cell r="A1507" t="str">
            <v>MEDICO INTERNO</v>
          </cell>
          <cell r="B1507" t="str">
            <v>75110</v>
          </cell>
          <cell r="C1507" t="str">
            <v>E</v>
          </cell>
          <cell r="D1507" t="str">
            <v>UT</v>
          </cell>
          <cell r="E1507" t="str">
            <v>17</v>
          </cell>
        </row>
        <row r="1508">
          <cell r="A1508" t="str">
            <v>MEDICO JEFE I</v>
          </cell>
          <cell r="B1508" t="str">
            <v>75141</v>
          </cell>
          <cell r="C1508" t="str">
            <v>E</v>
          </cell>
          <cell r="D1508" t="str">
            <v>AD</v>
          </cell>
          <cell r="E1508" t="str">
            <v>21</v>
          </cell>
        </row>
        <row r="1509">
          <cell r="A1509" t="str">
            <v>MEDICO JEFE II</v>
          </cell>
          <cell r="B1509" t="str">
            <v>75142</v>
          </cell>
          <cell r="C1509" t="str">
            <v>E</v>
          </cell>
          <cell r="D1509" t="str">
            <v>UT</v>
          </cell>
          <cell r="E1509" t="str">
            <v>22</v>
          </cell>
        </row>
        <row r="1510">
          <cell r="A1510" t="str">
            <v>MEDICO JEFE III</v>
          </cell>
          <cell r="B1510" t="str">
            <v>75143</v>
          </cell>
          <cell r="C1510" t="str">
            <v>E</v>
          </cell>
          <cell r="D1510" t="str">
            <v>UT</v>
          </cell>
          <cell r="E1510" t="str">
            <v>23</v>
          </cell>
        </row>
        <row r="1511">
          <cell r="A1511" t="str">
            <v>MEDICO JEFE IV</v>
          </cell>
          <cell r="B1511" t="str">
            <v>75144</v>
          </cell>
          <cell r="C1511" t="str">
            <v>E</v>
          </cell>
          <cell r="D1511" t="str">
            <v>UT</v>
          </cell>
          <cell r="E1511" t="str">
            <v>24</v>
          </cell>
        </row>
        <row r="1512">
          <cell r="A1512" t="str">
            <v>MEDICO RESIDENTE</v>
          </cell>
          <cell r="B1512" t="str">
            <v>75120</v>
          </cell>
          <cell r="C1512" t="str">
            <v>E</v>
          </cell>
          <cell r="D1512" t="str">
            <v>UT</v>
          </cell>
          <cell r="E1512" t="str">
            <v>18</v>
          </cell>
        </row>
        <row r="1513">
          <cell r="A1513" t="str">
            <v>MEDICO VETERINARIO I</v>
          </cell>
          <cell r="B1513" t="str">
            <v>78211</v>
          </cell>
          <cell r="C1513" t="str">
            <v>E</v>
          </cell>
          <cell r="D1513" t="str">
            <v>UT</v>
          </cell>
          <cell r="E1513" t="str">
            <v>18</v>
          </cell>
        </row>
        <row r="1514">
          <cell r="A1514" t="str">
            <v>MEDICO VETERINARIO II</v>
          </cell>
          <cell r="B1514" t="str">
            <v>78212</v>
          </cell>
          <cell r="C1514" t="str">
            <v>E</v>
          </cell>
          <cell r="D1514" t="str">
            <v>UT</v>
          </cell>
          <cell r="E1514" t="str">
            <v>19</v>
          </cell>
        </row>
        <row r="1515">
          <cell r="A1515" t="str">
            <v>MEDICO VETERINARIO III</v>
          </cell>
          <cell r="B1515" t="str">
            <v>78213</v>
          </cell>
          <cell r="C1515" t="str">
            <v>E</v>
          </cell>
          <cell r="D1515" t="str">
            <v>UT</v>
          </cell>
          <cell r="E1515" t="str">
            <v>21</v>
          </cell>
        </row>
        <row r="1516">
          <cell r="A1516" t="str">
            <v>MEDICO VETERINARIO JEFE I</v>
          </cell>
          <cell r="B1516" t="str">
            <v>78221</v>
          </cell>
          <cell r="C1516" t="str">
            <v>E</v>
          </cell>
          <cell r="D1516" t="str">
            <v>UT</v>
          </cell>
          <cell r="E1516" t="str">
            <v>22</v>
          </cell>
        </row>
        <row r="1517">
          <cell r="A1517" t="str">
            <v>MEDICO VETERINARIO JEFE II</v>
          </cell>
          <cell r="B1517" t="str">
            <v>78222</v>
          </cell>
          <cell r="C1517" t="str">
            <v>E</v>
          </cell>
          <cell r="D1517" t="str">
            <v>UT</v>
          </cell>
          <cell r="E1517" t="str">
            <v>24</v>
          </cell>
        </row>
        <row r="1518">
          <cell r="A1518" t="str">
            <v>METROLOGO I</v>
          </cell>
          <cell r="B1518" t="str">
            <v>84231</v>
          </cell>
          <cell r="C1518" t="str">
            <v>E</v>
          </cell>
          <cell r="D1518" t="str">
            <v>UT</v>
          </cell>
          <cell r="E1518" t="str">
            <v>18</v>
          </cell>
        </row>
        <row r="1519">
          <cell r="A1519" t="str">
            <v>METROLOGO II</v>
          </cell>
          <cell r="B1519" t="str">
            <v>84232</v>
          </cell>
          <cell r="C1519" t="str">
            <v>E</v>
          </cell>
          <cell r="D1519" t="str">
            <v>UT</v>
          </cell>
          <cell r="E1519" t="str">
            <v>19</v>
          </cell>
        </row>
        <row r="1520">
          <cell r="A1520" t="str">
            <v>METROLOGO III</v>
          </cell>
          <cell r="B1520" t="str">
            <v>84233</v>
          </cell>
          <cell r="C1520" t="str">
            <v>E</v>
          </cell>
          <cell r="D1520" t="str">
            <v>UT</v>
          </cell>
          <cell r="E1520" t="str">
            <v>21</v>
          </cell>
        </row>
        <row r="1521">
          <cell r="A1521" t="str">
            <v>METROLOGO JEFE I</v>
          </cell>
          <cell r="B1521" t="str">
            <v>84241</v>
          </cell>
          <cell r="C1521" t="str">
            <v>E</v>
          </cell>
          <cell r="D1521" t="str">
            <v>UT</v>
          </cell>
          <cell r="E1521" t="str">
            <v>22</v>
          </cell>
        </row>
        <row r="1522">
          <cell r="A1522" t="str">
            <v>METROLOGO JEFE II</v>
          </cell>
          <cell r="B1522" t="str">
            <v>84242</v>
          </cell>
          <cell r="C1522" t="str">
            <v>E</v>
          </cell>
          <cell r="D1522" t="str">
            <v>UT</v>
          </cell>
          <cell r="E1522" t="str">
            <v>24</v>
          </cell>
        </row>
        <row r="1523">
          <cell r="A1523" t="str">
            <v>MICROBIOLOGO I</v>
          </cell>
          <cell r="B1523" t="str">
            <v>72311</v>
          </cell>
          <cell r="C1523" t="str">
            <v>E</v>
          </cell>
          <cell r="D1523" t="str">
            <v>UT</v>
          </cell>
          <cell r="E1523" t="str">
            <v>19</v>
          </cell>
        </row>
        <row r="1524">
          <cell r="A1524" t="str">
            <v>MICROBIOLOGO II</v>
          </cell>
          <cell r="B1524" t="str">
            <v>72312</v>
          </cell>
          <cell r="C1524" t="str">
            <v>E</v>
          </cell>
          <cell r="D1524" t="str">
            <v>UT</v>
          </cell>
          <cell r="E1524" t="str">
            <v>20</v>
          </cell>
        </row>
        <row r="1525">
          <cell r="A1525" t="str">
            <v>MICROBIOLOGO III</v>
          </cell>
          <cell r="B1525" t="str">
            <v>72313</v>
          </cell>
          <cell r="C1525" t="str">
            <v>E</v>
          </cell>
          <cell r="D1525" t="str">
            <v>UT</v>
          </cell>
          <cell r="E1525" t="str">
            <v>22</v>
          </cell>
        </row>
        <row r="1526">
          <cell r="A1526" t="str">
            <v>MICROBIOLOGO JEFE</v>
          </cell>
          <cell r="B1526" t="str">
            <v>72320</v>
          </cell>
          <cell r="C1526" t="str">
            <v>E</v>
          </cell>
          <cell r="D1526" t="str">
            <v>UT</v>
          </cell>
          <cell r="E1526" t="str">
            <v>24</v>
          </cell>
        </row>
        <row r="1527">
          <cell r="A1527" t="str">
            <v>MICROFILMADOR I</v>
          </cell>
          <cell r="B1527" t="str">
            <v>45341</v>
          </cell>
          <cell r="C1527" t="str">
            <v>E</v>
          </cell>
          <cell r="D1527" t="str">
            <v>AD</v>
          </cell>
          <cell r="E1527" t="str">
            <v>02</v>
          </cell>
        </row>
        <row r="1528">
          <cell r="A1528" t="str">
            <v>MICROFILMADOR II</v>
          </cell>
          <cell r="B1528" t="str">
            <v>45342</v>
          </cell>
          <cell r="C1528" t="str">
            <v>E</v>
          </cell>
          <cell r="D1528" t="str">
            <v>UT</v>
          </cell>
          <cell r="E1528" t="str">
            <v>15</v>
          </cell>
        </row>
        <row r="1529">
          <cell r="A1529" t="str">
            <v>MICROFILMADOR III</v>
          </cell>
          <cell r="B1529" t="str">
            <v>45343</v>
          </cell>
          <cell r="C1529" t="str">
            <v>E</v>
          </cell>
          <cell r="D1529" t="str">
            <v>UT</v>
          </cell>
          <cell r="E1529" t="str">
            <v>17</v>
          </cell>
        </row>
        <row r="1530">
          <cell r="A1530" t="str">
            <v>MICROFILMADOR IV</v>
          </cell>
          <cell r="B1530" t="str">
            <v>45344</v>
          </cell>
          <cell r="C1530" t="str">
            <v>E</v>
          </cell>
          <cell r="D1530" t="str">
            <v>UT</v>
          </cell>
          <cell r="E1530" t="str">
            <v>19</v>
          </cell>
        </row>
        <row r="1531">
          <cell r="A1531" t="str">
            <v>MUSEOGRAFO I</v>
          </cell>
          <cell r="B1531" t="str">
            <v>37221</v>
          </cell>
          <cell r="C1531" t="str">
            <v>E</v>
          </cell>
          <cell r="D1531" t="str">
            <v>UT</v>
          </cell>
          <cell r="E1531" t="str">
            <v>17</v>
          </cell>
        </row>
        <row r="1532">
          <cell r="A1532" t="str">
            <v>MUSEOGRAFO II</v>
          </cell>
          <cell r="B1532" t="str">
            <v>37222</v>
          </cell>
          <cell r="C1532" t="str">
            <v>E</v>
          </cell>
          <cell r="D1532" t="str">
            <v>UT</v>
          </cell>
          <cell r="E1532" t="str">
            <v>19</v>
          </cell>
        </row>
        <row r="1533">
          <cell r="A1533" t="str">
            <v>MUSEOGRAFO III</v>
          </cell>
          <cell r="B1533" t="str">
            <v>37223</v>
          </cell>
          <cell r="C1533" t="str">
            <v>E</v>
          </cell>
          <cell r="D1533" t="str">
            <v>UT</v>
          </cell>
          <cell r="E1533" t="str">
            <v>20</v>
          </cell>
        </row>
        <row r="1534">
          <cell r="A1534" t="str">
            <v>MUSEOLOGO</v>
          </cell>
          <cell r="B1534" t="str">
            <v>37111</v>
          </cell>
          <cell r="C1534" t="str">
            <v>E</v>
          </cell>
          <cell r="D1534" t="str">
            <v>UT</v>
          </cell>
          <cell r="E1534" t="str">
            <v>17</v>
          </cell>
        </row>
        <row r="1535">
          <cell r="A1535" t="str">
            <v>MUSEOLOGO II</v>
          </cell>
          <cell r="B1535" t="str">
            <v>37112</v>
          </cell>
          <cell r="C1535" t="str">
            <v>E</v>
          </cell>
          <cell r="D1535" t="str">
            <v>UT</v>
          </cell>
          <cell r="E1535" t="str">
            <v>19</v>
          </cell>
        </row>
        <row r="1536">
          <cell r="A1536" t="str">
            <v>MUSEOLOGO III</v>
          </cell>
          <cell r="B1536" t="str">
            <v>37113</v>
          </cell>
          <cell r="C1536" t="str">
            <v>E</v>
          </cell>
          <cell r="D1536" t="str">
            <v>UT</v>
          </cell>
          <cell r="E1536" t="str">
            <v>21</v>
          </cell>
        </row>
        <row r="1537">
          <cell r="A1537" t="str">
            <v>MUSEOLOGO IV</v>
          </cell>
          <cell r="B1537" t="str">
            <v>37114</v>
          </cell>
          <cell r="C1537" t="str">
            <v>E</v>
          </cell>
          <cell r="D1537" t="str">
            <v>UT</v>
          </cell>
          <cell r="E1537" t="str">
            <v>22</v>
          </cell>
        </row>
        <row r="1538">
          <cell r="A1538" t="str">
            <v>OBOE</v>
          </cell>
          <cell r="B1538" t="str">
            <v>03620</v>
          </cell>
          <cell r="C1538" t="str">
            <v>E</v>
          </cell>
          <cell r="D1538" t="str">
            <v>AD</v>
          </cell>
          <cell r="E1538" t="str">
            <v>01</v>
          </cell>
        </row>
        <row r="1539">
          <cell r="A1539" t="str">
            <v>OBOE</v>
          </cell>
          <cell r="B1539" t="str">
            <v>03621</v>
          </cell>
          <cell r="C1539" t="str">
            <v>E</v>
          </cell>
          <cell r="D1539" t="str">
            <v>AD</v>
          </cell>
          <cell r="E1539" t="str">
            <v>01</v>
          </cell>
        </row>
        <row r="1540">
          <cell r="A1540" t="str">
            <v>OBOE 1</v>
          </cell>
          <cell r="B1540" t="str">
            <v>03540</v>
          </cell>
          <cell r="C1540" t="str">
            <v>E</v>
          </cell>
          <cell r="D1540" t="str">
            <v>AD</v>
          </cell>
          <cell r="E1540" t="str">
            <v>01</v>
          </cell>
        </row>
        <row r="1541">
          <cell r="A1541" t="str">
            <v>OBOE 2</v>
          </cell>
          <cell r="B1541" t="str">
            <v>03566</v>
          </cell>
          <cell r="C1541" t="str">
            <v>E</v>
          </cell>
          <cell r="D1541" t="str">
            <v>AD</v>
          </cell>
          <cell r="E1541" t="str">
            <v>01</v>
          </cell>
        </row>
        <row r="1542">
          <cell r="A1542" t="str">
            <v>OBSERVADOR DE RADIO Y TV I</v>
          </cell>
          <cell r="B1542" t="str">
            <v>84421</v>
          </cell>
          <cell r="C1542" t="str">
            <v>E</v>
          </cell>
          <cell r="D1542" t="str">
            <v>AD</v>
          </cell>
          <cell r="E1542" t="str">
            <v>01</v>
          </cell>
        </row>
        <row r="1543">
          <cell r="A1543" t="str">
            <v>OBSERVADOR DE RADIO Y TV II</v>
          </cell>
          <cell r="B1543" t="str">
            <v>84422</v>
          </cell>
          <cell r="C1543" t="str">
            <v>E</v>
          </cell>
          <cell r="D1543" t="str">
            <v>UT</v>
          </cell>
          <cell r="E1543" t="str">
            <v>15</v>
          </cell>
        </row>
        <row r="1544">
          <cell r="A1544" t="str">
            <v>ODONTOLO II</v>
          </cell>
          <cell r="B1544" t="str">
            <v>73212</v>
          </cell>
          <cell r="C1544" t="str">
            <v>E</v>
          </cell>
          <cell r="D1544" t="str">
            <v>UT</v>
          </cell>
          <cell r="E1544" t="str">
            <v>19</v>
          </cell>
        </row>
        <row r="1545">
          <cell r="A1545" t="str">
            <v>ODONTOLOGO I</v>
          </cell>
          <cell r="B1545" t="str">
            <v>73211</v>
          </cell>
          <cell r="C1545" t="str">
            <v>E</v>
          </cell>
          <cell r="D1545" t="str">
            <v>UT</v>
          </cell>
          <cell r="E1545" t="str">
            <v>17</v>
          </cell>
        </row>
        <row r="1546">
          <cell r="A1546" t="str">
            <v>ODONTOLOGO III</v>
          </cell>
          <cell r="B1546" t="str">
            <v>73213</v>
          </cell>
          <cell r="C1546" t="str">
            <v>E</v>
          </cell>
          <cell r="D1546" t="str">
            <v>UT</v>
          </cell>
          <cell r="E1546" t="str">
            <v>21</v>
          </cell>
        </row>
        <row r="1547">
          <cell r="A1547" t="str">
            <v>ODONTOLOGO JEFE I</v>
          </cell>
          <cell r="B1547" t="str">
            <v>73221</v>
          </cell>
          <cell r="C1547" t="str">
            <v>E</v>
          </cell>
          <cell r="D1547" t="str">
            <v>UT</v>
          </cell>
          <cell r="E1547" t="str">
            <v>23</v>
          </cell>
        </row>
        <row r="1548">
          <cell r="A1548" t="str">
            <v>ODONTOLOGO JEFE II</v>
          </cell>
          <cell r="B1548" t="str">
            <v>73222</v>
          </cell>
          <cell r="C1548" t="str">
            <v>E</v>
          </cell>
          <cell r="D1548" t="str">
            <v>UT</v>
          </cell>
          <cell r="E1548" t="str">
            <v>24</v>
          </cell>
        </row>
        <row r="1549">
          <cell r="A1549" t="str">
            <v>OFICIAL</v>
          </cell>
          <cell r="B1549" t="str">
            <v>90000</v>
          </cell>
          <cell r="C1549" t="str">
            <v>E</v>
          </cell>
          <cell r="D1549" t="str">
            <v>PO</v>
          </cell>
          <cell r="E1549" t="str">
            <v/>
          </cell>
        </row>
        <row r="1550">
          <cell r="A1550" t="str">
            <v>OFICIAL (GRADO 0)</v>
          </cell>
          <cell r="B1550" t="str">
            <v>90020</v>
          </cell>
          <cell r="C1550" t="str">
            <v>E</v>
          </cell>
          <cell r="D1550" t="str">
            <v>PO</v>
          </cell>
          <cell r="E1550" t="str">
            <v/>
          </cell>
        </row>
        <row r="1551">
          <cell r="A1551" t="str">
            <v>OFICIAL (GRADO 1)</v>
          </cell>
          <cell r="B1551" t="str">
            <v>90021</v>
          </cell>
          <cell r="C1551" t="str">
            <v>E</v>
          </cell>
          <cell r="D1551" t="str">
            <v>PO</v>
          </cell>
          <cell r="E1551" t="str">
            <v/>
          </cell>
        </row>
        <row r="1552">
          <cell r="A1552" t="str">
            <v>OFICIAL (GRADO 2)</v>
          </cell>
          <cell r="B1552" t="str">
            <v>90022</v>
          </cell>
          <cell r="C1552" t="str">
            <v>E</v>
          </cell>
          <cell r="D1552" t="str">
            <v>PO</v>
          </cell>
          <cell r="E1552" t="str">
            <v/>
          </cell>
        </row>
        <row r="1553">
          <cell r="A1553" t="str">
            <v>OFICIAL AGREGADO</v>
          </cell>
          <cell r="B1553" t="str">
            <v>90001</v>
          </cell>
          <cell r="C1553" t="str">
            <v>E</v>
          </cell>
          <cell r="D1553" t="str">
            <v>PO</v>
          </cell>
          <cell r="E1553" t="str">
            <v/>
          </cell>
        </row>
        <row r="1554">
          <cell r="A1554" t="str">
            <v>OFICIAL AGREGADO (GRADO 0)</v>
          </cell>
          <cell r="B1554" t="str">
            <v>90023</v>
          </cell>
          <cell r="C1554" t="str">
            <v>E</v>
          </cell>
          <cell r="D1554" t="str">
            <v>PO</v>
          </cell>
          <cell r="E1554" t="str">
            <v/>
          </cell>
        </row>
        <row r="1555">
          <cell r="A1555" t="str">
            <v>OFICIAL AGREGADO (GRADO 1)</v>
          </cell>
          <cell r="B1555" t="str">
            <v>90024</v>
          </cell>
          <cell r="C1555" t="str">
            <v>E</v>
          </cell>
          <cell r="D1555" t="str">
            <v>PO</v>
          </cell>
          <cell r="E1555" t="str">
            <v/>
          </cell>
        </row>
        <row r="1556">
          <cell r="A1556" t="str">
            <v>OFICIAL AGREGADO (GRADO 2)</v>
          </cell>
          <cell r="B1556" t="str">
            <v>90025</v>
          </cell>
          <cell r="C1556" t="str">
            <v>E</v>
          </cell>
          <cell r="D1556" t="str">
            <v>PO</v>
          </cell>
          <cell r="E1556" t="str">
            <v/>
          </cell>
        </row>
        <row r="1557">
          <cell r="A1557" t="str">
            <v>OFICIAL DE BUSQUEDA Y SALVAMENTO I</v>
          </cell>
          <cell r="B1557" t="str">
            <v>85511</v>
          </cell>
          <cell r="C1557" t="str">
            <v>E</v>
          </cell>
          <cell r="D1557" t="str">
            <v>AD</v>
          </cell>
          <cell r="E1557" t="str">
            <v>11</v>
          </cell>
        </row>
        <row r="1558">
          <cell r="A1558" t="str">
            <v>OFICIAL DE BUSQUEDA Y SALVAMENTO II</v>
          </cell>
          <cell r="B1558" t="str">
            <v>85512</v>
          </cell>
          <cell r="C1558" t="str">
            <v>E</v>
          </cell>
          <cell r="D1558" t="str">
            <v>AD</v>
          </cell>
          <cell r="E1558" t="str">
            <v>12</v>
          </cell>
        </row>
        <row r="1559">
          <cell r="A1559" t="str">
            <v>OFICIAL DE BUSQUEDA Y SALVAMENTO III</v>
          </cell>
          <cell r="B1559" t="str">
            <v>85513</v>
          </cell>
          <cell r="C1559" t="str">
            <v>E</v>
          </cell>
          <cell r="D1559" t="str">
            <v>AD</v>
          </cell>
          <cell r="E1559" t="str">
            <v>13</v>
          </cell>
        </row>
        <row r="1560">
          <cell r="A1560" t="str">
            <v>OFICIAL DE BUSQUEDA Y SALVAMENTO IV</v>
          </cell>
          <cell r="B1560" t="str">
            <v>85514</v>
          </cell>
          <cell r="C1560" t="str">
            <v>E</v>
          </cell>
          <cell r="D1560" t="str">
            <v>AD</v>
          </cell>
          <cell r="E1560" t="str">
            <v>14</v>
          </cell>
        </row>
        <row r="1561">
          <cell r="A1561" t="str">
            <v>OFICIAL DE MAQUINAS I</v>
          </cell>
          <cell r="B1561" t="str">
            <v>52311</v>
          </cell>
          <cell r="C1561" t="str">
            <v>E</v>
          </cell>
          <cell r="D1561" t="str">
            <v>UT</v>
          </cell>
          <cell r="E1561" t="str">
            <v>15</v>
          </cell>
        </row>
        <row r="1562">
          <cell r="A1562" t="str">
            <v>OFICIAL DE MAQUINAS II</v>
          </cell>
          <cell r="B1562" t="str">
            <v>52312</v>
          </cell>
          <cell r="C1562" t="str">
            <v>E</v>
          </cell>
          <cell r="D1562" t="str">
            <v>UT</v>
          </cell>
          <cell r="E1562" t="str">
            <v>17</v>
          </cell>
        </row>
        <row r="1563">
          <cell r="A1563" t="str">
            <v>OFICIAL DE MAQUINAS III</v>
          </cell>
          <cell r="B1563" t="str">
            <v>52313</v>
          </cell>
          <cell r="C1563" t="str">
            <v>E</v>
          </cell>
          <cell r="D1563" t="str">
            <v>UT</v>
          </cell>
          <cell r="E1563" t="str">
            <v>19</v>
          </cell>
        </row>
        <row r="1564">
          <cell r="A1564" t="str">
            <v>OFICIAL DE MARINA I</v>
          </cell>
          <cell r="B1564" t="str">
            <v>52211</v>
          </cell>
          <cell r="C1564" t="str">
            <v>E</v>
          </cell>
          <cell r="D1564" t="str">
            <v>UT</v>
          </cell>
          <cell r="E1564" t="str">
            <v>15</v>
          </cell>
        </row>
        <row r="1565">
          <cell r="A1565" t="str">
            <v>OFICIAL DE MARINA II</v>
          </cell>
          <cell r="B1565" t="str">
            <v>52212</v>
          </cell>
          <cell r="C1565" t="str">
            <v>E</v>
          </cell>
          <cell r="D1565" t="str">
            <v>UT</v>
          </cell>
          <cell r="E1565" t="str">
            <v>17</v>
          </cell>
        </row>
        <row r="1566">
          <cell r="A1566" t="str">
            <v>OFICIAL DE MARINA III</v>
          </cell>
          <cell r="B1566" t="str">
            <v>52213</v>
          </cell>
          <cell r="C1566" t="str">
            <v>E</v>
          </cell>
          <cell r="D1566" t="str">
            <v>UT</v>
          </cell>
          <cell r="E1566" t="str">
            <v>19</v>
          </cell>
        </row>
        <row r="1567">
          <cell r="A1567" t="str">
            <v>OFICIAL DE MARINA IV</v>
          </cell>
          <cell r="B1567" t="str">
            <v>52214</v>
          </cell>
          <cell r="C1567" t="str">
            <v>E</v>
          </cell>
          <cell r="D1567" t="str">
            <v>UT</v>
          </cell>
          <cell r="E1567" t="str">
            <v>21</v>
          </cell>
        </row>
        <row r="1568">
          <cell r="A1568" t="str">
            <v>OFICIAL DE MARINA JEFE I</v>
          </cell>
          <cell r="B1568" t="str">
            <v>52221</v>
          </cell>
          <cell r="C1568" t="str">
            <v>E</v>
          </cell>
          <cell r="D1568" t="str">
            <v>UT</v>
          </cell>
          <cell r="E1568" t="str">
            <v>22</v>
          </cell>
        </row>
        <row r="1569">
          <cell r="A1569" t="str">
            <v>OFICIAL DE MARINA JEFE II</v>
          </cell>
          <cell r="B1569" t="str">
            <v>52222</v>
          </cell>
          <cell r="C1569" t="str">
            <v>E</v>
          </cell>
          <cell r="D1569" t="str">
            <v>UT</v>
          </cell>
          <cell r="E1569" t="str">
            <v>23</v>
          </cell>
        </row>
        <row r="1570">
          <cell r="A1570" t="str">
            <v>OFICIAL DE MARINA JEFE III</v>
          </cell>
          <cell r="B1570" t="str">
            <v>52223</v>
          </cell>
          <cell r="C1570" t="str">
            <v>E</v>
          </cell>
          <cell r="D1570" t="str">
            <v>UT</v>
          </cell>
          <cell r="E1570" t="str">
            <v>24</v>
          </cell>
        </row>
        <row r="1571">
          <cell r="A1571" t="str">
            <v>OFICIAL DE NAVEGACION I</v>
          </cell>
          <cell r="B1571" t="str">
            <v>52331</v>
          </cell>
          <cell r="C1571" t="str">
            <v>E</v>
          </cell>
          <cell r="D1571" t="str">
            <v>UT</v>
          </cell>
          <cell r="E1571" t="str">
            <v>15</v>
          </cell>
        </row>
        <row r="1572">
          <cell r="A1572" t="str">
            <v>OFICIAL DE NAVEGACION II</v>
          </cell>
          <cell r="B1572" t="str">
            <v>52332</v>
          </cell>
          <cell r="C1572" t="str">
            <v>E</v>
          </cell>
          <cell r="D1572" t="str">
            <v>UT</v>
          </cell>
          <cell r="E1572" t="str">
            <v>17</v>
          </cell>
        </row>
        <row r="1573">
          <cell r="A1573" t="str">
            <v>OFICIAL DE NAVEGACION III</v>
          </cell>
          <cell r="B1573" t="str">
            <v>52333</v>
          </cell>
          <cell r="C1573" t="str">
            <v>E</v>
          </cell>
          <cell r="D1573" t="str">
            <v>UT</v>
          </cell>
          <cell r="E1573" t="str">
            <v>19</v>
          </cell>
        </row>
        <row r="1574">
          <cell r="A1574" t="str">
            <v>OFICIAL JEFE</v>
          </cell>
          <cell r="B1574" t="str">
            <v>90002</v>
          </cell>
          <cell r="C1574" t="str">
            <v>E</v>
          </cell>
          <cell r="D1574" t="str">
            <v>PO</v>
          </cell>
          <cell r="E1574" t="str">
            <v/>
          </cell>
        </row>
        <row r="1575">
          <cell r="A1575" t="str">
            <v>OFICIAL JEFE (GRADO 0)</v>
          </cell>
          <cell r="B1575" t="str">
            <v>90026</v>
          </cell>
          <cell r="C1575" t="str">
            <v>E</v>
          </cell>
          <cell r="D1575" t="str">
            <v>PO</v>
          </cell>
          <cell r="E1575" t="str">
            <v/>
          </cell>
        </row>
        <row r="1576">
          <cell r="A1576" t="str">
            <v>OFICIAL JEFE (GRADO 1)</v>
          </cell>
          <cell r="B1576" t="str">
            <v>90027</v>
          </cell>
          <cell r="C1576" t="str">
            <v>E</v>
          </cell>
          <cell r="D1576" t="str">
            <v>PO</v>
          </cell>
          <cell r="E1576" t="str">
            <v/>
          </cell>
        </row>
        <row r="1577">
          <cell r="A1577" t="str">
            <v>OFICIAL JEFE (GRADO 2)</v>
          </cell>
          <cell r="B1577" t="str">
            <v>90028</v>
          </cell>
          <cell r="C1577" t="str">
            <v>E</v>
          </cell>
          <cell r="D1577" t="str">
            <v>PO</v>
          </cell>
          <cell r="E1577" t="str">
            <v/>
          </cell>
        </row>
        <row r="1578">
          <cell r="A1578" t="str">
            <v>OPERADOR DE EQUIPOS DE COMPUTACION I</v>
          </cell>
          <cell r="B1578" t="str">
            <v>23331</v>
          </cell>
          <cell r="C1578" t="str">
            <v>E</v>
          </cell>
          <cell r="D1578" t="str">
            <v>AD</v>
          </cell>
          <cell r="E1578" t="str">
            <v>01</v>
          </cell>
        </row>
        <row r="1579">
          <cell r="A1579" t="str">
            <v>OPERADOR DE EQUIPOS DE COMPUTACION II</v>
          </cell>
          <cell r="B1579" t="str">
            <v>23332</v>
          </cell>
          <cell r="C1579" t="str">
            <v>E</v>
          </cell>
          <cell r="D1579" t="str">
            <v>AD</v>
          </cell>
          <cell r="E1579" t="str">
            <v>03</v>
          </cell>
        </row>
        <row r="1580">
          <cell r="A1580" t="str">
            <v>OPERADOR DE EQUIPOS DE COMPUTACION III</v>
          </cell>
          <cell r="B1580" t="str">
            <v>23333</v>
          </cell>
          <cell r="C1580" t="str">
            <v>E</v>
          </cell>
          <cell r="D1580" t="str">
            <v>UT</v>
          </cell>
          <cell r="E1580" t="str">
            <v>16</v>
          </cell>
        </row>
        <row r="1581">
          <cell r="A1581" t="str">
            <v>OPERADOR DE EQUIPOS DE TV Y/O CINE</v>
          </cell>
          <cell r="B1581" t="str">
            <v>32220</v>
          </cell>
          <cell r="C1581" t="str">
            <v>E</v>
          </cell>
          <cell r="D1581" t="str">
            <v>AD</v>
          </cell>
          <cell r="E1581" t="str">
            <v>03</v>
          </cell>
        </row>
        <row r="1582">
          <cell r="A1582" t="str">
            <v>OPERADOR DE QUPOS DE DRAGADO</v>
          </cell>
          <cell r="B1582" t="str">
            <v>52340</v>
          </cell>
          <cell r="C1582" t="str">
            <v>E</v>
          </cell>
          <cell r="D1582" t="str">
            <v>AD</v>
          </cell>
          <cell r="E1582" t="str">
            <v>02</v>
          </cell>
        </row>
        <row r="1583">
          <cell r="A1583" t="str">
            <v>OPERADOR DE REPRODUCCION I</v>
          </cell>
          <cell r="B1583" t="str">
            <v>23110</v>
          </cell>
          <cell r="C1583" t="str">
            <v>E</v>
          </cell>
          <cell r="D1583" t="str">
            <v>AD</v>
          </cell>
          <cell r="E1583" t="str">
            <v>01</v>
          </cell>
        </row>
        <row r="1584">
          <cell r="A1584" t="str">
            <v>OPERADOR DE SOPORTE TECNICO</v>
          </cell>
          <cell r="B1584" t="str">
            <v>51421</v>
          </cell>
          <cell r="C1584" t="str">
            <v>E</v>
          </cell>
          <cell r="D1584" t="str">
            <v>UT</v>
          </cell>
          <cell r="E1584" t="str">
            <v>05</v>
          </cell>
        </row>
        <row r="1585">
          <cell r="A1585" t="str">
            <v>OPERADOR DE TELECOMUNICACIONES AERO. I</v>
          </cell>
          <cell r="B1585" t="str">
            <v>51451</v>
          </cell>
          <cell r="C1585" t="str">
            <v>E</v>
          </cell>
          <cell r="D1585" t="str">
            <v>AD</v>
          </cell>
          <cell r="E1585" t="str">
            <v>04</v>
          </cell>
        </row>
        <row r="1586">
          <cell r="A1586" t="str">
            <v>OPERADOR DE TELECOMUNICACIONES AERON. II</v>
          </cell>
          <cell r="B1586" t="str">
            <v>51452</v>
          </cell>
          <cell r="C1586" t="str">
            <v>E</v>
          </cell>
          <cell r="D1586" t="str">
            <v>AD</v>
          </cell>
          <cell r="E1586" t="str">
            <v>05</v>
          </cell>
        </row>
        <row r="1587">
          <cell r="A1587" t="str">
            <v>OPERADOR DE TELECOMUNICACIONES I</v>
          </cell>
          <cell r="B1587" t="str">
            <v>51411</v>
          </cell>
          <cell r="C1587" t="str">
            <v>E</v>
          </cell>
          <cell r="D1587" t="str">
            <v>AD</v>
          </cell>
          <cell r="E1587" t="str">
            <v>01</v>
          </cell>
        </row>
        <row r="1588">
          <cell r="A1588" t="str">
            <v>OPERADOR DE TELECOMUNICACIONES II</v>
          </cell>
          <cell r="B1588" t="str">
            <v>51412</v>
          </cell>
          <cell r="C1588" t="str">
            <v>E</v>
          </cell>
          <cell r="D1588" t="str">
            <v>AD</v>
          </cell>
          <cell r="E1588" t="str">
            <v>03</v>
          </cell>
        </row>
        <row r="1589">
          <cell r="A1589" t="str">
            <v>OPERADOR DE TELECOMUNICACIONES III</v>
          </cell>
          <cell r="B1589" t="str">
            <v>51413</v>
          </cell>
          <cell r="C1589" t="str">
            <v>E</v>
          </cell>
          <cell r="D1589" t="str">
            <v>AD</v>
          </cell>
          <cell r="E1589" t="str">
            <v>05</v>
          </cell>
        </row>
        <row r="1590">
          <cell r="A1590" t="str">
            <v>OPERADOR DE TELECOMUNICACIONES IV</v>
          </cell>
          <cell r="B1590" t="str">
            <v>51414</v>
          </cell>
          <cell r="C1590" t="str">
            <v>E</v>
          </cell>
          <cell r="D1590" t="str">
            <v>AD</v>
          </cell>
          <cell r="E1590" t="str">
            <v>07</v>
          </cell>
        </row>
        <row r="1591">
          <cell r="A1591" t="str">
            <v>OPERADOR DE TELECOMUNICACIONES JEFE</v>
          </cell>
          <cell r="B1591" t="str">
            <v>51420</v>
          </cell>
          <cell r="C1591" t="str">
            <v>E</v>
          </cell>
          <cell r="D1591" t="str">
            <v>AD</v>
          </cell>
          <cell r="E1591" t="str">
            <v>11</v>
          </cell>
        </row>
        <row r="1592">
          <cell r="A1592" t="str">
            <v>OPERADOR TELECOMUNICACIONES AER. JEFE I</v>
          </cell>
          <cell r="B1592" t="str">
            <v>51461</v>
          </cell>
          <cell r="C1592" t="str">
            <v>E</v>
          </cell>
          <cell r="D1592" t="str">
            <v>AD</v>
          </cell>
          <cell r="E1592" t="str">
            <v>11</v>
          </cell>
        </row>
        <row r="1593">
          <cell r="A1593" t="str">
            <v>OPERADOR TELECOMUNICACIONES AERON. III</v>
          </cell>
          <cell r="B1593" t="str">
            <v>51453</v>
          </cell>
          <cell r="C1593" t="str">
            <v>E</v>
          </cell>
          <cell r="D1593" t="str">
            <v>AD</v>
          </cell>
          <cell r="E1593" t="str">
            <v>06</v>
          </cell>
        </row>
        <row r="1594">
          <cell r="A1594" t="str">
            <v>OPERADOR TELECOMUNICACIONES AERON. IV</v>
          </cell>
          <cell r="B1594" t="str">
            <v>51454</v>
          </cell>
          <cell r="C1594" t="str">
            <v>E</v>
          </cell>
          <cell r="D1594" t="str">
            <v>AD</v>
          </cell>
          <cell r="E1594" t="str">
            <v>07</v>
          </cell>
        </row>
        <row r="1595">
          <cell r="A1595" t="str">
            <v>OPERADOR TELECOMUNICACIONES AERON. V</v>
          </cell>
          <cell r="B1595" t="str">
            <v>51455</v>
          </cell>
          <cell r="C1595" t="str">
            <v>E</v>
          </cell>
          <cell r="D1595" t="str">
            <v>AD</v>
          </cell>
          <cell r="E1595" t="str">
            <v>08</v>
          </cell>
        </row>
        <row r="1596">
          <cell r="A1596" t="str">
            <v>OPERADOR TELECOMUNICAICONES AER. JEFE II</v>
          </cell>
          <cell r="B1596" t="str">
            <v>51462</v>
          </cell>
          <cell r="C1596" t="str">
            <v>E</v>
          </cell>
          <cell r="D1596" t="str">
            <v>AD</v>
          </cell>
          <cell r="E1596" t="str">
            <v>13</v>
          </cell>
        </row>
        <row r="1597">
          <cell r="A1597" t="str">
            <v>OPERADOR TELECOMUNICAICONES AERON.VI</v>
          </cell>
          <cell r="B1597" t="str">
            <v>51456</v>
          </cell>
          <cell r="C1597" t="str">
            <v>E</v>
          </cell>
          <cell r="D1597" t="str">
            <v>AD</v>
          </cell>
          <cell r="E1597" t="str">
            <v>09</v>
          </cell>
        </row>
        <row r="1598">
          <cell r="A1598" t="str">
            <v>ORDENANZA  I</v>
          </cell>
          <cell r="B1598" t="str">
            <v>62221</v>
          </cell>
          <cell r="C1598" t="str">
            <v>E</v>
          </cell>
          <cell r="D1598" t="str">
            <v>PO</v>
          </cell>
          <cell r="E1598" t="str">
            <v/>
          </cell>
        </row>
        <row r="1599">
          <cell r="A1599" t="str">
            <v>ORDENANZA II</v>
          </cell>
          <cell r="B1599" t="str">
            <v>62222</v>
          </cell>
          <cell r="C1599" t="str">
            <v>E</v>
          </cell>
          <cell r="D1599" t="str">
            <v>PO</v>
          </cell>
          <cell r="E1599" t="str">
            <v/>
          </cell>
        </row>
        <row r="1600">
          <cell r="A1600" t="str">
            <v>ORDENANZA III</v>
          </cell>
          <cell r="B1600" t="str">
            <v>62224</v>
          </cell>
          <cell r="C1600" t="str">
            <v>E</v>
          </cell>
          <cell r="D1600" t="str">
            <v>PO</v>
          </cell>
          <cell r="E1600" t="str">
            <v/>
          </cell>
        </row>
        <row r="1601">
          <cell r="A1601" t="str">
            <v>PALEONTOLOGO</v>
          </cell>
          <cell r="B1601" t="str">
            <v>36480</v>
          </cell>
          <cell r="C1601" t="str">
            <v>E</v>
          </cell>
          <cell r="D1601" t="str">
            <v>UT</v>
          </cell>
          <cell r="E1601" t="str">
            <v>20</v>
          </cell>
        </row>
        <row r="1602">
          <cell r="A1602" t="str">
            <v>PATRON DE LANCHA</v>
          </cell>
          <cell r="B1602" t="str">
            <v>52370</v>
          </cell>
          <cell r="C1602" t="str">
            <v>E</v>
          </cell>
          <cell r="D1602" t="str">
            <v>AD</v>
          </cell>
          <cell r="E1602" t="str">
            <v>01</v>
          </cell>
        </row>
        <row r="1603">
          <cell r="A1603" t="str">
            <v>PERCUSION</v>
          </cell>
          <cell r="B1603" t="str">
            <v>03623</v>
          </cell>
          <cell r="C1603" t="str">
            <v>E</v>
          </cell>
          <cell r="D1603" t="str">
            <v>AD</v>
          </cell>
          <cell r="E1603" t="str">
            <v>01</v>
          </cell>
        </row>
        <row r="1604">
          <cell r="A1604" t="str">
            <v>PERITO FORESTAL  III</v>
          </cell>
          <cell r="B1604" t="str">
            <v>41743</v>
          </cell>
          <cell r="C1604" t="str">
            <v>E</v>
          </cell>
          <cell r="D1604" t="str">
            <v>UT</v>
          </cell>
          <cell r="E1604" t="str">
            <v>17</v>
          </cell>
        </row>
        <row r="1605">
          <cell r="A1605" t="str">
            <v>PERITO FORESTAL I</v>
          </cell>
          <cell r="B1605" t="str">
            <v>41741</v>
          </cell>
          <cell r="C1605" t="str">
            <v>E</v>
          </cell>
          <cell r="D1605" t="str">
            <v>AD</v>
          </cell>
          <cell r="E1605" t="str">
            <v>02</v>
          </cell>
        </row>
        <row r="1606">
          <cell r="A1606" t="str">
            <v>PERITO FORESTAL II</v>
          </cell>
          <cell r="B1606" t="str">
            <v>41742</v>
          </cell>
          <cell r="C1606" t="str">
            <v>E</v>
          </cell>
          <cell r="D1606" t="str">
            <v>UT</v>
          </cell>
          <cell r="E1606" t="str">
            <v>15</v>
          </cell>
        </row>
        <row r="1607">
          <cell r="A1607" t="str">
            <v>PERITO FORESTAL JEFE I</v>
          </cell>
          <cell r="B1607" t="str">
            <v>41751</v>
          </cell>
          <cell r="C1607" t="str">
            <v>E</v>
          </cell>
          <cell r="D1607" t="str">
            <v>UT</v>
          </cell>
          <cell r="E1607" t="str">
            <v>19</v>
          </cell>
        </row>
        <row r="1608">
          <cell r="A1608" t="str">
            <v>PERITO FORESTAL JEFE II</v>
          </cell>
          <cell r="B1608" t="str">
            <v>41752</v>
          </cell>
          <cell r="C1608" t="str">
            <v>E</v>
          </cell>
          <cell r="D1608" t="str">
            <v>UT</v>
          </cell>
          <cell r="E1608" t="str">
            <v>21</v>
          </cell>
        </row>
        <row r="1609">
          <cell r="A1609" t="str">
            <v>PERITO NAVAL</v>
          </cell>
          <cell r="B1609" t="str">
            <v>52230</v>
          </cell>
          <cell r="C1609" t="str">
            <v>E</v>
          </cell>
          <cell r="D1609" t="str">
            <v>UT</v>
          </cell>
          <cell r="E1609" t="str">
            <v>20</v>
          </cell>
        </row>
        <row r="1610">
          <cell r="A1610" t="str">
            <v>PERSONAL ADMINISTRATIVO NO CLASIFICADO</v>
          </cell>
          <cell r="B1610" t="str">
            <v>10005</v>
          </cell>
          <cell r="C1610" t="str">
            <v>E</v>
          </cell>
          <cell r="D1610" t="str">
            <v>AD</v>
          </cell>
          <cell r="E1610" t="str">
            <v>01</v>
          </cell>
        </row>
        <row r="1611">
          <cell r="A1611" t="str">
            <v>PIANO COMPLEMENTARIO</v>
          </cell>
          <cell r="B1611" t="str">
            <v>02078</v>
          </cell>
          <cell r="C1611" t="str">
            <v>E</v>
          </cell>
          <cell r="D1611" t="str">
            <v>AD</v>
          </cell>
          <cell r="E1611" t="str">
            <v>01</v>
          </cell>
        </row>
        <row r="1612">
          <cell r="A1612" t="str">
            <v>PIANO COMPLEMENTARIO</v>
          </cell>
          <cell r="B1612" t="str">
            <v>03615</v>
          </cell>
          <cell r="C1612" t="str">
            <v>E</v>
          </cell>
          <cell r="D1612" t="str">
            <v>AD</v>
          </cell>
          <cell r="E1612" t="str">
            <v>01</v>
          </cell>
        </row>
        <row r="1613">
          <cell r="A1613" t="str">
            <v>PILOTO DE BUSQUEDA Y SALVAMENTO I</v>
          </cell>
          <cell r="B1613" t="str">
            <v>85531</v>
          </cell>
          <cell r="C1613" t="str">
            <v>E</v>
          </cell>
          <cell r="D1613" t="str">
            <v>AD</v>
          </cell>
          <cell r="E1613" t="str">
            <v>11</v>
          </cell>
        </row>
        <row r="1614">
          <cell r="A1614" t="str">
            <v>PILOTO DE BUSQUEDA Y SALVAMENTO II</v>
          </cell>
          <cell r="B1614" t="str">
            <v>85532</v>
          </cell>
          <cell r="C1614" t="str">
            <v>E</v>
          </cell>
          <cell r="D1614" t="str">
            <v>AD</v>
          </cell>
          <cell r="E1614" t="str">
            <v>12</v>
          </cell>
        </row>
        <row r="1615">
          <cell r="A1615" t="str">
            <v>PILOTO DE BUSQUEDA Y SALVAMENTO III</v>
          </cell>
          <cell r="B1615" t="str">
            <v>85533</v>
          </cell>
          <cell r="C1615" t="str">
            <v>E</v>
          </cell>
          <cell r="D1615" t="str">
            <v>AD</v>
          </cell>
          <cell r="E1615" t="str">
            <v>13</v>
          </cell>
        </row>
        <row r="1616">
          <cell r="A1616" t="str">
            <v>PILOTO DE BUSQUEDA Y SALVAMENTO IV</v>
          </cell>
          <cell r="B1616" t="str">
            <v>85534</v>
          </cell>
          <cell r="C1616" t="str">
            <v>E</v>
          </cell>
          <cell r="D1616" t="str">
            <v>AD</v>
          </cell>
          <cell r="E1616" t="str">
            <v>14</v>
          </cell>
        </row>
        <row r="1617">
          <cell r="A1617" t="str">
            <v>PILOTO DE HELICOPTERO BUSQUD. Y SALV.III</v>
          </cell>
          <cell r="B1617" t="str">
            <v>85553</v>
          </cell>
          <cell r="C1617" t="str">
            <v>E</v>
          </cell>
          <cell r="D1617" t="str">
            <v>AD</v>
          </cell>
          <cell r="E1617" t="str">
            <v>12</v>
          </cell>
        </row>
        <row r="1618">
          <cell r="A1618" t="str">
            <v>PILOTO DE HELICOPTERO BUSQUEDA Y SALV II</v>
          </cell>
          <cell r="B1618" t="str">
            <v>85552</v>
          </cell>
          <cell r="C1618" t="str">
            <v>E</v>
          </cell>
          <cell r="D1618" t="str">
            <v>AD</v>
          </cell>
          <cell r="E1618" t="str">
            <v>11</v>
          </cell>
        </row>
        <row r="1619">
          <cell r="A1619" t="str">
            <v>PILOTO DE HELICOPTERO DE BUSQUEDA Y SALV</v>
          </cell>
          <cell r="B1619" t="str">
            <v>85551</v>
          </cell>
          <cell r="C1619" t="str">
            <v>E</v>
          </cell>
          <cell r="D1619" t="str">
            <v>AD</v>
          </cell>
          <cell r="E1619" t="str">
            <v>10</v>
          </cell>
        </row>
        <row r="1620">
          <cell r="A1620" t="str">
            <v>PILOTO INSPECTOR DE VUELO I</v>
          </cell>
          <cell r="B1620" t="str">
            <v>51741</v>
          </cell>
          <cell r="C1620" t="str">
            <v>E</v>
          </cell>
          <cell r="D1620" t="str">
            <v>AD</v>
          </cell>
          <cell r="E1620" t="str">
            <v>07</v>
          </cell>
        </row>
        <row r="1621">
          <cell r="A1621" t="str">
            <v>PILOTO INSPECTOR DE VUELO II</v>
          </cell>
          <cell r="B1621" t="str">
            <v>51742</v>
          </cell>
          <cell r="C1621" t="str">
            <v>E</v>
          </cell>
          <cell r="D1621" t="str">
            <v>AD</v>
          </cell>
          <cell r="E1621" t="str">
            <v>08</v>
          </cell>
        </row>
        <row r="1622">
          <cell r="A1622" t="str">
            <v>PILOTO INSTRUCTOR DE VUELO II</v>
          </cell>
          <cell r="B1622" t="str">
            <v>54122</v>
          </cell>
          <cell r="C1622" t="str">
            <v>E</v>
          </cell>
          <cell r="D1622" t="str">
            <v>AD</v>
          </cell>
          <cell r="E1622" t="str">
            <v>08</v>
          </cell>
        </row>
        <row r="1623">
          <cell r="A1623" t="str">
            <v>PILOTO INSTRUCTOR DE VUELO III</v>
          </cell>
          <cell r="B1623" t="str">
            <v>54123</v>
          </cell>
          <cell r="C1623" t="str">
            <v>E</v>
          </cell>
          <cell r="D1623" t="str">
            <v>AD</v>
          </cell>
          <cell r="E1623" t="str">
            <v>09</v>
          </cell>
        </row>
        <row r="1624">
          <cell r="A1624" t="str">
            <v>PILOTO INSTRUCTOR DE VUELO JEFE</v>
          </cell>
          <cell r="B1624" t="str">
            <v>54130</v>
          </cell>
          <cell r="C1624" t="str">
            <v>E</v>
          </cell>
          <cell r="D1624" t="str">
            <v>AD</v>
          </cell>
          <cell r="E1624" t="str">
            <v>10</v>
          </cell>
        </row>
        <row r="1625">
          <cell r="A1625" t="str">
            <v>PILOTO JEFE</v>
          </cell>
          <cell r="B1625" t="str">
            <v>52490</v>
          </cell>
          <cell r="C1625" t="str">
            <v>E</v>
          </cell>
          <cell r="D1625" t="str">
            <v>AD</v>
          </cell>
          <cell r="E1625" t="str">
            <v>13</v>
          </cell>
        </row>
        <row r="1626">
          <cell r="A1626" t="str">
            <v>PILOTO JEFE DE OPERACIONES</v>
          </cell>
          <cell r="B1626" t="str">
            <v>52495</v>
          </cell>
          <cell r="C1626" t="str">
            <v>E</v>
          </cell>
          <cell r="D1626" t="str">
            <v>AD</v>
          </cell>
          <cell r="E1626" t="str">
            <v>14</v>
          </cell>
        </row>
        <row r="1627">
          <cell r="A1627" t="str">
            <v>PILOTO OFICIAL DE LA MARINA MERCANTE</v>
          </cell>
          <cell r="B1627" t="str">
            <v>52250</v>
          </cell>
          <cell r="C1627" t="str">
            <v>E</v>
          </cell>
          <cell r="D1627" t="str">
            <v>UT</v>
          </cell>
          <cell r="E1627" t="str">
            <v>16</v>
          </cell>
        </row>
        <row r="1628">
          <cell r="A1628" t="str">
            <v>PLANIFICADOR CENTRAL EN FORMACION</v>
          </cell>
          <cell r="B1628" t="str">
            <v>13380</v>
          </cell>
          <cell r="C1628" t="str">
            <v>E</v>
          </cell>
          <cell r="D1628" t="str">
            <v>UT</v>
          </cell>
          <cell r="E1628" t="str">
            <v>17</v>
          </cell>
        </row>
        <row r="1629">
          <cell r="A1629" t="str">
            <v>PLANIFICADOR CENTRAL I</v>
          </cell>
          <cell r="B1629" t="str">
            <v>13381</v>
          </cell>
          <cell r="C1629" t="str">
            <v>E</v>
          </cell>
          <cell r="D1629" t="str">
            <v>UT</v>
          </cell>
          <cell r="E1629" t="str">
            <v>19</v>
          </cell>
        </row>
        <row r="1630">
          <cell r="A1630" t="str">
            <v>PLANIFICADOR CENTRAL II</v>
          </cell>
          <cell r="B1630" t="str">
            <v>13382</v>
          </cell>
          <cell r="C1630" t="str">
            <v>E</v>
          </cell>
          <cell r="D1630" t="str">
            <v>UT</v>
          </cell>
          <cell r="E1630" t="str">
            <v>21</v>
          </cell>
        </row>
        <row r="1631">
          <cell r="A1631" t="str">
            <v>PLANIFICADOR CENTRAL III</v>
          </cell>
          <cell r="B1631" t="str">
            <v>13383</v>
          </cell>
          <cell r="C1631" t="str">
            <v>E</v>
          </cell>
          <cell r="D1631" t="str">
            <v>UT</v>
          </cell>
          <cell r="E1631" t="str">
            <v>23</v>
          </cell>
        </row>
        <row r="1632">
          <cell r="A1632" t="str">
            <v>PLANIFICADOR CENTRAL IV</v>
          </cell>
          <cell r="B1632" t="str">
            <v>13384</v>
          </cell>
          <cell r="C1632" t="str">
            <v>E</v>
          </cell>
          <cell r="D1632" t="str">
            <v>UT</v>
          </cell>
          <cell r="E1632" t="str">
            <v>24</v>
          </cell>
        </row>
        <row r="1633">
          <cell r="A1633" t="str">
            <v>PLANIFICADOR CENTRAL JEFE</v>
          </cell>
          <cell r="B1633" t="str">
            <v>13390</v>
          </cell>
          <cell r="C1633" t="str">
            <v>E</v>
          </cell>
          <cell r="D1633" t="str">
            <v>UT</v>
          </cell>
          <cell r="E1633" t="str">
            <v>26</v>
          </cell>
        </row>
        <row r="1634">
          <cell r="A1634" t="str">
            <v>PLANIFICADOR I</v>
          </cell>
          <cell r="B1634" t="str">
            <v>13361</v>
          </cell>
          <cell r="C1634" t="str">
            <v>E</v>
          </cell>
          <cell r="D1634" t="str">
            <v>UT</v>
          </cell>
          <cell r="E1634" t="str">
            <v>17</v>
          </cell>
        </row>
        <row r="1635">
          <cell r="A1635" t="str">
            <v>PLANIFICADOR II</v>
          </cell>
          <cell r="B1635" t="str">
            <v>13362</v>
          </cell>
          <cell r="C1635" t="str">
            <v>E</v>
          </cell>
          <cell r="D1635" t="str">
            <v>UT</v>
          </cell>
          <cell r="E1635" t="str">
            <v>19</v>
          </cell>
        </row>
        <row r="1636">
          <cell r="A1636" t="str">
            <v>PLANIFICADOR III</v>
          </cell>
          <cell r="B1636" t="str">
            <v>13363</v>
          </cell>
          <cell r="C1636" t="str">
            <v>E</v>
          </cell>
          <cell r="D1636" t="str">
            <v>UT</v>
          </cell>
          <cell r="E1636" t="str">
            <v>21</v>
          </cell>
        </row>
        <row r="1637">
          <cell r="A1637" t="str">
            <v>PLANIFICADOR IV</v>
          </cell>
          <cell r="B1637" t="str">
            <v>13364</v>
          </cell>
          <cell r="C1637" t="str">
            <v>E</v>
          </cell>
          <cell r="D1637" t="str">
            <v>UT</v>
          </cell>
          <cell r="E1637" t="str">
            <v>22</v>
          </cell>
        </row>
        <row r="1638">
          <cell r="A1638" t="str">
            <v>PLANIFICADOR JEFE</v>
          </cell>
          <cell r="B1638" t="str">
            <v>13370</v>
          </cell>
          <cell r="C1638" t="str">
            <v>E</v>
          </cell>
          <cell r="D1638" t="str">
            <v>UT</v>
          </cell>
          <cell r="E1638" t="str">
            <v>24</v>
          </cell>
        </row>
        <row r="1639">
          <cell r="A1639" t="str">
            <v>PLANIFICADOR V</v>
          </cell>
          <cell r="B1639" t="str">
            <v>13365</v>
          </cell>
          <cell r="C1639" t="str">
            <v>E</v>
          </cell>
          <cell r="D1639" t="str">
            <v>UT</v>
          </cell>
          <cell r="E1639" t="str">
            <v>23</v>
          </cell>
        </row>
        <row r="1640">
          <cell r="A1640" t="str">
            <v>PRECEPTOR</v>
          </cell>
          <cell r="B1640" t="str">
            <v>40002</v>
          </cell>
          <cell r="C1640" t="str">
            <v>E</v>
          </cell>
          <cell r="D1640" t="str">
            <v>DO</v>
          </cell>
          <cell r="E1640" t="str">
            <v/>
          </cell>
        </row>
        <row r="1641">
          <cell r="A1641" t="str">
            <v>PREFECTO DE MUNICIPIO</v>
          </cell>
          <cell r="B1641" t="str">
            <v>61221</v>
          </cell>
          <cell r="C1641" t="str">
            <v>E</v>
          </cell>
          <cell r="D1641" t="str">
            <v>DI</v>
          </cell>
          <cell r="E1641" t="str">
            <v>99</v>
          </cell>
        </row>
        <row r="1642">
          <cell r="A1642" t="str">
            <v>PREFECTO DE PARROQUIA</v>
          </cell>
          <cell r="B1642" t="str">
            <v>61222</v>
          </cell>
          <cell r="C1642" t="str">
            <v>E</v>
          </cell>
          <cell r="D1642" t="str">
            <v>DI</v>
          </cell>
          <cell r="E1642" t="str">
            <v>99</v>
          </cell>
        </row>
        <row r="1643">
          <cell r="A1643" t="str">
            <v>PRESIDENTE</v>
          </cell>
          <cell r="B1643" t="str">
            <v>61223</v>
          </cell>
          <cell r="C1643" t="str">
            <v>E</v>
          </cell>
          <cell r="D1643" t="str">
            <v>DI</v>
          </cell>
          <cell r="E1643" t="str">
            <v>99</v>
          </cell>
        </row>
        <row r="1644">
          <cell r="A1644" t="str">
            <v>PRIMER OFICIAL DE JET I</v>
          </cell>
          <cell r="B1644" t="str">
            <v>52451</v>
          </cell>
          <cell r="C1644" t="str">
            <v>E</v>
          </cell>
          <cell r="D1644" t="str">
            <v>AD</v>
          </cell>
          <cell r="E1644" t="str">
            <v>09</v>
          </cell>
        </row>
        <row r="1645">
          <cell r="A1645" t="str">
            <v>PRIMER OFICIAL DE JET II</v>
          </cell>
          <cell r="B1645" t="str">
            <v>52452</v>
          </cell>
          <cell r="C1645" t="str">
            <v>E</v>
          </cell>
          <cell r="D1645" t="str">
            <v>AD</v>
          </cell>
          <cell r="E1645" t="str">
            <v>11</v>
          </cell>
        </row>
        <row r="1646">
          <cell r="A1646" t="str">
            <v>PRIMER OFICIAL DE TURBO</v>
          </cell>
          <cell r="B1646" t="str">
            <v>52435</v>
          </cell>
          <cell r="C1646" t="str">
            <v>E</v>
          </cell>
          <cell r="D1646" t="str">
            <v>AD</v>
          </cell>
          <cell r="E1646" t="str">
            <v>10</v>
          </cell>
        </row>
        <row r="1647">
          <cell r="A1647" t="str">
            <v>PROCURADOR DE TRABAJADORES</v>
          </cell>
          <cell r="B1647" t="str">
            <v>35140</v>
          </cell>
          <cell r="C1647" t="str">
            <v>E</v>
          </cell>
          <cell r="D1647" t="str">
            <v>UT</v>
          </cell>
          <cell r="E1647" t="str">
            <v>20</v>
          </cell>
        </row>
        <row r="1648">
          <cell r="A1648" t="str">
            <v>PRODUCTOR DE RADIO</v>
          </cell>
          <cell r="B1648" t="str">
            <v>32175</v>
          </cell>
          <cell r="C1648" t="str">
            <v>E</v>
          </cell>
          <cell r="D1648" t="str">
            <v>UT</v>
          </cell>
          <cell r="E1648" t="str">
            <v>17</v>
          </cell>
        </row>
        <row r="1649">
          <cell r="A1649" t="str">
            <v>PROF DE CUATRO</v>
          </cell>
          <cell r="B1649" t="str">
            <v>40004</v>
          </cell>
          <cell r="C1649" t="str">
            <v>E</v>
          </cell>
          <cell r="D1649" t="str">
            <v>DO</v>
          </cell>
          <cell r="E1649" t="str">
            <v/>
          </cell>
        </row>
        <row r="1650">
          <cell r="A1650" t="str">
            <v>PROF. ARMONIA COMPLEMENTARIA</v>
          </cell>
          <cell r="B1650" t="str">
            <v>02054</v>
          </cell>
          <cell r="C1650" t="str">
            <v>E</v>
          </cell>
          <cell r="D1650" t="str">
            <v>DO</v>
          </cell>
          <cell r="E1650" t="str">
            <v/>
          </cell>
        </row>
        <row r="1651">
          <cell r="A1651" t="str">
            <v>PROF. BALLET Y DANZAS</v>
          </cell>
          <cell r="B1651" t="str">
            <v>02066</v>
          </cell>
          <cell r="C1651" t="str">
            <v>E</v>
          </cell>
          <cell r="D1651" t="str">
            <v>DO</v>
          </cell>
          <cell r="E1651" t="str">
            <v/>
          </cell>
        </row>
        <row r="1652">
          <cell r="A1652" t="str">
            <v>PROF. CERAMICA N.G.</v>
          </cell>
          <cell r="B1652" t="str">
            <v>02071</v>
          </cell>
          <cell r="C1652" t="str">
            <v>E</v>
          </cell>
          <cell r="D1652" t="str">
            <v>DO</v>
          </cell>
          <cell r="E1652" t="str">
            <v/>
          </cell>
        </row>
        <row r="1653">
          <cell r="A1653" t="str">
            <v>PROF. CLARINETE II  77</v>
          </cell>
          <cell r="B1653" t="str">
            <v>01412</v>
          </cell>
          <cell r="C1653" t="str">
            <v>E</v>
          </cell>
          <cell r="D1653" t="str">
            <v>DO</v>
          </cell>
          <cell r="E1653" t="str">
            <v/>
          </cell>
        </row>
        <row r="1654">
          <cell r="A1654" t="str">
            <v>PROF. CLARINETE N.G.</v>
          </cell>
          <cell r="B1654" t="str">
            <v>02047</v>
          </cell>
          <cell r="C1654" t="str">
            <v>E</v>
          </cell>
          <cell r="D1654" t="str">
            <v>DO</v>
          </cell>
          <cell r="E1654" t="str">
            <v/>
          </cell>
        </row>
        <row r="1655">
          <cell r="A1655" t="str">
            <v>PROF. CLARINETE VI</v>
          </cell>
          <cell r="B1655" t="str">
            <v>01827</v>
          </cell>
          <cell r="C1655" t="str">
            <v>E</v>
          </cell>
          <cell r="D1655" t="str">
            <v>DO</v>
          </cell>
          <cell r="E1655" t="str">
            <v/>
          </cell>
        </row>
        <row r="1656">
          <cell r="A1656" t="str">
            <v>PROF. CORNO I</v>
          </cell>
          <cell r="B1656" t="str">
            <v>02052</v>
          </cell>
          <cell r="C1656" t="str">
            <v>E</v>
          </cell>
          <cell r="D1656" t="str">
            <v>DO</v>
          </cell>
          <cell r="E1656" t="str">
            <v/>
          </cell>
        </row>
        <row r="1657">
          <cell r="A1657" t="str">
            <v>PROF. CORTE Y CONF. 77  IV</v>
          </cell>
          <cell r="B1657" t="str">
            <v>02065</v>
          </cell>
          <cell r="C1657" t="str">
            <v>E</v>
          </cell>
          <cell r="D1657" t="str">
            <v>DO</v>
          </cell>
          <cell r="E1657" t="str">
            <v/>
          </cell>
        </row>
        <row r="1658">
          <cell r="A1658" t="str">
            <v>PROF. DE PIANO  IV  139</v>
          </cell>
          <cell r="B1658" t="str">
            <v>01424</v>
          </cell>
          <cell r="C1658" t="str">
            <v>E</v>
          </cell>
          <cell r="D1658" t="str">
            <v>DO</v>
          </cell>
          <cell r="E1658" t="str">
            <v/>
          </cell>
        </row>
        <row r="1659">
          <cell r="A1659" t="str">
            <v>PROF. DE PIANO III  77</v>
          </cell>
          <cell r="B1659" t="str">
            <v>01433</v>
          </cell>
          <cell r="C1659" t="str">
            <v>E</v>
          </cell>
          <cell r="D1659" t="str">
            <v>DO</v>
          </cell>
          <cell r="E1659" t="str">
            <v/>
          </cell>
        </row>
        <row r="1660">
          <cell r="A1660" t="str">
            <v>PROF. DIB. Y DEC. G.III 77</v>
          </cell>
          <cell r="B1660" t="str">
            <v>01443</v>
          </cell>
          <cell r="C1660" t="str">
            <v>E</v>
          </cell>
          <cell r="D1660" t="str">
            <v>DO</v>
          </cell>
          <cell r="E1660" t="str">
            <v/>
          </cell>
        </row>
        <row r="1661">
          <cell r="A1661" t="str">
            <v>PROF. DIBUJO Y DEC. VI 77</v>
          </cell>
          <cell r="B1661" t="str">
            <v>01446</v>
          </cell>
          <cell r="C1661" t="str">
            <v>E</v>
          </cell>
          <cell r="D1661" t="str">
            <v>DO</v>
          </cell>
          <cell r="E1661" t="str">
            <v/>
          </cell>
        </row>
        <row r="1662">
          <cell r="A1662" t="str">
            <v>PROF. ESCULTURA N.G.</v>
          </cell>
          <cell r="B1662" t="str">
            <v>02064</v>
          </cell>
          <cell r="C1662" t="str">
            <v>E</v>
          </cell>
          <cell r="D1662" t="str">
            <v>DO</v>
          </cell>
          <cell r="E1662" t="str">
            <v/>
          </cell>
        </row>
        <row r="1663">
          <cell r="A1663" t="str">
            <v>PROF. FLAUTA</v>
          </cell>
          <cell r="B1663" t="str">
            <v>02059</v>
          </cell>
          <cell r="C1663" t="str">
            <v>E</v>
          </cell>
          <cell r="D1663" t="str">
            <v>DO</v>
          </cell>
          <cell r="E1663" t="str">
            <v/>
          </cell>
        </row>
        <row r="1664">
          <cell r="A1664" t="str">
            <v>PROF. FORMACION CORAL</v>
          </cell>
          <cell r="B1664" t="str">
            <v>02050</v>
          </cell>
          <cell r="C1664" t="str">
            <v>E</v>
          </cell>
          <cell r="D1664" t="str">
            <v>DO</v>
          </cell>
          <cell r="E1664" t="str">
            <v/>
          </cell>
        </row>
        <row r="1665">
          <cell r="A1665" t="str">
            <v>PROF. FOTOGRAFIA  VI  139</v>
          </cell>
          <cell r="B1665" t="str">
            <v>01546</v>
          </cell>
          <cell r="C1665" t="str">
            <v>E</v>
          </cell>
          <cell r="D1665" t="str">
            <v>DO</v>
          </cell>
          <cell r="E1665" t="str">
            <v/>
          </cell>
        </row>
        <row r="1666">
          <cell r="A1666" t="str">
            <v>PROF. GUITARRA VI 139</v>
          </cell>
          <cell r="B1666" t="str">
            <v>01534</v>
          </cell>
          <cell r="C1666" t="str">
            <v>E</v>
          </cell>
          <cell r="D1666" t="str">
            <v>DO</v>
          </cell>
          <cell r="E1666" t="str">
            <v/>
          </cell>
        </row>
        <row r="1667">
          <cell r="A1667" t="str">
            <v>PROF. HIST. MUSICA VI  139</v>
          </cell>
          <cell r="B1667" t="str">
            <v>01453</v>
          </cell>
          <cell r="C1667" t="str">
            <v>E</v>
          </cell>
          <cell r="D1667" t="str">
            <v>DO</v>
          </cell>
          <cell r="E1667" t="str">
            <v/>
          </cell>
        </row>
        <row r="1668">
          <cell r="A1668" t="str">
            <v>PROF. HISTORIA DEL A.IV 77</v>
          </cell>
          <cell r="B1668" t="str">
            <v>01454</v>
          </cell>
          <cell r="C1668" t="str">
            <v>E</v>
          </cell>
          <cell r="D1668" t="str">
            <v>DO</v>
          </cell>
          <cell r="E1668" t="str">
            <v/>
          </cell>
        </row>
        <row r="1669">
          <cell r="A1669" t="str">
            <v>PROF. HISTORIA DEL A.VI 77</v>
          </cell>
          <cell r="B1669" t="str">
            <v>01456</v>
          </cell>
          <cell r="C1669" t="str">
            <v>E</v>
          </cell>
          <cell r="D1669" t="str">
            <v>DO</v>
          </cell>
          <cell r="E1669" t="str">
            <v/>
          </cell>
        </row>
        <row r="1670">
          <cell r="A1670" t="str">
            <v>PROF. HISTORIA EST.III 77</v>
          </cell>
          <cell r="B1670" t="str">
            <v>01563</v>
          </cell>
          <cell r="C1670" t="str">
            <v>E</v>
          </cell>
          <cell r="D1670" t="str">
            <v>DO</v>
          </cell>
          <cell r="E1670" t="str">
            <v/>
          </cell>
        </row>
        <row r="1671">
          <cell r="A1671" t="str">
            <v>PROF. HISTORIA ESTETICA</v>
          </cell>
          <cell r="B1671" t="str">
            <v>02058</v>
          </cell>
          <cell r="C1671" t="str">
            <v>E</v>
          </cell>
          <cell r="D1671" t="str">
            <v>DO</v>
          </cell>
          <cell r="E1671" t="str">
            <v/>
          </cell>
        </row>
        <row r="1672">
          <cell r="A1672" t="str">
            <v>PROF. HORAS DE BASICA(2746HRAS)</v>
          </cell>
          <cell r="B1672" t="str">
            <v>03748</v>
          </cell>
          <cell r="C1672" t="str">
            <v>E</v>
          </cell>
          <cell r="D1672" t="str">
            <v>DO</v>
          </cell>
          <cell r="E1672" t="str">
            <v/>
          </cell>
        </row>
        <row r="1673">
          <cell r="A1673" t="str">
            <v>PROF. HORAS EDUC MEDIA(1373 HRAS)</v>
          </cell>
          <cell r="B1673" t="str">
            <v>03749</v>
          </cell>
          <cell r="C1673" t="str">
            <v>E</v>
          </cell>
          <cell r="D1673" t="str">
            <v>DO</v>
          </cell>
          <cell r="E1673" t="str">
            <v/>
          </cell>
        </row>
        <row r="1674">
          <cell r="A1674" t="str">
            <v>PROF. KINDER MUSICAL N.G.</v>
          </cell>
          <cell r="B1674" t="str">
            <v>02049</v>
          </cell>
          <cell r="C1674" t="str">
            <v>E</v>
          </cell>
          <cell r="D1674" t="str">
            <v>DO</v>
          </cell>
          <cell r="E1674" t="str">
            <v/>
          </cell>
        </row>
        <row r="1675">
          <cell r="A1675" t="str">
            <v>PROF. KINDER MUSICAL VI 77</v>
          </cell>
          <cell r="B1675" t="str">
            <v>01466</v>
          </cell>
          <cell r="C1675" t="str">
            <v>E</v>
          </cell>
          <cell r="D1675" t="str">
            <v>DO</v>
          </cell>
          <cell r="E1675" t="str">
            <v/>
          </cell>
        </row>
        <row r="1676">
          <cell r="A1676" t="str">
            <v>PROF. LANG. PLASTICO I 77</v>
          </cell>
          <cell r="B1676" t="str">
            <v>01471</v>
          </cell>
          <cell r="C1676" t="str">
            <v>E</v>
          </cell>
          <cell r="D1676" t="str">
            <v>DO</v>
          </cell>
          <cell r="E1676" t="str">
            <v/>
          </cell>
        </row>
        <row r="1677">
          <cell r="A1677" t="str">
            <v>PROF. MANUALIDADES 77 II</v>
          </cell>
          <cell r="B1677" t="str">
            <v>02037</v>
          </cell>
          <cell r="C1677" t="str">
            <v>E</v>
          </cell>
          <cell r="D1677" t="str">
            <v>DO</v>
          </cell>
          <cell r="E1677" t="str">
            <v/>
          </cell>
        </row>
        <row r="1678">
          <cell r="A1678" t="str">
            <v>PROF. MANUALIDADES III 77</v>
          </cell>
          <cell r="B1678" t="str">
            <v>02061</v>
          </cell>
          <cell r="C1678" t="str">
            <v>E</v>
          </cell>
          <cell r="D1678" t="str">
            <v>DO</v>
          </cell>
          <cell r="E1678" t="str">
            <v/>
          </cell>
        </row>
        <row r="1679">
          <cell r="A1679" t="str">
            <v>PROF. MUSICA POP. VI   77</v>
          </cell>
          <cell r="B1679" t="str">
            <v>01556</v>
          </cell>
          <cell r="C1679" t="str">
            <v>E</v>
          </cell>
          <cell r="D1679" t="str">
            <v>DO</v>
          </cell>
          <cell r="E1679" t="str">
            <v/>
          </cell>
        </row>
        <row r="1680">
          <cell r="A1680" t="str">
            <v>PROF. OBOE</v>
          </cell>
          <cell r="B1680" t="str">
            <v>02060</v>
          </cell>
          <cell r="C1680" t="str">
            <v>E</v>
          </cell>
          <cell r="D1680" t="str">
            <v>DO</v>
          </cell>
          <cell r="E1680" t="str">
            <v/>
          </cell>
        </row>
        <row r="1681">
          <cell r="A1681" t="str">
            <v>PROF. PIANO COMPLEMENTARIO</v>
          </cell>
          <cell r="B1681" t="str">
            <v>02051</v>
          </cell>
          <cell r="C1681" t="str">
            <v>E</v>
          </cell>
          <cell r="D1681" t="str">
            <v>DO</v>
          </cell>
          <cell r="E1681" t="str">
            <v/>
          </cell>
        </row>
        <row r="1682">
          <cell r="A1682" t="str">
            <v>PROF. PIANO PRINCIPAL III 77</v>
          </cell>
          <cell r="B1682" t="str">
            <v>01483</v>
          </cell>
          <cell r="C1682" t="str">
            <v>E</v>
          </cell>
          <cell r="D1682" t="str">
            <v>DO</v>
          </cell>
          <cell r="E1682" t="str">
            <v/>
          </cell>
        </row>
        <row r="1683">
          <cell r="A1683" t="str">
            <v>PROF. PINTURA INFAN. V 77</v>
          </cell>
          <cell r="B1683" t="str">
            <v>01495</v>
          </cell>
          <cell r="C1683" t="str">
            <v>E</v>
          </cell>
          <cell r="D1683" t="str">
            <v>DO</v>
          </cell>
          <cell r="E1683" t="str">
            <v/>
          </cell>
        </row>
        <row r="1684">
          <cell r="A1684" t="str">
            <v>PROF. PINTURA Y DIBUJO</v>
          </cell>
          <cell r="B1684" t="str">
            <v>00592</v>
          </cell>
          <cell r="C1684" t="str">
            <v>E</v>
          </cell>
          <cell r="D1684" t="str">
            <v>DO</v>
          </cell>
          <cell r="E1684" t="str">
            <v/>
          </cell>
        </row>
        <row r="1685">
          <cell r="A1685" t="str">
            <v>PROF. RECURSOS AUDIO N.G</v>
          </cell>
          <cell r="B1685" t="str">
            <v>02070</v>
          </cell>
          <cell r="C1685" t="str">
            <v>E</v>
          </cell>
          <cell r="D1685" t="str">
            <v>DO</v>
          </cell>
          <cell r="E1685" t="str">
            <v/>
          </cell>
        </row>
        <row r="1686">
          <cell r="A1686" t="str">
            <v>PROF. TEORIA Y SOLFEO</v>
          </cell>
          <cell r="B1686" t="str">
            <v>02053</v>
          </cell>
          <cell r="C1686" t="str">
            <v>E</v>
          </cell>
          <cell r="D1686" t="str">
            <v>DO</v>
          </cell>
          <cell r="E1686" t="str">
            <v/>
          </cell>
        </row>
        <row r="1687">
          <cell r="A1687" t="str">
            <v>PROF. TROMPETA N.G.</v>
          </cell>
          <cell r="B1687" t="str">
            <v>02048</v>
          </cell>
          <cell r="C1687" t="str">
            <v>E</v>
          </cell>
          <cell r="D1687" t="str">
            <v>DO</v>
          </cell>
          <cell r="E1687" t="str">
            <v/>
          </cell>
        </row>
        <row r="1688">
          <cell r="A1688" t="str">
            <v>PROF. VIOLA III 77</v>
          </cell>
          <cell r="B1688" t="str">
            <v>01513</v>
          </cell>
          <cell r="C1688" t="str">
            <v>E</v>
          </cell>
          <cell r="D1688" t="str">
            <v>DO</v>
          </cell>
          <cell r="E1688" t="str">
            <v/>
          </cell>
        </row>
        <row r="1689">
          <cell r="A1689" t="str">
            <v>PROF. VIOLIN III 77</v>
          </cell>
          <cell r="B1689" t="str">
            <v>01523</v>
          </cell>
          <cell r="C1689" t="str">
            <v>E</v>
          </cell>
          <cell r="D1689" t="str">
            <v>DO</v>
          </cell>
          <cell r="E1689" t="str">
            <v/>
          </cell>
        </row>
        <row r="1690">
          <cell r="A1690" t="str">
            <v>PROF. VIOLONCELLO III 77</v>
          </cell>
          <cell r="B1690" t="str">
            <v>01533</v>
          </cell>
          <cell r="C1690" t="str">
            <v>E</v>
          </cell>
          <cell r="D1690" t="str">
            <v>DO</v>
          </cell>
          <cell r="E1690" t="str">
            <v/>
          </cell>
        </row>
        <row r="1691">
          <cell r="A1691" t="str">
            <v>PROF.CERAMICA ARTISTICA N.G.</v>
          </cell>
          <cell r="B1691" t="str">
            <v>02025</v>
          </cell>
          <cell r="C1691" t="str">
            <v>E</v>
          </cell>
          <cell r="D1691" t="str">
            <v>DO</v>
          </cell>
          <cell r="E1691" t="str">
            <v/>
          </cell>
        </row>
        <row r="1692">
          <cell r="A1692" t="str">
            <v>PROF.TEATRO N.G.</v>
          </cell>
          <cell r="B1692" t="str">
            <v>02033</v>
          </cell>
          <cell r="C1692" t="str">
            <v>E</v>
          </cell>
          <cell r="D1692" t="str">
            <v>DO</v>
          </cell>
          <cell r="E1692" t="str">
            <v/>
          </cell>
        </row>
        <row r="1693">
          <cell r="A1693" t="str">
            <v>PROFESOR DE CONTRABAJO</v>
          </cell>
          <cell r="B1693" t="str">
            <v>40158</v>
          </cell>
          <cell r="C1693" t="str">
            <v>E</v>
          </cell>
          <cell r="D1693" t="str">
            <v>DO</v>
          </cell>
          <cell r="E1693" t="str">
            <v/>
          </cell>
        </row>
        <row r="1694">
          <cell r="A1694" t="str">
            <v>PROFESOR DE ESCULTURA Y ARTES GRAFICAS Y DOCENTE AULA MEDIA PROFESIONAL NG</v>
          </cell>
          <cell r="B1694" t="str">
            <v>40159</v>
          </cell>
          <cell r="C1694" t="str">
            <v>E</v>
          </cell>
          <cell r="D1694" t="str">
            <v>DO</v>
          </cell>
          <cell r="E1694" t="str">
            <v/>
          </cell>
        </row>
        <row r="1695">
          <cell r="A1695" t="str">
            <v>PROFESOR DE MANUALIDADES</v>
          </cell>
          <cell r="B1695" t="str">
            <v>40301</v>
          </cell>
          <cell r="C1695" t="str">
            <v>E</v>
          </cell>
          <cell r="D1695" t="str">
            <v>DO</v>
          </cell>
          <cell r="E1695" t="str">
            <v/>
          </cell>
        </row>
        <row r="1696">
          <cell r="A1696" t="str">
            <v>PROFESOR DE MUSICA</v>
          </cell>
          <cell r="B1696" t="str">
            <v>40160</v>
          </cell>
          <cell r="C1696" t="str">
            <v>E</v>
          </cell>
          <cell r="D1696" t="str">
            <v>DO</v>
          </cell>
          <cell r="E1696" t="str">
            <v/>
          </cell>
        </row>
        <row r="1697">
          <cell r="A1697" t="str">
            <v>PROFESOR DE VIOLA N.G.</v>
          </cell>
          <cell r="B1697" t="str">
            <v>02035</v>
          </cell>
          <cell r="C1697" t="str">
            <v>E</v>
          </cell>
          <cell r="D1697" t="str">
            <v>DO</v>
          </cell>
          <cell r="E1697" t="str">
            <v/>
          </cell>
        </row>
        <row r="1698">
          <cell r="A1698" t="str">
            <v>PROFESOR DE VIOLIN N.G.</v>
          </cell>
          <cell r="B1698" t="str">
            <v>02036</v>
          </cell>
          <cell r="C1698" t="str">
            <v>E</v>
          </cell>
          <cell r="D1698" t="str">
            <v>DO</v>
          </cell>
          <cell r="E1698" t="str">
            <v/>
          </cell>
        </row>
        <row r="1699">
          <cell r="A1699" t="str">
            <v>PROFESOR I TID</v>
          </cell>
          <cell r="B1699" t="str">
            <v>00704</v>
          </cell>
          <cell r="C1699" t="str">
            <v>E</v>
          </cell>
          <cell r="D1699" t="str">
            <v>DO</v>
          </cell>
          <cell r="E1699" t="str">
            <v/>
          </cell>
        </row>
        <row r="1700">
          <cell r="A1700" t="str">
            <v>PROFESOR POR HORA (24 HORAS)</v>
          </cell>
          <cell r="B1700" t="str">
            <v>40161</v>
          </cell>
          <cell r="C1700" t="str">
            <v>E</v>
          </cell>
          <cell r="D1700" t="str">
            <v>DO</v>
          </cell>
          <cell r="E1700" t="str">
            <v/>
          </cell>
        </row>
        <row r="1701">
          <cell r="A1701" t="str">
            <v>PROFESOR(A) DE CORTE Y CONFECCIÓN</v>
          </cell>
          <cell r="B1701" t="str">
            <v>40233</v>
          </cell>
          <cell r="C1701" t="str">
            <v>E</v>
          </cell>
          <cell r="D1701" t="str">
            <v>DO</v>
          </cell>
          <cell r="E1701" t="str">
            <v/>
          </cell>
        </row>
        <row r="1702">
          <cell r="A1702" t="str">
            <v>PROFESORA DE CORTE Y COSTURA Y DIRECTORA DE LA ESCUELA ANDRES ELOY BLANCO</v>
          </cell>
          <cell r="B1702" t="str">
            <v>40162</v>
          </cell>
          <cell r="C1702" t="str">
            <v>E</v>
          </cell>
          <cell r="D1702" t="str">
            <v>DO</v>
          </cell>
          <cell r="E1702" t="str">
            <v/>
          </cell>
        </row>
        <row r="1703">
          <cell r="A1703" t="str">
            <v>PROFESORA DE MECANOGRAFIA</v>
          </cell>
          <cell r="B1703" t="str">
            <v>40163</v>
          </cell>
          <cell r="C1703" t="str">
            <v>E</v>
          </cell>
          <cell r="D1703" t="str">
            <v>DO</v>
          </cell>
          <cell r="E1703" t="str">
            <v/>
          </cell>
        </row>
        <row r="1704">
          <cell r="A1704" t="str">
            <v>PROFESORA DE PINTURA INFANTIL, PROFESORA DE EDUCACION ARTISTICA Y COORDINADORA DOCENTE.</v>
          </cell>
          <cell r="B1704" t="str">
            <v>40164</v>
          </cell>
          <cell r="C1704" t="str">
            <v>E</v>
          </cell>
          <cell r="D1704" t="str">
            <v>DO</v>
          </cell>
          <cell r="E1704" t="str">
            <v/>
          </cell>
        </row>
        <row r="1705">
          <cell r="A1705" t="str">
            <v>PROFESORA DE PINTURA Y DIBUJO (06 HORAS) Y DOCENTE IV COORDINADOR (24 HORAS)</v>
          </cell>
          <cell r="B1705" t="str">
            <v>40165</v>
          </cell>
          <cell r="C1705" t="str">
            <v>E</v>
          </cell>
          <cell r="D1705" t="str">
            <v>DO</v>
          </cell>
          <cell r="E1705" t="str">
            <v/>
          </cell>
        </row>
        <row r="1706">
          <cell r="A1706" t="str">
            <v>PROFESORA NOCTURNA (NACIONAL) Y COORDINADORA DOCENTE VI</v>
          </cell>
          <cell r="B1706" t="str">
            <v>40166</v>
          </cell>
          <cell r="C1706" t="str">
            <v>E</v>
          </cell>
          <cell r="D1706" t="str">
            <v>DO</v>
          </cell>
          <cell r="E1706" t="str">
            <v/>
          </cell>
        </row>
        <row r="1707">
          <cell r="A1707" t="str">
            <v>PROGRAMADOR DE FORMACION PROFES. JEFE</v>
          </cell>
          <cell r="B1707" t="str">
            <v>34170</v>
          </cell>
          <cell r="C1707" t="str">
            <v>E</v>
          </cell>
          <cell r="D1707" t="str">
            <v>UT</v>
          </cell>
          <cell r="E1707" t="str">
            <v>23</v>
          </cell>
        </row>
        <row r="1708">
          <cell r="A1708" t="str">
            <v>PROGRAMADOR DE FORMACION PROFESIONAL</v>
          </cell>
          <cell r="B1708" t="str">
            <v>34160</v>
          </cell>
          <cell r="C1708" t="str">
            <v>E</v>
          </cell>
          <cell r="D1708" t="str">
            <v>UT</v>
          </cell>
          <cell r="E1708" t="str">
            <v>20</v>
          </cell>
        </row>
        <row r="1709">
          <cell r="A1709" t="str">
            <v>PROGRAMADOR I</v>
          </cell>
          <cell r="B1709" t="str">
            <v>23421</v>
          </cell>
          <cell r="C1709" t="str">
            <v>E</v>
          </cell>
          <cell r="D1709" t="str">
            <v>AD</v>
          </cell>
          <cell r="E1709" t="str">
            <v>04</v>
          </cell>
        </row>
        <row r="1710">
          <cell r="A1710" t="str">
            <v>PROGRAMADOR II</v>
          </cell>
          <cell r="B1710" t="str">
            <v>23422</v>
          </cell>
          <cell r="C1710" t="str">
            <v>E</v>
          </cell>
          <cell r="D1710" t="str">
            <v>UT</v>
          </cell>
          <cell r="E1710" t="str">
            <v>17</v>
          </cell>
        </row>
        <row r="1711">
          <cell r="A1711" t="str">
            <v>PROGRAMADOR III</v>
          </cell>
          <cell r="B1711" t="str">
            <v>23423</v>
          </cell>
          <cell r="C1711" t="str">
            <v>E</v>
          </cell>
          <cell r="D1711" t="str">
            <v>UT</v>
          </cell>
          <cell r="E1711" t="str">
            <v>19</v>
          </cell>
        </row>
        <row r="1712">
          <cell r="A1712" t="str">
            <v>PROGRAMADOR IV</v>
          </cell>
          <cell r="B1712" t="str">
            <v>23424</v>
          </cell>
          <cell r="C1712" t="str">
            <v>E</v>
          </cell>
          <cell r="D1712" t="str">
            <v>UT</v>
          </cell>
          <cell r="E1712" t="str">
            <v>21</v>
          </cell>
        </row>
        <row r="1713">
          <cell r="A1713" t="str">
            <v>PROGRAMADOR V</v>
          </cell>
          <cell r="B1713" t="str">
            <v>23425</v>
          </cell>
          <cell r="C1713" t="str">
            <v>E</v>
          </cell>
          <cell r="D1713" t="str">
            <v>UT</v>
          </cell>
          <cell r="E1713" t="str">
            <v>22</v>
          </cell>
        </row>
        <row r="1714">
          <cell r="A1714" t="str">
            <v>PROMOTOR  SOCIAL I</v>
          </cell>
          <cell r="B1714" t="str">
            <v>79372</v>
          </cell>
          <cell r="C1714" t="str">
            <v>E</v>
          </cell>
          <cell r="D1714" t="str">
            <v>AD</v>
          </cell>
          <cell r="E1714" t="str">
            <v>01</v>
          </cell>
        </row>
        <row r="1715">
          <cell r="A1715" t="str">
            <v>PROMOTOR CULTURAL I</v>
          </cell>
          <cell r="B1715" t="str">
            <v>37921</v>
          </cell>
          <cell r="C1715" t="str">
            <v>E</v>
          </cell>
          <cell r="D1715" t="str">
            <v>UT</v>
          </cell>
          <cell r="E1715" t="str">
            <v>17</v>
          </cell>
        </row>
        <row r="1716">
          <cell r="A1716" t="str">
            <v>PROMOTOR CULTURAL II</v>
          </cell>
          <cell r="B1716" t="str">
            <v>37922</v>
          </cell>
          <cell r="C1716" t="str">
            <v>E</v>
          </cell>
          <cell r="D1716" t="str">
            <v>UT</v>
          </cell>
          <cell r="E1716" t="str">
            <v>19</v>
          </cell>
        </row>
        <row r="1717">
          <cell r="A1717" t="str">
            <v>PROMOTOR DE BIENESTAR SOCIAL</v>
          </cell>
          <cell r="B1717" t="str">
            <v>79370</v>
          </cell>
          <cell r="C1717" t="str">
            <v>E</v>
          </cell>
          <cell r="D1717" t="str">
            <v>AD</v>
          </cell>
          <cell r="E1717" t="str">
            <v>03</v>
          </cell>
        </row>
        <row r="1718">
          <cell r="A1718" t="str">
            <v>PROMOTOR DE CURSOS</v>
          </cell>
          <cell r="B1718" t="str">
            <v>17310</v>
          </cell>
          <cell r="C1718" t="str">
            <v>E</v>
          </cell>
          <cell r="D1718" t="str">
            <v>AD</v>
          </cell>
          <cell r="E1718" t="str">
            <v>04</v>
          </cell>
        </row>
        <row r="1719">
          <cell r="A1719" t="str">
            <v>PROMOTOR DE EXPORTACIONES I</v>
          </cell>
          <cell r="B1719" t="str">
            <v>36721</v>
          </cell>
          <cell r="C1719" t="str">
            <v>E</v>
          </cell>
          <cell r="D1719" t="str">
            <v>UT</v>
          </cell>
          <cell r="E1719" t="str">
            <v>17</v>
          </cell>
        </row>
        <row r="1720">
          <cell r="A1720" t="str">
            <v>PROMOTOR DE EXPORTACIONES II</v>
          </cell>
          <cell r="B1720" t="str">
            <v>36722</v>
          </cell>
          <cell r="C1720" t="str">
            <v>E</v>
          </cell>
          <cell r="D1720" t="str">
            <v>UT</v>
          </cell>
          <cell r="E1720" t="str">
            <v>19</v>
          </cell>
        </row>
        <row r="1721">
          <cell r="A1721" t="str">
            <v>PROMOTOR DE EXPORTACIONES III</v>
          </cell>
          <cell r="B1721" t="str">
            <v>36723</v>
          </cell>
          <cell r="C1721" t="str">
            <v>E</v>
          </cell>
          <cell r="D1721" t="str">
            <v>UT</v>
          </cell>
          <cell r="E1721" t="str">
            <v>21</v>
          </cell>
        </row>
        <row r="1722">
          <cell r="A1722" t="str">
            <v>PROMOTOR DE EXPORTACIONES JEFE</v>
          </cell>
          <cell r="B1722" t="str">
            <v>36730</v>
          </cell>
          <cell r="C1722" t="str">
            <v>E</v>
          </cell>
          <cell r="D1722" t="str">
            <v>UT</v>
          </cell>
          <cell r="E1722" t="str">
            <v>23</v>
          </cell>
        </row>
        <row r="1723">
          <cell r="A1723" t="str">
            <v>PROMOTOR DEPORTIVO</v>
          </cell>
          <cell r="B1723" t="str">
            <v>79371</v>
          </cell>
          <cell r="C1723" t="str">
            <v>E</v>
          </cell>
          <cell r="D1723" t="str">
            <v>AD</v>
          </cell>
          <cell r="E1723" t="str">
            <v>01</v>
          </cell>
        </row>
        <row r="1724">
          <cell r="A1724" t="str">
            <v>PROMOTOR RURAL</v>
          </cell>
          <cell r="B1724" t="str">
            <v>79230</v>
          </cell>
          <cell r="C1724" t="str">
            <v>E</v>
          </cell>
          <cell r="D1724" t="str">
            <v>AD</v>
          </cell>
          <cell r="E1724" t="str">
            <v>01</v>
          </cell>
        </row>
        <row r="1725">
          <cell r="A1725" t="str">
            <v>PROMOTOR TURISTICO I</v>
          </cell>
          <cell r="B1725" t="str">
            <v>31541</v>
          </cell>
          <cell r="C1725" t="str">
            <v>E</v>
          </cell>
          <cell r="D1725" t="str">
            <v>AD</v>
          </cell>
          <cell r="E1725" t="str">
            <v>01</v>
          </cell>
        </row>
        <row r="1726">
          <cell r="A1726" t="str">
            <v>PROMOTOR TURISTICO II</v>
          </cell>
          <cell r="B1726" t="str">
            <v>31542</v>
          </cell>
          <cell r="C1726" t="str">
            <v>E</v>
          </cell>
          <cell r="D1726" t="str">
            <v>UT</v>
          </cell>
          <cell r="E1726" t="str">
            <v>15</v>
          </cell>
        </row>
        <row r="1727">
          <cell r="A1727" t="str">
            <v>PROMOTOR TURISTICO III</v>
          </cell>
          <cell r="B1727" t="str">
            <v>31543</v>
          </cell>
          <cell r="C1727" t="str">
            <v>E</v>
          </cell>
          <cell r="D1727" t="str">
            <v>UT</v>
          </cell>
          <cell r="E1727" t="str">
            <v>16</v>
          </cell>
        </row>
        <row r="1728">
          <cell r="A1728" t="str">
            <v>PROMOTOR TURISTICO IV</v>
          </cell>
          <cell r="B1728" t="str">
            <v>31544</v>
          </cell>
          <cell r="C1728" t="str">
            <v>E</v>
          </cell>
          <cell r="D1728" t="str">
            <v>UT</v>
          </cell>
          <cell r="E1728" t="str">
            <v>18</v>
          </cell>
        </row>
        <row r="1729">
          <cell r="A1729" t="str">
            <v>PROMOTOR TURISTICO JEFE</v>
          </cell>
          <cell r="B1729" t="str">
            <v>31550</v>
          </cell>
          <cell r="C1729" t="str">
            <v>E</v>
          </cell>
          <cell r="D1729" t="str">
            <v>UT</v>
          </cell>
          <cell r="E1729" t="str">
            <v>20</v>
          </cell>
        </row>
        <row r="1730">
          <cell r="A1730" t="str">
            <v>PROYECTISTA DE PABELLON DE FERIAS</v>
          </cell>
          <cell r="B1730" t="str">
            <v>36770</v>
          </cell>
          <cell r="C1730" t="str">
            <v>E</v>
          </cell>
          <cell r="D1730" t="str">
            <v>UT</v>
          </cell>
          <cell r="E1730" t="str">
            <v>21</v>
          </cell>
        </row>
        <row r="1731">
          <cell r="A1731" t="str">
            <v>PSICOLOGO I</v>
          </cell>
          <cell r="B1731" t="str">
            <v>36321</v>
          </cell>
          <cell r="C1731" t="str">
            <v>E</v>
          </cell>
          <cell r="D1731" t="str">
            <v>UT</v>
          </cell>
          <cell r="E1731" t="str">
            <v>17</v>
          </cell>
        </row>
        <row r="1732">
          <cell r="A1732" t="str">
            <v>PSICOLOGO II</v>
          </cell>
          <cell r="B1732" t="str">
            <v>36322</v>
          </cell>
          <cell r="C1732" t="str">
            <v>E</v>
          </cell>
          <cell r="D1732" t="str">
            <v>UT</v>
          </cell>
          <cell r="E1732" t="str">
            <v>19</v>
          </cell>
        </row>
        <row r="1733">
          <cell r="A1733" t="str">
            <v>PSICOLOGO III</v>
          </cell>
          <cell r="B1733" t="str">
            <v>36323</v>
          </cell>
          <cell r="C1733" t="str">
            <v>E</v>
          </cell>
          <cell r="D1733" t="str">
            <v>UT</v>
          </cell>
          <cell r="E1733" t="str">
            <v>21</v>
          </cell>
        </row>
        <row r="1734">
          <cell r="A1734" t="str">
            <v>PSICOLOGO JEFE</v>
          </cell>
          <cell r="B1734" t="str">
            <v>36325</v>
          </cell>
          <cell r="C1734" t="str">
            <v>E</v>
          </cell>
          <cell r="D1734" t="str">
            <v>UT</v>
          </cell>
          <cell r="E1734" t="str">
            <v>23</v>
          </cell>
        </row>
        <row r="1735">
          <cell r="A1735" t="str">
            <v>PSICOPEDAGOGO</v>
          </cell>
          <cell r="B1735" t="str">
            <v>34130</v>
          </cell>
          <cell r="C1735" t="str">
            <v>E</v>
          </cell>
          <cell r="D1735" t="str">
            <v>UT</v>
          </cell>
          <cell r="E1735" t="str">
            <v>15</v>
          </cell>
        </row>
        <row r="1736">
          <cell r="A1736" t="str">
            <v>PUERICULTORA</v>
          </cell>
          <cell r="B1736" t="str">
            <v>79120</v>
          </cell>
          <cell r="C1736" t="str">
            <v>E</v>
          </cell>
          <cell r="D1736" t="str">
            <v>AD</v>
          </cell>
          <cell r="E1736" t="str">
            <v>04</v>
          </cell>
        </row>
        <row r="1737">
          <cell r="A1737" t="str">
            <v>QUIMICO I</v>
          </cell>
          <cell r="B1737" t="str">
            <v>44721</v>
          </cell>
          <cell r="C1737" t="str">
            <v>E</v>
          </cell>
          <cell r="D1737" t="str">
            <v>UT</v>
          </cell>
          <cell r="E1737" t="str">
            <v>17</v>
          </cell>
        </row>
        <row r="1738">
          <cell r="A1738" t="str">
            <v>QUIMICO II</v>
          </cell>
          <cell r="B1738" t="str">
            <v>44722</v>
          </cell>
          <cell r="C1738" t="str">
            <v>E</v>
          </cell>
          <cell r="D1738" t="str">
            <v>UT</v>
          </cell>
          <cell r="E1738" t="str">
            <v>19</v>
          </cell>
        </row>
        <row r="1739">
          <cell r="A1739" t="str">
            <v>QUIMICO III</v>
          </cell>
          <cell r="B1739" t="str">
            <v>44723</v>
          </cell>
          <cell r="C1739" t="str">
            <v>E</v>
          </cell>
          <cell r="D1739" t="str">
            <v>UT</v>
          </cell>
          <cell r="E1739" t="str">
            <v>21</v>
          </cell>
        </row>
        <row r="1740">
          <cell r="A1740" t="str">
            <v>QUIMICO JEFE I</v>
          </cell>
          <cell r="B1740" t="str">
            <v>44731</v>
          </cell>
          <cell r="C1740" t="str">
            <v>E</v>
          </cell>
          <cell r="D1740" t="str">
            <v>UT</v>
          </cell>
          <cell r="E1740" t="str">
            <v>22</v>
          </cell>
        </row>
        <row r="1741">
          <cell r="A1741" t="str">
            <v>QUIMICO JEFE II</v>
          </cell>
          <cell r="B1741" t="str">
            <v>44732</v>
          </cell>
          <cell r="C1741" t="str">
            <v>E</v>
          </cell>
          <cell r="D1741" t="str">
            <v>UT</v>
          </cell>
          <cell r="E1741" t="str">
            <v>23</v>
          </cell>
        </row>
        <row r="1742">
          <cell r="A1742" t="str">
            <v>RADIO OPERADOR DE CRIPTOGRAFO I</v>
          </cell>
          <cell r="B1742" t="str">
            <v>51431</v>
          </cell>
          <cell r="C1742" t="str">
            <v>E</v>
          </cell>
          <cell r="D1742" t="str">
            <v>AD</v>
          </cell>
          <cell r="E1742" t="str">
            <v>03</v>
          </cell>
        </row>
        <row r="1743">
          <cell r="A1743" t="str">
            <v>RADIO OPERADOR DE CRIPTOGRAFO II</v>
          </cell>
          <cell r="B1743" t="str">
            <v>51432</v>
          </cell>
          <cell r="C1743" t="str">
            <v>E</v>
          </cell>
          <cell r="D1743" t="str">
            <v>AD</v>
          </cell>
          <cell r="E1743" t="str">
            <v>06</v>
          </cell>
        </row>
        <row r="1744">
          <cell r="A1744" t="str">
            <v>RADIO OPERADOR DE CRIPTOGRAFO JEFE</v>
          </cell>
          <cell r="B1744" t="str">
            <v>51440</v>
          </cell>
          <cell r="C1744" t="str">
            <v>E</v>
          </cell>
          <cell r="D1744" t="str">
            <v>AD</v>
          </cell>
          <cell r="E1744" t="str">
            <v>08</v>
          </cell>
        </row>
        <row r="1745">
          <cell r="A1745" t="str">
            <v>RADIOTELEFONISTA</v>
          </cell>
          <cell r="B1745" t="str">
            <v>51470</v>
          </cell>
          <cell r="C1745" t="str">
            <v>E</v>
          </cell>
          <cell r="D1745" t="str">
            <v>AD</v>
          </cell>
          <cell r="E1745" t="str">
            <v>01</v>
          </cell>
        </row>
        <row r="1746">
          <cell r="A1746" t="str">
            <v>RECEPCIONISTA</v>
          </cell>
          <cell r="B1746" t="str">
            <v>22230</v>
          </cell>
          <cell r="C1746" t="str">
            <v>E</v>
          </cell>
          <cell r="D1746" t="str">
            <v>AD</v>
          </cell>
          <cell r="E1746" t="str">
            <v>01</v>
          </cell>
        </row>
        <row r="1747">
          <cell r="A1747" t="str">
            <v>REDOBLANTE 1</v>
          </cell>
          <cell r="B1747" t="str">
            <v>03549</v>
          </cell>
          <cell r="C1747" t="str">
            <v>E</v>
          </cell>
          <cell r="D1747" t="str">
            <v>AD</v>
          </cell>
          <cell r="E1747" t="str">
            <v>01</v>
          </cell>
        </row>
        <row r="1748">
          <cell r="A1748" t="str">
            <v>REGISTRADOR DE BIENES Y MATERIAS I</v>
          </cell>
          <cell r="B1748" t="str">
            <v>25111</v>
          </cell>
          <cell r="C1748" t="str">
            <v>E</v>
          </cell>
          <cell r="D1748" t="str">
            <v>AD</v>
          </cell>
          <cell r="E1748" t="str">
            <v>01</v>
          </cell>
        </row>
        <row r="1749">
          <cell r="A1749" t="str">
            <v>REGISTRADOR DE BIENES Y MATERIAS II</v>
          </cell>
          <cell r="B1749" t="str">
            <v>25112</v>
          </cell>
          <cell r="C1749" t="str">
            <v>E</v>
          </cell>
          <cell r="D1749" t="str">
            <v>AD</v>
          </cell>
          <cell r="E1749" t="str">
            <v>02</v>
          </cell>
        </row>
        <row r="1750">
          <cell r="A1750" t="str">
            <v>REGISTRADOR DE BIENES Y MATERIAS III</v>
          </cell>
          <cell r="B1750" t="str">
            <v>25113</v>
          </cell>
          <cell r="C1750" t="str">
            <v>E</v>
          </cell>
          <cell r="D1750" t="str">
            <v>UT</v>
          </cell>
          <cell r="E1750" t="str">
            <v>15</v>
          </cell>
        </row>
        <row r="1751">
          <cell r="A1751" t="str">
            <v>REGISTRADOR DE BIENES Y MATERIAS IV</v>
          </cell>
          <cell r="B1751" t="str">
            <v>25114</v>
          </cell>
          <cell r="C1751" t="str">
            <v>E</v>
          </cell>
          <cell r="D1751" t="str">
            <v>UT</v>
          </cell>
          <cell r="E1751" t="str">
            <v>17</v>
          </cell>
        </row>
        <row r="1752">
          <cell r="A1752" t="str">
            <v>REGISTRADOR DE BIENES Y MATERIAS V</v>
          </cell>
          <cell r="B1752" t="str">
            <v>25115</v>
          </cell>
          <cell r="C1752" t="str">
            <v>E</v>
          </cell>
          <cell r="D1752" t="str">
            <v>UT</v>
          </cell>
          <cell r="E1752" t="str">
            <v>18</v>
          </cell>
        </row>
        <row r="1753">
          <cell r="A1753" t="str">
            <v>REGISTRADOR DE MUSEO</v>
          </cell>
          <cell r="B1753" t="str">
            <v>37520</v>
          </cell>
          <cell r="C1753" t="str">
            <v>E</v>
          </cell>
          <cell r="D1753" t="str">
            <v>AD</v>
          </cell>
          <cell r="E1753" t="str">
            <v>04</v>
          </cell>
        </row>
        <row r="1754">
          <cell r="A1754" t="str">
            <v>RESTAURADOR I</v>
          </cell>
          <cell r="B1754" t="str">
            <v>37421</v>
          </cell>
          <cell r="C1754" t="str">
            <v>E</v>
          </cell>
          <cell r="D1754" t="str">
            <v>AD</v>
          </cell>
          <cell r="E1754" t="str">
            <v>02</v>
          </cell>
        </row>
        <row r="1755">
          <cell r="A1755" t="str">
            <v>RESTAURADOR II</v>
          </cell>
          <cell r="B1755" t="str">
            <v>37422</v>
          </cell>
          <cell r="C1755" t="str">
            <v>E</v>
          </cell>
          <cell r="D1755" t="str">
            <v>AD</v>
          </cell>
          <cell r="E1755" t="str">
            <v>04</v>
          </cell>
        </row>
        <row r="1756">
          <cell r="A1756" t="str">
            <v>RESTAURADOR III</v>
          </cell>
          <cell r="B1756" t="str">
            <v>37423</v>
          </cell>
          <cell r="C1756" t="str">
            <v>E</v>
          </cell>
          <cell r="D1756" t="str">
            <v>UT</v>
          </cell>
          <cell r="E1756" t="str">
            <v>17</v>
          </cell>
        </row>
        <row r="1757">
          <cell r="A1757" t="str">
            <v>RESTAURADOR JEFE</v>
          </cell>
          <cell r="B1757" t="str">
            <v>37430</v>
          </cell>
          <cell r="C1757" t="str">
            <v>E</v>
          </cell>
          <cell r="D1757" t="str">
            <v>UT</v>
          </cell>
          <cell r="E1757" t="str">
            <v>20</v>
          </cell>
        </row>
        <row r="1758">
          <cell r="A1758" t="str">
            <v>REVISOR DE CONTRALORIA I</v>
          </cell>
          <cell r="B1758" t="str">
            <v>21831</v>
          </cell>
          <cell r="C1758" t="str">
            <v>E</v>
          </cell>
          <cell r="D1758" t="str">
            <v>UT</v>
          </cell>
          <cell r="E1758" t="str">
            <v>15</v>
          </cell>
        </row>
        <row r="1759">
          <cell r="A1759" t="str">
            <v>REVISOR DE CONTRALORIA II</v>
          </cell>
          <cell r="B1759" t="str">
            <v>21832</v>
          </cell>
          <cell r="C1759" t="str">
            <v>E</v>
          </cell>
          <cell r="D1759" t="str">
            <v>UT</v>
          </cell>
          <cell r="E1759" t="str">
            <v>17</v>
          </cell>
        </row>
        <row r="1760">
          <cell r="A1760" t="str">
            <v>REVISOR DE CONTRALORIA III</v>
          </cell>
          <cell r="B1760" t="str">
            <v>21833</v>
          </cell>
          <cell r="C1760" t="str">
            <v>E</v>
          </cell>
          <cell r="D1760" t="str">
            <v>UT</v>
          </cell>
          <cell r="E1760" t="str">
            <v>19</v>
          </cell>
        </row>
        <row r="1761">
          <cell r="A1761" t="str">
            <v>REVISOR DE CONTRALORIA IV</v>
          </cell>
          <cell r="B1761" t="str">
            <v>21834</v>
          </cell>
          <cell r="C1761" t="str">
            <v>E</v>
          </cell>
          <cell r="D1761" t="str">
            <v>UT</v>
          </cell>
          <cell r="E1761" t="str">
            <v>20</v>
          </cell>
        </row>
        <row r="1762">
          <cell r="A1762" t="str">
            <v>REVISOR DE CONTRALORIA V</v>
          </cell>
          <cell r="B1762" t="str">
            <v>21835</v>
          </cell>
          <cell r="C1762" t="str">
            <v>E</v>
          </cell>
          <cell r="D1762" t="str">
            <v>UT</v>
          </cell>
          <cell r="E1762" t="str">
            <v>22</v>
          </cell>
        </row>
        <row r="1763">
          <cell r="A1763" t="str">
            <v>SARGENTO 1RA</v>
          </cell>
          <cell r="B1763" t="str">
            <v>62252</v>
          </cell>
          <cell r="C1763" t="str">
            <v>E</v>
          </cell>
          <cell r="D1763" t="str">
            <v>PO</v>
          </cell>
          <cell r="E1763" t="str">
            <v>08</v>
          </cell>
        </row>
        <row r="1764">
          <cell r="A1764" t="str">
            <v>SARGENTO 1RO (BOMBERO)</v>
          </cell>
          <cell r="B1764" t="str">
            <v>62710</v>
          </cell>
          <cell r="C1764" t="str">
            <v>E</v>
          </cell>
          <cell r="D1764" t="str">
            <v>BO</v>
          </cell>
          <cell r="E1764" t="str">
            <v>07</v>
          </cell>
        </row>
        <row r="1765">
          <cell r="A1765" t="str">
            <v>SARGENTO 2DA</v>
          </cell>
          <cell r="B1765" t="str">
            <v>62251</v>
          </cell>
          <cell r="C1765" t="str">
            <v>E</v>
          </cell>
          <cell r="D1765" t="str">
            <v>PO</v>
          </cell>
          <cell r="E1765" t="str">
            <v>07</v>
          </cell>
        </row>
        <row r="1766">
          <cell r="A1766" t="str">
            <v>SARGENTO 2DO (BOMBERO)</v>
          </cell>
          <cell r="B1766" t="str">
            <v>62720</v>
          </cell>
          <cell r="C1766" t="str">
            <v>E</v>
          </cell>
          <cell r="D1766" t="str">
            <v>BO</v>
          </cell>
          <cell r="E1766" t="str">
            <v>06</v>
          </cell>
        </row>
        <row r="1767">
          <cell r="A1767" t="str">
            <v>SARGENTO AYUDANTE (BOMBERO)</v>
          </cell>
          <cell r="B1767" t="str">
            <v>62700</v>
          </cell>
          <cell r="C1767" t="str">
            <v>E</v>
          </cell>
          <cell r="D1767" t="str">
            <v>BO</v>
          </cell>
          <cell r="E1767" t="str">
            <v>08</v>
          </cell>
        </row>
        <row r="1768">
          <cell r="A1768" t="str">
            <v>SARGENTO MAYOR</v>
          </cell>
          <cell r="B1768" t="str">
            <v>62253</v>
          </cell>
          <cell r="C1768" t="str">
            <v>E</v>
          </cell>
          <cell r="D1768" t="str">
            <v>PO</v>
          </cell>
          <cell r="E1768" t="str">
            <v>09</v>
          </cell>
        </row>
        <row r="1769">
          <cell r="A1769" t="str">
            <v>SAXO ALTO 1</v>
          </cell>
          <cell r="B1769" t="str">
            <v>03544</v>
          </cell>
          <cell r="C1769" t="str">
            <v>E</v>
          </cell>
          <cell r="D1769" t="str">
            <v>AD</v>
          </cell>
          <cell r="E1769" t="str">
            <v>01</v>
          </cell>
        </row>
        <row r="1770">
          <cell r="A1770" t="str">
            <v>SAXO ALTO 2</v>
          </cell>
          <cell r="B1770" t="str">
            <v>03570</v>
          </cell>
          <cell r="C1770" t="str">
            <v>E</v>
          </cell>
          <cell r="D1770" t="str">
            <v>AD</v>
          </cell>
          <cell r="E1770" t="str">
            <v>01</v>
          </cell>
        </row>
        <row r="1771">
          <cell r="A1771" t="str">
            <v>SAXO TENOR</v>
          </cell>
          <cell r="B1771" t="str">
            <v>03571</v>
          </cell>
          <cell r="C1771" t="str">
            <v>E</v>
          </cell>
          <cell r="D1771" t="str">
            <v>AD</v>
          </cell>
          <cell r="E1771" t="str">
            <v>01</v>
          </cell>
        </row>
        <row r="1772">
          <cell r="A1772" t="str">
            <v>SAXO-BARITONO</v>
          </cell>
          <cell r="B1772" t="str">
            <v>03575</v>
          </cell>
          <cell r="C1772" t="str">
            <v>E</v>
          </cell>
          <cell r="D1772" t="str">
            <v>AD</v>
          </cell>
          <cell r="E1772" t="str">
            <v>01</v>
          </cell>
        </row>
        <row r="1773">
          <cell r="A1773" t="str">
            <v>SECRETARIA EJECUTIVA [SUB DIRECTORA]</v>
          </cell>
          <cell r="B1773" t="str">
            <v>24344</v>
          </cell>
          <cell r="C1773" t="str">
            <v>E</v>
          </cell>
          <cell r="D1773" t="str">
            <v>DI</v>
          </cell>
          <cell r="E1773" t="str">
            <v>99</v>
          </cell>
        </row>
        <row r="1774">
          <cell r="A1774" t="str">
            <v>SECRETARIA GRAL. ENCARGADA</v>
          </cell>
          <cell r="B1774" t="str">
            <v>90100</v>
          </cell>
          <cell r="C1774" t="str">
            <v>E</v>
          </cell>
          <cell r="D1774" t="str">
            <v>AD</v>
          </cell>
          <cell r="E1774" t="str">
            <v>99</v>
          </cell>
        </row>
        <row r="1775">
          <cell r="A1775" t="str">
            <v>SECRETARIO (A) PRIVADO (A)</v>
          </cell>
          <cell r="B1775" t="str">
            <v>00902</v>
          </cell>
          <cell r="C1775" t="str">
            <v>E</v>
          </cell>
          <cell r="D1775" t="str">
            <v>DI</v>
          </cell>
          <cell r="E1775" t="str">
            <v>99</v>
          </cell>
        </row>
        <row r="1776">
          <cell r="A1776" t="str">
            <v>SECRETARIO BILINGUE I</v>
          </cell>
          <cell r="B1776" t="str">
            <v>24321</v>
          </cell>
          <cell r="C1776" t="str">
            <v>E</v>
          </cell>
          <cell r="D1776" t="str">
            <v>AD</v>
          </cell>
          <cell r="E1776" t="str">
            <v>05</v>
          </cell>
        </row>
        <row r="1777">
          <cell r="A1777" t="str">
            <v>SECRETARIO BILINGUE II</v>
          </cell>
          <cell r="B1777" t="str">
            <v>24322</v>
          </cell>
          <cell r="C1777" t="str">
            <v>E</v>
          </cell>
          <cell r="D1777" t="str">
            <v>AD</v>
          </cell>
          <cell r="E1777" t="str">
            <v>07</v>
          </cell>
        </row>
        <row r="1778">
          <cell r="A1778" t="str">
            <v>SECRETARIO DE DESPACHO</v>
          </cell>
          <cell r="B1778" t="str">
            <v>24314</v>
          </cell>
          <cell r="C1778" t="str">
            <v>E</v>
          </cell>
          <cell r="D1778" t="str">
            <v>AD</v>
          </cell>
          <cell r="E1778" t="str">
            <v>99</v>
          </cell>
        </row>
        <row r="1779">
          <cell r="A1779" t="str">
            <v>SECRETARIO EJECUTIVO DEL COMITE SUPERIOR DEL G.E.P.D.T</v>
          </cell>
          <cell r="B1779" t="str">
            <v>00930</v>
          </cell>
          <cell r="C1779" t="str">
            <v>E</v>
          </cell>
          <cell r="D1779" t="str">
            <v>DI</v>
          </cell>
          <cell r="E1779" t="str">
            <v>99</v>
          </cell>
        </row>
        <row r="1780">
          <cell r="A1780" t="str">
            <v>SECRETARIO EJECUTIVO I</v>
          </cell>
          <cell r="B1780" t="str">
            <v>24341</v>
          </cell>
          <cell r="C1780" t="str">
            <v>E</v>
          </cell>
          <cell r="D1780" t="str">
            <v>AD</v>
          </cell>
          <cell r="E1780" t="str">
            <v>07</v>
          </cell>
        </row>
        <row r="1781">
          <cell r="A1781" t="str">
            <v>SECRETARIO EJECUTIVO II</v>
          </cell>
          <cell r="B1781" t="str">
            <v>24342</v>
          </cell>
          <cell r="C1781" t="str">
            <v>E</v>
          </cell>
          <cell r="D1781" t="str">
            <v>AD</v>
          </cell>
          <cell r="E1781" t="str">
            <v>09</v>
          </cell>
        </row>
        <row r="1782">
          <cell r="A1782" t="str">
            <v>SECRETARIO EJECUTIVO III</v>
          </cell>
          <cell r="B1782" t="str">
            <v>24343</v>
          </cell>
          <cell r="C1782" t="str">
            <v>E</v>
          </cell>
          <cell r="D1782" t="str">
            <v>AD</v>
          </cell>
          <cell r="E1782" t="str">
            <v>11</v>
          </cell>
        </row>
        <row r="1783">
          <cell r="A1783" t="str">
            <v>SECRETARIO GRAL .DE GOBIERNO</v>
          </cell>
          <cell r="B1783" t="str">
            <v>00901</v>
          </cell>
          <cell r="C1783" t="str">
            <v>E</v>
          </cell>
          <cell r="D1783" t="str">
            <v>DI</v>
          </cell>
          <cell r="E1783" t="str">
            <v>99</v>
          </cell>
        </row>
        <row r="1784">
          <cell r="A1784" t="str">
            <v>SECRETARIO I</v>
          </cell>
          <cell r="B1784" t="str">
            <v>24311</v>
          </cell>
          <cell r="C1784" t="str">
            <v>E</v>
          </cell>
          <cell r="D1784" t="str">
            <v>AD</v>
          </cell>
          <cell r="E1784" t="str">
            <v>01</v>
          </cell>
        </row>
        <row r="1785">
          <cell r="A1785" t="str">
            <v>SECRETARIO II</v>
          </cell>
          <cell r="B1785" t="str">
            <v>24312</v>
          </cell>
          <cell r="C1785" t="str">
            <v>E</v>
          </cell>
          <cell r="D1785" t="str">
            <v>AD</v>
          </cell>
          <cell r="E1785" t="str">
            <v>03</v>
          </cell>
        </row>
        <row r="1786">
          <cell r="A1786" t="str">
            <v>SECRETARIO III</v>
          </cell>
          <cell r="B1786" t="str">
            <v>24313</v>
          </cell>
          <cell r="C1786" t="str">
            <v>E</v>
          </cell>
          <cell r="D1786" t="str">
            <v>AD</v>
          </cell>
          <cell r="E1786" t="str">
            <v>05</v>
          </cell>
        </row>
        <row r="1787">
          <cell r="A1787" t="str">
            <v>SECRETARIO(A) DE DESPACHO</v>
          </cell>
          <cell r="B1787" t="str">
            <v>24314</v>
          </cell>
          <cell r="C1787" t="str">
            <v>E</v>
          </cell>
          <cell r="D1787" t="str">
            <v>AD</v>
          </cell>
          <cell r="E1787" t="str">
            <v>99</v>
          </cell>
        </row>
        <row r="1788">
          <cell r="A1788" t="str">
            <v>SIN CARGO</v>
          </cell>
          <cell r="B1788" t="str">
            <v>00000</v>
          </cell>
          <cell r="C1788" t="str">
            <v>E</v>
          </cell>
          <cell r="D1788" t="str">
            <v>AD</v>
          </cell>
          <cell r="E1788" t="str">
            <v/>
          </cell>
        </row>
        <row r="1789">
          <cell r="A1789" t="str">
            <v>SOCIOLOG JEFE</v>
          </cell>
          <cell r="B1789" t="str">
            <v>36425</v>
          </cell>
          <cell r="C1789" t="str">
            <v>E</v>
          </cell>
          <cell r="D1789" t="str">
            <v>UT</v>
          </cell>
          <cell r="E1789" t="str">
            <v>23</v>
          </cell>
        </row>
        <row r="1790">
          <cell r="A1790" t="str">
            <v>SOCIOLOGO I</v>
          </cell>
          <cell r="B1790" t="str">
            <v>36421</v>
          </cell>
          <cell r="C1790" t="str">
            <v>E</v>
          </cell>
          <cell r="D1790" t="str">
            <v>UT</v>
          </cell>
          <cell r="E1790" t="str">
            <v>17</v>
          </cell>
        </row>
        <row r="1791">
          <cell r="A1791" t="str">
            <v>SOCIOLOGO II</v>
          </cell>
          <cell r="B1791" t="str">
            <v>36422</v>
          </cell>
          <cell r="C1791" t="str">
            <v>E</v>
          </cell>
          <cell r="D1791" t="str">
            <v>UT</v>
          </cell>
          <cell r="E1791" t="str">
            <v>19</v>
          </cell>
        </row>
        <row r="1792">
          <cell r="A1792" t="str">
            <v>SOCIOLOGO III</v>
          </cell>
          <cell r="B1792" t="str">
            <v>36423</v>
          </cell>
          <cell r="C1792" t="str">
            <v>E</v>
          </cell>
          <cell r="D1792" t="str">
            <v>UT</v>
          </cell>
          <cell r="E1792" t="str">
            <v>21</v>
          </cell>
        </row>
        <row r="1793">
          <cell r="A1793" t="str">
            <v>SOLISTA</v>
          </cell>
          <cell r="B1793" t="str">
            <v>03754</v>
          </cell>
          <cell r="C1793" t="str">
            <v>E</v>
          </cell>
          <cell r="D1793" t="str">
            <v>DO</v>
          </cell>
          <cell r="E1793" t="str">
            <v>06</v>
          </cell>
        </row>
        <row r="1794">
          <cell r="A1794" t="str">
            <v>SOPLADOR DE VIDRIO I</v>
          </cell>
          <cell r="B1794" t="str">
            <v>45411</v>
          </cell>
          <cell r="C1794" t="str">
            <v>E</v>
          </cell>
          <cell r="D1794" t="str">
            <v>AD</v>
          </cell>
          <cell r="E1794" t="str">
            <v>01</v>
          </cell>
        </row>
        <row r="1795">
          <cell r="A1795" t="str">
            <v>SOPLADOR DE VIDRIO II</v>
          </cell>
          <cell r="B1795" t="str">
            <v>45412</v>
          </cell>
          <cell r="C1795" t="str">
            <v>E</v>
          </cell>
          <cell r="D1795" t="str">
            <v>AD</v>
          </cell>
          <cell r="E1795" t="str">
            <v>04</v>
          </cell>
        </row>
        <row r="1796">
          <cell r="A1796" t="str">
            <v>SOPLADOR DE VIDRIO JEFE</v>
          </cell>
          <cell r="B1796" t="str">
            <v>45420</v>
          </cell>
          <cell r="C1796" t="str">
            <v>E</v>
          </cell>
          <cell r="D1796" t="str">
            <v>AD</v>
          </cell>
          <cell r="E1796" t="str">
            <v>07</v>
          </cell>
        </row>
        <row r="1797">
          <cell r="A1797" t="str">
            <v>SUB COMISARIO</v>
          </cell>
          <cell r="B1797" t="str">
            <v>62271</v>
          </cell>
          <cell r="C1797" t="str">
            <v>E</v>
          </cell>
          <cell r="D1797" t="str">
            <v>PO</v>
          </cell>
          <cell r="E1797" t="str">
            <v>20</v>
          </cell>
        </row>
        <row r="1798">
          <cell r="A1798" t="str">
            <v>SUB DIRECTOR DE ORQUESTA</v>
          </cell>
          <cell r="B1798" t="str">
            <v>03508</v>
          </cell>
          <cell r="C1798" t="str">
            <v>E</v>
          </cell>
          <cell r="D1798" t="str">
            <v>AD</v>
          </cell>
          <cell r="E1798" t="str">
            <v>02</v>
          </cell>
        </row>
        <row r="1799">
          <cell r="A1799" t="str">
            <v>SUB DIRECTOR N.G.</v>
          </cell>
          <cell r="B1799" t="str">
            <v>02069</v>
          </cell>
          <cell r="C1799" t="str">
            <v>E</v>
          </cell>
          <cell r="D1799" t="str">
            <v>DO</v>
          </cell>
          <cell r="E1799" t="str">
            <v/>
          </cell>
        </row>
        <row r="1800">
          <cell r="A1800" t="str">
            <v>SUB DIRECTOR VI 139</v>
          </cell>
          <cell r="B1800" t="str">
            <v>01926</v>
          </cell>
          <cell r="C1800" t="str">
            <v>E</v>
          </cell>
          <cell r="D1800" t="str">
            <v>DO</v>
          </cell>
          <cell r="E1800" t="str">
            <v/>
          </cell>
        </row>
        <row r="1801">
          <cell r="A1801" t="str">
            <v>SUB DIRECTOR Y PROFESOR DE MANUALIDADES</v>
          </cell>
          <cell r="B1801" t="str">
            <v>40219</v>
          </cell>
          <cell r="C1801" t="str">
            <v>E</v>
          </cell>
          <cell r="D1801" t="str">
            <v>DO</v>
          </cell>
          <cell r="E1801" t="str">
            <v/>
          </cell>
        </row>
        <row r="1802">
          <cell r="A1802" t="str">
            <v>SUB DIRECTORA (36 HORAS) Y DIRECTORA (20 HORAS)</v>
          </cell>
          <cell r="B1802" t="str">
            <v>40237</v>
          </cell>
          <cell r="C1802" t="str">
            <v>E</v>
          </cell>
          <cell r="D1802" t="str">
            <v>DO</v>
          </cell>
          <cell r="E1802" t="str">
            <v/>
          </cell>
        </row>
        <row r="1803">
          <cell r="A1803" t="str">
            <v>SUB INSPECTOR</v>
          </cell>
          <cell r="B1803" t="str">
            <v>62261</v>
          </cell>
          <cell r="C1803" t="str">
            <v>E</v>
          </cell>
          <cell r="D1803" t="str">
            <v>PO</v>
          </cell>
          <cell r="E1803" t="str">
            <v>17</v>
          </cell>
        </row>
        <row r="1804">
          <cell r="A1804" t="str">
            <v>SUB INSPECTOR GENERAL DE HACIENDA</v>
          </cell>
          <cell r="B1804" t="str">
            <v>21360</v>
          </cell>
          <cell r="C1804" t="str">
            <v>E</v>
          </cell>
          <cell r="D1804" t="str">
            <v>UT</v>
          </cell>
          <cell r="E1804" t="str">
            <v>19</v>
          </cell>
        </row>
        <row r="1805">
          <cell r="A1805" t="str">
            <v>SUBDIR. (36 HORAS) PROF. DE PIANO Y KINDER MUSICAL (26 HORAS)</v>
          </cell>
          <cell r="B1805" t="str">
            <v>40238</v>
          </cell>
          <cell r="C1805" t="str">
            <v>E</v>
          </cell>
          <cell r="D1805" t="str">
            <v>DO</v>
          </cell>
          <cell r="E1805" t="str">
            <v/>
          </cell>
        </row>
        <row r="1806">
          <cell r="A1806" t="str">
            <v>SUB-DIRECTOR</v>
          </cell>
          <cell r="B1806" t="str">
            <v>40220</v>
          </cell>
          <cell r="C1806" t="str">
            <v>E</v>
          </cell>
          <cell r="D1806" t="str">
            <v>DO</v>
          </cell>
          <cell r="E1806" t="str">
            <v/>
          </cell>
        </row>
        <row r="1807">
          <cell r="A1807" t="str">
            <v>SUB-DIRECTOR (35 HORAS)  NG Y CLARINETE</v>
          </cell>
          <cell r="B1807" t="str">
            <v>40167</v>
          </cell>
          <cell r="C1807" t="str">
            <v>E</v>
          </cell>
          <cell r="D1807" t="str">
            <v>DO</v>
          </cell>
          <cell r="E1807" t="str">
            <v/>
          </cell>
        </row>
        <row r="1808">
          <cell r="A1808" t="str">
            <v>SUB-DIRECTOR Y MAESTRO TCVDNMA</v>
          </cell>
          <cell r="B1808" t="str">
            <v>40223</v>
          </cell>
          <cell r="C1808" t="str">
            <v>E</v>
          </cell>
          <cell r="D1808" t="str">
            <v>DO</v>
          </cell>
          <cell r="E1808" t="str">
            <v/>
          </cell>
        </row>
        <row r="1809">
          <cell r="A1809" t="str">
            <v>SUBTENIENTE (BOMBERO)</v>
          </cell>
          <cell r="B1809" t="str">
            <v>62610</v>
          </cell>
          <cell r="C1809" t="str">
            <v>E</v>
          </cell>
          <cell r="D1809" t="str">
            <v>BO</v>
          </cell>
          <cell r="E1809" t="str">
            <v>11</v>
          </cell>
        </row>
        <row r="1810">
          <cell r="A1810" t="str">
            <v>SUPERVISOR</v>
          </cell>
          <cell r="B1810" t="str">
            <v>90003</v>
          </cell>
          <cell r="C1810" t="str">
            <v>E</v>
          </cell>
          <cell r="D1810" t="str">
            <v>PO</v>
          </cell>
          <cell r="E1810" t="str">
            <v/>
          </cell>
        </row>
        <row r="1811">
          <cell r="A1811" t="str">
            <v>SUPERVISOR (GRADO 0)</v>
          </cell>
          <cell r="B1811" t="str">
            <v>90029</v>
          </cell>
          <cell r="C1811" t="str">
            <v>E</v>
          </cell>
          <cell r="D1811" t="str">
            <v>PO</v>
          </cell>
          <cell r="E1811" t="str">
            <v/>
          </cell>
        </row>
        <row r="1812">
          <cell r="A1812" t="str">
            <v>SUPERVISOR (GRADO 1)</v>
          </cell>
          <cell r="B1812" t="str">
            <v>90030</v>
          </cell>
          <cell r="C1812" t="str">
            <v>E</v>
          </cell>
          <cell r="D1812" t="str">
            <v>PO</v>
          </cell>
          <cell r="E1812" t="str">
            <v/>
          </cell>
        </row>
        <row r="1813">
          <cell r="A1813" t="str">
            <v>SUPERVISOR (GRADO 2)</v>
          </cell>
          <cell r="B1813" t="str">
            <v>90031</v>
          </cell>
          <cell r="C1813" t="str">
            <v>E</v>
          </cell>
          <cell r="D1813" t="str">
            <v>PO</v>
          </cell>
          <cell r="E1813" t="str">
            <v/>
          </cell>
        </row>
        <row r="1814">
          <cell r="A1814" t="str">
            <v>SUPERVISOR AGREGADO</v>
          </cell>
          <cell r="B1814" t="str">
            <v>90004</v>
          </cell>
          <cell r="C1814" t="str">
            <v>E</v>
          </cell>
          <cell r="D1814" t="str">
            <v>PO</v>
          </cell>
          <cell r="E1814" t="str">
            <v/>
          </cell>
        </row>
        <row r="1815">
          <cell r="A1815" t="str">
            <v>SUPERVISOR AGREGADO (GRADO 0)</v>
          </cell>
          <cell r="B1815" t="str">
            <v>90032</v>
          </cell>
          <cell r="C1815" t="str">
            <v>E</v>
          </cell>
          <cell r="D1815" t="str">
            <v>PO</v>
          </cell>
          <cell r="E1815" t="str">
            <v/>
          </cell>
        </row>
        <row r="1816">
          <cell r="A1816" t="str">
            <v>SUPERVISOR AGREGADO (GRADO 1)</v>
          </cell>
          <cell r="B1816" t="str">
            <v>90033</v>
          </cell>
          <cell r="C1816" t="str">
            <v>E</v>
          </cell>
          <cell r="D1816" t="str">
            <v>PO</v>
          </cell>
          <cell r="E1816" t="str">
            <v/>
          </cell>
        </row>
        <row r="1817">
          <cell r="A1817" t="str">
            <v>SUPERVISOR AGREGADO (GRADO 2)</v>
          </cell>
          <cell r="B1817" t="str">
            <v>90034</v>
          </cell>
          <cell r="C1817" t="str">
            <v>E</v>
          </cell>
          <cell r="D1817" t="str">
            <v>PO</v>
          </cell>
          <cell r="E1817" t="str">
            <v/>
          </cell>
        </row>
        <row r="1818">
          <cell r="A1818" t="str">
            <v>SUPERVISOR ALFABETIZACION Y EDUC BAS III</v>
          </cell>
          <cell r="B1818" t="str">
            <v>16413</v>
          </cell>
          <cell r="C1818" t="str">
            <v>E</v>
          </cell>
          <cell r="D1818" t="str">
            <v>UT</v>
          </cell>
          <cell r="E1818" t="str">
            <v>20</v>
          </cell>
        </row>
        <row r="1819">
          <cell r="A1819" t="str">
            <v>SUPERVISOR ALFABETIZACION Y EDUC BAS. I</v>
          </cell>
          <cell r="B1819" t="str">
            <v>16411</v>
          </cell>
          <cell r="C1819" t="str">
            <v>E</v>
          </cell>
          <cell r="D1819" t="str">
            <v>UT</v>
          </cell>
          <cell r="E1819" t="str">
            <v>16</v>
          </cell>
        </row>
        <row r="1820">
          <cell r="A1820" t="str">
            <v>SUPERVISOR ALFABETIZACION Y EDUC.BAS II</v>
          </cell>
          <cell r="B1820" t="str">
            <v>16412</v>
          </cell>
          <cell r="C1820" t="str">
            <v>E</v>
          </cell>
          <cell r="D1820" t="str">
            <v>UT</v>
          </cell>
          <cell r="E1820" t="str">
            <v>18</v>
          </cell>
        </row>
        <row r="1821">
          <cell r="A1821" t="str">
            <v>SUPERVISOR AUTOGRAFISTA</v>
          </cell>
          <cell r="B1821" t="str">
            <v>37960</v>
          </cell>
          <cell r="C1821" t="str">
            <v>E</v>
          </cell>
          <cell r="D1821" t="str">
            <v>AD</v>
          </cell>
          <cell r="E1821" t="str">
            <v>08</v>
          </cell>
        </row>
        <row r="1822">
          <cell r="A1822" t="str">
            <v>SUPERVISOR DE ALMACEN</v>
          </cell>
          <cell r="B1822" t="str">
            <v>25220</v>
          </cell>
          <cell r="C1822" t="str">
            <v>E</v>
          </cell>
          <cell r="D1822" t="str">
            <v>UT</v>
          </cell>
          <cell r="E1822" t="str">
            <v>16</v>
          </cell>
        </row>
        <row r="1823">
          <cell r="A1823" t="str">
            <v>SUPERVISOR DE APRENDIZAJE I</v>
          </cell>
          <cell r="B1823" t="str">
            <v>16711</v>
          </cell>
          <cell r="C1823" t="str">
            <v>E</v>
          </cell>
          <cell r="D1823" t="str">
            <v>UT</v>
          </cell>
          <cell r="E1823" t="str">
            <v>16</v>
          </cell>
        </row>
        <row r="1824">
          <cell r="A1824" t="str">
            <v>SUPERVISOR DE APRENDIZAJE II</v>
          </cell>
          <cell r="B1824" t="str">
            <v>16712</v>
          </cell>
          <cell r="C1824" t="str">
            <v>E</v>
          </cell>
          <cell r="D1824" t="str">
            <v>UT</v>
          </cell>
          <cell r="E1824" t="str">
            <v>18</v>
          </cell>
        </row>
        <row r="1825">
          <cell r="A1825" t="str">
            <v>SUPERVISOR DE APRENDIZAJE III</v>
          </cell>
          <cell r="B1825" t="str">
            <v>16713</v>
          </cell>
          <cell r="C1825" t="str">
            <v>E</v>
          </cell>
          <cell r="D1825" t="str">
            <v>UT</v>
          </cell>
          <cell r="E1825" t="str">
            <v>20</v>
          </cell>
        </row>
        <row r="1826">
          <cell r="A1826" t="str">
            <v>SUPERVISOR DE APRENDIZAJE IV</v>
          </cell>
          <cell r="B1826" t="str">
            <v>16714</v>
          </cell>
          <cell r="C1826" t="str">
            <v>E</v>
          </cell>
          <cell r="D1826" t="str">
            <v>UT</v>
          </cell>
          <cell r="E1826" t="str">
            <v>22</v>
          </cell>
        </row>
        <row r="1827">
          <cell r="A1827" t="str">
            <v>SUPERVISOR DE ASTILLEROS I</v>
          </cell>
          <cell r="B1827" t="str">
            <v>46921</v>
          </cell>
          <cell r="C1827" t="str">
            <v>E</v>
          </cell>
          <cell r="D1827" t="str">
            <v>UT</v>
          </cell>
          <cell r="E1827" t="str">
            <v>15</v>
          </cell>
        </row>
        <row r="1828">
          <cell r="A1828" t="str">
            <v>SUPERVISOR DE ASTILLEROS II</v>
          </cell>
          <cell r="B1828" t="str">
            <v>46922</v>
          </cell>
          <cell r="C1828" t="str">
            <v>E</v>
          </cell>
          <cell r="D1828" t="str">
            <v>UT</v>
          </cell>
          <cell r="E1828" t="str">
            <v>17</v>
          </cell>
        </row>
        <row r="1829">
          <cell r="A1829" t="str">
            <v>SUPERVISOR DE CAPORALES</v>
          </cell>
          <cell r="B1829" t="str">
            <v>69220</v>
          </cell>
          <cell r="C1829" t="str">
            <v>E</v>
          </cell>
          <cell r="D1829" t="str">
            <v>AD</v>
          </cell>
          <cell r="E1829" t="str">
            <v>02</v>
          </cell>
        </row>
        <row r="1830">
          <cell r="A1830" t="str">
            <v>SUPERVISOR DE COLECTORES</v>
          </cell>
          <cell r="B1830" t="str">
            <v>21635</v>
          </cell>
          <cell r="C1830" t="str">
            <v>E</v>
          </cell>
          <cell r="D1830" t="str">
            <v>AD</v>
          </cell>
          <cell r="E1830" t="str">
            <v>02</v>
          </cell>
        </row>
        <row r="1831">
          <cell r="A1831" t="str">
            <v>SUPERVISOR DE CONSERVACION AUTOM. I</v>
          </cell>
          <cell r="B1831" t="str">
            <v>65121</v>
          </cell>
          <cell r="C1831" t="str">
            <v>E</v>
          </cell>
          <cell r="D1831" t="str">
            <v>UT</v>
          </cell>
          <cell r="E1831" t="str">
            <v>15</v>
          </cell>
        </row>
        <row r="1832">
          <cell r="A1832" t="str">
            <v>SUPERVISOR DE CONSERVACION AUTOMOTORA II</v>
          </cell>
          <cell r="B1832" t="str">
            <v>65122</v>
          </cell>
          <cell r="C1832" t="str">
            <v>E</v>
          </cell>
          <cell r="D1832" t="str">
            <v>UT</v>
          </cell>
          <cell r="E1832" t="str">
            <v>16</v>
          </cell>
        </row>
        <row r="1833">
          <cell r="A1833" t="str">
            <v>SUPERVISOR DE CREDITOS AGROPECUARIO II</v>
          </cell>
          <cell r="B1833" t="str">
            <v>14342</v>
          </cell>
          <cell r="C1833" t="str">
            <v>E</v>
          </cell>
          <cell r="D1833" t="str">
            <v>UT</v>
          </cell>
          <cell r="E1833" t="str">
            <v>21</v>
          </cell>
        </row>
        <row r="1834">
          <cell r="A1834" t="str">
            <v>SUPERVISOR DE CREDITOS AGROPECUARIOS I</v>
          </cell>
          <cell r="B1834" t="str">
            <v>14341</v>
          </cell>
          <cell r="C1834" t="str">
            <v>E</v>
          </cell>
          <cell r="D1834" t="str">
            <v>UT</v>
          </cell>
          <cell r="E1834" t="str">
            <v>19</v>
          </cell>
        </row>
        <row r="1835">
          <cell r="A1835" t="str">
            <v>SUPERVISOR DE CREDITOS AGROPECUARIOS III</v>
          </cell>
          <cell r="B1835" t="str">
            <v>14343</v>
          </cell>
          <cell r="C1835" t="str">
            <v>E</v>
          </cell>
          <cell r="D1835" t="str">
            <v>UT</v>
          </cell>
          <cell r="E1835" t="str">
            <v>23</v>
          </cell>
        </row>
        <row r="1836">
          <cell r="A1836" t="str">
            <v>SUPERVISOR DE EQUIPOS DE DRAGADO</v>
          </cell>
          <cell r="B1836" t="str">
            <v>52345</v>
          </cell>
          <cell r="C1836" t="str">
            <v>E</v>
          </cell>
          <cell r="D1836" t="str">
            <v>UT</v>
          </cell>
          <cell r="E1836" t="str">
            <v>17</v>
          </cell>
        </row>
        <row r="1837">
          <cell r="A1837" t="str">
            <v>SUPERVISOR DE EXTENSION I</v>
          </cell>
          <cell r="B1837" t="str">
            <v>41321</v>
          </cell>
          <cell r="C1837" t="str">
            <v>E</v>
          </cell>
          <cell r="D1837" t="str">
            <v>UT</v>
          </cell>
          <cell r="E1837" t="str">
            <v>19</v>
          </cell>
        </row>
        <row r="1838">
          <cell r="A1838" t="str">
            <v>SUPERVISOR DE EXTENSION II</v>
          </cell>
          <cell r="B1838" t="str">
            <v>41322</v>
          </cell>
          <cell r="C1838" t="str">
            <v>E</v>
          </cell>
          <cell r="D1838" t="str">
            <v>UT</v>
          </cell>
          <cell r="E1838" t="str">
            <v>20</v>
          </cell>
        </row>
        <row r="1839">
          <cell r="A1839" t="str">
            <v>SUPERVISOR DE INSPECTORES DE INMUEBLES</v>
          </cell>
          <cell r="B1839" t="str">
            <v>43215</v>
          </cell>
          <cell r="C1839" t="str">
            <v>E</v>
          </cell>
          <cell r="D1839" t="str">
            <v>UT</v>
          </cell>
          <cell r="E1839" t="str">
            <v>19</v>
          </cell>
        </row>
        <row r="1840">
          <cell r="A1840" t="str">
            <v>SUPERVISOR DE INSTRUCCION A DISTANCIA I</v>
          </cell>
          <cell r="B1840" t="str">
            <v>16511</v>
          </cell>
          <cell r="C1840" t="str">
            <v>E</v>
          </cell>
          <cell r="D1840" t="str">
            <v>UT</v>
          </cell>
          <cell r="E1840" t="str">
            <v>16</v>
          </cell>
        </row>
        <row r="1841">
          <cell r="A1841" t="str">
            <v>SUPERVISOR DE INSTRUCCION A DISTANCIA II</v>
          </cell>
          <cell r="B1841" t="str">
            <v>16512</v>
          </cell>
          <cell r="C1841" t="str">
            <v>E</v>
          </cell>
          <cell r="D1841" t="str">
            <v>UT</v>
          </cell>
          <cell r="E1841" t="str">
            <v>18</v>
          </cell>
        </row>
        <row r="1842">
          <cell r="A1842" t="str">
            <v>SUPERVISOR DE INSTRUCCION A DISTANCIA III</v>
          </cell>
          <cell r="B1842" t="str">
            <v>16513</v>
          </cell>
          <cell r="C1842" t="str">
            <v>E</v>
          </cell>
          <cell r="D1842" t="str">
            <v>UT</v>
          </cell>
          <cell r="E1842" t="str">
            <v>20</v>
          </cell>
        </row>
        <row r="1843">
          <cell r="A1843" t="str">
            <v>SUPERVISOR DE MANTENIMIENTO DE PARQUES I</v>
          </cell>
          <cell r="B1843" t="str">
            <v>41811</v>
          </cell>
          <cell r="C1843" t="str">
            <v>E</v>
          </cell>
          <cell r="D1843" t="str">
            <v>AD</v>
          </cell>
          <cell r="E1843" t="str">
            <v>03</v>
          </cell>
        </row>
        <row r="1844">
          <cell r="A1844" t="str">
            <v>SUPERVISOR DE MANTENIMIENTO DE PARQUES II</v>
          </cell>
          <cell r="B1844" t="str">
            <v>41812</v>
          </cell>
          <cell r="C1844" t="str">
            <v>E</v>
          </cell>
          <cell r="D1844" t="str">
            <v>UT</v>
          </cell>
          <cell r="E1844" t="str">
            <v>15</v>
          </cell>
        </row>
        <row r="1845">
          <cell r="A1845" t="str">
            <v>SUPERVISOR DE MANTENIMIENTO DE PARQUES III</v>
          </cell>
          <cell r="B1845" t="str">
            <v>41813</v>
          </cell>
          <cell r="C1845" t="str">
            <v>E</v>
          </cell>
          <cell r="D1845" t="str">
            <v>UT</v>
          </cell>
          <cell r="E1845" t="str">
            <v>16</v>
          </cell>
        </row>
        <row r="1846">
          <cell r="A1846" t="str">
            <v>SUPERVISOR DE MANTENIMIENTO DE PARQUES IV</v>
          </cell>
          <cell r="B1846" t="str">
            <v>41814</v>
          </cell>
          <cell r="C1846" t="str">
            <v>E</v>
          </cell>
          <cell r="D1846" t="str">
            <v>UT</v>
          </cell>
          <cell r="E1846" t="str">
            <v>17</v>
          </cell>
        </row>
        <row r="1847">
          <cell r="A1847" t="str">
            <v>SUPERVISOR DE MECANICOS AUTOMOTORES I</v>
          </cell>
          <cell r="B1847" t="str">
            <v>65111</v>
          </cell>
          <cell r="C1847" t="str">
            <v>E</v>
          </cell>
          <cell r="D1847" t="str">
            <v>AD</v>
          </cell>
          <cell r="E1847" t="str">
            <v>02</v>
          </cell>
        </row>
        <row r="1848">
          <cell r="A1848" t="str">
            <v>SUPERVISOR DE MECANICOS AUTOMOTORES II</v>
          </cell>
          <cell r="B1848" t="str">
            <v>65112</v>
          </cell>
          <cell r="C1848" t="str">
            <v>E</v>
          </cell>
          <cell r="D1848" t="str">
            <v>AD</v>
          </cell>
          <cell r="E1848" t="str">
            <v>03</v>
          </cell>
        </row>
        <row r="1849">
          <cell r="A1849" t="str">
            <v>SUPERVISOR DE OBRAS PUBLICAS</v>
          </cell>
          <cell r="B1849" t="str">
            <v>69250</v>
          </cell>
          <cell r="C1849" t="str">
            <v>E</v>
          </cell>
          <cell r="D1849" t="str">
            <v>AD</v>
          </cell>
          <cell r="E1849" t="str">
            <v>02</v>
          </cell>
        </row>
        <row r="1850">
          <cell r="A1850" t="str">
            <v>SUPERVISOR DE OBRAS SANITARIAS</v>
          </cell>
          <cell r="B1850" t="str">
            <v>69240</v>
          </cell>
          <cell r="C1850" t="str">
            <v>E</v>
          </cell>
          <cell r="D1850" t="str">
            <v>AD</v>
          </cell>
          <cell r="E1850" t="str">
            <v>02</v>
          </cell>
        </row>
        <row r="1851">
          <cell r="A1851" t="str">
            <v>SUPERVISOR DE PRODUCCION I</v>
          </cell>
          <cell r="B1851" t="str">
            <v>32521</v>
          </cell>
          <cell r="C1851" t="str">
            <v>E</v>
          </cell>
          <cell r="D1851" t="str">
            <v>AD</v>
          </cell>
          <cell r="E1851" t="str">
            <v>05</v>
          </cell>
        </row>
        <row r="1852">
          <cell r="A1852" t="str">
            <v>SUPERVISOR DE PRODUCCION II</v>
          </cell>
          <cell r="B1852" t="str">
            <v>32522</v>
          </cell>
          <cell r="C1852" t="str">
            <v>E</v>
          </cell>
          <cell r="D1852" t="str">
            <v>UT</v>
          </cell>
          <cell r="E1852" t="str">
            <v>18</v>
          </cell>
        </row>
        <row r="1853">
          <cell r="A1853" t="str">
            <v>SUPERVISOR DE PROGRAMACION</v>
          </cell>
          <cell r="B1853" t="str">
            <v>23430</v>
          </cell>
          <cell r="C1853" t="str">
            <v>E</v>
          </cell>
          <cell r="D1853" t="str">
            <v>UT</v>
          </cell>
          <cell r="E1853" t="str">
            <v>23</v>
          </cell>
        </row>
        <row r="1854">
          <cell r="A1854" t="str">
            <v>SUPERVISOR DE REPRODUCCION II</v>
          </cell>
          <cell r="B1854" t="str">
            <v>23120</v>
          </cell>
          <cell r="C1854" t="str">
            <v>E</v>
          </cell>
          <cell r="D1854" t="str">
            <v>AD</v>
          </cell>
          <cell r="E1854" t="str">
            <v>03</v>
          </cell>
        </row>
        <row r="1855">
          <cell r="A1855" t="str">
            <v>SUPERVISOR DE SERVICIOS GENERAL IV</v>
          </cell>
          <cell r="B1855" t="str">
            <v>22414</v>
          </cell>
          <cell r="C1855" t="str">
            <v>E</v>
          </cell>
          <cell r="D1855" t="str">
            <v>UT</v>
          </cell>
          <cell r="E1855" t="str">
            <v>20</v>
          </cell>
        </row>
        <row r="1856">
          <cell r="A1856" t="str">
            <v>SUPERVISOR DE SERVICIOS GENERALES I</v>
          </cell>
          <cell r="B1856" t="str">
            <v>22411</v>
          </cell>
          <cell r="C1856" t="str">
            <v>E</v>
          </cell>
          <cell r="D1856" t="str">
            <v>AD</v>
          </cell>
          <cell r="E1856" t="str">
            <v>03</v>
          </cell>
        </row>
        <row r="1857">
          <cell r="A1857" t="str">
            <v>SUPERVISOR DE SERVICIOS GENERALES II</v>
          </cell>
          <cell r="B1857" t="str">
            <v>22412</v>
          </cell>
          <cell r="C1857" t="str">
            <v>E</v>
          </cell>
          <cell r="D1857" t="str">
            <v>AD</v>
          </cell>
          <cell r="E1857" t="str">
            <v>05</v>
          </cell>
        </row>
        <row r="1858">
          <cell r="A1858" t="str">
            <v>SUPERVISOR DE SERVICIOS GENERALES III</v>
          </cell>
          <cell r="B1858" t="str">
            <v>22413</v>
          </cell>
          <cell r="C1858" t="str">
            <v>E</v>
          </cell>
          <cell r="D1858" t="str">
            <v>UT</v>
          </cell>
          <cell r="E1858" t="str">
            <v>18</v>
          </cell>
        </row>
        <row r="1859">
          <cell r="A1859" t="str">
            <v>SUPERVISOR DE TALLER DE IMPRENTA I</v>
          </cell>
          <cell r="B1859" t="str">
            <v>63121</v>
          </cell>
          <cell r="C1859" t="str">
            <v>E</v>
          </cell>
          <cell r="D1859" t="str">
            <v>AD</v>
          </cell>
          <cell r="E1859" t="str">
            <v>01</v>
          </cell>
        </row>
        <row r="1860">
          <cell r="A1860" t="str">
            <v>SUPERVISOR DE TALLER DE IMPRENTA II</v>
          </cell>
          <cell r="B1860" t="str">
            <v>63122</v>
          </cell>
          <cell r="C1860" t="str">
            <v>E</v>
          </cell>
          <cell r="D1860" t="str">
            <v>AD</v>
          </cell>
          <cell r="E1860" t="str">
            <v>03</v>
          </cell>
        </row>
        <row r="1861">
          <cell r="A1861" t="str">
            <v>SUPERVISOR DE TALLER DE IMPRENTA III</v>
          </cell>
          <cell r="B1861" t="str">
            <v>63123</v>
          </cell>
          <cell r="C1861" t="str">
            <v>E</v>
          </cell>
          <cell r="D1861" t="str">
            <v>AD</v>
          </cell>
          <cell r="E1861" t="str">
            <v>16</v>
          </cell>
        </row>
        <row r="1862">
          <cell r="A1862" t="str">
            <v>SUPERVISOR DE TELEFONISTA</v>
          </cell>
          <cell r="B1862" t="str">
            <v>41815</v>
          </cell>
          <cell r="C1862" t="str">
            <v>E</v>
          </cell>
          <cell r="D1862" t="str">
            <v>UT</v>
          </cell>
          <cell r="E1862" t="str">
            <v>15</v>
          </cell>
        </row>
        <row r="1863">
          <cell r="A1863" t="str">
            <v>SUPERVISOR DOCENTE</v>
          </cell>
          <cell r="B1863" t="str">
            <v>17430</v>
          </cell>
          <cell r="C1863" t="str">
            <v>E</v>
          </cell>
          <cell r="D1863" t="str">
            <v>UT</v>
          </cell>
          <cell r="E1863" t="str">
            <v>19</v>
          </cell>
        </row>
        <row r="1864">
          <cell r="A1864" t="str">
            <v>SUPERVISOR DOCENTE JEFE</v>
          </cell>
          <cell r="B1864" t="str">
            <v>17440</v>
          </cell>
          <cell r="C1864" t="str">
            <v>E</v>
          </cell>
          <cell r="D1864" t="str">
            <v>UT</v>
          </cell>
          <cell r="E1864" t="str">
            <v>21</v>
          </cell>
        </row>
        <row r="1865">
          <cell r="A1865" t="str">
            <v>SUPERVISOR FISCAL DE COTIZACIONES</v>
          </cell>
          <cell r="B1865" t="str">
            <v>21660</v>
          </cell>
          <cell r="C1865" t="str">
            <v>E</v>
          </cell>
          <cell r="D1865" t="str">
            <v>UT</v>
          </cell>
          <cell r="E1865" t="str">
            <v>20</v>
          </cell>
        </row>
        <row r="1866">
          <cell r="A1866" t="str">
            <v>SUPERVISOR FISCAL JEFE</v>
          </cell>
          <cell r="B1866" t="str">
            <v>21670</v>
          </cell>
          <cell r="C1866" t="str">
            <v>E</v>
          </cell>
          <cell r="D1866" t="str">
            <v>UT</v>
          </cell>
          <cell r="E1866" t="str">
            <v>22</v>
          </cell>
        </row>
        <row r="1867">
          <cell r="A1867" t="str">
            <v>SUPERVISOR I</v>
          </cell>
          <cell r="B1867" t="str">
            <v>40168</v>
          </cell>
          <cell r="C1867" t="str">
            <v>E</v>
          </cell>
          <cell r="D1867" t="str">
            <v>DO</v>
          </cell>
          <cell r="E1867" t="str">
            <v/>
          </cell>
        </row>
        <row r="1868">
          <cell r="A1868" t="str">
            <v>SUPERVISOR I (171)</v>
          </cell>
          <cell r="B1868" t="str">
            <v>51214</v>
          </cell>
          <cell r="C1868" t="str">
            <v>E</v>
          </cell>
          <cell r="D1868" t="str">
            <v>AD</v>
          </cell>
          <cell r="E1868" t="str">
            <v>01</v>
          </cell>
        </row>
        <row r="1869">
          <cell r="A1869" t="str">
            <v>SUPERVISOR II Y MAESTRO PH GR NOCTURNO</v>
          </cell>
          <cell r="B1869" t="str">
            <v>40169</v>
          </cell>
          <cell r="C1869" t="str">
            <v>E</v>
          </cell>
          <cell r="D1869" t="str">
            <v>DO</v>
          </cell>
          <cell r="E1869" t="str">
            <v/>
          </cell>
        </row>
        <row r="1870">
          <cell r="A1870" t="str">
            <v>SUPERVISOR JEFE</v>
          </cell>
          <cell r="B1870" t="str">
            <v>90005</v>
          </cell>
          <cell r="C1870" t="str">
            <v>E</v>
          </cell>
          <cell r="D1870" t="str">
            <v>PO</v>
          </cell>
          <cell r="E1870" t="str">
            <v/>
          </cell>
        </row>
        <row r="1871">
          <cell r="A1871" t="str">
            <v>SUPERVISOR JEFE (GRADO 0)</v>
          </cell>
          <cell r="B1871" t="str">
            <v>90035</v>
          </cell>
          <cell r="C1871" t="str">
            <v>E</v>
          </cell>
          <cell r="D1871" t="str">
            <v>PO</v>
          </cell>
          <cell r="E1871" t="str">
            <v/>
          </cell>
        </row>
        <row r="1872">
          <cell r="A1872" t="str">
            <v>SUPERVISOR JEFE (GRADO 1)</v>
          </cell>
          <cell r="B1872" t="str">
            <v>90036</v>
          </cell>
          <cell r="C1872" t="str">
            <v>E</v>
          </cell>
          <cell r="D1872" t="str">
            <v>PO</v>
          </cell>
          <cell r="E1872" t="str">
            <v/>
          </cell>
        </row>
        <row r="1873">
          <cell r="A1873" t="str">
            <v>SUPERVISOR JEFE (GRADO 2)</v>
          </cell>
          <cell r="B1873" t="str">
            <v>90037</v>
          </cell>
          <cell r="C1873" t="str">
            <v>E</v>
          </cell>
          <cell r="D1873" t="str">
            <v>PO</v>
          </cell>
          <cell r="E1873" t="str">
            <v/>
          </cell>
        </row>
        <row r="1874">
          <cell r="A1874" t="str">
            <v>SUPERVISOR OPERADOR EQUIPOS DE COMPUTACION</v>
          </cell>
          <cell r="B1874" t="str">
            <v>23340</v>
          </cell>
          <cell r="C1874" t="str">
            <v>E</v>
          </cell>
          <cell r="D1874" t="str">
            <v>UT</v>
          </cell>
          <cell r="E1874" t="str">
            <v>18</v>
          </cell>
        </row>
        <row r="1875">
          <cell r="A1875" t="str">
            <v>SUPERVISORA III</v>
          </cell>
          <cell r="B1875" t="str">
            <v>40170</v>
          </cell>
          <cell r="C1875" t="str">
            <v>E</v>
          </cell>
          <cell r="D1875" t="str">
            <v>DO</v>
          </cell>
          <cell r="E1875" t="str">
            <v/>
          </cell>
        </row>
        <row r="1876">
          <cell r="A1876" t="str">
            <v>TAXIDERMISTA</v>
          </cell>
          <cell r="B1876" t="str">
            <v>42450</v>
          </cell>
          <cell r="C1876" t="str">
            <v>E</v>
          </cell>
          <cell r="D1876" t="str">
            <v>AD</v>
          </cell>
          <cell r="E1876" t="str">
            <v>02</v>
          </cell>
        </row>
        <row r="1877">
          <cell r="A1877" t="str">
            <v>TEC EN RADIOCOMUNICACIONES AERON. JEFE</v>
          </cell>
          <cell r="B1877" t="str">
            <v>51541</v>
          </cell>
          <cell r="C1877" t="str">
            <v>E</v>
          </cell>
          <cell r="D1877" t="str">
            <v>UT</v>
          </cell>
          <cell r="E1877" t="str">
            <v>22</v>
          </cell>
        </row>
        <row r="1878">
          <cell r="A1878" t="str">
            <v>TEC. EN DOTACION DE EQUIPOS DE HOSPITAL</v>
          </cell>
          <cell r="B1878" t="str">
            <v>71220</v>
          </cell>
          <cell r="C1878" t="str">
            <v>E</v>
          </cell>
          <cell r="D1878" t="str">
            <v>AD</v>
          </cell>
          <cell r="E1878" t="str">
            <v>05</v>
          </cell>
        </row>
        <row r="1879">
          <cell r="A1879" t="str">
            <v>TEC. EN FABRICACION DE CUCHILLAS DE DIAM</v>
          </cell>
          <cell r="B1879" t="str">
            <v>46161</v>
          </cell>
          <cell r="C1879" t="str">
            <v>E</v>
          </cell>
          <cell r="D1879" t="str">
            <v>AD</v>
          </cell>
          <cell r="E1879" t="str">
            <v>02</v>
          </cell>
        </row>
        <row r="1880">
          <cell r="A1880" t="str">
            <v>TEC. EN RADIOCOMUNICACIONES AER.JEFE II</v>
          </cell>
          <cell r="B1880" t="str">
            <v>51542</v>
          </cell>
          <cell r="C1880" t="str">
            <v>E</v>
          </cell>
          <cell r="D1880" t="str">
            <v>UT</v>
          </cell>
          <cell r="E1880" t="str">
            <v>24</v>
          </cell>
        </row>
        <row r="1881">
          <cell r="A1881" t="str">
            <v>TEC. EN RADIOCOMUNICACIONES AERON. I</v>
          </cell>
          <cell r="B1881" t="str">
            <v>51531</v>
          </cell>
          <cell r="C1881" t="str">
            <v>E</v>
          </cell>
          <cell r="D1881" t="str">
            <v>UT</v>
          </cell>
          <cell r="E1881" t="str">
            <v>16</v>
          </cell>
        </row>
        <row r="1882">
          <cell r="A1882" t="str">
            <v>TEC. EN RADIOCOMUNICACIONES AERONA. II</v>
          </cell>
          <cell r="B1882" t="str">
            <v>51532</v>
          </cell>
          <cell r="C1882" t="str">
            <v>E</v>
          </cell>
          <cell r="D1882" t="str">
            <v>UT</v>
          </cell>
          <cell r="E1882" t="str">
            <v>17</v>
          </cell>
        </row>
        <row r="1883">
          <cell r="A1883" t="str">
            <v>TEC. EN RADIOCOMUNICACIONES AERONAU. IV</v>
          </cell>
          <cell r="B1883" t="str">
            <v>51534</v>
          </cell>
          <cell r="C1883" t="str">
            <v>E</v>
          </cell>
          <cell r="D1883" t="str">
            <v>UT</v>
          </cell>
          <cell r="E1883" t="str">
            <v>19</v>
          </cell>
        </row>
        <row r="1884">
          <cell r="A1884" t="str">
            <v>TEC. EN RADIOCOMUNICACIONES AERONAU. V</v>
          </cell>
          <cell r="B1884" t="str">
            <v>51535</v>
          </cell>
          <cell r="C1884" t="str">
            <v>E</v>
          </cell>
          <cell r="D1884" t="str">
            <v>UT</v>
          </cell>
          <cell r="E1884" t="str">
            <v>20</v>
          </cell>
        </row>
        <row r="1885">
          <cell r="A1885" t="str">
            <v>TEC. EN RADIOCOMUNICACIONES AERONAU. VI</v>
          </cell>
          <cell r="B1885" t="str">
            <v>51536</v>
          </cell>
          <cell r="C1885" t="str">
            <v>E</v>
          </cell>
          <cell r="D1885" t="str">
            <v>UT</v>
          </cell>
          <cell r="E1885" t="str">
            <v>21</v>
          </cell>
        </row>
        <row r="1886">
          <cell r="A1886" t="str">
            <v>TEC. EN RADIOCOMUNICAICONES AERONA. III</v>
          </cell>
          <cell r="B1886" t="str">
            <v>51533</v>
          </cell>
          <cell r="C1886" t="str">
            <v>E</v>
          </cell>
          <cell r="D1886" t="str">
            <v>UT</v>
          </cell>
          <cell r="E1886" t="str">
            <v>18</v>
          </cell>
        </row>
        <row r="1887">
          <cell r="A1887" t="str">
            <v>TEC. FABRICACION CUCHILLA DIAMANTE IV</v>
          </cell>
          <cell r="B1887" t="str">
            <v>46164</v>
          </cell>
          <cell r="C1887" t="str">
            <v>E</v>
          </cell>
          <cell r="D1887" t="str">
            <v>AD</v>
          </cell>
          <cell r="E1887" t="str">
            <v>08</v>
          </cell>
        </row>
        <row r="1888">
          <cell r="A1888" t="str">
            <v>TEC. FABRICACION CUCHILLAS DIAMANTES II</v>
          </cell>
          <cell r="B1888" t="str">
            <v>46162</v>
          </cell>
          <cell r="C1888" t="str">
            <v>E</v>
          </cell>
          <cell r="D1888" t="str">
            <v>AD</v>
          </cell>
          <cell r="E1888" t="str">
            <v>03</v>
          </cell>
        </row>
        <row r="1889">
          <cell r="A1889" t="str">
            <v>TEC. FABRICACION CUCHILLAS DIAMANTES III</v>
          </cell>
          <cell r="B1889" t="str">
            <v>46163</v>
          </cell>
          <cell r="C1889" t="str">
            <v>E</v>
          </cell>
          <cell r="D1889" t="str">
            <v>AD</v>
          </cell>
          <cell r="E1889" t="str">
            <v>05</v>
          </cell>
        </row>
        <row r="1890">
          <cell r="A1890" t="str">
            <v>TECNICO AERNAUTICO II</v>
          </cell>
          <cell r="B1890" t="str">
            <v>51552</v>
          </cell>
          <cell r="C1890" t="str">
            <v>E</v>
          </cell>
          <cell r="D1890" t="str">
            <v>UT</v>
          </cell>
          <cell r="E1890" t="str">
            <v>20</v>
          </cell>
        </row>
        <row r="1891">
          <cell r="A1891" t="str">
            <v>TECNICO AERONAUTICO I</v>
          </cell>
          <cell r="B1891" t="str">
            <v>51551</v>
          </cell>
          <cell r="C1891" t="str">
            <v>E</v>
          </cell>
          <cell r="D1891" t="str">
            <v>UT</v>
          </cell>
          <cell r="E1891" t="str">
            <v>18</v>
          </cell>
        </row>
        <row r="1892">
          <cell r="A1892" t="str">
            <v>TECNICO AERONAUTICO JEFE</v>
          </cell>
          <cell r="B1892" t="str">
            <v>51560</v>
          </cell>
          <cell r="C1892" t="str">
            <v>E</v>
          </cell>
          <cell r="D1892" t="str">
            <v>UT</v>
          </cell>
          <cell r="E1892" t="str">
            <v>22</v>
          </cell>
        </row>
        <row r="1893">
          <cell r="A1893" t="str">
            <v>TECNICO AGROPECUARIO I</v>
          </cell>
          <cell r="B1893" t="str">
            <v>41111</v>
          </cell>
          <cell r="C1893" t="str">
            <v>E</v>
          </cell>
          <cell r="D1893" t="str">
            <v>AD</v>
          </cell>
          <cell r="E1893" t="str">
            <v>02</v>
          </cell>
        </row>
        <row r="1894">
          <cell r="A1894" t="str">
            <v>TECNICO AGROPECUARIO II</v>
          </cell>
          <cell r="B1894" t="str">
            <v>41112</v>
          </cell>
          <cell r="C1894" t="str">
            <v>E</v>
          </cell>
          <cell r="D1894" t="str">
            <v>AD</v>
          </cell>
          <cell r="E1894" t="str">
            <v>03</v>
          </cell>
        </row>
        <row r="1895">
          <cell r="A1895" t="str">
            <v>TECNICO AGROPECUARIO III</v>
          </cell>
          <cell r="B1895" t="str">
            <v>41113</v>
          </cell>
          <cell r="C1895" t="str">
            <v>E</v>
          </cell>
          <cell r="D1895" t="str">
            <v>UT</v>
          </cell>
          <cell r="E1895" t="str">
            <v>15</v>
          </cell>
        </row>
        <row r="1896">
          <cell r="A1896" t="str">
            <v>TECNICO AGROPECUARIO IV</v>
          </cell>
          <cell r="B1896" t="str">
            <v>41114</v>
          </cell>
          <cell r="C1896" t="str">
            <v>E</v>
          </cell>
          <cell r="D1896" t="str">
            <v>UT</v>
          </cell>
          <cell r="E1896" t="str">
            <v>17</v>
          </cell>
        </row>
        <row r="1897">
          <cell r="A1897" t="str">
            <v>TECNICO AGROPECUARIO JEFE</v>
          </cell>
          <cell r="B1897" t="str">
            <v>41120</v>
          </cell>
          <cell r="C1897" t="str">
            <v>E</v>
          </cell>
          <cell r="D1897" t="str">
            <v>UT</v>
          </cell>
          <cell r="E1897" t="str">
            <v>19</v>
          </cell>
        </row>
        <row r="1898">
          <cell r="A1898" t="str">
            <v>TECNICO ARANCELARIO I</v>
          </cell>
          <cell r="B1898" t="str">
            <v>53131</v>
          </cell>
          <cell r="C1898" t="str">
            <v>E</v>
          </cell>
          <cell r="D1898" t="str">
            <v>UT</v>
          </cell>
          <cell r="E1898" t="str">
            <v>17</v>
          </cell>
        </row>
        <row r="1899">
          <cell r="A1899" t="str">
            <v>TECNICO ARANCELARIO JEFE</v>
          </cell>
          <cell r="B1899" t="str">
            <v>53140</v>
          </cell>
          <cell r="C1899" t="str">
            <v>E</v>
          </cell>
          <cell r="D1899" t="str">
            <v>UT</v>
          </cell>
          <cell r="E1899" t="str">
            <v>21</v>
          </cell>
        </row>
        <row r="1900">
          <cell r="A1900" t="str">
            <v>TECNICO ARANGELARIO II</v>
          </cell>
          <cell r="B1900" t="str">
            <v>53132</v>
          </cell>
          <cell r="C1900" t="str">
            <v>E</v>
          </cell>
          <cell r="D1900" t="str">
            <v>UT</v>
          </cell>
          <cell r="E1900" t="str">
            <v>19</v>
          </cell>
        </row>
        <row r="1901">
          <cell r="A1901" t="str">
            <v>TECNICO DE ASTILLEROS</v>
          </cell>
          <cell r="B1901" t="str">
            <v>46910</v>
          </cell>
          <cell r="C1901" t="str">
            <v>E</v>
          </cell>
          <cell r="D1901" t="str">
            <v>AD</v>
          </cell>
          <cell r="E1901" t="str">
            <v>02</v>
          </cell>
        </row>
        <row r="1902">
          <cell r="A1902" t="str">
            <v>TECNICO DE BALIZAMIENTO</v>
          </cell>
          <cell r="B1902" t="str">
            <v>52240</v>
          </cell>
          <cell r="C1902" t="str">
            <v>E</v>
          </cell>
          <cell r="D1902" t="str">
            <v>UT</v>
          </cell>
          <cell r="E1902" t="str">
            <v>15</v>
          </cell>
        </row>
        <row r="1903">
          <cell r="A1903" t="str">
            <v>TECNICO DE BALIZAMIENTO JEFE</v>
          </cell>
          <cell r="B1903" t="str">
            <v>52245</v>
          </cell>
          <cell r="C1903" t="str">
            <v>E</v>
          </cell>
          <cell r="D1903" t="str">
            <v>UT</v>
          </cell>
          <cell r="E1903" t="str">
            <v>18</v>
          </cell>
        </row>
        <row r="1904">
          <cell r="A1904" t="str">
            <v>TECNICO DE EQUIPOS MEDICOS I</v>
          </cell>
          <cell r="B1904" t="str">
            <v>72411</v>
          </cell>
          <cell r="C1904" t="str">
            <v>E</v>
          </cell>
          <cell r="D1904" t="str">
            <v>UT</v>
          </cell>
          <cell r="E1904" t="str">
            <v>15</v>
          </cell>
        </row>
        <row r="1905">
          <cell r="A1905" t="str">
            <v>TECNICO DE EQUIPOS MEDICOS II</v>
          </cell>
          <cell r="B1905" t="str">
            <v>72412</v>
          </cell>
          <cell r="C1905" t="str">
            <v>E</v>
          </cell>
          <cell r="D1905" t="str">
            <v>UT</v>
          </cell>
          <cell r="E1905" t="str">
            <v>17</v>
          </cell>
        </row>
        <row r="1906">
          <cell r="A1906" t="str">
            <v>TECNICO DE EQUIPOS MEDICOS III</v>
          </cell>
          <cell r="B1906" t="str">
            <v>72413</v>
          </cell>
          <cell r="C1906" t="str">
            <v>E</v>
          </cell>
          <cell r="D1906" t="str">
            <v>UT</v>
          </cell>
          <cell r="E1906" t="str">
            <v>18</v>
          </cell>
        </row>
        <row r="1907">
          <cell r="A1907" t="str">
            <v>TECNICO DE IDENTIDICACION I</v>
          </cell>
          <cell r="B1907" t="str">
            <v>86121</v>
          </cell>
          <cell r="C1907" t="str">
            <v>E</v>
          </cell>
          <cell r="D1907" t="str">
            <v>UT</v>
          </cell>
          <cell r="E1907" t="str">
            <v>15</v>
          </cell>
        </row>
        <row r="1908">
          <cell r="A1908" t="str">
            <v>TECNICO DE IDENTIFICACION II</v>
          </cell>
          <cell r="B1908" t="str">
            <v>86122</v>
          </cell>
          <cell r="C1908" t="str">
            <v>E</v>
          </cell>
          <cell r="D1908" t="str">
            <v>UT</v>
          </cell>
          <cell r="E1908" t="str">
            <v>17</v>
          </cell>
        </row>
        <row r="1909">
          <cell r="A1909" t="str">
            <v>TECNICO DE IDENTIFICACION III</v>
          </cell>
          <cell r="B1909" t="str">
            <v>86123</v>
          </cell>
          <cell r="C1909" t="str">
            <v>E</v>
          </cell>
          <cell r="D1909" t="str">
            <v>UT</v>
          </cell>
          <cell r="E1909" t="str">
            <v>19</v>
          </cell>
        </row>
        <row r="1910">
          <cell r="A1910" t="str">
            <v>TECNICO DE REGISTRO Y EST. DE SALUD I</v>
          </cell>
          <cell r="B1910" t="str">
            <v>71121</v>
          </cell>
          <cell r="C1910" t="str">
            <v>E</v>
          </cell>
          <cell r="D1910" t="str">
            <v>AD</v>
          </cell>
          <cell r="E1910" t="str">
            <v>02</v>
          </cell>
        </row>
        <row r="1911">
          <cell r="A1911" t="str">
            <v>TECNICO DE REGISTRO Y EST. DE SALUD II</v>
          </cell>
          <cell r="B1911" t="str">
            <v>71122</v>
          </cell>
          <cell r="C1911" t="str">
            <v>E</v>
          </cell>
          <cell r="D1911" t="str">
            <v>AD</v>
          </cell>
          <cell r="E1911" t="str">
            <v>04</v>
          </cell>
        </row>
        <row r="1912">
          <cell r="A1912" t="str">
            <v>TECNICO DE REGISTRO Y ESTAD DE SALUD III</v>
          </cell>
          <cell r="B1912" t="str">
            <v>71123</v>
          </cell>
          <cell r="C1912" t="str">
            <v>E</v>
          </cell>
          <cell r="D1912" t="str">
            <v>AD</v>
          </cell>
          <cell r="E1912" t="str">
            <v>06</v>
          </cell>
        </row>
        <row r="1913">
          <cell r="A1913" t="str">
            <v>TECNICO DE REGISTRO Y ESTAD DE SALUD IV</v>
          </cell>
          <cell r="B1913" t="str">
            <v>71124</v>
          </cell>
          <cell r="C1913" t="str">
            <v>E</v>
          </cell>
          <cell r="D1913" t="str">
            <v>AD</v>
          </cell>
          <cell r="E1913" t="str">
            <v>09</v>
          </cell>
        </row>
        <row r="1914">
          <cell r="A1914" t="str">
            <v>TECNICO DE REPARACION Y MANTENIMIENTO I</v>
          </cell>
          <cell r="B1914" t="str">
            <v>46121</v>
          </cell>
          <cell r="C1914" t="str">
            <v>E</v>
          </cell>
          <cell r="D1914" t="str">
            <v>UT</v>
          </cell>
          <cell r="E1914" t="str">
            <v>15</v>
          </cell>
        </row>
        <row r="1915">
          <cell r="A1915" t="str">
            <v>TECNICO DE REPARACION Y MANTENIMIENTO II</v>
          </cell>
          <cell r="B1915" t="str">
            <v>46122</v>
          </cell>
          <cell r="C1915" t="str">
            <v>E</v>
          </cell>
          <cell r="D1915" t="str">
            <v>UT</v>
          </cell>
          <cell r="E1915" t="str">
            <v>17</v>
          </cell>
        </row>
        <row r="1916">
          <cell r="A1916" t="str">
            <v>TECNICO DE REPARACION Y MANTENIMIENTO III</v>
          </cell>
          <cell r="B1916" t="str">
            <v>46123</v>
          </cell>
          <cell r="C1916" t="str">
            <v>E</v>
          </cell>
          <cell r="D1916" t="str">
            <v>UT</v>
          </cell>
          <cell r="E1916" t="str">
            <v>19</v>
          </cell>
        </row>
        <row r="1917">
          <cell r="A1917" t="str">
            <v>TECNICO EN AGROALIMENTARIA</v>
          </cell>
          <cell r="B1917" t="str">
            <v>41121</v>
          </cell>
          <cell r="C1917" t="str">
            <v>E</v>
          </cell>
          <cell r="D1917" t="str">
            <v>UT</v>
          </cell>
          <cell r="E1917" t="str">
            <v>15</v>
          </cell>
        </row>
        <row r="1918">
          <cell r="A1918" t="str">
            <v>TECNICO EN DRAGADO I</v>
          </cell>
          <cell r="B1918" t="str">
            <v>51211</v>
          </cell>
          <cell r="C1918" t="str">
            <v>E</v>
          </cell>
          <cell r="D1918" t="str">
            <v>AD</v>
          </cell>
          <cell r="E1918" t="str">
            <v>03</v>
          </cell>
        </row>
        <row r="1919">
          <cell r="A1919" t="str">
            <v>TECNICO EN DRAGADO II</v>
          </cell>
          <cell r="B1919" t="str">
            <v>51212</v>
          </cell>
          <cell r="C1919" t="str">
            <v>E</v>
          </cell>
          <cell r="D1919" t="str">
            <v>AD</v>
          </cell>
          <cell r="E1919" t="str">
            <v>05</v>
          </cell>
        </row>
        <row r="1920">
          <cell r="A1920" t="str">
            <v>TECNICO EN DRAGADO III</v>
          </cell>
          <cell r="B1920" t="str">
            <v>51213</v>
          </cell>
          <cell r="C1920" t="str">
            <v>E</v>
          </cell>
          <cell r="D1920" t="str">
            <v>AD</v>
          </cell>
          <cell r="E1920" t="str">
            <v>07</v>
          </cell>
        </row>
        <row r="1921">
          <cell r="A1921" t="str">
            <v>TECNICO EN GEOLOGIA Y MINAS I</v>
          </cell>
          <cell r="B1921" t="str">
            <v>44311</v>
          </cell>
          <cell r="C1921" t="str">
            <v>E</v>
          </cell>
          <cell r="D1921" t="str">
            <v>UT</v>
          </cell>
          <cell r="E1921" t="str">
            <v>15</v>
          </cell>
        </row>
        <row r="1922">
          <cell r="A1922" t="str">
            <v>TECNICO EN GEOLOGIA Y MINAS II</v>
          </cell>
          <cell r="B1922" t="str">
            <v>44312</v>
          </cell>
          <cell r="C1922" t="str">
            <v>E</v>
          </cell>
          <cell r="D1922" t="str">
            <v>UT</v>
          </cell>
          <cell r="E1922" t="str">
            <v>16</v>
          </cell>
        </row>
        <row r="1923">
          <cell r="A1923" t="str">
            <v>TECNICO EN GEOLOGIA Y MINAS III</v>
          </cell>
          <cell r="B1923" t="str">
            <v>44313</v>
          </cell>
          <cell r="C1923" t="str">
            <v>E</v>
          </cell>
          <cell r="D1923" t="str">
            <v>UT</v>
          </cell>
          <cell r="E1923" t="str">
            <v>18</v>
          </cell>
        </row>
        <row r="1924">
          <cell r="A1924" t="str">
            <v>TECNICO EN GERONTOLOGIA</v>
          </cell>
          <cell r="B1924" t="str">
            <v>79380</v>
          </cell>
          <cell r="C1924" t="str">
            <v>E</v>
          </cell>
          <cell r="D1924" t="str">
            <v>UT</v>
          </cell>
          <cell r="E1924" t="str">
            <v>15</v>
          </cell>
        </row>
        <row r="1925">
          <cell r="A1925" t="str">
            <v>TECNICO EN INFORMACION AERONAUTICA I</v>
          </cell>
          <cell r="B1925" t="str">
            <v>51581</v>
          </cell>
          <cell r="C1925" t="str">
            <v>E</v>
          </cell>
          <cell r="D1925" t="str">
            <v>AD</v>
          </cell>
          <cell r="E1925" t="str">
            <v>02</v>
          </cell>
        </row>
        <row r="1926">
          <cell r="A1926" t="str">
            <v>TECNICO EN INFORMACION AERONAUTICA II</v>
          </cell>
          <cell r="B1926" t="str">
            <v>51582</v>
          </cell>
          <cell r="C1926" t="str">
            <v>E</v>
          </cell>
          <cell r="D1926" t="str">
            <v>AD</v>
          </cell>
          <cell r="E1926" t="str">
            <v>03</v>
          </cell>
        </row>
        <row r="1927">
          <cell r="A1927" t="str">
            <v>TECNICO EN INFORMACION AERONAUTICA III</v>
          </cell>
          <cell r="B1927" t="str">
            <v>51583</v>
          </cell>
          <cell r="C1927" t="str">
            <v>E</v>
          </cell>
          <cell r="D1927" t="str">
            <v>AD</v>
          </cell>
          <cell r="E1927" t="str">
            <v>04</v>
          </cell>
        </row>
        <row r="1928">
          <cell r="A1928" t="str">
            <v>TECNICO EN INFORMACION AERONAUTICA IV</v>
          </cell>
          <cell r="B1928" t="str">
            <v>51584</v>
          </cell>
          <cell r="C1928" t="str">
            <v>E</v>
          </cell>
          <cell r="D1928" t="str">
            <v>AD</v>
          </cell>
          <cell r="E1928" t="str">
            <v>05</v>
          </cell>
        </row>
        <row r="1929">
          <cell r="A1929" t="str">
            <v>TECNICO EN INFORMACION AERONAUTICA JEFE</v>
          </cell>
          <cell r="B1929" t="str">
            <v>51590</v>
          </cell>
          <cell r="C1929" t="str">
            <v>E</v>
          </cell>
          <cell r="D1929" t="str">
            <v>AD</v>
          </cell>
          <cell r="E1929" t="str">
            <v>08</v>
          </cell>
        </row>
        <row r="1930">
          <cell r="A1930" t="str">
            <v>TECNICO EN INFORMACION AERONAUTICA V</v>
          </cell>
          <cell r="B1930" t="str">
            <v>51585</v>
          </cell>
          <cell r="C1930" t="str">
            <v>E</v>
          </cell>
          <cell r="D1930" t="str">
            <v>AD</v>
          </cell>
          <cell r="E1930" t="str">
            <v>06</v>
          </cell>
        </row>
        <row r="1931">
          <cell r="A1931" t="str">
            <v>TECNICO EN METROLOGIA I</v>
          </cell>
          <cell r="B1931" t="str">
            <v>84221</v>
          </cell>
          <cell r="C1931" t="str">
            <v>E</v>
          </cell>
          <cell r="D1931" t="str">
            <v>UT</v>
          </cell>
          <cell r="E1931" t="str">
            <v>15</v>
          </cell>
        </row>
        <row r="1932">
          <cell r="A1932" t="str">
            <v>TECNICO EN METROLOGIA II</v>
          </cell>
          <cell r="B1932" t="str">
            <v>84222</v>
          </cell>
          <cell r="C1932" t="str">
            <v>E</v>
          </cell>
          <cell r="D1932" t="str">
            <v>UT</v>
          </cell>
          <cell r="E1932" t="str">
            <v>16</v>
          </cell>
        </row>
        <row r="1933">
          <cell r="A1933" t="str">
            <v>TECNICO EN METROLOGIA III</v>
          </cell>
          <cell r="B1933" t="str">
            <v>84223</v>
          </cell>
          <cell r="C1933" t="str">
            <v>E</v>
          </cell>
          <cell r="D1933" t="str">
            <v>UT</v>
          </cell>
          <cell r="E1933" t="str">
            <v>17</v>
          </cell>
        </row>
        <row r="1934">
          <cell r="A1934" t="str">
            <v>TECNICO EN ORTEIS Y/O PROTESIS</v>
          </cell>
          <cell r="B1934" t="str">
            <v>72620</v>
          </cell>
          <cell r="C1934" t="str">
            <v>E</v>
          </cell>
          <cell r="D1934" t="str">
            <v>AD</v>
          </cell>
          <cell r="E1934" t="str">
            <v>04</v>
          </cell>
        </row>
        <row r="1935">
          <cell r="A1935" t="str">
            <v>TECNICO EN PETROLEO I</v>
          </cell>
          <cell r="B1935" t="str">
            <v>44511</v>
          </cell>
          <cell r="C1935" t="str">
            <v>E</v>
          </cell>
          <cell r="D1935" t="str">
            <v>UT</v>
          </cell>
          <cell r="E1935" t="str">
            <v>15</v>
          </cell>
        </row>
        <row r="1936">
          <cell r="A1936" t="str">
            <v>TECNICO EN PETROLEO II</v>
          </cell>
          <cell r="B1936" t="str">
            <v>44512</v>
          </cell>
          <cell r="C1936" t="str">
            <v>E</v>
          </cell>
          <cell r="D1936" t="str">
            <v>UT</v>
          </cell>
          <cell r="E1936" t="str">
            <v>16</v>
          </cell>
        </row>
        <row r="1937">
          <cell r="A1937" t="str">
            <v>TECNICO EN PETROLEO III</v>
          </cell>
          <cell r="B1937" t="str">
            <v>44513</v>
          </cell>
          <cell r="C1937" t="str">
            <v>E</v>
          </cell>
          <cell r="D1937" t="str">
            <v>UT</v>
          </cell>
          <cell r="E1937" t="str">
            <v>18</v>
          </cell>
        </row>
        <row r="1938">
          <cell r="A1938" t="str">
            <v>TECNICO EN TELECOMUNICACIONES I</v>
          </cell>
          <cell r="B1938" t="str">
            <v>51511</v>
          </cell>
          <cell r="C1938" t="str">
            <v>E</v>
          </cell>
          <cell r="D1938" t="str">
            <v>AD</v>
          </cell>
          <cell r="E1938" t="str">
            <v>01</v>
          </cell>
        </row>
        <row r="1939">
          <cell r="A1939" t="str">
            <v>TECNICO EN TELECOMUNICACIONES II</v>
          </cell>
          <cell r="B1939" t="str">
            <v>51512</v>
          </cell>
          <cell r="C1939" t="str">
            <v>E</v>
          </cell>
          <cell r="D1939" t="str">
            <v>AD</v>
          </cell>
          <cell r="E1939" t="str">
            <v>02</v>
          </cell>
        </row>
        <row r="1940">
          <cell r="A1940" t="str">
            <v>TECNICO EN TELECOMUNICACIONES III</v>
          </cell>
          <cell r="B1940" t="str">
            <v>51513</v>
          </cell>
          <cell r="C1940" t="str">
            <v>E</v>
          </cell>
          <cell r="D1940" t="str">
            <v>AD</v>
          </cell>
          <cell r="E1940" t="str">
            <v>03</v>
          </cell>
        </row>
        <row r="1941">
          <cell r="A1941" t="str">
            <v>TECNICO EN TELECOMUNICACIONES IV</v>
          </cell>
          <cell r="B1941" t="str">
            <v>51514</v>
          </cell>
          <cell r="C1941" t="str">
            <v>E</v>
          </cell>
          <cell r="D1941" t="str">
            <v>UT</v>
          </cell>
          <cell r="E1941" t="str">
            <v>15</v>
          </cell>
        </row>
        <row r="1942">
          <cell r="A1942" t="str">
            <v>TECNICO EN TELECOMUNICACIONES JEFE I</v>
          </cell>
          <cell r="B1942" t="str">
            <v>51521</v>
          </cell>
          <cell r="C1942" t="str">
            <v>E</v>
          </cell>
          <cell r="D1942" t="str">
            <v>UT</v>
          </cell>
          <cell r="E1942" t="str">
            <v>18</v>
          </cell>
        </row>
        <row r="1943">
          <cell r="A1943" t="str">
            <v>TECNICO EN TELECOMUNICACIONES JEFE II</v>
          </cell>
          <cell r="B1943" t="str">
            <v>51522</v>
          </cell>
          <cell r="C1943" t="str">
            <v>E</v>
          </cell>
          <cell r="D1943" t="str">
            <v>UT</v>
          </cell>
          <cell r="E1943" t="str">
            <v>20</v>
          </cell>
        </row>
        <row r="1944">
          <cell r="A1944" t="str">
            <v>TECNICO EN TELECOMUNICACIONES JEFE III</v>
          </cell>
          <cell r="B1944" t="str">
            <v>51523</v>
          </cell>
          <cell r="C1944" t="str">
            <v>E</v>
          </cell>
          <cell r="D1944" t="str">
            <v>UT</v>
          </cell>
          <cell r="E1944" t="str">
            <v>22</v>
          </cell>
        </row>
        <row r="1945">
          <cell r="A1945" t="str">
            <v>TECNICO EN TELECOMUNICACIONES V</v>
          </cell>
          <cell r="B1945" t="str">
            <v>51515</v>
          </cell>
          <cell r="C1945" t="str">
            <v>E</v>
          </cell>
          <cell r="D1945" t="str">
            <v>UT</v>
          </cell>
          <cell r="E1945" t="str">
            <v>16</v>
          </cell>
        </row>
        <row r="1946">
          <cell r="A1946" t="str">
            <v>TECNICO EN TELECOMUNICACIONES VI</v>
          </cell>
          <cell r="B1946" t="str">
            <v>51516</v>
          </cell>
          <cell r="C1946" t="str">
            <v>E</v>
          </cell>
          <cell r="D1946" t="str">
            <v>UT</v>
          </cell>
          <cell r="E1946" t="str">
            <v>17</v>
          </cell>
        </row>
        <row r="1947">
          <cell r="A1947" t="str">
            <v>TECNICO HISTOLOGO</v>
          </cell>
          <cell r="B1947" t="str">
            <v>72140</v>
          </cell>
          <cell r="C1947" t="str">
            <v>E</v>
          </cell>
          <cell r="D1947" t="str">
            <v>AD</v>
          </cell>
          <cell r="E1947" t="str">
            <v>01</v>
          </cell>
        </row>
        <row r="1948">
          <cell r="A1948" t="str">
            <v>TECNICO NORMALIZADOR I</v>
          </cell>
          <cell r="B1948" t="str">
            <v>84511</v>
          </cell>
          <cell r="C1948" t="str">
            <v>E</v>
          </cell>
          <cell r="D1948" t="str">
            <v>UT</v>
          </cell>
          <cell r="E1948" t="str">
            <v>19</v>
          </cell>
        </row>
        <row r="1949">
          <cell r="A1949" t="str">
            <v>TECNICO NORMALIZADOR II</v>
          </cell>
          <cell r="B1949" t="str">
            <v>84512</v>
          </cell>
          <cell r="C1949" t="str">
            <v>E</v>
          </cell>
          <cell r="D1949" t="str">
            <v>UT</v>
          </cell>
          <cell r="E1949" t="str">
            <v>20</v>
          </cell>
        </row>
        <row r="1950">
          <cell r="A1950" t="str">
            <v>TECNICO NORMALIZADOR III</v>
          </cell>
          <cell r="B1950" t="str">
            <v>84513</v>
          </cell>
          <cell r="C1950" t="str">
            <v>E</v>
          </cell>
          <cell r="D1950" t="str">
            <v>UT</v>
          </cell>
          <cell r="E1950" t="str">
            <v>21</v>
          </cell>
        </row>
        <row r="1951">
          <cell r="A1951" t="str">
            <v>TECNICO PORTUARIO I</v>
          </cell>
          <cell r="B1951" t="str">
            <v>53241</v>
          </cell>
          <cell r="C1951" t="str">
            <v>E</v>
          </cell>
          <cell r="D1951" t="str">
            <v>UT</v>
          </cell>
          <cell r="E1951" t="str">
            <v>16</v>
          </cell>
        </row>
        <row r="1952">
          <cell r="A1952" t="str">
            <v>TECNICO PORTUARIO II</v>
          </cell>
          <cell r="B1952" t="str">
            <v>53242</v>
          </cell>
          <cell r="C1952" t="str">
            <v>E</v>
          </cell>
          <cell r="D1952" t="str">
            <v>UT</v>
          </cell>
          <cell r="E1952" t="str">
            <v>18</v>
          </cell>
        </row>
        <row r="1953">
          <cell r="A1953" t="str">
            <v>TECNICO PORTUARIO JEFE</v>
          </cell>
          <cell r="B1953" t="str">
            <v>53250</v>
          </cell>
          <cell r="C1953" t="str">
            <v>E</v>
          </cell>
          <cell r="D1953" t="str">
            <v>UT</v>
          </cell>
          <cell r="E1953" t="str">
            <v>20</v>
          </cell>
        </row>
        <row r="1954">
          <cell r="A1954" t="str">
            <v>TECNICO QUIMICO I</v>
          </cell>
          <cell r="B1954" t="str">
            <v>44711</v>
          </cell>
          <cell r="C1954" t="str">
            <v>E</v>
          </cell>
          <cell r="D1954" t="str">
            <v>AD</v>
          </cell>
          <cell r="E1954" t="str">
            <v>02</v>
          </cell>
        </row>
        <row r="1955">
          <cell r="A1955" t="str">
            <v>TECNICO QUIMICO II</v>
          </cell>
          <cell r="B1955" t="str">
            <v>44712</v>
          </cell>
          <cell r="C1955" t="str">
            <v>E</v>
          </cell>
          <cell r="D1955" t="str">
            <v>UT</v>
          </cell>
          <cell r="E1955" t="str">
            <v>15</v>
          </cell>
        </row>
        <row r="1956">
          <cell r="A1956" t="str">
            <v>TECNICO QUIMICO III</v>
          </cell>
          <cell r="B1956" t="str">
            <v>44713</v>
          </cell>
          <cell r="C1956" t="str">
            <v>E</v>
          </cell>
          <cell r="D1956" t="str">
            <v>UT</v>
          </cell>
          <cell r="E1956" t="str">
            <v>17</v>
          </cell>
        </row>
        <row r="1957">
          <cell r="A1957" t="str">
            <v>TECNICO QUIMICO IV</v>
          </cell>
          <cell r="B1957" t="str">
            <v>44714</v>
          </cell>
          <cell r="C1957" t="str">
            <v>E</v>
          </cell>
          <cell r="D1957" t="str">
            <v>UT</v>
          </cell>
          <cell r="E1957" t="str">
            <v>18</v>
          </cell>
        </row>
        <row r="1958">
          <cell r="A1958" t="str">
            <v>TECNICO RADIOLOGO I</v>
          </cell>
          <cell r="B1958" t="str">
            <v>72441</v>
          </cell>
          <cell r="C1958" t="str">
            <v>E</v>
          </cell>
          <cell r="D1958" t="str">
            <v>AD</v>
          </cell>
          <cell r="E1958" t="str">
            <v>03</v>
          </cell>
        </row>
        <row r="1959">
          <cell r="A1959" t="str">
            <v>TECNICO RADIOLOGO II</v>
          </cell>
          <cell r="B1959" t="str">
            <v>72442</v>
          </cell>
          <cell r="C1959" t="str">
            <v>E</v>
          </cell>
          <cell r="D1959" t="str">
            <v>AD</v>
          </cell>
          <cell r="E1959" t="str">
            <v>04</v>
          </cell>
        </row>
        <row r="1960">
          <cell r="A1960" t="str">
            <v>TECNICO RADIOLOGO III</v>
          </cell>
          <cell r="B1960" t="str">
            <v>72443</v>
          </cell>
          <cell r="C1960" t="str">
            <v>E</v>
          </cell>
          <cell r="D1960" t="str">
            <v>AD</v>
          </cell>
          <cell r="E1960" t="str">
            <v>06</v>
          </cell>
        </row>
        <row r="1961">
          <cell r="A1961" t="str">
            <v>TECNICO SUPERIOR AGRICULTOR</v>
          </cell>
          <cell r="B1961" t="str">
            <v>42150</v>
          </cell>
          <cell r="C1961" t="str">
            <v>E</v>
          </cell>
          <cell r="D1961" t="str">
            <v>UT</v>
          </cell>
          <cell r="E1961" t="str">
            <v>15</v>
          </cell>
        </row>
        <row r="1962">
          <cell r="A1962" t="str">
            <v>TECNICO SUPERIOR EN TRABAJO SOCIAL I</v>
          </cell>
          <cell r="B1962" t="str">
            <v>79341</v>
          </cell>
          <cell r="C1962" t="str">
            <v>E</v>
          </cell>
          <cell r="D1962" t="str">
            <v>UT</v>
          </cell>
          <cell r="E1962" t="str">
            <v>15</v>
          </cell>
        </row>
        <row r="1963">
          <cell r="A1963" t="str">
            <v>TECNICO SUPERIOR EN TRABAJO SOCIAL II</v>
          </cell>
          <cell r="B1963" t="str">
            <v>79342</v>
          </cell>
          <cell r="C1963" t="str">
            <v>E</v>
          </cell>
          <cell r="D1963" t="str">
            <v>UT</v>
          </cell>
          <cell r="E1963" t="str">
            <v>16</v>
          </cell>
        </row>
        <row r="1964">
          <cell r="A1964" t="str">
            <v>TECNICO SUPERIOR III 77 TID</v>
          </cell>
          <cell r="B1964" t="str">
            <v>00877</v>
          </cell>
          <cell r="C1964" t="str">
            <v>E</v>
          </cell>
          <cell r="D1964" t="str">
            <v>DO</v>
          </cell>
          <cell r="E1964" t="str">
            <v/>
          </cell>
        </row>
        <row r="1965">
          <cell r="A1965" t="str">
            <v>TECNICO SUPERIOR PESQUERO</v>
          </cell>
          <cell r="B1965" t="str">
            <v>42140</v>
          </cell>
          <cell r="C1965" t="str">
            <v>E</v>
          </cell>
          <cell r="D1965" t="str">
            <v>UT</v>
          </cell>
          <cell r="E1965" t="str">
            <v>15</v>
          </cell>
        </row>
        <row r="1966">
          <cell r="A1966" t="str">
            <v>TECNICO VALORADOR I</v>
          </cell>
          <cell r="B1966" t="str">
            <v>53311</v>
          </cell>
          <cell r="C1966" t="str">
            <v>E</v>
          </cell>
          <cell r="D1966" t="str">
            <v>UT</v>
          </cell>
          <cell r="E1966" t="str">
            <v>15</v>
          </cell>
        </row>
        <row r="1967">
          <cell r="A1967" t="str">
            <v>TECNICO VALORADOR II</v>
          </cell>
          <cell r="B1967" t="str">
            <v>53312</v>
          </cell>
          <cell r="C1967" t="str">
            <v>E</v>
          </cell>
          <cell r="D1967" t="str">
            <v>UT</v>
          </cell>
          <cell r="E1967" t="str">
            <v>17</v>
          </cell>
        </row>
        <row r="1968">
          <cell r="A1968" t="str">
            <v>TECNICO VALORADOR III</v>
          </cell>
          <cell r="B1968" t="str">
            <v>53313</v>
          </cell>
          <cell r="C1968" t="str">
            <v>E</v>
          </cell>
          <cell r="D1968" t="str">
            <v>UT</v>
          </cell>
          <cell r="E1968" t="str">
            <v>19</v>
          </cell>
        </row>
        <row r="1969">
          <cell r="A1969" t="str">
            <v>TECNICO VALORADOR JEFE</v>
          </cell>
          <cell r="B1969" t="str">
            <v>53320</v>
          </cell>
          <cell r="C1969" t="str">
            <v>E</v>
          </cell>
          <cell r="D1969" t="str">
            <v>UT</v>
          </cell>
          <cell r="E1969" t="str">
            <v>21</v>
          </cell>
        </row>
        <row r="1970">
          <cell r="A1970" t="str">
            <v>TELEFONISTA</v>
          </cell>
          <cell r="B1970" t="str">
            <v>51480</v>
          </cell>
          <cell r="C1970" t="str">
            <v>E</v>
          </cell>
          <cell r="D1970" t="str">
            <v>AD</v>
          </cell>
          <cell r="E1970" t="str">
            <v>01</v>
          </cell>
        </row>
        <row r="1971">
          <cell r="A1971" t="str">
            <v>TENIENTE (BOMBERO)</v>
          </cell>
          <cell r="B1971" t="str">
            <v>62600</v>
          </cell>
          <cell r="C1971" t="str">
            <v>E</v>
          </cell>
          <cell r="D1971" t="str">
            <v>BO</v>
          </cell>
          <cell r="E1971" t="str">
            <v>12</v>
          </cell>
        </row>
        <row r="1972">
          <cell r="A1972" t="str">
            <v>TENIENTE CORONEL (BOMBERO)</v>
          </cell>
          <cell r="B1972" t="str">
            <v>62300</v>
          </cell>
          <cell r="C1972" t="str">
            <v>E</v>
          </cell>
          <cell r="D1972" t="str">
            <v>BO</v>
          </cell>
          <cell r="E1972" t="str">
            <v/>
          </cell>
        </row>
        <row r="1973">
          <cell r="A1973" t="str">
            <v>TERAPEUTA OCUPACIONAL I</v>
          </cell>
          <cell r="B1973" t="str">
            <v>72521</v>
          </cell>
          <cell r="C1973" t="str">
            <v>E</v>
          </cell>
          <cell r="D1973" t="str">
            <v>UT</v>
          </cell>
          <cell r="E1973" t="str">
            <v>15</v>
          </cell>
        </row>
        <row r="1974">
          <cell r="A1974" t="str">
            <v>TERAPEUTA OCUPACIONAL II</v>
          </cell>
          <cell r="B1974" t="str">
            <v>72522</v>
          </cell>
          <cell r="C1974" t="str">
            <v>E</v>
          </cell>
          <cell r="D1974" t="str">
            <v>UT</v>
          </cell>
          <cell r="E1974" t="str">
            <v>17</v>
          </cell>
        </row>
        <row r="1975">
          <cell r="A1975" t="str">
            <v>TERAPEUTA OCUPACIONAL III</v>
          </cell>
          <cell r="B1975" t="str">
            <v>72523</v>
          </cell>
          <cell r="C1975" t="str">
            <v>E</v>
          </cell>
          <cell r="D1975" t="str">
            <v>UT</v>
          </cell>
          <cell r="E1975" t="str">
            <v>19</v>
          </cell>
        </row>
        <row r="1976">
          <cell r="A1976" t="str">
            <v>TERAPEUTA OCUPACIONAL IV</v>
          </cell>
          <cell r="B1976" t="str">
            <v>72524</v>
          </cell>
          <cell r="C1976" t="str">
            <v>E</v>
          </cell>
          <cell r="D1976" t="str">
            <v>UT</v>
          </cell>
          <cell r="E1976" t="str">
            <v>21</v>
          </cell>
        </row>
        <row r="1977">
          <cell r="A1977" t="str">
            <v>TERAPISTA DE LENGUAJE I</v>
          </cell>
          <cell r="B1977" t="str">
            <v>72541</v>
          </cell>
          <cell r="C1977" t="str">
            <v>E</v>
          </cell>
          <cell r="D1977" t="str">
            <v>UT</v>
          </cell>
          <cell r="E1977" t="str">
            <v>15</v>
          </cell>
        </row>
        <row r="1978">
          <cell r="A1978" t="str">
            <v>TERAPISTA DE LENGUAJE II</v>
          </cell>
          <cell r="B1978" t="str">
            <v>72542</v>
          </cell>
          <cell r="C1978" t="str">
            <v>E</v>
          </cell>
          <cell r="D1978" t="str">
            <v>UT</v>
          </cell>
          <cell r="E1978" t="str">
            <v>17</v>
          </cell>
        </row>
        <row r="1979">
          <cell r="A1979" t="str">
            <v>TESORERO(A) GENERAL DEL ESTADO</v>
          </cell>
          <cell r="B1979" t="str">
            <v>00911</v>
          </cell>
          <cell r="C1979" t="str">
            <v>E</v>
          </cell>
          <cell r="D1979" t="str">
            <v>DI</v>
          </cell>
          <cell r="E1979" t="str">
            <v>99</v>
          </cell>
        </row>
        <row r="1980">
          <cell r="A1980" t="str">
            <v>TIMBAL 1</v>
          </cell>
          <cell r="B1980" t="str">
            <v>03556</v>
          </cell>
          <cell r="C1980" t="str">
            <v>E</v>
          </cell>
          <cell r="D1980" t="str">
            <v>AD</v>
          </cell>
          <cell r="E1980" t="str">
            <v>01</v>
          </cell>
        </row>
        <row r="1981">
          <cell r="A1981" t="str">
            <v>TOPOGRAFO CARTOGRAFICO I</v>
          </cell>
          <cell r="B1981" t="str">
            <v>43141</v>
          </cell>
          <cell r="C1981" t="str">
            <v>E</v>
          </cell>
          <cell r="D1981" t="str">
            <v>UT</v>
          </cell>
          <cell r="E1981" t="str">
            <v>16</v>
          </cell>
        </row>
        <row r="1982">
          <cell r="A1982" t="str">
            <v>TOPOGRAFO CARTOGRAFICO II</v>
          </cell>
          <cell r="B1982" t="str">
            <v>43142</v>
          </cell>
          <cell r="C1982" t="str">
            <v>E</v>
          </cell>
          <cell r="D1982" t="str">
            <v>UT</v>
          </cell>
          <cell r="E1982" t="str">
            <v>18</v>
          </cell>
        </row>
        <row r="1983">
          <cell r="A1983" t="str">
            <v>TOPOGRAFO CARTOGRAFICO JEFE</v>
          </cell>
          <cell r="B1983" t="str">
            <v>43150</v>
          </cell>
          <cell r="C1983" t="str">
            <v>E</v>
          </cell>
          <cell r="D1983" t="str">
            <v>UT</v>
          </cell>
          <cell r="E1983" t="str">
            <v>20</v>
          </cell>
        </row>
        <row r="1984">
          <cell r="A1984" t="str">
            <v>TOPOGRAFO I</v>
          </cell>
          <cell r="B1984" t="str">
            <v>43121</v>
          </cell>
          <cell r="C1984" t="str">
            <v>E</v>
          </cell>
          <cell r="D1984" t="str">
            <v>UT</v>
          </cell>
          <cell r="E1984" t="str">
            <v>15</v>
          </cell>
        </row>
        <row r="1985">
          <cell r="A1985" t="str">
            <v>TOPOGRAFO II</v>
          </cell>
          <cell r="B1985" t="str">
            <v>43122</v>
          </cell>
          <cell r="C1985" t="str">
            <v>E</v>
          </cell>
          <cell r="D1985" t="str">
            <v>UT</v>
          </cell>
          <cell r="E1985" t="str">
            <v>17</v>
          </cell>
        </row>
        <row r="1986">
          <cell r="A1986" t="str">
            <v>TRABAJADOR SOCIAL I</v>
          </cell>
          <cell r="B1986" t="str">
            <v>79351</v>
          </cell>
          <cell r="C1986" t="str">
            <v>E</v>
          </cell>
          <cell r="D1986" t="str">
            <v>UT</v>
          </cell>
          <cell r="E1986" t="str">
            <v>17</v>
          </cell>
        </row>
        <row r="1987">
          <cell r="A1987" t="str">
            <v>TRABAJADOR SOCIAL II</v>
          </cell>
          <cell r="B1987" t="str">
            <v>79352</v>
          </cell>
          <cell r="C1987" t="str">
            <v>E</v>
          </cell>
          <cell r="D1987" t="str">
            <v>UT</v>
          </cell>
          <cell r="E1987" t="str">
            <v>19</v>
          </cell>
        </row>
        <row r="1988">
          <cell r="A1988" t="str">
            <v>TRABAJADOR SOCIAL III</v>
          </cell>
          <cell r="B1988" t="str">
            <v>79353</v>
          </cell>
          <cell r="C1988" t="str">
            <v>E</v>
          </cell>
          <cell r="D1988" t="str">
            <v>UT</v>
          </cell>
          <cell r="E1988" t="str">
            <v>21</v>
          </cell>
        </row>
        <row r="1989">
          <cell r="A1989" t="str">
            <v>TRABAJADOR SOCIAL IV</v>
          </cell>
          <cell r="B1989" t="str">
            <v>79354</v>
          </cell>
          <cell r="C1989" t="str">
            <v>E</v>
          </cell>
          <cell r="D1989" t="str">
            <v>UT</v>
          </cell>
          <cell r="E1989" t="str">
            <v>22</v>
          </cell>
        </row>
        <row r="1990">
          <cell r="A1990" t="str">
            <v>TRADUCTOR I</v>
          </cell>
          <cell r="B1990" t="str">
            <v>22311</v>
          </cell>
          <cell r="C1990" t="str">
            <v>E</v>
          </cell>
          <cell r="D1990" t="str">
            <v>UT</v>
          </cell>
          <cell r="E1990" t="str">
            <v>17</v>
          </cell>
        </row>
        <row r="1991">
          <cell r="A1991" t="str">
            <v>TRADUCTOR II</v>
          </cell>
          <cell r="B1991" t="str">
            <v>22312</v>
          </cell>
          <cell r="C1991" t="str">
            <v>E</v>
          </cell>
          <cell r="D1991" t="str">
            <v>UT</v>
          </cell>
          <cell r="E1991" t="str">
            <v>19</v>
          </cell>
        </row>
        <row r="1992">
          <cell r="A1992" t="str">
            <v>TRADUCTOR III</v>
          </cell>
          <cell r="B1992" t="str">
            <v>22313</v>
          </cell>
          <cell r="C1992" t="str">
            <v>E</v>
          </cell>
          <cell r="D1992" t="str">
            <v>UT</v>
          </cell>
          <cell r="E1992" t="str">
            <v>21</v>
          </cell>
        </row>
        <row r="1993">
          <cell r="A1993" t="str">
            <v>TRADUCTOR MULTILINGUE II</v>
          </cell>
          <cell r="B1993" t="str">
            <v>22322</v>
          </cell>
          <cell r="C1993" t="str">
            <v>E</v>
          </cell>
          <cell r="D1993" t="str">
            <v>UT</v>
          </cell>
          <cell r="E1993" t="str">
            <v>25</v>
          </cell>
        </row>
        <row r="1994">
          <cell r="A1994" t="str">
            <v>TRADUCTOR MULTILUNGUE I</v>
          </cell>
          <cell r="B1994" t="str">
            <v>22321</v>
          </cell>
          <cell r="C1994" t="str">
            <v>E</v>
          </cell>
          <cell r="D1994" t="str">
            <v>UT</v>
          </cell>
          <cell r="E1994" t="str">
            <v>23</v>
          </cell>
        </row>
        <row r="1995">
          <cell r="A1995" t="str">
            <v>TRAMITADOR DE ASUNTOS DE ADUANA I</v>
          </cell>
          <cell r="B1995" t="str">
            <v>53151</v>
          </cell>
          <cell r="C1995" t="str">
            <v>E</v>
          </cell>
          <cell r="D1995" t="str">
            <v>AD</v>
          </cell>
          <cell r="E1995" t="str">
            <v>01</v>
          </cell>
        </row>
        <row r="1996">
          <cell r="A1996" t="str">
            <v>TRAMITADOR DE ASUNTOS DE ADUANA II</v>
          </cell>
          <cell r="B1996" t="str">
            <v>53152</v>
          </cell>
          <cell r="C1996" t="str">
            <v>E</v>
          </cell>
          <cell r="D1996" t="str">
            <v>AD</v>
          </cell>
          <cell r="E1996" t="str">
            <v>03</v>
          </cell>
        </row>
        <row r="1997">
          <cell r="A1997" t="str">
            <v>TRAMITADOR DE ASUNTOS DE ADUANA JEFE</v>
          </cell>
          <cell r="B1997" t="str">
            <v>53160</v>
          </cell>
          <cell r="C1997" t="str">
            <v>E</v>
          </cell>
          <cell r="D1997" t="str">
            <v>UT</v>
          </cell>
          <cell r="E1997" t="str">
            <v>15</v>
          </cell>
        </row>
        <row r="1998">
          <cell r="A1998" t="str">
            <v>TROMBON 1</v>
          </cell>
          <cell r="B1998" t="str">
            <v>03552</v>
          </cell>
          <cell r="C1998" t="str">
            <v>E</v>
          </cell>
          <cell r="D1998" t="str">
            <v>AD</v>
          </cell>
          <cell r="E1998" t="str">
            <v>01</v>
          </cell>
        </row>
        <row r="1999">
          <cell r="A1999" t="str">
            <v>TROMBON 2</v>
          </cell>
          <cell r="B1999" t="str">
            <v>03584</v>
          </cell>
          <cell r="C1999" t="str">
            <v>E</v>
          </cell>
          <cell r="D1999" t="str">
            <v>AD</v>
          </cell>
          <cell r="E1999" t="str">
            <v>01</v>
          </cell>
        </row>
        <row r="2000">
          <cell r="A2000" t="str">
            <v>TROMBON 3</v>
          </cell>
          <cell r="B2000" t="str">
            <v>03613</v>
          </cell>
          <cell r="C2000" t="str">
            <v>E</v>
          </cell>
          <cell r="D2000" t="str">
            <v>AD</v>
          </cell>
          <cell r="E2000" t="str">
            <v>01</v>
          </cell>
        </row>
        <row r="2001">
          <cell r="A2001" t="str">
            <v>TROMPETA 1</v>
          </cell>
          <cell r="B2001" t="str">
            <v>03548</v>
          </cell>
          <cell r="C2001" t="str">
            <v>E</v>
          </cell>
          <cell r="D2001" t="str">
            <v>AD</v>
          </cell>
          <cell r="E2001" t="str">
            <v>01</v>
          </cell>
        </row>
        <row r="2002">
          <cell r="A2002" t="str">
            <v>TROMPETA 2</v>
          </cell>
          <cell r="B2002" t="str">
            <v>03580</v>
          </cell>
          <cell r="C2002" t="str">
            <v>E</v>
          </cell>
          <cell r="D2002" t="str">
            <v>AD</v>
          </cell>
          <cell r="E2002" t="str">
            <v>01</v>
          </cell>
        </row>
        <row r="2003">
          <cell r="A2003" t="str">
            <v>TROMPETA 3</v>
          </cell>
          <cell r="B2003" t="str">
            <v>03608</v>
          </cell>
          <cell r="C2003" t="str">
            <v>E</v>
          </cell>
          <cell r="D2003" t="str">
            <v>AD</v>
          </cell>
          <cell r="E2003" t="str">
            <v>01</v>
          </cell>
        </row>
        <row r="2004">
          <cell r="A2004" t="str">
            <v>TROMPETA SOLISTA</v>
          </cell>
          <cell r="B2004" t="str">
            <v>03512</v>
          </cell>
          <cell r="C2004" t="str">
            <v>E</v>
          </cell>
          <cell r="D2004" t="str">
            <v>AD</v>
          </cell>
          <cell r="E2004" t="str">
            <v>01</v>
          </cell>
        </row>
        <row r="2005">
          <cell r="A2005" t="str">
            <v>TUBA 1</v>
          </cell>
          <cell r="B2005" t="str">
            <v>03554</v>
          </cell>
          <cell r="C2005" t="str">
            <v>E</v>
          </cell>
          <cell r="D2005" t="str">
            <v>AD</v>
          </cell>
          <cell r="E2005" t="str">
            <v>01</v>
          </cell>
        </row>
        <row r="2006">
          <cell r="A2006" t="str">
            <v>TUBA 2</v>
          </cell>
          <cell r="B2006" t="str">
            <v>03586</v>
          </cell>
          <cell r="C2006" t="str">
            <v>E</v>
          </cell>
          <cell r="D2006" t="str">
            <v>AD</v>
          </cell>
          <cell r="E2006" t="str">
            <v>01</v>
          </cell>
        </row>
        <row r="2007">
          <cell r="A2007" t="str">
            <v>TUTOR FACILITADOR I</v>
          </cell>
          <cell r="B2007" t="str">
            <v>79521</v>
          </cell>
          <cell r="C2007" t="str">
            <v>E</v>
          </cell>
          <cell r="D2007" t="str">
            <v>UT</v>
          </cell>
          <cell r="E2007" t="str">
            <v>18</v>
          </cell>
        </row>
        <row r="2008">
          <cell r="A2008" t="str">
            <v>TUTOR FACILITADOR II</v>
          </cell>
          <cell r="B2008" t="str">
            <v>79522</v>
          </cell>
          <cell r="C2008" t="str">
            <v>E</v>
          </cell>
          <cell r="D2008" t="str">
            <v>UT</v>
          </cell>
          <cell r="E2008" t="str">
            <v>20</v>
          </cell>
        </row>
        <row r="2009">
          <cell r="A2009" t="str">
            <v>TUTOR FACILITADOR III</v>
          </cell>
          <cell r="B2009" t="str">
            <v>79523</v>
          </cell>
          <cell r="C2009" t="str">
            <v>E</v>
          </cell>
          <cell r="D2009" t="str">
            <v>UT</v>
          </cell>
          <cell r="E2009" t="str">
            <v>22</v>
          </cell>
        </row>
        <row r="2010">
          <cell r="A2010" t="str">
            <v>URBANISTA I</v>
          </cell>
          <cell r="B2010" t="str">
            <v>43811</v>
          </cell>
          <cell r="C2010" t="str">
            <v>E</v>
          </cell>
          <cell r="D2010" t="str">
            <v>UT</v>
          </cell>
          <cell r="E2010" t="str">
            <v>18</v>
          </cell>
        </row>
        <row r="2011">
          <cell r="A2011" t="str">
            <v>URBANISTA II</v>
          </cell>
          <cell r="B2011" t="str">
            <v>43812</v>
          </cell>
          <cell r="C2011" t="str">
            <v>E</v>
          </cell>
          <cell r="D2011" t="str">
            <v>UT</v>
          </cell>
          <cell r="E2011" t="str">
            <v>19</v>
          </cell>
        </row>
        <row r="2012">
          <cell r="A2012" t="str">
            <v>URBANISTA III</v>
          </cell>
          <cell r="B2012" t="str">
            <v>43813</v>
          </cell>
          <cell r="C2012" t="str">
            <v>E</v>
          </cell>
          <cell r="D2012" t="str">
            <v>UT</v>
          </cell>
          <cell r="E2012" t="str">
            <v>21</v>
          </cell>
        </row>
        <row r="2013">
          <cell r="A2013" t="str">
            <v>URBANISTA JEFE</v>
          </cell>
          <cell r="B2013" t="str">
            <v>43820</v>
          </cell>
          <cell r="C2013" t="str">
            <v>E</v>
          </cell>
          <cell r="D2013" t="str">
            <v>UT</v>
          </cell>
          <cell r="E2013" t="str">
            <v>23</v>
          </cell>
        </row>
        <row r="2014">
          <cell r="A2014" t="str">
            <v>VICEPRESIDENTE</v>
          </cell>
          <cell r="B2014" t="str">
            <v>90101</v>
          </cell>
          <cell r="C2014" t="str">
            <v>E</v>
          </cell>
          <cell r="D2014" t="str">
            <v>DI</v>
          </cell>
          <cell r="E2014" t="str">
            <v>99</v>
          </cell>
        </row>
        <row r="2015">
          <cell r="A2015" t="str">
            <v>VIOLA</v>
          </cell>
          <cell r="B2015" t="str">
            <v>03625</v>
          </cell>
          <cell r="C2015" t="str">
            <v>E</v>
          </cell>
          <cell r="D2015" t="str">
            <v>AD</v>
          </cell>
          <cell r="E2015" t="str">
            <v>01</v>
          </cell>
        </row>
        <row r="2016">
          <cell r="A2016" t="str">
            <v>VIOLIN</v>
          </cell>
          <cell r="B2016" t="str">
            <v>03626</v>
          </cell>
          <cell r="C2016" t="str">
            <v>E</v>
          </cell>
          <cell r="D2016" t="str">
            <v>AD</v>
          </cell>
          <cell r="E2016" t="str">
            <v>01</v>
          </cell>
        </row>
        <row r="2017">
          <cell r="A2017" t="str">
            <v>VIOLIN 1</v>
          </cell>
          <cell r="B2017" t="str">
            <v>03577</v>
          </cell>
          <cell r="C2017" t="str">
            <v>E</v>
          </cell>
          <cell r="D2017" t="str">
            <v>AD</v>
          </cell>
          <cell r="E2017" t="str">
            <v>01</v>
          </cell>
        </row>
        <row r="2018">
          <cell r="A2018" t="str">
            <v>VIOLINCILLO</v>
          </cell>
          <cell r="B2018" t="str">
            <v>03755</v>
          </cell>
          <cell r="C2018" t="str">
            <v>E</v>
          </cell>
          <cell r="D2018" t="str">
            <v>DO</v>
          </cell>
          <cell r="E2018" t="str">
            <v/>
          </cell>
        </row>
        <row r="2019">
          <cell r="A2019" t="str">
            <v>VIOLONCELLO</v>
          </cell>
          <cell r="B2019" t="str">
            <v>03576</v>
          </cell>
          <cell r="C2019" t="str">
            <v>E</v>
          </cell>
          <cell r="D2019" t="str">
            <v>AD</v>
          </cell>
          <cell r="E2019" t="str">
            <v>01</v>
          </cell>
        </row>
        <row r="2020">
          <cell r="A2020" t="str">
            <v>VIOLONCHELO</v>
          </cell>
          <cell r="B2020" t="str">
            <v>03624</v>
          </cell>
          <cell r="C2020" t="str">
            <v>E</v>
          </cell>
          <cell r="D2020" t="str">
            <v>AD</v>
          </cell>
          <cell r="E2020" t="str">
            <v>01</v>
          </cell>
        </row>
        <row r="2021">
          <cell r="A2021" t="str">
            <v>ZOOLOGO I</v>
          </cell>
          <cell r="B2021" t="str">
            <v>42431</v>
          </cell>
          <cell r="C2021" t="str">
            <v>E</v>
          </cell>
          <cell r="D2021" t="str">
            <v>UT</v>
          </cell>
          <cell r="E2021" t="str">
            <v>17</v>
          </cell>
        </row>
        <row r="2022">
          <cell r="A2022" t="str">
            <v>ZOOLOGO II</v>
          </cell>
          <cell r="B2022" t="str">
            <v>42432</v>
          </cell>
          <cell r="C2022" t="str">
            <v>E</v>
          </cell>
          <cell r="D2022" t="str">
            <v>UT</v>
          </cell>
          <cell r="E2022" t="str">
            <v>19</v>
          </cell>
        </row>
        <row r="2023">
          <cell r="A2023" t="str">
            <v>ZOOTECNISTA I</v>
          </cell>
          <cell r="B2023" t="str">
            <v>41511</v>
          </cell>
          <cell r="C2023" t="str">
            <v>E</v>
          </cell>
          <cell r="D2023" t="str">
            <v>UT</v>
          </cell>
          <cell r="E2023" t="str">
            <v>18</v>
          </cell>
        </row>
        <row r="2024">
          <cell r="A2024" t="str">
            <v>ZOOTECNISTA II</v>
          </cell>
          <cell r="B2024" t="str">
            <v>41512</v>
          </cell>
          <cell r="C2024" t="str">
            <v>E</v>
          </cell>
          <cell r="D2024" t="str">
            <v>UT</v>
          </cell>
          <cell r="E2024" t="str">
            <v>19</v>
          </cell>
        </row>
        <row r="2025">
          <cell r="A2025" t="str">
            <v>ZOOTECNISTA III</v>
          </cell>
          <cell r="B2025" t="str">
            <v>41513</v>
          </cell>
          <cell r="C2025" t="str">
            <v>E</v>
          </cell>
          <cell r="D2025" t="str">
            <v>UT</v>
          </cell>
          <cell r="E2025" t="str">
            <v>21</v>
          </cell>
        </row>
        <row r="2026">
          <cell r="A2026" t="str">
            <v>ZOOTECNISTA IV</v>
          </cell>
          <cell r="B2026" t="str">
            <v>41514</v>
          </cell>
          <cell r="C2026" t="str">
            <v>E</v>
          </cell>
          <cell r="D2026" t="str">
            <v>UT</v>
          </cell>
          <cell r="E2026" t="str">
            <v>22</v>
          </cell>
        </row>
        <row r="2027">
          <cell r="A2027" t="str">
            <v>ZOOTECNISTA JEFE</v>
          </cell>
          <cell r="B2027" t="str">
            <v>41520</v>
          </cell>
          <cell r="C2027" t="str">
            <v>E</v>
          </cell>
          <cell r="D2027" t="str">
            <v>UT</v>
          </cell>
          <cell r="E2027" t="str">
            <v>25</v>
          </cell>
        </row>
        <row r="2028">
          <cell r="A2028" t="str">
            <v>ZOOTECNISTA V</v>
          </cell>
          <cell r="B2028" t="str">
            <v>41515</v>
          </cell>
          <cell r="C2028" t="str">
            <v>E</v>
          </cell>
          <cell r="D2028" t="str">
            <v>UT</v>
          </cell>
          <cell r="E2028" t="str">
            <v>24</v>
          </cell>
        </row>
        <row r="2029">
          <cell r="A2029" t="str">
            <v>ACARREADOR</v>
          </cell>
          <cell r="B2029" t="str">
            <v>7101</v>
          </cell>
          <cell r="C2029" t="str">
            <v>O</v>
          </cell>
          <cell r="D2029" t="str">
            <v>OB</v>
          </cell>
          <cell r="E2029" t="str">
            <v>01</v>
          </cell>
        </row>
        <row r="2030">
          <cell r="A2030" t="str">
            <v>ALBAÑIL</v>
          </cell>
          <cell r="B2030" t="str">
            <v>7225</v>
          </cell>
          <cell r="C2030" t="str">
            <v>O</v>
          </cell>
          <cell r="D2030" t="str">
            <v>OB</v>
          </cell>
          <cell r="E2030" t="str">
            <v>06</v>
          </cell>
        </row>
        <row r="2031">
          <cell r="A2031" t="str">
            <v>ARMADOR DE PUERTOS</v>
          </cell>
          <cell r="B2031" t="str">
            <v>5250</v>
          </cell>
          <cell r="C2031" t="str">
            <v>O</v>
          </cell>
          <cell r="D2031" t="str">
            <v>OB</v>
          </cell>
          <cell r="E2031" t="str">
            <v>07</v>
          </cell>
        </row>
        <row r="2032">
          <cell r="A2032" t="str">
            <v>ASCENSORISTA</v>
          </cell>
          <cell r="B2032" t="str">
            <v>3125</v>
          </cell>
          <cell r="C2032" t="str">
            <v>O</v>
          </cell>
          <cell r="D2032" t="str">
            <v>OB</v>
          </cell>
          <cell r="E2032" t="str">
            <v>02</v>
          </cell>
        </row>
        <row r="2033">
          <cell r="A2033" t="str">
            <v>ASEADOR</v>
          </cell>
          <cell r="B2033" t="str">
            <v>7102</v>
          </cell>
          <cell r="C2033" t="str">
            <v>O</v>
          </cell>
          <cell r="D2033" t="str">
            <v>OB</v>
          </cell>
          <cell r="E2033" t="str">
            <v>01</v>
          </cell>
        </row>
        <row r="2034">
          <cell r="A2034" t="str">
            <v>ASEADOR AREAS PUBLICAS</v>
          </cell>
          <cell r="B2034" t="str">
            <v>7107</v>
          </cell>
          <cell r="C2034" t="str">
            <v>O</v>
          </cell>
          <cell r="D2034" t="str">
            <v>OB</v>
          </cell>
          <cell r="E2034" t="str">
            <v>01</v>
          </cell>
        </row>
        <row r="2035">
          <cell r="A2035" t="str">
            <v>ASEADOR DE MATERIALES DE LABORATORIO</v>
          </cell>
          <cell r="B2035" t="str">
            <v>8528</v>
          </cell>
          <cell r="C2035" t="str">
            <v>O</v>
          </cell>
          <cell r="D2035" t="str">
            <v>OB</v>
          </cell>
          <cell r="E2035" t="str">
            <v>03</v>
          </cell>
        </row>
        <row r="2036">
          <cell r="A2036" t="str">
            <v>AUXILIAR DE AUTOPSIA</v>
          </cell>
          <cell r="B2036" t="str">
            <v>6225</v>
          </cell>
          <cell r="C2036" t="str">
            <v>O</v>
          </cell>
          <cell r="D2036" t="str">
            <v>OB</v>
          </cell>
          <cell r="E2036" t="str">
            <v>06</v>
          </cell>
        </row>
        <row r="2037">
          <cell r="A2037" t="str">
            <v>AUXILIAR DE CRISTALERIA</v>
          </cell>
          <cell r="B2037" t="str">
            <v>8524</v>
          </cell>
          <cell r="C2037" t="str">
            <v>O</v>
          </cell>
          <cell r="D2037" t="str">
            <v>OB</v>
          </cell>
          <cell r="E2037" t="str">
            <v>08</v>
          </cell>
        </row>
        <row r="2038">
          <cell r="A2038" t="str">
            <v>AUXILIAR DE ENFERMERIA</v>
          </cell>
          <cell r="B2038" t="str">
            <v>6274</v>
          </cell>
          <cell r="C2038" t="str">
            <v>O</v>
          </cell>
          <cell r="D2038" t="str">
            <v>OB</v>
          </cell>
          <cell r="E2038" t="str">
            <v>08</v>
          </cell>
        </row>
        <row r="2039">
          <cell r="A2039" t="str">
            <v>AUXILIAR DE FARMACIA</v>
          </cell>
          <cell r="B2039" t="str">
            <v>6201</v>
          </cell>
          <cell r="C2039" t="str">
            <v>O</v>
          </cell>
          <cell r="D2039" t="str">
            <v>OB</v>
          </cell>
          <cell r="E2039" t="str">
            <v>05</v>
          </cell>
        </row>
        <row r="2040">
          <cell r="A2040" t="str">
            <v>AUXILIAR DE LABORATORIO</v>
          </cell>
          <cell r="B2040" t="str">
            <v>6226</v>
          </cell>
          <cell r="C2040" t="str">
            <v>O</v>
          </cell>
          <cell r="D2040" t="str">
            <v>OB</v>
          </cell>
          <cell r="E2040" t="str">
            <v>06</v>
          </cell>
        </row>
        <row r="2041">
          <cell r="A2041" t="str">
            <v>AUXILIAR DE MEZCLAS PRODUCTOS FARMACEUTICOS</v>
          </cell>
          <cell r="B2041" t="str">
            <v>6231</v>
          </cell>
          <cell r="C2041" t="str">
            <v>O</v>
          </cell>
          <cell r="D2041" t="str">
            <v>OB</v>
          </cell>
          <cell r="E2041" t="str">
            <v>06</v>
          </cell>
        </row>
        <row r="2042">
          <cell r="A2042" t="str">
            <v>AUXILIAR DE NUTRICION</v>
          </cell>
          <cell r="B2042" t="str">
            <v>6227</v>
          </cell>
          <cell r="C2042" t="str">
            <v>O</v>
          </cell>
          <cell r="D2042" t="str">
            <v>OB</v>
          </cell>
          <cell r="E2042" t="str">
            <v>06</v>
          </cell>
        </row>
        <row r="2043">
          <cell r="A2043" t="str">
            <v>AUXILIAR DE ODONTOLOGIA</v>
          </cell>
          <cell r="B2043" t="str">
            <v>6228</v>
          </cell>
          <cell r="C2043" t="str">
            <v>O</v>
          </cell>
          <cell r="D2043" t="str">
            <v>OB</v>
          </cell>
          <cell r="E2043" t="str">
            <v>06</v>
          </cell>
        </row>
        <row r="2044">
          <cell r="A2044" t="str">
            <v>AUXILIAR DE PRUEBAS PRODUCTOS FARMACEUTICOS</v>
          </cell>
          <cell r="B2044" t="str">
            <v>6232</v>
          </cell>
          <cell r="C2044" t="str">
            <v>O</v>
          </cell>
          <cell r="D2044" t="str">
            <v>OB</v>
          </cell>
          <cell r="E2044" t="str">
            <v>06</v>
          </cell>
        </row>
        <row r="2045">
          <cell r="A2045" t="str">
            <v>AUXILIAR DE RAYOS X</v>
          </cell>
          <cell r="B2045" t="str">
            <v>6229</v>
          </cell>
          <cell r="C2045" t="str">
            <v>O</v>
          </cell>
          <cell r="D2045" t="str">
            <v>OB</v>
          </cell>
          <cell r="E2045" t="str">
            <v>06</v>
          </cell>
        </row>
        <row r="2046">
          <cell r="A2046" t="str">
            <v>AUXILIAR DE SERVICIOS DE OFICINA</v>
          </cell>
          <cell r="B2046" t="str">
            <v>7202</v>
          </cell>
          <cell r="C2046" t="str">
            <v>O</v>
          </cell>
          <cell r="D2046" t="str">
            <v>OB</v>
          </cell>
          <cell r="E2046" t="str">
            <v>05</v>
          </cell>
        </row>
        <row r="2047">
          <cell r="A2047" t="str">
            <v>AUXILIAR DE SERVICIOS DE TREN</v>
          </cell>
          <cell r="B2047" t="str">
            <v>3202</v>
          </cell>
          <cell r="C2047" t="str">
            <v>O</v>
          </cell>
          <cell r="D2047" t="str">
            <v>OB</v>
          </cell>
          <cell r="E2047" t="str">
            <v>05</v>
          </cell>
        </row>
        <row r="2048">
          <cell r="A2048" t="str">
            <v>AUXILIAR DE TELECOMUNICACIONES</v>
          </cell>
          <cell r="B2048" t="str">
            <v>7203</v>
          </cell>
          <cell r="C2048" t="str">
            <v>O</v>
          </cell>
          <cell r="D2048" t="str">
            <v>OB</v>
          </cell>
          <cell r="E2048" t="str">
            <v>05</v>
          </cell>
        </row>
        <row r="2049">
          <cell r="A2049" t="str">
            <v>AUXILIAR DE VETERINARIA</v>
          </cell>
          <cell r="B2049" t="str">
            <v>1201</v>
          </cell>
          <cell r="C2049" t="str">
            <v>O</v>
          </cell>
          <cell r="D2049" t="str">
            <v>OB</v>
          </cell>
          <cell r="E2049" t="str">
            <v>05</v>
          </cell>
        </row>
        <row r="2050">
          <cell r="A2050" t="str">
            <v>AYUDANTE AGROPECUARIO</v>
          </cell>
          <cell r="B2050" t="str">
            <v>1151</v>
          </cell>
          <cell r="C2050" t="str">
            <v>O</v>
          </cell>
          <cell r="D2050" t="str">
            <v>OB</v>
          </cell>
          <cell r="E2050" t="str">
            <v>03</v>
          </cell>
        </row>
        <row r="2051">
          <cell r="A2051" t="str">
            <v>AYUDANTE BARMAN</v>
          </cell>
          <cell r="B2051" t="str">
            <v>2125</v>
          </cell>
          <cell r="C2051" t="str">
            <v>O</v>
          </cell>
          <cell r="D2051" t="str">
            <v>OB</v>
          </cell>
          <cell r="E2051" t="str">
            <v>02</v>
          </cell>
        </row>
        <row r="2052">
          <cell r="A2052" t="str">
            <v>AYUDANTE DE ALBAÑIL</v>
          </cell>
          <cell r="B2052" t="str">
            <v>7222</v>
          </cell>
          <cell r="C2052" t="str">
            <v>O</v>
          </cell>
          <cell r="D2052" t="str">
            <v>OB</v>
          </cell>
          <cell r="E2052" t="str">
            <v>03</v>
          </cell>
        </row>
        <row r="2053">
          <cell r="A2053" t="str">
            <v>AYUDANTE DE ALMACEN</v>
          </cell>
          <cell r="B2053" t="str">
            <v>7201</v>
          </cell>
          <cell r="C2053" t="str">
            <v>O</v>
          </cell>
          <cell r="D2053" t="str">
            <v>OB</v>
          </cell>
          <cell r="E2053" t="str">
            <v>05</v>
          </cell>
        </row>
        <row r="2054">
          <cell r="A2054" t="str">
            <v>AYUDANTE DE ARTES GRAFICAS</v>
          </cell>
          <cell r="B2054" t="str">
            <v>4150</v>
          </cell>
          <cell r="C2054" t="str">
            <v>O</v>
          </cell>
          <cell r="D2054" t="str">
            <v>OB</v>
          </cell>
          <cell r="E2054" t="str">
            <v>03</v>
          </cell>
        </row>
        <row r="2055">
          <cell r="A2055" t="str">
            <v>AYUDANTE DE AULA</v>
          </cell>
          <cell r="B2055" t="str">
            <v>7125</v>
          </cell>
          <cell r="C2055" t="str">
            <v>O</v>
          </cell>
          <cell r="D2055" t="str">
            <v>OB</v>
          </cell>
          <cell r="E2055" t="str">
            <v>02</v>
          </cell>
        </row>
        <row r="2056">
          <cell r="A2056" t="str">
            <v>AYUDANTE DE CARGA</v>
          </cell>
          <cell r="B2056" t="str">
            <v>7150</v>
          </cell>
          <cell r="C2056" t="str">
            <v>O</v>
          </cell>
          <cell r="D2056" t="str">
            <v>OB</v>
          </cell>
          <cell r="E2056" t="str">
            <v>03</v>
          </cell>
        </row>
        <row r="2057">
          <cell r="A2057" t="str">
            <v>AYUDANTE DE CARPINTERIA</v>
          </cell>
          <cell r="B2057" t="str">
            <v>7228</v>
          </cell>
          <cell r="C2057" t="str">
            <v>O</v>
          </cell>
          <cell r="D2057" t="str">
            <v>OB</v>
          </cell>
          <cell r="E2057" t="str">
            <v>03</v>
          </cell>
        </row>
        <row r="2058">
          <cell r="A2058" t="str">
            <v>AYUDANTE DE COSTURA</v>
          </cell>
          <cell r="B2058" t="str">
            <v>7103</v>
          </cell>
          <cell r="C2058" t="str">
            <v>O</v>
          </cell>
          <cell r="D2058" t="str">
            <v>OB</v>
          </cell>
          <cell r="E2058" t="str">
            <v>01</v>
          </cell>
        </row>
        <row r="2059">
          <cell r="A2059" t="str">
            <v>AYUDANTE DE INSTALADOR DE ANTENA</v>
          </cell>
          <cell r="B2059" t="str">
            <v>5154</v>
          </cell>
          <cell r="C2059" t="str">
            <v>O</v>
          </cell>
          <cell r="D2059" t="str">
            <v>OB</v>
          </cell>
          <cell r="E2059" t="str">
            <v>03</v>
          </cell>
        </row>
        <row r="2060">
          <cell r="A2060" t="str">
            <v>AYUDANTE DE LABORATORIO GEONALITICO</v>
          </cell>
          <cell r="B2060" t="str">
            <v>5150</v>
          </cell>
          <cell r="C2060" t="str">
            <v>O</v>
          </cell>
          <cell r="D2060" t="str">
            <v>OB</v>
          </cell>
          <cell r="E2060" t="str">
            <v>03</v>
          </cell>
        </row>
        <row r="2061">
          <cell r="A2061" t="str">
            <v>AYUDANTE DE MAQUINARIA</v>
          </cell>
          <cell r="B2061" t="str">
            <v>5125</v>
          </cell>
          <cell r="C2061" t="str">
            <v>O</v>
          </cell>
          <cell r="D2061" t="str">
            <v>OB</v>
          </cell>
          <cell r="E2061" t="str">
            <v>02</v>
          </cell>
        </row>
        <row r="2062">
          <cell r="A2062" t="str">
            <v>AYUDANTE DE MECANICO</v>
          </cell>
          <cell r="B2062" t="str">
            <v>5126</v>
          </cell>
          <cell r="C2062" t="str">
            <v>O</v>
          </cell>
          <cell r="D2062" t="str">
            <v>OB</v>
          </cell>
          <cell r="E2062" t="str">
            <v>02</v>
          </cell>
        </row>
        <row r="2063">
          <cell r="A2063" t="str">
            <v>AYUDANTE DE OPERACIONES FERROVIARIAS</v>
          </cell>
          <cell r="B2063" t="str">
            <v>7178</v>
          </cell>
          <cell r="C2063" t="str">
            <v>O</v>
          </cell>
          <cell r="D2063" t="str">
            <v>OB</v>
          </cell>
          <cell r="E2063" t="str">
            <v>04</v>
          </cell>
        </row>
        <row r="2064">
          <cell r="A2064" t="str">
            <v>AYUDANTE DE PANADEROS Y PASTELERO</v>
          </cell>
          <cell r="B2064" t="str">
            <v>2126</v>
          </cell>
          <cell r="C2064" t="str">
            <v>O</v>
          </cell>
          <cell r="D2064" t="str">
            <v>OB</v>
          </cell>
          <cell r="E2064" t="str">
            <v>02</v>
          </cell>
        </row>
        <row r="2065">
          <cell r="A2065" t="str">
            <v>AYUDANTE DE SERV. DE PUERTO Y AEROPUERTO</v>
          </cell>
          <cell r="B2065" t="str">
            <v>3129</v>
          </cell>
          <cell r="C2065" t="str">
            <v>O</v>
          </cell>
          <cell r="D2065" t="str">
            <v>OB</v>
          </cell>
          <cell r="E2065" t="str">
            <v>02</v>
          </cell>
        </row>
        <row r="2066">
          <cell r="A2066" t="str">
            <v>AYUDANTE DE SERVICIOS DE COCINA</v>
          </cell>
          <cell r="B2066" t="str">
            <v>2127</v>
          </cell>
          <cell r="C2066" t="str">
            <v>O</v>
          </cell>
          <cell r="D2066" t="str">
            <v>OB</v>
          </cell>
          <cell r="E2066" t="str">
            <v>02</v>
          </cell>
        </row>
        <row r="2067">
          <cell r="A2067" t="str">
            <v>AYUDANTE DE SERVICIOS GENERALES</v>
          </cell>
          <cell r="B2067" t="str">
            <v>7152</v>
          </cell>
          <cell r="C2067" t="str">
            <v>O</v>
          </cell>
          <cell r="D2067" t="str">
            <v>OB</v>
          </cell>
          <cell r="E2067" t="str">
            <v>03</v>
          </cell>
        </row>
        <row r="2068">
          <cell r="A2068" t="str">
            <v>AYUDANTE DE TOPOGRAFIA</v>
          </cell>
          <cell r="B2068" t="str">
            <v>7226</v>
          </cell>
          <cell r="C2068" t="str">
            <v>O</v>
          </cell>
          <cell r="D2068" t="str">
            <v>OB</v>
          </cell>
          <cell r="E2068" t="str">
            <v>06</v>
          </cell>
        </row>
        <row r="2069">
          <cell r="A2069" t="str">
            <v>AYUDANTE INSPECTOR</v>
          </cell>
          <cell r="B2069" t="str">
            <v>8521</v>
          </cell>
          <cell r="C2069" t="str">
            <v>O</v>
          </cell>
          <cell r="D2069" t="str">
            <v>OB</v>
          </cell>
          <cell r="E2069" t="str">
            <v>07</v>
          </cell>
        </row>
        <row r="2070">
          <cell r="A2070" t="str">
            <v>AYUDANTE MANTENIMIENTO DE VIAS TERRESTRE</v>
          </cell>
          <cell r="B2070" t="str">
            <v>5152</v>
          </cell>
          <cell r="C2070" t="str">
            <v>O</v>
          </cell>
          <cell r="D2070" t="str">
            <v>OB</v>
          </cell>
          <cell r="E2070" t="str">
            <v>03</v>
          </cell>
        </row>
        <row r="2071">
          <cell r="A2071" t="str">
            <v>AYUDANTE MANTENIMIENTO VIAS FERROVIARIAS</v>
          </cell>
          <cell r="B2071" t="str">
            <v>5151</v>
          </cell>
          <cell r="C2071" t="str">
            <v>O</v>
          </cell>
          <cell r="D2071" t="str">
            <v>OB</v>
          </cell>
          <cell r="E2071" t="str">
            <v>03</v>
          </cell>
        </row>
        <row r="2072">
          <cell r="A2072" t="str">
            <v>AYUDANTE POSTAL TELEGRAFICO</v>
          </cell>
          <cell r="B2072" t="str">
            <v>7126</v>
          </cell>
          <cell r="C2072" t="str">
            <v>O</v>
          </cell>
          <cell r="D2072" t="str">
            <v>OB</v>
          </cell>
          <cell r="E2072" t="str">
            <v>02</v>
          </cell>
        </row>
        <row r="2073">
          <cell r="A2073" t="str">
            <v>BARBERO</v>
          </cell>
          <cell r="B2073" t="str">
            <v>3150</v>
          </cell>
          <cell r="C2073" t="str">
            <v>O</v>
          </cell>
          <cell r="D2073" t="str">
            <v>OB</v>
          </cell>
          <cell r="E2073" t="str">
            <v>03</v>
          </cell>
        </row>
        <row r="2074">
          <cell r="A2074" t="str">
            <v>BARMAN</v>
          </cell>
          <cell r="B2074" t="str">
            <v>2201</v>
          </cell>
          <cell r="C2074" t="str">
            <v>O</v>
          </cell>
          <cell r="D2074" t="str">
            <v>OB</v>
          </cell>
          <cell r="E2074" t="str">
            <v>05</v>
          </cell>
        </row>
        <row r="2075">
          <cell r="A2075" t="str">
            <v>BOTONES</v>
          </cell>
          <cell r="B2075" t="str">
            <v>3126</v>
          </cell>
          <cell r="C2075" t="str">
            <v>O</v>
          </cell>
          <cell r="D2075" t="str">
            <v>OB</v>
          </cell>
          <cell r="E2075" t="str">
            <v>02</v>
          </cell>
        </row>
        <row r="2076">
          <cell r="A2076" t="str">
            <v>BUZO</v>
          </cell>
          <cell r="B2076" t="str">
            <v>7250</v>
          </cell>
          <cell r="C2076" t="str">
            <v>O</v>
          </cell>
          <cell r="D2076" t="str">
            <v>OB</v>
          </cell>
          <cell r="E2076" t="str">
            <v>07</v>
          </cell>
        </row>
        <row r="2077">
          <cell r="A2077" t="str">
            <v>CAJISTA</v>
          </cell>
          <cell r="B2077" t="str">
            <v>4174</v>
          </cell>
          <cell r="C2077" t="str">
            <v>O</v>
          </cell>
          <cell r="D2077" t="str">
            <v>OB</v>
          </cell>
          <cell r="E2077" t="str">
            <v>04</v>
          </cell>
        </row>
        <row r="2078">
          <cell r="A2078" t="str">
            <v>CAMARERA</v>
          </cell>
          <cell r="B2078" t="str">
            <v>7104</v>
          </cell>
          <cell r="C2078" t="str">
            <v>O</v>
          </cell>
          <cell r="D2078" t="str">
            <v>OB</v>
          </cell>
          <cell r="E2078" t="str">
            <v>01</v>
          </cell>
        </row>
        <row r="2079">
          <cell r="A2079" t="str">
            <v>CAMILLERO</v>
          </cell>
          <cell r="B2079" t="str">
            <v>6174</v>
          </cell>
          <cell r="C2079" t="str">
            <v>O</v>
          </cell>
          <cell r="D2079" t="str">
            <v>OB</v>
          </cell>
          <cell r="E2079" t="str">
            <v>04</v>
          </cell>
        </row>
        <row r="2080">
          <cell r="A2080" t="str">
            <v>CAPITAN DE MESONEROS</v>
          </cell>
          <cell r="B2080" t="str">
            <v>3301</v>
          </cell>
          <cell r="C2080" t="str">
            <v>O</v>
          </cell>
          <cell r="D2080" t="str">
            <v>OB</v>
          </cell>
          <cell r="E2080" t="str">
            <v>09</v>
          </cell>
        </row>
        <row r="2081">
          <cell r="A2081" t="str">
            <v>CAPORAL DE EQUIPOS</v>
          </cell>
          <cell r="B2081" t="str">
            <v>8525</v>
          </cell>
          <cell r="C2081" t="str">
            <v>O</v>
          </cell>
          <cell r="D2081" t="str">
            <v>OB</v>
          </cell>
          <cell r="E2081" t="str">
            <v>07</v>
          </cell>
        </row>
        <row r="2082">
          <cell r="A2082" t="str">
            <v>CARNICERO</v>
          </cell>
          <cell r="B2082" t="str">
            <v>2150</v>
          </cell>
          <cell r="C2082" t="str">
            <v>O</v>
          </cell>
          <cell r="D2082" t="str">
            <v>OB</v>
          </cell>
          <cell r="E2082" t="str">
            <v>02</v>
          </cell>
        </row>
        <row r="2083">
          <cell r="A2083" t="str">
            <v>CARPINTERO</v>
          </cell>
          <cell r="B2083" t="str">
            <v>7227</v>
          </cell>
          <cell r="C2083" t="str">
            <v>O</v>
          </cell>
          <cell r="D2083" t="str">
            <v>OB</v>
          </cell>
          <cell r="E2083" t="str">
            <v>06</v>
          </cell>
        </row>
        <row r="2084">
          <cell r="A2084" t="str">
            <v>CERRAJERO</v>
          </cell>
          <cell r="B2084" t="str">
            <v>7127</v>
          </cell>
          <cell r="C2084" t="str">
            <v>O</v>
          </cell>
          <cell r="D2084" t="str">
            <v>OB</v>
          </cell>
          <cell r="E2084" t="str">
            <v>02</v>
          </cell>
        </row>
        <row r="2085">
          <cell r="A2085" t="str">
            <v>CHOFER</v>
          </cell>
          <cell r="B2085" t="str">
            <v>7174</v>
          </cell>
          <cell r="C2085" t="str">
            <v>O</v>
          </cell>
          <cell r="D2085" t="str">
            <v>OB</v>
          </cell>
          <cell r="E2085" t="str">
            <v>04</v>
          </cell>
        </row>
        <row r="2086">
          <cell r="A2086" t="str">
            <v>CHOFER DE CARGA</v>
          </cell>
          <cell r="B2086" t="str">
            <v>7231</v>
          </cell>
          <cell r="C2086" t="str">
            <v>O</v>
          </cell>
          <cell r="D2086" t="str">
            <v>OB</v>
          </cell>
          <cell r="E2086" t="str">
            <v>06</v>
          </cell>
        </row>
        <row r="2087">
          <cell r="A2087" t="str">
            <v>CHOFER DE CISTERNA</v>
          </cell>
          <cell r="B2087" t="str">
            <v>8530</v>
          </cell>
          <cell r="C2087" t="str">
            <v>O</v>
          </cell>
          <cell r="D2087" t="str">
            <v>OB</v>
          </cell>
          <cell r="E2087" t="str">
            <v>04</v>
          </cell>
        </row>
        <row r="2088">
          <cell r="A2088" t="str">
            <v>CHOFER DE TRANSPORTE</v>
          </cell>
          <cell r="B2088" t="str">
            <v>7206</v>
          </cell>
          <cell r="C2088" t="str">
            <v>O</v>
          </cell>
          <cell r="D2088" t="str">
            <v>OB</v>
          </cell>
          <cell r="E2088" t="str">
            <v>05</v>
          </cell>
        </row>
        <row r="2089">
          <cell r="A2089" t="str">
            <v>CLASIFICADOR DE FRUTOS</v>
          </cell>
          <cell r="B2089" t="str">
            <v>1150</v>
          </cell>
          <cell r="C2089" t="str">
            <v>O</v>
          </cell>
          <cell r="D2089" t="str">
            <v>OB</v>
          </cell>
          <cell r="E2089" t="str">
            <v>03</v>
          </cell>
        </row>
        <row r="2090">
          <cell r="A2090" t="str">
            <v>CLASIFICADOS POSTAL TELEGRAFICO</v>
          </cell>
          <cell r="B2090" t="str">
            <v>7207</v>
          </cell>
          <cell r="C2090" t="str">
            <v>O</v>
          </cell>
          <cell r="D2090" t="str">
            <v>OB</v>
          </cell>
          <cell r="E2090" t="str">
            <v>05</v>
          </cell>
        </row>
        <row r="2091">
          <cell r="A2091" t="str">
            <v>COCINERO</v>
          </cell>
          <cell r="B2091" t="str">
            <v>2129</v>
          </cell>
          <cell r="C2091" t="str">
            <v>O</v>
          </cell>
          <cell r="D2091" t="str">
            <v>OB</v>
          </cell>
          <cell r="E2091" t="str">
            <v>02</v>
          </cell>
        </row>
        <row r="2092">
          <cell r="A2092" t="str">
            <v>CONSERJE</v>
          </cell>
          <cell r="B2092" t="str">
            <v>7159</v>
          </cell>
          <cell r="C2092" t="str">
            <v>O</v>
          </cell>
          <cell r="D2092" t="str">
            <v>OB</v>
          </cell>
          <cell r="E2092" t="str">
            <v>03</v>
          </cell>
        </row>
        <row r="2093">
          <cell r="A2093" t="str">
            <v>CONTRAMAESTRE</v>
          </cell>
          <cell r="B2093" t="str">
            <v>7301</v>
          </cell>
          <cell r="C2093" t="str">
            <v>O</v>
          </cell>
          <cell r="D2093" t="str">
            <v>OB</v>
          </cell>
          <cell r="E2093" t="str">
            <v>09</v>
          </cell>
        </row>
        <row r="2094">
          <cell r="A2094" t="str">
            <v>CONTROL ASIST, MEDICAS</v>
          </cell>
          <cell r="B2094" t="str">
            <v>8523</v>
          </cell>
          <cell r="C2094" t="str">
            <v>O</v>
          </cell>
          <cell r="D2094" t="str">
            <v>OB</v>
          </cell>
          <cell r="E2094" t="str">
            <v>08</v>
          </cell>
        </row>
        <row r="2095">
          <cell r="A2095" t="str">
            <v>COORDINADOR DE MAQUINARIA PESADA</v>
          </cell>
          <cell r="B2095" t="str">
            <v>7244</v>
          </cell>
          <cell r="C2095" t="str">
            <v>O</v>
          </cell>
          <cell r="D2095" t="str">
            <v>OB</v>
          </cell>
          <cell r="E2095" t="str">
            <v>03</v>
          </cell>
        </row>
        <row r="2096">
          <cell r="A2096" t="str">
            <v>COSTURERA</v>
          </cell>
          <cell r="B2096" t="str">
            <v>7204</v>
          </cell>
          <cell r="C2096" t="str">
            <v>O</v>
          </cell>
          <cell r="D2096" t="str">
            <v>OB</v>
          </cell>
          <cell r="E2096" t="str">
            <v>05</v>
          </cell>
        </row>
        <row r="2097">
          <cell r="A2097" t="str">
            <v>CUIDADOR DE ANIMALES</v>
          </cell>
          <cell r="B2097" t="str">
            <v>1174</v>
          </cell>
          <cell r="C2097" t="str">
            <v>O</v>
          </cell>
          <cell r="D2097" t="str">
            <v>OB</v>
          </cell>
          <cell r="E2097" t="str">
            <v>04</v>
          </cell>
        </row>
        <row r="2098">
          <cell r="A2098" t="str">
            <v>DEPOSITARIO</v>
          </cell>
          <cell r="B2098" t="str">
            <v>7135</v>
          </cell>
          <cell r="C2098" t="str">
            <v>O</v>
          </cell>
          <cell r="D2098" t="str">
            <v>OB</v>
          </cell>
          <cell r="E2098" t="str">
            <v>02</v>
          </cell>
        </row>
        <row r="2099">
          <cell r="A2099" t="str">
            <v>DESPACHADOR DE COMBUSTIBLE</v>
          </cell>
          <cell r="B2099" t="str">
            <v>5127</v>
          </cell>
          <cell r="C2099" t="str">
            <v>O</v>
          </cell>
          <cell r="D2099" t="str">
            <v>OB</v>
          </cell>
          <cell r="E2099" t="str">
            <v>02</v>
          </cell>
        </row>
        <row r="2100">
          <cell r="A2100" t="str">
            <v>DESPACHADOR DE MERCANCIA</v>
          </cell>
          <cell r="B2100" t="str">
            <v>3127</v>
          </cell>
          <cell r="C2100" t="str">
            <v>O</v>
          </cell>
          <cell r="D2100" t="str">
            <v>OB</v>
          </cell>
          <cell r="E2100" t="str">
            <v>02</v>
          </cell>
        </row>
        <row r="2101">
          <cell r="A2101" t="str">
            <v>DESPENSERO</v>
          </cell>
          <cell r="B2101" t="str">
            <v>2174</v>
          </cell>
          <cell r="C2101" t="str">
            <v>O</v>
          </cell>
          <cell r="D2101" t="str">
            <v>OB</v>
          </cell>
          <cell r="E2101" t="str">
            <v>04</v>
          </cell>
        </row>
        <row r="2102">
          <cell r="A2102" t="str">
            <v>ELECTRICISTA DE ALTA TENSION</v>
          </cell>
          <cell r="B2102" t="str">
            <v>7274</v>
          </cell>
          <cell r="C2102" t="str">
            <v>O</v>
          </cell>
          <cell r="D2102" t="str">
            <v>OB</v>
          </cell>
          <cell r="E2102" t="str">
            <v>08</v>
          </cell>
        </row>
        <row r="2103">
          <cell r="A2103" t="str">
            <v>ELECTROMECANICO</v>
          </cell>
          <cell r="B2103" t="str">
            <v>7275</v>
          </cell>
          <cell r="C2103" t="str">
            <v>O</v>
          </cell>
          <cell r="D2103" t="str">
            <v>OB</v>
          </cell>
          <cell r="E2103" t="str">
            <v>08</v>
          </cell>
        </row>
        <row r="2104">
          <cell r="A2104" t="str">
            <v>EMBALADOR</v>
          </cell>
          <cell r="B2104" t="str">
            <v>8522</v>
          </cell>
          <cell r="C2104" t="str">
            <v>O</v>
          </cell>
          <cell r="D2104" t="str">
            <v>OB</v>
          </cell>
          <cell r="E2104" t="str">
            <v>05</v>
          </cell>
        </row>
        <row r="2105">
          <cell r="A2105" t="str">
            <v>ESCOLTA</v>
          </cell>
          <cell r="B2105" t="str">
            <v>8250</v>
          </cell>
          <cell r="C2105" t="str">
            <v>O</v>
          </cell>
          <cell r="D2105" t="str">
            <v>OB</v>
          </cell>
          <cell r="E2105" t="str">
            <v>07</v>
          </cell>
        </row>
        <row r="2106">
          <cell r="A2106" t="str">
            <v>ESPESORISTA</v>
          </cell>
          <cell r="B2106" t="str">
            <v>8526</v>
          </cell>
          <cell r="C2106" t="str">
            <v>O</v>
          </cell>
          <cell r="D2106" t="str">
            <v>OB</v>
          </cell>
          <cell r="E2106" t="str">
            <v>05</v>
          </cell>
        </row>
        <row r="2107">
          <cell r="A2107" t="str">
            <v>FISCAL DE MATADERO</v>
          </cell>
          <cell r="B2107" t="str">
            <v>1175</v>
          </cell>
          <cell r="C2107" t="str">
            <v>O</v>
          </cell>
          <cell r="D2107" t="str">
            <v>OB</v>
          </cell>
          <cell r="E2107" t="str">
            <v>04</v>
          </cell>
        </row>
        <row r="2108">
          <cell r="A2108" t="str">
            <v>FISCAL I  (OBREROS)</v>
          </cell>
          <cell r="B2108" t="str">
            <v>7240</v>
          </cell>
          <cell r="C2108" t="str">
            <v>O</v>
          </cell>
          <cell r="D2108" t="str">
            <v>OB</v>
          </cell>
          <cell r="E2108" t="str">
            <v>02</v>
          </cell>
        </row>
        <row r="2109">
          <cell r="A2109" t="str">
            <v>FISCAL II (OBREROS)</v>
          </cell>
          <cell r="B2109" t="str">
            <v>7241</v>
          </cell>
          <cell r="C2109" t="str">
            <v>O</v>
          </cell>
          <cell r="D2109" t="str">
            <v>OB</v>
          </cell>
          <cell r="E2109" t="str">
            <v>04</v>
          </cell>
        </row>
        <row r="2110">
          <cell r="A2110" t="str">
            <v>FOTOGRABADOR PLANCHISTA</v>
          </cell>
          <cell r="B2110" t="str">
            <v>4225</v>
          </cell>
          <cell r="C2110" t="str">
            <v>O</v>
          </cell>
          <cell r="D2110" t="str">
            <v>OB</v>
          </cell>
          <cell r="E2110" t="str">
            <v>06</v>
          </cell>
        </row>
        <row r="2111">
          <cell r="A2111" t="str">
            <v>FUMIGADOR</v>
          </cell>
          <cell r="B2111" t="str">
            <v>6150</v>
          </cell>
          <cell r="C2111" t="str">
            <v>O</v>
          </cell>
          <cell r="D2111" t="str">
            <v>OB</v>
          </cell>
          <cell r="E2111" t="str">
            <v>03</v>
          </cell>
        </row>
        <row r="2112">
          <cell r="A2112" t="str">
            <v>GUARDA BARRERA</v>
          </cell>
          <cell r="B2112" t="str">
            <v>7105</v>
          </cell>
          <cell r="C2112" t="str">
            <v>O</v>
          </cell>
          <cell r="D2112" t="str">
            <v>OB</v>
          </cell>
          <cell r="E2112" t="str">
            <v>01</v>
          </cell>
        </row>
        <row r="2113">
          <cell r="A2113" t="str">
            <v>GUARDAPARQUES</v>
          </cell>
          <cell r="B2113" t="str">
            <v>8251</v>
          </cell>
          <cell r="C2113" t="str">
            <v>O</v>
          </cell>
          <cell r="D2113" t="str">
            <v>OB</v>
          </cell>
          <cell r="E2113" t="str">
            <v>07</v>
          </cell>
        </row>
        <row r="2114">
          <cell r="A2114" t="str">
            <v>GUARDAPARQUEZ</v>
          </cell>
          <cell r="B2114" t="str">
            <v>6251</v>
          </cell>
          <cell r="C2114" t="str">
            <v>O</v>
          </cell>
          <cell r="D2114" t="str">
            <v>OB</v>
          </cell>
          <cell r="E2114" t="str">
            <v>07</v>
          </cell>
        </row>
        <row r="2115">
          <cell r="A2115" t="str">
            <v>GUIA VACACIONISTA</v>
          </cell>
          <cell r="B2115" t="str">
            <v>3201</v>
          </cell>
          <cell r="C2115" t="str">
            <v>O</v>
          </cell>
          <cell r="D2115" t="str">
            <v>OB</v>
          </cell>
          <cell r="E2115" t="str">
            <v>05</v>
          </cell>
        </row>
        <row r="2116">
          <cell r="A2116" t="str">
            <v>GUILLOTINERO</v>
          </cell>
          <cell r="B2116" t="str">
            <v>4152</v>
          </cell>
          <cell r="C2116" t="str">
            <v>O</v>
          </cell>
          <cell r="D2116" t="str">
            <v>OB</v>
          </cell>
          <cell r="E2116" t="str">
            <v>03</v>
          </cell>
        </row>
        <row r="2117">
          <cell r="A2117" t="str">
            <v>HERRERO</v>
          </cell>
          <cell r="B2117" t="str">
            <v>7208</v>
          </cell>
          <cell r="C2117" t="str">
            <v>O</v>
          </cell>
          <cell r="D2117" t="str">
            <v>OB</v>
          </cell>
          <cell r="E2117" t="str">
            <v>05</v>
          </cell>
        </row>
        <row r="2118">
          <cell r="A2118" t="str">
            <v>INCINERADOR</v>
          </cell>
          <cell r="B2118" t="str">
            <v>8520</v>
          </cell>
          <cell r="C2118" t="str">
            <v>O</v>
          </cell>
          <cell r="D2118" t="str">
            <v>OB</v>
          </cell>
          <cell r="E2118" t="str">
            <v>07</v>
          </cell>
        </row>
        <row r="2119">
          <cell r="A2119" t="str">
            <v>INSPECTOR AUXILIAR DE OBRAS</v>
          </cell>
          <cell r="B2119" t="str">
            <v>8529</v>
          </cell>
          <cell r="C2119" t="str">
            <v>O</v>
          </cell>
          <cell r="D2119" t="str">
            <v>OB</v>
          </cell>
          <cell r="E2119" t="str">
            <v>07</v>
          </cell>
        </row>
        <row r="2120">
          <cell r="A2120" t="str">
            <v>INSPECTOR AUXILIAR DE OPERACIONES DE AREAS PUBLICAS</v>
          </cell>
          <cell r="B2120" t="str">
            <v>7221</v>
          </cell>
          <cell r="C2120" t="str">
            <v>O</v>
          </cell>
          <cell r="D2120" t="str">
            <v>OB</v>
          </cell>
          <cell r="E2120" t="str">
            <v>01</v>
          </cell>
        </row>
        <row r="2121">
          <cell r="A2121" t="str">
            <v>INSTALADOR DE ANTENA</v>
          </cell>
          <cell r="B2121" t="str">
            <v>5251</v>
          </cell>
          <cell r="C2121" t="str">
            <v>O</v>
          </cell>
          <cell r="D2121" t="str">
            <v>OB</v>
          </cell>
          <cell r="E2121" t="str">
            <v>07</v>
          </cell>
        </row>
        <row r="2122">
          <cell r="A2122" t="str">
            <v>JARDINERO</v>
          </cell>
          <cell r="B2122" t="str">
            <v>7153</v>
          </cell>
          <cell r="C2122" t="str">
            <v>O</v>
          </cell>
          <cell r="D2122" t="str">
            <v>OB</v>
          </cell>
          <cell r="E2122" t="str">
            <v>03</v>
          </cell>
        </row>
        <row r="2123">
          <cell r="A2123" t="str">
            <v>JEFE DE OBRERO</v>
          </cell>
          <cell r="B2123" t="str">
            <v>0911</v>
          </cell>
          <cell r="C2123" t="str">
            <v>O</v>
          </cell>
          <cell r="D2123" t="str">
            <v>DI</v>
          </cell>
          <cell r="E2123" t="str">
            <v>99</v>
          </cell>
        </row>
        <row r="2124">
          <cell r="A2124" t="str">
            <v>JEFE DE SERVICIO (SALUD)</v>
          </cell>
          <cell r="B2124" t="str">
            <v>7362</v>
          </cell>
          <cell r="C2124" t="str">
            <v>O</v>
          </cell>
          <cell r="D2124" t="str">
            <v>OB</v>
          </cell>
          <cell r="E2124" t="str">
            <v>06</v>
          </cell>
        </row>
        <row r="2125">
          <cell r="A2125" t="str">
            <v>LATONERO Y PINTOR</v>
          </cell>
          <cell r="B2125" t="str">
            <v>5174</v>
          </cell>
          <cell r="C2125" t="str">
            <v>O</v>
          </cell>
          <cell r="D2125" t="str">
            <v>OB</v>
          </cell>
          <cell r="E2125" t="str">
            <v>04</v>
          </cell>
        </row>
        <row r="2126">
          <cell r="A2126" t="str">
            <v>LAVADOR Y ENGRASADOR</v>
          </cell>
          <cell r="B2126" t="str">
            <v>5128</v>
          </cell>
          <cell r="C2126" t="str">
            <v>O</v>
          </cell>
          <cell r="D2126" t="str">
            <v>OB</v>
          </cell>
          <cell r="E2126" t="str">
            <v>02</v>
          </cell>
        </row>
        <row r="2127">
          <cell r="A2127" t="str">
            <v>LAVANDERO</v>
          </cell>
          <cell r="B2127" t="str">
            <v>7128</v>
          </cell>
          <cell r="C2127" t="str">
            <v>O</v>
          </cell>
          <cell r="D2127" t="str">
            <v>OB</v>
          </cell>
          <cell r="E2127" t="str">
            <v>02</v>
          </cell>
        </row>
        <row r="2128">
          <cell r="A2128" t="str">
            <v>LENCERO</v>
          </cell>
          <cell r="B2128" t="str">
            <v>7106</v>
          </cell>
          <cell r="C2128" t="str">
            <v>O</v>
          </cell>
          <cell r="D2128" t="str">
            <v>OB</v>
          </cell>
          <cell r="E2128" t="str">
            <v>01</v>
          </cell>
        </row>
        <row r="2129">
          <cell r="A2129" t="str">
            <v>LINOTIPISTA</v>
          </cell>
          <cell r="B2129" t="str">
            <v>4202</v>
          </cell>
          <cell r="C2129" t="str">
            <v>O</v>
          </cell>
          <cell r="D2129" t="str">
            <v>OB</v>
          </cell>
          <cell r="E2129" t="str">
            <v>05</v>
          </cell>
        </row>
        <row r="2130">
          <cell r="A2130" t="str">
            <v>MAITRE</v>
          </cell>
          <cell r="B2130" t="str">
            <v>3350</v>
          </cell>
          <cell r="C2130" t="str">
            <v>O</v>
          </cell>
          <cell r="D2130" t="str">
            <v>OB</v>
          </cell>
          <cell r="E2130" t="str">
            <v>10</v>
          </cell>
        </row>
        <row r="2131">
          <cell r="A2131" t="str">
            <v>MANIPULADOR DE FRUTOS</v>
          </cell>
          <cell r="B2131" t="str">
            <v>1125</v>
          </cell>
          <cell r="C2131" t="str">
            <v>O</v>
          </cell>
          <cell r="D2131" t="str">
            <v>OB</v>
          </cell>
          <cell r="E2131" t="str">
            <v>02</v>
          </cell>
        </row>
        <row r="2132">
          <cell r="A2132" t="str">
            <v>MAQUINISTA</v>
          </cell>
          <cell r="B2132" t="str">
            <v>5201</v>
          </cell>
          <cell r="C2132" t="str">
            <v>O</v>
          </cell>
          <cell r="D2132" t="str">
            <v>OB</v>
          </cell>
          <cell r="E2132" t="str">
            <v>05</v>
          </cell>
        </row>
        <row r="2133">
          <cell r="A2133" t="str">
            <v>MARINERO</v>
          </cell>
          <cell r="B2133" t="str">
            <v>7154</v>
          </cell>
          <cell r="C2133" t="str">
            <v>O</v>
          </cell>
          <cell r="D2133" t="str">
            <v>OB</v>
          </cell>
          <cell r="E2133" t="str">
            <v>03</v>
          </cell>
        </row>
        <row r="2134">
          <cell r="A2134" t="str">
            <v>MECANICO AUTOMOTRIZ</v>
          </cell>
          <cell r="B2134" t="str">
            <v>5225</v>
          </cell>
          <cell r="C2134" t="str">
            <v>O</v>
          </cell>
          <cell r="D2134" t="str">
            <v>OB</v>
          </cell>
          <cell r="E2134" t="str">
            <v>06</v>
          </cell>
        </row>
        <row r="2135">
          <cell r="A2135" t="str">
            <v>MECANICO DE AVIACION</v>
          </cell>
          <cell r="B2135" t="str">
            <v>5275</v>
          </cell>
          <cell r="C2135" t="str">
            <v>O</v>
          </cell>
          <cell r="D2135" t="str">
            <v>OB</v>
          </cell>
          <cell r="E2135" t="str">
            <v>08</v>
          </cell>
        </row>
        <row r="2136">
          <cell r="A2136" t="str">
            <v>MECANICO DE BOBLIWG</v>
          </cell>
          <cell r="B2136" t="str">
            <v>5175</v>
          </cell>
          <cell r="C2136" t="str">
            <v>O</v>
          </cell>
          <cell r="D2136" t="str">
            <v>OB</v>
          </cell>
          <cell r="E2136" t="str">
            <v>04</v>
          </cell>
        </row>
        <row r="2137">
          <cell r="A2137" t="str">
            <v>MECANICO DE BOGIS FERROVIARIO</v>
          </cell>
          <cell r="B2137" t="str">
            <v>5277</v>
          </cell>
          <cell r="C2137" t="str">
            <v>O</v>
          </cell>
          <cell r="D2137" t="str">
            <v>OB</v>
          </cell>
          <cell r="E2137" t="str">
            <v>08</v>
          </cell>
        </row>
        <row r="2138">
          <cell r="A2138" t="str">
            <v>MECANICO DE MOTO</v>
          </cell>
          <cell r="B2138" t="str">
            <v>5176</v>
          </cell>
          <cell r="C2138" t="str">
            <v>O</v>
          </cell>
          <cell r="D2138" t="str">
            <v>OB</v>
          </cell>
          <cell r="E2138" t="str">
            <v>04</v>
          </cell>
        </row>
        <row r="2139">
          <cell r="A2139" t="str">
            <v>MECANICO DE MOTORES DIESEL</v>
          </cell>
          <cell r="B2139" t="str">
            <v>5274</v>
          </cell>
          <cell r="C2139" t="str">
            <v>O</v>
          </cell>
          <cell r="D2139" t="str">
            <v>OB</v>
          </cell>
          <cell r="E2139" t="str">
            <v>08</v>
          </cell>
        </row>
        <row r="2140">
          <cell r="A2140" t="str">
            <v>MECANICO DE REFRIGERACION</v>
          </cell>
          <cell r="B2140" t="str">
            <v>5226</v>
          </cell>
          <cell r="C2140" t="str">
            <v>O</v>
          </cell>
          <cell r="D2140" t="str">
            <v>OB</v>
          </cell>
          <cell r="E2140" t="str">
            <v>06</v>
          </cell>
        </row>
        <row r="2141">
          <cell r="A2141" t="str">
            <v>MECANICO SISTEMA NEUMATICO FERROVIARIO</v>
          </cell>
          <cell r="B2141" t="str">
            <v>5276</v>
          </cell>
          <cell r="C2141" t="str">
            <v>O</v>
          </cell>
          <cell r="D2141" t="str">
            <v>OB</v>
          </cell>
          <cell r="E2141" t="str">
            <v>08</v>
          </cell>
        </row>
        <row r="2142">
          <cell r="A2142" t="str">
            <v>MENSAJERO</v>
          </cell>
          <cell r="B2142" t="str">
            <v>7129</v>
          </cell>
          <cell r="C2142" t="str">
            <v>O</v>
          </cell>
          <cell r="D2142" t="str">
            <v>OB</v>
          </cell>
          <cell r="E2142" t="str">
            <v>02</v>
          </cell>
        </row>
        <row r="2143">
          <cell r="A2143" t="str">
            <v>MENSAJERO MOTORIZADO</v>
          </cell>
          <cell r="B2143" t="str">
            <v>7155</v>
          </cell>
          <cell r="C2143" t="str">
            <v>O</v>
          </cell>
          <cell r="D2143" t="str">
            <v>OB</v>
          </cell>
          <cell r="E2143" t="str">
            <v>03</v>
          </cell>
        </row>
        <row r="2144">
          <cell r="A2144" t="str">
            <v>MESONERO</v>
          </cell>
          <cell r="B2144" t="str">
            <v>3175</v>
          </cell>
          <cell r="C2144" t="str">
            <v>O</v>
          </cell>
          <cell r="D2144" t="str">
            <v>OB</v>
          </cell>
          <cell r="E2144" t="str">
            <v>04</v>
          </cell>
        </row>
        <row r="2145">
          <cell r="A2145" t="str">
            <v>MODISTO</v>
          </cell>
          <cell r="B2145" t="str">
            <v>7251</v>
          </cell>
          <cell r="C2145" t="str">
            <v>O</v>
          </cell>
          <cell r="D2145" t="str">
            <v>OB</v>
          </cell>
          <cell r="E2145" t="str">
            <v>07</v>
          </cell>
        </row>
        <row r="2146">
          <cell r="A2146" t="str">
            <v>NIÑERA</v>
          </cell>
          <cell r="B2146" t="str">
            <v>3174</v>
          </cell>
          <cell r="C2146" t="str">
            <v>O</v>
          </cell>
          <cell r="D2146" t="str">
            <v>OB</v>
          </cell>
          <cell r="E2146" t="str">
            <v>04</v>
          </cell>
        </row>
        <row r="2147">
          <cell r="A2147" t="str">
            <v>OBRERO DE MANTENIMIENTO</v>
          </cell>
          <cell r="B2147" t="str">
            <v>8123</v>
          </cell>
          <cell r="C2147" t="str">
            <v>O</v>
          </cell>
          <cell r="D2147" t="str">
            <v>OB</v>
          </cell>
          <cell r="E2147" t="str">
            <v>05</v>
          </cell>
        </row>
        <row r="2148">
          <cell r="A2148" t="str">
            <v>OBRERO NO CLASIFICADO</v>
          </cell>
          <cell r="B2148" t="str">
            <v>2202</v>
          </cell>
          <cell r="C2148" t="str">
            <v>O</v>
          </cell>
          <cell r="D2148" t="str">
            <v>OP</v>
          </cell>
          <cell r="E2148" t="str">
            <v>01</v>
          </cell>
        </row>
        <row r="2149">
          <cell r="A2149" t="str">
            <v>OPERADOR DE CALDERA</v>
          </cell>
          <cell r="B2149" t="str">
            <v>7215</v>
          </cell>
          <cell r="C2149" t="str">
            <v>O</v>
          </cell>
          <cell r="D2149" t="str">
            <v>OB</v>
          </cell>
          <cell r="E2149" t="str">
            <v>05</v>
          </cell>
        </row>
        <row r="2150">
          <cell r="A2150" t="str">
            <v>OPERADOR DE MAQUINARIA PESADA</v>
          </cell>
          <cell r="B2150" t="str">
            <v>5229</v>
          </cell>
          <cell r="C2150" t="str">
            <v>O</v>
          </cell>
          <cell r="D2150" t="str">
            <v>OB</v>
          </cell>
          <cell r="E2150" t="str">
            <v>06</v>
          </cell>
        </row>
        <row r="2151">
          <cell r="A2151" t="str">
            <v>OPERADOR DE PRENSA DE IMPRESION</v>
          </cell>
          <cell r="B2151" t="str">
            <v>4250</v>
          </cell>
          <cell r="C2151" t="str">
            <v>O</v>
          </cell>
          <cell r="D2151" t="str">
            <v>OB</v>
          </cell>
          <cell r="E2151" t="str">
            <v>07</v>
          </cell>
        </row>
        <row r="2152">
          <cell r="A2152" t="str">
            <v>OPERADOR DE SALAS MOVILES</v>
          </cell>
          <cell r="B2152" t="str">
            <v>7211</v>
          </cell>
          <cell r="C2152" t="str">
            <v>O</v>
          </cell>
          <cell r="D2152" t="str">
            <v>OB</v>
          </cell>
          <cell r="E2152" t="str">
            <v>05</v>
          </cell>
        </row>
        <row r="2153">
          <cell r="A2153" t="str">
            <v>OPERADOR DE SONIDO</v>
          </cell>
          <cell r="B2153" t="str">
            <v>7160</v>
          </cell>
          <cell r="C2153" t="str">
            <v>O</v>
          </cell>
          <cell r="D2153" t="str">
            <v>OB</v>
          </cell>
          <cell r="E2153" t="str">
            <v>03</v>
          </cell>
        </row>
        <row r="2154">
          <cell r="A2154" t="str">
            <v>OPERADOR FERROVIARIO DE MANTENIMIENTO</v>
          </cell>
          <cell r="B2154" t="str">
            <v>7210</v>
          </cell>
          <cell r="C2154" t="str">
            <v>O</v>
          </cell>
          <cell r="D2154" t="str">
            <v>OB</v>
          </cell>
          <cell r="E2154" t="str">
            <v>05</v>
          </cell>
        </row>
        <row r="2155">
          <cell r="A2155" t="str">
            <v>OPERADOR MAQUINARIA DE VIA FERREA</v>
          </cell>
          <cell r="B2155" t="str">
            <v>5232</v>
          </cell>
          <cell r="C2155" t="str">
            <v>O</v>
          </cell>
          <cell r="D2155" t="str">
            <v>OB</v>
          </cell>
          <cell r="E2155" t="str">
            <v>06</v>
          </cell>
        </row>
        <row r="2156">
          <cell r="A2156" t="str">
            <v>OPERARIO COMPAGINACION Y ENCUADERNACION</v>
          </cell>
          <cell r="B2156" t="str">
            <v>4125</v>
          </cell>
          <cell r="C2156" t="str">
            <v>O</v>
          </cell>
          <cell r="D2156" t="str">
            <v>OB</v>
          </cell>
          <cell r="E2156" t="str">
            <v>02</v>
          </cell>
        </row>
        <row r="2157">
          <cell r="A2157" t="str">
            <v>OPERARIO DE ACUEDUCTO</v>
          </cell>
          <cell r="B2157" t="str">
            <v>5227</v>
          </cell>
          <cell r="C2157" t="str">
            <v>O</v>
          </cell>
          <cell r="D2157" t="str">
            <v>OB</v>
          </cell>
          <cell r="E2157" t="str">
            <v>06</v>
          </cell>
        </row>
        <row r="2158">
          <cell r="A2158" t="str">
            <v>OPERARIO DE EQUIPO DE TELECOMUNICACION</v>
          </cell>
          <cell r="B2158" t="str">
            <v>7209</v>
          </cell>
          <cell r="C2158" t="str">
            <v>O</v>
          </cell>
          <cell r="D2158" t="str">
            <v>OB</v>
          </cell>
          <cell r="E2158" t="str">
            <v>05</v>
          </cell>
        </row>
        <row r="2159">
          <cell r="A2159" t="str">
            <v>OPERARIO DE FARO</v>
          </cell>
          <cell r="B2159" t="str">
            <v>7130</v>
          </cell>
          <cell r="C2159" t="str">
            <v>O</v>
          </cell>
          <cell r="D2159" t="str">
            <v>OB</v>
          </cell>
          <cell r="E2159" t="str">
            <v>02</v>
          </cell>
        </row>
        <row r="2160">
          <cell r="A2160" t="str">
            <v>OPERARIO DE MAQUINA FOTOCOPIADORA</v>
          </cell>
          <cell r="B2160" t="str">
            <v>4151</v>
          </cell>
          <cell r="C2160" t="str">
            <v>O</v>
          </cell>
          <cell r="D2160" t="str">
            <v>OB</v>
          </cell>
          <cell r="E2160" t="str">
            <v>03</v>
          </cell>
        </row>
        <row r="2161">
          <cell r="A2161" t="str">
            <v>OPERARIO DE MAQUINA LIVIANA</v>
          </cell>
          <cell r="B2161" t="str">
            <v>5202</v>
          </cell>
          <cell r="C2161" t="str">
            <v>O</v>
          </cell>
          <cell r="D2161" t="str">
            <v>OB</v>
          </cell>
          <cell r="E2161" t="str">
            <v>05</v>
          </cell>
        </row>
        <row r="2162">
          <cell r="A2162" t="str">
            <v>OPERARIO DE PISCINA</v>
          </cell>
          <cell r="B2162" t="str">
            <v>5203</v>
          </cell>
          <cell r="C2162" t="str">
            <v>O</v>
          </cell>
          <cell r="D2162" t="str">
            <v>OB</v>
          </cell>
          <cell r="E2162" t="str">
            <v>05</v>
          </cell>
        </row>
        <row r="2163">
          <cell r="A2163" t="str">
            <v>OPERARIO DE PLANTA HIDROELECTRICA</v>
          </cell>
          <cell r="B2163" t="str">
            <v>5230</v>
          </cell>
          <cell r="C2163" t="str">
            <v>O</v>
          </cell>
          <cell r="D2163" t="str">
            <v>OB</v>
          </cell>
          <cell r="E2163" t="str">
            <v>06</v>
          </cell>
        </row>
        <row r="2164">
          <cell r="A2164" t="str">
            <v>OPERARIO MANTENIMIENTO VIAS TERRESTRES</v>
          </cell>
          <cell r="B2164" t="str">
            <v>5228</v>
          </cell>
          <cell r="C2164" t="str">
            <v>O</v>
          </cell>
          <cell r="D2164" t="str">
            <v>OB</v>
          </cell>
          <cell r="E2164" t="str">
            <v>06</v>
          </cell>
        </row>
        <row r="2165">
          <cell r="A2165" t="str">
            <v>OPERARIO MAQUINA PRODUCCION FARMACEUTICA</v>
          </cell>
          <cell r="B2165" t="str">
            <v>6175</v>
          </cell>
          <cell r="C2165" t="str">
            <v>O</v>
          </cell>
          <cell r="D2165" t="str">
            <v>OB</v>
          </cell>
          <cell r="E2165" t="str">
            <v>04</v>
          </cell>
        </row>
        <row r="2166">
          <cell r="A2166" t="str">
            <v>PAGADOR</v>
          </cell>
          <cell r="B2166" t="str">
            <v>7224</v>
          </cell>
          <cell r="C2166" t="str">
            <v>O</v>
          </cell>
          <cell r="D2166" t="str">
            <v>OB</v>
          </cell>
          <cell r="E2166" t="str">
            <v>03</v>
          </cell>
        </row>
        <row r="2167">
          <cell r="A2167" t="str">
            <v>PANADERO</v>
          </cell>
          <cell r="B2167" t="str">
            <v>2175</v>
          </cell>
          <cell r="C2167" t="str">
            <v>O</v>
          </cell>
          <cell r="D2167" t="str">
            <v>OB</v>
          </cell>
          <cell r="E2167" t="str">
            <v>04</v>
          </cell>
        </row>
        <row r="2168">
          <cell r="A2168" t="str">
            <v>PASTELERO</v>
          </cell>
          <cell r="B2168" t="str">
            <v>2203</v>
          </cell>
          <cell r="C2168" t="str">
            <v>O</v>
          </cell>
          <cell r="D2168" t="str">
            <v>OB</v>
          </cell>
          <cell r="E2168" t="str">
            <v>05</v>
          </cell>
        </row>
        <row r="2169">
          <cell r="A2169" t="str">
            <v>PESCADOR</v>
          </cell>
          <cell r="B2169" t="str">
            <v>1202</v>
          </cell>
          <cell r="C2169" t="str">
            <v>O</v>
          </cell>
          <cell r="D2169" t="str">
            <v>OB</v>
          </cell>
          <cell r="E2169" t="str">
            <v>05</v>
          </cell>
        </row>
        <row r="2170">
          <cell r="A2170" t="str">
            <v>PINTOR</v>
          </cell>
          <cell r="B2170" t="str">
            <v>7177</v>
          </cell>
          <cell r="C2170" t="str">
            <v>O</v>
          </cell>
          <cell r="D2170" t="str">
            <v>OB</v>
          </cell>
          <cell r="E2170" t="str">
            <v>04</v>
          </cell>
        </row>
        <row r="2171">
          <cell r="A2171" t="str">
            <v>PLANCHADOR</v>
          </cell>
          <cell r="B2171" t="str">
            <v>7131</v>
          </cell>
          <cell r="C2171" t="str">
            <v>O</v>
          </cell>
          <cell r="D2171" t="str">
            <v>OB</v>
          </cell>
          <cell r="E2171" t="str">
            <v>02</v>
          </cell>
        </row>
        <row r="2172">
          <cell r="A2172" t="str">
            <v>PLOMERO</v>
          </cell>
          <cell r="B2172" t="str">
            <v>7212</v>
          </cell>
          <cell r="C2172" t="str">
            <v>O</v>
          </cell>
          <cell r="D2172" t="str">
            <v>OB</v>
          </cell>
          <cell r="E2172" t="str">
            <v>05</v>
          </cell>
        </row>
        <row r="2173">
          <cell r="A2173" t="str">
            <v>PORTERO</v>
          </cell>
          <cell r="B2173" t="str">
            <v>3128</v>
          </cell>
          <cell r="C2173" t="str">
            <v>O</v>
          </cell>
          <cell r="D2173" t="str">
            <v>OB</v>
          </cell>
          <cell r="E2173" t="str">
            <v>02</v>
          </cell>
        </row>
        <row r="2174">
          <cell r="A2174" t="str">
            <v>PRACTICO FLUVIAL</v>
          </cell>
          <cell r="B2174" t="str">
            <v>7175</v>
          </cell>
          <cell r="C2174" t="str">
            <v>O</v>
          </cell>
          <cell r="D2174" t="str">
            <v>OB</v>
          </cell>
          <cell r="E2174" t="str">
            <v>04</v>
          </cell>
        </row>
        <row r="2175">
          <cell r="A2175" t="str">
            <v>RAPARADOR DE BICICLETA</v>
          </cell>
          <cell r="B2175" t="str">
            <v>5153</v>
          </cell>
          <cell r="C2175" t="str">
            <v>O</v>
          </cell>
          <cell r="D2175" t="str">
            <v>OB</v>
          </cell>
          <cell r="E2175" t="str">
            <v>03</v>
          </cell>
        </row>
        <row r="2176">
          <cell r="A2176" t="str">
            <v>RASTRILLERO</v>
          </cell>
          <cell r="B2176" t="str">
            <v>8527</v>
          </cell>
          <cell r="C2176" t="str">
            <v>O</v>
          </cell>
          <cell r="D2176" t="str">
            <v>OB</v>
          </cell>
          <cell r="E2176" t="str">
            <v>03</v>
          </cell>
        </row>
        <row r="2177">
          <cell r="A2177" t="str">
            <v>RECEPTOR INFORMADOR</v>
          </cell>
          <cell r="B2177" t="str">
            <v>3176</v>
          </cell>
          <cell r="C2177" t="str">
            <v>O</v>
          </cell>
          <cell r="D2177" t="str">
            <v>OB</v>
          </cell>
          <cell r="E2177" t="str">
            <v>04</v>
          </cell>
        </row>
        <row r="2178">
          <cell r="A2178" t="str">
            <v>REPARADOR DE MQUINA DE OFICINA</v>
          </cell>
          <cell r="B2178" t="str">
            <v>7157</v>
          </cell>
          <cell r="C2178" t="str">
            <v>O</v>
          </cell>
          <cell r="D2178" t="str">
            <v>OB</v>
          </cell>
          <cell r="E2178" t="str">
            <v>03</v>
          </cell>
        </row>
        <row r="2179">
          <cell r="A2179" t="str">
            <v>REPARADOR DE NEUMATICO</v>
          </cell>
          <cell r="B2179" t="str">
            <v>5129</v>
          </cell>
          <cell r="C2179" t="str">
            <v>O</v>
          </cell>
          <cell r="D2179" t="str">
            <v>OB</v>
          </cell>
          <cell r="E2179" t="str">
            <v>02</v>
          </cell>
        </row>
        <row r="2180">
          <cell r="A2180" t="str">
            <v>REPARADOR DE PARACAIDAS</v>
          </cell>
          <cell r="B2180" t="str">
            <v>5231</v>
          </cell>
          <cell r="C2180" t="str">
            <v>O</v>
          </cell>
          <cell r="D2180" t="str">
            <v>OB</v>
          </cell>
          <cell r="E2180" t="str">
            <v>06</v>
          </cell>
        </row>
        <row r="2181">
          <cell r="A2181" t="str">
            <v>REPARADOR DE RADIADOR</v>
          </cell>
          <cell r="B2181" t="str">
            <v>5130</v>
          </cell>
          <cell r="C2181" t="str">
            <v>O</v>
          </cell>
          <cell r="D2181" t="str">
            <v>OB</v>
          </cell>
          <cell r="E2181" t="str">
            <v>02</v>
          </cell>
        </row>
        <row r="2182">
          <cell r="A2182" t="str">
            <v>REPARTIDOR DE ALIMENTOS</v>
          </cell>
          <cell r="B2182" t="str">
            <v>2128</v>
          </cell>
          <cell r="C2182" t="str">
            <v>O</v>
          </cell>
          <cell r="D2182" t="str">
            <v>OB</v>
          </cell>
          <cell r="E2182" t="str">
            <v>02</v>
          </cell>
        </row>
        <row r="2183">
          <cell r="A2183" t="str">
            <v>REPARTIDOR POSTAL TELEGRAFICO</v>
          </cell>
          <cell r="B2183" t="str">
            <v>7176</v>
          </cell>
          <cell r="C2183" t="str">
            <v>O</v>
          </cell>
          <cell r="D2183" t="str">
            <v>OB</v>
          </cell>
          <cell r="E2183" t="str">
            <v>04</v>
          </cell>
        </row>
        <row r="2184">
          <cell r="A2184" t="str">
            <v>SALVAVIDAS</v>
          </cell>
          <cell r="B2184" t="str">
            <v>8225</v>
          </cell>
          <cell r="C2184" t="str">
            <v>O</v>
          </cell>
          <cell r="D2184" t="str">
            <v>OB</v>
          </cell>
          <cell r="E2184" t="str">
            <v>06</v>
          </cell>
        </row>
        <row r="2185">
          <cell r="A2185" t="str">
            <v>SOLDADOR</v>
          </cell>
          <cell r="B2185" t="str">
            <v>7229</v>
          </cell>
          <cell r="C2185" t="str">
            <v>O</v>
          </cell>
          <cell r="D2185" t="str">
            <v>OB</v>
          </cell>
          <cell r="E2185" t="str">
            <v>06</v>
          </cell>
        </row>
        <row r="2186">
          <cell r="A2186" t="str">
            <v>SUPERV. MANTENIMIENTO VIAS FERROVIARIA</v>
          </cell>
          <cell r="B2186" t="str">
            <v>5302</v>
          </cell>
          <cell r="C2186" t="str">
            <v>O</v>
          </cell>
          <cell r="D2186" t="str">
            <v>OB</v>
          </cell>
          <cell r="E2186" t="str">
            <v>09</v>
          </cell>
        </row>
        <row r="2187">
          <cell r="A2187" t="str">
            <v>SUPERVISOR ASISTENCIAL</v>
          </cell>
          <cell r="B2187" t="str">
            <v>7361</v>
          </cell>
          <cell r="C2187" t="str">
            <v>O</v>
          </cell>
          <cell r="D2187" t="str">
            <v>OB</v>
          </cell>
          <cell r="E2187" t="str">
            <v>08</v>
          </cell>
        </row>
        <row r="2188">
          <cell r="A2188" t="str">
            <v>SUPERVISOR DE ARMADOR DE PUENTES</v>
          </cell>
          <cell r="B2188" t="str">
            <v>5350</v>
          </cell>
          <cell r="C2188" t="str">
            <v>O</v>
          </cell>
          <cell r="D2188" t="str">
            <v>OB</v>
          </cell>
          <cell r="E2188" t="str">
            <v>10</v>
          </cell>
        </row>
        <row r="2189">
          <cell r="A2189" t="str">
            <v>SUPERVISOR DE ASCENSORISTAS</v>
          </cell>
          <cell r="B2189" t="str">
            <v>3809</v>
          </cell>
          <cell r="C2189" t="str">
            <v>O</v>
          </cell>
          <cell r="D2189" t="str">
            <v>OB</v>
          </cell>
          <cell r="E2189" t="str">
            <v>09</v>
          </cell>
        </row>
        <row r="2190">
          <cell r="A2190" t="str">
            <v>SUPERVISOR DE AUXILIAR DE VETERINARIA</v>
          </cell>
          <cell r="B2190" t="str">
            <v>1301</v>
          </cell>
          <cell r="C2190" t="str">
            <v>O</v>
          </cell>
          <cell r="D2190" t="str">
            <v>OB</v>
          </cell>
          <cell r="E2190" t="str">
            <v>09</v>
          </cell>
        </row>
        <row r="2191">
          <cell r="A2191" t="str">
            <v>SUPERVISOR DE CAMARERAS</v>
          </cell>
          <cell r="B2191" t="str">
            <v>7302</v>
          </cell>
          <cell r="C2191" t="str">
            <v>O</v>
          </cell>
          <cell r="D2191" t="str">
            <v>OB</v>
          </cell>
          <cell r="E2191" t="str">
            <v>09</v>
          </cell>
        </row>
        <row r="2192">
          <cell r="A2192" t="str">
            <v>SUPERVISOR DE CAMIONES CISTERNA</v>
          </cell>
          <cell r="B2192" t="str">
            <v>7243</v>
          </cell>
          <cell r="C2192" t="str">
            <v>O</v>
          </cell>
          <cell r="D2192" t="str">
            <v>OB</v>
          </cell>
          <cell r="E2192" t="str">
            <v>03</v>
          </cell>
        </row>
        <row r="2193">
          <cell r="A2193" t="str">
            <v>SUPERVISOR DE COCINA</v>
          </cell>
          <cell r="B2193" t="str">
            <v>2301</v>
          </cell>
          <cell r="C2193" t="str">
            <v>O</v>
          </cell>
          <cell r="D2193" t="str">
            <v>OB</v>
          </cell>
          <cell r="E2193" t="str">
            <v>09</v>
          </cell>
        </row>
        <row r="2194">
          <cell r="A2194" t="str">
            <v>SUPERVISOR DE FUMIGACION</v>
          </cell>
          <cell r="B2194" t="str">
            <v>6301</v>
          </cell>
          <cell r="C2194" t="str">
            <v>O</v>
          </cell>
          <cell r="D2194" t="str">
            <v>OB</v>
          </cell>
          <cell r="E2194" t="str">
            <v>09</v>
          </cell>
        </row>
        <row r="2195">
          <cell r="A2195" t="str">
            <v>SUPERVISOR DE MANTENIMIENTO DE AREAS PUBLICAS</v>
          </cell>
          <cell r="B2195" t="str">
            <v>7305</v>
          </cell>
          <cell r="C2195" t="str">
            <v>O</v>
          </cell>
          <cell r="D2195" t="str">
            <v>OB</v>
          </cell>
          <cell r="E2195" t="str">
            <v>09</v>
          </cell>
        </row>
        <row r="2196">
          <cell r="A2196" t="str">
            <v>SUPERVISOR DE MANTENIMIENTO I (OPE)</v>
          </cell>
          <cell r="B2196" t="str">
            <v>7242</v>
          </cell>
          <cell r="C2196" t="str">
            <v>O</v>
          </cell>
          <cell r="D2196" t="str">
            <v>OB</v>
          </cell>
          <cell r="E2196" t="str">
            <v>03</v>
          </cell>
        </row>
        <row r="2197">
          <cell r="A2197" t="str">
            <v>SUPERVISOR DE PLANTA HIDROELECTRICA</v>
          </cell>
          <cell r="B2197" t="str">
            <v>5301</v>
          </cell>
          <cell r="C2197" t="str">
            <v>O</v>
          </cell>
          <cell r="D2197" t="str">
            <v>OB</v>
          </cell>
          <cell r="E2197" t="str">
            <v>09</v>
          </cell>
        </row>
        <row r="2198">
          <cell r="A2198" t="str">
            <v>SUPERVISOR DE SEGURIDAD</v>
          </cell>
          <cell r="B2198" t="str">
            <v>8350</v>
          </cell>
          <cell r="C2198" t="str">
            <v>O</v>
          </cell>
          <cell r="D2198" t="str">
            <v>OB</v>
          </cell>
          <cell r="E2198" t="str">
            <v>10</v>
          </cell>
        </row>
        <row r="2199">
          <cell r="A2199" t="str">
            <v>SUPERVISOR DE SERVICIOS DE REPROD. E IMP</v>
          </cell>
          <cell r="B2199" t="str">
            <v>4350</v>
          </cell>
          <cell r="C2199" t="str">
            <v>O</v>
          </cell>
          <cell r="D2199" t="str">
            <v>OB</v>
          </cell>
          <cell r="E2199" t="str">
            <v>10</v>
          </cell>
        </row>
        <row r="2200">
          <cell r="A2200" t="str">
            <v>SUPERVISOR DE SERVICIOS ESPECIALIZADOS</v>
          </cell>
          <cell r="B2200" t="str">
            <v>7350</v>
          </cell>
          <cell r="C2200" t="str">
            <v>O</v>
          </cell>
          <cell r="D2200" t="str">
            <v>OB</v>
          </cell>
          <cell r="E2200" t="str">
            <v>10</v>
          </cell>
        </row>
        <row r="2201">
          <cell r="A2201" t="str">
            <v>SUPERVISOR DE SERVICIOS INTERNOS</v>
          </cell>
          <cell r="B2201" t="str">
            <v>7303</v>
          </cell>
          <cell r="C2201" t="str">
            <v>O</v>
          </cell>
          <cell r="D2201" t="str">
            <v>OB</v>
          </cell>
          <cell r="E2201" t="str">
            <v>09</v>
          </cell>
        </row>
        <row r="2202">
          <cell r="A2202" t="str">
            <v>SUPERVISOR DE VIGILANCIA</v>
          </cell>
          <cell r="B2202" t="str">
            <v>7360</v>
          </cell>
          <cell r="C2202" t="str">
            <v>O</v>
          </cell>
          <cell r="D2202" t="str">
            <v>OB</v>
          </cell>
          <cell r="E2202" t="str">
            <v>08</v>
          </cell>
        </row>
        <row r="2203">
          <cell r="A2203" t="str">
            <v>SUPERVISOR DE VIVEROS</v>
          </cell>
          <cell r="B2203" t="str">
            <v>1302</v>
          </cell>
          <cell r="C2203" t="str">
            <v>O</v>
          </cell>
          <cell r="D2203" t="str">
            <v>OB</v>
          </cell>
          <cell r="E2203" t="str">
            <v>09</v>
          </cell>
        </row>
        <row r="2204">
          <cell r="A2204" t="str">
            <v>SUPERVISOR DE ZONA (OPE)</v>
          </cell>
          <cell r="B2204" t="str">
            <v>7223</v>
          </cell>
          <cell r="C2204" t="str">
            <v>O</v>
          </cell>
          <cell r="D2204" t="str">
            <v>OB</v>
          </cell>
          <cell r="E2204" t="str">
            <v>08</v>
          </cell>
        </row>
        <row r="2205">
          <cell r="A2205" t="str">
            <v>SUPERVISOR EMPAQUE Y ENVASE PROD. FARM.</v>
          </cell>
          <cell r="B2205" t="str">
            <v>6302</v>
          </cell>
          <cell r="C2205" t="str">
            <v>O</v>
          </cell>
          <cell r="D2205" t="str">
            <v>OB</v>
          </cell>
          <cell r="E2205" t="str">
            <v>09</v>
          </cell>
        </row>
        <row r="2206">
          <cell r="A2206" t="str">
            <v>SUPERVISOR OPERACIONES FERROVIARIAS</v>
          </cell>
          <cell r="B2206" t="str">
            <v>7351</v>
          </cell>
          <cell r="C2206" t="str">
            <v>O</v>
          </cell>
          <cell r="D2206" t="str">
            <v>OB</v>
          </cell>
          <cell r="E2206" t="str">
            <v>10</v>
          </cell>
        </row>
        <row r="2207">
          <cell r="A2207" t="str">
            <v>TALABARTERO</v>
          </cell>
          <cell r="B2207" t="str">
            <v>7158</v>
          </cell>
          <cell r="C2207" t="str">
            <v>O</v>
          </cell>
          <cell r="D2207" t="str">
            <v>OB</v>
          </cell>
          <cell r="E2207" t="str">
            <v>03</v>
          </cell>
        </row>
        <row r="2208">
          <cell r="A2208" t="str">
            <v>TAPICERO</v>
          </cell>
          <cell r="B2208" t="str">
            <v>7213</v>
          </cell>
          <cell r="C2208" t="str">
            <v>O</v>
          </cell>
          <cell r="D2208" t="str">
            <v>OB</v>
          </cell>
          <cell r="E2208" t="str">
            <v>05</v>
          </cell>
        </row>
        <row r="2209">
          <cell r="A2209" t="str">
            <v>TAQUILLERO</v>
          </cell>
          <cell r="B2209" t="str">
            <v>3151</v>
          </cell>
          <cell r="C2209" t="str">
            <v>O</v>
          </cell>
          <cell r="D2209" t="str">
            <v>OB</v>
          </cell>
          <cell r="E2209" t="str">
            <v>03</v>
          </cell>
        </row>
        <row r="2210">
          <cell r="A2210" t="str">
            <v>TIMONEL DE EMBARCACION</v>
          </cell>
          <cell r="B2210" t="str">
            <v>7214</v>
          </cell>
          <cell r="C2210" t="str">
            <v>O</v>
          </cell>
          <cell r="D2210" t="str">
            <v>OB</v>
          </cell>
          <cell r="E2210" t="str">
            <v>05</v>
          </cell>
        </row>
        <row r="2211">
          <cell r="A2211" t="str">
            <v>TORNERO</v>
          </cell>
          <cell r="B2211" t="str">
            <v>7230</v>
          </cell>
          <cell r="C2211" t="str">
            <v>O</v>
          </cell>
          <cell r="D2211" t="str">
            <v>OB</v>
          </cell>
          <cell r="E2211" t="str">
            <v>06</v>
          </cell>
        </row>
        <row r="2212">
          <cell r="A2212" t="str">
            <v>VIGILANTE</v>
          </cell>
          <cell r="B2212" t="str">
            <v>8201</v>
          </cell>
          <cell r="C2212" t="str">
            <v>O</v>
          </cell>
          <cell r="D2212" t="str">
            <v>OB</v>
          </cell>
          <cell r="E2212" t="str">
            <v>05</v>
          </cell>
        </row>
        <row r="2213">
          <cell r="A2213" t="str">
            <v>ZAPATERO</v>
          </cell>
          <cell r="B2213" t="str">
            <v>7132</v>
          </cell>
          <cell r="C2213" t="str">
            <v>O</v>
          </cell>
          <cell r="D2213" t="str">
            <v>OB</v>
          </cell>
          <cell r="E2213" t="str">
            <v>02</v>
          </cell>
        </row>
      </sheetData>
      <sheetData sheetId="3">
        <row r="1">
          <cell r="A1" t="str">
            <v>GRADO</v>
          </cell>
          <cell r="B1" t="str">
            <v>MONTO</v>
          </cell>
        </row>
        <row r="2">
          <cell r="A2" t="str">
            <v>B1</v>
          </cell>
          <cell r="B2">
            <v>130</v>
          </cell>
        </row>
        <row r="3">
          <cell r="A3" t="str">
            <v>B2</v>
          </cell>
          <cell r="B3">
            <v>150</v>
          </cell>
        </row>
        <row r="4">
          <cell r="A4" t="str">
            <v>B3</v>
          </cell>
          <cell r="B4">
            <v>170</v>
          </cell>
        </row>
        <row r="5">
          <cell r="A5" t="str">
            <v>B3I</v>
          </cell>
          <cell r="B5">
            <v>172</v>
          </cell>
        </row>
        <row r="6">
          <cell r="A6" t="str">
            <v>B3II</v>
          </cell>
          <cell r="B6">
            <v>174</v>
          </cell>
        </row>
        <row r="7">
          <cell r="A7" t="str">
            <v>B3III</v>
          </cell>
          <cell r="B7">
            <v>176</v>
          </cell>
        </row>
        <row r="8">
          <cell r="A8" t="str">
            <v>B3IV</v>
          </cell>
          <cell r="B8">
            <v>177</v>
          </cell>
        </row>
        <row r="9">
          <cell r="A9" t="str">
            <v>T1</v>
          </cell>
          <cell r="B9">
            <v>192</v>
          </cell>
        </row>
        <row r="10">
          <cell r="A10" t="str">
            <v>T2</v>
          </cell>
          <cell r="B10">
            <v>219</v>
          </cell>
        </row>
        <row r="11">
          <cell r="A11" t="str">
            <v>T2I</v>
          </cell>
          <cell r="B11">
            <v>221</v>
          </cell>
        </row>
        <row r="12">
          <cell r="A12" t="str">
            <v>T2II</v>
          </cell>
          <cell r="B12">
            <v>223</v>
          </cell>
        </row>
        <row r="13">
          <cell r="A13" t="str">
            <v>T2III</v>
          </cell>
          <cell r="B13">
            <v>225</v>
          </cell>
        </row>
        <row r="14">
          <cell r="A14" t="str">
            <v>T2IV</v>
          </cell>
          <cell r="B14">
            <v>226</v>
          </cell>
        </row>
        <row r="15">
          <cell r="A15" t="str">
            <v>T2V</v>
          </cell>
          <cell r="B15">
            <v>228</v>
          </cell>
        </row>
        <row r="16">
          <cell r="A16" t="str">
            <v>P1</v>
          </cell>
          <cell r="B16">
            <v>246</v>
          </cell>
        </row>
        <row r="17">
          <cell r="A17" t="str">
            <v>P2</v>
          </cell>
          <cell r="B17">
            <v>277</v>
          </cell>
        </row>
        <row r="18">
          <cell r="A18" t="str">
            <v>P2I</v>
          </cell>
          <cell r="B18">
            <v>279</v>
          </cell>
        </row>
        <row r="19">
          <cell r="A19" t="str">
            <v>P2II</v>
          </cell>
          <cell r="B19">
            <v>281</v>
          </cell>
        </row>
        <row r="20">
          <cell r="A20" t="str">
            <v>P2III</v>
          </cell>
          <cell r="B20">
            <v>283</v>
          </cell>
        </row>
        <row r="21">
          <cell r="A21" t="str">
            <v>P2IV</v>
          </cell>
          <cell r="B21">
            <v>285</v>
          </cell>
        </row>
        <row r="22">
          <cell r="A22" t="str">
            <v>P2V</v>
          </cell>
          <cell r="B22">
            <v>287</v>
          </cell>
        </row>
        <row r="23">
          <cell r="A23" t="str">
            <v>P3</v>
          </cell>
          <cell r="B23">
            <v>305</v>
          </cell>
        </row>
        <row r="24">
          <cell r="A24" t="str">
            <v>P3I</v>
          </cell>
          <cell r="B24">
            <v>307</v>
          </cell>
        </row>
        <row r="25">
          <cell r="A25" t="str">
            <v>P3II</v>
          </cell>
          <cell r="B25">
            <v>308</v>
          </cell>
        </row>
        <row r="26">
          <cell r="A26" t="str">
            <v>P3III</v>
          </cell>
          <cell r="B26">
            <v>310</v>
          </cell>
        </row>
        <row r="27">
          <cell r="A27" t="str">
            <v>P3IV</v>
          </cell>
          <cell r="B27">
            <v>312</v>
          </cell>
        </row>
        <row r="28">
          <cell r="A28" t="str">
            <v>P3V</v>
          </cell>
          <cell r="B28">
            <v>314</v>
          </cell>
        </row>
        <row r="29">
          <cell r="A29" t="str">
            <v>P3VI</v>
          </cell>
          <cell r="B29">
            <v>316</v>
          </cell>
        </row>
        <row r="30">
          <cell r="A30" t="str">
            <v>99A</v>
          </cell>
          <cell r="B30">
            <v>348</v>
          </cell>
        </row>
        <row r="31">
          <cell r="A31" t="str">
            <v>99B</v>
          </cell>
          <cell r="B31">
            <v>363</v>
          </cell>
        </row>
        <row r="32">
          <cell r="A32" t="str">
            <v>99C</v>
          </cell>
          <cell r="B32">
            <v>363</v>
          </cell>
        </row>
        <row r="33">
          <cell r="A33" t="str">
            <v>99D</v>
          </cell>
          <cell r="B33">
            <v>376</v>
          </cell>
        </row>
        <row r="34">
          <cell r="A34" t="str">
            <v>99E</v>
          </cell>
          <cell r="B34">
            <v>409</v>
          </cell>
        </row>
        <row r="35">
          <cell r="A35" t="str">
            <v>99F</v>
          </cell>
          <cell r="B35">
            <v>409</v>
          </cell>
        </row>
        <row r="36">
          <cell r="A36" t="str">
            <v>99G</v>
          </cell>
          <cell r="B36">
            <v>409</v>
          </cell>
        </row>
      </sheetData>
      <sheetData sheetId="4">
        <row r="1">
          <cell r="A1" t="str">
            <v>TABULADOR DE OBREROS</v>
          </cell>
          <cell r="B1">
            <v>409</v>
          </cell>
        </row>
        <row r="2">
          <cell r="A2" t="str">
            <v>GRADO</v>
          </cell>
          <cell r="B2" t="str">
            <v>MONTO</v>
          </cell>
        </row>
        <row r="3">
          <cell r="A3">
            <v>1</v>
          </cell>
          <cell r="B3">
            <v>130</v>
          </cell>
        </row>
        <row r="4">
          <cell r="A4">
            <v>2</v>
          </cell>
          <cell r="B4">
            <v>142</v>
          </cell>
        </row>
        <row r="5">
          <cell r="A5">
            <v>3</v>
          </cell>
          <cell r="B5">
            <v>152</v>
          </cell>
        </row>
        <row r="6">
          <cell r="A6">
            <v>4</v>
          </cell>
          <cell r="B6">
            <v>161</v>
          </cell>
        </row>
        <row r="7">
          <cell r="A7">
            <v>5</v>
          </cell>
          <cell r="B7">
            <v>171</v>
          </cell>
        </row>
        <row r="8">
          <cell r="A8">
            <v>6</v>
          </cell>
          <cell r="B8">
            <v>181</v>
          </cell>
        </row>
        <row r="9">
          <cell r="A9">
            <v>7</v>
          </cell>
          <cell r="B9">
            <v>190</v>
          </cell>
        </row>
        <row r="10">
          <cell r="A10">
            <v>8</v>
          </cell>
          <cell r="B10">
            <v>200</v>
          </cell>
        </row>
        <row r="11">
          <cell r="A11">
            <v>9</v>
          </cell>
          <cell r="B11">
            <v>210</v>
          </cell>
        </row>
        <row r="12">
          <cell r="A12">
            <v>10</v>
          </cell>
          <cell r="B12">
            <v>219</v>
          </cell>
        </row>
        <row r="15">
          <cell r="A15">
            <v>219</v>
          </cell>
          <cell r="B15">
            <v>219</v>
          </cell>
        </row>
      </sheetData>
      <sheetData sheetId="5">
        <row r="1">
          <cell r="F1" t="str">
            <v>ANTIGÜEDAD</v>
          </cell>
          <cell r="G1">
            <v>219</v>
          </cell>
          <cell r="H1" t="str">
            <v>PROFESIONALIZACION</v>
          </cell>
          <cell r="I1">
            <v>219</v>
          </cell>
        </row>
        <row r="2">
          <cell r="F2" t="str">
            <v>AÑOS</v>
          </cell>
          <cell r="G2" t="str">
            <v>PORCENTAJE</v>
          </cell>
          <cell r="H2" t="str">
            <v>GRADO INSTRUCCIÓN</v>
          </cell>
          <cell r="I2" t="str">
            <v>PORCENTAJE</v>
          </cell>
          <cell r="L2">
            <v>2025</v>
          </cell>
          <cell r="M2">
            <v>3</v>
          </cell>
        </row>
        <row r="3">
          <cell r="F3">
            <v>0</v>
          </cell>
          <cell r="G3">
            <v>0</v>
          </cell>
          <cell r="H3" t="str">
            <v>BACHILLER</v>
          </cell>
          <cell r="I3">
            <v>0</v>
          </cell>
        </row>
        <row r="4">
          <cell r="C4">
            <v>130</v>
          </cell>
          <cell r="F4">
            <v>1</v>
          </cell>
          <cell r="G4">
            <v>0.01</v>
          </cell>
          <cell r="H4" t="str">
            <v>TSU</v>
          </cell>
          <cell r="I4">
            <v>0.2</v>
          </cell>
        </row>
        <row r="5">
          <cell r="F5">
            <v>2</v>
          </cell>
          <cell r="G5">
            <v>0.02</v>
          </cell>
          <cell r="H5" t="str">
            <v>UNIVERSITARIO</v>
          </cell>
          <cell r="I5">
            <v>0.25</v>
          </cell>
        </row>
        <row r="6">
          <cell r="F6">
            <v>3</v>
          </cell>
          <cell r="G6">
            <v>0.03</v>
          </cell>
          <cell r="H6" t="str">
            <v>ESPECIALISTA</v>
          </cell>
          <cell r="I6">
            <v>0.3</v>
          </cell>
        </row>
        <row r="7">
          <cell r="C7">
            <v>12.5</v>
          </cell>
          <cell r="F7">
            <v>4</v>
          </cell>
          <cell r="G7">
            <v>0.04</v>
          </cell>
          <cell r="H7" t="str">
            <v>MAESTRIA</v>
          </cell>
          <cell r="I7">
            <v>0.35</v>
          </cell>
        </row>
        <row r="8">
          <cell r="C8" t="str">
            <v>((SN*4/12)+SN)/30*180</v>
          </cell>
          <cell r="D8" t="str">
            <v>((SN*5/12)+SN)/30*180</v>
          </cell>
          <cell r="F8">
            <v>5</v>
          </cell>
          <cell r="G8">
            <v>0.05</v>
          </cell>
          <cell r="H8" t="str">
            <v>DOCTOR</v>
          </cell>
          <cell r="I8">
            <v>0.4</v>
          </cell>
        </row>
        <row r="9">
          <cell r="F9">
            <v>6</v>
          </cell>
          <cell r="G9">
            <v>6.2E-2</v>
          </cell>
          <cell r="H9">
            <v>6.1999976634979248E-2</v>
          </cell>
          <cell r="I9">
            <v>6.1999976634979248E-2</v>
          </cell>
        </row>
        <row r="10">
          <cell r="C10">
            <v>12.5</v>
          </cell>
          <cell r="F10">
            <v>7</v>
          </cell>
          <cell r="G10">
            <v>7.3999999999999996E-2</v>
          </cell>
          <cell r="H10">
            <v>7.3999941349029541E-2</v>
          </cell>
          <cell r="I10">
            <v>7.3999941349029541E-2</v>
          </cell>
        </row>
        <row r="11">
          <cell r="C11">
            <v>0.09</v>
          </cell>
          <cell r="F11">
            <v>8</v>
          </cell>
          <cell r="G11">
            <v>8.5999999999999993E-2</v>
          </cell>
          <cell r="H11">
            <v>8.5999965667724609E-2</v>
          </cell>
          <cell r="I11">
            <v>8.5999965667724609E-2</v>
          </cell>
        </row>
        <row r="12">
          <cell r="C12">
            <v>0.02</v>
          </cell>
          <cell r="F12">
            <v>9</v>
          </cell>
          <cell r="G12">
            <v>9.8000000000000004E-2</v>
          </cell>
          <cell r="H12">
            <v>9.7999989986419678E-2</v>
          </cell>
          <cell r="I12">
            <v>9.7999989986419678E-2</v>
          </cell>
        </row>
        <row r="13">
          <cell r="C13">
            <v>0.02</v>
          </cell>
          <cell r="F13">
            <v>10</v>
          </cell>
          <cell r="G13">
            <v>0.11</v>
          </cell>
          <cell r="H13">
            <v>0.10999995470046997</v>
          </cell>
          <cell r="I13">
            <v>0.10999995470046997</v>
          </cell>
        </row>
        <row r="14">
          <cell r="C14">
            <v>3000</v>
          </cell>
          <cell r="F14">
            <v>11</v>
          </cell>
          <cell r="G14">
            <v>0.124</v>
          </cell>
          <cell r="H14">
            <v>0.1239999532699585</v>
          </cell>
          <cell r="I14">
            <v>0.1239999532699585</v>
          </cell>
        </row>
        <row r="15">
          <cell r="C15">
            <v>0.1239999532699585</v>
          </cell>
          <cell r="F15">
            <v>12</v>
          </cell>
          <cell r="G15">
            <v>0.13800000000000001</v>
          </cell>
          <cell r="H15">
            <v>0.13799989223480225</v>
          </cell>
          <cell r="I15">
            <v>0.13799989223480225</v>
          </cell>
        </row>
        <row r="16">
          <cell r="C16">
            <v>12.5</v>
          </cell>
          <cell r="F16">
            <v>13</v>
          </cell>
          <cell r="G16">
            <v>0.152</v>
          </cell>
          <cell r="H16">
            <v>0.15199995040893555</v>
          </cell>
          <cell r="I16">
            <v>0.15199995040893555</v>
          </cell>
        </row>
        <row r="17">
          <cell r="F17">
            <v>14</v>
          </cell>
          <cell r="G17">
            <v>0.16600000000000001</v>
          </cell>
          <cell r="H17">
            <v>0.1659998893737793</v>
          </cell>
          <cell r="I17">
            <v>0.1659998893737793</v>
          </cell>
        </row>
        <row r="18">
          <cell r="C18">
            <v>12.5</v>
          </cell>
          <cell r="F18">
            <v>15</v>
          </cell>
          <cell r="G18">
            <v>0.18</v>
          </cell>
          <cell r="H18">
            <v>0.1799999475479126</v>
          </cell>
          <cell r="I18">
            <v>0.1799999475479126</v>
          </cell>
        </row>
        <row r="19">
          <cell r="C19">
            <v>12.5</v>
          </cell>
          <cell r="F19">
            <v>16</v>
          </cell>
          <cell r="G19">
            <v>0.19600000000000001</v>
          </cell>
          <cell r="H19">
            <v>0.19599997997283936</v>
          </cell>
          <cell r="I19">
            <v>0.19599997997283936</v>
          </cell>
        </row>
        <row r="20">
          <cell r="F20">
            <v>17</v>
          </cell>
          <cell r="G20">
            <v>0.21199999999999999</v>
          </cell>
          <cell r="H20">
            <v>0.21199989318847656</v>
          </cell>
          <cell r="I20">
            <v>0.21199989318847656</v>
          </cell>
        </row>
        <row r="21">
          <cell r="F21">
            <v>18</v>
          </cell>
          <cell r="G21">
            <v>0.22800000000000001</v>
          </cell>
          <cell r="H21">
            <v>0.22799992561340332</v>
          </cell>
          <cell r="I21">
            <v>0.22799992561340332</v>
          </cell>
        </row>
        <row r="22">
          <cell r="F22">
            <v>19</v>
          </cell>
          <cell r="G22">
            <v>0.24399999999999999</v>
          </cell>
          <cell r="H22">
            <v>0.24399995803833008</v>
          </cell>
          <cell r="I22">
            <v>0.24399995803833008</v>
          </cell>
        </row>
        <row r="23">
          <cell r="C23">
            <v>12.5</v>
          </cell>
          <cell r="F23">
            <v>20</v>
          </cell>
          <cell r="G23">
            <v>0.26</v>
          </cell>
          <cell r="H23">
            <v>0.25999999046325684</v>
          </cell>
          <cell r="I23">
            <v>0.25999999046325684</v>
          </cell>
        </row>
        <row r="24">
          <cell r="F24">
            <v>21</v>
          </cell>
          <cell r="G24">
            <v>0.27800000000000002</v>
          </cell>
          <cell r="H24">
            <v>0.2779998779296875</v>
          </cell>
          <cell r="I24">
            <v>0.2779998779296875</v>
          </cell>
        </row>
        <row r="25">
          <cell r="F25">
            <v>22</v>
          </cell>
          <cell r="G25">
            <v>0.29599999999999999</v>
          </cell>
          <cell r="H25">
            <v>0.29599976539611816</v>
          </cell>
          <cell r="I25">
            <v>0.29599976539611816</v>
          </cell>
        </row>
        <row r="26">
          <cell r="F26">
            <v>23</v>
          </cell>
          <cell r="G26">
            <v>0.3</v>
          </cell>
          <cell r="H26">
            <v>0.29999995231628418</v>
          </cell>
          <cell r="I26">
            <v>0.29999995231628418</v>
          </cell>
        </row>
        <row r="27">
          <cell r="C27">
            <v>180</v>
          </cell>
          <cell r="F27">
            <v>24</v>
          </cell>
          <cell r="G27">
            <v>0.3</v>
          </cell>
          <cell r="H27">
            <v>0.29999995231628418</v>
          </cell>
          <cell r="I27">
            <v>0.29999995231628418</v>
          </cell>
        </row>
        <row r="28">
          <cell r="C28">
            <v>150</v>
          </cell>
          <cell r="F28">
            <v>25</v>
          </cell>
          <cell r="G28">
            <v>0.3</v>
          </cell>
          <cell r="H28">
            <v>0.29999995231628418</v>
          </cell>
          <cell r="I28">
            <v>0.29999995231628418</v>
          </cell>
        </row>
        <row r="29">
          <cell r="C29">
            <v>0.29999995231628418</v>
          </cell>
          <cell r="F29">
            <v>26</v>
          </cell>
          <cell r="G29">
            <v>0.3</v>
          </cell>
          <cell r="H29">
            <v>0.29999995231628418</v>
          </cell>
          <cell r="I29">
            <v>0.29999995231628418</v>
          </cell>
        </row>
        <row r="30">
          <cell r="C30">
            <v>0</v>
          </cell>
          <cell r="F30">
            <v>27</v>
          </cell>
          <cell r="G30">
            <v>0.3</v>
          </cell>
          <cell r="H30">
            <v>0.29999995231628418</v>
          </cell>
          <cell r="I30">
            <v>0.29999995231628418</v>
          </cell>
        </row>
        <row r="31">
          <cell r="F31">
            <v>28</v>
          </cell>
          <cell r="G31">
            <v>0.3</v>
          </cell>
          <cell r="H31">
            <v>0.29999995231628418</v>
          </cell>
          <cell r="I31">
            <v>0.29999995231628418</v>
          </cell>
        </row>
        <row r="32">
          <cell r="C32">
            <v>12.5</v>
          </cell>
          <cell r="F32">
            <v>12.5</v>
          </cell>
          <cell r="G32">
            <v>12.5</v>
          </cell>
          <cell r="H32">
            <v>12.5</v>
          </cell>
          <cell r="I32">
            <v>12.5</v>
          </cell>
        </row>
        <row r="33">
          <cell r="F33">
            <v>12.5</v>
          </cell>
          <cell r="G33">
            <v>12.5</v>
          </cell>
          <cell r="H33">
            <v>12.5</v>
          </cell>
          <cell r="I33">
            <v>12.5</v>
          </cell>
        </row>
        <row r="34">
          <cell r="F34">
            <v>29</v>
          </cell>
          <cell r="G34">
            <v>0.3</v>
          </cell>
          <cell r="H34">
            <v>0.29999995231628418</v>
          </cell>
          <cell r="I34">
            <v>0.29999995231628418</v>
          </cell>
        </row>
        <row r="35">
          <cell r="F35">
            <v>30</v>
          </cell>
          <cell r="G35">
            <v>0.3</v>
          </cell>
          <cell r="H35">
            <v>0.29999995231628418</v>
          </cell>
          <cell r="I35">
            <v>0.29999995231628418</v>
          </cell>
        </row>
        <row r="36">
          <cell r="F36">
            <v>31</v>
          </cell>
          <cell r="G36">
            <v>0.3</v>
          </cell>
          <cell r="H36">
            <v>0.29999995231628418</v>
          </cell>
          <cell r="I36">
            <v>0.29999995231628418</v>
          </cell>
        </row>
        <row r="37">
          <cell r="F37">
            <v>32</v>
          </cell>
          <cell r="G37">
            <v>0.3</v>
          </cell>
          <cell r="H37">
            <v>0.29999995231628418</v>
          </cell>
          <cell r="I37">
            <v>0.29999995231628418</v>
          </cell>
        </row>
        <row r="38">
          <cell r="A38">
            <v>1</v>
          </cell>
          <cell r="B38" t="str">
            <v>ENERO</v>
          </cell>
          <cell r="C38">
            <v>1</v>
          </cell>
          <cell r="F38">
            <v>33</v>
          </cell>
          <cell r="G38">
            <v>0.3</v>
          </cell>
          <cell r="H38">
            <v>0.29999995231628418</v>
          </cell>
          <cell r="I38">
            <v>0.29999995231628418</v>
          </cell>
        </row>
        <row r="39">
          <cell r="A39">
            <v>2</v>
          </cell>
          <cell r="B39" t="str">
            <v>FEBRERO</v>
          </cell>
          <cell r="C39">
            <v>1</v>
          </cell>
          <cell r="F39">
            <v>34</v>
          </cell>
          <cell r="G39">
            <v>0.3</v>
          </cell>
          <cell r="H39">
            <v>0.29999995231628418</v>
          </cell>
          <cell r="I39">
            <v>0.29999995231628418</v>
          </cell>
        </row>
        <row r="40">
          <cell r="A40">
            <v>3</v>
          </cell>
          <cell r="B40" t="str">
            <v>MARZO</v>
          </cell>
          <cell r="C40">
            <v>1</v>
          </cell>
          <cell r="F40">
            <v>35</v>
          </cell>
          <cell r="G40">
            <v>0.3</v>
          </cell>
          <cell r="H40">
            <v>0.29999995231628418</v>
          </cell>
          <cell r="I40">
            <v>0.29999995231628418</v>
          </cell>
        </row>
        <row r="41">
          <cell r="A41">
            <v>4</v>
          </cell>
          <cell r="B41" t="str">
            <v>ABRIL</v>
          </cell>
          <cell r="C41">
            <v>2</v>
          </cell>
          <cell r="F41">
            <v>36</v>
          </cell>
          <cell r="G41">
            <v>0.3</v>
          </cell>
          <cell r="H41">
            <v>0.29999995231628418</v>
          </cell>
          <cell r="I41">
            <v>0.29999995231628418</v>
          </cell>
        </row>
        <row r="42">
          <cell r="A42">
            <v>5</v>
          </cell>
          <cell r="B42" t="str">
            <v>MAYO</v>
          </cell>
          <cell r="C42">
            <v>2</v>
          </cell>
          <cell r="F42">
            <v>37</v>
          </cell>
          <cell r="G42">
            <v>0.3</v>
          </cell>
        </row>
        <row r="43">
          <cell r="A43">
            <v>6</v>
          </cell>
          <cell r="B43" t="str">
            <v>JUNIO</v>
          </cell>
          <cell r="C43">
            <v>2</v>
          </cell>
          <cell r="F43">
            <v>38</v>
          </cell>
          <cell r="G43">
            <v>0.3</v>
          </cell>
        </row>
        <row r="44">
          <cell r="A44">
            <v>7</v>
          </cell>
          <cell r="B44" t="str">
            <v>JULIO</v>
          </cell>
          <cell r="C44">
            <v>3</v>
          </cell>
          <cell r="F44">
            <v>39</v>
          </cell>
          <cell r="G44">
            <v>0.3</v>
          </cell>
        </row>
        <row r="45">
          <cell r="A45">
            <v>8</v>
          </cell>
          <cell r="B45" t="str">
            <v>AGOSTO</v>
          </cell>
          <cell r="C45">
            <v>3</v>
          </cell>
          <cell r="F45">
            <v>40</v>
          </cell>
          <cell r="G45">
            <v>0.3</v>
          </cell>
        </row>
        <row r="46">
          <cell r="A46">
            <v>9</v>
          </cell>
          <cell r="B46" t="str">
            <v>SEPTIEMBRE</v>
          </cell>
          <cell r="C46">
            <v>3</v>
          </cell>
          <cell r="F46">
            <v>41</v>
          </cell>
          <cell r="G46">
            <v>0.3</v>
          </cell>
        </row>
        <row r="47">
          <cell r="A47">
            <v>10</v>
          </cell>
          <cell r="B47" t="str">
            <v>OCTUBRE</v>
          </cell>
          <cell r="C47">
            <v>4</v>
          </cell>
          <cell r="F47">
            <v>42</v>
          </cell>
          <cell r="G47">
            <v>0.3</v>
          </cell>
        </row>
        <row r="48">
          <cell r="A48">
            <v>11</v>
          </cell>
          <cell r="B48" t="str">
            <v>NOVIEMBRE</v>
          </cell>
          <cell r="C48">
            <v>4</v>
          </cell>
          <cell r="F48">
            <v>43</v>
          </cell>
          <cell r="G48">
            <v>0.3</v>
          </cell>
        </row>
        <row r="49">
          <cell r="A49">
            <v>12</v>
          </cell>
          <cell r="B49" t="str">
            <v>DICIEMBRE</v>
          </cell>
          <cell r="C49">
            <v>4</v>
          </cell>
          <cell r="F49">
            <v>44</v>
          </cell>
          <cell r="G49">
            <v>0.3</v>
          </cell>
        </row>
        <row r="50">
          <cell r="F50">
            <v>45</v>
          </cell>
          <cell r="G50">
            <v>0.3</v>
          </cell>
        </row>
        <row r="51">
          <cell r="F51">
            <v>46</v>
          </cell>
          <cell r="G51">
            <v>0.3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EMP"/>
      <sheetName val="RAC"/>
      <sheetName val="Hoja1"/>
      <sheetName val="CONCEPTOS Y PARAMETROS"/>
      <sheetName val="TAB OBR"/>
      <sheetName val="CARGOS"/>
      <sheetName val="CARGOS POA"/>
    </sheetNames>
    <sheetDataSet>
      <sheetData sheetId="0" refreshError="1"/>
      <sheetData sheetId="1" refreshError="1">
        <row r="38">
          <cell r="I38">
            <v>0</v>
          </cell>
          <cell r="J38">
            <v>0</v>
          </cell>
          <cell r="U38">
            <v>171</v>
          </cell>
          <cell r="AL38">
            <v>301</v>
          </cell>
        </row>
      </sheetData>
      <sheetData sheetId="2" refreshError="1"/>
      <sheetData sheetId="3" refreshError="1">
        <row r="1">
          <cell r="F1" t="str">
            <v>ANTIGÜEDAD</v>
          </cell>
        </row>
        <row r="8">
          <cell r="C8" t="str">
            <v>((SN*4/12)+SN)/30*180</v>
          </cell>
          <cell r="D8" t="str">
            <v>((SN*4/12)+SN)/30*180</v>
          </cell>
        </row>
        <row r="21">
          <cell r="C21">
            <v>12.5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DJ315"/>
  <sheetViews>
    <sheetView view="pageBreakPreview" topLeftCell="A2" zoomScale="30" zoomScaleNormal="60" zoomScaleSheetLayoutView="30" workbookViewId="0">
      <selection activeCell="T14" sqref="T14"/>
    </sheetView>
  </sheetViews>
  <sheetFormatPr baseColWidth="10" defaultRowHeight="12" x14ac:dyDescent="0.2"/>
  <cols>
    <col min="1" max="1" width="29.42578125" style="29" customWidth="1"/>
    <col min="2" max="2" width="13" style="3" customWidth="1"/>
    <col min="3" max="3" width="26.5703125" style="1" customWidth="1"/>
    <col min="4" max="4" width="73.140625" style="489" customWidth="1"/>
    <col min="5" max="5" width="19.140625" style="1" customWidth="1"/>
    <col min="6" max="6" width="35.28515625" style="133" customWidth="1"/>
    <col min="7" max="7" width="20.140625" style="133" customWidth="1"/>
    <col min="8" max="8" width="25.28515625" style="28" customWidth="1"/>
    <col min="9" max="9" width="9" style="29" customWidth="1"/>
    <col min="10" max="10" width="10.140625" style="29" customWidth="1"/>
    <col min="11" max="11" width="10.140625" style="96" customWidth="1"/>
    <col min="12" max="12" width="37.7109375" style="96" customWidth="1"/>
    <col min="13" max="13" width="32.85546875" style="96" customWidth="1"/>
    <col min="14" max="14" width="56.140625" style="1" customWidth="1"/>
    <col min="15" max="15" width="35.7109375" style="1" customWidth="1"/>
    <col min="16" max="16" width="14" style="1" customWidth="1"/>
    <col min="17" max="17" width="33.42578125" style="133" customWidth="1"/>
    <col min="18" max="18" width="24.42578125" style="133" hidden="1" customWidth="1"/>
    <col min="19" max="19" width="45.140625" style="3" customWidth="1"/>
    <col min="20" max="20" width="41.5703125" style="3" bestFit="1" customWidth="1"/>
    <col min="21" max="21" width="35.85546875" style="3" customWidth="1"/>
    <col min="22" max="22" width="37.28515625" style="3" customWidth="1"/>
    <col min="23" max="23" width="33.28515625" style="3" customWidth="1"/>
    <col min="24" max="24" width="25.85546875" style="1" customWidth="1"/>
    <col min="25" max="25" width="33.28515625" style="69" customWidth="1"/>
    <col min="26" max="26" width="34.85546875" style="69" customWidth="1"/>
    <col min="27" max="27" width="29.5703125" style="69" customWidth="1"/>
    <col min="28" max="28" width="30.140625" style="69" customWidth="1"/>
    <col min="29" max="29" width="29.28515625" style="69" customWidth="1"/>
    <col min="30" max="30" width="29.85546875" style="69" customWidth="1"/>
    <col min="31" max="31" width="31.5703125" style="69" customWidth="1"/>
    <col min="32" max="32" width="26.28515625" style="69" customWidth="1"/>
    <col min="33" max="33" width="27" style="132" customWidth="1"/>
    <col min="34" max="35" width="23.7109375" style="132" customWidth="1"/>
    <col min="36" max="36" width="23.28515625" style="132" customWidth="1"/>
    <col min="37" max="37" width="24.28515625" style="132" customWidth="1"/>
    <col min="38" max="38" width="29.42578125" style="132" customWidth="1"/>
    <col min="39" max="39" width="31.85546875" style="3" customWidth="1"/>
    <col min="40" max="40" width="23.140625" style="3" customWidth="1"/>
    <col min="41" max="41" width="36.85546875" style="69" customWidth="1"/>
    <col min="42" max="42" width="36.85546875" style="998" customWidth="1"/>
    <col min="43" max="44" width="36.85546875" style="69" customWidth="1"/>
    <col min="45" max="45" width="27.85546875" style="3" customWidth="1"/>
    <col min="46" max="46" width="35" style="471" customWidth="1"/>
    <col min="47" max="47" width="30.7109375" style="471" customWidth="1"/>
    <col min="48" max="48" width="41.5703125" style="69" hidden="1" customWidth="1"/>
    <col min="49" max="49" width="31.28515625" style="3" customWidth="1"/>
    <col min="50" max="50" width="27.140625" style="3" customWidth="1"/>
    <col min="51" max="51" width="26.7109375" style="3" customWidth="1"/>
    <col min="52" max="52" width="21.42578125" style="3" hidden="1" customWidth="1"/>
    <col min="53" max="53" width="30.5703125" style="3" customWidth="1"/>
    <col min="54" max="54" width="24" style="69" customWidth="1"/>
    <col min="55" max="56" width="21" style="69" customWidth="1"/>
    <col min="57" max="57" width="24.7109375" style="69" hidden="1" customWidth="1"/>
    <col min="58" max="58" width="32.7109375" style="69" customWidth="1"/>
    <col min="59" max="59" width="50.7109375" style="69" customWidth="1"/>
    <col min="60" max="60" width="59" style="69" customWidth="1"/>
    <col min="61" max="63" width="73.28515625" style="69" customWidth="1"/>
    <col min="64" max="64" width="85.28515625" style="69" customWidth="1"/>
    <col min="65" max="65" width="60.5703125" style="2" customWidth="1"/>
    <col min="66" max="66" width="67.42578125" style="2" customWidth="1"/>
    <col min="67" max="67" width="31.5703125" style="2" customWidth="1"/>
    <col min="68" max="68" width="22.85546875" style="2" customWidth="1"/>
    <col min="69" max="69" width="36" style="2" customWidth="1"/>
    <col min="70" max="70" width="36.85546875" style="2" customWidth="1"/>
    <col min="71" max="71" width="42.140625" style="313" customWidth="1"/>
    <col min="72" max="72" width="40" style="313" customWidth="1"/>
    <col min="73" max="73" width="28.42578125" style="911" customWidth="1"/>
    <col min="74" max="74" width="33.28515625" style="313" bestFit="1" customWidth="1"/>
    <col min="75" max="75" width="44.140625" style="313" bestFit="1" customWidth="1"/>
    <col min="76" max="76" width="29.85546875" style="313" customWidth="1"/>
    <col min="77" max="77" width="40.85546875" style="313" customWidth="1"/>
    <col min="78" max="78" width="37" style="313" customWidth="1"/>
    <col min="79" max="79" width="45.42578125" style="313" customWidth="1"/>
    <col min="80" max="80" width="41" style="313" customWidth="1"/>
    <col min="81" max="81" width="50.7109375" style="313" customWidth="1"/>
    <col min="82" max="82" width="41.7109375" style="2" hidden="1" customWidth="1"/>
    <col min="83" max="83" width="22.140625" style="2" customWidth="1"/>
    <col min="84" max="84" width="31" style="1" customWidth="1"/>
    <col min="85" max="87" width="13.5703125" style="2" customWidth="1"/>
    <col min="88" max="107" width="11.42578125" style="1"/>
    <col min="108" max="108" width="11.5703125" style="97" bestFit="1" customWidth="1"/>
    <col min="109" max="109" width="12.140625" style="1" bestFit="1" customWidth="1"/>
    <col min="110" max="110" width="11.42578125" style="1"/>
    <col min="111" max="111" width="11.5703125" style="97" bestFit="1" customWidth="1"/>
    <col min="112" max="112" width="11.5703125" style="133" bestFit="1" customWidth="1"/>
    <col min="113" max="113" width="6.28515625" style="1" customWidth="1"/>
    <col min="114" max="114" width="4.42578125" style="1" customWidth="1"/>
    <col min="115" max="16384" width="11.42578125" style="1"/>
  </cols>
  <sheetData>
    <row r="1" spans="1:114" s="149" customFormat="1" ht="22.5" hidden="1" customHeight="1" x14ac:dyDescent="0.3">
      <c r="A1" s="151" t="s">
        <v>4699</v>
      </c>
      <c r="B1" s="148"/>
      <c r="D1" s="482" t="str">
        <f>F9</f>
        <v>OCTUBRE</v>
      </c>
      <c r="F1" s="201"/>
      <c r="G1" s="147"/>
      <c r="H1" s="150"/>
      <c r="I1" s="147"/>
      <c r="J1" s="151"/>
      <c r="K1" s="147"/>
      <c r="L1" s="147"/>
      <c r="M1" s="147"/>
      <c r="Q1" s="147"/>
      <c r="R1" s="147"/>
      <c r="S1" s="148"/>
      <c r="T1" s="148"/>
      <c r="U1" s="148"/>
      <c r="V1" s="148"/>
      <c r="W1" s="148"/>
      <c r="Y1" s="152"/>
      <c r="Z1" s="152"/>
      <c r="AA1" s="152"/>
      <c r="AB1" s="152"/>
      <c r="AC1" s="152"/>
      <c r="AD1" s="152"/>
      <c r="AE1" s="152"/>
      <c r="AF1" s="152"/>
      <c r="AG1" s="153"/>
      <c r="AH1" s="153"/>
      <c r="AI1" s="153"/>
      <c r="AJ1" s="153"/>
      <c r="AK1" s="153"/>
      <c r="AL1" s="153"/>
      <c r="AM1" s="148"/>
      <c r="AN1" s="148"/>
      <c r="AO1" s="152"/>
      <c r="AP1" s="982"/>
      <c r="AQ1" s="152"/>
      <c r="AR1" s="152"/>
      <c r="AS1" s="148"/>
      <c r="AT1" s="476"/>
      <c r="AU1" s="476"/>
      <c r="AV1" s="152"/>
      <c r="AW1" s="148"/>
      <c r="AX1" s="148"/>
      <c r="AY1" s="148"/>
      <c r="AZ1" s="148"/>
      <c r="BA1" s="148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4"/>
      <c r="BN1" s="154"/>
      <c r="BO1" s="154"/>
      <c r="BP1" s="154"/>
      <c r="BQ1" s="154"/>
      <c r="BR1" s="154"/>
      <c r="BS1" s="313"/>
      <c r="BT1" s="313"/>
      <c r="BU1" s="911"/>
      <c r="BV1" s="313"/>
      <c r="BW1" s="313"/>
      <c r="BX1" s="313"/>
      <c r="BY1" s="313"/>
      <c r="BZ1" s="313"/>
      <c r="CA1" s="313"/>
      <c r="CB1" s="313"/>
      <c r="CC1" s="313"/>
      <c r="CD1" s="154"/>
      <c r="CE1" s="154"/>
      <c r="CG1" s="154"/>
      <c r="CH1" s="154"/>
      <c r="CI1" s="154"/>
      <c r="DD1" s="147"/>
      <c r="DG1" s="147"/>
      <c r="DH1" s="147"/>
    </row>
    <row r="2" spans="1:114" s="149" customFormat="1" x14ac:dyDescent="0.2">
      <c r="A2" s="147"/>
      <c r="B2" s="148"/>
      <c r="D2" s="483"/>
      <c r="F2" s="201"/>
      <c r="G2" s="147"/>
      <c r="H2" s="150"/>
      <c r="I2" s="147"/>
      <c r="J2" s="147"/>
      <c r="K2" s="147"/>
      <c r="L2" s="147"/>
      <c r="M2" s="147"/>
      <c r="Q2" s="147"/>
      <c r="R2" s="147"/>
      <c r="S2" s="148"/>
      <c r="T2" s="148"/>
      <c r="U2" s="148"/>
      <c r="V2" s="148"/>
      <c r="W2" s="148"/>
      <c r="Y2" s="152"/>
      <c r="Z2" s="152"/>
      <c r="AA2" s="152"/>
      <c r="AB2" s="152"/>
      <c r="AC2" s="152"/>
      <c r="AD2" s="152"/>
      <c r="AE2" s="152"/>
      <c r="AF2" s="152"/>
      <c r="AG2" s="153"/>
      <c r="AH2" s="153"/>
      <c r="AI2" s="153"/>
      <c r="AJ2" s="153"/>
      <c r="AK2" s="153"/>
      <c r="AL2" s="153"/>
      <c r="AM2" s="148"/>
      <c r="AN2" s="148"/>
      <c r="AO2" s="152"/>
      <c r="AP2" s="982"/>
      <c r="AQ2" s="152"/>
      <c r="AR2" s="152"/>
      <c r="AS2" s="148"/>
      <c r="AT2" s="476"/>
      <c r="AU2" s="476"/>
      <c r="AV2" s="152"/>
      <c r="AW2" s="148"/>
      <c r="AX2" s="148"/>
      <c r="AY2" s="148"/>
      <c r="AZ2" s="148"/>
      <c r="BA2" s="148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4"/>
      <c r="BN2" s="154"/>
      <c r="BO2" s="154"/>
      <c r="BP2" s="154"/>
      <c r="BQ2" s="154"/>
      <c r="BR2" s="154"/>
      <c r="BS2" s="313"/>
      <c r="BT2" s="313"/>
      <c r="BU2" s="911"/>
      <c r="BV2" s="313"/>
      <c r="BW2" s="313"/>
      <c r="BX2" s="313"/>
      <c r="BY2" s="313"/>
      <c r="BZ2" s="313"/>
      <c r="CA2" s="313"/>
      <c r="CB2" s="313"/>
      <c r="CC2" s="313"/>
      <c r="CD2" s="154"/>
      <c r="CE2" s="154"/>
      <c r="CG2" s="154"/>
      <c r="CH2" s="154"/>
      <c r="CI2" s="154"/>
      <c r="DD2" s="147"/>
      <c r="DG2" s="147"/>
      <c r="DH2" s="147"/>
    </row>
    <row r="3" spans="1:114" s="149" customFormat="1" x14ac:dyDescent="0.2">
      <c r="A3" s="147"/>
      <c r="B3" s="148"/>
      <c r="D3" s="483"/>
      <c r="F3" s="201"/>
      <c r="G3" s="147"/>
      <c r="H3" s="150"/>
      <c r="I3" s="147"/>
      <c r="J3" s="147"/>
      <c r="K3" s="147"/>
      <c r="L3" s="147"/>
      <c r="M3" s="147"/>
      <c r="Q3" s="147"/>
      <c r="R3" s="147"/>
      <c r="S3" s="148"/>
      <c r="T3" s="148"/>
      <c r="U3" s="148"/>
      <c r="V3" s="148"/>
      <c r="W3" s="148"/>
      <c r="Y3" s="152"/>
      <c r="Z3" s="152"/>
      <c r="AA3" s="152"/>
      <c r="AB3" s="152"/>
      <c r="AC3" s="152"/>
      <c r="AD3" s="152"/>
      <c r="AE3" s="152"/>
      <c r="AF3" s="152"/>
      <c r="AG3" s="153"/>
      <c r="AH3" s="153"/>
      <c r="AI3" s="153"/>
      <c r="AJ3" s="153"/>
      <c r="AK3" s="153"/>
      <c r="AL3" s="153"/>
      <c r="AM3" s="148"/>
      <c r="AN3" s="148"/>
      <c r="AO3" s="152"/>
      <c r="AP3" s="982"/>
      <c r="AQ3" s="152"/>
      <c r="AR3" s="152"/>
      <c r="AS3" s="148"/>
      <c r="AT3" s="476"/>
      <c r="AU3" s="476"/>
      <c r="AV3" s="152"/>
      <c r="AW3" s="148"/>
      <c r="AX3" s="148"/>
      <c r="AY3" s="148"/>
      <c r="AZ3" s="148"/>
      <c r="BA3" s="148"/>
      <c r="BB3" s="152"/>
      <c r="BC3" s="152"/>
      <c r="BD3" s="152"/>
      <c r="BE3" s="152"/>
      <c r="BF3" s="152"/>
      <c r="BG3" s="152"/>
      <c r="BH3" s="152"/>
      <c r="BI3" s="152"/>
      <c r="BJ3" s="152"/>
      <c r="BK3" s="152"/>
      <c r="BL3" s="152"/>
      <c r="BM3" s="154"/>
      <c r="BN3" s="154"/>
      <c r="BO3" s="154"/>
      <c r="BP3" s="154"/>
      <c r="BQ3" s="154"/>
      <c r="BR3" s="154"/>
      <c r="BS3" s="313"/>
      <c r="BT3" s="313"/>
      <c r="BU3" s="911"/>
      <c r="BV3" s="313"/>
      <c r="BW3" s="313"/>
      <c r="BX3" s="313"/>
      <c r="BY3" s="313"/>
      <c r="BZ3" s="313"/>
      <c r="CA3" s="313"/>
      <c r="CB3" s="313"/>
      <c r="CC3" s="313"/>
      <c r="CD3" s="154"/>
      <c r="CE3" s="154"/>
      <c r="CG3" s="154"/>
      <c r="CH3" s="154"/>
      <c r="CI3" s="154"/>
      <c r="DD3" s="147"/>
      <c r="DG3" s="147"/>
      <c r="DH3" s="147"/>
    </row>
    <row r="4" spans="1:114" s="149" customFormat="1" x14ac:dyDescent="0.2">
      <c r="A4" s="147"/>
      <c r="B4" s="148"/>
      <c r="D4" s="483"/>
      <c r="F4" s="201"/>
      <c r="G4" s="147"/>
      <c r="H4" s="150"/>
      <c r="I4" s="147"/>
      <c r="J4" s="147"/>
      <c r="K4" s="147"/>
      <c r="L4" s="147"/>
      <c r="M4" s="147"/>
      <c r="Q4" s="147"/>
      <c r="R4" s="147"/>
      <c r="S4" s="148"/>
      <c r="T4" s="148"/>
      <c r="U4" s="148"/>
      <c r="V4" s="148"/>
      <c r="W4" s="148"/>
      <c r="Y4" s="152"/>
      <c r="Z4" s="152"/>
      <c r="AA4" s="152"/>
      <c r="AB4" s="152"/>
      <c r="AC4" s="152"/>
      <c r="AD4" s="152"/>
      <c r="AE4" s="152"/>
      <c r="AF4" s="152"/>
      <c r="AG4" s="153"/>
      <c r="AH4" s="153"/>
      <c r="AI4" s="153"/>
      <c r="AJ4" s="153"/>
      <c r="AK4" s="153"/>
      <c r="AL4" s="153"/>
      <c r="AM4" s="148"/>
      <c r="AN4" s="148"/>
      <c r="AO4" s="152"/>
      <c r="AP4" s="982"/>
      <c r="AQ4" s="152"/>
      <c r="AR4" s="152"/>
      <c r="AS4" s="148"/>
      <c r="AT4" s="476"/>
      <c r="AU4" s="476"/>
      <c r="AV4" s="152"/>
      <c r="AW4" s="148"/>
      <c r="AX4" s="148"/>
      <c r="AY4" s="148"/>
      <c r="AZ4" s="148"/>
      <c r="BA4" s="148"/>
      <c r="BB4" s="152"/>
      <c r="BC4" s="152"/>
      <c r="BD4" s="152"/>
      <c r="BE4" s="152"/>
      <c r="BF4" s="152"/>
      <c r="BG4" s="152"/>
      <c r="BH4" s="152"/>
      <c r="BI4" s="152"/>
      <c r="BJ4" s="152"/>
      <c r="BK4" s="152"/>
      <c r="BL4" s="152"/>
      <c r="BM4" s="154"/>
      <c r="BN4" s="154"/>
      <c r="BO4" s="154"/>
      <c r="BP4" s="154"/>
      <c r="BQ4" s="154"/>
      <c r="BR4" s="154"/>
      <c r="BS4" s="313"/>
      <c r="BT4" s="313"/>
      <c r="BU4" s="911"/>
      <c r="BV4" s="313"/>
      <c r="BW4" s="313"/>
      <c r="BX4" s="313"/>
      <c r="BY4" s="313"/>
      <c r="BZ4" s="313"/>
      <c r="CA4" s="313"/>
      <c r="CB4" s="313"/>
      <c r="CC4" s="313"/>
      <c r="CD4" s="154"/>
      <c r="CE4" s="154"/>
      <c r="CG4" s="154"/>
      <c r="CH4" s="154"/>
      <c r="CI4" s="154"/>
      <c r="DD4" s="147"/>
      <c r="DG4" s="147"/>
      <c r="DH4" s="147"/>
    </row>
    <row r="5" spans="1:114" s="149" customFormat="1" x14ac:dyDescent="0.2">
      <c r="A5" s="147"/>
      <c r="B5" s="148"/>
      <c r="D5" s="483"/>
      <c r="F5" s="201"/>
      <c r="G5" s="147"/>
      <c r="H5" s="150"/>
      <c r="I5" s="147"/>
      <c r="J5" s="147"/>
      <c r="K5" s="147"/>
      <c r="L5" s="147"/>
      <c r="M5" s="147"/>
      <c r="Q5" s="147"/>
      <c r="R5" s="147"/>
      <c r="S5" s="148"/>
      <c r="T5" s="148"/>
      <c r="U5" s="148"/>
      <c r="V5" s="148"/>
      <c r="W5" s="148"/>
      <c r="Y5" s="152"/>
      <c r="Z5" s="152"/>
      <c r="AA5" s="152"/>
      <c r="AB5" s="152"/>
      <c r="AC5" s="152"/>
      <c r="AD5" s="152"/>
      <c r="AE5" s="152"/>
      <c r="AF5" s="152"/>
      <c r="AG5" s="153"/>
      <c r="AH5" s="153"/>
      <c r="AI5" s="153"/>
      <c r="AJ5" s="153"/>
      <c r="AK5" s="153"/>
      <c r="AL5" s="153"/>
      <c r="AM5" s="148"/>
      <c r="AN5" s="148"/>
      <c r="AO5" s="152"/>
      <c r="AP5" s="982"/>
      <c r="AQ5" s="152"/>
      <c r="AR5" s="152"/>
      <c r="AS5" s="148"/>
      <c r="AT5" s="476"/>
      <c r="AU5" s="476"/>
      <c r="AV5" s="152"/>
      <c r="AW5" s="148"/>
      <c r="AX5" s="148"/>
      <c r="AY5" s="148"/>
      <c r="AZ5" s="148"/>
      <c r="BA5" s="148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4"/>
      <c r="BN5" s="154"/>
      <c r="BO5" s="154"/>
      <c r="BP5" s="154"/>
      <c r="BQ5" s="154"/>
      <c r="BR5" s="154"/>
      <c r="BS5" s="313"/>
      <c r="BT5" s="313"/>
      <c r="BU5" s="911"/>
      <c r="BV5" s="313"/>
      <c r="BW5" s="313"/>
      <c r="BX5" s="313"/>
      <c r="BY5" s="313"/>
      <c r="BZ5" s="313"/>
      <c r="CA5" s="313"/>
      <c r="CB5" s="313"/>
      <c r="CC5" s="313"/>
      <c r="CD5" s="154"/>
      <c r="CE5" s="154"/>
      <c r="CG5" s="154"/>
      <c r="CH5" s="154"/>
      <c r="CI5" s="154"/>
      <c r="DD5" s="147"/>
      <c r="DG5" s="147"/>
      <c r="DH5" s="147"/>
    </row>
    <row r="6" spans="1:114" s="149" customFormat="1" ht="12.75" thickBot="1" x14ac:dyDescent="0.25">
      <c r="A6" s="147"/>
      <c r="B6" s="148"/>
      <c r="D6" s="483"/>
      <c r="F6" s="201"/>
      <c r="G6" s="147"/>
      <c r="H6" s="150"/>
      <c r="I6" s="147"/>
      <c r="J6" s="147"/>
      <c r="K6" s="147"/>
      <c r="L6" s="147"/>
      <c r="M6" s="147"/>
      <c r="Q6" s="147"/>
      <c r="R6" s="147"/>
      <c r="S6" s="148"/>
      <c r="T6" s="148"/>
      <c r="U6" s="148"/>
      <c r="V6" s="148"/>
      <c r="W6" s="148"/>
      <c r="Y6" s="152"/>
      <c r="Z6" s="152"/>
      <c r="AA6" s="152"/>
      <c r="AB6" s="152"/>
      <c r="AC6" s="152"/>
      <c r="AD6" s="152"/>
      <c r="AE6" s="152"/>
      <c r="AF6" s="152"/>
      <c r="AG6" s="153"/>
      <c r="AH6" s="153"/>
      <c r="AI6" s="153"/>
      <c r="AJ6" s="153"/>
      <c r="AK6" s="153"/>
      <c r="AL6" s="153"/>
      <c r="AM6" s="148"/>
      <c r="AN6" s="148"/>
      <c r="AO6" s="152"/>
      <c r="AP6" s="982"/>
      <c r="AQ6" s="152"/>
      <c r="AR6" s="152"/>
      <c r="AS6" s="148"/>
      <c r="AT6" s="476"/>
      <c r="AU6" s="476"/>
      <c r="AV6" s="152"/>
      <c r="AW6" s="148"/>
      <c r="AX6" s="148"/>
      <c r="AY6" s="148"/>
      <c r="AZ6" s="148"/>
      <c r="BA6" s="148"/>
      <c r="BB6" s="152"/>
      <c r="BC6" s="152"/>
      <c r="BD6" s="152"/>
      <c r="BE6" s="152"/>
      <c r="BF6" s="152"/>
      <c r="BG6" s="152"/>
      <c r="BH6" s="152"/>
      <c r="BI6" s="152"/>
      <c r="BJ6" s="152"/>
      <c r="BK6" s="152"/>
      <c r="BL6" s="152"/>
      <c r="BM6" s="154"/>
      <c r="BN6" s="154"/>
      <c r="BO6" s="154"/>
      <c r="BP6" s="154"/>
      <c r="BQ6" s="154"/>
      <c r="BR6" s="154"/>
      <c r="BS6" s="313"/>
      <c r="BT6" s="313"/>
      <c r="BU6" s="911"/>
      <c r="BV6" s="313"/>
      <c r="BW6" s="313"/>
      <c r="BX6" s="313"/>
      <c r="BY6" s="313"/>
      <c r="BZ6" s="313"/>
      <c r="CA6" s="313"/>
      <c r="CB6" s="313"/>
      <c r="CC6" s="313"/>
      <c r="CD6" s="154"/>
      <c r="CE6" s="154"/>
      <c r="CG6" s="154"/>
      <c r="CH6" s="154"/>
      <c r="CI6" s="154"/>
      <c r="DD6" s="147"/>
      <c r="DG6" s="147"/>
      <c r="DH6" s="147"/>
    </row>
    <row r="7" spans="1:114" s="149" customFormat="1" ht="37.5" customHeight="1" thickBot="1" x14ac:dyDescent="0.25">
      <c r="A7" s="147"/>
      <c r="B7" s="148"/>
      <c r="D7" s="483"/>
      <c r="F7" s="201"/>
      <c r="G7" s="147"/>
      <c r="H7" s="150"/>
      <c r="I7" s="147"/>
      <c r="J7" s="147"/>
      <c r="K7" s="147"/>
      <c r="L7" s="147"/>
      <c r="M7" s="147"/>
      <c r="Q7" s="147"/>
      <c r="R7" s="147"/>
      <c r="S7" s="148"/>
      <c r="T7" s="155"/>
      <c r="U7" s="148"/>
      <c r="V7" s="148"/>
      <c r="W7" s="148"/>
      <c r="Y7" s="156"/>
      <c r="Z7" s="152"/>
      <c r="AA7" s="152"/>
      <c r="AB7" s="152"/>
      <c r="AC7" s="152"/>
      <c r="AD7" s="152"/>
      <c r="AE7" s="152"/>
      <c r="AF7" s="152"/>
      <c r="AG7" s="153"/>
      <c r="AH7" s="153"/>
      <c r="AI7" s="153"/>
      <c r="AJ7" s="153"/>
      <c r="AK7" s="153"/>
      <c r="AL7" s="153"/>
      <c r="AM7" s="148"/>
      <c r="AN7" s="148"/>
      <c r="AO7" s="152"/>
      <c r="AP7" s="982"/>
      <c r="AQ7" s="152"/>
      <c r="AR7" s="152"/>
      <c r="AS7" s="152"/>
      <c r="AT7" s="477"/>
      <c r="AU7" s="477"/>
      <c r="AV7" s="159"/>
      <c r="AW7" s="148"/>
      <c r="AX7" s="148"/>
      <c r="AY7" s="148"/>
      <c r="AZ7" s="148"/>
      <c r="BA7" s="148"/>
      <c r="BB7" s="157" t="s">
        <v>4578</v>
      </c>
      <c r="BC7" s="158" t="s">
        <v>4631</v>
      </c>
      <c r="BD7" s="212">
        <v>2025</v>
      </c>
      <c r="BE7" s="152"/>
      <c r="BF7" s="152"/>
      <c r="BG7" s="152"/>
      <c r="BH7" s="152"/>
      <c r="BI7" s="152"/>
      <c r="BJ7" s="152"/>
      <c r="BK7" s="152"/>
      <c r="BL7" s="152"/>
      <c r="BM7" s="154"/>
      <c r="BN7" s="154"/>
      <c r="BO7" s="154"/>
      <c r="BP7" s="154"/>
      <c r="BQ7" s="154"/>
      <c r="BR7" s="154"/>
      <c r="BS7" s="313"/>
      <c r="BT7" s="313"/>
      <c r="BU7" s="911"/>
      <c r="BV7" s="313"/>
      <c r="BW7" s="313"/>
      <c r="BX7" s="313"/>
      <c r="BY7" s="313"/>
      <c r="BZ7" s="313"/>
      <c r="CA7" s="313"/>
      <c r="CB7" s="313"/>
      <c r="CC7" s="313"/>
      <c r="CD7" s="154"/>
      <c r="CE7" s="154"/>
      <c r="CG7" s="154"/>
      <c r="CH7" s="154"/>
      <c r="CI7" s="154"/>
      <c r="DC7" s="160"/>
      <c r="DD7" s="161"/>
      <c r="DE7" s="160"/>
      <c r="DG7" s="147"/>
      <c r="DH7" s="147"/>
    </row>
    <row r="8" spans="1:114" s="149" customFormat="1" ht="48.75" customHeight="1" thickBot="1" x14ac:dyDescent="0.25">
      <c r="A8" s="147"/>
      <c r="B8" s="148"/>
      <c r="D8" s="483"/>
      <c r="E8" s="162"/>
      <c r="F8" s="201"/>
      <c r="G8" s="147"/>
      <c r="H8" s="150"/>
      <c r="I8" s="147"/>
      <c r="J8" s="147"/>
      <c r="K8" s="147"/>
      <c r="L8" s="147"/>
      <c r="M8" s="147"/>
      <c r="Q8" s="147"/>
      <c r="R8" s="147"/>
      <c r="S8" s="148"/>
      <c r="T8" s="148"/>
      <c r="U8" s="148"/>
      <c r="V8" s="155"/>
      <c r="W8" s="148"/>
      <c r="Y8" s="152"/>
      <c r="Z8" s="152"/>
      <c r="AA8" s="152"/>
      <c r="AB8" s="152"/>
      <c r="AC8" s="152"/>
      <c r="AD8" s="156"/>
      <c r="AE8" s="152"/>
      <c r="AF8" s="152"/>
      <c r="AG8" s="153"/>
      <c r="AH8" s="153"/>
      <c r="AI8" s="153"/>
      <c r="AJ8" s="153"/>
      <c r="AK8" s="153"/>
      <c r="AL8" s="153"/>
      <c r="AM8" s="148"/>
      <c r="AN8" s="148"/>
      <c r="AO8" s="454">
        <f>(((AM31/30*120)/12+(AM31))/30*180)</f>
        <v>2121.6</v>
      </c>
      <c r="AP8" s="983"/>
      <c r="AQ8" s="454"/>
      <c r="AR8" s="454"/>
      <c r="AS8" s="148"/>
      <c r="AT8" s="476"/>
      <c r="AU8" s="476"/>
      <c r="AV8" s="152"/>
      <c r="AW8" s="148"/>
      <c r="AX8" s="148"/>
      <c r="AY8" s="148"/>
      <c r="AZ8" s="148"/>
      <c r="BA8" s="148"/>
      <c r="BB8" s="958">
        <f>IFERROR(VLOOKUP(F9,'CONCEPTOS Y PARAMETROS'!J:K,2,0),0)</f>
        <v>10</v>
      </c>
      <c r="BC8" s="959">
        <f>IFERROR(VLOOKUP(BB8,'CONCEPTOS Y PARAMETROS'!K:L,2,0),0)</f>
        <v>4</v>
      </c>
      <c r="BD8" s="152"/>
      <c r="BE8" s="152"/>
      <c r="BF8" s="152"/>
      <c r="BG8" s="152"/>
      <c r="BH8" s="152"/>
      <c r="BI8" s="152"/>
      <c r="BJ8" s="152"/>
      <c r="BK8" s="152"/>
      <c r="BL8" s="152"/>
      <c r="BM8" s="163"/>
      <c r="BN8" s="154"/>
      <c r="BO8" s="154"/>
      <c r="BP8" s="154"/>
      <c r="BQ8" s="154"/>
      <c r="BR8" s="154"/>
      <c r="BS8" s="313"/>
      <c r="BT8" s="313"/>
      <c r="BU8" s="911"/>
      <c r="BV8" s="313"/>
      <c r="BW8" s="313"/>
      <c r="BX8" s="313"/>
      <c r="BY8" s="313"/>
      <c r="BZ8" s="313"/>
      <c r="CA8" s="313"/>
      <c r="CB8" s="313"/>
      <c r="CC8" s="313"/>
      <c r="CD8" s="154"/>
      <c r="CE8" s="154"/>
      <c r="CG8" s="154"/>
      <c r="CH8" s="154"/>
      <c r="CI8" s="154"/>
      <c r="DC8" s="160"/>
      <c r="DD8" s="164" t="s">
        <v>4623</v>
      </c>
      <c r="DE8" s="164" t="s">
        <v>4624</v>
      </c>
      <c r="DG8" s="165" t="s">
        <v>4626</v>
      </c>
      <c r="DH8" s="164" t="s">
        <v>4625</v>
      </c>
      <c r="DI8" s="166" t="s">
        <v>4635</v>
      </c>
      <c r="DJ8" s="166" t="s">
        <v>4633</v>
      </c>
    </row>
    <row r="9" spans="1:114" s="149" customFormat="1" ht="105.75" customHeight="1" thickBot="1" x14ac:dyDescent="0.85">
      <c r="A9" s="151"/>
      <c r="B9" s="148"/>
      <c r="C9" s="1003" t="s">
        <v>4875</v>
      </c>
      <c r="D9" s="1004"/>
      <c r="E9" s="567" t="s">
        <v>4645</v>
      </c>
      <c r="F9" s="1008" t="s">
        <v>2874</v>
      </c>
      <c r="G9" s="1009" t="s">
        <v>4646</v>
      </c>
      <c r="H9" s="873">
        <v>2025</v>
      </c>
      <c r="I9" s="167"/>
      <c r="J9" s="167"/>
      <c r="K9" s="167"/>
      <c r="L9" s="167"/>
      <c r="M9" s="147"/>
      <c r="Q9" s="147"/>
      <c r="R9" s="147"/>
      <c r="S9" s="148"/>
      <c r="T9" s="148"/>
      <c r="U9" s="148"/>
      <c r="V9" s="148"/>
      <c r="W9" s="148"/>
      <c r="Y9" s="152"/>
      <c r="Z9" s="152"/>
      <c r="AA9" s="152"/>
      <c r="AB9" s="152"/>
      <c r="AC9" s="152"/>
      <c r="AD9" s="152"/>
      <c r="AE9" s="152"/>
      <c r="AF9" s="152"/>
      <c r="AG9" s="153"/>
      <c r="AH9" s="153"/>
      <c r="AI9" s="153"/>
      <c r="AJ9" s="153"/>
      <c r="AK9" s="153"/>
      <c r="AL9" s="153"/>
      <c r="AM9" s="148"/>
      <c r="AN9" s="148"/>
      <c r="AO9" s="455">
        <f>IF(AND(MONTH(H31)=$BB$8),(AM31+AM31*4/12)/30*180,0)</f>
        <v>0</v>
      </c>
      <c r="AP9" s="984"/>
      <c r="AQ9" s="455"/>
      <c r="AR9" s="455"/>
      <c r="AS9" s="743" t="s">
        <v>4654</v>
      </c>
      <c r="AT9" s="476"/>
      <c r="AU9" s="476"/>
      <c r="AV9" s="152"/>
      <c r="AW9" s="148"/>
      <c r="AX9" s="148"/>
      <c r="AY9" s="148"/>
      <c r="AZ9" s="148"/>
      <c r="BA9" s="148"/>
      <c r="BB9" s="156"/>
      <c r="BC9" s="152"/>
      <c r="BD9" s="152"/>
      <c r="BE9" s="152"/>
      <c r="BF9" s="152"/>
      <c r="BG9" s="1002"/>
      <c r="BH9" s="152"/>
      <c r="BI9" s="152"/>
      <c r="BJ9" s="152"/>
      <c r="BK9" s="152"/>
      <c r="BL9" s="152"/>
      <c r="BM9" s="154"/>
      <c r="BN9" s="154"/>
      <c r="BO9" s="154"/>
      <c r="BP9" s="154"/>
      <c r="BQ9" s="163"/>
      <c r="BR9" s="154"/>
      <c r="BS9" s="313"/>
      <c r="BT9" s="313"/>
      <c r="BU9" s="911"/>
      <c r="BV9" s="313"/>
      <c r="BW9" s="313"/>
      <c r="BX9" s="313"/>
      <c r="BY9" s="313"/>
      <c r="BZ9" s="313"/>
      <c r="CA9" s="313"/>
      <c r="CB9" s="313"/>
      <c r="CC9" s="313"/>
      <c r="CD9" s="154"/>
      <c r="CE9" s="154"/>
      <c r="CG9" s="154"/>
      <c r="CH9" s="154"/>
      <c r="CI9" s="154"/>
      <c r="DC9" s="160"/>
      <c r="DD9" s="164">
        <v>0</v>
      </c>
      <c r="DE9" s="164">
        <v>0</v>
      </c>
      <c r="DG9" s="165">
        <v>1</v>
      </c>
      <c r="DH9" s="164">
        <v>5</v>
      </c>
      <c r="DI9" s="166" t="s">
        <v>24</v>
      </c>
      <c r="DJ9" s="166" t="s">
        <v>4634</v>
      </c>
    </row>
    <row r="10" spans="1:114" s="169" customFormat="1" ht="72.75" customHeight="1" thickBot="1" x14ac:dyDescent="0.25">
      <c r="A10" s="168"/>
      <c r="B10" s="168"/>
      <c r="D10" s="484"/>
      <c r="F10" s="168"/>
      <c r="G10" s="168"/>
      <c r="H10" s="170"/>
      <c r="I10" s="168"/>
      <c r="J10" s="168"/>
      <c r="K10" s="168"/>
      <c r="L10" s="1022" t="s">
        <v>4640</v>
      </c>
      <c r="M10" s="1023"/>
      <c r="N10" s="149"/>
      <c r="O10" s="149"/>
      <c r="R10" s="171"/>
      <c r="S10" s="168"/>
      <c r="T10" s="168"/>
      <c r="U10" s="168"/>
      <c r="V10" s="168"/>
      <c r="W10" s="168"/>
      <c r="X10" s="1019" t="s">
        <v>4639</v>
      </c>
      <c r="Y10" s="1020"/>
      <c r="Z10" s="1020"/>
      <c r="AA10" s="1020"/>
      <c r="AB10" s="1021"/>
      <c r="AC10" s="152"/>
      <c r="AD10" s="217" t="s">
        <v>4641</v>
      </c>
      <c r="AE10" s="218"/>
      <c r="AF10" s="152"/>
      <c r="AG10" s="213" t="s">
        <v>4647</v>
      </c>
      <c r="AH10" s="214"/>
      <c r="AI10" s="215"/>
      <c r="AJ10" s="215"/>
      <c r="AK10" s="216"/>
      <c r="AL10" s="153"/>
      <c r="AM10" s="172"/>
      <c r="AN10" s="172"/>
      <c r="AO10" s="456">
        <f>(((AM31/30+((AM31)/30*(120/12/30)))*180))</f>
        <v>2121.6</v>
      </c>
      <c r="AP10" s="1010" t="s">
        <v>4873</v>
      </c>
      <c r="AQ10" s="1011"/>
      <c r="AR10" s="1012"/>
      <c r="AS10" s="1001">
        <v>1</v>
      </c>
      <c r="AT10" s="476"/>
      <c r="AU10" s="476"/>
      <c r="AV10" s="152"/>
      <c r="AW10" s="744"/>
      <c r="AX10" s="745" t="s">
        <v>4586</v>
      </c>
      <c r="AY10" s="746"/>
      <c r="AZ10" s="747"/>
      <c r="BA10" s="748"/>
      <c r="BB10" s="749"/>
      <c r="BC10" s="750" t="s">
        <v>15</v>
      </c>
      <c r="BD10" s="750"/>
      <c r="BE10" s="745"/>
      <c r="BF10" s="152"/>
      <c r="BG10" s="152"/>
      <c r="BH10" s="473">
        <v>1</v>
      </c>
      <c r="BI10" s="474"/>
      <c r="BJ10" s="474"/>
      <c r="BK10" s="474"/>
      <c r="BL10" s="474">
        <v>3</v>
      </c>
      <c r="BM10" s="474">
        <v>4</v>
      </c>
      <c r="BN10" s="474">
        <v>5</v>
      </c>
      <c r="BO10" s="870"/>
      <c r="BS10" s="314" t="s">
        <v>4667</v>
      </c>
      <c r="BT10" s="313"/>
      <c r="BU10" s="911"/>
      <c r="BV10" s="557" t="s">
        <v>4667</v>
      </c>
      <c r="BW10" s="314" t="s">
        <v>4667</v>
      </c>
      <c r="BX10" s="314" t="s">
        <v>4667</v>
      </c>
      <c r="BY10" s="315" t="s">
        <v>4667</v>
      </c>
      <c r="BZ10" s="315" t="s">
        <v>4667</v>
      </c>
      <c r="CA10" s="316"/>
      <c r="CB10" s="316"/>
      <c r="CC10" s="316"/>
      <c r="DC10" s="173"/>
      <c r="DD10" s="164">
        <v>1</v>
      </c>
      <c r="DE10" s="174">
        <f>ROUND('CONCEPTOS Y PARAMETROS'!C18,2)</f>
        <v>12.5</v>
      </c>
      <c r="DG10" s="175">
        <v>2</v>
      </c>
      <c r="DH10" s="164">
        <v>4</v>
      </c>
      <c r="DI10" s="166"/>
    </row>
    <row r="11" spans="1:114" s="591" customFormat="1" ht="186.75" customHeight="1" thickBot="1" x14ac:dyDescent="0.4">
      <c r="A11" s="707" t="s">
        <v>2841</v>
      </c>
      <c r="B11" s="708" t="s">
        <v>0</v>
      </c>
      <c r="C11" s="709" t="s">
        <v>2</v>
      </c>
      <c r="D11" s="709" t="s">
        <v>3</v>
      </c>
      <c r="E11" s="709" t="s">
        <v>4632</v>
      </c>
      <c r="F11" s="709" t="s">
        <v>4591</v>
      </c>
      <c r="G11" s="709" t="s">
        <v>4636</v>
      </c>
      <c r="H11" s="709" t="s">
        <v>4</v>
      </c>
      <c r="I11" s="709" t="s">
        <v>4638</v>
      </c>
      <c r="J11" s="709" t="s">
        <v>4637</v>
      </c>
      <c r="K11" s="709" t="s">
        <v>4585</v>
      </c>
      <c r="L11" s="710" t="s">
        <v>4649</v>
      </c>
      <c r="M11" s="710" t="s">
        <v>4584</v>
      </c>
      <c r="N11" s="709" t="s">
        <v>5</v>
      </c>
      <c r="O11" s="709" t="s">
        <v>4790</v>
      </c>
      <c r="P11" s="709" t="s">
        <v>6</v>
      </c>
      <c r="Q11" s="711" t="s">
        <v>2846</v>
      </c>
      <c r="R11" s="712" t="s">
        <v>4627</v>
      </c>
      <c r="S11" s="708" t="s">
        <v>1</v>
      </c>
      <c r="T11" s="709" t="s">
        <v>7</v>
      </c>
      <c r="U11" s="709" t="s">
        <v>4582</v>
      </c>
      <c r="V11" s="709" t="s">
        <v>4583</v>
      </c>
      <c r="W11" s="709" t="s">
        <v>4581</v>
      </c>
      <c r="X11" s="713" t="s">
        <v>2863</v>
      </c>
      <c r="Y11" s="714" t="s">
        <v>2852</v>
      </c>
      <c r="Z11" s="715" t="s">
        <v>2887</v>
      </c>
      <c r="AA11" s="715" t="s">
        <v>4502</v>
      </c>
      <c r="AB11" s="716" t="s">
        <v>2855</v>
      </c>
      <c r="AC11" s="717" t="s">
        <v>9</v>
      </c>
      <c r="AD11" s="718" t="s">
        <v>4642</v>
      </c>
      <c r="AE11" s="719" t="s">
        <v>4643</v>
      </c>
      <c r="AF11" s="720" t="s">
        <v>4652</v>
      </c>
      <c r="AG11" s="721" t="s">
        <v>4489</v>
      </c>
      <c r="AH11" s="722" t="s">
        <v>4653</v>
      </c>
      <c r="AI11" s="721" t="s">
        <v>4492</v>
      </c>
      <c r="AJ11" s="721" t="s">
        <v>4490</v>
      </c>
      <c r="AK11" s="723" t="s">
        <v>4491</v>
      </c>
      <c r="AL11" s="724" t="s">
        <v>4630</v>
      </c>
      <c r="AM11" s="725" t="s">
        <v>16</v>
      </c>
      <c r="AN11" s="725" t="s">
        <v>10</v>
      </c>
      <c r="AO11" s="726" t="s">
        <v>11</v>
      </c>
      <c r="AP11" s="985" t="s">
        <v>4729</v>
      </c>
      <c r="AQ11" s="977" t="s">
        <v>4730</v>
      </c>
      <c r="AR11" s="978" t="s">
        <v>4874</v>
      </c>
      <c r="AS11" s="727" t="s">
        <v>2888</v>
      </c>
      <c r="AT11" s="907" t="s">
        <v>4650</v>
      </c>
      <c r="AU11" s="728" t="s">
        <v>4815</v>
      </c>
      <c r="AV11" s="973"/>
      <c r="AW11" s="729" t="s">
        <v>4588</v>
      </c>
      <c r="AX11" s="730" t="s">
        <v>4589</v>
      </c>
      <c r="AY11" s="730" t="s">
        <v>4590</v>
      </c>
      <c r="AZ11" s="731" t="s">
        <v>2886</v>
      </c>
      <c r="BA11" s="732" t="s">
        <v>4587</v>
      </c>
      <c r="BB11" s="733" t="s">
        <v>4592</v>
      </c>
      <c r="BC11" s="730" t="s">
        <v>4593</v>
      </c>
      <c r="BD11" s="730" t="s">
        <v>4594</v>
      </c>
      <c r="BE11" s="731" t="s">
        <v>2886</v>
      </c>
      <c r="BF11" s="732" t="s">
        <v>4648</v>
      </c>
      <c r="BG11" s="734" t="s">
        <v>4709</v>
      </c>
      <c r="BH11" s="735" t="s">
        <v>4659</v>
      </c>
      <c r="BI11" s="735" t="s">
        <v>4746</v>
      </c>
      <c r="BJ11" s="735" t="s">
        <v>4876</v>
      </c>
      <c r="BK11" s="735" t="s">
        <v>4877</v>
      </c>
      <c r="BL11" s="735" t="s">
        <v>4658</v>
      </c>
      <c r="BM11" s="735" t="s">
        <v>4579</v>
      </c>
      <c r="BN11" s="735" t="s">
        <v>4580</v>
      </c>
      <c r="BS11" s="736" t="s">
        <v>4662</v>
      </c>
      <c r="BT11" s="908" t="s">
        <v>4650</v>
      </c>
      <c r="BU11" s="909" t="s">
        <v>4863</v>
      </c>
      <c r="BV11" s="736" t="s">
        <v>4665</v>
      </c>
      <c r="BW11" s="736" t="s">
        <v>4663</v>
      </c>
      <c r="BX11" s="736" t="s">
        <v>4664</v>
      </c>
      <c r="BY11" s="737" t="s">
        <v>11</v>
      </c>
      <c r="BZ11" s="728" t="s">
        <v>4871</v>
      </c>
      <c r="CA11" s="738" t="s">
        <v>4663</v>
      </c>
      <c r="CB11" s="738" t="s">
        <v>4666</v>
      </c>
      <c r="CC11" s="736" t="s">
        <v>4658</v>
      </c>
      <c r="CD11" s="736" t="s">
        <v>4797</v>
      </c>
      <c r="CE11" s="590"/>
      <c r="CF11" s="590"/>
      <c r="DC11" s="739"/>
      <c r="DD11" s="740">
        <v>2</v>
      </c>
      <c r="DE11" s="741">
        <f>ROUND(DE10*2,2)</f>
        <v>25</v>
      </c>
      <c r="DG11" s="594">
        <v>3</v>
      </c>
      <c r="DH11" s="594">
        <v>4</v>
      </c>
      <c r="DI11" s="742"/>
    </row>
    <row r="12" spans="1:114" s="149" customFormat="1" ht="80.099999999999994" customHeight="1" thickBot="1" x14ac:dyDescent="0.4">
      <c r="A12" s="475" t="s">
        <v>17</v>
      </c>
      <c r="B12" s="658"/>
      <c r="C12" s="176"/>
      <c r="D12" s="485"/>
      <c r="E12" s="177"/>
      <c r="F12" s="178"/>
      <c r="G12" s="178"/>
      <c r="H12" s="179"/>
      <c r="I12" s="161"/>
      <c r="J12" s="161"/>
      <c r="K12" s="161"/>
      <c r="L12" s="161"/>
      <c r="M12" s="161"/>
      <c r="N12" s="160"/>
      <c r="O12" s="160"/>
      <c r="P12" s="160"/>
      <c r="Q12" s="161"/>
      <c r="R12" s="161"/>
      <c r="S12" s="180"/>
      <c r="T12" s="180"/>
      <c r="U12" s="180"/>
      <c r="V12" s="180"/>
      <c r="W12" s="180"/>
      <c r="X12" s="160"/>
      <c r="Y12" s="181"/>
      <c r="Z12" s="182"/>
      <c r="AA12" s="182"/>
      <c r="AB12" s="182"/>
      <c r="AC12" s="182"/>
      <c r="AD12" s="182"/>
      <c r="AE12" s="182"/>
      <c r="AF12" s="182"/>
      <c r="AG12" s="183"/>
      <c r="AH12" s="183"/>
      <c r="AI12" s="183"/>
      <c r="AJ12" s="183"/>
      <c r="AK12" s="183"/>
      <c r="AL12" s="183"/>
      <c r="AM12" s="180"/>
      <c r="AN12" s="180"/>
      <c r="AO12" s="182"/>
      <c r="AP12" s="986"/>
      <c r="AQ12" s="182"/>
      <c r="AR12" s="182"/>
      <c r="AS12" s="180"/>
      <c r="AT12" s="478"/>
      <c r="AU12" s="478"/>
      <c r="AV12" s="182"/>
      <c r="AW12" s="180"/>
      <c r="AX12" s="180"/>
      <c r="AY12" s="180"/>
      <c r="AZ12" s="180"/>
      <c r="BA12" s="180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458"/>
      <c r="BS12" s="317"/>
      <c r="BT12" s="317"/>
      <c r="BU12" s="911"/>
      <c r="BV12" s="317"/>
      <c r="BW12" s="317"/>
      <c r="BX12" s="317"/>
      <c r="BY12" s="317"/>
      <c r="BZ12" s="317"/>
      <c r="CA12" s="317"/>
      <c r="CB12" s="317"/>
      <c r="CC12" s="317"/>
      <c r="CE12" s="154"/>
      <c r="DD12" s="147"/>
      <c r="DG12" s="165">
        <v>4</v>
      </c>
      <c r="DH12" s="165">
        <v>4</v>
      </c>
    </row>
    <row r="13" spans="1:114" s="903" customFormat="1" ht="102" customHeight="1" thickBot="1" x14ac:dyDescent="0.5">
      <c r="A13" s="875" t="s">
        <v>2847</v>
      </c>
      <c r="B13" s="876">
        <v>1</v>
      </c>
      <c r="C13" s="877">
        <v>19591141</v>
      </c>
      <c r="D13" s="878" t="s">
        <v>4796</v>
      </c>
      <c r="E13" s="879" t="s">
        <v>4635</v>
      </c>
      <c r="F13" s="880">
        <v>32351</v>
      </c>
      <c r="G13" s="879" t="s">
        <v>4633</v>
      </c>
      <c r="H13" s="881">
        <v>45505</v>
      </c>
      <c r="I13" s="882">
        <f>IF(AND(YEAR(H13)&lt;2025,MONTH(H13)&gt;$BB$8),2025-YEAR(H13)-1,IF(OR(H13="",YEAR(H13)&gt;2025),0,2025-YEAR(H13)))</f>
        <v>1</v>
      </c>
      <c r="J13" s="883"/>
      <c r="K13" s="882">
        <f>I13+J13</f>
        <v>1</v>
      </c>
      <c r="L13" s="884" t="s">
        <v>4857</v>
      </c>
      <c r="M13" s="884"/>
      <c r="N13" s="885" t="s">
        <v>4482</v>
      </c>
      <c r="O13" s="885"/>
      <c r="P13" s="886" t="str">
        <f>IFERROR(VLOOKUP(N13,CARGOS!A:E,2,0),"")</f>
        <v>61223</v>
      </c>
      <c r="Q13" s="879"/>
      <c r="R13" s="879"/>
      <c r="S13" s="887"/>
      <c r="T13" s="888"/>
      <c r="U13" s="889"/>
      <c r="V13" s="888">
        <f>T13-U13</f>
        <v>0</v>
      </c>
      <c r="W13" s="888">
        <f>V13/2</f>
        <v>0</v>
      </c>
      <c r="X13" s="890">
        <v>0</v>
      </c>
      <c r="Y13" s="888">
        <f>ROUND(IF(H13&lt;&gt;"",VLOOKUP(SUM(I13+J13),'CONCEPTOS Y PARAMETROS'!F:G,2,0)*V13,0),2)</f>
        <v>0</v>
      </c>
      <c r="Z13" s="888">
        <f>IF(S13&lt;&gt;"",IF(L13="",'CONCEPTOS Y PARAMETROS'!$C$4,0),0)</f>
        <v>0</v>
      </c>
      <c r="AA13" s="888">
        <f>ROUND((IF(S13&lt;&gt;"",IF(L13="",'CONCEPTOS Y PARAMETROS'!$C$7*X13,0),0)),2)</f>
        <v>0</v>
      </c>
      <c r="AB13" s="888">
        <f>IFERROR(ROUND(VLOOKUP($Q13,'CONCEPTOS Y PARAMETROS'!H:I,2,0)*($V13+Y13+Z13+AA13),2),0)</f>
        <v>0</v>
      </c>
      <c r="AC13" s="888">
        <f>SUM(Y13:AB13)</f>
        <v>0</v>
      </c>
      <c r="AD13" s="888">
        <f>ROUND(((Y13+Z13+AB13)/2),2)+AA13</f>
        <v>0</v>
      </c>
      <c r="AE13" s="888">
        <f>ROUND(((Y13+Z13+AB13)/2),2)</f>
        <v>0</v>
      </c>
      <c r="AF13" s="891">
        <v>0</v>
      </c>
      <c r="AG13" s="892">
        <f>'CONCEPTOS Y PARAMETROS'!$C$18*AF13</f>
        <v>0</v>
      </c>
      <c r="AH13" s="891">
        <v>0</v>
      </c>
      <c r="AI13" s="892">
        <f>'CONCEPTOS Y PARAMETROS'!$C$21*AH13</f>
        <v>0</v>
      </c>
      <c r="AJ13" s="893">
        <v>0</v>
      </c>
      <c r="AK13" s="893">
        <v>0</v>
      </c>
      <c r="AL13" s="892">
        <f>AG13+AI13+AJ13+AK13</f>
        <v>0</v>
      </c>
      <c r="AM13" s="888">
        <f>ROUND((V13+AC13+AN13),2)</f>
        <v>0</v>
      </c>
      <c r="AN13" s="888">
        <f t="shared" ref="AN13:AN17" si="0">ROUND(IF(N13="VIGILANTE",(V13+AC13)*30%,0),2)</f>
        <v>0</v>
      </c>
      <c r="AO13" s="888">
        <f>IF(T13&lt;&gt;"0",(ROUND(IF(A13="EMPLEADO",eval_formula('CONCEPTOS Y PARAMETROS'!$C$8,RAC!V13,RAC!$AM13,RAC!I13+RAC!J13),eval_formula('CONCEPTOS Y PARAMETROS'!$D$8,RAC!V13,RAC!$AM13,RAC!I13+RAC!J13)),2))*IF(H13&lt;&gt;"",IF(MONTH(H13)=$BB$8,IF(YEAR(H13)&lt;$BD$7,1,0),0)))</f>
        <v>0</v>
      </c>
      <c r="AP13" s="987">
        <v>180</v>
      </c>
      <c r="AQ13" s="981">
        <f>IFERROR(VLOOKUP(AP13,'CONCEPTOS Y PARAMETROS'!Y:Z,2,0),0)</f>
        <v>150</v>
      </c>
      <c r="AR13" s="981">
        <f>ROUND((((AM13))/30*AP13/12+(AM13))/30*AQ13,2)</f>
        <v>0</v>
      </c>
      <c r="AS13" s="888">
        <f t="shared" ref="AS13:AS17" si="1">ROUND((+AM13/30*$AS$10),2)</f>
        <v>0</v>
      </c>
      <c r="AT13" s="894">
        <v>0</v>
      </c>
      <c r="AU13" s="894">
        <v>0</v>
      </c>
      <c r="AV13" s="895">
        <v>0</v>
      </c>
      <c r="AW13" s="888">
        <f t="shared" ref="AW13:AW17" si="2">ROUND(IF(L13="", (((AM13*12)/52)*4%)*$BC$8,0),2)</f>
        <v>0</v>
      </c>
      <c r="AX13" s="896">
        <f t="shared" ref="AX13:AX17" si="3">ROUND(IF(L13="",(((AM13*12)/52)*0.5%)*$BC$8,0),2)</f>
        <v>0</v>
      </c>
      <c r="AY13" s="897">
        <f t="shared" ref="AY13:AY17" si="4">ROUND(IF(L13="",(AM13*1%),0),2)</f>
        <v>0</v>
      </c>
      <c r="AZ13" s="888">
        <v>0</v>
      </c>
      <c r="BA13" s="888">
        <f>ROUND(SUM(AW13:AY13),2)</f>
        <v>0</v>
      </c>
      <c r="BB13" s="888">
        <f t="shared" ref="BB13:BB17" si="5">ROUND(IF(L13="", (((AM13*12)/52)*9%)*$BC$8,0),2)</f>
        <v>0</v>
      </c>
      <c r="BC13" s="888">
        <f t="shared" ref="BC13:BC17" si="6">ROUND(IF(L13="",(((AM13*12)/52)*2%)*$BC$8,0),2)</f>
        <v>0</v>
      </c>
      <c r="BD13" s="888">
        <f t="shared" ref="BD13:BD17" si="7">ROUND(IF(L13="",(AM13*2%),0),2)</f>
        <v>0</v>
      </c>
      <c r="BE13" s="898">
        <v>0</v>
      </c>
      <c r="BF13" s="898">
        <f>ROUND(SUM(BB13:BD13),2)</f>
        <v>0</v>
      </c>
      <c r="BG13" s="899"/>
      <c r="BH13" s="900">
        <f>ROUND(BA13+BF13,2)</f>
        <v>0</v>
      </c>
      <c r="BI13" s="588">
        <f>ROUND(AR13/4,2)</f>
        <v>0</v>
      </c>
      <c r="BJ13" s="588">
        <v>0</v>
      </c>
      <c r="BK13" s="588">
        <f>+BI13+BJ13</f>
        <v>0</v>
      </c>
      <c r="BL13" s="956">
        <f>IF(S13&lt;&gt;"",IF(L13="",'CONCEPTOS Y PARAMETROS'!$A$102,0),0)</f>
        <v>0</v>
      </c>
      <c r="BM13" s="901">
        <f>ROUND((W13+AD13-BA13),2)+AT13+AL13+AU13</f>
        <v>0</v>
      </c>
      <c r="BN13" s="901">
        <f>ROUND((W13+AE13+AN13+AO13+AS13),2)</f>
        <v>0</v>
      </c>
      <c r="BO13" s="902"/>
      <c r="BP13" s="902"/>
      <c r="BS13" s="917">
        <f>W13+AD13-BA13+BT13</f>
        <v>0</v>
      </c>
      <c r="BT13" s="917">
        <f>AT13</f>
        <v>0</v>
      </c>
      <c r="BU13" s="918"/>
      <c r="BV13" s="917">
        <f>AG13</f>
        <v>0</v>
      </c>
      <c r="BW13" s="917">
        <f>ROUND((W13+AE13),2)</f>
        <v>0</v>
      </c>
      <c r="BX13" s="917">
        <v>0</v>
      </c>
      <c r="BY13" s="917">
        <f>AO13</f>
        <v>0</v>
      </c>
      <c r="BZ13" s="919">
        <f>AV13</f>
        <v>0</v>
      </c>
      <c r="CA13" s="919">
        <f>ROUND(SUM(BV13:BY13),2)</f>
        <v>0</v>
      </c>
      <c r="CB13" s="917">
        <f>BA13+BF13</f>
        <v>0</v>
      </c>
      <c r="CC13" s="917">
        <f>BL13</f>
        <v>0</v>
      </c>
      <c r="CD13" s="904" t="e">
        <f>#REF!/4</f>
        <v>#REF!</v>
      </c>
      <c r="CE13" s="902"/>
      <c r="CK13" s="902"/>
      <c r="CL13" s="902"/>
      <c r="CM13" s="902"/>
      <c r="CN13" s="902"/>
      <c r="CO13" s="902"/>
      <c r="CP13" s="902"/>
      <c r="CQ13" s="902"/>
      <c r="CR13" s="902"/>
      <c r="CS13" s="902"/>
      <c r="CT13" s="902"/>
      <c r="CU13" s="902"/>
      <c r="CV13" s="902"/>
      <c r="DD13" s="905"/>
      <c r="DG13" s="906">
        <v>5</v>
      </c>
      <c r="DH13" s="906">
        <v>5</v>
      </c>
    </row>
    <row r="14" spans="1:114" s="591" customFormat="1" ht="102" customHeight="1" thickBot="1" x14ac:dyDescent="0.5">
      <c r="A14" s="595" t="s">
        <v>2847</v>
      </c>
      <c r="B14" s="659">
        <v>2</v>
      </c>
      <c r="C14" s="941">
        <v>13462511</v>
      </c>
      <c r="D14" s="942" t="s">
        <v>4859</v>
      </c>
      <c r="E14" s="632" t="s">
        <v>4635</v>
      </c>
      <c r="F14" s="563">
        <v>28721</v>
      </c>
      <c r="G14" s="632" t="s">
        <v>4633</v>
      </c>
      <c r="H14" s="943">
        <v>45748</v>
      </c>
      <c r="I14" s="565">
        <f t="shared" ref="I14:I16" si="8">IF(AND(YEAR(H14)&lt;2025,MONTH(H14)&gt;$BB$8),2025-YEAR(H14)-1,IF(OR(H14="",YEAR(H14)&gt;2025),0,2025-YEAR(H14)))</f>
        <v>0</v>
      </c>
      <c r="J14" s="597"/>
      <c r="K14" s="565">
        <f t="shared" ref="K14:K16" si="9">I14+J14</f>
        <v>0</v>
      </c>
      <c r="L14" s="567" t="s">
        <v>4701</v>
      </c>
      <c r="M14" s="567"/>
      <c r="N14" s="568" t="s">
        <v>4484</v>
      </c>
      <c r="O14" s="598"/>
      <c r="P14" s="569" t="str">
        <f>IFERROR(VLOOKUP(N14,CARGOS!A:E,2,0),"")</f>
        <v>90101</v>
      </c>
      <c r="Q14" s="562"/>
      <c r="R14" s="562"/>
      <c r="S14" s="570" t="s">
        <v>2839</v>
      </c>
      <c r="T14" s="612">
        <f>IFERROR(VLOOKUP(S14,'TAB EMP'!A:B,2,0),0)</f>
        <v>391</v>
      </c>
      <c r="U14" s="572">
        <v>312</v>
      </c>
      <c r="V14" s="571">
        <f>T14-U14</f>
        <v>79</v>
      </c>
      <c r="W14" s="573">
        <f t="shared" ref="W14:W17" si="10">V14/2</f>
        <v>39.5</v>
      </c>
      <c r="X14" s="574">
        <v>0</v>
      </c>
      <c r="Y14" s="571">
        <f>ROUND(IF(H14&lt;&gt;"",VLOOKUP(SUM(I14+J14),'CONCEPTOS Y PARAMETROS'!F:G,2,0)*V14,0),2)</f>
        <v>0</v>
      </c>
      <c r="Z14" s="571">
        <v>0</v>
      </c>
      <c r="AA14" s="571">
        <f>IF(S14&lt;&gt;"",IF(L14="",'CONCEPTOS Y PARAMETROS'!$C$7*X14,0),0)</f>
        <v>0</v>
      </c>
      <c r="AB14" s="571">
        <f>IFERROR(ROUND(VLOOKUP($Q14,'CONCEPTOS Y PARAMETROS'!H:I,2,0)*($V14+Y14+Z14+AA14),2),0)</f>
        <v>0</v>
      </c>
      <c r="AC14" s="571">
        <f t="shared" ref="AC14:AC17" si="11">SUM(Y14:AB14)</f>
        <v>0</v>
      </c>
      <c r="AD14" s="575">
        <f t="shared" ref="AD14:AD17" si="12">ROUND(((Y14+Z14+AB14)/2),2)+AA14</f>
        <v>0</v>
      </c>
      <c r="AE14" s="575">
        <f t="shared" ref="AE14:AE17" si="13">ROUND(((Y14+Z14+AB14)/2),2)</f>
        <v>0</v>
      </c>
      <c r="AF14" s="576">
        <v>0</v>
      </c>
      <c r="AG14" s="577">
        <f>'CONCEPTOS Y PARAMETROS'!$C$18*AF14</f>
        <v>0</v>
      </c>
      <c r="AH14" s="576">
        <v>0</v>
      </c>
      <c r="AI14" s="577">
        <f>'CONCEPTOS Y PARAMETROS'!$C$21*AH14</f>
        <v>0</v>
      </c>
      <c r="AJ14" s="578">
        <v>0</v>
      </c>
      <c r="AK14" s="578">
        <v>0</v>
      </c>
      <c r="AL14" s="579">
        <f t="shared" ref="AL14:AL17" si="14">AG14+AI14+AJ14+AK14</f>
        <v>0</v>
      </c>
      <c r="AM14" s="580">
        <f t="shared" ref="AM14:AM17" si="15">ROUND((V14+AC14+AN14),2)</f>
        <v>79</v>
      </c>
      <c r="AN14" s="580">
        <f t="shared" si="0"/>
        <v>0</v>
      </c>
      <c r="AO14" s="573">
        <f>IF(T14&lt;&gt;"0",(ROUND(IF(A14="EMPLEADO",eval_formula('CONCEPTOS Y PARAMETROS'!$C$8,RAC!V14,RAC!$AM14,RAC!I14+RAC!J14),eval_formula('CONCEPTOS Y PARAMETROS'!$D$8,RAC!V14,RAC!$AM14,RAC!I14+RAC!J14)),2))*IF(H14&lt;&gt;"",IF(MONTH(H14)=$BB$8,IF(YEAR(H14)&lt;$BD$7,1,0),0)))</f>
        <v>0</v>
      </c>
      <c r="AP14" s="987">
        <v>180</v>
      </c>
      <c r="AQ14" s="981">
        <f>IFERROR(VLOOKUP(AP14,'CONCEPTOS Y PARAMETROS'!Y:Z,2,0),0)</f>
        <v>150</v>
      </c>
      <c r="AR14" s="981">
        <f t="shared" ref="AR14:AR16" si="16">ROUND((((AM14))/30*AP14/12+(AM14))/30*AQ14,2)</f>
        <v>592.5</v>
      </c>
      <c r="AS14" s="571">
        <f t="shared" si="1"/>
        <v>2.63</v>
      </c>
      <c r="AT14" s="581">
        <v>0</v>
      </c>
      <c r="AU14" s="581">
        <v>0</v>
      </c>
      <c r="AV14" s="582">
        <v>0</v>
      </c>
      <c r="AW14" s="571">
        <f t="shared" si="2"/>
        <v>0</v>
      </c>
      <c r="AX14" s="583">
        <f t="shared" si="3"/>
        <v>0</v>
      </c>
      <c r="AY14" s="584">
        <f t="shared" si="4"/>
        <v>0</v>
      </c>
      <c r="AZ14" s="571">
        <v>0</v>
      </c>
      <c r="BA14" s="575">
        <f t="shared" ref="BA14:BA16" si="17">ROUND(SUM(AW14:AY14),2)</f>
        <v>0</v>
      </c>
      <c r="BB14" s="571">
        <f t="shared" si="5"/>
        <v>0</v>
      </c>
      <c r="BC14" s="571">
        <f t="shared" si="6"/>
        <v>0</v>
      </c>
      <c r="BD14" s="571">
        <f t="shared" si="7"/>
        <v>0</v>
      </c>
      <c r="BE14" s="585">
        <v>0</v>
      </c>
      <c r="BF14" s="586">
        <f t="shared" ref="BF14:BF17" si="18">ROUND(SUM(BB14:BD14),2)</f>
        <v>0</v>
      </c>
      <c r="BG14" s="587" t="s">
        <v>4860</v>
      </c>
      <c r="BH14" s="588">
        <f t="shared" ref="BH14:BH17" si="19">ROUND(BA14+BF14,2)</f>
        <v>0</v>
      </c>
      <c r="BI14" s="588">
        <f t="shared" ref="BI14:BI16" si="20">ROUND(AR14/4,2)</f>
        <v>148.13</v>
      </c>
      <c r="BJ14" s="588">
        <v>0</v>
      </c>
      <c r="BK14" s="588">
        <f t="shared" ref="BK14:BK16" si="21">+BI14+BJ14</f>
        <v>148.13</v>
      </c>
      <c r="BL14" s="956">
        <f>IF(S14&lt;&gt;"",IF(L14="",'CONCEPTOS Y PARAMETROS'!$A$102,0),0)</f>
        <v>0</v>
      </c>
      <c r="BM14" s="589">
        <f>ROUND((W14+AD14-BA14),2)+AL14</f>
        <v>39.5</v>
      </c>
      <c r="BN14" s="589">
        <f>ROUND((W14+AE14+AN14+AO14+AS14),2)</f>
        <v>42.13</v>
      </c>
      <c r="BO14" s="590"/>
      <c r="BQ14" s="590"/>
      <c r="BR14" s="953">
        <f>BM14-BS14</f>
        <v>0</v>
      </c>
      <c r="BS14" s="919">
        <f>W14+AD14-BA14</f>
        <v>39.5</v>
      </c>
      <c r="BT14" s="919">
        <f>AT14</f>
        <v>0</v>
      </c>
      <c r="BU14" s="915">
        <v>1</v>
      </c>
      <c r="BV14" s="919">
        <f>AG14</f>
        <v>0</v>
      </c>
      <c r="BW14" s="919">
        <f>ROUND((W14+AE14),2)</f>
        <v>39.5</v>
      </c>
      <c r="BX14" s="919">
        <v>0</v>
      </c>
      <c r="BY14" s="919">
        <f>AO14</f>
        <v>0</v>
      </c>
      <c r="BZ14" s="919">
        <f t="shared" ref="BZ14:BZ23" si="22">AV14</f>
        <v>0</v>
      </c>
      <c r="CA14" s="919">
        <f t="shared" ref="CA14:CA16" si="23">ROUND(SUM(BV14:BY14),2)</f>
        <v>39.5</v>
      </c>
      <c r="CB14" s="919">
        <f>BA14+BF14</f>
        <v>0</v>
      </c>
      <c r="CC14" s="919">
        <f>BL14</f>
        <v>0</v>
      </c>
      <c r="CD14" s="752" t="e">
        <f>#REF!/4</f>
        <v>#REF!</v>
      </c>
      <c r="CE14" s="590"/>
      <c r="DD14" s="593"/>
      <c r="DG14" s="594">
        <v>6</v>
      </c>
      <c r="DH14" s="594">
        <v>4</v>
      </c>
    </row>
    <row r="15" spans="1:114" s="591" customFormat="1" ht="102" customHeight="1" thickBot="1" x14ac:dyDescent="0.5">
      <c r="A15" s="595" t="s">
        <v>2847</v>
      </c>
      <c r="B15" s="559">
        <v>3</v>
      </c>
      <c r="C15" s="596">
        <v>12798736</v>
      </c>
      <c r="D15" s="561" t="s">
        <v>4727</v>
      </c>
      <c r="E15" s="562" t="s">
        <v>4635</v>
      </c>
      <c r="F15" s="563">
        <v>27802</v>
      </c>
      <c r="G15" s="562" t="s">
        <v>4633</v>
      </c>
      <c r="H15" s="564">
        <v>45098</v>
      </c>
      <c r="I15" s="565">
        <f t="shared" si="8"/>
        <v>2</v>
      </c>
      <c r="J15" s="597"/>
      <c r="K15" s="565">
        <f t="shared" si="9"/>
        <v>2</v>
      </c>
      <c r="L15" s="567" t="s">
        <v>4701</v>
      </c>
      <c r="M15" s="567"/>
      <c r="N15" s="600" t="s">
        <v>1583</v>
      </c>
      <c r="O15" s="868" t="s">
        <v>4793</v>
      </c>
      <c r="P15" s="569" t="str">
        <f>IFERROR(VLOOKUP(N15,CARGOS!A:E,2,0),"")</f>
        <v>00906</v>
      </c>
      <c r="Q15" s="562" t="s">
        <v>2895</v>
      </c>
      <c r="R15" s="562"/>
      <c r="S15" s="570" t="s">
        <v>2837</v>
      </c>
      <c r="T15" s="612">
        <f>IFERROR(VLOOKUP(S15,'TAB EMP'!A:B,2,0),0)</f>
        <v>363</v>
      </c>
      <c r="U15" s="572">
        <v>316</v>
      </c>
      <c r="V15" s="571">
        <f t="shared" ref="V15:V17" si="24">T15-U15</f>
        <v>47</v>
      </c>
      <c r="W15" s="573">
        <f t="shared" si="10"/>
        <v>23.5</v>
      </c>
      <c r="X15" s="574">
        <v>0</v>
      </c>
      <c r="Y15" s="571">
        <f>ROUND(IF(H15&lt;&gt;"",VLOOKUP(SUM(I15+J15),'CONCEPTOS Y PARAMETROS'!F:G,2,0)*V15,0),2)</f>
        <v>0.94</v>
      </c>
      <c r="Z15" s="571">
        <f>IF(S15&lt;&gt;"",IF(L15="",'CONCEPTOS Y PARAMETROS'!$C$4,0),0)</f>
        <v>0</v>
      </c>
      <c r="AA15" s="571">
        <f>IF(S15&lt;&gt;"",IF(L15="",'CONCEPTOS Y PARAMETROS'!$C$7*X15,0),0)</f>
        <v>0</v>
      </c>
      <c r="AB15" s="571">
        <f>IFERROR(ROUND(VLOOKUP($Q15,'CONCEPTOS Y PARAMETROS'!H:I,2,0)*($V15+Y15+Z15+AA15),2),0)</f>
        <v>11.99</v>
      </c>
      <c r="AC15" s="571">
        <f t="shared" si="11"/>
        <v>12.93</v>
      </c>
      <c r="AD15" s="575">
        <f t="shared" si="12"/>
        <v>6.47</v>
      </c>
      <c r="AE15" s="575">
        <f t="shared" si="13"/>
        <v>6.47</v>
      </c>
      <c r="AF15" s="576">
        <v>0</v>
      </c>
      <c r="AG15" s="577">
        <f>'CONCEPTOS Y PARAMETROS'!$C$18*AF15</f>
        <v>0</v>
      </c>
      <c r="AH15" s="576">
        <v>0</v>
      </c>
      <c r="AI15" s="577">
        <f>'CONCEPTOS Y PARAMETROS'!$C$21*AH15</f>
        <v>0</v>
      </c>
      <c r="AJ15" s="578">
        <v>0</v>
      </c>
      <c r="AK15" s="578">
        <v>0</v>
      </c>
      <c r="AL15" s="579">
        <f t="shared" si="14"/>
        <v>0</v>
      </c>
      <c r="AM15" s="580">
        <f t="shared" si="15"/>
        <v>59.93</v>
      </c>
      <c r="AN15" s="580">
        <f t="shared" si="0"/>
        <v>0</v>
      </c>
      <c r="AO15" s="573">
        <f>IF(T15&lt;&gt;"0",(ROUND(IF(A15="EMPLEADO",eval_formula('CONCEPTOS Y PARAMETROS'!$C$8,RAC!V15,RAC!$AM15,RAC!I15+RAC!J15),eval_formula('CONCEPTOS Y PARAMETROS'!$D$8,RAC!V15,RAC!$AM15,RAC!I15+RAC!J15)),2))*IF(H15&lt;&gt;"",IF(MONTH(H15)=$BB$8,IF(YEAR(H15)&lt;$BD$7,1,0),0)))</f>
        <v>0</v>
      </c>
      <c r="AP15" s="987">
        <v>180</v>
      </c>
      <c r="AQ15" s="981">
        <f>IFERROR(VLOOKUP(AP15,'CONCEPTOS Y PARAMETROS'!Y:Z,2,0),0)</f>
        <v>150</v>
      </c>
      <c r="AR15" s="981">
        <f t="shared" si="16"/>
        <v>449.48</v>
      </c>
      <c r="AS15" s="571">
        <f t="shared" si="1"/>
        <v>2</v>
      </c>
      <c r="AT15" s="581">
        <v>0</v>
      </c>
      <c r="AU15" s="581">
        <v>0</v>
      </c>
      <c r="AV15" s="582">
        <v>0</v>
      </c>
      <c r="AW15" s="571">
        <f t="shared" si="2"/>
        <v>0</v>
      </c>
      <c r="AX15" s="583">
        <f t="shared" si="3"/>
        <v>0</v>
      </c>
      <c r="AY15" s="584">
        <f t="shared" si="4"/>
        <v>0</v>
      </c>
      <c r="AZ15" s="571">
        <v>0</v>
      </c>
      <c r="BA15" s="575">
        <f t="shared" si="17"/>
        <v>0</v>
      </c>
      <c r="BB15" s="571">
        <f t="shared" si="5"/>
        <v>0</v>
      </c>
      <c r="BC15" s="571">
        <f t="shared" si="6"/>
        <v>0</v>
      </c>
      <c r="BD15" s="571">
        <f t="shared" si="7"/>
        <v>0</v>
      </c>
      <c r="BE15" s="585">
        <v>0</v>
      </c>
      <c r="BF15" s="586">
        <f t="shared" si="18"/>
        <v>0</v>
      </c>
      <c r="BG15" s="601" t="s">
        <v>4728</v>
      </c>
      <c r="BH15" s="588">
        <f t="shared" si="19"/>
        <v>0</v>
      </c>
      <c r="BI15" s="588">
        <f t="shared" si="20"/>
        <v>112.37</v>
      </c>
      <c r="BJ15" s="588">
        <v>0</v>
      </c>
      <c r="BK15" s="588">
        <f t="shared" si="21"/>
        <v>112.37</v>
      </c>
      <c r="BL15" s="956">
        <f>IF(S15&lt;&gt;"",IF(L15="",'CONCEPTOS Y PARAMETROS'!$A$102,0),0)</f>
        <v>0</v>
      </c>
      <c r="BM15" s="589">
        <f>ROUND((W15+AD15-BA15),2)+AL15</f>
        <v>29.97</v>
      </c>
      <c r="BN15" s="589">
        <f t="shared" ref="BN15" si="25">ROUND((W15+AE15+AN15+AO15+AS15),2)</f>
        <v>31.97</v>
      </c>
      <c r="BO15" s="590"/>
      <c r="BQ15" s="590"/>
      <c r="BR15" s="953">
        <f t="shared" ref="BR15:BR18" si="26">BM15-BS15</f>
        <v>0</v>
      </c>
      <c r="BS15" s="919">
        <f t="shared" ref="BS15:BS16" si="27">W15+AD15-BA15</f>
        <v>29.97</v>
      </c>
      <c r="BT15" s="919">
        <f>AT15</f>
        <v>0</v>
      </c>
      <c r="BU15" s="915">
        <v>1</v>
      </c>
      <c r="BV15" s="919">
        <f>AG15</f>
        <v>0</v>
      </c>
      <c r="BW15" s="919">
        <f>ROUND((W15+AE15),2)</f>
        <v>29.97</v>
      </c>
      <c r="BX15" s="919">
        <v>0</v>
      </c>
      <c r="BY15" s="919">
        <f>AO15</f>
        <v>0</v>
      </c>
      <c r="BZ15" s="919">
        <f t="shared" si="22"/>
        <v>0</v>
      </c>
      <c r="CA15" s="919">
        <f t="shared" si="23"/>
        <v>29.97</v>
      </c>
      <c r="CB15" s="919">
        <f>BA15+BF15</f>
        <v>0</v>
      </c>
      <c r="CC15" s="919">
        <f>BL15</f>
        <v>0</v>
      </c>
      <c r="CD15" s="752" t="e">
        <f>#REF!/4</f>
        <v>#REF!</v>
      </c>
      <c r="CE15" s="590"/>
      <c r="DD15" s="593"/>
      <c r="DG15" s="594">
        <v>7</v>
      </c>
      <c r="DH15" s="594">
        <v>5</v>
      </c>
    </row>
    <row r="16" spans="1:114" s="591" customFormat="1" ht="102" customHeight="1" x14ac:dyDescent="0.45">
      <c r="A16" s="874" t="s">
        <v>2847</v>
      </c>
      <c r="B16" s="559">
        <v>4</v>
      </c>
      <c r="C16" s="602">
        <v>10914417</v>
      </c>
      <c r="D16" s="603" t="s">
        <v>4661</v>
      </c>
      <c r="E16" s="604" t="s">
        <v>4635</v>
      </c>
      <c r="F16" s="605">
        <v>24293</v>
      </c>
      <c r="G16" s="604" t="s">
        <v>4633</v>
      </c>
      <c r="H16" s="606">
        <v>44256</v>
      </c>
      <c r="I16" s="565">
        <f t="shared" si="8"/>
        <v>4</v>
      </c>
      <c r="J16" s="608"/>
      <c r="K16" s="607">
        <f t="shared" si="9"/>
        <v>4</v>
      </c>
      <c r="L16" s="608"/>
      <c r="M16" s="608"/>
      <c r="N16" s="609" t="s">
        <v>753</v>
      </c>
      <c r="O16" s="868" t="s">
        <v>4794</v>
      </c>
      <c r="P16" s="610" t="str">
        <f>IFERROR(VLOOKUP(N16,CARGOS!A:E,2,0),"")</f>
        <v>00904</v>
      </c>
      <c r="Q16" s="604"/>
      <c r="R16" s="604"/>
      <c r="S16" s="611" t="s">
        <v>2836</v>
      </c>
      <c r="T16" s="612">
        <f>IFERROR(VLOOKUP(S16,'TAB EMP'!A:B,2,0),0)</f>
        <v>348</v>
      </c>
      <c r="U16" s="613">
        <v>0</v>
      </c>
      <c r="V16" s="585">
        <f t="shared" si="24"/>
        <v>348</v>
      </c>
      <c r="W16" s="614">
        <f t="shared" si="10"/>
        <v>174</v>
      </c>
      <c r="X16" s="615">
        <v>0</v>
      </c>
      <c r="Y16" s="585">
        <f>ROUND(IF(H16&lt;&gt;"",VLOOKUP(SUM(I16+J16),'CONCEPTOS Y PARAMETROS'!F:G,2,0)*V16,0),2)</f>
        <v>13.92</v>
      </c>
      <c r="Z16" s="585">
        <f>IF(S16&lt;&gt;"",IF(L16="",'CONCEPTOS Y PARAMETROS'!$C$4,0),0)</f>
        <v>130</v>
      </c>
      <c r="AA16" s="585">
        <f>IF(S16&lt;&gt;"",IF(L16="",'CONCEPTOS Y PARAMETROS'!$C$7*X16,0),0)</f>
        <v>0</v>
      </c>
      <c r="AB16" s="585">
        <f>IFERROR(ROUND(VLOOKUP($Q16,'CONCEPTOS Y PARAMETROS'!H:I,2,0)*($V16+Y16+Z16+AA16),2),0)</f>
        <v>0</v>
      </c>
      <c r="AC16" s="585">
        <f t="shared" si="11"/>
        <v>143.91999999999999</v>
      </c>
      <c r="AD16" s="575">
        <f t="shared" si="12"/>
        <v>71.959999999999994</v>
      </c>
      <c r="AE16" s="614">
        <f t="shared" si="13"/>
        <v>71.959999999999994</v>
      </c>
      <c r="AF16" s="616">
        <v>0</v>
      </c>
      <c r="AG16" s="617">
        <f>'CONCEPTOS Y PARAMETROS'!$C$18*AF16</f>
        <v>0</v>
      </c>
      <c r="AH16" s="616">
        <v>0</v>
      </c>
      <c r="AI16" s="617">
        <f>'CONCEPTOS Y PARAMETROS'!$C$21*AH16</f>
        <v>0</v>
      </c>
      <c r="AJ16" s="618">
        <v>0</v>
      </c>
      <c r="AK16" s="618">
        <v>0</v>
      </c>
      <c r="AL16" s="619">
        <f t="shared" si="14"/>
        <v>0</v>
      </c>
      <c r="AM16" s="585">
        <f t="shared" si="15"/>
        <v>491.92</v>
      </c>
      <c r="AN16" s="585">
        <f t="shared" si="0"/>
        <v>0</v>
      </c>
      <c r="AO16" s="614">
        <f>IF(T16&lt;&gt;"0",(ROUND(IF(A16="EMPLEADO",eval_formula('CONCEPTOS Y PARAMETROS'!$C$8,RAC!V16,RAC!$AM16,RAC!I16+RAC!J16),eval_formula('CONCEPTOS Y PARAMETROS'!$D$8,RAC!V16,RAC!$AM16,RAC!I16+RAC!J16)),2))*IF(H16&lt;&gt;"",IF(MONTH(H16)=$BB$8,IF(YEAR(H16)&lt;$BD$7,1,0),0)))</f>
        <v>0</v>
      </c>
      <c r="AP16" s="987">
        <v>180</v>
      </c>
      <c r="AQ16" s="981">
        <f>IFERROR(VLOOKUP(AP16,'CONCEPTOS Y PARAMETROS'!Y:Z,2,0),0)</f>
        <v>150</v>
      </c>
      <c r="AR16" s="981">
        <f t="shared" si="16"/>
        <v>3689.4</v>
      </c>
      <c r="AS16" s="585">
        <f t="shared" si="1"/>
        <v>16.399999999999999</v>
      </c>
      <c r="AT16" s="620">
        <v>350</v>
      </c>
      <c r="AU16" s="620">
        <v>0</v>
      </c>
      <c r="AV16" s="613">
        <v>0</v>
      </c>
      <c r="AW16" s="585">
        <f t="shared" si="2"/>
        <v>18.16</v>
      </c>
      <c r="AX16" s="621">
        <f t="shared" si="3"/>
        <v>2.27</v>
      </c>
      <c r="AY16" s="622">
        <f t="shared" si="4"/>
        <v>4.92</v>
      </c>
      <c r="AZ16" s="585">
        <v>0</v>
      </c>
      <c r="BA16" s="575">
        <f t="shared" si="17"/>
        <v>25.35</v>
      </c>
      <c r="BB16" s="585">
        <f t="shared" si="5"/>
        <v>40.869999999999997</v>
      </c>
      <c r="BC16" s="585">
        <f t="shared" si="6"/>
        <v>9.08</v>
      </c>
      <c r="BD16" s="585">
        <f t="shared" si="7"/>
        <v>9.84</v>
      </c>
      <c r="BE16" s="585">
        <v>0</v>
      </c>
      <c r="BF16" s="585">
        <f t="shared" si="18"/>
        <v>59.79</v>
      </c>
      <c r="BG16" s="587" t="s">
        <v>4710</v>
      </c>
      <c r="BH16" s="623">
        <f t="shared" si="19"/>
        <v>85.14</v>
      </c>
      <c r="BI16" s="588">
        <f t="shared" si="20"/>
        <v>922.35</v>
      </c>
      <c r="BJ16" s="588">
        <v>570</v>
      </c>
      <c r="BK16" s="588">
        <f t="shared" si="21"/>
        <v>1492.35</v>
      </c>
      <c r="BL16" s="957">
        <f>IF(S16&lt;&gt;"",IF(L16="",'CONCEPTOS Y PARAMETROS'!$A$102,0),0)</f>
        <v>7732</v>
      </c>
      <c r="BM16" s="589">
        <f>ROUND((W16+AD16-BA16),2)</f>
        <v>220.61</v>
      </c>
      <c r="BN16" s="589">
        <f>ROUND((W16+AE16+AN16+AO16+AS16),2)+AT16</f>
        <v>612.36</v>
      </c>
      <c r="BO16" s="590"/>
      <c r="BP16" s="590"/>
      <c r="BQ16" s="590"/>
      <c r="BR16" s="953">
        <f>BM16-BS16</f>
        <v>0</v>
      </c>
      <c r="BS16" s="919">
        <f t="shared" si="27"/>
        <v>220.60999999999999</v>
      </c>
      <c r="BT16" s="919">
        <f>AT16</f>
        <v>350</v>
      </c>
      <c r="BU16" s="915">
        <v>1</v>
      </c>
      <c r="BV16" s="919">
        <f>AG16</f>
        <v>0</v>
      </c>
      <c r="BW16" s="919">
        <f>ROUND((W16+AE16+BT16),2)</f>
        <v>595.96</v>
      </c>
      <c r="BX16" s="919">
        <v>0</v>
      </c>
      <c r="BY16" s="919">
        <f>AO16</f>
        <v>0</v>
      </c>
      <c r="BZ16" s="919">
        <f t="shared" si="22"/>
        <v>0</v>
      </c>
      <c r="CA16" s="919">
        <f t="shared" si="23"/>
        <v>595.96</v>
      </c>
      <c r="CB16" s="919">
        <f>BA16+BF16</f>
        <v>85.14</v>
      </c>
      <c r="CC16" s="919">
        <f>BL16</f>
        <v>7732</v>
      </c>
      <c r="CD16" s="752" t="e">
        <f>#REF!/4</f>
        <v>#REF!</v>
      </c>
      <c r="CE16" s="590"/>
      <c r="DD16" s="593"/>
      <c r="DG16" s="594">
        <v>9</v>
      </c>
      <c r="DH16" s="594">
        <v>4</v>
      </c>
    </row>
    <row r="17" spans="1:112" s="406" customFormat="1" ht="102" hidden="1" customHeight="1" x14ac:dyDescent="0.45">
      <c r="A17" s="414" t="s">
        <v>2847</v>
      </c>
      <c r="B17" s="412"/>
      <c r="C17" s="413"/>
      <c r="D17" s="486" t="s">
        <v>4698</v>
      </c>
      <c r="E17" s="414"/>
      <c r="F17" s="541"/>
      <c r="G17" s="414"/>
      <c r="H17" s="400"/>
      <c r="I17" s="450">
        <f>IF(AND(YEAR(H17)&lt;2024,MONTH(H17)&gt;$BB$8),2024-YEAR(H17)-1,IF(OR(H17="",YEAR(H17)&gt;2024),0,2024-YEAR(H17)))</f>
        <v>0</v>
      </c>
      <c r="J17" s="401"/>
      <c r="K17" s="450"/>
      <c r="L17" s="401"/>
      <c r="M17" s="401"/>
      <c r="N17" s="411" t="s">
        <v>4486</v>
      </c>
      <c r="O17" s="411"/>
      <c r="P17" s="431" t="s">
        <v>4551</v>
      </c>
      <c r="Q17" s="414"/>
      <c r="R17" s="414"/>
      <c r="S17" s="415"/>
      <c r="T17" s="448">
        <f>IFERROR(VLOOKUP(S17,'TAB EMP'!A:B,2,0),0)</f>
        <v>0</v>
      </c>
      <c r="U17" s="442">
        <v>0</v>
      </c>
      <c r="V17" s="410">
        <f t="shared" si="24"/>
        <v>0</v>
      </c>
      <c r="W17" s="443">
        <f t="shared" si="10"/>
        <v>0</v>
      </c>
      <c r="X17" s="414">
        <v>0</v>
      </c>
      <c r="Y17" s="410">
        <f>ROUND(IF(H17&lt;&gt;"",VLOOKUP(SUM(I17+J17),'CONCEPTOS Y PARAMETROS'!F:G,2,0)*V17,0),2)</f>
        <v>0</v>
      </c>
      <c r="Z17" s="410">
        <f>IF(S17&lt;&gt;"",IF(L17="",'CONCEPTOS Y PARAMETROS'!$C$4,0),0)</f>
        <v>0</v>
      </c>
      <c r="AA17" s="410">
        <f>IF(S17&lt;&gt;"",IF(L17="",'CONCEPTOS Y PARAMETROS'!$C$7*X17,0),0)</f>
        <v>0</v>
      </c>
      <c r="AB17" s="410">
        <f>IFERROR(ROUND(VLOOKUP($Q17,'CONCEPTOS Y PARAMETROS'!H:I,2,0)*($V17+Y17+Z17+AA17),2),0)</f>
        <v>0</v>
      </c>
      <c r="AC17" s="410">
        <f t="shared" si="11"/>
        <v>0</v>
      </c>
      <c r="AD17" s="403">
        <f t="shared" si="12"/>
        <v>0</v>
      </c>
      <c r="AE17" s="443">
        <f t="shared" si="13"/>
        <v>0</v>
      </c>
      <c r="AF17" s="451">
        <v>0</v>
      </c>
      <c r="AG17" s="444">
        <f>'CONCEPTOS Y PARAMETROS'!$C$18*AF17</f>
        <v>0</v>
      </c>
      <c r="AH17" s="451">
        <v>0</v>
      </c>
      <c r="AI17" s="444">
        <f>'CONCEPTOS Y PARAMETROS'!$C$21*AH17</f>
        <v>0</v>
      </c>
      <c r="AJ17" s="445">
        <v>0</v>
      </c>
      <c r="AK17" s="445">
        <v>0</v>
      </c>
      <c r="AL17" s="453">
        <f t="shared" si="14"/>
        <v>0</v>
      </c>
      <c r="AM17" s="410">
        <f t="shared" si="15"/>
        <v>0</v>
      </c>
      <c r="AN17" s="410">
        <f t="shared" si="0"/>
        <v>0</v>
      </c>
      <c r="AO17" s="443">
        <f>IF(T17&lt;&gt;"0",(ROUND(IF(A17="EMPLEADO",eval_formula('CONCEPTOS Y PARAMETROS'!$C$8,RAC!V17,RAC!$AM17,RAC!I17+RAC!J17),eval_formula('CONCEPTOS Y PARAMETROS'!$D$8,RAC!V17,RAC!$AM17,RAC!I17+RAC!J17)),2))*IF(H17&lt;&gt;"",IF(MONTH(H17)=$BB$8,IF(YEAR(H17)&lt;$BD$7,1,0),0)))</f>
        <v>0</v>
      </c>
      <c r="AP17" s="988">
        <v>180</v>
      </c>
      <c r="AQ17" s="443"/>
      <c r="AR17" s="443"/>
      <c r="AS17" s="410">
        <f t="shared" si="1"/>
        <v>0</v>
      </c>
      <c r="AT17" s="479">
        <v>0</v>
      </c>
      <c r="AU17" s="479"/>
      <c r="AV17" s="442"/>
      <c r="AW17" s="410">
        <f t="shared" si="2"/>
        <v>0</v>
      </c>
      <c r="AX17" s="410">
        <f t="shared" si="3"/>
        <v>0</v>
      </c>
      <c r="AY17" s="410">
        <f t="shared" si="4"/>
        <v>0</v>
      </c>
      <c r="AZ17" s="410">
        <v>0</v>
      </c>
      <c r="BA17" s="443">
        <f t="shared" ref="BA17" si="28">ROUND(SUM(AW17:AY17),2)</f>
        <v>0</v>
      </c>
      <c r="BB17" s="410">
        <f t="shared" si="5"/>
        <v>0</v>
      </c>
      <c r="BC17" s="410">
        <f t="shared" si="6"/>
        <v>0</v>
      </c>
      <c r="BD17" s="410">
        <f t="shared" si="7"/>
        <v>0</v>
      </c>
      <c r="BE17" s="410">
        <v>0</v>
      </c>
      <c r="BF17" s="410">
        <f t="shared" si="18"/>
        <v>0</v>
      </c>
      <c r="BG17" s="442"/>
      <c r="BH17" s="452">
        <f t="shared" si="19"/>
        <v>0</v>
      </c>
      <c r="BI17" s="1000"/>
      <c r="BJ17" s="1000"/>
      <c r="BK17" s="1000"/>
      <c r="BL17" s="449">
        <f>IF(T17&lt;&gt;"",IF(L17="",'CONCEPTOS Y PARAMETROS'!$A$102,0),0)</f>
        <v>7732</v>
      </c>
      <c r="BM17" s="589">
        <f t="shared" ref="BM17" si="29">ROUND((W17+AD17-BA17),2)+AL17+AU17</f>
        <v>0</v>
      </c>
      <c r="BN17" s="405">
        <f>ROUND((W17+AE17+AN17+AO17+AS17),2)+AT17+AL17</f>
        <v>0</v>
      </c>
      <c r="BO17" s="590"/>
      <c r="BP17" s="590"/>
      <c r="BQ17" s="590"/>
      <c r="BR17" s="953">
        <f t="shared" si="26"/>
        <v>0</v>
      </c>
      <c r="BS17" s="919"/>
      <c r="BT17" s="919"/>
      <c r="BU17" s="920"/>
      <c r="BV17" s="919"/>
      <c r="BW17" s="919"/>
      <c r="BX17" s="919"/>
      <c r="BY17" s="919"/>
      <c r="BZ17" s="919">
        <f t="shared" si="22"/>
        <v>0</v>
      </c>
      <c r="CA17" s="919"/>
      <c r="CB17" s="919"/>
      <c r="CC17" s="919"/>
      <c r="CE17" s="407"/>
      <c r="DD17" s="408"/>
      <c r="DG17" s="409"/>
      <c r="DH17" s="409"/>
    </row>
    <row r="18" spans="1:112" s="670" customFormat="1" ht="102" customHeight="1" thickBot="1" x14ac:dyDescent="0.55000000000000004">
      <c r="A18" s="661"/>
      <c r="B18" s="662">
        <f>COUNT(B13:B17)</f>
        <v>4</v>
      </c>
      <c r="C18" s="1017" t="s">
        <v>2865</v>
      </c>
      <c r="D18" s="1018"/>
      <c r="E18" s="663"/>
      <c r="F18" s="664"/>
      <c r="G18" s="663"/>
      <c r="H18" s="663"/>
      <c r="I18" s="663"/>
      <c r="J18" s="663"/>
      <c r="K18" s="663"/>
      <c r="L18" s="663"/>
      <c r="M18" s="663"/>
      <c r="N18" s="663"/>
      <c r="O18" s="663"/>
      <c r="P18" s="663"/>
      <c r="Q18" s="663"/>
      <c r="R18" s="663"/>
      <c r="S18" s="665"/>
      <c r="T18" s="666">
        <f t="shared" ref="T18:BF18" si="30">SUM(T13:T17)</f>
        <v>1102</v>
      </c>
      <c r="U18" s="666">
        <f t="shared" si="30"/>
        <v>628</v>
      </c>
      <c r="V18" s="666">
        <f t="shared" si="30"/>
        <v>474</v>
      </c>
      <c r="W18" s="666">
        <f t="shared" si="30"/>
        <v>237</v>
      </c>
      <c r="X18" s="666">
        <f t="shared" si="30"/>
        <v>0</v>
      </c>
      <c r="Y18" s="666">
        <f t="shared" si="30"/>
        <v>14.86</v>
      </c>
      <c r="Z18" s="666">
        <f t="shared" si="30"/>
        <v>130</v>
      </c>
      <c r="AA18" s="666">
        <f t="shared" si="30"/>
        <v>0</v>
      </c>
      <c r="AB18" s="666">
        <f t="shared" si="30"/>
        <v>11.99</v>
      </c>
      <c r="AC18" s="666">
        <f t="shared" si="30"/>
        <v>156.85</v>
      </c>
      <c r="AD18" s="666">
        <f t="shared" si="30"/>
        <v>78.429999999999993</v>
      </c>
      <c r="AE18" s="666">
        <f t="shared" si="30"/>
        <v>78.429999999999993</v>
      </c>
      <c r="AF18" s="666">
        <f t="shared" si="30"/>
        <v>0</v>
      </c>
      <c r="AG18" s="666">
        <f t="shared" si="30"/>
        <v>0</v>
      </c>
      <c r="AH18" s="666">
        <f t="shared" si="30"/>
        <v>0</v>
      </c>
      <c r="AI18" s="666">
        <f t="shared" si="30"/>
        <v>0</v>
      </c>
      <c r="AJ18" s="666">
        <f t="shared" si="30"/>
        <v>0</v>
      </c>
      <c r="AK18" s="666">
        <f t="shared" si="30"/>
        <v>0</v>
      </c>
      <c r="AL18" s="666">
        <f t="shared" si="30"/>
        <v>0</v>
      </c>
      <c r="AM18" s="666">
        <f t="shared" si="30"/>
        <v>630.85</v>
      </c>
      <c r="AN18" s="666">
        <f t="shared" si="30"/>
        <v>0</v>
      </c>
      <c r="AO18" s="666">
        <f t="shared" si="30"/>
        <v>0</v>
      </c>
      <c r="AP18" s="989">
        <f t="shared" si="30"/>
        <v>900</v>
      </c>
      <c r="AQ18" s="666">
        <f t="shared" si="30"/>
        <v>600</v>
      </c>
      <c r="AR18" s="666">
        <f t="shared" si="30"/>
        <v>4731.38</v>
      </c>
      <c r="AS18" s="666">
        <f>SUM(AS13:AS17)</f>
        <v>21.029999999999998</v>
      </c>
      <c r="AT18" s="666">
        <f t="shared" si="30"/>
        <v>350</v>
      </c>
      <c r="AU18" s="666">
        <f t="shared" si="30"/>
        <v>0</v>
      </c>
      <c r="AV18" s="666">
        <f>SUM(AV13:AV17)</f>
        <v>0</v>
      </c>
      <c r="AW18" s="666">
        <f t="shared" si="30"/>
        <v>18.16</v>
      </c>
      <c r="AX18" s="666">
        <f t="shared" si="30"/>
        <v>2.27</v>
      </c>
      <c r="AY18" s="666">
        <f t="shared" si="30"/>
        <v>4.92</v>
      </c>
      <c r="AZ18" s="666">
        <f t="shared" si="30"/>
        <v>0</v>
      </c>
      <c r="BA18" s="666">
        <f t="shared" si="30"/>
        <v>25.35</v>
      </c>
      <c r="BB18" s="666">
        <f t="shared" si="30"/>
        <v>40.869999999999997</v>
      </c>
      <c r="BC18" s="666">
        <f t="shared" si="30"/>
        <v>9.08</v>
      </c>
      <c r="BD18" s="666">
        <f t="shared" si="30"/>
        <v>9.84</v>
      </c>
      <c r="BE18" s="666">
        <f t="shared" si="30"/>
        <v>0</v>
      </c>
      <c r="BF18" s="666">
        <f t="shared" si="30"/>
        <v>59.79</v>
      </c>
      <c r="BG18" s="666"/>
      <c r="BH18" s="960">
        <f>SUM(BH13:BH17)</f>
        <v>85.14</v>
      </c>
      <c r="BI18" s="960">
        <f>SUM(BI13:BI17)</f>
        <v>1182.8499999999999</v>
      </c>
      <c r="BJ18" s="960">
        <f t="shared" ref="BJ18:BK18" si="31">SUM(BJ13:BJ17)</f>
        <v>570</v>
      </c>
      <c r="BK18" s="960">
        <f t="shared" si="31"/>
        <v>1752.85</v>
      </c>
      <c r="BL18" s="960">
        <f>+BL16</f>
        <v>7732</v>
      </c>
      <c r="BM18" s="960">
        <f>SUM(BM13:BM17)</f>
        <v>290.08000000000004</v>
      </c>
      <c r="BN18" s="960">
        <f>SUM(BN13:BN17)</f>
        <v>686.46</v>
      </c>
      <c r="BO18" s="590"/>
      <c r="BP18" s="590"/>
      <c r="BQ18" s="590"/>
      <c r="BR18" s="953">
        <f t="shared" si="26"/>
        <v>0</v>
      </c>
      <c r="BS18" s="669">
        <f>SUM(BS13:BS17)</f>
        <v>290.08</v>
      </c>
      <c r="BT18" s="669">
        <f t="shared" ref="BT18:CD18" si="32">SUM(BT13:BT16)</f>
        <v>350</v>
      </c>
      <c r="BU18" s="910">
        <f t="shared" si="32"/>
        <v>3</v>
      </c>
      <c r="BV18" s="669">
        <f>SUM(BV13:BV16)</f>
        <v>0</v>
      </c>
      <c r="BW18" s="669">
        <f t="shared" si="32"/>
        <v>665.43000000000006</v>
      </c>
      <c r="BX18" s="669">
        <f t="shared" si="32"/>
        <v>0</v>
      </c>
      <c r="BY18" s="669">
        <f t="shared" si="32"/>
        <v>0</v>
      </c>
      <c r="BZ18" s="669">
        <f t="shared" si="32"/>
        <v>0</v>
      </c>
      <c r="CA18" s="669">
        <f t="shared" si="32"/>
        <v>665.43000000000006</v>
      </c>
      <c r="CB18" s="669">
        <f t="shared" si="32"/>
        <v>85.14</v>
      </c>
      <c r="CC18" s="669">
        <f t="shared" si="32"/>
        <v>7732</v>
      </c>
      <c r="CD18" s="669" t="e">
        <f t="shared" si="32"/>
        <v>#REF!</v>
      </c>
      <c r="CE18" s="667"/>
      <c r="CG18" s="668"/>
      <c r="CH18" s="668"/>
      <c r="CI18" s="668"/>
      <c r="DD18" s="671"/>
      <c r="DG18" s="671"/>
      <c r="DH18" s="671"/>
    </row>
    <row r="19" spans="1:112" s="429" customFormat="1" ht="80.099999999999994" customHeight="1" thickBot="1" x14ac:dyDescent="0.5">
      <c r="A19" s="416" t="s">
        <v>4572</v>
      </c>
      <c r="B19" s="417"/>
      <c r="C19" s="418"/>
      <c r="D19" s="487"/>
      <c r="E19" s="419"/>
      <c r="F19" s="420"/>
      <c r="G19" s="420"/>
      <c r="H19" s="421"/>
      <c r="I19" s="422"/>
      <c r="J19" s="422"/>
      <c r="K19" s="422"/>
      <c r="L19" s="422"/>
      <c r="M19" s="422"/>
      <c r="N19" s="423"/>
      <c r="O19" s="423"/>
      <c r="P19" s="423"/>
      <c r="Q19" s="422"/>
      <c r="R19" s="422"/>
      <c r="S19" s="424"/>
      <c r="T19" s="425"/>
      <c r="U19" s="422"/>
      <c r="V19" s="422"/>
      <c r="W19" s="971">
        <f>+W18-BA18</f>
        <v>211.65</v>
      </c>
      <c r="X19" s="972"/>
      <c r="Y19" s="971">
        <f>+Y18/2</f>
        <v>7.43</v>
      </c>
      <c r="Z19" s="971"/>
      <c r="AA19" s="971"/>
      <c r="AB19" s="971">
        <f>+AB18/2</f>
        <v>5.9950000000000001</v>
      </c>
      <c r="AC19" s="426"/>
      <c r="AD19" s="426"/>
      <c r="AE19" s="426"/>
      <c r="AF19" s="426"/>
      <c r="AG19" s="427"/>
      <c r="AH19" s="427"/>
      <c r="AI19" s="427"/>
      <c r="AJ19" s="427"/>
      <c r="AK19" s="427"/>
      <c r="AL19" s="427"/>
      <c r="AM19" s="422"/>
      <c r="AN19" s="422"/>
      <c r="AO19" s="426"/>
      <c r="AP19" s="990"/>
      <c r="AQ19" s="426"/>
      <c r="AR19" s="426"/>
      <c r="AS19" s="422"/>
      <c r="AT19" s="480"/>
      <c r="AU19" s="480"/>
      <c r="AV19" s="426"/>
      <c r="AW19" s="422"/>
      <c r="AX19" s="422"/>
      <c r="AY19" s="422"/>
      <c r="AZ19" s="422"/>
      <c r="BA19" s="422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8"/>
      <c r="BN19" s="428"/>
      <c r="BO19" s="590"/>
      <c r="BP19" s="590"/>
      <c r="BQ19" s="590"/>
      <c r="BR19" s="428"/>
      <c r="BS19" s="919"/>
      <c r="BT19" s="919"/>
      <c r="BU19" s="920"/>
      <c r="BV19" s="921"/>
      <c r="BW19" s="921"/>
      <c r="BX19" s="921"/>
      <c r="BY19" s="921"/>
      <c r="BZ19" s="921"/>
      <c r="CA19" s="921"/>
      <c r="CB19" s="921"/>
      <c r="CC19" s="921"/>
      <c r="CD19" s="752"/>
      <c r="CE19" s="428"/>
      <c r="CG19" s="428"/>
      <c r="CH19" s="428"/>
      <c r="CI19" s="428"/>
      <c r="DD19" s="430"/>
      <c r="DG19" s="430"/>
      <c r="DH19" s="430"/>
    </row>
    <row r="20" spans="1:112" s="591" customFormat="1" ht="102" customHeight="1" thickBot="1" x14ac:dyDescent="0.5">
      <c r="A20" s="558" t="s">
        <v>2847</v>
      </c>
      <c r="B20" s="624">
        <v>1</v>
      </c>
      <c r="C20" s="560">
        <v>11705234</v>
      </c>
      <c r="D20" s="625" t="s">
        <v>4668</v>
      </c>
      <c r="E20" s="562" t="s">
        <v>4635</v>
      </c>
      <c r="F20" s="563">
        <v>27156</v>
      </c>
      <c r="G20" s="562" t="s">
        <v>4633</v>
      </c>
      <c r="H20" s="564">
        <v>44271</v>
      </c>
      <c r="I20" s="565">
        <f>IF(AND(YEAR(H20)&lt;2025,MONTH(H20)&gt;$BB$8),2025-YEAR(H20)-1,IF(OR(H20="",YEAR(H20)&gt;2025),0,2025-YEAR(H20)))</f>
        <v>4</v>
      </c>
      <c r="J20" s="566"/>
      <c r="K20" s="565">
        <f t="shared" ref="K20:K23" si="33">I20+J20</f>
        <v>4</v>
      </c>
      <c r="L20" s="567"/>
      <c r="M20" s="567"/>
      <c r="N20" s="568" t="s">
        <v>697</v>
      </c>
      <c r="O20" s="568"/>
      <c r="P20" s="626" t="str">
        <f>IFERROR(VLOOKUP(N20,CARGOS!A:E,2,0),"")</f>
        <v>21131</v>
      </c>
      <c r="Q20" s="562" t="s">
        <v>2895</v>
      </c>
      <c r="R20" s="562"/>
      <c r="S20" s="947" t="s">
        <v>4795</v>
      </c>
      <c r="T20" s="627">
        <f>IFERROR(VLOOKUP(S20,'TAB EMP'!A:B,2,0),0)</f>
        <v>277</v>
      </c>
      <c r="U20" s="572">
        <v>0</v>
      </c>
      <c r="V20" s="571">
        <f t="shared" ref="V20:V23" si="34">T20-U20</f>
        <v>277</v>
      </c>
      <c r="W20" s="573">
        <f t="shared" ref="W20:W23" si="35">V20/2</f>
        <v>138.5</v>
      </c>
      <c r="X20" s="574">
        <v>0</v>
      </c>
      <c r="Y20" s="571">
        <f>ROUND(IF(H20&lt;&gt;"",VLOOKUP(SUM(I20+J20),'CONCEPTOS Y PARAMETROS'!F:G,2,0)*V20,0),2)</f>
        <v>11.08</v>
      </c>
      <c r="Z20" s="571">
        <f>IF(S20&lt;&gt;"",IF(L20="",'CONCEPTOS Y PARAMETROS'!$C$4,0),0)</f>
        <v>130</v>
      </c>
      <c r="AA20" s="571">
        <f>IF(S20&lt;&gt;"",IF(L20="",'CONCEPTOS Y PARAMETROS'!$C$7*X20,0),0)</f>
        <v>0</v>
      </c>
      <c r="AB20" s="571">
        <f>IFERROR(ROUND(VLOOKUP($Q20,'CONCEPTOS Y PARAMETROS'!H:I,2,0)*($V20+Y20+Z20+AA20),2),0)</f>
        <v>104.52</v>
      </c>
      <c r="AC20" s="571">
        <f t="shared" ref="AC20:AC23" si="36">SUM(Y20:AB20)</f>
        <v>245.60000000000002</v>
      </c>
      <c r="AD20" s="575">
        <f t="shared" ref="AD20:AD23" si="37">ROUND(((Y20+Z20+AB20)/2),2)+AA20</f>
        <v>122.8</v>
      </c>
      <c r="AE20" s="575">
        <f t="shared" ref="AE20:AE23" si="38">ROUND(((Y20+Z20+AB20)/2),2)</f>
        <v>122.8</v>
      </c>
      <c r="AF20" s="576">
        <v>0</v>
      </c>
      <c r="AG20" s="577">
        <f>'CONCEPTOS Y PARAMETROS'!$C$18*AF20</f>
        <v>0</v>
      </c>
      <c r="AH20" s="576">
        <v>0</v>
      </c>
      <c r="AI20" s="577">
        <f>'CONCEPTOS Y PARAMETROS'!$C$21*AH20</f>
        <v>0</v>
      </c>
      <c r="AJ20" s="578">
        <v>0</v>
      </c>
      <c r="AK20" s="578">
        <v>0</v>
      </c>
      <c r="AL20" s="579">
        <f t="shared" ref="AL20:AL23" si="39">AG20+AI20+AJ20+AK20</f>
        <v>0</v>
      </c>
      <c r="AM20" s="580">
        <f>ROUND((V20+AC20+AN20),2)</f>
        <v>522.6</v>
      </c>
      <c r="AN20" s="580">
        <f t="shared" ref="AN20:AN23" si="40">ROUND(IF(N20="VIGILANTE",(V20+AC20)*30%,0),2)</f>
        <v>0</v>
      </c>
      <c r="AO20" s="573">
        <f>IF(T20&lt;&gt;"0",(ROUND(IF(A20="EMPLEADO",eval_formula('CONCEPTOS Y PARAMETROS'!$C$8,RAC!V20,RAC!$AM20,RAC!I20+RAC!J20),eval_formula('CONCEPTOS Y PARAMETROS'!$D$8,RAC!V20,RAC!$AM20,RAC!I20+RAC!J20)),2))*IF(H20&lt;&gt;"",IF(MONTH(H20)=$BB$8,IF(YEAR(H20)&lt;$BD$7,1,0),0)))</f>
        <v>0</v>
      </c>
      <c r="AP20" s="987">
        <v>180</v>
      </c>
      <c r="AQ20" s="981">
        <f>IFERROR(VLOOKUP(AP20,'CONCEPTOS Y PARAMETROS'!Y:Z,2,0),0)</f>
        <v>150</v>
      </c>
      <c r="AR20" s="981">
        <f t="shared" ref="AR20:AR23" si="41">ROUND((((AM20))/30*AP20/12+(AM20))/30*AQ20,2)</f>
        <v>3919.5</v>
      </c>
      <c r="AS20" s="571">
        <f>ROUND((+AM20/30*$AS$10),2)</f>
        <v>17.420000000000002</v>
      </c>
      <c r="AT20" s="581">
        <v>350</v>
      </c>
      <c r="AU20" s="581">
        <v>0</v>
      </c>
      <c r="AV20" s="582">
        <v>0</v>
      </c>
      <c r="AW20" s="571">
        <f>ROUND(IF(L20="", (((AM20*12)/52)*4%)*$BC$8,0),2)</f>
        <v>19.3</v>
      </c>
      <c r="AX20" s="583">
        <f>ROUND(IF(L20="",(((AM20*12)/52)*0.5%)*$BC$8,0),2)</f>
        <v>2.41</v>
      </c>
      <c r="AY20" s="584">
        <f>ROUND(IF(L20="",(AM20*1%),0),2)</f>
        <v>5.23</v>
      </c>
      <c r="AZ20" s="571">
        <v>0</v>
      </c>
      <c r="BA20" s="575">
        <f t="shared" ref="BA20:BA23" si="42">ROUND(SUM(AW20:AY20),2)</f>
        <v>26.94</v>
      </c>
      <c r="BB20" s="571">
        <f>ROUND(IF(L20="", (((AM20*12)/52)*9%)*$BC$8,0),2)</f>
        <v>43.42</v>
      </c>
      <c r="BC20" s="571">
        <f>ROUND(IF(L20="",(((AM20*12)/52)*2%)*$BC$8,0),2)</f>
        <v>9.65</v>
      </c>
      <c r="BD20" s="571">
        <f>ROUND(IF(L20="",(AM20*2%),0),2)</f>
        <v>10.45</v>
      </c>
      <c r="BE20" s="571">
        <v>0</v>
      </c>
      <c r="BF20" s="586">
        <f>ROUND(SUM(BB20:BD20),2)</f>
        <v>63.52</v>
      </c>
      <c r="BG20" s="587" t="s">
        <v>4711</v>
      </c>
      <c r="BH20" s="588">
        <f t="shared" ref="BH20:BH23" si="43">ROUND(BA20+BF20,2)</f>
        <v>90.46</v>
      </c>
      <c r="BI20" s="588">
        <f t="shared" ref="BI20:BI36" si="44">ROUND(AR20/4,2)</f>
        <v>979.88</v>
      </c>
      <c r="BJ20" s="588">
        <v>570</v>
      </c>
      <c r="BK20" s="588">
        <f>+BI20+BJ20</f>
        <v>1549.88</v>
      </c>
      <c r="BL20" s="957">
        <f>IF(S20&lt;&gt;"",IF(L20="",'CONCEPTOS Y PARAMETROS'!$A$102,0),0)</f>
        <v>7732</v>
      </c>
      <c r="BM20" s="589">
        <f>ROUND((W20+AD20-BA20),2)</f>
        <v>234.36</v>
      </c>
      <c r="BN20" s="589">
        <f>ROUND((W20+AE20+AN20+AO20+AS20),2)+AT20</f>
        <v>628.72</v>
      </c>
      <c r="BO20" s="590">
        <f>+BN20-AT20</f>
        <v>278.72000000000003</v>
      </c>
      <c r="BP20" s="590"/>
      <c r="BQ20" s="590" t="s">
        <v>4865</v>
      </c>
      <c r="BR20" s="628"/>
      <c r="BS20" s="919">
        <f t="shared" ref="BS20:BS23" si="45">W20+AD20-BA20</f>
        <v>234.36</v>
      </c>
      <c r="BT20" s="919">
        <f>AT20</f>
        <v>350</v>
      </c>
      <c r="BU20" s="915">
        <v>1</v>
      </c>
      <c r="BV20" s="919">
        <f>AG20</f>
        <v>0</v>
      </c>
      <c r="BW20" s="919">
        <f>ROUND((W20+AE20+BT20),2)</f>
        <v>611.29999999999995</v>
      </c>
      <c r="BX20" s="919">
        <v>0</v>
      </c>
      <c r="BY20" s="919">
        <f>AO20</f>
        <v>0</v>
      </c>
      <c r="BZ20" s="919">
        <f t="shared" si="22"/>
        <v>0</v>
      </c>
      <c r="CA20" s="919">
        <f>ROUND(SUM(BV20:BY20),2)</f>
        <v>611.29999999999995</v>
      </c>
      <c r="CB20" s="919">
        <f>BA20+BF20</f>
        <v>90.460000000000008</v>
      </c>
      <c r="CC20" s="919">
        <f>BL20</f>
        <v>7732</v>
      </c>
      <c r="CD20" s="752" t="e">
        <f>#REF!/4</f>
        <v>#REF!</v>
      </c>
      <c r="CE20" s="590"/>
      <c r="CG20" s="628"/>
      <c r="CH20" s="628"/>
      <c r="CI20" s="628"/>
      <c r="DD20" s="593"/>
      <c r="DG20" s="593"/>
      <c r="DH20" s="593"/>
    </row>
    <row r="21" spans="1:112" s="591" customFormat="1" ht="102" customHeight="1" thickBot="1" x14ac:dyDescent="0.5">
      <c r="A21" s="558" t="s">
        <v>2847</v>
      </c>
      <c r="B21" s="629">
        <f t="shared" ref="B21:B23" ca="1" si="46">OFFSET(B21,-1,0)+1</f>
        <v>2</v>
      </c>
      <c r="C21" s="560">
        <v>10401374</v>
      </c>
      <c r="D21" s="625" t="s">
        <v>4670</v>
      </c>
      <c r="E21" s="562" t="s">
        <v>4635</v>
      </c>
      <c r="F21" s="563">
        <v>25848</v>
      </c>
      <c r="G21" s="562" t="s">
        <v>4634</v>
      </c>
      <c r="H21" s="564">
        <v>44577</v>
      </c>
      <c r="I21" s="565">
        <f t="shared" ref="I21:I23" si="47">IF(AND(YEAR(H21)&lt;2025,MONTH(H21)&gt;$BB$8),2025-YEAR(H21)-1,IF(OR(H21="",YEAR(H21)&gt;2025),0,2025-YEAR(H21)))</f>
        <v>3</v>
      </c>
      <c r="J21" s="630" t="s">
        <v>4472</v>
      </c>
      <c r="K21" s="565">
        <f t="shared" si="33"/>
        <v>15</v>
      </c>
      <c r="L21" s="567"/>
      <c r="M21" s="567"/>
      <c r="N21" s="568" t="s">
        <v>74</v>
      </c>
      <c r="O21" s="631"/>
      <c r="P21" s="626" t="str">
        <f>IFERROR(VLOOKUP(N21,CARGOS!A:E,2,0),"")</f>
        <v>12121</v>
      </c>
      <c r="Q21" s="562" t="s">
        <v>2895</v>
      </c>
      <c r="R21" s="562"/>
      <c r="S21" s="948" t="s">
        <v>4866</v>
      </c>
      <c r="T21" s="627">
        <f>IFERROR(VLOOKUP(S21,'TAB EMP'!A:B,2,0),0)</f>
        <v>285</v>
      </c>
      <c r="U21" s="572">
        <v>0</v>
      </c>
      <c r="V21" s="571">
        <f t="shared" si="34"/>
        <v>285</v>
      </c>
      <c r="W21" s="573">
        <f t="shared" si="35"/>
        <v>142.5</v>
      </c>
      <c r="X21" s="574">
        <v>1</v>
      </c>
      <c r="Y21" s="571">
        <f>ROUND(IF(H21&lt;&gt;"",VLOOKUP(SUM(I21+J21),'CONCEPTOS Y PARAMETROS'!F:G,2,0)*V21,0),2)</f>
        <v>51.3</v>
      </c>
      <c r="Z21" s="571">
        <f>IF(S21&lt;&gt;"",IF(L21="",'CONCEPTOS Y PARAMETROS'!$C$4,0),0)</f>
        <v>130</v>
      </c>
      <c r="AA21" s="571">
        <f>ROUND(IF(S21&lt;&gt;"",IF(L21="",'CONCEPTOS Y PARAMETROS'!$C$7*X21,0),0),2)</f>
        <v>12.5</v>
      </c>
      <c r="AB21" s="571">
        <f>IFERROR(ROUND(VLOOKUP($Q21,'CONCEPTOS Y PARAMETROS'!H:I,2,0)*($V21+Y21+Z21+AA21),2),0)</f>
        <v>119.7</v>
      </c>
      <c r="AC21" s="571">
        <f>ROUND(SUM(Y21:AB21),2)</f>
        <v>313.5</v>
      </c>
      <c r="AD21" s="575">
        <f t="shared" si="37"/>
        <v>163</v>
      </c>
      <c r="AE21" s="575">
        <f t="shared" si="38"/>
        <v>150.5</v>
      </c>
      <c r="AF21" s="576">
        <v>1</v>
      </c>
      <c r="AG21" s="577">
        <f>'CONCEPTOS Y PARAMETROS'!$C$18*AF21</f>
        <v>12.5</v>
      </c>
      <c r="AH21" s="576">
        <v>0</v>
      </c>
      <c r="AI21" s="577">
        <f>'CONCEPTOS Y PARAMETROS'!$C$21*AH21</f>
        <v>0</v>
      </c>
      <c r="AJ21" s="578">
        <v>0</v>
      </c>
      <c r="AK21" s="578">
        <v>0</v>
      </c>
      <c r="AL21" s="579">
        <f t="shared" si="39"/>
        <v>12.5</v>
      </c>
      <c r="AM21" s="580">
        <f t="shared" ref="AM21:AM23" si="48">ROUND((V21+AC21+AN21),2)</f>
        <v>598.5</v>
      </c>
      <c r="AN21" s="580">
        <f t="shared" si="40"/>
        <v>0</v>
      </c>
      <c r="AO21" s="573">
        <f>IF(T21&lt;&gt;"0",(ROUND(IF(A21="EMPLEADO",eval_formula('CONCEPTOS Y PARAMETROS'!$C$8,RAC!V21,RAC!$AM21,RAC!I21+RAC!J21),eval_formula('CONCEPTOS Y PARAMETROS'!$D$8,RAC!V21,RAC!$AM21,RAC!I21+RAC!J21)),2))*IF(H21&lt;&gt;"",IF(MONTH(H21)=$BB$8,IF(YEAR(H21)&lt;$BD$7,1,0),0)))</f>
        <v>0</v>
      </c>
      <c r="AP21" s="987">
        <v>180</v>
      </c>
      <c r="AQ21" s="981">
        <f>IFERROR(VLOOKUP(AP21,'CONCEPTOS Y PARAMETROS'!Y:Z,2,0),0)</f>
        <v>150</v>
      </c>
      <c r="AR21" s="981">
        <f t="shared" si="41"/>
        <v>4488.75</v>
      </c>
      <c r="AS21" s="571">
        <f>ROUND((+AM21/30*$AS$10),2)</f>
        <v>19.95</v>
      </c>
      <c r="AT21" s="581">
        <v>350</v>
      </c>
      <c r="AU21" s="581">
        <v>0</v>
      </c>
      <c r="AV21" s="582">
        <v>0</v>
      </c>
      <c r="AW21" s="571">
        <f>ROUND(IF(L21="", (((AM21*12)/52)*4%)*$BC$8,0),2)</f>
        <v>22.1</v>
      </c>
      <c r="AX21" s="583">
        <f>ROUND(IF(L21="",(((AM21*12)/52)*0.5%)*$BC$8,0),2)</f>
        <v>2.76</v>
      </c>
      <c r="AY21" s="584">
        <f>ROUND(IF(L21="",(AM21*1%),0),2)</f>
        <v>5.99</v>
      </c>
      <c r="AZ21" s="571">
        <v>0</v>
      </c>
      <c r="BA21" s="575">
        <f t="shared" si="42"/>
        <v>30.85</v>
      </c>
      <c r="BB21" s="571">
        <f>ROUND(IF(L21="", (((AM21*12)/52)*9%)*$BC$8,0),2)</f>
        <v>49.72</v>
      </c>
      <c r="BC21" s="571">
        <f>ROUND(IF(L21="",(((AM21*12)/52)*2%)*$BC$8,0),2)</f>
        <v>11.05</v>
      </c>
      <c r="BD21" s="571">
        <f>ROUND(IF(L21="",(AM21*2%),0),2)</f>
        <v>11.97</v>
      </c>
      <c r="BE21" s="571">
        <v>0</v>
      </c>
      <c r="BF21" s="586">
        <f t="shared" ref="BF21:BF23" si="49">ROUND(SUM(BB21:BD21),2)</f>
        <v>72.739999999999995</v>
      </c>
      <c r="BG21" s="587" t="s">
        <v>4713</v>
      </c>
      <c r="BH21" s="588">
        <f t="shared" si="43"/>
        <v>103.59</v>
      </c>
      <c r="BI21" s="588">
        <f t="shared" si="44"/>
        <v>1122.19</v>
      </c>
      <c r="BJ21" s="588">
        <v>570</v>
      </c>
      <c r="BK21" s="588">
        <f t="shared" ref="BK21:BK23" si="50">+BI21+BJ21</f>
        <v>1692.19</v>
      </c>
      <c r="BL21" s="957">
        <f>IF(S21&lt;&gt;"",IF(L21="",'CONCEPTOS Y PARAMETROS'!$A$102,0),0)</f>
        <v>7732</v>
      </c>
      <c r="BM21" s="589">
        <f t="shared" ref="BM21:BM23" si="51">ROUND((W21+AD21-BA21),2)</f>
        <v>274.64999999999998</v>
      </c>
      <c r="BN21" s="589">
        <f t="shared" ref="BN21:BN23" si="52">ROUND((W21+AE21+AN21+AO21+AS21),2)+AT21</f>
        <v>662.95</v>
      </c>
      <c r="BO21" s="590">
        <f t="shared" ref="BO21:BO23" si="53">+BN21-AT21</f>
        <v>312.95000000000005</v>
      </c>
      <c r="BP21" s="590"/>
      <c r="BQ21" s="944" t="s">
        <v>4868</v>
      </c>
      <c r="BR21" s="628"/>
      <c r="BS21" s="919">
        <f t="shared" si="45"/>
        <v>274.64999999999998</v>
      </c>
      <c r="BT21" s="919">
        <f>AT21</f>
        <v>350</v>
      </c>
      <c r="BU21" s="915">
        <v>1</v>
      </c>
      <c r="BV21" s="919">
        <f>AG21</f>
        <v>12.5</v>
      </c>
      <c r="BW21" s="919">
        <f>ROUND((W21+AE21+BT21),2)</f>
        <v>643</v>
      </c>
      <c r="BX21" s="919">
        <v>0</v>
      </c>
      <c r="BY21" s="919">
        <f>AO21</f>
        <v>0</v>
      </c>
      <c r="BZ21" s="919">
        <f t="shared" si="22"/>
        <v>0</v>
      </c>
      <c r="CA21" s="919">
        <f t="shared" ref="CA21:CA23" si="54">ROUND(SUM(BV21:BY21),2)</f>
        <v>655.5</v>
      </c>
      <c r="CB21" s="919">
        <f>BA21+BF21</f>
        <v>103.59</v>
      </c>
      <c r="CC21" s="919">
        <f>BL21</f>
        <v>7732</v>
      </c>
      <c r="CD21" s="752" t="e">
        <f>#REF!/4</f>
        <v>#REF!</v>
      </c>
      <c r="CE21" s="590"/>
      <c r="CG21" s="628"/>
      <c r="CH21" s="628"/>
      <c r="CI21" s="628"/>
      <c r="DD21" s="593"/>
      <c r="DG21" s="593"/>
      <c r="DH21" s="593"/>
    </row>
    <row r="22" spans="1:112" s="591" customFormat="1" ht="102" customHeight="1" thickBot="1" x14ac:dyDescent="0.5">
      <c r="A22" s="558" t="s">
        <v>2847</v>
      </c>
      <c r="B22" s="629">
        <f t="shared" ca="1" si="46"/>
        <v>3</v>
      </c>
      <c r="C22" s="560">
        <v>15216786</v>
      </c>
      <c r="D22" s="625" t="s">
        <v>4858</v>
      </c>
      <c r="E22" s="562" t="s">
        <v>4635</v>
      </c>
      <c r="F22" s="563">
        <v>29918</v>
      </c>
      <c r="G22" s="562" t="s">
        <v>4633</v>
      </c>
      <c r="H22" s="564">
        <v>44713</v>
      </c>
      <c r="I22" s="565">
        <f t="shared" si="47"/>
        <v>3</v>
      </c>
      <c r="J22" s="630" t="s">
        <v>4473</v>
      </c>
      <c r="K22" s="565">
        <f t="shared" si="33"/>
        <v>17</v>
      </c>
      <c r="L22" s="567"/>
      <c r="M22" s="567"/>
      <c r="N22" s="568" t="s">
        <v>74</v>
      </c>
      <c r="O22" s="631"/>
      <c r="P22" s="626" t="str">
        <f>IFERROR(VLOOKUP(N22,CARGOS!A:E,2,0),"")</f>
        <v>12121</v>
      </c>
      <c r="Q22" s="562" t="s">
        <v>2896</v>
      </c>
      <c r="R22" s="632" t="s">
        <v>4700</v>
      </c>
      <c r="S22" s="947" t="s">
        <v>4704</v>
      </c>
      <c r="T22" s="627">
        <f>IFERROR(VLOOKUP(S22,'TAB EMP'!A:B,2,0),0)</f>
        <v>314</v>
      </c>
      <c r="U22" s="572">
        <v>0</v>
      </c>
      <c r="V22" s="571">
        <f t="shared" si="34"/>
        <v>314</v>
      </c>
      <c r="W22" s="573">
        <f t="shared" si="35"/>
        <v>157</v>
      </c>
      <c r="X22" s="574">
        <v>1</v>
      </c>
      <c r="Y22" s="571">
        <f>ROUND(IF(H22&lt;&gt;"",VLOOKUP(SUM(I22+J22),'CONCEPTOS Y PARAMETROS'!F:G,2,0)*V22,0),2)</f>
        <v>66.569999999999993</v>
      </c>
      <c r="Z22" s="571">
        <f>IF(S22&lt;&gt;"",IF(L22="",'CONCEPTOS Y PARAMETROS'!$C$4,0),0)</f>
        <v>130</v>
      </c>
      <c r="AA22" s="571">
        <f>IF(S22&lt;&gt;"",IF(L22="",'CONCEPTOS Y PARAMETROS'!$C$7*X22,0),0)</f>
        <v>12.5</v>
      </c>
      <c r="AB22" s="571">
        <f>IFERROR(ROUND(VLOOKUP($Q22,'CONCEPTOS Y PARAMETROS'!H:I,2,0)*($V22+Y22+Z22+AA22),2),0)</f>
        <v>156.91999999999999</v>
      </c>
      <c r="AC22" s="571">
        <f t="shared" si="36"/>
        <v>365.99</v>
      </c>
      <c r="AD22" s="575">
        <f t="shared" si="37"/>
        <v>189.25</v>
      </c>
      <c r="AE22" s="575">
        <f t="shared" si="38"/>
        <v>176.75</v>
      </c>
      <c r="AF22" s="576">
        <v>1</v>
      </c>
      <c r="AG22" s="577">
        <f>'CONCEPTOS Y PARAMETROS'!$C$18*AF22</f>
        <v>12.5</v>
      </c>
      <c r="AH22" s="576">
        <v>0</v>
      </c>
      <c r="AI22" s="577">
        <f>'CONCEPTOS Y PARAMETROS'!$C$21*AH22</f>
        <v>0</v>
      </c>
      <c r="AJ22" s="578">
        <v>0</v>
      </c>
      <c r="AK22" s="578">
        <v>0</v>
      </c>
      <c r="AL22" s="579">
        <f t="shared" si="39"/>
        <v>12.5</v>
      </c>
      <c r="AM22" s="580">
        <f t="shared" si="48"/>
        <v>679.99</v>
      </c>
      <c r="AN22" s="580">
        <f t="shared" si="40"/>
        <v>0</v>
      </c>
      <c r="AO22" s="573">
        <f>IF(T22&lt;&gt;"0",(ROUND(IF(A22="EMPLEADO",eval_formula('CONCEPTOS Y PARAMETROS'!$C$8,RAC!V22,RAC!$AM22,RAC!I22+RAC!J22),eval_formula('CONCEPTOS Y PARAMETROS'!$D$8,RAC!V22,RAC!$AM22,RAC!I22+RAC!J22)),2))*IF(H22&lt;&gt;"",IF(MONTH(H22)=$BB$8,IF(YEAR(H22)&lt;$BD$7,1,0),0)))</f>
        <v>0</v>
      </c>
      <c r="AP22" s="987">
        <v>180</v>
      </c>
      <c r="AQ22" s="981">
        <f>IFERROR(VLOOKUP(AP22,'CONCEPTOS Y PARAMETROS'!Y:Z,2,0),0)</f>
        <v>150</v>
      </c>
      <c r="AR22" s="981">
        <f t="shared" si="41"/>
        <v>5099.93</v>
      </c>
      <c r="AS22" s="571">
        <f>ROUND((+AM22/30*$AS$10),2)</f>
        <v>22.67</v>
      </c>
      <c r="AT22" s="581">
        <v>350</v>
      </c>
      <c r="AU22" s="581">
        <v>0</v>
      </c>
      <c r="AV22" s="582">
        <v>0</v>
      </c>
      <c r="AW22" s="571">
        <f>ROUND(IF(L22="", (((AM22*12)/52)*4%)*$BC$8,0),2)</f>
        <v>25.11</v>
      </c>
      <c r="AX22" s="583">
        <f>ROUND(IF(L22="",(((AM22*12)/52)*0.5%)*$BC$8,0),2)</f>
        <v>3.14</v>
      </c>
      <c r="AY22" s="584">
        <f>ROUND(IF(L22="",(AM22*1%),0),2)</f>
        <v>6.8</v>
      </c>
      <c r="AZ22" s="571">
        <v>0</v>
      </c>
      <c r="BA22" s="575">
        <f t="shared" si="42"/>
        <v>35.049999999999997</v>
      </c>
      <c r="BB22" s="571">
        <f>ROUND(IF(L22="", (((AM22*12)/52)*9%)*$BC$8,0),2)</f>
        <v>56.49</v>
      </c>
      <c r="BC22" s="571">
        <f>ROUND(IF(L22="",(((AM22*12)/52)*2%)*$BC$8,0),2)</f>
        <v>12.55</v>
      </c>
      <c r="BD22" s="571">
        <f>ROUND(IF(L22="",(AM22*2%),0),2)</f>
        <v>13.6</v>
      </c>
      <c r="BE22" s="571">
        <v>0</v>
      </c>
      <c r="BF22" s="586">
        <f t="shared" si="49"/>
        <v>82.64</v>
      </c>
      <c r="BG22" s="587" t="s">
        <v>4714</v>
      </c>
      <c r="BH22" s="588">
        <f t="shared" si="43"/>
        <v>117.69</v>
      </c>
      <c r="BI22" s="588">
        <f t="shared" si="44"/>
        <v>1274.98</v>
      </c>
      <c r="BJ22" s="588">
        <v>570</v>
      </c>
      <c r="BK22" s="588">
        <f t="shared" si="50"/>
        <v>1844.98</v>
      </c>
      <c r="BL22" s="957">
        <f>IF(S22&lt;&gt;"",IF(L22="",'CONCEPTOS Y PARAMETROS'!$A$102,0),0)</f>
        <v>7732</v>
      </c>
      <c r="BM22" s="589">
        <f t="shared" si="51"/>
        <v>311.2</v>
      </c>
      <c r="BN22" s="589">
        <f>ROUND((W22+AE22+AN22+AO22+AS22),2)+AT22</f>
        <v>706.42000000000007</v>
      </c>
      <c r="BO22" s="590">
        <f t="shared" si="53"/>
        <v>356.42000000000007</v>
      </c>
      <c r="BP22" s="590"/>
      <c r="BQ22" s="590"/>
      <c r="BR22" s="628"/>
      <c r="BS22" s="919">
        <f t="shared" si="45"/>
        <v>311.2</v>
      </c>
      <c r="BT22" s="919">
        <f>AT22</f>
        <v>350</v>
      </c>
      <c r="BU22" s="969">
        <v>2</v>
      </c>
      <c r="BV22" s="919">
        <f>AG22</f>
        <v>12.5</v>
      </c>
      <c r="BW22" s="919">
        <f>ROUND((W22+AE22+BT22),2)</f>
        <v>683.75</v>
      </c>
      <c r="BX22" s="919">
        <v>0</v>
      </c>
      <c r="BY22" s="919">
        <f>AO22</f>
        <v>0</v>
      </c>
      <c r="BZ22" s="919">
        <f t="shared" si="22"/>
        <v>0</v>
      </c>
      <c r="CA22" s="919">
        <f t="shared" si="54"/>
        <v>696.25</v>
      </c>
      <c r="CB22" s="919">
        <f>BA22+BF22</f>
        <v>117.69</v>
      </c>
      <c r="CC22" s="919">
        <f>BL22</f>
        <v>7732</v>
      </c>
      <c r="CD22" s="752" t="e">
        <f>#REF!/4</f>
        <v>#REF!</v>
      </c>
      <c r="CE22" s="590"/>
      <c r="CG22" s="628"/>
      <c r="CH22" s="628"/>
      <c r="CI22" s="628"/>
      <c r="DD22" s="593"/>
      <c r="DG22" s="593"/>
      <c r="DH22" s="593"/>
    </row>
    <row r="23" spans="1:112" s="591" customFormat="1" ht="102" customHeight="1" thickBot="1" x14ac:dyDescent="0.5">
      <c r="A23" s="558" t="s">
        <v>2847</v>
      </c>
      <c r="B23" s="629">
        <f t="shared" ca="1" si="46"/>
        <v>4</v>
      </c>
      <c r="C23" s="560">
        <v>18097585</v>
      </c>
      <c r="D23" s="625" t="s">
        <v>4671</v>
      </c>
      <c r="E23" s="562" t="s">
        <v>4635</v>
      </c>
      <c r="F23" s="563">
        <v>31636</v>
      </c>
      <c r="G23" s="562" t="s">
        <v>4633</v>
      </c>
      <c r="H23" s="564">
        <v>44713</v>
      </c>
      <c r="I23" s="565">
        <f t="shared" si="47"/>
        <v>3</v>
      </c>
      <c r="J23" s="630"/>
      <c r="K23" s="565">
        <f t="shared" si="33"/>
        <v>3</v>
      </c>
      <c r="L23" s="567"/>
      <c r="M23" s="567"/>
      <c r="N23" s="568" t="s">
        <v>323</v>
      </c>
      <c r="O23" s="568"/>
      <c r="P23" s="626" t="str">
        <f>IFERROR(VLOOKUP(N23,CARGOS!A:E,2,0),"")</f>
        <v>12111</v>
      </c>
      <c r="Q23" s="562" t="s">
        <v>2845</v>
      </c>
      <c r="R23" s="632" t="s">
        <v>4702</v>
      </c>
      <c r="S23" s="949" t="s">
        <v>4867</v>
      </c>
      <c r="T23" s="627">
        <f>IFERROR(VLOOKUP(S23,'TAB EMP'!A:B,2,0),0)</f>
        <v>150</v>
      </c>
      <c r="U23" s="572">
        <v>0</v>
      </c>
      <c r="V23" s="571">
        <f t="shared" si="34"/>
        <v>150</v>
      </c>
      <c r="W23" s="573">
        <f t="shared" si="35"/>
        <v>75</v>
      </c>
      <c r="X23" s="574">
        <v>2</v>
      </c>
      <c r="Y23" s="571">
        <f>ROUND(IF(H23&lt;&gt;"",VLOOKUP(SUM(I23+J23),'CONCEPTOS Y PARAMETROS'!F:G,2,0)*V23,0),2)</f>
        <v>4.5</v>
      </c>
      <c r="Z23" s="571">
        <f>IF(S23&lt;&gt;"",IF(L23="",'CONCEPTOS Y PARAMETROS'!$C$4,0),0)</f>
        <v>130</v>
      </c>
      <c r="AA23" s="571">
        <f>IF(S23&lt;&gt;"",IF(L23="",'CONCEPTOS Y PARAMETROS'!$C$7*X23,0),0)</f>
        <v>25</v>
      </c>
      <c r="AB23" s="571">
        <f>IFERROR(ROUND(VLOOKUP($Q23,'CONCEPTOS Y PARAMETROS'!H:I,2,0)*($V23+Y23+Z23+AA23),2),0)</f>
        <v>61.9</v>
      </c>
      <c r="AC23" s="571">
        <f t="shared" si="36"/>
        <v>221.4</v>
      </c>
      <c r="AD23" s="575">
        <f t="shared" si="37"/>
        <v>123.2</v>
      </c>
      <c r="AE23" s="575">
        <f t="shared" si="38"/>
        <v>98.2</v>
      </c>
      <c r="AF23" s="576">
        <v>2</v>
      </c>
      <c r="AG23" s="577">
        <f>'CONCEPTOS Y PARAMETROS'!$C$18*AF23</f>
        <v>25</v>
      </c>
      <c r="AH23" s="576">
        <v>0</v>
      </c>
      <c r="AI23" s="577">
        <f>'CONCEPTOS Y PARAMETROS'!$C$21*AH23</f>
        <v>0</v>
      </c>
      <c r="AJ23" s="578">
        <v>0</v>
      </c>
      <c r="AK23" s="578">
        <v>0</v>
      </c>
      <c r="AL23" s="579">
        <f t="shared" si="39"/>
        <v>25</v>
      </c>
      <c r="AM23" s="580">
        <f t="shared" si="48"/>
        <v>371.4</v>
      </c>
      <c r="AN23" s="580">
        <f t="shared" si="40"/>
        <v>0</v>
      </c>
      <c r="AO23" s="573">
        <f>IF(T23&lt;&gt;"0",(ROUND(IF(A23="EMPLEADO",eval_formula('CONCEPTOS Y PARAMETROS'!$C$8,RAC!V23,RAC!$AM23,RAC!I23+RAC!J23),eval_formula('CONCEPTOS Y PARAMETROS'!$D$8,RAC!V23,RAC!$AM23,RAC!I23+RAC!J23)),2))*IF(H23&lt;&gt;"",IF(MONTH(H23)=$BB$8,IF(YEAR(H23)&lt;$BD$7,1,0),0)))</f>
        <v>0</v>
      </c>
      <c r="AP23" s="987">
        <v>180</v>
      </c>
      <c r="AQ23" s="981">
        <f>IFERROR(VLOOKUP(AP23,'CONCEPTOS Y PARAMETROS'!Y:Z,2,0),0)</f>
        <v>150</v>
      </c>
      <c r="AR23" s="981">
        <f t="shared" si="41"/>
        <v>2785.5</v>
      </c>
      <c r="AS23" s="571">
        <f>ROUND((+AM23/30*$AS$10),2)</f>
        <v>12.38</v>
      </c>
      <c r="AT23" s="581">
        <v>350</v>
      </c>
      <c r="AU23" s="581">
        <v>0</v>
      </c>
      <c r="AV23" s="582">
        <v>0</v>
      </c>
      <c r="AW23" s="571">
        <f>ROUND(IF(L23="", (((AM23*12)/52)*4%)*$BC$8,0),2)</f>
        <v>13.71</v>
      </c>
      <c r="AX23" s="583">
        <f>ROUND(IF(L23="",(((AM23*12)/52)*0.5%)*$BC$8,0),2)</f>
        <v>1.71</v>
      </c>
      <c r="AY23" s="584">
        <f>ROUND(IF(L23="",(AM23*1%),0),2)</f>
        <v>3.71</v>
      </c>
      <c r="AZ23" s="571">
        <v>0</v>
      </c>
      <c r="BA23" s="575">
        <f t="shared" si="42"/>
        <v>19.13</v>
      </c>
      <c r="BB23" s="571">
        <f>ROUND(IF(L23="", (((AM23*12)/52)*9%)*$BC$8,0),2)</f>
        <v>30.85</v>
      </c>
      <c r="BC23" s="571">
        <f>ROUND(IF(L23="",(((AM23*12)/52)*2%)*$BC$8,0),2)</f>
        <v>6.86</v>
      </c>
      <c r="BD23" s="571">
        <f>ROUND(IF(L23="",(AM23*2%),0),2)</f>
        <v>7.43</v>
      </c>
      <c r="BE23" s="571">
        <v>0</v>
      </c>
      <c r="BF23" s="586">
        <f t="shared" si="49"/>
        <v>45.14</v>
      </c>
      <c r="BG23" s="587" t="s">
        <v>4715</v>
      </c>
      <c r="BH23" s="588">
        <f t="shared" si="43"/>
        <v>64.27</v>
      </c>
      <c r="BI23" s="588">
        <f t="shared" si="44"/>
        <v>696.38</v>
      </c>
      <c r="BJ23" s="588">
        <v>570</v>
      </c>
      <c r="BK23" s="588">
        <f t="shared" si="50"/>
        <v>1266.3800000000001</v>
      </c>
      <c r="BL23" s="957">
        <f>IF(S23&lt;&gt;"",IF(L23="",'CONCEPTOS Y PARAMETROS'!$A$102,0),0)</f>
        <v>7732</v>
      </c>
      <c r="BM23" s="589">
        <f t="shared" si="51"/>
        <v>179.07</v>
      </c>
      <c r="BN23" s="589">
        <f t="shared" si="52"/>
        <v>535.58000000000004</v>
      </c>
      <c r="BO23" s="590">
        <f t="shared" si="53"/>
        <v>185.58000000000004</v>
      </c>
      <c r="BP23" s="590"/>
      <c r="BQ23" s="944" t="s">
        <v>4868</v>
      </c>
      <c r="BR23" s="628"/>
      <c r="BS23" s="919">
        <f t="shared" si="45"/>
        <v>179.07</v>
      </c>
      <c r="BT23" s="919">
        <f>AT23</f>
        <v>350</v>
      </c>
      <c r="BU23" s="915">
        <v>1</v>
      </c>
      <c r="BV23" s="919">
        <f>AG23</f>
        <v>25</v>
      </c>
      <c r="BW23" s="919">
        <f>ROUND((W23+AE23+BT23),2)</f>
        <v>523.20000000000005</v>
      </c>
      <c r="BX23" s="919">
        <v>0</v>
      </c>
      <c r="BY23" s="919">
        <f>AO23</f>
        <v>0</v>
      </c>
      <c r="BZ23" s="919">
        <f t="shared" si="22"/>
        <v>0</v>
      </c>
      <c r="CA23" s="919">
        <f t="shared" si="54"/>
        <v>548.20000000000005</v>
      </c>
      <c r="CB23" s="919">
        <f>BA23+BF23</f>
        <v>64.27</v>
      </c>
      <c r="CC23" s="919">
        <f>BL23</f>
        <v>7732</v>
      </c>
      <c r="CD23" s="752" t="e">
        <f>#REF!/4</f>
        <v>#REF!</v>
      </c>
      <c r="CE23" s="590"/>
      <c r="CG23" s="628"/>
      <c r="CH23" s="628"/>
      <c r="CI23" s="628"/>
      <c r="DD23" s="593"/>
      <c r="DG23" s="593"/>
      <c r="DH23" s="593"/>
    </row>
    <row r="24" spans="1:112" s="761" customFormat="1" ht="102" customHeight="1" thickBot="1" x14ac:dyDescent="0.55000000000000004">
      <c r="A24" s="753"/>
      <c r="B24" s="629">
        <f ca="1">COUNT(B20:B23)</f>
        <v>4</v>
      </c>
      <c r="C24" s="1015" t="s">
        <v>4573</v>
      </c>
      <c r="D24" s="1016"/>
      <c r="E24" s="754"/>
      <c r="F24" s="755"/>
      <c r="G24" s="754"/>
      <c r="H24" s="754"/>
      <c r="I24" s="754"/>
      <c r="J24" s="754"/>
      <c r="K24" s="754"/>
      <c r="L24" s="754"/>
      <c r="M24" s="754"/>
      <c r="N24" s="754"/>
      <c r="O24" s="754"/>
      <c r="P24" s="754"/>
      <c r="Q24" s="754"/>
      <c r="R24" s="754"/>
      <c r="S24" s="756"/>
      <c r="T24" s="757">
        <f t="shared" ref="T24:BF24" si="55">SUM(T20:T23)</f>
        <v>1026</v>
      </c>
      <c r="U24" s="758">
        <f t="shared" si="55"/>
        <v>0</v>
      </c>
      <c r="V24" s="758">
        <f t="shared" si="55"/>
        <v>1026</v>
      </c>
      <c r="W24" s="758">
        <f t="shared" si="55"/>
        <v>513</v>
      </c>
      <c r="X24" s="759">
        <f t="shared" si="55"/>
        <v>4</v>
      </c>
      <c r="Y24" s="758">
        <f t="shared" si="55"/>
        <v>133.44999999999999</v>
      </c>
      <c r="Z24" s="758">
        <f t="shared" si="55"/>
        <v>520</v>
      </c>
      <c r="AA24" s="758">
        <f t="shared" si="55"/>
        <v>50</v>
      </c>
      <c r="AB24" s="758">
        <f t="shared" si="55"/>
        <v>443.03999999999996</v>
      </c>
      <c r="AC24" s="666">
        <f t="shared" si="55"/>
        <v>1146.49</v>
      </c>
      <c r="AD24" s="758">
        <f t="shared" si="55"/>
        <v>598.25</v>
      </c>
      <c r="AE24" s="758">
        <f t="shared" si="55"/>
        <v>548.25</v>
      </c>
      <c r="AF24" s="758">
        <f t="shared" si="55"/>
        <v>4</v>
      </c>
      <c r="AG24" s="758">
        <f t="shared" si="55"/>
        <v>50</v>
      </c>
      <c r="AH24" s="758">
        <f t="shared" si="55"/>
        <v>0</v>
      </c>
      <c r="AI24" s="758">
        <f t="shared" si="55"/>
        <v>0</v>
      </c>
      <c r="AJ24" s="758">
        <f t="shared" si="55"/>
        <v>0</v>
      </c>
      <c r="AK24" s="758">
        <f t="shared" si="55"/>
        <v>0</v>
      </c>
      <c r="AL24" s="758">
        <f t="shared" si="55"/>
        <v>50</v>
      </c>
      <c r="AM24" s="666">
        <f t="shared" si="55"/>
        <v>2172.4899999999998</v>
      </c>
      <c r="AN24" s="758">
        <f t="shared" si="55"/>
        <v>0</v>
      </c>
      <c r="AO24" s="666">
        <f t="shared" si="55"/>
        <v>0</v>
      </c>
      <c r="AP24" s="989">
        <f t="shared" si="55"/>
        <v>720</v>
      </c>
      <c r="AQ24" s="666">
        <f t="shared" si="55"/>
        <v>600</v>
      </c>
      <c r="AR24" s="666">
        <f t="shared" si="55"/>
        <v>16293.68</v>
      </c>
      <c r="AS24" s="758">
        <f t="shared" si="55"/>
        <v>72.42</v>
      </c>
      <c r="AT24" s="758">
        <f t="shared" si="55"/>
        <v>1400</v>
      </c>
      <c r="AU24" s="758">
        <f t="shared" si="55"/>
        <v>0</v>
      </c>
      <c r="AV24" s="758">
        <f t="shared" si="55"/>
        <v>0</v>
      </c>
      <c r="AW24" s="758">
        <f t="shared" si="55"/>
        <v>80.22</v>
      </c>
      <c r="AX24" s="758">
        <f t="shared" si="55"/>
        <v>10.02</v>
      </c>
      <c r="AY24" s="758">
        <f t="shared" si="55"/>
        <v>21.73</v>
      </c>
      <c r="AZ24" s="758">
        <f t="shared" si="55"/>
        <v>0</v>
      </c>
      <c r="BA24" s="758">
        <f t="shared" si="55"/>
        <v>111.97</v>
      </c>
      <c r="BB24" s="666">
        <f t="shared" si="55"/>
        <v>180.48</v>
      </c>
      <c r="BC24" s="666">
        <f t="shared" si="55"/>
        <v>40.11</v>
      </c>
      <c r="BD24" s="666">
        <f t="shared" si="55"/>
        <v>43.45</v>
      </c>
      <c r="BE24" s="666">
        <f t="shared" si="55"/>
        <v>0</v>
      </c>
      <c r="BF24" s="758">
        <f t="shared" si="55"/>
        <v>264.03999999999996</v>
      </c>
      <c r="BG24" s="760"/>
      <c r="BH24" s="960">
        <f>SUM(BH20:BH23)</f>
        <v>376.01</v>
      </c>
      <c r="BI24" s="960">
        <f>SUM(BI20:BI23)</f>
        <v>4073.4300000000003</v>
      </c>
      <c r="BJ24" s="960">
        <f t="shared" ref="BJ24:BK24" si="56">SUM(BJ20:BJ23)</f>
        <v>2280</v>
      </c>
      <c r="BK24" s="960">
        <f t="shared" si="56"/>
        <v>6353.43</v>
      </c>
      <c r="BL24" s="960">
        <f>SUM(BL20:BL23)</f>
        <v>30928</v>
      </c>
      <c r="BM24" s="960">
        <f>SUM(BM20:BM23)</f>
        <v>999.28</v>
      </c>
      <c r="BN24" s="960">
        <f>SUM(BN20:BN23)</f>
        <v>2533.67</v>
      </c>
      <c r="BO24" s="590"/>
      <c r="BP24" s="590"/>
      <c r="BQ24" s="590"/>
      <c r="BR24" s="628"/>
      <c r="BS24" s="922">
        <f t="shared" ref="BS24:CD24" si="57">SUM(BS20:BS23)</f>
        <v>999.28</v>
      </c>
      <c r="BT24" s="922">
        <f t="shared" si="57"/>
        <v>1400</v>
      </c>
      <c r="BU24" s="923">
        <f t="shared" si="57"/>
        <v>5</v>
      </c>
      <c r="BV24" s="922">
        <f t="shared" si="57"/>
        <v>50</v>
      </c>
      <c r="BW24" s="922">
        <f t="shared" si="57"/>
        <v>2461.25</v>
      </c>
      <c r="BX24" s="922">
        <f t="shared" si="57"/>
        <v>0</v>
      </c>
      <c r="BY24" s="922">
        <f t="shared" si="57"/>
        <v>0</v>
      </c>
      <c r="BZ24" s="922">
        <f t="shared" si="57"/>
        <v>0</v>
      </c>
      <c r="CA24" s="922">
        <f t="shared" si="57"/>
        <v>2511.25</v>
      </c>
      <c r="CB24" s="922">
        <f t="shared" si="57"/>
        <v>376.01</v>
      </c>
      <c r="CC24" s="922">
        <f t="shared" si="57"/>
        <v>30928</v>
      </c>
      <c r="CD24" s="633" t="e">
        <f t="shared" si="57"/>
        <v>#REF!</v>
      </c>
      <c r="CG24" s="762"/>
      <c r="CH24" s="762"/>
      <c r="CI24" s="762"/>
      <c r="DD24" s="763"/>
      <c r="DG24" s="763"/>
      <c r="DH24" s="763"/>
    </row>
    <row r="25" spans="1:112" s="406" customFormat="1" ht="80.099999999999994" customHeight="1" thickBot="1" x14ac:dyDescent="0.5">
      <c r="A25" s="433" t="s">
        <v>4574</v>
      </c>
      <c r="B25" s="434"/>
      <c r="C25" s="435"/>
      <c r="D25" s="488"/>
      <c r="E25" s="436"/>
      <c r="F25" s="437"/>
      <c r="G25" s="437"/>
      <c r="H25" s="438"/>
      <c r="I25" s="439"/>
      <c r="J25" s="439"/>
      <c r="K25" s="439"/>
      <c r="L25" s="439"/>
      <c r="M25" s="439"/>
      <c r="N25" s="440"/>
      <c r="O25" s="440"/>
      <c r="P25" s="440"/>
      <c r="Q25" s="439"/>
      <c r="R25" s="439"/>
      <c r="S25" s="422"/>
      <c r="T25" s="422"/>
      <c r="U25" s="422"/>
      <c r="V25" s="422"/>
      <c r="W25" s="971">
        <f>+W24-BA24</f>
        <v>401.03</v>
      </c>
      <c r="X25" s="972"/>
      <c r="Y25" s="971">
        <f>+Y24/2</f>
        <v>66.724999999999994</v>
      </c>
      <c r="Z25" s="971">
        <f>+Z24/2</f>
        <v>260</v>
      </c>
      <c r="AA25" s="971"/>
      <c r="AB25" s="971">
        <f>+AB24/2</f>
        <v>221.51999999999998</v>
      </c>
      <c r="AC25" s="426"/>
      <c r="AD25" s="426"/>
      <c r="AE25" s="426"/>
      <c r="AF25" s="426"/>
      <c r="AG25" s="427"/>
      <c r="AH25" s="427"/>
      <c r="AI25" s="427"/>
      <c r="AJ25" s="427"/>
      <c r="AK25" s="427"/>
      <c r="AL25" s="427"/>
      <c r="AM25" s="422"/>
      <c r="AN25" s="422"/>
      <c r="AO25" s="426"/>
      <c r="AP25" s="990"/>
      <c r="AQ25" s="426"/>
      <c r="AR25" s="426"/>
      <c r="AS25" s="422"/>
      <c r="AT25" s="480"/>
      <c r="AU25" s="480"/>
      <c r="AV25" s="426"/>
      <c r="AW25" s="422"/>
      <c r="AX25" s="422"/>
      <c r="AY25" s="422"/>
      <c r="AZ25" s="422"/>
      <c r="BA25" s="422"/>
      <c r="BB25" s="426"/>
      <c r="BC25" s="426"/>
      <c r="BD25" s="426"/>
      <c r="BE25" s="426"/>
      <c r="BF25" s="426"/>
      <c r="BG25" s="426"/>
      <c r="BH25" s="426"/>
      <c r="BI25" s="407"/>
      <c r="BJ25" s="407"/>
      <c r="BK25" s="407"/>
      <c r="BL25" s="426"/>
      <c r="BM25" s="407"/>
      <c r="BN25" s="407"/>
      <c r="BO25" s="590"/>
      <c r="BP25" s="590"/>
      <c r="BQ25" s="590"/>
      <c r="BR25" s="628"/>
      <c r="BS25" s="919"/>
      <c r="BT25" s="919"/>
      <c r="BU25" s="920"/>
      <c r="BV25" s="924"/>
      <c r="BW25" s="919"/>
      <c r="BX25" s="919"/>
      <c r="BY25" s="924"/>
      <c r="BZ25" s="924"/>
      <c r="CA25" s="924"/>
      <c r="CB25" s="924"/>
      <c r="CC25" s="924"/>
      <c r="CD25" s="407"/>
      <c r="CE25" s="407"/>
      <c r="CG25" s="407"/>
      <c r="CH25" s="407"/>
      <c r="CI25" s="407"/>
      <c r="DD25" s="408"/>
      <c r="DG25" s="408"/>
      <c r="DH25" s="408"/>
    </row>
    <row r="26" spans="1:112" s="591" customFormat="1" ht="102" customHeight="1" thickBot="1" x14ac:dyDescent="0.55000000000000004">
      <c r="A26" s="558" t="s">
        <v>2835</v>
      </c>
      <c r="B26" s="624">
        <v>1</v>
      </c>
      <c r="C26" s="560">
        <v>13896013</v>
      </c>
      <c r="D26" s="634" t="s">
        <v>4672</v>
      </c>
      <c r="E26" s="562" t="s">
        <v>4635</v>
      </c>
      <c r="F26" s="563">
        <v>27892</v>
      </c>
      <c r="G26" s="562" t="s">
        <v>4633</v>
      </c>
      <c r="H26" s="564">
        <v>44200</v>
      </c>
      <c r="I26" s="565">
        <f>IF(AND(YEAR(H26)&lt;2025,MONTH(H26)&gt;$BB$8),2025-YEAR(H26)-1,IF(OR(H26="",YEAR(H26)&gt;2025),0,2025-YEAR(H26)))</f>
        <v>4</v>
      </c>
      <c r="J26" s="566"/>
      <c r="K26" s="565">
        <f t="shared" ref="K26:K34" si="58">I26+J26</f>
        <v>4</v>
      </c>
      <c r="L26" s="567"/>
      <c r="M26" s="567"/>
      <c r="N26" s="568" t="s">
        <v>2616</v>
      </c>
      <c r="O26" s="568"/>
      <c r="P26" s="626" t="str">
        <f>IFERROR(VLOOKUP(N26,CARGOS!A:E,2,0),"")</f>
        <v>7204</v>
      </c>
      <c r="Q26" s="562"/>
      <c r="R26" s="562"/>
      <c r="S26" s="635">
        <v>5</v>
      </c>
      <c r="T26" s="599">
        <f>IFERROR(VLOOKUP(S26,'TAB OBR'!A:B,2,0),0)</f>
        <v>171</v>
      </c>
      <c r="U26" s="572">
        <v>0</v>
      </c>
      <c r="V26" s="571">
        <f t="shared" ref="V26:V34" si="59">T26-U26</f>
        <v>171</v>
      </c>
      <c r="W26" s="573">
        <f t="shared" ref="W26:W34" si="60">V26/2</f>
        <v>85.5</v>
      </c>
      <c r="X26" s="574">
        <v>2</v>
      </c>
      <c r="Y26" s="571">
        <f>ROUND(IF(H26&lt;&gt;"",VLOOKUP(SUM(I26:J26),'CONCEPTOS Y PARAMETROS'!F:G,2,0)*V26,0),2)</f>
        <v>6.84</v>
      </c>
      <c r="Z26" s="571">
        <f>IF(S26&lt;&gt;"",IF(L26="",'CONCEPTOS Y PARAMETROS'!$C$4,0),0)</f>
        <v>130</v>
      </c>
      <c r="AA26" s="571">
        <f>IF(S26&lt;&gt;"",IF(L26="",'CONCEPTOS Y PARAMETROS'!$C$7*X26,0),0)</f>
        <v>25</v>
      </c>
      <c r="AB26" s="571">
        <f>IFERROR(ROUND(VLOOKUP($Q26,'CONCEPTOS Y PARAMETROS'!H:I,2,0)*($V26+Y26+Z26+AA26),2),0)</f>
        <v>0</v>
      </c>
      <c r="AC26" s="571">
        <f t="shared" ref="AC26:AC36" si="61">SUM(Y26:AB26)</f>
        <v>161.84</v>
      </c>
      <c r="AD26" s="575">
        <f t="shared" ref="AD26:AD34" si="62">ROUND(((Y26+Z26+AB26)/2),2)+AA26</f>
        <v>93.42</v>
      </c>
      <c r="AE26" s="575">
        <f t="shared" ref="AE26:AE34" si="63">ROUND(((Y26+Z26+AB26)/2),2)</f>
        <v>68.42</v>
      </c>
      <c r="AF26" s="576">
        <v>2</v>
      </c>
      <c r="AG26" s="577">
        <f>'CONCEPTOS Y PARAMETROS'!$C$18*AF26</f>
        <v>25</v>
      </c>
      <c r="AH26" s="576">
        <v>0</v>
      </c>
      <c r="AI26" s="577">
        <f>'CONCEPTOS Y PARAMETROS'!$C$21*AH26</f>
        <v>0</v>
      </c>
      <c r="AJ26" s="578">
        <v>0</v>
      </c>
      <c r="AK26" s="578">
        <v>0</v>
      </c>
      <c r="AL26" s="579">
        <f t="shared" ref="AL26:AL32" si="64">AG26+AI26+AJ26+AK26</f>
        <v>25</v>
      </c>
      <c r="AM26" s="580">
        <f t="shared" ref="AM26:AM36" si="65">ROUND((V26+AC26+AN26),2)</f>
        <v>332.84</v>
      </c>
      <c r="AN26" s="580">
        <f>ROUND(IF(N26="VIGILANTE NOCTURNO",(V26+AC26)*30%,0),2)</f>
        <v>0</v>
      </c>
      <c r="AO26" s="573">
        <f>IF(T26&lt;&gt;"0",(ROUND(IF(A26="EMPLEADO",eval_formula('CONCEPTOS Y PARAMETROS'!$C$8,RAC!V26,RAC!$AM26,RAC!I26+RAC!J26),eval_formula('CONCEPTOS Y PARAMETROS'!$D$8,RAC!V26,RAC!$AM26,RAC!I26+RAC!J26)),2))*IF(H26&lt;&gt;"",IF(MONTH(H26)=$BB$8,IF(YEAR(H26)&lt;$BD$7,1,0),0)))</f>
        <v>0</v>
      </c>
      <c r="AP26" s="987">
        <v>180</v>
      </c>
      <c r="AQ26" s="981">
        <f>IFERROR(VLOOKUP(AP26,'CONCEPTOS Y PARAMETROS'!Y:Z,2,0),0)</f>
        <v>150</v>
      </c>
      <c r="AR26" s="981">
        <f t="shared" ref="AR26:AR36" si="66">ROUND((((AM26))/30*AP26/12+(AM26))/30*AQ26,2)</f>
        <v>2496.3000000000002</v>
      </c>
      <c r="AS26" s="571">
        <f t="shared" ref="AS26:AS36" si="67">ROUND((+AM26/30*$AS$10),2)</f>
        <v>11.09</v>
      </c>
      <c r="AT26" s="581">
        <v>340</v>
      </c>
      <c r="AU26" s="581">
        <v>0</v>
      </c>
      <c r="AV26" s="613">
        <v>0</v>
      </c>
      <c r="AW26" s="571">
        <f>ROUND(IF(L26="", (((AM26*12)/52)*4%)*$BC$8,0),2)</f>
        <v>12.29</v>
      </c>
      <c r="AX26" s="583">
        <f>ROUND(IF(L26="",(((AM26*12)/52)*0.5%)*$BC$8,0),2)</f>
        <v>1.54</v>
      </c>
      <c r="AY26" s="584">
        <f t="shared" ref="AY26:AY36" si="68">ROUND(IF(L26="",(AM26*1%),0),2)</f>
        <v>3.33</v>
      </c>
      <c r="AZ26" s="571">
        <v>0</v>
      </c>
      <c r="BA26" s="575">
        <f t="shared" ref="BA26:BA34" si="69">ROUND(SUM(AW26:AY26),2)</f>
        <v>17.16</v>
      </c>
      <c r="BB26" s="571">
        <f>ROUND(IF(L26="", (((AM26*12)/52)*9%)*$BC$8,0),2)</f>
        <v>27.65</v>
      </c>
      <c r="BC26" s="571">
        <f>ROUND(IF(L26="",(((AM26*12)/52)*2%)*$BC$8,0),2)</f>
        <v>6.14</v>
      </c>
      <c r="BD26" s="571">
        <f t="shared" ref="BD26:BD36" si="70">ROUND(IF(L26="",(AM26*2%),0),2)</f>
        <v>6.66</v>
      </c>
      <c r="BE26" s="571">
        <v>0</v>
      </c>
      <c r="BF26" s="586">
        <f t="shared" ref="BF26:BF36" si="71">ROUND(SUM(BB26:BD26),2)</f>
        <v>40.450000000000003</v>
      </c>
      <c r="BG26" s="587" t="s">
        <v>4716</v>
      </c>
      <c r="BH26" s="588">
        <f t="shared" ref="BH26:BH36" si="72">ROUND(BA26+BF26,2)</f>
        <v>57.61</v>
      </c>
      <c r="BI26" s="588">
        <f t="shared" si="44"/>
        <v>624.08000000000004</v>
      </c>
      <c r="BJ26" s="588">
        <v>570</v>
      </c>
      <c r="BK26" s="588">
        <f>+BI26+BJ26</f>
        <v>1194.08</v>
      </c>
      <c r="BL26" s="957">
        <f>IF(S26&lt;&gt;"",IF(L26="",'CONCEPTOS Y PARAMETROS'!$A$102,0),0)</f>
        <v>7732</v>
      </c>
      <c r="BM26" s="589">
        <f>ROUND((W26+AD26-BA26),2)</f>
        <v>161.76</v>
      </c>
      <c r="BN26" s="589">
        <f>ROUND((W26+AE26+AN26+AO26+AS26),2)+AT26</f>
        <v>505.01</v>
      </c>
      <c r="BO26" s="590"/>
      <c r="BP26" s="590"/>
      <c r="BQ26" s="590"/>
      <c r="BR26" s="628"/>
      <c r="BS26" s="919">
        <f t="shared" ref="BS26:BS36" si="73">W26+AD26-BA26</f>
        <v>161.76000000000002</v>
      </c>
      <c r="BT26" s="919">
        <f t="shared" ref="BT26:BT34" si="74">AT26</f>
        <v>340</v>
      </c>
      <c r="BU26" s="916">
        <v>1</v>
      </c>
      <c r="BV26" s="919">
        <f t="shared" ref="BV26:BV36" si="75">AG26</f>
        <v>25</v>
      </c>
      <c r="BW26" s="919">
        <f t="shared" ref="BW26:BW36" si="76">ROUND((W26+AE26+BT26),2)</f>
        <v>493.92</v>
      </c>
      <c r="BX26" s="919">
        <v>0</v>
      </c>
      <c r="BY26" s="919">
        <f t="shared" ref="BY26:BY36" si="77">AO26</f>
        <v>0</v>
      </c>
      <c r="BZ26" s="919">
        <f t="shared" ref="BZ26:BZ36" si="78">AV26</f>
        <v>0</v>
      </c>
      <c r="CA26" s="919">
        <f>ROUND(SUM(BV26:BY26),2)</f>
        <v>518.91999999999996</v>
      </c>
      <c r="CB26" s="919">
        <f t="shared" ref="CB26:CB36" si="79">BA26+BF26</f>
        <v>57.61</v>
      </c>
      <c r="CC26" s="919">
        <f t="shared" ref="CC26:CC36" si="80">BL26</f>
        <v>7732</v>
      </c>
      <c r="CD26" s="752" t="e">
        <f>#REF!/4</f>
        <v>#REF!</v>
      </c>
      <c r="CE26" s="590"/>
      <c r="CG26" s="628"/>
      <c r="CH26" s="628"/>
      <c r="CI26" s="628"/>
      <c r="DD26" s="593"/>
      <c r="DG26" s="593"/>
      <c r="DH26" s="593"/>
    </row>
    <row r="27" spans="1:112" s="591" customFormat="1" ht="102" customHeight="1" thickBot="1" x14ac:dyDescent="0.55000000000000004">
      <c r="A27" s="558" t="s">
        <v>2835</v>
      </c>
      <c r="B27" s="624">
        <v>2</v>
      </c>
      <c r="C27" s="636">
        <v>3461751</v>
      </c>
      <c r="D27" s="634" t="s">
        <v>4673</v>
      </c>
      <c r="E27" s="562" t="s">
        <v>4635</v>
      </c>
      <c r="F27" s="563">
        <v>17308</v>
      </c>
      <c r="G27" s="562" t="s">
        <v>4633</v>
      </c>
      <c r="H27" s="564">
        <v>44200</v>
      </c>
      <c r="I27" s="565">
        <f t="shared" ref="I27:I34" si="81">IF(AND(YEAR(H27)&lt;2025,MONTH(H27)&gt;$BB$8),2025-YEAR(H27)-1,IF(OR(H27="",YEAR(H27)&gt;2025),0,2025-YEAR(H27)))</f>
        <v>4</v>
      </c>
      <c r="J27" s="630"/>
      <c r="K27" s="565">
        <f t="shared" si="58"/>
        <v>4</v>
      </c>
      <c r="L27" s="567"/>
      <c r="M27" s="567"/>
      <c r="N27" s="568" t="s">
        <v>2616</v>
      </c>
      <c r="O27" s="631"/>
      <c r="P27" s="626" t="str">
        <f>IFERROR(VLOOKUP(N27,CARGOS!A:E,2,0),"")</f>
        <v>7204</v>
      </c>
      <c r="Q27" s="562"/>
      <c r="R27" s="562"/>
      <c r="S27" s="635">
        <v>5</v>
      </c>
      <c r="T27" s="599">
        <f>IFERROR(VLOOKUP(S27,'TAB OBR'!A:B,2,0),0)</f>
        <v>171</v>
      </c>
      <c r="U27" s="572">
        <v>0</v>
      </c>
      <c r="V27" s="571">
        <f t="shared" si="59"/>
        <v>171</v>
      </c>
      <c r="W27" s="573">
        <f t="shared" si="60"/>
        <v>85.5</v>
      </c>
      <c r="X27" s="574">
        <v>0</v>
      </c>
      <c r="Y27" s="571">
        <f>ROUND(IF(H27&lt;&gt;"",VLOOKUP(SUM(I27:J27),'CONCEPTOS Y PARAMETROS'!F:G,2,0)*V27,0),2)</f>
        <v>6.84</v>
      </c>
      <c r="Z27" s="571">
        <f>IF(S27&lt;&gt;"",IF(L27="",'CONCEPTOS Y PARAMETROS'!$C$4,0),0)</f>
        <v>130</v>
      </c>
      <c r="AA27" s="571">
        <f>IF(S27&lt;&gt;"",IF(L27="",'CONCEPTOS Y PARAMETROS'!$C$7*X27,0),0)</f>
        <v>0</v>
      </c>
      <c r="AB27" s="571">
        <f>IFERROR(ROUND(VLOOKUP($Q27,'CONCEPTOS Y PARAMETROS'!H:I,2,0)*($V27+Y27+Z27+AA27),2),0)</f>
        <v>0</v>
      </c>
      <c r="AC27" s="571">
        <f t="shared" si="61"/>
        <v>136.84</v>
      </c>
      <c r="AD27" s="575">
        <f t="shared" si="62"/>
        <v>68.42</v>
      </c>
      <c r="AE27" s="575">
        <f t="shared" si="63"/>
        <v>68.42</v>
      </c>
      <c r="AF27" s="576">
        <v>0</v>
      </c>
      <c r="AG27" s="577">
        <f>'CONCEPTOS Y PARAMETROS'!$C$18*AF27</f>
        <v>0</v>
      </c>
      <c r="AH27" s="576">
        <v>0</v>
      </c>
      <c r="AI27" s="577">
        <f>'CONCEPTOS Y PARAMETROS'!$C$21*AH27</f>
        <v>0</v>
      </c>
      <c r="AJ27" s="578">
        <v>0</v>
      </c>
      <c r="AK27" s="578">
        <v>0</v>
      </c>
      <c r="AL27" s="579">
        <f t="shared" si="64"/>
        <v>0</v>
      </c>
      <c r="AM27" s="580">
        <f t="shared" si="65"/>
        <v>307.83999999999997</v>
      </c>
      <c r="AN27" s="580">
        <f t="shared" ref="AN27:AN32" si="82">ROUND(IF(N27="VIGILANTE NOCTURNO",(V27+AC27)*30%,0),2)</f>
        <v>0</v>
      </c>
      <c r="AO27" s="573">
        <f>IF(T27&lt;&gt;"0",(ROUND(IF(A27="EMPLEADO",eval_formula('CONCEPTOS Y PARAMETROS'!$C$8,RAC!V27,RAC!$AM27,RAC!I27+RAC!J27),eval_formula('CONCEPTOS Y PARAMETROS'!$D$8,RAC!V27,RAC!$AM27,RAC!I27+RAC!J27)),2))*IF(H27&lt;&gt;"",IF(MONTH(H27)=$BB$8,IF(YEAR(H27)&lt;$BD$7,1,0),0)))</f>
        <v>0</v>
      </c>
      <c r="AP27" s="987">
        <v>180</v>
      </c>
      <c r="AQ27" s="981">
        <f>IFERROR(VLOOKUP(AP27,'CONCEPTOS Y PARAMETROS'!Y:Z,2,0),0)</f>
        <v>150</v>
      </c>
      <c r="AR27" s="981">
        <f t="shared" si="66"/>
        <v>2308.8000000000002</v>
      </c>
      <c r="AS27" s="571">
        <f t="shared" si="67"/>
        <v>10.26</v>
      </c>
      <c r="AT27" s="581">
        <v>340</v>
      </c>
      <c r="AU27" s="581">
        <v>0</v>
      </c>
      <c r="AV27" s="613">
        <v>0</v>
      </c>
      <c r="AW27" s="571">
        <f t="shared" ref="AW27:AW36" si="83">ROUND(IF(L27="", (((AM27*12)/52)*4%)*$BC$8,0),2)</f>
        <v>11.37</v>
      </c>
      <c r="AX27" s="583">
        <f t="shared" ref="AX27:AX36" si="84">ROUND(IF(L27="",(((AM27*12)/52)*0.5%)*$BC$8,0),2)</f>
        <v>1.42</v>
      </c>
      <c r="AY27" s="584">
        <f t="shared" si="68"/>
        <v>3.08</v>
      </c>
      <c r="AZ27" s="571">
        <v>0</v>
      </c>
      <c r="BA27" s="575">
        <f t="shared" si="69"/>
        <v>15.87</v>
      </c>
      <c r="BB27" s="571">
        <f t="shared" ref="BB27:BB36" si="85">ROUND(IF(L27="", (((AM27*12)/52)*9%)*$BC$8,0),2)</f>
        <v>25.57</v>
      </c>
      <c r="BC27" s="955">
        <v>0</v>
      </c>
      <c r="BD27" s="571">
        <f t="shared" si="70"/>
        <v>6.16</v>
      </c>
      <c r="BE27" s="571">
        <v>0</v>
      </c>
      <c r="BF27" s="586">
        <f t="shared" si="71"/>
        <v>31.73</v>
      </c>
      <c r="BG27" s="587" t="s">
        <v>4717</v>
      </c>
      <c r="BH27" s="588">
        <f t="shared" si="72"/>
        <v>47.6</v>
      </c>
      <c r="BI27" s="588">
        <f t="shared" si="44"/>
        <v>577.20000000000005</v>
      </c>
      <c r="BJ27" s="588">
        <v>570</v>
      </c>
      <c r="BK27" s="588">
        <f t="shared" ref="BK27:BK36" si="86">+BI27+BJ27</f>
        <v>1147.2</v>
      </c>
      <c r="BL27" s="957">
        <f>IF(S27&lt;&gt;"",IF(L27="",'CONCEPTOS Y PARAMETROS'!$A$102,0),0)</f>
        <v>7732</v>
      </c>
      <c r="BM27" s="589">
        <f t="shared" ref="BM27:BM36" si="87">ROUND((W27+AD27-BA27),2)</f>
        <v>138.05000000000001</v>
      </c>
      <c r="BN27" s="589">
        <f t="shared" ref="BN27:BN36" si="88">ROUND((W27+AE27+AN27+AO27+AS27),2)+AT27</f>
        <v>504.18</v>
      </c>
      <c r="BO27" s="590"/>
      <c r="BP27" s="590"/>
      <c r="BQ27" s="590"/>
      <c r="BR27" s="628"/>
      <c r="BS27" s="919">
        <f t="shared" si="73"/>
        <v>138.05000000000001</v>
      </c>
      <c r="BT27" s="919">
        <f t="shared" si="74"/>
        <v>340</v>
      </c>
      <c r="BU27" s="916">
        <v>1</v>
      </c>
      <c r="BV27" s="919">
        <f t="shared" si="75"/>
        <v>0</v>
      </c>
      <c r="BW27" s="919">
        <f t="shared" si="76"/>
        <v>493.92</v>
      </c>
      <c r="BX27" s="919">
        <v>0</v>
      </c>
      <c r="BY27" s="919">
        <f t="shared" si="77"/>
        <v>0</v>
      </c>
      <c r="BZ27" s="919">
        <f t="shared" si="78"/>
        <v>0</v>
      </c>
      <c r="CA27" s="919">
        <f t="shared" ref="CA27:CA36" si="89">ROUND(SUM(BV27:BY27),2)</f>
        <v>493.92</v>
      </c>
      <c r="CB27" s="919">
        <f t="shared" si="79"/>
        <v>47.6</v>
      </c>
      <c r="CC27" s="919">
        <f t="shared" si="80"/>
        <v>7732</v>
      </c>
      <c r="CD27" s="752" t="e">
        <f>#REF!/4</f>
        <v>#REF!</v>
      </c>
      <c r="CE27" s="792" t="s">
        <v>4872</v>
      </c>
      <c r="CG27" s="628"/>
      <c r="CH27" s="628"/>
      <c r="CI27" s="628"/>
      <c r="DD27" s="593"/>
      <c r="DG27" s="593"/>
      <c r="DH27" s="593"/>
    </row>
    <row r="28" spans="1:112" s="591" customFormat="1" ht="102" customHeight="1" thickBot="1" x14ac:dyDescent="0.55000000000000004">
      <c r="A28" s="558" t="s">
        <v>2835</v>
      </c>
      <c r="B28" s="624">
        <v>3</v>
      </c>
      <c r="C28" s="636">
        <v>9005286</v>
      </c>
      <c r="D28" s="634" t="s">
        <v>4675</v>
      </c>
      <c r="E28" s="562" t="s">
        <v>4635</v>
      </c>
      <c r="F28" s="563">
        <v>22208</v>
      </c>
      <c r="G28" s="562" t="s">
        <v>4633</v>
      </c>
      <c r="H28" s="564">
        <v>44200</v>
      </c>
      <c r="I28" s="565">
        <f t="shared" si="81"/>
        <v>4</v>
      </c>
      <c r="J28" s="630"/>
      <c r="K28" s="565">
        <f t="shared" si="58"/>
        <v>4</v>
      </c>
      <c r="L28" s="567"/>
      <c r="M28" s="567"/>
      <c r="N28" s="568" t="s">
        <v>2616</v>
      </c>
      <c r="O28" s="631"/>
      <c r="P28" s="626" t="str">
        <f>IFERROR(VLOOKUP(N28,CARGOS!A:E,2,0),"")</f>
        <v>7204</v>
      </c>
      <c r="Q28" s="562"/>
      <c r="R28" s="562"/>
      <c r="S28" s="635">
        <v>5</v>
      </c>
      <c r="T28" s="599">
        <f>IFERROR(VLOOKUP(S28,'TAB OBR'!A:B,2,0),0)</f>
        <v>171</v>
      </c>
      <c r="U28" s="572">
        <v>0</v>
      </c>
      <c r="V28" s="571">
        <f t="shared" si="59"/>
        <v>171</v>
      </c>
      <c r="W28" s="573">
        <f t="shared" si="60"/>
        <v>85.5</v>
      </c>
      <c r="X28" s="574">
        <v>0</v>
      </c>
      <c r="Y28" s="571">
        <f>ROUND(IF(H28&lt;&gt;"",VLOOKUP(SUM(I28:J28),'CONCEPTOS Y PARAMETROS'!F:G,2,0)*V28,0),2)</f>
        <v>6.84</v>
      </c>
      <c r="Z28" s="571">
        <f>IF(S28&lt;&gt;"",IF(L28="",'CONCEPTOS Y PARAMETROS'!$C$4,0),0)</f>
        <v>130</v>
      </c>
      <c r="AA28" s="571">
        <f>IF(S28&lt;&gt;"",IF(L28="",'CONCEPTOS Y PARAMETROS'!$C$7*X28,0),0)</f>
        <v>0</v>
      </c>
      <c r="AB28" s="571">
        <f>IFERROR(ROUND(VLOOKUP($Q28,'CONCEPTOS Y PARAMETROS'!H:I,2,0)*($V28+Y28+Z28+AA28),2),0)</f>
        <v>0</v>
      </c>
      <c r="AC28" s="571">
        <f t="shared" si="61"/>
        <v>136.84</v>
      </c>
      <c r="AD28" s="575">
        <f t="shared" si="62"/>
        <v>68.42</v>
      </c>
      <c r="AE28" s="575">
        <f t="shared" si="63"/>
        <v>68.42</v>
      </c>
      <c r="AF28" s="576">
        <v>0</v>
      </c>
      <c r="AG28" s="577">
        <f>'CONCEPTOS Y PARAMETROS'!$C$18*AF28</f>
        <v>0</v>
      </c>
      <c r="AH28" s="576">
        <v>0</v>
      </c>
      <c r="AI28" s="577">
        <f>'CONCEPTOS Y PARAMETROS'!$C$21*AH28</f>
        <v>0</v>
      </c>
      <c r="AJ28" s="578">
        <v>0</v>
      </c>
      <c r="AK28" s="578">
        <v>0</v>
      </c>
      <c r="AL28" s="579">
        <f t="shared" si="64"/>
        <v>0</v>
      </c>
      <c r="AM28" s="580">
        <f t="shared" si="65"/>
        <v>307.83999999999997</v>
      </c>
      <c r="AN28" s="580">
        <f t="shared" si="82"/>
        <v>0</v>
      </c>
      <c r="AO28" s="573">
        <f>IF(T28&lt;&gt;"0",(ROUND(IF(A28="EMPLEADO",eval_formula('CONCEPTOS Y PARAMETROS'!$C$8,RAC!V28,RAC!$AM28,RAC!I28+RAC!J28),eval_formula('CONCEPTOS Y PARAMETROS'!$D$8,RAC!V28,RAC!$AM28,RAC!I28+RAC!J28)),2))*IF(H28&lt;&gt;"",IF(MONTH(H28)=$BB$8,IF(YEAR(H28)&lt;$BD$7,1,0),0)))</f>
        <v>0</v>
      </c>
      <c r="AP28" s="987">
        <v>180</v>
      </c>
      <c r="AQ28" s="981">
        <f>IFERROR(VLOOKUP(AP28,'CONCEPTOS Y PARAMETROS'!Y:Z,2,0),0)</f>
        <v>150</v>
      </c>
      <c r="AR28" s="981">
        <f t="shared" si="66"/>
        <v>2308.8000000000002</v>
      </c>
      <c r="AS28" s="571">
        <f t="shared" si="67"/>
        <v>10.26</v>
      </c>
      <c r="AT28" s="581">
        <v>340</v>
      </c>
      <c r="AU28" s="581">
        <v>0</v>
      </c>
      <c r="AV28" s="613">
        <v>0</v>
      </c>
      <c r="AW28" s="571">
        <f t="shared" si="83"/>
        <v>11.37</v>
      </c>
      <c r="AX28" s="583">
        <f t="shared" si="84"/>
        <v>1.42</v>
      </c>
      <c r="AY28" s="584">
        <f t="shared" si="68"/>
        <v>3.08</v>
      </c>
      <c r="AZ28" s="571">
        <v>0</v>
      </c>
      <c r="BA28" s="575">
        <f t="shared" si="69"/>
        <v>15.87</v>
      </c>
      <c r="BB28" s="571">
        <f t="shared" si="85"/>
        <v>25.57</v>
      </c>
      <c r="BC28" s="955">
        <v>0</v>
      </c>
      <c r="BD28" s="571">
        <f t="shared" si="70"/>
        <v>6.16</v>
      </c>
      <c r="BE28" s="571">
        <v>0</v>
      </c>
      <c r="BF28" s="586">
        <f t="shared" si="71"/>
        <v>31.73</v>
      </c>
      <c r="BG28" s="587" t="s">
        <v>4719</v>
      </c>
      <c r="BH28" s="588">
        <f t="shared" si="72"/>
        <v>47.6</v>
      </c>
      <c r="BI28" s="588">
        <f t="shared" si="44"/>
        <v>577.20000000000005</v>
      </c>
      <c r="BJ28" s="588">
        <v>570</v>
      </c>
      <c r="BK28" s="588">
        <f t="shared" si="86"/>
        <v>1147.2</v>
      </c>
      <c r="BL28" s="957">
        <f>IF(S28&lt;&gt;"",IF(L28="",'CONCEPTOS Y PARAMETROS'!$A$102,0),0)</f>
        <v>7732</v>
      </c>
      <c r="BM28" s="589">
        <f t="shared" si="87"/>
        <v>138.05000000000001</v>
      </c>
      <c r="BN28" s="589">
        <f t="shared" si="88"/>
        <v>504.18</v>
      </c>
      <c r="BO28" s="590"/>
      <c r="BP28" s="590"/>
      <c r="BQ28" s="590"/>
      <c r="BR28" s="628"/>
      <c r="BS28" s="919">
        <f t="shared" si="73"/>
        <v>138.05000000000001</v>
      </c>
      <c r="BT28" s="919">
        <f t="shared" si="74"/>
        <v>340</v>
      </c>
      <c r="BU28" s="916">
        <v>1</v>
      </c>
      <c r="BV28" s="919">
        <f t="shared" si="75"/>
        <v>0</v>
      </c>
      <c r="BW28" s="919">
        <f t="shared" si="76"/>
        <v>493.92</v>
      </c>
      <c r="BX28" s="919">
        <v>0</v>
      </c>
      <c r="BY28" s="919">
        <f t="shared" si="77"/>
        <v>0</v>
      </c>
      <c r="BZ28" s="919">
        <f t="shared" si="78"/>
        <v>0</v>
      </c>
      <c r="CA28" s="919">
        <f t="shared" si="89"/>
        <v>493.92</v>
      </c>
      <c r="CB28" s="919">
        <f t="shared" si="79"/>
        <v>47.6</v>
      </c>
      <c r="CC28" s="919">
        <f t="shared" si="80"/>
        <v>7732</v>
      </c>
      <c r="CD28" s="752" t="e">
        <f>#REF!/4</f>
        <v>#REF!</v>
      </c>
      <c r="CE28" s="590"/>
      <c r="CG28" s="628"/>
      <c r="CH28" s="628"/>
      <c r="CI28" s="628"/>
      <c r="DD28" s="593"/>
      <c r="DG28" s="593"/>
      <c r="DH28" s="593"/>
    </row>
    <row r="29" spans="1:112" s="591" customFormat="1" ht="102" customHeight="1" thickBot="1" x14ac:dyDescent="0.55000000000000004">
      <c r="A29" s="558" t="s">
        <v>2835</v>
      </c>
      <c r="B29" s="624">
        <v>4</v>
      </c>
      <c r="C29" s="636">
        <v>12906230</v>
      </c>
      <c r="D29" s="634" t="s">
        <v>4676</v>
      </c>
      <c r="E29" s="562" t="s">
        <v>4635</v>
      </c>
      <c r="F29" s="563">
        <v>26701</v>
      </c>
      <c r="G29" s="562" t="s">
        <v>4633</v>
      </c>
      <c r="H29" s="564">
        <v>44200</v>
      </c>
      <c r="I29" s="565">
        <f t="shared" si="81"/>
        <v>4</v>
      </c>
      <c r="J29" s="630"/>
      <c r="K29" s="565">
        <f t="shared" si="58"/>
        <v>4</v>
      </c>
      <c r="L29" s="567"/>
      <c r="M29" s="567"/>
      <c r="N29" s="568" t="s">
        <v>2616</v>
      </c>
      <c r="O29" s="631"/>
      <c r="P29" s="626" t="str">
        <f>IFERROR(VLOOKUP(N29,CARGOS!A:E,2,0),"")</f>
        <v>7204</v>
      </c>
      <c r="Q29" s="562"/>
      <c r="R29" s="562"/>
      <c r="S29" s="635">
        <v>5</v>
      </c>
      <c r="T29" s="599">
        <f>IFERROR(VLOOKUP(S29,'TAB OBR'!A:B,2,0),0)</f>
        <v>171</v>
      </c>
      <c r="U29" s="572">
        <v>0</v>
      </c>
      <c r="V29" s="571">
        <f t="shared" si="59"/>
        <v>171</v>
      </c>
      <c r="W29" s="573">
        <f t="shared" si="60"/>
        <v>85.5</v>
      </c>
      <c r="X29" s="574">
        <v>0</v>
      </c>
      <c r="Y29" s="571">
        <f>ROUND(IF(H29&lt;&gt;"",VLOOKUP(SUM(I29:J29),'CONCEPTOS Y PARAMETROS'!F:G,2,0)*V29,0),2)</f>
        <v>6.84</v>
      </c>
      <c r="Z29" s="571">
        <f>IF(S29&lt;&gt;"",IF(L29="",'CONCEPTOS Y PARAMETROS'!$C$4,0),0)</f>
        <v>130</v>
      </c>
      <c r="AA29" s="571">
        <f>IF(S29&lt;&gt;"",IF(L29="",'CONCEPTOS Y PARAMETROS'!$C$7*X29,0),0)</f>
        <v>0</v>
      </c>
      <c r="AB29" s="571">
        <f>IFERROR(ROUND(VLOOKUP($Q29,'CONCEPTOS Y PARAMETROS'!H:I,2,0)*($V29+Y29+Z29+AA29),2),0)</f>
        <v>0</v>
      </c>
      <c r="AC29" s="571">
        <f t="shared" si="61"/>
        <v>136.84</v>
      </c>
      <c r="AD29" s="575">
        <f t="shared" si="62"/>
        <v>68.42</v>
      </c>
      <c r="AE29" s="575">
        <f t="shared" si="63"/>
        <v>68.42</v>
      </c>
      <c r="AF29" s="576">
        <v>0</v>
      </c>
      <c r="AG29" s="577">
        <f>'CONCEPTOS Y PARAMETROS'!$C$18*AF29</f>
        <v>0</v>
      </c>
      <c r="AH29" s="576">
        <v>0</v>
      </c>
      <c r="AI29" s="577">
        <f>'CONCEPTOS Y PARAMETROS'!$C$21*AH29</f>
        <v>0</v>
      </c>
      <c r="AJ29" s="578">
        <v>0</v>
      </c>
      <c r="AK29" s="578">
        <v>0</v>
      </c>
      <c r="AL29" s="579">
        <f t="shared" si="64"/>
        <v>0</v>
      </c>
      <c r="AM29" s="580">
        <f t="shared" si="65"/>
        <v>307.83999999999997</v>
      </c>
      <c r="AN29" s="580">
        <f t="shared" si="82"/>
        <v>0</v>
      </c>
      <c r="AO29" s="573">
        <f>IF(T29&lt;&gt;"0",(ROUND(IF(A29="EMPLEADO",eval_formula('CONCEPTOS Y PARAMETROS'!$C$8,RAC!V29,RAC!$AM29,RAC!I29+RAC!J29),eval_formula('CONCEPTOS Y PARAMETROS'!$D$8,RAC!V29,RAC!$AM29,RAC!I29+RAC!J29)),2))*IF(H29&lt;&gt;"",IF(MONTH(H29)=$BB$8,IF(YEAR(H29)&lt;$BD$7,1,0),0)))</f>
        <v>0</v>
      </c>
      <c r="AP29" s="987">
        <v>180</v>
      </c>
      <c r="AQ29" s="981">
        <f>IFERROR(VLOOKUP(AP29,'CONCEPTOS Y PARAMETROS'!Y:Z,2,0),0)</f>
        <v>150</v>
      </c>
      <c r="AR29" s="981">
        <f t="shared" si="66"/>
        <v>2308.8000000000002</v>
      </c>
      <c r="AS29" s="571">
        <f t="shared" si="67"/>
        <v>10.26</v>
      </c>
      <c r="AT29" s="581">
        <v>340</v>
      </c>
      <c r="AU29" s="581">
        <v>0</v>
      </c>
      <c r="AV29" s="613">
        <v>0</v>
      </c>
      <c r="AW29" s="571">
        <f t="shared" si="83"/>
        <v>11.37</v>
      </c>
      <c r="AX29" s="583">
        <f t="shared" si="84"/>
        <v>1.42</v>
      </c>
      <c r="AY29" s="584">
        <f t="shared" si="68"/>
        <v>3.08</v>
      </c>
      <c r="AZ29" s="571">
        <v>0</v>
      </c>
      <c r="BA29" s="575">
        <f t="shared" si="69"/>
        <v>15.87</v>
      </c>
      <c r="BB29" s="571">
        <f t="shared" si="85"/>
        <v>25.57</v>
      </c>
      <c r="BC29" s="571">
        <f t="shared" ref="BC29:BC36" si="90">ROUND(IF(L29="",(((AM29*12)/52)*2%)*$BC$8,0),2)</f>
        <v>5.68</v>
      </c>
      <c r="BD29" s="571">
        <f t="shared" si="70"/>
        <v>6.16</v>
      </c>
      <c r="BE29" s="571">
        <v>0</v>
      </c>
      <c r="BF29" s="586">
        <f t="shared" si="71"/>
        <v>37.409999999999997</v>
      </c>
      <c r="BG29" s="587" t="s">
        <v>4720</v>
      </c>
      <c r="BH29" s="588">
        <f t="shared" si="72"/>
        <v>53.28</v>
      </c>
      <c r="BI29" s="588">
        <f t="shared" si="44"/>
        <v>577.20000000000005</v>
      </c>
      <c r="BJ29" s="588">
        <v>570</v>
      </c>
      <c r="BK29" s="588">
        <f t="shared" si="86"/>
        <v>1147.2</v>
      </c>
      <c r="BL29" s="957">
        <f>IF(S29&lt;&gt;"",IF(L29="",'CONCEPTOS Y PARAMETROS'!$A$102,0),0)</f>
        <v>7732</v>
      </c>
      <c r="BM29" s="589">
        <f t="shared" si="87"/>
        <v>138.05000000000001</v>
      </c>
      <c r="BN29" s="589">
        <f>ROUND((W29+AE29+AN29+AO29+AS29),2)+AT29</f>
        <v>504.18</v>
      </c>
      <c r="BO29" s="590"/>
      <c r="BP29" s="590"/>
      <c r="BQ29" s="590"/>
      <c r="BR29" s="628"/>
      <c r="BS29" s="919">
        <f t="shared" si="73"/>
        <v>138.05000000000001</v>
      </c>
      <c r="BT29" s="919">
        <f t="shared" si="74"/>
        <v>340</v>
      </c>
      <c r="BU29" s="916">
        <v>1</v>
      </c>
      <c r="BV29" s="919">
        <f t="shared" si="75"/>
        <v>0</v>
      </c>
      <c r="BW29" s="919">
        <f t="shared" si="76"/>
        <v>493.92</v>
      </c>
      <c r="BX29" s="919">
        <v>0</v>
      </c>
      <c r="BY29" s="919">
        <f t="shared" si="77"/>
        <v>0</v>
      </c>
      <c r="BZ29" s="919">
        <f t="shared" si="78"/>
        <v>0</v>
      </c>
      <c r="CA29" s="919">
        <f t="shared" si="89"/>
        <v>493.92</v>
      </c>
      <c r="CB29" s="919">
        <f t="shared" si="79"/>
        <v>53.279999999999994</v>
      </c>
      <c r="CC29" s="919">
        <f t="shared" si="80"/>
        <v>7732</v>
      </c>
      <c r="CD29" s="752" t="e">
        <f>#REF!/4</f>
        <v>#REF!</v>
      </c>
      <c r="CE29" s="590"/>
      <c r="CG29" s="628"/>
      <c r="CH29" s="628"/>
      <c r="CI29" s="628"/>
      <c r="DD29" s="593"/>
      <c r="DG29" s="593"/>
      <c r="DH29" s="593"/>
    </row>
    <row r="30" spans="1:112" s="591" customFormat="1" ht="102" customHeight="1" thickBot="1" x14ac:dyDescent="0.55000000000000004">
      <c r="A30" s="558" t="s">
        <v>2835</v>
      </c>
      <c r="B30" s="624">
        <v>5</v>
      </c>
      <c r="C30" s="636">
        <v>13896972</v>
      </c>
      <c r="D30" s="634" t="s">
        <v>4677</v>
      </c>
      <c r="E30" s="562" t="s">
        <v>4635</v>
      </c>
      <c r="F30" s="563">
        <v>29038</v>
      </c>
      <c r="G30" s="562" t="s">
        <v>4633</v>
      </c>
      <c r="H30" s="564">
        <v>44200</v>
      </c>
      <c r="I30" s="565">
        <f t="shared" si="81"/>
        <v>4</v>
      </c>
      <c r="J30" s="630"/>
      <c r="K30" s="565">
        <f t="shared" si="58"/>
        <v>4</v>
      </c>
      <c r="L30" s="567"/>
      <c r="M30" s="567"/>
      <c r="N30" s="568" t="s">
        <v>2616</v>
      </c>
      <c r="O30" s="631"/>
      <c r="P30" s="626" t="str">
        <f>IFERROR(VLOOKUP(N30,CARGOS!A:E,2,0),"")</f>
        <v>7204</v>
      </c>
      <c r="Q30" s="562"/>
      <c r="R30" s="562"/>
      <c r="S30" s="635">
        <v>5</v>
      </c>
      <c r="T30" s="599">
        <f>IFERROR(VLOOKUP(S30,'TAB OBR'!A:B,2,0),0)</f>
        <v>171</v>
      </c>
      <c r="U30" s="572">
        <v>0</v>
      </c>
      <c r="V30" s="571">
        <f t="shared" si="59"/>
        <v>171</v>
      </c>
      <c r="W30" s="573">
        <f t="shared" si="60"/>
        <v>85.5</v>
      </c>
      <c r="X30" s="574">
        <v>0</v>
      </c>
      <c r="Y30" s="571">
        <f>ROUND(IF(H30&lt;&gt;"",VLOOKUP(SUM(I30:J30),'CONCEPTOS Y PARAMETROS'!F:G,2,0)*V30,0),2)</f>
        <v>6.84</v>
      </c>
      <c r="Z30" s="571">
        <f>IF(S30&lt;&gt;"",IF(L30="",'CONCEPTOS Y PARAMETROS'!$C$4,0),0)</f>
        <v>130</v>
      </c>
      <c r="AA30" s="571">
        <f>IF(S30&lt;&gt;"",IF(L30="",'CONCEPTOS Y PARAMETROS'!$C$7*X30,0),0)</f>
        <v>0</v>
      </c>
      <c r="AB30" s="571">
        <f>IFERROR(ROUND(VLOOKUP($Q30,'CONCEPTOS Y PARAMETROS'!H:I,2,0)*($V30+Y30+Z30+AA30),2),0)</f>
        <v>0</v>
      </c>
      <c r="AC30" s="571">
        <f t="shared" si="61"/>
        <v>136.84</v>
      </c>
      <c r="AD30" s="575">
        <f t="shared" si="62"/>
        <v>68.42</v>
      </c>
      <c r="AE30" s="575">
        <f t="shared" si="63"/>
        <v>68.42</v>
      </c>
      <c r="AF30" s="576">
        <v>0</v>
      </c>
      <c r="AG30" s="577">
        <f>'CONCEPTOS Y PARAMETROS'!$C$18*AF30</f>
        <v>0</v>
      </c>
      <c r="AH30" s="576">
        <v>0</v>
      </c>
      <c r="AI30" s="577">
        <f>'CONCEPTOS Y PARAMETROS'!$C$21*AH30</f>
        <v>0</v>
      </c>
      <c r="AJ30" s="578">
        <v>0</v>
      </c>
      <c r="AK30" s="578">
        <v>0</v>
      </c>
      <c r="AL30" s="579">
        <f t="shared" si="64"/>
        <v>0</v>
      </c>
      <c r="AM30" s="580">
        <f t="shared" si="65"/>
        <v>307.83999999999997</v>
      </c>
      <c r="AN30" s="580">
        <f t="shared" si="82"/>
        <v>0</v>
      </c>
      <c r="AO30" s="573">
        <f>IF(T30&lt;&gt;"0",(ROUND(IF(A30="EMPLEADO",eval_formula('CONCEPTOS Y PARAMETROS'!$C$8,RAC!V30,RAC!$AM30,RAC!I30+RAC!J30),eval_formula('CONCEPTOS Y PARAMETROS'!$D$8,RAC!V30,RAC!$AM30,RAC!I30+RAC!J30)),2))*IF(H30&lt;&gt;"",IF(MONTH(H30)=$BB$8,IF(YEAR(H30)&lt;$BD$7,1,0),0)))</f>
        <v>0</v>
      </c>
      <c r="AP30" s="987">
        <v>180</v>
      </c>
      <c r="AQ30" s="981">
        <f>IFERROR(VLOOKUP(AP30,'CONCEPTOS Y PARAMETROS'!Y:Z,2,0),0)</f>
        <v>150</v>
      </c>
      <c r="AR30" s="981">
        <f t="shared" si="66"/>
        <v>2308.8000000000002</v>
      </c>
      <c r="AS30" s="571">
        <f t="shared" si="67"/>
        <v>10.26</v>
      </c>
      <c r="AT30" s="581">
        <v>340</v>
      </c>
      <c r="AU30" s="581">
        <v>0</v>
      </c>
      <c r="AV30" s="613">
        <v>0</v>
      </c>
      <c r="AW30" s="571">
        <f t="shared" si="83"/>
        <v>11.37</v>
      </c>
      <c r="AX30" s="583">
        <f t="shared" si="84"/>
        <v>1.42</v>
      </c>
      <c r="AY30" s="584">
        <f t="shared" si="68"/>
        <v>3.08</v>
      </c>
      <c r="AZ30" s="571">
        <v>0</v>
      </c>
      <c r="BA30" s="575">
        <f t="shared" si="69"/>
        <v>15.87</v>
      </c>
      <c r="BB30" s="571">
        <f t="shared" si="85"/>
        <v>25.57</v>
      </c>
      <c r="BC30" s="571">
        <f t="shared" si="90"/>
        <v>5.68</v>
      </c>
      <c r="BD30" s="571">
        <f t="shared" si="70"/>
        <v>6.16</v>
      </c>
      <c r="BE30" s="571">
        <v>0</v>
      </c>
      <c r="BF30" s="586">
        <f t="shared" si="71"/>
        <v>37.409999999999997</v>
      </c>
      <c r="BG30" s="587" t="s">
        <v>4721</v>
      </c>
      <c r="BH30" s="588">
        <f t="shared" si="72"/>
        <v>53.28</v>
      </c>
      <c r="BI30" s="588">
        <f t="shared" si="44"/>
        <v>577.20000000000005</v>
      </c>
      <c r="BJ30" s="588">
        <v>570</v>
      </c>
      <c r="BK30" s="588">
        <f t="shared" si="86"/>
        <v>1147.2</v>
      </c>
      <c r="BL30" s="957">
        <f>IF(S30&lt;&gt;"",IF(L30="",'CONCEPTOS Y PARAMETROS'!$A$102,0),0)</f>
        <v>7732</v>
      </c>
      <c r="BM30" s="589">
        <f t="shared" si="87"/>
        <v>138.05000000000001</v>
      </c>
      <c r="BN30" s="589">
        <f t="shared" si="88"/>
        <v>504.18</v>
      </c>
      <c r="BO30" s="590"/>
      <c r="BP30" s="590"/>
      <c r="BQ30" s="590"/>
      <c r="BR30" s="628"/>
      <c r="BS30" s="919">
        <f t="shared" si="73"/>
        <v>138.05000000000001</v>
      </c>
      <c r="BT30" s="919">
        <f t="shared" si="74"/>
        <v>340</v>
      </c>
      <c r="BU30" s="916">
        <v>1</v>
      </c>
      <c r="BV30" s="919">
        <f t="shared" si="75"/>
        <v>0</v>
      </c>
      <c r="BW30" s="919">
        <f t="shared" si="76"/>
        <v>493.92</v>
      </c>
      <c r="BX30" s="919">
        <v>0</v>
      </c>
      <c r="BY30" s="919">
        <f t="shared" si="77"/>
        <v>0</v>
      </c>
      <c r="BZ30" s="919">
        <f t="shared" si="78"/>
        <v>0</v>
      </c>
      <c r="CA30" s="919">
        <f t="shared" si="89"/>
        <v>493.92</v>
      </c>
      <c r="CB30" s="919">
        <f t="shared" si="79"/>
        <v>53.279999999999994</v>
      </c>
      <c r="CC30" s="919">
        <f t="shared" si="80"/>
        <v>7732</v>
      </c>
      <c r="CD30" s="752" t="e">
        <f>#REF!/4</f>
        <v>#REF!</v>
      </c>
      <c r="CE30" s="590"/>
      <c r="CG30" s="628"/>
      <c r="CH30" s="628"/>
      <c r="CI30" s="628"/>
      <c r="DD30" s="593"/>
      <c r="DG30" s="593"/>
      <c r="DH30" s="593"/>
    </row>
    <row r="31" spans="1:112" s="591" customFormat="1" ht="102" customHeight="1" thickBot="1" x14ac:dyDescent="0.55000000000000004">
      <c r="A31" s="558" t="s">
        <v>2835</v>
      </c>
      <c r="B31" s="624">
        <v>6</v>
      </c>
      <c r="C31" s="636">
        <v>28322776</v>
      </c>
      <c r="D31" s="634" t="s">
        <v>4679</v>
      </c>
      <c r="E31" s="562" t="s">
        <v>4635</v>
      </c>
      <c r="F31" s="563">
        <v>37161</v>
      </c>
      <c r="G31" s="562" t="s">
        <v>4633</v>
      </c>
      <c r="H31" s="564">
        <v>44228</v>
      </c>
      <c r="I31" s="565">
        <f t="shared" si="81"/>
        <v>4</v>
      </c>
      <c r="J31" s="630"/>
      <c r="K31" s="565">
        <f t="shared" si="58"/>
        <v>4</v>
      </c>
      <c r="L31" s="567"/>
      <c r="M31" s="567"/>
      <c r="N31" s="568" t="s">
        <v>3332</v>
      </c>
      <c r="O31" s="631"/>
      <c r="P31" s="626" t="str">
        <f>IFERROR(VLOOKUP(N31,CARGOS!A:E,2,0),"")</f>
        <v>2202</v>
      </c>
      <c r="Q31" s="562"/>
      <c r="R31" s="562"/>
      <c r="S31" s="635">
        <v>1</v>
      </c>
      <c r="T31" s="599">
        <f>IFERROR(VLOOKUP(S31,'TAB OBR'!A:B,2,0),0)</f>
        <v>130</v>
      </c>
      <c r="U31" s="572">
        <v>0</v>
      </c>
      <c r="V31" s="571">
        <f t="shared" si="59"/>
        <v>130</v>
      </c>
      <c r="W31" s="573">
        <f t="shared" si="60"/>
        <v>65</v>
      </c>
      <c r="X31" s="574">
        <v>0</v>
      </c>
      <c r="Y31" s="571">
        <f>ROUND(IF(H31&lt;&gt;"",VLOOKUP(SUM(I31:J31),'CONCEPTOS Y PARAMETROS'!F:G,2,0)*V31,0),2)</f>
        <v>5.2</v>
      </c>
      <c r="Z31" s="571">
        <f>IF(S31&lt;&gt;"",IF(L31="",'CONCEPTOS Y PARAMETROS'!$C$4,0),0)</f>
        <v>130</v>
      </c>
      <c r="AA31" s="571">
        <f>IF(S31&lt;&gt;"",IF(L31="",'CONCEPTOS Y PARAMETROS'!$C$7*X31,0),0)</f>
        <v>0</v>
      </c>
      <c r="AB31" s="571">
        <f>IFERROR(ROUND(VLOOKUP($Q31,'CONCEPTOS Y PARAMETROS'!H:I,2,0)*($V31+Y31+Z31+AA31),2),0)</f>
        <v>0</v>
      </c>
      <c r="AC31" s="571">
        <f t="shared" si="61"/>
        <v>135.19999999999999</v>
      </c>
      <c r="AD31" s="575">
        <f t="shared" si="62"/>
        <v>67.599999999999994</v>
      </c>
      <c r="AE31" s="575">
        <f t="shared" si="63"/>
        <v>67.599999999999994</v>
      </c>
      <c r="AF31" s="576">
        <v>0</v>
      </c>
      <c r="AG31" s="577">
        <f>'CONCEPTOS Y PARAMETROS'!$C$18*AF31</f>
        <v>0</v>
      </c>
      <c r="AH31" s="576">
        <v>0</v>
      </c>
      <c r="AI31" s="577">
        <f>'CONCEPTOS Y PARAMETROS'!$C$21*AH31</f>
        <v>0</v>
      </c>
      <c r="AJ31" s="578">
        <v>0</v>
      </c>
      <c r="AK31" s="578">
        <v>0</v>
      </c>
      <c r="AL31" s="579">
        <f t="shared" si="64"/>
        <v>0</v>
      </c>
      <c r="AM31" s="580">
        <f t="shared" si="65"/>
        <v>265.2</v>
      </c>
      <c r="AN31" s="580">
        <f t="shared" si="82"/>
        <v>0</v>
      </c>
      <c r="AO31" s="573">
        <f>IF(T31&lt;&gt;"0",(ROUND(IF(A31="EMPLEADO",eval_formula('CONCEPTOS Y PARAMETROS'!$C$8,RAC!V31,RAC!$AM31,RAC!I31+RAC!J31),eval_formula('CONCEPTOS Y PARAMETROS'!$D$8,RAC!V31,RAC!$AM31,RAC!I31+RAC!J31)),2))*IF(H31&lt;&gt;"",IF(MONTH(H31)=$BB$8,IF(YEAR(H31)&lt;$BD$7,1,0),0)))</f>
        <v>0</v>
      </c>
      <c r="AP31" s="987">
        <v>180</v>
      </c>
      <c r="AQ31" s="981">
        <f>IFERROR(VLOOKUP(AP31,'CONCEPTOS Y PARAMETROS'!Y:Z,2,0),0)</f>
        <v>150</v>
      </c>
      <c r="AR31" s="981">
        <f t="shared" si="66"/>
        <v>1989</v>
      </c>
      <c r="AS31" s="571">
        <f t="shared" si="67"/>
        <v>8.84</v>
      </c>
      <c r="AT31" s="581">
        <v>340</v>
      </c>
      <c r="AU31" s="581">
        <v>0</v>
      </c>
      <c r="AV31" s="613">
        <v>0</v>
      </c>
      <c r="AW31" s="571">
        <f t="shared" si="83"/>
        <v>9.7899999999999991</v>
      </c>
      <c r="AX31" s="583">
        <f t="shared" si="84"/>
        <v>1.22</v>
      </c>
      <c r="AY31" s="584">
        <f t="shared" si="68"/>
        <v>2.65</v>
      </c>
      <c r="AZ31" s="571">
        <v>0</v>
      </c>
      <c r="BA31" s="575">
        <f t="shared" si="69"/>
        <v>13.66</v>
      </c>
      <c r="BB31" s="571">
        <f t="shared" si="85"/>
        <v>22.03</v>
      </c>
      <c r="BC31" s="571">
        <f t="shared" si="90"/>
        <v>4.9000000000000004</v>
      </c>
      <c r="BD31" s="571">
        <f t="shared" si="70"/>
        <v>5.3</v>
      </c>
      <c r="BE31" s="571">
        <v>0</v>
      </c>
      <c r="BF31" s="586">
        <f t="shared" si="71"/>
        <v>32.229999999999997</v>
      </c>
      <c r="BG31" s="587" t="s">
        <v>4722</v>
      </c>
      <c r="BH31" s="588">
        <f t="shared" si="72"/>
        <v>45.89</v>
      </c>
      <c r="BI31" s="588">
        <f t="shared" si="44"/>
        <v>497.25</v>
      </c>
      <c r="BJ31" s="588">
        <v>570</v>
      </c>
      <c r="BK31" s="588">
        <f t="shared" si="86"/>
        <v>1067.25</v>
      </c>
      <c r="BL31" s="957">
        <f>IF(S31&lt;&gt;"",IF(L31="",'CONCEPTOS Y PARAMETROS'!$A$102,0),0)</f>
        <v>7732</v>
      </c>
      <c r="BM31" s="589">
        <f t="shared" si="87"/>
        <v>118.94</v>
      </c>
      <c r="BN31" s="589">
        <f t="shared" si="88"/>
        <v>481.44</v>
      </c>
      <c r="BO31" s="590"/>
      <c r="BP31" s="590"/>
      <c r="BQ31" s="590"/>
      <c r="BR31" s="628"/>
      <c r="BS31" s="919">
        <f t="shared" si="73"/>
        <v>118.94</v>
      </c>
      <c r="BT31" s="919">
        <f t="shared" si="74"/>
        <v>340</v>
      </c>
      <c r="BU31" s="916">
        <v>1</v>
      </c>
      <c r="BV31" s="919">
        <f t="shared" si="75"/>
        <v>0</v>
      </c>
      <c r="BW31" s="919">
        <f t="shared" si="76"/>
        <v>472.6</v>
      </c>
      <c r="BX31" s="919">
        <v>0</v>
      </c>
      <c r="BY31" s="919">
        <f t="shared" si="77"/>
        <v>0</v>
      </c>
      <c r="BZ31" s="919">
        <f t="shared" si="78"/>
        <v>0</v>
      </c>
      <c r="CA31" s="919">
        <f t="shared" si="89"/>
        <v>472.6</v>
      </c>
      <c r="CB31" s="919">
        <f t="shared" si="79"/>
        <v>45.89</v>
      </c>
      <c r="CC31" s="919">
        <f t="shared" si="80"/>
        <v>7732</v>
      </c>
      <c r="CD31" s="752" t="e">
        <f>#REF!/4</f>
        <v>#REF!</v>
      </c>
      <c r="CE31" s="590"/>
      <c r="CG31" s="628"/>
      <c r="CH31" s="628"/>
      <c r="CI31" s="628"/>
      <c r="DD31" s="593"/>
      <c r="DG31" s="593"/>
      <c r="DH31" s="593"/>
    </row>
    <row r="32" spans="1:112" s="591" customFormat="1" ht="102" customHeight="1" thickBot="1" x14ac:dyDescent="0.55000000000000004">
      <c r="A32" s="637" t="s">
        <v>2835</v>
      </c>
      <c r="B32" s="624">
        <v>7</v>
      </c>
      <c r="C32" s="638">
        <v>9322076</v>
      </c>
      <c r="D32" s="639" t="s">
        <v>4681</v>
      </c>
      <c r="E32" s="632" t="s">
        <v>4635</v>
      </c>
      <c r="F32" s="563">
        <v>23104</v>
      </c>
      <c r="G32" s="632" t="s">
        <v>4633</v>
      </c>
      <c r="H32" s="564">
        <v>44271</v>
      </c>
      <c r="I32" s="565">
        <f t="shared" si="81"/>
        <v>4</v>
      </c>
      <c r="J32" s="640"/>
      <c r="K32" s="565">
        <f t="shared" si="58"/>
        <v>4</v>
      </c>
      <c r="L32" s="567"/>
      <c r="M32" s="567"/>
      <c r="N32" s="600" t="s">
        <v>2616</v>
      </c>
      <c r="O32" s="631"/>
      <c r="P32" s="626" t="str">
        <f>IFERROR(VLOOKUP(N32,CARGOS!A:E,2,0),"")</f>
        <v>7204</v>
      </c>
      <c r="Q32" s="632"/>
      <c r="R32" s="632"/>
      <c r="S32" s="641">
        <v>5</v>
      </c>
      <c r="T32" s="599">
        <f>IFERROR(VLOOKUP(S32,'TAB OBR'!A:B,2,0),0)</f>
        <v>171</v>
      </c>
      <c r="U32" s="572">
        <v>0</v>
      </c>
      <c r="V32" s="571">
        <f t="shared" si="59"/>
        <v>171</v>
      </c>
      <c r="W32" s="573">
        <f t="shared" si="60"/>
        <v>85.5</v>
      </c>
      <c r="X32" s="574">
        <v>0</v>
      </c>
      <c r="Y32" s="571">
        <f>ROUND(IF(H32&lt;&gt;"",VLOOKUP(SUM(I32:J32),'CONCEPTOS Y PARAMETROS'!F:G,2,0)*V32,0),2)</f>
        <v>6.84</v>
      </c>
      <c r="Z32" s="571">
        <f>IF(S32&lt;&gt;"",IF(L32="",'CONCEPTOS Y PARAMETROS'!$C$4,0),0)</f>
        <v>130</v>
      </c>
      <c r="AA32" s="571">
        <f>IF(S32&lt;&gt;"",IF(L32="",'CONCEPTOS Y PARAMETROS'!$C$7*X32,0),0)</f>
        <v>0</v>
      </c>
      <c r="AB32" s="571">
        <f>IFERROR(ROUND(VLOOKUP($Q32,'CONCEPTOS Y PARAMETROS'!H:I,2,0)*($V32+Y32+Z32+AA32),2),0)</f>
        <v>0</v>
      </c>
      <c r="AC32" s="571">
        <f t="shared" si="61"/>
        <v>136.84</v>
      </c>
      <c r="AD32" s="575">
        <f t="shared" si="62"/>
        <v>68.42</v>
      </c>
      <c r="AE32" s="573">
        <f t="shared" si="63"/>
        <v>68.42</v>
      </c>
      <c r="AF32" s="642">
        <v>0</v>
      </c>
      <c r="AG32" s="577">
        <f>'CONCEPTOS Y PARAMETROS'!$C$18*AF32</f>
        <v>0</v>
      </c>
      <c r="AH32" s="642">
        <v>0</v>
      </c>
      <c r="AI32" s="577">
        <f>'CONCEPTOS Y PARAMETROS'!$C$21*AH32</f>
        <v>0</v>
      </c>
      <c r="AJ32" s="578">
        <v>0</v>
      </c>
      <c r="AK32" s="578">
        <v>0</v>
      </c>
      <c r="AL32" s="579">
        <f t="shared" si="64"/>
        <v>0</v>
      </c>
      <c r="AM32" s="580">
        <f t="shared" si="65"/>
        <v>307.83999999999997</v>
      </c>
      <c r="AN32" s="571">
        <f t="shared" si="82"/>
        <v>0</v>
      </c>
      <c r="AO32" s="573">
        <f>IF(T32&lt;&gt;"0",(ROUND(IF(A32="EMPLEADO",eval_formula('CONCEPTOS Y PARAMETROS'!$C$8,RAC!V32,RAC!$AM32,RAC!I32+RAC!J32),eval_formula('CONCEPTOS Y PARAMETROS'!$D$8,RAC!V32,RAC!$AM32,RAC!I32+RAC!J32)),2))*IF(H32&lt;&gt;"",IF(MONTH(H32)=$BB$8,IF(YEAR(H32)&lt;$BD$7,1,0),0)))</f>
        <v>0</v>
      </c>
      <c r="AP32" s="987">
        <v>180</v>
      </c>
      <c r="AQ32" s="981">
        <f>IFERROR(VLOOKUP(AP32,'CONCEPTOS Y PARAMETROS'!Y:Z,2,0),0)</f>
        <v>150</v>
      </c>
      <c r="AR32" s="981">
        <f t="shared" si="66"/>
        <v>2308.8000000000002</v>
      </c>
      <c r="AS32" s="571">
        <f t="shared" si="67"/>
        <v>10.26</v>
      </c>
      <c r="AT32" s="581">
        <v>340</v>
      </c>
      <c r="AU32" s="581">
        <v>0</v>
      </c>
      <c r="AV32" s="643">
        <v>0</v>
      </c>
      <c r="AW32" s="571">
        <f t="shared" si="83"/>
        <v>11.37</v>
      </c>
      <c r="AX32" s="583">
        <f t="shared" si="84"/>
        <v>1.42</v>
      </c>
      <c r="AY32" s="584">
        <f t="shared" si="68"/>
        <v>3.08</v>
      </c>
      <c r="AZ32" s="571">
        <v>0</v>
      </c>
      <c r="BA32" s="575">
        <f t="shared" si="69"/>
        <v>15.87</v>
      </c>
      <c r="BB32" s="571">
        <f t="shared" si="85"/>
        <v>25.57</v>
      </c>
      <c r="BC32" s="571">
        <f t="shared" si="90"/>
        <v>5.68</v>
      </c>
      <c r="BD32" s="571">
        <f t="shared" si="70"/>
        <v>6.16</v>
      </c>
      <c r="BE32" s="571">
        <v>0</v>
      </c>
      <c r="BF32" s="586">
        <f t="shared" si="71"/>
        <v>37.409999999999997</v>
      </c>
      <c r="BG32" s="587" t="s">
        <v>4723</v>
      </c>
      <c r="BH32" s="588">
        <f t="shared" si="72"/>
        <v>53.28</v>
      </c>
      <c r="BI32" s="588">
        <f t="shared" si="44"/>
        <v>577.20000000000005</v>
      </c>
      <c r="BJ32" s="588">
        <v>570</v>
      </c>
      <c r="BK32" s="588">
        <f t="shared" si="86"/>
        <v>1147.2</v>
      </c>
      <c r="BL32" s="957">
        <f>IF(S32&lt;&gt;"",IF(L32="",'CONCEPTOS Y PARAMETROS'!$A$102,0),0)</f>
        <v>7732</v>
      </c>
      <c r="BM32" s="589">
        <f t="shared" si="87"/>
        <v>138.05000000000001</v>
      </c>
      <c r="BN32" s="589">
        <f t="shared" si="88"/>
        <v>504.18</v>
      </c>
      <c r="BO32" s="590"/>
      <c r="BP32" s="590"/>
      <c r="BQ32" s="590"/>
      <c r="BR32" s="628"/>
      <c r="BS32" s="919">
        <f t="shared" si="73"/>
        <v>138.05000000000001</v>
      </c>
      <c r="BT32" s="919">
        <f t="shared" si="74"/>
        <v>340</v>
      </c>
      <c r="BU32" s="916">
        <v>1</v>
      </c>
      <c r="BV32" s="919">
        <f t="shared" si="75"/>
        <v>0</v>
      </c>
      <c r="BW32" s="919">
        <f t="shared" si="76"/>
        <v>493.92</v>
      </c>
      <c r="BX32" s="919">
        <v>0</v>
      </c>
      <c r="BY32" s="919">
        <f t="shared" si="77"/>
        <v>0</v>
      </c>
      <c r="BZ32" s="919">
        <f t="shared" si="78"/>
        <v>0</v>
      </c>
      <c r="CA32" s="919">
        <f t="shared" si="89"/>
        <v>493.92</v>
      </c>
      <c r="CB32" s="919">
        <f t="shared" si="79"/>
        <v>53.279999999999994</v>
      </c>
      <c r="CC32" s="919">
        <f t="shared" si="80"/>
        <v>7732</v>
      </c>
      <c r="CD32" s="752" t="e">
        <f>#REF!/4</f>
        <v>#REF!</v>
      </c>
      <c r="CE32" s="590"/>
      <c r="CG32" s="628"/>
      <c r="CH32" s="628"/>
      <c r="CI32" s="628"/>
      <c r="DD32" s="593"/>
      <c r="DG32" s="593"/>
      <c r="DH32" s="593"/>
    </row>
    <row r="33" spans="1:112" s="591" customFormat="1" ht="102" customHeight="1" thickBot="1" x14ac:dyDescent="0.55000000000000004">
      <c r="A33" s="644" t="s">
        <v>2835</v>
      </c>
      <c r="B33" s="624">
        <v>8</v>
      </c>
      <c r="C33" s="636">
        <v>25832162</v>
      </c>
      <c r="D33" s="634" t="s">
        <v>4703</v>
      </c>
      <c r="E33" s="562" t="s">
        <v>4635</v>
      </c>
      <c r="F33" s="563">
        <v>35558</v>
      </c>
      <c r="G33" s="562" t="s">
        <v>4633</v>
      </c>
      <c r="H33" s="564">
        <v>45078</v>
      </c>
      <c r="I33" s="565">
        <f t="shared" si="81"/>
        <v>2</v>
      </c>
      <c r="J33" s="630"/>
      <c r="K33" s="645">
        <f t="shared" si="58"/>
        <v>2</v>
      </c>
      <c r="L33" s="567"/>
      <c r="M33" s="567"/>
      <c r="N33" s="568" t="s">
        <v>3332</v>
      </c>
      <c r="O33" s="631"/>
      <c r="P33" s="626">
        <v>2202</v>
      </c>
      <c r="Q33" s="562" t="s">
        <v>2894</v>
      </c>
      <c r="R33" s="562"/>
      <c r="S33" s="635">
        <v>1</v>
      </c>
      <c r="T33" s="599">
        <f>IFERROR(VLOOKUP(S33,'TAB OBR'!A:B,2,0),0)</f>
        <v>130</v>
      </c>
      <c r="U33" s="646">
        <v>0</v>
      </c>
      <c r="V33" s="647">
        <f t="shared" si="59"/>
        <v>130</v>
      </c>
      <c r="W33" s="648">
        <f t="shared" si="60"/>
        <v>65</v>
      </c>
      <c r="X33" s="615">
        <v>1</v>
      </c>
      <c r="Y33" s="571">
        <f>ROUND(IF(H33&lt;&gt;"",VLOOKUP(SUM(I33:J33),'CONCEPTOS Y PARAMETROS'!F:G,2,0)*V33,0),2)</f>
        <v>2.6</v>
      </c>
      <c r="Z33" s="571">
        <f>IF(S33&lt;&gt;"",IF(L33="",'CONCEPTOS Y PARAMETROS'!$C$4,0),0)</f>
        <v>130</v>
      </c>
      <c r="AA33" s="571">
        <f>IF(S33&lt;&gt;"",IF(L33="",'CONCEPTOS Y PARAMETROS'!$C$7*X33,0),0)</f>
        <v>12.5</v>
      </c>
      <c r="AB33" s="571">
        <f>IFERROR(ROUND(VLOOKUP($Q33,'CONCEPTOS Y PARAMETROS'!H:I,2,0)*($V33+Y33+Z33+AA33),2),0)</f>
        <v>0</v>
      </c>
      <c r="AC33" s="571">
        <f t="shared" si="61"/>
        <v>145.1</v>
      </c>
      <c r="AD33" s="575">
        <f t="shared" si="62"/>
        <v>78.8</v>
      </c>
      <c r="AE33" s="575">
        <f t="shared" si="63"/>
        <v>66.3</v>
      </c>
      <c r="AF33" s="649">
        <v>1</v>
      </c>
      <c r="AG33" s="577">
        <f>'CONCEPTOS Y PARAMETROS'!$C$18*AF33</f>
        <v>12.5</v>
      </c>
      <c r="AH33" s="576">
        <v>0</v>
      </c>
      <c r="AI33" s="577">
        <f>'CONCEPTOS Y PARAMETROS'!$C$21*AH33</f>
        <v>0</v>
      </c>
      <c r="AJ33" s="578">
        <v>0</v>
      </c>
      <c r="AK33" s="578">
        <v>0</v>
      </c>
      <c r="AL33" s="579">
        <f>AG33+AI33+AJ33+AK33</f>
        <v>12.5</v>
      </c>
      <c r="AM33" s="580">
        <f t="shared" si="65"/>
        <v>275.10000000000002</v>
      </c>
      <c r="AN33" s="580">
        <f>ROUND(IF(N33="VIGILANTE NOCTURNO",(V33+AC33)*30%,0),2)</f>
        <v>0</v>
      </c>
      <c r="AO33" s="573">
        <f>IF(T33&lt;&gt;"0",(ROUND(IF(A33="EMPLEADO",eval_formula('CONCEPTOS Y PARAMETROS'!$C$8,RAC!V33,RAC!$AM33,RAC!I33+RAC!J33),eval_formula('CONCEPTOS Y PARAMETROS'!$D$8,RAC!V33,RAC!$AM33,RAC!I33+RAC!J33)),2))*IF(H33&lt;&gt;"",IF(MONTH(H33)=$BB$8,IF(YEAR(H33)&lt;$BD$7,1,0),0)))</f>
        <v>0</v>
      </c>
      <c r="AP33" s="987">
        <v>180</v>
      </c>
      <c r="AQ33" s="981">
        <f>IFERROR(VLOOKUP(AP33,'CONCEPTOS Y PARAMETROS'!Y:Z,2,0),0)</f>
        <v>150</v>
      </c>
      <c r="AR33" s="981">
        <f t="shared" si="66"/>
        <v>2063.25</v>
      </c>
      <c r="AS33" s="571">
        <f t="shared" si="67"/>
        <v>9.17</v>
      </c>
      <c r="AT33" s="581">
        <v>340</v>
      </c>
      <c r="AU33" s="581">
        <v>0</v>
      </c>
      <c r="AV33" s="643">
        <v>0</v>
      </c>
      <c r="AW33" s="571">
        <f t="shared" si="83"/>
        <v>10.16</v>
      </c>
      <c r="AX33" s="583">
        <f t="shared" si="84"/>
        <v>1.27</v>
      </c>
      <c r="AY33" s="584">
        <f t="shared" si="68"/>
        <v>2.75</v>
      </c>
      <c r="AZ33" s="571">
        <v>0</v>
      </c>
      <c r="BA33" s="575">
        <f t="shared" si="69"/>
        <v>14.18</v>
      </c>
      <c r="BB33" s="571">
        <f t="shared" si="85"/>
        <v>22.85</v>
      </c>
      <c r="BC33" s="571">
        <f t="shared" si="90"/>
        <v>5.08</v>
      </c>
      <c r="BD33" s="571">
        <f t="shared" si="70"/>
        <v>5.5</v>
      </c>
      <c r="BE33" s="571">
        <v>0</v>
      </c>
      <c r="BF33" s="586">
        <f t="shared" si="71"/>
        <v>33.43</v>
      </c>
      <c r="BG33" s="587" t="s">
        <v>4724</v>
      </c>
      <c r="BH33" s="588">
        <f t="shared" si="72"/>
        <v>47.61</v>
      </c>
      <c r="BI33" s="588">
        <f t="shared" si="44"/>
        <v>515.80999999999995</v>
      </c>
      <c r="BJ33" s="588">
        <v>570</v>
      </c>
      <c r="BK33" s="588">
        <f t="shared" si="86"/>
        <v>1085.81</v>
      </c>
      <c r="BL33" s="957">
        <f>IF(S33&lt;&gt;"",IF(L33="",'CONCEPTOS Y PARAMETROS'!$A$102,0),0)</f>
        <v>7732</v>
      </c>
      <c r="BM33" s="589">
        <f t="shared" si="87"/>
        <v>129.62</v>
      </c>
      <c r="BN33" s="589">
        <f t="shared" si="88"/>
        <v>480.47</v>
      </c>
      <c r="BO33" s="590"/>
      <c r="BP33" s="590"/>
      <c r="BQ33" s="590"/>
      <c r="BR33" s="628"/>
      <c r="BS33" s="919">
        <f t="shared" si="73"/>
        <v>129.62</v>
      </c>
      <c r="BT33" s="919">
        <f t="shared" si="74"/>
        <v>340</v>
      </c>
      <c r="BU33" s="916">
        <v>1</v>
      </c>
      <c r="BV33" s="919">
        <f t="shared" si="75"/>
        <v>12.5</v>
      </c>
      <c r="BW33" s="919">
        <f t="shared" si="76"/>
        <v>471.3</v>
      </c>
      <c r="BX33" s="919">
        <v>0</v>
      </c>
      <c r="BY33" s="919">
        <f t="shared" si="77"/>
        <v>0</v>
      </c>
      <c r="BZ33" s="919">
        <f t="shared" si="78"/>
        <v>0</v>
      </c>
      <c r="CA33" s="919">
        <f t="shared" si="89"/>
        <v>483.8</v>
      </c>
      <c r="CB33" s="919">
        <f t="shared" si="79"/>
        <v>47.61</v>
      </c>
      <c r="CC33" s="919">
        <f t="shared" si="80"/>
        <v>7732</v>
      </c>
      <c r="CD33" s="752" t="e">
        <f>#REF!/4</f>
        <v>#REF!</v>
      </c>
      <c r="CE33" s="590"/>
      <c r="CG33" s="628"/>
      <c r="CH33" s="628"/>
      <c r="CI33" s="628"/>
      <c r="DD33" s="593"/>
      <c r="DG33" s="593"/>
      <c r="DH33" s="593"/>
    </row>
    <row r="34" spans="1:112" s="591" customFormat="1" ht="102" customHeight="1" thickBot="1" x14ac:dyDescent="0.55000000000000004">
      <c r="A34" s="644" t="s">
        <v>2835</v>
      </c>
      <c r="B34" s="624">
        <v>9</v>
      </c>
      <c r="C34" s="636">
        <v>16534379</v>
      </c>
      <c r="D34" s="634" t="s">
        <v>4705</v>
      </c>
      <c r="E34" s="562" t="s">
        <v>4635</v>
      </c>
      <c r="F34" s="563">
        <v>29883</v>
      </c>
      <c r="G34" s="562" t="s">
        <v>4633</v>
      </c>
      <c r="H34" s="564">
        <v>45108</v>
      </c>
      <c r="I34" s="565">
        <f t="shared" si="81"/>
        <v>2</v>
      </c>
      <c r="J34" s="597"/>
      <c r="K34" s="645">
        <f t="shared" si="58"/>
        <v>2</v>
      </c>
      <c r="L34" s="567"/>
      <c r="M34" s="567"/>
      <c r="N34" s="568" t="s">
        <v>2616</v>
      </c>
      <c r="O34" s="631"/>
      <c r="P34" s="626">
        <v>7204</v>
      </c>
      <c r="Q34" s="562"/>
      <c r="R34" s="562"/>
      <c r="S34" s="635">
        <v>5</v>
      </c>
      <c r="T34" s="599">
        <v>171</v>
      </c>
      <c r="U34" s="643">
        <v>0</v>
      </c>
      <c r="V34" s="599">
        <f t="shared" si="59"/>
        <v>171</v>
      </c>
      <c r="W34" s="650">
        <f t="shared" si="60"/>
        <v>85.5</v>
      </c>
      <c r="X34" s="632">
        <v>0</v>
      </c>
      <c r="Y34" s="571">
        <f>ROUND(IF(H34&lt;&gt;"",VLOOKUP(SUM(I34:J34),'CONCEPTOS Y PARAMETROS'!F:G,2,0)*V34,0),2)</f>
        <v>3.42</v>
      </c>
      <c r="Z34" s="571">
        <f>IF(S34&lt;&gt;"",IF(L34="",'CONCEPTOS Y PARAMETROS'!$C$4,0),0)</f>
        <v>130</v>
      </c>
      <c r="AA34" s="571">
        <f>IF(S34&lt;&gt;"",IF(L34="",'CONCEPTOS Y PARAMETROS'!$C$7*X34,0),0)</f>
        <v>0</v>
      </c>
      <c r="AB34" s="571">
        <f>IFERROR(ROUND(VLOOKUP($Q34,'CONCEPTOS Y PARAMETROS'!H:I,2,0)*($V34+Y34+Z34+AA34),2),0)</f>
        <v>0</v>
      </c>
      <c r="AC34" s="571">
        <f t="shared" si="61"/>
        <v>133.41999999999999</v>
      </c>
      <c r="AD34" s="575">
        <f t="shared" si="62"/>
        <v>66.709999999999994</v>
      </c>
      <c r="AE34" s="651">
        <f t="shared" si="63"/>
        <v>66.709999999999994</v>
      </c>
      <c r="AF34" s="652">
        <v>0</v>
      </c>
      <c r="AG34" s="577">
        <f>'CONCEPTOS Y PARAMETROS'!$C$18*AF34</f>
        <v>0</v>
      </c>
      <c r="AH34" s="652">
        <v>0</v>
      </c>
      <c r="AI34" s="653">
        <f>'[5]CONCEPTOS Y PARAMETROS'!$C$21*AH34</f>
        <v>0</v>
      </c>
      <c r="AJ34" s="654">
        <v>0</v>
      </c>
      <c r="AK34" s="654">
        <v>0</v>
      </c>
      <c r="AL34" s="655">
        <f t="shared" ref="AL34" si="91">AG34+AI34+AJ34+AK34</f>
        <v>0</v>
      </c>
      <c r="AM34" s="580">
        <f t="shared" si="65"/>
        <v>304.42</v>
      </c>
      <c r="AN34" s="656">
        <f t="shared" ref="AN34" si="92">ROUND(IF(N34="VIGILANTE NOCTURNO",(V34+AC34)*30%,0),2)</f>
        <v>0</v>
      </c>
      <c r="AO34" s="650">
        <f>IF(T34&lt;&gt;"0",(ROUND(IF(A34="EMPLEADO",eval_formula('[5]CONCEPTOS Y PARAMETROS'!$C$8,[5]RAC!U38,[5]RAC!$AL38,[5]RAC!I38+[5]RAC!J38),eval_formula('[5]CONCEPTOS Y PARAMETROS'!$D$8,[5]RAC!U38,[5]RAC!$AL38,[5]RAC!I38+[5]RAC!J38)),2))*IF(H34&lt;&gt;"",IF(MONTH(H34)=$BB$8,IF(YEAR(H34)&lt;$BD$7,1,0),0)))</f>
        <v>0</v>
      </c>
      <c r="AP34" s="987">
        <v>180</v>
      </c>
      <c r="AQ34" s="981">
        <f>IFERROR(VLOOKUP(AP34,'CONCEPTOS Y PARAMETROS'!Y:Z,2,0),0)</f>
        <v>150</v>
      </c>
      <c r="AR34" s="981">
        <f t="shared" si="66"/>
        <v>2283.15</v>
      </c>
      <c r="AS34" s="571">
        <f t="shared" si="67"/>
        <v>10.15</v>
      </c>
      <c r="AT34" s="581">
        <v>340</v>
      </c>
      <c r="AU34" s="581">
        <v>0</v>
      </c>
      <c r="AV34" s="657">
        <v>0</v>
      </c>
      <c r="AW34" s="571">
        <f t="shared" si="83"/>
        <v>11.24</v>
      </c>
      <c r="AX34" s="583">
        <f t="shared" si="84"/>
        <v>1.41</v>
      </c>
      <c r="AY34" s="584">
        <f t="shared" si="68"/>
        <v>3.04</v>
      </c>
      <c r="AZ34" s="599">
        <v>0</v>
      </c>
      <c r="BA34" s="575">
        <f t="shared" si="69"/>
        <v>15.69</v>
      </c>
      <c r="BB34" s="571">
        <f t="shared" si="85"/>
        <v>25.29</v>
      </c>
      <c r="BC34" s="571">
        <f t="shared" si="90"/>
        <v>5.62</v>
      </c>
      <c r="BD34" s="571">
        <f t="shared" si="70"/>
        <v>6.09</v>
      </c>
      <c r="BE34" s="599">
        <v>0</v>
      </c>
      <c r="BF34" s="586">
        <f t="shared" si="71"/>
        <v>37</v>
      </c>
      <c r="BG34" s="643" t="s">
        <v>4725</v>
      </c>
      <c r="BH34" s="588">
        <f t="shared" si="72"/>
        <v>52.69</v>
      </c>
      <c r="BI34" s="588">
        <f t="shared" si="44"/>
        <v>570.79</v>
      </c>
      <c r="BJ34" s="588">
        <v>570</v>
      </c>
      <c r="BK34" s="588">
        <f t="shared" si="86"/>
        <v>1140.79</v>
      </c>
      <c r="BL34" s="957">
        <f>IF(S34&lt;&gt;"",IF(L34="",'CONCEPTOS Y PARAMETROS'!$A$102,0),0)</f>
        <v>7732</v>
      </c>
      <c r="BM34" s="589">
        <f t="shared" si="87"/>
        <v>136.52000000000001</v>
      </c>
      <c r="BN34" s="589">
        <f t="shared" si="88"/>
        <v>502.36</v>
      </c>
      <c r="BO34" s="590"/>
      <c r="BP34" s="590"/>
      <c r="BQ34" s="590"/>
      <c r="BR34" s="628"/>
      <c r="BS34" s="919">
        <f t="shared" si="73"/>
        <v>136.51999999999998</v>
      </c>
      <c r="BT34" s="919">
        <f t="shared" si="74"/>
        <v>340</v>
      </c>
      <c r="BU34" s="916">
        <v>1</v>
      </c>
      <c r="BV34" s="919">
        <f t="shared" si="75"/>
        <v>0</v>
      </c>
      <c r="BW34" s="919">
        <f t="shared" si="76"/>
        <v>492.21</v>
      </c>
      <c r="BX34" s="919">
        <v>0</v>
      </c>
      <c r="BY34" s="919">
        <f t="shared" si="77"/>
        <v>0</v>
      </c>
      <c r="BZ34" s="919">
        <f t="shared" si="78"/>
        <v>0</v>
      </c>
      <c r="CA34" s="919">
        <f t="shared" si="89"/>
        <v>492.21</v>
      </c>
      <c r="CB34" s="919">
        <f t="shared" si="79"/>
        <v>52.69</v>
      </c>
      <c r="CC34" s="919">
        <f t="shared" si="80"/>
        <v>7732</v>
      </c>
      <c r="CD34" s="752" t="e">
        <f>#REF!/4</f>
        <v>#REF!</v>
      </c>
      <c r="CE34" s="628"/>
      <c r="CF34" s="628"/>
      <c r="DA34" s="593"/>
      <c r="DD34" s="593"/>
      <c r="DE34" s="593"/>
    </row>
    <row r="35" spans="1:112" s="591" customFormat="1" ht="102" customHeight="1" thickBot="1" x14ac:dyDescent="0.55000000000000004">
      <c r="A35" s="644" t="s">
        <v>2835</v>
      </c>
      <c r="B35" s="624">
        <v>10</v>
      </c>
      <c r="C35" s="636">
        <v>28542190</v>
      </c>
      <c r="D35" s="634" t="s">
        <v>4706</v>
      </c>
      <c r="E35" s="562" t="s">
        <v>4635</v>
      </c>
      <c r="F35" s="563">
        <v>37209</v>
      </c>
      <c r="G35" s="562" t="s">
        <v>4634</v>
      </c>
      <c r="H35" s="564">
        <v>45108</v>
      </c>
      <c r="I35" s="565">
        <f t="shared" ref="I35:I36" si="93">IF(AND(YEAR(H35)&lt;2025,MONTH(H35)&gt;$BB$8),2025-YEAR(H35)-1,IF(OR(H35="",YEAR(H35)&gt;2025),0,2025-YEAR(H35)))</f>
        <v>2</v>
      </c>
      <c r="J35" s="597"/>
      <c r="K35" s="645">
        <f t="shared" ref="K35:K36" si="94">I35+J35</f>
        <v>2</v>
      </c>
      <c r="L35" s="567"/>
      <c r="M35" s="567"/>
      <c r="N35" s="568" t="s">
        <v>2616</v>
      </c>
      <c r="O35" s="631"/>
      <c r="P35" s="626">
        <v>7204</v>
      </c>
      <c r="Q35" s="562" t="s">
        <v>2894</v>
      </c>
      <c r="R35" s="562"/>
      <c r="S35" s="635">
        <v>5</v>
      </c>
      <c r="T35" s="599">
        <v>171</v>
      </c>
      <c r="U35" s="643">
        <v>0</v>
      </c>
      <c r="V35" s="599">
        <f t="shared" ref="V35:V36" si="95">T35-U35</f>
        <v>171</v>
      </c>
      <c r="W35" s="650">
        <f t="shared" ref="W35:W36" si="96">V35/2</f>
        <v>85.5</v>
      </c>
      <c r="X35" s="632">
        <v>0</v>
      </c>
      <c r="Y35" s="571">
        <f>ROUND(IF(H35&lt;&gt;"",VLOOKUP(SUM(I35:J35),'CONCEPTOS Y PARAMETROS'!F:G,2,0)*V35,0),2)</f>
        <v>3.42</v>
      </c>
      <c r="Z35" s="571">
        <f>IF(S35&lt;&gt;"",IF(L35="",'CONCEPTOS Y PARAMETROS'!$C$4,0),0)</f>
        <v>130</v>
      </c>
      <c r="AA35" s="571">
        <f>IF(S35&lt;&gt;"",IF(L35="",'CONCEPTOS Y PARAMETROS'!$C$7*X35,0),0)</f>
        <v>0</v>
      </c>
      <c r="AB35" s="571">
        <f>IFERROR(ROUND(VLOOKUP($Q35,'CONCEPTOS Y PARAMETROS'!H:I,2,0)*($V35+Y35+Z35+AA35),2),0)</f>
        <v>0</v>
      </c>
      <c r="AC35" s="571">
        <f t="shared" si="61"/>
        <v>133.41999999999999</v>
      </c>
      <c r="AD35" s="575">
        <f t="shared" ref="AD35:AD36" si="97">ROUND(((Y35+Z35+AB35)/2),2)+AA35</f>
        <v>66.709999999999994</v>
      </c>
      <c r="AE35" s="651">
        <f t="shared" ref="AE35:AE36" si="98">ROUND(((Y35+Z35+AB35)/2),2)</f>
        <v>66.709999999999994</v>
      </c>
      <c r="AF35" s="652">
        <v>0</v>
      </c>
      <c r="AG35" s="577">
        <f>'CONCEPTOS Y PARAMETROS'!$C$18*AF35</f>
        <v>0</v>
      </c>
      <c r="AH35" s="652">
        <v>0</v>
      </c>
      <c r="AI35" s="653">
        <f>'[5]CONCEPTOS Y PARAMETROS'!$C$21*AH35</f>
        <v>0</v>
      </c>
      <c r="AJ35" s="654">
        <v>0</v>
      </c>
      <c r="AK35" s="654">
        <v>0</v>
      </c>
      <c r="AL35" s="655">
        <f t="shared" ref="AL35" si="99">AG35+AI35+AJ35+AK35</f>
        <v>0</v>
      </c>
      <c r="AM35" s="580">
        <f t="shared" si="65"/>
        <v>304.42</v>
      </c>
      <c r="AN35" s="656">
        <f t="shared" ref="AN35" si="100">ROUND(IF(N35="VIGILANTE NOCTURNO",(V35+AC35)*30%,0),2)</f>
        <v>0</v>
      </c>
      <c r="AO35" s="650">
        <f>IF(T35&lt;&gt;"0",(ROUND(IF(A35="EMPLEADO",eval_formula('[5]CONCEPTOS Y PARAMETROS'!$C$8,[5]RAC!U38,[5]RAC!$AL38,[5]RAC!I38+[5]RAC!J38),eval_formula('[5]CONCEPTOS Y PARAMETROS'!$D$8,[5]RAC!U38,[5]RAC!$AL38,[5]RAC!I38+[5]RAC!J38)),2))*IF(H35&lt;&gt;"",IF(MONTH(H35)=$BB$8,IF(YEAR(H35)&lt;$BD$7,1,0),0)))</f>
        <v>0</v>
      </c>
      <c r="AP35" s="987">
        <v>180</v>
      </c>
      <c r="AQ35" s="981">
        <f>IFERROR(VLOOKUP(AP35,'CONCEPTOS Y PARAMETROS'!Y:Z,2,0),0)</f>
        <v>150</v>
      </c>
      <c r="AR35" s="981">
        <f t="shared" si="66"/>
        <v>2283.15</v>
      </c>
      <c r="AS35" s="571">
        <f t="shared" si="67"/>
        <v>10.15</v>
      </c>
      <c r="AT35" s="581">
        <v>340</v>
      </c>
      <c r="AU35" s="581">
        <v>0</v>
      </c>
      <c r="AV35" s="657">
        <v>0</v>
      </c>
      <c r="AW35" s="571">
        <f t="shared" si="83"/>
        <v>11.24</v>
      </c>
      <c r="AX35" s="583">
        <f t="shared" si="84"/>
        <v>1.41</v>
      </c>
      <c r="AY35" s="584">
        <f t="shared" si="68"/>
        <v>3.04</v>
      </c>
      <c r="AZ35" s="599">
        <v>0</v>
      </c>
      <c r="BA35" s="575">
        <f t="shared" ref="BA35:BA36" si="101">ROUND(SUM(AW35:AY35),2)</f>
        <v>15.69</v>
      </c>
      <c r="BB35" s="571">
        <f t="shared" si="85"/>
        <v>25.29</v>
      </c>
      <c r="BC35" s="571">
        <f t="shared" si="90"/>
        <v>5.62</v>
      </c>
      <c r="BD35" s="571">
        <f t="shared" si="70"/>
        <v>6.09</v>
      </c>
      <c r="BE35" s="599">
        <v>0</v>
      </c>
      <c r="BF35" s="586">
        <f t="shared" si="71"/>
        <v>37</v>
      </c>
      <c r="BG35" s="643" t="s">
        <v>4726</v>
      </c>
      <c r="BH35" s="588">
        <f t="shared" si="72"/>
        <v>52.69</v>
      </c>
      <c r="BI35" s="588">
        <f t="shared" si="44"/>
        <v>570.79</v>
      </c>
      <c r="BJ35" s="588">
        <v>570</v>
      </c>
      <c r="BK35" s="588">
        <f t="shared" si="86"/>
        <v>1140.79</v>
      </c>
      <c r="BL35" s="957">
        <f>IF(S35&lt;&gt;"",IF(L35="",'CONCEPTOS Y PARAMETROS'!$A$102,0),0)</f>
        <v>7732</v>
      </c>
      <c r="BM35" s="589">
        <f t="shared" si="87"/>
        <v>136.52000000000001</v>
      </c>
      <c r="BN35" s="589">
        <f t="shared" si="88"/>
        <v>502.36</v>
      </c>
      <c r="BO35" s="590"/>
      <c r="BP35" s="590"/>
      <c r="BQ35" s="590"/>
      <c r="BR35" s="628"/>
      <c r="BS35" s="919">
        <f t="shared" si="73"/>
        <v>136.51999999999998</v>
      </c>
      <c r="BT35" s="919">
        <f t="shared" ref="BT35:BT36" si="102">AT35</f>
        <v>340</v>
      </c>
      <c r="BU35" s="916">
        <v>1</v>
      </c>
      <c r="BV35" s="919">
        <f t="shared" si="75"/>
        <v>0</v>
      </c>
      <c r="BW35" s="919">
        <f t="shared" si="76"/>
        <v>492.21</v>
      </c>
      <c r="BX35" s="919">
        <v>0</v>
      </c>
      <c r="BY35" s="919">
        <f t="shared" si="77"/>
        <v>0</v>
      </c>
      <c r="BZ35" s="919">
        <f t="shared" si="78"/>
        <v>0</v>
      </c>
      <c r="CA35" s="919">
        <f t="shared" si="89"/>
        <v>492.21</v>
      </c>
      <c r="CB35" s="919">
        <f t="shared" si="79"/>
        <v>52.69</v>
      </c>
      <c r="CC35" s="919">
        <f t="shared" si="80"/>
        <v>7732</v>
      </c>
      <c r="CD35" s="752" t="e">
        <f>#REF!/4</f>
        <v>#REF!</v>
      </c>
      <c r="CE35" s="628"/>
      <c r="CF35" s="628"/>
      <c r="DA35" s="593"/>
      <c r="DD35" s="593"/>
      <c r="DE35" s="593"/>
    </row>
    <row r="36" spans="1:112" s="796" customFormat="1" ht="102" customHeight="1" thickBot="1" x14ac:dyDescent="0.55000000000000004">
      <c r="A36" s="632" t="s">
        <v>2835</v>
      </c>
      <c r="B36" s="950">
        <v>11</v>
      </c>
      <c r="C36" s="638">
        <v>20039971</v>
      </c>
      <c r="D36" s="639" t="s">
        <v>4851</v>
      </c>
      <c r="E36" s="632" t="s">
        <v>4635</v>
      </c>
      <c r="F36" s="563">
        <v>33012</v>
      </c>
      <c r="G36" s="632" t="s">
        <v>4633</v>
      </c>
      <c r="H36" s="564">
        <v>45658</v>
      </c>
      <c r="I36" s="565">
        <f t="shared" si="93"/>
        <v>0</v>
      </c>
      <c r="J36" s="640"/>
      <c r="K36" s="645">
        <f t="shared" si="94"/>
        <v>0</v>
      </c>
      <c r="L36" s="567"/>
      <c r="M36" s="567"/>
      <c r="N36" s="600" t="s">
        <v>3332</v>
      </c>
      <c r="O36" s="598"/>
      <c r="P36" s="626">
        <v>2202</v>
      </c>
      <c r="Q36" s="632" t="s">
        <v>2894</v>
      </c>
      <c r="R36" s="632"/>
      <c r="S36" s="641">
        <v>1</v>
      </c>
      <c r="T36" s="599">
        <f>IFERROR(VLOOKUP(S36,'TAB OBR'!A:B,2,0),0)</f>
        <v>130</v>
      </c>
      <c r="U36" s="646">
        <v>0</v>
      </c>
      <c r="V36" s="599">
        <f t="shared" si="95"/>
        <v>130</v>
      </c>
      <c r="W36" s="648">
        <f t="shared" si="96"/>
        <v>65</v>
      </c>
      <c r="X36" s="615">
        <v>0</v>
      </c>
      <c r="Y36" s="571">
        <f>ROUND(IF(H36&lt;&gt;"",VLOOKUP(SUM(I36:J36),'CONCEPTOS Y PARAMETROS'!F:G,2,0)*V36,0),2)</f>
        <v>0</v>
      </c>
      <c r="Z36" s="571">
        <f>IF(S36&lt;&gt;"",IF(L36="",'CONCEPTOS Y PARAMETROS'!$C$4,0),0)</f>
        <v>130</v>
      </c>
      <c r="AA36" s="571">
        <f>IF(S36&lt;&gt;"",IF(L36="",'CONCEPTOS Y PARAMETROS'!$C$7*X36,0),0)</f>
        <v>0</v>
      </c>
      <c r="AB36" s="571">
        <f>IFERROR(ROUND(VLOOKUP($Q36,'CONCEPTOS Y PARAMETROS'!H:I,2,0)*($V36+Y36+Z36+AA36),2),0)</f>
        <v>0</v>
      </c>
      <c r="AC36" s="571">
        <f t="shared" si="61"/>
        <v>130</v>
      </c>
      <c r="AD36" s="573">
        <f t="shared" si="97"/>
        <v>65</v>
      </c>
      <c r="AE36" s="573">
        <f t="shared" si="98"/>
        <v>65</v>
      </c>
      <c r="AF36" s="871">
        <v>0</v>
      </c>
      <c r="AG36" s="577">
        <f>'CONCEPTOS Y PARAMETROS'!$C$18*AF36</f>
        <v>0</v>
      </c>
      <c r="AH36" s="642">
        <v>0</v>
      </c>
      <c r="AI36" s="653">
        <f>'CONCEPTOS Y PARAMETROS'!$C$21*AH36</f>
        <v>0</v>
      </c>
      <c r="AJ36" s="578">
        <v>0</v>
      </c>
      <c r="AK36" s="578">
        <v>0</v>
      </c>
      <c r="AL36" s="579">
        <f>AG36+AI36+AJ36+AK36</f>
        <v>0</v>
      </c>
      <c r="AM36" s="580">
        <f t="shared" si="65"/>
        <v>260</v>
      </c>
      <c r="AN36" s="656">
        <f>ROUND(IF(N36="VIGILANTE NOCTURNO",(V36+AC36)*30%,0),2)</f>
        <v>0</v>
      </c>
      <c r="AO36" s="573">
        <f>IF(T36&lt;&gt;"0",(ROUND(IF(A36="EMPLEADO",eval_formula('CONCEPTOS Y PARAMETROS'!$C$8,RAC!V36,RAC!$AM36,RAC!I36+RAC!J36),eval_formula('CONCEPTOS Y PARAMETROS'!$D$8,RAC!V36,RAC!$AM36,RAC!I36+RAC!J36)),2))*IF(H36&lt;&gt;"",IF(MONTH(H36)=$BB$8,IF(YEAR(H36)&lt;$BD$7,1,0),0)))</f>
        <v>0</v>
      </c>
      <c r="AP36" s="987">
        <v>180</v>
      </c>
      <c r="AQ36" s="981">
        <f>IFERROR(VLOOKUP(AP36,'CONCEPTOS Y PARAMETROS'!Y:Z,2,0),0)</f>
        <v>150</v>
      </c>
      <c r="AR36" s="981">
        <f t="shared" si="66"/>
        <v>1950</v>
      </c>
      <c r="AS36" s="571">
        <f t="shared" si="67"/>
        <v>8.67</v>
      </c>
      <c r="AT36" s="581">
        <v>340</v>
      </c>
      <c r="AU36" s="620">
        <v>0</v>
      </c>
      <c r="AV36" s="643">
        <v>0</v>
      </c>
      <c r="AW36" s="571">
        <f t="shared" si="83"/>
        <v>9.6</v>
      </c>
      <c r="AX36" s="583">
        <f t="shared" si="84"/>
        <v>1.2</v>
      </c>
      <c r="AY36" s="584">
        <f t="shared" si="68"/>
        <v>2.6</v>
      </c>
      <c r="AZ36" s="599">
        <v>0</v>
      </c>
      <c r="BA36" s="573">
        <f t="shared" si="101"/>
        <v>13.4</v>
      </c>
      <c r="BB36" s="571">
        <f t="shared" si="85"/>
        <v>21.6</v>
      </c>
      <c r="BC36" s="571">
        <f t="shared" si="90"/>
        <v>4.8</v>
      </c>
      <c r="BD36" s="571">
        <f t="shared" si="70"/>
        <v>5.2</v>
      </c>
      <c r="BE36" s="599">
        <v>0</v>
      </c>
      <c r="BF36" s="586">
        <f t="shared" si="71"/>
        <v>31.6</v>
      </c>
      <c r="BG36" s="587" t="s">
        <v>4855</v>
      </c>
      <c r="BH36" s="588">
        <f t="shared" si="72"/>
        <v>45</v>
      </c>
      <c r="BI36" s="588">
        <f t="shared" si="44"/>
        <v>487.5</v>
      </c>
      <c r="BJ36" s="588">
        <v>570</v>
      </c>
      <c r="BK36" s="588">
        <f t="shared" si="86"/>
        <v>1057.5</v>
      </c>
      <c r="BL36" s="957">
        <f>IF(S36&lt;&gt;"",IF(L36="",'CONCEPTOS Y PARAMETROS'!$A$102,0),0)</f>
        <v>7732</v>
      </c>
      <c r="BM36" s="589">
        <f t="shared" si="87"/>
        <v>116.6</v>
      </c>
      <c r="BN36" s="589">
        <f t="shared" si="88"/>
        <v>478.66999999999996</v>
      </c>
      <c r="BO36" s="590"/>
      <c r="BP36" s="590"/>
      <c r="BQ36" s="590"/>
      <c r="BR36" s="628"/>
      <c r="BS36" s="919">
        <f t="shared" si="73"/>
        <v>116.6</v>
      </c>
      <c r="BT36" s="919">
        <f t="shared" si="102"/>
        <v>340</v>
      </c>
      <c r="BU36" s="916">
        <v>1</v>
      </c>
      <c r="BV36" s="919">
        <f t="shared" si="75"/>
        <v>0</v>
      </c>
      <c r="BW36" s="919">
        <f t="shared" si="76"/>
        <v>470</v>
      </c>
      <c r="BX36" s="919">
        <v>0</v>
      </c>
      <c r="BY36" s="919">
        <f t="shared" si="77"/>
        <v>0</v>
      </c>
      <c r="BZ36" s="919">
        <f t="shared" si="78"/>
        <v>0</v>
      </c>
      <c r="CA36" s="919">
        <f t="shared" si="89"/>
        <v>470</v>
      </c>
      <c r="CB36" s="919">
        <f t="shared" si="79"/>
        <v>45</v>
      </c>
      <c r="CC36" s="919">
        <f t="shared" si="80"/>
        <v>7732</v>
      </c>
      <c r="CD36" s="752" t="e">
        <f>#REF!/4</f>
        <v>#REF!</v>
      </c>
      <c r="CE36" s="590"/>
      <c r="CF36" s="591"/>
      <c r="CG36" s="628"/>
      <c r="CH36" s="628"/>
      <c r="CI36" s="628"/>
      <c r="CJ36" s="591"/>
      <c r="CK36" s="591"/>
      <c r="CL36" s="591"/>
      <c r="CM36" s="591"/>
      <c r="CN36" s="591"/>
      <c r="CO36" s="591"/>
      <c r="CP36" s="591"/>
      <c r="DD36" s="797"/>
      <c r="DG36" s="797"/>
      <c r="DH36" s="797"/>
    </row>
    <row r="37" spans="1:112" s="683" customFormat="1" ht="102" customHeight="1" thickBot="1" x14ac:dyDescent="0.55000000000000004">
      <c r="A37" s="672"/>
      <c r="B37" s="673">
        <f>COUNT(B26:B36)</f>
        <v>11</v>
      </c>
      <c r="C37" s="1013" t="s">
        <v>4504</v>
      </c>
      <c r="D37" s="1014"/>
      <c r="E37" s="674"/>
      <c r="F37" s="675"/>
      <c r="G37" s="674"/>
      <c r="H37" s="674"/>
      <c r="I37" s="674"/>
      <c r="J37" s="674"/>
      <c r="K37" s="674"/>
      <c r="L37" s="674"/>
      <c r="M37" s="674"/>
      <c r="N37" s="674"/>
      <c r="O37" s="674"/>
      <c r="P37" s="674"/>
      <c r="Q37" s="674"/>
      <c r="R37" s="674"/>
      <c r="S37" s="674"/>
      <c r="T37" s="676">
        <f>SUM(T26:T36)</f>
        <v>1758</v>
      </c>
      <c r="U37" s="676">
        <f>SUM(U26:U36)</f>
        <v>0</v>
      </c>
      <c r="V37" s="676">
        <f>SUM(V26:V36)</f>
        <v>1758</v>
      </c>
      <c r="W37" s="676">
        <f>SUM(W26:W36)</f>
        <v>879</v>
      </c>
      <c r="X37" s="677">
        <f>SUM(X26:X33)</f>
        <v>3</v>
      </c>
      <c r="Y37" s="676">
        <f>SUM(Y26:Y33)</f>
        <v>48.840000000000011</v>
      </c>
      <c r="Z37" s="676">
        <f>SUM(Z26:Z36)</f>
        <v>1430</v>
      </c>
      <c r="AA37" s="676">
        <f>SUM(AA26:AA36)</f>
        <v>37.5</v>
      </c>
      <c r="AB37" s="676">
        <f>SUM(AB26:AB33)</f>
        <v>0</v>
      </c>
      <c r="AC37" s="676">
        <f t="shared" ref="AC37:BF37" si="103">SUM(AC26:AC36)</f>
        <v>1523.1800000000003</v>
      </c>
      <c r="AD37" s="676">
        <f>SUM(AD26:AD36)</f>
        <v>780.34000000000015</v>
      </c>
      <c r="AE37" s="676">
        <f>SUM(AE26:AE36)</f>
        <v>742.84000000000015</v>
      </c>
      <c r="AF37" s="678">
        <f t="shared" si="103"/>
        <v>3</v>
      </c>
      <c r="AG37" s="676">
        <f>SUM(AG26:AG36)</f>
        <v>37.5</v>
      </c>
      <c r="AH37" s="678">
        <f t="shared" si="103"/>
        <v>0</v>
      </c>
      <c r="AI37" s="676">
        <f t="shared" si="103"/>
        <v>0</v>
      </c>
      <c r="AJ37" s="676">
        <f t="shared" si="103"/>
        <v>0</v>
      </c>
      <c r="AK37" s="676">
        <f t="shared" si="103"/>
        <v>0</v>
      </c>
      <c r="AL37" s="676">
        <f t="shared" si="103"/>
        <v>37.5</v>
      </c>
      <c r="AM37" s="676">
        <f t="shared" si="103"/>
        <v>3281.18</v>
      </c>
      <c r="AN37" s="676">
        <f t="shared" si="103"/>
        <v>0</v>
      </c>
      <c r="AO37" s="676">
        <f t="shared" si="103"/>
        <v>0</v>
      </c>
      <c r="AP37" s="991">
        <f t="shared" si="103"/>
        <v>1980</v>
      </c>
      <c r="AQ37" s="676">
        <f t="shared" si="103"/>
        <v>1650</v>
      </c>
      <c r="AR37" s="676">
        <f t="shared" si="103"/>
        <v>24608.850000000002</v>
      </c>
      <c r="AS37" s="676">
        <f>SUM(AS26:AS36)</f>
        <v>109.37000000000002</v>
      </c>
      <c r="AT37" s="679">
        <f t="shared" si="103"/>
        <v>3740</v>
      </c>
      <c r="AU37" s="679">
        <f>SUM(AU26:AU36)</f>
        <v>0</v>
      </c>
      <c r="AV37" s="676">
        <f t="shared" si="103"/>
        <v>0</v>
      </c>
      <c r="AW37" s="676">
        <f>SUM(AW26:AW36)</f>
        <v>121.16999999999997</v>
      </c>
      <c r="AX37" s="676">
        <f t="shared" si="103"/>
        <v>15.149999999999999</v>
      </c>
      <c r="AY37" s="676">
        <f t="shared" si="103"/>
        <v>32.81</v>
      </c>
      <c r="AZ37" s="676">
        <f t="shared" si="103"/>
        <v>0</v>
      </c>
      <c r="BA37" s="676">
        <f t="shared" si="103"/>
        <v>169.13</v>
      </c>
      <c r="BB37" s="676">
        <f t="shared" si="103"/>
        <v>272.55999999999995</v>
      </c>
      <c r="BC37" s="676">
        <f t="shared" si="103"/>
        <v>49.199999999999989</v>
      </c>
      <c r="BD37" s="676">
        <f t="shared" si="103"/>
        <v>65.640000000000015</v>
      </c>
      <c r="BE37" s="676">
        <f t="shared" si="103"/>
        <v>0</v>
      </c>
      <c r="BF37" s="676">
        <f t="shared" si="103"/>
        <v>387.4</v>
      </c>
      <c r="BG37" s="676"/>
      <c r="BH37" s="960">
        <f>SUM(BH26:BH36)</f>
        <v>556.53</v>
      </c>
      <c r="BI37" s="960">
        <f>SUM(BI26:BI36)</f>
        <v>6152.2199999999993</v>
      </c>
      <c r="BJ37" s="960">
        <f t="shared" ref="BJ37:BK37" si="104">SUM(BJ26:BJ36)</f>
        <v>6270</v>
      </c>
      <c r="BK37" s="960">
        <f t="shared" si="104"/>
        <v>12422.220000000001</v>
      </c>
      <c r="BL37" s="960">
        <f>SUM(BL26:BL36)</f>
        <v>85052</v>
      </c>
      <c r="BM37" s="960">
        <f>SUM(BM26:BM36)</f>
        <v>1490.21</v>
      </c>
      <c r="BN37" s="960">
        <f>SUM(BN26:BN36)</f>
        <v>5471.2099999999991</v>
      </c>
      <c r="BO37" s="590"/>
      <c r="BP37" s="681"/>
      <c r="BQ37" s="681"/>
      <c r="BR37" s="681"/>
      <c r="BS37" s="922">
        <f>SUM(BS26:BS36)</f>
        <v>1490.21</v>
      </c>
      <c r="BT37" s="922">
        <f t="shared" ref="BT37:CD37" si="105">SUM(BT26:BT36)</f>
        <v>3740</v>
      </c>
      <c r="BU37" s="923">
        <f t="shared" si="105"/>
        <v>11</v>
      </c>
      <c r="BV37" s="922">
        <f>SUM(BV26:BV36)</f>
        <v>37.5</v>
      </c>
      <c r="BW37" s="922">
        <f t="shared" si="105"/>
        <v>5361.84</v>
      </c>
      <c r="BX37" s="922">
        <f t="shared" si="105"/>
        <v>0</v>
      </c>
      <c r="BY37" s="922">
        <f t="shared" si="105"/>
        <v>0</v>
      </c>
      <c r="BZ37" s="922">
        <f t="shared" si="105"/>
        <v>0</v>
      </c>
      <c r="CA37" s="922">
        <f t="shared" si="105"/>
        <v>5399.34</v>
      </c>
      <c r="CB37" s="922">
        <f t="shared" si="105"/>
        <v>556.53</v>
      </c>
      <c r="CC37" s="922">
        <f t="shared" si="105"/>
        <v>85052</v>
      </c>
      <c r="CD37" s="682" t="e">
        <f t="shared" si="105"/>
        <v>#REF!</v>
      </c>
      <c r="CE37" s="680"/>
      <c r="CG37" s="681"/>
      <c r="CH37" s="681"/>
      <c r="CI37" s="681"/>
      <c r="DD37" s="684"/>
      <c r="DG37" s="684"/>
      <c r="DH37" s="684"/>
    </row>
    <row r="38" spans="1:112" s="687" customFormat="1" ht="37.5" x14ac:dyDescent="0.5">
      <c r="A38" s="685"/>
      <c r="B38" s="686"/>
      <c r="D38" s="688"/>
      <c r="F38" s="685"/>
      <c r="G38" s="685"/>
      <c r="Q38" s="685"/>
      <c r="R38" s="685"/>
      <c r="S38" s="686"/>
      <c r="T38" s="686"/>
      <c r="U38" s="686"/>
      <c r="V38" s="686"/>
      <c r="W38" s="971">
        <f>+W37-BA37</f>
        <v>709.87</v>
      </c>
      <c r="X38" s="972"/>
      <c r="Y38" s="971">
        <f>+Y37/2</f>
        <v>24.420000000000005</v>
      </c>
      <c r="Z38" s="971"/>
      <c r="AA38" s="971"/>
      <c r="AB38" s="971">
        <f>+AB37/2</f>
        <v>0</v>
      </c>
      <c r="AC38" s="686"/>
      <c r="AD38" s="686"/>
      <c r="AE38" s="686"/>
      <c r="AF38" s="686"/>
      <c r="AG38" s="689"/>
      <c r="AH38" s="689"/>
      <c r="AI38" s="689"/>
      <c r="AJ38" s="689"/>
      <c r="AK38" s="689"/>
      <c r="AL38" s="689"/>
      <c r="AM38" s="686"/>
      <c r="AN38" s="686"/>
      <c r="AO38" s="686"/>
      <c r="AP38" s="992"/>
      <c r="AQ38" s="686"/>
      <c r="AR38" s="686"/>
      <c r="AS38" s="686"/>
      <c r="AT38" s="690"/>
      <c r="AU38" s="690"/>
      <c r="AV38" s="686"/>
      <c r="AW38" s="686"/>
      <c r="AX38" s="686"/>
      <c r="AY38" s="686"/>
      <c r="AZ38" s="686"/>
      <c r="BA38" s="686"/>
      <c r="BB38" s="686"/>
      <c r="BC38" s="686"/>
      <c r="BD38" s="686"/>
      <c r="BE38" s="686"/>
      <c r="BF38" s="686"/>
      <c r="BG38" s="686"/>
      <c r="BO38" s="691"/>
      <c r="BS38" s="925"/>
      <c r="BT38" s="925"/>
      <c r="BU38" s="925"/>
      <c r="BV38" s="925"/>
      <c r="BW38" s="925"/>
      <c r="BX38" s="925"/>
      <c r="BY38" s="925"/>
      <c r="BZ38" s="925"/>
      <c r="CA38" s="924"/>
      <c r="CB38" s="925"/>
      <c r="CC38" s="925"/>
      <c r="CE38" s="692"/>
      <c r="DD38" s="685"/>
      <c r="DG38" s="685"/>
      <c r="DH38" s="685"/>
    </row>
    <row r="39" spans="1:112" s="687" customFormat="1" ht="63.75" customHeight="1" thickBot="1" x14ac:dyDescent="0.55000000000000004">
      <c r="A39" s="685"/>
      <c r="B39" s="686"/>
      <c r="D39" s="688"/>
      <c r="F39" s="685"/>
      <c r="G39" s="685"/>
      <c r="Q39" s="685"/>
      <c r="R39" s="685"/>
      <c r="S39" s="686"/>
      <c r="T39" s="686"/>
      <c r="U39" s="686"/>
      <c r="V39" s="686"/>
      <c r="W39" s="686"/>
      <c r="Y39" s="686"/>
      <c r="Z39" s="686"/>
      <c r="AA39" s="686"/>
      <c r="AB39" s="686"/>
      <c r="AC39" s="686"/>
      <c r="AD39" s="686"/>
      <c r="AE39" s="686"/>
      <c r="AF39" s="686"/>
      <c r="AG39" s="689"/>
      <c r="AH39" s="689"/>
      <c r="AI39" s="689"/>
      <c r="AJ39" s="689"/>
      <c r="AK39" s="689"/>
      <c r="AL39" s="689"/>
      <c r="AM39" s="686"/>
      <c r="AN39" s="686"/>
      <c r="AO39" s="686"/>
      <c r="AP39" s="992"/>
      <c r="AQ39" s="686"/>
      <c r="AR39" s="686"/>
      <c r="AS39" s="686"/>
      <c r="AT39" s="690"/>
      <c r="AU39" s="690"/>
      <c r="AV39" s="686"/>
      <c r="AW39" s="686"/>
      <c r="AX39" s="686"/>
      <c r="AY39" s="686"/>
      <c r="AZ39" s="686"/>
      <c r="BA39" s="686"/>
      <c r="BB39" s="686"/>
      <c r="BC39" s="686"/>
      <c r="BD39" s="686"/>
      <c r="BE39" s="686"/>
      <c r="BF39" s="686"/>
      <c r="BG39" s="686"/>
      <c r="BS39" s="925"/>
      <c r="BT39" s="925"/>
      <c r="BU39" s="925"/>
      <c r="BV39" s="925"/>
      <c r="BW39" s="925"/>
      <c r="BX39" s="925"/>
      <c r="BY39" s="925"/>
      <c r="BZ39" s="925"/>
      <c r="CA39" s="925"/>
      <c r="CB39" s="925"/>
      <c r="CC39" s="925"/>
      <c r="CE39" s="692"/>
      <c r="DD39" s="685"/>
      <c r="DG39" s="685"/>
      <c r="DH39" s="685"/>
    </row>
    <row r="40" spans="1:112" s="685" customFormat="1" ht="120" customHeight="1" thickBot="1" x14ac:dyDescent="0.55000000000000004">
      <c r="A40" s="693"/>
      <c r="B40" s="694">
        <f ca="1">+B37+B24+B18</f>
        <v>19</v>
      </c>
      <c r="C40" s="695"/>
      <c r="D40" s="696"/>
      <c r="E40" s="697"/>
      <c r="F40" s="697"/>
      <c r="G40" s="697"/>
      <c r="H40" s="697" t="s">
        <v>2885</v>
      </c>
      <c r="I40" s="697"/>
      <c r="J40" s="697"/>
      <c r="K40" s="697"/>
      <c r="L40" s="697"/>
      <c r="M40" s="697"/>
      <c r="N40" s="698"/>
      <c r="O40" s="697"/>
      <c r="P40" s="697"/>
      <c r="Q40" s="699">
        <f>Q18+Q24+Q37</f>
        <v>0</v>
      </c>
      <c r="R40" s="699"/>
      <c r="S40" s="700"/>
      <c r="T40" s="699">
        <f>T18+T24+T37</f>
        <v>3886</v>
      </c>
      <c r="U40" s="699">
        <f>U18+U24+U37</f>
        <v>628</v>
      </c>
      <c r="V40" s="699">
        <f>V18+V24+V37</f>
        <v>3258</v>
      </c>
      <c r="W40" s="699">
        <f>W37+W24+W18</f>
        <v>1629</v>
      </c>
      <c r="X40" s="701">
        <f t="shared" ref="X40:AC40" si="106">X18+X24+X37</f>
        <v>7</v>
      </c>
      <c r="Y40" s="699">
        <f t="shared" si="106"/>
        <v>197.15</v>
      </c>
      <c r="Z40" s="699">
        <f t="shared" si="106"/>
        <v>2080</v>
      </c>
      <c r="AA40" s="699">
        <f t="shared" si="106"/>
        <v>87.5</v>
      </c>
      <c r="AB40" s="699">
        <f t="shared" si="106"/>
        <v>455.03</v>
      </c>
      <c r="AC40" s="699">
        <f t="shared" si="106"/>
        <v>2826.5200000000004</v>
      </c>
      <c r="AD40" s="699">
        <f>AD37+AD24+AD18</f>
        <v>1457.0200000000002</v>
      </c>
      <c r="AE40" s="699">
        <f>AE37+AE24+AE18</f>
        <v>1369.5200000000002</v>
      </c>
      <c r="AF40" s="701">
        <f t="shared" ref="AF40:BF40" si="107">AF18+AF24+AF37</f>
        <v>7</v>
      </c>
      <c r="AG40" s="699">
        <f t="shared" si="107"/>
        <v>87.5</v>
      </c>
      <c r="AH40" s="702">
        <f t="shared" si="107"/>
        <v>0</v>
      </c>
      <c r="AI40" s="699">
        <f t="shared" si="107"/>
        <v>0</v>
      </c>
      <c r="AJ40" s="699">
        <f t="shared" si="107"/>
        <v>0</v>
      </c>
      <c r="AK40" s="699">
        <f t="shared" si="107"/>
        <v>0</v>
      </c>
      <c r="AL40" s="699">
        <f t="shared" si="107"/>
        <v>87.5</v>
      </c>
      <c r="AM40" s="699">
        <f t="shared" si="107"/>
        <v>6084.5199999999995</v>
      </c>
      <c r="AN40" s="699">
        <f t="shared" si="107"/>
        <v>0</v>
      </c>
      <c r="AO40" s="699">
        <f t="shared" si="107"/>
        <v>0</v>
      </c>
      <c r="AP40" s="702">
        <f t="shared" si="107"/>
        <v>3600</v>
      </c>
      <c r="AQ40" s="699">
        <f t="shared" si="107"/>
        <v>2850</v>
      </c>
      <c r="AR40" s="699">
        <f t="shared" si="107"/>
        <v>45633.91</v>
      </c>
      <c r="AS40" s="699">
        <f t="shared" si="107"/>
        <v>202.82000000000002</v>
      </c>
      <c r="AT40" s="703">
        <f t="shared" si="107"/>
        <v>5490</v>
      </c>
      <c r="AU40" s="703">
        <f t="shared" si="107"/>
        <v>0</v>
      </c>
      <c r="AV40" s="699">
        <f t="shared" si="107"/>
        <v>0</v>
      </c>
      <c r="AW40" s="699">
        <f t="shared" si="107"/>
        <v>219.54999999999995</v>
      </c>
      <c r="AX40" s="699">
        <f t="shared" si="107"/>
        <v>27.439999999999998</v>
      </c>
      <c r="AY40" s="699">
        <f t="shared" si="107"/>
        <v>59.46</v>
      </c>
      <c r="AZ40" s="699">
        <f t="shared" si="107"/>
        <v>0</v>
      </c>
      <c r="BA40" s="699">
        <f t="shared" si="107"/>
        <v>306.45</v>
      </c>
      <c r="BB40" s="699">
        <f t="shared" si="107"/>
        <v>493.90999999999997</v>
      </c>
      <c r="BC40" s="699">
        <f t="shared" si="107"/>
        <v>98.389999999999986</v>
      </c>
      <c r="BD40" s="699">
        <f t="shared" si="107"/>
        <v>118.93000000000002</v>
      </c>
      <c r="BE40" s="699">
        <f t="shared" si="107"/>
        <v>0</v>
      </c>
      <c r="BF40" s="699">
        <f t="shared" si="107"/>
        <v>711.23</v>
      </c>
      <c r="BG40" s="699"/>
      <c r="BH40" s="960">
        <f>BH18+BH24+BH37</f>
        <v>1017.68</v>
      </c>
      <c r="BI40" s="960">
        <f>BI18+BI24+BI37</f>
        <v>11408.5</v>
      </c>
      <c r="BJ40" s="960">
        <f t="shared" ref="BJ40:BK40" si="108">BJ18+BJ24+BJ37</f>
        <v>9120</v>
      </c>
      <c r="BK40" s="960">
        <f t="shared" si="108"/>
        <v>20528.5</v>
      </c>
      <c r="BL40" s="960">
        <f>BL18+BL24+BL37</f>
        <v>123712</v>
      </c>
      <c r="BM40" s="960">
        <f>BM18+BM24+BM37</f>
        <v>2779.57</v>
      </c>
      <c r="BN40" s="960">
        <f>BN18+BN24+BN37</f>
        <v>8691.34</v>
      </c>
      <c r="BO40" s="704"/>
      <c r="BP40" s="705"/>
      <c r="BQ40" s="705"/>
      <c r="BR40" s="705"/>
      <c r="BS40" s="922">
        <f t="shared" ref="BS40:CD40" si="109">BS37+BS24+BS18</f>
        <v>2779.5699999999997</v>
      </c>
      <c r="BT40" s="922">
        <f t="shared" si="109"/>
        <v>5490</v>
      </c>
      <c r="BU40" s="923">
        <f t="shared" si="109"/>
        <v>19</v>
      </c>
      <c r="BV40" s="922">
        <f t="shared" si="109"/>
        <v>87.5</v>
      </c>
      <c r="BW40" s="922">
        <f t="shared" si="109"/>
        <v>8488.52</v>
      </c>
      <c r="BX40" s="922">
        <f t="shared" si="109"/>
        <v>0</v>
      </c>
      <c r="BY40" s="922">
        <f t="shared" si="109"/>
        <v>0</v>
      </c>
      <c r="BZ40" s="922">
        <f t="shared" si="109"/>
        <v>0</v>
      </c>
      <c r="CA40" s="922">
        <f t="shared" si="109"/>
        <v>8576.02</v>
      </c>
      <c r="CB40" s="922">
        <f t="shared" si="109"/>
        <v>1017.68</v>
      </c>
      <c r="CC40" s="922">
        <f t="shared" si="109"/>
        <v>123712</v>
      </c>
      <c r="CD40" s="682" t="e">
        <f t="shared" si="109"/>
        <v>#REF!</v>
      </c>
      <c r="CE40" s="706">
        <f>CC40/CC36</f>
        <v>16</v>
      </c>
      <c r="CF40" s="685" t="s">
        <v>4798</v>
      </c>
      <c r="CG40" s="705"/>
      <c r="CH40" s="705"/>
      <c r="CI40" s="705"/>
    </row>
    <row r="41" spans="1:112" s="406" customFormat="1" ht="33.75" hidden="1" customHeight="1" x14ac:dyDescent="0.3">
      <c r="A41" s="408"/>
      <c r="B41" s="430"/>
      <c r="D41" s="492"/>
      <c r="F41" s="540"/>
      <c r="G41" s="408"/>
      <c r="H41" s="497"/>
      <c r="I41" s="408"/>
      <c r="J41" s="408"/>
      <c r="K41" s="408"/>
      <c r="L41" s="408"/>
      <c r="M41" s="408"/>
      <c r="Q41" s="495"/>
      <c r="R41" s="495"/>
      <c r="S41" s="430"/>
      <c r="T41" s="498"/>
      <c r="U41" s="498"/>
      <c r="V41" s="498"/>
      <c r="W41" s="498"/>
      <c r="X41" s="407"/>
      <c r="Y41" s="498" t="s">
        <v>2914</v>
      </c>
      <c r="Z41" s="498"/>
      <c r="AA41" s="498"/>
      <c r="AB41" s="498"/>
      <c r="AC41" s="498"/>
      <c r="AD41" s="498"/>
      <c r="AE41" s="498"/>
      <c r="AF41" s="498"/>
      <c r="AG41" s="493"/>
      <c r="AH41" s="493"/>
      <c r="AI41" s="493"/>
      <c r="AJ41" s="493"/>
      <c r="AK41" s="493"/>
      <c r="AL41" s="493"/>
      <c r="AM41" s="499">
        <f>AM40-BA40</f>
        <v>5778.07</v>
      </c>
      <c r="AN41" s="498"/>
      <c r="AO41" s="498"/>
      <c r="AP41" s="993"/>
      <c r="AQ41" s="498"/>
      <c r="AR41" s="498"/>
      <c r="AS41" s="498"/>
      <c r="AT41" s="500"/>
      <c r="AU41" s="500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H41" s="498"/>
      <c r="BI41" s="498"/>
      <c r="BJ41" s="498"/>
      <c r="BK41" s="498"/>
      <c r="BL41" s="498"/>
      <c r="BM41" s="407"/>
      <c r="BN41" s="407"/>
      <c r="BO41" s="407"/>
      <c r="BP41" s="407"/>
      <c r="BQ41" s="407"/>
      <c r="BR41" s="407"/>
      <c r="BS41" s="441"/>
      <c r="BT41" s="441"/>
      <c r="BU41" s="913"/>
      <c r="BV41" s="660" t="e">
        <f>BV40+#REF!</f>
        <v>#REF!</v>
      </c>
      <c r="BW41" s="441"/>
      <c r="BX41" s="441"/>
      <c r="BY41" s="441"/>
      <c r="BZ41" s="441"/>
      <c r="CA41" s="441"/>
      <c r="CB41" s="441"/>
      <c r="CC41" s="441"/>
      <c r="CD41" s="407"/>
      <c r="CE41" s="407"/>
      <c r="CG41" s="407"/>
      <c r="CH41" s="407"/>
      <c r="CI41" s="407"/>
      <c r="DD41" s="408"/>
      <c r="DG41" s="408"/>
      <c r="DH41" s="408"/>
    </row>
    <row r="42" spans="1:112" s="406" customFormat="1" ht="42" customHeight="1" x14ac:dyDescent="0.45">
      <c r="A42" s="408"/>
      <c r="B42" s="430"/>
      <c r="D42" s="492"/>
      <c r="F42" s="540"/>
      <c r="G42" s="408"/>
      <c r="Q42" s="408"/>
      <c r="R42" s="408"/>
      <c r="S42" s="430"/>
      <c r="T42" s="498"/>
      <c r="U42" s="498"/>
      <c r="V42" s="498"/>
      <c r="W42" s="498"/>
      <c r="Y42" s="498"/>
      <c r="Z42" s="498"/>
      <c r="AA42" s="498"/>
      <c r="AB42" s="498"/>
      <c r="AC42" s="498"/>
      <c r="AD42" s="498"/>
      <c r="AE42" s="498"/>
      <c r="AF42" s="498"/>
      <c r="AG42" s="493"/>
      <c r="AH42" s="493"/>
      <c r="AI42" s="493"/>
      <c r="AJ42" s="493"/>
      <c r="AK42" s="493"/>
      <c r="AL42" s="493"/>
      <c r="AM42" s="498"/>
      <c r="AN42" s="430"/>
      <c r="AO42" s="498"/>
      <c r="AP42" s="993"/>
      <c r="AQ42" s="498"/>
      <c r="AR42" s="498"/>
      <c r="AS42" s="430"/>
      <c r="AT42" s="500"/>
      <c r="AU42" s="500"/>
      <c r="AV42" s="498"/>
      <c r="AW42" s="430"/>
      <c r="AX42" s="430"/>
      <c r="AY42" s="430"/>
      <c r="AZ42" s="430"/>
      <c r="BA42" s="430"/>
      <c r="BB42" s="498"/>
      <c r="BC42" s="498"/>
      <c r="BD42" s="498"/>
      <c r="BE42" s="498"/>
      <c r="BF42" s="498"/>
      <c r="BG42" s="498"/>
      <c r="BH42" s="498"/>
      <c r="BI42" s="498"/>
      <c r="BJ42" s="498"/>
      <c r="BK42" s="498"/>
      <c r="BL42" s="498"/>
      <c r="BM42" s="667"/>
      <c r="BN42" s="872"/>
      <c r="BO42" s="407"/>
      <c r="BP42" s="407"/>
      <c r="BQ42" s="869"/>
      <c r="BR42" s="407"/>
      <c r="BS42" s="441"/>
      <c r="BT42" s="441"/>
      <c r="BU42" s="913"/>
      <c r="BW42" s="441"/>
      <c r="BX42" s="441"/>
      <c r="BY42" s="441"/>
      <c r="BZ42" s="441"/>
      <c r="CA42" s="441"/>
      <c r="CB42" s="441"/>
      <c r="CC42" s="441"/>
      <c r="CD42" s="407"/>
      <c r="CE42" s="407"/>
      <c r="CG42" s="407"/>
      <c r="CH42" s="407"/>
      <c r="CI42" s="407"/>
      <c r="DD42" s="408"/>
      <c r="DG42" s="408"/>
      <c r="DH42" s="408"/>
    </row>
    <row r="43" spans="1:112" s="406" customFormat="1" ht="67.5" customHeight="1" x14ac:dyDescent="0.4">
      <c r="A43" s="408"/>
      <c r="B43" s="430"/>
      <c r="D43" s="492"/>
      <c r="F43" s="540"/>
      <c r="G43" s="408"/>
      <c r="Q43" s="408"/>
      <c r="R43" s="408"/>
      <c r="S43" s="430"/>
      <c r="T43" s="498"/>
      <c r="U43" s="498"/>
      <c r="V43" s="498"/>
      <c r="W43" s="498"/>
      <c r="Y43" s="498"/>
      <c r="Z43" s="498"/>
      <c r="AA43" s="498"/>
      <c r="AB43" s="498"/>
      <c r="AC43" s="498"/>
      <c r="AD43" s="498"/>
      <c r="AE43" s="498"/>
      <c r="AF43" s="498"/>
      <c r="AG43" s="493"/>
      <c r="AH43" s="493"/>
      <c r="AI43" s="493"/>
      <c r="AJ43" s="493"/>
      <c r="AK43" s="493"/>
      <c r="AL43" s="493"/>
      <c r="AM43" s="430"/>
      <c r="AN43" s="430"/>
      <c r="AO43" s="498"/>
      <c r="AP43" s="993"/>
      <c r="AQ43" s="498"/>
      <c r="AR43" s="498"/>
      <c r="AS43" s="430"/>
      <c r="AT43" s="500"/>
      <c r="AU43" s="500"/>
      <c r="AV43" s="498"/>
      <c r="AW43" s="430"/>
      <c r="AX43" s="430"/>
      <c r="AY43" s="430"/>
      <c r="AZ43" s="430"/>
      <c r="BA43" s="430"/>
      <c r="BB43" s="498"/>
      <c r="BC43" s="498"/>
      <c r="BD43" s="498"/>
      <c r="BE43" s="498"/>
      <c r="BF43" s="498"/>
      <c r="BG43" s="498"/>
      <c r="BH43" s="498"/>
      <c r="BI43" s="498"/>
      <c r="BJ43" s="498"/>
      <c r="BK43" s="498"/>
      <c r="BL43" s="498"/>
      <c r="BM43" s="407"/>
      <c r="BN43" s="872"/>
      <c r="BO43" s="494"/>
      <c r="BP43" s="407"/>
      <c r="BQ43" s="407"/>
      <c r="BR43" s="407"/>
      <c r="BS43" s="945"/>
      <c r="BW43" s="945"/>
      <c r="DD43" s="408"/>
      <c r="DG43" s="408"/>
      <c r="DH43" s="408"/>
    </row>
    <row r="44" spans="1:112" s="406" customFormat="1" ht="37.5" hidden="1" customHeight="1" x14ac:dyDescent="0.3">
      <c r="A44" s="408"/>
      <c r="B44" s="430"/>
      <c r="D44" s="492"/>
      <c r="F44" s="540"/>
      <c r="G44" s="408"/>
      <c r="Q44" s="408"/>
      <c r="R44" s="408"/>
      <c r="S44" s="430"/>
      <c r="T44" s="498"/>
      <c r="U44" s="498"/>
      <c r="V44" s="498"/>
      <c r="W44" s="498"/>
      <c r="Y44" s="498"/>
      <c r="Z44" s="498"/>
      <c r="AA44" s="498"/>
      <c r="AB44" s="498"/>
      <c r="AC44" s="498"/>
      <c r="AD44" s="498"/>
      <c r="AE44" s="498"/>
      <c r="AF44" s="498"/>
      <c r="AG44" s="493"/>
      <c r="AH44" s="493"/>
      <c r="AI44" s="493"/>
      <c r="AJ44" s="493"/>
      <c r="AK44" s="493"/>
      <c r="AL44" s="493"/>
      <c r="AM44" s="499">
        <f>AM40-BA40</f>
        <v>5778.07</v>
      </c>
      <c r="AN44" s="430"/>
      <c r="AO44" s="498"/>
      <c r="AP44" s="993"/>
      <c r="AQ44" s="498"/>
      <c r="AR44" s="498"/>
      <c r="AS44" s="430"/>
      <c r="AT44" s="500"/>
      <c r="AU44" s="500"/>
      <c r="AV44" s="498"/>
      <c r="AW44" s="430"/>
      <c r="AX44" s="430"/>
      <c r="AY44" s="430"/>
      <c r="AZ44" s="430"/>
      <c r="BA44" s="430"/>
      <c r="BB44" s="498"/>
      <c r="BC44" s="498"/>
      <c r="BD44" s="498"/>
      <c r="BE44" s="498"/>
      <c r="BF44" s="498"/>
      <c r="BG44" s="498"/>
      <c r="BH44" s="498"/>
      <c r="BI44" s="498"/>
      <c r="BJ44" s="498"/>
      <c r="BK44" s="498"/>
      <c r="BL44" s="498"/>
      <c r="BM44" s="407"/>
      <c r="BN44" s="407"/>
      <c r="BO44" s="407"/>
      <c r="BP44" s="407"/>
      <c r="BQ44" s="407"/>
      <c r="BR44" s="407"/>
      <c r="DD44" s="408"/>
      <c r="DG44" s="408"/>
      <c r="DH44" s="408"/>
    </row>
    <row r="45" spans="1:112" s="406" customFormat="1" ht="37.5" customHeight="1" x14ac:dyDescent="0.4">
      <c r="A45" s="867"/>
      <c r="B45" s="430"/>
      <c r="D45" s="492"/>
      <c r="F45" s="867"/>
      <c r="G45" s="867"/>
      <c r="Q45" s="867"/>
      <c r="R45" s="867"/>
      <c r="S45" s="430"/>
      <c r="T45" s="498"/>
      <c r="U45" s="498"/>
      <c r="V45" s="498"/>
      <c r="W45" s="498"/>
      <c r="Y45" s="498"/>
      <c r="Z45" s="498"/>
      <c r="AA45" s="498"/>
      <c r="AB45" s="498"/>
      <c r="AC45" s="498"/>
      <c r="AD45" s="498"/>
      <c r="AE45" s="498"/>
      <c r="AF45" s="498"/>
      <c r="AG45" s="493"/>
      <c r="AH45" s="493"/>
      <c r="AI45" s="493"/>
      <c r="AJ45" s="493"/>
      <c r="AK45" s="493"/>
      <c r="AL45" s="493"/>
      <c r="AM45" s="556"/>
      <c r="AN45" s="430"/>
      <c r="AO45" s="498"/>
      <c r="AP45" s="993"/>
      <c r="AQ45" s="498"/>
      <c r="AR45" s="498"/>
      <c r="AS45" s="430"/>
      <c r="AT45" s="500"/>
      <c r="AU45" s="500"/>
      <c r="AV45" s="498"/>
      <c r="AW45" s="430"/>
      <c r="AX45" s="430"/>
      <c r="AY45" s="430"/>
      <c r="AZ45" s="430"/>
      <c r="BA45" s="430"/>
      <c r="BB45" s="498"/>
      <c r="BC45" s="498"/>
      <c r="BD45" s="498"/>
      <c r="BE45" s="498"/>
      <c r="BF45" s="498"/>
      <c r="BG45" s="498"/>
      <c r="BH45" s="498"/>
      <c r="BI45" s="498"/>
      <c r="BJ45" s="498"/>
      <c r="BK45" s="498"/>
      <c r="BL45" s="498"/>
      <c r="BM45" s="407"/>
      <c r="BN45" s="872"/>
      <c r="BO45" s="407"/>
      <c r="BP45" s="407"/>
      <c r="BQ45" s="407"/>
      <c r="BR45" s="407"/>
      <c r="CA45" s="952">
        <f>BN40-CA40</f>
        <v>115.31999999999971</v>
      </c>
      <c r="DD45" s="867"/>
      <c r="DG45" s="867"/>
      <c r="DH45" s="867"/>
    </row>
    <row r="46" spans="1:112" s="406" customFormat="1" ht="37.5" customHeight="1" x14ac:dyDescent="0.3">
      <c r="A46" s="867"/>
      <c r="B46" s="430"/>
      <c r="D46" s="492"/>
      <c r="F46" s="867"/>
      <c r="G46" s="867"/>
      <c r="Q46" s="867"/>
      <c r="R46" s="867"/>
      <c r="S46" s="430"/>
      <c r="T46" s="498"/>
      <c r="U46" s="498"/>
      <c r="V46" s="498"/>
      <c r="W46" s="498"/>
      <c r="Y46" s="498"/>
      <c r="Z46" s="498"/>
      <c r="AA46" s="498"/>
      <c r="AB46" s="498"/>
      <c r="AC46" s="498"/>
      <c r="AD46" s="498"/>
      <c r="AE46" s="498"/>
      <c r="AF46" s="498"/>
      <c r="AG46" s="493"/>
      <c r="AH46" s="493"/>
      <c r="AI46" s="493"/>
      <c r="AJ46" s="493"/>
      <c r="AK46" s="493"/>
      <c r="AL46" s="493"/>
      <c r="AM46" s="556"/>
      <c r="AN46" s="430"/>
      <c r="AO46" s="498"/>
      <c r="AP46" s="993"/>
      <c r="AQ46" s="498"/>
      <c r="AR46" s="498"/>
      <c r="AS46" s="430"/>
      <c r="AT46" s="500"/>
      <c r="AU46" s="500"/>
      <c r="AV46" s="498"/>
      <c r="AW46" s="430"/>
      <c r="AX46" s="430"/>
      <c r="AY46" s="430"/>
      <c r="AZ46" s="430"/>
      <c r="BA46" s="430"/>
      <c r="BB46" s="498"/>
      <c r="BC46" s="498"/>
      <c r="BD46" s="498"/>
      <c r="BE46" s="498"/>
      <c r="BF46" s="498"/>
      <c r="BG46" s="498"/>
      <c r="BH46" s="498"/>
      <c r="BI46" s="498"/>
      <c r="BJ46" s="498"/>
      <c r="BK46" s="498"/>
      <c r="BL46" s="498"/>
      <c r="BM46" s="407"/>
      <c r="BN46" s="407"/>
      <c r="BO46" s="407"/>
      <c r="BP46" s="407"/>
      <c r="BQ46" s="407"/>
      <c r="BR46" s="407"/>
      <c r="BW46" s="945"/>
      <c r="DD46" s="867"/>
      <c r="DG46" s="867"/>
      <c r="DH46" s="867"/>
    </row>
    <row r="47" spans="1:112" s="406" customFormat="1" ht="37.5" hidden="1" customHeight="1" x14ac:dyDescent="0.4">
      <c r="A47" s="946"/>
      <c r="B47" s="430"/>
      <c r="D47" s="492"/>
      <c r="F47" s="946"/>
      <c r="G47" s="946"/>
      <c r="Q47" s="946"/>
      <c r="R47" s="946"/>
      <c r="S47" s="430"/>
      <c r="T47" s="498"/>
      <c r="U47" s="498"/>
      <c r="V47" s="498"/>
      <c r="W47" s="498"/>
      <c r="Y47" s="498"/>
      <c r="Z47" s="498"/>
      <c r="AA47" s="498"/>
      <c r="AB47" s="498"/>
      <c r="AC47" s="498"/>
      <c r="AD47" s="498"/>
      <c r="AE47" s="498"/>
      <c r="AF47" s="498"/>
      <c r="AG47" s="493"/>
      <c r="AH47" s="493"/>
      <c r="AI47" s="493"/>
      <c r="AJ47" s="493"/>
      <c r="AK47" s="493"/>
      <c r="AL47" s="493"/>
      <c r="AM47" s="556"/>
      <c r="AN47" s="430"/>
      <c r="AO47" s="498"/>
      <c r="AP47" s="993"/>
      <c r="AQ47" s="498"/>
      <c r="AR47" s="498"/>
      <c r="AS47" s="430"/>
      <c r="AT47" s="500"/>
      <c r="AU47" s="500"/>
      <c r="AV47" s="498"/>
      <c r="AW47" s="430"/>
      <c r="AX47" s="430"/>
      <c r="AY47" s="430"/>
      <c r="AZ47" s="430"/>
      <c r="BA47" s="430"/>
      <c r="BB47" s="498"/>
      <c r="BC47" s="498"/>
      <c r="BD47" s="498"/>
      <c r="BE47" s="498"/>
      <c r="BF47" s="498"/>
      <c r="BG47" s="498"/>
      <c r="BH47" s="498"/>
      <c r="BI47" s="498"/>
      <c r="BJ47" s="498"/>
      <c r="BK47" s="498"/>
      <c r="BL47" s="967" t="s">
        <v>4791</v>
      </c>
      <c r="BM47" s="968">
        <f>W40+AD40-BA40</f>
        <v>2779.5700000000006</v>
      </c>
      <c r="BN47" s="872"/>
      <c r="BO47" s="407"/>
      <c r="BP47" s="407"/>
      <c r="BQ47" s="407"/>
      <c r="BR47" s="407"/>
      <c r="BW47" s="945"/>
      <c r="DD47" s="946"/>
      <c r="DG47" s="946"/>
      <c r="DH47" s="946"/>
    </row>
    <row r="48" spans="1:112" s="406" customFormat="1" ht="37.5" hidden="1" customHeight="1" x14ac:dyDescent="0.4">
      <c r="A48" s="946"/>
      <c r="B48" s="430"/>
      <c r="D48" s="492"/>
      <c r="F48" s="946"/>
      <c r="G48" s="946"/>
      <c r="Q48" s="946"/>
      <c r="R48" s="946"/>
      <c r="S48" s="430"/>
      <c r="T48" s="498"/>
      <c r="U48" s="498"/>
      <c r="V48" s="498"/>
      <c r="W48" s="498"/>
      <c r="Y48" s="498"/>
      <c r="Z48" s="498"/>
      <c r="AA48" s="498"/>
      <c r="AB48" s="498"/>
      <c r="AC48" s="498"/>
      <c r="AD48" s="498"/>
      <c r="AE48" s="498"/>
      <c r="AF48" s="498"/>
      <c r="AG48" s="493"/>
      <c r="AH48" s="493"/>
      <c r="AI48" s="493"/>
      <c r="AJ48" s="493"/>
      <c r="AK48" s="493"/>
      <c r="AL48" s="493"/>
      <c r="AM48" s="556"/>
      <c r="AN48" s="430"/>
      <c r="AO48" s="498"/>
      <c r="AP48" s="993"/>
      <c r="AQ48" s="498"/>
      <c r="AR48" s="498"/>
      <c r="AS48" s="430"/>
      <c r="AT48" s="500"/>
      <c r="AU48" s="500"/>
      <c r="AV48" s="498"/>
      <c r="AW48" s="430"/>
      <c r="AX48" s="430"/>
      <c r="AY48" s="430"/>
      <c r="AZ48" s="430"/>
      <c r="BA48" s="430"/>
      <c r="BB48" s="498"/>
      <c r="BC48" s="498"/>
      <c r="BD48" s="498"/>
      <c r="BE48" s="498"/>
      <c r="BF48" s="498"/>
      <c r="BG48" s="498"/>
      <c r="BH48" s="498"/>
      <c r="BI48" s="498"/>
      <c r="BJ48" s="498"/>
      <c r="BK48" s="498"/>
      <c r="BL48" s="967" t="s">
        <v>4792</v>
      </c>
      <c r="BM48" s="968">
        <f>W40+AE40</f>
        <v>2998.5200000000004</v>
      </c>
      <c r="BN48" s="872"/>
      <c r="BO48" s="407"/>
      <c r="BP48" s="407"/>
      <c r="BQ48" s="407"/>
      <c r="BR48" s="407"/>
      <c r="BW48" s="945"/>
      <c r="DD48" s="946"/>
      <c r="DG48" s="946"/>
      <c r="DH48" s="946"/>
    </row>
    <row r="49" spans="1:112" s="406" customFormat="1" ht="37.5" hidden="1" customHeight="1" x14ac:dyDescent="0.5">
      <c r="A49" s="946"/>
      <c r="B49" s="430"/>
      <c r="D49" s="492"/>
      <c r="F49" s="946"/>
      <c r="G49" s="946"/>
      <c r="Q49" s="946"/>
      <c r="R49" s="946"/>
      <c r="S49" s="430"/>
      <c r="T49" s="498"/>
      <c r="U49" s="498"/>
      <c r="V49" s="498"/>
      <c r="W49" s="498"/>
      <c r="Y49" s="498"/>
      <c r="Z49" s="498"/>
      <c r="AA49" s="498"/>
      <c r="AB49" s="498"/>
      <c r="AC49" s="498"/>
      <c r="AD49" s="498"/>
      <c r="AE49" s="498"/>
      <c r="AF49" s="498"/>
      <c r="AG49" s="493"/>
      <c r="AH49" s="493"/>
      <c r="AI49" s="493"/>
      <c r="AJ49" s="493"/>
      <c r="AK49" s="493"/>
      <c r="AL49" s="493"/>
      <c r="AM49" s="556"/>
      <c r="AN49" s="430"/>
      <c r="AO49" s="498"/>
      <c r="AP49" s="993"/>
      <c r="AQ49" s="498"/>
      <c r="AR49" s="498"/>
      <c r="AS49" s="430"/>
      <c r="AT49" s="500"/>
      <c r="AU49" s="500"/>
      <c r="AV49" s="498"/>
      <c r="AW49" s="430"/>
      <c r="AX49" s="430"/>
      <c r="AY49" s="430"/>
      <c r="AZ49" s="430"/>
      <c r="BA49" s="430"/>
      <c r="BB49" s="498"/>
      <c r="BC49" s="498"/>
      <c r="BD49" s="498"/>
      <c r="BE49" s="498"/>
      <c r="BF49" s="498"/>
      <c r="BG49" s="498"/>
      <c r="BH49" s="498"/>
      <c r="BI49" s="498"/>
      <c r="BJ49" s="498"/>
      <c r="BK49" s="498"/>
      <c r="BL49" s="498"/>
      <c r="BM49" s="407"/>
      <c r="BN49" s="407"/>
      <c r="BO49" s="407"/>
      <c r="BP49" s="407"/>
      <c r="BQ49" s="407"/>
      <c r="BR49" s="922" t="s">
        <v>4870</v>
      </c>
      <c r="BS49" s="922">
        <f>BS40+BV40+BZ40</f>
        <v>2867.0699999999997</v>
      </c>
      <c r="BW49" s="945"/>
      <c r="DD49" s="946"/>
      <c r="DG49" s="946"/>
      <c r="DH49" s="946"/>
    </row>
    <row r="50" spans="1:112" s="406" customFormat="1" ht="95.25" hidden="1" customHeight="1" thickBot="1" x14ac:dyDescent="0.5">
      <c r="A50" s="946"/>
      <c r="B50" s="430"/>
      <c r="D50" s="492"/>
      <c r="F50" s="946"/>
      <c r="G50" s="946"/>
      <c r="Q50" s="946"/>
      <c r="R50" s="946"/>
      <c r="S50" s="430"/>
      <c r="T50" s="498"/>
      <c r="U50" s="498"/>
      <c r="V50" s="498"/>
      <c r="W50" s="498"/>
      <c r="Y50" s="498"/>
      <c r="Z50" s="498"/>
      <c r="AA50" s="498"/>
      <c r="AB50" s="498"/>
      <c r="AC50" s="498"/>
      <c r="AD50" s="498"/>
      <c r="AE50" s="498"/>
      <c r="AF50" s="498"/>
      <c r="AG50" s="493"/>
      <c r="AH50" s="493"/>
      <c r="AI50" s="493"/>
      <c r="AJ50" s="493"/>
      <c r="AK50" s="493"/>
      <c r="AL50" s="493"/>
      <c r="AM50" s="556"/>
      <c r="AN50" s="430"/>
      <c r="AO50" s="498"/>
      <c r="AP50" s="993"/>
      <c r="AQ50" s="498"/>
      <c r="AR50" s="498"/>
      <c r="AS50" s="430"/>
      <c r="AT50" s="500"/>
      <c r="AU50" s="500"/>
      <c r="AV50" s="498"/>
      <c r="AW50" s="430"/>
      <c r="AX50" s="430"/>
      <c r="AY50" s="430"/>
      <c r="AZ50" s="430"/>
      <c r="BA50" s="430"/>
      <c r="BB50" s="498"/>
      <c r="BC50" s="498"/>
      <c r="BD50" s="498"/>
      <c r="BE50" s="498"/>
      <c r="BF50" s="498"/>
      <c r="BG50" s="498"/>
      <c r="BH50" s="498"/>
      <c r="BI50" s="498"/>
      <c r="BJ50" s="498"/>
      <c r="BK50" s="498"/>
      <c r="BL50" s="919" t="s">
        <v>4791</v>
      </c>
      <c r="BM50" s="791">
        <f>W40+AD40-BA40</f>
        <v>2779.5700000000006</v>
      </c>
      <c r="BN50" s="951" t="s">
        <v>4869</v>
      </c>
      <c r="BO50" s="407"/>
      <c r="BP50" s="407"/>
      <c r="BQ50" s="407"/>
      <c r="BS50" s="954">
        <f>BM40-BS49</f>
        <v>-87.499999999999545</v>
      </c>
      <c r="BW50" s="945"/>
      <c r="DD50" s="946"/>
      <c r="DG50" s="946"/>
      <c r="DH50" s="946"/>
    </row>
    <row r="51" spans="1:112" s="406" customFormat="1" ht="37.5" hidden="1" customHeight="1" x14ac:dyDescent="0.45">
      <c r="A51" s="946"/>
      <c r="B51" s="430"/>
      <c r="D51" s="492"/>
      <c r="F51" s="946"/>
      <c r="G51" s="946"/>
      <c r="Q51" s="946"/>
      <c r="R51" s="946"/>
      <c r="S51" s="430"/>
      <c r="T51" s="498"/>
      <c r="U51" s="498"/>
      <c r="V51" s="498"/>
      <c r="W51" s="498"/>
      <c r="Y51" s="498"/>
      <c r="Z51" s="498"/>
      <c r="AA51" s="498"/>
      <c r="AB51" s="498"/>
      <c r="AC51" s="498"/>
      <c r="AD51" s="498"/>
      <c r="AE51" s="498"/>
      <c r="AF51" s="498"/>
      <c r="AG51" s="493"/>
      <c r="AH51" s="493"/>
      <c r="AI51" s="493"/>
      <c r="AJ51" s="493"/>
      <c r="AK51" s="493"/>
      <c r="AL51" s="493"/>
      <c r="AM51" s="556"/>
      <c r="AN51" s="430"/>
      <c r="AO51" s="498"/>
      <c r="AP51" s="993"/>
      <c r="AQ51" s="498"/>
      <c r="AR51" s="498"/>
      <c r="AS51" s="430"/>
      <c r="AT51" s="500"/>
      <c r="AU51" s="500"/>
      <c r="AV51" s="498"/>
      <c r="AW51" s="430"/>
      <c r="AX51" s="430"/>
      <c r="AY51" s="430"/>
      <c r="AZ51" s="430"/>
      <c r="BA51" s="430"/>
      <c r="BB51" s="498"/>
      <c r="BC51" s="498"/>
      <c r="BD51" s="498"/>
      <c r="BE51" s="498"/>
      <c r="BF51" s="498"/>
      <c r="BG51" s="498"/>
      <c r="BH51" s="498"/>
      <c r="BI51" s="498"/>
      <c r="BJ51" s="498"/>
      <c r="BK51" s="498"/>
      <c r="BL51" s="919" t="s">
        <v>4792</v>
      </c>
      <c r="BM51" s="791">
        <f>AE40+W40</f>
        <v>2998.5200000000004</v>
      </c>
      <c r="BN51" s="951" t="s">
        <v>4869</v>
      </c>
      <c r="BO51" s="407"/>
      <c r="BP51" s="407"/>
      <c r="BQ51" s="407"/>
      <c r="BR51" s="407"/>
      <c r="BW51" s="945"/>
      <c r="DD51" s="946"/>
      <c r="DG51" s="946"/>
      <c r="DH51" s="946"/>
    </row>
    <row r="52" spans="1:112" s="406" customFormat="1" ht="52.5" customHeight="1" x14ac:dyDescent="0.85">
      <c r="A52" s="946"/>
      <c r="B52" s="430"/>
      <c r="D52" s="492"/>
      <c r="F52" s="946"/>
      <c r="G52" s="946"/>
      <c r="Q52" s="946"/>
      <c r="R52" s="946"/>
      <c r="S52" s="430"/>
      <c r="T52" s="498"/>
      <c r="U52" s="498"/>
      <c r="V52" s="498"/>
      <c r="W52" s="498"/>
      <c r="Y52" s="498"/>
      <c r="Z52" s="498"/>
      <c r="AA52" s="498"/>
      <c r="AB52" s="498"/>
      <c r="AC52" s="498"/>
      <c r="AD52" s="498"/>
      <c r="AE52" s="498"/>
      <c r="AF52" s="498"/>
      <c r="AG52" s="493"/>
      <c r="AH52" s="493"/>
      <c r="AI52" s="493"/>
      <c r="AJ52" s="493"/>
      <c r="AK52" s="493"/>
      <c r="AL52" s="493"/>
      <c r="AM52" s="556"/>
      <c r="AN52" s="430"/>
      <c r="AO52" s="498"/>
      <c r="AP52" s="993"/>
      <c r="AQ52" s="498"/>
      <c r="AR52" s="498"/>
      <c r="AS52" s="430"/>
      <c r="AT52" s="500"/>
      <c r="AU52" s="500"/>
      <c r="AV52" s="498"/>
      <c r="AW52" s="430"/>
      <c r="AX52" s="430"/>
      <c r="AY52" s="430"/>
      <c r="AZ52" s="430"/>
      <c r="BA52" s="430"/>
      <c r="BB52" s="498"/>
      <c r="BC52" s="498"/>
      <c r="BD52" s="498"/>
      <c r="BE52" s="498"/>
      <c r="BF52" s="498"/>
      <c r="BG52" s="498"/>
      <c r="BH52" s="498"/>
      <c r="BI52" s="498"/>
      <c r="BJ52" s="498"/>
      <c r="BK52" s="498"/>
      <c r="BL52" s="974" t="s">
        <v>4791</v>
      </c>
      <c r="BM52" s="975">
        <f>W40+AD40-BA40</f>
        <v>2779.5700000000006</v>
      </c>
      <c r="BN52" s="407"/>
      <c r="BO52" s="407"/>
      <c r="BP52" s="407"/>
      <c r="BQ52" s="407"/>
      <c r="BR52" s="407"/>
      <c r="BS52" s="922">
        <f>BS40+BZ40</f>
        <v>2779.5699999999997</v>
      </c>
      <c r="BW52" s="945"/>
      <c r="DD52" s="946"/>
      <c r="DG52" s="946"/>
      <c r="DH52" s="946"/>
    </row>
    <row r="53" spans="1:112" s="406" customFormat="1" ht="52.5" customHeight="1" x14ac:dyDescent="0.85">
      <c r="A53" s="946"/>
      <c r="B53" s="430"/>
      <c r="D53" s="492"/>
      <c r="F53" s="946"/>
      <c r="G53" s="946"/>
      <c r="Q53" s="946"/>
      <c r="R53" s="946"/>
      <c r="S53" s="430"/>
      <c r="T53" s="498"/>
      <c r="U53" s="498"/>
      <c r="V53" s="498"/>
      <c r="W53" s="498"/>
      <c r="Y53" s="498"/>
      <c r="Z53" s="498"/>
      <c r="AA53" s="498"/>
      <c r="AB53" s="498"/>
      <c r="AC53" s="498"/>
      <c r="AD53" s="498"/>
      <c r="AE53" s="498"/>
      <c r="AF53" s="498"/>
      <c r="AG53" s="493"/>
      <c r="AH53" s="493"/>
      <c r="AI53" s="493"/>
      <c r="AJ53" s="493"/>
      <c r="AK53" s="493"/>
      <c r="AL53" s="493"/>
      <c r="AM53" s="556"/>
      <c r="AN53" s="430"/>
      <c r="AO53" s="498"/>
      <c r="AP53" s="993"/>
      <c r="AQ53" s="498"/>
      <c r="AR53" s="498"/>
      <c r="AS53" s="430"/>
      <c r="AT53" s="500"/>
      <c r="AU53" s="500"/>
      <c r="AV53" s="498"/>
      <c r="AW53" s="430"/>
      <c r="AX53" s="430"/>
      <c r="AY53" s="430"/>
      <c r="AZ53" s="430"/>
      <c r="BA53" s="430"/>
      <c r="BB53" s="498"/>
      <c r="BC53" s="498"/>
      <c r="BD53" s="498"/>
      <c r="BE53" s="498"/>
      <c r="BF53" s="498"/>
      <c r="BG53" s="498"/>
      <c r="BH53" s="498"/>
      <c r="BI53" s="498"/>
      <c r="BJ53" s="498"/>
      <c r="BK53" s="498"/>
      <c r="BL53" s="974" t="s">
        <v>4792</v>
      </c>
      <c r="BM53" s="975">
        <f>W40+AE40</f>
        <v>2998.5200000000004</v>
      </c>
      <c r="BN53" s="407"/>
      <c r="BO53" s="407"/>
      <c r="BP53" s="407"/>
      <c r="BQ53" s="407"/>
      <c r="BR53" s="407"/>
      <c r="BS53" s="976">
        <f>BS52-BM40</f>
        <v>0</v>
      </c>
      <c r="BW53" s="945"/>
      <c r="DD53" s="946"/>
      <c r="DG53" s="946"/>
      <c r="DH53" s="946"/>
    </row>
    <row r="54" spans="1:112" s="406" customFormat="1" ht="37.5" customHeight="1" x14ac:dyDescent="0.3">
      <c r="A54" s="946"/>
      <c r="B54" s="430"/>
      <c r="D54" s="492"/>
      <c r="F54" s="946"/>
      <c r="G54" s="946"/>
      <c r="Q54" s="946"/>
      <c r="R54" s="946"/>
      <c r="S54" s="430"/>
      <c r="T54" s="498"/>
      <c r="U54" s="498"/>
      <c r="V54" s="498"/>
      <c r="W54" s="498"/>
      <c r="Y54" s="498"/>
      <c r="Z54" s="498"/>
      <c r="AA54" s="498"/>
      <c r="AB54" s="498"/>
      <c r="AC54" s="498"/>
      <c r="AD54" s="498"/>
      <c r="AE54" s="498"/>
      <c r="AF54" s="498"/>
      <c r="AG54" s="493"/>
      <c r="AH54" s="493"/>
      <c r="AI54" s="493"/>
      <c r="AJ54" s="493"/>
      <c r="AK54" s="493"/>
      <c r="AL54" s="493"/>
      <c r="AM54" s="556"/>
      <c r="AN54" s="430"/>
      <c r="AO54" s="498"/>
      <c r="AP54" s="993"/>
      <c r="AQ54" s="498"/>
      <c r="AR54" s="498"/>
      <c r="AS54" s="430"/>
      <c r="AT54" s="500"/>
      <c r="AU54" s="500"/>
      <c r="AV54" s="498"/>
      <c r="AW54" s="430"/>
      <c r="AX54" s="430"/>
      <c r="AY54" s="430"/>
      <c r="AZ54" s="430"/>
      <c r="BA54" s="430"/>
      <c r="BB54" s="498"/>
      <c r="BC54" s="498"/>
      <c r="BD54" s="498"/>
      <c r="BE54" s="498"/>
      <c r="BF54" s="498"/>
      <c r="BG54" s="498"/>
      <c r="BH54" s="498"/>
      <c r="BI54" s="498"/>
      <c r="BJ54" s="498"/>
      <c r="BK54" s="498"/>
      <c r="BL54" s="498"/>
      <c r="BM54" s="407"/>
      <c r="BN54" s="407"/>
      <c r="BO54" s="407"/>
      <c r="BP54" s="407"/>
      <c r="BQ54" s="407"/>
      <c r="BR54" s="407"/>
      <c r="BW54" s="945"/>
      <c r="DD54" s="946"/>
      <c r="DG54" s="946"/>
      <c r="DH54" s="946"/>
    </row>
    <row r="55" spans="1:112" s="406" customFormat="1" ht="37.5" customHeight="1" x14ac:dyDescent="0.3">
      <c r="A55" s="946"/>
      <c r="B55" s="430"/>
      <c r="D55" s="492"/>
      <c r="F55" s="946"/>
      <c r="G55" s="946"/>
      <c r="Q55" s="946"/>
      <c r="R55" s="946"/>
      <c r="S55" s="430"/>
      <c r="T55" s="498"/>
      <c r="U55" s="498"/>
      <c r="V55" s="498"/>
      <c r="W55" s="498"/>
      <c r="Y55" s="498"/>
      <c r="Z55" s="498"/>
      <c r="AA55" s="498"/>
      <c r="AB55" s="498"/>
      <c r="AC55" s="498"/>
      <c r="AD55" s="498"/>
      <c r="AE55" s="498"/>
      <c r="AF55" s="498"/>
      <c r="AG55" s="493"/>
      <c r="AH55" s="493"/>
      <c r="AI55" s="493"/>
      <c r="AJ55" s="493"/>
      <c r="AK55" s="493"/>
      <c r="AL55" s="493"/>
      <c r="AM55" s="556"/>
      <c r="AN55" s="430"/>
      <c r="AO55" s="498"/>
      <c r="AP55" s="993"/>
      <c r="AQ55" s="498"/>
      <c r="AR55" s="498"/>
      <c r="AS55" s="430"/>
      <c r="AT55" s="500"/>
      <c r="AU55" s="500"/>
      <c r="AV55" s="498"/>
      <c r="AW55" s="430"/>
      <c r="AX55" s="430"/>
      <c r="AY55" s="430"/>
      <c r="AZ55" s="430"/>
      <c r="BA55" s="430"/>
      <c r="BB55" s="498"/>
      <c r="BC55" s="498"/>
      <c r="BD55" s="498"/>
      <c r="BE55" s="498"/>
      <c r="BF55" s="498"/>
      <c r="BG55" s="498"/>
      <c r="BH55" s="498"/>
      <c r="BI55" s="498"/>
      <c r="BJ55" s="498"/>
      <c r="BK55" s="498"/>
      <c r="BL55" s="498"/>
      <c r="BM55" s="407"/>
      <c r="BN55" s="407"/>
      <c r="BO55" s="407"/>
      <c r="BP55" s="407"/>
      <c r="BQ55" s="407"/>
      <c r="BR55" s="407"/>
      <c r="BW55" s="945"/>
      <c r="DD55" s="946"/>
      <c r="DG55" s="946"/>
      <c r="DH55" s="946"/>
    </row>
    <row r="56" spans="1:112" s="406" customFormat="1" ht="37.5" customHeight="1" x14ac:dyDescent="0.3">
      <c r="A56" s="946"/>
      <c r="B56" s="430"/>
      <c r="D56" s="492"/>
      <c r="F56" s="946"/>
      <c r="G56" s="946"/>
      <c r="Q56" s="946"/>
      <c r="R56" s="946"/>
      <c r="S56" s="430"/>
      <c r="T56" s="498"/>
      <c r="U56" s="498"/>
      <c r="V56" s="498"/>
      <c r="W56" s="498"/>
      <c r="Y56" s="498"/>
      <c r="Z56" s="498"/>
      <c r="AA56" s="498"/>
      <c r="AB56" s="498"/>
      <c r="AC56" s="498"/>
      <c r="AD56" s="498"/>
      <c r="AE56" s="498"/>
      <c r="AF56" s="498"/>
      <c r="AG56" s="493"/>
      <c r="AH56" s="493"/>
      <c r="AI56" s="493"/>
      <c r="AJ56" s="493"/>
      <c r="AK56" s="493"/>
      <c r="AL56" s="493"/>
      <c r="AM56" s="556"/>
      <c r="AN56" s="430"/>
      <c r="AO56" s="498"/>
      <c r="AP56" s="993"/>
      <c r="AQ56" s="498"/>
      <c r="AR56" s="498"/>
      <c r="AS56" s="430"/>
      <c r="AT56" s="500"/>
      <c r="AU56" s="500"/>
      <c r="AV56" s="498"/>
      <c r="AW56" s="430"/>
      <c r="AX56" s="430"/>
      <c r="AY56" s="430"/>
      <c r="AZ56" s="430"/>
      <c r="BA56" s="430"/>
      <c r="BB56" s="498"/>
      <c r="BC56" s="498"/>
      <c r="BD56" s="498"/>
      <c r="BE56" s="498"/>
      <c r="BF56" s="498"/>
      <c r="BG56" s="498"/>
      <c r="BH56" s="498"/>
      <c r="BI56" s="498"/>
      <c r="BJ56" s="498"/>
      <c r="BK56" s="498"/>
      <c r="BL56" s="498"/>
      <c r="BM56" s="407"/>
      <c r="BN56" s="407"/>
      <c r="BO56" s="407"/>
      <c r="BP56" s="407"/>
      <c r="BQ56" s="407"/>
      <c r="BR56" s="407"/>
      <c r="BW56" s="945"/>
      <c r="DD56" s="946"/>
      <c r="DG56" s="946"/>
      <c r="DH56" s="946"/>
    </row>
    <row r="57" spans="1:112" s="406" customFormat="1" ht="37.5" hidden="1" customHeight="1" x14ac:dyDescent="0.4">
      <c r="A57" s="1007" t="s">
        <v>4864</v>
      </c>
      <c r="B57" s="1007"/>
      <c r="C57" s="1007"/>
      <c r="D57" s="1007"/>
      <c r="F57" s="867"/>
      <c r="G57" s="867"/>
      <c r="Q57" s="867"/>
      <c r="R57" s="867"/>
      <c r="S57" s="430"/>
      <c r="T57" s="498"/>
      <c r="U57" s="498"/>
      <c r="V57" s="498"/>
      <c r="W57" s="498"/>
      <c r="Y57" s="498"/>
      <c r="Z57" s="498"/>
      <c r="AA57" s="498"/>
      <c r="AB57" s="498"/>
      <c r="AC57" s="498"/>
      <c r="AD57" s="498"/>
      <c r="AE57" s="498"/>
      <c r="AF57" s="498"/>
      <c r="AG57" s="493"/>
      <c r="AH57" s="493"/>
      <c r="AI57" s="493"/>
      <c r="AJ57" s="493"/>
      <c r="AK57" s="493"/>
      <c r="AL57" s="493"/>
      <c r="AM57" s="556"/>
      <c r="AN57" s="430"/>
      <c r="AO57" s="498"/>
      <c r="AP57" s="993"/>
      <c r="AQ57" s="498"/>
      <c r="AR57" s="498"/>
      <c r="AS57" s="430"/>
      <c r="AT57" s="500"/>
      <c r="AU57" s="500"/>
      <c r="AV57" s="498"/>
      <c r="AW57" s="430"/>
      <c r="AX57" s="430"/>
      <c r="AY57" s="430"/>
      <c r="AZ57" s="430"/>
      <c r="BA57" s="430"/>
      <c r="BB57" s="498"/>
      <c r="BC57" s="498"/>
      <c r="BD57" s="498"/>
      <c r="BE57" s="498"/>
      <c r="BF57" s="498"/>
      <c r="BG57" s="498"/>
      <c r="BH57" s="498"/>
      <c r="BI57" s="498"/>
      <c r="BJ57" s="498"/>
      <c r="BK57" s="498"/>
      <c r="BL57" s="498"/>
      <c r="BM57" s="407"/>
      <c r="BN57" s="872"/>
      <c r="BO57" s="407"/>
      <c r="BP57" s="407"/>
      <c r="BQ57" s="407"/>
      <c r="BR57" s="407"/>
      <c r="BW57" s="406">
        <f>315.43+1375.69+4920.14+1800</f>
        <v>8411.26</v>
      </c>
      <c r="DD57" s="867"/>
      <c r="DG57" s="867"/>
      <c r="DH57" s="867"/>
    </row>
    <row r="58" spans="1:112" s="406" customFormat="1" ht="37.5" hidden="1" customHeight="1" thickBot="1" x14ac:dyDescent="0.35">
      <c r="A58" s="1007"/>
      <c r="B58" s="1007"/>
      <c r="C58" s="1007"/>
      <c r="D58" s="1007"/>
      <c r="F58" s="867"/>
      <c r="G58" s="867"/>
      <c r="Q58" s="867"/>
      <c r="R58" s="867"/>
      <c r="S58" s="430"/>
      <c r="T58" s="498"/>
      <c r="U58" s="498"/>
      <c r="V58" s="498"/>
      <c r="W58" s="498"/>
      <c r="Y58" s="498"/>
      <c r="Z58" s="498"/>
      <c r="AA58" s="498"/>
      <c r="AB58" s="498"/>
      <c r="AC58" s="498"/>
      <c r="AD58" s="498"/>
      <c r="AE58" s="498"/>
      <c r="AF58" s="498"/>
      <c r="AG58" s="493"/>
      <c r="AH58" s="493"/>
      <c r="AI58" s="493"/>
      <c r="AJ58" s="493"/>
      <c r="AK58" s="493"/>
      <c r="AL58" s="493"/>
      <c r="AM58" s="556"/>
      <c r="AN58" s="430"/>
      <c r="AO58" s="498"/>
      <c r="AP58" s="993"/>
      <c r="AQ58" s="498"/>
      <c r="AR58" s="498"/>
      <c r="AS58" s="430"/>
      <c r="AT58" s="500"/>
      <c r="AU58" s="500"/>
      <c r="AV58" s="498"/>
      <c r="AW58" s="430"/>
      <c r="AX58" s="430"/>
      <c r="AY58" s="430"/>
      <c r="AZ58" s="430"/>
      <c r="BA58" s="430"/>
      <c r="BB58" s="498"/>
      <c r="BC58" s="498"/>
      <c r="BD58" s="498"/>
      <c r="BE58" s="498"/>
      <c r="BF58" s="498"/>
      <c r="BG58" s="498"/>
      <c r="BH58" s="498"/>
      <c r="BI58" s="498"/>
      <c r="BJ58" s="498"/>
      <c r="BK58" s="498"/>
      <c r="BL58" s="498"/>
      <c r="BM58" s="407"/>
      <c r="BN58" s="407"/>
      <c r="BO58" s="407"/>
      <c r="BP58" s="407"/>
      <c r="BQ58" s="407"/>
      <c r="BR58" s="407"/>
      <c r="BW58" s="406">
        <v>16122.4</v>
      </c>
      <c r="DD58" s="867"/>
      <c r="DG58" s="867"/>
      <c r="DH58" s="867"/>
    </row>
    <row r="59" spans="1:112" s="939" customFormat="1" ht="102" hidden="1" customHeight="1" x14ac:dyDescent="0.25">
      <c r="A59" s="928" t="s">
        <v>2835</v>
      </c>
      <c r="B59" s="624">
        <v>7</v>
      </c>
      <c r="C59" s="929">
        <v>16533987</v>
      </c>
      <c r="D59" s="930" t="s">
        <v>4680</v>
      </c>
      <c r="E59" s="931" t="s">
        <v>4635</v>
      </c>
      <c r="F59" s="932">
        <v>30653</v>
      </c>
      <c r="G59" s="931" t="s">
        <v>4633</v>
      </c>
      <c r="H59" s="933">
        <v>44256</v>
      </c>
      <c r="I59" s="934">
        <f>IF(AND(YEAR(H59)&lt;2025,MONTH(H59)&gt;$BB$8),2025-YEAR(H59)-1,IF(OR(H59="",YEAR(H59)&gt;2025),0,2025-YEAR(H59)))</f>
        <v>4</v>
      </c>
      <c r="J59" s="935"/>
      <c r="K59" s="934">
        <f>I59+J59</f>
        <v>4</v>
      </c>
      <c r="L59" s="936"/>
      <c r="M59" s="936"/>
      <c r="N59" s="937" t="s">
        <v>2616</v>
      </c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N59" s="870"/>
      <c r="AO59" s="870"/>
      <c r="AP59" s="994"/>
      <c r="AQ59" s="870"/>
      <c r="AR59" s="870"/>
      <c r="AS59" s="870"/>
      <c r="AT59" s="870"/>
      <c r="AU59" s="870"/>
      <c r="AV59" s="870"/>
      <c r="AW59" s="870"/>
      <c r="AX59" s="870"/>
      <c r="AY59" s="870"/>
      <c r="AZ59" s="870"/>
      <c r="BA59" s="870"/>
      <c r="BB59" s="870"/>
      <c r="BC59" s="870"/>
      <c r="BD59" s="870"/>
      <c r="BE59" s="870"/>
      <c r="BF59" s="870"/>
      <c r="BG59" s="870"/>
      <c r="BH59" s="870"/>
      <c r="BI59" s="870"/>
      <c r="BJ59" s="870"/>
      <c r="BK59" s="870"/>
      <c r="BL59" s="870"/>
      <c r="BM59" s="870"/>
      <c r="BN59" s="870"/>
      <c r="BO59" s="870"/>
      <c r="BP59" s="938"/>
      <c r="BQ59" s="870"/>
      <c r="BR59" s="938"/>
      <c r="BS59" s="429"/>
      <c r="BT59" s="429"/>
      <c r="BU59" s="429"/>
      <c r="BV59" s="429"/>
      <c r="BW59" s="429">
        <f>+BW57+BW58</f>
        <v>24533.66</v>
      </c>
      <c r="BX59" s="429"/>
      <c r="BY59" s="429"/>
      <c r="BZ59" s="429"/>
      <c r="CA59" s="429"/>
      <c r="CB59" s="429"/>
      <c r="CC59" s="429"/>
      <c r="CD59" s="429"/>
      <c r="CE59" s="429"/>
      <c r="CF59" s="429"/>
      <c r="CG59" s="429"/>
      <c r="CH59" s="429"/>
      <c r="CI59" s="429"/>
      <c r="CJ59" s="429"/>
      <c r="CK59" s="429"/>
      <c r="CL59" s="429"/>
      <c r="CM59" s="429"/>
      <c r="CN59" s="429"/>
      <c r="CO59" s="429"/>
      <c r="CP59" s="429"/>
      <c r="CQ59" s="429"/>
      <c r="CR59" s="429"/>
      <c r="CS59" s="429"/>
      <c r="DD59" s="940"/>
      <c r="DG59" s="940"/>
      <c r="DH59" s="940"/>
    </row>
    <row r="60" spans="1:112" s="406" customFormat="1" ht="37.5" customHeight="1" x14ac:dyDescent="0.3">
      <c r="A60" s="867"/>
      <c r="B60" s="430"/>
      <c r="D60" s="492"/>
      <c r="F60" s="867"/>
      <c r="G60" s="867"/>
      <c r="Q60" s="867"/>
      <c r="R60" s="867"/>
      <c r="S60" s="430"/>
      <c r="T60" s="498"/>
      <c r="U60" s="498"/>
      <c r="V60" s="498"/>
      <c r="W60" s="498"/>
      <c r="Y60" s="498"/>
      <c r="Z60" s="498"/>
      <c r="AA60" s="498"/>
      <c r="AB60" s="498"/>
      <c r="AC60" s="498"/>
      <c r="AD60" s="498"/>
      <c r="AE60" s="498"/>
      <c r="AF60" s="498"/>
      <c r="AG60" s="493"/>
      <c r="AH60" s="493"/>
      <c r="AI60" s="493"/>
      <c r="AJ60" s="493"/>
      <c r="AK60" s="493"/>
      <c r="AL60" s="493"/>
      <c r="AM60" s="556"/>
      <c r="AN60" s="430"/>
      <c r="AO60" s="498"/>
      <c r="AP60" s="993"/>
      <c r="AQ60" s="498"/>
      <c r="AR60" s="498"/>
      <c r="AS60" s="430"/>
      <c r="AT60" s="500"/>
      <c r="AU60" s="500"/>
      <c r="AV60" s="498"/>
      <c r="AW60" s="430"/>
      <c r="AX60" s="430"/>
      <c r="AY60" s="430"/>
      <c r="AZ60" s="430"/>
      <c r="BA60" s="430"/>
      <c r="BB60" s="498"/>
      <c r="BC60" s="498"/>
      <c r="BD60" s="498"/>
      <c r="BE60" s="498"/>
      <c r="BF60" s="498"/>
      <c r="BG60" s="498"/>
      <c r="BH60" s="498"/>
      <c r="BI60" s="498"/>
      <c r="BJ60" s="498"/>
      <c r="BK60" s="498"/>
      <c r="BM60" s="407"/>
      <c r="BN60" s="407"/>
      <c r="BO60" s="407"/>
      <c r="BP60" s="407"/>
      <c r="BQ60" s="407"/>
      <c r="BR60" s="407"/>
      <c r="DD60" s="867"/>
      <c r="DG60" s="867"/>
      <c r="DH60" s="867"/>
    </row>
    <row r="61" spans="1:112" s="406" customFormat="1" ht="37.5" customHeight="1" x14ac:dyDescent="0.5">
      <c r="A61" s="867"/>
      <c r="B61" s="430"/>
      <c r="D61" s="492"/>
      <c r="F61" s="867"/>
      <c r="G61" s="867"/>
      <c r="Q61" s="867"/>
      <c r="R61" s="867"/>
      <c r="S61" s="430"/>
      <c r="T61" s="498"/>
      <c r="U61" s="498"/>
      <c r="V61" s="498"/>
      <c r="W61" s="498"/>
      <c r="Y61" s="498"/>
      <c r="Z61" s="498"/>
      <c r="AA61" s="498"/>
      <c r="AB61" s="498"/>
      <c r="AC61" s="498"/>
      <c r="AD61" s="498"/>
      <c r="AE61" s="498"/>
      <c r="AF61" s="498"/>
      <c r="AG61" s="493"/>
      <c r="AH61" s="493"/>
      <c r="AI61" s="493"/>
      <c r="AJ61" s="493"/>
      <c r="AK61" s="493"/>
      <c r="AL61" s="493"/>
      <c r="AM61" s="556"/>
      <c r="AN61" s="430"/>
      <c r="AO61" s="498"/>
      <c r="AP61" s="993"/>
      <c r="AQ61" s="498"/>
      <c r="AR61" s="498"/>
      <c r="AS61" s="430"/>
      <c r="AT61" s="500"/>
      <c r="AU61" s="500"/>
      <c r="AV61" s="498"/>
      <c r="AW61" s="430"/>
      <c r="AX61" s="430"/>
      <c r="AY61" s="430"/>
      <c r="AZ61" s="430"/>
      <c r="BA61" s="430"/>
      <c r="BB61" s="498"/>
      <c r="BC61" s="498"/>
      <c r="BD61" s="498"/>
      <c r="BE61" s="498"/>
      <c r="BF61" s="498"/>
      <c r="BG61" s="498"/>
      <c r="BH61" s="498"/>
      <c r="BI61" s="498"/>
      <c r="BJ61" s="498"/>
      <c r="BK61" s="498"/>
      <c r="BL61" s="498"/>
      <c r="BM61" s="407"/>
      <c r="BN61" s="407"/>
      <c r="BO61" s="407"/>
      <c r="BP61" s="407"/>
      <c r="BQ61" s="407"/>
      <c r="BR61" s="407"/>
      <c r="BS61" s="926"/>
      <c r="BT61" s="927"/>
      <c r="DD61" s="867"/>
      <c r="DG61" s="867"/>
      <c r="DH61" s="867"/>
    </row>
    <row r="62" spans="1:112" s="406" customFormat="1" ht="37.5" customHeight="1" x14ac:dyDescent="0.45">
      <c r="A62" s="867"/>
      <c r="B62" s="430"/>
      <c r="D62" s="492"/>
      <c r="F62" s="867"/>
      <c r="G62" s="867"/>
      <c r="Q62" s="867"/>
      <c r="R62" s="867"/>
      <c r="S62" s="430"/>
      <c r="T62" s="498"/>
      <c r="U62" s="498"/>
      <c r="V62" s="498"/>
      <c r="W62" s="498"/>
      <c r="Y62" s="498"/>
      <c r="Z62" s="498"/>
      <c r="AA62" s="498"/>
      <c r="AB62" s="498"/>
      <c r="AC62" s="498"/>
      <c r="AD62" s="498"/>
      <c r="AE62" s="498"/>
      <c r="AF62" s="498"/>
      <c r="AG62" s="493"/>
      <c r="AH62" s="493"/>
      <c r="AI62" s="493"/>
      <c r="AJ62" s="493"/>
      <c r="AK62" s="493"/>
      <c r="AL62" s="493"/>
      <c r="AM62" s="556"/>
      <c r="AN62" s="430"/>
      <c r="AO62" s="498"/>
      <c r="AP62" s="993"/>
      <c r="AQ62" s="498"/>
      <c r="AR62" s="498"/>
      <c r="AS62" s="430"/>
      <c r="AT62" s="500"/>
      <c r="AU62" s="500"/>
      <c r="AV62" s="498"/>
      <c r="AW62" s="430"/>
      <c r="AX62" s="430"/>
      <c r="AY62" s="430"/>
      <c r="AZ62" s="430"/>
      <c r="BA62" s="430"/>
      <c r="BB62" s="498"/>
      <c r="BC62" s="498"/>
      <c r="BD62" s="498"/>
      <c r="BE62" s="498"/>
      <c r="BF62" s="498"/>
      <c r="BG62" s="498"/>
      <c r="BH62" s="498"/>
      <c r="BI62" s="498"/>
      <c r="BJ62" s="498"/>
      <c r="BK62" s="498"/>
      <c r="BL62" s="498"/>
      <c r="BM62" s="407"/>
      <c r="BN62" s="407"/>
      <c r="BO62" s="407"/>
      <c r="BP62" s="407"/>
      <c r="BQ62" s="407"/>
      <c r="BR62" s="407"/>
      <c r="BS62" s="919"/>
      <c r="DD62" s="867"/>
      <c r="DG62" s="867"/>
      <c r="DH62" s="867"/>
    </row>
    <row r="63" spans="1:112" s="406" customFormat="1" ht="37.5" hidden="1" customHeight="1" x14ac:dyDescent="0.3">
      <c r="A63" s="867"/>
      <c r="B63" s="430"/>
      <c r="D63" s="492"/>
      <c r="F63" s="867"/>
      <c r="G63" s="867"/>
      <c r="Q63" s="867"/>
      <c r="R63" s="867"/>
      <c r="S63" s="430"/>
      <c r="T63" s="498"/>
      <c r="U63" s="498"/>
      <c r="V63" s="498"/>
      <c r="W63" s="498"/>
      <c r="Y63" s="498"/>
      <c r="Z63" s="498"/>
      <c r="AA63" s="498"/>
      <c r="AB63" s="498"/>
      <c r="AC63" s="498"/>
      <c r="AD63" s="498"/>
      <c r="AE63" s="498"/>
      <c r="AF63" s="498"/>
      <c r="AG63" s="493"/>
      <c r="AH63" s="493"/>
      <c r="AI63" s="493"/>
      <c r="AJ63" s="493"/>
      <c r="AK63" s="493"/>
      <c r="AL63" s="493"/>
      <c r="AM63" s="556"/>
      <c r="AN63" s="430"/>
      <c r="AO63" s="498"/>
      <c r="AP63" s="993"/>
      <c r="AQ63" s="498"/>
      <c r="AR63" s="498"/>
      <c r="AS63" s="430"/>
      <c r="AT63" s="500"/>
      <c r="AU63" s="500"/>
      <c r="AV63" s="498"/>
      <c r="AW63" s="430"/>
      <c r="AX63" s="430"/>
      <c r="AY63" s="430"/>
      <c r="AZ63" s="430"/>
      <c r="BA63" s="430"/>
      <c r="BB63" s="498"/>
      <c r="BC63" s="498"/>
      <c r="BD63" s="498"/>
      <c r="BE63" s="498"/>
      <c r="BF63" s="498"/>
      <c r="BG63" s="498"/>
      <c r="BH63" s="498"/>
      <c r="BI63" s="498"/>
      <c r="BJ63" s="498"/>
      <c r="BK63" s="498"/>
      <c r="BL63" s="498"/>
      <c r="BM63" s="407"/>
      <c r="BN63" s="407"/>
      <c r="BO63" s="407"/>
      <c r="BP63" s="407"/>
      <c r="BQ63" s="407"/>
      <c r="BR63" s="407"/>
      <c r="BT63" s="441"/>
      <c r="BU63" s="913"/>
      <c r="BV63" s="441"/>
      <c r="BW63" s="441"/>
      <c r="BX63" s="441"/>
      <c r="BY63" s="441"/>
      <c r="BZ63" s="441"/>
      <c r="CA63" s="441"/>
      <c r="CB63" s="441"/>
      <c r="CC63" s="441"/>
      <c r="CD63" s="407"/>
      <c r="CE63" s="407"/>
      <c r="CG63" s="407"/>
      <c r="CH63" s="407"/>
      <c r="CI63" s="407"/>
      <c r="DD63" s="867"/>
      <c r="DG63" s="867"/>
      <c r="DH63" s="867"/>
    </row>
    <row r="64" spans="1:112" s="406" customFormat="1" ht="33" hidden="1" customHeight="1" x14ac:dyDescent="0.5">
      <c r="A64" s="555"/>
      <c r="B64" s="430"/>
      <c r="D64" s="492"/>
      <c r="F64" s="555"/>
      <c r="G64" s="555"/>
      <c r="Q64" s="555"/>
      <c r="R64" s="555"/>
      <c r="S64" s="430"/>
      <c r="T64" s="498"/>
      <c r="U64" s="498"/>
      <c r="V64" s="498"/>
      <c r="W64" s="498"/>
      <c r="Y64" s="498"/>
      <c r="Z64" s="498"/>
      <c r="AA64" s="498"/>
      <c r="AB64" s="498"/>
      <c r="AC64" s="498"/>
      <c r="AD64" s="498"/>
      <c r="AE64" s="498"/>
      <c r="AF64" s="498"/>
      <c r="AG64" s="493"/>
      <c r="AH64" s="493"/>
      <c r="AI64" s="493"/>
      <c r="AJ64" s="493"/>
      <c r="AK64" s="493"/>
      <c r="AL64" s="493"/>
      <c r="AM64" s="556"/>
      <c r="AN64" s="430"/>
      <c r="AO64" s="498"/>
      <c r="AP64" s="993"/>
      <c r="AQ64" s="498"/>
      <c r="AR64" s="498"/>
      <c r="AS64" s="430"/>
      <c r="AT64" s="500"/>
      <c r="AU64" s="500"/>
      <c r="AV64" s="498"/>
      <c r="AW64" s="430"/>
      <c r="AX64" s="430"/>
      <c r="AY64" s="430"/>
      <c r="AZ64" s="430"/>
      <c r="BA64" s="430"/>
      <c r="BB64" s="498"/>
      <c r="BC64" s="498"/>
      <c r="BD64" s="498"/>
      <c r="BE64" s="498"/>
      <c r="BF64" s="498"/>
      <c r="BG64" s="498"/>
      <c r="BH64" s="682" t="s">
        <v>4861</v>
      </c>
      <c r="BI64" s="682"/>
      <c r="BJ64" s="682"/>
      <c r="BK64" s="682"/>
      <c r="BL64" s="926">
        <f>W40+AD40-BA40</f>
        <v>2779.5700000000006</v>
      </c>
      <c r="BM64" s="407">
        <v>25</v>
      </c>
      <c r="BN64" s="407">
        <f>+BL64+BM64</f>
        <v>2804.5700000000006</v>
      </c>
      <c r="BO64" s="407"/>
      <c r="BP64" s="407"/>
      <c r="BQ64" s="407"/>
      <c r="BR64" s="407"/>
      <c r="BS64" s="441"/>
      <c r="BT64" s="441"/>
      <c r="BU64" s="913"/>
      <c r="BV64" s="441"/>
      <c r="BW64" s="441"/>
      <c r="BX64" s="441"/>
      <c r="BY64" s="441"/>
      <c r="BZ64" s="441"/>
      <c r="CA64" s="441"/>
      <c r="CB64" s="441"/>
      <c r="CC64" s="441"/>
      <c r="CD64" s="407"/>
      <c r="CE64" s="407"/>
      <c r="CG64" s="407"/>
      <c r="CH64" s="407"/>
      <c r="CI64" s="407"/>
      <c r="DD64" s="555"/>
      <c r="DG64" s="555"/>
      <c r="DH64" s="555"/>
    </row>
    <row r="65" spans="1:112" s="406" customFormat="1" ht="33" hidden="1" customHeight="1" x14ac:dyDescent="0.5">
      <c r="A65" s="867"/>
      <c r="B65" s="430"/>
      <c r="D65" s="492"/>
      <c r="F65" s="867"/>
      <c r="G65" s="867"/>
      <c r="Q65" s="867"/>
      <c r="R65" s="867"/>
      <c r="S65" s="430"/>
      <c r="T65" s="498"/>
      <c r="U65" s="498"/>
      <c r="V65" s="498"/>
      <c r="W65" s="498"/>
      <c r="Y65" s="498"/>
      <c r="Z65" s="498"/>
      <c r="AA65" s="498"/>
      <c r="AB65" s="498"/>
      <c r="AC65" s="498"/>
      <c r="AD65" s="498"/>
      <c r="AE65" s="498"/>
      <c r="AF65" s="498"/>
      <c r="AG65" s="493"/>
      <c r="AH65" s="493"/>
      <c r="AI65" s="493"/>
      <c r="AJ65" s="493"/>
      <c r="AK65" s="493"/>
      <c r="AL65" s="493"/>
      <c r="AM65" s="556"/>
      <c r="AN65" s="430"/>
      <c r="AO65" s="498"/>
      <c r="AP65" s="993"/>
      <c r="AQ65" s="498"/>
      <c r="AR65" s="498"/>
      <c r="AS65" s="430"/>
      <c r="AT65" s="500"/>
      <c r="AU65" s="500"/>
      <c r="AV65" s="498"/>
      <c r="AW65" s="430"/>
      <c r="AX65" s="430"/>
      <c r="AY65" s="430"/>
      <c r="AZ65" s="430"/>
      <c r="BA65" s="430"/>
      <c r="BB65" s="498"/>
      <c r="BC65" s="498"/>
      <c r="BD65" s="498"/>
      <c r="BE65" s="498"/>
      <c r="BF65" s="498"/>
      <c r="BG65" s="498"/>
      <c r="BH65" s="682" t="s">
        <v>4862</v>
      </c>
      <c r="BI65" s="682"/>
      <c r="BJ65" s="682"/>
      <c r="BK65" s="682"/>
      <c r="BL65" s="926">
        <f>W40+AE40</f>
        <v>2998.5200000000004</v>
      </c>
      <c r="BM65" s="407"/>
      <c r="BN65" s="407"/>
      <c r="BO65" s="407"/>
      <c r="BP65" s="407"/>
      <c r="BQ65" s="407"/>
      <c r="BR65" s="407"/>
      <c r="BS65" s="441"/>
      <c r="BT65" s="441"/>
      <c r="BU65" s="913"/>
      <c r="BV65" s="441"/>
      <c r="BW65" s="441"/>
      <c r="BX65" s="441"/>
      <c r="BY65" s="441"/>
      <c r="BZ65" s="441"/>
      <c r="CA65" s="441"/>
      <c r="CB65" s="441"/>
      <c r="CC65" s="441"/>
      <c r="CD65" s="407"/>
      <c r="CE65" s="407"/>
      <c r="CG65" s="407"/>
      <c r="CH65" s="407"/>
      <c r="CI65" s="407"/>
      <c r="DD65" s="867"/>
      <c r="DG65" s="867"/>
      <c r="DH65" s="867"/>
    </row>
    <row r="66" spans="1:112" s="406" customFormat="1" ht="33" customHeight="1" x14ac:dyDescent="0.3">
      <c r="A66" s="867"/>
      <c r="B66" s="430"/>
      <c r="D66" s="492"/>
      <c r="F66" s="867"/>
      <c r="G66" s="867"/>
      <c r="Q66" s="867"/>
      <c r="R66" s="867"/>
      <c r="S66" s="430"/>
      <c r="T66" s="498"/>
      <c r="U66" s="498"/>
      <c r="V66" s="498"/>
      <c r="W66" s="498"/>
      <c r="Y66" s="498"/>
      <c r="Z66" s="498"/>
      <c r="AA66" s="498"/>
      <c r="AB66" s="498"/>
      <c r="AC66" s="498"/>
      <c r="AD66" s="498"/>
      <c r="AE66" s="498"/>
      <c r="AF66" s="498"/>
      <c r="AG66" s="493"/>
      <c r="AH66" s="493"/>
      <c r="AI66" s="493"/>
      <c r="AJ66" s="493"/>
      <c r="AK66" s="493"/>
      <c r="AL66" s="493"/>
      <c r="AM66" s="556"/>
      <c r="AN66" s="430"/>
      <c r="AO66" s="498"/>
      <c r="AP66" s="993"/>
      <c r="AQ66" s="498"/>
      <c r="AR66" s="498"/>
      <c r="AS66" s="430"/>
      <c r="AT66" s="500"/>
      <c r="AU66" s="500"/>
      <c r="AV66" s="498"/>
      <c r="AW66" s="430"/>
      <c r="AX66" s="430"/>
      <c r="AY66" s="430"/>
      <c r="AZ66" s="430"/>
      <c r="BA66" s="430"/>
      <c r="BB66" s="498"/>
      <c r="BC66" s="498"/>
      <c r="BD66" s="498"/>
      <c r="BE66" s="498"/>
      <c r="BF66" s="498"/>
      <c r="BG66" s="498"/>
      <c r="BH66" s="498"/>
      <c r="BI66" s="498"/>
      <c r="BJ66" s="498"/>
      <c r="BK66" s="498"/>
      <c r="BL66" s="498"/>
      <c r="BM66" s="407"/>
      <c r="BN66" s="407"/>
      <c r="BO66" s="407"/>
      <c r="BP66" s="407"/>
      <c r="BQ66" s="407"/>
      <c r="BR66" s="407"/>
      <c r="BS66" s="441"/>
      <c r="BT66" s="441"/>
      <c r="BU66" s="913"/>
      <c r="BV66" s="441"/>
      <c r="BW66" s="441"/>
      <c r="BX66" s="441"/>
      <c r="BY66" s="441"/>
      <c r="BZ66" s="441"/>
      <c r="CA66" s="441"/>
      <c r="CB66" s="441"/>
      <c r="CC66" s="441"/>
      <c r="CD66" s="407"/>
      <c r="CE66" s="407"/>
      <c r="CG66" s="407"/>
      <c r="CH66" s="407"/>
      <c r="CI66" s="407"/>
      <c r="DD66" s="867"/>
      <c r="DG66" s="867"/>
      <c r="DH66" s="867"/>
    </row>
    <row r="67" spans="1:112" s="406" customFormat="1" ht="33" customHeight="1" x14ac:dyDescent="0.3">
      <c r="A67" s="867"/>
      <c r="B67" s="430"/>
      <c r="D67" s="492"/>
      <c r="F67" s="867"/>
      <c r="G67" s="867"/>
      <c r="Q67" s="867"/>
      <c r="R67" s="867"/>
      <c r="S67" s="430"/>
      <c r="T67" s="498"/>
      <c r="U67" s="498"/>
      <c r="V67" s="498"/>
      <c r="W67" s="498"/>
      <c r="Y67" s="498"/>
      <c r="Z67" s="498"/>
      <c r="AA67" s="498"/>
      <c r="AB67" s="498"/>
      <c r="AC67" s="498"/>
      <c r="AD67" s="498"/>
      <c r="AE67" s="498"/>
      <c r="AF67" s="498"/>
      <c r="AG67" s="493"/>
      <c r="AH67" s="493"/>
      <c r="AI67" s="493"/>
      <c r="AJ67" s="493"/>
      <c r="AK67" s="493"/>
      <c r="AL67" s="493"/>
      <c r="AM67" s="556"/>
      <c r="AN67" s="430"/>
      <c r="AO67" s="498"/>
      <c r="AP67" s="993"/>
      <c r="AQ67" s="498"/>
      <c r="AR67" s="498"/>
      <c r="AS67" s="430"/>
      <c r="AT67" s="500"/>
      <c r="AU67" s="500"/>
      <c r="AV67" s="498"/>
      <c r="AW67" s="430"/>
      <c r="AX67" s="430"/>
      <c r="AY67" s="430"/>
      <c r="AZ67" s="430"/>
      <c r="BA67" s="430"/>
      <c r="BB67" s="498"/>
      <c r="BC67" s="498"/>
      <c r="BD67" s="498"/>
      <c r="BE67" s="498"/>
      <c r="BF67" s="498"/>
      <c r="BG67" s="498"/>
      <c r="BH67" s="498"/>
      <c r="BI67" s="498"/>
      <c r="BJ67" s="498"/>
      <c r="BK67" s="498"/>
      <c r="BL67" s="498"/>
      <c r="BM67" s="407"/>
      <c r="BN67" s="407"/>
      <c r="BO67" s="407"/>
      <c r="BP67" s="407"/>
      <c r="BQ67" s="407"/>
      <c r="BR67" s="407"/>
      <c r="BS67" s="441"/>
      <c r="BT67" s="441"/>
      <c r="BU67" s="913"/>
      <c r="BV67" s="441"/>
      <c r="BW67" s="441"/>
      <c r="BX67" s="441"/>
      <c r="BY67" s="441"/>
      <c r="BZ67" s="441"/>
      <c r="CA67" s="441"/>
      <c r="CB67" s="441"/>
      <c r="CC67" s="441"/>
      <c r="CD67" s="407"/>
      <c r="CE67" s="407"/>
      <c r="CG67" s="407"/>
      <c r="CH67" s="407"/>
      <c r="CI67" s="407"/>
      <c r="DD67" s="867"/>
      <c r="DG67" s="867"/>
      <c r="DH67" s="867"/>
    </row>
    <row r="68" spans="1:112" s="406" customFormat="1" ht="33" customHeight="1" x14ac:dyDescent="0.3">
      <c r="A68" s="867"/>
      <c r="B68" s="430"/>
      <c r="D68" s="492"/>
      <c r="F68" s="867"/>
      <c r="G68" s="867"/>
      <c r="Q68" s="867"/>
      <c r="R68" s="867"/>
      <c r="S68" s="430"/>
      <c r="T68" s="498"/>
      <c r="U68" s="498"/>
      <c r="V68" s="498"/>
      <c r="W68" s="498"/>
      <c r="Y68" s="498"/>
      <c r="Z68" s="498"/>
      <c r="AA68" s="498"/>
      <c r="AB68" s="498"/>
      <c r="AC68" s="498"/>
      <c r="AD68" s="498"/>
      <c r="AE68" s="498"/>
      <c r="AF68" s="498"/>
      <c r="AG68" s="493"/>
      <c r="AH68" s="493"/>
      <c r="AI68" s="493"/>
      <c r="AJ68" s="493"/>
      <c r="AK68" s="493"/>
      <c r="AL68" s="493"/>
      <c r="AM68" s="556"/>
      <c r="AN68" s="430"/>
      <c r="AO68" s="498"/>
      <c r="AP68" s="993"/>
      <c r="AQ68" s="498"/>
      <c r="AR68" s="498"/>
      <c r="AS68" s="430"/>
      <c r="AT68" s="500"/>
      <c r="AU68" s="500"/>
      <c r="AV68" s="498"/>
      <c r="AW68" s="430"/>
      <c r="AX68" s="430"/>
      <c r="AY68" s="430"/>
      <c r="AZ68" s="430"/>
      <c r="BA68" s="430"/>
      <c r="BB68" s="498"/>
      <c r="BC68" s="498"/>
      <c r="BD68" s="498"/>
      <c r="BE68" s="498"/>
      <c r="BF68" s="498"/>
      <c r="BG68" s="498"/>
      <c r="BH68" s="498"/>
      <c r="BI68" s="498"/>
      <c r="BJ68" s="498"/>
      <c r="BK68" s="498"/>
      <c r="BL68" s="498"/>
      <c r="BM68" s="407"/>
      <c r="BN68" s="407"/>
      <c r="BO68" s="407"/>
      <c r="BP68" s="407"/>
      <c r="BQ68" s="407"/>
      <c r="BR68" s="407"/>
      <c r="BS68" s="441"/>
      <c r="BT68" s="441"/>
      <c r="BU68" s="913"/>
      <c r="BV68" s="441"/>
      <c r="BW68" s="441"/>
      <c r="BX68" s="441"/>
      <c r="BY68" s="441"/>
      <c r="BZ68" s="441"/>
      <c r="CA68" s="441"/>
      <c r="CB68" s="441"/>
      <c r="CC68" s="441"/>
      <c r="CD68" s="407"/>
      <c r="CE68" s="407"/>
      <c r="CG68" s="407"/>
      <c r="CH68" s="407"/>
      <c r="CI68" s="407"/>
      <c r="DD68" s="867"/>
      <c r="DG68" s="867"/>
      <c r="DH68" s="867"/>
    </row>
    <row r="69" spans="1:112" s="406" customFormat="1" ht="33" customHeight="1" x14ac:dyDescent="0.3">
      <c r="A69" s="867"/>
      <c r="B69" s="430"/>
      <c r="D69" s="492"/>
      <c r="F69" s="867"/>
      <c r="G69" s="867"/>
      <c r="Q69" s="867"/>
      <c r="R69" s="867"/>
      <c r="S69" s="430"/>
      <c r="T69" s="498"/>
      <c r="U69" s="498"/>
      <c r="V69" s="498"/>
      <c r="W69" s="498"/>
      <c r="Y69" s="498"/>
      <c r="Z69" s="498"/>
      <c r="AA69" s="498"/>
      <c r="AB69" s="498"/>
      <c r="AC69" s="498"/>
      <c r="AD69" s="498"/>
      <c r="AE69" s="498"/>
      <c r="AF69" s="498"/>
      <c r="AG69" s="493"/>
      <c r="AH69" s="493"/>
      <c r="AI69" s="493"/>
      <c r="AJ69" s="493"/>
      <c r="AK69" s="493"/>
      <c r="AL69" s="493"/>
      <c r="AM69" s="556"/>
      <c r="AN69" s="430"/>
      <c r="AO69" s="498"/>
      <c r="AP69" s="993"/>
      <c r="AQ69" s="498"/>
      <c r="AR69" s="498"/>
      <c r="AS69" s="430"/>
      <c r="AT69" s="500"/>
      <c r="AU69" s="500"/>
      <c r="AV69" s="498"/>
      <c r="AW69" s="430"/>
      <c r="AX69" s="430"/>
      <c r="AY69" s="430"/>
      <c r="AZ69" s="430"/>
      <c r="BA69" s="430"/>
      <c r="BB69" s="498"/>
      <c r="BC69" s="498"/>
      <c r="BD69" s="498"/>
      <c r="BE69" s="498"/>
      <c r="BF69" s="498"/>
      <c r="BG69" s="498"/>
      <c r="BH69" s="498"/>
      <c r="BI69" s="498"/>
      <c r="BJ69" s="498"/>
      <c r="BK69" s="498"/>
      <c r="BL69" s="498"/>
      <c r="BM69" s="407"/>
      <c r="BN69" s="407"/>
      <c r="BO69" s="407"/>
      <c r="BP69" s="407"/>
      <c r="BQ69" s="407"/>
      <c r="BR69" s="407"/>
      <c r="BS69" s="441"/>
      <c r="BT69" s="441"/>
      <c r="BU69" s="913"/>
      <c r="BV69" s="441"/>
      <c r="BW69" s="441"/>
      <c r="BX69" s="441"/>
      <c r="BY69" s="441"/>
      <c r="BZ69" s="441"/>
      <c r="CA69" s="441"/>
      <c r="CB69" s="441"/>
      <c r="CC69" s="441"/>
      <c r="CD69" s="407"/>
      <c r="CE69" s="407"/>
      <c r="CG69" s="407"/>
      <c r="CH69" s="407"/>
      <c r="CI69" s="407"/>
      <c r="DD69" s="867"/>
      <c r="DG69" s="867"/>
      <c r="DH69" s="867"/>
    </row>
    <row r="70" spans="1:112" s="406" customFormat="1" ht="33" customHeight="1" x14ac:dyDescent="0.3">
      <c r="A70" s="867"/>
      <c r="B70" s="430"/>
      <c r="D70" s="492"/>
      <c r="F70" s="867"/>
      <c r="G70" s="867"/>
      <c r="Q70" s="867"/>
      <c r="R70" s="867"/>
      <c r="S70" s="430"/>
      <c r="T70" s="498"/>
      <c r="U70" s="498"/>
      <c r="V70" s="498"/>
      <c r="W70" s="498"/>
      <c r="Y70" s="498"/>
      <c r="Z70" s="498"/>
      <c r="AA70" s="498"/>
      <c r="AB70" s="498"/>
      <c r="AC70" s="498"/>
      <c r="AD70" s="498"/>
      <c r="AE70" s="498"/>
      <c r="AF70" s="498"/>
      <c r="AG70" s="493"/>
      <c r="AH70" s="493"/>
      <c r="AI70" s="493"/>
      <c r="AJ70" s="493"/>
      <c r="AK70" s="493"/>
      <c r="AL70" s="493"/>
      <c r="AM70" s="556"/>
      <c r="AN70" s="430"/>
      <c r="AO70" s="498"/>
      <c r="AP70" s="993"/>
      <c r="AQ70" s="498"/>
      <c r="AR70" s="498"/>
      <c r="AS70" s="430"/>
      <c r="AT70" s="500"/>
      <c r="AU70" s="500"/>
      <c r="AV70" s="498"/>
      <c r="AW70" s="430"/>
      <c r="AX70" s="430"/>
      <c r="AY70" s="430"/>
      <c r="AZ70" s="430"/>
      <c r="BA70" s="430"/>
      <c r="BB70" s="498"/>
      <c r="BC70" s="498"/>
      <c r="BD70" s="498"/>
      <c r="BE70" s="498"/>
      <c r="BF70" s="498"/>
      <c r="BG70" s="498"/>
      <c r="BH70" s="498"/>
      <c r="BI70" s="498"/>
      <c r="BJ70" s="498"/>
      <c r="BK70" s="498"/>
      <c r="BL70" s="498"/>
      <c r="BM70" s="407"/>
      <c r="BN70" s="407"/>
      <c r="BO70" s="407"/>
      <c r="BP70" s="407"/>
      <c r="BQ70" s="407"/>
      <c r="BR70" s="407"/>
      <c r="BS70" s="441"/>
      <c r="BT70" s="441"/>
      <c r="BU70" s="913"/>
      <c r="BV70" s="441"/>
      <c r="BW70" s="441"/>
      <c r="BX70" s="441"/>
      <c r="BY70" s="441"/>
      <c r="BZ70" s="441"/>
      <c r="CA70" s="441"/>
      <c r="CB70" s="441"/>
      <c r="CC70" s="441"/>
      <c r="CD70" s="407"/>
      <c r="CE70" s="407"/>
      <c r="CG70" s="407"/>
      <c r="CH70" s="407"/>
      <c r="CI70" s="407"/>
      <c r="DD70" s="867"/>
      <c r="DG70" s="867"/>
      <c r="DH70" s="867"/>
    </row>
    <row r="71" spans="1:112" s="406" customFormat="1" ht="33" customHeight="1" x14ac:dyDescent="0.3">
      <c r="A71" s="555"/>
      <c r="B71" s="430"/>
      <c r="D71" s="492"/>
      <c r="F71" s="555"/>
      <c r="G71" s="555"/>
      <c r="Q71" s="555"/>
      <c r="R71" s="555"/>
      <c r="S71" s="430"/>
      <c r="T71" s="498"/>
      <c r="U71" s="498"/>
      <c r="V71" s="498"/>
      <c r="W71" s="498"/>
      <c r="Y71" s="498"/>
      <c r="Z71" s="498"/>
      <c r="AA71" s="498"/>
      <c r="AB71" s="498"/>
      <c r="AC71" s="498"/>
      <c r="AD71" s="498"/>
      <c r="AE71" s="498"/>
      <c r="AF71" s="498"/>
      <c r="AG71" s="493"/>
      <c r="AH71" s="493"/>
      <c r="AI71" s="493"/>
      <c r="AJ71" s="493"/>
      <c r="AK71" s="493"/>
      <c r="AL71" s="493"/>
      <c r="AM71" s="556"/>
      <c r="AN71" s="430"/>
      <c r="AO71" s="498"/>
      <c r="AP71" s="993"/>
      <c r="AQ71" s="498"/>
      <c r="AR71" s="498"/>
      <c r="AS71" s="430"/>
      <c r="AT71" s="500"/>
      <c r="AU71" s="500"/>
      <c r="AV71" s="498"/>
      <c r="AW71" s="430"/>
      <c r="AX71" s="430"/>
      <c r="AY71" s="430"/>
      <c r="AZ71" s="430"/>
      <c r="BA71" s="430"/>
      <c r="BB71" s="498"/>
      <c r="BC71" s="498"/>
      <c r="BD71" s="498"/>
      <c r="BE71" s="498"/>
      <c r="BF71" s="498"/>
      <c r="BG71" s="498"/>
      <c r="BH71" s="498"/>
      <c r="BI71" s="498"/>
      <c r="BJ71" s="498"/>
      <c r="BK71" s="498"/>
      <c r="BL71" s="498"/>
      <c r="BM71" s="407"/>
      <c r="BN71" s="407"/>
      <c r="BO71" s="407"/>
      <c r="BP71" s="407"/>
      <c r="BQ71" s="407"/>
      <c r="BR71" s="407"/>
      <c r="BS71" s="441"/>
      <c r="BT71" s="441"/>
      <c r="BU71" s="913"/>
      <c r="BV71" s="441"/>
      <c r="BW71" s="441"/>
      <c r="BX71" s="441"/>
      <c r="BY71" s="441"/>
      <c r="BZ71" s="441"/>
      <c r="CA71" s="441"/>
      <c r="CB71" s="441"/>
      <c r="CC71" s="441"/>
      <c r="CD71" s="407"/>
      <c r="CE71" s="407"/>
      <c r="CG71" s="407"/>
      <c r="CH71" s="407"/>
      <c r="CI71" s="407"/>
      <c r="DD71" s="555"/>
      <c r="DG71" s="555"/>
      <c r="DH71" s="555"/>
    </row>
    <row r="72" spans="1:112" s="406" customFormat="1" ht="33" hidden="1" customHeight="1" x14ac:dyDescent="0.3">
      <c r="A72" s="408"/>
      <c r="B72" s="430"/>
      <c r="D72" s="492"/>
      <c r="F72" s="540"/>
      <c r="G72" s="408"/>
      <c r="Q72" s="408"/>
      <c r="R72" s="408"/>
      <c r="S72" s="430"/>
      <c r="T72" s="498"/>
      <c r="U72" s="498"/>
      <c r="V72" s="498"/>
      <c r="W72" s="498"/>
      <c r="Y72" s="498"/>
      <c r="Z72" s="498"/>
      <c r="AA72" s="498"/>
      <c r="AB72" s="498"/>
      <c r="AC72" s="498"/>
      <c r="AD72" s="498"/>
      <c r="AE72" s="498"/>
      <c r="AF72" s="498"/>
      <c r="AG72" s="493"/>
      <c r="AH72" s="493"/>
      <c r="AI72" s="493"/>
      <c r="AJ72" s="493"/>
      <c r="AK72" s="493"/>
      <c r="AL72" s="493"/>
      <c r="AM72" s="430"/>
      <c r="AN72" s="430"/>
      <c r="AO72" s="498"/>
      <c r="AP72" s="993"/>
      <c r="AQ72" s="498"/>
      <c r="AR72" s="498"/>
      <c r="AS72" s="430"/>
      <c r="AT72" s="500"/>
      <c r="AU72" s="500"/>
      <c r="AV72" s="498"/>
      <c r="AW72" s="430"/>
      <c r="AX72" s="430"/>
      <c r="AY72" s="430"/>
      <c r="AZ72" s="430"/>
      <c r="BA72" s="430"/>
      <c r="BB72" s="498"/>
      <c r="BC72" s="498"/>
      <c r="BD72" s="498"/>
      <c r="BE72" s="498"/>
      <c r="BF72" s="498"/>
      <c r="BG72" s="498"/>
      <c r="BH72" s="498"/>
      <c r="BI72" s="498"/>
      <c r="BJ72" s="498"/>
      <c r="BK72" s="498"/>
      <c r="BL72" s="498"/>
      <c r="BM72" s="407"/>
      <c r="BN72" s="407"/>
      <c r="BO72" s="407"/>
      <c r="BP72" s="407"/>
      <c r="BQ72" s="441"/>
      <c r="BR72" s="441"/>
      <c r="BS72" s="441"/>
      <c r="BT72" s="441"/>
      <c r="BU72" s="913"/>
      <c r="BV72" s="441"/>
      <c r="BW72" s="441"/>
      <c r="BX72" s="441"/>
      <c r="BY72" s="441"/>
      <c r="BZ72" s="441"/>
      <c r="CA72" s="496">
        <f>BN40-CA40</f>
        <v>115.31999999999971</v>
      </c>
      <c r="CB72" s="496">
        <f>BH40-CB40</f>
        <v>0</v>
      </c>
      <c r="CC72" s="496">
        <f>BL40-CC40</f>
        <v>0</v>
      </c>
      <c r="CD72" s="407"/>
      <c r="CE72" s="407"/>
      <c r="CG72" s="407"/>
      <c r="CH72" s="407"/>
      <c r="CI72" s="407"/>
      <c r="DD72" s="408"/>
      <c r="DG72" s="408"/>
      <c r="DH72" s="408"/>
    </row>
    <row r="73" spans="1:112" s="406" customFormat="1" ht="26.25" hidden="1" x14ac:dyDescent="0.4">
      <c r="A73" s="408"/>
      <c r="B73" s="430"/>
      <c r="D73" s="492"/>
      <c r="F73" s="540"/>
      <c r="G73" s="408"/>
      <c r="Q73" s="408"/>
      <c r="R73" s="408"/>
      <c r="S73" s="430"/>
      <c r="T73" s="498"/>
      <c r="U73" s="498"/>
      <c r="V73" s="498"/>
      <c r="W73" s="498"/>
      <c r="Y73" s="498"/>
      <c r="Z73" s="498"/>
      <c r="AA73" s="498"/>
      <c r="AB73" s="498"/>
      <c r="AC73" s="498"/>
      <c r="AD73" s="498"/>
      <c r="AE73" s="498"/>
      <c r="AF73" s="498"/>
      <c r="AG73" s="493"/>
      <c r="AH73" s="493"/>
      <c r="AI73" s="493"/>
      <c r="AJ73" s="493"/>
      <c r="AK73" s="493"/>
      <c r="AL73" s="493"/>
      <c r="AM73" s="430"/>
      <c r="AN73" s="430"/>
      <c r="AO73" s="498"/>
      <c r="AP73" s="993"/>
      <c r="AQ73" s="498"/>
      <c r="AR73" s="498"/>
      <c r="AS73" s="430"/>
      <c r="AT73" s="500"/>
      <c r="AU73" s="500"/>
      <c r="AV73" s="498"/>
      <c r="AW73" s="430"/>
      <c r="AX73" s="430"/>
      <c r="AY73" s="430"/>
      <c r="AZ73" s="430"/>
      <c r="BA73" s="430"/>
      <c r="BB73" s="498"/>
      <c r="BC73" s="498"/>
      <c r="BD73" s="498"/>
      <c r="BE73" s="498"/>
      <c r="BF73" s="498"/>
      <c r="BG73" s="498"/>
      <c r="BH73" s="498"/>
      <c r="BI73" s="498"/>
      <c r="BJ73" s="498"/>
      <c r="BK73" s="498"/>
      <c r="BL73" s="498"/>
      <c r="BM73" s="553" t="s">
        <v>4791</v>
      </c>
      <c r="BN73" s="800">
        <f>BM40-AT13</f>
        <v>2779.57</v>
      </c>
      <c r="BO73" s="407"/>
      <c r="BP73" s="407"/>
      <c r="BQ73" s="407"/>
      <c r="BR73" s="407"/>
      <c r="BS73" s="441"/>
      <c r="BT73" s="441"/>
      <c r="BU73" s="913"/>
      <c r="BV73" s="441"/>
      <c r="BW73" s="441"/>
      <c r="BX73" s="441"/>
      <c r="BY73" s="441"/>
      <c r="BZ73" s="441"/>
      <c r="CA73" s="441"/>
      <c r="CB73" s="441"/>
      <c r="CC73" s="441"/>
      <c r="CD73" s="407"/>
      <c r="CE73" s="407"/>
      <c r="CG73" s="407"/>
      <c r="CH73" s="407"/>
      <c r="CI73" s="407"/>
      <c r="DD73" s="408"/>
      <c r="DG73" s="408"/>
      <c r="DH73" s="408"/>
    </row>
    <row r="74" spans="1:112" s="406" customFormat="1" ht="27.75" hidden="1" x14ac:dyDescent="0.4">
      <c r="A74" s="408"/>
      <c r="B74" s="430"/>
      <c r="D74" s="492"/>
      <c r="F74" s="540"/>
      <c r="G74" s="408"/>
      <c r="Q74" s="408"/>
      <c r="R74" s="408"/>
      <c r="S74" s="430"/>
      <c r="T74" s="498"/>
      <c r="U74" s="498"/>
      <c r="V74" s="498"/>
      <c r="W74" s="498"/>
      <c r="Y74" s="498"/>
      <c r="Z74" s="498"/>
      <c r="AA74" s="498"/>
      <c r="AB74" s="498"/>
      <c r="AC74" s="498"/>
      <c r="AD74" s="498"/>
      <c r="AE74" s="498"/>
      <c r="AF74" s="498"/>
      <c r="AG74" s="493"/>
      <c r="AH74" s="493"/>
      <c r="AI74" s="493"/>
      <c r="AJ74" s="493"/>
      <c r="AK74" s="493"/>
      <c r="AL74" s="493"/>
      <c r="AM74" s="430"/>
      <c r="AN74" s="430"/>
      <c r="AO74" s="498"/>
      <c r="AP74" s="993"/>
      <c r="AQ74" s="498"/>
      <c r="AR74" s="498"/>
      <c r="AS74" s="430"/>
      <c r="AT74" s="500"/>
      <c r="AU74" s="500"/>
      <c r="AV74" s="498"/>
      <c r="AW74" s="430"/>
      <c r="AX74" s="430"/>
      <c r="AY74" s="430"/>
      <c r="AZ74" s="430"/>
      <c r="BA74" s="430"/>
      <c r="BB74" s="498"/>
      <c r="BC74" s="498"/>
      <c r="BD74" s="498"/>
      <c r="BE74" s="498"/>
      <c r="BF74" s="498"/>
      <c r="BG74" s="550"/>
      <c r="BH74" s="550"/>
      <c r="BI74" s="550"/>
      <c r="BJ74" s="550"/>
      <c r="BK74" s="550"/>
      <c r="BL74" s="550"/>
      <c r="BM74" s="553" t="s">
        <v>4792</v>
      </c>
      <c r="BN74" s="800">
        <f>W40+AE40</f>
        <v>2998.5200000000004</v>
      </c>
      <c r="BO74" s="407"/>
      <c r="BP74" s="407"/>
      <c r="BQ74" s="407"/>
      <c r="BR74" s="407"/>
      <c r="BS74" s="592">
        <f>BM40-BS40</f>
        <v>0</v>
      </c>
      <c r="BT74" s="441"/>
      <c r="BU74" s="913"/>
      <c r="BV74" s="441"/>
      <c r="BW74" s="441"/>
      <c r="BX74" s="441"/>
      <c r="BY74" s="441"/>
      <c r="BZ74" s="441"/>
      <c r="CA74" s="441"/>
      <c r="CB74" s="441"/>
      <c r="CC74" s="441"/>
      <c r="CD74" s="407"/>
      <c r="CE74" s="407"/>
      <c r="CG74" s="407"/>
      <c r="CH74" s="407"/>
      <c r="CI74" s="407"/>
      <c r="DD74" s="408"/>
      <c r="DG74" s="408"/>
      <c r="DH74" s="408"/>
    </row>
    <row r="75" spans="1:112" s="406" customFormat="1" ht="20.25" hidden="1" x14ac:dyDescent="0.3">
      <c r="A75" s="408"/>
      <c r="B75" s="430"/>
      <c r="D75" s="492"/>
      <c r="F75" s="540"/>
      <c r="G75" s="408"/>
      <c r="Q75" s="408"/>
      <c r="R75" s="408"/>
      <c r="S75" s="430"/>
      <c r="T75" s="498"/>
      <c r="U75" s="498"/>
      <c r="V75" s="498"/>
      <c r="W75" s="498"/>
      <c r="Y75" s="498"/>
      <c r="Z75" s="498"/>
      <c r="AA75" s="498"/>
      <c r="AB75" s="498"/>
      <c r="AC75" s="498"/>
      <c r="AD75" s="498"/>
      <c r="AE75" s="498"/>
      <c r="AF75" s="498"/>
      <c r="AG75" s="493"/>
      <c r="AH75" s="493"/>
      <c r="AI75" s="493"/>
      <c r="AJ75" s="493"/>
      <c r="AK75" s="493"/>
      <c r="AL75" s="493"/>
      <c r="AM75" s="430"/>
      <c r="AN75" s="430"/>
      <c r="AO75" s="498"/>
      <c r="AP75" s="993"/>
      <c r="AQ75" s="498"/>
      <c r="AR75" s="498"/>
      <c r="AS75" s="430"/>
      <c r="AT75" s="500"/>
      <c r="AU75" s="500"/>
      <c r="AV75" s="498"/>
      <c r="AW75" s="430"/>
      <c r="AX75" s="430"/>
      <c r="AY75" s="430"/>
      <c r="AZ75" s="430"/>
      <c r="BA75" s="430"/>
      <c r="BB75" s="498"/>
      <c r="BC75" s="498"/>
      <c r="BD75" s="498"/>
      <c r="BE75" s="498"/>
      <c r="BF75" s="498"/>
      <c r="BG75" s="550"/>
      <c r="BH75" s="550"/>
      <c r="BI75" s="550"/>
      <c r="BJ75" s="550"/>
      <c r="BK75" s="550"/>
      <c r="BL75" s="550"/>
      <c r="BM75" s="551"/>
      <c r="BN75" s="407"/>
      <c r="BO75" s="407"/>
      <c r="BP75" s="407"/>
      <c r="BQ75" s="407"/>
      <c r="BR75" s="407"/>
      <c r="BS75" s="441"/>
      <c r="BT75" s="441"/>
      <c r="BU75" s="913"/>
      <c r="BV75" s="441"/>
      <c r="BW75" s="441"/>
      <c r="BX75" s="441"/>
      <c r="BY75" s="441"/>
      <c r="BZ75" s="441"/>
      <c r="CA75" s="441"/>
      <c r="CB75" s="441"/>
      <c r="CC75" s="441"/>
      <c r="CD75" s="407"/>
      <c r="CE75" s="407"/>
      <c r="CG75" s="407"/>
      <c r="CH75" s="407"/>
      <c r="CI75" s="407"/>
      <c r="DD75" s="408"/>
      <c r="DG75" s="408"/>
      <c r="DH75" s="408"/>
    </row>
    <row r="76" spans="1:112" s="406" customFormat="1" ht="20.25" x14ac:dyDescent="0.3">
      <c r="A76" s="408"/>
      <c r="B76" s="430"/>
      <c r="D76" s="492"/>
      <c r="F76" s="540"/>
      <c r="G76" s="408"/>
      <c r="Q76" s="408"/>
      <c r="R76" s="408"/>
      <c r="S76" s="430"/>
      <c r="T76" s="498"/>
      <c r="U76" s="498"/>
      <c r="V76" s="498"/>
      <c r="W76" s="498"/>
      <c r="Y76" s="498"/>
      <c r="Z76" s="498"/>
      <c r="AA76" s="498"/>
      <c r="AB76" s="498"/>
      <c r="AC76" s="498"/>
      <c r="AD76" s="498"/>
      <c r="AE76" s="498"/>
      <c r="AF76" s="498"/>
      <c r="AG76" s="493"/>
      <c r="AH76" s="493"/>
      <c r="AI76" s="493"/>
      <c r="AJ76" s="493"/>
      <c r="AK76" s="493"/>
      <c r="AL76" s="493"/>
      <c r="AM76" s="430"/>
      <c r="AN76" s="430"/>
      <c r="AO76" s="498"/>
      <c r="AP76" s="993"/>
      <c r="AQ76" s="498"/>
      <c r="AR76" s="498"/>
      <c r="AS76" s="430"/>
      <c r="AT76" s="500"/>
      <c r="AU76" s="500"/>
      <c r="AV76" s="498"/>
      <c r="AW76" s="430"/>
      <c r="AX76" s="430"/>
      <c r="AY76" s="430"/>
      <c r="AZ76" s="430"/>
      <c r="BA76" s="430"/>
      <c r="BB76" s="498"/>
      <c r="BC76" s="498"/>
      <c r="BD76" s="498"/>
      <c r="BE76" s="498"/>
      <c r="BF76" s="498"/>
      <c r="BG76" s="550"/>
      <c r="BH76" s="550"/>
      <c r="BI76" s="550"/>
      <c r="BJ76" s="550"/>
      <c r="BK76" s="550"/>
      <c r="BL76" s="550"/>
      <c r="BM76" s="551"/>
      <c r="BN76" s="407"/>
      <c r="BO76" s="407"/>
      <c r="BP76" s="407"/>
      <c r="BQ76" s="407"/>
      <c r="BR76" s="407"/>
      <c r="BS76" s="441"/>
      <c r="BT76" s="441"/>
      <c r="BU76" s="913"/>
      <c r="BV76" s="441"/>
      <c r="BW76" s="441"/>
      <c r="BX76" s="441"/>
      <c r="BY76" s="441"/>
      <c r="BZ76" s="441"/>
      <c r="CA76" s="441"/>
      <c r="CB76" s="441"/>
      <c r="CC76" s="441"/>
      <c r="CD76" s="407"/>
      <c r="CE76" s="407"/>
      <c r="CG76" s="407"/>
      <c r="CH76" s="407"/>
      <c r="CI76" s="407"/>
      <c r="DD76" s="408"/>
      <c r="DG76" s="408"/>
      <c r="DH76" s="408"/>
    </row>
    <row r="77" spans="1:112" s="406" customFormat="1" ht="20.25" hidden="1" x14ac:dyDescent="0.3">
      <c r="A77" s="408"/>
      <c r="B77" s="430"/>
      <c r="D77" s="492"/>
      <c r="F77" s="540"/>
      <c r="G77" s="408"/>
      <c r="Q77" s="408"/>
      <c r="R77" s="408"/>
      <c r="S77" s="430"/>
      <c r="T77" s="498"/>
      <c r="U77" s="498"/>
      <c r="V77" s="498"/>
      <c r="W77" s="498"/>
      <c r="Y77" s="498"/>
      <c r="Z77" s="498"/>
      <c r="AA77" s="498"/>
      <c r="AB77" s="498"/>
      <c r="AC77" s="498"/>
      <c r="AD77" s="498"/>
      <c r="AE77" s="498"/>
      <c r="AF77" s="498"/>
      <c r="AG77" s="493"/>
      <c r="AH77" s="493"/>
      <c r="AI77" s="493"/>
      <c r="AJ77" s="493"/>
      <c r="AK77" s="493"/>
      <c r="AL77" s="493"/>
      <c r="AM77" s="430"/>
      <c r="AN77" s="430"/>
      <c r="AO77" s="498"/>
      <c r="AP77" s="993"/>
      <c r="AQ77" s="498"/>
      <c r="AR77" s="498"/>
      <c r="AS77" s="430"/>
      <c r="AT77" s="500"/>
      <c r="AU77" s="500"/>
      <c r="AV77" s="498"/>
      <c r="AW77" s="430"/>
      <c r="AX77" s="430"/>
      <c r="AY77" s="430"/>
      <c r="AZ77" s="430"/>
      <c r="BA77" s="430"/>
      <c r="BB77" s="498"/>
      <c r="BC77" s="498"/>
      <c r="BD77" s="498"/>
      <c r="BE77" s="498"/>
      <c r="BF77" s="498"/>
      <c r="BG77" s="550"/>
      <c r="BH77" s="550"/>
      <c r="BI77" s="550"/>
      <c r="BJ77" s="550"/>
      <c r="BK77" s="550"/>
      <c r="BL77" s="553" t="s">
        <v>4791</v>
      </c>
      <c r="BM77" s="554">
        <f>BM40-BM13</f>
        <v>2779.57</v>
      </c>
      <c r="BN77" s="407"/>
      <c r="BO77" s="407"/>
      <c r="BP77" s="407"/>
      <c r="BQ77" s="407"/>
      <c r="BR77" s="407"/>
      <c r="BS77" s="441"/>
      <c r="BT77" s="441"/>
      <c r="BU77" s="913"/>
      <c r="BV77" s="441"/>
      <c r="BW77" s="441"/>
      <c r="BX77" s="441"/>
      <c r="BY77" s="441"/>
      <c r="BZ77" s="441"/>
      <c r="CA77" s="441"/>
      <c r="CB77" s="441"/>
      <c r="CC77" s="441"/>
      <c r="CD77" s="407"/>
      <c r="CE77" s="407"/>
      <c r="CG77" s="407"/>
      <c r="CH77" s="407"/>
      <c r="CI77" s="407"/>
      <c r="DD77" s="408"/>
      <c r="DG77" s="408"/>
      <c r="DH77" s="408"/>
    </row>
    <row r="78" spans="1:112" s="406" customFormat="1" ht="20.25" hidden="1" x14ac:dyDescent="0.3">
      <c r="A78" s="408"/>
      <c r="B78" s="430"/>
      <c r="D78" s="492"/>
      <c r="F78" s="540"/>
      <c r="G78" s="408"/>
      <c r="Q78" s="408"/>
      <c r="R78" s="408"/>
      <c r="S78" s="430"/>
      <c r="T78" s="498"/>
      <c r="U78" s="498"/>
      <c r="V78" s="498"/>
      <c r="W78" s="498"/>
      <c r="Y78" s="498"/>
      <c r="Z78" s="498"/>
      <c r="AA78" s="498"/>
      <c r="AB78" s="498"/>
      <c r="AC78" s="498"/>
      <c r="AD78" s="498"/>
      <c r="AE78" s="498"/>
      <c r="AF78" s="498"/>
      <c r="AG78" s="493"/>
      <c r="AH78" s="493"/>
      <c r="AI78" s="493"/>
      <c r="AJ78" s="493"/>
      <c r="AK78" s="493"/>
      <c r="AL78" s="493"/>
      <c r="AM78" s="430"/>
      <c r="AN78" s="430"/>
      <c r="AO78" s="498"/>
      <c r="AP78" s="993"/>
      <c r="AQ78" s="498"/>
      <c r="AR78" s="498"/>
      <c r="AS78" s="430"/>
      <c r="AT78" s="500"/>
      <c r="AU78" s="500"/>
      <c r="AV78" s="498"/>
      <c r="AW78" s="430"/>
      <c r="AX78" s="430"/>
      <c r="AY78" s="430"/>
      <c r="AZ78" s="430"/>
      <c r="BA78" s="430"/>
      <c r="BB78" s="498"/>
      <c r="BC78" s="498"/>
      <c r="BD78" s="498"/>
      <c r="BE78" s="498"/>
      <c r="BF78" s="498"/>
      <c r="BG78" s="550"/>
      <c r="BH78" s="550"/>
      <c r="BI78" s="550"/>
      <c r="BJ78" s="550"/>
      <c r="BK78" s="550"/>
      <c r="BL78" s="553" t="s">
        <v>4792</v>
      </c>
      <c r="BM78" s="554">
        <f>W40+AE40</f>
        <v>2998.5200000000004</v>
      </c>
      <c r="BN78" s="407"/>
      <c r="BO78" s="407"/>
      <c r="BP78" s="407"/>
      <c r="BQ78" s="407"/>
      <c r="BR78" s="407"/>
      <c r="BS78" s="441"/>
      <c r="BT78" s="441"/>
      <c r="BU78" s="913"/>
      <c r="BV78" s="441"/>
      <c r="BW78" s="441"/>
      <c r="BX78" s="441"/>
      <c r="BY78" s="441"/>
      <c r="BZ78" s="441"/>
      <c r="CA78" s="441"/>
      <c r="CB78" s="441"/>
      <c r="CC78" s="441"/>
      <c r="CD78" s="407"/>
      <c r="CE78" s="407"/>
      <c r="CG78" s="407"/>
      <c r="CH78" s="407"/>
      <c r="CI78" s="407"/>
      <c r="DD78" s="408"/>
      <c r="DG78" s="408"/>
      <c r="DH78" s="408"/>
    </row>
    <row r="79" spans="1:112" s="406" customFormat="1" ht="20.25" x14ac:dyDescent="0.3">
      <c r="A79" s="408"/>
      <c r="B79" s="430"/>
      <c r="D79" s="492"/>
      <c r="F79" s="540"/>
      <c r="G79" s="408"/>
      <c r="Q79" s="408"/>
      <c r="R79" s="408"/>
      <c r="S79" s="430"/>
      <c r="T79" s="498"/>
      <c r="U79" s="498"/>
      <c r="V79" s="498"/>
      <c r="W79" s="498"/>
      <c r="Y79" s="498"/>
      <c r="Z79" s="498"/>
      <c r="AA79" s="498"/>
      <c r="AB79" s="498"/>
      <c r="AC79" s="498"/>
      <c r="AD79" s="498"/>
      <c r="AE79" s="498"/>
      <c r="AF79" s="498"/>
      <c r="AG79" s="493"/>
      <c r="AH79" s="493"/>
      <c r="AI79" s="493"/>
      <c r="AJ79" s="493"/>
      <c r="AK79" s="493"/>
      <c r="AL79" s="493"/>
      <c r="AM79" s="430"/>
      <c r="AN79" s="430"/>
      <c r="AO79" s="498"/>
      <c r="AP79" s="993"/>
      <c r="AQ79" s="498"/>
      <c r="AR79" s="498"/>
      <c r="AS79" s="430"/>
      <c r="AT79" s="500"/>
      <c r="AU79" s="500"/>
      <c r="AV79" s="498"/>
      <c r="AW79" s="430"/>
      <c r="AX79" s="430"/>
      <c r="AY79" s="430"/>
      <c r="AZ79" s="430"/>
      <c r="BA79" s="430"/>
      <c r="BB79" s="498"/>
      <c r="BC79" s="498"/>
      <c r="BD79" s="498"/>
      <c r="BE79" s="498"/>
      <c r="BF79" s="498"/>
      <c r="BG79" s="550"/>
      <c r="BH79" s="550"/>
      <c r="BI79" s="550"/>
      <c r="BJ79" s="550"/>
      <c r="BK79" s="550"/>
      <c r="BL79" s="426"/>
      <c r="BM79" s="432"/>
      <c r="BN79" s="407"/>
      <c r="BO79" s="407"/>
      <c r="BP79" s="407"/>
      <c r="BQ79" s="407"/>
      <c r="BR79" s="407"/>
      <c r="BS79" s="441"/>
      <c r="BT79" s="441"/>
      <c r="BU79" s="913"/>
      <c r="BV79" s="441"/>
      <c r="BW79" s="441"/>
      <c r="BX79" s="441"/>
      <c r="BY79" s="441"/>
      <c r="BZ79" s="441"/>
      <c r="CA79" s="441"/>
      <c r="CB79" s="441"/>
      <c r="CC79" s="441"/>
      <c r="CD79" s="407"/>
      <c r="CE79" s="407"/>
      <c r="CG79" s="407"/>
      <c r="CH79" s="407"/>
      <c r="CI79" s="407"/>
      <c r="DD79" s="408"/>
      <c r="DG79" s="408"/>
      <c r="DH79" s="408"/>
    </row>
    <row r="80" spans="1:112" s="406" customFormat="1" ht="20.25" x14ac:dyDescent="0.3">
      <c r="A80" s="408"/>
      <c r="B80" s="430"/>
      <c r="D80" s="492"/>
      <c r="F80" s="540"/>
      <c r="G80" s="408"/>
      <c r="Q80" s="408"/>
      <c r="R80" s="408"/>
      <c r="S80" s="430"/>
      <c r="T80" s="498"/>
      <c r="U80" s="498"/>
      <c r="V80" s="498"/>
      <c r="W80" s="498"/>
      <c r="Y80" s="498"/>
      <c r="Z80" s="498"/>
      <c r="AA80" s="498"/>
      <c r="AB80" s="498"/>
      <c r="AC80" s="498"/>
      <c r="AD80" s="498"/>
      <c r="AE80" s="498"/>
      <c r="AF80" s="498"/>
      <c r="AG80" s="493"/>
      <c r="AH80" s="493"/>
      <c r="AI80" s="493"/>
      <c r="AJ80" s="493"/>
      <c r="AK80" s="493"/>
      <c r="AL80" s="493"/>
      <c r="AM80" s="430"/>
      <c r="AN80" s="430"/>
      <c r="AO80" s="498"/>
      <c r="AP80" s="993"/>
      <c r="AQ80" s="498"/>
      <c r="AR80" s="498"/>
      <c r="AS80" s="430"/>
      <c r="AT80" s="500"/>
      <c r="AU80" s="500"/>
      <c r="AV80" s="498"/>
      <c r="AW80" s="430"/>
      <c r="AX80" s="430"/>
      <c r="AY80" s="430"/>
      <c r="AZ80" s="430"/>
      <c r="BA80" s="430"/>
      <c r="BB80" s="498"/>
      <c r="BC80" s="498"/>
      <c r="BD80" s="498"/>
      <c r="BE80" s="498"/>
      <c r="BF80" s="498"/>
      <c r="BG80" s="550"/>
      <c r="BH80" s="550"/>
      <c r="BI80" s="550"/>
      <c r="BJ80" s="550"/>
      <c r="BK80" s="550"/>
      <c r="BL80" s="426"/>
      <c r="BM80" s="432"/>
      <c r="BN80" s="407"/>
      <c r="BO80" s="407"/>
      <c r="BP80" s="407"/>
      <c r="BQ80" s="407"/>
      <c r="BR80" s="407"/>
      <c r="BS80" s="441"/>
      <c r="BT80" s="441"/>
      <c r="BU80" s="913"/>
      <c r="BV80" s="441"/>
      <c r="BW80" s="441"/>
      <c r="BX80" s="441"/>
      <c r="BY80" s="441"/>
      <c r="BZ80" s="441"/>
      <c r="CA80" s="441"/>
      <c r="CB80" s="441"/>
      <c r="CC80" s="441"/>
      <c r="CD80" s="407"/>
      <c r="CE80" s="407"/>
      <c r="CG80" s="407"/>
      <c r="CH80" s="407"/>
      <c r="CI80" s="407"/>
      <c r="DD80" s="408"/>
      <c r="DG80" s="408"/>
      <c r="DH80" s="408"/>
    </row>
    <row r="81" spans="1:112" s="406" customFormat="1" ht="20.25" customHeight="1" x14ac:dyDescent="0.3">
      <c r="A81" s="408"/>
      <c r="B81" s="430"/>
      <c r="D81" s="492"/>
      <c r="F81" s="540"/>
      <c r="G81" s="408"/>
      <c r="Q81" s="408"/>
      <c r="R81" s="408"/>
      <c r="S81" s="430"/>
      <c r="T81" s="498"/>
      <c r="U81" s="498"/>
      <c r="V81" s="498"/>
      <c r="W81" s="498"/>
      <c r="Y81" s="498"/>
      <c r="Z81" s="498"/>
      <c r="AA81" s="498"/>
      <c r="AB81" s="498"/>
      <c r="AC81" s="498"/>
      <c r="AD81" s="498"/>
      <c r="AE81" s="498"/>
      <c r="AF81" s="498"/>
      <c r="AG81" s="493"/>
      <c r="AH81" s="493"/>
      <c r="AI81" s="493"/>
      <c r="AJ81" s="493"/>
      <c r="AK81" s="493"/>
      <c r="AL81" s="493"/>
      <c r="AM81" s="1005" t="s">
        <v>4783</v>
      </c>
      <c r="AN81" s="1005"/>
      <c r="AO81" s="1005"/>
      <c r="AP81" s="1005"/>
      <c r="AQ81" s="1005"/>
      <c r="AR81" s="1005"/>
      <c r="AS81" s="1005"/>
      <c r="AT81" s="1005"/>
      <c r="AU81" s="1005"/>
      <c r="AV81" s="1005"/>
      <c r="AW81" s="430"/>
      <c r="AX81" s="430"/>
      <c r="AY81" s="430"/>
      <c r="AZ81" s="430"/>
      <c r="BA81" s="430"/>
      <c r="BB81" s="498"/>
      <c r="BC81" s="498"/>
      <c r="BD81" s="498"/>
      <c r="BE81" s="498"/>
      <c r="BF81" s="498"/>
      <c r="BG81" s="550"/>
      <c r="BH81" s="550"/>
      <c r="BI81" s="550"/>
      <c r="BJ81" s="550"/>
      <c r="BK81" s="550"/>
      <c r="BL81" s="426"/>
      <c r="BM81" s="432"/>
      <c r="BN81" s="407"/>
      <c r="BO81" s="407"/>
      <c r="BP81" s="407"/>
      <c r="BQ81" s="407"/>
      <c r="BR81" s="407"/>
      <c r="BS81" s="441"/>
      <c r="BT81" s="441"/>
      <c r="BU81" s="913"/>
      <c r="BV81" s="441"/>
      <c r="BW81" s="441"/>
      <c r="BX81" s="441"/>
      <c r="BY81" s="441"/>
      <c r="BZ81" s="441"/>
      <c r="CA81" s="441"/>
      <c r="CB81" s="441"/>
      <c r="CC81" s="441"/>
      <c r="CD81" s="407"/>
      <c r="CE81" s="407"/>
      <c r="CG81" s="407"/>
      <c r="CH81" s="407"/>
      <c r="CI81" s="407"/>
      <c r="DD81" s="408"/>
      <c r="DG81" s="408"/>
      <c r="DH81" s="408"/>
    </row>
    <row r="82" spans="1:112" s="406" customFormat="1" ht="59.25" customHeight="1" x14ac:dyDescent="0.75">
      <c r="A82" s="408"/>
      <c r="B82" s="430"/>
      <c r="C82" s="1005" t="s">
        <v>4775</v>
      </c>
      <c r="D82" s="1005"/>
      <c r="E82" s="1005"/>
      <c r="F82" s="1005"/>
      <c r="G82" s="408"/>
      <c r="Q82" s="408"/>
      <c r="R82" s="408"/>
      <c r="S82" s="430"/>
      <c r="T82" s="547"/>
      <c r="U82" s="1005" t="s">
        <v>4779</v>
      </c>
      <c r="V82" s="1005"/>
      <c r="W82" s="1005"/>
      <c r="X82" s="1005"/>
      <c r="Y82" s="1005"/>
      <c r="Z82" s="1005"/>
      <c r="AA82" s="548"/>
      <c r="AB82" s="498"/>
      <c r="AC82" s="498"/>
      <c r="AD82" s="498"/>
      <c r="AE82" s="498"/>
      <c r="AF82" s="498"/>
      <c r="AG82" s="493"/>
      <c r="AH82" s="493"/>
      <c r="AI82" s="493"/>
      <c r="AJ82" s="493"/>
      <c r="AK82" s="493"/>
      <c r="AL82" s="493"/>
      <c r="AM82" s="1005"/>
      <c r="AN82" s="1005"/>
      <c r="AO82" s="1005"/>
      <c r="AP82" s="1005"/>
      <c r="AQ82" s="1005"/>
      <c r="AR82" s="1005"/>
      <c r="AS82" s="1005"/>
      <c r="AT82" s="1005"/>
      <c r="AU82" s="1005"/>
      <c r="AV82" s="1005"/>
      <c r="AW82" s="544"/>
      <c r="AX82" s="430"/>
      <c r="AY82" s="430"/>
      <c r="AZ82" s="430"/>
      <c r="BA82" s="430"/>
      <c r="BB82" s="498"/>
      <c r="BC82" s="498"/>
      <c r="BD82" s="498"/>
      <c r="BE82" s="498"/>
      <c r="BF82" s="498"/>
      <c r="BG82" s="498"/>
      <c r="BH82" s="498"/>
      <c r="BI82" s="498"/>
      <c r="BJ82" s="498"/>
      <c r="BK82" s="498"/>
      <c r="BL82" s="498"/>
      <c r="BM82" s="407"/>
      <c r="BN82" s="407"/>
      <c r="BO82" s="407"/>
      <c r="BP82" s="407"/>
      <c r="BQ82" s="407"/>
      <c r="BR82" s="407"/>
      <c r="BS82" s="441"/>
      <c r="BT82" s="441"/>
      <c r="BU82" s="913"/>
      <c r="BV82" s="441"/>
      <c r="BW82" s="441"/>
      <c r="BX82" s="441"/>
      <c r="BY82" s="441"/>
      <c r="BZ82" s="441"/>
      <c r="CA82" s="441"/>
      <c r="CB82" s="441"/>
      <c r="CC82" s="441"/>
      <c r="CD82" s="407"/>
      <c r="CE82" s="407"/>
      <c r="CG82" s="407"/>
      <c r="CH82" s="407"/>
      <c r="CI82" s="407"/>
      <c r="DD82" s="408"/>
      <c r="DG82" s="408"/>
      <c r="DH82" s="408"/>
    </row>
    <row r="83" spans="1:112" s="406" customFormat="1" ht="59.25" customHeight="1" x14ac:dyDescent="0.7">
      <c r="A83" s="408"/>
      <c r="B83" s="430"/>
      <c r="C83" s="1006" t="s">
        <v>4776</v>
      </c>
      <c r="D83" s="1006"/>
      <c r="E83" s="1006"/>
      <c r="F83" s="1006"/>
      <c r="G83" s="408"/>
      <c r="Q83" s="408"/>
      <c r="R83" s="408"/>
      <c r="S83" s="1006" t="s">
        <v>4780</v>
      </c>
      <c r="T83" s="1006"/>
      <c r="U83" s="1006"/>
      <c r="V83" s="1006"/>
      <c r="W83" s="1006"/>
      <c r="X83" s="1006"/>
      <c r="Y83" s="1006"/>
      <c r="Z83" s="1006"/>
      <c r="AA83" s="1006"/>
      <c r="AB83" s="1006"/>
      <c r="AC83" s="1006"/>
      <c r="AD83" s="498"/>
      <c r="AE83" s="498"/>
      <c r="AF83" s="498"/>
      <c r="AG83" s="493"/>
      <c r="AH83" s="493"/>
      <c r="AI83" s="493"/>
      <c r="AJ83" s="493"/>
      <c r="AK83" s="493"/>
      <c r="AL83" s="493"/>
      <c r="AM83" s="1006" t="s">
        <v>4799</v>
      </c>
      <c r="AN83" s="1006"/>
      <c r="AO83" s="1006"/>
      <c r="AP83" s="1006"/>
      <c r="AQ83" s="1006"/>
      <c r="AR83" s="1006"/>
      <c r="AS83" s="1006"/>
      <c r="AT83" s="1006"/>
      <c r="AU83" s="1006"/>
      <c r="AV83" s="1006"/>
      <c r="AW83" s="549"/>
      <c r="AX83" s="430"/>
      <c r="AY83" s="430"/>
      <c r="AZ83" s="430"/>
      <c r="BA83" s="430"/>
      <c r="BB83" s="498"/>
      <c r="BC83" s="498"/>
      <c r="BD83" s="498"/>
      <c r="BE83" s="498"/>
      <c r="BF83" s="498"/>
      <c r="BG83" s="498"/>
      <c r="BH83" s="498"/>
      <c r="BI83" s="498"/>
      <c r="BJ83" s="498"/>
      <c r="BK83" s="498"/>
      <c r="BL83" s="498"/>
      <c r="BM83" s="407"/>
      <c r="BN83" s="407"/>
      <c r="BO83" s="407"/>
      <c r="BP83" s="407"/>
      <c r="BQ83" s="407"/>
      <c r="BR83" s="407"/>
      <c r="BS83" s="441"/>
      <c r="BT83" s="441"/>
      <c r="BU83" s="913"/>
      <c r="BV83" s="441"/>
      <c r="BW83" s="441"/>
      <c r="BX83" s="441"/>
      <c r="BY83" s="441"/>
      <c r="BZ83" s="441"/>
      <c r="CA83" s="441"/>
      <c r="CB83" s="441"/>
      <c r="CC83" s="441"/>
      <c r="CD83" s="407"/>
      <c r="CE83" s="407"/>
      <c r="CG83" s="407"/>
      <c r="CH83" s="407"/>
      <c r="CI83" s="407"/>
      <c r="DD83" s="408"/>
      <c r="DG83" s="408"/>
      <c r="DH83" s="408"/>
    </row>
    <row r="84" spans="1:112" s="406" customFormat="1" ht="59.25" x14ac:dyDescent="0.75">
      <c r="A84" s="408"/>
      <c r="B84" s="430"/>
      <c r="C84" s="1006" t="s">
        <v>4777</v>
      </c>
      <c r="D84" s="1006"/>
      <c r="E84" s="1006"/>
      <c r="F84" s="1006"/>
      <c r="G84" s="408"/>
      <c r="Q84" s="408"/>
      <c r="R84" s="408"/>
      <c r="S84" s="430"/>
      <c r="T84" s="547"/>
      <c r="U84" s="1006" t="s">
        <v>4781</v>
      </c>
      <c r="V84" s="1006"/>
      <c r="W84" s="1006"/>
      <c r="X84" s="1006"/>
      <c r="Y84" s="1006"/>
      <c r="Z84" s="1006"/>
      <c r="AA84" s="548"/>
      <c r="AB84" s="498"/>
      <c r="AC84" s="498"/>
      <c r="AD84" s="498"/>
      <c r="AE84" s="498"/>
      <c r="AF84" s="498"/>
      <c r="AG84" s="493"/>
      <c r="AH84" s="493"/>
      <c r="AI84" s="493"/>
      <c r="AJ84" s="493"/>
      <c r="AK84" s="493"/>
      <c r="AL84" s="493"/>
      <c r="AM84" s="1006" t="s">
        <v>4800</v>
      </c>
      <c r="AN84" s="1006"/>
      <c r="AO84" s="1006"/>
      <c r="AP84" s="1006"/>
      <c r="AQ84" s="1006"/>
      <c r="AR84" s="1006"/>
      <c r="AS84" s="1006"/>
      <c r="AT84" s="1006"/>
      <c r="AU84" s="1006"/>
      <c r="AV84" s="1006"/>
      <c r="AW84" s="544"/>
      <c r="AX84" s="430"/>
      <c r="AY84" s="430"/>
      <c r="AZ84" s="430"/>
      <c r="BA84" s="430"/>
      <c r="BB84" s="498"/>
      <c r="BC84" s="498"/>
      <c r="BD84" s="498"/>
      <c r="BE84" s="498"/>
      <c r="BF84" s="498"/>
      <c r="BG84" s="498"/>
      <c r="BH84" s="498"/>
      <c r="BI84" s="498"/>
      <c r="BJ84" s="498"/>
      <c r="BK84" s="498"/>
      <c r="BL84" s="498"/>
      <c r="BM84" s="407"/>
      <c r="BN84" s="407"/>
      <c r="BO84" s="407"/>
      <c r="BP84" s="407"/>
      <c r="BQ84" s="407"/>
      <c r="BR84" s="407"/>
      <c r="BS84" s="441"/>
      <c r="BT84" s="441"/>
      <c r="BU84" s="913"/>
      <c r="BV84" s="441"/>
      <c r="BW84" s="441"/>
      <c r="BX84" s="441"/>
      <c r="BY84" s="441"/>
      <c r="BZ84" s="441"/>
      <c r="CA84" s="441"/>
      <c r="CB84" s="441"/>
      <c r="CC84" s="441"/>
      <c r="CD84" s="407"/>
      <c r="CE84" s="407"/>
      <c r="CG84" s="407"/>
      <c r="CH84" s="407"/>
      <c r="CI84" s="407"/>
      <c r="DD84" s="408"/>
      <c r="DG84" s="408"/>
      <c r="DH84" s="408"/>
    </row>
    <row r="85" spans="1:112" s="406" customFormat="1" ht="58.5" x14ac:dyDescent="0.7">
      <c r="A85" s="408"/>
      <c r="B85" s="430"/>
      <c r="C85" s="1006" t="s">
        <v>4778</v>
      </c>
      <c r="D85" s="1006"/>
      <c r="E85" s="1006"/>
      <c r="F85" s="1006"/>
      <c r="G85" s="408"/>
      <c r="Q85" s="408"/>
      <c r="R85" s="408"/>
      <c r="S85" s="1006" t="s">
        <v>4782</v>
      </c>
      <c r="T85" s="1006"/>
      <c r="U85" s="1006"/>
      <c r="V85" s="1006"/>
      <c r="W85" s="1006"/>
      <c r="X85" s="1006"/>
      <c r="Y85" s="1006"/>
      <c r="Z85" s="1006"/>
      <c r="AA85" s="1006"/>
      <c r="AB85" s="1006"/>
      <c r="AC85" s="1006"/>
      <c r="AD85" s="498"/>
      <c r="AE85" s="498"/>
      <c r="AF85" s="498"/>
      <c r="AG85" s="493"/>
      <c r="AH85" s="493"/>
      <c r="AI85" s="493"/>
      <c r="AJ85" s="493"/>
      <c r="AK85" s="493"/>
      <c r="AL85" s="493"/>
      <c r="AM85" s="1006" t="s">
        <v>4784</v>
      </c>
      <c r="AN85" s="1006"/>
      <c r="AO85" s="1006"/>
      <c r="AP85" s="1006"/>
      <c r="AQ85" s="1006"/>
      <c r="AR85" s="1006"/>
      <c r="AS85" s="1006"/>
      <c r="AT85" s="1006"/>
      <c r="AU85" s="1006"/>
      <c r="AV85" s="1006"/>
      <c r="AW85" s="549"/>
      <c r="AX85" s="430"/>
      <c r="AY85" s="430"/>
      <c r="AZ85" s="430"/>
      <c r="BA85" s="430"/>
      <c r="BB85" s="498"/>
      <c r="BC85" s="498"/>
      <c r="BD85" s="498"/>
      <c r="BE85" s="498"/>
      <c r="BF85" s="498"/>
      <c r="BG85" s="498"/>
      <c r="BH85" s="498"/>
      <c r="BI85" s="498"/>
      <c r="BJ85" s="498"/>
      <c r="BK85" s="498"/>
      <c r="BL85" s="498"/>
      <c r="BM85" s="407"/>
      <c r="BN85" s="407"/>
      <c r="BO85" s="407"/>
      <c r="BP85" s="407"/>
      <c r="BQ85" s="407"/>
      <c r="BR85" s="407"/>
      <c r="BS85" s="441"/>
      <c r="BT85" s="441"/>
      <c r="BU85" s="913"/>
      <c r="BV85" s="441"/>
      <c r="BW85" s="441"/>
      <c r="BX85" s="441"/>
      <c r="BY85" s="441"/>
      <c r="BZ85" s="441"/>
      <c r="CA85" s="441"/>
      <c r="CB85" s="441"/>
      <c r="CC85" s="441"/>
      <c r="CD85" s="407"/>
      <c r="CE85" s="407"/>
      <c r="CG85" s="407"/>
      <c r="CH85" s="407"/>
      <c r="CI85" s="407"/>
      <c r="DD85" s="408"/>
      <c r="DG85" s="408"/>
      <c r="DH85" s="408"/>
    </row>
    <row r="86" spans="1:112" s="406" customFormat="1" ht="59.25" x14ac:dyDescent="0.75">
      <c r="A86" s="408"/>
      <c r="B86" s="430"/>
      <c r="C86" s="545"/>
      <c r="D86" s="546"/>
      <c r="E86" s="545"/>
      <c r="F86" s="547"/>
      <c r="G86" s="408"/>
      <c r="Q86" s="408"/>
      <c r="R86" s="408"/>
      <c r="S86" s="430"/>
      <c r="T86" s="498"/>
      <c r="U86" s="498"/>
      <c r="V86" s="498"/>
      <c r="W86" s="498"/>
      <c r="Y86" s="498"/>
      <c r="Z86" s="498"/>
      <c r="AA86" s="498"/>
      <c r="AB86" s="498"/>
      <c r="AC86" s="498"/>
      <c r="AD86" s="498"/>
      <c r="AE86" s="498"/>
      <c r="AF86" s="498"/>
      <c r="AG86" s="493"/>
      <c r="AH86" s="493"/>
      <c r="AI86" s="493"/>
      <c r="AJ86" s="493"/>
      <c r="AK86" s="493"/>
      <c r="AL86" s="493"/>
      <c r="AM86" s="430"/>
      <c r="AN86" s="430"/>
      <c r="AO86" s="498"/>
      <c r="AP86" s="993"/>
      <c r="AQ86" s="498"/>
      <c r="AR86" s="498"/>
      <c r="AS86" s="430"/>
      <c r="AT86" s="500"/>
      <c r="AU86" s="500"/>
      <c r="AV86" s="498"/>
      <c r="AW86" s="430"/>
      <c r="AX86" s="430"/>
      <c r="AY86" s="430"/>
      <c r="AZ86" s="430"/>
      <c r="BA86" s="430"/>
      <c r="BB86" s="498"/>
      <c r="BC86" s="498"/>
      <c r="BD86" s="498"/>
      <c r="BE86" s="498"/>
      <c r="BF86" s="498"/>
      <c r="BG86" s="498"/>
      <c r="BH86" s="498"/>
      <c r="BI86" s="498"/>
      <c r="BJ86" s="498"/>
      <c r="BK86" s="498"/>
      <c r="BL86" s="498"/>
      <c r="BM86" s="407"/>
      <c r="BN86" s="407"/>
      <c r="BO86" s="407"/>
      <c r="BP86" s="407"/>
      <c r="BQ86" s="407"/>
      <c r="BR86" s="407"/>
      <c r="BS86" s="441"/>
      <c r="BT86" s="441"/>
      <c r="BU86" s="913"/>
      <c r="BV86" s="441"/>
      <c r="BW86" s="441"/>
      <c r="BX86" s="441"/>
      <c r="BY86" s="441"/>
      <c r="BZ86" s="441"/>
      <c r="CA86" s="441"/>
      <c r="CB86" s="441"/>
      <c r="CC86" s="441"/>
      <c r="CD86" s="407"/>
      <c r="CE86" s="407"/>
      <c r="CG86" s="407"/>
      <c r="CH86" s="407"/>
      <c r="CI86" s="407"/>
      <c r="DD86" s="408"/>
      <c r="DG86" s="408"/>
      <c r="DH86" s="408"/>
    </row>
    <row r="87" spans="1:112" s="406" customFormat="1" ht="59.25" x14ac:dyDescent="0.75">
      <c r="A87" s="970"/>
      <c r="B87" s="430"/>
      <c r="C87" s="545"/>
      <c r="D87" s="546"/>
      <c r="E87" s="545"/>
      <c r="F87" s="547"/>
      <c r="G87" s="970"/>
      <c r="Q87" s="970"/>
      <c r="R87" s="970"/>
      <c r="S87" s="430"/>
      <c r="T87" s="498"/>
      <c r="U87" s="498"/>
      <c r="V87" s="498"/>
      <c r="W87" s="498"/>
      <c r="Y87" s="498"/>
      <c r="Z87" s="498"/>
      <c r="AA87" s="498"/>
      <c r="AB87" s="498"/>
      <c r="AC87" s="498"/>
      <c r="AD87" s="498"/>
      <c r="AE87" s="498"/>
      <c r="AF87" s="498"/>
      <c r="AG87" s="493"/>
      <c r="AH87" s="493"/>
      <c r="AI87" s="493"/>
      <c r="AJ87" s="493"/>
      <c r="AK87" s="493"/>
      <c r="AL87" s="493"/>
      <c r="AM87" s="430"/>
      <c r="AN87" s="430"/>
      <c r="AO87" s="498"/>
      <c r="AP87" s="993"/>
      <c r="AQ87" s="498"/>
      <c r="AR87" s="498"/>
      <c r="AS87" s="430"/>
      <c r="AT87" s="500"/>
      <c r="AU87" s="500"/>
      <c r="AV87" s="498"/>
      <c r="AW87" s="430"/>
      <c r="AX87" s="430"/>
      <c r="AY87" s="430"/>
      <c r="AZ87" s="430"/>
      <c r="BA87" s="430"/>
      <c r="BB87" s="498"/>
      <c r="BC87" s="498"/>
      <c r="BD87" s="498"/>
      <c r="BE87" s="498"/>
      <c r="BF87" s="498"/>
      <c r="BG87" s="498"/>
      <c r="BH87" s="498"/>
      <c r="BI87" s="498"/>
      <c r="BJ87" s="498"/>
      <c r="BK87" s="498"/>
      <c r="BL87" s="498"/>
      <c r="BM87" s="407"/>
      <c r="BN87" s="407"/>
      <c r="BO87" s="407"/>
      <c r="BP87" s="407"/>
      <c r="BQ87" s="407"/>
      <c r="BR87" s="407"/>
      <c r="BS87" s="441"/>
      <c r="BT87" s="441"/>
      <c r="BU87" s="913"/>
      <c r="BV87" s="441"/>
      <c r="BW87" s="441"/>
      <c r="BX87" s="441"/>
      <c r="BY87" s="441"/>
      <c r="BZ87" s="441"/>
      <c r="CA87" s="441"/>
      <c r="CB87" s="441"/>
      <c r="CC87" s="441"/>
      <c r="CD87" s="407"/>
      <c r="CE87" s="407"/>
      <c r="CG87" s="407"/>
      <c r="CH87" s="407"/>
      <c r="CI87" s="407"/>
      <c r="DD87" s="970"/>
      <c r="DG87" s="970"/>
      <c r="DH87" s="970"/>
    </row>
    <row r="88" spans="1:112" s="406" customFormat="1" ht="59.25" x14ac:dyDescent="0.75">
      <c r="A88" s="970"/>
      <c r="B88" s="430"/>
      <c r="C88" s="545"/>
      <c r="D88" s="546"/>
      <c r="E88" s="545"/>
      <c r="F88" s="547"/>
      <c r="G88" s="970"/>
      <c r="Q88" s="970"/>
      <c r="R88" s="970"/>
      <c r="S88" s="430"/>
      <c r="T88" s="498"/>
      <c r="U88" s="498"/>
      <c r="V88" s="498"/>
      <c r="W88" s="498"/>
      <c r="Y88" s="498"/>
      <c r="Z88" s="498"/>
      <c r="AA88" s="498"/>
      <c r="AB88" s="498"/>
      <c r="AC88" s="498"/>
      <c r="AD88" s="498"/>
      <c r="AE88" s="498"/>
      <c r="AF88" s="498"/>
      <c r="AG88" s="493"/>
      <c r="AH88" s="493"/>
      <c r="AI88" s="493"/>
      <c r="AJ88" s="493"/>
      <c r="AK88" s="493"/>
      <c r="AL88" s="493"/>
      <c r="AM88" s="430"/>
      <c r="AN88" s="430"/>
      <c r="AO88" s="498"/>
      <c r="AP88" s="993"/>
      <c r="AQ88" s="498"/>
      <c r="AR88" s="498"/>
      <c r="AS88" s="430"/>
      <c r="AT88" s="500"/>
      <c r="AU88" s="500"/>
      <c r="AV88" s="498"/>
      <c r="AW88" s="430"/>
      <c r="AX88" s="430"/>
      <c r="AY88" s="430"/>
      <c r="AZ88" s="430"/>
      <c r="BA88" s="430"/>
      <c r="BB88" s="498"/>
      <c r="BC88" s="498"/>
      <c r="BD88" s="498"/>
      <c r="BE88" s="498"/>
      <c r="BF88" s="498"/>
      <c r="BG88" s="498"/>
      <c r="BH88" s="498"/>
      <c r="BI88" s="498"/>
      <c r="BJ88" s="498"/>
      <c r="BK88" s="498"/>
      <c r="BL88" s="498"/>
      <c r="BM88" s="407"/>
      <c r="BN88" s="407"/>
      <c r="BO88" s="407"/>
      <c r="BP88" s="407"/>
      <c r="BQ88" s="407"/>
      <c r="BR88" s="407"/>
      <c r="BS88" s="441"/>
      <c r="BT88" s="441"/>
      <c r="BU88" s="913"/>
      <c r="BV88" s="441"/>
      <c r="BW88" s="441"/>
      <c r="BX88" s="441"/>
      <c r="BY88" s="441"/>
      <c r="BZ88" s="441"/>
      <c r="CA88" s="441"/>
      <c r="CB88" s="441"/>
      <c r="CC88" s="441"/>
      <c r="CD88" s="407"/>
      <c r="CE88" s="407"/>
      <c r="CG88" s="407"/>
      <c r="CH88" s="407"/>
      <c r="CI88" s="407"/>
      <c r="DD88" s="970"/>
      <c r="DG88" s="970"/>
      <c r="DH88" s="970"/>
    </row>
    <row r="89" spans="1:112" s="406" customFormat="1" ht="59.25" x14ac:dyDescent="0.75">
      <c r="A89" s="970"/>
      <c r="B89" s="430"/>
      <c r="C89" s="545"/>
      <c r="D89" s="546"/>
      <c r="E89" s="545"/>
      <c r="F89" s="547"/>
      <c r="G89" s="970"/>
      <c r="Q89" s="970"/>
      <c r="R89" s="970"/>
      <c r="S89" s="430"/>
      <c r="T89" s="498"/>
      <c r="U89" s="498"/>
      <c r="V89" s="498"/>
      <c r="W89" s="498"/>
      <c r="Y89" s="498"/>
      <c r="Z89" s="498"/>
      <c r="AA89" s="498"/>
      <c r="AB89" s="498"/>
      <c r="AC89" s="498"/>
      <c r="AD89" s="498"/>
      <c r="AE89" s="498"/>
      <c r="AF89" s="498"/>
      <c r="AG89" s="493"/>
      <c r="AH89" s="493"/>
      <c r="AI89" s="493"/>
      <c r="AJ89" s="493"/>
      <c r="AK89" s="493"/>
      <c r="AL89" s="493"/>
      <c r="AM89" s="430"/>
      <c r="AN89" s="430"/>
      <c r="AO89" s="498"/>
      <c r="AP89" s="993"/>
      <c r="AQ89" s="498"/>
      <c r="AR89" s="498"/>
      <c r="AS89" s="430"/>
      <c r="AT89" s="500"/>
      <c r="AU89" s="500"/>
      <c r="AV89" s="498"/>
      <c r="AW89" s="430"/>
      <c r="AX89" s="430"/>
      <c r="AY89" s="430"/>
      <c r="AZ89" s="430"/>
      <c r="BA89" s="430"/>
      <c r="BB89" s="498"/>
      <c r="BC89" s="498"/>
      <c r="BD89" s="498"/>
      <c r="BE89" s="498"/>
      <c r="BF89" s="498"/>
      <c r="BG89" s="498"/>
      <c r="BH89" s="498"/>
      <c r="BI89" s="498"/>
      <c r="BJ89" s="498"/>
      <c r="BK89" s="498"/>
      <c r="BL89" s="498"/>
      <c r="BM89" s="407"/>
      <c r="BN89" s="407"/>
      <c r="BO89" s="407"/>
      <c r="BP89" s="407"/>
      <c r="BQ89" s="407"/>
      <c r="BR89" s="407"/>
      <c r="BS89" s="441"/>
      <c r="BT89" s="441"/>
      <c r="BU89" s="913"/>
      <c r="BV89" s="441"/>
      <c r="BW89" s="441"/>
      <c r="BX89" s="441"/>
      <c r="BY89" s="441"/>
      <c r="BZ89" s="441"/>
      <c r="CA89" s="441"/>
      <c r="CB89" s="441"/>
      <c r="CC89" s="441"/>
      <c r="CD89" s="407"/>
      <c r="CE89" s="407"/>
      <c r="CG89" s="407"/>
      <c r="CH89" s="407"/>
      <c r="CI89" s="407"/>
      <c r="DD89" s="970"/>
      <c r="DG89" s="970"/>
      <c r="DH89" s="970"/>
    </row>
    <row r="90" spans="1:112" s="406" customFormat="1" ht="59.25" x14ac:dyDescent="0.75">
      <c r="A90" s="970"/>
      <c r="B90" s="430"/>
      <c r="C90" s="545"/>
      <c r="D90" s="546"/>
      <c r="E90" s="545"/>
      <c r="F90" s="547"/>
      <c r="G90" s="970"/>
      <c r="Q90" s="970"/>
      <c r="R90" s="970"/>
      <c r="S90" s="430"/>
      <c r="T90" s="498"/>
      <c r="U90" s="498"/>
      <c r="V90" s="498"/>
      <c r="W90" s="498"/>
      <c r="Y90" s="498"/>
      <c r="Z90" s="498"/>
      <c r="AA90" s="498"/>
      <c r="AB90" s="498"/>
      <c r="AC90" s="498"/>
      <c r="AD90" s="498"/>
      <c r="AE90" s="498"/>
      <c r="AF90" s="498"/>
      <c r="AG90" s="493"/>
      <c r="AH90" s="493"/>
      <c r="AI90" s="493"/>
      <c r="AJ90" s="493"/>
      <c r="AK90" s="493"/>
      <c r="AL90" s="493"/>
      <c r="AM90" s="430"/>
      <c r="AN90" s="430"/>
      <c r="AO90" s="498"/>
      <c r="AP90" s="993"/>
      <c r="AQ90" s="498"/>
      <c r="AR90" s="498"/>
      <c r="AS90" s="430"/>
      <c r="AT90" s="500"/>
      <c r="AU90" s="500"/>
      <c r="AV90" s="498"/>
      <c r="AW90" s="430"/>
      <c r="AX90" s="430"/>
      <c r="AY90" s="430"/>
      <c r="AZ90" s="430"/>
      <c r="BA90" s="430"/>
      <c r="BB90" s="498"/>
      <c r="BC90" s="498"/>
      <c r="BD90" s="498"/>
      <c r="BE90" s="498"/>
      <c r="BF90" s="498"/>
      <c r="BG90" s="498"/>
      <c r="BH90" s="498"/>
      <c r="BI90" s="498"/>
      <c r="BJ90" s="498"/>
      <c r="BK90" s="498"/>
      <c r="BL90" s="498"/>
      <c r="BM90" s="407"/>
      <c r="BN90" s="407"/>
      <c r="BO90" s="407"/>
      <c r="BP90" s="407"/>
      <c r="BQ90" s="407"/>
      <c r="BR90" s="407"/>
      <c r="BS90" s="441"/>
      <c r="BT90" s="441"/>
      <c r="BU90" s="913"/>
      <c r="BV90" s="441"/>
      <c r="BW90" s="441"/>
      <c r="BX90" s="441"/>
      <c r="BY90" s="441"/>
      <c r="BZ90" s="441"/>
      <c r="CA90" s="441"/>
      <c r="CB90" s="441"/>
      <c r="CC90" s="441"/>
      <c r="CD90" s="407"/>
      <c r="CE90" s="407"/>
      <c r="CG90" s="407"/>
      <c r="CH90" s="407"/>
      <c r="CI90" s="407"/>
      <c r="DD90" s="970"/>
      <c r="DG90" s="970"/>
      <c r="DH90" s="970"/>
    </row>
    <row r="91" spans="1:112" s="406" customFormat="1" ht="59.25" x14ac:dyDescent="0.75">
      <c r="A91" s="970"/>
      <c r="B91" s="430"/>
      <c r="C91" s="545"/>
      <c r="D91" s="546"/>
      <c r="E91" s="545"/>
      <c r="F91" s="547"/>
      <c r="G91" s="970"/>
      <c r="Q91" s="970"/>
      <c r="R91" s="970"/>
      <c r="S91" s="430"/>
      <c r="T91" s="498"/>
      <c r="U91" s="498"/>
      <c r="V91" s="498"/>
      <c r="W91" s="498"/>
      <c r="Y91" s="498"/>
      <c r="Z91" s="498"/>
      <c r="AA91" s="498"/>
      <c r="AB91" s="498"/>
      <c r="AC91" s="498"/>
      <c r="AD91" s="498"/>
      <c r="AE91" s="498"/>
      <c r="AF91" s="498"/>
      <c r="AG91" s="493"/>
      <c r="AH91" s="493"/>
      <c r="AI91" s="493"/>
      <c r="AJ91" s="493"/>
      <c r="AK91" s="493"/>
      <c r="AL91" s="493"/>
      <c r="AM91" s="430"/>
      <c r="AN91" s="430"/>
      <c r="AO91" s="498"/>
      <c r="AP91" s="993"/>
      <c r="AQ91" s="498"/>
      <c r="AR91" s="498"/>
      <c r="AS91" s="430"/>
      <c r="AT91" s="500"/>
      <c r="AU91" s="500"/>
      <c r="AV91" s="498"/>
      <c r="AW91" s="430"/>
      <c r="AX91" s="430"/>
      <c r="AY91" s="430"/>
      <c r="AZ91" s="430"/>
      <c r="BA91" s="430"/>
      <c r="BB91" s="498"/>
      <c r="BC91" s="498"/>
      <c r="BD91" s="498"/>
      <c r="BE91" s="498"/>
      <c r="BF91" s="498"/>
      <c r="BG91" s="498"/>
      <c r="BH91" s="498"/>
      <c r="BI91" s="498"/>
      <c r="BJ91" s="498"/>
      <c r="BK91" s="498"/>
      <c r="BL91" s="498"/>
      <c r="BM91" s="407"/>
      <c r="BN91" s="407"/>
      <c r="BO91" s="407"/>
      <c r="BP91" s="407"/>
      <c r="BQ91" s="407"/>
      <c r="BR91" s="407"/>
      <c r="BS91" s="441"/>
      <c r="BT91" s="441"/>
      <c r="BU91" s="913"/>
      <c r="BV91" s="441"/>
      <c r="BW91" s="441"/>
      <c r="BX91" s="441"/>
      <c r="BY91" s="441"/>
      <c r="BZ91" s="441"/>
      <c r="CA91" s="441"/>
      <c r="CB91" s="441"/>
      <c r="CC91" s="441"/>
      <c r="CD91" s="407"/>
      <c r="CE91" s="407"/>
      <c r="CG91" s="407"/>
      <c r="CH91" s="407"/>
      <c r="CI91" s="407"/>
      <c r="DD91" s="970"/>
      <c r="DG91" s="970"/>
      <c r="DH91" s="970"/>
    </row>
    <row r="92" spans="1:112" s="406" customFormat="1" ht="59.25" x14ac:dyDescent="0.75">
      <c r="A92" s="970"/>
      <c r="B92" s="430"/>
      <c r="C92" s="545"/>
      <c r="D92" s="546"/>
      <c r="E92" s="545"/>
      <c r="F92" s="547"/>
      <c r="G92" s="970"/>
      <c r="Q92" s="970"/>
      <c r="R92" s="970"/>
      <c r="S92" s="430"/>
      <c r="T92" s="498"/>
      <c r="U92" s="498"/>
      <c r="V92" s="498"/>
      <c r="W92" s="498"/>
      <c r="Y92" s="498"/>
      <c r="Z92" s="498"/>
      <c r="AA92" s="498"/>
      <c r="AB92" s="498"/>
      <c r="AC92" s="498"/>
      <c r="AD92" s="498"/>
      <c r="AE92" s="498"/>
      <c r="AF92" s="498"/>
      <c r="AG92" s="493"/>
      <c r="AH92" s="493"/>
      <c r="AI92" s="493"/>
      <c r="AJ92" s="493"/>
      <c r="AK92" s="493"/>
      <c r="AL92" s="493"/>
      <c r="AM92" s="430"/>
      <c r="AN92" s="430"/>
      <c r="AO92" s="498"/>
      <c r="AP92" s="993"/>
      <c r="AQ92" s="498"/>
      <c r="AR92" s="498"/>
      <c r="AS92" s="430"/>
      <c r="AT92" s="500"/>
      <c r="AU92" s="500"/>
      <c r="AV92" s="498"/>
      <c r="AW92" s="430"/>
      <c r="AX92" s="430"/>
      <c r="AY92" s="430"/>
      <c r="AZ92" s="430"/>
      <c r="BA92" s="430"/>
      <c r="BB92" s="498"/>
      <c r="BC92" s="498"/>
      <c r="BD92" s="498"/>
      <c r="BE92" s="498"/>
      <c r="BF92" s="498"/>
      <c r="BG92" s="498"/>
      <c r="BH92" s="498"/>
      <c r="BI92" s="498"/>
      <c r="BJ92" s="498"/>
      <c r="BK92" s="498"/>
      <c r="BL92" s="498"/>
      <c r="BM92" s="407"/>
      <c r="BN92" s="407"/>
      <c r="BO92" s="407"/>
      <c r="BP92" s="407"/>
      <c r="BQ92" s="407"/>
      <c r="BR92" s="407"/>
      <c r="BS92" s="441"/>
      <c r="BT92" s="441"/>
      <c r="BU92" s="913"/>
      <c r="BV92" s="441"/>
      <c r="BW92" s="441"/>
      <c r="BX92" s="441"/>
      <c r="BY92" s="441"/>
      <c r="BZ92" s="441"/>
      <c r="CA92" s="441"/>
      <c r="CB92" s="441"/>
      <c r="CC92" s="441"/>
      <c r="CD92" s="407"/>
      <c r="CE92" s="407"/>
      <c r="CG92" s="407"/>
      <c r="CH92" s="407"/>
      <c r="CI92" s="407"/>
      <c r="DD92" s="970"/>
      <c r="DG92" s="970"/>
      <c r="DH92" s="970"/>
    </row>
    <row r="93" spans="1:112" s="406" customFormat="1" ht="59.25" x14ac:dyDescent="0.75">
      <c r="A93" s="970"/>
      <c r="B93" s="430"/>
      <c r="C93" s="545"/>
      <c r="D93" s="546"/>
      <c r="E93" s="545"/>
      <c r="F93" s="547"/>
      <c r="G93" s="970"/>
      <c r="Q93" s="970"/>
      <c r="R93" s="970"/>
      <c r="S93" s="430"/>
      <c r="T93" s="498"/>
      <c r="U93" s="498"/>
      <c r="V93" s="498"/>
      <c r="W93" s="498"/>
      <c r="Y93" s="498"/>
      <c r="Z93" s="498"/>
      <c r="AA93" s="498"/>
      <c r="AB93" s="498"/>
      <c r="AC93" s="498"/>
      <c r="AD93" s="498"/>
      <c r="AE93" s="498"/>
      <c r="AF93" s="498"/>
      <c r="AG93" s="493"/>
      <c r="AH93" s="493"/>
      <c r="AI93" s="493"/>
      <c r="AJ93" s="493"/>
      <c r="AK93" s="493"/>
      <c r="AL93" s="493"/>
      <c r="AM93" s="430"/>
      <c r="AN93" s="430"/>
      <c r="AO93" s="498"/>
      <c r="AP93" s="993"/>
      <c r="AQ93" s="498"/>
      <c r="AR93" s="498"/>
      <c r="AS93" s="430"/>
      <c r="AT93" s="500"/>
      <c r="AU93" s="500"/>
      <c r="AV93" s="498"/>
      <c r="AW93" s="430"/>
      <c r="AX93" s="430"/>
      <c r="AY93" s="430"/>
      <c r="AZ93" s="430"/>
      <c r="BA93" s="430"/>
      <c r="BB93" s="498"/>
      <c r="BC93" s="498"/>
      <c r="BD93" s="498"/>
      <c r="BE93" s="498"/>
      <c r="BF93" s="498"/>
      <c r="BG93" s="498"/>
      <c r="BH93" s="498"/>
      <c r="BI93" s="498"/>
      <c r="BJ93" s="498"/>
      <c r="BK93" s="498"/>
      <c r="BL93" s="498"/>
      <c r="BM93" s="407"/>
      <c r="BN93" s="407"/>
      <c r="BO93" s="407"/>
      <c r="BP93" s="407"/>
      <c r="BQ93" s="407"/>
      <c r="BR93" s="407"/>
      <c r="BS93" s="441"/>
      <c r="BT93" s="441"/>
      <c r="BU93" s="913"/>
      <c r="BV93" s="441"/>
      <c r="BW93" s="441"/>
      <c r="BX93" s="441"/>
      <c r="BY93" s="441"/>
      <c r="BZ93" s="441"/>
      <c r="CA93" s="441"/>
      <c r="CB93" s="441"/>
      <c r="CC93" s="441"/>
      <c r="CD93" s="407"/>
      <c r="CE93" s="407"/>
      <c r="CG93" s="407"/>
      <c r="CH93" s="407"/>
      <c r="CI93" s="407"/>
      <c r="DD93" s="970"/>
      <c r="DG93" s="970"/>
      <c r="DH93" s="970"/>
    </row>
    <row r="94" spans="1:112" s="406" customFormat="1" ht="59.25" x14ac:dyDescent="0.75">
      <c r="A94" s="970"/>
      <c r="B94" s="430"/>
      <c r="C94" s="545"/>
      <c r="D94" s="546"/>
      <c r="E94" s="545"/>
      <c r="F94" s="547"/>
      <c r="G94" s="970"/>
      <c r="Q94" s="970"/>
      <c r="R94" s="970"/>
      <c r="S94" s="430"/>
      <c r="T94" s="498"/>
      <c r="U94" s="498"/>
      <c r="V94" s="498"/>
      <c r="W94" s="498"/>
      <c r="Y94" s="498"/>
      <c r="Z94" s="498"/>
      <c r="AA94" s="498"/>
      <c r="AB94" s="498"/>
      <c r="AC94" s="498"/>
      <c r="AD94" s="498"/>
      <c r="AE94" s="498"/>
      <c r="AF94" s="498"/>
      <c r="AG94" s="493"/>
      <c r="AH94" s="493"/>
      <c r="AI94" s="493"/>
      <c r="AJ94" s="493"/>
      <c r="AK94" s="493"/>
      <c r="AL94" s="493"/>
      <c r="AM94" s="430"/>
      <c r="AN94" s="430"/>
      <c r="AO94" s="498"/>
      <c r="AP94" s="993"/>
      <c r="AQ94" s="498"/>
      <c r="AR94" s="498"/>
      <c r="AS94" s="430"/>
      <c r="AT94" s="500"/>
      <c r="AU94" s="500"/>
      <c r="AV94" s="498"/>
      <c r="AW94" s="430"/>
      <c r="AX94" s="430"/>
      <c r="AY94" s="430"/>
      <c r="AZ94" s="430"/>
      <c r="BA94" s="430"/>
      <c r="BB94" s="498"/>
      <c r="BC94" s="498"/>
      <c r="BD94" s="498"/>
      <c r="BE94" s="498"/>
      <c r="BF94" s="498"/>
      <c r="BG94" s="498"/>
      <c r="BH94" s="498"/>
      <c r="BI94" s="498"/>
      <c r="BJ94" s="498"/>
      <c r="BK94" s="498"/>
      <c r="BL94" s="498"/>
      <c r="BM94" s="407"/>
      <c r="BN94" s="407"/>
      <c r="BO94" s="407"/>
      <c r="BP94" s="407"/>
      <c r="BQ94" s="407"/>
      <c r="BR94" s="407"/>
      <c r="BS94" s="441"/>
      <c r="BT94" s="441"/>
      <c r="BU94" s="913"/>
      <c r="BV94" s="441"/>
      <c r="BW94" s="441"/>
      <c r="BX94" s="441"/>
      <c r="BY94" s="441"/>
      <c r="BZ94" s="441"/>
      <c r="CA94" s="441"/>
      <c r="CB94" s="441"/>
      <c r="CC94" s="441"/>
      <c r="CD94" s="407"/>
      <c r="CE94" s="407"/>
      <c r="CG94" s="407"/>
      <c r="CH94" s="407"/>
      <c r="CI94" s="407"/>
      <c r="DD94" s="970"/>
      <c r="DG94" s="970"/>
      <c r="DH94" s="970"/>
    </row>
    <row r="95" spans="1:112" s="406" customFormat="1" ht="59.25" x14ac:dyDescent="0.75">
      <c r="A95" s="970"/>
      <c r="B95" s="430"/>
      <c r="C95" s="545"/>
      <c r="D95" s="546"/>
      <c r="E95" s="545"/>
      <c r="F95" s="547"/>
      <c r="G95" s="970"/>
      <c r="Q95" s="970"/>
      <c r="R95" s="970"/>
      <c r="S95" s="430"/>
      <c r="T95" s="498"/>
      <c r="U95" s="498"/>
      <c r="V95" s="498"/>
      <c r="W95" s="498"/>
      <c r="Y95" s="498"/>
      <c r="Z95" s="498"/>
      <c r="AA95" s="498"/>
      <c r="AB95" s="498"/>
      <c r="AC95" s="498"/>
      <c r="AD95" s="498"/>
      <c r="AE95" s="498"/>
      <c r="AF95" s="498"/>
      <c r="AG95" s="493"/>
      <c r="AH95" s="493"/>
      <c r="AI95" s="493"/>
      <c r="AJ95" s="493"/>
      <c r="AK95" s="493"/>
      <c r="AL95" s="493"/>
      <c r="AM95" s="430"/>
      <c r="AN95" s="430"/>
      <c r="AO95" s="498"/>
      <c r="AP95" s="993"/>
      <c r="AQ95" s="498"/>
      <c r="AR95" s="498"/>
      <c r="AS95" s="430"/>
      <c r="AT95" s="500"/>
      <c r="AU95" s="500"/>
      <c r="AV95" s="498"/>
      <c r="AW95" s="430"/>
      <c r="AX95" s="430"/>
      <c r="AY95" s="430"/>
      <c r="AZ95" s="430"/>
      <c r="BA95" s="430"/>
      <c r="BB95" s="498"/>
      <c r="BC95" s="498"/>
      <c r="BD95" s="498"/>
      <c r="BE95" s="498"/>
      <c r="BF95" s="498"/>
      <c r="BG95" s="498"/>
      <c r="BH95" s="498"/>
      <c r="BI95" s="498"/>
      <c r="BJ95" s="498"/>
      <c r="BK95" s="498"/>
      <c r="BL95" s="498"/>
      <c r="BM95" s="407"/>
      <c r="BN95" s="407"/>
      <c r="BO95" s="407"/>
      <c r="BP95" s="407"/>
      <c r="BQ95" s="407"/>
      <c r="BR95" s="407"/>
      <c r="BS95" s="441"/>
      <c r="BT95" s="441"/>
      <c r="BU95" s="913"/>
      <c r="BV95" s="441"/>
      <c r="BW95" s="441"/>
      <c r="BX95" s="441"/>
      <c r="BY95" s="441"/>
      <c r="BZ95" s="441"/>
      <c r="CA95" s="441"/>
      <c r="CB95" s="441"/>
      <c r="CC95" s="441"/>
      <c r="CD95" s="407"/>
      <c r="CE95" s="407"/>
      <c r="CG95" s="407"/>
      <c r="CH95" s="407"/>
      <c r="CI95" s="407"/>
      <c r="DD95" s="970"/>
      <c r="DG95" s="970"/>
      <c r="DH95" s="970"/>
    </row>
    <row r="96" spans="1:112" s="406" customFormat="1" ht="59.25" x14ac:dyDescent="0.75">
      <c r="A96" s="970"/>
      <c r="B96" s="430"/>
      <c r="C96" s="545"/>
      <c r="D96" s="546"/>
      <c r="E96" s="545"/>
      <c r="F96" s="547"/>
      <c r="G96" s="970"/>
      <c r="Q96" s="970"/>
      <c r="R96" s="970"/>
      <c r="S96" s="430"/>
      <c r="T96" s="498"/>
      <c r="U96" s="498"/>
      <c r="V96" s="498"/>
      <c r="W96" s="498"/>
      <c r="Y96" s="498"/>
      <c r="Z96" s="498"/>
      <c r="AA96" s="498"/>
      <c r="AB96" s="498"/>
      <c r="AC96" s="498"/>
      <c r="AD96" s="498"/>
      <c r="AE96" s="498"/>
      <c r="AF96" s="498"/>
      <c r="AG96" s="493"/>
      <c r="AH96" s="493"/>
      <c r="AI96" s="493"/>
      <c r="AJ96" s="493"/>
      <c r="AK96" s="493"/>
      <c r="AL96" s="493"/>
      <c r="AM96" s="430"/>
      <c r="AN96" s="430"/>
      <c r="AO96" s="498"/>
      <c r="AP96" s="993"/>
      <c r="AQ96" s="498"/>
      <c r="AR96" s="498"/>
      <c r="AS96" s="430"/>
      <c r="AT96" s="500"/>
      <c r="AU96" s="500"/>
      <c r="AV96" s="498"/>
      <c r="AW96" s="430"/>
      <c r="AX96" s="430"/>
      <c r="AY96" s="430"/>
      <c r="AZ96" s="430"/>
      <c r="BA96" s="430"/>
      <c r="BB96" s="498"/>
      <c r="BC96" s="498"/>
      <c r="BD96" s="498"/>
      <c r="BE96" s="498"/>
      <c r="BF96" s="498"/>
      <c r="BG96" s="498"/>
      <c r="BH96" s="498"/>
      <c r="BI96" s="498"/>
      <c r="BJ96" s="498"/>
      <c r="BK96" s="498"/>
      <c r="BL96" s="498"/>
      <c r="BM96" s="407"/>
      <c r="BN96" s="407"/>
      <c r="BO96" s="407"/>
      <c r="BP96" s="407"/>
      <c r="BQ96" s="407"/>
      <c r="BR96" s="407"/>
      <c r="BS96" s="441"/>
      <c r="BT96" s="441"/>
      <c r="BU96" s="913"/>
      <c r="BV96" s="441"/>
      <c r="BW96" s="441"/>
      <c r="BX96" s="441"/>
      <c r="BY96" s="441"/>
      <c r="BZ96" s="441"/>
      <c r="CA96" s="441"/>
      <c r="CB96" s="441"/>
      <c r="CC96" s="441"/>
      <c r="CD96" s="407"/>
      <c r="CE96" s="407"/>
      <c r="CG96" s="407"/>
      <c r="CH96" s="407"/>
      <c r="CI96" s="407"/>
      <c r="DD96" s="970"/>
      <c r="DG96" s="970"/>
      <c r="DH96" s="970"/>
    </row>
    <row r="97" spans="1:112" s="406" customFormat="1" ht="59.25" x14ac:dyDescent="0.75">
      <c r="A97" s="970"/>
      <c r="B97" s="430"/>
      <c r="C97" s="545"/>
      <c r="D97" s="546"/>
      <c r="E97" s="545"/>
      <c r="F97" s="547"/>
      <c r="G97" s="970"/>
      <c r="Q97" s="970"/>
      <c r="R97" s="970"/>
      <c r="S97" s="430"/>
      <c r="T97" s="498"/>
      <c r="U97" s="498"/>
      <c r="V97" s="498"/>
      <c r="W97" s="498"/>
      <c r="Y97" s="498"/>
      <c r="Z97" s="498"/>
      <c r="AA97" s="498"/>
      <c r="AB97" s="498"/>
      <c r="AC97" s="498"/>
      <c r="AD97" s="498"/>
      <c r="AE97" s="498"/>
      <c r="AF97" s="498"/>
      <c r="AG97" s="493"/>
      <c r="AH97" s="493"/>
      <c r="AI97" s="493"/>
      <c r="AJ97" s="493"/>
      <c r="AK97" s="493"/>
      <c r="AL97" s="493"/>
      <c r="AM97" s="430"/>
      <c r="AN97" s="430"/>
      <c r="AO97" s="498"/>
      <c r="AP97" s="993"/>
      <c r="AQ97" s="498"/>
      <c r="AR97" s="498"/>
      <c r="AS97" s="430"/>
      <c r="AT97" s="500"/>
      <c r="AU97" s="500"/>
      <c r="AV97" s="498"/>
      <c r="AW97" s="430"/>
      <c r="AX97" s="430"/>
      <c r="AY97" s="430"/>
      <c r="AZ97" s="430"/>
      <c r="BA97" s="430"/>
      <c r="BB97" s="498"/>
      <c r="BC97" s="498"/>
      <c r="BD97" s="498"/>
      <c r="BE97" s="498"/>
      <c r="BF97" s="498"/>
      <c r="BG97" s="498"/>
      <c r="BH97" s="498"/>
      <c r="BI97" s="498"/>
      <c r="BJ97" s="498"/>
      <c r="BK97" s="498"/>
      <c r="BL97" s="498"/>
      <c r="BM97" s="407"/>
      <c r="BN97" s="407"/>
      <c r="BO97" s="407"/>
      <c r="BP97" s="407"/>
      <c r="BQ97" s="407"/>
      <c r="BR97" s="407"/>
      <c r="BS97" s="441"/>
      <c r="BT97" s="441"/>
      <c r="BU97" s="913"/>
      <c r="BV97" s="441"/>
      <c r="BW97" s="441"/>
      <c r="BX97" s="441"/>
      <c r="BY97" s="441"/>
      <c r="BZ97" s="441"/>
      <c r="CA97" s="441"/>
      <c r="CB97" s="441"/>
      <c r="CC97" s="441"/>
      <c r="CD97" s="407"/>
      <c r="CE97" s="407"/>
      <c r="CG97" s="407"/>
      <c r="CH97" s="407"/>
      <c r="CI97" s="407"/>
      <c r="DD97" s="970"/>
      <c r="DG97" s="970"/>
      <c r="DH97" s="970"/>
    </row>
    <row r="98" spans="1:112" s="406" customFormat="1" ht="59.25" x14ac:dyDescent="0.75">
      <c r="A98" s="970"/>
      <c r="B98" s="430"/>
      <c r="C98" s="545"/>
      <c r="D98" s="546"/>
      <c r="E98" s="545"/>
      <c r="F98" s="547"/>
      <c r="G98" s="970"/>
      <c r="Q98" s="970"/>
      <c r="R98" s="970"/>
      <c r="S98" s="430"/>
      <c r="T98" s="498"/>
      <c r="U98" s="498"/>
      <c r="V98" s="498"/>
      <c r="W98" s="498"/>
      <c r="Y98" s="498"/>
      <c r="Z98" s="498"/>
      <c r="AA98" s="498"/>
      <c r="AB98" s="498"/>
      <c r="AC98" s="498"/>
      <c r="AD98" s="498"/>
      <c r="AE98" s="498"/>
      <c r="AF98" s="498"/>
      <c r="AG98" s="493"/>
      <c r="AH98" s="493"/>
      <c r="AI98" s="493"/>
      <c r="AJ98" s="493"/>
      <c r="AK98" s="493"/>
      <c r="AL98" s="493"/>
      <c r="AM98" s="430"/>
      <c r="AN98" s="430"/>
      <c r="AO98" s="498"/>
      <c r="AP98" s="993"/>
      <c r="AQ98" s="498"/>
      <c r="AR98" s="498"/>
      <c r="AS98" s="430"/>
      <c r="AT98" s="500"/>
      <c r="AU98" s="500"/>
      <c r="AV98" s="498"/>
      <c r="AW98" s="430"/>
      <c r="AX98" s="430"/>
      <c r="AY98" s="430"/>
      <c r="AZ98" s="430"/>
      <c r="BA98" s="430"/>
      <c r="BB98" s="498"/>
      <c r="BC98" s="498"/>
      <c r="BD98" s="498"/>
      <c r="BE98" s="498"/>
      <c r="BF98" s="498"/>
      <c r="BG98" s="498"/>
      <c r="BH98" s="498"/>
      <c r="BI98" s="498"/>
      <c r="BJ98" s="498"/>
      <c r="BK98" s="498"/>
      <c r="BL98" s="498"/>
      <c r="BM98" s="407"/>
      <c r="BN98" s="407"/>
      <c r="BO98" s="407"/>
      <c r="BP98" s="407"/>
      <c r="BQ98" s="407"/>
      <c r="BR98" s="407"/>
      <c r="BS98" s="441"/>
      <c r="BT98" s="441"/>
      <c r="BU98" s="913"/>
      <c r="BV98" s="441"/>
      <c r="BW98" s="441"/>
      <c r="BX98" s="441"/>
      <c r="BY98" s="441"/>
      <c r="BZ98" s="441"/>
      <c r="CA98" s="441"/>
      <c r="CB98" s="441"/>
      <c r="CC98" s="441"/>
      <c r="CD98" s="407"/>
      <c r="CE98" s="407"/>
      <c r="CG98" s="407"/>
      <c r="CH98" s="407"/>
      <c r="CI98" s="407"/>
      <c r="DD98" s="970"/>
      <c r="DG98" s="970"/>
      <c r="DH98" s="970"/>
    </row>
    <row r="99" spans="1:112" s="406" customFormat="1" ht="59.25" x14ac:dyDescent="0.75">
      <c r="A99" s="970"/>
      <c r="B99" s="430"/>
      <c r="C99" s="545"/>
      <c r="D99" s="546"/>
      <c r="E99" s="545"/>
      <c r="F99" s="547"/>
      <c r="G99" s="970"/>
      <c r="Q99" s="970"/>
      <c r="R99" s="970"/>
      <c r="S99" s="430"/>
      <c r="T99" s="498"/>
      <c r="U99" s="498"/>
      <c r="V99" s="498"/>
      <c r="W99" s="498"/>
      <c r="Y99" s="498"/>
      <c r="Z99" s="498"/>
      <c r="AA99" s="498"/>
      <c r="AB99" s="498"/>
      <c r="AC99" s="498"/>
      <c r="AD99" s="498"/>
      <c r="AE99" s="498"/>
      <c r="AF99" s="498"/>
      <c r="AG99" s="493"/>
      <c r="AH99" s="493"/>
      <c r="AI99" s="493"/>
      <c r="AJ99" s="493"/>
      <c r="AK99" s="493"/>
      <c r="AL99" s="493"/>
      <c r="AM99" s="430"/>
      <c r="AN99" s="430"/>
      <c r="AO99" s="498"/>
      <c r="AP99" s="993"/>
      <c r="AQ99" s="498"/>
      <c r="AR99" s="498"/>
      <c r="AS99" s="430"/>
      <c r="AT99" s="500"/>
      <c r="AU99" s="500"/>
      <c r="AV99" s="498"/>
      <c r="AW99" s="430"/>
      <c r="AX99" s="430"/>
      <c r="AY99" s="430"/>
      <c r="AZ99" s="430"/>
      <c r="BA99" s="430"/>
      <c r="BB99" s="498"/>
      <c r="BC99" s="498"/>
      <c r="BD99" s="498"/>
      <c r="BE99" s="498"/>
      <c r="BF99" s="498"/>
      <c r="BG99" s="498"/>
      <c r="BH99" s="498"/>
      <c r="BI99" s="498"/>
      <c r="BJ99" s="498"/>
      <c r="BK99" s="498"/>
      <c r="BL99" s="498"/>
      <c r="BM99" s="407"/>
      <c r="BN99" s="407"/>
      <c r="BO99" s="407"/>
      <c r="BP99" s="407"/>
      <c r="BQ99" s="407"/>
      <c r="BR99" s="407"/>
      <c r="BS99" s="441"/>
      <c r="BT99" s="441"/>
      <c r="BU99" s="913"/>
      <c r="BV99" s="441"/>
      <c r="BW99" s="441"/>
      <c r="BX99" s="441"/>
      <c r="BY99" s="441"/>
      <c r="BZ99" s="441"/>
      <c r="CA99" s="441"/>
      <c r="CB99" s="441"/>
      <c r="CC99" s="441"/>
      <c r="CD99" s="407"/>
      <c r="CE99" s="407"/>
      <c r="CG99" s="407"/>
      <c r="CH99" s="407"/>
      <c r="CI99" s="407"/>
      <c r="DD99" s="970"/>
      <c r="DG99" s="970"/>
      <c r="DH99" s="970"/>
    </row>
    <row r="100" spans="1:112" s="406" customFormat="1" ht="59.25" x14ac:dyDescent="0.75">
      <c r="A100" s="970"/>
      <c r="B100" s="430"/>
      <c r="C100" s="545"/>
      <c r="D100" s="546"/>
      <c r="E100" s="545"/>
      <c r="F100" s="547"/>
      <c r="G100" s="970"/>
      <c r="Q100" s="970"/>
      <c r="R100" s="970"/>
      <c r="S100" s="430"/>
      <c r="T100" s="498"/>
      <c r="U100" s="498"/>
      <c r="V100" s="498"/>
      <c r="W100" s="498"/>
      <c r="Y100" s="498"/>
      <c r="Z100" s="498"/>
      <c r="AA100" s="498"/>
      <c r="AB100" s="498"/>
      <c r="AC100" s="498"/>
      <c r="AD100" s="498"/>
      <c r="AE100" s="498"/>
      <c r="AF100" s="498"/>
      <c r="AG100" s="493"/>
      <c r="AH100" s="493"/>
      <c r="AI100" s="493"/>
      <c r="AJ100" s="493"/>
      <c r="AK100" s="493"/>
      <c r="AL100" s="493"/>
      <c r="AM100" s="430"/>
      <c r="AN100" s="430"/>
      <c r="AO100" s="498"/>
      <c r="AP100" s="993"/>
      <c r="AQ100" s="498"/>
      <c r="AR100" s="498"/>
      <c r="AS100" s="430"/>
      <c r="AT100" s="500"/>
      <c r="AU100" s="500"/>
      <c r="AV100" s="498"/>
      <c r="AW100" s="430"/>
      <c r="AX100" s="430"/>
      <c r="AY100" s="430"/>
      <c r="AZ100" s="430"/>
      <c r="BA100" s="430"/>
      <c r="BB100" s="498"/>
      <c r="BC100" s="498"/>
      <c r="BD100" s="498"/>
      <c r="BE100" s="498"/>
      <c r="BF100" s="498"/>
      <c r="BG100" s="498"/>
      <c r="BH100" s="498"/>
      <c r="BI100" s="498"/>
      <c r="BJ100" s="498"/>
      <c r="BK100" s="498"/>
      <c r="BL100" s="498"/>
      <c r="BM100" s="407"/>
      <c r="BN100" s="407"/>
      <c r="BO100" s="407"/>
      <c r="BP100" s="407"/>
      <c r="BQ100" s="407"/>
      <c r="BR100" s="407"/>
      <c r="BS100" s="441"/>
      <c r="BT100" s="441"/>
      <c r="BU100" s="913"/>
      <c r="BV100" s="441"/>
      <c r="BW100" s="441"/>
      <c r="BX100" s="441"/>
      <c r="BY100" s="441"/>
      <c r="BZ100" s="441"/>
      <c r="CA100" s="441"/>
      <c r="CB100" s="441"/>
      <c r="CC100" s="441"/>
      <c r="CD100" s="407"/>
      <c r="CE100" s="407"/>
      <c r="CG100" s="407"/>
      <c r="CH100" s="407"/>
      <c r="CI100" s="407"/>
      <c r="DD100" s="970"/>
      <c r="DG100" s="970"/>
      <c r="DH100" s="970"/>
    </row>
    <row r="101" spans="1:112" s="406" customFormat="1" ht="59.25" x14ac:dyDescent="0.75">
      <c r="A101" s="970"/>
      <c r="B101" s="430"/>
      <c r="C101" s="545"/>
      <c r="D101" s="546"/>
      <c r="E101" s="545"/>
      <c r="F101" s="547"/>
      <c r="G101" s="970"/>
      <c r="Q101" s="970"/>
      <c r="R101" s="970"/>
      <c r="S101" s="430"/>
      <c r="T101" s="498"/>
      <c r="U101" s="498"/>
      <c r="V101" s="498"/>
      <c r="W101" s="498"/>
      <c r="Y101" s="498"/>
      <c r="Z101" s="498"/>
      <c r="AA101" s="498"/>
      <c r="AB101" s="498"/>
      <c r="AC101" s="498"/>
      <c r="AD101" s="498"/>
      <c r="AE101" s="498"/>
      <c r="AF101" s="498"/>
      <c r="AG101" s="493"/>
      <c r="AH101" s="493"/>
      <c r="AI101" s="493"/>
      <c r="AJ101" s="493"/>
      <c r="AK101" s="493"/>
      <c r="AL101" s="493"/>
      <c r="AM101" s="430"/>
      <c r="AN101" s="430"/>
      <c r="AO101" s="498"/>
      <c r="AP101" s="993"/>
      <c r="AQ101" s="498"/>
      <c r="AR101" s="498"/>
      <c r="AS101" s="430"/>
      <c r="AT101" s="500"/>
      <c r="AU101" s="500"/>
      <c r="AV101" s="498"/>
      <c r="AW101" s="430"/>
      <c r="AX101" s="430"/>
      <c r="AY101" s="430"/>
      <c r="AZ101" s="430"/>
      <c r="BA101" s="430"/>
      <c r="BB101" s="498"/>
      <c r="BC101" s="498"/>
      <c r="BD101" s="498"/>
      <c r="BE101" s="498"/>
      <c r="BF101" s="498"/>
      <c r="BG101" s="498"/>
      <c r="BH101" s="498"/>
      <c r="BI101" s="498"/>
      <c r="BJ101" s="498"/>
      <c r="BK101" s="498"/>
      <c r="BL101" s="498"/>
      <c r="BM101" s="407"/>
      <c r="BN101" s="407"/>
      <c r="BO101" s="407"/>
      <c r="BP101" s="407"/>
      <c r="BQ101" s="407"/>
      <c r="BR101" s="407"/>
      <c r="BS101" s="441"/>
      <c r="BT101" s="441"/>
      <c r="BU101" s="913"/>
      <c r="BV101" s="441"/>
      <c r="BW101" s="441"/>
      <c r="BX101" s="441"/>
      <c r="BY101" s="441"/>
      <c r="BZ101" s="441"/>
      <c r="CA101" s="441"/>
      <c r="CB101" s="441"/>
      <c r="CC101" s="441"/>
      <c r="CD101" s="407"/>
      <c r="CE101" s="407"/>
      <c r="CG101" s="407"/>
      <c r="CH101" s="407"/>
      <c r="CI101" s="407"/>
      <c r="DD101" s="970"/>
      <c r="DG101" s="970"/>
      <c r="DH101" s="970"/>
    </row>
    <row r="102" spans="1:112" s="406" customFormat="1" ht="59.25" x14ac:dyDescent="0.75">
      <c r="A102" s="970"/>
      <c r="B102" s="430"/>
      <c r="C102" s="545"/>
      <c r="D102" s="546"/>
      <c r="E102" s="545"/>
      <c r="F102" s="547"/>
      <c r="G102" s="970"/>
      <c r="Q102" s="970"/>
      <c r="R102" s="970"/>
      <c r="S102" s="430"/>
      <c r="T102" s="498"/>
      <c r="U102" s="498"/>
      <c r="V102" s="498"/>
      <c r="W102" s="498"/>
      <c r="Y102" s="498"/>
      <c r="Z102" s="498"/>
      <c r="AA102" s="498"/>
      <c r="AB102" s="498"/>
      <c r="AC102" s="498"/>
      <c r="AD102" s="498"/>
      <c r="AE102" s="498"/>
      <c r="AF102" s="498"/>
      <c r="AG102" s="493"/>
      <c r="AH102" s="493"/>
      <c r="AI102" s="493"/>
      <c r="AJ102" s="493"/>
      <c r="AK102" s="493"/>
      <c r="AL102" s="493"/>
      <c r="AM102" s="430"/>
      <c r="AN102" s="430"/>
      <c r="AO102" s="498"/>
      <c r="AP102" s="993"/>
      <c r="AQ102" s="498"/>
      <c r="AR102" s="498"/>
      <c r="AS102" s="430"/>
      <c r="AT102" s="500"/>
      <c r="AU102" s="500"/>
      <c r="AV102" s="498"/>
      <c r="AW102" s="430"/>
      <c r="AX102" s="430"/>
      <c r="AY102" s="430"/>
      <c r="AZ102" s="430"/>
      <c r="BA102" s="430"/>
      <c r="BB102" s="498"/>
      <c r="BC102" s="498"/>
      <c r="BD102" s="498"/>
      <c r="BE102" s="498"/>
      <c r="BF102" s="498"/>
      <c r="BG102" s="498"/>
      <c r="BH102" s="498"/>
      <c r="BI102" s="498"/>
      <c r="BJ102" s="498"/>
      <c r="BK102" s="498"/>
      <c r="BL102" s="498"/>
      <c r="BM102" s="407"/>
      <c r="BN102" s="407"/>
      <c r="BO102" s="407"/>
      <c r="BP102" s="407"/>
      <c r="BQ102" s="407"/>
      <c r="BR102" s="407"/>
      <c r="BS102" s="441"/>
      <c r="BT102" s="441"/>
      <c r="BU102" s="913"/>
      <c r="BV102" s="441"/>
      <c r="BW102" s="441"/>
      <c r="BX102" s="441"/>
      <c r="BY102" s="441"/>
      <c r="BZ102" s="441"/>
      <c r="CA102" s="441"/>
      <c r="CB102" s="441"/>
      <c r="CC102" s="441"/>
      <c r="CD102" s="407"/>
      <c r="CE102" s="407"/>
      <c r="CG102" s="407"/>
      <c r="CH102" s="407"/>
      <c r="CI102" s="407"/>
      <c r="DD102" s="970"/>
      <c r="DG102" s="970"/>
      <c r="DH102" s="970"/>
    </row>
    <row r="103" spans="1:112" s="406" customFormat="1" ht="59.25" x14ac:dyDescent="0.75">
      <c r="A103" s="970"/>
      <c r="B103" s="430"/>
      <c r="C103" s="545"/>
      <c r="D103" s="546"/>
      <c r="E103" s="545"/>
      <c r="F103" s="547"/>
      <c r="G103" s="970"/>
      <c r="Q103" s="970"/>
      <c r="R103" s="970"/>
      <c r="S103" s="430"/>
      <c r="T103" s="498"/>
      <c r="U103" s="498"/>
      <c r="V103" s="498"/>
      <c r="W103" s="498"/>
      <c r="Y103" s="498"/>
      <c r="Z103" s="498"/>
      <c r="AA103" s="498"/>
      <c r="AB103" s="498"/>
      <c r="AC103" s="498"/>
      <c r="AD103" s="498"/>
      <c r="AE103" s="498"/>
      <c r="AF103" s="498"/>
      <c r="AG103" s="493"/>
      <c r="AH103" s="493"/>
      <c r="AI103" s="493"/>
      <c r="AJ103" s="493"/>
      <c r="AK103" s="493"/>
      <c r="AL103" s="493"/>
      <c r="AM103" s="430"/>
      <c r="AN103" s="430"/>
      <c r="AO103" s="498"/>
      <c r="AP103" s="993"/>
      <c r="AQ103" s="498"/>
      <c r="AR103" s="498"/>
      <c r="AS103" s="430"/>
      <c r="AT103" s="500"/>
      <c r="AU103" s="500"/>
      <c r="AV103" s="498"/>
      <c r="AW103" s="430"/>
      <c r="AX103" s="430"/>
      <c r="AY103" s="430"/>
      <c r="AZ103" s="430"/>
      <c r="BA103" s="430"/>
      <c r="BB103" s="498"/>
      <c r="BC103" s="498"/>
      <c r="BD103" s="498"/>
      <c r="BE103" s="498"/>
      <c r="BF103" s="498"/>
      <c r="BG103" s="498"/>
      <c r="BH103" s="498"/>
      <c r="BI103" s="498"/>
      <c r="BJ103" s="498"/>
      <c r="BK103" s="498"/>
      <c r="BL103" s="498"/>
      <c r="BM103" s="407"/>
      <c r="BN103" s="407"/>
      <c r="BO103" s="407"/>
      <c r="BP103" s="407"/>
      <c r="BQ103" s="407"/>
      <c r="BR103" s="407"/>
      <c r="BS103" s="441"/>
      <c r="BT103" s="441"/>
      <c r="BU103" s="913"/>
      <c r="BV103" s="441"/>
      <c r="BW103" s="441"/>
      <c r="BX103" s="441"/>
      <c r="BY103" s="441"/>
      <c r="BZ103" s="441"/>
      <c r="CA103" s="441"/>
      <c r="CB103" s="441"/>
      <c r="CC103" s="441"/>
      <c r="CD103" s="407"/>
      <c r="CE103" s="407"/>
      <c r="CG103" s="407"/>
      <c r="CH103" s="407"/>
      <c r="CI103" s="407"/>
      <c r="DD103" s="970"/>
      <c r="DG103" s="970"/>
      <c r="DH103" s="970"/>
    </row>
    <row r="104" spans="1:112" s="406" customFormat="1" ht="59.25" x14ac:dyDescent="0.75">
      <c r="A104" s="970"/>
      <c r="B104" s="430"/>
      <c r="C104" s="545"/>
      <c r="D104" s="546"/>
      <c r="E104" s="545"/>
      <c r="F104" s="547"/>
      <c r="G104" s="970"/>
      <c r="Q104" s="970"/>
      <c r="R104" s="970"/>
      <c r="S104" s="430"/>
      <c r="T104" s="498"/>
      <c r="U104" s="498"/>
      <c r="V104" s="498"/>
      <c r="W104" s="498"/>
      <c r="Y104" s="498"/>
      <c r="Z104" s="498"/>
      <c r="AA104" s="498"/>
      <c r="AB104" s="498"/>
      <c r="AC104" s="498"/>
      <c r="AD104" s="498"/>
      <c r="AE104" s="498"/>
      <c r="AF104" s="498"/>
      <c r="AG104" s="493"/>
      <c r="AH104" s="493"/>
      <c r="AI104" s="493"/>
      <c r="AJ104" s="493"/>
      <c r="AK104" s="493"/>
      <c r="AL104" s="493"/>
      <c r="AM104" s="430"/>
      <c r="AN104" s="430"/>
      <c r="AO104" s="498"/>
      <c r="AP104" s="993"/>
      <c r="AQ104" s="498"/>
      <c r="AR104" s="498"/>
      <c r="AS104" s="430"/>
      <c r="AT104" s="500"/>
      <c r="AU104" s="500"/>
      <c r="AV104" s="498"/>
      <c r="AW104" s="430"/>
      <c r="AX104" s="430"/>
      <c r="AY104" s="430"/>
      <c r="AZ104" s="430"/>
      <c r="BA104" s="430"/>
      <c r="BB104" s="498"/>
      <c r="BC104" s="498"/>
      <c r="BD104" s="498"/>
      <c r="BE104" s="498"/>
      <c r="BF104" s="498"/>
      <c r="BG104" s="498"/>
      <c r="BH104" s="498"/>
      <c r="BI104" s="498"/>
      <c r="BJ104" s="498"/>
      <c r="BK104" s="498"/>
      <c r="BL104" s="498"/>
      <c r="BM104" s="407"/>
      <c r="BN104" s="407"/>
      <c r="BO104" s="407"/>
      <c r="BP104" s="407"/>
      <c r="BQ104" s="407"/>
      <c r="BR104" s="407"/>
      <c r="BS104" s="441"/>
      <c r="BT104" s="441"/>
      <c r="BU104" s="913"/>
      <c r="BV104" s="441"/>
      <c r="BW104" s="441"/>
      <c r="BX104" s="441"/>
      <c r="BY104" s="441"/>
      <c r="BZ104" s="441"/>
      <c r="CA104" s="441"/>
      <c r="CB104" s="441"/>
      <c r="CC104" s="441"/>
      <c r="CD104" s="407"/>
      <c r="CE104" s="407"/>
      <c r="CG104" s="407"/>
      <c r="CH104" s="407"/>
      <c r="CI104" s="407"/>
      <c r="DD104" s="970"/>
      <c r="DG104" s="970"/>
      <c r="DH104" s="970"/>
    </row>
    <row r="105" spans="1:112" s="406" customFormat="1" ht="59.25" x14ac:dyDescent="0.75">
      <c r="A105" s="970"/>
      <c r="B105" s="430"/>
      <c r="C105" s="545"/>
      <c r="D105" s="546"/>
      <c r="E105" s="545"/>
      <c r="F105" s="547"/>
      <c r="G105" s="970"/>
      <c r="Q105" s="970"/>
      <c r="R105" s="970"/>
      <c r="S105" s="430"/>
      <c r="T105" s="498"/>
      <c r="U105" s="498"/>
      <c r="V105" s="498"/>
      <c r="W105" s="498"/>
      <c r="Y105" s="498"/>
      <c r="Z105" s="498"/>
      <c r="AA105" s="498"/>
      <c r="AB105" s="498"/>
      <c r="AC105" s="498"/>
      <c r="AD105" s="498"/>
      <c r="AE105" s="498"/>
      <c r="AF105" s="498"/>
      <c r="AG105" s="493"/>
      <c r="AH105" s="493"/>
      <c r="AI105" s="493"/>
      <c r="AJ105" s="493"/>
      <c r="AK105" s="493"/>
      <c r="AL105" s="493"/>
      <c r="AM105" s="430"/>
      <c r="AN105" s="430"/>
      <c r="AO105" s="498"/>
      <c r="AP105" s="993"/>
      <c r="AQ105" s="498"/>
      <c r="AR105" s="498"/>
      <c r="AS105" s="430"/>
      <c r="AT105" s="500"/>
      <c r="AU105" s="500"/>
      <c r="AV105" s="498"/>
      <c r="AW105" s="430"/>
      <c r="AX105" s="430"/>
      <c r="AY105" s="430"/>
      <c r="AZ105" s="430"/>
      <c r="BA105" s="430"/>
      <c r="BB105" s="498"/>
      <c r="BC105" s="498"/>
      <c r="BD105" s="498"/>
      <c r="BE105" s="498"/>
      <c r="BF105" s="498"/>
      <c r="BG105" s="498"/>
      <c r="BH105" s="498"/>
      <c r="BI105" s="498"/>
      <c r="BJ105" s="498"/>
      <c r="BK105" s="498"/>
      <c r="BL105" s="498"/>
      <c r="BM105" s="407"/>
      <c r="BN105" s="407"/>
      <c r="BO105" s="407"/>
      <c r="BP105" s="407"/>
      <c r="BQ105" s="407"/>
      <c r="BR105" s="407"/>
      <c r="BS105" s="441"/>
      <c r="BT105" s="441"/>
      <c r="BU105" s="913"/>
      <c r="BV105" s="441"/>
      <c r="BW105" s="441"/>
      <c r="BX105" s="441"/>
      <c r="BY105" s="441"/>
      <c r="BZ105" s="441"/>
      <c r="CA105" s="441"/>
      <c r="CB105" s="441"/>
      <c r="CC105" s="441"/>
      <c r="CD105" s="407"/>
      <c r="CE105" s="407"/>
      <c r="CG105" s="407"/>
      <c r="CH105" s="407"/>
      <c r="CI105" s="407"/>
      <c r="DD105" s="970"/>
      <c r="DG105" s="970"/>
      <c r="DH105" s="970"/>
    </row>
    <row r="106" spans="1:112" s="406" customFormat="1" ht="59.25" x14ac:dyDescent="0.75">
      <c r="A106" s="970"/>
      <c r="B106" s="430"/>
      <c r="C106" s="545"/>
      <c r="D106" s="546"/>
      <c r="E106" s="545"/>
      <c r="F106" s="547"/>
      <c r="G106" s="970"/>
      <c r="Q106" s="970"/>
      <c r="R106" s="970"/>
      <c r="S106" s="430"/>
      <c r="T106" s="498"/>
      <c r="U106" s="498"/>
      <c r="V106" s="498"/>
      <c r="W106" s="498"/>
      <c r="Y106" s="498"/>
      <c r="Z106" s="498"/>
      <c r="AA106" s="498"/>
      <c r="AB106" s="498"/>
      <c r="AC106" s="498"/>
      <c r="AD106" s="498"/>
      <c r="AE106" s="498"/>
      <c r="AF106" s="498"/>
      <c r="AG106" s="493"/>
      <c r="AH106" s="493"/>
      <c r="AI106" s="493"/>
      <c r="AJ106" s="493"/>
      <c r="AK106" s="493"/>
      <c r="AL106" s="493"/>
      <c r="AM106" s="430"/>
      <c r="AN106" s="430"/>
      <c r="AO106" s="498"/>
      <c r="AP106" s="993"/>
      <c r="AQ106" s="498"/>
      <c r="AR106" s="498"/>
      <c r="AS106" s="430"/>
      <c r="AT106" s="500"/>
      <c r="AU106" s="500"/>
      <c r="AV106" s="498"/>
      <c r="AW106" s="430"/>
      <c r="AX106" s="430"/>
      <c r="AY106" s="430"/>
      <c r="AZ106" s="430"/>
      <c r="BA106" s="430"/>
      <c r="BB106" s="498"/>
      <c r="BC106" s="498"/>
      <c r="BD106" s="498"/>
      <c r="BE106" s="498"/>
      <c r="BF106" s="498"/>
      <c r="BG106" s="498"/>
      <c r="BH106" s="498"/>
      <c r="BI106" s="498"/>
      <c r="BJ106" s="498"/>
      <c r="BK106" s="498"/>
      <c r="BL106" s="498"/>
      <c r="BM106" s="407"/>
      <c r="BN106" s="407"/>
      <c r="BO106" s="407"/>
      <c r="BP106" s="407"/>
      <c r="BQ106" s="407"/>
      <c r="BR106" s="407"/>
      <c r="BS106" s="441"/>
      <c r="BT106" s="441"/>
      <c r="BU106" s="913"/>
      <c r="BV106" s="441"/>
      <c r="BW106" s="441"/>
      <c r="BX106" s="441"/>
      <c r="BY106" s="441"/>
      <c r="BZ106" s="441"/>
      <c r="CA106" s="441"/>
      <c r="CB106" s="441"/>
      <c r="CC106" s="441"/>
      <c r="CD106" s="407"/>
      <c r="CE106" s="407"/>
      <c r="CG106" s="407"/>
      <c r="CH106" s="407"/>
      <c r="CI106" s="407"/>
      <c r="DD106" s="970"/>
      <c r="DG106" s="970"/>
      <c r="DH106" s="970"/>
    </row>
    <row r="107" spans="1:112" s="406" customFormat="1" ht="59.25" x14ac:dyDescent="0.75">
      <c r="A107" s="970"/>
      <c r="B107" s="430"/>
      <c r="C107" s="545"/>
      <c r="D107" s="546"/>
      <c r="E107" s="545"/>
      <c r="F107" s="547"/>
      <c r="G107" s="970"/>
      <c r="Q107" s="970"/>
      <c r="R107" s="970"/>
      <c r="S107" s="430"/>
      <c r="T107" s="498"/>
      <c r="U107" s="498"/>
      <c r="V107" s="498"/>
      <c r="W107" s="498"/>
      <c r="Y107" s="498"/>
      <c r="Z107" s="498"/>
      <c r="AA107" s="498"/>
      <c r="AB107" s="498"/>
      <c r="AC107" s="498"/>
      <c r="AD107" s="498"/>
      <c r="AE107" s="498"/>
      <c r="AF107" s="498"/>
      <c r="AG107" s="493"/>
      <c r="AH107" s="493"/>
      <c r="AI107" s="493"/>
      <c r="AJ107" s="493"/>
      <c r="AK107" s="493"/>
      <c r="AL107" s="493"/>
      <c r="AM107" s="430"/>
      <c r="AN107" s="430"/>
      <c r="AO107" s="498"/>
      <c r="AP107" s="993"/>
      <c r="AQ107" s="498"/>
      <c r="AR107" s="498"/>
      <c r="AS107" s="430"/>
      <c r="AT107" s="500"/>
      <c r="AU107" s="500"/>
      <c r="AV107" s="498"/>
      <c r="AW107" s="430"/>
      <c r="AX107" s="430"/>
      <c r="AY107" s="430"/>
      <c r="AZ107" s="430"/>
      <c r="BA107" s="430"/>
      <c r="BB107" s="498"/>
      <c r="BC107" s="498"/>
      <c r="BD107" s="498"/>
      <c r="BE107" s="498"/>
      <c r="BF107" s="498"/>
      <c r="BG107" s="498"/>
      <c r="BH107" s="498"/>
      <c r="BI107" s="498"/>
      <c r="BJ107" s="498"/>
      <c r="BK107" s="498"/>
      <c r="BL107" s="498"/>
      <c r="BM107" s="407"/>
      <c r="BN107" s="407"/>
      <c r="BO107" s="407"/>
      <c r="BP107" s="407"/>
      <c r="BQ107" s="407"/>
      <c r="BR107" s="407"/>
      <c r="BS107" s="441"/>
      <c r="BT107" s="441"/>
      <c r="BU107" s="913"/>
      <c r="BV107" s="441"/>
      <c r="BW107" s="441"/>
      <c r="BX107" s="441"/>
      <c r="BY107" s="441"/>
      <c r="BZ107" s="441"/>
      <c r="CA107" s="441"/>
      <c r="CB107" s="441"/>
      <c r="CC107" s="441"/>
      <c r="CD107" s="407"/>
      <c r="CE107" s="407"/>
      <c r="CG107" s="407"/>
      <c r="CH107" s="407"/>
      <c r="CI107" s="407"/>
      <c r="DD107" s="970"/>
      <c r="DG107" s="970"/>
      <c r="DH107" s="970"/>
    </row>
    <row r="108" spans="1:112" s="406" customFormat="1" ht="59.25" x14ac:dyDescent="0.75">
      <c r="A108" s="970"/>
      <c r="B108" s="430"/>
      <c r="C108" s="545"/>
      <c r="D108" s="546"/>
      <c r="E108" s="545"/>
      <c r="F108" s="547"/>
      <c r="G108" s="970"/>
      <c r="Q108" s="970"/>
      <c r="R108" s="970"/>
      <c r="S108" s="430"/>
      <c r="T108" s="498"/>
      <c r="U108" s="498"/>
      <c r="V108" s="498"/>
      <c r="W108" s="498"/>
      <c r="Y108" s="498"/>
      <c r="Z108" s="498"/>
      <c r="AA108" s="498"/>
      <c r="AB108" s="498"/>
      <c r="AC108" s="498"/>
      <c r="AD108" s="498"/>
      <c r="AE108" s="498"/>
      <c r="AF108" s="498"/>
      <c r="AG108" s="493"/>
      <c r="AH108" s="493"/>
      <c r="AI108" s="493"/>
      <c r="AJ108" s="493"/>
      <c r="AK108" s="493"/>
      <c r="AL108" s="493"/>
      <c r="AM108" s="430"/>
      <c r="AN108" s="430"/>
      <c r="AO108" s="498"/>
      <c r="AP108" s="993"/>
      <c r="AQ108" s="498"/>
      <c r="AR108" s="498"/>
      <c r="AS108" s="430"/>
      <c r="AT108" s="500"/>
      <c r="AU108" s="500"/>
      <c r="AV108" s="498"/>
      <c r="AW108" s="430"/>
      <c r="AX108" s="430"/>
      <c r="AY108" s="430"/>
      <c r="AZ108" s="430"/>
      <c r="BA108" s="430"/>
      <c r="BB108" s="498"/>
      <c r="BC108" s="498"/>
      <c r="BD108" s="498"/>
      <c r="BE108" s="498"/>
      <c r="BF108" s="498"/>
      <c r="BG108" s="498"/>
      <c r="BH108" s="498"/>
      <c r="BI108" s="498"/>
      <c r="BJ108" s="498"/>
      <c r="BK108" s="498"/>
      <c r="BL108" s="498"/>
      <c r="BM108" s="407"/>
      <c r="BN108" s="407"/>
      <c r="BO108" s="407"/>
      <c r="BP108" s="407"/>
      <c r="BQ108" s="407"/>
      <c r="BR108" s="407"/>
      <c r="BS108" s="441"/>
      <c r="BT108" s="441"/>
      <c r="BU108" s="913"/>
      <c r="BV108" s="441"/>
      <c r="BW108" s="441"/>
      <c r="BX108" s="441"/>
      <c r="BY108" s="441"/>
      <c r="BZ108" s="441"/>
      <c r="CA108" s="441"/>
      <c r="CB108" s="441"/>
      <c r="CC108" s="441"/>
      <c r="CD108" s="407"/>
      <c r="CE108" s="407"/>
      <c r="CG108" s="407"/>
      <c r="CH108" s="407"/>
      <c r="CI108" s="407"/>
      <c r="DD108" s="970"/>
      <c r="DG108" s="970"/>
      <c r="DH108" s="970"/>
    </row>
    <row r="109" spans="1:112" s="406" customFormat="1" ht="59.25" x14ac:dyDescent="0.75">
      <c r="A109" s="970"/>
      <c r="B109" s="430"/>
      <c r="C109" s="545"/>
      <c r="D109" s="546"/>
      <c r="E109" s="545"/>
      <c r="F109" s="547"/>
      <c r="G109" s="970"/>
      <c r="Q109" s="970"/>
      <c r="R109" s="970"/>
      <c r="S109" s="430"/>
      <c r="T109" s="498"/>
      <c r="U109" s="498"/>
      <c r="V109" s="498"/>
      <c r="W109" s="498"/>
      <c r="Y109" s="498"/>
      <c r="Z109" s="498"/>
      <c r="AA109" s="498"/>
      <c r="AB109" s="498"/>
      <c r="AC109" s="498"/>
      <c r="AD109" s="498"/>
      <c r="AE109" s="498"/>
      <c r="AF109" s="498"/>
      <c r="AG109" s="493"/>
      <c r="AH109" s="493"/>
      <c r="AI109" s="493"/>
      <c r="AJ109" s="493"/>
      <c r="AK109" s="493"/>
      <c r="AL109" s="493"/>
      <c r="AM109" s="430"/>
      <c r="AN109" s="430"/>
      <c r="AO109" s="498"/>
      <c r="AP109" s="993"/>
      <c r="AQ109" s="498"/>
      <c r="AR109" s="498"/>
      <c r="AS109" s="430"/>
      <c r="AT109" s="500"/>
      <c r="AU109" s="500"/>
      <c r="AV109" s="498"/>
      <c r="AW109" s="430"/>
      <c r="AX109" s="430"/>
      <c r="AY109" s="430"/>
      <c r="AZ109" s="430"/>
      <c r="BA109" s="430"/>
      <c r="BB109" s="498"/>
      <c r="BC109" s="498"/>
      <c r="BD109" s="498"/>
      <c r="BE109" s="498"/>
      <c r="BF109" s="498"/>
      <c r="BG109" s="498"/>
      <c r="BH109" s="498"/>
      <c r="BI109" s="498"/>
      <c r="BJ109" s="498"/>
      <c r="BK109" s="498"/>
      <c r="BL109" s="498"/>
      <c r="BM109" s="407"/>
      <c r="BN109" s="407"/>
      <c r="BO109" s="407"/>
      <c r="BP109" s="407"/>
      <c r="BQ109" s="407"/>
      <c r="BR109" s="407"/>
      <c r="BS109" s="441"/>
      <c r="BT109" s="441"/>
      <c r="BU109" s="913"/>
      <c r="BV109" s="441"/>
      <c r="BW109" s="441"/>
      <c r="BX109" s="441"/>
      <c r="BY109" s="441"/>
      <c r="BZ109" s="441"/>
      <c r="CA109" s="441"/>
      <c r="CB109" s="441"/>
      <c r="CC109" s="441"/>
      <c r="CD109" s="407"/>
      <c r="CE109" s="407"/>
      <c r="CG109" s="407"/>
      <c r="CH109" s="407"/>
      <c r="CI109" s="407"/>
      <c r="DD109" s="970"/>
      <c r="DG109" s="970"/>
      <c r="DH109" s="970"/>
    </row>
    <row r="110" spans="1:112" s="406" customFormat="1" ht="59.25" x14ac:dyDescent="0.75">
      <c r="A110" s="970"/>
      <c r="B110" s="430"/>
      <c r="C110" s="545"/>
      <c r="D110" s="546"/>
      <c r="E110" s="545"/>
      <c r="F110" s="547"/>
      <c r="G110" s="970"/>
      <c r="Q110" s="970"/>
      <c r="R110" s="970"/>
      <c r="S110" s="430"/>
      <c r="T110" s="498"/>
      <c r="U110" s="498"/>
      <c r="V110" s="498"/>
      <c r="W110" s="498"/>
      <c r="Y110" s="498"/>
      <c r="Z110" s="498"/>
      <c r="AA110" s="498"/>
      <c r="AB110" s="498"/>
      <c r="AC110" s="498"/>
      <c r="AD110" s="498"/>
      <c r="AE110" s="498"/>
      <c r="AF110" s="498"/>
      <c r="AG110" s="493"/>
      <c r="AH110" s="493"/>
      <c r="AI110" s="493"/>
      <c r="AJ110" s="493"/>
      <c r="AK110" s="493"/>
      <c r="AL110" s="493"/>
      <c r="AM110" s="430"/>
      <c r="AN110" s="430"/>
      <c r="AO110" s="498"/>
      <c r="AP110" s="993"/>
      <c r="AQ110" s="498"/>
      <c r="AR110" s="498"/>
      <c r="AS110" s="430"/>
      <c r="AT110" s="500"/>
      <c r="AU110" s="500"/>
      <c r="AV110" s="498"/>
      <c r="AW110" s="430"/>
      <c r="AX110" s="430"/>
      <c r="AY110" s="430"/>
      <c r="AZ110" s="430"/>
      <c r="BA110" s="430"/>
      <c r="BB110" s="498"/>
      <c r="BC110" s="498"/>
      <c r="BD110" s="498"/>
      <c r="BE110" s="498"/>
      <c r="BF110" s="498"/>
      <c r="BG110" s="498"/>
      <c r="BH110" s="498"/>
      <c r="BI110" s="498"/>
      <c r="BJ110" s="498"/>
      <c r="BK110" s="498"/>
      <c r="BL110" s="498"/>
      <c r="BM110" s="407"/>
      <c r="BN110" s="407"/>
      <c r="BO110" s="407"/>
      <c r="BP110" s="407"/>
      <c r="BQ110" s="407"/>
      <c r="BR110" s="407"/>
      <c r="BS110" s="441"/>
      <c r="BT110" s="441"/>
      <c r="BU110" s="913"/>
      <c r="BV110" s="441"/>
      <c r="BW110" s="441"/>
      <c r="BX110" s="441"/>
      <c r="BY110" s="441"/>
      <c r="BZ110" s="441"/>
      <c r="CA110" s="441"/>
      <c r="CB110" s="441"/>
      <c r="CC110" s="441"/>
      <c r="CD110" s="407"/>
      <c r="CE110" s="407"/>
      <c r="CG110" s="407"/>
      <c r="CH110" s="407"/>
      <c r="CI110" s="407"/>
      <c r="DD110" s="970"/>
      <c r="DG110" s="970"/>
      <c r="DH110" s="970"/>
    </row>
    <row r="111" spans="1:112" s="406" customFormat="1" ht="59.25" x14ac:dyDescent="0.75">
      <c r="A111" s="970"/>
      <c r="B111" s="430"/>
      <c r="C111" s="545"/>
      <c r="D111" s="546"/>
      <c r="E111" s="545"/>
      <c r="F111" s="547"/>
      <c r="G111" s="970"/>
      <c r="Q111" s="970"/>
      <c r="R111" s="970"/>
      <c r="S111" s="430"/>
      <c r="T111" s="498"/>
      <c r="U111" s="498"/>
      <c r="V111" s="498"/>
      <c r="W111" s="498"/>
      <c r="Y111" s="498"/>
      <c r="Z111" s="498"/>
      <c r="AA111" s="498"/>
      <c r="AB111" s="498"/>
      <c r="AC111" s="498"/>
      <c r="AD111" s="498"/>
      <c r="AE111" s="498"/>
      <c r="AF111" s="498"/>
      <c r="AG111" s="493"/>
      <c r="AH111" s="493"/>
      <c r="AI111" s="493"/>
      <c r="AJ111" s="493"/>
      <c r="AK111" s="493"/>
      <c r="AL111" s="493"/>
      <c r="AM111" s="430"/>
      <c r="AN111" s="430"/>
      <c r="AO111" s="498"/>
      <c r="AP111" s="993"/>
      <c r="AQ111" s="498"/>
      <c r="AR111" s="498"/>
      <c r="AS111" s="430"/>
      <c r="AT111" s="500"/>
      <c r="AU111" s="500"/>
      <c r="AV111" s="498"/>
      <c r="AW111" s="430"/>
      <c r="AX111" s="430"/>
      <c r="AY111" s="430"/>
      <c r="AZ111" s="430"/>
      <c r="BA111" s="430"/>
      <c r="BB111" s="498"/>
      <c r="BC111" s="498"/>
      <c r="BD111" s="498"/>
      <c r="BE111" s="498"/>
      <c r="BF111" s="498"/>
      <c r="BG111" s="498"/>
      <c r="BH111" s="498"/>
      <c r="BI111" s="498"/>
      <c r="BJ111" s="498"/>
      <c r="BK111" s="498"/>
      <c r="BL111" s="498"/>
      <c r="BM111" s="407"/>
      <c r="BN111" s="407"/>
      <c r="BO111" s="407"/>
      <c r="BP111" s="407"/>
      <c r="BQ111" s="407"/>
      <c r="BR111" s="407"/>
      <c r="BS111" s="441"/>
      <c r="BT111" s="441"/>
      <c r="BU111" s="913"/>
      <c r="BV111" s="441"/>
      <c r="BW111" s="441"/>
      <c r="BX111" s="441"/>
      <c r="BY111" s="441"/>
      <c r="BZ111" s="441"/>
      <c r="CA111" s="441"/>
      <c r="CB111" s="441"/>
      <c r="CC111" s="441"/>
      <c r="CD111" s="407"/>
      <c r="CE111" s="407"/>
      <c r="CG111" s="407"/>
      <c r="CH111" s="407"/>
      <c r="CI111" s="407"/>
      <c r="DD111" s="970"/>
      <c r="DG111" s="970"/>
      <c r="DH111" s="970"/>
    </row>
    <row r="112" spans="1:112" s="406" customFormat="1" ht="59.25" x14ac:dyDescent="0.75">
      <c r="A112" s="970"/>
      <c r="B112" s="430"/>
      <c r="C112" s="545"/>
      <c r="D112" s="546"/>
      <c r="E112" s="545"/>
      <c r="F112" s="547"/>
      <c r="G112" s="970"/>
      <c r="Q112" s="970"/>
      <c r="R112" s="970"/>
      <c r="S112" s="430"/>
      <c r="T112" s="498"/>
      <c r="U112" s="498"/>
      <c r="V112" s="498"/>
      <c r="W112" s="498"/>
      <c r="Y112" s="498"/>
      <c r="Z112" s="498"/>
      <c r="AA112" s="498"/>
      <c r="AB112" s="498"/>
      <c r="AC112" s="498"/>
      <c r="AD112" s="498"/>
      <c r="AE112" s="498"/>
      <c r="AF112" s="498"/>
      <c r="AG112" s="493"/>
      <c r="AH112" s="493"/>
      <c r="AI112" s="493"/>
      <c r="AJ112" s="493"/>
      <c r="AK112" s="493"/>
      <c r="AL112" s="493"/>
      <c r="AM112" s="430"/>
      <c r="AN112" s="430"/>
      <c r="AO112" s="498"/>
      <c r="AP112" s="993"/>
      <c r="AQ112" s="498"/>
      <c r="AR112" s="498"/>
      <c r="AS112" s="430"/>
      <c r="AT112" s="500"/>
      <c r="AU112" s="500"/>
      <c r="AV112" s="498"/>
      <c r="AW112" s="430"/>
      <c r="AX112" s="430"/>
      <c r="AY112" s="430"/>
      <c r="AZ112" s="430"/>
      <c r="BA112" s="430"/>
      <c r="BB112" s="498"/>
      <c r="BC112" s="498"/>
      <c r="BD112" s="498"/>
      <c r="BE112" s="498"/>
      <c r="BF112" s="498"/>
      <c r="BG112" s="498"/>
      <c r="BH112" s="498"/>
      <c r="BI112" s="498"/>
      <c r="BJ112" s="498"/>
      <c r="BK112" s="498"/>
      <c r="BL112" s="498"/>
      <c r="BM112" s="407"/>
      <c r="BN112" s="407"/>
      <c r="BO112" s="407"/>
      <c r="BP112" s="407"/>
      <c r="BQ112" s="407"/>
      <c r="BR112" s="407"/>
      <c r="BS112" s="441"/>
      <c r="BT112" s="441"/>
      <c r="BU112" s="913"/>
      <c r="BV112" s="441"/>
      <c r="BW112" s="441"/>
      <c r="BX112" s="441"/>
      <c r="BY112" s="441"/>
      <c r="BZ112" s="441"/>
      <c r="CA112" s="441"/>
      <c r="CB112" s="441"/>
      <c r="CC112" s="441"/>
      <c r="CD112" s="407"/>
      <c r="CE112" s="407"/>
      <c r="CG112" s="407"/>
      <c r="CH112" s="407"/>
      <c r="CI112" s="407"/>
      <c r="DD112" s="970"/>
      <c r="DG112" s="970"/>
      <c r="DH112" s="970"/>
    </row>
    <row r="113" spans="1:112" s="406" customFormat="1" ht="59.25" x14ac:dyDescent="0.75">
      <c r="A113" s="970"/>
      <c r="B113" s="430"/>
      <c r="C113" s="545"/>
      <c r="D113" s="546"/>
      <c r="E113" s="545"/>
      <c r="F113" s="547"/>
      <c r="G113" s="970"/>
      <c r="Q113" s="970"/>
      <c r="R113" s="970"/>
      <c r="S113" s="430"/>
      <c r="T113" s="498"/>
      <c r="U113" s="498"/>
      <c r="V113" s="498"/>
      <c r="W113" s="498"/>
      <c r="Y113" s="498"/>
      <c r="Z113" s="498"/>
      <c r="AA113" s="498"/>
      <c r="AB113" s="498"/>
      <c r="AC113" s="498"/>
      <c r="AD113" s="498"/>
      <c r="AE113" s="498"/>
      <c r="AF113" s="498"/>
      <c r="AG113" s="493"/>
      <c r="AH113" s="493"/>
      <c r="AI113" s="493"/>
      <c r="AJ113" s="493"/>
      <c r="AK113" s="493"/>
      <c r="AL113" s="493"/>
      <c r="AM113" s="430"/>
      <c r="AN113" s="430"/>
      <c r="AO113" s="498"/>
      <c r="AP113" s="993"/>
      <c r="AQ113" s="498"/>
      <c r="AR113" s="498"/>
      <c r="AS113" s="430"/>
      <c r="AT113" s="500"/>
      <c r="AU113" s="500"/>
      <c r="AV113" s="498"/>
      <c r="AW113" s="430"/>
      <c r="AX113" s="430"/>
      <c r="AY113" s="430"/>
      <c r="AZ113" s="430"/>
      <c r="BA113" s="430"/>
      <c r="BB113" s="498"/>
      <c r="BC113" s="498"/>
      <c r="BD113" s="498"/>
      <c r="BE113" s="498"/>
      <c r="BF113" s="498"/>
      <c r="BG113" s="498"/>
      <c r="BH113" s="498"/>
      <c r="BI113" s="498"/>
      <c r="BJ113" s="498"/>
      <c r="BK113" s="498"/>
      <c r="BL113" s="498"/>
      <c r="BM113" s="407"/>
      <c r="BN113" s="407"/>
      <c r="BO113" s="407"/>
      <c r="BP113" s="407"/>
      <c r="BQ113" s="407"/>
      <c r="BR113" s="407"/>
      <c r="BS113" s="441"/>
      <c r="BT113" s="441"/>
      <c r="BU113" s="913"/>
      <c r="BV113" s="441"/>
      <c r="BW113" s="441"/>
      <c r="BX113" s="441"/>
      <c r="BY113" s="441"/>
      <c r="BZ113" s="441"/>
      <c r="CA113" s="441"/>
      <c r="CB113" s="441"/>
      <c r="CC113" s="441"/>
      <c r="CD113" s="407"/>
      <c r="CE113" s="407"/>
      <c r="CG113" s="407"/>
      <c r="CH113" s="407"/>
      <c r="CI113" s="407"/>
      <c r="DD113" s="970"/>
      <c r="DG113" s="970"/>
      <c r="DH113" s="970"/>
    </row>
    <row r="114" spans="1:112" s="406" customFormat="1" ht="59.25" x14ac:dyDescent="0.75">
      <c r="A114" s="970"/>
      <c r="B114" s="430"/>
      <c r="C114" s="545"/>
      <c r="D114" s="546"/>
      <c r="E114" s="545"/>
      <c r="F114" s="547"/>
      <c r="G114" s="970"/>
      <c r="Q114" s="970"/>
      <c r="R114" s="970"/>
      <c r="S114" s="430"/>
      <c r="T114" s="498"/>
      <c r="U114" s="498"/>
      <c r="V114" s="498"/>
      <c r="W114" s="498"/>
      <c r="Y114" s="498"/>
      <c r="Z114" s="498"/>
      <c r="AA114" s="498"/>
      <c r="AB114" s="498"/>
      <c r="AC114" s="498"/>
      <c r="AD114" s="498"/>
      <c r="AE114" s="498"/>
      <c r="AF114" s="498"/>
      <c r="AG114" s="493"/>
      <c r="AH114" s="493"/>
      <c r="AI114" s="493"/>
      <c r="AJ114" s="493"/>
      <c r="AK114" s="493"/>
      <c r="AL114" s="493"/>
      <c r="AM114" s="430"/>
      <c r="AN114" s="430"/>
      <c r="AO114" s="498"/>
      <c r="AP114" s="993"/>
      <c r="AQ114" s="498"/>
      <c r="AR114" s="498"/>
      <c r="AS114" s="430"/>
      <c r="AT114" s="500"/>
      <c r="AU114" s="500"/>
      <c r="AV114" s="498"/>
      <c r="AW114" s="430"/>
      <c r="AX114" s="430"/>
      <c r="AY114" s="430"/>
      <c r="AZ114" s="430"/>
      <c r="BA114" s="430"/>
      <c r="BB114" s="498"/>
      <c r="BC114" s="498"/>
      <c r="BD114" s="498"/>
      <c r="BE114" s="498"/>
      <c r="BF114" s="498"/>
      <c r="BG114" s="498"/>
      <c r="BH114" s="498"/>
      <c r="BI114" s="498"/>
      <c r="BJ114" s="498"/>
      <c r="BK114" s="498"/>
      <c r="BL114" s="498"/>
      <c r="BM114" s="407"/>
      <c r="BN114" s="407"/>
      <c r="BO114" s="407"/>
      <c r="BP114" s="407"/>
      <c r="BQ114" s="407"/>
      <c r="BR114" s="407"/>
      <c r="BS114" s="441"/>
      <c r="BT114" s="441"/>
      <c r="BU114" s="913"/>
      <c r="BV114" s="441"/>
      <c r="BW114" s="441"/>
      <c r="BX114" s="441"/>
      <c r="BY114" s="441"/>
      <c r="BZ114" s="441"/>
      <c r="CA114" s="441"/>
      <c r="CB114" s="441"/>
      <c r="CC114" s="441"/>
      <c r="CD114" s="407"/>
      <c r="CE114" s="407"/>
      <c r="CG114" s="407"/>
      <c r="CH114" s="407"/>
      <c r="CI114" s="407"/>
      <c r="DD114" s="970"/>
      <c r="DG114" s="970"/>
      <c r="DH114" s="970"/>
    </row>
    <row r="115" spans="1:112" s="406" customFormat="1" ht="59.25" x14ac:dyDescent="0.75">
      <c r="A115" s="970"/>
      <c r="B115" s="430"/>
      <c r="C115" s="545"/>
      <c r="D115" s="546"/>
      <c r="E115" s="545"/>
      <c r="F115" s="547"/>
      <c r="G115" s="970"/>
      <c r="Q115" s="970"/>
      <c r="R115" s="970"/>
      <c r="S115" s="430"/>
      <c r="T115" s="498"/>
      <c r="U115" s="498"/>
      <c r="V115" s="498"/>
      <c r="W115" s="498"/>
      <c r="Y115" s="498"/>
      <c r="Z115" s="498"/>
      <c r="AA115" s="498"/>
      <c r="AB115" s="498"/>
      <c r="AC115" s="498"/>
      <c r="AD115" s="498"/>
      <c r="AE115" s="498"/>
      <c r="AF115" s="498"/>
      <c r="AG115" s="493"/>
      <c r="AH115" s="493"/>
      <c r="AI115" s="493"/>
      <c r="AJ115" s="493"/>
      <c r="AK115" s="493"/>
      <c r="AL115" s="493"/>
      <c r="AM115" s="430"/>
      <c r="AN115" s="430"/>
      <c r="AO115" s="498"/>
      <c r="AP115" s="993"/>
      <c r="AQ115" s="498"/>
      <c r="AR115" s="498"/>
      <c r="AS115" s="430"/>
      <c r="AT115" s="500"/>
      <c r="AU115" s="500"/>
      <c r="AV115" s="498"/>
      <c r="AW115" s="430"/>
      <c r="AX115" s="430"/>
      <c r="AY115" s="430"/>
      <c r="AZ115" s="430"/>
      <c r="BA115" s="430"/>
      <c r="BB115" s="498"/>
      <c r="BC115" s="498"/>
      <c r="BD115" s="498"/>
      <c r="BE115" s="498"/>
      <c r="BF115" s="498"/>
      <c r="BG115" s="498"/>
      <c r="BH115" s="498"/>
      <c r="BI115" s="498"/>
      <c r="BJ115" s="498"/>
      <c r="BK115" s="498"/>
      <c r="BL115" s="498"/>
      <c r="BM115" s="407"/>
      <c r="BN115" s="407"/>
      <c r="BO115" s="407"/>
      <c r="BP115" s="407"/>
      <c r="BQ115" s="407"/>
      <c r="BR115" s="407"/>
      <c r="BS115" s="441"/>
      <c r="BT115" s="441"/>
      <c r="BU115" s="913"/>
      <c r="BV115" s="441"/>
      <c r="BW115" s="441"/>
      <c r="BX115" s="441"/>
      <c r="BY115" s="441"/>
      <c r="BZ115" s="441"/>
      <c r="CA115" s="441"/>
      <c r="CB115" s="441"/>
      <c r="CC115" s="441"/>
      <c r="CD115" s="407"/>
      <c r="CE115" s="407"/>
      <c r="CG115" s="407"/>
      <c r="CH115" s="407"/>
      <c r="CI115" s="407"/>
      <c r="DD115" s="970"/>
      <c r="DG115" s="970"/>
      <c r="DH115" s="970"/>
    </row>
    <row r="116" spans="1:112" s="406" customFormat="1" ht="59.25" x14ac:dyDescent="0.75">
      <c r="A116" s="970"/>
      <c r="B116" s="430"/>
      <c r="C116" s="545"/>
      <c r="D116" s="546"/>
      <c r="E116" s="545"/>
      <c r="F116" s="547"/>
      <c r="G116" s="970"/>
      <c r="Q116" s="970"/>
      <c r="R116" s="970"/>
      <c r="S116" s="430"/>
      <c r="T116" s="498"/>
      <c r="U116" s="498"/>
      <c r="V116" s="498"/>
      <c r="W116" s="498"/>
      <c r="Y116" s="498"/>
      <c r="Z116" s="498"/>
      <c r="AA116" s="498"/>
      <c r="AB116" s="498"/>
      <c r="AC116" s="498"/>
      <c r="AD116" s="498"/>
      <c r="AE116" s="498"/>
      <c r="AF116" s="498"/>
      <c r="AG116" s="493"/>
      <c r="AH116" s="493"/>
      <c r="AI116" s="493"/>
      <c r="AJ116" s="493"/>
      <c r="AK116" s="493"/>
      <c r="AL116" s="493"/>
      <c r="AM116" s="430"/>
      <c r="AN116" s="430"/>
      <c r="AO116" s="498"/>
      <c r="AP116" s="993"/>
      <c r="AQ116" s="498"/>
      <c r="AR116" s="498"/>
      <c r="AS116" s="430"/>
      <c r="AT116" s="500"/>
      <c r="AU116" s="500"/>
      <c r="AV116" s="498"/>
      <c r="AW116" s="430"/>
      <c r="AX116" s="430"/>
      <c r="AY116" s="430"/>
      <c r="AZ116" s="430"/>
      <c r="BA116" s="430"/>
      <c r="BB116" s="498"/>
      <c r="BC116" s="498"/>
      <c r="BD116" s="498"/>
      <c r="BE116" s="498"/>
      <c r="BF116" s="498"/>
      <c r="BG116" s="498"/>
      <c r="BH116" s="498"/>
      <c r="BI116" s="498"/>
      <c r="BJ116" s="498"/>
      <c r="BK116" s="498"/>
      <c r="BL116" s="498"/>
      <c r="BM116" s="407"/>
      <c r="BN116" s="407"/>
      <c r="BO116" s="407"/>
      <c r="BP116" s="407"/>
      <c r="BQ116" s="407"/>
      <c r="BR116" s="407"/>
      <c r="BS116" s="441"/>
      <c r="BT116" s="441"/>
      <c r="BU116" s="913"/>
      <c r="BV116" s="441"/>
      <c r="BW116" s="441"/>
      <c r="BX116" s="441"/>
      <c r="BY116" s="441"/>
      <c r="BZ116" s="441"/>
      <c r="CA116" s="441"/>
      <c r="CB116" s="441"/>
      <c r="CC116" s="441"/>
      <c r="CD116" s="407"/>
      <c r="CE116" s="407"/>
      <c r="CG116" s="407"/>
      <c r="CH116" s="407"/>
      <c r="CI116" s="407"/>
      <c r="DD116" s="970"/>
      <c r="DG116" s="970"/>
      <c r="DH116" s="970"/>
    </row>
    <row r="117" spans="1:112" s="406" customFormat="1" ht="59.25" x14ac:dyDescent="0.75">
      <c r="A117" s="970"/>
      <c r="B117" s="430"/>
      <c r="C117" s="545"/>
      <c r="D117" s="546"/>
      <c r="E117" s="545"/>
      <c r="F117" s="547"/>
      <c r="G117" s="970"/>
      <c r="Q117" s="970"/>
      <c r="R117" s="970"/>
      <c r="S117" s="430"/>
      <c r="T117" s="498"/>
      <c r="U117" s="498"/>
      <c r="V117" s="498"/>
      <c r="W117" s="498"/>
      <c r="Y117" s="498"/>
      <c r="Z117" s="498"/>
      <c r="AA117" s="498"/>
      <c r="AB117" s="498"/>
      <c r="AC117" s="498"/>
      <c r="AD117" s="498"/>
      <c r="AE117" s="498"/>
      <c r="AF117" s="498"/>
      <c r="AG117" s="493"/>
      <c r="AH117" s="493"/>
      <c r="AI117" s="493"/>
      <c r="AJ117" s="493"/>
      <c r="AK117" s="493"/>
      <c r="AL117" s="493"/>
      <c r="AM117" s="430"/>
      <c r="AN117" s="430"/>
      <c r="AO117" s="498"/>
      <c r="AP117" s="993"/>
      <c r="AQ117" s="498"/>
      <c r="AR117" s="498"/>
      <c r="AS117" s="430"/>
      <c r="AT117" s="500"/>
      <c r="AU117" s="500"/>
      <c r="AV117" s="498"/>
      <c r="AW117" s="430"/>
      <c r="AX117" s="430"/>
      <c r="AY117" s="430"/>
      <c r="AZ117" s="430"/>
      <c r="BA117" s="430"/>
      <c r="BB117" s="498"/>
      <c r="BC117" s="498"/>
      <c r="BD117" s="498"/>
      <c r="BE117" s="498"/>
      <c r="BF117" s="498"/>
      <c r="BG117" s="498"/>
      <c r="BH117" s="498"/>
      <c r="BI117" s="498"/>
      <c r="BJ117" s="498"/>
      <c r="BK117" s="498"/>
      <c r="BL117" s="498"/>
      <c r="BM117" s="407"/>
      <c r="BN117" s="407"/>
      <c r="BO117" s="407"/>
      <c r="BP117" s="407"/>
      <c r="BQ117" s="407"/>
      <c r="BR117" s="407"/>
      <c r="BS117" s="441"/>
      <c r="BT117" s="441"/>
      <c r="BU117" s="913"/>
      <c r="BV117" s="441"/>
      <c r="BW117" s="441"/>
      <c r="BX117" s="441"/>
      <c r="BY117" s="441"/>
      <c r="BZ117" s="441"/>
      <c r="CA117" s="441"/>
      <c r="CB117" s="441"/>
      <c r="CC117" s="441"/>
      <c r="CD117" s="407"/>
      <c r="CE117" s="407"/>
      <c r="CG117" s="407"/>
      <c r="CH117" s="407"/>
      <c r="CI117" s="407"/>
      <c r="DD117" s="970"/>
      <c r="DG117" s="970"/>
      <c r="DH117" s="970"/>
    </row>
    <row r="118" spans="1:112" s="406" customFormat="1" ht="59.25" x14ac:dyDescent="0.75">
      <c r="A118" s="970"/>
      <c r="B118" s="430"/>
      <c r="C118" s="545"/>
      <c r="D118" s="546"/>
      <c r="E118" s="545"/>
      <c r="F118" s="547"/>
      <c r="G118" s="970"/>
      <c r="Q118" s="970"/>
      <c r="R118" s="970"/>
      <c r="S118" s="430"/>
      <c r="T118" s="498"/>
      <c r="U118" s="498"/>
      <c r="V118" s="498"/>
      <c r="W118" s="498"/>
      <c r="Y118" s="498"/>
      <c r="Z118" s="498"/>
      <c r="AA118" s="498"/>
      <c r="AB118" s="498"/>
      <c r="AC118" s="498"/>
      <c r="AD118" s="498"/>
      <c r="AE118" s="498"/>
      <c r="AF118" s="498"/>
      <c r="AG118" s="493"/>
      <c r="AH118" s="493"/>
      <c r="AI118" s="493"/>
      <c r="AJ118" s="493"/>
      <c r="AK118" s="493"/>
      <c r="AL118" s="493"/>
      <c r="AM118" s="430"/>
      <c r="AN118" s="430"/>
      <c r="AO118" s="498"/>
      <c r="AP118" s="993"/>
      <c r="AQ118" s="498"/>
      <c r="AR118" s="498"/>
      <c r="AS118" s="430"/>
      <c r="AT118" s="500"/>
      <c r="AU118" s="500"/>
      <c r="AV118" s="498"/>
      <c r="AW118" s="430"/>
      <c r="AX118" s="430"/>
      <c r="AY118" s="430"/>
      <c r="AZ118" s="430"/>
      <c r="BA118" s="430"/>
      <c r="BB118" s="498"/>
      <c r="BC118" s="498"/>
      <c r="BD118" s="498"/>
      <c r="BE118" s="498"/>
      <c r="BF118" s="498"/>
      <c r="BG118" s="498"/>
      <c r="BH118" s="498"/>
      <c r="BI118" s="498"/>
      <c r="BJ118" s="498"/>
      <c r="BK118" s="498"/>
      <c r="BL118" s="498"/>
      <c r="BM118" s="407"/>
      <c r="BN118" s="407"/>
      <c r="BO118" s="407"/>
      <c r="BP118" s="407"/>
      <c r="BQ118" s="407"/>
      <c r="BR118" s="407"/>
      <c r="BS118" s="441"/>
      <c r="BT118" s="441"/>
      <c r="BU118" s="913"/>
      <c r="BV118" s="441"/>
      <c r="BW118" s="441"/>
      <c r="BX118" s="441"/>
      <c r="BY118" s="441"/>
      <c r="BZ118" s="441"/>
      <c r="CA118" s="441"/>
      <c r="CB118" s="441"/>
      <c r="CC118" s="441"/>
      <c r="CD118" s="407"/>
      <c r="CE118" s="407"/>
      <c r="CG118" s="407"/>
      <c r="CH118" s="407"/>
      <c r="CI118" s="407"/>
      <c r="DD118" s="970"/>
      <c r="DG118" s="970"/>
      <c r="DH118" s="970"/>
    </row>
    <row r="119" spans="1:112" s="406" customFormat="1" ht="59.25" x14ac:dyDescent="0.75">
      <c r="A119" s="970"/>
      <c r="B119" s="430"/>
      <c r="C119" s="545"/>
      <c r="D119" s="546"/>
      <c r="E119" s="545"/>
      <c r="F119" s="547"/>
      <c r="G119" s="970"/>
      <c r="Q119" s="970"/>
      <c r="R119" s="970"/>
      <c r="S119" s="430"/>
      <c r="T119" s="498"/>
      <c r="U119" s="498"/>
      <c r="V119" s="498"/>
      <c r="W119" s="498"/>
      <c r="Y119" s="498"/>
      <c r="Z119" s="498"/>
      <c r="AA119" s="498"/>
      <c r="AB119" s="498"/>
      <c r="AC119" s="498"/>
      <c r="AD119" s="498"/>
      <c r="AE119" s="498"/>
      <c r="AF119" s="498"/>
      <c r="AG119" s="493"/>
      <c r="AH119" s="493"/>
      <c r="AI119" s="493"/>
      <c r="AJ119" s="493"/>
      <c r="AK119" s="493"/>
      <c r="AL119" s="493"/>
      <c r="AM119" s="430"/>
      <c r="AN119" s="430"/>
      <c r="AO119" s="498"/>
      <c r="AP119" s="993"/>
      <c r="AQ119" s="498"/>
      <c r="AR119" s="498"/>
      <c r="AS119" s="430"/>
      <c r="AT119" s="500"/>
      <c r="AU119" s="500"/>
      <c r="AV119" s="498"/>
      <c r="AW119" s="430"/>
      <c r="AX119" s="430"/>
      <c r="AY119" s="430"/>
      <c r="AZ119" s="430"/>
      <c r="BA119" s="430"/>
      <c r="BB119" s="498"/>
      <c r="BC119" s="498"/>
      <c r="BD119" s="498"/>
      <c r="BE119" s="498"/>
      <c r="BF119" s="498"/>
      <c r="BG119" s="498"/>
      <c r="BH119" s="498"/>
      <c r="BI119" s="498"/>
      <c r="BJ119" s="498"/>
      <c r="BK119" s="498"/>
      <c r="BL119" s="498"/>
      <c r="BM119" s="407"/>
      <c r="BN119" s="407"/>
      <c r="BO119" s="407"/>
      <c r="BP119" s="407"/>
      <c r="BQ119" s="407"/>
      <c r="BR119" s="407"/>
      <c r="BS119" s="441"/>
      <c r="BT119" s="441"/>
      <c r="BU119" s="913"/>
      <c r="BV119" s="441"/>
      <c r="BW119" s="441"/>
      <c r="BX119" s="441"/>
      <c r="BY119" s="441"/>
      <c r="BZ119" s="441"/>
      <c r="CA119" s="441"/>
      <c r="CB119" s="441"/>
      <c r="CC119" s="441"/>
      <c r="CD119" s="407"/>
      <c r="CE119" s="407"/>
      <c r="CG119" s="407"/>
      <c r="CH119" s="407"/>
      <c r="CI119" s="407"/>
      <c r="DD119" s="970"/>
      <c r="DG119" s="970"/>
      <c r="DH119" s="970"/>
    </row>
    <row r="120" spans="1:112" s="406" customFormat="1" ht="59.25" x14ac:dyDescent="0.75">
      <c r="A120" s="970"/>
      <c r="B120" s="430"/>
      <c r="C120" s="545"/>
      <c r="D120" s="546"/>
      <c r="E120" s="545"/>
      <c r="F120" s="547"/>
      <c r="G120" s="970"/>
      <c r="Q120" s="970"/>
      <c r="R120" s="970"/>
      <c r="S120" s="430"/>
      <c r="T120" s="498"/>
      <c r="U120" s="498"/>
      <c r="V120" s="498"/>
      <c r="W120" s="498"/>
      <c r="Y120" s="498"/>
      <c r="Z120" s="498"/>
      <c r="AA120" s="498"/>
      <c r="AB120" s="498"/>
      <c r="AC120" s="498"/>
      <c r="AD120" s="498"/>
      <c r="AE120" s="498"/>
      <c r="AF120" s="498"/>
      <c r="AG120" s="493"/>
      <c r="AH120" s="493"/>
      <c r="AI120" s="493"/>
      <c r="AJ120" s="493"/>
      <c r="AK120" s="493"/>
      <c r="AL120" s="493"/>
      <c r="AM120" s="430"/>
      <c r="AN120" s="430"/>
      <c r="AO120" s="498"/>
      <c r="AP120" s="993"/>
      <c r="AQ120" s="498"/>
      <c r="AR120" s="498"/>
      <c r="AS120" s="430"/>
      <c r="AT120" s="500"/>
      <c r="AU120" s="500"/>
      <c r="AV120" s="498"/>
      <c r="AW120" s="430"/>
      <c r="AX120" s="430"/>
      <c r="AY120" s="430"/>
      <c r="AZ120" s="430"/>
      <c r="BA120" s="430"/>
      <c r="BB120" s="498"/>
      <c r="BC120" s="498"/>
      <c r="BD120" s="498"/>
      <c r="BE120" s="498"/>
      <c r="BF120" s="498"/>
      <c r="BG120" s="498"/>
      <c r="BH120" s="498"/>
      <c r="BI120" s="498"/>
      <c r="BJ120" s="498"/>
      <c r="BK120" s="498"/>
      <c r="BL120" s="498"/>
      <c r="BM120" s="407"/>
      <c r="BN120" s="407"/>
      <c r="BO120" s="407"/>
      <c r="BP120" s="407"/>
      <c r="BQ120" s="407"/>
      <c r="BR120" s="407"/>
      <c r="BS120" s="441"/>
      <c r="BT120" s="441"/>
      <c r="BU120" s="913"/>
      <c r="BV120" s="441"/>
      <c r="BW120" s="441"/>
      <c r="BX120" s="441"/>
      <c r="BY120" s="441"/>
      <c r="BZ120" s="441"/>
      <c r="CA120" s="441"/>
      <c r="CB120" s="441"/>
      <c r="CC120" s="441"/>
      <c r="CD120" s="407"/>
      <c r="CE120" s="407"/>
      <c r="CG120" s="407"/>
      <c r="CH120" s="407"/>
      <c r="CI120" s="407"/>
      <c r="DD120" s="970"/>
      <c r="DG120" s="970"/>
      <c r="DH120" s="970"/>
    </row>
    <row r="121" spans="1:112" s="406" customFormat="1" ht="59.25" x14ac:dyDescent="0.75">
      <c r="A121" s="408" t="s">
        <v>4684</v>
      </c>
      <c r="B121" s="430"/>
      <c r="C121" s="545"/>
      <c r="D121" s="546"/>
      <c r="E121" s="545"/>
      <c r="F121" s="547"/>
      <c r="G121" s="408"/>
      <c r="Q121" s="408"/>
      <c r="R121" s="408"/>
      <c r="S121" s="430"/>
      <c r="T121" s="498"/>
      <c r="U121" s="498"/>
      <c r="V121" s="498"/>
      <c r="W121" s="498"/>
      <c r="Y121" s="498"/>
      <c r="Z121" s="498"/>
      <c r="AA121" s="498"/>
      <c r="AB121" s="498"/>
      <c r="AC121" s="498"/>
      <c r="AD121" s="498"/>
      <c r="AE121" s="498"/>
      <c r="AF121" s="498"/>
      <c r="AG121" s="493"/>
      <c r="AH121" s="493"/>
      <c r="AI121" s="493"/>
      <c r="AJ121" s="493"/>
      <c r="AK121" s="493"/>
      <c r="AL121" s="493"/>
      <c r="AM121" s="430"/>
      <c r="AN121" s="430"/>
      <c r="AO121" s="498"/>
      <c r="AP121" s="993"/>
      <c r="AQ121" s="498"/>
      <c r="AR121" s="498"/>
      <c r="AS121" s="430"/>
      <c r="AT121" s="500"/>
      <c r="AU121" s="500"/>
      <c r="AV121" s="498"/>
      <c r="AW121" s="430"/>
      <c r="AX121" s="430"/>
      <c r="AY121" s="430"/>
      <c r="AZ121" s="430"/>
      <c r="BA121" s="430"/>
      <c r="BB121" s="498"/>
      <c r="BC121" s="498"/>
      <c r="BD121" s="498"/>
      <c r="BE121" s="498"/>
      <c r="BF121" s="498"/>
      <c r="BG121" s="498"/>
      <c r="BH121" s="498"/>
      <c r="BI121" s="498"/>
      <c r="BJ121" s="498"/>
      <c r="BK121" s="498"/>
      <c r="BL121" s="498"/>
      <c r="BM121" s="407"/>
      <c r="BN121" s="407"/>
      <c r="BO121" s="407"/>
      <c r="BP121" s="407"/>
      <c r="BQ121" s="407"/>
      <c r="BR121" s="407"/>
      <c r="BS121" s="441"/>
      <c r="BT121" s="441"/>
      <c r="BU121" s="913"/>
      <c r="BV121" s="441"/>
      <c r="BW121" s="441"/>
      <c r="BX121" s="441"/>
      <c r="BY121" s="441"/>
      <c r="BZ121" s="441"/>
      <c r="CA121" s="441"/>
      <c r="CB121" s="441"/>
      <c r="CC121" s="441"/>
      <c r="CD121" s="407"/>
      <c r="CE121" s="407"/>
      <c r="CG121" s="407"/>
      <c r="CH121" s="407"/>
      <c r="CI121" s="407"/>
      <c r="DD121" s="408"/>
      <c r="DG121" s="408"/>
      <c r="DH121" s="408"/>
    </row>
    <row r="122" spans="1:112" s="406" customFormat="1" ht="20.25" x14ac:dyDescent="0.3">
      <c r="A122" s="408"/>
      <c r="B122" s="430"/>
      <c r="D122" s="492"/>
      <c r="F122" s="540"/>
      <c r="G122" s="408"/>
      <c r="Q122" s="408"/>
      <c r="R122" s="408"/>
      <c r="S122" s="430"/>
      <c r="T122" s="498"/>
      <c r="U122" s="498"/>
      <c r="V122" s="498"/>
      <c r="W122" s="498"/>
      <c r="Y122" s="498"/>
      <c r="Z122" s="498"/>
      <c r="AA122" s="498"/>
      <c r="AB122" s="498"/>
      <c r="AC122" s="498"/>
      <c r="AD122" s="498"/>
      <c r="AE122" s="498"/>
      <c r="AF122" s="498"/>
      <c r="AG122" s="493"/>
      <c r="AH122" s="493"/>
      <c r="AI122" s="493"/>
      <c r="AJ122" s="493"/>
      <c r="AK122" s="493"/>
      <c r="AL122" s="493"/>
      <c r="AM122" s="430"/>
      <c r="AN122" s="430"/>
      <c r="AO122" s="498"/>
      <c r="AP122" s="993"/>
      <c r="AQ122" s="498"/>
      <c r="AR122" s="498"/>
      <c r="AS122" s="430"/>
      <c r="AT122" s="500"/>
      <c r="AU122" s="500"/>
      <c r="AV122" s="498"/>
      <c r="AW122" s="430"/>
      <c r="AX122" s="430"/>
      <c r="AY122" s="430"/>
      <c r="AZ122" s="430"/>
      <c r="BA122" s="430"/>
      <c r="BB122" s="498"/>
      <c r="BC122" s="498"/>
      <c r="BD122" s="498"/>
      <c r="BE122" s="498"/>
      <c r="BF122" s="498"/>
      <c r="BG122" s="498"/>
      <c r="BH122" s="498"/>
      <c r="BI122" s="498"/>
      <c r="BJ122" s="498"/>
      <c r="BK122" s="498"/>
      <c r="BL122" s="498"/>
      <c r="BM122" s="407"/>
      <c r="BN122" s="407"/>
      <c r="BO122" s="407"/>
      <c r="BP122" s="407"/>
      <c r="BQ122" s="407"/>
      <c r="BR122" s="407"/>
      <c r="BS122" s="441"/>
      <c r="BT122" s="441"/>
      <c r="BU122" s="913"/>
      <c r="BV122" s="441"/>
      <c r="BW122" s="441"/>
      <c r="BX122" s="441"/>
      <c r="BY122" s="441"/>
      <c r="BZ122" s="441"/>
      <c r="CA122" s="441"/>
      <c r="CB122" s="441"/>
      <c r="CC122" s="441"/>
      <c r="CD122" s="407"/>
      <c r="CE122" s="407"/>
      <c r="CG122" s="407"/>
      <c r="CH122" s="407"/>
      <c r="CI122" s="407"/>
      <c r="DD122" s="408"/>
      <c r="DG122" s="408"/>
      <c r="DH122" s="408"/>
    </row>
    <row r="123" spans="1:112" s="406" customFormat="1" ht="20.25" x14ac:dyDescent="0.3">
      <c r="A123" s="408"/>
      <c r="B123" s="430"/>
      <c r="D123" s="492"/>
      <c r="F123" s="540"/>
      <c r="G123" s="408"/>
      <c r="Q123" s="408"/>
      <c r="R123" s="408"/>
      <c r="S123" s="430"/>
      <c r="T123" s="498"/>
      <c r="U123" s="498"/>
      <c r="V123" s="498"/>
      <c r="W123" s="498"/>
      <c r="Y123" s="498"/>
      <c r="Z123" s="498"/>
      <c r="AA123" s="498"/>
      <c r="AB123" s="498"/>
      <c r="AC123" s="498"/>
      <c r="AD123" s="498"/>
      <c r="AE123" s="498"/>
      <c r="AF123" s="498"/>
      <c r="AG123" s="493"/>
      <c r="AH123" s="493"/>
      <c r="AI123" s="493"/>
      <c r="AJ123" s="493"/>
      <c r="AK123" s="493"/>
      <c r="AL123" s="493"/>
      <c r="AM123" s="430"/>
      <c r="AN123" s="430"/>
      <c r="AO123" s="498"/>
      <c r="AP123" s="993"/>
      <c r="AQ123" s="498"/>
      <c r="AR123" s="498"/>
      <c r="AS123" s="430"/>
      <c r="AT123" s="500"/>
      <c r="AU123" s="500"/>
      <c r="AV123" s="498"/>
      <c r="AW123" s="430"/>
      <c r="AX123" s="430"/>
      <c r="AY123" s="430"/>
      <c r="AZ123" s="430"/>
      <c r="BA123" s="430"/>
      <c r="BB123" s="498"/>
      <c r="BC123" s="498"/>
      <c r="BD123" s="498"/>
      <c r="BE123" s="498"/>
      <c r="BF123" s="498"/>
      <c r="BG123" s="498"/>
      <c r="BH123" s="498"/>
      <c r="BI123" s="498"/>
      <c r="BJ123" s="498"/>
      <c r="BK123" s="498"/>
      <c r="BL123" s="498"/>
      <c r="BM123" s="407"/>
      <c r="BN123" s="407"/>
      <c r="BO123" s="407"/>
      <c r="BP123" s="407"/>
      <c r="BQ123" s="407"/>
      <c r="BR123" s="407"/>
      <c r="BS123" s="441"/>
      <c r="BT123" s="441"/>
      <c r="BU123" s="913"/>
      <c r="BV123" s="441"/>
      <c r="BW123" s="441"/>
      <c r="BX123" s="441"/>
      <c r="BY123" s="441"/>
      <c r="BZ123" s="441"/>
      <c r="CA123" s="441"/>
      <c r="CB123" s="441"/>
      <c r="CC123" s="441"/>
      <c r="CD123" s="407"/>
      <c r="CE123" s="407"/>
      <c r="CG123" s="407"/>
      <c r="CH123" s="407"/>
      <c r="CI123" s="407"/>
      <c r="DD123" s="408"/>
      <c r="DG123" s="408"/>
      <c r="DH123" s="408"/>
    </row>
    <row r="124" spans="1:112" s="406" customFormat="1" ht="20.25" hidden="1" x14ac:dyDescent="0.3">
      <c r="A124" s="408"/>
      <c r="B124" s="430"/>
      <c r="D124" s="492"/>
      <c r="F124" s="540"/>
      <c r="G124" s="408"/>
      <c r="Q124" s="408"/>
      <c r="R124" s="408"/>
      <c r="S124" s="430"/>
      <c r="T124" s="498"/>
      <c r="U124" s="498"/>
      <c r="V124" s="498"/>
      <c r="W124" s="498"/>
      <c r="Y124" s="498"/>
      <c r="Z124" s="498"/>
      <c r="AA124" s="498"/>
      <c r="AB124" s="498"/>
      <c r="AC124" s="498"/>
      <c r="AD124" s="498"/>
      <c r="AE124" s="498"/>
      <c r="AF124" s="498"/>
      <c r="AG124" s="493"/>
      <c r="AH124" s="493"/>
      <c r="AI124" s="493"/>
      <c r="AJ124" s="493"/>
      <c r="AK124" s="493"/>
      <c r="AL124" s="493"/>
      <c r="AM124" s="430"/>
      <c r="AN124" s="430"/>
      <c r="AO124" s="498"/>
      <c r="AP124" s="993"/>
      <c r="AQ124" s="498"/>
      <c r="AR124" s="498"/>
      <c r="AS124" s="430"/>
      <c r="AT124" s="500"/>
      <c r="AU124" s="500"/>
      <c r="AV124" s="498"/>
      <c r="AW124" s="430"/>
      <c r="AX124" s="430"/>
      <c r="AY124" s="430"/>
      <c r="AZ124" s="430"/>
      <c r="BA124" s="430"/>
      <c r="BB124" s="498"/>
      <c r="BC124" s="498"/>
      <c r="BD124" s="498"/>
      <c r="BE124" s="498"/>
      <c r="BF124" s="498"/>
      <c r="BG124" s="498"/>
      <c r="BH124" s="498"/>
      <c r="BI124" s="498"/>
      <c r="BJ124" s="498"/>
      <c r="BK124" s="498"/>
      <c r="BL124" s="498"/>
      <c r="BM124" s="407"/>
      <c r="BN124" s="407"/>
      <c r="BO124" s="407"/>
      <c r="BP124" s="407"/>
      <c r="BQ124" s="407"/>
      <c r="BR124" s="407"/>
      <c r="BS124" s="441"/>
      <c r="BT124" s="441"/>
      <c r="BU124" s="913"/>
      <c r="BV124" s="441"/>
      <c r="BW124" s="441"/>
      <c r="BX124" s="441"/>
      <c r="BY124" s="441"/>
      <c r="BZ124" s="441"/>
      <c r="CA124" s="441"/>
      <c r="CB124" s="441"/>
      <c r="CC124" s="441"/>
      <c r="CD124" s="407"/>
      <c r="CE124" s="407"/>
      <c r="CG124" s="407"/>
      <c r="CH124" s="407"/>
      <c r="CI124" s="407"/>
      <c r="DD124" s="408"/>
      <c r="DG124" s="408"/>
      <c r="DH124" s="408"/>
    </row>
    <row r="125" spans="1:112" s="406" customFormat="1" ht="20.25" hidden="1" x14ac:dyDescent="0.3">
      <c r="A125" s="408"/>
      <c r="B125" s="430"/>
      <c r="D125" s="492"/>
      <c r="F125" s="540"/>
      <c r="G125" s="408"/>
      <c r="H125" s="497"/>
      <c r="I125" s="408"/>
      <c r="J125" s="408"/>
      <c r="K125" s="408"/>
      <c r="L125" s="408"/>
      <c r="M125" s="408"/>
      <c r="Q125" s="408"/>
      <c r="R125" s="408"/>
      <c r="S125" s="430"/>
      <c r="T125" s="498"/>
      <c r="U125" s="498"/>
      <c r="V125" s="498"/>
      <c r="W125" s="498"/>
      <c r="Y125" s="498"/>
      <c r="Z125" s="498"/>
      <c r="AA125" s="498"/>
      <c r="AB125" s="498"/>
      <c r="AC125" s="498"/>
      <c r="AD125" s="498"/>
      <c r="AE125" s="498"/>
      <c r="AF125" s="498"/>
      <c r="AG125" s="493"/>
      <c r="AH125" s="493"/>
      <c r="AI125" s="493"/>
      <c r="AJ125" s="493"/>
      <c r="AK125" s="493"/>
      <c r="AL125" s="493"/>
      <c r="AM125" s="430"/>
      <c r="AN125" s="430"/>
      <c r="AO125" s="498"/>
      <c r="AP125" s="993"/>
      <c r="AQ125" s="498"/>
      <c r="AR125" s="498"/>
      <c r="AS125" s="430"/>
      <c r="AT125" s="500"/>
      <c r="AU125" s="500"/>
      <c r="AV125" s="498"/>
      <c r="AW125" s="430"/>
      <c r="AX125" s="430"/>
      <c r="AY125" s="430"/>
      <c r="AZ125" s="430"/>
      <c r="BA125" s="430"/>
      <c r="BB125" s="498"/>
      <c r="BC125" s="498"/>
      <c r="BD125" s="498"/>
      <c r="BE125" s="498"/>
      <c r="BF125" s="498"/>
      <c r="BG125" s="498"/>
      <c r="BH125" s="498"/>
      <c r="BI125" s="498"/>
      <c r="BJ125" s="498"/>
      <c r="BK125" s="498"/>
      <c r="BL125" s="498"/>
      <c r="BM125" s="407"/>
      <c r="BN125" s="407"/>
      <c r="BO125" s="407"/>
      <c r="BP125" s="407"/>
      <c r="BQ125" s="407"/>
      <c r="BR125" s="407"/>
      <c r="BS125" s="441"/>
      <c r="BT125" s="441"/>
      <c r="BU125" s="913"/>
      <c r="BV125" s="441"/>
      <c r="BW125" s="441"/>
      <c r="BX125" s="441"/>
      <c r="BY125" s="441"/>
      <c r="BZ125" s="441"/>
      <c r="CA125" s="441"/>
      <c r="CB125" s="441"/>
      <c r="CC125" s="441"/>
      <c r="CD125" s="407"/>
      <c r="CE125" s="407"/>
      <c r="CG125" s="407"/>
      <c r="CH125" s="407"/>
      <c r="CI125" s="407"/>
      <c r="DD125" s="408"/>
      <c r="DG125" s="408"/>
      <c r="DH125" s="408"/>
    </row>
    <row r="126" spans="1:112" s="406" customFormat="1" ht="20.25" hidden="1" x14ac:dyDescent="0.3">
      <c r="A126" s="408"/>
      <c r="B126" s="430"/>
      <c r="D126" s="492"/>
      <c r="F126" s="540"/>
      <c r="G126" s="408"/>
      <c r="H126" s="497"/>
      <c r="I126" s="408"/>
      <c r="J126" s="408"/>
      <c r="K126" s="408"/>
      <c r="L126" s="408"/>
      <c r="M126" s="408"/>
      <c r="Q126" s="408"/>
      <c r="R126" s="408"/>
      <c r="S126" s="430"/>
      <c r="T126" s="498"/>
      <c r="U126" s="498"/>
      <c r="V126" s="498"/>
      <c r="W126" s="498"/>
      <c r="Y126" s="498"/>
      <c r="Z126" s="498"/>
      <c r="AA126" s="498"/>
      <c r="AB126" s="498"/>
      <c r="AC126" s="498"/>
      <c r="AD126" s="498"/>
      <c r="AE126" s="498"/>
      <c r="AF126" s="498"/>
      <c r="AG126" s="493"/>
      <c r="AH126" s="493"/>
      <c r="AI126" s="493"/>
      <c r="AJ126" s="493"/>
      <c r="AK126" s="493"/>
      <c r="AL126" s="493"/>
      <c r="AM126" s="430"/>
      <c r="AN126" s="430"/>
      <c r="AO126" s="498"/>
      <c r="AP126" s="993"/>
      <c r="AQ126" s="498"/>
      <c r="AR126" s="498"/>
      <c r="AS126" s="430"/>
      <c r="AT126" s="500"/>
      <c r="AU126" s="500"/>
      <c r="AV126" s="498"/>
      <c r="AW126" s="430"/>
      <c r="AX126" s="430"/>
      <c r="AY126" s="430"/>
      <c r="AZ126" s="430"/>
      <c r="BA126" s="430"/>
      <c r="BB126" s="498"/>
      <c r="BC126" s="498"/>
      <c r="BD126" s="498"/>
      <c r="BE126" s="498"/>
      <c r="BF126" s="498"/>
      <c r="BG126" s="498"/>
      <c r="BH126" s="498"/>
      <c r="BI126" s="498"/>
      <c r="BJ126" s="498"/>
      <c r="BK126" s="498"/>
      <c r="BL126" s="498"/>
      <c r="BM126" s="407"/>
      <c r="BN126" s="407"/>
      <c r="BO126" s="407"/>
      <c r="BP126" s="407"/>
      <c r="BQ126" s="407"/>
      <c r="BR126" s="407"/>
      <c r="BS126" s="441"/>
      <c r="BT126" s="441"/>
      <c r="BU126" s="913"/>
      <c r="BV126" s="441"/>
      <c r="BW126" s="441"/>
      <c r="BX126" s="441"/>
      <c r="BY126" s="441"/>
      <c r="BZ126" s="441"/>
      <c r="CA126" s="441"/>
      <c r="CB126" s="441"/>
      <c r="CC126" s="441"/>
      <c r="CD126" s="407"/>
      <c r="CE126" s="407"/>
      <c r="CG126" s="407"/>
      <c r="CH126" s="407"/>
      <c r="CI126" s="407"/>
      <c r="DD126" s="408"/>
      <c r="DG126" s="408"/>
      <c r="DH126" s="408"/>
    </row>
    <row r="127" spans="1:112" s="406" customFormat="1" ht="20.25" hidden="1" x14ac:dyDescent="0.3">
      <c r="A127" s="408"/>
      <c r="B127" s="430"/>
      <c r="D127" s="492"/>
      <c r="F127" s="540"/>
      <c r="G127" s="408"/>
      <c r="H127" s="497"/>
      <c r="I127" s="408"/>
      <c r="J127" s="408"/>
      <c r="K127" s="408"/>
      <c r="L127" s="408"/>
      <c r="M127" s="408"/>
      <c r="Q127" s="408"/>
      <c r="R127" s="408"/>
      <c r="S127" s="430"/>
      <c r="T127" s="498"/>
      <c r="U127" s="498"/>
      <c r="V127" s="498"/>
      <c r="W127" s="498"/>
      <c r="Y127" s="498"/>
      <c r="Z127" s="498"/>
      <c r="AA127" s="498"/>
      <c r="AB127" s="498"/>
      <c r="AC127" s="498"/>
      <c r="AD127" s="498"/>
      <c r="AE127" s="498"/>
      <c r="AF127" s="498"/>
      <c r="AG127" s="493"/>
      <c r="AH127" s="493"/>
      <c r="AI127" s="493"/>
      <c r="AJ127" s="493"/>
      <c r="AK127" s="493"/>
      <c r="AL127" s="493"/>
      <c r="AM127" s="430"/>
      <c r="AN127" s="430"/>
      <c r="AO127" s="498"/>
      <c r="AP127" s="993"/>
      <c r="AQ127" s="498"/>
      <c r="AR127" s="498"/>
      <c r="AS127" s="430"/>
      <c r="AT127" s="500"/>
      <c r="AU127" s="500"/>
      <c r="AV127" s="498"/>
      <c r="AW127" s="430"/>
      <c r="AX127" s="430"/>
      <c r="AY127" s="430"/>
      <c r="AZ127" s="430"/>
      <c r="BA127" s="430"/>
      <c r="BB127" s="498"/>
      <c r="BC127" s="498"/>
      <c r="BD127" s="498"/>
      <c r="BE127" s="498"/>
      <c r="BF127" s="498"/>
      <c r="BG127" s="498"/>
      <c r="BH127" s="498"/>
      <c r="BI127" s="498"/>
      <c r="BJ127" s="498"/>
      <c r="BK127" s="498"/>
      <c r="BL127" s="498"/>
      <c r="BM127" s="407"/>
      <c r="BN127" s="407"/>
      <c r="BO127" s="407"/>
      <c r="BP127" s="407"/>
      <c r="BQ127" s="407"/>
      <c r="BR127" s="407"/>
      <c r="BS127" s="441"/>
      <c r="BT127" s="441"/>
      <c r="BU127" s="913"/>
      <c r="BV127" s="441"/>
      <c r="BW127" s="441"/>
      <c r="BX127" s="441"/>
      <c r="BY127" s="441"/>
      <c r="BZ127" s="441"/>
      <c r="CA127" s="441"/>
      <c r="CB127" s="441"/>
      <c r="CC127" s="441"/>
      <c r="CD127" s="407"/>
      <c r="CE127" s="407"/>
      <c r="CG127" s="407"/>
      <c r="CH127" s="407"/>
      <c r="CI127" s="407"/>
      <c r="DD127" s="408"/>
      <c r="DG127" s="408"/>
      <c r="DH127" s="408"/>
    </row>
    <row r="128" spans="1:112" s="406" customFormat="1" ht="20.25" hidden="1" x14ac:dyDescent="0.3">
      <c r="A128" s="408"/>
      <c r="B128" s="430"/>
      <c r="D128" s="492"/>
      <c r="F128" s="540"/>
      <c r="G128" s="408"/>
      <c r="H128" s="497"/>
      <c r="I128" s="408"/>
      <c r="J128" s="408"/>
      <c r="K128" s="408"/>
      <c r="L128" s="408"/>
      <c r="M128" s="408"/>
      <c r="Q128" s="408"/>
      <c r="R128" s="408"/>
      <c r="S128" s="430"/>
      <c r="T128" s="498"/>
      <c r="U128" s="498"/>
      <c r="V128" s="498"/>
      <c r="W128" s="498"/>
      <c r="Y128" s="498"/>
      <c r="Z128" s="498"/>
      <c r="AA128" s="498"/>
      <c r="AB128" s="498"/>
      <c r="AC128" s="498"/>
      <c r="AD128" s="498"/>
      <c r="AE128" s="498"/>
      <c r="AF128" s="498"/>
      <c r="AG128" s="493"/>
      <c r="AH128" s="493"/>
      <c r="AI128" s="493"/>
      <c r="AJ128" s="493"/>
      <c r="AK128" s="493"/>
      <c r="AL128" s="493"/>
      <c r="AM128" s="430"/>
      <c r="AN128" s="430"/>
      <c r="AO128" s="498"/>
      <c r="AP128" s="993"/>
      <c r="AQ128" s="498"/>
      <c r="AR128" s="498"/>
      <c r="AS128" s="430"/>
      <c r="AT128" s="500"/>
      <c r="AU128" s="500"/>
      <c r="AV128" s="498"/>
      <c r="AW128" s="430"/>
      <c r="AX128" s="430"/>
      <c r="AY128" s="430"/>
      <c r="AZ128" s="430"/>
      <c r="BA128" s="430"/>
      <c r="BB128" s="498"/>
      <c r="BC128" s="498"/>
      <c r="BD128" s="498"/>
      <c r="BE128" s="498"/>
      <c r="BF128" s="498"/>
      <c r="BG128" s="498"/>
      <c r="BH128" s="498"/>
      <c r="BI128" s="498"/>
      <c r="BJ128" s="498"/>
      <c r="BK128" s="498"/>
      <c r="BL128" s="498"/>
      <c r="BM128" s="407"/>
      <c r="BN128" s="407"/>
      <c r="BO128" s="407"/>
      <c r="BP128" s="407"/>
      <c r="BQ128" s="407"/>
      <c r="BR128" s="407"/>
      <c r="BS128" s="441"/>
      <c r="BT128" s="441"/>
      <c r="BU128" s="913"/>
      <c r="BV128" s="441"/>
      <c r="BW128" s="441"/>
      <c r="BX128" s="441"/>
      <c r="BY128" s="441"/>
      <c r="BZ128" s="441"/>
      <c r="CA128" s="441"/>
      <c r="CB128" s="441"/>
      <c r="CC128" s="441"/>
      <c r="CD128" s="407"/>
      <c r="CE128" s="407"/>
      <c r="CG128" s="407"/>
      <c r="CH128" s="407"/>
      <c r="CI128" s="407"/>
      <c r="DD128" s="408"/>
      <c r="DG128" s="408"/>
      <c r="DH128" s="408"/>
    </row>
    <row r="129" spans="1:112" s="406" customFormat="1" ht="20.25" hidden="1" x14ac:dyDescent="0.3">
      <c r="A129" s="408"/>
      <c r="B129" s="430"/>
      <c r="D129" s="492"/>
      <c r="F129" s="540"/>
      <c r="G129" s="408"/>
      <c r="H129" s="497"/>
      <c r="I129" s="1024"/>
      <c r="J129" s="1024"/>
      <c r="K129" s="408"/>
      <c r="L129" s="408"/>
      <c r="M129" s="408"/>
      <c r="Q129" s="408"/>
      <c r="R129" s="408"/>
      <c r="S129" s="430"/>
      <c r="T129" s="498"/>
      <c r="U129" s="498"/>
      <c r="V129" s="498"/>
      <c r="W129" s="498"/>
      <c r="Y129" s="498"/>
      <c r="Z129" s="498"/>
      <c r="AA129" s="498"/>
      <c r="AB129" s="498"/>
      <c r="AC129" s="498"/>
      <c r="AD129" s="498"/>
      <c r="AE129" s="498"/>
      <c r="AF129" s="498"/>
      <c r="AG129" s="493"/>
      <c r="AH129" s="493"/>
      <c r="AI129" s="493"/>
      <c r="AJ129" s="493"/>
      <c r="AK129" s="493"/>
      <c r="AL129" s="493"/>
      <c r="AM129" s="430"/>
      <c r="AN129" s="430"/>
      <c r="AO129" s="498"/>
      <c r="AP129" s="993"/>
      <c r="AQ129" s="498"/>
      <c r="AR129" s="498"/>
      <c r="AS129" s="430"/>
      <c r="AT129" s="500"/>
      <c r="AU129" s="500"/>
      <c r="AV129" s="498"/>
      <c r="AW129" s="430"/>
      <c r="AX129" s="430"/>
      <c r="AY129" s="430"/>
      <c r="AZ129" s="430"/>
      <c r="BA129" s="430"/>
      <c r="BB129" s="498"/>
      <c r="BC129" s="498"/>
      <c r="BD129" s="498"/>
      <c r="BE129" s="498"/>
      <c r="BF129" s="498"/>
      <c r="BG129" s="498"/>
      <c r="BH129" s="498"/>
      <c r="BI129" s="498"/>
      <c r="BJ129" s="498"/>
      <c r="BK129" s="498"/>
      <c r="BL129" s="498"/>
      <c r="BM129" s="407"/>
      <c r="BN129" s="407"/>
      <c r="BO129" s="407"/>
      <c r="BP129" s="407"/>
      <c r="BQ129" s="407"/>
      <c r="BR129" s="407"/>
      <c r="BS129" s="441"/>
      <c r="BT129" s="441"/>
      <c r="BU129" s="913"/>
      <c r="BV129" s="441"/>
      <c r="BW129" s="441"/>
      <c r="BX129" s="441"/>
      <c r="BY129" s="441"/>
      <c r="BZ129" s="441"/>
      <c r="CA129" s="441"/>
      <c r="CB129" s="441"/>
      <c r="CC129" s="441"/>
      <c r="CD129" s="407"/>
      <c r="CE129" s="407"/>
      <c r="CG129" s="407"/>
      <c r="CH129" s="407"/>
      <c r="CI129" s="407"/>
      <c r="DD129" s="408"/>
      <c r="DG129" s="408"/>
      <c r="DH129" s="408"/>
    </row>
    <row r="130" spans="1:112" s="406" customFormat="1" ht="20.25" hidden="1" x14ac:dyDescent="0.3">
      <c r="A130" s="1025" t="s">
        <v>4707</v>
      </c>
      <c r="B130" s="1025"/>
      <c r="C130" s="1025"/>
      <c r="D130" s="1025"/>
      <c r="E130" s="501" t="s">
        <v>4708</v>
      </c>
      <c r="F130" s="540"/>
      <c r="G130" s="408"/>
      <c r="H130" s="497"/>
      <c r="I130" s="1024"/>
      <c r="J130" s="1024"/>
      <c r="K130" s="408"/>
      <c r="L130" s="408"/>
      <c r="M130" s="408"/>
      <c r="Q130" s="408"/>
      <c r="R130" s="408"/>
      <c r="S130" s="430"/>
      <c r="T130" s="498"/>
      <c r="U130" s="498"/>
      <c r="V130" s="498"/>
      <c r="W130" s="498"/>
      <c r="Y130" s="498"/>
      <c r="Z130" s="498"/>
      <c r="AA130" s="498"/>
      <c r="AB130" s="498"/>
      <c r="AC130" s="498"/>
      <c r="AD130" s="498"/>
      <c r="AE130" s="498"/>
      <c r="AF130" s="498"/>
      <c r="AG130" s="493"/>
      <c r="AH130" s="493"/>
      <c r="AI130" s="493"/>
      <c r="AJ130" s="493"/>
      <c r="AK130" s="493"/>
      <c r="AL130" s="493"/>
      <c r="AM130" s="430"/>
      <c r="AN130" s="430"/>
      <c r="AO130" s="498"/>
      <c r="AP130" s="993"/>
      <c r="AQ130" s="498"/>
      <c r="AR130" s="498"/>
      <c r="AS130" s="430"/>
      <c r="AT130" s="500"/>
      <c r="AU130" s="500"/>
      <c r="AV130" s="498"/>
      <c r="AW130" s="430"/>
      <c r="AX130" s="430"/>
      <c r="AY130" s="430"/>
      <c r="AZ130" s="430"/>
      <c r="BA130" s="430"/>
      <c r="BB130" s="498"/>
      <c r="BC130" s="498"/>
      <c r="BD130" s="498"/>
      <c r="BE130" s="498"/>
      <c r="BF130" s="498"/>
      <c r="BG130" s="498"/>
      <c r="BH130" s="498"/>
      <c r="BI130" s="498"/>
      <c r="BJ130" s="498"/>
      <c r="BK130" s="498"/>
      <c r="BL130" s="498"/>
      <c r="BM130" s="407"/>
      <c r="BN130" s="407"/>
      <c r="BO130" s="407"/>
      <c r="BP130" s="407"/>
      <c r="BQ130" s="407"/>
      <c r="BR130" s="407"/>
      <c r="BS130" s="441"/>
      <c r="BT130" s="441"/>
      <c r="BU130" s="913"/>
      <c r="BV130" s="441"/>
      <c r="BW130" s="441"/>
      <c r="BX130" s="441"/>
      <c r="BY130" s="441"/>
      <c r="BZ130" s="441"/>
      <c r="CA130" s="441"/>
      <c r="CB130" s="441"/>
      <c r="CC130" s="441"/>
      <c r="CD130" s="407"/>
      <c r="CE130" s="407"/>
      <c r="CG130" s="407"/>
      <c r="CH130" s="407"/>
      <c r="CI130" s="407"/>
      <c r="DD130" s="408"/>
      <c r="DG130" s="408"/>
      <c r="DH130" s="408"/>
    </row>
    <row r="131" spans="1:112" s="529" customFormat="1" ht="21" hidden="1" customHeight="1" thickBot="1" x14ac:dyDescent="0.35">
      <c r="A131" s="502" t="s">
        <v>2835</v>
      </c>
      <c r="B131" s="503">
        <v>7</v>
      </c>
      <c r="C131" s="504">
        <v>18985024</v>
      </c>
      <c r="D131" s="505" t="s">
        <v>4678</v>
      </c>
      <c r="E131" s="506" t="s">
        <v>4635</v>
      </c>
      <c r="F131" s="542"/>
      <c r="G131" s="506" t="s">
        <v>4633</v>
      </c>
      <c r="H131" s="491">
        <v>44200</v>
      </c>
      <c r="I131" s="507">
        <f>IF(AND(YEAR(H131)&lt;2023,MONTH(H131)&gt;$BB$8),2023-YEAR(H131)-1,IF(OR(H131="",YEAR(H131)&gt;2023),0,2023-YEAR(H131)))</f>
        <v>2</v>
      </c>
      <c r="J131" s="508"/>
      <c r="K131" s="507">
        <f t="shared" ref="K131" si="110">I131+J131</f>
        <v>2</v>
      </c>
      <c r="L131" s="509"/>
      <c r="M131" s="509"/>
      <c r="N131" s="460" t="s">
        <v>2616</v>
      </c>
      <c r="O131" s="460"/>
      <c r="P131" s="510" t="str">
        <f>IFERROR(VLOOKUP(N131,CARGOS!A:E,2,0),"")</f>
        <v>7204</v>
      </c>
      <c r="Q131" s="506"/>
      <c r="R131" s="506"/>
      <c r="S131" s="511">
        <v>5</v>
      </c>
      <c r="T131" s="512">
        <f>IFERROR(VLOOKUP(S131,'TAB OBR'!A:B,2,0),0)</f>
        <v>171</v>
      </c>
      <c r="U131" s="513">
        <v>0</v>
      </c>
      <c r="V131" s="514">
        <f t="shared" ref="V131" si="111">T131-U131</f>
        <v>171</v>
      </c>
      <c r="W131" s="513">
        <f t="shared" ref="W131" si="112">V131/2</f>
        <v>85.5</v>
      </c>
      <c r="X131" s="515">
        <v>2</v>
      </c>
      <c r="Y131" s="514">
        <f>ROUND(IF(H131&lt;&gt;"",VLOOKUP(SUM(I131:J131),'CONCEPTOS Y PARAMETROS'!F:G,2,0)*V131,0),2)</f>
        <v>3.42</v>
      </c>
      <c r="Z131" s="514">
        <f>IF(S131&lt;&gt;"",IF(L131="",'CONCEPTOS Y PARAMETROS'!$C$4,0),0)</f>
        <v>130</v>
      </c>
      <c r="AA131" s="514">
        <f>IF(S131&lt;&gt;"",IF(L131="",'CONCEPTOS Y PARAMETROS'!$C$7*X131,0),0)</f>
        <v>25</v>
      </c>
      <c r="AB131" s="514">
        <f>IFERROR(ROUND(VLOOKUP($Q131,'CONCEPTOS Y PARAMETROS'!H:I,2,0)*($V131+Y131+Z131+AA131),2),0)</f>
        <v>0</v>
      </c>
      <c r="AC131" s="514">
        <f t="shared" ref="AC131" si="113">SUM(Y131:AB131)</f>
        <v>158.41999999999999</v>
      </c>
      <c r="AD131" s="513">
        <f t="shared" ref="AD131" si="114">ROUND(((Y131+Z131+AB131)/2),2)+AA131</f>
        <v>91.71</v>
      </c>
      <c r="AE131" s="513">
        <f t="shared" ref="AE131" si="115">ROUND(((Y131+Z131+AB131)/2),2)</f>
        <v>66.709999999999994</v>
      </c>
      <c r="AF131" s="516">
        <v>2</v>
      </c>
      <c r="AG131" s="517">
        <f>'CONCEPTOS Y PARAMETROS'!$C$18*AF131</f>
        <v>25</v>
      </c>
      <c r="AH131" s="516">
        <v>0</v>
      </c>
      <c r="AI131" s="517">
        <f>'CONCEPTOS Y PARAMETROS'!$C$21*AH131</f>
        <v>0</v>
      </c>
      <c r="AJ131" s="518">
        <v>0</v>
      </c>
      <c r="AK131" s="518">
        <v>0</v>
      </c>
      <c r="AL131" s="404">
        <f t="shared" ref="AL131" si="116">AG131+AI131+AJ131+AK131</f>
        <v>25</v>
      </c>
      <c r="AM131" s="513">
        <f t="shared" ref="AM131" si="117">ROUND((V131+AC131+AN131),2)</f>
        <v>329.42</v>
      </c>
      <c r="AN131" s="513">
        <f t="shared" ref="AN131" si="118">ROUND(IF(N131="VIGILANTE NOCTURNO",(V131+AC131)*30%,0),2)</f>
        <v>0</v>
      </c>
      <c r="AO131" s="402">
        <f>IF(T131&lt;&gt;"0",(ROUND(IF(A131="EMPLEADO",eval_formula('CONCEPTOS Y PARAMETROS'!$C$8,RAC!V131,RAC!$AM131,RAC!I131+RAC!J131),eval_formula('CONCEPTOS Y PARAMETROS'!$D$8,RAC!V131,RAC!$AM131,RAC!I131+RAC!J131)),2))*IF(H131&lt;&gt;"",IF(MONTH(H131)=$BB$8,IF(YEAR(H131)&lt;$BD$7,1,0),0)))</f>
        <v>0</v>
      </c>
      <c r="AP131" s="995"/>
      <c r="AQ131" s="402"/>
      <c r="AR131" s="402"/>
      <c r="AS131" s="514">
        <f>ROUND((+AM131/30*$AS$10),2)</f>
        <v>10.98</v>
      </c>
      <c r="AT131" s="519">
        <v>200</v>
      </c>
      <c r="AU131" s="519"/>
      <c r="AV131" s="520"/>
      <c r="AW131" s="514">
        <f>ROUND(IF(L131="", (((AM131*12)/52)*4%)*$BC$8,0),2)</f>
        <v>12.16</v>
      </c>
      <c r="AX131" s="521">
        <f>ROUND(IF(L131="",(((AM131*12)/52)*0.5%)*$BC$8,0),2)</f>
        <v>1.52</v>
      </c>
      <c r="AY131" s="522">
        <f>ROUND(IF(L131="",(AM131*1%),0),2)</f>
        <v>3.29</v>
      </c>
      <c r="AZ131" s="514">
        <v>0</v>
      </c>
      <c r="BA131" s="513">
        <f t="shared" ref="BA131" si="119">ROUND(SUM(AW131:AY131),2)</f>
        <v>16.97</v>
      </c>
      <c r="BB131" s="514">
        <f>ROUND(IF(L131="", (((AM131*12)/52)*9%)*$BC$8,0),2)</f>
        <v>27.37</v>
      </c>
      <c r="BC131" s="514">
        <f>ROUND(IF(L131="",(((AM131*12)/52)*2%)*$BC$8,0),2)</f>
        <v>6.08</v>
      </c>
      <c r="BD131" s="514">
        <f>ROUND(IF(L131="",(AM131*2%),0),2)</f>
        <v>6.59</v>
      </c>
      <c r="BE131" s="514">
        <v>0</v>
      </c>
      <c r="BF131" s="523">
        <f t="shared" ref="BF131" si="120">ROUND(SUM(BB131:BD131),2)</f>
        <v>40.04</v>
      </c>
      <c r="BG131" s="524"/>
      <c r="BH131" s="525">
        <v>0</v>
      </c>
      <c r="BI131" s="525"/>
      <c r="BJ131" s="525"/>
      <c r="BK131" s="525"/>
      <c r="BL131" s="525">
        <v>0</v>
      </c>
      <c r="BM131" s="525">
        <v>0</v>
      </c>
      <c r="BN131" s="525"/>
      <c r="BO131" s="526"/>
      <c r="BP131" s="527"/>
      <c r="BQ131" s="527"/>
      <c r="BR131" s="527"/>
      <c r="BS131" s="528">
        <v>0</v>
      </c>
      <c r="BT131" s="528">
        <v>0</v>
      </c>
      <c r="BU131" s="914"/>
      <c r="BV131" s="528">
        <v>0</v>
      </c>
      <c r="BW131" s="528">
        <v>0</v>
      </c>
      <c r="BX131" s="528">
        <v>0</v>
      </c>
      <c r="BY131" s="528">
        <f>AO131</f>
        <v>0</v>
      </c>
      <c r="BZ131" s="528">
        <v>0</v>
      </c>
      <c r="CA131" s="528">
        <f>ROUND(SUM(BW131:BZ131),2)</f>
        <v>0</v>
      </c>
      <c r="CB131" s="528">
        <v>0</v>
      </c>
      <c r="CC131" s="528">
        <v>0</v>
      </c>
      <c r="CD131" s="527"/>
      <c r="CE131" s="526"/>
      <c r="CG131" s="527"/>
      <c r="CH131" s="527"/>
      <c r="CI131" s="527"/>
      <c r="DD131" s="530"/>
      <c r="DG131" s="530"/>
      <c r="DH131" s="530"/>
    </row>
    <row r="132" spans="1:112" s="406" customFormat="1" ht="20.25" hidden="1" x14ac:dyDescent="0.3">
      <c r="A132" s="408"/>
      <c r="B132" s="430"/>
      <c r="D132" s="492"/>
      <c r="F132" s="540"/>
      <c r="G132" s="408"/>
      <c r="H132" s="497"/>
      <c r="I132" s="1024"/>
      <c r="J132" s="1024"/>
      <c r="K132" s="408"/>
      <c r="L132" s="408"/>
      <c r="M132" s="408"/>
      <c r="Q132" s="408"/>
      <c r="R132" s="408"/>
      <c r="S132" s="430"/>
      <c r="T132" s="498"/>
      <c r="U132" s="498"/>
      <c r="V132" s="498"/>
      <c r="W132" s="498"/>
      <c r="Y132" s="498"/>
      <c r="Z132" s="498"/>
      <c r="AA132" s="498"/>
      <c r="AB132" s="498"/>
      <c r="AC132" s="498"/>
      <c r="AD132" s="498"/>
      <c r="AE132" s="498"/>
      <c r="AF132" s="498"/>
      <c r="AG132" s="493"/>
      <c r="AH132" s="493"/>
      <c r="AI132" s="493"/>
      <c r="AJ132" s="493"/>
      <c r="AK132" s="493"/>
      <c r="AL132" s="493"/>
      <c r="AM132" s="430"/>
      <c r="AN132" s="430"/>
      <c r="AO132" s="498"/>
      <c r="AP132" s="993"/>
      <c r="AQ132" s="498"/>
      <c r="AR132" s="498"/>
      <c r="AS132" s="430"/>
      <c r="AT132" s="500"/>
      <c r="AU132" s="500"/>
      <c r="AV132" s="498"/>
      <c r="AW132" s="430"/>
      <c r="AX132" s="430"/>
      <c r="AY132" s="430"/>
      <c r="AZ132" s="430"/>
      <c r="BA132" s="430"/>
      <c r="BB132" s="498"/>
      <c r="BC132" s="498"/>
      <c r="BD132" s="498"/>
      <c r="BE132" s="498"/>
      <c r="BF132" s="498"/>
      <c r="BG132" s="498"/>
      <c r="BH132" s="498"/>
      <c r="BI132" s="498"/>
      <c r="BJ132" s="498"/>
      <c r="BK132" s="498"/>
      <c r="BL132" s="498"/>
      <c r="BM132" s="407"/>
      <c r="BN132" s="407"/>
      <c r="BO132" s="407"/>
      <c r="BP132" s="407"/>
      <c r="BQ132" s="407"/>
      <c r="BR132" s="407"/>
      <c r="BS132" s="441"/>
      <c r="BT132" s="441"/>
      <c r="BU132" s="913"/>
      <c r="BV132" s="441"/>
      <c r="BW132" s="441"/>
      <c r="BX132" s="441"/>
      <c r="BY132" s="441"/>
      <c r="BZ132" s="441"/>
      <c r="CA132" s="441"/>
      <c r="CB132" s="441"/>
      <c r="CC132" s="441"/>
      <c r="CD132" s="407"/>
      <c r="CE132" s="407"/>
      <c r="CG132" s="407"/>
      <c r="CH132" s="407"/>
      <c r="CI132" s="407"/>
      <c r="DD132" s="408"/>
      <c r="DG132" s="408"/>
      <c r="DH132" s="408"/>
    </row>
    <row r="133" spans="1:112" s="406" customFormat="1" ht="20.25" x14ac:dyDescent="0.3">
      <c r="A133" s="408"/>
      <c r="B133" s="430"/>
      <c r="D133" s="492"/>
      <c r="F133" s="540"/>
      <c r="G133" s="408"/>
      <c r="H133" s="497"/>
      <c r="I133" s="1024"/>
      <c r="J133" s="1024"/>
      <c r="K133" s="408"/>
      <c r="L133" s="408"/>
      <c r="M133" s="408"/>
      <c r="Q133" s="408"/>
      <c r="R133" s="408"/>
      <c r="S133" s="430"/>
      <c r="T133" s="498"/>
      <c r="U133" s="498"/>
      <c r="V133" s="498"/>
      <c r="W133" s="498"/>
      <c r="Y133" s="498"/>
      <c r="Z133" s="498"/>
      <c r="AA133" s="498"/>
      <c r="AB133" s="498"/>
      <c r="AC133" s="498"/>
      <c r="AD133" s="498"/>
      <c r="AE133" s="498"/>
      <c r="AF133" s="498"/>
      <c r="AG133" s="493"/>
      <c r="AH133" s="493"/>
      <c r="AI133" s="493"/>
      <c r="AJ133" s="493"/>
      <c r="AK133" s="493"/>
      <c r="AL133" s="493"/>
      <c r="AM133" s="430"/>
      <c r="AN133" s="430"/>
      <c r="AO133" s="498"/>
      <c r="AP133" s="993"/>
      <c r="AQ133" s="498"/>
      <c r="AR133" s="498"/>
      <c r="AS133" s="430"/>
      <c r="AT133" s="500"/>
      <c r="AU133" s="500"/>
      <c r="AV133" s="498"/>
      <c r="AW133" s="430"/>
      <c r="AX133" s="430"/>
      <c r="AY133" s="430"/>
      <c r="AZ133" s="430"/>
      <c r="BA133" s="430"/>
      <c r="BB133" s="498"/>
      <c r="BC133" s="498"/>
      <c r="BD133" s="498"/>
      <c r="BE133" s="498"/>
      <c r="BF133" s="498"/>
      <c r="BG133" s="498"/>
      <c r="BH133" s="498"/>
      <c r="BI133" s="498"/>
      <c r="BJ133" s="498"/>
      <c r="BK133" s="498"/>
      <c r="BL133" s="498"/>
      <c r="BM133" s="407"/>
      <c r="BN133" s="407"/>
      <c r="BO133" s="407"/>
      <c r="BP133" s="407"/>
      <c r="BQ133" s="407"/>
      <c r="BR133" s="407"/>
      <c r="BS133" s="441"/>
      <c r="BT133" s="441"/>
      <c r="BU133" s="913"/>
      <c r="BV133" s="441"/>
      <c r="BW133" s="441"/>
      <c r="BX133" s="441"/>
      <c r="BY133" s="441"/>
      <c r="BZ133" s="441"/>
      <c r="CA133" s="441"/>
      <c r="CB133" s="441"/>
      <c r="CC133" s="441"/>
      <c r="CD133" s="407"/>
      <c r="CE133" s="407"/>
      <c r="CG133" s="407"/>
      <c r="CH133" s="407"/>
      <c r="CI133" s="407"/>
      <c r="DD133" s="408"/>
      <c r="DG133" s="408"/>
      <c r="DH133" s="408"/>
    </row>
    <row r="134" spans="1:112" s="406" customFormat="1" ht="20.25" x14ac:dyDescent="0.3">
      <c r="A134" s="867"/>
      <c r="B134" s="430"/>
      <c r="D134" s="492"/>
      <c r="F134" s="867"/>
      <c r="G134" s="867"/>
      <c r="H134" s="497"/>
      <c r="I134" s="867"/>
      <c r="J134" s="867"/>
      <c r="K134" s="867"/>
      <c r="L134" s="867"/>
      <c r="M134" s="867"/>
      <c r="Q134" s="867"/>
      <c r="R134" s="867"/>
      <c r="S134" s="430"/>
      <c r="T134" s="498"/>
      <c r="U134" s="498"/>
      <c r="V134" s="498"/>
      <c r="W134" s="498"/>
      <c r="Y134" s="498"/>
      <c r="Z134" s="498"/>
      <c r="AA134" s="498"/>
      <c r="AB134" s="498"/>
      <c r="AC134" s="498"/>
      <c r="AD134" s="498"/>
      <c r="AE134" s="498"/>
      <c r="AF134" s="498"/>
      <c r="AG134" s="493"/>
      <c r="AH134" s="493"/>
      <c r="AI134" s="493"/>
      <c r="AJ134" s="493"/>
      <c r="AK134" s="493"/>
      <c r="AL134" s="493"/>
      <c r="AM134" s="430"/>
      <c r="AN134" s="430"/>
      <c r="AO134" s="498"/>
      <c r="AP134" s="993"/>
      <c r="AQ134" s="498"/>
      <c r="AR134" s="498"/>
      <c r="AS134" s="430"/>
      <c r="AT134" s="500"/>
      <c r="AU134" s="500"/>
      <c r="AV134" s="498"/>
      <c r="AW134" s="430"/>
      <c r="AX134" s="430"/>
      <c r="AY134" s="430"/>
      <c r="AZ134" s="430"/>
      <c r="BA134" s="430"/>
      <c r="BB134" s="498"/>
      <c r="BC134" s="498"/>
      <c r="BD134" s="498"/>
      <c r="BE134" s="498"/>
      <c r="BF134" s="498"/>
      <c r="BG134" s="498"/>
      <c r="BH134" s="498"/>
      <c r="BI134" s="498"/>
      <c r="BJ134" s="498"/>
      <c r="BK134" s="498"/>
      <c r="BL134" s="498"/>
      <c r="BM134" s="407"/>
      <c r="BN134" s="407"/>
      <c r="BO134" s="407"/>
      <c r="BP134" s="407"/>
      <c r="BQ134" s="407"/>
      <c r="BR134" s="407"/>
      <c r="BS134" s="441"/>
      <c r="BT134" s="441"/>
      <c r="BU134" s="913"/>
      <c r="BV134" s="441"/>
      <c r="BW134" s="441"/>
      <c r="BX134" s="441"/>
      <c r="BY134" s="441"/>
      <c r="BZ134" s="441"/>
      <c r="CA134" s="441"/>
      <c r="CB134" s="441"/>
      <c r="CC134" s="441"/>
      <c r="CD134" s="407"/>
      <c r="CE134" s="407"/>
      <c r="CG134" s="407"/>
      <c r="CH134" s="407"/>
      <c r="CI134" s="407"/>
      <c r="DD134" s="867"/>
      <c r="DG134" s="867"/>
      <c r="DH134" s="867"/>
    </row>
    <row r="135" spans="1:112" s="406" customFormat="1" ht="20.25" x14ac:dyDescent="0.3">
      <c r="A135" s="1026" t="s">
        <v>4864</v>
      </c>
      <c r="B135" s="1026"/>
      <c r="C135" s="1026"/>
      <c r="D135" s="492"/>
      <c r="F135" s="867"/>
      <c r="G135" s="867"/>
      <c r="H135" s="497"/>
      <c r="I135" s="867"/>
      <c r="J135" s="867"/>
      <c r="K135" s="867"/>
      <c r="L135" s="867"/>
      <c r="M135" s="867"/>
      <c r="Q135" s="867"/>
      <c r="R135" s="867"/>
      <c r="S135" s="430"/>
      <c r="T135" s="498"/>
      <c r="U135" s="498"/>
      <c r="V135" s="498"/>
      <c r="W135" s="498"/>
      <c r="Y135" s="498"/>
      <c r="Z135" s="498"/>
      <c r="AA135" s="498"/>
      <c r="AB135" s="498"/>
      <c r="AC135" s="498"/>
      <c r="AD135" s="498"/>
      <c r="AE135" s="498"/>
      <c r="AF135" s="498"/>
      <c r="AG135" s="493"/>
      <c r="AH135" s="493"/>
      <c r="AI135" s="493"/>
      <c r="AJ135" s="493"/>
      <c r="AK135" s="493"/>
      <c r="AL135" s="493"/>
      <c r="AM135" s="430"/>
      <c r="AN135" s="430"/>
      <c r="AO135" s="498"/>
      <c r="AP135" s="993"/>
      <c r="AQ135" s="498"/>
      <c r="AR135" s="498"/>
      <c r="AS135" s="430"/>
      <c r="AT135" s="500"/>
      <c r="AU135" s="500"/>
      <c r="AV135" s="498"/>
      <c r="AW135" s="430"/>
      <c r="AX135" s="430"/>
      <c r="AY135" s="430"/>
      <c r="AZ135" s="430"/>
      <c r="BA135" s="430"/>
      <c r="BB135" s="498"/>
      <c r="BC135" s="498"/>
      <c r="BD135" s="498"/>
      <c r="BE135" s="498"/>
      <c r="BF135" s="498"/>
      <c r="BG135" s="498"/>
      <c r="BH135" s="498"/>
      <c r="BI135" s="498"/>
      <c r="BJ135" s="498"/>
      <c r="BK135" s="498"/>
      <c r="BL135" s="498"/>
      <c r="BM135" s="407"/>
      <c r="BN135" s="407"/>
      <c r="BO135" s="407"/>
      <c r="BP135" s="407"/>
      <c r="BQ135" s="407"/>
      <c r="BR135" s="407"/>
      <c r="BS135" s="441"/>
      <c r="BT135" s="441"/>
      <c r="BU135" s="913"/>
      <c r="BV135" s="441"/>
      <c r="BW135" s="441"/>
      <c r="BX135" s="441"/>
      <c r="BY135" s="441"/>
      <c r="BZ135" s="441"/>
      <c r="CA135" s="441"/>
      <c r="CB135" s="441"/>
      <c r="CC135" s="441"/>
      <c r="CD135" s="407"/>
      <c r="CE135" s="407"/>
      <c r="CG135" s="407"/>
      <c r="CH135" s="407"/>
      <c r="CI135" s="407"/>
      <c r="DD135" s="867"/>
      <c r="DG135" s="867"/>
      <c r="DH135" s="867"/>
    </row>
    <row r="136" spans="1:112" s="406" customFormat="1" ht="21" thickBot="1" x14ac:dyDescent="0.35">
      <c r="A136" s="1026"/>
      <c r="B136" s="1026"/>
      <c r="C136" s="1026"/>
      <c r="D136" s="492"/>
      <c r="F136" s="867"/>
      <c r="G136" s="867"/>
      <c r="H136" s="497"/>
      <c r="I136" s="867"/>
      <c r="J136" s="867"/>
      <c r="K136" s="867"/>
      <c r="L136" s="867"/>
      <c r="M136" s="867"/>
      <c r="Q136" s="867"/>
      <c r="R136" s="867"/>
      <c r="S136" s="430"/>
      <c r="T136" s="498"/>
      <c r="U136" s="498"/>
      <c r="V136" s="498"/>
      <c r="W136" s="498"/>
      <c r="Y136" s="498"/>
      <c r="Z136" s="498"/>
      <c r="AA136" s="498"/>
      <c r="AB136" s="498"/>
      <c r="AC136" s="498"/>
      <c r="AD136" s="498"/>
      <c r="AE136" s="498"/>
      <c r="AF136" s="498"/>
      <c r="AG136" s="493"/>
      <c r="AH136" s="493"/>
      <c r="AI136" s="493"/>
      <c r="AJ136" s="493"/>
      <c r="AK136" s="493"/>
      <c r="AL136" s="493"/>
      <c r="AM136" s="430"/>
      <c r="AN136" s="430"/>
      <c r="AO136" s="498"/>
      <c r="AP136" s="993"/>
      <c r="AQ136" s="498"/>
      <c r="AR136" s="498"/>
      <c r="AS136" s="430"/>
      <c r="AT136" s="500"/>
      <c r="AU136" s="500"/>
      <c r="AV136" s="498"/>
      <c r="AW136" s="430"/>
      <c r="AX136" s="430"/>
      <c r="AY136" s="430"/>
      <c r="AZ136" s="430"/>
      <c r="BA136" s="430"/>
      <c r="BB136" s="498"/>
      <c r="BC136" s="498"/>
      <c r="BD136" s="498"/>
      <c r="BE136" s="498"/>
      <c r="BF136" s="498"/>
      <c r="BG136" s="498"/>
      <c r="BH136" s="498"/>
      <c r="BI136" s="498"/>
      <c r="BJ136" s="498"/>
      <c r="BK136" s="498"/>
      <c r="BL136" s="498"/>
      <c r="BM136" s="407"/>
      <c r="BN136" s="407"/>
      <c r="BO136" s="407"/>
      <c r="BP136" s="407"/>
      <c r="BQ136" s="407"/>
      <c r="BR136" s="407"/>
      <c r="BS136" s="441"/>
      <c r="BT136" s="441"/>
      <c r="BU136" s="913"/>
      <c r="BV136" s="441"/>
      <c r="BW136" s="441"/>
      <c r="BX136" s="441"/>
      <c r="BY136" s="441"/>
      <c r="BZ136" s="441"/>
      <c r="CA136" s="441"/>
      <c r="CB136" s="441"/>
      <c r="CC136" s="441"/>
      <c r="CD136" s="407"/>
      <c r="CE136" s="407"/>
      <c r="CG136" s="407"/>
      <c r="CH136" s="407"/>
      <c r="CI136" s="407"/>
      <c r="DD136" s="867"/>
      <c r="DG136" s="867"/>
      <c r="DH136" s="867"/>
    </row>
    <row r="137" spans="1:112" s="591" customFormat="1" ht="102" customHeight="1" thickBot="1" x14ac:dyDescent="0.5">
      <c r="A137" s="764" t="s">
        <v>2847</v>
      </c>
      <c r="B137" s="961">
        <f ca="1">OFFSET(B137,-1,0)+1</f>
        <v>1</v>
      </c>
      <c r="C137" s="962">
        <v>6142179</v>
      </c>
      <c r="D137" s="963" t="s">
        <v>4669</v>
      </c>
      <c r="E137" s="767" t="s">
        <v>4635</v>
      </c>
      <c r="F137" s="768">
        <v>23209</v>
      </c>
      <c r="G137" s="767" t="s">
        <v>4634</v>
      </c>
      <c r="H137" s="769">
        <v>44363</v>
      </c>
      <c r="I137" s="770">
        <f>IF(AND(YEAR(H137)&lt;2025,MONTH(H137)&gt;$BB$8),2025-YEAR(H137)-1,IF(OR(H137="",YEAR(H137)&gt;2025),0,2025-YEAR(H137)))</f>
        <v>4</v>
      </c>
      <c r="J137" s="771" t="s">
        <v>4463</v>
      </c>
      <c r="K137" s="770">
        <f>I137+J137</f>
        <v>28</v>
      </c>
      <c r="L137" s="772"/>
      <c r="M137" s="772"/>
      <c r="N137" s="773" t="s">
        <v>35</v>
      </c>
      <c r="O137" s="774"/>
      <c r="P137" s="775" t="str">
        <f>IFERROR(VLOOKUP(N137,CARGOS!A:E,2,0),"")</f>
        <v>35121</v>
      </c>
      <c r="Q137" s="767" t="s">
        <v>2895</v>
      </c>
      <c r="R137" s="767"/>
      <c r="S137" s="964" t="s">
        <v>4683</v>
      </c>
      <c r="T137" s="965">
        <f>IFERROR(VLOOKUP(S137,'TAB EMP'!A:B,2,0),0)</f>
        <v>287</v>
      </c>
      <c r="U137" s="778">
        <v>0</v>
      </c>
      <c r="V137" s="779">
        <f>T137-U137</f>
        <v>287</v>
      </c>
      <c r="W137" s="779">
        <f>V137/2</f>
        <v>143.5</v>
      </c>
      <c r="X137" s="780">
        <v>0</v>
      </c>
      <c r="Y137" s="779">
        <f>ROUND(IF(H137&lt;&gt;"",VLOOKUP(SUM(I137+J137),'CONCEPTOS Y PARAMETROS'!F:G,2,0)*V137,0),2)</f>
        <v>86.1</v>
      </c>
      <c r="Z137" s="779">
        <f>IF(S137&lt;&gt;"",IF(L137="",'CONCEPTOS Y PARAMETROS'!$C$4,0),0)</f>
        <v>130</v>
      </c>
      <c r="AA137" s="779">
        <f>IF(S137&lt;&gt;"",IF(L137="",'CONCEPTOS Y PARAMETROS'!$C$7*X137,0),0)</f>
        <v>0</v>
      </c>
      <c r="AB137" s="779">
        <f>IFERROR(ROUND(VLOOKUP($Q137,'CONCEPTOS Y PARAMETROS'!H:I,2,0)*($V137+Y137+Z137+AA137),2),0)</f>
        <v>125.78</v>
      </c>
      <c r="AC137" s="779">
        <f>SUM(Y137:AB137)</f>
        <v>341.88</v>
      </c>
      <c r="AD137" s="779">
        <f>ROUND(((Y137+Z137+AB137)/2),2)+AA137</f>
        <v>170.94</v>
      </c>
      <c r="AE137" s="779">
        <f>ROUND(((Y137+Z137+AB137)/2),2)</f>
        <v>170.94</v>
      </c>
      <c r="AF137" s="781">
        <v>0</v>
      </c>
      <c r="AG137" s="782">
        <f>'CONCEPTOS Y PARAMETROS'!$C$18*AF137</f>
        <v>0</v>
      </c>
      <c r="AH137" s="781">
        <v>0</v>
      </c>
      <c r="AI137" s="782">
        <f>'CONCEPTOS Y PARAMETROS'!$C$21*AH137</f>
        <v>0</v>
      </c>
      <c r="AJ137" s="783">
        <v>0</v>
      </c>
      <c r="AK137" s="783">
        <v>0</v>
      </c>
      <c r="AL137" s="782">
        <f>AG137+AI137+AJ137+AK137</f>
        <v>0</v>
      </c>
      <c r="AM137" s="779">
        <f>ROUND((V137+AC137+AN137),2)</f>
        <v>628.88</v>
      </c>
      <c r="AN137" s="779">
        <f>ROUND(IF(N137="VIGILANTE",(V137+AC137)*30%,0),2)</f>
        <v>0</v>
      </c>
      <c r="AO137" s="779">
        <f>IF(T137&lt;&gt;"0",(ROUND(IF(A137="EMPLEADO",eval_formula('CONCEPTOS Y PARAMETROS'!$C$8,RAC!V137,RAC!$AM137,RAC!I137+RAC!J137),eval_formula('CONCEPTOS Y PARAMETROS'!$D$8,RAC!V137,RAC!$AM137,RAC!I137+RAC!J137)),2))*IF(H137&lt;&gt;"",IF(MONTH(H137)=$BB$8,IF(YEAR(H137)&lt;$BD$7,1,0),0)))</f>
        <v>0</v>
      </c>
      <c r="AP137" s="996"/>
      <c r="AQ137" s="779"/>
      <c r="AR137" s="779"/>
      <c r="AS137" s="779">
        <f>ROUND((+AM137/30*$AS$10),2)</f>
        <v>20.96</v>
      </c>
      <c r="AT137" s="784">
        <v>300</v>
      </c>
      <c r="AU137" s="784">
        <v>0</v>
      </c>
      <c r="AV137" s="785">
        <v>0</v>
      </c>
      <c r="AW137" s="779">
        <f>ROUND(IF(L137="", (((AM137*12)/52)*4%)*$BC$8,0),2)</f>
        <v>23.22</v>
      </c>
      <c r="AX137" s="786">
        <f>ROUND(IF(L137="",(((AM137*12)/52)*0.5%)*$BC$8,0),2)</f>
        <v>2.9</v>
      </c>
      <c r="AY137" s="787">
        <f>ROUND(IF(L137="",(AM137*1%),0),2)</f>
        <v>6.29</v>
      </c>
      <c r="AZ137" s="779">
        <v>0</v>
      </c>
      <c r="BA137" s="779">
        <f>ROUND(SUM(AW137:AY137),2)</f>
        <v>32.409999999999997</v>
      </c>
      <c r="BB137" s="779">
        <f>ROUND(IF(L137="", (((AM137*12)/52)*9%)*$BC$8,0),2)</f>
        <v>52.25</v>
      </c>
      <c r="BC137" s="779">
        <f>ROUND(IF(L137="",(((AM137*12)/52)*2%)*$BC$8,0),2)</f>
        <v>11.61</v>
      </c>
      <c r="BD137" s="779">
        <f>ROUND(IF(L137="",(AM137*2%),0),2)</f>
        <v>12.58</v>
      </c>
      <c r="BE137" s="779">
        <v>0</v>
      </c>
      <c r="BF137" s="788">
        <f>ROUND(SUM(BB137:BD137),2)</f>
        <v>76.44</v>
      </c>
      <c r="BG137" s="789" t="s">
        <v>4712</v>
      </c>
      <c r="BH137" s="790">
        <f>ROUND(BA137+BF137,2)</f>
        <v>108.85</v>
      </c>
      <c r="BI137" s="790"/>
      <c r="BJ137" s="790"/>
      <c r="BK137" s="790"/>
      <c r="BL137" s="966">
        <f>IF(S137&lt;&gt;"",IF(L137="",'CONCEPTOS Y PARAMETROS'!$A$102,0),0)</f>
        <v>7732</v>
      </c>
      <c r="BM137" s="791">
        <f>ROUND((W137+AD137-BA137),2)+AL137+AU137</f>
        <v>282.02999999999997</v>
      </c>
      <c r="BN137" s="791">
        <f>ROUND((W137+AE137+AN137+AO137+AS137),2)+AT137</f>
        <v>635.4</v>
      </c>
      <c r="BO137" s="590"/>
      <c r="BP137" s="590"/>
      <c r="BQ137" s="590"/>
      <c r="BR137" s="628"/>
      <c r="BS137" s="919">
        <f>W137+AD137-BA137</f>
        <v>282.02999999999997</v>
      </c>
      <c r="BT137" s="919">
        <f>AT137</f>
        <v>300</v>
      </c>
      <c r="BU137" s="915">
        <v>2</v>
      </c>
      <c r="BV137" s="919">
        <f>AG137</f>
        <v>0</v>
      </c>
      <c r="BW137" s="919">
        <f>ROUND((W137+AE137+BT137),2)</f>
        <v>614.44000000000005</v>
      </c>
      <c r="BX137" s="919">
        <v>0</v>
      </c>
      <c r="BY137" s="919">
        <f>AO137</f>
        <v>0</v>
      </c>
      <c r="BZ137" s="919">
        <f>AU137</f>
        <v>0</v>
      </c>
      <c r="CA137" s="919">
        <f>ROUND(SUM(BW137:BY137),2)</f>
        <v>614.44000000000005</v>
      </c>
      <c r="CB137" s="919">
        <f>BA137+BF137</f>
        <v>108.85</v>
      </c>
      <c r="CC137" s="919">
        <f>BL137</f>
        <v>7732</v>
      </c>
      <c r="CD137" s="752" t="e">
        <f>#REF!/4</f>
        <v>#REF!</v>
      </c>
      <c r="CE137" s="590"/>
      <c r="CG137" s="628"/>
      <c r="CH137" s="628"/>
      <c r="CI137" s="628"/>
      <c r="DD137" s="593"/>
      <c r="DG137" s="593"/>
      <c r="DH137" s="593"/>
    </row>
    <row r="138" spans="1:112" s="406" customFormat="1" ht="20.25" x14ac:dyDescent="0.3">
      <c r="A138" s="867"/>
      <c r="B138" s="430"/>
      <c r="D138" s="492"/>
      <c r="F138" s="867"/>
      <c r="G138" s="867"/>
      <c r="H138" s="497"/>
      <c r="I138" s="867"/>
      <c r="J138" s="867"/>
      <c r="K138" s="867"/>
      <c r="L138" s="867"/>
      <c r="M138" s="867"/>
      <c r="Q138" s="867"/>
      <c r="R138" s="867"/>
      <c r="S138" s="430"/>
      <c r="T138" s="498"/>
      <c r="U138" s="498"/>
      <c r="V138" s="498"/>
      <c r="W138" s="498"/>
      <c r="Y138" s="498"/>
      <c r="Z138" s="498"/>
      <c r="AA138" s="498"/>
      <c r="AB138" s="498"/>
      <c r="AC138" s="498"/>
      <c r="AD138" s="498"/>
      <c r="AE138" s="498"/>
      <c r="AF138" s="498"/>
      <c r="AG138" s="493"/>
      <c r="AH138" s="493"/>
      <c r="AI138" s="493"/>
      <c r="AJ138" s="493"/>
      <c r="AK138" s="493"/>
      <c r="AL138" s="493"/>
      <c r="AM138" s="430"/>
      <c r="AN138" s="430"/>
      <c r="AO138" s="498"/>
      <c r="AP138" s="993"/>
      <c r="AQ138" s="498"/>
      <c r="AR138" s="498"/>
      <c r="AS138" s="430"/>
      <c r="AT138" s="500"/>
      <c r="AU138" s="500"/>
      <c r="AV138" s="498"/>
      <c r="AW138" s="430"/>
      <c r="AX138" s="430"/>
      <c r="AY138" s="430"/>
      <c r="AZ138" s="430"/>
      <c r="BA138" s="430"/>
      <c r="BB138" s="498"/>
      <c r="BC138" s="498"/>
      <c r="BD138" s="498"/>
      <c r="BE138" s="498"/>
      <c r="BF138" s="498"/>
      <c r="BG138" s="498"/>
      <c r="BH138" s="498"/>
      <c r="BI138" s="498"/>
      <c r="BJ138" s="498"/>
      <c r="BK138" s="498"/>
      <c r="BL138" s="498"/>
      <c r="BM138" s="407"/>
      <c r="BN138" s="407"/>
      <c r="BO138" s="407"/>
      <c r="BP138" s="407"/>
      <c r="BQ138" s="407"/>
      <c r="BR138" s="407"/>
      <c r="BS138" s="441"/>
      <c r="BT138" s="441"/>
      <c r="BU138" s="913"/>
      <c r="BV138" s="441"/>
      <c r="BW138" s="441"/>
      <c r="BX138" s="441"/>
      <c r="BY138" s="441"/>
      <c r="BZ138" s="441"/>
      <c r="CA138" s="441"/>
      <c r="CB138" s="441"/>
      <c r="CC138" s="441"/>
      <c r="CD138" s="407"/>
      <c r="CE138" s="407"/>
      <c r="CG138" s="407"/>
      <c r="CH138" s="407"/>
      <c r="CI138" s="407"/>
      <c r="DD138" s="867"/>
      <c r="DG138" s="867"/>
      <c r="DH138" s="867"/>
    </row>
    <row r="139" spans="1:112" s="406" customFormat="1" ht="20.25" x14ac:dyDescent="0.3">
      <c r="A139" s="867"/>
      <c r="B139" s="430"/>
      <c r="D139" s="492"/>
      <c r="F139" s="867"/>
      <c r="G139" s="867"/>
      <c r="H139" s="497"/>
      <c r="I139" s="867"/>
      <c r="J139" s="867"/>
      <c r="K139" s="867"/>
      <c r="L139" s="867"/>
      <c r="M139" s="867"/>
      <c r="Q139" s="867"/>
      <c r="R139" s="867"/>
      <c r="S139" s="430"/>
      <c r="T139" s="498"/>
      <c r="U139" s="498"/>
      <c r="V139" s="498"/>
      <c r="W139" s="498"/>
      <c r="Y139" s="498"/>
      <c r="Z139" s="498"/>
      <c r="AA139" s="498"/>
      <c r="AB139" s="498"/>
      <c r="AC139" s="498"/>
      <c r="AD139" s="498"/>
      <c r="AE139" s="498"/>
      <c r="AF139" s="498"/>
      <c r="AG139" s="493"/>
      <c r="AH139" s="493"/>
      <c r="AI139" s="493"/>
      <c r="AJ139" s="493"/>
      <c r="AK139" s="493"/>
      <c r="AL139" s="493"/>
      <c r="AM139" s="430"/>
      <c r="AN139" s="430"/>
      <c r="AO139" s="498"/>
      <c r="AP139" s="993"/>
      <c r="AQ139" s="498"/>
      <c r="AR139" s="498"/>
      <c r="AS139" s="430"/>
      <c r="AT139" s="500"/>
      <c r="AU139" s="500"/>
      <c r="AV139" s="498"/>
      <c r="AW139" s="430"/>
      <c r="AX139" s="430"/>
      <c r="AY139" s="430"/>
      <c r="AZ139" s="430"/>
      <c r="BA139" s="430"/>
      <c r="BB139" s="498"/>
      <c r="BC139" s="498"/>
      <c r="BD139" s="498"/>
      <c r="BE139" s="498"/>
      <c r="BF139" s="498"/>
      <c r="BG139" s="498"/>
      <c r="BH139" s="498"/>
      <c r="BI139" s="498"/>
      <c r="BJ139" s="498"/>
      <c r="BK139" s="498"/>
      <c r="BL139" s="498"/>
      <c r="BM139" s="407"/>
      <c r="BN139" s="407"/>
      <c r="BO139" s="407"/>
      <c r="BP139" s="407"/>
      <c r="BQ139" s="407"/>
      <c r="BR139" s="407"/>
      <c r="BS139" s="441"/>
      <c r="BT139" s="441"/>
      <c r="BU139" s="913"/>
      <c r="BV139" s="441"/>
      <c r="BW139" s="441"/>
      <c r="BX139" s="441"/>
      <c r="BY139" s="441"/>
      <c r="BZ139" s="441"/>
      <c r="CA139" s="441"/>
      <c r="CB139" s="441"/>
      <c r="CC139" s="441"/>
      <c r="CD139" s="407"/>
      <c r="CE139" s="407"/>
      <c r="CG139" s="407"/>
      <c r="CH139" s="407"/>
      <c r="CI139" s="407"/>
      <c r="DD139" s="867"/>
      <c r="DG139" s="867"/>
      <c r="DH139" s="867"/>
    </row>
    <row r="140" spans="1:112" s="406" customFormat="1" ht="20.25" x14ac:dyDescent="0.3">
      <c r="A140" s="867"/>
      <c r="B140" s="430"/>
      <c r="D140" s="492"/>
      <c r="F140" s="867"/>
      <c r="G140" s="867"/>
      <c r="H140" s="497"/>
      <c r="I140" s="867"/>
      <c r="J140" s="867"/>
      <c r="K140" s="867"/>
      <c r="L140" s="867"/>
      <c r="M140" s="867"/>
      <c r="Q140" s="867"/>
      <c r="R140" s="867"/>
      <c r="S140" s="430"/>
      <c r="T140" s="498"/>
      <c r="U140" s="498"/>
      <c r="V140" s="498"/>
      <c r="W140" s="498"/>
      <c r="Y140" s="498"/>
      <c r="Z140" s="498"/>
      <c r="AA140" s="498"/>
      <c r="AB140" s="498"/>
      <c r="AC140" s="498"/>
      <c r="AD140" s="498"/>
      <c r="AE140" s="498"/>
      <c r="AF140" s="498"/>
      <c r="AG140" s="493"/>
      <c r="AH140" s="493"/>
      <c r="AI140" s="493"/>
      <c r="AJ140" s="493"/>
      <c r="AK140" s="493"/>
      <c r="AL140" s="493"/>
      <c r="AM140" s="430"/>
      <c r="AN140" s="430"/>
      <c r="AO140" s="498"/>
      <c r="AP140" s="993"/>
      <c r="AQ140" s="498"/>
      <c r="AR140" s="498"/>
      <c r="AS140" s="430"/>
      <c r="AT140" s="500"/>
      <c r="AU140" s="500"/>
      <c r="AV140" s="498"/>
      <c r="AW140" s="430"/>
      <c r="AX140" s="430"/>
      <c r="AY140" s="430"/>
      <c r="AZ140" s="430"/>
      <c r="BA140" s="430"/>
      <c r="BB140" s="498"/>
      <c r="BC140" s="498"/>
      <c r="BD140" s="498"/>
      <c r="BE140" s="498"/>
      <c r="BF140" s="498"/>
      <c r="BG140" s="498"/>
      <c r="BH140" s="498"/>
      <c r="BI140" s="498"/>
      <c r="BJ140" s="498"/>
      <c r="BK140" s="498"/>
      <c r="BL140" s="498"/>
      <c r="BM140" s="407"/>
      <c r="BN140" s="407"/>
      <c r="BO140" s="407"/>
      <c r="BP140" s="407"/>
      <c r="BQ140" s="407"/>
      <c r="BR140" s="407"/>
      <c r="BS140" s="441"/>
      <c r="BT140" s="441"/>
      <c r="BU140" s="913"/>
      <c r="BV140" s="441"/>
      <c r="BW140" s="441"/>
      <c r="BX140" s="441"/>
      <c r="BY140" s="441"/>
      <c r="BZ140" s="441"/>
      <c r="CA140" s="441"/>
      <c r="CB140" s="441"/>
      <c r="CC140" s="441"/>
      <c r="CD140" s="407"/>
      <c r="CE140" s="407"/>
      <c r="CG140" s="407"/>
      <c r="CH140" s="407"/>
      <c r="CI140" s="407"/>
      <c r="DD140" s="867"/>
      <c r="DG140" s="867"/>
      <c r="DH140" s="867"/>
    </row>
    <row r="141" spans="1:112" s="406" customFormat="1" ht="20.25" x14ac:dyDescent="0.3">
      <c r="A141" s="867"/>
      <c r="B141" s="430"/>
      <c r="D141" s="492"/>
      <c r="F141" s="867"/>
      <c r="G141" s="867"/>
      <c r="H141" s="497"/>
      <c r="I141" s="867"/>
      <c r="J141" s="867"/>
      <c r="K141" s="867"/>
      <c r="L141" s="867"/>
      <c r="M141" s="867"/>
      <c r="Q141" s="867"/>
      <c r="R141" s="867"/>
      <c r="S141" s="430"/>
      <c r="T141" s="498"/>
      <c r="U141" s="498"/>
      <c r="V141" s="498"/>
      <c r="W141" s="498"/>
      <c r="Y141" s="498"/>
      <c r="Z141" s="498"/>
      <c r="AA141" s="498"/>
      <c r="AB141" s="498"/>
      <c r="AC141" s="498"/>
      <c r="AD141" s="498"/>
      <c r="AE141" s="498"/>
      <c r="AF141" s="498"/>
      <c r="AG141" s="493"/>
      <c r="AH141" s="493"/>
      <c r="AI141" s="493"/>
      <c r="AJ141" s="493"/>
      <c r="AK141" s="493"/>
      <c r="AL141" s="493"/>
      <c r="AM141" s="430"/>
      <c r="AN141" s="430"/>
      <c r="AO141" s="498"/>
      <c r="AP141" s="993"/>
      <c r="AQ141" s="498"/>
      <c r="AR141" s="498"/>
      <c r="AS141" s="430"/>
      <c r="AT141" s="500"/>
      <c r="AU141" s="500"/>
      <c r="AV141" s="498"/>
      <c r="AW141" s="430"/>
      <c r="AX141" s="430"/>
      <c r="AY141" s="430"/>
      <c r="AZ141" s="430"/>
      <c r="BA141" s="430"/>
      <c r="BB141" s="498"/>
      <c r="BC141" s="498"/>
      <c r="BD141" s="498"/>
      <c r="BE141" s="498"/>
      <c r="BF141" s="498"/>
      <c r="BG141" s="498"/>
      <c r="BH141" s="498"/>
      <c r="BI141" s="498"/>
      <c r="BJ141" s="498"/>
      <c r="BK141" s="498"/>
      <c r="BL141" s="498"/>
      <c r="BM141" s="407"/>
      <c r="BN141" s="407"/>
      <c r="BO141" s="407"/>
      <c r="BP141" s="407"/>
      <c r="BQ141" s="407"/>
      <c r="BR141" s="407"/>
      <c r="BS141" s="441"/>
      <c r="BT141" s="441"/>
      <c r="BU141" s="913"/>
      <c r="BV141" s="441"/>
      <c r="BW141" s="441"/>
      <c r="BX141" s="441"/>
      <c r="BY141" s="441"/>
      <c r="BZ141" s="441"/>
      <c r="CA141" s="441"/>
      <c r="CB141" s="441"/>
      <c r="CC141" s="441"/>
      <c r="CD141" s="407"/>
      <c r="CE141" s="407"/>
      <c r="CG141" s="407"/>
      <c r="CH141" s="407"/>
      <c r="CI141" s="407"/>
      <c r="DD141" s="867"/>
      <c r="DG141" s="867"/>
      <c r="DH141" s="867"/>
    </row>
    <row r="142" spans="1:112" s="406" customFormat="1" ht="20.25" x14ac:dyDescent="0.3">
      <c r="A142" s="867"/>
      <c r="B142" s="430"/>
      <c r="D142" s="492"/>
      <c r="F142" s="867"/>
      <c r="G142" s="867"/>
      <c r="H142" s="497"/>
      <c r="I142" s="867"/>
      <c r="J142" s="867"/>
      <c r="K142" s="867"/>
      <c r="L142" s="867"/>
      <c r="M142" s="867"/>
      <c r="Q142" s="867"/>
      <c r="R142" s="867"/>
      <c r="S142" s="430"/>
      <c r="T142" s="498"/>
      <c r="U142" s="498"/>
      <c r="V142" s="498"/>
      <c r="W142" s="498"/>
      <c r="Y142" s="498"/>
      <c r="Z142" s="498"/>
      <c r="AA142" s="498"/>
      <c r="AB142" s="498"/>
      <c r="AC142" s="498"/>
      <c r="AD142" s="498"/>
      <c r="AE142" s="498"/>
      <c r="AF142" s="498"/>
      <c r="AG142" s="493"/>
      <c r="AH142" s="493"/>
      <c r="AI142" s="493"/>
      <c r="AJ142" s="493"/>
      <c r="AK142" s="493"/>
      <c r="AL142" s="493"/>
      <c r="AM142" s="430"/>
      <c r="AN142" s="430"/>
      <c r="AO142" s="498"/>
      <c r="AP142" s="993"/>
      <c r="AQ142" s="498"/>
      <c r="AR142" s="498"/>
      <c r="AS142" s="430"/>
      <c r="AT142" s="500"/>
      <c r="AU142" s="500"/>
      <c r="AV142" s="498"/>
      <c r="AW142" s="430"/>
      <c r="AX142" s="430"/>
      <c r="AY142" s="430"/>
      <c r="AZ142" s="430"/>
      <c r="BA142" s="430"/>
      <c r="BB142" s="498"/>
      <c r="BC142" s="498"/>
      <c r="BD142" s="498"/>
      <c r="BE142" s="498"/>
      <c r="BF142" s="498"/>
      <c r="BG142" s="498"/>
      <c r="BH142" s="498"/>
      <c r="BI142" s="498"/>
      <c r="BJ142" s="498"/>
      <c r="BK142" s="498"/>
      <c r="BL142" s="498"/>
      <c r="BM142" s="407"/>
      <c r="BN142" s="407"/>
      <c r="BO142" s="407"/>
      <c r="BP142" s="407"/>
      <c r="BQ142" s="407"/>
      <c r="BR142" s="407"/>
      <c r="BS142" s="441"/>
      <c r="BT142" s="441"/>
      <c r="BU142" s="913"/>
      <c r="BV142" s="441"/>
      <c r="BW142" s="441"/>
      <c r="BX142" s="441"/>
      <c r="BY142" s="441"/>
      <c r="BZ142" s="441"/>
      <c r="CA142" s="441"/>
      <c r="CB142" s="441"/>
      <c r="CC142" s="441"/>
      <c r="CD142" s="407"/>
      <c r="CE142" s="407"/>
      <c r="CG142" s="407"/>
      <c r="CH142" s="407"/>
      <c r="CI142" s="407"/>
      <c r="DD142" s="867"/>
      <c r="DG142" s="867"/>
      <c r="DH142" s="867"/>
    </row>
    <row r="143" spans="1:112" s="406" customFormat="1" ht="20.25" x14ac:dyDescent="0.3">
      <c r="A143" s="867"/>
      <c r="B143" s="430"/>
      <c r="D143" s="492"/>
      <c r="F143" s="867"/>
      <c r="G143" s="867"/>
      <c r="H143" s="497"/>
      <c r="I143" s="867"/>
      <c r="J143" s="867"/>
      <c r="K143" s="867"/>
      <c r="L143" s="867"/>
      <c r="M143" s="867"/>
      <c r="Q143" s="867"/>
      <c r="R143" s="867"/>
      <c r="S143" s="430"/>
      <c r="T143" s="498"/>
      <c r="U143" s="498"/>
      <c r="V143" s="498"/>
      <c r="W143" s="498"/>
      <c r="Y143" s="498"/>
      <c r="Z143" s="498"/>
      <c r="AA143" s="498"/>
      <c r="AB143" s="498"/>
      <c r="AC143" s="498"/>
      <c r="AD143" s="498"/>
      <c r="AE143" s="498"/>
      <c r="AF143" s="498"/>
      <c r="AG143" s="493"/>
      <c r="AH143" s="493"/>
      <c r="AI143" s="493"/>
      <c r="AJ143" s="493"/>
      <c r="AK143" s="493"/>
      <c r="AL143" s="493"/>
      <c r="AM143" s="430"/>
      <c r="AN143" s="430"/>
      <c r="AO143" s="498"/>
      <c r="AP143" s="993"/>
      <c r="AQ143" s="498"/>
      <c r="AR143" s="498"/>
      <c r="AS143" s="430"/>
      <c r="AT143" s="500"/>
      <c r="AU143" s="500"/>
      <c r="AV143" s="498"/>
      <c r="AW143" s="430"/>
      <c r="AX143" s="430"/>
      <c r="AY143" s="430"/>
      <c r="AZ143" s="430"/>
      <c r="BA143" s="430"/>
      <c r="BB143" s="498"/>
      <c r="BC143" s="498"/>
      <c r="BD143" s="498"/>
      <c r="BE143" s="498"/>
      <c r="BF143" s="498"/>
      <c r="BG143" s="498"/>
      <c r="BH143" s="498"/>
      <c r="BI143" s="498"/>
      <c r="BJ143" s="498"/>
      <c r="BK143" s="498"/>
      <c r="BL143" s="498"/>
      <c r="BM143" s="407"/>
      <c r="BN143" s="407"/>
      <c r="BO143" s="407"/>
      <c r="BP143" s="407"/>
      <c r="BQ143" s="407"/>
      <c r="BR143" s="407"/>
      <c r="BS143" s="441"/>
      <c r="BT143" s="441"/>
      <c r="BU143" s="913"/>
      <c r="BV143" s="441"/>
      <c r="BW143" s="441"/>
      <c r="BX143" s="441"/>
      <c r="BY143" s="441"/>
      <c r="BZ143" s="441"/>
      <c r="CA143" s="441"/>
      <c r="CB143" s="441"/>
      <c r="CC143" s="441"/>
      <c r="CD143" s="407"/>
      <c r="CE143" s="407"/>
      <c r="CG143" s="407"/>
      <c r="CH143" s="407"/>
      <c r="CI143" s="407"/>
      <c r="DD143" s="867"/>
      <c r="DG143" s="867"/>
      <c r="DH143" s="867"/>
    </row>
    <row r="144" spans="1:112" s="406" customFormat="1" ht="20.25" x14ac:dyDescent="0.3">
      <c r="A144" s="867"/>
      <c r="B144" s="430"/>
      <c r="D144" s="492"/>
      <c r="F144" s="867"/>
      <c r="G144" s="867"/>
      <c r="H144" s="497"/>
      <c r="I144" s="867"/>
      <c r="J144" s="867"/>
      <c r="K144" s="867"/>
      <c r="L144" s="867"/>
      <c r="M144" s="867"/>
      <c r="Q144" s="867"/>
      <c r="R144" s="867"/>
      <c r="S144" s="430"/>
      <c r="T144" s="498"/>
      <c r="U144" s="498"/>
      <c r="V144" s="498"/>
      <c r="W144" s="498"/>
      <c r="Y144" s="498"/>
      <c r="Z144" s="498"/>
      <c r="AA144" s="498"/>
      <c r="AB144" s="498"/>
      <c r="AC144" s="498"/>
      <c r="AD144" s="498"/>
      <c r="AE144" s="498"/>
      <c r="AF144" s="498"/>
      <c r="AG144" s="493"/>
      <c r="AH144" s="493"/>
      <c r="AI144" s="493"/>
      <c r="AJ144" s="493"/>
      <c r="AK144" s="493"/>
      <c r="AL144" s="493"/>
      <c r="AM144" s="430"/>
      <c r="AN144" s="430"/>
      <c r="AO144" s="498"/>
      <c r="AP144" s="993"/>
      <c r="AQ144" s="498"/>
      <c r="AR144" s="498"/>
      <c r="AS144" s="430"/>
      <c r="AT144" s="500"/>
      <c r="AU144" s="500"/>
      <c r="AV144" s="498"/>
      <c r="AW144" s="430"/>
      <c r="AX144" s="430"/>
      <c r="AY144" s="430"/>
      <c r="AZ144" s="430"/>
      <c r="BA144" s="430"/>
      <c r="BB144" s="498"/>
      <c r="BC144" s="498"/>
      <c r="BD144" s="498"/>
      <c r="BE144" s="498"/>
      <c r="BF144" s="498"/>
      <c r="BG144" s="498"/>
      <c r="BH144" s="498"/>
      <c r="BI144" s="498"/>
      <c r="BJ144" s="498"/>
      <c r="BK144" s="498"/>
      <c r="BL144" s="498"/>
      <c r="BM144" s="407"/>
      <c r="BN144" s="407"/>
      <c r="BO144" s="407"/>
      <c r="BP144" s="407"/>
      <c r="BQ144" s="407"/>
      <c r="BR144" s="407"/>
      <c r="BS144" s="441"/>
      <c r="BT144" s="441"/>
      <c r="BU144" s="913"/>
      <c r="BV144" s="441"/>
      <c r="BW144" s="441"/>
      <c r="BX144" s="441"/>
      <c r="BY144" s="441"/>
      <c r="BZ144" s="441"/>
      <c r="CA144" s="441"/>
      <c r="CB144" s="441"/>
      <c r="CC144" s="441"/>
      <c r="CD144" s="407"/>
      <c r="CE144" s="407"/>
      <c r="CG144" s="407"/>
      <c r="CH144" s="407"/>
      <c r="CI144" s="407"/>
      <c r="DD144" s="867"/>
      <c r="DG144" s="867"/>
      <c r="DH144" s="867"/>
    </row>
    <row r="145" spans="1:112" s="406" customFormat="1" ht="20.25" x14ac:dyDescent="0.3">
      <c r="A145" s="867"/>
      <c r="B145" s="430"/>
      <c r="D145" s="492"/>
      <c r="F145" s="867"/>
      <c r="G145" s="867"/>
      <c r="H145" s="497"/>
      <c r="I145" s="867"/>
      <c r="J145" s="867"/>
      <c r="K145" s="867"/>
      <c r="L145" s="867"/>
      <c r="M145" s="867"/>
      <c r="Q145" s="867"/>
      <c r="R145" s="867"/>
      <c r="S145" s="430"/>
      <c r="T145" s="498"/>
      <c r="U145" s="498"/>
      <c r="V145" s="498"/>
      <c r="W145" s="498"/>
      <c r="Y145" s="498"/>
      <c r="Z145" s="498"/>
      <c r="AA145" s="498"/>
      <c r="AB145" s="498"/>
      <c r="AC145" s="498"/>
      <c r="AD145" s="498"/>
      <c r="AE145" s="498"/>
      <c r="AF145" s="498"/>
      <c r="AG145" s="493"/>
      <c r="AH145" s="493"/>
      <c r="AI145" s="493"/>
      <c r="AJ145" s="493"/>
      <c r="AK145" s="493"/>
      <c r="AL145" s="493"/>
      <c r="AM145" s="430"/>
      <c r="AN145" s="430"/>
      <c r="AO145" s="498"/>
      <c r="AP145" s="993"/>
      <c r="AQ145" s="498"/>
      <c r="AR145" s="498"/>
      <c r="AS145" s="430"/>
      <c r="AT145" s="500"/>
      <c r="AU145" s="500"/>
      <c r="AV145" s="498"/>
      <c r="AW145" s="430"/>
      <c r="AX145" s="430"/>
      <c r="AY145" s="430"/>
      <c r="AZ145" s="430"/>
      <c r="BA145" s="430"/>
      <c r="BB145" s="498"/>
      <c r="BC145" s="498"/>
      <c r="BD145" s="498"/>
      <c r="BE145" s="498"/>
      <c r="BF145" s="498"/>
      <c r="BG145" s="498"/>
      <c r="BH145" s="498"/>
      <c r="BI145" s="498"/>
      <c r="BJ145" s="498"/>
      <c r="BK145" s="498"/>
      <c r="BL145" s="498"/>
      <c r="BM145" s="407"/>
      <c r="BN145" s="407"/>
      <c r="BO145" s="407"/>
      <c r="BP145" s="407"/>
      <c r="BQ145" s="407"/>
      <c r="BR145" s="407"/>
      <c r="BS145" s="441"/>
      <c r="BT145" s="441"/>
      <c r="BU145" s="913"/>
      <c r="BV145" s="441"/>
      <c r="BW145" s="441"/>
      <c r="BX145" s="441"/>
      <c r="BY145" s="441"/>
      <c r="BZ145" s="441"/>
      <c r="CA145" s="441"/>
      <c r="CB145" s="441"/>
      <c r="CC145" s="441"/>
      <c r="CD145" s="407"/>
      <c r="CE145" s="407"/>
      <c r="CG145" s="407"/>
      <c r="CH145" s="407"/>
      <c r="CI145" s="407"/>
      <c r="DD145" s="867"/>
      <c r="DG145" s="867"/>
      <c r="DH145" s="867"/>
    </row>
    <row r="146" spans="1:112" s="406" customFormat="1" ht="20.25" x14ac:dyDescent="0.3">
      <c r="A146" s="867"/>
      <c r="B146" s="430"/>
      <c r="D146" s="492"/>
      <c r="F146" s="867"/>
      <c r="G146" s="867"/>
      <c r="H146" s="497"/>
      <c r="I146" s="867"/>
      <c r="J146" s="867"/>
      <c r="K146" s="867"/>
      <c r="L146" s="867"/>
      <c r="M146" s="867"/>
      <c r="Q146" s="867"/>
      <c r="R146" s="867"/>
      <c r="S146" s="430"/>
      <c r="T146" s="498"/>
      <c r="U146" s="498"/>
      <c r="V146" s="498"/>
      <c r="W146" s="498"/>
      <c r="Y146" s="498"/>
      <c r="Z146" s="498"/>
      <c r="AA146" s="498"/>
      <c r="AB146" s="498"/>
      <c r="AC146" s="498"/>
      <c r="AD146" s="498"/>
      <c r="AE146" s="498"/>
      <c r="AF146" s="498"/>
      <c r="AG146" s="493"/>
      <c r="AH146" s="493"/>
      <c r="AI146" s="493"/>
      <c r="AJ146" s="493"/>
      <c r="AK146" s="493"/>
      <c r="AL146" s="493"/>
      <c r="AM146" s="430"/>
      <c r="AN146" s="430"/>
      <c r="AO146" s="498"/>
      <c r="AP146" s="993"/>
      <c r="AQ146" s="498"/>
      <c r="AR146" s="498"/>
      <c r="AS146" s="430"/>
      <c r="AT146" s="500"/>
      <c r="AU146" s="500"/>
      <c r="AV146" s="498"/>
      <c r="AW146" s="430"/>
      <c r="AX146" s="430"/>
      <c r="AY146" s="430"/>
      <c r="AZ146" s="430"/>
      <c r="BA146" s="430"/>
      <c r="BB146" s="498"/>
      <c r="BC146" s="498"/>
      <c r="BD146" s="498"/>
      <c r="BE146" s="498"/>
      <c r="BF146" s="498"/>
      <c r="BG146" s="498"/>
      <c r="BH146" s="498"/>
      <c r="BI146" s="498"/>
      <c r="BJ146" s="498"/>
      <c r="BK146" s="498"/>
      <c r="BL146" s="498"/>
      <c r="BM146" s="407"/>
      <c r="BN146" s="407"/>
      <c r="BO146" s="407"/>
      <c r="BP146" s="407"/>
      <c r="BQ146" s="407"/>
      <c r="BR146" s="407"/>
      <c r="BS146" s="441"/>
      <c r="BT146" s="441"/>
      <c r="BU146" s="913"/>
      <c r="BV146" s="441"/>
      <c r="BW146" s="441"/>
      <c r="BX146" s="441"/>
      <c r="BY146" s="441"/>
      <c r="BZ146" s="441"/>
      <c r="CA146" s="441"/>
      <c r="CB146" s="441"/>
      <c r="CC146" s="441"/>
      <c r="CD146" s="407"/>
      <c r="CE146" s="407"/>
      <c r="CG146" s="407"/>
      <c r="CH146" s="407"/>
      <c r="CI146" s="407"/>
      <c r="DD146" s="867"/>
      <c r="DG146" s="867"/>
      <c r="DH146" s="867"/>
    </row>
    <row r="147" spans="1:112" s="406" customFormat="1" ht="20.25" x14ac:dyDescent="0.3">
      <c r="A147" s="867"/>
      <c r="B147" s="430"/>
      <c r="D147" s="492"/>
      <c r="F147" s="867"/>
      <c r="G147" s="867"/>
      <c r="H147" s="497"/>
      <c r="I147" s="867"/>
      <c r="J147" s="867"/>
      <c r="K147" s="867"/>
      <c r="L147" s="867"/>
      <c r="M147" s="867"/>
      <c r="Q147" s="867"/>
      <c r="R147" s="867"/>
      <c r="S147" s="430"/>
      <c r="T147" s="498"/>
      <c r="U147" s="498"/>
      <c r="V147" s="498"/>
      <c r="W147" s="498"/>
      <c r="Y147" s="498"/>
      <c r="Z147" s="498"/>
      <c r="AA147" s="498"/>
      <c r="AB147" s="498"/>
      <c r="AC147" s="498"/>
      <c r="AD147" s="498"/>
      <c r="AE147" s="498"/>
      <c r="AF147" s="498"/>
      <c r="AG147" s="493"/>
      <c r="AH147" s="493"/>
      <c r="AI147" s="493"/>
      <c r="AJ147" s="493"/>
      <c r="AK147" s="493"/>
      <c r="AL147" s="493"/>
      <c r="AM147" s="430"/>
      <c r="AN147" s="430"/>
      <c r="AO147" s="498"/>
      <c r="AP147" s="993"/>
      <c r="AQ147" s="498"/>
      <c r="AR147" s="498"/>
      <c r="AS147" s="430"/>
      <c r="AT147" s="500"/>
      <c r="AU147" s="500"/>
      <c r="AV147" s="498"/>
      <c r="AW147" s="430"/>
      <c r="AX147" s="430"/>
      <c r="AY147" s="430"/>
      <c r="AZ147" s="430"/>
      <c r="BA147" s="430"/>
      <c r="BB147" s="498"/>
      <c r="BC147" s="498"/>
      <c r="BD147" s="498"/>
      <c r="BE147" s="498"/>
      <c r="BF147" s="498"/>
      <c r="BG147" s="498"/>
      <c r="BH147" s="498"/>
      <c r="BI147" s="498"/>
      <c r="BJ147" s="498"/>
      <c r="BK147" s="498"/>
      <c r="BL147" s="498"/>
      <c r="BM147" s="407"/>
      <c r="BN147" s="407"/>
      <c r="BO147" s="407"/>
      <c r="BP147" s="407"/>
      <c r="BQ147" s="407"/>
      <c r="BR147" s="407"/>
      <c r="BS147" s="441"/>
      <c r="BT147" s="441"/>
      <c r="BU147" s="913"/>
      <c r="BV147" s="441"/>
      <c r="BW147" s="441"/>
      <c r="BX147" s="441"/>
      <c r="BY147" s="441"/>
      <c r="BZ147" s="441"/>
      <c r="CA147" s="441"/>
      <c r="CB147" s="441"/>
      <c r="CC147" s="441"/>
      <c r="CD147" s="407"/>
      <c r="CE147" s="407"/>
      <c r="CG147" s="407"/>
      <c r="CH147" s="407"/>
      <c r="CI147" s="407"/>
      <c r="DD147" s="867"/>
      <c r="DG147" s="867"/>
      <c r="DH147" s="867"/>
    </row>
    <row r="148" spans="1:112" s="406" customFormat="1" ht="20.25" x14ac:dyDescent="0.3">
      <c r="A148" s="867"/>
      <c r="B148" s="430"/>
      <c r="D148" s="492"/>
      <c r="F148" s="867"/>
      <c r="G148" s="867"/>
      <c r="H148" s="497"/>
      <c r="I148" s="867"/>
      <c r="J148" s="867"/>
      <c r="K148" s="867"/>
      <c r="L148" s="867"/>
      <c r="M148" s="867"/>
      <c r="Q148" s="867"/>
      <c r="R148" s="867"/>
      <c r="S148" s="430"/>
      <c r="T148" s="498"/>
      <c r="U148" s="498"/>
      <c r="V148" s="498"/>
      <c r="W148" s="498"/>
      <c r="Y148" s="498"/>
      <c r="Z148" s="498"/>
      <c r="AA148" s="498"/>
      <c r="AB148" s="498"/>
      <c r="AC148" s="498"/>
      <c r="AD148" s="498"/>
      <c r="AE148" s="498"/>
      <c r="AF148" s="498"/>
      <c r="AG148" s="493"/>
      <c r="AH148" s="493"/>
      <c r="AI148" s="493"/>
      <c r="AJ148" s="493"/>
      <c r="AK148" s="493"/>
      <c r="AL148" s="493"/>
      <c r="AM148" s="430"/>
      <c r="AN148" s="430"/>
      <c r="AO148" s="498"/>
      <c r="AP148" s="993"/>
      <c r="AQ148" s="498"/>
      <c r="AR148" s="498"/>
      <c r="AS148" s="430"/>
      <c r="AT148" s="500"/>
      <c r="AU148" s="500"/>
      <c r="AV148" s="498"/>
      <c r="AW148" s="430"/>
      <c r="AX148" s="430"/>
      <c r="AY148" s="430"/>
      <c r="AZ148" s="430"/>
      <c r="BA148" s="430"/>
      <c r="BB148" s="498"/>
      <c r="BC148" s="498"/>
      <c r="BD148" s="498"/>
      <c r="BE148" s="498"/>
      <c r="BF148" s="498"/>
      <c r="BG148" s="498"/>
      <c r="BH148" s="498"/>
      <c r="BI148" s="498"/>
      <c r="BJ148" s="498"/>
      <c r="BK148" s="498"/>
      <c r="BL148" s="498"/>
      <c r="BM148" s="407"/>
      <c r="BN148" s="407"/>
      <c r="BO148" s="407"/>
      <c r="BP148" s="407"/>
      <c r="BQ148" s="407"/>
      <c r="BR148" s="407"/>
      <c r="BS148" s="441"/>
      <c r="BT148" s="441"/>
      <c r="BU148" s="913"/>
      <c r="BV148" s="441"/>
      <c r="BW148" s="441"/>
      <c r="BX148" s="441"/>
      <c r="BY148" s="441"/>
      <c r="BZ148" s="441"/>
      <c r="CA148" s="441"/>
      <c r="CB148" s="441"/>
      <c r="CC148" s="441"/>
      <c r="CD148" s="407"/>
      <c r="CE148" s="407"/>
      <c r="CG148" s="407"/>
      <c r="CH148" s="407"/>
      <c r="CI148" s="407"/>
      <c r="DD148" s="867"/>
      <c r="DG148" s="867"/>
      <c r="DH148" s="867"/>
    </row>
    <row r="149" spans="1:112" s="406" customFormat="1" ht="20.25" x14ac:dyDescent="0.3">
      <c r="A149" s="867"/>
      <c r="B149" s="430"/>
      <c r="D149" s="492"/>
      <c r="F149" s="867"/>
      <c r="G149" s="867"/>
      <c r="H149" s="497"/>
      <c r="I149" s="867"/>
      <c r="J149" s="867"/>
      <c r="K149" s="867"/>
      <c r="L149" s="867"/>
      <c r="M149" s="867"/>
      <c r="Q149" s="867"/>
      <c r="R149" s="867"/>
      <c r="S149" s="430"/>
      <c r="T149" s="498"/>
      <c r="U149" s="498"/>
      <c r="V149" s="498"/>
      <c r="W149" s="498"/>
      <c r="Y149" s="498"/>
      <c r="Z149" s="498"/>
      <c r="AA149" s="498"/>
      <c r="AB149" s="498"/>
      <c r="AC149" s="498"/>
      <c r="AD149" s="498"/>
      <c r="AE149" s="498"/>
      <c r="AF149" s="498"/>
      <c r="AG149" s="493"/>
      <c r="AH149" s="493"/>
      <c r="AI149" s="493"/>
      <c r="AJ149" s="493"/>
      <c r="AK149" s="493"/>
      <c r="AL149" s="493"/>
      <c r="AM149" s="430"/>
      <c r="AN149" s="430"/>
      <c r="AO149" s="498"/>
      <c r="AP149" s="993"/>
      <c r="AQ149" s="498"/>
      <c r="AR149" s="498"/>
      <c r="AS149" s="430"/>
      <c r="AT149" s="500"/>
      <c r="AU149" s="500"/>
      <c r="AV149" s="498"/>
      <c r="AW149" s="430"/>
      <c r="AX149" s="430"/>
      <c r="AY149" s="430"/>
      <c r="AZ149" s="430"/>
      <c r="BA149" s="430"/>
      <c r="BB149" s="498"/>
      <c r="BC149" s="498"/>
      <c r="BD149" s="498"/>
      <c r="BE149" s="498"/>
      <c r="BF149" s="498"/>
      <c r="BG149" s="498"/>
      <c r="BH149" s="498"/>
      <c r="BI149" s="498"/>
      <c r="BJ149" s="498"/>
      <c r="BK149" s="498"/>
      <c r="BL149" s="498"/>
      <c r="BM149" s="407"/>
      <c r="BN149" s="407"/>
      <c r="BO149" s="407"/>
      <c r="BP149" s="407"/>
      <c r="BQ149" s="407"/>
      <c r="BR149" s="407"/>
      <c r="BS149" s="441"/>
      <c r="BT149" s="441"/>
      <c r="BU149" s="913"/>
      <c r="BV149" s="441"/>
      <c r="BW149" s="441"/>
      <c r="BX149" s="441"/>
      <c r="BY149" s="441"/>
      <c r="BZ149" s="441"/>
      <c r="CA149" s="441"/>
      <c r="CB149" s="441"/>
      <c r="CC149" s="441"/>
      <c r="CD149" s="407"/>
      <c r="CE149" s="407"/>
      <c r="CG149" s="407"/>
      <c r="CH149" s="407"/>
      <c r="CI149" s="407"/>
      <c r="DD149" s="867"/>
      <c r="DG149" s="867"/>
      <c r="DH149" s="867"/>
    </row>
    <row r="150" spans="1:112" s="406" customFormat="1" ht="20.25" x14ac:dyDescent="0.3">
      <c r="A150" s="867"/>
      <c r="B150" s="430"/>
      <c r="D150" s="492"/>
      <c r="F150" s="867"/>
      <c r="G150" s="867"/>
      <c r="H150" s="497"/>
      <c r="I150" s="867"/>
      <c r="J150" s="867"/>
      <c r="K150" s="867"/>
      <c r="L150" s="867"/>
      <c r="M150" s="867"/>
      <c r="Q150" s="867"/>
      <c r="R150" s="867"/>
      <c r="S150" s="430"/>
      <c r="T150" s="498"/>
      <c r="U150" s="498"/>
      <c r="V150" s="498"/>
      <c r="W150" s="498"/>
      <c r="Y150" s="498"/>
      <c r="Z150" s="498"/>
      <c r="AA150" s="498"/>
      <c r="AB150" s="498"/>
      <c r="AC150" s="498"/>
      <c r="AD150" s="498"/>
      <c r="AE150" s="498"/>
      <c r="AF150" s="498"/>
      <c r="AG150" s="493"/>
      <c r="AH150" s="493"/>
      <c r="AI150" s="493"/>
      <c r="AJ150" s="493"/>
      <c r="AK150" s="493"/>
      <c r="AL150" s="493"/>
      <c r="AM150" s="430"/>
      <c r="AN150" s="430"/>
      <c r="AO150" s="498"/>
      <c r="AP150" s="993"/>
      <c r="AQ150" s="498"/>
      <c r="AR150" s="498"/>
      <c r="AS150" s="430"/>
      <c r="AT150" s="500"/>
      <c r="AU150" s="500"/>
      <c r="AV150" s="498"/>
      <c r="AW150" s="430"/>
      <c r="AX150" s="430"/>
      <c r="AY150" s="430"/>
      <c r="AZ150" s="430"/>
      <c r="BA150" s="430"/>
      <c r="BB150" s="498"/>
      <c r="BC150" s="498"/>
      <c r="BD150" s="498"/>
      <c r="BE150" s="498"/>
      <c r="BF150" s="498"/>
      <c r="BG150" s="498"/>
      <c r="BH150" s="498"/>
      <c r="BI150" s="498"/>
      <c r="BJ150" s="498"/>
      <c r="BK150" s="498"/>
      <c r="BL150" s="498"/>
      <c r="BM150" s="407"/>
      <c r="BN150" s="407"/>
      <c r="BO150" s="407"/>
      <c r="BP150" s="407"/>
      <c r="BQ150" s="407"/>
      <c r="BR150" s="407"/>
      <c r="BS150" s="441"/>
      <c r="BT150" s="441"/>
      <c r="BU150" s="913"/>
      <c r="BV150" s="441"/>
      <c r="BW150" s="441"/>
      <c r="BX150" s="441"/>
      <c r="BY150" s="441"/>
      <c r="BZ150" s="441"/>
      <c r="CA150" s="441"/>
      <c r="CB150" s="441"/>
      <c r="CC150" s="441"/>
      <c r="CD150" s="407"/>
      <c r="CE150" s="407"/>
      <c r="CG150" s="407"/>
      <c r="CH150" s="407"/>
      <c r="CI150" s="407"/>
      <c r="DD150" s="867"/>
      <c r="DG150" s="867"/>
      <c r="DH150" s="867"/>
    </row>
    <row r="151" spans="1:112" s="406" customFormat="1" ht="20.25" x14ac:dyDescent="0.3">
      <c r="A151" s="867"/>
      <c r="B151" s="430"/>
      <c r="D151" s="492"/>
      <c r="F151" s="867"/>
      <c r="G151" s="867"/>
      <c r="H151" s="497"/>
      <c r="I151" s="867"/>
      <c r="J151" s="867"/>
      <c r="K151" s="867"/>
      <c r="L151" s="867"/>
      <c r="M151" s="867"/>
      <c r="Q151" s="867"/>
      <c r="R151" s="867"/>
      <c r="S151" s="430"/>
      <c r="T151" s="498"/>
      <c r="U151" s="498"/>
      <c r="V151" s="498"/>
      <c r="W151" s="498"/>
      <c r="Y151" s="498"/>
      <c r="Z151" s="498"/>
      <c r="AA151" s="498"/>
      <c r="AB151" s="498"/>
      <c r="AC151" s="498"/>
      <c r="AD151" s="498"/>
      <c r="AE151" s="498"/>
      <c r="AF151" s="498"/>
      <c r="AG151" s="493"/>
      <c r="AH151" s="493"/>
      <c r="AI151" s="493"/>
      <c r="AJ151" s="493"/>
      <c r="AK151" s="493"/>
      <c r="AL151" s="493"/>
      <c r="AM151" s="430"/>
      <c r="AN151" s="430"/>
      <c r="AO151" s="498"/>
      <c r="AP151" s="993"/>
      <c r="AQ151" s="498"/>
      <c r="AR151" s="498"/>
      <c r="AS151" s="430"/>
      <c r="AT151" s="500"/>
      <c r="AU151" s="500"/>
      <c r="AV151" s="498"/>
      <c r="AW151" s="430"/>
      <c r="AX151" s="430"/>
      <c r="AY151" s="430"/>
      <c r="AZ151" s="430"/>
      <c r="BA151" s="430"/>
      <c r="BB151" s="498"/>
      <c r="BC151" s="498"/>
      <c r="BD151" s="498"/>
      <c r="BE151" s="498"/>
      <c r="BF151" s="498"/>
      <c r="BG151" s="498"/>
      <c r="BH151" s="498"/>
      <c r="BI151" s="498"/>
      <c r="BJ151" s="498"/>
      <c r="BK151" s="498"/>
      <c r="BL151" s="498"/>
      <c r="BM151" s="407"/>
      <c r="BN151" s="407"/>
      <c r="BO151" s="407"/>
      <c r="BP151" s="407"/>
      <c r="BQ151" s="407"/>
      <c r="BR151" s="407"/>
      <c r="BS151" s="441"/>
      <c r="BT151" s="441"/>
      <c r="BU151" s="913"/>
      <c r="BV151" s="441"/>
      <c r="BW151" s="441"/>
      <c r="BX151" s="441"/>
      <c r="BY151" s="441"/>
      <c r="BZ151" s="441"/>
      <c r="CA151" s="441"/>
      <c r="CB151" s="441"/>
      <c r="CC151" s="441"/>
      <c r="CD151" s="407"/>
      <c r="CE151" s="407"/>
      <c r="CG151" s="407"/>
      <c r="CH151" s="407"/>
      <c r="CI151" s="407"/>
      <c r="DD151" s="867"/>
      <c r="DG151" s="867"/>
      <c r="DH151" s="867"/>
    </row>
    <row r="152" spans="1:112" s="406" customFormat="1" ht="20.25" x14ac:dyDescent="0.3">
      <c r="A152" s="867"/>
      <c r="B152" s="430"/>
      <c r="D152" s="492"/>
      <c r="F152" s="867"/>
      <c r="G152" s="867"/>
      <c r="H152" s="497"/>
      <c r="I152" s="867"/>
      <c r="J152" s="867"/>
      <c r="K152" s="867"/>
      <c r="L152" s="867"/>
      <c r="M152" s="867"/>
      <c r="Q152" s="867"/>
      <c r="R152" s="867"/>
      <c r="S152" s="430"/>
      <c r="T152" s="498"/>
      <c r="U152" s="498"/>
      <c r="V152" s="498"/>
      <c r="W152" s="498"/>
      <c r="Y152" s="498"/>
      <c r="Z152" s="498"/>
      <c r="AA152" s="498"/>
      <c r="AB152" s="498"/>
      <c r="AC152" s="498"/>
      <c r="AD152" s="498"/>
      <c r="AE152" s="498"/>
      <c r="AF152" s="498"/>
      <c r="AG152" s="493"/>
      <c r="AH152" s="493"/>
      <c r="AI152" s="493"/>
      <c r="AJ152" s="493"/>
      <c r="AK152" s="493"/>
      <c r="AL152" s="493"/>
      <c r="AM152" s="430"/>
      <c r="AN152" s="430"/>
      <c r="AO152" s="498"/>
      <c r="AP152" s="993"/>
      <c r="AQ152" s="498"/>
      <c r="AR152" s="498"/>
      <c r="AS152" s="430"/>
      <c r="AT152" s="500"/>
      <c r="AU152" s="500"/>
      <c r="AV152" s="498"/>
      <c r="AW152" s="430"/>
      <c r="AX152" s="430"/>
      <c r="AY152" s="430"/>
      <c r="AZ152" s="430"/>
      <c r="BA152" s="430"/>
      <c r="BB152" s="498"/>
      <c r="BC152" s="498"/>
      <c r="BD152" s="498"/>
      <c r="BE152" s="498"/>
      <c r="BF152" s="498"/>
      <c r="BG152" s="498"/>
      <c r="BH152" s="498"/>
      <c r="BI152" s="498"/>
      <c r="BJ152" s="498"/>
      <c r="BK152" s="498"/>
      <c r="BL152" s="498"/>
      <c r="BM152" s="407"/>
      <c r="BN152" s="407"/>
      <c r="BO152" s="407"/>
      <c r="BP152" s="407"/>
      <c r="BQ152" s="407"/>
      <c r="BR152" s="407"/>
      <c r="BS152" s="441"/>
      <c r="BT152" s="441"/>
      <c r="BU152" s="913"/>
      <c r="BV152" s="441"/>
      <c r="BW152" s="441"/>
      <c r="BX152" s="441"/>
      <c r="BY152" s="441"/>
      <c r="BZ152" s="441"/>
      <c r="CA152" s="441"/>
      <c r="CB152" s="441"/>
      <c r="CC152" s="441"/>
      <c r="CD152" s="407"/>
      <c r="CE152" s="407"/>
      <c r="CG152" s="407"/>
      <c r="CH152" s="407"/>
      <c r="CI152" s="407"/>
      <c r="DD152" s="867"/>
      <c r="DG152" s="867"/>
      <c r="DH152" s="867"/>
    </row>
    <row r="153" spans="1:112" s="406" customFormat="1" ht="20.25" x14ac:dyDescent="0.3">
      <c r="A153" s="867"/>
      <c r="B153" s="430"/>
      <c r="D153" s="492"/>
      <c r="F153" s="867"/>
      <c r="G153" s="867"/>
      <c r="H153" s="497"/>
      <c r="I153" s="867"/>
      <c r="J153" s="867"/>
      <c r="K153" s="867"/>
      <c r="L153" s="867"/>
      <c r="M153" s="867"/>
      <c r="Q153" s="867"/>
      <c r="R153" s="867"/>
      <c r="S153" s="430"/>
      <c r="T153" s="498"/>
      <c r="U153" s="498"/>
      <c r="V153" s="498"/>
      <c r="W153" s="498"/>
      <c r="Y153" s="498"/>
      <c r="Z153" s="498"/>
      <c r="AA153" s="498"/>
      <c r="AB153" s="498"/>
      <c r="AC153" s="498"/>
      <c r="AD153" s="498"/>
      <c r="AE153" s="498"/>
      <c r="AF153" s="498"/>
      <c r="AG153" s="493"/>
      <c r="AH153" s="493"/>
      <c r="AI153" s="493"/>
      <c r="AJ153" s="493"/>
      <c r="AK153" s="493"/>
      <c r="AL153" s="493"/>
      <c r="AM153" s="430"/>
      <c r="AN153" s="430"/>
      <c r="AO153" s="498"/>
      <c r="AP153" s="993"/>
      <c r="AQ153" s="498"/>
      <c r="AR153" s="498"/>
      <c r="AS153" s="430"/>
      <c r="AT153" s="500"/>
      <c r="AU153" s="500"/>
      <c r="AV153" s="498"/>
      <c r="AW153" s="430"/>
      <c r="AX153" s="430"/>
      <c r="AY153" s="430"/>
      <c r="AZ153" s="430"/>
      <c r="BA153" s="430"/>
      <c r="BB153" s="498"/>
      <c r="BC153" s="498"/>
      <c r="BD153" s="498"/>
      <c r="BE153" s="498"/>
      <c r="BF153" s="498"/>
      <c r="BG153" s="498"/>
      <c r="BH153" s="498"/>
      <c r="BI153" s="498"/>
      <c r="BJ153" s="498"/>
      <c r="BK153" s="498"/>
      <c r="BL153" s="498"/>
      <c r="BM153" s="407"/>
      <c r="BN153" s="407"/>
      <c r="BO153" s="407"/>
      <c r="BP153" s="407"/>
      <c r="BQ153" s="407"/>
      <c r="BR153" s="407"/>
      <c r="BS153" s="441"/>
      <c r="BT153" s="441"/>
      <c r="BU153" s="913"/>
      <c r="BV153" s="441"/>
      <c r="BW153" s="441"/>
      <c r="BX153" s="441"/>
      <c r="BY153" s="441"/>
      <c r="BZ153" s="441"/>
      <c r="CA153" s="441"/>
      <c r="CB153" s="441"/>
      <c r="CC153" s="441"/>
      <c r="CD153" s="407"/>
      <c r="CE153" s="407"/>
      <c r="CG153" s="407"/>
      <c r="CH153" s="407"/>
      <c r="CI153" s="407"/>
      <c r="DD153" s="867"/>
      <c r="DG153" s="867"/>
      <c r="DH153" s="867"/>
    </row>
    <row r="154" spans="1:112" s="406" customFormat="1" ht="20.25" x14ac:dyDescent="0.3">
      <c r="A154" s="867"/>
      <c r="B154" s="430"/>
      <c r="D154" s="492"/>
      <c r="F154" s="867"/>
      <c r="G154" s="867"/>
      <c r="H154" s="497"/>
      <c r="I154" s="867"/>
      <c r="J154" s="867"/>
      <c r="K154" s="867"/>
      <c r="L154" s="867"/>
      <c r="M154" s="867"/>
      <c r="Q154" s="867"/>
      <c r="R154" s="867"/>
      <c r="S154" s="430"/>
      <c r="T154" s="498"/>
      <c r="U154" s="498"/>
      <c r="V154" s="498"/>
      <c r="W154" s="498"/>
      <c r="Y154" s="498"/>
      <c r="Z154" s="498"/>
      <c r="AA154" s="498"/>
      <c r="AB154" s="498"/>
      <c r="AC154" s="498"/>
      <c r="AD154" s="498"/>
      <c r="AE154" s="498"/>
      <c r="AF154" s="498"/>
      <c r="AG154" s="493"/>
      <c r="AH154" s="493"/>
      <c r="AI154" s="493"/>
      <c r="AJ154" s="493"/>
      <c r="AK154" s="493"/>
      <c r="AL154" s="493"/>
      <c r="AM154" s="430"/>
      <c r="AN154" s="430"/>
      <c r="AO154" s="498"/>
      <c r="AP154" s="993"/>
      <c r="AQ154" s="498"/>
      <c r="AR154" s="498"/>
      <c r="AS154" s="430"/>
      <c r="AT154" s="500"/>
      <c r="AU154" s="500"/>
      <c r="AV154" s="498"/>
      <c r="AW154" s="430"/>
      <c r="AX154" s="430"/>
      <c r="AY154" s="430"/>
      <c r="AZ154" s="430"/>
      <c r="BA154" s="430"/>
      <c r="BB154" s="498"/>
      <c r="BC154" s="498"/>
      <c r="BD154" s="498"/>
      <c r="BE154" s="498"/>
      <c r="BF154" s="498"/>
      <c r="BG154" s="498"/>
      <c r="BH154" s="498"/>
      <c r="BI154" s="498"/>
      <c r="BJ154" s="498"/>
      <c r="BK154" s="498"/>
      <c r="BL154" s="498"/>
      <c r="BM154" s="407"/>
      <c r="BN154" s="407"/>
      <c r="BO154" s="407"/>
      <c r="BP154" s="407"/>
      <c r="BQ154" s="407"/>
      <c r="BR154" s="407"/>
      <c r="BS154" s="441"/>
      <c r="BT154" s="441"/>
      <c r="BU154" s="913"/>
      <c r="BV154" s="441"/>
      <c r="BW154" s="441"/>
      <c r="BX154" s="441"/>
      <c r="BY154" s="441"/>
      <c r="BZ154" s="441"/>
      <c r="CA154" s="441"/>
      <c r="CB154" s="441"/>
      <c r="CC154" s="441"/>
      <c r="CD154" s="407"/>
      <c r="CE154" s="407"/>
      <c r="CG154" s="407"/>
      <c r="CH154" s="407"/>
      <c r="CI154" s="407"/>
      <c r="DD154" s="867"/>
      <c r="DG154" s="867"/>
      <c r="DH154" s="867"/>
    </row>
    <row r="155" spans="1:112" s="406" customFormat="1" ht="20.25" x14ac:dyDescent="0.3">
      <c r="A155" s="408"/>
      <c r="B155" s="430"/>
      <c r="D155" s="492"/>
      <c r="F155" s="540"/>
      <c r="G155" s="408"/>
      <c r="H155" s="497"/>
      <c r="I155" s="1024"/>
      <c r="J155" s="1024"/>
      <c r="K155" s="408"/>
      <c r="L155" s="408"/>
      <c r="M155" s="408"/>
      <c r="Q155" s="408"/>
      <c r="R155" s="408"/>
      <c r="S155" s="430"/>
      <c r="T155" s="498"/>
      <c r="U155" s="498"/>
      <c r="V155" s="498"/>
      <c r="W155" s="498"/>
      <c r="Y155" s="498"/>
      <c r="Z155" s="498"/>
      <c r="AA155" s="498"/>
      <c r="AB155" s="498"/>
      <c r="AC155" s="498"/>
      <c r="AD155" s="498"/>
      <c r="AE155" s="498"/>
      <c r="AF155" s="498"/>
      <c r="AG155" s="493"/>
      <c r="AH155" s="493"/>
      <c r="AI155" s="493"/>
      <c r="AJ155" s="493"/>
      <c r="AK155" s="493"/>
      <c r="AL155" s="493"/>
      <c r="AM155" s="430"/>
      <c r="AN155" s="430"/>
      <c r="AO155" s="498"/>
      <c r="AP155" s="993"/>
      <c r="AQ155" s="498"/>
      <c r="AR155" s="498"/>
      <c r="AS155" s="430"/>
      <c r="AT155" s="500"/>
      <c r="AU155" s="500"/>
      <c r="AV155" s="498"/>
      <c r="AW155" s="430"/>
      <c r="AX155" s="430"/>
      <c r="AY155" s="430"/>
      <c r="AZ155" s="430"/>
      <c r="BA155" s="430"/>
      <c r="BB155" s="498"/>
      <c r="BC155" s="498"/>
      <c r="BD155" s="498"/>
      <c r="BE155" s="498"/>
      <c r="BF155" s="498"/>
      <c r="BG155" s="498"/>
      <c r="BH155" s="498"/>
      <c r="BI155" s="498"/>
      <c r="BJ155" s="498"/>
      <c r="BK155" s="498"/>
      <c r="BL155" s="498"/>
      <c r="BM155" s="407"/>
      <c r="BN155" s="407"/>
      <c r="BO155" s="407"/>
      <c r="BP155" s="407"/>
      <c r="BQ155" s="407"/>
      <c r="BR155" s="407"/>
      <c r="BS155" s="441"/>
      <c r="BT155" s="441"/>
      <c r="BU155" s="913"/>
      <c r="BV155" s="441"/>
      <c r="BW155" s="441"/>
      <c r="BX155" s="441"/>
      <c r="BY155" s="441"/>
      <c r="BZ155" s="441"/>
      <c r="CA155" s="441"/>
      <c r="CB155" s="441"/>
      <c r="CC155" s="441"/>
      <c r="CD155" s="407"/>
      <c r="CE155" s="407"/>
      <c r="CG155" s="407"/>
      <c r="CH155" s="407"/>
      <c r="CI155" s="407"/>
      <c r="DD155" s="408"/>
      <c r="DG155" s="408"/>
      <c r="DH155" s="408"/>
    </row>
    <row r="156" spans="1:112" s="406" customFormat="1" ht="20.25" x14ac:dyDescent="0.3">
      <c r="A156" s="408"/>
      <c r="B156" s="430"/>
      <c r="D156" s="492"/>
      <c r="F156" s="540"/>
      <c r="G156" s="408"/>
      <c r="H156" s="497"/>
      <c r="I156" s="1024"/>
      <c r="J156" s="1024"/>
      <c r="K156" s="408"/>
      <c r="L156" s="408"/>
      <c r="M156" s="408"/>
      <c r="Q156" s="408"/>
      <c r="R156" s="408"/>
      <c r="S156" s="430"/>
      <c r="T156" s="498"/>
      <c r="U156" s="498"/>
      <c r="V156" s="498"/>
      <c r="W156" s="498"/>
      <c r="Y156" s="498"/>
      <c r="Z156" s="498"/>
      <c r="AA156" s="498"/>
      <c r="AB156" s="498"/>
      <c r="AC156" s="498"/>
      <c r="AD156" s="498"/>
      <c r="AE156" s="498"/>
      <c r="AF156" s="498"/>
      <c r="AG156" s="493"/>
      <c r="AH156" s="493"/>
      <c r="AI156" s="493"/>
      <c r="AJ156" s="493"/>
      <c r="AK156" s="493"/>
      <c r="AL156" s="493"/>
      <c r="AM156" s="430"/>
      <c r="AN156" s="430"/>
      <c r="AO156" s="498"/>
      <c r="AP156" s="993"/>
      <c r="AQ156" s="498"/>
      <c r="AR156" s="498"/>
      <c r="AS156" s="430"/>
      <c r="AT156" s="500"/>
      <c r="AU156" s="500"/>
      <c r="AV156" s="498"/>
      <c r="AW156" s="430"/>
      <c r="AX156" s="430"/>
      <c r="AY156" s="430"/>
      <c r="AZ156" s="430"/>
      <c r="BA156" s="430"/>
      <c r="BB156" s="498"/>
      <c r="BC156" s="498"/>
      <c r="BD156" s="498"/>
      <c r="BE156" s="498"/>
      <c r="BF156" s="498"/>
      <c r="BG156" s="498"/>
      <c r="BH156" s="498"/>
      <c r="BI156" s="498"/>
      <c r="BJ156" s="498"/>
      <c r="BK156" s="498"/>
      <c r="BL156" s="498"/>
      <c r="BM156" s="407"/>
      <c r="BN156" s="407"/>
      <c r="BO156" s="407"/>
      <c r="BP156" s="407"/>
      <c r="BQ156" s="407"/>
      <c r="BR156" s="407"/>
      <c r="BS156" s="441"/>
      <c r="BT156" s="441"/>
      <c r="BU156" s="913"/>
      <c r="BV156" s="441"/>
      <c r="BW156" s="441"/>
      <c r="BX156" s="441"/>
      <c r="BY156" s="441"/>
      <c r="BZ156" s="441"/>
      <c r="CA156" s="441"/>
      <c r="CB156" s="441"/>
      <c r="CC156" s="441"/>
      <c r="CD156" s="407"/>
      <c r="CE156" s="407"/>
      <c r="CG156" s="407"/>
      <c r="CH156" s="407"/>
      <c r="CI156" s="407"/>
      <c r="DD156" s="408"/>
      <c r="DG156" s="408"/>
      <c r="DH156" s="408"/>
    </row>
    <row r="157" spans="1:112" s="406" customFormat="1" ht="20.25" x14ac:dyDescent="0.3">
      <c r="A157" s="408"/>
      <c r="B157" s="430"/>
      <c r="D157" s="492"/>
      <c r="F157" s="540"/>
      <c r="G157" s="408"/>
      <c r="H157" s="497"/>
      <c r="I157" s="1024"/>
      <c r="J157" s="1024"/>
      <c r="K157" s="408"/>
      <c r="L157" s="408"/>
      <c r="M157" s="408"/>
      <c r="Q157" s="408"/>
      <c r="R157" s="408"/>
      <c r="S157" s="430"/>
      <c r="T157" s="498"/>
      <c r="U157" s="498"/>
      <c r="V157" s="498"/>
      <c r="W157" s="498"/>
      <c r="Y157" s="498"/>
      <c r="Z157" s="498"/>
      <c r="AA157" s="498"/>
      <c r="AB157" s="498"/>
      <c r="AC157" s="498"/>
      <c r="AD157" s="498"/>
      <c r="AE157" s="498"/>
      <c r="AF157" s="498"/>
      <c r="AG157" s="493"/>
      <c r="AH157" s="493"/>
      <c r="AI157" s="493"/>
      <c r="AJ157" s="493"/>
      <c r="AK157" s="493"/>
      <c r="AL157" s="493"/>
      <c r="AM157" s="430"/>
      <c r="AN157" s="430"/>
      <c r="AO157" s="498"/>
      <c r="AP157" s="993"/>
      <c r="AQ157" s="498"/>
      <c r="AR157" s="498"/>
      <c r="AS157" s="430"/>
      <c r="AT157" s="500"/>
      <c r="AU157" s="500"/>
      <c r="AV157" s="498"/>
      <c r="AW157" s="430"/>
      <c r="AX157" s="430"/>
      <c r="AY157" s="430"/>
      <c r="AZ157" s="430"/>
      <c r="BA157" s="430"/>
      <c r="BB157" s="498"/>
      <c r="BC157" s="498"/>
      <c r="BD157" s="498"/>
      <c r="BE157" s="498"/>
      <c r="BF157" s="498"/>
      <c r="BG157" s="498"/>
      <c r="BH157" s="498"/>
      <c r="BI157" s="498"/>
      <c r="BJ157" s="498"/>
      <c r="BK157" s="498"/>
      <c r="BL157" s="498"/>
      <c r="BM157" s="407"/>
      <c r="BN157" s="407"/>
      <c r="BO157" s="407"/>
      <c r="BP157" s="407"/>
      <c r="BQ157" s="407"/>
      <c r="BR157" s="407"/>
      <c r="BS157" s="441"/>
      <c r="BT157" s="441"/>
      <c r="BU157" s="913"/>
      <c r="BV157" s="441"/>
      <c r="BW157" s="441"/>
      <c r="BX157" s="441"/>
      <c r="BY157" s="441"/>
      <c r="BZ157" s="441"/>
      <c r="CA157" s="441"/>
      <c r="CB157" s="441"/>
      <c r="CC157" s="441"/>
      <c r="CD157" s="407"/>
      <c r="CE157" s="407"/>
      <c r="CG157" s="407"/>
      <c r="CH157" s="407"/>
      <c r="CI157" s="407"/>
      <c r="DD157" s="408"/>
      <c r="DG157" s="408"/>
      <c r="DH157" s="408"/>
    </row>
    <row r="158" spans="1:112" s="406" customFormat="1" ht="20.25" x14ac:dyDescent="0.3">
      <c r="A158" s="408"/>
      <c r="B158" s="430"/>
      <c r="D158" s="492"/>
      <c r="F158" s="540"/>
      <c r="G158" s="408"/>
      <c r="H158" s="497"/>
      <c r="I158" s="1024"/>
      <c r="J158" s="1024"/>
      <c r="K158" s="408"/>
      <c r="L158" s="408"/>
      <c r="M158" s="408"/>
      <c r="Q158" s="408"/>
      <c r="R158" s="408"/>
      <c r="S158" s="430"/>
      <c r="T158" s="498"/>
      <c r="U158" s="498"/>
      <c r="V158" s="498"/>
      <c r="W158" s="498"/>
      <c r="Y158" s="498"/>
      <c r="Z158" s="498"/>
      <c r="AA158" s="498"/>
      <c r="AB158" s="498"/>
      <c r="AC158" s="498"/>
      <c r="AD158" s="498"/>
      <c r="AE158" s="498"/>
      <c r="AF158" s="498"/>
      <c r="AG158" s="493"/>
      <c r="AH158" s="493"/>
      <c r="AI158" s="493"/>
      <c r="AJ158" s="493"/>
      <c r="AK158" s="493"/>
      <c r="AL158" s="493"/>
      <c r="AM158" s="430"/>
      <c r="AN158" s="430"/>
      <c r="AO158" s="498"/>
      <c r="AP158" s="993"/>
      <c r="AQ158" s="498"/>
      <c r="AR158" s="498"/>
      <c r="AS158" s="430"/>
      <c r="AT158" s="500"/>
      <c r="AU158" s="500"/>
      <c r="AV158" s="498"/>
      <c r="AW158" s="430"/>
      <c r="AX158" s="430"/>
      <c r="AY158" s="430"/>
      <c r="AZ158" s="430"/>
      <c r="BA158" s="430"/>
      <c r="BB158" s="498"/>
      <c r="BC158" s="498"/>
      <c r="BD158" s="498"/>
      <c r="BE158" s="498"/>
      <c r="BF158" s="498"/>
      <c r="BG158" s="498"/>
      <c r="BH158" s="498"/>
      <c r="BI158" s="498"/>
      <c r="BJ158" s="498"/>
      <c r="BK158" s="498"/>
      <c r="BL158" s="498"/>
      <c r="BM158" s="407"/>
      <c r="BN158" s="407"/>
      <c r="BO158" s="407"/>
      <c r="BP158" s="407"/>
      <c r="BQ158" s="407"/>
      <c r="BR158" s="407"/>
      <c r="BS158" s="441"/>
      <c r="BT158" s="441"/>
      <c r="BU158" s="913"/>
      <c r="BV158" s="441"/>
      <c r="BW158" s="441"/>
      <c r="BX158" s="441"/>
      <c r="BY158" s="441"/>
      <c r="BZ158" s="441"/>
      <c r="CA158" s="441"/>
      <c r="CB158" s="441"/>
      <c r="CC158" s="441"/>
      <c r="CD158" s="407"/>
      <c r="CE158" s="407"/>
      <c r="CG158" s="407"/>
      <c r="CH158" s="407"/>
      <c r="CI158" s="407"/>
      <c r="DD158" s="408"/>
      <c r="DG158" s="408"/>
      <c r="DH158" s="408"/>
    </row>
    <row r="159" spans="1:112" s="406" customFormat="1" ht="20.25" x14ac:dyDescent="0.3">
      <c r="A159" s="408"/>
      <c r="B159" s="430"/>
      <c r="D159" s="492"/>
      <c r="F159" s="540"/>
      <c r="G159" s="408"/>
      <c r="H159" s="497"/>
      <c r="I159" s="1024"/>
      <c r="J159" s="1024"/>
      <c r="K159" s="408"/>
      <c r="L159" s="408"/>
      <c r="M159" s="408"/>
      <c r="Q159" s="408"/>
      <c r="R159" s="408"/>
      <c r="S159" s="430"/>
      <c r="T159" s="498"/>
      <c r="U159" s="498"/>
      <c r="V159" s="498"/>
      <c r="W159" s="498"/>
      <c r="Y159" s="498"/>
      <c r="Z159" s="498"/>
      <c r="AA159" s="498"/>
      <c r="AB159" s="498"/>
      <c r="AC159" s="498"/>
      <c r="AD159" s="498"/>
      <c r="AE159" s="498"/>
      <c r="AF159" s="498"/>
      <c r="AG159" s="493"/>
      <c r="AH159" s="493"/>
      <c r="AI159" s="493"/>
      <c r="AJ159" s="493"/>
      <c r="AK159" s="493"/>
      <c r="AL159" s="493"/>
      <c r="AM159" s="430"/>
      <c r="AN159" s="430"/>
      <c r="AO159" s="498"/>
      <c r="AP159" s="993"/>
      <c r="AQ159" s="498"/>
      <c r="AR159" s="498"/>
      <c r="AS159" s="430"/>
      <c r="AT159" s="500"/>
      <c r="AU159" s="500"/>
      <c r="AV159" s="498"/>
      <c r="AW159" s="430"/>
      <c r="AX159" s="430"/>
      <c r="AY159" s="430"/>
      <c r="AZ159" s="430"/>
      <c r="BA159" s="430"/>
      <c r="BB159" s="498"/>
      <c r="BC159" s="498"/>
      <c r="BD159" s="498"/>
      <c r="BE159" s="498"/>
      <c r="BF159" s="498"/>
      <c r="BG159" s="498"/>
      <c r="BH159" s="498"/>
      <c r="BI159" s="498"/>
      <c r="BJ159" s="498"/>
      <c r="BK159" s="498"/>
      <c r="BL159" s="498"/>
      <c r="BM159" s="407"/>
      <c r="BN159" s="407"/>
      <c r="BO159" s="407"/>
      <c r="BP159" s="407"/>
      <c r="BQ159" s="407"/>
      <c r="BR159" s="407"/>
      <c r="BS159" s="441"/>
      <c r="BT159" s="441"/>
      <c r="BU159" s="913"/>
      <c r="BV159" s="441"/>
      <c r="BW159" s="441"/>
      <c r="BX159" s="441"/>
      <c r="BY159" s="441"/>
      <c r="BZ159" s="441"/>
      <c r="CA159" s="441"/>
      <c r="CB159" s="441"/>
      <c r="CC159" s="441"/>
      <c r="CD159" s="407"/>
      <c r="CE159" s="407"/>
      <c r="CG159" s="407"/>
      <c r="CH159" s="407"/>
      <c r="CI159" s="407"/>
      <c r="DD159" s="408"/>
      <c r="DG159" s="408"/>
      <c r="DH159" s="408"/>
    </row>
    <row r="160" spans="1:112" s="406" customFormat="1" ht="20.25" x14ac:dyDescent="0.3">
      <c r="A160" s="408"/>
      <c r="B160" s="430"/>
      <c r="D160" s="492"/>
      <c r="F160" s="540"/>
      <c r="G160" s="408"/>
      <c r="H160" s="497"/>
      <c r="I160" s="1024"/>
      <c r="J160" s="1024"/>
      <c r="K160" s="408"/>
      <c r="L160" s="408"/>
      <c r="M160" s="408"/>
      <c r="Q160" s="408"/>
      <c r="R160" s="408"/>
      <c r="S160" s="430"/>
      <c r="T160" s="498"/>
      <c r="U160" s="498"/>
      <c r="V160" s="498"/>
      <c r="W160" s="498"/>
      <c r="Y160" s="498"/>
      <c r="Z160" s="498"/>
      <c r="AA160" s="498"/>
      <c r="AB160" s="498"/>
      <c r="AC160" s="498"/>
      <c r="AD160" s="498"/>
      <c r="AE160" s="498"/>
      <c r="AF160" s="498"/>
      <c r="AG160" s="493"/>
      <c r="AH160" s="493"/>
      <c r="AI160" s="493"/>
      <c r="AJ160" s="493"/>
      <c r="AK160" s="493"/>
      <c r="AL160" s="493"/>
      <c r="AM160" s="430"/>
      <c r="AN160" s="430"/>
      <c r="AO160" s="498"/>
      <c r="AP160" s="993"/>
      <c r="AQ160" s="498"/>
      <c r="AR160" s="498"/>
      <c r="AS160" s="430"/>
      <c r="AT160" s="500"/>
      <c r="AU160" s="500"/>
      <c r="AV160" s="498"/>
      <c r="AW160" s="430"/>
      <c r="AX160" s="430"/>
      <c r="AY160" s="430"/>
      <c r="AZ160" s="430"/>
      <c r="BA160" s="430"/>
      <c r="BB160" s="498"/>
      <c r="BC160" s="498"/>
      <c r="BD160" s="498"/>
      <c r="BE160" s="498"/>
      <c r="BF160" s="498"/>
      <c r="BG160" s="498"/>
      <c r="BH160" s="498"/>
      <c r="BI160" s="498"/>
      <c r="BJ160" s="498"/>
      <c r="BK160" s="498"/>
      <c r="BL160" s="498"/>
      <c r="BM160" s="407"/>
      <c r="BN160" s="407"/>
      <c r="BO160" s="407"/>
      <c r="BP160" s="407"/>
      <c r="BQ160" s="407"/>
      <c r="BR160" s="407"/>
      <c r="BS160" s="441"/>
      <c r="BT160" s="441"/>
      <c r="BU160" s="913"/>
      <c r="BV160" s="441"/>
      <c r="BW160" s="441"/>
      <c r="BX160" s="441"/>
      <c r="BY160" s="441"/>
      <c r="BZ160" s="441"/>
      <c r="CA160" s="441"/>
      <c r="CB160" s="441"/>
      <c r="CC160" s="441"/>
      <c r="CD160" s="407"/>
      <c r="CE160" s="407"/>
      <c r="CG160" s="407"/>
      <c r="CH160" s="407"/>
      <c r="CI160" s="407"/>
      <c r="DD160" s="408"/>
      <c r="DG160" s="408"/>
      <c r="DH160" s="408"/>
    </row>
    <row r="161" spans="1:112" s="406" customFormat="1" ht="20.25" x14ac:dyDescent="0.3">
      <c r="A161" s="408"/>
      <c r="B161" s="430"/>
      <c r="D161" s="492"/>
      <c r="F161" s="540"/>
      <c r="G161" s="408"/>
      <c r="H161" s="497"/>
      <c r="I161" s="1024"/>
      <c r="J161" s="1024"/>
      <c r="K161" s="408"/>
      <c r="L161" s="408"/>
      <c r="M161" s="408"/>
      <c r="Q161" s="408"/>
      <c r="R161" s="408"/>
      <c r="S161" s="430"/>
      <c r="T161" s="498"/>
      <c r="U161" s="498"/>
      <c r="V161" s="498"/>
      <c r="W161" s="498"/>
      <c r="Y161" s="498"/>
      <c r="Z161" s="498"/>
      <c r="AA161" s="498"/>
      <c r="AB161" s="498"/>
      <c r="AC161" s="498"/>
      <c r="AD161" s="498"/>
      <c r="AE161" s="498"/>
      <c r="AF161" s="498"/>
      <c r="AG161" s="493"/>
      <c r="AH161" s="493"/>
      <c r="AI161" s="493"/>
      <c r="AJ161" s="493"/>
      <c r="AK161" s="493"/>
      <c r="AL161" s="493"/>
      <c r="AM161" s="430"/>
      <c r="AN161" s="430"/>
      <c r="AO161" s="498"/>
      <c r="AP161" s="993"/>
      <c r="AQ161" s="498"/>
      <c r="AR161" s="498"/>
      <c r="AS161" s="430"/>
      <c r="AT161" s="500"/>
      <c r="AU161" s="500"/>
      <c r="AV161" s="498"/>
      <c r="AW161" s="430"/>
      <c r="AX161" s="430"/>
      <c r="AY161" s="430"/>
      <c r="AZ161" s="430"/>
      <c r="BA161" s="430"/>
      <c r="BB161" s="498"/>
      <c r="BC161" s="498"/>
      <c r="BD161" s="498"/>
      <c r="BE161" s="498"/>
      <c r="BF161" s="498"/>
      <c r="BG161" s="498"/>
      <c r="BH161" s="498"/>
      <c r="BI161" s="498"/>
      <c r="BJ161" s="498"/>
      <c r="BK161" s="498"/>
      <c r="BL161" s="498"/>
      <c r="BM161" s="407"/>
      <c r="BN161" s="407"/>
      <c r="BO161" s="407"/>
      <c r="BP161" s="407"/>
      <c r="BQ161" s="407"/>
      <c r="BR161" s="407"/>
      <c r="BS161" s="441"/>
      <c r="BT161" s="441"/>
      <c r="BU161" s="913"/>
      <c r="BV161" s="441"/>
      <c r="BW161" s="441"/>
      <c r="BX161" s="441"/>
      <c r="BY161" s="441"/>
      <c r="BZ161" s="441"/>
      <c r="CA161" s="441"/>
      <c r="CB161" s="441"/>
      <c r="CC161" s="441"/>
      <c r="CD161" s="407"/>
      <c r="CE161" s="407"/>
      <c r="CG161" s="407"/>
      <c r="CH161" s="407"/>
      <c r="CI161" s="407"/>
      <c r="DD161" s="408"/>
      <c r="DG161" s="408"/>
      <c r="DH161" s="408"/>
    </row>
    <row r="162" spans="1:112" s="406" customFormat="1" ht="20.25" x14ac:dyDescent="0.3">
      <c r="A162" s="408"/>
      <c r="B162" s="430"/>
      <c r="D162" s="492"/>
      <c r="F162" s="540"/>
      <c r="G162" s="408"/>
      <c r="H162" s="497"/>
      <c r="I162" s="1024"/>
      <c r="J162" s="1024"/>
      <c r="K162" s="408"/>
      <c r="L162" s="408"/>
      <c r="M162" s="408"/>
      <c r="Q162" s="408"/>
      <c r="R162" s="408"/>
      <c r="S162" s="430"/>
      <c r="T162" s="498"/>
      <c r="U162" s="498"/>
      <c r="V162" s="498"/>
      <c r="W162" s="498"/>
      <c r="Y162" s="498"/>
      <c r="Z162" s="498"/>
      <c r="AA162" s="498"/>
      <c r="AB162" s="498"/>
      <c r="AC162" s="498"/>
      <c r="AD162" s="498"/>
      <c r="AE162" s="498"/>
      <c r="AF162" s="498"/>
      <c r="AG162" s="493"/>
      <c r="AH162" s="493"/>
      <c r="AI162" s="493"/>
      <c r="AJ162" s="493"/>
      <c r="AK162" s="493"/>
      <c r="AL162" s="493"/>
      <c r="AM162" s="430"/>
      <c r="AN162" s="430"/>
      <c r="AO162" s="498"/>
      <c r="AP162" s="993"/>
      <c r="AQ162" s="498"/>
      <c r="AR162" s="498"/>
      <c r="AS162" s="430"/>
      <c r="AT162" s="500"/>
      <c r="AU162" s="500"/>
      <c r="AV162" s="498"/>
      <c r="AW162" s="430"/>
      <c r="AX162" s="430"/>
      <c r="AY162" s="430"/>
      <c r="AZ162" s="430"/>
      <c r="BA162" s="430"/>
      <c r="BB162" s="498"/>
      <c r="BC162" s="498"/>
      <c r="BD162" s="498"/>
      <c r="BE162" s="498"/>
      <c r="BF162" s="498"/>
      <c r="BG162" s="498"/>
      <c r="BH162" s="498"/>
      <c r="BI162" s="498"/>
      <c r="BJ162" s="498"/>
      <c r="BK162" s="498"/>
      <c r="BL162" s="498"/>
      <c r="BM162" s="407"/>
      <c r="BN162" s="407"/>
      <c r="BO162" s="407"/>
      <c r="BP162" s="407"/>
      <c r="BQ162" s="407"/>
      <c r="BR162" s="407"/>
      <c r="BS162" s="441"/>
      <c r="BT162" s="441"/>
      <c r="BU162" s="913"/>
      <c r="BV162" s="441"/>
      <c r="BW162" s="441"/>
      <c r="BX162" s="441"/>
      <c r="BY162" s="441"/>
      <c r="BZ162" s="441"/>
      <c r="CA162" s="441"/>
      <c r="CB162" s="441"/>
      <c r="CC162" s="441"/>
      <c r="CD162" s="407"/>
      <c r="CE162" s="407"/>
      <c r="CG162" s="407"/>
      <c r="CH162" s="407"/>
      <c r="CI162" s="407"/>
      <c r="DD162" s="408"/>
      <c r="DG162" s="408"/>
      <c r="DH162" s="408"/>
    </row>
    <row r="163" spans="1:112" s="406" customFormat="1" ht="20.25" x14ac:dyDescent="0.3">
      <c r="A163" s="408"/>
      <c r="B163" s="430"/>
      <c r="D163" s="492"/>
      <c r="F163" s="540"/>
      <c r="G163" s="408"/>
      <c r="H163" s="497"/>
      <c r="I163" s="1024"/>
      <c r="J163" s="1024"/>
      <c r="K163" s="408"/>
      <c r="L163" s="408"/>
      <c r="M163" s="408"/>
      <c r="Q163" s="408"/>
      <c r="R163" s="408"/>
      <c r="S163" s="430"/>
      <c r="T163" s="498"/>
      <c r="U163" s="498"/>
      <c r="V163" s="498"/>
      <c r="W163" s="498"/>
      <c r="Y163" s="498"/>
      <c r="Z163" s="498"/>
      <c r="AA163" s="498"/>
      <c r="AB163" s="498"/>
      <c r="AC163" s="498"/>
      <c r="AD163" s="498"/>
      <c r="AE163" s="498"/>
      <c r="AF163" s="498"/>
      <c r="AG163" s="493"/>
      <c r="AH163" s="493"/>
      <c r="AI163" s="493"/>
      <c r="AJ163" s="493"/>
      <c r="AK163" s="493"/>
      <c r="AL163" s="493"/>
      <c r="AM163" s="430"/>
      <c r="AN163" s="430"/>
      <c r="AO163" s="498"/>
      <c r="AP163" s="993"/>
      <c r="AQ163" s="498"/>
      <c r="AR163" s="498"/>
      <c r="AS163" s="430"/>
      <c r="AT163" s="500"/>
      <c r="AU163" s="500"/>
      <c r="AV163" s="498"/>
      <c r="AW163" s="430"/>
      <c r="AX163" s="430"/>
      <c r="AY163" s="430"/>
      <c r="AZ163" s="430"/>
      <c r="BA163" s="430"/>
      <c r="BB163" s="498"/>
      <c r="BC163" s="498"/>
      <c r="BD163" s="498"/>
      <c r="BE163" s="498"/>
      <c r="BF163" s="498"/>
      <c r="BG163" s="498"/>
      <c r="BH163" s="498"/>
      <c r="BI163" s="498"/>
      <c r="BJ163" s="498"/>
      <c r="BK163" s="498"/>
      <c r="BL163" s="498"/>
      <c r="BM163" s="407"/>
      <c r="BN163" s="407"/>
      <c r="BO163" s="407"/>
      <c r="BP163" s="407"/>
      <c r="BQ163" s="407"/>
      <c r="BR163" s="407"/>
      <c r="BS163" s="441"/>
      <c r="BT163" s="441"/>
      <c r="BU163" s="913"/>
      <c r="BV163" s="441"/>
      <c r="BW163" s="441"/>
      <c r="BX163" s="441"/>
      <c r="BY163" s="441"/>
      <c r="BZ163" s="441"/>
      <c r="CA163" s="441"/>
      <c r="CB163" s="441"/>
      <c r="CC163" s="441"/>
      <c r="CD163" s="407"/>
      <c r="CE163" s="407"/>
      <c r="CG163" s="407"/>
      <c r="CH163" s="407"/>
      <c r="CI163" s="407"/>
      <c r="DD163" s="408"/>
      <c r="DG163" s="408"/>
      <c r="DH163" s="408"/>
    </row>
    <row r="164" spans="1:112" s="406" customFormat="1" ht="20.25" x14ac:dyDescent="0.3">
      <c r="A164" s="408"/>
      <c r="B164" s="430"/>
      <c r="D164" s="492"/>
      <c r="F164" s="540"/>
      <c r="G164" s="408"/>
      <c r="H164" s="497"/>
      <c r="I164" s="1024"/>
      <c r="J164" s="1024"/>
      <c r="K164" s="408"/>
      <c r="L164" s="408"/>
      <c r="M164" s="408"/>
      <c r="Q164" s="408"/>
      <c r="R164" s="408"/>
      <c r="S164" s="430"/>
      <c r="T164" s="498"/>
      <c r="U164" s="498"/>
      <c r="V164" s="498"/>
      <c r="W164" s="498"/>
      <c r="Y164" s="498"/>
      <c r="Z164" s="498"/>
      <c r="AA164" s="498"/>
      <c r="AB164" s="498"/>
      <c r="AC164" s="498"/>
      <c r="AD164" s="498"/>
      <c r="AE164" s="498"/>
      <c r="AF164" s="498"/>
      <c r="AG164" s="493"/>
      <c r="AH164" s="493"/>
      <c r="AI164" s="493"/>
      <c r="AJ164" s="493"/>
      <c r="AK164" s="493"/>
      <c r="AL164" s="493"/>
      <c r="AM164" s="430"/>
      <c r="AN164" s="430"/>
      <c r="AO164" s="498"/>
      <c r="AP164" s="993"/>
      <c r="AQ164" s="498"/>
      <c r="AR164" s="498"/>
      <c r="AS164" s="430"/>
      <c r="AT164" s="500"/>
      <c r="AU164" s="500"/>
      <c r="AV164" s="498"/>
      <c r="AW164" s="430"/>
      <c r="AX164" s="430"/>
      <c r="AY164" s="430"/>
      <c r="AZ164" s="430"/>
      <c r="BA164" s="430"/>
      <c r="BB164" s="498"/>
      <c r="BC164" s="498"/>
      <c r="BD164" s="498"/>
      <c r="BE164" s="498"/>
      <c r="BF164" s="498"/>
      <c r="BG164" s="498"/>
      <c r="BH164" s="498"/>
      <c r="BI164" s="498"/>
      <c r="BJ164" s="498"/>
      <c r="BK164" s="498"/>
      <c r="BL164" s="498"/>
      <c r="BM164" s="407"/>
      <c r="BN164" s="407"/>
      <c r="BO164" s="407"/>
      <c r="BP164" s="407"/>
      <c r="BQ164" s="407"/>
      <c r="BR164" s="407"/>
      <c r="BS164" s="441"/>
      <c r="BT164" s="441"/>
      <c r="BU164" s="913"/>
      <c r="BV164" s="441"/>
      <c r="BW164" s="441"/>
      <c r="BX164" s="441"/>
      <c r="BY164" s="441"/>
      <c r="BZ164" s="441"/>
      <c r="CA164" s="441"/>
      <c r="CB164" s="441"/>
      <c r="CC164" s="441"/>
      <c r="CD164" s="407"/>
      <c r="CE164" s="407"/>
      <c r="CG164" s="407"/>
      <c r="CH164" s="407"/>
      <c r="CI164" s="407"/>
      <c r="DD164" s="408"/>
      <c r="DG164" s="408"/>
      <c r="DH164" s="408"/>
    </row>
    <row r="165" spans="1:112" s="406" customFormat="1" ht="20.25" x14ac:dyDescent="0.3">
      <c r="A165" s="408"/>
      <c r="B165" s="430"/>
      <c r="D165" s="492"/>
      <c r="F165" s="540"/>
      <c r="G165" s="408"/>
      <c r="H165" s="497"/>
      <c r="I165" s="1024"/>
      <c r="J165" s="1024"/>
      <c r="K165" s="408"/>
      <c r="L165" s="408"/>
      <c r="M165" s="408"/>
      <c r="Q165" s="408"/>
      <c r="R165" s="408"/>
      <c r="S165" s="430"/>
      <c r="T165" s="498"/>
      <c r="U165" s="498"/>
      <c r="V165" s="498"/>
      <c r="W165" s="498"/>
      <c r="Y165" s="498"/>
      <c r="Z165" s="498"/>
      <c r="AA165" s="498"/>
      <c r="AB165" s="498"/>
      <c r="AC165" s="498"/>
      <c r="AD165" s="498"/>
      <c r="AE165" s="498"/>
      <c r="AF165" s="498"/>
      <c r="AG165" s="493"/>
      <c r="AH165" s="493"/>
      <c r="AI165" s="493"/>
      <c r="AJ165" s="493"/>
      <c r="AK165" s="493"/>
      <c r="AL165" s="493"/>
      <c r="AM165" s="430"/>
      <c r="AN165" s="430"/>
      <c r="AO165" s="498"/>
      <c r="AP165" s="993"/>
      <c r="AQ165" s="498"/>
      <c r="AR165" s="498"/>
      <c r="AS165" s="430"/>
      <c r="AT165" s="500"/>
      <c r="AU165" s="500"/>
      <c r="AV165" s="498"/>
      <c r="AW165" s="430"/>
      <c r="AX165" s="430"/>
      <c r="AY165" s="430"/>
      <c r="AZ165" s="430"/>
      <c r="BA165" s="430"/>
      <c r="BB165" s="498"/>
      <c r="BC165" s="498"/>
      <c r="BD165" s="498"/>
      <c r="BE165" s="498"/>
      <c r="BF165" s="498"/>
      <c r="BG165" s="498"/>
      <c r="BH165" s="498"/>
      <c r="BI165" s="498"/>
      <c r="BJ165" s="498"/>
      <c r="BK165" s="498"/>
      <c r="BL165" s="498"/>
      <c r="BM165" s="407"/>
      <c r="BN165" s="407"/>
      <c r="BO165" s="407"/>
      <c r="BP165" s="407"/>
      <c r="BQ165" s="407"/>
      <c r="BR165" s="407"/>
      <c r="BS165" s="441"/>
      <c r="BT165" s="441"/>
      <c r="BU165" s="913"/>
      <c r="BV165" s="441"/>
      <c r="BW165" s="441"/>
      <c r="BX165" s="441"/>
      <c r="BY165" s="441"/>
      <c r="BZ165" s="441"/>
      <c r="CA165" s="441"/>
      <c r="CB165" s="441"/>
      <c r="CC165" s="441"/>
      <c r="CD165" s="407"/>
      <c r="CE165" s="407"/>
      <c r="CG165" s="407"/>
      <c r="CH165" s="407"/>
      <c r="CI165" s="407"/>
      <c r="DD165" s="408"/>
      <c r="DG165" s="408"/>
      <c r="DH165" s="408"/>
    </row>
    <row r="166" spans="1:112" s="406" customFormat="1" ht="20.25" x14ac:dyDescent="0.3">
      <c r="A166" s="408"/>
      <c r="B166" s="430"/>
      <c r="D166" s="492"/>
      <c r="F166" s="540"/>
      <c r="G166" s="408"/>
      <c r="H166" s="497"/>
      <c r="I166" s="1024"/>
      <c r="J166" s="1024"/>
      <c r="K166" s="408"/>
      <c r="L166" s="408"/>
      <c r="M166" s="408"/>
      <c r="Q166" s="408"/>
      <c r="R166" s="408"/>
      <c r="S166" s="430"/>
      <c r="T166" s="498"/>
      <c r="U166" s="498"/>
      <c r="V166" s="498"/>
      <c r="W166" s="498"/>
      <c r="Y166" s="498"/>
      <c r="Z166" s="498"/>
      <c r="AA166" s="498"/>
      <c r="AB166" s="498"/>
      <c r="AC166" s="498"/>
      <c r="AD166" s="498"/>
      <c r="AE166" s="498"/>
      <c r="AF166" s="498"/>
      <c r="AG166" s="493"/>
      <c r="AH166" s="493"/>
      <c r="AI166" s="493"/>
      <c r="AJ166" s="493"/>
      <c r="AK166" s="493"/>
      <c r="AL166" s="493"/>
      <c r="AM166" s="430"/>
      <c r="AN166" s="430"/>
      <c r="AO166" s="498"/>
      <c r="AP166" s="993"/>
      <c r="AQ166" s="498"/>
      <c r="AR166" s="498"/>
      <c r="AS166" s="430"/>
      <c r="AT166" s="500"/>
      <c r="AU166" s="500"/>
      <c r="AV166" s="498"/>
      <c r="AW166" s="430"/>
      <c r="AX166" s="430"/>
      <c r="AY166" s="430"/>
      <c r="AZ166" s="430"/>
      <c r="BA166" s="430"/>
      <c r="BB166" s="498"/>
      <c r="BC166" s="498"/>
      <c r="BD166" s="498"/>
      <c r="BE166" s="498"/>
      <c r="BF166" s="498"/>
      <c r="BG166" s="498"/>
      <c r="BH166" s="498"/>
      <c r="BI166" s="498"/>
      <c r="BJ166" s="498"/>
      <c r="BK166" s="498"/>
      <c r="BL166" s="498"/>
      <c r="BM166" s="407"/>
      <c r="BN166" s="407"/>
      <c r="BO166" s="407"/>
      <c r="BP166" s="407"/>
      <c r="BQ166" s="407"/>
      <c r="BR166" s="407"/>
      <c r="BS166" s="441"/>
      <c r="BT166" s="441"/>
      <c r="BU166" s="913"/>
      <c r="BV166" s="441"/>
      <c r="BW166" s="441"/>
      <c r="BX166" s="441"/>
      <c r="BY166" s="441"/>
      <c r="BZ166" s="441"/>
      <c r="CA166" s="441"/>
      <c r="CB166" s="441"/>
      <c r="CC166" s="441"/>
      <c r="CD166" s="407"/>
      <c r="CE166" s="407"/>
      <c r="CG166" s="407"/>
      <c r="CH166" s="407"/>
      <c r="CI166" s="407"/>
      <c r="DD166" s="408"/>
      <c r="DG166" s="408"/>
      <c r="DH166" s="408"/>
    </row>
    <row r="167" spans="1:112" s="406" customFormat="1" ht="20.25" x14ac:dyDescent="0.3">
      <c r="A167" s="408"/>
      <c r="B167" s="430"/>
      <c r="D167" s="492"/>
      <c r="F167" s="540"/>
      <c r="G167" s="408"/>
      <c r="H167" s="497"/>
      <c r="I167" s="1024"/>
      <c r="J167" s="1024"/>
      <c r="K167" s="408"/>
      <c r="L167" s="408"/>
      <c r="M167" s="408"/>
      <c r="Q167" s="408"/>
      <c r="R167" s="408"/>
      <c r="S167" s="430"/>
      <c r="T167" s="498"/>
      <c r="U167" s="498"/>
      <c r="V167" s="498"/>
      <c r="W167" s="498"/>
      <c r="Y167" s="498"/>
      <c r="Z167" s="498"/>
      <c r="AA167" s="498"/>
      <c r="AB167" s="498"/>
      <c r="AC167" s="498"/>
      <c r="AD167" s="498"/>
      <c r="AE167" s="498"/>
      <c r="AF167" s="498"/>
      <c r="AG167" s="493"/>
      <c r="AH167" s="493"/>
      <c r="AI167" s="493"/>
      <c r="AJ167" s="493"/>
      <c r="AK167" s="493"/>
      <c r="AL167" s="493"/>
      <c r="AM167" s="430"/>
      <c r="AN167" s="430"/>
      <c r="AO167" s="498"/>
      <c r="AP167" s="993"/>
      <c r="AQ167" s="498"/>
      <c r="AR167" s="498"/>
      <c r="AS167" s="430"/>
      <c r="AT167" s="500"/>
      <c r="AU167" s="500"/>
      <c r="AV167" s="498"/>
      <c r="AW167" s="430"/>
      <c r="AX167" s="430"/>
      <c r="AY167" s="430"/>
      <c r="AZ167" s="430"/>
      <c r="BA167" s="430"/>
      <c r="BB167" s="498"/>
      <c r="BC167" s="498"/>
      <c r="BD167" s="498"/>
      <c r="BE167" s="498"/>
      <c r="BF167" s="498"/>
      <c r="BG167" s="498"/>
      <c r="BH167" s="498"/>
      <c r="BI167" s="498"/>
      <c r="BJ167" s="498"/>
      <c r="BK167" s="498"/>
      <c r="BL167" s="498"/>
      <c r="BM167" s="407"/>
      <c r="BN167" s="407"/>
      <c r="BO167" s="407"/>
      <c r="BP167" s="407"/>
      <c r="BQ167" s="407"/>
      <c r="BR167" s="407"/>
      <c r="BS167" s="441"/>
      <c r="BT167" s="441"/>
      <c r="BU167" s="913"/>
      <c r="BV167" s="441"/>
      <c r="BW167" s="441"/>
      <c r="BX167" s="441"/>
      <c r="BY167" s="441"/>
      <c r="BZ167" s="441"/>
      <c r="CA167" s="441"/>
      <c r="CB167" s="441"/>
      <c r="CC167" s="441"/>
      <c r="CD167" s="407"/>
      <c r="CE167" s="407"/>
      <c r="CG167" s="407"/>
      <c r="CH167" s="407"/>
      <c r="CI167" s="407"/>
      <c r="DD167" s="408"/>
      <c r="DG167" s="408"/>
      <c r="DH167" s="408"/>
    </row>
    <row r="168" spans="1:112" s="406" customFormat="1" ht="20.25" x14ac:dyDescent="0.3">
      <c r="A168" s="408"/>
      <c r="B168" s="430"/>
      <c r="D168" s="492"/>
      <c r="F168" s="540"/>
      <c r="G168" s="408"/>
      <c r="H168" s="497"/>
      <c r="I168" s="1024"/>
      <c r="J168" s="1024"/>
      <c r="K168" s="408"/>
      <c r="L168" s="408"/>
      <c r="M168" s="408"/>
      <c r="Q168" s="408"/>
      <c r="R168" s="408"/>
      <c r="S168" s="430"/>
      <c r="T168" s="498"/>
      <c r="U168" s="498"/>
      <c r="V168" s="498"/>
      <c r="W168" s="498"/>
      <c r="Y168" s="498"/>
      <c r="Z168" s="498"/>
      <c r="AA168" s="498"/>
      <c r="AB168" s="498"/>
      <c r="AC168" s="498"/>
      <c r="AD168" s="498"/>
      <c r="AE168" s="498"/>
      <c r="AF168" s="498"/>
      <c r="AG168" s="493"/>
      <c r="AH168" s="493"/>
      <c r="AI168" s="493"/>
      <c r="AJ168" s="493"/>
      <c r="AK168" s="493"/>
      <c r="AL168" s="493"/>
      <c r="AM168" s="430"/>
      <c r="AN168" s="430"/>
      <c r="AO168" s="498"/>
      <c r="AP168" s="993"/>
      <c r="AQ168" s="498"/>
      <c r="AR168" s="498"/>
      <c r="AS168" s="430"/>
      <c r="AT168" s="500"/>
      <c r="AU168" s="500"/>
      <c r="AV168" s="498"/>
      <c r="AW168" s="430"/>
      <c r="AX168" s="430"/>
      <c r="AY168" s="430"/>
      <c r="AZ168" s="430"/>
      <c r="BA168" s="430"/>
      <c r="BB168" s="498"/>
      <c r="BC168" s="498"/>
      <c r="BD168" s="498"/>
      <c r="BE168" s="498"/>
      <c r="BF168" s="498"/>
      <c r="BG168" s="498"/>
      <c r="BH168" s="498"/>
      <c r="BI168" s="498"/>
      <c r="BJ168" s="498"/>
      <c r="BK168" s="498"/>
      <c r="BL168" s="498"/>
      <c r="BM168" s="407"/>
      <c r="BN168" s="407"/>
      <c r="BO168" s="407"/>
      <c r="BP168" s="407"/>
      <c r="BQ168" s="407"/>
      <c r="BR168" s="407"/>
      <c r="BS168" s="441"/>
      <c r="BT168" s="441"/>
      <c r="BU168" s="913"/>
      <c r="BV168" s="441"/>
      <c r="BW168" s="441"/>
      <c r="BX168" s="441"/>
      <c r="BY168" s="441"/>
      <c r="BZ168" s="441"/>
      <c r="CA168" s="441"/>
      <c r="CB168" s="441"/>
      <c r="CC168" s="441"/>
      <c r="CD168" s="407"/>
      <c r="CE168" s="407"/>
      <c r="CG168" s="407"/>
      <c r="CH168" s="407"/>
      <c r="CI168" s="407"/>
      <c r="DD168" s="408"/>
      <c r="DG168" s="408"/>
      <c r="DH168" s="408"/>
    </row>
    <row r="169" spans="1:112" s="406" customFormat="1" ht="20.25" x14ac:dyDescent="0.3">
      <c r="A169" s="408"/>
      <c r="B169" s="430"/>
      <c r="D169" s="492"/>
      <c r="F169" s="540"/>
      <c r="G169" s="408"/>
      <c r="H169" s="497"/>
      <c r="I169" s="408"/>
      <c r="J169" s="408"/>
      <c r="K169" s="408"/>
      <c r="L169" s="408"/>
      <c r="M169" s="408"/>
      <c r="Q169" s="408"/>
      <c r="R169" s="408"/>
      <c r="S169" s="430"/>
      <c r="T169" s="498"/>
      <c r="U169" s="498"/>
      <c r="V169" s="498"/>
      <c r="W169" s="498"/>
      <c r="Y169" s="498"/>
      <c r="Z169" s="498"/>
      <c r="AA169" s="498"/>
      <c r="AB169" s="498"/>
      <c r="AC169" s="498"/>
      <c r="AD169" s="498"/>
      <c r="AE169" s="498"/>
      <c r="AF169" s="498"/>
      <c r="AG169" s="493"/>
      <c r="AH169" s="493"/>
      <c r="AI169" s="493"/>
      <c r="AJ169" s="493"/>
      <c r="AK169" s="493"/>
      <c r="AL169" s="493"/>
      <c r="AM169" s="430"/>
      <c r="AN169" s="430"/>
      <c r="AO169" s="498"/>
      <c r="AP169" s="993"/>
      <c r="AQ169" s="498"/>
      <c r="AR169" s="498"/>
      <c r="AS169" s="430"/>
      <c r="AT169" s="500"/>
      <c r="AU169" s="500"/>
      <c r="AV169" s="498"/>
      <c r="AW169" s="430"/>
      <c r="AX169" s="430"/>
      <c r="AY169" s="430"/>
      <c r="AZ169" s="430"/>
      <c r="BA169" s="430"/>
      <c r="BB169" s="498"/>
      <c r="BC169" s="498"/>
      <c r="BD169" s="498"/>
      <c r="BE169" s="498"/>
      <c r="BF169" s="498"/>
      <c r="BG169" s="498"/>
      <c r="BH169" s="498"/>
      <c r="BI169" s="498"/>
      <c r="BJ169" s="498"/>
      <c r="BK169" s="498"/>
      <c r="BL169" s="498"/>
      <c r="BM169" s="407"/>
      <c r="BN169" s="407"/>
      <c r="BO169" s="407"/>
      <c r="BP169" s="407"/>
      <c r="BQ169" s="407"/>
      <c r="BR169" s="407"/>
      <c r="BS169" s="441"/>
      <c r="BT169" s="441"/>
      <c r="BU169" s="913"/>
      <c r="BV169" s="441"/>
      <c r="BW169" s="441"/>
      <c r="BX169" s="441"/>
      <c r="BY169" s="441"/>
      <c r="BZ169" s="441"/>
      <c r="CA169" s="441"/>
      <c r="CB169" s="441"/>
      <c r="CC169" s="441"/>
      <c r="CD169" s="407"/>
      <c r="CE169" s="407"/>
      <c r="CG169" s="407"/>
      <c r="CH169" s="407"/>
      <c r="CI169" s="407"/>
      <c r="DD169" s="408"/>
      <c r="DG169" s="408"/>
      <c r="DH169" s="408"/>
    </row>
    <row r="170" spans="1:112" s="406" customFormat="1" ht="20.25" x14ac:dyDescent="0.3">
      <c r="A170" s="408"/>
      <c r="B170" s="430"/>
      <c r="D170" s="492"/>
      <c r="F170" s="540"/>
      <c r="G170" s="408"/>
      <c r="H170" s="497"/>
      <c r="I170" s="408"/>
      <c r="J170" s="408"/>
      <c r="K170" s="408"/>
      <c r="L170" s="408"/>
      <c r="M170" s="408"/>
      <c r="Q170" s="408"/>
      <c r="R170" s="408"/>
      <c r="S170" s="430"/>
      <c r="T170" s="498"/>
      <c r="U170" s="498"/>
      <c r="V170" s="498"/>
      <c r="W170" s="498"/>
      <c r="Y170" s="498"/>
      <c r="Z170" s="498"/>
      <c r="AA170" s="498"/>
      <c r="AB170" s="498"/>
      <c r="AC170" s="498"/>
      <c r="AD170" s="498"/>
      <c r="AE170" s="498"/>
      <c r="AF170" s="498"/>
      <c r="AG170" s="493"/>
      <c r="AH170" s="493"/>
      <c r="AI170" s="493"/>
      <c r="AJ170" s="493"/>
      <c r="AK170" s="493"/>
      <c r="AL170" s="493"/>
      <c r="AM170" s="430"/>
      <c r="AN170" s="430"/>
      <c r="AO170" s="498"/>
      <c r="AP170" s="993"/>
      <c r="AQ170" s="498"/>
      <c r="AR170" s="498"/>
      <c r="AS170" s="430"/>
      <c r="AT170" s="500"/>
      <c r="AU170" s="500"/>
      <c r="AV170" s="498"/>
      <c r="AW170" s="430"/>
      <c r="AX170" s="430"/>
      <c r="AY170" s="430"/>
      <c r="AZ170" s="430"/>
      <c r="BA170" s="430"/>
      <c r="BB170" s="498"/>
      <c r="BC170" s="498"/>
      <c r="BD170" s="498"/>
      <c r="BE170" s="498"/>
      <c r="BF170" s="498"/>
      <c r="BG170" s="498"/>
      <c r="BH170" s="498"/>
      <c r="BI170" s="498"/>
      <c r="BJ170" s="498"/>
      <c r="BK170" s="498"/>
      <c r="BL170" s="498"/>
      <c r="BM170" s="407"/>
      <c r="BN170" s="407"/>
      <c r="BO170" s="407"/>
      <c r="BP170" s="407"/>
      <c r="BQ170" s="407"/>
      <c r="BR170" s="407"/>
      <c r="BS170" s="441"/>
      <c r="BT170" s="441"/>
      <c r="BU170" s="913"/>
      <c r="BV170" s="441"/>
      <c r="BW170" s="441"/>
      <c r="BX170" s="441"/>
      <c r="BY170" s="441"/>
      <c r="BZ170" s="441"/>
      <c r="CA170" s="441"/>
      <c r="CB170" s="441"/>
      <c r="CC170" s="441"/>
      <c r="CD170" s="407"/>
      <c r="CE170" s="407"/>
      <c r="CG170" s="407"/>
      <c r="CH170" s="407"/>
      <c r="CI170" s="407"/>
      <c r="DD170" s="408"/>
      <c r="DG170" s="408"/>
      <c r="DH170" s="408"/>
    </row>
    <row r="171" spans="1:112" s="406" customFormat="1" ht="20.25" x14ac:dyDescent="0.3">
      <c r="A171" s="408"/>
      <c r="B171" s="430"/>
      <c r="D171" s="492"/>
      <c r="F171" s="540"/>
      <c r="G171" s="408"/>
      <c r="H171" s="497"/>
      <c r="I171" s="408"/>
      <c r="J171" s="408"/>
      <c r="K171" s="408"/>
      <c r="L171" s="408"/>
      <c r="M171" s="408"/>
      <c r="Q171" s="408"/>
      <c r="R171" s="408"/>
      <c r="S171" s="430"/>
      <c r="T171" s="498"/>
      <c r="U171" s="498"/>
      <c r="V171" s="498"/>
      <c r="W171" s="498"/>
      <c r="Y171" s="498"/>
      <c r="Z171" s="498"/>
      <c r="AA171" s="498"/>
      <c r="AB171" s="498"/>
      <c r="AC171" s="498"/>
      <c r="AD171" s="498"/>
      <c r="AE171" s="498"/>
      <c r="AF171" s="498"/>
      <c r="AG171" s="493"/>
      <c r="AH171" s="493"/>
      <c r="AI171" s="493"/>
      <c r="AJ171" s="493"/>
      <c r="AK171" s="493"/>
      <c r="AL171" s="493"/>
      <c r="AM171" s="430"/>
      <c r="AN171" s="430"/>
      <c r="AO171" s="498"/>
      <c r="AP171" s="993"/>
      <c r="AQ171" s="498"/>
      <c r="AR171" s="498"/>
      <c r="AS171" s="430"/>
      <c r="AT171" s="500"/>
      <c r="AU171" s="500"/>
      <c r="AV171" s="498"/>
      <c r="AW171" s="430"/>
      <c r="AX171" s="430"/>
      <c r="AY171" s="430"/>
      <c r="AZ171" s="430"/>
      <c r="BA171" s="430"/>
      <c r="BB171" s="498"/>
      <c r="BC171" s="498"/>
      <c r="BD171" s="498"/>
      <c r="BE171" s="498"/>
      <c r="BF171" s="498"/>
      <c r="BG171" s="498"/>
      <c r="BH171" s="498"/>
      <c r="BI171" s="498"/>
      <c r="BJ171" s="498"/>
      <c r="BK171" s="498"/>
      <c r="BL171" s="498"/>
      <c r="BM171" s="407"/>
      <c r="BN171" s="407"/>
      <c r="BO171" s="407"/>
      <c r="BP171" s="407"/>
      <c r="BQ171" s="407"/>
      <c r="BR171" s="407"/>
      <c r="BS171" s="441"/>
      <c r="BT171" s="441"/>
      <c r="BU171" s="913"/>
      <c r="BV171" s="441"/>
      <c r="BW171" s="441"/>
      <c r="BX171" s="441"/>
      <c r="BY171" s="441"/>
      <c r="BZ171" s="441"/>
      <c r="CA171" s="441"/>
      <c r="CB171" s="441"/>
      <c r="CC171" s="441"/>
      <c r="CD171" s="407"/>
      <c r="CE171" s="407"/>
      <c r="CG171" s="407"/>
      <c r="CH171" s="407"/>
      <c r="CI171" s="407"/>
      <c r="DD171" s="408"/>
      <c r="DG171" s="408"/>
      <c r="DH171" s="408"/>
    </row>
    <row r="172" spans="1:112" s="406" customFormat="1" ht="20.25" x14ac:dyDescent="0.3">
      <c r="A172" s="408"/>
      <c r="B172" s="430"/>
      <c r="D172" s="492"/>
      <c r="F172" s="540"/>
      <c r="G172" s="408"/>
      <c r="H172" s="497"/>
      <c r="I172" s="408"/>
      <c r="J172" s="408"/>
      <c r="K172" s="408"/>
      <c r="L172" s="408"/>
      <c r="M172" s="408"/>
      <c r="Q172" s="408"/>
      <c r="R172" s="408"/>
      <c r="S172" s="430"/>
      <c r="T172" s="498"/>
      <c r="U172" s="498"/>
      <c r="V172" s="498"/>
      <c r="W172" s="498"/>
      <c r="Y172" s="498"/>
      <c r="Z172" s="498"/>
      <c r="AA172" s="498"/>
      <c r="AB172" s="498"/>
      <c r="AC172" s="498"/>
      <c r="AD172" s="498"/>
      <c r="AE172" s="498"/>
      <c r="AF172" s="498"/>
      <c r="AG172" s="493"/>
      <c r="AH172" s="493"/>
      <c r="AI172" s="493"/>
      <c r="AJ172" s="493"/>
      <c r="AK172" s="493"/>
      <c r="AL172" s="493"/>
      <c r="AM172" s="430"/>
      <c r="AN172" s="430"/>
      <c r="AO172" s="498"/>
      <c r="AP172" s="993"/>
      <c r="AQ172" s="498"/>
      <c r="AR172" s="498"/>
      <c r="AS172" s="430"/>
      <c r="AT172" s="500"/>
      <c r="AU172" s="500"/>
      <c r="AV172" s="498"/>
      <c r="AW172" s="430"/>
      <c r="AX172" s="430"/>
      <c r="AY172" s="430"/>
      <c r="AZ172" s="430"/>
      <c r="BA172" s="430"/>
      <c r="BB172" s="498"/>
      <c r="BC172" s="498"/>
      <c r="BD172" s="498"/>
      <c r="BE172" s="498"/>
      <c r="BF172" s="498"/>
      <c r="BG172" s="498"/>
      <c r="BH172" s="498"/>
      <c r="BI172" s="498"/>
      <c r="BJ172" s="498"/>
      <c r="BK172" s="498"/>
      <c r="BL172" s="498"/>
      <c r="BM172" s="407"/>
      <c r="BN172" s="407"/>
      <c r="BO172" s="407"/>
      <c r="BP172" s="407"/>
      <c r="BQ172" s="407"/>
      <c r="BR172" s="407"/>
      <c r="BS172" s="441"/>
      <c r="BT172" s="441"/>
      <c r="BU172" s="913"/>
      <c r="BV172" s="441"/>
      <c r="BW172" s="441"/>
      <c r="BX172" s="441"/>
      <c r="BY172" s="441"/>
      <c r="BZ172" s="441"/>
      <c r="CA172" s="441"/>
      <c r="CB172" s="441"/>
      <c r="CC172" s="441"/>
      <c r="CD172" s="407"/>
      <c r="CE172" s="407"/>
      <c r="CG172" s="407"/>
      <c r="CH172" s="407"/>
      <c r="CI172" s="407"/>
      <c r="DD172" s="408"/>
      <c r="DG172" s="408"/>
      <c r="DH172" s="408"/>
    </row>
    <row r="173" spans="1:112" s="406" customFormat="1" ht="20.25" x14ac:dyDescent="0.3">
      <c r="A173" s="408"/>
      <c r="B173" s="430"/>
      <c r="D173" s="492"/>
      <c r="F173" s="540"/>
      <c r="G173" s="408"/>
      <c r="H173" s="497"/>
      <c r="I173" s="408"/>
      <c r="J173" s="408"/>
      <c r="K173" s="408"/>
      <c r="L173" s="408"/>
      <c r="M173" s="408"/>
      <c r="Q173" s="408"/>
      <c r="R173" s="408"/>
      <c r="S173" s="430"/>
      <c r="T173" s="498"/>
      <c r="U173" s="498"/>
      <c r="V173" s="498"/>
      <c r="W173" s="498"/>
      <c r="Y173" s="498"/>
      <c r="Z173" s="498"/>
      <c r="AA173" s="498"/>
      <c r="AB173" s="498"/>
      <c r="AC173" s="498"/>
      <c r="AD173" s="498"/>
      <c r="AE173" s="498"/>
      <c r="AF173" s="498"/>
      <c r="AG173" s="493"/>
      <c r="AH173" s="493"/>
      <c r="AI173" s="493"/>
      <c r="AJ173" s="493"/>
      <c r="AK173" s="493"/>
      <c r="AL173" s="493"/>
      <c r="AM173" s="430"/>
      <c r="AN173" s="430"/>
      <c r="AO173" s="498"/>
      <c r="AP173" s="993"/>
      <c r="AQ173" s="498"/>
      <c r="AR173" s="498"/>
      <c r="AS173" s="430"/>
      <c r="AT173" s="500"/>
      <c r="AU173" s="500"/>
      <c r="AV173" s="498"/>
      <c r="AW173" s="430"/>
      <c r="AX173" s="430"/>
      <c r="AY173" s="430"/>
      <c r="AZ173" s="430"/>
      <c r="BA173" s="430"/>
      <c r="BB173" s="498"/>
      <c r="BC173" s="498"/>
      <c r="BD173" s="498"/>
      <c r="BE173" s="498"/>
      <c r="BF173" s="498"/>
      <c r="BG173" s="498"/>
      <c r="BH173" s="498"/>
      <c r="BI173" s="498"/>
      <c r="BJ173" s="498"/>
      <c r="BK173" s="498"/>
      <c r="BL173" s="498"/>
      <c r="BM173" s="407"/>
      <c r="BN173" s="407"/>
      <c r="BO173" s="407"/>
      <c r="BP173" s="407"/>
      <c r="BQ173" s="407"/>
      <c r="BR173" s="407"/>
      <c r="BS173" s="441"/>
      <c r="BT173" s="441"/>
      <c r="BU173" s="913"/>
      <c r="BV173" s="441"/>
      <c r="BW173" s="441"/>
      <c r="BX173" s="441"/>
      <c r="BY173" s="441"/>
      <c r="BZ173" s="441"/>
      <c r="CA173" s="441"/>
      <c r="CB173" s="441"/>
      <c r="CC173" s="441"/>
      <c r="CD173" s="407"/>
      <c r="CE173" s="407"/>
      <c r="CG173" s="407"/>
      <c r="CH173" s="407"/>
      <c r="CI173" s="407"/>
      <c r="DD173" s="408"/>
      <c r="DG173" s="408"/>
      <c r="DH173" s="408"/>
    </row>
    <row r="174" spans="1:112" s="406" customFormat="1" ht="20.25" x14ac:dyDescent="0.3">
      <c r="A174" s="408"/>
      <c r="B174" s="430"/>
      <c r="D174" s="492"/>
      <c r="F174" s="540"/>
      <c r="G174" s="408"/>
      <c r="H174" s="497"/>
      <c r="I174" s="408"/>
      <c r="J174" s="408"/>
      <c r="K174" s="408"/>
      <c r="L174" s="408"/>
      <c r="M174" s="408"/>
      <c r="Q174" s="408"/>
      <c r="R174" s="408"/>
      <c r="S174" s="430"/>
      <c r="T174" s="498"/>
      <c r="U174" s="498"/>
      <c r="V174" s="498"/>
      <c r="W174" s="498"/>
      <c r="Y174" s="498"/>
      <c r="Z174" s="498"/>
      <c r="AA174" s="498"/>
      <c r="AB174" s="498"/>
      <c r="AC174" s="498"/>
      <c r="AD174" s="498"/>
      <c r="AE174" s="498"/>
      <c r="AF174" s="498"/>
      <c r="AG174" s="493"/>
      <c r="AH174" s="493"/>
      <c r="AI174" s="493"/>
      <c r="AJ174" s="493"/>
      <c r="AK174" s="493"/>
      <c r="AL174" s="493"/>
      <c r="AM174" s="430"/>
      <c r="AN174" s="430"/>
      <c r="AO174" s="498"/>
      <c r="AP174" s="993"/>
      <c r="AQ174" s="498"/>
      <c r="AR174" s="498"/>
      <c r="AS174" s="430"/>
      <c r="AT174" s="500"/>
      <c r="AU174" s="500"/>
      <c r="AV174" s="498"/>
      <c r="AW174" s="430"/>
      <c r="AX174" s="430"/>
      <c r="AY174" s="430"/>
      <c r="AZ174" s="430"/>
      <c r="BA174" s="430"/>
      <c r="BB174" s="498"/>
      <c r="BC174" s="498"/>
      <c r="BD174" s="498"/>
      <c r="BE174" s="498"/>
      <c r="BF174" s="498"/>
      <c r="BG174" s="498"/>
      <c r="BH174" s="498"/>
      <c r="BI174" s="498"/>
      <c r="BJ174" s="498"/>
      <c r="BK174" s="498"/>
      <c r="BL174" s="498"/>
      <c r="BM174" s="407"/>
      <c r="BN174" s="407"/>
      <c r="BO174" s="407"/>
      <c r="BP174" s="407"/>
      <c r="BQ174" s="407"/>
      <c r="BR174" s="407"/>
      <c r="BS174" s="441"/>
      <c r="BT174" s="441"/>
      <c r="BU174" s="913"/>
      <c r="BV174" s="441"/>
      <c r="BW174" s="441"/>
      <c r="BX174" s="441"/>
      <c r="BY174" s="441"/>
      <c r="BZ174" s="441"/>
      <c r="CA174" s="441"/>
      <c r="CB174" s="441"/>
      <c r="CC174" s="441"/>
      <c r="CD174" s="407"/>
      <c r="CE174" s="407"/>
      <c r="CG174" s="407"/>
      <c r="CH174" s="407"/>
      <c r="CI174" s="407"/>
      <c r="DD174" s="408"/>
      <c r="DG174" s="408"/>
      <c r="DH174" s="408"/>
    </row>
    <row r="175" spans="1:112" s="406" customFormat="1" ht="20.25" x14ac:dyDescent="0.3">
      <c r="A175" s="408"/>
      <c r="B175" s="430"/>
      <c r="D175" s="492"/>
      <c r="F175" s="540"/>
      <c r="G175" s="408"/>
      <c r="H175" s="497"/>
      <c r="I175" s="408"/>
      <c r="J175" s="408"/>
      <c r="K175" s="408"/>
      <c r="L175" s="408"/>
      <c r="M175" s="408"/>
      <c r="Q175" s="408"/>
      <c r="R175" s="408"/>
      <c r="S175" s="430"/>
      <c r="T175" s="498"/>
      <c r="U175" s="498"/>
      <c r="V175" s="498"/>
      <c r="W175" s="498"/>
      <c r="Y175" s="498"/>
      <c r="Z175" s="498"/>
      <c r="AA175" s="498"/>
      <c r="AB175" s="498"/>
      <c r="AC175" s="498"/>
      <c r="AD175" s="498"/>
      <c r="AE175" s="498"/>
      <c r="AF175" s="498"/>
      <c r="AG175" s="493"/>
      <c r="AH175" s="493"/>
      <c r="AI175" s="493"/>
      <c r="AJ175" s="493"/>
      <c r="AK175" s="493"/>
      <c r="AL175" s="493"/>
      <c r="AM175" s="430"/>
      <c r="AN175" s="430"/>
      <c r="AO175" s="498"/>
      <c r="AP175" s="993"/>
      <c r="AQ175" s="498"/>
      <c r="AR175" s="498"/>
      <c r="AS175" s="430"/>
      <c r="AT175" s="500"/>
      <c r="AU175" s="500"/>
      <c r="AV175" s="498"/>
      <c r="AW175" s="430"/>
      <c r="AX175" s="430"/>
      <c r="AY175" s="430"/>
      <c r="AZ175" s="430"/>
      <c r="BA175" s="430"/>
      <c r="BB175" s="498"/>
      <c r="BC175" s="498"/>
      <c r="BD175" s="498"/>
      <c r="BE175" s="498"/>
      <c r="BF175" s="498"/>
      <c r="BG175" s="498"/>
      <c r="BH175" s="498"/>
      <c r="BI175" s="498"/>
      <c r="BJ175" s="498"/>
      <c r="BK175" s="498"/>
      <c r="BL175" s="498"/>
      <c r="BM175" s="407"/>
      <c r="BN175" s="407"/>
      <c r="BO175" s="407"/>
      <c r="BP175" s="407"/>
      <c r="BQ175" s="407"/>
      <c r="BR175" s="407"/>
      <c r="BS175" s="441"/>
      <c r="BT175" s="441"/>
      <c r="BU175" s="913"/>
      <c r="BV175" s="441"/>
      <c r="BW175" s="441"/>
      <c r="BX175" s="441"/>
      <c r="BY175" s="441"/>
      <c r="BZ175" s="441"/>
      <c r="CA175" s="441"/>
      <c r="CB175" s="441"/>
      <c r="CC175" s="441"/>
      <c r="CD175" s="407"/>
      <c r="CE175" s="407"/>
      <c r="CG175" s="407"/>
      <c r="CH175" s="407"/>
      <c r="CI175" s="407"/>
      <c r="DD175" s="408"/>
      <c r="DG175" s="408"/>
      <c r="DH175" s="408"/>
    </row>
    <row r="176" spans="1:112" s="406" customFormat="1" ht="20.25" x14ac:dyDescent="0.3">
      <c r="A176" s="408"/>
      <c r="B176" s="430"/>
      <c r="D176" s="492"/>
      <c r="F176" s="540"/>
      <c r="G176" s="408"/>
      <c r="H176" s="497"/>
      <c r="I176" s="408"/>
      <c r="J176" s="408"/>
      <c r="K176" s="408"/>
      <c r="L176" s="408"/>
      <c r="M176" s="408"/>
      <c r="Q176" s="408"/>
      <c r="R176" s="408"/>
      <c r="S176" s="430"/>
      <c r="T176" s="498"/>
      <c r="U176" s="498"/>
      <c r="V176" s="498"/>
      <c r="W176" s="498"/>
      <c r="Y176" s="498"/>
      <c r="Z176" s="498"/>
      <c r="AA176" s="498"/>
      <c r="AB176" s="498"/>
      <c r="AC176" s="498"/>
      <c r="AD176" s="498"/>
      <c r="AE176" s="498"/>
      <c r="AF176" s="498"/>
      <c r="AG176" s="493"/>
      <c r="AH176" s="493"/>
      <c r="AI176" s="493"/>
      <c r="AJ176" s="493"/>
      <c r="AK176" s="493"/>
      <c r="AL176" s="493"/>
      <c r="AM176" s="430"/>
      <c r="AN176" s="430"/>
      <c r="AO176" s="498"/>
      <c r="AP176" s="993"/>
      <c r="AQ176" s="498"/>
      <c r="AR176" s="498"/>
      <c r="AS176" s="430"/>
      <c r="AT176" s="500"/>
      <c r="AU176" s="500"/>
      <c r="AV176" s="498"/>
      <c r="AW176" s="430"/>
      <c r="AX176" s="430"/>
      <c r="AY176" s="430"/>
      <c r="AZ176" s="430"/>
      <c r="BA176" s="430"/>
      <c r="BB176" s="498"/>
      <c r="BC176" s="498"/>
      <c r="BD176" s="498"/>
      <c r="BE176" s="498"/>
      <c r="BF176" s="498"/>
      <c r="BG176" s="498"/>
      <c r="BH176" s="498"/>
      <c r="BI176" s="498"/>
      <c r="BJ176" s="498"/>
      <c r="BK176" s="498"/>
      <c r="BL176" s="498"/>
      <c r="BM176" s="407"/>
      <c r="BN176" s="407"/>
      <c r="BO176" s="407"/>
      <c r="BP176" s="407"/>
      <c r="BQ176" s="407"/>
      <c r="BR176" s="407"/>
      <c r="BS176" s="441"/>
      <c r="BT176" s="441"/>
      <c r="BU176" s="913"/>
      <c r="BV176" s="441"/>
      <c r="BW176" s="441"/>
      <c r="BX176" s="441"/>
      <c r="BY176" s="441"/>
      <c r="BZ176" s="441"/>
      <c r="CA176" s="441"/>
      <c r="CB176" s="441"/>
      <c r="CC176" s="441"/>
      <c r="CD176" s="407"/>
      <c r="CE176" s="407"/>
      <c r="CG176" s="407"/>
      <c r="CH176" s="407"/>
      <c r="CI176" s="407"/>
      <c r="DD176" s="408"/>
      <c r="DG176" s="408"/>
      <c r="DH176" s="408"/>
    </row>
    <row r="177" spans="1:112" s="406" customFormat="1" ht="20.25" x14ac:dyDescent="0.3">
      <c r="A177" s="408"/>
      <c r="B177" s="430"/>
      <c r="D177" s="492"/>
      <c r="F177" s="540"/>
      <c r="G177" s="408"/>
      <c r="H177" s="497"/>
      <c r="I177" s="408"/>
      <c r="J177" s="408"/>
      <c r="K177" s="408"/>
      <c r="L177" s="408"/>
      <c r="M177" s="408"/>
      <c r="Q177" s="408"/>
      <c r="R177" s="408"/>
      <c r="S177" s="430"/>
      <c r="T177" s="498"/>
      <c r="U177" s="498"/>
      <c r="V177" s="498"/>
      <c r="W177" s="498"/>
      <c r="Y177" s="498"/>
      <c r="Z177" s="498"/>
      <c r="AA177" s="498"/>
      <c r="AB177" s="498"/>
      <c r="AC177" s="498"/>
      <c r="AD177" s="498"/>
      <c r="AE177" s="498"/>
      <c r="AF177" s="498"/>
      <c r="AG177" s="493"/>
      <c r="AH177" s="493"/>
      <c r="AI177" s="493"/>
      <c r="AJ177" s="493"/>
      <c r="AK177" s="493"/>
      <c r="AL177" s="493"/>
      <c r="AM177" s="430"/>
      <c r="AN177" s="430"/>
      <c r="AO177" s="498"/>
      <c r="AP177" s="993"/>
      <c r="AQ177" s="498"/>
      <c r="AR177" s="498"/>
      <c r="AS177" s="430"/>
      <c r="AT177" s="500"/>
      <c r="AU177" s="500"/>
      <c r="AV177" s="498"/>
      <c r="AW177" s="430"/>
      <c r="AX177" s="430"/>
      <c r="AY177" s="430"/>
      <c r="AZ177" s="430"/>
      <c r="BA177" s="430"/>
      <c r="BB177" s="498"/>
      <c r="BC177" s="498"/>
      <c r="BD177" s="498"/>
      <c r="BE177" s="498"/>
      <c r="BF177" s="498"/>
      <c r="BG177" s="498"/>
      <c r="BH177" s="498"/>
      <c r="BI177" s="498"/>
      <c r="BJ177" s="498"/>
      <c r="BK177" s="498"/>
      <c r="BL177" s="498"/>
      <c r="BM177" s="407"/>
      <c r="BN177" s="407"/>
      <c r="BO177" s="407"/>
      <c r="BP177" s="407"/>
      <c r="BQ177" s="407"/>
      <c r="BR177" s="407"/>
      <c r="BS177" s="441"/>
      <c r="BT177" s="441"/>
      <c r="BU177" s="913"/>
      <c r="BV177" s="441"/>
      <c r="BW177" s="441"/>
      <c r="BX177" s="441"/>
      <c r="BY177" s="441"/>
      <c r="BZ177" s="441"/>
      <c r="CA177" s="441"/>
      <c r="CB177" s="441"/>
      <c r="CC177" s="441"/>
      <c r="CD177" s="407"/>
      <c r="CE177" s="407"/>
      <c r="CG177" s="407"/>
      <c r="CH177" s="407"/>
      <c r="CI177" s="407"/>
      <c r="DD177" s="408"/>
      <c r="DG177" s="408"/>
      <c r="DH177" s="408"/>
    </row>
    <row r="178" spans="1:112" s="406" customFormat="1" ht="21" thickBot="1" x14ac:dyDescent="0.35">
      <c r="A178" s="408"/>
      <c r="B178" s="430"/>
      <c r="D178" s="492"/>
      <c r="F178" s="540"/>
      <c r="G178" s="408"/>
      <c r="H178" s="497"/>
      <c r="I178" s="408"/>
      <c r="J178" s="408"/>
      <c r="K178" s="408"/>
      <c r="L178" s="408"/>
      <c r="M178" s="408"/>
      <c r="Q178" s="408"/>
      <c r="R178" s="408"/>
      <c r="S178" s="430"/>
      <c r="T178" s="498"/>
      <c r="U178" s="498"/>
      <c r="V178" s="498"/>
      <c r="W178" s="498"/>
      <c r="Y178" s="498"/>
      <c r="Z178" s="498"/>
      <c r="AA178" s="498"/>
      <c r="AB178" s="498"/>
      <c r="AC178" s="498"/>
      <c r="AD178" s="498"/>
      <c r="AE178" s="498"/>
      <c r="AF178" s="498"/>
      <c r="AG178" s="493"/>
      <c r="AH178" s="493"/>
      <c r="AI178" s="493"/>
      <c r="AJ178" s="493"/>
      <c r="AK178" s="493"/>
      <c r="AL178" s="493"/>
      <c r="AM178" s="430"/>
      <c r="AN178" s="430"/>
      <c r="AO178" s="498"/>
      <c r="AP178" s="993"/>
      <c r="AQ178" s="498"/>
      <c r="AR178" s="498"/>
      <c r="AS178" s="430"/>
      <c r="AT178" s="500"/>
      <c r="AU178" s="500"/>
      <c r="AV178" s="498"/>
      <c r="AW178" s="430"/>
      <c r="AX178" s="430"/>
      <c r="AY178" s="430"/>
      <c r="AZ178" s="430"/>
      <c r="BA178" s="430"/>
      <c r="BB178" s="498"/>
      <c r="BC178" s="498"/>
      <c r="BD178" s="498"/>
      <c r="BE178" s="498"/>
      <c r="BF178" s="498"/>
      <c r="BG178" s="498"/>
      <c r="BH178" s="498"/>
      <c r="BI178" s="498"/>
      <c r="BJ178" s="498"/>
      <c r="BK178" s="498"/>
      <c r="BL178" s="498"/>
      <c r="BM178" s="407"/>
      <c r="BN178" s="407"/>
      <c r="BO178" s="407"/>
      <c r="BP178" s="407"/>
      <c r="BQ178" s="407"/>
      <c r="BR178" s="407"/>
      <c r="BS178" s="441"/>
      <c r="BT178" s="441"/>
      <c r="BU178" s="913"/>
      <c r="BV178" s="441"/>
      <c r="BW178" s="441"/>
      <c r="BX178" s="441"/>
      <c r="BY178" s="441"/>
      <c r="BZ178" s="441"/>
      <c r="CA178" s="441"/>
      <c r="CB178" s="441"/>
      <c r="CC178" s="441"/>
      <c r="CD178" s="407"/>
      <c r="CE178" s="407"/>
      <c r="CG178" s="407"/>
      <c r="CH178" s="407"/>
      <c r="CI178" s="407"/>
      <c r="DD178" s="408"/>
      <c r="DG178" s="408"/>
      <c r="DH178" s="408"/>
    </row>
    <row r="179" spans="1:112" s="796" customFormat="1" ht="102" customHeight="1" thickBot="1" x14ac:dyDescent="0.4">
      <c r="A179" s="764" t="s">
        <v>2835</v>
      </c>
      <c r="B179" s="765">
        <v>3</v>
      </c>
      <c r="C179" s="798">
        <v>16881223</v>
      </c>
      <c r="D179" s="766" t="s">
        <v>4674</v>
      </c>
      <c r="E179" s="767" t="s">
        <v>4635</v>
      </c>
      <c r="F179" s="768">
        <v>30684</v>
      </c>
      <c r="G179" s="767" t="s">
        <v>4633</v>
      </c>
      <c r="H179" s="769">
        <v>44200</v>
      </c>
      <c r="I179" s="770">
        <v>3</v>
      </c>
      <c r="J179" s="771"/>
      <c r="K179" s="770">
        <v>3</v>
      </c>
      <c r="L179" s="772"/>
      <c r="M179" s="772"/>
      <c r="N179" s="773" t="s">
        <v>2616</v>
      </c>
      <c r="O179" s="774"/>
      <c r="P179" s="775" t="s">
        <v>2617</v>
      </c>
      <c r="Q179" s="767"/>
      <c r="R179" s="767"/>
      <c r="S179" s="776">
        <v>5</v>
      </c>
      <c r="T179" s="777">
        <v>171</v>
      </c>
      <c r="U179" s="778">
        <v>0</v>
      </c>
      <c r="V179" s="779">
        <v>171</v>
      </c>
      <c r="W179" s="779">
        <v>85.5</v>
      </c>
      <c r="X179" s="780">
        <v>2</v>
      </c>
      <c r="Y179" s="779">
        <v>5.13</v>
      </c>
      <c r="Z179" s="779">
        <v>130</v>
      </c>
      <c r="AA179" s="779">
        <v>25</v>
      </c>
      <c r="AB179" s="779">
        <v>0</v>
      </c>
      <c r="AC179" s="779">
        <v>160.13</v>
      </c>
      <c r="AD179" s="779">
        <v>92.57</v>
      </c>
      <c r="AE179" s="779">
        <v>67.569999999999993</v>
      </c>
      <c r="AF179" s="781">
        <v>0</v>
      </c>
      <c r="AG179" s="782">
        <v>0</v>
      </c>
      <c r="AH179" s="781">
        <v>0</v>
      </c>
      <c r="AI179" s="782">
        <v>0</v>
      </c>
      <c r="AJ179" s="783">
        <v>0</v>
      </c>
      <c r="AK179" s="783">
        <v>0</v>
      </c>
      <c r="AL179" s="782">
        <v>0</v>
      </c>
      <c r="AM179" s="779">
        <v>331.13</v>
      </c>
      <c r="AN179" s="779">
        <v>0</v>
      </c>
      <c r="AO179" s="779">
        <v>0</v>
      </c>
      <c r="AP179" s="996"/>
      <c r="AQ179" s="779"/>
      <c r="AR179" s="779"/>
      <c r="AS179" s="779">
        <v>11.04</v>
      </c>
      <c r="AT179" s="784">
        <v>300</v>
      </c>
      <c r="AU179" s="784"/>
      <c r="AV179" s="785">
        <v>0</v>
      </c>
      <c r="AW179" s="779">
        <v>12.23</v>
      </c>
      <c r="AX179" s="786">
        <v>1.53</v>
      </c>
      <c r="AY179" s="787">
        <v>3.31</v>
      </c>
      <c r="AZ179" s="779">
        <v>0</v>
      </c>
      <c r="BA179" s="779">
        <v>17.07</v>
      </c>
      <c r="BB179" s="779">
        <v>27.51</v>
      </c>
      <c r="BC179" s="779">
        <v>6.11</v>
      </c>
      <c r="BD179" s="779">
        <v>6.62</v>
      </c>
      <c r="BE179" s="779">
        <v>0</v>
      </c>
      <c r="BF179" s="788">
        <v>40.24</v>
      </c>
      <c r="BG179" s="789" t="s">
        <v>4718</v>
      </c>
      <c r="BH179" s="790">
        <v>57.31</v>
      </c>
      <c r="BI179" s="790"/>
      <c r="BJ179" s="790"/>
      <c r="BK179" s="790"/>
      <c r="BL179" s="790">
        <v>1466</v>
      </c>
      <c r="BM179" s="791">
        <v>161</v>
      </c>
      <c r="BN179" s="791">
        <v>464.11</v>
      </c>
      <c r="BO179" s="792">
        <v>164.11</v>
      </c>
      <c r="BP179" s="793"/>
      <c r="BQ179" s="793"/>
      <c r="BR179" s="793"/>
      <c r="BS179" s="794">
        <v>161</v>
      </c>
      <c r="BT179" s="794">
        <v>300</v>
      </c>
      <c r="BU179" s="912"/>
      <c r="BV179" s="794">
        <v>0</v>
      </c>
      <c r="BW179" s="794">
        <v>453.07</v>
      </c>
      <c r="BX179" s="794">
        <v>0</v>
      </c>
      <c r="BY179" s="794">
        <v>0</v>
      </c>
      <c r="BZ179" s="794">
        <v>11.04</v>
      </c>
      <c r="CA179" s="794">
        <v>464.11</v>
      </c>
      <c r="CB179" s="794">
        <v>57.31</v>
      </c>
      <c r="CC179" s="794">
        <v>1466</v>
      </c>
      <c r="CD179" s="795">
        <v>620.87</v>
      </c>
      <c r="CE179" s="792"/>
      <c r="CG179" s="793"/>
      <c r="CH179" s="793"/>
      <c r="CI179" s="793"/>
      <c r="DD179" s="797"/>
      <c r="DG179" s="797"/>
      <c r="DH179" s="797"/>
    </row>
    <row r="180" spans="1:112" s="406" customFormat="1" ht="20.25" x14ac:dyDescent="0.3">
      <c r="A180" s="408"/>
      <c r="B180" s="430"/>
      <c r="D180" s="492"/>
      <c r="F180" s="540"/>
      <c r="G180" s="408"/>
      <c r="H180" s="497"/>
      <c r="I180" s="408"/>
      <c r="J180" s="408"/>
      <c r="K180" s="408"/>
      <c r="L180" s="408"/>
      <c r="M180" s="408"/>
      <c r="Q180" s="408"/>
      <c r="R180" s="408"/>
      <c r="S180" s="430"/>
      <c r="T180" s="498"/>
      <c r="U180" s="498"/>
      <c r="V180" s="498"/>
      <c r="W180" s="498"/>
      <c r="Y180" s="498"/>
      <c r="Z180" s="498"/>
      <c r="AA180" s="498"/>
      <c r="AB180" s="498"/>
      <c r="AC180" s="498"/>
      <c r="AD180" s="498"/>
      <c r="AE180" s="498"/>
      <c r="AF180" s="498"/>
      <c r="AG180" s="493"/>
      <c r="AH180" s="493"/>
      <c r="AI180" s="493"/>
      <c r="AJ180" s="493"/>
      <c r="AK180" s="493"/>
      <c r="AL180" s="493"/>
      <c r="AM180" s="430"/>
      <c r="AN180" s="430"/>
      <c r="AO180" s="498"/>
      <c r="AP180" s="993"/>
      <c r="AQ180" s="498"/>
      <c r="AR180" s="498"/>
      <c r="AS180" s="430"/>
      <c r="AT180" s="500"/>
      <c r="AU180" s="500"/>
      <c r="AV180" s="498"/>
      <c r="AW180" s="430"/>
      <c r="AX180" s="430"/>
      <c r="AY180" s="430"/>
      <c r="AZ180" s="430"/>
      <c r="BA180" s="430"/>
      <c r="BB180" s="498"/>
      <c r="BC180" s="498"/>
      <c r="BD180" s="498"/>
      <c r="BE180" s="498"/>
      <c r="BF180" s="498"/>
      <c r="BG180" s="498"/>
      <c r="BH180" s="498"/>
      <c r="BI180" s="498"/>
      <c r="BJ180" s="498"/>
      <c r="BK180" s="498"/>
      <c r="BL180" s="498"/>
      <c r="BM180" s="407"/>
      <c r="BN180" s="407"/>
      <c r="BO180" s="407"/>
      <c r="BP180" s="407"/>
      <c r="BQ180" s="407"/>
      <c r="BR180" s="407"/>
      <c r="BS180" s="441"/>
      <c r="BT180" s="441"/>
      <c r="BU180" s="913"/>
      <c r="BV180" s="441"/>
      <c r="BW180" s="441"/>
      <c r="BX180" s="441"/>
      <c r="BY180" s="441"/>
      <c r="BZ180" s="441"/>
      <c r="CA180" s="441"/>
      <c r="CB180" s="441"/>
      <c r="CC180" s="441"/>
      <c r="CD180" s="407"/>
      <c r="CE180" s="407"/>
      <c r="CG180" s="407"/>
      <c r="CH180" s="407"/>
      <c r="CI180" s="407"/>
      <c r="DD180" s="408"/>
      <c r="DG180" s="408"/>
      <c r="DH180" s="408"/>
    </row>
    <row r="181" spans="1:112" s="406" customFormat="1" ht="20.25" x14ac:dyDescent="0.3">
      <c r="A181" s="408"/>
      <c r="B181" s="430"/>
      <c r="D181" s="492"/>
      <c r="F181" s="540"/>
      <c r="G181" s="408"/>
      <c r="H181" s="497"/>
      <c r="I181" s="408"/>
      <c r="J181" s="408"/>
      <c r="K181" s="408"/>
      <c r="L181" s="408"/>
      <c r="M181" s="408"/>
      <c r="Q181" s="408"/>
      <c r="R181" s="408"/>
      <c r="S181" s="430"/>
      <c r="T181" s="498"/>
      <c r="U181" s="498"/>
      <c r="V181" s="498"/>
      <c r="W181" s="498"/>
      <c r="Y181" s="498"/>
      <c r="Z181" s="498"/>
      <c r="AA181" s="498"/>
      <c r="AB181" s="498"/>
      <c r="AC181" s="498"/>
      <c r="AD181" s="498"/>
      <c r="AE181" s="498"/>
      <c r="AF181" s="498"/>
      <c r="AG181" s="493"/>
      <c r="AH181" s="493"/>
      <c r="AI181" s="493"/>
      <c r="AJ181" s="493"/>
      <c r="AK181" s="493"/>
      <c r="AL181" s="493"/>
      <c r="AM181" s="430"/>
      <c r="AN181" s="430"/>
      <c r="AO181" s="498"/>
      <c r="AP181" s="993"/>
      <c r="AQ181" s="498"/>
      <c r="AR181" s="498"/>
      <c r="AS181" s="430"/>
      <c r="AT181" s="500"/>
      <c r="AU181" s="500"/>
      <c r="AV181" s="498"/>
      <c r="AW181" s="430"/>
      <c r="AX181" s="430"/>
      <c r="AY181" s="430"/>
      <c r="AZ181" s="430"/>
      <c r="BA181" s="430"/>
      <c r="BB181" s="498"/>
      <c r="BC181" s="498"/>
      <c r="BD181" s="498"/>
      <c r="BE181" s="498"/>
      <c r="BF181" s="498"/>
      <c r="BG181" s="498"/>
      <c r="BH181" s="498"/>
      <c r="BI181" s="498"/>
      <c r="BJ181" s="498"/>
      <c r="BK181" s="498"/>
      <c r="BL181" s="498"/>
      <c r="BM181" s="407"/>
      <c r="BN181" s="407"/>
      <c r="BO181" s="407"/>
      <c r="BP181" s="407"/>
      <c r="BQ181" s="407"/>
      <c r="BR181" s="407"/>
      <c r="BS181" s="441"/>
      <c r="BT181" s="441"/>
      <c r="BU181" s="913"/>
      <c r="BV181" s="441"/>
      <c r="BW181" s="441"/>
      <c r="BX181" s="441"/>
      <c r="BY181" s="441"/>
      <c r="BZ181" s="441"/>
      <c r="CA181" s="441"/>
      <c r="CB181" s="441"/>
      <c r="CC181" s="441"/>
      <c r="CD181" s="407"/>
      <c r="CE181" s="407"/>
      <c r="CG181" s="407"/>
      <c r="CH181" s="407"/>
      <c r="CI181" s="407"/>
      <c r="DD181" s="408"/>
      <c r="DG181" s="408"/>
      <c r="DH181" s="408"/>
    </row>
    <row r="182" spans="1:112" s="406" customFormat="1" ht="20.25" x14ac:dyDescent="0.3">
      <c r="A182" s="408"/>
      <c r="B182" s="430"/>
      <c r="D182" s="492"/>
      <c r="F182" s="540"/>
      <c r="G182" s="408"/>
      <c r="H182" s="497"/>
      <c r="I182" s="408"/>
      <c r="J182" s="408"/>
      <c r="K182" s="408"/>
      <c r="L182" s="408"/>
      <c r="M182" s="408"/>
      <c r="Q182" s="408"/>
      <c r="R182" s="408"/>
      <c r="S182" s="430"/>
      <c r="T182" s="498"/>
      <c r="U182" s="498"/>
      <c r="V182" s="498"/>
      <c r="W182" s="498"/>
      <c r="Y182" s="498"/>
      <c r="Z182" s="498"/>
      <c r="AA182" s="498"/>
      <c r="AB182" s="498"/>
      <c r="AC182" s="498"/>
      <c r="AD182" s="498"/>
      <c r="AE182" s="498"/>
      <c r="AF182" s="498"/>
      <c r="AG182" s="493"/>
      <c r="AH182" s="493"/>
      <c r="AI182" s="493"/>
      <c r="AJ182" s="493"/>
      <c r="AK182" s="493"/>
      <c r="AL182" s="493"/>
      <c r="AM182" s="430"/>
      <c r="AN182" s="430"/>
      <c r="AO182" s="498"/>
      <c r="AP182" s="993"/>
      <c r="AQ182" s="498"/>
      <c r="AR182" s="498"/>
      <c r="AS182" s="430"/>
      <c r="AT182" s="500"/>
      <c r="AU182" s="500"/>
      <c r="AV182" s="498"/>
      <c r="AW182" s="430"/>
      <c r="AX182" s="430"/>
      <c r="AY182" s="430"/>
      <c r="AZ182" s="430"/>
      <c r="BA182" s="430"/>
      <c r="BB182" s="498"/>
      <c r="BC182" s="498"/>
      <c r="BD182" s="498"/>
      <c r="BE182" s="498"/>
      <c r="BF182" s="498"/>
      <c r="BG182" s="498"/>
      <c r="BH182" s="498"/>
      <c r="BI182" s="498"/>
      <c r="BJ182" s="498"/>
      <c r="BK182" s="498"/>
      <c r="BL182" s="498"/>
      <c r="BM182" s="407"/>
      <c r="BN182" s="407"/>
      <c r="BO182" s="407"/>
      <c r="BP182" s="407"/>
      <c r="BQ182" s="407"/>
      <c r="BR182" s="407"/>
      <c r="BS182" s="441"/>
      <c r="BT182" s="441"/>
      <c r="BU182" s="913"/>
      <c r="BV182" s="441"/>
      <c r="BW182" s="441"/>
      <c r="BX182" s="441"/>
      <c r="BY182" s="441"/>
      <c r="BZ182" s="441"/>
      <c r="CA182" s="441"/>
      <c r="CB182" s="441"/>
      <c r="CC182" s="441"/>
      <c r="CD182" s="407"/>
      <c r="CE182" s="407"/>
      <c r="CG182" s="407"/>
      <c r="CH182" s="407"/>
      <c r="CI182" s="407"/>
      <c r="DD182" s="408"/>
      <c r="DG182" s="408"/>
      <c r="DH182" s="408"/>
    </row>
    <row r="183" spans="1:112" s="406" customFormat="1" ht="20.25" x14ac:dyDescent="0.3">
      <c r="A183" s="408"/>
      <c r="B183" s="430"/>
      <c r="D183" s="492"/>
      <c r="F183" s="540"/>
      <c r="G183" s="408"/>
      <c r="H183" s="497"/>
      <c r="I183" s="408"/>
      <c r="J183" s="408"/>
      <c r="K183" s="408"/>
      <c r="L183" s="408"/>
      <c r="M183" s="408"/>
      <c r="Q183" s="408"/>
      <c r="R183" s="408"/>
      <c r="S183" s="430"/>
      <c r="T183" s="498"/>
      <c r="U183" s="498"/>
      <c r="V183" s="498"/>
      <c r="W183" s="498"/>
      <c r="Y183" s="498"/>
      <c r="Z183" s="498"/>
      <c r="AA183" s="498"/>
      <c r="AB183" s="498"/>
      <c r="AC183" s="498"/>
      <c r="AD183" s="498"/>
      <c r="AE183" s="498"/>
      <c r="AF183" s="498"/>
      <c r="AG183" s="493"/>
      <c r="AH183" s="493"/>
      <c r="AI183" s="493"/>
      <c r="AJ183" s="493"/>
      <c r="AK183" s="493"/>
      <c r="AL183" s="493"/>
      <c r="AM183" s="430"/>
      <c r="AN183" s="430"/>
      <c r="AO183" s="498"/>
      <c r="AP183" s="993"/>
      <c r="AQ183" s="498"/>
      <c r="AR183" s="498"/>
      <c r="AS183" s="430"/>
      <c r="AT183" s="500"/>
      <c r="AU183" s="500"/>
      <c r="AV183" s="498"/>
      <c r="AW183" s="430"/>
      <c r="AX183" s="430"/>
      <c r="AY183" s="430"/>
      <c r="AZ183" s="430"/>
      <c r="BA183" s="430"/>
      <c r="BB183" s="498"/>
      <c r="BC183" s="498"/>
      <c r="BD183" s="498"/>
      <c r="BE183" s="498"/>
      <c r="BF183" s="498"/>
      <c r="BG183" s="498"/>
      <c r="BH183" s="498"/>
      <c r="BI183" s="498"/>
      <c r="BJ183" s="498"/>
      <c r="BK183" s="498"/>
      <c r="BL183" s="498"/>
      <c r="BM183" s="407"/>
      <c r="BN183" s="407"/>
      <c r="BO183" s="407"/>
      <c r="BP183" s="407"/>
      <c r="BQ183" s="407"/>
      <c r="BR183" s="407"/>
      <c r="BS183" s="441"/>
      <c r="BT183" s="441"/>
      <c r="BU183" s="913"/>
      <c r="BV183" s="441"/>
      <c r="BW183" s="441"/>
      <c r="BX183" s="441"/>
      <c r="BY183" s="441"/>
      <c r="BZ183" s="441"/>
      <c r="CA183" s="441"/>
      <c r="CB183" s="441"/>
      <c r="CC183" s="441"/>
      <c r="CD183" s="407"/>
      <c r="CE183" s="407"/>
      <c r="CG183" s="407"/>
      <c r="CH183" s="407"/>
      <c r="CI183" s="407"/>
      <c r="DD183" s="408"/>
      <c r="DG183" s="408"/>
      <c r="DH183" s="408"/>
    </row>
    <row r="184" spans="1:112" s="406" customFormat="1" ht="20.25" x14ac:dyDescent="0.3">
      <c r="A184" s="408"/>
      <c r="B184" s="430"/>
      <c r="D184" s="492"/>
      <c r="F184" s="540"/>
      <c r="G184" s="408"/>
      <c r="H184" s="497"/>
      <c r="I184" s="408"/>
      <c r="J184" s="408"/>
      <c r="K184" s="408"/>
      <c r="L184" s="408"/>
      <c r="M184" s="408"/>
      <c r="Q184" s="408"/>
      <c r="R184" s="408"/>
      <c r="S184" s="430"/>
      <c r="T184" s="498"/>
      <c r="U184" s="498"/>
      <c r="V184" s="498"/>
      <c r="W184" s="498"/>
      <c r="Y184" s="498"/>
      <c r="Z184" s="498"/>
      <c r="AA184" s="498"/>
      <c r="AB184" s="498"/>
      <c r="AC184" s="498"/>
      <c r="AD184" s="498"/>
      <c r="AE184" s="498"/>
      <c r="AF184" s="498"/>
      <c r="AG184" s="493"/>
      <c r="AH184" s="493"/>
      <c r="AI184" s="493"/>
      <c r="AJ184" s="493"/>
      <c r="AK184" s="493"/>
      <c r="AL184" s="493"/>
      <c r="AM184" s="430"/>
      <c r="AN184" s="430"/>
      <c r="AO184" s="498"/>
      <c r="AP184" s="993"/>
      <c r="AQ184" s="498"/>
      <c r="AR184" s="498"/>
      <c r="AS184" s="430"/>
      <c r="AT184" s="500"/>
      <c r="AU184" s="500"/>
      <c r="AV184" s="498"/>
      <c r="AW184" s="430"/>
      <c r="AX184" s="430"/>
      <c r="AY184" s="430"/>
      <c r="AZ184" s="430"/>
      <c r="BA184" s="430"/>
      <c r="BB184" s="498"/>
      <c r="BC184" s="498"/>
      <c r="BD184" s="498"/>
      <c r="BE184" s="498"/>
      <c r="BF184" s="498"/>
      <c r="BG184" s="498"/>
      <c r="BH184" s="498"/>
      <c r="BI184" s="498"/>
      <c r="BJ184" s="498"/>
      <c r="BK184" s="498"/>
      <c r="BL184" s="498"/>
      <c r="BM184" s="407"/>
      <c r="BN184" s="407"/>
      <c r="BO184" s="407"/>
      <c r="BP184" s="407"/>
      <c r="BQ184" s="407"/>
      <c r="BR184" s="407"/>
      <c r="BS184" s="441"/>
      <c r="BT184" s="441"/>
      <c r="BU184" s="913"/>
      <c r="BV184" s="441"/>
      <c r="BW184" s="441"/>
      <c r="BX184" s="441"/>
      <c r="BY184" s="441"/>
      <c r="BZ184" s="441"/>
      <c r="CA184" s="441"/>
      <c r="CB184" s="441"/>
      <c r="CC184" s="441"/>
      <c r="CD184" s="407"/>
      <c r="CE184" s="407"/>
      <c r="CG184" s="407"/>
      <c r="CH184" s="407"/>
      <c r="CI184" s="407"/>
      <c r="DD184" s="408"/>
      <c r="DG184" s="408"/>
      <c r="DH184" s="408"/>
    </row>
    <row r="185" spans="1:112" s="406" customFormat="1" ht="20.25" x14ac:dyDescent="0.3">
      <c r="A185" s="408"/>
      <c r="B185" s="430"/>
      <c r="D185" s="492"/>
      <c r="F185" s="540"/>
      <c r="G185" s="408"/>
      <c r="H185" s="497"/>
      <c r="I185" s="408"/>
      <c r="J185" s="408"/>
      <c r="K185" s="408"/>
      <c r="L185" s="408"/>
      <c r="M185" s="408"/>
      <c r="Q185" s="408"/>
      <c r="R185" s="408"/>
      <c r="S185" s="430"/>
      <c r="T185" s="498"/>
      <c r="U185" s="498"/>
      <c r="V185" s="498"/>
      <c r="W185" s="498"/>
      <c r="Y185" s="498"/>
      <c r="Z185" s="498"/>
      <c r="AA185" s="498"/>
      <c r="AB185" s="498"/>
      <c r="AC185" s="498"/>
      <c r="AD185" s="498"/>
      <c r="AE185" s="498"/>
      <c r="AF185" s="498"/>
      <c r="AG185" s="493"/>
      <c r="AH185" s="493"/>
      <c r="AI185" s="493"/>
      <c r="AJ185" s="493"/>
      <c r="AK185" s="493"/>
      <c r="AL185" s="493"/>
      <c r="AM185" s="430"/>
      <c r="AN185" s="430"/>
      <c r="AO185" s="498"/>
      <c r="AP185" s="993"/>
      <c r="AQ185" s="498"/>
      <c r="AR185" s="498"/>
      <c r="AS185" s="430"/>
      <c r="AT185" s="500"/>
      <c r="AU185" s="500"/>
      <c r="AV185" s="498"/>
      <c r="AW185" s="430"/>
      <c r="AX185" s="430"/>
      <c r="AY185" s="430"/>
      <c r="AZ185" s="430"/>
      <c r="BA185" s="430"/>
      <c r="BB185" s="498"/>
      <c r="BC185" s="498"/>
      <c r="BD185" s="498"/>
      <c r="BE185" s="498"/>
      <c r="BF185" s="498"/>
      <c r="BG185" s="498"/>
      <c r="BH185" s="498"/>
      <c r="BI185" s="498"/>
      <c r="BJ185" s="498"/>
      <c r="BK185" s="498"/>
      <c r="BL185" s="498"/>
      <c r="BM185" s="407"/>
      <c r="BN185" s="407"/>
      <c r="BO185" s="407"/>
      <c r="BP185" s="407"/>
      <c r="BQ185" s="407"/>
      <c r="BR185" s="407"/>
      <c r="BS185" s="441"/>
      <c r="BT185" s="441"/>
      <c r="BU185" s="913"/>
      <c r="BV185" s="441"/>
      <c r="BW185" s="441"/>
      <c r="BX185" s="441"/>
      <c r="BY185" s="441"/>
      <c r="BZ185" s="441"/>
      <c r="CA185" s="441"/>
      <c r="CB185" s="441"/>
      <c r="CC185" s="441"/>
      <c r="CD185" s="407"/>
      <c r="CE185" s="407"/>
      <c r="CG185" s="407"/>
      <c r="CH185" s="407"/>
      <c r="CI185" s="407"/>
      <c r="DD185" s="408"/>
      <c r="DG185" s="408"/>
      <c r="DH185" s="408"/>
    </row>
    <row r="186" spans="1:112" s="406" customFormat="1" ht="20.25" x14ac:dyDescent="0.3">
      <c r="A186" s="408"/>
      <c r="B186" s="430"/>
      <c r="D186" s="492"/>
      <c r="F186" s="540"/>
      <c r="G186" s="408"/>
      <c r="H186" s="497"/>
      <c r="I186" s="408"/>
      <c r="J186" s="408"/>
      <c r="K186" s="408"/>
      <c r="L186" s="408"/>
      <c r="M186" s="408"/>
      <c r="Q186" s="408"/>
      <c r="R186" s="408"/>
      <c r="S186" s="430"/>
      <c r="T186" s="498"/>
      <c r="U186" s="498"/>
      <c r="V186" s="498"/>
      <c r="W186" s="498"/>
      <c r="Y186" s="498"/>
      <c r="Z186" s="498"/>
      <c r="AA186" s="498"/>
      <c r="AB186" s="498"/>
      <c r="AC186" s="498"/>
      <c r="AD186" s="498"/>
      <c r="AE186" s="498"/>
      <c r="AF186" s="498"/>
      <c r="AG186" s="493"/>
      <c r="AH186" s="493"/>
      <c r="AI186" s="493"/>
      <c r="AJ186" s="493"/>
      <c r="AK186" s="493"/>
      <c r="AL186" s="493"/>
      <c r="AM186" s="430"/>
      <c r="AN186" s="430"/>
      <c r="AO186" s="498"/>
      <c r="AP186" s="993"/>
      <c r="AQ186" s="498"/>
      <c r="AR186" s="498"/>
      <c r="AS186" s="430"/>
      <c r="AT186" s="500"/>
      <c r="AU186" s="500"/>
      <c r="AV186" s="498"/>
      <c r="AW186" s="430"/>
      <c r="AX186" s="430"/>
      <c r="AY186" s="430"/>
      <c r="AZ186" s="430"/>
      <c r="BA186" s="430"/>
      <c r="BB186" s="498"/>
      <c r="BC186" s="498"/>
      <c r="BD186" s="498"/>
      <c r="BE186" s="498"/>
      <c r="BF186" s="498"/>
      <c r="BG186" s="498"/>
      <c r="BH186" s="498"/>
      <c r="BI186" s="498"/>
      <c r="BJ186" s="498"/>
      <c r="BK186" s="498"/>
      <c r="BL186" s="498"/>
      <c r="BM186" s="407"/>
      <c r="BN186" s="407"/>
      <c r="BO186" s="407"/>
      <c r="BP186" s="407"/>
      <c r="BQ186" s="407"/>
      <c r="BR186" s="407"/>
      <c r="BS186" s="441"/>
      <c r="BT186" s="441"/>
      <c r="BU186" s="913"/>
      <c r="BV186" s="441"/>
      <c r="BW186" s="441"/>
      <c r="BX186" s="441"/>
      <c r="BY186" s="441"/>
      <c r="BZ186" s="441"/>
      <c r="CA186" s="441"/>
      <c r="CB186" s="441"/>
      <c r="CC186" s="441"/>
      <c r="CD186" s="407"/>
      <c r="CE186" s="407"/>
      <c r="CG186" s="407"/>
      <c r="CH186" s="407"/>
      <c r="CI186" s="407"/>
      <c r="DD186" s="408"/>
      <c r="DG186" s="408"/>
      <c r="DH186" s="408"/>
    </row>
    <row r="187" spans="1:112" s="406" customFormat="1" ht="20.25" x14ac:dyDescent="0.3">
      <c r="A187" s="408"/>
      <c r="B187" s="430"/>
      <c r="D187" s="492"/>
      <c r="F187" s="540"/>
      <c r="G187" s="408"/>
      <c r="H187" s="497"/>
      <c r="I187" s="408"/>
      <c r="J187" s="408"/>
      <c r="K187" s="408"/>
      <c r="L187" s="408"/>
      <c r="M187" s="408"/>
      <c r="Q187" s="408"/>
      <c r="R187" s="408"/>
      <c r="S187" s="430"/>
      <c r="T187" s="498"/>
      <c r="U187" s="498"/>
      <c r="V187" s="498"/>
      <c r="W187" s="498"/>
      <c r="Y187" s="498"/>
      <c r="Z187" s="498"/>
      <c r="AA187" s="498"/>
      <c r="AB187" s="498"/>
      <c r="AC187" s="498"/>
      <c r="AD187" s="498"/>
      <c r="AE187" s="498"/>
      <c r="AF187" s="498"/>
      <c r="AG187" s="493"/>
      <c r="AH187" s="493"/>
      <c r="AI187" s="493"/>
      <c r="AJ187" s="493"/>
      <c r="AK187" s="493"/>
      <c r="AL187" s="493"/>
      <c r="AM187" s="430"/>
      <c r="AN187" s="430"/>
      <c r="AO187" s="498"/>
      <c r="AP187" s="993"/>
      <c r="AQ187" s="498"/>
      <c r="AR187" s="498"/>
      <c r="AS187" s="430"/>
      <c r="AT187" s="500"/>
      <c r="AU187" s="500"/>
      <c r="AV187" s="498"/>
      <c r="AW187" s="430"/>
      <c r="AX187" s="430"/>
      <c r="AY187" s="430"/>
      <c r="AZ187" s="430"/>
      <c r="BA187" s="430"/>
      <c r="BB187" s="498"/>
      <c r="BC187" s="498"/>
      <c r="BD187" s="498"/>
      <c r="BE187" s="498"/>
      <c r="BF187" s="498"/>
      <c r="BG187" s="498"/>
      <c r="BH187" s="498"/>
      <c r="BI187" s="498"/>
      <c r="BJ187" s="498"/>
      <c r="BK187" s="498"/>
      <c r="BL187" s="498"/>
      <c r="BM187" s="407"/>
      <c r="BN187" s="407"/>
      <c r="BO187" s="407"/>
      <c r="BP187" s="407"/>
      <c r="BQ187" s="407"/>
      <c r="BR187" s="407"/>
      <c r="BS187" s="441"/>
      <c r="BT187" s="441"/>
      <c r="BU187" s="913"/>
      <c r="BV187" s="441"/>
      <c r="BW187" s="441"/>
      <c r="BX187" s="441"/>
      <c r="BY187" s="441"/>
      <c r="BZ187" s="441"/>
      <c r="CA187" s="441"/>
      <c r="CB187" s="441"/>
      <c r="CC187" s="441"/>
      <c r="CD187" s="407"/>
      <c r="CE187" s="407"/>
      <c r="CG187" s="407"/>
      <c r="CH187" s="407"/>
      <c r="CI187" s="407"/>
      <c r="DD187" s="408"/>
      <c r="DG187" s="408"/>
      <c r="DH187" s="408"/>
    </row>
    <row r="188" spans="1:112" s="406" customFormat="1" ht="20.25" x14ac:dyDescent="0.3">
      <c r="A188" s="408"/>
      <c r="B188" s="430"/>
      <c r="D188" s="492"/>
      <c r="F188" s="540"/>
      <c r="G188" s="408"/>
      <c r="H188" s="497"/>
      <c r="I188" s="408"/>
      <c r="J188" s="408"/>
      <c r="K188" s="408"/>
      <c r="L188" s="408"/>
      <c r="M188" s="408"/>
      <c r="Q188" s="408"/>
      <c r="R188" s="408"/>
      <c r="S188" s="430"/>
      <c r="T188" s="498"/>
      <c r="U188" s="498"/>
      <c r="V188" s="498"/>
      <c r="W188" s="498"/>
      <c r="Y188" s="498"/>
      <c r="Z188" s="498"/>
      <c r="AA188" s="498"/>
      <c r="AB188" s="498"/>
      <c r="AC188" s="498"/>
      <c r="AD188" s="498"/>
      <c r="AE188" s="498"/>
      <c r="AF188" s="498"/>
      <c r="AG188" s="493"/>
      <c r="AH188" s="493"/>
      <c r="AI188" s="493"/>
      <c r="AJ188" s="493"/>
      <c r="AK188" s="493"/>
      <c r="AL188" s="493"/>
      <c r="AM188" s="430"/>
      <c r="AN188" s="430"/>
      <c r="AO188" s="498"/>
      <c r="AP188" s="993"/>
      <c r="AQ188" s="498"/>
      <c r="AR188" s="498"/>
      <c r="AS188" s="430"/>
      <c r="AT188" s="500"/>
      <c r="AU188" s="500"/>
      <c r="AV188" s="498"/>
      <c r="AW188" s="430"/>
      <c r="AX188" s="430"/>
      <c r="AY188" s="430"/>
      <c r="AZ188" s="430"/>
      <c r="BA188" s="430"/>
      <c r="BB188" s="498"/>
      <c r="BC188" s="498"/>
      <c r="BD188" s="498"/>
      <c r="BE188" s="498"/>
      <c r="BF188" s="498"/>
      <c r="BG188" s="498"/>
      <c r="BH188" s="498"/>
      <c r="BI188" s="498"/>
      <c r="BJ188" s="498"/>
      <c r="BK188" s="498"/>
      <c r="BL188" s="498"/>
      <c r="BM188" s="407"/>
      <c r="BN188" s="407"/>
      <c r="BO188" s="407"/>
      <c r="BP188" s="407"/>
      <c r="BQ188" s="407"/>
      <c r="BR188" s="407"/>
      <c r="BS188" s="441"/>
      <c r="BT188" s="441"/>
      <c r="BU188" s="913"/>
      <c r="BV188" s="441"/>
      <c r="BW188" s="441"/>
      <c r="BX188" s="441"/>
      <c r="BY188" s="441"/>
      <c r="BZ188" s="441"/>
      <c r="CA188" s="441"/>
      <c r="CB188" s="441"/>
      <c r="CC188" s="441"/>
      <c r="CD188" s="407"/>
      <c r="CE188" s="407"/>
      <c r="CG188" s="407"/>
      <c r="CH188" s="407"/>
      <c r="CI188" s="407"/>
      <c r="DD188" s="408"/>
      <c r="DG188" s="408"/>
      <c r="DH188" s="408"/>
    </row>
    <row r="189" spans="1:112" s="406" customFormat="1" ht="20.25" x14ac:dyDescent="0.3">
      <c r="A189" s="408"/>
      <c r="B189" s="430"/>
      <c r="D189" s="492"/>
      <c r="F189" s="540"/>
      <c r="G189" s="408"/>
      <c r="H189" s="497"/>
      <c r="I189" s="408"/>
      <c r="J189" s="408"/>
      <c r="K189" s="408"/>
      <c r="L189" s="408"/>
      <c r="M189" s="408"/>
      <c r="Q189" s="408"/>
      <c r="R189" s="408"/>
      <c r="S189" s="430"/>
      <c r="T189" s="498"/>
      <c r="U189" s="498"/>
      <c r="V189" s="498"/>
      <c r="W189" s="498"/>
      <c r="Y189" s="498"/>
      <c r="Z189" s="498"/>
      <c r="AA189" s="498"/>
      <c r="AB189" s="498"/>
      <c r="AC189" s="498"/>
      <c r="AD189" s="498"/>
      <c r="AE189" s="498"/>
      <c r="AF189" s="498"/>
      <c r="AG189" s="493"/>
      <c r="AH189" s="493"/>
      <c r="AI189" s="493"/>
      <c r="AJ189" s="493"/>
      <c r="AK189" s="493"/>
      <c r="AL189" s="493"/>
      <c r="AM189" s="430"/>
      <c r="AN189" s="430"/>
      <c r="AO189" s="498"/>
      <c r="AP189" s="993"/>
      <c r="AQ189" s="498"/>
      <c r="AR189" s="498"/>
      <c r="AS189" s="430"/>
      <c r="AT189" s="500"/>
      <c r="AU189" s="500"/>
      <c r="AV189" s="498"/>
      <c r="AW189" s="430"/>
      <c r="AX189" s="430"/>
      <c r="AY189" s="430"/>
      <c r="AZ189" s="430"/>
      <c r="BA189" s="430"/>
      <c r="BB189" s="498"/>
      <c r="BC189" s="498"/>
      <c r="BD189" s="498"/>
      <c r="BE189" s="498"/>
      <c r="BF189" s="498"/>
      <c r="BG189" s="498"/>
      <c r="BH189" s="498"/>
      <c r="BI189" s="498"/>
      <c r="BJ189" s="498"/>
      <c r="BK189" s="498"/>
      <c r="BL189" s="498"/>
      <c r="BM189" s="407"/>
      <c r="BN189" s="407"/>
      <c r="BO189" s="407"/>
      <c r="BP189" s="407"/>
      <c r="BQ189" s="407"/>
      <c r="BR189" s="407"/>
      <c r="BS189" s="441"/>
      <c r="BT189" s="441"/>
      <c r="BU189" s="913"/>
      <c r="BV189" s="441"/>
      <c r="BW189" s="441"/>
      <c r="BX189" s="441"/>
      <c r="BY189" s="441"/>
      <c r="BZ189" s="441"/>
      <c r="CA189" s="441"/>
      <c r="CB189" s="441"/>
      <c r="CC189" s="441"/>
      <c r="CD189" s="407"/>
      <c r="CE189" s="407"/>
      <c r="CG189" s="407"/>
      <c r="CH189" s="407"/>
      <c r="CI189" s="407"/>
      <c r="DD189" s="408"/>
      <c r="DG189" s="408"/>
      <c r="DH189" s="408"/>
    </row>
    <row r="190" spans="1:112" s="406" customFormat="1" ht="20.25" x14ac:dyDescent="0.3">
      <c r="A190" s="408"/>
      <c r="B190" s="430"/>
      <c r="D190" s="492"/>
      <c r="F190" s="540"/>
      <c r="G190" s="408"/>
      <c r="H190" s="497"/>
      <c r="I190" s="408"/>
      <c r="J190" s="408"/>
      <c r="K190" s="408"/>
      <c r="L190" s="408"/>
      <c r="M190" s="408"/>
      <c r="Q190" s="408"/>
      <c r="R190" s="408"/>
      <c r="S190" s="430"/>
      <c r="T190" s="498"/>
      <c r="U190" s="498"/>
      <c r="V190" s="498"/>
      <c r="W190" s="498"/>
      <c r="Y190" s="498"/>
      <c r="Z190" s="498"/>
      <c r="AA190" s="498"/>
      <c r="AB190" s="498"/>
      <c r="AC190" s="498"/>
      <c r="AD190" s="498"/>
      <c r="AE190" s="498"/>
      <c r="AF190" s="498"/>
      <c r="AG190" s="493"/>
      <c r="AH190" s="493"/>
      <c r="AI190" s="493"/>
      <c r="AJ190" s="493"/>
      <c r="AK190" s="493"/>
      <c r="AL190" s="493"/>
      <c r="AM190" s="430"/>
      <c r="AN190" s="430"/>
      <c r="AO190" s="498"/>
      <c r="AP190" s="993"/>
      <c r="AQ190" s="498"/>
      <c r="AR190" s="498"/>
      <c r="AS190" s="430"/>
      <c r="AT190" s="500"/>
      <c r="AU190" s="500"/>
      <c r="AV190" s="498"/>
      <c r="AW190" s="430"/>
      <c r="AX190" s="430"/>
      <c r="AY190" s="430"/>
      <c r="AZ190" s="430"/>
      <c r="BA190" s="430"/>
      <c r="BB190" s="498"/>
      <c r="BC190" s="498"/>
      <c r="BD190" s="498"/>
      <c r="BE190" s="498"/>
      <c r="BF190" s="498"/>
      <c r="BG190" s="498"/>
      <c r="BH190" s="498"/>
      <c r="BI190" s="498"/>
      <c r="BJ190" s="498"/>
      <c r="BK190" s="498"/>
      <c r="BL190" s="498"/>
      <c r="BM190" s="407"/>
      <c r="BN190" s="407"/>
      <c r="BO190" s="407"/>
      <c r="BP190" s="407"/>
      <c r="BQ190" s="407"/>
      <c r="BR190" s="407"/>
      <c r="BS190" s="441"/>
      <c r="BT190" s="441"/>
      <c r="BU190" s="913"/>
      <c r="BV190" s="441"/>
      <c r="BW190" s="441"/>
      <c r="BX190" s="441"/>
      <c r="BY190" s="441"/>
      <c r="BZ190" s="441"/>
      <c r="CA190" s="441"/>
      <c r="CB190" s="441"/>
      <c r="CC190" s="441"/>
      <c r="CD190" s="407"/>
      <c r="CE190" s="407"/>
      <c r="CG190" s="407"/>
      <c r="CH190" s="407"/>
      <c r="CI190" s="407"/>
      <c r="DD190" s="408"/>
      <c r="DG190" s="408"/>
      <c r="DH190" s="408"/>
    </row>
    <row r="191" spans="1:112" s="406" customFormat="1" ht="20.25" x14ac:dyDescent="0.3">
      <c r="A191" s="408"/>
      <c r="B191" s="430"/>
      <c r="D191" s="492"/>
      <c r="F191" s="540"/>
      <c r="G191" s="408"/>
      <c r="H191" s="497"/>
      <c r="I191" s="408"/>
      <c r="J191" s="408"/>
      <c r="K191" s="408"/>
      <c r="L191" s="408"/>
      <c r="M191" s="408"/>
      <c r="Q191" s="408"/>
      <c r="R191" s="408"/>
      <c r="S191" s="430"/>
      <c r="T191" s="498"/>
      <c r="U191" s="498"/>
      <c r="V191" s="498"/>
      <c r="W191" s="498"/>
      <c r="Y191" s="498"/>
      <c r="Z191" s="498"/>
      <c r="AA191" s="498"/>
      <c r="AB191" s="498"/>
      <c r="AC191" s="498"/>
      <c r="AD191" s="498"/>
      <c r="AE191" s="498"/>
      <c r="AF191" s="498"/>
      <c r="AG191" s="493"/>
      <c r="AH191" s="493"/>
      <c r="AI191" s="493"/>
      <c r="AJ191" s="493"/>
      <c r="AK191" s="493"/>
      <c r="AL191" s="493"/>
      <c r="AM191" s="430"/>
      <c r="AN191" s="430"/>
      <c r="AO191" s="498"/>
      <c r="AP191" s="993"/>
      <c r="AQ191" s="498"/>
      <c r="AR191" s="498"/>
      <c r="AS191" s="430"/>
      <c r="AT191" s="500"/>
      <c r="AU191" s="500"/>
      <c r="AV191" s="498"/>
      <c r="AW191" s="430"/>
      <c r="AX191" s="430"/>
      <c r="AY191" s="430"/>
      <c r="AZ191" s="430"/>
      <c r="BA191" s="430"/>
      <c r="BB191" s="498"/>
      <c r="BC191" s="498"/>
      <c r="BD191" s="498"/>
      <c r="BE191" s="498"/>
      <c r="BF191" s="498"/>
      <c r="BG191" s="498"/>
      <c r="BH191" s="498"/>
      <c r="BI191" s="498"/>
      <c r="BJ191" s="498"/>
      <c r="BK191" s="498"/>
      <c r="BL191" s="498"/>
      <c r="BM191" s="407"/>
      <c r="BN191" s="407"/>
      <c r="BO191" s="407"/>
      <c r="BP191" s="407"/>
      <c r="BQ191" s="407"/>
      <c r="BR191" s="407"/>
      <c r="BS191" s="441"/>
      <c r="BT191" s="441"/>
      <c r="BU191" s="913"/>
      <c r="BV191" s="441"/>
      <c r="BW191" s="441"/>
      <c r="BX191" s="441"/>
      <c r="BY191" s="441"/>
      <c r="BZ191" s="441"/>
      <c r="CA191" s="441"/>
      <c r="CB191" s="441"/>
      <c r="CC191" s="441"/>
      <c r="CD191" s="407"/>
      <c r="CE191" s="407"/>
      <c r="CG191" s="407"/>
      <c r="CH191" s="407"/>
      <c r="CI191" s="407"/>
      <c r="DD191" s="408"/>
      <c r="DG191" s="408"/>
      <c r="DH191" s="408"/>
    </row>
    <row r="192" spans="1:112" s="406" customFormat="1" ht="20.25" x14ac:dyDescent="0.3">
      <c r="A192" s="408"/>
      <c r="B192" s="430"/>
      <c r="D192" s="492"/>
      <c r="F192" s="540"/>
      <c r="G192" s="408"/>
      <c r="H192" s="497"/>
      <c r="I192" s="408"/>
      <c r="J192" s="408"/>
      <c r="K192" s="408"/>
      <c r="L192" s="408"/>
      <c r="M192" s="408"/>
      <c r="Q192" s="408"/>
      <c r="R192" s="408"/>
      <c r="S192" s="430"/>
      <c r="T192" s="498"/>
      <c r="U192" s="498"/>
      <c r="V192" s="498"/>
      <c r="W192" s="498"/>
      <c r="Y192" s="498"/>
      <c r="Z192" s="498"/>
      <c r="AA192" s="498"/>
      <c r="AB192" s="498"/>
      <c r="AC192" s="498"/>
      <c r="AD192" s="498"/>
      <c r="AE192" s="498"/>
      <c r="AF192" s="498"/>
      <c r="AG192" s="493"/>
      <c r="AH192" s="493"/>
      <c r="AI192" s="493"/>
      <c r="AJ192" s="493"/>
      <c r="AK192" s="493"/>
      <c r="AL192" s="493"/>
      <c r="AM192" s="430"/>
      <c r="AN192" s="430"/>
      <c r="AO192" s="498"/>
      <c r="AP192" s="993"/>
      <c r="AQ192" s="498"/>
      <c r="AR192" s="498"/>
      <c r="AS192" s="430"/>
      <c r="AT192" s="500"/>
      <c r="AU192" s="500"/>
      <c r="AV192" s="498"/>
      <c r="AW192" s="430"/>
      <c r="AX192" s="430"/>
      <c r="AY192" s="430"/>
      <c r="AZ192" s="430"/>
      <c r="BA192" s="430"/>
      <c r="BB192" s="498"/>
      <c r="BC192" s="498"/>
      <c r="BD192" s="498"/>
      <c r="BE192" s="498"/>
      <c r="BF192" s="498"/>
      <c r="BG192" s="498"/>
      <c r="BH192" s="498"/>
      <c r="BI192" s="498"/>
      <c r="BJ192" s="498"/>
      <c r="BK192" s="498"/>
      <c r="BL192" s="498"/>
      <c r="BM192" s="407"/>
      <c r="BN192" s="407"/>
      <c r="BO192" s="407"/>
      <c r="BP192" s="407"/>
      <c r="BQ192" s="407"/>
      <c r="BR192" s="407"/>
      <c r="BS192" s="441"/>
      <c r="BT192" s="441"/>
      <c r="BU192" s="913"/>
      <c r="BV192" s="441"/>
      <c r="BW192" s="441"/>
      <c r="BX192" s="441"/>
      <c r="BY192" s="441"/>
      <c r="BZ192" s="441"/>
      <c r="CA192" s="441"/>
      <c r="CB192" s="441"/>
      <c r="CC192" s="441"/>
      <c r="CD192" s="407"/>
      <c r="CE192" s="407"/>
      <c r="CG192" s="407"/>
      <c r="CH192" s="407"/>
      <c r="CI192" s="407"/>
      <c r="DD192" s="408"/>
      <c r="DG192" s="408"/>
      <c r="DH192" s="408"/>
    </row>
    <row r="193" spans="1:112" s="406" customFormat="1" ht="20.25" x14ac:dyDescent="0.3">
      <c r="A193" s="408"/>
      <c r="B193" s="430"/>
      <c r="D193" s="492"/>
      <c r="F193" s="540"/>
      <c r="G193" s="408"/>
      <c r="H193" s="497"/>
      <c r="I193" s="408"/>
      <c r="J193" s="408"/>
      <c r="K193" s="408"/>
      <c r="L193" s="408"/>
      <c r="M193" s="408"/>
      <c r="Q193" s="408"/>
      <c r="R193" s="408"/>
      <c r="S193" s="430"/>
      <c r="T193" s="498"/>
      <c r="U193" s="498"/>
      <c r="V193" s="498"/>
      <c r="W193" s="498"/>
      <c r="Y193" s="498"/>
      <c r="Z193" s="498"/>
      <c r="AA193" s="498"/>
      <c r="AB193" s="498"/>
      <c r="AC193" s="498"/>
      <c r="AD193" s="498"/>
      <c r="AE193" s="498"/>
      <c r="AF193" s="498"/>
      <c r="AG193" s="493"/>
      <c r="AH193" s="493"/>
      <c r="AI193" s="493"/>
      <c r="AJ193" s="493"/>
      <c r="AK193" s="493"/>
      <c r="AL193" s="493"/>
      <c r="AM193" s="430"/>
      <c r="AN193" s="430"/>
      <c r="AO193" s="498"/>
      <c r="AP193" s="993"/>
      <c r="AQ193" s="498"/>
      <c r="AR193" s="498"/>
      <c r="AS193" s="430"/>
      <c r="AT193" s="500"/>
      <c r="AU193" s="500"/>
      <c r="AV193" s="498"/>
      <c r="AW193" s="430"/>
      <c r="AX193" s="430"/>
      <c r="AY193" s="430"/>
      <c r="AZ193" s="430"/>
      <c r="BA193" s="430"/>
      <c r="BB193" s="498"/>
      <c r="BC193" s="498"/>
      <c r="BD193" s="498"/>
      <c r="BE193" s="498"/>
      <c r="BF193" s="498"/>
      <c r="BG193" s="498"/>
      <c r="BH193" s="498"/>
      <c r="BI193" s="498"/>
      <c r="BJ193" s="498"/>
      <c r="BK193" s="498"/>
      <c r="BL193" s="498"/>
      <c r="BM193" s="407"/>
      <c r="BN193" s="407"/>
      <c r="BO193" s="407"/>
      <c r="BP193" s="407"/>
      <c r="BQ193" s="407"/>
      <c r="BR193" s="407"/>
      <c r="BS193" s="441"/>
      <c r="BT193" s="441"/>
      <c r="BU193" s="913"/>
      <c r="BV193" s="441"/>
      <c r="BW193" s="441"/>
      <c r="BX193" s="441"/>
      <c r="BY193" s="441"/>
      <c r="BZ193" s="441"/>
      <c r="CA193" s="441"/>
      <c r="CB193" s="441"/>
      <c r="CC193" s="441"/>
      <c r="CD193" s="407"/>
      <c r="CE193" s="407"/>
      <c r="CG193" s="407"/>
      <c r="CH193" s="407"/>
      <c r="CI193" s="407"/>
      <c r="DD193" s="408"/>
      <c r="DG193" s="408"/>
      <c r="DH193" s="408"/>
    </row>
    <row r="194" spans="1:112" s="406" customFormat="1" ht="20.25" x14ac:dyDescent="0.3">
      <c r="A194" s="408"/>
      <c r="B194" s="430"/>
      <c r="D194" s="492"/>
      <c r="F194" s="540"/>
      <c r="G194" s="408"/>
      <c r="H194" s="497"/>
      <c r="I194" s="408"/>
      <c r="J194" s="408"/>
      <c r="K194" s="408"/>
      <c r="L194" s="408"/>
      <c r="M194" s="408"/>
      <c r="Q194" s="408"/>
      <c r="R194" s="408"/>
      <c r="S194" s="430"/>
      <c r="T194" s="498"/>
      <c r="U194" s="498"/>
      <c r="V194" s="498"/>
      <c r="W194" s="498"/>
      <c r="Y194" s="498"/>
      <c r="Z194" s="498"/>
      <c r="AA194" s="498"/>
      <c r="AB194" s="498"/>
      <c r="AC194" s="498"/>
      <c r="AD194" s="498"/>
      <c r="AE194" s="498"/>
      <c r="AF194" s="498"/>
      <c r="AG194" s="493"/>
      <c r="AH194" s="493"/>
      <c r="AI194" s="493"/>
      <c r="AJ194" s="493"/>
      <c r="AK194" s="493"/>
      <c r="AL194" s="493"/>
      <c r="AM194" s="430"/>
      <c r="AN194" s="430"/>
      <c r="AO194" s="498"/>
      <c r="AP194" s="993"/>
      <c r="AQ194" s="498"/>
      <c r="AR194" s="498"/>
      <c r="AS194" s="430"/>
      <c r="AT194" s="500"/>
      <c r="AU194" s="500"/>
      <c r="AV194" s="498"/>
      <c r="AW194" s="430"/>
      <c r="AX194" s="430"/>
      <c r="AY194" s="430"/>
      <c r="AZ194" s="430"/>
      <c r="BA194" s="430"/>
      <c r="BB194" s="498"/>
      <c r="BC194" s="498"/>
      <c r="BD194" s="498"/>
      <c r="BE194" s="498"/>
      <c r="BF194" s="498"/>
      <c r="BG194" s="498"/>
      <c r="BH194" s="498"/>
      <c r="BI194" s="498"/>
      <c r="BJ194" s="498"/>
      <c r="BK194" s="498"/>
      <c r="BL194" s="498"/>
      <c r="BM194" s="407"/>
      <c r="BN194" s="407"/>
      <c r="BO194" s="407"/>
      <c r="BP194" s="407"/>
      <c r="BQ194" s="407"/>
      <c r="BR194" s="407"/>
      <c r="BS194" s="441"/>
      <c r="BT194" s="441"/>
      <c r="BU194" s="913"/>
      <c r="BV194" s="441"/>
      <c r="BW194" s="441"/>
      <c r="BX194" s="441"/>
      <c r="BY194" s="441"/>
      <c r="BZ194" s="441"/>
      <c r="CA194" s="441"/>
      <c r="CB194" s="441"/>
      <c r="CC194" s="441"/>
      <c r="CD194" s="407"/>
      <c r="CE194" s="407"/>
      <c r="CG194" s="407"/>
      <c r="CH194" s="407"/>
      <c r="CI194" s="407"/>
      <c r="DD194" s="408"/>
      <c r="DG194" s="408"/>
      <c r="DH194" s="408"/>
    </row>
    <row r="195" spans="1:112" s="406" customFormat="1" ht="20.25" x14ac:dyDescent="0.3">
      <c r="A195" s="408"/>
      <c r="B195" s="430"/>
      <c r="D195" s="492"/>
      <c r="F195" s="540"/>
      <c r="G195" s="408"/>
      <c r="H195" s="497"/>
      <c r="I195" s="408"/>
      <c r="J195" s="408"/>
      <c r="K195" s="408"/>
      <c r="L195" s="408"/>
      <c r="M195" s="408"/>
      <c r="Q195" s="408"/>
      <c r="R195" s="408"/>
      <c r="S195" s="430"/>
      <c r="T195" s="498"/>
      <c r="U195" s="498"/>
      <c r="V195" s="498"/>
      <c r="W195" s="498"/>
      <c r="Y195" s="498"/>
      <c r="Z195" s="498"/>
      <c r="AA195" s="498"/>
      <c r="AB195" s="498"/>
      <c r="AC195" s="498"/>
      <c r="AD195" s="498"/>
      <c r="AE195" s="498"/>
      <c r="AF195" s="498"/>
      <c r="AG195" s="493"/>
      <c r="AH195" s="493"/>
      <c r="AI195" s="493"/>
      <c r="AJ195" s="493"/>
      <c r="AK195" s="493"/>
      <c r="AL195" s="493"/>
      <c r="AM195" s="430"/>
      <c r="AN195" s="430"/>
      <c r="AO195" s="498"/>
      <c r="AP195" s="993"/>
      <c r="AQ195" s="498"/>
      <c r="AR195" s="498"/>
      <c r="AS195" s="430"/>
      <c r="AT195" s="500"/>
      <c r="AU195" s="500"/>
      <c r="AV195" s="498"/>
      <c r="AW195" s="430"/>
      <c r="AX195" s="430"/>
      <c r="AY195" s="430"/>
      <c r="AZ195" s="430"/>
      <c r="BA195" s="430"/>
      <c r="BB195" s="498"/>
      <c r="BC195" s="498"/>
      <c r="BD195" s="498"/>
      <c r="BE195" s="498"/>
      <c r="BF195" s="498"/>
      <c r="BG195" s="498"/>
      <c r="BH195" s="498"/>
      <c r="BI195" s="498"/>
      <c r="BJ195" s="498"/>
      <c r="BK195" s="498"/>
      <c r="BL195" s="498"/>
      <c r="BM195" s="407"/>
      <c r="BN195" s="407"/>
      <c r="BO195" s="407"/>
      <c r="BP195" s="407"/>
      <c r="BQ195" s="407"/>
      <c r="BR195" s="407"/>
      <c r="BS195" s="441"/>
      <c r="BT195" s="441"/>
      <c r="BU195" s="913"/>
      <c r="BV195" s="441"/>
      <c r="BW195" s="441"/>
      <c r="BX195" s="441"/>
      <c r="BY195" s="441"/>
      <c r="BZ195" s="441"/>
      <c r="CA195" s="441"/>
      <c r="CB195" s="441"/>
      <c r="CC195" s="441"/>
      <c r="CD195" s="407"/>
      <c r="CE195" s="407"/>
      <c r="CG195" s="407"/>
      <c r="CH195" s="407"/>
      <c r="CI195" s="407"/>
      <c r="DD195" s="408"/>
      <c r="DG195" s="408"/>
      <c r="DH195" s="408"/>
    </row>
    <row r="196" spans="1:112" s="406" customFormat="1" ht="20.25" x14ac:dyDescent="0.3">
      <c r="A196" s="408"/>
      <c r="B196" s="430"/>
      <c r="D196" s="492"/>
      <c r="F196" s="540"/>
      <c r="G196" s="408"/>
      <c r="H196" s="497"/>
      <c r="I196" s="408"/>
      <c r="J196" s="408"/>
      <c r="K196" s="408"/>
      <c r="L196" s="408"/>
      <c r="M196" s="408"/>
      <c r="Q196" s="408"/>
      <c r="R196" s="408"/>
      <c r="S196" s="430"/>
      <c r="T196" s="498"/>
      <c r="U196" s="498"/>
      <c r="V196" s="498"/>
      <c r="W196" s="498"/>
      <c r="Y196" s="498"/>
      <c r="Z196" s="498"/>
      <c r="AA196" s="498"/>
      <c r="AB196" s="498"/>
      <c r="AC196" s="498"/>
      <c r="AD196" s="498"/>
      <c r="AE196" s="498"/>
      <c r="AF196" s="498"/>
      <c r="AG196" s="493"/>
      <c r="AH196" s="493"/>
      <c r="AI196" s="493"/>
      <c r="AJ196" s="493"/>
      <c r="AK196" s="493"/>
      <c r="AL196" s="493"/>
      <c r="AM196" s="430"/>
      <c r="AN196" s="430"/>
      <c r="AO196" s="498"/>
      <c r="AP196" s="993"/>
      <c r="AQ196" s="498"/>
      <c r="AR196" s="498"/>
      <c r="AS196" s="430"/>
      <c r="AT196" s="500"/>
      <c r="AU196" s="500"/>
      <c r="AV196" s="498"/>
      <c r="AW196" s="430"/>
      <c r="AX196" s="430"/>
      <c r="AY196" s="430"/>
      <c r="AZ196" s="430"/>
      <c r="BA196" s="430"/>
      <c r="BB196" s="498"/>
      <c r="BC196" s="498"/>
      <c r="BD196" s="498"/>
      <c r="BE196" s="498"/>
      <c r="BF196" s="498"/>
      <c r="BG196" s="498"/>
      <c r="BH196" s="498"/>
      <c r="BI196" s="498"/>
      <c r="BJ196" s="498"/>
      <c r="BK196" s="498"/>
      <c r="BL196" s="498"/>
      <c r="BM196" s="407"/>
      <c r="BN196" s="407"/>
      <c r="BO196" s="407"/>
      <c r="BP196" s="407"/>
      <c r="BQ196" s="407"/>
      <c r="BR196" s="407"/>
      <c r="BS196" s="441"/>
      <c r="BT196" s="441"/>
      <c r="BU196" s="913"/>
      <c r="BV196" s="441"/>
      <c r="BW196" s="441"/>
      <c r="BX196" s="441"/>
      <c r="BY196" s="441"/>
      <c r="BZ196" s="441"/>
      <c r="CA196" s="441"/>
      <c r="CB196" s="441"/>
      <c r="CC196" s="441"/>
      <c r="CD196" s="407"/>
      <c r="CE196" s="407"/>
      <c r="CG196" s="407"/>
      <c r="CH196" s="407"/>
      <c r="CI196" s="407"/>
      <c r="DD196" s="408"/>
      <c r="DG196" s="408"/>
      <c r="DH196" s="408"/>
    </row>
    <row r="197" spans="1:112" s="406" customFormat="1" ht="20.25" x14ac:dyDescent="0.3">
      <c r="A197" s="408"/>
      <c r="B197" s="430"/>
      <c r="D197" s="492"/>
      <c r="F197" s="540"/>
      <c r="G197" s="408"/>
      <c r="H197" s="497"/>
      <c r="I197" s="408"/>
      <c r="J197" s="408"/>
      <c r="K197" s="408"/>
      <c r="L197" s="408"/>
      <c r="M197" s="408"/>
      <c r="Q197" s="408"/>
      <c r="R197" s="408"/>
      <c r="S197" s="430"/>
      <c r="T197" s="498"/>
      <c r="U197" s="498"/>
      <c r="V197" s="498"/>
      <c r="W197" s="498"/>
      <c r="Y197" s="498"/>
      <c r="Z197" s="498"/>
      <c r="AA197" s="498"/>
      <c r="AB197" s="498"/>
      <c r="AC197" s="498"/>
      <c r="AD197" s="498"/>
      <c r="AE197" s="498"/>
      <c r="AF197" s="498"/>
      <c r="AG197" s="493"/>
      <c r="AH197" s="493"/>
      <c r="AI197" s="493"/>
      <c r="AJ197" s="493"/>
      <c r="AK197" s="493"/>
      <c r="AL197" s="493"/>
      <c r="AM197" s="430"/>
      <c r="AN197" s="430"/>
      <c r="AO197" s="498"/>
      <c r="AP197" s="993"/>
      <c r="AQ197" s="498"/>
      <c r="AR197" s="498"/>
      <c r="AS197" s="430"/>
      <c r="AT197" s="500"/>
      <c r="AU197" s="500"/>
      <c r="AV197" s="498"/>
      <c r="AW197" s="430"/>
      <c r="AX197" s="430"/>
      <c r="AY197" s="430"/>
      <c r="AZ197" s="430"/>
      <c r="BA197" s="430"/>
      <c r="BB197" s="498"/>
      <c r="BC197" s="498"/>
      <c r="BD197" s="498"/>
      <c r="BE197" s="498"/>
      <c r="BF197" s="498"/>
      <c r="BG197" s="498"/>
      <c r="BH197" s="498"/>
      <c r="BI197" s="498"/>
      <c r="BJ197" s="498"/>
      <c r="BK197" s="498"/>
      <c r="BL197" s="498"/>
      <c r="BM197" s="407"/>
      <c r="BN197" s="407"/>
      <c r="BO197" s="407"/>
      <c r="BP197" s="407"/>
      <c r="BQ197" s="407"/>
      <c r="BR197" s="407"/>
      <c r="BS197" s="441"/>
      <c r="BT197" s="441"/>
      <c r="BU197" s="913"/>
      <c r="BV197" s="441"/>
      <c r="BW197" s="441"/>
      <c r="BX197" s="441"/>
      <c r="BY197" s="441"/>
      <c r="BZ197" s="441"/>
      <c r="CA197" s="441"/>
      <c r="CB197" s="441"/>
      <c r="CC197" s="441"/>
      <c r="CD197" s="407"/>
      <c r="CE197" s="407"/>
      <c r="CG197" s="407"/>
      <c r="CH197" s="407"/>
      <c r="CI197" s="407"/>
      <c r="DD197" s="408"/>
      <c r="DG197" s="408"/>
      <c r="DH197" s="408"/>
    </row>
    <row r="198" spans="1:112" s="406" customFormat="1" ht="20.25" x14ac:dyDescent="0.3">
      <c r="A198" s="408"/>
      <c r="B198" s="430"/>
      <c r="D198" s="492"/>
      <c r="F198" s="540"/>
      <c r="G198" s="408"/>
      <c r="H198" s="497"/>
      <c r="I198" s="408"/>
      <c r="J198" s="408"/>
      <c r="K198" s="408"/>
      <c r="L198" s="408"/>
      <c r="M198" s="408"/>
      <c r="Q198" s="408"/>
      <c r="R198" s="408"/>
      <c r="S198" s="430"/>
      <c r="T198" s="498"/>
      <c r="U198" s="498"/>
      <c r="V198" s="498"/>
      <c r="W198" s="498"/>
      <c r="Y198" s="498"/>
      <c r="Z198" s="498"/>
      <c r="AA198" s="498"/>
      <c r="AB198" s="498"/>
      <c r="AC198" s="498"/>
      <c r="AD198" s="498"/>
      <c r="AE198" s="498"/>
      <c r="AF198" s="498"/>
      <c r="AG198" s="493"/>
      <c r="AH198" s="493"/>
      <c r="AI198" s="493"/>
      <c r="AJ198" s="493"/>
      <c r="AK198" s="493"/>
      <c r="AL198" s="493"/>
      <c r="AM198" s="430"/>
      <c r="AN198" s="430"/>
      <c r="AO198" s="498"/>
      <c r="AP198" s="993"/>
      <c r="AQ198" s="498"/>
      <c r="AR198" s="498"/>
      <c r="AS198" s="430"/>
      <c r="AT198" s="500"/>
      <c r="AU198" s="500"/>
      <c r="AV198" s="498"/>
      <c r="AW198" s="430"/>
      <c r="AX198" s="430"/>
      <c r="AY198" s="430"/>
      <c r="AZ198" s="430"/>
      <c r="BA198" s="430"/>
      <c r="BB198" s="498"/>
      <c r="BC198" s="498"/>
      <c r="BD198" s="498"/>
      <c r="BE198" s="498"/>
      <c r="BF198" s="498"/>
      <c r="BG198" s="498"/>
      <c r="BH198" s="498"/>
      <c r="BI198" s="498"/>
      <c r="BJ198" s="498"/>
      <c r="BK198" s="498"/>
      <c r="BL198" s="498"/>
      <c r="BM198" s="407"/>
      <c r="BN198" s="407"/>
      <c r="BO198" s="407"/>
      <c r="BP198" s="407"/>
      <c r="BQ198" s="407"/>
      <c r="BR198" s="407"/>
      <c r="BS198" s="441"/>
      <c r="BT198" s="441"/>
      <c r="BU198" s="913"/>
      <c r="BV198" s="441"/>
      <c r="BW198" s="441"/>
      <c r="BX198" s="441"/>
      <c r="BY198" s="441"/>
      <c r="BZ198" s="441"/>
      <c r="CA198" s="441"/>
      <c r="CB198" s="441"/>
      <c r="CC198" s="441"/>
      <c r="CD198" s="407"/>
      <c r="CE198" s="407"/>
      <c r="CG198" s="407"/>
      <c r="CH198" s="407"/>
      <c r="CI198" s="407"/>
      <c r="DD198" s="408"/>
      <c r="DG198" s="408"/>
      <c r="DH198" s="408"/>
    </row>
    <row r="199" spans="1:112" s="406" customFormat="1" ht="20.25" x14ac:dyDescent="0.3">
      <c r="A199" s="408"/>
      <c r="B199" s="430"/>
      <c r="D199" s="492"/>
      <c r="F199" s="540"/>
      <c r="G199" s="408"/>
      <c r="H199" s="497"/>
      <c r="I199" s="408"/>
      <c r="J199" s="408"/>
      <c r="K199" s="408"/>
      <c r="L199" s="408"/>
      <c r="M199" s="408"/>
      <c r="Q199" s="408"/>
      <c r="R199" s="408"/>
      <c r="S199" s="430"/>
      <c r="T199" s="498"/>
      <c r="U199" s="498"/>
      <c r="V199" s="498"/>
      <c r="W199" s="498"/>
      <c r="Y199" s="498"/>
      <c r="Z199" s="498"/>
      <c r="AA199" s="498"/>
      <c r="AB199" s="498"/>
      <c r="AC199" s="498"/>
      <c r="AD199" s="498"/>
      <c r="AE199" s="498"/>
      <c r="AF199" s="498"/>
      <c r="AG199" s="493"/>
      <c r="AH199" s="493"/>
      <c r="AI199" s="493"/>
      <c r="AJ199" s="493"/>
      <c r="AK199" s="493"/>
      <c r="AL199" s="493"/>
      <c r="AM199" s="430"/>
      <c r="AN199" s="430"/>
      <c r="AO199" s="498"/>
      <c r="AP199" s="993"/>
      <c r="AQ199" s="498"/>
      <c r="AR199" s="498"/>
      <c r="AS199" s="430"/>
      <c r="AT199" s="500"/>
      <c r="AU199" s="500"/>
      <c r="AV199" s="498"/>
      <c r="AW199" s="430"/>
      <c r="AX199" s="430"/>
      <c r="AY199" s="430"/>
      <c r="AZ199" s="430"/>
      <c r="BA199" s="430"/>
      <c r="BB199" s="498"/>
      <c r="BC199" s="498"/>
      <c r="BD199" s="498"/>
      <c r="BE199" s="498"/>
      <c r="BF199" s="498"/>
      <c r="BG199" s="498"/>
      <c r="BH199" s="498"/>
      <c r="BI199" s="498"/>
      <c r="BJ199" s="498"/>
      <c r="BK199" s="498"/>
      <c r="BL199" s="498"/>
      <c r="BM199" s="407"/>
      <c r="BN199" s="407"/>
      <c r="BO199" s="407"/>
      <c r="BP199" s="407"/>
      <c r="BQ199" s="407"/>
      <c r="BR199" s="407"/>
      <c r="BS199" s="441"/>
      <c r="BT199" s="441"/>
      <c r="BU199" s="913"/>
      <c r="BV199" s="441"/>
      <c r="BW199" s="441"/>
      <c r="BX199" s="441"/>
      <c r="BY199" s="441"/>
      <c r="BZ199" s="441"/>
      <c r="CA199" s="441"/>
      <c r="CB199" s="441"/>
      <c r="CC199" s="441"/>
      <c r="CD199" s="407"/>
      <c r="CE199" s="407"/>
      <c r="CG199" s="407"/>
      <c r="CH199" s="407"/>
      <c r="CI199" s="407"/>
      <c r="DD199" s="408"/>
      <c r="DG199" s="408"/>
      <c r="DH199" s="408"/>
    </row>
    <row r="200" spans="1:112" s="406" customFormat="1" ht="20.25" x14ac:dyDescent="0.3">
      <c r="A200" s="408"/>
      <c r="B200" s="430"/>
      <c r="D200" s="492"/>
      <c r="F200" s="540"/>
      <c r="G200" s="408"/>
      <c r="H200" s="497"/>
      <c r="I200" s="408"/>
      <c r="J200" s="408"/>
      <c r="K200" s="408"/>
      <c r="L200" s="408"/>
      <c r="M200" s="408"/>
      <c r="Q200" s="408"/>
      <c r="R200" s="408"/>
      <c r="S200" s="430"/>
      <c r="T200" s="498"/>
      <c r="U200" s="498"/>
      <c r="V200" s="498"/>
      <c r="W200" s="498"/>
      <c r="Y200" s="498"/>
      <c r="Z200" s="498"/>
      <c r="AA200" s="498"/>
      <c r="AB200" s="498"/>
      <c r="AC200" s="498"/>
      <c r="AD200" s="498"/>
      <c r="AE200" s="498"/>
      <c r="AF200" s="498"/>
      <c r="AG200" s="493"/>
      <c r="AH200" s="493"/>
      <c r="AI200" s="493"/>
      <c r="AJ200" s="493"/>
      <c r="AK200" s="493"/>
      <c r="AL200" s="493"/>
      <c r="AM200" s="430"/>
      <c r="AN200" s="430"/>
      <c r="AO200" s="498"/>
      <c r="AP200" s="993"/>
      <c r="AQ200" s="498"/>
      <c r="AR200" s="498"/>
      <c r="AS200" s="430"/>
      <c r="AT200" s="500"/>
      <c r="AU200" s="500"/>
      <c r="AV200" s="498"/>
      <c r="AW200" s="430"/>
      <c r="AX200" s="430"/>
      <c r="AY200" s="430"/>
      <c r="AZ200" s="430"/>
      <c r="BA200" s="430"/>
      <c r="BB200" s="498"/>
      <c r="BC200" s="498"/>
      <c r="BD200" s="498"/>
      <c r="BE200" s="498"/>
      <c r="BF200" s="498"/>
      <c r="BG200" s="498"/>
      <c r="BH200" s="498"/>
      <c r="BI200" s="498"/>
      <c r="BJ200" s="498"/>
      <c r="BK200" s="498"/>
      <c r="BL200" s="498"/>
      <c r="BM200" s="407"/>
      <c r="BN200" s="407"/>
      <c r="BO200" s="407"/>
      <c r="BP200" s="407"/>
      <c r="BQ200" s="407"/>
      <c r="BR200" s="407"/>
      <c r="BS200" s="441"/>
      <c r="BT200" s="441"/>
      <c r="BU200" s="913"/>
      <c r="BV200" s="441"/>
      <c r="BW200" s="441"/>
      <c r="BX200" s="441"/>
      <c r="BY200" s="441"/>
      <c r="BZ200" s="441"/>
      <c r="CA200" s="441"/>
      <c r="CB200" s="441"/>
      <c r="CC200" s="441"/>
      <c r="CD200" s="407"/>
      <c r="CE200" s="407"/>
      <c r="CG200" s="407"/>
      <c r="CH200" s="407"/>
      <c r="CI200" s="407"/>
      <c r="DD200" s="408"/>
      <c r="DG200" s="408"/>
      <c r="DH200" s="408"/>
    </row>
    <row r="201" spans="1:112" s="406" customFormat="1" ht="20.25" x14ac:dyDescent="0.3">
      <c r="A201" s="408"/>
      <c r="B201" s="430"/>
      <c r="D201" s="492"/>
      <c r="F201" s="540"/>
      <c r="G201" s="408"/>
      <c r="H201" s="497"/>
      <c r="I201" s="408"/>
      <c r="J201" s="408"/>
      <c r="K201" s="408"/>
      <c r="L201" s="408"/>
      <c r="M201" s="408"/>
      <c r="Q201" s="408"/>
      <c r="R201" s="408"/>
      <c r="S201" s="430"/>
      <c r="T201" s="498"/>
      <c r="U201" s="498"/>
      <c r="V201" s="498"/>
      <c r="W201" s="498"/>
      <c r="Y201" s="498"/>
      <c r="Z201" s="498"/>
      <c r="AA201" s="498"/>
      <c r="AB201" s="498"/>
      <c r="AC201" s="498"/>
      <c r="AD201" s="498"/>
      <c r="AE201" s="498"/>
      <c r="AF201" s="498"/>
      <c r="AG201" s="493"/>
      <c r="AH201" s="493"/>
      <c r="AI201" s="493"/>
      <c r="AJ201" s="493"/>
      <c r="AK201" s="493"/>
      <c r="AL201" s="493"/>
      <c r="AM201" s="430"/>
      <c r="AN201" s="430"/>
      <c r="AO201" s="498"/>
      <c r="AP201" s="993"/>
      <c r="AQ201" s="498"/>
      <c r="AR201" s="498"/>
      <c r="AS201" s="430"/>
      <c r="AT201" s="500"/>
      <c r="AU201" s="500"/>
      <c r="AV201" s="498"/>
      <c r="AW201" s="430"/>
      <c r="AX201" s="430"/>
      <c r="AY201" s="430"/>
      <c r="AZ201" s="430"/>
      <c r="BA201" s="430"/>
      <c r="BB201" s="498"/>
      <c r="BC201" s="498"/>
      <c r="BD201" s="498"/>
      <c r="BE201" s="498"/>
      <c r="BF201" s="498"/>
      <c r="BG201" s="498"/>
      <c r="BH201" s="498"/>
      <c r="BI201" s="498"/>
      <c r="BJ201" s="498"/>
      <c r="BK201" s="498"/>
      <c r="BL201" s="498"/>
      <c r="BM201" s="407"/>
      <c r="BN201" s="407"/>
      <c r="BO201" s="407"/>
      <c r="BP201" s="407"/>
      <c r="BQ201" s="407"/>
      <c r="BR201" s="407"/>
      <c r="BS201" s="441"/>
      <c r="BT201" s="441"/>
      <c r="BU201" s="913"/>
      <c r="BV201" s="441"/>
      <c r="BW201" s="441"/>
      <c r="BX201" s="441"/>
      <c r="BY201" s="441"/>
      <c r="BZ201" s="441"/>
      <c r="CA201" s="441"/>
      <c r="CB201" s="441"/>
      <c r="CC201" s="441"/>
      <c r="CD201" s="407"/>
      <c r="CE201" s="407"/>
      <c r="CG201" s="407"/>
      <c r="CH201" s="407"/>
      <c r="CI201" s="407"/>
      <c r="DD201" s="408"/>
      <c r="DG201" s="408"/>
      <c r="DH201" s="408"/>
    </row>
    <row r="202" spans="1:112" s="406" customFormat="1" ht="20.25" x14ac:dyDescent="0.3">
      <c r="A202" s="408"/>
      <c r="B202" s="430"/>
      <c r="D202" s="492"/>
      <c r="F202" s="540"/>
      <c r="G202" s="408"/>
      <c r="H202" s="497"/>
      <c r="I202" s="408"/>
      <c r="J202" s="408"/>
      <c r="K202" s="408"/>
      <c r="L202" s="408"/>
      <c r="M202" s="408"/>
      <c r="Q202" s="408"/>
      <c r="R202" s="408"/>
      <c r="S202" s="430"/>
      <c r="T202" s="498"/>
      <c r="U202" s="498"/>
      <c r="V202" s="498"/>
      <c r="W202" s="498"/>
      <c r="Y202" s="498"/>
      <c r="Z202" s="498"/>
      <c r="AA202" s="498"/>
      <c r="AB202" s="498"/>
      <c r="AC202" s="498"/>
      <c r="AD202" s="498"/>
      <c r="AE202" s="498"/>
      <c r="AF202" s="498"/>
      <c r="AG202" s="493"/>
      <c r="AH202" s="493"/>
      <c r="AI202" s="493"/>
      <c r="AJ202" s="493"/>
      <c r="AK202" s="493"/>
      <c r="AL202" s="493"/>
      <c r="AM202" s="430"/>
      <c r="AN202" s="430"/>
      <c r="AO202" s="498"/>
      <c r="AP202" s="993"/>
      <c r="AQ202" s="498"/>
      <c r="AR202" s="498"/>
      <c r="AS202" s="430"/>
      <c r="AT202" s="500"/>
      <c r="AU202" s="500"/>
      <c r="AV202" s="498"/>
      <c r="AW202" s="430"/>
      <c r="AX202" s="430"/>
      <c r="AY202" s="430"/>
      <c r="AZ202" s="430"/>
      <c r="BA202" s="430"/>
      <c r="BB202" s="498"/>
      <c r="BC202" s="498"/>
      <c r="BD202" s="498"/>
      <c r="BE202" s="498"/>
      <c r="BF202" s="498"/>
      <c r="BG202" s="498"/>
      <c r="BH202" s="498"/>
      <c r="BI202" s="498"/>
      <c r="BJ202" s="498"/>
      <c r="BK202" s="498"/>
      <c r="BL202" s="498"/>
      <c r="BM202" s="407"/>
      <c r="BN202" s="407"/>
      <c r="BO202" s="407"/>
      <c r="BP202" s="407"/>
      <c r="BQ202" s="407"/>
      <c r="BR202" s="407"/>
      <c r="BS202" s="441"/>
      <c r="BT202" s="441"/>
      <c r="BU202" s="913"/>
      <c r="BV202" s="441"/>
      <c r="BW202" s="441"/>
      <c r="BX202" s="441"/>
      <c r="BY202" s="441"/>
      <c r="BZ202" s="441"/>
      <c r="CA202" s="441"/>
      <c r="CB202" s="441"/>
      <c r="CC202" s="441"/>
      <c r="CD202" s="407"/>
      <c r="CE202" s="407"/>
      <c r="CG202" s="407"/>
      <c r="CH202" s="407"/>
      <c r="CI202" s="407"/>
      <c r="DD202" s="408"/>
      <c r="DG202" s="408"/>
      <c r="DH202" s="408"/>
    </row>
    <row r="203" spans="1:112" s="406" customFormat="1" ht="20.25" x14ac:dyDescent="0.3">
      <c r="A203" s="408"/>
      <c r="B203" s="430"/>
      <c r="D203" s="492"/>
      <c r="F203" s="540"/>
      <c r="G203" s="408"/>
      <c r="H203" s="497"/>
      <c r="I203" s="408"/>
      <c r="J203" s="408"/>
      <c r="K203" s="408"/>
      <c r="L203" s="408"/>
      <c r="M203" s="408"/>
      <c r="Q203" s="408"/>
      <c r="R203" s="408"/>
      <c r="S203" s="430"/>
      <c r="T203" s="498"/>
      <c r="U203" s="498"/>
      <c r="V203" s="498"/>
      <c r="W203" s="498"/>
      <c r="Y203" s="498"/>
      <c r="Z203" s="498"/>
      <c r="AA203" s="498"/>
      <c r="AB203" s="498"/>
      <c r="AC203" s="498"/>
      <c r="AD203" s="498"/>
      <c r="AE203" s="498"/>
      <c r="AF203" s="498"/>
      <c r="AG203" s="493"/>
      <c r="AH203" s="493"/>
      <c r="AI203" s="493"/>
      <c r="AJ203" s="493"/>
      <c r="AK203" s="493"/>
      <c r="AL203" s="493"/>
      <c r="AM203" s="430"/>
      <c r="AN203" s="430"/>
      <c r="AO203" s="498"/>
      <c r="AP203" s="993"/>
      <c r="AQ203" s="498"/>
      <c r="AR203" s="498"/>
      <c r="AS203" s="430"/>
      <c r="AT203" s="500"/>
      <c r="AU203" s="500"/>
      <c r="AV203" s="498"/>
      <c r="AW203" s="430"/>
      <c r="AX203" s="430"/>
      <c r="AY203" s="430"/>
      <c r="AZ203" s="430"/>
      <c r="BA203" s="430"/>
      <c r="BB203" s="498"/>
      <c r="BC203" s="498"/>
      <c r="BD203" s="498"/>
      <c r="BE203" s="498"/>
      <c r="BF203" s="498"/>
      <c r="BG203" s="498"/>
      <c r="BH203" s="498"/>
      <c r="BI203" s="498"/>
      <c r="BJ203" s="498"/>
      <c r="BK203" s="498"/>
      <c r="BL203" s="498"/>
      <c r="BM203" s="407"/>
      <c r="BN203" s="407"/>
      <c r="BO203" s="407"/>
      <c r="BP203" s="407"/>
      <c r="BQ203" s="407"/>
      <c r="BR203" s="407"/>
      <c r="BS203" s="441"/>
      <c r="BT203" s="441"/>
      <c r="BU203" s="913"/>
      <c r="BV203" s="441"/>
      <c r="BW203" s="441"/>
      <c r="BX203" s="441"/>
      <c r="BY203" s="441"/>
      <c r="BZ203" s="441"/>
      <c r="CA203" s="441"/>
      <c r="CB203" s="441"/>
      <c r="CC203" s="441"/>
      <c r="CD203" s="407"/>
      <c r="CE203" s="407"/>
      <c r="CG203" s="407"/>
      <c r="CH203" s="407"/>
      <c r="CI203" s="407"/>
      <c r="DD203" s="408"/>
      <c r="DG203" s="408"/>
      <c r="DH203" s="408"/>
    </row>
    <row r="204" spans="1:112" s="406" customFormat="1" ht="20.25" x14ac:dyDescent="0.3">
      <c r="A204" s="408"/>
      <c r="B204" s="430"/>
      <c r="D204" s="492"/>
      <c r="F204" s="540"/>
      <c r="G204" s="408"/>
      <c r="H204" s="497"/>
      <c r="I204" s="408"/>
      <c r="J204" s="408"/>
      <c r="K204" s="408"/>
      <c r="L204" s="408"/>
      <c r="M204" s="408"/>
      <c r="Q204" s="408"/>
      <c r="R204" s="408"/>
      <c r="S204" s="430"/>
      <c r="T204" s="498"/>
      <c r="U204" s="498"/>
      <c r="V204" s="498"/>
      <c r="W204" s="498"/>
      <c r="Y204" s="498"/>
      <c r="Z204" s="498"/>
      <c r="AA204" s="498"/>
      <c r="AB204" s="498"/>
      <c r="AC204" s="498"/>
      <c r="AD204" s="498"/>
      <c r="AE204" s="498"/>
      <c r="AF204" s="498"/>
      <c r="AG204" s="493"/>
      <c r="AH204" s="493"/>
      <c r="AI204" s="493"/>
      <c r="AJ204" s="493"/>
      <c r="AK204" s="493"/>
      <c r="AL204" s="493"/>
      <c r="AM204" s="430"/>
      <c r="AN204" s="430"/>
      <c r="AO204" s="498"/>
      <c r="AP204" s="993"/>
      <c r="AQ204" s="498"/>
      <c r="AR204" s="498"/>
      <c r="AS204" s="430"/>
      <c r="AT204" s="500"/>
      <c r="AU204" s="500"/>
      <c r="AV204" s="498"/>
      <c r="AW204" s="430"/>
      <c r="AX204" s="430"/>
      <c r="AY204" s="430"/>
      <c r="AZ204" s="430"/>
      <c r="BA204" s="430"/>
      <c r="BB204" s="498"/>
      <c r="BC204" s="498"/>
      <c r="BD204" s="498"/>
      <c r="BE204" s="498"/>
      <c r="BF204" s="498"/>
      <c r="BG204" s="498"/>
      <c r="BH204" s="498"/>
      <c r="BI204" s="498"/>
      <c r="BJ204" s="498"/>
      <c r="BK204" s="498"/>
      <c r="BL204" s="498"/>
      <c r="BM204" s="407"/>
      <c r="BN204" s="407"/>
      <c r="BO204" s="407"/>
      <c r="BP204" s="407"/>
      <c r="BQ204" s="407"/>
      <c r="BR204" s="407"/>
      <c r="BS204" s="441"/>
      <c r="BT204" s="441"/>
      <c r="BU204" s="913"/>
      <c r="BV204" s="441"/>
      <c r="BW204" s="441"/>
      <c r="BX204" s="441"/>
      <c r="BY204" s="441"/>
      <c r="BZ204" s="441"/>
      <c r="CA204" s="441"/>
      <c r="CB204" s="441"/>
      <c r="CC204" s="441"/>
      <c r="CD204" s="407"/>
      <c r="CE204" s="407"/>
      <c r="CG204" s="407"/>
      <c r="CH204" s="407"/>
      <c r="CI204" s="407"/>
      <c r="DD204" s="408"/>
      <c r="DG204" s="408"/>
      <c r="DH204" s="408"/>
    </row>
    <row r="205" spans="1:112" s="406" customFormat="1" ht="20.25" x14ac:dyDescent="0.3">
      <c r="A205" s="408"/>
      <c r="B205" s="430"/>
      <c r="D205" s="492"/>
      <c r="F205" s="540"/>
      <c r="G205" s="408"/>
      <c r="H205" s="497"/>
      <c r="I205" s="408"/>
      <c r="J205" s="408"/>
      <c r="K205" s="408"/>
      <c r="L205" s="408"/>
      <c r="M205" s="408"/>
      <c r="Q205" s="408"/>
      <c r="R205" s="408"/>
      <c r="S205" s="430"/>
      <c r="T205" s="498"/>
      <c r="U205" s="498"/>
      <c r="V205" s="498"/>
      <c r="W205" s="498"/>
      <c r="Y205" s="498"/>
      <c r="Z205" s="498"/>
      <c r="AA205" s="498"/>
      <c r="AB205" s="498"/>
      <c r="AC205" s="498"/>
      <c r="AD205" s="498"/>
      <c r="AE205" s="498"/>
      <c r="AF205" s="498"/>
      <c r="AG205" s="493"/>
      <c r="AH205" s="493"/>
      <c r="AI205" s="493"/>
      <c r="AJ205" s="493"/>
      <c r="AK205" s="493"/>
      <c r="AL205" s="493"/>
      <c r="AM205" s="430"/>
      <c r="AN205" s="430"/>
      <c r="AO205" s="498"/>
      <c r="AP205" s="993"/>
      <c r="AQ205" s="498"/>
      <c r="AR205" s="498"/>
      <c r="AS205" s="430"/>
      <c r="AT205" s="500"/>
      <c r="AU205" s="500"/>
      <c r="AV205" s="498"/>
      <c r="AW205" s="430"/>
      <c r="AX205" s="430"/>
      <c r="AY205" s="430"/>
      <c r="AZ205" s="430"/>
      <c r="BA205" s="430"/>
      <c r="BB205" s="498"/>
      <c r="BC205" s="498"/>
      <c r="BD205" s="498"/>
      <c r="BE205" s="498"/>
      <c r="BF205" s="498"/>
      <c r="BG205" s="498"/>
      <c r="BH205" s="498"/>
      <c r="BI205" s="498"/>
      <c r="BJ205" s="498"/>
      <c r="BK205" s="498"/>
      <c r="BL205" s="498"/>
      <c r="BM205" s="407"/>
      <c r="BN205" s="407"/>
      <c r="BO205" s="407"/>
      <c r="BP205" s="407"/>
      <c r="BQ205" s="407"/>
      <c r="BR205" s="407"/>
      <c r="BS205" s="441"/>
      <c r="BT205" s="441"/>
      <c r="BU205" s="913"/>
      <c r="BV205" s="441"/>
      <c r="BW205" s="441"/>
      <c r="BX205" s="441"/>
      <c r="BY205" s="441"/>
      <c r="BZ205" s="441"/>
      <c r="CA205" s="441"/>
      <c r="CB205" s="441"/>
      <c r="CC205" s="441"/>
      <c r="CD205" s="407"/>
      <c r="CE205" s="407"/>
      <c r="CG205" s="407"/>
      <c r="CH205" s="407"/>
      <c r="CI205" s="407"/>
      <c r="DD205" s="408"/>
      <c r="DG205" s="408"/>
      <c r="DH205" s="408"/>
    </row>
    <row r="206" spans="1:112" s="533" customFormat="1" ht="20.25" x14ac:dyDescent="0.3">
      <c r="A206" s="531"/>
      <c r="B206" s="532"/>
      <c r="D206" s="534"/>
      <c r="F206" s="531"/>
      <c r="G206" s="531"/>
      <c r="H206" s="535"/>
      <c r="I206" s="531"/>
      <c r="J206" s="531"/>
      <c r="K206" s="531"/>
      <c r="L206" s="531"/>
      <c r="M206" s="531"/>
      <c r="Q206" s="531"/>
      <c r="R206" s="531"/>
      <c r="S206" s="532"/>
      <c r="T206" s="536"/>
      <c r="U206" s="536"/>
      <c r="V206" s="536"/>
      <c r="W206" s="536"/>
      <c r="Y206" s="536"/>
      <c r="Z206" s="536"/>
      <c r="AA206" s="536"/>
      <c r="AB206" s="536"/>
      <c r="AC206" s="536"/>
      <c r="AD206" s="536"/>
      <c r="AE206" s="536"/>
      <c r="AF206" s="536"/>
      <c r="AG206" s="537"/>
      <c r="AH206" s="537"/>
      <c r="AI206" s="537"/>
      <c r="AJ206" s="537"/>
      <c r="AK206" s="537"/>
      <c r="AL206" s="537"/>
      <c r="AM206" s="532"/>
      <c r="AN206" s="532"/>
      <c r="AO206" s="536"/>
      <c r="AP206" s="997"/>
      <c r="AQ206" s="536"/>
      <c r="AR206" s="536"/>
      <c r="AS206" s="532"/>
      <c r="AT206" s="538"/>
      <c r="AU206" s="538"/>
      <c r="AV206" s="536"/>
      <c r="AW206" s="532"/>
      <c r="AX206" s="532"/>
      <c r="AY206" s="532"/>
      <c r="AZ206" s="532"/>
      <c r="BA206" s="532"/>
      <c r="BB206" s="536"/>
      <c r="BC206" s="536"/>
      <c r="BD206" s="536"/>
      <c r="BE206" s="536"/>
      <c r="BF206" s="536"/>
      <c r="BG206" s="536"/>
      <c r="BH206" s="536"/>
      <c r="BI206" s="536"/>
      <c r="BJ206" s="536"/>
      <c r="BK206" s="536"/>
      <c r="BL206" s="536"/>
      <c r="BM206" s="539"/>
      <c r="BN206" s="539"/>
      <c r="BO206" s="539"/>
      <c r="BP206" s="539"/>
      <c r="BQ206" s="539"/>
      <c r="BR206" s="539"/>
      <c r="BS206" s="441"/>
      <c r="BT206" s="441"/>
      <c r="BU206" s="913"/>
      <c r="BV206" s="441"/>
      <c r="BW206" s="441"/>
      <c r="BX206" s="441"/>
      <c r="BY206" s="441"/>
      <c r="BZ206" s="441"/>
      <c r="CA206" s="441"/>
      <c r="CB206" s="441"/>
      <c r="CC206" s="441"/>
      <c r="CD206" s="539"/>
      <c r="CE206" s="539"/>
      <c r="CG206" s="539"/>
      <c r="CH206" s="539"/>
      <c r="CI206" s="539"/>
      <c r="DD206" s="531"/>
      <c r="DG206" s="531"/>
      <c r="DH206" s="531"/>
    </row>
    <row r="207" spans="1:112" s="533" customFormat="1" ht="20.25" x14ac:dyDescent="0.3">
      <c r="A207" s="531"/>
      <c r="B207" s="532"/>
      <c r="D207" s="534"/>
      <c r="F207" s="531"/>
      <c r="G207" s="531"/>
      <c r="H207" s="535"/>
      <c r="I207" s="531"/>
      <c r="J207" s="531"/>
      <c r="K207" s="531"/>
      <c r="L207" s="531"/>
      <c r="M207" s="531"/>
      <c r="Q207" s="531"/>
      <c r="R207" s="531"/>
      <c r="S207" s="532"/>
      <c r="T207" s="536"/>
      <c r="U207" s="536"/>
      <c r="V207" s="536"/>
      <c r="W207" s="536"/>
      <c r="Y207" s="536"/>
      <c r="Z207" s="536"/>
      <c r="AA207" s="536"/>
      <c r="AB207" s="536"/>
      <c r="AC207" s="536"/>
      <c r="AD207" s="536"/>
      <c r="AE207" s="536"/>
      <c r="AF207" s="536"/>
      <c r="AG207" s="537"/>
      <c r="AH207" s="537"/>
      <c r="AI207" s="537"/>
      <c r="AJ207" s="537"/>
      <c r="AK207" s="537"/>
      <c r="AL207" s="537"/>
      <c r="AM207" s="532"/>
      <c r="AN207" s="532"/>
      <c r="AO207" s="536"/>
      <c r="AP207" s="997"/>
      <c r="AQ207" s="536"/>
      <c r="AR207" s="536"/>
      <c r="AS207" s="532"/>
      <c r="AT207" s="538"/>
      <c r="AU207" s="538"/>
      <c r="AV207" s="536"/>
      <c r="AW207" s="532"/>
      <c r="AX207" s="532"/>
      <c r="AY207" s="532"/>
      <c r="AZ207" s="532"/>
      <c r="BA207" s="532"/>
      <c r="BB207" s="536"/>
      <c r="BC207" s="536"/>
      <c r="BD207" s="536"/>
      <c r="BE207" s="536"/>
      <c r="BF207" s="536"/>
      <c r="BG207" s="536"/>
      <c r="BH207" s="536"/>
      <c r="BI207" s="536"/>
      <c r="BJ207" s="536"/>
      <c r="BK207" s="536"/>
      <c r="BL207" s="536"/>
      <c r="BM207" s="539"/>
      <c r="BN207" s="539"/>
      <c r="BO207" s="539"/>
      <c r="BP207" s="539"/>
      <c r="BQ207" s="539"/>
      <c r="BR207" s="539"/>
      <c r="BS207" s="441"/>
      <c r="BT207" s="441"/>
      <c r="BU207" s="913"/>
      <c r="BV207" s="441"/>
      <c r="BW207" s="441"/>
      <c r="BX207" s="441"/>
      <c r="BY207" s="441"/>
      <c r="BZ207" s="441"/>
      <c r="CA207" s="441"/>
      <c r="CB207" s="441"/>
      <c r="CC207" s="441"/>
      <c r="CD207" s="539"/>
      <c r="CE207" s="539"/>
      <c r="CG207" s="539"/>
      <c r="CH207" s="539"/>
      <c r="CI207" s="539"/>
      <c r="DD207" s="531"/>
      <c r="DG207" s="531"/>
      <c r="DH207" s="531"/>
    </row>
    <row r="208" spans="1:112" s="533" customFormat="1" ht="20.25" x14ac:dyDescent="0.3">
      <c r="A208" s="531"/>
      <c r="B208" s="532"/>
      <c r="D208" s="534"/>
      <c r="F208" s="531"/>
      <c r="G208" s="531"/>
      <c r="H208" s="535"/>
      <c r="I208" s="531"/>
      <c r="J208" s="531"/>
      <c r="K208" s="531"/>
      <c r="L208" s="531"/>
      <c r="M208" s="531"/>
      <c r="Q208" s="531"/>
      <c r="R208" s="531"/>
      <c r="S208" s="532"/>
      <c r="T208" s="536"/>
      <c r="U208" s="536"/>
      <c r="V208" s="536"/>
      <c r="W208" s="536"/>
      <c r="Y208" s="536"/>
      <c r="Z208" s="536"/>
      <c r="AA208" s="536"/>
      <c r="AB208" s="536"/>
      <c r="AC208" s="536"/>
      <c r="AD208" s="536"/>
      <c r="AE208" s="536"/>
      <c r="AF208" s="536"/>
      <c r="AG208" s="537"/>
      <c r="AH208" s="537"/>
      <c r="AI208" s="537"/>
      <c r="AJ208" s="537"/>
      <c r="AK208" s="537"/>
      <c r="AL208" s="537"/>
      <c r="AM208" s="532"/>
      <c r="AN208" s="532"/>
      <c r="AO208" s="536"/>
      <c r="AP208" s="997"/>
      <c r="AQ208" s="536"/>
      <c r="AR208" s="536"/>
      <c r="AS208" s="532"/>
      <c r="AT208" s="538"/>
      <c r="AU208" s="538"/>
      <c r="AV208" s="536"/>
      <c r="AW208" s="532"/>
      <c r="AX208" s="532"/>
      <c r="AY208" s="532"/>
      <c r="AZ208" s="532"/>
      <c r="BA208" s="532"/>
      <c r="BB208" s="536"/>
      <c r="BC208" s="536"/>
      <c r="BD208" s="536"/>
      <c r="BE208" s="536"/>
      <c r="BF208" s="536"/>
      <c r="BG208" s="536"/>
      <c r="BH208" s="536"/>
      <c r="BI208" s="536"/>
      <c r="BJ208" s="536"/>
      <c r="BK208" s="536"/>
      <c r="BL208" s="536"/>
      <c r="BM208" s="539"/>
      <c r="BN208" s="539"/>
      <c r="BO208" s="539"/>
      <c r="BP208" s="539"/>
      <c r="BQ208" s="539"/>
      <c r="BR208" s="539"/>
      <c r="BS208" s="441"/>
      <c r="BT208" s="441"/>
      <c r="BU208" s="913"/>
      <c r="BV208" s="441"/>
      <c r="BW208" s="441"/>
      <c r="BX208" s="441"/>
      <c r="BY208" s="441"/>
      <c r="BZ208" s="441"/>
      <c r="CA208" s="441"/>
      <c r="CB208" s="441"/>
      <c r="CC208" s="441"/>
      <c r="CD208" s="539"/>
      <c r="CE208" s="539"/>
      <c r="CG208" s="539"/>
      <c r="CH208" s="539"/>
      <c r="CI208" s="539"/>
      <c r="DD208" s="531"/>
      <c r="DG208" s="531"/>
      <c r="DH208" s="531"/>
    </row>
    <row r="209" spans="1:112" s="533" customFormat="1" ht="20.25" x14ac:dyDescent="0.3">
      <c r="A209" s="531"/>
      <c r="B209" s="532"/>
      <c r="D209" s="534"/>
      <c r="F209" s="531"/>
      <c r="G209" s="531"/>
      <c r="H209" s="535"/>
      <c r="I209" s="531"/>
      <c r="J209" s="531"/>
      <c r="K209" s="531"/>
      <c r="L209" s="531"/>
      <c r="M209" s="531"/>
      <c r="Q209" s="531"/>
      <c r="R209" s="531"/>
      <c r="S209" s="532"/>
      <c r="T209" s="536"/>
      <c r="U209" s="536"/>
      <c r="V209" s="536"/>
      <c r="W209" s="536"/>
      <c r="Y209" s="536"/>
      <c r="Z209" s="536"/>
      <c r="AA209" s="536"/>
      <c r="AB209" s="536"/>
      <c r="AC209" s="536"/>
      <c r="AD209" s="536"/>
      <c r="AE209" s="536"/>
      <c r="AF209" s="536"/>
      <c r="AG209" s="537"/>
      <c r="AH209" s="537"/>
      <c r="AI209" s="537"/>
      <c r="AJ209" s="537"/>
      <c r="AK209" s="537"/>
      <c r="AL209" s="537"/>
      <c r="AM209" s="532"/>
      <c r="AN209" s="532"/>
      <c r="AO209" s="536"/>
      <c r="AP209" s="997"/>
      <c r="AQ209" s="536"/>
      <c r="AR209" s="536"/>
      <c r="AS209" s="532"/>
      <c r="AT209" s="538"/>
      <c r="AU209" s="538"/>
      <c r="AV209" s="536"/>
      <c r="AW209" s="532"/>
      <c r="AX209" s="532"/>
      <c r="AY209" s="532"/>
      <c r="AZ209" s="532"/>
      <c r="BA209" s="532"/>
      <c r="BB209" s="536"/>
      <c r="BC209" s="536"/>
      <c r="BD209" s="536"/>
      <c r="BE209" s="536"/>
      <c r="BF209" s="536"/>
      <c r="BG209" s="536"/>
      <c r="BH209" s="536"/>
      <c r="BI209" s="536"/>
      <c r="BJ209" s="536"/>
      <c r="BK209" s="536"/>
      <c r="BL209" s="536"/>
      <c r="BM209" s="539"/>
      <c r="BN209" s="539"/>
      <c r="BO209" s="539"/>
      <c r="BP209" s="539"/>
      <c r="BQ209" s="539"/>
      <c r="BR209" s="539"/>
      <c r="BS209" s="441"/>
      <c r="BT209" s="441"/>
      <c r="BU209" s="913"/>
      <c r="BV209" s="441"/>
      <c r="BW209" s="441"/>
      <c r="BX209" s="441"/>
      <c r="BY209" s="441"/>
      <c r="BZ209" s="441"/>
      <c r="CA209" s="441"/>
      <c r="CB209" s="441"/>
      <c r="CC209" s="441"/>
      <c r="CD209" s="539"/>
      <c r="CE209" s="539"/>
      <c r="CG209" s="539"/>
      <c r="CH209" s="539"/>
      <c r="CI209" s="539"/>
      <c r="DD209" s="531"/>
      <c r="DG209" s="531"/>
      <c r="DH209" s="531"/>
    </row>
    <row r="210" spans="1:112" s="533" customFormat="1" ht="20.25" x14ac:dyDescent="0.3">
      <c r="A210" s="531"/>
      <c r="B210" s="532"/>
      <c r="D210" s="534"/>
      <c r="F210" s="531"/>
      <c r="G210" s="531"/>
      <c r="H210" s="535"/>
      <c r="I210" s="531"/>
      <c r="J210" s="531"/>
      <c r="K210" s="531"/>
      <c r="L210" s="531"/>
      <c r="M210" s="531"/>
      <c r="Q210" s="531"/>
      <c r="R210" s="531"/>
      <c r="S210" s="532"/>
      <c r="T210" s="536"/>
      <c r="U210" s="536"/>
      <c r="V210" s="536"/>
      <c r="W210" s="536"/>
      <c r="Y210" s="536"/>
      <c r="Z210" s="536"/>
      <c r="AA210" s="536"/>
      <c r="AB210" s="536"/>
      <c r="AC210" s="536"/>
      <c r="AD210" s="536"/>
      <c r="AE210" s="536"/>
      <c r="AF210" s="536"/>
      <c r="AG210" s="537"/>
      <c r="AH210" s="537"/>
      <c r="AI210" s="537"/>
      <c r="AJ210" s="537"/>
      <c r="AK210" s="537"/>
      <c r="AL210" s="537"/>
      <c r="AM210" s="532"/>
      <c r="AN210" s="532"/>
      <c r="AO210" s="536"/>
      <c r="AP210" s="997"/>
      <c r="AQ210" s="536"/>
      <c r="AR210" s="536"/>
      <c r="AS210" s="532"/>
      <c r="AT210" s="538"/>
      <c r="AU210" s="538"/>
      <c r="AV210" s="536"/>
      <c r="AW210" s="532"/>
      <c r="AX210" s="532"/>
      <c r="AY210" s="532"/>
      <c r="AZ210" s="532"/>
      <c r="BA210" s="532"/>
      <c r="BB210" s="536"/>
      <c r="BC210" s="536"/>
      <c r="BD210" s="536"/>
      <c r="BE210" s="536"/>
      <c r="BF210" s="536"/>
      <c r="BG210" s="536"/>
      <c r="BH210" s="536"/>
      <c r="BI210" s="536"/>
      <c r="BJ210" s="536"/>
      <c r="BK210" s="536"/>
      <c r="BL210" s="536"/>
      <c r="BM210" s="539"/>
      <c r="BN210" s="539"/>
      <c r="BO210" s="539"/>
      <c r="BP210" s="539"/>
      <c r="BQ210" s="539"/>
      <c r="BR210" s="539"/>
      <c r="BS210" s="441"/>
      <c r="BT210" s="441"/>
      <c r="BU210" s="913"/>
      <c r="BV210" s="441"/>
      <c r="BW210" s="441"/>
      <c r="BX210" s="441"/>
      <c r="BY210" s="441"/>
      <c r="BZ210" s="441"/>
      <c r="CA210" s="441"/>
      <c r="CB210" s="441"/>
      <c r="CC210" s="441"/>
      <c r="CD210" s="539"/>
      <c r="CE210" s="539"/>
      <c r="CG210" s="539"/>
      <c r="CH210" s="539"/>
      <c r="CI210" s="539"/>
      <c r="DD210" s="531"/>
      <c r="DG210" s="531"/>
      <c r="DH210" s="531"/>
    </row>
    <row r="211" spans="1:112" s="533" customFormat="1" ht="20.25" x14ac:dyDescent="0.3">
      <c r="A211" s="531"/>
      <c r="B211" s="532"/>
      <c r="D211" s="534"/>
      <c r="F211" s="531"/>
      <c r="G211" s="531"/>
      <c r="H211" s="535"/>
      <c r="I211" s="531"/>
      <c r="J211" s="531"/>
      <c r="K211" s="531"/>
      <c r="L211" s="531"/>
      <c r="M211" s="531"/>
      <c r="Q211" s="531"/>
      <c r="R211" s="531"/>
      <c r="S211" s="532"/>
      <c r="T211" s="536"/>
      <c r="U211" s="536"/>
      <c r="V211" s="536"/>
      <c r="W211" s="536"/>
      <c r="Y211" s="536"/>
      <c r="Z211" s="536"/>
      <c r="AA211" s="536"/>
      <c r="AB211" s="536"/>
      <c r="AC211" s="536"/>
      <c r="AD211" s="536"/>
      <c r="AE211" s="536"/>
      <c r="AF211" s="536"/>
      <c r="AG211" s="537"/>
      <c r="AH211" s="537"/>
      <c r="AI211" s="537"/>
      <c r="AJ211" s="537"/>
      <c r="AK211" s="537"/>
      <c r="AL211" s="537"/>
      <c r="AM211" s="532"/>
      <c r="AN211" s="532"/>
      <c r="AO211" s="536"/>
      <c r="AP211" s="997"/>
      <c r="AQ211" s="536"/>
      <c r="AR211" s="536"/>
      <c r="AS211" s="532"/>
      <c r="AT211" s="538"/>
      <c r="AU211" s="538"/>
      <c r="AV211" s="536"/>
      <c r="AW211" s="532"/>
      <c r="AX211" s="532"/>
      <c r="AY211" s="532"/>
      <c r="AZ211" s="532"/>
      <c r="BA211" s="532"/>
      <c r="BB211" s="536"/>
      <c r="BC211" s="536"/>
      <c r="BD211" s="536"/>
      <c r="BE211" s="536"/>
      <c r="BF211" s="536"/>
      <c r="BG211" s="536"/>
      <c r="BH211" s="536"/>
      <c r="BI211" s="536"/>
      <c r="BJ211" s="536"/>
      <c r="BK211" s="536"/>
      <c r="BL211" s="536"/>
      <c r="BM211" s="539"/>
      <c r="BN211" s="539"/>
      <c r="BO211" s="539"/>
      <c r="BP211" s="539"/>
      <c r="BQ211" s="539"/>
      <c r="BR211" s="539"/>
      <c r="BS211" s="441"/>
      <c r="BT211" s="441"/>
      <c r="BU211" s="913"/>
      <c r="BV211" s="441"/>
      <c r="BW211" s="441"/>
      <c r="BX211" s="441"/>
      <c r="BY211" s="441"/>
      <c r="BZ211" s="441"/>
      <c r="CA211" s="441"/>
      <c r="CB211" s="441"/>
      <c r="CC211" s="441"/>
      <c r="CD211" s="539"/>
      <c r="CE211" s="539"/>
      <c r="CG211" s="539"/>
      <c r="CH211" s="539"/>
      <c r="CI211" s="539"/>
      <c r="DD211" s="531"/>
      <c r="DG211" s="531"/>
      <c r="DH211" s="531"/>
    </row>
    <row r="212" spans="1:112" s="533" customFormat="1" ht="20.25" x14ac:dyDescent="0.3">
      <c r="A212" s="531"/>
      <c r="B212" s="532"/>
      <c r="D212" s="534"/>
      <c r="F212" s="531"/>
      <c r="G212" s="531"/>
      <c r="H212" s="535"/>
      <c r="I212" s="531"/>
      <c r="J212" s="531"/>
      <c r="K212" s="531"/>
      <c r="L212" s="531"/>
      <c r="M212" s="531"/>
      <c r="Q212" s="531"/>
      <c r="R212" s="531"/>
      <c r="S212" s="532"/>
      <c r="T212" s="536"/>
      <c r="U212" s="536"/>
      <c r="V212" s="536"/>
      <c r="W212" s="536"/>
      <c r="Y212" s="536"/>
      <c r="Z212" s="536"/>
      <c r="AA212" s="536"/>
      <c r="AB212" s="536"/>
      <c r="AC212" s="536"/>
      <c r="AD212" s="536"/>
      <c r="AE212" s="536"/>
      <c r="AF212" s="536"/>
      <c r="AG212" s="537"/>
      <c r="AH212" s="537"/>
      <c r="AI212" s="537"/>
      <c r="AJ212" s="537"/>
      <c r="AK212" s="537"/>
      <c r="AL212" s="537"/>
      <c r="AM212" s="532"/>
      <c r="AN212" s="532"/>
      <c r="AO212" s="536"/>
      <c r="AP212" s="997"/>
      <c r="AQ212" s="536"/>
      <c r="AR212" s="536"/>
      <c r="AS212" s="532"/>
      <c r="AT212" s="538"/>
      <c r="AU212" s="538"/>
      <c r="AV212" s="536"/>
      <c r="AW212" s="532"/>
      <c r="AX212" s="532"/>
      <c r="AY212" s="532"/>
      <c r="AZ212" s="532"/>
      <c r="BA212" s="532"/>
      <c r="BB212" s="536"/>
      <c r="BC212" s="536"/>
      <c r="BD212" s="536"/>
      <c r="BE212" s="536"/>
      <c r="BF212" s="536"/>
      <c r="BG212" s="536"/>
      <c r="BH212" s="536"/>
      <c r="BI212" s="536"/>
      <c r="BJ212" s="536"/>
      <c r="BK212" s="536"/>
      <c r="BL212" s="536"/>
      <c r="BM212" s="539"/>
      <c r="BN212" s="539"/>
      <c r="BO212" s="539"/>
      <c r="BP212" s="539"/>
      <c r="BQ212" s="539"/>
      <c r="BR212" s="539"/>
      <c r="BS212" s="441"/>
      <c r="BT212" s="441"/>
      <c r="BU212" s="913"/>
      <c r="BV212" s="441"/>
      <c r="BW212" s="441"/>
      <c r="BX212" s="441"/>
      <c r="BY212" s="441"/>
      <c r="BZ212" s="441"/>
      <c r="CA212" s="441"/>
      <c r="CB212" s="441"/>
      <c r="CC212" s="441"/>
      <c r="CD212" s="539"/>
      <c r="CE212" s="539"/>
      <c r="CG212" s="539"/>
      <c r="CH212" s="539"/>
      <c r="CI212" s="539"/>
      <c r="DD212" s="531"/>
      <c r="DG212" s="531"/>
      <c r="DH212" s="531"/>
    </row>
    <row r="213" spans="1:112" s="533" customFormat="1" ht="20.25" x14ac:dyDescent="0.3">
      <c r="A213" s="531"/>
      <c r="B213" s="532"/>
      <c r="D213" s="534"/>
      <c r="F213" s="531"/>
      <c r="G213" s="531"/>
      <c r="H213" s="535"/>
      <c r="I213" s="531"/>
      <c r="J213" s="531"/>
      <c r="K213" s="531"/>
      <c r="L213" s="531"/>
      <c r="M213" s="531"/>
      <c r="Q213" s="531"/>
      <c r="R213" s="531"/>
      <c r="S213" s="532"/>
      <c r="T213" s="536"/>
      <c r="U213" s="536"/>
      <c r="V213" s="536"/>
      <c r="W213" s="536"/>
      <c r="Y213" s="536"/>
      <c r="Z213" s="536"/>
      <c r="AA213" s="536"/>
      <c r="AB213" s="536"/>
      <c r="AC213" s="536"/>
      <c r="AD213" s="536"/>
      <c r="AE213" s="536"/>
      <c r="AF213" s="536"/>
      <c r="AG213" s="537"/>
      <c r="AH213" s="537"/>
      <c r="AI213" s="537"/>
      <c r="AJ213" s="537"/>
      <c r="AK213" s="537"/>
      <c r="AL213" s="537"/>
      <c r="AM213" s="532"/>
      <c r="AN213" s="532"/>
      <c r="AO213" s="536"/>
      <c r="AP213" s="997"/>
      <c r="AQ213" s="536"/>
      <c r="AR213" s="536"/>
      <c r="AS213" s="532"/>
      <c r="AT213" s="538"/>
      <c r="AU213" s="538"/>
      <c r="AV213" s="536"/>
      <c r="AW213" s="532"/>
      <c r="AX213" s="532"/>
      <c r="AY213" s="532"/>
      <c r="AZ213" s="532"/>
      <c r="BA213" s="532"/>
      <c r="BB213" s="536"/>
      <c r="BC213" s="536"/>
      <c r="BD213" s="536"/>
      <c r="BE213" s="536"/>
      <c r="BF213" s="536"/>
      <c r="BG213" s="536"/>
      <c r="BH213" s="536"/>
      <c r="BI213" s="536"/>
      <c r="BJ213" s="536"/>
      <c r="BK213" s="536"/>
      <c r="BL213" s="536"/>
      <c r="BM213" s="539"/>
      <c r="BN213" s="539"/>
      <c r="BO213" s="539"/>
      <c r="BP213" s="539"/>
      <c r="BQ213" s="539"/>
      <c r="BR213" s="539"/>
      <c r="BS213" s="441"/>
      <c r="BT213" s="441"/>
      <c r="BU213" s="913"/>
      <c r="BV213" s="441"/>
      <c r="BW213" s="441"/>
      <c r="BX213" s="441"/>
      <c r="BY213" s="441"/>
      <c r="BZ213" s="441"/>
      <c r="CA213" s="441"/>
      <c r="CB213" s="441"/>
      <c r="CC213" s="441"/>
      <c r="CD213" s="539"/>
      <c r="CE213" s="539"/>
      <c r="CG213" s="539"/>
      <c r="CH213" s="539"/>
      <c r="CI213" s="539"/>
      <c r="DD213" s="531"/>
      <c r="DG213" s="531"/>
      <c r="DH213" s="531"/>
    </row>
    <row r="214" spans="1:112" s="533" customFormat="1" ht="20.25" x14ac:dyDescent="0.3">
      <c r="A214" s="531"/>
      <c r="B214" s="532"/>
      <c r="D214" s="534"/>
      <c r="F214" s="531"/>
      <c r="G214" s="531"/>
      <c r="H214" s="535"/>
      <c r="I214" s="531"/>
      <c r="J214" s="531"/>
      <c r="K214" s="531"/>
      <c r="L214" s="531"/>
      <c r="M214" s="531"/>
      <c r="Q214" s="531"/>
      <c r="R214" s="531"/>
      <c r="S214" s="532"/>
      <c r="T214" s="536"/>
      <c r="U214" s="536"/>
      <c r="V214" s="536"/>
      <c r="W214" s="536"/>
      <c r="Y214" s="536"/>
      <c r="Z214" s="536"/>
      <c r="AA214" s="536"/>
      <c r="AB214" s="536"/>
      <c r="AC214" s="536"/>
      <c r="AD214" s="536"/>
      <c r="AE214" s="536"/>
      <c r="AF214" s="536"/>
      <c r="AG214" s="537"/>
      <c r="AH214" s="537"/>
      <c r="AI214" s="537"/>
      <c r="AJ214" s="537"/>
      <c r="AK214" s="537"/>
      <c r="AL214" s="537"/>
      <c r="AM214" s="532"/>
      <c r="AN214" s="532"/>
      <c r="AO214" s="536"/>
      <c r="AP214" s="997"/>
      <c r="AQ214" s="536"/>
      <c r="AR214" s="536"/>
      <c r="AS214" s="532"/>
      <c r="AT214" s="538"/>
      <c r="AU214" s="538"/>
      <c r="AV214" s="536"/>
      <c r="AW214" s="532"/>
      <c r="AX214" s="532"/>
      <c r="AY214" s="532"/>
      <c r="AZ214" s="532"/>
      <c r="BA214" s="532"/>
      <c r="BB214" s="536"/>
      <c r="BC214" s="536"/>
      <c r="BD214" s="536"/>
      <c r="BE214" s="536"/>
      <c r="BF214" s="536"/>
      <c r="BG214" s="536"/>
      <c r="BH214" s="536"/>
      <c r="BI214" s="536"/>
      <c r="BJ214" s="536"/>
      <c r="BK214" s="536"/>
      <c r="BL214" s="536"/>
      <c r="BM214" s="539"/>
      <c r="BN214" s="539"/>
      <c r="BO214" s="539"/>
      <c r="BP214" s="539"/>
      <c r="BQ214" s="539"/>
      <c r="BR214" s="539"/>
      <c r="BS214" s="441"/>
      <c r="BT214" s="441"/>
      <c r="BU214" s="913"/>
      <c r="BV214" s="441"/>
      <c r="BW214" s="441"/>
      <c r="BX214" s="441"/>
      <c r="BY214" s="441"/>
      <c r="BZ214" s="441"/>
      <c r="CA214" s="441"/>
      <c r="CB214" s="441"/>
      <c r="CC214" s="441"/>
      <c r="CD214" s="539"/>
      <c r="CE214" s="539"/>
      <c r="CG214" s="539"/>
      <c r="CH214" s="539"/>
      <c r="CI214" s="539"/>
      <c r="DD214" s="531"/>
      <c r="DG214" s="531"/>
      <c r="DH214" s="531"/>
    </row>
    <row r="215" spans="1:112" s="533" customFormat="1" ht="20.25" x14ac:dyDescent="0.3">
      <c r="A215" s="531"/>
      <c r="B215" s="532"/>
      <c r="D215" s="534"/>
      <c r="F215" s="531"/>
      <c r="G215" s="531"/>
      <c r="H215" s="535"/>
      <c r="I215" s="531"/>
      <c r="J215" s="531"/>
      <c r="K215" s="531"/>
      <c r="L215" s="531"/>
      <c r="M215" s="531"/>
      <c r="Q215" s="531"/>
      <c r="R215" s="531"/>
      <c r="S215" s="532"/>
      <c r="T215" s="536"/>
      <c r="U215" s="536"/>
      <c r="V215" s="536"/>
      <c r="W215" s="536"/>
      <c r="Y215" s="536"/>
      <c r="Z215" s="536"/>
      <c r="AA215" s="536"/>
      <c r="AB215" s="536"/>
      <c r="AC215" s="536"/>
      <c r="AD215" s="536"/>
      <c r="AE215" s="536"/>
      <c r="AF215" s="536"/>
      <c r="AG215" s="537"/>
      <c r="AH215" s="537"/>
      <c r="AI215" s="537"/>
      <c r="AJ215" s="537"/>
      <c r="AK215" s="537"/>
      <c r="AL215" s="537"/>
      <c r="AM215" s="532"/>
      <c r="AN215" s="532"/>
      <c r="AO215" s="536"/>
      <c r="AP215" s="997"/>
      <c r="AQ215" s="536"/>
      <c r="AR215" s="536"/>
      <c r="AS215" s="532"/>
      <c r="AT215" s="538"/>
      <c r="AU215" s="538"/>
      <c r="AV215" s="536"/>
      <c r="AW215" s="532"/>
      <c r="AX215" s="532"/>
      <c r="AY215" s="532"/>
      <c r="AZ215" s="532"/>
      <c r="BA215" s="532"/>
      <c r="BB215" s="536"/>
      <c r="BC215" s="536"/>
      <c r="BD215" s="536"/>
      <c r="BE215" s="536"/>
      <c r="BF215" s="536"/>
      <c r="BG215" s="536"/>
      <c r="BH215" s="536"/>
      <c r="BI215" s="536"/>
      <c r="BJ215" s="536"/>
      <c r="BK215" s="536"/>
      <c r="BL215" s="536"/>
      <c r="BM215" s="539"/>
      <c r="BN215" s="539"/>
      <c r="BO215" s="539"/>
      <c r="BP215" s="539"/>
      <c r="BQ215" s="539"/>
      <c r="BR215" s="539"/>
      <c r="BS215" s="441"/>
      <c r="BT215" s="441"/>
      <c r="BU215" s="913"/>
      <c r="BV215" s="441"/>
      <c r="BW215" s="441"/>
      <c r="BX215" s="441"/>
      <c r="BY215" s="441"/>
      <c r="BZ215" s="441"/>
      <c r="CA215" s="441"/>
      <c r="CB215" s="441"/>
      <c r="CC215" s="441"/>
      <c r="CD215" s="539"/>
      <c r="CE215" s="539"/>
      <c r="CG215" s="539"/>
      <c r="CH215" s="539"/>
      <c r="CI215" s="539"/>
      <c r="DD215" s="531"/>
      <c r="DG215" s="531"/>
      <c r="DH215" s="531"/>
    </row>
    <row r="216" spans="1:112" s="533" customFormat="1" ht="20.25" x14ac:dyDescent="0.3">
      <c r="A216" s="531"/>
      <c r="B216" s="532"/>
      <c r="D216" s="534"/>
      <c r="F216" s="531"/>
      <c r="G216" s="531"/>
      <c r="H216" s="535"/>
      <c r="I216" s="531"/>
      <c r="J216" s="531"/>
      <c r="K216" s="531"/>
      <c r="L216" s="531"/>
      <c r="M216" s="531"/>
      <c r="Q216" s="531"/>
      <c r="R216" s="531"/>
      <c r="S216" s="532"/>
      <c r="T216" s="536"/>
      <c r="U216" s="536"/>
      <c r="V216" s="536"/>
      <c r="W216" s="536"/>
      <c r="Y216" s="536"/>
      <c r="Z216" s="536"/>
      <c r="AA216" s="536"/>
      <c r="AB216" s="536"/>
      <c r="AC216" s="536"/>
      <c r="AD216" s="536"/>
      <c r="AE216" s="536"/>
      <c r="AF216" s="536"/>
      <c r="AG216" s="537"/>
      <c r="AH216" s="537"/>
      <c r="AI216" s="537"/>
      <c r="AJ216" s="537"/>
      <c r="AK216" s="537"/>
      <c r="AL216" s="537"/>
      <c r="AM216" s="532"/>
      <c r="AN216" s="532"/>
      <c r="AO216" s="536"/>
      <c r="AP216" s="997"/>
      <c r="AQ216" s="536"/>
      <c r="AR216" s="536"/>
      <c r="AS216" s="532"/>
      <c r="AT216" s="538"/>
      <c r="AU216" s="538"/>
      <c r="AV216" s="536"/>
      <c r="AW216" s="532"/>
      <c r="AX216" s="532"/>
      <c r="AY216" s="532"/>
      <c r="AZ216" s="532"/>
      <c r="BA216" s="532"/>
      <c r="BB216" s="536"/>
      <c r="BC216" s="536"/>
      <c r="BD216" s="536"/>
      <c r="BE216" s="536"/>
      <c r="BF216" s="536"/>
      <c r="BG216" s="536"/>
      <c r="BH216" s="536"/>
      <c r="BI216" s="536"/>
      <c r="BJ216" s="536"/>
      <c r="BK216" s="536"/>
      <c r="BL216" s="536"/>
      <c r="BM216" s="539"/>
      <c r="BN216" s="539"/>
      <c r="BO216" s="539"/>
      <c r="BP216" s="539"/>
      <c r="BQ216" s="539"/>
      <c r="BR216" s="539"/>
      <c r="BS216" s="441"/>
      <c r="BT216" s="441"/>
      <c r="BU216" s="913"/>
      <c r="BV216" s="441"/>
      <c r="BW216" s="441"/>
      <c r="BX216" s="441"/>
      <c r="BY216" s="441"/>
      <c r="BZ216" s="441"/>
      <c r="CA216" s="441"/>
      <c r="CB216" s="441"/>
      <c r="CC216" s="441"/>
      <c r="CD216" s="539"/>
      <c r="CE216" s="539"/>
      <c r="CG216" s="539"/>
      <c r="CH216" s="539"/>
      <c r="CI216" s="539"/>
      <c r="DD216" s="531"/>
      <c r="DG216" s="531"/>
      <c r="DH216" s="531"/>
    </row>
    <row r="217" spans="1:112" s="533" customFormat="1" ht="20.25" x14ac:dyDescent="0.3">
      <c r="A217" s="531"/>
      <c r="B217" s="532"/>
      <c r="D217" s="534"/>
      <c r="F217" s="531"/>
      <c r="G217" s="531"/>
      <c r="H217" s="535"/>
      <c r="I217" s="531"/>
      <c r="J217" s="531"/>
      <c r="K217" s="531"/>
      <c r="L217" s="531"/>
      <c r="M217" s="531"/>
      <c r="Q217" s="531"/>
      <c r="R217" s="531"/>
      <c r="S217" s="532"/>
      <c r="T217" s="536"/>
      <c r="U217" s="536"/>
      <c r="V217" s="536"/>
      <c r="W217" s="536"/>
      <c r="Y217" s="536"/>
      <c r="Z217" s="536"/>
      <c r="AA217" s="536"/>
      <c r="AB217" s="536"/>
      <c r="AC217" s="536"/>
      <c r="AD217" s="536"/>
      <c r="AE217" s="536"/>
      <c r="AF217" s="536"/>
      <c r="AG217" s="537"/>
      <c r="AH217" s="537"/>
      <c r="AI217" s="537"/>
      <c r="AJ217" s="537"/>
      <c r="AK217" s="537"/>
      <c r="AL217" s="537"/>
      <c r="AM217" s="532"/>
      <c r="AN217" s="532"/>
      <c r="AO217" s="536"/>
      <c r="AP217" s="997"/>
      <c r="AQ217" s="536"/>
      <c r="AR217" s="536"/>
      <c r="AS217" s="532"/>
      <c r="AT217" s="538"/>
      <c r="AU217" s="538"/>
      <c r="AV217" s="536"/>
      <c r="AW217" s="532"/>
      <c r="AX217" s="532"/>
      <c r="AY217" s="532"/>
      <c r="AZ217" s="532"/>
      <c r="BA217" s="532"/>
      <c r="BB217" s="536"/>
      <c r="BC217" s="536"/>
      <c r="BD217" s="536"/>
      <c r="BE217" s="536"/>
      <c r="BF217" s="536"/>
      <c r="BG217" s="536"/>
      <c r="BH217" s="536"/>
      <c r="BI217" s="536"/>
      <c r="BJ217" s="536"/>
      <c r="BK217" s="536"/>
      <c r="BL217" s="536"/>
      <c r="BM217" s="539"/>
      <c r="BN217" s="539"/>
      <c r="BO217" s="539"/>
      <c r="BP217" s="539"/>
      <c r="BQ217" s="539"/>
      <c r="BR217" s="539"/>
      <c r="BS217" s="441"/>
      <c r="BT217" s="441"/>
      <c r="BU217" s="913"/>
      <c r="BV217" s="441"/>
      <c r="BW217" s="441"/>
      <c r="BX217" s="441"/>
      <c r="BY217" s="441"/>
      <c r="BZ217" s="441"/>
      <c r="CA217" s="441"/>
      <c r="CB217" s="441"/>
      <c r="CC217" s="441"/>
      <c r="CD217" s="539"/>
      <c r="CE217" s="539"/>
      <c r="CG217" s="539"/>
      <c r="CH217" s="539"/>
      <c r="CI217" s="539"/>
      <c r="DD217" s="531"/>
      <c r="DG217" s="531"/>
      <c r="DH217" s="531"/>
    </row>
    <row r="218" spans="1:112" s="533" customFormat="1" ht="20.25" x14ac:dyDescent="0.3">
      <c r="A218" s="531"/>
      <c r="B218" s="532"/>
      <c r="D218" s="534"/>
      <c r="F218" s="531"/>
      <c r="G218" s="531"/>
      <c r="H218" s="535"/>
      <c r="I218" s="531"/>
      <c r="J218" s="531"/>
      <c r="K218" s="531"/>
      <c r="L218" s="531"/>
      <c r="M218" s="531"/>
      <c r="Q218" s="531"/>
      <c r="R218" s="531"/>
      <c r="S218" s="532"/>
      <c r="T218" s="536"/>
      <c r="U218" s="536"/>
      <c r="V218" s="536"/>
      <c r="W218" s="536"/>
      <c r="Y218" s="536"/>
      <c r="Z218" s="536"/>
      <c r="AA218" s="536"/>
      <c r="AB218" s="536"/>
      <c r="AC218" s="536"/>
      <c r="AD218" s="536"/>
      <c r="AE218" s="536"/>
      <c r="AF218" s="536"/>
      <c r="AG218" s="537"/>
      <c r="AH218" s="537"/>
      <c r="AI218" s="537"/>
      <c r="AJ218" s="537"/>
      <c r="AK218" s="537"/>
      <c r="AL218" s="537"/>
      <c r="AM218" s="532"/>
      <c r="AN218" s="532"/>
      <c r="AO218" s="536"/>
      <c r="AP218" s="997"/>
      <c r="AQ218" s="536"/>
      <c r="AR218" s="536"/>
      <c r="AS218" s="532"/>
      <c r="AT218" s="538"/>
      <c r="AU218" s="538"/>
      <c r="AV218" s="536"/>
      <c r="AW218" s="532"/>
      <c r="AX218" s="532"/>
      <c r="AY218" s="532"/>
      <c r="AZ218" s="532"/>
      <c r="BA218" s="532"/>
      <c r="BB218" s="536"/>
      <c r="BC218" s="536"/>
      <c r="BD218" s="536"/>
      <c r="BE218" s="536"/>
      <c r="BF218" s="536"/>
      <c r="BG218" s="536"/>
      <c r="BH218" s="536"/>
      <c r="BI218" s="536"/>
      <c r="BJ218" s="536"/>
      <c r="BK218" s="536"/>
      <c r="BL218" s="536"/>
      <c r="BM218" s="539"/>
      <c r="BN218" s="539"/>
      <c r="BO218" s="539"/>
      <c r="BP218" s="539"/>
      <c r="BQ218" s="539"/>
      <c r="BR218" s="539"/>
      <c r="BS218" s="441"/>
      <c r="BT218" s="441"/>
      <c r="BU218" s="913"/>
      <c r="BV218" s="441"/>
      <c r="BW218" s="441"/>
      <c r="BX218" s="441"/>
      <c r="BY218" s="441"/>
      <c r="BZ218" s="441"/>
      <c r="CA218" s="441"/>
      <c r="CB218" s="441"/>
      <c r="CC218" s="441"/>
      <c r="CD218" s="539"/>
      <c r="CE218" s="539"/>
      <c r="CG218" s="539"/>
      <c r="CH218" s="539"/>
      <c r="CI218" s="539"/>
      <c r="DD218" s="531"/>
      <c r="DG218" s="531"/>
      <c r="DH218" s="531"/>
    </row>
    <row r="219" spans="1:112" s="533" customFormat="1" ht="20.25" x14ac:dyDescent="0.3">
      <c r="A219" s="531"/>
      <c r="B219" s="532"/>
      <c r="D219" s="534"/>
      <c r="F219" s="531"/>
      <c r="G219" s="531"/>
      <c r="H219" s="535"/>
      <c r="I219" s="531"/>
      <c r="J219" s="531"/>
      <c r="K219" s="531"/>
      <c r="L219" s="531"/>
      <c r="M219" s="531"/>
      <c r="Q219" s="531"/>
      <c r="R219" s="531"/>
      <c r="S219" s="532"/>
      <c r="T219" s="536"/>
      <c r="U219" s="536"/>
      <c r="V219" s="536"/>
      <c r="W219" s="536"/>
      <c r="Y219" s="536"/>
      <c r="Z219" s="536"/>
      <c r="AA219" s="536"/>
      <c r="AB219" s="536"/>
      <c r="AC219" s="536"/>
      <c r="AD219" s="536"/>
      <c r="AE219" s="536"/>
      <c r="AF219" s="536"/>
      <c r="AG219" s="537"/>
      <c r="AH219" s="537"/>
      <c r="AI219" s="537"/>
      <c r="AJ219" s="537"/>
      <c r="AK219" s="537"/>
      <c r="AL219" s="537"/>
      <c r="AM219" s="532"/>
      <c r="AN219" s="532"/>
      <c r="AO219" s="536"/>
      <c r="AP219" s="997"/>
      <c r="AQ219" s="536"/>
      <c r="AR219" s="536"/>
      <c r="AS219" s="532"/>
      <c r="AT219" s="538"/>
      <c r="AU219" s="538"/>
      <c r="AV219" s="536"/>
      <c r="AW219" s="532"/>
      <c r="AX219" s="532"/>
      <c r="AY219" s="532"/>
      <c r="AZ219" s="532"/>
      <c r="BA219" s="532"/>
      <c r="BB219" s="536"/>
      <c r="BC219" s="536"/>
      <c r="BD219" s="536"/>
      <c r="BE219" s="536"/>
      <c r="BF219" s="536"/>
      <c r="BG219" s="536"/>
      <c r="BH219" s="536"/>
      <c r="BI219" s="536"/>
      <c r="BJ219" s="536"/>
      <c r="BK219" s="536"/>
      <c r="BL219" s="536"/>
      <c r="BM219" s="539"/>
      <c r="BN219" s="539"/>
      <c r="BO219" s="539"/>
      <c r="BP219" s="539"/>
      <c r="BQ219" s="539"/>
      <c r="BR219" s="539"/>
      <c r="BS219" s="441"/>
      <c r="BT219" s="441"/>
      <c r="BU219" s="913"/>
      <c r="BV219" s="441"/>
      <c r="BW219" s="441"/>
      <c r="BX219" s="441"/>
      <c r="BY219" s="441"/>
      <c r="BZ219" s="441"/>
      <c r="CA219" s="441"/>
      <c r="CB219" s="441"/>
      <c r="CC219" s="441"/>
      <c r="CD219" s="539"/>
      <c r="CE219" s="539"/>
      <c r="CG219" s="539"/>
      <c r="CH219" s="539"/>
      <c r="CI219" s="539"/>
      <c r="DD219" s="531"/>
      <c r="DG219" s="531"/>
      <c r="DH219" s="531"/>
    </row>
    <row r="220" spans="1:112" s="533" customFormat="1" ht="20.25" x14ac:dyDescent="0.3">
      <c r="A220" s="531"/>
      <c r="B220" s="532"/>
      <c r="D220" s="534"/>
      <c r="F220" s="531"/>
      <c r="G220" s="531"/>
      <c r="H220" s="535"/>
      <c r="I220" s="531"/>
      <c r="J220" s="531"/>
      <c r="K220" s="531"/>
      <c r="L220" s="531"/>
      <c r="M220" s="531"/>
      <c r="Q220" s="531"/>
      <c r="R220" s="531"/>
      <c r="S220" s="532"/>
      <c r="T220" s="536"/>
      <c r="U220" s="536"/>
      <c r="V220" s="536"/>
      <c r="W220" s="536"/>
      <c r="Y220" s="536"/>
      <c r="Z220" s="536"/>
      <c r="AA220" s="536"/>
      <c r="AB220" s="536"/>
      <c r="AC220" s="536"/>
      <c r="AD220" s="536"/>
      <c r="AE220" s="536"/>
      <c r="AF220" s="536"/>
      <c r="AG220" s="537"/>
      <c r="AH220" s="537"/>
      <c r="AI220" s="537"/>
      <c r="AJ220" s="537"/>
      <c r="AK220" s="537"/>
      <c r="AL220" s="537"/>
      <c r="AM220" s="532"/>
      <c r="AN220" s="532"/>
      <c r="AO220" s="536"/>
      <c r="AP220" s="997"/>
      <c r="AQ220" s="536"/>
      <c r="AR220" s="536"/>
      <c r="AS220" s="532"/>
      <c r="AT220" s="538"/>
      <c r="AU220" s="538"/>
      <c r="AV220" s="536"/>
      <c r="AW220" s="532"/>
      <c r="AX220" s="532"/>
      <c r="AY220" s="532"/>
      <c r="AZ220" s="532"/>
      <c r="BA220" s="532"/>
      <c r="BB220" s="536"/>
      <c r="BC220" s="536"/>
      <c r="BD220" s="536"/>
      <c r="BE220" s="536"/>
      <c r="BF220" s="536"/>
      <c r="BG220" s="536"/>
      <c r="BH220" s="536"/>
      <c r="BI220" s="536"/>
      <c r="BJ220" s="536"/>
      <c r="BK220" s="536"/>
      <c r="BL220" s="536"/>
      <c r="BM220" s="539"/>
      <c r="BN220" s="539"/>
      <c r="BO220" s="539"/>
      <c r="BP220" s="539"/>
      <c r="BQ220" s="539"/>
      <c r="BR220" s="539"/>
      <c r="BS220" s="441"/>
      <c r="BT220" s="441"/>
      <c r="BU220" s="913"/>
      <c r="BV220" s="441"/>
      <c r="BW220" s="441"/>
      <c r="BX220" s="441"/>
      <c r="BY220" s="441"/>
      <c r="BZ220" s="441"/>
      <c r="CA220" s="441"/>
      <c r="CB220" s="441"/>
      <c r="CC220" s="441"/>
      <c r="CD220" s="539"/>
      <c r="CE220" s="539"/>
      <c r="CG220" s="539"/>
      <c r="CH220" s="539"/>
      <c r="CI220" s="539"/>
      <c r="DD220" s="531"/>
      <c r="DG220" s="531"/>
      <c r="DH220" s="531"/>
    </row>
    <row r="221" spans="1:112" s="533" customFormat="1" ht="20.25" x14ac:dyDescent="0.3">
      <c r="A221" s="531"/>
      <c r="B221" s="532"/>
      <c r="D221" s="534"/>
      <c r="F221" s="531"/>
      <c r="G221" s="531"/>
      <c r="H221" s="535"/>
      <c r="I221" s="531"/>
      <c r="J221" s="531"/>
      <c r="K221" s="531"/>
      <c r="L221" s="531"/>
      <c r="M221" s="531"/>
      <c r="Q221" s="531"/>
      <c r="R221" s="531"/>
      <c r="S221" s="532"/>
      <c r="T221" s="536"/>
      <c r="U221" s="536"/>
      <c r="V221" s="536"/>
      <c r="W221" s="536"/>
      <c r="Y221" s="536"/>
      <c r="Z221" s="536"/>
      <c r="AA221" s="536"/>
      <c r="AB221" s="536"/>
      <c r="AC221" s="536"/>
      <c r="AD221" s="536"/>
      <c r="AE221" s="536"/>
      <c r="AF221" s="536"/>
      <c r="AG221" s="537"/>
      <c r="AH221" s="537"/>
      <c r="AI221" s="537"/>
      <c r="AJ221" s="537"/>
      <c r="AK221" s="537"/>
      <c r="AL221" s="537"/>
      <c r="AM221" s="532"/>
      <c r="AN221" s="532"/>
      <c r="AO221" s="536"/>
      <c r="AP221" s="997"/>
      <c r="AQ221" s="536"/>
      <c r="AR221" s="536"/>
      <c r="AS221" s="532"/>
      <c r="AT221" s="538"/>
      <c r="AU221" s="538"/>
      <c r="AV221" s="536"/>
      <c r="AW221" s="532"/>
      <c r="AX221" s="532"/>
      <c r="AY221" s="532"/>
      <c r="AZ221" s="532"/>
      <c r="BA221" s="532"/>
      <c r="BB221" s="536"/>
      <c r="BC221" s="536"/>
      <c r="BD221" s="536"/>
      <c r="BE221" s="536"/>
      <c r="BF221" s="536"/>
      <c r="BG221" s="536"/>
      <c r="BH221" s="536"/>
      <c r="BI221" s="536"/>
      <c r="BJ221" s="536"/>
      <c r="BK221" s="536"/>
      <c r="BL221" s="536"/>
      <c r="BM221" s="539"/>
      <c r="BN221" s="539"/>
      <c r="BO221" s="539"/>
      <c r="BP221" s="539"/>
      <c r="BQ221" s="539"/>
      <c r="BR221" s="539"/>
      <c r="BS221" s="441"/>
      <c r="BT221" s="441"/>
      <c r="BU221" s="913"/>
      <c r="BV221" s="441"/>
      <c r="BW221" s="441"/>
      <c r="BX221" s="441"/>
      <c r="BY221" s="441"/>
      <c r="BZ221" s="441"/>
      <c r="CA221" s="441"/>
      <c r="CB221" s="441"/>
      <c r="CC221" s="441"/>
      <c r="CD221" s="539"/>
      <c r="CE221" s="539"/>
      <c r="CG221" s="539"/>
      <c r="CH221" s="539"/>
      <c r="CI221" s="539"/>
      <c r="DD221" s="531"/>
      <c r="DG221" s="531"/>
      <c r="DH221" s="531"/>
    </row>
    <row r="222" spans="1:112" s="533" customFormat="1" ht="20.25" x14ac:dyDescent="0.3">
      <c r="A222" s="531"/>
      <c r="B222" s="532"/>
      <c r="D222" s="534"/>
      <c r="F222" s="531"/>
      <c r="G222" s="531"/>
      <c r="H222" s="535"/>
      <c r="I222" s="531"/>
      <c r="J222" s="531"/>
      <c r="K222" s="531"/>
      <c r="L222" s="531"/>
      <c r="M222" s="531"/>
      <c r="Q222" s="531"/>
      <c r="R222" s="531"/>
      <c r="S222" s="532"/>
      <c r="T222" s="536"/>
      <c r="U222" s="536"/>
      <c r="V222" s="536"/>
      <c r="W222" s="536"/>
      <c r="Y222" s="536"/>
      <c r="Z222" s="536"/>
      <c r="AA222" s="536"/>
      <c r="AB222" s="536"/>
      <c r="AC222" s="536"/>
      <c r="AD222" s="536"/>
      <c r="AE222" s="536"/>
      <c r="AF222" s="536"/>
      <c r="AG222" s="537"/>
      <c r="AH222" s="537"/>
      <c r="AI222" s="537"/>
      <c r="AJ222" s="537"/>
      <c r="AK222" s="537"/>
      <c r="AL222" s="537"/>
      <c r="AM222" s="532"/>
      <c r="AN222" s="532"/>
      <c r="AO222" s="536"/>
      <c r="AP222" s="997"/>
      <c r="AQ222" s="536"/>
      <c r="AR222" s="536"/>
      <c r="AS222" s="532"/>
      <c r="AT222" s="538"/>
      <c r="AU222" s="538"/>
      <c r="AV222" s="536"/>
      <c r="AW222" s="532"/>
      <c r="AX222" s="532"/>
      <c r="AY222" s="532"/>
      <c r="AZ222" s="532"/>
      <c r="BA222" s="532"/>
      <c r="BB222" s="536"/>
      <c r="BC222" s="536"/>
      <c r="BD222" s="536"/>
      <c r="BE222" s="536"/>
      <c r="BF222" s="536"/>
      <c r="BG222" s="536"/>
      <c r="BH222" s="536"/>
      <c r="BI222" s="536"/>
      <c r="BJ222" s="536"/>
      <c r="BK222" s="536"/>
      <c r="BL222" s="536"/>
      <c r="BM222" s="539"/>
      <c r="BN222" s="539"/>
      <c r="BO222" s="539"/>
      <c r="BP222" s="539"/>
      <c r="BQ222" s="539"/>
      <c r="BR222" s="539"/>
      <c r="BS222" s="441"/>
      <c r="BT222" s="441"/>
      <c r="BU222" s="913"/>
      <c r="BV222" s="441"/>
      <c r="BW222" s="441"/>
      <c r="BX222" s="441"/>
      <c r="BY222" s="441"/>
      <c r="BZ222" s="441"/>
      <c r="CA222" s="441"/>
      <c r="CB222" s="441"/>
      <c r="CC222" s="441"/>
      <c r="CD222" s="539"/>
      <c r="CE222" s="539"/>
      <c r="CG222" s="539"/>
      <c r="CH222" s="539"/>
      <c r="CI222" s="539"/>
      <c r="DD222" s="531"/>
      <c r="DG222" s="531"/>
      <c r="DH222" s="531"/>
    </row>
    <row r="223" spans="1:112" s="533" customFormat="1" ht="20.25" x14ac:dyDescent="0.3">
      <c r="A223" s="531"/>
      <c r="B223" s="532"/>
      <c r="D223" s="534"/>
      <c r="F223" s="531"/>
      <c r="G223" s="531"/>
      <c r="H223" s="535"/>
      <c r="I223" s="531"/>
      <c r="J223" s="531"/>
      <c r="K223" s="531"/>
      <c r="L223" s="531"/>
      <c r="M223" s="531"/>
      <c r="Q223" s="531"/>
      <c r="R223" s="531"/>
      <c r="S223" s="532"/>
      <c r="T223" s="536"/>
      <c r="U223" s="536"/>
      <c r="V223" s="536"/>
      <c r="W223" s="536"/>
      <c r="Y223" s="536"/>
      <c r="Z223" s="536"/>
      <c r="AA223" s="536"/>
      <c r="AB223" s="536"/>
      <c r="AC223" s="536"/>
      <c r="AD223" s="536"/>
      <c r="AE223" s="536"/>
      <c r="AF223" s="536"/>
      <c r="AG223" s="537"/>
      <c r="AH223" s="537"/>
      <c r="AI223" s="537"/>
      <c r="AJ223" s="537"/>
      <c r="AK223" s="537"/>
      <c r="AL223" s="537"/>
      <c r="AM223" s="532"/>
      <c r="AN223" s="532"/>
      <c r="AO223" s="536"/>
      <c r="AP223" s="997"/>
      <c r="AQ223" s="536"/>
      <c r="AR223" s="536"/>
      <c r="AS223" s="532"/>
      <c r="AT223" s="538"/>
      <c r="AU223" s="538"/>
      <c r="AV223" s="536"/>
      <c r="AW223" s="532"/>
      <c r="AX223" s="532"/>
      <c r="AY223" s="532"/>
      <c r="AZ223" s="532"/>
      <c r="BA223" s="532"/>
      <c r="BB223" s="536"/>
      <c r="BC223" s="536"/>
      <c r="BD223" s="536"/>
      <c r="BE223" s="536"/>
      <c r="BF223" s="536"/>
      <c r="BG223" s="536"/>
      <c r="BH223" s="536"/>
      <c r="BI223" s="536"/>
      <c r="BJ223" s="536"/>
      <c r="BK223" s="536"/>
      <c r="BL223" s="536"/>
      <c r="BM223" s="539"/>
      <c r="BN223" s="539"/>
      <c r="BO223" s="539"/>
      <c r="BP223" s="539"/>
      <c r="BQ223" s="539"/>
      <c r="BR223" s="539"/>
      <c r="BS223" s="441"/>
      <c r="BT223" s="441"/>
      <c r="BU223" s="913"/>
      <c r="BV223" s="441"/>
      <c r="BW223" s="441"/>
      <c r="BX223" s="441"/>
      <c r="BY223" s="441"/>
      <c r="BZ223" s="441"/>
      <c r="CA223" s="441"/>
      <c r="CB223" s="441"/>
      <c r="CC223" s="441"/>
      <c r="CD223" s="539"/>
      <c r="CE223" s="539"/>
      <c r="CG223" s="539"/>
      <c r="CH223" s="539"/>
      <c r="CI223" s="539"/>
      <c r="DD223" s="531"/>
      <c r="DG223" s="531"/>
      <c r="DH223" s="531"/>
    </row>
    <row r="224" spans="1:112" s="533" customFormat="1" ht="20.25" x14ac:dyDescent="0.3">
      <c r="A224" s="531"/>
      <c r="B224" s="532"/>
      <c r="D224" s="534"/>
      <c r="F224" s="531"/>
      <c r="G224" s="531"/>
      <c r="H224" s="535"/>
      <c r="I224" s="531"/>
      <c r="J224" s="531"/>
      <c r="K224" s="531"/>
      <c r="L224" s="531"/>
      <c r="M224" s="531"/>
      <c r="Q224" s="531"/>
      <c r="R224" s="531"/>
      <c r="S224" s="532"/>
      <c r="T224" s="536"/>
      <c r="U224" s="536"/>
      <c r="V224" s="536"/>
      <c r="W224" s="536"/>
      <c r="Y224" s="536"/>
      <c r="Z224" s="536"/>
      <c r="AA224" s="536"/>
      <c r="AB224" s="536"/>
      <c r="AC224" s="536"/>
      <c r="AD224" s="536"/>
      <c r="AE224" s="536"/>
      <c r="AF224" s="536"/>
      <c r="AG224" s="537"/>
      <c r="AH224" s="537"/>
      <c r="AI224" s="537"/>
      <c r="AJ224" s="537"/>
      <c r="AK224" s="537"/>
      <c r="AL224" s="537"/>
      <c r="AM224" s="532"/>
      <c r="AN224" s="532"/>
      <c r="AO224" s="536"/>
      <c r="AP224" s="997"/>
      <c r="AQ224" s="536"/>
      <c r="AR224" s="536"/>
      <c r="AS224" s="532"/>
      <c r="AT224" s="538"/>
      <c r="AU224" s="538"/>
      <c r="AV224" s="536"/>
      <c r="AW224" s="532"/>
      <c r="AX224" s="532"/>
      <c r="AY224" s="532"/>
      <c r="AZ224" s="532"/>
      <c r="BA224" s="532"/>
      <c r="BB224" s="536"/>
      <c r="BC224" s="536"/>
      <c r="BD224" s="536"/>
      <c r="BE224" s="536"/>
      <c r="BF224" s="536"/>
      <c r="BG224" s="536"/>
      <c r="BH224" s="536"/>
      <c r="BI224" s="536"/>
      <c r="BJ224" s="536"/>
      <c r="BK224" s="536"/>
      <c r="BL224" s="536"/>
      <c r="BM224" s="539"/>
      <c r="BN224" s="539"/>
      <c r="BO224" s="539"/>
      <c r="BP224" s="539"/>
      <c r="BQ224" s="539"/>
      <c r="BR224" s="539"/>
      <c r="BS224" s="441"/>
      <c r="BT224" s="441"/>
      <c r="BU224" s="913"/>
      <c r="BV224" s="441"/>
      <c r="BW224" s="441"/>
      <c r="BX224" s="441"/>
      <c r="BY224" s="441"/>
      <c r="BZ224" s="441"/>
      <c r="CA224" s="441"/>
      <c r="CB224" s="441"/>
      <c r="CC224" s="441"/>
      <c r="CD224" s="539"/>
      <c r="CE224" s="539"/>
      <c r="CG224" s="539"/>
      <c r="CH224" s="539"/>
      <c r="CI224" s="539"/>
      <c r="DD224" s="531"/>
      <c r="DG224" s="531"/>
      <c r="DH224" s="531"/>
    </row>
    <row r="225" spans="1:112" s="533" customFormat="1" ht="20.25" x14ac:dyDescent="0.3">
      <c r="A225" s="531"/>
      <c r="B225" s="532"/>
      <c r="D225" s="534"/>
      <c r="F225" s="531"/>
      <c r="G225" s="531"/>
      <c r="H225" s="535"/>
      <c r="I225" s="531"/>
      <c r="J225" s="531"/>
      <c r="K225" s="531"/>
      <c r="L225" s="531"/>
      <c r="M225" s="531"/>
      <c r="Q225" s="531"/>
      <c r="R225" s="531"/>
      <c r="S225" s="532"/>
      <c r="T225" s="536"/>
      <c r="U225" s="536"/>
      <c r="V225" s="536"/>
      <c r="W225" s="536"/>
      <c r="Y225" s="536"/>
      <c r="Z225" s="536"/>
      <c r="AA225" s="536"/>
      <c r="AB225" s="536"/>
      <c r="AC225" s="536"/>
      <c r="AD225" s="536"/>
      <c r="AE225" s="536"/>
      <c r="AF225" s="536"/>
      <c r="AG225" s="537"/>
      <c r="AH225" s="537"/>
      <c r="AI225" s="537"/>
      <c r="AJ225" s="537"/>
      <c r="AK225" s="537"/>
      <c r="AL225" s="537"/>
      <c r="AM225" s="532"/>
      <c r="AN225" s="532"/>
      <c r="AO225" s="536"/>
      <c r="AP225" s="997"/>
      <c r="AQ225" s="536"/>
      <c r="AR225" s="536"/>
      <c r="AS225" s="532"/>
      <c r="AT225" s="538"/>
      <c r="AU225" s="538"/>
      <c r="AV225" s="536"/>
      <c r="AW225" s="532"/>
      <c r="AX225" s="532"/>
      <c r="AY225" s="532"/>
      <c r="AZ225" s="532"/>
      <c r="BA225" s="532"/>
      <c r="BB225" s="536"/>
      <c r="BC225" s="536"/>
      <c r="BD225" s="536"/>
      <c r="BE225" s="536"/>
      <c r="BF225" s="536"/>
      <c r="BG225" s="536"/>
      <c r="BH225" s="536"/>
      <c r="BI225" s="536"/>
      <c r="BJ225" s="536"/>
      <c r="BK225" s="536"/>
      <c r="BL225" s="536"/>
      <c r="BM225" s="539"/>
      <c r="BN225" s="539"/>
      <c r="BO225" s="539"/>
      <c r="BP225" s="539"/>
      <c r="BQ225" s="539"/>
      <c r="BR225" s="539"/>
      <c r="BS225" s="441"/>
      <c r="BT225" s="441"/>
      <c r="BU225" s="913"/>
      <c r="BV225" s="441"/>
      <c r="BW225" s="441"/>
      <c r="BX225" s="441"/>
      <c r="BY225" s="441"/>
      <c r="BZ225" s="441"/>
      <c r="CA225" s="441"/>
      <c r="CB225" s="441"/>
      <c r="CC225" s="441"/>
      <c r="CD225" s="539"/>
      <c r="CE225" s="539"/>
      <c r="CG225" s="539"/>
      <c r="CH225" s="539"/>
      <c r="CI225" s="539"/>
      <c r="DD225" s="531"/>
      <c r="DG225" s="531"/>
      <c r="DH225" s="531"/>
    </row>
    <row r="226" spans="1:112" s="533" customFormat="1" ht="20.25" x14ac:dyDescent="0.3">
      <c r="A226" s="531"/>
      <c r="B226" s="532"/>
      <c r="D226" s="534"/>
      <c r="F226" s="531"/>
      <c r="G226" s="531"/>
      <c r="H226" s="535"/>
      <c r="I226" s="531"/>
      <c r="J226" s="531"/>
      <c r="K226" s="531"/>
      <c r="L226" s="531"/>
      <c r="M226" s="531"/>
      <c r="Q226" s="531"/>
      <c r="R226" s="531"/>
      <c r="S226" s="532"/>
      <c r="T226" s="536"/>
      <c r="U226" s="536"/>
      <c r="V226" s="536"/>
      <c r="W226" s="536"/>
      <c r="Y226" s="536"/>
      <c r="Z226" s="536"/>
      <c r="AA226" s="536"/>
      <c r="AB226" s="536"/>
      <c r="AC226" s="536"/>
      <c r="AD226" s="536"/>
      <c r="AE226" s="536"/>
      <c r="AF226" s="536"/>
      <c r="AG226" s="537"/>
      <c r="AH226" s="537"/>
      <c r="AI226" s="537"/>
      <c r="AJ226" s="537"/>
      <c r="AK226" s="537"/>
      <c r="AL226" s="537"/>
      <c r="AM226" s="532"/>
      <c r="AN226" s="532"/>
      <c r="AO226" s="536"/>
      <c r="AP226" s="997"/>
      <c r="AQ226" s="536"/>
      <c r="AR226" s="536"/>
      <c r="AS226" s="532"/>
      <c r="AT226" s="538"/>
      <c r="AU226" s="538"/>
      <c r="AV226" s="536"/>
      <c r="AW226" s="532"/>
      <c r="AX226" s="532"/>
      <c r="AY226" s="532"/>
      <c r="AZ226" s="532"/>
      <c r="BA226" s="532"/>
      <c r="BB226" s="536"/>
      <c r="BC226" s="536"/>
      <c r="BD226" s="536"/>
      <c r="BE226" s="536"/>
      <c r="BF226" s="536"/>
      <c r="BG226" s="536"/>
      <c r="BH226" s="536"/>
      <c r="BI226" s="536"/>
      <c r="BJ226" s="536"/>
      <c r="BK226" s="536"/>
      <c r="BL226" s="536"/>
      <c r="BM226" s="539"/>
      <c r="BN226" s="539"/>
      <c r="BO226" s="539"/>
      <c r="BP226" s="539"/>
      <c r="BQ226" s="539"/>
      <c r="BR226" s="539"/>
      <c r="BS226" s="441"/>
      <c r="BT226" s="441"/>
      <c r="BU226" s="913"/>
      <c r="BV226" s="441"/>
      <c r="BW226" s="441"/>
      <c r="BX226" s="441"/>
      <c r="BY226" s="441"/>
      <c r="BZ226" s="441"/>
      <c r="CA226" s="441"/>
      <c r="CB226" s="441"/>
      <c r="CC226" s="441"/>
      <c r="CD226" s="539"/>
      <c r="CE226" s="539"/>
      <c r="CG226" s="539"/>
      <c r="CH226" s="539"/>
      <c r="CI226" s="539"/>
      <c r="DD226" s="531"/>
      <c r="DG226" s="531"/>
      <c r="DH226" s="531"/>
    </row>
    <row r="227" spans="1:112" s="533" customFormat="1" ht="20.25" x14ac:dyDescent="0.3">
      <c r="A227" s="531"/>
      <c r="B227" s="532"/>
      <c r="D227" s="534"/>
      <c r="F227" s="531"/>
      <c r="G227" s="531"/>
      <c r="H227" s="535"/>
      <c r="I227" s="531"/>
      <c r="J227" s="531"/>
      <c r="K227" s="531"/>
      <c r="L227" s="531"/>
      <c r="M227" s="531"/>
      <c r="Q227" s="531"/>
      <c r="R227" s="531"/>
      <c r="S227" s="532"/>
      <c r="T227" s="536"/>
      <c r="U227" s="536"/>
      <c r="V227" s="536"/>
      <c r="W227" s="536"/>
      <c r="Y227" s="536"/>
      <c r="Z227" s="536"/>
      <c r="AA227" s="536"/>
      <c r="AB227" s="536"/>
      <c r="AC227" s="536"/>
      <c r="AD227" s="536"/>
      <c r="AE227" s="536"/>
      <c r="AF227" s="536"/>
      <c r="AG227" s="537"/>
      <c r="AH227" s="537"/>
      <c r="AI227" s="537"/>
      <c r="AJ227" s="537"/>
      <c r="AK227" s="537"/>
      <c r="AL227" s="537"/>
      <c r="AM227" s="532"/>
      <c r="AN227" s="532"/>
      <c r="AO227" s="536"/>
      <c r="AP227" s="997"/>
      <c r="AQ227" s="536"/>
      <c r="AR227" s="536"/>
      <c r="AS227" s="532"/>
      <c r="AT227" s="538"/>
      <c r="AU227" s="538"/>
      <c r="AV227" s="536"/>
      <c r="AW227" s="532"/>
      <c r="AX227" s="532"/>
      <c r="AY227" s="532"/>
      <c r="AZ227" s="532"/>
      <c r="BA227" s="532"/>
      <c r="BB227" s="536"/>
      <c r="BC227" s="536"/>
      <c r="BD227" s="536"/>
      <c r="BE227" s="536"/>
      <c r="BF227" s="536"/>
      <c r="BG227" s="536"/>
      <c r="BH227" s="536"/>
      <c r="BI227" s="536"/>
      <c r="BJ227" s="536"/>
      <c r="BK227" s="536"/>
      <c r="BL227" s="536"/>
      <c r="BM227" s="539"/>
      <c r="BN227" s="539"/>
      <c r="BO227" s="539"/>
      <c r="BP227" s="539"/>
      <c r="BQ227" s="539"/>
      <c r="BR227" s="539"/>
      <c r="BS227" s="441"/>
      <c r="BT227" s="441"/>
      <c r="BU227" s="913"/>
      <c r="BV227" s="441"/>
      <c r="BW227" s="441"/>
      <c r="BX227" s="441"/>
      <c r="BY227" s="441"/>
      <c r="BZ227" s="441"/>
      <c r="CA227" s="441"/>
      <c r="CB227" s="441"/>
      <c r="CC227" s="441"/>
      <c r="CD227" s="539"/>
      <c r="CE227" s="539"/>
      <c r="CG227" s="539"/>
      <c r="CH227" s="539"/>
      <c r="CI227" s="539"/>
      <c r="DD227" s="531"/>
      <c r="DG227" s="531"/>
      <c r="DH227" s="531"/>
    </row>
    <row r="228" spans="1:112" s="533" customFormat="1" ht="20.25" x14ac:dyDescent="0.3">
      <c r="A228" s="531"/>
      <c r="B228" s="532"/>
      <c r="D228" s="534"/>
      <c r="F228" s="531"/>
      <c r="G228" s="531"/>
      <c r="H228" s="535"/>
      <c r="I228" s="531"/>
      <c r="J228" s="531"/>
      <c r="K228" s="531"/>
      <c r="L228" s="531"/>
      <c r="M228" s="531"/>
      <c r="Q228" s="531"/>
      <c r="R228" s="531"/>
      <c r="S228" s="532"/>
      <c r="T228" s="536"/>
      <c r="U228" s="536"/>
      <c r="V228" s="536"/>
      <c r="W228" s="536"/>
      <c r="Y228" s="536"/>
      <c r="Z228" s="536"/>
      <c r="AA228" s="536"/>
      <c r="AB228" s="536"/>
      <c r="AC228" s="536"/>
      <c r="AD228" s="536"/>
      <c r="AE228" s="536"/>
      <c r="AF228" s="536"/>
      <c r="AG228" s="537"/>
      <c r="AH228" s="537"/>
      <c r="AI228" s="537"/>
      <c r="AJ228" s="537"/>
      <c r="AK228" s="537"/>
      <c r="AL228" s="537"/>
      <c r="AM228" s="532"/>
      <c r="AN228" s="532"/>
      <c r="AO228" s="536"/>
      <c r="AP228" s="997"/>
      <c r="AQ228" s="536"/>
      <c r="AR228" s="536"/>
      <c r="AS228" s="532"/>
      <c r="AT228" s="538"/>
      <c r="AU228" s="538"/>
      <c r="AV228" s="536"/>
      <c r="AW228" s="532"/>
      <c r="AX228" s="532"/>
      <c r="AY228" s="532"/>
      <c r="AZ228" s="532"/>
      <c r="BA228" s="532"/>
      <c r="BB228" s="536"/>
      <c r="BC228" s="536"/>
      <c r="BD228" s="536"/>
      <c r="BE228" s="536"/>
      <c r="BF228" s="536"/>
      <c r="BG228" s="536"/>
      <c r="BH228" s="536"/>
      <c r="BI228" s="536"/>
      <c r="BJ228" s="536"/>
      <c r="BK228" s="536"/>
      <c r="BL228" s="536"/>
      <c r="BM228" s="539"/>
      <c r="BN228" s="539"/>
      <c r="BO228" s="539"/>
      <c r="BP228" s="539"/>
      <c r="BQ228" s="539"/>
      <c r="BR228" s="539"/>
      <c r="BS228" s="441"/>
      <c r="BT228" s="441"/>
      <c r="BU228" s="913"/>
      <c r="BV228" s="441"/>
      <c r="BW228" s="441"/>
      <c r="BX228" s="441"/>
      <c r="BY228" s="441"/>
      <c r="BZ228" s="441"/>
      <c r="CA228" s="441"/>
      <c r="CB228" s="441"/>
      <c r="CC228" s="441"/>
      <c r="CD228" s="539"/>
      <c r="CE228" s="539"/>
      <c r="CG228" s="539"/>
      <c r="CH228" s="539"/>
      <c r="CI228" s="539"/>
      <c r="DD228" s="531"/>
      <c r="DG228" s="531"/>
      <c r="DH228" s="531"/>
    </row>
    <row r="229" spans="1:112" s="533" customFormat="1" ht="20.25" x14ac:dyDescent="0.3">
      <c r="A229" s="531"/>
      <c r="B229" s="532"/>
      <c r="D229" s="534"/>
      <c r="F229" s="531"/>
      <c r="G229" s="531"/>
      <c r="H229" s="535"/>
      <c r="I229" s="531"/>
      <c r="J229" s="531"/>
      <c r="K229" s="531"/>
      <c r="L229" s="531"/>
      <c r="M229" s="531"/>
      <c r="Q229" s="531"/>
      <c r="R229" s="531"/>
      <c r="S229" s="532"/>
      <c r="T229" s="536"/>
      <c r="U229" s="536"/>
      <c r="V229" s="536"/>
      <c r="W229" s="536"/>
      <c r="Y229" s="536"/>
      <c r="Z229" s="536"/>
      <c r="AA229" s="536"/>
      <c r="AB229" s="536"/>
      <c r="AC229" s="536"/>
      <c r="AD229" s="536"/>
      <c r="AE229" s="536"/>
      <c r="AF229" s="536"/>
      <c r="AG229" s="537"/>
      <c r="AH229" s="537"/>
      <c r="AI229" s="537"/>
      <c r="AJ229" s="537"/>
      <c r="AK229" s="537"/>
      <c r="AL229" s="537"/>
      <c r="AM229" s="532"/>
      <c r="AN229" s="532"/>
      <c r="AO229" s="536"/>
      <c r="AP229" s="997"/>
      <c r="AQ229" s="536"/>
      <c r="AR229" s="536"/>
      <c r="AS229" s="532"/>
      <c r="AT229" s="538"/>
      <c r="AU229" s="538"/>
      <c r="AV229" s="536"/>
      <c r="AW229" s="532"/>
      <c r="AX229" s="532"/>
      <c r="AY229" s="532"/>
      <c r="AZ229" s="532"/>
      <c r="BA229" s="532"/>
      <c r="BB229" s="536"/>
      <c r="BC229" s="536"/>
      <c r="BD229" s="536"/>
      <c r="BE229" s="536"/>
      <c r="BF229" s="536"/>
      <c r="BG229" s="536"/>
      <c r="BH229" s="536"/>
      <c r="BI229" s="536"/>
      <c r="BJ229" s="536"/>
      <c r="BK229" s="536"/>
      <c r="BL229" s="536"/>
      <c r="BM229" s="539"/>
      <c r="BN229" s="539"/>
      <c r="BO229" s="539"/>
      <c r="BP229" s="539"/>
      <c r="BQ229" s="539"/>
      <c r="BR229" s="539"/>
      <c r="BS229" s="441"/>
      <c r="BT229" s="441"/>
      <c r="BU229" s="913"/>
      <c r="BV229" s="441"/>
      <c r="BW229" s="441"/>
      <c r="BX229" s="441"/>
      <c r="BY229" s="441"/>
      <c r="BZ229" s="441"/>
      <c r="CA229" s="441"/>
      <c r="CB229" s="441"/>
      <c r="CC229" s="441"/>
      <c r="CD229" s="539"/>
      <c r="CE229" s="539"/>
      <c r="CG229" s="539"/>
      <c r="CH229" s="539"/>
      <c r="CI229" s="539"/>
      <c r="DD229" s="531"/>
      <c r="DG229" s="531"/>
      <c r="DH229" s="531"/>
    </row>
    <row r="230" spans="1:112" s="533" customFormat="1" ht="20.25" x14ac:dyDescent="0.3">
      <c r="A230" s="531"/>
      <c r="B230" s="532"/>
      <c r="D230" s="534"/>
      <c r="F230" s="531"/>
      <c r="G230" s="531"/>
      <c r="H230" s="535"/>
      <c r="I230" s="531"/>
      <c r="J230" s="531"/>
      <c r="K230" s="531"/>
      <c r="L230" s="531"/>
      <c r="M230" s="531"/>
      <c r="Q230" s="531"/>
      <c r="R230" s="531"/>
      <c r="S230" s="532"/>
      <c r="T230" s="536"/>
      <c r="U230" s="536"/>
      <c r="V230" s="536"/>
      <c r="W230" s="536"/>
      <c r="Y230" s="536"/>
      <c r="Z230" s="536"/>
      <c r="AA230" s="536"/>
      <c r="AB230" s="536"/>
      <c r="AC230" s="536"/>
      <c r="AD230" s="536"/>
      <c r="AE230" s="536"/>
      <c r="AF230" s="536"/>
      <c r="AG230" s="537"/>
      <c r="AH230" s="537"/>
      <c r="AI230" s="537"/>
      <c r="AJ230" s="537"/>
      <c r="AK230" s="537"/>
      <c r="AL230" s="537"/>
      <c r="AM230" s="532"/>
      <c r="AN230" s="532"/>
      <c r="AO230" s="536"/>
      <c r="AP230" s="997"/>
      <c r="AQ230" s="536"/>
      <c r="AR230" s="536"/>
      <c r="AS230" s="532"/>
      <c r="AT230" s="538"/>
      <c r="AU230" s="538"/>
      <c r="AV230" s="536"/>
      <c r="AW230" s="532"/>
      <c r="AX230" s="532"/>
      <c r="AY230" s="532"/>
      <c r="AZ230" s="532"/>
      <c r="BA230" s="532"/>
      <c r="BB230" s="536"/>
      <c r="BC230" s="536"/>
      <c r="BD230" s="536"/>
      <c r="BE230" s="536"/>
      <c r="BF230" s="536"/>
      <c r="BG230" s="536"/>
      <c r="BH230" s="536"/>
      <c r="BI230" s="536"/>
      <c r="BJ230" s="536"/>
      <c r="BK230" s="536"/>
      <c r="BL230" s="536"/>
      <c r="BM230" s="539"/>
      <c r="BN230" s="539"/>
      <c r="BO230" s="539"/>
      <c r="BP230" s="539"/>
      <c r="BQ230" s="539"/>
      <c r="BR230" s="539"/>
      <c r="BS230" s="441"/>
      <c r="BT230" s="441"/>
      <c r="BU230" s="913"/>
      <c r="BV230" s="441"/>
      <c r="BW230" s="441"/>
      <c r="BX230" s="441"/>
      <c r="BY230" s="441"/>
      <c r="BZ230" s="441"/>
      <c r="CA230" s="441"/>
      <c r="CB230" s="441"/>
      <c r="CC230" s="441"/>
      <c r="CD230" s="539"/>
      <c r="CE230" s="539"/>
      <c r="CG230" s="539"/>
      <c r="CH230" s="539"/>
      <c r="CI230" s="539"/>
      <c r="DD230" s="531"/>
      <c r="DG230" s="531"/>
      <c r="DH230" s="531"/>
    </row>
    <row r="231" spans="1:112" s="533" customFormat="1" ht="20.25" x14ac:dyDescent="0.3">
      <c r="A231" s="531"/>
      <c r="B231" s="532"/>
      <c r="D231" s="534"/>
      <c r="F231" s="531"/>
      <c r="G231" s="531"/>
      <c r="H231" s="535"/>
      <c r="I231" s="531"/>
      <c r="J231" s="531"/>
      <c r="K231" s="531"/>
      <c r="L231" s="531"/>
      <c r="M231" s="531"/>
      <c r="Q231" s="531"/>
      <c r="R231" s="531"/>
      <c r="S231" s="532"/>
      <c r="T231" s="536"/>
      <c r="U231" s="536"/>
      <c r="V231" s="536"/>
      <c r="W231" s="536"/>
      <c r="Y231" s="536"/>
      <c r="Z231" s="536"/>
      <c r="AA231" s="536"/>
      <c r="AB231" s="536"/>
      <c r="AC231" s="536"/>
      <c r="AD231" s="536"/>
      <c r="AE231" s="536"/>
      <c r="AF231" s="536"/>
      <c r="AG231" s="537"/>
      <c r="AH231" s="537"/>
      <c r="AI231" s="537"/>
      <c r="AJ231" s="537"/>
      <c r="AK231" s="537"/>
      <c r="AL231" s="537"/>
      <c r="AM231" s="532"/>
      <c r="AN231" s="532"/>
      <c r="AO231" s="536"/>
      <c r="AP231" s="997"/>
      <c r="AQ231" s="536"/>
      <c r="AR231" s="536"/>
      <c r="AS231" s="532"/>
      <c r="AT231" s="538"/>
      <c r="AU231" s="538"/>
      <c r="AV231" s="536"/>
      <c r="AW231" s="532"/>
      <c r="AX231" s="532"/>
      <c r="AY231" s="532"/>
      <c r="AZ231" s="532"/>
      <c r="BA231" s="532"/>
      <c r="BB231" s="536"/>
      <c r="BC231" s="536"/>
      <c r="BD231" s="536"/>
      <c r="BE231" s="536"/>
      <c r="BF231" s="536"/>
      <c r="BG231" s="536"/>
      <c r="BH231" s="536"/>
      <c r="BI231" s="536"/>
      <c r="BJ231" s="536"/>
      <c r="BK231" s="536"/>
      <c r="BL231" s="536"/>
      <c r="BM231" s="539"/>
      <c r="BN231" s="539"/>
      <c r="BO231" s="539"/>
      <c r="BP231" s="539"/>
      <c r="BQ231" s="539"/>
      <c r="BR231" s="539"/>
      <c r="BS231" s="441"/>
      <c r="BT231" s="441"/>
      <c r="BU231" s="913"/>
      <c r="BV231" s="441"/>
      <c r="BW231" s="441"/>
      <c r="BX231" s="441"/>
      <c r="BY231" s="441"/>
      <c r="BZ231" s="441"/>
      <c r="CA231" s="441"/>
      <c r="CB231" s="441"/>
      <c r="CC231" s="441"/>
      <c r="CD231" s="539"/>
      <c r="CE231" s="539"/>
      <c r="CG231" s="539"/>
      <c r="CH231" s="539"/>
      <c r="CI231" s="539"/>
      <c r="DD231" s="531"/>
      <c r="DG231" s="531"/>
      <c r="DH231" s="531"/>
    </row>
    <row r="232" spans="1:112" s="533" customFormat="1" ht="20.25" x14ac:dyDescent="0.3">
      <c r="A232" s="531"/>
      <c r="B232" s="532"/>
      <c r="D232" s="534"/>
      <c r="F232" s="531"/>
      <c r="G232" s="531"/>
      <c r="H232" s="535"/>
      <c r="I232" s="531"/>
      <c r="J232" s="531"/>
      <c r="K232" s="531"/>
      <c r="L232" s="531"/>
      <c r="M232" s="531"/>
      <c r="Q232" s="531"/>
      <c r="R232" s="531"/>
      <c r="S232" s="532"/>
      <c r="T232" s="536"/>
      <c r="U232" s="536"/>
      <c r="V232" s="536"/>
      <c r="W232" s="536"/>
      <c r="Y232" s="536"/>
      <c r="Z232" s="536"/>
      <c r="AA232" s="536"/>
      <c r="AB232" s="536"/>
      <c r="AC232" s="536"/>
      <c r="AD232" s="536"/>
      <c r="AE232" s="536"/>
      <c r="AF232" s="536"/>
      <c r="AG232" s="537"/>
      <c r="AH232" s="537"/>
      <c r="AI232" s="537"/>
      <c r="AJ232" s="537"/>
      <c r="AK232" s="537"/>
      <c r="AL232" s="537"/>
      <c r="AM232" s="532"/>
      <c r="AN232" s="532"/>
      <c r="AO232" s="536"/>
      <c r="AP232" s="997"/>
      <c r="AQ232" s="536"/>
      <c r="AR232" s="536"/>
      <c r="AS232" s="532"/>
      <c r="AT232" s="538"/>
      <c r="AU232" s="538"/>
      <c r="AV232" s="536"/>
      <c r="AW232" s="532"/>
      <c r="AX232" s="532"/>
      <c r="AY232" s="532"/>
      <c r="AZ232" s="532"/>
      <c r="BA232" s="532"/>
      <c r="BB232" s="536"/>
      <c r="BC232" s="536"/>
      <c r="BD232" s="536"/>
      <c r="BE232" s="536"/>
      <c r="BF232" s="536"/>
      <c r="BG232" s="536"/>
      <c r="BH232" s="536"/>
      <c r="BI232" s="536"/>
      <c r="BJ232" s="536"/>
      <c r="BK232" s="536"/>
      <c r="BL232" s="536"/>
      <c r="BM232" s="539"/>
      <c r="BN232" s="539"/>
      <c r="BO232" s="539"/>
      <c r="BP232" s="539"/>
      <c r="BQ232" s="539"/>
      <c r="BR232" s="539"/>
      <c r="BS232" s="441"/>
      <c r="BT232" s="441"/>
      <c r="BU232" s="913"/>
      <c r="BV232" s="441"/>
      <c r="BW232" s="441"/>
      <c r="BX232" s="441"/>
      <c r="BY232" s="441"/>
      <c r="BZ232" s="441"/>
      <c r="CA232" s="441"/>
      <c r="CB232" s="441"/>
      <c r="CC232" s="441"/>
      <c r="CD232" s="539"/>
      <c r="CE232" s="539"/>
      <c r="CG232" s="539"/>
      <c r="CH232" s="539"/>
      <c r="CI232" s="539"/>
      <c r="DD232" s="531"/>
      <c r="DG232" s="531"/>
      <c r="DH232" s="531"/>
    </row>
    <row r="233" spans="1:112" s="533" customFormat="1" ht="20.25" x14ac:dyDescent="0.3">
      <c r="A233" s="531"/>
      <c r="B233" s="532"/>
      <c r="D233" s="534"/>
      <c r="F233" s="531"/>
      <c r="G233" s="531"/>
      <c r="H233" s="535"/>
      <c r="I233" s="531"/>
      <c r="J233" s="531"/>
      <c r="K233" s="531"/>
      <c r="L233" s="531"/>
      <c r="M233" s="531"/>
      <c r="Q233" s="531"/>
      <c r="R233" s="531"/>
      <c r="S233" s="532"/>
      <c r="T233" s="536"/>
      <c r="U233" s="536"/>
      <c r="V233" s="536"/>
      <c r="W233" s="536"/>
      <c r="Y233" s="536"/>
      <c r="Z233" s="536"/>
      <c r="AA233" s="536"/>
      <c r="AB233" s="536"/>
      <c r="AC233" s="536"/>
      <c r="AD233" s="536"/>
      <c r="AE233" s="536"/>
      <c r="AF233" s="536"/>
      <c r="AG233" s="537"/>
      <c r="AH233" s="537"/>
      <c r="AI233" s="537"/>
      <c r="AJ233" s="537"/>
      <c r="AK233" s="537"/>
      <c r="AL233" s="537"/>
      <c r="AM233" s="532"/>
      <c r="AN233" s="532"/>
      <c r="AO233" s="536"/>
      <c r="AP233" s="997"/>
      <c r="AQ233" s="536"/>
      <c r="AR233" s="536"/>
      <c r="AS233" s="532"/>
      <c r="AT233" s="538"/>
      <c r="AU233" s="538"/>
      <c r="AV233" s="536"/>
      <c r="AW233" s="532"/>
      <c r="AX233" s="532"/>
      <c r="AY233" s="532"/>
      <c r="AZ233" s="532"/>
      <c r="BA233" s="532"/>
      <c r="BB233" s="536"/>
      <c r="BC233" s="536"/>
      <c r="BD233" s="536"/>
      <c r="BE233" s="536"/>
      <c r="BF233" s="536"/>
      <c r="BG233" s="536"/>
      <c r="BH233" s="536"/>
      <c r="BI233" s="536"/>
      <c r="BJ233" s="536"/>
      <c r="BK233" s="536"/>
      <c r="BL233" s="536"/>
      <c r="BM233" s="539"/>
      <c r="BN233" s="539"/>
      <c r="BO233" s="539"/>
      <c r="BP233" s="539"/>
      <c r="BQ233" s="539"/>
      <c r="BR233" s="539"/>
      <c r="BS233" s="441"/>
      <c r="BT233" s="441"/>
      <c r="BU233" s="913"/>
      <c r="BV233" s="441"/>
      <c r="BW233" s="441"/>
      <c r="BX233" s="441"/>
      <c r="BY233" s="441"/>
      <c r="BZ233" s="441"/>
      <c r="CA233" s="441"/>
      <c r="CB233" s="441"/>
      <c r="CC233" s="441"/>
      <c r="CD233" s="539"/>
      <c r="CE233" s="539"/>
      <c r="CG233" s="539"/>
      <c r="CH233" s="539"/>
      <c r="CI233" s="539"/>
      <c r="DD233" s="531"/>
      <c r="DG233" s="531"/>
      <c r="DH233" s="531"/>
    </row>
    <row r="234" spans="1:112" s="533" customFormat="1" ht="20.25" x14ac:dyDescent="0.3">
      <c r="A234" s="531"/>
      <c r="B234" s="532"/>
      <c r="D234" s="534"/>
      <c r="F234" s="531"/>
      <c r="G234" s="531"/>
      <c r="H234" s="535"/>
      <c r="I234" s="531"/>
      <c r="J234" s="531"/>
      <c r="K234" s="531"/>
      <c r="L234" s="531"/>
      <c r="M234" s="531"/>
      <c r="Q234" s="531"/>
      <c r="R234" s="531"/>
      <c r="S234" s="532"/>
      <c r="T234" s="536"/>
      <c r="U234" s="536"/>
      <c r="V234" s="536"/>
      <c r="W234" s="536"/>
      <c r="Y234" s="536"/>
      <c r="Z234" s="536"/>
      <c r="AA234" s="536"/>
      <c r="AB234" s="536"/>
      <c r="AC234" s="536"/>
      <c r="AD234" s="536"/>
      <c r="AE234" s="536"/>
      <c r="AF234" s="536"/>
      <c r="AG234" s="537"/>
      <c r="AH234" s="537"/>
      <c r="AI234" s="537"/>
      <c r="AJ234" s="537"/>
      <c r="AK234" s="537"/>
      <c r="AL234" s="537"/>
      <c r="AM234" s="532"/>
      <c r="AN234" s="532"/>
      <c r="AO234" s="536"/>
      <c r="AP234" s="997"/>
      <c r="AQ234" s="536"/>
      <c r="AR234" s="536"/>
      <c r="AS234" s="532"/>
      <c r="AT234" s="538"/>
      <c r="AU234" s="538"/>
      <c r="AV234" s="536"/>
      <c r="AW234" s="532"/>
      <c r="AX234" s="532"/>
      <c r="AY234" s="532"/>
      <c r="AZ234" s="532"/>
      <c r="BA234" s="532"/>
      <c r="BB234" s="536"/>
      <c r="BC234" s="536"/>
      <c r="BD234" s="536"/>
      <c r="BE234" s="536"/>
      <c r="BF234" s="536"/>
      <c r="BG234" s="536"/>
      <c r="BH234" s="536"/>
      <c r="BI234" s="536"/>
      <c r="BJ234" s="536"/>
      <c r="BK234" s="536"/>
      <c r="BL234" s="536"/>
      <c r="BM234" s="539"/>
      <c r="BN234" s="539"/>
      <c r="BO234" s="539"/>
      <c r="BP234" s="539"/>
      <c r="BQ234" s="539"/>
      <c r="BR234" s="539"/>
      <c r="BS234" s="441"/>
      <c r="BT234" s="441"/>
      <c r="BU234" s="913"/>
      <c r="BV234" s="441"/>
      <c r="BW234" s="441"/>
      <c r="BX234" s="441"/>
      <c r="BY234" s="441"/>
      <c r="BZ234" s="441"/>
      <c r="CA234" s="441"/>
      <c r="CB234" s="441"/>
      <c r="CC234" s="441"/>
      <c r="CD234" s="539"/>
      <c r="CE234" s="539"/>
      <c r="CG234" s="539"/>
      <c r="CH234" s="539"/>
      <c r="CI234" s="539"/>
      <c r="DD234" s="531"/>
      <c r="DG234" s="531"/>
      <c r="DH234" s="531"/>
    </row>
    <row r="235" spans="1:112" s="533" customFormat="1" ht="20.25" x14ac:dyDescent="0.3">
      <c r="A235" s="531"/>
      <c r="B235" s="532"/>
      <c r="D235" s="534"/>
      <c r="F235" s="531"/>
      <c r="G235" s="531"/>
      <c r="H235" s="535"/>
      <c r="I235" s="531"/>
      <c r="J235" s="531"/>
      <c r="K235" s="531"/>
      <c r="L235" s="531"/>
      <c r="M235" s="531"/>
      <c r="Q235" s="531"/>
      <c r="R235" s="531"/>
      <c r="S235" s="532"/>
      <c r="T235" s="536"/>
      <c r="U235" s="536"/>
      <c r="V235" s="536"/>
      <c r="W235" s="536"/>
      <c r="Y235" s="536"/>
      <c r="Z235" s="536"/>
      <c r="AA235" s="536"/>
      <c r="AB235" s="536"/>
      <c r="AC235" s="536"/>
      <c r="AD235" s="536"/>
      <c r="AE235" s="536"/>
      <c r="AF235" s="536"/>
      <c r="AG235" s="537"/>
      <c r="AH235" s="537"/>
      <c r="AI235" s="537"/>
      <c r="AJ235" s="537"/>
      <c r="AK235" s="537"/>
      <c r="AL235" s="537"/>
      <c r="AM235" s="532"/>
      <c r="AN235" s="532"/>
      <c r="AO235" s="536"/>
      <c r="AP235" s="997"/>
      <c r="AQ235" s="536"/>
      <c r="AR235" s="536"/>
      <c r="AS235" s="532"/>
      <c r="AT235" s="538"/>
      <c r="AU235" s="538"/>
      <c r="AV235" s="536"/>
      <c r="AW235" s="532"/>
      <c r="AX235" s="532"/>
      <c r="AY235" s="532"/>
      <c r="AZ235" s="532"/>
      <c r="BA235" s="532"/>
      <c r="BB235" s="536"/>
      <c r="BC235" s="536"/>
      <c r="BD235" s="536"/>
      <c r="BE235" s="536"/>
      <c r="BF235" s="536"/>
      <c r="BG235" s="536"/>
      <c r="BH235" s="536"/>
      <c r="BI235" s="536"/>
      <c r="BJ235" s="536"/>
      <c r="BK235" s="536"/>
      <c r="BL235" s="536"/>
      <c r="BM235" s="539"/>
      <c r="BN235" s="539"/>
      <c r="BO235" s="539"/>
      <c r="BP235" s="539"/>
      <c r="BQ235" s="539"/>
      <c r="BR235" s="539"/>
      <c r="BS235" s="441"/>
      <c r="BT235" s="441"/>
      <c r="BU235" s="913"/>
      <c r="BV235" s="441"/>
      <c r="BW235" s="441"/>
      <c r="BX235" s="441"/>
      <c r="BY235" s="441"/>
      <c r="BZ235" s="441"/>
      <c r="CA235" s="441"/>
      <c r="CB235" s="441"/>
      <c r="CC235" s="441"/>
      <c r="CD235" s="539"/>
      <c r="CE235" s="539"/>
      <c r="CG235" s="539"/>
      <c r="CH235" s="539"/>
      <c r="CI235" s="539"/>
      <c r="DD235" s="531"/>
      <c r="DG235" s="531"/>
      <c r="DH235" s="531"/>
    </row>
    <row r="236" spans="1:112" s="533" customFormat="1" ht="20.25" x14ac:dyDescent="0.3">
      <c r="A236" s="531"/>
      <c r="B236" s="532"/>
      <c r="D236" s="534"/>
      <c r="F236" s="531"/>
      <c r="G236" s="531"/>
      <c r="H236" s="535"/>
      <c r="I236" s="531"/>
      <c r="J236" s="531"/>
      <c r="K236" s="531"/>
      <c r="L236" s="531"/>
      <c r="M236" s="531"/>
      <c r="Q236" s="531"/>
      <c r="R236" s="531"/>
      <c r="S236" s="532"/>
      <c r="T236" s="536"/>
      <c r="U236" s="536"/>
      <c r="V236" s="536"/>
      <c r="W236" s="536"/>
      <c r="Y236" s="536"/>
      <c r="Z236" s="536"/>
      <c r="AA236" s="536"/>
      <c r="AB236" s="536"/>
      <c r="AC236" s="536"/>
      <c r="AD236" s="536"/>
      <c r="AE236" s="536"/>
      <c r="AF236" s="536"/>
      <c r="AG236" s="537"/>
      <c r="AH236" s="537"/>
      <c r="AI236" s="537"/>
      <c r="AJ236" s="537"/>
      <c r="AK236" s="537"/>
      <c r="AL236" s="537"/>
      <c r="AM236" s="532"/>
      <c r="AN236" s="532"/>
      <c r="AO236" s="536"/>
      <c r="AP236" s="997"/>
      <c r="AQ236" s="536"/>
      <c r="AR236" s="536"/>
      <c r="AS236" s="532"/>
      <c r="AT236" s="538"/>
      <c r="AU236" s="538"/>
      <c r="AV236" s="536"/>
      <c r="AW236" s="532"/>
      <c r="AX236" s="532"/>
      <c r="AY236" s="532"/>
      <c r="AZ236" s="532"/>
      <c r="BA236" s="532"/>
      <c r="BB236" s="536"/>
      <c r="BC236" s="536"/>
      <c r="BD236" s="536"/>
      <c r="BE236" s="536"/>
      <c r="BF236" s="536"/>
      <c r="BG236" s="536"/>
      <c r="BH236" s="536"/>
      <c r="BI236" s="536"/>
      <c r="BJ236" s="536"/>
      <c r="BK236" s="536"/>
      <c r="BL236" s="536"/>
      <c r="BM236" s="539"/>
      <c r="BN236" s="539"/>
      <c r="BO236" s="539"/>
      <c r="BP236" s="539"/>
      <c r="BQ236" s="539"/>
      <c r="BR236" s="539"/>
      <c r="BS236" s="441"/>
      <c r="BT236" s="441"/>
      <c r="BU236" s="913"/>
      <c r="BV236" s="441"/>
      <c r="BW236" s="441"/>
      <c r="BX236" s="441"/>
      <c r="BY236" s="441"/>
      <c r="BZ236" s="441"/>
      <c r="CA236" s="441"/>
      <c r="CB236" s="441"/>
      <c r="CC236" s="441"/>
      <c r="CD236" s="539"/>
      <c r="CE236" s="539"/>
      <c r="CG236" s="539"/>
      <c r="CH236" s="539"/>
      <c r="CI236" s="539"/>
      <c r="DD236" s="531"/>
      <c r="DG236" s="531"/>
      <c r="DH236" s="531"/>
    </row>
    <row r="237" spans="1:112" s="533" customFormat="1" ht="20.25" x14ac:dyDescent="0.3">
      <c r="A237" s="531"/>
      <c r="B237" s="532"/>
      <c r="D237" s="534"/>
      <c r="F237" s="531"/>
      <c r="G237" s="531"/>
      <c r="H237" s="535"/>
      <c r="I237" s="531"/>
      <c r="J237" s="531"/>
      <c r="K237" s="531"/>
      <c r="L237" s="531"/>
      <c r="M237" s="531"/>
      <c r="Q237" s="531"/>
      <c r="R237" s="531"/>
      <c r="S237" s="532"/>
      <c r="T237" s="536"/>
      <c r="U237" s="536"/>
      <c r="V237" s="536"/>
      <c r="W237" s="536"/>
      <c r="Y237" s="536"/>
      <c r="Z237" s="536"/>
      <c r="AA237" s="536"/>
      <c r="AB237" s="536"/>
      <c r="AC237" s="536"/>
      <c r="AD237" s="536"/>
      <c r="AE237" s="536"/>
      <c r="AF237" s="536"/>
      <c r="AG237" s="537"/>
      <c r="AH237" s="537"/>
      <c r="AI237" s="537"/>
      <c r="AJ237" s="537"/>
      <c r="AK237" s="537"/>
      <c r="AL237" s="537"/>
      <c r="AM237" s="532"/>
      <c r="AN237" s="532"/>
      <c r="AO237" s="536"/>
      <c r="AP237" s="997"/>
      <c r="AQ237" s="536"/>
      <c r="AR237" s="536"/>
      <c r="AS237" s="532"/>
      <c r="AT237" s="538"/>
      <c r="AU237" s="538"/>
      <c r="AV237" s="536"/>
      <c r="AW237" s="532"/>
      <c r="AX237" s="532"/>
      <c r="AY237" s="532"/>
      <c r="AZ237" s="532"/>
      <c r="BA237" s="532"/>
      <c r="BB237" s="536"/>
      <c r="BC237" s="536"/>
      <c r="BD237" s="536"/>
      <c r="BE237" s="536"/>
      <c r="BF237" s="536"/>
      <c r="BG237" s="536"/>
      <c r="BH237" s="536"/>
      <c r="BI237" s="536"/>
      <c r="BJ237" s="536"/>
      <c r="BK237" s="536"/>
      <c r="BL237" s="536"/>
      <c r="BM237" s="539"/>
      <c r="BN237" s="539"/>
      <c r="BO237" s="539"/>
      <c r="BP237" s="539"/>
      <c r="BQ237" s="539"/>
      <c r="BR237" s="539"/>
      <c r="BS237" s="441"/>
      <c r="BT237" s="441"/>
      <c r="BU237" s="913"/>
      <c r="BV237" s="441"/>
      <c r="BW237" s="441"/>
      <c r="BX237" s="441"/>
      <c r="BY237" s="441"/>
      <c r="BZ237" s="441"/>
      <c r="CA237" s="441"/>
      <c r="CB237" s="441"/>
      <c r="CC237" s="441"/>
      <c r="CD237" s="539"/>
      <c r="CE237" s="539"/>
      <c r="CG237" s="539"/>
      <c r="CH237" s="539"/>
      <c r="CI237" s="539"/>
      <c r="DD237" s="531"/>
      <c r="DG237" s="531"/>
      <c r="DH237" s="531"/>
    </row>
    <row r="238" spans="1:112" s="533" customFormat="1" ht="20.25" x14ac:dyDescent="0.3">
      <c r="A238" s="531"/>
      <c r="B238" s="532"/>
      <c r="D238" s="534"/>
      <c r="F238" s="531"/>
      <c r="G238" s="531"/>
      <c r="H238" s="535"/>
      <c r="I238" s="531"/>
      <c r="J238" s="531"/>
      <c r="K238" s="531"/>
      <c r="L238" s="531"/>
      <c r="M238" s="531"/>
      <c r="Q238" s="531"/>
      <c r="R238" s="531"/>
      <c r="S238" s="532"/>
      <c r="T238" s="536"/>
      <c r="U238" s="536"/>
      <c r="V238" s="536"/>
      <c r="W238" s="536"/>
      <c r="Y238" s="536"/>
      <c r="Z238" s="536"/>
      <c r="AA238" s="536"/>
      <c r="AB238" s="536"/>
      <c r="AC238" s="536"/>
      <c r="AD238" s="536"/>
      <c r="AE238" s="536"/>
      <c r="AF238" s="536"/>
      <c r="AG238" s="537"/>
      <c r="AH238" s="537"/>
      <c r="AI238" s="537"/>
      <c r="AJ238" s="537"/>
      <c r="AK238" s="537"/>
      <c r="AL238" s="537"/>
      <c r="AM238" s="532"/>
      <c r="AN238" s="532"/>
      <c r="AO238" s="536"/>
      <c r="AP238" s="997"/>
      <c r="AQ238" s="536"/>
      <c r="AR238" s="536"/>
      <c r="AS238" s="532"/>
      <c r="AT238" s="538"/>
      <c r="AU238" s="538"/>
      <c r="AV238" s="536"/>
      <c r="AW238" s="532"/>
      <c r="AX238" s="532"/>
      <c r="AY238" s="532"/>
      <c r="AZ238" s="532"/>
      <c r="BA238" s="532"/>
      <c r="BB238" s="536"/>
      <c r="BC238" s="536"/>
      <c r="BD238" s="536"/>
      <c r="BE238" s="536"/>
      <c r="BF238" s="536"/>
      <c r="BG238" s="536"/>
      <c r="BH238" s="536"/>
      <c r="BI238" s="536"/>
      <c r="BJ238" s="536"/>
      <c r="BK238" s="536"/>
      <c r="BL238" s="536"/>
      <c r="BM238" s="539"/>
      <c r="BN238" s="539"/>
      <c r="BO238" s="539"/>
      <c r="BP238" s="539"/>
      <c r="BQ238" s="539"/>
      <c r="BR238" s="539"/>
      <c r="BS238" s="441"/>
      <c r="BT238" s="441"/>
      <c r="BU238" s="913"/>
      <c r="BV238" s="441"/>
      <c r="BW238" s="441"/>
      <c r="BX238" s="441"/>
      <c r="BY238" s="441"/>
      <c r="BZ238" s="441"/>
      <c r="CA238" s="441"/>
      <c r="CB238" s="441"/>
      <c r="CC238" s="441"/>
      <c r="CD238" s="539"/>
      <c r="CE238" s="539"/>
      <c r="CG238" s="539"/>
      <c r="CH238" s="539"/>
      <c r="CI238" s="539"/>
      <c r="DD238" s="531"/>
      <c r="DG238" s="531"/>
      <c r="DH238" s="531"/>
    </row>
    <row r="239" spans="1:112" s="533" customFormat="1" ht="20.25" x14ac:dyDescent="0.3">
      <c r="A239" s="531"/>
      <c r="B239" s="532"/>
      <c r="D239" s="534"/>
      <c r="F239" s="531"/>
      <c r="G239" s="531"/>
      <c r="H239" s="535"/>
      <c r="I239" s="531"/>
      <c r="J239" s="531"/>
      <c r="K239" s="531"/>
      <c r="L239" s="531"/>
      <c r="M239" s="531"/>
      <c r="Q239" s="531"/>
      <c r="R239" s="531"/>
      <c r="S239" s="532"/>
      <c r="T239" s="536"/>
      <c r="U239" s="536"/>
      <c r="V239" s="536"/>
      <c r="W239" s="536"/>
      <c r="Y239" s="536"/>
      <c r="Z239" s="536"/>
      <c r="AA239" s="536"/>
      <c r="AB239" s="536"/>
      <c r="AC239" s="536"/>
      <c r="AD239" s="536"/>
      <c r="AE239" s="536"/>
      <c r="AF239" s="536"/>
      <c r="AG239" s="537"/>
      <c r="AH239" s="537"/>
      <c r="AI239" s="537"/>
      <c r="AJ239" s="537"/>
      <c r="AK239" s="537"/>
      <c r="AL239" s="537"/>
      <c r="AM239" s="532"/>
      <c r="AN239" s="532"/>
      <c r="AO239" s="536"/>
      <c r="AP239" s="997"/>
      <c r="AQ239" s="536"/>
      <c r="AR239" s="536"/>
      <c r="AS239" s="532"/>
      <c r="AT239" s="538"/>
      <c r="AU239" s="538"/>
      <c r="AV239" s="536"/>
      <c r="AW239" s="532"/>
      <c r="AX239" s="532"/>
      <c r="AY239" s="532"/>
      <c r="AZ239" s="532"/>
      <c r="BA239" s="532"/>
      <c r="BB239" s="536"/>
      <c r="BC239" s="536"/>
      <c r="BD239" s="536"/>
      <c r="BE239" s="536"/>
      <c r="BF239" s="536"/>
      <c r="BG239" s="536"/>
      <c r="BH239" s="536"/>
      <c r="BI239" s="536"/>
      <c r="BJ239" s="536"/>
      <c r="BK239" s="536"/>
      <c r="BL239" s="536"/>
      <c r="BM239" s="539"/>
      <c r="BN239" s="539"/>
      <c r="BO239" s="539"/>
      <c r="BP239" s="539"/>
      <c r="BQ239" s="539"/>
      <c r="BR239" s="539"/>
      <c r="BS239" s="441"/>
      <c r="BT239" s="441"/>
      <c r="BU239" s="913"/>
      <c r="BV239" s="441"/>
      <c r="BW239" s="441"/>
      <c r="BX239" s="441"/>
      <c r="BY239" s="441"/>
      <c r="BZ239" s="441"/>
      <c r="CA239" s="441"/>
      <c r="CB239" s="441"/>
      <c r="CC239" s="441"/>
      <c r="CD239" s="539"/>
      <c r="CE239" s="539"/>
      <c r="CG239" s="539"/>
      <c r="CH239" s="539"/>
      <c r="CI239" s="539"/>
      <c r="DD239" s="531"/>
      <c r="DG239" s="531"/>
      <c r="DH239" s="531"/>
    </row>
    <row r="240" spans="1:112" s="533" customFormat="1" ht="20.25" x14ac:dyDescent="0.3">
      <c r="A240" s="531"/>
      <c r="B240" s="532"/>
      <c r="D240" s="534"/>
      <c r="F240" s="531"/>
      <c r="G240" s="531"/>
      <c r="H240" s="535"/>
      <c r="I240" s="531"/>
      <c r="J240" s="531"/>
      <c r="K240" s="531"/>
      <c r="L240" s="531"/>
      <c r="M240" s="531"/>
      <c r="Q240" s="531"/>
      <c r="R240" s="531"/>
      <c r="S240" s="532"/>
      <c r="T240" s="536"/>
      <c r="U240" s="536"/>
      <c r="V240" s="536"/>
      <c r="W240" s="536"/>
      <c r="Y240" s="536"/>
      <c r="Z240" s="536"/>
      <c r="AA240" s="536"/>
      <c r="AB240" s="536"/>
      <c r="AC240" s="536"/>
      <c r="AD240" s="536"/>
      <c r="AE240" s="536"/>
      <c r="AF240" s="536"/>
      <c r="AG240" s="537"/>
      <c r="AH240" s="537"/>
      <c r="AI240" s="537"/>
      <c r="AJ240" s="537"/>
      <c r="AK240" s="537"/>
      <c r="AL240" s="537"/>
      <c r="AM240" s="532"/>
      <c r="AN240" s="532"/>
      <c r="AO240" s="536"/>
      <c r="AP240" s="997"/>
      <c r="AQ240" s="536"/>
      <c r="AR240" s="536"/>
      <c r="AS240" s="532"/>
      <c r="AT240" s="538"/>
      <c r="AU240" s="538"/>
      <c r="AV240" s="536"/>
      <c r="AW240" s="532"/>
      <c r="AX240" s="532"/>
      <c r="AY240" s="532"/>
      <c r="AZ240" s="532"/>
      <c r="BA240" s="532"/>
      <c r="BB240" s="536"/>
      <c r="BC240" s="536"/>
      <c r="BD240" s="536"/>
      <c r="BE240" s="536"/>
      <c r="BF240" s="536"/>
      <c r="BG240" s="536"/>
      <c r="BH240" s="536"/>
      <c r="BI240" s="536"/>
      <c r="BJ240" s="536"/>
      <c r="BK240" s="536"/>
      <c r="BL240" s="536"/>
      <c r="BM240" s="539"/>
      <c r="BN240" s="539"/>
      <c r="BO240" s="539"/>
      <c r="BP240" s="539"/>
      <c r="BQ240" s="539"/>
      <c r="BR240" s="539"/>
      <c r="BS240" s="441"/>
      <c r="BT240" s="441"/>
      <c r="BU240" s="913"/>
      <c r="BV240" s="441"/>
      <c r="BW240" s="441"/>
      <c r="BX240" s="441"/>
      <c r="BY240" s="441"/>
      <c r="BZ240" s="441"/>
      <c r="CA240" s="441"/>
      <c r="CB240" s="441"/>
      <c r="CC240" s="441"/>
      <c r="CD240" s="539"/>
      <c r="CE240" s="539"/>
      <c r="CG240" s="539"/>
      <c r="CH240" s="539"/>
      <c r="CI240" s="539"/>
      <c r="DD240" s="531"/>
      <c r="DG240" s="531"/>
      <c r="DH240" s="531"/>
    </row>
    <row r="241" spans="1:112" s="533" customFormat="1" ht="20.25" x14ac:dyDescent="0.3">
      <c r="A241" s="531"/>
      <c r="B241" s="532"/>
      <c r="D241" s="534"/>
      <c r="F241" s="531"/>
      <c r="G241" s="531"/>
      <c r="H241" s="535"/>
      <c r="I241" s="531"/>
      <c r="J241" s="531"/>
      <c r="K241" s="531"/>
      <c r="L241" s="531"/>
      <c r="M241" s="531"/>
      <c r="Q241" s="531"/>
      <c r="R241" s="531"/>
      <c r="S241" s="532"/>
      <c r="T241" s="536"/>
      <c r="U241" s="536"/>
      <c r="V241" s="536"/>
      <c r="W241" s="536"/>
      <c r="Y241" s="536"/>
      <c r="Z241" s="536"/>
      <c r="AA241" s="536"/>
      <c r="AB241" s="536"/>
      <c r="AC241" s="536"/>
      <c r="AD241" s="536"/>
      <c r="AE241" s="536"/>
      <c r="AF241" s="536"/>
      <c r="AG241" s="537"/>
      <c r="AH241" s="537"/>
      <c r="AI241" s="537"/>
      <c r="AJ241" s="537"/>
      <c r="AK241" s="537"/>
      <c r="AL241" s="537"/>
      <c r="AM241" s="532"/>
      <c r="AN241" s="532"/>
      <c r="AO241" s="536"/>
      <c r="AP241" s="997"/>
      <c r="AQ241" s="536"/>
      <c r="AR241" s="536"/>
      <c r="AS241" s="532"/>
      <c r="AT241" s="538"/>
      <c r="AU241" s="538"/>
      <c r="AV241" s="536"/>
      <c r="AW241" s="532"/>
      <c r="AX241" s="532"/>
      <c r="AY241" s="532"/>
      <c r="AZ241" s="532"/>
      <c r="BA241" s="532"/>
      <c r="BB241" s="536"/>
      <c r="BC241" s="536"/>
      <c r="BD241" s="536"/>
      <c r="BE241" s="536"/>
      <c r="BF241" s="536"/>
      <c r="BG241" s="536"/>
      <c r="BH241" s="536"/>
      <c r="BI241" s="536"/>
      <c r="BJ241" s="536"/>
      <c r="BK241" s="536"/>
      <c r="BL241" s="536"/>
      <c r="BM241" s="539"/>
      <c r="BN241" s="539"/>
      <c r="BO241" s="539"/>
      <c r="BP241" s="539"/>
      <c r="BQ241" s="539"/>
      <c r="BR241" s="539"/>
      <c r="BS241" s="441"/>
      <c r="BT241" s="441"/>
      <c r="BU241" s="913"/>
      <c r="BV241" s="441"/>
      <c r="BW241" s="441"/>
      <c r="BX241" s="441"/>
      <c r="BY241" s="441"/>
      <c r="BZ241" s="441"/>
      <c r="CA241" s="441"/>
      <c r="CB241" s="441"/>
      <c r="CC241" s="441"/>
      <c r="CD241" s="539"/>
      <c r="CE241" s="539"/>
      <c r="CG241" s="539"/>
      <c r="CH241" s="539"/>
      <c r="CI241" s="539"/>
      <c r="DD241" s="531"/>
      <c r="DG241" s="531"/>
      <c r="DH241" s="531"/>
    </row>
    <row r="242" spans="1:112" s="533" customFormat="1" ht="20.25" x14ac:dyDescent="0.3">
      <c r="A242" s="531"/>
      <c r="B242" s="532"/>
      <c r="D242" s="534"/>
      <c r="F242" s="531"/>
      <c r="G242" s="531"/>
      <c r="H242" s="535"/>
      <c r="I242" s="531"/>
      <c r="J242" s="531"/>
      <c r="K242" s="531"/>
      <c r="L242" s="531"/>
      <c r="M242" s="531"/>
      <c r="Q242" s="531"/>
      <c r="R242" s="531"/>
      <c r="S242" s="532"/>
      <c r="T242" s="536"/>
      <c r="U242" s="536"/>
      <c r="V242" s="536"/>
      <c r="W242" s="536"/>
      <c r="Y242" s="536"/>
      <c r="Z242" s="536"/>
      <c r="AA242" s="536"/>
      <c r="AB242" s="536"/>
      <c r="AC242" s="536"/>
      <c r="AD242" s="536"/>
      <c r="AE242" s="536"/>
      <c r="AF242" s="536"/>
      <c r="AG242" s="537"/>
      <c r="AH242" s="537"/>
      <c r="AI242" s="537"/>
      <c r="AJ242" s="537"/>
      <c r="AK242" s="537"/>
      <c r="AL242" s="537"/>
      <c r="AM242" s="532"/>
      <c r="AN242" s="532"/>
      <c r="AO242" s="536"/>
      <c r="AP242" s="997"/>
      <c r="AQ242" s="536"/>
      <c r="AR242" s="536"/>
      <c r="AS242" s="532"/>
      <c r="AT242" s="538"/>
      <c r="AU242" s="538"/>
      <c r="AV242" s="536"/>
      <c r="AW242" s="532"/>
      <c r="AX242" s="532"/>
      <c r="AY242" s="532"/>
      <c r="AZ242" s="532"/>
      <c r="BA242" s="532"/>
      <c r="BB242" s="536"/>
      <c r="BC242" s="536"/>
      <c r="BD242" s="536"/>
      <c r="BE242" s="536"/>
      <c r="BF242" s="536"/>
      <c r="BG242" s="536"/>
      <c r="BH242" s="536"/>
      <c r="BI242" s="536"/>
      <c r="BJ242" s="536"/>
      <c r="BK242" s="536"/>
      <c r="BL242" s="536"/>
      <c r="BM242" s="539"/>
      <c r="BN242" s="539"/>
      <c r="BO242" s="539"/>
      <c r="BP242" s="539"/>
      <c r="BQ242" s="539"/>
      <c r="BR242" s="539"/>
      <c r="BS242" s="441"/>
      <c r="BT242" s="441"/>
      <c r="BU242" s="913"/>
      <c r="BV242" s="441"/>
      <c r="BW242" s="441"/>
      <c r="BX242" s="441"/>
      <c r="BY242" s="441"/>
      <c r="BZ242" s="441"/>
      <c r="CA242" s="441"/>
      <c r="CB242" s="441"/>
      <c r="CC242" s="441"/>
      <c r="CD242" s="539"/>
      <c r="CE242" s="539"/>
      <c r="CG242" s="539"/>
      <c r="CH242" s="539"/>
      <c r="CI242" s="539"/>
      <c r="DD242" s="531"/>
      <c r="DG242" s="531"/>
      <c r="DH242" s="531"/>
    </row>
    <row r="243" spans="1:112" s="533" customFormat="1" ht="20.25" x14ac:dyDescent="0.3">
      <c r="A243" s="531"/>
      <c r="B243" s="532"/>
      <c r="D243" s="534"/>
      <c r="F243" s="531"/>
      <c r="G243" s="531"/>
      <c r="H243" s="535"/>
      <c r="I243" s="531"/>
      <c r="J243" s="531"/>
      <c r="K243" s="531"/>
      <c r="L243" s="531"/>
      <c r="M243" s="531"/>
      <c r="Q243" s="531"/>
      <c r="R243" s="531"/>
      <c r="S243" s="532"/>
      <c r="T243" s="536"/>
      <c r="U243" s="536"/>
      <c r="V243" s="536"/>
      <c r="W243" s="536"/>
      <c r="Y243" s="536"/>
      <c r="Z243" s="536"/>
      <c r="AA243" s="536"/>
      <c r="AB243" s="536"/>
      <c r="AC243" s="536"/>
      <c r="AD243" s="536"/>
      <c r="AE243" s="536"/>
      <c r="AF243" s="536"/>
      <c r="AG243" s="537"/>
      <c r="AH243" s="537"/>
      <c r="AI243" s="537"/>
      <c r="AJ243" s="537"/>
      <c r="AK243" s="537"/>
      <c r="AL243" s="537"/>
      <c r="AM243" s="532"/>
      <c r="AN243" s="532"/>
      <c r="AO243" s="536"/>
      <c r="AP243" s="997"/>
      <c r="AQ243" s="536"/>
      <c r="AR243" s="536"/>
      <c r="AS243" s="532"/>
      <c r="AT243" s="538"/>
      <c r="AU243" s="538"/>
      <c r="AV243" s="536"/>
      <c r="AW243" s="532"/>
      <c r="AX243" s="532"/>
      <c r="AY243" s="532"/>
      <c r="AZ243" s="532"/>
      <c r="BA243" s="532"/>
      <c r="BB243" s="536"/>
      <c r="BC243" s="536"/>
      <c r="BD243" s="536"/>
      <c r="BE243" s="536"/>
      <c r="BF243" s="536"/>
      <c r="BG243" s="536"/>
      <c r="BH243" s="536"/>
      <c r="BI243" s="536"/>
      <c r="BJ243" s="536"/>
      <c r="BK243" s="536"/>
      <c r="BL243" s="536"/>
      <c r="BM243" s="539"/>
      <c r="BN243" s="539"/>
      <c r="BO243" s="539"/>
      <c r="BP243" s="539"/>
      <c r="BQ243" s="539"/>
      <c r="BR243" s="539"/>
      <c r="BS243" s="441"/>
      <c r="BT243" s="441"/>
      <c r="BU243" s="913"/>
      <c r="BV243" s="441"/>
      <c r="BW243" s="441"/>
      <c r="BX243" s="441"/>
      <c r="BY243" s="441"/>
      <c r="BZ243" s="441"/>
      <c r="CA243" s="441"/>
      <c r="CB243" s="441"/>
      <c r="CC243" s="441"/>
      <c r="CD243" s="539"/>
      <c r="CE243" s="539"/>
      <c r="CG243" s="539"/>
      <c r="CH243" s="539"/>
      <c r="CI243" s="539"/>
      <c r="DD243" s="531"/>
      <c r="DG243" s="531"/>
      <c r="DH243" s="531"/>
    </row>
    <row r="244" spans="1:112" s="533" customFormat="1" ht="20.25" x14ac:dyDescent="0.3">
      <c r="A244" s="531"/>
      <c r="B244" s="532"/>
      <c r="D244" s="534"/>
      <c r="F244" s="531"/>
      <c r="G244" s="531"/>
      <c r="H244" s="535"/>
      <c r="I244" s="531"/>
      <c r="J244" s="531"/>
      <c r="K244" s="531"/>
      <c r="L244" s="531"/>
      <c r="M244" s="531"/>
      <c r="Q244" s="531"/>
      <c r="R244" s="531"/>
      <c r="S244" s="532"/>
      <c r="T244" s="536"/>
      <c r="U244" s="536"/>
      <c r="V244" s="536"/>
      <c r="W244" s="536"/>
      <c r="Y244" s="536"/>
      <c r="Z244" s="536"/>
      <c r="AA244" s="536"/>
      <c r="AB244" s="536"/>
      <c r="AC244" s="536"/>
      <c r="AD244" s="536"/>
      <c r="AE244" s="536"/>
      <c r="AF244" s="536"/>
      <c r="AG244" s="537"/>
      <c r="AH244" s="537"/>
      <c r="AI244" s="537"/>
      <c r="AJ244" s="537"/>
      <c r="AK244" s="537"/>
      <c r="AL244" s="537"/>
      <c r="AM244" s="532"/>
      <c r="AN244" s="532"/>
      <c r="AO244" s="536"/>
      <c r="AP244" s="997"/>
      <c r="AQ244" s="536"/>
      <c r="AR244" s="536"/>
      <c r="AS244" s="532"/>
      <c r="AT244" s="538"/>
      <c r="AU244" s="538"/>
      <c r="AV244" s="536"/>
      <c r="AW244" s="532"/>
      <c r="AX244" s="532"/>
      <c r="AY244" s="532"/>
      <c r="AZ244" s="532"/>
      <c r="BA244" s="532"/>
      <c r="BB244" s="536"/>
      <c r="BC244" s="536"/>
      <c r="BD244" s="536"/>
      <c r="BE244" s="536"/>
      <c r="BF244" s="536"/>
      <c r="BG244" s="536"/>
      <c r="BH244" s="536"/>
      <c r="BI244" s="536"/>
      <c r="BJ244" s="536"/>
      <c r="BK244" s="536"/>
      <c r="BL244" s="536"/>
      <c r="BM244" s="539"/>
      <c r="BN244" s="539"/>
      <c r="BO244" s="539"/>
      <c r="BP244" s="539"/>
      <c r="BQ244" s="539"/>
      <c r="BR244" s="539"/>
      <c r="BS244" s="441"/>
      <c r="BT244" s="441"/>
      <c r="BU244" s="913"/>
      <c r="BV244" s="441"/>
      <c r="BW244" s="441"/>
      <c r="BX244" s="441"/>
      <c r="BY244" s="441"/>
      <c r="BZ244" s="441"/>
      <c r="CA244" s="441"/>
      <c r="CB244" s="441"/>
      <c r="CC244" s="441"/>
      <c r="CD244" s="539"/>
      <c r="CE244" s="539"/>
      <c r="CG244" s="539"/>
      <c r="CH244" s="539"/>
      <c r="CI244" s="539"/>
      <c r="DD244" s="531"/>
      <c r="DG244" s="531"/>
      <c r="DH244" s="531"/>
    </row>
    <row r="245" spans="1:112" s="533" customFormat="1" ht="20.25" x14ac:dyDescent="0.3">
      <c r="A245" s="531"/>
      <c r="B245" s="532"/>
      <c r="D245" s="534"/>
      <c r="F245" s="531"/>
      <c r="G245" s="531"/>
      <c r="H245" s="535"/>
      <c r="I245" s="531"/>
      <c r="J245" s="531"/>
      <c r="K245" s="531"/>
      <c r="L245" s="531"/>
      <c r="M245" s="531"/>
      <c r="Q245" s="531"/>
      <c r="R245" s="531"/>
      <c r="S245" s="532"/>
      <c r="T245" s="536"/>
      <c r="U245" s="536"/>
      <c r="V245" s="536"/>
      <c r="W245" s="536"/>
      <c r="Y245" s="536"/>
      <c r="Z245" s="536"/>
      <c r="AA245" s="536"/>
      <c r="AB245" s="536"/>
      <c r="AC245" s="536"/>
      <c r="AD245" s="536"/>
      <c r="AE245" s="536"/>
      <c r="AF245" s="536"/>
      <c r="AG245" s="537"/>
      <c r="AH245" s="537"/>
      <c r="AI245" s="537"/>
      <c r="AJ245" s="537"/>
      <c r="AK245" s="537"/>
      <c r="AL245" s="537"/>
      <c r="AM245" s="532"/>
      <c r="AN245" s="532"/>
      <c r="AO245" s="536"/>
      <c r="AP245" s="997"/>
      <c r="AQ245" s="536"/>
      <c r="AR245" s="536"/>
      <c r="AS245" s="532"/>
      <c r="AT245" s="538"/>
      <c r="AU245" s="538"/>
      <c r="AV245" s="536"/>
      <c r="AW245" s="532"/>
      <c r="AX245" s="532"/>
      <c r="AY245" s="532"/>
      <c r="AZ245" s="532"/>
      <c r="BA245" s="532"/>
      <c r="BB245" s="536"/>
      <c r="BC245" s="536"/>
      <c r="BD245" s="536"/>
      <c r="BE245" s="536"/>
      <c r="BF245" s="536"/>
      <c r="BG245" s="536"/>
      <c r="BH245" s="536"/>
      <c r="BI245" s="536"/>
      <c r="BJ245" s="536"/>
      <c r="BK245" s="536"/>
      <c r="BL245" s="536"/>
      <c r="BM245" s="539"/>
      <c r="BN245" s="539"/>
      <c r="BO245" s="539"/>
      <c r="BP245" s="539"/>
      <c r="BQ245" s="539"/>
      <c r="BR245" s="539"/>
      <c r="BS245" s="441"/>
      <c r="BT245" s="441"/>
      <c r="BU245" s="913"/>
      <c r="BV245" s="441"/>
      <c r="BW245" s="441"/>
      <c r="BX245" s="441"/>
      <c r="BY245" s="441"/>
      <c r="BZ245" s="441"/>
      <c r="CA245" s="441"/>
      <c r="CB245" s="441"/>
      <c r="CC245" s="441"/>
      <c r="CD245" s="539"/>
      <c r="CE245" s="539"/>
      <c r="CG245" s="539"/>
      <c r="CH245" s="539"/>
      <c r="CI245" s="539"/>
      <c r="DD245" s="531"/>
      <c r="DG245" s="531"/>
      <c r="DH245" s="531"/>
    </row>
    <row r="246" spans="1:112" s="533" customFormat="1" ht="20.25" x14ac:dyDescent="0.3">
      <c r="A246" s="531"/>
      <c r="B246" s="532"/>
      <c r="D246" s="534"/>
      <c r="F246" s="531"/>
      <c r="G246" s="531"/>
      <c r="H246" s="535"/>
      <c r="I246" s="531"/>
      <c r="J246" s="531"/>
      <c r="K246" s="531"/>
      <c r="L246" s="531"/>
      <c r="M246" s="531"/>
      <c r="Q246" s="531"/>
      <c r="R246" s="531"/>
      <c r="S246" s="532"/>
      <c r="T246" s="536"/>
      <c r="U246" s="536"/>
      <c r="V246" s="536"/>
      <c r="W246" s="536"/>
      <c r="Y246" s="536"/>
      <c r="Z246" s="536"/>
      <c r="AA246" s="536"/>
      <c r="AB246" s="536"/>
      <c r="AC246" s="536"/>
      <c r="AD246" s="536"/>
      <c r="AE246" s="536"/>
      <c r="AF246" s="536"/>
      <c r="AG246" s="537"/>
      <c r="AH246" s="537"/>
      <c r="AI246" s="537"/>
      <c r="AJ246" s="537"/>
      <c r="AK246" s="537"/>
      <c r="AL246" s="537"/>
      <c r="AM246" s="532"/>
      <c r="AN246" s="532"/>
      <c r="AO246" s="536"/>
      <c r="AP246" s="997"/>
      <c r="AQ246" s="536"/>
      <c r="AR246" s="536"/>
      <c r="AS246" s="532"/>
      <c r="AT246" s="538"/>
      <c r="AU246" s="538"/>
      <c r="AV246" s="536"/>
      <c r="AW246" s="532"/>
      <c r="AX246" s="532"/>
      <c r="AY246" s="532"/>
      <c r="AZ246" s="532"/>
      <c r="BA246" s="532"/>
      <c r="BB246" s="536"/>
      <c r="BC246" s="536"/>
      <c r="BD246" s="536"/>
      <c r="BE246" s="536"/>
      <c r="BF246" s="536"/>
      <c r="BG246" s="536"/>
      <c r="BH246" s="536"/>
      <c r="BI246" s="536"/>
      <c r="BJ246" s="536"/>
      <c r="BK246" s="536"/>
      <c r="BL246" s="536"/>
      <c r="BM246" s="539"/>
      <c r="BN246" s="539"/>
      <c r="BO246" s="539"/>
      <c r="BP246" s="539"/>
      <c r="BQ246" s="539"/>
      <c r="BR246" s="539"/>
      <c r="BS246" s="441"/>
      <c r="BT246" s="441"/>
      <c r="BU246" s="913"/>
      <c r="BV246" s="441"/>
      <c r="BW246" s="441"/>
      <c r="BX246" s="441"/>
      <c r="BY246" s="441"/>
      <c r="BZ246" s="441"/>
      <c r="CA246" s="441"/>
      <c r="CB246" s="441"/>
      <c r="CC246" s="441"/>
      <c r="CD246" s="539"/>
      <c r="CE246" s="539"/>
      <c r="CG246" s="539"/>
      <c r="CH246" s="539"/>
      <c r="CI246" s="539"/>
      <c r="DD246" s="531"/>
      <c r="DG246" s="531"/>
      <c r="DH246" s="531"/>
    </row>
    <row r="247" spans="1:112" s="533" customFormat="1" ht="20.25" x14ac:dyDescent="0.3">
      <c r="A247" s="531"/>
      <c r="B247" s="532"/>
      <c r="D247" s="534"/>
      <c r="F247" s="531"/>
      <c r="G247" s="531"/>
      <c r="H247" s="535"/>
      <c r="I247" s="531"/>
      <c r="J247" s="531"/>
      <c r="K247" s="531"/>
      <c r="L247" s="531"/>
      <c r="M247" s="531"/>
      <c r="Q247" s="531"/>
      <c r="R247" s="531"/>
      <c r="S247" s="532"/>
      <c r="T247" s="536"/>
      <c r="U247" s="536"/>
      <c r="V247" s="536"/>
      <c r="W247" s="536"/>
      <c r="Y247" s="536"/>
      <c r="Z247" s="536"/>
      <c r="AA247" s="536"/>
      <c r="AB247" s="536"/>
      <c r="AC247" s="536"/>
      <c r="AD247" s="536"/>
      <c r="AE247" s="536"/>
      <c r="AF247" s="536"/>
      <c r="AG247" s="537"/>
      <c r="AH247" s="537"/>
      <c r="AI247" s="537"/>
      <c r="AJ247" s="537"/>
      <c r="AK247" s="537"/>
      <c r="AL247" s="537"/>
      <c r="AM247" s="532"/>
      <c r="AN247" s="532"/>
      <c r="AO247" s="536"/>
      <c r="AP247" s="997"/>
      <c r="AQ247" s="536"/>
      <c r="AR247" s="536"/>
      <c r="AS247" s="532"/>
      <c r="AT247" s="538"/>
      <c r="AU247" s="538"/>
      <c r="AV247" s="536"/>
      <c r="AW247" s="532"/>
      <c r="AX247" s="532"/>
      <c r="AY247" s="532"/>
      <c r="AZ247" s="532"/>
      <c r="BA247" s="532"/>
      <c r="BB247" s="536"/>
      <c r="BC247" s="536"/>
      <c r="BD247" s="536"/>
      <c r="BE247" s="536"/>
      <c r="BF247" s="536"/>
      <c r="BG247" s="536"/>
      <c r="BH247" s="536"/>
      <c r="BI247" s="536"/>
      <c r="BJ247" s="536"/>
      <c r="BK247" s="536"/>
      <c r="BL247" s="536"/>
      <c r="BM247" s="539"/>
      <c r="BN247" s="539"/>
      <c r="BO247" s="539"/>
      <c r="BP247" s="539"/>
      <c r="BQ247" s="539"/>
      <c r="BR247" s="539"/>
      <c r="BS247" s="441"/>
      <c r="BT247" s="441"/>
      <c r="BU247" s="913"/>
      <c r="BV247" s="441"/>
      <c r="BW247" s="441"/>
      <c r="BX247" s="441"/>
      <c r="BY247" s="441"/>
      <c r="BZ247" s="441"/>
      <c r="CA247" s="441"/>
      <c r="CB247" s="441"/>
      <c r="CC247" s="441"/>
      <c r="CD247" s="539"/>
      <c r="CE247" s="539"/>
      <c r="CG247" s="539"/>
      <c r="CH247" s="539"/>
      <c r="CI247" s="539"/>
      <c r="DD247" s="531"/>
      <c r="DG247" s="531"/>
      <c r="DH247" s="531"/>
    </row>
    <row r="248" spans="1:112" s="533" customFormat="1" ht="20.25" x14ac:dyDescent="0.3">
      <c r="A248" s="531"/>
      <c r="B248" s="532"/>
      <c r="D248" s="534"/>
      <c r="F248" s="531"/>
      <c r="G248" s="531"/>
      <c r="H248" s="535"/>
      <c r="I248" s="531"/>
      <c r="J248" s="531"/>
      <c r="K248" s="531"/>
      <c r="L248" s="531"/>
      <c r="M248" s="531"/>
      <c r="Q248" s="531"/>
      <c r="R248" s="531"/>
      <c r="S248" s="532"/>
      <c r="T248" s="536"/>
      <c r="U248" s="536"/>
      <c r="V248" s="536"/>
      <c r="W248" s="536"/>
      <c r="Y248" s="536"/>
      <c r="Z248" s="536"/>
      <c r="AA248" s="536"/>
      <c r="AB248" s="536"/>
      <c r="AC248" s="536"/>
      <c r="AD248" s="536"/>
      <c r="AE248" s="536"/>
      <c r="AF248" s="536"/>
      <c r="AG248" s="537"/>
      <c r="AH248" s="537"/>
      <c r="AI248" s="537"/>
      <c r="AJ248" s="537"/>
      <c r="AK248" s="537"/>
      <c r="AL248" s="537"/>
      <c r="AM248" s="532"/>
      <c r="AN248" s="532"/>
      <c r="AO248" s="536"/>
      <c r="AP248" s="997"/>
      <c r="AQ248" s="536"/>
      <c r="AR248" s="536"/>
      <c r="AS248" s="532"/>
      <c r="AT248" s="538"/>
      <c r="AU248" s="538"/>
      <c r="AV248" s="536"/>
      <c r="AW248" s="532"/>
      <c r="AX248" s="532"/>
      <c r="AY248" s="532"/>
      <c r="AZ248" s="532"/>
      <c r="BA248" s="532"/>
      <c r="BB248" s="536"/>
      <c r="BC248" s="536"/>
      <c r="BD248" s="536"/>
      <c r="BE248" s="536"/>
      <c r="BF248" s="536"/>
      <c r="BG248" s="536"/>
      <c r="BH248" s="536"/>
      <c r="BI248" s="536"/>
      <c r="BJ248" s="536"/>
      <c r="BK248" s="536"/>
      <c r="BL248" s="536"/>
      <c r="BM248" s="539"/>
      <c r="BN248" s="539"/>
      <c r="BO248" s="539"/>
      <c r="BP248" s="539"/>
      <c r="BQ248" s="539"/>
      <c r="BR248" s="539"/>
      <c r="BS248" s="441"/>
      <c r="BT248" s="441"/>
      <c r="BU248" s="913"/>
      <c r="BV248" s="441"/>
      <c r="BW248" s="441"/>
      <c r="BX248" s="441"/>
      <c r="BY248" s="441"/>
      <c r="BZ248" s="441"/>
      <c r="CA248" s="441"/>
      <c r="CB248" s="441"/>
      <c r="CC248" s="441"/>
      <c r="CD248" s="539"/>
      <c r="CE248" s="539"/>
      <c r="CG248" s="539"/>
      <c r="CH248" s="539"/>
      <c r="CI248" s="539"/>
      <c r="DD248" s="531"/>
      <c r="DG248" s="531"/>
      <c r="DH248" s="531"/>
    </row>
    <row r="249" spans="1:112" s="533" customFormat="1" ht="20.25" x14ac:dyDescent="0.3">
      <c r="A249" s="531"/>
      <c r="B249" s="532"/>
      <c r="D249" s="534"/>
      <c r="F249" s="531"/>
      <c r="G249" s="531"/>
      <c r="H249" s="535"/>
      <c r="I249" s="531"/>
      <c r="J249" s="531"/>
      <c r="K249" s="531"/>
      <c r="L249" s="531"/>
      <c r="M249" s="531"/>
      <c r="Q249" s="531"/>
      <c r="R249" s="531"/>
      <c r="S249" s="532"/>
      <c r="T249" s="536"/>
      <c r="U249" s="536"/>
      <c r="V249" s="536"/>
      <c r="W249" s="536"/>
      <c r="Y249" s="536"/>
      <c r="Z249" s="536"/>
      <c r="AA249" s="536"/>
      <c r="AB249" s="536"/>
      <c r="AC249" s="536"/>
      <c r="AD249" s="536"/>
      <c r="AE249" s="536"/>
      <c r="AF249" s="536"/>
      <c r="AG249" s="537"/>
      <c r="AH249" s="537"/>
      <c r="AI249" s="537"/>
      <c r="AJ249" s="537"/>
      <c r="AK249" s="537"/>
      <c r="AL249" s="537"/>
      <c r="AM249" s="532"/>
      <c r="AN249" s="532"/>
      <c r="AO249" s="536"/>
      <c r="AP249" s="997"/>
      <c r="AQ249" s="536"/>
      <c r="AR249" s="536"/>
      <c r="AS249" s="532"/>
      <c r="AT249" s="538"/>
      <c r="AU249" s="538"/>
      <c r="AV249" s="536"/>
      <c r="AW249" s="532"/>
      <c r="AX249" s="532"/>
      <c r="AY249" s="532"/>
      <c r="AZ249" s="532"/>
      <c r="BA249" s="532"/>
      <c r="BB249" s="536"/>
      <c r="BC249" s="536"/>
      <c r="BD249" s="536"/>
      <c r="BE249" s="536"/>
      <c r="BF249" s="536"/>
      <c r="BG249" s="536"/>
      <c r="BH249" s="536"/>
      <c r="BI249" s="536"/>
      <c r="BJ249" s="536"/>
      <c r="BK249" s="536"/>
      <c r="BL249" s="536"/>
      <c r="BM249" s="539"/>
      <c r="BN249" s="539"/>
      <c r="BO249" s="539"/>
      <c r="BP249" s="539"/>
      <c r="BQ249" s="539"/>
      <c r="BR249" s="539"/>
      <c r="BS249" s="441"/>
      <c r="BT249" s="441"/>
      <c r="BU249" s="913"/>
      <c r="BV249" s="441"/>
      <c r="BW249" s="441"/>
      <c r="BX249" s="441"/>
      <c r="BY249" s="441"/>
      <c r="BZ249" s="441"/>
      <c r="CA249" s="441"/>
      <c r="CB249" s="441"/>
      <c r="CC249" s="441"/>
      <c r="CD249" s="539"/>
      <c r="CE249" s="539"/>
      <c r="CG249" s="539"/>
      <c r="CH249" s="539"/>
      <c r="CI249" s="539"/>
      <c r="DD249" s="531"/>
      <c r="DG249" s="531"/>
      <c r="DH249" s="531"/>
    </row>
    <row r="250" spans="1:112" s="533" customFormat="1" ht="20.25" x14ac:dyDescent="0.3">
      <c r="A250" s="531"/>
      <c r="B250" s="532"/>
      <c r="D250" s="534"/>
      <c r="F250" s="531"/>
      <c r="G250" s="531"/>
      <c r="H250" s="535"/>
      <c r="I250" s="531"/>
      <c r="J250" s="531"/>
      <c r="K250" s="531"/>
      <c r="L250" s="531"/>
      <c r="M250" s="531"/>
      <c r="Q250" s="531"/>
      <c r="R250" s="531"/>
      <c r="S250" s="532"/>
      <c r="T250" s="536"/>
      <c r="U250" s="536"/>
      <c r="V250" s="536"/>
      <c r="W250" s="536"/>
      <c r="Y250" s="536"/>
      <c r="Z250" s="536"/>
      <c r="AA250" s="536"/>
      <c r="AB250" s="536"/>
      <c r="AC250" s="536"/>
      <c r="AD250" s="536"/>
      <c r="AE250" s="536"/>
      <c r="AF250" s="536"/>
      <c r="AG250" s="537"/>
      <c r="AH250" s="537"/>
      <c r="AI250" s="537"/>
      <c r="AJ250" s="537"/>
      <c r="AK250" s="537"/>
      <c r="AL250" s="537"/>
      <c r="AM250" s="532"/>
      <c r="AN250" s="532"/>
      <c r="AO250" s="536"/>
      <c r="AP250" s="997"/>
      <c r="AQ250" s="536"/>
      <c r="AR250" s="536"/>
      <c r="AS250" s="532"/>
      <c r="AT250" s="538"/>
      <c r="AU250" s="538"/>
      <c r="AV250" s="536"/>
      <c r="AW250" s="532"/>
      <c r="AX250" s="532"/>
      <c r="AY250" s="532"/>
      <c r="AZ250" s="532"/>
      <c r="BA250" s="532"/>
      <c r="BB250" s="536"/>
      <c r="BC250" s="536"/>
      <c r="BD250" s="536"/>
      <c r="BE250" s="536"/>
      <c r="BF250" s="536"/>
      <c r="BG250" s="536"/>
      <c r="BH250" s="536"/>
      <c r="BI250" s="536"/>
      <c r="BJ250" s="536"/>
      <c r="BK250" s="536"/>
      <c r="BL250" s="536"/>
      <c r="BM250" s="539"/>
      <c r="BN250" s="539"/>
      <c r="BO250" s="539"/>
      <c r="BP250" s="539"/>
      <c r="BQ250" s="539"/>
      <c r="BR250" s="539"/>
      <c r="BS250" s="441"/>
      <c r="BT250" s="441"/>
      <c r="BU250" s="913"/>
      <c r="BV250" s="441"/>
      <c r="BW250" s="441"/>
      <c r="BX250" s="441"/>
      <c r="BY250" s="441"/>
      <c r="BZ250" s="441"/>
      <c r="CA250" s="441"/>
      <c r="CB250" s="441"/>
      <c r="CC250" s="441"/>
      <c r="CD250" s="539"/>
      <c r="CE250" s="539"/>
      <c r="CG250" s="539"/>
      <c r="CH250" s="539"/>
      <c r="CI250" s="539"/>
      <c r="DD250" s="531"/>
      <c r="DG250" s="531"/>
      <c r="DH250" s="531"/>
    </row>
    <row r="251" spans="1:112" s="533" customFormat="1" ht="20.25" x14ac:dyDescent="0.3">
      <c r="A251" s="531"/>
      <c r="B251" s="532"/>
      <c r="D251" s="534"/>
      <c r="F251" s="531"/>
      <c r="G251" s="531"/>
      <c r="H251" s="535"/>
      <c r="I251" s="531"/>
      <c r="J251" s="531"/>
      <c r="K251" s="531"/>
      <c r="L251" s="531"/>
      <c r="M251" s="531"/>
      <c r="Q251" s="531"/>
      <c r="R251" s="531"/>
      <c r="S251" s="532"/>
      <c r="T251" s="536"/>
      <c r="U251" s="536"/>
      <c r="V251" s="536"/>
      <c r="W251" s="536"/>
      <c r="Y251" s="536"/>
      <c r="Z251" s="536"/>
      <c r="AA251" s="536"/>
      <c r="AB251" s="536"/>
      <c r="AC251" s="536"/>
      <c r="AD251" s="536"/>
      <c r="AE251" s="536"/>
      <c r="AF251" s="536"/>
      <c r="AG251" s="537"/>
      <c r="AH251" s="537"/>
      <c r="AI251" s="537"/>
      <c r="AJ251" s="537"/>
      <c r="AK251" s="537"/>
      <c r="AL251" s="537"/>
      <c r="AM251" s="532"/>
      <c r="AN251" s="532"/>
      <c r="AO251" s="536"/>
      <c r="AP251" s="997"/>
      <c r="AQ251" s="536"/>
      <c r="AR251" s="536"/>
      <c r="AS251" s="532"/>
      <c r="AT251" s="538"/>
      <c r="AU251" s="538"/>
      <c r="AV251" s="536"/>
      <c r="AW251" s="532"/>
      <c r="AX251" s="532"/>
      <c r="AY251" s="532"/>
      <c r="AZ251" s="532"/>
      <c r="BA251" s="532"/>
      <c r="BB251" s="536"/>
      <c r="BC251" s="536"/>
      <c r="BD251" s="536"/>
      <c r="BE251" s="536"/>
      <c r="BF251" s="536"/>
      <c r="BG251" s="536"/>
      <c r="BH251" s="536"/>
      <c r="BI251" s="536"/>
      <c r="BJ251" s="536"/>
      <c r="BK251" s="536"/>
      <c r="BL251" s="536"/>
      <c r="BM251" s="539"/>
      <c r="BN251" s="539"/>
      <c r="BO251" s="539"/>
      <c r="BP251" s="539"/>
      <c r="BQ251" s="539"/>
      <c r="BR251" s="539"/>
      <c r="BS251" s="441"/>
      <c r="BT251" s="441"/>
      <c r="BU251" s="913"/>
      <c r="BV251" s="441"/>
      <c r="BW251" s="441"/>
      <c r="BX251" s="441"/>
      <c r="BY251" s="441"/>
      <c r="BZ251" s="441"/>
      <c r="CA251" s="441"/>
      <c r="CB251" s="441"/>
      <c r="CC251" s="441"/>
      <c r="CD251" s="539"/>
      <c r="CE251" s="539"/>
      <c r="CG251" s="539"/>
      <c r="CH251" s="539"/>
      <c r="CI251" s="539"/>
      <c r="DD251" s="531"/>
      <c r="DG251" s="531"/>
      <c r="DH251" s="531"/>
    </row>
    <row r="252" spans="1:112" s="533" customFormat="1" ht="20.25" x14ac:dyDescent="0.3">
      <c r="A252" s="531"/>
      <c r="B252" s="532"/>
      <c r="D252" s="534"/>
      <c r="F252" s="531"/>
      <c r="G252" s="531"/>
      <c r="H252" s="535"/>
      <c r="I252" s="531"/>
      <c r="J252" s="531"/>
      <c r="K252" s="531"/>
      <c r="L252" s="531"/>
      <c r="M252" s="531"/>
      <c r="Q252" s="531"/>
      <c r="R252" s="531"/>
      <c r="S252" s="532"/>
      <c r="T252" s="536"/>
      <c r="U252" s="536"/>
      <c r="V252" s="536"/>
      <c r="W252" s="536"/>
      <c r="Y252" s="536"/>
      <c r="Z252" s="536"/>
      <c r="AA252" s="536"/>
      <c r="AB252" s="536"/>
      <c r="AC252" s="536"/>
      <c r="AD252" s="536"/>
      <c r="AE252" s="536"/>
      <c r="AF252" s="536"/>
      <c r="AG252" s="537"/>
      <c r="AH252" s="537"/>
      <c r="AI252" s="537"/>
      <c r="AJ252" s="537"/>
      <c r="AK252" s="537"/>
      <c r="AL252" s="537"/>
      <c r="AM252" s="532"/>
      <c r="AN252" s="532"/>
      <c r="AO252" s="536"/>
      <c r="AP252" s="997"/>
      <c r="AQ252" s="536"/>
      <c r="AR252" s="536"/>
      <c r="AS252" s="532"/>
      <c r="AT252" s="538"/>
      <c r="AU252" s="538"/>
      <c r="AV252" s="536"/>
      <c r="AW252" s="532"/>
      <c r="AX252" s="532"/>
      <c r="AY252" s="532"/>
      <c r="AZ252" s="532"/>
      <c r="BA252" s="532"/>
      <c r="BB252" s="536"/>
      <c r="BC252" s="536"/>
      <c r="BD252" s="536"/>
      <c r="BE252" s="536"/>
      <c r="BF252" s="536"/>
      <c r="BG252" s="536"/>
      <c r="BH252" s="536"/>
      <c r="BI252" s="536"/>
      <c r="BJ252" s="536"/>
      <c r="BK252" s="536"/>
      <c r="BL252" s="536"/>
      <c r="BM252" s="539"/>
      <c r="BN252" s="539"/>
      <c r="BO252" s="539"/>
      <c r="BP252" s="539"/>
      <c r="BQ252" s="539"/>
      <c r="BR252" s="539"/>
      <c r="BS252" s="441"/>
      <c r="BT252" s="441"/>
      <c r="BU252" s="913"/>
      <c r="BV252" s="441"/>
      <c r="BW252" s="441"/>
      <c r="BX252" s="441"/>
      <c r="BY252" s="441"/>
      <c r="BZ252" s="441"/>
      <c r="CA252" s="441"/>
      <c r="CB252" s="441"/>
      <c r="CC252" s="441"/>
      <c r="CD252" s="539"/>
      <c r="CE252" s="539"/>
      <c r="CG252" s="539"/>
      <c r="CH252" s="539"/>
      <c r="CI252" s="539"/>
      <c r="DD252" s="531"/>
      <c r="DG252" s="531"/>
      <c r="DH252" s="531"/>
    </row>
    <row r="253" spans="1:112" s="533" customFormat="1" ht="20.25" x14ac:dyDescent="0.3">
      <c r="A253" s="531"/>
      <c r="B253" s="532"/>
      <c r="D253" s="534"/>
      <c r="F253" s="531"/>
      <c r="G253" s="531"/>
      <c r="H253" s="535"/>
      <c r="I253" s="531"/>
      <c r="J253" s="531"/>
      <c r="K253" s="531"/>
      <c r="L253" s="531"/>
      <c r="M253" s="531"/>
      <c r="Q253" s="531"/>
      <c r="R253" s="531"/>
      <c r="S253" s="532"/>
      <c r="T253" s="536"/>
      <c r="U253" s="536"/>
      <c r="V253" s="536"/>
      <c r="W253" s="536"/>
      <c r="Y253" s="536"/>
      <c r="Z253" s="536"/>
      <c r="AA253" s="536"/>
      <c r="AB253" s="536"/>
      <c r="AC253" s="536"/>
      <c r="AD253" s="536"/>
      <c r="AE253" s="536"/>
      <c r="AF253" s="536"/>
      <c r="AG253" s="537"/>
      <c r="AH253" s="537"/>
      <c r="AI253" s="537"/>
      <c r="AJ253" s="537"/>
      <c r="AK253" s="537"/>
      <c r="AL253" s="537"/>
      <c r="AM253" s="532"/>
      <c r="AN253" s="532"/>
      <c r="AO253" s="536"/>
      <c r="AP253" s="997"/>
      <c r="AQ253" s="536"/>
      <c r="AR253" s="536"/>
      <c r="AS253" s="532"/>
      <c r="AT253" s="538"/>
      <c r="AU253" s="538"/>
      <c r="AV253" s="536"/>
      <c r="AW253" s="532"/>
      <c r="AX253" s="532"/>
      <c r="AY253" s="532"/>
      <c r="AZ253" s="532"/>
      <c r="BA253" s="532"/>
      <c r="BB253" s="536"/>
      <c r="BC253" s="536"/>
      <c r="BD253" s="536"/>
      <c r="BE253" s="536"/>
      <c r="BF253" s="536"/>
      <c r="BG253" s="536"/>
      <c r="BH253" s="536"/>
      <c r="BI253" s="536"/>
      <c r="BJ253" s="536"/>
      <c r="BK253" s="536"/>
      <c r="BL253" s="536"/>
      <c r="BM253" s="539"/>
      <c r="BN253" s="539"/>
      <c r="BO253" s="539"/>
      <c r="BP253" s="539"/>
      <c r="BQ253" s="539"/>
      <c r="BR253" s="539"/>
      <c r="BS253" s="441"/>
      <c r="BT253" s="441"/>
      <c r="BU253" s="913"/>
      <c r="BV253" s="441"/>
      <c r="BW253" s="441"/>
      <c r="BX253" s="441"/>
      <c r="BY253" s="441"/>
      <c r="BZ253" s="441"/>
      <c r="CA253" s="441"/>
      <c r="CB253" s="441"/>
      <c r="CC253" s="441"/>
      <c r="CD253" s="539"/>
      <c r="CE253" s="539"/>
      <c r="CG253" s="539"/>
      <c r="CH253" s="539"/>
      <c r="CI253" s="539"/>
      <c r="DD253" s="531"/>
      <c r="DG253" s="531"/>
      <c r="DH253" s="531"/>
    </row>
    <row r="254" spans="1:112" s="533" customFormat="1" ht="20.25" x14ac:dyDescent="0.3">
      <c r="A254" s="531"/>
      <c r="B254" s="532"/>
      <c r="D254" s="534"/>
      <c r="F254" s="531"/>
      <c r="G254" s="531"/>
      <c r="H254" s="535"/>
      <c r="I254" s="531"/>
      <c r="J254" s="531"/>
      <c r="K254" s="531"/>
      <c r="L254" s="531"/>
      <c r="M254" s="531"/>
      <c r="Q254" s="531"/>
      <c r="R254" s="531"/>
      <c r="S254" s="532"/>
      <c r="T254" s="536"/>
      <c r="U254" s="536"/>
      <c r="V254" s="536"/>
      <c r="W254" s="536"/>
      <c r="Y254" s="536"/>
      <c r="Z254" s="536"/>
      <c r="AA254" s="536"/>
      <c r="AB254" s="536"/>
      <c r="AC254" s="536"/>
      <c r="AD254" s="536"/>
      <c r="AE254" s="536"/>
      <c r="AF254" s="536"/>
      <c r="AG254" s="537"/>
      <c r="AH254" s="537"/>
      <c r="AI254" s="537"/>
      <c r="AJ254" s="537"/>
      <c r="AK254" s="537"/>
      <c r="AL254" s="537"/>
      <c r="AM254" s="532"/>
      <c r="AN254" s="532"/>
      <c r="AO254" s="536"/>
      <c r="AP254" s="997"/>
      <c r="AQ254" s="536"/>
      <c r="AR254" s="536"/>
      <c r="AS254" s="532"/>
      <c r="AT254" s="538"/>
      <c r="AU254" s="538"/>
      <c r="AV254" s="536"/>
      <c r="AW254" s="532"/>
      <c r="AX254" s="532"/>
      <c r="AY254" s="532"/>
      <c r="AZ254" s="532"/>
      <c r="BA254" s="532"/>
      <c r="BB254" s="536"/>
      <c r="BC254" s="536"/>
      <c r="BD254" s="536"/>
      <c r="BE254" s="536"/>
      <c r="BF254" s="536"/>
      <c r="BG254" s="536"/>
      <c r="BH254" s="536"/>
      <c r="BI254" s="536"/>
      <c r="BJ254" s="536"/>
      <c r="BK254" s="536"/>
      <c r="BL254" s="536"/>
      <c r="BM254" s="539"/>
      <c r="BN254" s="539"/>
      <c r="BO254" s="539"/>
      <c r="BP254" s="539"/>
      <c r="BQ254" s="539"/>
      <c r="BR254" s="539"/>
      <c r="BS254" s="441"/>
      <c r="BT254" s="441"/>
      <c r="BU254" s="913"/>
      <c r="BV254" s="441"/>
      <c r="BW254" s="441"/>
      <c r="BX254" s="441"/>
      <c r="BY254" s="441"/>
      <c r="BZ254" s="441"/>
      <c r="CA254" s="441"/>
      <c r="CB254" s="441"/>
      <c r="CC254" s="441"/>
      <c r="CD254" s="539"/>
      <c r="CE254" s="539"/>
      <c r="CG254" s="539"/>
      <c r="CH254" s="539"/>
      <c r="CI254" s="539"/>
      <c r="DD254" s="531"/>
      <c r="DG254" s="531"/>
      <c r="DH254" s="531"/>
    </row>
    <row r="255" spans="1:112" s="533" customFormat="1" ht="20.25" x14ac:dyDescent="0.3">
      <c r="A255" s="531"/>
      <c r="B255" s="532"/>
      <c r="D255" s="534"/>
      <c r="F255" s="531"/>
      <c r="G255" s="531"/>
      <c r="H255" s="535"/>
      <c r="I255" s="531"/>
      <c r="J255" s="531"/>
      <c r="K255" s="531"/>
      <c r="L255" s="531"/>
      <c r="M255" s="531"/>
      <c r="Q255" s="531"/>
      <c r="R255" s="531"/>
      <c r="S255" s="532"/>
      <c r="T255" s="536"/>
      <c r="U255" s="536"/>
      <c r="V255" s="536"/>
      <c r="W255" s="536"/>
      <c r="Y255" s="536"/>
      <c r="Z255" s="536"/>
      <c r="AA255" s="536"/>
      <c r="AB255" s="536"/>
      <c r="AC255" s="536"/>
      <c r="AD255" s="536"/>
      <c r="AE255" s="536"/>
      <c r="AF255" s="536"/>
      <c r="AG255" s="537"/>
      <c r="AH255" s="537"/>
      <c r="AI255" s="537"/>
      <c r="AJ255" s="537"/>
      <c r="AK255" s="537"/>
      <c r="AL255" s="537"/>
      <c r="AM255" s="532"/>
      <c r="AN255" s="532"/>
      <c r="AO255" s="536"/>
      <c r="AP255" s="997"/>
      <c r="AQ255" s="536"/>
      <c r="AR255" s="536"/>
      <c r="AS255" s="532"/>
      <c r="AT255" s="538"/>
      <c r="AU255" s="538"/>
      <c r="AV255" s="536"/>
      <c r="AW255" s="532"/>
      <c r="AX255" s="532"/>
      <c r="AY255" s="532"/>
      <c r="AZ255" s="532"/>
      <c r="BA255" s="532"/>
      <c r="BB255" s="536"/>
      <c r="BC255" s="536"/>
      <c r="BD255" s="536"/>
      <c r="BE255" s="536"/>
      <c r="BF255" s="536"/>
      <c r="BG255" s="536"/>
      <c r="BH255" s="536"/>
      <c r="BI255" s="536"/>
      <c r="BJ255" s="536"/>
      <c r="BK255" s="536"/>
      <c r="BL255" s="536"/>
      <c r="BM255" s="539"/>
      <c r="BN255" s="539"/>
      <c r="BO255" s="539"/>
      <c r="BP255" s="539"/>
      <c r="BQ255" s="539"/>
      <c r="BR255" s="539"/>
      <c r="BS255" s="441"/>
      <c r="BT255" s="441"/>
      <c r="BU255" s="913"/>
      <c r="BV255" s="441"/>
      <c r="BW255" s="441"/>
      <c r="BX255" s="441"/>
      <c r="BY255" s="441"/>
      <c r="BZ255" s="441"/>
      <c r="CA255" s="441"/>
      <c r="CB255" s="441"/>
      <c r="CC255" s="441"/>
      <c r="CD255" s="539"/>
      <c r="CE255" s="539"/>
      <c r="CG255" s="539"/>
      <c r="CH255" s="539"/>
      <c r="CI255" s="539"/>
      <c r="DD255" s="531"/>
      <c r="DG255" s="531"/>
      <c r="DH255" s="531"/>
    </row>
    <row r="256" spans="1:112" s="533" customFormat="1" ht="20.25" x14ac:dyDescent="0.3">
      <c r="A256" s="531"/>
      <c r="B256" s="532"/>
      <c r="D256" s="534"/>
      <c r="F256" s="531"/>
      <c r="G256" s="531"/>
      <c r="H256" s="535"/>
      <c r="I256" s="531"/>
      <c r="J256" s="531"/>
      <c r="K256" s="531"/>
      <c r="L256" s="531"/>
      <c r="M256" s="531"/>
      <c r="Q256" s="531"/>
      <c r="R256" s="531"/>
      <c r="S256" s="532"/>
      <c r="T256" s="536"/>
      <c r="U256" s="536"/>
      <c r="V256" s="536"/>
      <c r="W256" s="536"/>
      <c r="Y256" s="536"/>
      <c r="Z256" s="536"/>
      <c r="AA256" s="536"/>
      <c r="AB256" s="536"/>
      <c r="AC256" s="536"/>
      <c r="AD256" s="536"/>
      <c r="AE256" s="536"/>
      <c r="AF256" s="536"/>
      <c r="AG256" s="537"/>
      <c r="AH256" s="537"/>
      <c r="AI256" s="537"/>
      <c r="AJ256" s="537"/>
      <c r="AK256" s="537"/>
      <c r="AL256" s="537"/>
      <c r="AM256" s="532"/>
      <c r="AN256" s="532"/>
      <c r="AO256" s="536"/>
      <c r="AP256" s="997"/>
      <c r="AQ256" s="536"/>
      <c r="AR256" s="536"/>
      <c r="AS256" s="532"/>
      <c r="AT256" s="538"/>
      <c r="AU256" s="538"/>
      <c r="AV256" s="536"/>
      <c r="AW256" s="532"/>
      <c r="AX256" s="532"/>
      <c r="AY256" s="532"/>
      <c r="AZ256" s="532"/>
      <c r="BA256" s="532"/>
      <c r="BB256" s="536"/>
      <c r="BC256" s="536"/>
      <c r="BD256" s="536"/>
      <c r="BE256" s="536"/>
      <c r="BF256" s="536"/>
      <c r="BG256" s="536"/>
      <c r="BH256" s="536"/>
      <c r="BI256" s="536"/>
      <c r="BJ256" s="536"/>
      <c r="BK256" s="536"/>
      <c r="BL256" s="536"/>
      <c r="BM256" s="539"/>
      <c r="BN256" s="539"/>
      <c r="BO256" s="539"/>
      <c r="BP256" s="539"/>
      <c r="BQ256" s="539"/>
      <c r="BR256" s="539"/>
      <c r="BS256" s="441"/>
      <c r="BT256" s="441"/>
      <c r="BU256" s="913"/>
      <c r="BV256" s="441"/>
      <c r="BW256" s="441"/>
      <c r="BX256" s="441"/>
      <c r="BY256" s="441"/>
      <c r="BZ256" s="441"/>
      <c r="CA256" s="441"/>
      <c r="CB256" s="441"/>
      <c r="CC256" s="441"/>
      <c r="CD256" s="539"/>
      <c r="CE256" s="539"/>
      <c r="CG256" s="539"/>
      <c r="CH256" s="539"/>
      <c r="CI256" s="539"/>
      <c r="DD256" s="531"/>
      <c r="DG256" s="531"/>
      <c r="DH256" s="531"/>
    </row>
    <row r="257" spans="1:112" s="533" customFormat="1" ht="20.25" x14ac:dyDescent="0.3">
      <c r="A257" s="531"/>
      <c r="B257" s="532"/>
      <c r="D257" s="534"/>
      <c r="F257" s="531"/>
      <c r="G257" s="531"/>
      <c r="H257" s="535"/>
      <c r="I257" s="531"/>
      <c r="J257" s="531"/>
      <c r="K257" s="531"/>
      <c r="L257" s="531"/>
      <c r="M257" s="531"/>
      <c r="Q257" s="531"/>
      <c r="R257" s="531"/>
      <c r="S257" s="532"/>
      <c r="T257" s="536"/>
      <c r="U257" s="536"/>
      <c r="V257" s="536"/>
      <c r="W257" s="536"/>
      <c r="Y257" s="536"/>
      <c r="Z257" s="536"/>
      <c r="AA257" s="536"/>
      <c r="AB257" s="536"/>
      <c r="AC257" s="536"/>
      <c r="AD257" s="536"/>
      <c r="AE257" s="536"/>
      <c r="AF257" s="536"/>
      <c r="AG257" s="537"/>
      <c r="AH257" s="537"/>
      <c r="AI257" s="537"/>
      <c r="AJ257" s="537"/>
      <c r="AK257" s="537"/>
      <c r="AL257" s="537"/>
      <c r="AM257" s="532"/>
      <c r="AN257" s="532"/>
      <c r="AO257" s="536"/>
      <c r="AP257" s="997"/>
      <c r="AQ257" s="536"/>
      <c r="AR257" s="536"/>
      <c r="AS257" s="532"/>
      <c r="AT257" s="538"/>
      <c r="AU257" s="538"/>
      <c r="AV257" s="536"/>
      <c r="AW257" s="532"/>
      <c r="AX257" s="532"/>
      <c r="AY257" s="532"/>
      <c r="AZ257" s="532"/>
      <c r="BA257" s="532"/>
      <c r="BB257" s="536"/>
      <c r="BC257" s="536"/>
      <c r="BD257" s="536"/>
      <c r="BE257" s="536"/>
      <c r="BF257" s="536"/>
      <c r="BG257" s="536"/>
      <c r="BH257" s="536"/>
      <c r="BI257" s="536"/>
      <c r="BJ257" s="536"/>
      <c r="BK257" s="536"/>
      <c r="BL257" s="536"/>
      <c r="BM257" s="539"/>
      <c r="BN257" s="539"/>
      <c r="BO257" s="539"/>
      <c r="BP257" s="539"/>
      <c r="BQ257" s="539"/>
      <c r="BR257" s="539"/>
      <c r="BS257" s="441"/>
      <c r="BT257" s="441"/>
      <c r="BU257" s="913"/>
      <c r="BV257" s="441"/>
      <c r="BW257" s="441"/>
      <c r="BX257" s="441"/>
      <c r="BY257" s="441"/>
      <c r="BZ257" s="441"/>
      <c r="CA257" s="441"/>
      <c r="CB257" s="441"/>
      <c r="CC257" s="441"/>
      <c r="CD257" s="539"/>
      <c r="CE257" s="539"/>
      <c r="CG257" s="539"/>
      <c r="CH257" s="539"/>
      <c r="CI257" s="539"/>
      <c r="DD257" s="531"/>
      <c r="DG257" s="531"/>
      <c r="DH257" s="531"/>
    </row>
    <row r="258" spans="1:112" s="533" customFormat="1" ht="20.25" x14ac:dyDescent="0.3">
      <c r="A258" s="531"/>
      <c r="B258" s="532"/>
      <c r="D258" s="534"/>
      <c r="F258" s="531"/>
      <c r="G258" s="531"/>
      <c r="H258" s="535"/>
      <c r="I258" s="531"/>
      <c r="J258" s="531"/>
      <c r="K258" s="531"/>
      <c r="L258" s="531"/>
      <c r="M258" s="531"/>
      <c r="Q258" s="531"/>
      <c r="R258" s="531"/>
      <c r="S258" s="532"/>
      <c r="T258" s="536"/>
      <c r="U258" s="536"/>
      <c r="V258" s="536"/>
      <c r="W258" s="536"/>
      <c r="Y258" s="536"/>
      <c r="Z258" s="536"/>
      <c r="AA258" s="536"/>
      <c r="AB258" s="536"/>
      <c r="AC258" s="536"/>
      <c r="AD258" s="536"/>
      <c r="AE258" s="536"/>
      <c r="AF258" s="536"/>
      <c r="AG258" s="537"/>
      <c r="AH258" s="537"/>
      <c r="AI258" s="537"/>
      <c r="AJ258" s="537"/>
      <c r="AK258" s="537"/>
      <c r="AL258" s="537"/>
      <c r="AM258" s="532"/>
      <c r="AN258" s="532"/>
      <c r="AO258" s="536"/>
      <c r="AP258" s="997"/>
      <c r="AQ258" s="536"/>
      <c r="AR258" s="536"/>
      <c r="AS258" s="532"/>
      <c r="AT258" s="538"/>
      <c r="AU258" s="538"/>
      <c r="AV258" s="536"/>
      <c r="AW258" s="532"/>
      <c r="AX258" s="532"/>
      <c r="AY258" s="532"/>
      <c r="AZ258" s="532"/>
      <c r="BA258" s="532"/>
      <c r="BB258" s="536"/>
      <c r="BC258" s="536"/>
      <c r="BD258" s="536"/>
      <c r="BE258" s="536"/>
      <c r="BF258" s="536"/>
      <c r="BG258" s="536"/>
      <c r="BH258" s="536"/>
      <c r="BI258" s="536"/>
      <c r="BJ258" s="536"/>
      <c r="BK258" s="536"/>
      <c r="BL258" s="536"/>
      <c r="BM258" s="539"/>
      <c r="BN258" s="539"/>
      <c r="BO258" s="539"/>
      <c r="BP258" s="539"/>
      <c r="BQ258" s="539"/>
      <c r="BR258" s="539"/>
      <c r="BS258" s="441"/>
      <c r="BT258" s="441"/>
      <c r="BU258" s="913"/>
      <c r="BV258" s="441"/>
      <c r="BW258" s="441"/>
      <c r="BX258" s="441"/>
      <c r="BY258" s="441"/>
      <c r="BZ258" s="441"/>
      <c r="CA258" s="441"/>
      <c r="CB258" s="441"/>
      <c r="CC258" s="441"/>
      <c r="CD258" s="539"/>
      <c r="CE258" s="539"/>
      <c r="CG258" s="539"/>
      <c r="CH258" s="539"/>
      <c r="CI258" s="539"/>
      <c r="DD258" s="531"/>
      <c r="DG258" s="531"/>
      <c r="DH258" s="531"/>
    </row>
    <row r="259" spans="1:112" s="533" customFormat="1" ht="20.25" x14ac:dyDescent="0.3">
      <c r="A259" s="531"/>
      <c r="B259" s="532"/>
      <c r="D259" s="534"/>
      <c r="F259" s="531"/>
      <c r="G259" s="531"/>
      <c r="H259" s="535"/>
      <c r="I259" s="531"/>
      <c r="J259" s="531"/>
      <c r="K259" s="531"/>
      <c r="L259" s="531"/>
      <c r="M259" s="531"/>
      <c r="Q259" s="531"/>
      <c r="R259" s="531"/>
      <c r="S259" s="532"/>
      <c r="T259" s="536"/>
      <c r="U259" s="536"/>
      <c r="V259" s="536"/>
      <c r="W259" s="536"/>
      <c r="Y259" s="536"/>
      <c r="Z259" s="536"/>
      <c r="AA259" s="536"/>
      <c r="AB259" s="536"/>
      <c r="AC259" s="536"/>
      <c r="AD259" s="536"/>
      <c r="AE259" s="536"/>
      <c r="AF259" s="536"/>
      <c r="AG259" s="537"/>
      <c r="AH259" s="537"/>
      <c r="AI259" s="537"/>
      <c r="AJ259" s="537"/>
      <c r="AK259" s="537"/>
      <c r="AL259" s="537"/>
      <c r="AM259" s="532"/>
      <c r="AN259" s="532"/>
      <c r="AO259" s="536"/>
      <c r="AP259" s="997"/>
      <c r="AQ259" s="536"/>
      <c r="AR259" s="536"/>
      <c r="AS259" s="532"/>
      <c r="AT259" s="538"/>
      <c r="AU259" s="538"/>
      <c r="AV259" s="536"/>
      <c r="AW259" s="532"/>
      <c r="AX259" s="532"/>
      <c r="AY259" s="532"/>
      <c r="AZ259" s="532"/>
      <c r="BA259" s="532"/>
      <c r="BB259" s="536"/>
      <c r="BC259" s="536"/>
      <c r="BD259" s="536"/>
      <c r="BE259" s="536"/>
      <c r="BF259" s="536"/>
      <c r="BG259" s="536"/>
      <c r="BH259" s="536"/>
      <c r="BI259" s="536"/>
      <c r="BJ259" s="536"/>
      <c r="BK259" s="536"/>
      <c r="BL259" s="536"/>
      <c r="BM259" s="539"/>
      <c r="BN259" s="539"/>
      <c r="BO259" s="539"/>
      <c r="BP259" s="539"/>
      <c r="BQ259" s="539"/>
      <c r="BR259" s="539"/>
      <c r="BS259" s="441"/>
      <c r="BT259" s="441"/>
      <c r="BU259" s="913"/>
      <c r="BV259" s="441"/>
      <c r="BW259" s="441"/>
      <c r="BX259" s="441"/>
      <c r="BY259" s="441"/>
      <c r="BZ259" s="441"/>
      <c r="CA259" s="441"/>
      <c r="CB259" s="441"/>
      <c r="CC259" s="441"/>
      <c r="CD259" s="539"/>
      <c r="CE259" s="539"/>
      <c r="CG259" s="539"/>
      <c r="CH259" s="539"/>
      <c r="CI259" s="539"/>
      <c r="DD259" s="531"/>
      <c r="DG259" s="531"/>
      <c r="DH259" s="531"/>
    </row>
    <row r="260" spans="1:112" s="533" customFormat="1" ht="20.25" x14ac:dyDescent="0.3">
      <c r="A260" s="531"/>
      <c r="B260" s="532"/>
      <c r="D260" s="534"/>
      <c r="F260" s="531"/>
      <c r="G260" s="531"/>
      <c r="H260" s="535"/>
      <c r="I260" s="531"/>
      <c r="J260" s="531"/>
      <c r="K260" s="531"/>
      <c r="L260" s="531"/>
      <c r="M260" s="531"/>
      <c r="Q260" s="531"/>
      <c r="R260" s="531"/>
      <c r="S260" s="532"/>
      <c r="T260" s="536"/>
      <c r="U260" s="536"/>
      <c r="V260" s="536"/>
      <c r="W260" s="536"/>
      <c r="Y260" s="536"/>
      <c r="Z260" s="536"/>
      <c r="AA260" s="536"/>
      <c r="AB260" s="536"/>
      <c r="AC260" s="536"/>
      <c r="AD260" s="536"/>
      <c r="AE260" s="536"/>
      <c r="AF260" s="536"/>
      <c r="AG260" s="537"/>
      <c r="AH260" s="537"/>
      <c r="AI260" s="537"/>
      <c r="AJ260" s="537"/>
      <c r="AK260" s="537"/>
      <c r="AL260" s="537"/>
      <c r="AM260" s="532"/>
      <c r="AN260" s="532"/>
      <c r="AO260" s="536"/>
      <c r="AP260" s="997"/>
      <c r="AQ260" s="536"/>
      <c r="AR260" s="536"/>
      <c r="AS260" s="532"/>
      <c r="AT260" s="538"/>
      <c r="AU260" s="538"/>
      <c r="AV260" s="536"/>
      <c r="AW260" s="532"/>
      <c r="AX260" s="532"/>
      <c r="AY260" s="532"/>
      <c r="AZ260" s="532"/>
      <c r="BA260" s="532"/>
      <c r="BB260" s="536"/>
      <c r="BC260" s="536"/>
      <c r="BD260" s="536"/>
      <c r="BE260" s="536"/>
      <c r="BF260" s="536"/>
      <c r="BG260" s="536"/>
      <c r="BH260" s="536"/>
      <c r="BI260" s="536"/>
      <c r="BJ260" s="536"/>
      <c r="BK260" s="536"/>
      <c r="BL260" s="536"/>
      <c r="BM260" s="539"/>
      <c r="BN260" s="539"/>
      <c r="BO260" s="539"/>
      <c r="BP260" s="539"/>
      <c r="BQ260" s="539"/>
      <c r="BR260" s="539"/>
      <c r="BS260" s="441"/>
      <c r="BT260" s="441"/>
      <c r="BU260" s="913"/>
      <c r="BV260" s="441"/>
      <c r="BW260" s="441"/>
      <c r="BX260" s="441"/>
      <c r="BY260" s="441"/>
      <c r="BZ260" s="441"/>
      <c r="CA260" s="441"/>
      <c r="CB260" s="441"/>
      <c r="CC260" s="441"/>
      <c r="CD260" s="539"/>
      <c r="CE260" s="539"/>
      <c r="CG260" s="539"/>
      <c r="CH260" s="539"/>
      <c r="CI260" s="539"/>
      <c r="DD260" s="531"/>
      <c r="DG260" s="531"/>
      <c r="DH260" s="531"/>
    </row>
    <row r="261" spans="1:112" s="533" customFormat="1" ht="20.25" x14ac:dyDescent="0.3">
      <c r="A261" s="531"/>
      <c r="B261" s="532"/>
      <c r="D261" s="534"/>
      <c r="F261" s="531"/>
      <c r="G261" s="531"/>
      <c r="H261" s="535"/>
      <c r="I261" s="531"/>
      <c r="J261" s="531"/>
      <c r="K261" s="531"/>
      <c r="L261" s="531"/>
      <c r="M261" s="531"/>
      <c r="Q261" s="531"/>
      <c r="R261" s="531"/>
      <c r="S261" s="532"/>
      <c r="T261" s="536"/>
      <c r="U261" s="536"/>
      <c r="V261" s="536"/>
      <c r="W261" s="536"/>
      <c r="Y261" s="536"/>
      <c r="Z261" s="536"/>
      <c r="AA261" s="536"/>
      <c r="AB261" s="536"/>
      <c r="AC261" s="536"/>
      <c r="AD261" s="536"/>
      <c r="AE261" s="536"/>
      <c r="AF261" s="536"/>
      <c r="AG261" s="537"/>
      <c r="AH261" s="537"/>
      <c r="AI261" s="537"/>
      <c r="AJ261" s="537"/>
      <c r="AK261" s="537"/>
      <c r="AL261" s="537"/>
      <c r="AM261" s="532"/>
      <c r="AN261" s="532"/>
      <c r="AO261" s="536"/>
      <c r="AP261" s="997"/>
      <c r="AQ261" s="536"/>
      <c r="AR261" s="536"/>
      <c r="AS261" s="532"/>
      <c r="AT261" s="538"/>
      <c r="AU261" s="538"/>
      <c r="AV261" s="536"/>
      <c r="AW261" s="532"/>
      <c r="AX261" s="532"/>
      <c r="AY261" s="532"/>
      <c r="AZ261" s="532"/>
      <c r="BA261" s="532"/>
      <c r="BB261" s="536"/>
      <c r="BC261" s="536"/>
      <c r="BD261" s="536"/>
      <c r="BE261" s="536"/>
      <c r="BF261" s="536"/>
      <c r="BG261" s="536"/>
      <c r="BH261" s="536"/>
      <c r="BI261" s="536"/>
      <c r="BJ261" s="536"/>
      <c r="BK261" s="536"/>
      <c r="BL261" s="536"/>
      <c r="BM261" s="539"/>
      <c r="BN261" s="539"/>
      <c r="BO261" s="539"/>
      <c r="BP261" s="539"/>
      <c r="BQ261" s="539"/>
      <c r="BR261" s="539"/>
      <c r="BS261" s="441"/>
      <c r="BT261" s="441"/>
      <c r="BU261" s="913"/>
      <c r="BV261" s="441"/>
      <c r="BW261" s="441"/>
      <c r="BX261" s="441"/>
      <c r="BY261" s="441"/>
      <c r="BZ261" s="441"/>
      <c r="CA261" s="441"/>
      <c r="CB261" s="441"/>
      <c r="CC261" s="441"/>
      <c r="CD261" s="539"/>
      <c r="CE261" s="539"/>
      <c r="CG261" s="539"/>
      <c r="CH261" s="539"/>
      <c r="CI261" s="539"/>
      <c r="DD261" s="531"/>
      <c r="DG261" s="531"/>
      <c r="DH261" s="531"/>
    </row>
    <row r="262" spans="1:112" s="533" customFormat="1" ht="20.25" x14ac:dyDescent="0.3">
      <c r="A262" s="531"/>
      <c r="B262" s="532"/>
      <c r="D262" s="534"/>
      <c r="F262" s="531"/>
      <c r="G262" s="531"/>
      <c r="H262" s="535"/>
      <c r="I262" s="531"/>
      <c r="J262" s="531"/>
      <c r="K262" s="531"/>
      <c r="L262" s="531"/>
      <c r="M262" s="531"/>
      <c r="Q262" s="531"/>
      <c r="R262" s="531"/>
      <c r="S262" s="532"/>
      <c r="T262" s="536"/>
      <c r="U262" s="536"/>
      <c r="V262" s="536"/>
      <c r="W262" s="536"/>
      <c r="Y262" s="536"/>
      <c r="Z262" s="536"/>
      <c r="AA262" s="536"/>
      <c r="AB262" s="536"/>
      <c r="AC262" s="536"/>
      <c r="AD262" s="536"/>
      <c r="AE262" s="536"/>
      <c r="AF262" s="536"/>
      <c r="AG262" s="537"/>
      <c r="AH262" s="537"/>
      <c r="AI262" s="537"/>
      <c r="AJ262" s="537"/>
      <c r="AK262" s="537"/>
      <c r="AL262" s="537"/>
      <c r="AM262" s="532"/>
      <c r="AN262" s="532"/>
      <c r="AO262" s="536"/>
      <c r="AP262" s="997"/>
      <c r="AQ262" s="536"/>
      <c r="AR262" s="536"/>
      <c r="AS262" s="532"/>
      <c r="AT262" s="538"/>
      <c r="AU262" s="538"/>
      <c r="AV262" s="536"/>
      <c r="AW262" s="532"/>
      <c r="AX262" s="532"/>
      <c r="AY262" s="532"/>
      <c r="AZ262" s="532"/>
      <c r="BA262" s="532"/>
      <c r="BB262" s="536"/>
      <c r="BC262" s="536"/>
      <c r="BD262" s="536"/>
      <c r="BE262" s="536"/>
      <c r="BF262" s="536"/>
      <c r="BG262" s="536"/>
      <c r="BH262" s="536"/>
      <c r="BI262" s="536"/>
      <c r="BJ262" s="536"/>
      <c r="BK262" s="536"/>
      <c r="BL262" s="536"/>
      <c r="BM262" s="539"/>
      <c r="BN262" s="539"/>
      <c r="BO262" s="539"/>
      <c r="BP262" s="539"/>
      <c r="BQ262" s="539"/>
      <c r="BR262" s="539"/>
      <c r="BS262" s="441"/>
      <c r="BT262" s="441"/>
      <c r="BU262" s="913"/>
      <c r="BV262" s="441"/>
      <c r="BW262" s="441"/>
      <c r="BX262" s="441"/>
      <c r="BY262" s="441"/>
      <c r="BZ262" s="441"/>
      <c r="CA262" s="441"/>
      <c r="CB262" s="441"/>
      <c r="CC262" s="441"/>
      <c r="CD262" s="539"/>
      <c r="CE262" s="539"/>
      <c r="CG262" s="539"/>
      <c r="CH262" s="539"/>
      <c r="CI262" s="539"/>
      <c r="DD262" s="531"/>
      <c r="DG262" s="531"/>
      <c r="DH262" s="531"/>
    </row>
    <row r="263" spans="1:112" s="533" customFormat="1" ht="20.25" x14ac:dyDescent="0.3">
      <c r="A263" s="531"/>
      <c r="B263" s="532"/>
      <c r="D263" s="534"/>
      <c r="F263" s="531"/>
      <c r="G263" s="531"/>
      <c r="H263" s="535"/>
      <c r="I263" s="531"/>
      <c r="J263" s="531"/>
      <c r="K263" s="531"/>
      <c r="L263" s="531"/>
      <c r="M263" s="531"/>
      <c r="Q263" s="531"/>
      <c r="R263" s="531"/>
      <c r="S263" s="532"/>
      <c r="T263" s="536"/>
      <c r="U263" s="536"/>
      <c r="V263" s="536"/>
      <c r="W263" s="536"/>
      <c r="Y263" s="536"/>
      <c r="Z263" s="536"/>
      <c r="AA263" s="536"/>
      <c r="AB263" s="536"/>
      <c r="AC263" s="536"/>
      <c r="AD263" s="536"/>
      <c r="AE263" s="536"/>
      <c r="AF263" s="536"/>
      <c r="AG263" s="537"/>
      <c r="AH263" s="537"/>
      <c r="AI263" s="537"/>
      <c r="AJ263" s="537"/>
      <c r="AK263" s="537"/>
      <c r="AL263" s="537"/>
      <c r="AM263" s="532"/>
      <c r="AN263" s="532"/>
      <c r="AO263" s="536"/>
      <c r="AP263" s="997"/>
      <c r="AQ263" s="536"/>
      <c r="AR263" s="536"/>
      <c r="AS263" s="532"/>
      <c r="AT263" s="538"/>
      <c r="AU263" s="538"/>
      <c r="AV263" s="536"/>
      <c r="AW263" s="532"/>
      <c r="AX263" s="532"/>
      <c r="AY263" s="532"/>
      <c r="AZ263" s="532"/>
      <c r="BA263" s="532"/>
      <c r="BB263" s="536"/>
      <c r="BC263" s="536"/>
      <c r="BD263" s="536"/>
      <c r="BE263" s="536"/>
      <c r="BF263" s="536"/>
      <c r="BG263" s="536"/>
      <c r="BH263" s="536"/>
      <c r="BI263" s="536"/>
      <c r="BJ263" s="536"/>
      <c r="BK263" s="536"/>
      <c r="BL263" s="536"/>
      <c r="BM263" s="539"/>
      <c r="BN263" s="539"/>
      <c r="BO263" s="539"/>
      <c r="BP263" s="539"/>
      <c r="BQ263" s="539"/>
      <c r="BR263" s="539"/>
      <c r="BS263" s="441"/>
      <c r="BT263" s="441"/>
      <c r="BU263" s="913"/>
      <c r="BV263" s="441"/>
      <c r="BW263" s="441"/>
      <c r="BX263" s="441"/>
      <c r="BY263" s="441"/>
      <c r="BZ263" s="441"/>
      <c r="CA263" s="441"/>
      <c r="CB263" s="441"/>
      <c r="CC263" s="441"/>
      <c r="CD263" s="539"/>
      <c r="CE263" s="539"/>
      <c r="CG263" s="539"/>
      <c r="CH263" s="539"/>
      <c r="CI263" s="539"/>
      <c r="DD263" s="531"/>
      <c r="DG263" s="531"/>
      <c r="DH263" s="531"/>
    </row>
    <row r="264" spans="1:112" s="533" customFormat="1" ht="20.25" x14ac:dyDescent="0.3">
      <c r="A264" s="531"/>
      <c r="B264" s="532"/>
      <c r="D264" s="534"/>
      <c r="F264" s="531"/>
      <c r="G264" s="531"/>
      <c r="H264" s="535"/>
      <c r="I264" s="531"/>
      <c r="J264" s="531"/>
      <c r="K264" s="531"/>
      <c r="L264" s="531"/>
      <c r="M264" s="531"/>
      <c r="Q264" s="531"/>
      <c r="R264" s="531"/>
      <c r="S264" s="532"/>
      <c r="T264" s="536"/>
      <c r="U264" s="536"/>
      <c r="V264" s="536"/>
      <c r="W264" s="536"/>
      <c r="Y264" s="536"/>
      <c r="Z264" s="536"/>
      <c r="AA264" s="536"/>
      <c r="AB264" s="536"/>
      <c r="AC264" s="536"/>
      <c r="AD264" s="536"/>
      <c r="AE264" s="536"/>
      <c r="AF264" s="536"/>
      <c r="AG264" s="537"/>
      <c r="AH264" s="537"/>
      <c r="AI264" s="537"/>
      <c r="AJ264" s="537"/>
      <c r="AK264" s="537"/>
      <c r="AL264" s="537"/>
      <c r="AM264" s="532"/>
      <c r="AN264" s="532"/>
      <c r="AO264" s="536"/>
      <c r="AP264" s="997"/>
      <c r="AQ264" s="536"/>
      <c r="AR264" s="536"/>
      <c r="AS264" s="532"/>
      <c r="AT264" s="538"/>
      <c r="AU264" s="538"/>
      <c r="AV264" s="536"/>
      <c r="AW264" s="532"/>
      <c r="AX264" s="532"/>
      <c r="AY264" s="532"/>
      <c r="AZ264" s="532"/>
      <c r="BA264" s="532"/>
      <c r="BB264" s="536"/>
      <c r="BC264" s="536"/>
      <c r="BD264" s="536"/>
      <c r="BE264" s="536"/>
      <c r="BF264" s="536"/>
      <c r="BG264" s="536"/>
      <c r="BH264" s="536"/>
      <c r="BI264" s="536"/>
      <c r="BJ264" s="536"/>
      <c r="BK264" s="536"/>
      <c r="BL264" s="536"/>
      <c r="BM264" s="539"/>
      <c r="BN264" s="539"/>
      <c r="BO264" s="539"/>
      <c r="BP264" s="539"/>
      <c r="BQ264" s="539"/>
      <c r="BR264" s="539"/>
      <c r="BS264" s="441"/>
      <c r="BT264" s="441"/>
      <c r="BU264" s="913"/>
      <c r="BV264" s="441"/>
      <c r="BW264" s="441"/>
      <c r="BX264" s="441"/>
      <c r="BY264" s="441"/>
      <c r="BZ264" s="441"/>
      <c r="CA264" s="441"/>
      <c r="CB264" s="441"/>
      <c r="CC264" s="441"/>
      <c r="CD264" s="539"/>
      <c r="CE264" s="539"/>
      <c r="CG264" s="539"/>
      <c r="CH264" s="539"/>
      <c r="CI264" s="539"/>
      <c r="DD264" s="531"/>
      <c r="DG264" s="531"/>
      <c r="DH264" s="531"/>
    </row>
    <row r="265" spans="1:112" s="533" customFormat="1" ht="20.25" x14ac:dyDescent="0.3">
      <c r="A265" s="531"/>
      <c r="B265" s="532"/>
      <c r="D265" s="534"/>
      <c r="F265" s="531"/>
      <c r="G265" s="531"/>
      <c r="H265" s="535"/>
      <c r="I265" s="531"/>
      <c r="J265" s="531"/>
      <c r="K265" s="531"/>
      <c r="L265" s="531"/>
      <c r="M265" s="531"/>
      <c r="Q265" s="531"/>
      <c r="R265" s="531"/>
      <c r="S265" s="532"/>
      <c r="T265" s="536"/>
      <c r="U265" s="536"/>
      <c r="V265" s="536"/>
      <c r="W265" s="536"/>
      <c r="Y265" s="536"/>
      <c r="Z265" s="536"/>
      <c r="AA265" s="536"/>
      <c r="AB265" s="536"/>
      <c r="AC265" s="536"/>
      <c r="AD265" s="536"/>
      <c r="AE265" s="536"/>
      <c r="AF265" s="536"/>
      <c r="AG265" s="537"/>
      <c r="AH265" s="537"/>
      <c r="AI265" s="537"/>
      <c r="AJ265" s="537"/>
      <c r="AK265" s="537"/>
      <c r="AL265" s="537"/>
      <c r="AM265" s="532"/>
      <c r="AN265" s="532"/>
      <c r="AO265" s="536"/>
      <c r="AP265" s="997"/>
      <c r="AQ265" s="536"/>
      <c r="AR265" s="536"/>
      <c r="AS265" s="532"/>
      <c r="AT265" s="538"/>
      <c r="AU265" s="538"/>
      <c r="AV265" s="536"/>
      <c r="AW265" s="532"/>
      <c r="AX265" s="532"/>
      <c r="AY265" s="532"/>
      <c r="AZ265" s="532"/>
      <c r="BA265" s="532"/>
      <c r="BB265" s="536"/>
      <c r="BC265" s="536"/>
      <c r="BD265" s="536"/>
      <c r="BE265" s="536"/>
      <c r="BF265" s="536"/>
      <c r="BG265" s="536"/>
      <c r="BH265" s="536"/>
      <c r="BI265" s="536"/>
      <c r="BJ265" s="536"/>
      <c r="BK265" s="536"/>
      <c r="BL265" s="536"/>
      <c r="BM265" s="539"/>
      <c r="BN265" s="539"/>
      <c r="BO265" s="539"/>
      <c r="BP265" s="539"/>
      <c r="BQ265" s="539"/>
      <c r="BR265" s="539"/>
      <c r="BS265" s="441"/>
      <c r="BT265" s="441"/>
      <c r="BU265" s="913"/>
      <c r="BV265" s="441"/>
      <c r="BW265" s="441"/>
      <c r="BX265" s="441"/>
      <c r="BY265" s="441"/>
      <c r="BZ265" s="441"/>
      <c r="CA265" s="441"/>
      <c r="CB265" s="441"/>
      <c r="CC265" s="441"/>
      <c r="CD265" s="539"/>
      <c r="CE265" s="539"/>
      <c r="CG265" s="539"/>
      <c r="CH265" s="539"/>
      <c r="CI265" s="539"/>
      <c r="DD265" s="531"/>
      <c r="DG265" s="531"/>
      <c r="DH265" s="531"/>
    </row>
    <row r="266" spans="1:112" s="533" customFormat="1" ht="20.25" x14ac:dyDescent="0.3">
      <c r="A266" s="531"/>
      <c r="B266" s="532"/>
      <c r="D266" s="534"/>
      <c r="F266" s="531"/>
      <c r="G266" s="531"/>
      <c r="H266" s="535"/>
      <c r="I266" s="531"/>
      <c r="J266" s="531"/>
      <c r="K266" s="531"/>
      <c r="L266" s="531"/>
      <c r="M266" s="531"/>
      <c r="Q266" s="531"/>
      <c r="R266" s="531"/>
      <c r="S266" s="532"/>
      <c r="T266" s="536"/>
      <c r="U266" s="536"/>
      <c r="V266" s="536"/>
      <c r="W266" s="536"/>
      <c r="Y266" s="536"/>
      <c r="Z266" s="536"/>
      <c r="AA266" s="536"/>
      <c r="AB266" s="536"/>
      <c r="AC266" s="536"/>
      <c r="AD266" s="536"/>
      <c r="AE266" s="536"/>
      <c r="AF266" s="536"/>
      <c r="AG266" s="537"/>
      <c r="AH266" s="537"/>
      <c r="AI266" s="537"/>
      <c r="AJ266" s="537"/>
      <c r="AK266" s="537"/>
      <c r="AL266" s="537"/>
      <c r="AM266" s="532"/>
      <c r="AN266" s="532"/>
      <c r="AO266" s="536"/>
      <c r="AP266" s="997"/>
      <c r="AQ266" s="536"/>
      <c r="AR266" s="536"/>
      <c r="AS266" s="532"/>
      <c r="AT266" s="538"/>
      <c r="AU266" s="538"/>
      <c r="AV266" s="536"/>
      <c r="AW266" s="532"/>
      <c r="AX266" s="532"/>
      <c r="AY266" s="532"/>
      <c r="AZ266" s="532"/>
      <c r="BA266" s="532"/>
      <c r="BB266" s="536"/>
      <c r="BC266" s="536"/>
      <c r="BD266" s="536"/>
      <c r="BE266" s="536"/>
      <c r="BF266" s="536"/>
      <c r="BG266" s="536"/>
      <c r="BH266" s="536"/>
      <c r="BI266" s="536"/>
      <c r="BJ266" s="536"/>
      <c r="BK266" s="536"/>
      <c r="BL266" s="536"/>
      <c r="BM266" s="539"/>
      <c r="BN266" s="539"/>
      <c r="BO266" s="539"/>
      <c r="BP266" s="539"/>
      <c r="BQ266" s="539"/>
      <c r="BR266" s="539"/>
      <c r="BS266" s="441"/>
      <c r="BT266" s="441"/>
      <c r="BU266" s="913"/>
      <c r="BV266" s="441"/>
      <c r="BW266" s="441"/>
      <c r="BX266" s="441"/>
      <c r="BY266" s="441"/>
      <c r="BZ266" s="441"/>
      <c r="CA266" s="441"/>
      <c r="CB266" s="441"/>
      <c r="CC266" s="441"/>
      <c r="CD266" s="539"/>
      <c r="CE266" s="539"/>
      <c r="CG266" s="539"/>
      <c r="CH266" s="539"/>
      <c r="CI266" s="539"/>
      <c r="DD266" s="531"/>
      <c r="DG266" s="531"/>
      <c r="DH266" s="531"/>
    </row>
    <row r="267" spans="1:112" s="533" customFormat="1" ht="20.25" x14ac:dyDescent="0.3">
      <c r="A267" s="531"/>
      <c r="B267" s="532"/>
      <c r="D267" s="534"/>
      <c r="F267" s="531"/>
      <c r="G267" s="531"/>
      <c r="H267" s="535"/>
      <c r="I267" s="531"/>
      <c r="J267" s="531"/>
      <c r="K267" s="531"/>
      <c r="L267" s="531"/>
      <c r="M267" s="531"/>
      <c r="Q267" s="531"/>
      <c r="R267" s="531"/>
      <c r="S267" s="532"/>
      <c r="T267" s="536"/>
      <c r="U267" s="536"/>
      <c r="V267" s="536"/>
      <c r="W267" s="536"/>
      <c r="Y267" s="536"/>
      <c r="Z267" s="536"/>
      <c r="AA267" s="536"/>
      <c r="AB267" s="536"/>
      <c r="AC267" s="536"/>
      <c r="AD267" s="536"/>
      <c r="AE267" s="536"/>
      <c r="AF267" s="536"/>
      <c r="AG267" s="537"/>
      <c r="AH267" s="537"/>
      <c r="AI267" s="537"/>
      <c r="AJ267" s="537"/>
      <c r="AK267" s="537"/>
      <c r="AL267" s="537"/>
      <c r="AM267" s="532"/>
      <c r="AN267" s="532"/>
      <c r="AO267" s="536"/>
      <c r="AP267" s="997"/>
      <c r="AQ267" s="536"/>
      <c r="AR267" s="536"/>
      <c r="AS267" s="532"/>
      <c r="AT267" s="538"/>
      <c r="AU267" s="538"/>
      <c r="AV267" s="536"/>
      <c r="AW267" s="532"/>
      <c r="AX267" s="532"/>
      <c r="AY267" s="532"/>
      <c r="AZ267" s="532"/>
      <c r="BA267" s="532"/>
      <c r="BB267" s="536"/>
      <c r="BC267" s="536"/>
      <c r="BD267" s="536"/>
      <c r="BE267" s="536"/>
      <c r="BF267" s="536"/>
      <c r="BG267" s="536"/>
      <c r="BH267" s="536"/>
      <c r="BI267" s="536"/>
      <c r="BJ267" s="536"/>
      <c r="BK267" s="536"/>
      <c r="BL267" s="536"/>
      <c r="BM267" s="539"/>
      <c r="BN267" s="539"/>
      <c r="BO267" s="539"/>
      <c r="BP267" s="539"/>
      <c r="BQ267" s="539"/>
      <c r="BR267" s="539"/>
      <c r="BS267" s="441"/>
      <c r="BT267" s="441"/>
      <c r="BU267" s="913"/>
      <c r="BV267" s="441"/>
      <c r="BW267" s="441"/>
      <c r="BX267" s="441"/>
      <c r="BY267" s="441"/>
      <c r="BZ267" s="441"/>
      <c r="CA267" s="441"/>
      <c r="CB267" s="441"/>
      <c r="CC267" s="441"/>
      <c r="CD267" s="539"/>
      <c r="CE267" s="539"/>
      <c r="CG267" s="539"/>
      <c r="CH267" s="539"/>
      <c r="CI267" s="539"/>
      <c r="DD267" s="531"/>
      <c r="DG267" s="531"/>
      <c r="DH267" s="531"/>
    </row>
    <row r="268" spans="1:112" s="533" customFormat="1" ht="20.25" x14ac:dyDescent="0.3">
      <c r="A268" s="531"/>
      <c r="B268" s="532"/>
      <c r="D268" s="534"/>
      <c r="F268" s="531"/>
      <c r="G268" s="531"/>
      <c r="H268" s="535"/>
      <c r="I268" s="531"/>
      <c r="J268" s="531"/>
      <c r="K268" s="531"/>
      <c r="L268" s="531"/>
      <c r="M268" s="531"/>
      <c r="Q268" s="531"/>
      <c r="R268" s="531"/>
      <c r="S268" s="532"/>
      <c r="T268" s="536"/>
      <c r="U268" s="536"/>
      <c r="V268" s="536"/>
      <c r="W268" s="536"/>
      <c r="Y268" s="536"/>
      <c r="Z268" s="536"/>
      <c r="AA268" s="536"/>
      <c r="AB268" s="536"/>
      <c r="AC268" s="536"/>
      <c r="AD268" s="536"/>
      <c r="AE268" s="536"/>
      <c r="AF268" s="536"/>
      <c r="AG268" s="537"/>
      <c r="AH268" s="537"/>
      <c r="AI268" s="537"/>
      <c r="AJ268" s="537"/>
      <c r="AK268" s="537"/>
      <c r="AL268" s="537"/>
      <c r="AM268" s="532"/>
      <c r="AN268" s="532"/>
      <c r="AO268" s="536"/>
      <c r="AP268" s="997"/>
      <c r="AQ268" s="536"/>
      <c r="AR268" s="536"/>
      <c r="AS268" s="532"/>
      <c r="AT268" s="538"/>
      <c r="AU268" s="538"/>
      <c r="AV268" s="536"/>
      <c r="AW268" s="532"/>
      <c r="AX268" s="532"/>
      <c r="AY268" s="532"/>
      <c r="AZ268" s="532"/>
      <c r="BA268" s="532"/>
      <c r="BB268" s="536"/>
      <c r="BC268" s="536"/>
      <c r="BD268" s="536"/>
      <c r="BE268" s="536"/>
      <c r="BF268" s="536"/>
      <c r="BG268" s="536"/>
      <c r="BH268" s="536"/>
      <c r="BI268" s="536"/>
      <c r="BJ268" s="536"/>
      <c r="BK268" s="536"/>
      <c r="BL268" s="536"/>
      <c r="BM268" s="539"/>
      <c r="BN268" s="539"/>
      <c r="BO268" s="539"/>
      <c r="BP268" s="539"/>
      <c r="BQ268" s="539"/>
      <c r="BR268" s="539"/>
      <c r="BS268" s="441"/>
      <c r="BT268" s="441"/>
      <c r="BU268" s="913"/>
      <c r="BV268" s="441"/>
      <c r="BW268" s="441"/>
      <c r="BX268" s="441"/>
      <c r="BY268" s="441"/>
      <c r="BZ268" s="441"/>
      <c r="CA268" s="441"/>
      <c r="CB268" s="441"/>
      <c r="CC268" s="441"/>
      <c r="CD268" s="539"/>
      <c r="CE268" s="539"/>
      <c r="CG268" s="539"/>
      <c r="CH268" s="539"/>
      <c r="CI268" s="539"/>
      <c r="DD268" s="531"/>
      <c r="DG268" s="531"/>
      <c r="DH268" s="531"/>
    </row>
    <row r="269" spans="1:112" s="533" customFormat="1" ht="20.25" x14ac:dyDescent="0.3">
      <c r="A269" s="531"/>
      <c r="B269" s="532"/>
      <c r="D269" s="534"/>
      <c r="F269" s="531"/>
      <c r="G269" s="531"/>
      <c r="H269" s="535"/>
      <c r="I269" s="531"/>
      <c r="J269" s="531"/>
      <c r="K269" s="531"/>
      <c r="L269" s="531"/>
      <c r="M269" s="531"/>
      <c r="Q269" s="531"/>
      <c r="R269" s="531"/>
      <c r="S269" s="532"/>
      <c r="T269" s="536"/>
      <c r="U269" s="536"/>
      <c r="V269" s="536"/>
      <c r="W269" s="536"/>
      <c r="Y269" s="536"/>
      <c r="Z269" s="536"/>
      <c r="AA269" s="536"/>
      <c r="AB269" s="536"/>
      <c r="AC269" s="536"/>
      <c r="AD269" s="536"/>
      <c r="AE269" s="536"/>
      <c r="AF269" s="536"/>
      <c r="AG269" s="537"/>
      <c r="AH269" s="537"/>
      <c r="AI269" s="537"/>
      <c r="AJ269" s="537"/>
      <c r="AK269" s="537"/>
      <c r="AL269" s="537"/>
      <c r="AM269" s="532"/>
      <c r="AN269" s="532"/>
      <c r="AO269" s="536"/>
      <c r="AP269" s="997"/>
      <c r="AQ269" s="536"/>
      <c r="AR269" s="536"/>
      <c r="AS269" s="532"/>
      <c r="AT269" s="538"/>
      <c r="AU269" s="538"/>
      <c r="AV269" s="536"/>
      <c r="AW269" s="532"/>
      <c r="AX269" s="532"/>
      <c r="AY269" s="532"/>
      <c r="AZ269" s="532"/>
      <c r="BA269" s="532"/>
      <c r="BB269" s="536"/>
      <c r="BC269" s="536"/>
      <c r="BD269" s="536"/>
      <c r="BE269" s="536"/>
      <c r="BF269" s="536"/>
      <c r="BG269" s="536"/>
      <c r="BH269" s="536"/>
      <c r="BI269" s="536"/>
      <c r="BJ269" s="536"/>
      <c r="BK269" s="536"/>
      <c r="BL269" s="536"/>
      <c r="BM269" s="539"/>
      <c r="BN269" s="539"/>
      <c r="BO269" s="539"/>
      <c r="BP269" s="539"/>
      <c r="BQ269" s="539"/>
      <c r="BR269" s="539"/>
      <c r="BS269" s="441"/>
      <c r="BT269" s="441"/>
      <c r="BU269" s="913"/>
      <c r="BV269" s="441"/>
      <c r="BW269" s="441"/>
      <c r="BX269" s="441"/>
      <c r="BY269" s="441"/>
      <c r="BZ269" s="441"/>
      <c r="CA269" s="441"/>
      <c r="CB269" s="441"/>
      <c r="CC269" s="441"/>
      <c r="CD269" s="539"/>
      <c r="CE269" s="539"/>
      <c r="CG269" s="539"/>
      <c r="CH269" s="539"/>
      <c r="CI269" s="539"/>
      <c r="DD269" s="531"/>
      <c r="DG269" s="531"/>
      <c r="DH269" s="531"/>
    </row>
    <row r="270" spans="1:112" s="533" customFormat="1" ht="20.25" x14ac:dyDescent="0.3">
      <c r="A270" s="531"/>
      <c r="B270" s="532"/>
      <c r="D270" s="534"/>
      <c r="F270" s="531"/>
      <c r="G270" s="531"/>
      <c r="H270" s="535"/>
      <c r="I270" s="531"/>
      <c r="J270" s="531"/>
      <c r="K270" s="531"/>
      <c r="L270" s="531"/>
      <c r="M270" s="531"/>
      <c r="Q270" s="531"/>
      <c r="R270" s="531"/>
      <c r="S270" s="532"/>
      <c r="T270" s="536"/>
      <c r="U270" s="536"/>
      <c r="V270" s="536"/>
      <c r="W270" s="536"/>
      <c r="Y270" s="536"/>
      <c r="Z270" s="536"/>
      <c r="AA270" s="536"/>
      <c r="AB270" s="536"/>
      <c r="AC270" s="536"/>
      <c r="AD270" s="536"/>
      <c r="AE270" s="536"/>
      <c r="AF270" s="536"/>
      <c r="AG270" s="537"/>
      <c r="AH270" s="537"/>
      <c r="AI270" s="537"/>
      <c r="AJ270" s="537"/>
      <c r="AK270" s="537"/>
      <c r="AL270" s="537"/>
      <c r="AM270" s="532"/>
      <c r="AN270" s="532"/>
      <c r="AO270" s="536"/>
      <c r="AP270" s="997"/>
      <c r="AQ270" s="536"/>
      <c r="AR270" s="536"/>
      <c r="AS270" s="532"/>
      <c r="AT270" s="538"/>
      <c r="AU270" s="538"/>
      <c r="AV270" s="536"/>
      <c r="AW270" s="532"/>
      <c r="AX270" s="532"/>
      <c r="AY270" s="532"/>
      <c r="AZ270" s="532"/>
      <c r="BA270" s="532"/>
      <c r="BB270" s="536"/>
      <c r="BC270" s="536"/>
      <c r="BD270" s="536"/>
      <c r="BE270" s="536"/>
      <c r="BF270" s="536"/>
      <c r="BG270" s="536"/>
      <c r="BH270" s="536"/>
      <c r="BI270" s="536"/>
      <c r="BJ270" s="536"/>
      <c r="BK270" s="536"/>
      <c r="BL270" s="536"/>
      <c r="BM270" s="539"/>
      <c r="BN270" s="539"/>
      <c r="BO270" s="539"/>
      <c r="BP270" s="539"/>
      <c r="BQ270" s="539"/>
      <c r="BR270" s="539"/>
      <c r="BS270" s="441"/>
      <c r="BT270" s="441"/>
      <c r="BU270" s="913"/>
      <c r="BV270" s="441"/>
      <c r="BW270" s="441"/>
      <c r="BX270" s="441"/>
      <c r="BY270" s="441"/>
      <c r="BZ270" s="441"/>
      <c r="CA270" s="441"/>
      <c r="CB270" s="441"/>
      <c r="CC270" s="441"/>
      <c r="CD270" s="539"/>
      <c r="CE270" s="539"/>
      <c r="CG270" s="539"/>
      <c r="CH270" s="539"/>
      <c r="CI270" s="539"/>
      <c r="DD270" s="531"/>
      <c r="DG270" s="531"/>
      <c r="DH270" s="531"/>
    </row>
    <row r="271" spans="1:112" s="533" customFormat="1" ht="20.25" x14ac:dyDescent="0.3">
      <c r="A271" s="531"/>
      <c r="B271" s="532"/>
      <c r="D271" s="534"/>
      <c r="F271" s="531"/>
      <c r="G271" s="531"/>
      <c r="H271" s="535"/>
      <c r="I271" s="531"/>
      <c r="J271" s="531"/>
      <c r="K271" s="531"/>
      <c r="L271" s="531"/>
      <c r="M271" s="531"/>
      <c r="Q271" s="531"/>
      <c r="R271" s="531"/>
      <c r="S271" s="532"/>
      <c r="T271" s="536"/>
      <c r="U271" s="536"/>
      <c r="V271" s="536"/>
      <c r="W271" s="536"/>
      <c r="Y271" s="536"/>
      <c r="Z271" s="536"/>
      <c r="AA271" s="536"/>
      <c r="AB271" s="536"/>
      <c r="AC271" s="536"/>
      <c r="AD271" s="536"/>
      <c r="AE271" s="536"/>
      <c r="AF271" s="536"/>
      <c r="AG271" s="537"/>
      <c r="AH271" s="537"/>
      <c r="AI271" s="537"/>
      <c r="AJ271" s="537"/>
      <c r="AK271" s="537"/>
      <c r="AL271" s="537"/>
      <c r="AM271" s="532"/>
      <c r="AN271" s="532"/>
      <c r="AO271" s="536"/>
      <c r="AP271" s="997"/>
      <c r="AQ271" s="536"/>
      <c r="AR271" s="536"/>
      <c r="AS271" s="532"/>
      <c r="AT271" s="538"/>
      <c r="AU271" s="538"/>
      <c r="AV271" s="536"/>
      <c r="AW271" s="532"/>
      <c r="AX271" s="532"/>
      <c r="AY271" s="532"/>
      <c r="AZ271" s="532"/>
      <c r="BA271" s="532"/>
      <c r="BB271" s="536"/>
      <c r="BC271" s="536"/>
      <c r="BD271" s="536"/>
      <c r="BE271" s="536"/>
      <c r="BF271" s="536"/>
      <c r="BG271" s="536"/>
      <c r="BH271" s="536"/>
      <c r="BI271" s="536"/>
      <c r="BJ271" s="536"/>
      <c r="BK271" s="536"/>
      <c r="BL271" s="536"/>
      <c r="BM271" s="539"/>
      <c r="BN271" s="539"/>
      <c r="BO271" s="539"/>
      <c r="BP271" s="539"/>
      <c r="BQ271" s="539"/>
      <c r="BR271" s="539"/>
      <c r="BS271" s="441"/>
      <c r="BT271" s="441"/>
      <c r="BU271" s="913"/>
      <c r="BV271" s="441"/>
      <c r="BW271" s="441"/>
      <c r="BX271" s="441"/>
      <c r="BY271" s="441"/>
      <c r="BZ271" s="441"/>
      <c r="CA271" s="441"/>
      <c r="CB271" s="441"/>
      <c r="CC271" s="441"/>
      <c r="CD271" s="539"/>
      <c r="CE271" s="539"/>
      <c r="CG271" s="539"/>
      <c r="CH271" s="539"/>
      <c r="CI271" s="539"/>
      <c r="DD271" s="531"/>
      <c r="DG271" s="531"/>
      <c r="DH271" s="531"/>
    </row>
    <row r="272" spans="1:112" s="533" customFormat="1" ht="20.25" x14ac:dyDescent="0.3">
      <c r="A272" s="531"/>
      <c r="B272" s="532"/>
      <c r="D272" s="534"/>
      <c r="F272" s="531"/>
      <c r="G272" s="531"/>
      <c r="H272" s="535"/>
      <c r="I272" s="531"/>
      <c r="J272" s="531"/>
      <c r="K272" s="531"/>
      <c r="L272" s="531"/>
      <c r="M272" s="531"/>
      <c r="Q272" s="531"/>
      <c r="R272" s="531"/>
      <c r="S272" s="532"/>
      <c r="T272" s="536"/>
      <c r="U272" s="536"/>
      <c r="V272" s="536"/>
      <c r="W272" s="536"/>
      <c r="Y272" s="536"/>
      <c r="Z272" s="536"/>
      <c r="AA272" s="536"/>
      <c r="AB272" s="536"/>
      <c r="AC272" s="536"/>
      <c r="AD272" s="536"/>
      <c r="AE272" s="536"/>
      <c r="AF272" s="536"/>
      <c r="AG272" s="537"/>
      <c r="AH272" s="537"/>
      <c r="AI272" s="537"/>
      <c r="AJ272" s="537"/>
      <c r="AK272" s="537"/>
      <c r="AL272" s="537"/>
      <c r="AM272" s="532"/>
      <c r="AN272" s="532"/>
      <c r="AO272" s="536"/>
      <c r="AP272" s="997"/>
      <c r="AQ272" s="536"/>
      <c r="AR272" s="536"/>
      <c r="AS272" s="532"/>
      <c r="AT272" s="538"/>
      <c r="AU272" s="538"/>
      <c r="AV272" s="536"/>
      <c r="AW272" s="532"/>
      <c r="AX272" s="532"/>
      <c r="AY272" s="532"/>
      <c r="AZ272" s="532"/>
      <c r="BA272" s="532"/>
      <c r="BB272" s="536"/>
      <c r="BC272" s="536"/>
      <c r="BD272" s="536"/>
      <c r="BE272" s="536"/>
      <c r="BF272" s="536"/>
      <c r="BG272" s="536"/>
      <c r="BH272" s="536"/>
      <c r="BI272" s="536"/>
      <c r="BJ272" s="536"/>
      <c r="BK272" s="536"/>
      <c r="BL272" s="536"/>
      <c r="BM272" s="539"/>
      <c r="BN272" s="539"/>
      <c r="BO272" s="539"/>
      <c r="BP272" s="539"/>
      <c r="BQ272" s="539"/>
      <c r="BR272" s="539"/>
      <c r="BS272" s="441"/>
      <c r="BT272" s="441"/>
      <c r="BU272" s="913"/>
      <c r="BV272" s="441"/>
      <c r="BW272" s="441"/>
      <c r="BX272" s="441"/>
      <c r="BY272" s="441"/>
      <c r="BZ272" s="441"/>
      <c r="CA272" s="441"/>
      <c r="CB272" s="441"/>
      <c r="CC272" s="441"/>
      <c r="CD272" s="539"/>
      <c r="CE272" s="539"/>
      <c r="CG272" s="539"/>
      <c r="CH272" s="539"/>
      <c r="CI272" s="539"/>
      <c r="DD272" s="531"/>
      <c r="DG272" s="531"/>
      <c r="DH272" s="531"/>
    </row>
    <row r="273" spans="1:112" s="533" customFormat="1" ht="20.25" x14ac:dyDescent="0.3">
      <c r="A273" s="531"/>
      <c r="B273" s="532"/>
      <c r="D273" s="534"/>
      <c r="F273" s="531"/>
      <c r="G273" s="531"/>
      <c r="H273" s="535"/>
      <c r="I273" s="531"/>
      <c r="J273" s="531"/>
      <c r="K273" s="531"/>
      <c r="L273" s="531"/>
      <c r="M273" s="531"/>
      <c r="Q273" s="531"/>
      <c r="R273" s="531"/>
      <c r="S273" s="532"/>
      <c r="T273" s="536"/>
      <c r="U273" s="536"/>
      <c r="V273" s="536"/>
      <c r="W273" s="536"/>
      <c r="Y273" s="536"/>
      <c r="Z273" s="536"/>
      <c r="AA273" s="536"/>
      <c r="AB273" s="536"/>
      <c r="AC273" s="536"/>
      <c r="AD273" s="536"/>
      <c r="AE273" s="536"/>
      <c r="AF273" s="536"/>
      <c r="AG273" s="537"/>
      <c r="AH273" s="537"/>
      <c r="AI273" s="537"/>
      <c r="AJ273" s="537"/>
      <c r="AK273" s="537"/>
      <c r="AL273" s="537"/>
      <c r="AM273" s="532"/>
      <c r="AN273" s="532"/>
      <c r="AO273" s="536"/>
      <c r="AP273" s="997"/>
      <c r="AQ273" s="536"/>
      <c r="AR273" s="536"/>
      <c r="AS273" s="532"/>
      <c r="AT273" s="538"/>
      <c r="AU273" s="538"/>
      <c r="AV273" s="536"/>
      <c r="AW273" s="532"/>
      <c r="AX273" s="532"/>
      <c r="AY273" s="532"/>
      <c r="AZ273" s="532"/>
      <c r="BA273" s="532"/>
      <c r="BB273" s="536"/>
      <c r="BC273" s="536"/>
      <c r="BD273" s="536"/>
      <c r="BE273" s="536"/>
      <c r="BF273" s="536"/>
      <c r="BG273" s="536"/>
      <c r="BH273" s="536"/>
      <c r="BI273" s="536"/>
      <c r="BJ273" s="536"/>
      <c r="BK273" s="536"/>
      <c r="BL273" s="536"/>
      <c r="BM273" s="539"/>
      <c r="BN273" s="539"/>
      <c r="BO273" s="539"/>
      <c r="BP273" s="539"/>
      <c r="BQ273" s="539"/>
      <c r="BR273" s="539"/>
      <c r="BS273" s="441"/>
      <c r="BT273" s="441"/>
      <c r="BU273" s="913"/>
      <c r="BV273" s="441"/>
      <c r="BW273" s="441"/>
      <c r="BX273" s="441"/>
      <c r="BY273" s="441"/>
      <c r="BZ273" s="441"/>
      <c r="CA273" s="441"/>
      <c r="CB273" s="441"/>
      <c r="CC273" s="441"/>
      <c r="CD273" s="539"/>
      <c r="CE273" s="539"/>
      <c r="CG273" s="539"/>
      <c r="CH273" s="539"/>
      <c r="CI273" s="539"/>
      <c r="DD273" s="531"/>
      <c r="DG273" s="531"/>
      <c r="DH273" s="531"/>
    </row>
    <row r="274" spans="1:112" s="533" customFormat="1" ht="20.25" x14ac:dyDescent="0.3">
      <c r="A274" s="531"/>
      <c r="B274" s="532"/>
      <c r="D274" s="534"/>
      <c r="F274" s="531"/>
      <c r="G274" s="531"/>
      <c r="H274" s="535"/>
      <c r="I274" s="531"/>
      <c r="J274" s="531"/>
      <c r="K274" s="531"/>
      <c r="L274" s="531"/>
      <c r="M274" s="531"/>
      <c r="Q274" s="531"/>
      <c r="R274" s="531"/>
      <c r="S274" s="532"/>
      <c r="T274" s="536"/>
      <c r="U274" s="536"/>
      <c r="V274" s="536"/>
      <c r="W274" s="536"/>
      <c r="Y274" s="536"/>
      <c r="Z274" s="536"/>
      <c r="AA274" s="536"/>
      <c r="AB274" s="536"/>
      <c r="AC274" s="536"/>
      <c r="AD274" s="536"/>
      <c r="AE274" s="536"/>
      <c r="AF274" s="536"/>
      <c r="AG274" s="537"/>
      <c r="AH274" s="537"/>
      <c r="AI274" s="537"/>
      <c r="AJ274" s="537"/>
      <c r="AK274" s="537"/>
      <c r="AL274" s="537"/>
      <c r="AM274" s="532"/>
      <c r="AN274" s="532"/>
      <c r="AO274" s="536"/>
      <c r="AP274" s="997"/>
      <c r="AQ274" s="536"/>
      <c r="AR274" s="536"/>
      <c r="AS274" s="532"/>
      <c r="AT274" s="538"/>
      <c r="AU274" s="538"/>
      <c r="AV274" s="536"/>
      <c r="AW274" s="532"/>
      <c r="AX274" s="532"/>
      <c r="AY274" s="532"/>
      <c r="AZ274" s="532"/>
      <c r="BA274" s="532"/>
      <c r="BB274" s="536"/>
      <c r="BC274" s="536"/>
      <c r="BD274" s="536"/>
      <c r="BE274" s="536"/>
      <c r="BF274" s="536"/>
      <c r="BG274" s="536"/>
      <c r="BH274" s="536"/>
      <c r="BI274" s="536"/>
      <c r="BJ274" s="536"/>
      <c r="BK274" s="536"/>
      <c r="BL274" s="536"/>
      <c r="BM274" s="539"/>
      <c r="BN274" s="539"/>
      <c r="BO274" s="539"/>
      <c r="BP274" s="539"/>
      <c r="BQ274" s="539"/>
      <c r="BR274" s="539"/>
      <c r="BS274" s="441"/>
      <c r="BT274" s="441"/>
      <c r="BU274" s="913"/>
      <c r="BV274" s="441"/>
      <c r="BW274" s="441"/>
      <c r="BX274" s="441"/>
      <c r="BY274" s="441"/>
      <c r="BZ274" s="441"/>
      <c r="CA274" s="441"/>
      <c r="CB274" s="441"/>
      <c r="CC274" s="441"/>
      <c r="CD274" s="539"/>
      <c r="CE274" s="539"/>
      <c r="CG274" s="539"/>
      <c r="CH274" s="539"/>
      <c r="CI274" s="539"/>
      <c r="DD274" s="531"/>
      <c r="DG274" s="531"/>
      <c r="DH274" s="531"/>
    </row>
    <row r="275" spans="1:112" s="533" customFormat="1" ht="20.25" x14ac:dyDescent="0.3">
      <c r="A275" s="531"/>
      <c r="B275" s="532"/>
      <c r="D275" s="534"/>
      <c r="F275" s="531"/>
      <c r="G275" s="531"/>
      <c r="H275" s="535"/>
      <c r="I275" s="531"/>
      <c r="J275" s="531"/>
      <c r="K275" s="531"/>
      <c r="L275" s="531"/>
      <c r="M275" s="531"/>
      <c r="Q275" s="531"/>
      <c r="R275" s="531"/>
      <c r="S275" s="532"/>
      <c r="T275" s="536"/>
      <c r="U275" s="536"/>
      <c r="V275" s="536"/>
      <c r="W275" s="536"/>
      <c r="Y275" s="536"/>
      <c r="Z275" s="536"/>
      <c r="AA275" s="536"/>
      <c r="AB275" s="536"/>
      <c r="AC275" s="536"/>
      <c r="AD275" s="536"/>
      <c r="AE275" s="536"/>
      <c r="AF275" s="536"/>
      <c r="AG275" s="537"/>
      <c r="AH275" s="537"/>
      <c r="AI275" s="537"/>
      <c r="AJ275" s="537"/>
      <c r="AK275" s="537"/>
      <c r="AL275" s="537"/>
      <c r="AM275" s="532"/>
      <c r="AN275" s="532"/>
      <c r="AO275" s="536"/>
      <c r="AP275" s="997"/>
      <c r="AQ275" s="536"/>
      <c r="AR275" s="536"/>
      <c r="AS275" s="532"/>
      <c r="AT275" s="538"/>
      <c r="AU275" s="538"/>
      <c r="AV275" s="536"/>
      <c r="AW275" s="532"/>
      <c r="AX275" s="532"/>
      <c r="AY275" s="532"/>
      <c r="AZ275" s="532"/>
      <c r="BA275" s="532"/>
      <c r="BB275" s="536"/>
      <c r="BC275" s="536"/>
      <c r="BD275" s="536"/>
      <c r="BE275" s="536"/>
      <c r="BF275" s="536"/>
      <c r="BG275" s="536"/>
      <c r="BH275" s="536"/>
      <c r="BI275" s="536"/>
      <c r="BJ275" s="536"/>
      <c r="BK275" s="536"/>
      <c r="BL275" s="536"/>
      <c r="BM275" s="539"/>
      <c r="BN275" s="539"/>
      <c r="BO275" s="539"/>
      <c r="BP275" s="539"/>
      <c r="BQ275" s="539"/>
      <c r="BR275" s="539"/>
      <c r="BS275" s="441"/>
      <c r="BT275" s="441"/>
      <c r="BU275" s="913"/>
      <c r="BV275" s="441"/>
      <c r="BW275" s="441"/>
      <c r="BX275" s="441"/>
      <c r="BY275" s="441"/>
      <c r="BZ275" s="441"/>
      <c r="CA275" s="441"/>
      <c r="CB275" s="441"/>
      <c r="CC275" s="441"/>
      <c r="CD275" s="539"/>
      <c r="CE275" s="539"/>
      <c r="CG275" s="539"/>
      <c r="CH275" s="539"/>
      <c r="CI275" s="539"/>
      <c r="DD275" s="531"/>
      <c r="DG275" s="531"/>
      <c r="DH275" s="531"/>
    </row>
    <row r="276" spans="1:112" s="533" customFormat="1" ht="20.25" x14ac:dyDescent="0.3">
      <c r="A276" s="531"/>
      <c r="B276" s="532"/>
      <c r="D276" s="534"/>
      <c r="F276" s="531"/>
      <c r="G276" s="531"/>
      <c r="H276" s="535"/>
      <c r="I276" s="531"/>
      <c r="J276" s="531"/>
      <c r="K276" s="531"/>
      <c r="L276" s="531"/>
      <c r="M276" s="531"/>
      <c r="Q276" s="531"/>
      <c r="R276" s="531"/>
      <c r="S276" s="532"/>
      <c r="T276" s="536"/>
      <c r="U276" s="536"/>
      <c r="V276" s="536"/>
      <c r="W276" s="536"/>
      <c r="Y276" s="536"/>
      <c r="Z276" s="536"/>
      <c r="AA276" s="536"/>
      <c r="AB276" s="536"/>
      <c r="AC276" s="536"/>
      <c r="AD276" s="536"/>
      <c r="AE276" s="536"/>
      <c r="AF276" s="536"/>
      <c r="AG276" s="537"/>
      <c r="AH276" s="537"/>
      <c r="AI276" s="537"/>
      <c r="AJ276" s="537"/>
      <c r="AK276" s="537"/>
      <c r="AL276" s="537"/>
      <c r="AM276" s="532"/>
      <c r="AN276" s="532"/>
      <c r="AO276" s="536"/>
      <c r="AP276" s="997"/>
      <c r="AQ276" s="536"/>
      <c r="AR276" s="536"/>
      <c r="AS276" s="532"/>
      <c r="AT276" s="538"/>
      <c r="AU276" s="538"/>
      <c r="AV276" s="536"/>
      <c r="AW276" s="532"/>
      <c r="AX276" s="532"/>
      <c r="AY276" s="532"/>
      <c r="AZ276" s="532"/>
      <c r="BA276" s="532"/>
      <c r="BB276" s="536"/>
      <c r="BC276" s="536"/>
      <c r="BD276" s="536"/>
      <c r="BE276" s="536"/>
      <c r="BF276" s="536"/>
      <c r="BG276" s="536"/>
      <c r="BH276" s="536"/>
      <c r="BI276" s="536"/>
      <c r="BJ276" s="536"/>
      <c r="BK276" s="536"/>
      <c r="BL276" s="536"/>
      <c r="BM276" s="539"/>
      <c r="BN276" s="539"/>
      <c r="BO276" s="539"/>
      <c r="BP276" s="539"/>
      <c r="BQ276" s="539"/>
      <c r="BR276" s="539"/>
      <c r="BS276" s="441"/>
      <c r="BT276" s="441"/>
      <c r="BU276" s="913"/>
      <c r="BV276" s="441"/>
      <c r="BW276" s="441"/>
      <c r="BX276" s="441"/>
      <c r="BY276" s="441"/>
      <c r="BZ276" s="441"/>
      <c r="CA276" s="441"/>
      <c r="CB276" s="441"/>
      <c r="CC276" s="441"/>
      <c r="CD276" s="539"/>
      <c r="CE276" s="539"/>
      <c r="CG276" s="539"/>
      <c r="CH276" s="539"/>
      <c r="CI276" s="539"/>
      <c r="DD276" s="531"/>
      <c r="DG276" s="531"/>
      <c r="DH276" s="531"/>
    </row>
    <row r="277" spans="1:112" s="533" customFormat="1" ht="20.25" x14ac:dyDescent="0.3">
      <c r="A277" s="531"/>
      <c r="B277" s="532"/>
      <c r="D277" s="534"/>
      <c r="F277" s="531"/>
      <c r="G277" s="531"/>
      <c r="H277" s="535"/>
      <c r="I277" s="531"/>
      <c r="J277" s="531"/>
      <c r="K277" s="531"/>
      <c r="L277" s="531"/>
      <c r="M277" s="531"/>
      <c r="Q277" s="531"/>
      <c r="R277" s="531"/>
      <c r="S277" s="532"/>
      <c r="T277" s="536"/>
      <c r="U277" s="536"/>
      <c r="V277" s="536"/>
      <c r="W277" s="536"/>
      <c r="Y277" s="536"/>
      <c r="Z277" s="536"/>
      <c r="AA277" s="536"/>
      <c r="AB277" s="536"/>
      <c r="AC277" s="536"/>
      <c r="AD277" s="536"/>
      <c r="AE277" s="536"/>
      <c r="AF277" s="536"/>
      <c r="AG277" s="537"/>
      <c r="AH277" s="537"/>
      <c r="AI277" s="537"/>
      <c r="AJ277" s="537"/>
      <c r="AK277" s="537"/>
      <c r="AL277" s="537"/>
      <c r="AM277" s="532"/>
      <c r="AN277" s="532"/>
      <c r="AO277" s="536"/>
      <c r="AP277" s="997"/>
      <c r="AQ277" s="536"/>
      <c r="AR277" s="536"/>
      <c r="AS277" s="532"/>
      <c r="AT277" s="538"/>
      <c r="AU277" s="538"/>
      <c r="AV277" s="536"/>
      <c r="AW277" s="532"/>
      <c r="AX277" s="532"/>
      <c r="AY277" s="532"/>
      <c r="AZ277" s="532"/>
      <c r="BA277" s="532"/>
      <c r="BB277" s="536"/>
      <c r="BC277" s="536"/>
      <c r="BD277" s="536"/>
      <c r="BE277" s="536"/>
      <c r="BF277" s="536"/>
      <c r="BG277" s="536"/>
      <c r="BH277" s="536"/>
      <c r="BI277" s="536"/>
      <c r="BJ277" s="536"/>
      <c r="BK277" s="536"/>
      <c r="BL277" s="536"/>
      <c r="BM277" s="539"/>
      <c r="BN277" s="539"/>
      <c r="BO277" s="539"/>
      <c r="BP277" s="539"/>
      <c r="BQ277" s="539"/>
      <c r="BR277" s="539"/>
      <c r="BS277" s="441"/>
      <c r="BT277" s="441"/>
      <c r="BU277" s="913"/>
      <c r="BV277" s="441"/>
      <c r="BW277" s="441"/>
      <c r="BX277" s="441"/>
      <c r="BY277" s="441"/>
      <c r="BZ277" s="441"/>
      <c r="CA277" s="441"/>
      <c r="CB277" s="441"/>
      <c r="CC277" s="441"/>
      <c r="CD277" s="539"/>
      <c r="CE277" s="539"/>
      <c r="CG277" s="539"/>
      <c r="CH277" s="539"/>
      <c r="CI277" s="539"/>
      <c r="DD277" s="531"/>
      <c r="DG277" s="531"/>
      <c r="DH277" s="531"/>
    </row>
    <row r="278" spans="1:112" s="533" customFormat="1" ht="20.25" x14ac:dyDescent="0.3">
      <c r="A278" s="531"/>
      <c r="B278" s="532"/>
      <c r="D278" s="534"/>
      <c r="F278" s="531"/>
      <c r="G278" s="531"/>
      <c r="H278" s="535"/>
      <c r="I278" s="531"/>
      <c r="J278" s="531"/>
      <c r="K278" s="531"/>
      <c r="L278" s="531"/>
      <c r="M278" s="531"/>
      <c r="Q278" s="531"/>
      <c r="R278" s="531"/>
      <c r="S278" s="532"/>
      <c r="T278" s="536"/>
      <c r="U278" s="536"/>
      <c r="V278" s="536"/>
      <c r="W278" s="536"/>
      <c r="Y278" s="536"/>
      <c r="Z278" s="536"/>
      <c r="AA278" s="536"/>
      <c r="AB278" s="536"/>
      <c r="AC278" s="536"/>
      <c r="AD278" s="536"/>
      <c r="AE278" s="536"/>
      <c r="AF278" s="536"/>
      <c r="AG278" s="537"/>
      <c r="AH278" s="537"/>
      <c r="AI278" s="537"/>
      <c r="AJ278" s="537"/>
      <c r="AK278" s="537"/>
      <c r="AL278" s="537"/>
      <c r="AM278" s="532"/>
      <c r="AN278" s="532"/>
      <c r="AO278" s="536"/>
      <c r="AP278" s="997"/>
      <c r="AQ278" s="536"/>
      <c r="AR278" s="536"/>
      <c r="AS278" s="532"/>
      <c r="AT278" s="538"/>
      <c r="AU278" s="538"/>
      <c r="AV278" s="536"/>
      <c r="AW278" s="532"/>
      <c r="AX278" s="532"/>
      <c r="AY278" s="532"/>
      <c r="AZ278" s="532"/>
      <c r="BA278" s="532"/>
      <c r="BB278" s="536"/>
      <c r="BC278" s="536"/>
      <c r="BD278" s="536"/>
      <c r="BE278" s="536"/>
      <c r="BF278" s="536"/>
      <c r="BG278" s="536"/>
      <c r="BH278" s="536"/>
      <c r="BI278" s="536"/>
      <c r="BJ278" s="536"/>
      <c r="BK278" s="536"/>
      <c r="BL278" s="536"/>
      <c r="BM278" s="539"/>
      <c r="BN278" s="539"/>
      <c r="BO278" s="539"/>
      <c r="BP278" s="539"/>
      <c r="BQ278" s="539"/>
      <c r="BR278" s="539"/>
      <c r="BS278" s="441"/>
      <c r="BT278" s="441"/>
      <c r="BU278" s="913"/>
      <c r="BV278" s="441"/>
      <c r="BW278" s="441"/>
      <c r="BX278" s="441"/>
      <c r="BY278" s="441"/>
      <c r="BZ278" s="441"/>
      <c r="CA278" s="441"/>
      <c r="CB278" s="441"/>
      <c r="CC278" s="441"/>
      <c r="CD278" s="539"/>
      <c r="CE278" s="539"/>
      <c r="CG278" s="539"/>
      <c r="CH278" s="539"/>
      <c r="CI278" s="539"/>
      <c r="DD278" s="531"/>
      <c r="DG278" s="531"/>
      <c r="DH278" s="531"/>
    </row>
    <row r="279" spans="1:112" s="533" customFormat="1" ht="20.25" x14ac:dyDescent="0.3">
      <c r="A279" s="531"/>
      <c r="B279" s="532"/>
      <c r="D279" s="534"/>
      <c r="F279" s="531"/>
      <c r="G279" s="531"/>
      <c r="H279" s="535"/>
      <c r="I279" s="531"/>
      <c r="J279" s="531"/>
      <c r="K279" s="531"/>
      <c r="L279" s="531"/>
      <c r="M279" s="531"/>
      <c r="Q279" s="531"/>
      <c r="R279" s="531"/>
      <c r="S279" s="532"/>
      <c r="T279" s="536"/>
      <c r="U279" s="536"/>
      <c r="V279" s="536"/>
      <c r="W279" s="536"/>
      <c r="Y279" s="536"/>
      <c r="Z279" s="536"/>
      <c r="AA279" s="536"/>
      <c r="AB279" s="536"/>
      <c r="AC279" s="536"/>
      <c r="AD279" s="536"/>
      <c r="AE279" s="536"/>
      <c r="AF279" s="536"/>
      <c r="AG279" s="537"/>
      <c r="AH279" s="537"/>
      <c r="AI279" s="537"/>
      <c r="AJ279" s="537"/>
      <c r="AK279" s="537"/>
      <c r="AL279" s="537"/>
      <c r="AM279" s="532"/>
      <c r="AN279" s="532"/>
      <c r="AO279" s="536"/>
      <c r="AP279" s="997"/>
      <c r="AQ279" s="536"/>
      <c r="AR279" s="536"/>
      <c r="AS279" s="532"/>
      <c r="AT279" s="538"/>
      <c r="AU279" s="538"/>
      <c r="AV279" s="536"/>
      <c r="AW279" s="532"/>
      <c r="AX279" s="532"/>
      <c r="AY279" s="532"/>
      <c r="AZ279" s="532"/>
      <c r="BA279" s="532"/>
      <c r="BB279" s="536"/>
      <c r="BC279" s="536"/>
      <c r="BD279" s="536"/>
      <c r="BE279" s="536"/>
      <c r="BF279" s="536"/>
      <c r="BG279" s="536"/>
      <c r="BH279" s="536"/>
      <c r="BI279" s="536"/>
      <c r="BJ279" s="536"/>
      <c r="BK279" s="536"/>
      <c r="BL279" s="536"/>
      <c r="BM279" s="539"/>
      <c r="BN279" s="539"/>
      <c r="BO279" s="539"/>
      <c r="BP279" s="539"/>
      <c r="BQ279" s="539"/>
      <c r="BR279" s="539"/>
      <c r="BS279" s="441"/>
      <c r="BT279" s="441"/>
      <c r="BU279" s="913"/>
      <c r="BV279" s="441"/>
      <c r="BW279" s="441"/>
      <c r="BX279" s="441"/>
      <c r="BY279" s="441"/>
      <c r="BZ279" s="441"/>
      <c r="CA279" s="441"/>
      <c r="CB279" s="441"/>
      <c r="CC279" s="441"/>
      <c r="CD279" s="539"/>
      <c r="CE279" s="539"/>
      <c r="CG279" s="539"/>
      <c r="CH279" s="539"/>
      <c r="CI279" s="539"/>
      <c r="DD279" s="531"/>
      <c r="DG279" s="531"/>
      <c r="DH279" s="531"/>
    </row>
    <row r="280" spans="1:112" s="533" customFormat="1" ht="20.25" x14ac:dyDescent="0.3">
      <c r="A280" s="531"/>
      <c r="B280" s="532"/>
      <c r="D280" s="534"/>
      <c r="F280" s="531"/>
      <c r="G280" s="531"/>
      <c r="H280" s="535"/>
      <c r="I280" s="531"/>
      <c r="J280" s="531"/>
      <c r="K280" s="531"/>
      <c r="L280" s="531"/>
      <c r="M280" s="531"/>
      <c r="Q280" s="531"/>
      <c r="R280" s="531"/>
      <c r="S280" s="532"/>
      <c r="T280" s="536"/>
      <c r="U280" s="536"/>
      <c r="V280" s="536"/>
      <c r="W280" s="536"/>
      <c r="Y280" s="536"/>
      <c r="Z280" s="536"/>
      <c r="AA280" s="536"/>
      <c r="AB280" s="536"/>
      <c r="AC280" s="536"/>
      <c r="AD280" s="536"/>
      <c r="AE280" s="536"/>
      <c r="AF280" s="536"/>
      <c r="AG280" s="537"/>
      <c r="AH280" s="537"/>
      <c r="AI280" s="537"/>
      <c r="AJ280" s="537"/>
      <c r="AK280" s="537"/>
      <c r="AL280" s="537"/>
      <c r="AM280" s="532"/>
      <c r="AN280" s="532"/>
      <c r="AO280" s="536"/>
      <c r="AP280" s="997"/>
      <c r="AQ280" s="536"/>
      <c r="AR280" s="536"/>
      <c r="AS280" s="532"/>
      <c r="AT280" s="538"/>
      <c r="AU280" s="538"/>
      <c r="AV280" s="536"/>
      <c r="AW280" s="532"/>
      <c r="AX280" s="532"/>
      <c r="AY280" s="532"/>
      <c r="AZ280" s="532"/>
      <c r="BA280" s="532"/>
      <c r="BB280" s="536"/>
      <c r="BC280" s="536"/>
      <c r="BD280" s="536"/>
      <c r="BE280" s="536"/>
      <c r="BF280" s="536"/>
      <c r="BG280" s="536"/>
      <c r="BH280" s="536"/>
      <c r="BI280" s="536"/>
      <c r="BJ280" s="536"/>
      <c r="BK280" s="536"/>
      <c r="BL280" s="536"/>
      <c r="BM280" s="539"/>
      <c r="BN280" s="539"/>
      <c r="BO280" s="539"/>
      <c r="BP280" s="539"/>
      <c r="BQ280" s="539"/>
      <c r="BR280" s="539"/>
      <c r="BS280" s="441"/>
      <c r="BT280" s="441"/>
      <c r="BU280" s="913"/>
      <c r="BV280" s="441"/>
      <c r="BW280" s="441"/>
      <c r="BX280" s="441"/>
      <c r="BY280" s="441"/>
      <c r="BZ280" s="441"/>
      <c r="CA280" s="441"/>
      <c r="CB280" s="441"/>
      <c r="CC280" s="441"/>
      <c r="CD280" s="539"/>
      <c r="CE280" s="539"/>
      <c r="CG280" s="539"/>
      <c r="CH280" s="539"/>
      <c r="CI280" s="539"/>
      <c r="DD280" s="531"/>
      <c r="DG280" s="531"/>
      <c r="DH280" s="531"/>
    </row>
    <row r="281" spans="1:112" s="533" customFormat="1" ht="20.25" x14ac:dyDescent="0.3">
      <c r="A281" s="531"/>
      <c r="B281" s="532"/>
      <c r="D281" s="534"/>
      <c r="F281" s="531"/>
      <c r="G281" s="531"/>
      <c r="H281" s="535"/>
      <c r="I281" s="531"/>
      <c r="J281" s="531"/>
      <c r="K281" s="531"/>
      <c r="L281" s="531"/>
      <c r="M281" s="531"/>
      <c r="Q281" s="531"/>
      <c r="R281" s="531"/>
      <c r="S281" s="532"/>
      <c r="T281" s="536"/>
      <c r="U281" s="536"/>
      <c r="V281" s="536"/>
      <c r="W281" s="536"/>
      <c r="Y281" s="536"/>
      <c r="Z281" s="536"/>
      <c r="AA281" s="536"/>
      <c r="AB281" s="536"/>
      <c r="AC281" s="536"/>
      <c r="AD281" s="536"/>
      <c r="AE281" s="536"/>
      <c r="AF281" s="536"/>
      <c r="AG281" s="537"/>
      <c r="AH281" s="537"/>
      <c r="AI281" s="537"/>
      <c r="AJ281" s="537"/>
      <c r="AK281" s="537"/>
      <c r="AL281" s="537"/>
      <c r="AM281" s="532"/>
      <c r="AN281" s="532"/>
      <c r="AO281" s="536"/>
      <c r="AP281" s="997"/>
      <c r="AQ281" s="536"/>
      <c r="AR281" s="536"/>
      <c r="AS281" s="532"/>
      <c r="AT281" s="538"/>
      <c r="AU281" s="538"/>
      <c r="AV281" s="536"/>
      <c r="AW281" s="532"/>
      <c r="AX281" s="532"/>
      <c r="AY281" s="532"/>
      <c r="AZ281" s="532"/>
      <c r="BA281" s="532"/>
      <c r="BB281" s="536"/>
      <c r="BC281" s="536"/>
      <c r="BD281" s="536"/>
      <c r="BE281" s="536"/>
      <c r="BF281" s="536"/>
      <c r="BG281" s="536"/>
      <c r="BH281" s="536"/>
      <c r="BI281" s="536"/>
      <c r="BJ281" s="536"/>
      <c r="BK281" s="536"/>
      <c r="BL281" s="536"/>
      <c r="BM281" s="539"/>
      <c r="BN281" s="539"/>
      <c r="BO281" s="539"/>
      <c r="BP281" s="539"/>
      <c r="BQ281" s="539"/>
      <c r="BR281" s="539"/>
      <c r="BS281" s="441"/>
      <c r="BT281" s="441"/>
      <c r="BU281" s="913"/>
      <c r="BV281" s="441"/>
      <c r="BW281" s="441"/>
      <c r="BX281" s="441"/>
      <c r="BY281" s="441"/>
      <c r="BZ281" s="441"/>
      <c r="CA281" s="441"/>
      <c r="CB281" s="441"/>
      <c r="CC281" s="441"/>
      <c r="CD281" s="539"/>
      <c r="CE281" s="539"/>
      <c r="CG281" s="539"/>
      <c r="CH281" s="539"/>
      <c r="CI281" s="539"/>
      <c r="DD281" s="531"/>
      <c r="DG281" s="531"/>
      <c r="DH281" s="531"/>
    </row>
    <row r="282" spans="1:112" s="533" customFormat="1" ht="20.25" x14ac:dyDescent="0.3">
      <c r="A282" s="531"/>
      <c r="B282" s="532"/>
      <c r="D282" s="534"/>
      <c r="F282" s="531"/>
      <c r="G282" s="531"/>
      <c r="H282" s="535"/>
      <c r="I282" s="531"/>
      <c r="J282" s="531"/>
      <c r="K282" s="531"/>
      <c r="L282" s="531"/>
      <c r="M282" s="531"/>
      <c r="Q282" s="531"/>
      <c r="R282" s="531"/>
      <c r="S282" s="532"/>
      <c r="T282" s="536"/>
      <c r="U282" s="536"/>
      <c r="V282" s="536"/>
      <c r="W282" s="536"/>
      <c r="Y282" s="536"/>
      <c r="Z282" s="536"/>
      <c r="AA282" s="536"/>
      <c r="AB282" s="536"/>
      <c r="AC282" s="536"/>
      <c r="AD282" s="536"/>
      <c r="AE282" s="536"/>
      <c r="AF282" s="536"/>
      <c r="AG282" s="537"/>
      <c r="AH282" s="537"/>
      <c r="AI282" s="537"/>
      <c r="AJ282" s="537"/>
      <c r="AK282" s="537"/>
      <c r="AL282" s="537"/>
      <c r="AM282" s="532"/>
      <c r="AN282" s="532"/>
      <c r="AO282" s="536"/>
      <c r="AP282" s="997"/>
      <c r="AQ282" s="536"/>
      <c r="AR282" s="536"/>
      <c r="AS282" s="532"/>
      <c r="AT282" s="538"/>
      <c r="AU282" s="538"/>
      <c r="AV282" s="536"/>
      <c r="AW282" s="532"/>
      <c r="AX282" s="532"/>
      <c r="AY282" s="532"/>
      <c r="AZ282" s="532"/>
      <c r="BA282" s="532"/>
      <c r="BB282" s="536"/>
      <c r="BC282" s="536"/>
      <c r="BD282" s="536"/>
      <c r="BE282" s="536"/>
      <c r="BF282" s="536"/>
      <c r="BG282" s="536"/>
      <c r="BH282" s="536"/>
      <c r="BI282" s="536"/>
      <c r="BJ282" s="536"/>
      <c r="BK282" s="536"/>
      <c r="BL282" s="536"/>
      <c r="BM282" s="539"/>
      <c r="BN282" s="539"/>
      <c r="BO282" s="539"/>
      <c r="BP282" s="539"/>
      <c r="BQ282" s="539"/>
      <c r="BR282" s="539"/>
      <c r="BS282" s="441"/>
      <c r="BT282" s="441"/>
      <c r="BU282" s="913"/>
      <c r="BV282" s="441"/>
      <c r="BW282" s="441"/>
      <c r="BX282" s="441"/>
      <c r="BY282" s="441"/>
      <c r="BZ282" s="441"/>
      <c r="CA282" s="441"/>
      <c r="CB282" s="441"/>
      <c r="CC282" s="441"/>
      <c r="CD282" s="539"/>
      <c r="CE282" s="539"/>
      <c r="CG282" s="539"/>
      <c r="CH282" s="539"/>
      <c r="CI282" s="539"/>
      <c r="DD282" s="531"/>
      <c r="DG282" s="531"/>
      <c r="DH282" s="531"/>
    </row>
    <row r="283" spans="1:112" s="533" customFormat="1" ht="20.25" x14ac:dyDescent="0.3">
      <c r="A283" s="531"/>
      <c r="B283" s="532"/>
      <c r="D283" s="534"/>
      <c r="F283" s="531"/>
      <c r="G283" s="531"/>
      <c r="H283" s="535"/>
      <c r="I283" s="531"/>
      <c r="J283" s="531"/>
      <c r="K283" s="531"/>
      <c r="L283" s="531"/>
      <c r="M283" s="531"/>
      <c r="Q283" s="531"/>
      <c r="R283" s="531"/>
      <c r="S283" s="532"/>
      <c r="T283" s="536"/>
      <c r="U283" s="536"/>
      <c r="V283" s="536"/>
      <c r="W283" s="536"/>
      <c r="Y283" s="536"/>
      <c r="Z283" s="536"/>
      <c r="AA283" s="536"/>
      <c r="AB283" s="536"/>
      <c r="AC283" s="536"/>
      <c r="AD283" s="536"/>
      <c r="AE283" s="536"/>
      <c r="AF283" s="536"/>
      <c r="AG283" s="537"/>
      <c r="AH283" s="537"/>
      <c r="AI283" s="537"/>
      <c r="AJ283" s="537"/>
      <c r="AK283" s="537"/>
      <c r="AL283" s="537"/>
      <c r="AM283" s="532"/>
      <c r="AN283" s="532"/>
      <c r="AO283" s="536"/>
      <c r="AP283" s="997"/>
      <c r="AQ283" s="536"/>
      <c r="AR283" s="536"/>
      <c r="AS283" s="532"/>
      <c r="AT283" s="538"/>
      <c r="AU283" s="538"/>
      <c r="AV283" s="536"/>
      <c r="AW283" s="532"/>
      <c r="AX283" s="532"/>
      <c r="AY283" s="532"/>
      <c r="AZ283" s="532"/>
      <c r="BA283" s="532"/>
      <c r="BB283" s="536"/>
      <c r="BC283" s="536"/>
      <c r="BD283" s="536"/>
      <c r="BE283" s="536"/>
      <c r="BF283" s="536"/>
      <c r="BG283" s="536"/>
      <c r="BH283" s="536"/>
      <c r="BI283" s="536"/>
      <c r="BJ283" s="536"/>
      <c r="BK283" s="536"/>
      <c r="BL283" s="536"/>
      <c r="BM283" s="539"/>
      <c r="BN283" s="539"/>
      <c r="BO283" s="539"/>
      <c r="BP283" s="539"/>
      <c r="BQ283" s="539"/>
      <c r="BR283" s="539"/>
      <c r="BS283" s="441"/>
      <c r="BT283" s="441"/>
      <c r="BU283" s="913"/>
      <c r="BV283" s="441"/>
      <c r="BW283" s="441"/>
      <c r="BX283" s="441"/>
      <c r="BY283" s="441"/>
      <c r="BZ283" s="441"/>
      <c r="CA283" s="441"/>
      <c r="CB283" s="441"/>
      <c r="CC283" s="441"/>
      <c r="CD283" s="539"/>
      <c r="CE283" s="539"/>
      <c r="CG283" s="539"/>
      <c r="CH283" s="539"/>
      <c r="CI283" s="539"/>
      <c r="DD283" s="531"/>
      <c r="DG283" s="531"/>
      <c r="DH283" s="531"/>
    </row>
    <row r="284" spans="1:112" s="533" customFormat="1" ht="20.25" x14ac:dyDescent="0.3">
      <c r="A284" s="531"/>
      <c r="B284" s="532"/>
      <c r="D284" s="534"/>
      <c r="F284" s="531"/>
      <c r="G284" s="531"/>
      <c r="H284" s="535"/>
      <c r="I284" s="531"/>
      <c r="J284" s="531"/>
      <c r="K284" s="531"/>
      <c r="L284" s="531"/>
      <c r="M284" s="531"/>
      <c r="Q284" s="531"/>
      <c r="R284" s="531"/>
      <c r="S284" s="532"/>
      <c r="T284" s="536"/>
      <c r="U284" s="536"/>
      <c r="V284" s="536"/>
      <c r="W284" s="536"/>
      <c r="Y284" s="536"/>
      <c r="Z284" s="536"/>
      <c r="AA284" s="536"/>
      <c r="AB284" s="536"/>
      <c r="AC284" s="536"/>
      <c r="AD284" s="536"/>
      <c r="AE284" s="536"/>
      <c r="AF284" s="536"/>
      <c r="AG284" s="537"/>
      <c r="AH284" s="537"/>
      <c r="AI284" s="537"/>
      <c r="AJ284" s="537"/>
      <c r="AK284" s="537"/>
      <c r="AL284" s="537"/>
      <c r="AM284" s="532"/>
      <c r="AN284" s="532"/>
      <c r="AO284" s="536"/>
      <c r="AP284" s="997"/>
      <c r="AQ284" s="536"/>
      <c r="AR284" s="536"/>
      <c r="AS284" s="532"/>
      <c r="AT284" s="538"/>
      <c r="AU284" s="538"/>
      <c r="AV284" s="536"/>
      <c r="AW284" s="532"/>
      <c r="AX284" s="532"/>
      <c r="AY284" s="532"/>
      <c r="AZ284" s="532"/>
      <c r="BA284" s="532"/>
      <c r="BB284" s="536"/>
      <c r="BC284" s="536"/>
      <c r="BD284" s="536"/>
      <c r="BE284" s="536"/>
      <c r="BF284" s="536"/>
      <c r="BG284" s="536"/>
      <c r="BH284" s="536"/>
      <c r="BI284" s="536"/>
      <c r="BJ284" s="536"/>
      <c r="BK284" s="536"/>
      <c r="BL284" s="536"/>
      <c r="BM284" s="539"/>
      <c r="BN284" s="539"/>
      <c r="BO284" s="539"/>
      <c r="BP284" s="539"/>
      <c r="BQ284" s="539"/>
      <c r="BR284" s="539"/>
      <c r="BS284" s="441"/>
      <c r="BT284" s="441"/>
      <c r="BU284" s="913"/>
      <c r="BV284" s="441"/>
      <c r="BW284" s="441"/>
      <c r="BX284" s="441"/>
      <c r="BY284" s="441"/>
      <c r="BZ284" s="441"/>
      <c r="CA284" s="441"/>
      <c r="CB284" s="441"/>
      <c r="CC284" s="441"/>
      <c r="CD284" s="539"/>
      <c r="CE284" s="539"/>
      <c r="CG284" s="539"/>
      <c r="CH284" s="539"/>
      <c r="CI284" s="539"/>
      <c r="DD284" s="531"/>
      <c r="DG284" s="531"/>
      <c r="DH284" s="531"/>
    </row>
    <row r="285" spans="1:112" s="533" customFormat="1" ht="20.25" x14ac:dyDescent="0.3">
      <c r="A285" s="531"/>
      <c r="B285" s="532"/>
      <c r="D285" s="534"/>
      <c r="F285" s="531"/>
      <c r="G285" s="531"/>
      <c r="H285" s="535"/>
      <c r="I285" s="531"/>
      <c r="J285" s="531"/>
      <c r="K285" s="531"/>
      <c r="L285" s="531"/>
      <c r="M285" s="531"/>
      <c r="Q285" s="531"/>
      <c r="R285" s="531"/>
      <c r="S285" s="532"/>
      <c r="T285" s="536"/>
      <c r="U285" s="536"/>
      <c r="V285" s="536"/>
      <c r="W285" s="536"/>
      <c r="Y285" s="536"/>
      <c r="Z285" s="536"/>
      <c r="AA285" s="536"/>
      <c r="AB285" s="536"/>
      <c r="AC285" s="536"/>
      <c r="AD285" s="536"/>
      <c r="AE285" s="536"/>
      <c r="AF285" s="536"/>
      <c r="AG285" s="537"/>
      <c r="AH285" s="537"/>
      <c r="AI285" s="537"/>
      <c r="AJ285" s="537"/>
      <c r="AK285" s="537"/>
      <c r="AL285" s="537"/>
      <c r="AM285" s="532"/>
      <c r="AN285" s="532"/>
      <c r="AO285" s="536"/>
      <c r="AP285" s="997"/>
      <c r="AQ285" s="536"/>
      <c r="AR285" s="536"/>
      <c r="AS285" s="532"/>
      <c r="AT285" s="538"/>
      <c r="AU285" s="538"/>
      <c r="AV285" s="536"/>
      <c r="AW285" s="532"/>
      <c r="AX285" s="532"/>
      <c r="AY285" s="532"/>
      <c r="AZ285" s="532"/>
      <c r="BA285" s="532"/>
      <c r="BB285" s="536"/>
      <c r="BC285" s="536"/>
      <c r="BD285" s="536"/>
      <c r="BE285" s="536"/>
      <c r="BF285" s="536"/>
      <c r="BG285" s="536"/>
      <c r="BH285" s="536"/>
      <c r="BI285" s="536"/>
      <c r="BJ285" s="536"/>
      <c r="BK285" s="536"/>
      <c r="BL285" s="536"/>
      <c r="BM285" s="539"/>
      <c r="BN285" s="539"/>
      <c r="BO285" s="539"/>
      <c r="BP285" s="539"/>
      <c r="BQ285" s="539"/>
      <c r="BR285" s="539"/>
      <c r="BS285" s="441"/>
      <c r="BT285" s="441"/>
      <c r="BU285" s="913"/>
      <c r="BV285" s="441"/>
      <c r="BW285" s="441"/>
      <c r="BX285" s="441"/>
      <c r="BY285" s="441"/>
      <c r="BZ285" s="441"/>
      <c r="CA285" s="441"/>
      <c r="CB285" s="441"/>
      <c r="CC285" s="441"/>
      <c r="CD285" s="539"/>
      <c r="CE285" s="539"/>
      <c r="CG285" s="539"/>
      <c r="CH285" s="539"/>
      <c r="CI285" s="539"/>
      <c r="DD285" s="531"/>
      <c r="DG285" s="531"/>
      <c r="DH285" s="531"/>
    </row>
    <row r="286" spans="1:112" s="533" customFormat="1" ht="20.25" x14ac:dyDescent="0.3">
      <c r="A286" s="531"/>
      <c r="B286" s="532"/>
      <c r="D286" s="534"/>
      <c r="F286" s="531"/>
      <c r="G286" s="531"/>
      <c r="H286" s="535"/>
      <c r="I286" s="531"/>
      <c r="J286" s="531"/>
      <c r="K286" s="531"/>
      <c r="L286" s="531"/>
      <c r="M286" s="531"/>
      <c r="Q286" s="531"/>
      <c r="R286" s="531"/>
      <c r="S286" s="532"/>
      <c r="T286" s="536"/>
      <c r="U286" s="536"/>
      <c r="V286" s="536"/>
      <c r="W286" s="536"/>
      <c r="Y286" s="536"/>
      <c r="Z286" s="536"/>
      <c r="AA286" s="536"/>
      <c r="AB286" s="536"/>
      <c r="AC286" s="536"/>
      <c r="AD286" s="536"/>
      <c r="AE286" s="536"/>
      <c r="AF286" s="536"/>
      <c r="AG286" s="537"/>
      <c r="AH286" s="537"/>
      <c r="AI286" s="537"/>
      <c r="AJ286" s="537"/>
      <c r="AK286" s="537"/>
      <c r="AL286" s="537"/>
      <c r="AM286" s="532"/>
      <c r="AN286" s="532"/>
      <c r="AO286" s="536"/>
      <c r="AP286" s="997"/>
      <c r="AQ286" s="536"/>
      <c r="AR286" s="536"/>
      <c r="AS286" s="532"/>
      <c r="AT286" s="538"/>
      <c r="AU286" s="538"/>
      <c r="AV286" s="536"/>
      <c r="AW286" s="532"/>
      <c r="AX286" s="532"/>
      <c r="AY286" s="532"/>
      <c r="AZ286" s="532"/>
      <c r="BA286" s="532"/>
      <c r="BB286" s="536"/>
      <c r="BC286" s="536"/>
      <c r="BD286" s="536"/>
      <c r="BE286" s="536"/>
      <c r="BF286" s="536"/>
      <c r="BG286" s="536"/>
      <c r="BH286" s="536"/>
      <c r="BI286" s="536"/>
      <c r="BJ286" s="536"/>
      <c r="BK286" s="536"/>
      <c r="BL286" s="536"/>
      <c r="BM286" s="539"/>
      <c r="BN286" s="539"/>
      <c r="BO286" s="539"/>
      <c r="BP286" s="539"/>
      <c r="BQ286" s="539"/>
      <c r="BR286" s="539"/>
      <c r="BS286" s="441"/>
      <c r="BT286" s="441"/>
      <c r="BU286" s="913"/>
      <c r="BV286" s="441"/>
      <c r="BW286" s="441"/>
      <c r="BX286" s="441"/>
      <c r="BY286" s="441"/>
      <c r="BZ286" s="441"/>
      <c r="CA286" s="441"/>
      <c r="CB286" s="441"/>
      <c r="CC286" s="441"/>
      <c r="CD286" s="539"/>
      <c r="CE286" s="539"/>
      <c r="CG286" s="539"/>
      <c r="CH286" s="539"/>
      <c r="CI286" s="539"/>
      <c r="DD286" s="531"/>
      <c r="DG286" s="531"/>
      <c r="DH286" s="531"/>
    </row>
    <row r="287" spans="1:112" s="533" customFormat="1" ht="20.25" x14ac:dyDescent="0.3">
      <c r="A287" s="531"/>
      <c r="B287" s="532"/>
      <c r="D287" s="534"/>
      <c r="F287" s="531"/>
      <c r="G287" s="531"/>
      <c r="H287" s="535"/>
      <c r="I287" s="531"/>
      <c r="J287" s="531"/>
      <c r="K287" s="531"/>
      <c r="L287" s="531"/>
      <c r="M287" s="531"/>
      <c r="Q287" s="531"/>
      <c r="R287" s="531"/>
      <c r="S287" s="532"/>
      <c r="T287" s="536"/>
      <c r="U287" s="536"/>
      <c r="V287" s="536"/>
      <c r="W287" s="536"/>
      <c r="Y287" s="536"/>
      <c r="Z287" s="536"/>
      <c r="AA287" s="536"/>
      <c r="AB287" s="536"/>
      <c r="AC287" s="536"/>
      <c r="AD287" s="536"/>
      <c r="AE287" s="536"/>
      <c r="AF287" s="536"/>
      <c r="AG287" s="537"/>
      <c r="AH287" s="537"/>
      <c r="AI287" s="537"/>
      <c r="AJ287" s="537"/>
      <c r="AK287" s="537"/>
      <c r="AL287" s="537"/>
      <c r="AM287" s="532"/>
      <c r="AN287" s="532"/>
      <c r="AO287" s="536"/>
      <c r="AP287" s="997"/>
      <c r="AQ287" s="536"/>
      <c r="AR287" s="536"/>
      <c r="AS287" s="532"/>
      <c r="AT287" s="538"/>
      <c r="AU287" s="538"/>
      <c r="AV287" s="536"/>
      <c r="AW287" s="532"/>
      <c r="AX287" s="532"/>
      <c r="AY287" s="532"/>
      <c r="AZ287" s="532"/>
      <c r="BA287" s="532"/>
      <c r="BB287" s="536"/>
      <c r="BC287" s="536"/>
      <c r="BD287" s="536"/>
      <c r="BE287" s="536"/>
      <c r="BF287" s="536"/>
      <c r="BG287" s="536"/>
      <c r="BH287" s="536"/>
      <c r="BI287" s="536"/>
      <c r="BJ287" s="536"/>
      <c r="BK287" s="536"/>
      <c r="BL287" s="536"/>
      <c r="BM287" s="539"/>
      <c r="BN287" s="539"/>
      <c r="BO287" s="539"/>
      <c r="BP287" s="539"/>
      <c r="BQ287" s="539"/>
      <c r="BR287" s="539"/>
      <c r="BS287" s="441"/>
      <c r="BT287" s="441"/>
      <c r="BU287" s="913"/>
      <c r="BV287" s="441"/>
      <c r="BW287" s="441"/>
      <c r="BX287" s="441"/>
      <c r="BY287" s="441"/>
      <c r="BZ287" s="441"/>
      <c r="CA287" s="441"/>
      <c r="CB287" s="441"/>
      <c r="CC287" s="441"/>
      <c r="CD287" s="539"/>
      <c r="CE287" s="539"/>
      <c r="CG287" s="539"/>
      <c r="CH287" s="539"/>
      <c r="CI287" s="539"/>
      <c r="DD287" s="531"/>
      <c r="DG287" s="531"/>
      <c r="DH287" s="531"/>
    </row>
    <row r="288" spans="1:112" s="533" customFormat="1" ht="20.25" x14ac:dyDescent="0.3">
      <c r="A288" s="531"/>
      <c r="B288" s="532"/>
      <c r="D288" s="534"/>
      <c r="F288" s="531"/>
      <c r="G288" s="531"/>
      <c r="H288" s="535"/>
      <c r="I288" s="531"/>
      <c r="J288" s="531"/>
      <c r="K288" s="531"/>
      <c r="L288" s="531"/>
      <c r="M288" s="531"/>
      <c r="Q288" s="531"/>
      <c r="R288" s="531"/>
      <c r="S288" s="532"/>
      <c r="T288" s="536"/>
      <c r="U288" s="536"/>
      <c r="V288" s="536"/>
      <c r="W288" s="536"/>
      <c r="Y288" s="536"/>
      <c r="Z288" s="536"/>
      <c r="AA288" s="536"/>
      <c r="AB288" s="536"/>
      <c r="AC288" s="536"/>
      <c r="AD288" s="536"/>
      <c r="AE288" s="536"/>
      <c r="AF288" s="536"/>
      <c r="AG288" s="537"/>
      <c r="AH288" s="537"/>
      <c r="AI288" s="537"/>
      <c r="AJ288" s="537"/>
      <c r="AK288" s="537"/>
      <c r="AL288" s="537"/>
      <c r="AM288" s="532"/>
      <c r="AN288" s="532"/>
      <c r="AO288" s="536"/>
      <c r="AP288" s="997"/>
      <c r="AQ288" s="536"/>
      <c r="AR288" s="536"/>
      <c r="AS288" s="532"/>
      <c r="AT288" s="538"/>
      <c r="AU288" s="538"/>
      <c r="AV288" s="536"/>
      <c r="AW288" s="532"/>
      <c r="AX288" s="532"/>
      <c r="AY288" s="532"/>
      <c r="AZ288" s="532"/>
      <c r="BA288" s="532"/>
      <c r="BB288" s="536"/>
      <c r="BC288" s="536"/>
      <c r="BD288" s="536"/>
      <c r="BE288" s="536"/>
      <c r="BF288" s="536"/>
      <c r="BG288" s="536"/>
      <c r="BH288" s="536"/>
      <c r="BI288" s="536"/>
      <c r="BJ288" s="536"/>
      <c r="BK288" s="536"/>
      <c r="BL288" s="536"/>
      <c r="BM288" s="539"/>
      <c r="BN288" s="539"/>
      <c r="BO288" s="539"/>
      <c r="BP288" s="539"/>
      <c r="BQ288" s="539"/>
      <c r="BR288" s="539"/>
      <c r="BS288" s="441"/>
      <c r="BT288" s="441"/>
      <c r="BU288" s="913"/>
      <c r="BV288" s="441"/>
      <c r="BW288" s="441"/>
      <c r="BX288" s="441"/>
      <c r="BY288" s="441"/>
      <c r="BZ288" s="441"/>
      <c r="CA288" s="441"/>
      <c r="CB288" s="441"/>
      <c r="CC288" s="441"/>
      <c r="CD288" s="539"/>
      <c r="CE288" s="539"/>
      <c r="CG288" s="539"/>
      <c r="CH288" s="539"/>
      <c r="CI288" s="539"/>
      <c r="DD288" s="531"/>
      <c r="DG288" s="531"/>
      <c r="DH288" s="531"/>
    </row>
    <row r="289" spans="1:112" s="533" customFormat="1" ht="20.25" x14ac:dyDescent="0.3">
      <c r="A289" s="531"/>
      <c r="B289" s="532"/>
      <c r="D289" s="534"/>
      <c r="F289" s="531"/>
      <c r="G289" s="531"/>
      <c r="H289" s="535"/>
      <c r="I289" s="531"/>
      <c r="J289" s="531"/>
      <c r="K289" s="531"/>
      <c r="L289" s="531"/>
      <c r="M289" s="531"/>
      <c r="Q289" s="531"/>
      <c r="R289" s="531"/>
      <c r="S289" s="532"/>
      <c r="T289" s="536"/>
      <c r="U289" s="536"/>
      <c r="V289" s="536"/>
      <c r="W289" s="536"/>
      <c r="Y289" s="536"/>
      <c r="Z289" s="536"/>
      <c r="AA289" s="536"/>
      <c r="AB289" s="536"/>
      <c r="AC289" s="536"/>
      <c r="AD289" s="536"/>
      <c r="AE289" s="536"/>
      <c r="AF289" s="536"/>
      <c r="AG289" s="537"/>
      <c r="AH289" s="537"/>
      <c r="AI289" s="537"/>
      <c r="AJ289" s="537"/>
      <c r="AK289" s="537"/>
      <c r="AL289" s="537"/>
      <c r="AM289" s="532"/>
      <c r="AN289" s="532"/>
      <c r="AO289" s="536"/>
      <c r="AP289" s="997"/>
      <c r="AQ289" s="536"/>
      <c r="AR289" s="536"/>
      <c r="AS289" s="532"/>
      <c r="AT289" s="538"/>
      <c r="AU289" s="538"/>
      <c r="AV289" s="536"/>
      <c r="AW289" s="532"/>
      <c r="AX289" s="532"/>
      <c r="AY289" s="532"/>
      <c r="AZ289" s="532"/>
      <c r="BA289" s="532"/>
      <c r="BB289" s="536"/>
      <c r="BC289" s="536"/>
      <c r="BD289" s="536"/>
      <c r="BE289" s="536"/>
      <c r="BF289" s="536"/>
      <c r="BG289" s="536"/>
      <c r="BH289" s="536"/>
      <c r="BI289" s="536"/>
      <c r="BJ289" s="536"/>
      <c r="BK289" s="536"/>
      <c r="BL289" s="536"/>
      <c r="BM289" s="539"/>
      <c r="BN289" s="539"/>
      <c r="BO289" s="539"/>
      <c r="BP289" s="539"/>
      <c r="BQ289" s="539"/>
      <c r="BR289" s="539"/>
      <c r="BS289" s="441"/>
      <c r="BT289" s="441"/>
      <c r="BU289" s="913"/>
      <c r="BV289" s="441"/>
      <c r="BW289" s="441"/>
      <c r="BX289" s="441"/>
      <c r="BY289" s="441"/>
      <c r="BZ289" s="441"/>
      <c r="CA289" s="441"/>
      <c r="CB289" s="441"/>
      <c r="CC289" s="441"/>
      <c r="CD289" s="539"/>
      <c r="CE289" s="539"/>
      <c r="CG289" s="539"/>
      <c r="CH289" s="539"/>
      <c r="CI289" s="539"/>
      <c r="DD289" s="531"/>
      <c r="DG289" s="531"/>
      <c r="DH289" s="531"/>
    </row>
    <row r="290" spans="1:112" s="533" customFormat="1" ht="20.25" x14ac:dyDescent="0.3">
      <c r="A290" s="531"/>
      <c r="B290" s="532"/>
      <c r="D290" s="534"/>
      <c r="F290" s="531"/>
      <c r="G290" s="531"/>
      <c r="H290" s="535"/>
      <c r="I290" s="531"/>
      <c r="J290" s="531"/>
      <c r="K290" s="531"/>
      <c r="L290" s="531"/>
      <c r="M290" s="531"/>
      <c r="Q290" s="531"/>
      <c r="R290" s="531"/>
      <c r="S290" s="532"/>
      <c r="T290" s="536"/>
      <c r="U290" s="536"/>
      <c r="V290" s="536"/>
      <c r="W290" s="536"/>
      <c r="Y290" s="536"/>
      <c r="Z290" s="536"/>
      <c r="AA290" s="536"/>
      <c r="AB290" s="536"/>
      <c r="AC290" s="536"/>
      <c r="AD290" s="536"/>
      <c r="AE290" s="536"/>
      <c r="AF290" s="536"/>
      <c r="AG290" s="537"/>
      <c r="AH290" s="537"/>
      <c r="AI290" s="537"/>
      <c r="AJ290" s="537"/>
      <c r="AK290" s="537"/>
      <c r="AL290" s="537"/>
      <c r="AM290" s="532"/>
      <c r="AN290" s="532"/>
      <c r="AO290" s="536"/>
      <c r="AP290" s="997"/>
      <c r="AQ290" s="536"/>
      <c r="AR290" s="536"/>
      <c r="AS290" s="532"/>
      <c r="AT290" s="538"/>
      <c r="AU290" s="538"/>
      <c r="AV290" s="536"/>
      <c r="AW290" s="532"/>
      <c r="AX290" s="532"/>
      <c r="AY290" s="532"/>
      <c r="AZ290" s="532"/>
      <c r="BA290" s="532"/>
      <c r="BB290" s="536"/>
      <c r="BC290" s="536"/>
      <c r="BD290" s="536"/>
      <c r="BE290" s="536"/>
      <c r="BF290" s="536"/>
      <c r="BG290" s="536"/>
      <c r="BH290" s="536"/>
      <c r="BI290" s="536"/>
      <c r="BJ290" s="536"/>
      <c r="BK290" s="536"/>
      <c r="BL290" s="536"/>
      <c r="BM290" s="539"/>
      <c r="BN290" s="539"/>
      <c r="BO290" s="539"/>
      <c r="BP290" s="539"/>
      <c r="BQ290" s="539"/>
      <c r="BR290" s="539"/>
      <c r="BS290" s="441"/>
      <c r="BT290" s="441"/>
      <c r="BU290" s="913"/>
      <c r="BV290" s="441"/>
      <c r="BW290" s="441"/>
      <c r="BX290" s="441"/>
      <c r="BY290" s="441"/>
      <c r="BZ290" s="441"/>
      <c r="CA290" s="441"/>
      <c r="CB290" s="441"/>
      <c r="CC290" s="441"/>
      <c r="CD290" s="539"/>
      <c r="CE290" s="539"/>
      <c r="CG290" s="539"/>
      <c r="CH290" s="539"/>
      <c r="CI290" s="539"/>
      <c r="DD290" s="531"/>
      <c r="DG290" s="531"/>
      <c r="DH290" s="531"/>
    </row>
    <row r="291" spans="1:112" s="533" customFormat="1" ht="20.25" x14ac:dyDescent="0.3">
      <c r="A291" s="531"/>
      <c r="B291" s="532"/>
      <c r="D291" s="534"/>
      <c r="F291" s="531"/>
      <c r="G291" s="531"/>
      <c r="H291" s="535"/>
      <c r="I291" s="531"/>
      <c r="J291" s="531"/>
      <c r="K291" s="531"/>
      <c r="L291" s="531"/>
      <c r="M291" s="531"/>
      <c r="Q291" s="531"/>
      <c r="R291" s="531"/>
      <c r="S291" s="532"/>
      <c r="T291" s="536"/>
      <c r="U291" s="536"/>
      <c r="V291" s="536"/>
      <c r="W291" s="536"/>
      <c r="Y291" s="536"/>
      <c r="Z291" s="536"/>
      <c r="AA291" s="536"/>
      <c r="AB291" s="536"/>
      <c r="AC291" s="536"/>
      <c r="AD291" s="536"/>
      <c r="AE291" s="536"/>
      <c r="AF291" s="536"/>
      <c r="AG291" s="537"/>
      <c r="AH291" s="537"/>
      <c r="AI291" s="537"/>
      <c r="AJ291" s="537"/>
      <c r="AK291" s="537"/>
      <c r="AL291" s="537"/>
      <c r="AM291" s="532"/>
      <c r="AN291" s="532"/>
      <c r="AO291" s="536"/>
      <c r="AP291" s="997"/>
      <c r="AQ291" s="536"/>
      <c r="AR291" s="536"/>
      <c r="AS291" s="532"/>
      <c r="AT291" s="538"/>
      <c r="AU291" s="538"/>
      <c r="AV291" s="536"/>
      <c r="AW291" s="532"/>
      <c r="AX291" s="532"/>
      <c r="AY291" s="532"/>
      <c r="AZ291" s="532"/>
      <c r="BA291" s="532"/>
      <c r="BB291" s="536"/>
      <c r="BC291" s="536"/>
      <c r="BD291" s="536"/>
      <c r="BE291" s="536"/>
      <c r="BF291" s="536"/>
      <c r="BG291" s="536"/>
      <c r="BH291" s="536"/>
      <c r="BI291" s="536"/>
      <c r="BJ291" s="536"/>
      <c r="BK291" s="536"/>
      <c r="BL291" s="536"/>
      <c r="BM291" s="539"/>
      <c r="BN291" s="539"/>
      <c r="BO291" s="539"/>
      <c r="BP291" s="539"/>
      <c r="BQ291" s="539"/>
      <c r="BR291" s="539"/>
      <c r="BS291" s="441"/>
      <c r="BT291" s="441"/>
      <c r="BU291" s="913"/>
      <c r="BV291" s="441"/>
      <c r="BW291" s="441"/>
      <c r="BX291" s="441"/>
      <c r="BY291" s="441"/>
      <c r="BZ291" s="441"/>
      <c r="CA291" s="441"/>
      <c r="CB291" s="441"/>
      <c r="CC291" s="441"/>
      <c r="CD291" s="539"/>
      <c r="CE291" s="539"/>
      <c r="CG291" s="539"/>
      <c r="CH291" s="539"/>
      <c r="CI291" s="539"/>
      <c r="DD291" s="531"/>
      <c r="DG291" s="531"/>
      <c r="DH291" s="531"/>
    </row>
    <row r="292" spans="1:112" s="533" customFormat="1" ht="20.25" x14ac:dyDescent="0.3">
      <c r="A292" s="531"/>
      <c r="B292" s="532"/>
      <c r="D292" s="534"/>
      <c r="F292" s="531"/>
      <c r="G292" s="531"/>
      <c r="H292" s="535"/>
      <c r="I292" s="531"/>
      <c r="J292" s="531"/>
      <c r="K292" s="531"/>
      <c r="L292" s="531"/>
      <c r="M292" s="531"/>
      <c r="Q292" s="531"/>
      <c r="R292" s="531"/>
      <c r="S292" s="532"/>
      <c r="T292" s="536"/>
      <c r="U292" s="536"/>
      <c r="V292" s="536"/>
      <c r="W292" s="536"/>
      <c r="Y292" s="536"/>
      <c r="Z292" s="536"/>
      <c r="AA292" s="536"/>
      <c r="AB292" s="536"/>
      <c r="AC292" s="536"/>
      <c r="AD292" s="536"/>
      <c r="AE292" s="536"/>
      <c r="AF292" s="536"/>
      <c r="AG292" s="537"/>
      <c r="AH292" s="537"/>
      <c r="AI292" s="537"/>
      <c r="AJ292" s="537"/>
      <c r="AK292" s="537"/>
      <c r="AL292" s="537"/>
      <c r="AM292" s="532"/>
      <c r="AN292" s="532"/>
      <c r="AO292" s="536"/>
      <c r="AP292" s="997"/>
      <c r="AQ292" s="536"/>
      <c r="AR292" s="536"/>
      <c r="AS292" s="532"/>
      <c r="AT292" s="538"/>
      <c r="AU292" s="538"/>
      <c r="AV292" s="536"/>
      <c r="AW292" s="532"/>
      <c r="AX292" s="532"/>
      <c r="AY292" s="532"/>
      <c r="AZ292" s="532"/>
      <c r="BA292" s="532"/>
      <c r="BB292" s="536"/>
      <c r="BC292" s="536"/>
      <c r="BD292" s="536"/>
      <c r="BE292" s="536"/>
      <c r="BF292" s="536"/>
      <c r="BG292" s="536"/>
      <c r="BH292" s="536"/>
      <c r="BI292" s="536"/>
      <c r="BJ292" s="536"/>
      <c r="BK292" s="536"/>
      <c r="BL292" s="536"/>
      <c r="BM292" s="539"/>
      <c r="BN292" s="539"/>
      <c r="BO292" s="539"/>
      <c r="BP292" s="539"/>
      <c r="BQ292" s="539"/>
      <c r="BR292" s="539"/>
      <c r="BS292" s="441"/>
      <c r="BT292" s="441"/>
      <c r="BU292" s="913"/>
      <c r="BV292" s="441"/>
      <c r="BW292" s="441"/>
      <c r="BX292" s="441"/>
      <c r="BY292" s="441"/>
      <c r="BZ292" s="441"/>
      <c r="CA292" s="441"/>
      <c r="CB292" s="441"/>
      <c r="CC292" s="441"/>
      <c r="CD292" s="539"/>
      <c r="CE292" s="539"/>
      <c r="CG292" s="539"/>
      <c r="CH292" s="539"/>
      <c r="CI292" s="539"/>
      <c r="DD292" s="531"/>
      <c r="DG292" s="531"/>
      <c r="DH292" s="531"/>
    </row>
    <row r="293" spans="1:112" x14ac:dyDescent="0.2">
      <c r="T293" s="69"/>
      <c r="U293" s="69"/>
      <c r="V293" s="69"/>
      <c r="W293" s="69"/>
    </row>
    <row r="314" spans="1:112" ht="12.75" thickBot="1" x14ac:dyDescent="0.25"/>
    <row r="315" spans="1:112" s="149" customFormat="1" ht="19.5" customHeight="1" thickBot="1" x14ac:dyDescent="0.25">
      <c r="A315" s="184" t="s">
        <v>2847</v>
      </c>
      <c r="B315" s="185">
        <v>1</v>
      </c>
      <c r="C315" s="186">
        <v>21103443</v>
      </c>
      <c r="D315" s="490" t="s">
        <v>4655</v>
      </c>
      <c r="E315" s="188" t="s">
        <v>4635</v>
      </c>
      <c r="F315" s="543"/>
      <c r="G315" s="188" t="s">
        <v>4634</v>
      </c>
      <c r="H315" s="189">
        <v>44256</v>
      </c>
      <c r="I315" s="202">
        <v>1</v>
      </c>
      <c r="J315" s="190"/>
      <c r="K315" s="202">
        <v>1</v>
      </c>
      <c r="L315" s="191"/>
      <c r="M315" s="191"/>
      <c r="N315" s="187" t="s">
        <v>894</v>
      </c>
      <c r="O315" s="472"/>
      <c r="P315" s="203" t="s">
        <v>893</v>
      </c>
      <c r="Q315" s="188" t="s">
        <v>2895</v>
      </c>
      <c r="R315" s="188"/>
      <c r="S315" s="192" t="s">
        <v>2840</v>
      </c>
      <c r="T315" s="204">
        <v>409</v>
      </c>
      <c r="U315" s="193">
        <v>0</v>
      </c>
      <c r="V315" s="204">
        <v>409</v>
      </c>
      <c r="W315" s="193">
        <v>204.5</v>
      </c>
      <c r="X315" s="194">
        <v>1</v>
      </c>
      <c r="Y315" s="204">
        <v>4.09</v>
      </c>
      <c r="Z315" s="204">
        <v>130</v>
      </c>
      <c r="AA315" s="204">
        <v>12.5</v>
      </c>
      <c r="AB315" s="204">
        <v>138.9</v>
      </c>
      <c r="AC315" s="204">
        <v>285.49</v>
      </c>
      <c r="AD315" s="195">
        <v>149</v>
      </c>
      <c r="AE315" s="195">
        <v>136.5</v>
      </c>
      <c r="AF315" s="196">
        <v>0</v>
      </c>
      <c r="AG315" s="205">
        <v>0</v>
      </c>
      <c r="AH315" s="196">
        <v>0</v>
      </c>
      <c r="AI315" s="205">
        <v>0</v>
      </c>
      <c r="AJ315" s="197">
        <v>0</v>
      </c>
      <c r="AK315" s="197">
        <v>0</v>
      </c>
      <c r="AL315" s="197">
        <v>0</v>
      </c>
      <c r="AM315" s="195">
        <v>694.49</v>
      </c>
      <c r="AN315" s="195">
        <v>0</v>
      </c>
      <c r="AO315" s="457">
        <v>0</v>
      </c>
      <c r="AP315" s="999"/>
      <c r="AQ315" s="457"/>
      <c r="AR315" s="457"/>
      <c r="AS315" s="195">
        <v>23.149666666666668</v>
      </c>
      <c r="AT315" s="481">
        <v>500</v>
      </c>
      <c r="AU315" s="481"/>
      <c r="AV315" s="198"/>
      <c r="AW315" s="204">
        <v>32.053384615384616</v>
      </c>
      <c r="AX315" s="207">
        <v>4.0066730769230769</v>
      </c>
      <c r="AY315" s="208">
        <v>6.9449000000000005</v>
      </c>
      <c r="AZ315" s="204">
        <v>0</v>
      </c>
      <c r="BA315" s="195">
        <v>43.004957692307698</v>
      </c>
      <c r="BB315" s="204">
        <v>72.120115384615389</v>
      </c>
      <c r="BC315" s="204">
        <v>16.026692307692308</v>
      </c>
      <c r="BD315" s="204">
        <v>13.889800000000001</v>
      </c>
      <c r="BE315" s="206">
        <v>0</v>
      </c>
      <c r="BF315" s="209">
        <v>102.03660769230771</v>
      </c>
      <c r="BG315" s="318"/>
      <c r="BH315" s="199">
        <v>145.04156538461541</v>
      </c>
      <c r="BI315" s="199"/>
      <c r="BJ315" s="199"/>
      <c r="BK315" s="199"/>
      <c r="BL315" s="199"/>
      <c r="BM315" s="200">
        <v>310.4950423076923</v>
      </c>
      <c r="BN315" s="200">
        <v>364.15</v>
      </c>
      <c r="BS315" s="317"/>
      <c r="BT315" s="317"/>
      <c r="BU315" s="911"/>
      <c r="BV315" s="317"/>
      <c r="BW315" s="317"/>
      <c r="BX315" s="317"/>
      <c r="BY315" s="317"/>
      <c r="BZ315" s="317"/>
      <c r="CA315" s="317"/>
      <c r="CB315" s="317"/>
      <c r="CC315" s="317"/>
      <c r="CE315" s="154"/>
      <c r="CK315" s="154"/>
      <c r="CL315" s="154"/>
      <c r="CM315" s="154"/>
      <c r="CN315" s="154"/>
      <c r="CO315" s="154"/>
      <c r="CP315" s="154"/>
      <c r="CQ315" s="154"/>
      <c r="CR315" s="154"/>
      <c r="CS315" s="154"/>
      <c r="CT315" s="154"/>
      <c r="CU315" s="154"/>
      <c r="CV315" s="154"/>
      <c r="DD315" s="201"/>
      <c r="DG315" s="165">
        <v>5</v>
      </c>
      <c r="DH315" s="165">
        <v>5</v>
      </c>
    </row>
  </sheetData>
  <sheetProtection formatCells="0" formatColumns="0" formatRows="0" insertColumns="0" insertRows="0" deleteColumns="0" deleteRows="0" sort="0" autoFilter="0"/>
  <dataConsolidate/>
  <mergeCells count="41">
    <mergeCell ref="A130:D130"/>
    <mergeCell ref="I155:J155"/>
    <mergeCell ref="I156:J156"/>
    <mergeCell ref="I132:J132"/>
    <mergeCell ref="I129:J129"/>
    <mergeCell ref="I130:J130"/>
    <mergeCell ref="A135:C136"/>
    <mergeCell ref="AM85:AV85"/>
    <mergeCell ref="I167:J167"/>
    <mergeCell ref="I168:J168"/>
    <mergeCell ref="I160:J160"/>
    <mergeCell ref="I161:J161"/>
    <mergeCell ref="I162:J162"/>
    <mergeCell ref="I163:J163"/>
    <mergeCell ref="I164:J164"/>
    <mergeCell ref="I157:J157"/>
    <mergeCell ref="I158:J158"/>
    <mergeCell ref="I159:J159"/>
    <mergeCell ref="I165:J165"/>
    <mergeCell ref="I166:J166"/>
    <mergeCell ref="I133:J133"/>
    <mergeCell ref="S85:AC85"/>
    <mergeCell ref="C85:F85"/>
    <mergeCell ref="C37:D37"/>
    <mergeCell ref="C24:D24"/>
    <mergeCell ref="C18:D18"/>
    <mergeCell ref="X10:AB10"/>
    <mergeCell ref="L10:M10"/>
    <mergeCell ref="U82:Z82"/>
    <mergeCell ref="U84:Z84"/>
    <mergeCell ref="S83:AC83"/>
    <mergeCell ref="C9:D9"/>
    <mergeCell ref="C82:F82"/>
    <mergeCell ref="C83:F83"/>
    <mergeCell ref="C84:F84"/>
    <mergeCell ref="AM83:AV83"/>
    <mergeCell ref="AM84:AV84"/>
    <mergeCell ref="A57:D58"/>
    <mergeCell ref="AM81:AV82"/>
    <mergeCell ref="F9:G9"/>
    <mergeCell ref="AP10:AR10"/>
  </mergeCells>
  <dataValidations count="16">
    <dataValidation type="list" allowBlank="1" showInputMessage="1" showErrorMessage="1" sqref="N315:O315 O17 N13:N17 N137 N20:N23">
      <formula1>Empleado</formula1>
    </dataValidation>
    <dataValidation showDropDown="1" showInputMessage="1" showErrorMessage="1" sqref="AL315 AL131 AL179 AL13:AL17 AL59 AL26:AL36 AL137 AL20:AL23"/>
    <dataValidation type="list" allowBlank="1" showInputMessage="1" showErrorMessage="1" sqref="Q315 Q131 Q179 Q13:Q17 Q59 Q26:Q36 Q137 Q20:Q23">
      <formula1>"BACHILLER,TSU,UNIVERSITARIO,ESPECIALISTA,MAESTRIA,DOCTOR"</formula1>
    </dataValidation>
    <dataValidation type="list" allowBlank="1" showInputMessage="1" showErrorMessage="1" sqref="AJ315:AK315 AJ26:AK33 AJ59:AK59 AJ179:AK179 AJ131:AK131 AJ36:AK36 AJ13:AK17 AJ137:AK137 AJ20:AK23">
      <formula1>$DE$9:$DE$10</formula1>
    </dataValidation>
    <dataValidation type="list" allowBlank="1" showInputMessage="1" showErrorMessage="1" sqref="AF315 X315 AH315 AF131 X131 AH131 X179 AH179 AF179 AF13:AF17 X13:X17 AH13:AH17 X59 X26:X36 AF59 AF26:AF36 AH59 AH26:AH36 AH137 AH20:AH23 AF137 AF20:AF23 X137 X20:X23">
      <formula1>PHIJOS</formula1>
    </dataValidation>
    <dataValidation type="list" allowBlank="1" showInputMessage="1" showErrorMessage="1" sqref="A315 A131 A179 A13:A18 A59 A26:A37 A137 A20:A24">
      <formula1>"EMPLEADO,OBRERO,BOMBERO"</formula1>
    </dataValidation>
    <dataValidation type="list" allowBlank="1" showInputMessage="1" showErrorMessage="1" sqref="E315 E131 E179 E13:E17 E59 E26:E36 E137 E20:E23">
      <formula1>NAC</formula1>
    </dataValidation>
    <dataValidation type="list" allowBlank="1" showInputMessage="1" showErrorMessage="1" sqref="G315 G131 G179 G13:G17 G59 G26:G36 G137 G20:G23">
      <formula1>GEN</formula1>
    </dataValidation>
    <dataValidation type="list" allowBlank="1" showInputMessage="1" showErrorMessage="1" sqref="S315 S13:S17">
      <formula1>DIRECTIVOS</formula1>
    </dataValidation>
    <dataValidation type="list" allowBlank="1" showInputMessage="1" showErrorMessage="1" sqref="BL131">
      <formula1>CESTAT</formula1>
    </dataValidation>
    <dataValidation type="list" showInputMessage="1" showErrorMessage="1" sqref="AS10">
      <formula1>DIAF</formula1>
    </dataValidation>
    <dataValidation type="list" allowBlank="1" showInputMessage="1" showErrorMessage="1" sqref="F9">
      <formula1>MES</formula1>
    </dataValidation>
    <dataValidation type="list" allowBlank="1" showInputMessage="1" showErrorMessage="1" sqref="N131:O131 N179 N59 N26:N36">
      <formula1>Obrero</formula1>
    </dataValidation>
    <dataValidation type="list" allowBlank="1" showInputMessage="1" showErrorMessage="1" sqref="S131 S179 S59 S26:S36">
      <formula1>TABOBR</formula1>
    </dataValidation>
    <dataValidation type="list" allowBlank="1" showInputMessage="1" showErrorMessage="1" sqref="AJ34:AK35">
      <formula1>$DB$9:$DB$10</formula1>
    </dataValidation>
    <dataValidation type="list" allowBlank="1" showInputMessage="1" showErrorMessage="1" sqref="S20:S23 S137">
      <formula1>TABEMP</formula1>
    </dataValidation>
  </dataValidations>
  <pageMargins left="0" right="0" top="0.74803149606299213" bottom="0.74803149606299213" header="0.31496062992125984" footer="0.31496062992125984"/>
  <pageSetup paperSize="9" scale="10" orientation="landscape" r:id="rId1"/>
  <colBreaks count="2" manualBreakCount="2">
    <brk id="59" max="314" man="1"/>
    <brk id="66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'TAB EMP'!$A$2:$A$36</xm:f>
          </x14:formula1>
          <xm:sqref>N131:O131 N37:O40 O12 O17:O19 O24:O25 N155:O178 N180:O185 N179 N36 N59 N137 N11:N33</xm:sqref>
        </x14:dataValidation>
        <x14:dataValidation type="list" allowBlank="1" showInputMessage="1" showErrorMessage="1">
          <x14:formula1>
            <xm:f>'TAB OBR'!$A$3:$A$12</xm:f>
          </x14:formula1>
          <xm:sqref>N188:O188</xm:sqref>
        </x14:dataValidation>
        <x14:dataValidation type="list" allowBlank="1" showInputMessage="1" showErrorMessage="1">
          <x14:formula1>
            <xm:f>'F:\YUSMELIT BASTIDAS\Downloads\[TEXTILES JULIO 2023.xlsm]TAB EMP'!#REF!</xm:f>
          </x14:formula1>
          <xm:sqref>N34:N35</xm:sqref>
        </x14:dataValidation>
        <x14:dataValidation type="list" allowBlank="1" showInputMessage="1" showErrorMessage="1">
          <x14:formula1>
            <xm:f>'CONCEPTOS Y PARAMETROS'!$Y$3:$Y$14</xm:f>
          </x14:formula1>
          <xm:sqref>AP13:AP17 AP20:AP23 AP26:AP36 AP38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V79"/>
  <sheetViews>
    <sheetView view="pageBreakPreview" zoomScale="57" zoomScaleNormal="70" zoomScaleSheetLayoutView="57" workbookViewId="0">
      <selection activeCell="Q45" sqref="Q45"/>
    </sheetView>
  </sheetViews>
  <sheetFormatPr baseColWidth="10" defaultRowHeight="15" x14ac:dyDescent="0.25"/>
  <cols>
    <col min="1" max="1" width="6.7109375" customWidth="1"/>
    <col min="2" max="2" width="20.42578125" customWidth="1"/>
    <col min="3" max="3" width="16.7109375" customWidth="1"/>
    <col min="4" max="4" width="20.7109375" customWidth="1"/>
    <col min="5" max="5" width="13.5703125" customWidth="1"/>
    <col min="6" max="6" width="18.28515625" customWidth="1"/>
    <col min="7" max="7" width="12.85546875" customWidth="1"/>
    <col min="8" max="8" width="21.42578125" customWidth="1"/>
    <col min="9" max="12" width="13.5703125" customWidth="1"/>
    <col min="13" max="13" width="15.5703125" customWidth="1"/>
    <col min="14" max="14" width="18" customWidth="1"/>
    <col min="15" max="15" width="18.28515625" customWidth="1"/>
    <col min="16" max="16" width="23.140625" customWidth="1"/>
    <col min="17" max="17" width="18.28515625" customWidth="1"/>
    <col min="18" max="18" width="23.140625" customWidth="1"/>
    <col min="19" max="19" width="20" customWidth="1"/>
    <col min="20" max="20" width="26.140625" hidden="1" customWidth="1"/>
    <col min="21" max="21" width="11.42578125" customWidth="1"/>
    <col min="22" max="22" width="21" customWidth="1"/>
    <col min="257" max="257" width="6.7109375" customWidth="1"/>
    <col min="258" max="258" width="20.42578125" customWidth="1"/>
    <col min="259" max="259" width="14.42578125" customWidth="1"/>
    <col min="260" max="260" width="20.7109375" customWidth="1"/>
    <col min="261" max="261" width="13.5703125" customWidth="1"/>
    <col min="262" max="262" width="18.28515625" customWidth="1"/>
    <col min="263" max="263" width="12.85546875" customWidth="1"/>
    <col min="264" max="264" width="21.42578125" customWidth="1"/>
    <col min="265" max="268" width="13.5703125" customWidth="1"/>
    <col min="269" max="269" width="15.5703125" customWidth="1"/>
    <col min="270" max="270" width="18" customWidth="1"/>
    <col min="271" max="271" width="18.28515625" customWidth="1"/>
    <col min="272" max="272" width="23.140625" customWidth="1"/>
    <col min="273" max="273" width="18.28515625" customWidth="1"/>
    <col min="274" max="274" width="23.140625" customWidth="1"/>
    <col min="275" max="275" width="20" customWidth="1"/>
    <col min="276" max="276" width="0" hidden="1" customWidth="1"/>
    <col min="277" max="277" width="11.42578125" customWidth="1"/>
    <col min="278" max="278" width="21" customWidth="1"/>
    <col min="513" max="513" width="6.7109375" customWidth="1"/>
    <col min="514" max="514" width="20.42578125" customWidth="1"/>
    <col min="515" max="515" width="14.42578125" customWidth="1"/>
    <col min="516" max="516" width="20.7109375" customWidth="1"/>
    <col min="517" max="517" width="13.5703125" customWidth="1"/>
    <col min="518" max="518" width="18.28515625" customWidth="1"/>
    <col min="519" max="519" width="12.85546875" customWidth="1"/>
    <col min="520" max="520" width="21.42578125" customWidth="1"/>
    <col min="521" max="524" width="13.5703125" customWidth="1"/>
    <col min="525" max="525" width="15.5703125" customWidth="1"/>
    <col min="526" max="526" width="18" customWidth="1"/>
    <col min="527" max="527" width="18.28515625" customWidth="1"/>
    <col min="528" max="528" width="23.140625" customWidth="1"/>
    <col min="529" max="529" width="18.28515625" customWidth="1"/>
    <col min="530" max="530" width="23.140625" customWidth="1"/>
    <col min="531" max="531" width="20" customWidth="1"/>
    <col min="532" max="532" width="0" hidden="1" customWidth="1"/>
    <col min="533" max="533" width="11.42578125" customWidth="1"/>
    <col min="534" max="534" width="21" customWidth="1"/>
    <col min="769" max="769" width="6.7109375" customWidth="1"/>
    <col min="770" max="770" width="20.42578125" customWidth="1"/>
    <col min="771" max="771" width="14.42578125" customWidth="1"/>
    <col min="772" max="772" width="20.7109375" customWidth="1"/>
    <col min="773" max="773" width="13.5703125" customWidth="1"/>
    <col min="774" max="774" width="18.28515625" customWidth="1"/>
    <col min="775" max="775" width="12.85546875" customWidth="1"/>
    <col min="776" max="776" width="21.42578125" customWidth="1"/>
    <col min="777" max="780" width="13.5703125" customWidth="1"/>
    <col min="781" max="781" width="15.5703125" customWidth="1"/>
    <col min="782" max="782" width="18" customWidth="1"/>
    <col min="783" max="783" width="18.28515625" customWidth="1"/>
    <col min="784" max="784" width="23.140625" customWidth="1"/>
    <col min="785" max="785" width="18.28515625" customWidth="1"/>
    <col min="786" max="786" width="23.140625" customWidth="1"/>
    <col min="787" max="787" width="20" customWidth="1"/>
    <col min="788" max="788" width="0" hidden="1" customWidth="1"/>
    <col min="789" max="789" width="11.42578125" customWidth="1"/>
    <col min="790" max="790" width="21" customWidth="1"/>
    <col min="1025" max="1025" width="6.7109375" customWidth="1"/>
    <col min="1026" max="1026" width="20.42578125" customWidth="1"/>
    <col min="1027" max="1027" width="14.42578125" customWidth="1"/>
    <col min="1028" max="1028" width="20.7109375" customWidth="1"/>
    <col min="1029" max="1029" width="13.5703125" customWidth="1"/>
    <col min="1030" max="1030" width="18.28515625" customWidth="1"/>
    <col min="1031" max="1031" width="12.85546875" customWidth="1"/>
    <col min="1032" max="1032" width="21.42578125" customWidth="1"/>
    <col min="1033" max="1036" width="13.5703125" customWidth="1"/>
    <col min="1037" max="1037" width="15.5703125" customWidth="1"/>
    <col min="1038" max="1038" width="18" customWidth="1"/>
    <col min="1039" max="1039" width="18.28515625" customWidth="1"/>
    <col min="1040" max="1040" width="23.140625" customWidth="1"/>
    <col min="1041" max="1041" width="18.28515625" customWidth="1"/>
    <col min="1042" max="1042" width="23.140625" customWidth="1"/>
    <col min="1043" max="1043" width="20" customWidth="1"/>
    <col min="1044" max="1044" width="0" hidden="1" customWidth="1"/>
    <col min="1045" max="1045" width="11.42578125" customWidth="1"/>
    <col min="1046" max="1046" width="21" customWidth="1"/>
    <col min="1281" max="1281" width="6.7109375" customWidth="1"/>
    <col min="1282" max="1282" width="20.42578125" customWidth="1"/>
    <col min="1283" max="1283" width="14.42578125" customWidth="1"/>
    <col min="1284" max="1284" width="20.7109375" customWidth="1"/>
    <col min="1285" max="1285" width="13.5703125" customWidth="1"/>
    <col min="1286" max="1286" width="18.28515625" customWidth="1"/>
    <col min="1287" max="1287" width="12.85546875" customWidth="1"/>
    <col min="1288" max="1288" width="21.42578125" customWidth="1"/>
    <col min="1289" max="1292" width="13.5703125" customWidth="1"/>
    <col min="1293" max="1293" width="15.5703125" customWidth="1"/>
    <col min="1294" max="1294" width="18" customWidth="1"/>
    <col min="1295" max="1295" width="18.28515625" customWidth="1"/>
    <col min="1296" max="1296" width="23.140625" customWidth="1"/>
    <col min="1297" max="1297" width="18.28515625" customWidth="1"/>
    <col min="1298" max="1298" width="23.140625" customWidth="1"/>
    <col min="1299" max="1299" width="20" customWidth="1"/>
    <col min="1300" max="1300" width="0" hidden="1" customWidth="1"/>
    <col min="1301" max="1301" width="11.42578125" customWidth="1"/>
    <col min="1302" max="1302" width="21" customWidth="1"/>
    <col min="1537" max="1537" width="6.7109375" customWidth="1"/>
    <col min="1538" max="1538" width="20.42578125" customWidth="1"/>
    <col min="1539" max="1539" width="14.42578125" customWidth="1"/>
    <col min="1540" max="1540" width="20.7109375" customWidth="1"/>
    <col min="1541" max="1541" width="13.5703125" customWidth="1"/>
    <col min="1542" max="1542" width="18.28515625" customWidth="1"/>
    <col min="1543" max="1543" width="12.85546875" customWidth="1"/>
    <col min="1544" max="1544" width="21.42578125" customWidth="1"/>
    <col min="1545" max="1548" width="13.5703125" customWidth="1"/>
    <col min="1549" max="1549" width="15.5703125" customWidth="1"/>
    <col min="1550" max="1550" width="18" customWidth="1"/>
    <col min="1551" max="1551" width="18.28515625" customWidth="1"/>
    <col min="1552" max="1552" width="23.140625" customWidth="1"/>
    <col min="1553" max="1553" width="18.28515625" customWidth="1"/>
    <col min="1554" max="1554" width="23.140625" customWidth="1"/>
    <col min="1555" max="1555" width="20" customWidth="1"/>
    <col min="1556" max="1556" width="0" hidden="1" customWidth="1"/>
    <col min="1557" max="1557" width="11.42578125" customWidth="1"/>
    <col min="1558" max="1558" width="21" customWidth="1"/>
    <col min="1793" max="1793" width="6.7109375" customWidth="1"/>
    <col min="1794" max="1794" width="20.42578125" customWidth="1"/>
    <col min="1795" max="1795" width="14.42578125" customWidth="1"/>
    <col min="1796" max="1796" width="20.7109375" customWidth="1"/>
    <col min="1797" max="1797" width="13.5703125" customWidth="1"/>
    <col min="1798" max="1798" width="18.28515625" customWidth="1"/>
    <col min="1799" max="1799" width="12.85546875" customWidth="1"/>
    <col min="1800" max="1800" width="21.42578125" customWidth="1"/>
    <col min="1801" max="1804" width="13.5703125" customWidth="1"/>
    <col min="1805" max="1805" width="15.5703125" customWidth="1"/>
    <col min="1806" max="1806" width="18" customWidth="1"/>
    <col min="1807" max="1807" width="18.28515625" customWidth="1"/>
    <col min="1808" max="1808" width="23.140625" customWidth="1"/>
    <col min="1809" max="1809" width="18.28515625" customWidth="1"/>
    <col min="1810" max="1810" width="23.140625" customWidth="1"/>
    <col min="1811" max="1811" width="20" customWidth="1"/>
    <col min="1812" max="1812" width="0" hidden="1" customWidth="1"/>
    <col min="1813" max="1813" width="11.42578125" customWidth="1"/>
    <col min="1814" max="1814" width="21" customWidth="1"/>
    <col min="2049" max="2049" width="6.7109375" customWidth="1"/>
    <col min="2050" max="2050" width="20.42578125" customWidth="1"/>
    <col min="2051" max="2051" width="14.42578125" customWidth="1"/>
    <col min="2052" max="2052" width="20.7109375" customWidth="1"/>
    <col min="2053" max="2053" width="13.5703125" customWidth="1"/>
    <col min="2054" max="2054" width="18.28515625" customWidth="1"/>
    <col min="2055" max="2055" width="12.85546875" customWidth="1"/>
    <col min="2056" max="2056" width="21.42578125" customWidth="1"/>
    <col min="2057" max="2060" width="13.5703125" customWidth="1"/>
    <col min="2061" max="2061" width="15.5703125" customWidth="1"/>
    <col min="2062" max="2062" width="18" customWidth="1"/>
    <col min="2063" max="2063" width="18.28515625" customWidth="1"/>
    <col min="2064" max="2064" width="23.140625" customWidth="1"/>
    <col min="2065" max="2065" width="18.28515625" customWidth="1"/>
    <col min="2066" max="2066" width="23.140625" customWidth="1"/>
    <col min="2067" max="2067" width="20" customWidth="1"/>
    <col min="2068" max="2068" width="0" hidden="1" customWidth="1"/>
    <col min="2069" max="2069" width="11.42578125" customWidth="1"/>
    <col min="2070" max="2070" width="21" customWidth="1"/>
    <col min="2305" max="2305" width="6.7109375" customWidth="1"/>
    <col min="2306" max="2306" width="20.42578125" customWidth="1"/>
    <col min="2307" max="2307" width="14.42578125" customWidth="1"/>
    <col min="2308" max="2308" width="20.7109375" customWidth="1"/>
    <col min="2309" max="2309" width="13.5703125" customWidth="1"/>
    <col min="2310" max="2310" width="18.28515625" customWidth="1"/>
    <col min="2311" max="2311" width="12.85546875" customWidth="1"/>
    <col min="2312" max="2312" width="21.42578125" customWidth="1"/>
    <col min="2313" max="2316" width="13.5703125" customWidth="1"/>
    <col min="2317" max="2317" width="15.5703125" customWidth="1"/>
    <col min="2318" max="2318" width="18" customWidth="1"/>
    <col min="2319" max="2319" width="18.28515625" customWidth="1"/>
    <col min="2320" max="2320" width="23.140625" customWidth="1"/>
    <col min="2321" max="2321" width="18.28515625" customWidth="1"/>
    <col min="2322" max="2322" width="23.140625" customWidth="1"/>
    <col min="2323" max="2323" width="20" customWidth="1"/>
    <col min="2324" max="2324" width="0" hidden="1" customWidth="1"/>
    <col min="2325" max="2325" width="11.42578125" customWidth="1"/>
    <col min="2326" max="2326" width="21" customWidth="1"/>
    <col min="2561" max="2561" width="6.7109375" customWidth="1"/>
    <col min="2562" max="2562" width="20.42578125" customWidth="1"/>
    <col min="2563" max="2563" width="14.42578125" customWidth="1"/>
    <col min="2564" max="2564" width="20.7109375" customWidth="1"/>
    <col min="2565" max="2565" width="13.5703125" customWidth="1"/>
    <col min="2566" max="2566" width="18.28515625" customWidth="1"/>
    <col min="2567" max="2567" width="12.85546875" customWidth="1"/>
    <col min="2568" max="2568" width="21.42578125" customWidth="1"/>
    <col min="2569" max="2572" width="13.5703125" customWidth="1"/>
    <col min="2573" max="2573" width="15.5703125" customWidth="1"/>
    <col min="2574" max="2574" width="18" customWidth="1"/>
    <col min="2575" max="2575" width="18.28515625" customWidth="1"/>
    <col min="2576" max="2576" width="23.140625" customWidth="1"/>
    <col min="2577" max="2577" width="18.28515625" customWidth="1"/>
    <col min="2578" max="2578" width="23.140625" customWidth="1"/>
    <col min="2579" max="2579" width="20" customWidth="1"/>
    <col min="2580" max="2580" width="0" hidden="1" customWidth="1"/>
    <col min="2581" max="2581" width="11.42578125" customWidth="1"/>
    <col min="2582" max="2582" width="21" customWidth="1"/>
    <col min="2817" max="2817" width="6.7109375" customWidth="1"/>
    <col min="2818" max="2818" width="20.42578125" customWidth="1"/>
    <col min="2819" max="2819" width="14.42578125" customWidth="1"/>
    <col min="2820" max="2820" width="20.7109375" customWidth="1"/>
    <col min="2821" max="2821" width="13.5703125" customWidth="1"/>
    <col min="2822" max="2822" width="18.28515625" customWidth="1"/>
    <col min="2823" max="2823" width="12.85546875" customWidth="1"/>
    <col min="2824" max="2824" width="21.42578125" customWidth="1"/>
    <col min="2825" max="2828" width="13.5703125" customWidth="1"/>
    <col min="2829" max="2829" width="15.5703125" customWidth="1"/>
    <col min="2830" max="2830" width="18" customWidth="1"/>
    <col min="2831" max="2831" width="18.28515625" customWidth="1"/>
    <col min="2832" max="2832" width="23.140625" customWidth="1"/>
    <col min="2833" max="2833" width="18.28515625" customWidth="1"/>
    <col min="2834" max="2834" width="23.140625" customWidth="1"/>
    <col min="2835" max="2835" width="20" customWidth="1"/>
    <col min="2836" max="2836" width="0" hidden="1" customWidth="1"/>
    <col min="2837" max="2837" width="11.42578125" customWidth="1"/>
    <col min="2838" max="2838" width="21" customWidth="1"/>
    <col min="3073" max="3073" width="6.7109375" customWidth="1"/>
    <col min="3074" max="3074" width="20.42578125" customWidth="1"/>
    <col min="3075" max="3075" width="14.42578125" customWidth="1"/>
    <col min="3076" max="3076" width="20.7109375" customWidth="1"/>
    <col min="3077" max="3077" width="13.5703125" customWidth="1"/>
    <col min="3078" max="3078" width="18.28515625" customWidth="1"/>
    <col min="3079" max="3079" width="12.85546875" customWidth="1"/>
    <col min="3080" max="3080" width="21.42578125" customWidth="1"/>
    <col min="3081" max="3084" width="13.5703125" customWidth="1"/>
    <col min="3085" max="3085" width="15.5703125" customWidth="1"/>
    <col min="3086" max="3086" width="18" customWidth="1"/>
    <col min="3087" max="3087" width="18.28515625" customWidth="1"/>
    <col min="3088" max="3088" width="23.140625" customWidth="1"/>
    <col min="3089" max="3089" width="18.28515625" customWidth="1"/>
    <col min="3090" max="3090" width="23.140625" customWidth="1"/>
    <col min="3091" max="3091" width="20" customWidth="1"/>
    <col min="3092" max="3092" width="0" hidden="1" customWidth="1"/>
    <col min="3093" max="3093" width="11.42578125" customWidth="1"/>
    <col min="3094" max="3094" width="21" customWidth="1"/>
    <col min="3329" max="3329" width="6.7109375" customWidth="1"/>
    <col min="3330" max="3330" width="20.42578125" customWidth="1"/>
    <col min="3331" max="3331" width="14.42578125" customWidth="1"/>
    <col min="3332" max="3332" width="20.7109375" customWidth="1"/>
    <col min="3333" max="3333" width="13.5703125" customWidth="1"/>
    <col min="3334" max="3334" width="18.28515625" customWidth="1"/>
    <col min="3335" max="3335" width="12.85546875" customWidth="1"/>
    <col min="3336" max="3336" width="21.42578125" customWidth="1"/>
    <col min="3337" max="3340" width="13.5703125" customWidth="1"/>
    <col min="3341" max="3341" width="15.5703125" customWidth="1"/>
    <col min="3342" max="3342" width="18" customWidth="1"/>
    <col min="3343" max="3343" width="18.28515625" customWidth="1"/>
    <col min="3344" max="3344" width="23.140625" customWidth="1"/>
    <col min="3345" max="3345" width="18.28515625" customWidth="1"/>
    <col min="3346" max="3346" width="23.140625" customWidth="1"/>
    <col min="3347" max="3347" width="20" customWidth="1"/>
    <col min="3348" max="3348" width="0" hidden="1" customWidth="1"/>
    <col min="3349" max="3349" width="11.42578125" customWidth="1"/>
    <col min="3350" max="3350" width="21" customWidth="1"/>
    <col min="3585" max="3585" width="6.7109375" customWidth="1"/>
    <col min="3586" max="3586" width="20.42578125" customWidth="1"/>
    <col min="3587" max="3587" width="14.42578125" customWidth="1"/>
    <col min="3588" max="3588" width="20.7109375" customWidth="1"/>
    <col min="3589" max="3589" width="13.5703125" customWidth="1"/>
    <col min="3590" max="3590" width="18.28515625" customWidth="1"/>
    <col min="3591" max="3591" width="12.85546875" customWidth="1"/>
    <col min="3592" max="3592" width="21.42578125" customWidth="1"/>
    <col min="3593" max="3596" width="13.5703125" customWidth="1"/>
    <col min="3597" max="3597" width="15.5703125" customWidth="1"/>
    <col min="3598" max="3598" width="18" customWidth="1"/>
    <col min="3599" max="3599" width="18.28515625" customWidth="1"/>
    <col min="3600" max="3600" width="23.140625" customWidth="1"/>
    <col min="3601" max="3601" width="18.28515625" customWidth="1"/>
    <col min="3602" max="3602" width="23.140625" customWidth="1"/>
    <col min="3603" max="3603" width="20" customWidth="1"/>
    <col min="3604" max="3604" width="0" hidden="1" customWidth="1"/>
    <col min="3605" max="3605" width="11.42578125" customWidth="1"/>
    <col min="3606" max="3606" width="21" customWidth="1"/>
    <col min="3841" max="3841" width="6.7109375" customWidth="1"/>
    <col min="3842" max="3842" width="20.42578125" customWidth="1"/>
    <col min="3843" max="3843" width="14.42578125" customWidth="1"/>
    <col min="3844" max="3844" width="20.7109375" customWidth="1"/>
    <col min="3845" max="3845" width="13.5703125" customWidth="1"/>
    <col min="3846" max="3846" width="18.28515625" customWidth="1"/>
    <col min="3847" max="3847" width="12.85546875" customWidth="1"/>
    <col min="3848" max="3848" width="21.42578125" customWidth="1"/>
    <col min="3849" max="3852" width="13.5703125" customWidth="1"/>
    <col min="3853" max="3853" width="15.5703125" customWidth="1"/>
    <col min="3854" max="3854" width="18" customWidth="1"/>
    <col min="3855" max="3855" width="18.28515625" customWidth="1"/>
    <col min="3856" max="3856" width="23.140625" customWidth="1"/>
    <col min="3857" max="3857" width="18.28515625" customWidth="1"/>
    <col min="3858" max="3858" width="23.140625" customWidth="1"/>
    <col min="3859" max="3859" width="20" customWidth="1"/>
    <col min="3860" max="3860" width="0" hidden="1" customWidth="1"/>
    <col min="3861" max="3861" width="11.42578125" customWidth="1"/>
    <col min="3862" max="3862" width="21" customWidth="1"/>
    <col min="4097" max="4097" width="6.7109375" customWidth="1"/>
    <col min="4098" max="4098" width="20.42578125" customWidth="1"/>
    <col min="4099" max="4099" width="14.42578125" customWidth="1"/>
    <col min="4100" max="4100" width="20.7109375" customWidth="1"/>
    <col min="4101" max="4101" width="13.5703125" customWidth="1"/>
    <col min="4102" max="4102" width="18.28515625" customWidth="1"/>
    <col min="4103" max="4103" width="12.85546875" customWidth="1"/>
    <col min="4104" max="4104" width="21.42578125" customWidth="1"/>
    <col min="4105" max="4108" width="13.5703125" customWidth="1"/>
    <col min="4109" max="4109" width="15.5703125" customWidth="1"/>
    <col min="4110" max="4110" width="18" customWidth="1"/>
    <col min="4111" max="4111" width="18.28515625" customWidth="1"/>
    <col min="4112" max="4112" width="23.140625" customWidth="1"/>
    <col min="4113" max="4113" width="18.28515625" customWidth="1"/>
    <col min="4114" max="4114" width="23.140625" customWidth="1"/>
    <col min="4115" max="4115" width="20" customWidth="1"/>
    <col min="4116" max="4116" width="0" hidden="1" customWidth="1"/>
    <col min="4117" max="4117" width="11.42578125" customWidth="1"/>
    <col min="4118" max="4118" width="21" customWidth="1"/>
    <col min="4353" max="4353" width="6.7109375" customWidth="1"/>
    <col min="4354" max="4354" width="20.42578125" customWidth="1"/>
    <col min="4355" max="4355" width="14.42578125" customWidth="1"/>
    <col min="4356" max="4356" width="20.7109375" customWidth="1"/>
    <col min="4357" max="4357" width="13.5703125" customWidth="1"/>
    <col min="4358" max="4358" width="18.28515625" customWidth="1"/>
    <col min="4359" max="4359" width="12.85546875" customWidth="1"/>
    <col min="4360" max="4360" width="21.42578125" customWidth="1"/>
    <col min="4361" max="4364" width="13.5703125" customWidth="1"/>
    <col min="4365" max="4365" width="15.5703125" customWidth="1"/>
    <col min="4366" max="4366" width="18" customWidth="1"/>
    <col min="4367" max="4367" width="18.28515625" customWidth="1"/>
    <col min="4368" max="4368" width="23.140625" customWidth="1"/>
    <col min="4369" max="4369" width="18.28515625" customWidth="1"/>
    <col min="4370" max="4370" width="23.140625" customWidth="1"/>
    <col min="4371" max="4371" width="20" customWidth="1"/>
    <col min="4372" max="4372" width="0" hidden="1" customWidth="1"/>
    <col min="4373" max="4373" width="11.42578125" customWidth="1"/>
    <col min="4374" max="4374" width="21" customWidth="1"/>
    <col min="4609" max="4609" width="6.7109375" customWidth="1"/>
    <col min="4610" max="4610" width="20.42578125" customWidth="1"/>
    <col min="4611" max="4611" width="14.42578125" customWidth="1"/>
    <col min="4612" max="4612" width="20.7109375" customWidth="1"/>
    <col min="4613" max="4613" width="13.5703125" customWidth="1"/>
    <col min="4614" max="4614" width="18.28515625" customWidth="1"/>
    <col min="4615" max="4615" width="12.85546875" customWidth="1"/>
    <col min="4616" max="4616" width="21.42578125" customWidth="1"/>
    <col min="4617" max="4620" width="13.5703125" customWidth="1"/>
    <col min="4621" max="4621" width="15.5703125" customWidth="1"/>
    <col min="4622" max="4622" width="18" customWidth="1"/>
    <col min="4623" max="4623" width="18.28515625" customWidth="1"/>
    <col min="4624" max="4624" width="23.140625" customWidth="1"/>
    <col min="4625" max="4625" width="18.28515625" customWidth="1"/>
    <col min="4626" max="4626" width="23.140625" customWidth="1"/>
    <col min="4627" max="4627" width="20" customWidth="1"/>
    <col min="4628" max="4628" width="0" hidden="1" customWidth="1"/>
    <col min="4629" max="4629" width="11.42578125" customWidth="1"/>
    <col min="4630" max="4630" width="21" customWidth="1"/>
    <col min="4865" max="4865" width="6.7109375" customWidth="1"/>
    <col min="4866" max="4866" width="20.42578125" customWidth="1"/>
    <col min="4867" max="4867" width="14.42578125" customWidth="1"/>
    <col min="4868" max="4868" width="20.7109375" customWidth="1"/>
    <col min="4869" max="4869" width="13.5703125" customWidth="1"/>
    <col min="4870" max="4870" width="18.28515625" customWidth="1"/>
    <col min="4871" max="4871" width="12.85546875" customWidth="1"/>
    <col min="4872" max="4872" width="21.42578125" customWidth="1"/>
    <col min="4873" max="4876" width="13.5703125" customWidth="1"/>
    <col min="4877" max="4877" width="15.5703125" customWidth="1"/>
    <col min="4878" max="4878" width="18" customWidth="1"/>
    <col min="4879" max="4879" width="18.28515625" customWidth="1"/>
    <col min="4880" max="4880" width="23.140625" customWidth="1"/>
    <col min="4881" max="4881" width="18.28515625" customWidth="1"/>
    <col min="4882" max="4882" width="23.140625" customWidth="1"/>
    <col min="4883" max="4883" width="20" customWidth="1"/>
    <col min="4884" max="4884" width="0" hidden="1" customWidth="1"/>
    <col min="4885" max="4885" width="11.42578125" customWidth="1"/>
    <col min="4886" max="4886" width="21" customWidth="1"/>
    <col min="5121" max="5121" width="6.7109375" customWidth="1"/>
    <col min="5122" max="5122" width="20.42578125" customWidth="1"/>
    <col min="5123" max="5123" width="14.42578125" customWidth="1"/>
    <col min="5124" max="5124" width="20.7109375" customWidth="1"/>
    <col min="5125" max="5125" width="13.5703125" customWidth="1"/>
    <col min="5126" max="5126" width="18.28515625" customWidth="1"/>
    <col min="5127" max="5127" width="12.85546875" customWidth="1"/>
    <col min="5128" max="5128" width="21.42578125" customWidth="1"/>
    <col min="5129" max="5132" width="13.5703125" customWidth="1"/>
    <col min="5133" max="5133" width="15.5703125" customWidth="1"/>
    <col min="5134" max="5134" width="18" customWidth="1"/>
    <col min="5135" max="5135" width="18.28515625" customWidth="1"/>
    <col min="5136" max="5136" width="23.140625" customWidth="1"/>
    <col min="5137" max="5137" width="18.28515625" customWidth="1"/>
    <col min="5138" max="5138" width="23.140625" customWidth="1"/>
    <col min="5139" max="5139" width="20" customWidth="1"/>
    <col min="5140" max="5140" width="0" hidden="1" customWidth="1"/>
    <col min="5141" max="5141" width="11.42578125" customWidth="1"/>
    <col min="5142" max="5142" width="21" customWidth="1"/>
    <col min="5377" max="5377" width="6.7109375" customWidth="1"/>
    <col min="5378" max="5378" width="20.42578125" customWidth="1"/>
    <col min="5379" max="5379" width="14.42578125" customWidth="1"/>
    <col min="5380" max="5380" width="20.7109375" customWidth="1"/>
    <col min="5381" max="5381" width="13.5703125" customWidth="1"/>
    <col min="5382" max="5382" width="18.28515625" customWidth="1"/>
    <col min="5383" max="5383" width="12.85546875" customWidth="1"/>
    <col min="5384" max="5384" width="21.42578125" customWidth="1"/>
    <col min="5385" max="5388" width="13.5703125" customWidth="1"/>
    <col min="5389" max="5389" width="15.5703125" customWidth="1"/>
    <col min="5390" max="5390" width="18" customWidth="1"/>
    <col min="5391" max="5391" width="18.28515625" customWidth="1"/>
    <col min="5392" max="5392" width="23.140625" customWidth="1"/>
    <col min="5393" max="5393" width="18.28515625" customWidth="1"/>
    <col min="5394" max="5394" width="23.140625" customWidth="1"/>
    <col min="5395" max="5395" width="20" customWidth="1"/>
    <col min="5396" max="5396" width="0" hidden="1" customWidth="1"/>
    <col min="5397" max="5397" width="11.42578125" customWidth="1"/>
    <col min="5398" max="5398" width="21" customWidth="1"/>
    <col min="5633" max="5633" width="6.7109375" customWidth="1"/>
    <col min="5634" max="5634" width="20.42578125" customWidth="1"/>
    <col min="5635" max="5635" width="14.42578125" customWidth="1"/>
    <col min="5636" max="5636" width="20.7109375" customWidth="1"/>
    <col min="5637" max="5637" width="13.5703125" customWidth="1"/>
    <col min="5638" max="5638" width="18.28515625" customWidth="1"/>
    <col min="5639" max="5639" width="12.85546875" customWidth="1"/>
    <col min="5640" max="5640" width="21.42578125" customWidth="1"/>
    <col min="5641" max="5644" width="13.5703125" customWidth="1"/>
    <col min="5645" max="5645" width="15.5703125" customWidth="1"/>
    <col min="5646" max="5646" width="18" customWidth="1"/>
    <col min="5647" max="5647" width="18.28515625" customWidth="1"/>
    <col min="5648" max="5648" width="23.140625" customWidth="1"/>
    <col min="5649" max="5649" width="18.28515625" customWidth="1"/>
    <col min="5650" max="5650" width="23.140625" customWidth="1"/>
    <col min="5651" max="5651" width="20" customWidth="1"/>
    <col min="5652" max="5652" width="0" hidden="1" customWidth="1"/>
    <col min="5653" max="5653" width="11.42578125" customWidth="1"/>
    <col min="5654" max="5654" width="21" customWidth="1"/>
    <col min="5889" max="5889" width="6.7109375" customWidth="1"/>
    <col min="5890" max="5890" width="20.42578125" customWidth="1"/>
    <col min="5891" max="5891" width="14.42578125" customWidth="1"/>
    <col min="5892" max="5892" width="20.7109375" customWidth="1"/>
    <col min="5893" max="5893" width="13.5703125" customWidth="1"/>
    <col min="5894" max="5894" width="18.28515625" customWidth="1"/>
    <col min="5895" max="5895" width="12.85546875" customWidth="1"/>
    <col min="5896" max="5896" width="21.42578125" customWidth="1"/>
    <col min="5897" max="5900" width="13.5703125" customWidth="1"/>
    <col min="5901" max="5901" width="15.5703125" customWidth="1"/>
    <col min="5902" max="5902" width="18" customWidth="1"/>
    <col min="5903" max="5903" width="18.28515625" customWidth="1"/>
    <col min="5904" max="5904" width="23.140625" customWidth="1"/>
    <col min="5905" max="5905" width="18.28515625" customWidth="1"/>
    <col min="5906" max="5906" width="23.140625" customWidth="1"/>
    <col min="5907" max="5907" width="20" customWidth="1"/>
    <col min="5908" max="5908" width="0" hidden="1" customWidth="1"/>
    <col min="5909" max="5909" width="11.42578125" customWidth="1"/>
    <col min="5910" max="5910" width="21" customWidth="1"/>
    <col min="6145" max="6145" width="6.7109375" customWidth="1"/>
    <col min="6146" max="6146" width="20.42578125" customWidth="1"/>
    <col min="6147" max="6147" width="14.42578125" customWidth="1"/>
    <col min="6148" max="6148" width="20.7109375" customWidth="1"/>
    <col min="6149" max="6149" width="13.5703125" customWidth="1"/>
    <col min="6150" max="6150" width="18.28515625" customWidth="1"/>
    <col min="6151" max="6151" width="12.85546875" customWidth="1"/>
    <col min="6152" max="6152" width="21.42578125" customWidth="1"/>
    <col min="6153" max="6156" width="13.5703125" customWidth="1"/>
    <col min="6157" max="6157" width="15.5703125" customWidth="1"/>
    <col min="6158" max="6158" width="18" customWidth="1"/>
    <col min="6159" max="6159" width="18.28515625" customWidth="1"/>
    <col min="6160" max="6160" width="23.140625" customWidth="1"/>
    <col min="6161" max="6161" width="18.28515625" customWidth="1"/>
    <col min="6162" max="6162" width="23.140625" customWidth="1"/>
    <col min="6163" max="6163" width="20" customWidth="1"/>
    <col min="6164" max="6164" width="0" hidden="1" customWidth="1"/>
    <col min="6165" max="6165" width="11.42578125" customWidth="1"/>
    <col min="6166" max="6166" width="21" customWidth="1"/>
    <col min="6401" max="6401" width="6.7109375" customWidth="1"/>
    <col min="6402" max="6402" width="20.42578125" customWidth="1"/>
    <col min="6403" max="6403" width="14.42578125" customWidth="1"/>
    <col min="6404" max="6404" width="20.7109375" customWidth="1"/>
    <col min="6405" max="6405" width="13.5703125" customWidth="1"/>
    <col min="6406" max="6406" width="18.28515625" customWidth="1"/>
    <col min="6407" max="6407" width="12.85546875" customWidth="1"/>
    <col min="6408" max="6408" width="21.42578125" customWidth="1"/>
    <col min="6409" max="6412" width="13.5703125" customWidth="1"/>
    <col min="6413" max="6413" width="15.5703125" customWidth="1"/>
    <col min="6414" max="6414" width="18" customWidth="1"/>
    <col min="6415" max="6415" width="18.28515625" customWidth="1"/>
    <col min="6416" max="6416" width="23.140625" customWidth="1"/>
    <col min="6417" max="6417" width="18.28515625" customWidth="1"/>
    <col min="6418" max="6418" width="23.140625" customWidth="1"/>
    <col min="6419" max="6419" width="20" customWidth="1"/>
    <col min="6420" max="6420" width="0" hidden="1" customWidth="1"/>
    <col min="6421" max="6421" width="11.42578125" customWidth="1"/>
    <col min="6422" max="6422" width="21" customWidth="1"/>
    <col min="6657" max="6657" width="6.7109375" customWidth="1"/>
    <col min="6658" max="6658" width="20.42578125" customWidth="1"/>
    <col min="6659" max="6659" width="14.42578125" customWidth="1"/>
    <col min="6660" max="6660" width="20.7109375" customWidth="1"/>
    <col min="6661" max="6661" width="13.5703125" customWidth="1"/>
    <col min="6662" max="6662" width="18.28515625" customWidth="1"/>
    <col min="6663" max="6663" width="12.85546875" customWidth="1"/>
    <col min="6664" max="6664" width="21.42578125" customWidth="1"/>
    <col min="6665" max="6668" width="13.5703125" customWidth="1"/>
    <col min="6669" max="6669" width="15.5703125" customWidth="1"/>
    <col min="6670" max="6670" width="18" customWidth="1"/>
    <col min="6671" max="6671" width="18.28515625" customWidth="1"/>
    <col min="6672" max="6672" width="23.140625" customWidth="1"/>
    <col min="6673" max="6673" width="18.28515625" customWidth="1"/>
    <col min="6674" max="6674" width="23.140625" customWidth="1"/>
    <col min="6675" max="6675" width="20" customWidth="1"/>
    <col min="6676" max="6676" width="0" hidden="1" customWidth="1"/>
    <col min="6677" max="6677" width="11.42578125" customWidth="1"/>
    <col min="6678" max="6678" width="21" customWidth="1"/>
    <col min="6913" max="6913" width="6.7109375" customWidth="1"/>
    <col min="6914" max="6914" width="20.42578125" customWidth="1"/>
    <col min="6915" max="6915" width="14.42578125" customWidth="1"/>
    <col min="6916" max="6916" width="20.7109375" customWidth="1"/>
    <col min="6917" max="6917" width="13.5703125" customWidth="1"/>
    <col min="6918" max="6918" width="18.28515625" customWidth="1"/>
    <col min="6919" max="6919" width="12.85546875" customWidth="1"/>
    <col min="6920" max="6920" width="21.42578125" customWidth="1"/>
    <col min="6921" max="6924" width="13.5703125" customWidth="1"/>
    <col min="6925" max="6925" width="15.5703125" customWidth="1"/>
    <col min="6926" max="6926" width="18" customWidth="1"/>
    <col min="6927" max="6927" width="18.28515625" customWidth="1"/>
    <col min="6928" max="6928" width="23.140625" customWidth="1"/>
    <col min="6929" max="6929" width="18.28515625" customWidth="1"/>
    <col min="6930" max="6930" width="23.140625" customWidth="1"/>
    <col min="6931" max="6931" width="20" customWidth="1"/>
    <col min="6932" max="6932" width="0" hidden="1" customWidth="1"/>
    <col min="6933" max="6933" width="11.42578125" customWidth="1"/>
    <col min="6934" max="6934" width="21" customWidth="1"/>
    <col min="7169" max="7169" width="6.7109375" customWidth="1"/>
    <col min="7170" max="7170" width="20.42578125" customWidth="1"/>
    <col min="7171" max="7171" width="14.42578125" customWidth="1"/>
    <col min="7172" max="7172" width="20.7109375" customWidth="1"/>
    <col min="7173" max="7173" width="13.5703125" customWidth="1"/>
    <col min="7174" max="7174" width="18.28515625" customWidth="1"/>
    <col min="7175" max="7175" width="12.85546875" customWidth="1"/>
    <col min="7176" max="7176" width="21.42578125" customWidth="1"/>
    <col min="7177" max="7180" width="13.5703125" customWidth="1"/>
    <col min="7181" max="7181" width="15.5703125" customWidth="1"/>
    <col min="7182" max="7182" width="18" customWidth="1"/>
    <col min="7183" max="7183" width="18.28515625" customWidth="1"/>
    <col min="7184" max="7184" width="23.140625" customWidth="1"/>
    <col min="7185" max="7185" width="18.28515625" customWidth="1"/>
    <col min="7186" max="7186" width="23.140625" customWidth="1"/>
    <col min="7187" max="7187" width="20" customWidth="1"/>
    <col min="7188" max="7188" width="0" hidden="1" customWidth="1"/>
    <col min="7189" max="7189" width="11.42578125" customWidth="1"/>
    <col min="7190" max="7190" width="21" customWidth="1"/>
    <col min="7425" max="7425" width="6.7109375" customWidth="1"/>
    <col min="7426" max="7426" width="20.42578125" customWidth="1"/>
    <col min="7427" max="7427" width="14.42578125" customWidth="1"/>
    <col min="7428" max="7428" width="20.7109375" customWidth="1"/>
    <col min="7429" max="7429" width="13.5703125" customWidth="1"/>
    <col min="7430" max="7430" width="18.28515625" customWidth="1"/>
    <col min="7431" max="7431" width="12.85546875" customWidth="1"/>
    <col min="7432" max="7432" width="21.42578125" customWidth="1"/>
    <col min="7433" max="7436" width="13.5703125" customWidth="1"/>
    <col min="7437" max="7437" width="15.5703125" customWidth="1"/>
    <col min="7438" max="7438" width="18" customWidth="1"/>
    <col min="7439" max="7439" width="18.28515625" customWidth="1"/>
    <col min="7440" max="7440" width="23.140625" customWidth="1"/>
    <col min="7441" max="7441" width="18.28515625" customWidth="1"/>
    <col min="7442" max="7442" width="23.140625" customWidth="1"/>
    <col min="7443" max="7443" width="20" customWidth="1"/>
    <col min="7444" max="7444" width="0" hidden="1" customWidth="1"/>
    <col min="7445" max="7445" width="11.42578125" customWidth="1"/>
    <col min="7446" max="7446" width="21" customWidth="1"/>
    <col min="7681" max="7681" width="6.7109375" customWidth="1"/>
    <col min="7682" max="7682" width="20.42578125" customWidth="1"/>
    <col min="7683" max="7683" width="14.42578125" customWidth="1"/>
    <col min="7684" max="7684" width="20.7109375" customWidth="1"/>
    <col min="7685" max="7685" width="13.5703125" customWidth="1"/>
    <col min="7686" max="7686" width="18.28515625" customWidth="1"/>
    <col min="7687" max="7687" width="12.85546875" customWidth="1"/>
    <col min="7688" max="7688" width="21.42578125" customWidth="1"/>
    <col min="7689" max="7692" width="13.5703125" customWidth="1"/>
    <col min="7693" max="7693" width="15.5703125" customWidth="1"/>
    <col min="7694" max="7694" width="18" customWidth="1"/>
    <col min="7695" max="7695" width="18.28515625" customWidth="1"/>
    <col min="7696" max="7696" width="23.140625" customWidth="1"/>
    <col min="7697" max="7697" width="18.28515625" customWidth="1"/>
    <col min="7698" max="7698" width="23.140625" customWidth="1"/>
    <col min="7699" max="7699" width="20" customWidth="1"/>
    <col min="7700" max="7700" width="0" hidden="1" customWidth="1"/>
    <col min="7701" max="7701" width="11.42578125" customWidth="1"/>
    <col min="7702" max="7702" width="21" customWidth="1"/>
    <col min="7937" max="7937" width="6.7109375" customWidth="1"/>
    <col min="7938" max="7938" width="20.42578125" customWidth="1"/>
    <col min="7939" max="7939" width="14.42578125" customWidth="1"/>
    <col min="7940" max="7940" width="20.7109375" customWidth="1"/>
    <col min="7941" max="7941" width="13.5703125" customWidth="1"/>
    <col min="7942" max="7942" width="18.28515625" customWidth="1"/>
    <col min="7943" max="7943" width="12.85546875" customWidth="1"/>
    <col min="7944" max="7944" width="21.42578125" customWidth="1"/>
    <col min="7945" max="7948" width="13.5703125" customWidth="1"/>
    <col min="7949" max="7949" width="15.5703125" customWidth="1"/>
    <col min="7950" max="7950" width="18" customWidth="1"/>
    <col min="7951" max="7951" width="18.28515625" customWidth="1"/>
    <col min="7952" max="7952" width="23.140625" customWidth="1"/>
    <col min="7953" max="7953" width="18.28515625" customWidth="1"/>
    <col min="7954" max="7954" width="23.140625" customWidth="1"/>
    <col min="7955" max="7955" width="20" customWidth="1"/>
    <col min="7956" max="7956" width="0" hidden="1" customWidth="1"/>
    <col min="7957" max="7957" width="11.42578125" customWidth="1"/>
    <col min="7958" max="7958" width="21" customWidth="1"/>
    <col min="8193" max="8193" width="6.7109375" customWidth="1"/>
    <col min="8194" max="8194" width="20.42578125" customWidth="1"/>
    <col min="8195" max="8195" width="14.42578125" customWidth="1"/>
    <col min="8196" max="8196" width="20.7109375" customWidth="1"/>
    <col min="8197" max="8197" width="13.5703125" customWidth="1"/>
    <col min="8198" max="8198" width="18.28515625" customWidth="1"/>
    <col min="8199" max="8199" width="12.85546875" customWidth="1"/>
    <col min="8200" max="8200" width="21.42578125" customWidth="1"/>
    <col min="8201" max="8204" width="13.5703125" customWidth="1"/>
    <col min="8205" max="8205" width="15.5703125" customWidth="1"/>
    <col min="8206" max="8206" width="18" customWidth="1"/>
    <col min="8207" max="8207" width="18.28515625" customWidth="1"/>
    <col min="8208" max="8208" width="23.140625" customWidth="1"/>
    <col min="8209" max="8209" width="18.28515625" customWidth="1"/>
    <col min="8210" max="8210" width="23.140625" customWidth="1"/>
    <col min="8211" max="8211" width="20" customWidth="1"/>
    <col min="8212" max="8212" width="0" hidden="1" customWidth="1"/>
    <col min="8213" max="8213" width="11.42578125" customWidth="1"/>
    <col min="8214" max="8214" width="21" customWidth="1"/>
    <col min="8449" max="8449" width="6.7109375" customWidth="1"/>
    <col min="8450" max="8450" width="20.42578125" customWidth="1"/>
    <col min="8451" max="8451" width="14.42578125" customWidth="1"/>
    <col min="8452" max="8452" width="20.7109375" customWidth="1"/>
    <col min="8453" max="8453" width="13.5703125" customWidth="1"/>
    <col min="8454" max="8454" width="18.28515625" customWidth="1"/>
    <col min="8455" max="8455" width="12.85546875" customWidth="1"/>
    <col min="8456" max="8456" width="21.42578125" customWidth="1"/>
    <col min="8457" max="8460" width="13.5703125" customWidth="1"/>
    <col min="8461" max="8461" width="15.5703125" customWidth="1"/>
    <col min="8462" max="8462" width="18" customWidth="1"/>
    <col min="8463" max="8463" width="18.28515625" customWidth="1"/>
    <col min="8464" max="8464" width="23.140625" customWidth="1"/>
    <col min="8465" max="8465" width="18.28515625" customWidth="1"/>
    <col min="8466" max="8466" width="23.140625" customWidth="1"/>
    <col min="8467" max="8467" width="20" customWidth="1"/>
    <col min="8468" max="8468" width="0" hidden="1" customWidth="1"/>
    <col min="8469" max="8469" width="11.42578125" customWidth="1"/>
    <col min="8470" max="8470" width="21" customWidth="1"/>
    <col min="8705" max="8705" width="6.7109375" customWidth="1"/>
    <col min="8706" max="8706" width="20.42578125" customWidth="1"/>
    <col min="8707" max="8707" width="14.42578125" customWidth="1"/>
    <col min="8708" max="8708" width="20.7109375" customWidth="1"/>
    <col min="8709" max="8709" width="13.5703125" customWidth="1"/>
    <col min="8710" max="8710" width="18.28515625" customWidth="1"/>
    <col min="8711" max="8711" width="12.85546875" customWidth="1"/>
    <col min="8712" max="8712" width="21.42578125" customWidth="1"/>
    <col min="8713" max="8716" width="13.5703125" customWidth="1"/>
    <col min="8717" max="8717" width="15.5703125" customWidth="1"/>
    <col min="8718" max="8718" width="18" customWidth="1"/>
    <col min="8719" max="8719" width="18.28515625" customWidth="1"/>
    <col min="8720" max="8720" width="23.140625" customWidth="1"/>
    <col min="8721" max="8721" width="18.28515625" customWidth="1"/>
    <col min="8722" max="8722" width="23.140625" customWidth="1"/>
    <col min="8723" max="8723" width="20" customWidth="1"/>
    <col min="8724" max="8724" width="0" hidden="1" customWidth="1"/>
    <col min="8725" max="8725" width="11.42578125" customWidth="1"/>
    <col min="8726" max="8726" width="21" customWidth="1"/>
    <col min="8961" max="8961" width="6.7109375" customWidth="1"/>
    <col min="8962" max="8962" width="20.42578125" customWidth="1"/>
    <col min="8963" max="8963" width="14.42578125" customWidth="1"/>
    <col min="8964" max="8964" width="20.7109375" customWidth="1"/>
    <col min="8965" max="8965" width="13.5703125" customWidth="1"/>
    <col min="8966" max="8966" width="18.28515625" customWidth="1"/>
    <col min="8967" max="8967" width="12.85546875" customWidth="1"/>
    <col min="8968" max="8968" width="21.42578125" customWidth="1"/>
    <col min="8969" max="8972" width="13.5703125" customWidth="1"/>
    <col min="8973" max="8973" width="15.5703125" customWidth="1"/>
    <col min="8974" max="8974" width="18" customWidth="1"/>
    <col min="8975" max="8975" width="18.28515625" customWidth="1"/>
    <col min="8976" max="8976" width="23.140625" customWidth="1"/>
    <col min="8977" max="8977" width="18.28515625" customWidth="1"/>
    <col min="8978" max="8978" width="23.140625" customWidth="1"/>
    <col min="8979" max="8979" width="20" customWidth="1"/>
    <col min="8980" max="8980" width="0" hidden="1" customWidth="1"/>
    <col min="8981" max="8981" width="11.42578125" customWidth="1"/>
    <col min="8982" max="8982" width="21" customWidth="1"/>
    <col min="9217" max="9217" width="6.7109375" customWidth="1"/>
    <col min="9218" max="9218" width="20.42578125" customWidth="1"/>
    <col min="9219" max="9219" width="14.42578125" customWidth="1"/>
    <col min="9220" max="9220" width="20.7109375" customWidth="1"/>
    <col min="9221" max="9221" width="13.5703125" customWidth="1"/>
    <col min="9222" max="9222" width="18.28515625" customWidth="1"/>
    <col min="9223" max="9223" width="12.85546875" customWidth="1"/>
    <col min="9224" max="9224" width="21.42578125" customWidth="1"/>
    <col min="9225" max="9228" width="13.5703125" customWidth="1"/>
    <col min="9229" max="9229" width="15.5703125" customWidth="1"/>
    <col min="9230" max="9230" width="18" customWidth="1"/>
    <col min="9231" max="9231" width="18.28515625" customWidth="1"/>
    <col min="9232" max="9232" width="23.140625" customWidth="1"/>
    <col min="9233" max="9233" width="18.28515625" customWidth="1"/>
    <col min="9234" max="9234" width="23.140625" customWidth="1"/>
    <col min="9235" max="9235" width="20" customWidth="1"/>
    <col min="9236" max="9236" width="0" hidden="1" customWidth="1"/>
    <col min="9237" max="9237" width="11.42578125" customWidth="1"/>
    <col min="9238" max="9238" width="21" customWidth="1"/>
    <col min="9473" max="9473" width="6.7109375" customWidth="1"/>
    <col min="9474" max="9474" width="20.42578125" customWidth="1"/>
    <col min="9475" max="9475" width="14.42578125" customWidth="1"/>
    <col min="9476" max="9476" width="20.7109375" customWidth="1"/>
    <col min="9477" max="9477" width="13.5703125" customWidth="1"/>
    <col min="9478" max="9478" width="18.28515625" customWidth="1"/>
    <col min="9479" max="9479" width="12.85546875" customWidth="1"/>
    <col min="9480" max="9480" width="21.42578125" customWidth="1"/>
    <col min="9481" max="9484" width="13.5703125" customWidth="1"/>
    <col min="9485" max="9485" width="15.5703125" customWidth="1"/>
    <col min="9486" max="9486" width="18" customWidth="1"/>
    <col min="9487" max="9487" width="18.28515625" customWidth="1"/>
    <col min="9488" max="9488" width="23.140625" customWidth="1"/>
    <col min="9489" max="9489" width="18.28515625" customWidth="1"/>
    <col min="9490" max="9490" width="23.140625" customWidth="1"/>
    <col min="9491" max="9491" width="20" customWidth="1"/>
    <col min="9492" max="9492" width="0" hidden="1" customWidth="1"/>
    <col min="9493" max="9493" width="11.42578125" customWidth="1"/>
    <col min="9494" max="9494" width="21" customWidth="1"/>
    <col min="9729" max="9729" width="6.7109375" customWidth="1"/>
    <col min="9730" max="9730" width="20.42578125" customWidth="1"/>
    <col min="9731" max="9731" width="14.42578125" customWidth="1"/>
    <col min="9732" max="9732" width="20.7109375" customWidth="1"/>
    <col min="9733" max="9733" width="13.5703125" customWidth="1"/>
    <col min="9734" max="9734" width="18.28515625" customWidth="1"/>
    <col min="9735" max="9735" width="12.85546875" customWidth="1"/>
    <col min="9736" max="9736" width="21.42578125" customWidth="1"/>
    <col min="9737" max="9740" width="13.5703125" customWidth="1"/>
    <col min="9741" max="9741" width="15.5703125" customWidth="1"/>
    <col min="9742" max="9742" width="18" customWidth="1"/>
    <col min="9743" max="9743" width="18.28515625" customWidth="1"/>
    <col min="9744" max="9744" width="23.140625" customWidth="1"/>
    <col min="9745" max="9745" width="18.28515625" customWidth="1"/>
    <col min="9746" max="9746" width="23.140625" customWidth="1"/>
    <col min="9747" max="9747" width="20" customWidth="1"/>
    <col min="9748" max="9748" width="0" hidden="1" customWidth="1"/>
    <col min="9749" max="9749" width="11.42578125" customWidth="1"/>
    <col min="9750" max="9750" width="21" customWidth="1"/>
    <col min="9985" max="9985" width="6.7109375" customWidth="1"/>
    <col min="9986" max="9986" width="20.42578125" customWidth="1"/>
    <col min="9987" max="9987" width="14.42578125" customWidth="1"/>
    <col min="9988" max="9988" width="20.7109375" customWidth="1"/>
    <col min="9989" max="9989" width="13.5703125" customWidth="1"/>
    <col min="9990" max="9990" width="18.28515625" customWidth="1"/>
    <col min="9991" max="9991" width="12.85546875" customWidth="1"/>
    <col min="9992" max="9992" width="21.42578125" customWidth="1"/>
    <col min="9993" max="9996" width="13.5703125" customWidth="1"/>
    <col min="9997" max="9997" width="15.5703125" customWidth="1"/>
    <col min="9998" max="9998" width="18" customWidth="1"/>
    <col min="9999" max="9999" width="18.28515625" customWidth="1"/>
    <col min="10000" max="10000" width="23.140625" customWidth="1"/>
    <col min="10001" max="10001" width="18.28515625" customWidth="1"/>
    <col min="10002" max="10002" width="23.140625" customWidth="1"/>
    <col min="10003" max="10003" width="20" customWidth="1"/>
    <col min="10004" max="10004" width="0" hidden="1" customWidth="1"/>
    <col min="10005" max="10005" width="11.42578125" customWidth="1"/>
    <col min="10006" max="10006" width="21" customWidth="1"/>
    <col min="10241" max="10241" width="6.7109375" customWidth="1"/>
    <col min="10242" max="10242" width="20.42578125" customWidth="1"/>
    <col min="10243" max="10243" width="14.42578125" customWidth="1"/>
    <col min="10244" max="10244" width="20.7109375" customWidth="1"/>
    <col min="10245" max="10245" width="13.5703125" customWidth="1"/>
    <col min="10246" max="10246" width="18.28515625" customWidth="1"/>
    <col min="10247" max="10247" width="12.85546875" customWidth="1"/>
    <col min="10248" max="10248" width="21.42578125" customWidth="1"/>
    <col min="10249" max="10252" width="13.5703125" customWidth="1"/>
    <col min="10253" max="10253" width="15.5703125" customWidth="1"/>
    <col min="10254" max="10254" width="18" customWidth="1"/>
    <col min="10255" max="10255" width="18.28515625" customWidth="1"/>
    <col min="10256" max="10256" width="23.140625" customWidth="1"/>
    <col min="10257" max="10257" width="18.28515625" customWidth="1"/>
    <col min="10258" max="10258" width="23.140625" customWidth="1"/>
    <col min="10259" max="10259" width="20" customWidth="1"/>
    <col min="10260" max="10260" width="0" hidden="1" customWidth="1"/>
    <col min="10261" max="10261" width="11.42578125" customWidth="1"/>
    <col min="10262" max="10262" width="21" customWidth="1"/>
    <col min="10497" max="10497" width="6.7109375" customWidth="1"/>
    <col min="10498" max="10498" width="20.42578125" customWidth="1"/>
    <col min="10499" max="10499" width="14.42578125" customWidth="1"/>
    <col min="10500" max="10500" width="20.7109375" customWidth="1"/>
    <col min="10501" max="10501" width="13.5703125" customWidth="1"/>
    <col min="10502" max="10502" width="18.28515625" customWidth="1"/>
    <col min="10503" max="10503" width="12.85546875" customWidth="1"/>
    <col min="10504" max="10504" width="21.42578125" customWidth="1"/>
    <col min="10505" max="10508" width="13.5703125" customWidth="1"/>
    <col min="10509" max="10509" width="15.5703125" customWidth="1"/>
    <col min="10510" max="10510" width="18" customWidth="1"/>
    <col min="10511" max="10511" width="18.28515625" customWidth="1"/>
    <col min="10512" max="10512" width="23.140625" customWidth="1"/>
    <col min="10513" max="10513" width="18.28515625" customWidth="1"/>
    <col min="10514" max="10514" width="23.140625" customWidth="1"/>
    <col min="10515" max="10515" width="20" customWidth="1"/>
    <col min="10516" max="10516" width="0" hidden="1" customWidth="1"/>
    <col min="10517" max="10517" width="11.42578125" customWidth="1"/>
    <col min="10518" max="10518" width="21" customWidth="1"/>
    <col min="10753" max="10753" width="6.7109375" customWidth="1"/>
    <col min="10754" max="10754" width="20.42578125" customWidth="1"/>
    <col min="10755" max="10755" width="14.42578125" customWidth="1"/>
    <col min="10756" max="10756" width="20.7109375" customWidth="1"/>
    <col min="10757" max="10757" width="13.5703125" customWidth="1"/>
    <col min="10758" max="10758" width="18.28515625" customWidth="1"/>
    <col min="10759" max="10759" width="12.85546875" customWidth="1"/>
    <col min="10760" max="10760" width="21.42578125" customWidth="1"/>
    <col min="10761" max="10764" width="13.5703125" customWidth="1"/>
    <col min="10765" max="10765" width="15.5703125" customWidth="1"/>
    <col min="10766" max="10766" width="18" customWidth="1"/>
    <col min="10767" max="10767" width="18.28515625" customWidth="1"/>
    <col min="10768" max="10768" width="23.140625" customWidth="1"/>
    <col min="10769" max="10769" width="18.28515625" customWidth="1"/>
    <col min="10770" max="10770" width="23.140625" customWidth="1"/>
    <col min="10771" max="10771" width="20" customWidth="1"/>
    <col min="10772" max="10772" width="0" hidden="1" customWidth="1"/>
    <col min="10773" max="10773" width="11.42578125" customWidth="1"/>
    <col min="10774" max="10774" width="21" customWidth="1"/>
    <col min="11009" max="11009" width="6.7109375" customWidth="1"/>
    <col min="11010" max="11010" width="20.42578125" customWidth="1"/>
    <col min="11011" max="11011" width="14.42578125" customWidth="1"/>
    <col min="11012" max="11012" width="20.7109375" customWidth="1"/>
    <col min="11013" max="11013" width="13.5703125" customWidth="1"/>
    <col min="11014" max="11014" width="18.28515625" customWidth="1"/>
    <col min="11015" max="11015" width="12.85546875" customWidth="1"/>
    <col min="11016" max="11016" width="21.42578125" customWidth="1"/>
    <col min="11017" max="11020" width="13.5703125" customWidth="1"/>
    <col min="11021" max="11021" width="15.5703125" customWidth="1"/>
    <col min="11022" max="11022" width="18" customWidth="1"/>
    <col min="11023" max="11023" width="18.28515625" customWidth="1"/>
    <col min="11024" max="11024" width="23.140625" customWidth="1"/>
    <col min="11025" max="11025" width="18.28515625" customWidth="1"/>
    <col min="11026" max="11026" width="23.140625" customWidth="1"/>
    <col min="11027" max="11027" width="20" customWidth="1"/>
    <col min="11028" max="11028" width="0" hidden="1" customWidth="1"/>
    <col min="11029" max="11029" width="11.42578125" customWidth="1"/>
    <col min="11030" max="11030" width="21" customWidth="1"/>
    <col min="11265" max="11265" width="6.7109375" customWidth="1"/>
    <col min="11266" max="11266" width="20.42578125" customWidth="1"/>
    <col min="11267" max="11267" width="14.42578125" customWidth="1"/>
    <col min="11268" max="11268" width="20.7109375" customWidth="1"/>
    <col min="11269" max="11269" width="13.5703125" customWidth="1"/>
    <col min="11270" max="11270" width="18.28515625" customWidth="1"/>
    <col min="11271" max="11271" width="12.85546875" customWidth="1"/>
    <col min="11272" max="11272" width="21.42578125" customWidth="1"/>
    <col min="11273" max="11276" width="13.5703125" customWidth="1"/>
    <col min="11277" max="11277" width="15.5703125" customWidth="1"/>
    <col min="11278" max="11278" width="18" customWidth="1"/>
    <col min="11279" max="11279" width="18.28515625" customWidth="1"/>
    <col min="11280" max="11280" width="23.140625" customWidth="1"/>
    <col min="11281" max="11281" width="18.28515625" customWidth="1"/>
    <col min="11282" max="11282" width="23.140625" customWidth="1"/>
    <col min="11283" max="11283" width="20" customWidth="1"/>
    <col min="11284" max="11284" width="0" hidden="1" customWidth="1"/>
    <col min="11285" max="11285" width="11.42578125" customWidth="1"/>
    <col min="11286" max="11286" width="21" customWidth="1"/>
    <col min="11521" max="11521" width="6.7109375" customWidth="1"/>
    <col min="11522" max="11522" width="20.42578125" customWidth="1"/>
    <col min="11523" max="11523" width="14.42578125" customWidth="1"/>
    <col min="11524" max="11524" width="20.7109375" customWidth="1"/>
    <col min="11525" max="11525" width="13.5703125" customWidth="1"/>
    <col min="11526" max="11526" width="18.28515625" customWidth="1"/>
    <col min="11527" max="11527" width="12.85546875" customWidth="1"/>
    <col min="11528" max="11528" width="21.42578125" customWidth="1"/>
    <col min="11529" max="11532" width="13.5703125" customWidth="1"/>
    <col min="11533" max="11533" width="15.5703125" customWidth="1"/>
    <col min="11534" max="11534" width="18" customWidth="1"/>
    <col min="11535" max="11535" width="18.28515625" customWidth="1"/>
    <col min="11536" max="11536" width="23.140625" customWidth="1"/>
    <col min="11537" max="11537" width="18.28515625" customWidth="1"/>
    <col min="11538" max="11538" width="23.140625" customWidth="1"/>
    <col min="11539" max="11539" width="20" customWidth="1"/>
    <col min="11540" max="11540" width="0" hidden="1" customWidth="1"/>
    <col min="11541" max="11541" width="11.42578125" customWidth="1"/>
    <col min="11542" max="11542" width="21" customWidth="1"/>
    <col min="11777" max="11777" width="6.7109375" customWidth="1"/>
    <col min="11778" max="11778" width="20.42578125" customWidth="1"/>
    <col min="11779" max="11779" width="14.42578125" customWidth="1"/>
    <col min="11780" max="11780" width="20.7109375" customWidth="1"/>
    <col min="11781" max="11781" width="13.5703125" customWidth="1"/>
    <col min="11782" max="11782" width="18.28515625" customWidth="1"/>
    <col min="11783" max="11783" width="12.85546875" customWidth="1"/>
    <col min="11784" max="11784" width="21.42578125" customWidth="1"/>
    <col min="11785" max="11788" width="13.5703125" customWidth="1"/>
    <col min="11789" max="11789" width="15.5703125" customWidth="1"/>
    <col min="11790" max="11790" width="18" customWidth="1"/>
    <col min="11791" max="11791" width="18.28515625" customWidth="1"/>
    <col min="11792" max="11792" width="23.140625" customWidth="1"/>
    <col min="11793" max="11793" width="18.28515625" customWidth="1"/>
    <col min="11794" max="11794" width="23.140625" customWidth="1"/>
    <col min="11795" max="11795" width="20" customWidth="1"/>
    <col min="11796" max="11796" width="0" hidden="1" customWidth="1"/>
    <col min="11797" max="11797" width="11.42578125" customWidth="1"/>
    <col min="11798" max="11798" width="21" customWidth="1"/>
    <col min="12033" max="12033" width="6.7109375" customWidth="1"/>
    <col min="12034" max="12034" width="20.42578125" customWidth="1"/>
    <col min="12035" max="12035" width="14.42578125" customWidth="1"/>
    <col min="12036" max="12036" width="20.7109375" customWidth="1"/>
    <col min="12037" max="12037" width="13.5703125" customWidth="1"/>
    <col min="12038" max="12038" width="18.28515625" customWidth="1"/>
    <col min="12039" max="12039" width="12.85546875" customWidth="1"/>
    <col min="12040" max="12040" width="21.42578125" customWidth="1"/>
    <col min="12041" max="12044" width="13.5703125" customWidth="1"/>
    <col min="12045" max="12045" width="15.5703125" customWidth="1"/>
    <col min="12046" max="12046" width="18" customWidth="1"/>
    <col min="12047" max="12047" width="18.28515625" customWidth="1"/>
    <col min="12048" max="12048" width="23.140625" customWidth="1"/>
    <col min="12049" max="12049" width="18.28515625" customWidth="1"/>
    <col min="12050" max="12050" width="23.140625" customWidth="1"/>
    <col min="12051" max="12051" width="20" customWidth="1"/>
    <col min="12052" max="12052" width="0" hidden="1" customWidth="1"/>
    <col min="12053" max="12053" width="11.42578125" customWidth="1"/>
    <col min="12054" max="12054" width="21" customWidth="1"/>
    <col min="12289" max="12289" width="6.7109375" customWidth="1"/>
    <col min="12290" max="12290" width="20.42578125" customWidth="1"/>
    <col min="12291" max="12291" width="14.42578125" customWidth="1"/>
    <col min="12292" max="12292" width="20.7109375" customWidth="1"/>
    <col min="12293" max="12293" width="13.5703125" customWidth="1"/>
    <col min="12294" max="12294" width="18.28515625" customWidth="1"/>
    <col min="12295" max="12295" width="12.85546875" customWidth="1"/>
    <col min="12296" max="12296" width="21.42578125" customWidth="1"/>
    <col min="12297" max="12300" width="13.5703125" customWidth="1"/>
    <col min="12301" max="12301" width="15.5703125" customWidth="1"/>
    <col min="12302" max="12302" width="18" customWidth="1"/>
    <col min="12303" max="12303" width="18.28515625" customWidth="1"/>
    <col min="12304" max="12304" width="23.140625" customWidth="1"/>
    <col min="12305" max="12305" width="18.28515625" customWidth="1"/>
    <col min="12306" max="12306" width="23.140625" customWidth="1"/>
    <col min="12307" max="12307" width="20" customWidth="1"/>
    <col min="12308" max="12308" width="0" hidden="1" customWidth="1"/>
    <col min="12309" max="12309" width="11.42578125" customWidth="1"/>
    <col min="12310" max="12310" width="21" customWidth="1"/>
    <col min="12545" max="12545" width="6.7109375" customWidth="1"/>
    <col min="12546" max="12546" width="20.42578125" customWidth="1"/>
    <col min="12547" max="12547" width="14.42578125" customWidth="1"/>
    <col min="12548" max="12548" width="20.7109375" customWidth="1"/>
    <col min="12549" max="12549" width="13.5703125" customWidth="1"/>
    <col min="12550" max="12550" width="18.28515625" customWidth="1"/>
    <col min="12551" max="12551" width="12.85546875" customWidth="1"/>
    <col min="12552" max="12552" width="21.42578125" customWidth="1"/>
    <col min="12553" max="12556" width="13.5703125" customWidth="1"/>
    <col min="12557" max="12557" width="15.5703125" customWidth="1"/>
    <col min="12558" max="12558" width="18" customWidth="1"/>
    <col min="12559" max="12559" width="18.28515625" customWidth="1"/>
    <col min="12560" max="12560" width="23.140625" customWidth="1"/>
    <col min="12561" max="12561" width="18.28515625" customWidth="1"/>
    <col min="12562" max="12562" width="23.140625" customWidth="1"/>
    <col min="12563" max="12563" width="20" customWidth="1"/>
    <col min="12564" max="12564" width="0" hidden="1" customWidth="1"/>
    <col min="12565" max="12565" width="11.42578125" customWidth="1"/>
    <col min="12566" max="12566" width="21" customWidth="1"/>
    <col min="12801" max="12801" width="6.7109375" customWidth="1"/>
    <col min="12802" max="12802" width="20.42578125" customWidth="1"/>
    <col min="12803" max="12803" width="14.42578125" customWidth="1"/>
    <col min="12804" max="12804" width="20.7109375" customWidth="1"/>
    <col min="12805" max="12805" width="13.5703125" customWidth="1"/>
    <col min="12806" max="12806" width="18.28515625" customWidth="1"/>
    <col min="12807" max="12807" width="12.85546875" customWidth="1"/>
    <col min="12808" max="12808" width="21.42578125" customWidth="1"/>
    <col min="12809" max="12812" width="13.5703125" customWidth="1"/>
    <col min="12813" max="12813" width="15.5703125" customWidth="1"/>
    <col min="12814" max="12814" width="18" customWidth="1"/>
    <col min="12815" max="12815" width="18.28515625" customWidth="1"/>
    <col min="12816" max="12816" width="23.140625" customWidth="1"/>
    <col min="12817" max="12817" width="18.28515625" customWidth="1"/>
    <col min="12818" max="12818" width="23.140625" customWidth="1"/>
    <col min="12819" max="12819" width="20" customWidth="1"/>
    <col min="12820" max="12820" width="0" hidden="1" customWidth="1"/>
    <col min="12821" max="12821" width="11.42578125" customWidth="1"/>
    <col min="12822" max="12822" width="21" customWidth="1"/>
    <col min="13057" max="13057" width="6.7109375" customWidth="1"/>
    <col min="13058" max="13058" width="20.42578125" customWidth="1"/>
    <col min="13059" max="13059" width="14.42578125" customWidth="1"/>
    <col min="13060" max="13060" width="20.7109375" customWidth="1"/>
    <col min="13061" max="13061" width="13.5703125" customWidth="1"/>
    <col min="13062" max="13062" width="18.28515625" customWidth="1"/>
    <col min="13063" max="13063" width="12.85546875" customWidth="1"/>
    <col min="13064" max="13064" width="21.42578125" customWidth="1"/>
    <col min="13065" max="13068" width="13.5703125" customWidth="1"/>
    <col min="13069" max="13069" width="15.5703125" customWidth="1"/>
    <col min="13070" max="13070" width="18" customWidth="1"/>
    <col min="13071" max="13071" width="18.28515625" customWidth="1"/>
    <col min="13072" max="13072" width="23.140625" customWidth="1"/>
    <col min="13073" max="13073" width="18.28515625" customWidth="1"/>
    <col min="13074" max="13074" width="23.140625" customWidth="1"/>
    <col min="13075" max="13075" width="20" customWidth="1"/>
    <col min="13076" max="13076" width="0" hidden="1" customWidth="1"/>
    <col min="13077" max="13077" width="11.42578125" customWidth="1"/>
    <col min="13078" max="13078" width="21" customWidth="1"/>
    <col min="13313" max="13313" width="6.7109375" customWidth="1"/>
    <col min="13314" max="13314" width="20.42578125" customWidth="1"/>
    <col min="13315" max="13315" width="14.42578125" customWidth="1"/>
    <col min="13316" max="13316" width="20.7109375" customWidth="1"/>
    <col min="13317" max="13317" width="13.5703125" customWidth="1"/>
    <col min="13318" max="13318" width="18.28515625" customWidth="1"/>
    <col min="13319" max="13319" width="12.85546875" customWidth="1"/>
    <col min="13320" max="13320" width="21.42578125" customWidth="1"/>
    <col min="13321" max="13324" width="13.5703125" customWidth="1"/>
    <col min="13325" max="13325" width="15.5703125" customWidth="1"/>
    <col min="13326" max="13326" width="18" customWidth="1"/>
    <col min="13327" max="13327" width="18.28515625" customWidth="1"/>
    <col min="13328" max="13328" width="23.140625" customWidth="1"/>
    <col min="13329" max="13329" width="18.28515625" customWidth="1"/>
    <col min="13330" max="13330" width="23.140625" customWidth="1"/>
    <col min="13331" max="13331" width="20" customWidth="1"/>
    <col min="13332" max="13332" width="0" hidden="1" customWidth="1"/>
    <col min="13333" max="13333" width="11.42578125" customWidth="1"/>
    <col min="13334" max="13334" width="21" customWidth="1"/>
    <col min="13569" max="13569" width="6.7109375" customWidth="1"/>
    <col min="13570" max="13570" width="20.42578125" customWidth="1"/>
    <col min="13571" max="13571" width="14.42578125" customWidth="1"/>
    <col min="13572" max="13572" width="20.7109375" customWidth="1"/>
    <col min="13573" max="13573" width="13.5703125" customWidth="1"/>
    <col min="13574" max="13574" width="18.28515625" customWidth="1"/>
    <col min="13575" max="13575" width="12.85546875" customWidth="1"/>
    <col min="13576" max="13576" width="21.42578125" customWidth="1"/>
    <col min="13577" max="13580" width="13.5703125" customWidth="1"/>
    <col min="13581" max="13581" width="15.5703125" customWidth="1"/>
    <col min="13582" max="13582" width="18" customWidth="1"/>
    <col min="13583" max="13583" width="18.28515625" customWidth="1"/>
    <col min="13584" max="13584" width="23.140625" customWidth="1"/>
    <col min="13585" max="13585" width="18.28515625" customWidth="1"/>
    <col min="13586" max="13586" width="23.140625" customWidth="1"/>
    <col min="13587" max="13587" width="20" customWidth="1"/>
    <col min="13588" max="13588" width="0" hidden="1" customWidth="1"/>
    <col min="13589" max="13589" width="11.42578125" customWidth="1"/>
    <col min="13590" max="13590" width="21" customWidth="1"/>
    <col min="13825" max="13825" width="6.7109375" customWidth="1"/>
    <col min="13826" max="13826" width="20.42578125" customWidth="1"/>
    <col min="13827" max="13827" width="14.42578125" customWidth="1"/>
    <col min="13828" max="13828" width="20.7109375" customWidth="1"/>
    <col min="13829" max="13829" width="13.5703125" customWidth="1"/>
    <col min="13830" max="13830" width="18.28515625" customWidth="1"/>
    <col min="13831" max="13831" width="12.85546875" customWidth="1"/>
    <col min="13832" max="13832" width="21.42578125" customWidth="1"/>
    <col min="13833" max="13836" width="13.5703125" customWidth="1"/>
    <col min="13837" max="13837" width="15.5703125" customWidth="1"/>
    <col min="13838" max="13838" width="18" customWidth="1"/>
    <col min="13839" max="13839" width="18.28515625" customWidth="1"/>
    <col min="13840" max="13840" width="23.140625" customWidth="1"/>
    <col min="13841" max="13841" width="18.28515625" customWidth="1"/>
    <col min="13842" max="13842" width="23.140625" customWidth="1"/>
    <col min="13843" max="13843" width="20" customWidth="1"/>
    <col min="13844" max="13844" width="0" hidden="1" customWidth="1"/>
    <col min="13845" max="13845" width="11.42578125" customWidth="1"/>
    <col min="13846" max="13846" width="21" customWidth="1"/>
    <col min="14081" max="14081" width="6.7109375" customWidth="1"/>
    <col min="14082" max="14082" width="20.42578125" customWidth="1"/>
    <col min="14083" max="14083" width="14.42578125" customWidth="1"/>
    <col min="14084" max="14084" width="20.7109375" customWidth="1"/>
    <col min="14085" max="14085" width="13.5703125" customWidth="1"/>
    <col min="14086" max="14086" width="18.28515625" customWidth="1"/>
    <col min="14087" max="14087" width="12.85546875" customWidth="1"/>
    <col min="14088" max="14088" width="21.42578125" customWidth="1"/>
    <col min="14089" max="14092" width="13.5703125" customWidth="1"/>
    <col min="14093" max="14093" width="15.5703125" customWidth="1"/>
    <col min="14094" max="14094" width="18" customWidth="1"/>
    <col min="14095" max="14095" width="18.28515625" customWidth="1"/>
    <col min="14096" max="14096" width="23.140625" customWidth="1"/>
    <col min="14097" max="14097" width="18.28515625" customWidth="1"/>
    <col min="14098" max="14098" width="23.140625" customWidth="1"/>
    <col min="14099" max="14099" width="20" customWidth="1"/>
    <col min="14100" max="14100" width="0" hidden="1" customWidth="1"/>
    <col min="14101" max="14101" width="11.42578125" customWidth="1"/>
    <col min="14102" max="14102" width="21" customWidth="1"/>
    <col min="14337" max="14337" width="6.7109375" customWidth="1"/>
    <col min="14338" max="14338" width="20.42578125" customWidth="1"/>
    <col min="14339" max="14339" width="14.42578125" customWidth="1"/>
    <col min="14340" max="14340" width="20.7109375" customWidth="1"/>
    <col min="14341" max="14341" width="13.5703125" customWidth="1"/>
    <col min="14342" max="14342" width="18.28515625" customWidth="1"/>
    <col min="14343" max="14343" width="12.85546875" customWidth="1"/>
    <col min="14344" max="14344" width="21.42578125" customWidth="1"/>
    <col min="14345" max="14348" width="13.5703125" customWidth="1"/>
    <col min="14349" max="14349" width="15.5703125" customWidth="1"/>
    <col min="14350" max="14350" width="18" customWidth="1"/>
    <col min="14351" max="14351" width="18.28515625" customWidth="1"/>
    <col min="14352" max="14352" width="23.140625" customWidth="1"/>
    <col min="14353" max="14353" width="18.28515625" customWidth="1"/>
    <col min="14354" max="14354" width="23.140625" customWidth="1"/>
    <col min="14355" max="14355" width="20" customWidth="1"/>
    <col min="14356" max="14356" width="0" hidden="1" customWidth="1"/>
    <col min="14357" max="14357" width="11.42578125" customWidth="1"/>
    <col min="14358" max="14358" width="21" customWidth="1"/>
    <col min="14593" max="14593" width="6.7109375" customWidth="1"/>
    <col min="14594" max="14594" width="20.42578125" customWidth="1"/>
    <col min="14595" max="14595" width="14.42578125" customWidth="1"/>
    <col min="14596" max="14596" width="20.7109375" customWidth="1"/>
    <col min="14597" max="14597" width="13.5703125" customWidth="1"/>
    <col min="14598" max="14598" width="18.28515625" customWidth="1"/>
    <col min="14599" max="14599" width="12.85546875" customWidth="1"/>
    <col min="14600" max="14600" width="21.42578125" customWidth="1"/>
    <col min="14601" max="14604" width="13.5703125" customWidth="1"/>
    <col min="14605" max="14605" width="15.5703125" customWidth="1"/>
    <col min="14606" max="14606" width="18" customWidth="1"/>
    <col min="14607" max="14607" width="18.28515625" customWidth="1"/>
    <col min="14608" max="14608" width="23.140625" customWidth="1"/>
    <col min="14609" max="14609" width="18.28515625" customWidth="1"/>
    <col min="14610" max="14610" width="23.140625" customWidth="1"/>
    <col min="14611" max="14611" width="20" customWidth="1"/>
    <col min="14612" max="14612" width="0" hidden="1" customWidth="1"/>
    <col min="14613" max="14613" width="11.42578125" customWidth="1"/>
    <col min="14614" max="14614" width="21" customWidth="1"/>
    <col min="14849" max="14849" width="6.7109375" customWidth="1"/>
    <col min="14850" max="14850" width="20.42578125" customWidth="1"/>
    <col min="14851" max="14851" width="14.42578125" customWidth="1"/>
    <col min="14852" max="14852" width="20.7109375" customWidth="1"/>
    <col min="14853" max="14853" width="13.5703125" customWidth="1"/>
    <col min="14854" max="14854" width="18.28515625" customWidth="1"/>
    <col min="14855" max="14855" width="12.85546875" customWidth="1"/>
    <col min="14856" max="14856" width="21.42578125" customWidth="1"/>
    <col min="14857" max="14860" width="13.5703125" customWidth="1"/>
    <col min="14861" max="14861" width="15.5703125" customWidth="1"/>
    <col min="14862" max="14862" width="18" customWidth="1"/>
    <col min="14863" max="14863" width="18.28515625" customWidth="1"/>
    <col min="14864" max="14864" width="23.140625" customWidth="1"/>
    <col min="14865" max="14865" width="18.28515625" customWidth="1"/>
    <col min="14866" max="14866" width="23.140625" customWidth="1"/>
    <col min="14867" max="14867" width="20" customWidth="1"/>
    <col min="14868" max="14868" width="0" hidden="1" customWidth="1"/>
    <col min="14869" max="14869" width="11.42578125" customWidth="1"/>
    <col min="14870" max="14870" width="21" customWidth="1"/>
    <col min="15105" max="15105" width="6.7109375" customWidth="1"/>
    <col min="15106" max="15106" width="20.42578125" customWidth="1"/>
    <col min="15107" max="15107" width="14.42578125" customWidth="1"/>
    <col min="15108" max="15108" width="20.7109375" customWidth="1"/>
    <col min="15109" max="15109" width="13.5703125" customWidth="1"/>
    <col min="15110" max="15110" width="18.28515625" customWidth="1"/>
    <col min="15111" max="15111" width="12.85546875" customWidth="1"/>
    <col min="15112" max="15112" width="21.42578125" customWidth="1"/>
    <col min="15113" max="15116" width="13.5703125" customWidth="1"/>
    <col min="15117" max="15117" width="15.5703125" customWidth="1"/>
    <col min="15118" max="15118" width="18" customWidth="1"/>
    <col min="15119" max="15119" width="18.28515625" customWidth="1"/>
    <col min="15120" max="15120" width="23.140625" customWidth="1"/>
    <col min="15121" max="15121" width="18.28515625" customWidth="1"/>
    <col min="15122" max="15122" width="23.140625" customWidth="1"/>
    <col min="15123" max="15123" width="20" customWidth="1"/>
    <col min="15124" max="15124" width="0" hidden="1" customWidth="1"/>
    <col min="15125" max="15125" width="11.42578125" customWidth="1"/>
    <col min="15126" max="15126" width="21" customWidth="1"/>
    <col min="15361" max="15361" width="6.7109375" customWidth="1"/>
    <col min="15362" max="15362" width="20.42578125" customWidth="1"/>
    <col min="15363" max="15363" width="14.42578125" customWidth="1"/>
    <col min="15364" max="15364" width="20.7109375" customWidth="1"/>
    <col min="15365" max="15365" width="13.5703125" customWidth="1"/>
    <col min="15366" max="15366" width="18.28515625" customWidth="1"/>
    <col min="15367" max="15367" width="12.85546875" customWidth="1"/>
    <col min="15368" max="15368" width="21.42578125" customWidth="1"/>
    <col min="15369" max="15372" width="13.5703125" customWidth="1"/>
    <col min="15373" max="15373" width="15.5703125" customWidth="1"/>
    <col min="15374" max="15374" width="18" customWidth="1"/>
    <col min="15375" max="15375" width="18.28515625" customWidth="1"/>
    <col min="15376" max="15376" width="23.140625" customWidth="1"/>
    <col min="15377" max="15377" width="18.28515625" customWidth="1"/>
    <col min="15378" max="15378" width="23.140625" customWidth="1"/>
    <col min="15379" max="15379" width="20" customWidth="1"/>
    <col min="15380" max="15380" width="0" hidden="1" customWidth="1"/>
    <col min="15381" max="15381" width="11.42578125" customWidth="1"/>
    <col min="15382" max="15382" width="21" customWidth="1"/>
    <col min="15617" max="15617" width="6.7109375" customWidth="1"/>
    <col min="15618" max="15618" width="20.42578125" customWidth="1"/>
    <col min="15619" max="15619" width="14.42578125" customWidth="1"/>
    <col min="15620" max="15620" width="20.7109375" customWidth="1"/>
    <col min="15621" max="15621" width="13.5703125" customWidth="1"/>
    <col min="15622" max="15622" width="18.28515625" customWidth="1"/>
    <col min="15623" max="15623" width="12.85546875" customWidth="1"/>
    <col min="15624" max="15624" width="21.42578125" customWidth="1"/>
    <col min="15625" max="15628" width="13.5703125" customWidth="1"/>
    <col min="15629" max="15629" width="15.5703125" customWidth="1"/>
    <col min="15630" max="15630" width="18" customWidth="1"/>
    <col min="15631" max="15631" width="18.28515625" customWidth="1"/>
    <col min="15632" max="15632" width="23.140625" customWidth="1"/>
    <col min="15633" max="15633" width="18.28515625" customWidth="1"/>
    <col min="15634" max="15634" width="23.140625" customWidth="1"/>
    <col min="15635" max="15635" width="20" customWidth="1"/>
    <col min="15636" max="15636" width="0" hidden="1" customWidth="1"/>
    <col min="15637" max="15637" width="11.42578125" customWidth="1"/>
    <col min="15638" max="15638" width="21" customWidth="1"/>
    <col min="15873" max="15873" width="6.7109375" customWidth="1"/>
    <col min="15874" max="15874" width="20.42578125" customWidth="1"/>
    <col min="15875" max="15875" width="14.42578125" customWidth="1"/>
    <col min="15876" max="15876" width="20.7109375" customWidth="1"/>
    <col min="15877" max="15877" width="13.5703125" customWidth="1"/>
    <col min="15878" max="15878" width="18.28515625" customWidth="1"/>
    <col min="15879" max="15879" width="12.85546875" customWidth="1"/>
    <col min="15880" max="15880" width="21.42578125" customWidth="1"/>
    <col min="15881" max="15884" width="13.5703125" customWidth="1"/>
    <col min="15885" max="15885" width="15.5703125" customWidth="1"/>
    <col min="15886" max="15886" width="18" customWidth="1"/>
    <col min="15887" max="15887" width="18.28515625" customWidth="1"/>
    <col min="15888" max="15888" width="23.140625" customWidth="1"/>
    <col min="15889" max="15889" width="18.28515625" customWidth="1"/>
    <col min="15890" max="15890" width="23.140625" customWidth="1"/>
    <col min="15891" max="15891" width="20" customWidth="1"/>
    <col min="15892" max="15892" width="0" hidden="1" customWidth="1"/>
    <col min="15893" max="15893" width="11.42578125" customWidth="1"/>
    <col min="15894" max="15894" width="21" customWidth="1"/>
    <col min="16129" max="16129" width="6.7109375" customWidth="1"/>
    <col min="16130" max="16130" width="20.42578125" customWidth="1"/>
    <col min="16131" max="16131" width="14.42578125" customWidth="1"/>
    <col min="16132" max="16132" width="20.7109375" customWidth="1"/>
    <col min="16133" max="16133" width="13.5703125" customWidth="1"/>
    <col min="16134" max="16134" width="18.28515625" customWidth="1"/>
    <col min="16135" max="16135" width="12.85546875" customWidth="1"/>
    <col min="16136" max="16136" width="21.42578125" customWidth="1"/>
    <col min="16137" max="16140" width="13.5703125" customWidth="1"/>
    <col min="16141" max="16141" width="15.5703125" customWidth="1"/>
    <col min="16142" max="16142" width="18" customWidth="1"/>
    <col min="16143" max="16143" width="18.28515625" customWidth="1"/>
    <col min="16144" max="16144" width="23.140625" customWidth="1"/>
    <col min="16145" max="16145" width="18.28515625" customWidth="1"/>
    <col min="16146" max="16146" width="23.140625" customWidth="1"/>
    <col min="16147" max="16147" width="20" customWidth="1"/>
    <col min="16148" max="16148" width="0" hidden="1" customWidth="1"/>
    <col min="16149" max="16149" width="11.42578125" customWidth="1"/>
    <col min="16150" max="16150" width="21" customWidth="1"/>
  </cols>
  <sheetData>
    <row r="1" spans="1:22" ht="27" customHeight="1" thickBot="1" x14ac:dyDescent="0.4">
      <c r="D1" s="1034" t="s">
        <v>4733</v>
      </c>
      <c r="E1" s="1034"/>
      <c r="F1" s="1034"/>
      <c r="G1" s="1034"/>
    </row>
    <row r="2" spans="1:22" ht="23.25" customHeight="1" thickBot="1" x14ac:dyDescent="0.3">
      <c r="O2" s="319"/>
      <c r="P2" s="319"/>
      <c r="Q2" s="319"/>
      <c r="S2" s="320" t="s">
        <v>4733</v>
      </c>
      <c r="T2" s="321" t="s">
        <v>4503</v>
      </c>
    </row>
    <row r="3" spans="1:22" ht="76.5" customHeight="1" thickBot="1" x14ac:dyDescent="0.3">
      <c r="A3" s="322" t="s">
        <v>4734</v>
      </c>
      <c r="B3" s="323" t="s">
        <v>4735</v>
      </c>
      <c r="C3" s="324" t="s">
        <v>4736</v>
      </c>
      <c r="D3" s="324" t="s">
        <v>5</v>
      </c>
      <c r="E3" s="324" t="s">
        <v>1</v>
      </c>
      <c r="F3" s="325" t="s">
        <v>4</v>
      </c>
      <c r="G3" s="326" t="s">
        <v>4737</v>
      </c>
      <c r="H3" s="324" t="s">
        <v>4738</v>
      </c>
      <c r="I3" s="327" t="s">
        <v>4739</v>
      </c>
      <c r="J3" s="327" t="s">
        <v>4740</v>
      </c>
      <c r="K3" s="327" t="s">
        <v>2852</v>
      </c>
      <c r="L3" s="327" t="s">
        <v>4741</v>
      </c>
      <c r="M3" s="327" t="s">
        <v>4742</v>
      </c>
      <c r="N3" s="328" t="s">
        <v>10</v>
      </c>
      <c r="O3" s="329" t="s">
        <v>4743</v>
      </c>
      <c r="P3" s="330" t="s">
        <v>4729</v>
      </c>
      <c r="Q3" s="330" t="s">
        <v>4730</v>
      </c>
      <c r="R3" s="331" t="s">
        <v>4744</v>
      </c>
      <c r="S3" s="332" t="s">
        <v>4745</v>
      </c>
      <c r="T3" s="333" t="s">
        <v>4746</v>
      </c>
    </row>
    <row r="4" spans="1:22" s="348" customFormat="1" ht="72.75" thickBot="1" x14ac:dyDescent="0.35">
      <c r="A4" s="334" t="s">
        <v>4747</v>
      </c>
      <c r="B4" s="335" t="s">
        <v>4748</v>
      </c>
      <c r="C4" s="336">
        <v>5757048</v>
      </c>
      <c r="D4" s="335" t="s">
        <v>894</v>
      </c>
      <c r="E4" s="337">
        <v>99</v>
      </c>
      <c r="F4" s="338">
        <v>44197</v>
      </c>
      <c r="G4" s="339">
        <v>3</v>
      </c>
      <c r="H4" s="340">
        <v>277</v>
      </c>
      <c r="I4" s="341">
        <v>0</v>
      </c>
      <c r="J4" s="341">
        <v>130</v>
      </c>
      <c r="K4" s="341">
        <f>+H4*2%</f>
        <v>5.54</v>
      </c>
      <c r="L4" s="341">
        <f>ROUND(SUM(+H4+I4+J4+K4)*25%,2)</f>
        <v>103.14</v>
      </c>
      <c r="M4" s="342">
        <f>SUM(I4:L4)</f>
        <v>238.68</v>
      </c>
      <c r="N4" s="343">
        <v>0</v>
      </c>
      <c r="O4" s="751">
        <f>H4+M4+N4</f>
        <v>515.68000000000006</v>
      </c>
      <c r="P4" s="344">
        <v>180</v>
      </c>
      <c r="Q4" s="345">
        <v>150</v>
      </c>
      <c r="R4" s="346">
        <f>(((O4))/30*P4/12+(O4))/30*Q4</f>
        <v>3867.6</v>
      </c>
      <c r="S4" s="347">
        <f>R4/4</f>
        <v>966.9</v>
      </c>
      <c r="T4" s="347">
        <f>S4</f>
        <v>966.9</v>
      </c>
      <c r="V4" s="349"/>
    </row>
    <row r="5" spans="1:22" s="348" customFormat="1" ht="72.75" thickBot="1" x14ac:dyDescent="0.35">
      <c r="A5" s="350" t="s">
        <v>4749</v>
      </c>
      <c r="B5" s="351" t="s">
        <v>4750</v>
      </c>
      <c r="C5" s="352">
        <v>24566781</v>
      </c>
      <c r="D5" s="351" t="s">
        <v>4751</v>
      </c>
      <c r="E5" s="353" t="s">
        <v>4692</v>
      </c>
      <c r="F5" s="354">
        <v>45689</v>
      </c>
      <c r="G5" s="355">
        <v>0</v>
      </c>
      <c r="H5" s="340">
        <v>246</v>
      </c>
      <c r="I5" s="341">
        <v>25</v>
      </c>
      <c r="J5" s="341">
        <v>130</v>
      </c>
      <c r="K5" s="341">
        <v>0</v>
      </c>
      <c r="L5" s="341">
        <f>ROUND(SUM(+H5+I5+J5+K5)*25%,2)</f>
        <v>100.25</v>
      </c>
      <c r="M5" s="342">
        <f>SUM(I5:L5)</f>
        <v>255.25</v>
      </c>
      <c r="N5" s="343">
        <v>0</v>
      </c>
      <c r="O5" s="751">
        <f t="shared" ref="O5:O7" si="0">H5+M5+N5</f>
        <v>501.25</v>
      </c>
      <c r="P5" s="344">
        <v>165</v>
      </c>
      <c r="Q5" s="345">
        <v>137.5</v>
      </c>
      <c r="R5" s="346">
        <f>(((O5))/30*P5/12+(O5))/30*Q5</f>
        <v>3350.3689236111113</v>
      </c>
      <c r="S5" s="347">
        <f>R5/4</f>
        <v>837.59223090277783</v>
      </c>
      <c r="T5" s="347">
        <f>S5</f>
        <v>837.59223090277783</v>
      </c>
      <c r="V5" s="349"/>
    </row>
    <row r="6" spans="1:22" s="348" customFormat="1" ht="72.75" thickBot="1" x14ac:dyDescent="0.35">
      <c r="A6" s="350" t="s">
        <v>4749</v>
      </c>
      <c r="B6" s="356" t="s">
        <v>4752</v>
      </c>
      <c r="C6" s="352">
        <v>18376706</v>
      </c>
      <c r="D6" s="351" t="s">
        <v>2252</v>
      </c>
      <c r="E6" s="353" t="s">
        <v>4753</v>
      </c>
      <c r="F6" s="354">
        <v>45717</v>
      </c>
      <c r="G6" s="355">
        <v>0</v>
      </c>
      <c r="H6" s="357">
        <v>192</v>
      </c>
      <c r="I6" s="341">
        <v>0</v>
      </c>
      <c r="J6" s="341">
        <v>130</v>
      </c>
      <c r="K6" s="341">
        <v>0</v>
      </c>
      <c r="L6" s="341">
        <f>ROUND(SUM(+H6+I6+J6+K6)*25%,2)</f>
        <v>80.5</v>
      </c>
      <c r="M6" s="342">
        <f>SUM(I6:L6)</f>
        <v>210.5</v>
      </c>
      <c r="N6" s="343">
        <v>0</v>
      </c>
      <c r="O6" s="751">
        <f t="shared" si="0"/>
        <v>402.5</v>
      </c>
      <c r="P6" s="344">
        <v>150</v>
      </c>
      <c r="Q6" s="345" t="s">
        <v>4754</v>
      </c>
      <c r="R6" s="346">
        <f>(((O6))/30*P6/12+(O6))/30*Q6</f>
        <v>2375.8680555555557</v>
      </c>
      <c r="S6" s="347">
        <f>R6/4</f>
        <v>593.96701388888891</v>
      </c>
      <c r="T6" s="347">
        <f>S6</f>
        <v>593.96701388888891</v>
      </c>
      <c r="V6" s="349"/>
    </row>
    <row r="7" spans="1:22" s="348" customFormat="1" ht="72.75" thickBot="1" x14ac:dyDescent="0.35">
      <c r="A7" s="350" t="s">
        <v>4749</v>
      </c>
      <c r="B7" s="358" t="s">
        <v>4755</v>
      </c>
      <c r="C7" s="359">
        <v>12332586</v>
      </c>
      <c r="D7" s="360" t="s">
        <v>2894</v>
      </c>
      <c r="E7" s="353" t="s">
        <v>4697</v>
      </c>
      <c r="F7" s="361">
        <v>45750</v>
      </c>
      <c r="G7" s="339">
        <v>0</v>
      </c>
      <c r="H7" s="362">
        <v>130</v>
      </c>
      <c r="I7" s="341">
        <v>12.5</v>
      </c>
      <c r="J7" s="341">
        <v>130</v>
      </c>
      <c r="K7" s="341">
        <v>0</v>
      </c>
      <c r="L7" s="341">
        <f>ROUND(SUM(+H7+I7+J7+K7)*25%,2)</f>
        <v>68.13</v>
      </c>
      <c r="M7" s="342">
        <f>SUM(I7:L7)</f>
        <v>210.63</v>
      </c>
      <c r="N7" s="343">
        <v>0</v>
      </c>
      <c r="O7" s="751">
        <f t="shared" si="0"/>
        <v>340.63</v>
      </c>
      <c r="P7" s="363">
        <v>120</v>
      </c>
      <c r="Q7" s="364" t="s">
        <v>4756</v>
      </c>
      <c r="R7" s="346">
        <f>(((O7))/30*P7/12+(O7))/30*Q7</f>
        <v>1513.911111111111</v>
      </c>
      <c r="S7" s="347">
        <f>R7/4</f>
        <v>378.47777777777776</v>
      </c>
      <c r="T7" s="347">
        <f>S7</f>
        <v>378.47777777777776</v>
      </c>
      <c r="V7" s="349"/>
    </row>
    <row r="8" spans="1:22" ht="21.75" thickBot="1" x14ac:dyDescent="0.4">
      <c r="H8" s="365"/>
      <c r="I8" s="365"/>
      <c r="J8" s="365"/>
      <c r="K8" s="365"/>
      <c r="L8" s="365"/>
      <c r="M8" s="365"/>
      <c r="N8" s="365"/>
      <c r="O8" s="366">
        <f>SUM(O4:O7)</f>
        <v>1760.06</v>
      </c>
      <c r="P8" s="366"/>
      <c r="Q8" s="366"/>
      <c r="R8" s="367"/>
      <c r="S8" s="367">
        <f>SUM(S4:S7)</f>
        <v>2776.9370225694443</v>
      </c>
      <c r="T8" s="367">
        <f>SUM(T4:T7)</f>
        <v>2776.9370225694443</v>
      </c>
    </row>
    <row r="9" spans="1:22" ht="21.75" thickBot="1" x14ac:dyDescent="0.4">
      <c r="F9" s="368"/>
      <c r="H9" s="365"/>
      <c r="I9" s="365"/>
      <c r="J9" s="365"/>
      <c r="K9" s="365"/>
      <c r="L9" s="365"/>
      <c r="M9" s="365"/>
      <c r="N9" s="365"/>
      <c r="O9" s="369"/>
      <c r="P9" s="369"/>
      <c r="Q9" s="369"/>
      <c r="R9" s="370"/>
      <c r="S9" s="370"/>
      <c r="T9" s="370"/>
    </row>
    <row r="10" spans="1:22" ht="21.75" thickBot="1" x14ac:dyDescent="0.4">
      <c r="F10" s="368"/>
      <c r="H10" s="365"/>
      <c r="I10" s="365"/>
      <c r="J10" s="365"/>
      <c r="K10" s="365"/>
      <c r="L10" s="365"/>
      <c r="M10" s="365"/>
      <c r="N10" s="365"/>
      <c r="O10" s="371">
        <f>O8</f>
        <v>1760.06</v>
      </c>
      <c r="P10" s="371"/>
      <c r="Q10" s="371"/>
      <c r="R10" s="372"/>
      <c r="S10" s="372">
        <f>S8</f>
        <v>2776.9370225694443</v>
      </c>
      <c r="T10" s="372">
        <f>T8</f>
        <v>2776.9370225694443</v>
      </c>
    </row>
    <row r="12" spans="1:22" x14ac:dyDescent="0.25">
      <c r="I12" s="373"/>
      <c r="J12" s="373"/>
      <c r="K12" s="373"/>
      <c r="L12" s="373"/>
      <c r="M12" s="373"/>
      <c r="N12" s="373"/>
    </row>
    <row r="13" spans="1:22" x14ac:dyDescent="0.25">
      <c r="D13" s="374">
        <v>180</v>
      </c>
      <c r="H13" s="374">
        <v>150</v>
      </c>
      <c r="I13" s="375"/>
      <c r="J13" s="375"/>
      <c r="K13" s="375"/>
      <c r="L13" s="375"/>
      <c r="M13" s="373"/>
      <c r="N13" s="373"/>
    </row>
    <row r="14" spans="1:22" ht="26.25" customHeight="1" x14ac:dyDescent="0.25">
      <c r="B14" s="1035" t="s">
        <v>4757</v>
      </c>
      <c r="C14" s="1035"/>
      <c r="D14" s="1035"/>
      <c r="F14" s="1035" t="s">
        <v>4757</v>
      </c>
      <c r="G14" s="1035"/>
      <c r="H14" s="1035"/>
      <c r="I14" s="375"/>
      <c r="J14" s="375"/>
      <c r="K14" s="375"/>
      <c r="L14" s="376" t="s">
        <v>4454</v>
      </c>
      <c r="M14" s="1036" t="s">
        <v>4758</v>
      </c>
      <c r="N14" s="1036"/>
    </row>
    <row r="15" spans="1:22" s="377" customFormat="1" ht="25.5" customHeight="1" thickBot="1" x14ac:dyDescent="0.3">
      <c r="B15" s="1037" t="s">
        <v>4759</v>
      </c>
      <c r="C15" s="1038"/>
      <c r="D15" s="1039"/>
      <c r="F15" s="1037" t="s">
        <v>4760</v>
      </c>
      <c r="G15" s="1038"/>
      <c r="H15" s="1039"/>
      <c r="I15" s="378"/>
      <c r="J15" s="378"/>
      <c r="K15" s="378"/>
      <c r="L15" s="378"/>
      <c r="M15" s="379">
        <v>150</v>
      </c>
      <c r="N15" s="379">
        <f>M15/4</f>
        <v>37.5</v>
      </c>
      <c r="O15" s="380" t="s">
        <v>4761</v>
      </c>
    </row>
    <row r="16" spans="1:22" ht="30.75" thickBot="1" x14ac:dyDescent="0.3">
      <c r="B16" s="381" t="s">
        <v>4762</v>
      </c>
      <c r="C16" s="382" t="s">
        <v>4763</v>
      </c>
      <c r="D16" s="383" t="s">
        <v>4764</v>
      </c>
      <c r="F16" s="381" t="s">
        <v>4762</v>
      </c>
      <c r="G16" s="382" t="s">
        <v>4763</v>
      </c>
      <c r="H16" s="383" t="s">
        <v>4765</v>
      </c>
      <c r="I16" s="384"/>
      <c r="J16" s="384"/>
      <c r="K16" s="384"/>
      <c r="L16" s="384"/>
      <c r="M16" s="373"/>
      <c r="N16" s="373"/>
      <c r="R16" s="1027"/>
      <c r="S16" s="1027"/>
      <c r="T16" s="1027"/>
    </row>
    <row r="17" spans="2:20" s="387" customFormat="1" ht="27.75" customHeight="1" thickBot="1" x14ac:dyDescent="0.45">
      <c r="B17" s="385" t="s">
        <v>2866</v>
      </c>
      <c r="C17" s="386">
        <v>12</v>
      </c>
      <c r="D17" s="386">
        <f>$D$13/12*C17</f>
        <v>180</v>
      </c>
      <c r="F17" s="385" t="s">
        <v>2866</v>
      </c>
      <c r="G17" s="386">
        <v>12</v>
      </c>
      <c r="H17" s="386">
        <f>$H$13/12*G17</f>
        <v>150</v>
      </c>
      <c r="I17" s="388"/>
      <c r="J17" s="388"/>
      <c r="K17" s="388"/>
      <c r="L17" s="388"/>
      <c r="M17" s="389"/>
      <c r="N17" s="389"/>
      <c r="R17" s="390"/>
      <c r="S17" s="390"/>
      <c r="T17" s="390"/>
    </row>
    <row r="18" spans="2:20" s="387" customFormat="1" ht="27.75" customHeight="1" thickBot="1" x14ac:dyDescent="0.45">
      <c r="B18" s="385" t="s">
        <v>2867</v>
      </c>
      <c r="C18" s="386">
        <v>11</v>
      </c>
      <c r="D18" s="386">
        <f t="shared" ref="D18:D28" si="1">$D$13/12*C18</f>
        <v>165</v>
      </c>
      <c r="F18" s="385" t="s">
        <v>2867</v>
      </c>
      <c r="G18" s="386">
        <v>11</v>
      </c>
      <c r="H18" s="386">
        <f t="shared" ref="H18:H28" si="2">$H$13/12*G18</f>
        <v>137.5</v>
      </c>
      <c r="I18" s="391"/>
      <c r="J18" s="391"/>
      <c r="K18" s="388"/>
      <c r="L18" s="388"/>
      <c r="R18" s="390"/>
      <c r="S18" s="390"/>
      <c r="T18" s="390"/>
    </row>
    <row r="19" spans="2:20" s="387" customFormat="1" ht="27.75" customHeight="1" thickBot="1" x14ac:dyDescent="0.45">
      <c r="B19" s="385" t="s">
        <v>2868</v>
      </c>
      <c r="C19" s="386">
        <v>10</v>
      </c>
      <c r="D19" s="386">
        <f t="shared" si="1"/>
        <v>150</v>
      </c>
      <c r="F19" s="385" t="s">
        <v>2868</v>
      </c>
      <c r="G19" s="386">
        <v>10</v>
      </c>
      <c r="H19" s="386">
        <f t="shared" si="2"/>
        <v>125</v>
      </c>
      <c r="I19" s="391"/>
      <c r="J19" s="391"/>
      <c r="K19" s="388"/>
      <c r="L19" s="388"/>
      <c r="R19" s="390"/>
      <c r="S19" s="390"/>
      <c r="T19" s="390"/>
    </row>
    <row r="20" spans="2:20" s="387" customFormat="1" ht="27.75" customHeight="1" thickBot="1" x14ac:dyDescent="0.45">
      <c r="B20" s="385" t="s">
        <v>2869</v>
      </c>
      <c r="C20" s="386">
        <v>9</v>
      </c>
      <c r="D20" s="386">
        <f t="shared" si="1"/>
        <v>135</v>
      </c>
      <c r="F20" s="385" t="s">
        <v>2869</v>
      </c>
      <c r="G20" s="386">
        <v>9</v>
      </c>
      <c r="H20" s="386">
        <f t="shared" si="2"/>
        <v>112.5</v>
      </c>
      <c r="I20" s="391"/>
      <c r="J20" s="391"/>
      <c r="K20" s="388"/>
      <c r="L20" s="388"/>
      <c r="R20" s="1028"/>
      <c r="S20" s="1028"/>
      <c r="T20" s="1028"/>
    </row>
    <row r="21" spans="2:20" s="387" customFormat="1" ht="27.75" customHeight="1" thickBot="1" x14ac:dyDescent="0.45">
      <c r="B21" s="385" t="s">
        <v>2870</v>
      </c>
      <c r="C21" s="386">
        <v>8</v>
      </c>
      <c r="D21" s="386">
        <f t="shared" si="1"/>
        <v>120</v>
      </c>
      <c r="F21" s="385" t="s">
        <v>2870</v>
      </c>
      <c r="G21" s="386">
        <v>8</v>
      </c>
      <c r="H21" s="386">
        <f t="shared" si="2"/>
        <v>100</v>
      </c>
      <c r="I21" s="391"/>
      <c r="J21" s="391"/>
      <c r="K21" s="388"/>
      <c r="L21" s="388"/>
    </row>
    <row r="22" spans="2:20" s="387" customFormat="1" ht="27.75" customHeight="1" thickBot="1" x14ac:dyDescent="0.45">
      <c r="B22" s="385" t="s">
        <v>2871</v>
      </c>
      <c r="C22" s="386">
        <v>7</v>
      </c>
      <c r="D22" s="386">
        <f t="shared" si="1"/>
        <v>105</v>
      </c>
      <c r="F22" s="385" t="s">
        <v>2871</v>
      </c>
      <c r="G22" s="386">
        <v>7</v>
      </c>
      <c r="H22" s="386">
        <f t="shared" si="2"/>
        <v>87.5</v>
      </c>
      <c r="I22" s="391"/>
      <c r="J22" s="391"/>
      <c r="K22" s="388"/>
      <c r="L22" s="388"/>
    </row>
    <row r="23" spans="2:20" s="387" customFormat="1" ht="27.75" customHeight="1" thickBot="1" x14ac:dyDescent="0.45">
      <c r="B23" s="385" t="s">
        <v>2864</v>
      </c>
      <c r="C23" s="386">
        <v>6</v>
      </c>
      <c r="D23" s="386">
        <f t="shared" si="1"/>
        <v>90</v>
      </c>
      <c r="F23" s="385" t="s">
        <v>2864</v>
      </c>
      <c r="G23" s="386">
        <v>6</v>
      </c>
      <c r="H23" s="386">
        <f t="shared" si="2"/>
        <v>75</v>
      </c>
      <c r="I23" s="391"/>
      <c r="J23" s="391"/>
      <c r="K23" s="388"/>
      <c r="L23" s="388"/>
    </row>
    <row r="24" spans="2:20" s="387" customFormat="1" ht="27.75" customHeight="1" thickBot="1" x14ac:dyDescent="0.45">
      <c r="B24" s="385" t="s">
        <v>2872</v>
      </c>
      <c r="C24" s="386">
        <v>5</v>
      </c>
      <c r="D24" s="386">
        <f t="shared" si="1"/>
        <v>75</v>
      </c>
      <c r="F24" s="385" t="s">
        <v>2872</v>
      </c>
      <c r="G24" s="386">
        <v>5</v>
      </c>
      <c r="H24" s="386">
        <f t="shared" si="2"/>
        <v>62.5</v>
      </c>
      <c r="I24" s="391"/>
      <c r="J24" s="391"/>
      <c r="K24" s="388"/>
      <c r="L24" s="388"/>
    </row>
    <row r="25" spans="2:20" s="387" customFormat="1" ht="27.75" customHeight="1" thickBot="1" x14ac:dyDescent="0.45">
      <c r="B25" s="385" t="s">
        <v>2873</v>
      </c>
      <c r="C25" s="386">
        <v>4</v>
      </c>
      <c r="D25" s="386">
        <f t="shared" si="1"/>
        <v>60</v>
      </c>
      <c r="F25" s="385" t="s">
        <v>2873</v>
      </c>
      <c r="G25" s="386">
        <v>4</v>
      </c>
      <c r="H25" s="386">
        <f t="shared" si="2"/>
        <v>50</v>
      </c>
      <c r="I25" s="391"/>
      <c r="J25" s="391"/>
      <c r="K25" s="388"/>
      <c r="L25" s="388"/>
    </row>
    <row r="26" spans="2:20" s="387" customFormat="1" ht="27.75" customHeight="1" thickBot="1" x14ac:dyDescent="0.45">
      <c r="B26" s="385" t="s">
        <v>2874</v>
      </c>
      <c r="C26" s="386">
        <v>3</v>
      </c>
      <c r="D26" s="386">
        <f t="shared" si="1"/>
        <v>45</v>
      </c>
      <c r="F26" s="385" t="s">
        <v>2874</v>
      </c>
      <c r="G26" s="386">
        <v>3</v>
      </c>
      <c r="H26" s="386">
        <f t="shared" si="2"/>
        <v>37.5</v>
      </c>
      <c r="I26" s="391"/>
      <c r="J26" s="391"/>
      <c r="K26" s="388"/>
      <c r="L26" s="388"/>
    </row>
    <row r="27" spans="2:20" s="387" customFormat="1" ht="27.75" customHeight="1" thickBot="1" x14ac:dyDescent="0.45">
      <c r="B27" s="385" t="s">
        <v>2905</v>
      </c>
      <c r="C27" s="386">
        <v>2</v>
      </c>
      <c r="D27" s="386">
        <f t="shared" si="1"/>
        <v>30</v>
      </c>
      <c r="F27" s="385" t="s">
        <v>2905</v>
      </c>
      <c r="G27" s="386">
        <v>2</v>
      </c>
      <c r="H27" s="386">
        <f t="shared" si="2"/>
        <v>25</v>
      </c>
      <c r="I27" s="391"/>
      <c r="J27" s="391"/>
      <c r="K27" s="388"/>
      <c r="L27" s="388"/>
    </row>
    <row r="28" spans="2:20" s="387" customFormat="1" ht="27.75" customHeight="1" thickBot="1" x14ac:dyDescent="0.45">
      <c r="B28" s="385" t="s">
        <v>2906</v>
      </c>
      <c r="C28" s="386">
        <v>1</v>
      </c>
      <c r="D28" s="386">
        <f t="shared" si="1"/>
        <v>15</v>
      </c>
      <c r="F28" s="385" t="s">
        <v>2906</v>
      </c>
      <c r="G28" s="386">
        <v>1</v>
      </c>
      <c r="H28" s="386">
        <f t="shared" si="2"/>
        <v>12.5</v>
      </c>
      <c r="I28" s="391"/>
      <c r="J28" s="391"/>
      <c r="K28" s="388"/>
      <c r="L28" s="388"/>
    </row>
    <row r="31" spans="2:20" ht="15.75" thickBot="1" x14ac:dyDescent="0.3"/>
    <row r="32" spans="2:20" ht="38.25" customHeight="1" thickBot="1" x14ac:dyDescent="0.3">
      <c r="B32" s="1029" t="s">
        <v>4766</v>
      </c>
      <c r="C32" s="1030"/>
      <c r="E32" s="1029" t="s">
        <v>4767</v>
      </c>
      <c r="F32" s="1031"/>
    </row>
    <row r="33" spans="2:21" ht="49.5" customHeight="1" thickBot="1" x14ac:dyDescent="0.4">
      <c r="B33" s="1032" t="s">
        <v>4768</v>
      </c>
      <c r="C33" s="1033"/>
      <c r="E33" s="1032" t="s">
        <v>4769</v>
      </c>
      <c r="F33" s="1033"/>
      <c r="T33" s="390" t="s">
        <v>4770</v>
      </c>
      <c r="U33" s="392"/>
    </row>
    <row r="34" spans="2:21" ht="23.25" x14ac:dyDescent="0.35">
      <c r="T34" s="393">
        <f>(((O4/30)*180)/12)</f>
        <v>257.83999999999997</v>
      </c>
      <c r="U34" s="392"/>
    </row>
    <row r="35" spans="2:21" ht="23.25" x14ac:dyDescent="0.35">
      <c r="T35" s="393">
        <f>(((O4/30)*150)/12)</f>
        <v>214.86666666666667</v>
      </c>
      <c r="U35" s="392"/>
    </row>
    <row r="36" spans="2:21" ht="23.25" x14ac:dyDescent="0.35">
      <c r="T36" s="390"/>
      <c r="U36" s="392"/>
    </row>
    <row r="37" spans="2:21" ht="23.25" x14ac:dyDescent="0.35">
      <c r="T37" s="394">
        <f>T34+T35</f>
        <v>472.70666666666665</v>
      </c>
      <c r="U37" s="392"/>
    </row>
    <row r="38" spans="2:21" ht="23.25" x14ac:dyDescent="0.35">
      <c r="T38" s="390"/>
      <c r="U38" s="392"/>
    </row>
    <row r="39" spans="2:21" ht="23.25" x14ac:dyDescent="0.35">
      <c r="T39" s="390" t="s">
        <v>4771</v>
      </c>
      <c r="U39" s="392"/>
    </row>
    <row r="40" spans="2:21" x14ac:dyDescent="0.25">
      <c r="T40" s="392"/>
      <c r="U40" s="392"/>
    </row>
    <row r="41" spans="2:21" x14ac:dyDescent="0.25">
      <c r="T41" s="392"/>
      <c r="U41" s="392"/>
    </row>
    <row r="61" spans="19:20" x14ac:dyDescent="0.25">
      <c r="S61" s="395" t="s">
        <v>4772</v>
      </c>
      <c r="T61" s="395" t="s">
        <v>4773</v>
      </c>
    </row>
    <row r="62" spans="19:20" ht="15.75" x14ac:dyDescent="0.25">
      <c r="S62" s="396">
        <f>((O4/30*180/12))</f>
        <v>257.83999999999997</v>
      </c>
      <c r="T62" s="397">
        <f>((O4+S62)/30)*150/4</f>
        <v>966.9</v>
      </c>
    </row>
    <row r="79" spans="2:2" x14ac:dyDescent="0.25">
      <c r="B79" t="s">
        <v>4774</v>
      </c>
    </row>
  </sheetData>
  <mergeCells count="12">
    <mergeCell ref="D1:G1"/>
    <mergeCell ref="B14:D14"/>
    <mergeCell ref="F14:H14"/>
    <mergeCell ref="M14:N14"/>
    <mergeCell ref="B15:D15"/>
    <mergeCell ref="F15:H15"/>
    <mergeCell ref="R16:T16"/>
    <mergeCell ref="R20:T20"/>
    <mergeCell ref="B32:C32"/>
    <mergeCell ref="E32:F32"/>
    <mergeCell ref="B33:C33"/>
    <mergeCell ref="E33:F33"/>
  </mergeCells>
  <pageMargins left="0.39370078740157483" right="0.39370078740157483" top="0.39370078740157483" bottom="0.39370078740157483" header="0.31496062992125984" footer="0.31496062992125984"/>
  <pageSetup paperSize="9" scale="31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BS377"/>
  <sheetViews>
    <sheetView zoomScale="90" zoomScaleNormal="90" zoomScaleSheetLayoutView="106" workbookViewId="0">
      <pane ySplit="2" topLeftCell="A3" activePane="bottomLeft" state="frozen"/>
      <selection pane="bottomLeft" activeCell="BS24" sqref="BS24"/>
    </sheetView>
  </sheetViews>
  <sheetFormatPr baseColWidth="10" defaultRowHeight="12" x14ac:dyDescent="0.2"/>
  <cols>
    <col min="1" max="1" width="10.28515625" style="799" bestFit="1" customWidth="1"/>
    <col min="2" max="2" width="4" style="302" bestFit="1" customWidth="1"/>
    <col min="3" max="3" width="10.7109375" style="303" customWidth="1"/>
    <col min="4" max="4" width="39.85546875" style="303" customWidth="1"/>
    <col min="5" max="5" width="11.5703125" style="308" bestFit="1" customWidth="1"/>
    <col min="6" max="6" width="9" style="799" bestFit="1" customWidth="1"/>
    <col min="7" max="7" width="10.140625" style="799" bestFit="1" customWidth="1"/>
    <col min="8" max="8" width="10.28515625" style="303" bestFit="1" customWidth="1"/>
    <col min="9" max="9" width="40" style="303" bestFit="1" customWidth="1"/>
    <col min="10" max="10" width="7.140625" style="302" bestFit="1" customWidth="1"/>
    <col min="11" max="11" width="12.7109375" style="302" bestFit="1" customWidth="1"/>
    <col min="12" max="12" width="6.42578125" style="303" bestFit="1" customWidth="1"/>
    <col min="13" max="13" width="16.28515625" style="799" bestFit="1" customWidth="1"/>
    <col min="14" max="14" width="11.85546875" style="309" bestFit="1" customWidth="1"/>
    <col min="15" max="15" width="12.42578125" style="309" bestFit="1" customWidth="1"/>
    <col min="16" max="16" width="12.28515625" style="309" bestFit="1" customWidth="1"/>
    <col min="17" max="17" width="20" style="309" bestFit="1" customWidth="1"/>
    <col min="18" max="18" width="21" style="309" bestFit="1" customWidth="1"/>
    <col min="19" max="19" width="18.28515625" style="309" bestFit="1" customWidth="1"/>
    <col min="20" max="20" width="23" style="309" bestFit="1" customWidth="1"/>
    <col min="21" max="21" width="20" style="309" bestFit="1" customWidth="1"/>
    <col min="22" max="22" width="13.28515625" style="309" bestFit="1" customWidth="1"/>
    <col min="23" max="24" width="15.7109375" style="302" bestFit="1" customWidth="1"/>
    <col min="25" max="25" width="15.7109375" style="302" customWidth="1"/>
    <col min="26" max="26" width="18.140625" style="309" bestFit="1" customWidth="1"/>
    <col min="27" max="27" width="14.7109375" style="309" bestFit="1" customWidth="1"/>
    <col min="28" max="29" width="15.7109375" style="309" bestFit="1" customWidth="1"/>
    <col min="30" max="30" width="14.140625" style="309" bestFit="1" customWidth="1"/>
    <col min="31" max="31" width="14.140625" style="309" customWidth="1"/>
    <col min="32" max="32" width="16.7109375" style="302" bestFit="1" customWidth="1"/>
    <col min="33" max="33" width="13.85546875" style="302" bestFit="1" customWidth="1"/>
    <col min="34" max="35" width="12.28515625" style="309" bestFit="1" customWidth="1"/>
    <col min="36" max="36" width="11.28515625" style="309" bestFit="1" customWidth="1"/>
    <col min="37" max="37" width="15.85546875" style="309" bestFit="1" customWidth="1"/>
    <col min="38" max="39" width="15.85546875" style="309" customWidth="1"/>
    <col min="40" max="41" width="11.28515625" style="309" bestFit="1" customWidth="1"/>
    <col min="42" max="42" width="11.7109375" style="309" bestFit="1" customWidth="1"/>
    <col min="43" max="44" width="12.85546875" style="309" bestFit="1" customWidth="1"/>
    <col min="45" max="45" width="11.7109375" style="309" bestFit="1" customWidth="1"/>
    <col min="46" max="46" width="12.42578125" style="309" bestFit="1" customWidth="1"/>
    <col min="47" max="48" width="12.42578125" style="309" customWidth="1"/>
    <col min="49" max="49" width="13.7109375" style="309" customWidth="1"/>
    <col min="50" max="50" width="14.5703125" style="309" customWidth="1"/>
    <col min="51" max="51" width="15.28515625" style="309" customWidth="1"/>
    <col min="52" max="52" width="17" style="309" customWidth="1"/>
    <col min="53" max="53" width="13.42578125" style="309" bestFit="1" customWidth="1"/>
    <col min="54" max="54" width="2" style="310" customWidth="1"/>
    <col min="55" max="55" width="15.85546875" style="302" bestFit="1" customWidth="1"/>
    <col min="56" max="64" width="14.7109375" style="309" bestFit="1" customWidth="1"/>
    <col min="65" max="67" width="12.28515625" style="309" bestFit="1" customWidth="1"/>
    <col min="68" max="68" width="15.7109375" style="302" bestFit="1" customWidth="1"/>
    <col min="69" max="69" width="13.28515625" style="302" bestFit="1" customWidth="1"/>
    <col min="70" max="16384" width="11.42578125" style="303"/>
  </cols>
  <sheetData>
    <row r="1" spans="1:71" s="26" customFormat="1" ht="27.75" customHeight="1" thickBot="1" x14ac:dyDescent="0.3">
      <c r="A1" s="219"/>
      <c r="B1" s="219"/>
      <c r="E1" s="220"/>
      <c r="F1" s="219"/>
      <c r="G1" s="219"/>
      <c r="J1" s="219"/>
      <c r="K1" s="219"/>
      <c r="L1" s="1041"/>
      <c r="M1" s="1042"/>
      <c r="N1" s="801" t="s">
        <v>2851</v>
      </c>
      <c r="O1" s="801" t="s">
        <v>2853</v>
      </c>
      <c r="P1" s="801" t="s">
        <v>2857</v>
      </c>
      <c r="Q1" s="801" t="s">
        <v>2854</v>
      </c>
      <c r="R1" s="801" t="s">
        <v>4498</v>
      </c>
      <c r="S1" s="801" t="s">
        <v>4499</v>
      </c>
      <c r="T1" s="801" t="s">
        <v>4500</v>
      </c>
      <c r="U1" s="801" t="s">
        <v>4501</v>
      </c>
      <c r="V1" s="802"/>
      <c r="W1" s="803"/>
      <c r="X1" s="803"/>
      <c r="Y1" s="803"/>
      <c r="Z1" s="804"/>
      <c r="AA1" s="804"/>
      <c r="AB1" s="804"/>
      <c r="AC1" s="804"/>
      <c r="AD1" s="804"/>
      <c r="AE1" s="804"/>
      <c r="AF1" s="219"/>
      <c r="AG1" s="805"/>
      <c r="AH1" s="1043" t="s">
        <v>15</v>
      </c>
      <c r="AI1" s="1044"/>
      <c r="AJ1" s="1044"/>
      <c r="AK1" s="1044"/>
      <c r="AL1" s="1044"/>
      <c r="AM1" s="1045"/>
      <c r="AN1" s="806"/>
      <c r="AO1" s="806"/>
      <c r="AP1" s="806"/>
      <c r="AQ1" s="806"/>
      <c r="AR1" s="806"/>
      <c r="AS1" s="806"/>
      <c r="AT1" s="806"/>
      <c r="AU1" s="806"/>
      <c r="AV1" s="806"/>
      <c r="AW1" s="806"/>
      <c r="AX1" s="805"/>
      <c r="AY1" s="805"/>
      <c r="AZ1" s="807">
        <v>12</v>
      </c>
      <c r="BA1" s="808">
        <f>+(8*5*4)*AZ1</f>
        <v>1920</v>
      </c>
      <c r="BC1" s="219"/>
      <c r="BD1" s="809">
        <v>1</v>
      </c>
      <c r="BE1" s="810">
        <v>2</v>
      </c>
      <c r="BF1" s="810">
        <v>3</v>
      </c>
      <c r="BG1" s="810">
        <v>4</v>
      </c>
      <c r="BH1" s="810">
        <v>5</v>
      </c>
      <c r="BI1" s="810">
        <v>6</v>
      </c>
      <c r="BJ1" s="810">
        <v>7</v>
      </c>
      <c r="BK1" s="810">
        <v>8</v>
      </c>
      <c r="BL1" s="810">
        <v>9</v>
      </c>
      <c r="BM1" s="810">
        <v>10</v>
      </c>
      <c r="BN1" s="810">
        <v>11</v>
      </c>
      <c r="BO1" s="811">
        <v>12</v>
      </c>
      <c r="BP1" s="219"/>
      <c r="BQ1" s="219"/>
    </row>
    <row r="2" spans="1:71" ht="36.75" thickBot="1" x14ac:dyDescent="0.25">
      <c r="A2" s="461" t="s">
        <v>2841</v>
      </c>
      <c r="B2" s="221" t="s">
        <v>0</v>
      </c>
      <c r="C2" s="221" t="s">
        <v>2</v>
      </c>
      <c r="D2" s="221" t="s">
        <v>3</v>
      </c>
      <c r="E2" s="222" t="s">
        <v>4</v>
      </c>
      <c r="F2" s="223" t="s">
        <v>4685</v>
      </c>
      <c r="G2" s="223" t="s">
        <v>4686</v>
      </c>
      <c r="H2" s="223" t="s">
        <v>6</v>
      </c>
      <c r="I2" s="223" t="s">
        <v>5</v>
      </c>
      <c r="J2" s="221" t="s">
        <v>1</v>
      </c>
      <c r="K2" s="223" t="s">
        <v>7</v>
      </c>
      <c r="L2" s="224" t="s">
        <v>2863</v>
      </c>
      <c r="M2" s="225" t="s">
        <v>2846</v>
      </c>
      <c r="N2" s="812" t="s">
        <v>2852</v>
      </c>
      <c r="O2" s="223" t="s">
        <v>2887</v>
      </c>
      <c r="P2" s="223" t="s">
        <v>4502</v>
      </c>
      <c r="Q2" s="223" t="s">
        <v>2855</v>
      </c>
      <c r="R2" s="223" t="s">
        <v>4489</v>
      </c>
      <c r="S2" s="223" t="s">
        <v>4490</v>
      </c>
      <c r="T2" s="223" t="s">
        <v>4491</v>
      </c>
      <c r="U2" s="223" t="s">
        <v>4492</v>
      </c>
      <c r="V2" s="223" t="s">
        <v>9</v>
      </c>
      <c r="W2" s="223" t="s">
        <v>16</v>
      </c>
      <c r="X2" s="813" t="s">
        <v>10</v>
      </c>
      <c r="Y2" s="813" t="s">
        <v>4801</v>
      </c>
      <c r="Z2" s="813" t="s">
        <v>11</v>
      </c>
      <c r="AA2" s="223" t="s">
        <v>4802</v>
      </c>
      <c r="AB2" s="223" t="s">
        <v>4803</v>
      </c>
      <c r="AC2" s="223" t="s">
        <v>4804</v>
      </c>
      <c r="AD2" s="223" t="s">
        <v>4805</v>
      </c>
      <c r="AE2" s="223" t="s">
        <v>4575</v>
      </c>
      <c r="AF2" s="223" t="s">
        <v>4806</v>
      </c>
      <c r="AG2" s="814" t="s">
        <v>2888</v>
      </c>
      <c r="AH2" s="815" t="s">
        <v>4807</v>
      </c>
      <c r="AI2" s="816" t="s">
        <v>4808</v>
      </c>
      <c r="AJ2" s="816" t="s">
        <v>4809</v>
      </c>
      <c r="AK2" s="817" t="s">
        <v>4810</v>
      </c>
      <c r="AL2" s="818" t="s">
        <v>4811</v>
      </c>
      <c r="AM2" s="819" t="s">
        <v>2886</v>
      </c>
      <c r="AN2" s="813" t="s">
        <v>2860</v>
      </c>
      <c r="AO2" s="223" t="s">
        <v>4812</v>
      </c>
      <c r="AP2" s="223" t="s">
        <v>4813</v>
      </c>
      <c r="AQ2" s="223" t="s">
        <v>4814</v>
      </c>
      <c r="AR2" s="223" t="s">
        <v>4815</v>
      </c>
      <c r="AS2" s="223" t="s">
        <v>4496</v>
      </c>
      <c r="AT2" s="223" t="s">
        <v>4497</v>
      </c>
      <c r="AU2" s="223" t="s">
        <v>4816</v>
      </c>
      <c r="AV2" s="223" t="s">
        <v>4576</v>
      </c>
      <c r="AW2" s="223" t="s">
        <v>4658</v>
      </c>
      <c r="AX2" s="223" t="s">
        <v>4817</v>
      </c>
      <c r="AY2" s="223" t="s">
        <v>4818</v>
      </c>
      <c r="AZ2" s="223" t="s">
        <v>4819</v>
      </c>
      <c r="BA2" s="820" t="s">
        <v>4820</v>
      </c>
      <c r="BB2" s="303"/>
      <c r="BC2" s="821" t="s">
        <v>4821</v>
      </c>
      <c r="BD2" s="822" t="s">
        <v>2866</v>
      </c>
      <c r="BE2" s="822" t="s">
        <v>2867</v>
      </c>
      <c r="BF2" s="822" t="s">
        <v>2868</v>
      </c>
      <c r="BG2" s="822" t="s">
        <v>2869</v>
      </c>
      <c r="BH2" s="822" t="s">
        <v>2870</v>
      </c>
      <c r="BI2" s="822" t="s">
        <v>2871</v>
      </c>
      <c r="BJ2" s="822" t="s">
        <v>2864</v>
      </c>
      <c r="BK2" s="822" t="s">
        <v>2872</v>
      </c>
      <c r="BL2" s="822" t="s">
        <v>2873</v>
      </c>
      <c r="BM2" s="822" t="s">
        <v>2874</v>
      </c>
      <c r="BN2" s="822" t="s">
        <v>2905</v>
      </c>
      <c r="BO2" s="822" t="s">
        <v>2906</v>
      </c>
      <c r="BP2" s="823" t="s">
        <v>4822</v>
      </c>
      <c r="BQ2" s="823" t="s">
        <v>4823</v>
      </c>
    </row>
    <row r="3" spans="1:71" ht="12.75" thickBot="1" x14ac:dyDescent="0.25">
      <c r="A3" s="1046" t="s">
        <v>17</v>
      </c>
      <c r="B3" s="1047"/>
      <c r="C3" s="1048"/>
      <c r="D3" s="226"/>
      <c r="E3" s="227"/>
      <c r="F3" s="228"/>
      <c r="G3" s="228"/>
      <c r="H3" s="229"/>
      <c r="I3" s="229"/>
      <c r="J3" s="230"/>
      <c r="K3" s="230"/>
      <c r="L3" s="229"/>
      <c r="M3" s="228"/>
      <c r="N3" s="824"/>
      <c r="O3" s="824"/>
      <c r="P3" s="824"/>
      <c r="Q3" s="824"/>
      <c r="R3" s="824"/>
      <c r="S3" s="824"/>
      <c r="T3" s="824"/>
      <c r="U3" s="824"/>
      <c r="V3" s="824"/>
      <c r="W3" s="230"/>
      <c r="X3" s="230"/>
      <c r="Y3" s="230"/>
      <c r="Z3" s="824"/>
      <c r="AA3" s="824"/>
      <c r="AB3" s="824"/>
      <c r="AC3" s="824"/>
      <c r="AD3" s="824"/>
      <c r="AE3" s="824"/>
      <c r="AF3" s="230"/>
      <c r="AG3" s="230"/>
      <c r="AH3" s="824"/>
      <c r="AI3" s="824"/>
      <c r="AJ3" s="824"/>
      <c r="AK3" s="824"/>
      <c r="AL3" s="824"/>
      <c r="AM3" s="824"/>
      <c r="AN3" s="824"/>
      <c r="AO3" s="824"/>
      <c r="AP3" s="824"/>
      <c r="AQ3" s="824"/>
      <c r="AR3" s="824"/>
      <c r="AS3" s="824"/>
      <c r="AT3" s="824"/>
      <c r="AU3" s="824"/>
      <c r="AV3" s="824"/>
      <c r="AW3" s="824"/>
      <c r="AX3" s="824"/>
      <c r="AY3" s="824"/>
      <c r="AZ3" s="824"/>
      <c r="BA3" s="824"/>
      <c r="BB3" s="303"/>
      <c r="BC3" s="306"/>
      <c r="BD3" s="825"/>
      <c r="BE3" s="825"/>
      <c r="BF3" s="825"/>
      <c r="BG3" s="825"/>
      <c r="BH3" s="825"/>
      <c r="BI3" s="825"/>
      <c r="BJ3" s="825"/>
      <c r="BK3" s="825"/>
      <c r="BL3" s="825"/>
      <c r="BM3" s="825"/>
      <c r="BN3" s="825"/>
      <c r="BO3" s="825"/>
      <c r="BP3" s="306"/>
    </row>
    <row r="4" spans="1:71" ht="15.75" thickBot="1" x14ac:dyDescent="0.3">
      <c r="A4" s="231" t="s">
        <v>2847</v>
      </c>
      <c r="B4" s="232">
        <v>1</v>
      </c>
      <c r="C4" s="262">
        <v>19591141</v>
      </c>
      <c r="D4" s="254" t="s">
        <v>4824</v>
      </c>
      <c r="E4" s="235">
        <v>45505</v>
      </c>
      <c r="F4" s="236">
        <f>IF(E4&lt;&gt;"",'[3]CONCEPTOS Y PARAMETROS'!$L$2-YEAR(E4),"")</f>
        <v>1</v>
      </c>
      <c r="G4" s="237"/>
      <c r="H4" s="238" t="str">
        <f>IFERROR(VLOOKUP(I4,[3]CARGOS!A:E,2,0),"")</f>
        <v>61223</v>
      </c>
      <c r="I4" s="239" t="s">
        <v>4482</v>
      </c>
      <c r="J4" s="240" t="s">
        <v>2840</v>
      </c>
      <c r="K4" s="250">
        <f>IFERROR(VLOOKUP(J4,'[3]TAB EMP'!A:B,2,0),0)</f>
        <v>409</v>
      </c>
      <c r="L4" s="241">
        <v>0</v>
      </c>
      <c r="M4" s="241" t="s">
        <v>2895</v>
      </c>
      <c r="N4" s="826">
        <f>IF(E4&lt;&gt;"",VLOOKUP(SUM(F4:G4),'[3]CONCEPTOS Y PARAMETROS'!F:G,2,0)*K4,0)</f>
        <v>4.09</v>
      </c>
      <c r="O4" s="826">
        <f>IF(I4&lt;&gt;"",'[3]CONCEPTOS Y PARAMETROS'!$C$4,0)</f>
        <v>130</v>
      </c>
      <c r="P4" s="826">
        <f>'[3]CONCEPTOS Y PARAMETROS'!$C$7*L4</f>
        <v>0</v>
      </c>
      <c r="Q4" s="826">
        <f>IFERROR(ROUND(VLOOKUP($M4,'[3]CONCEPTOS Y PARAMETROS'!H:I,2,0)*($K4+N4+O4+P4),2),0)</f>
        <v>135.77000000000001</v>
      </c>
      <c r="R4" s="826">
        <f>IF(I4&lt;&gt;"",'[3]CONCEPTOS Y PARAMETROS'!$C$18,0)</f>
        <v>12.5</v>
      </c>
      <c r="S4" s="826"/>
      <c r="T4" s="826"/>
      <c r="U4" s="826"/>
      <c r="V4" s="462">
        <f>SUM(N4:Q4)</f>
        <v>269.86</v>
      </c>
      <c r="W4" s="827">
        <f>K4+V4+X4</f>
        <v>678.86</v>
      </c>
      <c r="X4" s="827">
        <f t="shared" ref="X4:X10" si="0">IF(I4="VIGILANTE",(K4+V4)*30%,0)</f>
        <v>0</v>
      </c>
      <c r="Y4" s="827">
        <f>(IF(SUM(F4:G4)&gt;1,IF((SUM(F4:G4)-1)*2&gt;30,30,SUM(F4:G4)-1)*2)*(AF4/30))*(IF(MONTH(E4)&lt;=$AZ$1,1,0))*0</f>
        <v>0</v>
      </c>
      <c r="Z4" s="827">
        <f>IF(I4&lt;&gt;"",(ROUND(IF(A4="EMPLEADO",eval_formula('[3]CONCEPTOS Y PARAMETROS'!$C$8,'RAC (2025)'!K4,'RAC (2025)'!$W4,'RAC (2025)'!F4+'RAC (2025)'!G4),eval_formula('[3]CONCEPTOS Y PARAMETROS'!$D$8,'RAC (2025)'!K4,'RAC (2025)'!$W4,'RAC (2025)'!F4+'RAC (2025)'!G4)),2))*IF(MONTH(E4)&lt;=$AZ$1,1,0),0)</f>
        <v>5430.88</v>
      </c>
      <c r="AA4" s="827"/>
      <c r="AB4" s="827">
        <f>(((W4/30)*'[3]CONCEPTOS Y PARAMETROS'!$C$27)/12)</f>
        <v>339.43</v>
      </c>
      <c r="AC4" s="827">
        <f>(((W4/30)*'[3]CONCEPTOS Y PARAMETROS'!$C$28)/12)</f>
        <v>282.85833333333335</v>
      </c>
      <c r="AD4" s="827"/>
      <c r="AE4" s="827">
        <f>(W4/30)*'[3]CONCEPTOS Y PARAMETROS'!$C$29</f>
        <v>6.78859892098109</v>
      </c>
      <c r="AF4" s="827">
        <f>+W4+AB4+AC4+AD4+AE4+AG4</f>
        <v>1375.8229322543143</v>
      </c>
      <c r="AG4" s="827">
        <f>+W4/30*'[3]CONCEPTOS Y PARAMETROS'!$M$2</f>
        <v>67.885999999999996</v>
      </c>
      <c r="AH4" s="827">
        <f>(K4*'[3]CONCEPTOS Y PARAMETROS'!$C$11)</f>
        <v>36.809999999999995</v>
      </c>
      <c r="AI4" s="827">
        <f>(K4*'[3]CONCEPTOS Y PARAMETROS'!$C$12)</f>
        <v>8.18</v>
      </c>
      <c r="AJ4" s="827">
        <f>+W4*'[3]CONCEPTOS Y PARAMETROS'!$C$13</f>
        <v>13.577200000000001</v>
      </c>
      <c r="AK4" s="827"/>
      <c r="AL4" s="828"/>
      <c r="AM4" s="828"/>
      <c r="AN4" s="827">
        <f>IF(I4&lt;&gt;"",IF($AZ$1&gt;=11,'[3]CONCEPTOS Y PARAMETROS'!$C$10,0),0)</f>
        <v>12.5</v>
      </c>
      <c r="AO4" s="827">
        <f>IF(I4&lt;&gt;"",IF($AZ$1&gt;=11,'[3]CONCEPTOS Y PARAMETROS'!$C$16,0),0)</f>
        <v>12.5</v>
      </c>
      <c r="AP4" s="827"/>
      <c r="AQ4" s="827">
        <f>IF(I4&lt;&gt;"",IF($AZ$1&gt;5,'[3]CONCEPTOS Y PARAMETROS'!$C$23,0),0)</f>
        <v>12.5</v>
      </c>
      <c r="AR4" s="827">
        <f>IF(J4&lt;&gt;"",IF($AZ$1&gt;5,'[3]CONCEPTOS Y PARAMETROS'!$C$23,0),0)</f>
        <v>12.5</v>
      </c>
      <c r="AS4" s="827"/>
      <c r="AT4" s="827"/>
      <c r="AU4" s="462">
        <f>IF(AND(H4&lt;&gt;"",$AZ$1&gt;8),'[3]CONCEPTOS Y PARAMETROS'!$C$32,0)</f>
        <v>12.5</v>
      </c>
      <c r="AV4" s="827">
        <v>0</v>
      </c>
      <c r="AW4" s="827">
        <f>IF(I4&lt;&gt;"",'[3]CONCEPTOS Y PARAMETROS'!$C$14,0)</f>
        <v>3000</v>
      </c>
      <c r="AX4" s="828">
        <f>'[3]CONCEPTOS Y PARAMETROS'!$C$30</f>
        <v>0</v>
      </c>
      <c r="AY4" s="827">
        <f>IF(I4&lt;&gt;"",'[3]CONCEPTOS Y PARAMETROS'!$C$15,0)</f>
        <v>0.1239999532699585</v>
      </c>
      <c r="AZ4" s="462">
        <f>(((W4+AJ4+AK4+R4+S4+T4+U4+AX4+AM4+AL4+AH4+AI4+AW4)*$AZ$1)+Y4+Z4+AA4+AD4+AG4+AN4+AO4+AP4+AQ4+AR4+AS4+AT4+AY4+AU4+AV4)+($AE4*VLOOKUP($AZ$1,'[3]CONCEPTOS Y PARAMETROS'!$A$38:$C$49,3,0))</f>
        <v>50587.67079563719</v>
      </c>
      <c r="BA4" s="829">
        <f t="shared" ref="BA4:BA10" si="1">$AZ4/$BA$1</f>
        <v>26.347745206061038</v>
      </c>
      <c r="BB4" s="303"/>
      <c r="BC4" s="830">
        <f>+$W4+$AH4+$AI4+$AJ4+$AK4+$AX4+$AM4+$AL4</f>
        <v>737.42719999999986</v>
      </c>
      <c r="BD4" s="462">
        <f t="shared" ref="BD4:BD10" si="2">$BC4+IF(MONTH($E4)=BD$1,SUM($Z4+$Y4),0)+AD4+AG4+AW4+AY4+AS4+AT4+(IF($AZ$1&gt;=1,$AE4,0))+R4+S4+T4+U4</f>
        <v>3824.7257988742508</v>
      </c>
      <c r="BE4" s="462">
        <f t="shared" ref="BE4:BE10" si="3">($BC4+IF(MONTH($E4)=BE$1,SUM($Z4+$Y4),0))*IF($AZ$1&gt;BD$1,1,0)+R4+S4+T4+U4</f>
        <v>749.92719999999986</v>
      </c>
      <c r="BF4" s="462">
        <f t="shared" ref="BF4:BF10" si="4">($BC4+IF(MONTH($E4)=BF$1,SUM($Z4+$Y4),0))*IF($AZ$1&gt;BE$1,1,0)+R4+S4+T4+U4</f>
        <v>749.92719999999986</v>
      </c>
      <c r="BG4" s="462">
        <f t="shared" ref="BG4:BG10" si="5">($BC4+IF(MONTH($E4)=BG$1,SUM($Z4+$Y4),0))*IF($AZ$1&gt;BF$1,1,0)+(IF($AZ$1&gt;=4,$AE4,0))+IF($AZ$1&gt;BF$1,SUM(R4+S4+T4+U4),0)</f>
        <v>756.715798920981</v>
      </c>
      <c r="BH4" s="462">
        <f t="shared" ref="BH4:BH10" si="6">($BC4+IF(MONTH($E4)=BH$1,SUM($Z4+$Y4),0))*IF($AZ$1&gt;BG$1,1,0)+IF($AZ$1&gt;$BG$1,AP4,0)+IF($AZ$1&gt;BG$1,SUM(R4+S4+T4+U4),0)</f>
        <v>749.92719999999986</v>
      </c>
      <c r="BI4" s="462">
        <f t="shared" ref="BI4:BI10" si="7">($BC4+IF(MONTH($E4)=BI$1,SUM($Z4+$Y4),0))*IF($AZ$1&gt;BH$1,1,0)+IF($AZ$1&gt;$BH$1,AQ4,0)+IF($AZ$1&gt;BH$1,SUM(R4+S4+T4+U4),0)</f>
        <v>762.42719999999986</v>
      </c>
      <c r="BJ4" s="462">
        <f t="shared" ref="BJ4:BJ10" si="8">($BC4+IF(MONTH($E4)=BJ$1,SUM($Z4+$Y4),0))*IF($AZ$1&gt;$BI$1,1,0)+IF($AZ$1&gt;$BI$1,AR4,0)+(IF($AZ$1&gt;=7,$AE4,0))+IF($AZ$1&gt;BI$1,SUM(R4+S4+T4+U4),0)</f>
        <v>769.215798920981</v>
      </c>
      <c r="BK4" s="462">
        <f t="shared" ref="BK4:BK10" si="9">($BC4+IF(MONTH($E4)=BK$1,SUM($Z4+$Y4),0))*IF($AZ$1&gt;$BJ$1,1,0)+IF($AZ$1&gt;BJ$1,SUM(R4+S4+T4+U4),0)</f>
        <v>6180.8072000000002</v>
      </c>
      <c r="BL4" s="462">
        <f t="shared" ref="BL4:BL10" si="10">($BC4+IF(MONTH($E4)=BL$1,SUM($Z4+$Y4),0))*IF($AZ$1&gt;$BK$1,1,0)+IF($AZ$1&gt;BK$1,SUM(R4+S4+T4+U4)+AU4,0)</f>
        <v>762.42719999999986</v>
      </c>
      <c r="BM4" s="462">
        <f t="shared" ref="BM4:BM10" si="11">($BC4+IF(MONTH($E4)=BM$1,SUM($Z4+$Y4),0))*IF($AZ$1&gt;$BL$1,1,0)+(IF($AZ$1&gt;=10,$AE4,0))+IF($AZ$1&gt;BL$1,SUM(R4+S4+T4+U4)+AV4,0)</f>
        <v>756.715798920981</v>
      </c>
      <c r="BN4" s="462">
        <f t="shared" ref="BN4:BN10" si="12">($BC4+IF(MONTH($E4)=BN$1,SUM($Z4+$Y4),0)+AA4)*IF($AZ$1&gt;$BM$1,1,0)+IF($AZ$1&gt;$BM$1,AN4,0)+IF($AZ$1&gt;$BM$1,AO4,0)+IF($AZ$1&gt;BM$1,SUM(R4+S4+T4+U4),0)</f>
        <v>774.92719999999986</v>
      </c>
      <c r="BO4" s="462">
        <f t="shared" ref="BO4:BO10" si="13">($BC4+IF(MONTH($E4)=BO$1,SUM($Z4+$Y4),0))*IF($AZ$1=12,1,0)+IF($AZ$1&gt;BN$1,SUM(R4+S4+T4+U4),0)</f>
        <v>749.92719999999986</v>
      </c>
      <c r="BP4" s="462">
        <f t="shared" ref="BP4" si="14">SUM(BD4:BO4)</f>
        <v>17587.670795637194</v>
      </c>
      <c r="BQ4" s="831">
        <f t="shared" ref="BQ4:BQ10" si="15">+BP4-AZ4</f>
        <v>-33000</v>
      </c>
      <c r="BS4" s="310"/>
    </row>
    <row r="5" spans="1:71" ht="15.75" thickBot="1" x14ac:dyDescent="0.3">
      <c r="A5" s="242" t="s">
        <v>2847</v>
      </c>
      <c r="B5" s="243">
        <f t="shared" ref="B5:B8" ca="1" si="16">OFFSET(B5,-1,0)+1</f>
        <v>2</v>
      </c>
      <c r="C5" s="262">
        <v>13462511</v>
      </c>
      <c r="D5" s="234" t="s">
        <v>4825</v>
      </c>
      <c r="E5" s="245">
        <v>45566</v>
      </c>
      <c r="F5" s="246">
        <f>IF(E5&lt;&gt;"",'[3]CONCEPTOS Y PARAMETROS'!$L$2-YEAR(E5),"")</f>
        <v>1</v>
      </c>
      <c r="G5" s="247"/>
      <c r="H5" s="248" t="str">
        <f>IFERROR(VLOOKUP(I5,[3]CARGOS!A:E,2,0),"")</f>
        <v>90101</v>
      </c>
      <c r="I5" s="244" t="s">
        <v>4484</v>
      </c>
      <c r="J5" s="249" t="s">
        <v>2839</v>
      </c>
      <c r="K5" s="250">
        <f>IFERROR(VLOOKUP(J5,'[3]TAB EMP'!A:B,2,0),0)</f>
        <v>376</v>
      </c>
      <c r="L5" s="251">
        <v>0</v>
      </c>
      <c r="M5" s="251" t="s">
        <v>2895</v>
      </c>
      <c r="N5" s="832">
        <f>IF(E5&lt;&gt;"",VLOOKUP(SUM(F5:G5),'[3]CONCEPTOS Y PARAMETROS'!F:G,2,0)*K5,0)</f>
        <v>3.7600000000000002</v>
      </c>
      <c r="O5" s="832">
        <f>IF(I5&lt;&gt;"",'[3]CONCEPTOS Y PARAMETROS'!$C$4,0)</f>
        <v>130</v>
      </c>
      <c r="P5" s="832">
        <f>'[3]CONCEPTOS Y PARAMETROS'!$C$7*L5</f>
        <v>0</v>
      </c>
      <c r="Q5" s="832">
        <f>IFERROR(ROUND(VLOOKUP($M5,'[3]CONCEPTOS Y PARAMETROS'!H:I,2,0)*($K5+N5+O5+P5),2),0)</f>
        <v>127.44</v>
      </c>
      <c r="R5" s="832">
        <f>IF(I5&lt;&gt;"",'[3]CONCEPTOS Y PARAMETROS'!$C$18,0)</f>
        <v>12.5</v>
      </c>
      <c r="S5" s="832"/>
      <c r="T5" s="832"/>
      <c r="U5" s="832"/>
      <c r="V5" s="462">
        <f t="shared" ref="V5:V10" si="17">SUM(N5:Q5)</f>
        <v>261.2</v>
      </c>
      <c r="W5" s="827">
        <f t="shared" ref="W5:W10" si="18">K5+V5+X5</f>
        <v>637.20000000000005</v>
      </c>
      <c r="X5" s="833">
        <f t="shared" si="0"/>
        <v>0</v>
      </c>
      <c r="Y5" s="827">
        <f t="shared" ref="Y5:Y6" si="19">(IF(SUM(F5:G5)&gt;1,IF((SUM(F5:G5)-1)*2&gt;30,30,SUM(F5:G5)-1)*2)*(AF5/30))*(IF(MONTH(E5)&lt;=$AZ$1,1,0))*0</f>
        <v>0</v>
      </c>
      <c r="Z5" s="833">
        <f>IF(I5&lt;&gt;"",(ROUND(IF(A5="EMPLEADO",eval_formula('[3]CONCEPTOS Y PARAMETROS'!$C$8,'RAC (2025)'!K5,'RAC (2025)'!$W5,'RAC (2025)'!F5+'RAC (2025)'!G5),eval_formula('[3]CONCEPTOS Y PARAMETROS'!$D$8,'RAC (2025)'!K5,'RAC (2025)'!$W5,'RAC (2025)'!F5+'RAC (2025)'!G5)),2))*IF(MONTH(E5)&lt;=$AZ$1,1,0),0)</f>
        <v>5097.6000000000004</v>
      </c>
      <c r="AA5" s="833"/>
      <c r="AB5" s="833">
        <f>(((W5/30)*'[3]CONCEPTOS Y PARAMETROS'!$C$27)/12)</f>
        <v>318.60000000000002</v>
      </c>
      <c r="AC5" s="833">
        <f>(((W5/30)*'[3]CONCEPTOS Y PARAMETROS'!$C$28)/12)</f>
        <v>265.50000000000006</v>
      </c>
      <c r="AD5" s="833"/>
      <c r="AE5" s="833">
        <f>(W5/30)*'[3]CONCEPTOS Y PARAMETROS'!$C$29</f>
        <v>6.3719989871978768</v>
      </c>
      <c r="AF5" s="833">
        <f t="shared" ref="AF5:AF10" si="20">+W5+AB5+AC5+AD5+AE5+AG5</f>
        <v>1291.3919989871981</v>
      </c>
      <c r="AG5" s="833">
        <f>+W5/30*'[3]CONCEPTOS Y PARAMETROS'!$M$2</f>
        <v>63.720000000000006</v>
      </c>
      <c r="AH5" s="827">
        <f>(K5*'[3]CONCEPTOS Y PARAMETROS'!$C$11)</f>
        <v>33.839999999999996</v>
      </c>
      <c r="AI5" s="827">
        <f>(K5*'[3]CONCEPTOS Y PARAMETROS'!$C$12)</f>
        <v>7.5200000000000005</v>
      </c>
      <c r="AJ5" s="833">
        <f>+W5*'[3]CONCEPTOS Y PARAMETROS'!$C$13</f>
        <v>12.744000000000002</v>
      </c>
      <c r="AK5" s="827"/>
      <c r="AL5" s="833"/>
      <c r="AM5" s="832"/>
      <c r="AN5" s="833">
        <f>IF(I5&lt;&gt;"",IF($AZ$1&gt;=11,'[3]CONCEPTOS Y PARAMETROS'!$C$10,0),0)</f>
        <v>12.5</v>
      </c>
      <c r="AO5" s="833">
        <f>IF(I5&lt;&gt;"",IF($AZ$1&gt;=11,'[3]CONCEPTOS Y PARAMETROS'!$C$16,0),0)</f>
        <v>12.5</v>
      </c>
      <c r="AP5" s="833"/>
      <c r="AQ5" s="833">
        <f>IF(I5&lt;&gt;"",IF($AZ$1&gt;5,'[3]CONCEPTOS Y PARAMETROS'!$C$23,0),0)</f>
        <v>12.5</v>
      </c>
      <c r="AR5" s="827">
        <f>IF(J5&lt;&gt;"",IF($AZ$1&gt;5,'[3]CONCEPTOS Y PARAMETROS'!$C$23,0),0)</f>
        <v>12.5</v>
      </c>
      <c r="AS5" s="833"/>
      <c r="AT5" s="833"/>
      <c r="AU5" s="833">
        <f>IF(AND(H5&lt;&gt;"",$AZ$1&gt;8),'[3]CONCEPTOS Y PARAMETROS'!$C$32,0)</f>
        <v>12.5</v>
      </c>
      <c r="AV5" s="833">
        <v>0</v>
      </c>
      <c r="AW5" s="833">
        <f>IF(I5&lt;&gt;"",'[3]CONCEPTOS Y PARAMETROS'!$C$14,0)</f>
        <v>3000</v>
      </c>
      <c r="AX5" s="828">
        <f>'[3]CONCEPTOS Y PARAMETROS'!$C$30</f>
        <v>0</v>
      </c>
      <c r="AY5" s="833">
        <f>IF(I5&lt;&gt;"",'[3]CONCEPTOS Y PARAMETROS'!$C$15,0)</f>
        <v>0.1239999532699585</v>
      </c>
      <c r="AZ5" s="462">
        <f>(((W5+AJ5+AK5+R5+S5+T5+U5+AX5+AM5+AL5+AH5+AI5+AW5)*$AZ$1)+Y5+Z5+AA5+AD5+AG5+AN5+AO5+AP5+AQ5+AR5+AS5+AT5+AY5+AU5+AV5)+($AE5*VLOOKUP($AZ$1,'[3]CONCEPTOS Y PARAMETROS'!$A$38:$C$49,3,0))</f>
        <v>49695.079995902059</v>
      </c>
      <c r="BA5" s="834">
        <f t="shared" si="1"/>
        <v>25.882854164532322</v>
      </c>
      <c r="BB5" s="303"/>
      <c r="BC5" s="835">
        <f t="shared" ref="BC5:BC10" si="21">+$W5+$AH5+$AI5+$AJ5+$AK5+$AX5+$AM5+$AL5</f>
        <v>691.30400000000009</v>
      </c>
      <c r="BD5" s="833">
        <f t="shared" si="2"/>
        <v>3774.0199989404682</v>
      </c>
      <c r="BE5" s="833">
        <f t="shared" si="3"/>
        <v>703.80400000000009</v>
      </c>
      <c r="BF5" s="833">
        <f t="shared" si="4"/>
        <v>703.80400000000009</v>
      </c>
      <c r="BG5" s="833">
        <f t="shared" si="5"/>
        <v>710.175998987198</v>
      </c>
      <c r="BH5" s="833">
        <f t="shared" si="6"/>
        <v>703.80400000000009</v>
      </c>
      <c r="BI5" s="833">
        <f t="shared" si="7"/>
        <v>716.30400000000009</v>
      </c>
      <c r="BJ5" s="833">
        <f t="shared" si="8"/>
        <v>722.675998987198</v>
      </c>
      <c r="BK5" s="833">
        <f t="shared" si="9"/>
        <v>703.80400000000009</v>
      </c>
      <c r="BL5" s="833">
        <f t="shared" si="10"/>
        <v>716.30400000000009</v>
      </c>
      <c r="BM5" s="833">
        <f t="shared" si="11"/>
        <v>5807.7759989871984</v>
      </c>
      <c r="BN5" s="833">
        <f t="shared" si="12"/>
        <v>728.80400000000009</v>
      </c>
      <c r="BO5" s="833">
        <f t="shared" si="13"/>
        <v>703.80400000000009</v>
      </c>
      <c r="BP5" s="833">
        <f t="shared" ref="BP5:BP6" si="22">SUM(BD5:BO5)</f>
        <v>16695.079995902062</v>
      </c>
      <c r="BQ5" s="836">
        <f t="shared" si="15"/>
        <v>-33000</v>
      </c>
    </row>
    <row r="6" spans="1:71" ht="15.75" thickBot="1" x14ac:dyDescent="0.3">
      <c r="A6" s="242" t="s">
        <v>2847</v>
      </c>
      <c r="B6" s="243">
        <f t="shared" ca="1" si="16"/>
        <v>3</v>
      </c>
      <c r="C6" s="262">
        <v>12798736</v>
      </c>
      <c r="D6" s="234" t="s">
        <v>4785</v>
      </c>
      <c r="E6" s="245">
        <v>45098</v>
      </c>
      <c r="F6" s="246">
        <f>IF(E6&lt;&gt;"",'[3]CONCEPTOS Y PARAMETROS'!$L$2-YEAR(E6),"")</f>
        <v>2</v>
      </c>
      <c r="G6" s="247"/>
      <c r="H6" s="248" t="str">
        <f>IFERROR(VLOOKUP(I6,[3]CARGOS!A:E,2,0),"")</f>
        <v>00903</v>
      </c>
      <c r="I6" s="244" t="s">
        <v>894</v>
      </c>
      <c r="J6" s="249" t="s">
        <v>2837</v>
      </c>
      <c r="K6" s="250">
        <f>IFERROR(VLOOKUP(J6,'[3]TAB EMP'!A:B,2,0),0)</f>
        <v>363</v>
      </c>
      <c r="L6" s="251">
        <v>0</v>
      </c>
      <c r="M6" s="251" t="s">
        <v>2895</v>
      </c>
      <c r="N6" s="832">
        <f>IF(E6&lt;&gt;"",VLOOKUP(SUM(F6:G6),'[3]CONCEPTOS Y PARAMETROS'!F:G,2,0)*K6,0)</f>
        <v>7.26</v>
      </c>
      <c r="O6" s="832">
        <f>IF(I6&lt;&gt;"",'[3]CONCEPTOS Y PARAMETROS'!$C$4,0)</f>
        <v>130</v>
      </c>
      <c r="P6" s="832">
        <f>'[3]CONCEPTOS Y PARAMETROS'!$C$7*L6</f>
        <v>0</v>
      </c>
      <c r="Q6" s="832">
        <f>IFERROR(ROUND(VLOOKUP($M6,'[3]CONCEPTOS Y PARAMETROS'!H:I,2,0)*($K6+N6+O6+P6),2),0)</f>
        <v>125.07</v>
      </c>
      <c r="R6" s="832">
        <f>IF(I6&lt;&gt;"",'[3]CONCEPTOS Y PARAMETROS'!$C$18,0)</f>
        <v>12.5</v>
      </c>
      <c r="S6" s="832"/>
      <c r="T6" s="832"/>
      <c r="U6" s="832"/>
      <c r="V6" s="462">
        <f t="shared" si="17"/>
        <v>262.33</v>
      </c>
      <c r="W6" s="827">
        <f t="shared" si="18"/>
        <v>625.32999999999993</v>
      </c>
      <c r="X6" s="833">
        <f t="shared" si="0"/>
        <v>0</v>
      </c>
      <c r="Y6" s="827">
        <f t="shared" si="19"/>
        <v>0</v>
      </c>
      <c r="Z6" s="833">
        <f>IF(I6&lt;&gt;"",(ROUND(IF(A6="EMPLEADO",eval_formula('[3]CONCEPTOS Y PARAMETROS'!$C$8,'RAC (2025)'!K6,'RAC (2025)'!$W6,'RAC (2025)'!F6+'RAC (2025)'!G6),eval_formula('[3]CONCEPTOS Y PARAMETROS'!$D$8,'RAC (2025)'!K6,'RAC (2025)'!$W6,'RAC (2025)'!F6+'RAC (2025)'!G6)),2))*IF(MONTH(E6)&lt;=$AZ$1,1,0),0)</f>
        <v>5002.6400000000003</v>
      </c>
      <c r="AA6" s="833"/>
      <c r="AB6" s="833">
        <f>(((W6/30)*'[3]CONCEPTOS Y PARAMETROS'!$C$27)/12)</f>
        <v>312.66499999999996</v>
      </c>
      <c r="AC6" s="833">
        <f>(((W6/30)*'[3]CONCEPTOS Y PARAMETROS'!$C$28)/12)</f>
        <v>260.55416666666662</v>
      </c>
      <c r="AD6" s="833"/>
      <c r="AE6" s="833">
        <f>(W6/30)*'[3]CONCEPTOS Y PARAMETROS'!$C$29</f>
        <v>6.253299006064732</v>
      </c>
      <c r="AF6" s="833">
        <f t="shared" si="20"/>
        <v>1267.3354656727311</v>
      </c>
      <c r="AG6" s="833">
        <f>+W6/30*'[3]CONCEPTOS Y PARAMETROS'!$M$2</f>
        <v>62.532999999999994</v>
      </c>
      <c r="AH6" s="827">
        <f>(K6*'[3]CONCEPTOS Y PARAMETROS'!$C$11)</f>
        <v>32.67</v>
      </c>
      <c r="AI6" s="827">
        <f>(K6*'[3]CONCEPTOS Y PARAMETROS'!$C$12)</f>
        <v>7.26</v>
      </c>
      <c r="AJ6" s="833">
        <f>+W6*'[3]CONCEPTOS Y PARAMETROS'!$C$13</f>
        <v>12.506599999999999</v>
      </c>
      <c r="AK6" s="827"/>
      <c r="AL6" s="833"/>
      <c r="AM6" s="832"/>
      <c r="AN6" s="833">
        <f>IF(I6&lt;&gt;"",IF($AZ$1&gt;=11,'[3]CONCEPTOS Y PARAMETROS'!$C$10,0),0)</f>
        <v>12.5</v>
      </c>
      <c r="AO6" s="833">
        <f>IF(I6&lt;&gt;"",IF($AZ$1&gt;=11,'[3]CONCEPTOS Y PARAMETROS'!$C$16,0),0)</f>
        <v>12.5</v>
      </c>
      <c r="AP6" s="833"/>
      <c r="AQ6" s="833">
        <f>IF(I6&lt;&gt;"",IF($AZ$1&gt;5,'[3]CONCEPTOS Y PARAMETROS'!$C$23,0),0)</f>
        <v>12.5</v>
      </c>
      <c r="AR6" s="827">
        <f>IF(J6&lt;&gt;"",IF($AZ$1&gt;5,'[3]CONCEPTOS Y PARAMETROS'!$C$23,0),0)</f>
        <v>12.5</v>
      </c>
      <c r="AS6" s="833"/>
      <c r="AT6" s="833"/>
      <c r="AU6" s="833">
        <f>IF(AND(H6&lt;&gt;"",$AZ$1&gt;8),'[3]CONCEPTOS Y PARAMETROS'!$C$32,0)</f>
        <v>12.5</v>
      </c>
      <c r="AV6" s="833">
        <v>0</v>
      </c>
      <c r="AW6" s="833">
        <f>IF(I6&lt;&gt;"",'[3]CONCEPTOS Y PARAMETROS'!$C$14,0)</f>
        <v>3000</v>
      </c>
      <c r="AX6" s="828">
        <f>'[3]CONCEPTOS Y PARAMETROS'!$C$30</f>
        <v>0</v>
      </c>
      <c r="AY6" s="833">
        <f>IF(I6&lt;&gt;"",'[3]CONCEPTOS Y PARAMETROS'!$C$15,0)</f>
        <v>0.1239999532699585</v>
      </c>
      <c r="AZ6" s="462">
        <f>(((W6+AJ6+AK6+R6+S6+T6+U6+AX6+AM6+AL6+AH6+AI6+AW6)*$AZ$1)+Y6+Z6+AA6+AD6+AG6+AN6+AO6+AP6+AQ6+AR6+AS6+AT6+AY6+AU6+AV6)+($AE6*VLOOKUP($AZ$1,'[3]CONCEPTOS Y PARAMETROS'!$A$38:$C$49,3,0))</f>
        <v>49436.009395977533</v>
      </c>
      <c r="BA6" s="834">
        <f t="shared" si="1"/>
        <v>25.747921560404965</v>
      </c>
      <c r="BB6" s="303"/>
      <c r="BC6" s="835">
        <f t="shared" si="21"/>
        <v>677.76659999999993</v>
      </c>
      <c r="BD6" s="833">
        <f t="shared" si="2"/>
        <v>3759.1768989593347</v>
      </c>
      <c r="BE6" s="833">
        <f t="shared" si="3"/>
        <v>690.26659999999993</v>
      </c>
      <c r="BF6" s="833">
        <f t="shared" si="4"/>
        <v>690.26659999999993</v>
      </c>
      <c r="BG6" s="833">
        <f t="shared" si="5"/>
        <v>696.51989900606463</v>
      </c>
      <c r="BH6" s="833">
        <f t="shared" si="6"/>
        <v>690.26659999999993</v>
      </c>
      <c r="BI6" s="833">
        <f t="shared" si="7"/>
        <v>5705.4066000000003</v>
      </c>
      <c r="BJ6" s="833">
        <f t="shared" si="8"/>
        <v>709.01989900606463</v>
      </c>
      <c r="BK6" s="833">
        <f t="shared" si="9"/>
        <v>690.26659999999993</v>
      </c>
      <c r="BL6" s="833">
        <f t="shared" si="10"/>
        <v>702.76659999999993</v>
      </c>
      <c r="BM6" s="833">
        <f t="shared" si="11"/>
        <v>696.51989900606463</v>
      </c>
      <c r="BN6" s="833">
        <f t="shared" si="12"/>
        <v>715.26659999999993</v>
      </c>
      <c r="BO6" s="833">
        <f t="shared" si="13"/>
        <v>690.26659999999993</v>
      </c>
      <c r="BP6" s="833">
        <f t="shared" si="22"/>
        <v>16436.009395977529</v>
      </c>
      <c r="BQ6" s="836">
        <f t="shared" si="15"/>
        <v>-33000</v>
      </c>
    </row>
    <row r="7" spans="1:71" ht="15.75" thickBot="1" x14ac:dyDescent="0.3">
      <c r="A7" s="252" t="s">
        <v>2847</v>
      </c>
      <c r="B7" s="243">
        <f t="shared" ca="1" si="16"/>
        <v>4</v>
      </c>
      <c r="C7" s="262">
        <v>10914417</v>
      </c>
      <c r="D7" s="234" t="s">
        <v>4689</v>
      </c>
      <c r="E7" s="245">
        <v>44256</v>
      </c>
      <c r="F7" s="256">
        <f>IF(E7&lt;&gt;"",'[3]CONCEPTOS Y PARAMETROS'!$L$2-YEAR(E7),"")</f>
        <v>4</v>
      </c>
      <c r="G7" s="257"/>
      <c r="H7" s="258" t="str">
        <f>IFERROR(VLOOKUP(I7,[3]CARGOS!A:E,2,0),"")</f>
        <v>00904</v>
      </c>
      <c r="I7" s="259" t="s">
        <v>753</v>
      </c>
      <c r="J7" s="260" t="s">
        <v>2837</v>
      </c>
      <c r="K7" s="250">
        <v>348</v>
      </c>
      <c r="L7" s="261">
        <v>0</v>
      </c>
      <c r="M7" s="261" t="s">
        <v>2895</v>
      </c>
      <c r="N7" s="837">
        <f>IF(E7&lt;&gt;"",VLOOKUP(SUM(F7:G7),'[3]CONCEPTOS Y PARAMETROS'!F:G,2,0)*K7,0)</f>
        <v>13.92</v>
      </c>
      <c r="O7" s="837">
        <f>IF(I7&lt;&gt;"",'[3]CONCEPTOS Y PARAMETROS'!$C$4,0)</f>
        <v>130</v>
      </c>
      <c r="P7" s="837">
        <f>'[3]CONCEPTOS Y PARAMETROS'!$C$7*L7</f>
        <v>0</v>
      </c>
      <c r="Q7" s="837">
        <f>IFERROR(ROUND(VLOOKUP($M7,'[3]CONCEPTOS Y PARAMETROS'!H:I,2,0)*($K7+N7+O7+P7),2),0)</f>
        <v>122.98</v>
      </c>
      <c r="R7" s="837">
        <f>IF(I7&lt;&gt;"",'[3]CONCEPTOS Y PARAMETROS'!$C$18,0)</f>
        <v>12.5</v>
      </c>
      <c r="S7" s="837"/>
      <c r="T7" s="837"/>
      <c r="U7" s="837"/>
      <c r="V7" s="462">
        <f t="shared" si="17"/>
        <v>266.89999999999998</v>
      </c>
      <c r="W7" s="827">
        <f t="shared" si="18"/>
        <v>614.9</v>
      </c>
      <c r="X7" s="838">
        <f t="shared" si="0"/>
        <v>0</v>
      </c>
      <c r="Y7" s="827">
        <f t="shared" ref="Y7:Y10" si="23">(IF(SUM(F7:G7)&gt;1,IF((SUM(F7:G7)-1)*2&gt;30,30,SUM(F7:G7)-1)*2)*(AF7/30))*(IF(MONTH(E7)&lt;=$AZ$1,1,0))*0</f>
        <v>0</v>
      </c>
      <c r="Z7" s="838">
        <f>IF(I7&lt;&gt;"",(ROUND(IF(A7="EMPLEADO",eval_formula('[3]CONCEPTOS Y PARAMETROS'!$C$8,'RAC (2025)'!K7,'RAC (2025)'!$W7,'RAC (2025)'!F7+'RAC (2025)'!G7),eval_formula('[3]CONCEPTOS Y PARAMETROS'!$D$8,'RAC (2025)'!K7,'RAC (2025)'!$W7,'RAC (2025)'!F7+'RAC (2025)'!G7)),2))*IF(MONTH(E7)&lt;=$AZ$1,1,0),0)</f>
        <v>4919.2</v>
      </c>
      <c r="AA7" s="838"/>
      <c r="AB7" s="838">
        <f>(((W7/30)*'[3]CONCEPTOS Y PARAMETROS'!$C$27)/12)</f>
        <v>307.45</v>
      </c>
      <c r="AC7" s="838">
        <f>(((W7/30)*'[3]CONCEPTOS Y PARAMETROS'!$C$28)/12)</f>
        <v>256.20833333333331</v>
      </c>
      <c r="AD7" s="838"/>
      <c r="AE7" s="838">
        <f>(W7/30)*'[3]CONCEPTOS Y PARAMETROS'!$C$29</f>
        <v>6.1489990226427711</v>
      </c>
      <c r="AF7" s="838">
        <f t="shared" si="20"/>
        <v>1246.197332355976</v>
      </c>
      <c r="AG7" s="838">
        <f>+W7/30*'[3]CONCEPTOS Y PARAMETROS'!$M$2</f>
        <v>61.489999999999995</v>
      </c>
      <c r="AH7" s="827">
        <f>(K7*'[3]CONCEPTOS Y PARAMETROS'!$C$11)</f>
        <v>31.32</v>
      </c>
      <c r="AI7" s="827">
        <f>(K7*'[3]CONCEPTOS Y PARAMETROS'!$C$12)</f>
        <v>6.96</v>
      </c>
      <c r="AJ7" s="838">
        <f>+W7*'[3]CONCEPTOS Y PARAMETROS'!$C$13</f>
        <v>12.298</v>
      </c>
      <c r="AK7" s="827"/>
      <c r="AL7" s="838"/>
      <c r="AM7" s="837"/>
      <c r="AN7" s="838">
        <f>IF(I7&lt;&gt;"",IF($AZ$1&gt;=11,'[3]CONCEPTOS Y PARAMETROS'!$C$10,0),0)</f>
        <v>12.5</v>
      </c>
      <c r="AO7" s="838">
        <f>IF(I7&lt;&gt;"",IF($AZ$1&gt;=11,'[3]CONCEPTOS Y PARAMETROS'!$C$16,0),0)</f>
        <v>12.5</v>
      </c>
      <c r="AP7" s="838"/>
      <c r="AQ7" s="838">
        <f>IF(I7&lt;&gt;"",IF($AZ$1&gt;5,'[3]CONCEPTOS Y PARAMETROS'!$C$23,0),0)</f>
        <v>12.5</v>
      </c>
      <c r="AR7" s="827">
        <f>IF(J7&lt;&gt;"",IF($AZ$1&gt;5,'[3]CONCEPTOS Y PARAMETROS'!$C$23,0),0)</f>
        <v>12.5</v>
      </c>
      <c r="AS7" s="838"/>
      <c r="AT7" s="838"/>
      <c r="AU7" s="838">
        <f>IF(AND(H7&lt;&gt;"",$AZ$1&gt;8),'[3]CONCEPTOS Y PARAMETROS'!$C$32,0)</f>
        <v>12.5</v>
      </c>
      <c r="AV7" s="838">
        <v>0</v>
      </c>
      <c r="AW7" s="838">
        <f>IF(I7&lt;&gt;"",'[3]CONCEPTOS Y PARAMETROS'!$C$14,0)</f>
        <v>3000</v>
      </c>
      <c r="AX7" s="828">
        <f>'[3]CONCEPTOS Y PARAMETROS'!$C$30</f>
        <v>0</v>
      </c>
      <c r="AY7" s="838">
        <f>IF(I7&lt;&gt;"",'[3]CONCEPTOS Y PARAMETROS'!$C$15,0)</f>
        <v>0.1239999532699585</v>
      </c>
      <c r="AZ7" s="462">
        <f>(((W7+AJ7+AK7+R7+S7+T7+U7+AX7+AM7+AL7+AH7+AI7+AW7)*$AZ$1)+Y7+Z7+AA7+AD7+AG7+AN7+AO7+AP7+AQ7+AR7+AS7+AT7+AY7+AU7+AV7)+($AE7*VLOOKUP($AZ$1,'[3]CONCEPTOS Y PARAMETROS'!$A$38:$C$49,3,0))</f>
        <v>49203.645996043837</v>
      </c>
      <c r="BA7" s="839">
        <f t="shared" si="1"/>
        <v>25.626898956272832</v>
      </c>
      <c r="BB7" s="303"/>
      <c r="BC7" s="835">
        <f t="shared" si="21"/>
        <v>665.47800000000007</v>
      </c>
      <c r="BD7" s="833">
        <f t="shared" si="2"/>
        <v>3745.7409989759126</v>
      </c>
      <c r="BE7" s="833">
        <f t="shared" si="3"/>
        <v>677.97800000000007</v>
      </c>
      <c r="BF7" s="833">
        <f t="shared" si="4"/>
        <v>5597.1779999999999</v>
      </c>
      <c r="BG7" s="833">
        <f t="shared" si="5"/>
        <v>684.12699902264285</v>
      </c>
      <c r="BH7" s="833">
        <f t="shared" si="6"/>
        <v>677.97800000000007</v>
      </c>
      <c r="BI7" s="833">
        <f t="shared" si="7"/>
        <v>690.47800000000007</v>
      </c>
      <c r="BJ7" s="833">
        <f t="shared" si="8"/>
        <v>696.62699902264285</v>
      </c>
      <c r="BK7" s="833">
        <f t="shared" si="9"/>
        <v>677.97800000000007</v>
      </c>
      <c r="BL7" s="833">
        <f t="shared" si="10"/>
        <v>690.47800000000007</v>
      </c>
      <c r="BM7" s="833">
        <f t="shared" si="11"/>
        <v>684.12699902264285</v>
      </c>
      <c r="BN7" s="833">
        <f t="shared" si="12"/>
        <v>702.97800000000007</v>
      </c>
      <c r="BO7" s="833">
        <f t="shared" si="13"/>
        <v>677.97800000000007</v>
      </c>
      <c r="BP7" s="833">
        <f t="shared" ref="BP7:BP10" si="24">SUM(BD7:BO7)</f>
        <v>16203.645996043837</v>
      </c>
      <c r="BQ7" s="836">
        <f t="shared" si="15"/>
        <v>-33000</v>
      </c>
    </row>
    <row r="8" spans="1:71" ht="15.75" thickBot="1" x14ac:dyDescent="0.3">
      <c r="A8" s="292" t="s">
        <v>2847</v>
      </c>
      <c r="B8" s="463">
        <f t="shared" ca="1" si="16"/>
        <v>5</v>
      </c>
      <c r="C8" s="464">
        <v>16533986</v>
      </c>
      <c r="D8" s="465" t="s">
        <v>4690</v>
      </c>
      <c r="E8" s="466">
        <v>44256</v>
      </c>
      <c r="F8" s="467">
        <f>IF(E8&lt;&gt;"",'[3]CONCEPTOS Y PARAMETROS'!$L$2-YEAR(E8),"")</f>
        <v>4</v>
      </c>
      <c r="G8" s="468">
        <v>4</v>
      </c>
      <c r="H8" s="469" t="str">
        <f>IFERROR(VLOOKUP(I8,[3]CARGOS!A:E,2,0),"")</f>
        <v>00906</v>
      </c>
      <c r="I8" s="259" t="s">
        <v>1583</v>
      </c>
      <c r="J8" s="260" t="s">
        <v>2837</v>
      </c>
      <c r="K8" s="250">
        <f>IFERROR(VLOOKUP(J8,'[3]TAB EMP'!A:B,2,0),0)</f>
        <v>363</v>
      </c>
      <c r="L8" s="261">
        <v>0</v>
      </c>
      <c r="M8" s="261" t="s">
        <v>2895</v>
      </c>
      <c r="N8" s="837">
        <f>IF(E8&lt;&gt;"",VLOOKUP(SUM(F8:G8),'[3]CONCEPTOS Y PARAMETROS'!F:G,2,0)*K8,0)</f>
        <v>31.217999999999996</v>
      </c>
      <c r="O8" s="837">
        <f>IF(I8&lt;&gt;"",'[3]CONCEPTOS Y PARAMETROS'!$C$4,0)</f>
        <v>130</v>
      </c>
      <c r="P8" s="837">
        <f>'[3]CONCEPTOS Y PARAMETROS'!$C$7*L8</f>
        <v>0</v>
      </c>
      <c r="Q8" s="837">
        <f>IFERROR(ROUND(VLOOKUP($M8,'[3]CONCEPTOS Y PARAMETROS'!H:I,2,0)*($K8+N8+O8+P8),2),0)</f>
        <v>131.05000000000001</v>
      </c>
      <c r="R8" s="837">
        <f>IF(I8&lt;&gt;"",'[3]CONCEPTOS Y PARAMETROS'!$C$18,0)</f>
        <v>12.5</v>
      </c>
      <c r="S8" s="837"/>
      <c r="T8" s="837"/>
      <c r="U8" s="837"/>
      <c r="V8" s="462">
        <f t="shared" si="17"/>
        <v>292.26800000000003</v>
      </c>
      <c r="W8" s="827">
        <f t="shared" si="18"/>
        <v>655.26800000000003</v>
      </c>
      <c r="X8" s="838">
        <f t="shared" si="0"/>
        <v>0</v>
      </c>
      <c r="Y8" s="827">
        <f t="shared" si="23"/>
        <v>0</v>
      </c>
      <c r="Z8" s="838">
        <f>IF(I8&lt;&gt;"",(ROUND(IF(A8="EMPLEADO",eval_formula('[3]CONCEPTOS Y PARAMETROS'!$C$8,'RAC (2025)'!K8,'RAC (2025)'!$W8,'RAC (2025)'!F8+'RAC (2025)'!G8),eval_formula('[3]CONCEPTOS Y PARAMETROS'!$D$8,'RAC (2025)'!K8,'RAC (2025)'!$W8,'RAC (2025)'!F8+'RAC (2025)'!G8)),2))*IF(MONTH(E8)&lt;=$AZ$1,1,0),0)</f>
        <v>5242.1400000000003</v>
      </c>
      <c r="AA8" s="838"/>
      <c r="AB8" s="838">
        <f>(((W8/30)*'[3]CONCEPTOS Y PARAMETROS'!$C$27)/12)</f>
        <v>327.63400000000001</v>
      </c>
      <c r="AC8" s="838">
        <f>(((W8/30)*'[3]CONCEPTOS Y PARAMETROS'!$C$28)/12)</f>
        <v>273.02833333333336</v>
      </c>
      <c r="AD8" s="838"/>
      <c r="AE8" s="838">
        <f>(W8/30)*'[3]CONCEPTOS Y PARAMETROS'!$C$29</f>
        <v>6.5526789584795635</v>
      </c>
      <c r="AF8" s="838">
        <f t="shared" si="20"/>
        <v>1328.0098122918132</v>
      </c>
      <c r="AG8" s="838">
        <f>+W8/30*'[3]CONCEPTOS Y PARAMETROS'!$M$2</f>
        <v>65.526800000000009</v>
      </c>
      <c r="AH8" s="827">
        <f>(K8*'[3]CONCEPTOS Y PARAMETROS'!$C$11)</f>
        <v>32.67</v>
      </c>
      <c r="AI8" s="827">
        <f>(K8*'[3]CONCEPTOS Y PARAMETROS'!$C$12)</f>
        <v>7.26</v>
      </c>
      <c r="AJ8" s="838">
        <f>+W8*'[3]CONCEPTOS Y PARAMETROS'!$C$13</f>
        <v>13.105360000000001</v>
      </c>
      <c r="AK8" s="827"/>
      <c r="AL8" s="838"/>
      <c r="AM8" s="837"/>
      <c r="AN8" s="838">
        <f>IF(I8&lt;&gt;"",IF($AZ$1&gt;=11,'[3]CONCEPTOS Y PARAMETROS'!$C$10,0),0)</f>
        <v>12.5</v>
      </c>
      <c r="AO8" s="838">
        <f>IF(I8&lt;&gt;"",IF($AZ$1&gt;=11,'[3]CONCEPTOS Y PARAMETROS'!$C$16,0),0)</f>
        <v>12.5</v>
      </c>
      <c r="AP8" s="838"/>
      <c r="AQ8" s="838">
        <f>IF(I8&lt;&gt;"",IF($AZ$1&gt;5,'[3]CONCEPTOS Y PARAMETROS'!$C$23,0),0)</f>
        <v>12.5</v>
      </c>
      <c r="AR8" s="827">
        <f>IF(J8&lt;&gt;"",IF($AZ$1&gt;5,'[3]CONCEPTOS Y PARAMETROS'!$C$23,0),0)</f>
        <v>12.5</v>
      </c>
      <c r="AS8" s="838"/>
      <c r="AT8" s="838"/>
      <c r="AU8" s="838">
        <f>IF(AND(H8&lt;&gt;"",$AZ$1&gt;8),'[3]CONCEPTOS Y PARAMETROS'!$C$32,0)</f>
        <v>12.5</v>
      </c>
      <c r="AV8" s="838">
        <v>0</v>
      </c>
      <c r="AW8" s="838">
        <f>IF(I8&lt;&gt;"",'[3]CONCEPTOS Y PARAMETROS'!$C$14,0)</f>
        <v>3000</v>
      </c>
      <c r="AX8" s="828">
        <f>'[3]CONCEPTOS Y PARAMETROS'!$C$30</f>
        <v>0</v>
      </c>
      <c r="AY8" s="838">
        <f>IF(I8&lt;&gt;"",'[3]CONCEPTOS Y PARAMETROS'!$C$15,0)</f>
        <v>0.1239999532699585</v>
      </c>
      <c r="AZ8" s="462">
        <f>(((W8+AJ8+AK8+R8+S8+T8+U8+AX8+AM8+AL8+AH8+AI8+AW8)*$AZ$1)+Y8+Z8+AA8+AD8+AG8+AN8+AO8+AP8+AQ8+AR8+AS8+AT8+AY8+AU8+AV8)+($AE8*VLOOKUP($AZ$1,'[3]CONCEPTOS Y PARAMETROS'!$A$38:$C$49,3,0))</f>
        <v>50046.141835787188</v>
      </c>
      <c r="BA8" s="839">
        <f t="shared" si="1"/>
        <v>26.065698872805829</v>
      </c>
      <c r="BB8" s="303"/>
      <c r="BC8" s="835">
        <f t="shared" si="21"/>
        <v>708.30336</v>
      </c>
      <c r="BD8" s="833">
        <f t="shared" si="2"/>
        <v>3793.0068389117496</v>
      </c>
      <c r="BE8" s="833">
        <f t="shared" si="3"/>
        <v>720.80336</v>
      </c>
      <c r="BF8" s="833">
        <f t="shared" si="4"/>
        <v>5962.9433600000002</v>
      </c>
      <c r="BG8" s="833">
        <f t="shared" si="5"/>
        <v>727.35603895847953</v>
      </c>
      <c r="BH8" s="833">
        <f t="shared" si="6"/>
        <v>720.80336</v>
      </c>
      <c r="BI8" s="833">
        <f t="shared" si="7"/>
        <v>733.30336</v>
      </c>
      <c r="BJ8" s="833">
        <f t="shared" si="8"/>
        <v>739.85603895847953</v>
      </c>
      <c r="BK8" s="833">
        <f t="shared" si="9"/>
        <v>720.80336</v>
      </c>
      <c r="BL8" s="833">
        <f t="shared" si="10"/>
        <v>733.30336</v>
      </c>
      <c r="BM8" s="833">
        <f t="shared" si="11"/>
        <v>727.35603895847953</v>
      </c>
      <c r="BN8" s="833">
        <f t="shared" si="12"/>
        <v>745.80336</v>
      </c>
      <c r="BO8" s="833">
        <f t="shared" si="13"/>
        <v>720.80336</v>
      </c>
      <c r="BP8" s="833">
        <f t="shared" si="24"/>
        <v>17046.141835787192</v>
      </c>
      <c r="BQ8" s="836">
        <f t="shared" si="15"/>
        <v>-33000</v>
      </c>
    </row>
    <row r="9" spans="1:71" ht="15.75" thickBot="1" x14ac:dyDescent="0.3">
      <c r="A9" s="301" t="s">
        <v>2847</v>
      </c>
      <c r="B9" s="243">
        <v>6</v>
      </c>
      <c r="C9" s="262"/>
      <c r="D9" s="234" t="s">
        <v>4698</v>
      </c>
      <c r="E9" s="245">
        <v>45292</v>
      </c>
      <c r="F9" s="288"/>
      <c r="G9" s="247"/>
      <c r="H9" s="248" t="str">
        <f>IFERROR(VLOOKUP(I9,[3]CARGOS!A:E,2,0),"")</f>
        <v>00950</v>
      </c>
      <c r="I9" s="446" t="s">
        <v>4486</v>
      </c>
      <c r="J9" s="447" t="s">
        <v>2837</v>
      </c>
      <c r="K9" s="250">
        <f>IFERROR(VLOOKUP(J9,'[3]TAB EMP'!A:B,2,0),0)</f>
        <v>363</v>
      </c>
      <c r="L9" s="261">
        <v>0</v>
      </c>
      <c r="M9" s="261" t="s">
        <v>2895</v>
      </c>
      <c r="N9" s="837">
        <f>IF(E9&lt;&gt;"",VLOOKUP(SUM(F9:G9),'[3]CONCEPTOS Y PARAMETROS'!F:G,2,0)*K9,0)</f>
        <v>0</v>
      </c>
      <c r="O9" s="837">
        <f>IF(I9&lt;&gt;"",'[3]CONCEPTOS Y PARAMETROS'!$C$4,0)</f>
        <v>130</v>
      </c>
      <c r="P9" s="837">
        <f>'[3]CONCEPTOS Y PARAMETROS'!$C$7*L9</f>
        <v>0</v>
      </c>
      <c r="Q9" s="837">
        <f>IFERROR(ROUND(VLOOKUP($M9,'[3]CONCEPTOS Y PARAMETROS'!H:I,2,0)*($K9+N9+O9+P9),2),0)</f>
        <v>123.25</v>
      </c>
      <c r="R9" s="837">
        <f>IF(I9&lt;&gt;"",'[3]CONCEPTOS Y PARAMETROS'!$C$18,0)</f>
        <v>12.5</v>
      </c>
      <c r="S9" s="837">
        <f>IF(I9&lt;&gt;"",'[3]CONCEPTOS Y PARAMETROS'!$C$19,0)</f>
        <v>12.5</v>
      </c>
      <c r="T9" s="840"/>
      <c r="U9" s="840"/>
      <c r="V9" s="462">
        <f t="shared" si="17"/>
        <v>253.25</v>
      </c>
      <c r="W9" s="827">
        <f t="shared" si="18"/>
        <v>616.25</v>
      </c>
      <c r="X9" s="838">
        <f t="shared" si="0"/>
        <v>0</v>
      </c>
      <c r="Y9" s="827">
        <f t="shared" si="23"/>
        <v>0</v>
      </c>
      <c r="Z9" s="838">
        <f>IF(I9&lt;&gt;"",(ROUND(IF(A9="EMPLEADO",eval_formula('[3]CONCEPTOS Y PARAMETROS'!$C$8,'RAC (2025)'!K9,'RAC (2025)'!$W9,'RAC (2025)'!F9+'RAC (2025)'!G9),eval_formula('[3]CONCEPTOS Y PARAMETROS'!$D$8,'RAC (2025)'!K9,'RAC (2025)'!$W9,'RAC (2025)'!F9+'RAC (2025)'!G9)),2))*IF(MONTH(E9)&lt;=$AZ$1,1,0),0)</f>
        <v>4930</v>
      </c>
      <c r="AA9" s="838"/>
      <c r="AB9" s="838">
        <f>(((W9/30)*'[3]CONCEPTOS Y PARAMETROS'!$C$27)/12)</f>
        <v>308.125</v>
      </c>
      <c r="AC9" s="838">
        <f>(((W9/30)*'[3]CONCEPTOS Y PARAMETROS'!$C$28)/12)</f>
        <v>256.77083333333331</v>
      </c>
      <c r="AD9" s="841"/>
      <c r="AE9" s="838">
        <f>(W9/30)*'[3]CONCEPTOS Y PARAMETROS'!$C$29</f>
        <v>6.1624990204970045</v>
      </c>
      <c r="AF9" s="838">
        <f t="shared" si="20"/>
        <v>1248.9333323538303</v>
      </c>
      <c r="AG9" s="838">
        <f>+W9/30*'[3]CONCEPTOS Y PARAMETROS'!$M$2</f>
        <v>61.625</v>
      </c>
      <c r="AH9" s="827">
        <f>(K9*'[3]CONCEPTOS Y PARAMETROS'!$C$11)</f>
        <v>32.67</v>
      </c>
      <c r="AI9" s="827">
        <f>(K9*'[3]CONCEPTOS Y PARAMETROS'!$C$12)</f>
        <v>7.26</v>
      </c>
      <c r="AJ9" s="838">
        <f>+W9*'[3]CONCEPTOS Y PARAMETROS'!$C$13</f>
        <v>12.325000000000001</v>
      </c>
      <c r="AK9" s="842"/>
      <c r="AL9" s="841"/>
      <c r="AM9" s="840"/>
      <c r="AN9" s="838">
        <f>IF(I9&lt;&gt;"",IF($AZ$1&gt;=11,'[3]CONCEPTOS Y PARAMETROS'!$C$10,0),0)</f>
        <v>12.5</v>
      </c>
      <c r="AO9" s="838">
        <f>IF(I9&lt;&gt;"",IF($AZ$1&gt;=11,'[3]CONCEPTOS Y PARAMETROS'!$C$16,0),0)</f>
        <v>12.5</v>
      </c>
      <c r="AP9" s="841"/>
      <c r="AQ9" s="838">
        <f>IF(I9&lt;&gt;"",IF($AZ$1&gt;5,'[3]CONCEPTOS Y PARAMETROS'!$C$23,0),0)</f>
        <v>12.5</v>
      </c>
      <c r="AR9" s="827">
        <f>IF(J9&lt;&gt;"",IF($AZ$1&gt;5,'[3]CONCEPTOS Y PARAMETROS'!$C$23,0),0)</f>
        <v>12.5</v>
      </c>
      <c r="AS9" s="841"/>
      <c r="AT9" s="841"/>
      <c r="AU9" s="838">
        <f>IF(AND(H9&lt;&gt;"",$AZ$1&gt;8),'[3]CONCEPTOS Y PARAMETROS'!$C$32,0)</f>
        <v>12.5</v>
      </c>
      <c r="AV9" s="838">
        <v>0</v>
      </c>
      <c r="AW9" s="838">
        <f>IF(I9&lt;&gt;"",'[3]CONCEPTOS Y PARAMETROS'!$C$14,0)</f>
        <v>3000</v>
      </c>
      <c r="AX9" s="828">
        <f>'[3]CONCEPTOS Y PARAMETROS'!$C$30</f>
        <v>0</v>
      </c>
      <c r="AY9" s="838">
        <f>IF(I9&lt;&gt;"",'[3]CONCEPTOS Y PARAMETROS'!$C$15,0)</f>
        <v>0.1239999532699585</v>
      </c>
      <c r="AZ9" s="462">
        <f>(((W9+AJ9+AK9+R9+S9+T9+U9+AX9+AM9+AL9+AH9+AI9+AW9)*$AZ$1)+Y9+Z9+AA9+AD9+AG9+AN9+AO9+AP9+AQ9+AR9+AS9+AT9+AY9+AU9+AV9)+($AE9*VLOOKUP($AZ$1,'[3]CONCEPTOS Y PARAMETROS'!$A$38:$C$49,3,0))</f>
        <v>49400.958996035253</v>
      </c>
      <c r="BA9" s="839">
        <f t="shared" si="1"/>
        <v>25.729666143768362</v>
      </c>
      <c r="BB9" s="303"/>
      <c r="BC9" s="835">
        <f t="shared" si="21"/>
        <v>668.505</v>
      </c>
      <c r="BD9" s="833">
        <f t="shared" si="2"/>
        <v>8691.4164989737674</v>
      </c>
      <c r="BE9" s="833">
        <f t="shared" si="3"/>
        <v>693.505</v>
      </c>
      <c r="BF9" s="833">
        <f t="shared" si="4"/>
        <v>693.505</v>
      </c>
      <c r="BG9" s="833">
        <f t="shared" si="5"/>
        <v>699.66749902049696</v>
      </c>
      <c r="BH9" s="833">
        <f t="shared" si="6"/>
        <v>693.505</v>
      </c>
      <c r="BI9" s="833">
        <f t="shared" si="7"/>
        <v>706.005</v>
      </c>
      <c r="BJ9" s="833">
        <f t="shared" si="8"/>
        <v>712.16749902049696</v>
      </c>
      <c r="BK9" s="833">
        <f t="shared" si="9"/>
        <v>693.505</v>
      </c>
      <c r="BL9" s="833">
        <f t="shared" si="10"/>
        <v>706.005</v>
      </c>
      <c r="BM9" s="833">
        <f t="shared" si="11"/>
        <v>699.66749902049696</v>
      </c>
      <c r="BN9" s="833">
        <f t="shared" si="12"/>
        <v>718.505</v>
      </c>
      <c r="BO9" s="833">
        <f t="shared" si="13"/>
        <v>693.505</v>
      </c>
      <c r="BP9" s="833">
        <f t="shared" si="24"/>
        <v>16400.958996035253</v>
      </c>
      <c r="BQ9" s="836">
        <f t="shared" si="15"/>
        <v>-33000</v>
      </c>
    </row>
    <row r="10" spans="1:71" ht="15.75" thickBot="1" x14ac:dyDescent="0.3">
      <c r="A10" s="301" t="s">
        <v>2847</v>
      </c>
      <c r="B10" s="243">
        <v>7</v>
      </c>
      <c r="C10" s="262"/>
      <c r="D10" s="234" t="s">
        <v>4698</v>
      </c>
      <c r="E10" s="245">
        <v>45292</v>
      </c>
      <c r="F10" s="288"/>
      <c r="G10" s="247"/>
      <c r="H10" s="248" t="str">
        <f>IFERROR(VLOOKUP(I10,[3]CARGOS!A:E,2,0),"")</f>
        <v>00950</v>
      </c>
      <c r="I10" s="446" t="s">
        <v>4486</v>
      </c>
      <c r="J10" s="447" t="s">
        <v>2837</v>
      </c>
      <c r="K10" s="250">
        <f>IFERROR(VLOOKUP(J10,'[3]TAB EMP'!A:B,2,0),0)</f>
        <v>363</v>
      </c>
      <c r="L10" s="261">
        <v>0</v>
      </c>
      <c r="M10" s="261" t="s">
        <v>2895</v>
      </c>
      <c r="N10" s="837">
        <f>IF(E10&lt;&gt;"",VLOOKUP(SUM(F10:G10),'[3]CONCEPTOS Y PARAMETROS'!F:G,2,0)*K10,0)</f>
        <v>0</v>
      </c>
      <c r="O10" s="837">
        <f>IF(I10&lt;&gt;"",'[3]CONCEPTOS Y PARAMETROS'!$C$4,0)</f>
        <v>130</v>
      </c>
      <c r="P10" s="837">
        <f>'[3]CONCEPTOS Y PARAMETROS'!$C$7*L10</f>
        <v>0</v>
      </c>
      <c r="Q10" s="837">
        <f>IFERROR(ROUND(VLOOKUP($M10,'[3]CONCEPTOS Y PARAMETROS'!H:I,2,0)*($K10+N10+O10+P10),2),0)</f>
        <v>123.25</v>
      </c>
      <c r="R10" s="837">
        <f>IF(I10&lt;&gt;"",'[3]CONCEPTOS Y PARAMETROS'!$C$18,0)</f>
        <v>12.5</v>
      </c>
      <c r="S10" s="837">
        <f>IF(I10&lt;&gt;"",'[3]CONCEPTOS Y PARAMETROS'!$C$19,0)</f>
        <v>12.5</v>
      </c>
      <c r="T10" s="840"/>
      <c r="U10" s="840"/>
      <c r="V10" s="462">
        <f t="shared" si="17"/>
        <v>253.25</v>
      </c>
      <c r="W10" s="827">
        <f t="shared" si="18"/>
        <v>616.25</v>
      </c>
      <c r="X10" s="838">
        <f t="shared" si="0"/>
        <v>0</v>
      </c>
      <c r="Y10" s="827">
        <f t="shared" si="23"/>
        <v>0</v>
      </c>
      <c r="Z10" s="838">
        <f>IF(I10&lt;&gt;"",(ROUND(IF(A10="EMPLEADO",eval_formula('[3]CONCEPTOS Y PARAMETROS'!$C$8,'RAC (2025)'!K10,'RAC (2025)'!$W10,'RAC (2025)'!F10+'RAC (2025)'!G10),eval_formula('[3]CONCEPTOS Y PARAMETROS'!$D$8,'RAC (2025)'!K10,'RAC (2025)'!$W10,'RAC (2025)'!F10+'RAC (2025)'!G10)),2))*IF(MONTH(E10)&lt;=$AZ$1,1,0),0)</f>
        <v>4930</v>
      </c>
      <c r="AA10" s="838"/>
      <c r="AB10" s="838">
        <f>(((W10/30)*'[3]CONCEPTOS Y PARAMETROS'!$C$27)/12)</f>
        <v>308.125</v>
      </c>
      <c r="AC10" s="838">
        <f>(((W10/30)*'[3]CONCEPTOS Y PARAMETROS'!$C$28)/12)</f>
        <v>256.77083333333331</v>
      </c>
      <c r="AD10" s="841"/>
      <c r="AE10" s="838">
        <f>(W10/30)*'[3]CONCEPTOS Y PARAMETROS'!$C$29</f>
        <v>6.1624990204970045</v>
      </c>
      <c r="AF10" s="838">
        <f t="shared" si="20"/>
        <v>1248.9333323538303</v>
      </c>
      <c r="AG10" s="838">
        <f>+W10/30*'[3]CONCEPTOS Y PARAMETROS'!$M$2</f>
        <v>61.625</v>
      </c>
      <c r="AH10" s="827">
        <f>(K10*'[3]CONCEPTOS Y PARAMETROS'!$C$11)</f>
        <v>32.67</v>
      </c>
      <c r="AI10" s="827">
        <f>(K10*'[3]CONCEPTOS Y PARAMETROS'!$C$12)</f>
        <v>7.26</v>
      </c>
      <c r="AJ10" s="838">
        <f>+W10*'[3]CONCEPTOS Y PARAMETROS'!$C$13</f>
        <v>12.325000000000001</v>
      </c>
      <c r="AK10" s="842"/>
      <c r="AL10" s="841"/>
      <c r="AM10" s="840"/>
      <c r="AN10" s="838">
        <f>IF(I10&lt;&gt;"",IF($AZ$1&gt;=11,'[3]CONCEPTOS Y PARAMETROS'!$C$10,0),0)</f>
        <v>12.5</v>
      </c>
      <c r="AO10" s="838">
        <f>IF(I10&lt;&gt;"",IF($AZ$1&gt;=11,'[3]CONCEPTOS Y PARAMETROS'!$C$16,0),0)</f>
        <v>12.5</v>
      </c>
      <c r="AP10" s="841"/>
      <c r="AQ10" s="838">
        <f>IF(I10&lt;&gt;"",IF($AZ$1&gt;5,'[3]CONCEPTOS Y PARAMETROS'!$C$23,0),0)</f>
        <v>12.5</v>
      </c>
      <c r="AR10" s="827">
        <f>IF(J10&lt;&gt;"",IF($AZ$1&gt;5,'[3]CONCEPTOS Y PARAMETROS'!$C$23,0),0)</f>
        <v>12.5</v>
      </c>
      <c r="AS10" s="841"/>
      <c r="AT10" s="841"/>
      <c r="AU10" s="838">
        <f>IF(AND(H10&lt;&gt;"",$AZ$1&gt;8),'[3]CONCEPTOS Y PARAMETROS'!$C$32,0)</f>
        <v>12.5</v>
      </c>
      <c r="AV10" s="838">
        <v>0</v>
      </c>
      <c r="AW10" s="838">
        <f>IF(I10&lt;&gt;"",'[3]CONCEPTOS Y PARAMETROS'!$C$14,0)</f>
        <v>3000</v>
      </c>
      <c r="AX10" s="828">
        <f>'[3]CONCEPTOS Y PARAMETROS'!$C$30</f>
        <v>0</v>
      </c>
      <c r="AY10" s="838">
        <f>IF(I10&lt;&gt;"",'[3]CONCEPTOS Y PARAMETROS'!$C$15,0)</f>
        <v>0.1239999532699585</v>
      </c>
      <c r="AZ10" s="462">
        <f>(((W10+AJ10+AK10+R10+S10+T10+U10+AX10+AM10+AL10+AH10+AI10+AW10)*$AZ$1)+Y10+Z10+AA10+AD10+AG10+AN10+AO10+AP10+AQ10+AR10+AS10+AT10+AY10+AU10+AV10)+($AE10*VLOOKUP($AZ$1,'[3]CONCEPTOS Y PARAMETROS'!$A$38:$C$49,3,0))</f>
        <v>49400.958996035253</v>
      </c>
      <c r="BA10" s="839">
        <f t="shared" si="1"/>
        <v>25.729666143768362</v>
      </c>
      <c r="BB10" s="303"/>
      <c r="BC10" s="835">
        <f t="shared" si="21"/>
        <v>668.505</v>
      </c>
      <c r="BD10" s="833">
        <f t="shared" si="2"/>
        <v>8691.4164989737674</v>
      </c>
      <c r="BE10" s="833">
        <f t="shared" si="3"/>
        <v>693.505</v>
      </c>
      <c r="BF10" s="833">
        <f t="shared" si="4"/>
        <v>693.505</v>
      </c>
      <c r="BG10" s="833">
        <f t="shared" si="5"/>
        <v>699.66749902049696</v>
      </c>
      <c r="BH10" s="833">
        <f t="shared" si="6"/>
        <v>693.505</v>
      </c>
      <c r="BI10" s="833">
        <f t="shared" si="7"/>
        <v>706.005</v>
      </c>
      <c r="BJ10" s="833">
        <f t="shared" si="8"/>
        <v>712.16749902049696</v>
      </c>
      <c r="BK10" s="833">
        <f t="shared" si="9"/>
        <v>693.505</v>
      </c>
      <c r="BL10" s="833">
        <f t="shared" si="10"/>
        <v>706.005</v>
      </c>
      <c r="BM10" s="833">
        <f t="shared" si="11"/>
        <v>699.66749902049696</v>
      </c>
      <c r="BN10" s="833">
        <f t="shared" si="12"/>
        <v>718.505</v>
      </c>
      <c r="BO10" s="833">
        <f t="shared" si="13"/>
        <v>693.505</v>
      </c>
      <c r="BP10" s="833">
        <f t="shared" si="24"/>
        <v>16400.958996035253</v>
      </c>
      <c r="BQ10" s="836">
        <f t="shared" si="15"/>
        <v>-33000</v>
      </c>
    </row>
    <row r="11" spans="1:71" ht="15.75" customHeight="1" thickBot="1" x14ac:dyDescent="0.25">
      <c r="A11" s="264"/>
      <c r="B11" s="265">
        <f ca="1">COUNT(B4:B10)</f>
        <v>7</v>
      </c>
      <c r="C11" s="1049" t="s">
        <v>2865</v>
      </c>
      <c r="D11" s="1049"/>
      <c r="E11" s="1049"/>
      <c r="F11" s="1049"/>
      <c r="G11" s="1049"/>
      <c r="H11" s="1049"/>
      <c r="I11" s="1049"/>
      <c r="J11" s="1050"/>
      <c r="K11" s="266">
        <f>SUM(K4:K10)</f>
        <v>2585</v>
      </c>
      <c r="L11" s="266">
        <f t="shared" ref="L11:BA11" si="25">SUM(L4:L10)</f>
        <v>0</v>
      </c>
      <c r="M11" s="266">
        <f t="shared" si="25"/>
        <v>0</v>
      </c>
      <c r="N11" s="266">
        <f t="shared" si="25"/>
        <v>60.247999999999998</v>
      </c>
      <c r="O11" s="266">
        <f t="shared" si="25"/>
        <v>910</v>
      </c>
      <c r="P11" s="266">
        <f t="shared" si="25"/>
        <v>0</v>
      </c>
      <c r="Q11" s="266">
        <f t="shared" si="25"/>
        <v>888.81000000000006</v>
      </c>
      <c r="R11" s="266">
        <f t="shared" si="25"/>
        <v>87.5</v>
      </c>
      <c r="S11" s="266">
        <f t="shared" si="25"/>
        <v>25</v>
      </c>
      <c r="T11" s="266">
        <f t="shared" si="25"/>
        <v>0</v>
      </c>
      <c r="U11" s="266">
        <f t="shared" si="25"/>
        <v>0</v>
      </c>
      <c r="V11" s="266">
        <f t="shared" si="25"/>
        <v>1859.058</v>
      </c>
      <c r="W11" s="266">
        <f t="shared" si="25"/>
        <v>4444.058</v>
      </c>
      <c r="X11" s="266">
        <f t="shared" si="25"/>
        <v>0</v>
      </c>
      <c r="Y11" s="266">
        <f t="shared" si="25"/>
        <v>0</v>
      </c>
      <c r="Z11" s="266">
        <f t="shared" si="25"/>
        <v>35552.46</v>
      </c>
      <c r="AA11" s="266">
        <f t="shared" si="25"/>
        <v>0</v>
      </c>
      <c r="AB11" s="266">
        <f t="shared" si="25"/>
        <v>2222.029</v>
      </c>
      <c r="AC11" s="266">
        <f t="shared" si="25"/>
        <v>1851.6908333333331</v>
      </c>
      <c r="AD11" s="266">
        <f t="shared" si="25"/>
        <v>0</v>
      </c>
      <c r="AE11" s="266">
        <f t="shared" si="25"/>
        <v>44.440572936360034</v>
      </c>
      <c r="AF11" s="266">
        <f t="shared" si="25"/>
        <v>9006.6242062696929</v>
      </c>
      <c r="AG11" s="266">
        <f t="shared" si="25"/>
        <v>444.4058</v>
      </c>
      <c r="AH11" s="266">
        <f t="shared" si="25"/>
        <v>232.65000000000003</v>
      </c>
      <c r="AI11" s="266">
        <f t="shared" si="25"/>
        <v>51.699999999999996</v>
      </c>
      <c r="AJ11" s="266">
        <f t="shared" si="25"/>
        <v>88.881160000000008</v>
      </c>
      <c r="AK11" s="266">
        <f t="shared" si="25"/>
        <v>0</v>
      </c>
      <c r="AL11" s="266">
        <f t="shared" si="25"/>
        <v>0</v>
      </c>
      <c r="AM11" s="266">
        <f t="shared" si="25"/>
        <v>0</v>
      </c>
      <c r="AN11" s="266">
        <f t="shared" si="25"/>
        <v>87.5</v>
      </c>
      <c r="AO11" s="266">
        <f t="shared" si="25"/>
        <v>87.5</v>
      </c>
      <c r="AP11" s="266">
        <f t="shared" si="25"/>
        <v>0</v>
      </c>
      <c r="AQ11" s="266">
        <f t="shared" si="25"/>
        <v>87.5</v>
      </c>
      <c r="AR11" s="266">
        <f t="shared" si="25"/>
        <v>87.5</v>
      </c>
      <c r="AS11" s="266">
        <f t="shared" si="25"/>
        <v>0</v>
      </c>
      <c r="AT11" s="266">
        <f t="shared" si="25"/>
        <v>0</v>
      </c>
      <c r="AU11" s="266">
        <f t="shared" si="25"/>
        <v>87.5</v>
      </c>
      <c r="AV11" s="266">
        <f t="shared" si="25"/>
        <v>0</v>
      </c>
      <c r="AW11" s="266">
        <f t="shared" si="25"/>
        <v>21000</v>
      </c>
      <c r="AX11" s="266">
        <f t="shared" si="25"/>
        <v>0</v>
      </c>
      <c r="AY11" s="266">
        <f t="shared" si="25"/>
        <v>0.86799967288970947</v>
      </c>
      <c r="AZ11" s="266">
        <f>SUM(AZ4:AZ10)</f>
        <v>347770.46601141832</v>
      </c>
      <c r="BA11" s="266">
        <f t="shared" si="25"/>
        <v>181.13045104761369</v>
      </c>
      <c r="BB11" s="843"/>
      <c r="BC11" s="307">
        <f>SUM(BC4:BC10)</f>
        <v>4817.2891600000003</v>
      </c>
      <c r="BD11" s="307">
        <f t="shared" ref="BD11:BP11" si="26">SUM(BD4:BD10)</f>
        <v>36279.503532609255</v>
      </c>
      <c r="BE11" s="307">
        <f t="shared" si="26"/>
        <v>4929.7891600000003</v>
      </c>
      <c r="BF11" s="307">
        <f t="shared" si="26"/>
        <v>15091.129159999999</v>
      </c>
      <c r="BG11" s="307">
        <f t="shared" si="26"/>
        <v>4974.2297329363591</v>
      </c>
      <c r="BH11" s="307">
        <f t="shared" si="26"/>
        <v>4929.7891600000003</v>
      </c>
      <c r="BI11" s="307">
        <f t="shared" si="26"/>
        <v>10019.92916</v>
      </c>
      <c r="BJ11" s="307">
        <f t="shared" si="26"/>
        <v>5061.7297329363591</v>
      </c>
      <c r="BK11" s="307">
        <f t="shared" si="26"/>
        <v>10360.669159999999</v>
      </c>
      <c r="BL11" s="307">
        <f t="shared" si="26"/>
        <v>5017.2891600000003</v>
      </c>
      <c r="BM11" s="307">
        <f t="shared" si="26"/>
        <v>10071.829732936361</v>
      </c>
      <c r="BN11" s="307">
        <f t="shared" si="26"/>
        <v>5104.7891600000003</v>
      </c>
      <c r="BO11" s="307">
        <f t="shared" si="26"/>
        <v>4929.7891600000003</v>
      </c>
      <c r="BP11" s="307">
        <f t="shared" si="26"/>
        <v>116770.46601141832</v>
      </c>
      <c r="BQ11" s="307">
        <f>SUM(BQ4:BQ10)</f>
        <v>-231000</v>
      </c>
    </row>
    <row r="12" spans="1:71" ht="12.75" thickBot="1" x14ac:dyDescent="0.25">
      <c r="A12" s="1046" t="s">
        <v>4572</v>
      </c>
      <c r="B12" s="1047"/>
      <c r="C12" s="1048"/>
      <c r="D12" s="226"/>
      <c r="E12" s="227"/>
      <c r="F12" s="228"/>
      <c r="G12" s="228"/>
      <c r="H12" s="229"/>
      <c r="I12" s="229"/>
      <c r="J12" s="267"/>
      <c r="K12" s="267"/>
      <c r="L12" s="229"/>
      <c r="M12" s="228"/>
      <c r="N12" s="824"/>
      <c r="O12" s="824"/>
      <c r="P12" s="824"/>
      <c r="Q12" s="824"/>
      <c r="R12" s="824"/>
      <c r="S12" s="824"/>
      <c r="T12" s="824"/>
      <c r="U12" s="824"/>
      <c r="V12" s="824"/>
      <c r="W12" s="824">
        <f>+SUM(W4:W8)</f>
        <v>3211.558</v>
      </c>
      <c r="X12" s="230"/>
      <c r="Y12" s="230"/>
      <c r="Z12" s="824"/>
      <c r="AA12" s="824"/>
      <c r="AB12" s="462"/>
      <c r="AC12" s="462"/>
      <c r="AD12" s="824"/>
      <c r="AE12" s="824"/>
      <c r="AF12" s="230"/>
      <c r="AG12" s="230"/>
      <c r="AH12" s="824"/>
      <c r="AI12" s="824"/>
      <c r="AJ12" s="824"/>
      <c r="AK12" s="824"/>
      <c r="AL12" s="824"/>
      <c r="AM12" s="824"/>
      <c r="AN12" s="824"/>
      <c r="AO12" s="824"/>
      <c r="AP12" s="824"/>
      <c r="AQ12" s="824"/>
      <c r="AR12" s="824"/>
      <c r="AS12" s="824"/>
      <c r="AT12" s="824"/>
      <c r="AU12" s="824"/>
      <c r="AV12" s="824"/>
      <c r="AW12" s="824"/>
      <c r="AX12" s="824"/>
      <c r="AY12" s="824"/>
      <c r="AZ12" s="824"/>
      <c r="BA12" s="824"/>
      <c r="BC12" s="306"/>
      <c r="BD12" s="825">
        <f>$BC12+IF(MONTH($E12)=BD$1,SUM($Z12+$Y12),0)+AD12+AG12+AW12+AY12+AS12+AT12</f>
        <v>0</v>
      </c>
      <c r="BE12" s="825">
        <f>($BC12+IF(MONTH($E12)=BE$1,SUM($Z12+$Y12),0))*IF($AZ$1&gt;BD$1,1,0)</f>
        <v>0</v>
      </c>
      <c r="BF12" s="825">
        <f>($BC12+IF(MONTH($E12)=BF$1,SUM($Z12+$Y12),0))*IF($AZ$1&gt;BE$1,1,0)</f>
        <v>0</v>
      </c>
      <c r="BG12" s="825">
        <f>($BC12+IF(MONTH($E12)=BG$1,SUM($Z12+$Y12),0))*IF($AZ$1&gt;BF$1,1,0)</f>
        <v>0</v>
      </c>
      <c r="BH12" s="825">
        <f>($BC12+IF(MONTH($E12)=BH$1,SUM($Z12+$Y12),0))*IF($AZ$1&gt;BG$1,1,0)+IF($AZ$1&gt;$BG$1,AP12,0)</f>
        <v>0</v>
      </c>
      <c r="BI12" s="825">
        <f>($BC12+IF(MONTH($E12)=BI$1,SUM($Z12+$Y12),0))*IF($AZ$1&gt;BH$1,1,0)+IF($AZ$1&gt;$BH$1,AQ12,0)</f>
        <v>0</v>
      </c>
      <c r="BJ12" s="825">
        <f>($BC12+IF(MONTH($E12)=BJ$1,SUM($Z12+$Y12),0))*IF($AZ$1&gt;$BI$1,1,0)+IF($AZ$1&gt;$BI$1,AR12,0)</f>
        <v>0</v>
      </c>
      <c r="BK12" s="825">
        <f>($BC12+IF(MONTH($E12)=BK$1,SUM($Z12+$Y12),0))*IF($AZ$1&gt;$BJ$1,1,0)</f>
        <v>0</v>
      </c>
      <c r="BL12" s="825">
        <f>($BC12+IF(MONTH($E12)=BL$1,SUM($Z12+$Y12),0))*IF($AZ$1&gt;$BK$1,1,0)</f>
        <v>0</v>
      </c>
      <c r="BM12" s="825">
        <f>($BC12+IF(MONTH($E12)=BM$1,SUM($Z12+$Y12),0))*IF($AZ$1&gt;$BL$1,1,0)</f>
        <v>0</v>
      </c>
      <c r="BN12" s="825">
        <f>($BC12+IF(MONTH($E12)=BN$1,SUM($Z12+$Y12),0)+AA12)*IF($AZ$1&gt;$BM$1,1,0)+IF($AZ$1&gt;$BM$1,AN12,0)+IF($AZ$1&gt;$BM$1,AO12,0)</f>
        <v>0</v>
      </c>
      <c r="BO12" s="825">
        <f>($BC12+IF(MONTH($E12)=BO$1,SUM($Z12+$Y12),0))*IF($AZ$1=12,1,0)</f>
        <v>0</v>
      </c>
      <c r="BP12" s="306"/>
    </row>
    <row r="13" spans="1:71" ht="15.75" thickBot="1" x14ac:dyDescent="0.3">
      <c r="A13" s="231" t="s">
        <v>2847</v>
      </c>
      <c r="B13" s="268">
        <v>1</v>
      </c>
      <c r="C13" s="280">
        <v>11705234</v>
      </c>
      <c r="D13" s="234" t="s">
        <v>4691</v>
      </c>
      <c r="E13" s="269">
        <v>44271</v>
      </c>
      <c r="F13" s="236">
        <f>IF(E13&lt;&gt;"",'[3]CONCEPTOS Y PARAMETROS'!$L$2-YEAR(E13),"")</f>
        <v>4</v>
      </c>
      <c r="G13" s="270"/>
      <c r="H13" s="271">
        <v>12111</v>
      </c>
      <c r="I13" s="233" t="s">
        <v>697</v>
      </c>
      <c r="J13" s="272" t="s">
        <v>4786</v>
      </c>
      <c r="K13" s="250">
        <f>IFERROR(VLOOKUP(J13,'[3]TAB EMP'!A:B,2,0),0)</f>
        <v>277</v>
      </c>
      <c r="L13" s="241">
        <v>0</v>
      </c>
      <c r="M13" s="273" t="s">
        <v>2895</v>
      </c>
      <c r="N13" s="826">
        <f>IF(E13&lt;&gt;"",VLOOKUP(SUM(F13:G13),'[3]CONCEPTOS Y PARAMETROS'!F:G,2,0)*K13,0)</f>
        <v>11.08</v>
      </c>
      <c r="O13" s="826">
        <f>IF(I13&lt;&gt;"",'[3]CONCEPTOS Y PARAMETROS'!$C$4,0)</f>
        <v>130</v>
      </c>
      <c r="P13" s="826">
        <f>'[3]CONCEPTOS Y PARAMETROS'!$C$7*L13</f>
        <v>0</v>
      </c>
      <c r="Q13" s="826">
        <f>IFERROR(ROUND(VLOOKUP($M13,'[3]CONCEPTOS Y PARAMETROS'!H:I,2,0)*($K13+N13+O13+P13),2),0)</f>
        <v>104.52</v>
      </c>
      <c r="R13" s="826">
        <f>IF(I13&lt;&gt;"",'[3]CONCEPTOS Y PARAMETROS'!$C$18,0)</f>
        <v>12.5</v>
      </c>
      <c r="S13" s="826"/>
      <c r="T13" s="826"/>
      <c r="U13" s="826"/>
      <c r="V13" s="462">
        <f t="shared" ref="V13:V17" si="27">SUM(N13:Q13)</f>
        <v>245.60000000000002</v>
      </c>
      <c r="W13" s="827">
        <f t="shared" ref="W13:W17" si="28">K13+V13+X13</f>
        <v>522.6</v>
      </c>
      <c r="X13" s="827">
        <f t="shared" ref="X13:X17" si="29">IF(I13="VIGILANTE",(K13+V13)*30%,0)</f>
        <v>0</v>
      </c>
      <c r="Y13" s="827">
        <f t="shared" ref="Y13:Y17" si="30">(IF(SUM(F13:G13)&gt;1,IF((SUM(F13:G13)-1)*2&gt;30,30,SUM(F13:G13)-1)*2)*(AF13/30))*(IF(MONTH(E13)&lt;=$AZ$1,1,0))*0</f>
        <v>0</v>
      </c>
      <c r="Z13" s="827">
        <f>IF(I13&lt;&gt;"",(ROUND(IF(A13="EMPLEADO",eval_formula('[3]CONCEPTOS Y PARAMETROS'!$C$8,'RAC (2025)'!K13,'RAC (2025)'!$W13,'RAC (2025)'!F13+'RAC (2025)'!G13),eval_formula('[3]CONCEPTOS Y PARAMETROS'!$D$8,'RAC (2025)'!K13,'RAC (2025)'!$W13,'RAC (2025)'!F13+'RAC (2025)'!G13)),2))*IF(MONTH(E13)&lt;=$AZ$1,1,0),0)</f>
        <v>4180.8</v>
      </c>
      <c r="AA13" s="827"/>
      <c r="AB13" s="827">
        <f>(((W13/30)*'[3]CONCEPTOS Y PARAMETROS'!$C$27)/12)</f>
        <v>261.3</v>
      </c>
      <c r="AC13" s="827">
        <f>(((W13/30)*'[3]CONCEPTOS Y PARAMETROS'!$C$28)/12)</f>
        <v>217.75000000000003</v>
      </c>
      <c r="AD13" s="827"/>
      <c r="AE13" s="827">
        <f>(W13/30)*'[3]CONCEPTOS Y PARAMETROS'!$C$29</f>
        <v>5.225999169349671</v>
      </c>
      <c r="AF13" s="827">
        <f t="shared" ref="AF13:AF17" si="31">+W13+AB13+AC13+AD13+AE13+AG13</f>
        <v>1059.1359991693498</v>
      </c>
      <c r="AG13" s="827">
        <f>+W13/30*'[3]CONCEPTOS Y PARAMETROS'!$M$2</f>
        <v>52.260000000000005</v>
      </c>
      <c r="AH13" s="827">
        <f>(K13*'[3]CONCEPTOS Y PARAMETROS'!$C$11)</f>
        <v>24.93</v>
      </c>
      <c r="AI13" s="827">
        <f>(K13*'[3]CONCEPTOS Y PARAMETROS'!$C$12)</f>
        <v>5.54</v>
      </c>
      <c r="AJ13" s="827">
        <f>+W13*'[3]CONCEPTOS Y PARAMETROS'!$C$13</f>
        <v>10.452</v>
      </c>
      <c r="AK13" s="827"/>
      <c r="AL13" s="827"/>
      <c r="AM13" s="827"/>
      <c r="AN13" s="827">
        <f>IF(I13&lt;&gt;"",IF($AZ$1&gt;=11,'[3]CONCEPTOS Y PARAMETROS'!$C$10,0),0)</f>
        <v>12.5</v>
      </c>
      <c r="AO13" s="827">
        <f>IF(I13&lt;&gt;"",IF($AZ$1&gt;=11,'[3]CONCEPTOS Y PARAMETROS'!$C$16,0),0)</f>
        <v>12.5</v>
      </c>
      <c r="AP13" s="827"/>
      <c r="AQ13" s="827">
        <f>IF(I13&lt;&gt;"",IF($AZ$1&gt;5,'[3]CONCEPTOS Y PARAMETROS'!$C$23,0),0)</f>
        <v>12.5</v>
      </c>
      <c r="AR13" s="827">
        <f>IF(J13&lt;&gt;"",IF($AZ$1&gt;5,'[3]CONCEPTOS Y PARAMETROS'!$C$23,0),0)</f>
        <v>12.5</v>
      </c>
      <c r="AS13" s="827"/>
      <c r="AT13" s="827"/>
      <c r="AU13" s="462">
        <f>IF(AND(H13&lt;&gt;"",$AZ$1&gt;8),'[3]CONCEPTOS Y PARAMETROS'!$C$32,0)</f>
        <v>12.5</v>
      </c>
      <c r="AV13" s="827">
        <v>0</v>
      </c>
      <c r="AW13" s="827">
        <f>IF(I13&lt;&gt;"",'[3]CONCEPTOS Y PARAMETROS'!$C$14,0)</f>
        <v>3000</v>
      </c>
      <c r="AX13" s="828">
        <f>'[3]CONCEPTOS Y PARAMETROS'!$C$30</f>
        <v>0</v>
      </c>
      <c r="AY13" s="827">
        <f>IF(I13&lt;&gt;"",'[3]CONCEPTOS Y PARAMETROS'!$C$15,0)</f>
        <v>0.1239999532699585</v>
      </c>
      <c r="AZ13" s="462">
        <f>(((W13+AJ13+AK13+R13+S13+T13+U13+AX13+AM13+AL13+AH13+AI13+AW13)*$AZ$1)+Y13+Z13+AA13+AD13+AG13+AN13+AO13+AP13+AQ13+AR13+AS13+AT13+AY13+AU13+AV13)+($AE13*VLOOKUP($AZ$1,'[3]CONCEPTOS Y PARAMETROS'!$A$38:$C$49,3,0))</f>
        <v>47228.85199663067</v>
      </c>
      <c r="BA13" s="829">
        <f t="shared" ref="BA13:BA17" si="32">$AZ13/$BA$1</f>
        <v>24.598360414911806</v>
      </c>
      <c r="BB13" s="844"/>
      <c r="BC13" s="830">
        <f t="shared" ref="BC13:BC17" si="33">+$W13+$AH13+$AI13+$AJ13+$AK13+$AX13+$AM13+$AL13</f>
        <v>563.52199999999993</v>
      </c>
      <c r="BD13" s="827">
        <f t="shared" ref="BD13:BD17" si="34">$BC13+IF(MONTH($E13)=BD$1,SUM($Z13+$Y13),0)+AD13+AG13+AW13+AY13+AS13+AT13+(IF($AZ$1&gt;=1,$AE13,0))+R13+S13+T13+U13</f>
        <v>3633.6319991226196</v>
      </c>
      <c r="BE13" s="827">
        <f t="shared" ref="BE13:BE17" si="35">($BC13+IF(MONTH($E13)=BE$1,SUM($Z13+$Y13),0))*IF($AZ$1&gt;BD$1,1,0)+R13+S13+T13+U13</f>
        <v>576.02199999999993</v>
      </c>
      <c r="BF13" s="827">
        <f t="shared" ref="BF13:BF17" si="36">($BC13+IF(MONTH($E13)=BF$1,SUM($Z13+$Y13),0))*IF($AZ$1&gt;BE$1,1,0)+R13+S13+T13+U13</f>
        <v>4756.8220000000001</v>
      </c>
      <c r="BG13" s="827">
        <f t="shared" ref="BG13:BG17" si="37">($BC13+IF(MONTH($E13)=BG$1,SUM($Z13+$Y13),0))*IF($AZ$1&gt;BF$1,1,0)+(IF($AZ$1&gt;=4,$AE13,0))+IF($AZ$1&gt;BF$1,SUM(R13+S13+T13+U13),0)</f>
        <v>581.24799916934955</v>
      </c>
      <c r="BH13" s="827">
        <f t="shared" ref="BH13:BH17" si="38">($BC13+IF(MONTH($E13)=BH$1,SUM($Z13+$Y13),0))*IF($AZ$1&gt;BG$1,1,0)+IF($AZ$1&gt;$BG$1,AP13,0)+IF($AZ$1&gt;BG$1,SUM(R13+S13+T13+U13),0)</f>
        <v>576.02199999999993</v>
      </c>
      <c r="BI13" s="827">
        <f t="shared" ref="BI13:BI17" si="39">($BC13+IF(MONTH($E13)=BI$1,SUM($Z13+$Y13),0))*IF($AZ$1&gt;BH$1,1,0)+IF($AZ$1&gt;$BH$1,AQ13,0)+IF($AZ$1&gt;BH$1,SUM(R13+S13+T13+U13),0)</f>
        <v>588.52199999999993</v>
      </c>
      <c r="BJ13" s="827">
        <f t="shared" ref="BJ13:BJ17" si="40">($BC13+IF(MONTH($E13)=BJ$1,SUM($Z13+$Y13),0))*IF($AZ$1&gt;$BI$1,1,0)+IF($AZ$1&gt;$BI$1,AR13,0)+(IF($AZ$1&gt;=7,$AE13,0))+IF($AZ$1&gt;BI$1,SUM(R13+S13+T13+U13),0)</f>
        <v>593.74799916934955</v>
      </c>
      <c r="BK13" s="827">
        <f t="shared" ref="BK13:BK17" si="41">($BC13+IF(MONTH($E13)=BK$1,SUM($Z13+$Y13),0))*IF($AZ$1&gt;$BJ$1,1,0)+IF($AZ$1&gt;BJ$1,SUM(R13+S13+T13+U13),0)</f>
        <v>576.02199999999993</v>
      </c>
      <c r="BL13" s="827">
        <f t="shared" ref="BL13:BL17" si="42">($BC13+IF(MONTH($E13)=BL$1,SUM($Z13+$Y13),0))*IF($AZ$1&gt;$BK$1,1,0)+IF($AZ$1&gt;BK$1,SUM(R13+S13+T13+U13)+AU13,0)</f>
        <v>588.52199999999993</v>
      </c>
      <c r="BM13" s="827">
        <f t="shared" ref="BM13:BM17" si="43">($BC13+IF(MONTH($E13)=BM$1,SUM($Z13+$Y13),0))*IF($AZ$1&gt;$BL$1,1,0)+(IF($AZ$1&gt;=10,$AE13,0))+IF($AZ$1&gt;BL$1,SUM(R13+S13+T13+U13)+AV13,0)</f>
        <v>581.24799916934955</v>
      </c>
      <c r="BN13" s="827">
        <f t="shared" ref="BN13:BN17" si="44">($BC13+IF(MONTH($E13)=BN$1,SUM($Z13+$Y13),0)+AA13)*IF($AZ$1&gt;$BM$1,1,0)+IF($AZ$1&gt;$BM$1,AN13,0)+IF($AZ$1&gt;$BM$1,AO13,0)+IF($AZ$1&gt;BM$1,SUM(R13+S13+T13+U13),0)</f>
        <v>601.02199999999993</v>
      </c>
      <c r="BO13" s="827">
        <f t="shared" ref="BO13:BO17" si="45">($BC13+IF(MONTH($E13)=BO$1,SUM($Z13+$Y13),0))*IF($AZ$1=12,1,0)+IF($AZ$1&gt;BN$1,SUM(R13+S13+T13+U13),0)</f>
        <v>576.02199999999993</v>
      </c>
      <c r="BP13" s="827">
        <f t="shared" ref="BP13:BP17" si="46">SUM(BD13:BO13)</f>
        <v>14228.851996630667</v>
      </c>
      <c r="BQ13" s="831">
        <f t="shared" ref="BQ13:BQ17" si="47">+BP13-AZ13</f>
        <v>-33000</v>
      </c>
    </row>
    <row r="14" spans="1:71" ht="15.75" thickBot="1" x14ac:dyDescent="0.3">
      <c r="A14" s="274" t="s">
        <v>2847</v>
      </c>
      <c r="B14" s="268">
        <v>2</v>
      </c>
      <c r="C14" s="280">
        <v>6142179</v>
      </c>
      <c r="D14" s="234" t="s">
        <v>4693</v>
      </c>
      <c r="E14" s="269">
        <v>44363</v>
      </c>
      <c r="F14" s="246">
        <f>IF(E14&lt;&gt;"",'[3]CONCEPTOS Y PARAMETROS'!$L$2-YEAR(E14),"")</f>
        <v>4</v>
      </c>
      <c r="G14" s="276">
        <v>24</v>
      </c>
      <c r="H14" s="277" t="str">
        <f>IFERROR(VLOOKUP(I14,[3]CARGOS!A:E,2,0),"")</f>
        <v>35121</v>
      </c>
      <c r="I14" s="244" t="s">
        <v>35</v>
      </c>
      <c r="J14" s="278" t="s">
        <v>4787</v>
      </c>
      <c r="K14" s="250">
        <f>IFERROR(VLOOKUP(J14,'[3]TAB EMP'!A:B,2,0),0)</f>
        <v>287</v>
      </c>
      <c r="L14" s="251">
        <v>0</v>
      </c>
      <c r="M14" s="279" t="s">
        <v>2895</v>
      </c>
      <c r="N14" s="845">
        <f>IF(E14&lt;&gt;"",VLOOKUP(SUM(F14:G14),'[3]CONCEPTOS Y PARAMETROS'!F:G,2,0)*K14,0)</f>
        <v>86.1</v>
      </c>
      <c r="O14" s="845">
        <f>IF(I14&lt;&gt;"",'[3]CONCEPTOS Y PARAMETROS'!$C$4,0)</f>
        <v>130</v>
      </c>
      <c r="P14" s="845">
        <f>'[3]CONCEPTOS Y PARAMETROS'!$C$7*L14</f>
        <v>0</v>
      </c>
      <c r="Q14" s="845">
        <f>IFERROR(ROUND(VLOOKUP($M14,'[3]CONCEPTOS Y PARAMETROS'!H:I,2,0)*($K14+N14+O14+P14),2),0)</f>
        <v>125.78</v>
      </c>
      <c r="R14" s="845">
        <f>IF(I14&lt;&gt;"",'[3]CONCEPTOS Y PARAMETROS'!$C$18,0)</f>
        <v>12.5</v>
      </c>
      <c r="S14" s="845"/>
      <c r="T14" s="845"/>
      <c r="U14" s="845"/>
      <c r="V14" s="462">
        <f t="shared" si="27"/>
        <v>341.88</v>
      </c>
      <c r="W14" s="827">
        <f t="shared" si="28"/>
        <v>628.88</v>
      </c>
      <c r="X14" s="846">
        <f t="shared" si="29"/>
        <v>0</v>
      </c>
      <c r="Y14" s="827">
        <f t="shared" si="30"/>
        <v>0</v>
      </c>
      <c r="Z14" s="846">
        <f>IF(I14&lt;&gt;"",(ROUND(IF(A14="EMPLEADO",eval_formula('[3]CONCEPTOS Y PARAMETROS'!$C$8,'RAC (2025)'!K14,'RAC (2025)'!$W14,'RAC (2025)'!F14+'RAC (2025)'!G14),eval_formula('[3]CONCEPTOS Y PARAMETROS'!$D$8,'RAC (2025)'!K14,'RAC (2025)'!$W14,'RAC (2025)'!F14+'RAC (2025)'!G14)),2))*IF(MONTH(E14)&lt;=$AZ$1,1,0),0)</f>
        <v>5031.04</v>
      </c>
      <c r="AA14" s="846"/>
      <c r="AB14" s="846">
        <f>(((W14/30)*'[3]CONCEPTOS Y PARAMETROS'!$C$27)/12)</f>
        <v>314.44</v>
      </c>
      <c r="AC14" s="846">
        <f>(((W14/30)*'[3]CONCEPTOS Y PARAMETROS'!$C$28)/12)</f>
        <v>262.03333333333336</v>
      </c>
      <c r="AD14" s="827"/>
      <c r="AE14" s="846">
        <f>(W14/30)*'[3]CONCEPTOS Y PARAMETROS'!$C$29</f>
        <v>6.2887990004221601</v>
      </c>
      <c r="AF14" s="846">
        <f t="shared" si="31"/>
        <v>1274.5301323337553</v>
      </c>
      <c r="AG14" s="846">
        <f>+W14/30*'[3]CONCEPTOS Y PARAMETROS'!$M$2</f>
        <v>62.888000000000005</v>
      </c>
      <c r="AH14" s="827">
        <f>(K14*'[3]CONCEPTOS Y PARAMETROS'!$C$11)</f>
        <v>25.83</v>
      </c>
      <c r="AI14" s="827">
        <f>(K14*'[3]CONCEPTOS Y PARAMETROS'!$C$12)</f>
        <v>5.74</v>
      </c>
      <c r="AJ14" s="846">
        <f>+W14*'[3]CONCEPTOS Y PARAMETROS'!$C$13</f>
        <v>12.5776</v>
      </c>
      <c r="AK14" s="827"/>
      <c r="AL14" s="846"/>
      <c r="AM14" s="846"/>
      <c r="AN14" s="846">
        <f>IF(I14&lt;&gt;"",IF($AZ$1&gt;=11,'[3]CONCEPTOS Y PARAMETROS'!$C$10,0),0)</f>
        <v>12.5</v>
      </c>
      <c r="AO14" s="846">
        <f>IF(I14&lt;&gt;"",IF($AZ$1&gt;=11,'[3]CONCEPTOS Y PARAMETROS'!$C$16,0),0)</f>
        <v>12.5</v>
      </c>
      <c r="AP14" s="846"/>
      <c r="AQ14" s="846">
        <f>IF(I14&lt;&gt;"",IF($AZ$1&gt;5,'[3]CONCEPTOS Y PARAMETROS'!$C$23,0),0)</f>
        <v>12.5</v>
      </c>
      <c r="AR14" s="827">
        <f>IF(J14&lt;&gt;"",IF($AZ$1&gt;5,'[3]CONCEPTOS Y PARAMETROS'!$C$23,0),0)</f>
        <v>12.5</v>
      </c>
      <c r="AS14" s="846"/>
      <c r="AT14" s="846"/>
      <c r="AU14" s="833">
        <f>IF(AND(H14&lt;&gt;"",$AZ$1&gt;8),'[3]CONCEPTOS Y PARAMETROS'!$C$32,0)</f>
        <v>12.5</v>
      </c>
      <c r="AV14" s="833">
        <v>0</v>
      </c>
      <c r="AW14" s="846">
        <f>IF(I14&lt;&gt;"",'[3]CONCEPTOS Y PARAMETROS'!$C$14,0)</f>
        <v>3000</v>
      </c>
      <c r="AX14" s="828">
        <f>'[3]CONCEPTOS Y PARAMETROS'!$C$30</f>
        <v>0</v>
      </c>
      <c r="AY14" s="846">
        <f>IF(I14&lt;&gt;"",'[3]CONCEPTOS Y PARAMETROS'!$C$15,0)</f>
        <v>0.1239999532699585</v>
      </c>
      <c r="AZ14" s="462">
        <f>(((W14+AJ14+AK14+R14+S14+T14+U14+AX14+AM14+AL14+AH14+AI14+AW14)*$AZ$1)+Y14+Z14+AA14+AD14+AG14+AN14+AO14+AP14+AQ14+AR14+AS14+AT14+AY14+AU14+AV14)+($AE14*VLOOKUP($AZ$1,'[3]CONCEPTOS Y PARAMETROS'!$A$38:$C$49,3,0))</f>
        <v>49408.038395954958</v>
      </c>
      <c r="BA14" s="847">
        <f t="shared" si="32"/>
        <v>25.733353331226542</v>
      </c>
      <c r="BB14" s="844"/>
      <c r="BC14" s="848">
        <f t="shared" si="33"/>
        <v>673.02760000000001</v>
      </c>
      <c r="BD14" s="846">
        <f t="shared" si="34"/>
        <v>3754.8283989536926</v>
      </c>
      <c r="BE14" s="846">
        <f t="shared" si="35"/>
        <v>685.52760000000001</v>
      </c>
      <c r="BF14" s="846">
        <f t="shared" si="36"/>
        <v>685.52760000000001</v>
      </c>
      <c r="BG14" s="846">
        <f t="shared" si="37"/>
        <v>691.81639900042217</v>
      </c>
      <c r="BH14" s="846">
        <f t="shared" si="38"/>
        <v>685.52760000000001</v>
      </c>
      <c r="BI14" s="846">
        <f t="shared" si="39"/>
        <v>5729.0676000000003</v>
      </c>
      <c r="BJ14" s="846">
        <f t="shared" si="40"/>
        <v>704.31639900042217</v>
      </c>
      <c r="BK14" s="846">
        <f t="shared" si="41"/>
        <v>685.52760000000001</v>
      </c>
      <c r="BL14" s="846">
        <f t="shared" si="42"/>
        <v>698.02760000000001</v>
      </c>
      <c r="BM14" s="846">
        <f t="shared" si="43"/>
        <v>691.81639900042217</v>
      </c>
      <c r="BN14" s="846">
        <f t="shared" si="44"/>
        <v>710.52760000000001</v>
      </c>
      <c r="BO14" s="846">
        <f t="shared" si="45"/>
        <v>685.52760000000001</v>
      </c>
      <c r="BP14" s="846">
        <f t="shared" si="46"/>
        <v>16408.038395954958</v>
      </c>
      <c r="BQ14" s="849">
        <f t="shared" si="47"/>
        <v>-33000</v>
      </c>
    </row>
    <row r="15" spans="1:71" ht="15.75" thickBot="1" x14ac:dyDescent="0.3">
      <c r="A15" s="274" t="s">
        <v>2847</v>
      </c>
      <c r="B15" s="268">
        <v>3</v>
      </c>
      <c r="C15" s="280">
        <v>10401374</v>
      </c>
      <c r="D15" s="244" t="s">
        <v>4694</v>
      </c>
      <c r="E15" s="269">
        <v>44577</v>
      </c>
      <c r="F15" s="246">
        <f>IF(E15&lt;&gt;"",'[3]CONCEPTOS Y PARAMETROS'!$L$2-YEAR(E15),"")</f>
        <v>3</v>
      </c>
      <c r="G15" s="276">
        <v>12</v>
      </c>
      <c r="H15" s="277" t="str">
        <f>IFERROR(VLOOKUP(I15,[3]CARGOS!A:E,2,0),"")</f>
        <v>12121</v>
      </c>
      <c r="I15" s="244" t="s">
        <v>74</v>
      </c>
      <c r="J15" s="278" t="s">
        <v>4788</v>
      </c>
      <c r="K15" s="250">
        <f>IFERROR(VLOOKUP(J15,'[3]TAB EMP'!A:B,2,0),0)</f>
        <v>283</v>
      </c>
      <c r="L15" s="251">
        <v>1</v>
      </c>
      <c r="M15" s="279" t="s">
        <v>2895</v>
      </c>
      <c r="N15" s="845">
        <f>IF(E15&lt;&gt;"",VLOOKUP(SUM(F15:G15),'[3]CONCEPTOS Y PARAMETROS'!F:G,2,0)*K15,0)</f>
        <v>50.94</v>
      </c>
      <c r="O15" s="845">
        <f>IF(I15&lt;&gt;"",'[3]CONCEPTOS Y PARAMETROS'!$C$4,0)</f>
        <v>130</v>
      </c>
      <c r="P15" s="845">
        <f>'[3]CONCEPTOS Y PARAMETROS'!$C$7*L15</f>
        <v>12.5</v>
      </c>
      <c r="Q15" s="845">
        <f>IFERROR(ROUND(VLOOKUP($M15,'[3]CONCEPTOS Y PARAMETROS'!H:I,2,0)*($K15+N15+O15+P15),2),0)</f>
        <v>119.11</v>
      </c>
      <c r="R15" s="845">
        <f>IF(I15&lt;&gt;"",'[3]CONCEPTOS Y PARAMETROS'!$C$18,0)</f>
        <v>12.5</v>
      </c>
      <c r="S15" s="845">
        <f>IF(I15&lt;&gt;"",'[3]CONCEPTOS Y PARAMETROS'!$C$19,0)</f>
        <v>12.5</v>
      </c>
      <c r="T15" s="845"/>
      <c r="U15" s="845"/>
      <c r="V15" s="462">
        <f t="shared" si="27"/>
        <v>312.55</v>
      </c>
      <c r="W15" s="827">
        <f t="shared" si="28"/>
        <v>595.54999999999995</v>
      </c>
      <c r="X15" s="846">
        <f t="shared" si="29"/>
        <v>0</v>
      </c>
      <c r="Y15" s="827">
        <f t="shared" si="30"/>
        <v>0</v>
      </c>
      <c r="Z15" s="846">
        <f>IF(I15&lt;&gt;"",(ROUND(IF(A15="EMPLEADO",eval_formula('[3]CONCEPTOS Y PARAMETROS'!$C$8,'RAC (2025)'!K15,'RAC (2025)'!$W15,'RAC (2025)'!F15+'RAC (2025)'!G15),eval_formula('[3]CONCEPTOS Y PARAMETROS'!$D$8,'RAC (2025)'!K15,'RAC (2025)'!$W15,'RAC (2025)'!F15+'RAC (2025)'!G15)),2))*IF(MONTH(E15)&lt;=$AZ$1,1,0),0)</f>
        <v>4764.3999999999996</v>
      </c>
      <c r="AA15" s="846"/>
      <c r="AB15" s="846">
        <f>(((W15/30)*'[3]CONCEPTOS Y PARAMETROS'!$C$27)/12)</f>
        <v>297.77500000000003</v>
      </c>
      <c r="AC15" s="846">
        <f>(((W15/30)*'[3]CONCEPTOS Y PARAMETROS'!$C$28)/12)</f>
        <v>248.14583333333334</v>
      </c>
      <c r="AD15" s="827"/>
      <c r="AE15" s="846">
        <f>(W15/30)*'[3]CONCEPTOS Y PARAMETROS'!$C$29</f>
        <v>5.9554990533987677</v>
      </c>
      <c r="AF15" s="846">
        <f t="shared" si="31"/>
        <v>1206.9813323867322</v>
      </c>
      <c r="AG15" s="846">
        <f>+W15/30*'[3]CONCEPTOS Y PARAMETROS'!$M$2</f>
        <v>59.555</v>
      </c>
      <c r="AH15" s="827">
        <f>(K15*'[3]CONCEPTOS Y PARAMETROS'!$C$11)</f>
        <v>25.47</v>
      </c>
      <c r="AI15" s="827">
        <f>(K15*'[3]CONCEPTOS Y PARAMETROS'!$C$12)</f>
        <v>5.66</v>
      </c>
      <c r="AJ15" s="846">
        <f>+W15*'[3]CONCEPTOS Y PARAMETROS'!$C$13</f>
        <v>11.911</v>
      </c>
      <c r="AK15" s="827"/>
      <c r="AL15" s="846"/>
      <c r="AM15" s="846"/>
      <c r="AN15" s="846">
        <f>IF(I15&lt;&gt;"",IF($AZ$1&gt;=11,'[3]CONCEPTOS Y PARAMETROS'!$C$10,0),0)</f>
        <v>12.5</v>
      </c>
      <c r="AO15" s="846">
        <f>IF(I15&lt;&gt;"",IF($AZ$1&gt;=11,'[3]CONCEPTOS Y PARAMETROS'!$C$16,0),0)</f>
        <v>12.5</v>
      </c>
      <c r="AP15" s="846"/>
      <c r="AQ15" s="846">
        <f>IF(I15&lt;&gt;"",IF($AZ$1&gt;5,'[3]CONCEPTOS Y PARAMETROS'!$C$23,0),0)</f>
        <v>12.5</v>
      </c>
      <c r="AR15" s="827">
        <f>IF(J15&lt;&gt;"",IF($AZ$1&gt;5,'[3]CONCEPTOS Y PARAMETROS'!$C$23,0),0)</f>
        <v>12.5</v>
      </c>
      <c r="AS15" s="846"/>
      <c r="AT15" s="846"/>
      <c r="AU15" s="833">
        <f>IF(AND(H15&lt;&gt;"",$AZ$1&gt;8),'[3]CONCEPTOS Y PARAMETROS'!$C$32,0)</f>
        <v>12.5</v>
      </c>
      <c r="AV15" s="833">
        <v>0</v>
      </c>
      <c r="AW15" s="846">
        <f>IF(I15&lt;&gt;"",'[3]CONCEPTOS Y PARAMETROS'!$C$14,0)</f>
        <v>3000</v>
      </c>
      <c r="AX15" s="828">
        <f>'[3]CONCEPTOS Y PARAMETROS'!$C$30</f>
        <v>0</v>
      </c>
      <c r="AY15" s="846">
        <f>IF(I15&lt;&gt;"",'[3]CONCEPTOS Y PARAMETROS'!$C$15,0)</f>
        <v>0.1239999532699585</v>
      </c>
      <c r="AZ15" s="462">
        <f>(((W15+AJ15+AK15+R15+S15+T15+U15+AX15+AM15+AL15+AH15+AI15+AW15)*$AZ$1)+Y15+Z15+AA15+AD15+AG15+AN15+AO15+AP15+AQ15+AR15+AS15+AT15+AY15+AU15+AV15)+($AE15*VLOOKUP($AZ$1,'[3]CONCEPTOS Y PARAMETROS'!$A$38:$C$49,3,0))</f>
        <v>48873.49299616686</v>
      </c>
      <c r="BA15" s="847">
        <f t="shared" si="32"/>
        <v>25.454944268836908</v>
      </c>
      <c r="BB15" s="844"/>
      <c r="BC15" s="848">
        <f t="shared" si="33"/>
        <v>638.59099999999989</v>
      </c>
      <c r="BD15" s="846">
        <f t="shared" si="34"/>
        <v>8493.6254990066682</v>
      </c>
      <c r="BE15" s="846">
        <f t="shared" si="35"/>
        <v>663.59099999999989</v>
      </c>
      <c r="BF15" s="846">
        <f t="shared" si="36"/>
        <v>663.59099999999989</v>
      </c>
      <c r="BG15" s="846">
        <f t="shared" si="37"/>
        <v>669.54649905339863</v>
      </c>
      <c r="BH15" s="846">
        <f t="shared" si="38"/>
        <v>663.59099999999989</v>
      </c>
      <c r="BI15" s="846">
        <f t="shared" si="39"/>
        <v>676.09099999999989</v>
      </c>
      <c r="BJ15" s="846">
        <f t="shared" si="40"/>
        <v>682.04649905339863</v>
      </c>
      <c r="BK15" s="846">
        <f t="shared" si="41"/>
        <v>663.59099999999989</v>
      </c>
      <c r="BL15" s="846">
        <f t="shared" si="42"/>
        <v>676.09099999999989</v>
      </c>
      <c r="BM15" s="846">
        <f t="shared" si="43"/>
        <v>669.54649905339863</v>
      </c>
      <c r="BN15" s="846">
        <f t="shared" si="44"/>
        <v>688.59099999999989</v>
      </c>
      <c r="BO15" s="846">
        <f t="shared" si="45"/>
        <v>663.59099999999989</v>
      </c>
      <c r="BP15" s="846">
        <f t="shared" si="46"/>
        <v>15873.492996166866</v>
      </c>
      <c r="BQ15" s="849">
        <f t="shared" si="47"/>
        <v>-32999.999999999993</v>
      </c>
    </row>
    <row r="16" spans="1:71" ht="15.75" thickBot="1" x14ac:dyDescent="0.3">
      <c r="A16" s="274" t="s">
        <v>2847</v>
      </c>
      <c r="B16" s="268">
        <v>4</v>
      </c>
      <c r="C16" s="280">
        <v>15216786</v>
      </c>
      <c r="D16" s="244" t="s">
        <v>4695</v>
      </c>
      <c r="E16" s="269">
        <v>44713</v>
      </c>
      <c r="F16" s="246">
        <f>IF(E16&lt;&gt;"",'[3]CONCEPTOS Y PARAMETROS'!$L$2-YEAR(E16),"")</f>
        <v>3</v>
      </c>
      <c r="G16" s="276">
        <v>14</v>
      </c>
      <c r="H16" s="277" t="str">
        <f>IFERROR(VLOOKUP(I16,[3]CARGOS!A:E,2,0),"")</f>
        <v>12121</v>
      </c>
      <c r="I16" s="244" t="s">
        <v>74</v>
      </c>
      <c r="J16" s="278" t="s">
        <v>4789</v>
      </c>
      <c r="K16" s="250">
        <f>IFERROR(VLOOKUP(J16,'[3]TAB EMP'!A:B,2,0),0)</f>
        <v>314</v>
      </c>
      <c r="L16" s="251">
        <v>1</v>
      </c>
      <c r="M16" s="279" t="s">
        <v>2896</v>
      </c>
      <c r="N16" s="845">
        <f>IF(E16&lt;&gt;"",VLOOKUP(SUM(F16:G16),'[3]CONCEPTOS Y PARAMETROS'!F:G,2,0)*K16,0)</f>
        <v>66.567999999999998</v>
      </c>
      <c r="O16" s="845">
        <f>IF(I16&lt;&gt;"",'[3]CONCEPTOS Y PARAMETROS'!$C$4,0)</f>
        <v>130</v>
      </c>
      <c r="P16" s="845">
        <f>'[3]CONCEPTOS Y PARAMETROS'!$C$7*L16</f>
        <v>12.5</v>
      </c>
      <c r="Q16" s="845">
        <f>IFERROR(ROUND(VLOOKUP($M16,'[3]CONCEPTOS Y PARAMETROS'!H:I,2,0)*($K16+N16+O16+P16),2),0)</f>
        <v>156.91999999999999</v>
      </c>
      <c r="R16" s="845">
        <f>IF(I16&lt;&gt;"",'[3]CONCEPTOS Y PARAMETROS'!$C$18,0)</f>
        <v>12.5</v>
      </c>
      <c r="S16" s="845">
        <f>IF(I16&lt;&gt;"",'[3]CONCEPTOS Y PARAMETROS'!$C$19,0)</f>
        <v>12.5</v>
      </c>
      <c r="T16" s="845"/>
      <c r="U16" s="845"/>
      <c r="V16" s="462">
        <f t="shared" si="27"/>
        <v>365.98799999999994</v>
      </c>
      <c r="W16" s="827">
        <f t="shared" si="28"/>
        <v>679.98799999999994</v>
      </c>
      <c r="X16" s="846">
        <f t="shared" si="29"/>
        <v>0</v>
      </c>
      <c r="Y16" s="827">
        <f t="shared" si="30"/>
        <v>0</v>
      </c>
      <c r="Z16" s="846">
        <f>IF(I16&lt;&gt;"",(ROUND(IF(A16="EMPLEADO",eval_formula('[3]CONCEPTOS Y PARAMETROS'!$C$8,'RAC (2025)'!K16,'RAC (2025)'!$W16,'RAC (2025)'!F16+'RAC (2025)'!G16),eval_formula('[3]CONCEPTOS Y PARAMETROS'!$D$8,'RAC (2025)'!K16,'RAC (2025)'!$W16,'RAC (2025)'!F16+'RAC (2025)'!G16)),2))*IF(MONTH(E16)&lt;=$AZ$1,1,0),0)</f>
        <v>5439.9</v>
      </c>
      <c r="AA16" s="846"/>
      <c r="AB16" s="846">
        <f>(((W16/30)*'[3]CONCEPTOS Y PARAMETROS'!$C$27)/12)</f>
        <v>339.99399999999997</v>
      </c>
      <c r="AC16" s="846">
        <f>(((W16/30)*'[3]CONCEPTOS Y PARAMETROS'!$C$28)/12)</f>
        <v>283.32833333333332</v>
      </c>
      <c r="AD16" s="827"/>
      <c r="AE16" s="846">
        <f>(W16/30)*'[3]CONCEPTOS Y PARAMETROS'!$C$29</f>
        <v>6.7998789191881812</v>
      </c>
      <c r="AF16" s="846">
        <f t="shared" si="31"/>
        <v>1378.1090122525216</v>
      </c>
      <c r="AG16" s="846">
        <f>+W16/30*'[3]CONCEPTOS Y PARAMETROS'!$M$2</f>
        <v>67.998799999999989</v>
      </c>
      <c r="AH16" s="827">
        <f>(K16*'[3]CONCEPTOS Y PARAMETROS'!$C$11)</f>
        <v>28.259999999999998</v>
      </c>
      <c r="AI16" s="827">
        <f>(K16*'[3]CONCEPTOS Y PARAMETROS'!$C$12)</f>
        <v>6.28</v>
      </c>
      <c r="AJ16" s="846">
        <f>+W16*'[3]CONCEPTOS Y PARAMETROS'!$C$13</f>
        <v>13.59976</v>
      </c>
      <c r="AK16" s="827"/>
      <c r="AL16" s="846"/>
      <c r="AM16" s="846"/>
      <c r="AN16" s="846">
        <f>IF(I16&lt;&gt;"",IF($AZ$1&gt;=11,'[3]CONCEPTOS Y PARAMETROS'!$C$10,0),0)</f>
        <v>12.5</v>
      </c>
      <c r="AO16" s="846">
        <f>IF(I16&lt;&gt;"",IF($AZ$1&gt;=11,'[3]CONCEPTOS Y PARAMETROS'!$C$16,0),0)</f>
        <v>12.5</v>
      </c>
      <c r="AP16" s="846"/>
      <c r="AQ16" s="846">
        <f>IF(I16&lt;&gt;"",IF($AZ$1&gt;5,'[3]CONCEPTOS Y PARAMETROS'!$C$23,0),0)</f>
        <v>12.5</v>
      </c>
      <c r="AR16" s="827">
        <f>IF(J16&lt;&gt;"",IF($AZ$1&gt;5,'[3]CONCEPTOS Y PARAMETROS'!$C$23,0),0)</f>
        <v>12.5</v>
      </c>
      <c r="AS16" s="846"/>
      <c r="AT16" s="846"/>
      <c r="AU16" s="833">
        <f>IF(AND(H16&lt;&gt;"",$AZ$1&gt;8),'[3]CONCEPTOS Y PARAMETROS'!$C$32,0)</f>
        <v>12.5</v>
      </c>
      <c r="AV16" s="833">
        <v>0</v>
      </c>
      <c r="AW16" s="846">
        <f>IF(I16&lt;&gt;"",'[3]CONCEPTOS Y PARAMETROS'!$C$14,0)</f>
        <v>3000</v>
      </c>
      <c r="AX16" s="828">
        <f>'[3]CONCEPTOS Y PARAMETROS'!$C$30</f>
        <v>0</v>
      </c>
      <c r="AY16" s="846">
        <f>IF(I16&lt;&gt;"",'[3]CONCEPTOS Y PARAMETROS'!$C$15,0)</f>
        <v>0.1239999532699585</v>
      </c>
      <c r="AZ16" s="462">
        <f>(((W16+AJ16+AK16+R16+S16+T16+U16+AX16+AM16+AL16+AH16+AI16+AW16)*$AZ$1)+Y16+Z16+AA16+AD16+AG16+AN16+AO16+AP16+AQ16+AR16+AS16+AT16+AY16+AU16+AV16)+($AE16*VLOOKUP($AZ$1,'[3]CONCEPTOS Y PARAMETROS'!$A$38:$C$49,3,0))</f>
        <v>50635.255435630024</v>
      </c>
      <c r="BA16" s="847">
        <f t="shared" si="32"/>
        <v>26.372528872723972</v>
      </c>
      <c r="BB16" s="844"/>
      <c r="BC16" s="848">
        <f t="shared" si="33"/>
        <v>728.12775999999985</v>
      </c>
      <c r="BD16" s="846">
        <f t="shared" si="34"/>
        <v>3828.050438872458</v>
      </c>
      <c r="BE16" s="846">
        <f t="shared" si="35"/>
        <v>753.12775999999985</v>
      </c>
      <c r="BF16" s="846">
        <f t="shared" si="36"/>
        <v>753.12775999999985</v>
      </c>
      <c r="BG16" s="846">
        <f t="shared" si="37"/>
        <v>759.92763891918798</v>
      </c>
      <c r="BH16" s="846">
        <f t="shared" si="38"/>
        <v>753.12775999999985</v>
      </c>
      <c r="BI16" s="846">
        <f t="shared" si="39"/>
        <v>6205.527759999999</v>
      </c>
      <c r="BJ16" s="846">
        <f t="shared" si="40"/>
        <v>772.42763891918798</v>
      </c>
      <c r="BK16" s="846">
        <f t="shared" si="41"/>
        <v>753.12775999999985</v>
      </c>
      <c r="BL16" s="846">
        <f t="shared" si="42"/>
        <v>765.62775999999985</v>
      </c>
      <c r="BM16" s="846">
        <f t="shared" si="43"/>
        <v>759.92763891918798</v>
      </c>
      <c r="BN16" s="846">
        <f t="shared" si="44"/>
        <v>778.12775999999985</v>
      </c>
      <c r="BO16" s="846">
        <f t="shared" si="45"/>
        <v>753.12775999999985</v>
      </c>
      <c r="BP16" s="846">
        <f t="shared" si="46"/>
        <v>17635.255435630017</v>
      </c>
      <c r="BQ16" s="849">
        <f t="shared" si="47"/>
        <v>-33000.000000000007</v>
      </c>
    </row>
    <row r="17" spans="1:69" ht="15.75" thickBot="1" x14ac:dyDescent="0.3">
      <c r="A17" s="274" t="s">
        <v>2847</v>
      </c>
      <c r="B17" s="268">
        <v>5</v>
      </c>
      <c r="C17" s="280">
        <v>18097585</v>
      </c>
      <c r="D17" s="244" t="s">
        <v>4696</v>
      </c>
      <c r="E17" s="269">
        <v>44713</v>
      </c>
      <c r="F17" s="246">
        <f>IF(E17&lt;&gt;"",'[3]CONCEPTOS Y PARAMETROS'!$L$2-YEAR(E17),"")</f>
        <v>3</v>
      </c>
      <c r="G17" s="276"/>
      <c r="H17" s="277" t="str">
        <f>IFERROR(VLOOKUP(I17,[3]CARGOS!A:E,2,0),"")</f>
        <v>12111</v>
      </c>
      <c r="I17" s="244" t="s">
        <v>323</v>
      </c>
      <c r="J17" s="278" t="s">
        <v>4697</v>
      </c>
      <c r="K17" s="250">
        <f>IFERROR(VLOOKUP(J17,'[3]TAB EMP'!A:B,2,0),0)</f>
        <v>130</v>
      </c>
      <c r="L17" s="251">
        <v>2</v>
      </c>
      <c r="M17" s="279" t="s">
        <v>2845</v>
      </c>
      <c r="N17" s="845">
        <f>IF(E17&lt;&gt;"",VLOOKUP(SUM(F17:G17),'[3]CONCEPTOS Y PARAMETROS'!F:G,2,0)*K17,0)</f>
        <v>3.9</v>
      </c>
      <c r="O17" s="845">
        <f>IF(I17&lt;&gt;"",'[3]CONCEPTOS Y PARAMETROS'!$C$4,0)</f>
        <v>130</v>
      </c>
      <c r="P17" s="845">
        <f>'[3]CONCEPTOS Y PARAMETROS'!$C$7*L17</f>
        <v>25</v>
      </c>
      <c r="Q17" s="845">
        <f>IFERROR(ROUND(VLOOKUP($M17,'[3]CONCEPTOS Y PARAMETROS'!H:I,2,0)*($K17+N17+O17+P17),2),0)</f>
        <v>57.78</v>
      </c>
      <c r="R17" s="845">
        <f>IF(I17&lt;&gt;"",'[3]CONCEPTOS Y PARAMETROS'!$C$18,0)</f>
        <v>12.5</v>
      </c>
      <c r="S17" s="845">
        <f>IF(I17&lt;&gt;"",'[3]CONCEPTOS Y PARAMETROS'!$C$19,0)</f>
        <v>12.5</v>
      </c>
      <c r="T17" s="845"/>
      <c r="U17" s="845"/>
      <c r="V17" s="462">
        <f t="shared" si="27"/>
        <v>216.68</v>
      </c>
      <c r="W17" s="827">
        <f t="shared" si="28"/>
        <v>346.68</v>
      </c>
      <c r="X17" s="846">
        <f t="shared" si="29"/>
        <v>0</v>
      </c>
      <c r="Y17" s="827">
        <f t="shared" si="30"/>
        <v>0</v>
      </c>
      <c r="Z17" s="846">
        <f>IF(I17&lt;&gt;"",(ROUND(IF(A17="EMPLEADO",eval_formula('[3]CONCEPTOS Y PARAMETROS'!$C$8,'RAC (2025)'!K17,'RAC (2025)'!$W17,'RAC (2025)'!F17+'RAC (2025)'!G17),eval_formula('[3]CONCEPTOS Y PARAMETROS'!$D$8,'RAC (2025)'!K17,'RAC (2025)'!$W17,'RAC (2025)'!F17+'RAC (2025)'!G17)),2))*IF(MONTH(E17)&lt;=$AZ$1,1,0),0)</f>
        <v>2773.44</v>
      </c>
      <c r="AA17" s="846"/>
      <c r="AB17" s="846">
        <f>(((W17/30)*'[3]CONCEPTOS Y PARAMETROS'!$C$27)/12)</f>
        <v>173.34000000000003</v>
      </c>
      <c r="AC17" s="846">
        <f>(((W17/30)*'[3]CONCEPTOS Y PARAMETROS'!$C$28)/12)</f>
        <v>144.45000000000002</v>
      </c>
      <c r="AD17" s="827"/>
      <c r="AE17" s="846">
        <f>(W17/30)*'[3]CONCEPTOS Y PARAMETROS'!$C$29</f>
        <v>3.4667994489669804</v>
      </c>
      <c r="AF17" s="846">
        <f t="shared" si="31"/>
        <v>702.60479944896701</v>
      </c>
      <c r="AG17" s="846">
        <f>+W17/30*'[3]CONCEPTOS Y PARAMETROS'!$M$2</f>
        <v>34.668000000000006</v>
      </c>
      <c r="AH17" s="827">
        <f>(K17*'[3]CONCEPTOS Y PARAMETROS'!$C$11)</f>
        <v>11.7</v>
      </c>
      <c r="AI17" s="827">
        <f>(K17*'[3]CONCEPTOS Y PARAMETROS'!$C$12)</f>
        <v>2.6</v>
      </c>
      <c r="AJ17" s="846">
        <f>+W17*'[3]CONCEPTOS Y PARAMETROS'!$C$13</f>
        <v>6.9336000000000002</v>
      </c>
      <c r="AK17" s="827"/>
      <c r="AL17" s="846"/>
      <c r="AM17" s="846"/>
      <c r="AN17" s="846">
        <f>IF(I17&lt;&gt;"",IF($AZ$1&gt;=11,'[3]CONCEPTOS Y PARAMETROS'!$C$10,0),0)</f>
        <v>12.5</v>
      </c>
      <c r="AO17" s="846">
        <f>IF(I17&lt;&gt;"",IF($AZ$1&gt;=11,'[3]CONCEPTOS Y PARAMETROS'!$C$16,0),0)</f>
        <v>12.5</v>
      </c>
      <c r="AP17" s="846"/>
      <c r="AQ17" s="846">
        <f>IF(I17&lt;&gt;"",IF($AZ$1&gt;5,'[3]CONCEPTOS Y PARAMETROS'!$C$23,0),0)</f>
        <v>12.5</v>
      </c>
      <c r="AR17" s="827">
        <f>IF(J17&lt;&gt;"",IF($AZ$1&gt;5,'[3]CONCEPTOS Y PARAMETROS'!$C$23,0),0)</f>
        <v>12.5</v>
      </c>
      <c r="AS17" s="846"/>
      <c r="AT17" s="846"/>
      <c r="AU17" s="833">
        <f>IF(AND(H17&lt;&gt;"",$AZ$1&gt;8),'[3]CONCEPTOS Y PARAMETROS'!$C$32,0)</f>
        <v>12.5</v>
      </c>
      <c r="AV17" s="833">
        <v>0</v>
      </c>
      <c r="AW17" s="846">
        <f>IF(I17&lt;&gt;"",'[3]CONCEPTOS Y PARAMETROS'!$C$14,0)</f>
        <v>3000</v>
      </c>
      <c r="AX17" s="828">
        <f>'[3]CONCEPTOS Y PARAMETROS'!$C$30</f>
        <v>0</v>
      </c>
      <c r="AY17" s="846">
        <f>IF(I17&lt;&gt;"",'[3]CONCEPTOS Y PARAMETROS'!$C$15,0)</f>
        <v>0.1239999532699585</v>
      </c>
      <c r="AZ17" s="462">
        <f>(((W17+AJ17+AK17+R17+S17+T17+U17+AX17+AM17+AL17+AH17+AI17+AW17)*$AZ$1)+Y17+Z17+AA17+AD17+AG17+AN17+AO17+AP17+AQ17+AR17+AS17+AT17+AY17+AU17+AV17)+($AE17*VLOOKUP($AZ$1,'[3]CONCEPTOS Y PARAMETROS'!$A$38:$C$49,3,0))</f>
        <v>43599.562397749134</v>
      </c>
      <c r="BA17" s="847">
        <f t="shared" si="32"/>
        <v>22.708105415494341</v>
      </c>
      <c r="BB17" s="844"/>
      <c r="BC17" s="848">
        <f t="shared" si="33"/>
        <v>367.91360000000003</v>
      </c>
      <c r="BD17" s="846">
        <f t="shared" si="34"/>
        <v>3431.1723994022368</v>
      </c>
      <c r="BE17" s="846">
        <f t="shared" si="35"/>
        <v>392.91360000000003</v>
      </c>
      <c r="BF17" s="846">
        <f t="shared" si="36"/>
        <v>392.91360000000003</v>
      </c>
      <c r="BG17" s="846">
        <f t="shared" si="37"/>
        <v>396.38039944896701</v>
      </c>
      <c r="BH17" s="846">
        <f t="shared" si="38"/>
        <v>392.91360000000003</v>
      </c>
      <c r="BI17" s="846">
        <f t="shared" si="39"/>
        <v>3178.8535999999999</v>
      </c>
      <c r="BJ17" s="846">
        <f t="shared" si="40"/>
        <v>408.88039944896701</v>
      </c>
      <c r="BK17" s="846">
        <f t="shared" si="41"/>
        <v>392.91360000000003</v>
      </c>
      <c r="BL17" s="846">
        <f t="shared" si="42"/>
        <v>405.41360000000003</v>
      </c>
      <c r="BM17" s="846">
        <f t="shared" si="43"/>
        <v>396.38039944896701</v>
      </c>
      <c r="BN17" s="846">
        <f t="shared" si="44"/>
        <v>417.91360000000003</v>
      </c>
      <c r="BO17" s="846">
        <f t="shared" si="45"/>
        <v>392.91360000000003</v>
      </c>
      <c r="BP17" s="846">
        <f t="shared" si="46"/>
        <v>10599.562397749136</v>
      </c>
      <c r="BQ17" s="849">
        <f t="shared" si="47"/>
        <v>-33000</v>
      </c>
    </row>
    <row r="18" spans="1:69" ht="12.75" thickBot="1" x14ac:dyDescent="0.25">
      <c r="A18" s="281"/>
      <c r="B18" s="265">
        <f>COUNT(B13:B17)</f>
        <v>5</v>
      </c>
      <c r="C18" s="1049" t="s">
        <v>4573</v>
      </c>
      <c r="D18" s="1049"/>
      <c r="E18" s="1049"/>
      <c r="F18" s="1049"/>
      <c r="G18" s="1049"/>
      <c r="H18" s="1049"/>
      <c r="I18" s="1049"/>
      <c r="J18" s="1050"/>
      <c r="K18" s="282">
        <f t="shared" ref="K18:S18" si="48">SUM(K13:K17)</f>
        <v>1291</v>
      </c>
      <c r="L18" s="282">
        <f t="shared" si="48"/>
        <v>4</v>
      </c>
      <c r="M18" s="282">
        <f t="shared" si="48"/>
        <v>0</v>
      </c>
      <c r="N18" s="282">
        <f t="shared" si="48"/>
        <v>218.58799999999999</v>
      </c>
      <c r="O18" s="282">
        <f t="shared" si="48"/>
        <v>650</v>
      </c>
      <c r="P18" s="282">
        <f t="shared" si="48"/>
        <v>50</v>
      </c>
      <c r="Q18" s="282">
        <f t="shared" si="48"/>
        <v>564.11</v>
      </c>
      <c r="R18" s="282">
        <f t="shared" si="48"/>
        <v>62.5</v>
      </c>
      <c r="S18" s="282">
        <f t="shared" si="48"/>
        <v>37.5</v>
      </c>
      <c r="T18" s="282"/>
      <c r="U18" s="282"/>
      <c r="V18" s="282">
        <f t="shared" ref="V18:AC18" si="49">SUM(V13:V17)</f>
        <v>1482.6980000000001</v>
      </c>
      <c r="W18" s="282">
        <f t="shared" si="49"/>
        <v>2773.6979999999999</v>
      </c>
      <c r="X18" s="282">
        <f t="shared" si="49"/>
        <v>0</v>
      </c>
      <c r="Y18" s="282">
        <f t="shared" si="49"/>
        <v>0</v>
      </c>
      <c r="Z18" s="282">
        <f t="shared" si="49"/>
        <v>22189.579999999998</v>
      </c>
      <c r="AA18" s="282">
        <f t="shared" si="49"/>
        <v>0</v>
      </c>
      <c r="AB18" s="282">
        <f t="shared" si="49"/>
        <v>1386.8490000000002</v>
      </c>
      <c r="AC18" s="282">
        <f t="shared" si="49"/>
        <v>1155.7075000000002</v>
      </c>
      <c r="AD18" s="282"/>
      <c r="AE18" s="282">
        <f t="shared" ref="AE18:AJ18" si="50">SUM(AE13:AE17)</f>
        <v>27.736975591325759</v>
      </c>
      <c r="AF18" s="282">
        <f t="shared" si="50"/>
        <v>5621.3612755913255</v>
      </c>
      <c r="AG18" s="282">
        <f t="shared" si="50"/>
        <v>277.3698</v>
      </c>
      <c r="AH18" s="282">
        <f t="shared" si="50"/>
        <v>116.18999999999998</v>
      </c>
      <c r="AI18" s="282">
        <f t="shared" si="50"/>
        <v>25.820000000000004</v>
      </c>
      <c r="AJ18" s="282">
        <f t="shared" si="50"/>
        <v>55.473960000000005</v>
      </c>
      <c r="AK18" s="282"/>
      <c r="AL18" s="282">
        <f>SUM(AL13:AL17)</f>
        <v>0</v>
      </c>
      <c r="AM18" s="282">
        <f>SUM(AM13:AM17)</f>
        <v>0</v>
      </c>
      <c r="AN18" s="282">
        <f>SUM(AN13:AN17)</f>
        <v>62.5</v>
      </c>
      <c r="AO18" s="282">
        <f>SUM(AO13:AO17)</f>
        <v>62.5</v>
      </c>
      <c r="AP18" s="282"/>
      <c r="AQ18" s="282">
        <f>SUM(AQ13:AQ17)</f>
        <v>62.5</v>
      </c>
      <c r="AR18" s="282">
        <f>SUM(AR13:AR17)</f>
        <v>62.5</v>
      </c>
      <c r="AS18" s="282"/>
      <c r="AT18" s="282"/>
      <c r="AU18" s="282">
        <f t="shared" ref="AU18:BA18" si="51">SUM(AU13:AU17)</f>
        <v>62.5</v>
      </c>
      <c r="AV18" s="282">
        <f t="shared" si="51"/>
        <v>0</v>
      </c>
      <c r="AW18" s="282">
        <f t="shared" si="51"/>
        <v>15000</v>
      </c>
      <c r="AX18" s="282">
        <f t="shared" si="51"/>
        <v>0</v>
      </c>
      <c r="AY18" s="282">
        <f t="shared" si="51"/>
        <v>0.61999976634979248</v>
      </c>
      <c r="AZ18" s="282">
        <f t="shared" si="51"/>
        <v>239745.20122213164</v>
      </c>
      <c r="BA18" s="282">
        <f t="shared" si="51"/>
        <v>124.86729230319358</v>
      </c>
      <c r="BB18" s="844"/>
      <c r="BC18" s="307">
        <f t="shared" ref="BC18:BQ18" si="52">SUM(BC13:BC17)</f>
        <v>2971.1819599999994</v>
      </c>
      <c r="BD18" s="307">
        <f t="shared" si="52"/>
        <v>23141.308735357674</v>
      </c>
      <c r="BE18" s="307">
        <f t="shared" si="52"/>
        <v>3071.1819599999994</v>
      </c>
      <c r="BF18" s="307">
        <f t="shared" si="52"/>
        <v>7251.9819599999992</v>
      </c>
      <c r="BG18" s="307">
        <f t="shared" si="52"/>
        <v>3098.9189355913259</v>
      </c>
      <c r="BH18" s="307">
        <f t="shared" si="52"/>
        <v>3071.1819599999994</v>
      </c>
      <c r="BI18" s="307">
        <f t="shared" si="52"/>
        <v>16378.061959999999</v>
      </c>
      <c r="BJ18" s="307">
        <f t="shared" si="52"/>
        <v>3161.4189355913259</v>
      </c>
      <c r="BK18" s="307">
        <f t="shared" si="52"/>
        <v>3071.1819599999994</v>
      </c>
      <c r="BL18" s="307">
        <f t="shared" si="52"/>
        <v>3133.6819599999994</v>
      </c>
      <c r="BM18" s="307">
        <f t="shared" si="52"/>
        <v>3098.9189355913259</v>
      </c>
      <c r="BN18" s="307">
        <f t="shared" si="52"/>
        <v>3196.1819599999994</v>
      </c>
      <c r="BO18" s="307">
        <f t="shared" si="52"/>
        <v>3071.1819599999994</v>
      </c>
      <c r="BP18" s="307">
        <f t="shared" si="52"/>
        <v>74745.20122213164</v>
      </c>
      <c r="BQ18" s="307">
        <f t="shared" si="52"/>
        <v>-165000</v>
      </c>
    </row>
    <row r="19" spans="1:69" ht="12.75" thickBot="1" x14ac:dyDescent="0.25">
      <c r="A19" s="1051" t="s">
        <v>4574</v>
      </c>
      <c r="B19" s="1052"/>
      <c r="C19" s="1053"/>
      <c r="D19" s="226"/>
      <c r="E19" s="227"/>
      <c r="F19" s="228"/>
      <c r="G19" s="228"/>
      <c r="H19" s="229"/>
      <c r="I19" s="229"/>
      <c r="J19" s="230"/>
      <c r="K19" s="230"/>
      <c r="L19" s="229"/>
      <c r="M19" s="228"/>
      <c r="S19" s="824"/>
      <c r="T19" s="824"/>
      <c r="U19" s="824"/>
      <c r="W19" s="309">
        <f>+SUM(W13:W17)</f>
        <v>2773.6979999999999</v>
      </c>
      <c r="X19" s="230"/>
      <c r="Y19" s="230"/>
      <c r="Z19" s="824"/>
      <c r="AA19" s="824"/>
      <c r="AB19" s="824"/>
      <c r="AC19" s="824"/>
      <c r="AD19" s="824"/>
      <c r="AE19" s="824"/>
      <c r="AF19" s="230"/>
      <c r="AG19" s="230"/>
      <c r="AH19" s="824"/>
      <c r="AI19" s="824"/>
      <c r="AJ19" s="824"/>
      <c r="AK19" s="824"/>
      <c r="AL19" s="824"/>
      <c r="AM19" s="824"/>
      <c r="AN19" s="824"/>
      <c r="AO19" s="824">
        <f>(AO11+AO18)</f>
        <v>150</v>
      </c>
      <c r="AP19" s="824"/>
      <c r="AQ19" s="824"/>
      <c r="AR19" s="824"/>
      <c r="AS19" s="824"/>
      <c r="AT19" s="824"/>
      <c r="AU19" s="824"/>
      <c r="AV19" s="824"/>
      <c r="AW19" s="824"/>
      <c r="AX19" s="824"/>
      <c r="AY19" s="824"/>
      <c r="AZ19" s="824"/>
      <c r="BA19" s="824"/>
      <c r="BC19" s="306"/>
      <c r="BD19" s="825"/>
      <c r="BE19" s="825"/>
      <c r="BF19" s="825"/>
      <c r="BG19" s="825"/>
      <c r="BH19" s="825"/>
      <c r="BI19" s="825"/>
      <c r="BJ19" s="825"/>
      <c r="BK19" s="825"/>
      <c r="BL19" s="825"/>
      <c r="BM19" s="825"/>
      <c r="BN19" s="825"/>
      <c r="BO19" s="825"/>
      <c r="BP19" s="306"/>
    </row>
    <row r="20" spans="1:69" ht="15.75" thickBot="1" x14ac:dyDescent="0.3">
      <c r="A20" s="274" t="s">
        <v>2835</v>
      </c>
      <c r="B20" s="283">
        <v>1</v>
      </c>
      <c r="C20" s="284">
        <v>13896013</v>
      </c>
      <c r="D20" s="285" t="s">
        <v>4672</v>
      </c>
      <c r="E20" s="245">
        <v>44200</v>
      </c>
      <c r="F20" s="236">
        <f>IF(E20&lt;&gt;"",'[3]CONCEPTOS Y PARAMETROS'!$L$2-YEAR(E20),"")</f>
        <v>4</v>
      </c>
      <c r="G20" s="270"/>
      <c r="H20" s="286" t="str">
        <f>IFERROR(VLOOKUP(I20,[3]CARGOS!A:E,2,0),"")</f>
        <v>7204</v>
      </c>
      <c r="I20" s="233" t="s">
        <v>2616</v>
      </c>
      <c r="J20" s="287">
        <v>5</v>
      </c>
      <c r="K20" s="462">
        <f>IFERROR(VLOOKUP(J20,'[3]TAB OBR'!A:B,2,0),0)</f>
        <v>171</v>
      </c>
      <c r="L20" s="273">
        <v>2</v>
      </c>
      <c r="M20" s="273" t="s">
        <v>2894</v>
      </c>
      <c r="N20" s="826">
        <f>IF(E20&lt;&gt;"",VLOOKUP(SUM(F20:G20),'[3]CONCEPTOS Y PARAMETROS'!F:G,2,0)*K20,0)</f>
        <v>6.84</v>
      </c>
      <c r="O20" s="826">
        <f>IF(I20&lt;&gt;"",'[3]CONCEPTOS Y PARAMETROS'!$C$4,0)</f>
        <v>130</v>
      </c>
      <c r="P20" s="826">
        <f>'[3]CONCEPTOS Y PARAMETROS'!$C$7*L20</f>
        <v>25</v>
      </c>
      <c r="Q20" s="826">
        <f>IFERROR(ROUND(VLOOKUP($M20,'[3]CONCEPTOS Y PARAMETROS'!H:I,2,0)*($K20+N20+O20+P20),2),0)</f>
        <v>0</v>
      </c>
      <c r="R20" s="826">
        <f>IF(I20&lt;&gt;"",'[3]CONCEPTOS Y PARAMETROS'!$C$18,0)</f>
        <v>12.5</v>
      </c>
      <c r="S20" s="826">
        <f>IF(I20&lt;&gt;"",'[3]CONCEPTOS Y PARAMETROS'!$C$19,0)</f>
        <v>12.5</v>
      </c>
      <c r="T20" s="826"/>
      <c r="U20" s="826"/>
      <c r="V20" s="462">
        <f t="shared" ref="V20:V34" si="53">SUM(N20:Q20)</f>
        <v>161.84</v>
      </c>
      <c r="W20" s="827">
        <f t="shared" ref="W20:W34" si="54">K20+V20+X20</f>
        <v>332.84000000000003</v>
      </c>
      <c r="X20" s="827">
        <f t="shared" ref="X20:X34" si="55">IF(I20="VIGILANTE",(K20+V20)*30%,0)</f>
        <v>0</v>
      </c>
      <c r="Y20" s="827">
        <f t="shared" ref="Y20:Y34" si="56">(IF(SUM(F20:G20)&gt;1,IF((SUM(F20:G20)-1)*2&gt;30,30,SUM(F20:G20)-1)*2)*(AF20/30))*(IF(MONTH(E20)&lt;=$AZ$1,1,0))*0</f>
        <v>0</v>
      </c>
      <c r="Z20" s="827">
        <f>IF(I20&lt;&gt;"",(ROUND(IF(A20="EMPLEADO",eval_formula('[3]CONCEPTOS Y PARAMETROS'!$C$8,'RAC (2025)'!K20,'RAC (2025)'!$W20,'RAC (2025)'!F20+'RAC (2025)'!G20),eval_formula('[3]CONCEPTOS Y PARAMETROS'!$D$8,'RAC (2025)'!K20,'RAC (2025)'!$W20,'RAC (2025)'!F20+'RAC (2025)'!G20)),2))*IF(MONTH(E20)&lt;=$AZ$1,1,0),0)</f>
        <v>2829.14</v>
      </c>
      <c r="AA20" s="827"/>
      <c r="AB20" s="827">
        <f>(((W20/30)*'[3]CONCEPTOS Y PARAMETROS'!$C$27)/12)</f>
        <v>166.42</v>
      </c>
      <c r="AC20" s="827">
        <f>(((W20/30)*'[3]CONCEPTOS Y PARAMETROS'!$C$28)/12)</f>
        <v>138.68333333333334</v>
      </c>
      <c r="AD20" s="827"/>
      <c r="AE20" s="827">
        <f>(W20/30)*'[3]CONCEPTOS Y PARAMETROS'!$C$29</f>
        <v>3.3283994709650675</v>
      </c>
      <c r="AF20" s="827">
        <f t="shared" ref="AF20:AF34" si="57">+W20+AB20+AC20+AD20+AE20+AG20</f>
        <v>674.55573280429849</v>
      </c>
      <c r="AG20" s="827">
        <f>+W20/30*'[3]CONCEPTOS Y PARAMETROS'!$M$2</f>
        <v>33.283999999999999</v>
      </c>
      <c r="AH20" s="827">
        <f>(K20*'[3]CONCEPTOS Y PARAMETROS'!$C$11)</f>
        <v>15.389999999999999</v>
      </c>
      <c r="AI20" s="827">
        <f>(K20*'[3]CONCEPTOS Y PARAMETROS'!$C$12)</f>
        <v>3.42</v>
      </c>
      <c r="AJ20" s="827">
        <f>+W20*'[3]CONCEPTOS Y PARAMETROS'!$C$13</f>
        <v>6.6568000000000005</v>
      </c>
      <c r="AK20" s="827"/>
      <c r="AL20" s="827"/>
      <c r="AM20" s="827"/>
      <c r="AN20" s="827">
        <f>IF(I20&lt;&gt;"",IF($AZ$1&gt;=11,'[3]CONCEPTOS Y PARAMETROS'!$C$10,0),0)</f>
        <v>12.5</v>
      </c>
      <c r="AO20" s="827">
        <f>IF(I20&lt;&gt;"",IF($AZ$1&gt;=11,'[3]CONCEPTOS Y PARAMETROS'!$C$16,0),0)</f>
        <v>12.5</v>
      </c>
      <c r="AP20" s="827"/>
      <c r="AQ20" s="827">
        <f>IF(I20&lt;&gt;"",IF($AZ$1&gt;5,'[3]CONCEPTOS Y PARAMETROS'!$C$23,0),0)</f>
        <v>12.5</v>
      </c>
      <c r="AR20" s="827">
        <f>IF(J20&lt;&gt;"",IF($AZ$1&gt;5,'[3]CONCEPTOS Y PARAMETROS'!$C$23,0),0)</f>
        <v>12.5</v>
      </c>
      <c r="AS20" s="827"/>
      <c r="AT20" s="827"/>
      <c r="AU20" s="827">
        <v>0</v>
      </c>
      <c r="AV20" s="462">
        <f>IF(AND(I20&lt;&gt;"",$AZ$1&gt;9),'[3]CONCEPTOS Y PARAMETROS'!$C$32,0)</f>
        <v>12.5</v>
      </c>
      <c r="AW20" s="827">
        <f>IF(I20&lt;&gt;"",'[3]CONCEPTOS Y PARAMETROS'!$C$14,0)</f>
        <v>3000</v>
      </c>
      <c r="AX20" s="828">
        <f>'[3]CONCEPTOS Y PARAMETROS'!$C$30</f>
        <v>0</v>
      </c>
      <c r="AY20" s="827">
        <f>IF(I20&lt;&gt;"",'[3]CONCEPTOS Y PARAMETROS'!$C$15,0)</f>
        <v>0.1239999532699585</v>
      </c>
      <c r="AZ20" s="462">
        <f>(((W20+AJ20+AK20+R20+S20+T20+U20+AX20+AM20+AL20+AH20+AI20+AW20)*$AZ$1)+Y20+Z20+AA20+AD20+AG20+AN20+AO20+AP20+AQ20+AR20+AS20+AT20+AY20+AU20+AV20)+($AE20*VLOOKUP($AZ$1,'[3]CONCEPTOS Y PARAMETROS'!$A$38:$C$49,3,0))</f>
        <v>43538.043197837127</v>
      </c>
      <c r="BA20" s="829">
        <f t="shared" ref="BA20:BA35" si="58">$AZ20/$BA$1</f>
        <v>22.676064165540172</v>
      </c>
      <c r="BB20" s="844"/>
      <c r="BC20" s="830">
        <f t="shared" ref="BC20:BC35" si="59">+$W20+$AH20+$AI20+$AJ20+$AK20+$AX20+$AM20+$AL20</f>
        <v>358.30680000000001</v>
      </c>
      <c r="BD20" s="827">
        <f t="shared" ref="BD20:BD34" si="60">$BC20+IF(MONTH($E20)=BD$1,SUM($Z20+$Y20),0)+AD20+AG20+AW20+AY20+AS20+AT20+(IF($AZ$1&gt;=1,$AE20,0))+R20+S20+T20+U20</f>
        <v>6249.1831994242348</v>
      </c>
      <c r="BE20" s="827">
        <f t="shared" ref="BE20:BE34" si="61">($BC20+IF(MONTH($E20)=BE$1,SUM($Z20+$Y20),0))*IF($AZ$1&gt;BD$1,1,0)+R20+S20+T20+U20</f>
        <v>383.30680000000001</v>
      </c>
      <c r="BF20" s="827">
        <f t="shared" ref="BF20:BF33" si="62">($BC20+IF(MONTH($E20)=BF$1,SUM($Z20+$Y20),0))*IF($AZ$1&gt;BE$1,1,0)+R20+S20+T20+U20</f>
        <v>383.30680000000001</v>
      </c>
      <c r="BG20" s="827">
        <f t="shared" ref="BG20:BG32" si="63">($BC20+IF(MONTH($E20)=BG$1,SUM($Z20+$Y20),0))*IF($AZ$1&gt;BF$1,1,0)+(IF($AZ$1&gt;=4,$AE20,0))+IF($AZ$1&gt;BF$1,SUM(R20+S20+T20+U20),0)</f>
        <v>386.63519947096506</v>
      </c>
      <c r="BH20" s="827">
        <f t="shared" ref="BH20:BH34" si="64">($BC20+IF(MONTH($E20)=BH$1,SUM($Z20+$Y20),0))*IF($AZ$1&gt;BG$1,1,0)+IF($AZ$1&gt;$BG$1,AP20,0)+IF($AZ$1&gt;BG$1,SUM(R20+S20+T20+U20),0)</f>
        <v>383.30680000000001</v>
      </c>
      <c r="BI20" s="827">
        <f t="shared" ref="BI20:BI34" si="65">($BC20+IF(MONTH($E20)=BI$1,SUM($Z20+$Y20),0))*IF($AZ$1&gt;BH$1,1,0)+IF($AZ$1&gt;$BH$1,AQ20,0)+IF($AZ$1&gt;BH$1,SUM(R20+S20+T20+U20),0)</f>
        <v>395.80680000000001</v>
      </c>
      <c r="BJ20" s="827">
        <f t="shared" ref="BJ20:BJ34" si="66">($BC20+IF(MONTH($E20)=BJ$1,SUM($Z20+$Y20),0))*IF($AZ$1&gt;$BI$1,1,0)+IF($AZ$1&gt;$BI$1,AR20,0)+(IF($AZ$1&gt;=7,$AE20,0))+IF($AZ$1&gt;BI$1,SUM(R20+S20+T20+U20),0)</f>
        <v>399.13519947096506</v>
      </c>
      <c r="BK20" s="827">
        <f t="shared" ref="BK20:BK34" si="67">($BC20+IF(MONTH($E20)=BK$1,SUM($Z20+$Y20),0))*IF($AZ$1&gt;$BJ$1,1,0)+IF($AZ$1&gt;BJ$1,SUM(R20+S20+T20+U20),0)</f>
        <v>383.30680000000001</v>
      </c>
      <c r="BL20" s="827">
        <f t="shared" ref="BL20:BL34" si="68">($BC20+IF(MONTH($E20)=BL$1,SUM($Z20+$Y20),0))*IF($AZ$1&gt;$BK$1,1,0)+IF($AZ$1&gt;BK$1,SUM(R20+S20+T20+U20)+AU20,0)</f>
        <v>383.30680000000001</v>
      </c>
      <c r="BM20" s="827">
        <f t="shared" ref="BM20:BM34" si="69">($BC20+IF(MONTH($E20)=BM$1,SUM($Z20+$Y20),0))*IF($AZ$1&gt;$BL$1,1,0)+(IF($AZ$1&gt;=10,$AE20,0))+IF($AZ$1&gt;BL$1,SUM(R20+S20+T20+U20)+AV20,0)</f>
        <v>399.13519947096506</v>
      </c>
      <c r="BN20" s="827">
        <f t="shared" ref="BN20:BN34" si="70">($BC20+IF(MONTH($E20)=BN$1,SUM($Z20+$Y20),0)+AA20)*IF($AZ$1&gt;$BM$1,1,0)+IF($AZ$1&gt;$BM$1,AN20,0)+IF($AZ$1&gt;$BM$1,AO20,0)+IF($AZ$1&gt;BM$1,SUM(R20+S20+T20+U20),0)</f>
        <v>408.30680000000001</v>
      </c>
      <c r="BO20" s="827">
        <f t="shared" ref="BO20:BO34" si="71">($BC20+IF(MONTH($E20)=BO$1,SUM($Z20+$Y20),0))*IF($AZ$1=12,1,0)+IF($AZ$1&gt;BN$1,SUM(R20+S20+T20+U20),0)</f>
        <v>383.30680000000001</v>
      </c>
      <c r="BP20" s="827">
        <f t="shared" ref="BP20:BP21" si="72">SUM(BD20:BO20)</f>
        <v>10538.043197837133</v>
      </c>
      <c r="BQ20" s="831">
        <f t="shared" ref="BQ20:BQ34" si="73">+BP20-AZ20</f>
        <v>-32999.999999999993</v>
      </c>
    </row>
    <row r="21" spans="1:69" ht="15.75" thickBot="1" x14ac:dyDescent="0.3">
      <c r="A21" s="242" t="s">
        <v>2835</v>
      </c>
      <c r="B21" s="275">
        <f t="shared" ref="B21:B28" ca="1" si="74">OFFSET(B21,-1,0)+1</f>
        <v>2</v>
      </c>
      <c r="C21" s="280">
        <v>3461751</v>
      </c>
      <c r="D21" s="285" t="s">
        <v>4673</v>
      </c>
      <c r="E21" s="245">
        <v>44200</v>
      </c>
      <c r="F21" s="288">
        <f>IF(E21&lt;&gt;"",'[3]CONCEPTOS Y PARAMETROS'!$L$2-YEAR(E21),"")</f>
        <v>4</v>
      </c>
      <c r="G21" s="247"/>
      <c r="H21" s="289" t="str">
        <f>IFERROR(VLOOKUP(I21,[3]CARGOS!A:E,2,0),"")</f>
        <v>7204</v>
      </c>
      <c r="I21" s="233" t="s">
        <v>2616</v>
      </c>
      <c r="J21" s="287">
        <v>5</v>
      </c>
      <c r="K21" s="462">
        <f>IFERROR(VLOOKUP(J21,'[3]TAB OBR'!A:B,2,0),0)</f>
        <v>171</v>
      </c>
      <c r="L21" s="251">
        <v>0</v>
      </c>
      <c r="M21" s="251" t="s">
        <v>2894</v>
      </c>
      <c r="N21" s="832">
        <f>IF(E21&lt;&gt;"",VLOOKUP(SUM(F21:G21),'[3]CONCEPTOS Y PARAMETROS'!F:G,2,0)*K21,0)</f>
        <v>6.84</v>
      </c>
      <c r="O21" s="832">
        <f>IF(I21&lt;&gt;"",'[3]CONCEPTOS Y PARAMETROS'!$C$4,0)</f>
        <v>130</v>
      </c>
      <c r="P21" s="832">
        <f>'[3]CONCEPTOS Y PARAMETROS'!$C$7*L21</f>
        <v>0</v>
      </c>
      <c r="Q21" s="832">
        <f>IFERROR(ROUND(VLOOKUP($M21,'[3]CONCEPTOS Y PARAMETROS'!H:I,2,0)*($K21+N21+O21+P21),2),0)</f>
        <v>0</v>
      </c>
      <c r="R21" s="832">
        <f>IF(I21&lt;&gt;"",'[3]CONCEPTOS Y PARAMETROS'!$C$18,0)</f>
        <v>12.5</v>
      </c>
      <c r="S21" s="832">
        <f>IF(I21&lt;&gt;"",'[3]CONCEPTOS Y PARAMETROS'!$C$19,0)</f>
        <v>12.5</v>
      </c>
      <c r="T21" s="832"/>
      <c r="U21" s="832"/>
      <c r="V21" s="462">
        <f t="shared" si="53"/>
        <v>136.84</v>
      </c>
      <c r="W21" s="827">
        <f t="shared" si="54"/>
        <v>307.84000000000003</v>
      </c>
      <c r="X21" s="833">
        <f t="shared" si="55"/>
        <v>0</v>
      </c>
      <c r="Y21" s="827">
        <f t="shared" si="56"/>
        <v>0</v>
      </c>
      <c r="Z21" s="833">
        <f>IF(I21&lt;&gt;"",(ROUND(IF(A21="EMPLEADO",eval_formula('[3]CONCEPTOS Y PARAMETROS'!$C$8,'RAC (2025)'!K21,'RAC (2025)'!$W21,'RAC (2025)'!F21+'RAC (2025)'!G21),eval_formula('[3]CONCEPTOS Y PARAMETROS'!$D$8,'RAC (2025)'!K21,'RAC (2025)'!$W21,'RAC (2025)'!F21+'RAC (2025)'!G21)),2))*IF(MONTH(E21)&lt;=$AZ$1,1,0),0)</f>
        <v>2616.64</v>
      </c>
      <c r="AA21" s="833"/>
      <c r="AB21" s="833">
        <f>(((W21/30)*'[3]CONCEPTOS Y PARAMETROS'!$C$27)/12)</f>
        <v>153.92000000000002</v>
      </c>
      <c r="AC21" s="833">
        <f>(((W21/30)*'[3]CONCEPTOS Y PARAMETROS'!$C$28)/12)</f>
        <v>128.26666666666668</v>
      </c>
      <c r="AD21" s="827"/>
      <c r="AE21" s="833">
        <f>(W21/30)*'[3]CONCEPTOS Y PARAMETROS'!$C$29</f>
        <v>3.0783995107014976</v>
      </c>
      <c r="AF21" s="833">
        <f t="shared" si="57"/>
        <v>623.88906617736825</v>
      </c>
      <c r="AG21" s="833">
        <f>+W21/30*'[3]CONCEPTOS Y PARAMETROS'!$M$2</f>
        <v>30.784000000000006</v>
      </c>
      <c r="AH21" s="827">
        <f>(K21*'[3]CONCEPTOS Y PARAMETROS'!$C$11)</f>
        <v>15.389999999999999</v>
      </c>
      <c r="AI21" s="827">
        <f>(K21*'[3]CONCEPTOS Y PARAMETROS'!$C$12)</f>
        <v>3.42</v>
      </c>
      <c r="AJ21" s="833">
        <f>+W21*'[3]CONCEPTOS Y PARAMETROS'!$C$13</f>
        <v>6.1568000000000005</v>
      </c>
      <c r="AK21" s="827"/>
      <c r="AL21" s="833"/>
      <c r="AM21" s="833"/>
      <c r="AN21" s="833">
        <f>IF(I21&lt;&gt;"",IF($AZ$1&gt;=11,'[3]CONCEPTOS Y PARAMETROS'!$C$10,0),0)</f>
        <v>12.5</v>
      </c>
      <c r="AO21" s="833">
        <f>IF(I21&lt;&gt;"",IF($AZ$1&gt;=11,'[3]CONCEPTOS Y PARAMETROS'!$C$16,0),0)</f>
        <v>12.5</v>
      </c>
      <c r="AP21" s="833"/>
      <c r="AQ21" s="833">
        <f>IF(I21&lt;&gt;"",IF($AZ$1&gt;5,'[3]CONCEPTOS Y PARAMETROS'!$C$23,0),0)</f>
        <v>12.5</v>
      </c>
      <c r="AR21" s="827">
        <f>IF(J21&lt;&gt;"",IF($AZ$1&gt;5,'[3]CONCEPTOS Y PARAMETROS'!$C$23,0),0)</f>
        <v>12.5</v>
      </c>
      <c r="AS21" s="833"/>
      <c r="AT21" s="833"/>
      <c r="AU21" s="833">
        <v>0</v>
      </c>
      <c r="AV21" s="833">
        <f>IF(AND(I21&lt;&gt;"",$AZ$1&gt;9),'[3]CONCEPTOS Y PARAMETROS'!$C$32,0)</f>
        <v>12.5</v>
      </c>
      <c r="AW21" s="833">
        <f>IF(I21&lt;&gt;"",'[3]CONCEPTOS Y PARAMETROS'!$C$14,0)</f>
        <v>3000</v>
      </c>
      <c r="AX21" s="828">
        <f>'[3]CONCEPTOS Y PARAMETROS'!$C$30</f>
        <v>0</v>
      </c>
      <c r="AY21" s="833">
        <f>IF(I21&lt;&gt;"",'[3]CONCEPTOS Y PARAMETROS'!$C$15,0)</f>
        <v>0.1239999532699585</v>
      </c>
      <c r="AZ21" s="462">
        <f>(((W21+AJ21+AK21+R21+S21+T21+U21+AX21+AM21+AL21+AH21+AI21+AW21)*$AZ$1)+Y21+Z21+AA21+AD21+AG21+AN21+AO21+AP21+AQ21+AR21+AS21+AT21+AY21+AU21+AV21)+($AE21*VLOOKUP($AZ$1,'[3]CONCEPTOS Y PARAMETROS'!$A$38:$C$49,3,0))</f>
        <v>43016.04319799607</v>
      </c>
      <c r="BA21" s="834">
        <f t="shared" si="58"/>
        <v>22.404189165622952</v>
      </c>
      <c r="BB21" s="844"/>
      <c r="BC21" s="835">
        <f t="shared" si="59"/>
        <v>332.80680000000001</v>
      </c>
      <c r="BD21" s="833">
        <f t="shared" si="60"/>
        <v>6008.4331994639706</v>
      </c>
      <c r="BE21" s="833">
        <f t="shared" si="61"/>
        <v>357.80680000000001</v>
      </c>
      <c r="BF21" s="833">
        <f t="shared" si="62"/>
        <v>357.80680000000001</v>
      </c>
      <c r="BG21" s="833">
        <f t="shared" si="63"/>
        <v>360.88519951070151</v>
      </c>
      <c r="BH21" s="833">
        <f t="shared" si="64"/>
        <v>357.80680000000001</v>
      </c>
      <c r="BI21" s="833">
        <f t="shared" si="65"/>
        <v>370.30680000000001</v>
      </c>
      <c r="BJ21" s="833">
        <f t="shared" si="66"/>
        <v>373.38519951070151</v>
      </c>
      <c r="BK21" s="833">
        <f t="shared" si="67"/>
        <v>357.80680000000001</v>
      </c>
      <c r="BL21" s="833">
        <f t="shared" si="68"/>
        <v>357.80680000000001</v>
      </c>
      <c r="BM21" s="833">
        <f t="shared" si="69"/>
        <v>373.38519951070151</v>
      </c>
      <c r="BN21" s="833">
        <f t="shared" si="70"/>
        <v>382.80680000000001</v>
      </c>
      <c r="BO21" s="833">
        <f t="shared" si="71"/>
        <v>357.80680000000001</v>
      </c>
      <c r="BP21" s="833">
        <f t="shared" si="72"/>
        <v>10016.043197996078</v>
      </c>
      <c r="BQ21" s="836">
        <f t="shared" si="73"/>
        <v>-32999.999999999993</v>
      </c>
    </row>
    <row r="22" spans="1:69" ht="15.75" thickBot="1" x14ac:dyDescent="0.3">
      <c r="A22" s="242" t="s">
        <v>2835</v>
      </c>
      <c r="B22" s="275">
        <f t="shared" ca="1" si="74"/>
        <v>3</v>
      </c>
      <c r="C22" s="280">
        <v>16881223</v>
      </c>
      <c r="D22" s="285" t="s">
        <v>4674</v>
      </c>
      <c r="E22" s="245">
        <v>44200</v>
      </c>
      <c r="F22" s="288">
        <f>IF(E22&lt;&gt;"",'[3]CONCEPTOS Y PARAMETROS'!$L$2-YEAR(E22),"")</f>
        <v>4</v>
      </c>
      <c r="G22" s="247"/>
      <c r="H22" s="289" t="str">
        <f>IFERROR(VLOOKUP(I22,[3]CARGOS!A:E,2,0),"")</f>
        <v>7204</v>
      </c>
      <c r="I22" s="233" t="s">
        <v>2616</v>
      </c>
      <c r="J22" s="287">
        <v>5</v>
      </c>
      <c r="K22" s="462">
        <f>IFERROR(VLOOKUP(J22,'[3]TAB OBR'!A:B,2,0),0)</f>
        <v>171</v>
      </c>
      <c r="L22" s="251">
        <v>0</v>
      </c>
      <c r="M22" s="251" t="s">
        <v>2894</v>
      </c>
      <c r="N22" s="832">
        <f>IF(E22&lt;&gt;"",VLOOKUP(SUM(F22:G22),'[3]CONCEPTOS Y PARAMETROS'!F:G,2,0)*K22,0)</f>
        <v>6.84</v>
      </c>
      <c r="O22" s="832">
        <f>IF(I22&lt;&gt;"",'[3]CONCEPTOS Y PARAMETROS'!$C$4,0)</f>
        <v>130</v>
      </c>
      <c r="P22" s="832">
        <f>'[3]CONCEPTOS Y PARAMETROS'!$C$7*L22</f>
        <v>0</v>
      </c>
      <c r="Q22" s="832">
        <f>IFERROR(ROUND(VLOOKUP($M22,'[3]CONCEPTOS Y PARAMETROS'!H:I,2,0)*($K22+N22+O22+P22),2),0)</f>
        <v>0</v>
      </c>
      <c r="R22" s="832">
        <f>IF(I22&lt;&gt;"",'[3]CONCEPTOS Y PARAMETROS'!$C$18,0)</f>
        <v>12.5</v>
      </c>
      <c r="S22" s="832">
        <f>IF(I22&lt;&gt;"",'[3]CONCEPTOS Y PARAMETROS'!$C$19,0)</f>
        <v>12.5</v>
      </c>
      <c r="T22" s="832"/>
      <c r="U22" s="832"/>
      <c r="V22" s="462">
        <f t="shared" si="53"/>
        <v>136.84</v>
      </c>
      <c r="W22" s="827">
        <f t="shared" si="54"/>
        <v>307.84000000000003</v>
      </c>
      <c r="X22" s="833">
        <f t="shared" si="55"/>
        <v>0</v>
      </c>
      <c r="Y22" s="827">
        <f t="shared" si="56"/>
        <v>0</v>
      </c>
      <c r="Z22" s="833">
        <f>IF(I22&lt;&gt;"",(ROUND(IF(A22="EMPLEADO",eval_formula('[3]CONCEPTOS Y PARAMETROS'!$C$8,'RAC (2025)'!K22,'RAC (2025)'!$W22,'RAC (2025)'!F22+'RAC (2025)'!G22),eval_formula('[3]CONCEPTOS Y PARAMETROS'!$D$8,'RAC (2025)'!K22,'RAC (2025)'!$W22,'RAC (2025)'!F22+'RAC (2025)'!G22)),2))*IF(MONTH(E22)&lt;=$AZ$1,1,0),0)</f>
        <v>2616.64</v>
      </c>
      <c r="AA22" s="833"/>
      <c r="AB22" s="833">
        <f>(((W22/30)*'[3]CONCEPTOS Y PARAMETROS'!$C$27)/12)</f>
        <v>153.92000000000002</v>
      </c>
      <c r="AC22" s="833">
        <f>(((W22/30)*'[3]CONCEPTOS Y PARAMETROS'!$C$28)/12)</f>
        <v>128.26666666666668</v>
      </c>
      <c r="AD22" s="827"/>
      <c r="AE22" s="833">
        <f>(W22/30)*'[3]CONCEPTOS Y PARAMETROS'!$C$29</f>
        <v>3.0783995107014976</v>
      </c>
      <c r="AF22" s="833">
        <f t="shared" si="57"/>
        <v>623.88906617736825</v>
      </c>
      <c r="AG22" s="833">
        <f>+W22/30*'[3]CONCEPTOS Y PARAMETROS'!$M$2</f>
        <v>30.784000000000006</v>
      </c>
      <c r="AH22" s="827">
        <f>(K22*'[3]CONCEPTOS Y PARAMETROS'!$C$11)</f>
        <v>15.389999999999999</v>
      </c>
      <c r="AI22" s="827">
        <f>(K22*'[3]CONCEPTOS Y PARAMETROS'!$C$12)</f>
        <v>3.42</v>
      </c>
      <c r="AJ22" s="833">
        <f>+W22*'[3]CONCEPTOS Y PARAMETROS'!$C$13</f>
        <v>6.1568000000000005</v>
      </c>
      <c r="AK22" s="827"/>
      <c r="AL22" s="833"/>
      <c r="AM22" s="833"/>
      <c r="AN22" s="833">
        <f>IF(I22&lt;&gt;"",IF($AZ$1&gt;=11,'[3]CONCEPTOS Y PARAMETROS'!$C$10,0),0)</f>
        <v>12.5</v>
      </c>
      <c r="AO22" s="833">
        <f>IF(I22&lt;&gt;"",IF($AZ$1&gt;=11,'[3]CONCEPTOS Y PARAMETROS'!$C$16,0),0)</f>
        <v>12.5</v>
      </c>
      <c r="AP22" s="833"/>
      <c r="AQ22" s="833">
        <f>IF(I22&lt;&gt;"",IF($AZ$1&gt;5,'[3]CONCEPTOS Y PARAMETROS'!$C$23,0),0)</f>
        <v>12.5</v>
      </c>
      <c r="AR22" s="827">
        <f>IF(J22&lt;&gt;"",IF($AZ$1&gt;5,'[3]CONCEPTOS Y PARAMETROS'!$C$23,0),0)</f>
        <v>12.5</v>
      </c>
      <c r="AS22" s="833"/>
      <c r="AT22" s="833"/>
      <c r="AU22" s="833">
        <v>0</v>
      </c>
      <c r="AV22" s="833">
        <f>IF(AND(I22&lt;&gt;"",$AZ$1&gt;9),'[3]CONCEPTOS Y PARAMETROS'!$C$32,0)</f>
        <v>12.5</v>
      </c>
      <c r="AW22" s="833">
        <f>IF(I22&lt;&gt;"",'[3]CONCEPTOS Y PARAMETROS'!$C$14,0)</f>
        <v>3000</v>
      </c>
      <c r="AX22" s="828">
        <f>'[3]CONCEPTOS Y PARAMETROS'!$C$30</f>
        <v>0</v>
      </c>
      <c r="AY22" s="833">
        <f>IF(I22&lt;&gt;"",'[3]CONCEPTOS Y PARAMETROS'!$C$15,0)</f>
        <v>0.1239999532699585</v>
      </c>
      <c r="AZ22" s="462">
        <f>(((W22+AJ22+AK22+R22+S22+T22+U22+AX22+AM22+AL22+AH22+AI22+AW22)*$AZ$1)+Y22+Z22+AA22+AD22+AG22+AN22+AO22+AP22+AQ22+AR22+AS22+AT22+AY22+AU22+AV22)+($AE22*VLOOKUP($AZ$1,'[3]CONCEPTOS Y PARAMETROS'!$A$38:$C$49,3,0))</f>
        <v>43016.04319799607</v>
      </c>
      <c r="BA22" s="834">
        <f t="shared" si="58"/>
        <v>22.404189165622952</v>
      </c>
      <c r="BB22" s="844"/>
      <c r="BC22" s="835">
        <f t="shared" si="59"/>
        <v>332.80680000000001</v>
      </c>
      <c r="BD22" s="833">
        <f t="shared" si="60"/>
        <v>6008.4331994639706</v>
      </c>
      <c r="BE22" s="833">
        <f t="shared" si="61"/>
        <v>357.80680000000001</v>
      </c>
      <c r="BF22" s="833">
        <f t="shared" si="62"/>
        <v>357.80680000000001</v>
      </c>
      <c r="BG22" s="833">
        <f t="shared" si="63"/>
        <v>360.88519951070151</v>
      </c>
      <c r="BH22" s="833">
        <f t="shared" si="64"/>
        <v>357.80680000000001</v>
      </c>
      <c r="BI22" s="833">
        <f t="shared" si="65"/>
        <v>370.30680000000001</v>
      </c>
      <c r="BJ22" s="833">
        <f t="shared" si="66"/>
        <v>373.38519951070151</v>
      </c>
      <c r="BK22" s="833">
        <f t="shared" si="67"/>
        <v>357.80680000000001</v>
      </c>
      <c r="BL22" s="833">
        <f t="shared" si="68"/>
        <v>357.80680000000001</v>
      </c>
      <c r="BM22" s="833">
        <f t="shared" si="69"/>
        <v>373.38519951070151</v>
      </c>
      <c r="BN22" s="833">
        <f t="shared" si="70"/>
        <v>382.80680000000001</v>
      </c>
      <c r="BO22" s="833">
        <f t="shared" si="71"/>
        <v>357.80680000000001</v>
      </c>
      <c r="BP22" s="833">
        <f t="shared" ref="BP22" si="75">SUM(BD22:BO22)</f>
        <v>10016.043197996078</v>
      </c>
      <c r="BQ22" s="836">
        <f t="shared" si="73"/>
        <v>-32999.999999999993</v>
      </c>
    </row>
    <row r="23" spans="1:69" ht="15.75" thickBot="1" x14ac:dyDescent="0.3">
      <c r="A23" s="242" t="s">
        <v>2835</v>
      </c>
      <c r="B23" s="275">
        <f t="shared" ca="1" si="74"/>
        <v>4</v>
      </c>
      <c r="C23" s="280">
        <v>9005286</v>
      </c>
      <c r="D23" s="290" t="s">
        <v>4675</v>
      </c>
      <c r="E23" s="245">
        <v>44200</v>
      </c>
      <c r="F23" s="288">
        <f>IF(E23&lt;&gt;"",'[3]CONCEPTOS Y PARAMETROS'!$L$2-YEAR(E23),"")</f>
        <v>4</v>
      </c>
      <c r="G23" s="247"/>
      <c r="H23" s="289" t="str">
        <f>IFERROR(VLOOKUP(I23,[3]CARGOS!A:E,2,0),"")</f>
        <v>7204</v>
      </c>
      <c r="I23" s="233" t="s">
        <v>2616</v>
      </c>
      <c r="J23" s="287">
        <v>5</v>
      </c>
      <c r="K23" s="462">
        <f>IFERROR(VLOOKUP(J23,'[3]TAB OBR'!A:B,2,0),0)</f>
        <v>171</v>
      </c>
      <c r="L23" s="251">
        <v>0</v>
      </c>
      <c r="M23" s="251" t="s">
        <v>2894</v>
      </c>
      <c r="N23" s="832">
        <f>IF(E23&lt;&gt;"",VLOOKUP(SUM(F23:G23),'[3]CONCEPTOS Y PARAMETROS'!F:G,2,0)*K23,0)</f>
        <v>6.84</v>
      </c>
      <c r="O23" s="832">
        <f>IF(I23&lt;&gt;"",'[3]CONCEPTOS Y PARAMETROS'!$C$4,0)</f>
        <v>130</v>
      </c>
      <c r="P23" s="832">
        <f>'[3]CONCEPTOS Y PARAMETROS'!$C$7*L23</f>
        <v>0</v>
      </c>
      <c r="Q23" s="832">
        <f>IFERROR(ROUND(VLOOKUP($M23,'[3]CONCEPTOS Y PARAMETROS'!H:I,2,0)*($K23+N23+O23+P23),2),0)</f>
        <v>0</v>
      </c>
      <c r="R23" s="832">
        <f>IF(I23&lt;&gt;"",'[3]CONCEPTOS Y PARAMETROS'!$C$18,0)</f>
        <v>12.5</v>
      </c>
      <c r="S23" s="832">
        <f>IF(I23&lt;&gt;"",'[3]CONCEPTOS Y PARAMETROS'!$C$19,0)</f>
        <v>12.5</v>
      </c>
      <c r="T23" s="832"/>
      <c r="U23" s="832"/>
      <c r="V23" s="462">
        <f t="shared" si="53"/>
        <v>136.84</v>
      </c>
      <c r="W23" s="827">
        <f t="shared" si="54"/>
        <v>307.84000000000003</v>
      </c>
      <c r="X23" s="833">
        <f t="shared" si="55"/>
        <v>0</v>
      </c>
      <c r="Y23" s="827">
        <f t="shared" si="56"/>
        <v>0</v>
      </c>
      <c r="Z23" s="833">
        <f>IF(I23&lt;&gt;"",(ROUND(IF(A23="EMPLEADO",eval_formula('[3]CONCEPTOS Y PARAMETROS'!$C$8,'RAC (2025)'!K23,'RAC (2025)'!$W23,'RAC (2025)'!F23+'RAC (2025)'!G23),eval_formula('[3]CONCEPTOS Y PARAMETROS'!$D$8,'RAC (2025)'!K23,'RAC (2025)'!$W23,'RAC (2025)'!F23+'RAC (2025)'!G23)),2))*IF(MONTH(E23)&lt;=$AZ$1,1,0),0)</f>
        <v>2616.64</v>
      </c>
      <c r="AA23" s="833"/>
      <c r="AB23" s="833">
        <f>(((W23/30)*'[3]CONCEPTOS Y PARAMETROS'!$C$27)/12)</f>
        <v>153.92000000000002</v>
      </c>
      <c r="AC23" s="833">
        <f>(((W23/30)*'[3]CONCEPTOS Y PARAMETROS'!$C$28)/12)</f>
        <v>128.26666666666668</v>
      </c>
      <c r="AD23" s="827"/>
      <c r="AE23" s="833">
        <f>(W23/30)*'[3]CONCEPTOS Y PARAMETROS'!$C$29</f>
        <v>3.0783995107014976</v>
      </c>
      <c r="AF23" s="833">
        <f t="shared" si="57"/>
        <v>623.88906617736825</v>
      </c>
      <c r="AG23" s="833">
        <f>+W23/30*'[3]CONCEPTOS Y PARAMETROS'!$M$2</f>
        <v>30.784000000000006</v>
      </c>
      <c r="AH23" s="827">
        <f>(K23*'[3]CONCEPTOS Y PARAMETROS'!$C$11)</f>
        <v>15.389999999999999</v>
      </c>
      <c r="AI23" s="827">
        <f>(K23*'[3]CONCEPTOS Y PARAMETROS'!$C$12)</f>
        <v>3.42</v>
      </c>
      <c r="AJ23" s="833">
        <f>+W23*'[3]CONCEPTOS Y PARAMETROS'!$C$13</f>
        <v>6.1568000000000005</v>
      </c>
      <c r="AK23" s="827"/>
      <c r="AL23" s="833"/>
      <c r="AM23" s="833"/>
      <c r="AN23" s="833">
        <f>IF(I23&lt;&gt;"",IF($AZ$1&gt;=11,'[3]CONCEPTOS Y PARAMETROS'!$C$10,0),0)</f>
        <v>12.5</v>
      </c>
      <c r="AO23" s="833">
        <f>IF(I23&lt;&gt;"",IF($AZ$1&gt;=11,'[3]CONCEPTOS Y PARAMETROS'!$C$16,0),0)</f>
        <v>12.5</v>
      </c>
      <c r="AP23" s="833"/>
      <c r="AQ23" s="833">
        <f>IF(I23&lt;&gt;"",IF($AZ$1&gt;5,'[3]CONCEPTOS Y PARAMETROS'!$C$23,0),0)</f>
        <v>12.5</v>
      </c>
      <c r="AR23" s="827">
        <f>IF(J23&lt;&gt;"",IF($AZ$1&gt;5,'[3]CONCEPTOS Y PARAMETROS'!$C$23,0),0)</f>
        <v>12.5</v>
      </c>
      <c r="AS23" s="833"/>
      <c r="AT23" s="833"/>
      <c r="AU23" s="833">
        <v>0</v>
      </c>
      <c r="AV23" s="833">
        <f>IF(AND(I23&lt;&gt;"",$AZ$1&gt;9),'[3]CONCEPTOS Y PARAMETROS'!$C$32,0)</f>
        <v>12.5</v>
      </c>
      <c r="AW23" s="833">
        <f>IF(I23&lt;&gt;"",'[3]CONCEPTOS Y PARAMETROS'!$C$14,0)</f>
        <v>3000</v>
      </c>
      <c r="AX23" s="828">
        <f>'[3]CONCEPTOS Y PARAMETROS'!$C$30</f>
        <v>0</v>
      </c>
      <c r="AY23" s="833">
        <f>IF(I23&lt;&gt;"",'[3]CONCEPTOS Y PARAMETROS'!$C$15,0)</f>
        <v>0.1239999532699585</v>
      </c>
      <c r="AZ23" s="462">
        <f>(((W23+AJ23+AK23+R23+S23+T23+U23+AX23+AM23+AL23+AH23+AI23+AW23)*$AZ$1)+Y23+Z23+AA23+AD23+AG23+AN23+AO23+AP23+AQ23+AR23+AS23+AT23+AY23+AU23+AV23)+($AE23*VLOOKUP($AZ$1,'[3]CONCEPTOS Y PARAMETROS'!$A$38:$C$49,3,0))</f>
        <v>43016.04319799607</v>
      </c>
      <c r="BA23" s="834">
        <f t="shared" si="58"/>
        <v>22.404189165622952</v>
      </c>
      <c r="BB23" s="844"/>
      <c r="BC23" s="835">
        <f t="shared" si="59"/>
        <v>332.80680000000001</v>
      </c>
      <c r="BD23" s="833">
        <f t="shared" si="60"/>
        <v>6008.4331994639706</v>
      </c>
      <c r="BE23" s="833">
        <f t="shared" si="61"/>
        <v>357.80680000000001</v>
      </c>
      <c r="BF23" s="833">
        <f t="shared" si="62"/>
        <v>357.80680000000001</v>
      </c>
      <c r="BG23" s="833">
        <f t="shared" si="63"/>
        <v>360.88519951070151</v>
      </c>
      <c r="BH23" s="833">
        <f t="shared" si="64"/>
        <v>357.80680000000001</v>
      </c>
      <c r="BI23" s="833">
        <f t="shared" si="65"/>
        <v>370.30680000000001</v>
      </c>
      <c r="BJ23" s="833">
        <f t="shared" si="66"/>
        <v>373.38519951070151</v>
      </c>
      <c r="BK23" s="833">
        <f t="shared" si="67"/>
        <v>357.80680000000001</v>
      </c>
      <c r="BL23" s="833">
        <f t="shared" si="68"/>
        <v>357.80680000000001</v>
      </c>
      <c r="BM23" s="833">
        <f t="shared" si="69"/>
        <v>373.38519951070151</v>
      </c>
      <c r="BN23" s="833">
        <f t="shared" si="70"/>
        <v>382.80680000000001</v>
      </c>
      <c r="BO23" s="833">
        <f t="shared" si="71"/>
        <v>357.80680000000001</v>
      </c>
      <c r="BP23" s="833">
        <f t="shared" ref="BP23:BP28" si="76">SUM(BD23:BO23)</f>
        <v>10016.043197996078</v>
      </c>
      <c r="BQ23" s="836">
        <f t="shared" si="73"/>
        <v>-32999.999999999993</v>
      </c>
    </row>
    <row r="24" spans="1:69" ht="15.75" thickBot="1" x14ac:dyDescent="0.3">
      <c r="A24" s="242" t="s">
        <v>2835</v>
      </c>
      <c r="B24" s="275">
        <f t="shared" ca="1" si="74"/>
        <v>5</v>
      </c>
      <c r="C24" s="280">
        <v>12906230</v>
      </c>
      <c r="D24" s="285" t="s">
        <v>4676</v>
      </c>
      <c r="E24" s="245">
        <v>44200</v>
      </c>
      <c r="F24" s="288">
        <f>IF(E24&lt;&gt;"",'[3]CONCEPTOS Y PARAMETROS'!$L$2-YEAR(E24),"")</f>
        <v>4</v>
      </c>
      <c r="G24" s="247"/>
      <c r="H24" s="289" t="str">
        <f>IFERROR(VLOOKUP(I24,[3]CARGOS!A:E,2,0),"")</f>
        <v>7204</v>
      </c>
      <c r="I24" s="233" t="s">
        <v>2616</v>
      </c>
      <c r="J24" s="287">
        <v>5</v>
      </c>
      <c r="K24" s="462">
        <f>IFERROR(VLOOKUP(J24,'[3]TAB OBR'!A:B,2,0),0)</f>
        <v>171</v>
      </c>
      <c r="L24" s="251">
        <v>1</v>
      </c>
      <c r="M24" s="251" t="s">
        <v>2894</v>
      </c>
      <c r="N24" s="832">
        <f>IF(E24&lt;&gt;"",VLOOKUP(SUM(F24:G24),'[3]CONCEPTOS Y PARAMETROS'!F:G,2,0)*K24,0)</f>
        <v>6.84</v>
      </c>
      <c r="O24" s="832">
        <f>IF(I24&lt;&gt;"",'[3]CONCEPTOS Y PARAMETROS'!$C$4,0)</f>
        <v>130</v>
      </c>
      <c r="P24" s="832">
        <f>'[3]CONCEPTOS Y PARAMETROS'!$C$7*L24</f>
        <v>12.5</v>
      </c>
      <c r="Q24" s="832">
        <f>IFERROR(ROUND(VLOOKUP($M24,'[3]CONCEPTOS Y PARAMETROS'!H:I,2,0)*($K24+N24+O24+P24),2),0)</f>
        <v>0</v>
      </c>
      <c r="R24" s="832">
        <f>IF(I24&lt;&gt;"",'[3]CONCEPTOS Y PARAMETROS'!$C$18,0)</f>
        <v>12.5</v>
      </c>
      <c r="S24" s="832">
        <f>IF(I24&lt;&gt;"",'[3]CONCEPTOS Y PARAMETROS'!$C$19,0)</f>
        <v>12.5</v>
      </c>
      <c r="T24" s="832"/>
      <c r="U24" s="832"/>
      <c r="V24" s="462">
        <f t="shared" si="53"/>
        <v>149.34</v>
      </c>
      <c r="W24" s="827">
        <f t="shared" si="54"/>
        <v>320.34000000000003</v>
      </c>
      <c r="X24" s="833">
        <f t="shared" si="55"/>
        <v>0</v>
      </c>
      <c r="Y24" s="827">
        <f t="shared" si="56"/>
        <v>0</v>
      </c>
      <c r="Z24" s="833">
        <f>IF(I24&lt;&gt;"",(ROUND(IF(A24="EMPLEADO",eval_formula('[3]CONCEPTOS Y PARAMETROS'!$C$8,'RAC (2025)'!K24,'RAC (2025)'!$W24,'RAC (2025)'!F24+'RAC (2025)'!G24),eval_formula('[3]CONCEPTOS Y PARAMETROS'!$D$8,'RAC (2025)'!K24,'RAC (2025)'!$W24,'RAC (2025)'!F24+'RAC (2025)'!G24)),2))*IF(MONTH(E24)&lt;=$AZ$1,1,0),0)</f>
        <v>2722.89</v>
      </c>
      <c r="AA24" s="833"/>
      <c r="AB24" s="833">
        <f>(((W24/30)*'[3]CONCEPTOS Y PARAMETROS'!$C$27)/12)</f>
        <v>160.17000000000002</v>
      </c>
      <c r="AC24" s="833">
        <f>(((W24/30)*'[3]CONCEPTOS Y PARAMETROS'!$C$28)/12)</f>
        <v>133.47499999999999</v>
      </c>
      <c r="AD24" s="827"/>
      <c r="AE24" s="833">
        <f>(W24/30)*'[3]CONCEPTOS Y PARAMETROS'!$C$29</f>
        <v>3.2033994908332826</v>
      </c>
      <c r="AF24" s="833">
        <f t="shared" si="57"/>
        <v>649.22239949083325</v>
      </c>
      <c r="AG24" s="833">
        <f>+W24/30*'[3]CONCEPTOS Y PARAMETROS'!$M$2</f>
        <v>32.034000000000006</v>
      </c>
      <c r="AH24" s="827">
        <f>(K24*'[3]CONCEPTOS Y PARAMETROS'!$C$11)</f>
        <v>15.389999999999999</v>
      </c>
      <c r="AI24" s="827">
        <f>(K24*'[3]CONCEPTOS Y PARAMETROS'!$C$12)</f>
        <v>3.42</v>
      </c>
      <c r="AJ24" s="833">
        <f>+W24*'[3]CONCEPTOS Y PARAMETROS'!$C$13</f>
        <v>6.4068000000000005</v>
      </c>
      <c r="AK24" s="827"/>
      <c r="AL24" s="833"/>
      <c r="AM24" s="833"/>
      <c r="AN24" s="833">
        <f>IF(I24&lt;&gt;"",IF($AZ$1&gt;=11,'[3]CONCEPTOS Y PARAMETROS'!$C$10,0),0)</f>
        <v>12.5</v>
      </c>
      <c r="AO24" s="833">
        <f>IF(I24&lt;&gt;"",IF($AZ$1&gt;=11,'[3]CONCEPTOS Y PARAMETROS'!$C$16,0),0)</f>
        <v>12.5</v>
      </c>
      <c r="AP24" s="833"/>
      <c r="AQ24" s="833">
        <f>IF(I24&lt;&gt;"",IF($AZ$1&gt;5,'[3]CONCEPTOS Y PARAMETROS'!$C$23,0),0)</f>
        <v>12.5</v>
      </c>
      <c r="AR24" s="827">
        <f>IF(J24&lt;&gt;"",IF($AZ$1&gt;5,'[3]CONCEPTOS Y PARAMETROS'!$C$23,0),0)</f>
        <v>12.5</v>
      </c>
      <c r="AS24" s="833"/>
      <c r="AT24" s="833"/>
      <c r="AU24" s="833">
        <v>0</v>
      </c>
      <c r="AV24" s="833">
        <f>IF(AND(I24&lt;&gt;"",$AZ$1&gt;9),'[3]CONCEPTOS Y PARAMETROS'!$C$32,0)</f>
        <v>12.5</v>
      </c>
      <c r="AW24" s="833">
        <f>IF(I24&lt;&gt;"",'[3]CONCEPTOS Y PARAMETROS'!$C$14,0)</f>
        <v>3000</v>
      </c>
      <c r="AX24" s="828">
        <f>'[3]CONCEPTOS Y PARAMETROS'!$C$30</f>
        <v>0</v>
      </c>
      <c r="AY24" s="833">
        <f>IF(I24&lt;&gt;"",'[3]CONCEPTOS Y PARAMETROS'!$C$15,0)</f>
        <v>0.1239999532699585</v>
      </c>
      <c r="AZ24" s="462">
        <f>(((W24+AJ24+AK24+R24+S24+T24+U24+AX24+AM24+AL24+AH24+AI24+AW24)*$AZ$1)+Y24+Z24+AA24+AD24+AG24+AN24+AO24+AP24+AQ24+AR24+AS24+AT24+AY24+AU24+AV24)+($AE24*VLOOKUP($AZ$1,'[3]CONCEPTOS Y PARAMETROS'!$A$38:$C$49,3,0))</f>
        <v>43277.043197916595</v>
      </c>
      <c r="BA24" s="834">
        <f t="shared" si="58"/>
        <v>22.54012666558156</v>
      </c>
      <c r="BB24" s="844"/>
      <c r="BC24" s="835">
        <f t="shared" si="59"/>
        <v>345.55680000000001</v>
      </c>
      <c r="BD24" s="833">
        <f t="shared" si="60"/>
        <v>6128.8081994441027</v>
      </c>
      <c r="BE24" s="833">
        <f t="shared" si="61"/>
        <v>370.55680000000001</v>
      </c>
      <c r="BF24" s="833">
        <f t="shared" si="62"/>
        <v>370.55680000000001</v>
      </c>
      <c r="BG24" s="833">
        <f t="shared" si="63"/>
        <v>373.76019949083332</v>
      </c>
      <c r="BH24" s="833">
        <f t="shared" si="64"/>
        <v>370.55680000000001</v>
      </c>
      <c r="BI24" s="833">
        <f t="shared" si="65"/>
        <v>383.05680000000001</v>
      </c>
      <c r="BJ24" s="833">
        <f t="shared" si="66"/>
        <v>386.26019949083332</v>
      </c>
      <c r="BK24" s="833">
        <f t="shared" si="67"/>
        <v>370.55680000000001</v>
      </c>
      <c r="BL24" s="833">
        <f t="shared" si="68"/>
        <v>370.55680000000001</v>
      </c>
      <c r="BM24" s="833">
        <f t="shared" si="69"/>
        <v>386.26019949083332</v>
      </c>
      <c r="BN24" s="833">
        <f t="shared" si="70"/>
        <v>395.55680000000001</v>
      </c>
      <c r="BO24" s="833">
        <f t="shared" si="71"/>
        <v>370.55680000000001</v>
      </c>
      <c r="BP24" s="833">
        <f t="shared" si="76"/>
        <v>10277.043197916604</v>
      </c>
      <c r="BQ24" s="836">
        <f t="shared" si="73"/>
        <v>-32999.999999999993</v>
      </c>
    </row>
    <row r="25" spans="1:69" ht="15.75" thickBot="1" x14ac:dyDescent="0.3">
      <c r="A25" s="242" t="s">
        <v>2835</v>
      </c>
      <c r="B25" s="275">
        <f t="shared" ca="1" si="74"/>
        <v>6</v>
      </c>
      <c r="C25" s="280">
        <v>13896972</v>
      </c>
      <c r="D25" s="290" t="s">
        <v>4677</v>
      </c>
      <c r="E25" s="245">
        <v>44200</v>
      </c>
      <c r="F25" s="288">
        <f>IF(E25&lt;&gt;"",'[3]CONCEPTOS Y PARAMETROS'!$L$2-YEAR(E25),"")</f>
        <v>4</v>
      </c>
      <c r="G25" s="247"/>
      <c r="H25" s="289" t="str">
        <f>IFERROR(VLOOKUP(I25,[3]CARGOS!A:E,2,0),"")</f>
        <v>7204</v>
      </c>
      <c r="I25" s="233" t="s">
        <v>2616</v>
      </c>
      <c r="J25" s="291">
        <v>5</v>
      </c>
      <c r="K25" s="462">
        <f>IFERROR(VLOOKUP(J25,'[3]TAB OBR'!A:B,2,0),0)</f>
        <v>171</v>
      </c>
      <c r="L25" s="251">
        <v>1</v>
      </c>
      <c r="M25" s="251" t="s">
        <v>2894</v>
      </c>
      <c r="N25" s="832">
        <f>IF(E25&lt;&gt;"",VLOOKUP(SUM(F25:G25),'[3]CONCEPTOS Y PARAMETROS'!F:G,2,0)*K25,0)</f>
        <v>6.84</v>
      </c>
      <c r="O25" s="832">
        <f>IF(I25&lt;&gt;"",'[3]CONCEPTOS Y PARAMETROS'!$C$4,0)</f>
        <v>130</v>
      </c>
      <c r="P25" s="832">
        <f>'[3]CONCEPTOS Y PARAMETROS'!$C$7*L25</f>
        <v>12.5</v>
      </c>
      <c r="Q25" s="832">
        <f>IFERROR(ROUND(VLOOKUP($M25,'[3]CONCEPTOS Y PARAMETROS'!H:I,2,0)*($K25+N25+O25+P25),2),0)</f>
        <v>0</v>
      </c>
      <c r="R25" s="832">
        <f>IF(I25&lt;&gt;"",'[3]CONCEPTOS Y PARAMETROS'!$C$18,0)</f>
        <v>12.5</v>
      </c>
      <c r="S25" s="832">
        <f>IF(I25&lt;&gt;"",'[3]CONCEPTOS Y PARAMETROS'!$C$19,0)</f>
        <v>12.5</v>
      </c>
      <c r="T25" s="832"/>
      <c r="U25" s="832"/>
      <c r="V25" s="462">
        <f t="shared" si="53"/>
        <v>149.34</v>
      </c>
      <c r="W25" s="827">
        <f t="shared" si="54"/>
        <v>320.34000000000003</v>
      </c>
      <c r="X25" s="833">
        <f t="shared" si="55"/>
        <v>0</v>
      </c>
      <c r="Y25" s="827">
        <f t="shared" si="56"/>
        <v>0</v>
      </c>
      <c r="Z25" s="833">
        <f>IF(I25&lt;&gt;"",(ROUND(IF(A25="EMPLEADO",eval_formula('[3]CONCEPTOS Y PARAMETROS'!$C$8,'RAC (2025)'!K25,'RAC (2025)'!$W25,'RAC (2025)'!F25+'RAC (2025)'!G25),eval_formula('[3]CONCEPTOS Y PARAMETROS'!$D$8,'RAC (2025)'!K25,'RAC (2025)'!$W25,'RAC (2025)'!F25+'RAC (2025)'!G25)),2))*IF(MONTH(E25)&lt;=$AZ$1,1,0),0)</f>
        <v>2722.89</v>
      </c>
      <c r="AA25" s="833"/>
      <c r="AB25" s="833">
        <f>(((W25/30)*'[3]CONCEPTOS Y PARAMETROS'!$C$27)/12)</f>
        <v>160.17000000000002</v>
      </c>
      <c r="AC25" s="833">
        <f>(((W25/30)*'[3]CONCEPTOS Y PARAMETROS'!$C$28)/12)</f>
        <v>133.47499999999999</v>
      </c>
      <c r="AD25" s="827"/>
      <c r="AE25" s="833">
        <f>(W25/30)*'[3]CONCEPTOS Y PARAMETROS'!$C$29</f>
        <v>3.2033994908332826</v>
      </c>
      <c r="AF25" s="833">
        <f t="shared" si="57"/>
        <v>649.22239949083325</v>
      </c>
      <c r="AG25" s="833">
        <f>+W25/30*'[3]CONCEPTOS Y PARAMETROS'!$M$2</f>
        <v>32.034000000000006</v>
      </c>
      <c r="AH25" s="827">
        <f>(K25*'[3]CONCEPTOS Y PARAMETROS'!$C$11)</f>
        <v>15.389999999999999</v>
      </c>
      <c r="AI25" s="827">
        <f>(K25*'[3]CONCEPTOS Y PARAMETROS'!$C$12)</f>
        <v>3.42</v>
      </c>
      <c r="AJ25" s="833">
        <f>+W25*'[3]CONCEPTOS Y PARAMETROS'!$C$13</f>
        <v>6.4068000000000005</v>
      </c>
      <c r="AK25" s="827"/>
      <c r="AL25" s="833"/>
      <c r="AM25" s="833"/>
      <c r="AN25" s="833">
        <f>IF(I25&lt;&gt;"",IF($AZ$1&gt;=11,'[3]CONCEPTOS Y PARAMETROS'!$C$10,0),0)</f>
        <v>12.5</v>
      </c>
      <c r="AO25" s="833">
        <f>IF(I25&lt;&gt;"",IF($AZ$1&gt;=11,'[3]CONCEPTOS Y PARAMETROS'!$C$16,0),0)</f>
        <v>12.5</v>
      </c>
      <c r="AP25" s="833"/>
      <c r="AQ25" s="833">
        <f>IF(I25&lt;&gt;"",IF($AZ$1&gt;5,'[3]CONCEPTOS Y PARAMETROS'!$C$23,0),0)</f>
        <v>12.5</v>
      </c>
      <c r="AR25" s="827">
        <f>IF(J25&lt;&gt;"",IF($AZ$1&gt;5,'[3]CONCEPTOS Y PARAMETROS'!$C$23,0),0)</f>
        <v>12.5</v>
      </c>
      <c r="AS25" s="833"/>
      <c r="AT25" s="833"/>
      <c r="AU25" s="833">
        <v>0</v>
      </c>
      <c r="AV25" s="833">
        <f>IF(AND(I25&lt;&gt;"",$AZ$1&gt;9),'[3]CONCEPTOS Y PARAMETROS'!$C$32,0)</f>
        <v>12.5</v>
      </c>
      <c r="AW25" s="833">
        <f>IF(I25&lt;&gt;"",'[3]CONCEPTOS Y PARAMETROS'!$C$14,0)</f>
        <v>3000</v>
      </c>
      <c r="AX25" s="828">
        <f>'[3]CONCEPTOS Y PARAMETROS'!$C$30</f>
        <v>0</v>
      </c>
      <c r="AY25" s="833">
        <f>IF(I25&lt;&gt;"",'[3]CONCEPTOS Y PARAMETROS'!$C$15,0)</f>
        <v>0.1239999532699585</v>
      </c>
      <c r="AZ25" s="462">
        <f>(((W25+AJ25+AK25+R25+S25+T25+U25+AX25+AM25+AL25+AH25+AI25+AW25)*$AZ$1)+Y25+Z25+AA25+AD25+AG25+AN25+AO25+AP25+AQ25+AR25+AS25+AT25+AY25+AU25+AV25)+($AE25*VLOOKUP($AZ$1,'[3]CONCEPTOS Y PARAMETROS'!$A$38:$C$49,3,0))</f>
        <v>43277.043197916595</v>
      </c>
      <c r="BA25" s="834">
        <f t="shared" si="58"/>
        <v>22.54012666558156</v>
      </c>
      <c r="BB25" s="844"/>
      <c r="BC25" s="835">
        <f t="shared" si="59"/>
        <v>345.55680000000001</v>
      </c>
      <c r="BD25" s="833">
        <f t="shared" si="60"/>
        <v>6128.8081994441027</v>
      </c>
      <c r="BE25" s="833">
        <f t="shared" si="61"/>
        <v>370.55680000000001</v>
      </c>
      <c r="BF25" s="833">
        <f t="shared" si="62"/>
        <v>370.55680000000001</v>
      </c>
      <c r="BG25" s="833">
        <f t="shared" si="63"/>
        <v>373.76019949083332</v>
      </c>
      <c r="BH25" s="833">
        <f t="shared" si="64"/>
        <v>370.55680000000001</v>
      </c>
      <c r="BI25" s="833">
        <f t="shared" si="65"/>
        <v>383.05680000000001</v>
      </c>
      <c r="BJ25" s="833">
        <f t="shared" si="66"/>
        <v>386.26019949083332</v>
      </c>
      <c r="BK25" s="833">
        <f t="shared" si="67"/>
        <v>370.55680000000001</v>
      </c>
      <c r="BL25" s="833">
        <f t="shared" si="68"/>
        <v>370.55680000000001</v>
      </c>
      <c r="BM25" s="833">
        <f t="shared" si="69"/>
        <v>386.26019949083332</v>
      </c>
      <c r="BN25" s="833">
        <f t="shared" si="70"/>
        <v>395.55680000000001</v>
      </c>
      <c r="BO25" s="833">
        <f t="shared" si="71"/>
        <v>370.55680000000001</v>
      </c>
      <c r="BP25" s="833">
        <f t="shared" si="76"/>
        <v>10277.043197916604</v>
      </c>
      <c r="BQ25" s="836">
        <f t="shared" si="73"/>
        <v>-32999.999999999993</v>
      </c>
    </row>
    <row r="26" spans="1:69" ht="15.75" thickBot="1" x14ac:dyDescent="0.3">
      <c r="A26" s="242" t="s">
        <v>2835</v>
      </c>
      <c r="B26" s="275">
        <f t="shared" ca="1" si="74"/>
        <v>7</v>
      </c>
      <c r="C26" s="280">
        <v>28322776</v>
      </c>
      <c r="D26" s="290" t="s">
        <v>4679</v>
      </c>
      <c r="E26" s="245">
        <v>44228</v>
      </c>
      <c r="F26" s="288">
        <f>IF(E26&lt;&gt;"",'[3]CONCEPTOS Y PARAMETROS'!$L$2-YEAR(E26),"")</f>
        <v>4</v>
      </c>
      <c r="G26" s="247"/>
      <c r="H26" s="289" t="str">
        <f>IFERROR(VLOOKUP(I26,[3]CARGOS!A:E,2,0),"")</f>
        <v>2202</v>
      </c>
      <c r="I26" s="244" t="s">
        <v>3332</v>
      </c>
      <c r="J26" s="291">
        <v>1</v>
      </c>
      <c r="K26" s="462">
        <f>IFERROR(VLOOKUP(J26,'[3]TAB OBR'!A:B,2,0),0)</f>
        <v>130</v>
      </c>
      <c r="L26" s="251">
        <v>0</v>
      </c>
      <c r="M26" s="251" t="s">
        <v>2894</v>
      </c>
      <c r="N26" s="832">
        <f>IF(E26&lt;&gt;"",VLOOKUP(SUM(F26:G26),'[3]CONCEPTOS Y PARAMETROS'!F:G,2,0)*K26,0)</f>
        <v>5.2</v>
      </c>
      <c r="O26" s="832">
        <f>IF(I26&lt;&gt;"",'[3]CONCEPTOS Y PARAMETROS'!$C$4,0)</f>
        <v>130</v>
      </c>
      <c r="P26" s="832">
        <f>'[3]CONCEPTOS Y PARAMETROS'!$C$7*L26</f>
        <v>0</v>
      </c>
      <c r="Q26" s="832">
        <f>IFERROR(ROUND(VLOOKUP($M26,'[3]CONCEPTOS Y PARAMETROS'!H:I,2,0)*($K26+N26+O26+P26),2),0)</f>
        <v>0</v>
      </c>
      <c r="R26" s="832">
        <f>IF(I26&lt;&gt;"",'[3]CONCEPTOS Y PARAMETROS'!$C$18,0)</f>
        <v>12.5</v>
      </c>
      <c r="S26" s="832"/>
      <c r="T26" s="832"/>
      <c r="U26" s="832"/>
      <c r="V26" s="462">
        <f t="shared" si="53"/>
        <v>135.19999999999999</v>
      </c>
      <c r="W26" s="827">
        <f t="shared" si="54"/>
        <v>265.2</v>
      </c>
      <c r="X26" s="833">
        <f t="shared" si="55"/>
        <v>0</v>
      </c>
      <c r="Y26" s="827">
        <f t="shared" si="56"/>
        <v>0</v>
      </c>
      <c r="Z26" s="833">
        <f>IF(I26&lt;&gt;"",(ROUND(IF(A26="EMPLEADO",eval_formula('[3]CONCEPTOS Y PARAMETROS'!$C$8,'RAC (2025)'!K26,'RAC (2025)'!$W26,'RAC (2025)'!F26+'RAC (2025)'!G26),eval_formula('[3]CONCEPTOS Y PARAMETROS'!$D$8,'RAC (2025)'!K26,'RAC (2025)'!$W26,'RAC (2025)'!F26+'RAC (2025)'!G26)),2))*IF(MONTH(E26)&lt;=$AZ$1,1,0),0)</f>
        <v>2254.1999999999998</v>
      </c>
      <c r="AA26" s="833"/>
      <c r="AB26" s="833">
        <f>(((W26/30)*'[3]CONCEPTOS Y PARAMETROS'!$C$27)/12)</f>
        <v>132.6</v>
      </c>
      <c r="AC26" s="833">
        <f>(((W26/30)*'[3]CONCEPTOS Y PARAMETROS'!$C$28)/12)</f>
        <v>110.5</v>
      </c>
      <c r="AD26" s="827"/>
      <c r="AE26" s="833">
        <f>(W26/30)*'[3]CONCEPTOS Y PARAMETROS'!$C$29</f>
        <v>2.651999578475952</v>
      </c>
      <c r="AF26" s="833">
        <f t="shared" si="57"/>
        <v>537.4719995784759</v>
      </c>
      <c r="AG26" s="833">
        <f>+W26/30*'[3]CONCEPTOS Y PARAMETROS'!$M$2</f>
        <v>26.52</v>
      </c>
      <c r="AH26" s="827">
        <f>(K26*'[3]CONCEPTOS Y PARAMETROS'!$C$11)</f>
        <v>11.7</v>
      </c>
      <c r="AI26" s="827">
        <f>(K26*'[3]CONCEPTOS Y PARAMETROS'!$C$12)</f>
        <v>2.6</v>
      </c>
      <c r="AJ26" s="833">
        <f>+W26*'[3]CONCEPTOS Y PARAMETROS'!$C$13</f>
        <v>5.3040000000000003</v>
      </c>
      <c r="AK26" s="827"/>
      <c r="AL26" s="833"/>
      <c r="AM26" s="833"/>
      <c r="AN26" s="833">
        <f>IF(I26&lt;&gt;"",IF($AZ$1&gt;=11,'[3]CONCEPTOS Y PARAMETROS'!$C$10,0),0)</f>
        <v>12.5</v>
      </c>
      <c r="AO26" s="833">
        <f>IF(I26&lt;&gt;"",IF($AZ$1&gt;=11,'[3]CONCEPTOS Y PARAMETROS'!$C$16,0),0)</f>
        <v>12.5</v>
      </c>
      <c r="AP26" s="833"/>
      <c r="AQ26" s="833">
        <f>IF(I26&lt;&gt;"",IF($AZ$1&gt;5,'[3]CONCEPTOS Y PARAMETROS'!$C$23,0),0)</f>
        <v>12.5</v>
      </c>
      <c r="AR26" s="827">
        <f>IF(J26&lt;&gt;"",IF($AZ$1&gt;5,'[3]CONCEPTOS Y PARAMETROS'!$C$23,0),0)</f>
        <v>12.5</v>
      </c>
      <c r="AS26" s="833"/>
      <c r="AT26" s="833"/>
      <c r="AU26" s="833">
        <v>0</v>
      </c>
      <c r="AV26" s="833">
        <f>IF(AND(I26&lt;&gt;"",$AZ$1&gt;9),'[3]CONCEPTOS Y PARAMETROS'!$C$32,0)</f>
        <v>12.5</v>
      </c>
      <c r="AW26" s="833">
        <f>IF(I26&lt;&gt;"",'[3]CONCEPTOS Y PARAMETROS'!$C$14,0)</f>
        <v>3000</v>
      </c>
      <c r="AX26" s="828">
        <f>'[3]CONCEPTOS Y PARAMETROS'!$C$30</f>
        <v>0</v>
      </c>
      <c r="AY26" s="833">
        <f>IF(I26&lt;&gt;"",'[3]CONCEPTOS Y PARAMETROS'!$C$15,0)</f>
        <v>0.1239999532699585</v>
      </c>
      <c r="AZ26" s="462">
        <f>(((W26+AJ26+AK26+R26+S26+T26+U26+AX26+AM26+AL26+AH26+AI26+AW26)*$AZ$1)+Y26+Z26+AA26+AD26+AG26+AN26+AO26+AP26+AQ26+AR26+AS26+AT26+AY26+AU26+AV26)+($AE26*VLOOKUP($AZ$1,'[3]CONCEPTOS Y PARAMETROS'!$A$38:$C$49,3,0))</f>
        <v>41921.599998267171</v>
      </c>
      <c r="BA26" s="834">
        <f t="shared" si="58"/>
        <v>21.834166665764151</v>
      </c>
      <c r="BB26" s="844"/>
      <c r="BC26" s="835">
        <f t="shared" si="59"/>
        <v>284.80399999999997</v>
      </c>
      <c r="BD26" s="833">
        <f t="shared" si="60"/>
        <v>3326.5999995317461</v>
      </c>
      <c r="BE26" s="833">
        <f t="shared" si="61"/>
        <v>2551.5039999999999</v>
      </c>
      <c r="BF26" s="833">
        <f t="shared" si="62"/>
        <v>297.30399999999997</v>
      </c>
      <c r="BG26" s="833">
        <f t="shared" si="63"/>
        <v>299.95599957847594</v>
      </c>
      <c r="BH26" s="833">
        <f t="shared" si="64"/>
        <v>297.30399999999997</v>
      </c>
      <c r="BI26" s="833">
        <f t="shared" si="65"/>
        <v>309.80399999999997</v>
      </c>
      <c r="BJ26" s="833">
        <f t="shared" si="66"/>
        <v>312.45599957847594</v>
      </c>
      <c r="BK26" s="833">
        <f t="shared" si="67"/>
        <v>297.30399999999997</v>
      </c>
      <c r="BL26" s="833">
        <f t="shared" si="68"/>
        <v>297.30399999999997</v>
      </c>
      <c r="BM26" s="833">
        <f t="shared" si="69"/>
        <v>312.45599957847594</v>
      </c>
      <c r="BN26" s="833">
        <f t="shared" si="70"/>
        <v>322.30399999999997</v>
      </c>
      <c r="BO26" s="833">
        <f t="shared" si="71"/>
        <v>297.30399999999997</v>
      </c>
      <c r="BP26" s="833">
        <f t="shared" si="76"/>
        <v>8921.5999982671747</v>
      </c>
      <c r="BQ26" s="836">
        <f t="shared" si="73"/>
        <v>-33000</v>
      </c>
    </row>
    <row r="27" spans="1:69" ht="15.75" thickBot="1" x14ac:dyDescent="0.3">
      <c r="A27" s="242" t="s">
        <v>2835</v>
      </c>
      <c r="B27" s="275">
        <f t="shared" ca="1" si="74"/>
        <v>8</v>
      </c>
      <c r="C27" s="280">
        <v>16533987</v>
      </c>
      <c r="D27" s="290" t="s">
        <v>4680</v>
      </c>
      <c r="E27" s="245">
        <v>44256</v>
      </c>
      <c r="F27" s="288">
        <f>IF(E27&lt;&gt;"",'[3]CONCEPTOS Y PARAMETROS'!$L$2-YEAR(E27),"")</f>
        <v>4</v>
      </c>
      <c r="G27" s="247"/>
      <c r="H27" s="289" t="str">
        <f>IFERROR(VLOOKUP(I27,[3]CARGOS!A:E,2,0),"")</f>
        <v>7204</v>
      </c>
      <c r="I27" s="244" t="s">
        <v>2616</v>
      </c>
      <c r="J27" s="291">
        <v>5</v>
      </c>
      <c r="K27" s="462">
        <f>IFERROR(VLOOKUP(J27,'[3]TAB OBR'!A:B,2,0),0)</f>
        <v>171</v>
      </c>
      <c r="L27" s="251">
        <v>2</v>
      </c>
      <c r="M27" s="251" t="s">
        <v>2894</v>
      </c>
      <c r="N27" s="832">
        <f>IF(E27&lt;&gt;"",VLOOKUP(SUM(F27:G27),'[3]CONCEPTOS Y PARAMETROS'!F:G,2,0)*K27,0)</f>
        <v>6.84</v>
      </c>
      <c r="O27" s="832">
        <f>IF(I27&lt;&gt;"",'[3]CONCEPTOS Y PARAMETROS'!$C$4,0)</f>
        <v>130</v>
      </c>
      <c r="P27" s="832">
        <f>'[3]CONCEPTOS Y PARAMETROS'!$C$7*L27</f>
        <v>25</v>
      </c>
      <c r="Q27" s="832">
        <f>IFERROR(ROUND(VLOOKUP($M27,'[3]CONCEPTOS Y PARAMETROS'!H:I,2,0)*($K27+N27+O27+P27),2),0)</f>
        <v>0</v>
      </c>
      <c r="R27" s="832">
        <f>IF(I27&lt;&gt;"",'[3]CONCEPTOS Y PARAMETROS'!$C$18,0)</f>
        <v>12.5</v>
      </c>
      <c r="S27" s="832"/>
      <c r="T27" s="832"/>
      <c r="U27" s="832"/>
      <c r="V27" s="462">
        <f t="shared" si="53"/>
        <v>161.84</v>
      </c>
      <c r="W27" s="827">
        <f t="shared" si="54"/>
        <v>332.84000000000003</v>
      </c>
      <c r="X27" s="833">
        <f t="shared" si="55"/>
        <v>0</v>
      </c>
      <c r="Y27" s="827">
        <f t="shared" si="56"/>
        <v>0</v>
      </c>
      <c r="Z27" s="833">
        <f>IF(I27&lt;&gt;"",(ROUND(IF(A27="EMPLEADO",eval_formula('[3]CONCEPTOS Y PARAMETROS'!$C$8,'RAC (2025)'!K27,'RAC (2025)'!$W27,'RAC (2025)'!F27+'RAC (2025)'!G27),eval_formula('[3]CONCEPTOS Y PARAMETROS'!$D$8,'RAC (2025)'!K27,'RAC (2025)'!$W27,'RAC (2025)'!F27+'RAC (2025)'!G27)),2))*IF(MONTH(E27)&lt;=$AZ$1,1,0),0)</f>
        <v>2829.14</v>
      </c>
      <c r="AA27" s="833"/>
      <c r="AB27" s="833">
        <f>(((W27/30)*'[3]CONCEPTOS Y PARAMETROS'!$C$27)/12)</f>
        <v>166.42</v>
      </c>
      <c r="AC27" s="833">
        <f>(((W27/30)*'[3]CONCEPTOS Y PARAMETROS'!$C$28)/12)</f>
        <v>138.68333333333334</v>
      </c>
      <c r="AD27" s="827"/>
      <c r="AE27" s="833">
        <f>(W27/30)*'[3]CONCEPTOS Y PARAMETROS'!$C$29</f>
        <v>3.3283994709650675</v>
      </c>
      <c r="AF27" s="833">
        <f t="shared" si="57"/>
        <v>674.55573280429849</v>
      </c>
      <c r="AG27" s="833">
        <f>+W27/30*'[3]CONCEPTOS Y PARAMETROS'!$M$2</f>
        <v>33.283999999999999</v>
      </c>
      <c r="AH27" s="827">
        <f>(K27*'[3]CONCEPTOS Y PARAMETROS'!$C$11)</f>
        <v>15.389999999999999</v>
      </c>
      <c r="AI27" s="827">
        <f>(K27*'[3]CONCEPTOS Y PARAMETROS'!$C$12)</f>
        <v>3.42</v>
      </c>
      <c r="AJ27" s="833">
        <f>+W27*'[3]CONCEPTOS Y PARAMETROS'!$C$13</f>
        <v>6.6568000000000005</v>
      </c>
      <c r="AK27" s="827"/>
      <c r="AL27" s="833"/>
      <c r="AM27" s="833"/>
      <c r="AN27" s="833">
        <f>IF(I27&lt;&gt;"",IF($AZ$1&gt;=11,'[3]CONCEPTOS Y PARAMETROS'!$C$10,0),0)</f>
        <v>12.5</v>
      </c>
      <c r="AO27" s="833">
        <f>IF(I27&lt;&gt;"",IF($AZ$1&gt;=11,'[3]CONCEPTOS Y PARAMETROS'!$C$16,0),0)</f>
        <v>12.5</v>
      </c>
      <c r="AP27" s="833"/>
      <c r="AQ27" s="833">
        <f>IF(I27&lt;&gt;"",IF($AZ$1&gt;5,'[3]CONCEPTOS Y PARAMETROS'!$C$23,0),0)</f>
        <v>12.5</v>
      </c>
      <c r="AR27" s="827">
        <f>IF(J27&lt;&gt;"",IF($AZ$1&gt;5,'[3]CONCEPTOS Y PARAMETROS'!$C$23,0),0)</f>
        <v>12.5</v>
      </c>
      <c r="AS27" s="833"/>
      <c r="AT27" s="833"/>
      <c r="AU27" s="833">
        <v>0</v>
      </c>
      <c r="AV27" s="833">
        <f>IF(AND(I27&lt;&gt;"",$AZ$1&gt;9),'[3]CONCEPTOS Y PARAMETROS'!$C$32,0)</f>
        <v>12.5</v>
      </c>
      <c r="AW27" s="833">
        <f>IF(I27&lt;&gt;"",'[3]CONCEPTOS Y PARAMETROS'!$C$14,0)</f>
        <v>3000</v>
      </c>
      <c r="AX27" s="828">
        <f>'[3]CONCEPTOS Y PARAMETROS'!$C$30</f>
        <v>0</v>
      </c>
      <c r="AY27" s="833">
        <f>IF(I27&lt;&gt;"",'[3]CONCEPTOS Y PARAMETROS'!$C$15,0)</f>
        <v>0.1239999532699585</v>
      </c>
      <c r="AZ27" s="462">
        <f>(((W27+AJ27+AK27+R27+S27+T27+U27+AX27+AM27+AL27+AH27+AI27+AW27)*$AZ$1)+Y27+Z27+AA27+AD27+AG27+AN27+AO27+AP27+AQ27+AR27+AS27+AT27+AY27+AU27+AV27)+($AE27*VLOOKUP($AZ$1,'[3]CONCEPTOS Y PARAMETROS'!$A$38:$C$49,3,0))</f>
        <v>43388.043197837127</v>
      </c>
      <c r="BA27" s="834">
        <f t="shared" si="58"/>
        <v>22.597939165540172</v>
      </c>
      <c r="BB27" s="844"/>
      <c r="BC27" s="835">
        <f t="shared" si="59"/>
        <v>358.30680000000001</v>
      </c>
      <c r="BD27" s="833">
        <f t="shared" si="60"/>
        <v>3407.5431994242349</v>
      </c>
      <c r="BE27" s="833">
        <f t="shared" si="61"/>
        <v>370.80680000000001</v>
      </c>
      <c r="BF27" s="833">
        <f t="shared" si="62"/>
        <v>3199.9467999999997</v>
      </c>
      <c r="BG27" s="833">
        <f t="shared" si="63"/>
        <v>374.13519947096506</v>
      </c>
      <c r="BH27" s="833">
        <f t="shared" si="64"/>
        <v>370.80680000000001</v>
      </c>
      <c r="BI27" s="833">
        <f t="shared" si="65"/>
        <v>383.30680000000001</v>
      </c>
      <c r="BJ27" s="833">
        <f t="shared" si="66"/>
        <v>386.63519947096506</v>
      </c>
      <c r="BK27" s="833">
        <f t="shared" si="67"/>
        <v>370.80680000000001</v>
      </c>
      <c r="BL27" s="833">
        <f t="shared" si="68"/>
        <v>370.80680000000001</v>
      </c>
      <c r="BM27" s="833">
        <f t="shared" si="69"/>
        <v>386.63519947096506</v>
      </c>
      <c r="BN27" s="833">
        <f t="shared" si="70"/>
        <v>395.80680000000001</v>
      </c>
      <c r="BO27" s="833">
        <f t="shared" si="71"/>
        <v>370.80680000000001</v>
      </c>
      <c r="BP27" s="833">
        <f t="shared" si="76"/>
        <v>10388.043197837133</v>
      </c>
      <c r="BQ27" s="836">
        <f t="shared" si="73"/>
        <v>-32999.999999999993</v>
      </c>
    </row>
    <row r="28" spans="1:69" ht="15.75" thickBot="1" x14ac:dyDescent="0.3">
      <c r="A28" s="242" t="s">
        <v>2835</v>
      </c>
      <c r="B28" s="275">
        <f t="shared" ca="1" si="74"/>
        <v>9</v>
      </c>
      <c r="C28" s="262">
        <v>9322076</v>
      </c>
      <c r="D28" s="290" t="s">
        <v>4681</v>
      </c>
      <c r="E28" s="245">
        <v>44271</v>
      </c>
      <c r="F28" s="288">
        <f>IF(E28&lt;&gt;"",'[3]CONCEPTOS Y PARAMETROS'!$L$2-YEAR(E28),"")</f>
        <v>4</v>
      </c>
      <c r="G28" s="247"/>
      <c r="H28" s="289" t="str">
        <f>IFERROR(VLOOKUP(I28,[3]CARGOS!A:E,2,0),"")</f>
        <v>7204</v>
      </c>
      <c r="I28" s="244" t="s">
        <v>2616</v>
      </c>
      <c r="J28" s="291">
        <v>5</v>
      </c>
      <c r="K28" s="462">
        <f>IFERROR(VLOOKUP(J28,'[3]TAB OBR'!A:B,2,0),0)</f>
        <v>171</v>
      </c>
      <c r="L28" s="251">
        <v>0</v>
      </c>
      <c r="M28" s="251" t="s">
        <v>2894</v>
      </c>
      <c r="N28" s="832">
        <f>IF(E28&lt;&gt;"",VLOOKUP(SUM(F28:G28),'[3]CONCEPTOS Y PARAMETROS'!F:G,2,0)*K28,0)</f>
        <v>6.84</v>
      </c>
      <c r="O28" s="832">
        <f>IF(I28&lt;&gt;"",'[3]CONCEPTOS Y PARAMETROS'!$C$4,0)</f>
        <v>130</v>
      </c>
      <c r="P28" s="832">
        <f>'[3]CONCEPTOS Y PARAMETROS'!$C$7*L28</f>
        <v>0</v>
      </c>
      <c r="Q28" s="832">
        <f>IFERROR(ROUND(VLOOKUP($M28,'[3]CONCEPTOS Y PARAMETROS'!H:I,2,0)*($K28+N28+O28+P28),2),0)</f>
        <v>0</v>
      </c>
      <c r="R28" s="832">
        <f>IF(I28&lt;&gt;"",'[3]CONCEPTOS Y PARAMETROS'!$C$18,0)</f>
        <v>12.5</v>
      </c>
      <c r="S28" s="832"/>
      <c r="T28" s="832"/>
      <c r="U28" s="832"/>
      <c r="V28" s="462">
        <f t="shared" si="53"/>
        <v>136.84</v>
      </c>
      <c r="W28" s="827">
        <f t="shared" si="54"/>
        <v>307.84000000000003</v>
      </c>
      <c r="X28" s="833">
        <f t="shared" si="55"/>
        <v>0</v>
      </c>
      <c r="Y28" s="827">
        <f t="shared" si="56"/>
        <v>0</v>
      </c>
      <c r="Z28" s="833">
        <f>IF(I28&lt;&gt;"",(ROUND(IF(A28="EMPLEADO",eval_formula('[3]CONCEPTOS Y PARAMETROS'!$C$8,'RAC (2025)'!K28,'RAC (2025)'!$W28,'RAC (2025)'!F28+'RAC (2025)'!G28),eval_formula('[3]CONCEPTOS Y PARAMETROS'!$D$8,'RAC (2025)'!K28,'RAC (2025)'!$W28,'RAC (2025)'!F28+'RAC (2025)'!G28)),2))*IF(MONTH(E28)&lt;=$AZ$1,1,0),0)</f>
        <v>2616.64</v>
      </c>
      <c r="AA28" s="833"/>
      <c r="AB28" s="833">
        <f>(((W28/30)*'[3]CONCEPTOS Y PARAMETROS'!$C$27)/12)</f>
        <v>153.92000000000002</v>
      </c>
      <c r="AC28" s="833">
        <f>(((W28/30)*'[3]CONCEPTOS Y PARAMETROS'!$C$28)/12)</f>
        <v>128.26666666666668</v>
      </c>
      <c r="AD28" s="827"/>
      <c r="AE28" s="833">
        <f>(W28/30)*'[3]CONCEPTOS Y PARAMETROS'!$C$29</f>
        <v>3.0783995107014976</v>
      </c>
      <c r="AF28" s="833">
        <f t="shared" si="57"/>
        <v>623.88906617736825</v>
      </c>
      <c r="AG28" s="833">
        <f>+W28/30*'[3]CONCEPTOS Y PARAMETROS'!$M$2</f>
        <v>30.784000000000006</v>
      </c>
      <c r="AH28" s="827">
        <f>(K28*'[3]CONCEPTOS Y PARAMETROS'!$C$11)</f>
        <v>15.389999999999999</v>
      </c>
      <c r="AI28" s="827">
        <f>(K28*'[3]CONCEPTOS Y PARAMETROS'!$C$12)</f>
        <v>3.42</v>
      </c>
      <c r="AJ28" s="833">
        <f>+W28*'[3]CONCEPTOS Y PARAMETROS'!$C$13</f>
        <v>6.1568000000000005</v>
      </c>
      <c r="AK28" s="827"/>
      <c r="AL28" s="833"/>
      <c r="AM28" s="833"/>
      <c r="AN28" s="833">
        <f>IF(I28&lt;&gt;"",IF($AZ$1&gt;=11,'[3]CONCEPTOS Y PARAMETROS'!$C$10,0),0)</f>
        <v>12.5</v>
      </c>
      <c r="AO28" s="833">
        <f>IF(I28&lt;&gt;"",IF($AZ$1&gt;=11,'[3]CONCEPTOS Y PARAMETROS'!$C$16,0),0)</f>
        <v>12.5</v>
      </c>
      <c r="AP28" s="833"/>
      <c r="AQ28" s="833">
        <f>IF(I28&lt;&gt;"",IF($AZ$1&gt;5,'[3]CONCEPTOS Y PARAMETROS'!$C$23,0),0)</f>
        <v>12.5</v>
      </c>
      <c r="AR28" s="827">
        <f>IF(J28&lt;&gt;"",IF($AZ$1&gt;5,'[3]CONCEPTOS Y PARAMETROS'!$C$23,0),0)</f>
        <v>12.5</v>
      </c>
      <c r="AS28" s="833"/>
      <c r="AT28" s="833"/>
      <c r="AU28" s="833">
        <v>0</v>
      </c>
      <c r="AV28" s="833">
        <f>IF(AND(I28&lt;&gt;"",$AZ$1&gt;9),'[3]CONCEPTOS Y PARAMETROS'!$C$32,0)</f>
        <v>12.5</v>
      </c>
      <c r="AW28" s="833">
        <f>IF(I28&lt;&gt;"",'[3]CONCEPTOS Y PARAMETROS'!$C$14,0)</f>
        <v>3000</v>
      </c>
      <c r="AX28" s="828">
        <f>'[3]CONCEPTOS Y PARAMETROS'!$C$30</f>
        <v>0</v>
      </c>
      <c r="AY28" s="833">
        <f>IF(I28&lt;&gt;"",'[3]CONCEPTOS Y PARAMETROS'!$C$15,0)</f>
        <v>0.1239999532699585</v>
      </c>
      <c r="AZ28" s="462">
        <f>(((W28+AJ28+AK28+R28+S28+T28+U28+AX28+AM28+AL28+AH28+AI28+AW28)*$AZ$1)+Y28+Z28+AA28+AD28+AG28+AN28+AO28+AP28+AQ28+AR28+AS28+AT28+AY28+AU28+AV28)+($AE28*VLOOKUP($AZ$1,'[3]CONCEPTOS Y PARAMETROS'!$A$38:$C$49,3,0))</f>
        <v>42866.04319799607</v>
      </c>
      <c r="BA28" s="834">
        <f t="shared" si="58"/>
        <v>22.326064165622952</v>
      </c>
      <c r="BB28" s="844"/>
      <c r="BC28" s="835">
        <f t="shared" si="59"/>
        <v>332.80680000000001</v>
      </c>
      <c r="BD28" s="833">
        <f t="shared" si="60"/>
        <v>3379.2931994639712</v>
      </c>
      <c r="BE28" s="833">
        <f t="shared" si="61"/>
        <v>345.30680000000001</v>
      </c>
      <c r="BF28" s="833">
        <f t="shared" si="62"/>
        <v>2961.9467999999997</v>
      </c>
      <c r="BG28" s="833">
        <f t="shared" si="63"/>
        <v>348.38519951070151</v>
      </c>
      <c r="BH28" s="833">
        <f t="shared" si="64"/>
        <v>345.30680000000001</v>
      </c>
      <c r="BI28" s="833">
        <f t="shared" si="65"/>
        <v>357.80680000000001</v>
      </c>
      <c r="BJ28" s="833">
        <f t="shared" si="66"/>
        <v>360.88519951070151</v>
      </c>
      <c r="BK28" s="833">
        <f t="shared" si="67"/>
        <v>345.30680000000001</v>
      </c>
      <c r="BL28" s="833">
        <f t="shared" si="68"/>
        <v>345.30680000000001</v>
      </c>
      <c r="BM28" s="833">
        <f t="shared" si="69"/>
        <v>360.88519951070151</v>
      </c>
      <c r="BN28" s="833">
        <f t="shared" si="70"/>
        <v>370.30680000000001</v>
      </c>
      <c r="BO28" s="833">
        <f t="shared" si="71"/>
        <v>345.30680000000001</v>
      </c>
      <c r="BP28" s="833">
        <f t="shared" si="76"/>
        <v>9866.0431979960777</v>
      </c>
      <c r="BQ28" s="836">
        <f t="shared" si="73"/>
        <v>-32999.999999999993</v>
      </c>
    </row>
    <row r="29" spans="1:69" ht="15.75" thickBot="1" x14ac:dyDescent="0.3">
      <c r="A29" s="470" t="s">
        <v>2835</v>
      </c>
      <c r="B29" s="293">
        <v>10</v>
      </c>
      <c r="C29" s="262">
        <v>25832162</v>
      </c>
      <c r="D29" s="290" t="s">
        <v>4703</v>
      </c>
      <c r="E29" s="255">
        <v>45078</v>
      </c>
      <c r="F29" s="288">
        <f>IF(E29&lt;&gt;"",'[3]CONCEPTOS Y PARAMETROS'!$L$2-YEAR(E29),"")</f>
        <v>2</v>
      </c>
      <c r="G29" s="297"/>
      <c r="H29" s="298">
        <v>2202</v>
      </c>
      <c r="I29" s="253" t="s">
        <v>3332</v>
      </c>
      <c r="J29" s="299">
        <v>1</v>
      </c>
      <c r="K29" s="462">
        <f>IFERROR(VLOOKUP(J29,'[3]TAB OBR'!A:B,2,0),0)</f>
        <v>130</v>
      </c>
      <c r="L29" s="300">
        <v>1</v>
      </c>
      <c r="M29" s="300" t="s">
        <v>2894</v>
      </c>
      <c r="N29" s="837">
        <f>IF(E29&lt;&gt;"",VLOOKUP(SUM(F29:G29),'[3]CONCEPTOS Y PARAMETROS'!F:G,2,0)*K29,0)</f>
        <v>2.6</v>
      </c>
      <c r="O29" s="837">
        <f>IF(I29&lt;&gt;"",'[3]CONCEPTOS Y PARAMETROS'!$C$4,0)</f>
        <v>130</v>
      </c>
      <c r="P29" s="837">
        <f>'[3]CONCEPTOS Y PARAMETROS'!$C$7*L29</f>
        <v>12.5</v>
      </c>
      <c r="Q29" s="837">
        <f>IFERROR(ROUND(VLOOKUP($M29,'[3]CONCEPTOS Y PARAMETROS'!H:I,2,0)*($K29+N29+O29+P29),2),0)</f>
        <v>0</v>
      </c>
      <c r="R29" s="837">
        <f>IF(I29&lt;&gt;"",'[3]CONCEPTOS Y PARAMETROS'!$C$18,0)</f>
        <v>12.5</v>
      </c>
      <c r="S29" s="837"/>
      <c r="T29" s="837"/>
      <c r="U29" s="837"/>
      <c r="V29" s="462">
        <f t="shared" si="53"/>
        <v>145.1</v>
      </c>
      <c r="W29" s="827">
        <f t="shared" si="54"/>
        <v>275.10000000000002</v>
      </c>
      <c r="X29" s="838">
        <f t="shared" si="55"/>
        <v>0</v>
      </c>
      <c r="Y29" s="827">
        <f t="shared" si="56"/>
        <v>0</v>
      </c>
      <c r="Z29" s="838">
        <f>IF(I29&lt;&gt;"",(ROUND(IF(A29="EMPLEADO",eval_formula('[3]CONCEPTOS Y PARAMETROS'!$C$8,'RAC (2025)'!K29,'RAC (2025)'!$W29,'RAC (2025)'!F29+'RAC (2025)'!G29),eval_formula('[3]CONCEPTOS Y PARAMETROS'!$D$8,'RAC (2025)'!K29,'RAC (2025)'!$W29,'RAC (2025)'!F29+'RAC (2025)'!G29)),2))*IF(MONTH(E29)&lt;=$AZ$1,1,0),0)</f>
        <v>2338.35</v>
      </c>
      <c r="AA29" s="838"/>
      <c r="AB29" s="838">
        <f>(((W29/30)*'[3]CONCEPTOS Y PARAMETROS'!$C$27)/12)</f>
        <v>137.54999999999998</v>
      </c>
      <c r="AC29" s="838">
        <f>(((W29/30)*'[3]CONCEPTOS Y PARAMETROS'!$C$28)/12)</f>
        <v>114.625</v>
      </c>
      <c r="AD29" s="827"/>
      <c r="AE29" s="838">
        <f>(W29/30)*'[3]CONCEPTOS Y PARAMETROS'!$C$29</f>
        <v>2.7509995627403261</v>
      </c>
      <c r="AF29" s="838">
        <f t="shared" si="57"/>
        <v>557.53599956274024</v>
      </c>
      <c r="AG29" s="838">
        <f>+W29/30*'[3]CONCEPTOS Y PARAMETROS'!$M$2</f>
        <v>27.509999999999998</v>
      </c>
      <c r="AH29" s="827">
        <f>(K29*'[3]CONCEPTOS Y PARAMETROS'!$C$11)</f>
        <v>11.7</v>
      </c>
      <c r="AI29" s="827">
        <f>(K29*'[3]CONCEPTOS Y PARAMETROS'!$C$12)</f>
        <v>2.6</v>
      </c>
      <c r="AJ29" s="838">
        <f>+W29*'[3]CONCEPTOS Y PARAMETROS'!$C$13</f>
        <v>5.5020000000000007</v>
      </c>
      <c r="AK29" s="827"/>
      <c r="AL29" s="841"/>
      <c r="AM29" s="841"/>
      <c r="AN29" s="838">
        <f>IF(I29&lt;&gt;"",IF($AZ$1&gt;=11,'[3]CONCEPTOS Y PARAMETROS'!$C$10,0),0)</f>
        <v>12.5</v>
      </c>
      <c r="AO29" s="838">
        <f>IF(I29&lt;&gt;"",IF($AZ$1&gt;=11,'[3]CONCEPTOS Y PARAMETROS'!$C$16,0),0)</f>
        <v>12.5</v>
      </c>
      <c r="AP29" s="838"/>
      <c r="AQ29" s="838">
        <f>IF(I29&lt;&gt;"",IF($AZ$1&gt;5,'[3]CONCEPTOS Y PARAMETROS'!$C$23,0),0)</f>
        <v>12.5</v>
      </c>
      <c r="AR29" s="827">
        <f>IF(J29&lt;&gt;"",IF($AZ$1&gt;5,'[3]CONCEPTOS Y PARAMETROS'!$C$23,0),0)</f>
        <v>12.5</v>
      </c>
      <c r="AS29" s="838"/>
      <c r="AT29" s="838"/>
      <c r="AU29" s="838">
        <v>0</v>
      </c>
      <c r="AV29" s="838">
        <f>IF(AND(I29&lt;&gt;"",$AZ$1&gt;9),'[3]CONCEPTOS Y PARAMETROS'!$C$32,0)</f>
        <v>12.5</v>
      </c>
      <c r="AW29" s="838">
        <f>IF(I29&lt;&gt;"",'[3]CONCEPTOS Y PARAMETROS'!$C$14,0)</f>
        <v>3000</v>
      </c>
      <c r="AX29" s="828">
        <f>'[3]CONCEPTOS Y PARAMETROS'!$C$30</f>
        <v>0</v>
      </c>
      <c r="AY29" s="838">
        <f>IF(I29&lt;&gt;"",'[3]CONCEPTOS Y PARAMETROS'!$C$15,0)</f>
        <v>0.1239999532699585</v>
      </c>
      <c r="AZ29" s="462">
        <f>(((W29+AJ29+AK29+R29+S29+T29+U29+AX29+AM29+AL29+AH29+AI29+AW29)*$AZ$1)+Y29+Z29+AA29+AD29+AG29+AN29+AO29+AP29+AQ29+AR29+AS29+AT29+AY29+AU29+AV29)+($AE29*VLOOKUP($AZ$1,'[3]CONCEPTOS Y PARAMETROS'!$A$38:$C$49,3,0))</f>
        <v>42128.311998204234</v>
      </c>
      <c r="BA29" s="839">
        <f t="shared" si="58"/>
        <v>21.94182916573137</v>
      </c>
      <c r="BB29" s="844"/>
      <c r="BC29" s="835">
        <f t="shared" si="59"/>
        <v>294.90200000000004</v>
      </c>
      <c r="BD29" s="833">
        <f t="shared" si="60"/>
        <v>3337.7869995160104</v>
      </c>
      <c r="BE29" s="833">
        <f t="shared" si="61"/>
        <v>307.40200000000004</v>
      </c>
      <c r="BF29" s="833">
        <f t="shared" si="62"/>
        <v>307.40200000000004</v>
      </c>
      <c r="BG29" s="833">
        <f t="shared" si="63"/>
        <v>310.15299956274038</v>
      </c>
      <c r="BH29" s="833">
        <f t="shared" si="64"/>
        <v>307.40200000000004</v>
      </c>
      <c r="BI29" s="833">
        <f t="shared" si="65"/>
        <v>2658.252</v>
      </c>
      <c r="BJ29" s="833">
        <f t="shared" si="66"/>
        <v>322.65299956274038</v>
      </c>
      <c r="BK29" s="833">
        <f t="shared" si="67"/>
        <v>307.40200000000004</v>
      </c>
      <c r="BL29" s="833">
        <f t="shared" si="68"/>
        <v>307.40200000000004</v>
      </c>
      <c r="BM29" s="833">
        <f t="shared" si="69"/>
        <v>322.65299956274038</v>
      </c>
      <c r="BN29" s="833">
        <f t="shared" si="70"/>
        <v>332.40200000000004</v>
      </c>
      <c r="BO29" s="833">
        <f t="shared" si="71"/>
        <v>307.40200000000004</v>
      </c>
      <c r="BP29" s="833">
        <f t="shared" ref="BP29:BP34" si="77">SUM(BD29:BO29)</f>
        <v>9128.3119982042317</v>
      </c>
      <c r="BQ29" s="836">
        <f t="shared" si="73"/>
        <v>-33000</v>
      </c>
    </row>
    <row r="30" spans="1:69" ht="15.75" thickBot="1" x14ac:dyDescent="0.3">
      <c r="A30" s="470" t="s">
        <v>2835</v>
      </c>
      <c r="B30" s="293">
        <v>11</v>
      </c>
      <c r="C30" s="262">
        <v>16534379</v>
      </c>
      <c r="D30" s="290" t="s">
        <v>4705</v>
      </c>
      <c r="E30" s="255">
        <v>45108</v>
      </c>
      <c r="F30" s="288">
        <f>IF(E30&lt;&gt;"",'[3]CONCEPTOS Y PARAMETROS'!$L$2-YEAR(E30),"")</f>
        <v>2</v>
      </c>
      <c r="G30" s="297"/>
      <c r="H30" s="298" t="str">
        <f>IFERROR(VLOOKUP(I30,[3]CARGOS!A:E,2,0),"")</f>
        <v>7204</v>
      </c>
      <c r="I30" s="253" t="s">
        <v>2616</v>
      </c>
      <c r="J30" s="299">
        <v>5</v>
      </c>
      <c r="K30" s="462">
        <f>IFERROR(VLOOKUP(J30,'[3]TAB OBR'!A:B,2,0),0)</f>
        <v>171</v>
      </c>
      <c r="L30" s="300">
        <v>0</v>
      </c>
      <c r="M30" s="300" t="s">
        <v>2894</v>
      </c>
      <c r="N30" s="837">
        <f>IF(E30&lt;&gt;"",VLOOKUP(SUM(F30:G30),'[3]CONCEPTOS Y PARAMETROS'!F:G,2,0)*K30,0)</f>
        <v>3.42</v>
      </c>
      <c r="O30" s="837">
        <f>IF(I30&lt;&gt;"",'[3]CONCEPTOS Y PARAMETROS'!$C$4,0)</f>
        <v>130</v>
      </c>
      <c r="P30" s="837">
        <f>'[3]CONCEPTOS Y PARAMETROS'!$C$7*L30</f>
        <v>0</v>
      </c>
      <c r="Q30" s="837">
        <f>IFERROR(ROUND(VLOOKUP($M30,'[3]CONCEPTOS Y PARAMETROS'!H:I,2,0)*($K30+N30+O30+P30),2),0)</f>
        <v>0</v>
      </c>
      <c r="R30" s="837">
        <f>IF(I30&lt;&gt;"",'[3]CONCEPTOS Y PARAMETROS'!$C$18,0)</f>
        <v>12.5</v>
      </c>
      <c r="S30" s="837"/>
      <c r="T30" s="837"/>
      <c r="U30" s="837"/>
      <c r="V30" s="462">
        <f t="shared" si="53"/>
        <v>133.41999999999999</v>
      </c>
      <c r="W30" s="827">
        <f t="shared" si="54"/>
        <v>304.41999999999996</v>
      </c>
      <c r="X30" s="838">
        <f t="shared" si="55"/>
        <v>0</v>
      </c>
      <c r="Y30" s="827">
        <f t="shared" si="56"/>
        <v>0</v>
      </c>
      <c r="Z30" s="838">
        <f>IF(I30&lt;&gt;"",(ROUND(IF(A30="EMPLEADO",eval_formula('[3]CONCEPTOS Y PARAMETROS'!$C$8,'RAC (2025)'!K30,'RAC (2025)'!$W30,'RAC (2025)'!F30+'RAC (2025)'!G30),eval_formula('[3]CONCEPTOS Y PARAMETROS'!$D$8,'RAC (2025)'!K30,'RAC (2025)'!$W30,'RAC (2025)'!F30+'RAC (2025)'!G30)),2))*IF(MONTH(E30)&lt;=$AZ$1,1,0),0)</f>
        <v>2587.5700000000002</v>
      </c>
      <c r="AA30" s="838"/>
      <c r="AB30" s="838">
        <f>(((W30/30)*'[3]CONCEPTOS Y PARAMETROS'!$C$27)/12)</f>
        <v>152.20999999999998</v>
      </c>
      <c r="AC30" s="838">
        <f>(((W30/30)*'[3]CONCEPTOS Y PARAMETROS'!$C$28)/12)</f>
        <v>126.84166666666665</v>
      </c>
      <c r="AD30" s="827"/>
      <c r="AE30" s="838">
        <f>(W30/30)*'[3]CONCEPTOS Y PARAMETROS'!$C$29</f>
        <v>3.0441995161374407</v>
      </c>
      <c r="AF30" s="838">
        <f t="shared" si="57"/>
        <v>616.95786618280408</v>
      </c>
      <c r="AG30" s="838">
        <f>+W30/30*'[3]CONCEPTOS Y PARAMETROS'!$M$2</f>
        <v>30.441999999999997</v>
      </c>
      <c r="AH30" s="827">
        <f>(K30*'[3]CONCEPTOS Y PARAMETROS'!$C$11)</f>
        <v>15.389999999999999</v>
      </c>
      <c r="AI30" s="827">
        <f>(K30*'[3]CONCEPTOS Y PARAMETROS'!$C$12)</f>
        <v>3.42</v>
      </c>
      <c r="AJ30" s="838">
        <f>+W30*'[3]CONCEPTOS Y PARAMETROS'!$C$13</f>
        <v>6.0883999999999991</v>
      </c>
      <c r="AK30" s="827"/>
      <c r="AL30" s="841"/>
      <c r="AM30" s="841"/>
      <c r="AN30" s="838">
        <f>IF(I30&lt;&gt;"",IF($AZ$1&gt;=11,'[3]CONCEPTOS Y PARAMETROS'!$C$10,0),0)</f>
        <v>12.5</v>
      </c>
      <c r="AO30" s="838">
        <f>IF(I30&lt;&gt;"",IF($AZ$1&gt;=11,'[3]CONCEPTOS Y PARAMETROS'!$C$16,0),0)</f>
        <v>12.5</v>
      </c>
      <c r="AP30" s="838"/>
      <c r="AQ30" s="838">
        <f>IF(I30&lt;&gt;"",IF($AZ$1&gt;5,'[3]CONCEPTOS Y PARAMETROS'!$C$23,0),0)</f>
        <v>12.5</v>
      </c>
      <c r="AR30" s="827">
        <f>IF(J30&lt;&gt;"",IF($AZ$1&gt;5,'[3]CONCEPTOS Y PARAMETROS'!$C$23,0),0)</f>
        <v>12.5</v>
      </c>
      <c r="AS30" s="838"/>
      <c r="AT30" s="838"/>
      <c r="AU30" s="838">
        <v>0</v>
      </c>
      <c r="AV30" s="838">
        <f>IF(AND(I30&lt;&gt;"",$AZ$1&gt;9),'[3]CONCEPTOS Y PARAMETROS'!$C$32,0)</f>
        <v>12.5</v>
      </c>
      <c r="AW30" s="838">
        <f>IF(I30&lt;&gt;"",'[3]CONCEPTOS Y PARAMETROS'!$C$14,0)</f>
        <v>3000</v>
      </c>
      <c r="AX30" s="828">
        <f>'[3]CONCEPTOS Y PARAMETROS'!$C$30</f>
        <v>0</v>
      </c>
      <c r="AY30" s="838">
        <f>IF(I30&lt;&gt;"",'[3]CONCEPTOS Y PARAMETROS'!$C$15,0)</f>
        <v>0.1239999532699585</v>
      </c>
      <c r="AZ30" s="462">
        <f>(((W30+AJ30+AK30+R30+S30+T30+U30+AX30+AM30+AL30+AH30+AI30+AW30)*$AZ$1)+Y30+Z30+AA30+AD30+AG30+AN30+AO30+AP30+AQ30+AR30+AS30+AT30+AY30+AU30+AV30)+($AE30*VLOOKUP($AZ$1,'[3]CONCEPTOS Y PARAMETROS'!$A$38:$C$49,3,0))</f>
        <v>42794.633598017826</v>
      </c>
      <c r="BA30" s="839">
        <f t="shared" si="58"/>
        <v>22.288871665634286</v>
      </c>
      <c r="BB30" s="844"/>
      <c r="BC30" s="835">
        <f t="shared" si="59"/>
        <v>329.31839999999994</v>
      </c>
      <c r="BD30" s="833">
        <f t="shared" si="60"/>
        <v>3375.4285994694073</v>
      </c>
      <c r="BE30" s="833">
        <f t="shared" si="61"/>
        <v>341.81839999999994</v>
      </c>
      <c r="BF30" s="833">
        <f t="shared" si="62"/>
        <v>341.81839999999994</v>
      </c>
      <c r="BG30" s="833">
        <f t="shared" si="63"/>
        <v>344.86259951613738</v>
      </c>
      <c r="BH30" s="833">
        <f t="shared" si="64"/>
        <v>341.81839999999994</v>
      </c>
      <c r="BI30" s="833">
        <f t="shared" si="65"/>
        <v>354.31839999999994</v>
      </c>
      <c r="BJ30" s="833">
        <f t="shared" si="66"/>
        <v>2944.9325995161375</v>
      </c>
      <c r="BK30" s="833">
        <f t="shared" si="67"/>
        <v>341.81839999999994</v>
      </c>
      <c r="BL30" s="833">
        <f t="shared" si="68"/>
        <v>341.81839999999994</v>
      </c>
      <c r="BM30" s="833">
        <f t="shared" si="69"/>
        <v>357.36259951613738</v>
      </c>
      <c r="BN30" s="833">
        <f t="shared" si="70"/>
        <v>366.81839999999994</v>
      </c>
      <c r="BO30" s="833">
        <f t="shared" si="71"/>
        <v>341.81839999999994</v>
      </c>
      <c r="BP30" s="833">
        <f t="shared" si="77"/>
        <v>9794.6335980178192</v>
      </c>
      <c r="BQ30" s="836">
        <f t="shared" si="73"/>
        <v>-33000.000000000007</v>
      </c>
    </row>
    <row r="31" spans="1:69" ht="15.75" thickBot="1" x14ac:dyDescent="0.3">
      <c r="A31" s="470" t="s">
        <v>2835</v>
      </c>
      <c r="B31" s="293">
        <v>12</v>
      </c>
      <c r="C31" s="262">
        <v>28542190</v>
      </c>
      <c r="D31" s="290" t="s">
        <v>4706</v>
      </c>
      <c r="E31" s="255">
        <v>45108</v>
      </c>
      <c r="F31" s="288">
        <f>IF(E31&lt;&gt;"",'[3]CONCEPTOS Y PARAMETROS'!$L$2-YEAR(E31),"")</f>
        <v>2</v>
      </c>
      <c r="G31" s="297"/>
      <c r="H31" s="298">
        <v>7204</v>
      </c>
      <c r="I31" s="253" t="s">
        <v>2616</v>
      </c>
      <c r="J31" s="299">
        <v>5</v>
      </c>
      <c r="K31" s="462">
        <f>IFERROR(VLOOKUP(J31,'[3]TAB OBR'!A:B,2,0),0)</f>
        <v>171</v>
      </c>
      <c r="L31" s="300">
        <v>0</v>
      </c>
      <c r="M31" s="300" t="s">
        <v>2894</v>
      </c>
      <c r="N31" s="837">
        <f>IF(E31&lt;&gt;"",VLOOKUP(SUM(F31:G31),'[3]CONCEPTOS Y PARAMETROS'!F:G,2,0)*K31,0)</f>
        <v>3.42</v>
      </c>
      <c r="O31" s="837">
        <f>IF(I31&lt;&gt;"",'[3]CONCEPTOS Y PARAMETROS'!$C$4,0)</f>
        <v>130</v>
      </c>
      <c r="P31" s="837">
        <f>'[3]CONCEPTOS Y PARAMETROS'!$C$7*L31</f>
        <v>0</v>
      </c>
      <c r="Q31" s="837">
        <f>IFERROR(ROUND(VLOOKUP($M31,'[3]CONCEPTOS Y PARAMETROS'!H:I,2,0)*($K31+N31+O31+P31),2),0)</f>
        <v>0</v>
      </c>
      <c r="R31" s="837">
        <f>IF(I31&lt;&gt;"",'[3]CONCEPTOS Y PARAMETROS'!$C$18,0)</f>
        <v>12.5</v>
      </c>
      <c r="S31" s="837"/>
      <c r="T31" s="837"/>
      <c r="U31" s="837"/>
      <c r="V31" s="462">
        <f t="shared" si="53"/>
        <v>133.41999999999999</v>
      </c>
      <c r="W31" s="827">
        <f t="shared" si="54"/>
        <v>304.41999999999996</v>
      </c>
      <c r="X31" s="838">
        <f t="shared" si="55"/>
        <v>0</v>
      </c>
      <c r="Y31" s="827">
        <f t="shared" si="56"/>
        <v>0</v>
      </c>
      <c r="Z31" s="838">
        <f>IF(I31&lt;&gt;"",(ROUND(IF(A31="EMPLEADO",eval_formula('[3]CONCEPTOS Y PARAMETROS'!$C$8,'RAC (2025)'!K31,'RAC (2025)'!$W31,'RAC (2025)'!F31+'RAC (2025)'!G31),eval_formula('[3]CONCEPTOS Y PARAMETROS'!$D$8,'RAC (2025)'!K31,'RAC (2025)'!$W31,'RAC (2025)'!F31+'RAC (2025)'!G31)),2))*IF(MONTH(E31)&lt;=$AZ$1,1,0),0)</f>
        <v>2587.5700000000002</v>
      </c>
      <c r="AA31" s="838"/>
      <c r="AB31" s="838">
        <f>(((W31/30)*'[3]CONCEPTOS Y PARAMETROS'!$C$27)/12)</f>
        <v>152.20999999999998</v>
      </c>
      <c r="AC31" s="838">
        <f>(((W31/30)*'[3]CONCEPTOS Y PARAMETROS'!$C$28)/12)</f>
        <v>126.84166666666665</v>
      </c>
      <c r="AD31" s="827"/>
      <c r="AE31" s="838">
        <f>(W31/30)*'[3]CONCEPTOS Y PARAMETROS'!$C$29</f>
        <v>3.0441995161374407</v>
      </c>
      <c r="AF31" s="838">
        <f t="shared" si="57"/>
        <v>616.95786618280408</v>
      </c>
      <c r="AG31" s="838">
        <f>+W31/30*'[3]CONCEPTOS Y PARAMETROS'!$M$2</f>
        <v>30.441999999999997</v>
      </c>
      <c r="AH31" s="827">
        <f>(K31*'[3]CONCEPTOS Y PARAMETROS'!$C$11)</f>
        <v>15.389999999999999</v>
      </c>
      <c r="AI31" s="827">
        <f>(K31*'[3]CONCEPTOS Y PARAMETROS'!$C$12)</f>
        <v>3.42</v>
      </c>
      <c r="AJ31" s="838">
        <f>+W31*'[3]CONCEPTOS Y PARAMETROS'!$C$13</f>
        <v>6.0883999999999991</v>
      </c>
      <c r="AK31" s="827"/>
      <c r="AL31" s="841"/>
      <c r="AM31" s="841"/>
      <c r="AN31" s="838">
        <f>IF(I31&lt;&gt;"",IF($AZ$1&gt;=11,'[3]CONCEPTOS Y PARAMETROS'!$C$10,0),0)</f>
        <v>12.5</v>
      </c>
      <c r="AO31" s="838">
        <f>IF(I31&lt;&gt;"",IF($AZ$1&gt;=11,'[3]CONCEPTOS Y PARAMETROS'!$C$16,0),0)</f>
        <v>12.5</v>
      </c>
      <c r="AP31" s="838"/>
      <c r="AQ31" s="838">
        <f>IF(I31&lt;&gt;"",IF($AZ$1&gt;5,'[3]CONCEPTOS Y PARAMETROS'!$C$23,0),0)</f>
        <v>12.5</v>
      </c>
      <c r="AR31" s="827">
        <f>IF(J31&lt;&gt;"",IF($AZ$1&gt;5,'[3]CONCEPTOS Y PARAMETROS'!$C$23,0),0)</f>
        <v>12.5</v>
      </c>
      <c r="AS31" s="838"/>
      <c r="AT31" s="838"/>
      <c r="AU31" s="838">
        <v>0</v>
      </c>
      <c r="AV31" s="838">
        <f>IF(AND(I31&lt;&gt;"",$AZ$1&gt;9),'[3]CONCEPTOS Y PARAMETROS'!$C$32,0)</f>
        <v>12.5</v>
      </c>
      <c r="AW31" s="838">
        <f>IF(I31&lt;&gt;"",'[3]CONCEPTOS Y PARAMETROS'!$C$14,0)</f>
        <v>3000</v>
      </c>
      <c r="AX31" s="828">
        <f>'[3]CONCEPTOS Y PARAMETROS'!$C$30</f>
        <v>0</v>
      </c>
      <c r="AY31" s="838">
        <f>IF(I31&lt;&gt;"",'[3]CONCEPTOS Y PARAMETROS'!$C$15,0)</f>
        <v>0.1239999532699585</v>
      </c>
      <c r="AZ31" s="462">
        <f>(((W31+AJ31+AK31+R31+S31+T31+U31+AX31+AM31+AL31+AH31+AI31+AW31)*$AZ$1)+Y31+Z31+AA31+AD31+AG31+AN31+AO31+AP31+AQ31+AR31+AS31+AT31+AY31+AU31+AV31)+($AE31*VLOOKUP($AZ$1,'[3]CONCEPTOS Y PARAMETROS'!$A$38:$C$49,3,0))</f>
        <v>42794.633598017826</v>
      </c>
      <c r="BA31" s="839">
        <f t="shared" si="58"/>
        <v>22.288871665634286</v>
      </c>
      <c r="BB31" s="844"/>
      <c r="BC31" s="835">
        <f t="shared" si="59"/>
        <v>329.31839999999994</v>
      </c>
      <c r="BD31" s="833">
        <f t="shared" si="60"/>
        <v>3375.4285994694073</v>
      </c>
      <c r="BE31" s="833">
        <f t="shared" si="61"/>
        <v>341.81839999999994</v>
      </c>
      <c r="BF31" s="833">
        <f t="shared" si="62"/>
        <v>341.81839999999994</v>
      </c>
      <c r="BG31" s="833">
        <f t="shared" si="63"/>
        <v>344.86259951613738</v>
      </c>
      <c r="BH31" s="833">
        <f t="shared" si="64"/>
        <v>341.81839999999994</v>
      </c>
      <c r="BI31" s="833">
        <f t="shared" si="65"/>
        <v>354.31839999999994</v>
      </c>
      <c r="BJ31" s="833">
        <f t="shared" si="66"/>
        <v>2944.9325995161375</v>
      </c>
      <c r="BK31" s="833">
        <f t="shared" si="67"/>
        <v>341.81839999999994</v>
      </c>
      <c r="BL31" s="833">
        <f t="shared" si="68"/>
        <v>341.81839999999994</v>
      </c>
      <c r="BM31" s="833">
        <f t="shared" si="69"/>
        <v>357.36259951613738</v>
      </c>
      <c r="BN31" s="833">
        <f t="shared" si="70"/>
        <v>366.81839999999994</v>
      </c>
      <c r="BO31" s="833">
        <f t="shared" si="71"/>
        <v>341.81839999999994</v>
      </c>
      <c r="BP31" s="833">
        <f t="shared" si="77"/>
        <v>9794.6335980178192</v>
      </c>
      <c r="BQ31" s="836">
        <f t="shared" si="73"/>
        <v>-33000.000000000007</v>
      </c>
    </row>
    <row r="32" spans="1:69" ht="15.75" thickBot="1" x14ac:dyDescent="0.3">
      <c r="A32" s="301" t="s">
        <v>2835</v>
      </c>
      <c r="B32" s="275">
        <v>13</v>
      </c>
      <c r="C32" s="262"/>
      <c r="D32" s="290" t="s">
        <v>4698</v>
      </c>
      <c r="E32" s="245">
        <v>45292</v>
      </c>
      <c r="F32" s="296">
        <v>0</v>
      </c>
      <c r="G32" s="247"/>
      <c r="H32" s="298" t="str">
        <f>IFERROR(VLOOKUP(I32,[3]CARGOS!A:E,2,0),"")</f>
        <v>7103</v>
      </c>
      <c r="I32" s="244" t="s">
        <v>2551</v>
      </c>
      <c r="J32" s="291">
        <v>1</v>
      </c>
      <c r="K32" s="462">
        <f>IFERROR(VLOOKUP(J32,'[3]TAB OBR'!A:B,2,0),0)</f>
        <v>130</v>
      </c>
      <c r="L32" s="251">
        <v>0</v>
      </c>
      <c r="M32" s="251" t="s">
        <v>2894</v>
      </c>
      <c r="N32" s="837">
        <f>IF(E32&lt;&gt;"",VLOOKUP(SUM(F32:G32),'[3]CONCEPTOS Y PARAMETROS'!F:G,2,0)*K32,0)</f>
        <v>0</v>
      </c>
      <c r="O32" s="837">
        <f>IF(I32&lt;&gt;"",'[3]CONCEPTOS Y PARAMETROS'!$C$4,0)</f>
        <v>130</v>
      </c>
      <c r="P32" s="837">
        <f>'[3]CONCEPTOS Y PARAMETROS'!$C$7*L32</f>
        <v>0</v>
      </c>
      <c r="Q32" s="837">
        <f>IFERROR(ROUND(VLOOKUP($M32,'[3]CONCEPTOS Y PARAMETROS'!H:I,2,0)*($K32+N32+O32+P32),2),0)</f>
        <v>0</v>
      </c>
      <c r="R32" s="837">
        <f>IF(I32&lt;&gt;"",'[3]CONCEPTOS Y PARAMETROS'!$C$18,0)</f>
        <v>12.5</v>
      </c>
      <c r="S32" s="837"/>
      <c r="T32" s="837"/>
      <c r="U32" s="837"/>
      <c r="V32" s="462">
        <f t="shared" si="53"/>
        <v>130</v>
      </c>
      <c r="W32" s="827">
        <f t="shared" si="54"/>
        <v>260</v>
      </c>
      <c r="X32" s="838">
        <f t="shared" si="55"/>
        <v>0</v>
      </c>
      <c r="Y32" s="827">
        <f t="shared" si="56"/>
        <v>0</v>
      </c>
      <c r="Z32" s="838">
        <f>IF(I32&lt;&gt;"",(ROUND(IF(A32="EMPLEADO",eval_formula('[3]CONCEPTOS Y PARAMETROS'!$C$8,'RAC (2025)'!K32,'RAC (2025)'!$W32,'RAC (2025)'!F32+'RAC (2025)'!G32),eval_formula('[3]CONCEPTOS Y PARAMETROS'!$D$8,'RAC (2025)'!K32,'RAC (2025)'!$W32,'RAC (2025)'!F32+'RAC (2025)'!G32)),2))*IF(MONTH(E32)&lt;=$AZ$1,1,0),0)</f>
        <v>2210</v>
      </c>
      <c r="AA32" s="838"/>
      <c r="AB32" s="838">
        <f>(((W32/30)*'[3]CONCEPTOS Y PARAMETROS'!$C$27)/12)</f>
        <v>130</v>
      </c>
      <c r="AC32" s="838">
        <f>(((W32/30)*'[3]CONCEPTOS Y PARAMETROS'!$C$28)/12)</f>
        <v>108.33333333333333</v>
      </c>
      <c r="AD32" s="827"/>
      <c r="AE32" s="838">
        <f>(W32/30)*'[3]CONCEPTOS Y PARAMETROS'!$C$29</f>
        <v>2.5999995867411294</v>
      </c>
      <c r="AF32" s="838">
        <f t="shared" si="57"/>
        <v>526.93333292007446</v>
      </c>
      <c r="AG32" s="838">
        <f>+W32/30*'[3]CONCEPTOS Y PARAMETROS'!$M$2</f>
        <v>26</v>
      </c>
      <c r="AH32" s="827">
        <f>(K32*'[3]CONCEPTOS Y PARAMETROS'!$C$11)</f>
        <v>11.7</v>
      </c>
      <c r="AI32" s="827">
        <f>(K32*'[3]CONCEPTOS Y PARAMETROS'!$C$12)</f>
        <v>2.6</v>
      </c>
      <c r="AJ32" s="838">
        <f>+W32*'[3]CONCEPTOS Y PARAMETROS'!$C$13</f>
        <v>5.2</v>
      </c>
      <c r="AK32" s="827"/>
      <c r="AL32" s="841"/>
      <c r="AM32" s="841"/>
      <c r="AN32" s="838">
        <f>IF(I32&lt;&gt;"",IF($AZ$1&gt;=11,'[3]CONCEPTOS Y PARAMETROS'!$C$10,0),0)</f>
        <v>12.5</v>
      </c>
      <c r="AO32" s="838">
        <f>IF(I32&lt;&gt;"",IF($AZ$1&gt;=11,'[3]CONCEPTOS Y PARAMETROS'!$C$16,0),0)</f>
        <v>12.5</v>
      </c>
      <c r="AP32" s="838"/>
      <c r="AQ32" s="838">
        <f>IF(I32&lt;&gt;"",IF($AZ$1&gt;5,'[3]CONCEPTOS Y PARAMETROS'!$C$23,0),0)</f>
        <v>12.5</v>
      </c>
      <c r="AR32" s="827">
        <f>IF(J32&lt;&gt;"",IF($AZ$1&gt;5,'[3]CONCEPTOS Y PARAMETROS'!$C$23,0),0)</f>
        <v>12.5</v>
      </c>
      <c r="AS32" s="838"/>
      <c r="AT32" s="838"/>
      <c r="AU32" s="838">
        <v>0</v>
      </c>
      <c r="AV32" s="838">
        <f>IF(AND(I32&lt;&gt;"",$AZ$1&gt;9),'[3]CONCEPTOS Y PARAMETROS'!$C$32,0)</f>
        <v>12.5</v>
      </c>
      <c r="AW32" s="838">
        <f>IF(I32&lt;&gt;"",'[3]CONCEPTOS Y PARAMETROS'!$C$14,0)</f>
        <v>3000</v>
      </c>
      <c r="AX32" s="828">
        <f>'[3]CONCEPTOS Y PARAMETROS'!$C$30</f>
        <v>0</v>
      </c>
      <c r="AY32" s="838">
        <f>IF(I32&lt;&gt;"",'[3]CONCEPTOS Y PARAMETROS'!$C$15,0)</f>
        <v>0.1239999532699585</v>
      </c>
      <c r="AZ32" s="462">
        <f>(((W32+AJ32+AK32+R32+S32+T32+U32+AX32+AM32+AL32+AH32+AI32+AW32)*$AZ$1)+Y32+Z32+AA32+AD32+AG32+AN32+AO32+AP32+AQ32+AR32+AS32+AT32+AY32+AU32+AV32)+($AE32*VLOOKUP($AZ$1,'[3]CONCEPTOS Y PARAMETROS'!$A$38:$C$49,3,0))</f>
        <v>41813.023998300232</v>
      </c>
      <c r="BA32" s="839">
        <f t="shared" si="58"/>
        <v>21.77761666578137</v>
      </c>
      <c r="BB32" s="844"/>
      <c r="BC32" s="835">
        <f t="shared" si="59"/>
        <v>279.5</v>
      </c>
      <c r="BD32" s="833">
        <f>$BC32+IF(MONTH($E32)=BD$1,SUM($Z32+$Y32),0)+AD32+AG32+AW32+AY32+AS32+AT32+(IF($AZ$1&gt;=1,$AE32,0))+R32+S32+T32+U32</f>
        <v>5530.7239995400114</v>
      </c>
      <c r="BE32" s="833">
        <f t="shared" si="61"/>
        <v>292</v>
      </c>
      <c r="BF32" s="833">
        <f t="shared" si="62"/>
        <v>292</v>
      </c>
      <c r="BG32" s="833">
        <f t="shared" si="63"/>
        <v>294.59999958674115</v>
      </c>
      <c r="BH32" s="833">
        <f t="shared" si="64"/>
        <v>292</v>
      </c>
      <c r="BI32" s="833">
        <f t="shared" si="65"/>
        <v>304.5</v>
      </c>
      <c r="BJ32" s="833">
        <f t="shared" si="66"/>
        <v>307.09999958674115</v>
      </c>
      <c r="BK32" s="833">
        <f t="shared" si="67"/>
        <v>292</v>
      </c>
      <c r="BL32" s="833">
        <f t="shared" si="68"/>
        <v>292</v>
      </c>
      <c r="BM32" s="833">
        <f t="shared" si="69"/>
        <v>307.09999958674115</v>
      </c>
      <c r="BN32" s="833">
        <f t="shared" si="70"/>
        <v>317</v>
      </c>
      <c r="BO32" s="833">
        <f t="shared" si="71"/>
        <v>292</v>
      </c>
      <c r="BP32" s="833">
        <f t="shared" si="77"/>
        <v>8813.0239983002357</v>
      </c>
      <c r="BQ32" s="836">
        <f t="shared" si="73"/>
        <v>-33000</v>
      </c>
    </row>
    <row r="33" spans="1:69" ht="15.75" thickBot="1" x14ac:dyDescent="0.3">
      <c r="A33" s="301" t="s">
        <v>2835</v>
      </c>
      <c r="B33" s="275">
        <v>14</v>
      </c>
      <c r="C33" s="262"/>
      <c r="D33" s="290" t="s">
        <v>4698</v>
      </c>
      <c r="E33" s="245">
        <v>45292</v>
      </c>
      <c r="F33" s="296">
        <v>0</v>
      </c>
      <c r="G33" s="247"/>
      <c r="H33" s="298" t="str">
        <f>IFERROR(VLOOKUP(I33,[3]CARGOS!A:E,2,0),"")</f>
        <v>7204</v>
      </c>
      <c r="I33" s="244" t="s">
        <v>2616</v>
      </c>
      <c r="J33" s="291">
        <v>5</v>
      </c>
      <c r="K33" s="462">
        <f>IFERROR(VLOOKUP(J33,'[3]TAB OBR'!A:B,2,0),0)</f>
        <v>171</v>
      </c>
      <c r="L33" s="251">
        <v>0</v>
      </c>
      <c r="M33" s="251" t="s">
        <v>2894</v>
      </c>
      <c r="N33" s="837">
        <f>IF(E33&lt;&gt;"",VLOOKUP(SUM(F33:G33),'[3]CONCEPTOS Y PARAMETROS'!F:G,2,0)*K33,0)</f>
        <v>0</v>
      </c>
      <c r="O33" s="837">
        <f>IF(I33&lt;&gt;"",'[3]CONCEPTOS Y PARAMETROS'!$C$4,0)</f>
        <v>130</v>
      </c>
      <c r="P33" s="837">
        <f>'[3]CONCEPTOS Y PARAMETROS'!$C$7*L33</f>
        <v>0</v>
      </c>
      <c r="Q33" s="837">
        <f>IFERROR(ROUND(VLOOKUP($M33,'[3]CONCEPTOS Y PARAMETROS'!H:I,2,0)*($K33+N33+O33+P33),2),0)</f>
        <v>0</v>
      </c>
      <c r="R33" s="837">
        <f>IF(I33&lt;&gt;"",'[3]CONCEPTOS Y PARAMETROS'!$C$18,0)</f>
        <v>12.5</v>
      </c>
      <c r="S33" s="837"/>
      <c r="T33" s="837"/>
      <c r="U33" s="837"/>
      <c r="V33" s="462">
        <f t="shared" si="53"/>
        <v>130</v>
      </c>
      <c r="W33" s="827">
        <f t="shared" si="54"/>
        <v>301</v>
      </c>
      <c r="X33" s="838">
        <f t="shared" si="55"/>
        <v>0</v>
      </c>
      <c r="Y33" s="827">
        <f t="shared" si="56"/>
        <v>0</v>
      </c>
      <c r="Z33" s="838">
        <f>IF(I33&lt;&gt;"",(ROUND(IF(A33="EMPLEADO",eval_formula('[3]CONCEPTOS Y PARAMETROS'!$C$8,'RAC (2025)'!K33,'RAC (2025)'!$W33,'RAC (2025)'!F33+'RAC (2025)'!G33),eval_formula('[3]CONCEPTOS Y PARAMETROS'!$D$8,'RAC (2025)'!K33,'RAC (2025)'!$W33,'RAC (2025)'!F33+'RAC (2025)'!G33)),2))*IF(MONTH(E33)&lt;=$AZ$1,1,0),0)</f>
        <v>2558.5</v>
      </c>
      <c r="AA33" s="838"/>
      <c r="AB33" s="838">
        <f>(((W33/30)*'[3]CONCEPTOS Y PARAMETROS'!$C$27)/12)</f>
        <v>150.5</v>
      </c>
      <c r="AC33" s="838">
        <f>(((W33/30)*'[3]CONCEPTOS Y PARAMETROS'!$C$28)/12)</f>
        <v>125.41666666666667</v>
      </c>
      <c r="AD33" s="827"/>
      <c r="AE33" s="838">
        <f>(W33/30)*'[3]CONCEPTOS Y PARAMETROS'!$C$29</f>
        <v>3.0099995215733846</v>
      </c>
      <c r="AF33" s="838">
        <f t="shared" si="57"/>
        <v>610.02666618824003</v>
      </c>
      <c r="AG33" s="838">
        <f>+W33/30*'[3]CONCEPTOS Y PARAMETROS'!$M$2</f>
        <v>30.1</v>
      </c>
      <c r="AH33" s="827">
        <f>(K33*'[3]CONCEPTOS Y PARAMETROS'!$C$11)</f>
        <v>15.389999999999999</v>
      </c>
      <c r="AI33" s="827">
        <f>(K33*'[3]CONCEPTOS Y PARAMETROS'!$C$12)</f>
        <v>3.42</v>
      </c>
      <c r="AJ33" s="838">
        <f>+W33*'[3]CONCEPTOS Y PARAMETROS'!$C$13</f>
        <v>6.0200000000000005</v>
      </c>
      <c r="AK33" s="827"/>
      <c r="AL33" s="841"/>
      <c r="AM33" s="841"/>
      <c r="AN33" s="838">
        <f>IF(I33&lt;&gt;"",IF($AZ$1&gt;=11,'[3]CONCEPTOS Y PARAMETROS'!$C$10,0),0)</f>
        <v>12.5</v>
      </c>
      <c r="AO33" s="838">
        <f>IF(I33&lt;&gt;"",IF($AZ$1&gt;=11,'[3]CONCEPTOS Y PARAMETROS'!$C$16,0),0)</f>
        <v>12.5</v>
      </c>
      <c r="AP33" s="838"/>
      <c r="AQ33" s="838">
        <f>IF(I33&lt;&gt;"",IF($AZ$1&gt;5,'[3]CONCEPTOS Y PARAMETROS'!$C$23,0),0)</f>
        <v>12.5</v>
      </c>
      <c r="AR33" s="827">
        <f>IF(J33&lt;&gt;"",IF($AZ$1&gt;5,'[3]CONCEPTOS Y PARAMETROS'!$C$23,0),0)</f>
        <v>12.5</v>
      </c>
      <c r="AS33" s="838"/>
      <c r="AT33" s="838"/>
      <c r="AU33" s="838">
        <v>0</v>
      </c>
      <c r="AV33" s="838">
        <f>IF(AND(I33&lt;&gt;"",$AZ$1&gt;9),'[3]CONCEPTOS Y PARAMETROS'!$C$32,0)</f>
        <v>12.5</v>
      </c>
      <c r="AW33" s="838">
        <f>IF(I33&lt;&gt;"",'[3]CONCEPTOS Y PARAMETROS'!$C$14,0)</f>
        <v>3000</v>
      </c>
      <c r="AX33" s="828">
        <f>'[3]CONCEPTOS Y PARAMETROS'!$C$30</f>
        <v>0</v>
      </c>
      <c r="AY33" s="838">
        <f>IF(I33&lt;&gt;"",'[3]CONCEPTOS Y PARAMETROS'!$C$15,0)</f>
        <v>0.1239999532699585</v>
      </c>
      <c r="AZ33" s="462">
        <f>(((W33+AJ33+AK33+R33+S33+T33+U33+AX33+AM33+AL33+AH33+AI33+AW33)*$AZ$1)+Y33+Z33+AA33+AD33+AG33+AN33+AO33+AP33+AQ33+AR33+AS33+AT33+AY33+AU33+AV33)+($AE33*VLOOKUP($AZ$1,'[3]CONCEPTOS Y PARAMETROS'!$A$38:$C$49,3,0))</f>
        <v>42723.223998039561</v>
      </c>
      <c r="BA33" s="839">
        <f t="shared" si="58"/>
        <v>22.251679165645605</v>
      </c>
      <c r="BB33" s="844"/>
      <c r="BC33" s="835">
        <f t="shared" si="59"/>
        <v>325.83</v>
      </c>
      <c r="BD33" s="833">
        <f>$BC33+IF(MONTH($E33)=BD$1,SUM($Z33+$Y33),0)+AD33+AG33+AW33+AY33+AS33+AT33+(IF($AZ$1&gt;=1,$AE33,0))+R33+S33+T33+U33</f>
        <v>5930.0639994748435</v>
      </c>
      <c r="BE33" s="833">
        <f t="shared" si="61"/>
        <v>338.33</v>
      </c>
      <c r="BF33" s="833">
        <f t="shared" si="62"/>
        <v>338.33</v>
      </c>
      <c r="BG33" s="833">
        <f t="shared" ref="BG33" si="78">($BC33+IF(MONTH($E33)=BG$1,SUM($Z33+$Y33),0))*IF($AZ$1&gt;BF$1,1,0)+(IF($AZ$1&gt;=4,$AE33,0))+IF($AZ$1&gt;BF$1,SUM(R33+S33+T33+U33),0)</f>
        <v>341.33999952157336</v>
      </c>
      <c r="BH33" s="833">
        <f t="shared" si="64"/>
        <v>338.33</v>
      </c>
      <c r="BI33" s="833">
        <f t="shared" si="65"/>
        <v>350.83</v>
      </c>
      <c r="BJ33" s="833">
        <f t="shared" si="66"/>
        <v>353.83999952157336</v>
      </c>
      <c r="BK33" s="833">
        <f t="shared" si="67"/>
        <v>338.33</v>
      </c>
      <c r="BL33" s="833">
        <f t="shared" si="68"/>
        <v>338.33</v>
      </c>
      <c r="BM33" s="833">
        <f t="shared" si="69"/>
        <v>353.83999952157336</v>
      </c>
      <c r="BN33" s="833">
        <f t="shared" si="70"/>
        <v>363.33</v>
      </c>
      <c r="BO33" s="833">
        <f t="shared" si="71"/>
        <v>338.33</v>
      </c>
      <c r="BP33" s="833">
        <f t="shared" ref="BP33" si="79">SUM(BD33:BO33)</f>
        <v>9723.2239980395625</v>
      </c>
      <c r="BQ33" s="836">
        <f t="shared" si="73"/>
        <v>-33000</v>
      </c>
    </row>
    <row r="34" spans="1:69" ht="15.75" thickBot="1" x14ac:dyDescent="0.3">
      <c r="A34" s="301" t="s">
        <v>2835</v>
      </c>
      <c r="B34" s="275">
        <v>15</v>
      </c>
      <c r="C34" s="262"/>
      <c r="D34" s="290" t="s">
        <v>4698</v>
      </c>
      <c r="E34" s="245">
        <v>45292</v>
      </c>
      <c r="F34" s="288">
        <v>0</v>
      </c>
      <c r="G34" s="247"/>
      <c r="H34" s="298" t="str">
        <f>IFERROR(VLOOKUP(I34,[3]CARGOS!A:E,2,0),"")</f>
        <v>7204</v>
      </c>
      <c r="I34" s="244" t="s">
        <v>2616</v>
      </c>
      <c r="J34" s="287">
        <v>5</v>
      </c>
      <c r="K34" s="462">
        <f>IFERROR(VLOOKUP(J34,'[3]TAB OBR'!A:B,2,0),0)</f>
        <v>171</v>
      </c>
      <c r="L34" s="251">
        <v>0</v>
      </c>
      <c r="M34" s="251" t="s">
        <v>2894</v>
      </c>
      <c r="N34" s="837">
        <f>IF(E34&lt;&gt;"",VLOOKUP(SUM(F34:G34),'[3]CONCEPTOS Y PARAMETROS'!F:G,2,0)*K34,0)</f>
        <v>0</v>
      </c>
      <c r="O34" s="837">
        <f>IF(I34&lt;&gt;"",'[3]CONCEPTOS Y PARAMETROS'!$C$4,0)</f>
        <v>130</v>
      </c>
      <c r="P34" s="837">
        <f>'[3]CONCEPTOS Y PARAMETROS'!$C$7*L34</f>
        <v>0</v>
      </c>
      <c r="Q34" s="837">
        <f>IFERROR(ROUND(VLOOKUP($M34,'[3]CONCEPTOS Y PARAMETROS'!H:I,2,0)*($K34+N34+O34+P34),2),0)</f>
        <v>0</v>
      </c>
      <c r="R34" s="837">
        <f>IF(I34&lt;&gt;"",'[3]CONCEPTOS Y PARAMETROS'!$C$18,0)</f>
        <v>12.5</v>
      </c>
      <c r="S34" s="837"/>
      <c r="T34" s="837"/>
      <c r="U34" s="837"/>
      <c r="V34" s="462">
        <f t="shared" si="53"/>
        <v>130</v>
      </c>
      <c r="W34" s="827">
        <f t="shared" si="54"/>
        <v>301</v>
      </c>
      <c r="X34" s="838">
        <f t="shared" si="55"/>
        <v>0</v>
      </c>
      <c r="Y34" s="827">
        <f t="shared" si="56"/>
        <v>0</v>
      </c>
      <c r="Z34" s="838">
        <f>IF(I34&lt;&gt;"",(ROUND(IF(A34="EMPLEADO",eval_formula('[3]CONCEPTOS Y PARAMETROS'!$C$8,'RAC (2025)'!K34,'RAC (2025)'!$W34,'RAC (2025)'!F34+'RAC (2025)'!G34),eval_formula('[3]CONCEPTOS Y PARAMETROS'!$D$8,'RAC (2025)'!K34,'RAC (2025)'!$W34,'RAC (2025)'!F34+'RAC (2025)'!G34)),2))*IF(MONTH(E34)&lt;=$AZ$1,1,0),0)</f>
        <v>2558.5</v>
      </c>
      <c r="AA34" s="838"/>
      <c r="AB34" s="838">
        <f>(((W34/30)*'[3]CONCEPTOS Y PARAMETROS'!$C$27)/12)</f>
        <v>150.5</v>
      </c>
      <c r="AC34" s="838">
        <f>(((W34/30)*'[3]CONCEPTOS Y PARAMETROS'!$C$28)/12)</f>
        <v>125.41666666666667</v>
      </c>
      <c r="AD34" s="827"/>
      <c r="AE34" s="838">
        <f>(W34/30)*'[3]CONCEPTOS Y PARAMETROS'!$C$29</f>
        <v>3.0099995215733846</v>
      </c>
      <c r="AF34" s="838">
        <f t="shared" si="57"/>
        <v>610.02666618824003</v>
      </c>
      <c r="AG34" s="838">
        <f>+W34/30*'[3]CONCEPTOS Y PARAMETROS'!$M$2</f>
        <v>30.1</v>
      </c>
      <c r="AH34" s="827">
        <f>(K34*'[3]CONCEPTOS Y PARAMETROS'!$C$11)</f>
        <v>15.389999999999999</v>
      </c>
      <c r="AI34" s="827">
        <f>(K34*'[3]CONCEPTOS Y PARAMETROS'!$C$12)</f>
        <v>3.42</v>
      </c>
      <c r="AJ34" s="838">
        <f>+W34*'[3]CONCEPTOS Y PARAMETROS'!$C$13</f>
        <v>6.0200000000000005</v>
      </c>
      <c r="AK34" s="827"/>
      <c r="AL34" s="841"/>
      <c r="AM34" s="841"/>
      <c r="AN34" s="838">
        <f>IF(I34&lt;&gt;"",IF($AZ$1&gt;=11,'[3]CONCEPTOS Y PARAMETROS'!$C$10,0),0)</f>
        <v>12.5</v>
      </c>
      <c r="AO34" s="838">
        <f>IF(I34&lt;&gt;"",IF($AZ$1&gt;=11,'[3]CONCEPTOS Y PARAMETROS'!$C$16,0),0)</f>
        <v>12.5</v>
      </c>
      <c r="AP34" s="838"/>
      <c r="AQ34" s="838">
        <f>IF(I34&lt;&gt;"",IF($AZ$1&gt;5,'[3]CONCEPTOS Y PARAMETROS'!$C$23,0),0)</f>
        <v>12.5</v>
      </c>
      <c r="AR34" s="827">
        <f>IF(J34&lt;&gt;"",IF($AZ$1&gt;5,'[3]CONCEPTOS Y PARAMETROS'!$C$23,0),0)</f>
        <v>12.5</v>
      </c>
      <c r="AS34" s="838"/>
      <c r="AT34" s="838"/>
      <c r="AU34" s="838">
        <v>0</v>
      </c>
      <c r="AV34" s="838">
        <f>IF(AND(I34&lt;&gt;"",$AZ$1&gt;9),'[3]CONCEPTOS Y PARAMETROS'!$C$32,0)</f>
        <v>12.5</v>
      </c>
      <c r="AW34" s="838">
        <f>IF(I34&lt;&gt;"",'[3]CONCEPTOS Y PARAMETROS'!$C$14,0)</f>
        <v>3000</v>
      </c>
      <c r="AX34" s="828">
        <f>'[3]CONCEPTOS Y PARAMETROS'!$C$30</f>
        <v>0</v>
      </c>
      <c r="AY34" s="838">
        <f>IF(I34&lt;&gt;"",'[3]CONCEPTOS Y PARAMETROS'!$C$15,0)</f>
        <v>0.1239999532699585</v>
      </c>
      <c r="AZ34" s="462">
        <f>(((W34+AJ34+AK34+R34+S34+T34+U34+AX34+AM34+AL34+AH34+AI34+AW34)*$AZ$1)+Y34+Z34+AA34+AD34+AG34+AN34+AO34+AP34+AQ34+AR34+AS34+AT34+AY34+AU34+AV34)+($AE34*VLOOKUP($AZ$1,'[3]CONCEPTOS Y PARAMETROS'!$A$38:$C$49,3,0))</f>
        <v>42723.223998039561</v>
      </c>
      <c r="BA34" s="839">
        <f t="shared" si="58"/>
        <v>22.251679165645605</v>
      </c>
      <c r="BB34" s="844"/>
      <c r="BC34" s="835">
        <f>+$W34+$AH34+$AI34+$AJ34+$AK34+$AX34+$AM34+$AL34</f>
        <v>325.83</v>
      </c>
      <c r="BD34" s="833">
        <f t="shared" si="60"/>
        <v>5930.0639994748435</v>
      </c>
      <c r="BE34" s="833">
        <f t="shared" si="61"/>
        <v>338.33</v>
      </c>
      <c r="BF34" s="833">
        <f t="shared" ref="BF34" si="80">($BC34+IF(MONTH($E34)=BF$1,SUM($Z34+$Y34),0))*IF($AZ$1&gt;BE$1,1,0)+R34+S34+T34+U34</f>
        <v>338.33</v>
      </c>
      <c r="BG34" s="833">
        <f t="shared" ref="BG34" si="81">($BC34+IF(MONTH($E34)=BG$1,SUM($Z34+$Y34),0))*IF($AZ$1&gt;BF$1,1,0)+(IF($AZ$1&gt;=4,$AE34,0))+IF($AZ$1&gt;BF$1,SUM(R34+S34+T34+U34),0)</f>
        <v>341.33999952157336</v>
      </c>
      <c r="BH34" s="833">
        <f t="shared" si="64"/>
        <v>338.33</v>
      </c>
      <c r="BI34" s="833">
        <f t="shared" si="65"/>
        <v>350.83</v>
      </c>
      <c r="BJ34" s="833">
        <f t="shared" si="66"/>
        <v>353.83999952157336</v>
      </c>
      <c r="BK34" s="833">
        <f t="shared" si="67"/>
        <v>338.33</v>
      </c>
      <c r="BL34" s="833">
        <f t="shared" si="68"/>
        <v>338.33</v>
      </c>
      <c r="BM34" s="833">
        <f t="shared" si="69"/>
        <v>353.83999952157336</v>
      </c>
      <c r="BN34" s="833">
        <f t="shared" si="70"/>
        <v>363.33</v>
      </c>
      <c r="BO34" s="833">
        <f t="shared" si="71"/>
        <v>338.33</v>
      </c>
      <c r="BP34" s="833">
        <f t="shared" si="77"/>
        <v>9723.2239980395625</v>
      </c>
      <c r="BQ34" s="836">
        <f t="shared" si="73"/>
        <v>-33000</v>
      </c>
    </row>
    <row r="35" spans="1:69" ht="15" x14ac:dyDescent="0.25">
      <c r="A35" s="242" t="s">
        <v>2835</v>
      </c>
      <c r="B35" s="275">
        <f t="shared" ref="B35" ca="1" si="82">OFFSET(B35,-1,0)+1</f>
        <v>16</v>
      </c>
      <c r="C35" s="262"/>
      <c r="D35" s="290" t="s">
        <v>4698</v>
      </c>
      <c r="E35" s="245">
        <v>45292</v>
      </c>
      <c r="F35" s="288">
        <f>IF(E35&lt;&gt;"",'[3]CONCEPTOS Y PARAMETROS'!$L$2-YEAR(E35),"")</f>
        <v>1</v>
      </c>
      <c r="G35" s="247"/>
      <c r="H35" s="289" t="str">
        <f>IFERROR(VLOOKUP(I35,[3]CARGOS!A:E,2,0),"")</f>
        <v>2202</v>
      </c>
      <c r="I35" s="244" t="s">
        <v>3332</v>
      </c>
      <c r="J35" s="291">
        <v>1</v>
      </c>
      <c r="K35" s="462">
        <f>IFERROR(VLOOKUP(J35,'[3]TAB OBR'!A:B,2,0),0)</f>
        <v>130</v>
      </c>
      <c r="L35" s="251">
        <v>0</v>
      </c>
      <c r="M35" s="251" t="s">
        <v>2894</v>
      </c>
      <c r="N35" s="832">
        <f>IF(E35&lt;&gt;"",VLOOKUP(SUM(F35:G35),'[3]CONCEPTOS Y PARAMETROS'!F:G,2,0)*K35,0)</f>
        <v>1.3</v>
      </c>
      <c r="O35" s="832">
        <f>IF(I35&lt;&gt;"",'[3]CONCEPTOS Y PARAMETROS'!$C$4,0)</f>
        <v>130</v>
      </c>
      <c r="P35" s="832">
        <f>'[3]CONCEPTOS Y PARAMETROS'!$C$7*L35</f>
        <v>0</v>
      </c>
      <c r="Q35" s="832">
        <f>IFERROR(ROUND(VLOOKUP($M35,'[3]CONCEPTOS Y PARAMETROS'!H:I,2,0)*($K35+N35+O35+P35),2),0)</f>
        <v>0</v>
      </c>
      <c r="R35" s="832">
        <f>IF(I35&lt;&gt;"",'[3]CONCEPTOS Y PARAMETROS'!$C$18,0)</f>
        <v>12.5</v>
      </c>
      <c r="S35" s="832"/>
      <c r="T35" s="832"/>
      <c r="U35" s="832"/>
      <c r="V35" s="462">
        <f t="shared" ref="V35" si="83">SUM(N35:Q35)</f>
        <v>131.30000000000001</v>
      </c>
      <c r="W35" s="827">
        <f t="shared" ref="W35" si="84">K35+V35+X35</f>
        <v>261.3</v>
      </c>
      <c r="X35" s="833">
        <f t="shared" ref="X35" si="85">IF(I35="VIGILANTE",(K35+V35)*30%,0)</f>
        <v>0</v>
      </c>
      <c r="Y35" s="827">
        <f t="shared" ref="Y35" si="86">(IF(SUM(F35:G35)&gt;1,IF((SUM(F35:G35)-1)*2&gt;30,30,SUM(F35:G35)-1)*2)*(AF35/30))*(IF(MONTH(E35)&lt;=$AZ$1,1,0))*0</f>
        <v>0</v>
      </c>
      <c r="Z35" s="833">
        <f>IF(I35&lt;&gt;"",(ROUND(IF(A35="EMPLEADO",eval_formula('[3]CONCEPTOS Y PARAMETROS'!$C$8,'RAC (2025)'!K35,'RAC (2025)'!$W35,'RAC (2025)'!F35+'RAC (2025)'!G35),eval_formula('[3]CONCEPTOS Y PARAMETROS'!$D$8,'RAC (2025)'!K35,'RAC (2025)'!$W35,'RAC (2025)'!F35+'RAC (2025)'!G35)),2))*IF(MONTH(E35)&lt;=$AZ$1,1,0),0)</f>
        <v>2221.0500000000002</v>
      </c>
      <c r="AA35" s="833"/>
      <c r="AB35" s="833">
        <f>(((W35/30)*'[3]CONCEPTOS Y PARAMETROS'!$C$27)/12)</f>
        <v>130.65</v>
      </c>
      <c r="AC35" s="833">
        <f>(((W35/30)*'[3]CONCEPTOS Y PARAMETROS'!$C$28)/12)</f>
        <v>108.87500000000001</v>
      </c>
      <c r="AD35" s="827"/>
      <c r="AE35" s="833">
        <f>(W35/30)*'[3]CONCEPTOS Y PARAMETROS'!$C$29</f>
        <v>2.6129995846748355</v>
      </c>
      <c r="AF35" s="833">
        <f t="shared" ref="AF35" si="87">+W35+AB35+AC35+AD35+AE35+AG35</f>
        <v>529.56799958467491</v>
      </c>
      <c r="AG35" s="833">
        <f>+W35/30*'[3]CONCEPTOS Y PARAMETROS'!$M$2</f>
        <v>26.130000000000003</v>
      </c>
      <c r="AH35" s="827">
        <f>(K35*'[3]CONCEPTOS Y PARAMETROS'!$C$11)</f>
        <v>11.7</v>
      </c>
      <c r="AI35" s="827">
        <f>(K35*'[3]CONCEPTOS Y PARAMETROS'!$C$12)</f>
        <v>2.6</v>
      </c>
      <c r="AJ35" s="833">
        <f>+W35*'[3]CONCEPTOS Y PARAMETROS'!$C$13</f>
        <v>5.226</v>
      </c>
      <c r="AK35" s="827"/>
      <c r="AL35" s="833"/>
      <c r="AM35" s="833"/>
      <c r="AN35" s="833">
        <f>IF(I35&lt;&gt;"",IF($AZ$1&gt;=11,'[3]CONCEPTOS Y PARAMETROS'!$C$10,0),0)</f>
        <v>12.5</v>
      </c>
      <c r="AO35" s="833">
        <f>IF(I35&lt;&gt;"",IF($AZ$1&gt;=11,'[3]CONCEPTOS Y PARAMETROS'!$C$16,0),0)</f>
        <v>12.5</v>
      </c>
      <c r="AP35" s="833"/>
      <c r="AQ35" s="833">
        <f>IF(I35&lt;&gt;"",IF($AZ$1&gt;5,'[3]CONCEPTOS Y PARAMETROS'!$C$23,0),0)</f>
        <v>12.5</v>
      </c>
      <c r="AR35" s="827">
        <f>IF(J35&lt;&gt;"",IF($AZ$1&gt;5,'[3]CONCEPTOS Y PARAMETROS'!$C$23,0),0)</f>
        <v>12.5</v>
      </c>
      <c r="AS35" s="833"/>
      <c r="AT35" s="833"/>
      <c r="AU35" s="833">
        <v>0</v>
      </c>
      <c r="AV35" s="833">
        <f>IF(AND(I35&lt;&gt;"",$AZ$1&gt;9),'[3]CONCEPTOS Y PARAMETROS'!$C$32,0)</f>
        <v>12.5</v>
      </c>
      <c r="AW35" s="833">
        <f>IF(I35&lt;&gt;"",'[3]CONCEPTOS Y PARAMETROS'!$C$14,0)</f>
        <v>3000</v>
      </c>
      <c r="AX35" s="828">
        <f>'[3]CONCEPTOS Y PARAMETROS'!$C$30</f>
        <v>0</v>
      </c>
      <c r="AY35" s="833">
        <f>IF(I35&lt;&gt;"",'[3]CONCEPTOS Y PARAMETROS'!$C$15,0)</f>
        <v>0.1239999532699585</v>
      </c>
      <c r="AZ35" s="462">
        <f>(((W35+AJ35+AK35+R35+S35+T35+U35+AX35+AM35+AL35+AH35+AI35+AW35)*$AZ$1)+Y35+Z35+AA35+AD35+AG35+AN35+AO35+AP35+AQ35+AR35+AS35+AT35+AY35+AU35+AV35)+($AE35*VLOOKUP($AZ$1,'[3]CONCEPTOS Y PARAMETROS'!$A$38:$C$49,3,0))</f>
        <v>41840.167998291967</v>
      </c>
      <c r="BA35" s="834">
        <f t="shared" si="58"/>
        <v>21.791754165777068</v>
      </c>
      <c r="BB35" s="844"/>
      <c r="BC35" s="835">
        <f t="shared" si="59"/>
        <v>280.82600000000002</v>
      </c>
      <c r="BD35" s="833">
        <f t="shared" ref="BD35" si="88">$BC35+IF(MONTH($E35)=BD$1,SUM($Z35+$Y35),0)+AD35+AG35+AW35+AY35+AS35+AT35+(IF($AZ$1&gt;=1,$AE35,0))+R35+S35+T35+U35</f>
        <v>5543.2429995379453</v>
      </c>
      <c r="BE35" s="833">
        <f t="shared" ref="BE35" si="89">($BC35+IF(MONTH($E35)=BE$1,SUM($Z35+$Y35),0))*IF($AZ$1&gt;BD$1,1,0)+R35+S35+T35+U35</f>
        <v>293.32600000000002</v>
      </c>
      <c r="BF35" s="833">
        <f t="shared" ref="BF35" si="90">($BC35+IF(MONTH($E35)=BF$1,SUM($Z35+$Y35),0))*IF($AZ$1&gt;BE$1,1,0)+R35+S35+T35+U35</f>
        <v>293.32600000000002</v>
      </c>
      <c r="BG35" s="833">
        <f t="shared" ref="BG35" si="91">($BC35+IF(MONTH($E35)=BG$1,SUM($Z35+$Y35),0))*IF($AZ$1&gt;BF$1,1,0)+(IF($AZ$1&gt;=4,$AE35,0))+IF($AZ$1&gt;BF$1,SUM(R35+S35+T35+U35),0)</f>
        <v>295.93899958467483</v>
      </c>
      <c r="BH35" s="833">
        <f t="shared" ref="BH35" si="92">($BC35+IF(MONTH($E35)=BH$1,SUM($Z35+$Y35),0))*IF($AZ$1&gt;BG$1,1,0)+IF($AZ$1&gt;$BG$1,AP35,0)+IF($AZ$1&gt;BG$1,SUM(R35+S35+T35+U35),0)</f>
        <v>293.32600000000002</v>
      </c>
      <c r="BI35" s="833">
        <f t="shared" ref="BI35" si="93">($BC35+IF(MONTH($E35)=BI$1,SUM($Z35+$Y35),0))*IF($AZ$1&gt;BH$1,1,0)+IF($AZ$1&gt;$BH$1,AQ35,0)+IF($AZ$1&gt;BH$1,SUM(R35+S35+T35+U35),0)</f>
        <v>305.82600000000002</v>
      </c>
      <c r="BJ35" s="833">
        <f t="shared" ref="BJ35" si="94">($BC35+IF(MONTH($E35)=BJ$1,SUM($Z35+$Y35),0))*IF($AZ$1&gt;$BI$1,1,0)+IF($AZ$1&gt;$BI$1,AR35,0)+(IF($AZ$1&gt;=7,$AE35,0))+IF($AZ$1&gt;BI$1,SUM(R35+S35+T35+U35),0)</f>
        <v>308.43899958467483</v>
      </c>
      <c r="BK35" s="833">
        <f t="shared" ref="BK35" si="95">($BC35+IF(MONTH($E35)=BK$1,SUM($Z35+$Y35),0))*IF($AZ$1&gt;$BJ$1,1,0)+IF($AZ$1&gt;BJ$1,SUM(R35+S35+T35+U35),0)</f>
        <v>293.32600000000002</v>
      </c>
      <c r="BL35" s="833">
        <f t="shared" ref="BL35" si="96">($BC35+IF(MONTH($E35)=BL$1,SUM($Z35+$Y35),0))*IF($AZ$1&gt;$BK$1,1,0)+IF($AZ$1&gt;BK$1,SUM(R35+S35+T35+U35)+AU35,0)</f>
        <v>293.32600000000002</v>
      </c>
      <c r="BM35" s="833">
        <f t="shared" ref="BM35" si="97">($BC35+IF(MONTH($E35)=BM$1,SUM($Z35+$Y35),0))*IF($AZ$1&gt;$BL$1,1,0)+(IF($AZ$1&gt;=10,$AE35,0))+IF($AZ$1&gt;BL$1,SUM(R35+S35+T35+U35)+AV35,0)</f>
        <v>308.43899958467483</v>
      </c>
      <c r="BN35" s="833">
        <f t="shared" ref="BN35" si="98">($BC35+IF(MONTH($E35)=BN$1,SUM($Z35+$Y35),0)+AA35)*IF($AZ$1&gt;$BM$1,1,0)+IF($AZ$1&gt;$BM$1,AN35,0)+IF($AZ$1&gt;$BM$1,AO35,0)+IF($AZ$1&gt;BM$1,SUM(R35+S35+T35+U35),0)</f>
        <v>318.32600000000002</v>
      </c>
      <c r="BO35" s="833">
        <f t="shared" ref="BO35" si="99">($BC35+IF(MONTH($E35)=BO$1,SUM($Z35+$Y35),0))*IF($AZ$1=12,1,0)+IF($AZ$1&gt;BN$1,SUM(R35+S35+T35+U35),0)</f>
        <v>293.32600000000002</v>
      </c>
      <c r="BP35" s="833">
        <f t="shared" ref="BP35" si="100">SUM(BD35:BO35)</f>
        <v>8840.1679982919704</v>
      </c>
      <c r="BQ35" s="836">
        <f t="shared" ref="BQ35" si="101">+BP35-AZ35</f>
        <v>-33000</v>
      </c>
    </row>
    <row r="36" spans="1:69" ht="12.75" thickBot="1" x14ac:dyDescent="0.25">
      <c r="A36" s="263"/>
      <c r="B36" s="265">
        <f ca="1">COUNT(B20:B34)</f>
        <v>15</v>
      </c>
      <c r="C36" s="1049" t="s">
        <v>4504</v>
      </c>
      <c r="D36" s="1049"/>
      <c r="E36" s="1049"/>
      <c r="F36" s="1049"/>
      <c r="G36" s="1049"/>
      <c r="H36" s="1049"/>
      <c r="I36" s="1049"/>
      <c r="J36" s="1050"/>
      <c r="K36" s="282">
        <f t="shared" ref="K36:AO36" si="102">SUM(K20:K34)</f>
        <v>2442</v>
      </c>
      <c r="L36" s="282">
        <f t="shared" si="102"/>
        <v>7</v>
      </c>
      <c r="M36" s="282">
        <f t="shared" si="102"/>
        <v>0</v>
      </c>
      <c r="N36" s="282">
        <f>SUM(N20:N34)</f>
        <v>69.360000000000014</v>
      </c>
      <c r="O36" s="282">
        <f>SUM(O20:O34)</f>
        <v>1950</v>
      </c>
      <c r="P36" s="282">
        <f t="shared" si="102"/>
        <v>87.5</v>
      </c>
      <c r="Q36" s="282">
        <f t="shared" si="102"/>
        <v>0</v>
      </c>
      <c r="R36" s="282">
        <f t="shared" si="102"/>
        <v>187.5</v>
      </c>
      <c r="S36" s="282">
        <f t="shared" si="102"/>
        <v>75</v>
      </c>
      <c r="T36" s="282">
        <f t="shared" si="102"/>
        <v>0</v>
      </c>
      <c r="U36" s="282">
        <f t="shared" si="102"/>
        <v>0</v>
      </c>
      <c r="V36" s="282">
        <f t="shared" si="102"/>
        <v>2106.8599999999997</v>
      </c>
      <c r="W36" s="282">
        <f t="shared" si="102"/>
        <v>4548.8600000000006</v>
      </c>
      <c r="X36" s="282">
        <f t="shared" si="102"/>
        <v>0</v>
      </c>
      <c r="Y36" s="282">
        <f t="shared" si="102"/>
        <v>0</v>
      </c>
      <c r="Z36" s="282">
        <f t="shared" si="102"/>
        <v>38665.31</v>
      </c>
      <c r="AA36" s="282">
        <f t="shared" si="102"/>
        <v>0</v>
      </c>
      <c r="AB36" s="282">
        <f t="shared" si="102"/>
        <v>2274.4300000000003</v>
      </c>
      <c r="AC36" s="282">
        <f t="shared" si="102"/>
        <v>1895.3583333333336</v>
      </c>
      <c r="AD36" s="282">
        <f t="shared" si="102"/>
        <v>0</v>
      </c>
      <c r="AE36" s="282">
        <f t="shared" si="102"/>
        <v>45.488592769781746</v>
      </c>
      <c r="AF36" s="282">
        <f t="shared" si="102"/>
        <v>9219.0229261031145</v>
      </c>
      <c r="AG36" s="282">
        <f t="shared" si="102"/>
        <v>454.88600000000008</v>
      </c>
      <c r="AH36" s="282">
        <f t="shared" si="102"/>
        <v>219.77999999999992</v>
      </c>
      <c r="AI36" s="282">
        <f t="shared" si="102"/>
        <v>48.840000000000018</v>
      </c>
      <c r="AJ36" s="282">
        <f t="shared" si="102"/>
        <v>90.977199999999996</v>
      </c>
      <c r="AK36" s="282">
        <f t="shared" si="102"/>
        <v>0</v>
      </c>
      <c r="AL36" s="282">
        <f t="shared" si="102"/>
        <v>0</v>
      </c>
      <c r="AM36" s="282">
        <f t="shared" si="102"/>
        <v>0</v>
      </c>
      <c r="AN36" s="282">
        <f t="shared" si="102"/>
        <v>187.5</v>
      </c>
      <c r="AO36" s="282">
        <f t="shared" si="102"/>
        <v>187.5</v>
      </c>
      <c r="AP36" s="282"/>
      <c r="AQ36" s="282">
        <f>SUM(AQ20:AQ34)</f>
        <v>187.5</v>
      </c>
      <c r="AR36" s="282">
        <f>SUM(AR20:AR34)</f>
        <v>187.5</v>
      </c>
      <c r="AS36" s="282"/>
      <c r="AT36" s="282"/>
      <c r="AU36" s="282">
        <f t="shared" ref="AU36:BA36" si="103">SUM(AU20:AU34)</f>
        <v>0</v>
      </c>
      <c r="AV36" s="282">
        <f t="shared" si="103"/>
        <v>187.5</v>
      </c>
      <c r="AW36" s="282">
        <f t="shared" si="103"/>
        <v>45000</v>
      </c>
      <c r="AX36" s="282">
        <f t="shared" si="103"/>
        <v>0</v>
      </c>
      <c r="AY36" s="282">
        <f t="shared" si="103"/>
        <v>1.8599992990493774</v>
      </c>
      <c r="AZ36" s="282">
        <f>SUM(AZ20:AZ34)</f>
        <v>642292.9967703782</v>
      </c>
      <c r="BA36" s="282">
        <f t="shared" si="103"/>
        <v>334.52760248457196</v>
      </c>
      <c r="BB36" s="844"/>
      <c r="BC36" s="850">
        <f t="shared" ref="BC36:BQ36" si="104">SUM(BC20:BC34)</f>
        <v>4908.4571999999998</v>
      </c>
      <c r="BD36" s="850">
        <f t="shared" si="104"/>
        <v>74125.031792068825</v>
      </c>
      <c r="BE36" s="850">
        <f t="shared" si="104"/>
        <v>7425.1572000000006</v>
      </c>
      <c r="BF36" s="850">
        <f t="shared" si="104"/>
        <v>10616.7372</v>
      </c>
      <c r="BG36" s="850">
        <f t="shared" si="104"/>
        <v>5216.4457927697813</v>
      </c>
      <c r="BH36" s="850">
        <f t="shared" si="104"/>
        <v>5170.9571999999998</v>
      </c>
      <c r="BI36" s="850">
        <f t="shared" si="104"/>
        <v>7696.8071999999993</v>
      </c>
      <c r="BJ36" s="850">
        <f t="shared" si="104"/>
        <v>10579.085792769782</v>
      </c>
      <c r="BK36" s="850">
        <f t="shared" si="104"/>
        <v>5170.9571999999998</v>
      </c>
      <c r="BL36" s="850">
        <f t="shared" si="104"/>
        <v>5170.9571999999998</v>
      </c>
      <c r="BM36" s="850">
        <f t="shared" si="104"/>
        <v>5403.9457927697813</v>
      </c>
      <c r="BN36" s="850">
        <f t="shared" si="104"/>
        <v>5545.9571999999998</v>
      </c>
      <c r="BO36" s="850">
        <f t="shared" si="104"/>
        <v>5170.9571999999998</v>
      </c>
      <c r="BP36" s="850">
        <f t="shared" si="104"/>
        <v>147292.99677037817</v>
      </c>
      <c r="BQ36" s="850">
        <f t="shared" si="104"/>
        <v>-494999.99999999994</v>
      </c>
    </row>
    <row r="37" spans="1:69" ht="12.75" thickBot="1" x14ac:dyDescent="0.25">
      <c r="E37" s="303"/>
      <c r="F37" s="303"/>
      <c r="G37" s="303"/>
      <c r="R37" s="302"/>
      <c r="S37" s="302"/>
      <c r="T37" s="302"/>
      <c r="U37" s="302"/>
      <c r="W37" s="309">
        <f>+SUM(W20:W28)</f>
        <v>2802.9200000000005</v>
      </c>
      <c r="X37" s="309">
        <f>+SUM(X20:X28)</f>
        <v>0</v>
      </c>
      <c r="Z37" s="302"/>
      <c r="AA37" s="302"/>
      <c r="AB37" s="302"/>
      <c r="AC37" s="302"/>
      <c r="AD37" s="302"/>
      <c r="AE37" s="302"/>
      <c r="AH37" s="302"/>
      <c r="AI37" s="302"/>
      <c r="AJ37" s="302"/>
      <c r="AK37" s="302"/>
      <c r="AL37" s="302"/>
      <c r="AM37" s="302"/>
      <c r="AN37" s="302"/>
      <c r="AP37" s="302"/>
      <c r="AQ37" s="302"/>
      <c r="AR37" s="302"/>
      <c r="AU37" s="302"/>
      <c r="AV37" s="302"/>
      <c r="AX37" s="302"/>
      <c r="AZ37" s="302"/>
      <c r="BA37" s="302"/>
      <c r="BB37" s="303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</row>
    <row r="38" spans="1:69" ht="15.75" customHeight="1" thickBot="1" x14ac:dyDescent="0.25">
      <c r="E38" s="303"/>
      <c r="F38" s="303"/>
      <c r="G38" s="303"/>
      <c r="N38" s="302"/>
      <c r="O38" s="302"/>
      <c r="P38" s="302"/>
      <c r="Q38" s="302"/>
      <c r="R38" s="302"/>
      <c r="S38" s="302"/>
      <c r="T38" s="302"/>
      <c r="U38" s="302"/>
      <c r="V38" s="302"/>
      <c r="Z38" s="302"/>
      <c r="AA38" s="302"/>
      <c r="AB38" s="302"/>
      <c r="AC38" s="302"/>
      <c r="AD38" s="302"/>
      <c r="AE38" s="302"/>
      <c r="AH38" s="302"/>
      <c r="AI38" s="302"/>
      <c r="AJ38" s="302"/>
      <c r="AK38" s="1054" t="s">
        <v>4826</v>
      </c>
      <c r="AL38" s="1055"/>
      <c r="AM38" s="1055"/>
      <c r="AN38" s="1055"/>
      <c r="AO38" s="1055"/>
      <c r="AP38" s="1055"/>
      <c r="AQ38" s="1055"/>
      <c r="AR38" s="1055"/>
      <c r="AS38" s="1055"/>
      <c r="AT38" s="1055"/>
      <c r="AU38" s="1055"/>
      <c r="AV38" s="1055"/>
      <c r="AW38" s="1055"/>
      <c r="AX38" s="1055"/>
      <c r="AY38" s="1056"/>
      <c r="AZ38" s="851">
        <v>0</v>
      </c>
      <c r="BA38" s="302"/>
      <c r="BB38" s="303"/>
      <c r="BC38" s="307">
        <f>$AZ$38/$AZ$1</f>
        <v>0</v>
      </c>
      <c r="BD38" s="852">
        <f>$BC$38/$AZ$1</f>
        <v>0</v>
      </c>
      <c r="BE38" s="852">
        <v>0</v>
      </c>
      <c r="BF38" s="852">
        <v>0</v>
      </c>
      <c r="BG38" s="852">
        <v>0</v>
      </c>
      <c r="BH38" s="852">
        <v>0</v>
      </c>
      <c r="BI38" s="852">
        <v>0</v>
      </c>
      <c r="BJ38" s="852">
        <v>0</v>
      </c>
      <c r="BK38" s="852">
        <v>0</v>
      </c>
      <c r="BL38" s="852">
        <v>0</v>
      </c>
      <c r="BM38" s="852">
        <v>0</v>
      </c>
      <c r="BN38" s="852">
        <v>0</v>
      </c>
      <c r="BO38" s="852">
        <v>0</v>
      </c>
      <c r="BP38" s="852">
        <f>SUM(BD38:BO38)</f>
        <v>0</v>
      </c>
      <c r="BQ38" s="853">
        <f>+BP38-AZ38</f>
        <v>0</v>
      </c>
    </row>
    <row r="39" spans="1:69" ht="12.75" thickBot="1" x14ac:dyDescent="0.25">
      <c r="A39" s="304"/>
      <c r="B39" s="305">
        <f ca="1">B11+B18+B36</f>
        <v>27</v>
      </c>
      <c r="C39" s="1057" t="s">
        <v>2885</v>
      </c>
      <c r="D39" s="1058"/>
      <c r="E39" s="1058"/>
      <c r="F39" s="1058"/>
      <c r="G39" s="1058"/>
      <c r="H39" s="1058"/>
      <c r="I39" s="1059"/>
      <c r="J39" s="306"/>
      <c r="K39" s="307">
        <f t="shared" ref="K39:BA39" si="105">K11+K18+K36</f>
        <v>6318</v>
      </c>
      <c r="L39" s="307">
        <f t="shared" si="105"/>
        <v>11</v>
      </c>
      <c r="M39" s="307">
        <f t="shared" si="105"/>
        <v>0</v>
      </c>
      <c r="N39" s="307">
        <f t="shared" si="105"/>
        <v>348.19600000000003</v>
      </c>
      <c r="O39" s="307">
        <f t="shared" si="105"/>
        <v>3510</v>
      </c>
      <c r="P39" s="307">
        <f t="shared" si="105"/>
        <v>137.5</v>
      </c>
      <c r="Q39" s="307">
        <f t="shared" si="105"/>
        <v>1452.92</v>
      </c>
      <c r="R39" s="307">
        <f t="shared" si="105"/>
        <v>337.5</v>
      </c>
      <c r="S39" s="307">
        <f t="shared" si="105"/>
        <v>137.5</v>
      </c>
      <c r="T39" s="307">
        <f t="shared" si="105"/>
        <v>0</v>
      </c>
      <c r="U39" s="307">
        <f t="shared" si="105"/>
        <v>0</v>
      </c>
      <c r="V39" s="307">
        <f t="shared" si="105"/>
        <v>5448.616</v>
      </c>
      <c r="W39" s="307">
        <f t="shared" si="105"/>
        <v>11766.616</v>
      </c>
      <c r="X39" s="307">
        <f t="shared" si="105"/>
        <v>0</v>
      </c>
      <c r="Y39" s="307">
        <f t="shared" si="105"/>
        <v>0</v>
      </c>
      <c r="Z39" s="307">
        <f t="shared" si="105"/>
        <v>96407.349999999991</v>
      </c>
      <c r="AA39" s="307">
        <f t="shared" si="105"/>
        <v>0</v>
      </c>
      <c r="AB39" s="307">
        <f t="shared" si="105"/>
        <v>5883.3080000000009</v>
      </c>
      <c r="AC39" s="307">
        <f t="shared" si="105"/>
        <v>4902.7566666666671</v>
      </c>
      <c r="AD39" s="307">
        <f t="shared" si="105"/>
        <v>0</v>
      </c>
      <c r="AE39" s="307">
        <f t="shared" si="105"/>
        <v>117.66614129746753</v>
      </c>
      <c r="AF39" s="307">
        <f t="shared" si="105"/>
        <v>23847.008407964131</v>
      </c>
      <c r="AG39" s="307">
        <f t="shared" si="105"/>
        <v>1176.6615999999999</v>
      </c>
      <c r="AH39" s="307">
        <f t="shared" si="105"/>
        <v>568.61999999999989</v>
      </c>
      <c r="AI39" s="307">
        <f t="shared" si="105"/>
        <v>126.36000000000001</v>
      </c>
      <c r="AJ39" s="307">
        <f t="shared" si="105"/>
        <v>235.33231999999998</v>
      </c>
      <c r="AK39" s="307">
        <f t="shared" si="105"/>
        <v>0</v>
      </c>
      <c r="AL39" s="307">
        <f t="shared" si="105"/>
        <v>0</v>
      </c>
      <c r="AM39" s="307">
        <f t="shared" si="105"/>
        <v>0</v>
      </c>
      <c r="AN39" s="307">
        <f t="shared" si="105"/>
        <v>337.5</v>
      </c>
      <c r="AO39" s="307">
        <f t="shared" si="105"/>
        <v>337.5</v>
      </c>
      <c r="AP39" s="307">
        <f t="shared" si="105"/>
        <v>0</v>
      </c>
      <c r="AQ39" s="307">
        <f t="shared" si="105"/>
        <v>337.5</v>
      </c>
      <c r="AR39" s="307">
        <f t="shared" si="105"/>
        <v>337.5</v>
      </c>
      <c r="AS39" s="307">
        <f t="shared" si="105"/>
        <v>0</v>
      </c>
      <c r="AT39" s="307">
        <f t="shared" si="105"/>
        <v>0</v>
      </c>
      <c r="AU39" s="307">
        <f t="shared" si="105"/>
        <v>150</v>
      </c>
      <c r="AV39" s="307">
        <f t="shared" si="105"/>
        <v>187.5</v>
      </c>
      <c r="AW39" s="307">
        <f t="shared" si="105"/>
        <v>81000</v>
      </c>
      <c r="AX39" s="307">
        <f t="shared" si="105"/>
        <v>0</v>
      </c>
      <c r="AY39" s="307">
        <f t="shared" si="105"/>
        <v>3.3479987382888794</v>
      </c>
      <c r="AZ39" s="307">
        <f t="shared" si="105"/>
        <v>1229808.6640039282</v>
      </c>
      <c r="BA39" s="307">
        <f t="shared" si="105"/>
        <v>640.5253458353792</v>
      </c>
      <c r="BC39" s="854">
        <f t="shared" ref="BC39:BQ39" si="106">BC11+BC18+BC36</f>
        <v>12696.928319999999</v>
      </c>
      <c r="BD39" s="854">
        <f t="shared" si="106"/>
        <v>133545.84406003577</v>
      </c>
      <c r="BE39" s="854">
        <f t="shared" si="106"/>
        <v>15426.12832</v>
      </c>
      <c r="BF39" s="854">
        <f t="shared" si="106"/>
        <v>32959.848319999997</v>
      </c>
      <c r="BG39" s="854">
        <f t="shared" si="106"/>
        <v>13289.594461297467</v>
      </c>
      <c r="BH39" s="854">
        <f t="shared" si="106"/>
        <v>13171.928319999999</v>
      </c>
      <c r="BI39" s="854">
        <f t="shared" si="106"/>
        <v>34094.798320000002</v>
      </c>
      <c r="BJ39" s="854">
        <f t="shared" si="106"/>
        <v>18802.234461297467</v>
      </c>
      <c r="BK39" s="854">
        <f t="shared" si="106"/>
        <v>18602.80832</v>
      </c>
      <c r="BL39" s="854">
        <f t="shared" si="106"/>
        <v>13321.928319999999</v>
      </c>
      <c r="BM39" s="854">
        <f t="shared" si="106"/>
        <v>18574.694461297469</v>
      </c>
      <c r="BN39" s="854">
        <f t="shared" si="106"/>
        <v>13846.928319999999</v>
      </c>
      <c r="BO39" s="854">
        <f t="shared" si="106"/>
        <v>13171.928319999999</v>
      </c>
      <c r="BP39" s="854">
        <f t="shared" si="106"/>
        <v>338808.66400392813</v>
      </c>
      <c r="BQ39" s="854">
        <f t="shared" si="106"/>
        <v>-891000</v>
      </c>
    </row>
    <row r="40" spans="1:69" hidden="1" x14ac:dyDescent="0.2">
      <c r="K40" s="309"/>
      <c r="L40" s="310"/>
      <c r="M40" s="311"/>
      <c r="N40" s="309">
        <f t="shared" ref="N40:S40" si="107">+N36+N18+N11</f>
        <v>348.19599999999997</v>
      </c>
      <c r="O40" s="309">
        <f t="shared" si="107"/>
        <v>3510</v>
      </c>
      <c r="P40" s="309">
        <f t="shared" si="107"/>
        <v>137.5</v>
      </c>
      <c r="Q40" s="309">
        <f t="shared" si="107"/>
        <v>1452.92</v>
      </c>
      <c r="R40" s="309">
        <f t="shared" si="107"/>
        <v>337.5</v>
      </c>
      <c r="S40" s="309">
        <f t="shared" si="107"/>
        <v>137.5</v>
      </c>
      <c r="W40" s="309"/>
      <c r="X40" s="309"/>
      <c r="Y40" s="309"/>
      <c r="AF40" s="309"/>
      <c r="AG40" s="309"/>
      <c r="AZ40" s="471"/>
    </row>
    <row r="41" spans="1:69" hidden="1" x14ac:dyDescent="0.2">
      <c r="E41" s="303"/>
      <c r="F41" s="303"/>
      <c r="G41" s="303"/>
      <c r="K41" s="312">
        <f>+K39*12</f>
        <v>75816</v>
      </c>
      <c r="W41" s="309"/>
    </row>
    <row r="42" spans="1:69" hidden="1" x14ac:dyDescent="0.2">
      <c r="E42" s="303"/>
      <c r="F42" s="303"/>
      <c r="G42" s="303"/>
      <c r="K42" s="309"/>
      <c r="O42" s="309">
        <f>+O39+P39+Q39+N39</f>
        <v>5448.616</v>
      </c>
      <c r="Q42" s="312">
        <f>(T39+U39+AX39)*12+AD39+X39+AG39+AN39+AP39+AQ39+AR39+AU39+AV39+(AE39*4)</f>
        <v>2997.3261651898702</v>
      </c>
      <c r="R42" s="312">
        <f>(R39+S39)*12+AT39+AS39+AY39+AW39+AO39</f>
        <v>87040.847998738289</v>
      </c>
      <c r="W42" s="309"/>
      <c r="AA42" s="855">
        <f>+Z39+AA39</f>
        <v>96407.349999999991</v>
      </c>
      <c r="AH42" s="312">
        <f>(AH39+AI39)+AJ39*12</f>
        <v>3518.9678399999998</v>
      </c>
    </row>
    <row r="43" spans="1:69" hidden="1" x14ac:dyDescent="0.2">
      <c r="E43" s="303"/>
      <c r="F43" s="303"/>
      <c r="G43" s="303"/>
      <c r="K43" s="309">
        <f>+K41+O43+Q42+R42+AA42+AH42</f>
        <v>331163.88400392816</v>
      </c>
      <c r="O43" s="855">
        <f>+O42*12</f>
        <v>65383.392</v>
      </c>
      <c r="W43" s="309"/>
    </row>
    <row r="44" spans="1:69" hidden="1" x14ac:dyDescent="0.2">
      <c r="E44" s="303"/>
      <c r="F44" s="303"/>
      <c r="G44" s="303"/>
      <c r="K44" s="309"/>
    </row>
    <row r="45" spans="1:69" hidden="1" x14ac:dyDescent="0.2">
      <c r="E45" s="303"/>
      <c r="F45" s="303"/>
      <c r="G45" s="303"/>
      <c r="K45" s="309"/>
    </row>
    <row r="46" spans="1:69" hidden="1" x14ac:dyDescent="0.2">
      <c r="E46" s="303"/>
      <c r="F46" s="303"/>
      <c r="G46" s="303"/>
      <c r="K46" s="309"/>
      <c r="X46" s="309"/>
    </row>
    <row r="47" spans="1:69" x14ac:dyDescent="0.2">
      <c r="K47" s="309"/>
      <c r="S47" s="309">
        <f>+R39+S39+T39+U39</f>
        <v>475</v>
      </c>
      <c r="AG47" s="309"/>
    </row>
    <row r="48" spans="1:69" x14ac:dyDescent="0.2">
      <c r="K48" s="856">
        <f>+K39*12</f>
        <v>75816</v>
      </c>
      <c r="Q48" s="856">
        <f>(N39+O39+P39+Q39)*12</f>
        <v>65383.392</v>
      </c>
      <c r="S48" s="856">
        <f>+S47*12+AO39</f>
        <v>6037.5</v>
      </c>
      <c r="W48" s="309"/>
      <c r="Z48" s="856">
        <f>+Z39</f>
        <v>96407.349999999991</v>
      </c>
      <c r="AG48" s="856">
        <f>+AG39+AW39*12+AN39+AP39+AQ39+AR39+AU39+AV39</f>
        <v>974526.66159999999</v>
      </c>
      <c r="AH48" s="856">
        <f>(AH39+AI39+AJ39)*12</f>
        <v>11163.747839999998</v>
      </c>
      <c r="AZ48" s="309">
        <f>+SUM(K48:AY48)</f>
        <v>1229334.6514399999</v>
      </c>
    </row>
    <row r="49" spans="6:52" x14ac:dyDescent="0.2">
      <c r="K49" s="309"/>
      <c r="AG49" s="309"/>
      <c r="AZ49" s="309">
        <f>+AZ39-AZ48</f>
        <v>474.01256392826326</v>
      </c>
    </row>
    <row r="50" spans="6:52" x14ac:dyDescent="0.2">
      <c r="K50" s="309"/>
    </row>
    <row r="51" spans="6:52" x14ac:dyDescent="0.2">
      <c r="F51" s="1040"/>
      <c r="G51" s="1040"/>
      <c r="K51" s="309"/>
    </row>
    <row r="52" spans="6:52" x14ac:dyDescent="0.2">
      <c r="F52" s="1040"/>
      <c r="G52" s="1040"/>
      <c r="K52" s="309"/>
    </row>
    <row r="53" spans="6:52" x14ac:dyDescent="0.2">
      <c r="F53" s="1040"/>
      <c r="G53" s="1040"/>
      <c r="K53" s="309"/>
    </row>
    <row r="54" spans="6:52" x14ac:dyDescent="0.2">
      <c r="F54" s="1040"/>
      <c r="G54" s="1040"/>
      <c r="K54" s="309"/>
    </row>
    <row r="55" spans="6:52" x14ac:dyDescent="0.2">
      <c r="F55" s="1040"/>
      <c r="G55" s="1040"/>
      <c r="K55" s="309"/>
    </row>
    <row r="56" spans="6:52" x14ac:dyDescent="0.2">
      <c r="F56" s="1040"/>
      <c r="G56" s="1040"/>
      <c r="K56" s="309"/>
    </row>
    <row r="57" spans="6:52" x14ac:dyDescent="0.2">
      <c r="F57" s="1040"/>
      <c r="G57" s="1040"/>
      <c r="K57" s="309"/>
    </row>
    <row r="58" spans="6:52" x14ac:dyDescent="0.2">
      <c r="F58" s="1040"/>
      <c r="G58" s="1040"/>
      <c r="K58" s="309"/>
    </row>
    <row r="59" spans="6:52" x14ac:dyDescent="0.2">
      <c r="F59" s="1040"/>
      <c r="G59" s="1040"/>
      <c r="K59" s="309"/>
    </row>
    <row r="60" spans="6:52" x14ac:dyDescent="0.2">
      <c r="F60" s="1040"/>
      <c r="G60" s="1040"/>
      <c r="K60" s="309"/>
    </row>
    <row r="61" spans="6:52" x14ac:dyDescent="0.2">
      <c r="F61" s="1040"/>
      <c r="G61" s="1040"/>
      <c r="K61" s="309"/>
    </row>
    <row r="62" spans="6:52" x14ac:dyDescent="0.2">
      <c r="F62" s="1040"/>
      <c r="G62" s="1040"/>
      <c r="K62" s="309"/>
    </row>
    <row r="63" spans="6:52" x14ac:dyDescent="0.2">
      <c r="F63" s="1040"/>
      <c r="G63" s="1040"/>
      <c r="K63" s="309"/>
    </row>
    <row r="64" spans="6:52" x14ac:dyDescent="0.2">
      <c r="F64" s="1040"/>
      <c r="G64" s="1040"/>
      <c r="K64" s="309"/>
    </row>
    <row r="65" spans="6:11" x14ac:dyDescent="0.2">
      <c r="F65" s="1040"/>
      <c r="G65" s="1040"/>
      <c r="K65" s="309"/>
    </row>
    <row r="66" spans="6:11" x14ac:dyDescent="0.2">
      <c r="F66" s="1040"/>
      <c r="G66" s="1040"/>
      <c r="K66" s="309"/>
    </row>
    <row r="67" spans="6:11" x14ac:dyDescent="0.2">
      <c r="F67" s="1040"/>
      <c r="G67" s="1040"/>
      <c r="K67" s="309"/>
    </row>
    <row r="68" spans="6:11" x14ac:dyDescent="0.2">
      <c r="F68" s="1040"/>
      <c r="G68" s="1040"/>
      <c r="K68" s="309"/>
    </row>
    <row r="69" spans="6:11" x14ac:dyDescent="0.2">
      <c r="F69" s="1040"/>
      <c r="G69" s="1040"/>
      <c r="K69" s="309"/>
    </row>
    <row r="70" spans="6:11" x14ac:dyDescent="0.2">
      <c r="K70" s="309"/>
    </row>
    <row r="71" spans="6:11" x14ac:dyDescent="0.2">
      <c r="K71" s="309"/>
    </row>
    <row r="72" spans="6:11" x14ac:dyDescent="0.2">
      <c r="K72" s="309"/>
    </row>
    <row r="73" spans="6:11" x14ac:dyDescent="0.2">
      <c r="K73" s="309"/>
    </row>
    <row r="74" spans="6:11" x14ac:dyDescent="0.2">
      <c r="K74" s="309"/>
    </row>
    <row r="75" spans="6:11" x14ac:dyDescent="0.2">
      <c r="K75" s="309"/>
    </row>
    <row r="76" spans="6:11" x14ac:dyDescent="0.2">
      <c r="K76" s="309"/>
    </row>
    <row r="77" spans="6:11" x14ac:dyDescent="0.2">
      <c r="K77" s="309"/>
    </row>
    <row r="78" spans="6:11" x14ac:dyDescent="0.2">
      <c r="K78" s="309"/>
    </row>
    <row r="79" spans="6:11" x14ac:dyDescent="0.2">
      <c r="K79" s="309"/>
    </row>
    <row r="80" spans="6:11" x14ac:dyDescent="0.2">
      <c r="K80" s="309"/>
    </row>
    <row r="81" spans="11:11" x14ac:dyDescent="0.2">
      <c r="K81" s="309"/>
    </row>
    <row r="82" spans="11:11" x14ac:dyDescent="0.2">
      <c r="K82" s="309"/>
    </row>
    <row r="83" spans="11:11" x14ac:dyDescent="0.2">
      <c r="K83" s="309"/>
    </row>
    <row r="84" spans="11:11" x14ac:dyDescent="0.2">
      <c r="K84" s="309"/>
    </row>
    <row r="85" spans="11:11" x14ac:dyDescent="0.2">
      <c r="K85" s="309"/>
    </row>
    <row r="86" spans="11:11" x14ac:dyDescent="0.2">
      <c r="K86" s="309"/>
    </row>
    <row r="87" spans="11:11" x14ac:dyDescent="0.2">
      <c r="K87" s="309"/>
    </row>
    <row r="88" spans="11:11" x14ac:dyDescent="0.2">
      <c r="K88" s="309"/>
    </row>
    <row r="89" spans="11:11" x14ac:dyDescent="0.2">
      <c r="K89" s="309"/>
    </row>
    <row r="90" spans="11:11" x14ac:dyDescent="0.2">
      <c r="K90" s="309"/>
    </row>
    <row r="91" spans="11:11" x14ac:dyDescent="0.2">
      <c r="K91" s="309"/>
    </row>
    <row r="92" spans="11:11" x14ac:dyDescent="0.2">
      <c r="K92" s="309"/>
    </row>
    <row r="93" spans="11:11" x14ac:dyDescent="0.2">
      <c r="K93" s="309"/>
    </row>
    <row r="94" spans="11:11" x14ac:dyDescent="0.2">
      <c r="K94" s="309"/>
    </row>
    <row r="95" spans="11:11" x14ac:dyDescent="0.2">
      <c r="K95" s="309"/>
    </row>
    <row r="96" spans="11:11" x14ac:dyDescent="0.2">
      <c r="K96" s="309"/>
    </row>
    <row r="97" spans="11:11" x14ac:dyDescent="0.2">
      <c r="K97" s="309"/>
    </row>
    <row r="98" spans="11:11" x14ac:dyDescent="0.2">
      <c r="K98" s="309"/>
    </row>
    <row r="99" spans="11:11" x14ac:dyDescent="0.2">
      <c r="K99" s="309"/>
    </row>
    <row r="100" spans="11:11" x14ac:dyDescent="0.2">
      <c r="K100" s="309"/>
    </row>
    <row r="101" spans="11:11" x14ac:dyDescent="0.2">
      <c r="K101" s="309"/>
    </row>
    <row r="102" spans="11:11" x14ac:dyDescent="0.2">
      <c r="K102" s="309"/>
    </row>
    <row r="103" spans="11:11" x14ac:dyDescent="0.2">
      <c r="K103" s="309"/>
    </row>
    <row r="104" spans="11:11" x14ac:dyDescent="0.2">
      <c r="K104" s="309"/>
    </row>
    <row r="105" spans="11:11" x14ac:dyDescent="0.2">
      <c r="K105" s="309"/>
    </row>
    <row r="106" spans="11:11" x14ac:dyDescent="0.2">
      <c r="K106" s="309"/>
    </row>
    <row r="107" spans="11:11" x14ac:dyDescent="0.2">
      <c r="K107" s="309"/>
    </row>
    <row r="108" spans="11:11" x14ac:dyDescent="0.2">
      <c r="K108" s="309"/>
    </row>
    <row r="109" spans="11:11" x14ac:dyDescent="0.2">
      <c r="K109" s="309"/>
    </row>
    <row r="110" spans="11:11" x14ac:dyDescent="0.2">
      <c r="K110" s="309"/>
    </row>
    <row r="111" spans="11:11" x14ac:dyDescent="0.2">
      <c r="K111" s="309"/>
    </row>
    <row r="112" spans="11:11" x14ac:dyDescent="0.2">
      <c r="K112" s="309"/>
    </row>
    <row r="113" spans="11:11" x14ac:dyDescent="0.2">
      <c r="K113" s="309"/>
    </row>
    <row r="114" spans="11:11" x14ac:dyDescent="0.2">
      <c r="K114" s="309"/>
    </row>
    <row r="115" spans="11:11" x14ac:dyDescent="0.2">
      <c r="K115" s="309"/>
    </row>
    <row r="116" spans="11:11" x14ac:dyDescent="0.2">
      <c r="K116" s="309"/>
    </row>
    <row r="117" spans="11:11" x14ac:dyDescent="0.2">
      <c r="K117" s="309"/>
    </row>
    <row r="118" spans="11:11" x14ac:dyDescent="0.2">
      <c r="K118" s="309"/>
    </row>
    <row r="119" spans="11:11" x14ac:dyDescent="0.2">
      <c r="K119" s="309"/>
    </row>
    <row r="120" spans="11:11" x14ac:dyDescent="0.2">
      <c r="K120" s="309"/>
    </row>
    <row r="121" spans="11:11" x14ac:dyDescent="0.2">
      <c r="K121" s="309"/>
    </row>
    <row r="122" spans="11:11" x14ac:dyDescent="0.2">
      <c r="K122" s="309"/>
    </row>
    <row r="123" spans="11:11" x14ac:dyDescent="0.2">
      <c r="K123" s="309"/>
    </row>
    <row r="124" spans="11:11" x14ac:dyDescent="0.2">
      <c r="K124" s="309"/>
    </row>
    <row r="125" spans="11:11" x14ac:dyDescent="0.2">
      <c r="K125" s="309"/>
    </row>
    <row r="126" spans="11:11" x14ac:dyDescent="0.2">
      <c r="K126" s="309"/>
    </row>
    <row r="127" spans="11:11" x14ac:dyDescent="0.2">
      <c r="K127" s="309"/>
    </row>
    <row r="128" spans="11:11" x14ac:dyDescent="0.2">
      <c r="K128" s="309"/>
    </row>
    <row r="129" spans="11:11" x14ac:dyDescent="0.2">
      <c r="K129" s="309"/>
    </row>
    <row r="130" spans="11:11" x14ac:dyDescent="0.2">
      <c r="K130" s="309"/>
    </row>
    <row r="131" spans="11:11" x14ac:dyDescent="0.2">
      <c r="K131" s="309"/>
    </row>
    <row r="132" spans="11:11" x14ac:dyDescent="0.2">
      <c r="K132" s="309"/>
    </row>
    <row r="133" spans="11:11" x14ac:dyDescent="0.2">
      <c r="K133" s="309"/>
    </row>
    <row r="134" spans="11:11" x14ac:dyDescent="0.2">
      <c r="K134" s="309"/>
    </row>
    <row r="135" spans="11:11" x14ac:dyDescent="0.2">
      <c r="K135" s="309"/>
    </row>
    <row r="136" spans="11:11" x14ac:dyDescent="0.2">
      <c r="K136" s="309"/>
    </row>
    <row r="137" spans="11:11" x14ac:dyDescent="0.2">
      <c r="K137" s="309"/>
    </row>
    <row r="138" spans="11:11" x14ac:dyDescent="0.2">
      <c r="K138" s="309"/>
    </row>
    <row r="139" spans="11:11" x14ac:dyDescent="0.2">
      <c r="K139" s="309"/>
    </row>
    <row r="140" spans="11:11" x14ac:dyDescent="0.2">
      <c r="K140" s="309"/>
    </row>
    <row r="141" spans="11:11" x14ac:dyDescent="0.2">
      <c r="K141" s="309"/>
    </row>
    <row r="142" spans="11:11" x14ac:dyDescent="0.2">
      <c r="K142" s="309"/>
    </row>
    <row r="143" spans="11:11" x14ac:dyDescent="0.2">
      <c r="K143" s="309"/>
    </row>
    <row r="144" spans="11:11" x14ac:dyDescent="0.2">
      <c r="K144" s="309"/>
    </row>
    <row r="145" spans="11:11" x14ac:dyDescent="0.2">
      <c r="K145" s="309"/>
    </row>
    <row r="146" spans="11:11" x14ac:dyDescent="0.2">
      <c r="K146" s="309"/>
    </row>
    <row r="147" spans="11:11" x14ac:dyDescent="0.2">
      <c r="K147" s="309"/>
    </row>
    <row r="148" spans="11:11" x14ac:dyDescent="0.2">
      <c r="K148" s="309"/>
    </row>
    <row r="149" spans="11:11" x14ac:dyDescent="0.2">
      <c r="K149" s="309"/>
    </row>
    <row r="150" spans="11:11" x14ac:dyDescent="0.2">
      <c r="K150" s="309"/>
    </row>
    <row r="151" spans="11:11" x14ac:dyDescent="0.2">
      <c r="K151" s="309"/>
    </row>
    <row r="152" spans="11:11" x14ac:dyDescent="0.2">
      <c r="K152" s="309"/>
    </row>
    <row r="153" spans="11:11" x14ac:dyDescent="0.2">
      <c r="K153" s="309"/>
    </row>
    <row r="154" spans="11:11" x14ac:dyDescent="0.2">
      <c r="K154" s="309"/>
    </row>
    <row r="155" spans="11:11" x14ac:dyDescent="0.2">
      <c r="K155" s="309"/>
    </row>
    <row r="156" spans="11:11" x14ac:dyDescent="0.2">
      <c r="K156" s="309"/>
    </row>
    <row r="157" spans="11:11" x14ac:dyDescent="0.2">
      <c r="K157" s="309"/>
    </row>
    <row r="158" spans="11:11" x14ac:dyDescent="0.2">
      <c r="K158" s="309"/>
    </row>
    <row r="159" spans="11:11" x14ac:dyDescent="0.2">
      <c r="K159" s="309"/>
    </row>
    <row r="160" spans="11:11" x14ac:dyDescent="0.2">
      <c r="K160" s="309"/>
    </row>
    <row r="161" spans="11:11" x14ac:dyDescent="0.2">
      <c r="K161" s="309"/>
    </row>
    <row r="162" spans="11:11" x14ac:dyDescent="0.2">
      <c r="K162" s="309"/>
    </row>
    <row r="163" spans="11:11" x14ac:dyDescent="0.2">
      <c r="K163" s="309"/>
    </row>
    <row r="164" spans="11:11" x14ac:dyDescent="0.2">
      <c r="K164" s="309"/>
    </row>
    <row r="165" spans="11:11" x14ac:dyDescent="0.2">
      <c r="K165" s="309"/>
    </row>
    <row r="166" spans="11:11" x14ac:dyDescent="0.2">
      <c r="K166" s="309"/>
    </row>
    <row r="167" spans="11:11" x14ac:dyDescent="0.2">
      <c r="K167" s="309"/>
    </row>
    <row r="168" spans="11:11" x14ac:dyDescent="0.2">
      <c r="K168" s="309"/>
    </row>
    <row r="169" spans="11:11" x14ac:dyDescent="0.2">
      <c r="K169" s="309"/>
    </row>
    <row r="170" spans="11:11" x14ac:dyDescent="0.2">
      <c r="K170" s="309"/>
    </row>
    <row r="171" spans="11:11" x14ac:dyDescent="0.2">
      <c r="K171" s="309"/>
    </row>
    <row r="172" spans="11:11" x14ac:dyDescent="0.2">
      <c r="K172" s="309"/>
    </row>
    <row r="173" spans="11:11" x14ac:dyDescent="0.2">
      <c r="K173" s="309"/>
    </row>
    <row r="174" spans="11:11" x14ac:dyDescent="0.2">
      <c r="K174" s="309"/>
    </row>
    <row r="175" spans="11:11" x14ac:dyDescent="0.2">
      <c r="K175" s="309"/>
    </row>
    <row r="176" spans="11:11" x14ac:dyDescent="0.2">
      <c r="K176" s="309"/>
    </row>
    <row r="177" spans="11:11" x14ac:dyDescent="0.2">
      <c r="K177" s="309"/>
    </row>
    <row r="178" spans="11:11" x14ac:dyDescent="0.2">
      <c r="K178" s="309"/>
    </row>
    <row r="179" spans="11:11" x14ac:dyDescent="0.2">
      <c r="K179" s="309"/>
    </row>
    <row r="180" spans="11:11" x14ac:dyDescent="0.2">
      <c r="K180" s="309"/>
    </row>
    <row r="181" spans="11:11" x14ac:dyDescent="0.2">
      <c r="K181" s="309"/>
    </row>
    <row r="182" spans="11:11" x14ac:dyDescent="0.2">
      <c r="K182" s="309"/>
    </row>
    <row r="183" spans="11:11" x14ac:dyDescent="0.2">
      <c r="K183" s="309"/>
    </row>
    <row r="184" spans="11:11" x14ac:dyDescent="0.2">
      <c r="K184" s="309"/>
    </row>
    <row r="185" spans="11:11" x14ac:dyDescent="0.2">
      <c r="K185" s="309"/>
    </row>
    <row r="186" spans="11:11" x14ac:dyDescent="0.2">
      <c r="K186" s="309"/>
    </row>
    <row r="187" spans="11:11" x14ac:dyDescent="0.2">
      <c r="K187" s="309"/>
    </row>
    <row r="188" spans="11:11" x14ac:dyDescent="0.2">
      <c r="K188" s="309"/>
    </row>
    <row r="189" spans="11:11" x14ac:dyDescent="0.2">
      <c r="K189" s="309"/>
    </row>
    <row r="190" spans="11:11" x14ac:dyDescent="0.2">
      <c r="K190" s="309"/>
    </row>
    <row r="191" spans="11:11" x14ac:dyDescent="0.2">
      <c r="K191" s="309"/>
    </row>
    <row r="192" spans="11:11" x14ac:dyDescent="0.2">
      <c r="K192" s="309"/>
    </row>
    <row r="193" spans="11:11" x14ac:dyDescent="0.2">
      <c r="K193" s="309"/>
    </row>
    <row r="194" spans="11:11" x14ac:dyDescent="0.2">
      <c r="K194" s="309"/>
    </row>
    <row r="195" spans="11:11" x14ac:dyDescent="0.2">
      <c r="K195" s="309"/>
    </row>
    <row r="196" spans="11:11" x14ac:dyDescent="0.2">
      <c r="K196" s="309"/>
    </row>
    <row r="197" spans="11:11" x14ac:dyDescent="0.2">
      <c r="K197" s="309"/>
    </row>
    <row r="198" spans="11:11" x14ac:dyDescent="0.2">
      <c r="K198" s="309"/>
    </row>
    <row r="199" spans="11:11" x14ac:dyDescent="0.2">
      <c r="K199" s="309"/>
    </row>
    <row r="200" spans="11:11" x14ac:dyDescent="0.2">
      <c r="K200" s="309"/>
    </row>
    <row r="201" spans="11:11" x14ac:dyDescent="0.2">
      <c r="K201" s="309"/>
    </row>
    <row r="202" spans="11:11" x14ac:dyDescent="0.2">
      <c r="K202" s="309"/>
    </row>
    <row r="203" spans="11:11" x14ac:dyDescent="0.2">
      <c r="K203" s="309"/>
    </row>
    <row r="204" spans="11:11" x14ac:dyDescent="0.2">
      <c r="K204" s="309"/>
    </row>
    <row r="205" spans="11:11" x14ac:dyDescent="0.2">
      <c r="K205" s="309"/>
    </row>
    <row r="206" spans="11:11" x14ac:dyDescent="0.2">
      <c r="K206" s="309"/>
    </row>
    <row r="207" spans="11:11" x14ac:dyDescent="0.2">
      <c r="K207" s="309"/>
    </row>
    <row r="208" spans="11:11" x14ac:dyDescent="0.2">
      <c r="K208" s="309"/>
    </row>
    <row r="209" spans="11:11" x14ac:dyDescent="0.2">
      <c r="K209" s="309"/>
    </row>
    <row r="210" spans="11:11" x14ac:dyDescent="0.2">
      <c r="K210" s="309"/>
    </row>
    <row r="211" spans="11:11" x14ac:dyDescent="0.2">
      <c r="K211" s="309"/>
    </row>
    <row r="212" spans="11:11" x14ac:dyDescent="0.2">
      <c r="K212" s="309"/>
    </row>
    <row r="213" spans="11:11" x14ac:dyDescent="0.2">
      <c r="K213" s="309"/>
    </row>
    <row r="214" spans="11:11" x14ac:dyDescent="0.2">
      <c r="K214" s="309"/>
    </row>
    <row r="215" spans="11:11" x14ac:dyDescent="0.2">
      <c r="K215" s="309"/>
    </row>
    <row r="216" spans="11:11" x14ac:dyDescent="0.2">
      <c r="K216" s="309"/>
    </row>
    <row r="217" spans="11:11" x14ac:dyDescent="0.2">
      <c r="K217" s="309"/>
    </row>
    <row r="218" spans="11:11" x14ac:dyDescent="0.2">
      <c r="K218" s="309"/>
    </row>
    <row r="219" spans="11:11" x14ac:dyDescent="0.2">
      <c r="K219" s="309"/>
    </row>
    <row r="220" spans="11:11" x14ac:dyDescent="0.2">
      <c r="K220" s="309"/>
    </row>
    <row r="221" spans="11:11" x14ac:dyDescent="0.2">
      <c r="K221" s="309"/>
    </row>
    <row r="222" spans="11:11" x14ac:dyDescent="0.2">
      <c r="K222" s="309"/>
    </row>
    <row r="223" spans="11:11" x14ac:dyDescent="0.2">
      <c r="K223" s="309"/>
    </row>
    <row r="224" spans="11:11" x14ac:dyDescent="0.2">
      <c r="K224" s="309"/>
    </row>
    <row r="225" spans="11:11" x14ac:dyDescent="0.2">
      <c r="K225" s="309"/>
    </row>
    <row r="226" spans="11:11" x14ac:dyDescent="0.2">
      <c r="K226" s="309"/>
    </row>
    <row r="227" spans="11:11" x14ac:dyDescent="0.2">
      <c r="K227" s="309"/>
    </row>
    <row r="228" spans="11:11" x14ac:dyDescent="0.2">
      <c r="K228" s="309"/>
    </row>
    <row r="229" spans="11:11" x14ac:dyDescent="0.2">
      <c r="K229" s="309"/>
    </row>
    <row r="230" spans="11:11" x14ac:dyDescent="0.2">
      <c r="K230" s="309"/>
    </row>
    <row r="231" spans="11:11" x14ac:dyDescent="0.2">
      <c r="K231" s="309"/>
    </row>
    <row r="232" spans="11:11" x14ac:dyDescent="0.2">
      <c r="K232" s="309"/>
    </row>
    <row r="233" spans="11:11" x14ac:dyDescent="0.2">
      <c r="K233" s="309"/>
    </row>
    <row r="234" spans="11:11" x14ac:dyDescent="0.2">
      <c r="K234" s="309"/>
    </row>
    <row r="235" spans="11:11" x14ac:dyDescent="0.2">
      <c r="K235" s="309"/>
    </row>
    <row r="236" spans="11:11" x14ac:dyDescent="0.2">
      <c r="K236" s="309"/>
    </row>
    <row r="237" spans="11:11" x14ac:dyDescent="0.2">
      <c r="K237" s="309"/>
    </row>
    <row r="238" spans="11:11" x14ac:dyDescent="0.2">
      <c r="K238" s="309"/>
    </row>
    <row r="239" spans="11:11" x14ac:dyDescent="0.2">
      <c r="K239" s="309"/>
    </row>
    <row r="240" spans="11:11" x14ac:dyDescent="0.2">
      <c r="K240" s="309"/>
    </row>
    <row r="241" spans="11:11" x14ac:dyDescent="0.2">
      <c r="K241" s="309"/>
    </row>
    <row r="242" spans="11:11" x14ac:dyDescent="0.2">
      <c r="K242" s="309"/>
    </row>
    <row r="243" spans="11:11" x14ac:dyDescent="0.2">
      <c r="K243" s="309"/>
    </row>
    <row r="244" spans="11:11" x14ac:dyDescent="0.2">
      <c r="K244" s="309"/>
    </row>
    <row r="245" spans="11:11" x14ac:dyDescent="0.2">
      <c r="K245" s="309"/>
    </row>
    <row r="246" spans="11:11" x14ac:dyDescent="0.2">
      <c r="K246" s="309"/>
    </row>
    <row r="247" spans="11:11" x14ac:dyDescent="0.2">
      <c r="K247" s="309"/>
    </row>
    <row r="248" spans="11:11" x14ac:dyDescent="0.2">
      <c r="K248" s="309"/>
    </row>
    <row r="249" spans="11:11" x14ac:dyDescent="0.2">
      <c r="K249" s="309"/>
    </row>
    <row r="250" spans="11:11" x14ac:dyDescent="0.2">
      <c r="K250" s="309"/>
    </row>
    <row r="251" spans="11:11" x14ac:dyDescent="0.2">
      <c r="K251" s="309"/>
    </row>
    <row r="252" spans="11:11" x14ac:dyDescent="0.2">
      <c r="K252" s="309"/>
    </row>
    <row r="253" spans="11:11" x14ac:dyDescent="0.2">
      <c r="K253" s="309"/>
    </row>
    <row r="254" spans="11:11" x14ac:dyDescent="0.2">
      <c r="K254" s="309"/>
    </row>
    <row r="255" spans="11:11" x14ac:dyDescent="0.2">
      <c r="K255" s="309"/>
    </row>
    <row r="256" spans="11:11" x14ac:dyDescent="0.2">
      <c r="K256" s="309"/>
    </row>
    <row r="257" spans="11:11" x14ac:dyDescent="0.2">
      <c r="K257" s="309"/>
    </row>
    <row r="258" spans="11:11" x14ac:dyDescent="0.2">
      <c r="K258" s="309"/>
    </row>
    <row r="259" spans="11:11" x14ac:dyDescent="0.2">
      <c r="K259" s="309"/>
    </row>
    <row r="260" spans="11:11" x14ac:dyDescent="0.2">
      <c r="K260" s="309"/>
    </row>
    <row r="261" spans="11:11" x14ac:dyDescent="0.2">
      <c r="K261" s="309"/>
    </row>
    <row r="262" spans="11:11" x14ac:dyDescent="0.2">
      <c r="K262" s="309"/>
    </row>
    <row r="263" spans="11:11" x14ac:dyDescent="0.2">
      <c r="K263" s="309"/>
    </row>
    <row r="264" spans="11:11" x14ac:dyDescent="0.2">
      <c r="K264" s="309"/>
    </row>
    <row r="265" spans="11:11" x14ac:dyDescent="0.2">
      <c r="K265" s="309"/>
    </row>
    <row r="266" spans="11:11" x14ac:dyDescent="0.2">
      <c r="K266" s="309"/>
    </row>
    <row r="267" spans="11:11" x14ac:dyDescent="0.2">
      <c r="K267" s="309"/>
    </row>
    <row r="268" spans="11:11" x14ac:dyDescent="0.2">
      <c r="K268" s="309"/>
    </row>
    <row r="269" spans="11:11" x14ac:dyDescent="0.2">
      <c r="K269" s="309"/>
    </row>
    <row r="270" spans="11:11" x14ac:dyDescent="0.2">
      <c r="K270" s="309"/>
    </row>
    <row r="271" spans="11:11" x14ac:dyDescent="0.2">
      <c r="K271" s="309"/>
    </row>
    <row r="272" spans="11:11" x14ac:dyDescent="0.2">
      <c r="K272" s="309"/>
    </row>
    <row r="273" spans="11:11" x14ac:dyDescent="0.2">
      <c r="K273" s="309"/>
    </row>
    <row r="274" spans="11:11" x14ac:dyDescent="0.2">
      <c r="K274" s="309"/>
    </row>
    <row r="275" spans="11:11" x14ac:dyDescent="0.2">
      <c r="K275" s="309"/>
    </row>
    <row r="276" spans="11:11" x14ac:dyDescent="0.2">
      <c r="K276" s="309"/>
    </row>
    <row r="277" spans="11:11" x14ac:dyDescent="0.2">
      <c r="K277" s="309"/>
    </row>
    <row r="278" spans="11:11" x14ac:dyDescent="0.2">
      <c r="K278" s="309"/>
    </row>
    <row r="279" spans="11:11" x14ac:dyDescent="0.2">
      <c r="K279" s="309"/>
    </row>
    <row r="280" spans="11:11" x14ac:dyDescent="0.2">
      <c r="K280" s="309"/>
    </row>
    <row r="281" spans="11:11" x14ac:dyDescent="0.2">
      <c r="K281" s="309"/>
    </row>
    <row r="282" spans="11:11" x14ac:dyDescent="0.2">
      <c r="K282" s="309"/>
    </row>
    <row r="283" spans="11:11" x14ac:dyDescent="0.2">
      <c r="K283" s="309"/>
    </row>
    <row r="284" spans="11:11" x14ac:dyDescent="0.2">
      <c r="K284" s="309"/>
    </row>
    <row r="285" spans="11:11" x14ac:dyDescent="0.2">
      <c r="K285" s="309"/>
    </row>
    <row r="286" spans="11:11" x14ac:dyDescent="0.2">
      <c r="K286" s="309"/>
    </row>
    <row r="287" spans="11:11" x14ac:dyDescent="0.2">
      <c r="K287" s="309"/>
    </row>
    <row r="288" spans="11:11" x14ac:dyDescent="0.2">
      <c r="K288" s="309"/>
    </row>
    <row r="289" spans="11:11" x14ac:dyDescent="0.2">
      <c r="K289" s="309"/>
    </row>
    <row r="290" spans="11:11" x14ac:dyDescent="0.2">
      <c r="K290" s="309"/>
    </row>
    <row r="291" spans="11:11" x14ac:dyDescent="0.2">
      <c r="K291" s="309"/>
    </row>
    <row r="292" spans="11:11" x14ac:dyDescent="0.2">
      <c r="K292" s="309"/>
    </row>
    <row r="293" spans="11:11" x14ac:dyDescent="0.2">
      <c r="K293" s="309"/>
    </row>
    <row r="294" spans="11:11" x14ac:dyDescent="0.2">
      <c r="K294" s="309"/>
    </row>
    <row r="295" spans="11:11" x14ac:dyDescent="0.2">
      <c r="K295" s="309"/>
    </row>
    <row r="296" spans="11:11" x14ac:dyDescent="0.2">
      <c r="K296" s="309"/>
    </row>
    <row r="297" spans="11:11" x14ac:dyDescent="0.2">
      <c r="K297" s="309"/>
    </row>
    <row r="298" spans="11:11" x14ac:dyDescent="0.2">
      <c r="K298" s="309"/>
    </row>
    <row r="299" spans="11:11" x14ac:dyDescent="0.2">
      <c r="K299" s="309"/>
    </row>
    <row r="300" spans="11:11" x14ac:dyDescent="0.2">
      <c r="K300" s="309"/>
    </row>
    <row r="301" spans="11:11" x14ac:dyDescent="0.2">
      <c r="K301" s="309"/>
    </row>
    <row r="302" spans="11:11" x14ac:dyDescent="0.2">
      <c r="K302" s="309"/>
    </row>
    <row r="303" spans="11:11" x14ac:dyDescent="0.2">
      <c r="K303" s="309"/>
    </row>
    <row r="304" spans="11:11" x14ac:dyDescent="0.2">
      <c r="K304" s="309"/>
    </row>
    <row r="305" spans="11:11" x14ac:dyDescent="0.2">
      <c r="K305" s="309"/>
    </row>
    <row r="306" spans="11:11" x14ac:dyDescent="0.2">
      <c r="K306" s="309"/>
    </row>
    <row r="307" spans="11:11" x14ac:dyDescent="0.2">
      <c r="K307" s="309"/>
    </row>
    <row r="308" spans="11:11" x14ac:dyDescent="0.2">
      <c r="K308" s="309"/>
    </row>
    <row r="309" spans="11:11" x14ac:dyDescent="0.2">
      <c r="K309" s="309"/>
    </row>
    <row r="310" spans="11:11" x14ac:dyDescent="0.2">
      <c r="K310" s="309"/>
    </row>
    <row r="311" spans="11:11" x14ac:dyDescent="0.2">
      <c r="K311" s="309"/>
    </row>
    <row r="312" spans="11:11" x14ac:dyDescent="0.2">
      <c r="K312" s="309"/>
    </row>
    <row r="313" spans="11:11" x14ac:dyDescent="0.2">
      <c r="K313" s="309"/>
    </row>
    <row r="314" spans="11:11" x14ac:dyDescent="0.2">
      <c r="K314" s="309"/>
    </row>
    <row r="315" spans="11:11" x14ac:dyDescent="0.2">
      <c r="K315" s="309"/>
    </row>
    <row r="316" spans="11:11" x14ac:dyDescent="0.2">
      <c r="K316" s="309"/>
    </row>
    <row r="317" spans="11:11" x14ac:dyDescent="0.2">
      <c r="K317" s="309"/>
    </row>
    <row r="318" spans="11:11" x14ac:dyDescent="0.2">
      <c r="K318" s="309"/>
    </row>
    <row r="319" spans="11:11" x14ac:dyDescent="0.2">
      <c r="K319" s="309"/>
    </row>
    <row r="320" spans="11:11" x14ac:dyDescent="0.2">
      <c r="K320" s="309"/>
    </row>
    <row r="321" spans="11:11" x14ac:dyDescent="0.2">
      <c r="K321" s="309"/>
    </row>
    <row r="322" spans="11:11" x14ac:dyDescent="0.2">
      <c r="K322" s="309"/>
    </row>
    <row r="323" spans="11:11" x14ac:dyDescent="0.2">
      <c r="K323" s="309"/>
    </row>
    <row r="324" spans="11:11" x14ac:dyDescent="0.2">
      <c r="K324" s="309"/>
    </row>
    <row r="325" spans="11:11" x14ac:dyDescent="0.2">
      <c r="K325" s="309"/>
    </row>
    <row r="326" spans="11:11" x14ac:dyDescent="0.2">
      <c r="K326" s="309"/>
    </row>
    <row r="327" spans="11:11" x14ac:dyDescent="0.2">
      <c r="K327" s="309"/>
    </row>
    <row r="328" spans="11:11" x14ac:dyDescent="0.2">
      <c r="K328" s="309"/>
    </row>
    <row r="329" spans="11:11" x14ac:dyDescent="0.2">
      <c r="K329" s="309"/>
    </row>
    <row r="330" spans="11:11" x14ac:dyDescent="0.2">
      <c r="K330" s="309"/>
    </row>
    <row r="331" spans="11:11" x14ac:dyDescent="0.2">
      <c r="K331" s="309"/>
    </row>
    <row r="332" spans="11:11" x14ac:dyDescent="0.2">
      <c r="K332" s="309"/>
    </row>
    <row r="333" spans="11:11" x14ac:dyDescent="0.2">
      <c r="K333" s="309"/>
    </row>
    <row r="334" spans="11:11" x14ac:dyDescent="0.2">
      <c r="K334" s="309"/>
    </row>
    <row r="335" spans="11:11" x14ac:dyDescent="0.2">
      <c r="K335" s="309"/>
    </row>
    <row r="336" spans="11:11" x14ac:dyDescent="0.2">
      <c r="K336" s="309"/>
    </row>
    <row r="337" spans="11:11" x14ac:dyDescent="0.2">
      <c r="K337" s="309"/>
    </row>
    <row r="338" spans="11:11" x14ac:dyDescent="0.2">
      <c r="K338" s="309"/>
    </row>
    <row r="339" spans="11:11" x14ac:dyDescent="0.2">
      <c r="K339" s="309"/>
    </row>
    <row r="340" spans="11:11" x14ac:dyDescent="0.2">
      <c r="K340" s="309"/>
    </row>
    <row r="341" spans="11:11" x14ac:dyDescent="0.2">
      <c r="K341" s="309"/>
    </row>
    <row r="342" spans="11:11" x14ac:dyDescent="0.2">
      <c r="K342" s="309"/>
    </row>
    <row r="343" spans="11:11" x14ac:dyDescent="0.2">
      <c r="K343" s="309"/>
    </row>
    <row r="344" spans="11:11" x14ac:dyDescent="0.2">
      <c r="K344" s="309"/>
    </row>
    <row r="345" spans="11:11" x14ac:dyDescent="0.2">
      <c r="K345" s="309"/>
    </row>
    <row r="346" spans="11:11" x14ac:dyDescent="0.2">
      <c r="K346" s="309"/>
    </row>
    <row r="347" spans="11:11" x14ac:dyDescent="0.2">
      <c r="K347" s="309"/>
    </row>
    <row r="348" spans="11:11" x14ac:dyDescent="0.2">
      <c r="K348" s="309"/>
    </row>
    <row r="349" spans="11:11" x14ac:dyDescent="0.2">
      <c r="K349" s="309"/>
    </row>
    <row r="350" spans="11:11" x14ac:dyDescent="0.2">
      <c r="K350" s="309"/>
    </row>
    <row r="351" spans="11:11" x14ac:dyDescent="0.2">
      <c r="K351" s="309"/>
    </row>
    <row r="352" spans="11:11" x14ac:dyDescent="0.2">
      <c r="K352" s="309"/>
    </row>
    <row r="353" spans="11:11" x14ac:dyDescent="0.2">
      <c r="K353" s="309"/>
    </row>
    <row r="354" spans="11:11" x14ac:dyDescent="0.2">
      <c r="K354" s="309"/>
    </row>
    <row r="355" spans="11:11" x14ac:dyDescent="0.2">
      <c r="K355" s="309"/>
    </row>
    <row r="356" spans="11:11" x14ac:dyDescent="0.2">
      <c r="K356" s="309"/>
    </row>
    <row r="357" spans="11:11" x14ac:dyDescent="0.2">
      <c r="K357" s="309"/>
    </row>
    <row r="358" spans="11:11" x14ac:dyDescent="0.2">
      <c r="K358" s="309"/>
    </row>
    <row r="359" spans="11:11" x14ac:dyDescent="0.2">
      <c r="K359" s="309"/>
    </row>
    <row r="360" spans="11:11" x14ac:dyDescent="0.2">
      <c r="K360" s="309"/>
    </row>
    <row r="361" spans="11:11" x14ac:dyDescent="0.2">
      <c r="K361" s="309"/>
    </row>
    <row r="362" spans="11:11" x14ac:dyDescent="0.2">
      <c r="K362" s="309"/>
    </row>
    <row r="363" spans="11:11" x14ac:dyDescent="0.2">
      <c r="K363" s="309"/>
    </row>
    <row r="364" spans="11:11" x14ac:dyDescent="0.2">
      <c r="K364" s="309"/>
    </row>
    <row r="365" spans="11:11" x14ac:dyDescent="0.2">
      <c r="K365" s="309"/>
    </row>
    <row r="366" spans="11:11" x14ac:dyDescent="0.2">
      <c r="K366" s="309"/>
    </row>
    <row r="367" spans="11:11" x14ac:dyDescent="0.2">
      <c r="K367" s="309"/>
    </row>
    <row r="368" spans="11:11" x14ac:dyDescent="0.2">
      <c r="K368" s="309"/>
    </row>
    <row r="369" spans="11:11" x14ac:dyDescent="0.2">
      <c r="K369" s="309"/>
    </row>
    <row r="370" spans="11:11" x14ac:dyDescent="0.2">
      <c r="K370" s="309"/>
    </row>
    <row r="371" spans="11:11" x14ac:dyDescent="0.2">
      <c r="K371" s="309"/>
    </row>
    <row r="372" spans="11:11" x14ac:dyDescent="0.2">
      <c r="K372" s="309"/>
    </row>
    <row r="373" spans="11:11" x14ac:dyDescent="0.2">
      <c r="K373" s="309"/>
    </row>
    <row r="374" spans="11:11" x14ac:dyDescent="0.2">
      <c r="K374" s="309"/>
    </row>
    <row r="375" spans="11:11" x14ac:dyDescent="0.2">
      <c r="K375" s="309"/>
    </row>
    <row r="376" spans="11:11" x14ac:dyDescent="0.2">
      <c r="K376" s="309"/>
    </row>
    <row r="377" spans="11:11" x14ac:dyDescent="0.2">
      <c r="K377" s="309"/>
    </row>
  </sheetData>
  <dataConsolidate/>
  <mergeCells count="29">
    <mergeCell ref="F52:G52"/>
    <mergeCell ref="L1:M1"/>
    <mergeCell ref="AH1:AM1"/>
    <mergeCell ref="A3:C3"/>
    <mergeCell ref="C11:J11"/>
    <mergeCell ref="A12:C12"/>
    <mergeCell ref="C18:J18"/>
    <mergeCell ref="A19:C19"/>
    <mergeCell ref="C36:J36"/>
    <mergeCell ref="AK38:AY38"/>
    <mergeCell ref="C39:I39"/>
    <mergeCell ref="F51:G51"/>
    <mergeCell ref="F64:G64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65:G65"/>
    <mergeCell ref="F66:G66"/>
    <mergeCell ref="F67:G67"/>
    <mergeCell ref="F68:G68"/>
    <mergeCell ref="F69:G69"/>
  </mergeCells>
  <dataValidations count="8">
    <dataValidation type="list" allowBlank="1" showInputMessage="1" showErrorMessage="1" sqref="J20:J35">
      <formula1>TABOBR</formula1>
    </dataValidation>
    <dataValidation type="list" allowBlank="1" showInputMessage="1" showErrorMessage="1" sqref="I20:I35">
      <formula1>Obrero</formula1>
    </dataValidation>
    <dataValidation type="list" allowBlank="1" showInputMessage="1" showErrorMessage="1" sqref="J4:J10">
      <formula1>DIRECTIVOS</formula1>
    </dataValidation>
    <dataValidation type="whole" allowBlank="1" showInputMessage="1" showErrorMessage="1" sqref="L4:L10">
      <formula1>0</formula1>
      <formula2>24</formula2>
    </dataValidation>
    <dataValidation type="list" allowBlank="1" showInputMessage="1" showErrorMessage="1" sqref="I4:I10 I13:I17">
      <formula1>Empleado</formula1>
    </dataValidation>
    <dataValidation type="list" allowBlank="1" showInputMessage="1" showErrorMessage="1" sqref="M4:M10 M20:M35 M13:M17">
      <formula1>"BACHILLER,TSU,UNIVERSITARIO,ESPECIALISTA,MAESTRIA,DOCTOR"</formula1>
    </dataValidation>
    <dataValidation type="list" allowBlank="1" showInputMessage="1" showErrorMessage="1" sqref="A4:A11 A20:A36 A13:A18">
      <formula1>"EMPLEADO,OBRERO,BOMBERO"</formula1>
    </dataValidation>
    <dataValidation type="list" allowBlank="1" showInputMessage="1" showErrorMessage="1" sqref="J13:J17">
      <formula1>TABEMP</formula1>
    </dataValidation>
  </dataValidations>
  <pageMargins left="0.7" right="0.7" top="0.75" bottom="0.75" header="0.3" footer="0.3"/>
  <pageSetup paperSize="120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'F:\Usuarios\Usuario1\Documentos\DOCUMENTOS\POA ENTES 2025 APROBADO\YUS\[RAC 2025 TEXTILES TRUJILLO C.A.xlsm]TAB OBR'!#REF!</xm:f>
          </x14:formula1>
          <xm:sqref>J75</xm:sqref>
        </x14:dataValidation>
        <x14:dataValidation type="list" allowBlank="1" showInputMessage="1" showErrorMessage="1">
          <x14:formula1>
            <xm:f>'F:\Usuarios\Usuario1\Documentos\DOCUMENTOS\POA ENTES 2025 APROBADO\YUS\[RAC 2025 TEXTILES TRUJILLO C.A.xlsm]TAB EMP'!#REF!</xm:f>
          </x14:formula1>
          <xm:sqref>J28:J34 J36:J72 J4:J25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8"/>
  <sheetViews>
    <sheetView workbookViewId="0">
      <selection activeCell="B4" sqref="B4"/>
    </sheetView>
  </sheetViews>
  <sheetFormatPr baseColWidth="10" defaultRowHeight="15" x14ac:dyDescent="0.25"/>
  <sheetData>
    <row r="1" spans="2:2" x14ac:dyDescent="0.25">
      <c r="B1">
        <v>2877.02</v>
      </c>
    </row>
    <row r="2" spans="2:2" x14ac:dyDescent="0.25">
      <c r="B2" s="552">
        <v>497.02</v>
      </c>
    </row>
    <row r="3" spans="2:2" x14ac:dyDescent="0.25">
      <c r="B3">
        <v>520</v>
      </c>
    </row>
    <row r="4" spans="2:2" x14ac:dyDescent="0.25">
      <c r="B4" s="552">
        <v>500</v>
      </c>
    </row>
    <row r="5" spans="2:2" x14ac:dyDescent="0.25">
      <c r="B5" s="552">
        <v>480</v>
      </c>
    </row>
    <row r="6" spans="2:2" x14ac:dyDescent="0.25">
      <c r="B6" s="552">
        <v>460</v>
      </c>
    </row>
    <row r="7" spans="2:2" x14ac:dyDescent="0.25">
      <c r="B7" s="552">
        <v>420</v>
      </c>
    </row>
    <row r="8" spans="2:2" x14ac:dyDescent="0.25">
      <c r="B8">
        <f>+B1-B2-B3-B4-B5-B6-B7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02"/>
  <sheetViews>
    <sheetView zoomScale="80" zoomScaleNormal="80" workbookViewId="0">
      <pane ySplit="2" topLeftCell="A71" activePane="bottomLeft" state="frozen"/>
      <selection pane="bottomLeft" activeCell="A103" sqref="A103"/>
    </sheetView>
  </sheetViews>
  <sheetFormatPr baseColWidth="10" defaultRowHeight="12" x14ac:dyDescent="0.25"/>
  <cols>
    <col min="1" max="1" width="10.85546875" style="34" bestFit="1" customWidth="1"/>
    <col min="2" max="2" width="45.28515625" style="34" bestFit="1" customWidth="1"/>
    <col min="3" max="3" width="20.7109375" style="127" bestFit="1" customWidth="1"/>
    <col min="4" max="4" width="27.7109375" style="34" bestFit="1" customWidth="1"/>
    <col min="5" max="5" width="14.140625" style="34" bestFit="1" customWidth="1"/>
    <col min="6" max="6" width="5.7109375" style="34" bestFit="1" customWidth="1"/>
    <col min="7" max="7" width="12" style="34" bestFit="1" customWidth="1"/>
    <col min="8" max="8" width="19.28515625" style="34" bestFit="1" customWidth="1"/>
    <col min="9" max="9" width="12" style="34" bestFit="1" customWidth="1"/>
    <col min="10" max="11" width="12" style="34" customWidth="1"/>
    <col min="12" max="12" width="15.42578125" style="34" customWidth="1"/>
    <col min="13" max="13" width="22.5703125" style="34" bestFit="1" customWidth="1"/>
    <col min="14" max="14" width="15.42578125" style="34" bestFit="1" customWidth="1"/>
    <col min="15" max="22" width="11.42578125" style="34"/>
    <col min="23" max="24" width="11.42578125" style="210"/>
    <col min="25" max="25" width="12.7109375" style="210" customWidth="1"/>
    <col min="26" max="26" width="13.5703125" style="210" customWidth="1"/>
    <col min="27" max="16384" width="11.42578125" style="34"/>
  </cols>
  <sheetData>
    <row r="1" spans="1:26" s="30" customFormat="1" ht="23.25" customHeight="1" thickBot="1" x14ac:dyDescent="0.3">
      <c r="A1" s="1064" t="s">
        <v>2909</v>
      </c>
      <c r="B1" s="1063"/>
      <c r="C1" s="1063"/>
      <c r="D1" s="1063"/>
      <c r="E1" s="1063"/>
      <c r="F1" s="1063" t="s">
        <v>2889</v>
      </c>
      <c r="G1" s="1063"/>
      <c r="H1" s="1063" t="s">
        <v>2890</v>
      </c>
      <c r="I1" s="1063"/>
      <c r="J1" s="1060" t="s">
        <v>2911</v>
      </c>
      <c r="K1" s="1061"/>
      <c r="L1" s="1062"/>
      <c r="M1" s="64" t="s">
        <v>2908</v>
      </c>
      <c r="N1" s="49" t="s">
        <v>2888</v>
      </c>
    </row>
    <row r="2" spans="1:26" ht="81.75" thickBot="1" x14ac:dyDescent="0.3">
      <c r="A2" s="50" t="s">
        <v>2848</v>
      </c>
      <c r="B2" s="51" t="s">
        <v>2849</v>
      </c>
      <c r="C2" s="122" t="s">
        <v>2847</v>
      </c>
      <c r="D2" s="51" t="s">
        <v>2835</v>
      </c>
      <c r="E2" s="52" t="s">
        <v>2850</v>
      </c>
      <c r="F2" s="61" t="s">
        <v>2891</v>
      </c>
      <c r="G2" s="61" t="s">
        <v>2892</v>
      </c>
      <c r="H2" s="61" t="s">
        <v>2893</v>
      </c>
      <c r="I2" s="61" t="s">
        <v>2892</v>
      </c>
      <c r="J2" s="61" t="s">
        <v>2912</v>
      </c>
      <c r="K2" s="62" t="s">
        <v>2912</v>
      </c>
      <c r="L2" s="63" t="s">
        <v>2913</v>
      </c>
      <c r="M2" s="94">
        <v>2025</v>
      </c>
      <c r="N2" s="95">
        <v>1</v>
      </c>
      <c r="W2" s="979" t="s">
        <v>4503</v>
      </c>
      <c r="X2" s="979" t="s">
        <v>4626</v>
      </c>
      <c r="Y2" s="980" t="s">
        <v>4731</v>
      </c>
      <c r="Z2" s="980" t="s">
        <v>4732</v>
      </c>
    </row>
    <row r="3" spans="1:26" ht="20.25" x14ac:dyDescent="0.25">
      <c r="A3" s="31" t="s">
        <v>2851</v>
      </c>
      <c r="B3" s="32" t="s">
        <v>2852</v>
      </c>
      <c r="C3" s="123"/>
      <c r="D3" s="33"/>
      <c r="E3" s="46"/>
      <c r="F3" s="32">
        <v>0</v>
      </c>
      <c r="G3" s="48">
        <v>0</v>
      </c>
      <c r="H3" s="47" t="s">
        <v>2894</v>
      </c>
      <c r="I3" s="118">
        <v>0</v>
      </c>
      <c r="J3" s="139" t="s">
        <v>2866</v>
      </c>
      <c r="K3" s="137">
        <v>1</v>
      </c>
      <c r="L3" s="137">
        <v>4</v>
      </c>
      <c r="M3" s="19"/>
      <c r="N3" s="19"/>
      <c r="W3" s="979" t="s">
        <v>2866</v>
      </c>
      <c r="X3" s="979">
        <v>12</v>
      </c>
      <c r="Y3" s="979">
        <v>180</v>
      </c>
      <c r="Z3" s="979">
        <v>150</v>
      </c>
    </row>
    <row r="4" spans="1:26" ht="20.25" x14ac:dyDescent="0.25">
      <c r="A4" s="35" t="s">
        <v>2853</v>
      </c>
      <c r="B4" s="36" t="s">
        <v>2887</v>
      </c>
      <c r="C4" s="120">
        <f>'TAB EMP'!$B$2*100%</f>
        <v>130</v>
      </c>
      <c r="D4" s="37"/>
      <c r="E4" s="43"/>
      <c r="F4" s="37">
        <v>1</v>
      </c>
      <c r="G4" s="44">
        <v>0.01</v>
      </c>
      <c r="H4" s="36" t="s">
        <v>2845</v>
      </c>
      <c r="I4" s="119">
        <v>0.2</v>
      </c>
      <c r="J4" s="139" t="s">
        <v>2867</v>
      </c>
      <c r="K4" s="137">
        <v>2</v>
      </c>
      <c r="L4" s="137">
        <v>4</v>
      </c>
      <c r="M4" s="19"/>
      <c r="N4" s="19"/>
      <c r="W4" s="979" t="s">
        <v>2867</v>
      </c>
      <c r="X4" s="979">
        <v>11</v>
      </c>
      <c r="Y4" s="979">
        <v>165</v>
      </c>
      <c r="Z4" s="979">
        <v>137.5</v>
      </c>
    </row>
    <row r="5" spans="1:26" ht="20.25" x14ac:dyDescent="0.25">
      <c r="A5" s="35" t="s">
        <v>2854</v>
      </c>
      <c r="B5" s="37" t="s">
        <v>2855</v>
      </c>
      <c r="C5" s="124"/>
      <c r="D5" s="37"/>
      <c r="E5" s="42"/>
      <c r="F5" s="37">
        <v>2</v>
      </c>
      <c r="G5" s="44">
        <v>0.02</v>
      </c>
      <c r="H5" s="36" t="s">
        <v>2895</v>
      </c>
      <c r="I5" s="119">
        <v>0.25</v>
      </c>
      <c r="J5" s="139" t="s">
        <v>2868</v>
      </c>
      <c r="K5" s="137">
        <v>3</v>
      </c>
      <c r="L5" s="137">
        <v>5</v>
      </c>
      <c r="M5" s="19"/>
      <c r="N5" s="19"/>
      <c r="W5" s="979" t="s">
        <v>2868</v>
      </c>
      <c r="X5" s="979">
        <v>10</v>
      </c>
      <c r="Y5" s="979">
        <v>150</v>
      </c>
      <c r="Z5" s="979">
        <v>125</v>
      </c>
    </row>
    <row r="6" spans="1:26" ht="20.25" x14ac:dyDescent="0.25">
      <c r="A6" s="35" t="s">
        <v>2856</v>
      </c>
      <c r="B6" s="37" t="s">
        <v>10</v>
      </c>
      <c r="C6" s="121">
        <v>0.3</v>
      </c>
      <c r="D6" s="37"/>
      <c r="E6" s="43"/>
      <c r="F6" s="37">
        <v>3</v>
      </c>
      <c r="G6" s="44">
        <v>0.03</v>
      </c>
      <c r="H6" s="36" t="s">
        <v>2896</v>
      </c>
      <c r="I6" s="119">
        <v>0.3</v>
      </c>
      <c r="J6" s="139" t="s">
        <v>2869</v>
      </c>
      <c r="K6" s="137">
        <v>4</v>
      </c>
      <c r="L6" s="137">
        <v>4</v>
      </c>
      <c r="M6" s="19"/>
      <c r="N6" s="19"/>
      <c r="W6" s="979" t="s">
        <v>2869</v>
      </c>
      <c r="X6" s="979">
        <v>9</v>
      </c>
      <c r="Y6" s="979">
        <v>135</v>
      </c>
      <c r="Z6" s="979">
        <v>112.5</v>
      </c>
    </row>
    <row r="7" spans="1:26" ht="20.25" x14ac:dyDescent="0.25">
      <c r="A7" s="35" t="s">
        <v>2857</v>
      </c>
      <c r="B7" s="37" t="s">
        <v>8</v>
      </c>
      <c r="C7" s="121">
        <v>12.5</v>
      </c>
      <c r="D7" s="37"/>
      <c r="E7" s="43"/>
      <c r="F7" s="37">
        <v>4</v>
      </c>
      <c r="G7" s="44">
        <v>0.04</v>
      </c>
      <c r="H7" s="36" t="s">
        <v>2897</v>
      </c>
      <c r="I7" s="119">
        <v>0.35</v>
      </c>
      <c r="J7" s="139" t="s">
        <v>2870</v>
      </c>
      <c r="K7" s="137">
        <v>5</v>
      </c>
      <c r="L7" s="137">
        <v>4</v>
      </c>
      <c r="M7" s="19"/>
      <c r="N7" s="19"/>
      <c r="W7" s="979" t="s">
        <v>2870</v>
      </c>
      <c r="X7" s="979">
        <v>8</v>
      </c>
      <c r="Y7" s="979">
        <v>120</v>
      </c>
      <c r="Z7" s="979">
        <v>100</v>
      </c>
    </row>
    <row r="8" spans="1:26" ht="20.25" x14ac:dyDescent="0.25">
      <c r="A8" s="38" t="s">
        <v>2858</v>
      </c>
      <c r="B8" s="36" t="s">
        <v>11</v>
      </c>
      <c r="C8" s="143" t="s">
        <v>4629</v>
      </c>
      <c r="D8" s="144" t="str">
        <f t="shared" ref="D8:D9" si="0">C8</f>
        <v>((SN*4/12)+SN)/30*180</v>
      </c>
      <c r="E8" s="43"/>
      <c r="F8" s="37">
        <v>5</v>
      </c>
      <c r="G8" s="44">
        <v>0.05</v>
      </c>
      <c r="H8" s="36" t="s">
        <v>2898</v>
      </c>
      <c r="I8" s="119">
        <v>0.4</v>
      </c>
      <c r="J8" s="139" t="s">
        <v>2871</v>
      </c>
      <c r="K8" s="137">
        <v>6</v>
      </c>
      <c r="L8" s="137">
        <v>5</v>
      </c>
      <c r="M8" s="19"/>
      <c r="N8" s="19"/>
      <c r="W8" s="979" t="s">
        <v>2871</v>
      </c>
      <c r="X8" s="979">
        <v>7</v>
      </c>
      <c r="Y8" s="979">
        <v>105</v>
      </c>
      <c r="Z8" s="979">
        <v>87.5</v>
      </c>
    </row>
    <row r="9" spans="1:26" ht="20.25" x14ac:dyDescent="0.25">
      <c r="A9" s="38" t="s">
        <v>2859</v>
      </c>
      <c r="B9" s="36" t="s">
        <v>4503</v>
      </c>
      <c r="C9" s="143" t="s">
        <v>4651</v>
      </c>
      <c r="D9" s="144" t="str">
        <f t="shared" si="0"/>
        <v>(((SN*6/12)+SN)/30)*150</v>
      </c>
      <c r="E9" s="43"/>
      <c r="F9" s="37">
        <v>6</v>
      </c>
      <c r="G9" s="45">
        <v>6.2E-2</v>
      </c>
      <c r="H9" s="37"/>
      <c r="I9" s="37"/>
      <c r="J9" s="140" t="s">
        <v>2864</v>
      </c>
      <c r="K9" s="137">
        <v>7</v>
      </c>
      <c r="L9" s="137">
        <v>4</v>
      </c>
      <c r="M9" s="19"/>
      <c r="N9" s="19"/>
      <c r="W9" s="979" t="s">
        <v>2864</v>
      </c>
      <c r="X9" s="979">
        <v>6</v>
      </c>
      <c r="Y9" s="979">
        <v>90</v>
      </c>
      <c r="Z9" s="979">
        <v>75</v>
      </c>
    </row>
    <row r="10" spans="1:26" ht="20.25" x14ac:dyDescent="0.25">
      <c r="A10" s="79"/>
      <c r="B10" s="36" t="s">
        <v>2860</v>
      </c>
      <c r="C10" s="121">
        <f>'TAB EMP'!$B$2*9.612%</f>
        <v>12.4956</v>
      </c>
      <c r="D10" s="37"/>
      <c r="E10" s="43"/>
      <c r="F10" s="37">
        <v>7</v>
      </c>
      <c r="G10" s="45">
        <v>7.3999999999999996E-2</v>
      </c>
      <c r="H10" s="37"/>
      <c r="I10" s="37"/>
      <c r="J10" s="140" t="s">
        <v>2872</v>
      </c>
      <c r="K10" s="137">
        <v>8</v>
      </c>
      <c r="L10" s="137">
        <v>4</v>
      </c>
      <c r="M10" s="19"/>
      <c r="N10" s="19"/>
      <c r="W10" s="979" t="s">
        <v>2872</v>
      </c>
      <c r="X10" s="979">
        <v>5</v>
      </c>
      <c r="Y10" s="979">
        <v>75</v>
      </c>
      <c r="Z10" s="979">
        <v>62.5</v>
      </c>
    </row>
    <row r="11" spans="1:26" ht="20.25" x14ac:dyDescent="0.25">
      <c r="A11" s="35"/>
      <c r="B11" s="36" t="s">
        <v>2861</v>
      </c>
      <c r="C11" s="124">
        <v>0.09</v>
      </c>
      <c r="D11" s="37"/>
      <c r="E11" s="43"/>
      <c r="F11" s="37">
        <v>8</v>
      </c>
      <c r="G11" s="45">
        <v>8.5999999999999993E-2</v>
      </c>
      <c r="H11" s="37"/>
      <c r="I11" s="37"/>
      <c r="J11" s="140" t="s">
        <v>2873</v>
      </c>
      <c r="K11" s="137">
        <v>9</v>
      </c>
      <c r="L11" s="137">
        <v>5</v>
      </c>
      <c r="M11" s="19"/>
      <c r="N11" s="19"/>
      <c r="W11" s="979" t="s">
        <v>2873</v>
      </c>
      <c r="X11" s="979">
        <v>4</v>
      </c>
      <c r="Y11" s="979">
        <v>60</v>
      </c>
      <c r="Z11" s="979">
        <v>50</v>
      </c>
    </row>
    <row r="12" spans="1:26" ht="20.25" x14ac:dyDescent="0.25">
      <c r="A12" s="35"/>
      <c r="B12" s="36" t="s">
        <v>2862</v>
      </c>
      <c r="C12" s="124">
        <v>0.02</v>
      </c>
      <c r="D12" s="37"/>
      <c r="E12" s="43"/>
      <c r="F12" s="37">
        <v>9</v>
      </c>
      <c r="G12" s="45">
        <v>9.8000000000000004E-2</v>
      </c>
      <c r="H12" s="37"/>
      <c r="I12" s="37"/>
      <c r="J12" s="140" t="s">
        <v>2874</v>
      </c>
      <c r="K12" s="137">
        <v>10</v>
      </c>
      <c r="L12" s="137">
        <v>4</v>
      </c>
      <c r="M12" s="19"/>
      <c r="N12" s="19"/>
      <c r="W12" s="979" t="s">
        <v>2874</v>
      </c>
      <c r="X12" s="979">
        <v>3</v>
      </c>
      <c r="Y12" s="979">
        <v>45</v>
      </c>
      <c r="Z12" s="979">
        <v>37.5</v>
      </c>
    </row>
    <row r="13" spans="1:26" ht="20.25" x14ac:dyDescent="0.25">
      <c r="A13" s="35"/>
      <c r="B13" s="57" t="s">
        <v>2910</v>
      </c>
      <c r="C13" s="124">
        <v>0.02</v>
      </c>
      <c r="D13" s="37"/>
      <c r="E13" s="43"/>
      <c r="F13" s="37">
        <v>10</v>
      </c>
      <c r="G13" s="45">
        <v>0.11</v>
      </c>
      <c r="H13" s="37"/>
      <c r="I13" s="37"/>
      <c r="J13" s="140" t="s">
        <v>2905</v>
      </c>
      <c r="K13" s="137">
        <v>11</v>
      </c>
      <c r="L13" s="137">
        <v>4</v>
      </c>
      <c r="M13" s="19"/>
      <c r="N13" s="19"/>
      <c r="W13" s="979" t="s">
        <v>2905</v>
      </c>
      <c r="X13" s="979">
        <v>2</v>
      </c>
      <c r="Y13" s="979">
        <v>30</v>
      </c>
      <c r="Z13" s="979">
        <v>25</v>
      </c>
    </row>
    <row r="14" spans="1:26" ht="20.25" x14ac:dyDescent="0.25">
      <c r="A14" s="35"/>
      <c r="B14" s="36" t="s">
        <v>12</v>
      </c>
      <c r="C14" s="124">
        <v>0</v>
      </c>
      <c r="D14" s="37"/>
      <c r="E14" s="43"/>
      <c r="F14" s="37">
        <v>11</v>
      </c>
      <c r="G14" s="45">
        <v>0.124</v>
      </c>
      <c r="H14" s="37"/>
      <c r="I14" s="37"/>
      <c r="J14" s="140" t="s">
        <v>2906</v>
      </c>
      <c r="K14" s="137">
        <v>12</v>
      </c>
      <c r="L14" s="137">
        <v>5</v>
      </c>
      <c r="M14" s="19"/>
      <c r="N14" s="19"/>
      <c r="W14" s="979" t="s">
        <v>2906</v>
      </c>
      <c r="X14" s="979">
        <v>1</v>
      </c>
      <c r="Y14" s="979">
        <v>15</v>
      </c>
      <c r="Z14" s="979">
        <v>12.5</v>
      </c>
    </row>
    <row r="15" spans="1:26" ht="15" x14ac:dyDescent="0.25">
      <c r="A15" s="35"/>
      <c r="B15" s="36" t="s">
        <v>13</v>
      </c>
      <c r="C15" s="124">
        <f>'TAB EMP'!$B$2*2</f>
        <v>260</v>
      </c>
      <c r="D15" s="37"/>
      <c r="E15" s="37"/>
      <c r="F15" s="37">
        <v>12</v>
      </c>
      <c r="G15" s="45">
        <v>0.13800000000000001</v>
      </c>
      <c r="H15" s="37"/>
      <c r="I15" s="37"/>
      <c r="J15" s="37"/>
      <c r="K15" s="137"/>
      <c r="L15" s="137"/>
      <c r="M15" s="19"/>
      <c r="N15" s="19"/>
    </row>
    <row r="16" spans="1:26" ht="15" x14ac:dyDescent="0.25">
      <c r="A16" s="35"/>
      <c r="B16" s="36" t="s">
        <v>14</v>
      </c>
      <c r="C16" s="130">
        <f>'TAB EMP'!$B$2*9.612%</f>
        <v>12.4956</v>
      </c>
      <c r="D16" s="37"/>
      <c r="E16" s="37"/>
      <c r="F16" s="37">
        <v>13</v>
      </c>
      <c r="G16" s="45">
        <v>0.152</v>
      </c>
      <c r="H16" s="37"/>
      <c r="I16" s="37"/>
      <c r="J16" s="37"/>
      <c r="K16" s="137"/>
      <c r="L16" s="137"/>
      <c r="M16" s="19"/>
      <c r="N16" s="19"/>
    </row>
    <row r="17" spans="1:14" ht="15" x14ac:dyDescent="0.25">
      <c r="A17" s="35"/>
      <c r="B17" s="36" t="s">
        <v>2886</v>
      </c>
      <c r="C17" s="124">
        <v>0.1</v>
      </c>
      <c r="D17" s="37"/>
      <c r="E17" s="37"/>
      <c r="F17" s="37">
        <v>14</v>
      </c>
      <c r="G17" s="45">
        <v>0.16600000000000001</v>
      </c>
      <c r="H17" s="37"/>
      <c r="I17" s="37"/>
      <c r="J17" s="32"/>
      <c r="K17" s="33"/>
      <c r="L17" s="58"/>
      <c r="M17" s="19"/>
      <c r="N17" s="19"/>
    </row>
    <row r="18" spans="1:14" ht="15" x14ac:dyDescent="0.25">
      <c r="A18" s="79" t="s">
        <v>4498</v>
      </c>
      <c r="B18" s="78" t="s">
        <v>4489</v>
      </c>
      <c r="C18" s="130">
        <v>12.5</v>
      </c>
      <c r="D18" s="37"/>
      <c r="E18" s="37"/>
      <c r="F18" s="37">
        <v>15</v>
      </c>
      <c r="G18" s="45">
        <v>0.18</v>
      </c>
      <c r="H18" s="37"/>
      <c r="I18" s="37"/>
      <c r="J18" s="32"/>
      <c r="K18" s="33"/>
      <c r="L18" s="58"/>
      <c r="M18" s="19"/>
      <c r="N18" s="19"/>
    </row>
    <row r="19" spans="1:14" ht="15" x14ac:dyDescent="0.25">
      <c r="A19" s="79" t="s">
        <v>4499</v>
      </c>
      <c r="B19" s="78" t="s">
        <v>4490</v>
      </c>
      <c r="C19" s="130">
        <v>12.5</v>
      </c>
      <c r="D19" s="37"/>
      <c r="E19" s="37"/>
      <c r="F19" s="37">
        <v>16</v>
      </c>
      <c r="G19" s="45">
        <v>0.19600000000000001</v>
      </c>
      <c r="H19" s="37"/>
      <c r="I19" s="37"/>
      <c r="J19" s="32"/>
      <c r="K19" s="33"/>
      <c r="L19" s="58"/>
      <c r="M19" s="19"/>
      <c r="N19" s="19"/>
    </row>
    <row r="20" spans="1:14" ht="32.25" customHeight="1" x14ac:dyDescent="0.25">
      <c r="A20" s="79" t="s">
        <v>4500</v>
      </c>
      <c r="B20" s="90" t="s">
        <v>4491</v>
      </c>
      <c r="C20" s="130">
        <v>12.5</v>
      </c>
      <c r="D20" s="37"/>
      <c r="E20" s="37"/>
      <c r="F20" s="37">
        <v>17</v>
      </c>
      <c r="G20" s="45">
        <v>0.21199999999999999</v>
      </c>
      <c r="H20" s="37"/>
      <c r="I20" s="37"/>
      <c r="J20" s="32"/>
      <c r="K20" s="33"/>
      <c r="L20" s="58"/>
      <c r="M20" s="19"/>
      <c r="N20" s="19"/>
    </row>
    <row r="21" spans="1:14" ht="15" x14ac:dyDescent="0.25">
      <c r="A21" s="79" t="s">
        <v>4501</v>
      </c>
      <c r="B21" s="78" t="s">
        <v>4492</v>
      </c>
      <c r="C21" s="130">
        <v>12.5</v>
      </c>
      <c r="D21" s="37"/>
      <c r="E21" s="37"/>
      <c r="F21" s="37">
        <v>18</v>
      </c>
      <c r="G21" s="45">
        <v>0.22800000000000001</v>
      </c>
      <c r="H21" s="37"/>
      <c r="I21" s="37"/>
      <c r="J21" s="32"/>
      <c r="K21" s="33"/>
      <c r="L21" s="58"/>
      <c r="M21" s="19"/>
      <c r="N21" s="19"/>
    </row>
    <row r="22" spans="1:14" ht="15" x14ac:dyDescent="0.25">
      <c r="A22" s="35"/>
      <c r="B22" s="78" t="s">
        <v>4493</v>
      </c>
      <c r="C22" s="130">
        <v>12.5</v>
      </c>
      <c r="D22" s="37"/>
      <c r="E22" s="37"/>
      <c r="F22" s="37">
        <v>19</v>
      </c>
      <c r="G22" s="45">
        <v>0.24399999999999999</v>
      </c>
      <c r="H22" s="37"/>
      <c r="I22" s="37"/>
      <c r="J22" s="32"/>
      <c r="K22" s="33"/>
      <c r="L22" s="58"/>
      <c r="M22" s="19"/>
      <c r="N22" s="19"/>
    </row>
    <row r="23" spans="1:14" ht="15" x14ac:dyDescent="0.25">
      <c r="A23" s="35"/>
      <c r="B23" s="78" t="s">
        <v>4494</v>
      </c>
      <c r="C23" s="130">
        <v>12.5</v>
      </c>
      <c r="D23" s="37"/>
      <c r="E23" s="37"/>
      <c r="F23" s="37">
        <v>20</v>
      </c>
      <c r="G23" s="45">
        <v>0.26</v>
      </c>
      <c r="H23" s="37"/>
      <c r="I23" s="37"/>
      <c r="J23" s="32"/>
      <c r="K23" s="33"/>
      <c r="L23" s="58"/>
      <c r="M23" s="19"/>
      <c r="N23" s="19"/>
    </row>
    <row r="24" spans="1:14" ht="15" x14ac:dyDescent="0.25">
      <c r="A24" s="35"/>
      <c r="B24" s="78" t="s">
        <v>4495</v>
      </c>
      <c r="C24" s="130">
        <v>12.5</v>
      </c>
      <c r="D24" s="37"/>
      <c r="E24" s="37"/>
      <c r="F24" s="37">
        <v>21</v>
      </c>
      <c r="G24" s="45">
        <v>0.27800000000000002</v>
      </c>
      <c r="H24" s="37"/>
      <c r="I24" s="37"/>
      <c r="J24" s="32"/>
      <c r="K24" s="33"/>
      <c r="L24" s="58"/>
      <c r="M24" s="19"/>
      <c r="N24" s="19"/>
    </row>
    <row r="25" spans="1:14" ht="15" x14ac:dyDescent="0.25">
      <c r="A25" s="35"/>
      <c r="B25" s="78" t="s">
        <v>4496</v>
      </c>
      <c r="C25" s="130">
        <v>12.5</v>
      </c>
      <c r="D25" s="37"/>
      <c r="E25" s="37"/>
      <c r="F25" s="37">
        <v>22</v>
      </c>
      <c r="G25" s="45">
        <v>0.29599999999999999</v>
      </c>
      <c r="H25" s="37"/>
      <c r="I25" s="37"/>
      <c r="J25" s="32"/>
      <c r="K25" s="33"/>
      <c r="L25" s="58"/>
      <c r="M25" s="19"/>
      <c r="N25" s="19"/>
    </row>
    <row r="26" spans="1:14" ht="15" x14ac:dyDescent="0.25">
      <c r="A26" s="35"/>
      <c r="B26" s="78" t="s">
        <v>4497</v>
      </c>
      <c r="C26" s="130">
        <v>12.5</v>
      </c>
      <c r="D26" s="37"/>
      <c r="E26" s="37"/>
      <c r="F26" s="37">
        <v>23</v>
      </c>
      <c r="G26" s="45">
        <v>0.3</v>
      </c>
      <c r="H26" s="37"/>
      <c r="I26" s="37"/>
      <c r="J26" s="32"/>
      <c r="K26" s="33"/>
      <c r="L26" s="58"/>
      <c r="M26" s="19"/>
      <c r="N26" s="19"/>
    </row>
    <row r="27" spans="1:14" ht="15" x14ac:dyDescent="0.25">
      <c r="A27" s="35"/>
      <c r="B27" s="78" t="s">
        <v>4505</v>
      </c>
      <c r="C27" s="125">
        <v>180</v>
      </c>
      <c r="D27" s="37"/>
      <c r="E27" s="37"/>
      <c r="F27" s="37">
        <v>24</v>
      </c>
      <c r="G27" s="45">
        <v>0.3</v>
      </c>
      <c r="H27" s="37"/>
      <c r="I27" s="37"/>
      <c r="J27" s="32"/>
      <c r="K27" s="33"/>
      <c r="L27" s="58"/>
      <c r="M27" s="19"/>
      <c r="N27" s="19"/>
    </row>
    <row r="28" spans="1:14" ht="15" x14ac:dyDescent="0.25">
      <c r="A28" s="35"/>
      <c r="B28" s="78" t="s">
        <v>4506</v>
      </c>
      <c r="C28" s="125">
        <v>150</v>
      </c>
      <c r="D28" s="37"/>
      <c r="E28" s="37"/>
      <c r="F28" s="37">
        <v>25</v>
      </c>
      <c r="G28" s="45">
        <v>0.3</v>
      </c>
      <c r="H28" s="37"/>
      <c r="I28" s="37"/>
      <c r="J28" s="32"/>
      <c r="K28" s="33"/>
      <c r="L28" s="58"/>
      <c r="M28" s="19"/>
      <c r="N28" s="19"/>
    </row>
    <row r="29" spans="1:14" ht="15" x14ac:dyDescent="0.25">
      <c r="A29" s="35"/>
      <c r="B29" s="78" t="s">
        <v>4575</v>
      </c>
      <c r="C29" s="124">
        <v>22.5</v>
      </c>
      <c r="D29" s="37"/>
      <c r="E29" s="37"/>
      <c r="F29" s="37">
        <v>26</v>
      </c>
      <c r="G29" s="45">
        <v>0.3</v>
      </c>
      <c r="H29" s="37"/>
      <c r="I29" s="37"/>
      <c r="J29" s="32"/>
      <c r="K29" s="33"/>
      <c r="L29" s="58"/>
      <c r="M29" s="19"/>
      <c r="N29" s="19"/>
    </row>
    <row r="30" spans="1:14" ht="15" x14ac:dyDescent="0.25">
      <c r="A30" s="35"/>
      <c r="B30" s="92" t="s">
        <v>4577</v>
      </c>
      <c r="C30" s="130">
        <f>'TAB EMP'!$B$2*9.612%</f>
        <v>12.4956</v>
      </c>
      <c r="D30" s="37"/>
      <c r="E30" s="37"/>
      <c r="F30" s="37">
        <v>27</v>
      </c>
      <c r="G30" s="45">
        <v>0.3</v>
      </c>
      <c r="H30" s="37"/>
      <c r="I30" s="37"/>
      <c r="J30" s="32"/>
      <c r="K30" s="33"/>
      <c r="L30" s="58"/>
      <c r="M30" s="19"/>
      <c r="N30" s="19"/>
    </row>
    <row r="31" spans="1:14" ht="15" x14ac:dyDescent="0.25">
      <c r="A31" s="35"/>
      <c r="B31" s="92" t="s">
        <v>4576</v>
      </c>
      <c r="C31" s="130">
        <f>'TAB EMP'!$B$2*9.612%</f>
        <v>12.4956</v>
      </c>
      <c r="D31" s="37"/>
      <c r="E31" s="37"/>
      <c r="F31" s="37">
        <v>28</v>
      </c>
      <c r="G31" s="45">
        <v>0.3</v>
      </c>
      <c r="H31" s="37"/>
      <c r="I31" s="37"/>
      <c r="J31" s="32"/>
      <c r="K31" s="33"/>
      <c r="L31" s="58"/>
      <c r="M31" s="19"/>
      <c r="N31" s="19"/>
    </row>
    <row r="32" spans="1:14" ht="15" x14ac:dyDescent="0.25">
      <c r="A32" s="91"/>
      <c r="B32" s="92"/>
      <c r="C32" s="130"/>
      <c r="D32" s="93"/>
      <c r="E32" s="93"/>
      <c r="F32" s="37">
        <v>29</v>
      </c>
      <c r="G32" s="45">
        <v>0.3</v>
      </c>
      <c r="H32" s="37"/>
      <c r="I32" s="37"/>
      <c r="J32" s="32"/>
      <c r="K32" s="33"/>
      <c r="L32" s="58"/>
      <c r="M32" s="19"/>
      <c r="N32" s="19"/>
    </row>
    <row r="33" spans="1:14" ht="15" x14ac:dyDescent="0.25">
      <c r="A33" s="91"/>
      <c r="B33" s="92"/>
      <c r="C33" s="130"/>
      <c r="D33" s="93"/>
      <c r="E33" s="93"/>
      <c r="F33" s="37">
        <v>30</v>
      </c>
      <c r="G33" s="45">
        <v>0.3</v>
      </c>
      <c r="H33" s="37"/>
      <c r="I33" s="37"/>
      <c r="J33" s="32"/>
      <c r="K33" s="33"/>
      <c r="L33" s="58"/>
      <c r="M33" s="19"/>
      <c r="N33" s="19"/>
    </row>
    <row r="34" spans="1:14" ht="15.75" thickBot="1" x14ac:dyDescent="0.3">
      <c r="A34" s="39"/>
      <c r="B34" s="41"/>
      <c r="C34" s="126"/>
      <c r="D34" s="41"/>
      <c r="E34" s="41"/>
      <c r="F34" s="37">
        <v>31</v>
      </c>
      <c r="G34" s="45">
        <v>0.3</v>
      </c>
      <c r="H34" s="37"/>
      <c r="I34" s="37"/>
      <c r="J34" s="32"/>
      <c r="K34" s="33"/>
      <c r="L34" s="58"/>
      <c r="M34" s="19"/>
      <c r="N34" s="19"/>
    </row>
    <row r="35" spans="1:14" ht="15.75" thickBot="1" x14ac:dyDescent="0.3">
      <c r="F35" s="37">
        <v>32</v>
      </c>
      <c r="G35" s="45">
        <v>0.3</v>
      </c>
      <c r="H35" s="37"/>
      <c r="I35" s="37"/>
      <c r="J35" s="32"/>
      <c r="K35" s="33"/>
      <c r="L35" s="58"/>
      <c r="M35" s="19"/>
      <c r="N35" s="19"/>
    </row>
    <row r="36" spans="1:14" ht="15.75" thickBot="1" x14ac:dyDescent="0.3">
      <c r="A36" s="1065"/>
      <c r="B36" s="1066"/>
      <c r="C36" s="1067"/>
      <c r="F36" s="37">
        <v>33</v>
      </c>
      <c r="G36" s="45">
        <v>0.3</v>
      </c>
      <c r="H36" s="37"/>
      <c r="I36" s="37"/>
      <c r="J36" s="32"/>
      <c r="K36" s="33"/>
      <c r="L36" s="58"/>
      <c r="M36" s="19"/>
      <c r="N36" s="19"/>
    </row>
    <row r="37" spans="1:14" ht="23.25" customHeight="1" thickBot="1" x14ac:dyDescent="0.3">
      <c r="A37" s="88"/>
      <c r="B37" s="89"/>
      <c r="C37" s="128"/>
      <c r="F37" s="37">
        <v>34</v>
      </c>
      <c r="G37" s="45">
        <v>0.3</v>
      </c>
      <c r="H37" s="37"/>
      <c r="I37" s="37"/>
      <c r="J37" s="32"/>
      <c r="K37" s="33"/>
      <c r="L37" s="58"/>
      <c r="M37" s="19"/>
      <c r="N37" s="19"/>
    </row>
    <row r="38" spans="1:14" ht="15" customHeight="1" thickBot="1" x14ac:dyDescent="0.3">
      <c r="A38" s="82"/>
      <c r="B38" s="87"/>
      <c r="C38" s="131"/>
      <c r="F38" s="37">
        <v>35</v>
      </c>
      <c r="G38" s="45">
        <v>0.3</v>
      </c>
      <c r="H38" s="37"/>
      <c r="I38" s="37"/>
      <c r="J38" s="32"/>
      <c r="K38" s="33"/>
      <c r="L38" s="58"/>
      <c r="M38" s="19"/>
      <c r="N38" s="19"/>
    </row>
    <row r="39" spans="1:14" ht="15" customHeight="1" thickBot="1" x14ac:dyDescent="0.3">
      <c r="A39" s="83"/>
      <c r="B39" s="85"/>
      <c r="C39" s="131"/>
      <c r="F39" s="37">
        <v>0</v>
      </c>
      <c r="G39" s="45"/>
      <c r="H39" s="37"/>
      <c r="I39" s="37"/>
      <c r="J39" s="32"/>
      <c r="K39" s="33"/>
      <c r="L39" s="58"/>
      <c r="M39" s="19"/>
      <c r="N39" s="19"/>
    </row>
    <row r="40" spans="1:14" ht="15.75" thickBot="1" x14ac:dyDescent="0.3">
      <c r="A40" s="83"/>
      <c r="B40" s="81"/>
      <c r="C40" s="131"/>
      <c r="F40" s="37">
        <v>0</v>
      </c>
      <c r="G40" s="45"/>
      <c r="H40" s="37"/>
      <c r="I40" s="37"/>
      <c r="J40" s="32"/>
      <c r="K40" s="33"/>
      <c r="L40" s="58"/>
      <c r="M40" s="19"/>
      <c r="N40" s="19"/>
    </row>
    <row r="41" spans="1:14" ht="15.75" thickBot="1" x14ac:dyDescent="0.3">
      <c r="A41" s="83"/>
      <c r="B41" s="81"/>
      <c r="C41" s="131"/>
      <c r="F41" s="41"/>
      <c r="G41" s="40"/>
      <c r="H41" s="41"/>
      <c r="I41" s="41"/>
      <c r="J41" s="138"/>
      <c r="K41" s="59"/>
      <c r="L41" s="60"/>
      <c r="M41" s="19"/>
      <c r="N41" s="19"/>
    </row>
    <row r="42" spans="1:14" ht="12.75" thickBot="1" x14ac:dyDescent="0.3">
      <c r="A42" s="83"/>
      <c r="B42" s="81"/>
      <c r="C42" s="131"/>
    </row>
    <row r="43" spans="1:14" ht="12.75" thickBot="1" x14ac:dyDescent="0.3">
      <c r="A43" s="83"/>
      <c r="B43" s="81"/>
      <c r="C43" s="131"/>
    </row>
    <row r="44" spans="1:14" ht="12.75" thickBot="1" x14ac:dyDescent="0.3">
      <c r="A44" s="83"/>
      <c r="B44" s="81"/>
      <c r="C44" s="131"/>
    </row>
    <row r="45" spans="1:14" ht="12.75" thickBot="1" x14ac:dyDescent="0.3">
      <c r="A45" s="83"/>
      <c r="B45" s="81"/>
      <c r="C45" s="131"/>
    </row>
    <row r="46" spans="1:14" ht="12" customHeight="1" thickBot="1" x14ac:dyDescent="0.3">
      <c r="A46" s="83"/>
      <c r="B46" s="81"/>
      <c r="C46" s="131"/>
      <c r="E46" s="114"/>
    </row>
    <row r="47" spans="1:14" ht="15" customHeight="1" thickBot="1" x14ac:dyDescent="0.3">
      <c r="A47" s="83"/>
      <c r="B47" s="81"/>
      <c r="C47" s="131"/>
      <c r="E47" s="134"/>
    </row>
    <row r="48" spans="1:14" ht="15.75" customHeight="1" thickBot="1" x14ac:dyDescent="0.3">
      <c r="A48" s="83"/>
      <c r="B48" s="81"/>
      <c r="C48" s="131"/>
      <c r="E48" s="134"/>
    </row>
    <row r="49" spans="1:7" ht="12.75" thickBot="1" x14ac:dyDescent="0.3">
      <c r="A49" s="84"/>
      <c r="B49" s="86"/>
      <c r="C49" s="131"/>
      <c r="E49" s="134"/>
    </row>
    <row r="50" spans="1:7" x14ac:dyDescent="0.25">
      <c r="B50" s="80"/>
      <c r="E50" s="134"/>
    </row>
    <row r="51" spans="1:7" x14ac:dyDescent="0.25">
      <c r="B51" s="80"/>
      <c r="E51" s="134"/>
      <c r="G51" s="114"/>
    </row>
    <row r="52" spans="1:7" x14ac:dyDescent="0.25">
      <c r="A52" s="135"/>
      <c r="B52" s="136"/>
      <c r="E52" s="114"/>
    </row>
    <row r="53" spans="1:7" x14ac:dyDescent="0.25">
      <c r="B53" s="135"/>
    </row>
    <row r="54" spans="1:7" x14ac:dyDescent="0.25">
      <c r="B54" s="135"/>
    </row>
    <row r="55" spans="1:7" x14ac:dyDescent="0.25">
      <c r="B55" s="135"/>
    </row>
    <row r="56" spans="1:7" x14ac:dyDescent="0.25">
      <c r="B56" s="135"/>
    </row>
    <row r="57" spans="1:7" x14ac:dyDescent="0.25">
      <c r="B57" s="135"/>
    </row>
    <row r="58" spans="1:7" x14ac:dyDescent="0.25">
      <c r="B58" s="135"/>
    </row>
    <row r="59" spans="1:7" ht="12.75" x14ac:dyDescent="0.25">
      <c r="A59" s="141">
        <v>0</v>
      </c>
      <c r="B59" s="135"/>
    </row>
    <row r="60" spans="1:7" x14ac:dyDescent="0.25">
      <c r="A60" s="142">
        <v>1</v>
      </c>
      <c r="B60" s="135"/>
    </row>
    <row r="61" spans="1:7" ht="12.75" x14ac:dyDescent="0.25">
      <c r="A61" s="141">
        <v>2</v>
      </c>
      <c r="B61" s="135"/>
    </row>
    <row r="62" spans="1:7" x14ac:dyDescent="0.25">
      <c r="A62" s="135"/>
      <c r="B62" s="135"/>
    </row>
    <row r="63" spans="1:7" x14ac:dyDescent="0.25">
      <c r="A63" s="135"/>
      <c r="B63" s="135"/>
    </row>
    <row r="64" spans="1:7" x14ac:dyDescent="0.25">
      <c r="A64" s="135"/>
      <c r="B64" s="135"/>
    </row>
    <row r="65" spans="1:2" x14ac:dyDescent="0.25">
      <c r="A65" s="135"/>
      <c r="B65" s="135"/>
    </row>
    <row r="66" spans="1:2" x14ac:dyDescent="0.25">
      <c r="A66" s="135"/>
      <c r="B66" s="135"/>
    </row>
    <row r="67" spans="1:2" x14ac:dyDescent="0.25">
      <c r="A67" s="135"/>
      <c r="B67" s="135"/>
    </row>
    <row r="68" spans="1:2" x14ac:dyDescent="0.25">
      <c r="A68" s="135"/>
      <c r="B68" s="135"/>
    </row>
    <row r="69" spans="1:2" x14ac:dyDescent="0.25">
      <c r="A69" s="135"/>
      <c r="B69" s="135"/>
    </row>
    <row r="70" spans="1:2" x14ac:dyDescent="0.25">
      <c r="A70" s="135"/>
      <c r="B70" s="135"/>
    </row>
    <row r="71" spans="1:2" x14ac:dyDescent="0.25">
      <c r="A71" s="135"/>
      <c r="B71" s="135"/>
    </row>
    <row r="73" spans="1:2" x14ac:dyDescent="0.25">
      <c r="A73" s="210" t="s">
        <v>4656</v>
      </c>
    </row>
    <row r="74" spans="1:2" x14ac:dyDescent="0.25">
      <c r="A74" s="37">
        <v>0</v>
      </c>
    </row>
    <row r="75" spans="1:2" x14ac:dyDescent="0.25">
      <c r="A75" s="37">
        <v>1</v>
      </c>
    </row>
    <row r="76" spans="1:2" x14ac:dyDescent="0.25">
      <c r="A76" s="37">
        <v>2</v>
      </c>
    </row>
    <row r="77" spans="1:2" x14ac:dyDescent="0.25">
      <c r="A77" s="37">
        <v>3</v>
      </c>
    </row>
    <row r="78" spans="1:2" x14ac:dyDescent="0.25">
      <c r="A78" s="37">
        <v>4</v>
      </c>
    </row>
    <row r="79" spans="1:2" x14ac:dyDescent="0.25">
      <c r="A79" s="37">
        <v>5</v>
      </c>
    </row>
    <row r="80" spans="1:2" x14ac:dyDescent="0.25">
      <c r="A80" s="37">
        <v>6</v>
      </c>
    </row>
    <row r="81" spans="1:1" x14ac:dyDescent="0.25">
      <c r="A81" s="37">
        <v>7</v>
      </c>
    </row>
    <row r="82" spans="1:1" x14ac:dyDescent="0.25">
      <c r="A82" s="37">
        <v>8</v>
      </c>
    </row>
    <row r="83" spans="1:1" x14ac:dyDescent="0.25">
      <c r="A83" s="37">
        <v>9</v>
      </c>
    </row>
    <row r="84" spans="1:1" x14ac:dyDescent="0.25">
      <c r="A84" s="37">
        <v>10</v>
      </c>
    </row>
    <row r="90" spans="1:1" x14ac:dyDescent="0.25">
      <c r="A90" s="399" t="s">
        <v>4657</v>
      </c>
    </row>
    <row r="91" spans="1:1" x14ac:dyDescent="0.25">
      <c r="A91" s="37">
        <v>0</v>
      </c>
    </row>
    <row r="92" spans="1:1" x14ac:dyDescent="0.25">
      <c r="A92" s="37">
        <v>1</v>
      </c>
    </row>
    <row r="93" spans="1:1" x14ac:dyDescent="0.25">
      <c r="A93" s="37">
        <v>2</v>
      </c>
    </row>
    <row r="94" spans="1:1" x14ac:dyDescent="0.25">
      <c r="A94" s="37">
        <v>3</v>
      </c>
    </row>
    <row r="95" spans="1:1" x14ac:dyDescent="0.25">
      <c r="A95" s="37">
        <v>4</v>
      </c>
    </row>
    <row r="100" spans="1:1" x14ac:dyDescent="0.25">
      <c r="A100" s="398" t="s">
        <v>4660</v>
      </c>
    </row>
    <row r="101" spans="1:1" x14ac:dyDescent="0.25">
      <c r="A101" s="81">
        <v>0</v>
      </c>
    </row>
    <row r="102" spans="1:1" x14ac:dyDescent="0.25">
      <c r="A102" s="211">
        <v>7732</v>
      </c>
    </row>
  </sheetData>
  <mergeCells count="5">
    <mergeCell ref="J1:L1"/>
    <mergeCell ref="F1:G1"/>
    <mergeCell ref="H1:I1"/>
    <mergeCell ref="A1:E1"/>
    <mergeCell ref="A36:C3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50"/>
  </sheetPr>
  <dimension ref="A1:M376"/>
  <sheetViews>
    <sheetView zoomScale="90" zoomScaleNormal="90" zoomScaleSheetLayoutView="106" workbookViewId="0">
      <pane ySplit="2" topLeftCell="A3" activePane="bottomLeft" state="frozen"/>
      <selection pane="bottomLeft" activeCell="N19" sqref="N19"/>
    </sheetView>
  </sheetViews>
  <sheetFormatPr baseColWidth="10" defaultRowHeight="12" x14ac:dyDescent="0.2"/>
  <cols>
    <col min="1" max="1" width="10.28515625" style="459" bestFit="1" customWidth="1"/>
    <col min="2" max="2" width="4" style="302" bestFit="1" customWidth="1"/>
    <col min="3" max="3" width="10.7109375" style="303" customWidth="1"/>
    <col min="4" max="4" width="39.85546875" style="303" customWidth="1"/>
    <col min="5" max="5" width="10" style="308" customWidth="1"/>
    <col min="6" max="6" width="9" style="459" bestFit="1" customWidth="1"/>
    <col min="7" max="7" width="10.140625" style="459" bestFit="1" customWidth="1"/>
    <col min="8" max="8" width="10.28515625" style="303" bestFit="1" customWidth="1"/>
    <col min="9" max="9" width="40" style="303" bestFit="1" customWidth="1"/>
    <col min="10" max="10" width="7.140625" style="302" bestFit="1" customWidth="1"/>
    <col min="11" max="11" width="12.7109375" style="302" bestFit="1" customWidth="1"/>
    <col min="12" max="12" width="6.42578125" style="303" bestFit="1" customWidth="1"/>
    <col min="13" max="13" width="16.28515625" style="459" bestFit="1" customWidth="1"/>
    <col min="14" max="16384" width="11.42578125" style="303"/>
  </cols>
  <sheetData>
    <row r="1" spans="1:13" s="26" customFormat="1" ht="27.75" customHeight="1" thickBot="1" x14ac:dyDescent="0.3">
      <c r="A1" s="219"/>
      <c r="B1" s="219"/>
      <c r="E1" s="220"/>
      <c r="F1" s="219"/>
      <c r="G1" s="219"/>
      <c r="J1" s="219"/>
      <c r="K1" s="219"/>
      <c r="L1" s="1041"/>
      <c r="M1" s="1042"/>
    </row>
    <row r="2" spans="1:13" ht="36.75" thickBot="1" x14ac:dyDescent="0.25">
      <c r="A2" s="461" t="s">
        <v>2841</v>
      </c>
      <c r="B2" s="221" t="s">
        <v>0</v>
      </c>
      <c r="C2" s="221" t="s">
        <v>2</v>
      </c>
      <c r="D2" s="221" t="s">
        <v>3</v>
      </c>
      <c r="E2" s="222" t="s">
        <v>4</v>
      </c>
      <c r="F2" s="223" t="s">
        <v>4685</v>
      </c>
      <c r="G2" s="223" t="s">
        <v>4686</v>
      </c>
      <c r="H2" s="223" t="s">
        <v>6</v>
      </c>
      <c r="I2" s="223" t="s">
        <v>5</v>
      </c>
      <c r="J2" s="221" t="s">
        <v>1</v>
      </c>
      <c r="K2" s="223" t="s">
        <v>7</v>
      </c>
      <c r="L2" s="224" t="s">
        <v>2863</v>
      </c>
      <c r="M2" s="225" t="s">
        <v>2846</v>
      </c>
    </row>
    <row r="3" spans="1:13" ht="12.75" thickBot="1" x14ac:dyDescent="0.25">
      <c r="A3" s="1046" t="s">
        <v>17</v>
      </c>
      <c r="B3" s="1047"/>
      <c r="C3" s="1048"/>
      <c r="D3" s="226"/>
      <c r="E3" s="227"/>
      <c r="F3" s="228"/>
      <c r="G3" s="228"/>
      <c r="H3" s="229"/>
      <c r="I3" s="229"/>
      <c r="J3" s="230"/>
      <c r="K3" s="230"/>
      <c r="L3" s="229"/>
      <c r="M3" s="228"/>
    </row>
    <row r="4" spans="1:13" ht="15" x14ac:dyDescent="0.25">
      <c r="A4" s="231" t="s">
        <v>2847</v>
      </c>
      <c r="B4" s="232">
        <v>1</v>
      </c>
      <c r="C4" s="262">
        <v>11798459</v>
      </c>
      <c r="D4" s="254" t="s">
        <v>4688</v>
      </c>
      <c r="E4" s="235">
        <v>45029</v>
      </c>
      <c r="F4" s="236">
        <f>IF(E4&lt;&gt;"",'[2]CONCEPTOS Y PARAMETROS'!$L$2-YEAR(E4),"")</f>
        <v>1</v>
      </c>
      <c r="G4" s="237"/>
      <c r="H4" s="238" t="str">
        <f>IFERROR(VLOOKUP(I4,[2]CARGOS!A:E,2,0),"")</f>
        <v>61223</v>
      </c>
      <c r="I4" s="239" t="s">
        <v>4482</v>
      </c>
      <c r="J4" s="240" t="s">
        <v>2840</v>
      </c>
      <c r="K4" s="250">
        <f>IFERROR(VLOOKUP(J4,'[2]TAB EMP'!A:B,2,0),0)</f>
        <v>409</v>
      </c>
      <c r="L4" s="241">
        <v>0</v>
      </c>
      <c r="M4" s="241" t="s">
        <v>2895</v>
      </c>
    </row>
    <row r="5" spans="1:13" ht="15" x14ac:dyDescent="0.25">
      <c r="A5" s="242" t="s">
        <v>2847</v>
      </c>
      <c r="B5" s="243">
        <f t="shared" ref="B5:B8" ca="1" si="0">OFFSET(B5,-1,0)+1</f>
        <v>2</v>
      </c>
      <c r="C5" s="262">
        <v>11894534</v>
      </c>
      <c r="D5" s="234" t="s">
        <v>4687</v>
      </c>
      <c r="E5" s="245">
        <v>44127</v>
      </c>
      <c r="F5" s="246">
        <f>IF(E5&lt;&gt;"",'[2]CONCEPTOS Y PARAMETROS'!$L$2-YEAR(E5),"")</f>
        <v>4</v>
      </c>
      <c r="G5" s="247"/>
      <c r="H5" s="248" t="str">
        <f>IFERROR(VLOOKUP(I5,[2]CARGOS!A:E,2,0),"")</f>
        <v>90101</v>
      </c>
      <c r="I5" s="244" t="s">
        <v>4484</v>
      </c>
      <c r="J5" s="249" t="s">
        <v>2839</v>
      </c>
      <c r="K5" s="250">
        <f>IFERROR(VLOOKUP(J5,'[2]TAB EMP'!A:B,2,0),0)</f>
        <v>376</v>
      </c>
      <c r="L5" s="251">
        <v>0</v>
      </c>
      <c r="M5" s="251" t="s">
        <v>2895</v>
      </c>
    </row>
    <row r="6" spans="1:13" ht="15" x14ac:dyDescent="0.25">
      <c r="A6" s="242" t="s">
        <v>2847</v>
      </c>
      <c r="B6" s="243">
        <f t="shared" ca="1" si="0"/>
        <v>3</v>
      </c>
      <c r="C6" s="262">
        <v>12798736</v>
      </c>
      <c r="D6" s="234" t="s">
        <v>4785</v>
      </c>
      <c r="E6" s="245">
        <v>45098</v>
      </c>
      <c r="F6" s="246">
        <f>IF(E6&lt;&gt;"",'[2]CONCEPTOS Y PARAMETROS'!$L$2-YEAR(E6),"")</f>
        <v>1</v>
      </c>
      <c r="G6" s="247"/>
      <c r="H6" s="248" t="str">
        <f>IFERROR(VLOOKUP(I6,[2]CARGOS!A:E,2,0),"")</f>
        <v>00903</v>
      </c>
      <c r="I6" s="244" t="s">
        <v>894</v>
      </c>
      <c r="J6" s="249" t="s">
        <v>2837</v>
      </c>
      <c r="K6" s="250">
        <f>IFERROR(VLOOKUP(J6,'[2]TAB EMP'!A:B,2,0),0)</f>
        <v>363</v>
      </c>
      <c r="L6" s="251">
        <v>0</v>
      </c>
      <c r="M6" s="251" t="s">
        <v>2895</v>
      </c>
    </row>
    <row r="7" spans="1:13" ht="15.75" thickBot="1" x14ac:dyDescent="0.3">
      <c r="A7" s="252" t="s">
        <v>2847</v>
      </c>
      <c r="B7" s="243">
        <f t="shared" ca="1" si="0"/>
        <v>4</v>
      </c>
      <c r="C7" s="262">
        <v>10914417</v>
      </c>
      <c r="D7" s="234" t="s">
        <v>4689</v>
      </c>
      <c r="E7" s="245">
        <v>44256</v>
      </c>
      <c r="F7" s="256">
        <f>IF(E7&lt;&gt;"",'[2]CONCEPTOS Y PARAMETROS'!$L$2-YEAR(E7),"")</f>
        <v>3</v>
      </c>
      <c r="G7" s="257"/>
      <c r="H7" s="258" t="str">
        <f>IFERROR(VLOOKUP(I7,[2]CARGOS!A:E,2,0),"")</f>
        <v>00904</v>
      </c>
      <c r="I7" s="259" t="s">
        <v>753</v>
      </c>
      <c r="J7" s="260" t="s">
        <v>2837</v>
      </c>
      <c r="K7" s="250">
        <f>IFERROR(VLOOKUP(J7,'[2]TAB EMP'!A:B,2,0),0)</f>
        <v>363</v>
      </c>
      <c r="L7" s="261">
        <v>0</v>
      </c>
      <c r="M7" s="261" t="s">
        <v>2895</v>
      </c>
    </row>
    <row r="8" spans="1:13" ht="15.75" thickBot="1" x14ac:dyDescent="0.3">
      <c r="A8" s="292" t="s">
        <v>2847</v>
      </c>
      <c r="B8" s="463">
        <f t="shared" ca="1" si="0"/>
        <v>5</v>
      </c>
      <c r="C8" s="464">
        <v>16533986</v>
      </c>
      <c r="D8" s="465" t="s">
        <v>4690</v>
      </c>
      <c r="E8" s="466">
        <v>44256</v>
      </c>
      <c r="F8" s="467">
        <f>IF(E8&lt;&gt;"",'[2]CONCEPTOS Y PARAMETROS'!$L$2-YEAR(E8),"")</f>
        <v>3</v>
      </c>
      <c r="G8" s="468">
        <v>4</v>
      </c>
      <c r="H8" s="469" t="str">
        <f>IFERROR(VLOOKUP(I8,[2]CARGOS!A:E,2,0),"")</f>
        <v>00906</v>
      </c>
      <c r="I8" s="259" t="s">
        <v>1583</v>
      </c>
      <c r="J8" s="260" t="s">
        <v>2837</v>
      </c>
      <c r="K8" s="250">
        <f>IFERROR(VLOOKUP(J8,'[2]TAB EMP'!A:B,2,0),0)</f>
        <v>363</v>
      </c>
      <c r="L8" s="261">
        <v>0</v>
      </c>
      <c r="M8" s="261" t="s">
        <v>2895</v>
      </c>
    </row>
    <row r="9" spans="1:13" ht="15.75" thickBot="1" x14ac:dyDescent="0.3">
      <c r="A9" s="301" t="s">
        <v>2847</v>
      </c>
      <c r="B9" s="243">
        <v>6</v>
      </c>
      <c r="C9" s="262"/>
      <c r="D9" s="234" t="s">
        <v>4698</v>
      </c>
      <c r="E9" s="245">
        <v>45292</v>
      </c>
      <c r="F9" s="288"/>
      <c r="G9" s="247"/>
      <c r="H9" s="248" t="str">
        <f>IFERROR(VLOOKUP(I9,[2]CARGOS!A:E,2,0),"")</f>
        <v>00950</v>
      </c>
      <c r="I9" s="446" t="s">
        <v>4486</v>
      </c>
      <c r="J9" s="447" t="s">
        <v>2837</v>
      </c>
      <c r="K9" s="250">
        <f>IFERROR(VLOOKUP(J9,'[2]TAB EMP'!A:B,2,0),0)</f>
        <v>363</v>
      </c>
      <c r="L9" s="261">
        <v>0</v>
      </c>
      <c r="M9" s="261" t="s">
        <v>2895</v>
      </c>
    </row>
    <row r="10" spans="1:13" ht="15.75" thickBot="1" x14ac:dyDescent="0.3">
      <c r="A10" s="301" t="s">
        <v>2847</v>
      </c>
      <c r="B10" s="243">
        <v>7</v>
      </c>
      <c r="C10" s="262"/>
      <c r="D10" s="234" t="s">
        <v>4698</v>
      </c>
      <c r="E10" s="245">
        <v>45292</v>
      </c>
      <c r="F10" s="288"/>
      <c r="G10" s="247"/>
      <c r="H10" s="248" t="str">
        <f>IFERROR(VLOOKUP(I10,[2]CARGOS!A:E,2,0),"")</f>
        <v>00950</v>
      </c>
      <c r="I10" s="446" t="s">
        <v>4486</v>
      </c>
      <c r="J10" s="447" t="s">
        <v>2837</v>
      </c>
      <c r="K10" s="250">
        <f>IFERROR(VLOOKUP(J10,'[2]TAB EMP'!A:B,2,0),0)</f>
        <v>363</v>
      </c>
      <c r="L10" s="261">
        <v>0</v>
      </c>
      <c r="M10" s="261" t="s">
        <v>2895</v>
      </c>
    </row>
    <row r="11" spans="1:13" ht="15.75" customHeight="1" thickBot="1" x14ac:dyDescent="0.25">
      <c r="A11" s="264"/>
      <c r="B11" s="265">
        <f ca="1">COUNT(B4:B10)</f>
        <v>7</v>
      </c>
      <c r="C11" s="1049" t="s">
        <v>2865</v>
      </c>
      <c r="D11" s="1049"/>
      <c r="E11" s="1049"/>
      <c r="F11" s="1049"/>
      <c r="G11" s="1049"/>
      <c r="H11" s="1049"/>
      <c r="I11" s="1049"/>
      <c r="J11" s="1050"/>
      <c r="K11" s="266">
        <f>SUM(K4:K10)</f>
        <v>2600</v>
      </c>
      <c r="L11" s="266">
        <f t="shared" ref="L11:M11" si="1">SUM(L4:L10)</f>
        <v>0</v>
      </c>
      <c r="M11" s="266">
        <f t="shared" si="1"/>
        <v>0</v>
      </c>
    </row>
    <row r="12" spans="1:13" ht="12.75" thickBot="1" x14ac:dyDescent="0.25">
      <c r="A12" s="1046" t="s">
        <v>4572</v>
      </c>
      <c r="B12" s="1047"/>
      <c r="C12" s="1048"/>
      <c r="D12" s="226"/>
      <c r="E12" s="227"/>
      <c r="F12" s="228"/>
      <c r="G12" s="228"/>
      <c r="H12" s="229"/>
      <c r="I12" s="229"/>
      <c r="J12" s="267"/>
      <c r="K12" s="267"/>
      <c r="L12" s="229"/>
      <c r="M12" s="228"/>
    </row>
    <row r="13" spans="1:13" ht="15" x14ac:dyDescent="0.25">
      <c r="A13" s="231" t="s">
        <v>2847</v>
      </c>
      <c r="B13" s="268">
        <v>1</v>
      </c>
      <c r="C13" s="280">
        <v>11705234</v>
      </c>
      <c r="D13" s="234" t="s">
        <v>4691</v>
      </c>
      <c r="E13" s="269">
        <v>44271</v>
      </c>
      <c r="F13" s="236">
        <f>IF(E13&lt;&gt;"",'[2]CONCEPTOS Y PARAMETROS'!$L$2-YEAR(E13),"")</f>
        <v>3</v>
      </c>
      <c r="G13" s="270"/>
      <c r="H13" s="271">
        <v>12111</v>
      </c>
      <c r="I13" s="233" t="s">
        <v>697</v>
      </c>
      <c r="J13" s="272" t="s">
        <v>4786</v>
      </c>
      <c r="K13" s="250">
        <f>IFERROR(VLOOKUP(J13,'[2]TAB EMP'!A:B,2,0),0)</f>
        <v>277</v>
      </c>
      <c r="L13" s="241">
        <v>0</v>
      </c>
      <c r="M13" s="273" t="s">
        <v>2895</v>
      </c>
    </row>
    <row r="14" spans="1:13" ht="15" x14ac:dyDescent="0.25">
      <c r="A14" s="274" t="s">
        <v>2847</v>
      </c>
      <c r="B14" s="275">
        <f t="shared" ref="B14:B17" ca="1" si="2">OFFSET(B14,-1,0)+1</f>
        <v>2</v>
      </c>
      <c r="C14" s="280">
        <v>6142179</v>
      </c>
      <c r="D14" s="234" t="s">
        <v>4693</v>
      </c>
      <c r="E14" s="269">
        <v>44363</v>
      </c>
      <c r="F14" s="246">
        <f>IF(E14&lt;&gt;"",'[2]CONCEPTOS Y PARAMETROS'!$L$2-YEAR(E14),"")</f>
        <v>3</v>
      </c>
      <c r="G14" s="276">
        <v>24</v>
      </c>
      <c r="H14" s="277" t="str">
        <f>IFERROR(VLOOKUP(I14,[2]CARGOS!A:E,2,0),"")</f>
        <v>35121</v>
      </c>
      <c r="I14" s="244" t="s">
        <v>35</v>
      </c>
      <c r="J14" s="278" t="s">
        <v>4787</v>
      </c>
      <c r="K14" s="250">
        <f>IFERROR(VLOOKUP(J14,'[2]TAB EMP'!A:B,2,0),0)</f>
        <v>287</v>
      </c>
      <c r="L14" s="251">
        <v>0</v>
      </c>
      <c r="M14" s="279" t="s">
        <v>2895</v>
      </c>
    </row>
    <row r="15" spans="1:13" ht="15" x14ac:dyDescent="0.25">
      <c r="A15" s="274" t="s">
        <v>2847</v>
      </c>
      <c r="B15" s="275">
        <f t="shared" ca="1" si="2"/>
        <v>3</v>
      </c>
      <c r="C15" s="280">
        <v>10401374</v>
      </c>
      <c r="D15" s="244" t="s">
        <v>4694</v>
      </c>
      <c r="E15" s="245">
        <v>44577</v>
      </c>
      <c r="F15" s="246">
        <f>IF(E15&lt;&gt;"",'[2]CONCEPTOS Y PARAMETROS'!$L$2-YEAR(E15),"")</f>
        <v>2</v>
      </c>
      <c r="G15" s="276">
        <v>12</v>
      </c>
      <c r="H15" s="277" t="str">
        <f>IFERROR(VLOOKUP(I15,[2]CARGOS!A:E,2,0),"")</f>
        <v>12121</v>
      </c>
      <c r="I15" s="244" t="s">
        <v>74</v>
      </c>
      <c r="J15" s="278" t="s">
        <v>4788</v>
      </c>
      <c r="K15" s="250">
        <f>IFERROR(VLOOKUP(J15,'[2]TAB EMP'!A:B,2,0),0)</f>
        <v>283</v>
      </c>
      <c r="L15" s="251">
        <v>1</v>
      </c>
      <c r="M15" s="279" t="s">
        <v>2895</v>
      </c>
    </row>
    <row r="16" spans="1:13" ht="15" x14ac:dyDescent="0.25">
      <c r="A16" s="274" t="s">
        <v>2847</v>
      </c>
      <c r="B16" s="275">
        <f t="shared" ca="1" si="2"/>
        <v>4</v>
      </c>
      <c r="C16" s="280">
        <v>15216786</v>
      </c>
      <c r="D16" s="244" t="s">
        <v>4695</v>
      </c>
      <c r="E16" s="245">
        <v>44713</v>
      </c>
      <c r="F16" s="246">
        <f>IF(E16&lt;&gt;"",'[2]CONCEPTOS Y PARAMETROS'!$L$2-YEAR(E16),"")</f>
        <v>2</v>
      </c>
      <c r="G16" s="276">
        <v>14</v>
      </c>
      <c r="H16" s="277" t="str">
        <f>IFERROR(VLOOKUP(I16,[2]CARGOS!A:E,2,0),"")</f>
        <v>12121</v>
      </c>
      <c r="I16" s="244" t="s">
        <v>74</v>
      </c>
      <c r="J16" s="278" t="s">
        <v>4789</v>
      </c>
      <c r="K16" s="250">
        <f>IFERROR(VLOOKUP(J16,'[2]TAB EMP'!A:B,2,0),0)</f>
        <v>314</v>
      </c>
      <c r="L16" s="251">
        <v>1</v>
      </c>
      <c r="M16" s="279" t="s">
        <v>2896</v>
      </c>
    </row>
    <row r="17" spans="1:13" ht="15" x14ac:dyDescent="0.25">
      <c r="A17" s="274" t="s">
        <v>2847</v>
      </c>
      <c r="B17" s="275">
        <f t="shared" ca="1" si="2"/>
        <v>5</v>
      </c>
      <c r="C17" s="280">
        <v>18097585</v>
      </c>
      <c r="D17" s="244" t="s">
        <v>4696</v>
      </c>
      <c r="E17" s="245">
        <v>44713</v>
      </c>
      <c r="F17" s="246">
        <f>IF(E17&lt;&gt;"",'[2]CONCEPTOS Y PARAMETROS'!$L$2-YEAR(E17),"")</f>
        <v>2</v>
      </c>
      <c r="G17" s="276"/>
      <c r="H17" s="277" t="str">
        <f>IFERROR(VLOOKUP(I17,[2]CARGOS!A:E,2,0),"")</f>
        <v>12111</v>
      </c>
      <c r="I17" s="244" t="s">
        <v>323</v>
      </c>
      <c r="J17" s="278" t="s">
        <v>4697</v>
      </c>
      <c r="K17" s="250">
        <f>IFERROR(VLOOKUP(J17,'[2]TAB EMP'!A:B,2,0),0)</f>
        <v>130</v>
      </c>
      <c r="L17" s="251">
        <v>2</v>
      </c>
      <c r="M17" s="279" t="s">
        <v>2845</v>
      </c>
    </row>
    <row r="18" spans="1:13" ht="12.75" thickBot="1" x14ac:dyDescent="0.25">
      <c r="A18" s="281"/>
      <c r="B18" s="265">
        <f ca="1">COUNT(B13:B17)</f>
        <v>5</v>
      </c>
      <c r="C18" s="1049" t="s">
        <v>4573</v>
      </c>
      <c r="D18" s="1049"/>
      <c r="E18" s="1049"/>
      <c r="F18" s="1049"/>
      <c r="G18" s="1049"/>
      <c r="H18" s="1049"/>
      <c r="I18" s="1049"/>
      <c r="J18" s="1050"/>
      <c r="K18" s="282">
        <f t="shared" ref="K18:M18" si="3">SUM(K13:K17)</f>
        <v>1291</v>
      </c>
      <c r="L18" s="282">
        <f t="shared" si="3"/>
        <v>4</v>
      </c>
      <c r="M18" s="282">
        <f t="shared" si="3"/>
        <v>0</v>
      </c>
    </row>
    <row r="19" spans="1:13" ht="12.75" thickBot="1" x14ac:dyDescent="0.25">
      <c r="A19" s="1051" t="s">
        <v>4574</v>
      </c>
      <c r="B19" s="1052"/>
      <c r="C19" s="1053"/>
      <c r="D19" s="226"/>
      <c r="E19" s="227"/>
      <c r="F19" s="228"/>
      <c r="G19" s="228"/>
      <c r="H19" s="229"/>
      <c r="I19" s="229"/>
      <c r="J19" s="230"/>
      <c r="K19" s="230"/>
      <c r="L19" s="229"/>
      <c r="M19" s="228"/>
    </row>
    <row r="20" spans="1:13" ht="15.75" thickBot="1" x14ac:dyDescent="0.3">
      <c r="A20" s="274" t="s">
        <v>2835</v>
      </c>
      <c r="B20" s="283">
        <v>1</v>
      </c>
      <c r="C20" s="284">
        <v>13896013</v>
      </c>
      <c r="D20" s="285" t="s">
        <v>4672</v>
      </c>
      <c r="E20" s="245">
        <v>44200</v>
      </c>
      <c r="F20" s="236">
        <f>IF(E20&lt;&gt;"",'[2]CONCEPTOS Y PARAMETROS'!$L$2-YEAR(E20),"")</f>
        <v>3</v>
      </c>
      <c r="G20" s="270"/>
      <c r="H20" s="286" t="str">
        <f>IFERROR(VLOOKUP(I20,[2]CARGOS!A:E,2,0),"")</f>
        <v>7204</v>
      </c>
      <c r="I20" s="233" t="s">
        <v>2616</v>
      </c>
      <c r="J20" s="287">
        <v>5</v>
      </c>
      <c r="K20" s="462">
        <f>IFERROR(VLOOKUP(J20,'[2]TAB OBR'!A:B,2,0),0)</f>
        <v>171</v>
      </c>
      <c r="L20" s="273">
        <v>2</v>
      </c>
      <c r="M20" s="273" t="s">
        <v>2894</v>
      </c>
    </row>
    <row r="21" spans="1:13" ht="15.75" thickBot="1" x14ac:dyDescent="0.3">
      <c r="A21" s="242" t="s">
        <v>2835</v>
      </c>
      <c r="B21" s="275">
        <f t="shared" ref="B21:B29" ca="1" si="4">OFFSET(B21,-1,0)+1</f>
        <v>2</v>
      </c>
      <c r="C21" s="280">
        <v>3461751</v>
      </c>
      <c r="D21" s="285" t="s">
        <v>4673</v>
      </c>
      <c r="E21" s="245">
        <v>44200</v>
      </c>
      <c r="F21" s="288">
        <f>IF(E21&lt;&gt;"",'[2]CONCEPTOS Y PARAMETROS'!$L$2-YEAR(E21),"")</f>
        <v>3</v>
      </c>
      <c r="G21" s="247"/>
      <c r="H21" s="289" t="str">
        <f>IFERROR(VLOOKUP(I21,[2]CARGOS!A:E,2,0),"")</f>
        <v>7204</v>
      </c>
      <c r="I21" s="233" t="s">
        <v>2616</v>
      </c>
      <c r="J21" s="287">
        <v>5</v>
      </c>
      <c r="K21" s="462">
        <f>IFERROR(VLOOKUP(J21,'[2]TAB OBR'!A:B,2,0),0)</f>
        <v>171</v>
      </c>
      <c r="L21" s="251">
        <v>0</v>
      </c>
      <c r="M21" s="251" t="s">
        <v>2894</v>
      </c>
    </row>
    <row r="22" spans="1:13" ht="15.75" thickBot="1" x14ac:dyDescent="0.3">
      <c r="A22" s="242" t="s">
        <v>2835</v>
      </c>
      <c r="B22" s="275">
        <f t="shared" ca="1" si="4"/>
        <v>3</v>
      </c>
      <c r="C22" s="280">
        <v>16881223</v>
      </c>
      <c r="D22" s="285" t="s">
        <v>4674</v>
      </c>
      <c r="E22" s="245">
        <v>44200</v>
      </c>
      <c r="F22" s="288">
        <f>IF(E22&lt;&gt;"",'[2]CONCEPTOS Y PARAMETROS'!$L$2-YEAR(E22),"")</f>
        <v>3</v>
      </c>
      <c r="G22" s="247"/>
      <c r="H22" s="289" t="str">
        <f>IFERROR(VLOOKUP(I22,[2]CARGOS!A:E,2,0),"")</f>
        <v>7204</v>
      </c>
      <c r="I22" s="233" t="s">
        <v>2616</v>
      </c>
      <c r="J22" s="287">
        <v>5</v>
      </c>
      <c r="K22" s="462">
        <f>IFERROR(VLOOKUP(J22,'[2]TAB OBR'!A:B,2,0),0)</f>
        <v>171</v>
      </c>
      <c r="L22" s="251">
        <v>0</v>
      </c>
      <c r="M22" s="251" t="s">
        <v>2894</v>
      </c>
    </row>
    <row r="23" spans="1:13" ht="15.75" thickBot="1" x14ac:dyDescent="0.3">
      <c r="A23" s="242" t="s">
        <v>2835</v>
      </c>
      <c r="B23" s="275">
        <f t="shared" ca="1" si="4"/>
        <v>4</v>
      </c>
      <c r="C23" s="280">
        <v>9005286</v>
      </c>
      <c r="D23" s="290" t="s">
        <v>4675</v>
      </c>
      <c r="E23" s="245">
        <v>44200</v>
      </c>
      <c r="F23" s="288">
        <f>IF(E23&lt;&gt;"",'[2]CONCEPTOS Y PARAMETROS'!$L$2-YEAR(E23),"")</f>
        <v>3</v>
      </c>
      <c r="G23" s="247"/>
      <c r="H23" s="289" t="str">
        <f>IFERROR(VLOOKUP(I23,[2]CARGOS!A:E,2,0),"")</f>
        <v>7204</v>
      </c>
      <c r="I23" s="233" t="s">
        <v>2616</v>
      </c>
      <c r="J23" s="287">
        <v>5</v>
      </c>
      <c r="K23" s="462">
        <f>IFERROR(VLOOKUP(J23,'[2]TAB OBR'!A:B,2,0),0)</f>
        <v>171</v>
      </c>
      <c r="L23" s="251">
        <v>0</v>
      </c>
      <c r="M23" s="251" t="s">
        <v>2894</v>
      </c>
    </row>
    <row r="24" spans="1:13" ht="15.75" thickBot="1" x14ac:dyDescent="0.3">
      <c r="A24" s="242" t="s">
        <v>2835</v>
      </c>
      <c r="B24" s="275">
        <f t="shared" ca="1" si="4"/>
        <v>5</v>
      </c>
      <c r="C24" s="280">
        <v>12906230</v>
      </c>
      <c r="D24" s="285" t="s">
        <v>4676</v>
      </c>
      <c r="E24" s="245">
        <v>44200</v>
      </c>
      <c r="F24" s="288">
        <f>IF(E24&lt;&gt;"",'[2]CONCEPTOS Y PARAMETROS'!$L$2-YEAR(E24),"")</f>
        <v>3</v>
      </c>
      <c r="G24" s="247"/>
      <c r="H24" s="289" t="str">
        <f>IFERROR(VLOOKUP(I24,[2]CARGOS!A:E,2,0),"")</f>
        <v>7204</v>
      </c>
      <c r="I24" s="233" t="s">
        <v>2616</v>
      </c>
      <c r="J24" s="287">
        <v>5</v>
      </c>
      <c r="K24" s="462">
        <f>IFERROR(VLOOKUP(J24,'[2]TAB OBR'!A:B,2,0),0)</f>
        <v>171</v>
      </c>
      <c r="L24" s="251">
        <v>1</v>
      </c>
      <c r="M24" s="251" t="s">
        <v>2894</v>
      </c>
    </row>
    <row r="25" spans="1:13" ht="15.75" thickBot="1" x14ac:dyDescent="0.3">
      <c r="A25" s="242" t="s">
        <v>2835</v>
      </c>
      <c r="B25" s="275">
        <f t="shared" ca="1" si="4"/>
        <v>6</v>
      </c>
      <c r="C25" s="280">
        <v>13896972</v>
      </c>
      <c r="D25" s="290" t="s">
        <v>4677</v>
      </c>
      <c r="E25" s="245">
        <v>44200</v>
      </c>
      <c r="F25" s="288">
        <f>IF(E25&lt;&gt;"",'[2]CONCEPTOS Y PARAMETROS'!$L$2-YEAR(E25),"")</f>
        <v>3</v>
      </c>
      <c r="G25" s="247"/>
      <c r="H25" s="289" t="str">
        <f>IFERROR(VLOOKUP(I25,[2]CARGOS!A:E,2,0),"")</f>
        <v>7204</v>
      </c>
      <c r="I25" s="233" t="s">
        <v>2616</v>
      </c>
      <c r="J25" s="291">
        <v>5</v>
      </c>
      <c r="K25" s="462">
        <f>IFERROR(VLOOKUP(J25,'[2]TAB OBR'!A:B,2,0),0)</f>
        <v>171</v>
      </c>
      <c r="L25" s="251">
        <v>1</v>
      </c>
      <c r="M25" s="251" t="s">
        <v>2894</v>
      </c>
    </row>
    <row r="26" spans="1:13" ht="15.75" thickBot="1" x14ac:dyDescent="0.3">
      <c r="A26" s="242" t="s">
        <v>2835</v>
      </c>
      <c r="B26" s="275">
        <f t="shared" ca="1" si="4"/>
        <v>7</v>
      </c>
      <c r="C26" s="280">
        <v>28322776</v>
      </c>
      <c r="D26" s="290" t="s">
        <v>4679</v>
      </c>
      <c r="E26" s="245">
        <v>44228</v>
      </c>
      <c r="F26" s="288">
        <f>IF(E26&lt;&gt;"",'[2]CONCEPTOS Y PARAMETROS'!$L$2-YEAR(E26),"")</f>
        <v>3</v>
      </c>
      <c r="G26" s="247"/>
      <c r="H26" s="289" t="str">
        <f>IFERROR(VLOOKUP(I26,[2]CARGOS!A:E,2,0),"")</f>
        <v>2202</v>
      </c>
      <c r="I26" s="244" t="s">
        <v>3332</v>
      </c>
      <c r="J26" s="291">
        <v>1</v>
      </c>
      <c r="K26" s="462">
        <f>IFERROR(VLOOKUP(J26,'[2]TAB OBR'!A:B,2,0),0)</f>
        <v>130</v>
      </c>
      <c r="L26" s="251">
        <v>0</v>
      </c>
      <c r="M26" s="251" t="s">
        <v>2894</v>
      </c>
    </row>
    <row r="27" spans="1:13" ht="15.75" thickBot="1" x14ac:dyDescent="0.3">
      <c r="A27" s="242" t="s">
        <v>2835</v>
      </c>
      <c r="B27" s="275">
        <f t="shared" ca="1" si="4"/>
        <v>8</v>
      </c>
      <c r="C27" s="280">
        <v>16533987</v>
      </c>
      <c r="D27" s="290" t="s">
        <v>4680</v>
      </c>
      <c r="E27" s="245">
        <v>44256</v>
      </c>
      <c r="F27" s="288">
        <f>IF(E27&lt;&gt;"",'[2]CONCEPTOS Y PARAMETROS'!$L$2-YEAR(E27),"")</f>
        <v>3</v>
      </c>
      <c r="G27" s="247"/>
      <c r="H27" s="289" t="str">
        <f>IFERROR(VLOOKUP(I27,[2]CARGOS!A:E,2,0),"")</f>
        <v>7204</v>
      </c>
      <c r="I27" s="244" t="s">
        <v>2616</v>
      </c>
      <c r="J27" s="291">
        <v>5</v>
      </c>
      <c r="K27" s="462">
        <f>IFERROR(VLOOKUP(J27,'[2]TAB OBR'!A:B,2,0),0)</f>
        <v>171</v>
      </c>
      <c r="L27" s="251">
        <v>2</v>
      </c>
      <c r="M27" s="251" t="s">
        <v>2894</v>
      </c>
    </row>
    <row r="28" spans="1:13" ht="15.75" thickBot="1" x14ac:dyDescent="0.3">
      <c r="A28" s="242" t="s">
        <v>2835</v>
      </c>
      <c r="B28" s="275">
        <f t="shared" ca="1" si="4"/>
        <v>9</v>
      </c>
      <c r="C28" s="262">
        <v>9322076</v>
      </c>
      <c r="D28" s="290" t="s">
        <v>4681</v>
      </c>
      <c r="E28" s="245">
        <v>44271</v>
      </c>
      <c r="F28" s="288">
        <f>IF(E28&lt;&gt;"",'[2]CONCEPTOS Y PARAMETROS'!$L$2-YEAR(E28),"")</f>
        <v>3</v>
      </c>
      <c r="G28" s="247"/>
      <c r="H28" s="289" t="str">
        <f>IFERROR(VLOOKUP(I28,[2]CARGOS!A:E,2,0),"")</f>
        <v>7204</v>
      </c>
      <c r="I28" s="244" t="s">
        <v>2616</v>
      </c>
      <c r="J28" s="291">
        <v>5</v>
      </c>
      <c r="K28" s="462">
        <f>IFERROR(VLOOKUP(J28,'[2]TAB OBR'!A:B,2,0),0)</f>
        <v>171</v>
      </c>
      <c r="L28" s="251">
        <v>0</v>
      </c>
      <c r="M28" s="251" t="s">
        <v>2894</v>
      </c>
    </row>
    <row r="29" spans="1:13" ht="15.75" thickBot="1" x14ac:dyDescent="0.3">
      <c r="A29" s="292" t="s">
        <v>2835</v>
      </c>
      <c r="B29" s="293">
        <f t="shared" ca="1" si="4"/>
        <v>10</v>
      </c>
      <c r="C29" s="294">
        <v>5791278</v>
      </c>
      <c r="D29" s="295" t="s">
        <v>4682</v>
      </c>
      <c r="E29" s="255">
        <v>44652</v>
      </c>
      <c r="F29" s="296">
        <v>0</v>
      </c>
      <c r="G29" s="297"/>
      <c r="H29" s="298" t="str">
        <f>IFERROR(VLOOKUP(I29,[2]CARGOS!A:E,2,0),"")</f>
        <v>7204</v>
      </c>
      <c r="I29" s="253" t="s">
        <v>2616</v>
      </c>
      <c r="J29" s="299">
        <v>5</v>
      </c>
      <c r="K29" s="462">
        <f>IFERROR(VLOOKUP(J29,'[2]TAB OBR'!A:B,2,0),0)</f>
        <v>171</v>
      </c>
      <c r="L29" s="300">
        <v>0</v>
      </c>
      <c r="M29" s="300" t="s">
        <v>2894</v>
      </c>
    </row>
    <row r="30" spans="1:13" ht="15.75" thickBot="1" x14ac:dyDescent="0.3">
      <c r="A30" s="470" t="s">
        <v>2835</v>
      </c>
      <c r="B30" s="293">
        <v>11</v>
      </c>
      <c r="C30" s="262">
        <v>25832162</v>
      </c>
      <c r="D30" s="290" t="s">
        <v>4703</v>
      </c>
      <c r="E30" s="255">
        <v>45078</v>
      </c>
      <c r="F30" s="296">
        <v>0</v>
      </c>
      <c r="G30" s="297"/>
      <c r="H30" s="298">
        <v>2202</v>
      </c>
      <c r="I30" s="253" t="s">
        <v>3332</v>
      </c>
      <c r="J30" s="299">
        <v>1</v>
      </c>
      <c r="K30" s="462">
        <f>IFERROR(VLOOKUP(J30,'[2]TAB OBR'!A:B,2,0),0)</f>
        <v>130</v>
      </c>
      <c r="L30" s="300">
        <v>1</v>
      </c>
      <c r="M30" s="300" t="s">
        <v>2894</v>
      </c>
    </row>
    <row r="31" spans="1:13" ht="15.75" thickBot="1" x14ac:dyDescent="0.3">
      <c r="A31" s="470" t="s">
        <v>2835</v>
      </c>
      <c r="B31" s="293">
        <v>12</v>
      </c>
      <c r="C31" s="262">
        <v>16534379</v>
      </c>
      <c r="D31" s="290" t="s">
        <v>4705</v>
      </c>
      <c r="E31" s="255">
        <v>45108</v>
      </c>
      <c r="F31" s="296">
        <v>0</v>
      </c>
      <c r="G31" s="297"/>
      <c r="H31" s="298" t="str">
        <f>IFERROR(VLOOKUP(I31,[2]CARGOS!A:E,2,0),"")</f>
        <v>7204</v>
      </c>
      <c r="I31" s="253" t="s">
        <v>2616</v>
      </c>
      <c r="J31" s="299">
        <v>5</v>
      </c>
      <c r="K31" s="462">
        <f>IFERROR(VLOOKUP(J31,'[2]TAB OBR'!A:B,2,0),0)</f>
        <v>171</v>
      </c>
      <c r="L31" s="300">
        <v>0</v>
      </c>
      <c r="M31" s="300" t="s">
        <v>2894</v>
      </c>
    </row>
    <row r="32" spans="1:13" ht="15.75" thickBot="1" x14ac:dyDescent="0.3">
      <c r="A32" s="470" t="s">
        <v>2835</v>
      </c>
      <c r="B32" s="293">
        <v>13</v>
      </c>
      <c r="C32" s="262">
        <v>28542190</v>
      </c>
      <c r="D32" s="290" t="s">
        <v>4706</v>
      </c>
      <c r="E32" s="255">
        <v>45108</v>
      </c>
      <c r="F32" s="296">
        <v>0</v>
      </c>
      <c r="G32" s="297"/>
      <c r="H32" s="298">
        <v>7204</v>
      </c>
      <c r="I32" s="253" t="s">
        <v>2616</v>
      </c>
      <c r="J32" s="299">
        <v>5</v>
      </c>
      <c r="K32" s="462">
        <f>IFERROR(VLOOKUP(J32,'[2]TAB OBR'!A:B,2,0),0)</f>
        <v>171</v>
      </c>
      <c r="L32" s="300">
        <v>0</v>
      </c>
      <c r="M32" s="300" t="s">
        <v>2894</v>
      </c>
    </row>
    <row r="33" spans="1:13" ht="15.75" thickBot="1" x14ac:dyDescent="0.3">
      <c r="A33" s="301" t="s">
        <v>2835</v>
      </c>
      <c r="B33" s="275">
        <v>14</v>
      </c>
      <c r="C33" s="262"/>
      <c r="D33" s="290" t="s">
        <v>4698</v>
      </c>
      <c r="E33" s="245">
        <v>45292</v>
      </c>
      <c r="F33" s="296">
        <v>0</v>
      </c>
      <c r="G33" s="247"/>
      <c r="H33" s="298" t="str">
        <f>IFERROR(VLOOKUP(I33,[2]CARGOS!A:E,2,0),"")</f>
        <v>7103</v>
      </c>
      <c r="I33" s="244" t="s">
        <v>2551</v>
      </c>
      <c r="J33" s="291">
        <v>1</v>
      </c>
      <c r="K33" s="462">
        <f>IFERROR(VLOOKUP(J33,'[2]TAB OBR'!A:B,2,0),0)</f>
        <v>130</v>
      </c>
      <c r="L33" s="251">
        <v>0</v>
      </c>
      <c r="M33" s="251" t="s">
        <v>2894</v>
      </c>
    </row>
    <row r="34" spans="1:13" ht="15" x14ac:dyDescent="0.25">
      <c r="A34" s="301" t="s">
        <v>2835</v>
      </c>
      <c r="B34" s="275">
        <v>15</v>
      </c>
      <c r="C34" s="262"/>
      <c r="D34" s="290" t="s">
        <v>4698</v>
      </c>
      <c r="E34" s="245">
        <v>45292</v>
      </c>
      <c r="F34" s="288">
        <v>0</v>
      </c>
      <c r="G34" s="247"/>
      <c r="H34" s="298" t="str">
        <f>IFERROR(VLOOKUP(I34,[2]CARGOS!A:E,2,0),"")</f>
        <v>7204</v>
      </c>
      <c r="I34" s="244" t="s">
        <v>2616</v>
      </c>
      <c r="J34" s="287">
        <v>5</v>
      </c>
      <c r="K34" s="462">
        <f>IFERROR(VLOOKUP(J34,'[2]TAB OBR'!A:B,2,0),0)</f>
        <v>171</v>
      </c>
      <c r="L34" s="251">
        <v>0</v>
      </c>
      <c r="M34" s="251" t="s">
        <v>2894</v>
      </c>
    </row>
    <row r="35" spans="1:13" ht="12.75" thickBot="1" x14ac:dyDescent="0.25">
      <c r="A35" s="263"/>
      <c r="B35" s="265">
        <f ca="1">COUNT(B20:B34)</f>
        <v>15</v>
      </c>
      <c r="C35" s="1049" t="s">
        <v>4504</v>
      </c>
      <c r="D35" s="1049"/>
      <c r="E35" s="1049"/>
      <c r="F35" s="1049"/>
      <c r="G35" s="1049"/>
      <c r="H35" s="1049"/>
      <c r="I35" s="1049"/>
      <c r="J35" s="1050"/>
      <c r="K35" s="282">
        <f t="shared" ref="K35:M35" si="5">SUM(K20:K34)</f>
        <v>2442</v>
      </c>
      <c r="L35" s="282">
        <f t="shared" si="5"/>
        <v>7</v>
      </c>
      <c r="M35" s="282">
        <f t="shared" si="5"/>
        <v>0</v>
      </c>
    </row>
    <row r="36" spans="1:13" x14ac:dyDescent="0.2">
      <c r="E36" s="303"/>
      <c r="F36" s="303"/>
      <c r="G36" s="303"/>
    </row>
    <row r="37" spans="1:13" ht="15.75" customHeight="1" thickBot="1" x14ac:dyDescent="0.25">
      <c r="E37" s="303"/>
      <c r="F37" s="303"/>
      <c r="G37" s="303"/>
    </row>
    <row r="38" spans="1:13" ht="12.75" thickBot="1" x14ac:dyDescent="0.25">
      <c r="A38" s="304"/>
      <c r="B38" s="305">
        <f ca="1">B11+B18+B35</f>
        <v>27</v>
      </c>
      <c r="C38" s="1057" t="s">
        <v>2885</v>
      </c>
      <c r="D38" s="1058"/>
      <c r="E38" s="1058"/>
      <c r="F38" s="1058"/>
      <c r="G38" s="1058"/>
      <c r="H38" s="1058"/>
      <c r="I38" s="1059"/>
      <c r="J38" s="306"/>
      <c r="K38" s="307">
        <f t="shared" ref="K38:M38" si="6">K11+K18+K35</f>
        <v>6333</v>
      </c>
      <c r="L38" s="307">
        <f t="shared" si="6"/>
        <v>11</v>
      </c>
      <c r="M38" s="307">
        <f t="shared" si="6"/>
        <v>0</v>
      </c>
    </row>
    <row r="39" spans="1:13" hidden="1" x14ac:dyDescent="0.2">
      <c r="K39" s="309"/>
      <c r="L39" s="310"/>
      <c r="M39" s="311"/>
    </row>
    <row r="40" spans="1:13" hidden="1" x14ac:dyDescent="0.2">
      <c r="E40" s="303"/>
      <c r="F40" s="303"/>
      <c r="G40" s="303"/>
      <c r="K40" s="312">
        <f>+K38*12</f>
        <v>75996</v>
      </c>
    </row>
    <row r="41" spans="1:13" hidden="1" x14ac:dyDescent="0.2">
      <c r="E41" s="303"/>
      <c r="F41" s="303"/>
      <c r="G41" s="303"/>
      <c r="K41" s="309"/>
    </row>
    <row r="42" spans="1:13" hidden="1" x14ac:dyDescent="0.2">
      <c r="E42" s="303"/>
      <c r="F42" s="303"/>
      <c r="G42" s="303"/>
      <c r="K42" s="309" t="e">
        <f>+K40+#REF!+#REF!+#REF!+#REF!+#REF!</f>
        <v>#REF!</v>
      </c>
    </row>
    <row r="43" spans="1:13" hidden="1" x14ac:dyDescent="0.2">
      <c r="E43" s="303"/>
      <c r="F43" s="303"/>
      <c r="G43" s="303"/>
      <c r="K43" s="309"/>
    </row>
    <row r="44" spans="1:13" hidden="1" x14ac:dyDescent="0.2">
      <c r="E44" s="303"/>
      <c r="F44" s="303"/>
      <c r="G44" s="303"/>
      <c r="K44" s="309"/>
    </row>
    <row r="45" spans="1:13" hidden="1" x14ac:dyDescent="0.2">
      <c r="E45" s="303"/>
      <c r="F45" s="303"/>
      <c r="G45" s="303"/>
      <c r="K45" s="309"/>
    </row>
    <row r="46" spans="1:13" x14ac:dyDescent="0.2">
      <c r="K46" s="309"/>
    </row>
    <row r="47" spans="1:13" x14ac:dyDescent="0.2">
      <c r="K47" s="309"/>
    </row>
    <row r="48" spans="1:13" x14ac:dyDescent="0.2">
      <c r="K48" s="309"/>
    </row>
    <row r="49" spans="6:11" x14ac:dyDescent="0.2">
      <c r="K49" s="309"/>
    </row>
    <row r="50" spans="6:11" x14ac:dyDescent="0.2">
      <c r="F50" s="1040"/>
      <c r="G50" s="1040"/>
      <c r="K50" s="309"/>
    </row>
    <row r="51" spans="6:11" x14ac:dyDescent="0.2">
      <c r="F51" s="1040"/>
      <c r="G51" s="1040"/>
      <c r="K51" s="309"/>
    </row>
    <row r="52" spans="6:11" x14ac:dyDescent="0.2">
      <c r="F52" s="1040"/>
      <c r="G52" s="1040"/>
      <c r="K52" s="309"/>
    </row>
    <row r="53" spans="6:11" x14ac:dyDescent="0.2">
      <c r="F53" s="1040"/>
      <c r="G53" s="1040"/>
      <c r="K53" s="309"/>
    </row>
    <row r="54" spans="6:11" x14ac:dyDescent="0.2">
      <c r="F54" s="1040"/>
      <c r="G54" s="1040"/>
      <c r="K54" s="309"/>
    </row>
    <row r="55" spans="6:11" x14ac:dyDescent="0.2">
      <c r="F55" s="1040"/>
      <c r="G55" s="1040"/>
      <c r="K55" s="309"/>
    </row>
    <row r="56" spans="6:11" x14ac:dyDescent="0.2">
      <c r="F56" s="1040"/>
      <c r="G56" s="1040"/>
      <c r="K56" s="309"/>
    </row>
    <row r="57" spans="6:11" x14ac:dyDescent="0.2">
      <c r="F57" s="1040"/>
      <c r="G57" s="1040"/>
      <c r="K57" s="309"/>
    </row>
    <row r="58" spans="6:11" x14ac:dyDescent="0.2">
      <c r="F58" s="1040"/>
      <c r="G58" s="1040"/>
      <c r="K58" s="309"/>
    </row>
    <row r="59" spans="6:11" x14ac:dyDescent="0.2">
      <c r="F59" s="1040"/>
      <c r="G59" s="1040"/>
      <c r="K59" s="309"/>
    </row>
    <row r="60" spans="6:11" x14ac:dyDescent="0.2">
      <c r="F60" s="1040"/>
      <c r="G60" s="1040"/>
      <c r="K60" s="309"/>
    </row>
    <row r="61" spans="6:11" x14ac:dyDescent="0.2">
      <c r="F61" s="1040"/>
      <c r="G61" s="1040"/>
      <c r="K61" s="309"/>
    </row>
    <row r="62" spans="6:11" x14ac:dyDescent="0.2">
      <c r="F62" s="1040"/>
      <c r="G62" s="1040"/>
      <c r="K62" s="309"/>
    </row>
    <row r="63" spans="6:11" x14ac:dyDescent="0.2">
      <c r="F63" s="1040"/>
      <c r="G63" s="1040"/>
      <c r="K63" s="309"/>
    </row>
    <row r="64" spans="6:11" x14ac:dyDescent="0.2">
      <c r="F64" s="1040"/>
      <c r="G64" s="1040"/>
      <c r="K64" s="309"/>
    </row>
    <row r="65" spans="6:11" x14ac:dyDescent="0.2">
      <c r="F65" s="1040"/>
      <c r="G65" s="1040"/>
      <c r="K65" s="309"/>
    </row>
    <row r="66" spans="6:11" x14ac:dyDescent="0.2">
      <c r="F66" s="1040"/>
      <c r="G66" s="1040"/>
      <c r="K66" s="309"/>
    </row>
    <row r="67" spans="6:11" x14ac:dyDescent="0.2">
      <c r="F67" s="1040"/>
      <c r="G67" s="1040"/>
      <c r="K67" s="309"/>
    </row>
    <row r="68" spans="6:11" x14ac:dyDescent="0.2">
      <c r="F68" s="1040"/>
      <c r="G68" s="1040"/>
      <c r="K68" s="309"/>
    </row>
    <row r="69" spans="6:11" x14ac:dyDescent="0.2">
      <c r="K69" s="309"/>
    </row>
    <row r="70" spans="6:11" x14ac:dyDescent="0.2">
      <c r="K70" s="309"/>
    </row>
    <row r="71" spans="6:11" x14ac:dyDescent="0.2">
      <c r="K71" s="309"/>
    </row>
    <row r="72" spans="6:11" x14ac:dyDescent="0.2">
      <c r="K72" s="309"/>
    </row>
    <row r="73" spans="6:11" x14ac:dyDescent="0.2">
      <c r="K73" s="309"/>
    </row>
    <row r="74" spans="6:11" x14ac:dyDescent="0.2">
      <c r="K74" s="309"/>
    </row>
    <row r="75" spans="6:11" x14ac:dyDescent="0.2">
      <c r="K75" s="309"/>
    </row>
    <row r="76" spans="6:11" x14ac:dyDescent="0.2">
      <c r="K76" s="309"/>
    </row>
    <row r="77" spans="6:11" x14ac:dyDescent="0.2">
      <c r="K77" s="309"/>
    </row>
    <row r="78" spans="6:11" x14ac:dyDescent="0.2">
      <c r="K78" s="309"/>
    </row>
    <row r="79" spans="6:11" x14ac:dyDescent="0.2">
      <c r="K79" s="309"/>
    </row>
    <row r="80" spans="6:11" x14ac:dyDescent="0.2">
      <c r="K80" s="309"/>
    </row>
    <row r="81" spans="11:11" x14ac:dyDescent="0.2">
      <c r="K81" s="309"/>
    </row>
    <row r="82" spans="11:11" x14ac:dyDescent="0.2">
      <c r="K82" s="309"/>
    </row>
    <row r="83" spans="11:11" x14ac:dyDescent="0.2">
      <c r="K83" s="309"/>
    </row>
    <row r="84" spans="11:11" x14ac:dyDescent="0.2">
      <c r="K84" s="309"/>
    </row>
    <row r="85" spans="11:11" x14ac:dyDescent="0.2">
      <c r="K85" s="309"/>
    </row>
    <row r="86" spans="11:11" x14ac:dyDescent="0.2">
      <c r="K86" s="309"/>
    </row>
    <row r="87" spans="11:11" x14ac:dyDescent="0.2">
      <c r="K87" s="309"/>
    </row>
    <row r="88" spans="11:11" x14ac:dyDescent="0.2">
      <c r="K88" s="309"/>
    </row>
    <row r="89" spans="11:11" x14ac:dyDescent="0.2">
      <c r="K89" s="309"/>
    </row>
    <row r="90" spans="11:11" x14ac:dyDescent="0.2">
      <c r="K90" s="309"/>
    </row>
    <row r="91" spans="11:11" x14ac:dyDescent="0.2">
      <c r="K91" s="309"/>
    </row>
    <row r="92" spans="11:11" x14ac:dyDescent="0.2">
      <c r="K92" s="309"/>
    </row>
    <row r="93" spans="11:11" x14ac:dyDescent="0.2">
      <c r="K93" s="309"/>
    </row>
    <row r="94" spans="11:11" x14ac:dyDescent="0.2">
      <c r="K94" s="309"/>
    </row>
    <row r="95" spans="11:11" x14ac:dyDescent="0.2">
      <c r="K95" s="309"/>
    </row>
    <row r="96" spans="11:11" x14ac:dyDescent="0.2">
      <c r="K96" s="309"/>
    </row>
    <row r="97" spans="11:11" x14ac:dyDescent="0.2">
      <c r="K97" s="309"/>
    </row>
    <row r="98" spans="11:11" x14ac:dyDescent="0.2">
      <c r="K98" s="309"/>
    </row>
    <row r="99" spans="11:11" x14ac:dyDescent="0.2">
      <c r="K99" s="309"/>
    </row>
    <row r="100" spans="11:11" x14ac:dyDescent="0.2">
      <c r="K100" s="309"/>
    </row>
    <row r="101" spans="11:11" x14ac:dyDescent="0.2">
      <c r="K101" s="309"/>
    </row>
    <row r="102" spans="11:11" x14ac:dyDescent="0.2">
      <c r="K102" s="309"/>
    </row>
    <row r="103" spans="11:11" x14ac:dyDescent="0.2">
      <c r="K103" s="309"/>
    </row>
    <row r="104" spans="11:11" x14ac:dyDescent="0.2">
      <c r="K104" s="309"/>
    </row>
    <row r="105" spans="11:11" x14ac:dyDescent="0.2">
      <c r="K105" s="309"/>
    </row>
    <row r="106" spans="11:11" x14ac:dyDescent="0.2">
      <c r="K106" s="309"/>
    </row>
    <row r="107" spans="11:11" x14ac:dyDescent="0.2">
      <c r="K107" s="309"/>
    </row>
    <row r="108" spans="11:11" x14ac:dyDescent="0.2">
      <c r="K108" s="309"/>
    </row>
    <row r="109" spans="11:11" x14ac:dyDescent="0.2">
      <c r="K109" s="309"/>
    </row>
    <row r="110" spans="11:11" x14ac:dyDescent="0.2">
      <c r="K110" s="309"/>
    </row>
    <row r="111" spans="11:11" x14ac:dyDescent="0.2">
      <c r="K111" s="309"/>
    </row>
    <row r="112" spans="11:11" x14ac:dyDescent="0.2">
      <c r="K112" s="309"/>
    </row>
    <row r="113" spans="11:11" x14ac:dyDescent="0.2">
      <c r="K113" s="309"/>
    </row>
    <row r="114" spans="11:11" x14ac:dyDescent="0.2">
      <c r="K114" s="309"/>
    </row>
    <row r="115" spans="11:11" x14ac:dyDescent="0.2">
      <c r="K115" s="309"/>
    </row>
    <row r="116" spans="11:11" x14ac:dyDescent="0.2">
      <c r="K116" s="309"/>
    </row>
    <row r="117" spans="11:11" x14ac:dyDescent="0.2">
      <c r="K117" s="309"/>
    </row>
    <row r="118" spans="11:11" x14ac:dyDescent="0.2">
      <c r="K118" s="309"/>
    </row>
    <row r="119" spans="11:11" x14ac:dyDescent="0.2">
      <c r="K119" s="309"/>
    </row>
    <row r="120" spans="11:11" x14ac:dyDescent="0.2">
      <c r="K120" s="309"/>
    </row>
    <row r="121" spans="11:11" x14ac:dyDescent="0.2">
      <c r="K121" s="309"/>
    </row>
    <row r="122" spans="11:11" x14ac:dyDescent="0.2">
      <c r="K122" s="309"/>
    </row>
    <row r="123" spans="11:11" x14ac:dyDescent="0.2">
      <c r="K123" s="309"/>
    </row>
    <row r="124" spans="11:11" x14ac:dyDescent="0.2">
      <c r="K124" s="309"/>
    </row>
    <row r="125" spans="11:11" x14ac:dyDescent="0.2">
      <c r="K125" s="309"/>
    </row>
    <row r="126" spans="11:11" x14ac:dyDescent="0.2">
      <c r="K126" s="309"/>
    </row>
    <row r="127" spans="11:11" x14ac:dyDescent="0.2">
      <c r="K127" s="309"/>
    </row>
    <row r="128" spans="11:11" x14ac:dyDescent="0.2">
      <c r="K128" s="309"/>
    </row>
    <row r="129" spans="11:11" x14ac:dyDescent="0.2">
      <c r="K129" s="309"/>
    </row>
    <row r="130" spans="11:11" x14ac:dyDescent="0.2">
      <c r="K130" s="309"/>
    </row>
    <row r="131" spans="11:11" x14ac:dyDescent="0.2">
      <c r="K131" s="309"/>
    </row>
    <row r="132" spans="11:11" x14ac:dyDescent="0.2">
      <c r="K132" s="309"/>
    </row>
    <row r="133" spans="11:11" x14ac:dyDescent="0.2">
      <c r="K133" s="309"/>
    </row>
    <row r="134" spans="11:11" x14ac:dyDescent="0.2">
      <c r="K134" s="309"/>
    </row>
    <row r="135" spans="11:11" x14ac:dyDescent="0.2">
      <c r="K135" s="309"/>
    </row>
    <row r="136" spans="11:11" x14ac:dyDescent="0.2">
      <c r="K136" s="309"/>
    </row>
    <row r="137" spans="11:11" x14ac:dyDescent="0.2">
      <c r="K137" s="309"/>
    </row>
    <row r="138" spans="11:11" x14ac:dyDescent="0.2">
      <c r="K138" s="309"/>
    </row>
    <row r="139" spans="11:11" x14ac:dyDescent="0.2">
      <c r="K139" s="309"/>
    </row>
    <row r="140" spans="11:11" x14ac:dyDescent="0.2">
      <c r="K140" s="309"/>
    </row>
    <row r="141" spans="11:11" x14ac:dyDescent="0.2">
      <c r="K141" s="309"/>
    </row>
    <row r="142" spans="11:11" x14ac:dyDescent="0.2">
      <c r="K142" s="309"/>
    </row>
    <row r="143" spans="11:11" x14ac:dyDescent="0.2">
      <c r="K143" s="309"/>
    </row>
    <row r="144" spans="11:11" x14ac:dyDescent="0.2">
      <c r="K144" s="309"/>
    </row>
    <row r="145" spans="11:11" x14ac:dyDescent="0.2">
      <c r="K145" s="309"/>
    </row>
    <row r="146" spans="11:11" x14ac:dyDescent="0.2">
      <c r="K146" s="309"/>
    </row>
    <row r="147" spans="11:11" x14ac:dyDescent="0.2">
      <c r="K147" s="309"/>
    </row>
    <row r="148" spans="11:11" x14ac:dyDescent="0.2">
      <c r="K148" s="309"/>
    </row>
    <row r="149" spans="11:11" x14ac:dyDescent="0.2">
      <c r="K149" s="309"/>
    </row>
    <row r="150" spans="11:11" x14ac:dyDescent="0.2">
      <c r="K150" s="309"/>
    </row>
    <row r="151" spans="11:11" x14ac:dyDescent="0.2">
      <c r="K151" s="309"/>
    </row>
    <row r="152" spans="11:11" x14ac:dyDescent="0.2">
      <c r="K152" s="309"/>
    </row>
    <row r="153" spans="11:11" x14ac:dyDescent="0.2">
      <c r="K153" s="309"/>
    </row>
    <row r="154" spans="11:11" x14ac:dyDescent="0.2">
      <c r="K154" s="309"/>
    </row>
    <row r="155" spans="11:11" x14ac:dyDescent="0.2">
      <c r="K155" s="309"/>
    </row>
    <row r="156" spans="11:11" x14ac:dyDescent="0.2">
      <c r="K156" s="309"/>
    </row>
    <row r="157" spans="11:11" x14ac:dyDescent="0.2">
      <c r="K157" s="309"/>
    </row>
    <row r="158" spans="11:11" x14ac:dyDescent="0.2">
      <c r="K158" s="309"/>
    </row>
    <row r="159" spans="11:11" x14ac:dyDescent="0.2">
      <c r="K159" s="309"/>
    </row>
    <row r="160" spans="11:11" x14ac:dyDescent="0.2">
      <c r="K160" s="309"/>
    </row>
    <row r="161" spans="11:11" x14ac:dyDescent="0.2">
      <c r="K161" s="309"/>
    </row>
    <row r="162" spans="11:11" x14ac:dyDescent="0.2">
      <c r="K162" s="309"/>
    </row>
    <row r="163" spans="11:11" x14ac:dyDescent="0.2">
      <c r="K163" s="309"/>
    </row>
    <row r="164" spans="11:11" x14ac:dyDescent="0.2">
      <c r="K164" s="309"/>
    </row>
    <row r="165" spans="11:11" x14ac:dyDescent="0.2">
      <c r="K165" s="309"/>
    </row>
    <row r="166" spans="11:11" x14ac:dyDescent="0.2">
      <c r="K166" s="309"/>
    </row>
    <row r="167" spans="11:11" x14ac:dyDescent="0.2">
      <c r="K167" s="309"/>
    </row>
    <row r="168" spans="11:11" x14ac:dyDescent="0.2">
      <c r="K168" s="309"/>
    </row>
    <row r="169" spans="11:11" x14ac:dyDescent="0.2">
      <c r="K169" s="309"/>
    </row>
    <row r="170" spans="11:11" x14ac:dyDescent="0.2">
      <c r="K170" s="309"/>
    </row>
    <row r="171" spans="11:11" x14ac:dyDescent="0.2">
      <c r="K171" s="309"/>
    </row>
    <row r="172" spans="11:11" x14ac:dyDescent="0.2">
      <c r="K172" s="309"/>
    </row>
    <row r="173" spans="11:11" x14ac:dyDescent="0.2">
      <c r="K173" s="309"/>
    </row>
    <row r="174" spans="11:11" x14ac:dyDescent="0.2">
      <c r="K174" s="309"/>
    </row>
    <row r="175" spans="11:11" x14ac:dyDescent="0.2">
      <c r="K175" s="309"/>
    </row>
    <row r="176" spans="11:11" x14ac:dyDescent="0.2">
      <c r="K176" s="309"/>
    </row>
    <row r="177" spans="11:11" x14ac:dyDescent="0.2">
      <c r="K177" s="309"/>
    </row>
    <row r="178" spans="11:11" x14ac:dyDescent="0.2">
      <c r="K178" s="309"/>
    </row>
    <row r="179" spans="11:11" x14ac:dyDescent="0.2">
      <c r="K179" s="309"/>
    </row>
    <row r="180" spans="11:11" x14ac:dyDescent="0.2">
      <c r="K180" s="309"/>
    </row>
    <row r="181" spans="11:11" x14ac:dyDescent="0.2">
      <c r="K181" s="309"/>
    </row>
    <row r="182" spans="11:11" x14ac:dyDescent="0.2">
      <c r="K182" s="309"/>
    </row>
    <row r="183" spans="11:11" x14ac:dyDescent="0.2">
      <c r="K183" s="309"/>
    </row>
    <row r="184" spans="11:11" x14ac:dyDescent="0.2">
      <c r="K184" s="309"/>
    </row>
    <row r="185" spans="11:11" x14ac:dyDescent="0.2">
      <c r="K185" s="309"/>
    </row>
    <row r="186" spans="11:11" x14ac:dyDescent="0.2">
      <c r="K186" s="309"/>
    </row>
    <row r="187" spans="11:11" x14ac:dyDescent="0.2">
      <c r="K187" s="309"/>
    </row>
    <row r="188" spans="11:11" x14ac:dyDescent="0.2">
      <c r="K188" s="309"/>
    </row>
    <row r="189" spans="11:11" x14ac:dyDescent="0.2">
      <c r="K189" s="309"/>
    </row>
    <row r="190" spans="11:11" x14ac:dyDescent="0.2">
      <c r="K190" s="309"/>
    </row>
    <row r="191" spans="11:11" x14ac:dyDescent="0.2">
      <c r="K191" s="309"/>
    </row>
    <row r="192" spans="11:11" x14ac:dyDescent="0.2">
      <c r="K192" s="309"/>
    </row>
    <row r="193" spans="11:11" x14ac:dyDescent="0.2">
      <c r="K193" s="309"/>
    </row>
    <row r="194" spans="11:11" x14ac:dyDescent="0.2">
      <c r="K194" s="309"/>
    </row>
    <row r="195" spans="11:11" x14ac:dyDescent="0.2">
      <c r="K195" s="309"/>
    </row>
    <row r="196" spans="11:11" x14ac:dyDescent="0.2">
      <c r="K196" s="309"/>
    </row>
    <row r="197" spans="11:11" x14ac:dyDescent="0.2">
      <c r="K197" s="309"/>
    </row>
    <row r="198" spans="11:11" x14ac:dyDescent="0.2">
      <c r="K198" s="309"/>
    </row>
    <row r="199" spans="11:11" x14ac:dyDescent="0.2">
      <c r="K199" s="309"/>
    </row>
    <row r="200" spans="11:11" x14ac:dyDescent="0.2">
      <c r="K200" s="309"/>
    </row>
    <row r="201" spans="11:11" x14ac:dyDescent="0.2">
      <c r="K201" s="309"/>
    </row>
    <row r="202" spans="11:11" x14ac:dyDescent="0.2">
      <c r="K202" s="309"/>
    </row>
    <row r="203" spans="11:11" x14ac:dyDescent="0.2">
      <c r="K203" s="309"/>
    </row>
    <row r="204" spans="11:11" x14ac:dyDescent="0.2">
      <c r="K204" s="309"/>
    </row>
    <row r="205" spans="11:11" x14ac:dyDescent="0.2">
      <c r="K205" s="309"/>
    </row>
    <row r="206" spans="11:11" x14ac:dyDescent="0.2">
      <c r="K206" s="309"/>
    </row>
    <row r="207" spans="11:11" x14ac:dyDescent="0.2">
      <c r="K207" s="309"/>
    </row>
    <row r="208" spans="11:11" x14ac:dyDescent="0.2">
      <c r="K208" s="309"/>
    </row>
    <row r="209" spans="11:11" x14ac:dyDescent="0.2">
      <c r="K209" s="309"/>
    </row>
    <row r="210" spans="11:11" x14ac:dyDescent="0.2">
      <c r="K210" s="309"/>
    </row>
    <row r="211" spans="11:11" x14ac:dyDescent="0.2">
      <c r="K211" s="309"/>
    </row>
    <row r="212" spans="11:11" x14ac:dyDescent="0.2">
      <c r="K212" s="309"/>
    </row>
    <row r="213" spans="11:11" x14ac:dyDescent="0.2">
      <c r="K213" s="309"/>
    </row>
    <row r="214" spans="11:11" x14ac:dyDescent="0.2">
      <c r="K214" s="309"/>
    </row>
    <row r="215" spans="11:11" x14ac:dyDescent="0.2">
      <c r="K215" s="309"/>
    </row>
    <row r="216" spans="11:11" x14ac:dyDescent="0.2">
      <c r="K216" s="309"/>
    </row>
    <row r="217" spans="11:11" x14ac:dyDescent="0.2">
      <c r="K217" s="309"/>
    </row>
    <row r="218" spans="11:11" x14ac:dyDescent="0.2">
      <c r="K218" s="309"/>
    </row>
    <row r="219" spans="11:11" x14ac:dyDescent="0.2">
      <c r="K219" s="309"/>
    </row>
    <row r="220" spans="11:11" x14ac:dyDescent="0.2">
      <c r="K220" s="309"/>
    </row>
    <row r="221" spans="11:11" x14ac:dyDescent="0.2">
      <c r="K221" s="309"/>
    </row>
    <row r="222" spans="11:11" x14ac:dyDescent="0.2">
      <c r="K222" s="309"/>
    </row>
    <row r="223" spans="11:11" x14ac:dyDescent="0.2">
      <c r="K223" s="309"/>
    </row>
    <row r="224" spans="11:11" x14ac:dyDescent="0.2">
      <c r="K224" s="309"/>
    </row>
    <row r="225" spans="11:11" x14ac:dyDescent="0.2">
      <c r="K225" s="309"/>
    </row>
    <row r="226" spans="11:11" x14ac:dyDescent="0.2">
      <c r="K226" s="309"/>
    </row>
    <row r="227" spans="11:11" x14ac:dyDescent="0.2">
      <c r="K227" s="309"/>
    </row>
    <row r="228" spans="11:11" x14ac:dyDescent="0.2">
      <c r="K228" s="309"/>
    </row>
    <row r="229" spans="11:11" x14ac:dyDescent="0.2">
      <c r="K229" s="309"/>
    </row>
    <row r="230" spans="11:11" x14ac:dyDescent="0.2">
      <c r="K230" s="309"/>
    </row>
    <row r="231" spans="11:11" x14ac:dyDescent="0.2">
      <c r="K231" s="309"/>
    </row>
    <row r="232" spans="11:11" x14ac:dyDescent="0.2">
      <c r="K232" s="309"/>
    </row>
    <row r="233" spans="11:11" x14ac:dyDescent="0.2">
      <c r="K233" s="309"/>
    </row>
    <row r="234" spans="11:11" x14ac:dyDescent="0.2">
      <c r="K234" s="309"/>
    </row>
    <row r="235" spans="11:11" x14ac:dyDescent="0.2">
      <c r="K235" s="309"/>
    </row>
    <row r="236" spans="11:11" x14ac:dyDescent="0.2">
      <c r="K236" s="309"/>
    </row>
    <row r="237" spans="11:11" x14ac:dyDescent="0.2">
      <c r="K237" s="309"/>
    </row>
    <row r="238" spans="11:11" x14ac:dyDescent="0.2">
      <c r="K238" s="309"/>
    </row>
    <row r="239" spans="11:11" x14ac:dyDescent="0.2">
      <c r="K239" s="309"/>
    </row>
    <row r="240" spans="11:11" x14ac:dyDescent="0.2">
      <c r="K240" s="309"/>
    </row>
    <row r="241" spans="11:11" x14ac:dyDescent="0.2">
      <c r="K241" s="309"/>
    </row>
    <row r="242" spans="11:11" x14ac:dyDescent="0.2">
      <c r="K242" s="309"/>
    </row>
    <row r="243" spans="11:11" x14ac:dyDescent="0.2">
      <c r="K243" s="309"/>
    </row>
    <row r="244" spans="11:11" x14ac:dyDescent="0.2">
      <c r="K244" s="309"/>
    </row>
    <row r="245" spans="11:11" x14ac:dyDescent="0.2">
      <c r="K245" s="309"/>
    </row>
    <row r="246" spans="11:11" x14ac:dyDescent="0.2">
      <c r="K246" s="309"/>
    </row>
    <row r="247" spans="11:11" x14ac:dyDescent="0.2">
      <c r="K247" s="309"/>
    </row>
    <row r="248" spans="11:11" x14ac:dyDescent="0.2">
      <c r="K248" s="309"/>
    </row>
    <row r="249" spans="11:11" x14ac:dyDescent="0.2">
      <c r="K249" s="309"/>
    </row>
    <row r="250" spans="11:11" x14ac:dyDescent="0.2">
      <c r="K250" s="309"/>
    </row>
    <row r="251" spans="11:11" x14ac:dyDescent="0.2">
      <c r="K251" s="309"/>
    </row>
    <row r="252" spans="11:11" x14ac:dyDescent="0.2">
      <c r="K252" s="309"/>
    </row>
    <row r="253" spans="11:11" x14ac:dyDescent="0.2">
      <c r="K253" s="309"/>
    </row>
    <row r="254" spans="11:11" x14ac:dyDescent="0.2">
      <c r="K254" s="309"/>
    </row>
    <row r="255" spans="11:11" x14ac:dyDescent="0.2">
      <c r="K255" s="309"/>
    </row>
    <row r="256" spans="11:11" x14ac:dyDescent="0.2">
      <c r="K256" s="309"/>
    </row>
    <row r="257" spans="11:11" x14ac:dyDescent="0.2">
      <c r="K257" s="309"/>
    </row>
    <row r="258" spans="11:11" x14ac:dyDescent="0.2">
      <c r="K258" s="309"/>
    </row>
    <row r="259" spans="11:11" x14ac:dyDescent="0.2">
      <c r="K259" s="309"/>
    </row>
    <row r="260" spans="11:11" x14ac:dyDescent="0.2">
      <c r="K260" s="309"/>
    </row>
    <row r="261" spans="11:11" x14ac:dyDescent="0.2">
      <c r="K261" s="309"/>
    </row>
    <row r="262" spans="11:11" x14ac:dyDescent="0.2">
      <c r="K262" s="309"/>
    </row>
    <row r="263" spans="11:11" x14ac:dyDescent="0.2">
      <c r="K263" s="309"/>
    </row>
    <row r="264" spans="11:11" x14ac:dyDescent="0.2">
      <c r="K264" s="309"/>
    </row>
    <row r="265" spans="11:11" x14ac:dyDescent="0.2">
      <c r="K265" s="309"/>
    </row>
    <row r="266" spans="11:11" x14ac:dyDescent="0.2">
      <c r="K266" s="309"/>
    </row>
    <row r="267" spans="11:11" x14ac:dyDescent="0.2">
      <c r="K267" s="309"/>
    </row>
    <row r="268" spans="11:11" x14ac:dyDescent="0.2">
      <c r="K268" s="309"/>
    </row>
    <row r="269" spans="11:11" x14ac:dyDescent="0.2">
      <c r="K269" s="309"/>
    </row>
    <row r="270" spans="11:11" x14ac:dyDescent="0.2">
      <c r="K270" s="309"/>
    </row>
    <row r="271" spans="11:11" x14ac:dyDescent="0.2">
      <c r="K271" s="309"/>
    </row>
    <row r="272" spans="11:11" x14ac:dyDescent="0.2">
      <c r="K272" s="309"/>
    </row>
    <row r="273" spans="11:11" x14ac:dyDescent="0.2">
      <c r="K273" s="309"/>
    </row>
    <row r="274" spans="11:11" x14ac:dyDescent="0.2">
      <c r="K274" s="309"/>
    </row>
    <row r="275" spans="11:11" x14ac:dyDescent="0.2">
      <c r="K275" s="309"/>
    </row>
    <row r="276" spans="11:11" x14ac:dyDescent="0.2">
      <c r="K276" s="309"/>
    </row>
    <row r="277" spans="11:11" x14ac:dyDescent="0.2">
      <c r="K277" s="309"/>
    </row>
    <row r="278" spans="11:11" x14ac:dyDescent="0.2">
      <c r="K278" s="309"/>
    </row>
    <row r="279" spans="11:11" x14ac:dyDescent="0.2">
      <c r="K279" s="309"/>
    </row>
    <row r="280" spans="11:11" x14ac:dyDescent="0.2">
      <c r="K280" s="309"/>
    </row>
    <row r="281" spans="11:11" x14ac:dyDescent="0.2">
      <c r="K281" s="309"/>
    </row>
    <row r="282" spans="11:11" x14ac:dyDescent="0.2">
      <c r="K282" s="309"/>
    </row>
    <row r="283" spans="11:11" x14ac:dyDescent="0.2">
      <c r="K283" s="309"/>
    </row>
    <row r="284" spans="11:11" x14ac:dyDescent="0.2">
      <c r="K284" s="309"/>
    </row>
    <row r="285" spans="11:11" x14ac:dyDescent="0.2">
      <c r="K285" s="309"/>
    </row>
    <row r="286" spans="11:11" x14ac:dyDescent="0.2">
      <c r="K286" s="309"/>
    </row>
    <row r="287" spans="11:11" x14ac:dyDescent="0.2">
      <c r="K287" s="309"/>
    </row>
    <row r="288" spans="11:11" x14ac:dyDescent="0.2">
      <c r="K288" s="309"/>
    </row>
    <row r="289" spans="11:11" x14ac:dyDescent="0.2">
      <c r="K289" s="309"/>
    </row>
    <row r="290" spans="11:11" x14ac:dyDescent="0.2">
      <c r="K290" s="309"/>
    </row>
    <row r="291" spans="11:11" x14ac:dyDescent="0.2">
      <c r="K291" s="309"/>
    </row>
    <row r="292" spans="11:11" x14ac:dyDescent="0.2">
      <c r="K292" s="309"/>
    </row>
    <row r="293" spans="11:11" x14ac:dyDescent="0.2">
      <c r="K293" s="309"/>
    </row>
    <row r="294" spans="11:11" x14ac:dyDescent="0.2">
      <c r="K294" s="309"/>
    </row>
    <row r="295" spans="11:11" x14ac:dyDescent="0.2">
      <c r="K295" s="309"/>
    </row>
    <row r="296" spans="11:11" x14ac:dyDescent="0.2">
      <c r="K296" s="309"/>
    </row>
    <row r="297" spans="11:11" x14ac:dyDescent="0.2">
      <c r="K297" s="309"/>
    </row>
    <row r="298" spans="11:11" x14ac:dyDescent="0.2">
      <c r="K298" s="309"/>
    </row>
    <row r="299" spans="11:11" x14ac:dyDescent="0.2">
      <c r="K299" s="309"/>
    </row>
    <row r="300" spans="11:11" x14ac:dyDescent="0.2">
      <c r="K300" s="309"/>
    </row>
    <row r="301" spans="11:11" x14ac:dyDescent="0.2">
      <c r="K301" s="309"/>
    </row>
    <row r="302" spans="11:11" x14ac:dyDescent="0.2">
      <c r="K302" s="309"/>
    </row>
    <row r="303" spans="11:11" x14ac:dyDescent="0.2">
      <c r="K303" s="309"/>
    </row>
    <row r="304" spans="11:11" x14ac:dyDescent="0.2">
      <c r="K304" s="309"/>
    </row>
    <row r="305" spans="11:11" x14ac:dyDescent="0.2">
      <c r="K305" s="309"/>
    </row>
    <row r="306" spans="11:11" x14ac:dyDescent="0.2">
      <c r="K306" s="309"/>
    </row>
    <row r="307" spans="11:11" x14ac:dyDescent="0.2">
      <c r="K307" s="309"/>
    </row>
    <row r="308" spans="11:11" x14ac:dyDescent="0.2">
      <c r="K308" s="309"/>
    </row>
    <row r="309" spans="11:11" x14ac:dyDescent="0.2">
      <c r="K309" s="309"/>
    </row>
    <row r="310" spans="11:11" x14ac:dyDescent="0.2">
      <c r="K310" s="309"/>
    </row>
    <row r="311" spans="11:11" x14ac:dyDescent="0.2">
      <c r="K311" s="309"/>
    </row>
    <row r="312" spans="11:11" x14ac:dyDescent="0.2">
      <c r="K312" s="309"/>
    </row>
    <row r="313" spans="11:11" x14ac:dyDescent="0.2">
      <c r="K313" s="309"/>
    </row>
    <row r="314" spans="11:11" x14ac:dyDescent="0.2">
      <c r="K314" s="309"/>
    </row>
    <row r="315" spans="11:11" x14ac:dyDescent="0.2">
      <c r="K315" s="309"/>
    </row>
    <row r="316" spans="11:11" x14ac:dyDescent="0.2">
      <c r="K316" s="309"/>
    </row>
    <row r="317" spans="11:11" x14ac:dyDescent="0.2">
      <c r="K317" s="309"/>
    </row>
    <row r="318" spans="11:11" x14ac:dyDescent="0.2">
      <c r="K318" s="309"/>
    </row>
    <row r="319" spans="11:11" x14ac:dyDescent="0.2">
      <c r="K319" s="309"/>
    </row>
    <row r="320" spans="11:11" x14ac:dyDescent="0.2">
      <c r="K320" s="309"/>
    </row>
    <row r="321" spans="11:11" x14ac:dyDescent="0.2">
      <c r="K321" s="309"/>
    </row>
    <row r="322" spans="11:11" x14ac:dyDescent="0.2">
      <c r="K322" s="309"/>
    </row>
    <row r="323" spans="11:11" x14ac:dyDescent="0.2">
      <c r="K323" s="309"/>
    </row>
    <row r="324" spans="11:11" x14ac:dyDescent="0.2">
      <c r="K324" s="309"/>
    </row>
    <row r="325" spans="11:11" x14ac:dyDescent="0.2">
      <c r="K325" s="309"/>
    </row>
    <row r="326" spans="11:11" x14ac:dyDescent="0.2">
      <c r="K326" s="309"/>
    </row>
    <row r="327" spans="11:11" x14ac:dyDescent="0.2">
      <c r="K327" s="309"/>
    </row>
    <row r="328" spans="11:11" x14ac:dyDescent="0.2">
      <c r="K328" s="309"/>
    </row>
    <row r="329" spans="11:11" x14ac:dyDescent="0.2">
      <c r="K329" s="309"/>
    </row>
    <row r="330" spans="11:11" x14ac:dyDescent="0.2">
      <c r="K330" s="309"/>
    </row>
    <row r="331" spans="11:11" x14ac:dyDescent="0.2">
      <c r="K331" s="309"/>
    </row>
    <row r="332" spans="11:11" x14ac:dyDescent="0.2">
      <c r="K332" s="309"/>
    </row>
    <row r="333" spans="11:11" x14ac:dyDescent="0.2">
      <c r="K333" s="309"/>
    </row>
    <row r="334" spans="11:11" x14ac:dyDescent="0.2">
      <c r="K334" s="309"/>
    </row>
    <row r="335" spans="11:11" x14ac:dyDescent="0.2">
      <c r="K335" s="309"/>
    </row>
    <row r="336" spans="11:11" x14ac:dyDescent="0.2">
      <c r="K336" s="309"/>
    </row>
    <row r="337" spans="11:11" x14ac:dyDescent="0.2">
      <c r="K337" s="309"/>
    </row>
    <row r="338" spans="11:11" x14ac:dyDescent="0.2">
      <c r="K338" s="309"/>
    </row>
    <row r="339" spans="11:11" x14ac:dyDescent="0.2">
      <c r="K339" s="309"/>
    </row>
    <row r="340" spans="11:11" x14ac:dyDescent="0.2">
      <c r="K340" s="309"/>
    </row>
    <row r="341" spans="11:11" x14ac:dyDescent="0.2">
      <c r="K341" s="309"/>
    </row>
    <row r="342" spans="11:11" x14ac:dyDescent="0.2">
      <c r="K342" s="309"/>
    </row>
    <row r="343" spans="11:11" x14ac:dyDescent="0.2">
      <c r="K343" s="309"/>
    </row>
    <row r="344" spans="11:11" x14ac:dyDescent="0.2">
      <c r="K344" s="309"/>
    </row>
    <row r="345" spans="11:11" x14ac:dyDescent="0.2">
      <c r="K345" s="309"/>
    </row>
    <row r="346" spans="11:11" x14ac:dyDescent="0.2">
      <c r="K346" s="309"/>
    </row>
    <row r="347" spans="11:11" x14ac:dyDescent="0.2">
      <c r="K347" s="309"/>
    </row>
    <row r="348" spans="11:11" x14ac:dyDescent="0.2">
      <c r="K348" s="309"/>
    </row>
    <row r="349" spans="11:11" x14ac:dyDescent="0.2">
      <c r="K349" s="309"/>
    </row>
    <row r="350" spans="11:11" x14ac:dyDescent="0.2">
      <c r="K350" s="309"/>
    </row>
    <row r="351" spans="11:11" x14ac:dyDescent="0.2">
      <c r="K351" s="309"/>
    </row>
    <row r="352" spans="11:11" x14ac:dyDescent="0.2">
      <c r="K352" s="309"/>
    </row>
    <row r="353" spans="11:11" x14ac:dyDescent="0.2">
      <c r="K353" s="309"/>
    </row>
    <row r="354" spans="11:11" x14ac:dyDescent="0.2">
      <c r="K354" s="309"/>
    </row>
    <row r="355" spans="11:11" x14ac:dyDescent="0.2">
      <c r="K355" s="309"/>
    </row>
    <row r="356" spans="11:11" x14ac:dyDescent="0.2">
      <c r="K356" s="309"/>
    </row>
    <row r="357" spans="11:11" x14ac:dyDescent="0.2">
      <c r="K357" s="309"/>
    </row>
    <row r="358" spans="11:11" x14ac:dyDescent="0.2">
      <c r="K358" s="309"/>
    </row>
    <row r="359" spans="11:11" x14ac:dyDescent="0.2">
      <c r="K359" s="309"/>
    </row>
    <row r="360" spans="11:11" x14ac:dyDescent="0.2">
      <c r="K360" s="309"/>
    </row>
    <row r="361" spans="11:11" x14ac:dyDescent="0.2">
      <c r="K361" s="309"/>
    </row>
    <row r="362" spans="11:11" x14ac:dyDescent="0.2">
      <c r="K362" s="309"/>
    </row>
    <row r="363" spans="11:11" x14ac:dyDescent="0.2">
      <c r="K363" s="309"/>
    </row>
    <row r="364" spans="11:11" x14ac:dyDescent="0.2">
      <c r="K364" s="309"/>
    </row>
    <row r="365" spans="11:11" x14ac:dyDescent="0.2">
      <c r="K365" s="309"/>
    </row>
    <row r="366" spans="11:11" x14ac:dyDescent="0.2">
      <c r="K366" s="309"/>
    </row>
    <row r="367" spans="11:11" x14ac:dyDescent="0.2">
      <c r="K367" s="309"/>
    </row>
    <row r="368" spans="11:11" x14ac:dyDescent="0.2">
      <c r="K368" s="309"/>
    </row>
    <row r="369" spans="11:11" x14ac:dyDescent="0.2">
      <c r="K369" s="309"/>
    </row>
    <row r="370" spans="11:11" x14ac:dyDescent="0.2">
      <c r="K370" s="309"/>
    </row>
    <row r="371" spans="11:11" x14ac:dyDescent="0.2">
      <c r="K371" s="309"/>
    </row>
    <row r="372" spans="11:11" x14ac:dyDescent="0.2">
      <c r="K372" s="309"/>
    </row>
    <row r="373" spans="11:11" x14ac:dyDescent="0.2">
      <c r="K373" s="309"/>
    </row>
    <row r="374" spans="11:11" x14ac:dyDescent="0.2">
      <c r="K374" s="309"/>
    </row>
    <row r="375" spans="11:11" x14ac:dyDescent="0.2">
      <c r="K375" s="309"/>
    </row>
    <row r="376" spans="11:11" x14ac:dyDescent="0.2">
      <c r="K376" s="309"/>
    </row>
  </sheetData>
  <dataConsolidate/>
  <mergeCells count="27">
    <mergeCell ref="L1:M1"/>
    <mergeCell ref="A3:C3"/>
    <mergeCell ref="C11:J11"/>
    <mergeCell ref="A12:C12"/>
    <mergeCell ref="C18:J18"/>
    <mergeCell ref="A19:C19"/>
    <mergeCell ref="C35:J35"/>
    <mergeCell ref="C38:I38"/>
    <mergeCell ref="F50:G50"/>
    <mergeCell ref="F51:G51"/>
    <mergeCell ref="F63:G63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  <mergeCell ref="F62:G62"/>
    <mergeCell ref="F64:G64"/>
    <mergeCell ref="F65:G65"/>
    <mergeCell ref="F66:G66"/>
    <mergeCell ref="F67:G67"/>
    <mergeCell ref="F68:G68"/>
  </mergeCells>
  <dataValidations count="8">
    <dataValidation type="list" allowBlank="1" showInputMessage="1" showErrorMessage="1" sqref="J4:J10">
      <formula1>DIRECTIVOS</formula1>
    </dataValidation>
    <dataValidation type="whole" allowBlank="1" showInputMessage="1" showErrorMessage="1" sqref="L4:L10">
      <formula1>0</formula1>
      <formula2>24</formula2>
    </dataValidation>
    <dataValidation type="list" allowBlank="1" showInputMessage="1" showErrorMessage="1" sqref="J20:J34">
      <formula1>TABOBR</formula1>
    </dataValidation>
    <dataValidation type="list" allowBlank="1" showInputMessage="1" showErrorMessage="1" sqref="I20:I34">
      <formula1>Obrero</formula1>
    </dataValidation>
    <dataValidation type="list" allowBlank="1" showInputMessage="1" showErrorMessage="1" sqref="J13:J17">
      <formula1>TABEMP</formula1>
    </dataValidation>
    <dataValidation type="list" allowBlank="1" showInputMessage="1" showErrorMessage="1" sqref="I13:I17 I4:I10">
      <formula1>Empleado</formula1>
    </dataValidation>
    <dataValidation type="list" allowBlank="1" showInputMessage="1" showErrorMessage="1" sqref="M13:M17 M20:M34 M4:M10">
      <formula1>"BACHILLER,TSU,UNIVERSITARIO,ESPECIALISTA,MAESTRIA,DOCTOR"</formula1>
    </dataValidation>
    <dataValidation type="list" allowBlank="1" showInputMessage="1" showErrorMessage="1" sqref="A13:A18 A4:A11 A20:A35">
      <formula1>"EMPLEADO,OBRERO,BOMBERO"</formula1>
    </dataValidation>
  </dataValidations>
  <pageMargins left="0.7" right="0.7" top="0.75" bottom="0.75" header="0.3" footer="0.3"/>
  <pageSetup paperSize="120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'F:\POAS 2024\[RAC 2024 TEXTILES TRUJILLO C.A..xlsm]TAB OBR'!#REF!</xm:f>
          </x14:formula1>
          <xm:sqref>J74</xm:sqref>
        </x14:dataValidation>
        <x14:dataValidation type="list" allowBlank="1" showInputMessage="1" showErrorMessage="1">
          <x14:formula1>
            <xm:f>'F:\POAS 2024\[RAC 2024 TEXTILES TRUJILLO C.A..xlsm]TAB EMP'!#REF!</xm:f>
          </x14:formula1>
          <xm:sqref>J4:J25 J28:J71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6"/>
  <sheetViews>
    <sheetView tabSelected="1" zoomScale="110" zoomScaleNormal="110" workbookViewId="0">
      <pane ySplit="1" topLeftCell="A23" activePane="bottomLeft" state="frozen"/>
      <selection pane="bottomLeft" activeCell="B33" sqref="A33:XFD33"/>
    </sheetView>
  </sheetViews>
  <sheetFormatPr baseColWidth="10" defaultRowHeight="14.25" x14ac:dyDescent="0.25"/>
  <cols>
    <col min="1" max="1" width="19.140625" style="109" customWidth="1"/>
    <col min="2" max="2" width="16.28515625" style="68" bestFit="1" customWidth="1"/>
    <col min="3" max="3" width="58.140625" style="103" customWidth="1"/>
    <col min="4" max="5" width="11.42578125" style="66"/>
    <col min="6" max="6" width="8.5703125" style="66" customWidth="1"/>
    <col min="7" max="7" width="11.42578125" style="66"/>
    <col min="8" max="8" width="12.5703125" style="66" customWidth="1"/>
    <col min="9" max="9" width="8.5703125" style="66" customWidth="1"/>
    <col min="10" max="16384" width="11.42578125" style="66"/>
  </cols>
  <sheetData>
    <row r="1" spans="1:9" ht="52.5" customHeight="1" thickBot="1" x14ac:dyDescent="0.3">
      <c r="A1" s="110" t="s">
        <v>1</v>
      </c>
      <c r="B1" s="113" t="s">
        <v>2899</v>
      </c>
      <c r="C1" s="110" t="s">
        <v>2907</v>
      </c>
    </row>
    <row r="2" spans="1:9" ht="20.100000000000001" customHeight="1" x14ac:dyDescent="0.25">
      <c r="A2" s="98" t="s">
        <v>4599</v>
      </c>
      <c r="B2" s="129">
        <v>130</v>
      </c>
      <c r="C2" s="99" t="s">
        <v>4475</v>
      </c>
      <c r="F2" s="117"/>
      <c r="H2" s="116"/>
      <c r="I2" s="117"/>
    </row>
    <row r="3" spans="1:9" s="67" customFormat="1" ht="20.100000000000001" customHeight="1" x14ac:dyDescent="0.25">
      <c r="A3" s="98" t="s">
        <v>4600</v>
      </c>
      <c r="B3" s="129">
        <v>150</v>
      </c>
      <c r="C3" s="100" t="s">
        <v>4476</v>
      </c>
      <c r="F3" s="117"/>
      <c r="H3" s="116"/>
      <c r="I3" s="117"/>
    </row>
    <row r="4" spans="1:9" ht="20.100000000000001" customHeight="1" x14ac:dyDescent="0.25">
      <c r="A4" s="98" t="s">
        <v>4601</v>
      </c>
      <c r="B4" s="129">
        <v>170</v>
      </c>
      <c r="C4" s="101" t="s">
        <v>4477</v>
      </c>
      <c r="F4" s="117"/>
      <c r="H4" s="116"/>
      <c r="I4" s="117"/>
    </row>
    <row r="5" spans="1:9" ht="20.100000000000001" customHeight="1" x14ac:dyDescent="0.25">
      <c r="A5" s="104" t="s">
        <v>4602</v>
      </c>
      <c r="B5" s="129">
        <v>172</v>
      </c>
      <c r="C5" s="101" t="s">
        <v>4478</v>
      </c>
      <c r="F5" s="117"/>
      <c r="H5" s="116"/>
      <c r="I5" s="117"/>
    </row>
    <row r="6" spans="1:9" ht="20.100000000000001" customHeight="1" x14ac:dyDescent="0.25">
      <c r="A6" s="104" t="s">
        <v>4603</v>
      </c>
      <c r="B6" s="129">
        <v>174</v>
      </c>
      <c r="C6" s="101" t="s">
        <v>4479</v>
      </c>
      <c r="F6" s="117"/>
      <c r="H6" s="116"/>
      <c r="I6" s="117"/>
    </row>
    <row r="7" spans="1:9" ht="20.100000000000001" customHeight="1" x14ac:dyDescent="0.25">
      <c r="A7" s="104" t="s">
        <v>4604</v>
      </c>
      <c r="B7" s="129">
        <v>176</v>
      </c>
      <c r="C7" s="101" t="s">
        <v>4480</v>
      </c>
      <c r="F7" s="117"/>
      <c r="H7" s="116"/>
      <c r="I7" s="117"/>
    </row>
    <row r="8" spans="1:9" ht="20.100000000000001" customHeight="1" x14ac:dyDescent="0.25">
      <c r="A8" s="105" t="s">
        <v>4598</v>
      </c>
      <c r="B8" s="129">
        <v>177</v>
      </c>
      <c r="C8" s="101" t="s">
        <v>4481</v>
      </c>
      <c r="F8" s="117"/>
      <c r="H8" s="116"/>
      <c r="I8" s="117"/>
    </row>
    <row r="9" spans="1:9" ht="20.100000000000001" customHeight="1" x14ac:dyDescent="0.25">
      <c r="A9" s="104" t="s">
        <v>4605</v>
      </c>
      <c r="B9" s="129">
        <v>192</v>
      </c>
      <c r="C9" s="101" t="s">
        <v>4475</v>
      </c>
      <c r="F9" s="117"/>
      <c r="H9" s="116"/>
      <c r="I9" s="117"/>
    </row>
    <row r="10" spans="1:9" ht="20.100000000000001" customHeight="1" x14ac:dyDescent="0.25">
      <c r="A10" s="106" t="s">
        <v>4606</v>
      </c>
      <c r="B10" s="129">
        <v>219</v>
      </c>
      <c r="C10" s="100" t="s">
        <v>4476</v>
      </c>
      <c r="F10" s="117"/>
      <c r="H10" s="116"/>
      <c r="I10" s="117"/>
    </row>
    <row r="11" spans="1:9" ht="20.100000000000001" customHeight="1" x14ac:dyDescent="0.25">
      <c r="A11" s="106" t="s">
        <v>4607</v>
      </c>
      <c r="B11" s="129">
        <v>221</v>
      </c>
      <c r="C11" s="101" t="s">
        <v>4477</v>
      </c>
      <c r="F11" s="117"/>
      <c r="H11" s="116"/>
      <c r="I11" s="117"/>
    </row>
    <row r="12" spans="1:9" ht="20.100000000000001" customHeight="1" x14ac:dyDescent="0.25">
      <c r="A12" s="106" t="s">
        <v>4608</v>
      </c>
      <c r="B12" s="129">
        <v>223</v>
      </c>
      <c r="C12" s="101" t="s">
        <v>4478</v>
      </c>
      <c r="F12" s="117"/>
      <c r="H12" s="116"/>
      <c r="I12" s="117"/>
    </row>
    <row r="13" spans="1:9" ht="20.100000000000001" customHeight="1" x14ac:dyDescent="0.25">
      <c r="A13" s="106" t="s">
        <v>4609</v>
      </c>
      <c r="B13" s="129">
        <v>225</v>
      </c>
      <c r="C13" s="101" t="s">
        <v>4479</v>
      </c>
      <c r="F13" s="117"/>
      <c r="H13" s="116"/>
      <c r="I13" s="117"/>
    </row>
    <row r="14" spans="1:9" ht="20.100000000000001" customHeight="1" x14ac:dyDescent="0.25">
      <c r="A14" s="106" t="s">
        <v>4610</v>
      </c>
      <c r="B14" s="129">
        <v>226</v>
      </c>
      <c r="C14" s="101" t="s">
        <v>4480</v>
      </c>
      <c r="F14" s="117"/>
      <c r="H14" s="116"/>
      <c r="I14" s="117"/>
    </row>
    <row r="15" spans="1:9" ht="20.100000000000001" customHeight="1" x14ac:dyDescent="0.25">
      <c r="A15" s="104" t="s">
        <v>4597</v>
      </c>
      <c r="B15" s="129">
        <v>228</v>
      </c>
      <c r="C15" s="101" t="s">
        <v>4481</v>
      </c>
      <c r="F15" s="117"/>
      <c r="H15" s="116"/>
      <c r="I15" s="117"/>
    </row>
    <row r="16" spans="1:9" ht="15" x14ac:dyDescent="0.25">
      <c r="A16" s="107" t="s">
        <v>4611</v>
      </c>
      <c r="B16" s="129">
        <v>246</v>
      </c>
      <c r="C16" s="102" t="s">
        <v>4475</v>
      </c>
      <c r="F16" s="117"/>
      <c r="H16" s="116"/>
      <c r="I16" s="117"/>
    </row>
    <row r="17" spans="1:9" ht="15" x14ac:dyDescent="0.25">
      <c r="A17" s="107" t="s">
        <v>4612</v>
      </c>
      <c r="B17" s="129">
        <v>277</v>
      </c>
      <c r="C17" s="102" t="s">
        <v>4476</v>
      </c>
      <c r="F17" s="117"/>
      <c r="H17" s="116"/>
      <c r="I17" s="117"/>
    </row>
    <row r="18" spans="1:9" ht="15" x14ac:dyDescent="0.25">
      <c r="A18" s="107" t="s">
        <v>4613</v>
      </c>
      <c r="B18" s="129">
        <v>279</v>
      </c>
      <c r="C18" s="102" t="s">
        <v>4477</v>
      </c>
      <c r="F18" s="117"/>
      <c r="H18" s="116"/>
      <c r="I18" s="117"/>
    </row>
    <row r="19" spans="1:9" ht="15" x14ac:dyDescent="0.25">
      <c r="A19" s="107" t="s">
        <v>4614</v>
      </c>
      <c r="B19" s="129">
        <v>281</v>
      </c>
      <c r="C19" s="102" t="s">
        <v>4478</v>
      </c>
      <c r="F19" s="117"/>
      <c r="H19" s="116"/>
      <c r="I19" s="117"/>
    </row>
    <row r="20" spans="1:9" ht="15" x14ac:dyDescent="0.25">
      <c r="A20" s="107" t="s">
        <v>4615</v>
      </c>
      <c r="B20" s="129">
        <v>283</v>
      </c>
      <c r="C20" s="102" t="s">
        <v>4479</v>
      </c>
      <c r="F20" s="117"/>
      <c r="H20" s="116"/>
      <c r="I20" s="117"/>
    </row>
    <row r="21" spans="1:9" ht="15" x14ac:dyDescent="0.25">
      <c r="A21" s="107" t="s">
        <v>4616</v>
      </c>
      <c r="B21" s="129">
        <v>285</v>
      </c>
      <c r="C21" s="102" t="s">
        <v>4480</v>
      </c>
      <c r="F21" s="117"/>
      <c r="H21" s="116"/>
      <c r="I21" s="117"/>
    </row>
    <row r="22" spans="1:9" ht="15" x14ac:dyDescent="0.25">
      <c r="A22" s="107" t="s">
        <v>4596</v>
      </c>
      <c r="B22" s="129">
        <v>287</v>
      </c>
      <c r="C22" s="102" t="s">
        <v>4481</v>
      </c>
      <c r="F22" s="117"/>
      <c r="H22" s="116"/>
      <c r="I22" s="117"/>
    </row>
    <row r="23" spans="1:9" ht="15" x14ac:dyDescent="0.25">
      <c r="A23" s="107" t="s">
        <v>4617</v>
      </c>
      <c r="B23" s="129">
        <v>305</v>
      </c>
      <c r="C23" s="102" t="s">
        <v>4475</v>
      </c>
      <c r="F23" s="117"/>
      <c r="H23" s="116"/>
      <c r="I23" s="117"/>
    </row>
    <row r="24" spans="1:9" ht="15" x14ac:dyDescent="0.25">
      <c r="A24" s="107" t="s">
        <v>4618</v>
      </c>
      <c r="B24" s="129">
        <v>307</v>
      </c>
      <c r="C24" s="102" t="s">
        <v>4476</v>
      </c>
      <c r="F24" s="117"/>
      <c r="H24" s="116"/>
      <c r="I24" s="117"/>
    </row>
    <row r="25" spans="1:9" ht="15" x14ac:dyDescent="0.25">
      <c r="A25" s="107" t="s">
        <v>4619</v>
      </c>
      <c r="B25" s="129">
        <v>308</v>
      </c>
      <c r="C25" s="102" t="s">
        <v>4477</v>
      </c>
      <c r="F25" s="117"/>
      <c r="H25" s="116"/>
      <c r="I25" s="117"/>
    </row>
    <row r="26" spans="1:9" ht="15" x14ac:dyDescent="0.25">
      <c r="A26" s="107" t="s">
        <v>4620</v>
      </c>
      <c r="B26" s="129">
        <v>310</v>
      </c>
      <c r="C26" s="102" t="s">
        <v>4478</v>
      </c>
      <c r="F26" s="117"/>
      <c r="H26" s="116"/>
      <c r="I26" s="117"/>
    </row>
    <row r="27" spans="1:9" ht="15" x14ac:dyDescent="0.25">
      <c r="A27" s="107" t="s">
        <v>4621</v>
      </c>
      <c r="B27" s="129">
        <v>312</v>
      </c>
      <c r="C27" s="102" t="s">
        <v>4479</v>
      </c>
      <c r="F27" s="117"/>
      <c r="H27" s="116"/>
      <c r="I27" s="117"/>
    </row>
    <row r="28" spans="1:9" ht="15" x14ac:dyDescent="0.25">
      <c r="A28" s="107" t="s">
        <v>4622</v>
      </c>
      <c r="B28" s="129">
        <v>314</v>
      </c>
      <c r="C28" s="102" t="s">
        <v>4480</v>
      </c>
      <c r="F28" s="117"/>
      <c r="H28" s="116"/>
      <c r="I28" s="117"/>
    </row>
    <row r="29" spans="1:9" ht="15" x14ac:dyDescent="0.25">
      <c r="A29" s="107" t="s">
        <v>4595</v>
      </c>
      <c r="B29" s="129">
        <v>316</v>
      </c>
      <c r="C29" s="102" t="s">
        <v>4481</v>
      </c>
      <c r="F29" s="117"/>
      <c r="H29" s="116"/>
      <c r="I29" s="117"/>
    </row>
    <row r="30" spans="1:9" ht="15" x14ac:dyDescent="0.25">
      <c r="A30" s="107" t="s">
        <v>2836</v>
      </c>
      <c r="B30" s="129">
        <v>348</v>
      </c>
      <c r="C30" s="111" t="s">
        <v>2900</v>
      </c>
      <c r="F30" s="117"/>
      <c r="H30" s="116"/>
      <c r="I30" s="117"/>
    </row>
    <row r="31" spans="1:9" ht="15" x14ac:dyDescent="0.25">
      <c r="A31" s="107" t="s">
        <v>2837</v>
      </c>
      <c r="B31" s="129">
        <v>363</v>
      </c>
      <c r="C31" s="111" t="s">
        <v>2902</v>
      </c>
      <c r="F31" s="117"/>
      <c r="H31" s="116"/>
      <c r="I31" s="117"/>
    </row>
    <row r="32" spans="1:9" ht="15" x14ac:dyDescent="0.25">
      <c r="A32" s="107" t="s">
        <v>2838</v>
      </c>
      <c r="B32" s="129">
        <v>376</v>
      </c>
      <c r="C32" s="111" t="s">
        <v>3095</v>
      </c>
      <c r="F32" s="117"/>
      <c r="H32" s="116"/>
      <c r="I32" s="117"/>
    </row>
    <row r="33" spans="1:9" ht="15" x14ac:dyDescent="0.25">
      <c r="A33" s="107" t="s">
        <v>2839</v>
      </c>
      <c r="B33" s="129">
        <v>391</v>
      </c>
      <c r="C33" s="111" t="s">
        <v>2901</v>
      </c>
      <c r="F33" s="117"/>
      <c r="H33" s="116"/>
      <c r="I33" s="117"/>
    </row>
    <row r="34" spans="1:9" ht="15" x14ac:dyDescent="0.25">
      <c r="A34" s="107" t="s">
        <v>2840</v>
      </c>
      <c r="B34" s="129">
        <v>409</v>
      </c>
      <c r="C34" s="111" t="s">
        <v>2903</v>
      </c>
      <c r="F34" s="117"/>
      <c r="H34" s="116"/>
      <c r="I34" s="117"/>
    </row>
    <row r="35" spans="1:9" ht="15" x14ac:dyDescent="0.25">
      <c r="A35" s="107" t="s">
        <v>2843</v>
      </c>
      <c r="B35" s="129">
        <v>427</v>
      </c>
      <c r="C35" s="111" t="s">
        <v>2904</v>
      </c>
      <c r="F35" s="117"/>
      <c r="H35" s="116"/>
      <c r="I35" s="117"/>
    </row>
    <row r="36" spans="1:9" ht="15.75" thickBot="1" x14ac:dyDescent="0.3">
      <c r="A36" s="108" t="s">
        <v>2844</v>
      </c>
      <c r="B36" s="129">
        <v>447</v>
      </c>
      <c r="C36" s="112" t="s">
        <v>1155</v>
      </c>
      <c r="F36" s="117"/>
      <c r="H36" s="116"/>
      <c r="I36" s="11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5"/>
  <sheetViews>
    <sheetView zoomScale="120" zoomScaleNormal="120" workbookViewId="0">
      <pane ySplit="1" topLeftCell="A2" activePane="bottomLeft" state="frozen"/>
      <selection pane="bottomLeft" activeCell="F5" sqref="F5"/>
    </sheetView>
  </sheetViews>
  <sheetFormatPr baseColWidth="10" defaultRowHeight="12" x14ac:dyDescent="0.2"/>
  <cols>
    <col min="1" max="1" width="11.5703125" style="54" customWidth="1"/>
    <col min="2" max="2" width="19.140625" style="20" customWidth="1"/>
    <col min="3" max="4" width="11.42578125" style="20"/>
    <col min="5" max="5" width="11.42578125" style="23"/>
    <col min="6" max="16384" width="11.42578125" style="20"/>
  </cols>
  <sheetData>
    <row r="1" spans="1:13" s="26" customFormat="1" ht="22.5" customHeight="1" thickBot="1" x14ac:dyDescent="0.3">
      <c r="A1" s="1068" t="s">
        <v>2842</v>
      </c>
      <c r="B1" s="1069"/>
      <c r="C1" s="24"/>
      <c r="D1" s="24"/>
      <c r="E1" s="25"/>
      <c r="F1" s="24"/>
      <c r="G1" s="24"/>
      <c r="H1" s="24"/>
      <c r="I1" s="24"/>
      <c r="J1" s="24"/>
      <c r="K1" s="24"/>
      <c r="L1" s="24"/>
      <c r="M1" s="24"/>
    </row>
    <row r="2" spans="1:13" s="26" customFormat="1" ht="22.5" customHeight="1" thickBot="1" x14ac:dyDescent="0.3">
      <c r="A2" s="53" t="s">
        <v>1</v>
      </c>
      <c r="B2" s="27" t="s">
        <v>2899</v>
      </c>
    </row>
    <row r="3" spans="1:13" ht="15.75" customHeight="1" x14ac:dyDescent="0.2">
      <c r="A3" s="55">
        <v>1</v>
      </c>
      <c r="B3" s="145">
        <v>130</v>
      </c>
      <c r="E3" s="20"/>
    </row>
    <row r="4" spans="1:13" ht="15.75" customHeight="1" x14ac:dyDescent="0.2">
      <c r="A4" s="55">
        <v>2</v>
      </c>
      <c r="B4" s="145">
        <v>142</v>
      </c>
      <c r="E4" s="20"/>
    </row>
    <row r="5" spans="1:13" ht="15.75" customHeight="1" x14ac:dyDescent="0.2">
      <c r="A5" s="55">
        <v>3</v>
      </c>
      <c r="B5" s="145">
        <v>152</v>
      </c>
      <c r="E5" s="20"/>
    </row>
    <row r="6" spans="1:13" ht="15.75" customHeight="1" x14ac:dyDescent="0.2">
      <c r="A6" s="55">
        <v>4</v>
      </c>
      <c r="B6" s="145">
        <v>161</v>
      </c>
      <c r="E6" s="20"/>
    </row>
    <row r="7" spans="1:13" ht="15.75" customHeight="1" x14ac:dyDescent="0.2">
      <c r="A7" s="55">
        <v>5</v>
      </c>
      <c r="B7" s="145">
        <v>171</v>
      </c>
      <c r="E7" s="20"/>
    </row>
    <row r="8" spans="1:13" ht="15.75" customHeight="1" x14ac:dyDescent="0.2">
      <c r="A8" s="55">
        <v>6</v>
      </c>
      <c r="B8" s="145">
        <v>181</v>
      </c>
      <c r="E8" s="20"/>
    </row>
    <row r="9" spans="1:13" ht="15.75" customHeight="1" x14ac:dyDescent="0.2">
      <c r="A9" s="55">
        <v>7</v>
      </c>
      <c r="B9" s="145">
        <v>190</v>
      </c>
      <c r="E9" s="20"/>
    </row>
    <row r="10" spans="1:13" ht="15.75" customHeight="1" x14ac:dyDescent="0.2">
      <c r="A10" s="55">
        <v>8</v>
      </c>
      <c r="B10" s="145">
        <v>200</v>
      </c>
      <c r="E10" s="20"/>
    </row>
    <row r="11" spans="1:13" ht="15.75" customHeight="1" x14ac:dyDescent="0.2">
      <c r="A11" s="55">
        <v>9</v>
      </c>
      <c r="B11" s="145">
        <v>210</v>
      </c>
      <c r="E11" s="20"/>
    </row>
    <row r="12" spans="1:13" ht="15.75" customHeight="1" thickBot="1" x14ac:dyDescent="0.25">
      <c r="A12" s="56">
        <v>10</v>
      </c>
      <c r="B12" s="146">
        <v>219</v>
      </c>
      <c r="E12" s="20"/>
    </row>
    <row r="13" spans="1:13" x14ac:dyDescent="0.2">
      <c r="E13" s="20"/>
    </row>
    <row r="15" spans="1:13" x14ac:dyDescent="0.2">
      <c r="A15" s="21"/>
      <c r="B15" s="22"/>
      <c r="E15" s="20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XFB2216"/>
  <sheetViews>
    <sheetView workbookViewId="0">
      <selection activeCell="A38" sqref="A38"/>
    </sheetView>
  </sheetViews>
  <sheetFormatPr baseColWidth="10" defaultColWidth="37.5703125" defaultRowHeight="12" x14ac:dyDescent="0.25"/>
  <cols>
    <col min="1" max="1" width="70.140625" style="4" bestFit="1" customWidth="1"/>
    <col min="2" max="2" width="13.7109375" style="14" bestFit="1" customWidth="1"/>
    <col min="3" max="3" width="14" style="4" bestFit="1" customWidth="1"/>
    <col min="4" max="4" width="15.85546875" style="4" bestFit="1" customWidth="1"/>
    <col min="5" max="5" width="8.85546875" style="14" bestFit="1" customWidth="1"/>
    <col min="6" max="1846" width="11.42578125" style="4" customWidth="1"/>
    <col min="1847" max="1847" width="37.5703125" style="4" bestFit="1" customWidth="1"/>
    <col min="1848" max="16384" width="37.5703125" style="4"/>
  </cols>
  <sheetData>
    <row r="1" spans="1:5" s="3" customFormat="1" ht="33" customHeight="1" thickBot="1" x14ac:dyDescent="0.3">
      <c r="A1" s="15" t="s">
        <v>19</v>
      </c>
      <c r="B1" s="16" t="s">
        <v>18</v>
      </c>
      <c r="C1" s="17" t="s">
        <v>20</v>
      </c>
      <c r="D1" s="17" t="s">
        <v>21</v>
      </c>
      <c r="E1" s="18" t="s">
        <v>1</v>
      </c>
    </row>
    <row r="2" spans="1:5" x14ac:dyDescent="0.25">
      <c r="A2" s="5">
        <v>0</v>
      </c>
      <c r="B2" s="115" t="s">
        <v>4628</v>
      </c>
      <c r="C2" s="7" t="s">
        <v>4454</v>
      </c>
      <c r="D2" s="7" t="s">
        <v>4454</v>
      </c>
      <c r="E2" s="8" t="s">
        <v>4454</v>
      </c>
    </row>
    <row r="3" spans="1:5" x14ac:dyDescent="0.25">
      <c r="A3" s="5" t="s">
        <v>3577</v>
      </c>
      <c r="B3" s="6" t="s">
        <v>4353</v>
      </c>
      <c r="C3" s="7" t="s">
        <v>4454</v>
      </c>
      <c r="D3" s="7" t="s">
        <v>4454</v>
      </c>
      <c r="E3" s="8" t="s">
        <v>4454</v>
      </c>
    </row>
    <row r="4" spans="1:5" x14ac:dyDescent="0.25">
      <c r="A4" s="70" t="s">
        <v>23</v>
      </c>
      <c r="B4" s="71" t="s">
        <v>22</v>
      </c>
      <c r="C4" s="72" t="s">
        <v>24</v>
      </c>
      <c r="D4" s="72" t="s">
        <v>25</v>
      </c>
      <c r="E4" s="73" t="s">
        <v>4466</v>
      </c>
    </row>
    <row r="5" spans="1:5" x14ac:dyDescent="0.25">
      <c r="A5" s="74" t="s">
        <v>27</v>
      </c>
      <c r="B5" s="75" t="s">
        <v>26</v>
      </c>
      <c r="C5" s="76" t="s">
        <v>24</v>
      </c>
      <c r="D5" s="76" t="s">
        <v>25</v>
      </c>
      <c r="E5" s="77" t="s">
        <v>4460</v>
      </c>
    </row>
    <row r="6" spans="1:5" x14ac:dyDescent="0.25">
      <c r="A6" s="5" t="s">
        <v>29</v>
      </c>
      <c r="B6" s="6" t="s">
        <v>28</v>
      </c>
      <c r="C6" s="7" t="s">
        <v>24</v>
      </c>
      <c r="D6" s="7" t="s">
        <v>25</v>
      </c>
      <c r="E6" s="8" t="s">
        <v>4461</v>
      </c>
    </row>
    <row r="7" spans="1:5" x14ac:dyDescent="0.25">
      <c r="A7" s="70" t="s">
        <v>31</v>
      </c>
      <c r="B7" s="71" t="s">
        <v>30</v>
      </c>
      <c r="C7" s="72" t="s">
        <v>24</v>
      </c>
      <c r="D7" s="72" t="s">
        <v>25</v>
      </c>
      <c r="E7" s="73" t="s">
        <v>4462</v>
      </c>
    </row>
    <row r="8" spans="1:5" x14ac:dyDescent="0.25">
      <c r="A8" s="5" t="s">
        <v>33</v>
      </c>
      <c r="B8" s="6" t="s">
        <v>32</v>
      </c>
      <c r="C8" s="7" t="s">
        <v>24</v>
      </c>
      <c r="D8" s="7" t="s">
        <v>25</v>
      </c>
      <c r="E8" s="8" t="s">
        <v>4464</v>
      </c>
    </row>
    <row r="9" spans="1:5" x14ac:dyDescent="0.25">
      <c r="A9" s="5" t="s">
        <v>35</v>
      </c>
      <c r="B9" s="6" t="s">
        <v>34</v>
      </c>
      <c r="C9" s="7" t="s">
        <v>24</v>
      </c>
      <c r="D9" s="7" t="s">
        <v>25</v>
      </c>
      <c r="E9" s="8" t="s">
        <v>4458</v>
      </c>
    </row>
    <row r="10" spans="1:5" x14ac:dyDescent="0.25">
      <c r="A10" s="5" t="s">
        <v>37</v>
      </c>
      <c r="B10" s="6" t="s">
        <v>36</v>
      </c>
      <c r="C10" s="7" t="s">
        <v>24</v>
      </c>
      <c r="D10" s="7" t="s">
        <v>25</v>
      </c>
      <c r="E10" s="8" t="s">
        <v>4459</v>
      </c>
    </row>
    <row r="11" spans="1:5" x14ac:dyDescent="0.25">
      <c r="A11" s="5" t="s">
        <v>39</v>
      </c>
      <c r="B11" s="6" t="s">
        <v>38</v>
      </c>
      <c r="C11" s="7" t="s">
        <v>24</v>
      </c>
      <c r="D11" s="7" t="s">
        <v>25</v>
      </c>
      <c r="E11" s="8" t="s">
        <v>4461</v>
      </c>
    </row>
    <row r="12" spans="1:5" x14ac:dyDescent="0.25">
      <c r="A12" s="5" t="s">
        <v>41</v>
      </c>
      <c r="B12" s="6" t="s">
        <v>40</v>
      </c>
      <c r="C12" s="7" t="s">
        <v>24</v>
      </c>
      <c r="D12" s="7" t="s">
        <v>25</v>
      </c>
      <c r="E12" s="8" t="s">
        <v>4462</v>
      </c>
    </row>
    <row r="13" spans="1:5" x14ac:dyDescent="0.25">
      <c r="A13" s="12" t="s">
        <v>43</v>
      </c>
      <c r="B13" s="6" t="s">
        <v>42</v>
      </c>
      <c r="C13" s="13" t="s">
        <v>24</v>
      </c>
      <c r="D13" s="13" t="s">
        <v>25</v>
      </c>
      <c r="E13" s="8" t="s">
        <v>4464</v>
      </c>
    </row>
    <row r="14" spans="1:5" x14ac:dyDescent="0.25">
      <c r="A14" s="5" t="s">
        <v>45</v>
      </c>
      <c r="B14" s="6" t="s">
        <v>44</v>
      </c>
      <c r="C14" s="7" t="s">
        <v>24</v>
      </c>
      <c r="D14" s="7" t="s">
        <v>25</v>
      </c>
      <c r="E14" s="8" t="s">
        <v>4459</v>
      </c>
    </row>
    <row r="15" spans="1:5" x14ac:dyDescent="0.25">
      <c r="A15" s="5" t="s">
        <v>47</v>
      </c>
      <c r="B15" s="6" t="s">
        <v>46</v>
      </c>
      <c r="C15" s="7" t="s">
        <v>24</v>
      </c>
      <c r="D15" s="7" t="s">
        <v>25</v>
      </c>
      <c r="E15" s="8" t="s">
        <v>4461</v>
      </c>
    </row>
    <row r="16" spans="1:5" x14ac:dyDescent="0.25">
      <c r="A16" s="5" t="s">
        <v>49</v>
      </c>
      <c r="B16" s="6" t="s">
        <v>48</v>
      </c>
      <c r="C16" s="7" t="s">
        <v>24</v>
      </c>
      <c r="D16" s="7" t="s">
        <v>25</v>
      </c>
      <c r="E16" s="8" t="s">
        <v>4462</v>
      </c>
    </row>
    <row r="17" spans="1:5" x14ac:dyDescent="0.25">
      <c r="A17" s="5" t="s">
        <v>51</v>
      </c>
      <c r="B17" s="6" t="s">
        <v>50</v>
      </c>
      <c r="C17" s="13" t="s">
        <v>24</v>
      </c>
      <c r="D17" s="13" t="s">
        <v>25</v>
      </c>
      <c r="E17" s="8" t="s">
        <v>4464</v>
      </c>
    </row>
    <row r="18" spans="1:5" x14ac:dyDescent="0.25">
      <c r="A18" s="5" t="s">
        <v>53</v>
      </c>
      <c r="B18" s="6" t="s">
        <v>52</v>
      </c>
      <c r="C18" s="7" t="s">
        <v>24</v>
      </c>
      <c r="D18" s="7" t="s">
        <v>25</v>
      </c>
      <c r="E18" s="8" t="s">
        <v>4458</v>
      </c>
    </row>
    <row r="19" spans="1:5" x14ac:dyDescent="0.25">
      <c r="A19" s="5" t="s">
        <v>55</v>
      </c>
      <c r="B19" s="6" t="s">
        <v>54</v>
      </c>
      <c r="C19" s="13" t="s">
        <v>24</v>
      </c>
      <c r="D19" s="13" t="s">
        <v>25</v>
      </c>
      <c r="E19" s="8" t="s">
        <v>4459</v>
      </c>
    </row>
    <row r="20" spans="1:5" x14ac:dyDescent="0.25">
      <c r="A20" s="5" t="s">
        <v>57</v>
      </c>
      <c r="B20" s="6" t="s">
        <v>56</v>
      </c>
      <c r="C20" s="7" t="s">
        <v>24</v>
      </c>
      <c r="D20" s="7" t="s">
        <v>25</v>
      </c>
      <c r="E20" s="8" t="s">
        <v>4461</v>
      </c>
    </row>
    <row r="21" spans="1:5" x14ac:dyDescent="0.25">
      <c r="A21" s="5" t="s">
        <v>59</v>
      </c>
      <c r="B21" s="6" t="s">
        <v>58</v>
      </c>
      <c r="C21" s="7" t="s">
        <v>24</v>
      </c>
      <c r="D21" s="7" t="s">
        <v>25</v>
      </c>
      <c r="E21" s="8" t="s">
        <v>4462</v>
      </c>
    </row>
    <row r="22" spans="1:5" x14ac:dyDescent="0.25">
      <c r="A22" s="5" t="s">
        <v>61</v>
      </c>
      <c r="B22" s="6" t="s">
        <v>60</v>
      </c>
      <c r="C22" s="7" t="s">
        <v>24</v>
      </c>
      <c r="D22" s="7" t="s">
        <v>25</v>
      </c>
      <c r="E22" s="8" t="s">
        <v>4463</v>
      </c>
    </row>
    <row r="23" spans="1:5" x14ac:dyDescent="0.25">
      <c r="A23" s="5" t="s">
        <v>63</v>
      </c>
      <c r="B23" s="6" t="s">
        <v>62</v>
      </c>
      <c r="C23" s="7" t="s">
        <v>24</v>
      </c>
      <c r="D23" s="7" t="s">
        <v>64</v>
      </c>
      <c r="E23" s="8" t="s">
        <v>65</v>
      </c>
    </row>
    <row r="24" spans="1:5" x14ac:dyDescent="0.25">
      <c r="A24" s="5" t="s">
        <v>67</v>
      </c>
      <c r="B24" s="6" t="s">
        <v>66</v>
      </c>
      <c r="C24" s="7" t="s">
        <v>24</v>
      </c>
      <c r="D24" s="7" t="s">
        <v>64</v>
      </c>
      <c r="E24" s="8" t="s">
        <v>68</v>
      </c>
    </row>
    <row r="25" spans="1:5" x14ac:dyDescent="0.25">
      <c r="A25" s="5" t="s">
        <v>70</v>
      </c>
      <c r="B25" s="6" t="s">
        <v>69</v>
      </c>
      <c r="C25" s="7" t="s">
        <v>24</v>
      </c>
      <c r="D25" s="7" t="s">
        <v>25</v>
      </c>
      <c r="E25" s="8" t="s">
        <v>4457</v>
      </c>
    </row>
    <row r="26" spans="1:5" x14ac:dyDescent="0.25">
      <c r="A26" s="5" t="s">
        <v>72</v>
      </c>
      <c r="B26" s="6" t="s">
        <v>71</v>
      </c>
      <c r="C26" s="7" t="s">
        <v>24</v>
      </c>
      <c r="D26" s="7" t="s">
        <v>25</v>
      </c>
      <c r="E26" s="8" t="s">
        <v>4458</v>
      </c>
    </row>
    <row r="27" spans="1:5" x14ac:dyDescent="0.25">
      <c r="A27" s="5" t="s">
        <v>74</v>
      </c>
      <c r="B27" s="6" t="s">
        <v>73</v>
      </c>
      <c r="C27" s="7" t="s">
        <v>24</v>
      </c>
      <c r="D27" s="7" t="s">
        <v>25</v>
      </c>
      <c r="E27" s="8" t="s">
        <v>4458</v>
      </c>
    </row>
    <row r="28" spans="1:5" x14ac:dyDescent="0.25">
      <c r="A28" s="5" t="s">
        <v>76</v>
      </c>
      <c r="B28" s="6" t="s">
        <v>75</v>
      </c>
      <c r="C28" s="7" t="s">
        <v>24</v>
      </c>
      <c r="D28" s="7" t="s">
        <v>25</v>
      </c>
      <c r="E28" s="8" t="s">
        <v>4459</v>
      </c>
    </row>
    <row r="29" spans="1:5" x14ac:dyDescent="0.25">
      <c r="A29" s="5" t="s">
        <v>78</v>
      </c>
      <c r="B29" s="6" t="s">
        <v>77</v>
      </c>
      <c r="C29" s="7" t="s">
        <v>24</v>
      </c>
      <c r="D29" s="7" t="s">
        <v>25</v>
      </c>
      <c r="E29" s="8" t="s">
        <v>4461</v>
      </c>
    </row>
    <row r="30" spans="1:5" x14ac:dyDescent="0.25">
      <c r="A30" s="5" t="s">
        <v>80</v>
      </c>
      <c r="B30" s="6" t="s">
        <v>79</v>
      </c>
      <c r="C30" s="7" t="s">
        <v>24</v>
      </c>
      <c r="D30" s="7" t="s">
        <v>25</v>
      </c>
      <c r="E30" s="8" t="s">
        <v>4462</v>
      </c>
    </row>
    <row r="31" spans="1:5" x14ac:dyDescent="0.25">
      <c r="A31" s="12" t="s">
        <v>82</v>
      </c>
      <c r="B31" s="6" t="s">
        <v>81</v>
      </c>
      <c r="C31" s="13" t="s">
        <v>24</v>
      </c>
      <c r="D31" s="13" t="s">
        <v>25</v>
      </c>
      <c r="E31" s="8" t="s">
        <v>4464</v>
      </c>
    </row>
    <row r="32" spans="1:5" x14ac:dyDescent="0.25">
      <c r="A32" s="12" t="s">
        <v>3327</v>
      </c>
      <c r="B32" s="6" t="s">
        <v>4101</v>
      </c>
      <c r="C32" s="13" t="s">
        <v>24</v>
      </c>
      <c r="D32" s="13" t="s">
        <v>64</v>
      </c>
      <c r="E32" s="8" t="s">
        <v>4463</v>
      </c>
    </row>
    <row r="33" spans="1:5" x14ac:dyDescent="0.25">
      <c r="A33" s="5" t="s">
        <v>84</v>
      </c>
      <c r="B33" s="6" t="s">
        <v>83</v>
      </c>
      <c r="C33" s="7" t="s">
        <v>24</v>
      </c>
      <c r="D33" s="7" t="s">
        <v>64</v>
      </c>
      <c r="E33" s="8" t="s">
        <v>65</v>
      </c>
    </row>
    <row r="34" spans="1:5" x14ac:dyDescent="0.25">
      <c r="A34" s="5" t="s">
        <v>86</v>
      </c>
      <c r="B34" s="6" t="s">
        <v>85</v>
      </c>
      <c r="C34" s="7" t="s">
        <v>24</v>
      </c>
      <c r="D34" s="7" t="s">
        <v>64</v>
      </c>
      <c r="E34" s="8" t="s">
        <v>87</v>
      </c>
    </row>
    <row r="35" spans="1:5" x14ac:dyDescent="0.25">
      <c r="A35" s="5" t="s">
        <v>89</v>
      </c>
      <c r="B35" s="6" t="s">
        <v>88</v>
      </c>
      <c r="C35" s="7" t="s">
        <v>24</v>
      </c>
      <c r="D35" s="7" t="s">
        <v>64</v>
      </c>
      <c r="E35" s="8" t="s">
        <v>90</v>
      </c>
    </row>
    <row r="36" spans="1:5" x14ac:dyDescent="0.25">
      <c r="A36" s="5" t="s">
        <v>92</v>
      </c>
      <c r="B36" s="6" t="s">
        <v>91</v>
      </c>
      <c r="C36" s="7" t="s">
        <v>24</v>
      </c>
      <c r="D36" s="7" t="s">
        <v>64</v>
      </c>
      <c r="E36" s="8" t="s">
        <v>93</v>
      </c>
    </row>
    <row r="37" spans="1:5" x14ac:dyDescent="0.25">
      <c r="A37" s="5" t="s">
        <v>95</v>
      </c>
      <c r="B37" s="6" t="s">
        <v>94</v>
      </c>
      <c r="C37" s="7" t="s">
        <v>24</v>
      </c>
      <c r="D37" s="7" t="s">
        <v>64</v>
      </c>
      <c r="E37" s="8" t="s">
        <v>96</v>
      </c>
    </row>
    <row r="38" spans="1:5" x14ac:dyDescent="0.25">
      <c r="A38" s="5" t="s">
        <v>98</v>
      </c>
      <c r="B38" s="6" t="s">
        <v>97</v>
      </c>
      <c r="C38" s="7" t="s">
        <v>24</v>
      </c>
      <c r="D38" s="7" t="s">
        <v>64</v>
      </c>
      <c r="E38" s="8" t="s">
        <v>99</v>
      </c>
    </row>
    <row r="39" spans="1:5" x14ac:dyDescent="0.25">
      <c r="A39" s="5" t="s">
        <v>101</v>
      </c>
      <c r="B39" s="6" t="s">
        <v>100</v>
      </c>
      <c r="C39" s="7" t="s">
        <v>24</v>
      </c>
      <c r="D39" s="7" t="s">
        <v>64</v>
      </c>
      <c r="E39" s="8" t="s">
        <v>68</v>
      </c>
    </row>
    <row r="40" spans="1:5" x14ac:dyDescent="0.25">
      <c r="A40" s="5" t="s">
        <v>103</v>
      </c>
      <c r="B40" s="6" t="s">
        <v>102</v>
      </c>
      <c r="C40" s="7" t="s">
        <v>24</v>
      </c>
      <c r="D40" s="7" t="s">
        <v>64</v>
      </c>
      <c r="E40" s="8" t="s">
        <v>99</v>
      </c>
    </row>
    <row r="41" spans="1:5" x14ac:dyDescent="0.25">
      <c r="A41" s="5" t="s">
        <v>3612</v>
      </c>
      <c r="B41" s="6" t="s">
        <v>4389</v>
      </c>
      <c r="C41" s="7" t="s">
        <v>24</v>
      </c>
      <c r="D41" s="7" t="s">
        <v>4474</v>
      </c>
      <c r="E41" s="8" t="s">
        <v>68</v>
      </c>
    </row>
    <row r="42" spans="1:5" x14ac:dyDescent="0.25">
      <c r="A42" s="5" t="s">
        <v>105</v>
      </c>
      <c r="B42" s="6" t="s">
        <v>104</v>
      </c>
      <c r="C42" s="7" t="s">
        <v>24</v>
      </c>
      <c r="D42" s="7" t="s">
        <v>64</v>
      </c>
      <c r="E42" s="8" t="s">
        <v>65</v>
      </c>
    </row>
    <row r="43" spans="1:5" x14ac:dyDescent="0.25">
      <c r="A43" s="5" t="s">
        <v>107</v>
      </c>
      <c r="B43" s="6" t="s">
        <v>106</v>
      </c>
      <c r="C43" s="7" t="s">
        <v>24</v>
      </c>
      <c r="D43" s="7" t="s">
        <v>64</v>
      </c>
      <c r="E43" s="8" t="s">
        <v>87</v>
      </c>
    </row>
    <row r="44" spans="1:5" x14ac:dyDescent="0.25">
      <c r="A44" s="5" t="s">
        <v>109</v>
      </c>
      <c r="B44" s="6" t="s">
        <v>108</v>
      </c>
      <c r="C44" s="7" t="s">
        <v>24</v>
      </c>
      <c r="D44" s="7" t="s">
        <v>64</v>
      </c>
      <c r="E44" s="8" t="s">
        <v>65</v>
      </c>
    </row>
    <row r="45" spans="1:5" x14ac:dyDescent="0.25">
      <c r="A45" s="5" t="s">
        <v>111</v>
      </c>
      <c r="B45" s="6" t="s">
        <v>110</v>
      </c>
      <c r="C45" s="7" t="s">
        <v>24</v>
      </c>
      <c r="D45" s="7" t="s">
        <v>64</v>
      </c>
      <c r="E45" s="8" t="s">
        <v>68</v>
      </c>
    </row>
    <row r="46" spans="1:5" x14ac:dyDescent="0.25">
      <c r="A46" s="5" t="s">
        <v>113</v>
      </c>
      <c r="B46" s="6" t="s">
        <v>112</v>
      </c>
      <c r="C46" s="7" t="s">
        <v>24</v>
      </c>
      <c r="D46" s="7" t="s">
        <v>25</v>
      </c>
      <c r="E46" s="8" t="s">
        <v>4457</v>
      </c>
    </row>
    <row r="47" spans="1:5" x14ac:dyDescent="0.25">
      <c r="A47" s="5" t="s">
        <v>115</v>
      </c>
      <c r="B47" s="6" t="s">
        <v>114</v>
      </c>
      <c r="C47" s="7" t="s">
        <v>24</v>
      </c>
      <c r="D47" s="7" t="s">
        <v>25</v>
      </c>
      <c r="E47" s="8" t="s">
        <v>4458</v>
      </c>
    </row>
    <row r="48" spans="1:5" x14ac:dyDescent="0.25">
      <c r="A48" s="5" t="s">
        <v>117</v>
      </c>
      <c r="B48" s="6" t="s">
        <v>116</v>
      </c>
      <c r="C48" s="7" t="s">
        <v>24</v>
      </c>
      <c r="D48" s="7" t="s">
        <v>25</v>
      </c>
      <c r="E48" s="8" t="s">
        <v>4459</v>
      </c>
    </row>
    <row r="49" spans="1:5" x14ac:dyDescent="0.25">
      <c r="A49" s="5" t="s">
        <v>119</v>
      </c>
      <c r="B49" s="6" t="s">
        <v>118</v>
      </c>
      <c r="C49" s="7" t="s">
        <v>24</v>
      </c>
      <c r="D49" s="7" t="s">
        <v>64</v>
      </c>
      <c r="E49" s="8" t="s">
        <v>65</v>
      </c>
    </row>
    <row r="50" spans="1:5" x14ac:dyDescent="0.25">
      <c r="A50" s="5" t="s">
        <v>121</v>
      </c>
      <c r="B50" s="6" t="s">
        <v>120</v>
      </c>
      <c r="C50" s="7" t="s">
        <v>24</v>
      </c>
      <c r="D50" s="7" t="s">
        <v>25</v>
      </c>
      <c r="E50" s="8" t="s">
        <v>4457</v>
      </c>
    </row>
    <row r="51" spans="1:5" x14ac:dyDescent="0.25">
      <c r="A51" s="5" t="s">
        <v>123</v>
      </c>
      <c r="B51" s="6" t="s">
        <v>122</v>
      </c>
      <c r="C51" s="7" t="s">
        <v>24</v>
      </c>
      <c r="D51" s="7" t="s">
        <v>25</v>
      </c>
      <c r="E51" s="8" t="s">
        <v>4458</v>
      </c>
    </row>
    <row r="52" spans="1:5" x14ac:dyDescent="0.25">
      <c r="A52" s="5" t="s">
        <v>3614</v>
      </c>
      <c r="B52" s="6" t="s">
        <v>4391</v>
      </c>
      <c r="C52" s="7" t="s">
        <v>24</v>
      </c>
      <c r="D52" s="7" t="s">
        <v>4474</v>
      </c>
      <c r="E52" s="8" t="s">
        <v>4454</v>
      </c>
    </row>
    <row r="53" spans="1:5" x14ac:dyDescent="0.25">
      <c r="A53" s="5" t="s">
        <v>125</v>
      </c>
      <c r="B53" s="6" t="s">
        <v>124</v>
      </c>
      <c r="C53" s="7" t="s">
        <v>24</v>
      </c>
      <c r="D53" s="7" t="s">
        <v>25</v>
      </c>
      <c r="E53" s="8" t="s">
        <v>4458</v>
      </c>
    </row>
    <row r="54" spans="1:5" x14ac:dyDescent="0.25">
      <c r="A54" s="5" t="s">
        <v>127</v>
      </c>
      <c r="B54" s="6" t="s">
        <v>126</v>
      </c>
      <c r="C54" s="7" t="s">
        <v>24</v>
      </c>
      <c r="D54" s="7" t="s">
        <v>25</v>
      </c>
      <c r="E54" s="8" t="s">
        <v>4466</v>
      </c>
    </row>
    <row r="55" spans="1:5" x14ac:dyDescent="0.25">
      <c r="A55" s="5" t="s">
        <v>129</v>
      </c>
      <c r="B55" s="6" t="s">
        <v>128</v>
      </c>
      <c r="C55" s="7" t="s">
        <v>24</v>
      </c>
      <c r="D55" s="7" t="s">
        <v>25</v>
      </c>
      <c r="E55" s="8" t="s">
        <v>4459</v>
      </c>
    </row>
    <row r="56" spans="1:5" x14ac:dyDescent="0.25">
      <c r="A56" s="5" t="s">
        <v>131</v>
      </c>
      <c r="B56" s="6" t="s">
        <v>130</v>
      </c>
      <c r="C56" s="7" t="s">
        <v>24</v>
      </c>
      <c r="D56" s="7" t="s">
        <v>25</v>
      </c>
      <c r="E56" s="8" t="s">
        <v>4461</v>
      </c>
    </row>
    <row r="57" spans="1:5" x14ac:dyDescent="0.25">
      <c r="A57" s="5" t="s">
        <v>2948</v>
      </c>
      <c r="B57" s="6" t="s">
        <v>3711</v>
      </c>
      <c r="C57" s="7" t="s">
        <v>24</v>
      </c>
      <c r="D57" s="7" t="s">
        <v>4456</v>
      </c>
      <c r="E57" s="8" t="s">
        <v>4454</v>
      </c>
    </row>
    <row r="58" spans="1:5" x14ac:dyDescent="0.25">
      <c r="A58" s="12" t="s">
        <v>3104</v>
      </c>
      <c r="B58" s="6" t="s">
        <v>3874</v>
      </c>
      <c r="C58" s="13" t="s">
        <v>24</v>
      </c>
      <c r="D58" s="13" t="s">
        <v>4456</v>
      </c>
      <c r="E58" s="8" t="s">
        <v>4454</v>
      </c>
    </row>
    <row r="59" spans="1:5" x14ac:dyDescent="0.25">
      <c r="A59" s="5" t="s">
        <v>3098</v>
      </c>
      <c r="B59" s="6" t="s">
        <v>3868</v>
      </c>
      <c r="C59" s="7" t="s">
        <v>24</v>
      </c>
      <c r="D59" s="7" t="s">
        <v>4456</v>
      </c>
      <c r="E59" s="8" t="s">
        <v>4454</v>
      </c>
    </row>
    <row r="60" spans="1:5" x14ac:dyDescent="0.25">
      <c r="A60" s="5" t="s">
        <v>3346</v>
      </c>
      <c r="B60" s="6" t="s">
        <v>4116</v>
      </c>
      <c r="C60" s="7" t="s">
        <v>24</v>
      </c>
      <c r="D60" s="7" t="s">
        <v>4456</v>
      </c>
      <c r="E60" s="8" t="s">
        <v>4454</v>
      </c>
    </row>
    <row r="61" spans="1:5" x14ac:dyDescent="0.25">
      <c r="A61" s="5" t="s">
        <v>3105</v>
      </c>
      <c r="B61" s="6" t="s">
        <v>3875</v>
      </c>
      <c r="C61" s="7" t="s">
        <v>24</v>
      </c>
      <c r="D61" s="7" t="s">
        <v>4456</v>
      </c>
      <c r="E61" s="8" t="s">
        <v>4454</v>
      </c>
    </row>
    <row r="62" spans="1:5" x14ac:dyDescent="0.25">
      <c r="A62" s="5" t="s">
        <v>3099</v>
      </c>
      <c r="B62" s="6" t="s">
        <v>3869</v>
      </c>
      <c r="C62" s="7" t="s">
        <v>24</v>
      </c>
      <c r="D62" s="7" t="s">
        <v>4456</v>
      </c>
      <c r="E62" s="8" t="s">
        <v>4454</v>
      </c>
    </row>
    <row r="63" spans="1:5" x14ac:dyDescent="0.25">
      <c r="A63" s="5" t="s">
        <v>3347</v>
      </c>
      <c r="B63" s="6" t="s">
        <v>4117</v>
      </c>
      <c r="C63" s="7" t="s">
        <v>24</v>
      </c>
      <c r="D63" s="7" t="s">
        <v>4456</v>
      </c>
      <c r="E63" s="8" t="s">
        <v>4454</v>
      </c>
    </row>
    <row r="64" spans="1:5" x14ac:dyDescent="0.25">
      <c r="A64" s="5" t="s">
        <v>3106</v>
      </c>
      <c r="B64" s="6" t="s">
        <v>3876</v>
      </c>
      <c r="C64" s="7" t="s">
        <v>24</v>
      </c>
      <c r="D64" s="7" t="s">
        <v>4456</v>
      </c>
      <c r="E64" s="8" t="s">
        <v>4454</v>
      </c>
    </row>
    <row r="65" spans="1:5" x14ac:dyDescent="0.25">
      <c r="A65" s="5" t="s">
        <v>3100</v>
      </c>
      <c r="B65" s="6" t="s">
        <v>3870</v>
      </c>
      <c r="C65" s="7" t="s">
        <v>24</v>
      </c>
      <c r="D65" s="7" t="s">
        <v>4456</v>
      </c>
      <c r="E65" s="8" t="s">
        <v>4454</v>
      </c>
    </row>
    <row r="66" spans="1:5" x14ac:dyDescent="0.25">
      <c r="A66" s="5" t="s">
        <v>3348</v>
      </c>
      <c r="B66" s="6" t="s">
        <v>4118</v>
      </c>
      <c r="C66" s="7" t="s">
        <v>24</v>
      </c>
      <c r="D66" s="7" t="s">
        <v>4456</v>
      </c>
      <c r="E66" s="8" t="s">
        <v>4454</v>
      </c>
    </row>
    <row r="67" spans="1:5" x14ac:dyDescent="0.25">
      <c r="A67" s="5" t="s">
        <v>3107</v>
      </c>
      <c r="B67" s="6" t="s">
        <v>3877</v>
      </c>
      <c r="C67" s="7" t="s">
        <v>24</v>
      </c>
      <c r="D67" s="7" t="s">
        <v>4456</v>
      </c>
      <c r="E67" s="8" t="s">
        <v>4454</v>
      </c>
    </row>
    <row r="68" spans="1:5" x14ac:dyDescent="0.25">
      <c r="A68" s="5" t="s">
        <v>3101</v>
      </c>
      <c r="B68" s="6" t="s">
        <v>3871</v>
      </c>
      <c r="C68" s="7" t="s">
        <v>24</v>
      </c>
      <c r="D68" s="7" t="s">
        <v>4456</v>
      </c>
      <c r="E68" s="8" t="s">
        <v>4454</v>
      </c>
    </row>
    <row r="69" spans="1:5" x14ac:dyDescent="0.25">
      <c r="A69" s="5" t="s">
        <v>3349</v>
      </c>
      <c r="B69" s="6" t="s">
        <v>4119</v>
      </c>
      <c r="C69" s="7" t="s">
        <v>24</v>
      </c>
      <c r="D69" s="7" t="s">
        <v>4456</v>
      </c>
      <c r="E69" s="8" t="s">
        <v>4454</v>
      </c>
    </row>
    <row r="70" spans="1:5" x14ac:dyDescent="0.25">
      <c r="A70" s="5" t="s">
        <v>3261</v>
      </c>
      <c r="B70" s="6" t="s">
        <v>4032</v>
      </c>
      <c r="C70" s="7" t="s">
        <v>24</v>
      </c>
      <c r="D70" s="7" t="s">
        <v>4456</v>
      </c>
      <c r="E70" s="8" t="s">
        <v>4454</v>
      </c>
    </row>
    <row r="71" spans="1:5" x14ac:dyDescent="0.25">
      <c r="A71" s="5" t="s">
        <v>3345</v>
      </c>
      <c r="B71" s="6" t="s">
        <v>4115</v>
      </c>
      <c r="C71" s="7" t="s">
        <v>24</v>
      </c>
      <c r="D71" s="7" t="s">
        <v>4456</v>
      </c>
      <c r="E71" s="8" t="s">
        <v>4454</v>
      </c>
    </row>
    <row r="72" spans="1:5" x14ac:dyDescent="0.25">
      <c r="A72" s="5" t="s">
        <v>3108</v>
      </c>
      <c r="B72" s="6" t="s">
        <v>3878</v>
      </c>
      <c r="C72" s="7" t="s">
        <v>24</v>
      </c>
      <c r="D72" s="7" t="s">
        <v>4456</v>
      </c>
      <c r="E72" s="8" t="s">
        <v>4454</v>
      </c>
    </row>
    <row r="73" spans="1:5" x14ac:dyDescent="0.25">
      <c r="A73" s="5" t="s">
        <v>3102</v>
      </c>
      <c r="B73" s="6" t="s">
        <v>3872</v>
      </c>
      <c r="C73" s="7" t="s">
        <v>24</v>
      </c>
      <c r="D73" s="7" t="s">
        <v>4456</v>
      </c>
      <c r="E73" s="8" t="s">
        <v>4454</v>
      </c>
    </row>
    <row r="74" spans="1:5" x14ac:dyDescent="0.25">
      <c r="A74" s="5" t="s">
        <v>3350</v>
      </c>
      <c r="B74" s="6" t="s">
        <v>4120</v>
      </c>
      <c r="C74" s="7" t="s">
        <v>24</v>
      </c>
      <c r="D74" s="7" t="s">
        <v>4456</v>
      </c>
      <c r="E74" s="8" t="s">
        <v>4454</v>
      </c>
    </row>
    <row r="75" spans="1:5" x14ac:dyDescent="0.25">
      <c r="A75" s="5" t="s">
        <v>3109</v>
      </c>
      <c r="B75" s="6" t="s">
        <v>3879</v>
      </c>
      <c r="C75" s="7" t="s">
        <v>24</v>
      </c>
      <c r="D75" s="7" t="s">
        <v>4456</v>
      </c>
      <c r="E75" s="8" t="s">
        <v>4454</v>
      </c>
    </row>
    <row r="76" spans="1:5" x14ac:dyDescent="0.25">
      <c r="A76" s="5" t="s">
        <v>3103</v>
      </c>
      <c r="B76" s="6" t="s">
        <v>3873</v>
      </c>
      <c r="C76" s="7" t="s">
        <v>24</v>
      </c>
      <c r="D76" s="7" t="s">
        <v>4456</v>
      </c>
      <c r="E76" s="8" t="s">
        <v>4454</v>
      </c>
    </row>
    <row r="77" spans="1:5" x14ac:dyDescent="0.25">
      <c r="A77" s="5" t="s">
        <v>3351</v>
      </c>
      <c r="B77" s="6" t="s">
        <v>4121</v>
      </c>
      <c r="C77" s="7" t="s">
        <v>24</v>
      </c>
      <c r="D77" s="7" t="s">
        <v>4456</v>
      </c>
      <c r="E77" s="8" t="s">
        <v>4454</v>
      </c>
    </row>
    <row r="78" spans="1:5" x14ac:dyDescent="0.25">
      <c r="A78" s="12" t="s">
        <v>133</v>
      </c>
      <c r="B78" s="6" t="s">
        <v>132</v>
      </c>
      <c r="C78" s="13" t="s">
        <v>24</v>
      </c>
      <c r="D78" s="13" t="s">
        <v>64</v>
      </c>
      <c r="E78" s="8" t="s">
        <v>99</v>
      </c>
    </row>
    <row r="79" spans="1:5" x14ac:dyDescent="0.25">
      <c r="A79" s="5" t="s">
        <v>135</v>
      </c>
      <c r="B79" s="6" t="s">
        <v>134</v>
      </c>
      <c r="C79" s="7" t="s">
        <v>24</v>
      </c>
      <c r="D79" s="7" t="s">
        <v>64</v>
      </c>
      <c r="E79" s="8" t="s">
        <v>68</v>
      </c>
    </row>
    <row r="80" spans="1:5" x14ac:dyDescent="0.25">
      <c r="A80" s="5" t="s">
        <v>137</v>
      </c>
      <c r="B80" s="6" t="s">
        <v>136</v>
      </c>
      <c r="C80" s="7" t="s">
        <v>24</v>
      </c>
      <c r="D80" s="7" t="s">
        <v>25</v>
      </c>
      <c r="E80" s="8" t="s">
        <v>4459</v>
      </c>
    </row>
    <row r="81" spans="1:5" x14ac:dyDescent="0.25">
      <c r="A81" s="12" t="s">
        <v>139</v>
      </c>
      <c r="B81" s="6" t="s">
        <v>138</v>
      </c>
      <c r="C81" s="13" t="s">
        <v>24</v>
      </c>
      <c r="D81" s="13" t="s">
        <v>25</v>
      </c>
      <c r="E81" s="8" t="s">
        <v>4461</v>
      </c>
    </row>
    <row r="82" spans="1:5" x14ac:dyDescent="0.25">
      <c r="A82" s="5" t="s">
        <v>141</v>
      </c>
      <c r="B82" s="6" t="s">
        <v>140</v>
      </c>
      <c r="C82" s="7" t="s">
        <v>24</v>
      </c>
      <c r="D82" s="7" t="s">
        <v>25</v>
      </c>
      <c r="E82" s="8" t="s">
        <v>4462</v>
      </c>
    </row>
    <row r="83" spans="1:5" x14ac:dyDescent="0.25">
      <c r="A83" s="5" t="s">
        <v>143</v>
      </c>
      <c r="B83" s="6" t="s">
        <v>142</v>
      </c>
      <c r="C83" s="7" t="s">
        <v>24</v>
      </c>
      <c r="D83" s="7" t="s">
        <v>25</v>
      </c>
      <c r="E83" s="8" t="s">
        <v>4463</v>
      </c>
    </row>
    <row r="84" spans="1:5" x14ac:dyDescent="0.25">
      <c r="A84" s="5" t="s">
        <v>145</v>
      </c>
      <c r="B84" s="6" t="s">
        <v>144</v>
      </c>
      <c r="C84" s="7" t="s">
        <v>24</v>
      </c>
      <c r="D84" s="7" t="s">
        <v>25</v>
      </c>
      <c r="E84" s="8" t="s">
        <v>4467</v>
      </c>
    </row>
    <row r="85" spans="1:5" x14ac:dyDescent="0.25">
      <c r="A85" s="5" t="s">
        <v>147</v>
      </c>
      <c r="B85" s="6" t="s">
        <v>146</v>
      </c>
      <c r="C85" s="7" t="s">
        <v>24</v>
      </c>
      <c r="D85" s="7" t="s">
        <v>25</v>
      </c>
      <c r="E85" s="8" t="s">
        <v>4459</v>
      </c>
    </row>
    <row r="86" spans="1:5" x14ac:dyDescent="0.25">
      <c r="A86" s="5" t="s">
        <v>149</v>
      </c>
      <c r="B86" s="6" t="s">
        <v>148</v>
      </c>
      <c r="C86" s="7" t="s">
        <v>24</v>
      </c>
      <c r="D86" s="7" t="s">
        <v>25</v>
      </c>
      <c r="E86" s="8" t="s">
        <v>4461</v>
      </c>
    </row>
    <row r="87" spans="1:5" x14ac:dyDescent="0.25">
      <c r="A87" s="5" t="s">
        <v>151</v>
      </c>
      <c r="B87" s="6" t="s">
        <v>150</v>
      </c>
      <c r="C87" s="7" t="s">
        <v>24</v>
      </c>
      <c r="D87" s="7" t="s">
        <v>25</v>
      </c>
      <c r="E87" s="8" t="s">
        <v>4462</v>
      </c>
    </row>
    <row r="88" spans="1:5" x14ac:dyDescent="0.25">
      <c r="A88" s="5" t="s">
        <v>153</v>
      </c>
      <c r="B88" s="6" t="s">
        <v>152</v>
      </c>
      <c r="C88" s="7" t="s">
        <v>24</v>
      </c>
      <c r="D88" s="7" t="s">
        <v>25</v>
      </c>
      <c r="E88" s="8" t="s">
        <v>4463</v>
      </c>
    </row>
    <row r="89" spans="1:5" x14ac:dyDescent="0.25">
      <c r="A89" s="12" t="s">
        <v>155</v>
      </c>
      <c r="B89" s="6" t="s">
        <v>154</v>
      </c>
      <c r="C89" s="13" t="s">
        <v>24</v>
      </c>
      <c r="D89" s="13" t="s">
        <v>25</v>
      </c>
      <c r="E89" s="8" t="s">
        <v>4467</v>
      </c>
    </row>
    <row r="90" spans="1:5" x14ac:dyDescent="0.25">
      <c r="A90" s="12" t="s">
        <v>157</v>
      </c>
      <c r="B90" s="6" t="s">
        <v>156</v>
      </c>
      <c r="C90" s="13" t="s">
        <v>24</v>
      </c>
      <c r="D90" s="13" t="s">
        <v>25</v>
      </c>
      <c r="E90" s="8" t="s">
        <v>4466</v>
      </c>
    </row>
    <row r="91" spans="1:5" x14ac:dyDescent="0.25">
      <c r="A91" s="5" t="s">
        <v>159</v>
      </c>
      <c r="B91" s="6" t="s">
        <v>158</v>
      </c>
      <c r="C91" s="7" t="s">
        <v>24</v>
      </c>
      <c r="D91" s="7" t="s">
        <v>25</v>
      </c>
      <c r="E91" s="8" t="s">
        <v>4460</v>
      </c>
    </row>
    <row r="92" spans="1:5" x14ac:dyDescent="0.25">
      <c r="A92" s="5" t="s">
        <v>161</v>
      </c>
      <c r="B92" s="6" t="s">
        <v>160</v>
      </c>
      <c r="C92" s="7" t="s">
        <v>24</v>
      </c>
      <c r="D92" s="7" t="s">
        <v>25</v>
      </c>
      <c r="E92" s="8" t="s">
        <v>4465</v>
      </c>
    </row>
    <row r="93" spans="1:5" x14ac:dyDescent="0.25">
      <c r="A93" s="5" t="s">
        <v>163</v>
      </c>
      <c r="B93" s="6" t="s">
        <v>162</v>
      </c>
      <c r="C93" s="7" t="s">
        <v>24</v>
      </c>
      <c r="D93" s="7" t="s">
        <v>25</v>
      </c>
      <c r="E93" s="8" t="s">
        <v>4463</v>
      </c>
    </row>
    <row r="94" spans="1:5" x14ac:dyDescent="0.25">
      <c r="A94" s="5" t="s">
        <v>165</v>
      </c>
      <c r="B94" s="6" t="s">
        <v>164</v>
      </c>
      <c r="C94" s="7" t="s">
        <v>24</v>
      </c>
      <c r="D94" s="7" t="s">
        <v>25</v>
      </c>
      <c r="E94" s="8" t="s">
        <v>4464</v>
      </c>
    </row>
    <row r="95" spans="1:5" x14ac:dyDescent="0.25">
      <c r="A95" s="5" t="s">
        <v>3328</v>
      </c>
      <c r="B95" s="6" t="s">
        <v>4102</v>
      </c>
      <c r="C95" s="7" t="s">
        <v>24</v>
      </c>
      <c r="D95" s="7" t="s">
        <v>25</v>
      </c>
      <c r="E95" s="8" t="s">
        <v>4464</v>
      </c>
    </row>
    <row r="96" spans="1:5" x14ac:dyDescent="0.25">
      <c r="A96" s="5" t="s">
        <v>167</v>
      </c>
      <c r="B96" s="6" t="s">
        <v>166</v>
      </c>
      <c r="C96" s="7" t="s">
        <v>24</v>
      </c>
      <c r="D96" s="7" t="s">
        <v>25</v>
      </c>
      <c r="E96" s="8" t="s">
        <v>4458</v>
      </c>
    </row>
    <row r="97" spans="1:5" x14ac:dyDescent="0.25">
      <c r="A97" s="5" t="s">
        <v>169</v>
      </c>
      <c r="B97" s="6" t="s">
        <v>168</v>
      </c>
      <c r="C97" s="7" t="s">
        <v>24</v>
      </c>
      <c r="D97" s="7" t="s">
        <v>25</v>
      </c>
      <c r="E97" s="8" t="s">
        <v>4458</v>
      </c>
    </row>
    <row r="98" spans="1:5" x14ac:dyDescent="0.25">
      <c r="A98" s="5" t="s">
        <v>171</v>
      </c>
      <c r="B98" s="9" t="s">
        <v>170</v>
      </c>
      <c r="C98" s="7" t="s">
        <v>24</v>
      </c>
      <c r="D98" s="7" t="s">
        <v>25</v>
      </c>
      <c r="E98" s="10" t="s">
        <v>4457</v>
      </c>
    </row>
    <row r="99" spans="1:5" x14ac:dyDescent="0.25">
      <c r="A99" s="5" t="s">
        <v>173</v>
      </c>
      <c r="B99" s="9" t="s">
        <v>172</v>
      </c>
      <c r="C99" s="7" t="s">
        <v>24</v>
      </c>
      <c r="D99" s="7" t="s">
        <v>25</v>
      </c>
      <c r="E99" s="8" t="s">
        <v>4458</v>
      </c>
    </row>
    <row r="100" spans="1:5" x14ac:dyDescent="0.25">
      <c r="A100" s="5" t="s">
        <v>175</v>
      </c>
      <c r="B100" s="6" t="s">
        <v>174</v>
      </c>
      <c r="C100" s="7" t="s">
        <v>24</v>
      </c>
      <c r="D100" s="7" t="s">
        <v>25</v>
      </c>
      <c r="E100" s="8" t="s">
        <v>4466</v>
      </c>
    </row>
    <row r="101" spans="1:5" x14ac:dyDescent="0.25">
      <c r="A101" s="12" t="s">
        <v>177</v>
      </c>
      <c r="B101" s="6" t="s">
        <v>176</v>
      </c>
      <c r="C101" s="13" t="s">
        <v>24</v>
      </c>
      <c r="D101" s="13" t="s">
        <v>25</v>
      </c>
      <c r="E101" s="8" t="s">
        <v>4460</v>
      </c>
    </row>
    <row r="102" spans="1:5" x14ac:dyDescent="0.25">
      <c r="A102" s="5" t="s">
        <v>179</v>
      </c>
      <c r="B102" s="6" t="s">
        <v>178</v>
      </c>
      <c r="C102" s="7" t="s">
        <v>24</v>
      </c>
      <c r="D102" s="7" t="s">
        <v>25</v>
      </c>
      <c r="E102" s="8" t="s">
        <v>4465</v>
      </c>
    </row>
    <row r="103" spans="1:5" x14ac:dyDescent="0.25">
      <c r="A103" s="12" t="s">
        <v>181</v>
      </c>
      <c r="B103" s="6" t="s">
        <v>180</v>
      </c>
      <c r="C103" s="13" t="s">
        <v>24</v>
      </c>
      <c r="D103" s="13" t="s">
        <v>25</v>
      </c>
      <c r="E103" s="8" t="s">
        <v>4462</v>
      </c>
    </row>
    <row r="104" spans="1:5" x14ac:dyDescent="0.25">
      <c r="A104" s="5" t="s">
        <v>183</v>
      </c>
      <c r="B104" s="6" t="s">
        <v>182</v>
      </c>
      <c r="C104" s="7" t="s">
        <v>24</v>
      </c>
      <c r="D104" s="7" t="s">
        <v>25</v>
      </c>
      <c r="E104" s="8" t="s">
        <v>4467</v>
      </c>
    </row>
    <row r="105" spans="1:5" x14ac:dyDescent="0.25">
      <c r="A105" s="5" t="s">
        <v>3337</v>
      </c>
      <c r="B105" s="6" t="s">
        <v>4109</v>
      </c>
      <c r="C105" s="7" t="s">
        <v>24</v>
      </c>
      <c r="D105" s="7" t="s">
        <v>25</v>
      </c>
      <c r="E105" s="8" t="s">
        <v>4470</v>
      </c>
    </row>
    <row r="106" spans="1:5" x14ac:dyDescent="0.25">
      <c r="A106" s="5" t="s">
        <v>185</v>
      </c>
      <c r="B106" s="6" t="s">
        <v>184</v>
      </c>
      <c r="C106" s="7" t="s">
        <v>24</v>
      </c>
      <c r="D106" s="7" t="s">
        <v>25</v>
      </c>
      <c r="E106" s="8" t="s">
        <v>4464</v>
      </c>
    </row>
    <row r="107" spans="1:5" x14ac:dyDescent="0.25">
      <c r="A107" s="5" t="s">
        <v>187</v>
      </c>
      <c r="B107" s="6" t="s">
        <v>186</v>
      </c>
      <c r="C107" s="7" t="s">
        <v>24</v>
      </c>
      <c r="D107" s="7" t="s">
        <v>25</v>
      </c>
      <c r="E107" s="8" t="s">
        <v>4465</v>
      </c>
    </row>
    <row r="108" spans="1:5" x14ac:dyDescent="0.25">
      <c r="A108" s="5" t="s">
        <v>189</v>
      </c>
      <c r="B108" s="6" t="s">
        <v>188</v>
      </c>
      <c r="C108" s="7" t="s">
        <v>24</v>
      </c>
      <c r="D108" s="7" t="s">
        <v>25</v>
      </c>
      <c r="E108" s="8" t="s">
        <v>4459</v>
      </c>
    </row>
    <row r="109" spans="1:5" x14ac:dyDescent="0.25">
      <c r="A109" s="12" t="s">
        <v>191</v>
      </c>
      <c r="B109" s="11" t="s">
        <v>190</v>
      </c>
      <c r="C109" s="13" t="s">
        <v>24</v>
      </c>
      <c r="D109" s="13" t="s">
        <v>25</v>
      </c>
      <c r="E109" s="8" t="s">
        <v>4461</v>
      </c>
    </row>
    <row r="110" spans="1:5" x14ac:dyDescent="0.25">
      <c r="A110" s="5" t="s">
        <v>193</v>
      </c>
      <c r="B110" s="6" t="s">
        <v>192</v>
      </c>
      <c r="C110" s="7" t="s">
        <v>24</v>
      </c>
      <c r="D110" s="7" t="s">
        <v>25</v>
      </c>
      <c r="E110" s="8" t="s">
        <v>4463</v>
      </c>
    </row>
    <row r="111" spans="1:5" x14ac:dyDescent="0.25">
      <c r="A111" s="5" t="s">
        <v>195</v>
      </c>
      <c r="B111" s="6" t="s">
        <v>194</v>
      </c>
      <c r="C111" s="7" t="s">
        <v>24</v>
      </c>
      <c r="D111" s="7" t="s">
        <v>25</v>
      </c>
      <c r="E111" s="8" t="s">
        <v>4457</v>
      </c>
    </row>
    <row r="112" spans="1:5" x14ac:dyDescent="0.25">
      <c r="A112" s="5" t="s">
        <v>197</v>
      </c>
      <c r="B112" s="6" t="s">
        <v>196</v>
      </c>
      <c r="C112" s="7" t="s">
        <v>24</v>
      </c>
      <c r="D112" s="7" t="s">
        <v>25</v>
      </c>
      <c r="E112" s="8" t="s">
        <v>4458</v>
      </c>
    </row>
    <row r="113" spans="1:5" x14ac:dyDescent="0.25">
      <c r="A113" s="5" t="s">
        <v>199</v>
      </c>
      <c r="B113" s="6" t="s">
        <v>198</v>
      </c>
      <c r="C113" s="7" t="s">
        <v>24</v>
      </c>
      <c r="D113" s="7" t="s">
        <v>25</v>
      </c>
      <c r="E113" s="8" t="s">
        <v>4459</v>
      </c>
    </row>
    <row r="114" spans="1:5" x14ac:dyDescent="0.25">
      <c r="A114" s="5" t="s">
        <v>201</v>
      </c>
      <c r="B114" s="6" t="s">
        <v>200</v>
      </c>
      <c r="C114" s="7" t="s">
        <v>24</v>
      </c>
      <c r="D114" s="7" t="s">
        <v>25</v>
      </c>
      <c r="E114" s="8" t="s">
        <v>4461</v>
      </c>
    </row>
    <row r="115" spans="1:5" x14ac:dyDescent="0.25">
      <c r="A115" s="5" t="s">
        <v>203</v>
      </c>
      <c r="B115" s="6" t="s">
        <v>202</v>
      </c>
      <c r="C115" s="7" t="s">
        <v>24</v>
      </c>
      <c r="D115" s="7" t="s">
        <v>25</v>
      </c>
      <c r="E115" s="8" t="s">
        <v>4462</v>
      </c>
    </row>
    <row r="116" spans="1:5" x14ac:dyDescent="0.25">
      <c r="A116" s="5" t="s">
        <v>205</v>
      </c>
      <c r="B116" s="6" t="s">
        <v>204</v>
      </c>
      <c r="C116" s="7" t="s">
        <v>24</v>
      </c>
      <c r="D116" s="7" t="s">
        <v>25</v>
      </c>
      <c r="E116" s="8" t="s">
        <v>4458</v>
      </c>
    </row>
    <row r="117" spans="1:5" x14ac:dyDescent="0.25">
      <c r="A117" s="5" t="s">
        <v>207</v>
      </c>
      <c r="B117" s="6" t="s">
        <v>206</v>
      </c>
      <c r="C117" s="7" t="s">
        <v>24</v>
      </c>
      <c r="D117" s="7" t="s">
        <v>25</v>
      </c>
      <c r="E117" s="8" t="s">
        <v>4459</v>
      </c>
    </row>
    <row r="118" spans="1:5" x14ac:dyDescent="0.25">
      <c r="A118" s="5" t="s">
        <v>209</v>
      </c>
      <c r="B118" s="6" t="s">
        <v>208</v>
      </c>
      <c r="C118" s="7" t="s">
        <v>24</v>
      </c>
      <c r="D118" s="7" t="s">
        <v>25</v>
      </c>
      <c r="E118" s="8" t="s">
        <v>4461</v>
      </c>
    </row>
    <row r="119" spans="1:5" x14ac:dyDescent="0.25">
      <c r="A119" s="5" t="s">
        <v>211</v>
      </c>
      <c r="B119" s="6" t="s">
        <v>210</v>
      </c>
      <c r="C119" s="7" t="s">
        <v>24</v>
      </c>
      <c r="D119" s="7" t="s">
        <v>25</v>
      </c>
      <c r="E119" s="8" t="s">
        <v>4465</v>
      </c>
    </row>
    <row r="120" spans="1:5" x14ac:dyDescent="0.25">
      <c r="A120" s="5" t="s">
        <v>213</v>
      </c>
      <c r="B120" s="6" t="s">
        <v>212</v>
      </c>
      <c r="C120" s="7" t="s">
        <v>24</v>
      </c>
      <c r="D120" s="7" t="s">
        <v>25</v>
      </c>
      <c r="E120" s="8" t="s">
        <v>4462</v>
      </c>
    </row>
    <row r="121" spans="1:5" x14ac:dyDescent="0.25">
      <c r="A121" s="5" t="s">
        <v>215</v>
      </c>
      <c r="B121" s="6" t="s">
        <v>214</v>
      </c>
      <c r="C121" s="7" t="s">
        <v>24</v>
      </c>
      <c r="D121" s="7" t="s">
        <v>25</v>
      </c>
      <c r="E121" s="8" t="s">
        <v>4464</v>
      </c>
    </row>
    <row r="122" spans="1:5" x14ac:dyDescent="0.25">
      <c r="A122" s="5" t="s">
        <v>217</v>
      </c>
      <c r="B122" s="6" t="s">
        <v>216</v>
      </c>
      <c r="C122" s="7" t="s">
        <v>24</v>
      </c>
      <c r="D122" s="7" t="s">
        <v>25</v>
      </c>
      <c r="E122" s="8" t="s">
        <v>4457</v>
      </c>
    </row>
    <row r="123" spans="1:5" x14ac:dyDescent="0.25">
      <c r="A123" s="5" t="s">
        <v>219</v>
      </c>
      <c r="B123" s="6" t="s">
        <v>218</v>
      </c>
      <c r="C123" s="7" t="s">
        <v>24</v>
      </c>
      <c r="D123" s="7" t="s">
        <v>25</v>
      </c>
      <c r="E123" s="8" t="s">
        <v>4458</v>
      </c>
    </row>
    <row r="124" spans="1:5" x14ac:dyDescent="0.25">
      <c r="A124" s="5" t="s">
        <v>221</v>
      </c>
      <c r="B124" s="6" t="s">
        <v>220</v>
      </c>
      <c r="C124" s="7" t="s">
        <v>24</v>
      </c>
      <c r="D124" s="7" t="s">
        <v>25</v>
      </c>
      <c r="E124" s="8" t="s">
        <v>4459</v>
      </c>
    </row>
    <row r="125" spans="1:5" x14ac:dyDescent="0.25">
      <c r="A125" s="12" t="s">
        <v>223</v>
      </c>
      <c r="B125" s="6" t="s">
        <v>222</v>
      </c>
      <c r="C125" s="13" t="s">
        <v>24</v>
      </c>
      <c r="D125" s="13" t="s">
        <v>25</v>
      </c>
      <c r="E125" s="8" t="s">
        <v>4461</v>
      </c>
    </row>
    <row r="126" spans="1:5" x14ac:dyDescent="0.25">
      <c r="A126" s="5" t="s">
        <v>225</v>
      </c>
      <c r="B126" s="6" t="s">
        <v>224</v>
      </c>
      <c r="C126" s="7" t="s">
        <v>24</v>
      </c>
      <c r="D126" s="7" t="s">
        <v>25</v>
      </c>
      <c r="E126" s="8" t="s">
        <v>4462</v>
      </c>
    </row>
    <row r="127" spans="1:5" x14ac:dyDescent="0.25">
      <c r="A127" s="5" t="s">
        <v>227</v>
      </c>
      <c r="B127" s="6" t="s">
        <v>226</v>
      </c>
      <c r="C127" s="7" t="s">
        <v>24</v>
      </c>
      <c r="D127" s="7" t="s">
        <v>25</v>
      </c>
      <c r="E127" s="8" t="s">
        <v>4459</v>
      </c>
    </row>
    <row r="128" spans="1:5" x14ac:dyDescent="0.25">
      <c r="A128" s="5" t="s">
        <v>229</v>
      </c>
      <c r="B128" s="6" t="s">
        <v>228</v>
      </c>
      <c r="C128" s="7" t="s">
        <v>24</v>
      </c>
      <c r="D128" s="7" t="s">
        <v>25</v>
      </c>
      <c r="E128" s="8" t="s">
        <v>4461</v>
      </c>
    </row>
    <row r="129" spans="1:5" x14ac:dyDescent="0.25">
      <c r="A129" s="5" t="s">
        <v>231</v>
      </c>
      <c r="B129" s="6" t="s">
        <v>230</v>
      </c>
      <c r="C129" s="7" t="s">
        <v>24</v>
      </c>
      <c r="D129" s="7" t="s">
        <v>25</v>
      </c>
      <c r="E129" s="8" t="s">
        <v>4462</v>
      </c>
    </row>
    <row r="130" spans="1:5" x14ac:dyDescent="0.25">
      <c r="A130" s="5" t="s">
        <v>3334</v>
      </c>
      <c r="B130" s="6" t="s">
        <v>4106</v>
      </c>
      <c r="C130" s="7" t="s">
        <v>24</v>
      </c>
      <c r="D130" s="7" t="s">
        <v>25</v>
      </c>
      <c r="E130" s="8" t="s">
        <v>4463</v>
      </c>
    </row>
    <row r="131" spans="1:5" x14ac:dyDescent="0.25">
      <c r="A131" s="5" t="s">
        <v>3335</v>
      </c>
      <c r="B131" s="6" t="s">
        <v>4107</v>
      </c>
      <c r="C131" s="7" t="s">
        <v>24</v>
      </c>
      <c r="D131" s="7" t="s">
        <v>25</v>
      </c>
      <c r="E131" s="8" t="s">
        <v>4464</v>
      </c>
    </row>
    <row r="132" spans="1:5" x14ac:dyDescent="0.25">
      <c r="A132" s="5" t="s">
        <v>233</v>
      </c>
      <c r="B132" s="6" t="s">
        <v>232</v>
      </c>
      <c r="C132" s="7" t="s">
        <v>24</v>
      </c>
      <c r="D132" s="7" t="s">
        <v>25</v>
      </c>
      <c r="E132" s="8" t="s">
        <v>4459</v>
      </c>
    </row>
    <row r="133" spans="1:5" x14ac:dyDescent="0.25">
      <c r="A133" s="5" t="s">
        <v>235</v>
      </c>
      <c r="B133" s="6" t="s">
        <v>234</v>
      </c>
      <c r="C133" s="7" t="s">
        <v>24</v>
      </c>
      <c r="D133" s="7" t="s">
        <v>25</v>
      </c>
      <c r="E133" s="8" t="s">
        <v>4461</v>
      </c>
    </row>
    <row r="134" spans="1:5" x14ac:dyDescent="0.25">
      <c r="A134" s="5" t="s">
        <v>237</v>
      </c>
      <c r="B134" s="6" t="s">
        <v>236</v>
      </c>
      <c r="C134" s="7" t="s">
        <v>24</v>
      </c>
      <c r="D134" s="7" t="s">
        <v>25</v>
      </c>
      <c r="E134" s="8" t="s">
        <v>4465</v>
      </c>
    </row>
    <row r="135" spans="1:5" x14ac:dyDescent="0.25">
      <c r="A135" s="5" t="s">
        <v>239</v>
      </c>
      <c r="B135" s="6" t="s">
        <v>238</v>
      </c>
      <c r="C135" s="7" t="s">
        <v>24</v>
      </c>
      <c r="D135" s="7" t="s">
        <v>25</v>
      </c>
      <c r="E135" s="8" t="s">
        <v>4458</v>
      </c>
    </row>
    <row r="136" spans="1:5" x14ac:dyDescent="0.25">
      <c r="A136" s="5" t="s">
        <v>241</v>
      </c>
      <c r="B136" s="6" t="s">
        <v>240</v>
      </c>
      <c r="C136" s="7" t="s">
        <v>24</v>
      </c>
      <c r="D136" s="7" t="s">
        <v>25</v>
      </c>
      <c r="E136" s="8" t="s">
        <v>4459</v>
      </c>
    </row>
    <row r="137" spans="1:5" x14ac:dyDescent="0.25">
      <c r="A137" s="5" t="s">
        <v>3329</v>
      </c>
      <c r="B137" s="6" t="s">
        <v>4103</v>
      </c>
      <c r="C137" s="7" t="s">
        <v>24</v>
      </c>
      <c r="D137" s="7" t="s">
        <v>25</v>
      </c>
      <c r="E137" s="8" t="s">
        <v>4460</v>
      </c>
    </row>
    <row r="138" spans="1:5" x14ac:dyDescent="0.25">
      <c r="A138" s="5" t="s">
        <v>243</v>
      </c>
      <c r="B138" s="6" t="s">
        <v>242</v>
      </c>
      <c r="C138" s="7" t="s">
        <v>24</v>
      </c>
      <c r="D138" s="7" t="s">
        <v>25</v>
      </c>
      <c r="E138" s="8" t="s">
        <v>4458</v>
      </c>
    </row>
    <row r="139" spans="1:5" x14ac:dyDescent="0.25">
      <c r="A139" s="5" t="s">
        <v>245</v>
      </c>
      <c r="B139" s="6" t="s">
        <v>244</v>
      </c>
      <c r="C139" s="7" t="s">
        <v>24</v>
      </c>
      <c r="D139" s="7" t="s">
        <v>25</v>
      </c>
      <c r="E139" s="8" t="s">
        <v>4465</v>
      </c>
    </row>
    <row r="140" spans="1:5" x14ac:dyDescent="0.25">
      <c r="A140" s="5" t="s">
        <v>247</v>
      </c>
      <c r="B140" s="6" t="s">
        <v>246</v>
      </c>
      <c r="C140" s="7" t="s">
        <v>24</v>
      </c>
      <c r="D140" s="7" t="s">
        <v>25</v>
      </c>
      <c r="E140" s="8" t="s">
        <v>4463</v>
      </c>
    </row>
    <row r="141" spans="1:5" x14ac:dyDescent="0.25">
      <c r="A141" s="5" t="s">
        <v>249</v>
      </c>
      <c r="B141" s="6" t="s">
        <v>248</v>
      </c>
      <c r="C141" s="7" t="s">
        <v>24</v>
      </c>
      <c r="D141" s="7" t="s">
        <v>25</v>
      </c>
      <c r="E141" s="8" t="s">
        <v>4467</v>
      </c>
    </row>
    <row r="142" spans="1:5" x14ac:dyDescent="0.25">
      <c r="A142" s="5" t="s">
        <v>251</v>
      </c>
      <c r="B142" s="6" t="s">
        <v>250</v>
      </c>
      <c r="C142" s="7" t="s">
        <v>24</v>
      </c>
      <c r="D142" s="7" t="s">
        <v>25</v>
      </c>
      <c r="E142" s="8" t="s">
        <v>4460</v>
      </c>
    </row>
    <row r="143" spans="1:5" x14ac:dyDescent="0.25">
      <c r="A143" s="5" t="s">
        <v>253</v>
      </c>
      <c r="B143" s="6" t="s">
        <v>252</v>
      </c>
      <c r="C143" s="7" t="s">
        <v>24</v>
      </c>
      <c r="D143" s="7" t="s">
        <v>25</v>
      </c>
      <c r="E143" s="8" t="s">
        <v>4461</v>
      </c>
    </row>
    <row r="144" spans="1:5" x14ac:dyDescent="0.25">
      <c r="A144" s="5" t="s">
        <v>255</v>
      </c>
      <c r="B144" s="6" t="s">
        <v>254</v>
      </c>
      <c r="C144" s="7" t="s">
        <v>24</v>
      </c>
      <c r="D144" s="7" t="s">
        <v>25</v>
      </c>
      <c r="E144" s="8" t="s">
        <v>4462</v>
      </c>
    </row>
    <row r="145" spans="1:5" x14ac:dyDescent="0.25">
      <c r="A145" s="5" t="s">
        <v>257</v>
      </c>
      <c r="B145" s="6" t="s">
        <v>256</v>
      </c>
      <c r="C145" s="7" t="s">
        <v>24</v>
      </c>
      <c r="D145" s="7" t="s">
        <v>25</v>
      </c>
      <c r="E145" s="8" t="s">
        <v>4459</v>
      </c>
    </row>
    <row r="146" spans="1:5" x14ac:dyDescent="0.25">
      <c r="A146" s="5" t="s">
        <v>259</v>
      </c>
      <c r="B146" s="6" t="s">
        <v>258</v>
      </c>
      <c r="C146" s="7" t="s">
        <v>24</v>
      </c>
      <c r="D146" s="7" t="s">
        <v>25</v>
      </c>
      <c r="E146" s="8" t="s">
        <v>4458</v>
      </c>
    </row>
    <row r="147" spans="1:5" x14ac:dyDescent="0.25">
      <c r="A147" s="5" t="s">
        <v>261</v>
      </c>
      <c r="B147" s="6" t="s">
        <v>260</v>
      </c>
      <c r="C147" s="7" t="s">
        <v>24</v>
      </c>
      <c r="D147" s="7" t="s">
        <v>25</v>
      </c>
      <c r="E147" s="8" t="s">
        <v>4459</v>
      </c>
    </row>
    <row r="148" spans="1:5" x14ac:dyDescent="0.25">
      <c r="A148" s="5" t="s">
        <v>263</v>
      </c>
      <c r="B148" s="6" t="s">
        <v>262</v>
      </c>
      <c r="C148" s="7" t="s">
        <v>24</v>
      </c>
      <c r="D148" s="7" t="s">
        <v>25</v>
      </c>
      <c r="E148" s="8" t="s">
        <v>4461</v>
      </c>
    </row>
    <row r="149" spans="1:5" x14ac:dyDescent="0.25">
      <c r="A149" s="5" t="s">
        <v>265</v>
      </c>
      <c r="B149" s="6" t="s">
        <v>264</v>
      </c>
      <c r="C149" s="7" t="s">
        <v>24</v>
      </c>
      <c r="D149" s="7" t="s">
        <v>25</v>
      </c>
      <c r="E149" s="8" t="s">
        <v>4465</v>
      </c>
    </row>
    <row r="150" spans="1:5" x14ac:dyDescent="0.25">
      <c r="A150" s="5" t="s">
        <v>267</v>
      </c>
      <c r="B150" s="6" t="s">
        <v>266</v>
      </c>
      <c r="C150" s="7" t="s">
        <v>24</v>
      </c>
      <c r="D150" s="7" t="s">
        <v>25</v>
      </c>
      <c r="E150" s="8" t="s">
        <v>4463</v>
      </c>
    </row>
    <row r="151" spans="1:5" x14ac:dyDescent="0.25">
      <c r="A151" s="5" t="s">
        <v>269</v>
      </c>
      <c r="B151" s="6" t="s">
        <v>268</v>
      </c>
      <c r="C151" s="7" t="s">
        <v>24</v>
      </c>
      <c r="D151" s="7" t="s">
        <v>25</v>
      </c>
      <c r="E151" s="8" t="s">
        <v>4462</v>
      </c>
    </row>
    <row r="152" spans="1:5" x14ac:dyDescent="0.25">
      <c r="A152" s="5" t="s">
        <v>271</v>
      </c>
      <c r="B152" s="6" t="s">
        <v>270</v>
      </c>
      <c r="C152" s="7" t="s">
        <v>24</v>
      </c>
      <c r="D152" s="7" t="s">
        <v>25</v>
      </c>
      <c r="E152" s="8" t="s">
        <v>4461</v>
      </c>
    </row>
    <row r="153" spans="1:5" x14ac:dyDescent="0.25">
      <c r="A153" s="5" t="s">
        <v>273</v>
      </c>
      <c r="B153" s="6" t="s">
        <v>272</v>
      </c>
      <c r="C153" s="7" t="s">
        <v>24</v>
      </c>
      <c r="D153" s="7" t="s">
        <v>25</v>
      </c>
      <c r="E153" s="8" t="s">
        <v>4458</v>
      </c>
    </row>
    <row r="154" spans="1:5" x14ac:dyDescent="0.25">
      <c r="A154" s="5" t="s">
        <v>275</v>
      </c>
      <c r="B154" s="6" t="s">
        <v>274</v>
      </c>
      <c r="C154" s="7" t="s">
        <v>24</v>
      </c>
      <c r="D154" s="7" t="s">
        <v>25</v>
      </c>
      <c r="E154" s="8" t="s">
        <v>4459</v>
      </c>
    </row>
    <row r="155" spans="1:5" x14ac:dyDescent="0.25">
      <c r="A155" s="5" t="s">
        <v>277</v>
      </c>
      <c r="B155" s="6" t="s">
        <v>276</v>
      </c>
      <c r="C155" s="7" t="s">
        <v>24</v>
      </c>
      <c r="D155" s="7" t="s">
        <v>25</v>
      </c>
      <c r="E155" s="8" t="s">
        <v>4458</v>
      </c>
    </row>
    <row r="156" spans="1:5" x14ac:dyDescent="0.25">
      <c r="A156" s="5" t="s">
        <v>279</v>
      </c>
      <c r="B156" s="6" t="s">
        <v>278</v>
      </c>
      <c r="C156" s="7" t="s">
        <v>24</v>
      </c>
      <c r="D156" s="7" t="s">
        <v>25</v>
      </c>
      <c r="E156" s="8" t="s">
        <v>4459</v>
      </c>
    </row>
    <row r="157" spans="1:5" x14ac:dyDescent="0.25">
      <c r="A157" s="5" t="s">
        <v>281</v>
      </c>
      <c r="B157" s="6" t="s">
        <v>280</v>
      </c>
      <c r="C157" s="7" t="s">
        <v>24</v>
      </c>
      <c r="D157" s="7" t="s">
        <v>25</v>
      </c>
      <c r="E157" s="8" t="s">
        <v>4461</v>
      </c>
    </row>
    <row r="158" spans="1:5" x14ac:dyDescent="0.25">
      <c r="A158" s="5" t="s">
        <v>283</v>
      </c>
      <c r="B158" s="6" t="s">
        <v>282</v>
      </c>
      <c r="C158" s="7" t="s">
        <v>24</v>
      </c>
      <c r="D158" s="7" t="s">
        <v>64</v>
      </c>
      <c r="E158" s="8" t="s">
        <v>99</v>
      </c>
    </row>
    <row r="159" spans="1:5" x14ac:dyDescent="0.25">
      <c r="A159" s="5" t="s">
        <v>285</v>
      </c>
      <c r="B159" s="6" t="s">
        <v>284</v>
      </c>
      <c r="C159" s="7" t="s">
        <v>24</v>
      </c>
      <c r="D159" s="7" t="s">
        <v>64</v>
      </c>
      <c r="E159" s="8" t="s">
        <v>68</v>
      </c>
    </row>
    <row r="160" spans="1:5" x14ac:dyDescent="0.25">
      <c r="A160" s="5" t="s">
        <v>287</v>
      </c>
      <c r="B160" s="6" t="s">
        <v>286</v>
      </c>
      <c r="C160" s="7" t="s">
        <v>24</v>
      </c>
      <c r="D160" s="7" t="s">
        <v>64</v>
      </c>
      <c r="E160" s="8" t="s">
        <v>288</v>
      </c>
    </row>
    <row r="161" spans="1:5" x14ac:dyDescent="0.25">
      <c r="A161" s="5" t="s">
        <v>290</v>
      </c>
      <c r="B161" s="6" t="s">
        <v>289</v>
      </c>
      <c r="C161" s="7" t="s">
        <v>24</v>
      </c>
      <c r="D161" s="7" t="s">
        <v>25</v>
      </c>
      <c r="E161" s="8" t="s">
        <v>4458</v>
      </c>
    </row>
    <row r="162" spans="1:5" x14ac:dyDescent="0.25">
      <c r="A162" s="5" t="s">
        <v>292</v>
      </c>
      <c r="B162" s="6" t="s">
        <v>291</v>
      </c>
      <c r="C162" s="7" t="s">
        <v>24</v>
      </c>
      <c r="D162" s="7" t="s">
        <v>25</v>
      </c>
      <c r="E162" s="8" t="s">
        <v>4459</v>
      </c>
    </row>
    <row r="163" spans="1:5" x14ac:dyDescent="0.25">
      <c r="A163" s="5" t="s">
        <v>294</v>
      </c>
      <c r="B163" s="6" t="s">
        <v>293</v>
      </c>
      <c r="C163" s="7" t="s">
        <v>24</v>
      </c>
      <c r="D163" s="7" t="s">
        <v>25</v>
      </c>
      <c r="E163" s="8" t="s">
        <v>4461</v>
      </c>
    </row>
    <row r="164" spans="1:5" x14ac:dyDescent="0.25">
      <c r="A164" s="5" t="s">
        <v>296</v>
      </c>
      <c r="B164" s="6" t="s">
        <v>295</v>
      </c>
      <c r="C164" s="7" t="s">
        <v>24</v>
      </c>
      <c r="D164" s="7" t="s">
        <v>25</v>
      </c>
      <c r="E164" s="8" t="s">
        <v>4462</v>
      </c>
    </row>
    <row r="165" spans="1:5" x14ac:dyDescent="0.25">
      <c r="A165" s="5" t="s">
        <v>3306</v>
      </c>
      <c r="B165" s="6" t="s">
        <v>4077</v>
      </c>
      <c r="C165" s="7" t="s">
        <v>24</v>
      </c>
      <c r="D165" s="7" t="s">
        <v>4456</v>
      </c>
      <c r="E165" s="8" t="s">
        <v>4454</v>
      </c>
    </row>
    <row r="166" spans="1:5" x14ac:dyDescent="0.25">
      <c r="A166" s="5" t="s">
        <v>298</v>
      </c>
      <c r="B166" s="6" t="s">
        <v>297</v>
      </c>
      <c r="C166" s="7" t="s">
        <v>24</v>
      </c>
      <c r="D166" s="7" t="s">
        <v>25</v>
      </c>
      <c r="E166" s="8" t="s">
        <v>4466</v>
      </c>
    </row>
    <row r="167" spans="1:5" x14ac:dyDescent="0.25">
      <c r="A167" s="5" t="s">
        <v>300</v>
      </c>
      <c r="B167" s="6" t="s">
        <v>299</v>
      </c>
      <c r="C167" s="7" t="s">
        <v>24</v>
      </c>
      <c r="D167" s="7" t="s">
        <v>25</v>
      </c>
      <c r="E167" s="8" t="s">
        <v>4459</v>
      </c>
    </row>
    <row r="168" spans="1:5" x14ac:dyDescent="0.25">
      <c r="A168" s="5" t="s">
        <v>302</v>
      </c>
      <c r="B168" s="6" t="s">
        <v>301</v>
      </c>
      <c r="C168" s="7" t="s">
        <v>24</v>
      </c>
      <c r="D168" s="7" t="s">
        <v>25</v>
      </c>
      <c r="E168" s="8" t="s">
        <v>4461</v>
      </c>
    </row>
    <row r="169" spans="1:5" x14ac:dyDescent="0.25">
      <c r="A169" s="5" t="s">
        <v>304</v>
      </c>
      <c r="B169" s="6" t="s">
        <v>303</v>
      </c>
      <c r="C169" s="7" t="s">
        <v>24</v>
      </c>
      <c r="D169" s="7" t="s">
        <v>25</v>
      </c>
      <c r="E169" s="8" t="s">
        <v>4465</v>
      </c>
    </row>
    <row r="170" spans="1:5" x14ac:dyDescent="0.25">
      <c r="A170" s="5" t="s">
        <v>306</v>
      </c>
      <c r="B170" s="6" t="s">
        <v>305</v>
      </c>
      <c r="C170" s="7" t="s">
        <v>24</v>
      </c>
      <c r="D170" s="7" t="s">
        <v>25</v>
      </c>
      <c r="E170" s="8" t="s">
        <v>4463</v>
      </c>
    </row>
    <row r="171" spans="1:5" x14ac:dyDescent="0.25">
      <c r="A171" s="5" t="s">
        <v>308</v>
      </c>
      <c r="B171" s="6" t="s">
        <v>307</v>
      </c>
      <c r="C171" s="7" t="s">
        <v>24</v>
      </c>
      <c r="D171" s="7" t="s">
        <v>25</v>
      </c>
      <c r="E171" s="8" t="s">
        <v>4466</v>
      </c>
    </row>
    <row r="172" spans="1:5" x14ac:dyDescent="0.25">
      <c r="A172" s="12" t="s">
        <v>310</v>
      </c>
      <c r="B172" s="6" t="s">
        <v>309</v>
      </c>
      <c r="C172" s="13" t="s">
        <v>24</v>
      </c>
      <c r="D172" s="13" t="s">
        <v>25</v>
      </c>
      <c r="E172" s="8" t="s">
        <v>4459</v>
      </c>
    </row>
    <row r="173" spans="1:5" x14ac:dyDescent="0.25">
      <c r="A173" s="12" t="s">
        <v>312</v>
      </c>
      <c r="B173" s="6" t="s">
        <v>311</v>
      </c>
      <c r="C173" s="13" t="s">
        <v>24</v>
      </c>
      <c r="D173" s="13" t="s">
        <v>25</v>
      </c>
      <c r="E173" s="8" t="s">
        <v>4461</v>
      </c>
    </row>
    <row r="174" spans="1:5" x14ac:dyDescent="0.25">
      <c r="A174" s="12" t="s">
        <v>314</v>
      </c>
      <c r="B174" s="6" t="s">
        <v>313</v>
      </c>
      <c r="C174" s="13" t="s">
        <v>24</v>
      </c>
      <c r="D174" s="13" t="s">
        <v>25</v>
      </c>
      <c r="E174" s="8" t="s">
        <v>4465</v>
      </c>
    </row>
    <row r="175" spans="1:5" x14ac:dyDescent="0.25">
      <c r="A175" s="12" t="s">
        <v>316</v>
      </c>
      <c r="B175" s="6" t="s">
        <v>315</v>
      </c>
      <c r="C175" s="13" t="s">
        <v>24</v>
      </c>
      <c r="D175" s="13" t="s">
        <v>25</v>
      </c>
      <c r="E175" s="8" t="s">
        <v>4463</v>
      </c>
    </row>
    <row r="176" spans="1:5" x14ac:dyDescent="0.25">
      <c r="A176" s="5" t="s">
        <v>3112</v>
      </c>
      <c r="B176" s="6" t="s">
        <v>3882</v>
      </c>
      <c r="C176" s="7" t="s">
        <v>24</v>
      </c>
      <c r="D176" s="7" t="s">
        <v>4456</v>
      </c>
      <c r="E176" s="8" t="s">
        <v>4454</v>
      </c>
    </row>
    <row r="177" spans="1:5" x14ac:dyDescent="0.25">
      <c r="A177" s="5" t="s">
        <v>2924</v>
      </c>
      <c r="B177" s="6" t="s">
        <v>3687</v>
      </c>
      <c r="C177" s="7" t="s">
        <v>24</v>
      </c>
      <c r="D177" s="7" t="s">
        <v>4456</v>
      </c>
      <c r="E177" s="8" t="s">
        <v>4454</v>
      </c>
    </row>
    <row r="178" spans="1:5" x14ac:dyDescent="0.25">
      <c r="A178" s="5" t="s">
        <v>2925</v>
      </c>
      <c r="B178" s="6" t="s">
        <v>3688</v>
      </c>
      <c r="C178" s="7" t="s">
        <v>24</v>
      </c>
      <c r="D178" s="7" t="s">
        <v>4456</v>
      </c>
      <c r="E178" s="8" t="s">
        <v>4454</v>
      </c>
    </row>
    <row r="179" spans="1:5" x14ac:dyDescent="0.25">
      <c r="A179" s="5" t="s">
        <v>3273</v>
      </c>
      <c r="B179" s="6" t="s">
        <v>4044</v>
      </c>
      <c r="C179" s="7" t="s">
        <v>24</v>
      </c>
      <c r="D179" s="7" t="s">
        <v>4456</v>
      </c>
      <c r="E179" s="8" t="s">
        <v>4454</v>
      </c>
    </row>
    <row r="180" spans="1:5" x14ac:dyDescent="0.25">
      <c r="A180" s="5" t="s">
        <v>3111</v>
      </c>
      <c r="B180" s="6" t="s">
        <v>3881</v>
      </c>
      <c r="C180" s="7" t="s">
        <v>24</v>
      </c>
      <c r="D180" s="7" t="s">
        <v>4456</v>
      </c>
      <c r="E180" s="8" t="s">
        <v>4454</v>
      </c>
    </row>
    <row r="181" spans="1:5" x14ac:dyDescent="0.25">
      <c r="A181" s="5" t="s">
        <v>3274</v>
      </c>
      <c r="B181" s="6" t="s">
        <v>4045</v>
      </c>
      <c r="C181" s="7" t="s">
        <v>24</v>
      </c>
      <c r="D181" s="7" t="s">
        <v>4456</v>
      </c>
      <c r="E181" s="8" t="s">
        <v>4454</v>
      </c>
    </row>
    <row r="182" spans="1:5" x14ac:dyDescent="0.25">
      <c r="A182" s="5" t="s">
        <v>318</v>
      </c>
      <c r="B182" s="6" t="s">
        <v>317</v>
      </c>
      <c r="C182" s="7" t="s">
        <v>24</v>
      </c>
      <c r="D182" s="7" t="s">
        <v>25</v>
      </c>
      <c r="E182" s="8" t="s">
        <v>4468</v>
      </c>
    </row>
    <row r="183" spans="1:5" x14ac:dyDescent="0.25">
      <c r="A183" s="5" t="s">
        <v>320</v>
      </c>
      <c r="B183" s="6" t="s">
        <v>319</v>
      </c>
      <c r="C183" s="7" t="s">
        <v>24</v>
      </c>
      <c r="D183" s="7" t="s">
        <v>321</v>
      </c>
      <c r="E183" s="8" t="s">
        <v>4455</v>
      </c>
    </row>
    <row r="184" spans="1:5" x14ac:dyDescent="0.25">
      <c r="A184" s="5" t="s">
        <v>323</v>
      </c>
      <c r="B184" s="6" t="s">
        <v>322</v>
      </c>
      <c r="C184" s="7" t="s">
        <v>24</v>
      </c>
      <c r="D184" s="7" t="s">
        <v>64</v>
      </c>
      <c r="E184" s="8" t="s">
        <v>99</v>
      </c>
    </row>
    <row r="185" spans="1:5" x14ac:dyDescent="0.25">
      <c r="A185" s="5" t="s">
        <v>325</v>
      </c>
      <c r="B185" s="6" t="s">
        <v>324</v>
      </c>
      <c r="C185" s="7" t="s">
        <v>24</v>
      </c>
      <c r="D185" s="7" t="s">
        <v>64</v>
      </c>
      <c r="E185" s="8" t="s">
        <v>68</v>
      </c>
    </row>
    <row r="186" spans="1:5" x14ac:dyDescent="0.25">
      <c r="A186" s="5" t="s">
        <v>327</v>
      </c>
      <c r="B186" s="6" t="s">
        <v>326</v>
      </c>
      <c r="C186" s="7" t="s">
        <v>24</v>
      </c>
      <c r="D186" s="7" t="s">
        <v>25</v>
      </c>
      <c r="E186" s="8" t="s">
        <v>4457</v>
      </c>
    </row>
    <row r="187" spans="1:5" x14ac:dyDescent="0.25">
      <c r="A187" s="5" t="s">
        <v>329</v>
      </c>
      <c r="B187" s="6" t="s">
        <v>328</v>
      </c>
      <c r="C187" s="7" t="s">
        <v>24</v>
      </c>
      <c r="D187" s="7" t="s">
        <v>25</v>
      </c>
      <c r="E187" s="8" t="s">
        <v>4458</v>
      </c>
    </row>
    <row r="188" spans="1:5" x14ac:dyDescent="0.25">
      <c r="A188" s="12" t="s">
        <v>331</v>
      </c>
      <c r="B188" s="6" t="s">
        <v>330</v>
      </c>
      <c r="C188" s="13" t="s">
        <v>24</v>
      </c>
      <c r="D188" s="13" t="s">
        <v>25</v>
      </c>
      <c r="E188" s="8" t="s">
        <v>4459</v>
      </c>
    </row>
    <row r="189" spans="1:5" x14ac:dyDescent="0.25">
      <c r="A189" s="5" t="s">
        <v>3326</v>
      </c>
      <c r="B189" s="6" t="s">
        <v>4100</v>
      </c>
      <c r="C189" s="7" t="s">
        <v>24</v>
      </c>
      <c r="D189" s="7" t="s">
        <v>25</v>
      </c>
      <c r="E189" s="8" t="s">
        <v>4460</v>
      </c>
    </row>
    <row r="190" spans="1:5" x14ac:dyDescent="0.25">
      <c r="A190" s="5" t="s">
        <v>333</v>
      </c>
      <c r="B190" s="6" t="s">
        <v>332</v>
      </c>
      <c r="C190" s="7" t="s">
        <v>24</v>
      </c>
      <c r="D190" s="7" t="s">
        <v>64</v>
      </c>
      <c r="E190" s="8" t="s">
        <v>99</v>
      </c>
    </row>
    <row r="191" spans="1:5" x14ac:dyDescent="0.25">
      <c r="A191" s="12" t="s">
        <v>335</v>
      </c>
      <c r="B191" s="6" t="s">
        <v>334</v>
      </c>
      <c r="C191" s="13" t="s">
        <v>24</v>
      </c>
      <c r="D191" s="13" t="s">
        <v>64</v>
      </c>
      <c r="E191" s="10" t="s">
        <v>65</v>
      </c>
    </row>
    <row r="192" spans="1:5" x14ac:dyDescent="0.25">
      <c r="A192" s="12" t="s">
        <v>337</v>
      </c>
      <c r="B192" s="6" t="s">
        <v>336</v>
      </c>
      <c r="C192" s="13" t="s">
        <v>24</v>
      </c>
      <c r="D192" s="13" t="s">
        <v>25</v>
      </c>
      <c r="E192" s="8" t="s">
        <v>4457</v>
      </c>
    </row>
    <row r="193" spans="1:5" x14ac:dyDescent="0.25">
      <c r="A193" s="5" t="s">
        <v>339</v>
      </c>
      <c r="B193" s="6" t="s">
        <v>338</v>
      </c>
      <c r="C193" s="7" t="s">
        <v>24</v>
      </c>
      <c r="D193" s="7" t="s">
        <v>64</v>
      </c>
      <c r="E193" s="8" t="s">
        <v>99</v>
      </c>
    </row>
    <row r="194" spans="1:5" x14ac:dyDescent="0.25">
      <c r="A194" s="5" t="s">
        <v>341</v>
      </c>
      <c r="B194" s="6" t="s">
        <v>340</v>
      </c>
      <c r="C194" s="7" t="s">
        <v>24</v>
      </c>
      <c r="D194" s="7" t="s">
        <v>64</v>
      </c>
      <c r="E194" s="8" t="s">
        <v>68</v>
      </c>
    </row>
    <row r="195" spans="1:5" x14ac:dyDescent="0.25">
      <c r="A195" s="5" t="s">
        <v>343</v>
      </c>
      <c r="B195" s="6" t="s">
        <v>342</v>
      </c>
      <c r="C195" s="7" t="s">
        <v>24</v>
      </c>
      <c r="D195" s="7" t="s">
        <v>321</v>
      </c>
      <c r="E195" s="8" t="s">
        <v>4455</v>
      </c>
    </row>
    <row r="196" spans="1:5" x14ac:dyDescent="0.25">
      <c r="A196" s="5" t="s">
        <v>345</v>
      </c>
      <c r="B196" s="6" t="s">
        <v>344</v>
      </c>
      <c r="C196" s="7" t="s">
        <v>24</v>
      </c>
      <c r="D196" s="7" t="s">
        <v>321</v>
      </c>
      <c r="E196" s="8" t="s">
        <v>4455</v>
      </c>
    </row>
    <row r="197" spans="1:5" x14ac:dyDescent="0.25">
      <c r="A197" s="5" t="s">
        <v>347</v>
      </c>
      <c r="B197" s="6" t="s">
        <v>346</v>
      </c>
      <c r="C197" s="7" t="s">
        <v>24</v>
      </c>
      <c r="D197" s="7" t="s">
        <v>25</v>
      </c>
      <c r="E197" s="8" t="s">
        <v>4465</v>
      </c>
    </row>
    <row r="198" spans="1:5" x14ac:dyDescent="0.25">
      <c r="A198" s="5" t="s">
        <v>4487</v>
      </c>
      <c r="B198" s="6" t="s">
        <v>4488</v>
      </c>
      <c r="C198" s="7" t="s">
        <v>24</v>
      </c>
      <c r="D198" s="7" t="s">
        <v>321</v>
      </c>
      <c r="E198" s="8" t="s">
        <v>4455</v>
      </c>
    </row>
    <row r="199" spans="1:5" x14ac:dyDescent="0.25">
      <c r="A199" s="5" t="s">
        <v>349</v>
      </c>
      <c r="B199" s="6" t="s">
        <v>348</v>
      </c>
      <c r="C199" s="7" t="s">
        <v>24</v>
      </c>
      <c r="D199" s="7" t="s">
        <v>321</v>
      </c>
      <c r="E199" s="8" t="s">
        <v>4455</v>
      </c>
    </row>
    <row r="200" spans="1:5" x14ac:dyDescent="0.25">
      <c r="A200" s="5" t="s">
        <v>351</v>
      </c>
      <c r="B200" s="6" t="s">
        <v>350</v>
      </c>
      <c r="C200" s="7" t="s">
        <v>24</v>
      </c>
      <c r="D200" s="7" t="s">
        <v>64</v>
      </c>
      <c r="E200" s="8" t="s">
        <v>99</v>
      </c>
    </row>
    <row r="201" spans="1:5" x14ac:dyDescent="0.25">
      <c r="A201" s="5" t="s">
        <v>353</v>
      </c>
      <c r="B201" s="6" t="s">
        <v>352</v>
      </c>
      <c r="C201" s="7" t="s">
        <v>24</v>
      </c>
      <c r="D201" s="7" t="s">
        <v>25</v>
      </c>
      <c r="E201" s="8" t="s">
        <v>4457</v>
      </c>
    </row>
    <row r="202" spans="1:5" x14ac:dyDescent="0.25">
      <c r="A202" s="5" t="s">
        <v>355</v>
      </c>
      <c r="B202" s="6" t="s">
        <v>354</v>
      </c>
      <c r="C202" s="7" t="s">
        <v>24</v>
      </c>
      <c r="D202" s="7" t="s">
        <v>64</v>
      </c>
      <c r="E202" s="8" t="s">
        <v>87</v>
      </c>
    </row>
    <row r="203" spans="1:5" x14ac:dyDescent="0.25">
      <c r="A203" s="5" t="s">
        <v>357</v>
      </c>
      <c r="B203" s="6" t="s">
        <v>356</v>
      </c>
      <c r="C203" s="7" t="s">
        <v>24</v>
      </c>
      <c r="D203" s="7" t="s">
        <v>64</v>
      </c>
      <c r="E203" s="8" t="s">
        <v>99</v>
      </c>
    </row>
    <row r="204" spans="1:5" x14ac:dyDescent="0.25">
      <c r="A204" s="5" t="s">
        <v>359</v>
      </c>
      <c r="B204" s="6" t="s">
        <v>358</v>
      </c>
      <c r="C204" s="7" t="s">
        <v>24</v>
      </c>
      <c r="D204" s="7" t="s">
        <v>64</v>
      </c>
      <c r="E204" s="8" t="s">
        <v>99</v>
      </c>
    </row>
    <row r="205" spans="1:5" x14ac:dyDescent="0.25">
      <c r="A205" s="5" t="s">
        <v>361</v>
      </c>
      <c r="B205" s="6" t="s">
        <v>360</v>
      </c>
      <c r="C205" s="7" t="s">
        <v>24</v>
      </c>
      <c r="D205" s="7" t="s">
        <v>64</v>
      </c>
      <c r="E205" s="8" t="s">
        <v>288</v>
      </c>
    </row>
    <row r="206" spans="1:5" x14ac:dyDescent="0.25">
      <c r="A206" s="5" t="s">
        <v>363</v>
      </c>
      <c r="B206" s="6" t="s">
        <v>362</v>
      </c>
      <c r="C206" s="7" t="s">
        <v>24</v>
      </c>
      <c r="D206" s="7" t="s">
        <v>64</v>
      </c>
      <c r="E206" s="8" t="s">
        <v>99</v>
      </c>
    </row>
    <row r="207" spans="1:5" x14ac:dyDescent="0.25">
      <c r="A207" s="5" t="s">
        <v>365</v>
      </c>
      <c r="B207" s="6" t="s">
        <v>364</v>
      </c>
      <c r="C207" s="7" t="s">
        <v>24</v>
      </c>
      <c r="D207" s="7" t="s">
        <v>64</v>
      </c>
      <c r="E207" s="8" t="s">
        <v>68</v>
      </c>
    </row>
    <row r="208" spans="1:5" x14ac:dyDescent="0.25">
      <c r="A208" s="5" t="s">
        <v>367</v>
      </c>
      <c r="B208" s="6" t="s">
        <v>366</v>
      </c>
      <c r="C208" s="7" t="s">
        <v>24</v>
      </c>
      <c r="D208" s="7" t="s">
        <v>25</v>
      </c>
      <c r="E208" s="8" t="s">
        <v>4457</v>
      </c>
    </row>
    <row r="209" spans="1:5" x14ac:dyDescent="0.25">
      <c r="A209" s="5" t="s">
        <v>369</v>
      </c>
      <c r="B209" s="6" t="s">
        <v>368</v>
      </c>
      <c r="C209" s="7" t="s">
        <v>24</v>
      </c>
      <c r="D209" s="7" t="s">
        <v>64</v>
      </c>
      <c r="E209" s="8" t="s">
        <v>65</v>
      </c>
    </row>
    <row r="210" spans="1:5" x14ac:dyDescent="0.25">
      <c r="A210" s="5" t="s">
        <v>371</v>
      </c>
      <c r="B210" s="6" t="s">
        <v>370</v>
      </c>
      <c r="C210" s="7" t="s">
        <v>24</v>
      </c>
      <c r="D210" s="7" t="s">
        <v>64</v>
      </c>
      <c r="E210" s="8" t="s">
        <v>68</v>
      </c>
    </row>
    <row r="211" spans="1:5" x14ac:dyDescent="0.25">
      <c r="A211" s="5" t="s">
        <v>373</v>
      </c>
      <c r="B211" s="6" t="s">
        <v>372</v>
      </c>
      <c r="C211" s="7" t="s">
        <v>24</v>
      </c>
      <c r="D211" s="7" t="s">
        <v>64</v>
      </c>
      <c r="E211" s="8" t="s">
        <v>288</v>
      </c>
    </row>
    <row r="212" spans="1:5" x14ac:dyDescent="0.25">
      <c r="A212" s="5" t="s">
        <v>375</v>
      </c>
      <c r="B212" s="6" t="s">
        <v>374</v>
      </c>
      <c r="C212" s="7" t="s">
        <v>24</v>
      </c>
      <c r="D212" s="7" t="s">
        <v>64</v>
      </c>
      <c r="E212" s="8" t="s">
        <v>99</v>
      </c>
    </row>
    <row r="213" spans="1:5" x14ac:dyDescent="0.25">
      <c r="A213" s="5" t="s">
        <v>377</v>
      </c>
      <c r="B213" s="6" t="s">
        <v>376</v>
      </c>
      <c r="C213" s="7" t="s">
        <v>24</v>
      </c>
      <c r="D213" s="7" t="s">
        <v>64</v>
      </c>
      <c r="E213" s="8" t="s">
        <v>65</v>
      </c>
    </row>
    <row r="214" spans="1:5" x14ac:dyDescent="0.25">
      <c r="A214" s="5" t="s">
        <v>379</v>
      </c>
      <c r="B214" s="6" t="s">
        <v>378</v>
      </c>
      <c r="C214" s="7" t="s">
        <v>24</v>
      </c>
      <c r="D214" s="7" t="s">
        <v>25</v>
      </c>
      <c r="E214" s="8" t="s">
        <v>4457</v>
      </c>
    </row>
    <row r="215" spans="1:5" x14ac:dyDescent="0.25">
      <c r="A215" s="5" t="s">
        <v>381</v>
      </c>
      <c r="B215" s="6" t="s">
        <v>380</v>
      </c>
      <c r="C215" s="7" t="s">
        <v>24</v>
      </c>
      <c r="D215" s="7" t="s">
        <v>64</v>
      </c>
      <c r="E215" s="8" t="s">
        <v>99</v>
      </c>
    </row>
    <row r="216" spans="1:5" x14ac:dyDescent="0.25">
      <c r="A216" s="5" t="s">
        <v>383</v>
      </c>
      <c r="B216" s="6" t="s">
        <v>382</v>
      </c>
      <c r="C216" s="7" t="s">
        <v>24</v>
      </c>
      <c r="D216" s="7" t="s">
        <v>64</v>
      </c>
      <c r="E216" s="8" t="s">
        <v>87</v>
      </c>
    </row>
    <row r="217" spans="1:5" x14ac:dyDescent="0.25">
      <c r="A217" s="5" t="s">
        <v>385</v>
      </c>
      <c r="B217" s="6" t="s">
        <v>384</v>
      </c>
      <c r="C217" s="7" t="s">
        <v>24</v>
      </c>
      <c r="D217" s="7" t="s">
        <v>25</v>
      </c>
      <c r="E217" s="8" t="s">
        <v>4466</v>
      </c>
    </row>
    <row r="218" spans="1:5" x14ac:dyDescent="0.25">
      <c r="A218" s="5" t="s">
        <v>387</v>
      </c>
      <c r="B218" s="6" t="s">
        <v>386</v>
      </c>
      <c r="C218" s="7" t="s">
        <v>24</v>
      </c>
      <c r="D218" s="7" t="s">
        <v>25</v>
      </c>
      <c r="E218" s="8" t="s">
        <v>4459</v>
      </c>
    </row>
    <row r="219" spans="1:5" x14ac:dyDescent="0.25">
      <c r="A219" s="5" t="s">
        <v>389</v>
      </c>
      <c r="B219" s="6" t="s">
        <v>388</v>
      </c>
      <c r="C219" s="7" t="s">
        <v>24</v>
      </c>
      <c r="D219" s="7" t="s">
        <v>64</v>
      </c>
      <c r="E219" s="8" t="s">
        <v>65</v>
      </c>
    </row>
    <row r="220" spans="1:5" x14ac:dyDescent="0.25">
      <c r="A220" s="5" t="s">
        <v>391</v>
      </c>
      <c r="B220" s="6" t="s">
        <v>390</v>
      </c>
      <c r="C220" s="7" t="s">
        <v>24</v>
      </c>
      <c r="D220" s="7" t="s">
        <v>64</v>
      </c>
      <c r="E220" s="8" t="s">
        <v>87</v>
      </c>
    </row>
    <row r="221" spans="1:5" x14ac:dyDescent="0.25">
      <c r="A221" s="5" t="s">
        <v>393</v>
      </c>
      <c r="B221" s="6" t="s">
        <v>392</v>
      </c>
      <c r="C221" s="7" t="s">
        <v>24</v>
      </c>
      <c r="D221" s="7" t="s">
        <v>64</v>
      </c>
      <c r="E221" s="8" t="s">
        <v>288</v>
      </c>
    </row>
    <row r="222" spans="1:5" x14ac:dyDescent="0.25">
      <c r="A222" s="5" t="s">
        <v>395</v>
      </c>
      <c r="B222" s="6" t="s">
        <v>394</v>
      </c>
      <c r="C222" s="7" t="s">
        <v>24</v>
      </c>
      <c r="D222" s="7" t="s">
        <v>64</v>
      </c>
      <c r="E222" s="8" t="s">
        <v>99</v>
      </c>
    </row>
    <row r="223" spans="1:5" x14ac:dyDescent="0.25">
      <c r="A223" s="5" t="s">
        <v>397</v>
      </c>
      <c r="B223" s="6" t="s">
        <v>396</v>
      </c>
      <c r="C223" s="7" t="s">
        <v>24</v>
      </c>
      <c r="D223" s="7" t="s">
        <v>64</v>
      </c>
      <c r="E223" s="8" t="s">
        <v>99</v>
      </c>
    </row>
    <row r="224" spans="1:5" x14ac:dyDescent="0.25">
      <c r="A224" s="5" t="s">
        <v>399</v>
      </c>
      <c r="B224" s="6" t="s">
        <v>398</v>
      </c>
      <c r="C224" s="7" t="s">
        <v>24</v>
      </c>
      <c r="D224" s="7" t="s">
        <v>64</v>
      </c>
      <c r="E224" s="8" t="s">
        <v>68</v>
      </c>
    </row>
    <row r="225" spans="1:5" x14ac:dyDescent="0.25">
      <c r="A225" s="5" t="s">
        <v>401</v>
      </c>
      <c r="B225" s="6" t="s">
        <v>400</v>
      </c>
      <c r="C225" s="7" t="s">
        <v>24</v>
      </c>
      <c r="D225" s="7" t="s">
        <v>64</v>
      </c>
      <c r="E225" s="8" t="s">
        <v>99</v>
      </c>
    </row>
    <row r="226" spans="1:5" x14ac:dyDescent="0.25">
      <c r="A226" s="5" t="s">
        <v>403</v>
      </c>
      <c r="B226" s="6" t="s">
        <v>402</v>
      </c>
      <c r="C226" s="7" t="s">
        <v>24</v>
      </c>
      <c r="D226" s="7" t="s">
        <v>64</v>
      </c>
      <c r="E226" s="8" t="s">
        <v>99</v>
      </c>
    </row>
    <row r="227" spans="1:5" x14ac:dyDescent="0.25">
      <c r="A227" s="5" t="s">
        <v>405</v>
      </c>
      <c r="B227" s="6" t="s">
        <v>404</v>
      </c>
      <c r="C227" s="7" t="s">
        <v>24</v>
      </c>
      <c r="D227" s="7" t="s">
        <v>64</v>
      </c>
      <c r="E227" s="8" t="s">
        <v>65</v>
      </c>
    </row>
    <row r="228" spans="1:5" x14ac:dyDescent="0.25">
      <c r="A228" s="12" t="s">
        <v>407</v>
      </c>
      <c r="B228" s="6" t="s">
        <v>406</v>
      </c>
      <c r="C228" s="13" t="s">
        <v>24</v>
      </c>
      <c r="D228" s="13" t="s">
        <v>25</v>
      </c>
      <c r="E228" s="8" t="s">
        <v>4457</v>
      </c>
    </row>
    <row r="229" spans="1:5" x14ac:dyDescent="0.25">
      <c r="A229" s="5" t="s">
        <v>409</v>
      </c>
      <c r="B229" s="6" t="s">
        <v>408</v>
      </c>
      <c r="C229" s="7" t="s">
        <v>24</v>
      </c>
      <c r="D229" s="7" t="s">
        <v>64</v>
      </c>
      <c r="E229" s="8" t="s">
        <v>65</v>
      </c>
    </row>
    <row r="230" spans="1:5" x14ac:dyDescent="0.25">
      <c r="A230" s="5" t="s">
        <v>411</v>
      </c>
      <c r="B230" s="6" t="s">
        <v>410</v>
      </c>
      <c r="C230" s="7" t="s">
        <v>24</v>
      </c>
      <c r="D230" s="7" t="s">
        <v>25</v>
      </c>
      <c r="E230" s="8" t="s">
        <v>4457</v>
      </c>
    </row>
    <row r="231" spans="1:5" x14ac:dyDescent="0.25">
      <c r="A231" s="5" t="s">
        <v>413</v>
      </c>
      <c r="B231" s="6" t="s">
        <v>412</v>
      </c>
      <c r="C231" s="7" t="s">
        <v>24</v>
      </c>
      <c r="D231" s="7" t="s">
        <v>64</v>
      </c>
      <c r="E231" s="8" t="s">
        <v>99</v>
      </c>
    </row>
    <row r="232" spans="1:5" x14ac:dyDescent="0.25">
      <c r="A232" s="5" t="s">
        <v>415</v>
      </c>
      <c r="B232" s="6" t="s">
        <v>414</v>
      </c>
      <c r="C232" s="7" t="s">
        <v>24</v>
      </c>
      <c r="D232" s="7" t="s">
        <v>64</v>
      </c>
      <c r="E232" s="8" t="s">
        <v>68</v>
      </c>
    </row>
    <row r="233" spans="1:5" x14ac:dyDescent="0.25">
      <c r="A233" s="5" t="s">
        <v>417</v>
      </c>
      <c r="B233" s="6" t="s">
        <v>416</v>
      </c>
      <c r="C233" s="7" t="s">
        <v>24</v>
      </c>
      <c r="D233" s="7" t="s">
        <v>64</v>
      </c>
      <c r="E233" s="8" t="s">
        <v>65</v>
      </c>
    </row>
    <row r="234" spans="1:5" x14ac:dyDescent="0.25">
      <c r="A234" s="5" t="s">
        <v>419</v>
      </c>
      <c r="B234" s="6" t="s">
        <v>418</v>
      </c>
      <c r="C234" s="7" t="s">
        <v>24</v>
      </c>
      <c r="D234" s="7" t="s">
        <v>64</v>
      </c>
      <c r="E234" s="8" t="s">
        <v>87</v>
      </c>
    </row>
    <row r="235" spans="1:5" x14ac:dyDescent="0.25">
      <c r="A235" s="5" t="s">
        <v>421</v>
      </c>
      <c r="B235" s="6" t="s">
        <v>420</v>
      </c>
      <c r="C235" s="7" t="s">
        <v>24</v>
      </c>
      <c r="D235" s="7" t="s">
        <v>64</v>
      </c>
      <c r="E235" s="8" t="s">
        <v>68</v>
      </c>
    </row>
    <row r="236" spans="1:5" x14ac:dyDescent="0.25">
      <c r="A236" s="5" t="s">
        <v>423</v>
      </c>
      <c r="B236" s="6" t="s">
        <v>422</v>
      </c>
      <c r="C236" s="7" t="s">
        <v>24</v>
      </c>
      <c r="D236" s="7" t="s">
        <v>64</v>
      </c>
      <c r="E236" s="8" t="s">
        <v>288</v>
      </c>
    </row>
    <row r="237" spans="1:5" x14ac:dyDescent="0.25">
      <c r="A237" s="5" t="s">
        <v>425</v>
      </c>
      <c r="B237" s="6" t="s">
        <v>424</v>
      </c>
      <c r="C237" s="7" t="s">
        <v>24</v>
      </c>
      <c r="D237" s="7" t="s">
        <v>64</v>
      </c>
      <c r="E237" s="8" t="s">
        <v>426</v>
      </c>
    </row>
    <row r="238" spans="1:5" x14ac:dyDescent="0.25">
      <c r="A238" s="5" t="s">
        <v>428</v>
      </c>
      <c r="B238" s="6" t="s">
        <v>427</v>
      </c>
      <c r="C238" s="7" t="s">
        <v>24</v>
      </c>
      <c r="D238" s="7" t="s">
        <v>64</v>
      </c>
      <c r="E238" s="8" t="s">
        <v>99</v>
      </c>
    </row>
    <row r="239" spans="1:5" x14ac:dyDescent="0.25">
      <c r="A239" s="5" t="s">
        <v>430</v>
      </c>
      <c r="B239" s="6" t="s">
        <v>429</v>
      </c>
      <c r="C239" s="7" t="s">
        <v>24</v>
      </c>
      <c r="D239" s="7" t="s">
        <v>64</v>
      </c>
      <c r="E239" s="8" t="s">
        <v>65</v>
      </c>
    </row>
    <row r="240" spans="1:5" x14ac:dyDescent="0.25">
      <c r="A240" s="5" t="s">
        <v>432</v>
      </c>
      <c r="B240" s="6" t="s">
        <v>431</v>
      </c>
      <c r="C240" s="7" t="s">
        <v>24</v>
      </c>
      <c r="D240" s="7" t="s">
        <v>64</v>
      </c>
      <c r="E240" s="8" t="s">
        <v>99</v>
      </c>
    </row>
    <row r="241" spans="1:5" x14ac:dyDescent="0.25">
      <c r="A241" s="5" t="s">
        <v>434</v>
      </c>
      <c r="B241" s="6" t="s">
        <v>433</v>
      </c>
      <c r="C241" s="7" t="s">
        <v>24</v>
      </c>
      <c r="D241" s="7" t="s">
        <v>25</v>
      </c>
      <c r="E241" s="8" t="s">
        <v>4457</v>
      </c>
    </row>
    <row r="242" spans="1:5" x14ac:dyDescent="0.25">
      <c r="A242" s="12" t="s">
        <v>436</v>
      </c>
      <c r="B242" s="6" t="s">
        <v>435</v>
      </c>
      <c r="C242" s="13" t="s">
        <v>24</v>
      </c>
      <c r="D242" s="13" t="s">
        <v>64</v>
      </c>
      <c r="E242" s="8" t="s">
        <v>99</v>
      </c>
    </row>
    <row r="243" spans="1:5" x14ac:dyDescent="0.25">
      <c r="A243" s="5" t="s">
        <v>438</v>
      </c>
      <c r="B243" s="6" t="s">
        <v>437</v>
      </c>
      <c r="C243" s="7" t="s">
        <v>24</v>
      </c>
      <c r="D243" s="7" t="s">
        <v>64</v>
      </c>
      <c r="E243" s="8" t="s">
        <v>68</v>
      </c>
    </row>
    <row r="244" spans="1:5" x14ac:dyDescent="0.25">
      <c r="A244" s="5" t="s">
        <v>440</v>
      </c>
      <c r="B244" s="6" t="s">
        <v>439</v>
      </c>
      <c r="C244" s="7" t="s">
        <v>24</v>
      </c>
      <c r="D244" s="7" t="s">
        <v>25</v>
      </c>
      <c r="E244" s="8" t="s">
        <v>4457</v>
      </c>
    </row>
    <row r="245" spans="1:5" x14ac:dyDescent="0.25">
      <c r="A245" s="5" t="s">
        <v>442</v>
      </c>
      <c r="B245" s="6" t="s">
        <v>441</v>
      </c>
      <c r="C245" s="7" t="s">
        <v>24</v>
      </c>
      <c r="D245" s="7" t="s">
        <v>64</v>
      </c>
      <c r="E245" s="8" t="s">
        <v>99</v>
      </c>
    </row>
    <row r="246" spans="1:5" x14ac:dyDescent="0.25">
      <c r="A246" s="5" t="s">
        <v>444</v>
      </c>
      <c r="B246" s="6" t="s">
        <v>443</v>
      </c>
      <c r="C246" s="7" t="s">
        <v>24</v>
      </c>
      <c r="D246" s="7" t="s">
        <v>64</v>
      </c>
      <c r="E246" s="8" t="s">
        <v>68</v>
      </c>
    </row>
    <row r="247" spans="1:5" x14ac:dyDescent="0.25">
      <c r="A247" s="5" t="s">
        <v>446</v>
      </c>
      <c r="B247" s="6" t="s">
        <v>445</v>
      </c>
      <c r="C247" s="7" t="s">
        <v>24</v>
      </c>
      <c r="D247" s="7" t="s">
        <v>64</v>
      </c>
      <c r="E247" s="8" t="s">
        <v>99</v>
      </c>
    </row>
    <row r="248" spans="1:5" x14ac:dyDescent="0.25">
      <c r="A248" s="5" t="s">
        <v>448</v>
      </c>
      <c r="B248" s="6" t="s">
        <v>447</v>
      </c>
      <c r="C248" s="7" t="s">
        <v>24</v>
      </c>
      <c r="D248" s="7" t="s">
        <v>64</v>
      </c>
      <c r="E248" s="8" t="s">
        <v>99</v>
      </c>
    </row>
    <row r="249" spans="1:5" x14ac:dyDescent="0.25">
      <c r="A249" s="5" t="s">
        <v>450</v>
      </c>
      <c r="B249" s="6" t="s">
        <v>449</v>
      </c>
      <c r="C249" s="7" t="s">
        <v>24</v>
      </c>
      <c r="D249" s="7" t="s">
        <v>64</v>
      </c>
      <c r="E249" s="8" t="s">
        <v>99</v>
      </c>
    </row>
    <row r="250" spans="1:5" x14ac:dyDescent="0.25">
      <c r="A250" s="5" t="s">
        <v>452</v>
      </c>
      <c r="B250" s="6" t="s">
        <v>451</v>
      </c>
      <c r="C250" s="7" t="s">
        <v>24</v>
      </c>
      <c r="D250" s="7" t="s">
        <v>25</v>
      </c>
      <c r="E250" s="8" t="s">
        <v>4457</v>
      </c>
    </row>
    <row r="251" spans="1:5" x14ac:dyDescent="0.25">
      <c r="A251" s="5" t="s">
        <v>454</v>
      </c>
      <c r="B251" s="6" t="s">
        <v>453</v>
      </c>
      <c r="C251" s="7" t="s">
        <v>24</v>
      </c>
      <c r="D251" s="7" t="s">
        <v>64</v>
      </c>
      <c r="E251" s="8" t="s">
        <v>99</v>
      </c>
    </row>
    <row r="252" spans="1:5" x14ac:dyDescent="0.25">
      <c r="A252" s="5" t="s">
        <v>456</v>
      </c>
      <c r="B252" s="6" t="s">
        <v>455</v>
      </c>
      <c r="C252" s="7" t="s">
        <v>24</v>
      </c>
      <c r="D252" s="7" t="s">
        <v>64</v>
      </c>
      <c r="E252" s="8" t="s">
        <v>65</v>
      </c>
    </row>
    <row r="253" spans="1:5" x14ac:dyDescent="0.25">
      <c r="A253" s="5" t="s">
        <v>458</v>
      </c>
      <c r="B253" s="6" t="s">
        <v>457</v>
      </c>
      <c r="C253" s="7" t="s">
        <v>24</v>
      </c>
      <c r="D253" s="7" t="s">
        <v>64</v>
      </c>
      <c r="E253" s="8" t="s">
        <v>65</v>
      </c>
    </row>
    <row r="254" spans="1:5" x14ac:dyDescent="0.25">
      <c r="A254" s="5" t="s">
        <v>460</v>
      </c>
      <c r="B254" s="6" t="s">
        <v>459</v>
      </c>
      <c r="C254" s="7" t="s">
        <v>24</v>
      </c>
      <c r="D254" s="7" t="s">
        <v>25</v>
      </c>
      <c r="E254" s="8" t="s">
        <v>4457</v>
      </c>
    </row>
    <row r="255" spans="1:5" x14ac:dyDescent="0.25">
      <c r="A255" s="5" t="s">
        <v>462</v>
      </c>
      <c r="B255" s="6" t="s">
        <v>461</v>
      </c>
      <c r="C255" s="7" t="s">
        <v>24</v>
      </c>
      <c r="D255" s="7" t="s">
        <v>64</v>
      </c>
      <c r="E255" s="8" t="s">
        <v>288</v>
      </c>
    </row>
    <row r="256" spans="1:5" x14ac:dyDescent="0.25">
      <c r="A256" s="5" t="s">
        <v>464</v>
      </c>
      <c r="B256" s="6" t="s">
        <v>463</v>
      </c>
      <c r="C256" s="7" t="s">
        <v>24</v>
      </c>
      <c r="D256" s="7" t="s">
        <v>64</v>
      </c>
      <c r="E256" s="8" t="s">
        <v>65</v>
      </c>
    </row>
    <row r="257" spans="1:5" x14ac:dyDescent="0.25">
      <c r="A257" s="12" t="s">
        <v>466</v>
      </c>
      <c r="B257" s="6" t="s">
        <v>465</v>
      </c>
      <c r="C257" s="13" t="s">
        <v>24</v>
      </c>
      <c r="D257" s="13" t="s">
        <v>64</v>
      </c>
      <c r="E257" s="8" t="s">
        <v>87</v>
      </c>
    </row>
    <row r="258" spans="1:5" x14ac:dyDescent="0.25">
      <c r="A258" s="5" t="s">
        <v>468</v>
      </c>
      <c r="B258" s="6" t="s">
        <v>467</v>
      </c>
      <c r="C258" s="7" t="s">
        <v>24</v>
      </c>
      <c r="D258" s="7" t="s">
        <v>64</v>
      </c>
      <c r="E258" s="8" t="s">
        <v>65</v>
      </c>
    </row>
    <row r="259" spans="1:5" x14ac:dyDescent="0.25">
      <c r="A259" s="5" t="s">
        <v>470</v>
      </c>
      <c r="B259" s="6" t="s">
        <v>469</v>
      </c>
      <c r="C259" s="7" t="s">
        <v>24</v>
      </c>
      <c r="D259" s="7" t="s">
        <v>64</v>
      </c>
      <c r="E259" s="8" t="s">
        <v>99</v>
      </c>
    </row>
    <row r="260" spans="1:5" x14ac:dyDescent="0.25">
      <c r="A260" s="5" t="s">
        <v>472</v>
      </c>
      <c r="B260" s="6" t="s">
        <v>471</v>
      </c>
      <c r="C260" s="7" t="s">
        <v>24</v>
      </c>
      <c r="D260" s="7" t="s">
        <v>25</v>
      </c>
      <c r="E260" s="8" t="s">
        <v>4457</v>
      </c>
    </row>
    <row r="261" spans="1:5" x14ac:dyDescent="0.25">
      <c r="A261" s="5" t="s">
        <v>474</v>
      </c>
      <c r="B261" s="6" t="s">
        <v>473</v>
      </c>
      <c r="C261" s="7" t="s">
        <v>24</v>
      </c>
      <c r="D261" s="7" t="s">
        <v>64</v>
      </c>
      <c r="E261" s="8" t="s">
        <v>99</v>
      </c>
    </row>
    <row r="262" spans="1:5" x14ac:dyDescent="0.25">
      <c r="A262" s="5" t="s">
        <v>476</v>
      </c>
      <c r="B262" s="6" t="s">
        <v>475</v>
      </c>
      <c r="C262" s="7" t="s">
        <v>24</v>
      </c>
      <c r="D262" s="7" t="s">
        <v>64</v>
      </c>
      <c r="E262" s="8" t="s">
        <v>65</v>
      </c>
    </row>
    <row r="263" spans="1:5" x14ac:dyDescent="0.25">
      <c r="A263" s="5" t="s">
        <v>478</v>
      </c>
      <c r="B263" s="6" t="s">
        <v>477</v>
      </c>
      <c r="C263" s="7" t="s">
        <v>24</v>
      </c>
      <c r="D263" s="7" t="s">
        <v>64</v>
      </c>
      <c r="E263" s="8" t="s">
        <v>68</v>
      </c>
    </row>
    <row r="264" spans="1:5" x14ac:dyDescent="0.25">
      <c r="A264" s="5" t="s">
        <v>3266</v>
      </c>
      <c r="B264" s="6" t="s">
        <v>4037</v>
      </c>
      <c r="C264" s="7" t="s">
        <v>24</v>
      </c>
      <c r="D264" s="7" t="s">
        <v>4456</v>
      </c>
      <c r="E264" s="8" t="s">
        <v>4454</v>
      </c>
    </row>
    <row r="265" spans="1:5" x14ac:dyDescent="0.25">
      <c r="A265" s="5" t="s">
        <v>3110</v>
      </c>
      <c r="B265" s="6" t="s">
        <v>3880</v>
      </c>
      <c r="C265" s="7" t="s">
        <v>24</v>
      </c>
      <c r="D265" s="7" t="s">
        <v>4456</v>
      </c>
      <c r="E265" s="8" t="s">
        <v>4454</v>
      </c>
    </row>
    <row r="266" spans="1:5" x14ac:dyDescent="0.25">
      <c r="A266" s="5" t="s">
        <v>480</v>
      </c>
      <c r="B266" s="6" t="s">
        <v>479</v>
      </c>
      <c r="C266" s="7" t="s">
        <v>24</v>
      </c>
      <c r="D266" s="7" t="s">
        <v>64</v>
      </c>
      <c r="E266" s="8" t="s">
        <v>99</v>
      </c>
    </row>
    <row r="267" spans="1:5" x14ac:dyDescent="0.25">
      <c r="A267" s="5" t="s">
        <v>482</v>
      </c>
      <c r="B267" s="6" t="s">
        <v>481</v>
      </c>
      <c r="C267" s="7" t="s">
        <v>24</v>
      </c>
      <c r="D267" s="7" t="s">
        <v>64</v>
      </c>
      <c r="E267" s="8" t="s">
        <v>65</v>
      </c>
    </row>
    <row r="268" spans="1:5" x14ac:dyDescent="0.25">
      <c r="A268" s="5" t="s">
        <v>484</v>
      </c>
      <c r="B268" s="6" t="s">
        <v>483</v>
      </c>
      <c r="C268" s="7" t="s">
        <v>24</v>
      </c>
      <c r="D268" s="7" t="s">
        <v>64</v>
      </c>
      <c r="E268" s="8" t="s">
        <v>99</v>
      </c>
    </row>
    <row r="269" spans="1:5" x14ac:dyDescent="0.25">
      <c r="A269" s="5" t="s">
        <v>486</v>
      </c>
      <c r="B269" s="6" t="s">
        <v>485</v>
      </c>
      <c r="C269" s="7" t="s">
        <v>24</v>
      </c>
      <c r="D269" s="7" t="s">
        <v>64</v>
      </c>
      <c r="E269" s="8" t="s">
        <v>65</v>
      </c>
    </row>
    <row r="270" spans="1:5" x14ac:dyDescent="0.25">
      <c r="A270" s="5" t="s">
        <v>488</v>
      </c>
      <c r="B270" s="6" t="s">
        <v>487</v>
      </c>
      <c r="C270" s="7" t="s">
        <v>24</v>
      </c>
      <c r="D270" s="7" t="s">
        <v>25</v>
      </c>
      <c r="E270" s="8" t="s">
        <v>4457</v>
      </c>
    </row>
    <row r="271" spans="1:5" x14ac:dyDescent="0.25">
      <c r="A271" s="5" t="s">
        <v>490</v>
      </c>
      <c r="B271" s="6" t="s">
        <v>489</v>
      </c>
      <c r="C271" s="7" t="s">
        <v>24</v>
      </c>
      <c r="D271" s="7" t="s">
        <v>64</v>
      </c>
      <c r="E271" s="8" t="s">
        <v>99</v>
      </c>
    </row>
    <row r="272" spans="1:5" x14ac:dyDescent="0.25">
      <c r="A272" s="5" t="s">
        <v>492</v>
      </c>
      <c r="B272" s="6" t="s">
        <v>491</v>
      </c>
      <c r="C272" s="7" t="s">
        <v>24</v>
      </c>
      <c r="D272" s="7" t="s">
        <v>64</v>
      </c>
      <c r="E272" s="8" t="s">
        <v>65</v>
      </c>
    </row>
    <row r="273" spans="1:5" x14ac:dyDescent="0.25">
      <c r="A273" s="5" t="s">
        <v>494</v>
      </c>
      <c r="B273" s="6" t="s">
        <v>493</v>
      </c>
      <c r="C273" s="7" t="s">
        <v>24</v>
      </c>
      <c r="D273" s="7" t="s">
        <v>25</v>
      </c>
      <c r="E273" s="8" t="s">
        <v>4457</v>
      </c>
    </row>
    <row r="274" spans="1:5" x14ac:dyDescent="0.25">
      <c r="A274" s="5" t="s">
        <v>496</v>
      </c>
      <c r="B274" s="6" t="s">
        <v>495</v>
      </c>
      <c r="C274" s="7" t="s">
        <v>24</v>
      </c>
      <c r="D274" s="7" t="s">
        <v>64</v>
      </c>
      <c r="E274" s="8" t="s">
        <v>99</v>
      </c>
    </row>
    <row r="275" spans="1:5" x14ac:dyDescent="0.25">
      <c r="A275" s="5" t="s">
        <v>498</v>
      </c>
      <c r="B275" s="6" t="s">
        <v>497</v>
      </c>
      <c r="C275" s="7" t="s">
        <v>24</v>
      </c>
      <c r="D275" s="7" t="s">
        <v>64</v>
      </c>
      <c r="E275" s="8" t="s">
        <v>68</v>
      </c>
    </row>
    <row r="276" spans="1:5" x14ac:dyDescent="0.25">
      <c r="A276" s="5" t="s">
        <v>500</v>
      </c>
      <c r="B276" s="6" t="s">
        <v>499</v>
      </c>
      <c r="C276" s="7" t="s">
        <v>24</v>
      </c>
      <c r="D276" s="7" t="s">
        <v>25</v>
      </c>
      <c r="E276" s="8" t="s">
        <v>4468</v>
      </c>
    </row>
    <row r="277" spans="1:5" x14ac:dyDescent="0.25">
      <c r="A277" s="5" t="s">
        <v>502</v>
      </c>
      <c r="B277" s="6" t="s">
        <v>501</v>
      </c>
      <c r="C277" s="7" t="s">
        <v>24</v>
      </c>
      <c r="D277" s="7" t="s">
        <v>25</v>
      </c>
      <c r="E277" s="8" t="s">
        <v>4457</v>
      </c>
    </row>
    <row r="278" spans="1:5" x14ac:dyDescent="0.25">
      <c r="A278" s="5" t="s">
        <v>504</v>
      </c>
      <c r="B278" s="6" t="s">
        <v>503</v>
      </c>
      <c r="C278" s="7" t="s">
        <v>24</v>
      </c>
      <c r="D278" s="7" t="s">
        <v>25</v>
      </c>
      <c r="E278" s="8" t="s">
        <v>4458</v>
      </c>
    </row>
    <row r="279" spans="1:5" x14ac:dyDescent="0.25">
      <c r="A279" s="5" t="s">
        <v>3587</v>
      </c>
      <c r="B279" s="6" t="s">
        <v>4363</v>
      </c>
      <c r="C279" s="7" t="s">
        <v>24</v>
      </c>
      <c r="D279" s="7" t="s">
        <v>25</v>
      </c>
      <c r="E279" s="8" t="s">
        <v>4459</v>
      </c>
    </row>
    <row r="280" spans="1:5" x14ac:dyDescent="0.25">
      <c r="A280" s="5" t="s">
        <v>506</v>
      </c>
      <c r="B280" s="6" t="s">
        <v>505</v>
      </c>
      <c r="C280" s="7" t="s">
        <v>24</v>
      </c>
      <c r="D280" s="7" t="s">
        <v>64</v>
      </c>
      <c r="E280" s="8" t="s">
        <v>65</v>
      </c>
    </row>
    <row r="281" spans="1:5" x14ac:dyDescent="0.25">
      <c r="A281" s="5" t="s">
        <v>508</v>
      </c>
      <c r="B281" s="6" t="s">
        <v>507</v>
      </c>
      <c r="C281" s="7" t="s">
        <v>24</v>
      </c>
      <c r="D281" s="7" t="s">
        <v>25</v>
      </c>
      <c r="E281" s="8" t="s">
        <v>4466</v>
      </c>
    </row>
    <row r="282" spans="1:5" x14ac:dyDescent="0.25">
      <c r="A282" s="12" t="s">
        <v>510</v>
      </c>
      <c r="B282" s="6" t="s">
        <v>509</v>
      </c>
      <c r="C282" s="13" t="s">
        <v>24</v>
      </c>
      <c r="D282" s="13" t="s">
        <v>25</v>
      </c>
      <c r="E282" s="8" t="s">
        <v>4458</v>
      </c>
    </row>
    <row r="283" spans="1:5" x14ac:dyDescent="0.25">
      <c r="A283" s="5" t="s">
        <v>512</v>
      </c>
      <c r="B283" s="6" t="s">
        <v>511</v>
      </c>
      <c r="C283" s="7" t="s">
        <v>24</v>
      </c>
      <c r="D283" s="7" t="s">
        <v>25</v>
      </c>
      <c r="E283" s="8" t="s">
        <v>4459</v>
      </c>
    </row>
    <row r="284" spans="1:5" x14ac:dyDescent="0.25">
      <c r="A284" s="5" t="s">
        <v>514</v>
      </c>
      <c r="B284" s="6" t="s">
        <v>513</v>
      </c>
      <c r="C284" s="7" t="s">
        <v>24</v>
      </c>
      <c r="D284" s="7" t="s">
        <v>25</v>
      </c>
      <c r="E284" s="8" t="s">
        <v>4461</v>
      </c>
    </row>
    <row r="285" spans="1:5" x14ac:dyDescent="0.25">
      <c r="A285" s="5" t="s">
        <v>516</v>
      </c>
      <c r="B285" s="6" t="s">
        <v>515</v>
      </c>
      <c r="C285" s="7" t="s">
        <v>24</v>
      </c>
      <c r="D285" s="7" t="s">
        <v>25</v>
      </c>
      <c r="E285" s="8" t="s">
        <v>4462</v>
      </c>
    </row>
    <row r="286" spans="1:5" x14ac:dyDescent="0.25">
      <c r="A286" s="5" t="s">
        <v>518</v>
      </c>
      <c r="B286" s="6" t="s">
        <v>517</v>
      </c>
      <c r="C286" s="7" t="s">
        <v>24</v>
      </c>
      <c r="D286" s="7" t="s">
        <v>25</v>
      </c>
      <c r="E286" s="8" t="s">
        <v>4464</v>
      </c>
    </row>
    <row r="287" spans="1:5" x14ac:dyDescent="0.25">
      <c r="A287" s="5" t="s">
        <v>520</v>
      </c>
      <c r="B287" s="6" t="s">
        <v>519</v>
      </c>
      <c r="C287" s="7" t="s">
        <v>24</v>
      </c>
      <c r="D287" s="7" t="s">
        <v>64</v>
      </c>
      <c r="E287" s="8" t="s">
        <v>65</v>
      </c>
    </row>
    <row r="288" spans="1:5" x14ac:dyDescent="0.25">
      <c r="A288" s="5" t="s">
        <v>3119</v>
      </c>
      <c r="B288" s="6" t="s">
        <v>3890</v>
      </c>
      <c r="C288" s="7" t="s">
        <v>24</v>
      </c>
      <c r="D288" s="7" t="s">
        <v>4456</v>
      </c>
      <c r="E288" s="8" t="s">
        <v>4454</v>
      </c>
    </row>
    <row r="289" spans="1:5" x14ac:dyDescent="0.25">
      <c r="A289" s="5" t="s">
        <v>3113</v>
      </c>
      <c r="B289" s="6" t="s">
        <v>3884</v>
      </c>
      <c r="C289" s="7" t="s">
        <v>24</v>
      </c>
      <c r="D289" s="7" t="s">
        <v>4456</v>
      </c>
      <c r="E289" s="8" t="s">
        <v>4454</v>
      </c>
    </row>
    <row r="290" spans="1:5" x14ac:dyDescent="0.25">
      <c r="A290" s="5" t="s">
        <v>3120</v>
      </c>
      <c r="B290" s="6" t="s">
        <v>3891</v>
      </c>
      <c r="C290" s="7" t="s">
        <v>24</v>
      </c>
      <c r="D290" s="7" t="s">
        <v>4456</v>
      </c>
      <c r="E290" s="8" t="s">
        <v>4454</v>
      </c>
    </row>
    <row r="291" spans="1:5" x14ac:dyDescent="0.25">
      <c r="A291" s="5" t="s">
        <v>3114</v>
      </c>
      <c r="B291" s="6" t="s">
        <v>3885</v>
      </c>
      <c r="C291" s="7" t="s">
        <v>24</v>
      </c>
      <c r="D291" s="7" t="s">
        <v>4456</v>
      </c>
      <c r="E291" s="8" t="s">
        <v>4454</v>
      </c>
    </row>
    <row r="292" spans="1:5" x14ac:dyDescent="0.25">
      <c r="A292" s="5" t="s">
        <v>3121</v>
      </c>
      <c r="B292" s="6" t="s">
        <v>3892</v>
      </c>
      <c r="C292" s="7" t="s">
        <v>24</v>
      </c>
      <c r="D292" s="7" t="s">
        <v>4456</v>
      </c>
      <c r="E292" s="8" t="s">
        <v>4454</v>
      </c>
    </row>
    <row r="293" spans="1:5" x14ac:dyDescent="0.25">
      <c r="A293" s="5" t="s">
        <v>3122</v>
      </c>
      <c r="B293" s="6" t="s">
        <v>3893</v>
      </c>
      <c r="C293" s="7" t="s">
        <v>24</v>
      </c>
      <c r="D293" s="7" t="s">
        <v>4456</v>
      </c>
      <c r="E293" s="8" t="s">
        <v>4454</v>
      </c>
    </row>
    <row r="294" spans="1:5" x14ac:dyDescent="0.25">
      <c r="A294" s="5" t="s">
        <v>3116</v>
      </c>
      <c r="B294" s="6" t="s">
        <v>3887</v>
      </c>
      <c r="C294" s="7" t="s">
        <v>24</v>
      </c>
      <c r="D294" s="7" t="s">
        <v>4456</v>
      </c>
      <c r="E294" s="8" t="s">
        <v>4454</v>
      </c>
    </row>
    <row r="295" spans="1:5" x14ac:dyDescent="0.25">
      <c r="A295" s="5" t="s">
        <v>3270</v>
      </c>
      <c r="B295" s="6" t="s">
        <v>4041</v>
      </c>
      <c r="C295" s="7" t="s">
        <v>24</v>
      </c>
      <c r="D295" s="7" t="s">
        <v>4456</v>
      </c>
      <c r="E295" s="8" t="s">
        <v>4454</v>
      </c>
    </row>
    <row r="296" spans="1:5" x14ac:dyDescent="0.25">
      <c r="A296" s="5" t="s">
        <v>3123</v>
      </c>
      <c r="B296" s="6" t="s">
        <v>3894</v>
      </c>
      <c r="C296" s="7" t="s">
        <v>24</v>
      </c>
      <c r="D296" s="7" t="s">
        <v>4456</v>
      </c>
      <c r="E296" s="8" t="s">
        <v>4454</v>
      </c>
    </row>
    <row r="297" spans="1:5" x14ac:dyDescent="0.25">
      <c r="A297" s="5" t="s">
        <v>3117</v>
      </c>
      <c r="B297" s="6" t="s">
        <v>3888</v>
      </c>
      <c r="C297" s="7" t="s">
        <v>24</v>
      </c>
      <c r="D297" s="7" t="s">
        <v>4456</v>
      </c>
      <c r="E297" s="8" t="s">
        <v>4454</v>
      </c>
    </row>
    <row r="298" spans="1:5" x14ac:dyDescent="0.25">
      <c r="A298" s="5" t="s">
        <v>3124</v>
      </c>
      <c r="B298" s="6" t="s">
        <v>3895</v>
      </c>
      <c r="C298" s="7" t="s">
        <v>24</v>
      </c>
      <c r="D298" s="7" t="s">
        <v>4456</v>
      </c>
      <c r="E298" s="8" t="s">
        <v>4454</v>
      </c>
    </row>
    <row r="299" spans="1:5" x14ac:dyDescent="0.25">
      <c r="A299" s="5" t="s">
        <v>3118</v>
      </c>
      <c r="B299" s="6" t="s">
        <v>3889</v>
      </c>
      <c r="C299" s="7" t="s">
        <v>24</v>
      </c>
      <c r="D299" s="7" t="s">
        <v>4456</v>
      </c>
      <c r="E299" s="8" t="s">
        <v>4454</v>
      </c>
    </row>
    <row r="300" spans="1:5" x14ac:dyDescent="0.25">
      <c r="A300" s="5" t="s">
        <v>3115</v>
      </c>
      <c r="B300" s="6" t="s">
        <v>3886</v>
      </c>
      <c r="C300" s="7" t="s">
        <v>24</v>
      </c>
      <c r="D300" s="7" t="s">
        <v>4456</v>
      </c>
      <c r="E300" s="8" t="s">
        <v>4454</v>
      </c>
    </row>
    <row r="301" spans="1:5" x14ac:dyDescent="0.25">
      <c r="A301" s="5" t="s">
        <v>2922</v>
      </c>
      <c r="B301" s="6" t="s">
        <v>3684</v>
      </c>
      <c r="C301" s="7" t="s">
        <v>24</v>
      </c>
      <c r="D301" s="7" t="s">
        <v>4456</v>
      </c>
      <c r="E301" s="8" t="s">
        <v>4454</v>
      </c>
    </row>
    <row r="302" spans="1:5" x14ac:dyDescent="0.25">
      <c r="A302" s="5" t="s">
        <v>4509</v>
      </c>
      <c r="B302" s="6" t="s">
        <v>3685</v>
      </c>
      <c r="C302" s="7" t="s">
        <v>24</v>
      </c>
      <c r="D302" s="7" t="s">
        <v>4456</v>
      </c>
      <c r="E302" s="8" t="s">
        <v>4454</v>
      </c>
    </row>
    <row r="303" spans="1:5" x14ac:dyDescent="0.25">
      <c r="A303" s="5" t="s">
        <v>2923</v>
      </c>
      <c r="B303" s="6" t="s">
        <v>3686</v>
      </c>
      <c r="C303" s="7" t="s">
        <v>24</v>
      </c>
      <c r="D303" s="7" t="s">
        <v>4456</v>
      </c>
      <c r="E303" s="8" t="s">
        <v>4454</v>
      </c>
    </row>
    <row r="304" spans="1:5" x14ac:dyDescent="0.25">
      <c r="A304" s="5" t="s">
        <v>4513</v>
      </c>
      <c r="B304" s="6" t="s">
        <v>4514</v>
      </c>
      <c r="C304" s="7" t="s">
        <v>24</v>
      </c>
      <c r="D304" s="7" t="s">
        <v>64</v>
      </c>
      <c r="E304" s="8" t="s">
        <v>99</v>
      </c>
    </row>
    <row r="305" spans="1:5" x14ac:dyDescent="0.25">
      <c r="A305" s="5" t="s">
        <v>4515</v>
      </c>
      <c r="B305" s="6" t="s">
        <v>3683</v>
      </c>
      <c r="C305" s="7" t="s">
        <v>24</v>
      </c>
      <c r="D305" s="7" t="s">
        <v>4456</v>
      </c>
      <c r="E305" s="8" t="s">
        <v>4454</v>
      </c>
    </row>
    <row r="306" spans="1:5" x14ac:dyDescent="0.25">
      <c r="A306" s="5" t="s">
        <v>2884</v>
      </c>
      <c r="B306" s="6" t="s">
        <v>3883</v>
      </c>
      <c r="C306" s="7" t="s">
        <v>24</v>
      </c>
      <c r="D306" s="7" t="s">
        <v>4456</v>
      </c>
      <c r="E306" s="8" t="s">
        <v>4454</v>
      </c>
    </row>
    <row r="307" spans="1:5" x14ac:dyDescent="0.25">
      <c r="A307" s="5" t="s">
        <v>4518</v>
      </c>
      <c r="B307" s="6" t="s">
        <v>521</v>
      </c>
      <c r="C307" s="7" t="s">
        <v>24</v>
      </c>
      <c r="D307" s="7" t="s">
        <v>64</v>
      </c>
      <c r="E307" s="8" t="s">
        <v>4454</v>
      </c>
    </row>
    <row r="308" spans="1:5" x14ac:dyDescent="0.25">
      <c r="A308" s="5" t="s">
        <v>4519</v>
      </c>
      <c r="B308" s="6" t="s">
        <v>4349</v>
      </c>
      <c r="C308" s="7" t="s">
        <v>24</v>
      </c>
      <c r="D308" s="7" t="s">
        <v>4456</v>
      </c>
      <c r="E308" s="8" t="s">
        <v>4454</v>
      </c>
    </row>
    <row r="309" spans="1:5" x14ac:dyDescent="0.25">
      <c r="A309" s="5" t="s">
        <v>523</v>
      </c>
      <c r="B309" s="6" t="s">
        <v>522</v>
      </c>
      <c r="C309" s="7" t="s">
        <v>24</v>
      </c>
      <c r="D309" s="7" t="s">
        <v>64</v>
      </c>
      <c r="E309" s="8" t="s">
        <v>65</v>
      </c>
    </row>
    <row r="310" spans="1:5" x14ac:dyDescent="0.25">
      <c r="A310" s="5" t="s">
        <v>525</v>
      </c>
      <c r="B310" s="6" t="s">
        <v>524</v>
      </c>
      <c r="C310" s="7" t="s">
        <v>24</v>
      </c>
      <c r="D310" s="7" t="s">
        <v>64</v>
      </c>
      <c r="E310" s="8" t="s">
        <v>87</v>
      </c>
    </row>
    <row r="311" spans="1:5" x14ac:dyDescent="0.25">
      <c r="A311" s="5" t="s">
        <v>527</v>
      </c>
      <c r="B311" s="6" t="s">
        <v>526</v>
      </c>
      <c r="C311" s="7" t="s">
        <v>24</v>
      </c>
      <c r="D311" s="7" t="s">
        <v>25</v>
      </c>
      <c r="E311" s="8" t="s">
        <v>4466</v>
      </c>
    </row>
    <row r="312" spans="1:5" x14ac:dyDescent="0.25">
      <c r="A312" s="5" t="s">
        <v>529</v>
      </c>
      <c r="B312" s="6" t="s">
        <v>528</v>
      </c>
      <c r="C312" s="7" t="s">
        <v>24</v>
      </c>
      <c r="D312" s="7" t="s">
        <v>25</v>
      </c>
      <c r="E312" s="8" t="s">
        <v>4459</v>
      </c>
    </row>
    <row r="313" spans="1:5" x14ac:dyDescent="0.25">
      <c r="A313" s="5" t="s">
        <v>3352</v>
      </c>
      <c r="B313" s="6" t="s">
        <v>4122</v>
      </c>
      <c r="C313" s="7" t="s">
        <v>24</v>
      </c>
      <c r="D313" s="7" t="s">
        <v>4456</v>
      </c>
      <c r="E313" s="8" t="s">
        <v>4454</v>
      </c>
    </row>
    <row r="314" spans="1:5" x14ac:dyDescent="0.25">
      <c r="A314" s="12" t="s">
        <v>531</v>
      </c>
      <c r="B314" s="6" t="s">
        <v>530</v>
      </c>
      <c r="C314" s="13" t="s">
        <v>24</v>
      </c>
      <c r="D314" s="13" t="s">
        <v>25</v>
      </c>
      <c r="E314" s="8" t="s">
        <v>4458</v>
      </c>
    </row>
    <row r="315" spans="1:5" x14ac:dyDescent="0.25">
      <c r="A315" s="5" t="s">
        <v>533</v>
      </c>
      <c r="B315" s="6" t="s">
        <v>532</v>
      </c>
      <c r="C315" s="7" t="s">
        <v>24</v>
      </c>
      <c r="D315" s="7" t="s">
        <v>25</v>
      </c>
      <c r="E315" s="8" t="s">
        <v>4459</v>
      </c>
    </row>
    <row r="316" spans="1:5" x14ac:dyDescent="0.25">
      <c r="A316" s="5" t="s">
        <v>535</v>
      </c>
      <c r="B316" s="6" t="s">
        <v>534</v>
      </c>
      <c r="C316" s="7" t="s">
        <v>24</v>
      </c>
      <c r="D316" s="7" t="s">
        <v>25</v>
      </c>
      <c r="E316" s="8" t="s">
        <v>4461</v>
      </c>
    </row>
    <row r="317" spans="1:5" x14ac:dyDescent="0.25">
      <c r="A317" s="5" t="s">
        <v>537</v>
      </c>
      <c r="B317" s="6" t="s">
        <v>536</v>
      </c>
      <c r="C317" s="7" t="s">
        <v>24</v>
      </c>
      <c r="D317" s="7" t="s">
        <v>25</v>
      </c>
      <c r="E317" s="8" t="s">
        <v>4462</v>
      </c>
    </row>
    <row r="318" spans="1:5" x14ac:dyDescent="0.25">
      <c r="A318" s="5" t="s">
        <v>539</v>
      </c>
      <c r="B318" s="6" t="s">
        <v>538</v>
      </c>
      <c r="C318" s="7" t="s">
        <v>24</v>
      </c>
      <c r="D318" s="7" t="s">
        <v>25</v>
      </c>
      <c r="E318" s="8" t="s">
        <v>4458</v>
      </c>
    </row>
    <row r="319" spans="1:5" x14ac:dyDescent="0.25">
      <c r="A319" s="5" t="s">
        <v>541</v>
      </c>
      <c r="B319" s="6" t="s">
        <v>540</v>
      </c>
      <c r="C319" s="7" t="s">
        <v>24</v>
      </c>
      <c r="D319" s="7" t="s">
        <v>25</v>
      </c>
      <c r="E319" s="8" t="s">
        <v>4459</v>
      </c>
    </row>
    <row r="320" spans="1:5" x14ac:dyDescent="0.25">
      <c r="A320" s="5" t="s">
        <v>543</v>
      </c>
      <c r="B320" s="6" t="s">
        <v>542</v>
      </c>
      <c r="C320" s="7" t="s">
        <v>24</v>
      </c>
      <c r="D320" s="7" t="s">
        <v>25</v>
      </c>
      <c r="E320" s="8" t="s">
        <v>4461</v>
      </c>
    </row>
    <row r="321" spans="1:5" x14ac:dyDescent="0.25">
      <c r="A321" s="5" t="s">
        <v>545</v>
      </c>
      <c r="B321" s="6" t="s">
        <v>544</v>
      </c>
      <c r="C321" s="7" t="s">
        <v>24</v>
      </c>
      <c r="D321" s="7" t="s">
        <v>25</v>
      </c>
      <c r="E321" s="8" t="s">
        <v>4462</v>
      </c>
    </row>
    <row r="322" spans="1:5" x14ac:dyDescent="0.25">
      <c r="A322" s="5" t="s">
        <v>547</v>
      </c>
      <c r="B322" s="6" t="s">
        <v>546</v>
      </c>
      <c r="C322" s="7" t="s">
        <v>24</v>
      </c>
      <c r="D322" s="7" t="s">
        <v>25</v>
      </c>
      <c r="E322" s="8" t="s">
        <v>4463</v>
      </c>
    </row>
    <row r="323" spans="1:5" x14ac:dyDescent="0.25">
      <c r="A323" s="5" t="s">
        <v>549</v>
      </c>
      <c r="B323" s="6" t="s">
        <v>548</v>
      </c>
      <c r="C323" s="7" t="s">
        <v>24</v>
      </c>
      <c r="D323" s="7" t="s">
        <v>25</v>
      </c>
      <c r="E323" s="8" t="s">
        <v>4464</v>
      </c>
    </row>
    <row r="324" spans="1:5" x14ac:dyDescent="0.25">
      <c r="A324" s="5" t="s">
        <v>551</v>
      </c>
      <c r="B324" s="6" t="s">
        <v>550</v>
      </c>
      <c r="C324" s="7" t="s">
        <v>24</v>
      </c>
      <c r="D324" s="7" t="s">
        <v>25</v>
      </c>
      <c r="E324" s="8" t="s">
        <v>4458</v>
      </c>
    </row>
    <row r="325" spans="1:5" x14ac:dyDescent="0.25">
      <c r="A325" s="12" t="s">
        <v>553</v>
      </c>
      <c r="B325" s="6" t="s">
        <v>552</v>
      </c>
      <c r="C325" s="13" t="s">
        <v>24</v>
      </c>
      <c r="D325" s="13" t="s">
        <v>25</v>
      </c>
      <c r="E325" s="8" t="s">
        <v>4459</v>
      </c>
    </row>
    <row r="326" spans="1:5" x14ac:dyDescent="0.25">
      <c r="A326" s="12" t="s">
        <v>555</v>
      </c>
      <c r="B326" s="6" t="s">
        <v>554</v>
      </c>
      <c r="C326" s="13" t="s">
        <v>24</v>
      </c>
      <c r="D326" s="13" t="s">
        <v>25</v>
      </c>
      <c r="E326" s="8" t="s">
        <v>4461</v>
      </c>
    </row>
    <row r="327" spans="1:5" x14ac:dyDescent="0.25">
      <c r="A327" s="5" t="s">
        <v>557</v>
      </c>
      <c r="B327" s="6" t="s">
        <v>556</v>
      </c>
      <c r="C327" s="7" t="s">
        <v>24</v>
      </c>
      <c r="D327" s="7" t="s">
        <v>25</v>
      </c>
      <c r="E327" s="8" t="s">
        <v>4465</v>
      </c>
    </row>
    <row r="328" spans="1:5" x14ac:dyDescent="0.25">
      <c r="A328" s="12" t="s">
        <v>559</v>
      </c>
      <c r="B328" s="6" t="s">
        <v>558</v>
      </c>
      <c r="C328" s="13" t="s">
        <v>24</v>
      </c>
      <c r="D328" s="13" t="s">
        <v>64</v>
      </c>
      <c r="E328" s="8" t="s">
        <v>99</v>
      </c>
    </row>
    <row r="329" spans="1:5" x14ac:dyDescent="0.25">
      <c r="A329" s="5" t="s">
        <v>561</v>
      </c>
      <c r="B329" s="6" t="s">
        <v>560</v>
      </c>
      <c r="C329" s="7" t="s">
        <v>24</v>
      </c>
      <c r="D329" s="7" t="s">
        <v>562</v>
      </c>
      <c r="E329" s="8" t="s">
        <v>65</v>
      </c>
    </row>
    <row r="330" spans="1:5" x14ac:dyDescent="0.25">
      <c r="A330" s="5" t="s">
        <v>564</v>
      </c>
      <c r="B330" s="6" t="s">
        <v>563</v>
      </c>
      <c r="C330" s="7" t="s">
        <v>24</v>
      </c>
      <c r="D330" s="7" t="s">
        <v>562</v>
      </c>
      <c r="E330" s="8" t="s">
        <v>99</v>
      </c>
    </row>
    <row r="331" spans="1:5" x14ac:dyDescent="0.25">
      <c r="A331" s="5" t="s">
        <v>566</v>
      </c>
      <c r="B331" s="6" t="s">
        <v>565</v>
      </c>
      <c r="C331" s="7" t="s">
        <v>24</v>
      </c>
      <c r="D331" s="7" t="s">
        <v>562</v>
      </c>
      <c r="E331" s="8" t="s">
        <v>68</v>
      </c>
    </row>
    <row r="332" spans="1:5" x14ac:dyDescent="0.25">
      <c r="A332" s="5" t="s">
        <v>568</v>
      </c>
      <c r="B332" s="6" t="s">
        <v>567</v>
      </c>
      <c r="C332" s="7" t="s">
        <v>24</v>
      </c>
      <c r="D332" s="7" t="s">
        <v>562</v>
      </c>
      <c r="E332" s="8" t="s">
        <v>288</v>
      </c>
    </row>
    <row r="333" spans="1:5" x14ac:dyDescent="0.25">
      <c r="A333" s="5" t="s">
        <v>570</v>
      </c>
      <c r="B333" s="6" t="s">
        <v>569</v>
      </c>
      <c r="C333" s="7" t="s">
        <v>24</v>
      </c>
      <c r="D333" s="7" t="s">
        <v>562</v>
      </c>
      <c r="E333" s="8" t="s">
        <v>426</v>
      </c>
    </row>
    <row r="334" spans="1:5" x14ac:dyDescent="0.25">
      <c r="A334" s="5" t="s">
        <v>572</v>
      </c>
      <c r="B334" s="6" t="s">
        <v>571</v>
      </c>
      <c r="C334" s="7" t="s">
        <v>24</v>
      </c>
      <c r="D334" s="7" t="s">
        <v>562</v>
      </c>
      <c r="E334" s="8" t="s">
        <v>573</v>
      </c>
    </row>
    <row r="335" spans="1:5" x14ac:dyDescent="0.25">
      <c r="A335" s="5" t="s">
        <v>575</v>
      </c>
      <c r="B335" s="6" t="s">
        <v>574</v>
      </c>
      <c r="C335" s="7" t="s">
        <v>24</v>
      </c>
      <c r="D335" s="7" t="s">
        <v>562</v>
      </c>
      <c r="E335" s="8" t="s">
        <v>96</v>
      </c>
    </row>
    <row r="336" spans="1:5" x14ac:dyDescent="0.25">
      <c r="A336" s="5" t="s">
        <v>577</v>
      </c>
      <c r="B336" s="6" t="s">
        <v>576</v>
      </c>
      <c r="C336" s="7" t="s">
        <v>24</v>
      </c>
      <c r="D336" s="7" t="s">
        <v>64</v>
      </c>
      <c r="E336" s="8" t="s">
        <v>99</v>
      </c>
    </row>
    <row r="337" spans="1:5" x14ac:dyDescent="0.25">
      <c r="A337" s="12" t="s">
        <v>579</v>
      </c>
      <c r="B337" s="6" t="s">
        <v>578</v>
      </c>
      <c r="C337" s="13" t="s">
        <v>24</v>
      </c>
      <c r="D337" s="13" t="s">
        <v>25</v>
      </c>
      <c r="E337" s="8" t="s">
        <v>4458</v>
      </c>
    </row>
    <row r="338" spans="1:5" x14ac:dyDescent="0.25">
      <c r="A338" s="5" t="s">
        <v>581</v>
      </c>
      <c r="B338" s="6" t="s">
        <v>580</v>
      </c>
      <c r="C338" s="7" t="s">
        <v>24</v>
      </c>
      <c r="D338" s="7" t="s">
        <v>25</v>
      </c>
      <c r="E338" s="8" t="s">
        <v>4459</v>
      </c>
    </row>
    <row r="339" spans="1:5" x14ac:dyDescent="0.25">
      <c r="A339" s="5" t="s">
        <v>583</v>
      </c>
      <c r="B339" s="6" t="s">
        <v>582</v>
      </c>
      <c r="C339" s="7" t="s">
        <v>24</v>
      </c>
      <c r="D339" s="7" t="s">
        <v>25</v>
      </c>
      <c r="E339" s="8" t="s">
        <v>4461</v>
      </c>
    </row>
    <row r="340" spans="1:5" x14ac:dyDescent="0.25">
      <c r="A340" s="5" t="s">
        <v>585</v>
      </c>
      <c r="B340" s="6" t="s">
        <v>584</v>
      </c>
      <c r="C340" s="7" t="s">
        <v>24</v>
      </c>
      <c r="D340" s="7" t="s">
        <v>25</v>
      </c>
      <c r="E340" s="8" t="s">
        <v>4462</v>
      </c>
    </row>
    <row r="341" spans="1:5" x14ac:dyDescent="0.25">
      <c r="A341" s="5" t="s">
        <v>3616</v>
      </c>
      <c r="B341" s="6" t="s">
        <v>4393</v>
      </c>
      <c r="C341" s="7" t="s">
        <v>24</v>
      </c>
      <c r="D341" s="7" t="s">
        <v>4474</v>
      </c>
      <c r="E341" s="8" t="s">
        <v>90</v>
      </c>
    </row>
    <row r="342" spans="1:5" x14ac:dyDescent="0.25">
      <c r="A342" s="5" t="s">
        <v>587</v>
      </c>
      <c r="B342" s="6" t="s">
        <v>586</v>
      </c>
      <c r="C342" s="7" t="s">
        <v>24</v>
      </c>
      <c r="D342" s="7" t="s">
        <v>562</v>
      </c>
      <c r="E342" s="8" t="s">
        <v>288</v>
      </c>
    </row>
    <row r="343" spans="1:5" x14ac:dyDescent="0.25">
      <c r="A343" s="5" t="s">
        <v>3617</v>
      </c>
      <c r="B343" s="6" t="s">
        <v>4394</v>
      </c>
      <c r="C343" s="7" t="s">
        <v>24</v>
      </c>
      <c r="D343" s="7" t="s">
        <v>4474</v>
      </c>
      <c r="E343" s="8" t="s">
        <v>288</v>
      </c>
    </row>
    <row r="344" spans="1:5" x14ac:dyDescent="0.25">
      <c r="A344" s="5" t="s">
        <v>589</v>
      </c>
      <c r="B344" s="6" t="s">
        <v>588</v>
      </c>
      <c r="C344" s="7" t="s">
        <v>24</v>
      </c>
      <c r="D344" s="7" t="s">
        <v>562</v>
      </c>
      <c r="E344" s="8" t="s">
        <v>87</v>
      </c>
    </row>
    <row r="345" spans="1:5" x14ac:dyDescent="0.25">
      <c r="A345" s="5" t="s">
        <v>591</v>
      </c>
      <c r="B345" s="6" t="s">
        <v>590</v>
      </c>
      <c r="C345" s="7" t="s">
        <v>24</v>
      </c>
      <c r="D345" s="7" t="s">
        <v>64</v>
      </c>
      <c r="E345" s="8" t="s">
        <v>99</v>
      </c>
    </row>
    <row r="346" spans="1:5" x14ac:dyDescent="0.25">
      <c r="A346" s="12" t="s">
        <v>593</v>
      </c>
      <c r="B346" s="6" t="s">
        <v>592</v>
      </c>
      <c r="C346" s="13" t="s">
        <v>24</v>
      </c>
      <c r="D346" s="13" t="s">
        <v>64</v>
      </c>
      <c r="E346" s="8" t="s">
        <v>68</v>
      </c>
    </row>
    <row r="347" spans="1:5" x14ac:dyDescent="0.25">
      <c r="A347" s="12" t="s">
        <v>595</v>
      </c>
      <c r="B347" s="6" t="s">
        <v>594</v>
      </c>
      <c r="C347" s="13" t="s">
        <v>24</v>
      </c>
      <c r="D347" s="13" t="s">
        <v>64</v>
      </c>
      <c r="E347" s="8" t="s">
        <v>87</v>
      </c>
    </row>
    <row r="348" spans="1:5" x14ac:dyDescent="0.25">
      <c r="A348" s="12" t="s">
        <v>597</v>
      </c>
      <c r="B348" s="6" t="s">
        <v>596</v>
      </c>
      <c r="C348" s="13" t="s">
        <v>24</v>
      </c>
      <c r="D348" s="13" t="s">
        <v>64</v>
      </c>
      <c r="E348" s="8" t="s">
        <v>90</v>
      </c>
    </row>
    <row r="349" spans="1:5" x14ac:dyDescent="0.25">
      <c r="A349" s="5" t="s">
        <v>599</v>
      </c>
      <c r="B349" s="6" t="s">
        <v>598</v>
      </c>
      <c r="C349" s="7" t="s">
        <v>24</v>
      </c>
      <c r="D349" s="7" t="s">
        <v>64</v>
      </c>
      <c r="E349" s="8" t="s">
        <v>65</v>
      </c>
    </row>
    <row r="350" spans="1:5" x14ac:dyDescent="0.25">
      <c r="A350" s="5" t="s">
        <v>601</v>
      </c>
      <c r="B350" s="6" t="s">
        <v>600</v>
      </c>
      <c r="C350" s="7" t="s">
        <v>24</v>
      </c>
      <c r="D350" s="7" t="s">
        <v>64</v>
      </c>
      <c r="E350" s="8" t="s">
        <v>68</v>
      </c>
    </row>
    <row r="351" spans="1:5" x14ac:dyDescent="0.25">
      <c r="A351" s="5" t="s">
        <v>603</v>
      </c>
      <c r="B351" s="6" t="s">
        <v>602</v>
      </c>
      <c r="C351" s="7" t="s">
        <v>24</v>
      </c>
      <c r="D351" s="7" t="s">
        <v>64</v>
      </c>
      <c r="E351" s="8" t="s">
        <v>87</v>
      </c>
    </row>
    <row r="352" spans="1:5" x14ac:dyDescent="0.25">
      <c r="A352" s="5" t="s">
        <v>605</v>
      </c>
      <c r="B352" s="6" t="s">
        <v>604</v>
      </c>
      <c r="C352" s="7" t="s">
        <v>24</v>
      </c>
      <c r="D352" s="7" t="s">
        <v>64</v>
      </c>
      <c r="E352" s="8" t="s">
        <v>68</v>
      </c>
    </row>
    <row r="353" spans="1:5" x14ac:dyDescent="0.25">
      <c r="A353" s="5" t="s">
        <v>607</v>
      </c>
      <c r="B353" s="6" t="s">
        <v>606</v>
      </c>
      <c r="C353" s="7" t="s">
        <v>24</v>
      </c>
      <c r="D353" s="7" t="s">
        <v>25</v>
      </c>
      <c r="E353" s="8" t="s">
        <v>4457</v>
      </c>
    </row>
    <row r="354" spans="1:5" x14ac:dyDescent="0.25">
      <c r="A354" s="5" t="s">
        <v>609</v>
      </c>
      <c r="B354" s="6" t="s">
        <v>608</v>
      </c>
      <c r="C354" s="7" t="s">
        <v>24</v>
      </c>
      <c r="D354" s="7" t="s">
        <v>25</v>
      </c>
      <c r="E354" s="8" t="s">
        <v>4458</v>
      </c>
    </row>
    <row r="355" spans="1:5" x14ac:dyDescent="0.25">
      <c r="A355" s="5" t="s">
        <v>611</v>
      </c>
      <c r="B355" s="6" t="s">
        <v>610</v>
      </c>
      <c r="C355" s="7" t="s">
        <v>24</v>
      </c>
      <c r="D355" s="7" t="s">
        <v>562</v>
      </c>
      <c r="E355" s="8" t="s">
        <v>4471</v>
      </c>
    </row>
    <row r="356" spans="1:5" x14ac:dyDescent="0.25">
      <c r="A356" s="5" t="s">
        <v>613</v>
      </c>
      <c r="B356" s="6" t="s">
        <v>612</v>
      </c>
      <c r="C356" s="7" t="s">
        <v>24</v>
      </c>
      <c r="D356" s="7" t="s">
        <v>64</v>
      </c>
      <c r="E356" s="8" t="s">
        <v>96</v>
      </c>
    </row>
    <row r="357" spans="1:5" x14ac:dyDescent="0.25">
      <c r="A357" s="5" t="s">
        <v>615</v>
      </c>
      <c r="B357" s="6" t="s">
        <v>614</v>
      </c>
      <c r="C357" s="7" t="s">
        <v>24</v>
      </c>
      <c r="D357" s="7" t="s">
        <v>64</v>
      </c>
      <c r="E357" s="8" t="s">
        <v>4471</v>
      </c>
    </row>
    <row r="358" spans="1:5" x14ac:dyDescent="0.25">
      <c r="A358" s="5" t="s">
        <v>617</v>
      </c>
      <c r="B358" s="6" t="s">
        <v>616</v>
      </c>
      <c r="C358" s="7" t="s">
        <v>24</v>
      </c>
      <c r="D358" s="7" t="s">
        <v>64</v>
      </c>
      <c r="E358" s="8" t="s">
        <v>96</v>
      </c>
    </row>
    <row r="359" spans="1:5" x14ac:dyDescent="0.25">
      <c r="A359" s="5" t="s">
        <v>619</v>
      </c>
      <c r="B359" s="6" t="s">
        <v>618</v>
      </c>
      <c r="C359" s="13" t="s">
        <v>24</v>
      </c>
      <c r="D359" s="13" t="s">
        <v>25</v>
      </c>
      <c r="E359" s="8" t="s">
        <v>4460</v>
      </c>
    </row>
    <row r="360" spans="1:5" x14ac:dyDescent="0.25">
      <c r="A360" s="5" t="s">
        <v>621</v>
      </c>
      <c r="B360" s="6" t="s">
        <v>620</v>
      </c>
      <c r="C360" s="7" t="s">
        <v>24</v>
      </c>
      <c r="D360" s="7" t="s">
        <v>25</v>
      </c>
      <c r="E360" s="8" t="s">
        <v>4461</v>
      </c>
    </row>
    <row r="361" spans="1:5" x14ac:dyDescent="0.25">
      <c r="A361" s="5" t="s">
        <v>623</v>
      </c>
      <c r="B361" s="6" t="s">
        <v>622</v>
      </c>
      <c r="C361" s="7" t="s">
        <v>24</v>
      </c>
      <c r="D361" s="7" t="s">
        <v>64</v>
      </c>
      <c r="E361" s="8" t="s">
        <v>99</v>
      </c>
    </row>
    <row r="362" spans="1:5" x14ac:dyDescent="0.25">
      <c r="A362" s="5" t="s">
        <v>625</v>
      </c>
      <c r="B362" s="6" t="s">
        <v>624</v>
      </c>
      <c r="C362" s="7" t="s">
        <v>24</v>
      </c>
      <c r="D362" s="7" t="s">
        <v>25</v>
      </c>
      <c r="E362" s="8" t="s">
        <v>4459</v>
      </c>
    </row>
    <row r="363" spans="1:5" x14ac:dyDescent="0.25">
      <c r="A363" s="5" t="s">
        <v>627</v>
      </c>
      <c r="B363" s="6" t="s">
        <v>626</v>
      </c>
      <c r="C363" s="7" t="s">
        <v>24</v>
      </c>
      <c r="D363" s="7" t="s">
        <v>25</v>
      </c>
      <c r="E363" s="8" t="s">
        <v>4460</v>
      </c>
    </row>
    <row r="364" spans="1:5" x14ac:dyDescent="0.25">
      <c r="A364" s="5" t="s">
        <v>629</v>
      </c>
      <c r="B364" s="6" t="s">
        <v>628</v>
      </c>
      <c r="C364" s="7" t="s">
        <v>24</v>
      </c>
      <c r="D364" s="7" t="s">
        <v>25</v>
      </c>
      <c r="E364" s="8" t="s">
        <v>4461</v>
      </c>
    </row>
    <row r="365" spans="1:5" x14ac:dyDescent="0.25">
      <c r="A365" s="5" t="s">
        <v>631</v>
      </c>
      <c r="B365" s="6" t="s">
        <v>630</v>
      </c>
      <c r="C365" s="7" t="s">
        <v>24</v>
      </c>
      <c r="D365" s="7" t="s">
        <v>25</v>
      </c>
      <c r="E365" s="8" t="s">
        <v>4465</v>
      </c>
    </row>
    <row r="366" spans="1:5" x14ac:dyDescent="0.25">
      <c r="A366" s="5" t="s">
        <v>633</v>
      </c>
      <c r="B366" s="6" t="s">
        <v>632</v>
      </c>
      <c r="C366" s="7" t="s">
        <v>24</v>
      </c>
      <c r="D366" s="7" t="s">
        <v>25</v>
      </c>
      <c r="E366" s="8" t="s">
        <v>4458</v>
      </c>
    </row>
    <row r="367" spans="1:5" x14ac:dyDescent="0.25">
      <c r="A367" s="5" t="s">
        <v>635</v>
      </c>
      <c r="B367" s="6" t="s">
        <v>634</v>
      </c>
      <c r="C367" s="7" t="s">
        <v>24</v>
      </c>
      <c r="D367" s="7" t="s">
        <v>25</v>
      </c>
      <c r="E367" s="8" t="s">
        <v>4459</v>
      </c>
    </row>
    <row r="368" spans="1:5" x14ac:dyDescent="0.25">
      <c r="A368" s="5" t="s">
        <v>637</v>
      </c>
      <c r="B368" s="6" t="s">
        <v>636</v>
      </c>
      <c r="C368" s="7" t="s">
        <v>24</v>
      </c>
      <c r="D368" s="7" t="s">
        <v>25</v>
      </c>
      <c r="E368" s="8" t="s">
        <v>4457</v>
      </c>
    </row>
    <row r="369" spans="1:5" x14ac:dyDescent="0.25">
      <c r="A369" s="5" t="s">
        <v>639</v>
      </c>
      <c r="B369" s="6" t="s">
        <v>638</v>
      </c>
      <c r="C369" s="7" t="s">
        <v>24</v>
      </c>
      <c r="D369" s="7" t="s">
        <v>25</v>
      </c>
      <c r="E369" s="8" t="s">
        <v>4458</v>
      </c>
    </row>
    <row r="370" spans="1:5" x14ac:dyDescent="0.25">
      <c r="A370" s="5" t="s">
        <v>641</v>
      </c>
      <c r="B370" s="6" t="s">
        <v>640</v>
      </c>
      <c r="C370" s="7" t="s">
        <v>24</v>
      </c>
      <c r="D370" s="7" t="s">
        <v>64</v>
      </c>
      <c r="E370" s="8" t="s">
        <v>99</v>
      </c>
    </row>
    <row r="371" spans="1:5" x14ac:dyDescent="0.25">
      <c r="A371" s="5" t="s">
        <v>643</v>
      </c>
      <c r="B371" s="6" t="s">
        <v>642</v>
      </c>
      <c r="C371" s="7" t="s">
        <v>24</v>
      </c>
      <c r="D371" s="7" t="s">
        <v>64</v>
      </c>
      <c r="E371" s="8" t="s">
        <v>99</v>
      </c>
    </row>
    <row r="372" spans="1:5" x14ac:dyDescent="0.25">
      <c r="A372" s="5" t="s">
        <v>645</v>
      </c>
      <c r="B372" s="6" t="s">
        <v>644</v>
      </c>
      <c r="C372" s="7" t="s">
        <v>24</v>
      </c>
      <c r="D372" s="7" t="s">
        <v>64</v>
      </c>
      <c r="E372" s="8" t="s">
        <v>99</v>
      </c>
    </row>
    <row r="373" spans="1:5" x14ac:dyDescent="0.25">
      <c r="A373" s="5" t="s">
        <v>3298</v>
      </c>
      <c r="B373" s="6" t="s">
        <v>4069</v>
      </c>
      <c r="C373" s="7" t="s">
        <v>24</v>
      </c>
      <c r="D373" s="7" t="s">
        <v>4456</v>
      </c>
      <c r="E373" s="8" t="s">
        <v>4454</v>
      </c>
    </row>
    <row r="374" spans="1:5" x14ac:dyDescent="0.25">
      <c r="A374" s="5" t="s">
        <v>3305</v>
      </c>
      <c r="B374" s="6" t="s">
        <v>4076</v>
      </c>
      <c r="C374" s="7" t="s">
        <v>24</v>
      </c>
      <c r="D374" s="7" t="s">
        <v>4456</v>
      </c>
      <c r="E374" s="8" t="s">
        <v>4454</v>
      </c>
    </row>
    <row r="375" spans="1:5" x14ac:dyDescent="0.25">
      <c r="A375" s="12" t="s">
        <v>647</v>
      </c>
      <c r="B375" s="6" t="s">
        <v>646</v>
      </c>
      <c r="C375" s="13" t="s">
        <v>24</v>
      </c>
      <c r="D375" s="13" t="s">
        <v>64</v>
      </c>
      <c r="E375" s="8" t="s">
        <v>99</v>
      </c>
    </row>
    <row r="376" spans="1:5" x14ac:dyDescent="0.25">
      <c r="A376" s="5" t="s">
        <v>649</v>
      </c>
      <c r="B376" s="6" t="s">
        <v>648</v>
      </c>
      <c r="C376" s="7" t="s">
        <v>24</v>
      </c>
      <c r="D376" s="7" t="s">
        <v>64</v>
      </c>
      <c r="E376" s="8" t="s">
        <v>65</v>
      </c>
    </row>
    <row r="377" spans="1:5" x14ac:dyDescent="0.25">
      <c r="A377" s="12" t="s">
        <v>651</v>
      </c>
      <c r="B377" s="6" t="s">
        <v>650</v>
      </c>
      <c r="C377" s="13" t="s">
        <v>24</v>
      </c>
      <c r="D377" s="13" t="s">
        <v>25</v>
      </c>
      <c r="E377" s="8" t="s">
        <v>4457</v>
      </c>
    </row>
    <row r="378" spans="1:5" x14ac:dyDescent="0.25">
      <c r="A378" s="5" t="s">
        <v>653</v>
      </c>
      <c r="B378" s="6" t="s">
        <v>652</v>
      </c>
      <c r="C378" s="7" t="s">
        <v>24</v>
      </c>
      <c r="D378" s="7" t="s">
        <v>64</v>
      </c>
      <c r="E378" s="8" t="s">
        <v>99</v>
      </c>
    </row>
    <row r="379" spans="1:5" x14ac:dyDescent="0.25">
      <c r="A379" s="5" t="s">
        <v>655</v>
      </c>
      <c r="B379" s="6" t="s">
        <v>654</v>
      </c>
      <c r="C379" s="7" t="s">
        <v>24</v>
      </c>
      <c r="D379" s="7" t="s">
        <v>321</v>
      </c>
      <c r="E379" s="8" t="s">
        <v>4455</v>
      </c>
    </row>
    <row r="380" spans="1:5" x14ac:dyDescent="0.25">
      <c r="A380" s="5" t="s">
        <v>657</v>
      </c>
      <c r="B380" s="6" t="s">
        <v>656</v>
      </c>
      <c r="C380" s="7" t="s">
        <v>24</v>
      </c>
      <c r="D380" s="7" t="s">
        <v>64</v>
      </c>
      <c r="E380" s="8" t="s">
        <v>4472</v>
      </c>
    </row>
    <row r="381" spans="1:5" x14ac:dyDescent="0.25">
      <c r="A381" s="5" t="s">
        <v>659</v>
      </c>
      <c r="B381" s="6" t="s">
        <v>658</v>
      </c>
      <c r="C381" s="7" t="s">
        <v>24</v>
      </c>
      <c r="D381" s="7" t="s">
        <v>64</v>
      </c>
      <c r="E381" s="8" t="s">
        <v>4473</v>
      </c>
    </row>
    <row r="382" spans="1:5" x14ac:dyDescent="0.25">
      <c r="A382" s="5" t="s">
        <v>661</v>
      </c>
      <c r="B382" s="6" t="s">
        <v>660</v>
      </c>
      <c r="C382" s="7" t="s">
        <v>24</v>
      </c>
      <c r="D382" s="7" t="s">
        <v>64</v>
      </c>
      <c r="E382" s="8" t="s">
        <v>4472</v>
      </c>
    </row>
    <row r="383" spans="1:5" x14ac:dyDescent="0.25">
      <c r="A383" s="5" t="s">
        <v>3606</v>
      </c>
      <c r="B383" s="6" t="s">
        <v>4383</v>
      </c>
      <c r="C383" s="7" t="s">
        <v>24</v>
      </c>
      <c r="D383" s="7" t="s">
        <v>4474</v>
      </c>
      <c r="E383" s="8" t="s">
        <v>4455</v>
      </c>
    </row>
    <row r="384" spans="1:5" x14ac:dyDescent="0.25">
      <c r="A384" s="5" t="s">
        <v>3625</v>
      </c>
      <c r="B384" s="6" t="s">
        <v>4402</v>
      </c>
      <c r="C384" s="7" t="s">
        <v>24</v>
      </c>
      <c r="D384" s="7" t="s">
        <v>4474</v>
      </c>
      <c r="E384" s="8" t="s">
        <v>4461</v>
      </c>
    </row>
    <row r="385" spans="1:5" x14ac:dyDescent="0.25">
      <c r="A385" s="5" t="s">
        <v>3627</v>
      </c>
      <c r="B385" s="6" t="s">
        <v>4404</v>
      </c>
      <c r="C385" s="7" t="s">
        <v>24</v>
      </c>
      <c r="D385" s="7" t="s">
        <v>4474</v>
      </c>
      <c r="E385" s="8" t="s">
        <v>4462</v>
      </c>
    </row>
    <row r="386" spans="1:5" x14ac:dyDescent="0.25">
      <c r="A386" s="5" t="s">
        <v>3626</v>
      </c>
      <c r="B386" s="6" t="s">
        <v>4403</v>
      </c>
      <c r="C386" s="7" t="s">
        <v>24</v>
      </c>
      <c r="D386" s="7" t="s">
        <v>4474</v>
      </c>
      <c r="E386" s="8" t="s">
        <v>4465</v>
      </c>
    </row>
    <row r="387" spans="1:5" x14ac:dyDescent="0.25">
      <c r="A387" s="5" t="s">
        <v>671</v>
      </c>
      <c r="B387" s="6" t="s">
        <v>4422</v>
      </c>
      <c r="C387" s="7" t="s">
        <v>24</v>
      </c>
      <c r="D387" s="7" t="s">
        <v>4474</v>
      </c>
      <c r="E387" s="8" t="s">
        <v>4454</v>
      </c>
    </row>
    <row r="388" spans="1:5" x14ac:dyDescent="0.25">
      <c r="A388" s="5" t="s">
        <v>3667</v>
      </c>
      <c r="B388" s="6" t="s">
        <v>4444</v>
      </c>
      <c r="C388" s="7" t="s">
        <v>24</v>
      </c>
      <c r="D388" s="7" t="s">
        <v>4474</v>
      </c>
      <c r="E388" s="8" t="s">
        <v>4454</v>
      </c>
    </row>
    <row r="389" spans="1:5" x14ac:dyDescent="0.25">
      <c r="A389" s="5" t="s">
        <v>3668</v>
      </c>
      <c r="B389" s="6" t="s">
        <v>4445</v>
      </c>
      <c r="C389" s="7" t="s">
        <v>24</v>
      </c>
      <c r="D389" s="7" t="s">
        <v>4474</v>
      </c>
      <c r="E389" s="8" t="s">
        <v>4454</v>
      </c>
    </row>
    <row r="390" spans="1:5" x14ac:dyDescent="0.25">
      <c r="A390" s="5" t="s">
        <v>3669</v>
      </c>
      <c r="B390" s="6" t="s">
        <v>4446</v>
      </c>
      <c r="C390" s="7" t="s">
        <v>24</v>
      </c>
      <c r="D390" s="7" t="s">
        <v>4474</v>
      </c>
      <c r="E390" s="8" t="s">
        <v>4454</v>
      </c>
    </row>
    <row r="391" spans="1:5" x14ac:dyDescent="0.25">
      <c r="A391" s="5" t="s">
        <v>3646</v>
      </c>
      <c r="B391" s="6" t="s">
        <v>4423</v>
      </c>
      <c r="C391" s="7" t="s">
        <v>24</v>
      </c>
      <c r="D391" s="7" t="s">
        <v>4474</v>
      </c>
      <c r="E391" s="8" t="s">
        <v>4454</v>
      </c>
    </row>
    <row r="392" spans="1:5" x14ac:dyDescent="0.25">
      <c r="A392" s="5" t="s">
        <v>3670</v>
      </c>
      <c r="B392" s="6" t="s">
        <v>4447</v>
      </c>
      <c r="C392" s="7" t="s">
        <v>24</v>
      </c>
      <c r="D392" s="7" t="s">
        <v>4474</v>
      </c>
      <c r="E392" s="8" t="s">
        <v>4454</v>
      </c>
    </row>
    <row r="393" spans="1:5" x14ac:dyDescent="0.25">
      <c r="A393" s="5" t="s">
        <v>3671</v>
      </c>
      <c r="B393" s="6" t="s">
        <v>4448</v>
      </c>
      <c r="C393" s="7" t="s">
        <v>24</v>
      </c>
      <c r="D393" s="7" t="s">
        <v>4474</v>
      </c>
      <c r="E393" s="8" t="s">
        <v>4454</v>
      </c>
    </row>
    <row r="394" spans="1:5" x14ac:dyDescent="0.25">
      <c r="A394" s="5" t="s">
        <v>3672</v>
      </c>
      <c r="B394" s="6" t="s">
        <v>4449</v>
      </c>
      <c r="C394" s="7" t="s">
        <v>24</v>
      </c>
      <c r="D394" s="7" t="s">
        <v>4474</v>
      </c>
      <c r="E394" s="8" t="s">
        <v>4454</v>
      </c>
    </row>
    <row r="395" spans="1:5" x14ac:dyDescent="0.25">
      <c r="A395" s="5" t="s">
        <v>663</v>
      </c>
      <c r="B395" s="6" t="s">
        <v>662</v>
      </c>
      <c r="C395" s="7" t="s">
        <v>24</v>
      </c>
      <c r="D395" s="7" t="s">
        <v>321</v>
      </c>
      <c r="E395" s="8" t="s">
        <v>4455</v>
      </c>
    </row>
    <row r="396" spans="1:5" x14ac:dyDescent="0.25">
      <c r="A396" s="5" t="s">
        <v>665</v>
      </c>
      <c r="B396" s="6" t="s">
        <v>664</v>
      </c>
      <c r="C396" s="7" t="s">
        <v>24</v>
      </c>
      <c r="D396" s="7" t="s">
        <v>64</v>
      </c>
      <c r="E396" s="8" t="s">
        <v>99</v>
      </c>
    </row>
    <row r="397" spans="1:5" x14ac:dyDescent="0.25">
      <c r="A397" s="5" t="s">
        <v>667</v>
      </c>
      <c r="B397" s="6" t="s">
        <v>666</v>
      </c>
      <c r="C397" s="7" t="s">
        <v>24</v>
      </c>
      <c r="D397" s="7" t="s">
        <v>64</v>
      </c>
      <c r="E397" s="8" t="s">
        <v>65</v>
      </c>
    </row>
    <row r="398" spans="1:5" x14ac:dyDescent="0.25">
      <c r="A398" s="5" t="s">
        <v>669</v>
      </c>
      <c r="B398" s="6" t="s">
        <v>668</v>
      </c>
      <c r="C398" s="7" t="s">
        <v>24</v>
      </c>
      <c r="D398" s="7" t="s">
        <v>64</v>
      </c>
      <c r="E398" s="8" t="s">
        <v>68</v>
      </c>
    </row>
    <row r="399" spans="1:5" x14ac:dyDescent="0.25">
      <c r="A399" s="5" t="s">
        <v>3648</v>
      </c>
      <c r="B399" s="6" t="s">
        <v>4425</v>
      </c>
      <c r="C399" s="7" t="s">
        <v>24</v>
      </c>
      <c r="D399" s="7" t="s">
        <v>4474</v>
      </c>
      <c r="E399" s="8" t="s">
        <v>4455</v>
      </c>
    </row>
    <row r="400" spans="1:5" x14ac:dyDescent="0.25">
      <c r="A400" s="5" t="s">
        <v>3673</v>
      </c>
      <c r="B400" s="6" t="s">
        <v>4450</v>
      </c>
      <c r="C400" s="7" t="s">
        <v>24</v>
      </c>
      <c r="D400" s="7" t="s">
        <v>4474</v>
      </c>
      <c r="E400" s="8" t="s">
        <v>4454</v>
      </c>
    </row>
    <row r="401" spans="1:5" x14ac:dyDescent="0.25">
      <c r="A401" s="5" t="s">
        <v>3674</v>
      </c>
      <c r="B401" s="6" t="s">
        <v>4451</v>
      </c>
      <c r="C401" s="7" t="s">
        <v>24</v>
      </c>
      <c r="D401" s="7" t="s">
        <v>4474</v>
      </c>
      <c r="E401" s="8" t="s">
        <v>4454</v>
      </c>
    </row>
    <row r="402" spans="1:5" x14ac:dyDescent="0.25">
      <c r="A402" s="5" t="s">
        <v>3675</v>
      </c>
      <c r="B402" s="6" t="s">
        <v>4452</v>
      </c>
      <c r="C402" s="7" t="s">
        <v>24</v>
      </c>
      <c r="D402" s="7" t="s">
        <v>4474</v>
      </c>
      <c r="E402" s="8" t="s">
        <v>4454</v>
      </c>
    </row>
    <row r="403" spans="1:5" x14ac:dyDescent="0.25">
      <c r="A403" s="5" t="s">
        <v>3676</v>
      </c>
      <c r="B403" s="6" t="s">
        <v>4453</v>
      </c>
      <c r="C403" s="7" t="s">
        <v>24</v>
      </c>
      <c r="D403" s="7" t="s">
        <v>4474</v>
      </c>
      <c r="E403" s="8" t="s">
        <v>4454</v>
      </c>
    </row>
    <row r="404" spans="1:5" x14ac:dyDescent="0.25">
      <c r="A404" s="5" t="s">
        <v>2915</v>
      </c>
      <c r="B404" s="6" t="s">
        <v>670</v>
      </c>
      <c r="C404" s="7" t="s">
        <v>24</v>
      </c>
      <c r="D404" s="7" t="s">
        <v>321</v>
      </c>
      <c r="E404" s="8" t="s">
        <v>4455</v>
      </c>
    </row>
    <row r="405" spans="1:5" x14ac:dyDescent="0.25">
      <c r="A405" s="12" t="s">
        <v>673</v>
      </c>
      <c r="B405" s="6" t="s">
        <v>672</v>
      </c>
      <c r="C405" s="13" t="s">
        <v>24</v>
      </c>
      <c r="D405" s="13" t="s">
        <v>64</v>
      </c>
      <c r="E405" s="8" t="s">
        <v>99</v>
      </c>
    </row>
    <row r="406" spans="1:5" x14ac:dyDescent="0.25">
      <c r="A406" s="5" t="s">
        <v>675</v>
      </c>
      <c r="B406" s="6" t="s">
        <v>674</v>
      </c>
      <c r="C406" s="7" t="s">
        <v>24</v>
      </c>
      <c r="D406" s="7" t="s">
        <v>64</v>
      </c>
      <c r="E406" s="8" t="s">
        <v>68</v>
      </c>
    </row>
    <row r="407" spans="1:5" x14ac:dyDescent="0.25">
      <c r="A407" s="5" t="s">
        <v>677</v>
      </c>
      <c r="B407" s="6" t="s">
        <v>676</v>
      </c>
      <c r="C407" s="7" t="s">
        <v>24</v>
      </c>
      <c r="D407" s="7" t="s">
        <v>25</v>
      </c>
      <c r="E407" s="8" t="s">
        <v>4457</v>
      </c>
    </row>
    <row r="408" spans="1:5" x14ac:dyDescent="0.25">
      <c r="A408" s="5" t="s">
        <v>679</v>
      </c>
      <c r="B408" s="6" t="s">
        <v>678</v>
      </c>
      <c r="C408" s="7" t="s">
        <v>24</v>
      </c>
      <c r="D408" s="7" t="s">
        <v>25</v>
      </c>
      <c r="E408" s="8" t="s">
        <v>4458</v>
      </c>
    </row>
    <row r="409" spans="1:5" x14ac:dyDescent="0.25">
      <c r="A409" s="5" t="s">
        <v>681</v>
      </c>
      <c r="B409" s="6" t="s">
        <v>680</v>
      </c>
      <c r="C409" s="7" t="s">
        <v>24</v>
      </c>
      <c r="D409" s="7" t="s">
        <v>25</v>
      </c>
      <c r="E409" s="8" t="s">
        <v>4459</v>
      </c>
    </row>
    <row r="410" spans="1:5" x14ac:dyDescent="0.25">
      <c r="A410" s="5" t="s">
        <v>683</v>
      </c>
      <c r="B410" s="6" t="s">
        <v>682</v>
      </c>
      <c r="C410" s="7" t="s">
        <v>24</v>
      </c>
      <c r="D410" s="7" t="s">
        <v>25</v>
      </c>
      <c r="E410" s="8" t="s">
        <v>4458</v>
      </c>
    </row>
    <row r="411" spans="1:5" x14ac:dyDescent="0.25">
      <c r="A411" s="5" t="s">
        <v>685</v>
      </c>
      <c r="B411" s="6" t="s">
        <v>684</v>
      </c>
      <c r="C411" s="7" t="s">
        <v>24</v>
      </c>
      <c r="D411" s="7" t="s">
        <v>25</v>
      </c>
      <c r="E411" s="8" t="s">
        <v>4459</v>
      </c>
    </row>
    <row r="412" spans="1:5" x14ac:dyDescent="0.25">
      <c r="A412" s="5" t="s">
        <v>687</v>
      </c>
      <c r="B412" s="6" t="s">
        <v>686</v>
      </c>
      <c r="C412" s="7" t="s">
        <v>24</v>
      </c>
      <c r="D412" s="7" t="s">
        <v>25</v>
      </c>
      <c r="E412" s="8" t="s">
        <v>4461</v>
      </c>
    </row>
    <row r="413" spans="1:5" x14ac:dyDescent="0.25">
      <c r="A413" s="5" t="s">
        <v>3609</v>
      </c>
      <c r="B413" s="6" t="s">
        <v>4386</v>
      </c>
      <c r="C413" s="7" t="s">
        <v>24</v>
      </c>
      <c r="D413" s="7" t="s">
        <v>4474</v>
      </c>
      <c r="E413" s="8" t="s">
        <v>4454</v>
      </c>
    </row>
    <row r="414" spans="1:5" x14ac:dyDescent="0.25">
      <c r="A414" s="5" t="s">
        <v>3608</v>
      </c>
      <c r="B414" s="6" t="s">
        <v>4385</v>
      </c>
      <c r="C414" s="7" t="s">
        <v>24</v>
      </c>
      <c r="D414" s="7" t="s">
        <v>4474</v>
      </c>
      <c r="E414" s="8" t="s">
        <v>4454</v>
      </c>
    </row>
    <row r="415" spans="1:5" x14ac:dyDescent="0.25">
      <c r="A415" s="5" t="s">
        <v>3607</v>
      </c>
      <c r="B415" s="6" t="s">
        <v>4384</v>
      </c>
      <c r="C415" s="7" t="s">
        <v>24</v>
      </c>
      <c r="D415" s="7" t="s">
        <v>4474</v>
      </c>
      <c r="E415" s="8" t="s">
        <v>4454</v>
      </c>
    </row>
    <row r="416" spans="1:5" x14ac:dyDescent="0.25">
      <c r="A416" s="5" t="s">
        <v>689</v>
      </c>
      <c r="B416" s="6" t="s">
        <v>688</v>
      </c>
      <c r="C416" s="7" t="s">
        <v>24</v>
      </c>
      <c r="D416" s="7" t="s">
        <v>321</v>
      </c>
      <c r="E416" s="8" t="s">
        <v>4455</v>
      </c>
    </row>
    <row r="417" spans="1:5" x14ac:dyDescent="0.25">
      <c r="A417" s="5" t="s">
        <v>691</v>
      </c>
      <c r="B417" s="6" t="s">
        <v>690</v>
      </c>
      <c r="C417" s="7" t="s">
        <v>24</v>
      </c>
      <c r="D417" s="7" t="s">
        <v>64</v>
      </c>
      <c r="E417" s="8" t="s">
        <v>99</v>
      </c>
    </row>
    <row r="418" spans="1:5" x14ac:dyDescent="0.25">
      <c r="A418" s="5" t="s">
        <v>693</v>
      </c>
      <c r="B418" s="6" t="s">
        <v>692</v>
      </c>
      <c r="C418" s="7" t="s">
        <v>24</v>
      </c>
      <c r="D418" s="7" t="s">
        <v>64</v>
      </c>
      <c r="E418" s="8" t="s">
        <v>68</v>
      </c>
    </row>
    <row r="419" spans="1:5" x14ac:dyDescent="0.25">
      <c r="A419" s="5" t="s">
        <v>695</v>
      </c>
      <c r="B419" s="6" t="s">
        <v>694</v>
      </c>
      <c r="C419" s="7" t="s">
        <v>24</v>
      </c>
      <c r="D419" s="7" t="s">
        <v>25</v>
      </c>
      <c r="E419" s="8" t="s">
        <v>4457</v>
      </c>
    </row>
    <row r="420" spans="1:5" x14ac:dyDescent="0.25">
      <c r="A420" s="5" t="s">
        <v>697</v>
      </c>
      <c r="B420" s="6" t="s">
        <v>696</v>
      </c>
      <c r="C420" s="7" t="s">
        <v>24</v>
      </c>
      <c r="D420" s="7" t="s">
        <v>25</v>
      </c>
      <c r="E420" s="8" t="s">
        <v>4458</v>
      </c>
    </row>
    <row r="421" spans="1:5" x14ac:dyDescent="0.25">
      <c r="A421" s="5" t="s">
        <v>699</v>
      </c>
      <c r="B421" s="6" t="s">
        <v>698</v>
      </c>
      <c r="C421" s="7" t="s">
        <v>24</v>
      </c>
      <c r="D421" s="7" t="s">
        <v>25</v>
      </c>
      <c r="E421" s="8" t="s">
        <v>4459</v>
      </c>
    </row>
    <row r="422" spans="1:5" x14ac:dyDescent="0.25">
      <c r="A422" s="5" t="s">
        <v>701</v>
      </c>
      <c r="B422" s="6" t="s">
        <v>700</v>
      </c>
      <c r="C422" s="7" t="s">
        <v>24</v>
      </c>
      <c r="D422" s="7" t="s">
        <v>25</v>
      </c>
      <c r="E422" s="8" t="s">
        <v>4461</v>
      </c>
    </row>
    <row r="423" spans="1:5" x14ac:dyDescent="0.25">
      <c r="A423" s="5" t="s">
        <v>703</v>
      </c>
      <c r="B423" s="6" t="s">
        <v>702</v>
      </c>
      <c r="C423" s="7" t="s">
        <v>24</v>
      </c>
      <c r="D423" s="7" t="s">
        <v>25</v>
      </c>
      <c r="E423" s="8" t="s">
        <v>4462</v>
      </c>
    </row>
    <row r="424" spans="1:5" x14ac:dyDescent="0.25">
      <c r="A424" s="5" t="s">
        <v>705</v>
      </c>
      <c r="B424" s="6" t="s">
        <v>704</v>
      </c>
      <c r="C424" s="7" t="s">
        <v>24</v>
      </c>
      <c r="D424" s="7" t="s">
        <v>25</v>
      </c>
      <c r="E424" s="8" t="s">
        <v>4464</v>
      </c>
    </row>
    <row r="425" spans="1:5" x14ac:dyDescent="0.25">
      <c r="A425" s="5" t="s">
        <v>707</v>
      </c>
      <c r="B425" s="6" t="s">
        <v>706</v>
      </c>
      <c r="C425" s="7" t="s">
        <v>24</v>
      </c>
      <c r="D425" s="7" t="s">
        <v>64</v>
      </c>
      <c r="E425" s="8" t="s">
        <v>99</v>
      </c>
    </row>
    <row r="426" spans="1:5" x14ac:dyDescent="0.25">
      <c r="A426" s="5" t="s">
        <v>707</v>
      </c>
      <c r="B426" s="6" t="s">
        <v>4086</v>
      </c>
      <c r="C426" s="7" t="s">
        <v>24</v>
      </c>
      <c r="D426" s="7" t="s">
        <v>64</v>
      </c>
      <c r="E426" s="8" t="s">
        <v>99</v>
      </c>
    </row>
    <row r="427" spans="1:5" x14ac:dyDescent="0.25">
      <c r="A427" s="5" t="s">
        <v>709</v>
      </c>
      <c r="B427" s="6" t="s">
        <v>708</v>
      </c>
      <c r="C427" s="7" t="s">
        <v>24</v>
      </c>
      <c r="D427" s="7" t="s">
        <v>64</v>
      </c>
      <c r="E427" s="8" t="s">
        <v>99</v>
      </c>
    </row>
    <row r="428" spans="1:5" x14ac:dyDescent="0.25">
      <c r="A428" s="5" t="s">
        <v>3566</v>
      </c>
      <c r="B428" s="6" t="s">
        <v>4341</v>
      </c>
      <c r="C428" s="7" t="s">
        <v>24</v>
      </c>
      <c r="D428" s="7" t="s">
        <v>4456</v>
      </c>
      <c r="E428" s="8" t="s">
        <v>4454</v>
      </c>
    </row>
    <row r="429" spans="1:5" x14ac:dyDescent="0.25">
      <c r="A429" s="5" t="s">
        <v>711</v>
      </c>
      <c r="B429" s="6" t="s">
        <v>710</v>
      </c>
      <c r="C429" s="7" t="s">
        <v>24</v>
      </c>
      <c r="D429" s="7" t="s">
        <v>64</v>
      </c>
      <c r="E429" s="8" t="s">
        <v>99</v>
      </c>
    </row>
    <row r="430" spans="1:5" x14ac:dyDescent="0.25">
      <c r="A430" s="5" t="s">
        <v>4522</v>
      </c>
      <c r="B430" s="6" t="s">
        <v>4523</v>
      </c>
      <c r="C430" s="7" t="s">
        <v>24</v>
      </c>
      <c r="D430" s="7" t="s">
        <v>25</v>
      </c>
      <c r="E430" s="8" t="s">
        <v>4459</v>
      </c>
    </row>
    <row r="431" spans="1:5" x14ac:dyDescent="0.25">
      <c r="A431" s="5" t="s">
        <v>713</v>
      </c>
      <c r="B431" s="6" t="s">
        <v>712</v>
      </c>
      <c r="C431" s="7" t="s">
        <v>24</v>
      </c>
      <c r="D431" s="7" t="s">
        <v>64</v>
      </c>
      <c r="E431" s="8" t="s">
        <v>87</v>
      </c>
    </row>
    <row r="432" spans="1:5" x14ac:dyDescent="0.25">
      <c r="A432" s="5" t="s">
        <v>715</v>
      </c>
      <c r="B432" s="6" t="s">
        <v>714</v>
      </c>
      <c r="C432" s="7" t="s">
        <v>24</v>
      </c>
      <c r="D432" s="7" t="s">
        <v>64</v>
      </c>
      <c r="E432" s="8" t="s">
        <v>90</v>
      </c>
    </row>
    <row r="433" spans="1:5" x14ac:dyDescent="0.25">
      <c r="A433" s="5" t="s">
        <v>717</v>
      </c>
      <c r="B433" s="6" t="s">
        <v>716</v>
      </c>
      <c r="C433" s="7" t="s">
        <v>24</v>
      </c>
      <c r="D433" s="7" t="s">
        <v>64</v>
      </c>
      <c r="E433" s="8" t="s">
        <v>93</v>
      </c>
    </row>
    <row r="434" spans="1:5" x14ac:dyDescent="0.25">
      <c r="A434" s="5" t="s">
        <v>719</v>
      </c>
      <c r="B434" s="6" t="s">
        <v>718</v>
      </c>
      <c r="C434" s="7" t="s">
        <v>24</v>
      </c>
      <c r="D434" s="7" t="s">
        <v>64</v>
      </c>
      <c r="E434" s="8" t="s">
        <v>68</v>
      </c>
    </row>
    <row r="435" spans="1:5" x14ac:dyDescent="0.25">
      <c r="A435" s="5" t="s">
        <v>721</v>
      </c>
      <c r="B435" s="6" t="s">
        <v>720</v>
      </c>
      <c r="C435" s="7" t="s">
        <v>24</v>
      </c>
      <c r="D435" s="7" t="s">
        <v>64</v>
      </c>
      <c r="E435" s="8" t="s">
        <v>288</v>
      </c>
    </row>
    <row r="436" spans="1:5" x14ac:dyDescent="0.25">
      <c r="A436" s="5" t="s">
        <v>723</v>
      </c>
      <c r="B436" s="6" t="s">
        <v>722</v>
      </c>
      <c r="C436" s="7" t="s">
        <v>24</v>
      </c>
      <c r="D436" s="7" t="s">
        <v>64</v>
      </c>
      <c r="E436" s="8" t="s">
        <v>426</v>
      </c>
    </row>
    <row r="437" spans="1:5" x14ac:dyDescent="0.25">
      <c r="A437" s="5" t="s">
        <v>725</v>
      </c>
      <c r="B437" s="6" t="s">
        <v>724</v>
      </c>
      <c r="C437" s="7" t="s">
        <v>24</v>
      </c>
      <c r="D437" s="7" t="s">
        <v>64</v>
      </c>
      <c r="E437" s="8" t="s">
        <v>93</v>
      </c>
    </row>
    <row r="438" spans="1:5" x14ac:dyDescent="0.25">
      <c r="A438" s="5" t="s">
        <v>727</v>
      </c>
      <c r="B438" s="6" t="s">
        <v>726</v>
      </c>
      <c r="C438" s="7" t="s">
        <v>24</v>
      </c>
      <c r="D438" s="7" t="s">
        <v>64</v>
      </c>
      <c r="E438" s="8" t="s">
        <v>4469</v>
      </c>
    </row>
    <row r="439" spans="1:5" x14ac:dyDescent="0.25">
      <c r="A439" s="5" t="s">
        <v>729</v>
      </c>
      <c r="B439" s="6" t="s">
        <v>728</v>
      </c>
      <c r="C439" s="7" t="s">
        <v>24</v>
      </c>
      <c r="D439" s="7" t="s">
        <v>64</v>
      </c>
      <c r="E439" s="8" t="s">
        <v>4472</v>
      </c>
    </row>
    <row r="440" spans="1:5" x14ac:dyDescent="0.25">
      <c r="A440" s="5" t="s">
        <v>731</v>
      </c>
      <c r="B440" s="6" t="s">
        <v>730</v>
      </c>
      <c r="C440" s="7" t="s">
        <v>24</v>
      </c>
      <c r="D440" s="7" t="s">
        <v>64</v>
      </c>
      <c r="E440" s="8" t="s">
        <v>4471</v>
      </c>
    </row>
    <row r="441" spans="1:5" x14ac:dyDescent="0.25">
      <c r="A441" s="5" t="s">
        <v>733</v>
      </c>
      <c r="B441" s="6" t="s">
        <v>732</v>
      </c>
      <c r="C441" s="7" t="s">
        <v>24</v>
      </c>
      <c r="D441" s="7" t="s">
        <v>64</v>
      </c>
      <c r="E441" s="8" t="s">
        <v>573</v>
      </c>
    </row>
    <row r="442" spans="1:5" x14ac:dyDescent="0.25">
      <c r="A442" s="5" t="s">
        <v>735</v>
      </c>
      <c r="B442" s="6" t="s">
        <v>734</v>
      </c>
      <c r="C442" s="7" t="s">
        <v>24</v>
      </c>
      <c r="D442" s="7" t="s">
        <v>64</v>
      </c>
      <c r="E442" s="8" t="s">
        <v>96</v>
      </c>
    </row>
    <row r="443" spans="1:5" x14ac:dyDescent="0.25">
      <c r="A443" s="5" t="s">
        <v>3353</v>
      </c>
      <c r="B443" s="6" t="s">
        <v>4123</v>
      </c>
      <c r="C443" s="7" t="s">
        <v>24</v>
      </c>
      <c r="D443" s="7" t="s">
        <v>4456</v>
      </c>
      <c r="E443" s="8" t="s">
        <v>4454</v>
      </c>
    </row>
    <row r="444" spans="1:5" x14ac:dyDescent="0.25">
      <c r="A444" s="12" t="s">
        <v>3125</v>
      </c>
      <c r="B444" s="6" t="s">
        <v>3896</v>
      </c>
      <c r="C444" s="13" t="s">
        <v>24</v>
      </c>
      <c r="D444" s="13" t="s">
        <v>4456</v>
      </c>
      <c r="E444" s="8" t="s">
        <v>4454</v>
      </c>
    </row>
    <row r="445" spans="1:5" x14ac:dyDescent="0.25">
      <c r="A445" s="5" t="s">
        <v>3126</v>
      </c>
      <c r="B445" s="6" t="s">
        <v>3897</v>
      </c>
      <c r="C445" s="7" t="s">
        <v>24</v>
      </c>
      <c r="D445" s="7" t="s">
        <v>4456</v>
      </c>
      <c r="E445" s="8" t="s">
        <v>4454</v>
      </c>
    </row>
    <row r="446" spans="1:5" x14ac:dyDescent="0.25">
      <c r="A446" s="5" t="s">
        <v>3127</v>
      </c>
      <c r="B446" s="6" t="s">
        <v>3898</v>
      </c>
      <c r="C446" s="7" t="s">
        <v>24</v>
      </c>
      <c r="D446" s="7" t="s">
        <v>4456</v>
      </c>
      <c r="E446" s="8" t="s">
        <v>4454</v>
      </c>
    </row>
    <row r="447" spans="1:5" x14ac:dyDescent="0.25">
      <c r="A447" s="12" t="s">
        <v>3128</v>
      </c>
      <c r="B447" s="6" t="s">
        <v>3899</v>
      </c>
      <c r="C447" s="13" t="s">
        <v>24</v>
      </c>
      <c r="D447" s="13" t="s">
        <v>4456</v>
      </c>
      <c r="E447" s="8" t="s">
        <v>4454</v>
      </c>
    </row>
    <row r="448" spans="1:5" x14ac:dyDescent="0.25">
      <c r="A448" s="12" t="s">
        <v>3129</v>
      </c>
      <c r="B448" s="6" t="s">
        <v>3900</v>
      </c>
      <c r="C448" s="13" t="s">
        <v>24</v>
      </c>
      <c r="D448" s="13" t="s">
        <v>4456</v>
      </c>
      <c r="E448" s="8" t="s">
        <v>4454</v>
      </c>
    </row>
    <row r="449" spans="1:5" x14ac:dyDescent="0.25">
      <c r="A449" s="5" t="s">
        <v>3130</v>
      </c>
      <c r="B449" s="6" t="s">
        <v>3901</v>
      </c>
      <c r="C449" s="7" t="s">
        <v>24</v>
      </c>
      <c r="D449" s="7" t="s">
        <v>4456</v>
      </c>
      <c r="E449" s="8" t="s">
        <v>4454</v>
      </c>
    </row>
    <row r="450" spans="1:5" x14ac:dyDescent="0.25">
      <c r="A450" s="12" t="s">
        <v>3131</v>
      </c>
      <c r="B450" s="6" t="s">
        <v>3902</v>
      </c>
      <c r="C450" s="13" t="s">
        <v>24</v>
      </c>
      <c r="D450" s="13" t="s">
        <v>4456</v>
      </c>
      <c r="E450" s="8" t="s">
        <v>4454</v>
      </c>
    </row>
    <row r="451" spans="1:5" x14ac:dyDescent="0.25">
      <c r="A451" s="12" t="s">
        <v>3097</v>
      </c>
      <c r="B451" s="6" t="s">
        <v>3867</v>
      </c>
      <c r="C451" s="13" t="s">
        <v>24</v>
      </c>
      <c r="D451" s="13" t="s">
        <v>4456</v>
      </c>
      <c r="E451" s="8" t="s">
        <v>4454</v>
      </c>
    </row>
    <row r="452" spans="1:5" x14ac:dyDescent="0.25">
      <c r="A452" s="5" t="s">
        <v>740</v>
      </c>
      <c r="B452" s="6" t="s">
        <v>739</v>
      </c>
      <c r="C452" s="7" t="s">
        <v>24</v>
      </c>
      <c r="D452" s="7" t="s">
        <v>321</v>
      </c>
      <c r="E452" s="8" t="s">
        <v>4455</v>
      </c>
    </row>
    <row r="453" spans="1:5" x14ac:dyDescent="0.25">
      <c r="A453" s="5" t="s">
        <v>742</v>
      </c>
      <c r="B453" s="6" t="s">
        <v>741</v>
      </c>
      <c r="C453" s="7" t="s">
        <v>24</v>
      </c>
      <c r="D453" s="7" t="s">
        <v>321</v>
      </c>
      <c r="E453" s="8" t="s">
        <v>4455</v>
      </c>
    </row>
    <row r="454" spans="1:5" x14ac:dyDescent="0.25">
      <c r="A454" s="5" t="s">
        <v>745</v>
      </c>
      <c r="B454" s="6" t="s">
        <v>744</v>
      </c>
      <c r="C454" s="7" t="s">
        <v>24</v>
      </c>
      <c r="D454" s="7" t="s">
        <v>25</v>
      </c>
      <c r="E454" s="8" t="s">
        <v>4460</v>
      </c>
    </row>
    <row r="455" spans="1:5" x14ac:dyDescent="0.25">
      <c r="A455" s="5" t="s">
        <v>3139</v>
      </c>
      <c r="B455" s="6" t="s">
        <v>3910</v>
      </c>
      <c r="C455" s="7" t="s">
        <v>24</v>
      </c>
      <c r="D455" s="7" t="s">
        <v>4456</v>
      </c>
      <c r="E455" s="8" t="s">
        <v>4454</v>
      </c>
    </row>
    <row r="456" spans="1:5" x14ac:dyDescent="0.25">
      <c r="A456" s="5" t="s">
        <v>3140</v>
      </c>
      <c r="B456" s="6" t="s">
        <v>3911</v>
      </c>
      <c r="C456" s="7" t="s">
        <v>24</v>
      </c>
      <c r="D456" s="7" t="s">
        <v>4456</v>
      </c>
      <c r="E456" s="8" t="s">
        <v>4454</v>
      </c>
    </row>
    <row r="457" spans="1:5" x14ac:dyDescent="0.25">
      <c r="A457" s="5" t="s">
        <v>3141</v>
      </c>
      <c r="B457" s="6" t="s">
        <v>3912</v>
      </c>
      <c r="C457" s="7" t="s">
        <v>24</v>
      </c>
      <c r="D457" s="7" t="s">
        <v>4456</v>
      </c>
      <c r="E457" s="8" t="s">
        <v>4454</v>
      </c>
    </row>
    <row r="458" spans="1:5" x14ac:dyDescent="0.25">
      <c r="A458" s="5" t="s">
        <v>3142</v>
      </c>
      <c r="B458" s="6" t="s">
        <v>3913</v>
      </c>
      <c r="C458" s="7" t="s">
        <v>24</v>
      </c>
      <c r="D458" s="7" t="s">
        <v>4456</v>
      </c>
      <c r="E458" s="8" t="s">
        <v>4454</v>
      </c>
    </row>
    <row r="459" spans="1:5" x14ac:dyDescent="0.25">
      <c r="A459" s="12" t="s">
        <v>3143</v>
      </c>
      <c r="B459" s="6" t="s">
        <v>3914</v>
      </c>
      <c r="C459" s="13" t="s">
        <v>24</v>
      </c>
      <c r="D459" s="13" t="s">
        <v>4456</v>
      </c>
      <c r="E459" s="8" t="s">
        <v>4454</v>
      </c>
    </row>
    <row r="460" spans="1:5" x14ac:dyDescent="0.25">
      <c r="A460" s="12" t="s">
        <v>3556</v>
      </c>
      <c r="B460" s="6" t="s">
        <v>4330</v>
      </c>
      <c r="C460" s="13" t="s">
        <v>24</v>
      </c>
      <c r="D460" s="13" t="s">
        <v>4456</v>
      </c>
      <c r="E460" s="8" t="s">
        <v>4454</v>
      </c>
    </row>
    <row r="461" spans="1:5" x14ac:dyDescent="0.25">
      <c r="A461" s="12" t="s">
        <v>3144</v>
      </c>
      <c r="B461" s="6" t="s">
        <v>3915</v>
      </c>
      <c r="C461" s="13" t="s">
        <v>24</v>
      </c>
      <c r="D461" s="13" t="s">
        <v>4456</v>
      </c>
      <c r="E461" s="8" t="s">
        <v>4454</v>
      </c>
    </row>
    <row r="462" spans="1:5" x14ac:dyDescent="0.25">
      <c r="A462" s="12" t="s">
        <v>3145</v>
      </c>
      <c r="B462" s="6" t="s">
        <v>3916</v>
      </c>
      <c r="C462" s="13" t="s">
        <v>24</v>
      </c>
      <c r="D462" s="13" t="s">
        <v>4456</v>
      </c>
      <c r="E462" s="8" t="s">
        <v>4454</v>
      </c>
    </row>
    <row r="463" spans="1:5" x14ac:dyDescent="0.25">
      <c r="A463" s="5" t="s">
        <v>747</v>
      </c>
      <c r="B463" s="6" t="s">
        <v>746</v>
      </c>
      <c r="C463" s="7" t="s">
        <v>24</v>
      </c>
      <c r="D463" s="7" t="s">
        <v>321</v>
      </c>
      <c r="E463" s="8" t="s">
        <v>4455</v>
      </c>
    </row>
    <row r="464" spans="1:5" x14ac:dyDescent="0.25">
      <c r="A464" s="5" t="s">
        <v>3132</v>
      </c>
      <c r="B464" s="6" t="s">
        <v>3903</v>
      </c>
      <c r="C464" s="7" t="s">
        <v>24</v>
      </c>
      <c r="D464" s="7" t="s">
        <v>4456</v>
      </c>
      <c r="E464" s="8" t="s">
        <v>4454</v>
      </c>
    </row>
    <row r="465" spans="1:5" x14ac:dyDescent="0.25">
      <c r="A465" s="5" t="s">
        <v>3133</v>
      </c>
      <c r="B465" s="6" t="s">
        <v>3904</v>
      </c>
      <c r="C465" s="7" t="s">
        <v>24</v>
      </c>
      <c r="D465" s="7" t="s">
        <v>4456</v>
      </c>
      <c r="E465" s="8" t="s">
        <v>4454</v>
      </c>
    </row>
    <row r="466" spans="1:5" x14ac:dyDescent="0.25">
      <c r="A466" s="5" t="s">
        <v>3134</v>
      </c>
      <c r="B466" s="6" t="s">
        <v>3905</v>
      </c>
      <c r="C466" s="7" t="s">
        <v>24</v>
      </c>
      <c r="D466" s="7" t="s">
        <v>4456</v>
      </c>
      <c r="E466" s="8" t="s">
        <v>4454</v>
      </c>
    </row>
    <row r="467" spans="1:5" x14ac:dyDescent="0.25">
      <c r="A467" s="5" t="s">
        <v>3301</v>
      </c>
      <c r="B467" s="6" t="s">
        <v>4072</v>
      </c>
      <c r="C467" s="7" t="s">
        <v>24</v>
      </c>
      <c r="D467" s="7" t="s">
        <v>4456</v>
      </c>
      <c r="E467" s="8" t="s">
        <v>4454</v>
      </c>
    </row>
    <row r="468" spans="1:5" x14ac:dyDescent="0.25">
      <c r="A468" s="12" t="s">
        <v>3135</v>
      </c>
      <c r="B468" s="6" t="s">
        <v>3906</v>
      </c>
      <c r="C468" s="13" t="s">
        <v>24</v>
      </c>
      <c r="D468" s="13" t="s">
        <v>4456</v>
      </c>
      <c r="E468" s="8" t="s">
        <v>4454</v>
      </c>
    </row>
    <row r="469" spans="1:5" x14ac:dyDescent="0.25">
      <c r="A469" s="12" t="s">
        <v>749</v>
      </c>
      <c r="B469" s="6" t="s">
        <v>748</v>
      </c>
      <c r="C469" s="13" t="s">
        <v>24</v>
      </c>
      <c r="D469" s="13" t="s">
        <v>25</v>
      </c>
      <c r="E469" s="8" t="s">
        <v>4467</v>
      </c>
    </row>
    <row r="470" spans="1:5" x14ac:dyDescent="0.25">
      <c r="A470" s="12" t="s">
        <v>751</v>
      </c>
      <c r="B470" s="6" t="s">
        <v>750</v>
      </c>
      <c r="C470" s="13" t="s">
        <v>24</v>
      </c>
      <c r="D470" s="13" t="s">
        <v>25</v>
      </c>
      <c r="E470" s="8" t="s">
        <v>4460</v>
      </c>
    </row>
    <row r="471" spans="1:5" x14ac:dyDescent="0.25">
      <c r="A471" s="12" t="s">
        <v>3136</v>
      </c>
      <c r="B471" s="6" t="s">
        <v>3907</v>
      </c>
      <c r="C471" s="13" t="s">
        <v>24</v>
      </c>
      <c r="D471" s="13" t="s">
        <v>4456</v>
      </c>
      <c r="E471" s="8" t="s">
        <v>4454</v>
      </c>
    </row>
    <row r="472" spans="1:5" x14ac:dyDescent="0.25">
      <c r="A472" s="12" t="s">
        <v>3137</v>
      </c>
      <c r="B472" s="6" t="s">
        <v>3908</v>
      </c>
      <c r="C472" s="13" t="s">
        <v>24</v>
      </c>
      <c r="D472" s="13" t="s">
        <v>4456</v>
      </c>
      <c r="E472" s="8" t="s">
        <v>4454</v>
      </c>
    </row>
    <row r="473" spans="1:5" x14ac:dyDescent="0.25">
      <c r="A473" s="5" t="s">
        <v>3146</v>
      </c>
      <c r="B473" s="6" t="s">
        <v>3917</v>
      </c>
      <c r="C473" s="13" t="s">
        <v>24</v>
      </c>
      <c r="D473" s="13" t="s">
        <v>4456</v>
      </c>
      <c r="E473" s="8" t="s">
        <v>4454</v>
      </c>
    </row>
    <row r="474" spans="1:5" x14ac:dyDescent="0.25">
      <c r="A474" s="5" t="s">
        <v>3300</v>
      </c>
      <c r="B474" s="6" t="s">
        <v>4071</v>
      </c>
      <c r="C474" s="7" t="s">
        <v>24</v>
      </c>
      <c r="D474" s="7" t="s">
        <v>4456</v>
      </c>
      <c r="E474" s="8" t="s">
        <v>4454</v>
      </c>
    </row>
    <row r="475" spans="1:5" x14ac:dyDescent="0.25">
      <c r="A475" s="12" t="s">
        <v>3299</v>
      </c>
      <c r="B475" s="6" t="s">
        <v>4070</v>
      </c>
      <c r="C475" s="13" t="s">
        <v>24</v>
      </c>
      <c r="D475" s="13" t="s">
        <v>4456</v>
      </c>
      <c r="E475" s="8" t="s">
        <v>4454</v>
      </c>
    </row>
    <row r="476" spans="1:5" x14ac:dyDescent="0.25">
      <c r="A476" s="12" t="s">
        <v>3254</v>
      </c>
      <c r="B476" s="6" t="s">
        <v>4025</v>
      </c>
      <c r="C476" s="13" t="s">
        <v>24</v>
      </c>
      <c r="D476" s="13" t="s">
        <v>4456</v>
      </c>
      <c r="E476" s="8" t="s">
        <v>4454</v>
      </c>
    </row>
    <row r="477" spans="1:5" x14ac:dyDescent="0.25">
      <c r="A477" s="5" t="s">
        <v>3138</v>
      </c>
      <c r="B477" s="6" t="s">
        <v>3909</v>
      </c>
      <c r="C477" s="7" t="s">
        <v>24</v>
      </c>
      <c r="D477" s="7" t="s">
        <v>4456</v>
      </c>
      <c r="E477" s="8" t="s">
        <v>4454</v>
      </c>
    </row>
    <row r="478" spans="1:5" x14ac:dyDescent="0.25">
      <c r="A478" s="5" t="s">
        <v>3302</v>
      </c>
      <c r="B478" s="6" t="s">
        <v>4073</v>
      </c>
      <c r="C478" s="7" t="s">
        <v>24</v>
      </c>
      <c r="D478" s="7" t="s">
        <v>4456</v>
      </c>
      <c r="E478" s="8" t="s">
        <v>4454</v>
      </c>
    </row>
    <row r="479" spans="1:5" x14ac:dyDescent="0.25">
      <c r="A479" s="5" t="s">
        <v>753</v>
      </c>
      <c r="B479" s="6" t="s">
        <v>752</v>
      </c>
      <c r="C479" s="7" t="s">
        <v>24</v>
      </c>
      <c r="D479" s="7" t="s">
        <v>321</v>
      </c>
      <c r="E479" s="8" t="s">
        <v>4455</v>
      </c>
    </row>
    <row r="480" spans="1:5" x14ac:dyDescent="0.25">
      <c r="A480" s="5" t="s">
        <v>753</v>
      </c>
      <c r="B480" s="6" t="s">
        <v>4334</v>
      </c>
      <c r="C480" s="7" t="s">
        <v>24</v>
      </c>
      <c r="D480" s="7" t="s">
        <v>4456</v>
      </c>
      <c r="E480" s="8" t="s">
        <v>4454</v>
      </c>
    </row>
    <row r="481" spans="1:5" x14ac:dyDescent="0.25">
      <c r="A481" s="12" t="s">
        <v>755</v>
      </c>
      <c r="B481" s="6" t="s">
        <v>754</v>
      </c>
      <c r="C481" s="13" t="s">
        <v>24</v>
      </c>
      <c r="D481" s="13" t="s">
        <v>321</v>
      </c>
      <c r="E481" s="8" t="s">
        <v>4455</v>
      </c>
    </row>
    <row r="482" spans="1:5" x14ac:dyDescent="0.25">
      <c r="A482" s="12" t="s">
        <v>761</v>
      </c>
      <c r="B482" s="6" t="s">
        <v>760</v>
      </c>
      <c r="C482" s="13" t="s">
        <v>24</v>
      </c>
      <c r="D482" s="13" t="s">
        <v>321</v>
      </c>
      <c r="E482" s="8" t="s">
        <v>4455</v>
      </c>
    </row>
    <row r="483" spans="1:5" x14ac:dyDescent="0.25">
      <c r="A483" s="5" t="s">
        <v>763</v>
      </c>
      <c r="B483" s="6" t="s">
        <v>762</v>
      </c>
      <c r="C483" s="7" t="s">
        <v>24</v>
      </c>
      <c r="D483" s="7" t="s">
        <v>64</v>
      </c>
      <c r="E483" s="8" t="s">
        <v>65</v>
      </c>
    </row>
    <row r="484" spans="1:5" x14ac:dyDescent="0.25">
      <c r="A484" s="5" t="s">
        <v>4524</v>
      </c>
      <c r="B484" s="6" t="s">
        <v>737</v>
      </c>
      <c r="C484" s="7" t="s">
        <v>24</v>
      </c>
      <c r="D484" s="7" t="s">
        <v>25</v>
      </c>
      <c r="E484" s="8" t="s">
        <v>4457</v>
      </c>
    </row>
    <row r="485" spans="1:5" x14ac:dyDescent="0.25">
      <c r="A485" s="5" t="s">
        <v>4525</v>
      </c>
      <c r="B485" s="6" t="s">
        <v>736</v>
      </c>
      <c r="C485" s="7" t="s">
        <v>24</v>
      </c>
      <c r="D485" s="7" t="s">
        <v>25</v>
      </c>
      <c r="E485" s="8" t="s">
        <v>4458</v>
      </c>
    </row>
    <row r="486" spans="1:5" x14ac:dyDescent="0.25">
      <c r="A486" s="5" t="s">
        <v>4526</v>
      </c>
      <c r="B486" s="6" t="s">
        <v>738</v>
      </c>
      <c r="C486" s="7" t="s">
        <v>24</v>
      </c>
      <c r="D486" s="7" t="s">
        <v>25</v>
      </c>
      <c r="E486" s="8" t="s">
        <v>4459</v>
      </c>
    </row>
    <row r="487" spans="1:5" x14ac:dyDescent="0.25">
      <c r="A487" s="5" t="s">
        <v>765</v>
      </c>
      <c r="B487" s="6" t="s">
        <v>764</v>
      </c>
      <c r="C487" s="7" t="s">
        <v>24</v>
      </c>
      <c r="D487" s="7" t="s">
        <v>25</v>
      </c>
      <c r="E487" s="8" t="s">
        <v>4458</v>
      </c>
    </row>
    <row r="488" spans="1:5" x14ac:dyDescent="0.25">
      <c r="A488" s="5" t="s">
        <v>4527</v>
      </c>
      <c r="B488" s="6" t="s">
        <v>756</v>
      </c>
      <c r="C488" s="7" t="s">
        <v>24</v>
      </c>
      <c r="D488" s="7" t="s">
        <v>25</v>
      </c>
      <c r="E488" s="8" t="s">
        <v>4459</v>
      </c>
    </row>
    <row r="489" spans="1:5" x14ac:dyDescent="0.25">
      <c r="A489" s="5" t="s">
        <v>4528</v>
      </c>
      <c r="B489" s="6" t="s">
        <v>757</v>
      </c>
      <c r="C489" s="7" t="s">
        <v>24</v>
      </c>
      <c r="D489" s="7" t="s">
        <v>25</v>
      </c>
      <c r="E489" s="8" t="s">
        <v>4461</v>
      </c>
    </row>
    <row r="490" spans="1:5" x14ac:dyDescent="0.25">
      <c r="A490" s="5" t="s">
        <v>4529</v>
      </c>
      <c r="B490" s="6" t="s">
        <v>759</v>
      </c>
      <c r="C490" s="7" t="s">
        <v>24</v>
      </c>
      <c r="D490" s="7" t="s">
        <v>25</v>
      </c>
      <c r="E490" s="8" t="s">
        <v>4459</v>
      </c>
    </row>
    <row r="491" spans="1:5" x14ac:dyDescent="0.25">
      <c r="A491" s="5" t="s">
        <v>4530</v>
      </c>
      <c r="B491" s="6" t="s">
        <v>766</v>
      </c>
      <c r="C491" s="7" t="s">
        <v>24</v>
      </c>
      <c r="D491" s="7" t="s">
        <v>25</v>
      </c>
      <c r="E491" s="8" t="s">
        <v>4461</v>
      </c>
    </row>
    <row r="492" spans="1:5" x14ac:dyDescent="0.25">
      <c r="A492" s="5" t="s">
        <v>768</v>
      </c>
      <c r="B492" s="6" t="s">
        <v>767</v>
      </c>
      <c r="C492" s="7" t="s">
        <v>24</v>
      </c>
      <c r="D492" s="7" t="s">
        <v>25</v>
      </c>
      <c r="E492" s="8" t="s">
        <v>4459</v>
      </c>
    </row>
    <row r="493" spans="1:5" x14ac:dyDescent="0.25">
      <c r="A493" s="5" t="s">
        <v>770</v>
      </c>
      <c r="B493" s="6" t="s">
        <v>769</v>
      </c>
      <c r="C493" s="7" t="s">
        <v>24</v>
      </c>
      <c r="D493" s="7" t="s">
        <v>64</v>
      </c>
      <c r="E493" s="8" t="s">
        <v>288</v>
      </c>
    </row>
    <row r="494" spans="1:5" x14ac:dyDescent="0.25">
      <c r="A494" s="5" t="s">
        <v>772</v>
      </c>
      <c r="B494" s="6" t="s">
        <v>771</v>
      </c>
      <c r="C494" s="7" t="s">
        <v>24</v>
      </c>
      <c r="D494" s="7" t="s">
        <v>25</v>
      </c>
      <c r="E494" s="8" t="s">
        <v>4465</v>
      </c>
    </row>
    <row r="495" spans="1:5" x14ac:dyDescent="0.25">
      <c r="A495" s="5" t="s">
        <v>774</v>
      </c>
      <c r="B495" s="6" t="s">
        <v>773</v>
      </c>
      <c r="C495" s="7" t="s">
        <v>24</v>
      </c>
      <c r="D495" s="7" t="s">
        <v>25</v>
      </c>
      <c r="E495" s="8" t="s">
        <v>4463</v>
      </c>
    </row>
    <row r="496" spans="1:5" x14ac:dyDescent="0.25">
      <c r="A496" s="5" t="s">
        <v>776</v>
      </c>
      <c r="B496" s="6" t="s">
        <v>775</v>
      </c>
      <c r="C496" s="7" t="s">
        <v>24</v>
      </c>
      <c r="D496" s="7" t="s">
        <v>321</v>
      </c>
      <c r="E496" s="8" t="s">
        <v>4455</v>
      </c>
    </row>
    <row r="497" spans="1:5" x14ac:dyDescent="0.25">
      <c r="A497" s="5" t="s">
        <v>4531</v>
      </c>
      <c r="B497" s="6" t="s">
        <v>743</v>
      </c>
      <c r="C497" s="7" t="s">
        <v>24</v>
      </c>
      <c r="D497" s="7" t="s">
        <v>25</v>
      </c>
      <c r="E497" s="8" t="s">
        <v>4466</v>
      </c>
    </row>
    <row r="498" spans="1:5" x14ac:dyDescent="0.25">
      <c r="A498" s="5" t="s">
        <v>778</v>
      </c>
      <c r="B498" s="6" t="s">
        <v>777</v>
      </c>
      <c r="C498" s="7" t="s">
        <v>24</v>
      </c>
      <c r="D498" s="7" t="s">
        <v>25</v>
      </c>
      <c r="E498" s="8" t="s">
        <v>4459</v>
      </c>
    </row>
    <row r="499" spans="1:5" x14ac:dyDescent="0.25">
      <c r="A499" s="5" t="s">
        <v>780</v>
      </c>
      <c r="B499" s="6" t="s">
        <v>779</v>
      </c>
      <c r="C499" s="7" t="s">
        <v>24</v>
      </c>
      <c r="D499" s="7" t="s">
        <v>321</v>
      </c>
      <c r="E499" s="8" t="s">
        <v>4455</v>
      </c>
    </row>
    <row r="500" spans="1:5" x14ac:dyDescent="0.25">
      <c r="A500" s="5" t="s">
        <v>782</v>
      </c>
      <c r="B500" s="6" t="s">
        <v>781</v>
      </c>
      <c r="C500" s="7" t="s">
        <v>24</v>
      </c>
      <c r="D500" s="7" t="s">
        <v>64</v>
      </c>
      <c r="E500" s="8" t="s">
        <v>96</v>
      </c>
    </row>
    <row r="501" spans="1:5" x14ac:dyDescent="0.25">
      <c r="A501" s="5" t="s">
        <v>784</v>
      </c>
      <c r="B501" s="6" t="s">
        <v>783</v>
      </c>
      <c r="C501" s="7" t="s">
        <v>24</v>
      </c>
      <c r="D501" s="7" t="s">
        <v>64</v>
      </c>
      <c r="E501" s="8" t="s">
        <v>4469</v>
      </c>
    </row>
    <row r="502" spans="1:5" x14ac:dyDescent="0.25">
      <c r="A502" s="5" t="s">
        <v>786</v>
      </c>
      <c r="B502" s="6" t="s">
        <v>785</v>
      </c>
      <c r="C502" s="7" t="s">
        <v>24</v>
      </c>
      <c r="D502" s="7" t="s">
        <v>25</v>
      </c>
      <c r="E502" s="8" t="s">
        <v>4460</v>
      </c>
    </row>
    <row r="503" spans="1:5" x14ac:dyDescent="0.25">
      <c r="A503" s="5" t="s">
        <v>788</v>
      </c>
      <c r="B503" s="6" t="s">
        <v>787</v>
      </c>
      <c r="C503" s="7" t="s">
        <v>24</v>
      </c>
      <c r="D503" s="7" t="s">
        <v>64</v>
      </c>
      <c r="E503" s="8" t="s">
        <v>87</v>
      </c>
    </row>
    <row r="504" spans="1:5" x14ac:dyDescent="0.25">
      <c r="A504" s="5" t="s">
        <v>3096</v>
      </c>
      <c r="B504" s="6" t="s">
        <v>3866</v>
      </c>
      <c r="C504" s="7" t="s">
        <v>24</v>
      </c>
      <c r="D504" s="7" t="s">
        <v>321</v>
      </c>
      <c r="E504" s="8" t="s">
        <v>4455</v>
      </c>
    </row>
    <row r="505" spans="1:5" x14ac:dyDescent="0.25">
      <c r="A505" s="5" t="s">
        <v>3629</v>
      </c>
      <c r="B505" s="6" t="s">
        <v>4406</v>
      </c>
      <c r="C505" s="7" t="s">
        <v>24</v>
      </c>
      <c r="D505" s="7" t="s">
        <v>25</v>
      </c>
      <c r="E505" s="8" t="s">
        <v>4465</v>
      </c>
    </row>
    <row r="506" spans="1:5" x14ac:dyDescent="0.25">
      <c r="A506" s="5" t="s">
        <v>790</v>
      </c>
      <c r="B506" s="6" t="s">
        <v>789</v>
      </c>
      <c r="C506" s="7" t="s">
        <v>24</v>
      </c>
      <c r="D506" s="7" t="s">
        <v>25</v>
      </c>
      <c r="E506" s="8" t="s">
        <v>4465</v>
      </c>
    </row>
    <row r="507" spans="1:5" x14ac:dyDescent="0.25">
      <c r="A507" s="5" t="s">
        <v>792</v>
      </c>
      <c r="B507" s="6" t="s">
        <v>791</v>
      </c>
      <c r="C507" s="7" t="s">
        <v>24</v>
      </c>
      <c r="D507" s="7" t="s">
        <v>25</v>
      </c>
      <c r="E507" s="8" t="s">
        <v>4463</v>
      </c>
    </row>
    <row r="508" spans="1:5" x14ac:dyDescent="0.25">
      <c r="A508" s="5" t="s">
        <v>794</v>
      </c>
      <c r="B508" s="6" t="s">
        <v>793</v>
      </c>
      <c r="C508" s="7" t="s">
        <v>24</v>
      </c>
      <c r="D508" s="7" t="s">
        <v>64</v>
      </c>
      <c r="E508" s="8" t="s">
        <v>87</v>
      </c>
    </row>
    <row r="509" spans="1:5" x14ac:dyDescent="0.25">
      <c r="A509" s="5" t="s">
        <v>796</v>
      </c>
      <c r="B509" s="6" t="s">
        <v>795</v>
      </c>
      <c r="C509" s="7" t="s">
        <v>24</v>
      </c>
      <c r="D509" s="7" t="s">
        <v>25</v>
      </c>
      <c r="E509" s="8" t="s">
        <v>4459</v>
      </c>
    </row>
    <row r="510" spans="1:5" x14ac:dyDescent="0.25">
      <c r="A510" s="5" t="s">
        <v>798</v>
      </c>
      <c r="B510" s="9" t="s">
        <v>797</v>
      </c>
      <c r="C510" s="7" t="s">
        <v>24</v>
      </c>
      <c r="D510" s="7" t="s">
        <v>321</v>
      </c>
      <c r="E510" s="10" t="s">
        <v>4455</v>
      </c>
    </row>
    <row r="511" spans="1:5" x14ac:dyDescent="0.25">
      <c r="A511" s="5" t="s">
        <v>800</v>
      </c>
      <c r="B511" s="6" t="s">
        <v>799</v>
      </c>
      <c r="C511" s="7" t="s">
        <v>24</v>
      </c>
      <c r="D511" s="7" t="s">
        <v>25</v>
      </c>
      <c r="E511" s="8" t="s">
        <v>4460</v>
      </c>
    </row>
    <row r="512" spans="1:5" x14ac:dyDescent="0.25">
      <c r="A512" s="5" t="s">
        <v>802</v>
      </c>
      <c r="B512" s="6" t="s">
        <v>801</v>
      </c>
      <c r="C512" s="13" t="s">
        <v>24</v>
      </c>
      <c r="D512" s="13" t="s">
        <v>25</v>
      </c>
      <c r="E512" s="8" t="s">
        <v>4465</v>
      </c>
    </row>
    <row r="513" spans="1:5" x14ac:dyDescent="0.25">
      <c r="A513" s="5" t="s">
        <v>4534</v>
      </c>
      <c r="B513" s="6" t="s">
        <v>758</v>
      </c>
      <c r="C513" s="7" t="s">
        <v>24</v>
      </c>
      <c r="D513" s="7" t="s">
        <v>25</v>
      </c>
      <c r="E513" s="8" t="s">
        <v>4462</v>
      </c>
    </row>
    <row r="514" spans="1:5" x14ac:dyDescent="0.25">
      <c r="A514" s="5" t="s">
        <v>804</v>
      </c>
      <c r="B514" s="6" t="s">
        <v>803</v>
      </c>
      <c r="C514" s="7" t="s">
        <v>24</v>
      </c>
      <c r="D514" s="7" t="s">
        <v>321</v>
      </c>
      <c r="E514" s="8" t="s">
        <v>4455</v>
      </c>
    </row>
    <row r="515" spans="1:5" x14ac:dyDescent="0.25">
      <c r="A515" s="12" t="s">
        <v>3354</v>
      </c>
      <c r="B515" s="6" t="s">
        <v>4124</v>
      </c>
      <c r="C515" s="13" t="s">
        <v>24</v>
      </c>
      <c r="D515" s="13" t="s">
        <v>4456</v>
      </c>
      <c r="E515" s="8" t="s">
        <v>4454</v>
      </c>
    </row>
    <row r="516" spans="1:5" x14ac:dyDescent="0.25">
      <c r="A516" s="5" t="s">
        <v>3355</v>
      </c>
      <c r="B516" s="6" t="s">
        <v>4125</v>
      </c>
      <c r="C516" s="7" t="s">
        <v>24</v>
      </c>
      <c r="D516" s="7" t="s">
        <v>4456</v>
      </c>
      <c r="E516" s="8" t="s">
        <v>4454</v>
      </c>
    </row>
    <row r="517" spans="1:5" x14ac:dyDescent="0.25">
      <c r="A517" s="5" t="s">
        <v>3583</v>
      </c>
      <c r="B517" s="6" t="s">
        <v>4359</v>
      </c>
      <c r="C517" s="7" t="s">
        <v>24</v>
      </c>
      <c r="D517" s="7" t="s">
        <v>4456</v>
      </c>
      <c r="E517" s="8" t="s">
        <v>4454</v>
      </c>
    </row>
    <row r="518" spans="1:5" x14ac:dyDescent="0.25">
      <c r="A518" s="5" t="s">
        <v>4535</v>
      </c>
      <c r="B518" s="6" t="s">
        <v>4536</v>
      </c>
      <c r="C518" s="7" t="s">
        <v>24</v>
      </c>
      <c r="D518" s="7" t="s">
        <v>25</v>
      </c>
      <c r="E518" s="8" t="s">
        <v>4458</v>
      </c>
    </row>
    <row r="519" spans="1:5" x14ac:dyDescent="0.25">
      <c r="A519" s="5" t="s">
        <v>806</v>
      </c>
      <c r="B519" s="6" t="s">
        <v>805</v>
      </c>
      <c r="C519" s="7" t="s">
        <v>24</v>
      </c>
      <c r="D519" s="7" t="s">
        <v>25</v>
      </c>
      <c r="E519" s="8" t="s">
        <v>4459</v>
      </c>
    </row>
    <row r="520" spans="1:5" x14ac:dyDescent="0.25">
      <c r="A520" s="5" t="s">
        <v>808</v>
      </c>
      <c r="B520" s="6" t="s">
        <v>807</v>
      </c>
      <c r="C520" s="7" t="s">
        <v>24</v>
      </c>
      <c r="D520" s="7" t="s">
        <v>25</v>
      </c>
      <c r="E520" s="8" t="s">
        <v>4457</v>
      </c>
    </row>
    <row r="521" spans="1:5" x14ac:dyDescent="0.25">
      <c r="A521" s="5" t="s">
        <v>810</v>
      </c>
      <c r="B521" s="6" t="s">
        <v>809</v>
      </c>
      <c r="C521" s="7" t="s">
        <v>24</v>
      </c>
      <c r="D521" s="7" t="s">
        <v>321</v>
      </c>
      <c r="E521" s="8" t="s">
        <v>4455</v>
      </c>
    </row>
    <row r="522" spans="1:5" x14ac:dyDescent="0.25">
      <c r="A522" s="5" t="s">
        <v>3356</v>
      </c>
      <c r="B522" s="6" t="s">
        <v>4126</v>
      </c>
      <c r="C522" s="7" t="s">
        <v>24</v>
      </c>
      <c r="D522" s="7" t="s">
        <v>4456</v>
      </c>
      <c r="E522" s="8" t="s">
        <v>4454</v>
      </c>
    </row>
    <row r="523" spans="1:5" x14ac:dyDescent="0.25">
      <c r="A523" s="5" t="s">
        <v>812</v>
      </c>
      <c r="B523" s="6" t="s">
        <v>811</v>
      </c>
      <c r="C523" s="7" t="s">
        <v>24</v>
      </c>
      <c r="D523" s="7" t="s">
        <v>64</v>
      </c>
      <c r="E523" s="8" t="s">
        <v>90</v>
      </c>
    </row>
    <row r="524" spans="1:5" x14ac:dyDescent="0.25">
      <c r="A524" s="5" t="s">
        <v>814</v>
      </c>
      <c r="B524" s="6" t="s">
        <v>813</v>
      </c>
      <c r="C524" s="7" t="s">
        <v>24</v>
      </c>
      <c r="D524" s="7" t="s">
        <v>64</v>
      </c>
      <c r="E524" s="8" t="s">
        <v>93</v>
      </c>
    </row>
    <row r="525" spans="1:5" x14ac:dyDescent="0.25">
      <c r="A525" s="5" t="s">
        <v>816</v>
      </c>
      <c r="B525" s="6" t="s">
        <v>815</v>
      </c>
      <c r="C525" s="7" t="s">
        <v>24</v>
      </c>
      <c r="D525" s="7" t="s">
        <v>64</v>
      </c>
      <c r="E525" s="8" t="s">
        <v>90</v>
      </c>
    </row>
    <row r="526" spans="1:5" x14ac:dyDescent="0.25">
      <c r="A526" s="5" t="s">
        <v>818</v>
      </c>
      <c r="B526" s="6" t="s">
        <v>817</v>
      </c>
      <c r="C526" s="7" t="s">
        <v>24</v>
      </c>
      <c r="D526" s="7" t="s">
        <v>64</v>
      </c>
      <c r="E526" s="8" t="s">
        <v>93</v>
      </c>
    </row>
    <row r="527" spans="1:5" x14ac:dyDescent="0.25">
      <c r="A527" s="5" t="s">
        <v>820</v>
      </c>
      <c r="B527" s="6" t="s">
        <v>819</v>
      </c>
      <c r="C527" s="7" t="s">
        <v>24</v>
      </c>
      <c r="D527" s="7" t="s">
        <v>64</v>
      </c>
      <c r="E527" s="8" t="s">
        <v>93</v>
      </c>
    </row>
    <row r="528" spans="1:5" x14ac:dyDescent="0.25">
      <c r="A528" s="5" t="s">
        <v>822</v>
      </c>
      <c r="B528" s="6" t="s">
        <v>821</v>
      </c>
      <c r="C528" s="7" t="s">
        <v>24</v>
      </c>
      <c r="D528" s="7" t="s">
        <v>64</v>
      </c>
      <c r="E528" s="8" t="s">
        <v>99</v>
      </c>
    </row>
    <row r="529" spans="1:5" x14ac:dyDescent="0.25">
      <c r="A529" s="12" t="s">
        <v>824</v>
      </c>
      <c r="B529" s="6" t="s">
        <v>823</v>
      </c>
      <c r="C529" s="13" t="s">
        <v>24</v>
      </c>
      <c r="D529" s="13" t="s">
        <v>321</v>
      </c>
      <c r="E529" s="8" t="s">
        <v>4455</v>
      </c>
    </row>
    <row r="530" spans="1:5" x14ac:dyDescent="0.25">
      <c r="A530" s="5" t="s">
        <v>826</v>
      </c>
      <c r="B530" s="6" t="s">
        <v>825</v>
      </c>
      <c r="C530" s="7" t="s">
        <v>24</v>
      </c>
      <c r="D530" s="7" t="s">
        <v>64</v>
      </c>
      <c r="E530" s="8" t="s">
        <v>99</v>
      </c>
    </row>
    <row r="531" spans="1:5" x14ac:dyDescent="0.25">
      <c r="A531" s="5" t="s">
        <v>828</v>
      </c>
      <c r="B531" s="6" t="s">
        <v>827</v>
      </c>
      <c r="C531" s="7" t="s">
        <v>24</v>
      </c>
      <c r="D531" s="7" t="s">
        <v>64</v>
      </c>
      <c r="E531" s="8" t="s">
        <v>99</v>
      </c>
    </row>
    <row r="532" spans="1:5" x14ac:dyDescent="0.25">
      <c r="A532" s="5" t="s">
        <v>830</v>
      </c>
      <c r="B532" s="6" t="s">
        <v>829</v>
      </c>
      <c r="C532" s="7" t="s">
        <v>24</v>
      </c>
      <c r="D532" s="7" t="s">
        <v>64</v>
      </c>
      <c r="E532" s="8" t="s">
        <v>99</v>
      </c>
    </row>
    <row r="533" spans="1:5" x14ac:dyDescent="0.25">
      <c r="A533" s="5" t="s">
        <v>832</v>
      </c>
      <c r="B533" s="6" t="s">
        <v>831</v>
      </c>
      <c r="C533" s="7" t="s">
        <v>24</v>
      </c>
      <c r="D533" s="7" t="s">
        <v>562</v>
      </c>
      <c r="E533" s="8" t="s">
        <v>4454</v>
      </c>
    </row>
    <row r="534" spans="1:5" x14ac:dyDescent="0.25">
      <c r="A534" s="5" t="s">
        <v>834</v>
      </c>
      <c r="B534" s="6" t="s">
        <v>833</v>
      </c>
      <c r="C534" s="7" t="s">
        <v>24</v>
      </c>
      <c r="D534" s="7" t="s">
        <v>64</v>
      </c>
      <c r="E534" s="8" t="s">
        <v>87</v>
      </c>
    </row>
    <row r="535" spans="1:5" x14ac:dyDescent="0.25">
      <c r="A535" s="5" t="s">
        <v>3639</v>
      </c>
      <c r="B535" s="6" t="s">
        <v>4415</v>
      </c>
      <c r="C535" s="7" t="s">
        <v>24</v>
      </c>
      <c r="D535" s="7" t="s">
        <v>25</v>
      </c>
      <c r="E535" s="8" t="s">
        <v>4466</v>
      </c>
    </row>
    <row r="536" spans="1:5" x14ac:dyDescent="0.25">
      <c r="A536" s="5" t="s">
        <v>3309</v>
      </c>
      <c r="B536" s="6" t="s">
        <v>4081</v>
      </c>
      <c r="C536" s="7" t="s">
        <v>24</v>
      </c>
      <c r="D536" s="7" t="s">
        <v>64</v>
      </c>
      <c r="E536" s="8" t="s">
        <v>99</v>
      </c>
    </row>
    <row r="537" spans="1:5" x14ac:dyDescent="0.25">
      <c r="A537" s="5" t="s">
        <v>836</v>
      </c>
      <c r="B537" s="6" t="s">
        <v>835</v>
      </c>
      <c r="C537" s="7" t="s">
        <v>24</v>
      </c>
      <c r="D537" s="7" t="s">
        <v>25</v>
      </c>
      <c r="E537" s="8" t="s">
        <v>4458</v>
      </c>
    </row>
    <row r="538" spans="1:5" x14ac:dyDescent="0.25">
      <c r="A538" s="5" t="s">
        <v>838</v>
      </c>
      <c r="B538" s="6" t="s">
        <v>837</v>
      </c>
      <c r="C538" s="7" t="s">
        <v>24</v>
      </c>
      <c r="D538" s="7" t="s">
        <v>25</v>
      </c>
      <c r="E538" s="8" t="s">
        <v>4459</v>
      </c>
    </row>
    <row r="539" spans="1:5" x14ac:dyDescent="0.25">
      <c r="A539" s="5" t="s">
        <v>840</v>
      </c>
      <c r="B539" s="6" t="s">
        <v>839</v>
      </c>
      <c r="C539" s="7" t="s">
        <v>24</v>
      </c>
      <c r="D539" s="7" t="s">
        <v>25</v>
      </c>
      <c r="E539" s="8" t="s">
        <v>4461</v>
      </c>
    </row>
    <row r="540" spans="1:5" x14ac:dyDescent="0.25">
      <c r="A540" s="5" t="s">
        <v>842</v>
      </c>
      <c r="B540" s="6" t="s">
        <v>841</v>
      </c>
      <c r="C540" s="7" t="s">
        <v>24</v>
      </c>
      <c r="D540" s="7" t="s">
        <v>25</v>
      </c>
      <c r="E540" s="8" t="s">
        <v>4462</v>
      </c>
    </row>
    <row r="541" spans="1:5" x14ac:dyDescent="0.25">
      <c r="A541" s="5" t="s">
        <v>844</v>
      </c>
      <c r="B541" s="6" t="s">
        <v>843</v>
      </c>
      <c r="C541" s="7" t="s">
        <v>24</v>
      </c>
      <c r="D541" s="7" t="s">
        <v>25</v>
      </c>
      <c r="E541" s="8" t="s">
        <v>4464</v>
      </c>
    </row>
    <row r="542" spans="1:5" x14ac:dyDescent="0.25">
      <c r="A542" s="5" t="s">
        <v>846</v>
      </c>
      <c r="B542" s="6" t="s">
        <v>845</v>
      </c>
      <c r="C542" s="7" t="s">
        <v>24</v>
      </c>
      <c r="D542" s="7" t="s">
        <v>64</v>
      </c>
      <c r="E542" s="8" t="s">
        <v>65</v>
      </c>
    </row>
    <row r="543" spans="1:5" x14ac:dyDescent="0.25">
      <c r="A543" s="5" t="s">
        <v>848</v>
      </c>
      <c r="B543" s="6" t="s">
        <v>847</v>
      </c>
      <c r="C543" s="7" t="s">
        <v>24</v>
      </c>
      <c r="D543" s="7" t="s">
        <v>64</v>
      </c>
      <c r="E543" s="8" t="s">
        <v>68</v>
      </c>
    </row>
    <row r="544" spans="1:5" x14ac:dyDescent="0.25">
      <c r="A544" s="5" t="s">
        <v>850</v>
      </c>
      <c r="B544" s="6" t="s">
        <v>849</v>
      </c>
      <c r="C544" s="7" t="s">
        <v>24</v>
      </c>
      <c r="D544" s="7" t="s">
        <v>64</v>
      </c>
      <c r="E544" s="8" t="s">
        <v>288</v>
      </c>
    </row>
    <row r="545" spans="1:5" x14ac:dyDescent="0.25">
      <c r="A545" s="12" t="s">
        <v>852</v>
      </c>
      <c r="B545" s="6" t="s">
        <v>851</v>
      </c>
      <c r="C545" s="13" t="s">
        <v>24</v>
      </c>
      <c r="D545" s="13" t="s">
        <v>64</v>
      </c>
      <c r="E545" s="8" t="s">
        <v>90</v>
      </c>
    </row>
    <row r="546" spans="1:5" x14ac:dyDescent="0.25">
      <c r="A546" s="5" t="s">
        <v>854</v>
      </c>
      <c r="B546" s="6" t="s">
        <v>853</v>
      </c>
      <c r="C546" s="7" t="s">
        <v>24</v>
      </c>
      <c r="D546" s="7" t="s">
        <v>25</v>
      </c>
      <c r="E546" s="8" t="s">
        <v>4457</v>
      </c>
    </row>
    <row r="547" spans="1:5" x14ac:dyDescent="0.25">
      <c r="A547" s="5" t="s">
        <v>856</v>
      </c>
      <c r="B547" s="6" t="s">
        <v>855</v>
      </c>
      <c r="C547" s="7" t="s">
        <v>24</v>
      </c>
      <c r="D547" s="7" t="s">
        <v>25</v>
      </c>
      <c r="E547" s="8" t="s">
        <v>4458</v>
      </c>
    </row>
    <row r="548" spans="1:5" x14ac:dyDescent="0.25">
      <c r="A548" s="5" t="s">
        <v>858</v>
      </c>
      <c r="B548" s="6" t="s">
        <v>857</v>
      </c>
      <c r="C548" s="7" t="s">
        <v>24</v>
      </c>
      <c r="D548" s="7" t="s">
        <v>64</v>
      </c>
      <c r="E548" s="8" t="s">
        <v>65</v>
      </c>
    </row>
    <row r="549" spans="1:5" x14ac:dyDescent="0.25">
      <c r="A549" s="5" t="s">
        <v>860</v>
      </c>
      <c r="B549" s="6" t="s">
        <v>859</v>
      </c>
      <c r="C549" s="7" t="s">
        <v>24</v>
      </c>
      <c r="D549" s="7" t="s">
        <v>64</v>
      </c>
      <c r="E549" s="8" t="s">
        <v>65</v>
      </c>
    </row>
    <row r="550" spans="1:5" x14ac:dyDescent="0.25">
      <c r="A550" s="5" t="s">
        <v>862</v>
      </c>
      <c r="B550" s="6" t="s">
        <v>861</v>
      </c>
      <c r="C550" s="7" t="s">
        <v>24</v>
      </c>
      <c r="D550" s="7" t="s">
        <v>64</v>
      </c>
      <c r="E550" s="8" t="s">
        <v>87</v>
      </c>
    </row>
    <row r="551" spans="1:5" x14ac:dyDescent="0.25">
      <c r="A551" s="5" t="s">
        <v>864</v>
      </c>
      <c r="B551" s="6" t="s">
        <v>863</v>
      </c>
      <c r="C551" s="7" t="s">
        <v>24</v>
      </c>
      <c r="D551" s="7" t="s">
        <v>64</v>
      </c>
      <c r="E551" s="8" t="s">
        <v>90</v>
      </c>
    </row>
    <row r="552" spans="1:5" x14ac:dyDescent="0.25">
      <c r="A552" s="5" t="s">
        <v>866</v>
      </c>
      <c r="B552" s="6" t="s">
        <v>865</v>
      </c>
      <c r="C552" s="7" t="s">
        <v>24</v>
      </c>
      <c r="D552" s="7" t="s">
        <v>64</v>
      </c>
      <c r="E552" s="8" t="s">
        <v>93</v>
      </c>
    </row>
    <row r="553" spans="1:5" x14ac:dyDescent="0.25">
      <c r="A553" s="5" t="s">
        <v>868</v>
      </c>
      <c r="B553" s="6" t="s">
        <v>867</v>
      </c>
      <c r="C553" s="7" t="s">
        <v>24</v>
      </c>
      <c r="D553" s="7" t="s">
        <v>64</v>
      </c>
      <c r="E553" s="8" t="s">
        <v>96</v>
      </c>
    </row>
    <row r="554" spans="1:5" x14ac:dyDescent="0.25">
      <c r="A554" s="5" t="s">
        <v>870</v>
      </c>
      <c r="B554" s="6" t="s">
        <v>869</v>
      </c>
      <c r="C554" s="7" t="s">
        <v>24</v>
      </c>
      <c r="D554" s="7" t="s">
        <v>64</v>
      </c>
      <c r="E554" s="8" t="s">
        <v>99</v>
      </c>
    </row>
    <row r="555" spans="1:5" x14ac:dyDescent="0.25">
      <c r="A555" s="5" t="s">
        <v>872</v>
      </c>
      <c r="B555" s="6" t="s">
        <v>871</v>
      </c>
      <c r="C555" s="7" t="s">
        <v>24</v>
      </c>
      <c r="D555" s="7" t="s">
        <v>64</v>
      </c>
      <c r="E555" s="8" t="s">
        <v>68</v>
      </c>
    </row>
    <row r="556" spans="1:5" x14ac:dyDescent="0.25">
      <c r="A556" s="5" t="s">
        <v>874</v>
      </c>
      <c r="B556" s="6" t="s">
        <v>873</v>
      </c>
      <c r="C556" s="7" t="s">
        <v>24</v>
      </c>
      <c r="D556" s="7" t="s">
        <v>64</v>
      </c>
      <c r="E556" s="8" t="s">
        <v>288</v>
      </c>
    </row>
    <row r="557" spans="1:5" x14ac:dyDescent="0.25">
      <c r="A557" s="5" t="s">
        <v>876</v>
      </c>
      <c r="B557" s="6" t="s">
        <v>875</v>
      </c>
      <c r="C557" s="7" t="s">
        <v>24</v>
      </c>
      <c r="D557" s="7" t="s">
        <v>64</v>
      </c>
      <c r="E557" s="8" t="s">
        <v>87</v>
      </c>
    </row>
    <row r="558" spans="1:5" x14ac:dyDescent="0.25">
      <c r="A558" s="5" t="s">
        <v>878</v>
      </c>
      <c r="B558" s="6" t="s">
        <v>877</v>
      </c>
      <c r="C558" s="7" t="s">
        <v>24</v>
      </c>
      <c r="D558" s="7" t="s">
        <v>64</v>
      </c>
      <c r="E558" s="8" t="s">
        <v>90</v>
      </c>
    </row>
    <row r="559" spans="1:5" x14ac:dyDescent="0.25">
      <c r="A559" s="5" t="s">
        <v>880</v>
      </c>
      <c r="B559" s="6" t="s">
        <v>879</v>
      </c>
      <c r="C559" s="7" t="s">
        <v>24</v>
      </c>
      <c r="D559" s="7" t="s">
        <v>64</v>
      </c>
      <c r="E559" s="8" t="s">
        <v>96</v>
      </c>
    </row>
    <row r="560" spans="1:5" x14ac:dyDescent="0.25">
      <c r="A560" s="5" t="s">
        <v>882</v>
      </c>
      <c r="B560" s="6" t="s">
        <v>881</v>
      </c>
      <c r="C560" s="7" t="s">
        <v>24</v>
      </c>
      <c r="D560" s="7" t="s">
        <v>64</v>
      </c>
      <c r="E560" s="8" t="s">
        <v>90</v>
      </c>
    </row>
    <row r="561" spans="1:5" x14ac:dyDescent="0.25">
      <c r="A561" s="5" t="s">
        <v>884</v>
      </c>
      <c r="B561" s="6" t="s">
        <v>883</v>
      </c>
      <c r="C561" s="7" t="s">
        <v>24</v>
      </c>
      <c r="D561" s="7" t="s">
        <v>25</v>
      </c>
      <c r="E561" s="8" t="s">
        <v>4458</v>
      </c>
    </row>
    <row r="562" spans="1:5" x14ac:dyDescent="0.25">
      <c r="A562" s="5" t="s">
        <v>886</v>
      </c>
      <c r="B562" s="6" t="s">
        <v>885</v>
      </c>
      <c r="C562" s="7" t="s">
        <v>24</v>
      </c>
      <c r="D562" s="7" t="s">
        <v>25</v>
      </c>
      <c r="E562" s="8" t="s">
        <v>4459</v>
      </c>
    </row>
    <row r="563" spans="1:5" x14ac:dyDescent="0.25">
      <c r="A563" s="5" t="s">
        <v>888</v>
      </c>
      <c r="B563" s="6" t="s">
        <v>887</v>
      </c>
      <c r="C563" s="7" t="s">
        <v>24</v>
      </c>
      <c r="D563" s="7" t="s">
        <v>25</v>
      </c>
      <c r="E563" s="8" t="s">
        <v>4461</v>
      </c>
    </row>
    <row r="564" spans="1:5" x14ac:dyDescent="0.25">
      <c r="A564" s="5" t="s">
        <v>890</v>
      </c>
      <c r="B564" s="6" t="s">
        <v>889</v>
      </c>
      <c r="C564" s="7" t="s">
        <v>24</v>
      </c>
      <c r="D564" s="7" t="s">
        <v>25</v>
      </c>
      <c r="E564" s="8" t="s">
        <v>4462</v>
      </c>
    </row>
    <row r="565" spans="1:5" x14ac:dyDescent="0.25">
      <c r="A565" s="5" t="s">
        <v>892</v>
      </c>
      <c r="B565" s="6" t="s">
        <v>891</v>
      </c>
      <c r="C565" s="7" t="s">
        <v>24</v>
      </c>
      <c r="D565" s="7" t="s">
        <v>25</v>
      </c>
      <c r="E565" s="8" t="s">
        <v>4463</v>
      </c>
    </row>
    <row r="566" spans="1:5" x14ac:dyDescent="0.25">
      <c r="A566" s="5" t="s">
        <v>894</v>
      </c>
      <c r="B566" s="6" t="s">
        <v>893</v>
      </c>
      <c r="C566" s="7" t="s">
        <v>24</v>
      </c>
      <c r="D566" s="7" t="s">
        <v>321</v>
      </c>
      <c r="E566" s="8" t="s">
        <v>4455</v>
      </c>
    </row>
    <row r="567" spans="1:5" x14ac:dyDescent="0.25">
      <c r="A567" s="5" t="s">
        <v>894</v>
      </c>
      <c r="B567" s="6" t="s">
        <v>4127</v>
      </c>
      <c r="C567" s="7" t="s">
        <v>24</v>
      </c>
      <c r="D567" s="7" t="s">
        <v>4456</v>
      </c>
      <c r="E567" s="8" t="s">
        <v>4454</v>
      </c>
    </row>
    <row r="568" spans="1:5" x14ac:dyDescent="0.25">
      <c r="A568" s="5" t="s">
        <v>3357</v>
      </c>
      <c r="B568" s="6" t="s">
        <v>4128</v>
      </c>
      <c r="C568" s="7" t="s">
        <v>24</v>
      </c>
      <c r="D568" s="7" t="s">
        <v>4456</v>
      </c>
      <c r="E568" s="8" t="s">
        <v>4454</v>
      </c>
    </row>
    <row r="569" spans="1:5" x14ac:dyDescent="0.25">
      <c r="A569" s="5" t="s">
        <v>3344</v>
      </c>
      <c r="B569" s="6" t="s">
        <v>4114</v>
      </c>
      <c r="C569" s="7" t="s">
        <v>24</v>
      </c>
      <c r="D569" s="7" t="s">
        <v>4456</v>
      </c>
      <c r="E569" s="8" t="s">
        <v>4454</v>
      </c>
    </row>
    <row r="570" spans="1:5" x14ac:dyDescent="0.25">
      <c r="A570" s="5" t="s">
        <v>896</v>
      </c>
      <c r="B570" s="6" t="s">
        <v>895</v>
      </c>
      <c r="C570" s="7" t="s">
        <v>24</v>
      </c>
      <c r="D570" s="7" t="s">
        <v>64</v>
      </c>
      <c r="E570" s="8" t="s">
        <v>68</v>
      </c>
    </row>
    <row r="571" spans="1:5" x14ac:dyDescent="0.25">
      <c r="A571" s="5" t="s">
        <v>3557</v>
      </c>
      <c r="B571" s="6" t="s">
        <v>4331</v>
      </c>
      <c r="C571" s="7" t="s">
        <v>24</v>
      </c>
      <c r="D571" s="7" t="s">
        <v>4456</v>
      </c>
      <c r="E571" s="8" t="s">
        <v>4454</v>
      </c>
    </row>
    <row r="572" spans="1:5" x14ac:dyDescent="0.25">
      <c r="A572" s="5" t="s">
        <v>3358</v>
      </c>
      <c r="B572" s="6" t="s">
        <v>4129</v>
      </c>
      <c r="C572" s="7" t="s">
        <v>24</v>
      </c>
      <c r="D572" s="7" t="s">
        <v>4456</v>
      </c>
      <c r="E572" s="8" t="s">
        <v>4454</v>
      </c>
    </row>
    <row r="573" spans="1:5" x14ac:dyDescent="0.25">
      <c r="A573" s="5" t="s">
        <v>3271</v>
      </c>
      <c r="B573" s="6" t="s">
        <v>4042</v>
      </c>
      <c r="C573" s="7" t="s">
        <v>24</v>
      </c>
      <c r="D573" s="7" t="s">
        <v>4456</v>
      </c>
      <c r="E573" s="8" t="s">
        <v>4454</v>
      </c>
    </row>
    <row r="574" spans="1:5" x14ac:dyDescent="0.25">
      <c r="A574" s="5" t="s">
        <v>898</v>
      </c>
      <c r="B574" s="6" t="s">
        <v>897</v>
      </c>
      <c r="C574" s="7" t="s">
        <v>24</v>
      </c>
      <c r="D574" s="7" t="s">
        <v>25</v>
      </c>
      <c r="E574" s="8" t="s">
        <v>4460</v>
      </c>
    </row>
    <row r="575" spans="1:5" x14ac:dyDescent="0.25">
      <c r="A575" s="12" t="s">
        <v>900</v>
      </c>
      <c r="B575" s="6" t="s">
        <v>899</v>
      </c>
      <c r="C575" s="13" t="s">
        <v>24</v>
      </c>
      <c r="D575" s="13" t="s">
        <v>25</v>
      </c>
      <c r="E575" s="8" t="s">
        <v>4459</v>
      </c>
    </row>
    <row r="576" spans="1:5" x14ac:dyDescent="0.25">
      <c r="A576" s="12" t="s">
        <v>902</v>
      </c>
      <c r="B576" s="6" t="s">
        <v>901</v>
      </c>
      <c r="C576" s="13" t="s">
        <v>24</v>
      </c>
      <c r="D576" s="13" t="s">
        <v>64</v>
      </c>
      <c r="E576" s="8" t="s">
        <v>288</v>
      </c>
    </row>
    <row r="577" spans="1:5" x14ac:dyDescent="0.25">
      <c r="A577" s="5" t="s">
        <v>3252</v>
      </c>
      <c r="B577" s="6" t="s">
        <v>4023</v>
      </c>
      <c r="C577" s="7" t="s">
        <v>24</v>
      </c>
      <c r="D577" s="7" t="s">
        <v>4456</v>
      </c>
      <c r="E577" s="8" t="s">
        <v>4454</v>
      </c>
    </row>
    <row r="578" spans="1:5" x14ac:dyDescent="0.25">
      <c r="A578" s="12" t="s">
        <v>3258</v>
      </c>
      <c r="B578" s="6" t="s">
        <v>4029</v>
      </c>
      <c r="C578" s="13" t="s">
        <v>24</v>
      </c>
      <c r="D578" s="13" t="s">
        <v>4456</v>
      </c>
      <c r="E578" s="8" t="s">
        <v>4454</v>
      </c>
    </row>
    <row r="579" spans="1:5" x14ac:dyDescent="0.25">
      <c r="A579" s="12" t="s">
        <v>3647</v>
      </c>
      <c r="B579" s="6" t="s">
        <v>4424</v>
      </c>
      <c r="C579" s="13" t="s">
        <v>24</v>
      </c>
      <c r="D579" s="13" t="s">
        <v>4474</v>
      </c>
      <c r="E579" s="8" t="s">
        <v>4455</v>
      </c>
    </row>
    <row r="580" spans="1:5" x14ac:dyDescent="0.25">
      <c r="A580" s="12" t="s">
        <v>3147</v>
      </c>
      <c r="B580" s="6" t="s">
        <v>3918</v>
      </c>
      <c r="C580" s="13" t="s">
        <v>24</v>
      </c>
      <c r="D580" s="13" t="s">
        <v>4456</v>
      </c>
      <c r="E580" s="8" t="s">
        <v>4454</v>
      </c>
    </row>
    <row r="581" spans="1:5" x14ac:dyDescent="0.25">
      <c r="A581" s="12" t="s">
        <v>3153</v>
      </c>
      <c r="B581" s="6" t="s">
        <v>3924</v>
      </c>
      <c r="C581" s="13" t="s">
        <v>24</v>
      </c>
      <c r="D581" s="13" t="s">
        <v>4456</v>
      </c>
      <c r="E581" s="8" t="s">
        <v>4454</v>
      </c>
    </row>
    <row r="582" spans="1:5" x14ac:dyDescent="0.25">
      <c r="A582" s="12" t="s">
        <v>3148</v>
      </c>
      <c r="B582" s="6" t="s">
        <v>3919</v>
      </c>
      <c r="C582" s="13" t="s">
        <v>24</v>
      </c>
      <c r="D582" s="13" t="s">
        <v>4456</v>
      </c>
      <c r="E582" s="8" t="s">
        <v>4454</v>
      </c>
    </row>
    <row r="583" spans="1:5" x14ac:dyDescent="0.25">
      <c r="A583" s="12" t="s">
        <v>3154</v>
      </c>
      <c r="B583" s="6" t="s">
        <v>3925</v>
      </c>
      <c r="C583" s="13" t="s">
        <v>24</v>
      </c>
      <c r="D583" s="13" t="s">
        <v>4456</v>
      </c>
      <c r="E583" s="8" t="s">
        <v>4454</v>
      </c>
    </row>
    <row r="584" spans="1:5" x14ac:dyDescent="0.25">
      <c r="A584" s="12" t="s">
        <v>3149</v>
      </c>
      <c r="B584" s="6" t="s">
        <v>3920</v>
      </c>
      <c r="C584" s="13" t="s">
        <v>24</v>
      </c>
      <c r="D584" s="13" t="s">
        <v>4456</v>
      </c>
      <c r="E584" s="8" t="s">
        <v>4454</v>
      </c>
    </row>
    <row r="585" spans="1:5" x14ac:dyDescent="0.25">
      <c r="A585" s="12" t="s">
        <v>3155</v>
      </c>
      <c r="B585" s="6" t="s">
        <v>3926</v>
      </c>
      <c r="C585" s="13" t="s">
        <v>24</v>
      </c>
      <c r="D585" s="13" t="s">
        <v>4456</v>
      </c>
      <c r="E585" s="8" t="s">
        <v>4454</v>
      </c>
    </row>
    <row r="586" spans="1:5" x14ac:dyDescent="0.25">
      <c r="A586" s="12" t="s">
        <v>3150</v>
      </c>
      <c r="B586" s="6" t="s">
        <v>3921</v>
      </c>
      <c r="C586" s="13" t="s">
        <v>24</v>
      </c>
      <c r="D586" s="13" t="s">
        <v>4456</v>
      </c>
      <c r="E586" s="8" t="s">
        <v>4454</v>
      </c>
    </row>
    <row r="587" spans="1:5" x14ac:dyDescent="0.25">
      <c r="A587" s="12" t="s">
        <v>3156</v>
      </c>
      <c r="B587" s="6" t="s">
        <v>3927</v>
      </c>
      <c r="C587" s="13" t="s">
        <v>24</v>
      </c>
      <c r="D587" s="13" t="s">
        <v>4456</v>
      </c>
      <c r="E587" s="8" t="s">
        <v>4454</v>
      </c>
    </row>
    <row r="588" spans="1:5" x14ac:dyDescent="0.25">
      <c r="A588" s="12" t="s">
        <v>4537</v>
      </c>
      <c r="B588" s="6" t="s">
        <v>4538</v>
      </c>
      <c r="C588" s="13" t="s">
        <v>24</v>
      </c>
      <c r="D588" s="13" t="s">
        <v>64</v>
      </c>
      <c r="E588" s="8" t="s">
        <v>65</v>
      </c>
    </row>
    <row r="589" spans="1:5" x14ac:dyDescent="0.25">
      <c r="A589" s="12" t="s">
        <v>3151</v>
      </c>
      <c r="B589" s="6" t="s">
        <v>3922</v>
      </c>
      <c r="C589" s="13" t="s">
        <v>24</v>
      </c>
      <c r="D589" s="13" t="s">
        <v>4456</v>
      </c>
      <c r="E589" s="8" t="s">
        <v>4454</v>
      </c>
    </row>
    <row r="590" spans="1:5" x14ac:dyDescent="0.25">
      <c r="A590" s="5" t="s">
        <v>3157</v>
      </c>
      <c r="B590" s="6" t="s">
        <v>3928</v>
      </c>
      <c r="C590" s="7" t="s">
        <v>24</v>
      </c>
      <c r="D590" s="7" t="s">
        <v>4456</v>
      </c>
      <c r="E590" s="8" t="s">
        <v>4454</v>
      </c>
    </row>
    <row r="591" spans="1:5" x14ac:dyDescent="0.25">
      <c r="A591" s="5" t="s">
        <v>3152</v>
      </c>
      <c r="B591" s="6" t="s">
        <v>3923</v>
      </c>
      <c r="C591" s="7" t="s">
        <v>24</v>
      </c>
      <c r="D591" s="7" t="s">
        <v>4456</v>
      </c>
      <c r="E591" s="8" t="s">
        <v>4454</v>
      </c>
    </row>
    <row r="592" spans="1:5" x14ac:dyDescent="0.25">
      <c r="A592" s="5" t="s">
        <v>3158</v>
      </c>
      <c r="B592" s="6" t="s">
        <v>3929</v>
      </c>
      <c r="C592" s="7" t="s">
        <v>24</v>
      </c>
      <c r="D592" s="7" t="s">
        <v>4456</v>
      </c>
      <c r="E592" s="8" t="s">
        <v>4454</v>
      </c>
    </row>
    <row r="593" spans="1:5" x14ac:dyDescent="0.25">
      <c r="A593" s="5" t="s">
        <v>3359</v>
      </c>
      <c r="B593" s="6" t="s">
        <v>4130</v>
      </c>
      <c r="C593" s="7" t="s">
        <v>24</v>
      </c>
      <c r="D593" s="7" t="s">
        <v>4456</v>
      </c>
      <c r="E593" s="8" t="s">
        <v>4454</v>
      </c>
    </row>
    <row r="594" spans="1:5" x14ac:dyDescent="0.25">
      <c r="A594" s="5" t="s">
        <v>3360</v>
      </c>
      <c r="B594" s="6" t="s">
        <v>4131</v>
      </c>
      <c r="C594" s="7" t="s">
        <v>24</v>
      </c>
      <c r="D594" s="7" t="s">
        <v>4456</v>
      </c>
      <c r="E594" s="8" t="s">
        <v>4454</v>
      </c>
    </row>
    <row r="595" spans="1:5" x14ac:dyDescent="0.25">
      <c r="A595" s="5" t="s">
        <v>3588</v>
      </c>
      <c r="B595" s="6" t="s">
        <v>903</v>
      </c>
      <c r="C595" s="7" t="s">
        <v>24</v>
      </c>
      <c r="D595" s="7" t="s">
        <v>25</v>
      </c>
      <c r="E595" s="8" t="s">
        <v>4457</v>
      </c>
    </row>
    <row r="596" spans="1:5" x14ac:dyDescent="0.25">
      <c r="A596" s="5" t="s">
        <v>3588</v>
      </c>
      <c r="B596" s="6" t="s">
        <v>904</v>
      </c>
      <c r="C596" s="7" t="s">
        <v>24</v>
      </c>
      <c r="D596" s="7" t="s">
        <v>25</v>
      </c>
      <c r="E596" s="8" t="s">
        <v>4457</v>
      </c>
    </row>
    <row r="597" spans="1:5" x14ac:dyDescent="0.25">
      <c r="A597" s="5" t="s">
        <v>3589</v>
      </c>
      <c r="B597" s="6" t="s">
        <v>4364</v>
      </c>
      <c r="C597" s="7" t="s">
        <v>24</v>
      </c>
      <c r="D597" s="7" t="s">
        <v>25</v>
      </c>
      <c r="E597" s="8" t="s">
        <v>4458</v>
      </c>
    </row>
    <row r="598" spans="1:5" x14ac:dyDescent="0.25">
      <c r="A598" s="5" t="s">
        <v>3590</v>
      </c>
      <c r="B598" s="6" t="s">
        <v>4365</v>
      </c>
      <c r="C598" s="7" t="s">
        <v>24</v>
      </c>
      <c r="D598" s="7" t="s">
        <v>25</v>
      </c>
      <c r="E598" s="8" t="s">
        <v>4459</v>
      </c>
    </row>
    <row r="599" spans="1:5" x14ac:dyDescent="0.25">
      <c r="A599" s="5" t="s">
        <v>3591</v>
      </c>
      <c r="B599" s="6" t="s">
        <v>4366</v>
      </c>
      <c r="C599" s="7" t="s">
        <v>24</v>
      </c>
      <c r="D599" s="7" t="s">
        <v>25</v>
      </c>
      <c r="E599" s="8" t="s">
        <v>4461</v>
      </c>
    </row>
    <row r="600" spans="1:5" x14ac:dyDescent="0.25">
      <c r="A600" s="5" t="s">
        <v>3615</v>
      </c>
      <c r="B600" s="6" t="s">
        <v>4392</v>
      </c>
      <c r="C600" s="7" t="s">
        <v>24</v>
      </c>
      <c r="D600" s="7" t="s">
        <v>4474</v>
      </c>
      <c r="E600" s="8" t="s">
        <v>87</v>
      </c>
    </row>
    <row r="601" spans="1:5" x14ac:dyDescent="0.25">
      <c r="A601" s="5" t="s">
        <v>906</v>
      </c>
      <c r="B601" s="6" t="s">
        <v>905</v>
      </c>
      <c r="C601" s="7" t="s">
        <v>24</v>
      </c>
      <c r="D601" s="7" t="s">
        <v>562</v>
      </c>
      <c r="E601" s="8" t="s">
        <v>68</v>
      </c>
    </row>
    <row r="602" spans="1:5" x14ac:dyDescent="0.25">
      <c r="A602" s="5" t="s">
        <v>2949</v>
      </c>
      <c r="B602" s="6" t="s">
        <v>3712</v>
      </c>
      <c r="C602" s="7" t="s">
        <v>24</v>
      </c>
      <c r="D602" s="7" t="s">
        <v>4456</v>
      </c>
      <c r="E602" s="8" t="s">
        <v>4454</v>
      </c>
    </row>
    <row r="603" spans="1:5" x14ac:dyDescent="0.25">
      <c r="A603" s="5" t="s">
        <v>3019</v>
      </c>
      <c r="B603" s="6" t="s">
        <v>3788</v>
      </c>
      <c r="C603" s="7" t="s">
        <v>24</v>
      </c>
      <c r="D603" s="7" t="s">
        <v>4456</v>
      </c>
      <c r="E603" s="8" t="s">
        <v>4454</v>
      </c>
    </row>
    <row r="604" spans="1:5" x14ac:dyDescent="0.25">
      <c r="A604" s="12" t="s">
        <v>3018</v>
      </c>
      <c r="B604" s="6" t="s">
        <v>3787</v>
      </c>
      <c r="C604" s="13" t="s">
        <v>24</v>
      </c>
      <c r="D604" s="13" t="s">
        <v>4456</v>
      </c>
      <c r="E604" s="8" t="s">
        <v>4454</v>
      </c>
    </row>
    <row r="605" spans="1:5" x14ac:dyDescent="0.25">
      <c r="A605" s="5" t="s">
        <v>3575</v>
      </c>
      <c r="B605" s="6" t="s">
        <v>4351</v>
      </c>
      <c r="C605" s="7" t="s">
        <v>24</v>
      </c>
      <c r="D605" s="7" t="s">
        <v>4456</v>
      </c>
      <c r="E605" s="8" t="s">
        <v>4454</v>
      </c>
    </row>
    <row r="606" spans="1:5" x14ac:dyDescent="0.25">
      <c r="A606" s="5" t="s">
        <v>3574</v>
      </c>
      <c r="B606" s="6" t="s">
        <v>4350</v>
      </c>
      <c r="C606" s="7" t="s">
        <v>24</v>
      </c>
      <c r="D606" s="7" t="s">
        <v>4456</v>
      </c>
      <c r="E606" s="8" t="s">
        <v>4454</v>
      </c>
    </row>
    <row r="607" spans="1:5" x14ac:dyDescent="0.25">
      <c r="A607" s="5" t="s">
        <v>3540</v>
      </c>
      <c r="B607" s="6" t="s">
        <v>4314</v>
      </c>
      <c r="C607" s="7" t="s">
        <v>24</v>
      </c>
      <c r="D607" s="7" t="s">
        <v>4456</v>
      </c>
      <c r="E607" s="8" t="s">
        <v>4454</v>
      </c>
    </row>
    <row r="608" spans="1:5" x14ac:dyDescent="0.25">
      <c r="A608" s="5" t="s">
        <v>2940</v>
      </c>
      <c r="B608" s="6" t="s">
        <v>3703</v>
      </c>
      <c r="C608" s="7" t="s">
        <v>24</v>
      </c>
      <c r="D608" s="7" t="s">
        <v>4456</v>
      </c>
      <c r="E608" s="8" t="s">
        <v>4454</v>
      </c>
    </row>
    <row r="609" spans="1:5" x14ac:dyDescent="0.25">
      <c r="A609" s="5" t="s">
        <v>3017</v>
      </c>
      <c r="B609" s="6" t="s">
        <v>3786</v>
      </c>
      <c r="C609" s="7" t="s">
        <v>24</v>
      </c>
      <c r="D609" s="7" t="s">
        <v>4456</v>
      </c>
      <c r="E609" s="8" t="s">
        <v>4454</v>
      </c>
    </row>
    <row r="610" spans="1:5" x14ac:dyDescent="0.25">
      <c r="A610" s="5" t="s">
        <v>3517</v>
      </c>
      <c r="B610" s="6" t="s">
        <v>4291</v>
      </c>
      <c r="C610" s="7" t="s">
        <v>24</v>
      </c>
      <c r="D610" s="7" t="s">
        <v>4456</v>
      </c>
      <c r="E610" s="8" t="s">
        <v>4454</v>
      </c>
    </row>
    <row r="611" spans="1:5" x14ac:dyDescent="0.25">
      <c r="A611" s="5" t="s">
        <v>3014</v>
      </c>
      <c r="B611" s="6" t="s">
        <v>3783</v>
      </c>
      <c r="C611" s="7" t="s">
        <v>24</v>
      </c>
      <c r="D611" s="7" t="s">
        <v>4456</v>
      </c>
      <c r="E611" s="8" t="s">
        <v>4454</v>
      </c>
    </row>
    <row r="612" spans="1:5" x14ac:dyDescent="0.25">
      <c r="A612" s="5" t="s">
        <v>3015</v>
      </c>
      <c r="B612" s="6" t="s">
        <v>3784</v>
      </c>
      <c r="C612" s="7" t="s">
        <v>24</v>
      </c>
      <c r="D612" s="7" t="s">
        <v>4456</v>
      </c>
      <c r="E612" s="8" t="s">
        <v>4454</v>
      </c>
    </row>
    <row r="613" spans="1:5" x14ac:dyDescent="0.25">
      <c r="A613" s="5" t="s">
        <v>3006</v>
      </c>
      <c r="B613" s="6" t="s">
        <v>3769</v>
      </c>
      <c r="C613" s="7" t="s">
        <v>24</v>
      </c>
      <c r="D613" s="7" t="s">
        <v>4456</v>
      </c>
      <c r="E613" s="8" t="s">
        <v>4454</v>
      </c>
    </row>
    <row r="614" spans="1:5" x14ac:dyDescent="0.25">
      <c r="A614" s="5" t="s">
        <v>3534</v>
      </c>
      <c r="B614" s="6" t="s">
        <v>4308</v>
      </c>
      <c r="C614" s="7" t="s">
        <v>24</v>
      </c>
      <c r="D614" s="7" t="s">
        <v>4456</v>
      </c>
      <c r="E614" s="8" t="s">
        <v>4454</v>
      </c>
    </row>
    <row r="615" spans="1:5" x14ac:dyDescent="0.25">
      <c r="A615" s="5" t="s">
        <v>3529</v>
      </c>
      <c r="B615" s="6" t="s">
        <v>4303</v>
      </c>
      <c r="C615" s="7" t="s">
        <v>24</v>
      </c>
      <c r="D615" s="7" t="s">
        <v>4456</v>
      </c>
      <c r="E615" s="8" t="s">
        <v>4454</v>
      </c>
    </row>
    <row r="616" spans="1:5" x14ac:dyDescent="0.25">
      <c r="A616" s="5" t="s">
        <v>3522</v>
      </c>
      <c r="B616" s="6" t="s">
        <v>4296</v>
      </c>
      <c r="C616" s="7" t="s">
        <v>24</v>
      </c>
      <c r="D616" s="7" t="s">
        <v>4456</v>
      </c>
      <c r="E616" s="8" t="s">
        <v>4454</v>
      </c>
    </row>
    <row r="617" spans="1:5" x14ac:dyDescent="0.25">
      <c r="A617" s="5" t="s">
        <v>3578</v>
      </c>
      <c r="B617" s="6" t="s">
        <v>4354</v>
      </c>
      <c r="C617" s="7" t="s">
        <v>24</v>
      </c>
      <c r="D617" s="7" t="s">
        <v>4456</v>
      </c>
      <c r="E617" s="8" t="s">
        <v>4454</v>
      </c>
    </row>
    <row r="618" spans="1:5" x14ac:dyDescent="0.25">
      <c r="A618" s="5" t="s">
        <v>2953</v>
      </c>
      <c r="B618" s="6" t="s">
        <v>3716</v>
      </c>
      <c r="C618" s="7" t="s">
        <v>24</v>
      </c>
      <c r="D618" s="7" t="s">
        <v>4456</v>
      </c>
      <c r="E618" s="8" t="s">
        <v>4454</v>
      </c>
    </row>
    <row r="619" spans="1:5" x14ac:dyDescent="0.25">
      <c r="A619" s="5" t="s">
        <v>3551</v>
      </c>
      <c r="B619" s="6" t="s">
        <v>4325</v>
      </c>
      <c r="C619" s="7" t="s">
        <v>24</v>
      </c>
      <c r="D619" s="7" t="s">
        <v>4456</v>
      </c>
      <c r="E619" s="8" t="s">
        <v>4454</v>
      </c>
    </row>
    <row r="620" spans="1:5" x14ac:dyDescent="0.25">
      <c r="A620" s="12" t="s">
        <v>3548</v>
      </c>
      <c r="B620" s="6" t="s">
        <v>4322</v>
      </c>
      <c r="C620" s="13" t="s">
        <v>24</v>
      </c>
      <c r="D620" s="13" t="s">
        <v>4456</v>
      </c>
      <c r="E620" s="8" t="s">
        <v>4454</v>
      </c>
    </row>
    <row r="621" spans="1:5" x14ac:dyDescent="0.25">
      <c r="A621" s="5" t="s">
        <v>3536</v>
      </c>
      <c r="B621" s="6" t="s">
        <v>4310</v>
      </c>
      <c r="C621" s="7" t="s">
        <v>24</v>
      </c>
      <c r="D621" s="7" t="s">
        <v>4456</v>
      </c>
      <c r="E621" s="8" t="s">
        <v>4454</v>
      </c>
    </row>
    <row r="622" spans="1:5" x14ac:dyDescent="0.25">
      <c r="A622" s="5" t="s">
        <v>3550</v>
      </c>
      <c r="B622" s="6" t="s">
        <v>4324</v>
      </c>
      <c r="C622" s="7" t="s">
        <v>24</v>
      </c>
      <c r="D622" s="7" t="s">
        <v>4456</v>
      </c>
      <c r="E622" s="8" t="s">
        <v>4454</v>
      </c>
    </row>
    <row r="623" spans="1:5" x14ac:dyDescent="0.25">
      <c r="A623" s="12" t="s">
        <v>3525</v>
      </c>
      <c r="B623" s="6" t="s">
        <v>4299</v>
      </c>
      <c r="C623" s="13" t="s">
        <v>24</v>
      </c>
      <c r="D623" s="13" t="s">
        <v>4456</v>
      </c>
      <c r="E623" s="8" t="s">
        <v>4454</v>
      </c>
    </row>
    <row r="624" spans="1:5" x14ac:dyDescent="0.25">
      <c r="A624" s="5" t="s">
        <v>3520</v>
      </c>
      <c r="B624" s="6" t="s">
        <v>4294</v>
      </c>
      <c r="C624" s="7" t="s">
        <v>24</v>
      </c>
      <c r="D624" s="7" t="s">
        <v>4456</v>
      </c>
      <c r="E624" s="8" t="s">
        <v>4454</v>
      </c>
    </row>
    <row r="625" spans="1:5" x14ac:dyDescent="0.25">
      <c r="A625" s="5" t="s">
        <v>3524</v>
      </c>
      <c r="B625" s="6" t="s">
        <v>4298</v>
      </c>
      <c r="C625" s="7" t="s">
        <v>24</v>
      </c>
      <c r="D625" s="7" t="s">
        <v>4456</v>
      </c>
      <c r="E625" s="8" t="s">
        <v>4454</v>
      </c>
    </row>
    <row r="626" spans="1:5" x14ac:dyDescent="0.25">
      <c r="A626" s="12" t="s">
        <v>3539</v>
      </c>
      <c r="B626" s="6" t="s">
        <v>4313</v>
      </c>
      <c r="C626" s="13" t="s">
        <v>24</v>
      </c>
      <c r="D626" s="13" t="s">
        <v>4456</v>
      </c>
      <c r="E626" s="8" t="s">
        <v>4454</v>
      </c>
    </row>
    <row r="627" spans="1:5" x14ac:dyDescent="0.25">
      <c r="A627" s="5" t="s">
        <v>2952</v>
      </c>
      <c r="B627" s="6" t="s">
        <v>3715</v>
      </c>
      <c r="C627" s="7" t="s">
        <v>24</v>
      </c>
      <c r="D627" s="7" t="s">
        <v>4456</v>
      </c>
      <c r="E627" s="8" t="s">
        <v>4454</v>
      </c>
    </row>
    <row r="628" spans="1:5" x14ac:dyDescent="0.25">
      <c r="A628" s="5" t="s">
        <v>3523</v>
      </c>
      <c r="B628" s="6" t="s">
        <v>4297</v>
      </c>
      <c r="C628" s="7" t="s">
        <v>24</v>
      </c>
      <c r="D628" s="7" t="s">
        <v>4456</v>
      </c>
      <c r="E628" s="8" t="s">
        <v>4454</v>
      </c>
    </row>
    <row r="629" spans="1:5" x14ac:dyDescent="0.25">
      <c r="A629" s="5" t="s">
        <v>3234</v>
      </c>
      <c r="B629" s="6" t="s">
        <v>4005</v>
      </c>
      <c r="C629" s="7" t="s">
        <v>24</v>
      </c>
      <c r="D629" s="7" t="s">
        <v>4456</v>
      </c>
      <c r="E629" s="8" t="s">
        <v>4454</v>
      </c>
    </row>
    <row r="630" spans="1:5" x14ac:dyDescent="0.25">
      <c r="A630" s="5" t="s">
        <v>3217</v>
      </c>
      <c r="B630" s="6" t="s">
        <v>3988</v>
      </c>
      <c r="C630" s="7" t="s">
        <v>24</v>
      </c>
      <c r="D630" s="7" t="s">
        <v>4456</v>
      </c>
      <c r="E630" s="8" t="s">
        <v>4454</v>
      </c>
    </row>
    <row r="631" spans="1:5" x14ac:dyDescent="0.25">
      <c r="A631" s="5" t="s">
        <v>3224</v>
      </c>
      <c r="B631" s="6" t="s">
        <v>3995</v>
      </c>
      <c r="C631" s="7" t="s">
        <v>24</v>
      </c>
      <c r="D631" s="7" t="s">
        <v>4456</v>
      </c>
      <c r="E631" s="8" t="s">
        <v>4454</v>
      </c>
    </row>
    <row r="632" spans="1:5" x14ac:dyDescent="0.25">
      <c r="A632" s="5" t="s">
        <v>3225</v>
      </c>
      <c r="B632" s="6" t="s">
        <v>3996</v>
      </c>
      <c r="C632" s="7" t="s">
        <v>24</v>
      </c>
      <c r="D632" s="7" t="s">
        <v>4456</v>
      </c>
      <c r="E632" s="8" t="s">
        <v>4454</v>
      </c>
    </row>
    <row r="633" spans="1:5" x14ac:dyDescent="0.25">
      <c r="A633" s="12" t="s">
        <v>3226</v>
      </c>
      <c r="B633" s="6" t="s">
        <v>3997</v>
      </c>
      <c r="C633" s="13" t="s">
        <v>24</v>
      </c>
      <c r="D633" s="13" t="s">
        <v>4456</v>
      </c>
      <c r="E633" s="8" t="s">
        <v>4454</v>
      </c>
    </row>
    <row r="634" spans="1:5" x14ac:dyDescent="0.25">
      <c r="A634" s="5" t="s">
        <v>3227</v>
      </c>
      <c r="B634" s="6" t="s">
        <v>3998</v>
      </c>
      <c r="C634" s="7" t="s">
        <v>24</v>
      </c>
      <c r="D634" s="7" t="s">
        <v>4456</v>
      </c>
      <c r="E634" s="8" t="s">
        <v>4454</v>
      </c>
    </row>
    <row r="635" spans="1:5" x14ac:dyDescent="0.25">
      <c r="A635" s="12" t="s">
        <v>3228</v>
      </c>
      <c r="B635" s="6" t="s">
        <v>3999</v>
      </c>
      <c r="C635" s="13" t="s">
        <v>24</v>
      </c>
      <c r="D635" s="13" t="s">
        <v>4456</v>
      </c>
      <c r="E635" s="8" t="s">
        <v>4454</v>
      </c>
    </row>
    <row r="636" spans="1:5" x14ac:dyDescent="0.25">
      <c r="A636" s="12" t="s">
        <v>3229</v>
      </c>
      <c r="B636" s="6" t="s">
        <v>4000</v>
      </c>
      <c r="C636" s="13" t="s">
        <v>24</v>
      </c>
      <c r="D636" s="13" t="s">
        <v>4456</v>
      </c>
      <c r="E636" s="8" t="s">
        <v>4454</v>
      </c>
    </row>
    <row r="637" spans="1:5" x14ac:dyDescent="0.25">
      <c r="A637" s="5" t="s">
        <v>3212</v>
      </c>
      <c r="B637" s="6" t="s">
        <v>3983</v>
      </c>
      <c r="C637" s="7" t="s">
        <v>24</v>
      </c>
      <c r="D637" s="7" t="s">
        <v>4456</v>
      </c>
      <c r="E637" s="8" t="s">
        <v>4454</v>
      </c>
    </row>
    <row r="638" spans="1:5" x14ac:dyDescent="0.25">
      <c r="A638" s="5" t="s">
        <v>3213</v>
      </c>
      <c r="B638" s="6" t="s">
        <v>3984</v>
      </c>
      <c r="C638" s="7" t="s">
        <v>24</v>
      </c>
      <c r="D638" s="7" t="s">
        <v>4456</v>
      </c>
      <c r="E638" s="8" t="s">
        <v>4454</v>
      </c>
    </row>
    <row r="639" spans="1:5" x14ac:dyDescent="0.25">
      <c r="A639" s="5" t="s">
        <v>3214</v>
      </c>
      <c r="B639" s="6" t="s">
        <v>3985</v>
      </c>
      <c r="C639" s="7" t="s">
        <v>24</v>
      </c>
      <c r="D639" s="7" t="s">
        <v>4456</v>
      </c>
      <c r="E639" s="8" t="s">
        <v>4454</v>
      </c>
    </row>
    <row r="640" spans="1:5" x14ac:dyDescent="0.25">
      <c r="A640" s="5" t="s">
        <v>3215</v>
      </c>
      <c r="B640" s="6" t="s">
        <v>3986</v>
      </c>
      <c r="C640" s="7" t="s">
        <v>24</v>
      </c>
      <c r="D640" s="7" t="s">
        <v>4456</v>
      </c>
      <c r="E640" s="8" t="s">
        <v>4454</v>
      </c>
    </row>
    <row r="641" spans="1:5" x14ac:dyDescent="0.25">
      <c r="A641" s="5" t="s">
        <v>3216</v>
      </c>
      <c r="B641" s="6" t="s">
        <v>3987</v>
      </c>
      <c r="C641" s="7" t="s">
        <v>24</v>
      </c>
      <c r="D641" s="7" t="s">
        <v>4456</v>
      </c>
      <c r="E641" s="8" t="s">
        <v>4454</v>
      </c>
    </row>
    <row r="642" spans="1:5" x14ac:dyDescent="0.25">
      <c r="A642" s="5" t="s">
        <v>2997</v>
      </c>
      <c r="B642" s="6" t="s">
        <v>3760</v>
      </c>
      <c r="C642" s="7" t="s">
        <v>24</v>
      </c>
      <c r="D642" s="7" t="s">
        <v>4456</v>
      </c>
      <c r="E642" s="8" t="s">
        <v>4454</v>
      </c>
    </row>
    <row r="643" spans="1:5" x14ac:dyDescent="0.25">
      <c r="A643" s="12" t="s">
        <v>2969</v>
      </c>
      <c r="B643" s="6" t="s">
        <v>3732</v>
      </c>
      <c r="C643" s="13" t="s">
        <v>24</v>
      </c>
      <c r="D643" s="13" t="s">
        <v>4456</v>
      </c>
      <c r="E643" s="8" t="s">
        <v>4454</v>
      </c>
    </row>
    <row r="644" spans="1:5" x14ac:dyDescent="0.25">
      <c r="A644" s="5" t="s">
        <v>3218</v>
      </c>
      <c r="B644" s="6" t="s">
        <v>3989</v>
      </c>
      <c r="C644" s="7" t="s">
        <v>24</v>
      </c>
      <c r="D644" s="7" t="s">
        <v>4456</v>
      </c>
      <c r="E644" s="8" t="s">
        <v>4454</v>
      </c>
    </row>
    <row r="645" spans="1:5" x14ac:dyDescent="0.25">
      <c r="A645" s="5" t="s">
        <v>3219</v>
      </c>
      <c r="B645" s="6" t="s">
        <v>3990</v>
      </c>
      <c r="C645" s="7" t="s">
        <v>24</v>
      </c>
      <c r="D645" s="7" t="s">
        <v>4456</v>
      </c>
      <c r="E645" s="8" t="s">
        <v>4454</v>
      </c>
    </row>
    <row r="646" spans="1:5" x14ac:dyDescent="0.25">
      <c r="A646" s="5" t="s">
        <v>3220</v>
      </c>
      <c r="B646" s="6" t="s">
        <v>3991</v>
      </c>
      <c r="C646" s="7" t="s">
        <v>24</v>
      </c>
      <c r="D646" s="7" t="s">
        <v>4456</v>
      </c>
      <c r="E646" s="8" t="s">
        <v>4454</v>
      </c>
    </row>
    <row r="647" spans="1:5" x14ac:dyDescent="0.25">
      <c r="A647" s="5" t="s">
        <v>3221</v>
      </c>
      <c r="B647" s="6" t="s">
        <v>3992</v>
      </c>
      <c r="C647" s="7" t="s">
        <v>24</v>
      </c>
      <c r="D647" s="7" t="s">
        <v>4456</v>
      </c>
      <c r="E647" s="8" t="s">
        <v>4454</v>
      </c>
    </row>
    <row r="648" spans="1:5" x14ac:dyDescent="0.25">
      <c r="A648" s="5" t="s">
        <v>3222</v>
      </c>
      <c r="B648" s="6" t="s">
        <v>3993</v>
      </c>
      <c r="C648" s="7" t="s">
        <v>24</v>
      </c>
      <c r="D648" s="7" t="s">
        <v>4456</v>
      </c>
      <c r="E648" s="8" t="s">
        <v>4454</v>
      </c>
    </row>
    <row r="649" spans="1:5" x14ac:dyDescent="0.25">
      <c r="A649" s="5" t="s">
        <v>3223</v>
      </c>
      <c r="B649" s="6" t="s">
        <v>3994</v>
      </c>
      <c r="C649" s="7" t="s">
        <v>24</v>
      </c>
      <c r="D649" s="7" t="s">
        <v>4456</v>
      </c>
      <c r="E649" s="8" t="s">
        <v>4454</v>
      </c>
    </row>
    <row r="650" spans="1:5" x14ac:dyDescent="0.25">
      <c r="A650" s="5" t="s">
        <v>2983</v>
      </c>
      <c r="B650" s="6" t="s">
        <v>3746</v>
      </c>
      <c r="C650" s="7" t="s">
        <v>24</v>
      </c>
      <c r="D650" s="7" t="s">
        <v>4456</v>
      </c>
      <c r="E650" s="8" t="s">
        <v>4454</v>
      </c>
    </row>
    <row r="651" spans="1:5" x14ac:dyDescent="0.25">
      <c r="A651" s="5" t="s">
        <v>2983</v>
      </c>
      <c r="B651" s="6" t="s">
        <v>3776</v>
      </c>
      <c r="C651" s="7" t="s">
        <v>24</v>
      </c>
      <c r="D651" s="7" t="s">
        <v>4456</v>
      </c>
      <c r="E651" s="8" t="s">
        <v>4454</v>
      </c>
    </row>
    <row r="652" spans="1:5" x14ac:dyDescent="0.25">
      <c r="A652" s="5" t="s">
        <v>3007</v>
      </c>
      <c r="B652" s="6" t="s">
        <v>3770</v>
      </c>
      <c r="C652" s="7" t="s">
        <v>24</v>
      </c>
      <c r="D652" s="7" t="s">
        <v>4456</v>
      </c>
      <c r="E652" s="8" t="s">
        <v>4454</v>
      </c>
    </row>
    <row r="653" spans="1:5" x14ac:dyDescent="0.25">
      <c r="A653" s="5" t="s">
        <v>2989</v>
      </c>
      <c r="B653" s="6" t="s">
        <v>3752</v>
      </c>
      <c r="C653" s="7" t="s">
        <v>24</v>
      </c>
      <c r="D653" s="7" t="s">
        <v>4456</v>
      </c>
      <c r="E653" s="8" t="s">
        <v>4454</v>
      </c>
    </row>
    <row r="654" spans="1:5" x14ac:dyDescent="0.25">
      <c r="A654" s="5" t="s">
        <v>2976</v>
      </c>
      <c r="B654" s="6" t="s">
        <v>3739</v>
      </c>
      <c r="C654" s="7" t="s">
        <v>24</v>
      </c>
      <c r="D654" s="7" t="s">
        <v>4456</v>
      </c>
      <c r="E654" s="8" t="s">
        <v>4454</v>
      </c>
    </row>
    <row r="655" spans="1:5" x14ac:dyDescent="0.25">
      <c r="A655" s="5" t="s">
        <v>2998</v>
      </c>
      <c r="B655" s="6" t="s">
        <v>3761</v>
      </c>
      <c r="C655" s="7" t="s">
        <v>24</v>
      </c>
      <c r="D655" s="7" t="s">
        <v>4456</v>
      </c>
      <c r="E655" s="8" t="s">
        <v>4454</v>
      </c>
    </row>
    <row r="656" spans="1:5" x14ac:dyDescent="0.25">
      <c r="A656" s="5" t="s">
        <v>2941</v>
      </c>
      <c r="B656" s="6" t="s">
        <v>3704</v>
      </c>
      <c r="C656" s="7" t="s">
        <v>24</v>
      </c>
      <c r="D656" s="7" t="s">
        <v>4456</v>
      </c>
      <c r="E656" s="8" t="s">
        <v>4454</v>
      </c>
    </row>
    <row r="657" spans="1:5" x14ac:dyDescent="0.25">
      <c r="A657" s="5" t="s">
        <v>2970</v>
      </c>
      <c r="B657" s="6" t="s">
        <v>3733</v>
      </c>
      <c r="C657" s="7" t="s">
        <v>24</v>
      </c>
      <c r="D657" s="7" t="s">
        <v>4456</v>
      </c>
      <c r="E657" s="8" t="s">
        <v>4454</v>
      </c>
    </row>
    <row r="658" spans="1:5" x14ac:dyDescent="0.25">
      <c r="A658" s="5" t="s">
        <v>3008</v>
      </c>
      <c r="B658" s="6" t="s">
        <v>3771</v>
      </c>
      <c r="C658" s="7" t="s">
        <v>24</v>
      </c>
      <c r="D658" s="7" t="s">
        <v>4456</v>
      </c>
      <c r="E658" s="8" t="s">
        <v>4454</v>
      </c>
    </row>
    <row r="659" spans="1:5" x14ac:dyDescent="0.25">
      <c r="A659" s="5" t="s">
        <v>2990</v>
      </c>
      <c r="B659" s="6" t="s">
        <v>3753</v>
      </c>
      <c r="C659" s="7" t="s">
        <v>24</v>
      </c>
      <c r="D659" s="7" t="s">
        <v>4456</v>
      </c>
      <c r="E659" s="8" t="s">
        <v>4454</v>
      </c>
    </row>
    <row r="660" spans="1:5" x14ac:dyDescent="0.25">
      <c r="A660" s="5" t="s">
        <v>2977</v>
      </c>
      <c r="B660" s="6" t="s">
        <v>3740</v>
      </c>
      <c r="C660" s="7" t="s">
        <v>24</v>
      </c>
      <c r="D660" s="7" t="s">
        <v>4456</v>
      </c>
      <c r="E660" s="8" t="s">
        <v>4454</v>
      </c>
    </row>
    <row r="661" spans="1:5" x14ac:dyDescent="0.25">
      <c r="A661" s="5" t="s">
        <v>2971</v>
      </c>
      <c r="B661" s="6" t="s">
        <v>3734</v>
      </c>
      <c r="C661" s="7" t="s">
        <v>24</v>
      </c>
      <c r="D661" s="7" t="s">
        <v>4456</v>
      </c>
      <c r="E661" s="8" t="s">
        <v>4454</v>
      </c>
    </row>
    <row r="662" spans="1:5" x14ac:dyDescent="0.25">
      <c r="A662" s="5" t="s">
        <v>2942</v>
      </c>
      <c r="B662" s="6" t="s">
        <v>3705</v>
      </c>
      <c r="C662" s="7" t="s">
        <v>24</v>
      </c>
      <c r="D662" s="7" t="s">
        <v>4456</v>
      </c>
      <c r="E662" s="8" t="s">
        <v>4454</v>
      </c>
    </row>
    <row r="663" spans="1:5" x14ac:dyDescent="0.25">
      <c r="A663" s="5" t="s">
        <v>3005</v>
      </c>
      <c r="B663" s="6" t="s">
        <v>3768</v>
      </c>
      <c r="C663" s="7" t="s">
        <v>24</v>
      </c>
      <c r="D663" s="7" t="s">
        <v>4456</v>
      </c>
      <c r="E663" s="8" t="s">
        <v>4454</v>
      </c>
    </row>
    <row r="664" spans="1:5" x14ac:dyDescent="0.25">
      <c r="A664" s="5" t="s">
        <v>2999</v>
      </c>
      <c r="B664" s="6" t="s">
        <v>3762</v>
      </c>
      <c r="C664" s="7" t="s">
        <v>24</v>
      </c>
      <c r="D664" s="7" t="s">
        <v>4456</v>
      </c>
      <c r="E664" s="8" t="s">
        <v>4454</v>
      </c>
    </row>
    <row r="665" spans="1:5" x14ac:dyDescent="0.25">
      <c r="A665" s="5" t="s">
        <v>2984</v>
      </c>
      <c r="B665" s="6" t="s">
        <v>3747</v>
      </c>
      <c r="C665" s="7" t="s">
        <v>24</v>
      </c>
      <c r="D665" s="7" t="s">
        <v>4456</v>
      </c>
      <c r="E665" s="8" t="s">
        <v>4454</v>
      </c>
    </row>
    <row r="666" spans="1:5" x14ac:dyDescent="0.25">
      <c r="A666" s="5" t="s">
        <v>2984</v>
      </c>
      <c r="B666" s="6" t="s">
        <v>3777</v>
      </c>
      <c r="C666" s="7" t="s">
        <v>24</v>
      </c>
      <c r="D666" s="7" t="s">
        <v>4456</v>
      </c>
      <c r="E666" s="8" t="s">
        <v>4454</v>
      </c>
    </row>
    <row r="667" spans="1:5" x14ac:dyDescent="0.25">
      <c r="A667" s="5" t="s">
        <v>2985</v>
      </c>
      <c r="B667" s="6" t="s">
        <v>3748</v>
      </c>
      <c r="C667" s="7" t="s">
        <v>24</v>
      </c>
      <c r="D667" s="7" t="s">
        <v>4456</v>
      </c>
      <c r="E667" s="8" t="s">
        <v>4454</v>
      </c>
    </row>
    <row r="668" spans="1:5" x14ac:dyDescent="0.25">
      <c r="A668" s="5" t="s">
        <v>2985</v>
      </c>
      <c r="B668" s="6" t="s">
        <v>3778</v>
      </c>
      <c r="C668" s="7" t="s">
        <v>24</v>
      </c>
      <c r="D668" s="7" t="s">
        <v>4456</v>
      </c>
      <c r="E668" s="8" t="s">
        <v>4454</v>
      </c>
    </row>
    <row r="669" spans="1:5" x14ac:dyDescent="0.25">
      <c r="A669" s="5" t="s">
        <v>3009</v>
      </c>
      <c r="B669" s="6" t="s">
        <v>3772</v>
      </c>
      <c r="C669" s="7" t="s">
        <v>24</v>
      </c>
      <c r="D669" s="7" t="s">
        <v>4456</v>
      </c>
      <c r="E669" s="8" t="s">
        <v>4454</v>
      </c>
    </row>
    <row r="670" spans="1:5" x14ac:dyDescent="0.25">
      <c r="A670" s="5" t="s">
        <v>2991</v>
      </c>
      <c r="B670" s="6" t="s">
        <v>3754</v>
      </c>
      <c r="C670" s="7" t="s">
        <v>24</v>
      </c>
      <c r="D670" s="7" t="s">
        <v>4456</v>
      </c>
      <c r="E670" s="8" t="s">
        <v>4454</v>
      </c>
    </row>
    <row r="671" spans="1:5" x14ac:dyDescent="0.25">
      <c r="A671" s="5" t="s">
        <v>2978</v>
      </c>
      <c r="B671" s="6" t="s">
        <v>3741</v>
      </c>
      <c r="C671" s="7" t="s">
        <v>24</v>
      </c>
      <c r="D671" s="7" t="s">
        <v>4456</v>
      </c>
      <c r="E671" s="8" t="s">
        <v>4454</v>
      </c>
    </row>
    <row r="672" spans="1:5" x14ac:dyDescent="0.25">
      <c r="A672" s="5" t="s">
        <v>3000</v>
      </c>
      <c r="B672" s="6" t="s">
        <v>3763</v>
      </c>
      <c r="C672" s="7" t="s">
        <v>24</v>
      </c>
      <c r="D672" s="7" t="s">
        <v>4456</v>
      </c>
      <c r="E672" s="8" t="s">
        <v>4454</v>
      </c>
    </row>
    <row r="673" spans="1:5" x14ac:dyDescent="0.25">
      <c r="A673" s="5" t="s">
        <v>2972</v>
      </c>
      <c r="B673" s="6" t="s">
        <v>3735</v>
      </c>
      <c r="C673" s="7" t="s">
        <v>24</v>
      </c>
      <c r="D673" s="7" t="s">
        <v>4456</v>
      </c>
      <c r="E673" s="8" t="s">
        <v>4454</v>
      </c>
    </row>
    <row r="674" spans="1:5" x14ac:dyDescent="0.25">
      <c r="A674" s="5" t="s">
        <v>3325</v>
      </c>
      <c r="B674" s="6" t="s">
        <v>4099</v>
      </c>
      <c r="C674" s="7" t="s">
        <v>24</v>
      </c>
      <c r="D674" s="7" t="s">
        <v>4456</v>
      </c>
      <c r="E674" s="8" t="s">
        <v>4454</v>
      </c>
    </row>
    <row r="675" spans="1:5" x14ac:dyDescent="0.25">
      <c r="A675" s="5" t="s">
        <v>2986</v>
      </c>
      <c r="B675" s="6" t="s">
        <v>3749</v>
      </c>
      <c r="C675" s="7" t="s">
        <v>24</v>
      </c>
      <c r="D675" s="7" t="s">
        <v>4456</v>
      </c>
      <c r="E675" s="8" t="s">
        <v>4454</v>
      </c>
    </row>
    <row r="676" spans="1:5" x14ac:dyDescent="0.25">
      <c r="A676" s="5" t="s">
        <v>2986</v>
      </c>
      <c r="B676" s="6" t="s">
        <v>3779</v>
      </c>
      <c r="C676" s="7" t="s">
        <v>24</v>
      </c>
      <c r="D676" s="7" t="s">
        <v>4456</v>
      </c>
      <c r="E676" s="8" t="s">
        <v>4454</v>
      </c>
    </row>
    <row r="677" spans="1:5" x14ac:dyDescent="0.25">
      <c r="A677" s="5" t="s">
        <v>3010</v>
      </c>
      <c r="B677" s="6" t="s">
        <v>3773</v>
      </c>
      <c r="C677" s="7" t="s">
        <v>24</v>
      </c>
      <c r="D677" s="7" t="s">
        <v>4456</v>
      </c>
      <c r="E677" s="8" t="s">
        <v>4454</v>
      </c>
    </row>
    <row r="678" spans="1:5" x14ac:dyDescent="0.25">
      <c r="A678" s="5" t="s">
        <v>2992</v>
      </c>
      <c r="B678" s="6" t="s">
        <v>3755</v>
      </c>
      <c r="C678" s="7" t="s">
        <v>24</v>
      </c>
      <c r="D678" s="7" t="s">
        <v>4456</v>
      </c>
      <c r="E678" s="8" t="s">
        <v>4454</v>
      </c>
    </row>
    <row r="679" spans="1:5" x14ac:dyDescent="0.25">
      <c r="A679" s="5" t="s">
        <v>2979</v>
      </c>
      <c r="B679" s="6" t="s">
        <v>3742</v>
      </c>
      <c r="C679" s="7" t="s">
        <v>24</v>
      </c>
      <c r="D679" s="7" t="s">
        <v>4456</v>
      </c>
      <c r="E679" s="8" t="s">
        <v>4454</v>
      </c>
    </row>
    <row r="680" spans="1:5" x14ac:dyDescent="0.25">
      <c r="A680" s="5" t="s">
        <v>3001</v>
      </c>
      <c r="B680" s="6" t="s">
        <v>3764</v>
      </c>
      <c r="C680" s="7" t="s">
        <v>24</v>
      </c>
      <c r="D680" s="7" t="s">
        <v>4456</v>
      </c>
      <c r="E680" s="8" t="s">
        <v>4454</v>
      </c>
    </row>
    <row r="681" spans="1:5" x14ac:dyDescent="0.25">
      <c r="A681" s="12" t="s">
        <v>2973</v>
      </c>
      <c r="B681" s="6" t="s">
        <v>3736</v>
      </c>
      <c r="C681" s="13" t="s">
        <v>24</v>
      </c>
      <c r="D681" s="13" t="s">
        <v>4456</v>
      </c>
      <c r="E681" s="8" t="s">
        <v>4454</v>
      </c>
    </row>
    <row r="682" spans="1:5" x14ac:dyDescent="0.25">
      <c r="A682" s="12" t="s">
        <v>3546</v>
      </c>
      <c r="B682" s="6" t="s">
        <v>4320</v>
      </c>
      <c r="C682" s="13" t="s">
        <v>24</v>
      </c>
      <c r="D682" s="13" t="s">
        <v>4456</v>
      </c>
      <c r="E682" s="8" t="s">
        <v>4454</v>
      </c>
    </row>
    <row r="683" spans="1:5" x14ac:dyDescent="0.25">
      <c r="A683" s="5" t="s">
        <v>2995</v>
      </c>
      <c r="B683" s="6" t="s">
        <v>3758</v>
      </c>
      <c r="C683" s="7" t="s">
        <v>24</v>
      </c>
      <c r="D683" s="7" t="s">
        <v>4456</v>
      </c>
      <c r="E683" s="8" t="s">
        <v>4454</v>
      </c>
    </row>
    <row r="684" spans="1:5" x14ac:dyDescent="0.25">
      <c r="A684" s="5" t="s">
        <v>3526</v>
      </c>
      <c r="B684" s="6" t="s">
        <v>4300</v>
      </c>
      <c r="C684" s="7" t="s">
        <v>24</v>
      </c>
      <c r="D684" s="7" t="s">
        <v>4456</v>
      </c>
      <c r="E684" s="8" t="s">
        <v>4454</v>
      </c>
    </row>
    <row r="685" spans="1:5" x14ac:dyDescent="0.25">
      <c r="A685" s="5" t="s">
        <v>2929</v>
      </c>
      <c r="B685" s="6" t="s">
        <v>3692</v>
      </c>
      <c r="C685" s="7" t="s">
        <v>24</v>
      </c>
      <c r="D685" s="7" t="s">
        <v>4456</v>
      </c>
      <c r="E685" s="8" t="s">
        <v>4454</v>
      </c>
    </row>
    <row r="686" spans="1:5" x14ac:dyDescent="0.25">
      <c r="A686" s="5" t="s">
        <v>2927</v>
      </c>
      <c r="B686" s="6" t="s">
        <v>3690</v>
      </c>
      <c r="C686" s="7" t="s">
        <v>24</v>
      </c>
      <c r="D686" s="7" t="s">
        <v>4456</v>
      </c>
      <c r="E686" s="8" t="s">
        <v>4454</v>
      </c>
    </row>
    <row r="687" spans="1:5" x14ac:dyDescent="0.25">
      <c r="A687" s="5" t="s">
        <v>2936</v>
      </c>
      <c r="B687" s="6" t="s">
        <v>3699</v>
      </c>
      <c r="C687" s="7" t="s">
        <v>24</v>
      </c>
      <c r="D687" s="7" t="s">
        <v>4456</v>
      </c>
      <c r="E687" s="8" t="s">
        <v>4454</v>
      </c>
    </row>
    <row r="688" spans="1:5" x14ac:dyDescent="0.25">
      <c r="A688" s="5" t="s">
        <v>2930</v>
      </c>
      <c r="B688" s="6" t="s">
        <v>3693</v>
      </c>
      <c r="C688" s="7" t="s">
        <v>24</v>
      </c>
      <c r="D688" s="7" t="s">
        <v>4456</v>
      </c>
      <c r="E688" s="8" t="s">
        <v>4454</v>
      </c>
    </row>
    <row r="689" spans="1:5" x14ac:dyDescent="0.25">
      <c r="A689" s="5" t="s">
        <v>2933</v>
      </c>
      <c r="B689" s="6" t="s">
        <v>3696</v>
      </c>
      <c r="C689" s="7" t="s">
        <v>24</v>
      </c>
      <c r="D689" s="7" t="s">
        <v>4456</v>
      </c>
      <c r="E689" s="8" t="s">
        <v>4454</v>
      </c>
    </row>
    <row r="690" spans="1:5" x14ac:dyDescent="0.25">
      <c r="A690" s="5" t="s">
        <v>2928</v>
      </c>
      <c r="B690" s="6" t="s">
        <v>3691</v>
      </c>
      <c r="C690" s="7" t="s">
        <v>24</v>
      </c>
      <c r="D690" s="7" t="s">
        <v>4456</v>
      </c>
      <c r="E690" s="8" t="s">
        <v>4454</v>
      </c>
    </row>
    <row r="691" spans="1:5" x14ac:dyDescent="0.25">
      <c r="A691" s="5" t="s">
        <v>2987</v>
      </c>
      <c r="B691" s="6" t="s">
        <v>3750</v>
      </c>
      <c r="C691" s="7" t="s">
        <v>24</v>
      </c>
      <c r="D691" s="7" t="s">
        <v>4456</v>
      </c>
      <c r="E691" s="8" t="s">
        <v>4454</v>
      </c>
    </row>
    <row r="692" spans="1:5" x14ac:dyDescent="0.25">
      <c r="A692" s="5" t="s">
        <v>2987</v>
      </c>
      <c r="B692" s="6" t="s">
        <v>3780</v>
      </c>
      <c r="C692" s="7" t="s">
        <v>24</v>
      </c>
      <c r="D692" s="7" t="s">
        <v>4456</v>
      </c>
      <c r="E692" s="8" t="s">
        <v>4454</v>
      </c>
    </row>
    <row r="693" spans="1:5" x14ac:dyDescent="0.25">
      <c r="A693" s="5" t="s">
        <v>3011</v>
      </c>
      <c r="B693" s="6" t="s">
        <v>3774</v>
      </c>
      <c r="C693" s="7" t="s">
        <v>24</v>
      </c>
      <c r="D693" s="7" t="s">
        <v>4456</v>
      </c>
      <c r="E693" s="8" t="s">
        <v>4454</v>
      </c>
    </row>
    <row r="694" spans="1:5" x14ac:dyDescent="0.25">
      <c r="A694" s="5" t="s">
        <v>2993</v>
      </c>
      <c r="B694" s="6" t="s">
        <v>3756</v>
      </c>
      <c r="C694" s="7" t="s">
        <v>24</v>
      </c>
      <c r="D694" s="7" t="s">
        <v>4456</v>
      </c>
      <c r="E694" s="8" t="s">
        <v>4454</v>
      </c>
    </row>
    <row r="695" spans="1:5" x14ac:dyDescent="0.25">
      <c r="A695" s="5" t="s">
        <v>2980</v>
      </c>
      <c r="B695" s="6" t="s">
        <v>3743</v>
      </c>
      <c r="C695" s="7" t="s">
        <v>24</v>
      </c>
      <c r="D695" s="7" t="s">
        <v>4456</v>
      </c>
      <c r="E695" s="8" t="s">
        <v>4454</v>
      </c>
    </row>
    <row r="696" spans="1:5" x14ac:dyDescent="0.25">
      <c r="A696" s="5" t="s">
        <v>3002</v>
      </c>
      <c r="B696" s="6" t="s">
        <v>3765</v>
      </c>
      <c r="C696" s="7" t="s">
        <v>24</v>
      </c>
      <c r="D696" s="7" t="s">
        <v>4456</v>
      </c>
      <c r="E696" s="8" t="s">
        <v>4454</v>
      </c>
    </row>
    <row r="697" spans="1:5" x14ac:dyDescent="0.25">
      <c r="A697" s="5" t="s">
        <v>2974</v>
      </c>
      <c r="B697" s="6" t="s">
        <v>3737</v>
      </c>
      <c r="C697" s="7" t="s">
        <v>24</v>
      </c>
      <c r="D697" s="7" t="s">
        <v>4456</v>
      </c>
      <c r="E697" s="8" t="s">
        <v>4454</v>
      </c>
    </row>
    <row r="698" spans="1:5" x14ac:dyDescent="0.25">
      <c r="A698" s="5" t="s">
        <v>3514</v>
      </c>
      <c r="B698" s="6" t="s">
        <v>4288</v>
      </c>
      <c r="C698" s="7" t="s">
        <v>24</v>
      </c>
      <c r="D698" s="7" t="s">
        <v>4456</v>
      </c>
      <c r="E698" s="8" t="s">
        <v>4454</v>
      </c>
    </row>
    <row r="699" spans="1:5" x14ac:dyDescent="0.25">
      <c r="A699" s="5" t="s">
        <v>3530</v>
      </c>
      <c r="B699" s="6" t="s">
        <v>4304</v>
      </c>
      <c r="C699" s="7" t="s">
        <v>24</v>
      </c>
      <c r="D699" s="7" t="s">
        <v>4456</v>
      </c>
      <c r="E699" s="8" t="s">
        <v>4454</v>
      </c>
    </row>
    <row r="700" spans="1:5" x14ac:dyDescent="0.25">
      <c r="A700" s="5" t="s">
        <v>2996</v>
      </c>
      <c r="B700" s="6" t="s">
        <v>3759</v>
      </c>
      <c r="C700" s="7" t="s">
        <v>24</v>
      </c>
      <c r="D700" s="7" t="s">
        <v>4456</v>
      </c>
      <c r="E700" s="8" t="s">
        <v>4454</v>
      </c>
    </row>
    <row r="701" spans="1:5" x14ac:dyDescent="0.25">
      <c r="A701" s="5" t="s">
        <v>2982</v>
      </c>
      <c r="B701" s="6" t="s">
        <v>3745</v>
      </c>
      <c r="C701" s="7" t="s">
        <v>24</v>
      </c>
      <c r="D701" s="7" t="s">
        <v>4456</v>
      </c>
      <c r="E701" s="8" t="s">
        <v>4454</v>
      </c>
    </row>
    <row r="702" spans="1:5" x14ac:dyDescent="0.25">
      <c r="A702" s="5" t="s">
        <v>3412</v>
      </c>
      <c r="B702" s="6" t="s">
        <v>4185</v>
      </c>
      <c r="C702" s="7" t="s">
        <v>24</v>
      </c>
      <c r="D702" s="7" t="s">
        <v>4456</v>
      </c>
      <c r="E702" s="8" t="s">
        <v>4454</v>
      </c>
    </row>
    <row r="703" spans="1:5" x14ac:dyDescent="0.25">
      <c r="A703" s="5" t="s">
        <v>3579</v>
      </c>
      <c r="B703" s="6" t="s">
        <v>4355</v>
      </c>
      <c r="C703" s="7" t="s">
        <v>24</v>
      </c>
      <c r="D703" s="7" t="s">
        <v>4456</v>
      </c>
      <c r="E703" s="8" t="s">
        <v>4454</v>
      </c>
    </row>
    <row r="704" spans="1:5" x14ac:dyDescent="0.25">
      <c r="A704" s="5" t="s">
        <v>3521</v>
      </c>
      <c r="B704" s="6" t="s">
        <v>4295</v>
      </c>
      <c r="C704" s="7" t="s">
        <v>24</v>
      </c>
      <c r="D704" s="7" t="s">
        <v>4456</v>
      </c>
      <c r="E704" s="8" t="s">
        <v>4454</v>
      </c>
    </row>
    <row r="705" spans="1:5" x14ac:dyDescent="0.25">
      <c r="A705" s="5" t="s">
        <v>2951</v>
      </c>
      <c r="B705" s="6" t="s">
        <v>3714</v>
      </c>
      <c r="C705" s="7" t="s">
        <v>24</v>
      </c>
      <c r="D705" s="7" t="s">
        <v>4456</v>
      </c>
      <c r="E705" s="8" t="s">
        <v>4454</v>
      </c>
    </row>
    <row r="706" spans="1:5" x14ac:dyDescent="0.25">
      <c r="A706" s="5" t="s">
        <v>3004</v>
      </c>
      <c r="B706" s="6" t="s">
        <v>3767</v>
      </c>
      <c r="C706" s="7" t="s">
        <v>24</v>
      </c>
      <c r="D706" s="7" t="s">
        <v>4456</v>
      </c>
      <c r="E706" s="8" t="s">
        <v>4454</v>
      </c>
    </row>
    <row r="707" spans="1:5" x14ac:dyDescent="0.25">
      <c r="A707" s="5" t="s">
        <v>2988</v>
      </c>
      <c r="B707" s="6" t="s">
        <v>3751</v>
      </c>
      <c r="C707" s="7" t="s">
        <v>24</v>
      </c>
      <c r="D707" s="7" t="s">
        <v>4456</v>
      </c>
      <c r="E707" s="8" t="s">
        <v>4454</v>
      </c>
    </row>
    <row r="708" spans="1:5" x14ac:dyDescent="0.25">
      <c r="A708" s="5" t="s">
        <v>2988</v>
      </c>
      <c r="B708" s="6" t="s">
        <v>3781</v>
      </c>
      <c r="C708" s="7" t="s">
        <v>24</v>
      </c>
      <c r="D708" s="7" t="s">
        <v>4456</v>
      </c>
      <c r="E708" s="8" t="s">
        <v>4454</v>
      </c>
    </row>
    <row r="709" spans="1:5" x14ac:dyDescent="0.25">
      <c r="A709" s="5" t="s">
        <v>3012</v>
      </c>
      <c r="B709" s="6" t="s">
        <v>3775</v>
      </c>
      <c r="C709" s="7" t="s">
        <v>24</v>
      </c>
      <c r="D709" s="7" t="s">
        <v>4456</v>
      </c>
      <c r="E709" s="8" t="s">
        <v>4454</v>
      </c>
    </row>
    <row r="710" spans="1:5" x14ac:dyDescent="0.25">
      <c r="A710" s="5" t="s">
        <v>2994</v>
      </c>
      <c r="B710" s="6" t="s">
        <v>3757</v>
      </c>
      <c r="C710" s="7" t="s">
        <v>24</v>
      </c>
      <c r="D710" s="7" t="s">
        <v>4456</v>
      </c>
      <c r="E710" s="8" t="s">
        <v>4454</v>
      </c>
    </row>
    <row r="711" spans="1:5" x14ac:dyDescent="0.25">
      <c r="A711" s="5" t="s">
        <v>2981</v>
      </c>
      <c r="B711" s="6" t="s">
        <v>3744</v>
      </c>
      <c r="C711" s="7" t="s">
        <v>24</v>
      </c>
      <c r="D711" s="7" t="s">
        <v>4456</v>
      </c>
      <c r="E711" s="8" t="s">
        <v>4454</v>
      </c>
    </row>
    <row r="712" spans="1:5" x14ac:dyDescent="0.25">
      <c r="A712" s="5" t="s">
        <v>3003</v>
      </c>
      <c r="B712" s="6" t="s">
        <v>3766</v>
      </c>
      <c r="C712" s="7" t="s">
        <v>24</v>
      </c>
      <c r="D712" s="7" t="s">
        <v>4456</v>
      </c>
      <c r="E712" s="8" t="s">
        <v>4454</v>
      </c>
    </row>
    <row r="713" spans="1:5" x14ac:dyDescent="0.25">
      <c r="A713" s="12" t="s">
        <v>2975</v>
      </c>
      <c r="B713" s="6" t="s">
        <v>3738</v>
      </c>
      <c r="C713" s="13" t="s">
        <v>24</v>
      </c>
      <c r="D713" s="13" t="s">
        <v>4456</v>
      </c>
      <c r="E713" s="8" t="s">
        <v>4454</v>
      </c>
    </row>
    <row r="714" spans="1:5" x14ac:dyDescent="0.25">
      <c r="A714" s="12" t="s">
        <v>3552</v>
      </c>
      <c r="B714" s="6" t="s">
        <v>4326</v>
      </c>
      <c r="C714" s="13" t="s">
        <v>24</v>
      </c>
      <c r="D714" s="13" t="s">
        <v>4456</v>
      </c>
      <c r="E714" s="8" t="s">
        <v>4454</v>
      </c>
    </row>
    <row r="715" spans="1:5" x14ac:dyDescent="0.25">
      <c r="A715" s="12" t="s">
        <v>3544</v>
      </c>
      <c r="B715" s="6" t="s">
        <v>4318</v>
      </c>
      <c r="C715" s="13" t="s">
        <v>24</v>
      </c>
      <c r="D715" s="13" t="s">
        <v>4456</v>
      </c>
      <c r="E715" s="8" t="s">
        <v>4454</v>
      </c>
    </row>
    <row r="716" spans="1:5" x14ac:dyDescent="0.25">
      <c r="A716" s="5" t="s">
        <v>3235</v>
      </c>
      <c r="B716" s="6" t="s">
        <v>4006</v>
      </c>
      <c r="C716" s="7" t="s">
        <v>24</v>
      </c>
      <c r="D716" s="7" t="s">
        <v>4456</v>
      </c>
      <c r="E716" s="8" t="s">
        <v>4454</v>
      </c>
    </row>
    <row r="717" spans="1:5" x14ac:dyDescent="0.25">
      <c r="A717" s="12" t="s">
        <v>3230</v>
      </c>
      <c r="B717" s="6" t="s">
        <v>4001</v>
      </c>
      <c r="C717" s="13" t="s">
        <v>24</v>
      </c>
      <c r="D717" s="13" t="s">
        <v>4456</v>
      </c>
      <c r="E717" s="8" t="s">
        <v>4454</v>
      </c>
    </row>
    <row r="718" spans="1:5" x14ac:dyDescent="0.25">
      <c r="A718" s="5" t="s">
        <v>3231</v>
      </c>
      <c r="B718" s="6" t="s">
        <v>4002</v>
      </c>
      <c r="C718" s="7" t="s">
        <v>24</v>
      </c>
      <c r="D718" s="7" t="s">
        <v>4456</v>
      </c>
      <c r="E718" s="8" t="s">
        <v>4454</v>
      </c>
    </row>
    <row r="719" spans="1:5" x14ac:dyDescent="0.25">
      <c r="A719" s="5" t="s">
        <v>3232</v>
      </c>
      <c r="B719" s="6" t="s">
        <v>4003</v>
      </c>
      <c r="C719" s="7" t="s">
        <v>24</v>
      </c>
      <c r="D719" s="7" t="s">
        <v>4456</v>
      </c>
      <c r="E719" s="8" t="s">
        <v>4454</v>
      </c>
    </row>
    <row r="720" spans="1:5" x14ac:dyDescent="0.25">
      <c r="A720" s="5" t="s">
        <v>3233</v>
      </c>
      <c r="B720" s="6" t="s">
        <v>4004</v>
      </c>
      <c r="C720" s="7" t="s">
        <v>24</v>
      </c>
      <c r="D720" s="7" t="s">
        <v>4456</v>
      </c>
      <c r="E720" s="8" t="s">
        <v>4454</v>
      </c>
    </row>
    <row r="721" spans="1:5" x14ac:dyDescent="0.25">
      <c r="A721" s="5" t="s">
        <v>3569</v>
      </c>
      <c r="B721" s="6" t="s">
        <v>4344</v>
      </c>
      <c r="C721" s="7" t="s">
        <v>24</v>
      </c>
      <c r="D721" s="7" t="s">
        <v>4456</v>
      </c>
      <c r="E721" s="8" t="s">
        <v>4454</v>
      </c>
    </row>
    <row r="722" spans="1:5" x14ac:dyDescent="0.25">
      <c r="A722" s="5" t="s">
        <v>3082</v>
      </c>
      <c r="B722" s="6" t="s">
        <v>3852</v>
      </c>
      <c r="C722" s="7" t="s">
        <v>24</v>
      </c>
      <c r="D722" s="7" t="s">
        <v>4456</v>
      </c>
      <c r="E722" s="8" t="s">
        <v>4454</v>
      </c>
    </row>
    <row r="723" spans="1:5" x14ac:dyDescent="0.25">
      <c r="A723" s="5" t="s">
        <v>2935</v>
      </c>
      <c r="B723" s="6" t="s">
        <v>3698</v>
      </c>
      <c r="C723" s="7" t="s">
        <v>24</v>
      </c>
      <c r="D723" s="7" t="s">
        <v>4456</v>
      </c>
      <c r="E723" s="8" t="s">
        <v>4454</v>
      </c>
    </row>
    <row r="724" spans="1:5" x14ac:dyDescent="0.25">
      <c r="A724" s="5" t="s">
        <v>2931</v>
      </c>
      <c r="B724" s="6" t="s">
        <v>3694</v>
      </c>
      <c r="C724" s="7" t="s">
        <v>24</v>
      </c>
      <c r="D724" s="7" t="s">
        <v>4456</v>
      </c>
      <c r="E724" s="8" t="s">
        <v>4454</v>
      </c>
    </row>
    <row r="725" spans="1:5" x14ac:dyDescent="0.25">
      <c r="A725" s="5" t="s">
        <v>2932</v>
      </c>
      <c r="B725" s="6" t="s">
        <v>3695</v>
      </c>
      <c r="C725" s="7" t="s">
        <v>24</v>
      </c>
      <c r="D725" s="7" t="s">
        <v>4456</v>
      </c>
      <c r="E725" s="8" t="s">
        <v>4454</v>
      </c>
    </row>
    <row r="726" spans="1:5" x14ac:dyDescent="0.25">
      <c r="A726" s="5" t="s">
        <v>3078</v>
      </c>
      <c r="B726" s="6" t="s">
        <v>3848</v>
      </c>
      <c r="C726" s="7" t="s">
        <v>24</v>
      </c>
      <c r="D726" s="7" t="s">
        <v>4456</v>
      </c>
      <c r="E726" s="8" t="s">
        <v>4454</v>
      </c>
    </row>
    <row r="727" spans="1:5" x14ac:dyDescent="0.25">
      <c r="A727" s="5" t="s">
        <v>3076</v>
      </c>
      <c r="B727" s="6" t="s">
        <v>3846</v>
      </c>
      <c r="C727" s="7" t="s">
        <v>24</v>
      </c>
      <c r="D727" s="7" t="s">
        <v>4456</v>
      </c>
      <c r="E727" s="8" t="s">
        <v>4454</v>
      </c>
    </row>
    <row r="728" spans="1:5" x14ac:dyDescent="0.25">
      <c r="A728" s="5" t="s">
        <v>3080</v>
      </c>
      <c r="B728" s="6" t="s">
        <v>3850</v>
      </c>
      <c r="C728" s="7" t="s">
        <v>24</v>
      </c>
      <c r="D728" s="7" t="s">
        <v>4456</v>
      </c>
      <c r="E728" s="8" t="s">
        <v>4454</v>
      </c>
    </row>
    <row r="729" spans="1:5" x14ac:dyDescent="0.25">
      <c r="A729" s="5" t="s">
        <v>3237</v>
      </c>
      <c r="B729" s="6" t="s">
        <v>4008</v>
      </c>
      <c r="C729" s="7" t="s">
        <v>24</v>
      </c>
      <c r="D729" s="7" t="s">
        <v>4456</v>
      </c>
      <c r="E729" s="8" t="s">
        <v>4454</v>
      </c>
    </row>
    <row r="730" spans="1:5" x14ac:dyDescent="0.25">
      <c r="A730" s="5" t="s">
        <v>3062</v>
      </c>
      <c r="B730" s="6" t="s">
        <v>3832</v>
      </c>
      <c r="C730" s="7" t="s">
        <v>24</v>
      </c>
      <c r="D730" s="7" t="s">
        <v>4456</v>
      </c>
      <c r="E730" s="8" t="s">
        <v>4454</v>
      </c>
    </row>
    <row r="731" spans="1:5" x14ac:dyDescent="0.25">
      <c r="A731" s="5" t="s">
        <v>3560</v>
      </c>
      <c r="B731" s="6" t="s">
        <v>4335</v>
      </c>
      <c r="C731" s="7" t="s">
        <v>24</v>
      </c>
      <c r="D731" s="7" t="s">
        <v>4456</v>
      </c>
      <c r="E731" s="8" t="s">
        <v>4454</v>
      </c>
    </row>
    <row r="732" spans="1:5" x14ac:dyDescent="0.25">
      <c r="A732" s="5" t="s">
        <v>3063</v>
      </c>
      <c r="B732" s="6" t="s">
        <v>3833</v>
      </c>
      <c r="C732" s="7" t="s">
        <v>24</v>
      </c>
      <c r="D732" s="7" t="s">
        <v>4456</v>
      </c>
      <c r="E732" s="8" t="s">
        <v>4454</v>
      </c>
    </row>
    <row r="733" spans="1:5" x14ac:dyDescent="0.25">
      <c r="A733" s="5" t="s">
        <v>3073</v>
      </c>
      <c r="B733" s="6" t="s">
        <v>3843</v>
      </c>
      <c r="C733" s="7" t="s">
        <v>24</v>
      </c>
      <c r="D733" s="7" t="s">
        <v>4456</v>
      </c>
      <c r="E733" s="8" t="s">
        <v>4454</v>
      </c>
    </row>
    <row r="734" spans="1:5" x14ac:dyDescent="0.25">
      <c r="A734" s="5" t="s">
        <v>3064</v>
      </c>
      <c r="B734" s="6" t="s">
        <v>3834</v>
      </c>
      <c r="C734" s="7" t="s">
        <v>24</v>
      </c>
      <c r="D734" s="7" t="s">
        <v>4456</v>
      </c>
      <c r="E734" s="8" t="s">
        <v>4454</v>
      </c>
    </row>
    <row r="735" spans="1:5" x14ac:dyDescent="0.25">
      <c r="A735" s="5" t="s">
        <v>3069</v>
      </c>
      <c r="B735" s="6" t="s">
        <v>3839</v>
      </c>
      <c r="C735" s="7" t="s">
        <v>24</v>
      </c>
      <c r="D735" s="7" t="s">
        <v>4456</v>
      </c>
      <c r="E735" s="8" t="s">
        <v>4454</v>
      </c>
    </row>
    <row r="736" spans="1:5" x14ac:dyDescent="0.25">
      <c r="A736" s="5" t="s">
        <v>3065</v>
      </c>
      <c r="B736" s="6" t="s">
        <v>3835</v>
      </c>
      <c r="C736" s="7" t="s">
        <v>24</v>
      </c>
      <c r="D736" s="7" t="s">
        <v>4456</v>
      </c>
      <c r="E736" s="8" t="s">
        <v>4454</v>
      </c>
    </row>
    <row r="737" spans="1:5" x14ac:dyDescent="0.25">
      <c r="A737" s="5" t="s">
        <v>3075</v>
      </c>
      <c r="B737" s="6" t="s">
        <v>3845</v>
      </c>
      <c r="C737" s="7" t="s">
        <v>24</v>
      </c>
      <c r="D737" s="7" t="s">
        <v>4456</v>
      </c>
      <c r="E737" s="8" t="s">
        <v>4454</v>
      </c>
    </row>
    <row r="738" spans="1:5" x14ac:dyDescent="0.25">
      <c r="A738" s="12" t="s">
        <v>3066</v>
      </c>
      <c r="B738" s="6" t="s">
        <v>3836</v>
      </c>
      <c r="C738" s="13" t="s">
        <v>24</v>
      </c>
      <c r="D738" s="13" t="s">
        <v>4456</v>
      </c>
      <c r="E738" s="8" t="s">
        <v>4454</v>
      </c>
    </row>
    <row r="739" spans="1:5" x14ac:dyDescent="0.25">
      <c r="A739" s="5" t="s">
        <v>3079</v>
      </c>
      <c r="B739" s="6" t="s">
        <v>3849</v>
      </c>
      <c r="C739" s="7" t="s">
        <v>24</v>
      </c>
      <c r="D739" s="7" t="s">
        <v>4456</v>
      </c>
      <c r="E739" s="8" t="s">
        <v>4454</v>
      </c>
    </row>
    <row r="740" spans="1:5" x14ac:dyDescent="0.25">
      <c r="A740" s="5" t="s">
        <v>3070</v>
      </c>
      <c r="B740" s="6" t="s">
        <v>3840</v>
      </c>
      <c r="C740" s="7" t="s">
        <v>24</v>
      </c>
      <c r="D740" s="7" t="s">
        <v>4456</v>
      </c>
      <c r="E740" s="8" t="s">
        <v>4454</v>
      </c>
    </row>
    <row r="741" spans="1:5" x14ac:dyDescent="0.25">
      <c r="A741" s="5" t="s">
        <v>3236</v>
      </c>
      <c r="B741" s="6" t="s">
        <v>4007</v>
      </c>
      <c r="C741" s="7" t="s">
        <v>24</v>
      </c>
      <c r="D741" s="7" t="s">
        <v>4456</v>
      </c>
      <c r="E741" s="8" t="s">
        <v>4454</v>
      </c>
    </row>
    <row r="742" spans="1:5" x14ac:dyDescent="0.25">
      <c r="A742" s="5" t="s">
        <v>3067</v>
      </c>
      <c r="B742" s="6" t="s">
        <v>3837</v>
      </c>
      <c r="C742" s="7" t="s">
        <v>24</v>
      </c>
      <c r="D742" s="7" t="s">
        <v>4456</v>
      </c>
      <c r="E742" s="8" t="s">
        <v>4454</v>
      </c>
    </row>
    <row r="743" spans="1:5" x14ac:dyDescent="0.25">
      <c r="A743" s="5" t="s">
        <v>3071</v>
      </c>
      <c r="B743" s="6" t="s">
        <v>3841</v>
      </c>
      <c r="C743" s="7" t="s">
        <v>24</v>
      </c>
      <c r="D743" s="7" t="s">
        <v>4456</v>
      </c>
      <c r="E743" s="8" t="s">
        <v>4454</v>
      </c>
    </row>
    <row r="744" spans="1:5" x14ac:dyDescent="0.25">
      <c r="A744" s="5" t="s">
        <v>3077</v>
      </c>
      <c r="B744" s="6" t="s">
        <v>3847</v>
      </c>
      <c r="C744" s="7" t="s">
        <v>24</v>
      </c>
      <c r="D744" s="7" t="s">
        <v>4456</v>
      </c>
      <c r="E744" s="8" t="s">
        <v>4454</v>
      </c>
    </row>
    <row r="745" spans="1:5" x14ac:dyDescent="0.25">
      <c r="A745" s="5" t="s">
        <v>3068</v>
      </c>
      <c r="B745" s="6" t="s">
        <v>3838</v>
      </c>
      <c r="C745" s="7" t="s">
        <v>24</v>
      </c>
      <c r="D745" s="7" t="s">
        <v>4456</v>
      </c>
      <c r="E745" s="8" t="s">
        <v>4454</v>
      </c>
    </row>
    <row r="746" spans="1:5" x14ac:dyDescent="0.25">
      <c r="A746" s="12" t="s">
        <v>3083</v>
      </c>
      <c r="B746" s="6" t="s">
        <v>3853</v>
      </c>
      <c r="C746" s="13" t="s">
        <v>24</v>
      </c>
      <c r="D746" s="13" t="s">
        <v>4456</v>
      </c>
      <c r="E746" s="8" t="s">
        <v>4454</v>
      </c>
    </row>
    <row r="747" spans="1:5" x14ac:dyDescent="0.25">
      <c r="A747" s="5" t="s">
        <v>3081</v>
      </c>
      <c r="B747" s="6" t="s">
        <v>3851</v>
      </c>
      <c r="C747" s="7" t="s">
        <v>24</v>
      </c>
      <c r="D747" s="7" t="s">
        <v>4456</v>
      </c>
      <c r="E747" s="8" t="s">
        <v>4454</v>
      </c>
    </row>
    <row r="748" spans="1:5" x14ac:dyDescent="0.25">
      <c r="A748" s="5" t="s">
        <v>3072</v>
      </c>
      <c r="B748" s="6" t="s">
        <v>3842</v>
      </c>
      <c r="C748" s="7" t="s">
        <v>24</v>
      </c>
      <c r="D748" s="7" t="s">
        <v>4456</v>
      </c>
      <c r="E748" s="8" t="s">
        <v>4454</v>
      </c>
    </row>
    <row r="749" spans="1:5" x14ac:dyDescent="0.25">
      <c r="A749" s="5" t="s">
        <v>3201</v>
      </c>
      <c r="B749" s="6" t="s">
        <v>3972</v>
      </c>
      <c r="C749" s="7" t="s">
        <v>24</v>
      </c>
      <c r="D749" s="7" t="s">
        <v>4456</v>
      </c>
      <c r="E749" s="8" t="s">
        <v>4454</v>
      </c>
    </row>
    <row r="750" spans="1:5" x14ac:dyDescent="0.25">
      <c r="A750" s="5" t="s">
        <v>3202</v>
      </c>
      <c r="B750" s="6" t="s">
        <v>3973</v>
      </c>
      <c r="C750" s="7" t="s">
        <v>24</v>
      </c>
      <c r="D750" s="7" t="s">
        <v>4456</v>
      </c>
      <c r="E750" s="8" t="s">
        <v>4454</v>
      </c>
    </row>
    <row r="751" spans="1:5" x14ac:dyDescent="0.25">
      <c r="A751" s="5" t="s">
        <v>3203</v>
      </c>
      <c r="B751" s="6" t="s">
        <v>3974</v>
      </c>
      <c r="C751" s="7" t="s">
        <v>24</v>
      </c>
      <c r="D751" s="7" t="s">
        <v>4456</v>
      </c>
      <c r="E751" s="8" t="s">
        <v>4454</v>
      </c>
    </row>
    <row r="752" spans="1:5" x14ac:dyDescent="0.25">
      <c r="A752" s="5" t="s">
        <v>3204</v>
      </c>
      <c r="B752" s="6" t="s">
        <v>3975</v>
      </c>
      <c r="C752" s="7" t="s">
        <v>24</v>
      </c>
      <c r="D752" s="7" t="s">
        <v>4456</v>
      </c>
      <c r="E752" s="8" t="s">
        <v>4454</v>
      </c>
    </row>
    <row r="753" spans="1:5" x14ac:dyDescent="0.25">
      <c r="A753" s="5" t="s">
        <v>3205</v>
      </c>
      <c r="B753" s="6" t="s">
        <v>3976</v>
      </c>
      <c r="C753" s="7" t="s">
        <v>24</v>
      </c>
      <c r="D753" s="7" t="s">
        <v>4456</v>
      </c>
      <c r="E753" s="8" t="s">
        <v>4454</v>
      </c>
    </row>
    <row r="754" spans="1:5" x14ac:dyDescent="0.25">
      <c r="A754" s="5" t="s">
        <v>3206</v>
      </c>
      <c r="B754" s="6" t="s">
        <v>3977</v>
      </c>
      <c r="C754" s="7" t="s">
        <v>24</v>
      </c>
      <c r="D754" s="7" t="s">
        <v>4456</v>
      </c>
      <c r="E754" s="8" t="s">
        <v>4454</v>
      </c>
    </row>
    <row r="755" spans="1:5" x14ac:dyDescent="0.25">
      <c r="A755" s="12" t="s">
        <v>2938</v>
      </c>
      <c r="B755" s="6" t="s">
        <v>3701</v>
      </c>
      <c r="C755" s="13" t="s">
        <v>24</v>
      </c>
      <c r="D755" s="13" t="s">
        <v>4456</v>
      </c>
      <c r="E755" s="8" t="s">
        <v>4454</v>
      </c>
    </row>
    <row r="756" spans="1:5" x14ac:dyDescent="0.25">
      <c r="A756" s="5" t="s">
        <v>3052</v>
      </c>
      <c r="B756" s="6" t="s">
        <v>3822</v>
      </c>
      <c r="C756" s="7" t="s">
        <v>24</v>
      </c>
      <c r="D756" s="7" t="s">
        <v>4456</v>
      </c>
      <c r="E756" s="8" t="s">
        <v>4454</v>
      </c>
    </row>
    <row r="757" spans="1:5" x14ac:dyDescent="0.25">
      <c r="A757" s="5" t="s">
        <v>3051</v>
      </c>
      <c r="B757" s="6" t="s">
        <v>3821</v>
      </c>
      <c r="C757" s="7" t="s">
        <v>24</v>
      </c>
      <c r="D757" s="7" t="s">
        <v>4456</v>
      </c>
      <c r="E757" s="8" t="s">
        <v>4454</v>
      </c>
    </row>
    <row r="758" spans="1:5" x14ac:dyDescent="0.25">
      <c r="A758" s="12" t="s">
        <v>3053</v>
      </c>
      <c r="B758" s="6" t="s">
        <v>3823</v>
      </c>
      <c r="C758" s="13" t="s">
        <v>24</v>
      </c>
      <c r="D758" s="13" t="s">
        <v>4456</v>
      </c>
      <c r="E758" s="8" t="s">
        <v>4454</v>
      </c>
    </row>
    <row r="759" spans="1:5" x14ac:dyDescent="0.25">
      <c r="A759" s="5" t="s">
        <v>3058</v>
      </c>
      <c r="B759" s="6" t="s">
        <v>3828</v>
      </c>
      <c r="C759" s="7" t="s">
        <v>24</v>
      </c>
      <c r="D759" s="7" t="s">
        <v>4456</v>
      </c>
      <c r="E759" s="8" t="s">
        <v>4454</v>
      </c>
    </row>
    <row r="760" spans="1:5" x14ac:dyDescent="0.25">
      <c r="A760" s="12" t="s">
        <v>3059</v>
      </c>
      <c r="B760" s="11" t="s">
        <v>3829</v>
      </c>
      <c r="C760" s="13" t="s">
        <v>24</v>
      </c>
      <c r="D760" s="13" t="s">
        <v>4456</v>
      </c>
      <c r="E760" s="8" t="s">
        <v>4454</v>
      </c>
    </row>
    <row r="761" spans="1:5" x14ac:dyDescent="0.25">
      <c r="A761" s="5" t="s">
        <v>3054</v>
      </c>
      <c r="B761" s="6" t="s">
        <v>3824</v>
      </c>
      <c r="C761" s="7" t="s">
        <v>24</v>
      </c>
      <c r="D761" s="7" t="s">
        <v>4456</v>
      </c>
      <c r="E761" s="8" t="s">
        <v>4454</v>
      </c>
    </row>
    <row r="762" spans="1:5" x14ac:dyDescent="0.25">
      <c r="A762" s="5" t="s">
        <v>3060</v>
      </c>
      <c r="B762" s="6" t="s">
        <v>3830</v>
      </c>
      <c r="C762" s="13" t="s">
        <v>24</v>
      </c>
      <c r="D762" s="13" t="s">
        <v>4456</v>
      </c>
      <c r="E762" s="8" t="s">
        <v>4454</v>
      </c>
    </row>
    <row r="763" spans="1:5" x14ac:dyDescent="0.25">
      <c r="A763" s="5" t="s">
        <v>3055</v>
      </c>
      <c r="B763" s="6" t="s">
        <v>3825</v>
      </c>
      <c r="C763" s="7" t="s">
        <v>24</v>
      </c>
      <c r="D763" s="7" t="s">
        <v>4456</v>
      </c>
      <c r="E763" s="8" t="s">
        <v>4454</v>
      </c>
    </row>
    <row r="764" spans="1:5" x14ac:dyDescent="0.25">
      <c r="A764" s="5" t="s">
        <v>3061</v>
      </c>
      <c r="B764" s="6" t="s">
        <v>3831</v>
      </c>
      <c r="C764" s="7" t="s">
        <v>24</v>
      </c>
      <c r="D764" s="7" t="s">
        <v>4456</v>
      </c>
      <c r="E764" s="8" t="s">
        <v>4454</v>
      </c>
    </row>
    <row r="765" spans="1:5" x14ac:dyDescent="0.25">
      <c r="A765" s="5" t="s">
        <v>3056</v>
      </c>
      <c r="B765" s="6" t="s">
        <v>3826</v>
      </c>
      <c r="C765" s="7" t="s">
        <v>24</v>
      </c>
      <c r="D765" s="7" t="s">
        <v>4456</v>
      </c>
      <c r="E765" s="8" t="s">
        <v>4454</v>
      </c>
    </row>
    <row r="766" spans="1:5" x14ac:dyDescent="0.25">
      <c r="A766" s="5" t="s">
        <v>3074</v>
      </c>
      <c r="B766" s="6" t="s">
        <v>3844</v>
      </c>
      <c r="C766" s="7" t="s">
        <v>24</v>
      </c>
      <c r="D766" s="7" t="s">
        <v>4456</v>
      </c>
      <c r="E766" s="8" t="s">
        <v>4454</v>
      </c>
    </row>
    <row r="767" spans="1:5" x14ac:dyDescent="0.25">
      <c r="A767" s="5" t="s">
        <v>2944</v>
      </c>
      <c r="B767" s="6" t="s">
        <v>3707</v>
      </c>
      <c r="C767" s="7" t="s">
        <v>24</v>
      </c>
      <c r="D767" s="7" t="s">
        <v>4456</v>
      </c>
      <c r="E767" s="8" t="s">
        <v>4454</v>
      </c>
    </row>
    <row r="768" spans="1:5" x14ac:dyDescent="0.25">
      <c r="A768" s="5" t="s">
        <v>2939</v>
      </c>
      <c r="B768" s="6" t="s">
        <v>3702</v>
      </c>
      <c r="C768" s="7" t="s">
        <v>24</v>
      </c>
      <c r="D768" s="7" t="s">
        <v>4456</v>
      </c>
      <c r="E768" s="8" t="s">
        <v>4454</v>
      </c>
    </row>
    <row r="769" spans="1:5" x14ac:dyDescent="0.25">
      <c r="A769" s="5" t="s">
        <v>3519</v>
      </c>
      <c r="B769" s="6" t="s">
        <v>4293</v>
      </c>
      <c r="C769" s="7" t="s">
        <v>24</v>
      </c>
      <c r="D769" s="7" t="s">
        <v>4456</v>
      </c>
      <c r="E769" s="8" t="s">
        <v>4454</v>
      </c>
    </row>
    <row r="770" spans="1:5" x14ac:dyDescent="0.25">
      <c r="A770" s="5" t="s">
        <v>3090</v>
      </c>
      <c r="B770" s="6" t="s">
        <v>3860</v>
      </c>
      <c r="C770" s="7" t="s">
        <v>24</v>
      </c>
      <c r="D770" s="7" t="s">
        <v>4456</v>
      </c>
      <c r="E770" s="8" t="s">
        <v>4454</v>
      </c>
    </row>
    <row r="771" spans="1:5" x14ac:dyDescent="0.25">
      <c r="A771" s="12" t="s">
        <v>2954</v>
      </c>
      <c r="B771" s="6" t="s">
        <v>3717</v>
      </c>
      <c r="C771" s="13" t="s">
        <v>24</v>
      </c>
      <c r="D771" s="13" t="s">
        <v>4456</v>
      </c>
      <c r="E771" s="8" t="s">
        <v>4454</v>
      </c>
    </row>
    <row r="772" spans="1:5" x14ac:dyDescent="0.25">
      <c r="A772" s="5" t="s">
        <v>2955</v>
      </c>
      <c r="B772" s="6" t="s">
        <v>3718</v>
      </c>
      <c r="C772" s="7" t="s">
        <v>24</v>
      </c>
      <c r="D772" s="7" t="s">
        <v>4456</v>
      </c>
      <c r="E772" s="8" t="s">
        <v>4454</v>
      </c>
    </row>
    <row r="773" spans="1:5" x14ac:dyDescent="0.25">
      <c r="A773" s="5" t="s">
        <v>2950</v>
      </c>
      <c r="B773" s="6" t="s">
        <v>3713</v>
      </c>
      <c r="C773" s="7" t="s">
        <v>24</v>
      </c>
      <c r="D773" s="7" t="s">
        <v>4456</v>
      </c>
      <c r="E773" s="8" t="s">
        <v>4454</v>
      </c>
    </row>
    <row r="774" spans="1:5" x14ac:dyDescent="0.25">
      <c r="A774" s="5" t="s">
        <v>3172</v>
      </c>
      <c r="B774" s="6" t="s">
        <v>3943</v>
      </c>
      <c r="C774" s="7" t="s">
        <v>24</v>
      </c>
      <c r="D774" s="7" t="s">
        <v>4456</v>
      </c>
      <c r="E774" s="8" t="s">
        <v>4454</v>
      </c>
    </row>
    <row r="775" spans="1:5" x14ac:dyDescent="0.25">
      <c r="A775" s="5" t="s">
        <v>3173</v>
      </c>
      <c r="B775" s="6" t="s">
        <v>3944</v>
      </c>
      <c r="C775" s="7" t="s">
        <v>24</v>
      </c>
      <c r="D775" s="7" t="s">
        <v>4456</v>
      </c>
      <c r="E775" s="8" t="s">
        <v>4454</v>
      </c>
    </row>
    <row r="776" spans="1:5" x14ac:dyDescent="0.25">
      <c r="A776" s="5" t="s">
        <v>3089</v>
      </c>
      <c r="B776" s="6" t="s">
        <v>3859</v>
      </c>
      <c r="C776" s="7" t="s">
        <v>24</v>
      </c>
      <c r="D776" s="7" t="s">
        <v>4456</v>
      </c>
      <c r="E776" s="8" t="s">
        <v>4454</v>
      </c>
    </row>
    <row r="777" spans="1:5" x14ac:dyDescent="0.25">
      <c r="A777" s="5" t="s">
        <v>2946</v>
      </c>
      <c r="B777" s="6" t="s">
        <v>3709</v>
      </c>
      <c r="C777" s="7" t="s">
        <v>24</v>
      </c>
      <c r="D777" s="7" t="s">
        <v>4456</v>
      </c>
      <c r="E777" s="8" t="s">
        <v>4454</v>
      </c>
    </row>
    <row r="778" spans="1:5" x14ac:dyDescent="0.25">
      <c r="A778" s="5" t="s">
        <v>2945</v>
      </c>
      <c r="B778" s="6" t="s">
        <v>3708</v>
      </c>
      <c r="C778" s="7" t="s">
        <v>24</v>
      </c>
      <c r="D778" s="7" t="s">
        <v>4456</v>
      </c>
      <c r="E778" s="8" t="s">
        <v>4454</v>
      </c>
    </row>
    <row r="779" spans="1:5" x14ac:dyDescent="0.25">
      <c r="A779" s="5" t="s">
        <v>2947</v>
      </c>
      <c r="B779" s="6" t="s">
        <v>3710</v>
      </c>
      <c r="C779" s="7" t="s">
        <v>24</v>
      </c>
      <c r="D779" s="7" t="s">
        <v>4456</v>
      </c>
      <c r="E779" s="8" t="s">
        <v>4454</v>
      </c>
    </row>
    <row r="780" spans="1:5" x14ac:dyDescent="0.25">
      <c r="A780" s="5" t="s">
        <v>2956</v>
      </c>
      <c r="B780" s="6" t="s">
        <v>3719</v>
      </c>
      <c r="C780" s="7" t="s">
        <v>24</v>
      </c>
      <c r="D780" s="7" t="s">
        <v>4456</v>
      </c>
      <c r="E780" s="8" t="s">
        <v>4454</v>
      </c>
    </row>
    <row r="781" spans="1:5" x14ac:dyDescent="0.25">
      <c r="A781" s="5" t="s">
        <v>3013</v>
      </c>
      <c r="B781" s="6" t="s">
        <v>3782</v>
      </c>
      <c r="C781" s="7" t="s">
        <v>24</v>
      </c>
      <c r="D781" s="7" t="s">
        <v>4456</v>
      </c>
      <c r="E781" s="8" t="s">
        <v>4454</v>
      </c>
    </row>
    <row r="782" spans="1:5" x14ac:dyDescent="0.25">
      <c r="A782" s="5" t="s">
        <v>3016</v>
      </c>
      <c r="B782" s="6" t="s">
        <v>3785</v>
      </c>
      <c r="C782" s="7" t="s">
        <v>24</v>
      </c>
      <c r="D782" s="7" t="s">
        <v>4456</v>
      </c>
      <c r="E782" s="8" t="s">
        <v>4454</v>
      </c>
    </row>
    <row r="783" spans="1:5" x14ac:dyDescent="0.25">
      <c r="A783" s="5" t="s">
        <v>3195</v>
      </c>
      <c r="B783" s="6" t="s">
        <v>3966</v>
      </c>
      <c r="C783" s="7" t="s">
        <v>24</v>
      </c>
      <c r="D783" s="7" t="s">
        <v>4456</v>
      </c>
      <c r="E783" s="8" t="s">
        <v>4454</v>
      </c>
    </row>
    <row r="784" spans="1:5" x14ac:dyDescent="0.25">
      <c r="A784" s="5" t="s">
        <v>3196</v>
      </c>
      <c r="B784" s="6" t="s">
        <v>3967</v>
      </c>
      <c r="C784" s="7" t="s">
        <v>24</v>
      </c>
      <c r="D784" s="7" t="s">
        <v>4456</v>
      </c>
      <c r="E784" s="8" t="s">
        <v>4454</v>
      </c>
    </row>
    <row r="785" spans="1:5" x14ac:dyDescent="0.25">
      <c r="A785" s="12" t="s">
        <v>3197</v>
      </c>
      <c r="B785" s="6" t="s">
        <v>3968</v>
      </c>
      <c r="C785" s="13" t="s">
        <v>24</v>
      </c>
      <c r="D785" s="13" t="s">
        <v>4456</v>
      </c>
      <c r="E785" s="8" t="s">
        <v>4454</v>
      </c>
    </row>
    <row r="786" spans="1:5" x14ac:dyDescent="0.25">
      <c r="A786" s="5" t="s">
        <v>3198</v>
      </c>
      <c r="B786" s="6" t="s">
        <v>3969</v>
      </c>
      <c r="C786" s="7" t="s">
        <v>24</v>
      </c>
      <c r="D786" s="7" t="s">
        <v>4456</v>
      </c>
      <c r="E786" s="8" t="s">
        <v>4454</v>
      </c>
    </row>
    <row r="787" spans="1:5" x14ac:dyDescent="0.25">
      <c r="A787" s="5" t="s">
        <v>3199</v>
      </c>
      <c r="B787" s="6" t="s">
        <v>3970</v>
      </c>
      <c r="C787" s="7" t="s">
        <v>24</v>
      </c>
      <c r="D787" s="7" t="s">
        <v>4456</v>
      </c>
      <c r="E787" s="8" t="s">
        <v>4454</v>
      </c>
    </row>
    <row r="788" spans="1:5" x14ac:dyDescent="0.25">
      <c r="A788" s="5" t="s">
        <v>3200</v>
      </c>
      <c r="B788" s="6" t="s">
        <v>3971</v>
      </c>
      <c r="C788" s="7" t="s">
        <v>24</v>
      </c>
      <c r="D788" s="7" t="s">
        <v>4456</v>
      </c>
      <c r="E788" s="8" t="s">
        <v>4454</v>
      </c>
    </row>
    <row r="789" spans="1:5" x14ac:dyDescent="0.25">
      <c r="A789" s="5" t="s">
        <v>2963</v>
      </c>
      <c r="B789" s="6" t="s">
        <v>3726</v>
      </c>
      <c r="C789" s="7" t="s">
        <v>24</v>
      </c>
      <c r="D789" s="7" t="s">
        <v>4456</v>
      </c>
      <c r="E789" s="8" t="s">
        <v>4454</v>
      </c>
    </row>
    <row r="790" spans="1:5" x14ac:dyDescent="0.25">
      <c r="A790" s="5" t="s">
        <v>2957</v>
      </c>
      <c r="B790" s="6" t="s">
        <v>3720</v>
      </c>
      <c r="C790" s="7" t="s">
        <v>24</v>
      </c>
      <c r="D790" s="7" t="s">
        <v>4456</v>
      </c>
      <c r="E790" s="8" t="s">
        <v>4454</v>
      </c>
    </row>
    <row r="791" spans="1:5" x14ac:dyDescent="0.25">
      <c r="A791" s="5" t="s">
        <v>2964</v>
      </c>
      <c r="B791" s="6" t="s">
        <v>3727</v>
      </c>
      <c r="C791" s="7" t="s">
        <v>24</v>
      </c>
      <c r="D791" s="7" t="s">
        <v>4456</v>
      </c>
      <c r="E791" s="8" t="s">
        <v>4454</v>
      </c>
    </row>
    <row r="792" spans="1:5" x14ac:dyDescent="0.25">
      <c r="A792" s="12" t="s">
        <v>2958</v>
      </c>
      <c r="B792" s="6" t="s">
        <v>3721</v>
      </c>
      <c r="C792" s="13" t="s">
        <v>24</v>
      </c>
      <c r="D792" s="13" t="s">
        <v>4456</v>
      </c>
      <c r="E792" s="8" t="s">
        <v>4454</v>
      </c>
    </row>
    <row r="793" spans="1:5" x14ac:dyDescent="0.25">
      <c r="A793" s="5" t="s">
        <v>2965</v>
      </c>
      <c r="B793" s="6" t="s">
        <v>3728</v>
      </c>
      <c r="C793" s="7" t="s">
        <v>24</v>
      </c>
      <c r="D793" s="7" t="s">
        <v>4456</v>
      </c>
      <c r="E793" s="8" t="s">
        <v>4454</v>
      </c>
    </row>
    <row r="794" spans="1:5" x14ac:dyDescent="0.25">
      <c r="A794" s="5" t="s">
        <v>2959</v>
      </c>
      <c r="B794" s="6" t="s">
        <v>3722</v>
      </c>
      <c r="C794" s="7" t="s">
        <v>24</v>
      </c>
      <c r="D794" s="7" t="s">
        <v>4456</v>
      </c>
      <c r="E794" s="8" t="s">
        <v>4454</v>
      </c>
    </row>
    <row r="795" spans="1:5" x14ac:dyDescent="0.25">
      <c r="A795" s="5" t="s">
        <v>2966</v>
      </c>
      <c r="B795" s="6" t="s">
        <v>3729</v>
      </c>
      <c r="C795" s="7" t="s">
        <v>24</v>
      </c>
      <c r="D795" s="7" t="s">
        <v>4456</v>
      </c>
      <c r="E795" s="8" t="s">
        <v>4454</v>
      </c>
    </row>
    <row r="796" spans="1:5" x14ac:dyDescent="0.25">
      <c r="A796" s="5" t="s">
        <v>2960</v>
      </c>
      <c r="B796" s="6" t="s">
        <v>3723</v>
      </c>
      <c r="C796" s="7" t="s">
        <v>24</v>
      </c>
      <c r="D796" s="7" t="s">
        <v>4456</v>
      </c>
      <c r="E796" s="8" t="s">
        <v>4454</v>
      </c>
    </row>
    <row r="797" spans="1:5" x14ac:dyDescent="0.25">
      <c r="A797" s="5" t="s">
        <v>2967</v>
      </c>
      <c r="B797" s="6" t="s">
        <v>3730</v>
      </c>
      <c r="C797" s="7" t="s">
        <v>24</v>
      </c>
      <c r="D797" s="7" t="s">
        <v>4456</v>
      </c>
      <c r="E797" s="8" t="s">
        <v>4454</v>
      </c>
    </row>
    <row r="798" spans="1:5" x14ac:dyDescent="0.25">
      <c r="A798" s="5" t="s">
        <v>2961</v>
      </c>
      <c r="B798" s="6" t="s">
        <v>3724</v>
      </c>
      <c r="C798" s="7" t="s">
        <v>24</v>
      </c>
      <c r="D798" s="7" t="s">
        <v>4456</v>
      </c>
      <c r="E798" s="8" t="s">
        <v>4454</v>
      </c>
    </row>
    <row r="799" spans="1:5" x14ac:dyDescent="0.25">
      <c r="A799" s="5" t="s">
        <v>2968</v>
      </c>
      <c r="B799" s="6" t="s">
        <v>3731</v>
      </c>
      <c r="C799" s="7" t="s">
        <v>24</v>
      </c>
      <c r="D799" s="7" t="s">
        <v>4456</v>
      </c>
      <c r="E799" s="8" t="s">
        <v>4454</v>
      </c>
    </row>
    <row r="800" spans="1:5" x14ac:dyDescent="0.25">
      <c r="A800" s="12" t="s">
        <v>2962</v>
      </c>
      <c r="B800" s="6" t="s">
        <v>3725</v>
      </c>
      <c r="C800" s="13" t="s">
        <v>24</v>
      </c>
      <c r="D800" s="13" t="s">
        <v>4456</v>
      </c>
      <c r="E800" s="8" t="s">
        <v>4454</v>
      </c>
    </row>
    <row r="801" spans="1:5" x14ac:dyDescent="0.25">
      <c r="A801" s="5" t="s">
        <v>2937</v>
      </c>
      <c r="B801" s="6" t="s">
        <v>3700</v>
      </c>
      <c r="C801" s="7" t="s">
        <v>24</v>
      </c>
      <c r="D801" s="7" t="s">
        <v>4456</v>
      </c>
      <c r="E801" s="8" t="s">
        <v>4454</v>
      </c>
    </row>
    <row r="802" spans="1:5" x14ac:dyDescent="0.25">
      <c r="A802" s="5" t="s">
        <v>3516</v>
      </c>
      <c r="B802" s="6" t="s">
        <v>4290</v>
      </c>
      <c r="C802" s="7" t="s">
        <v>24</v>
      </c>
      <c r="D802" s="7" t="s">
        <v>4456</v>
      </c>
      <c r="E802" s="8" t="s">
        <v>4454</v>
      </c>
    </row>
    <row r="803" spans="1:5" x14ac:dyDescent="0.25">
      <c r="A803" s="5" t="s">
        <v>3042</v>
      </c>
      <c r="B803" s="6" t="s">
        <v>3812</v>
      </c>
      <c r="C803" s="7" t="s">
        <v>24</v>
      </c>
      <c r="D803" s="7" t="s">
        <v>4456</v>
      </c>
      <c r="E803" s="8" t="s">
        <v>4454</v>
      </c>
    </row>
    <row r="804" spans="1:5" x14ac:dyDescent="0.25">
      <c r="A804" s="5" t="s">
        <v>3043</v>
      </c>
      <c r="B804" s="6" t="s">
        <v>3813</v>
      </c>
      <c r="C804" s="7" t="s">
        <v>24</v>
      </c>
      <c r="D804" s="7" t="s">
        <v>4456</v>
      </c>
      <c r="E804" s="8" t="s">
        <v>4454</v>
      </c>
    </row>
    <row r="805" spans="1:5" x14ac:dyDescent="0.25">
      <c r="A805" s="5" t="s">
        <v>3035</v>
      </c>
      <c r="B805" s="6" t="s">
        <v>3805</v>
      </c>
      <c r="C805" s="7" t="s">
        <v>24</v>
      </c>
      <c r="D805" s="7" t="s">
        <v>4456</v>
      </c>
      <c r="E805" s="8" t="s">
        <v>4454</v>
      </c>
    </row>
    <row r="806" spans="1:5" x14ac:dyDescent="0.25">
      <c r="A806" s="5" t="s">
        <v>3036</v>
      </c>
      <c r="B806" s="6" t="s">
        <v>3806</v>
      </c>
      <c r="C806" s="7" t="s">
        <v>24</v>
      </c>
      <c r="D806" s="7" t="s">
        <v>4456</v>
      </c>
      <c r="E806" s="8" t="s">
        <v>4454</v>
      </c>
    </row>
    <row r="807" spans="1:5" x14ac:dyDescent="0.25">
      <c r="A807" s="5" t="s">
        <v>3037</v>
      </c>
      <c r="B807" s="6" t="s">
        <v>3807</v>
      </c>
      <c r="C807" s="7" t="s">
        <v>24</v>
      </c>
      <c r="D807" s="7" t="s">
        <v>4456</v>
      </c>
      <c r="E807" s="8" t="s">
        <v>4454</v>
      </c>
    </row>
    <row r="808" spans="1:5" x14ac:dyDescent="0.25">
      <c r="A808" s="5" t="s">
        <v>3038</v>
      </c>
      <c r="B808" s="6" t="s">
        <v>3808</v>
      </c>
      <c r="C808" s="7" t="s">
        <v>24</v>
      </c>
      <c r="D808" s="7" t="s">
        <v>4456</v>
      </c>
      <c r="E808" s="8" t="s">
        <v>4454</v>
      </c>
    </row>
    <row r="809" spans="1:5" x14ac:dyDescent="0.25">
      <c r="A809" s="5" t="s">
        <v>3044</v>
      </c>
      <c r="B809" s="6" t="s">
        <v>3814</v>
      </c>
      <c r="C809" s="7" t="s">
        <v>24</v>
      </c>
      <c r="D809" s="7" t="s">
        <v>4456</v>
      </c>
      <c r="E809" s="8" t="s">
        <v>4454</v>
      </c>
    </row>
    <row r="810" spans="1:5" x14ac:dyDescent="0.25">
      <c r="A810" s="5" t="s">
        <v>3039</v>
      </c>
      <c r="B810" s="6" t="s">
        <v>3809</v>
      </c>
      <c r="C810" s="7" t="s">
        <v>24</v>
      </c>
      <c r="D810" s="7" t="s">
        <v>4456</v>
      </c>
      <c r="E810" s="8" t="s">
        <v>4454</v>
      </c>
    </row>
    <row r="811" spans="1:5" x14ac:dyDescent="0.25">
      <c r="A811" s="5" t="s">
        <v>3210</v>
      </c>
      <c r="B811" s="6" t="s">
        <v>3981</v>
      </c>
      <c r="C811" s="7" t="s">
        <v>24</v>
      </c>
      <c r="D811" s="7" t="s">
        <v>4456</v>
      </c>
      <c r="E811" s="8" t="s">
        <v>4454</v>
      </c>
    </row>
    <row r="812" spans="1:5" x14ac:dyDescent="0.25">
      <c r="A812" s="5" t="s">
        <v>3032</v>
      </c>
      <c r="B812" s="6" t="s">
        <v>3802</v>
      </c>
      <c r="C812" s="7" t="s">
        <v>24</v>
      </c>
      <c r="D812" s="7" t="s">
        <v>4456</v>
      </c>
      <c r="E812" s="8" t="s">
        <v>4454</v>
      </c>
    </row>
    <row r="813" spans="1:5" x14ac:dyDescent="0.25">
      <c r="A813" s="5" t="s">
        <v>3045</v>
      </c>
      <c r="B813" s="6" t="s">
        <v>3815</v>
      </c>
      <c r="C813" s="7" t="s">
        <v>24</v>
      </c>
      <c r="D813" s="7" t="s">
        <v>4456</v>
      </c>
      <c r="E813" s="8" t="s">
        <v>4454</v>
      </c>
    </row>
    <row r="814" spans="1:5" x14ac:dyDescent="0.25">
      <c r="A814" s="5" t="s">
        <v>3040</v>
      </c>
      <c r="B814" s="6" t="s">
        <v>3810</v>
      </c>
      <c r="C814" s="7" t="s">
        <v>24</v>
      </c>
      <c r="D814" s="7" t="s">
        <v>4456</v>
      </c>
      <c r="E814" s="8" t="s">
        <v>4454</v>
      </c>
    </row>
    <row r="815" spans="1:5" x14ac:dyDescent="0.25">
      <c r="A815" s="5" t="s">
        <v>3046</v>
      </c>
      <c r="B815" s="6" t="s">
        <v>3816</v>
      </c>
      <c r="C815" s="7" t="s">
        <v>24</v>
      </c>
      <c r="D815" s="7" t="s">
        <v>4456</v>
      </c>
      <c r="E815" s="8" t="s">
        <v>4454</v>
      </c>
    </row>
    <row r="816" spans="1:5" x14ac:dyDescent="0.25">
      <c r="A816" s="5" t="s">
        <v>3048</v>
      </c>
      <c r="B816" s="6" t="s">
        <v>3818</v>
      </c>
      <c r="C816" s="7" t="s">
        <v>24</v>
      </c>
      <c r="D816" s="7" t="s">
        <v>4456</v>
      </c>
      <c r="E816" s="8" t="s">
        <v>4454</v>
      </c>
    </row>
    <row r="817" spans="1:5" x14ac:dyDescent="0.25">
      <c r="A817" s="12" t="s">
        <v>3041</v>
      </c>
      <c r="B817" s="6" t="s">
        <v>3811</v>
      </c>
      <c r="C817" s="13" t="s">
        <v>24</v>
      </c>
      <c r="D817" s="13" t="s">
        <v>4456</v>
      </c>
      <c r="E817" s="8" t="s">
        <v>4454</v>
      </c>
    </row>
    <row r="818" spans="1:5" x14ac:dyDescent="0.25">
      <c r="A818" s="5" t="s">
        <v>3047</v>
      </c>
      <c r="B818" s="6" t="s">
        <v>3817</v>
      </c>
      <c r="C818" s="7" t="s">
        <v>24</v>
      </c>
      <c r="D818" s="7" t="s">
        <v>4456</v>
      </c>
      <c r="E818" s="8" t="s">
        <v>4454</v>
      </c>
    </row>
    <row r="819" spans="1:5" x14ac:dyDescent="0.25">
      <c r="A819" s="5" t="s">
        <v>3207</v>
      </c>
      <c r="B819" s="6" t="s">
        <v>3978</v>
      </c>
      <c r="C819" s="7" t="s">
        <v>24</v>
      </c>
      <c r="D819" s="7" t="s">
        <v>4456</v>
      </c>
      <c r="E819" s="8" t="s">
        <v>4454</v>
      </c>
    </row>
    <row r="820" spans="1:5" x14ac:dyDescent="0.25">
      <c r="A820" s="5" t="s">
        <v>3208</v>
      </c>
      <c r="B820" s="6" t="s">
        <v>3979</v>
      </c>
      <c r="C820" s="7" t="s">
        <v>24</v>
      </c>
      <c r="D820" s="7" t="s">
        <v>4456</v>
      </c>
      <c r="E820" s="8" t="s">
        <v>4454</v>
      </c>
    </row>
    <row r="821" spans="1:5" x14ac:dyDescent="0.25">
      <c r="A821" s="5" t="s">
        <v>3209</v>
      </c>
      <c r="B821" s="6" t="s">
        <v>3980</v>
      </c>
      <c r="C821" s="7" t="s">
        <v>24</v>
      </c>
      <c r="D821" s="7" t="s">
        <v>4456</v>
      </c>
      <c r="E821" s="8" t="s">
        <v>4454</v>
      </c>
    </row>
    <row r="822" spans="1:5" x14ac:dyDescent="0.25">
      <c r="A822" s="5" t="s">
        <v>3211</v>
      </c>
      <c r="B822" s="6" t="s">
        <v>3982</v>
      </c>
      <c r="C822" s="7" t="s">
        <v>24</v>
      </c>
      <c r="D822" s="7" t="s">
        <v>4456</v>
      </c>
      <c r="E822" s="8" t="s">
        <v>4454</v>
      </c>
    </row>
    <row r="823" spans="1:5" x14ac:dyDescent="0.25">
      <c r="A823" s="5" t="s">
        <v>2934</v>
      </c>
      <c r="B823" s="6" t="s">
        <v>3697</v>
      </c>
      <c r="C823" s="7" t="s">
        <v>24</v>
      </c>
      <c r="D823" s="7" t="s">
        <v>4456</v>
      </c>
      <c r="E823" s="8" t="s">
        <v>4454</v>
      </c>
    </row>
    <row r="824" spans="1:5" x14ac:dyDescent="0.25">
      <c r="A824" s="5" t="s">
        <v>3027</v>
      </c>
      <c r="B824" s="6" t="s">
        <v>3796</v>
      </c>
      <c r="C824" s="7" t="s">
        <v>24</v>
      </c>
      <c r="D824" s="7" t="s">
        <v>4456</v>
      </c>
      <c r="E824" s="8" t="s">
        <v>4454</v>
      </c>
    </row>
    <row r="825" spans="1:5" x14ac:dyDescent="0.25">
      <c r="A825" s="5" t="s">
        <v>3027</v>
      </c>
      <c r="B825" s="6" t="s">
        <v>3797</v>
      </c>
      <c r="C825" s="7" t="s">
        <v>24</v>
      </c>
      <c r="D825" s="7" t="s">
        <v>4456</v>
      </c>
      <c r="E825" s="8" t="s">
        <v>4454</v>
      </c>
    </row>
    <row r="826" spans="1:5" x14ac:dyDescent="0.25">
      <c r="A826" s="5" t="s">
        <v>3028</v>
      </c>
      <c r="B826" s="6" t="s">
        <v>3798</v>
      </c>
      <c r="C826" s="7" t="s">
        <v>24</v>
      </c>
      <c r="D826" s="7" t="s">
        <v>4456</v>
      </c>
      <c r="E826" s="8" t="s">
        <v>4454</v>
      </c>
    </row>
    <row r="827" spans="1:5" x14ac:dyDescent="0.25">
      <c r="A827" s="5" t="s">
        <v>3029</v>
      </c>
      <c r="B827" s="6" t="s">
        <v>3799</v>
      </c>
      <c r="C827" s="7" t="s">
        <v>24</v>
      </c>
      <c r="D827" s="7" t="s">
        <v>4456</v>
      </c>
      <c r="E827" s="8" t="s">
        <v>4454</v>
      </c>
    </row>
    <row r="828" spans="1:5" x14ac:dyDescent="0.25">
      <c r="A828" s="5" t="s">
        <v>3030</v>
      </c>
      <c r="B828" s="6" t="s">
        <v>3800</v>
      </c>
      <c r="C828" s="7" t="s">
        <v>24</v>
      </c>
      <c r="D828" s="7" t="s">
        <v>4456</v>
      </c>
      <c r="E828" s="8" t="s">
        <v>4454</v>
      </c>
    </row>
    <row r="829" spans="1:5" x14ac:dyDescent="0.25">
      <c r="A829" s="5" t="s">
        <v>3031</v>
      </c>
      <c r="B829" s="6" t="s">
        <v>3801</v>
      </c>
      <c r="C829" s="7" t="s">
        <v>24</v>
      </c>
      <c r="D829" s="7" t="s">
        <v>4456</v>
      </c>
      <c r="E829" s="8" t="s">
        <v>4454</v>
      </c>
    </row>
    <row r="830" spans="1:5" x14ac:dyDescent="0.25">
      <c r="A830" s="5" t="s">
        <v>3022</v>
      </c>
      <c r="B830" s="6" t="s">
        <v>3791</v>
      </c>
      <c r="C830" s="7" t="s">
        <v>24</v>
      </c>
      <c r="D830" s="7" t="s">
        <v>4456</v>
      </c>
      <c r="E830" s="8" t="s">
        <v>4454</v>
      </c>
    </row>
    <row r="831" spans="1:5" x14ac:dyDescent="0.25">
      <c r="A831" s="5" t="s">
        <v>3023</v>
      </c>
      <c r="B831" s="6" t="s">
        <v>3792</v>
      </c>
      <c r="C831" s="7" t="s">
        <v>24</v>
      </c>
      <c r="D831" s="7" t="s">
        <v>4456</v>
      </c>
      <c r="E831" s="8" t="s">
        <v>4454</v>
      </c>
    </row>
    <row r="832" spans="1:5" x14ac:dyDescent="0.25">
      <c r="A832" s="5" t="s">
        <v>3024</v>
      </c>
      <c r="B832" s="6" t="s">
        <v>3793</v>
      </c>
      <c r="C832" s="7" t="s">
        <v>24</v>
      </c>
      <c r="D832" s="7" t="s">
        <v>4456</v>
      </c>
      <c r="E832" s="8" t="s">
        <v>4454</v>
      </c>
    </row>
    <row r="833" spans="1:5" x14ac:dyDescent="0.25">
      <c r="A833" s="5" t="s">
        <v>3033</v>
      </c>
      <c r="B833" s="6" t="s">
        <v>3803</v>
      </c>
      <c r="C833" s="7" t="s">
        <v>24</v>
      </c>
      <c r="D833" s="7" t="s">
        <v>4456</v>
      </c>
      <c r="E833" s="8" t="s">
        <v>4454</v>
      </c>
    </row>
    <row r="834" spans="1:5" x14ac:dyDescent="0.25">
      <c r="A834" s="5" t="s">
        <v>3025</v>
      </c>
      <c r="B834" s="6" t="s">
        <v>3794</v>
      </c>
      <c r="C834" s="7" t="s">
        <v>24</v>
      </c>
      <c r="D834" s="7" t="s">
        <v>4456</v>
      </c>
      <c r="E834" s="8" t="s">
        <v>4454</v>
      </c>
    </row>
    <row r="835" spans="1:5" x14ac:dyDescent="0.25">
      <c r="A835" s="5" t="s">
        <v>3034</v>
      </c>
      <c r="B835" s="6" t="s">
        <v>3804</v>
      </c>
      <c r="C835" s="7" t="s">
        <v>24</v>
      </c>
      <c r="D835" s="7" t="s">
        <v>4456</v>
      </c>
      <c r="E835" s="8" t="s">
        <v>4454</v>
      </c>
    </row>
    <row r="836" spans="1:5" x14ac:dyDescent="0.25">
      <c r="A836" s="5" t="s">
        <v>3026</v>
      </c>
      <c r="B836" s="6" t="s">
        <v>3795</v>
      </c>
      <c r="C836" s="7" t="s">
        <v>24</v>
      </c>
      <c r="D836" s="7" t="s">
        <v>4456</v>
      </c>
      <c r="E836" s="8" t="s">
        <v>4454</v>
      </c>
    </row>
    <row r="837" spans="1:5" x14ac:dyDescent="0.25">
      <c r="A837" s="5" t="s">
        <v>3547</v>
      </c>
      <c r="B837" s="6" t="s">
        <v>4321</v>
      </c>
      <c r="C837" s="7" t="s">
        <v>24</v>
      </c>
      <c r="D837" s="7" t="s">
        <v>4456</v>
      </c>
      <c r="E837" s="8" t="s">
        <v>4454</v>
      </c>
    </row>
    <row r="838" spans="1:5" x14ac:dyDescent="0.25">
      <c r="A838" s="5" t="s">
        <v>3570</v>
      </c>
      <c r="B838" s="6" t="s">
        <v>4345</v>
      </c>
      <c r="C838" s="7" t="s">
        <v>24</v>
      </c>
      <c r="D838" s="7" t="s">
        <v>4456</v>
      </c>
      <c r="E838" s="8" t="s">
        <v>4454</v>
      </c>
    </row>
    <row r="839" spans="1:5" x14ac:dyDescent="0.25">
      <c r="A839" s="5" t="s">
        <v>3518</v>
      </c>
      <c r="B839" s="6" t="s">
        <v>4292</v>
      </c>
      <c r="C839" s="7" t="s">
        <v>24</v>
      </c>
      <c r="D839" s="7" t="s">
        <v>4456</v>
      </c>
      <c r="E839" s="8" t="s">
        <v>4454</v>
      </c>
    </row>
    <row r="840" spans="1:5" x14ac:dyDescent="0.25">
      <c r="A840" s="5" t="s">
        <v>3085</v>
      </c>
      <c r="B840" s="6" t="s">
        <v>3855</v>
      </c>
      <c r="C840" s="7" t="s">
        <v>24</v>
      </c>
      <c r="D840" s="7" t="s">
        <v>4456</v>
      </c>
      <c r="E840" s="8" t="s">
        <v>4454</v>
      </c>
    </row>
    <row r="841" spans="1:5" x14ac:dyDescent="0.25">
      <c r="A841" s="5" t="s">
        <v>3088</v>
      </c>
      <c r="B841" s="6" t="s">
        <v>3858</v>
      </c>
      <c r="C841" s="7" t="s">
        <v>24</v>
      </c>
      <c r="D841" s="7" t="s">
        <v>4456</v>
      </c>
      <c r="E841" s="8" t="s">
        <v>4454</v>
      </c>
    </row>
    <row r="842" spans="1:5" x14ac:dyDescent="0.25">
      <c r="A842" s="5" t="s">
        <v>3084</v>
      </c>
      <c r="B842" s="6" t="s">
        <v>3854</v>
      </c>
      <c r="C842" s="7" t="s">
        <v>24</v>
      </c>
      <c r="D842" s="7" t="s">
        <v>4456</v>
      </c>
      <c r="E842" s="8" t="s">
        <v>4454</v>
      </c>
    </row>
    <row r="843" spans="1:5" x14ac:dyDescent="0.25">
      <c r="A843" s="5" t="s">
        <v>3091</v>
      </c>
      <c r="B843" s="6" t="s">
        <v>3861</v>
      </c>
      <c r="C843" s="7" t="s">
        <v>24</v>
      </c>
      <c r="D843" s="7" t="s">
        <v>4456</v>
      </c>
      <c r="E843" s="8" t="s">
        <v>4454</v>
      </c>
    </row>
    <row r="844" spans="1:5" x14ac:dyDescent="0.25">
      <c r="A844" s="5" t="s">
        <v>3086</v>
      </c>
      <c r="B844" s="6" t="s">
        <v>3856</v>
      </c>
      <c r="C844" s="7" t="s">
        <v>24</v>
      </c>
      <c r="D844" s="7" t="s">
        <v>4456</v>
      </c>
      <c r="E844" s="8" t="s">
        <v>4454</v>
      </c>
    </row>
    <row r="845" spans="1:5" x14ac:dyDescent="0.25">
      <c r="A845" s="5" t="s">
        <v>3092</v>
      </c>
      <c r="B845" s="6" t="s">
        <v>3862</v>
      </c>
      <c r="C845" s="7" t="s">
        <v>24</v>
      </c>
      <c r="D845" s="7" t="s">
        <v>4456</v>
      </c>
      <c r="E845" s="8" t="s">
        <v>4454</v>
      </c>
    </row>
    <row r="846" spans="1:5" x14ac:dyDescent="0.25">
      <c r="A846" s="5" t="s">
        <v>3087</v>
      </c>
      <c r="B846" s="6" t="s">
        <v>3857</v>
      </c>
      <c r="C846" s="7" t="s">
        <v>24</v>
      </c>
      <c r="D846" s="7" t="s">
        <v>4456</v>
      </c>
      <c r="E846" s="8" t="s">
        <v>4454</v>
      </c>
    </row>
    <row r="847" spans="1:5" x14ac:dyDescent="0.25">
      <c r="A847" s="5" t="s">
        <v>3093</v>
      </c>
      <c r="B847" s="6" t="s">
        <v>3863</v>
      </c>
      <c r="C847" s="7" t="s">
        <v>24</v>
      </c>
      <c r="D847" s="7" t="s">
        <v>4456</v>
      </c>
      <c r="E847" s="8" t="s">
        <v>4454</v>
      </c>
    </row>
    <row r="848" spans="1:5" x14ac:dyDescent="0.25">
      <c r="A848" s="5" t="s">
        <v>2943</v>
      </c>
      <c r="B848" s="6" t="s">
        <v>3706</v>
      </c>
      <c r="C848" s="7" t="s">
        <v>24</v>
      </c>
      <c r="D848" s="7" t="s">
        <v>4456</v>
      </c>
      <c r="E848" s="8" t="s">
        <v>4454</v>
      </c>
    </row>
    <row r="849" spans="1:5" x14ac:dyDescent="0.25">
      <c r="A849" s="5" t="s">
        <v>3538</v>
      </c>
      <c r="B849" s="6" t="s">
        <v>4312</v>
      </c>
      <c r="C849" s="7" t="s">
        <v>24</v>
      </c>
      <c r="D849" s="7" t="s">
        <v>4456</v>
      </c>
      <c r="E849" s="8" t="s">
        <v>4454</v>
      </c>
    </row>
    <row r="850" spans="1:5" x14ac:dyDescent="0.25">
      <c r="A850" s="5" t="s">
        <v>3532</v>
      </c>
      <c r="B850" s="6" t="s">
        <v>4306</v>
      </c>
      <c r="C850" s="7" t="s">
        <v>24</v>
      </c>
      <c r="D850" s="7" t="s">
        <v>4456</v>
      </c>
      <c r="E850" s="8" t="s">
        <v>4454</v>
      </c>
    </row>
    <row r="851" spans="1:5" x14ac:dyDescent="0.25">
      <c r="A851" s="12" t="s">
        <v>3533</v>
      </c>
      <c r="B851" s="6" t="s">
        <v>4307</v>
      </c>
      <c r="C851" s="13" t="s">
        <v>24</v>
      </c>
      <c r="D851" s="13" t="s">
        <v>4456</v>
      </c>
      <c r="E851" s="8" t="s">
        <v>4454</v>
      </c>
    </row>
    <row r="852" spans="1:5" x14ac:dyDescent="0.25">
      <c r="A852" s="5" t="s">
        <v>3527</v>
      </c>
      <c r="B852" s="6" t="s">
        <v>4301</v>
      </c>
      <c r="C852" s="7" t="s">
        <v>24</v>
      </c>
      <c r="D852" s="7" t="s">
        <v>4456</v>
      </c>
      <c r="E852" s="8" t="s">
        <v>4454</v>
      </c>
    </row>
    <row r="853" spans="1:5" x14ac:dyDescent="0.25">
      <c r="A853" s="5" t="s">
        <v>3549</v>
      </c>
      <c r="B853" s="6" t="s">
        <v>4323</v>
      </c>
      <c r="C853" s="7" t="s">
        <v>24</v>
      </c>
      <c r="D853" s="7" t="s">
        <v>4456</v>
      </c>
      <c r="E853" s="8" t="s">
        <v>4454</v>
      </c>
    </row>
    <row r="854" spans="1:5" x14ac:dyDescent="0.25">
      <c r="A854" s="5" t="s">
        <v>3541</v>
      </c>
      <c r="B854" s="6" t="s">
        <v>4315</v>
      </c>
      <c r="C854" s="7" t="s">
        <v>24</v>
      </c>
      <c r="D854" s="7" t="s">
        <v>4456</v>
      </c>
      <c r="E854" s="8" t="s">
        <v>4454</v>
      </c>
    </row>
    <row r="855" spans="1:5" x14ac:dyDescent="0.25">
      <c r="A855" s="5" t="s">
        <v>3515</v>
      </c>
      <c r="B855" s="6" t="s">
        <v>4289</v>
      </c>
      <c r="C855" s="7" t="s">
        <v>24</v>
      </c>
      <c r="D855" s="7" t="s">
        <v>4456</v>
      </c>
      <c r="E855" s="8" t="s">
        <v>4454</v>
      </c>
    </row>
    <row r="856" spans="1:5" x14ac:dyDescent="0.25">
      <c r="A856" s="5" t="s">
        <v>3543</v>
      </c>
      <c r="B856" s="6" t="s">
        <v>4317</v>
      </c>
      <c r="C856" s="7" t="s">
        <v>24</v>
      </c>
      <c r="D856" s="7" t="s">
        <v>4456</v>
      </c>
      <c r="E856" s="8" t="s">
        <v>4454</v>
      </c>
    </row>
    <row r="857" spans="1:5" x14ac:dyDescent="0.25">
      <c r="A857" s="5" t="s">
        <v>3535</v>
      </c>
      <c r="B857" s="6" t="s">
        <v>4309</v>
      </c>
      <c r="C857" s="7" t="s">
        <v>24</v>
      </c>
      <c r="D857" s="7" t="s">
        <v>4456</v>
      </c>
      <c r="E857" s="8" t="s">
        <v>4454</v>
      </c>
    </row>
    <row r="858" spans="1:5" x14ac:dyDescent="0.25">
      <c r="A858" s="5" t="s">
        <v>3545</v>
      </c>
      <c r="B858" s="6" t="s">
        <v>4319</v>
      </c>
      <c r="C858" s="7" t="s">
        <v>24</v>
      </c>
      <c r="D858" s="7" t="s">
        <v>4456</v>
      </c>
      <c r="E858" s="8" t="s">
        <v>4454</v>
      </c>
    </row>
    <row r="859" spans="1:5" x14ac:dyDescent="0.25">
      <c r="A859" s="5" t="s">
        <v>3542</v>
      </c>
      <c r="B859" s="6" t="s">
        <v>4316</v>
      </c>
      <c r="C859" s="7" t="s">
        <v>24</v>
      </c>
      <c r="D859" s="7" t="s">
        <v>4456</v>
      </c>
      <c r="E859" s="8" t="s">
        <v>4454</v>
      </c>
    </row>
    <row r="860" spans="1:5" x14ac:dyDescent="0.25">
      <c r="A860" s="5" t="s">
        <v>3361</v>
      </c>
      <c r="B860" s="6" t="s">
        <v>4132</v>
      </c>
      <c r="C860" s="7" t="s">
        <v>24</v>
      </c>
      <c r="D860" s="7" t="s">
        <v>4456</v>
      </c>
      <c r="E860" s="8" t="s">
        <v>4454</v>
      </c>
    </row>
    <row r="861" spans="1:5" x14ac:dyDescent="0.25">
      <c r="A861" s="5" t="s">
        <v>3531</v>
      </c>
      <c r="B861" s="6" t="s">
        <v>4305</v>
      </c>
      <c r="C861" s="7" t="s">
        <v>24</v>
      </c>
      <c r="D861" s="7" t="s">
        <v>4456</v>
      </c>
      <c r="E861" s="8" t="s">
        <v>4454</v>
      </c>
    </row>
    <row r="862" spans="1:5" x14ac:dyDescent="0.25">
      <c r="A862" s="5" t="s">
        <v>3528</v>
      </c>
      <c r="B862" s="6" t="s">
        <v>4302</v>
      </c>
      <c r="C862" s="7" t="s">
        <v>24</v>
      </c>
      <c r="D862" s="7" t="s">
        <v>4456</v>
      </c>
      <c r="E862" s="8" t="s">
        <v>4454</v>
      </c>
    </row>
    <row r="863" spans="1:5" x14ac:dyDescent="0.25">
      <c r="A863" s="5" t="s">
        <v>2920</v>
      </c>
      <c r="B863" s="6" t="s">
        <v>3681</v>
      </c>
      <c r="C863" s="7" t="s">
        <v>24</v>
      </c>
      <c r="D863" s="7" t="s">
        <v>4456</v>
      </c>
      <c r="E863" s="8" t="s">
        <v>4454</v>
      </c>
    </row>
    <row r="864" spans="1:5" x14ac:dyDescent="0.25">
      <c r="A864" s="12" t="s">
        <v>3362</v>
      </c>
      <c r="B864" s="6" t="s">
        <v>4133</v>
      </c>
      <c r="C864" s="13" t="s">
        <v>24</v>
      </c>
      <c r="D864" s="13" t="s">
        <v>4456</v>
      </c>
      <c r="E864" s="8" t="s">
        <v>4454</v>
      </c>
    </row>
    <row r="865" spans="1:5" x14ac:dyDescent="0.25">
      <c r="A865" s="5" t="s">
        <v>3363</v>
      </c>
      <c r="B865" s="6" t="s">
        <v>4134</v>
      </c>
      <c r="C865" s="7" t="s">
        <v>24</v>
      </c>
      <c r="D865" s="7" t="s">
        <v>4456</v>
      </c>
      <c r="E865" s="8" t="s">
        <v>4454</v>
      </c>
    </row>
    <row r="866" spans="1:5" x14ac:dyDescent="0.25">
      <c r="A866" s="5" t="s">
        <v>3364</v>
      </c>
      <c r="B866" s="6" t="s">
        <v>4135</v>
      </c>
      <c r="C866" s="7" t="s">
        <v>24</v>
      </c>
      <c r="D866" s="7" t="s">
        <v>4456</v>
      </c>
      <c r="E866" s="8" t="s">
        <v>4454</v>
      </c>
    </row>
    <row r="867" spans="1:5" x14ac:dyDescent="0.25">
      <c r="A867" s="12" t="s">
        <v>3365</v>
      </c>
      <c r="B867" s="6" t="s">
        <v>4136</v>
      </c>
      <c r="C867" s="13" t="s">
        <v>24</v>
      </c>
      <c r="D867" s="13" t="s">
        <v>4456</v>
      </c>
      <c r="E867" s="8" t="s">
        <v>4454</v>
      </c>
    </row>
    <row r="868" spans="1:5" x14ac:dyDescent="0.25">
      <c r="A868" s="5" t="s">
        <v>3376</v>
      </c>
      <c r="B868" s="6" t="s">
        <v>4147</v>
      </c>
      <c r="C868" s="7" t="s">
        <v>24</v>
      </c>
      <c r="D868" s="7" t="s">
        <v>4456</v>
      </c>
      <c r="E868" s="8" t="s">
        <v>4454</v>
      </c>
    </row>
    <row r="869" spans="1:5" x14ac:dyDescent="0.25">
      <c r="A869" s="5" t="s">
        <v>3377</v>
      </c>
      <c r="B869" s="6" t="s">
        <v>4148</v>
      </c>
      <c r="C869" s="7" t="s">
        <v>24</v>
      </c>
      <c r="D869" s="7" t="s">
        <v>4456</v>
      </c>
      <c r="E869" s="8" t="s">
        <v>4454</v>
      </c>
    </row>
    <row r="870" spans="1:5" x14ac:dyDescent="0.25">
      <c r="A870" s="5" t="s">
        <v>3366</v>
      </c>
      <c r="B870" s="6" t="s">
        <v>4137</v>
      </c>
      <c r="C870" s="7" t="s">
        <v>24</v>
      </c>
      <c r="D870" s="7" t="s">
        <v>4456</v>
      </c>
      <c r="E870" s="8" t="s">
        <v>4454</v>
      </c>
    </row>
    <row r="871" spans="1:5" x14ac:dyDescent="0.25">
      <c r="A871" s="12" t="s">
        <v>3367</v>
      </c>
      <c r="B871" s="6" t="s">
        <v>4138</v>
      </c>
      <c r="C871" s="13" t="s">
        <v>24</v>
      </c>
      <c r="D871" s="13" t="s">
        <v>4456</v>
      </c>
      <c r="E871" s="8" t="s">
        <v>4454</v>
      </c>
    </row>
    <row r="872" spans="1:5" x14ac:dyDescent="0.25">
      <c r="A872" s="5" t="s">
        <v>3368</v>
      </c>
      <c r="B872" s="6" t="s">
        <v>4139</v>
      </c>
      <c r="C872" s="13" t="s">
        <v>24</v>
      </c>
      <c r="D872" s="13" t="s">
        <v>4456</v>
      </c>
      <c r="E872" s="65" t="s">
        <v>4454</v>
      </c>
    </row>
    <row r="873" spans="1:5" x14ac:dyDescent="0.25">
      <c r="A873" s="5" t="s">
        <v>3369</v>
      </c>
      <c r="B873" s="6" t="s">
        <v>4140</v>
      </c>
      <c r="C873" s="7" t="s">
        <v>24</v>
      </c>
      <c r="D873" s="7" t="s">
        <v>4456</v>
      </c>
      <c r="E873" s="8" t="s">
        <v>4454</v>
      </c>
    </row>
    <row r="874" spans="1:5" x14ac:dyDescent="0.25">
      <c r="A874" s="5" t="s">
        <v>3370</v>
      </c>
      <c r="B874" s="6" t="s">
        <v>4141</v>
      </c>
      <c r="C874" s="7" t="s">
        <v>24</v>
      </c>
      <c r="D874" s="7" t="s">
        <v>4456</v>
      </c>
      <c r="E874" s="8" t="s">
        <v>4454</v>
      </c>
    </row>
    <row r="875" spans="1:5" x14ac:dyDescent="0.25">
      <c r="A875" s="12" t="s">
        <v>3371</v>
      </c>
      <c r="B875" s="6" t="s">
        <v>4142</v>
      </c>
      <c r="C875" s="13" t="s">
        <v>24</v>
      </c>
      <c r="D875" s="13" t="s">
        <v>4456</v>
      </c>
      <c r="E875" s="8" t="s">
        <v>4454</v>
      </c>
    </row>
    <row r="876" spans="1:5" x14ac:dyDescent="0.25">
      <c r="A876" s="12" t="s">
        <v>3372</v>
      </c>
      <c r="B876" s="6" t="s">
        <v>4143</v>
      </c>
      <c r="C876" s="13" t="s">
        <v>24</v>
      </c>
      <c r="D876" s="13" t="s">
        <v>4456</v>
      </c>
      <c r="E876" s="8" t="s">
        <v>4454</v>
      </c>
    </row>
    <row r="877" spans="1:5" x14ac:dyDescent="0.25">
      <c r="A877" s="5" t="s">
        <v>3373</v>
      </c>
      <c r="B877" s="6" t="s">
        <v>4144</v>
      </c>
      <c r="C877" s="7" t="s">
        <v>24</v>
      </c>
      <c r="D877" s="7" t="s">
        <v>4456</v>
      </c>
      <c r="E877" s="8" t="s">
        <v>4454</v>
      </c>
    </row>
    <row r="878" spans="1:5" x14ac:dyDescent="0.25">
      <c r="A878" s="12" t="s">
        <v>3378</v>
      </c>
      <c r="B878" s="6" t="s">
        <v>4149</v>
      </c>
      <c r="C878" s="13" t="s">
        <v>24</v>
      </c>
      <c r="D878" s="13" t="s">
        <v>4456</v>
      </c>
      <c r="E878" s="8" t="s">
        <v>4454</v>
      </c>
    </row>
    <row r="879" spans="1:5" x14ac:dyDescent="0.25">
      <c r="A879" s="12" t="s">
        <v>3374</v>
      </c>
      <c r="B879" s="6" t="s">
        <v>4145</v>
      </c>
      <c r="C879" s="13" t="s">
        <v>24</v>
      </c>
      <c r="D879" s="13" t="s">
        <v>4456</v>
      </c>
      <c r="E879" s="8" t="s">
        <v>4454</v>
      </c>
    </row>
    <row r="880" spans="1:5" x14ac:dyDescent="0.25">
      <c r="A880" s="12" t="s">
        <v>3375</v>
      </c>
      <c r="B880" s="6" t="s">
        <v>4146</v>
      </c>
      <c r="C880" s="13" t="s">
        <v>24</v>
      </c>
      <c r="D880" s="13" t="s">
        <v>4456</v>
      </c>
      <c r="E880" s="8" t="s">
        <v>4454</v>
      </c>
    </row>
    <row r="881" spans="1:5" x14ac:dyDescent="0.25">
      <c r="A881" s="12" t="s">
        <v>3380</v>
      </c>
      <c r="B881" s="6" t="s">
        <v>4151</v>
      </c>
      <c r="C881" s="13" t="s">
        <v>24</v>
      </c>
      <c r="D881" s="13" t="s">
        <v>4456</v>
      </c>
      <c r="E881" s="8" t="s">
        <v>4454</v>
      </c>
    </row>
    <row r="882" spans="1:5" x14ac:dyDescent="0.25">
      <c r="A882" s="12" t="s">
        <v>3381</v>
      </c>
      <c r="B882" s="6" t="s">
        <v>4152</v>
      </c>
      <c r="C882" s="13" t="s">
        <v>24</v>
      </c>
      <c r="D882" s="13" t="s">
        <v>4456</v>
      </c>
      <c r="E882" s="8" t="s">
        <v>4454</v>
      </c>
    </row>
    <row r="883" spans="1:5" x14ac:dyDescent="0.25">
      <c r="A883" s="12" t="s">
        <v>3382</v>
      </c>
      <c r="B883" s="6" t="s">
        <v>4153</v>
      </c>
      <c r="C883" s="13" t="s">
        <v>24</v>
      </c>
      <c r="D883" s="13" t="s">
        <v>4456</v>
      </c>
      <c r="E883" s="8" t="s">
        <v>4454</v>
      </c>
    </row>
    <row r="884" spans="1:5" x14ac:dyDescent="0.25">
      <c r="A884" s="12" t="s">
        <v>3379</v>
      </c>
      <c r="B884" s="6" t="s">
        <v>4150</v>
      </c>
      <c r="C884" s="13" t="s">
        <v>24</v>
      </c>
      <c r="D884" s="13" t="s">
        <v>4456</v>
      </c>
      <c r="E884" s="8" t="s">
        <v>4454</v>
      </c>
    </row>
    <row r="885" spans="1:5" x14ac:dyDescent="0.25">
      <c r="A885" s="5" t="s">
        <v>3383</v>
      </c>
      <c r="B885" s="6" t="s">
        <v>4154</v>
      </c>
      <c r="C885" s="7" t="s">
        <v>24</v>
      </c>
      <c r="D885" s="7" t="s">
        <v>4456</v>
      </c>
      <c r="E885" s="8" t="s">
        <v>4454</v>
      </c>
    </row>
    <row r="886" spans="1:5" x14ac:dyDescent="0.25">
      <c r="A886" s="5" t="s">
        <v>3384</v>
      </c>
      <c r="B886" s="6" t="s">
        <v>4155</v>
      </c>
      <c r="C886" s="7" t="s">
        <v>24</v>
      </c>
      <c r="D886" s="7" t="s">
        <v>4456</v>
      </c>
      <c r="E886" s="8" t="s">
        <v>4454</v>
      </c>
    </row>
    <row r="887" spans="1:5" x14ac:dyDescent="0.25">
      <c r="A887" s="5" t="s">
        <v>3385</v>
      </c>
      <c r="B887" s="6" t="s">
        <v>4156</v>
      </c>
      <c r="C887" s="7" t="s">
        <v>24</v>
      </c>
      <c r="D887" s="7" t="s">
        <v>4456</v>
      </c>
      <c r="E887" s="8" t="s">
        <v>4454</v>
      </c>
    </row>
    <row r="888" spans="1:5" x14ac:dyDescent="0.25">
      <c r="A888" s="5" t="s">
        <v>3386</v>
      </c>
      <c r="B888" s="6" t="s">
        <v>4157</v>
      </c>
      <c r="C888" s="7" t="s">
        <v>24</v>
      </c>
      <c r="D888" s="7" t="s">
        <v>4456</v>
      </c>
      <c r="E888" s="8" t="s">
        <v>4454</v>
      </c>
    </row>
    <row r="889" spans="1:5" x14ac:dyDescent="0.25">
      <c r="A889" s="5" t="s">
        <v>3387</v>
      </c>
      <c r="B889" s="6" t="s">
        <v>4158</v>
      </c>
      <c r="C889" s="7" t="s">
        <v>24</v>
      </c>
      <c r="D889" s="7" t="s">
        <v>4456</v>
      </c>
      <c r="E889" s="8" t="s">
        <v>4454</v>
      </c>
    </row>
    <row r="890" spans="1:5" x14ac:dyDescent="0.25">
      <c r="A890" s="5" t="s">
        <v>3388</v>
      </c>
      <c r="B890" s="6" t="s">
        <v>4159</v>
      </c>
      <c r="C890" s="7" t="s">
        <v>24</v>
      </c>
      <c r="D890" s="7" t="s">
        <v>4456</v>
      </c>
      <c r="E890" s="8" t="s">
        <v>4454</v>
      </c>
    </row>
    <row r="891" spans="1:5" x14ac:dyDescent="0.25">
      <c r="A891" s="5" t="s">
        <v>3389</v>
      </c>
      <c r="B891" s="6" t="s">
        <v>4160</v>
      </c>
      <c r="C891" s="7" t="s">
        <v>24</v>
      </c>
      <c r="D891" s="7" t="s">
        <v>4456</v>
      </c>
      <c r="E891" s="8" t="s">
        <v>4454</v>
      </c>
    </row>
    <row r="892" spans="1:5" x14ac:dyDescent="0.25">
      <c r="A892" s="5" t="s">
        <v>3390</v>
      </c>
      <c r="B892" s="6" t="s">
        <v>4161</v>
      </c>
      <c r="C892" s="7" t="s">
        <v>24</v>
      </c>
      <c r="D892" s="7" t="s">
        <v>4456</v>
      </c>
      <c r="E892" s="8" t="s">
        <v>4454</v>
      </c>
    </row>
    <row r="893" spans="1:5" x14ac:dyDescent="0.25">
      <c r="A893" s="5" t="s">
        <v>3391</v>
      </c>
      <c r="B893" s="6" t="s">
        <v>4162</v>
      </c>
      <c r="C893" s="7" t="s">
        <v>24</v>
      </c>
      <c r="D893" s="7" t="s">
        <v>4456</v>
      </c>
      <c r="E893" s="8" t="s">
        <v>4454</v>
      </c>
    </row>
    <row r="894" spans="1:5" x14ac:dyDescent="0.25">
      <c r="A894" s="5" t="s">
        <v>3392</v>
      </c>
      <c r="B894" s="6" t="s">
        <v>4163</v>
      </c>
      <c r="C894" s="7" t="s">
        <v>24</v>
      </c>
      <c r="D894" s="7" t="s">
        <v>4456</v>
      </c>
      <c r="E894" s="8" t="s">
        <v>4454</v>
      </c>
    </row>
    <row r="895" spans="1:5" x14ac:dyDescent="0.25">
      <c r="A895" s="5" t="s">
        <v>3393</v>
      </c>
      <c r="B895" s="6" t="s">
        <v>4164</v>
      </c>
      <c r="C895" s="7" t="s">
        <v>24</v>
      </c>
      <c r="D895" s="7" t="s">
        <v>4456</v>
      </c>
      <c r="E895" s="8" t="s">
        <v>4454</v>
      </c>
    </row>
    <row r="896" spans="1:5" x14ac:dyDescent="0.25">
      <c r="A896" s="5" t="s">
        <v>3394</v>
      </c>
      <c r="B896" s="6" t="s">
        <v>4165</v>
      </c>
      <c r="C896" s="7" t="s">
        <v>24</v>
      </c>
      <c r="D896" s="7" t="s">
        <v>4456</v>
      </c>
      <c r="E896" s="8" t="s">
        <v>4454</v>
      </c>
    </row>
    <row r="897" spans="1:5" x14ac:dyDescent="0.25">
      <c r="A897" s="5" t="s">
        <v>3395</v>
      </c>
      <c r="B897" s="6" t="s">
        <v>4166</v>
      </c>
      <c r="C897" s="7" t="s">
        <v>24</v>
      </c>
      <c r="D897" s="7" t="s">
        <v>4456</v>
      </c>
      <c r="E897" s="8" t="s">
        <v>4454</v>
      </c>
    </row>
    <row r="898" spans="1:5" x14ac:dyDescent="0.25">
      <c r="A898" s="5" t="s">
        <v>3396</v>
      </c>
      <c r="B898" s="6" t="s">
        <v>4167</v>
      </c>
      <c r="C898" s="7" t="s">
        <v>24</v>
      </c>
      <c r="D898" s="7" t="s">
        <v>4456</v>
      </c>
      <c r="E898" s="8" t="s">
        <v>4454</v>
      </c>
    </row>
    <row r="899" spans="1:5" x14ac:dyDescent="0.25">
      <c r="A899" s="5" t="s">
        <v>3397</v>
      </c>
      <c r="B899" s="6" t="s">
        <v>4168</v>
      </c>
      <c r="C899" s="7" t="s">
        <v>24</v>
      </c>
      <c r="D899" s="7" t="s">
        <v>4456</v>
      </c>
      <c r="E899" s="8" t="s">
        <v>4454</v>
      </c>
    </row>
    <row r="900" spans="1:5" x14ac:dyDescent="0.25">
      <c r="A900" s="5" t="s">
        <v>3398</v>
      </c>
      <c r="B900" s="6" t="s">
        <v>4169</v>
      </c>
      <c r="C900" s="7" t="s">
        <v>24</v>
      </c>
      <c r="D900" s="7" t="s">
        <v>4456</v>
      </c>
      <c r="E900" s="8" t="s">
        <v>4454</v>
      </c>
    </row>
    <row r="901" spans="1:5" x14ac:dyDescent="0.25">
      <c r="A901" s="5" t="s">
        <v>3399</v>
      </c>
      <c r="B901" s="6" t="s">
        <v>4170</v>
      </c>
      <c r="C901" s="7" t="s">
        <v>24</v>
      </c>
      <c r="D901" s="7" t="s">
        <v>4456</v>
      </c>
      <c r="E901" s="8" t="s">
        <v>4454</v>
      </c>
    </row>
    <row r="902" spans="1:5" x14ac:dyDescent="0.25">
      <c r="A902" s="5" t="s">
        <v>3400</v>
      </c>
      <c r="B902" s="6" t="s">
        <v>4171</v>
      </c>
      <c r="C902" s="7" t="s">
        <v>24</v>
      </c>
      <c r="D902" s="7" t="s">
        <v>4456</v>
      </c>
      <c r="E902" s="8" t="s">
        <v>4454</v>
      </c>
    </row>
    <row r="903" spans="1:5" x14ac:dyDescent="0.25">
      <c r="A903" s="5" t="s">
        <v>3401</v>
      </c>
      <c r="B903" s="6" t="s">
        <v>4172</v>
      </c>
      <c r="C903" s="7" t="s">
        <v>24</v>
      </c>
      <c r="D903" s="7" t="s">
        <v>4456</v>
      </c>
      <c r="E903" s="8" t="s">
        <v>4454</v>
      </c>
    </row>
    <row r="904" spans="1:5" x14ac:dyDescent="0.25">
      <c r="A904" s="5" t="s">
        <v>3402</v>
      </c>
      <c r="B904" s="6" t="s">
        <v>4173</v>
      </c>
      <c r="C904" s="7" t="s">
        <v>24</v>
      </c>
      <c r="D904" s="7" t="s">
        <v>4456</v>
      </c>
      <c r="E904" s="8" t="s">
        <v>4454</v>
      </c>
    </row>
    <row r="905" spans="1:5" x14ac:dyDescent="0.25">
      <c r="A905" s="5" t="s">
        <v>3403</v>
      </c>
      <c r="B905" s="6" t="s">
        <v>4174</v>
      </c>
      <c r="C905" s="7" t="s">
        <v>24</v>
      </c>
      <c r="D905" s="7" t="s">
        <v>4456</v>
      </c>
      <c r="E905" s="8" t="s">
        <v>4454</v>
      </c>
    </row>
    <row r="906" spans="1:5" x14ac:dyDescent="0.25">
      <c r="A906" s="5" t="s">
        <v>3404</v>
      </c>
      <c r="B906" s="6" t="s">
        <v>4175</v>
      </c>
      <c r="C906" s="7" t="s">
        <v>24</v>
      </c>
      <c r="D906" s="7" t="s">
        <v>4456</v>
      </c>
      <c r="E906" s="8" t="s">
        <v>4454</v>
      </c>
    </row>
    <row r="907" spans="1:5" x14ac:dyDescent="0.25">
      <c r="A907" s="5" t="s">
        <v>3405</v>
      </c>
      <c r="B907" s="6" t="s">
        <v>4176</v>
      </c>
      <c r="C907" s="7" t="s">
        <v>24</v>
      </c>
      <c r="D907" s="7" t="s">
        <v>4456</v>
      </c>
      <c r="E907" s="8" t="s">
        <v>4454</v>
      </c>
    </row>
    <row r="908" spans="1:5" x14ac:dyDescent="0.25">
      <c r="A908" s="5" t="s">
        <v>3406</v>
      </c>
      <c r="B908" s="6" t="s">
        <v>4177</v>
      </c>
      <c r="C908" s="7" t="s">
        <v>24</v>
      </c>
      <c r="D908" s="7" t="s">
        <v>4456</v>
      </c>
      <c r="E908" s="8" t="s">
        <v>4454</v>
      </c>
    </row>
    <row r="909" spans="1:5" x14ac:dyDescent="0.25">
      <c r="A909" s="5" t="s">
        <v>3407</v>
      </c>
      <c r="B909" s="6" t="s">
        <v>4178</v>
      </c>
      <c r="C909" s="7" t="s">
        <v>24</v>
      </c>
      <c r="D909" s="7" t="s">
        <v>4456</v>
      </c>
      <c r="E909" s="8" t="s">
        <v>4454</v>
      </c>
    </row>
    <row r="910" spans="1:5" x14ac:dyDescent="0.25">
      <c r="A910" s="12" t="s">
        <v>3408</v>
      </c>
      <c r="B910" s="6" t="s">
        <v>4179</v>
      </c>
      <c r="C910" s="13" t="s">
        <v>24</v>
      </c>
      <c r="D910" s="13" t="s">
        <v>4456</v>
      </c>
      <c r="E910" s="8" t="s">
        <v>4454</v>
      </c>
    </row>
    <row r="911" spans="1:5" x14ac:dyDescent="0.25">
      <c r="A911" s="12" t="s">
        <v>3409</v>
      </c>
      <c r="B911" s="6" t="s">
        <v>4180</v>
      </c>
      <c r="C911" s="13" t="s">
        <v>24</v>
      </c>
      <c r="D911" s="13" t="s">
        <v>4456</v>
      </c>
      <c r="E911" s="8" t="s">
        <v>4454</v>
      </c>
    </row>
    <row r="912" spans="1:5" x14ac:dyDescent="0.25">
      <c r="A912" s="12" t="s">
        <v>3409</v>
      </c>
      <c r="B912" s="6" t="s">
        <v>4181</v>
      </c>
      <c r="C912" s="13" t="s">
        <v>24</v>
      </c>
      <c r="D912" s="13" t="s">
        <v>4456</v>
      </c>
      <c r="E912" s="8" t="s">
        <v>4454</v>
      </c>
    </row>
    <row r="913" spans="1:5" x14ac:dyDescent="0.25">
      <c r="A913" s="5" t="s">
        <v>3409</v>
      </c>
      <c r="B913" s="6" t="s">
        <v>4182</v>
      </c>
      <c r="C913" s="7" t="s">
        <v>24</v>
      </c>
      <c r="D913" s="7" t="s">
        <v>4456</v>
      </c>
      <c r="E913" s="8" t="s">
        <v>4454</v>
      </c>
    </row>
    <row r="914" spans="1:5" x14ac:dyDescent="0.25">
      <c r="A914" s="5" t="s">
        <v>3410</v>
      </c>
      <c r="B914" s="6" t="s">
        <v>4183</v>
      </c>
      <c r="C914" s="7" t="s">
        <v>24</v>
      </c>
      <c r="D914" s="7" t="s">
        <v>4456</v>
      </c>
      <c r="E914" s="8" t="s">
        <v>4454</v>
      </c>
    </row>
    <row r="915" spans="1:5" x14ac:dyDescent="0.25">
      <c r="A915" s="5" t="s">
        <v>3411</v>
      </c>
      <c r="B915" s="6" t="s">
        <v>4184</v>
      </c>
      <c r="C915" s="7" t="s">
        <v>24</v>
      </c>
      <c r="D915" s="7" t="s">
        <v>4456</v>
      </c>
      <c r="E915" s="8" t="s">
        <v>4454</v>
      </c>
    </row>
    <row r="916" spans="1:5" x14ac:dyDescent="0.25">
      <c r="A916" s="5" t="s">
        <v>3413</v>
      </c>
      <c r="B916" s="6" t="s">
        <v>4186</v>
      </c>
      <c r="C916" s="7" t="s">
        <v>24</v>
      </c>
      <c r="D916" s="7" t="s">
        <v>4456</v>
      </c>
      <c r="E916" s="8" t="s">
        <v>4454</v>
      </c>
    </row>
    <row r="917" spans="1:5" x14ac:dyDescent="0.25">
      <c r="A917" s="5" t="s">
        <v>3414</v>
      </c>
      <c r="B917" s="6" t="s">
        <v>4187</v>
      </c>
      <c r="C917" s="7" t="s">
        <v>24</v>
      </c>
      <c r="D917" s="7" t="s">
        <v>4456</v>
      </c>
      <c r="E917" s="8" t="s">
        <v>4454</v>
      </c>
    </row>
    <row r="918" spans="1:5" x14ac:dyDescent="0.25">
      <c r="A918" s="5" t="s">
        <v>3415</v>
      </c>
      <c r="B918" s="6" t="s">
        <v>4188</v>
      </c>
      <c r="C918" s="7" t="s">
        <v>24</v>
      </c>
      <c r="D918" s="7" t="s">
        <v>4456</v>
      </c>
      <c r="E918" s="8" t="s">
        <v>4454</v>
      </c>
    </row>
    <row r="919" spans="1:5" x14ac:dyDescent="0.25">
      <c r="A919" s="5" t="s">
        <v>3416</v>
      </c>
      <c r="B919" s="6" t="s">
        <v>4189</v>
      </c>
      <c r="C919" s="7" t="s">
        <v>24</v>
      </c>
      <c r="D919" s="7" t="s">
        <v>4456</v>
      </c>
      <c r="E919" s="8" t="s">
        <v>4454</v>
      </c>
    </row>
    <row r="920" spans="1:5" x14ac:dyDescent="0.25">
      <c r="A920" s="5" t="s">
        <v>3417</v>
      </c>
      <c r="B920" s="6" t="s">
        <v>4190</v>
      </c>
      <c r="C920" s="7" t="s">
        <v>24</v>
      </c>
      <c r="D920" s="7" t="s">
        <v>4456</v>
      </c>
      <c r="E920" s="8" t="s">
        <v>4454</v>
      </c>
    </row>
    <row r="921" spans="1:5" x14ac:dyDescent="0.25">
      <c r="A921" s="5" t="s">
        <v>3418</v>
      </c>
      <c r="B921" s="6" t="s">
        <v>4191</v>
      </c>
      <c r="C921" s="7" t="s">
        <v>24</v>
      </c>
      <c r="D921" s="7" t="s">
        <v>4456</v>
      </c>
      <c r="E921" s="8" t="s">
        <v>4454</v>
      </c>
    </row>
    <row r="922" spans="1:5" x14ac:dyDescent="0.25">
      <c r="A922" s="5" t="s">
        <v>3419</v>
      </c>
      <c r="B922" s="6" t="s">
        <v>4192</v>
      </c>
      <c r="C922" s="7" t="s">
        <v>24</v>
      </c>
      <c r="D922" s="7" t="s">
        <v>4456</v>
      </c>
      <c r="E922" s="8" t="s">
        <v>4454</v>
      </c>
    </row>
    <row r="923" spans="1:5" x14ac:dyDescent="0.25">
      <c r="A923" s="5" t="s">
        <v>3420</v>
      </c>
      <c r="B923" s="6" t="s">
        <v>4193</v>
      </c>
      <c r="C923" s="7" t="s">
        <v>24</v>
      </c>
      <c r="D923" s="7" t="s">
        <v>4456</v>
      </c>
      <c r="E923" s="8" t="s">
        <v>4454</v>
      </c>
    </row>
    <row r="924" spans="1:5" x14ac:dyDescent="0.25">
      <c r="A924" s="5" t="s">
        <v>3559</v>
      </c>
      <c r="B924" s="6" t="s">
        <v>4333</v>
      </c>
      <c r="C924" s="7" t="s">
        <v>24</v>
      </c>
      <c r="D924" s="7" t="s">
        <v>4456</v>
      </c>
      <c r="E924" s="8" t="s">
        <v>4454</v>
      </c>
    </row>
    <row r="925" spans="1:5" x14ac:dyDescent="0.25">
      <c r="A925" s="5" t="s">
        <v>3421</v>
      </c>
      <c r="B925" s="6" t="s">
        <v>4194</v>
      </c>
      <c r="C925" s="7" t="s">
        <v>24</v>
      </c>
      <c r="D925" s="7" t="s">
        <v>4456</v>
      </c>
      <c r="E925" s="8" t="s">
        <v>4454</v>
      </c>
    </row>
    <row r="926" spans="1:5" x14ac:dyDescent="0.25">
      <c r="A926" s="5" t="s">
        <v>3422</v>
      </c>
      <c r="B926" s="6" t="s">
        <v>4195</v>
      </c>
      <c r="C926" s="7" t="s">
        <v>24</v>
      </c>
      <c r="D926" s="7" t="s">
        <v>4456</v>
      </c>
      <c r="E926" s="8" t="s">
        <v>4454</v>
      </c>
    </row>
    <row r="927" spans="1:5" x14ac:dyDescent="0.25">
      <c r="A927" s="5" t="s">
        <v>3568</v>
      </c>
      <c r="B927" s="6" t="s">
        <v>4343</v>
      </c>
      <c r="C927" s="7" t="s">
        <v>24</v>
      </c>
      <c r="D927" s="7" t="s">
        <v>4456</v>
      </c>
      <c r="E927" s="8" t="s">
        <v>4454</v>
      </c>
    </row>
    <row r="928" spans="1:5" x14ac:dyDescent="0.25">
      <c r="A928" s="12" t="s">
        <v>3507</v>
      </c>
      <c r="B928" s="6" t="s">
        <v>4281</v>
      </c>
      <c r="C928" s="13" t="s">
        <v>24</v>
      </c>
      <c r="D928" s="13" t="s">
        <v>4456</v>
      </c>
      <c r="E928" s="8" t="s">
        <v>4454</v>
      </c>
    </row>
    <row r="929" spans="1:5" x14ac:dyDescent="0.25">
      <c r="A929" s="5" t="s">
        <v>3423</v>
      </c>
      <c r="B929" s="6" t="s">
        <v>4196</v>
      </c>
      <c r="C929" s="7" t="s">
        <v>24</v>
      </c>
      <c r="D929" s="7" t="s">
        <v>4456</v>
      </c>
      <c r="E929" s="8" t="s">
        <v>4454</v>
      </c>
    </row>
    <row r="930" spans="1:5" x14ac:dyDescent="0.25">
      <c r="A930" s="5" t="s">
        <v>3423</v>
      </c>
      <c r="B930" s="6" t="s">
        <v>4197</v>
      </c>
      <c r="C930" s="7" t="s">
        <v>24</v>
      </c>
      <c r="D930" s="7" t="s">
        <v>4456</v>
      </c>
      <c r="E930" s="8" t="s">
        <v>4454</v>
      </c>
    </row>
    <row r="931" spans="1:5" x14ac:dyDescent="0.25">
      <c r="A931" s="5" t="s">
        <v>3424</v>
      </c>
      <c r="B931" s="6" t="s">
        <v>4198</v>
      </c>
      <c r="C931" s="7" t="s">
        <v>24</v>
      </c>
      <c r="D931" s="7" t="s">
        <v>4456</v>
      </c>
      <c r="E931" s="8" t="s">
        <v>4454</v>
      </c>
    </row>
    <row r="932" spans="1:5" x14ac:dyDescent="0.25">
      <c r="A932" s="5" t="s">
        <v>3425</v>
      </c>
      <c r="B932" s="6" t="s">
        <v>4199</v>
      </c>
      <c r="C932" s="7" t="s">
        <v>24</v>
      </c>
      <c r="D932" s="7" t="s">
        <v>4456</v>
      </c>
      <c r="E932" s="8" t="s">
        <v>4454</v>
      </c>
    </row>
    <row r="933" spans="1:5" x14ac:dyDescent="0.25">
      <c r="A933" s="5" t="s">
        <v>3426</v>
      </c>
      <c r="B933" s="6" t="s">
        <v>4200</v>
      </c>
      <c r="C933" s="7" t="s">
        <v>24</v>
      </c>
      <c r="D933" s="7" t="s">
        <v>4456</v>
      </c>
      <c r="E933" s="8" t="s">
        <v>4454</v>
      </c>
    </row>
    <row r="934" spans="1:5" x14ac:dyDescent="0.25">
      <c r="A934" s="5" t="s">
        <v>3427</v>
      </c>
      <c r="B934" s="6" t="s">
        <v>4201</v>
      </c>
      <c r="C934" s="7" t="s">
        <v>24</v>
      </c>
      <c r="D934" s="7" t="s">
        <v>4456</v>
      </c>
      <c r="E934" s="8" t="s">
        <v>4454</v>
      </c>
    </row>
    <row r="935" spans="1:5" x14ac:dyDescent="0.25">
      <c r="A935" s="5" t="s">
        <v>3428</v>
      </c>
      <c r="B935" s="6" t="s">
        <v>4202</v>
      </c>
      <c r="C935" s="7" t="s">
        <v>24</v>
      </c>
      <c r="D935" s="7" t="s">
        <v>4456</v>
      </c>
      <c r="E935" s="8" t="s">
        <v>4454</v>
      </c>
    </row>
    <row r="936" spans="1:5" x14ac:dyDescent="0.25">
      <c r="A936" s="5" t="s">
        <v>3508</v>
      </c>
      <c r="B936" s="6" t="s">
        <v>4282</v>
      </c>
      <c r="C936" s="7" t="s">
        <v>24</v>
      </c>
      <c r="D936" s="7" t="s">
        <v>4456</v>
      </c>
      <c r="E936" s="8" t="s">
        <v>4454</v>
      </c>
    </row>
    <row r="937" spans="1:5" x14ac:dyDescent="0.25">
      <c r="A937" s="5" t="s">
        <v>3564</v>
      </c>
      <c r="B937" s="6" t="s">
        <v>4339</v>
      </c>
      <c r="C937" s="7" t="s">
        <v>24</v>
      </c>
      <c r="D937" s="7" t="s">
        <v>4456</v>
      </c>
      <c r="E937" s="8" t="s">
        <v>4454</v>
      </c>
    </row>
    <row r="938" spans="1:5" x14ac:dyDescent="0.25">
      <c r="A938" s="12" t="s">
        <v>3429</v>
      </c>
      <c r="B938" s="6" t="s">
        <v>4203</v>
      </c>
      <c r="C938" s="13" t="s">
        <v>24</v>
      </c>
      <c r="D938" s="13" t="s">
        <v>4456</v>
      </c>
      <c r="E938" s="8" t="s">
        <v>4454</v>
      </c>
    </row>
    <row r="939" spans="1:5" x14ac:dyDescent="0.25">
      <c r="A939" s="5" t="s">
        <v>3430</v>
      </c>
      <c r="B939" s="6" t="s">
        <v>4204</v>
      </c>
      <c r="C939" s="7" t="s">
        <v>24</v>
      </c>
      <c r="D939" s="7" t="s">
        <v>4456</v>
      </c>
      <c r="E939" s="8" t="s">
        <v>4454</v>
      </c>
    </row>
    <row r="940" spans="1:5" x14ac:dyDescent="0.25">
      <c r="A940" s="5" t="s">
        <v>3431</v>
      </c>
      <c r="B940" s="6" t="s">
        <v>4205</v>
      </c>
      <c r="C940" s="7" t="s">
        <v>24</v>
      </c>
      <c r="D940" s="7" t="s">
        <v>4456</v>
      </c>
      <c r="E940" s="8" t="s">
        <v>4454</v>
      </c>
    </row>
    <row r="941" spans="1:5" x14ac:dyDescent="0.25">
      <c r="A941" s="12" t="s">
        <v>3432</v>
      </c>
      <c r="B941" s="6" t="s">
        <v>4206</v>
      </c>
      <c r="C941" s="13" t="s">
        <v>24</v>
      </c>
      <c r="D941" s="13" t="s">
        <v>4456</v>
      </c>
      <c r="E941" s="8" t="s">
        <v>4454</v>
      </c>
    </row>
    <row r="942" spans="1:5" x14ac:dyDescent="0.25">
      <c r="A942" s="12" t="s">
        <v>3433</v>
      </c>
      <c r="B942" s="6" t="s">
        <v>4207</v>
      </c>
      <c r="C942" s="13" t="s">
        <v>24</v>
      </c>
      <c r="D942" s="13" t="s">
        <v>4456</v>
      </c>
      <c r="E942" s="8" t="s">
        <v>4454</v>
      </c>
    </row>
    <row r="943" spans="1:5" x14ac:dyDescent="0.25">
      <c r="A943" s="5" t="s">
        <v>3434</v>
      </c>
      <c r="B943" s="6" t="s">
        <v>4208</v>
      </c>
      <c r="C943" s="7" t="s">
        <v>24</v>
      </c>
      <c r="D943" s="7" t="s">
        <v>4456</v>
      </c>
      <c r="E943" s="8" t="s">
        <v>4454</v>
      </c>
    </row>
    <row r="944" spans="1:5" x14ac:dyDescent="0.25">
      <c r="A944" s="5" t="s">
        <v>3435</v>
      </c>
      <c r="B944" s="6" t="s">
        <v>4209</v>
      </c>
      <c r="C944" s="7" t="s">
        <v>24</v>
      </c>
      <c r="D944" s="7" t="s">
        <v>4456</v>
      </c>
      <c r="E944" s="8" t="s">
        <v>4454</v>
      </c>
    </row>
    <row r="945" spans="1:5" x14ac:dyDescent="0.25">
      <c r="A945" s="5" t="s">
        <v>3436</v>
      </c>
      <c r="B945" s="6" t="s">
        <v>4210</v>
      </c>
      <c r="C945" s="7" t="s">
        <v>24</v>
      </c>
      <c r="D945" s="7" t="s">
        <v>4456</v>
      </c>
      <c r="E945" s="8" t="s">
        <v>4454</v>
      </c>
    </row>
    <row r="946" spans="1:5" x14ac:dyDescent="0.25">
      <c r="A946" s="5" t="s">
        <v>3437</v>
      </c>
      <c r="B946" s="6" t="s">
        <v>4211</v>
      </c>
      <c r="C946" s="7" t="s">
        <v>24</v>
      </c>
      <c r="D946" s="7" t="s">
        <v>4456</v>
      </c>
      <c r="E946" s="8" t="s">
        <v>4454</v>
      </c>
    </row>
    <row r="947" spans="1:5" x14ac:dyDescent="0.25">
      <c r="A947" s="5" t="s">
        <v>3438</v>
      </c>
      <c r="B947" s="6" t="s">
        <v>4212</v>
      </c>
      <c r="C947" s="7" t="s">
        <v>24</v>
      </c>
      <c r="D947" s="7" t="s">
        <v>4456</v>
      </c>
      <c r="E947" s="8" t="s">
        <v>4454</v>
      </c>
    </row>
    <row r="948" spans="1:5" x14ac:dyDescent="0.25">
      <c r="A948" s="12" t="s">
        <v>3439</v>
      </c>
      <c r="B948" s="6" t="s">
        <v>4213</v>
      </c>
      <c r="C948" s="13" t="s">
        <v>24</v>
      </c>
      <c r="D948" s="13" t="s">
        <v>4456</v>
      </c>
      <c r="E948" s="8" t="s">
        <v>4454</v>
      </c>
    </row>
    <row r="949" spans="1:5" x14ac:dyDescent="0.25">
      <c r="A949" s="5" t="s">
        <v>3440</v>
      </c>
      <c r="B949" s="6" t="s">
        <v>4214</v>
      </c>
      <c r="C949" s="7" t="s">
        <v>24</v>
      </c>
      <c r="D949" s="7" t="s">
        <v>4456</v>
      </c>
      <c r="E949" s="8" t="s">
        <v>4454</v>
      </c>
    </row>
    <row r="950" spans="1:5" x14ac:dyDescent="0.25">
      <c r="A950" s="5" t="s">
        <v>3441</v>
      </c>
      <c r="B950" s="6" t="s">
        <v>4215</v>
      </c>
      <c r="C950" s="7" t="s">
        <v>24</v>
      </c>
      <c r="D950" s="7" t="s">
        <v>4456</v>
      </c>
      <c r="E950" s="8" t="s">
        <v>4454</v>
      </c>
    </row>
    <row r="951" spans="1:5" x14ac:dyDescent="0.25">
      <c r="A951" s="5" t="s">
        <v>3509</v>
      </c>
      <c r="B951" s="6" t="s">
        <v>4283</v>
      </c>
      <c r="C951" s="7" t="s">
        <v>24</v>
      </c>
      <c r="D951" s="7" t="s">
        <v>4456</v>
      </c>
      <c r="E951" s="8" t="s">
        <v>4454</v>
      </c>
    </row>
    <row r="952" spans="1:5" x14ac:dyDescent="0.25">
      <c r="A952" s="5" t="s">
        <v>3576</v>
      </c>
      <c r="B952" s="6" t="s">
        <v>4352</v>
      </c>
      <c r="C952" s="7" t="s">
        <v>24</v>
      </c>
      <c r="D952" s="7" t="s">
        <v>4456</v>
      </c>
      <c r="E952" s="8" t="s">
        <v>4454</v>
      </c>
    </row>
    <row r="953" spans="1:5" x14ac:dyDescent="0.25">
      <c r="A953" s="5" t="s">
        <v>3442</v>
      </c>
      <c r="B953" s="6" t="s">
        <v>4216</v>
      </c>
      <c r="C953" s="7" t="s">
        <v>24</v>
      </c>
      <c r="D953" s="7" t="s">
        <v>4456</v>
      </c>
      <c r="E953" s="8" t="s">
        <v>4454</v>
      </c>
    </row>
    <row r="954" spans="1:5" x14ac:dyDescent="0.25">
      <c r="A954" s="5" t="s">
        <v>3443</v>
      </c>
      <c r="B954" s="6" t="s">
        <v>4217</v>
      </c>
      <c r="C954" s="7" t="s">
        <v>24</v>
      </c>
      <c r="D954" s="7" t="s">
        <v>4456</v>
      </c>
      <c r="E954" s="8" t="s">
        <v>4454</v>
      </c>
    </row>
    <row r="955" spans="1:5" x14ac:dyDescent="0.25">
      <c r="A955" s="5" t="s">
        <v>3444</v>
      </c>
      <c r="B955" s="6" t="s">
        <v>4218</v>
      </c>
      <c r="C955" s="7" t="s">
        <v>24</v>
      </c>
      <c r="D955" s="7" t="s">
        <v>4456</v>
      </c>
      <c r="E955" s="8" t="s">
        <v>4454</v>
      </c>
    </row>
    <row r="956" spans="1:5" x14ac:dyDescent="0.25">
      <c r="A956" s="5" t="s">
        <v>3445</v>
      </c>
      <c r="B956" s="6" t="s">
        <v>4219</v>
      </c>
      <c r="C956" s="7" t="s">
        <v>24</v>
      </c>
      <c r="D956" s="7" t="s">
        <v>4456</v>
      </c>
      <c r="E956" s="8" t="s">
        <v>4454</v>
      </c>
    </row>
    <row r="957" spans="1:5" x14ac:dyDescent="0.25">
      <c r="A957" s="5" t="s">
        <v>3446</v>
      </c>
      <c r="B957" s="6" t="s">
        <v>4220</v>
      </c>
      <c r="C957" s="7" t="s">
        <v>24</v>
      </c>
      <c r="D957" s="7" t="s">
        <v>4456</v>
      </c>
      <c r="E957" s="8" t="s">
        <v>4454</v>
      </c>
    </row>
    <row r="958" spans="1:5" x14ac:dyDescent="0.25">
      <c r="A958" s="5" t="s">
        <v>3447</v>
      </c>
      <c r="B958" s="6" t="s">
        <v>4221</v>
      </c>
      <c r="C958" s="7" t="s">
        <v>24</v>
      </c>
      <c r="D958" s="7" t="s">
        <v>4456</v>
      </c>
      <c r="E958" s="8" t="s">
        <v>4454</v>
      </c>
    </row>
    <row r="959" spans="1:5" x14ac:dyDescent="0.25">
      <c r="A959" s="5" t="s">
        <v>3448</v>
      </c>
      <c r="B959" s="6" t="s">
        <v>4222</v>
      </c>
      <c r="C959" s="7" t="s">
        <v>24</v>
      </c>
      <c r="D959" s="7" t="s">
        <v>4456</v>
      </c>
      <c r="E959" s="8" t="s">
        <v>4454</v>
      </c>
    </row>
    <row r="960" spans="1:5" x14ac:dyDescent="0.25">
      <c r="A960" s="5" t="s">
        <v>3565</v>
      </c>
      <c r="B960" s="6" t="s">
        <v>4340</v>
      </c>
      <c r="C960" s="7" t="s">
        <v>24</v>
      </c>
      <c r="D960" s="7" t="s">
        <v>4456</v>
      </c>
      <c r="E960" s="8" t="s">
        <v>4454</v>
      </c>
    </row>
    <row r="961" spans="1:5" x14ac:dyDescent="0.25">
      <c r="A961" s="5" t="s">
        <v>3506</v>
      </c>
      <c r="B961" s="6" t="s">
        <v>4280</v>
      </c>
      <c r="C961" s="7" t="s">
        <v>24</v>
      </c>
      <c r="D961" s="7" t="s">
        <v>4456</v>
      </c>
      <c r="E961" s="8" t="s">
        <v>4454</v>
      </c>
    </row>
    <row r="962" spans="1:5" x14ac:dyDescent="0.25">
      <c r="A962" s="5" t="s">
        <v>3449</v>
      </c>
      <c r="B962" s="6" t="s">
        <v>4223</v>
      </c>
      <c r="C962" s="7" t="s">
        <v>24</v>
      </c>
      <c r="D962" s="7" t="s">
        <v>4456</v>
      </c>
      <c r="E962" s="8" t="s">
        <v>4454</v>
      </c>
    </row>
    <row r="963" spans="1:5" x14ac:dyDescent="0.25">
      <c r="A963" s="5" t="s">
        <v>3510</v>
      </c>
      <c r="B963" s="6" t="s">
        <v>4284</v>
      </c>
      <c r="C963" s="7" t="s">
        <v>24</v>
      </c>
      <c r="D963" s="7" t="s">
        <v>4456</v>
      </c>
      <c r="E963" s="8" t="s">
        <v>4454</v>
      </c>
    </row>
    <row r="964" spans="1:5" x14ac:dyDescent="0.25">
      <c r="A964" s="5" t="s">
        <v>3450</v>
      </c>
      <c r="B964" s="6" t="s">
        <v>4224</v>
      </c>
      <c r="C964" s="7" t="s">
        <v>24</v>
      </c>
      <c r="D964" s="7" t="s">
        <v>4456</v>
      </c>
      <c r="E964" s="8" t="s">
        <v>4454</v>
      </c>
    </row>
    <row r="965" spans="1:5" x14ac:dyDescent="0.25">
      <c r="A965" s="5" t="s">
        <v>3451</v>
      </c>
      <c r="B965" s="6" t="s">
        <v>4225</v>
      </c>
      <c r="C965" s="7" t="s">
        <v>24</v>
      </c>
      <c r="D965" s="7" t="s">
        <v>4456</v>
      </c>
      <c r="E965" s="8" t="s">
        <v>4454</v>
      </c>
    </row>
    <row r="966" spans="1:5" x14ac:dyDescent="0.25">
      <c r="A966" s="5" t="s">
        <v>3452</v>
      </c>
      <c r="B966" s="6" t="s">
        <v>4226</v>
      </c>
      <c r="C966" s="7" t="s">
        <v>24</v>
      </c>
      <c r="D966" s="7" t="s">
        <v>4456</v>
      </c>
      <c r="E966" s="8" t="s">
        <v>4454</v>
      </c>
    </row>
    <row r="967" spans="1:5" x14ac:dyDescent="0.25">
      <c r="A967" s="5" t="s">
        <v>3453</v>
      </c>
      <c r="B967" s="6" t="s">
        <v>4227</v>
      </c>
      <c r="C967" s="7" t="s">
        <v>24</v>
      </c>
      <c r="D967" s="7" t="s">
        <v>4456</v>
      </c>
      <c r="E967" s="8" t="s">
        <v>4454</v>
      </c>
    </row>
    <row r="968" spans="1:5" x14ac:dyDescent="0.25">
      <c r="A968" s="5" t="s">
        <v>3454</v>
      </c>
      <c r="B968" s="6" t="s">
        <v>4228</v>
      </c>
      <c r="C968" s="7" t="s">
        <v>24</v>
      </c>
      <c r="D968" s="7" t="s">
        <v>4456</v>
      </c>
      <c r="E968" s="8" t="s">
        <v>4454</v>
      </c>
    </row>
    <row r="969" spans="1:5" x14ac:dyDescent="0.25">
      <c r="A969" s="5" t="s">
        <v>3455</v>
      </c>
      <c r="B969" s="6" t="s">
        <v>4229</v>
      </c>
      <c r="C969" s="7" t="s">
        <v>24</v>
      </c>
      <c r="D969" s="7" t="s">
        <v>4456</v>
      </c>
      <c r="E969" s="8" t="s">
        <v>4454</v>
      </c>
    </row>
    <row r="970" spans="1:5" x14ac:dyDescent="0.25">
      <c r="A970" s="5" t="s">
        <v>3456</v>
      </c>
      <c r="B970" s="6" t="s">
        <v>4230</v>
      </c>
      <c r="C970" s="7" t="s">
        <v>24</v>
      </c>
      <c r="D970" s="7" t="s">
        <v>4456</v>
      </c>
      <c r="E970" s="8" t="s">
        <v>4454</v>
      </c>
    </row>
    <row r="971" spans="1:5" x14ac:dyDescent="0.25">
      <c r="A971" s="5" t="s">
        <v>3457</v>
      </c>
      <c r="B971" s="6" t="s">
        <v>4231</v>
      </c>
      <c r="C971" s="7" t="s">
        <v>24</v>
      </c>
      <c r="D971" s="7" t="s">
        <v>4456</v>
      </c>
      <c r="E971" s="8" t="s">
        <v>4454</v>
      </c>
    </row>
    <row r="972" spans="1:5" x14ac:dyDescent="0.25">
      <c r="A972" s="5" t="s">
        <v>3458</v>
      </c>
      <c r="B972" s="6" t="s">
        <v>4232</v>
      </c>
      <c r="C972" s="7" t="s">
        <v>24</v>
      </c>
      <c r="D972" s="7" t="s">
        <v>4456</v>
      </c>
      <c r="E972" s="8" t="s">
        <v>4454</v>
      </c>
    </row>
    <row r="973" spans="1:5" x14ac:dyDescent="0.25">
      <c r="A973" s="12" t="s">
        <v>3511</v>
      </c>
      <c r="B973" s="6" t="s">
        <v>4285</v>
      </c>
      <c r="C973" s="13" t="s">
        <v>24</v>
      </c>
      <c r="D973" s="13" t="s">
        <v>4456</v>
      </c>
      <c r="E973" s="8" t="s">
        <v>4454</v>
      </c>
    </row>
    <row r="974" spans="1:5" x14ac:dyDescent="0.25">
      <c r="A974" s="5" t="s">
        <v>3459</v>
      </c>
      <c r="B974" s="6" t="s">
        <v>4233</v>
      </c>
      <c r="C974" s="7" t="s">
        <v>24</v>
      </c>
      <c r="D974" s="7" t="s">
        <v>4456</v>
      </c>
      <c r="E974" s="8" t="s">
        <v>4454</v>
      </c>
    </row>
    <row r="975" spans="1:5" x14ac:dyDescent="0.25">
      <c r="A975" s="5" t="s">
        <v>3460</v>
      </c>
      <c r="B975" s="6" t="s">
        <v>4234</v>
      </c>
      <c r="C975" s="7" t="s">
        <v>24</v>
      </c>
      <c r="D975" s="7" t="s">
        <v>4456</v>
      </c>
      <c r="E975" s="8" t="s">
        <v>4454</v>
      </c>
    </row>
    <row r="976" spans="1:5" x14ac:dyDescent="0.25">
      <c r="A976" s="12" t="s">
        <v>3461</v>
      </c>
      <c r="B976" s="6" t="s">
        <v>4235</v>
      </c>
      <c r="C976" s="13" t="s">
        <v>24</v>
      </c>
      <c r="D976" s="13" t="s">
        <v>4456</v>
      </c>
      <c r="E976" s="8" t="s">
        <v>4454</v>
      </c>
    </row>
    <row r="977" spans="1:5" x14ac:dyDescent="0.25">
      <c r="A977" s="5" t="s">
        <v>3553</v>
      </c>
      <c r="B977" s="6" t="s">
        <v>4327</v>
      </c>
      <c r="C977" s="7" t="s">
        <v>24</v>
      </c>
      <c r="D977" s="7" t="s">
        <v>4456</v>
      </c>
      <c r="E977" s="8" t="s">
        <v>4454</v>
      </c>
    </row>
    <row r="978" spans="1:5" x14ac:dyDescent="0.25">
      <c r="A978" s="5" t="s">
        <v>2926</v>
      </c>
      <c r="B978" s="6" t="s">
        <v>3689</v>
      </c>
      <c r="C978" s="7" t="s">
        <v>24</v>
      </c>
      <c r="D978" s="7" t="s">
        <v>4456</v>
      </c>
      <c r="E978" s="8" t="s">
        <v>4454</v>
      </c>
    </row>
    <row r="979" spans="1:5" x14ac:dyDescent="0.25">
      <c r="A979" s="5" t="s">
        <v>3171</v>
      </c>
      <c r="B979" s="6" t="s">
        <v>3942</v>
      </c>
      <c r="C979" s="7" t="s">
        <v>24</v>
      </c>
      <c r="D979" s="7" t="s">
        <v>4456</v>
      </c>
      <c r="E979" s="8" t="s">
        <v>4454</v>
      </c>
    </row>
    <row r="980" spans="1:5" x14ac:dyDescent="0.25">
      <c r="A980" s="5" t="s">
        <v>3462</v>
      </c>
      <c r="B980" s="6" t="s">
        <v>4236</v>
      </c>
      <c r="C980" s="7" t="s">
        <v>24</v>
      </c>
      <c r="D980" s="7" t="s">
        <v>4456</v>
      </c>
      <c r="E980" s="8" t="s">
        <v>4454</v>
      </c>
    </row>
    <row r="981" spans="1:5" x14ac:dyDescent="0.25">
      <c r="A981" s="5" t="s">
        <v>3562</v>
      </c>
      <c r="B981" s="6" t="s">
        <v>4337</v>
      </c>
      <c r="C981" s="7" t="s">
        <v>24</v>
      </c>
      <c r="D981" s="7" t="s">
        <v>4456</v>
      </c>
      <c r="E981" s="8" t="s">
        <v>4454</v>
      </c>
    </row>
    <row r="982" spans="1:5" x14ac:dyDescent="0.25">
      <c r="A982" s="5" t="s">
        <v>3463</v>
      </c>
      <c r="B982" s="6" t="s">
        <v>4237</v>
      </c>
      <c r="C982" s="7" t="s">
        <v>24</v>
      </c>
      <c r="D982" s="7" t="s">
        <v>4456</v>
      </c>
      <c r="E982" s="8" t="s">
        <v>4454</v>
      </c>
    </row>
    <row r="983" spans="1:5" x14ac:dyDescent="0.25">
      <c r="A983" s="12" t="s">
        <v>3464</v>
      </c>
      <c r="B983" s="6" t="s">
        <v>4238</v>
      </c>
      <c r="C983" s="13" t="s">
        <v>24</v>
      </c>
      <c r="D983" s="13" t="s">
        <v>4456</v>
      </c>
      <c r="E983" s="8" t="s">
        <v>4454</v>
      </c>
    </row>
    <row r="984" spans="1:5" x14ac:dyDescent="0.25">
      <c r="A984" s="5" t="s">
        <v>3561</v>
      </c>
      <c r="B984" s="6" t="s">
        <v>4336</v>
      </c>
      <c r="C984" s="7" t="s">
        <v>24</v>
      </c>
      <c r="D984" s="7" t="s">
        <v>4456</v>
      </c>
      <c r="E984" s="8" t="s">
        <v>4454</v>
      </c>
    </row>
    <row r="985" spans="1:5" x14ac:dyDescent="0.25">
      <c r="A985" s="12" t="s">
        <v>3465</v>
      </c>
      <c r="B985" s="6" t="s">
        <v>4239</v>
      </c>
      <c r="C985" s="13" t="s">
        <v>24</v>
      </c>
      <c r="D985" s="13" t="s">
        <v>4456</v>
      </c>
      <c r="E985" s="8" t="s">
        <v>4454</v>
      </c>
    </row>
    <row r="986" spans="1:5" x14ac:dyDescent="0.25">
      <c r="A986" s="5" t="s">
        <v>3466</v>
      </c>
      <c r="B986" s="6" t="s">
        <v>4240</v>
      </c>
      <c r="C986" s="7" t="s">
        <v>24</v>
      </c>
      <c r="D986" s="7" t="s">
        <v>4456</v>
      </c>
      <c r="E986" s="8" t="s">
        <v>4454</v>
      </c>
    </row>
    <row r="987" spans="1:5" x14ac:dyDescent="0.25">
      <c r="A987" s="5" t="s">
        <v>3512</v>
      </c>
      <c r="B987" s="6" t="s">
        <v>4286</v>
      </c>
      <c r="C987" s="7" t="s">
        <v>24</v>
      </c>
      <c r="D987" s="7" t="s">
        <v>4456</v>
      </c>
      <c r="E987" s="8" t="s">
        <v>4454</v>
      </c>
    </row>
    <row r="988" spans="1:5" x14ac:dyDescent="0.25">
      <c r="A988" s="12" t="s">
        <v>3467</v>
      </c>
      <c r="B988" s="6" t="s">
        <v>4241</v>
      </c>
      <c r="C988" s="13" t="s">
        <v>24</v>
      </c>
      <c r="D988" s="13" t="s">
        <v>4456</v>
      </c>
      <c r="E988" s="8" t="s">
        <v>4454</v>
      </c>
    </row>
    <row r="989" spans="1:5" x14ac:dyDescent="0.25">
      <c r="A989" s="12" t="s">
        <v>3468</v>
      </c>
      <c r="B989" s="6" t="s">
        <v>4242</v>
      </c>
      <c r="C989" s="13" t="s">
        <v>24</v>
      </c>
      <c r="D989" s="13" t="s">
        <v>4456</v>
      </c>
      <c r="E989" s="8" t="s">
        <v>4454</v>
      </c>
    </row>
    <row r="990" spans="1:5" x14ac:dyDescent="0.25">
      <c r="A990" s="5" t="s">
        <v>3469</v>
      </c>
      <c r="B990" s="6" t="s">
        <v>4243</v>
      </c>
      <c r="C990" s="7" t="s">
        <v>24</v>
      </c>
      <c r="D990" s="7" t="s">
        <v>4456</v>
      </c>
      <c r="E990" s="8" t="s">
        <v>4454</v>
      </c>
    </row>
    <row r="991" spans="1:5" x14ac:dyDescent="0.25">
      <c r="A991" s="5" t="s">
        <v>3470</v>
      </c>
      <c r="B991" s="6" t="s">
        <v>4244</v>
      </c>
      <c r="C991" s="7" t="s">
        <v>24</v>
      </c>
      <c r="D991" s="7" t="s">
        <v>4456</v>
      </c>
      <c r="E991" s="8" t="s">
        <v>4454</v>
      </c>
    </row>
    <row r="992" spans="1:5" x14ac:dyDescent="0.25">
      <c r="A992" s="5" t="s">
        <v>3471</v>
      </c>
      <c r="B992" s="6" t="s">
        <v>4245</v>
      </c>
      <c r="C992" s="7" t="s">
        <v>24</v>
      </c>
      <c r="D992" s="7" t="s">
        <v>4456</v>
      </c>
      <c r="E992" s="8" t="s">
        <v>4454</v>
      </c>
    </row>
    <row r="993" spans="1:5" x14ac:dyDescent="0.25">
      <c r="A993" s="5" t="s">
        <v>3472</v>
      </c>
      <c r="B993" s="6" t="s">
        <v>4246</v>
      </c>
      <c r="C993" s="7" t="s">
        <v>24</v>
      </c>
      <c r="D993" s="7" t="s">
        <v>4456</v>
      </c>
      <c r="E993" s="8" t="s">
        <v>4454</v>
      </c>
    </row>
    <row r="994" spans="1:5" x14ac:dyDescent="0.25">
      <c r="A994" s="5" t="s">
        <v>3473</v>
      </c>
      <c r="B994" s="6" t="s">
        <v>4247</v>
      </c>
      <c r="C994" s="7" t="s">
        <v>24</v>
      </c>
      <c r="D994" s="7" t="s">
        <v>4456</v>
      </c>
      <c r="E994" s="8" t="s">
        <v>4454</v>
      </c>
    </row>
    <row r="995" spans="1:5" x14ac:dyDescent="0.25">
      <c r="A995" s="5" t="s">
        <v>3475</v>
      </c>
      <c r="B995" s="6" t="s">
        <v>4249</v>
      </c>
      <c r="C995" s="7" t="s">
        <v>24</v>
      </c>
      <c r="D995" s="7" t="s">
        <v>4456</v>
      </c>
      <c r="E995" s="8" t="s">
        <v>4454</v>
      </c>
    </row>
    <row r="996" spans="1:5" x14ac:dyDescent="0.25">
      <c r="A996" s="5" t="s">
        <v>3476</v>
      </c>
      <c r="B996" s="6" t="s">
        <v>4250</v>
      </c>
      <c r="C996" s="7" t="s">
        <v>24</v>
      </c>
      <c r="D996" s="7" t="s">
        <v>4456</v>
      </c>
      <c r="E996" s="8" t="s">
        <v>4454</v>
      </c>
    </row>
    <row r="997" spans="1:5" x14ac:dyDescent="0.25">
      <c r="A997" s="5" t="s">
        <v>3477</v>
      </c>
      <c r="B997" s="6" t="s">
        <v>4251</v>
      </c>
      <c r="C997" s="7" t="s">
        <v>24</v>
      </c>
      <c r="D997" s="7" t="s">
        <v>4456</v>
      </c>
      <c r="E997" s="8" t="s">
        <v>4454</v>
      </c>
    </row>
    <row r="998" spans="1:5" x14ac:dyDescent="0.25">
      <c r="A998" s="5" t="s">
        <v>3580</v>
      </c>
      <c r="B998" s="6" t="s">
        <v>4356</v>
      </c>
      <c r="C998" s="7" t="s">
        <v>24</v>
      </c>
      <c r="D998" s="7" t="s">
        <v>4456</v>
      </c>
      <c r="E998" s="8" t="s">
        <v>4454</v>
      </c>
    </row>
    <row r="999" spans="1:5" x14ac:dyDescent="0.25">
      <c r="A999" s="5" t="s">
        <v>3474</v>
      </c>
      <c r="B999" s="6" t="s">
        <v>4248</v>
      </c>
      <c r="C999" s="7" t="s">
        <v>24</v>
      </c>
      <c r="D999" s="7" t="s">
        <v>4456</v>
      </c>
      <c r="E999" s="8" t="s">
        <v>4454</v>
      </c>
    </row>
    <row r="1000" spans="1:5" x14ac:dyDescent="0.25">
      <c r="A1000" s="5" t="s">
        <v>3478</v>
      </c>
      <c r="B1000" s="6" t="s">
        <v>4252</v>
      </c>
      <c r="C1000" s="7" t="s">
        <v>24</v>
      </c>
      <c r="D1000" s="7" t="s">
        <v>4456</v>
      </c>
      <c r="E1000" s="8" t="s">
        <v>4454</v>
      </c>
    </row>
    <row r="1001" spans="1:5" x14ac:dyDescent="0.25">
      <c r="A1001" s="5" t="s">
        <v>908</v>
      </c>
      <c r="B1001" s="6" t="s">
        <v>907</v>
      </c>
      <c r="C1001" s="7" t="s">
        <v>24</v>
      </c>
      <c r="D1001" s="7" t="s">
        <v>64</v>
      </c>
      <c r="E1001" s="8" t="s">
        <v>99</v>
      </c>
    </row>
    <row r="1002" spans="1:5" x14ac:dyDescent="0.25">
      <c r="A1002" s="5" t="s">
        <v>910</v>
      </c>
      <c r="B1002" s="6" t="s">
        <v>909</v>
      </c>
      <c r="C1002" s="7" t="s">
        <v>24</v>
      </c>
      <c r="D1002" s="7" t="s">
        <v>64</v>
      </c>
      <c r="E1002" s="8" t="s">
        <v>68</v>
      </c>
    </row>
    <row r="1003" spans="1:5" x14ac:dyDescent="0.25">
      <c r="A1003" s="5" t="s">
        <v>912</v>
      </c>
      <c r="B1003" s="6" t="s">
        <v>911</v>
      </c>
      <c r="C1003" s="7" t="s">
        <v>24</v>
      </c>
      <c r="D1003" s="7" t="s">
        <v>25</v>
      </c>
      <c r="E1003" s="8" t="s">
        <v>4458</v>
      </c>
    </row>
    <row r="1004" spans="1:5" x14ac:dyDescent="0.25">
      <c r="A1004" s="5" t="s">
        <v>914</v>
      </c>
      <c r="B1004" s="6" t="s">
        <v>913</v>
      </c>
      <c r="C1004" s="13" t="s">
        <v>24</v>
      </c>
      <c r="D1004" s="13" t="s">
        <v>25</v>
      </c>
      <c r="E1004" s="8" t="s">
        <v>4459</v>
      </c>
    </row>
    <row r="1005" spans="1:5" x14ac:dyDescent="0.25">
      <c r="A1005" s="5" t="s">
        <v>916</v>
      </c>
      <c r="B1005" s="6" t="s">
        <v>915</v>
      </c>
      <c r="C1005" s="7" t="s">
        <v>24</v>
      </c>
      <c r="D1005" s="7" t="s">
        <v>25</v>
      </c>
      <c r="E1005" s="8" t="s">
        <v>4460</v>
      </c>
    </row>
    <row r="1006" spans="1:5" x14ac:dyDescent="0.25">
      <c r="A1006" s="5" t="s">
        <v>918</v>
      </c>
      <c r="B1006" s="6" t="s">
        <v>917</v>
      </c>
      <c r="C1006" s="7" t="s">
        <v>24</v>
      </c>
      <c r="D1006" s="7" t="s">
        <v>25</v>
      </c>
      <c r="E1006" s="8" t="s">
        <v>4465</v>
      </c>
    </row>
    <row r="1007" spans="1:5" x14ac:dyDescent="0.25">
      <c r="A1007" s="5" t="s">
        <v>920</v>
      </c>
      <c r="B1007" s="6" t="s">
        <v>919</v>
      </c>
      <c r="C1007" s="7" t="s">
        <v>24</v>
      </c>
      <c r="D1007" s="7" t="s">
        <v>25</v>
      </c>
      <c r="E1007" s="8" t="s">
        <v>4462</v>
      </c>
    </row>
    <row r="1008" spans="1:5" x14ac:dyDescent="0.25">
      <c r="A1008" s="5" t="s">
        <v>922</v>
      </c>
      <c r="B1008" s="6" t="s">
        <v>921</v>
      </c>
      <c r="C1008" s="7" t="s">
        <v>24</v>
      </c>
      <c r="D1008" s="7" t="s">
        <v>25</v>
      </c>
      <c r="E1008" s="8" t="s">
        <v>4463</v>
      </c>
    </row>
    <row r="1009" spans="1:5" x14ac:dyDescent="0.25">
      <c r="A1009" s="5" t="s">
        <v>924</v>
      </c>
      <c r="B1009" s="6" t="s">
        <v>923</v>
      </c>
      <c r="C1009" s="7" t="s">
        <v>24</v>
      </c>
      <c r="D1009" s="7" t="s">
        <v>25</v>
      </c>
      <c r="E1009" s="8" t="s">
        <v>4462</v>
      </c>
    </row>
    <row r="1010" spans="1:5" x14ac:dyDescent="0.25">
      <c r="A1010" s="5" t="s">
        <v>926</v>
      </c>
      <c r="B1010" s="6" t="s">
        <v>925</v>
      </c>
      <c r="C1010" s="7" t="s">
        <v>24</v>
      </c>
      <c r="D1010" s="7" t="s">
        <v>25</v>
      </c>
      <c r="E1010" s="8" t="s">
        <v>4458</v>
      </c>
    </row>
    <row r="1011" spans="1:5" x14ac:dyDescent="0.25">
      <c r="A1011" s="5" t="s">
        <v>928</v>
      </c>
      <c r="B1011" s="6" t="s">
        <v>927</v>
      </c>
      <c r="C1011" s="7" t="s">
        <v>24</v>
      </c>
      <c r="D1011" s="7" t="s">
        <v>64</v>
      </c>
      <c r="E1011" s="8" t="s">
        <v>68</v>
      </c>
    </row>
    <row r="1012" spans="1:5" x14ac:dyDescent="0.25">
      <c r="A1012" s="5" t="s">
        <v>930</v>
      </c>
      <c r="B1012" s="6" t="s">
        <v>929</v>
      </c>
      <c r="C1012" s="7" t="s">
        <v>24</v>
      </c>
      <c r="D1012" s="7" t="s">
        <v>25</v>
      </c>
      <c r="E1012" s="8" t="s">
        <v>4458</v>
      </c>
    </row>
    <row r="1013" spans="1:5" x14ac:dyDescent="0.25">
      <c r="A1013" s="5" t="s">
        <v>932</v>
      </c>
      <c r="B1013" s="6" t="s">
        <v>931</v>
      </c>
      <c r="C1013" s="7" t="s">
        <v>24</v>
      </c>
      <c r="D1013" s="7" t="s">
        <v>25</v>
      </c>
      <c r="E1013" s="8" t="s">
        <v>4464</v>
      </c>
    </row>
    <row r="1014" spans="1:5" x14ac:dyDescent="0.25">
      <c r="A1014" s="5" t="s">
        <v>3479</v>
      </c>
      <c r="B1014" s="6" t="s">
        <v>4253</v>
      </c>
      <c r="C1014" s="7" t="s">
        <v>24</v>
      </c>
      <c r="D1014" s="7" t="s">
        <v>4456</v>
      </c>
      <c r="E1014" s="8" t="s">
        <v>4454</v>
      </c>
    </row>
    <row r="1015" spans="1:5" x14ac:dyDescent="0.25">
      <c r="A1015" s="5" t="s">
        <v>934</v>
      </c>
      <c r="B1015" s="6" t="s">
        <v>933</v>
      </c>
      <c r="C1015" s="7" t="s">
        <v>24</v>
      </c>
      <c r="D1015" s="7" t="s">
        <v>64</v>
      </c>
      <c r="E1015" s="8" t="s">
        <v>68</v>
      </c>
    </row>
    <row r="1016" spans="1:5" x14ac:dyDescent="0.25">
      <c r="A1016" s="5" t="s">
        <v>936</v>
      </c>
      <c r="B1016" s="6" t="s">
        <v>935</v>
      </c>
      <c r="C1016" s="7" t="s">
        <v>24</v>
      </c>
      <c r="D1016" s="7" t="s">
        <v>64</v>
      </c>
      <c r="E1016" s="8" t="s">
        <v>90</v>
      </c>
    </row>
    <row r="1017" spans="1:5" x14ac:dyDescent="0.25">
      <c r="A1017" s="5" t="s">
        <v>938</v>
      </c>
      <c r="B1017" s="6" t="s">
        <v>937</v>
      </c>
      <c r="C1017" s="7" t="s">
        <v>24</v>
      </c>
      <c r="D1017" s="7" t="s">
        <v>64</v>
      </c>
      <c r="E1017" s="8" t="s">
        <v>96</v>
      </c>
    </row>
    <row r="1018" spans="1:5" x14ac:dyDescent="0.25">
      <c r="A1018" s="5" t="s">
        <v>940</v>
      </c>
      <c r="B1018" s="6" t="s">
        <v>939</v>
      </c>
      <c r="C1018" s="7" t="s">
        <v>24</v>
      </c>
      <c r="D1018" s="7" t="s">
        <v>64</v>
      </c>
      <c r="E1018" s="8" t="s">
        <v>68</v>
      </c>
    </row>
    <row r="1019" spans="1:5" x14ac:dyDescent="0.25">
      <c r="A1019" s="5" t="s">
        <v>942</v>
      </c>
      <c r="B1019" s="6" t="s">
        <v>941</v>
      </c>
      <c r="C1019" s="7" t="s">
        <v>24</v>
      </c>
      <c r="D1019" s="7" t="s">
        <v>64</v>
      </c>
      <c r="E1019" s="8" t="s">
        <v>65</v>
      </c>
    </row>
    <row r="1020" spans="1:5" x14ac:dyDescent="0.25">
      <c r="A1020" s="5" t="s">
        <v>944</v>
      </c>
      <c r="B1020" s="6" t="s">
        <v>943</v>
      </c>
      <c r="C1020" s="7" t="s">
        <v>24</v>
      </c>
      <c r="D1020" s="7" t="s">
        <v>64</v>
      </c>
      <c r="E1020" s="8" t="s">
        <v>68</v>
      </c>
    </row>
    <row r="1021" spans="1:5" x14ac:dyDescent="0.25">
      <c r="A1021" s="5" t="s">
        <v>946</v>
      </c>
      <c r="B1021" s="6" t="s">
        <v>945</v>
      </c>
      <c r="C1021" s="7" t="s">
        <v>24</v>
      </c>
      <c r="D1021" s="7" t="s">
        <v>25</v>
      </c>
      <c r="E1021" s="8" t="s">
        <v>4468</v>
      </c>
    </row>
    <row r="1022" spans="1:5" x14ac:dyDescent="0.25">
      <c r="A1022" s="5" t="s">
        <v>948</v>
      </c>
      <c r="B1022" s="6" t="s">
        <v>947</v>
      </c>
      <c r="C1022" s="7" t="s">
        <v>24</v>
      </c>
      <c r="D1022" s="7" t="s">
        <v>25</v>
      </c>
      <c r="E1022" s="8" t="s">
        <v>4458</v>
      </c>
    </row>
    <row r="1023" spans="1:5" x14ac:dyDescent="0.25">
      <c r="A1023" s="5" t="s">
        <v>950</v>
      </c>
      <c r="B1023" s="6" t="s">
        <v>949</v>
      </c>
      <c r="C1023" s="7" t="s">
        <v>24</v>
      </c>
      <c r="D1023" s="7" t="s">
        <v>25</v>
      </c>
      <c r="E1023" s="8" t="s">
        <v>4461</v>
      </c>
    </row>
    <row r="1024" spans="1:5" x14ac:dyDescent="0.25">
      <c r="A1024" s="5" t="s">
        <v>952</v>
      </c>
      <c r="B1024" s="6" t="s">
        <v>951</v>
      </c>
      <c r="C1024" s="7" t="s">
        <v>24</v>
      </c>
      <c r="D1024" s="7" t="s">
        <v>25</v>
      </c>
      <c r="E1024" s="8" t="s">
        <v>4465</v>
      </c>
    </row>
    <row r="1025" spans="1:5" x14ac:dyDescent="0.25">
      <c r="A1025" s="5" t="s">
        <v>954</v>
      </c>
      <c r="B1025" s="6" t="s">
        <v>953</v>
      </c>
      <c r="C1025" s="7" t="s">
        <v>24</v>
      </c>
      <c r="D1025" s="7" t="s">
        <v>25</v>
      </c>
      <c r="E1025" s="8" t="s">
        <v>4463</v>
      </c>
    </row>
    <row r="1026" spans="1:5" x14ac:dyDescent="0.25">
      <c r="A1026" s="5" t="s">
        <v>956</v>
      </c>
      <c r="B1026" s="6" t="s">
        <v>955</v>
      </c>
      <c r="C1026" s="7" t="s">
        <v>24</v>
      </c>
      <c r="D1026" s="7" t="s">
        <v>25</v>
      </c>
      <c r="E1026" s="8" t="s">
        <v>4459</v>
      </c>
    </row>
    <row r="1027" spans="1:5" x14ac:dyDescent="0.25">
      <c r="A1027" s="5" t="s">
        <v>958</v>
      </c>
      <c r="B1027" s="6" t="s">
        <v>957</v>
      </c>
      <c r="C1027" s="7" t="s">
        <v>24</v>
      </c>
      <c r="D1027" s="7" t="s">
        <v>64</v>
      </c>
      <c r="E1027" s="8" t="s">
        <v>68</v>
      </c>
    </row>
    <row r="1028" spans="1:5" x14ac:dyDescent="0.25">
      <c r="A1028" s="5" t="s">
        <v>960</v>
      </c>
      <c r="B1028" s="6" t="s">
        <v>959</v>
      </c>
      <c r="C1028" s="7" t="s">
        <v>24</v>
      </c>
      <c r="D1028" s="7" t="s">
        <v>25</v>
      </c>
      <c r="E1028" s="8" t="s">
        <v>4468</v>
      </c>
    </row>
    <row r="1029" spans="1:5" x14ac:dyDescent="0.25">
      <c r="A1029" s="5" t="s">
        <v>962</v>
      </c>
      <c r="B1029" s="6" t="s">
        <v>961</v>
      </c>
      <c r="C1029" s="7" t="s">
        <v>24</v>
      </c>
      <c r="D1029" s="7" t="s">
        <v>25</v>
      </c>
      <c r="E1029" s="8" t="s">
        <v>4466</v>
      </c>
    </row>
    <row r="1030" spans="1:5" x14ac:dyDescent="0.25">
      <c r="A1030" s="5" t="s">
        <v>964</v>
      </c>
      <c r="B1030" s="6" t="s">
        <v>963</v>
      </c>
      <c r="C1030" s="7" t="s">
        <v>24</v>
      </c>
      <c r="D1030" s="7" t="s">
        <v>64</v>
      </c>
      <c r="E1030" s="8" t="s">
        <v>65</v>
      </c>
    </row>
    <row r="1031" spans="1:5" x14ac:dyDescent="0.25">
      <c r="A1031" s="5" t="s">
        <v>966</v>
      </c>
      <c r="B1031" s="6" t="s">
        <v>965</v>
      </c>
      <c r="C1031" s="7" t="s">
        <v>24</v>
      </c>
      <c r="D1031" s="7" t="s">
        <v>64</v>
      </c>
      <c r="E1031" s="8" t="s">
        <v>68</v>
      </c>
    </row>
    <row r="1032" spans="1:5" x14ac:dyDescent="0.25">
      <c r="A1032" s="5" t="s">
        <v>968</v>
      </c>
      <c r="B1032" s="6" t="s">
        <v>967</v>
      </c>
      <c r="C1032" s="7" t="s">
        <v>24</v>
      </c>
      <c r="D1032" s="7" t="s">
        <v>64</v>
      </c>
      <c r="E1032" s="8" t="s">
        <v>87</v>
      </c>
    </row>
    <row r="1033" spans="1:5" x14ac:dyDescent="0.25">
      <c r="A1033" s="5" t="s">
        <v>970</v>
      </c>
      <c r="B1033" s="6" t="s">
        <v>969</v>
      </c>
      <c r="C1033" s="7" t="s">
        <v>24</v>
      </c>
      <c r="D1033" s="7" t="s">
        <v>25</v>
      </c>
      <c r="E1033" s="8" t="s">
        <v>4468</v>
      </c>
    </row>
    <row r="1034" spans="1:5" x14ac:dyDescent="0.25">
      <c r="A1034" s="5" t="s">
        <v>972</v>
      </c>
      <c r="B1034" s="6" t="s">
        <v>971</v>
      </c>
      <c r="C1034" s="7" t="s">
        <v>24</v>
      </c>
      <c r="D1034" s="7" t="s">
        <v>25</v>
      </c>
      <c r="E1034" s="8" t="s">
        <v>4458</v>
      </c>
    </row>
    <row r="1035" spans="1:5" x14ac:dyDescent="0.25">
      <c r="A1035" s="5" t="s">
        <v>974</v>
      </c>
      <c r="B1035" s="6" t="s">
        <v>973</v>
      </c>
      <c r="C1035" s="7" t="s">
        <v>24</v>
      </c>
      <c r="D1035" s="7" t="s">
        <v>25</v>
      </c>
      <c r="E1035" s="8" t="s">
        <v>4459</v>
      </c>
    </row>
    <row r="1036" spans="1:5" x14ac:dyDescent="0.25">
      <c r="A1036" s="5" t="s">
        <v>3339</v>
      </c>
      <c r="B1036" s="6" t="s">
        <v>975</v>
      </c>
      <c r="C1036" s="7" t="s">
        <v>24</v>
      </c>
      <c r="D1036" s="7" t="s">
        <v>64</v>
      </c>
      <c r="E1036" s="8" t="s">
        <v>65</v>
      </c>
    </row>
    <row r="1037" spans="1:5" x14ac:dyDescent="0.25">
      <c r="A1037" s="5" t="s">
        <v>977</v>
      </c>
      <c r="B1037" s="6" t="s">
        <v>976</v>
      </c>
      <c r="C1037" s="7" t="s">
        <v>24</v>
      </c>
      <c r="D1037" s="7" t="s">
        <v>64</v>
      </c>
      <c r="E1037" s="8" t="s">
        <v>99</v>
      </c>
    </row>
    <row r="1038" spans="1:5" x14ac:dyDescent="0.25">
      <c r="A1038" s="5" t="s">
        <v>979</v>
      </c>
      <c r="B1038" s="6" t="s">
        <v>978</v>
      </c>
      <c r="C1038" s="7" t="s">
        <v>24</v>
      </c>
      <c r="D1038" s="7" t="s">
        <v>25</v>
      </c>
      <c r="E1038" s="8" t="s">
        <v>4457</v>
      </c>
    </row>
    <row r="1039" spans="1:5" x14ac:dyDescent="0.25">
      <c r="A1039" s="5" t="s">
        <v>981</v>
      </c>
      <c r="B1039" s="6" t="s">
        <v>980</v>
      </c>
      <c r="C1039" s="7" t="s">
        <v>24</v>
      </c>
      <c r="D1039" s="7" t="s">
        <v>25</v>
      </c>
      <c r="E1039" s="8" t="s">
        <v>4458</v>
      </c>
    </row>
    <row r="1040" spans="1:5" x14ac:dyDescent="0.25">
      <c r="A1040" s="5" t="s">
        <v>983</v>
      </c>
      <c r="B1040" s="6" t="s">
        <v>982</v>
      </c>
      <c r="C1040" s="7" t="s">
        <v>24</v>
      </c>
      <c r="D1040" s="7" t="s">
        <v>25</v>
      </c>
      <c r="E1040" s="8" t="s">
        <v>4459</v>
      </c>
    </row>
    <row r="1041" spans="1:5" x14ac:dyDescent="0.25">
      <c r="A1041" s="5" t="s">
        <v>985</v>
      </c>
      <c r="B1041" s="6" t="s">
        <v>984</v>
      </c>
      <c r="C1041" s="7" t="s">
        <v>24</v>
      </c>
      <c r="D1041" s="7" t="s">
        <v>25</v>
      </c>
      <c r="E1041" s="8" t="s">
        <v>4461</v>
      </c>
    </row>
    <row r="1042" spans="1:5" x14ac:dyDescent="0.25">
      <c r="A1042" s="5" t="s">
        <v>987</v>
      </c>
      <c r="B1042" s="6" t="s">
        <v>986</v>
      </c>
      <c r="C1042" s="7" t="s">
        <v>24</v>
      </c>
      <c r="D1042" s="7" t="s">
        <v>25</v>
      </c>
      <c r="E1042" s="8" t="s">
        <v>4462</v>
      </c>
    </row>
    <row r="1043" spans="1:5" x14ac:dyDescent="0.25">
      <c r="A1043" s="5" t="s">
        <v>989</v>
      </c>
      <c r="B1043" s="6" t="s">
        <v>988</v>
      </c>
      <c r="C1043" s="13" t="s">
        <v>24</v>
      </c>
      <c r="D1043" s="13" t="s">
        <v>64</v>
      </c>
      <c r="E1043" s="8" t="s">
        <v>87</v>
      </c>
    </row>
    <row r="1044" spans="1:5" x14ac:dyDescent="0.25">
      <c r="A1044" s="5" t="s">
        <v>991</v>
      </c>
      <c r="B1044" s="6" t="s">
        <v>990</v>
      </c>
      <c r="C1044" s="7" t="s">
        <v>24</v>
      </c>
      <c r="D1044" s="7" t="s">
        <v>64</v>
      </c>
      <c r="E1044" s="8" t="s">
        <v>99</v>
      </c>
    </row>
    <row r="1045" spans="1:5" x14ac:dyDescent="0.25">
      <c r="A1045" s="5" t="s">
        <v>993</v>
      </c>
      <c r="B1045" s="6" t="s">
        <v>992</v>
      </c>
      <c r="C1045" s="7" t="s">
        <v>24</v>
      </c>
      <c r="D1045" s="7" t="s">
        <v>64</v>
      </c>
      <c r="E1045" s="8" t="s">
        <v>68</v>
      </c>
    </row>
    <row r="1046" spans="1:5" x14ac:dyDescent="0.25">
      <c r="A1046" s="5" t="s">
        <v>995</v>
      </c>
      <c r="B1046" s="6" t="s">
        <v>994</v>
      </c>
      <c r="C1046" s="7" t="s">
        <v>24</v>
      </c>
      <c r="D1046" s="7" t="s">
        <v>25</v>
      </c>
      <c r="E1046" s="8" t="s">
        <v>4464</v>
      </c>
    </row>
    <row r="1047" spans="1:5" x14ac:dyDescent="0.25">
      <c r="A1047" s="5" t="s">
        <v>997</v>
      </c>
      <c r="B1047" s="6" t="s">
        <v>996</v>
      </c>
      <c r="C1047" s="7" t="s">
        <v>24</v>
      </c>
      <c r="D1047" s="7" t="s">
        <v>64</v>
      </c>
      <c r="E1047" s="8" t="s">
        <v>68</v>
      </c>
    </row>
    <row r="1048" spans="1:5" x14ac:dyDescent="0.25">
      <c r="A1048" s="5" t="s">
        <v>999</v>
      </c>
      <c r="B1048" s="6" t="s">
        <v>998</v>
      </c>
      <c r="C1048" s="7" t="s">
        <v>24</v>
      </c>
      <c r="D1048" s="7" t="s">
        <v>25</v>
      </c>
      <c r="E1048" s="8" t="s">
        <v>4457</v>
      </c>
    </row>
    <row r="1049" spans="1:5" x14ac:dyDescent="0.25">
      <c r="A1049" s="5" t="s">
        <v>1001</v>
      </c>
      <c r="B1049" s="6" t="s">
        <v>1000</v>
      </c>
      <c r="C1049" s="7" t="s">
        <v>24</v>
      </c>
      <c r="D1049" s="7" t="s">
        <v>25</v>
      </c>
      <c r="E1049" s="8" t="s">
        <v>4466</v>
      </c>
    </row>
    <row r="1050" spans="1:5" x14ac:dyDescent="0.25">
      <c r="A1050" s="5" t="s">
        <v>1003</v>
      </c>
      <c r="B1050" s="6" t="s">
        <v>1002</v>
      </c>
      <c r="C1050" s="7" t="s">
        <v>24</v>
      </c>
      <c r="D1050" s="7" t="s">
        <v>25</v>
      </c>
      <c r="E1050" s="8" t="s">
        <v>4459</v>
      </c>
    </row>
    <row r="1051" spans="1:5" x14ac:dyDescent="0.25">
      <c r="A1051" s="5" t="s">
        <v>1005</v>
      </c>
      <c r="B1051" s="6" t="s">
        <v>1004</v>
      </c>
      <c r="C1051" s="7" t="s">
        <v>24</v>
      </c>
      <c r="D1051" s="7" t="s">
        <v>25</v>
      </c>
      <c r="E1051" s="8" t="s">
        <v>4458</v>
      </c>
    </row>
    <row r="1052" spans="1:5" x14ac:dyDescent="0.25">
      <c r="A1052" s="5" t="s">
        <v>1007</v>
      </c>
      <c r="B1052" s="6" t="s">
        <v>1006</v>
      </c>
      <c r="C1052" s="7" t="s">
        <v>24</v>
      </c>
      <c r="D1052" s="7" t="s">
        <v>25</v>
      </c>
      <c r="E1052" s="8" t="s">
        <v>4459</v>
      </c>
    </row>
    <row r="1053" spans="1:5" x14ac:dyDescent="0.25">
      <c r="A1053" s="5" t="s">
        <v>1009</v>
      </c>
      <c r="B1053" s="6" t="s">
        <v>1008</v>
      </c>
      <c r="C1053" s="7" t="s">
        <v>24</v>
      </c>
      <c r="D1053" s="7" t="s">
        <v>25</v>
      </c>
      <c r="E1053" s="8" t="s">
        <v>4461</v>
      </c>
    </row>
    <row r="1054" spans="1:5" x14ac:dyDescent="0.25">
      <c r="A1054" s="5" t="s">
        <v>1011</v>
      </c>
      <c r="B1054" s="6" t="s">
        <v>1010</v>
      </c>
      <c r="C1054" s="7" t="s">
        <v>24</v>
      </c>
      <c r="D1054" s="7" t="s">
        <v>25</v>
      </c>
      <c r="E1054" s="8" t="s">
        <v>4463</v>
      </c>
    </row>
    <row r="1055" spans="1:5" x14ac:dyDescent="0.25">
      <c r="A1055" s="5" t="s">
        <v>1013</v>
      </c>
      <c r="B1055" s="6" t="s">
        <v>1012</v>
      </c>
      <c r="C1055" s="7" t="s">
        <v>24</v>
      </c>
      <c r="D1055" s="7" t="s">
        <v>25</v>
      </c>
      <c r="E1055" s="8" t="s">
        <v>4467</v>
      </c>
    </row>
    <row r="1056" spans="1:5" x14ac:dyDescent="0.25">
      <c r="A1056" s="5" t="s">
        <v>1015</v>
      </c>
      <c r="B1056" s="6" t="s">
        <v>1014</v>
      </c>
      <c r="C1056" s="7" t="s">
        <v>24</v>
      </c>
      <c r="D1056" s="7" t="s">
        <v>25</v>
      </c>
      <c r="E1056" s="8" t="s">
        <v>4458</v>
      </c>
    </row>
    <row r="1057" spans="1:5" x14ac:dyDescent="0.25">
      <c r="A1057" s="5" t="s">
        <v>1017</v>
      </c>
      <c r="B1057" s="6" t="s">
        <v>1016</v>
      </c>
      <c r="C1057" s="7" t="s">
        <v>24</v>
      </c>
      <c r="D1057" s="7" t="s">
        <v>25</v>
      </c>
      <c r="E1057" s="8" t="s">
        <v>4459</v>
      </c>
    </row>
    <row r="1058" spans="1:5" x14ac:dyDescent="0.25">
      <c r="A1058" s="5" t="s">
        <v>1019</v>
      </c>
      <c r="B1058" s="6" t="s">
        <v>1018</v>
      </c>
      <c r="C1058" s="7" t="s">
        <v>24</v>
      </c>
      <c r="D1058" s="7" t="s">
        <v>25</v>
      </c>
      <c r="E1058" s="8" t="s">
        <v>4461</v>
      </c>
    </row>
    <row r="1059" spans="1:5" x14ac:dyDescent="0.25">
      <c r="A1059" s="5" t="s">
        <v>1021</v>
      </c>
      <c r="B1059" s="6" t="s">
        <v>1020</v>
      </c>
      <c r="C1059" s="7" t="s">
        <v>24</v>
      </c>
      <c r="D1059" s="7" t="s">
        <v>25</v>
      </c>
      <c r="E1059" s="8" t="s">
        <v>4462</v>
      </c>
    </row>
    <row r="1060" spans="1:5" x14ac:dyDescent="0.25">
      <c r="A1060" s="5" t="s">
        <v>1023</v>
      </c>
      <c r="B1060" s="6" t="s">
        <v>1022</v>
      </c>
      <c r="C1060" s="7" t="s">
        <v>24</v>
      </c>
      <c r="D1060" s="7" t="s">
        <v>25</v>
      </c>
      <c r="E1060" s="8" t="s">
        <v>4463</v>
      </c>
    </row>
    <row r="1061" spans="1:5" x14ac:dyDescent="0.25">
      <c r="A1061" s="5" t="s">
        <v>1025</v>
      </c>
      <c r="B1061" s="6" t="s">
        <v>1024</v>
      </c>
      <c r="C1061" s="7" t="s">
        <v>24</v>
      </c>
      <c r="D1061" s="7" t="s">
        <v>25</v>
      </c>
      <c r="E1061" s="8" t="s">
        <v>4459</v>
      </c>
    </row>
    <row r="1062" spans="1:5" x14ac:dyDescent="0.25">
      <c r="A1062" s="5" t="s">
        <v>1027</v>
      </c>
      <c r="B1062" s="6" t="s">
        <v>1026</v>
      </c>
      <c r="C1062" s="7" t="s">
        <v>24</v>
      </c>
      <c r="D1062" s="7" t="s">
        <v>25</v>
      </c>
      <c r="E1062" s="8" t="s">
        <v>4468</v>
      </c>
    </row>
    <row r="1063" spans="1:5" x14ac:dyDescent="0.25">
      <c r="A1063" s="5" t="s">
        <v>1029</v>
      </c>
      <c r="B1063" s="6" t="s">
        <v>1028</v>
      </c>
      <c r="C1063" s="7" t="s">
        <v>24</v>
      </c>
      <c r="D1063" s="7" t="s">
        <v>25</v>
      </c>
      <c r="E1063" s="8" t="s">
        <v>4466</v>
      </c>
    </row>
    <row r="1064" spans="1:5" x14ac:dyDescent="0.25">
      <c r="A1064" s="5" t="s">
        <v>1031</v>
      </c>
      <c r="B1064" s="6" t="s">
        <v>1030</v>
      </c>
      <c r="C1064" s="7" t="s">
        <v>24</v>
      </c>
      <c r="D1064" s="7" t="s">
        <v>25</v>
      </c>
      <c r="E1064" s="8" t="s">
        <v>4460</v>
      </c>
    </row>
    <row r="1065" spans="1:5" x14ac:dyDescent="0.25">
      <c r="A1065" s="5" t="s">
        <v>1033</v>
      </c>
      <c r="B1065" s="6" t="s">
        <v>1032</v>
      </c>
      <c r="C1065" s="7" t="s">
        <v>24</v>
      </c>
      <c r="D1065" s="7" t="s">
        <v>25</v>
      </c>
      <c r="E1065" s="8" t="s">
        <v>4465</v>
      </c>
    </row>
    <row r="1066" spans="1:5" x14ac:dyDescent="0.25">
      <c r="A1066" s="5" t="s">
        <v>1035</v>
      </c>
      <c r="B1066" s="6" t="s">
        <v>1034</v>
      </c>
      <c r="C1066" s="7" t="s">
        <v>24</v>
      </c>
      <c r="D1066" s="7" t="s">
        <v>25</v>
      </c>
      <c r="E1066" s="8" t="s">
        <v>4462</v>
      </c>
    </row>
    <row r="1067" spans="1:5" x14ac:dyDescent="0.25">
      <c r="A1067" s="12" t="s">
        <v>1037</v>
      </c>
      <c r="B1067" s="6" t="s">
        <v>1036</v>
      </c>
      <c r="C1067" s="13" t="s">
        <v>24</v>
      </c>
      <c r="D1067" s="13" t="s">
        <v>25</v>
      </c>
      <c r="E1067" s="8" t="s">
        <v>4467</v>
      </c>
    </row>
    <row r="1068" spans="1:5" x14ac:dyDescent="0.25">
      <c r="A1068" s="5" t="s">
        <v>1039</v>
      </c>
      <c r="B1068" s="6" t="s">
        <v>1038</v>
      </c>
      <c r="C1068" s="7" t="s">
        <v>24</v>
      </c>
      <c r="D1068" s="7" t="s">
        <v>25</v>
      </c>
      <c r="E1068" s="8" t="s">
        <v>4464</v>
      </c>
    </row>
    <row r="1069" spans="1:5" x14ac:dyDescent="0.25">
      <c r="A1069" s="5" t="s">
        <v>1041</v>
      </c>
      <c r="B1069" s="6" t="s">
        <v>1040</v>
      </c>
      <c r="C1069" s="7" t="s">
        <v>24</v>
      </c>
      <c r="D1069" s="7" t="s">
        <v>64</v>
      </c>
      <c r="E1069" s="8" t="s">
        <v>65</v>
      </c>
    </row>
    <row r="1070" spans="1:5" x14ac:dyDescent="0.25">
      <c r="A1070" s="5" t="s">
        <v>1043</v>
      </c>
      <c r="B1070" s="6" t="s">
        <v>1042</v>
      </c>
      <c r="C1070" s="7" t="s">
        <v>24</v>
      </c>
      <c r="D1070" s="7" t="s">
        <v>64</v>
      </c>
      <c r="E1070" s="8" t="s">
        <v>68</v>
      </c>
    </row>
    <row r="1071" spans="1:5" x14ac:dyDescent="0.25">
      <c r="A1071" s="5" t="s">
        <v>3311</v>
      </c>
      <c r="B1071" s="6" t="s">
        <v>4083</v>
      </c>
      <c r="C1071" s="7" t="s">
        <v>24</v>
      </c>
      <c r="D1071" s="7" t="s">
        <v>64</v>
      </c>
      <c r="E1071" s="8" t="s">
        <v>99</v>
      </c>
    </row>
    <row r="1072" spans="1:5" x14ac:dyDescent="0.25">
      <c r="A1072" s="5" t="s">
        <v>1045</v>
      </c>
      <c r="B1072" s="6" t="s">
        <v>1044</v>
      </c>
      <c r="C1072" s="7" t="s">
        <v>24</v>
      </c>
      <c r="D1072" s="7" t="s">
        <v>64</v>
      </c>
      <c r="E1072" s="8" t="s">
        <v>99</v>
      </c>
    </row>
    <row r="1073" spans="1:5" x14ac:dyDescent="0.25">
      <c r="A1073" s="5" t="s">
        <v>1047</v>
      </c>
      <c r="B1073" s="6" t="s">
        <v>1046</v>
      </c>
      <c r="C1073" s="7" t="s">
        <v>24</v>
      </c>
      <c r="D1073" s="7" t="s">
        <v>64</v>
      </c>
      <c r="E1073" s="8" t="s">
        <v>99</v>
      </c>
    </row>
    <row r="1074" spans="1:5" x14ac:dyDescent="0.25">
      <c r="A1074" s="5" t="s">
        <v>1049</v>
      </c>
      <c r="B1074" s="6" t="s">
        <v>1048</v>
      </c>
      <c r="C1074" s="7" t="s">
        <v>24</v>
      </c>
      <c r="D1074" s="7" t="s">
        <v>25</v>
      </c>
      <c r="E1074" s="8" t="s">
        <v>4458</v>
      </c>
    </row>
    <row r="1075" spans="1:5" x14ac:dyDescent="0.25">
      <c r="A1075" s="5" t="s">
        <v>1051</v>
      </c>
      <c r="B1075" s="6" t="s">
        <v>1050</v>
      </c>
      <c r="C1075" s="7" t="s">
        <v>24</v>
      </c>
      <c r="D1075" s="7" t="s">
        <v>25</v>
      </c>
      <c r="E1075" s="8" t="s">
        <v>4459</v>
      </c>
    </row>
    <row r="1076" spans="1:5" x14ac:dyDescent="0.25">
      <c r="A1076" s="5" t="s">
        <v>1053</v>
      </c>
      <c r="B1076" s="6" t="s">
        <v>1052</v>
      </c>
      <c r="C1076" s="7" t="s">
        <v>24</v>
      </c>
      <c r="D1076" s="7" t="s">
        <v>25</v>
      </c>
      <c r="E1076" s="8" t="s">
        <v>4460</v>
      </c>
    </row>
    <row r="1077" spans="1:5" x14ac:dyDescent="0.25">
      <c r="A1077" s="5" t="s">
        <v>1055</v>
      </c>
      <c r="B1077" s="6" t="s">
        <v>1054</v>
      </c>
      <c r="C1077" s="7" t="s">
        <v>24</v>
      </c>
      <c r="D1077" s="7" t="s">
        <v>25</v>
      </c>
      <c r="E1077" s="8" t="s">
        <v>4465</v>
      </c>
    </row>
    <row r="1078" spans="1:5" x14ac:dyDescent="0.25">
      <c r="A1078" s="5" t="s">
        <v>1057</v>
      </c>
      <c r="B1078" s="6" t="s">
        <v>1056</v>
      </c>
      <c r="C1078" s="7" t="s">
        <v>24</v>
      </c>
      <c r="D1078" s="7" t="s">
        <v>25</v>
      </c>
      <c r="E1078" s="8" t="s">
        <v>4462</v>
      </c>
    </row>
    <row r="1079" spans="1:5" x14ac:dyDescent="0.25">
      <c r="A1079" s="5" t="s">
        <v>1059</v>
      </c>
      <c r="B1079" s="6" t="s">
        <v>1058</v>
      </c>
      <c r="C1079" s="7" t="s">
        <v>24</v>
      </c>
      <c r="D1079" s="7" t="s">
        <v>25</v>
      </c>
      <c r="E1079" s="8" t="s">
        <v>4459</v>
      </c>
    </row>
    <row r="1080" spans="1:5" x14ac:dyDescent="0.25">
      <c r="A1080" s="5" t="s">
        <v>1061</v>
      </c>
      <c r="B1080" s="6" t="s">
        <v>1060</v>
      </c>
      <c r="C1080" s="7" t="s">
        <v>24</v>
      </c>
      <c r="D1080" s="7" t="s">
        <v>25</v>
      </c>
      <c r="E1080" s="8" t="s">
        <v>4460</v>
      </c>
    </row>
    <row r="1081" spans="1:5" x14ac:dyDescent="0.25">
      <c r="A1081" s="5" t="s">
        <v>1063</v>
      </c>
      <c r="B1081" s="6" t="s">
        <v>1062</v>
      </c>
      <c r="C1081" s="7" t="s">
        <v>24</v>
      </c>
      <c r="D1081" s="7" t="s">
        <v>25</v>
      </c>
      <c r="E1081" s="8" t="s">
        <v>4461</v>
      </c>
    </row>
    <row r="1082" spans="1:5" x14ac:dyDescent="0.25">
      <c r="A1082" s="5" t="s">
        <v>1065</v>
      </c>
      <c r="B1082" s="6" t="s">
        <v>1064</v>
      </c>
      <c r="C1082" s="7" t="s">
        <v>24</v>
      </c>
      <c r="D1082" s="7" t="s">
        <v>25</v>
      </c>
      <c r="E1082" s="8" t="s">
        <v>4465</v>
      </c>
    </row>
    <row r="1083" spans="1:5" x14ac:dyDescent="0.25">
      <c r="A1083" s="5" t="s">
        <v>1067</v>
      </c>
      <c r="B1083" s="9" t="s">
        <v>1066</v>
      </c>
      <c r="C1083" s="7" t="s">
        <v>24</v>
      </c>
      <c r="D1083" s="7" t="s">
        <v>64</v>
      </c>
      <c r="E1083" s="8" t="s">
        <v>99</v>
      </c>
    </row>
    <row r="1084" spans="1:5" x14ac:dyDescent="0.25">
      <c r="A1084" s="5" t="s">
        <v>1069</v>
      </c>
      <c r="B1084" s="6" t="s">
        <v>1068</v>
      </c>
      <c r="C1084" s="7" t="s">
        <v>24</v>
      </c>
      <c r="D1084" s="7" t="s">
        <v>25</v>
      </c>
      <c r="E1084" s="8" t="s">
        <v>4468</v>
      </c>
    </row>
    <row r="1085" spans="1:5" x14ac:dyDescent="0.25">
      <c r="A1085" s="5" t="s">
        <v>1071</v>
      </c>
      <c r="B1085" s="6" t="s">
        <v>1070</v>
      </c>
      <c r="C1085" s="7" t="s">
        <v>24</v>
      </c>
      <c r="D1085" s="7" t="s">
        <v>25</v>
      </c>
      <c r="E1085" s="8" t="s">
        <v>4466</v>
      </c>
    </row>
    <row r="1086" spans="1:5" x14ac:dyDescent="0.25">
      <c r="A1086" s="5" t="s">
        <v>1073</v>
      </c>
      <c r="B1086" s="6" t="s">
        <v>1072</v>
      </c>
      <c r="C1086" s="7" t="s">
        <v>24</v>
      </c>
      <c r="D1086" s="7" t="s">
        <v>64</v>
      </c>
      <c r="E1086" s="8" t="s">
        <v>99</v>
      </c>
    </row>
    <row r="1087" spans="1:5" x14ac:dyDescent="0.25">
      <c r="A1087" s="5" t="s">
        <v>4539</v>
      </c>
      <c r="B1087" s="6" t="s">
        <v>4540</v>
      </c>
      <c r="C1087" s="7" t="s">
        <v>24</v>
      </c>
      <c r="D1087" s="7" t="s">
        <v>25</v>
      </c>
      <c r="E1087" s="8" t="s">
        <v>4457</v>
      </c>
    </row>
    <row r="1088" spans="1:5" x14ac:dyDescent="0.25">
      <c r="A1088" s="5" t="s">
        <v>1075</v>
      </c>
      <c r="B1088" s="6" t="s">
        <v>1074</v>
      </c>
      <c r="C1088" s="7" t="s">
        <v>24</v>
      </c>
      <c r="D1088" s="7" t="s">
        <v>64</v>
      </c>
      <c r="E1088" s="8" t="s">
        <v>65</v>
      </c>
    </row>
    <row r="1089" spans="1:5" x14ac:dyDescent="0.25">
      <c r="A1089" s="5" t="s">
        <v>1077</v>
      </c>
      <c r="B1089" s="6" t="s">
        <v>1076</v>
      </c>
      <c r="C1089" s="7" t="s">
        <v>24</v>
      </c>
      <c r="D1089" s="7" t="s">
        <v>64</v>
      </c>
      <c r="E1089" s="8" t="s">
        <v>68</v>
      </c>
    </row>
    <row r="1090" spans="1:5" x14ac:dyDescent="0.25">
      <c r="A1090" s="5" t="s">
        <v>1079</v>
      </c>
      <c r="B1090" s="6" t="s">
        <v>1078</v>
      </c>
      <c r="C1090" s="7" t="s">
        <v>24</v>
      </c>
      <c r="D1090" s="7" t="s">
        <v>64</v>
      </c>
      <c r="E1090" s="8" t="s">
        <v>288</v>
      </c>
    </row>
    <row r="1091" spans="1:5" x14ac:dyDescent="0.25">
      <c r="A1091" s="5" t="s">
        <v>1081</v>
      </c>
      <c r="B1091" s="6" t="s">
        <v>1080</v>
      </c>
      <c r="C1091" s="7" t="s">
        <v>24</v>
      </c>
      <c r="D1091" s="7" t="s">
        <v>25</v>
      </c>
      <c r="E1091" s="8" t="s">
        <v>4468</v>
      </c>
    </row>
    <row r="1092" spans="1:5" x14ac:dyDescent="0.25">
      <c r="A1092" s="5" t="s">
        <v>1083</v>
      </c>
      <c r="B1092" s="6" t="s">
        <v>1082</v>
      </c>
      <c r="C1092" s="7" t="s">
        <v>24</v>
      </c>
      <c r="D1092" s="7" t="s">
        <v>25</v>
      </c>
      <c r="E1092" s="8" t="s">
        <v>4466</v>
      </c>
    </row>
    <row r="1093" spans="1:5" x14ac:dyDescent="0.25">
      <c r="A1093" s="5" t="s">
        <v>1085</v>
      </c>
      <c r="B1093" s="6" t="s">
        <v>1084</v>
      </c>
      <c r="C1093" s="7" t="s">
        <v>24</v>
      </c>
      <c r="D1093" s="7" t="s">
        <v>25</v>
      </c>
      <c r="E1093" s="8" t="s">
        <v>4460</v>
      </c>
    </row>
    <row r="1094" spans="1:5" x14ac:dyDescent="0.25">
      <c r="A1094" s="5" t="s">
        <v>1087</v>
      </c>
      <c r="B1094" s="6" t="s">
        <v>1086</v>
      </c>
      <c r="C1094" s="7" t="s">
        <v>24</v>
      </c>
      <c r="D1094" s="7" t="s">
        <v>25</v>
      </c>
      <c r="E1094" s="8" t="s">
        <v>4465</v>
      </c>
    </row>
    <row r="1095" spans="1:5" x14ac:dyDescent="0.25">
      <c r="A1095" s="5" t="s">
        <v>1089</v>
      </c>
      <c r="B1095" s="6" t="s">
        <v>1088</v>
      </c>
      <c r="C1095" s="7" t="s">
        <v>24</v>
      </c>
      <c r="D1095" s="7" t="s">
        <v>25</v>
      </c>
      <c r="E1095" s="8" t="s">
        <v>4467</v>
      </c>
    </row>
    <row r="1096" spans="1:5" x14ac:dyDescent="0.25">
      <c r="A1096" s="5" t="s">
        <v>1091</v>
      </c>
      <c r="B1096" s="6" t="s">
        <v>1090</v>
      </c>
      <c r="C1096" s="7" t="s">
        <v>24</v>
      </c>
      <c r="D1096" s="7" t="s">
        <v>25</v>
      </c>
      <c r="E1096" s="8" t="s">
        <v>4463</v>
      </c>
    </row>
    <row r="1097" spans="1:5" x14ac:dyDescent="0.25">
      <c r="A1097" s="5" t="s">
        <v>1093</v>
      </c>
      <c r="B1097" s="6" t="s">
        <v>1092</v>
      </c>
      <c r="C1097" s="7" t="s">
        <v>24</v>
      </c>
      <c r="D1097" s="7" t="s">
        <v>25</v>
      </c>
      <c r="E1097" s="8" t="s">
        <v>4466</v>
      </c>
    </row>
    <row r="1098" spans="1:5" x14ac:dyDescent="0.25">
      <c r="A1098" s="5" t="s">
        <v>1095</v>
      </c>
      <c r="B1098" s="6" t="s">
        <v>1094</v>
      </c>
      <c r="C1098" s="7" t="s">
        <v>24</v>
      </c>
      <c r="D1098" s="7" t="s">
        <v>25</v>
      </c>
      <c r="E1098" s="8" t="s">
        <v>4460</v>
      </c>
    </row>
    <row r="1099" spans="1:5" x14ac:dyDescent="0.25">
      <c r="A1099" s="5" t="s">
        <v>1097</v>
      </c>
      <c r="B1099" s="6" t="s">
        <v>1096</v>
      </c>
      <c r="C1099" s="7" t="s">
        <v>24</v>
      </c>
      <c r="D1099" s="7" t="s">
        <v>25</v>
      </c>
      <c r="E1099" s="8" t="s">
        <v>4465</v>
      </c>
    </row>
    <row r="1100" spans="1:5" x14ac:dyDescent="0.25">
      <c r="A1100" s="5" t="s">
        <v>1099</v>
      </c>
      <c r="B1100" s="6" t="s">
        <v>1098</v>
      </c>
      <c r="C1100" s="7" t="s">
        <v>24</v>
      </c>
      <c r="D1100" s="7" t="s">
        <v>25</v>
      </c>
      <c r="E1100" s="8" t="s">
        <v>4463</v>
      </c>
    </row>
    <row r="1101" spans="1:5" x14ac:dyDescent="0.25">
      <c r="A1101" s="12" t="s">
        <v>1101</v>
      </c>
      <c r="B1101" s="6" t="s">
        <v>1100</v>
      </c>
      <c r="C1101" s="13" t="s">
        <v>24</v>
      </c>
      <c r="D1101" s="13" t="s">
        <v>25</v>
      </c>
      <c r="E1101" s="8" t="s">
        <v>4457</v>
      </c>
    </row>
    <row r="1102" spans="1:5" x14ac:dyDescent="0.25">
      <c r="A1102" s="5" t="s">
        <v>1103</v>
      </c>
      <c r="B1102" s="6" t="s">
        <v>1102</v>
      </c>
      <c r="C1102" s="7" t="s">
        <v>24</v>
      </c>
      <c r="D1102" s="7" t="s">
        <v>25</v>
      </c>
      <c r="E1102" s="8" t="s">
        <v>4458</v>
      </c>
    </row>
    <row r="1103" spans="1:5" x14ac:dyDescent="0.25">
      <c r="A1103" s="5" t="s">
        <v>1105</v>
      </c>
      <c r="B1103" s="6" t="s">
        <v>1104</v>
      </c>
      <c r="C1103" s="7" t="s">
        <v>24</v>
      </c>
      <c r="D1103" s="7" t="s">
        <v>25</v>
      </c>
      <c r="E1103" s="8" t="s">
        <v>4459</v>
      </c>
    </row>
    <row r="1104" spans="1:5" x14ac:dyDescent="0.25">
      <c r="A1104" s="5" t="s">
        <v>1107</v>
      </c>
      <c r="B1104" s="6" t="s">
        <v>1106</v>
      </c>
      <c r="C1104" s="7" t="s">
        <v>24</v>
      </c>
      <c r="D1104" s="7" t="s">
        <v>25</v>
      </c>
      <c r="E1104" s="8" t="s">
        <v>4461</v>
      </c>
    </row>
    <row r="1105" spans="1:5" x14ac:dyDescent="0.25">
      <c r="A1105" s="5" t="s">
        <v>1109</v>
      </c>
      <c r="B1105" s="6" t="s">
        <v>1108</v>
      </c>
      <c r="C1105" s="7" t="s">
        <v>24</v>
      </c>
      <c r="D1105" s="7" t="s">
        <v>64</v>
      </c>
      <c r="E1105" s="8" t="s">
        <v>99</v>
      </c>
    </row>
    <row r="1106" spans="1:5" x14ac:dyDescent="0.25">
      <c r="A1106" s="5" t="s">
        <v>1111</v>
      </c>
      <c r="B1106" s="6" t="s">
        <v>1110</v>
      </c>
      <c r="C1106" s="7" t="s">
        <v>24</v>
      </c>
      <c r="D1106" s="7" t="s">
        <v>64</v>
      </c>
      <c r="E1106" s="8" t="s">
        <v>99</v>
      </c>
    </row>
    <row r="1107" spans="1:5" x14ac:dyDescent="0.25">
      <c r="A1107" s="5" t="s">
        <v>3480</v>
      </c>
      <c r="B1107" s="6" t="s">
        <v>4254</v>
      </c>
      <c r="C1107" s="7" t="s">
        <v>24</v>
      </c>
      <c r="D1107" s="7" t="s">
        <v>4456</v>
      </c>
      <c r="E1107" s="8" t="s">
        <v>4454</v>
      </c>
    </row>
    <row r="1108" spans="1:5" x14ac:dyDescent="0.25">
      <c r="A1108" s="12" t="s">
        <v>3304</v>
      </c>
      <c r="B1108" s="6" t="s">
        <v>4075</v>
      </c>
      <c r="C1108" s="13" t="s">
        <v>24</v>
      </c>
      <c r="D1108" s="13" t="s">
        <v>4456</v>
      </c>
      <c r="E1108" s="8" t="s">
        <v>4454</v>
      </c>
    </row>
    <row r="1109" spans="1:5" x14ac:dyDescent="0.25">
      <c r="A1109" s="5" t="s">
        <v>1113</v>
      </c>
      <c r="B1109" s="6" t="s">
        <v>1112</v>
      </c>
      <c r="C1109" s="7" t="s">
        <v>24</v>
      </c>
      <c r="D1109" s="7" t="s">
        <v>25</v>
      </c>
      <c r="E1109" s="8" t="s">
        <v>4459</v>
      </c>
    </row>
    <row r="1110" spans="1:5" x14ac:dyDescent="0.25">
      <c r="A1110" s="5" t="s">
        <v>3307</v>
      </c>
      <c r="B1110" s="6" t="s">
        <v>4078</v>
      </c>
      <c r="C1110" s="7" t="s">
        <v>24</v>
      </c>
      <c r="D1110" s="7" t="s">
        <v>4456</v>
      </c>
      <c r="E1110" s="8" t="s">
        <v>4454</v>
      </c>
    </row>
    <row r="1111" spans="1:5" x14ac:dyDescent="0.25">
      <c r="A1111" s="5" t="s">
        <v>1115</v>
      </c>
      <c r="B1111" s="6" t="s">
        <v>1114</v>
      </c>
      <c r="C1111" s="7" t="s">
        <v>24</v>
      </c>
      <c r="D1111" s="7" t="s">
        <v>64</v>
      </c>
      <c r="E1111" s="8" t="s">
        <v>68</v>
      </c>
    </row>
    <row r="1112" spans="1:5" x14ac:dyDescent="0.25">
      <c r="A1112" s="5" t="s">
        <v>1117</v>
      </c>
      <c r="B1112" s="6" t="s">
        <v>1116</v>
      </c>
      <c r="C1112" s="7" t="s">
        <v>24</v>
      </c>
      <c r="D1112" s="7" t="s">
        <v>64</v>
      </c>
      <c r="E1112" s="8" t="s">
        <v>288</v>
      </c>
    </row>
    <row r="1113" spans="1:5" x14ac:dyDescent="0.25">
      <c r="A1113" s="12" t="s">
        <v>1119</v>
      </c>
      <c r="B1113" s="6" t="s">
        <v>1118</v>
      </c>
      <c r="C1113" s="13" t="s">
        <v>24</v>
      </c>
      <c r="D1113" s="13" t="s">
        <v>64</v>
      </c>
      <c r="E1113" s="8" t="s">
        <v>99</v>
      </c>
    </row>
    <row r="1114" spans="1:5" x14ac:dyDescent="0.25">
      <c r="A1114" s="5" t="s">
        <v>1121</v>
      </c>
      <c r="B1114" s="6" t="s">
        <v>1120</v>
      </c>
      <c r="C1114" s="7" t="s">
        <v>24</v>
      </c>
      <c r="D1114" s="7" t="s">
        <v>64</v>
      </c>
      <c r="E1114" s="8" t="s">
        <v>68</v>
      </c>
    </row>
    <row r="1115" spans="1:5" x14ac:dyDescent="0.25">
      <c r="A1115" s="5" t="s">
        <v>1123</v>
      </c>
      <c r="B1115" s="6" t="s">
        <v>1122</v>
      </c>
      <c r="C1115" s="7" t="s">
        <v>24</v>
      </c>
      <c r="D1115" s="7" t="s">
        <v>25</v>
      </c>
      <c r="E1115" s="8" t="s">
        <v>4458</v>
      </c>
    </row>
    <row r="1116" spans="1:5" x14ac:dyDescent="0.25">
      <c r="A1116" s="5" t="s">
        <v>3592</v>
      </c>
      <c r="B1116" s="6" t="s">
        <v>4367</v>
      </c>
      <c r="C1116" s="7" t="s">
        <v>24</v>
      </c>
      <c r="D1116" s="7" t="s">
        <v>25</v>
      </c>
      <c r="E1116" s="8" t="s">
        <v>4466</v>
      </c>
    </row>
    <row r="1117" spans="1:5" x14ac:dyDescent="0.25">
      <c r="A1117" s="5" t="s">
        <v>1125</v>
      </c>
      <c r="B1117" s="6" t="s">
        <v>1124</v>
      </c>
      <c r="C1117" s="7" t="s">
        <v>24</v>
      </c>
      <c r="D1117" s="7" t="s">
        <v>64</v>
      </c>
      <c r="E1117" s="8" t="s">
        <v>65</v>
      </c>
    </row>
    <row r="1118" spans="1:5" x14ac:dyDescent="0.25">
      <c r="A1118" s="5" t="s">
        <v>1127</v>
      </c>
      <c r="B1118" s="6" t="s">
        <v>1126</v>
      </c>
      <c r="C1118" s="7" t="s">
        <v>24</v>
      </c>
      <c r="D1118" s="7" t="s">
        <v>64</v>
      </c>
      <c r="E1118" s="8" t="s">
        <v>87</v>
      </c>
    </row>
    <row r="1119" spans="1:5" x14ac:dyDescent="0.25">
      <c r="A1119" s="5" t="s">
        <v>1129</v>
      </c>
      <c r="B1119" s="6" t="s">
        <v>1128</v>
      </c>
      <c r="C1119" s="7" t="s">
        <v>24</v>
      </c>
      <c r="D1119" s="7" t="s">
        <v>64</v>
      </c>
      <c r="E1119" s="8" t="s">
        <v>90</v>
      </c>
    </row>
    <row r="1120" spans="1:5" x14ac:dyDescent="0.25">
      <c r="A1120" s="5" t="s">
        <v>1131</v>
      </c>
      <c r="B1120" s="6" t="s">
        <v>1130</v>
      </c>
      <c r="C1120" s="7" t="s">
        <v>24</v>
      </c>
      <c r="D1120" s="7" t="s">
        <v>64</v>
      </c>
      <c r="E1120" s="8" t="s">
        <v>93</v>
      </c>
    </row>
    <row r="1121" spans="1:5" x14ac:dyDescent="0.25">
      <c r="A1121" s="5" t="s">
        <v>1133</v>
      </c>
      <c r="B1121" s="6" t="s">
        <v>1132</v>
      </c>
      <c r="C1121" s="7" t="s">
        <v>24</v>
      </c>
      <c r="D1121" s="7" t="s">
        <v>64</v>
      </c>
      <c r="E1121" s="8" t="s">
        <v>96</v>
      </c>
    </row>
    <row r="1122" spans="1:5" x14ac:dyDescent="0.25">
      <c r="A1122" s="5" t="s">
        <v>1135</v>
      </c>
      <c r="B1122" s="6" t="s">
        <v>1134</v>
      </c>
      <c r="C1122" s="7" t="s">
        <v>24</v>
      </c>
      <c r="D1122" s="7" t="s">
        <v>64</v>
      </c>
      <c r="E1122" s="8" t="s">
        <v>288</v>
      </c>
    </row>
    <row r="1123" spans="1:5" x14ac:dyDescent="0.25">
      <c r="A1123" s="5" t="s">
        <v>1137</v>
      </c>
      <c r="B1123" s="6" t="s">
        <v>1136</v>
      </c>
      <c r="C1123" s="7" t="s">
        <v>24</v>
      </c>
      <c r="D1123" s="7" t="s">
        <v>64</v>
      </c>
      <c r="E1123" s="8" t="s">
        <v>426</v>
      </c>
    </row>
    <row r="1124" spans="1:5" x14ac:dyDescent="0.25">
      <c r="A1124" s="5" t="s">
        <v>1139</v>
      </c>
      <c r="B1124" s="6" t="s">
        <v>1138</v>
      </c>
      <c r="C1124" s="7" t="s">
        <v>24</v>
      </c>
      <c r="D1124" s="7" t="s">
        <v>25</v>
      </c>
      <c r="E1124" s="8" t="s">
        <v>4458</v>
      </c>
    </row>
    <row r="1125" spans="1:5" x14ac:dyDescent="0.25">
      <c r="A1125" s="5" t="s">
        <v>1141</v>
      </c>
      <c r="B1125" s="6" t="s">
        <v>1140</v>
      </c>
      <c r="C1125" s="7" t="s">
        <v>24</v>
      </c>
      <c r="D1125" s="7" t="s">
        <v>25</v>
      </c>
      <c r="E1125" s="8" t="s">
        <v>4459</v>
      </c>
    </row>
    <row r="1126" spans="1:5" x14ac:dyDescent="0.25">
      <c r="A1126" s="5" t="s">
        <v>1143</v>
      </c>
      <c r="B1126" s="6" t="s">
        <v>1142</v>
      </c>
      <c r="C1126" s="7" t="s">
        <v>24</v>
      </c>
      <c r="D1126" s="7" t="s">
        <v>25</v>
      </c>
      <c r="E1126" s="8" t="s">
        <v>4461</v>
      </c>
    </row>
    <row r="1127" spans="1:5" x14ac:dyDescent="0.25">
      <c r="A1127" s="5" t="s">
        <v>1145</v>
      </c>
      <c r="B1127" s="6" t="s">
        <v>1144</v>
      </c>
      <c r="C1127" s="7" t="s">
        <v>24</v>
      </c>
      <c r="D1127" s="7" t="s">
        <v>25</v>
      </c>
      <c r="E1127" s="8" t="s">
        <v>4466</v>
      </c>
    </row>
    <row r="1128" spans="1:5" x14ac:dyDescent="0.25">
      <c r="A1128" s="5" t="s">
        <v>1147</v>
      </c>
      <c r="B1128" s="6" t="s">
        <v>1146</v>
      </c>
      <c r="C1128" s="7" t="s">
        <v>24</v>
      </c>
      <c r="D1128" s="7" t="s">
        <v>25</v>
      </c>
      <c r="E1128" s="8" t="s">
        <v>4459</v>
      </c>
    </row>
    <row r="1129" spans="1:5" x14ac:dyDescent="0.25">
      <c r="A1129" s="5" t="s">
        <v>1149</v>
      </c>
      <c r="B1129" s="6" t="s">
        <v>1148</v>
      </c>
      <c r="C1129" s="7" t="s">
        <v>24</v>
      </c>
      <c r="D1129" s="7" t="s">
        <v>25</v>
      </c>
      <c r="E1129" s="8" t="s">
        <v>4461</v>
      </c>
    </row>
    <row r="1130" spans="1:5" x14ac:dyDescent="0.25">
      <c r="A1130" s="5" t="s">
        <v>1151</v>
      </c>
      <c r="B1130" s="6" t="s">
        <v>1150</v>
      </c>
      <c r="C1130" s="7" t="s">
        <v>24</v>
      </c>
      <c r="D1130" s="7" t="s">
        <v>25</v>
      </c>
      <c r="E1130" s="8" t="s">
        <v>4465</v>
      </c>
    </row>
    <row r="1131" spans="1:5" x14ac:dyDescent="0.25">
      <c r="A1131" s="5" t="s">
        <v>1153</v>
      </c>
      <c r="B1131" s="6" t="s">
        <v>1152</v>
      </c>
      <c r="C1131" s="7" t="s">
        <v>24</v>
      </c>
      <c r="D1131" s="7" t="s">
        <v>25</v>
      </c>
      <c r="E1131" s="8" t="s">
        <v>4463</v>
      </c>
    </row>
    <row r="1132" spans="1:5" x14ac:dyDescent="0.25">
      <c r="A1132" s="5" t="s">
        <v>4545</v>
      </c>
      <c r="B1132" s="6" t="s">
        <v>4546</v>
      </c>
      <c r="C1132" s="7" t="s">
        <v>24</v>
      </c>
      <c r="D1132" s="7" t="s">
        <v>321</v>
      </c>
      <c r="E1132" s="8" t="s">
        <v>4455</v>
      </c>
    </row>
    <row r="1133" spans="1:5" x14ac:dyDescent="0.25">
      <c r="A1133" s="5" t="s">
        <v>1155</v>
      </c>
      <c r="B1133" s="6" t="s">
        <v>1154</v>
      </c>
      <c r="C1133" s="7" t="s">
        <v>24</v>
      </c>
      <c r="D1133" s="7" t="s">
        <v>321</v>
      </c>
      <c r="E1133" s="8" t="s">
        <v>4455</v>
      </c>
    </row>
    <row r="1134" spans="1:5" x14ac:dyDescent="0.25">
      <c r="A1134" s="5" t="s">
        <v>1157</v>
      </c>
      <c r="B1134" s="6" t="s">
        <v>1156</v>
      </c>
      <c r="C1134" s="7" t="s">
        <v>24</v>
      </c>
      <c r="D1134" s="7" t="s">
        <v>25</v>
      </c>
      <c r="E1134" s="8" t="s">
        <v>4466</v>
      </c>
    </row>
    <row r="1135" spans="1:5" x14ac:dyDescent="0.25">
      <c r="A1135" s="5" t="s">
        <v>1159</v>
      </c>
      <c r="B1135" s="6" t="s">
        <v>1158</v>
      </c>
      <c r="C1135" s="7" t="s">
        <v>24</v>
      </c>
      <c r="D1135" s="7" t="s">
        <v>25</v>
      </c>
      <c r="E1135" s="8" t="s">
        <v>4460</v>
      </c>
    </row>
    <row r="1136" spans="1:5" x14ac:dyDescent="0.25">
      <c r="A1136" s="12" t="s">
        <v>1161</v>
      </c>
      <c r="B1136" s="6" t="s">
        <v>1160</v>
      </c>
      <c r="C1136" s="13" t="s">
        <v>24</v>
      </c>
      <c r="D1136" s="13" t="s">
        <v>25</v>
      </c>
      <c r="E1136" s="8" t="s">
        <v>4465</v>
      </c>
    </row>
    <row r="1137" spans="1:5" x14ac:dyDescent="0.25">
      <c r="A1137" s="5" t="s">
        <v>1163</v>
      </c>
      <c r="B1137" s="6" t="s">
        <v>1162</v>
      </c>
      <c r="C1137" s="7" t="s">
        <v>24</v>
      </c>
      <c r="D1137" s="7" t="s">
        <v>64</v>
      </c>
      <c r="E1137" s="8" t="s">
        <v>65</v>
      </c>
    </row>
    <row r="1138" spans="1:5" x14ac:dyDescent="0.25">
      <c r="A1138" s="5" t="s">
        <v>1165</v>
      </c>
      <c r="B1138" s="6" t="s">
        <v>1164</v>
      </c>
      <c r="C1138" s="7" t="s">
        <v>24</v>
      </c>
      <c r="D1138" s="7" t="s">
        <v>64</v>
      </c>
      <c r="E1138" s="8" t="s">
        <v>87</v>
      </c>
    </row>
    <row r="1139" spans="1:5" x14ac:dyDescent="0.25">
      <c r="A1139" s="5" t="s">
        <v>3308</v>
      </c>
      <c r="B1139" s="6" t="s">
        <v>4080</v>
      </c>
      <c r="C1139" s="7" t="s">
        <v>24</v>
      </c>
      <c r="D1139" s="7" t="s">
        <v>64</v>
      </c>
      <c r="E1139" s="8" t="s">
        <v>99</v>
      </c>
    </row>
    <row r="1140" spans="1:5" x14ac:dyDescent="0.25">
      <c r="A1140" s="5" t="s">
        <v>1167</v>
      </c>
      <c r="B1140" s="6" t="s">
        <v>1166</v>
      </c>
      <c r="C1140" s="7" t="s">
        <v>24</v>
      </c>
      <c r="D1140" s="7" t="s">
        <v>64</v>
      </c>
      <c r="E1140" s="8" t="s">
        <v>68</v>
      </c>
    </row>
    <row r="1141" spans="1:5" x14ac:dyDescent="0.25">
      <c r="A1141" s="5" t="s">
        <v>1169</v>
      </c>
      <c r="B1141" s="6" t="s">
        <v>1168</v>
      </c>
      <c r="C1141" s="7" t="s">
        <v>24</v>
      </c>
      <c r="D1141" s="7" t="s">
        <v>25</v>
      </c>
      <c r="E1141" s="8" t="s">
        <v>4458</v>
      </c>
    </row>
    <row r="1142" spans="1:5" x14ac:dyDescent="0.25">
      <c r="A1142" s="5" t="s">
        <v>1171</v>
      </c>
      <c r="B1142" s="6" t="s">
        <v>1170</v>
      </c>
      <c r="C1142" s="7" t="s">
        <v>24</v>
      </c>
      <c r="D1142" s="7" t="s">
        <v>25</v>
      </c>
      <c r="E1142" s="8" t="s">
        <v>4459</v>
      </c>
    </row>
    <row r="1143" spans="1:5" x14ac:dyDescent="0.25">
      <c r="A1143" s="5" t="s">
        <v>3331</v>
      </c>
      <c r="B1143" s="6" t="s">
        <v>4104</v>
      </c>
      <c r="C1143" s="7" t="s">
        <v>24</v>
      </c>
      <c r="D1143" s="7" t="s">
        <v>25</v>
      </c>
      <c r="E1143" s="8" t="s">
        <v>4460</v>
      </c>
    </row>
    <row r="1144" spans="1:5" x14ac:dyDescent="0.25">
      <c r="A1144" s="5" t="s">
        <v>1173</v>
      </c>
      <c r="B1144" s="6" t="s">
        <v>1172</v>
      </c>
      <c r="C1144" s="7" t="s">
        <v>24</v>
      </c>
      <c r="D1144" s="7" t="s">
        <v>25</v>
      </c>
      <c r="E1144" s="8" t="s">
        <v>4461</v>
      </c>
    </row>
    <row r="1145" spans="1:5" x14ac:dyDescent="0.25">
      <c r="A1145" s="5" t="s">
        <v>1175</v>
      </c>
      <c r="B1145" s="6" t="s">
        <v>1174</v>
      </c>
      <c r="C1145" s="7" t="s">
        <v>24</v>
      </c>
      <c r="D1145" s="7" t="s">
        <v>25</v>
      </c>
      <c r="E1145" s="8" t="s">
        <v>4468</v>
      </c>
    </row>
    <row r="1146" spans="1:5" x14ac:dyDescent="0.25">
      <c r="A1146" s="5" t="s">
        <v>1177</v>
      </c>
      <c r="B1146" s="6" t="s">
        <v>1176</v>
      </c>
      <c r="C1146" s="7" t="s">
        <v>24</v>
      </c>
      <c r="D1146" s="7" t="s">
        <v>25</v>
      </c>
      <c r="E1146" s="8" t="s">
        <v>4466</v>
      </c>
    </row>
    <row r="1147" spans="1:5" x14ac:dyDescent="0.25">
      <c r="A1147" s="5" t="s">
        <v>1179</v>
      </c>
      <c r="B1147" s="6" t="s">
        <v>1178</v>
      </c>
      <c r="C1147" s="7" t="s">
        <v>24</v>
      </c>
      <c r="D1147" s="7" t="s">
        <v>25</v>
      </c>
      <c r="E1147" s="8" t="s">
        <v>4460</v>
      </c>
    </row>
    <row r="1148" spans="1:5" x14ac:dyDescent="0.25">
      <c r="A1148" s="5" t="s">
        <v>1181</v>
      </c>
      <c r="B1148" s="6" t="s">
        <v>1180</v>
      </c>
      <c r="C1148" s="7" t="s">
        <v>24</v>
      </c>
      <c r="D1148" s="7" t="s">
        <v>25</v>
      </c>
      <c r="E1148" s="8" t="s">
        <v>4458</v>
      </c>
    </row>
    <row r="1149" spans="1:5" x14ac:dyDescent="0.25">
      <c r="A1149" s="5" t="s">
        <v>1183</v>
      </c>
      <c r="B1149" s="6" t="s">
        <v>1182</v>
      </c>
      <c r="C1149" s="7" t="s">
        <v>24</v>
      </c>
      <c r="D1149" s="7" t="s">
        <v>25</v>
      </c>
      <c r="E1149" s="8" t="s">
        <v>4466</v>
      </c>
    </row>
    <row r="1150" spans="1:5" x14ac:dyDescent="0.25">
      <c r="A1150" s="5" t="s">
        <v>1185</v>
      </c>
      <c r="B1150" s="6" t="s">
        <v>1184</v>
      </c>
      <c r="C1150" s="7" t="s">
        <v>24</v>
      </c>
      <c r="D1150" s="7" t="s">
        <v>25</v>
      </c>
      <c r="E1150" s="8" t="s">
        <v>4459</v>
      </c>
    </row>
    <row r="1151" spans="1:5" x14ac:dyDescent="0.25">
      <c r="A1151" s="5" t="s">
        <v>1187</v>
      </c>
      <c r="B1151" s="6" t="s">
        <v>1186</v>
      </c>
      <c r="C1151" s="7" t="s">
        <v>24</v>
      </c>
      <c r="D1151" s="7" t="s">
        <v>64</v>
      </c>
      <c r="E1151" s="8" t="s">
        <v>99</v>
      </c>
    </row>
    <row r="1152" spans="1:5" x14ac:dyDescent="0.25">
      <c r="A1152" s="5" t="s">
        <v>1189</v>
      </c>
      <c r="B1152" s="6" t="s">
        <v>1188</v>
      </c>
      <c r="C1152" s="7" t="s">
        <v>24</v>
      </c>
      <c r="D1152" s="7" t="s">
        <v>64</v>
      </c>
      <c r="E1152" s="8" t="s">
        <v>87</v>
      </c>
    </row>
    <row r="1153" spans="1:5" x14ac:dyDescent="0.25">
      <c r="A1153" s="5" t="s">
        <v>1191</v>
      </c>
      <c r="B1153" s="6" t="s">
        <v>1190</v>
      </c>
      <c r="C1153" s="7" t="s">
        <v>24</v>
      </c>
      <c r="D1153" s="7" t="s">
        <v>64</v>
      </c>
      <c r="E1153" s="8" t="s">
        <v>99</v>
      </c>
    </row>
    <row r="1154" spans="1:5" x14ac:dyDescent="0.25">
      <c r="A1154" s="5" t="s">
        <v>1193</v>
      </c>
      <c r="B1154" s="6" t="s">
        <v>1192</v>
      </c>
      <c r="C1154" s="7" t="s">
        <v>24</v>
      </c>
      <c r="D1154" s="7" t="s">
        <v>64</v>
      </c>
      <c r="E1154" s="8" t="s">
        <v>68</v>
      </c>
    </row>
    <row r="1155" spans="1:5" x14ac:dyDescent="0.25">
      <c r="A1155" s="5" t="s">
        <v>1195</v>
      </c>
      <c r="B1155" s="6" t="s">
        <v>1194</v>
      </c>
      <c r="C1155" s="7" t="s">
        <v>24</v>
      </c>
      <c r="D1155" s="7" t="s">
        <v>64</v>
      </c>
      <c r="E1155" s="8" t="s">
        <v>4454</v>
      </c>
    </row>
    <row r="1156" spans="1:5" x14ac:dyDescent="0.25">
      <c r="A1156" s="5" t="s">
        <v>1197</v>
      </c>
      <c r="B1156" s="6" t="s">
        <v>1196</v>
      </c>
      <c r="C1156" s="7" t="s">
        <v>24</v>
      </c>
      <c r="D1156" s="7" t="s">
        <v>64</v>
      </c>
      <c r="E1156" s="8" t="s">
        <v>68</v>
      </c>
    </row>
    <row r="1157" spans="1:5" x14ac:dyDescent="0.25">
      <c r="A1157" s="5" t="s">
        <v>1199</v>
      </c>
      <c r="B1157" s="6" t="s">
        <v>1198</v>
      </c>
      <c r="C1157" s="7" t="s">
        <v>24</v>
      </c>
      <c r="D1157" s="7" t="s">
        <v>25</v>
      </c>
      <c r="E1157" s="8" t="s">
        <v>4457</v>
      </c>
    </row>
    <row r="1158" spans="1:5" x14ac:dyDescent="0.25">
      <c r="A1158" s="5" t="s">
        <v>1201</v>
      </c>
      <c r="B1158" s="6" t="s">
        <v>1200</v>
      </c>
      <c r="C1158" s="7" t="s">
        <v>24</v>
      </c>
      <c r="D1158" s="7" t="s">
        <v>25</v>
      </c>
      <c r="E1158" s="8" t="s">
        <v>4468</v>
      </c>
    </row>
    <row r="1159" spans="1:5" x14ac:dyDescent="0.25">
      <c r="A1159" s="5" t="s">
        <v>1203</v>
      </c>
      <c r="B1159" s="6" t="s">
        <v>1202</v>
      </c>
      <c r="C1159" s="7" t="s">
        <v>24</v>
      </c>
      <c r="D1159" s="7" t="s">
        <v>25</v>
      </c>
      <c r="E1159" s="8" t="s">
        <v>4466</v>
      </c>
    </row>
    <row r="1160" spans="1:5" x14ac:dyDescent="0.25">
      <c r="A1160" s="5" t="s">
        <v>1205</v>
      </c>
      <c r="B1160" s="6" t="s">
        <v>1204</v>
      </c>
      <c r="C1160" s="7" t="s">
        <v>24</v>
      </c>
      <c r="D1160" s="7" t="s">
        <v>25</v>
      </c>
      <c r="E1160" s="8" t="s">
        <v>4460</v>
      </c>
    </row>
    <row r="1161" spans="1:5" x14ac:dyDescent="0.25">
      <c r="A1161" s="5" t="s">
        <v>1207</v>
      </c>
      <c r="B1161" s="6" t="s">
        <v>1206</v>
      </c>
      <c r="C1161" s="7" t="s">
        <v>24</v>
      </c>
      <c r="D1161" s="7" t="s">
        <v>25</v>
      </c>
      <c r="E1161" s="8" t="s">
        <v>4466</v>
      </c>
    </row>
    <row r="1162" spans="1:5" x14ac:dyDescent="0.25">
      <c r="A1162" s="5" t="s">
        <v>1209</v>
      </c>
      <c r="B1162" s="6" t="s">
        <v>1208</v>
      </c>
      <c r="C1162" s="7" t="s">
        <v>24</v>
      </c>
      <c r="D1162" s="7" t="s">
        <v>25</v>
      </c>
      <c r="E1162" s="8" t="s">
        <v>4459</v>
      </c>
    </row>
    <row r="1163" spans="1:5" x14ac:dyDescent="0.25">
      <c r="A1163" s="5" t="s">
        <v>3595</v>
      </c>
      <c r="B1163" s="6" t="s">
        <v>4370</v>
      </c>
      <c r="C1163" s="7" t="s">
        <v>24</v>
      </c>
      <c r="D1163" s="7" t="s">
        <v>25</v>
      </c>
      <c r="E1163" s="8" t="s">
        <v>4466</v>
      </c>
    </row>
    <row r="1164" spans="1:5" x14ac:dyDescent="0.25">
      <c r="A1164" s="5" t="s">
        <v>3596</v>
      </c>
      <c r="B1164" s="6" t="s">
        <v>4371</v>
      </c>
      <c r="C1164" s="7" t="s">
        <v>24</v>
      </c>
      <c r="D1164" s="7" t="s">
        <v>25</v>
      </c>
      <c r="E1164" s="8" t="s">
        <v>4459</v>
      </c>
    </row>
    <row r="1165" spans="1:5" x14ac:dyDescent="0.25">
      <c r="A1165" s="5" t="s">
        <v>3597</v>
      </c>
      <c r="B1165" s="6" t="s">
        <v>4372</v>
      </c>
      <c r="C1165" s="7" t="s">
        <v>24</v>
      </c>
      <c r="D1165" s="7" t="s">
        <v>25</v>
      </c>
      <c r="E1165" s="8" t="s">
        <v>4461</v>
      </c>
    </row>
    <row r="1166" spans="1:5" x14ac:dyDescent="0.25">
      <c r="A1166" s="12" t="s">
        <v>3598</v>
      </c>
      <c r="B1166" s="6" t="s">
        <v>4373</v>
      </c>
      <c r="C1166" s="13" t="s">
        <v>24</v>
      </c>
      <c r="D1166" s="13" t="s">
        <v>25</v>
      </c>
      <c r="E1166" s="8" t="s">
        <v>4465</v>
      </c>
    </row>
    <row r="1167" spans="1:5" x14ac:dyDescent="0.25">
      <c r="A1167" s="12" t="s">
        <v>3599</v>
      </c>
      <c r="B1167" s="6" t="s">
        <v>4374</v>
      </c>
      <c r="C1167" s="13" t="s">
        <v>24</v>
      </c>
      <c r="D1167" s="13" t="s">
        <v>25</v>
      </c>
      <c r="E1167" s="8" t="s">
        <v>4462</v>
      </c>
    </row>
    <row r="1168" spans="1:5" x14ac:dyDescent="0.25">
      <c r="A1168" s="5" t="s">
        <v>1211</v>
      </c>
      <c r="B1168" s="6" t="s">
        <v>1210</v>
      </c>
      <c r="C1168" s="7" t="s">
        <v>24</v>
      </c>
      <c r="D1168" s="7" t="s">
        <v>25</v>
      </c>
      <c r="E1168" s="8" t="s">
        <v>4466</v>
      </c>
    </row>
    <row r="1169" spans="1:5" x14ac:dyDescent="0.25">
      <c r="A1169" s="5" t="s">
        <v>1213</v>
      </c>
      <c r="B1169" s="6" t="s">
        <v>1212</v>
      </c>
      <c r="C1169" s="7" t="s">
        <v>24</v>
      </c>
      <c r="D1169" s="7" t="s">
        <v>25</v>
      </c>
      <c r="E1169" s="8" t="s">
        <v>4459</v>
      </c>
    </row>
    <row r="1170" spans="1:5" x14ac:dyDescent="0.25">
      <c r="A1170" s="5" t="s">
        <v>1215</v>
      </c>
      <c r="B1170" s="6" t="s">
        <v>1214</v>
      </c>
      <c r="C1170" s="7" t="s">
        <v>24</v>
      </c>
      <c r="D1170" s="7" t="s">
        <v>25</v>
      </c>
      <c r="E1170" s="8" t="s">
        <v>4461</v>
      </c>
    </row>
    <row r="1171" spans="1:5" x14ac:dyDescent="0.25">
      <c r="A1171" s="12" t="s">
        <v>1217</v>
      </c>
      <c r="B1171" s="6" t="s">
        <v>1216</v>
      </c>
      <c r="C1171" s="13" t="s">
        <v>24</v>
      </c>
      <c r="D1171" s="13" t="s">
        <v>25</v>
      </c>
      <c r="E1171" s="8" t="s">
        <v>4465</v>
      </c>
    </row>
    <row r="1172" spans="1:5" x14ac:dyDescent="0.25">
      <c r="A1172" s="12" t="s">
        <v>1219</v>
      </c>
      <c r="B1172" s="6" t="s">
        <v>1218</v>
      </c>
      <c r="C1172" s="13" t="s">
        <v>24</v>
      </c>
      <c r="D1172" s="13" t="s">
        <v>25</v>
      </c>
      <c r="E1172" s="8" t="s">
        <v>4464</v>
      </c>
    </row>
    <row r="1173" spans="1:5" x14ac:dyDescent="0.25">
      <c r="A1173" s="12" t="s">
        <v>1221</v>
      </c>
      <c r="B1173" s="6" t="s">
        <v>1220</v>
      </c>
      <c r="C1173" s="13" t="s">
        <v>24</v>
      </c>
      <c r="D1173" s="13" t="s">
        <v>25</v>
      </c>
      <c r="E1173" s="8" t="s">
        <v>4463</v>
      </c>
    </row>
    <row r="1174" spans="1:5" x14ac:dyDescent="0.25">
      <c r="A1174" s="5" t="s">
        <v>1223</v>
      </c>
      <c r="B1174" s="6" t="s">
        <v>1222</v>
      </c>
      <c r="C1174" s="7" t="s">
        <v>24</v>
      </c>
      <c r="D1174" s="7" t="s">
        <v>25</v>
      </c>
      <c r="E1174" s="8" t="s">
        <v>4466</v>
      </c>
    </row>
    <row r="1175" spans="1:5" x14ac:dyDescent="0.25">
      <c r="A1175" s="5" t="s">
        <v>1225</v>
      </c>
      <c r="B1175" s="6" t="s">
        <v>1224</v>
      </c>
      <c r="C1175" s="7" t="s">
        <v>24</v>
      </c>
      <c r="D1175" s="7" t="s">
        <v>25</v>
      </c>
      <c r="E1175" s="8" t="s">
        <v>4459</v>
      </c>
    </row>
    <row r="1176" spans="1:5" x14ac:dyDescent="0.25">
      <c r="A1176" s="5" t="s">
        <v>1227</v>
      </c>
      <c r="B1176" s="6" t="s">
        <v>1226</v>
      </c>
      <c r="C1176" s="7" t="s">
        <v>24</v>
      </c>
      <c r="D1176" s="7" t="s">
        <v>25</v>
      </c>
      <c r="E1176" s="8" t="s">
        <v>4461</v>
      </c>
    </row>
    <row r="1177" spans="1:5" x14ac:dyDescent="0.25">
      <c r="A1177" s="5" t="s">
        <v>1229</v>
      </c>
      <c r="B1177" s="6" t="s">
        <v>1228</v>
      </c>
      <c r="C1177" s="7" t="s">
        <v>24</v>
      </c>
      <c r="D1177" s="7" t="s">
        <v>25</v>
      </c>
      <c r="E1177" s="8" t="s">
        <v>4465</v>
      </c>
    </row>
    <row r="1178" spans="1:5" x14ac:dyDescent="0.25">
      <c r="A1178" s="5" t="s">
        <v>1231</v>
      </c>
      <c r="B1178" s="6" t="s">
        <v>1230</v>
      </c>
      <c r="C1178" s="7" t="s">
        <v>24</v>
      </c>
      <c r="D1178" s="7" t="s">
        <v>25</v>
      </c>
      <c r="E1178" s="8" t="s">
        <v>4463</v>
      </c>
    </row>
    <row r="1179" spans="1:5" x14ac:dyDescent="0.25">
      <c r="A1179" s="5" t="s">
        <v>1233</v>
      </c>
      <c r="B1179" s="6" t="s">
        <v>1232</v>
      </c>
      <c r="C1179" s="7" t="s">
        <v>24</v>
      </c>
      <c r="D1179" s="7" t="s">
        <v>25</v>
      </c>
      <c r="E1179" s="8" t="s">
        <v>4464</v>
      </c>
    </row>
    <row r="1180" spans="1:5" x14ac:dyDescent="0.25">
      <c r="A1180" s="5" t="s">
        <v>4547</v>
      </c>
      <c r="B1180" s="6" t="s">
        <v>4379</v>
      </c>
      <c r="C1180" s="7" t="s">
        <v>24</v>
      </c>
      <c r="D1180" s="7" t="s">
        <v>25</v>
      </c>
      <c r="E1180" s="8" t="s">
        <v>4466</v>
      </c>
    </row>
    <row r="1181" spans="1:5" x14ac:dyDescent="0.25">
      <c r="A1181" s="12" t="s">
        <v>1235</v>
      </c>
      <c r="B1181" s="6" t="s">
        <v>1234</v>
      </c>
      <c r="C1181" s="13" t="s">
        <v>24</v>
      </c>
      <c r="D1181" s="13" t="s">
        <v>25</v>
      </c>
      <c r="E1181" s="8" t="s">
        <v>4466</v>
      </c>
    </row>
    <row r="1182" spans="1:5" x14ac:dyDescent="0.25">
      <c r="A1182" s="5" t="s">
        <v>1237</v>
      </c>
      <c r="B1182" s="6" t="s">
        <v>1236</v>
      </c>
      <c r="C1182" s="7" t="s">
        <v>24</v>
      </c>
      <c r="D1182" s="7" t="s">
        <v>25</v>
      </c>
      <c r="E1182" s="8" t="s">
        <v>4459</v>
      </c>
    </row>
    <row r="1183" spans="1:5" x14ac:dyDescent="0.25">
      <c r="A1183" s="5" t="s">
        <v>1239</v>
      </c>
      <c r="B1183" s="6" t="s">
        <v>1238</v>
      </c>
      <c r="C1183" s="7" t="s">
        <v>24</v>
      </c>
      <c r="D1183" s="7" t="s">
        <v>25</v>
      </c>
      <c r="E1183" s="8" t="s">
        <v>4461</v>
      </c>
    </row>
    <row r="1184" spans="1:5" x14ac:dyDescent="0.25">
      <c r="A1184" s="5" t="s">
        <v>1241</v>
      </c>
      <c r="B1184" s="6" t="s">
        <v>1240</v>
      </c>
      <c r="C1184" s="7" t="s">
        <v>24</v>
      </c>
      <c r="D1184" s="7" t="s">
        <v>25</v>
      </c>
      <c r="E1184" s="8" t="s">
        <v>4465</v>
      </c>
    </row>
    <row r="1185" spans="1:5" x14ac:dyDescent="0.25">
      <c r="A1185" s="5" t="s">
        <v>1243</v>
      </c>
      <c r="B1185" s="6" t="s">
        <v>1242</v>
      </c>
      <c r="C1185" s="7" t="s">
        <v>24</v>
      </c>
      <c r="D1185" s="7" t="s">
        <v>25</v>
      </c>
      <c r="E1185" s="8" t="s">
        <v>4463</v>
      </c>
    </row>
    <row r="1186" spans="1:5" x14ac:dyDescent="0.25">
      <c r="A1186" s="5" t="s">
        <v>1245</v>
      </c>
      <c r="B1186" s="6" t="s">
        <v>1244</v>
      </c>
      <c r="C1186" s="7" t="s">
        <v>24</v>
      </c>
      <c r="D1186" s="7" t="s">
        <v>25</v>
      </c>
      <c r="E1186" s="8" t="s">
        <v>4466</v>
      </c>
    </row>
    <row r="1187" spans="1:5" x14ac:dyDescent="0.25">
      <c r="A1187" s="5" t="s">
        <v>1247</v>
      </c>
      <c r="B1187" s="6" t="s">
        <v>1246</v>
      </c>
      <c r="C1187" s="7" t="s">
        <v>24</v>
      </c>
      <c r="D1187" s="7" t="s">
        <v>25</v>
      </c>
      <c r="E1187" s="8" t="s">
        <v>4459</v>
      </c>
    </row>
    <row r="1188" spans="1:5" x14ac:dyDescent="0.25">
      <c r="A1188" s="5" t="s">
        <v>1249</v>
      </c>
      <c r="B1188" s="6" t="s">
        <v>1248</v>
      </c>
      <c r="C1188" s="7" t="s">
        <v>24</v>
      </c>
      <c r="D1188" s="7" t="s">
        <v>25</v>
      </c>
      <c r="E1188" s="8" t="s">
        <v>4461</v>
      </c>
    </row>
    <row r="1189" spans="1:5" x14ac:dyDescent="0.25">
      <c r="A1189" s="5" t="s">
        <v>1251</v>
      </c>
      <c r="B1189" s="6" t="s">
        <v>1250</v>
      </c>
      <c r="C1189" s="7" t="s">
        <v>24</v>
      </c>
      <c r="D1189" s="7" t="s">
        <v>25</v>
      </c>
      <c r="E1189" s="8" t="s">
        <v>4465</v>
      </c>
    </row>
    <row r="1190" spans="1:5" x14ac:dyDescent="0.25">
      <c r="A1190" s="5" t="s">
        <v>4548</v>
      </c>
      <c r="B1190" s="6" t="s">
        <v>4378</v>
      </c>
      <c r="C1190" s="7" t="s">
        <v>24</v>
      </c>
      <c r="D1190" s="7" t="s">
        <v>25</v>
      </c>
      <c r="E1190" s="8" t="s">
        <v>4466</v>
      </c>
    </row>
    <row r="1191" spans="1:5" x14ac:dyDescent="0.25">
      <c r="A1191" s="5" t="s">
        <v>3600</v>
      </c>
      <c r="B1191" s="6" t="s">
        <v>4375</v>
      </c>
      <c r="C1191" s="7" t="s">
        <v>24</v>
      </c>
      <c r="D1191" s="7" t="s">
        <v>25</v>
      </c>
      <c r="E1191" s="8" t="s">
        <v>4466</v>
      </c>
    </row>
    <row r="1192" spans="1:5" x14ac:dyDescent="0.25">
      <c r="A1192" s="5" t="s">
        <v>3601</v>
      </c>
      <c r="B1192" s="6" t="s">
        <v>4376</v>
      </c>
      <c r="C1192" s="7" t="s">
        <v>24</v>
      </c>
      <c r="D1192" s="7" t="s">
        <v>25</v>
      </c>
      <c r="E1192" s="8" t="s">
        <v>4459</v>
      </c>
    </row>
    <row r="1193" spans="1:5" x14ac:dyDescent="0.25">
      <c r="A1193" s="12" t="s">
        <v>3602</v>
      </c>
      <c r="B1193" s="6" t="s">
        <v>4377</v>
      </c>
      <c r="C1193" s="13" t="s">
        <v>24</v>
      </c>
      <c r="D1193" s="13" t="s">
        <v>25</v>
      </c>
      <c r="E1193" s="8" t="s">
        <v>4460</v>
      </c>
    </row>
    <row r="1194" spans="1:5" x14ac:dyDescent="0.25">
      <c r="A1194" s="5" t="s">
        <v>3604</v>
      </c>
      <c r="B1194" s="6" t="s">
        <v>4381</v>
      </c>
      <c r="C1194" s="7" t="s">
        <v>24</v>
      </c>
      <c r="D1194" s="7" t="s">
        <v>64</v>
      </c>
      <c r="E1194" s="8" t="s">
        <v>4466</v>
      </c>
    </row>
    <row r="1195" spans="1:5" x14ac:dyDescent="0.25">
      <c r="A1195" s="5" t="s">
        <v>3603</v>
      </c>
      <c r="B1195" s="6" t="s">
        <v>4380</v>
      </c>
      <c r="C1195" s="7" t="s">
        <v>24</v>
      </c>
      <c r="D1195" s="7" t="s">
        <v>25</v>
      </c>
      <c r="E1195" s="8" t="s">
        <v>4466</v>
      </c>
    </row>
    <row r="1196" spans="1:5" x14ac:dyDescent="0.25">
      <c r="A1196" s="5" t="s">
        <v>1253</v>
      </c>
      <c r="B1196" s="6" t="s">
        <v>1252</v>
      </c>
      <c r="C1196" s="7" t="s">
        <v>24</v>
      </c>
      <c r="D1196" s="7" t="s">
        <v>25</v>
      </c>
      <c r="E1196" s="8" t="s">
        <v>4466</v>
      </c>
    </row>
    <row r="1197" spans="1:5" x14ac:dyDescent="0.25">
      <c r="A1197" s="5" t="s">
        <v>1255</v>
      </c>
      <c r="B1197" s="6" t="s">
        <v>1254</v>
      </c>
      <c r="C1197" s="7" t="s">
        <v>24</v>
      </c>
      <c r="D1197" s="7" t="s">
        <v>25</v>
      </c>
      <c r="E1197" s="8" t="s">
        <v>4459</v>
      </c>
    </row>
    <row r="1198" spans="1:5" x14ac:dyDescent="0.25">
      <c r="A1198" s="5" t="s">
        <v>1257</v>
      </c>
      <c r="B1198" s="6" t="s">
        <v>1256</v>
      </c>
      <c r="C1198" s="7" t="s">
        <v>24</v>
      </c>
      <c r="D1198" s="7" t="s">
        <v>25</v>
      </c>
      <c r="E1198" s="8" t="s">
        <v>4461</v>
      </c>
    </row>
    <row r="1199" spans="1:5" x14ac:dyDescent="0.25">
      <c r="A1199" s="5" t="s">
        <v>1259</v>
      </c>
      <c r="B1199" s="6" t="s">
        <v>1258</v>
      </c>
      <c r="C1199" s="7" t="s">
        <v>24</v>
      </c>
      <c r="D1199" s="7" t="s">
        <v>25</v>
      </c>
      <c r="E1199" s="8" t="s">
        <v>4465</v>
      </c>
    </row>
    <row r="1200" spans="1:5" x14ac:dyDescent="0.25">
      <c r="A1200" s="5" t="s">
        <v>1261</v>
      </c>
      <c r="B1200" s="6" t="s">
        <v>1260</v>
      </c>
      <c r="C1200" s="7" t="s">
        <v>24</v>
      </c>
      <c r="D1200" s="7" t="s">
        <v>25</v>
      </c>
      <c r="E1200" s="8" t="s">
        <v>4463</v>
      </c>
    </row>
    <row r="1201" spans="1:5" x14ac:dyDescent="0.25">
      <c r="A1201" s="5" t="s">
        <v>1263</v>
      </c>
      <c r="B1201" s="6" t="s">
        <v>1262</v>
      </c>
      <c r="C1201" s="7" t="s">
        <v>24</v>
      </c>
      <c r="D1201" s="7" t="s">
        <v>25</v>
      </c>
      <c r="E1201" s="8" t="s">
        <v>4466</v>
      </c>
    </row>
    <row r="1202" spans="1:5" x14ac:dyDescent="0.25">
      <c r="A1202" s="5" t="s">
        <v>1265</v>
      </c>
      <c r="B1202" s="6" t="s">
        <v>1264</v>
      </c>
      <c r="C1202" s="7" t="s">
        <v>24</v>
      </c>
      <c r="D1202" s="7" t="s">
        <v>25</v>
      </c>
      <c r="E1202" s="8" t="s">
        <v>4459</v>
      </c>
    </row>
    <row r="1203" spans="1:5" x14ac:dyDescent="0.25">
      <c r="A1203" s="5" t="s">
        <v>1267</v>
      </c>
      <c r="B1203" s="6" t="s">
        <v>1266</v>
      </c>
      <c r="C1203" s="7" t="s">
        <v>24</v>
      </c>
      <c r="D1203" s="7" t="s">
        <v>25</v>
      </c>
      <c r="E1203" s="8" t="s">
        <v>4461</v>
      </c>
    </row>
    <row r="1204" spans="1:5" x14ac:dyDescent="0.25">
      <c r="A1204" s="12" t="s">
        <v>1269</v>
      </c>
      <c r="B1204" s="6" t="s">
        <v>1268</v>
      </c>
      <c r="C1204" s="13" t="s">
        <v>24</v>
      </c>
      <c r="D1204" s="13" t="s">
        <v>25</v>
      </c>
      <c r="E1204" s="8" t="s">
        <v>4465</v>
      </c>
    </row>
    <row r="1205" spans="1:5" x14ac:dyDescent="0.25">
      <c r="A1205" s="5" t="s">
        <v>1271</v>
      </c>
      <c r="B1205" s="6" t="s">
        <v>1270</v>
      </c>
      <c r="C1205" s="7" t="s">
        <v>24</v>
      </c>
      <c r="D1205" s="7" t="s">
        <v>25</v>
      </c>
      <c r="E1205" s="8" t="s">
        <v>4463</v>
      </c>
    </row>
    <row r="1206" spans="1:5" x14ac:dyDescent="0.25">
      <c r="A1206" s="5" t="s">
        <v>1273</v>
      </c>
      <c r="B1206" s="6" t="s">
        <v>1272</v>
      </c>
      <c r="C1206" s="7" t="s">
        <v>24</v>
      </c>
      <c r="D1206" s="7" t="s">
        <v>25</v>
      </c>
      <c r="E1206" s="8" t="s">
        <v>4465</v>
      </c>
    </row>
    <row r="1207" spans="1:5" x14ac:dyDescent="0.25">
      <c r="A1207" s="5" t="s">
        <v>1275</v>
      </c>
      <c r="B1207" s="6" t="s">
        <v>1274</v>
      </c>
      <c r="C1207" s="7" t="s">
        <v>24</v>
      </c>
      <c r="D1207" s="7" t="s">
        <v>25</v>
      </c>
      <c r="E1207" s="8" t="s">
        <v>4463</v>
      </c>
    </row>
    <row r="1208" spans="1:5" x14ac:dyDescent="0.25">
      <c r="A1208" s="5" t="s">
        <v>1277</v>
      </c>
      <c r="B1208" s="6" t="s">
        <v>1276</v>
      </c>
      <c r="C1208" s="7" t="s">
        <v>24</v>
      </c>
      <c r="D1208" s="7" t="s">
        <v>25</v>
      </c>
      <c r="E1208" s="8" t="s">
        <v>4466</v>
      </c>
    </row>
    <row r="1209" spans="1:5" x14ac:dyDescent="0.25">
      <c r="A1209" s="5" t="s">
        <v>1279</v>
      </c>
      <c r="B1209" s="6" t="s">
        <v>1278</v>
      </c>
      <c r="C1209" s="7" t="s">
        <v>24</v>
      </c>
      <c r="D1209" s="7" t="s">
        <v>25</v>
      </c>
      <c r="E1209" s="8" t="s">
        <v>4461</v>
      </c>
    </row>
    <row r="1210" spans="1:5" x14ac:dyDescent="0.25">
      <c r="A1210" s="5" t="s">
        <v>1281</v>
      </c>
      <c r="B1210" s="6" t="s">
        <v>1280</v>
      </c>
      <c r="C1210" s="7" t="s">
        <v>24</v>
      </c>
      <c r="D1210" s="7" t="s">
        <v>25</v>
      </c>
      <c r="E1210" s="8" t="s">
        <v>4461</v>
      </c>
    </row>
    <row r="1211" spans="1:5" x14ac:dyDescent="0.25">
      <c r="A1211" s="5" t="s">
        <v>1283</v>
      </c>
      <c r="B1211" s="6" t="s">
        <v>1282</v>
      </c>
      <c r="C1211" s="7" t="s">
        <v>24</v>
      </c>
      <c r="D1211" s="7" t="s">
        <v>25</v>
      </c>
      <c r="E1211" s="8" t="s">
        <v>4466</v>
      </c>
    </row>
    <row r="1212" spans="1:5" x14ac:dyDescent="0.25">
      <c r="A1212" s="5" t="s">
        <v>1285</v>
      </c>
      <c r="B1212" s="6" t="s">
        <v>1284</v>
      </c>
      <c r="C1212" s="7" t="s">
        <v>24</v>
      </c>
      <c r="D1212" s="7" t="s">
        <v>25</v>
      </c>
      <c r="E1212" s="8" t="s">
        <v>4459</v>
      </c>
    </row>
    <row r="1213" spans="1:5" x14ac:dyDescent="0.25">
      <c r="A1213" s="5" t="s">
        <v>1287</v>
      </c>
      <c r="B1213" s="6" t="s">
        <v>1286</v>
      </c>
      <c r="C1213" s="7" t="s">
        <v>24</v>
      </c>
      <c r="D1213" s="7" t="s">
        <v>25</v>
      </c>
      <c r="E1213" s="8" t="s">
        <v>4461</v>
      </c>
    </row>
    <row r="1214" spans="1:5" x14ac:dyDescent="0.25">
      <c r="A1214" s="5" t="s">
        <v>3594</v>
      </c>
      <c r="B1214" s="6" t="s">
        <v>4369</v>
      </c>
      <c r="C1214" s="7" t="s">
        <v>24</v>
      </c>
      <c r="D1214" s="7" t="s">
        <v>25</v>
      </c>
      <c r="E1214" s="8" t="s">
        <v>4462</v>
      </c>
    </row>
    <row r="1215" spans="1:5" x14ac:dyDescent="0.25">
      <c r="A1215" s="5" t="s">
        <v>1289</v>
      </c>
      <c r="B1215" s="6" t="s">
        <v>1288</v>
      </c>
      <c r="C1215" s="7" t="s">
        <v>24</v>
      </c>
      <c r="D1215" s="7" t="s">
        <v>25</v>
      </c>
      <c r="E1215" s="8" t="s">
        <v>4466</v>
      </c>
    </row>
    <row r="1216" spans="1:5" x14ac:dyDescent="0.25">
      <c r="A1216" s="5" t="s">
        <v>1291</v>
      </c>
      <c r="B1216" s="6" t="s">
        <v>1290</v>
      </c>
      <c r="C1216" s="7" t="s">
        <v>24</v>
      </c>
      <c r="D1216" s="7" t="s">
        <v>25</v>
      </c>
      <c r="E1216" s="8" t="s">
        <v>4459</v>
      </c>
    </row>
    <row r="1217" spans="1:5" x14ac:dyDescent="0.25">
      <c r="A1217" s="5" t="s">
        <v>1293</v>
      </c>
      <c r="B1217" s="6" t="s">
        <v>1292</v>
      </c>
      <c r="C1217" s="7" t="s">
        <v>24</v>
      </c>
      <c r="D1217" s="7" t="s">
        <v>25</v>
      </c>
      <c r="E1217" s="8" t="s">
        <v>4461</v>
      </c>
    </row>
    <row r="1218" spans="1:5" x14ac:dyDescent="0.25">
      <c r="A1218" s="5" t="s">
        <v>1295</v>
      </c>
      <c r="B1218" s="6" t="s">
        <v>1294</v>
      </c>
      <c r="C1218" s="7" t="s">
        <v>24</v>
      </c>
      <c r="D1218" s="7" t="s">
        <v>25</v>
      </c>
      <c r="E1218" s="8" t="s">
        <v>4465</v>
      </c>
    </row>
    <row r="1219" spans="1:5" x14ac:dyDescent="0.25">
      <c r="A1219" s="5" t="s">
        <v>1297</v>
      </c>
      <c r="B1219" s="6" t="s">
        <v>1296</v>
      </c>
      <c r="C1219" s="7" t="s">
        <v>24</v>
      </c>
      <c r="D1219" s="7" t="s">
        <v>25</v>
      </c>
      <c r="E1219" s="8" t="s">
        <v>4466</v>
      </c>
    </row>
    <row r="1220" spans="1:5" x14ac:dyDescent="0.25">
      <c r="A1220" s="5" t="s">
        <v>1299</v>
      </c>
      <c r="B1220" s="6" t="s">
        <v>1298</v>
      </c>
      <c r="C1220" s="7" t="s">
        <v>24</v>
      </c>
      <c r="D1220" s="7" t="s">
        <v>25</v>
      </c>
      <c r="E1220" s="8" t="s">
        <v>4466</v>
      </c>
    </row>
    <row r="1221" spans="1:5" x14ac:dyDescent="0.25">
      <c r="A1221" s="5" t="s">
        <v>1301</v>
      </c>
      <c r="B1221" s="6" t="s">
        <v>1300</v>
      </c>
      <c r="C1221" s="7" t="s">
        <v>24</v>
      </c>
      <c r="D1221" s="7" t="s">
        <v>25</v>
      </c>
      <c r="E1221" s="8" t="s">
        <v>4459</v>
      </c>
    </row>
    <row r="1222" spans="1:5" x14ac:dyDescent="0.25">
      <c r="A1222" s="5" t="s">
        <v>1303</v>
      </c>
      <c r="B1222" s="6" t="s">
        <v>1302</v>
      </c>
      <c r="C1222" s="7" t="s">
        <v>24</v>
      </c>
      <c r="D1222" s="7" t="s">
        <v>25</v>
      </c>
      <c r="E1222" s="8" t="s">
        <v>4461</v>
      </c>
    </row>
    <row r="1223" spans="1:5" x14ac:dyDescent="0.25">
      <c r="A1223" s="5" t="s">
        <v>1305</v>
      </c>
      <c r="B1223" s="6" t="s">
        <v>1304</v>
      </c>
      <c r="C1223" s="7" t="s">
        <v>24</v>
      </c>
      <c r="D1223" s="7" t="s">
        <v>25</v>
      </c>
      <c r="E1223" s="8" t="s">
        <v>4465</v>
      </c>
    </row>
    <row r="1224" spans="1:5" x14ac:dyDescent="0.25">
      <c r="A1224" s="5" t="s">
        <v>1307</v>
      </c>
      <c r="B1224" s="6" t="s">
        <v>1306</v>
      </c>
      <c r="C1224" s="7" t="s">
        <v>24</v>
      </c>
      <c r="D1224" s="7" t="s">
        <v>25</v>
      </c>
      <c r="E1224" s="8" t="s">
        <v>4466</v>
      </c>
    </row>
    <row r="1225" spans="1:5" x14ac:dyDescent="0.25">
      <c r="A1225" s="5" t="s">
        <v>1309</v>
      </c>
      <c r="B1225" s="6" t="s">
        <v>1308</v>
      </c>
      <c r="C1225" s="7" t="s">
        <v>24</v>
      </c>
      <c r="D1225" s="7" t="s">
        <v>25</v>
      </c>
      <c r="E1225" s="8" t="s">
        <v>4459</v>
      </c>
    </row>
    <row r="1226" spans="1:5" x14ac:dyDescent="0.25">
      <c r="A1226" s="5" t="s">
        <v>1311</v>
      </c>
      <c r="B1226" s="6" t="s">
        <v>1310</v>
      </c>
      <c r="C1226" s="7" t="s">
        <v>24</v>
      </c>
      <c r="D1226" s="7" t="s">
        <v>25</v>
      </c>
      <c r="E1226" s="8" t="s">
        <v>4461</v>
      </c>
    </row>
    <row r="1227" spans="1:5" x14ac:dyDescent="0.25">
      <c r="A1227" s="5" t="s">
        <v>1313</v>
      </c>
      <c r="B1227" s="6" t="s">
        <v>1312</v>
      </c>
      <c r="C1227" s="7" t="s">
        <v>24</v>
      </c>
      <c r="D1227" s="7" t="s">
        <v>25</v>
      </c>
      <c r="E1227" s="8" t="s">
        <v>4465</v>
      </c>
    </row>
    <row r="1228" spans="1:5" x14ac:dyDescent="0.25">
      <c r="A1228" s="5" t="s">
        <v>1315</v>
      </c>
      <c r="B1228" s="6" t="s">
        <v>1314</v>
      </c>
      <c r="C1228" s="7" t="s">
        <v>24</v>
      </c>
      <c r="D1228" s="7" t="s">
        <v>25</v>
      </c>
      <c r="E1228" s="8" t="s">
        <v>4466</v>
      </c>
    </row>
    <row r="1229" spans="1:5" x14ac:dyDescent="0.25">
      <c r="A1229" s="5" t="s">
        <v>1317</v>
      </c>
      <c r="B1229" s="6" t="s">
        <v>1316</v>
      </c>
      <c r="C1229" s="7" t="s">
        <v>24</v>
      </c>
      <c r="D1229" s="7" t="s">
        <v>25</v>
      </c>
      <c r="E1229" s="8" t="s">
        <v>4459</v>
      </c>
    </row>
    <row r="1230" spans="1:5" x14ac:dyDescent="0.25">
      <c r="A1230" s="5" t="s">
        <v>1319</v>
      </c>
      <c r="B1230" s="6" t="s">
        <v>1318</v>
      </c>
      <c r="C1230" s="7" t="s">
        <v>24</v>
      </c>
      <c r="D1230" s="7" t="s">
        <v>25</v>
      </c>
      <c r="E1230" s="8" t="s">
        <v>4461</v>
      </c>
    </row>
    <row r="1231" spans="1:5" x14ac:dyDescent="0.25">
      <c r="A1231" s="5" t="s">
        <v>1321</v>
      </c>
      <c r="B1231" s="6" t="s">
        <v>1320</v>
      </c>
      <c r="C1231" s="7" t="s">
        <v>24</v>
      </c>
      <c r="D1231" s="7" t="s">
        <v>25</v>
      </c>
      <c r="E1231" s="8" t="s">
        <v>4465</v>
      </c>
    </row>
    <row r="1232" spans="1:5" x14ac:dyDescent="0.25">
      <c r="A1232" s="5" t="s">
        <v>1323</v>
      </c>
      <c r="B1232" s="6" t="s">
        <v>1322</v>
      </c>
      <c r="C1232" s="7" t="s">
        <v>24</v>
      </c>
      <c r="D1232" s="7" t="s">
        <v>25</v>
      </c>
      <c r="E1232" s="8" t="s">
        <v>4463</v>
      </c>
    </row>
    <row r="1233" spans="1:5" x14ac:dyDescent="0.25">
      <c r="A1233" s="5" t="s">
        <v>1325</v>
      </c>
      <c r="B1233" s="6" t="s">
        <v>1324</v>
      </c>
      <c r="C1233" s="7" t="s">
        <v>24</v>
      </c>
      <c r="D1233" s="7" t="s">
        <v>25</v>
      </c>
      <c r="E1233" s="8" t="s">
        <v>4466</v>
      </c>
    </row>
    <row r="1234" spans="1:5" x14ac:dyDescent="0.25">
      <c r="A1234" s="5" t="s">
        <v>1327</v>
      </c>
      <c r="B1234" s="6" t="s">
        <v>1326</v>
      </c>
      <c r="C1234" s="7" t="s">
        <v>24</v>
      </c>
      <c r="D1234" s="7" t="s">
        <v>25</v>
      </c>
      <c r="E1234" s="8" t="s">
        <v>4459</v>
      </c>
    </row>
    <row r="1235" spans="1:5" x14ac:dyDescent="0.25">
      <c r="A1235" s="5" t="s">
        <v>1329</v>
      </c>
      <c r="B1235" s="11" t="s">
        <v>1328</v>
      </c>
      <c r="C1235" s="7" t="s">
        <v>24</v>
      </c>
      <c r="D1235" s="7" t="s">
        <v>25</v>
      </c>
      <c r="E1235" s="8" t="s">
        <v>4461</v>
      </c>
    </row>
    <row r="1236" spans="1:5" x14ac:dyDescent="0.25">
      <c r="A1236" s="12" t="s">
        <v>1331</v>
      </c>
      <c r="B1236" s="6" t="s">
        <v>1330</v>
      </c>
      <c r="C1236" s="13" t="s">
        <v>24</v>
      </c>
      <c r="D1236" s="13" t="s">
        <v>25</v>
      </c>
      <c r="E1236" s="8" t="s">
        <v>4465</v>
      </c>
    </row>
    <row r="1237" spans="1:5" x14ac:dyDescent="0.25">
      <c r="A1237" s="5" t="s">
        <v>1333</v>
      </c>
      <c r="B1237" s="6" t="s">
        <v>1332</v>
      </c>
      <c r="C1237" s="7" t="s">
        <v>24</v>
      </c>
      <c r="D1237" s="7" t="s">
        <v>25</v>
      </c>
      <c r="E1237" s="8" t="s">
        <v>4463</v>
      </c>
    </row>
    <row r="1238" spans="1:5" x14ac:dyDescent="0.25">
      <c r="A1238" s="5" t="s">
        <v>1335</v>
      </c>
      <c r="B1238" s="6" t="s">
        <v>1334</v>
      </c>
      <c r="C1238" s="7" t="s">
        <v>24</v>
      </c>
      <c r="D1238" s="7" t="s">
        <v>25</v>
      </c>
      <c r="E1238" s="8" t="s">
        <v>4466</v>
      </c>
    </row>
    <row r="1239" spans="1:5" x14ac:dyDescent="0.25">
      <c r="A1239" s="5" t="s">
        <v>1337</v>
      </c>
      <c r="B1239" s="6" t="s">
        <v>1336</v>
      </c>
      <c r="C1239" s="7" t="s">
        <v>24</v>
      </c>
      <c r="D1239" s="7" t="s">
        <v>25</v>
      </c>
      <c r="E1239" s="8" t="s">
        <v>4459</v>
      </c>
    </row>
    <row r="1240" spans="1:5" x14ac:dyDescent="0.25">
      <c r="A1240" s="5" t="s">
        <v>1339</v>
      </c>
      <c r="B1240" s="6" t="s">
        <v>1338</v>
      </c>
      <c r="C1240" s="7" t="s">
        <v>24</v>
      </c>
      <c r="D1240" s="7" t="s">
        <v>25</v>
      </c>
      <c r="E1240" s="8" t="s">
        <v>4461</v>
      </c>
    </row>
    <row r="1241" spans="1:5" x14ac:dyDescent="0.25">
      <c r="A1241" s="5" t="s">
        <v>1341</v>
      </c>
      <c r="B1241" s="6" t="s">
        <v>1340</v>
      </c>
      <c r="C1241" s="7" t="s">
        <v>24</v>
      </c>
      <c r="D1241" s="7" t="s">
        <v>25</v>
      </c>
      <c r="E1241" s="8" t="s">
        <v>4465</v>
      </c>
    </row>
    <row r="1242" spans="1:5" x14ac:dyDescent="0.25">
      <c r="A1242" s="5" t="s">
        <v>1343</v>
      </c>
      <c r="B1242" s="6" t="s">
        <v>1342</v>
      </c>
      <c r="C1242" s="7" t="s">
        <v>24</v>
      </c>
      <c r="D1242" s="7" t="s">
        <v>25</v>
      </c>
      <c r="E1242" s="8" t="s">
        <v>4463</v>
      </c>
    </row>
    <row r="1243" spans="1:5" x14ac:dyDescent="0.25">
      <c r="A1243" s="5" t="s">
        <v>1345</v>
      </c>
      <c r="B1243" s="6" t="s">
        <v>1344</v>
      </c>
      <c r="C1243" s="7" t="s">
        <v>24</v>
      </c>
      <c r="D1243" s="7" t="s">
        <v>25</v>
      </c>
      <c r="E1243" s="8" t="s">
        <v>4464</v>
      </c>
    </row>
    <row r="1244" spans="1:5" x14ac:dyDescent="0.25">
      <c r="A1244" s="5" t="s">
        <v>1347</v>
      </c>
      <c r="B1244" s="6" t="s">
        <v>1346</v>
      </c>
      <c r="C1244" s="7" t="s">
        <v>24</v>
      </c>
      <c r="D1244" s="7" t="s">
        <v>64</v>
      </c>
      <c r="E1244" s="8" t="s">
        <v>65</v>
      </c>
    </row>
    <row r="1245" spans="1:5" x14ac:dyDescent="0.25">
      <c r="A1245" s="5" t="s">
        <v>1349</v>
      </c>
      <c r="B1245" s="9" t="s">
        <v>1348</v>
      </c>
      <c r="C1245" s="7" t="s">
        <v>24</v>
      </c>
      <c r="D1245" s="7" t="s">
        <v>25</v>
      </c>
      <c r="E1245" s="8" t="s">
        <v>4460</v>
      </c>
    </row>
    <row r="1246" spans="1:5" x14ac:dyDescent="0.25">
      <c r="A1246" s="5" t="s">
        <v>1351</v>
      </c>
      <c r="B1246" s="9" t="s">
        <v>1350</v>
      </c>
      <c r="C1246" s="7" t="s">
        <v>24</v>
      </c>
      <c r="D1246" s="7" t="s">
        <v>25</v>
      </c>
      <c r="E1246" s="8" t="s">
        <v>4459</v>
      </c>
    </row>
    <row r="1247" spans="1:5" x14ac:dyDescent="0.25">
      <c r="A1247" s="5" t="s">
        <v>1353</v>
      </c>
      <c r="B1247" s="9" t="s">
        <v>1352</v>
      </c>
      <c r="C1247" s="7" t="s">
        <v>24</v>
      </c>
      <c r="D1247" s="7" t="s">
        <v>25</v>
      </c>
      <c r="E1247" s="8" t="s">
        <v>4465</v>
      </c>
    </row>
    <row r="1248" spans="1:5" x14ac:dyDescent="0.25">
      <c r="A1248" s="5" t="s">
        <v>1355</v>
      </c>
      <c r="B1248" s="9" t="s">
        <v>1354</v>
      </c>
      <c r="C1248" s="7" t="s">
        <v>24</v>
      </c>
      <c r="D1248" s="7" t="s">
        <v>64</v>
      </c>
      <c r="E1248" s="8" t="s">
        <v>65</v>
      </c>
    </row>
    <row r="1249" spans="1:5" x14ac:dyDescent="0.25">
      <c r="A1249" s="5" t="s">
        <v>1357</v>
      </c>
      <c r="B1249" s="9" t="s">
        <v>1356</v>
      </c>
      <c r="C1249" s="7" t="s">
        <v>24</v>
      </c>
      <c r="D1249" s="7" t="s">
        <v>25</v>
      </c>
      <c r="E1249" s="8" t="s">
        <v>4466</v>
      </c>
    </row>
    <row r="1250" spans="1:5" x14ac:dyDescent="0.25">
      <c r="A1250" s="5" t="s">
        <v>1359</v>
      </c>
      <c r="B1250" s="6" t="s">
        <v>1358</v>
      </c>
      <c r="C1250" s="7" t="s">
        <v>24</v>
      </c>
      <c r="D1250" s="7" t="s">
        <v>25</v>
      </c>
      <c r="E1250" s="8" t="s">
        <v>4457</v>
      </c>
    </row>
    <row r="1251" spans="1:5" x14ac:dyDescent="0.25">
      <c r="A1251" s="5" t="s">
        <v>3622</v>
      </c>
      <c r="B1251" s="6" t="s">
        <v>4399</v>
      </c>
      <c r="C1251" s="7" t="s">
        <v>24</v>
      </c>
      <c r="D1251" s="7" t="s">
        <v>4474</v>
      </c>
      <c r="E1251" s="8" t="s">
        <v>4466</v>
      </c>
    </row>
    <row r="1252" spans="1:5" x14ac:dyDescent="0.25">
      <c r="A1252" s="5" t="s">
        <v>1361</v>
      </c>
      <c r="B1252" s="6" t="s">
        <v>1360</v>
      </c>
      <c r="C1252" s="7" t="s">
        <v>24</v>
      </c>
      <c r="D1252" s="7" t="s">
        <v>25</v>
      </c>
      <c r="E1252" s="8" t="s">
        <v>4458</v>
      </c>
    </row>
    <row r="1253" spans="1:5" x14ac:dyDescent="0.25">
      <c r="A1253" s="5" t="s">
        <v>1363</v>
      </c>
      <c r="B1253" s="6" t="s">
        <v>1362</v>
      </c>
      <c r="C1253" s="7" t="s">
        <v>24</v>
      </c>
      <c r="D1253" s="7" t="s">
        <v>25</v>
      </c>
      <c r="E1253" s="8" t="s">
        <v>4461</v>
      </c>
    </row>
    <row r="1254" spans="1:5" x14ac:dyDescent="0.25">
      <c r="A1254" s="5" t="s">
        <v>1365</v>
      </c>
      <c r="B1254" s="6" t="s">
        <v>1364</v>
      </c>
      <c r="C1254" s="7" t="s">
        <v>24</v>
      </c>
      <c r="D1254" s="7" t="s">
        <v>25</v>
      </c>
      <c r="E1254" s="8" t="s">
        <v>4462</v>
      </c>
    </row>
    <row r="1255" spans="1:5" x14ac:dyDescent="0.25">
      <c r="A1255" s="5" t="s">
        <v>1367</v>
      </c>
      <c r="B1255" s="6" t="s">
        <v>1366</v>
      </c>
      <c r="C1255" s="7" t="s">
        <v>24</v>
      </c>
      <c r="D1255" s="7" t="s">
        <v>25</v>
      </c>
      <c r="E1255" s="8" t="s">
        <v>4464</v>
      </c>
    </row>
    <row r="1256" spans="1:5" x14ac:dyDescent="0.25">
      <c r="A1256" s="12" t="s">
        <v>1369</v>
      </c>
      <c r="B1256" s="6" t="s">
        <v>1368</v>
      </c>
      <c r="C1256" s="13" t="s">
        <v>24</v>
      </c>
      <c r="D1256" s="13" t="s">
        <v>25</v>
      </c>
      <c r="E1256" s="8" t="s">
        <v>4459</v>
      </c>
    </row>
    <row r="1257" spans="1:5" x14ac:dyDescent="0.25">
      <c r="A1257" s="5" t="s">
        <v>1371</v>
      </c>
      <c r="B1257" s="6" t="s">
        <v>1370</v>
      </c>
      <c r="C1257" s="7" t="s">
        <v>24</v>
      </c>
      <c r="D1257" s="7" t="s">
        <v>64</v>
      </c>
      <c r="E1257" s="8" t="s">
        <v>65</v>
      </c>
    </row>
    <row r="1258" spans="1:5" x14ac:dyDescent="0.25">
      <c r="A1258" s="5" t="s">
        <v>1373</v>
      </c>
      <c r="B1258" s="6" t="s">
        <v>1372</v>
      </c>
      <c r="C1258" s="7" t="s">
        <v>24</v>
      </c>
      <c r="D1258" s="7" t="s">
        <v>64</v>
      </c>
      <c r="E1258" s="8" t="s">
        <v>65</v>
      </c>
    </row>
    <row r="1259" spans="1:5" x14ac:dyDescent="0.25">
      <c r="A1259" s="5" t="s">
        <v>1375</v>
      </c>
      <c r="B1259" s="6" t="s">
        <v>1374</v>
      </c>
      <c r="C1259" s="7" t="s">
        <v>24</v>
      </c>
      <c r="D1259" s="7" t="s">
        <v>64</v>
      </c>
      <c r="E1259" s="8" t="s">
        <v>65</v>
      </c>
    </row>
    <row r="1260" spans="1:5" x14ac:dyDescent="0.25">
      <c r="A1260" s="12" t="s">
        <v>1377</v>
      </c>
      <c r="B1260" s="6" t="s">
        <v>1376</v>
      </c>
      <c r="C1260" s="13" t="s">
        <v>24</v>
      </c>
      <c r="D1260" s="13" t="s">
        <v>25</v>
      </c>
      <c r="E1260" s="8" t="s">
        <v>4457</v>
      </c>
    </row>
    <row r="1261" spans="1:5" x14ac:dyDescent="0.25">
      <c r="A1261" s="5" t="s">
        <v>1379</v>
      </c>
      <c r="B1261" s="6" t="s">
        <v>1378</v>
      </c>
      <c r="C1261" s="7" t="s">
        <v>24</v>
      </c>
      <c r="D1261" s="7" t="s">
        <v>64</v>
      </c>
      <c r="E1261" s="8" t="s">
        <v>99</v>
      </c>
    </row>
    <row r="1262" spans="1:5" x14ac:dyDescent="0.25">
      <c r="A1262" s="5" t="s">
        <v>1381</v>
      </c>
      <c r="B1262" s="6" t="s">
        <v>1380</v>
      </c>
      <c r="C1262" s="7" t="s">
        <v>24</v>
      </c>
      <c r="D1262" s="7" t="s">
        <v>25</v>
      </c>
      <c r="E1262" s="8" t="s">
        <v>4457</v>
      </c>
    </row>
    <row r="1263" spans="1:5" x14ac:dyDescent="0.25">
      <c r="A1263" s="5" t="s">
        <v>1383</v>
      </c>
      <c r="B1263" s="6" t="s">
        <v>1382</v>
      </c>
      <c r="C1263" s="7" t="s">
        <v>24</v>
      </c>
      <c r="D1263" s="7" t="s">
        <v>25</v>
      </c>
      <c r="E1263" s="8" t="s">
        <v>4468</v>
      </c>
    </row>
    <row r="1264" spans="1:5" x14ac:dyDescent="0.25">
      <c r="A1264" s="5" t="s">
        <v>1385</v>
      </c>
      <c r="B1264" s="6" t="s">
        <v>1384</v>
      </c>
      <c r="C1264" s="7" t="s">
        <v>24</v>
      </c>
      <c r="D1264" s="7" t="s">
        <v>25</v>
      </c>
      <c r="E1264" s="8" t="s">
        <v>4458</v>
      </c>
    </row>
    <row r="1265" spans="1:5" x14ac:dyDescent="0.25">
      <c r="A1265" s="5" t="s">
        <v>1387</v>
      </c>
      <c r="B1265" s="6" t="s">
        <v>1386</v>
      </c>
      <c r="C1265" s="7" t="s">
        <v>24</v>
      </c>
      <c r="D1265" s="7" t="s">
        <v>25</v>
      </c>
      <c r="E1265" s="8" t="s">
        <v>4459</v>
      </c>
    </row>
    <row r="1266" spans="1:5" x14ac:dyDescent="0.25">
      <c r="A1266" s="12" t="s">
        <v>1389</v>
      </c>
      <c r="B1266" s="6" t="s">
        <v>1388</v>
      </c>
      <c r="C1266" s="13" t="s">
        <v>24</v>
      </c>
      <c r="D1266" s="13" t="s">
        <v>25</v>
      </c>
      <c r="E1266" s="8" t="s">
        <v>4457</v>
      </c>
    </row>
    <row r="1267" spans="1:5" x14ac:dyDescent="0.25">
      <c r="A1267" s="5" t="s">
        <v>1391</v>
      </c>
      <c r="B1267" s="6" t="s">
        <v>1390</v>
      </c>
      <c r="C1267" s="7" t="s">
        <v>24</v>
      </c>
      <c r="D1267" s="7" t="s">
        <v>25</v>
      </c>
      <c r="E1267" s="8" t="s">
        <v>4458</v>
      </c>
    </row>
    <row r="1268" spans="1:5" x14ac:dyDescent="0.25">
      <c r="A1268" s="5" t="s">
        <v>3586</v>
      </c>
      <c r="B1268" s="6" t="s">
        <v>4362</v>
      </c>
      <c r="C1268" s="7" t="s">
        <v>24</v>
      </c>
      <c r="D1268" s="7" t="s">
        <v>25</v>
      </c>
      <c r="E1268" s="8" t="s">
        <v>4459</v>
      </c>
    </row>
    <row r="1269" spans="1:5" x14ac:dyDescent="0.25">
      <c r="A1269" s="5" t="s">
        <v>1393</v>
      </c>
      <c r="B1269" s="6" t="s">
        <v>1392</v>
      </c>
      <c r="C1269" s="7" t="s">
        <v>24</v>
      </c>
      <c r="D1269" s="7" t="s">
        <v>64</v>
      </c>
      <c r="E1269" s="8" t="s">
        <v>426</v>
      </c>
    </row>
    <row r="1270" spans="1:5" x14ac:dyDescent="0.25">
      <c r="A1270" s="5" t="s">
        <v>1395</v>
      </c>
      <c r="B1270" s="6" t="s">
        <v>1394</v>
      </c>
      <c r="C1270" s="7" t="s">
        <v>24</v>
      </c>
      <c r="D1270" s="7" t="s">
        <v>64</v>
      </c>
      <c r="E1270" s="8" t="s">
        <v>4469</v>
      </c>
    </row>
    <row r="1271" spans="1:5" x14ac:dyDescent="0.25">
      <c r="A1271" s="5" t="s">
        <v>1397</v>
      </c>
      <c r="B1271" s="6" t="s">
        <v>1396</v>
      </c>
      <c r="C1271" s="7" t="s">
        <v>24</v>
      </c>
      <c r="D1271" s="7" t="s">
        <v>25</v>
      </c>
      <c r="E1271" s="8" t="s">
        <v>4458</v>
      </c>
    </row>
    <row r="1272" spans="1:5" x14ac:dyDescent="0.25">
      <c r="A1272" s="5" t="s">
        <v>1399</v>
      </c>
      <c r="B1272" s="6" t="s">
        <v>1398</v>
      </c>
      <c r="C1272" s="7" t="s">
        <v>24</v>
      </c>
      <c r="D1272" s="7" t="s">
        <v>25</v>
      </c>
      <c r="E1272" s="8" t="s">
        <v>4465</v>
      </c>
    </row>
    <row r="1273" spans="1:5" x14ac:dyDescent="0.25">
      <c r="A1273" s="5" t="s">
        <v>1401</v>
      </c>
      <c r="B1273" s="6" t="s">
        <v>1400</v>
      </c>
      <c r="C1273" s="7" t="s">
        <v>24</v>
      </c>
      <c r="D1273" s="7" t="s">
        <v>25</v>
      </c>
      <c r="E1273" s="8" t="s">
        <v>4463</v>
      </c>
    </row>
    <row r="1274" spans="1:5" x14ac:dyDescent="0.25">
      <c r="A1274" s="5" t="s">
        <v>1403</v>
      </c>
      <c r="B1274" s="6" t="s">
        <v>1402</v>
      </c>
      <c r="C1274" s="7" t="s">
        <v>24</v>
      </c>
      <c r="D1274" s="7" t="s">
        <v>25</v>
      </c>
      <c r="E1274" s="8" t="s">
        <v>4467</v>
      </c>
    </row>
    <row r="1275" spans="1:5" x14ac:dyDescent="0.25">
      <c r="A1275" s="5" t="s">
        <v>1405</v>
      </c>
      <c r="B1275" s="6" t="s">
        <v>1404</v>
      </c>
      <c r="C1275" s="7" t="s">
        <v>24</v>
      </c>
      <c r="D1275" s="7" t="s">
        <v>64</v>
      </c>
      <c r="E1275" s="8" t="s">
        <v>93</v>
      </c>
    </row>
    <row r="1276" spans="1:5" x14ac:dyDescent="0.25">
      <c r="A1276" s="5" t="s">
        <v>1407</v>
      </c>
      <c r="B1276" s="6" t="s">
        <v>1406</v>
      </c>
      <c r="C1276" s="7" t="s">
        <v>24</v>
      </c>
      <c r="D1276" s="7" t="s">
        <v>64</v>
      </c>
      <c r="E1276" s="8" t="s">
        <v>87</v>
      </c>
    </row>
    <row r="1277" spans="1:5" x14ac:dyDescent="0.25">
      <c r="A1277" s="5" t="s">
        <v>1409</v>
      </c>
      <c r="B1277" s="6" t="s">
        <v>1408</v>
      </c>
      <c r="C1277" s="7" t="s">
        <v>24</v>
      </c>
      <c r="D1277" s="7" t="s">
        <v>64</v>
      </c>
      <c r="E1277" s="8" t="s">
        <v>90</v>
      </c>
    </row>
    <row r="1278" spans="1:5" x14ac:dyDescent="0.25">
      <c r="A1278" s="5" t="s">
        <v>1411</v>
      </c>
      <c r="B1278" s="6" t="s">
        <v>1410</v>
      </c>
      <c r="C1278" s="7" t="s">
        <v>24</v>
      </c>
      <c r="D1278" s="7" t="s">
        <v>64</v>
      </c>
      <c r="E1278" s="8" t="s">
        <v>96</v>
      </c>
    </row>
    <row r="1279" spans="1:5" x14ac:dyDescent="0.25">
      <c r="A1279" s="5" t="s">
        <v>1413</v>
      </c>
      <c r="B1279" s="6" t="s">
        <v>1412</v>
      </c>
      <c r="C1279" s="7" t="s">
        <v>24</v>
      </c>
      <c r="D1279" s="7" t="s">
        <v>64</v>
      </c>
      <c r="E1279" s="8" t="s">
        <v>65</v>
      </c>
    </row>
    <row r="1280" spans="1:5" x14ac:dyDescent="0.25">
      <c r="A1280" s="5" t="s">
        <v>1415</v>
      </c>
      <c r="B1280" s="6" t="s">
        <v>1414</v>
      </c>
      <c r="C1280" s="7" t="s">
        <v>24</v>
      </c>
      <c r="D1280" s="7" t="s">
        <v>25</v>
      </c>
      <c r="E1280" s="8" t="s">
        <v>4457</v>
      </c>
    </row>
    <row r="1281" spans="1:5" x14ac:dyDescent="0.25">
      <c r="A1281" s="5" t="s">
        <v>1417</v>
      </c>
      <c r="B1281" s="6" t="s">
        <v>1416</v>
      </c>
      <c r="C1281" s="7" t="s">
        <v>24</v>
      </c>
      <c r="D1281" s="7" t="s">
        <v>25</v>
      </c>
      <c r="E1281" s="8" t="s">
        <v>4458</v>
      </c>
    </row>
    <row r="1282" spans="1:5" x14ac:dyDescent="0.25">
      <c r="A1282" s="5" t="s">
        <v>1419</v>
      </c>
      <c r="B1282" s="6" t="s">
        <v>1418</v>
      </c>
      <c r="C1282" s="7" t="s">
        <v>24</v>
      </c>
      <c r="D1282" s="7" t="s">
        <v>25</v>
      </c>
      <c r="E1282" s="8" t="s">
        <v>4466</v>
      </c>
    </row>
    <row r="1283" spans="1:5" x14ac:dyDescent="0.25">
      <c r="A1283" s="5" t="s">
        <v>1421</v>
      </c>
      <c r="B1283" s="6" t="s">
        <v>1420</v>
      </c>
      <c r="C1283" s="7" t="s">
        <v>24</v>
      </c>
      <c r="D1283" s="7" t="s">
        <v>25</v>
      </c>
      <c r="E1283" s="8" t="s">
        <v>4457</v>
      </c>
    </row>
    <row r="1284" spans="1:5" x14ac:dyDescent="0.25">
      <c r="A1284" s="5" t="s">
        <v>1423</v>
      </c>
      <c r="B1284" s="6" t="s">
        <v>1422</v>
      </c>
      <c r="C1284" s="7" t="s">
        <v>24</v>
      </c>
      <c r="D1284" s="7" t="s">
        <v>25</v>
      </c>
      <c r="E1284" s="8" t="s">
        <v>4458</v>
      </c>
    </row>
    <row r="1285" spans="1:5" x14ac:dyDescent="0.25">
      <c r="A1285" s="5" t="s">
        <v>1425</v>
      </c>
      <c r="B1285" s="6" t="s">
        <v>1424</v>
      </c>
      <c r="C1285" s="7" t="s">
        <v>24</v>
      </c>
      <c r="D1285" s="7" t="s">
        <v>25</v>
      </c>
      <c r="E1285" s="8" t="s">
        <v>4461</v>
      </c>
    </row>
    <row r="1286" spans="1:5" x14ac:dyDescent="0.25">
      <c r="A1286" s="5" t="s">
        <v>1427</v>
      </c>
      <c r="B1286" s="6" t="s">
        <v>1426</v>
      </c>
      <c r="C1286" s="7" t="s">
        <v>24</v>
      </c>
      <c r="D1286" s="7" t="s">
        <v>25</v>
      </c>
      <c r="E1286" s="8" t="s">
        <v>4459</v>
      </c>
    </row>
    <row r="1287" spans="1:5" x14ac:dyDescent="0.25">
      <c r="A1287" s="5" t="s">
        <v>1429</v>
      </c>
      <c r="B1287" s="6" t="s">
        <v>1428</v>
      </c>
      <c r="C1287" s="7" t="s">
        <v>24</v>
      </c>
      <c r="D1287" s="7" t="s">
        <v>64</v>
      </c>
      <c r="E1287" s="8" t="s">
        <v>426</v>
      </c>
    </row>
    <row r="1288" spans="1:5" x14ac:dyDescent="0.25">
      <c r="A1288" s="5" t="s">
        <v>1431</v>
      </c>
      <c r="B1288" s="6" t="s">
        <v>1430</v>
      </c>
      <c r="C1288" s="7" t="s">
        <v>24</v>
      </c>
      <c r="D1288" s="7" t="s">
        <v>64</v>
      </c>
      <c r="E1288" s="8" t="s">
        <v>93</v>
      </c>
    </row>
    <row r="1289" spans="1:5" x14ac:dyDescent="0.25">
      <c r="A1289" s="5" t="s">
        <v>1433</v>
      </c>
      <c r="B1289" s="6" t="s">
        <v>1432</v>
      </c>
      <c r="C1289" s="7" t="s">
        <v>24</v>
      </c>
      <c r="D1289" s="7" t="s">
        <v>64</v>
      </c>
      <c r="E1289" s="8" t="s">
        <v>573</v>
      </c>
    </row>
    <row r="1290" spans="1:5" x14ac:dyDescent="0.25">
      <c r="A1290" s="5" t="s">
        <v>1435</v>
      </c>
      <c r="B1290" s="6" t="s">
        <v>1434</v>
      </c>
      <c r="C1290" s="7" t="s">
        <v>24</v>
      </c>
      <c r="D1290" s="7" t="s">
        <v>25</v>
      </c>
      <c r="E1290" s="8" t="s">
        <v>4458</v>
      </c>
    </row>
    <row r="1291" spans="1:5" x14ac:dyDescent="0.25">
      <c r="A1291" s="5" t="s">
        <v>1437</v>
      </c>
      <c r="B1291" s="6" t="s">
        <v>1436</v>
      </c>
      <c r="C1291" s="7" t="s">
        <v>24</v>
      </c>
      <c r="D1291" s="7" t="s">
        <v>25</v>
      </c>
      <c r="E1291" s="8" t="s">
        <v>4459</v>
      </c>
    </row>
    <row r="1292" spans="1:5" x14ac:dyDescent="0.25">
      <c r="A1292" s="5" t="s">
        <v>1439</v>
      </c>
      <c r="B1292" s="6" t="s">
        <v>1438</v>
      </c>
      <c r="C1292" s="7" t="s">
        <v>24</v>
      </c>
      <c r="D1292" s="7" t="s">
        <v>25</v>
      </c>
      <c r="E1292" s="8" t="s">
        <v>4461</v>
      </c>
    </row>
    <row r="1293" spans="1:5" x14ac:dyDescent="0.25">
      <c r="A1293" s="5" t="s">
        <v>1441</v>
      </c>
      <c r="B1293" s="6" t="s">
        <v>1440</v>
      </c>
      <c r="C1293" s="7" t="s">
        <v>24</v>
      </c>
      <c r="D1293" s="7" t="s">
        <v>25</v>
      </c>
      <c r="E1293" s="8" t="s">
        <v>4462</v>
      </c>
    </row>
    <row r="1294" spans="1:5" x14ac:dyDescent="0.25">
      <c r="A1294" s="5" t="s">
        <v>1443</v>
      </c>
      <c r="B1294" s="6" t="s">
        <v>1442</v>
      </c>
      <c r="C1294" s="7" t="s">
        <v>24</v>
      </c>
      <c r="D1294" s="7" t="s">
        <v>25</v>
      </c>
      <c r="E1294" s="8" t="s">
        <v>4464</v>
      </c>
    </row>
    <row r="1295" spans="1:5" x14ac:dyDescent="0.25">
      <c r="A1295" s="5" t="s">
        <v>1445</v>
      </c>
      <c r="B1295" s="6" t="s">
        <v>1444</v>
      </c>
      <c r="C1295" s="7" t="s">
        <v>24</v>
      </c>
      <c r="D1295" s="7" t="s">
        <v>64</v>
      </c>
      <c r="E1295" s="8" t="s">
        <v>99</v>
      </c>
    </row>
    <row r="1296" spans="1:5" x14ac:dyDescent="0.25">
      <c r="A1296" s="5" t="s">
        <v>1447</v>
      </c>
      <c r="B1296" s="6" t="s">
        <v>1446</v>
      </c>
      <c r="C1296" s="7" t="s">
        <v>24</v>
      </c>
      <c r="D1296" s="7" t="s">
        <v>64</v>
      </c>
      <c r="E1296" s="8" t="s">
        <v>65</v>
      </c>
    </row>
    <row r="1297" spans="1:5" x14ac:dyDescent="0.25">
      <c r="A1297" s="5" t="s">
        <v>1449</v>
      </c>
      <c r="B1297" s="6" t="s">
        <v>1448</v>
      </c>
      <c r="C1297" s="7" t="s">
        <v>24</v>
      </c>
      <c r="D1297" s="7" t="s">
        <v>25</v>
      </c>
      <c r="E1297" s="8" t="s">
        <v>4458</v>
      </c>
    </row>
    <row r="1298" spans="1:5" x14ac:dyDescent="0.25">
      <c r="A1298" s="5" t="s">
        <v>1451</v>
      </c>
      <c r="B1298" s="6" t="s">
        <v>1450</v>
      </c>
      <c r="C1298" s="7" t="s">
        <v>24</v>
      </c>
      <c r="D1298" s="7" t="s">
        <v>64</v>
      </c>
      <c r="E1298" s="8" t="s">
        <v>99</v>
      </c>
    </row>
    <row r="1299" spans="1:5" x14ac:dyDescent="0.25">
      <c r="A1299" s="5" t="s">
        <v>1453</v>
      </c>
      <c r="B1299" s="6" t="s">
        <v>1452</v>
      </c>
      <c r="C1299" s="7" t="s">
        <v>24</v>
      </c>
      <c r="D1299" s="7" t="s">
        <v>25</v>
      </c>
      <c r="E1299" s="8" t="s">
        <v>4461</v>
      </c>
    </row>
    <row r="1300" spans="1:5" x14ac:dyDescent="0.25">
      <c r="A1300" s="5" t="s">
        <v>1455</v>
      </c>
      <c r="B1300" s="6" t="s">
        <v>1454</v>
      </c>
      <c r="C1300" s="7" t="s">
        <v>24</v>
      </c>
      <c r="D1300" s="7" t="s">
        <v>25</v>
      </c>
      <c r="E1300" s="8" t="s">
        <v>4462</v>
      </c>
    </row>
    <row r="1301" spans="1:5" x14ac:dyDescent="0.25">
      <c r="A1301" s="5" t="s">
        <v>1457</v>
      </c>
      <c r="B1301" s="6" t="s">
        <v>1456</v>
      </c>
      <c r="C1301" s="7" t="s">
        <v>24</v>
      </c>
      <c r="D1301" s="7" t="s">
        <v>25</v>
      </c>
      <c r="E1301" s="8" t="s">
        <v>4464</v>
      </c>
    </row>
    <row r="1302" spans="1:5" x14ac:dyDescent="0.25">
      <c r="A1302" s="5" t="s">
        <v>1459</v>
      </c>
      <c r="B1302" s="6" t="s">
        <v>1458</v>
      </c>
      <c r="C1302" s="13" t="s">
        <v>24</v>
      </c>
      <c r="D1302" s="13" t="s">
        <v>25</v>
      </c>
      <c r="E1302" s="8" t="s">
        <v>4467</v>
      </c>
    </row>
    <row r="1303" spans="1:5" x14ac:dyDescent="0.25">
      <c r="A1303" s="5" t="s">
        <v>1461</v>
      </c>
      <c r="B1303" s="6" t="s">
        <v>1460</v>
      </c>
      <c r="C1303" s="7" t="s">
        <v>24</v>
      </c>
      <c r="D1303" s="7" t="s">
        <v>25</v>
      </c>
      <c r="E1303" s="8" t="s">
        <v>4466</v>
      </c>
    </row>
    <row r="1304" spans="1:5" x14ac:dyDescent="0.25">
      <c r="A1304" s="5" t="s">
        <v>3623</v>
      </c>
      <c r="B1304" s="6" t="s">
        <v>4400</v>
      </c>
      <c r="C1304" s="7" t="s">
        <v>24</v>
      </c>
      <c r="D1304" s="7" t="s">
        <v>4474</v>
      </c>
      <c r="E1304" s="8" t="s">
        <v>4459</v>
      </c>
    </row>
    <row r="1305" spans="1:5" x14ac:dyDescent="0.25">
      <c r="A1305" s="5" t="s">
        <v>1463</v>
      </c>
      <c r="B1305" s="6" t="s">
        <v>1462</v>
      </c>
      <c r="C1305" s="7" t="s">
        <v>24</v>
      </c>
      <c r="D1305" s="7" t="s">
        <v>64</v>
      </c>
      <c r="E1305" s="8" t="s">
        <v>99</v>
      </c>
    </row>
    <row r="1306" spans="1:5" x14ac:dyDescent="0.25">
      <c r="A1306" s="5" t="s">
        <v>1465</v>
      </c>
      <c r="B1306" s="6" t="s">
        <v>1464</v>
      </c>
      <c r="C1306" s="7" t="s">
        <v>24</v>
      </c>
      <c r="D1306" s="7" t="s">
        <v>25</v>
      </c>
      <c r="E1306" s="8" t="s">
        <v>4457</v>
      </c>
    </row>
    <row r="1307" spans="1:5" x14ac:dyDescent="0.25">
      <c r="A1307" s="12" t="s">
        <v>1467</v>
      </c>
      <c r="B1307" s="6" t="s">
        <v>1466</v>
      </c>
      <c r="C1307" s="13" t="s">
        <v>24</v>
      </c>
      <c r="D1307" s="13" t="s">
        <v>25</v>
      </c>
      <c r="E1307" s="8" t="s">
        <v>4468</v>
      </c>
    </row>
    <row r="1308" spans="1:5" x14ac:dyDescent="0.25">
      <c r="A1308" s="5" t="s">
        <v>1469</v>
      </c>
      <c r="B1308" s="6" t="s">
        <v>1468</v>
      </c>
      <c r="C1308" s="7" t="s">
        <v>24</v>
      </c>
      <c r="D1308" s="7" t="s">
        <v>25</v>
      </c>
      <c r="E1308" s="8" t="s">
        <v>4466</v>
      </c>
    </row>
    <row r="1309" spans="1:5" x14ac:dyDescent="0.25">
      <c r="A1309" s="12" t="s">
        <v>1471</v>
      </c>
      <c r="B1309" s="6" t="s">
        <v>1470</v>
      </c>
      <c r="C1309" s="13" t="s">
        <v>24</v>
      </c>
      <c r="D1309" s="13" t="s">
        <v>25</v>
      </c>
      <c r="E1309" s="8" t="s">
        <v>4460</v>
      </c>
    </row>
    <row r="1310" spans="1:5" x14ac:dyDescent="0.25">
      <c r="A1310" s="5" t="s">
        <v>1473</v>
      </c>
      <c r="B1310" s="6" t="s">
        <v>1472</v>
      </c>
      <c r="C1310" s="7" t="s">
        <v>24</v>
      </c>
      <c r="D1310" s="7" t="s">
        <v>25</v>
      </c>
      <c r="E1310" s="8" t="s">
        <v>4465</v>
      </c>
    </row>
    <row r="1311" spans="1:5" x14ac:dyDescent="0.25">
      <c r="A1311" s="5" t="s">
        <v>3288</v>
      </c>
      <c r="B1311" s="6" t="s">
        <v>4059</v>
      </c>
      <c r="C1311" s="7" t="s">
        <v>24</v>
      </c>
      <c r="D1311" s="7" t="s">
        <v>4456</v>
      </c>
      <c r="E1311" s="8" t="s">
        <v>4454</v>
      </c>
    </row>
    <row r="1312" spans="1:5" x14ac:dyDescent="0.25">
      <c r="A1312" s="5" t="s">
        <v>3293</v>
      </c>
      <c r="B1312" s="6" t="s">
        <v>4064</v>
      </c>
      <c r="C1312" s="7" t="s">
        <v>24</v>
      </c>
      <c r="D1312" s="7" t="s">
        <v>4456</v>
      </c>
      <c r="E1312" s="8" t="s">
        <v>4454</v>
      </c>
    </row>
    <row r="1313" spans="1:5" x14ac:dyDescent="0.25">
      <c r="A1313" s="5" t="s">
        <v>3287</v>
      </c>
      <c r="B1313" s="6" t="s">
        <v>4058</v>
      </c>
      <c r="C1313" s="7" t="s">
        <v>24</v>
      </c>
      <c r="D1313" s="7" t="s">
        <v>4456</v>
      </c>
      <c r="E1313" s="8" t="s">
        <v>4454</v>
      </c>
    </row>
    <row r="1314" spans="1:5" x14ac:dyDescent="0.25">
      <c r="A1314" s="5" t="s">
        <v>3297</v>
      </c>
      <c r="B1314" s="6" t="s">
        <v>4068</v>
      </c>
      <c r="C1314" s="7" t="s">
        <v>24</v>
      </c>
      <c r="D1314" s="7" t="s">
        <v>4456</v>
      </c>
      <c r="E1314" s="8" t="s">
        <v>4454</v>
      </c>
    </row>
    <row r="1315" spans="1:5" x14ac:dyDescent="0.25">
      <c r="A1315" s="12" t="s">
        <v>3244</v>
      </c>
      <c r="B1315" s="6" t="s">
        <v>4015</v>
      </c>
      <c r="C1315" s="13" t="s">
        <v>24</v>
      </c>
      <c r="D1315" s="13" t="s">
        <v>4456</v>
      </c>
      <c r="E1315" s="8" t="s">
        <v>4454</v>
      </c>
    </row>
    <row r="1316" spans="1:5" x14ac:dyDescent="0.25">
      <c r="A1316" s="5" t="s">
        <v>3292</v>
      </c>
      <c r="B1316" s="6" t="s">
        <v>4063</v>
      </c>
      <c r="C1316" s="7" t="s">
        <v>24</v>
      </c>
      <c r="D1316" s="7" t="s">
        <v>4456</v>
      </c>
      <c r="E1316" s="8" t="s">
        <v>4454</v>
      </c>
    </row>
    <row r="1317" spans="1:5" x14ac:dyDescent="0.25">
      <c r="A1317" s="5" t="s">
        <v>3246</v>
      </c>
      <c r="B1317" s="6" t="s">
        <v>4017</v>
      </c>
      <c r="C1317" s="7" t="s">
        <v>24</v>
      </c>
      <c r="D1317" s="7" t="s">
        <v>4456</v>
      </c>
      <c r="E1317" s="8" t="s">
        <v>4454</v>
      </c>
    </row>
    <row r="1318" spans="1:5" x14ac:dyDescent="0.25">
      <c r="A1318" s="12" t="s">
        <v>3263</v>
      </c>
      <c r="B1318" s="6" t="s">
        <v>4034</v>
      </c>
      <c r="C1318" s="13" t="s">
        <v>24</v>
      </c>
      <c r="D1318" s="13" t="s">
        <v>4456</v>
      </c>
      <c r="E1318" s="8" t="s">
        <v>4454</v>
      </c>
    </row>
    <row r="1319" spans="1:5" x14ac:dyDescent="0.25">
      <c r="A1319" s="12" t="s">
        <v>3253</v>
      </c>
      <c r="B1319" s="6" t="s">
        <v>4024</v>
      </c>
      <c r="C1319" s="13" t="s">
        <v>24</v>
      </c>
      <c r="D1319" s="13" t="s">
        <v>4456</v>
      </c>
      <c r="E1319" s="8" t="s">
        <v>4454</v>
      </c>
    </row>
    <row r="1320" spans="1:5" x14ac:dyDescent="0.25">
      <c r="A1320" s="5" t="s">
        <v>3243</v>
      </c>
      <c r="B1320" s="6" t="s">
        <v>4014</v>
      </c>
      <c r="C1320" s="7" t="s">
        <v>24</v>
      </c>
      <c r="D1320" s="7" t="s">
        <v>4456</v>
      </c>
      <c r="E1320" s="8" t="s">
        <v>4454</v>
      </c>
    </row>
    <row r="1321" spans="1:5" x14ac:dyDescent="0.25">
      <c r="A1321" s="5" t="s">
        <v>3262</v>
      </c>
      <c r="B1321" s="6" t="s">
        <v>4033</v>
      </c>
      <c r="C1321" s="7" t="s">
        <v>24</v>
      </c>
      <c r="D1321" s="7" t="s">
        <v>4456</v>
      </c>
      <c r="E1321" s="8" t="s">
        <v>4454</v>
      </c>
    </row>
    <row r="1322" spans="1:5" x14ac:dyDescent="0.25">
      <c r="A1322" s="12" t="s">
        <v>3260</v>
      </c>
      <c r="B1322" s="6" t="s">
        <v>4031</v>
      </c>
      <c r="C1322" s="13" t="s">
        <v>24</v>
      </c>
      <c r="D1322" s="13" t="s">
        <v>4456</v>
      </c>
      <c r="E1322" s="8" t="s">
        <v>4454</v>
      </c>
    </row>
    <row r="1323" spans="1:5" x14ac:dyDescent="0.25">
      <c r="A1323" s="5" t="s">
        <v>3247</v>
      </c>
      <c r="B1323" s="6" t="s">
        <v>4018</v>
      </c>
      <c r="C1323" s="7" t="s">
        <v>24</v>
      </c>
      <c r="D1323" s="7" t="s">
        <v>4456</v>
      </c>
      <c r="E1323" s="8" t="s">
        <v>4454</v>
      </c>
    </row>
    <row r="1324" spans="1:5" x14ac:dyDescent="0.25">
      <c r="A1324" s="5" t="s">
        <v>3264</v>
      </c>
      <c r="B1324" s="6" t="s">
        <v>4035</v>
      </c>
      <c r="C1324" s="7" t="s">
        <v>24</v>
      </c>
      <c r="D1324" s="7" t="s">
        <v>4456</v>
      </c>
      <c r="E1324" s="8" t="s">
        <v>4454</v>
      </c>
    </row>
    <row r="1325" spans="1:5" x14ac:dyDescent="0.25">
      <c r="A1325" s="5" t="s">
        <v>3250</v>
      </c>
      <c r="B1325" s="6" t="s">
        <v>4021</v>
      </c>
      <c r="C1325" s="7" t="s">
        <v>24</v>
      </c>
      <c r="D1325" s="7" t="s">
        <v>4456</v>
      </c>
      <c r="E1325" s="8" t="s">
        <v>4454</v>
      </c>
    </row>
    <row r="1326" spans="1:5" x14ac:dyDescent="0.25">
      <c r="A1326" s="5" t="s">
        <v>3272</v>
      </c>
      <c r="B1326" s="6" t="s">
        <v>4043</v>
      </c>
      <c r="C1326" s="7" t="s">
        <v>24</v>
      </c>
      <c r="D1326" s="7" t="s">
        <v>4456</v>
      </c>
      <c r="E1326" s="8" t="s">
        <v>4454</v>
      </c>
    </row>
    <row r="1327" spans="1:5" x14ac:dyDescent="0.25">
      <c r="A1327" s="5" t="s">
        <v>3249</v>
      </c>
      <c r="B1327" s="6" t="s">
        <v>4020</v>
      </c>
      <c r="C1327" s="7" t="s">
        <v>24</v>
      </c>
      <c r="D1327" s="7" t="s">
        <v>4456</v>
      </c>
      <c r="E1327" s="8" t="s">
        <v>4454</v>
      </c>
    </row>
    <row r="1328" spans="1:5" x14ac:dyDescent="0.25">
      <c r="A1328" s="5" t="s">
        <v>3257</v>
      </c>
      <c r="B1328" s="6" t="s">
        <v>4028</v>
      </c>
      <c r="C1328" s="7" t="s">
        <v>24</v>
      </c>
      <c r="D1328" s="7" t="s">
        <v>4456</v>
      </c>
      <c r="E1328" s="8" t="s">
        <v>4454</v>
      </c>
    </row>
    <row r="1329" spans="1:5 1847:16382" x14ac:dyDescent="0.25">
      <c r="A1329" s="12" t="s">
        <v>3251</v>
      </c>
      <c r="B1329" s="6" t="s">
        <v>4022</v>
      </c>
      <c r="C1329" s="13" t="s">
        <v>24</v>
      </c>
      <c r="D1329" s="13" t="s">
        <v>4456</v>
      </c>
      <c r="E1329" s="8" t="s">
        <v>4454</v>
      </c>
    </row>
    <row r="1330" spans="1:5 1847:16382" x14ac:dyDescent="0.25">
      <c r="A1330" s="5" t="s">
        <v>3248</v>
      </c>
      <c r="B1330" s="6" t="s">
        <v>4019</v>
      </c>
      <c r="C1330" s="7" t="s">
        <v>24</v>
      </c>
      <c r="D1330" s="7" t="s">
        <v>4456</v>
      </c>
      <c r="E1330" s="8" t="s">
        <v>4454</v>
      </c>
    </row>
    <row r="1331" spans="1:5 1847:16382" x14ac:dyDescent="0.25">
      <c r="A1331" s="5" t="s">
        <v>3255</v>
      </c>
      <c r="B1331" s="6" t="s">
        <v>4026</v>
      </c>
      <c r="C1331" s="7" t="s">
        <v>24</v>
      </c>
      <c r="D1331" s="7" t="s">
        <v>4456</v>
      </c>
      <c r="E1331" s="8" t="s">
        <v>4454</v>
      </c>
      <c r="BSA1331" s="4" t="s">
        <v>2875</v>
      </c>
      <c r="BSB1331" s="4" t="s">
        <v>2875</v>
      </c>
      <c r="BSC1331" s="4" t="s">
        <v>2875</v>
      </c>
      <c r="BSD1331" s="4" t="s">
        <v>2875</v>
      </c>
      <c r="BSE1331" s="4" t="s">
        <v>2875</v>
      </c>
      <c r="BSF1331" s="4" t="s">
        <v>2875</v>
      </c>
      <c r="BSG1331" s="4" t="s">
        <v>2875</v>
      </c>
      <c r="BSH1331" s="4" t="s">
        <v>2875</v>
      </c>
      <c r="BSI1331" s="4" t="s">
        <v>2875</v>
      </c>
      <c r="BSJ1331" s="4" t="s">
        <v>2875</v>
      </c>
      <c r="BSK1331" s="4" t="s">
        <v>2875</v>
      </c>
      <c r="BSL1331" s="4" t="s">
        <v>2875</v>
      </c>
      <c r="BSM1331" s="4" t="s">
        <v>2875</v>
      </c>
      <c r="BSN1331" s="4" t="s">
        <v>2875</v>
      </c>
      <c r="BSO1331" s="4" t="s">
        <v>2875</v>
      </c>
      <c r="BSP1331" s="4" t="s">
        <v>2875</v>
      </c>
      <c r="BSQ1331" s="4" t="s">
        <v>2875</v>
      </c>
      <c r="BSR1331" s="4" t="s">
        <v>2875</v>
      </c>
      <c r="BSS1331" s="4" t="s">
        <v>2875</v>
      </c>
      <c r="BST1331" s="4" t="s">
        <v>2875</v>
      </c>
      <c r="BSU1331" s="4" t="s">
        <v>2875</v>
      </c>
      <c r="BSV1331" s="4" t="s">
        <v>2875</v>
      </c>
      <c r="BSW1331" s="4" t="s">
        <v>2875</v>
      </c>
      <c r="BSX1331" s="4" t="s">
        <v>2875</v>
      </c>
      <c r="BSY1331" s="4" t="s">
        <v>2875</v>
      </c>
      <c r="BSZ1331" s="4" t="s">
        <v>2875</v>
      </c>
      <c r="BTA1331" s="4" t="s">
        <v>2875</v>
      </c>
      <c r="BTB1331" s="4" t="s">
        <v>2875</v>
      </c>
      <c r="BTC1331" s="4" t="s">
        <v>2875</v>
      </c>
      <c r="BTD1331" s="4" t="s">
        <v>2875</v>
      </c>
      <c r="BTE1331" s="4" t="s">
        <v>2875</v>
      </c>
      <c r="BTF1331" s="4" t="s">
        <v>2875</v>
      </c>
      <c r="BTG1331" s="4" t="s">
        <v>2875</v>
      </c>
      <c r="BTH1331" s="4" t="s">
        <v>2875</v>
      </c>
      <c r="BTI1331" s="4" t="s">
        <v>2875</v>
      </c>
      <c r="BTJ1331" s="4" t="s">
        <v>2875</v>
      </c>
      <c r="BTK1331" s="4" t="s">
        <v>2875</v>
      </c>
      <c r="BTL1331" s="4" t="s">
        <v>2875</v>
      </c>
      <c r="BTM1331" s="4" t="s">
        <v>2875</v>
      </c>
      <c r="BTN1331" s="4" t="s">
        <v>2875</v>
      </c>
      <c r="BTO1331" s="4" t="s">
        <v>2875</v>
      </c>
      <c r="BTP1331" s="4" t="s">
        <v>2875</v>
      </c>
      <c r="BTQ1331" s="4" t="s">
        <v>2875</v>
      </c>
      <c r="BTR1331" s="4" t="s">
        <v>2875</v>
      </c>
      <c r="BTS1331" s="4" t="s">
        <v>2875</v>
      </c>
      <c r="BTT1331" s="4" t="s">
        <v>2875</v>
      </c>
      <c r="BTU1331" s="4" t="s">
        <v>2875</v>
      </c>
      <c r="BTV1331" s="4" t="s">
        <v>2875</v>
      </c>
      <c r="BTW1331" s="4" t="s">
        <v>2875</v>
      </c>
      <c r="BTX1331" s="4" t="s">
        <v>2875</v>
      </c>
      <c r="BTY1331" s="4" t="s">
        <v>2875</v>
      </c>
      <c r="BTZ1331" s="4" t="s">
        <v>2875</v>
      </c>
      <c r="BUA1331" s="4" t="s">
        <v>2875</v>
      </c>
      <c r="BUB1331" s="4" t="s">
        <v>2875</v>
      </c>
      <c r="BUC1331" s="4" t="s">
        <v>2875</v>
      </c>
      <c r="BUD1331" s="4" t="s">
        <v>2875</v>
      </c>
      <c r="BUE1331" s="4" t="s">
        <v>2875</v>
      </c>
      <c r="BUF1331" s="4" t="s">
        <v>2875</v>
      </c>
      <c r="BUG1331" s="4" t="s">
        <v>2875</v>
      </c>
      <c r="BUH1331" s="4" t="s">
        <v>2875</v>
      </c>
      <c r="BUI1331" s="4" t="s">
        <v>2875</v>
      </c>
      <c r="BUJ1331" s="4" t="s">
        <v>2875</v>
      </c>
      <c r="BUK1331" s="4" t="s">
        <v>2875</v>
      </c>
      <c r="BUL1331" s="4" t="s">
        <v>2875</v>
      </c>
      <c r="BUM1331" s="4" t="s">
        <v>2875</v>
      </c>
      <c r="BUN1331" s="4" t="s">
        <v>2875</v>
      </c>
      <c r="BUO1331" s="4" t="s">
        <v>2875</v>
      </c>
      <c r="BUP1331" s="4" t="s">
        <v>2875</v>
      </c>
      <c r="BUQ1331" s="4" t="s">
        <v>2875</v>
      </c>
      <c r="BUR1331" s="4" t="s">
        <v>2875</v>
      </c>
      <c r="BUS1331" s="4" t="s">
        <v>2875</v>
      </c>
      <c r="BUT1331" s="4" t="s">
        <v>2875</v>
      </c>
      <c r="BUU1331" s="4" t="s">
        <v>2875</v>
      </c>
      <c r="BUV1331" s="4" t="s">
        <v>2875</v>
      </c>
      <c r="BUW1331" s="4" t="s">
        <v>2875</v>
      </c>
      <c r="BUX1331" s="4" t="s">
        <v>2875</v>
      </c>
      <c r="BUY1331" s="4" t="s">
        <v>2875</v>
      </c>
      <c r="BUZ1331" s="4" t="s">
        <v>2875</v>
      </c>
      <c r="BVA1331" s="4" t="s">
        <v>2875</v>
      </c>
      <c r="BVB1331" s="4" t="s">
        <v>2875</v>
      </c>
      <c r="BVC1331" s="4" t="s">
        <v>2875</v>
      </c>
      <c r="BVD1331" s="4" t="s">
        <v>2875</v>
      </c>
      <c r="BVE1331" s="4" t="s">
        <v>2875</v>
      </c>
      <c r="BVF1331" s="4" t="s">
        <v>2875</v>
      </c>
      <c r="BVG1331" s="4" t="s">
        <v>2875</v>
      </c>
      <c r="BVH1331" s="4" t="s">
        <v>2875</v>
      </c>
      <c r="BVI1331" s="4" t="s">
        <v>2875</v>
      </c>
      <c r="BVJ1331" s="4" t="s">
        <v>2875</v>
      </c>
      <c r="BVK1331" s="4" t="s">
        <v>2875</v>
      </c>
      <c r="BVL1331" s="4" t="s">
        <v>2875</v>
      </c>
      <c r="BVM1331" s="4" t="s">
        <v>2875</v>
      </c>
      <c r="BVN1331" s="4" t="s">
        <v>2875</v>
      </c>
      <c r="BVO1331" s="4" t="s">
        <v>2875</v>
      </c>
      <c r="BVP1331" s="4" t="s">
        <v>2875</v>
      </c>
      <c r="BVQ1331" s="4" t="s">
        <v>2875</v>
      </c>
      <c r="BVR1331" s="4" t="s">
        <v>2875</v>
      </c>
      <c r="BVS1331" s="4" t="s">
        <v>2875</v>
      </c>
      <c r="BVT1331" s="4" t="s">
        <v>2875</v>
      </c>
      <c r="BVU1331" s="4" t="s">
        <v>2875</v>
      </c>
      <c r="BVV1331" s="4" t="s">
        <v>2875</v>
      </c>
      <c r="BVW1331" s="4" t="s">
        <v>2875</v>
      </c>
      <c r="BVX1331" s="4" t="s">
        <v>2875</v>
      </c>
      <c r="BVY1331" s="4" t="s">
        <v>2875</v>
      </c>
      <c r="BVZ1331" s="4" t="s">
        <v>2875</v>
      </c>
      <c r="BWA1331" s="4" t="s">
        <v>2875</v>
      </c>
      <c r="BWB1331" s="4" t="s">
        <v>2875</v>
      </c>
      <c r="BWC1331" s="4" t="s">
        <v>2875</v>
      </c>
      <c r="BWD1331" s="4" t="s">
        <v>2875</v>
      </c>
      <c r="BWE1331" s="4" t="s">
        <v>2875</v>
      </c>
      <c r="BWF1331" s="4" t="s">
        <v>2875</v>
      </c>
      <c r="BWG1331" s="4" t="s">
        <v>2875</v>
      </c>
      <c r="BWH1331" s="4" t="s">
        <v>2875</v>
      </c>
      <c r="BWI1331" s="4" t="s">
        <v>2875</v>
      </c>
      <c r="BWJ1331" s="4" t="s">
        <v>2875</v>
      </c>
      <c r="BWK1331" s="4" t="s">
        <v>2875</v>
      </c>
      <c r="BWL1331" s="4" t="s">
        <v>2875</v>
      </c>
      <c r="BWM1331" s="4" t="s">
        <v>2875</v>
      </c>
      <c r="BWN1331" s="4" t="s">
        <v>2875</v>
      </c>
      <c r="BWO1331" s="4" t="s">
        <v>2875</v>
      </c>
      <c r="BWP1331" s="4" t="s">
        <v>2875</v>
      </c>
      <c r="BWQ1331" s="4" t="s">
        <v>2875</v>
      </c>
      <c r="BWR1331" s="4" t="s">
        <v>2875</v>
      </c>
      <c r="BWS1331" s="4" t="s">
        <v>2875</v>
      </c>
      <c r="BWT1331" s="4" t="s">
        <v>2875</v>
      </c>
      <c r="BWU1331" s="4" t="s">
        <v>2875</v>
      </c>
      <c r="BWV1331" s="4" t="s">
        <v>2875</v>
      </c>
      <c r="BWW1331" s="4" t="s">
        <v>2875</v>
      </c>
      <c r="BWX1331" s="4" t="s">
        <v>2875</v>
      </c>
      <c r="BWY1331" s="4" t="s">
        <v>2875</v>
      </c>
      <c r="BWZ1331" s="4" t="s">
        <v>2875</v>
      </c>
      <c r="BXA1331" s="4" t="s">
        <v>2875</v>
      </c>
      <c r="BXB1331" s="4" t="s">
        <v>2875</v>
      </c>
      <c r="BXC1331" s="4" t="s">
        <v>2875</v>
      </c>
      <c r="BXD1331" s="4" t="s">
        <v>2875</v>
      </c>
      <c r="BXE1331" s="4" t="s">
        <v>2875</v>
      </c>
      <c r="BXF1331" s="4" t="s">
        <v>2875</v>
      </c>
      <c r="BXG1331" s="4" t="s">
        <v>2875</v>
      </c>
      <c r="BXH1331" s="4" t="s">
        <v>2875</v>
      </c>
      <c r="BXI1331" s="4" t="s">
        <v>2875</v>
      </c>
      <c r="BXJ1331" s="4" t="s">
        <v>2875</v>
      </c>
      <c r="BXK1331" s="4" t="s">
        <v>2875</v>
      </c>
      <c r="BXL1331" s="4" t="s">
        <v>2875</v>
      </c>
      <c r="BXM1331" s="4" t="s">
        <v>2875</v>
      </c>
      <c r="BXN1331" s="4" t="s">
        <v>2875</v>
      </c>
      <c r="BXO1331" s="4" t="s">
        <v>2875</v>
      </c>
      <c r="BXP1331" s="4" t="s">
        <v>2875</v>
      </c>
      <c r="BXQ1331" s="4" t="s">
        <v>2875</v>
      </c>
      <c r="BXR1331" s="4" t="s">
        <v>2875</v>
      </c>
      <c r="BXS1331" s="4" t="s">
        <v>2875</v>
      </c>
      <c r="BXT1331" s="4" t="s">
        <v>2875</v>
      </c>
      <c r="BXU1331" s="4" t="s">
        <v>2875</v>
      </c>
      <c r="BXV1331" s="4" t="s">
        <v>2875</v>
      </c>
      <c r="BXW1331" s="4" t="s">
        <v>2875</v>
      </c>
      <c r="BXX1331" s="4" t="s">
        <v>2875</v>
      </c>
      <c r="BXY1331" s="4" t="s">
        <v>2875</v>
      </c>
      <c r="BXZ1331" s="4" t="s">
        <v>2875</v>
      </c>
      <c r="BYA1331" s="4" t="s">
        <v>2875</v>
      </c>
      <c r="BYB1331" s="4" t="s">
        <v>2875</v>
      </c>
      <c r="BYC1331" s="4" t="s">
        <v>2875</v>
      </c>
      <c r="BYD1331" s="4" t="s">
        <v>2875</v>
      </c>
      <c r="BYE1331" s="4" t="s">
        <v>2875</v>
      </c>
      <c r="BYF1331" s="4" t="s">
        <v>2875</v>
      </c>
      <c r="BYG1331" s="4" t="s">
        <v>2875</v>
      </c>
      <c r="BYH1331" s="4" t="s">
        <v>2875</v>
      </c>
      <c r="BYI1331" s="4" t="s">
        <v>2875</v>
      </c>
      <c r="BYJ1331" s="4" t="s">
        <v>2875</v>
      </c>
      <c r="BYK1331" s="4" t="s">
        <v>2875</v>
      </c>
      <c r="BYL1331" s="4" t="s">
        <v>2875</v>
      </c>
      <c r="BYM1331" s="4" t="s">
        <v>2875</v>
      </c>
      <c r="BYN1331" s="4" t="s">
        <v>2875</v>
      </c>
      <c r="BYO1331" s="4" t="s">
        <v>2875</v>
      </c>
      <c r="BYP1331" s="4" t="s">
        <v>2875</v>
      </c>
      <c r="BYQ1331" s="4" t="s">
        <v>2875</v>
      </c>
      <c r="BYR1331" s="4" t="s">
        <v>2875</v>
      </c>
      <c r="BYS1331" s="4" t="s">
        <v>2875</v>
      </c>
      <c r="BYT1331" s="4" t="s">
        <v>2875</v>
      </c>
      <c r="BYU1331" s="4" t="s">
        <v>2875</v>
      </c>
      <c r="BYV1331" s="4" t="s">
        <v>2875</v>
      </c>
      <c r="BYW1331" s="4" t="s">
        <v>2875</v>
      </c>
      <c r="BYX1331" s="4" t="s">
        <v>2875</v>
      </c>
      <c r="BYY1331" s="4" t="s">
        <v>2875</v>
      </c>
      <c r="BYZ1331" s="4" t="s">
        <v>2875</v>
      </c>
      <c r="BZA1331" s="4" t="s">
        <v>2875</v>
      </c>
      <c r="BZB1331" s="4" t="s">
        <v>2875</v>
      </c>
      <c r="BZC1331" s="4" t="s">
        <v>2875</v>
      </c>
      <c r="BZD1331" s="4" t="s">
        <v>2875</v>
      </c>
      <c r="BZE1331" s="4" t="s">
        <v>2875</v>
      </c>
      <c r="BZF1331" s="4" t="s">
        <v>2875</v>
      </c>
      <c r="BZG1331" s="4" t="s">
        <v>2875</v>
      </c>
      <c r="BZH1331" s="4" t="s">
        <v>2875</v>
      </c>
      <c r="BZI1331" s="4" t="s">
        <v>2875</v>
      </c>
      <c r="BZJ1331" s="4" t="s">
        <v>2875</v>
      </c>
      <c r="BZK1331" s="4" t="s">
        <v>2875</v>
      </c>
      <c r="BZL1331" s="4" t="s">
        <v>2875</v>
      </c>
      <c r="BZM1331" s="4" t="s">
        <v>2875</v>
      </c>
      <c r="BZN1331" s="4" t="s">
        <v>2875</v>
      </c>
      <c r="BZO1331" s="4" t="s">
        <v>2875</v>
      </c>
      <c r="BZP1331" s="4" t="s">
        <v>2875</v>
      </c>
      <c r="BZQ1331" s="4" t="s">
        <v>2875</v>
      </c>
      <c r="BZR1331" s="4" t="s">
        <v>2875</v>
      </c>
      <c r="BZS1331" s="4" t="s">
        <v>2875</v>
      </c>
      <c r="BZT1331" s="4" t="s">
        <v>2875</v>
      </c>
      <c r="BZU1331" s="4" t="s">
        <v>2875</v>
      </c>
      <c r="BZV1331" s="4" t="s">
        <v>2875</v>
      </c>
      <c r="BZW1331" s="4" t="s">
        <v>2875</v>
      </c>
      <c r="BZX1331" s="4" t="s">
        <v>2875</v>
      </c>
      <c r="BZY1331" s="4" t="s">
        <v>2875</v>
      </c>
      <c r="BZZ1331" s="4" t="s">
        <v>2875</v>
      </c>
      <c r="CAA1331" s="4" t="s">
        <v>2875</v>
      </c>
      <c r="CAB1331" s="4" t="s">
        <v>2875</v>
      </c>
      <c r="CAC1331" s="4" t="s">
        <v>2875</v>
      </c>
      <c r="CAD1331" s="4" t="s">
        <v>2875</v>
      </c>
      <c r="CAE1331" s="4" t="s">
        <v>2875</v>
      </c>
      <c r="CAF1331" s="4" t="s">
        <v>2875</v>
      </c>
      <c r="CAG1331" s="4" t="s">
        <v>2875</v>
      </c>
      <c r="CAH1331" s="4" t="s">
        <v>2875</v>
      </c>
      <c r="CAI1331" s="4" t="s">
        <v>2875</v>
      </c>
      <c r="CAJ1331" s="4" t="s">
        <v>2875</v>
      </c>
      <c r="CAK1331" s="4" t="s">
        <v>2875</v>
      </c>
      <c r="CAL1331" s="4" t="s">
        <v>2875</v>
      </c>
      <c r="CAM1331" s="4" t="s">
        <v>2875</v>
      </c>
      <c r="CAN1331" s="4" t="s">
        <v>2875</v>
      </c>
      <c r="CAO1331" s="4" t="s">
        <v>2875</v>
      </c>
      <c r="CAP1331" s="4" t="s">
        <v>2875</v>
      </c>
      <c r="CAQ1331" s="4" t="s">
        <v>2875</v>
      </c>
      <c r="CAR1331" s="4" t="s">
        <v>2875</v>
      </c>
      <c r="CAS1331" s="4" t="s">
        <v>2875</v>
      </c>
      <c r="CAT1331" s="4" t="s">
        <v>2875</v>
      </c>
      <c r="CAU1331" s="4" t="s">
        <v>2875</v>
      </c>
      <c r="CAV1331" s="4" t="s">
        <v>2875</v>
      </c>
      <c r="CAW1331" s="4" t="s">
        <v>2875</v>
      </c>
      <c r="CAX1331" s="4" t="s">
        <v>2875</v>
      </c>
      <c r="CAY1331" s="4" t="s">
        <v>2875</v>
      </c>
      <c r="CAZ1331" s="4" t="s">
        <v>2875</v>
      </c>
      <c r="CBA1331" s="4" t="s">
        <v>2875</v>
      </c>
      <c r="CBB1331" s="4" t="s">
        <v>2875</v>
      </c>
      <c r="CBC1331" s="4" t="s">
        <v>2875</v>
      </c>
      <c r="CBD1331" s="4" t="s">
        <v>2875</v>
      </c>
      <c r="CBE1331" s="4" t="s">
        <v>2875</v>
      </c>
      <c r="CBF1331" s="4" t="s">
        <v>2875</v>
      </c>
      <c r="CBG1331" s="4" t="s">
        <v>2875</v>
      </c>
      <c r="CBH1331" s="4" t="s">
        <v>2875</v>
      </c>
      <c r="CBI1331" s="4" t="s">
        <v>2875</v>
      </c>
      <c r="CBJ1331" s="4" t="s">
        <v>2875</v>
      </c>
      <c r="CBK1331" s="4" t="s">
        <v>2875</v>
      </c>
      <c r="CBL1331" s="4" t="s">
        <v>2875</v>
      </c>
      <c r="CBM1331" s="4" t="s">
        <v>2875</v>
      </c>
      <c r="CBN1331" s="4" t="s">
        <v>2875</v>
      </c>
      <c r="CBO1331" s="4" t="s">
        <v>2875</v>
      </c>
      <c r="CBP1331" s="4" t="s">
        <v>2875</v>
      </c>
      <c r="CBQ1331" s="4" t="s">
        <v>2875</v>
      </c>
      <c r="CBR1331" s="4" t="s">
        <v>2875</v>
      </c>
      <c r="CBS1331" s="4" t="s">
        <v>2875</v>
      </c>
      <c r="CBT1331" s="4" t="s">
        <v>2875</v>
      </c>
      <c r="CBU1331" s="4" t="s">
        <v>2875</v>
      </c>
      <c r="CBV1331" s="4" t="s">
        <v>2875</v>
      </c>
      <c r="CBW1331" s="4" t="s">
        <v>2875</v>
      </c>
      <c r="CBX1331" s="4" t="s">
        <v>2875</v>
      </c>
      <c r="CBY1331" s="4" t="s">
        <v>2875</v>
      </c>
      <c r="CBZ1331" s="4" t="s">
        <v>2875</v>
      </c>
      <c r="CCA1331" s="4" t="s">
        <v>2875</v>
      </c>
      <c r="CCB1331" s="4" t="s">
        <v>2875</v>
      </c>
      <c r="CCC1331" s="4" t="s">
        <v>2875</v>
      </c>
      <c r="CCD1331" s="4" t="s">
        <v>2875</v>
      </c>
      <c r="CCE1331" s="4" t="s">
        <v>2875</v>
      </c>
      <c r="CCF1331" s="4" t="s">
        <v>2875</v>
      </c>
      <c r="CCG1331" s="4" t="s">
        <v>2875</v>
      </c>
      <c r="CCH1331" s="4" t="s">
        <v>2875</v>
      </c>
      <c r="CCI1331" s="4" t="s">
        <v>2875</v>
      </c>
      <c r="CCJ1331" s="4" t="s">
        <v>2875</v>
      </c>
      <c r="CCK1331" s="4" t="s">
        <v>2875</v>
      </c>
      <c r="CCL1331" s="4" t="s">
        <v>2875</v>
      </c>
      <c r="CCM1331" s="4" t="s">
        <v>2875</v>
      </c>
      <c r="CCN1331" s="4" t="s">
        <v>2875</v>
      </c>
      <c r="CCO1331" s="4" t="s">
        <v>2875</v>
      </c>
      <c r="CCP1331" s="4" t="s">
        <v>2875</v>
      </c>
      <c r="CCQ1331" s="4" t="s">
        <v>2875</v>
      </c>
      <c r="CCR1331" s="4" t="s">
        <v>2875</v>
      </c>
      <c r="CCS1331" s="4" t="s">
        <v>2875</v>
      </c>
      <c r="CCT1331" s="4" t="s">
        <v>2875</v>
      </c>
      <c r="CCU1331" s="4" t="s">
        <v>2875</v>
      </c>
      <c r="CCV1331" s="4" t="s">
        <v>2875</v>
      </c>
      <c r="CCW1331" s="4" t="s">
        <v>2875</v>
      </c>
      <c r="CCX1331" s="4" t="s">
        <v>2875</v>
      </c>
      <c r="CCY1331" s="4" t="s">
        <v>2875</v>
      </c>
      <c r="CCZ1331" s="4" t="s">
        <v>2875</v>
      </c>
      <c r="CDA1331" s="4" t="s">
        <v>2875</v>
      </c>
      <c r="CDB1331" s="4" t="s">
        <v>2875</v>
      </c>
      <c r="CDC1331" s="4" t="s">
        <v>2875</v>
      </c>
      <c r="CDD1331" s="4" t="s">
        <v>2875</v>
      </c>
      <c r="CDE1331" s="4" t="s">
        <v>2875</v>
      </c>
      <c r="CDF1331" s="4" t="s">
        <v>2875</v>
      </c>
      <c r="CDG1331" s="4" t="s">
        <v>2875</v>
      </c>
      <c r="CDH1331" s="4" t="s">
        <v>2875</v>
      </c>
      <c r="CDI1331" s="4" t="s">
        <v>2875</v>
      </c>
      <c r="CDJ1331" s="4" t="s">
        <v>2875</v>
      </c>
      <c r="CDK1331" s="4" t="s">
        <v>2875</v>
      </c>
      <c r="CDL1331" s="4" t="s">
        <v>2875</v>
      </c>
      <c r="CDM1331" s="4" t="s">
        <v>2875</v>
      </c>
      <c r="CDN1331" s="4" t="s">
        <v>2875</v>
      </c>
      <c r="CDO1331" s="4" t="s">
        <v>2875</v>
      </c>
      <c r="CDP1331" s="4" t="s">
        <v>2875</v>
      </c>
      <c r="CDQ1331" s="4" t="s">
        <v>2875</v>
      </c>
      <c r="CDR1331" s="4" t="s">
        <v>2875</v>
      </c>
      <c r="CDS1331" s="4" t="s">
        <v>2875</v>
      </c>
      <c r="CDT1331" s="4" t="s">
        <v>2875</v>
      </c>
      <c r="CDU1331" s="4" t="s">
        <v>2875</v>
      </c>
      <c r="CDV1331" s="4" t="s">
        <v>2875</v>
      </c>
      <c r="CDW1331" s="4" t="s">
        <v>2875</v>
      </c>
      <c r="CDX1331" s="4" t="s">
        <v>2875</v>
      </c>
      <c r="CDY1331" s="4" t="s">
        <v>2875</v>
      </c>
      <c r="CDZ1331" s="4" t="s">
        <v>2875</v>
      </c>
      <c r="CEA1331" s="4" t="s">
        <v>2875</v>
      </c>
      <c r="CEB1331" s="4" t="s">
        <v>2875</v>
      </c>
      <c r="CEC1331" s="4" t="s">
        <v>2875</v>
      </c>
      <c r="CED1331" s="4" t="s">
        <v>2875</v>
      </c>
      <c r="CEE1331" s="4" t="s">
        <v>2875</v>
      </c>
      <c r="CEF1331" s="4" t="s">
        <v>2875</v>
      </c>
      <c r="CEG1331" s="4" t="s">
        <v>2875</v>
      </c>
      <c r="CEH1331" s="4" t="s">
        <v>2875</v>
      </c>
      <c r="CEI1331" s="4" t="s">
        <v>2875</v>
      </c>
      <c r="CEJ1331" s="4" t="s">
        <v>2875</v>
      </c>
      <c r="CEK1331" s="4" t="s">
        <v>2875</v>
      </c>
      <c r="CEL1331" s="4" t="s">
        <v>2875</v>
      </c>
      <c r="CEM1331" s="4" t="s">
        <v>2875</v>
      </c>
      <c r="CEN1331" s="4" t="s">
        <v>2875</v>
      </c>
      <c r="CEO1331" s="4" t="s">
        <v>2875</v>
      </c>
      <c r="CEP1331" s="4" t="s">
        <v>2875</v>
      </c>
      <c r="CEQ1331" s="4" t="s">
        <v>2875</v>
      </c>
      <c r="CER1331" s="4" t="s">
        <v>2875</v>
      </c>
      <c r="CES1331" s="4" t="s">
        <v>2875</v>
      </c>
      <c r="CET1331" s="4" t="s">
        <v>2875</v>
      </c>
      <c r="CEU1331" s="4" t="s">
        <v>2875</v>
      </c>
      <c r="CEV1331" s="4" t="s">
        <v>2875</v>
      </c>
      <c r="CEW1331" s="4" t="s">
        <v>2875</v>
      </c>
      <c r="CEX1331" s="4" t="s">
        <v>2875</v>
      </c>
      <c r="CEY1331" s="4" t="s">
        <v>2875</v>
      </c>
      <c r="CEZ1331" s="4" t="s">
        <v>2875</v>
      </c>
      <c r="CFA1331" s="4" t="s">
        <v>2875</v>
      </c>
      <c r="CFB1331" s="4" t="s">
        <v>2875</v>
      </c>
      <c r="CFC1331" s="4" t="s">
        <v>2875</v>
      </c>
      <c r="CFD1331" s="4" t="s">
        <v>2875</v>
      </c>
      <c r="CFE1331" s="4" t="s">
        <v>2875</v>
      </c>
      <c r="CFF1331" s="4" t="s">
        <v>2875</v>
      </c>
      <c r="CFG1331" s="4" t="s">
        <v>2875</v>
      </c>
      <c r="CFH1331" s="4" t="s">
        <v>2875</v>
      </c>
      <c r="CFI1331" s="4" t="s">
        <v>2875</v>
      </c>
      <c r="CFJ1331" s="4" t="s">
        <v>2875</v>
      </c>
      <c r="CFK1331" s="4" t="s">
        <v>2875</v>
      </c>
      <c r="CFL1331" s="4" t="s">
        <v>2875</v>
      </c>
      <c r="CFM1331" s="4" t="s">
        <v>2875</v>
      </c>
      <c r="CFN1331" s="4" t="s">
        <v>2875</v>
      </c>
      <c r="CFO1331" s="4" t="s">
        <v>2875</v>
      </c>
      <c r="CFP1331" s="4" t="s">
        <v>2875</v>
      </c>
      <c r="CFQ1331" s="4" t="s">
        <v>2875</v>
      </c>
      <c r="CFR1331" s="4" t="s">
        <v>2875</v>
      </c>
      <c r="CFS1331" s="4" t="s">
        <v>2875</v>
      </c>
      <c r="CFT1331" s="4" t="s">
        <v>2875</v>
      </c>
      <c r="CFU1331" s="4" t="s">
        <v>2875</v>
      </c>
      <c r="CFV1331" s="4" t="s">
        <v>2875</v>
      </c>
      <c r="CFW1331" s="4" t="s">
        <v>2875</v>
      </c>
      <c r="CFX1331" s="4" t="s">
        <v>2875</v>
      </c>
      <c r="CFY1331" s="4" t="s">
        <v>2875</v>
      </c>
      <c r="CFZ1331" s="4" t="s">
        <v>2875</v>
      </c>
      <c r="CGA1331" s="4" t="s">
        <v>2875</v>
      </c>
      <c r="CGB1331" s="4" t="s">
        <v>2875</v>
      </c>
      <c r="CGC1331" s="4" t="s">
        <v>2875</v>
      </c>
      <c r="CGD1331" s="4" t="s">
        <v>2875</v>
      </c>
      <c r="CGE1331" s="4" t="s">
        <v>2875</v>
      </c>
      <c r="CGF1331" s="4" t="s">
        <v>2875</v>
      </c>
      <c r="CGG1331" s="4" t="s">
        <v>2875</v>
      </c>
      <c r="CGH1331" s="4" t="s">
        <v>2875</v>
      </c>
      <c r="CGI1331" s="4" t="s">
        <v>2875</v>
      </c>
      <c r="CGJ1331" s="4" t="s">
        <v>2875</v>
      </c>
      <c r="CGK1331" s="4" t="s">
        <v>2875</v>
      </c>
      <c r="CGL1331" s="4" t="s">
        <v>2875</v>
      </c>
      <c r="CGM1331" s="4" t="s">
        <v>2875</v>
      </c>
      <c r="CGN1331" s="4" t="s">
        <v>2875</v>
      </c>
      <c r="CGO1331" s="4" t="s">
        <v>2875</v>
      </c>
      <c r="CGP1331" s="4" t="s">
        <v>2875</v>
      </c>
      <c r="CGQ1331" s="4" t="s">
        <v>2875</v>
      </c>
      <c r="CGR1331" s="4" t="s">
        <v>2875</v>
      </c>
      <c r="CGS1331" s="4" t="s">
        <v>2875</v>
      </c>
      <c r="CGT1331" s="4" t="s">
        <v>2875</v>
      </c>
      <c r="CGU1331" s="4" t="s">
        <v>2875</v>
      </c>
      <c r="CGV1331" s="4" t="s">
        <v>2875</v>
      </c>
      <c r="CGW1331" s="4" t="s">
        <v>2875</v>
      </c>
      <c r="CGX1331" s="4" t="s">
        <v>2875</v>
      </c>
      <c r="CGY1331" s="4" t="s">
        <v>2875</v>
      </c>
      <c r="CGZ1331" s="4" t="s">
        <v>2875</v>
      </c>
      <c r="CHA1331" s="4" t="s">
        <v>2875</v>
      </c>
      <c r="CHB1331" s="4" t="s">
        <v>2875</v>
      </c>
      <c r="CHC1331" s="4" t="s">
        <v>2875</v>
      </c>
      <c r="CHD1331" s="4" t="s">
        <v>2875</v>
      </c>
      <c r="CHE1331" s="4" t="s">
        <v>2875</v>
      </c>
      <c r="CHF1331" s="4" t="s">
        <v>2875</v>
      </c>
      <c r="CHG1331" s="4" t="s">
        <v>2875</v>
      </c>
      <c r="CHH1331" s="4" t="s">
        <v>2875</v>
      </c>
      <c r="CHI1331" s="4" t="s">
        <v>2875</v>
      </c>
      <c r="CHJ1331" s="4" t="s">
        <v>2875</v>
      </c>
      <c r="CHK1331" s="4" t="s">
        <v>2875</v>
      </c>
      <c r="CHL1331" s="4" t="s">
        <v>2875</v>
      </c>
      <c r="CHM1331" s="4" t="s">
        <v>2875</v>
      </c>
      <c r="CHN1331" s="4" t="s">
        <v>2875</v>
      </c>
      <c r="CHO1331" s="4" t="s">
        <v>2875</v>
      </c>
      <c r="CHP1331" s="4" t="s">
        <v>2875</v>
      </c>
      <c r="CHQ1331" s="4" t="s">
        <v>2875</v>
      </c>
      <c r="CHR1331" s="4" t="s">
        <v>2875</v>
      </c>
      <c r="CHS1331" s="4" t="s">
        <v>2875</v>
      </c>
      <c r="CHT1331" s="4" t="s">
        <v>2875</v>
      </c>
      <c r="CHU1331" s="4" t="s">
        <v>2875</v>
      </c>
      <c r="CHV1331" s="4" t="s">
        <v>2875</v>
      </c>
      <c r="CHW1331" s="4" t="s">
        <v>2875</v>
      </c>
      <c r="CHX1331" s="4" t="s">
        <v>2875</v>
      </c>
      <c r="CHY1331" s="4" t="s">
        <v>2875</v>
      </c>
      <c r="CHZ1331" s="4" t="s">
        <v>2875</v>
      </c>
      <c r="CIA1331" s="4" t="s">
        <v>2875</v>
      </c>
      <c r="CIB1331" s="4" t="s">
        <v>2875</v>
      </c>
      <c r="CIC1331" s="4" t="s">
        <v>2875</v>
      </c>
      <c r="CID1331" s="4" t="s">
        <v>2875</v>
      </c>
      <c r="CIE1331" s="4" t="s">
        <v>2875</v>
      </c>
      <c r="CIF1331" s="4" t="s">
        <v>2875</v>
      </c>
      <c r="CIG1331" s="4" t="s">
        <v>2875</v>
      </c>
      <c r="CIH1331" s="4" t="s">
        <v>2875</v>
      </c>
      <c r="CII1331" s="4" t="s">
        <v>2875</v>
      </c>
      <c r="CIJ1331" s="4" t="s">
        <v>2875</v>
      </c>
      <c r="CIK1331" s="4" t="s">
        <v>2875</v>
      </c>
      <c r="CIL1331" s="4" t="s">
        <v>2875</v>
      </c>
      <c r="CIM1331" s="4" t="s">
        <v>2875</v>
      </c>
      <c r="CIN1331" s="4" t="s">
        <v>2875</v>
      </c>
      <c r="CIO1331" s="4" t="s">
        <v>2875</v>
      </c>
      <c r="CIP1331" s="4" t="s">
        <v>2875</v>
      </c>
      <c r="CIQ1331" s="4" t="s">
        <v>2875</v>
      </c>
      <c r="CIR1331" s="4" t="s">
        <v>2875</v>
      </c>
      <c r="CIS1331" s="4" t="s">
        <v>2875</v>
      </c>
      <c r="CIT1331" s="4" t="s">
        <v>2875</v>
      </c>
      <c r="CIU1331" s="4" t="s">
        <v>2875</v>
      </c>
      <c r="CIV1331" s="4" t="s">
        <v>2875</v>
      </c>
      <c r="CIW1331" s="4" t="s">
        <v>2875</v>
      </c>
      <c r="CIX1331" s="4" t="s">
        <v>2875</v>
      </c>
      <c r="CIY1331" s="4" t="s">
        <v>2875</v>
      </c>
      <c r="CIZ1331" s="4" t="s">
        <v>2875</v>
      </c>
      <c r="CJA1331" s="4" t="s">
        <v>2875</v>
      </c>
      <c r="CJB1331" s="4" t="s">
        <v>2875</v>
      </c>
      <c r="CJC1331" s="4" t="s">
        <v>2875</v>
      </c>
      <c r="CJD1331" s="4" t="s">
        <v>2875</v>
      </c>
      <c r="CJE1331" s="4" t="s">
        <v>2875</v>
      </c>
      <c r="CJF1331" s="4" t="s">
        <v>2875</v>
      </c>
      <c r="CJG1331" s="4" t="s">
        <v>2875</v>
      </c>
      <c r="CJH1331" s="4" t="s">
        <v>2875</v>
      </c>
      <c r="CJI1331" s="4" t="s">
        <v>2875</v>
      </c>
      <c r="CJJ1331" s="4" t="s">
        <v>2875</v>
      </c>
      <c r="CJK1331" s="4" t="s">
        <v>2875</v>
      </c>
      <c r="CJL1331" s="4" t="s">
        <v>2875</v>
      </c>
      <c r="CJM1331" s="4" t="s">
        <v>2875</v>
      </c>
      <c r="CJN1331" s="4" t="s">
        <v>2875</v>
      </c>
      <c r="CJO1331" s="4" t="s">
        <v>2875</v>
      </c>
      <c r="CJP1331" s="4" t="s">
        <v>2875</v>
      </c>
      <c r="CJQ1331" s="4" t="s">
        <v>2875</v>
      </c>
      <c r="CJR1331" s="4" t="s">
        <v>2875</v>
      </c>
      <c r="CJS1331" s="4" t="s">
        <v>2875</v>
      </c>
      <c r="CJT1331" s="4" t="s">
        <v>2875</v>
      </c>
      <c r="CJU1331" s="4" t="s">
        <v>2875</v>
      </c>
      <c r="CJV1331" s="4" t="s">
        <v>2875</v>
      </c>
      <c r="CJW1331" s="4" t="s">
        <v>2875</v>
      </c>
      <c r="CJX1331" s="4" t="s">
        <v>2875</v>
      </c>
      <c r="CJY1331" s="4" t="s">
        <v>2875</v>
      </c>
      <c r="CJZ1331" s="4" t="s">
        <v>2875</v>
      </c>
      <c r="CKA1331" s="4" t="s">
        <v>2875</v>
      </c>
      <c r="CKB1331" s="4" t="s">
        <v>2875</v>
      </c>
      <c r="CKC1331" s="4" t="s">
        <v>2875</v>
      </c>
      <c r="CKD1331" s="4" t="s">
        <v>2875</v>
      </c>
      <c r="CKE1331" s="4" t="s">
        <v>2875</v>
      </c>
      <c r="CKF1331" s="4" t="s">
        <v>2875</v>
      </c>
      <c r="CKG1331" s="4" t="s">
        <v>2875</v>
      </c>
      <c r="CKH1331" s="4" t="s">
        <v>2875</v>
      </c>
      <c r="CKI1331" s="4" t="s">
        <v>2875</v>
      </c>
      <c r="CKJ1331" s="4" t="s">
        <v>2875</v>
      </c>
      <c r="CKK1331" s="4" t="s">
        <v>2875</v>
      </c>
      <c r="CKL1331" s="4" t="s">
        <v>2875</v>
      </c>
      <c r="CKM1331" s="4" t="s">
        <v>2875</v>
      </c>
      <c r="CKN1331" s="4" t="s">
        <v>2875</v>
      </c>
      <c r="CKO1331" s="4" t="s">
        <v>2875</v>
      </c>
      <c r="CKP1331" s="4" t="s">
        <v>2875</v>
      </c>
      <c r="CKQ1331" s="4" t="s">
        <v>2875</v>
      </c>
      <c r="CKR1331" s="4" t="s">
        <v>2875</v>
      </c>
      <c r="CKS1331" s="4" t="s">
        <v>2875</v>
      </c>
      <c r="CKT1331" s="4" t="s">
        <v>2875</v>
      </c>
      <c r="CKU1331" s="4" t="s">
        <v>2875</v>
      </c>
      <c r="CKV1331" s="4" t="s">
        <v>2875</v>
      </c>
      <c r="CKW1331" s="4" t="s">
        <v>2875</v>
      </c>
      <c r="CKX1331" s="4" t="s">
        <v>2875</v>
      </c>
      <c r="CKY1331" s="4" t="s">
        <v>2875</v>
      </c>
      <c r="CKZ1331" s="4" t="s">
        <v>2875</v>
      </c>
      <c r="CLA1331" s="4" t="s">
        <v>2875</v>
      </c>
      <c r="CLB1331" s="4" t="s">
        <v>2875</v>
      </c>
      <c r="CLC1331" s="4" t="s">
        <v>2875</v>
      </c>
      <c r="CLD1331" s="4" t="s">
        <v>2875</v>
      </c>
      <c r="CLE1331" s="4" t="s">
        <v>2875</v>
      </c>
      <c r="CLF1331" s="4" t="s">
        <v>2875</v>
      </c>
      <c r="CLG1331" s="4" t="s">
        <v>2875</v>
      </c>
      <c r="CLH1331" s="4" t="s">
        <v>2875</v>
      </c>
      <c r="CLI1331" s="4" t="s">
        <v>2875</v>
      </c>
      <c r="CLJ1331" s="4" t="s">
        <v>2875</v>
      </c>
      <c r="CLK1331" s="4" t="s">
        <v>2875</v>
      </c>
      <c r="CLL1331" s="4" t="s">
        <v>2875</v>
      </c>
      <c r="CLM1331" s="4" t="s">
        <v>2875</v>
      </c>
      <c r="CLN1331" s="4" t="s">
        <v>2875</v>
      </c>
      <c r="CLO1331" s="4" t="s">
        <v>2875</v>
      </c>
      <c r="CLP1331" s="4" t="s">
        <v>2875</v>
      </c>
      <c r="CLQ1331" s="4" t="s">
        <v>2875</v>
      </c>
      <c r="CLR1331" s="4" t="s">
        <v>2875</v>
      </c>
      <c r="CLS1331" s="4" t="s">
        <v>2875</v>
      </c>
      <c r="CLT1331" s="4" t="s">
        <v>2875</v>
      </c>
      <c r="CLU1331" s="4" t="s">
        <v>2875</v>
      </c>
      <c r="CLV1331" s="4" t="s">
        <v>2875</v>
      </c>
      <c r="CLW1331" s="4" t="s">
        <v>2875</v>
      </c>
      <c r="CLX1331" s="4" t="s">
        <v>2875</v>
      </c>
      <c r="CLY1331" s="4" t="s">
        <v>2875</v>
      </c>
      <c r="CLZ1331" s="4" t="s">
        <v>2875</v>
      </c>
      <c r="CMA1331" s="4" t="s">
        <v>2875</v>
      </c>
      <c r="CMB1331" s="4" t="s">
        <v>2875</v>
      </c>
      <c r="CMC1331" s="4" t="s">
        <v>2875</v>
      </c>
      <c r="CMD1331" s="4" t="s">
        <v>2875</v>
      </c>
      <c r="CME1331" s="4" t="s">
        <v>2875</v>
      </c>
      <c r="CMF1331" s="4" t="s">
        <v>2875</v>
      </c>
      <c r="CMG1331" s="4" t="s">
        <v>2875</v>
      </c>
      <c r="CMH1331" s="4" t="s">
        <v>2875</v>
      </c>
      <c r="CMI1331" s="4" t="s">
        <v>2875</v>
      </c>
      <c r="CMJ1331" s="4" t="s">
        <v>2875</v>
      </c>
      <c r="CMK1331" s="4" t="s">
        <v>2875</v>
      </c>
      <c r="CML1331" s="4" t="s">
        <v>2875</v>
      </c>
      <c r="CMM1331" s="4" t="s">
        <v>2875</v>
      </c>
      <c r="CMN1331" s="4" t="s">
        <v>2875</v>
      </c>
      <c r="CMO1331" s="4" t="s">
        <v>2875</v>
      </c>
      <c r="CMP1331" s="4" t="s">
        <v>2875</v>
      </c>
      <c r="CMQ1331" s="4" t="s">
        <v>2875</v>
      </c>
      <c r="CMR1331" s="4" t="s">
        <v>2875</v>
      </c>
      <c r="CMS1331" s="4" t="s">
        <v>2875</v>
      </c>
      <c r="CMT1331" s="4" t="s">
        <v>2875</v>
      </c>
      <c r="CMU1331" s="4" t="s">
        <v>2875</v>
      </c>
      <c r="CMV1331" s="4" t="s">
        <v>2875</v>
      </c>
      <c r="CMW1331" s="4" t="s">
        <v>2875</v>
      </c>
      <c r="CMX1331" s="4" t="s">
        <v>2875</v>
      </c>
      <c r="CMY1331" s="4" t="s">
        <v>2875</v>
      </c>
      <c r="CMZ1331" s="4" t="s">
        <v>2875</v>
      </c>
      <c r="CNA1331" s="4" t="s">
        <v>2875</v>
      </c>
      <c r="CNB1331" s="4" t="s">
        <v>2875</v>
      </c>
      <c r="CNC1331" s="4" t="s">
        <v>2875</v>
      </c>
      <c r="CND1331" s="4" t="s">
        <v>2875</v>
      </c>
      <c r="CNE1331" s="4" t="s">
        <v>2875</v>
      </c>
      <c r="CNF1331" s="4" t="s">
        <v>2875</v>
      </c>
      <c r="CNG1331" s="4" t="s">
        <v>2875</v>
      </c>
      <c r="CNH1331" s="4" t="s">
        <v>2875</v>
      </c>
      <c r="CNI1331" s="4" t="s">
        <v>2875</v>
      </c>
      <c r="CNJ1331" s="4" t="s">
        <v>2875</v>
      </c>
      <c r="CNK1331" s="4" t="s">
        <v>2875</v>
      </c>
      <c r="CNL1331" s="4" t="s">
        <v>2875</v>
      </c>
      <c r="CNM1331" s="4" t="s">
        <v>2875</v>
      </c>
      <c r="CNN1331" s="4" t="s">
        <v>2875</v>
      </c>
      <c r="CNO1331" s="4" t="s">
        <v>2875</v>
      </c>
      <c r="CNP1331" s="4" t="s">
        <v>2875</v>
      </c>
      <c r="CNQ1331" s="4" t="s">
        <v>2875</v>
      </c>
      <c r="CNR1331" s="4" t="s">
        <v>2875</v>
      </c>
      <c r="CNS1331" s="4" t="s">
        <v>2875</v>
      </c>
      <c r="CNT1331" s="4" t="s">
        <v>2875</v>
      </c>
      <c r="CNU1331" s="4" t="s">
        <v>2875</v>
      </c>
      <c r="CNV1331" s="4" t="s">
        <v>2875</v>
      </c>
      <c r="CNW1331" s="4" t="s">
        <v>2875</v>
      </c>
      <c r="CNX1331" s="4" t="s">
        <v>2875</v>
      </c>
      <c r="CNY1331" s="4" t="s">
        <v>2875</v>
      </c>
      <c r="CNZ1331" s="4" t="s">
        <v>2875</v>
      </c>
      <c r="COA1331" s="4" t="s">
        <v>2875</v>
      </c>
      <c r="COB1331" s="4" t="s">
        <v>2875</v>
      </c>
      <c r="COC1331" s="4" t="s">
        <v>2875</v>
      </c>
      <c r="COD1331" s="4" t="s">
        <v>2875</v>
      </c>
      <c r="COE1331" s="4" t="s">
        <v>2875</v>
      </c>
      <c r="COF1331" s="4" t="s">
        <v>2875</v>
      </c>
      <c r="COG1331" s="4" t="s">
        <v>2875</v>
      </c>
      <c r="COH1331" s="4" t="s">
        <v>2875</v>
      </c>
      <c r="COI1331" s="4" t="s">
        <v>2875</v>
      </c>
      <c r="COJ1331" s="4" t="s">
        <v>2875</v>
      </c>
      <c r="COK1331" s="4" t="s">
        <v>2875</v>
      </c>
      <c r="COL1331" s="4" t="s">
        <v>2875</v>
      </c>
      <c r="COM1331" s="4" t="s">
        <v>2875</v>
      </c>
      <c r="CON1331" s="4" t="s">
        <v>2875</v>
      </c>
      <c r="COO1331" s="4" t="s">
        <v>2875</v>
      </c>
      <c r="COP1331" s="4" t="s">
        <v>2875</v>
      </c>
      <c r="COQ1331" s="4" t="s">
        <v>2875</v>
      </c>
      <c r="COR1331" s="4" t="s">
        <v>2875</v>
      </c>
      <c r="COS1331" s="4" t="s">
        <v>2875</v>
      </c>
      <c r="COT1331" s="4" t="s">
        <v>2875</v>
      </c>
      <c r="COU1331" s="4" t="s">
        <v>2875</v>
      </c>
      <c r="COV1331" s="4" t="s">
        <v>2875</v>
      </c>
      <c r="COW1331" s="4" t="s">
        <v>2875</v>
      </c>
      <c r="COX1331" s="4" t="s">
        <v>2875</v>
      </c>
      <c r="COY1331" s="4" t="s">
        <v>2875</v>
      </c>
      <c r="COZ1331" s="4" t="s">
        <v>2875</v>
      </c>
      <c r="CPA1331" s="4" t="s">
        <v>2875</v>
      </c>
      <c r="CPB1331" s="4" t="s">
        <v>2875</v>
      </c>
      <c r="CPC1331" s="4" t="s">
        <v>2875</v>
      </c>
      <c r="CPD1331" s="4" t="s">
        <v>2875</v>
      </c>
      <c r="CPE1331" s="4" t="s">
        <v>2875</v>
      </c>
      <c r="CPF1331" s="4" t="s">
        <v>2875</v>
      </c>
      <c r="CPG1331" s="4" t="s">
        <v>2875</v>
      </c>
      <c r="CPH1331" s="4" t="s">
        <v>2875</v>
      </c>
      <c r="CPI1331" s="4" t="s">
        <v>2875</v>
      </c>
      <c r="CPJ1331" s="4" t="s">
        <v>2875</v>
      </c>
      <c r="CPK1331" s="4" t="s">
        <v>2875</v>
      </c>
      <c r="CPL1331" s="4" t="s">
        <v>2875</v>
      </c>
      <c r="CPM1331" s="4" t="s">
        <v>2875</v>
      </c>
      <c r="CPN1331" s="4" t="s">
        <v>2875</v>
      </c>
      <c r="CPO1331" s="4" t="s">
        <v>2875</v>
      </c>
      <c r="CPP1331" s="4" t="s">
        <v>2875</v>
      </c>
      <c r="CPQ1331" s="4" t="s">
        <v>2875</v>
      </c>
      <c r="CPR1331" s="4" t="s">
        <v>2875</v>
      </c>
      <c r="CPS1331" s="4" t="s">
        <v>2875</v>
      </c>
      <c r="CPT1331" s="4" t="s">
        <v>2875</v>
      </c>
      <c r="CPU1331" s="4" t="s">
        <v>2875</v>
      </c>
      <c r="CPV1331" s="4" t="s">
        <v>2875</v>
      </c>
      <c r="CPW1331" s="4" t="s">
        <v>2875</v>
      </c>
      <c r="CPX1331" s="4" t="s">
        <v>2875</v>
      </c>
      <c r="CPY1331" s="4" t="s">
        <v>2875</v>
      </c>
      <c r="CPZ1331" s="4" t="s">
        <v>2875</v>
      </c>
      <c r="CQA1331" s="4" t="s">
        <v>2875</v>
      </c>
      <c r="CQB1331" s="4" t="s">
        <v>2875</v>
      </c>
      <c r="CQC1331" s="4" t="s">
        <v>2875</v>
      </c>
      <c r="CQD1331" s="4" t="s">
        <v>2875</v>
      </c>
      <c r="CQE1331" s="4" t="s">
        <v>2875</v>
      </c>
      <c r="CQF1331" s="4" t="s">
        <v>2875</v>
      </c>
      <c r="CQG1331" s="4" t="s">
        <v>2875</v>
      </c>
      <c r="CQH1331" s="4" t="s">
        <v>2875</v>
      </c>
      <c r="CQI1331" s="4" t="s">
        <v>2875</v>
      </c>
      <c r="CQJ1331" s="4" t="s">
        <v>2875</v>
      </c>
      <c r="CQK1331" s="4" t="s">
        <v>2875</v>
      </c>
      <c r="CQL1331" s="4" t="s">
        <v>2875</v>
      </c>
      <c r="CQM1331" s="4" t="s">
        <v>2875</v>
      </c>
      <c r="CQN1331" s="4" t="s">
        <v>2875</v>
      </c>
      <c r="CQO1331" s="4" t="s">
        <v>2875</v>
      </c>
      <c r="CQP1331" s="4" t="s">
        <v>2875</v>
      </c>
      <c r="CQQ1331" s="4" t="s">
        <v>2875</v>
      </c>
      <c r="CQR1331" s="4" t="s">
        <v>2875</v>
      </c>
      <c r="CQS1331" s="4" t="s">
        <v>2875</v>
      </c>
      <c r="CQT1331" s="4" t="s">
        <v>2875</v>
      </c>
      <c r="CQU1331" s="4" t="s">
        <v>2875</v>
      </c>
      <c r="CQV1331" s="4" t="s">
        <v>2875</v>
      </c>
      <c r="CQW1331" s="4" t="s">
        <v>2875</v>
      </c>
      <c r="CQX1331" s="4" t="s">
        <v>2875</v>
      </c>
      <c r="CQY1331" s="4" t="s">
        <v>2875</v>
      </c>
      <c r="CQZ1331" s="4" t="s">
        <v>2875</v>
      </c>
      <c r="CRA1331" s="4" t="s">
        <v>2875</v>
      </c>
      <c r="CRB1331" s="4" t="s">
        <v>2875</v>
      </c>
      <c r="CRC1331" s="4" t="s">
        <v>2875</v>
      </c>
      <c r="CRD1331" s="4" t="s">
        <v>2875</v>
      </c>
      <c r="CRE1331" s="4" t="s">
        <v>2875</v>
      </c>
      <c r="CRF1331" s="4" t="s">
        <v>2875</v>
      </c>
      <c r="CRG1331" s="4" t="s">
        <v>2875</v>
      </c>
      <c r="CRH1331" s="4" t="s">
        <v>2875</v>
      </c>
      <c r="CRI1331" s="4" t="s">
        <v>2875</v>
      </c>
      <c r="CRJ1331" s="4" t="s">
        <v>2875</v>
      </c>
      <c r="CRK1331" s="4" t="s">
        <v>2875</v>
      </c>
      <c r="CRL1331" s="4" t="s">
        <v>2875</v>
      </c>
      <c r="CRM1331" s="4" t="s">
        <v>2875</v>
      </c>
      <c r="CRN1331" s="4" t="s">
        <v>2875</v>
      </c>
      <c r="CRO1331" s="4" t="s">
        <v>2875</v>
      </c>
      <c r="CRP1331" s="4" t="s">
        <v>2875</v>
      </c>
      <c r="CRQ1331" s="4" t="s">
        <v>2875</v>
      </c>
      <c r="CRR1331" s="4" t="s">
        <v>2875</v>
      </c>
      <c r="CRS1331" s="4" t="s">
        <v>2875</v>
      </c>
      <c r="CRT1331" s="4" t="s">
        <v>2875</v>
      </c>
      <c r="CRU1331" s="4" t="s">
        <v>2875</v>
      </c>
      <c r="CRV1331" s="4" t="s">
        <v>2875</v>
      </c>
      <c r="CRW1331" s="4" t="s">
        <v>2875</v>
      </c>
      <c r="CRX1331" s="4" t="s">
        <v>2875</v>
      </c>
      <c r="CRY1331" s="4" t="s">
        <v>2875</v>
      </c>
      <c r="CRZ1331" s="4" t="s">
        <v>2875</v>
      </c>
      <c r="CSA1331" s="4" t="s">
        <v>2875</v>
      </c>
      <c r="CSB1331" s="4" t="s">
        <v>2875</v>
      </c>
      <c r="CSC1331" s="4" t="s">
        <v>2875</v>
      </c>
      <c r="CSD1331" s="4" t="s">
        <v>2875</v>
      </c>
      <c r="CSE1331" s="4" t="s">
        <v>2875</v>
      </c>
      <c r="CSF1331" s="4" t="s">
        <v>2875</v>
      </c>
      <c r="CSG1331" s="4" t="s">
        <v>2875</v>
      </c>
      <c r="CSH1331" s="4" t="s">
        <v>2875</v>
      </c>
      <c r="CSI1331" s="4" t="s">
        <v>2875</v>
      </c>
      <c r="CSJ1331" s="4" t="s">
        <v>2875</v>
      </c>
      <c r="CSK1331" s="4" t="s">
        <v>2875</v>
      </c>
      <c r="CSL1331" s="4" t="s">
        <v>2875</v>
      </c>
      <c r="CSM1331" s="4" t="s">
        <v>2875</v>
      </c>
      <c r="CSN1331" s="4" t="s">
        <v>2875</v>
      </c>
      <c r="CSO1331" s="4" t="s">
        <v>2875</v>
      </c>
      <c r="CSP1331" s="4" t="s">
        <v>2875</v>
      </c>
      <c r="CSQ1331" s="4" t="s">
        <v>2875</v>
      </c>
      <c r="CSR1331" s="4" t="s">
        <v>2875</v>
      </c>
      <c r="CSS1331" s="4" t="s">
        <v>2875</v>
      </c>
      <c r="CST1331" s="4" t="s">
        <v>2875</v>
      </c>
      <c r="CSU1331" s="4" t="s">
        <v>2875</v>
      </c>
      <c r="CSV1331" s="4" t="s">
        <v>2875</v>
      </c>
      <c r="CSW1331" s="4" t="s">
        <v>2875</v>
      </c>
      <c r="CSX1331" s="4" t="s">
        <v>2875</v>
      </c>
      <c r="CSY1331" s="4" t="s">
        <v>2875</v>
      </c>
      <c r="CSZ1331" s="4" t="s">
        <v>2875</v>
      </c>
      <c r="CTA1331" s="4" t="s">
        <v>2875</v>
      </c>
      <c r="CTB1331" s="4" t="s">
        <v>2875</v>
      </c>
      <c r="CTC1331" s="4" t="s">
        <v>2875</v>
      </c>
      <c r="CTD1331" s="4" t="s">
        <v>2875</v>
      </c>
      <c r="CTE1331" s="4" t="s">
        <v>2875</v>
      </c>
      <c r="CTF1331" s="4" t="s">
        <v>2875</v>
      </c>
      <c r="CTG1331" s="4" t="s">
        <v>2875</v>
      </c>
      <c r="CTH1331" s="4" t="s">
        <v>2875</v>
      </c>
      <c r="CTI1331" s="4" t="s">
        <v>2875</v>
      </c>
      <c r="CTJ1331" s="4" t="s">
        <v>2875</v>
      </c>
      <c r="CTK1331" s="4" t="s">
        <v>2875</v>
      </c>
      <c r="CTL1331" s="4" t="s">
        <v>2875</v>
      </c>
      <c r="CTM1331" s="4" t="s">
        <v>2875</v>
      </c>
      <c r="CTN1331" s="4" t="s">
        <v>2875</v>
      </c>
      <c r="CTO1331" s="4" t="s">
        <v>2875</v>
      </c>
      <c r="CTP1331" s="4" t="s">
        <v>2875</v>
      </c>
      <c r="CTQ1331" s="4" t="s">
        <v>2875</v>
      </c>
      <c r="CTR1331" s="4" t="s">
        <v>2875</v>
      </c>
      <c r="CTS1331" s="4" t="s">
        <v>2875</v>
      </c>
      <c r="CTT1331" s="4" t="s">
        <v>2875</v>
      </c>
      <c r="CTU1331" s="4" t="s">
        <v>2875</v>
      </c>
      <c r="CTV1331" s="4" t="s">
        <v>2875</v>
      </c>
      <c r="CTW1331" s="4" t="s">
        <v>2875</v>
      </c>
      <c r="CTX1331" s="4" t="s">
        <v>2875</v>
      </c>
      <c r="CTY1331" s="4" t="s">
        <v>2875</v>
      </c>
      <c r="CTZ1331" s="4" t="s">
        <v>2875</v>
      </c>
      <c r="CUA1331" s="4" t="s">
        <v>2875</v>
      </c>
      <c r="CUB1331" s="4" t="s">
        <v>2875</v>
      </c>
      <c r="CUC1331" s="4" t="s">
        <v>2875</v>
      </c>
      <c r="CUD1331" s="4" t="s">
        <v>2875</v>
      </c>
      <c r="CUE1331" s="4" t="s">
        <v>2875</v>
      </c>
      <c r="CUF1331" s="4" t="s">
        <v>2875</v>
      </c>
      <c r="CUG1331" s="4" t="s">
        <v>2875</v>
      </c>
      <c r="CUH1331" s="4" t="s">
        <v>2875</v>
      </c>
      <c r="CUI1331" s="4" t="s">
        <v>2875</v>
      </c>
      <c r="CUJ1331" s="4" t="s">
        <v>2875</v>
      </c>
      <c r="CUK1331" s="4" t="s">
        <v>2875</v>
      </c>
      <c r="CUL1331" s="4" t="s">
        <v>2875</v>
      </c>
      <c r="CUM1331" s="4" t="s">
        <v>2875</v>
      </c>
      <c r="CUN1331" s="4" t="s">
        <v>2875</v>
      </c>
      <c r="CUO1331" s="4" t="s">
        <v>2875</v>
      </c>
      <c r="CUP1331" s="4" t="s">
        <v>2875</v>
      </c>
      <c r="CUQ1331" s="4" t="s">
        <v>2875</v>
      </c>
      <c r="CUR1331" s="4" t="s">
        <v>2875</v>
      </c>
      <c r="CUS1331" s="4" t="s">
        <v>2875</v>
      </c>
      <c r="CUT1331" s="4" t="s">
        <v>2875</v>
      </c>
      <c r="CUU1331" s="4" t="s">
        <v>2875</v>
      </c>
      <c r="CUV1331" s="4" t="s">
        <v>2875</v>
      </c>
      <c r="CUW1331" s="4" t="s">
        <v>2875</v>
      </c>
      <c r="CUX1331" s="4" t="s">
        <v>2875</v>
      </c>
      <c r="CUY1331" s="4" t="s">
        <v>2875</v>
      </c>
      <c r="CUZ1331" s="4" t="s">
        <v>2875</v>
      </c>
      <c r="CVA1331" s="4" t="s">
        <v>2875</v>
      </c>
      <c r="CVB1331" s="4" t="s">
        <v>2875</v>
      </c>
      <c r="CVC1331" s="4" t="s">
        <v>2875</v>
      </c>
      <c r="CVD1331" s="4" t="s">
        <v>2875</v>
      </c>
      <c r="CVE1331" s="4" t="s">
        <v>2875</v>
      </c>
      <c r="CVF1331" s="4" t="s">
        <v>2875</v>
      </c>
      <c r="CVG1331" s="4" t="s">
        <v>2875</v>
      </c>
      <c r="CVH1331" s="4" t="s">
        <v>2875</v>
      </c>
      <c r="CVI1331" s="4" t="s">
        <v>2875</v>
      </c>
      <c r="CVJ1331" s="4" t="s">
        <v>2875</v>
      </c>
      <c r="CVK1331" s="4" t="s">
        <v>2875</v>
      </c>
      <c r="CVL1331" s="4" t="s">
        <v>2875</v>
      </c>
      <c r="CVM1331" s="4" t="s">
        <v>2875</v>
      </c>
      <c r="CVN1331" s="4" t="s">
        <v>2875</v>
      </c>
      <c r="CVO1331" s="4" t="s">
        <v>2875</v>
      </c>
      <c r="CVP1331" s="4" t="s">
        <v>2875</v>
      </c>
      <c r="CVQ1331" s="4" t="s">
        <v>2875</v>
      </c>
      <c r="CVR1331" s="4" t="s">
        <v>2875</v>
      </c>
      <c r="CVS1331" s="4" t="s">
        <v>2875</v>
      </c>
      <c r="CVT1331" s="4" t="s">
        <v>2875</v>
      </c>
      <c r="CVU1331" s="4" t="s">
        <v>2875</v>
      </c>
      <c r="CVV1331" s="4" t="s">
        <v>2875</v>
      </c>
      <c r="CVW1331" s="4" t="s">
        <v>2875</v>
      </c>
      <c r="CVX1331" s="4" t="s">
        <v>2875</v>
      </c>
      <c r="CVY1331" s="4" t="s">
        <v>2875</v>
      </c>
      <c r="CVZ1331" s="4" t="s">
        <v>2875</v>
      </c>
      <c r="CWA1331" s="4" t="s">
        <v>2875</v>
      </c>
      <c r="CWB1331" s="4" t="s">
        <v>2875</v>
      </c>
      <c r="CWC1331" s="4" t="s">
        <v>2875</v>
      </c>
      <c r="CWD1331" s="4" t="s">
        <v>2875</v>
      </c>
      <c r="CWE1331" s="4" t="s">
        <v>2875</v>
      </c>
      <c r="CWF1331" s="4" t="s">
        <v>2875</v>
      </c>
      <c r="CWG1331" s="4" t="s">
        <v>2875</v>
      </c>
      <c r="CWH1331" s="4" t="s">
        <v>2875</v>
      </c>
      <c r="CWI1331" s="4" t="s">
        <v>2875</v>
      </c>
      <c r="CWJ1331" s="4" t="s">
        <v>2875</v>
      </c>
      <c r="CWK1331" s="4" t="s">
        <v>2875</v>
      </c>
      <c r="CWL1331" s="4" t="s">
        <v>2875</v>
      </c>
      <c r="CWM1331" s="4" t="s">
        <v>2875</v>
      </c>
      <c r="CWN1331" s="4" t="s">
        <v>2875</v>
      </c>
      <c r="CWO1331" s="4" t="s">
        <v>2875</v>
      </c>
      <c r="CWP1331" s="4" t="s">
        <v>2875</v>
      </c>
      <c r="CWQ1331" s="4" t="s">
        <v>2875</v>
      </c>
      <c r="CWR1331" s="4" t="s">
        <v>2875</v>
      </c>
      <c r="CWS1331" s="4" t="s">
        <v>2875</v>
      </c>
      <c r="CWT1331" s="4" t="s">
        <v>2875</v>
      </c>
      <c r="CWU1331" s="4" t="s">
        <v>2875</v>
      </c>
      <c r="CWV1331" s="4" t="s">
        <v>2875</v>
      </c>
      <c r="CWW1331" s="4" t="s">
        <v>2875</v>
      </c>
      <c r="CWX1331" s="4" t="s">
        <v>2875</v>
      </c>
      <c r="CWY1331" s="4" t="s">
        <v>2875</v>
      </c>
      <c r="CWZ1331" s="4" t="s">
        <v>2875</v>
      </c>
      <c r="CXA1331" s="4" t="s">
        <v>2875</v>
      </c>
      <c r="CXB1331" s="4" t="s">
        <v>2875</v>
      </c>
      <c r="CXC1331" s="4" t="s">
        <v>2875</v>
      </c>
      <c r="CXD1331" s="4" t="s">
        <v>2875</v>
      </c>
      <c r="CXE1331" s="4" t="s">
        <v>2875</v>
      </c>
      <c r="CXF1331" s="4" t="s">
        <v>2875</v>
      </c>
      <c r="CXG1331" s="4" t="s">
        <v>2875</v>
      </c>
      <c r="CXH1331" s="4" t="s">
        <v>2875</v>
      </c>
      <c r="CXI1331" s="4" t="s">
        <v>2875</v>
      </c>
      <c r="CXJ1331" s="4" t="s">
        <v>2875</v>
      </c>
      <c r="CXK1331" s="4" t="s">
        <v>2875</v>
      </c>
      <c r="CXL1331" s="4" t="s">
        <v>2875</v>
      </c>
      <c r="CXM1331" s="4" t="s">
        <v>2875</v>
      </c>
      <c r="CXN1331" s="4" t="s">
        <v>2875</v>
      </c>
      <c r="CXO1331" s="4" t="s">
        <v>2875</v>
      </c>
      <c r="CXP1331" s="4" t="s">
        <v>2875</v>
      </c>
      <c r="CXQ1331" s="4" t="s">
        <v>2875</v>
      </c>
      <c r="CXR1331" s="4" t="s">
        <v>2875</v>
      </c>
      <c r="CXS1331" s="4" t="s">
        <v>2875</v>
      </c>
      <c r="CXT1331" s="4" t="s">
        <v>2875</v>
      </c>
      <c r="CXU1331" s="4" t="s">
        <v>2875</v>
      </c>
      <c r="CXV1331" s="4" t="s">
        <v>2875</v>
      </c>
      <c r="CXW1331" s="4" t="s">
        <v>2875</v>
      </c>
      <c r="CXX1331" s="4" t="s">
        <v>2875</v>
      </c>
      <c r="CXY1331" s="4" t="s">
        <v>2875</v>
      </c>
      <c r="CXZ1331" s="4" t="s">
        <v>2875</v>
      </c>
      <c r="CYA1331" s="4" t="s">
        <v>2875</v>
      </c>
      <c r="CYB1331" s="4" t="s">
        <v>2875</v>
      </c>
      <c r="CYC1331" s="4" t="s">
        <v>2875</v>
      </c>
      <c r="CYD1331" s="4" t="s">
        <v>2875</v>
      </c>
      <c r="CYE1331" s="4" t="s">
        <v>2875</v>
      </c>
      <c r="CYF1331" s="4" t="s">
        <v>2875</v>
      </c>
      <c r="CYG1331" s="4" t="s">
        <v>2875</v>
      </c>
      <c r="CYH1331" s="4" t="s">
        <v>2875</v>
      </c>
      <c r="CYI1331" s="4" t="s">
        <v>2875</v>
      </c>
      <c r="CYJ1331" s="4" t="s">
        <v>2875</v>
      </c>
      <c r="CYK1331" s="4" t="s">
        <v>2875</v>
      </c>
      <c r="CYL1331" s="4" t="s">
        <v>2875</v>
      </c>
      <c r="CYM1331" s="4" t="s">
        <v>2875</v>
      </c>
      <c r="CYN1331" s="4" t="s">
        <v>2875</v>
      </c>
      <c r="CYO1331" s="4" t="s">
        <v>2875</v>
      </c>
      <c r="CYP1331" s="4" t="s">
        <v>2875</v>
      </c>
      <c r="CYQ1331" s="4" t="s">
        <v>2875</v>
      </c>
      <c r="CYR1331" s="4" t="s">
        <v>2875</v>
      </c>
      <c r="CYS1331" s="4" t="s">
        <v>2875</v>
      </c>
      <c r="CYT1331" s="4" t="s">
        <v>2875</v>
      </c>
      <c r="CYU1331" s="4" t="s">
        <v>2875</v>
      </c>
      <c r="CYV1331" s="4" t="s">
        <v>2875</v>
      </c>
      <c r="CYW1331" s="4" t="s">
        <v>2875</v>
      </c>
      <c r="CYX1331" s="4" t="s">
        <v>2875</v>
      </c>
      <c r="CYY1331" s="4" t="s">
        <v>2875</v>
      </c>
      <c r="CYZ1331" s="4" t="s">
        <v>2875</v>
      </c>
      <c r="CZA1331" s="4" t="s">
        <v>2875</v>
      </c>
      <c r="CZB1331" s="4" t="s">
        <v>2875</v>
      </c>
      <c r="CZC1331" s="4" t="s">
        <v>2875</v>
      </c>
      <c r="CZD1331" s="4" t="s">
        <v>2875</v>
      </c>
      <c r="CZE1331" s="4" t="s">
        <v>2875</v>
      </c>
      <c r="CZF1331" s="4" t="s">
        <v>2875</v>
      </c>
      <c r="CZG1331" s="4" t="s">
        <v>2875</v>
      </c>
      <c r="CZH1331" s="4" t="s">
        <v>2875</v>
      </c>
      <c r="CZI1331" s="4" t="s">
        <v>2875</v>
      </c>
      <c r="CZJ1331" s="4" t="s">
        <v>2875</v>
      </c>
      <c r="CZK1331" s="4" t="s">
        <v>2875</v>
      </c>
      <c r="CZL1331" s="4" t="s">
        <v>2875</v>
      </c>
      <c r="CZM1331" s="4" t="s">
        <v>2875</v>
      </c>
      <c r="CZN1331" s="4" t="s">
        <v>2875</v>
      </c>
      <c r="CZO1331" s="4" t="s">
        <v>2875</v>
      </c>
      <c r="CZP1331" s="4" t="s">
        <v>2875</v>
      </c>
      <c r="CZQ1331" s="4" t="s">
        <v>2875</v>
      </c>
      <c r="CZR1331" s="4" t="s">
        <v>2875</v>
      </c>
      <c r="CZS1331" s="4" t="s">
        <v>2875</v>
      </c>
      <c r="CZT1331" s="4" t="s">
        <v>2875</v>
      </c>
      <c r="CZU1331" s="4" t="s">
        <v>2875</v>
      </c>
      <c r="CZV1331" s="4" t="s">
        <v>2875</v>
      </c>
      <c r="CZW1331" s="4" t="s">
        <v>2875</v>
      </c>
      <c r="CZX1331" s="4" t="s">
        <v>2875</v>
      </c>
      <c r="CZY1331" s="4" t="s">
        <v>2875</v>
      </c>
      <c r="CZZ1331" s="4" t="s">
        <v>2875</v>
      </c>
      <c r="DAA1331" s="4" t="s">
        <v>2875</v>
      </c>
      <c r="DAB1331" s="4" t="s">
        <v>2875</v>
      </c>
      <c r="DAC1331" s="4" t="s">
        <v>2875</v>
      </c>
      <c r="DAD1331" s="4" t="s">
        <v>2875</v>
      </c>
      <c r="DAE1331" s="4" t="s">
        <v>2875</v>
      </c>
      <c r="DAF1331" s="4" t="s">
        <v>2875</v>
      </c>
      <c r="DAG1331" s="4" t="s">
        <v>2875</v>
      </c>
      <c r="DAH1331" s="4" t="s">
        <v>2875</v>
      </c>
      <c r="DAI1331" s="4" t="s">
        <v>2875</v>
      </c>
      <c r="DAJ1331" s="4" t="s">
        <v>2875</v>
      </c>
      <c r="DAK1331" s="4" t="s">
        <v>2875</v>
      </c>
      <c r="DAL1331" s="4" t="s">
        <v>2875</v>
      </c>
      <c r="DAM1331" s="4" t="s">
        <v>2875</v>
      </c>
      <c r="DAN1331" s="4" t="s">
        <v>2875</v>
      </c>
      <c r="DAO1331" s="4" t="s">
        <v>2875</v>
      </c>
      <c r="DAP1331" s="4" t="s">
        <v>2875</v>
      </c>
      <c r="DAQ1331" s="4" t="s">
        <v>2875</v>
      </c>
      <c r="DAR1331" s="4" t="s">
        <v>2875</v>
      </c>
      <c r="DAS1331" s="4" t="s">
        <v>2875</v>
      </c>
      <c r="DAT1331" s="4" t="s">
        <v>2875</v>
      </c>
      <c r="DAU1331" s="4" t="s">
        <v>2875</v>
      </c>
      <c r="DAV1331" s="4" t="s">
        <v>2875</v>
      </c>
      <c r="DAW1331" s="4" t="s">
        <v>2875</v>
      </c>
      <c r="DAX1331" s="4" t="s">
        <v>2875</v>
      </c>
      <c r="DAY1331" s="4" t="s">
        <v>2875</v>
      </c>
      <c r="DAZ1331" s="4" t="s">
        <v>2875</v>
      </c>
      <c r="DBA1331" s="4" t="s">
        <v>2875</v>
      </c>
      <c r="DBB1331" s="4" t="s">
        <v>2875</v>
      </c>
      <c r="DBC1331" s="4" t="s">
        <v>2875</v>
      </c>
      <c r="DBD1331" s="4" t="s">
        <v>2875</v>
      </c>
      <c r="DBE1331" s="4" t="s">
        <v>2875</v>
      </c>
      <c r="DBF1331" s="4" t="s">
        <v>2875</v>
      </c>
      <c r="DBG1331" s="4" t="s">
        <v>2875</v>
      </c>
      <c r="DBH1331" s="4" t="s">
        <v>2875</v>
      </c>
      <c r="DBI1331" s="4" t="s">
        <v>2875</v>
      </c>
      <c r="DBJ1331" s="4" t="s">
        <v>2875</v>
      </c>
      <c r="DBK1331" s="4" t="s">
        <v>2875</v>
      </c>
      <c r="DBL1331" s="4" t="s">
        <v>2875</v>
      </c>
      <c r="DBM1331" s="4" t="s">
        <v>2875</v>
      </c>
      <c r="DBN1331" s="4" t="s">
        <v>2875</v>
      </c>
      <c r="DBO1331" s="4" t="s">
        <v>2875</v>
      </c>
      <c r="DBP1331" s="4" t="s">
        <v>2875</v>
      </c>
      <c r="DBQ1331" s="4" t="s">
        <v>2875</v>
      </c>
      <c r="DBR1331" s="4" t="s">
        <v>2875</v>
      </c>
      <c r="DBS1331" s="4" t="s">
        <v>2875</v>
      </c>
      <c r="DBT1331" s="4" t="s">
        <v>2875</v>
      </c>
      <c r="DBU1331" s="4" t="s">
        <v>2875</v>
      </c>
      <c r="DBV1331" s="4" t="s">
        <v>2875</v>
      </c>
      <c r="DBW1331" s="4" t="s">
        <v>2875</v>
      </c>
      <c r="DBX1331" s="4" t="s">
        <v>2875</v>
      </c>
      <c r="DBY1331" s="4" t="s">
        <v>2875</v>
      </c>
      <c r="DBZ1331" s="4" t="s">
        <v>2875</v>
      </c>
      <c r="DCA1331" s="4" t="s">
        <v>2875</v>
      </c>
      <c r="DCB1331" s="4" t="s">
        <v>2875</v>
      </c>
      <c r="DCC1331" s="4" t="s">
        <v>2875</v>
      </c>
      <c r="DCD1331" s="4" t="s">
        <v>2875</v>
      </c>
      <c r="DCE1331" s="4" t="s">
        <v>2875</v>
      </c>
      <c r="DCF1331" s="4" t="s">
        <v>2875</v>
      </c>
      <c r="DCG1331" s="4" t="s">
        <v>2875</v>
      </c>
      <c r="DCH1331" s="4" t="s">
        <v>2875</v>
      </c>
      <c r="DCI1331" s="4" t="s">
        <v>2875</v>
      </c>
      <c r="DCJ1331" s="4" t="s">
        <v>2875</v>
      </c>
      <c r="DCK1331" s="4" t="s">
        <v>2875</v>
      </c>
      <c r="DCL1331" s="4" t="s">
        <v>2875</v>
      </c>
      <c r="DCM1331" s="4" t="s">
        <v>2875</v>
      </c>
      <c r="DCN1331" s="4" t="s">
        <v>2875</v>
      </c>
      <c r="DCO1331" s="4" t="s">
        <v>2875</v>
      </c>
      <c r="DCP1331" s="4" t="s">
        <v>2875</v>
      </c>
      <c r="DCQ1331" s="4" t="s">
        <v>2875</v>
      </c>
      <c r="DCR1331" s="4" t="s">
        <v>2875</v>
      </c>
      <c r="DCS1331" s="4" t="s">
        <v>2875</v>
      </c>
      <c r="DCT1331" s="4" t="s">
        <v>2875</v>
      </c>
      <c r="DCU1331" s="4" t="s">
        <v>2875</v>
      </c>
      <c r="DCV1331" s="4" t="s">
        <v>2875</v>
      </c>
      <c r="DCW1331" s="4" t="s">
        <v>2875</v>
      </c>
      <c r="DCX1331" s="4" t="s">
        <v>2875</v>
      </c>
      <c r="DCY1331" s="4" t="s">
        <v>2875</v>
      </c>
      <c r="DCZ1331" s="4" t="s">
        <v>2875</v>
      </c>
      <c r="DDA1331" s="4" t="s">
        <v>2875</v>
      </c>
      <c r="DDB1331" s="4" t="s">
        <v>2875</v>
      </c>
      <c r="DDC1331" s="4" t="s">
        <v>2875</v>
      </c>
      <c r="DDD1331" s="4" t="s">
        <v>2875</v>
      </c>
      <c r="DDE1331" s="4" t="s">
        <v>2875</v>
      </c>
      <c r="DDF1331" s="4" t="s">
        <v>2875</v>
      </c>
      <c r="DDG1331" s="4" t="s">
        <v>2875</v>
      </c>
      <c r="DDH1331" s="4" t="s">
        <v>2875</v>
      </c>
      <c r="DDI1331" s="4" t="s">
        <v>2875</v>
      </c>
      <c r="DDJ1331" s="4" t="s">
        <v>2875</v>
      </c>
      <c r="DDK1331" s="4" t="s">
        <v>2875</v>
      </c>
      <c r="DDL1331" s="4" t="s">
        <v>2875</v>
      </c>
      <c r="DDM1331" s="4" t="s">
        <v>2875</v>
      </c>
      <c r="DDN1331" s="4" t="s">
        <v>2875</v>
      </c>
      <c r="DDO1331" s="4" t="s">
        <v>2875</v>
      </c>
      <c r="DDP1331" s="4" t="s">
        <v>2875</v>
      </c>
      <c r="DDQ1331" s="4" t="s">
        <v>2875</v>
      </c>
      <c r="DDR1331" s="4" t="s">
        <v>2875</v>
      </c>
      <c r="DDS1331" s="4" t="s">
        <v>2875</v>
      </c>
      <c r="DDT1331" s="4" t="s">
        <v>2875</v>
      </c>
      <c r="DDU1331" s="4" t="s">
        <v>2875</v>
      </c>
      <c r="DDV1331" s="4" t="s">
        <v>2875</v>
      </c>
      <c r="DDW1331" s="4" t="s">
        <v>2875</v>
      </c>
      <c r="DDX1331" s="4" t="s">
        <v>2875</v>
      </c>
      <c r="DDY1331" s="4" t="s">
        <v>2875</v>
      </c>
      <c r="DDZ1331" s="4" t="s">
        <v>2875</v>
      </c>
      <c r="DEA1331" s="4" t="s">
        <v>2875</v>
      </c>
      <c r="DEB1331" s="4" t="s">
        <v>2875</v>
      </c>
      <c r="DEC1331" s="4" t="s">
        <v>2875</v>
      </c>
      <c r="DED1331" s="4" t="s">
        <v>2875</v>
      </c>
      <c r="DEE1331" s="4" t="s">
        <v>2875</v>
      </c>
      <c r="DEF1331" s="4" t="s">
        <v>2875</v>
      </c>
      <c r="DEG1331" s="4" t="s">
        <v>2875</v>
      </c>
      <c r="DEH1331" s="4" t="s">
        <v>2875</v>
      </c>
      <c r="DEI1331" s="4" t="s">
        <v>2875</v>
      </c>
      <c r="DEJ1331" s="4" t="s">
        <v>2875</v>
      </c>
      <c r="DEK1331" s="4" t="s">
        <v>2875</v>
      </c>
      <c r="DEL1331" s="4" t="s">
        <v>2875</v>
      </c>
      <c r="DEM1331" s="4" t="s">
        <v>2875</v>
      </c>
      <c r="DEN1331" s="4" t="s">
        <v>2875</v>
      </c>
      <c r="DEO1331" s="4" t="s">
        <v>2875</v>
      </c>
      <c r="DEP1331" s="4" t="s">
        <v>2875</v>
      </c>
      <c r="DEQ1331" s="4" t="s">
        <v>2875</v>
      </c>
      <c r="DER1331" s="4" t="s">
        <v>2875</v>
      </c>
      <c r="DES1331" s="4" t="s">
        <v>2875</v>
      </c>
      <c r="DET1331" s="4" t="s">
        <v>2875</v>
      </c>
      <c r="DEU1331" s="4" t="s">
        <v>2875</v>
      </c>
      <c r="DEV1331" s="4" t="s">
        <v>2875</v>
      </c>
      <c r="DEW1331" s="4" t="s">
        <v>2875</v>
      </c>
      <c r="DEX1331" s="4" t="s">
        <v>2875</v>
      </c>
      <c r="DEY1331" s="4" t="s">
        <v>2875</v>
      </c>
      <c r="DEZ1331" s="4" t="s">
        <v>2875</v>
      </c>
      <c r="DFA1331" s="4" t="s">
        <v>2875</v>
      </c>
      <c r="DFB1331" s="4" t="s">
        <v>2875</v>
      </c>
      <c r="DFC1331" s="4" t="s">
        <v>2875</v>
      </c>
      <c r="DFD1331" s="4" t="s">
        <v>2875</v>
      </c>
      <c r="DFE1331" s="4" t="s">
        <v>2875</v>
      </c>
      <c r="DFF1331" s="4" t="s">
        <v>2875</v>
      </c>
      <c r="DFG1331" s="4" t="s">
        <v>2875</v>
      </c>
      <c r="DFH1331" s="4" t="s">
        <v>2875</v>
      </c>
      <c r="DFI1331" s="4" t="s">
        <v>2875</v>
      </c>
      <c r="DFJ1331" s="4" t="s">
        <v>2875</v>
      </c>
      <c r="DFK1331" s="4" t="s">
        <v>2875</v>
      </c>
      <c r="DFL1331" s="4" t="s">
        <v>2875</v>
      </c>
      <c r="DFM1331" s="4" t="s">
        <v>2875</v>
      </c>
      <c r="DFN1331" s="4" t="s">
        <v>2875</v>
      </c>
      <c r="DFO1331" s="4" t="s">
        <v>2875</v>
      </c>
      <c r="DFP1331" s="4" t="s">
        <v>2875</v>
      </c>
      <c r="DFQ1331" s="4" t="s">
        <v>2875</v>
      </c>
      <c r="DFR1331" s="4" t="s">
        <v>2875</v>
      </c>
      <c r="DFS1331" s="4" t="s">
        <v>2875</v>
      </c>
      <c r="DFT1331" s="4" t="s">
        <v>2875</v>
      </c>
      <c r="DFU1331" s="4" t="s">
        <v>2875</v>
      </c>
      <c r="DFV1331" s="4" t="s">
        <v>2875</v>
      </c>
      <c r="DFW1331" s="4" t="s">
        <v>2875</v>
      </c>
      <c r="DFX1331" s="4" t="s">
        <v>2875</v>
      </c>
      <c r="DFY1331" s="4" t="s">
        <v>2875</v>
      </c>
      <c r="DFZ1331" s="4" t="s">
        <v>2875</v>
      </c>
      <c r="DGA1331" s="4" t="s">
        <v>2875</v>
      </c>
      <c r="DGB1331" s="4" t="s">
        <v>2875</v>
      </c>
      <c r="DGC1331" s="4" t="s">
        <v>2875</v>
      </c>
      <c r="DGD1331" s="4" t="s">
        <v>2875</v>
      </c>
      <c r="DGE1331" s="4" t="s">
        <v>2875</v>
      </c>
      <c r="DGF1331" s="4" t="s">
        <v>2875</v>
      </c>
      <c r="DGG1331" s="4" t="s">
        <v>2875</v>
      </c>
      <c r="DGH1331" s="4" t="s">
        <v>2875</v>
      </c>
      <c r="DGI1331" s="4" t="s">
        <v>2875</v>
      </c>
      <c r="DGJ1331" s="4" t="s">
        <v>2875</v>
      </c>
      <c r="DGK1331" s="4" t="s">
        <v>2875</v>
      </c>
      <c r="DGL1331" s="4" t="s">
        <v>2875</v>
      </c>
      <c r="DGM1331" s="4" t="s">
        <v>2875</v>
      </c>
      <c r="DGN1331" s="4" t="s">
        <v>2875</v>
      </c>
      <c r="DGO1331" s="4" t="s">
        <v>2875</v>
      </c>
      <c r="DGP1331" s="4" t="s">
        <v>2875</v>
      </c>
      <c r="DGQ1331" s="4" t="s">
        <v>2875</v>
      </c>
      <c r="DGR1331" s="4" t="s">
        <v>2875</v>
      </c>
      <c r="DGS1331" s="4" t="s">
        <v>2875</v>
      </c>
      <c r="DGT1331" s="4" t="s">
        <v>2875</v>
      </c>
      <c r="DGU1331" s="4" t="s">
        <v>2875</v>
      </c>
      <c r="DGV1331" s="4" t="s">
        <v>2875</v>
      </c>
      <c r="DGW1331" s="4" t="s">
        <v>2875</v>
      </c>
      <c r="DGX1331" s="4" t="s">
        <v>2875</v>
      </c>
      <c r="DGY1331" s="4" t="s">
        <v>2875</v>
      </c>
      <c r="DGZ1331" s="4" t="s">
        <v>2875</v>
      </c>
      <c r="DHA1331" s="4" t="s">
        <v>2875</v>
      </c>
      <c r="DHB1331" s="4" t="s">
        <v>2875</v>
      </c>
      <c r="DHC1331" s="4" t="s">
        <v>2875</v>
      </c>
      <c r="DHD1331" s="4" t="s">
        <v>2875</v>
      </c>
      <c r="DHE1331" s="4" t="s">
        <v>2875</v>
      </c>
      <c r="DHF1331" s="4" t="s">
        <v>2875</v>
      </c>
      <c r="DHG1331" s="4" t="s">
        <v>2875</v>
      </c>
      <c r="DHH1331" s="4" t="s">
        <v>2875</v>
      </c>
      <c r="DHI1331" s="4" t="s">
        <v>2875</v>
      </c>
      <c r="DHJ1331" s="4" t="s">
        <v>2875</v>
      </c>
      <c r="DHK1331" s="4" t="s">
        <v>2875</v>
      </c>
      <c r="DHL1331" s="4" t="s">
        <v>2875</v>
      </c>
      <c r="DHM1331" s="4" t="s">
        <v>2875</v>
      </c>
      <c r="DHN1331" s="4" t="s">
        <v>2875</v>
      </c>
      <c r="DHO1331" s="4" t="s">
        <v>2875</v>
      </c>
      <c r="DHP1331" s="4" t="s">
        <v>2875</v>
      </c>
      <c r="DHQ1331" s="4" t="s">
        <v>2875</v>
      </c>
      <c r="DHR1331" s="4" t="s">
        <v>2875</v>
      </c>
      <c r="DHS1331" s="4" t="s">
        <v>2875</v>
      </c>
      <c r="DHT1331" s="4" t="s">
        <v>2875</v>
      </c>
      <c r="DHU1331" s="4" t="s">
        <v>2875</v>
      </c>
      <c r="DHV1331" s="4" t="s">
        <v>2875</v>
      </c>
      <c r="DHW1331" s="4" t="s">
        <v>2875</v>
      </c>
      <c r="DHX1331" s="4" t="s">
        <v>2875</v>
      </c>
      <c r="DHY1331" s="4" t="s">
        <v>2875</v>
      </c>
      <c r="DHZ1331" s="4" t="s">
        <v>2875</v>
      </c>
      <c r="DIA1331" s="4" t="s">
        <v>2875</v>
      </c>
      <c r="DIB1331" s="4" t="s">
        <v>2875</v>
      </c>
      <c r="DIC1331" s="4" t="s">
        <v>2875</v>
      </c>
      <c r="DID1331" s="4" t="s">
        <v>2875</v>
      </c>
      <c r="DIE1331" s="4" t="s">
        <v>2875</v>
      </c>
      <c r="DIF1331" s="4" t="s">
        <v>2875</v>
      </c>
      <c r="DIG1331" s="4" t="s">
        <v>2875</v>
      </c>
      <c r="DIH1331" s="4" t="s">
        <v>2875</v>
      </c>
      <c r="DII1331" s="4" t="s">
        <v>2875</v>
      </c>
      <c r="DIJ1331" s="4" t="s">
        <v>2875</v>
      </c>
      <c r="DIK1331" s="4" t="s">
        <v>2875</v>
      </c>
      <c r="DIL1331" s="4" t="s">
        <v>2875</v>
      </c>
      <c r="DIM1331" s="4" t="s">
        <v>2875</v>
      </c>
      <c r="DIN1331" s="4" t="s">
        <v>2875</v>
      </c>
      <c r="DIO1331" s="4" t="s">
        <v>2875</v>
      </c>
      <c r="DIP1331" s="4" t="s">
        <v>2875</v>
      </c>
      <c r="DIQ1331" s="4" t="s">
        <v>2875</v>
      </c>
      <c r="DIR1331" s="4" t="s">
        <v>2875</v>
      </c>
      <c r="DIS1331" s="4" t="s">
        <v>2875</v>
      </c>
      <c r="DIT1331" s="4" t="s">
        <v>2875</v>
      </c>
      <c r="DIU1331" s="4" t="s">
        <v>2875</v>
      </c>
      <c r="DIV1331" s="4" t="s">
        <v>2875</v>
      </c>
      <c r="DIW1331" s="4" t="s">
        <v>2875</v>
      </c>
      <c r="DIX1331" s="4" t="s">
        <v>2875</v>
      </c>
      <c r="DIY1331" s="4" t="s">
        <v>2875</v>
      </c>
      <c r="DIZ1331" s="4" t="s">
        <v>2875</v>
      </c>
      <c r="DJA1331" s="4" t="s">
        <v>2875</v>
      </c>
      <c r="DJB1331" s="4" t="s">
        <v>2875</v>
      </c>
      <c r="DJC1331" s="4" t="s">
        <v>2875</v>
      </c>
      <c r="DJD1331" s="4" t="s">
        <v>2875</v>
      </c>
      <c r="DJE1331" s="4" t="s">
        <v>2875</v>
      </c>
      <c r="DJF1331" s="4" t="s">
        <v>2875</v>
      </c>
      <c r="DJG1331" s="4" t="s">
        <v>2875</v>
      </c>
      <c r="DJH1331" s="4" t="s">
        <v>2875</v>
      </c>
      <c r="DJI1331" s="4" t="s">
        <v>2875</v>
      </c>
      <c r="DJJ1331" s="4" t="s">
        <v>2875</v>
      </c>
      <c r="DJK1331" s="4" t="s">
        <v>2875</v>
      </c>
      <c r="DJL1331" s="4" t="s">
        <v>2875</v>
      </c>
      <c r="DJM1331" s="4" t="s">
        <v>2875</v>
      </c>
      <c r="DJN1331" s="4" t="s">
        <v>2875</v>
      </c>
      <c r="DJO1331" s="4" t="s">
        <v>2875</v>
      </c>
      <c r="DJP1331" s="4" t="s">
        <v>2875</v>
      </c>
      <c r="DJQ1331" s="4" t="s">
        <v>2875</v>
      </c>
      <c r="DJR1331" s="4" t="s">
        <v>2875</v>
      </c>
      <c r="DJS1331" s="4" t="s">
        <v>2875</v>
      </c>
      <c r="DJT1331" s="4" t="s">
        <v>2875</v>
      </c>
      <c r="DJU1331" s="4" t="s">
        <v>2875</v>
      </c>
      <c r="DJV1331" s="4" t="s">
        <v>2875</v>
      </c>
      <c r="DJW1331" s="4" t="s">
        <v>2875</v>
      </c>
      <c r="DJX1331" s="4" t="s">
        <v>2875</v>
      </c>
      <c r="DJY1331" s="4" t="s">
        <v>2875</v>
      </c>
      <c r="DJZ1331" s="4" t="s">
        <v>2875</v>
      </c>
      <c r="DKA1331" s="4" t="s">
        <v>2875</v>
      </c>
      <c r="DKB1331" s="4" t="s">
        <v>2875</v>
      </c>
      <c r="DKC1331" s="4" t="s">
        <v>2875</v>
      </c>
      <c r="DKD1331" s="4" t="s">
        <v>2875</v>
      </c>
      <c r="DKE1331" s="4" t="s">
        <v>2875</v>
      </c>
      <c r="DKF1331" s="4" t="s">
        <v>2875</v>
      </c>
      <c r="DKG1331" s="4" t="s">
        <v>2875</v>
      </c>
      <c r="DKH1331" s="4" t="s">
        <v>2875</v>
      </c>
      <c r="DKI1331" s="4" t="s">
        <v>2875</v>
      </c>
      <c r="DKJ1331" s="4" t="s">
        <v>2875</v>
      </c>
      <c r="DKK1331" s="4" t="s">
        <v>2875</v>
      </c>
      <c r="DKL1331" s="4" t="s">
        <v>2875</v>
      </c>
      <c r="DKM1331" s="4" t="s">
        <v>2875</v>
      </c>
      <c r="DKN1331" s="4" t="s">
        <v>2875</v>
      </c>
      <c r="DKO1331" s="4" t="s">
        <v>2875</v>
      </c>
      <c r="DKP1331" s="4" t="s">
        <v>2875</v>
      </c>
      <c r="DKQ1331" s="4" t="s">
        <v>2875</v>
      </c>
      <c r="DKR1331" s="4" t="s">
        <v>2875</v>
      </c>
      <c r="DKS1331" s="4" t="s">
        <v>2875</v>
      </c>
      <c r="DKT1331" s="4" t="s">
        <v>2875</v>
      </c>
      <c r="DKU1331" s="4" t="s">
        <v>2875</v>
      </c>
      <c r="DKV1331" s="4" t="s">
        <v>2875</v>
      </c>
      <c r="DKW1331" s="4" t="s">
        <v>2875</v>
      </c>
      <c r="DKX1331" s="4" t="s">
        <v>2875</v>
      </c>
      <c r="DKY1331" s="4" t="s">
        <v>2875</v>
      </c>
      <c r="DKZ1331" s="4" t="s">
        <v>2875</v>
      </c>
      <c r="DLA1331" s="4" t="s">
        <v>2875</v>
      </c>
      <c r="DLB1331" s="4" t="s">
        <v>2875</v>
      </c>
      <c r="DLC1331" s="4" t="s">
        <v>2875</v>
      </c>
      <c r="DLD1331" s="4" t="s">
        <v>2875</v>
      </c>
      <c r="DLE1331" s="4" t="s">
        <v>2875</v>
      </c>
      <c r="DLF1331" s="4" t="s">
        <v>2875</v>
      </c>
      <c r="DLG1331" s="4" t="s">
        <v>2875</v>
      </c>
      <c r="DLH1331" s="4" t="s">
        <v>2875</v>
      </c>
      <c r="DLI1331" s="4" t="s">
        <v>2875</v>
      </c>
      <c r="DLJ1331" s="4" t="s">
        <v>2875</v>
      </c>
      <c r="DLK1331" s="4" t="s">
        <v>2875</v>
      </c>
      <c r="DLL1331" s="4" t="s">
        <v>2875</v>
      </c>
      <c r="DLM1331" s="4" t="s">
        <v>2875</v>
      </c>
      <c r="DLN1331" s="4" t="s">
        <v>2875</v>
      </c>
      <c r="DLO1331" s="4" t="s">
        <v>2875</v>
      </c>
      <c r="DLP1331" s="4" t="s">
        <v>2875</v>
      </c>
      <c r="DLQ1331" s="4" t="s">
        <v>2875</v>
      </c>
      <c r="DLR1331" s="4" t="s">
        <v>2875</v>
      </c>
      <c r="DLS1331" s="4" t="s">
        <v>2875</v>
      </c>
      <c r="DLT1331" s="4" t="s">
        <v>2875</v>
      </c>
      <c r="DLU1331" s="4" t="s">
        <v>2875</v>
      </c>
      <c r="DLV1331" s="4" t="s">
        <v>2875</v>
      </c>
      <c r="DLW1331" s="4" t="s">
        <v>2875</v>
      </c>
      <c r="DLX1331" s="4" t="s">
        <v>2875</v>
      </c>
      <c r="DLY1331" s="4" t="s">
        <v>2875</v>
      </c>
      <c r="DLZ1331" s="4" t="s">
        <v>2875</v>
      </c>
      <c r="DMA1331" s="4" t="s">
        <v>2875</v>
      </c>
      <c r="DMB1331" s="4" t="s">
        <v>2875</v>
      </c>
      <c r="DMC1331" s="4" t="s">
        <v>2875</v>
      </c>
      <c r="DMD1331" s="4" t="s">
        <v>2875</v>
      </c>
      <c r="DME1331" s="4" t="s">
        <v>2875</v>
      </c>
      <c r="DMF1331" s="4" t="s">
        <v>2875</v>
      </c>
      <c r="DMG1331" s="4" t="s">
        <v>2875</v>
      </c>
      <c r="DMH1331" s="4" t="s">
        <v>2875</v>
      </c>
      <c r="DMI1331" s="4" t="s">
        <v>2875</v>
      </c>
      <c r="DMJ1331" s="4" t="s">
        <v>2875</v>
      </c>
      <c r="DMK1331" s="4" t="s">
        <v>2875</v>
      </c>
      <c r="DML1331" s="4" t="s">
        <v>2875</v>
      </c>
      <c r="DMM1331" s="4" t="s">
        <v>2875</v>
      </c>
      <c r="DMN1331" s="4" t="s">
        <v>2875</v>
      </c>
      <c r="DMO1331" s="4" t="s">
        <v>2875</v>
      </c>
      <c r="DMP1331" s="4" t="s">
        <v>2875</v>
      </c>
      <c r="DMQ1331" s="4" t="s">
        <v>2875</v>
      </c>
      <c r="DMR1331" s="4" t="s">
        <v>2875</v>
      </c>
      <c r="DMS1331" s="4" t="s">
        <v>2875</v>
      </c>
      <c r="DMT1331" s="4" t="s">
        <v>2875</v>
      </c>
      <c r="DMU1331" s="4" t="s">
        <v>2875</v>
      </c>
      <c r="DMV1331" s="4" t="s">
        <v>2875</v>
      </c>
      <c r="DMW1331" s="4" t="s">
        <v>2875</v>
      </c>
      <c r="DMX1331" s="4" t="s">
        <v>2875</v>
      </c>
      <c r="DMY1331" s="4" t="s">
        <v>2875</v>
      </c>
      <c r="DMZ1331" s="4" t="s">
        <v>2875</v>
      </c>
      <c r="DNA1331" s="4" t="s">
        <v>2875</v>
      </c>
      <c r="DNB1331" s="4" t="s">
        <v>2875</v>
      </c>
      <c r="DNC1331" s="4" t="s">
        <v>2875</v>
      </c>
      <c r="DND1331" s="4" t="s">
        <v>2875</v>
      </c>
      <c r="DNE1331" s="4" t="s">
        <v>2875</v>
      </c>
      <c r="DNF1331" s="4" t="s">
        <v>2875</v>
      </c>
      <c r="DNG1331" s="4" t="s">
        <v>2875</v>
      </c>
      <c r="DNH1331" s="4" t="s">
        <v>2875</v>
      </c>
      <c r="DNI1331" s="4" t="s">
        <v>2875</v>
      </c>
      <c r="DNJ1331" s="4" t="s">
        <v>2875</v>
      </c>
      <c r="DNK1331" s="4" t="s">
        <v>2875</v>
      </c>
      <c r="DNL1331" s="4" t="s">
        <v>2875</v>
      </c>
      <c r="DNM1331" s="4" t="s">
        <v>2875</v>
      </c>
      <c r="DNN1331" s="4" t="s">
        <v>2875</v>
      </c>
      <c r="DNO1331" s="4" t="s">
        <v>2875</v>
      </c>
      <c r="DNP1331" s="4" t="s">
        <v>2875</v>
      </c>
      <c r="DNQ1331" s="4" t="s">
        <v>2875</v>
      </c>
      <c r="DNR1331" s="4" t="s">
        <v>2875</v>
      </c>
      <c r="DNS1331" s="4" t="s">
        <v>2875</v>
      </c>
      <c r="DNT1331" s="4" t="s">
        <v>2875</v>
      </c>
      <c r="DNU1331" s="4" t="s">
        <v>2875</v>
      </c>
      <c r="DNV1331" s="4" t="s">
        <v>2875</v>
      </c>
      <c r="DNW1331" s="4" t="s">
        <v>2875</v>
      </c>
      <c r="DNX1331" s="4" t="s">
        <v>2875</v>
      </c>
      <c r="DNY1331" s="4" t="s">
        <v>2875</v>
      </c>
      <c r="DNZ1331" s="4" t="s">
        <v>2875</v>
      </c>
      <c r="DOA1331" s="4" t="s">
        <v>2875</v>
      </c>
      <c r="DOB1331" s="4" t="s">
        <v>2875</v>
      </c>
      <c r="DOC1331" s="4" t="s">
        <v>2875</v>
      </c>
      <c r="DOD1331" s="4" t="s">
        <v>2875</v>
      </c>
      <c r="DOE1331" s="4" t="s">
        <v>2875</v>
      </c>
      <c r="DOF1331" s="4" t="s">
        <v>2875</v>
      </c>
      <c r="DOG1331" s="4" t="s">
        <v>2875</v>
      </c>
      <c r="DOH1331" s="4" t="s">
        <v>2875</v>
      </c>
      <c r="DOI1331" s="4" t="s">
        <v>2875</v>
      </c>
      <c r="DOJ1331" s="4" t="s">
        <v>2875</v>
      </c>
      <c r="DOK1331" s="4" t="s">
        <v>2875</v>
      </c>
      <c r="DOL1331" s="4" t="s">
        <v>2875</v>
      </c>
      <c r="DOM1331" s="4" t="s">
        <v>2875</v>
      </c>
      <c r="DON1331" s="4" t="s">
        <v>2875</v>
      </c>
      <c r="DOO1331" s="4" t="s">
        <v>2875</v>
      </c>
      <c r="DOP1331" s="4" t="s">
        <v>2875</v>
      </c>
      <c r="DOQ1331" s="4" t="s">
        <v>2875</v>
      </c>
      <c r="DOR1331" s="4" t="s">
        <v>2875</v>
      </c>
      <c r="DOS1331" s="4" t="s">
        <v>2875</v>
      </c>
      <c r="DOT1331" s="4" t="s">
        <v>2875</v>
      </c>
      <c r="DOU1331" s="4" t="s">
        <v>2875</v>
      </c>
      <c r="DOV1331" s="4" t="s">
        <v>2875</v>
      </c>
      <c r="DOW1331" s="4" t="s">
        <v>2875</v>
      </c>
      <c r="DOX1331" s="4" t="s">
        <v>2875</v>
      </c>
      <c r="DOY1331" s="4" t="s">
        <v>2875</v>
      </c>
      <c r="DOZ1331" s="4" t="s">
        <v>2875</v>
      </c>
      <c r="DPA1331" s="4" t="s">
        <v>2875</v>
      </c>
      <c r="DPB1331" s="4" t="s">
        <v>2875</v>
      </c>
      <c r="DPC1331" s="4" t="s">
        <v>2875</v>
      </c>
      <c r="DPD1331" s="4" t="s">
        <v>2875</v>
      </c>
      <c r="DPE1331" s="4" t="s">
        <v>2875</v>
      </c>
      <c r="DPF1331" s="4" t="s">
        <v>2875</v>
      </c>
      <c r="DPG1331" s="4" t="s">
        <v>2875</v>
      </c>
      <c r="DPH1331" s="4" t="s">
        <v>2875</v>
      </c>
      <c r="DPI1331" s="4" t="s">
        <v>2875</v>
      </c>
      <c r="DPJ1331" s="4" t="s">
        <v>2875</v>
      </c>
      <c r="DPK1331" s="4" t="s">
        <v>2875</v>
      </c>
      <c r="DPL1331" s="4" t="s">
        <v>2875</v>
      </c>
      <c r="DPM1331" s="4" t="s">
        <v>2875</v>
      </c>
      <c r="DPN1331" s="4" t="s">
        <v>2875</v>
      </c>
      <c r="DPO1331" s="4" t="s">
        <v>2875</v>
      </c>
      <c r="DPP1331" s="4" t="s">
        <v>2875</v>
      </c>
      <c r="DPQ1331" s="4" t="s">
        <v>2875</v>
      </c>
      <c r="DPR1331" s="4" t="s">
        <v>2875</v>
      </c>
      <c r="DPS1331" s="4" t="s">
        <v>2875</v>
      </c>
      <c r="DPT1331" s="4" t="s">
        <v>2875</v>
      </c>
      <c r="DPU1331" s="4" t="s">
        <v>2875</v>
      </c>
      <c r="DPV1331" s="4" t="s">
        <v>2875</v>
      </c>
      <c r="DPW1331" s="4" t="s">
        <v>2875</v>
      </c>
      <c r="DPX1331" s="4" t="s">
        <v>2875</v>
      </c>
      <c r="DPY1331" s="4" t="s">
        <v>2875</v>
      </c>
      <c r="DPZ1331" s="4" t="s">
        <v>2875</v>
      </c>
      <c r="DQA1331" s="4" t="s">
        <v>2875</v>
      </c>
      <c r="DQB1331" s="4" t="s">
        <v>2875</v>
      </c>
      <c r="DQC1331" s="4" t="s">
        <v>2875</v>
      </c>
      <c r="DQD1331" s="4" t="s">
        <v>2875</v>
      </c>
      <c r="DQE1331" s="4" t="s">
        <v>2875</v>
      </c>
      <c r="DQF1331" s="4" t="s">
        <v>2875</v>
      </c>
      <c r="DQG1331" s="4" t="s">
        <v>2875</v>
      </c>
      <c r="DQH1331" s="4" t="s">
        <v>2875</v>
      </c>
      <c r="DQI1331" s="4" t="s">
        <v>2875</v>
      </c>
      <c r="DQJ1331" s="4" t="s">
        <v>2875</v>
      </c>
      <c r="DQK1331" s="4" t="s">
        <v>2875</v>
      </c>
      <c r="DQL1331" s="4" t="s">
        <v>2875</v>
      </c>
      <c r="DQM1331" s="4" t="s">
        <v>2875</v>
      </c>
      <c r="DQN1331" s="4" t="s">
        <v>2875</v>
      </c>
      <c r="DQO1331" s="4" t="s">
        <v>2875</v>
      </c>
      <c r="DQP1331" s="4" t="s">
        <v>2875</v>
      </c>
      <c r="DQQ1331" s="4" t="s">
        <v>2875</v>
      </c>
      <c r="DQR1331" s="4" t="s">
        <v>2875</v>
      </c>
      <c r="DQS1331" s="4" t="s">
        <v>2875</v>
      </c>
      <c r="DQT1331" s="4" t="s">
        <v>2875</v>
      </c>
      <c r="DQU1331" s="4" t="s">
        <v>2875</v>
      </c>
      <c r="DQV1331" s="4" t="s">
        <v>2875</v>
      </c>
      <c r="DQW1331" s="4" t="s">
        <v>2875</v>
      </c>
      <c r="DQX1331" s="4" t="s">
        <v>2875</v>
      </c>
      <c r="DQY1331" s="4" t="s">
        <v>2875</v>
      </c>
      <c r="DQZ1331" s="4" t="s">
        <v>2875</v>
      </c>
      <c r="DRA1331" s="4" t="s">
        <v>2875</v>
      </c>
      <c r="DRB1331" s="4" t="s">
        <v>2875</v>
      </c>
      <c r="DRC1331" s="4" t="s">
        <v>2875</v>
      </c>
      <c r="DRD1331" s="4" t="s">
        <v>2875</v>
      </c>
      <c r="DRE1331" s="4" t="s">
        <v>2875</v>
      </c>
      <c r="DRF1331" s="4" t="s">
        <v>2875</v>
      </c>
      <c r="DRG1331" s="4" t="s">
        <v>2875</v>
      </c>
      <c r="DRH1331" s="4" t="s">
        <v>2875</v>
      </c>
      <c r="DRI1331" s="4" t="s">
        <v>2875</v>
      </c>
      <c r="DRJ1331" s="4" t="s">
        <v>2875</v>
      </c>
      <c r="DRK1331" s="4" t="s">
        <v>2875</v>
      </c>
      <c r="DRL1331" s="4" t="s">
        <v>2875</v>
      </c>
      <c r="DRM1331" s="4" t="s">
        <v>2875</v>
      </c>
      <c r="DRN1331" s="4" t="s">
        <v>2875</v>
      </c>
      <c r="DRO1331" s="4" t="s">
        <v>2875</v>
      </c>
      <c r="DRP1331" s="4" t="s">
        <v>2875</v>
      </c>
      <c r="DRQ1331" s="4" t="s">
        <v>2875</v>
      </c>
      <c r="DRR1331" s="4" t="s">
        <v>2875</v>
      </c>
      <c r="DRS1331" s="4" t="s">
        <v>2875</v>
      </c>
      <c r="DRT1331" s="4" t="s">
        <v>2875</v>
      </c>
      <c r="DRU1331" s="4" t="s">
        <v>2875</v>
      </c>
      <c r="DRV1331" s="4" t="s">
        <v>2875</v>
      </c>
      <c r="DRW1331" s="4" t="s">
        <v>2875</v>
      </c>
      <c r="DRX1331" s="4" t="s">
        <v>2875</v>
      </c>
      <c r="DRY1331" s="4" t="s">
        <v>2875</v>
      </c>
      <c r="DRZ1331" s="4" t="s">
        <v>2875</v>
      </c>
      <c r="DSA1331" s="4" t="s">
        <v>2875</v>
      </c>
      <c r="DSB1331" s="4" t="s">
        <v>2875</v>
      </c>
      <c r="DSC1331" s="4" t="s">
        <v>2875</v>
      </c>
      <c r="DSD1331" s="4" t="s">
        <v>2875</v>
      </c>
      <c r="DSE1331" s="4" t="s">
        <v>2875</v>
      </c>
      <c r="DSF1331" s="4" t="s">
        <v>2875</v>
      </c>
      <c r="DSG1331" s="4" t="s">
        <v>2875</v>
      </c>
      <c r="DSH1331" s="4" t="s">
        <v>2875</v>
      </c>
      <c r="DSI1331" s="4" t="s">
        <v>2875</v>
      </c>
      <c r="DSJ1331" s="4" t="s">
        <v>2875</v>
      </c>
      <c r="DSK1331" s="4" t="s">
        <v>2875</v>
      </c>
      <c r="DSL1331" s="4" t="s">
        <v>2875</v>
      </c>
      <c r="DSM1331" s="4" t="s">
        <v>2875</v>
      </c>
      <c r="DSN1331" s="4" t="s">
        <v>2875</v>
      </c>
      <c r="DSO1331" s="4" t="s">
        <v>2875</v>
      </c>
      <c r="DSP1331" s="4" t="s">
        <v>2875</v>
      </c>
      <c r="DSQ1331" s="4" t="s">
        <v>2875</v>
      </c>
      <c r="DSR1331" s="4" t="s">
        <v>2875</v>
      </c>
      <c r="DSS1331" s="4" t="s">
        <v>2875</v>
      </c>
      <c r="DST1331" s="4" t="s">
        <v>2875</v>
      </c>
      <c r="DSU1331" s="4" t="s">
        <v>2875</v>
      </c>
      <c r="DSV1331" s="4" t="s">
        <v>2875</v>
      </c>
      <c r="DSW1331" s="4" t="s">
        <v>2875</v>
      </c>
      <c r="DSX1331" s="4" t="s">
        <v>2875</v>
      </c>
      <c r="DSY1331" s="4" t="s">
        <v>2875</v>
      </c>
      <c r="DSZ1331" s="4" t="s">
        <v>2875</v>
      </c>
      <c r="DTA1331" s="4" t="s">
        <v>2875</v>
      </c>
      <c r="DTB1331" s="4" t="s">
        <v>2875</v>
      </c>
      <c r="DTC1331" s="4" t="s">
        <v>2875</v>
      </c>
      <c r="DTD1331" s="4" t="s">
        <v>2875</v>
      </c>
      <c r="DTE1331" s="4" t="s">
        <v>2875</v>
      </c>
      <c r="DTF1331" s="4" t="s">
        <v>2875</v>
      </c>
      <c r="DTG1331" s="4" t="s">
        <v>2875</v>
      </c>
      <c r="DTH1331" s="4" t="s">
        <v>2875</v>
      </c>
      <c r="DTI1331" s="4" t="s">
        <v>2875</v>
      </c>
      <c r="DTJ1331" s="4" t="s">
        <v>2875</v>
      </c>
      <c r="DTK1331" s="4" t="s">
        <v>2875</v>
      </c>
      <c r="DTL1331" s="4" t="s">
        <v>2875</v>
      </c>
      <c r="DTM1331" s="4" t="s">
        <v>2875</v>
      </c>
      <c r="DTN1331" s="4" t="s">
        <v>2875</v>
      </c>
      <c r="DTO1331" s="4" t="s">
        <v>2875</v>
      </c>
      <c r="DTP1331" s="4" t="s">
        <v>2875</v>
      </c>
      <c r="DTQ1331" s="4" t="s">
        <v>2875</v>
      </c>
      <c r="DTR1331" s="4" t="s">
        <v>2875</v>
      </c>
      <c r="DTS1331" s="4" t="s">
        <v>2875</v>
      </c>
      <c r="DTT1331" s="4" t="s">
        <v>2875</v>
      </c>
      <c r="DTU1331" s="4" t="s">
        <v>2875</v>
      </c>
      <c r="DTV1331" s="4" t="s">
        <v>2875</v>
      </c>
      <c r="DTW1331" s="4" t="s">
        <v>2875</v>
      </c>
      <c r="DTX1331" s="4" t="s">
        <v>2875</v>
      </c>
      <c r="DTY1331" s="4" t="s">
        <v>2875</v>
      </c>
      <c r="DTZ1331" s="4" t="s">
        <v>2875</v>
      </c>
      <c r="DUA1331" s="4" t="s">
        <v>2875</v>
      </c>
      <c r="DUB1331" s="4" t="s">
        <v>2875</v>
      </c>
      <c r="DUC1331" s="4" t="s">
        <v>2875</v>
      </c>
      <c r="DUD1331" s="4" t="s">
        <v>2875</v>
      </c>
      <c r="DUE1331" s="4" t="s">
        <v>2875</v>
      </c>
      <c r="DUF1331" s="4" t="s">
        <v>2875</v>
      </c>
      <c r="DUG1331" s="4" t="s">
        <v>2875</v>
      </c>
      <c r="DUH1331" s="4" t="s">
        <v>2875</v>
      </c>
      <c r="DUI1331" s="4" t="s">
        <v>2875</v>
      </c>
      <c r="DUJ1331" s="4" t="s">
        <v>2875</v>
      </c>
      <c r="DUK1331" s="4" t="s">
        <v>2875</v>
      </c>
      <c r="DUL1331" s="4" t="s">
        <v>2875</v>
      </c>
      <c r="DUM1331" s="4" t="s">
        <v>2875</v>
      </c>
      <c r="DUN1331" s="4" t="s">
        <v>2875</v>
      </c>
      <c r="DUO1331" s="4" t="s">
        <v>2875</v>
      </c>
      <c r="DUP1331" s="4" t="s">
        <v>2875</v>
      </c>
      <c r="DUQ1331" s="4" t="s">
        <v>2875</v>
      </c>
      <c r="DUR1331" s="4" t="s">
        <v>2875</v>
      </c>
      <c r="DUS1331" s="4" t="s">
        <v>2875</v>
      </c>
      <c r="DUT1331" s="4" t="s">
        <v>2875</v>
      </c>
      <c r="DUU1331" s="4" t="s">
        <v>2875</v>
      </c>
      <c r="DUV1331" s="4" t="s">
        <v>2875</v>
      </c>
      <c r="DUW1331" s="4" t="s">
        <v>2875</v>
      </c>
      <c r="DUX1331" s="4" t="s">
        <v>2875</v>
      </c>
      <c r="DUY1331" s="4" t="s">
        <v>2875</v>
      </c>
      <c r="DUZ1331" s="4" t="s">
        <v>2875</v>
      </c>
      <c r="DVA1331" s="4" t="s">
        <v>2875</v>
      </c>
      <c r="DVB1331" s="4" t="s">
        <v>2875</v>
      </c>
      <c r="DVC1331" s="4" t="s">
        <v>2875</v>
      </c>
      <c r="DVD1331" s="4" t="s">
        <v>2875</v>
      </c>
      <c r="DVE1331" s="4" t="s">
        <v>2875</v>
      </c>
      <c r="DVF1331" s="4" t="s">
        <v>2875</v>
      </c>
      <c r="DVG1331" s="4" t="s">
        <v>2875</v>
      </c>
      <c r="DVH1331" s="4" t="s">
        <v>2875</v>
      </c>
      <c r="DVI1331" s="4" t="s">
        <v>2875</v>
      </c>
      <c r="DVJ1331" s="4" t="s">
        <v>2875</v>
      </c>
      <c r="DVK1331" s="4" t="s">
        <v>2875</v>
      </c>
      <c r="DVL1331" s="4" t="s">
        <v>2875</v>
      </c>
      <c r="DVM1331" s="4" t="s">
        <v>2875</v>
      </c>
      <c r="DVN1331" s="4" t="s">
        <v>2875</v>
      </c>
      <c r="DVO1331" s="4" t="s">
        <v>2875</v>
      </c>
      <c r="DVP1331" s="4" t="s">
        <v>2875</v>
      </c>
      <c r="DVQ1331" s="4" t="s">
        <v>2875</v>
      </c>
      <c r="DVR1331" s="4" t="s">
        <v>2875</v>
      </c>
      <c r="DVS1331" s="4" t="s">
        <v>2875</v>
      </c>
      <c r="DVT1331" s="4" t="s">
        <v>2875</v>
      </c>
      <c r="DVU1331" s="4" t="s">
        <v>2875</v>
      </c>
      <c r="DVV1331" s="4" t="s">
        <v>2875</v>
      </c>
      <c r="DVW1331" s="4" t="s">
        <v>2875</v>
      </c>
      <c r="DVX1331" s="4" t="s">
        <v>2875</v>
      </c>
      <c r="DVY1331" s="4" t="s">
        <v>2875</v>
      </c>
      <c r="DVZ1331" s="4" t="s">
        <v>2875</v>
      </c>
      <c r="DWA1331" s="4" t="s">
        <v>2875</v>
      </c>
      <c r="DWB1331" s="4" t="s">
        <v>2875</v>
      </c>
      <c r="DWC1331" s="4" t="s">
        <v>2875</v>
      </c>
      <c r="DWD1331" s="4" t="s">
        <v>2875</v>
      </c>
      <c r="DWE1331" s="4" t="s">
        <v>2875</v>
      </c>
      <c r="DWF1331" s="4" t="s">
        <v>2875</v>
      </c>
      <c r="DWG1331" s="4" t="s">
        <v>2875</v>
      </c>
      <c r="DWH1331" s="4" t="s">
        <v>2875</v>
      </c>
      <c r="DWI1331" s="4" t="s">
        <v>2875</v>
      </c>
      <c r="DWJ1331" s="4" t="s">
        <v>2875</v>
      </c>
      <c r="DWK1331" s="4" t="s">
        <v>2875</v>
      </c>
      <c r="DWL1331" s="4" t="s">
        <v>2875</v>
      </c>
      <c r="DWM1331" s="4" t="s">
        <v>2875</v>
      </c>
      <c r="DWN1331" s="4" t="s">
        <v>2875</v>
      </c>
      <c r="DWO1331" s="4" t="s">
        <v>2875</v>
      </c>
      <c r="DWP1331" s="4" t="s">
        <v>2875</v>
      </c>
      <c r="DWQ1331" s="4" t="s">
        <v>2875</v>
      </c>
      <c r="DWR1331" s="4" t="s">
        <v>2875</v>
      </c>
      <c r="DWS1331" s="4" t="s">
        <v>2875</v>
      </c>
      <c r="DWT1331" s="4" t="s">
        <v>2875</v>
      </c>
      <c r="DWU1331" s="4" t="s">
        <v>2875</v>
      </c>
      <c r="DWV1331" s="4" t="s">
        <v>2875</v>
      </c>
      <c r="DWW1331" s="4" t="s">
        <v>2875</v>
      </c>
      <c r="DWX1331" s="4" t="s">
        <v>2875</v>
      </c>
      <c r="DWY1331" s="4" t="s">
        <v>2875</v>
      </c>
      <c r="DWZ1331" s="4" t="s">
        <v>2875</v>
      </c>
      <c r="DXA1331" s="4" t="s">
        <v>2875</v>
      </c>
      <c r="DXB1331" s="4" t="s">
        <v>2875</v>
      </c>
      <c r="DXC1331" s="4" t="s">
        <v>2875</v>
      </c>
      <c r="DXD1331" s="4" t="s">
        <v>2875</v>
      </c>
      <c r="DXE1331" s="4" t="s">
        <v>2875</v>
      </c>
      <c r="DXF1331" s="4" t="s">
        <v>2875</v>
      </c>
      <c r="DXG1331" s="4" t="s">
        <v>2875</v>
      </c>
      <c r="DXH1331" s="4" t="s">
        <v>2875</v>
      </c>
      <c r="DXI1331" s="4" t="s">
        <v>2875</v>
      </c>
      <c r="DXJ1331" s="4" t="s">
        <v>2875</v>
      </c>
      <c r="DXK1331" s="4" t="s">
        <v>2875</v>
      </c>
      <c r="DXL1331" s="4" t="s">
        <v>2875</v>
      </c>
      <c r="DXM1331" s="4" t="s">
        <v>2875</v>
      </c>
      <c r="DXN1331" s="4" t="s">
        <v>2875</v>
      </c>
      <c r="DXO1331" s="4" t="s">
        <v>2875</v>
      </c>
      <c r="DXP1331" s="4" t="s">
        <v>2875</v>
      </c>
      <c r="DXQ1331" s="4" t="s">
        <v>2875</v>
      </c>
      <c r="DXR1331" s="4" t="s">
        <v>2875</v>
      </c>
      <c r="DXS1331" s="4" t="s">
        <v>2875</v>
      </c>
      <c r="DXT1331" s="4" t="s">
        <v>2875</v>
      </c>
      <c r="DXU1331" s="4" t="s">
        <v>2875</v>
      </c>
      <c r="DXV1331" s="4" t="s">
        <v>2875</v>
      </c>
      <c r="DXW1331" s="4" t="s">
        <v>2875</v>
      </c>
      <c r="DXX1331" s="4" t="s">
        <v>2875</v>
      </c>
      <c r="DXY1331" s="4" t="s">
        <v>2875</v>
      </c>
      <c r="DXZ1331" s="4" t="s">
        <v>2875</v>
      </c>
      <c r="DYA1331" s="4" t="s">
        <v>2875</v>
      </c>
      <c r="DYB1331" s="4" t="s">
        <v>2875</v>
      </c>
      <c r="DYC1331" s="4" t="s">
        <v>2875</v>
      </c>
      <c r="DYD1331" s="4" t="s">
        <v>2875</v>
      </c>
      <c r="DYE1331" s="4" t="s">
        <v>2875</v>
      </c>
      <c r="DYF1331" s="4" t="s">
        <v>2875</v>
      </c>
      <c r="DYG1331" s="4" t="s">
        <v>2875</v>
      </c>
      <c r="DYH1331" s="4" t="s">
        <v>2875</v>
      </c>
      <c r="DYI1331" s="4" t="s">
        <v>2875</v>
      </c>
      <c r="DYJ1331" s="4" t="s">
        <v>2875</v>
      </c>
      <c r="DYK1331" s="4" t="s">
        <v>2875</v>
      </c>
      <c r="DYL1331" s="4" t="s">
        <v>2875</v>
      </c>
      <c r="DYM1331" s="4" t="s">
        <v>2875</v>
      </c>
      <c r="DYN1331" s="4" t="s">
        <v>2875</v>
      </c>
      <c r="DYO1331" s="4" t="s">
        <v>2875</v>
      </c>
      <c r="DYP1331" s="4" t="s">
        <v>2875</v>
      </c>
      <c r="DYQ1331" s="4" t="s">
        <v>2875</v>
      </c>
      <c r="DYR1331" s="4" t="s">
        <v>2875</v>
      </c>
      <c r="DYS1331" s="4" t="s">
        <v>2875</v>
      </c>
      <c r="DYT1331" s="4" t="s">
        <v>2875</v>
      </c>
      <c r="DYU1331" s="4" t="s">
        <v>2875</v>
      </c>
      <c r="DYV1331" s="4" t="s">
        <v>2875</v>
      </c>
      <c r="DYW1331" s="4" t="s">
        <v>2875</v>
      </c>
      <c r="DYX1331" s="4" t="s">
        <v>2875</v>
      </c>
      <c r="DYY1331" s="4" t="s">
        <v>2875</v>
      </c>
      <c r="DYZ1331" s="4" t="s">
        <v>2875</v>
      </c>
      <c r="DZA1331" s="4" t="s">
        <v>2875</v>
      </c>
      <c r="DZB1331" s="4" t="s">
        <v>2875</v>
      </c>
      <c r="DZC1331" s="4" t="s">
        <v>2875</v>
      </c>
      <c r="DZD1331" s="4" t="s">
        <v>2875</v>
      </c>
      <c r="DZE1331" s="4" t="s">
        <v>2875</v>
      </c>
      <c r="DZF1331" s="4" t="s">
        <v>2875</v>
      </c>
      <c r="DZG1331" s="4" t="s">
        <v>2875</v>
      </c>
      <c r="DZH1331" s="4" t="s">
        <v>2875</v>
      </c>
      <c r="DZI1331" s="4" t="s">
        <v>2875</v>
      </c>
      <c r="DZJ1331" s="4" t="s">
        <v>2875</v>
      </c>
      <c r="DZK1331" s="4" t="s">
        <v>2875</v>
      </c>
      <c r="DZL1331" s="4" t="s">
        <v>2875</v>
      </c>
      <c r="DZM1331" s="4" t="s">
        <v>2875</v>
      </c>
      <c r="DZN1331" s="4" t="s">
        <v>2875</v>
      </c>
      <c r="DZO1331" s="4" t="s">
        <v>2875</v>
      </c>
      <c r="DZP1331" s="4" t="s">
        <v>2875</v>
      </c>
      <c r="DZQ1331" s="4" t="s">
        <v>2875</v>
      </c>
      <c r="DZR1331" s="4" t="s">
        <v>2875</v>
      </c>
      <c r="DZS1331" s="4" t="s">
        <v>2875</v>
      </c>
      <c r="DZT1331" s="4" t="s">
        <v>2875</v>
      </c>
      <c r="DZU1331" s="4" t="s">
        <v>2875</v>
      </c>
      <c r="DZV1331" s="4" t="s">
        <v>2875</v>
      </c>
      <c r="DZW1331" s="4" t="s">
        <v>2875</v>
      </c>
      <c r="DZX1331" s="4" t="s">
        <v>2875</v>
      </c>
      <c r="DZY1331" s="4" t="s">
        <v>2875</v>
      </c>
      <c r="DZZ1331" s="4" t="s">
        <v>2875</v>
      </c>
      <c r="EAA1331" s="4" t="s">
        <v>2875</v>
      </c>
      <c r="EAB1331" s="4" t="s">
        <v>2875</v>
      </c>
      <c r="EAC1331" s="4" t="s">
        <v>2875</v>
      </c>
      <c r="EAD1331" s="4" t="s">
        <v>2875</v>
      </c>
      <c r="EAE1331" s="4" t="s">
        <v>2875</v>
      </c>
      <c r="EAF1331" s="4" t="s">
        <v>2875</v>
      </c>
      <c r="EAG1331" s="4" t="s">
        <v>2875</v>
      </c>
      <c r="EAH1331" s="4" t="s">
        <v>2875</v>
      </c>
      <c r="EAI1331" s="4" t="s">
        <v>2875</v>
      </c>
      <c r="EAJ1331" s="4" t="s">
        <v>2875</v>
      </c>
      <c r="EAK1331" s="4" t="s">
        <v>2875</v>
      </c>
      <c r="EAL1331" s="4" t="s">
        <v>2875</v>
      </c>
      <c r="EAM1331" s="4" t="s">
        <v>2875</v>
      </c>
      <c r="EAN1331" s="4" t="s">
        <v>2875</v>
      </c>
      <c r="EAO1331" s="4" t="s">
        <v>2875</v>
      </c>
      <c r="EAP1331" s="4" t="s">
        <v>2875</v>
      </c>
      <c r="EAQ1331" s="4" t="s">
        <v>2875</v>
      </c>
      <c r="EAR1331" s="4" t="s">
        <v>2875</v>
      </c>
      <c r="EAS1331" s="4" t="s">
        <v>2875</v>
      </c>
      <c r="EAT1331" s="4" t="s">
        <v>2875</v>
      </c>
      <c r="EAU1331" s="4" t="s">
        <v>2875</v>
      </c>
      <c r="EAV1331" s="4" t="s">
        <v>2875</v>
      </c>
      <c r="EAW1331" s="4" t="s">
        <v>2875</v>
      </c>
      <c r="EAX1331" s="4" t="s">
        <v>2875</v>
      </c>
      <c r="EAY1331" s="4" t="s">
        <v>2875</v>
      </c>
      <c r="EAZ1331" s="4" t="s">
        <v>2875</v>
      </c>
      <c r="EBA1331" s="4" t="s">
        <v>2875</v>
      </c>
      <c r="EBB1331" s="4" t="s">
        <v>2875</v>
      </c>
      <c r="EBC1331" s="4" t="s">
        <v>2875</v>
      </c>
      <c r="EBD1331" s="4" t="s">
        <v>2875</v>
      </c>
      <c r="EBE1331" s="4" t="s">
        <v>2875</v>
      </c>
      <c r="EBF1331" s="4" t="s">
        <v>2875</v>
      </c>
      <c r="EBG1331" s="4" t="s">
        <v>2875</v>
      </c>
      <c r="EBH1331" s="4" t="s">
        <v>2875</v>
      </c>
      <c r="EBI1331" s="4" t="s">
        <v>2875</v>
      </c>
      <c r="EBJ1331" s="4" t="s">
        <v>2875</v>
      </c>
      <c r="EBK1331" s="4" t="s">
        <v>2875</v>
      </c>
      <c r="EBL1331" s="4" t="s">
        <v>2875</v>
      </c>
      <c r="EBM1331" s="4" t="s">
        <v>2875</v>
      </c>
      <c r="EBN1331" s="4" t="s">
        <v>2875</v>
      </c>
      <c r="EBO1331" s="4" t="s">
        <v>2875</v>
      </c>
      <c r="EBP1331" s="4" t="s">
        <v>2875</v>
      </c>
      <c r="EBQ1331" s="4" t="s">
        <v>2875</v>
      </c>
      <c r="EBR1331" s="4" t="s">
        <v>2875</v>
      </c>
      <c r="EBS1331" s="4" t="s">
        <v>2875</v>
      </c>
      <c r="EBT1331" s="4" t="s">
        <v>2875</v>
      </c>
      <c r="EBU1331" s="4" t="s">
        <v>2875</v>
      </c>
      <c r="EBV1331" s="4" t="s">
        <v>2875</v>
      </c>
      <c r="EBW1331" s="4" t="s">
        <v>2875</v>
      </c>
      <c r="EBX1331" s="4" t="s">
        <v>2875</v>
      </c>
      <c r="EBY1331" s="4" t="s">
        <v>2875</v>
      </c>
      <c r="EBZ1331" s="4" t="s">
        <v>2875</v>
      </c>
      <c r="ECA1331" s="4" t="s">
        <v>2875</v>
      </c>
      <c r="ECB1331" s="4" t="s">
        <v>2875</v>
      </c>
      <c r="ECC1331" s="4" t="s">
        <v>2875</v>
      </c>
      <c r="ECD1331" s="4" t="s">
        <v>2875</v>
      </c>
      <c r="ECE1331" s="4" t="s">
        <v>2875</v>
      </c>
      <c r="ECF1331" s="4" t="s">
        <v>2875</v>
      </c>
      <c r="ECG1331" s="4" t="s">
        <v>2875</v>
      </c>
      <c r="ECH1331" s="4" t="s">
        <v>2875</v>
      </c>
      <c r="ECI1331" s="4" t="s">
        <v>2875</v>
      </c>
      <c r="ECJ1331" s="4" t="s">
        <v>2875</v>
      </c>
      <c r="ECK1331" s="4" t="s">
        <v>2875</v>
      </c>
      <c r="ECL1331" s="4" t="s">
        <v>2875</v>
      </c>
      <c r="ECM1331" s="4" t="s">
        <v>2875</v>
      </c>
      <c r="ECN1331" s="4" t="s">
        <v>2875</v>
      </c>
      <c r="ECO1331" s="4" t="s">
        <v>2875</v>
      </c>
      <c r="ECP1331" s="4" t="s">
        <v>2875</v>
      </c>
      <c r="ECQ1331" s="4" t="s">
        <v>2875</v>
      </c>
      <c r="ECR1331" s="4" t="s">
        <v>2875</v>
      </c>
      <c r="ECS1331" s="4" t="s">
        <v>2875</v>
      </c>
      <c r="ECT1331" s="4" t="s">
        <v>2875</v>
      </c>
      <c r="ECU1331" s="4" t="s">
        <v>2875</v>
      </c>
      <c r="ECV1331" s="4" t="s">
        <v>2875</v>
      </c>
      <c r="ECW1331" s="4" t="s">
        <v>2875</v>
      </c>
      <c r="ECX1331" s="4" t="s">
        <v>2875</v>
      </c>
      <c r="ECY1331" s="4" t="s">
        <v>2875</v>
      </c>
      <c r="ECZ1331" s="4" t="s">
        <v>2875</v>
      </c>
      <c r="EDA1331" s="4" t="s">
        <v>2875</v>
      </c>
      <c r="EDB1331" s="4" t="s">
        <v>2875</v>
      </c>
      <c r="EDC1331" s="4" t="s">
        <v>2875</v>
      </c>
      <c r="EDD1331" s="4" t="s">
        <v>2875</v>
      </c>
      <c r="EDE1331" s="4" t="s">
        <v>2875</v>
      </c>
      <c r="EDF1331" s="4" t="s">
        <v>2875</v>
      </c>
      <c r="EDG1331" s="4" t="s">
        <v>2875</v>
      </c>
      <c r="EDH1331" s="4" t="s">
        <v>2875</v>
      </c>
      <c r="EDI1331" s="4" t="s">
        <v>2875</v>
      </c>
      <c r="EDJ1331" s="4" t="s">
        <v>2875</v>
      </c>
      <c r="EDK1331" s="4" t="s">
        <v>2875</v>
      </c>
      <c r="EDL1331" s="4" t="s">
        <v>2875</v>
      </c>
      <c r="EDM1331" s="4" t="s">
        <v>2875</v>
      </c>
      <c r="EDN1331" s="4" t="s">
        <v>2875</v>
      </c>
      <c r="EDO1331" s="4" t="s">
        <v>2875</v>
      </c>
      <c r="EDP1331" s="4" t="s">
        <v>2875</v>
      </c>
      <c r="EDQ1331" s="4" t="s">
        <v>2875</v>
      </c>
      <c r="EDR1331" s="4" t="s">
        <v>2875</v>
      </c>
      <c r="EDS1331" s="4" t="s">
        <v>2875</v>
      </c>
      <c r="EDT1331" s="4" t="s">
        <v>2875</v>
      </c>
      <c r="EDU1331" s="4" t="s">
        <v>2875</v>
      </c>
      <c r="EDV1331" s="4" t="s">
        <v>2875</v>
      </c>
      <c r="EDW1331" s="4" t="s">
        <v>2875</v>
      </c>
      <c r="EDX1331" s="4" t="s">
        <v>2875</v>
      </c>
      <c r="EDY1331" s="4" t="s">
        <v>2875</v>
      </c>
      <c r="EDZ1331" s="4" t="s">
        <v>2875</v>
      </c>
      <c r="EEA1331" s="4" t="s">
        <v>2875</v>
      </c>
      <c r="EEB1331" s="4" t="s">
        <v>2875</v>
      </c>
      <c r="EEC1331" s="4" t="s">
        <v>2875</v>
      </c>
      <c r="EED1331" s="4" t="s">
        <v>2875</v>
      </c>
      <c r="EEE1331" s="4" t="s">
        <v>2875</v>
      </c>
      <c r="EEF1331" s="4" t="s">
        <v>2875</v>
      </c>
      <c r="EEG1331" s="4" t="s">
        <v>2875</v>
      </c>
      <c r="EEH1331" s="4" t="s">
        <v>2875</v>
      </c>
      <c r="EEI1331" s="4" t="s">
        <v>2875</v>
      </c>
      <c r="EEJ1331" s="4" t="s">
        <v>2875</v>
      </c>
      <c r="EEK1331" s="4" t="s">
        <v>2875</v>
      </c>
      <c r="EEL1331" s="4" t="s">
        <v>2875</v>
      </c>
      <c r="EEM1331" s="4" t="s">
        <v>2875</v>
      </c>
      <c r="EEN1331" s="4" t="s">
        <v>2875</v>
      </c>
      <c r="EEO1331" s="4" t="s">
        <v>2875</v>
      </c>
      <c r="EEP1331" s="4" t="s">
        <v>2875</v>
      </c>
      <c r="EEQ1331" s="4" t="s">
        <v>2875</v>
      </c>
      <c r="EER1331" s="4" t="s">
        <v>2875</v>
      </c>
      <c r="EES1331" s="4" t="s">
        <v>2875</v>
      </c>
      <c r="EET1331" s="4" t="s">
        <v>2875</v>
      </c>
      <c r="EEU1331" s="4" t="s">
        <v>2875</v>
      </c>
      <c r="EEV1331" s="4" t="s">
        <v>2875</v>
      </c>
      <c r="EEW1331" s="4" t="s">
        <v>2875</v>
      </c>
      <c r="EEX1331" s="4" t="s">
        <v>2875</v>
      </c>
      <c r="EEY1331" s="4" t="s">
        <v>2875</v>
      </c>
      <c r="EEZ1331" s="4" t="s">
        <v>2875</v>
      </c>
      <c r="EFA1331" s="4" t="s">
        <v>2875</v>
      </c>
      <c r="EFB1331" s="4" t="s">
        <v>2875</v>
      </c>
      <c r="EFC1331" s="4" t="s">
        <v>2875</v>
      </c>
      <c r="EFD1331" s="4" t="s">
        <v>2875</v>
      </c>
      <c r="EFE1331" s="4" t="s">
        <v>2875</v>
      </c>
      <c r="EFF1331" s="4" t="s">
        <v>2875</v>
      </c>
      <c r="EFG1331" s="4" t="s">
        <v>2875</v>
      </c>
      <c r="EFH1331" s="4" t="s">
        <v>2875</v>
      </c>
      <c r="EFI1331" s="4" t="s">
        <v>2875</v>
      </c>
      <c r="EFJ1331" s="4" t="s">
        <v>2875</v>
      </c>
      <c r="EFK1331" s="4" t="s">
        <v>2875</v>
      </c>
      <c r="EFL1331" s="4" t="s">
        <v>2875</v>
      </c>
      <c r="EFM1331" s="4" t="s">
        <v>2875</v>
      </c>
      <c r="EFN1331" s="4" t="s">
        <v>2875</v>
      </c>
      <c r="EFO1331" s="4" t="s">
        <v>2875</v>
      </c>
      <c r="EFP1331" s="4" t="s">
        <v>2875</v>
      </c>
      <c r="EFQ1331" s="4" t="s">
        <v>2875</v>
      </c>
      <c r="EFR1331" s="4" t="s">
        <v>2875</v>
      </c>
      <c r="EFS1331" s="4" t="s">
        <v>2875</v>
      </c>
      <c r="EFT1331" s="4" t="s">
        <v>2875</v>
      </c>
      <c r="EFU1331" s="4" t="s">
        <v>2875</v>
      </c>
      <c r="EFV1331" s="4" t="s">
        <v>2875</v>
      </c>
      <c r="EFW1331" s="4" t="s">
        <v>2875</v>
      </c>
      <c r="EFX1331" s="4" t="s">
        <v>2875</v>
      </c>
      <c r="EFY1331" s="4" t="s">
        <v>2875</v>
      </c>
      <c r="EFZ1331" s="4" t="s">
        <v>2875</v>
      </c>
      <c r="EGA1331" s="4" t="s">
        <v>2875</v>
      </c>
      <c r="EGB1331" s="4" t="s">
        <v>2875</v>
      </c>
      <c r="EGC1331" s="4" t="s">
        <v>2875</v>
      </c>
      <c r="EGD1331" s="4" t="s">
        <v>2875</v>
      </c>
      <c r="EGE1331" s="4" t="s">
        <v>2875</v>
      </c>
      <c r="EGF1331" s="4" t="s">
        <v>2875</v>
      </c>
      <c r="EGG1331" s="4" t="s">
        <v>2875</v>
      </c>
      <c r="EGH1331" s="4" t="s">
        <v>2875</v>
      </c>
      <c r="EGI1331" s="4" t="s">
        <v>2875</v>
      </c>
      <c r="EGJ1331" s="4" t="s">
        <v>2875</v>
      </c>
      <c r="EGK1331" s="4" t="s">
        <v>2875</v>
      </c>
      <c r="EGL1331" s="4" t="s">
        <v>2875</v>
      </c>
      <c r="EGM1331" s="4" t="s">
        <v>2875</v>
      </c>
      <c r="EGN1331" s="4" t="s">
        <v>2875</v>
      </c>
      <c r="EGO1331" s="4" t="s">
        <v>2875</v>
      </c>
      <c r="EGP1331" s="4" t="s">
        <v>2875</v>
      </c>
      <c r="EGQ1331" s="4" t="s">
        <v>2875</v>
      </c>
      <c r="EGR1331" s="4" t="s">
        <v>2875</v>
      </c>
      <c r="EGS1331" s="4" t="s">
        <v>2875</v>
      </c>
      <c r="EGT1331" s="4" t="s">
        <v>2875</v>
      </c>
      <c r="EGU1331" s="4" t="s">
        <v>2875</v>
      </c>
      <c r="EGV1331" s="4" t="s">
        <v>2875</v>
      </c>
      <c r="EGW1331" s="4" t="s">
        <v>2875</v>
      </c>
      <c r="EGX1331" s="4" t="s">
        <v>2875</v>
      </c>
      <c r="EGY1331" s="4" t="s">
        <v>2875</v>
      </c>
      <c r="EGZ1331" s="4" t="s">
        <v>2875</v>
      </c>
      <c r="EHA1331" s="4" t="s">
        <v>2875</v>
      </c>
      <c r="EHB1331" s="4" t="s">
        <v>2875</v>
      </c>
      <c r="EHC1331" s="4" t="s">
        <v>2875</v>
      </c>
      <c r="EHD1331" s="4" t="s">
        <v>2875</v>
      </c>
      <c r="EHE1331" s="4" t="s">
        <v>2875</v>
      </c>
      <c r="EHF1331" s="4" t="s">
        <v>2875</v>
      </c>
      <c r="EHG1331" s="4" t="s">
        <v>2875</v>
      </c>
      <c r="EHH1331" s="4" t="s">
        <v>2875</v>
      </c>
      <c r="EHI1331" s="4" t="s">
        <v>2875</v>
      </c>
      <c r="EHJ1331" s="4" t="s">
        <v>2875</v>
      </c>
      <c r="EHK1331" s="4" t="s">
        <v>2875</v>
      </c>
      <c r="EHL1331" s="4" t="s">
        <v>2875</v>
      </c>
      <c r="EHM1331" s="4" t="s">
        <v>2875</v>
      </c>
      <c r="EHN1331" s="4" t="s">
        <v>2875</v>
      </c>
      <c r="EHO1331" s="4" t="s">
        <v>2875</v>
      </c>
      <c r="EHP1331" s="4" t="s">
        <v>2875</v>
      </c>
      <c r="EHQ1331" s="4" t="s">
        <v>2875</v>
      </c>
      <c r="EHR1331" s="4" t="s">
        <v>2875</v>
      </c>
      <c r="EHS1331" s="4" t="s">
        <v>2875</v>
      </c>
      <c r="EHT1331" s="4" t="s">
        <v>2875</v>
      </c>
      <c r="EHU1331" s="4" t="s">
        <v>2875</v>
      </c>
      <c r="EHV1331" s="4" t="s">
        <v>2875</v>
      </c>
      <c r="EHW1331" s="4" t="s">
        <v>2875</v>
      </c>
      <c r="EHX1331" s="4" t="s">
        <v>2875</v>
      </c>
      <c r="EHY1331" s="4" t="s">
        <v>2875</v>
      </c>
      <c r="EHZ1331" s="4" t="s">
        <v>2875</v>
      </c>
      <c r="EIA1331" s="4" t="s">
        <v>2875</v>
      </c>
      <c r="EIB1331" s="4" t="s">
        <v>2875</v>
      </c>
      <c r="EIC1331" s="4" t="s">
        <v>2875</v>
      </c>
      <c r="EID1331" s="4" t="s">
        <v>2875</v>
      </c>
      <c r="EIE1331" s="4" t="s">
        <v>2875</v>
      </c>
      <c r="EIF1331" s="4" t="s">
        <v>2875</v>
      </c>
      <c r="EIG1331" s="4" t="s">
        <v>2875</v>
      </c>
      <c r="EIH1331" s="4" t="s">
        <v>2875</v>
      </c>
      <c r="EII1331" s="4" t="s">
        <v>2875</v>
      </c>
      <c r="EIJ1331" s="4" t="s">
        <v>2875</v>
      </c>
      <c r="EIK1331" s="4" t="s">
        <v>2875</v>
      </c>
      <c r="EIL1331" s="4" t="s">
        <v>2875</v>
      </c>
      <c r="EIM1331" s="4" t="s">
        <v>2875</v>
      </c>
      <c r="EIN1331" s="4" t="s">
        <v>2875</v>
      </c>
      <c r="EIO1331" s="4" t="s">
        <v>2875</v>
      </c>
      <c r="EIP1331" s="4" t="s">
        <v>2875</v>
      </c>
      <c r="EIQ1331" s="4" t="s">
        <v>2875</v>
      </c>
      <c r="EIR1331" s="4" t="s">
        <v>2875</v>
      </c>
      <c r="EIS1331" s="4" t="s">
        <v>2875</v>
      </c>
      <c r="EIT1331" s="4" t="s">
        <v>2875</v>
      </c>
      <c r="EIU1331" s="4" t="s">
        <v>2875</v>
      </c>
      <c r="EIV1331" s="4" t="s">
        <v>2875</v>
      </c>
      <c r="EIW1331" s="4" t="s">
        <v>2875</v>
      </c>
      <c r="EIX1331" s="4" t="s">
        <v>2875</v>
      </c>
      <c r="EIY1331" s="4" t="s">
        <v>2875</v>
      </c>
      <c r="EIZ1331" s="4" t="s">
        <v>2875</v>
      </c>
      <c r="EJA1331" s="4" t="s">
        <v>2875</v>
      </c>
      <c r="EJB1331" s="4" t="s">
        <v>2875</v>
      </c>
      <c r="EJC1331" s="4" t="s">
        <v>2875</v>
      </c>
      <c r="EJD1331" s="4" t="s">
        <v>2875</v>
      </c>
      <c r="EJE1331" s="4" t="s">
        <v>2875</v>
      </c>
      <c r="EJF1331" s="4" t="s">
        <v>2875</v>
      </c>
      <c r="EJG1331" s="4" t="s">
        <v>2875</v>
      </c>
      <c r="EJH1331" s="4" t="s">
        <v>2875</v>
      </c>
      <c r="EJI1331" s="4" t="s">
        <v>2875</v>
      </c>
      <c r="EJJ1331" s="4" t="s">
        <v>2875</v>
      </c>
      <c r="EJK1331" s="4" t="s">
        <v>2875</v>
      </c>
      <c r="EJL1331" s="4" t="s">
        <v>2875</v>
      </c>
      <c r="EJM1331" s="4" t="s">
        <v>2875</v>
      </c>
      <c r="EJN1331" s="4" t="s">
        <v>2875</v>
      </c>
      <c r="EJO1331" s="4" t="s">
        <v>2875</v>
      </c>
      <c r="EJP1331" s="4" t="s">
        <v>2875</v>
      </c>
      <c r="EJQ1331" s="4" t="s">
        <v>2875</v>
      </c>
      <c r="EJR1331" s="4" t="s">
        <v>2875</v>
      </c>
      <c r="EJS1331" s="4" t="s">
        <v>2875</v>
      </c>
      <c r="EJT1331" s="4" t="s">
        <v>2875</v>
      </c>
      <c r="EJU1331" s="4" t="s">
        <v>2875</v>
      </c>
      <c r="EJV1331" s="4" t="s">
        <v>2875</v>
      </c>
      <c r="EJW1331" s="4" t="s">
        <v>2875</v>
      </c>
      <c r="EJX1331" s="4" t="s">
        <v>2875</v>
      </c>
      <c r="EJY1331" s="4" t="s">
        <v>2875</v>
      </c>
      <c r="EJZ1331" s="4" t="s">
        <v>2875</v>
      </c>
      <c r="EKA1331" s="4" t="s">
        <v>2875</v>
      </c>
      <c r="EKB1331" s="4" t="s">
        <v>2875</v>
      </c>
      <c r="EKC1331" s="4" t="s">
        <v>2875</v>
      </c>
      <c r="EKD1331" s="4" t="s">
        <v>2875</v>
      </c>
      <c r="EKE1331" s="4" t="s">
        <v>2875</v>
      </c>
      <c r="EKF1331" s="4" t="s">
        <v>2875</v>
      </c>
      <c r="EKG1331" s="4" t="s">
        <v>2875</v>
      </c>
      <c r="EKH1331" s="4" t="s">
        <v>2875</v>
      </c>
      <c r="EKI1331" s="4" t="s">
        <v>2875</v>
      </c>
      <c r="EKJ1331" s="4" t="s">
        <v>2875</v>
      </c>
      <c r="EKK1331" s="4" t="s">
        <v>2875</v>
      </c>
      <c r="EKL1331" s="4" t="s">
        <v>2875</v>
      </c>
      <c r="EKM1331" s="4" t="s">
        <v>2875</v>
      </c>
      <c r="EKN1331" s="4" t="s">
        <v>2875</v>
      </c>
      <c r="EKO1331" s="4" t="s">
        <v>2875</v>
      </c>
      <c r="EKP1331" s="4" t="s">
        <v>2875</v>
      </c>
      <c r="EKQ1331" s="4" t="s">
        <v>2875</v>
      </c>
      <c r="EKR1331" s="4" t="s">
        <v>2875</v>
      </c>
      <c r="EKS1331" s="4" t="s">
        <v>2875</v>
      </c>
      <c r="EKT1331" s="4" t="s">
        <v>2875</v>
      </c>
      <c r="EKU1331" s="4" t="s">
        <v>2875</v>
      </c>
      <c r="EKV1331" s="4" t="s">
        <v>2875</v>
      </c>
      <c r="EKW1331" s="4" t="s">
        <v>2875</v>
      </c>
      <c r="EKX1331" s="4" t="s">
        <v>2875</v>
      </c>
      <c r="EKY1331" s="4" t="s">
        <v>2875</v>
      </c>
      <c r="EKZ1331" s="4" t="s">
        <v>2875</v>
      </c>
      <c r="ELA1331" s="4" t="s">
        <v>2875</v>
      </c>
      <c r="ELB1331" s="4" t="s">
        <v>2875</v>
      </c>
      <c r="ELC1331" s="4" t="s">
        <v>2875</v>
      </c>
      <c r="ELD1331" s="4" t="s">
        <v>2875</v>
      </c>
      <c r="ELE1331" s="4" t="s">
        <v>2875</v>
      </c>
      <c r="ELF1331" s="4" t="s">
        <v>2875</v>
      </c>
      <c r="ELG1331" s="4" t="s">
        <v>2875</v>
      </c>
      <c r="ELH1331" s="4" t="s">
        <v>2875</v>
      </c>
      <c r="ELI1331" s="4" t="s">
        <v>2875</v>
      </c>
      <c r="ELJ1331" s="4" t="s">
        <v>2875</v>
      </c>
      <c r="ELK1331" s="4" t="s">
        <v>2875</v>
      </c>
      <c r="ELL1331" s="4" t="s">
        <v>2875</v>
      </c>
      <c r="ELM1331" s="4" t="s">
        <v>2875</v>
      </c>
      <c r="ELN1331" s="4" t="s">
        <v>2875</v>
      </c>
      <c r="ELO1331" s="4" t="s">
        <v>2875</v>
      </c>
      <c r="ELP1331" s="4" t="s">
        <v>2875</v>
      </c>
      <c r="ELQ1331" s="4" t="s">
        <v>2875</v>
      </c>
      <c r="ELR1331" s="4" t="s">
        <v>2875</v>
      </c>
      <c r="ELS1331" s="4" t="s">
        <v>2875</v>
      </c>
      <c r="ELT1331" s="4" t="s">
        <v>2875</v>
      </c>
      <c r="ELU1331" s="4" t="s">
        <v>2875</v>
      </c>
      <c r="ELV1331" s="4" t="s">
        <v>2875</v>
      </c>
      <c r="ELW1331" s="4" t="s">
        <v>2875</v>
      </c>
      <c r="ELX1331" s="4" t="s">
        <v>2875</v>
      </c>
      <c r="ELY1331" s="4" t="s">
        <v>2875</v>
      </c>
      <c r="ELZ1331" s="4" t="s">
        <v>2875</v>
      </c>
      <c r="EMA1331" s="4" t="s">
        <v>2875</v>
      </c>
      <c r="EMB1331" s="4" t="s">
        <v>2875</v>
      </c>
      <c r="EMC1331" s="4" t="s">
        <v>2875</v>
      </c>
      <c r="EMD1331" s="4" t="s">
        <v>2875</v>
      </c>
      <c r="EME1331" s="4" t="s">
        <v>2875</v>
      </c>
      <c r="EMF1331" s="4" t="s">
        <v>2875</v>
      </c>
      <c r="EMG1331" s="4" t="s">
        <v>2875</v>
      </c>
      <c r="EMH1331" s="4" t="s">
        <v>2875</v>
      </c>
      <c r="EMI1331" s="4" t="s">
        <v>2875</v>
      </c>
      <c r="EMJ1331" s="4" t="s">
        <v>2875</v>
      </c>
      <c r="EMK1331" s="4" t="s">
        <v>2875</v>
      </c>
      <c r="EML1331" s="4" t="s">
        <v>2875</v>
      </c>
      <c r="EMM1331" s="4" t="s">
        <v>2875</v>
      </c>
      <c r="EMN1331" s="4" t="s">
        <v>2875</v>
      </c>
      <c r="EMO1331" s="4" t="s">
        <v>2875</v>
      </c>
      <c r="EMP1331" s="4" t="s">
        <v>2875</v>
      </c>
      <c r="EMQ1331" s="4" t="s">
        <v>2875</v>
      </c>
      <c r="EMR1331" s="4" t="s">
        <v>2875</v>
      </c>
      <c r="EMS1331" s="4" t="s">
        <v>2875</v>
      </c>
      <c r="EMT1331" s="4" t="s">
        <v>2875</v>
      </c>
      <c r="EMU1331" s="4" t="s">
        <v>2875</v>
      </c>
      <c r="EMV1331" s="4" t="s">
        <v>2875</v>
      </c>
      <c r="EMW1331" s="4" t="s">
        <v>2875</v>
      </c>
      <c r="EMX1331" s="4" t="s">
        <v>2875</v>
      </c>
      <c r="EMY1331" s="4" t="s">
        <v>2875</v>
      </c>
      <c r="EMZ1331" s="4" t="s">
        <v>2875</v>
      </c>
      <c r="ENA1331" s="4" t="s">
        <v>2875</v>
      </c>
      <c r="ENB1331" s="4" t="s">
        <v>2875</v>
      </c>
      <c r="ENC1331" s="4" t="s">
        <v>2875</v>
      </c>
      <c r="END1331" s="4" t="s">
        <v>2875</v>
      </c>
      <c r="ENE1331" s="4" t="s">
        <v>2875</v>
      </c>
      <c r="ENF1331" s="4" t="s">
        <v>2875</v>
      </c>
      <c r="ENG1331" s="4" t="s">
        <v>2875</v>
      </c>
      <c r="ENH1331" s="4" t="s">
        <v>2875</v>
      </c>
      <c r="ENI1331" s="4" t="s">
        <v>2875</v>
      </c>
      <c r="ENJ1331" s="4" t="s">
        <v>2875</v>
      </c>
      <c r="ENK1331" s="4" t="s">
        <v>2875</v>
      </c>
      <c r="ENL1331" s="4" t="s">
        <v>2875</v>
      </c>
      <c r="ENM1331" s="4" t="s">
        <v>2875</v>
      </c>
      <c r="ENN1331" s="4" t="s">
        <v>2875</v>
      </c>
      <c r="ENO1331" s="4" t="s">
        <v>2875</v>
      </c>
      <c r="ENP1331" s="4" t="s">
        <v>2875</v>
      </c>
      <c r="ENQ1331" s="4" t="s">
        <v>2875</v>
      </c>
      <c r="ENR1331" s="4" t="s">
        <v>2875</v>
      </c>
      <c r="ENS1331" s="4" t="s">
        <v>2875</v>
      </c>
      <c r="ENT1331" s="4" t="s">
        <v>2875</v>
      </c>
      <c r="ENU1331" s="4" t="s">
        <v>2875</v>
      </c>
      <c r="ENV1331" s="4" t="s">
        <v>2875</v>
      </c>
      <c r="ENW1331" s="4" t="s">
        <v>2875</v>
      </c>
      <c r="ENX1331" s="4" t="s">
        <v>2875</v>
      </c>
      <c r="ENY1331" s="4" t="s">
        <v>2875</v>
      </c>
      <c r="ENZ1331" s="4" t="s">
        <v>2875</v>
      </c>
      <c r="EOA1331" s="4" t="s">
        <v>2875</v>
      </c>
      <c r="EOB1331" s="4" t="s">
        <v>2875</v>
      </c>
      <c r="EOC1331" s="4" t="s">
        <v>2875</v>
      </c>
      <c r="EOD1331" s="4" t="s">
        <v>2875</v>
      </c>
      <c r="EOE1331" s="4" t="s">
        <v>2875</v>
      </c>
      <c r="EOF1331" s="4" t="s">
        <v>2875</v>
      </c>
      <c r="EOG1331" s="4" t="s">
        <v>2875</v>
      </c>
      <c r="EOH1331" s="4" t="s">
        <v>2875</v>
      </c>
      <c r="EOI1331" s="4" t="s">
        <v>2875</v>
      </c>
      <c r="EOJ1331" s="4" t="s">
        <v>2875</v>
      </c>
      <c r="EOK1331" s="4" t="s">
        <v>2875</v>
      </c>
      <c r="EOL1331" s="4" t="s">
        <v>2875</v>
      </c>
      <c r="EOM1331" s="4" t="s">
        <v>2875</v>
      </c>
      <c r="EON1331" s="4" t="s">
        <v>2875</v>
      </c>
      <c r="EOO1331" s="4" t="s">
        <v>2875</v>
      </c>
      <c r="EOP1331" s="4" t="s">
        <v>2875</v>
      </c>
      <c r="EOQ1331" s="4" t="s">
        <v>2875</v>
      </c>
      <c r="EOR1331" s="4" t="s">
        <v>2875</v>
      </c>
      <c r="EOS1331" s="4" t="s">
        <v>2875</v>
      </c>
      <c r="EOT1331" s="4" t="s">
        <v>2875</v>
      </c>
      <c r="EOU1331" s="4" t="s">
        <v>2875</v>
      </c>
      <c r="EOV1331" s="4" t="s">
        <v>2875</v>
      </c>
      <c r="EOW1331" s="4" t="s">
        <v>2875</v>
      </c>
      <c r="EOX1331" s="4" t="s">
        <v>2875</v>
      </c>
      <c r="EOY1331" s="4" t="s">
        <v>2875</v>
      </c>
      <c r="EOZ1331" s="4" t="s">
        <v>2875</v>
      </c>
      <c r="EPA1331" s="4" t="s">
        <v>2875</v>
      </c>
      <c r="EPB1331" s="4" t="s">
        <v>2875</v>
      </c>
      <c r="EPC1331" s="4" t="s">
        <v>2875</v>
      </c>
      <c r="EPD1331" s="4" t="s">
        <v>2875</v>
      </c>
      <c r="EPE1331" s="4" t="s">
        <v>2875</v>
      </c>
      <c r="EPF1331" s="4" t="s">
        <v>2875</v>
      </c>
      <c r="EPG1331" s="4" t="s">
        <v>2875</v>
      </c>
      <c r="EPH1331" s="4" t="s">
        <v>2875</v>
      </c>
      <c r="EPI1331" s="4" t="s">
        <v>2875</v>
      </c>
      <c r="EPJ1331" s="4" t="s">
        <v>2875</v>
      </c>
      <c r="EPK1331" s="4" t="s">
        <v>2875</v>
      </c>
      <c r="EPL1331" s="4" t="s">
        <v>2875</v>
      </c>
      <c r="EPM1331" s="4" t="s">
        <v>2875</v>
      </c>
      <c r="EPN1331" s="4" t="s">
        <v>2875</v>
      </c>
      <c r="EPO1331" s="4" t="s">
        <v>2875</v>
      </c>
      <c r="EPP1331" s="4" t="s">
        <v>2875</v>
      </c>
      <c r="EPQ1331" s="4" t="s">
        <v>2875</v>
      </c>
      <c r="EPR1331" s="4" t="s">
        <v>2875</v>
      </c>
      <c r="EPS1331" s="4" t="s">
        <v>2875</v>
      </c>
      <c r="EPT1331" s="4" t="s">
        <v>2875</v>
      </c>
      <c r="EPU1331" s="4" t="s">
        <v>2875</v>
      </c>
      <c r="EPV1331" s="4" t="s">
        <v>2875</v>
      </c>
      <c r="EPW1331" s="4" t="s">
        <v>2875</v>
      </c>
      <c r="EPX1331" s="4" t="s">
        <v>2875</v>
      </c>
      <c r="EPY1331" s="4" t="s">
        <v>2875</v>
      </c>
      <c r="EPZ1331" s="4" t="s">
        <v>2875</v>
      </c>
      <c r="EQA1331" s="4" t="s">
        <v>2875</v>
      </c>
      <c r="EQB1331" s="4" t="s">
        <v>2875</v>
      </c>
      <c r="EQC1331" s="4" t="s">
        <v>2875</v>
      </c>
      <c r="EQD1331" s="4" t="s">
        <v>2875</v>
      </c>
      <c r="EQE1331" s="4" t="s">
        <v>2875</v>
      </c>
      <c r="EQF1331" s="4" t="s">
        <v>2875</v>
      </c>
      <c r="EQG1331" s="4" t="s">
        <v>2875</v>
      </c>
      <c r="EQH1331" s="4" t="s">
        <v>2875</v>
      </c>
      <c r="EQI1331" s="4" t="s">
        <v>2875</v>
      </c>
      <c r="EQJ1331" s="4" t="s">
        <v>2875</v>
      </c>
      <c r="EQK1331" s="4" t="s">
        <v>2875</v>
      </c>
      <c r="EQL1331" s="4" t="s">
        <v>2875</v>
      </c>
      <c r="EQM1331" s="4" t="s">
        <v>2875</v>
      </c>
      <c r="EQN1331" s="4" t="s">
        <v>2875</v>
      </c>
      <c r="EQO1331" s="4" t="s">
        <v>2875</v>
      </c>
      <c r="EQP1331" s="4" t="s">
        <v>2875</v>
      </c>
      <c r="EQQ1331" s="4" t="s">
        <v>2875</v>
      </c>
      <c r="EQR1331" s="4" t="s">
        <v>2875</v>
      </c>
      <c r="EQS1331" s="4" t="s">
        <v>2875</v>
      </c>
      <c r="EQT1331" s="4" t="s">
        <v>2875</v>
      </c>
      <c r="EQU1331" s="4" t="s">
        <v>2875</v>
      </c>
      <c r="EQV1331" s="4" t="s">
        <v>2875</v>
      </c>
      <c r="EQW1331" s="4" t="s">
        <v>2875</v>
      </c>
      <c r="EQX1331" s="4" t="s">
        <v>2875</v>
      </c>
      <c r="EQY1331" s="4" t="s">
        <v>2875</v>
      </c>
      <c r="EQZ1331" s="4" t="s">
        <v>2875</v>
      </c>
      <c r="ERA1331" s="4" t="s">
        <v>2875</v>
      </c>
      <c r="ERB1331" s="4" t="s">
        <v>2875</v>
      </c>
      <c r="ERC1331" s="4" t="s">
        <v>2875</v>
      </c>
      <c r="ERD1331" s="4" t="s">
        <v>2875</v>
      </c>
      <c r="ERE1331" s="4" t="s">
        <v>2875</v>
      </c>
      <c r="ERF1331" s="4" t="s">
        <v>2875</v>
      </c>
      <c r="ERG1331" s="4" t="s">
        <v>2875</v>
      </c>
      <c r="ERH1331" s="4" t="s">
        <v>2875</v>
      </c>
      <c r="ERI1331" s="4" t="s">
        <v>2875</v>
      </c>
      <c r="ERJ1331" s="4" t="s">
        <v>2875</v>
      </c>
      <c r="ERK1331" s="4" t="s">
        <v>2875</v>
      </c>
      <c r="ERL1331" s="4" t="s">
        <v>2875</v>
      </c>
      <c r="ERM1331" s="4" t="s">
        <v>2875</v>
      </c>
      <c r="ERN1331" s="4" t="s">
        <v>2875</v>
      </c>
      <c r="ERO1331" s="4" t="s">
        <v>2875</v>
      </c>
      <c r="ERP1331" s="4" t="s">
        <v>2875</v>
      </c>
      <c r="ERQ1331" s="4" t="s">
        <v>2875</v>
      </c>
      <c r="ERR1331" s="4" t="s">
        <v>2875</v>
      </c>
      <c r="ERS1331" s="4" t="s">
        <v>2875</v>
      </c>
      <c r="ERT1331" s="4" t="s">
        <v>2875</v>
      </c>
      <c r="ERU1331" s="4" t="s">
        <v>2875</v>
      </c>
      <c r="ERV1331" s="4" t="s">
        <v>2875</v>
      </c>
      <c r="ERW1331" s="4" t="s">
        <v>2875</v>
      </c>
      <c r="ERX1331" s="4" t="s">
        <v>2875</v>
      </c>
      <c r="ERY1331" s="4" t="s">
        <v>2875</v>
      </c>
      <c r="ERZ1331" s="4" t="s">
        <v>2875</v>
      </c>
      <c r="ESA1331" s="4" t="s">
        <v>2875</v>
      </c>
      <c r="ESB1331" s="4" t="s">
        <v>2875</v>
      </c>
      <c r="ESC1331" s="4" t="s">
        <v>2875</v>
      </c>
      <c r="ESD1331" s="4" t="s">
        <v>2875</v>
      </c>
      <c r="ESE1331" s="4" t="s">
        <v>2875</v>
      </c>
      <c r="ESF1331" s="4" t="s">
        <v>2875</v>
      </c>
      <c r="ESG1331" s="4" t="s">
        <v>2875</v>
      </c>
      <c r="ESH1331" s="4" t="s">
        <v>2875</v>
      </c>
      <c r="ESI1331" s="4" t="s">
        <v>2875</v>
      </c>
      <c r="ESJ1331" s="4" t="s">
        <v>2875</v>
      </c>
      <c r="ESK1331" s="4" t="s">
        <v>2875</v>
      </c>
      <c r="ESL1331" s="4" t="s">
        <v>2875</v>
      </c>
      <c r="ESM1331" s="4" t="s">
        <v>2875</v>
      </c>
      <c r="ESN1331" s="4" t="s">
        <v>2875</v>
      </c>
      <c r="ESO1331" s="4" t="s">
        <v>2875</v>
      </c>
      <c r="ESP1331" s="4" t="s">
        <v>2875</v>
      </c>
      <c r="ESQ1331" s="4" t="s">
        <v>2875</v>
      </c>
      <c r="ESR1331" s="4" t="s">
        <v>2875</v>
      </c>
      <c r="ESS1331" s="4" t="s">
        <v>2875</v>
      </c>
      <c r="EST1331" s="4" t="s">
        <v>2875</v>
      </c>
      <c r="ESU1331" s="4" t="s">
        <v>2875</v>
      </c>
      <c r="ESV1331" s="4" t="s">
        <v>2875</v>
      </c>
      <c r="ESW1331" s="4" t="s">
        <v>2875</v>
      </c>
      <c r="ESX1331" s="4" t="s">
        <v>2875</v>
      </c>
      <c r="ESY1331" s="4" t="s">
        <v>2875</v>
      </c>
      <c r="ESZ1331" s="4" t="s">
        <v>2875</v>
      </c>
      <c r="ETA1331" s="4" t="s">
        <v>2875</v>
      </c>
      <c r="ETB1331" s="4" t="s">
        <v>2875</v>
      </c>
      <c r="ETC1331" s="4" t="s">
        <v>2875</v>
      </c>
      <c r="ETD1331" s="4" t="s">
        <v>2875</v>
      </c>
      <c r="ETE1331" s="4" t="s">
        <v>2875</v>
      </c>
      <c r="ETF1331" s="4" t="s">
        <v>2875</v>
      </c>
      <c r="ETG1331" s="4" t="s">
        <v>2875</v>
      </c>
      <c r="ETH1331" s="4" t="s">
        <v>2875</v>
      </c>
      <c r="ETI1331" s="4" t="s">
        <v>2875</v>
      </c>
      <c r="ETJ1331" s="4" t="s">
        <v>2875</v>
      </c>
      <c r="ETK1331" s="4" t="s">
        <v>2875</v>
      </c>
      <c r="ETL1331" s="4" t="s">
        <v>2875</v>
      </c>
      <c r="ETM1331" s="4" t="s">
        <v>2875</v>
      </c>
      <c r="ETN1331" s="4" t="s">
        <v>2875</v>
      </c>
      <c r="ETO1331" s="4" t="s">
        <v>2875</v>
      </c>
      <c r="ETP1331" s="4" t="s">
        <v>2875</v>
      </c>
      <c r="ETQ1331" s="4" t="s">
        <v>2875</v>
      </c>
      <c r="ETR1331" s="4" t="s">
        <v>2875</v>
      </c>
      <c r="ETS1331" s="4" t="s">
        <v>2875</v>
      </c>
      <c r="ETT1331" s="4" t="s">
        <v>2875</v>
      </c>
      <c r="ETU1331" s="4" t="s">
        <v>2875</v>
      </c>
      <c r="ETV1331" s="4" t="s">
        <v>2875</v>
      </c>
      <c r="ETW1331" s="4" t="s">
        <v>2875</v>
      </c>
      <c r="ETX1331" s="4" t="s">
        <v>2875</v>
      </c>
      <c r="ETY1331" s="4" t="s">
        <v>2875</v>
      </c>
      <c r="ETZ1331" s="4" t="s">
        <v>2875</v>
      </c>
      <c r="EUA1331" s="4" t="s">
        <v>2875</v>
      </c>
      <c r="EUB1331" s="4" t="s">
        <v>2875</v>
      </c>
      <c r="EUC1331" s="4" t="s">
        <v>2875</v>
      </c>
      <c r="EUD1331" s="4" t="s">
        <v>2875</v>
      </c>
      <c r="EUE1331" s="4" t="s">
        <v>2875</v>
      </c>
      <c r="EUF1331" s="4" t="s">
        <v>2875</v>
      </c>
      <c r="EUG1331" s="4" t="s">
        <v>2875</v>
      </c>
      <c r="EUH1331" s="4" t="s">
        <v>2875</v>
      </c>
      <c r="EUI1331" s="4" t="s">
        <v>2875</v>
      </c>
      <c r="EUJ1331" s="4" t="s">
        <v>2875</v>
      </c>
      <c r="EUK1331" s="4" t="s">
        <v>2875</v>
      </c>
      <c r="EUL1331" s="4" t="s">
        <v>2875</v>
      </c>
      <c r="EUM1331" s="4" t="s">
        <v>2875</v>
      </c>
      <c r="EUN1331" s="4" t="s">
        <v>2875</v>
      </c>
      <c r="EUO1331" s="4" t="s">
        <v>2875</v>
      </c>
      <c r="EUP1331" s="4" t="s">
        <v>2875</v>
      </c>
      <c r="EUQ1331" s="4" t="s">
        <v>2875</v>
      </c>
      <c r="EUR1331" s="4" t="s">
        <v>2875</v>
      </c>
      <c r="EUS1331" s="4" t="s">
        <v>2875</v>
      </c>
      <c r="EUT1331" s="4" t="s">
        <v>2875</v>
      </c>
      <c r="EUU1331" s="4" t="s">
        <v>2875</v>
      </c>
      <c r="EUV1331" s="4" t="s">
        <v>2875</v>
      </c>
      <c r="EUW1331" s="4" t="s">
        <v>2875</v>
      </c>
      <c r="EUX1331" s="4" t="s">
        <v>2875</v>
      </c>
      <c r="EUY1331" s="4" t="s">
        <v>2875</v>
      </c>
      <c r="EUZ1331" s="4" t="s">
        <v>2875</v>
      </c>
      <c r="EVA1331" s="4" t="s">
        <v>2875</v>
      </c>
      <c r="EVB1331" s="4" t="s">
        <v>2875</v>
      </c>
      <c r="EVC1331" s="4" t="s">
        <v>2875</v>
      </c>
      <c r="EVD1331" s="4" t="s">
        <v>2875</v>
      </c>
      <c r="EVE1331" s="4" t="s">
        <v>2875</v>
      </c>
      <c r="EVF1331" s="4" t="s">
        <v>2875</v>
      </c>
      <c r="EVG1331" s="4" t="s">
        <v>2875</v>
      </c>
      <c r="EVH1331" s="4" t="s">
        <v>2875</v>
      </c>
      <c r="EVI1331" s="4" t="s">
        <v>2875</v>
      </c>
      <c r="EVJ1331" s="4" t="s">
        <v>2875</v>
      </c>
      <c r="EVK1331" s="4" t="s">
        <v>2875</v>
      </c>
      <c r="EVL1331" s="4" t="s">
        <v>2875</v>
      </c>
      <c r="EVM1331" s="4" t="s">
        <v>2875</v>
      </c>
      <c r="EVN1331" s="4" t="s">
        <v>2875</v>
      </c>
      <c r="EVO1331" s="4" t="s">
        <v>2875</v>
      </c>
      <c r="EVP1331" s="4" t="s">
        <v>2875</v>
      </c>
      <c r="EVQ1331" s="4" t="s">
        <v>2875</v>
      </c>
      <c r="EVR1331" s="4" t="s">
        <v>2875</v>
      </c>
      <c r="EVS1331" s="4" t="s">
        <v>2875</v>
      </c>
      <c r="EVT1331" s="4" t="s">
        <v>2875</v>
      </c>
      <c r="EVU1331" s="4" t="s">
        <v>2875</v>
      </c>
      <c r="EVV1331" s="4" t="s">
        <v>2875</v>
      </c>
      <c r="EVW1331" s="4" t="s">
        <v>2875</v>
      </c>
      <c r="EVX1331" s="4" t="s">
        <v>2875</v>
      </c>
      <c r="EVY1331" s="4" t="s">
        <v>2875</v>
      </c>
      <c r="EVZ1331" s="4" t="s">
        <v>2875</v>
      </c>
      <c r="EWA1331" s="4" t="s">
        <v>2875</v>
      </c>
      <c r="EWB1331" s="4" t="s">
        <v>2875</v>
      </c>
      <c r="EWC1331" s="4" t="s">
        <v>2875</v>
      </c>
      <c r="EWD1331" s="4" t="s">
        <v>2875</v>
      </c>
      <c r="EWE1331" s="4" t="s">
        <v>2875</v>
      </c>
      <c r="EWF1331" s="4" t="s">
        <v>2875</v>
      </c>
      <c r="EWG1331" s="4" t="s">
        <v>2875</v>
      </c>
      <c r="EWH1331" s="4" t="s">
        <v>2875</v>
      </c>
      <c r="EWI1331" s="4" t="s">
        <v>2875</v>
      </c>
      <c r="EWJ1331" s="4" t="s">
        <v>2875</v>
      </c>
      <c r="EWK1331" s="4" t="s">
        <v>2875</v>
      </c>
      <c r="EWL1331" s="4" t="s">
        <v>2875</v>
      </c>
      <c r="EWM1331" s="4" t="s">
        <v>2875</v>
      </c>
      <c r="EWN1331" s="4" t="s">
        <v>2875</v>
      </c>
      <c r="EWO1331" s="4" t="s">
        <v>2875</v>
      </c>
      <c r="EWP1331" s="4" t="s">
        <v>2875</v>
      </c>
      <c r="EWQ1331" s="4" t="s">
        <v>2875</v>
      </c>
      <c r="EWR1331" s="4" t="s">
        <v>2875</v>
      </c>
      <c r="EWS1331" s="4" t="s">
        <v>2875</v>
      </c>
      <c r="EWT1331" s="4" t="s">
        <v>2875</v>
      </c>
      <c r="EWU1331" s="4" t="s">
        <v>2875</v>
      </c>
      <c r="EWV1331" s="4" t="s">
        <v>2875</v>
      </c>
      <c r="EWW1331" s="4" t="s">
        <v>2875</v>
      </c>
      <c r="EWX1331" s="4" t="s">
        <v>2875</v>
      </c>
      <c r="EWY1331" s="4" t="s">
        <v>2875</v>
      </c>
      <c r="EWZ1331" s="4" t="s">
        <v>2875</v>
      </c>
      <c r="EXA1331" s="4" t="s">
        <v>2875</v>
      </c>
      <c r="EXB1331" s="4" t="s">
        <v>2875</v>
      </c>
      <c r="EXC1331" s="4" t="s">
        <v>2875</v>
      </c>
      <c r="EXD1331" s="4" t="s">
        <v>2875</v>
      </c>
      <c r="EXE1331" s="4" t="s">
        <v>2875</v>
      </c>
      <c r="EXF1331" s="4" t="s">
        <v>2875</v>
      </c>
      <c r="EXG1331" s="4" t="s">
        <v>2875</v>
      </c>
      <c r="EXH1331" s="4" t="s">
        <v>2875</v>
      </c>
      <c r="EXI1331" s="4" t="s">
        <v>2875</v>
      </c>
      <c r="EXJ1331" s="4" t="s">
        <v>2875</v>
      </c>
      <c r="EXK1331" s="4" t="s">
        <v>2875</v>
      </c>
      <c r="EXL1331" s="4" t="s">
        <v>2875</v>
      </c>
      <c r="EXM1331" s="4" t="s">
        <v>2875</v>
      </c>
      <c r="EXN1331" s="4" t="s">
        <v>2875</v>
      </c>
      <c r="EXO1331" s="4" t="s">
        <v>2875</v>
      </c>
      <c r="EXP1331" s="4" t="s">
        <v>2875</v>
      </c>
      <c r="EXQ1331" s="4" t="s">
        <v>2875</v>
      </c>
      <c r="EXR1331" s="4" t="s">
        <v>2875</v>
      </c>
      <c r="EXS1331" s="4" t="s">
        <v>2875</v>
      </c>
      <c r="EXT1331" s="4" t="s">
        <v>2875</v>
      </c>
      <c r="EXU1331" s="4" t="s">
        <v>2875</v>
      </c>
      <c r="EXV1331" s="4" t="s">
        <v>2875</v>
      </c>
      <c r="EXW1331" s="4" t="s">
        <v>2875</v>
      </c>
      <c r="EXX1331" s="4" t="s">
        <v>2875</v>
      </c>
      <c r="EXY1331" s="4" t="s">
        <v>2875</v>
      </c>
      <c r="EXZ1331" s="4" t="s">
        <v>2875</v>
      </c>
      <c r="EYA1331" s="4" t="s">
        <v>2875</v>
      </c>
      <c r="EYB1331" s="4" t="s">
        <v>2875</v>
      </c>
      <c r="EYC1331" s="4" t="s">
        <v>2875</v>
      </c>
      <c r="EYD1331" s="4" t="s">
        <v>2875</v>
      </c>
      <c r="EYE1331" s="4" t="s">
        <v>2875</v>
      </c>
      <c r="EYF1331" s="4" t="s">
        <v>2875</v>
      </c>
      <c r="EYG1331" s="4" t="s">
        <v>2875</v>
      </c>
      <c r="EYH1331" s="4" t="s">
        <v>2875</v>
      </c>
      <c r="EYI1331" s="4" t="s">
        <v>2875</v>
      </c>
      <c r="EYJ1331" s="4" t="s">
        <v>2875</v>
      </c>
      <c r="EYK1331" s="4" t="s">
        <v>2875</v>
      </c>
      <c r="EYL1331" s="4" t="s">
        <v>2875</v>
      </c>
      <c r="EYM1331" s="4" t="s">
        <v>2875</v>
      </c>
      <c r="EYN1331" s="4" t="s">
        <v>2875</v>
      </c>
      <c r="EYO1331" s="4" t="s">
        <v>2875</v>
      </c>
      <c r="EYP1331" s="4" t="s">
        <v>2875</v>
      </c>
      <c r="EYQ1331" s="4" t="s">
        <v>2875</v>
      </c>
      <c r="EYR1331" s="4" t="s">
        <v>2875</v>
      </c>
      <c r="EYS1331" s="4" t="s">
        <v>2875</v>
      </c>
      <c r="EYT1331" s="4" t="s">
        <v>2875</v>
      </c>
      <c r="EYU1331" s="4" t="s">
        <v>2875</v>
      </c>
      <c r="EYV1331" s="4" t="s">
        <v>2875</v>
      </c>
      <c r="EYW1331" s="4" t="s">
        <v>2875</v>
      </c>
      <c r="EYX1331" s="4" t="s">
        <v>2875</v>
      </c>
      <c r="EYY1331" s="4" t="s">
        <v>2875</v>
      </c>
      <c r="EYZ1331" s="4" t="s">
        <v>2875</v>
      </c>
      <c r="EZA1331" s="4" t="s">
        <v>2875</v>
      </c>
      <c r="EZB1331" s="4" t="s">
        <v>2875</v>
      </c>
      <c r="EZC1331" s="4" t="s">
        <v>2875</v>
      </c>
      <c r="EZD1331" s="4" t="s">
        <v>2875</v>
      </c>
      <c r="EZE1331" s="4" t="s">
        <v>2875</v>
      </c>
      <c r="EZF1331" s="4" t="s">
        <v>2875</v>
      </c>
      <c r="EZG1331" s="4" t="s">
        <v>2875</v>
      </c>
      <c r="EZH1331" s="4" t="s">
        <v>2875</v>
      </c>
      <c r="EZI1331" s="4" t="s">
        <v>2875</v>
      </c>
      <c r="EZJ1331" s="4" t="s">
        <v>2875</v>
      </c>
      <c r="EZK1331" s="4" t="s">
        <v>2875</v>
      </c>
      <c r="EZL1331" s="4" t="s">
        <v>2875</v>
      </c>
      <c r="EZM1331" s="4" t="s">
        <v>2875</v>
      </c>
      <c r="EZN1331" s="4" t="s">
        <v>2875</v>
      </c>
      <c r="EZO1331" s="4" t="s">
        <v>2875</v>
      </c>
      <c r="EZP1331" s="4" t="s">
        <v>2875</v>
      </c>
      <c r="EZQ1331" s="4" t="s">
        <v>2875</v>
      </c>
      <c r="EZR1331" s="4" t="s">
        <v>2875</v>
      </c>
      <c r="EZS1331" s="4" t="s">
        <v>2875</v>
      </c>
      <c r="EZT1331" s="4" t="s">
        <v>2875</v>
      </c>
      <c r="EZU1331" s="4" t="s">
        <v>2875</v>
      </c>
      <c r="EZV1331" s="4" t="s">
        <v>2875</v>
      </c>
      <c r="EZW1331" s="4" t="s">
        <v>2875</v>
      </c>
      <c r="EZX1331" s="4" t="s">
        <v>2875</v>
      </c>
      <c r="EZY1331" s="4" t="s">
        <v>2875</v>
      </c>
      <c r="EZZ1331" s="4" t="s">
        <v>2875</v>
      </c>
      <c r="FAA1331" s="4" t="s">
        <v>2875</v>
      </c>
      <c r="FAB1331" s="4" t="s">
        <v>2875</v>
      </c>
      <c r="FAC1331" s="4" t="s">
        <v>2875</v>
      </c>
      <c r="FAD1331" s="4" t="s">
        <v>2875</v>
      </c>
      <c r="FAE1331" s="4" t="s">
        <v>2875</v>
      </c>
      <c r="FAF1331" s="4" t="s">
        <v>2875</v>
      </c>
      <c r="FAG1331" s="4" t="s">
        <v>2875</v>
      </c>
      <c r="FAH1331" s="4" t="s">
        <v>2875</v>
      </c>
      <c r="FAI1331" s="4" t="s">
        <v>2875</v>
      </c>
      <c r="FAJ1331" s="4" t="s">
        <v>2875</v>
      </c>
      <c r="FAK1331" s="4" t="s">
        <v>2875</v>
      </c>
      <c r="FAL1331" s="4" t="s">
        <v>2875</v>
      </c>
      <c r="FAM1331" s="4" t="s">
        <v>2875</v>
      </c>
      <c r="FAN1331" s="4" t="s">
        <v>2875</v>
      </c>
      <c r="FAO1331" s="4" t="s">
        <v>2875</v>
      </c>
      <c r="FAP1331" s="4" t="s">
        <v>2875</v>
      </c>
      <c r="FAQ1331" s="4" t="s">
        <v>2875</v>
      </c>
      <c r="FAR1331" s="4" t="s">
        <v>2875</v>
      </c>
      <c r="FAS1331" s="4" t="s">
        <v>2875</v>
      </c>
      <c r="FAT1331" s="4" t="s">
        <v>2875</v>
      </c>
      <c r="FAU1331" s="4" t="s">
        <v>2875</v>
      </c>
      <c r="FAV1331" s="4" t="s">
        <v>2875</v>
      </c>
      <c r="FAW1331" s="4" t="s">
        <v>2875</v>
      </c>
      <c r="FAX1331" s="4" t="s">
        <v>2875</v>
      </c>
      <c r="FAY1331" s="4" t="s">
        <v>2875</v>
      </c>
      <c r="FAZ1331" s="4" t="s">
        <v>2875</v>
      </c>
      <c r="FBA1331" s="4" t="s">
        <v>2875</v>
      </c>
      <c r="FBB1331" s="4" t="s">
        <v>2875</v>
      </c>
      <c r="FBC1331" s="4" t="s">
        <v>2875</v>
      </c>
      <c r="FBD1331" s="4" t="s">
        <v>2875</v>
      </c>
      <c r="FBE1331" s="4" t="s">
        <v>2875</v>
      </c>
      <c r="FBF1331" s="4" t="s">
        <v>2875</v>
      </c>
      <c r="FBG1331" s="4" t="s">
        <v>2875</v>
      </c>
      <c r="FBH1331" s="4" t="s">
        <v>2875</v>
      </c>
      <c r="FBI1331" s="4" t="s">
        <v>2875</v>
      </c>
      <c r="FBJ1331" s="4" t="s">
        <v>2875</v>
      </c>
      <c r="FBK1331" s="4" t="s">
        <v>2875</v>
      </c>
      <c r="FBL1331" s="4" t="s">
        <v>2875</v>
      </c>
      <c r="FBM1331" s="4" t="s">
        <v>2875</v>
      </c>
      <c r="FBN1331" s="4" t="s">
        <v>2875</v>
      </c>
      <c r="FBO1331" s="4" t="s">
        <v>2875</v>
      </c>
      <c r="FBP1331" s="4" t="s">
        <v>2875</v>
      </c>
      <c r="FBQ1331" s="4" t="s">
        <v>2875</v>
      </c>
      <c r="FBR1331" s="4" t="s">
        <v>2875</v>
      </c>
      <c r="FBS1331" s="4" t="s">
        <v>2875</v>
      </c>
      <c r="FBT1331" s="4" t="s">
        <v>2875</v>
      </c>
      <c r="FBU1331" s="4" t="s">
        <v>2875</v>
      </c>
      <c r="FBV1331" s="4" t="s">
        <v>2875</v>
      </c>
      <c r="FBW1331" s="4" t="s">
        <v>2875</v>
      </c>
      <c r="FBX1331" s="4" t="s">
        <v>2875</v>
      </c>
      <c r="FBY1331" s="4" t="s">
        <v>2875</v>
      </c>
      <c r="FBZ1331" s="4" t="s">
        <v>2875</v>
      </c>
      <c r="FCA1331" s="4" t="s">
        <v>2875</v>
      </c>
      <c r="FCB1331" s="4" t="s">
        <v>2875</v>
      </c>
      <c r="FCC1331" s="4" t="s">
        <v>2875</v>
      </c>
      <c r="FCD1331" s="4" t="s">
        <v>2875</v>
      </c>
      <c r="FCE1331" s="4" t="s">
        <v>2875</v>
      </c>
      <c r="FCF1331" s="4" t="s">
        <v>2875</v>
      </c>
      <c r="FCG1331" s="4" t="s">
        <v>2875</v>
      </c>
      <c r="FCH1331" s="4" t="s">
        <v>2875</v>
      </c>
      <c r="FCI1331" s="4" t="s">
        <v>2875</v>
      </c>
      <c r="FCJ1331" s="4" t="s">
        <v>2875</v>
      </c>
      <c r="FCK1331" s="4" t="s">
        <v>2875</v>
      </c>
      <c r="FCL1331" s="4" t="s">
        <v>2875</v>
      </c>
      <c r="FCM1331" s="4" t="s">
        <v>2875</v>
      </c>
      <c r="FCN1331" s="4" t="s">
        <v>2875</v>
      </c>
      <c r="FCO1331" s="4" t="s">
        <v>2875</v>
      </c>
      <c r="FCP1331" s="4" t="s">
        <v>2875</v>
      </c>
      <c r="FCQ1331" s="4" t="s">
        <v>2875</v>
      </c>
      <c r="FCR1331" s="4" t="s">
        <v>2875</v>
      </c>
      <c r="FCS1331" s="4" t="s">
        <v>2875</v>
      </c>
      <c r="FCT1331" s="4" t="s">
        <v>2875</v>
      </c>
      <c r="FCU1331" s="4" t="s">
        <v>2875</v>
      </c>
      <c r="FCV1331" s="4" t="s">
        <v>2875</v>
      </c>
      <c r="FCW1331" s="4" t="s">
        <v>2875</v>
      </c>
      <c r="FCX1331" s="4" t="s">
        <v>2875</v>
      </c>
      <c r="FCY1331" s="4" t="s">
        <v>2875</v>
      </c>
      <c r="FCZ1331" s="4" t="s">
        <v>2875</v>
      </c>
      <c r="FDA1331" s="4" t="s">
        <v>2875</v>
      </c>
      <c r="FDB1331" s="4" t="s">
        <v>2875</v>
      </c>
      <c r="FDC1331" s="4" t="s">
        <v>2875</v>
      </c>
      <c r="FDD1331" s="4" t="s">
        <v>2875</v>
      </c>
      <c r="FDE1331" s="4" t="s">
        <v>2875</v>
      </c>
      <c r="FDF1331" s="4" t="s">
        <v>2875</v>
      </c>
      <c r="FDG1331" s="4" t="s">
        <v>2875</v>
      </c>
      <c r="FDH1331" s="4" t="s">
        <v>2875</v>
      </c>
      <c r="FDI1331" s="4" t="s">
        <v>2875</v>
      </c>
      <c r="FDJ1331" s="4" t="s">
        <v>2875</v>
      </c>
      <c r="FDK1331" s="4" t="s">
        <v>2875</v>
      </c>
      <c r="FDL1331" s="4" t="s">
        <v>2875</v>
      </c>
      <c r="FDM1331" s="4" t="s">
        <v>2875</v>
      </c>
      <c r="FDN1331" s="4" t="s">
        <v>2875</v>
      </c>
      <c r="FDO1331" s="4" t="s">
        <v>2875</v>
      </c>
      <c r="FDP1331" s="4" t="s">
        <v>2875</v>
      </c>
      <c r="FDQ1331" s="4" t="s">
        <v>2875</v>
      </c>
      <c r="FDR1331" s="4" t="s">
        <v>2875</v>
      </c>
      <c r="FDS1331" s="4" t="s">
        <v>2875</v>
      </c>
      <c r="FDT1331" s="4" t="s">
        <v>2875</v>
      </c>
      <c r="FDU1331" s="4" t="s">
        <v>2875</v>
      </c>
      <c r="FDV1331" s="4" t="s">
        <v>2875</v>
      </c>
      <c r="FDW1331" s="4" t="s">
        <v>2875</v>
      </c>
      <c r="FDX1331" s="4" t="s">
        <v>2875</v>
      </c>
      <c r="FDY1331" s="4" t="s">
        <v>2875</v>
      </c>
      <c r="FDZ1331" s="4" t="s">
        <v>2875</v>
      </c>
      <c r="FEA1331" s="4" t="s">
        <v>2875</v>
      </c>
      <c r="FEB1331" s="4" t="s">
        <v>2875</v>
      </c>
      <c r="FEC1331" s="4" t="s">
        <v>2875</v>
      </c>
      <c r="FED1331" s="4" t="s">
        <v>2875</v>
      </c>
      <c r="FEE1331" s="4" t="s">
        <v>2875</v>
      </c>
      <c r="FEF1331" s="4" t="s">
        <v>2875</v>
      </c>
      <c r="FEG1331" s="4" t="s">
        <v>2875</v>
      </c>
      <c r="FEH1331" s="4" t="s">
        <v>2875</v>
      </c>
      <c r="FEI1331" s="4" t="s">
        <v>2875</v>
      </c>
      <c r="FEJ1331" s="4" t="s">
        <v>2875</v>
      </c>
      <c r="FEK1331" s="4" t="s">
        <v>2875</v>
      </c>
      <c r="FEL1331" s="4" t="s">
        <v>2875</v>
      </c>
      <c r="FEM1331" s="4" t="s">
        <v>2875</v>
      </c>
      <c r="FEN1331" s="4" t="s">
        <v>2875</v>
      </c>
      <c r="FEO1331" s="4" t="s">
        <v>2875</v>
      </c>
      <c r="FEP1331" s="4" t="s">
        <v>2875</v>
      </c>
      <c r="FEQ1331" s="4" t="s">
        <v>2875</v>
      </c>
      <c r="FER1331" s="4" t="s">
        <v>2875</v>
      </c>
      <c r="FES1331" s="4" t="s">
        <v>2875</v>
      </c>
      <c r="FET1331" s="4" t="s">
        <v>2875</v>
      </c>
      <c r="FEU1331" s="4" t="s">
        <v>2875</v>
      </c>
      <c r="FEV1331" s="4" t="s">
        <v>2875</v>
      </c>
      <c r="FEW1331" s="4" t="s">
        <v>2875</v>
      </c>
      <c r="FEX1331" s="4" t="s">
        <v>2875</v>
      </c>
      <c r="FEY1331" s="4" t="s">
        <v>2875</v>
      </c>
      <c r="FEZ1331" s="4" t="s">
        <v>2875</v>
      </c>
      <c r="FFA1331" s="4" t="s">
        <v>2875</v>
      </c>
      <c r="FFB1331" s="4" t="s">
        <v>2875</v>
      </c>
      <c r="FFC1331" s="4" t="s">
        <v>2875</v>
      </c>
      <c r="FFD1331" s="4" t="s">
        <v>2875</v>
      </c>
      <c r="FFE1331" s="4" t="s">
        <v>2875</v>
      </c>
      <c r="FFF1331" s="4" t="s">
        <v>2875</v>
      </c>
      <c r="FFG1331" s="4" t="s">
        <v>2875</v>
      </c>
      <c r="FFH1331" s="4" t="s">
        <v>2875</v>
      </c>
      <c r="FFI1331" s="4" t="s">
        <v>2875</v>
      </c>
      <c r="FFJ1331" s="4" t="s">
        <v>2875</v>
      </c>
      <c r="FFK1331" s="4" t="s">
        <v>2875</v>
      </c>
      <c r="FFL1331" s="4" t="s">
        <v>2875</v>
      </c>
      <c r="FFM1331" s="4" t="s">
        <v>2875</v>
      </c>
      <c r="FFN1331" s="4" t="s">
        <v>2875</v>
      </c>
      <c r="FFO1331" s="4" t="s">
        <v>2875</v>
      </c>
      <c r="FFP1331" s="4" t="s">
        <v>2875</v>
      </c>
      <c r="FFQ1331" s="4" t="s">
        <v>2875</v>
      </c>
      <c r="FFR1331" s="4" t="s">
        <v>2875</v>
      </c>
      <c r="FFS1331" s="4" t="s">
        <v>2875</v>
      </c>
      <c r="FFT1331" s="4" t="s">
        <v>2875</v>
      </c>
      <c r="FFU1331" s="4" t="s">
        <v>2875</v>
      </c>
      <c r="FFV1331" s="4" t="s">
        <v>2875</v>
      </c>
      <c r="FFW1331" s="4" t="s">
        <v>2875</v>
      </c>
      <c r="FFX1331" s="4" t="s">
        <v>2875</v>
      </c>
      <c r="FFY1331" s="4" t="s">
        <v>2875</v>
      </c>
      <c r="FFZ1331" s="4" t="s">
        <v>2875</v>
      </c>
      <c r="FGA1331" s="4" t="s">
        <v>2875</v>
      </c>
      <c r="FGB1331" s="4" t="s">
        <v>2875</v>
      </c>
      <c r="FGC1331" s="4" t="s">
        <v>2875</v>
      </c>
      <c r="FGD1331" s="4" t="s">
        <v>2875</v>
      </c>
      <c r="FGE1331" s="4" t="s">
        <v>2875</v>
      </c>
      <c r="FGF1331" s="4" t="s">
        <v>2875</v>
      </c>
      <c r="FGG1331" s="4" t="s">
        <v>2875</v>
      </c>
      <c r="FGH1331" s="4" t="s">
        <v>2875</v>
      </c>
      <c r="FGI1331" s="4" t="s">
        <v>2875</v>
      </c>
      <c r="FGJ1331" s="4" t="s">
        <v>2875</v>
      </c>
      <c r="FGK1331" s="4" t="s">
        <v>2875</v>
      </c>
      <c r="FGL1331" s="4" t="s">
        <v>2875</v>
      </c>
      <c r="FGM1331" s="4" t="s">
        <v>2875</v>
      </c>
      <c r="FGN1331" s="4" t="s">
        <v>2875</v>
      </c>
      <c r="FGO1331" s="4" t="s">
        <v>2875</v>
      </c>
      <c r="FGP1331" s="4" t="s">
        <v>2875</v>
      </c>
      <c r="FGQ1331" s="4" t="s">
        <v>2875</v>
      </c>
      <c r="FGR1331" s="4" t="s">
        <v>2875</v>
      </c>
      <c r="FGS1331" s="4" t="s">
        <v>2875</v>
      </c>
      <c r="FGT1331" s="4" t="s">
        <v>2875</v>
      </c>
      <c r="FGU1331" s="4" t="s">
        <v>2875</v>
      </c>
      <c r="FGV1331" s="4" t="s">
        <v>2875</v>
      </c>
      <c r="FGW1331" s="4" t="s">
        <v>2875</v>
      </c>
      <c r="FGX1331" s="4" t="s">
        <v>2875</v>
      </c>
      <c r="FGY1331" s="4" t="s">
        <v>2875</v>
      </c>
      <c r="FGZ1331" s="4" t="s">
        <v>2875</v>
      </c>
      <c r="FHA1331" s="4" t="s">
        <v>2875</v>
      </c>
      <c r="FHB1331" s="4" t="s">
        <v>2875</v>
      </c>
      <c r="FHC1331" s="4" t="s">
        <v>2875</v>
      </c>
      <c r="FHD1331" s="4" t="s">
        <v>2875</v>
      </c>
      <c r="FHE1331" s="4" t="s">
        <v>2875</v>
      </c>
      <c r="FHF1331" s="4" t="s">
        <v>2875</v>
      </c>
      <c r="FHG1331" s="4" t="s">
        <v>2875</v>
      </c>
      <c r="FHH1331" s="4" t="s">
        <v>2875</v>
      </c>
      <c r="FHI1331" s="4" t="s">
        <v>2875</v>
      </c>
      <c r="FHJ1331" s="4" t="s">
        <v>2875</v>
      </c>
      <c r="FHK1331" s="4" t="s">
        <v>2875</v>
      </c>
      <c r="FHL1331" s="4" t="s">
        <v>2875</v>
      </c>
      <c r="FHM1331" s="4" t="s">
        <v>2875</v>
      </c>
      <c r="FHN1331" s="4" t="s">
        <v>2875</v>
      </c>
      <c r="FHO1331" s="4" t="s">
        <v>2875</v>
      </c>
      <c r="FHP1331" s="4" t="s">
        <v>2875</v>
      </c>
      <c r="FHQ1331" s="4" t="s">
        <v>2875</v>
      </c>
      <c r="FHR1331" s="4" t="s">
        <v>2875</v>
      </c>
      <c r="FHS1331" s="4" t="s">
        <v>2875</v>
      </c>
      <c r="FHT1331" s="4" t="s">
        <v>2875</v>
      </c>
      <c r="FHU1331" s="4" t="s">
        <v>2875</v>
      </c>
      <c r="FHV1331" s="4" t="s">
        <v>2875</v>
      </c>
      <c r="FHW1331" s="4" t="s">
        <v>2875</v>
      </c>
      <c r="FHX1331" s="4" t="s">
        <v>2875</v>
      </c>
      <c r="FHY1331" s="4" t="s">
        <v>2875</v>
      </c>
      <c r="FHZ1331" s="4" t="s">
        <v>2875</v>
      </c>
      <c r="FIA1331" s="4" t="s">
        <v>2875</v>
      </c>
      <c r="FIB1331" s="4" t="s">
        <v>2875</v>
      </c>
      <c r="FIC1331" s="4" t="s">
        <v>2875</v>
      </c>
      <c r="FID1331" s="4" t="s">
        <v>2875</v>
      </c>
      <c r="FIE1331" s="4" t="s">
        <v>2875</v>
      </c>
      <c r="FIF1331" s="4" t="s">
        <v>2875</v>
      </c>
      <c r="FIG1331" s="4" t="s">
        <v>2875</v>
      </c>
      <c r="FIH1331" s="4" t="s">
        <v>2875</v>
      </c>
      <c r="FII1331" s="4" t="s">
        <v>2875</v>
      </c>
      <c r="FIJ1331" s="4" t="s">
        <v>2875</v>
      </c>
      <c r="FIK1331" s="4" t="s">
        <v>2875</v>
      </c>
      <c r="FIL1331" s="4" t="s">
        <v>2875</v>
      </c>
      <c r="FIM1331" s="4" t="s">
        <v>2875</v>
      </c>
      <c r="FIN1331" s="4" t="s">
        <v>2875</v>
      </c>
      <c r="FIO1331" s="4" t="s">
        <v>2875</v>
      </c>
      <c r="FIP1331" s="4" t="s">
        <v>2875</v>
      </c>
      <c r="FIQ1331" s="4" t="s">
        <v>2875</v>
      </c>
      <c r="FIR1331" s="4" t="s">
        <v>2875</v>
      </c>
      <c r="FIS1331" s="4" t="s">
        <v>2875</v>
      </c>
      <c r="FIT1331" s="4" t="s">
        <v>2875</v>
      </c>
      <c r="FIU1331" s="4" t="s">
        <v>2875</v>
      </c>
      <c r="FIV1331" s="4" t="s">
        <v>2875</v>
      </c>
      <c r="FIW1331" s="4" t="s">
        <v>2875</v>
      </c>
      <c r="FIX1331" s="4" t="s">
        <v>2875</v>
      </c>
      <c r="FIY1331" s="4" t="s">
        <v>2875</v>
      </c>
      <c r="FIZ1331" s="4" t="s">
        <v>2875</v>
      </c>
      <c r="FJA1331" s="4" t="s">
        <v>2875</v>
      </c>
      <c r="FJB1331" s="4" t="s">
        <v>2875</v>
      </c>
      <c r="FJC1331" s="4" t="s">
        <v>2875</v>
      </c>
      <c r="FJD1331" s="4" t="s">
        <v>2875</v>
      </c>
      <c r="FJE1331" s="4" t="s">
        <v>2875</v>
      </c>
      <c r="FJF1331" s="4" t="s">
        <v>2875</v>
      </c>
      <c r="FJG1331" s="4" t="s">
        <v>2875</v>
      </c>
      <c r="FJH1331" s="4" t="s">
        <v>2875</v>
      </c>
      <c r="FJI1331" s="4" t="s">
        <v>2875</v>
      </c>
      <c r="FJJ1331" s="4" t="s">
        <v>2875</v>
      </c>
      <c r="FJK1331" s="4" t="s">
        <v>2875</v>
      </c>
      <c r="FJL1331" s="4" t="s">
        <v>2875</v>
      </c>
      <c r="FJM1331" s="4" t="s">
        <v>2875</v>
      </c>
      <c r="FJN1331" s="4" t="s">
        <v>2875</v>
      </c>
      <c r="FJO1331" s="4" t="s">
        <v>2875</v>
      </c>
      <c r="FJP1331" s="4" t="s">
        <v>2875</v>
      </c>
      <c r="FJQ1331" s="4" t="s">
        <v>2875</v>
      </c>
      <c r="FJR1331" s="4" t="s">
        <v>2875</v>
      </c>
      <c r="FJS1331" s="4" t="s">
        <v>2875</v>
      </c>
      <c r="FJT1331" s="4" t="s">
        <v>2875</v>
      </c>
      <c r="FJU1331" s="4" t="s">
        <v>2875</v>
      </c>
      <c r="FJV1331" s="4" t="s">
        <v>2875</v>
      </c>
      <c r="FJW1331" s="4" t="s">
        <v>2875</v>
      </c>
      <c r="FJX1331" s="4" t="s">
        <v>2875</v>
      </c>
      <c r="FJY1331" s="4" t="s">
        <v>2875</v>
      </c>
      <c r="FJZ1331" s="4" t="s">
        <v>2875</v>
      </c>
      <c r="FKA1331" s="4" t="s">
        <v>2875</v>
      </c>
      <c r="FKB1331" s="4" t="s">
        <v>2875</v>
      </c>
      <c r="FKC1331" s="4" t="s">
        <v>2875</v>
      </c>
      <c r="FKD1331" s="4" t="s">
        <v>2875</v>
      </c>
      <c r="FKE1331" s="4" t="s">
        <v>2875</v>
      </c>
      <c r="FKF1331" s="4" t="s">
        <v>2875</v>
      </c>
      <c r="FKG1331" s="4" t="s">
        <v>2875</v>
      </c>
      <c r="FKH1331" s="4" t="s">
        <v>2875</v>
      </c>
      <c r="FKI1331" s="4" t="s">
        <v>2875</v>
      </c>
      <c r="FKJ1331" s="4" t="s">
        <v>2875</v>
      </c>
      <c r="FKK1331" s="4" t="s">
        <v>2875</v>
      </c>
      <c r="FKL1331" s="4" t="s">
        <v>2875</v>
      </c>
      <c r="FKM1331" s="4" t="s">
        <v>2875</v>
      </c>
      <c r="FKN1331" s="4" t="s">
        <v>2875</v>
      </c>
      <c r="FKO1331" s="4" t="s">
        <v>2875</v>
      </c>
      <c r="FKP1331" s="4" t="s">
        <v>2875</v>
      </c>
      <c r="FKQ1331" s="4" t="s">
        <v>2875</v>
      </c>
      <c r="FKR1331" s="4" t="s">
        <v>2875</v>
      </c>
      <c r="FKS1331" s="4" t="s">
        <v>2875</v>
      </c>
      <c r="FKT1331" s="4" t="s">
        <v>2875</v>
      </c>
      <c r="FKU1331" s="4" t="s">
        <v>2875</v>
      </c>
      <c r="FKV1331" s="4" t="s">
        <v>2875</v>
      </c>
      <c r="FKW1331" s="4" t="s">
        <v>2875</v>
      </c>
      <c r="FKX1331" s="4" t="s">
        <v>2875</v>
      </c>
      <c r="FKY1331" s="4" t="s">
        <v>2875</v>
      </c>
      <c r="FKZ1331" s="4" t="s">
        <v>2875</v>
      </c>
      <c r="FLA1331" s="4" t="s">
        <v>2875</v>
      </c>
      <c r="FLB1331" s="4" t="s">
        <v>2875</v>
      </c>
      <c r="FLC1331" s="4" t="s">
        <v>2875</v>
      </c>
      <c r="FLD1331" s="4" t="s">
        <v>2875</v>
      </c>
      <c r="FLE1331" s="4" t="s">
        <v>2875</v>
      </c>
      <c r="FLF1331" s="4" t="s">
        <v>2875</v>
      </c>
      <c r="FLG1331" s="4" t="s">
        <v>2875</v>
      </c>
      <c r="FLH1331" s="4" t="s">
        <v>2875</v>
      </c>
      <c r="FLI1331" s="4" t="s">
        <v>2875</v>
      </c>
      <c r="FLJ1331" s="4" t="s">
        <v>2875</v>
      </c>
      <c r="FLK1331" s="4" t="s">
        <v>2875</v>
      </c>
      <c r="FLL1331" s="4" t="s">
        <v>2875</v>
      </c>
      <c r="FLM1331" s="4" t="s">
        <v>2875</v>
      </c>
      <c r="FLN1331" s="4" t="s">
        <v>2875</v>
      </c>
      <c r="FLO1331" s="4" t="s">
        <v>2875</v>
      </c>
      <c r="FLP1331" s="4" t="s">
        <v>2875</v>
      </c>
      <c r="FLQ1331" s="4" t="s">
        <v>2875</v>
      </c>
      <c r="FLR1331" s="4" t="s">
        <v>2875</v>
      </c>
      <c r="FLS1331" s="4" t="s">
        <v>2875</v>
      </c>
      <c r="FLT1331" s="4" t="s">
        <v>2875</v>
      </c>
      <c r="FLU1331" s="4" t="s">
        <v>2875</v>
      </c>
      <c r="FLV1331" s="4" t="s">
        <v>2875</v>
      </c>
      <c r="FLW1331" s="4" t="s">
        <v>2875</v>
      </c>
      <c r="FLX1331" s="4" t="s">
        <v>2875</v>
      </c>
      <c r="FLY1331" s="4" t="s">
        <v>2875</v>
      </c>
      <c r="FLZ1331" s="4" t="s">
        <v>2875</v>
      </c>
      <c r="FMA1331" s="4" t="s">
        <v>2875</v>
      </c>
      <c r="FMB1331" s="4" t="s">
        <v>2875</v>
      </c>
      <c r="FMC1331" s="4" t="s">
        <v>2875</v>
      </c>
      <c r="FMD1331" s="4" t="s">
        <v>2875</v>
      </c>
      <c r="FME1331" s="4" t="s">
        <v>2875</v>
      </c>
      <c r="FMF1331" s="4" t="s">
        <v>2875</v>
      </c>
      <c r="FMG1331" s="4" t="s">
        <v>2875</v>
      </c>
      <c r="FMH1331" s="4" t="s">
        <v>2875</v>
      </c>
      <c r="FMI1331" s="4" t="s">
        <v>2875</v>
      </c>
      <c r="FMJ1331" s="4" t="s">
        <v>2875</v>
      </c>
      <c r="FMK1331" s="4" t="s">
        <v>2875</v>
      </c>
      <c r="FML1331" s="4" t="s">
        <v>2875</v>
      </c>
      <c r="FMM1331" s="4" t="s">
        <v>2875</v>
      </c>
      <c r="FMN1331" s="4" t="s">
        <v>2875</v>
      </c>
      <c r="FMO1331" s="4" t="s">
        <v>2875</v>
      </c>
      <c r="FMP1331" s="4" t="s">
        <v>2875</v>
      </c>
      <c r="FMQ1331" s="4" t="s">
        <v>2875</v>
      </c>
      <c r="FMR1331" s="4" t="s">
        <v>2875</v>
      </c>
      <c r="FMS1331" s="4" t="s">
        <v>2875</v>
      </c>
      <c r="FMT1331" s="4" t="s">
        <v>2875</v>
      </c>
      <c r="FMU1331" s="4" t="s">
        <v>2875</v>
      </c>
      <c r="FMV1331" s="4" t="s">
        <v>2875</v>
      </c>
      <c r="FMW1331" s="4" t="s">
        <v>2875</v>
      </c>
      <c r="FMX1331" s="4" t="s">
        <v>2875</v>
      </c>
      <c r="FMY1331" s="4" t="s">
        <v>2875</v>
      </c>
      <c r="FMZ1331" s="4" t="s">
        <v>2875</v>
      </c>
      <c r="FNA1331" s="4" t="s">
        <v>2875</v>
      </c>
      <c r="FNB1331" s="4" t="s">
        <v>2875</v>
      </c>
      <c r="FNC1331" s="4" t="s">
        <v>2875</v>
      </c>
      <c r="FND1331" s="4" t="s">
        <v>2875</v>
      </c>
      <c r="FNE1331" s="4" t="s">
        <v>2875</v>
      </c>
      <c r="FNF1331" s="4" t="s">
        <v>2875</v>
      </c>
      <c r="FNG1331" s="4" t="s">
        <v>2875</v>
      </c>
      <c r="FNH1331" s="4" t="s">
        <v>2875</v>
      </c>
      <c r="FNI1331" s="4" t="s">
        <v>2875</v>
      </c>
      <c r="FNJ1331" s="4" t="s">
        <v>2875</v>
      </c>
      <c r="FNK1331" s="4" t="s">
        <v>2875</v>
      </c>
      <c r="FNL1331" s="4" t="s">
        <v>2875</v>
      </c>
      <c r="FNM1331" s="4" t="s">
        <v>2875</v>
      </c>
      <c r="FNN1331" s="4" t="s">
        <v>2875</v>
      </c>
      <c r="FNO1331" s="4" t="s">
        <v>2875</v>
      </c>
      <c r="FNP1331" s="4" t="s">
        <v>2875</v>
      </c>
      <c r="FNQ1331" s="4" t="s">
        <v>2875</v>
      </c>
      <c r="FNR1331" s="4" t="s">
        <v>2875</v>
      </c>
      <c r="FNS1331" s="4" t="s">
        <v>2875</v>
      </c>
      <c r="FNT1331" s="4" t="s">
        <v>2875</v>
      </c>
      <c r="FNU1331" s="4" t="s">
        <v>2875</v>
      </c>
      <c r="FNV1331" s="4" t="s">
        <v>2875</v>
      </c>
      <c r="FNW1331" s="4" t="s">
        <v>2875</v>
      </c>
      <c r="FNX1331" s="4" t="s">
        <v>2875</v>
      </c>
      <c r="FNY1331" s="4" t="s">
        <v>2875</v>
      </c>
      <c r="FNZ1331" s="4" t="s">
        <v>2875</v>
      </c>
      <c r="FOA1331" s="4" t="s">
        <v>2875</v>
      </c>
      <c r="FOB1331" s="4" t="s">
        <v>2875</v>
      </c>
      <c r="FOC1331" s="4" t="s">
        <v>2875</v>
      </c>
      <c r="FOD1331" s="4" t="s">
        <v>2875</v>
      </c>
      <c r="FOE1331" s="4" t="s">
        <v>2875</v>
      </c>
      <c r="FOF1331" s="4" t="s">
        <v>2875</v>
      </c>
      <c r="FOG1331" s="4" t="s">
        <v>2875</v>
      </c>
      <c r="FOH1331" s="4" t="s">
        <v>2875</v>
      </c>
      <c r="FOI1331" s="4" t="s">
        <v>2875</v>
      </c>
      <c r="FOJ1331" s="4" t="s">
        <v>2875</v>
      </c>
      <c r="FOK1331" s="4" t="s">
        <v>2875</v>
      </c>
      <c r="FOL1331" s="4" t="s">
        <v>2875</v>
      </c>
      <c r="FOM1331" s="4" t="s">
        <v>2875</v>
      </c>
      <c r="FON1331" s="4" t="s">
        <v>2875</v>
      </c>
      <c r="FOO1331" s="4" t="s">
        <v>2875</v>
      </c>
      <c r="FOP1331" s="4" t="s">
        <v>2875</v>
      </c>
      <c r="FOQ1331" s="4" t="s">
        <v>2875</v>
      </c>
      <c r="FOR1331" s="4" t="s">
        <v>2875</v>
      </c>
      <c r="FOS1331" s="4" t="s">
        <v>2875</v>
      </c>
      <c r="FOT1331" s="4" t="s">
        <v>2875</v>
      </c>
      <c r="FOU1331" s="4" t="s">
        <v>2875</v>
      </c>
      <c r="FOV1331" s="4" t="s">
        <v>2875</v>
      </c>
      <c r="FOW1331" s="4" t="s">
        <v>2875</v>
      </c>
      <c r="FOX1331" s="4" t="s">
        <v>2875</v>
      </c>
      <c r="FOY1331" s="4" t="s">
        <v>2875</v>
      </c>
      <c r="FOZ1331" s="4" t="s">
        <v>2875</v>
      </c>
      <c r="FPA1331" s="4" t="s">
        <v>2875</v>
      </c>
      <c r="FPB1331" s="4" t="s">
        <v>2875</v>
      </c>
      <c r="FPC1331" s="4" t="s">
        <v>2875</v>
      </c>
      <c r="FPD1331" s="4" t="s">
        <v>2875</v>
      </c>
      <c r="FPE1331" s="4" t="s">
        <v>2875</v>
      </c>
      <c r="FPF1331" s="4" t="s">
        <v>2875</v>
      </c>
      <c r="FPG1331" s="4" t="s">
        <v>2875</v>
      </c>
      <c r="FPH1331" s="4" t="s">
        <v>2875</v>
      </c>
      <c r="FPI1331" s="4" t="s">
        <v>2875</v>
      </c>
      <c r="FPJ1331" s="4" t="s">
        <v>2875</v>
      </c>
      <c r="FPK1331" s="4" t="s">
        <v>2875</v>
      </c>
      <c r="FPL1331" s="4" t="s">
        <v>2875</v>
      </c>
      <c r="FPM1331" s="4" t="s">
        <v>2875</v>
      </c>
      <c r="FPN1331" s="4" t="s">
        <v>2875</v>
      </c>
      <c r="FPO1331" s="4" t="s">
        <v>2875</v>
      </c>
      <c r="FPP1331" s="4" t="s">
        <v>2875</v>
      </c>
      <c r="FPQ1331" s="4" t="s">
        <v>2875</v>
      </c>
      <c r="FPR1331" s="4" t="s">
        <v>2875</v>
      </c>
      <c r="FPS1331" s="4" t="s">
        <v>2875</v>
      </c>
      <c r="FPT1331" s="4" t="s">
        <v>2875</v>
      </c>
      <c r="FPU1331" s="4" t="s">
        <v>2875</v>
      </c>
      <c r="FPV1331" s="4" t="s">
        <v>2875</v>
      </c>
      <c r="FPW1331" s="4" t="s">
        <v>2875</v>
      </c>
      <c r="FPX1331" s="4" t="s">
        <v>2875</v>
      </c>
      <c r="FPY1331" s="4" t="s">
        <v>2875</v>
      </c>
      <c r="FPZ1331" s="4" t="s">
        <v>2875</v>
      </c>
      <c r="FQA1331" s="4" t="s">
        <v>2875</v>
      </c>
      <c r="FQB1331" s="4" t="s">
        <v>2875</v>
      </c>
      <c r="FQC1331" s="4" t="s">
        <v>2875</v>
      </c>
      <c r="FQD1331" s="4" t="s">
        <v>2875</v>
      </c>
      <c r="FQE1331" s="4" t="s">
        <v>2875</v>
      </c>
      <c r="FQF1331" s="4" t="s">
        <v>2875</v>
      </c>
      <c r="FQG1331" s="4" t="s">
        <v>2875</v>
      </c>
      <c r="FQH1331" s="4" t="s">
        <v>2875</v>
      </c>
      <c r="FQI1331" s="4" t="s">
        <v>2875</v>
      </c>
      <c r="FQJ1331" s="4" t="s">
        <v>2875</v>
      </c>
      <c r="FQK1331" s="4" t="s">
        <v>2875</v>
      </c>
      <c r="FQL1331" s="4" t="s">
        <v>2875</v>
      </c>
      <c r="FQM1331" s="4" t="s">
        <v>2875</v>
      </c>
      <c r="FQN1331" s="4" t="s">
        <v>2875</v>
      </c>
      <c r="FQO1331" s="4" t="s">
        <v>2875</v>
      </c>
      <c r="FQP1331" s="4" t="s">
        <v>2875</v>
      </c>
      <c r="FQQ1331" s="4" t="s">
        <v>2875</v>
      </c>
      <c r="FQR1331" s="4" t="s">
        <v>2875</v>
      </c>
      <c r="FQS1331" s="4" t="s">
        <v>2875</v>
      </c>
      <c r="FQT1331" s="4" t="s">
        <v>2875</v>
      </c>
      <c r="FQU1331" s="4" t="s">
        <v>2875</v>
      </c>
      <c r="FQV1331" s="4" t="s">
        <v>2875</v>
      </c>
      <c r="FQW1331" s="4" t="s">
        <v>2875</v>
      </c>
      <c r="FQX1331" s="4" t="s">
        <v>2875</v>
      </c>
      <c r="FQY1331" s="4" t="s">
        <v>2875</v>
      </c>
      <c r="FQZ1331" s="4" t="s">
        <v>2875</v>
      </c>
      <c r="FRA1331" s="4" t="s">
        <v>2875</v>
      </c>
      <c r="FRB1331" s="4" t="s">
        <v>2875</v>
      </c>
      <c r="FRC1331" s="4" t="s">
        <v>2875</v>
      </c>
      <c r="FRD1331" s="4" t="s">
        <v>2875</v>
      </c>
      <c r="FRE1331" s="4" t="s">
        <v>2875</v>
      </c>
      <c r="FRF1331" s="4" t="s">
        <v>2875</v>
      </c>
      <c r="FRG1331" s="4" t="s">
        <v>2875</v>
      </c>
      <c r="FRH1331" s="4" t="s">
        <v>2875</v>
      </c>
      <c r="FRI1331" s="4" t="s">
        <v>2875</v>
      </c>
      <c r="FRJ1331" s="4" t="s">
        <v>2875</v>
      </c>
      <c r="FRK1331" s="4" t="s">
        <v>2875</v>
      </c>
      <c r="FRL1331" s="4" t="s">
        <v>2875</v>
      </c>
      <c r="FRM1331" s="4" t="s">
        <v>2875</v>
      </c>
      <c r="FRN1331" s="4" t="s">
        <v>2875</v>
      </c>
      <c r="FRO1331" s="4" t="s">
        <v>2875</v>
      </c>
      <c r="FRP1331" s="4" t="s">
        <v>2875</v>
      </c>
      <c r="FRQ1331" s="4" t="s">
        <v>2875</v>
      </c>
      <c r="FRR1331" s="4" t="s">
        <v>2875</v>
      </c>
      <c r="FRS1331" s="4" t="s">
        <v>2875</v>
      </c>
      <c r="FRT1331" s="4" t="s">
        <v>2875</v>
      </c>
      <c r="FRU1331" s="4" t="s">
        <v>2875</v>
      </c>
      <c r="FRV1331" s="4" t="s">
        <v>2875</v>
      </c>
      <c r="FRW1331" s="4" t="s">
        <v>2875</v>
      </c>
      <c r="FRX1331" s="4" t="s">
        <v>2875</v>
      </c>
      <c r="FRY1331" s="4" t="s">
        <v>2875</v>
      </c>
      <c r="FRZ1331" s="4" t="s">
        <v>2875</v>
      </c>
      <c r="FSA1331" s="4" t="s">
        <v>2875</v>
      </c>
      <c r="FSB1331" s="4" t="s">
        <v>2875</v>
      </c>
      <c r="FSC1331" s="4" t="s">
        <v>2875</v>
      </c>
      <c r="FSD1331" s="4" t="s">
        <v>2875</v>
      </c>
      <c r="FSE1331" s="4" t="s">
        <v>2875</v>
      </c>
      <c r="FSF1331" s="4" t="s">
        <v>2875</v>
      </c>
      <c r="FSG1331" s="4" t="s">
        <v>2875</v>
      </c>
      <c r="FSH1331" s="4" t="s">
        <v>2875</v>
      </c>
      <c r="FSI1331" s="4" t="s">
        <v>2875</v>
      </c>
      <c r="FSJ1331" s="4" t="s">
        <v>2875</v>
      </c>
      <c r="FSK1331" s="4" t="s">
        <v>2875</v>
      </c>
      <c r="FSL1331" s="4" t="s">
        <v>2875</v>
      </c>
      <c r="FSM1331" s="4" t="s">
        <v>2875</v>
      </c>
      <c r="FSN1331" s="4" t="s">
        <v>2875</v>
      </c>
      <c r="FSO1331" s="4" t="s">
        <v>2875</v>
      </c>
      <c r="FSP1331" s="4" t="s">
        <v>2875</v>
      </c>
      <c r="FSQ1331" s="4" t="s">
        <v>2875</v>
      </c>
      <c r="FSR1331" s="4" t="s">
        <v>2875</v>
      </c>
      <c r="FSS1331" s="4" t="s">
        <v>2875</v>
      </c>
      <c r="FST1331" s="4" t="s">
        <v>2875</v>
      </c>
      <c r="FSU1331" s="4" t="s">
        <v>2875</v>
      </c>
      <c r="FSV1331" s="4" t="s">
        <v>2875</v>
      </c>
      <c r="FSW1331" s="4" t="s">
        <v>2875</v>
      </c>
      <c r="FSX1331" s="4" t="s">
        <v>2875</v>
      </c>
      <c r="FSY1331" s="4" t="s">
        <v>2875</v>
      </c>
      <c r="FSZ1331" s="4" t="s">
        <v>2875</v>
      </c>
      <c r="FTA1331" s="4" t="s">
        <v>2875</v>
      </c>
      <c r="FTB1331" s="4" t="s">
        <v>2875</v>
      </c>
      <c r="FTC1331" s="4" t="s">
        <v>2875</v>
      </c>
      <c r="FTD1331" s="4" t="s">
        <v>2875</v>
      </c>
      <c r="FTE1331" s="4" t="s">
        <v>2875</v>
      </c>
      <c r="FTF1331" s="4" t="s">
        <v>2875</v>
      </c>
      <c r="FTG1331" s="4" t="s">
        <v>2875</v>
      </c>
      <c r="FTH1331" s="4" t="s">
        <v>2875</v>
      </c>
      <c r="FTI1331" s="4" t="s">
        <v>2875</v>
      </c>
      <c r="FTJ1331" s="4" t="s">
        <v>2875</v>
      </c>
      <c r="FTK1331" s="4" t="s">
        <v>2875</v>
      </c>
      <c r="FTL1331" s="4" t="s">
        <v>2875</v>
      </c>
      <c r="FTM1331" s="4" t="s">
        <v>2875</v>
      </c>
      <c r="FTN1331" s="4" t="s">
        <v>2875</v>
      </c>
      <c r="FTO1331" s="4" t="s">
        <v>2875</v>
      </c>
      <c r="FTP1331" s="4" t="s">
        <v>2875</v>
      </c>
      <c r="FTQ1331" s="4" t="s">
        <v>2875</v>
      </c>
      <c r="FTR1331" s="4" t="s">
        <v>2875</v>
      </c>
      <c r="FTS1331" s="4" t="s">
        <v>2875</v>
      </c>
      <c r="FTT1331" s="4" t="s">
        <v>2875</v>
      </c>
      <c r="FTU1331" s="4" t="s">
        <v>2875</v>
      </c>
      <c r="FTV1331" s="4" t="s">
        <v>2875</v>
      </c>
      <c r="FTW1331" s="4" t="s">
        <v>2875</v>
      </c>
      <c r="FTX1331" s="4" t="s">
        <v>2875</v>
      </c>
      <c r="FTY1331" s="4" t="s">
        <v>2875</v>
      </c>
      <c r="FTZ1331" s="4" t="s">
        <v>2875</v>
      </c>
      <c r="FUA1331" s="4" t="s">
        <v>2875</v>
      </c>
      <c r="FUB1331" s="4" t="s">
        <v>2875</v>
      </c>
      <c r="FUC1331" s="4" t="s">
        <v>2875</v>
      </c>
      <c r="FUD1331" s="4" t="s">
        <v>2875</v>
      </c>
      <c r="FUE1331" s="4" t="s">
        <v>2875</v>
      </c>
      <c r="FUF1331" s="4" t="s">
        <v>2875</v>
      </c>
      <c r="FUG1331" s="4" t="s">
        <v>2875</v>
      </c>
      <c r="FUH1331" s="4" t="s">
        <v>2875</v>
      </c>
      <c r="FUI1331" s="4" t="s">
        <v>2875</v>
      </c>
      <c r="FUJ1331" s="4" t="s">
        <v>2875</v>
      </c>
      <c r="FUK1331" s="4" t="s">
        <v>2875</v>
      </c>
      <c r="FUL1331" s="4" t="s">
        <v>2875</v>
      </c>
      <c r="FUM1331" s="4" t="s">
        <v>2875</v>
      </c>
      <c r="FUN1331" s="4" t="s">
        <v>2875</v>
      </c>
      <c r="FUO1331" s="4" t="s">
        <v>2875</v>
      </c>
      <c r="FUP1331" s="4" t="s">
        <v>2875</v>
      </c>
      <c r="FUQ1331" s="4" t="s">
        <v>2875</v>
      </c>
      <c r="FUR1331" s="4" t="s">
        <v>2875</v>
      </c>
      <c r="FUS1331" s="4" t="s">
        <v>2875</v>
      </c>
      <c r="FUT1331" s="4" t="s">
        <v>2875</v>
      </c>
      <c r="FUU1331" s="4" t="s">
        <v>2875</v>
      </c>
      <c r="FUV1331" s="4" t="s">
        <v>2875</v>
      </c>
      <c r="FUW1331" s="4" t="s">
        <v>2875</v>
      </c>
      <c r="FUX1331" s="4" t="s">
        <v>2875</v>
      </c>
      <c r="FUY1331" s="4" t="s">
        <v>2875</v>
      </c>
      <c r="FUZ1331" s="4" t="s">
        <v>2875</v>
      </c>
      <c r="FVA1331" s="4" t="s">
        <v>2875</v>
      </c>
      <c r="FVB1331" s="4" t="s">
        <v>2875</v>
      </c>
      <c r="FVC1331" s="4" t="s">
        <v>2875</v>
      </c>
      <c r="FVD1331" s="4" t="s">
        <v>2875</v>
      </c>
      <c r="FVE1331" s="4" t="s">
        <v>2875</v>
      </c>
      <c r="FVF1331" s="4" t="s">
        <v>2875</v>
      </c>
      <c r="FVG1331" s="4" t="s">
        <v>2875</v>
      </c>
      <c r="FVH1331" s="4" t="s">
        <v>2875</v>
      </c>
      <c r="FVI1331" s="4" t="s">
        <v>2875</v>
      </c>
      <c r="FVJ1331" s="4" t="s">
        <v>2875</v>
      </c>
      <c r="FVK1331" s="4" t="s">
        <v>2875</v>
      </c>
      <c r="FVL1331" s="4" t="s">
        <v>2875</v>
      </c>
      <c r="FVM1331" s="4" t="s">
        <v>2875</v>
      </c>
      <c r="FVN1331" s="4" t="s">
        <v>2875</v>
      </c>
      <c r="FVO1331" s="4" t="s">
        <v>2875</v>
      </c>
      <c r="FVP1331" s="4" t="s">
        <v>2875</v>
      </c>
      <c r="FVQ1331" s="4" t="s">
        <v>2875</v>
      </c>
      <c r="FVR1331" s="4" t="s">
        <v>2875</v>
      </c>
      <c r="FVS1331" s="4" t="s">
        <v>2875</v>
      </c>
      <c r="FVT1331" s="4" t="s">
        <v>2875</v>
      </c>
      <c r="FVU1331" s="4" t="s">
        <v>2875</v>
      </c>
      <c r="FVV1331" s="4" t="s">
        <v>2875</v>
      </c>
      <c r="FVW1331" s="4" t="s">
        <v>2875</v>
      </c>
      <c r="FVX1331" s="4" t="s">
        <v>2875</v>
      </c>
      <c r="FVY1331" s="4" t="s">
        <v>2875</v>
      </c>
      <c r="FVZ1331" s="4" t="s">
        <v>2875</v>
      </c>
      <c r="FWA1331" s="4" t="s">
        <v>2875</v>
      </c>
      <c r="FWB1331" s="4" t="s">
        <v>2875</v>
      </c>
      <c r="FWC1331" s="4" t="s">
        <v>2875</v>
      </c>
      <c r="FWD1331" s="4" t="s">
        <v>2875</v>
      </c>
      <c r="FWE1331" s="4" t="s">
        <v>2875</v>
      </c>
      <c r="FWF1331" s="4" t="s">
        <v>2875</v>
      </c>
      <c r="FWG1331" s="4" t="s">
        <v>2875</v>
      </c>
      <c r="FWH1331" s="4" t="s">
        <v>2875</v>
      </c>
      <c r="FWI1331" s="4" t="s">
        <v>2875</v>
      </c>
      <c r="FWJ1331" s="4" t="s">
        <v>2875</v>
      </c>
      <c r="FWK1331" s="4" t="s">
        <v>2875</v>
      </c>
      <c r="FWL1331" s="4" t="s">
        <v>2875</v>
      </c>
      <c r="FWM1331" s="4" t="s">
        <v>2875</v>
      </c>
      <c r="FWN1331" s="4" t="s">
        <v>2875</v>
      </c>
      <c r="FWO1331" s="4" t="s">
        <v>2875</v>
      </c>
      <c r="FWP1331" s="4" t="s">
        <v>2875</v>
      </c>
      <c r="FWQ1331" s="4" t="s">
        <v>2875</v>
      </c>
      <c r="FWR1331" s="4" t="s">
        <v>2875</v>
      </c>
      <c r="FWS1331" s="4" t="s">
        <v>2875</v>
      </c>
      <c r="FWT1331" s="4" t="s">
        <v>2875</v>
      </c>
      <c r="FWU1331" s="4" t="s">
        <v>2875</v>
      </c>
      <c r="FWV1331" s="4" t="s">
        <v>2875</v>
      </c>
      <c r="FWW1331" s="4" t="s">
        <v>2875</v>
      </c>
      <c r="FWX1331" s="4" t="s">
        <v>2875</v>
      </c>
      <c r="FWY1331" s="4" t="s">
        <v>2875</v>
      </c>
      <c r="FWZ1331" s="4" t="s">
        <v>2875</v>
      </c>
      <c r="FXA1331" s="4" t="s">
        <v>2875</v>
      </c>
      <c r="FXB1331" s="4" t="s">
        <v>2875</v>
      </c>
      <c r="FXC1331" s="4" t="s">
        <v>2875</v>
      </c>
      <c r="FXD1331" s="4" t="s">
        <v>2875</v>
      </c>
      <c r="FXE1331" s="4" t="s">
        <v>2875</v>
      </c>
      <c r="FXF1331" s="4" t="s">
        <v>2875</v>
      </c>
      <c r="FXG1331" s="4" t="s">
        <v>2875</v>
      </c>
      <c r="FXH1331" s="4" t="s">
        <v>2875</v>
      </c>
      <c r="FXI1331" s="4" t="s">
        <v>2875</v>
      </c>
      <c r="FXJ1331" s="4" t="s">
        <v>2875</v>
      </c>
      <c r="FXK1331" s="4" t="s">
        <v>2875</v>
      </c>
      <c r="FXL1331" s="4" t="s">
        <v>2875</v>
      </c>
      <c r="FXM1331" s="4" t="s">
        <v>2875</v>
      </c>
      <c r="FXN1331" s="4" t="s">
        <v>2875</v>
      </c>
      <c r="FXO1331" s="4" t="s">
        <v>2875</v>
      </c>
      <c r="FXP1331" s="4" t="s">
        <v>2875</v>
      </c>
      <c r="FXQ1331" s="4" t="s">
        <v>2875</v>
      </c>
      <c r="FXR1331" s="4" t="s">
        <v>2875</v>
      </c>
      <c r="FXS1331" s="4" t="s">
        <v>2875</v>
      </c>
      <c r="FXT1331" s="4" t="s">
        <v>2875</v>
      </c>
      <c r="FXU1331" s="4" t="s">
        <v>2875</v>
      </c>
      <c r="FXV1331" s="4" t="s">
        <v>2875</v>
      </c>
      <c r="FXW1331" s="4" t="s">
        <v>2875</v>
      </c>
      <c r="FXX1331" s="4" t="s">
        <v>2875</v>
      </c>
      <c r="FXY1331" s="4" t="s">
        <v>2875</v>
      </c>
      <c r="FXZ1331" s="4" t="s">
        <v>2875</v>
      </c>
      <c r="FYA1331" s="4" t="s">
        <v>2875</v>
      </c>
      <c r="FYB1331" s="4" t="s">
        <v>2875</v>
      </c>
      <c r="FYC1331" s="4" t="s">
        <v>2875</v>
      </c>
      <c r="FYD1331" s="4" t="s">
        <v>2875</v>
      </c>
      <c r="FYE1331" s="4" t="s">
        <v>2875</v>
      </c>
      <c r="FYF1331" s="4" t="s">
        <v>2875</v>
      </c>
      <c r="FYG1331" s="4" t="s">
        <v>2875</v>
      </c>
      <c r="FYH1331" s="4" t="s">
        <v>2875</v>
      </c>
      <c r="FYI1331" s="4" t="s">
        <v>2875</v>
      </c>
      <c r="FYJ1331" s="4" t="s">
        <v>2875</v>
      </c>
      <c r="FYK1331" s="4" t="s">
        <v>2875</v>
      </c>
      <c r="FYL1331" s="4" t="s">
        <v>2875</v>
      </c>
      <c r="FYM1331" s="4" t="s">
        <v>2875</v>
      </c>
      <c r="FYN1331" s="4" t="s">
        <v>2875</v>
      </c>
      <c r="FYO1331" s="4" t="s">
        <v>2875</v>
      </c>
      <c r="FYP1331" s="4" t="s">
        <v>2875</v>
      </c>
      <c r="FYQ1331" s="4" t="s">
        <v>2875</v>
      </c>
      <c r="FYR1331" s="4" t="s">
        <v>2875</v>
      </c>
      <c r="FYS1331" s="4" t="s">
        <v>2875</v>
      </c>
      <c r="FYT1331" s="4" t="s">
        <v>2875</v>
      </c>
      <c r="FYU1331" s="4" t="s">
        <v>2875</v>
      </c>
      <c r="FYV1331" s="4" t="s">
        <v>2875</v>
      </c>
      <c r="FYW1331" s="4" t="s">
        <v>2875</v>
      </c>
      <c r="FYX1331" s="4" t="s">
        <v>2875</v>
      </c>
      <c r="FYY1331" s="4" t="s">
        <v>2875</v>
      </c>
      <c r="FYZ1331" s="4" t="s">
        <v>2875</v>
      </c>
      <c r="FZA1331" s="4" t="s">
        <v>2875</v>
      </c>
      <c r="FZB1331" s="4" t="s">
        <v>2875</v>
      </c>
      <c r="FZC1331" s="4" t="s">
        <v>2875</v>
      </c>
      <c r="FZD1331" s="4" t="s">
        <v>2875</v>
      </c>
      <c r="FZE1331" s="4" t="s">
        <v>2875</v>
      </c>
      <c r="FZF1331" s="4" t="s">
        <v>2875</v>
      </c>
      <c r="FZG1331" s="4" t="s">
        <v>2875</v>
      </c>
      <c r="FZH1331" s="4" t="s">
        <v>2875</v>
      </c>
      <c r="FZI1331" s="4" t="s">
        <v>2875</v>
      </c>
      <c r="FZJ1331" s="4" t="s">
        <v>2875</v>
      </c>
      <c r="FZK1331" s="4" t="s">
        <v>2875</v>
      </c>
      <c r="FZL1331" s="4" t="s">
        <v>2875</v>
      </c>
      <c r="FZM1331" s="4" t="s">
        <v>2875</v>
      </c>
      <c r="FZN1331" s="4" t="s">
        <v>2875</v>
      </c>
      <c r="FZO1331" s="4" t="s">
        <v>2875</v>
      </c>
      <c r="FZP1331" s="4" t="s">
        <v>2875</v>
      </c>
      <c r="FZQ1331" s="4" t="s">
        <v>2875</v>
      </c>
      <c r="FZR1331" s="4" t="s">
        <v>2875</v>
      </c>
      <c r="FZS1331" s="4" t="s">
        <v>2875</v>
      </c>
      <c r="FZT1331" s="4" t="s">
        <v>2875</v>
      </c>
      <c r="FZU1331" s="4" t="s">
        <v>2875</v>
      </c>
      <c r="FZV1331" s="4" t="s">
        <v>2875</v>
      </c>
      <c r="FZW1331" s="4" t="s">
        <v>2875</v>
      </c>
      <c r="FZX1331" s="4" t="s">
        <v>2875</v>
      </c>
      <c r="FZY1331" s="4" t="s">
        <v>2875</v>
      </c>
      <c r="FZZ1331" s="4" t="s">
        <v>2875</v>
      </c>
      <c r="GAA1331" s="4" t="s">
        <v>2875</v>
      </c>
      <c r="GAB1331" s="4" t="s">
        <v>2875</v>
      </c>
      <c r="GAC1331" s="4" t="s">
        <v>2875</v>
      </c>
      <c r="GAD1331" s="4" t="s">
        <v>2875</v>
      </c>
      <c r="GAE1331" s="4" t="s">
        <v>2875</v>
      </c>
      <c r="GAF1331" s="4" t="s">
        <v>2875</v>
      </c>
      <c r="GAG1331" s="4" t="s">
        <v>2875</v>
      </c>
      <c r="GAH1331" s="4" t="s">
        <v>2875</v>
      </c>
      <c r="GAI1331" s="4" t="s">
        <v>2875</v>
      </c>
      <c r="GAJ1331" s="4" t="s">
        <v>2875</v>
      </c>
      <c r="GAK1331" s="4" t="s">
        <v>2875</v>
      </c>
      <c r="GAL1331" s="4" t="s">
        <v>2875</v>
      </c>
      <c r="GAM1331" s="4" t="s">
        <v>2875</v>
      </c>
      <c r="GAN1331" s="4" t="s">
        <v>2875</v>
      </c>
      <c r="GAO1331" s="4" t="s">
        <v>2875</v>
      </c>
      <c r="GAP1331" s="4" t="s">
        <v>2875</v>
      </c>
      <c r="GAQ1331" s="4" t="s">
        <v>2875</v>
      </c>
      <c r="GAR1331" s="4" t="s">
        <v>2875</v>
      </c>
      <c r="GAS1331" s="4" t="s">
        <v>2875</v>
      </c>
      <c r="GAT1331" s="4" t="s">
        <v>2875</v>
      </c>
      <c r="GAU1331" s="4" t="s">
        <v>2875</v>
      </c>
      <c r="GAV1331" s="4" t="s">
        <v>2875</v>
      </c>
      <c r="GAW1331" s="4" t="s">
        <v>2875</v>
      </c>
      <c r="GAX1331" s="4" t="s">
        <v>2875</v>
      </c>
      <c r="GAY1331" s="4" t="s">
        <v>2875</v>
      </c>
      <c r="GAZ1331" s="4" t="s">
        <v>2875</v>
      </c>
      <c r="GBA1331" s="4" t="s">
        <v>2875</v>
      </c>
      <c r="GBB1331" s="4" t="s">
        <v>2875</v>
      </c>
      <c r="GBC1331" s="4" t="s">
        <v>2875</v>
      </c>
      <c r="GBD1331" s="4" t="s">
        <v>2875</v>
      </c>
      <c r="GBE1331" s="4" t="s">
        <v>2875</v>
      </c>
      <c r="GBF1331" s="4" t="s">
        <v>2875</v>
      </c>
      <c r="GBG1331" s="4" t="s">
        <v>2875</v>
      </c>
      <c r="GBH1331" s="4" t="s">
        <v>2875</v>
      </c>
      <c r="GBI1331" s="4" t="s">
        <v>2875</v>
      </c>
      <c r="GBJ1331" s="4" t="s">
        <v>2875</v>
      </c>
      <c r="GBK1331" s="4" t="s">
        <v>2875</v>
      </c>
      <c r="GBL1331" s="4" t="s">
        <v>2875</v>
      </c>
      <c r="GBM1331" s="4" t="s">
        <v>2875</v>
      </c>
      <c r="GBN1331" s="4" t="s">
        <v>2875</v>
      </c>
      <c r="GBO1331" s="4" t="s">
        <v>2875</v>
      </c>
      <c r="GBP1331" s="4" t="s">
        <v>2875</v>
      </c>
      <c r="GBQ1331" s="4" t="s">
        <v>2875</v>
      </c>
      <c r="GBR1331" s="4" t="s">
        <v>2875</v>
      </c>
      <c r="GBS1331" s="4" t="s">
        <v>2875</v>
      </c>
      <c r="GBT1331" s="4" t="s">
        <v>2875</v>
      </c>
      <c r="GBU1331" s="4" t="s">
        <v>2875</v>
      </c>
      <c r="GBV1331" s="4" t="s">
        <v>2875</v>
      </c>
      <c r="GBW1331" s="4" t="s">
        <v>2875</v>
      </c>
      <c r="GBX1331" s="4" t="s">
        <v>2875</v>
      </c>
      <c r="GBY1331" s="4" t="s">
        <v>2875</v>
      </c>
      <c r="GBZ1331" s="4" t="s">
        <v>2875</v>
      </c>
      <c r="GCA1331" s="4" t="s">
        <v>2875</v>
      </c>
      <c r="GCB1331" s="4" t="s">
        <v>2875</v>
      </c>
      <c r="GCC1331" s="4" t="s">
        <v>2875</v>
      </c>
      <c r="GCD1331" s="4" t="s">
        <v>2875</v>
      </c>
      <c r="GCE1331" s="4" t="s">
        <v>2875</v>
      </c>
      <c r="GCF1331" s="4" t="s">
        <v>2875</v>
      </c>
      <c r="GCG1331" s="4" t="s">
        <v>2875</v>
      </c>
      <c r="GCH1331" s="4" t="s">
        <v>2875</v>
      </c>
      <c r="GCI1331" s="4" t="s">
        <v>2875</v>
      </c>
      <c r="GCJ1331" s="4" t="s">
        <v>2875</v>
      </c>
      <c r="GCK1331" s="4" t="s">
        <v>2875</v>
      </c>
      <c r="GCL1331" s="4" t="s">
        <v>2875</v>
      </c>
      <c r="GCM1331" s="4" t="s">
        <v>2875</v>
      </c>
      <c r="GCN1331" s="4" t="s">
        <v>2875</v>
      </c>
      <c r="GCO1331" s="4" t="s">
        <v>2875</v>
      </c>
      <c r="GCP1331" s="4" t="s">
        <v>2875</v>
      </c>
      <c r="GCQ1331" s="4" t="s">
        <v>2875</v>
      </c>
      <c r="GCR1331" s="4" t="s">
        <v>2875</v>
      </c>
      <c r="GCS1331" s="4" t="s">
        <v>2875</v>
      </c>
      <c r="GCT1331" s="4" t="s">
        <v>2875</v>
      </c>
      <c r="GCU1331" s="4" t="s">
        <v>2875</v>
      </c>
      <c r="GCV1331" s="4" t="s">
        <v>2875</v>
      </c>
      <c r="GCW1331" s="4" t="s">
        <v>2875</v>
      </c>
      <c r="GCX1331" s="4" t="s">
        <v>2875</v>
      </c>
      <c r="GCY1331" s="4" t="s">
        <v>2875</v>
      </c>
      <c r="GCZ1331" s="4" t="s">
        <v>2875</v>
      </c>
      <c r="GDA1331" s="4" t="s">
        <v>2875</v>
      </c>
      <c r="GDB1331" s="4" t="s">
        <v>2875</v>
      </c>
      <c r="GDC1331" s="4" t="s">
        <v>2875</v>
      </c>
      <c r="GDD1331" s="4" t="s">
        <v>2875</v>
      </c>
      <c r="GDE1331" s="4" t="s">
        <v>2875</v>
      </c>
      <c r="GDF1331" s="4" t="s">
        <v>2875</v>
      </c>
      <c r="GDG1331" s="4" t="s">
        <v>2875</v>
      </c>
      <c r="GDH1331" s="4" t="s">
        <v>2875</v>
      </c>
      <c r="GDI1331" s="4" t="s">
        <v>2875</v>
      </c>
      <c r="GDJ1331" s="4" t="s">
        <v>2875</v>
      </c>
      <c r="GDK1331" s="4" t="s">
        <v>2875</v>
      </c>
      <c r="GDL1331" s="4" t="s">
        <v>2875</v>
      </c>
      <c r="GDM1331" s="4" t="s">
        <v>2875</v>
      </c>
      <c r="GDN1331" s="4" t="s">
        <v>2875</v>
      </c>
      <c r="GDO1331" s="4" t="s">
        <v>2875</v>
      </c>
      <c r="GDP1331" s="4" t="s">
        <v>2875</v>
      </c>
      <c r="GDQ1331" s="4" t="s">
        <v>2875</v>
      </c>
      <c r="GDR1331" s="4" t="s">
        <v>2875</v>
      </c>
      <c r="GDS1331" s="4" t="s">
        <v>2875</v>
      </c>
      <c r="GDT1331" s="4" t="s">
        <v>2875</v>
      </c>
      <c r="GDU1331" s="4" t="s">
        <v>2875</v>
      </c>
      <c r="GDV1331" s="4" t="s">
        <v>2875</v>
      </c>
      <c r="GDW1331" s="4" t="s">
        <v>2875</v>
      </c>
      <c r="GDX1331" s="4" t="s">
        <v>2875</v>
      </c>
      <c r="GDY1331" s="4" t="s">
        <v>2875</v>
      </c>
      <c r="GDZ1331" s="4" t="s">
        <v>2875</v>
      </c>
      <c r="GEA1331" s="4" t="s">
        <v>2875</v>
      </c>
      <c r="GEB1331" s="4" t="s">
        <v>2875</v>
      </c>
      <c r="GEC1331" s="4" t="s">
        <v>2875</v>
      </c>
      <c r="GED1331" s="4" t="s">
        <v>2875</v>
      </c>
      <c r="GEE1331" s="4" t="s">
        <v>2875</v>
      </c>
      <c r="GEF1331" s="4" t="s">
        <v>2875</v>
      </c>
      <c r="GEG1331" s="4" t="s">
        <v>2875</v>
      </c>
      <c r="GEH1331" s="4" t="s">
        <v>2875</v>
      </c>
      <c r="GEI1331" s="4" t="s">
        <v>2875</v>
      </c>
      <c r="GEJ1331" s="4" t="s">
        <v>2875</v>
      </c>
      <c r="GEK1331" s="4" t="s">
        <v>2875</v>
      </c>
      <c r="GEL1331" s="4" t="s">
        <v>2875</v>
      </c>
      <c r="GEM1331" s="4" t="s">
        <v>2875</v>
      </c>
      <c r="GEN1331" s="4" t="s">
        <v>2875</v>
      </c>
      <c r="GEO1331" s="4" t="s">
        <v>2875</v>
      </c>
      <c r="GEP1331" s="4" t="s">
        <v>2875</v>
      </c>
      <c r="GEQ1331" s="4" t="s">
        <v>2875</v>
      </c>
      <c r="GER1331" s="4" t="s">
        <v>2875</v>
      </c>
      <c r="GES1331" s="4" t="s">
        <v>2875</v>
      </c>
      <c r="GET1331" s="4" t="s">
        <v>2875</v>
      </c>
      <c r="GEU1331" s="4" t="s">
        <v>2875</v>
      </c>
      <c r="GEV1331" s="4" t="s">
        <v>2875</v>
      </c>
      <c r="GEW1331" s="4" t="s">
        <v>2875</v>
      </c>
      <c r="GEX1331" s="4" t="s">
        <v>2875</v>
      </c>
      <c r="GEY1331" s="4" t="s">
        <v>2875</v>
      </c>
      <c r="GEZ1331" s="4" t="s">
        <v>2875</v>
      </c>
      <c r="GFA1331" s="4" t="s">
        <v>2875</v>
      </c>
      <c r="GFB1331" s="4" t="s">
        <v>2875</v>
      </c>
      <c r="GFC1331" s="4" t="s">
        <v>2875</v>
      </c>
      <c r="GFD1331" s="4" t="s">
        <v>2875</v>
      </c>
      <c r="GFE1331" s="4" t="s">
        <v>2875</v>
      </c>
      <c r="GFF1331" s="4" t="s">
        <v>2875</v>
      </c>
      <c r="GFG1331" s="4" t="s">
        <v>2875</v>
      </c>
      <c r="GFH1331" s="4" t="s">
        <v>2875</v>
      </c>
      <c r="GFI1331" s="4" t="s">
        <v>2875</v>
      </c>
      <c r="GFJ1331" s="4" t="s">
        <v>2875</v>
      </c>
      <c r="GFK1331" s="4" t="s">
        <v>2875</v>
      </c>
      <c r="GFL1331" s="4" t="s">
        <v>2875</v>
      </c>
      <c r="GFM1331" s="4" t="s">
        <v>2875</v>
      </c>
      <c r="GFN1331" s="4" t="s">
        <v>2875</v>
      </c>
      <c r="GFO1331" s="4" t="s">
        <v>2875</v>
      </c>
      <c r="GFP1331" s="4" t="s">
        <v>2875</v>
      </c>
      <c r="GFQ1331" s="4" t="s">
        <v>2875</v>
      </c>
      <c r="GFR1331" s="4" t="s">
        <v>2875</v>
      </c>
      <c r="GFS1331" s="4" t="s">
        <v>2875</v>
      </c>
      <c r="GFT1331" s="4" t="s">
        <v>2875</v>
      </c>
      <c r="GFU1331" s="4" t="s">
        <v>2875</v>
      </c>
      <c r="GFV1331" s="4" t="s">
        <v>2875</v>
      </c>
      <c r="GFW1331" s="4" t="s">
        <v>2875</v>
      </c>
      <c r="GFX1331" s="4" t="s">
        <v>2875</v>
      </c>
      <c r="GFY1331" s="4" t="s">
        <v>2875</v>
      </c>
      <c r="GFZ1331" s="4" t="s">
        <v>2875</v>
      </c>
      <c r="GGA1331" s="4" t="s">
        <v>2875</v>
      </c>
      <c r="GGB1331" s="4" t="s">
        <v>2875</v>
      </c>
      <c r="GGC1331" s="4" t="s">
        <v>2875</v>
      </c>
      <c r="GGD1331" s="4" t="s">
        <v>2875</v>
      </c>
      <c r="GGE1331" s="4" t="s">
        <v>2875</v>
      </c>
      <c r="GGF1331" s="4" t="s">
        <v>2875</v>
      </c>
      <c r="GGG1331" s="4" t="s">
        <v>2875</v>
      </c>
      <c r="GGH1331" s="4" t="s">
        <v>2875</v>
      </c>
      <c r="GGI1331" s="4" t="s">
        <v>2875</v>
      </c>
      <c r="GGJ1331" s="4" t="s">
        <v>2875</v>
      </c>
      <c r="GGK1331" s="4" t="s">
        <v>2875</v>
      </c>
      <c r="GGL1331" s="4" t="s">
        <v>2875</v>
      </c>
      <c r="GGM1331" s="4" t="s">
        <v>2875</v>
      </c>
      <c r="GGN1331" s="4" t="s">
        <v>2875</v>
      </c>
      <c r="GGO1331" s="4" t="s">
        <v>2875</v>
      </c>
      <c r="GGP1331" s="4" t="s">
        <v>2875</v>
      </c>
      <c r="GGQ1331" s="4" t="s">
        <v>2875</v>
      </c>
      <c r="GGR1331" s="4" t="s">
        <v>2875</v>
      </c>
      <c r="GGS1331" s="4" t="s">
        <v>2875</v>
      </c>
      <c r="GGT1331" s="4" t="s">
        <v>2875</v>
      </c>
      <c r="GGU1331" s="4" t="s">
        <v>2875</v>
      </c>
      <c r="GGV1331" s="4" t="s">
        <v>2875</v>
      </c>
      <c r="GGW1331" s="4" t="s">
        <v>2875</v>
      </c>
      <c r="GGX1331" s="4" t="s">
        <v>2875</v>
      </c>
      <c r="GGY1331" s="4" t="s">
        <v>2875</v>
      </c>
      <c r="GGZ1331" s="4" t="s">
        <v>2875</v>
      </c>
      <c r="GHA1331" s="4" t="s">
        <v>2875</v>
      </c>
      <c r="GHB1331" s="4" t="s">
        <v>2875</v>
      </c>
      <c r="GHC1331" s="4" t="s">
        <v>2875</v>
      </c>
      <c r="GHD1331" s="4" t="s">
        <v>2875</v>
      </c>
      <c r="GHE1331" s="4" t="s">
        <v>2875</v>
      </c>
      <c r="GHF1331" s="4" t="s">
        <v>2875</v>
      </c>
      <c r="GHG1331" s="4" t="s">
        <v>2875</v>
      </c>
      <c r="GHH1331" s="4" t="s">
        <v>2875</v>
      </c>
      <c r="GHI1331" s="4" t="s">
        <v>2875</v>
      </c>
      <c r="GHJ1331" s="4" t="s">
        <v>2875</v>
      </c>
      <c r="GHK1331" s="4" t="s">
        <v>2875</v>
      </c>
      <c r="GHL1331" s="4" t="s">
        <v>2875</v>
      </c>
      <c r="GHM1331" s="4" t="s">
        <v>2875</v>
      </c>
      <c r="GHN1331" s="4" t="s">
        <v>2875</v>
      </c>
      <c r="GHO1331" s="4" t="s">
        <v>2875</v>
      </c>
      <c r="GHP1331" s="4" t="s">
        <v>2875</v>
      </c>
      <c r="GHQ1331" s="4" t="s">
        <v>2875</v>
      </c>
      <c r="GHR1331" s="4" t="s">
        <v>2875</v>
      </c>
      <c r="GHS1331" s="4" t="s">
        <v>2875</v>
      </c>
      <c r="GHT1331" s="4" t="s">
        <v>2875</v>
      </c>
      <c r="GHU1331" s="4" t="s">
        <v>2875</v>
      </c>
      <c r="GHV1331" s="4" t="s">
        <v>2875</v>
      </c>
      <c r="GHW1331" s="4" t="s">
        <v>2875</v>
      </c>
      <c r="GHX1331" s="4" t="s">
        <v>2875</v>
      </c>
      <c r="GHY1331" s="4" t="s">
        <v>2875</v>
      </c>
      <c r="GHZ1331" s="4" t="s">
        <v>2875</v>
      </c>
      <c r="GIA1331" s="4" t="s">
        <v>2875</v>
      </c>
      <c r="GIB1331" s="4" t="s">
        <v>2875</v>
      </c>
      <c r="GIC1331" s="4" t="s">
        <v>2875</v>
      </c>
      <c r="GID1331" s="4" t="s">
        <v>2875</v>
      </c>
      <c r="GIE1331" s="4" t="s">
        <v>2875</v>
      </c>
      <c r="GIF1331" s="4" t="s">
        <v>2875</v>
      </c>
      <c r="GIG1331" s="4" t="s">
        <v>2875</v>
      </c>
      <c r="GIH1331" s="4" t="s">
        <v>2875</v>
      </c>
      <c r="GII1331" s="4" t="s">
        <v>2875</v>
      </c>
      <c r="GIJ1331" s="4" t="s">
        <v>2875</v>
      </c>
      <c r="GIK1331" s="4" t="s">
        <v>2875</v>
      </c>
      <c r="GIL1331" s="4" t="s">
        <v>2875</v>
      </c>
      <c r="GIM1331" s="4" t="s">
        <v>2875</v>
      </c>
      <c r="GIN1331" s="4" t="s">
        <v>2875</v>
      </c>
      <c r="GIO1331" s="4" t="s">
        <v>2875</v>
      </c>
      <c r="GIP1331" s="4" t="s">
        <v>2875</v>
      </c>
      <c r="GIQ1331" s="4" t="s">
        <v>2875</v>
      </c>
      <c r="GIR1331" s="4" t="s">
        <v>2875</v>
      </c>
      <c r="GIS1331" s="4" t="s">
        <v>2875</v>
      </c>
      <c r="GIT1331" s="4" t="s">
        <v>2875</v>
      </c>
      <c r="GIU1331" s="4" t="s">
        <v>2875</v>
      </c>
      <c r="GIV1331" s="4" t="s">
        <v>2875</v>
      </c>
      <c r="GIW1331" s="4" t="s">
        <v>2875</v>
      </c>
      <c r="GIX1331" s="4" t="s">
        <v>2875</v>
      </c>
      <c r="GIY1331" s="4" t="s">
        <v>2875</v>
      </c>
      <c r="GIZ1331" s="4" t="s">
        <v>2875</v>
      </c>
      <c r="GJA1331" s="4" t="s">
        <v>2875</v>
      </c>
      <c r="GJB1331" s="4" t="s">
        <v>2875</v>
      </c>
      <c r="GJC1331" s="4" t="s">
        <v>2875</v>
      </c>
      <c r="GJD1331" s="4" t="s">
        <v>2875</v>
      </c>
      <c r="GJE1331" s="4" t="s">
        <v>2875</v>
      </c>
      <c r="GJF1331" s="4" t="s">
        <v>2875</v>
      </c>
      <c r="GJG1331" s="4" t="s">
        <v>2875</v>
      </c>
      <c r="GJH1331" s="4" t="s">
        <v>2875</v>
      </c>
      <c r="GJI1331" s="4" t="s">
        <v>2875</v>
      </c>
      <c r="GJJ1331" s="4" t="s">
        <v>2875</v>
      </c>
      <c r="GJK1331" s="4" t="s">
        <v>2875</v>
      </c>
      <c r="GJL1331" s="4" t="s">
        <v>2875</v>
      </c>
      <c r="GJM1331" s="4" t="s">
        <v>2875</v>
      </c>
      <c r="GJN1331" s="4" t="s">
        <v>2875</v>
      </c>
      <c r="GJO1331" s="4" t="s">
        <v>2875</v>
      </c>
      <c r="GJP1331" s="4" t="s">
        <v>2875</v>
      </c>
      <c r="GJQ1331" s="4" t="s">
        <v>2875</v>
      </c>
      <c r="GJR1331" s="4" t="s">
        <v>2875</v>
      </c>
      <c r="GJS1331" s="4" t="s">
        <v>2875</v>
      </c>
      <c r="GJT1331" s="4" t="s">
        <v>2875</v>
      </c>
      <c r="GJU1331" s="4" t="s">
        <v>2875</v>
      </c>
      <c r="GJV1331" s="4" t="s">
        <v>2875</v>
      </c>
      <c r="GJW1331" s="4" t="s">
        <v>2875</v>
      </c>
      <c r="GJX1331" s="4" t="s">
        <v>2875</v>
      </c>
      <c r="GJY1331" s="4" t="s">
        <v>2875</v>
      </c>
      <c r="GJZ1331" s="4" t="s">
        <v>2875</v>
      </c>
      <c r="GKA1331" s="4" t="s">
        <v>2875</v>
      </c>
      <c r="GKB1331" s="4" t="s">
        <v>2875</v>
      </c>
      <c r="GKC1331" s="4" t="s">
        <v>2875</v>
      </c>
      <c r="GKD1331" s="4" t="s">
        <v>2875</v>
      </c>
      <c r="GKE1331" s="4" t="s">
        <v>2875</v>
      </c>
      <c r="GKF1331" s="4" t="s">
        <v>2875</v>
      </c>
      <c r="GKG1331" s="4" t="s">
        <v>2875</v>
      </c>
      <c r="GKH1331" s="4" t="s">
        <v>2875</v>
      </c>
      <c r="GKI1331" s="4" t="s">
        <v>2875</v>
      </c>
      <c r="GKJ1331" s="4" t="s">
        <v>2875</v>
      </c>
      <c r="GKK1331" s="4" t="s">
        <v>2875</v>
      </c>
      <c r="GKL1331" s="4" t="s">
        <v>2875</v>
      </c>
      <c r="GKM1331" s="4" t="s">
        <v>2875</v>
      </c>
      <c r="GKN1331" s="4" t="s">
        <v>2875</v>
      </c>
      <c r="GKO1331" s="4" t="s">
        <v>2875</v>
      </c>
      <c r="GKP1331" s="4" t="s">
        <v>2875</v>
      </c>
      <c r="GKQ1331" s="4" t="s">
        <v>2875</v>
      </c>
      <c r="GKR1331" s="4" t="s">
        <v>2875</v>
      </c>
      <c r="GKS1331" s="4" t="s">
        <v>2875</v>
      </c>
      <c r="GKT1331" s="4" t="s">
        <v>2875</v>
      </c>
      <c r="GKU1331" s="4" t="s">
        <v>2875</v>
      </c>
      <c r="GKV1331" s="4" t="s">
        <v>2875</v>
      </c>
      <c r="GKW1331" s="4" t="s">
        <v>2875</v>
      </c>
      <c r="GKX1331" s="4" t="s">
        <v>2875</v>
      </c>
      <c r="GKY1331" s="4" t="s">
        <v>2875</v>
      </c>
      <c r="GKZ1331" s="4" t="s">
        <v>2875</v>
      </c>
      <c r="GLA1331" s="4" t="s">
        <v>2875</v>
      </c>
      <c r="GLB1331" s="4" t="s">
        <v>2875</v>
      </c>
      <c r="GLC1331" s="4" t="s">
        <v>2875</v>
      </c>
      <c r="GLD1331" s="4" t="s">
        <v>2875</v>
      </c>
      <c r="GLE1331" s="4" t="s">
        <v>2875</v>
      </c>
      <c r="GLF1331" s="4" t="s">
        <v>2875</v>
      </c>
      <c r="GLG1331" s="4" t="s">
        <v>2875</v>
      </c>
      <c r="GLH1331" s="4" t="s">
        <v>2875</v>
      </c>
      <c r="GLI1331" s="4" t="s">
        <v>2875</v>
      </c>
      <c r="GLJ1331" s="4" t="s">
        <v>2875</v>
      </c>
      <c r="GLK1331" s="4" t="s">
        <v>2875</v>
      </c>
      <c r="GLL1331" s="4" t="s">
        <v>2875</v>
      </c>
      <c r="GLM1331" s="4" t="s">
        <v>2875</v>
      </c>
      <c r="GLN1331" s="4" t="s">
        <v>2875</v>
      </c>
      <c r="GLO1331" s="4" t="s">
        <v>2875</v>
      </c>
      <c r="GLP1331" s="4" t="s">
        <v>2875</v>
      </c>
      <c r="GLQ1331" s="4" t="s">
        <v>2875</v>
      </c>
      <c r="GLR1331" s="4" t="s">
        <v>2875</v>
      </c>
      <c r="GLS1331" s="4" t="s">
        <v>2875</v>
      </c>
      <c r="GLT1331" s="4" t="s">
        <v>2875</v>
      </c>
      <c r="GLU1331" s="4" t="s">
        <v>2875</v>
      </c>
      <c r="GLV1331" s="4" t="s">
        <v>2875</v>
      </c>
      <c r="GLW1331" s="4" t="s">
        <v>2875</v>
      </c>
      <c r="GLX1331" s="4" t="s">
        <v>2875</v>
      </c>
      <c r="GLY1331" s="4" t="s">
        <v>2875</v>
      </c>
      <c r="GLZ1331" s="4" t="s">
        <v>2875</v>
      </c>
      <c r="GMA1331" s="4" t="s">
        <v>2875</v>
      </c>
      <c r="GMB1331" s="4" t="s">
        <v>2875</v>
      </c>
      <c r="GMC1331" s="4" t="s">
        <v>2875</v>
      </c>
      <c r="GMD1331" s="4" t="s">
        <v>2875</v>
      </c>
      <c r="GME1331" s="4" t="s">
        <v>2875</v>
      </c>
      <c r="GMF1331" s="4" t="s">
        <v>2875</v>
      </c>
      <c r="GMG1331" s="4" t="s">
        <v>2875</v>
      </c>
      <c r="GMH1331" s="4" t="s">
        <v>2875</v>
      </c>
      <c r="GMI1331" s="4" t="s">
        <v>2875</v>
      </c>
      <c r="GMJ1331" s="4" t="s">
        <v>2875</v>
      </c>
      <c r="GMK1331" s="4" t="s">
        <v>2875</v>
      </c>
      <c r="GML1331" s="4" t="s">
        <v>2875</v>
      </c>
      <c r="GMM1331" s="4" t="s">
        <v>2875</v>
      </c>
      <c r="GMN1331" s="4" t="s">
        <v>2875</v>
      </c>
      <c r="GMO1331" s="4" t="s">
        <v>2875</v>
      </c>
      <c r="GMP1331" s="4" t="s">
        <v>2875</v>
      </c>
      <c r="GMQ1331" s="4" t="s">
        <v>2875</v>
      </c>
      <c r="GMR1331" s="4" t="s">
        <v>2875</v>
      </c>
      <c r="GMS1331" s="4" t="s">
        <v>2875</v>
      </c>
      <c r="GMT1331" s="4" t="s">
        <v>2875</v>
      </c>
      <c r="GMU1331" s="4" t="s">
        <v>2875</v>
      </c>
      <c r="GMV1331" s="4" t="s">
        <v>2875</v>
      </c>
      <c r="GMW1331" s="4" t="s">
        <v>2875</v>
      </c>
      <c r="GMX1331" s="4" t="s">
        <v>2875</v>
      </c>
      <c r="GMY1331" s="4" t="s">
        <v>2875</v>
      </c>
      <c r="GMZ1331" s="4" t="s">
        <v>2875</v>
      </c>
      <c r="GNA1331" s="4" t="s">
        <v>2875</v>
      </c>
      <c r="GNB1331" s="4" t="s">
        <v>2875</v>
      </c>
      <c r="GNC1331" s="4" t="s">
        <v>2875</v>
      </c>
      <c r="GND1331" s="4" t="s">
        <v>2875</v>
      </c>
      <c r="GNE1331" s="4" t="s">
        <v>2875</v>
      </c>
      <c r="GNF1331" s="4" t="s">
        <v>2875</v>
      </c>
      <c r="GNG1331" s="4" t="s">
        <v>2875</v>
      </c>
      <c r="GNH1331" s="4" t="s">
        <v>2875</v>
      </c>
      <c r="GNI1331" s="4" t="s">
        <v>2875</v>
      </c>
      <c r="GNJ1331" s="4" t="s">
        <v>2875</v>
      </c>
      <c r="GNK1331" s="4" t="s">
        <v>2875</v>
      </c>
      <c r="GNL1331" s="4" t="s">
        <v>2875</v>
      </c>
      <c r="GNM1331" s="4" t="s">
        <v>2875</v>
      </c>
      <c r="GNN1331" s="4" t="s">
        <v>2875</v>
      </c>
      <c r="GNO1331" s="4" t="s">
        <v>2875</v>
      </c>
      <c r="GNP1331" s="4" t="s">
        <v>2875</v>
      </c>
      <c r="GNQ1331" s="4" t="s">
        <v>2875</v>
      </c>
      <c r="GNR1331" s="4" t="s">
        <v>2875</v>
      </c>
      <c r="GNS1331" s="4" t="s">
        <v>2875</v>
      </c>
      <c r="GNT1331" s="4" t="s">
        <v>2875</v>
      </c>
      <c r="GNU1331" s="4" t="s">
        <v>2875</v>
      </c>
      <c r="GNV1331" s="4" t="s">
        <v>2875</v>
      </c>
      <c r="GNW1331" s="4" t="s">
        <v>2875</v>
      </c>
      <c r="GNX1331" s="4" t="s">
        <v>2875</v>
      </c>
      <c r="GNY1331" s="4" t="s">
        <v>2875</v>
      </c>
      <c r="GNZ1331" s="4" t="s">
        <v>2875</v>
      </c>
      <c r="GOA1331" s="4" t="s">
        <v>2875</v>
      </c>
      <c r="GOB1331" s="4" t="s">
        <v>2875</v>
      </c>
      <c r="GOC1331" s="4" t="s">
        <v>2875</v>
      </c>
      <c r="GOD1331" s="4" t="s">
        <v>2875</v>
      </c>
      <c r="GOE1331" s="4" t="s">
        <v>2875</v>
      </c>
      <c r="GOF1331" s="4" t="s">
        <v>2875</v>
      </c>
      <c r="GOG1331" s="4" t="s">
        <v>2875</v>
      </c>
      <c r="GOH1331" s="4" t="s">
        <v>2875</v>
      </c>
      <c r="GOI1331" s="4" t="s">
        <v>2875</v>
      </c>
      <c r="GOJ1331" s="4" t="s">
        <v>2875</v>
      </c>
      <c r="GOK1331" s="4" t="s">
        <v>2875</v>
      </c>
      <c r="GOL1331" s="4" t="s">
        <v>2875</v>
      </c>
      <c r="GOM1331" s="4" t="s">
        <v>2875</v>
      </c>
      <c r="GON1331" s="4" t="s">
        <v>2875</v>
      </c>
      <c r="GOO1331" s="4" t="s">
        <v>2875</v>
      </c>
      <c r="GOP1331" s="4" t="s">
        <v>2875</v>
      </c>
      <c r="GOQ1331" s="4" t="s">
        <v>2875</v>
      </c>
      <c r="GOR1331" s="4" t="s">
        <v>2875</v>
      </c>
      <c r="GOS1331" s="4" t="s">
        <v>2875</v>
      </c>
      <c r="GOT1331" s="4" t="s">
        <v>2875</v>
      </c>
      <c r="GOU1331" s="4" t="s">
        <v>2875</v>
      </c>
      <c r="GOV1331" s="4" t="s">
        <v>2875</v>
      </c>
      <c r="GOW1331" s="4" t="s">
        <v>2875</v>
      </c>
      <c r="GOX1331" s="4" t="s">
        <v>2875</v>
      </c>
      <c r="GOY1331" s="4" t="s">
        <v>2875</v>
      </c>
      <c r="GOZ1331" s="4" t="s">
        <v>2875</v>
      </c>
      <c r="GPA1331" s="4" t="s">
        <v>2875</v>
      </c>
      <c r="GPB1331" s="4" t="s">
        <v>2875</v>
      </c>
      <c r="GPC1331" s="4" t="s">
        <v>2875</v>
      </c>
      <c r="GPD1331" s="4" t="s">
        <v>2875</v>
      </c>
      <c r="GPE1331" s="4" t="s">
        <v>2875</v>
      </c>
      <c r="GPF1331" s="4" t="s">
        <v>2875</v>
      </c>
      <c r="GPG1331" s="4" t="s">
        <v>2875</v>
      </c>
      <c r="GPH1331" s="4" t="s">
        <v>2875</v>
      </c>
      <c r="GPI1331" s="4" t="s">
        <v>2875</v>
      </c>
      <c r="GPJ1331" s="4" t="s">
        <v>2875</v>
      </c>
      <c r="GPK1331" s="4" t="s">
        <v>2875</v>
      </c>
      <c r="GPL1331" s="4" t="s">
        <v>2875</v>
      </c>
      <c r="GPM1331" s="4" t="s">
        <v>2875</v>
      </c>
      <c r="GPN1331" s="4" t="s">
        <v>2875</v>
      </c>
      <c r="GPO1331" s="4" t="s">
        <v>2875</v>
      </c>
      <c r="GPP1331" s="4" t="s">
        <v>2875</v>
      </c>
      <c r="GPQ1331" s="4" t="s">
        <v>2875</v>
      </c>
      <c r="GPR1331" s="4" t="s">
        <v>2875</v>
      </c>
      <c r="GPS1331" s="4" t="s">
        <v>2875</v>
      </c>
      <c r="GPT1331" s="4" t="s">
        <v>2875</v>
      </c>
      <c r="GPU1331" s="4" t="s">
        <v>2875</v>
      </c>
      <c r="GPV1331" s="4" t="s">
        <v>2875</v>
      </c>
      <c r="GPW1331" s="4" t="s">
        <v>2875</v>
      </c>
      <c r="GPX1331" s="4" t="s">
        <v>2875</v>
      </c>
      <c r="GPY1331" s="4" t="s">
        <v>2875</v>
      </c>
      <c r="GPZ1331" s="4" t="s">
        <v>2875</v>
      </c>
      <c r="GQA1331" s="4" t="s">
        <v>2875</v>
      </c>
      <c r="GQB1331" s="4" t="s">
        <v>2875</v>
      </c>
      <c r="GQC1331" s="4" t="s">
        <v>2875</v>
      </c>
      <c r="GQD1331" s="4" t="s">
        <v>2875</v>
      </c>
      <c r="GQE1331" s="4" t="s">
        <v>2875</v>
      </c>
      <c r="GQF1331" s="4" t="s">
        <v>2875</v>
      </c>
      <c r="GQG1331" s="4" t="s">
        <v>2875</v>
      </c>
      <c r="GQH1331" s="4" t="s">
        <v>2875</v>
      </c>
      <c r="GQI1331" s="4" t="s">
        <v>2875</v>
      </c>
      <c r="GQJ1331" s="4" t="s">
        <v>2875</v>
      </c>
      <c r="GQK1331" s="4" t="s">
        <v>2875</v>
      </c>
      <c r="GQL1331" s="4" t="s">
        <v>2875</v>
      </c>
      <c r="GQM1331" s="4" t="s">
        <v>2875</v>
      </c>
      <c r="GQN1331" s="4" t="s">
        <v>2875</v>
      </c>
      <c r="GQO1331" s="4" t="s">
        <v>2875</v>
      </c>
      <c r="GQP1331" s="4" t="s">
        <v>2875</v>
      </c>
      <c r="GQQ1331" s="4" t="s">
        <v>2875</v>
      </c>
      <c r="GQR1331" s="4" t="s">
        <v>2875</v>
      </c>
      <c r="GQS1331" s="4" t="s">
        <v>2875</v>
      </c>
      <c r="GQT1331" s="4" t="s">
        <v>2875</v>
      </c>
      <c r="GQU1331" s="4" t="s">
        <v>2875</v>
      </c>
      <c r="GQV1331" s="4" t="s">
        <v>2875</v>
      </c>
      <c r="GQW1331" s="4" t="s">
        <v>2875</v>
      </c>
      <c r="GQX1331" s="4" t="s">
        <v>2875</v>
      </c>
      <c r="GQY1331" s="4" t="s">
        <v>2875</v>
      </c>
      <c r="GQZ1331" s="4" t="s">
        <v>2875</v>
      </c>
      <c r="GRA1331" s="4" t="s">
        <v>2875</v>
      </c>
      <c r="GRB1331" s="4" t="s">
        <v>2875</v>
      </c>
      <c r="GRC1331" s="4" t="s">
        <v>2875</v>
      </c>
      <c r="GRD1331" s="4" t="s">
        <v>2875</v>
      </c>
      <c r="GRE1331" s="4" t="s">
        <v>2875</v>
      </c>
      <c r="GRF1331" s="4" t="s">
        <v>2875</v>
      </c>
      <c r="GRG1331" s="4" t="s">
        <v>2875</v>
      </c>
      <c r="GRH1331" s="4" t="s">
        <v>2875</v>
      </c>
      <c r="GRI1331" s="4" t="s">
        <v>2875</v>
      </c>
      <c r="GRJ1331" s="4" t="s">
        <v>2875</v>
      </c>
      <c r="GRK1331" s="4" t="s">
        <v>2875</v>
      </c>
      <c r="GRL1331" s="4" t="s">
        <v>2875</v>
      </c>
      <c r="GRM1331" s="4" t="s">
        <v>2875</v>
      </c>
      <c r="GRN1331" s="4" t="s">
        <v>2875</v>
      </c>
      <c r="GRO1331" s="4" t="s">
        <v>2875</v>
      </c>
      <c r="GRP1331" s="4" t="s">
        <v>2875</v>
      </c>
      <c r="GRQ1331" s="4" t="s">
        <v>2875</v>
      </c>
      <c r="GRR1331" s="4" t="s">
        <v>2875</v>
      </c>
      <c r="GRS1331" s="4" t="s">
        <v>2875</v>
      </c>
      <c r="GRT1331" s="4" t="s">
        <v>2875</v>
      </c>
      <c r="GRU1331" s="4" t="s">
        <v>2875</v>
      </c>
      <c r="GRV1331" s="4" t="s">
        <v>2875</v>
      </c>
      <c r="GRW1331" s="4" t="s">
        <v>2875</v>
      </c>
      <c r="GRX1331" s="4" t="s">
        <v>2875</v>
      </c>
      <c r="GRY1331" s="4" t="s">
        <v>2875</v>
      </c>
      <c r="GRZ1331" s="4" t="s">
        <v>2875</v>
      </c>
      <c r="GSA1331" s="4" t="s">
        <v>2875</v>
      </c>
      <c r="GSB1331" s="4" t="s">
        <v>2875</v>
      </c>
      <c r="GSC1331" s="4" t="s">
        <v>2875</v>
      </c>
      <c r="GSD1331" s="4" t="s">
        <v>2875</v>
      </c>
      <c r="GSE1331" s="4" t="s">
        <v>2875</v>
      </c>
      <c r="GSF1331" s="4" t="s">
        <v>2875</v>
      </c>
      <c r="GSG1331" s="4" t="s">
        <v>2875</v>
      </c>
      <c r="GSH1331" s="4" t="s">
        <v>2875</v>
      </c>
      <c r="GSI1331" s="4" t="s">
        <v>2875</v>
      </c>
      <c r="GSJ1331" s="4" t="s">
        <v>2875</v>
      </c>
      <c r="GSK1331" s="4" t="s">
        <v>2875</v>
      </c>
      <c r="GSL1331" s="4" t="s">
        <v>2875</v>
      </c>
      <c r="GSM1331" s="4" t="s">
        <v>2875</v>
      </c>
      <c r="GSN1331" s="4" t="s">
        <v>2875</v>
      </c>
      <c r="GSO1331" s="4" t="s">
        <v>2875</v>
      </c>
      <c r="GSP1331" s="4" t="s">
        <v>2875</v>
      </c>
      <c r="GSQ1331" s="4" t="s">
        <v>2875</v>
      </c>
      <c r="GSR1331" s="4" t="s">
        <v>2875</v>
      </c>
      <c r="GSS1331" s="4" t="s">
        <v>2875</v>
      </c>
      <c r="GST1331" s="4" t="s">
        <v>2875</v>
      </c>
      <c r="GSU1331" s="4" t="s">
        <v>2875</v>
      </c>
      <c r="GSV1331" s="4" t="s">
        <v>2875</v>
      </c>
      <c r="GSW1331" s="4" t="s">
        <v>2875</v>
      </c>
      <c r="GSX1331" s="4" t="s">
        <v>2875</v>
      </c>
      <c r="GSY1331" s="4" t="s">
        <v>2875</v>
      </c>
      <c r="GSZ1331" s="4" t="s">
        <v>2875</v>
      </c>
      <c r="GTA1331" s="4" t="s">
        <v>2875</v>
      </c>
      <c r="GTB1331" s="4" t="s">
        <v>2875</v>
      </c>
      <c r="GTC1331" s="4" t="s">
        <v>2875</v>
      </c>
      <c r="GTD1331" s="4" t="s">
        <v>2875</v>
      </c>
      <c r="GTE1331" s="4" t="s">
        <v>2875</v>
      </c>
      <c r="GTF1331" s="4" t="s">
        <v>2875</v>
      </c>
      <c r="GTG1331" s="4" t="s">
        <v>2875</v>
      </c>
      <c r="GTH1331" s="4" t="s">
        <v>2875</v>
      </c>
      <c r="GTI1331" s="4" t="s">
        <v>2875</v>
      </c>
      <c r="GTJ1331" s="4" t="s">
        <v>2875</v>
      </c>
      <c r="GTK1331" s="4" t="s">
        <v>2875</v>
      </c>
      <c r="GTL1331" s="4" t="s">
        <v>2875</v>
      </c>
      <c r="GTM1331" s="4" t="s">
        <v>2875</v>
      </c>
      <c r="GTN1331" s="4" t="s">
        <v>2875</v>
      </c>
      <c r="GTO1331" s="4" t="s">
        <v>2875</v>
      </c>
      <c r="GTP1331" s="4" t="s">
        <v>2875</v>
      </c>
      <c r="GTQ1331" s="4" t="s">
        <v>2875</v>
      </c>
      <c r="GTR1331" s="4" t="s">
        <v>2875</v>
      </c>
      <c r="GTS1331" s="4" t="s">
        <v>2875</v>
      </c>
      <c r="GTT1331" s="4" t="s">
        <v>2875</v>
      </c>
      <c r="GTU1331" s="4" t="s">
        <v>2875</v>
      </c>
      <c r="GTV1331" s="4" t="s">
        <v>2875</v>
      </c>
      <c r="GTW1331" s="4" t="s">
        <v>2875</v>
      </c>
      <c r="GTX1331" s="4" t="s">
        <v>2875</v>
      </c>
      <c r="GTY1331" s="4" t="s">
        <v>2875</v>
      </c>
      <c r="GTZ1331" s="4" t="s">
        <v>2875</v>
      </c>
      <c r="GUA1331" s="4" t="s">
        <v>2875</v>
      </c>
      <c r="GUB1331" s="4" t="s">
        <v>2875</v>
      </c>
      <c r="GUC1331" s="4" t="s">
        <v>2875</v>
      </c>
      <c r="GUD1331" s="4" t="s">
        <v>2875</v>
      </c>
      <c r="GUE1331" s="4" t="s">
        <v>2875</v>
      </c>
      <c r="GUF1331" s="4" t="s">
        <v>2875</v>
      </c>
      <c r="GUG1331" s="4" t="s">
        <v>2875</v>
      </c>
      <c r="GUH1331" s="4" t="s">
        <v>2875</v>
      </c>
      <c r="GUI1331" s="4" t="s">
        <v>2875</v>
      </c>
      <c r="GUJ1331" s="4" t="s">
        <v>2875</v>
      </c>
      <c r="GUK1331" s="4" t="s">
        <v>2875</v>
      </c>
      <c r="GUL1331" s="4" t="s">
        <v>2875</v>
      </c>
      <c r="GUM1331" s="4" t="s">
        <v>2875</v>
      </c>
      <c r="GUN1331" s="4" t="s">
        <v>2875</v>
      </c>
      <c r="GUO1331" s="4" t="s">
        <v>2875</v>
      </c>
      <c r="GUP1331" s="4" t="s">
        <v>2875</v>
      </c>
      <c r="GUQ1331" s="4" t="s">
        <v>2875</v>
      </c>
      <c r="GUR1331" s="4" t="s">
        <v>2875</v>
      </c>
      <c r="GUS1331" s="4" t="s">
        <v>2875</v>
      </c>
      <c r="GUT1331" s="4" t="s">
        <v>2875</v>
      </c>
      <c r="GUU1331" s="4" t="s">
        <v>2875</v>
      </c>
      <c r="GUV1331" s="4" t="s">
        <v>2875</v>
      </c>
      <c r="GUW1331" s="4" t="s">
        <v>2875</v>
      </c>
      <c r="GUX1331" s="4" t="s">
        <v>2875</v>
      </c>
      <c r="GUY1331" s="4" t="s">
        <v>2875</v>
      </c>
      <c r="GUZ1331" s="4" t="s">
        <v>2875</v>
      </c>
      <c r="GVA1331" s="4" t="s">
        <v>2875</v>
      </c>
      <c r="GVB1331" s="4" t="s">
        <v>2875</v>
      </c>
      <c r="GVC1331" s="4" t="s">
        <v>2875</v>
      </c>
      <c r="GVD1331" s="4" t="s">
        <v>2875</v>
      </c>
      <c r="GVE1331" s="4" t="s">
        <v>2875</v>
      </c>
      <c r="GVF1331" s="4" t="s">
        <v>2875</v>
      </c>
      <c r="GVG1331" s="4" t="s">
        <v>2875</v>
      </c>
      <c r="GVH1331" s="4" t="s">
        <v>2875</v>
      </c>
      <c r="GVI1331" s="4" t="s">
        <v>2875</v>
      </c>
      <c r="GVJ1331" s="4" t="s">
        <v>2875</v>
      </c>
      <c r="GVK1331" s="4" t="s">
        <v>2875</v>
      </c>
      <c r="GVL1331" s="4" t="s">
        <v>2875</v>
      </c>
      <c r="GVM1331" s="4" t="s">
        <v>2875</v>
      </c>
      <c r="GVN1331" s="4" t="s">
        <v>2875</v>
      </c>
      <c r="GVO1331" s="4" t="s">
        <v>2875</v>
      </c>
      <c r="GVP1331" s="4" t="s">
        <v>2875</v>
      </c>
      <c r="GVQ1331" s="4" t="s">
        <v>2875</v>
      </c>
      <c r="GVR1331" s="4" t="s">
        <v>2875</v>
      </c>
      <c r="GVS1331" s="4" t="s">
        <v>2875</v>
      </c>
      <c r="GVT1331" s="4" t="s">
        <v>2875</v>
      </c>
      <c r="GVU1331" s="4" t="s">
        <v>2875</v>
      </c>
      <c r="GVV1331" s="4" t="s">
        <v>2875</v>
      </c>
      <c r="GVW1331" s="4" t="s">
        <v>2875</v>
      </c>
      <c r="GVX1331" s="4" t="s">
        <v>2875</v>
      </c>
      <c r="GVY1331" s="4" t="s">
        <v>2875</v>
      </c>
      <c r="GVZ1331" s="4" t="s">
        <v>2875</v>
      </c>
      <c r="GWA1331" s="4" t="s">
        <v>2875</v>
      </c>
      <c r="GWB1331" s="4" t="s">
        <v>2875</v>
      </c>
      <c r="GWC1331" s="4" t="s">
        <v>2875</v>
      </c>
      <c r="GWD1331" s="4" t="s">
        <v>2875</v>
      </c>
      <c r="GWE1331" s="4" t="s">
        <v>2875</v>
      </c>
      <c r="GWF1331" s="4" t="s">
        <v>2875</v>
      </c>
      <c r="GWG1331" s="4" t="s">
        <v>2875</v>
      </c>
      <c r="GWH1331" s="4" t="s">
        <v>2875</v>
      </c>
      <c r="GWI1331" s="4" t="s">
        <v>2875</v>
      </c>
      <c r="GWJ1331" s="4" t="s">
        <v>2875</v>
      </c>
      <c r="GWK1331" s="4" t="s">
        <v>2875</v>
      </c>
      <c r="GWL1331" s="4" t="s">
        <v>2875</v>
      </c>
      <c r="GWM1331" s="4" t="s">
        <v>2875</v>
      </c>
      <c r="GWN1331" s="4" t="s">
        <v>2875</v>
      </c>
      <c r="GWO1331" s="4" t="s">
        <v>2875</v>
      </c>
      <c r="GWP1331" s="4" t="s">
        <v>2875</v>
      </c>
      <c r="GWQ1331" s="4" t="s">
        <v>2875</v>
      </c>
      <c r="GWR1331" s="4" t="s">
        <v>2875</v>
      </c>
      <c r="GWS1331" s="4" t="s">
        <v>2875</v>
      </c>
      <c r="GWT1331" s="4" t="s">
        <v>2875</v>
      </c>
      <c r="GWU1331" s="4" t="s">
        <v>2875</v>
      </c>
      <c r="GWV1331" s="4" t="s">
        <v>2875</v>
      </c>
      <c r="GWW1331" s="4" t="s">
        <v>2875</v>
      </c>
      <c r="GWX1331" s="4" t="s">
        <v>2875</v>
      </c>
      <c r="GWY1331" s="4" t="s">
        <v>2875</v>
      </c>
      <c r="GWZ1331" s="4" t="s">
        <v>2875</v>
      </c>
      <c r="GXA1331" s="4" t="s">
        <v>2875</v>
      </c>
      <c r="GXB1331" s="4" t="s">
        <v>2875</v>
      </c>
      <c r="GXC1331" s="4" t="s">
        <v>2875</v>
      </c>
      <c r="GXD1331" s="4" t="s">
        <v>2875</v>
      </c>
      <c r="GXE1331" s="4" t="s">
        <v>2875</v>
      </c>
      <c r="GXF1331" s="4" t="s">
        <v>2875</v>
      </c>
      <c r="GXG1331" s="4" t="s">
        <v>2875</v>
      </c>
      <c r="GXH1331" s="4" t="s">
        <v>2875</v>
      </c>
      <c r="GXI1331" s="4" t="s">
        <v>2875</v>
      </c>
      <c r="GXJ1331" s="4" t="s">
        <v>2875</v>
      </c>
      <c r="GXK1331" s="4" t="s">
        <v>2875</v>
      </c>
      <c r="GXL1331" s="4" t="s">
        <v>2875</v>
      </c>
      <c r="GXM1331" s="4" t="s">
        <v>2875</v>
      </c>
      <c r="GXN1331" s="4" t="s">
        <v>2875</v>
      </c>
      <c r="GXO1331" s="4" t="s">
        <v>2875</v>
      </c>
      <c r="GXP1331" s="4" t="s">
        <v>2875</v>
      </c>
      <c r="GXQ1331" s="4" t="s">
        <v>2875</v>
      </c>
      <c r="GXR1331" s="4" t="s">
        <v>2875</v>
      </c>
      <c r="GXS1331" s="4" t="s">
        <v>2875</v>
      </c>
      <c r="GXT1331" s="4" t="s">
        <v>2875</v>
      </c>
      <c r="GXU1331" s="4" t="s">
        <v>2875</v>
      </c>
      <c r="GXV1331" s="4" t="s">
        <v>2875</v>
      </c>
      <c r="GXW1331" s="4" t="s">
        <v>2875</v>
      </c>
      <c r="GXX1331" s="4" t="s">
        <v>2875</v>
      </c>
      <c r="GXY1331" s="4" t="s">
        <v>2875</v>
      </c>
      <c r="GXZ1331" s="4" t="s">
        <v>2875</v>
      </c>
      <c r="GYA1331" s="4" t="s">
        <v>2875</v>
      </c>
      <c r="GYB1331" s="4" t="s">
        <v>2875</v>
      </c>
      <c r="GYC1331" s="4" t="s">
        <v>2875</v>
      </c>
      <c r="GYD1331" s="4" t="s">
        <v>2875</v>
      </c>
      <c r="GYE1331" s="4" t="s">
        <v>2875</v>
      </c>
      <c r="GYF1331" s="4" t="s">
        <v>2875</v>
      </c>
      <c r="GYG1331" s="4" t="s">
        <v>2875</v>
      </c>
      <c r="GYH1331" s="4" t="s">
        <v>2875</v>
      </c>
      <c r="GYI1331" s="4" t="s">
        <v>2875</v>
      </c>
      <c r="GYJ1331" s="4" t="s">
        <v>2875</v>
      </c>
      <c r="GYK1331" s="4" t="s">
        <v>2875</v>
      </c>
      <c r="GYL1331" s="4" t="s">
        <v>2875</v>
      </c>
      <c r="GYM1331" s="4" t="s">
        <v>2875</v>
      </c>
      <c r="GYN1331" s="4" t="s">
        <v>2875</v>
      </c>
      <c r="GYO1331" s="4" t="s">
        <v>2875</v>
      </c>
      <c r="GYP1331" s="4" t="s">
        <v>2875</v>
      </c>
      <c r="GYQ1331" s="4" t="s">
        <v>2875</v>
      </c>
      <c r="GYR1331" s="4" t="s">
        <v>2875</v>
      </c>
      <c r="GYS1331" s="4" t="s">
        <v>2875</v>
      </c>
      <c r="GYT1331" s="4" t="s">
        <v>2875</v>
      </c>
      <c r="GYU1331" s="4" t="s">
        <v>2875</v>
      </c>
      <c r="GYV1331" s="4" t="s">
        <v>2875</v>
      </c>
      <c r="GYW1331" s="4" t="s">
        <v>2875</v>
      </c>
      <c r="GYX1331" s="4" t="s">
        <v>2875</v>
      </c>
      <c r="GYY1331" s="4" t="s">
        <v>2875</v>
      </c>
      <c r="GYZ1331" s="4" t="s">
        <v>2875</v>
      </c>
      <c r="GZA1331" s="4" t="s">
        <v>2875</v>
      </c>
      <c r="GZB1331" s="4" t="s">
        <v>2875</v>
      </c>
      <c r="GZC1331" s="4" t="s">
        <v>2875</v>
      </c>
      <c r="GZD1331" s="4" t="s">
        <v>2875</v>
      </c>
      <c r="GZE1331" s="4" t="s">
        <v>2875</v>
      </c>
      <c r="GZF1331" s="4" t="s">
        <v>2875</v>
      </c>
      <c r="GZG1331" s="4" t="s">
        <v>2875</v>
      </c>
      <c r="GZH1331" s="4" t="s">
        <v>2875</v>
      </c>
      <c r="GZI1331" s="4" t="s">
        <v>2875</v>
      </c>
      <c r="GZJ1331" s="4" t="s">
        <v>2875</v>
      </c>
      <c r="GZK1331" s="4" t="s">
        <v>2875</v>
      </c>
      <c r="GZL1331" s="4" t="s">
        <v>2875</v>
      </c>
      <c r="GZM1331" s="4" t="s">
        <v>2875</v>
      </c>
      <c r="GZN1331" s="4" t="s">
        <v>2875</v>
      </c>
      <c r="GZO1331" s="4" t="s">
        <v>2875</v>
      </c>
      <c r="GZP1331" s="4" t="s">
        <v>2875</v>
      </c>
      <c r="GZQ1331" s="4" t="s">
        <v>2875</v>
      </c>
      <c r="GZR1331" s="4" t="s">
        <v>2875</v>
      </c>
      <c r="GZS1331" s="4" t="s">
        <v>2875</v>
      </c>
      <c r="GZT1331" s="4" t="s">
        <v>2875</v>
      </c>
      <c r="GZU1331" s="4" t="s">
        <v>2875</v>
      </c>
      <c r="GZV1331" s="4" t="s">
        <v>2875</v>
      </c>
      <c r="GZW1331" s="4" t="s">
        <v>2875</v>
      </c>
      <c r="GZX1331" s="4" t="s">
        <v>2875</v>
      </c>
      <c r="GZY1331" s="4" t="s">
        <v>2875</v>
      </c>
      <c r="GZZ1331" s="4" t="s">
        <v>2875</v>
      </c>
      <c r="HAA1331" s="4" t="s">
        <v>2875</v>
      </c>
      <c r="HAB1331" s="4" t="s">
        <v>2875</v>
      </c>
      <c r="HAC1331" s="4" t="s">
        <v>2875</v>
      </c>
      <c r="HAD1331" s="4" t="s">
        <v>2875</v>
      </c>
      <c r="HAE1331" s="4" t="s">
        <v>2875</v>
      </c>
      <c r="HAF1331" s="4" t="s">
        <v>2875</v>
      </c>
      <c r="HAG1331" s="4" t="s">
        <v>2875</v>
      </c>
      <c r="HAH1331" s="4" t="s">
        <v>2875</v>
      </c>
      <c r="HAI1331" s="4" t="s">
        <v>2875</v>
      </c>
      <c r="HAJ1331" s="4" t="s">
        <v>2875</v>
      </c>
      <c r="HAK1331" s="4" t="s">
        <v>2875</v>
      </c>
      <c r="HAL1331" s="4" t="s">
        <v>2875</v>
      </c>
      <c r="HAM1331" s="4" t="s">
        <v>2875</v>
      </c>
      <c r="HAN1331" s="4" t="s">
        <v>2875</v>
      </c>
      <c r="HAO1331" s="4" t="s">
        <v>2875</v>
      </c>
      <c r="HAP1331" s="4" t="s">
        <v>2875</v>
      </c>
      <c r="HAQ1331" s="4" t="s">
        <v>2875</v>
      </c>
      <c r="HAR1331" s="4" t="s">
        <v>2875</v>
      </c>
      <c r="HAS1331" s="4" t="s">
        <v>2875</v>
      </c>
      <c r="HAT1331" s="4" t="s">
        <v>2875</v>
      </c>
      <c r="HAU1331" s="4" t="s">
        <v>2875</v>
      </c>
      <c r="HAV1331" s="4" t="s">
        <v>2875</v>
      </c>
      <c r="HAW1331" s="4" t="s">
        <v>2875</v>
      </c>
      <c r="HAX1331" s="4" t="s">
        <v>2875</v>
      </c>
      <c r="HAY1331" s="4" t="s">
        <v>2875</v>
      </c>
      <c r="HAZ1331" s="4" t="s">
        <v>2875</v>
      </c>
      <c r="HBA1331" s="4" t="s">
        <v>2875</v>
      </c>
      <c r="HBB1331" s="4" t="s">
        <v>2875</v>
      </c>
      <c r="HBC1331" s="4" t="s">
        <v>2875</v>
      </c>
      <c r="HBD1331" s="4" t="s">
        <v>2875</v>
      </c>
      <c r="HBE1331" s="4" t="s">
        <v>2875</v>
      </c>
      <c r="HBF1331" s="4" t="s">
        <v>2875</v>
      </c>
      <c r="HBG1331" s="4" t="s">
        <v>2875</v>
      </c>
      <c r="HBH1331" s="4" t="s">
        <v>2875</v>
      </c>
      <c r="HBI1331" s="4" t="s">
        <v>2875</v>
      </c>
      <c r="HBJ1331" s="4" t="s">
        <v>2875</v>
      </c>
      <c r="HBK1331" s="4" t="s">
        <v>2875</v>
      </c>
      <c r="HBL1331" s="4" t="s">
        <v>2875</v>
      </c>
      <c r="HBM1331" s="4" t="s">
        <v>2875</v>
      </c>
      <c r="HBN1331" s="4" t="s">
        <v>2875</v>
      </c>
      <c r="HBO1331" s="4" t="s">
        <v>2875</v>
      </c>
      <c r="HBP1331" s="4" t="s">
        <v>2875</v>
      </c>
      <c r="HBQ1331" s="4" t="s">
        <v>2875</v>
      </c>
      <c r="HBR1331" s="4" t="s">
        <v>2875</v>
      </c>
      <c r="HBS1331" s="4" t="s">
        <v>2875</v>
      </c>
      <c r="HBT1331" s="4" t="s">
        <v>2875</v>
      </c>
      <c r="HBU1331" s="4" t="s">
        <v>2875</v>
      </c>
      <c r="HBV1331" s="4" t="s">
        <v>2875</v>
      </c>
      <c r="HBW1331" s="4" t="s">
        <v>2875</v>
      </c>
      <c r="HBX1331" s="4" t="s">
        <v>2875</v>
      </c>
      <c r="HBY1331" s="4" t="s">
        <v>2875</v>
      </c>
      <c r="HBZ1331" s="4" t="s">
        <v>2875</v>
      </c>
      <c r="HCA1331" s="4" t="s">
        <v>2875</v>
      </c>
      <c r="HCB1331" s="4" t="s">
        <v>2875</v>
      </c>
      <c r="HCC1331" s="4" t="s">
        <v>2875</v>
      </c>
      <c r="HCD1331" s="4" t="s">
        <v>2875</v>
      </c>
      <c r="HCE1331" s="4" t="s">
        <v>2875</v>
      </c>
      <c r="HCF1331" s="4" t="s">
        <v>2875</v>
      </c>
      <c r="HCG1331" s="4" t="s">
        <v>2875</v>
      </c>
      <c r="HCH1331" s="4" t="s">
        <v>2875</v>
      </c>
      <c r="HCI1331" s="4" t="s">
        <v>2875</v>
      </c>
      <c r="HCJ1331" s="4" t="s">
        <v>2875</v>
      </c>
      <c r="HCK1331" s="4" t="s">
        <v>2875</v>
      </c>
      <c r="HCL1331" s="4" t="s">
        <v>2875</v>
      </c>
      <c r="HCM1331" s="4" t="s">
        <v>2875</v>
      </c>
      <c r="HCN1331" s="4" t="s">
        <v>2875</v>
      </c>
      <c r="HCO1331" s="4" t="s">
        <v>2875</v>
      </c>
      <c r="HCP1331" s="4" t="s">
        <v>2875</v>
      </c>
      <c r="HCQ1331" s="4" t="s">
        <v>2875</v>
      </c>
      <c r="HCR1331" s="4" t="s">
        <v>2875</v>
      </c>
      <c r="HCS1331" s="4" t="s">
        <v>2875</v>
      </c>
      <c r="HCT1331" s="4" t="s">
        <v>2875</v>
      </c>
      <c r="HCU1331" s="4" t="s">
        <v>2875</v>
      </c>
      <c r="HCV1331" s="4" t="s">
        <v>2875</v>
      </c>
      <c r="HCW1331" s="4" t="s">
        <v>2875</v>
      </c>
      <c r="HCX1331" s="4" t="s">
        <v>2875</v>
      </c>
      <c r="HCY1331" s="4" t="s">
        <v>2875</v>
      </c>
      <c r="HCZ1331" s="4" t="s">
        <v>2875</v>
      </c>
      <c r="HDA1331" s="4" t="s">
        <v>2875</v>
      </c>
      <c r="HDB1331" s="4" t="s">
        <v>2875</v>
      </c>
      <c r="HDC1331" s="4" t="s">
        <v>2875</v>
      </c>
      <c r="HDD1331" s="4" t="s">
        <v>2875</v>
      </c>
      <c r="HDE1331" s="4" t="s">
        <v>2875</v>
      </c>
      <c r="HDF1331" s="4" t="s">
        <v>2875</v>
      </c>
      <c r="HDG1331" s="4" t="s">
        <v>2875</v>
      </c>
      <c r="HDH1331" s="4" t="s">
        <v>2875</v>
      </c>
      <c r="HDI1331" s="4" t="s">
        <v>2875</v>
      </c>
      <c r="HDJ1331" s="4" t="s">
        <v>2875</v>
      </c>
      <c r="HDK1331" s="4" t="s">
        <v>2875</v>
      </c>
      <c r="HDL1331" s="4" t="s">
        <v>2875</v>
      </c>
      <c r="HDM1331" s="4" t="s">
        <v>2875</v>
      </c>
      <c r="HDN1331" s="4" t="s">
        <v>2875</v>
      </c>
      <c r="HDO1331" s="4" t="s">
        <v>2875</v>
      </c>
      <c r="HDP1331" s="4" t="s">
        <v>2875</v>
      </c>
      <c r="HDQ1331" s="4" t="s">
        <v>2875</v>
      </c>
      <c r="HDR1331" s="4" t="s">
        <v>2875</v>
      </c>
      <c r="HDS1331" s="4" t="s">
        <v>2875</v>
      </c>
      <c r="HDT1331" s="4" t="s">
        <v>2875</v>
      </c>
      <c r="HDU1331" s="4" t="s">
        <v>2875</v>
      </c>
      <c r="HDV1331" s="4" t="s">
        <v>2875</v>
      </c>
      <c r="HDW1331" s="4" t="s">
        <v>2875</v>
      </c>
      <c r="HDX1331" s="4" t="s">
        <v>2875</v>
      </c>
      <c r="HDY1331" s="4" t="s">
        <v>2875</v>
      </c>
      <c r="HDZ1331" s="4" t="s">
        <v>2875</v>
      </c>
      <c r="HEA1331" s="4" t="s">
        <v>2875</v>
      </c>
      <c r="HEB1331" s="4" t="s">
        <v>2875</v>
      </c>
      <c r="HEC1331" s="4" t="s">
        <v>2875</v>
      </c>
      <c r="HED1331" s="4" t="s">
        <v>2875</v>
      </c>
      <c r="HEE1331" s="4" t="s">
        <v>2875</v>
      </c>
      <c r="HEF1331" s="4" t="s">
        <v>2875</v>
      </c>
      <c r="HEG1331" s="4" t="s">
        <v>2875</v>
      </c>
      <c r="HEH1331" s="4" t="s">
        <v>2875</v>
      </c>
      <c r="HEI1331" s="4" t="s">
        <v>2875</v>
      </c>
      <c r="HEJ1331" s="4" t="s">
        <v>2875</v>
      </c>
      <c r="HEK1331" s="4" t="s">
        <v>2875</v>
      </c>
      <c r="HEL1331" s="4" t="s">
        <v>2875</v>
      </c>
      <c r="HEM1331" s="4" t="s">
        <v>2875</v>
      </c>
      <c r="HEN1331" s="4" t="s">
        <v>2875</v>
      </c>
      <c r="HEO1331" s="4" t="s">
        <v>2875</v>
      </c>
      <c r="HEP1331" s="4" t="s">
        <v>2875</v>
      </c>
      <c r="HEQ1331" s="4" t="s">
        <v>2875</v>
      </c>
      <c r="HER1331" s="4" t="s">
        <v>2875</v>
      </c>
      <c r="HES1331" s="4" t="s">
        <v>2875</v>
      </c>
      <c r="HET1331" s="4" t="s">
        <v>2875</v>
      </c>
      <c r="HEU1331" s="4" t="s">
        <v>2875</v>
      </c>
      <c r="HEV1331" s="4" t="s">
        <v>2875</v>
      </c>
      <c r="HEW1331" s="4" t="s">
        <v>2875</v>
      </c>
      <c r="HEX1331" s="4" t="s">
        <v>2875</v>
      </c>
      <c r="HEY1331" s="4" t="s">
        <v>2875</v>
      </c>
      <c r="HEZ1331" s="4" t="s">
        <v>2875</v>
      </c>
      <c r="HFA1331" s="4" t="s">
        <v>2875</v>
      </c>
      <c r="HFB1331" s="4" t="s">
        <v>2875</v>
      </c>
      <c r="HFC1331" s="4" t="s">
        <v>2875</v>
      </c>
      <c r="HFD1331" s="4" t="s">
        <v>2875</v>
      </c>
      <c r="HFE1331" s="4" t="s">
        <v>2875</v>
      </c>
      <c r="HFF1331" s="4" t="s">
        <v>2875</v>
      </c>
      <c r="HFG1331" s="4" t="s">
        <v>2875</v>
      </c>
      <c r="HFH1331" s="4" t="s">
        <v>2875</v>
      </c>
      <c r="HFI1331" s="4" t="s">
        <v>2875</v>
      </c>
      <c r="HFJ1331" s="4" t="s">
        <v>2875</v>
      </c>
      <c r="HFK1331" s="4" t="s">
        <v>2875</v>
      </c>
      <c r="HFL1331" s="4" t="s">
        <v>2875</v>
      </c>
      <c r="HFM1331" s="4" t="s">
        <v>2875</v>
      </c>
      <c r="HFN1331" s="4" t="s">
        <v>2875</v>
      </c>
      <c r="HFO1331" s="4" t="s">
        <v>2875</v>
      </c>
      <c r="HFP1331" s="4" t="s">
        <v>2875</v>
      </c>
      <c r="HFQ1331" s="4" t="s">
        <v>2875</v>
      </c>
      <c r="HFR1331" s="4" t="s">
        <v>2875</v>
      </c>
      <c r="HFS1331" s="4" t="s">
        <v>2875</v>
      </c>
      <c r="HFT1331" s="4" t="s">
        <v>2875</v>
      </c>
      <c r="HFU1331" s="4" t="s">
        <v>2875</v>
      </c>
      <c r="HFV1331" s="4" t="s">
        <v>2875</v>
      </c>
      <c r="HFW1331" s="4" t="s">
        <v>2875</v>
      </c>
      <c r="HFX1331" s="4" t="s">
        <v>2875</v>
      </c>
      <c r="HFY1331" s="4" t="s">
        <v>2875</v>
      </c>
      <c r="HFZ1331" s="4" t="s">
        <v>2875</v>
      </c>
      <c r="HGA1331" s="4" t="s">
        <v>2875</v>
      </c>
      <c r="HGB1331" s="4" t="s">
        <v>2875</v>
      </c>
      <c r="HGC1331" s="4" t="s">
        <v>2875</v>
      </c>
      <c r="HGD1331" s="4" t="s">
        <v>2875</v>
      </c>
      <c r="HGE1331" s="4" t="s">
        <v>2875</v>
      </c>
      <c r="HGF1331" s="4" t="s">
        <v>2875</v>
      </c>
      <c r="HGG1331" s="4" t="s">
        <v>2875</v>
      </c>
      <c r="HGH1331" s="4" t="s">
        <v>2875</v>
      </c>
      <c r="HGI1331" s="4" t="s">
        <v>2875</v>
      </c>
      <c r="HGJ1331" s="4" t="s">
        <v>2875</v>
      </c>
      <c r="HGK1331" s="4" t="s">
        <v>2875</v>
      </c>
      <c r="HGL1331" s="4" t="s">
        <v>2875</v>
      </c>
      <c r="HGM1331" s="4" t="s">
        <v>2875</v>
      </c>
      <c r="HGN1331" s="4" t="s">
        <v>2875</v>
      </c>
      <c r="HGO1331" s="4" t="s">
        <v>2875</v>
      </c>
      <c r="HGP1331" s="4" t="s">
        <v>2875</v>
      </c>
      <c r="HGQ1331" s="4" t="s">
        <v>2875</v>
      </c>
      <c r="HGR1331" s="4" t="s">
        <v>2875</v>
      </c>
      <c r="HGS1331" s="4" t="s">
        <v>2875</v>
      </c>
      <c r="HGT1331" s="4" t="s">
        <v>2875</v>
      </c>
      <c r="HGU1331" s="4" t="s">
        <v>2875</v>
      </c>
      <c r="HGV1331" s="4" t="s">
        <v>2875</v>
      </c>
      <c r="HGW1331" s="4" t="s">
        <v>2875</v>
      </c>
      <c r="HGX1331" s="4" t="s">
        <v>2875</v>
      </c>
      <c r="HGY1331" s="4" t="s">
        <v>2875</v>
      </c>
      <c r="HGZ1331" s="4" t="s">
        <v>2875</v>
      </c>
      <c r="HHA1331" s="4" t="s">
        <v>2875</v>
      </c>
      <c r="HHB1331" s="4" t="s">
        <v>2875</v>
      </c>
      <c r="HHC1331" s="4" t="s">
        <v>2875</v>
      </c>
      <c r="HHD1331" s="4" t="s">
        <v>2875</v>
      </c>
      <c r="HHE1331" s="4" t="s">
        <v>2875</v>
      </c>
      <c r="HHF1331" s="4" t="s">
        <v>2875</v>
      </c>
      <c r="HHG1331" s="4" t="s">
        <v>2875</v>
      </c>
      <c r="HHH1331" s="4" t="s">
        <v>2875</v>
      </c>
      <c r="HHI1331" s="4" t="s">
        <v>2875</v>
      </c>
      <c r="HHJ1331" s="4" t="s">
        <v>2875</v>
      </c>
      <c r="HHK1331" s="4" t="s">
        <v>2875</v>
      </c>
      <c r="HHL1331" s="4" t="s">
        <v>2875</v>
      </c>
      <c r="HHM1331" s="4" t="s">
        <v>2875</v>
      </c>
      <c r="HHN1331" s="4" t="s">
        <v>2875</v>
      </c>
      <c r="HHO1331" s="4" t="s">
        <v>2875</v>
      </c>
      <c r="HHP1331" s="4" t="s">
        <v>2875</v>
      </c>
      <c r="HHQ1331" s="4" t="s">
        <v>2875</v>
      </c>
      <c r="HHR1331" s="4" t="s">
        <v>2875</v>
      </c>
      <c r="HHS1331" s="4" t="s">
        <v>2875</v>
      </c>
      <c r="HHT1331" s="4" t="s">
        <v>2875</v>
      </c>
      <c r="HHU1331" s="4" t="s">
        <v>2875</v>
      </c>
      <c r="HHV1331" s="4" t="s">
        <v>2875</v>
      </c>
      <c r="HHW1331" s="4" t="s">
        <v>2875</v>
      </c>
      <c r="HHX1331" s="4" t="s">
        <v>2875</v>
      </c>
      <c r="HHY1331" s="4" t="s">
        <v>2875</v>
      </c>
      <c r="HHZ1331" s="4" t="s">
        <v>2875</v>
      </c>
      <c r="HIA1331" s="4" t="s">
        <v>2875</v>
      </c>
      <c r="HIB1331" s="4" t="s">
        <v>2875</v>
      </c>
      <c r="HIC1331" s="4" t="s">
        <v>2875</v>
      </c>
      <c r="HID1331" s="4" t="s">
        <v>2875</v>
      </c>
      <c r="HIE1331" s="4" t="s">
        <v>2875</v>
      </c>
      <c r="HIF1331" s="4" t="s">
        <v>2875</v>
      </c>
      <c r="HIG1331" s="4" t="s">
        <v>2875</v>
      </c>
      <c r="HIH1331" s="4" t="s">
        <v>2875</v>
      </c>
      <c r="HII1331" s="4" t="s">
        <v>2875</v>
      </c>
      <c r="HIJ1331" s="4" t="s">
        <v>2875</v>
      </c>
      <c r="HIK1331" s="4" t="s">
        <v>2875</v>
      </c>
      <c r="HIL1331" s="4" t="s">
        <v>2875</v>
      </c>
      <c r="HIM1331" s="4" t="s">
        <v>2875</v>
      </c>
      <c r="HIN1331" s="4" t="s">
        <v>2875</v>
      </c>
      <c r="HIO1331" s="4" t="s">
        <v>2875</v>
      </c>
      <c r="HIP1331" s="4" t="s">
        <v>2875</v>
      </c>
      <c r="HIQ1331" s="4" t="s">
        <v>2875</v>
      </c>
      <c r="HIR1331" s="4" t="s">
        <v>2875</v>
      </c>
      <c r="HIS1331" s="4" t="s">
        <v>2875</v>
      </c>
      <c r="HIT1331" s="4" t="s">
        <v>2875</v>
      </c>
      <c r="HIU1331" s="4" t="s">
        <v>2875</v>
      </c>
      <c r="HIV1331" s="4" t="s">
        <v>2875</v>
      </c>
      <c r="HIW1331" s="4" t="s">
        <v>2875</v>
      </c>
      <c r="HIX1331" s="4" t="s">
        <v>2875</v>
      </c>
      <c r="HIY1331" s="4" t="s">
        <v>2875</v>
      </c>
      <c r="HIZ1331" s="4" t="s">
        <v>2875</v>
      </c>
      <c r="HJA1331" s="4" t="s">
        <v>2875</v>
      </c>
      <c r="HJB1331" s="4" t="s">
        <v>2875</v>
      </c>
      <c r="HJC1331" s="4" t="s">
        <v>2875</v>
      </c>
      <c r="HJD1331" s="4" t="s">
        <v>2875</v>
      </c>
      <c r="HJE1331" s="4" t="s">
        <v>2875</v>
      </c>
      <c r="HJF1331" s="4" t="s">
        <v>2875</v>
      </c>
      <c r="HJG1331" s="4" t="s">
        <v>2875</v>
      </c>
      <c r="HJH1331" s="4" t="s">
        <v>2875</v>
      </c>
      <c r="HJI1331" s="4" t="s">
        <v>2875</v>
      </c>
      <c r="HJJ1331" s="4" t="s">
        <v>2875</v>
      </c>
      <c r="HJK1331" s="4" t="s">
        <v>2875</v>
      </c>
      <c r="HJL1331" s="4" t="s">
        <v>2875</v>
      </c>
      <c r="HJM1331" s="4" t="s">
        <v>2875</v>
      </c>
      <c r="HJN1331" s="4" t="s">
        <v>2875</v>
      </c>
      <c r="HJO1331" s="4" t="s">
        <v>2875</v>
      </c>
      <c r="HJP1331" s="4" t="s">
        <v>2875</v>
      </c>
      <c r="HJQ1331" s="4" t="s">
        <v>2875</v>
      </c>
      <c r="HJR1331" s="4" t="s">
        <v>2875</v>
      </c>
      <c r="HJS1331" s="4" t="s">
        <v>2875</v>
      </c>
      <c r="HJT1331" s="4" t="s">
        <v>2875</v>
      </c>
      <c r="HJU1331" s="4" t="s">
        <v>2875</v>
      </c>
      <c r="HJV1331" s="4" t="s">
        <v>2875</v>
      </c>
      <c r="HJW1331" s="4" t="s">
        <v>2875</v>
      </c>
      <c r="HJX1331" s="4" t="s">
        <v>2875</v>
      </c>
      <c r="HJY1331" s="4" t="s">
        <v>2875</v>
      </c>
      <c r="HJZ1331" s="4" t="s">
        <v>2875</v>
      </c>
      <c r="HKA1331" s="4" t="s">
        <v>2875</v>
      </c>
      <c r="HKB1331" s="4" t="s">
        <v>2875</v>
      </c>
      <c r="HKC1331" s="4" t="s">
        <v>2875</v>
      </c>
      <c r="HKD1331" s="4" t="s">
        <v>2875</v>
      </c>
      <c r="HKE1331" s="4" t="s">
        <v>2875</v>
      </c>
      <c r="HKF1331" s="4" t="s">
        <v>2875</v>
      </c>
      <c r="HKG1331" s="4" t="s">
        <v>2875</v>
      </c>
      <c r="HKH1331" s="4" t="s">
        <v>2875</v>
      </c>
      <c r="HKI1331" s="4" t="s">
        <v>2875</v>
      </c>
      <c r="HKJ1331" s="4" t="s">
        <v>2875</v>
      </c>
      <c r="HKK1331" s="4" t="s">
        <v>2875</v>
      </c>
      <c r="HKL1331" s="4" t="s">
        <v>2875</v>
      </c>
      <c r="HKM1331" s="4" t="s">
        <v>2875</v>
      </c>
      <c r="HKN1331" s="4" t="s">
        <v>2875</v>
      </c>
      <c r="HKO1331" s="4" t="s">
        <v>2875</v>
      </c>
      <c r="HKP1331" s="4" t="s">
        <v>2875</v>
      </c>
      <c r="HKQ1331" s="4" t="s">
        <v>2875</v>
      </c>
      <c r="HKR1331" s="4" t="s">
        <v>2875</v>
      </c>
      <c r="HKS1331" s="4" t="s">
        <v>2875</v>
      </c>
      <c r="HKT1331" s="4" t="s">
        <v>2875</v>
      </c>
      <c r="HKU1331" s="4" t="s">
        <v>2875</v>
      </c>
      <c r="HKV1331" s="4" t="s">
        <v>2875</v>
      </c>
      <c r="HKW1331" s="4" t="s">
        <v>2875</v>
      </c>
      <c r="HKX1331" s="4" t="s">
        <v>2875</v>
      </c>
      <c r="HKY1331" s="4" t="s">
        <v>2875</v>
      </c>
      <c r="HKZ1331" s="4" t="s">
        <v>2875</v>
      </c>
      <c r="HLA1331" s="4" t="s">
        <v>2875</v>
      </c>
      <c r="HLB1331" s="4" t="s">
        <v>2875</v>
      </c>
      <c r="HLC1331" s="4" t="s">
        <v>2875</v>
      </c>
      <c r="HLD1331" s="4" t="s">
        <v>2875</v>
      </c>
      <c r="HLE1331" s="4" t="s">
        <v>2875</v>
      </c>
      <c r="HLF1331" s="4" t="s">
        <v>2875</v>
      </c>
      <c r="HLG1331" s="4" t="s">
        <v>2875</v>
      </c>
      <c r="HLH1331" s="4" t="s">
        <v>2875</v>
      </c>
      <c r="HLI1331" s="4" t="s">
        <v>2875</v>
      </c>
      <c r="HLJ1331" s="4" t="s">
        <v>2875</v>
      </c>
      <c r="HLK1331" s="4" t="s">
        <v>2875</v>
      </c>
      <c r="HLL1331" s="4" t="s">
        <v>2875</v>
      </c>
      <c r="HLM1331" s="4" t="s">
        <v>2875</v>
      </c>
      <c r="HLN1331" s="4" t="s">
        <v>2875</v>
      </c>
      <c r="HLO1331" s="4" t="s">
        <v>2875</v>
      </c>
      <c r="HLP1331" s="4" t="s">
        <v>2875</v>
      </c>
      <c r="HLQ1331" s="4" t="s">
        <v>2875</v>
      </c>
      <c r="HLR1331" s="4" t="s">
        <v>2875</v>
      </c>
      <c r="HLS1331" s="4" t="s">
        <v>2875</v>
      </c>
      <c r="HLT1331" s="4" t="s">
        <v>2875</v>
      </c>
      <c r="HLU1331" s="4" t="s">
        <v>2875</v>
      </c>
      <c r="HLV1331" s="4" t="s">
        <v>2875</v>
      </c>
      <c r="HLW1331" s="4" t="s">
        <v>2875</v>
      </c>
      <c r="HLX1331" s="4" t="s">
        <v>2875</v>
      </c>
      <c r="HLY1331" s="4" t="s">
        <v>2875</v>
      </c>
      <c r="HLZ1331" s="4" t="s">
        <v>2875</v>
      </c>
      <c r="HMA1331" s="4" t="s">
        <v>2875</v>
      </c>
      <c r="HMB1331" s="4" t="s">
        <v>2875</v>
      </c>
      <c r="HMC1331" s="4" t="s">
        <v>2875</v>
      </c>
      <c r="HMD1331" s="4" t="s">
        <v>2875</v>
      </c>
      <c r="HME1331" s="4" t="s">
        <v>2875</v>
      </c>
      <c r="HMF1331" s="4" t="s">
        <v>2875</v>
      </c>
      <c r="HMG1331" s="4" t="s">
        <v>2875</v>
      </c>
      <c r="HMH1331" s="4" t="s">
        <v>2875</v>
      </c>
      <c r="HMI1331" s="4" t="s">
        <v>2875</v>
      </c>
      <c r="HMJ1331" s="4" t="s">
        <v>2875</v>
      </c>
      <c r="HMK1331" s="4" t="s">
        <v>2875</v>
      </c>
      <c r="HML1331" s="4" t="s">
        <v>2875</v>
      </c>
      <c r="HMM1331" s="4" t="s">
        <v>2875</v>
      </c>
      <c r="HMN1331" s="4" t="s">
        <v>2875</v>
      </c>
      <c r="HMO1331" s="4" t="s">
        <v>2875</v>
      </c>
      <c r="HMP1331" s="4" t="s">
        <v>2875</v>
      </c>
      <c r="HMQ1331" s="4" t="s">
        <v>2875</v>
      </c>
      <c r="HMR1331" s="4" t="s">
        <v>2875</v>
      </c>
      <c r="HMS1331" s="4" t="s">
        <v>2875</v>
      </c>
      <c r="HMT1331" s="4" t="s">
        <v>2875</v>
      </c>
      <c r="HMU1331" s="4" t="s">
        <v>2875</v>
      </c>
      <c r="HMV1331" s="4" t="s">
        <v>2875</v>
      </c>
      <c r="HMW1331" s="4" t="s">
        <v>2875</v>
      </c>
      <c r="HMX1331" s="4" t="s">
        <v>2875</v>
      </c>
      <c r="HMY1331" s="4" t="s">
        <v>2875</v>
      </c>
      <c r="HMZ1331" s="4" t="s">
        <v>2875</v>
      </c>
      <c r="HNA1331" s="4" t="s">
        <v>2875</v>
      </c>
      <c r="HNB1331" s="4" t="s">
        <v>2875</v>
      </c>
      <c r="HNC1331" s="4" t="s">
        <v>2875</v>
      </c>
      <c r="HND1331" s="4" t="s">
        <v>2875</v>
      </c>
      <c r="HNE1331" s="4" t="s">
        <v>2875</v>
      </c>
      <c r="HNF1331" s="4" t="s">
        <v>2875</v>
      </c>
      <c r="HNG1331" s="4" t="s">
        <v>2875</v>
      </c>
      <c r="HNH1331" s="4" t="s">
        <v>2875</v>
      </c>
      <c r="HNI1331" s="4" t="s">
        <v>2875</v>
      </c>
      <c r="HNJ1331" s="4" t="s">
        <v>2875</v>
      </c>
      <c r="HNK1331" s="4" t="s">
        <v>2875</v>
      </c>
      <c r="HNL1331" s="4" t="s">
        <v>2875</v>
      </c>
      <c r="HNM1331" s="4" t="s">
        <v>2875</v>
      </c>
      <c r="HNN1331" s="4" t="s">
        <v>2875</v>
      </c>
      <c r="HNO1331" s="4" t="s">
        <v>2875</v>
      </c>
      <c r="HNP1331" s="4" t="s">
        <v>2875</v>
      </c>
      <c r="HNQ1331" s="4" t="s">
        <v>2875</v>
      </c>
      <c r="HNR1331" s="4" t="s">
        <v>2875</v>
      </c>
      <c r="HNS1331" s="4" t="s">
        <v>2875</v>
      </c>
      <c r="HNT1331" s="4" t="s">
        <v>2875</v>
      </c>
      <c r="HNU1331" s="4" t="s">
        <v>2875</v>
      </c>
      <c r="HNV1331" s="4" t="s">
        <v>2875</v>
      </c>
      <c r="HNW1331" s="4" t="s">
        <v>2875</v>
      </c>
      <c r="HNX1331" s="4" t="s">
        <v>2875</v>
      </c>
      <c r="HNY1331" s="4" t="s">
        <v>2875</v>
      </c>
      <c r="HNZ1331" s="4" t="s">
        <v>2875</v>
      </c>
      <c r="HOA1331" s="4" t="s">
        <v>2875</v>
      </c>
      <c r="HOB1331" s="4" t="s">
        <v>2875</v>
      </c>
      <c r="HOC1331" s="4" t="s">
        <v>2875</v>
      </c>
      <c r="HOD1331" s="4" t="s">
        <v>2875</v>
      </c>
      <c r="HOE1331" s="4" t="s">
        <v>2875</v>
      </c>
      <c r="HOF1331" s="4" t="s">
        <v>2875</v>
      </c>
      <c r="HOG1331" s="4" t="s">
        <v>2875</v>
      </c>
      <c r="HOH1331" s="4" t="s">
        <v>2875</v>
      </c>
      <c r="HOI1331" s="4" t="s">
        <v>2875</v>
      </c>
      <c r="HOJ1331" s="4" t="s">
        <v>2875</v>
      </c>
      <c r="HOK1331" s="4" t="s">
        <v>2875</v>
      </c>
      <c r="HOL1331" s="4" t="s">
        <v>2875</v>
      </c>
      <c r="HOM1331" s="4" t="s">
        <v>2875</v>
      </c>
      <c r="HON1331" s="4" t="s">
        <v>2875</v>
      </c>
      <c r="HOO1331" s="4" t="s">
        <v>2875</v>
      </c>
      <c r="HOP1331" s="4" t="s">
        <v>2875</v>
      </c>
      <c r="HOQ1331" s="4" t="s">
        <v>2875</v>
      </c>
      <c r="HOR1331" s="4" t="s">
        <v>2875</v>
      </c>
      <c r="HOS1331" s="4" t="s">
        <v>2875</v>
      </c>
      <c r="HOT1331" s="4" t="s">
        <v>2875</v>
      </c>
      <c r="HOU1331" s="4" t="s">
        <v>2875</v>
      </c>
      <c r="HOV1331" s="4" t="s">
        <v>2875</v>
      </c>
      <c r="HOW1331" s="4" t="s">
        <v>2875</v>
      </c>
      <c r="HOX1331" s="4" t="s">
        <v>2875</v>
      </c>
      <c r="HOY1331" s="4" t="s">
        <v>2875</v>
      </c>
      <c r="HOZ1331" s="4" t="s">
        <v>2875</v>
      </c>
      <c r="HPA1331" s="4" t="s">
        <v>2875</v>
      </c>
      <c r="HPB1331" s="4" t="s">
        <v>2875</v>
      </c>
      <c r="HPC1331" s="4" t="s">
        <v>2875</v>
      </c>
      <c r="HPD1331" s="4" t="s">
        <v>2875</v>
      </c>
      <c r="HPE1331" s="4" t="s">
        <v>2875</v>
      </c>
      <c r="HPF1331" s="4" t="s">
        <v>2875</v>
      </c>
      <c r="HPG1331" s="4" t="s">
        <v>2875</v>
      </c>
      <c r="HPH1331" s="4" t="s">
        <v>2875</v>
      </c>
      <c r="HPI1331" s="4" t="s">
        <v>2875</v>
      </c>
      <c r="HPJ1331" s="4" t="s">
        <v>2875</v>
      </c>
      <c r="HPK1331" s="4" t="s">
        <v>2875</v>
      </c>
      <c r="HPL1331" s="4" t="s">
        <v>2875</v>
      </c>
      <c r="HPM1331" s="4" t="s">
        <v>2875</v>
      </c>
      <c r="HPN1331" s="4" t="s">
        <v>2875</v>
      </c>
      <c r="HPO1331" s="4" t="s">
        <v>2875</v>
      </c>
      <c r="HPP1331" s="4" t="s">
        <v>2875</v>
      </c>
      <c r="HPQ1331" s="4" t="s">
        <v>2875</v>
      </c>
      <c r="HPR1331" s="4" t="s">
        <v>2875</v>
      </c>
      <c r="HPS1331" s="4" t="s">
        <v>2875</v>
      </c>
      <c r="HPT1331" s="4" t="s">
        <v>2875</v>
      </c>
      <c r="HPU1331" s="4" t="s">
        <v>2875</v>
      </c>
      <c r="HPV1331" s="4" t="s">
        <v>2875</v>
      </c>
      <c r="HPW1331" s="4" t="s">
        <v>2875</v>
      </c>
      <c r="HPX1331" s="4" t="s">
        <v>2875</v>
      </c>
      <c r="HPY1331" s="4" t="s">
        <v>2875</v>
      </c>
      <c r="HPZ1331" s="4" t="s">
        <v>2875</v>
      </c>
      <c r="HQA1331" s="4" t="s">
        <v>2875</v>
      </c>
      <c r="HQB1331" s="4" t="s">
        <v>2875</v>
      </c>
      <c r="HQC1331" s="4" t="s">
        <v>2875</v>
      </c>
      <c r="HQD1331" s="4" t="s">
        <v>2875</v>
      </c>
      <c r="HQE1331" s="4" t="s">
        <v>2875</v>
      </c>
      <c r="HQF1331" s="4" t="s">
        <v>2875</v>
      </c>
      <c r="HQG1331" s="4" t="s">
        <v>2875</v>
      </c>
      <c r="HQH1331" s="4" t="s">
        <v>2875</v>
      </c>
      <c r="HQI1331" s="4" t="s">
        <v>2875</v>
      </c>
      <c r="HQJ1331" s="4" t="s">
        <v>2875</v>
      </c>
      <c r="HQK1331" s="4" t="s">
        <v>2875</v>
      </c>
      <c r="HQL1331" s="4" t="s">
        <v>2875</v>
      </c>
      <c r="HQM1331" s="4" t="s">
        <v>2875</v>
      </c>
      <c r="HQN1331" s="4" t="s">
        <v>2875</v>
      </c>
      <c r="HQO1331" s="4" t="s">
        <v>2875</v>
      </c>
      <c r="HQP1331" s="4" t="s">
        <v>2875</v>
      </c>
      <c r="HQQ1331" s="4" t="s">
        <v>2875</v>
      </c>
      <c r="HQR1331" s="4" t="s">
        <v>2875</v>
      </c>
      <c r="HQS1331" s="4" t="s">
        <v>2875</v>
      </c>
      <c r="HQT1331" s="4" t="s">
        <v>2875</v>
      </c>
      <c r="HQU1331" s="4" t="s">
        <v>2875</v>
      </c>
      <c r="HQV1331" s="4" t="s">
        <v>2875</v>
      </c>
      <c r="HQW1331" s="4" t="s">
        <v>2875</v>
      </c>
      <c r="HQX1331" s="4" t="s">
        <v>2875</v>
      </c>
      <c r="HQY1331" s="4" t="s">
        <v>2875</v>
      </c>
      <c r="HQZ1331" s="4" t="s">
        <v>2875</v>
      </c>
      <c r="HRA1331" s="4" t="s">
        <v>2875</v>
      </c>
      <c r="HRB1331" s="4" t="s">
        <v>2875</v>
      </c>
      <c r="HRC1331" s="4" t="s">
        <v>2875</v>
      </c>
      <c r="HRD1331" s="4" t="s">
        <v>2875</v>
      </c>
      <c r="HRE1331" s="4" t="s">
        <v>2875</v>
      </c>
      <c r="HRF1331" s="4" t="s">
        <v>2875</v>
      </c>
      <c r="HRG1331" s="4" t="s">
        <v>2875</v>
      </c>
      <c r="HRH1331" s="4" t="s">
        <v>2875</v>
      </c>
      <c r="HRI1331" s="4" t="s">
        <v>2875</v>
      </c>
      <c r="HRJ1331" s="4" t="s">
        <v>2875</v>
      </c>
      <c r="HRK1331" s="4" t="s">
        <v>2875</v>
      </c>
      <c r="HRL1331" s="4" t="s">
        <v>2875</v>
      </c>
      <c r="HRM1331" s="4" t="s">
        <v>2875</v>
      </c>
      <c r="HRN1331" s="4" t="s">
        <v>2875</v>
      </c>
      <c r="HRO1331" s="4" t="s">
        <v>2875</v>
      </c>
      <c r="HRP1331" s="4" t="s">
        <v>2875</v>
      </c>
      <c r="HRQ1331" s="4" t="s">
        <v>2875</v>
      </c>
      <c r="HRR1331" s="4" t="s">
        <v>2875</v>
      </c>
      <c r="HRS1331" s="4" t="s">
        <v>2875</v>
      </c>
      <c r="HRT1331" s="4" t="s">
        <v>2875</v>
      </c>
      <c r="HRU1331" s="4" t="s">
        <v>2875</v>
      </c>
      <c r="HRV1331" s="4" t="s">
        <v>2875</v>
      </c>
      <c r="HRW1331" s="4" t="s">
        <v>2875</v>
      </c>
      <c r="HRX1331" s="4" t="s">
        <v>2875</v>
      </c>
      <c r="HRY1331" s="4" t="s">
        <v>2875</v>
      </c>
      <c r="HRZ1331" s="4" t="s">
        <v>2875</v>
      </c>
      <c r="HSA1331" s="4" t="s">
        <v>2875</v>
      </c>
      <c r="HSB1331" s="4" t="s">
        <v>2875</v>
      </c>
      <c r="HSC1331" s="4" t="s">
        <v>2875</v>
      </c>
      <c r="HSD1331" s="4" t="s">
        <v>2875</v>
      </c>
      <c r="HSE1331" s="4" t="s">
        <v>2875</v>
      </c>
      <c r="HSF1331" s="4" t="s">
        <v>2875</v>
      </c>
      <c r="HSG1331" s="4" t="s">
        <v>2875</v>
      </c>
      <c r="HSH1331" s="4" t="s">
        <v>2875</v>
      </c>
      <c r="HSI1331" s="4" t="s">
        <v>2875</v>
      </c>
      <c r="HSJ1331" s="4" t="s">
        <v>2875</v>
      </c>
      <c r="HSK1331" s="4" t="s">
        <v>2875</v>
      </c>
      <c r="HSL1331" s="4" t="s">
        <v>2875</v>
      </c>
      <c r="HSM1331" s="4" t="s">
        <v>2875</v>
      </c>
      <c r="HSN1331" s="4" t="s">
        <v>2875</v>
      </c>
      <c r="HSO1331" s="4" t="s">
        <v>2875</v>
      </c>
      <c r="HSP1331" s="4" t="s">
        <v>2875</v>
      </c>
      <c r="HSQ1331" s="4" t="s">
        <v>2875</v>
      </c>
      <c r="HSR1331" s="4" t="s">
        <v>2875</v>
      </c>
      <c r="HSS1331" s="4" t="s">
        <v>2875</v>
      </c>
      <c r="HST1331" s="4" t="s">
        <v>2875</v>
      </c>
      <c r="HSU1331" s="4" t="s">
        <v>2875</v>
      </c>
      <c r="HSV1331" s="4" t="s">
        <v>2875</v>
      </c>
      <c r="HSW1331" s="4" t="s">
        <v>2875</v>
      </c>
      <c r="HSX1331" s="4" t="s">
        <v>2875</v>
      </c>
      <c r="HSY1331" s="4" t="s">
        <v>2875</v>
      </c>
      <c r="HSZ1331" s="4" t="s">
        <v>2875</v>
      </c>
      <c r="HTA1331" s="4" t="s">
        <v>2875</v>
      </c>
      <c r="HTB1331" s="4" t="s">
        <v>2875</v>
      </c>
      <c r="HTC1331" s="4" t="s">
        <v>2875</v>
      </c>
      <c r="HTD1331" s="4" t="s">
        <v>2875</v>
      </c>
      <c r="HTE1331" s="4" t="s">
        <v>2875</v>
      </c>
      <c r="HTF1331" s="4" t="s">
        <v>2875</v>
      </c>
      <c r="HTG1331" s="4" t="s">
        <v>2875</v>
      </c>
      <c r="HTH1331" s="4" t="s">
        <v>2875</v>
      </c>
      <c r="HTI1331" s="4" t="s">
        <v>2875</v>
      </c>
      <c r="HTJ1331" s="4" t="s">
        <v>2875</v>
      </c>
      <c r="HTK1331" s="4" t="s">
        <v>2875</v>
      </c>
      <c r="HTL1331" s="4" t="s">
        <v>2875</v>
      </c>
      <c r="HTM1331" s="4" t="s">
        <v>2875</v>
      </c>
      <c r="HTN1331" s="4" t="s">
        <v>2875</v>
      </c>
      <c r="HTO1331" s="4" t="s">
        <v>2875</v>
      </c>
      <c r="HTP1331" s="4" t="s">
        <v>2875</v>
      </c>
      <c r="HTQ1331" s="4" t="s">
        <v>2875</v>
      </c>
      <c r="HTR1331" s="4" t="s">
        <v>2875</v>
      </c>
      <c r="HTS1331" s="4" t="s">
        <v>2875</v>
      </c>
      <c r="HTT1331" s="4" t="s">
        <v>2875</v>
      </c>
      <c r="HTU1331" s="4" t="s">
        <v>2875</v>
      </c>
      <c r="HTV1331" s="4" t="s">
        <v>2875</v>
      </c>
      <c r="HTW1331" s="4" t="s">
        <v>2875</v>
      </c>
      <c r="HTX1331" s="4" t="s">
        <v>2875</v>
      </c>
      <c r="HTY1331" s="4" t="s">
        <v>2875</v>
      </c>
      <c r="HTZ1331" s="4" t="s">
        <v>2875</v>
      </c>
      <c r="HUA1331" s="4" t="s">
        <v>2875</v>
      </c>
      <c r="HUB1331" s="4" t="s">
        <v>2875</v>
      </c>
      <c r="HUC1331" s="4" t="s">
        <v>2875</v>
      </c>
      <c r="HUD1331" s="4" t="s">
        <v>2875</v>
      </c>
      <c r="HUE1331" s="4" t="s">
        <v>2875</v>
      </c>
      <c r="HUF1331" s="4" t="s">
        <v>2875</v>
      </c>
      <c r="HUG1331" s="4" t="s">
        <v>2875</v>
      </c>
      <c r="HUH1331" s="4" t="s">
        <v>2875</v>
      </c>
      <c r="HUI1331" s="4" t="s">
        <v>2875</v>
      </c>
      <c r="HUJ1331" s="4" t="s">
        <v>2875</v>
      </c>
      <c r="HUK1331" s="4" t="s">
        <v>2875</v>
      </c>
      <c r="HUL1331" s="4" t="s">
        <v>2875</v>
      </c>
      <c r="HUM1331" s="4" t="s">
        <v>2875</v>
      </c>
      <c r="HUN1331" s="4" t="s">
        <v>2875</v>
      </c>
      <c r="HUO1331" s="4" t="s">
        <v>2875</v>
      </c>
      <c r="HUP1331" s="4" t="s">
        <v>2875</v>
      </c>
      <c r="HUQ1331" s="4" t="s">
        <v>2875</v>
      </c>
      <c r="HUR1331" s="4" t="s">
        <v>2875</v>
      </c>
      <c r="HUS1331" s="4" t="s">
        <v>2875</v>
      </c>
      <c r="HUT1331" s="4" t="s">
        <v>2875</v>
      </c>
      <c r="HUU1331" s="4" t="s">
        <v>2875</v>
      </c>
      <c r="HUV1331" s="4" t="s">
        <v>2875</v>
      </c>
      <c r="HUW1331" s="4" t="s">
        <v>2875</v>
      </c>
      <c r="HUX1331" s="4" t="s">
        <v>2875</v>
      </c>
      <c r="HUY1331" s="4" t="s">
        <v>2875</v>
      </c>
      <c r="HUZ1331" s="4" t="s">
        <v>2875</v>
      </c>
      <c r="HVA1331" s="4" t="s">
        <v>2875</v>
      </c>
      <c r="HVB1331" s="4" t="s">
        <v>2875</v>
      </c>
      <c r="HVC1331" s="4" t="s">
        <v>2875</v>
      </c>
      <c r="HVD1331" s="4" t="s">
        <v>2875</v>
      </c>
      <c r="HVE1331" s="4" t="s">
        <v>2875</v>
      </c>
      <c r="HVF1331" s="4" t="s">
        <v>2875</v>
      </c>
      <c r="HVG1331" s="4" t="s">
        <v>2875</v>
      </c>
      <c r="HVH1331" s="4" t="s">
        <v>2875</v>
      </c>
      <c r="HVI1331" s="4" t="s">
        <v>2875</v>
      </c>
      <c r="HVJ1331" s="4" t="s">
        <v>2875</v>
      </c>
      <c r="HVK1331" s="4" t="s">
        <v>2875</v>
      </c>
      <c r="HVL1331" s="4" t="s">
        <v>2875</v>
      </c>
      <c r="HVM1331" s="4" t="s">
        <v>2875</v>
      </c>
      <c r="HVN1331" s="4" t="s">
        <v>2875</v>
      </c>
      <c r="HVO1331" s="4" t="s">
        <v>2875</v>
      </c>
      <c r="HVP1331" s="4" t="s">
        <v>2875</v>
      </c>
      <c r="HVQ1331" s="4" t="s">
        <v>2875</v>
      </c>
      <c r="HVR1331" s="4" t="s">
        <v>2875</v>
      </c>
      <c r="HVS1331" s="4" t="s">
        <v>2875</v>
      </c>
      <c r="HVT1331" s="4" t="s">
        <v>2875</v>
      </c>
      <c r="HVU1331" s="4" t="s">
        <v>2875</v>
      </c>
      <c r="HVV1331" s="4" t="s">
        <v>2875</v>
      </c>
      <c r="HVW1331" s="4" t="s">
        <v>2875</v>
      </c>
      <c r="HVX1331" s="4" t="s">
        <v>2875</v>
      </c>
      <c r="HVY1331" s="4" t="s">
        <v>2875</v>
      </c>
      <c r="HVZ1331" s="4" t="s">
        <v>2875</v>
      </c>
      <c r="HWA1331" s="4" t="s">
        <v>2875</v>
      </c>
      <c r="HWB1331" s="4" t="s">
        <v>2875</v>
      </c>
      <c r="HWC1331" s="4" t="s">
        <v>2875</v>
      </c>
      <c r="HWD1331" s="4" t="s">
        <v>2875</v>
      </c>
      <c r="HWE1331" s="4" t="s">
        <v>2875</v>
      </c>
      <c r="HWF1331" s="4" t="s">
        <v>2875</v>
      </c>
      <c r="HWG1331" s="4" t="s">
        <v>2875</v>
      </c>
      <c r="HWH1331" s="4" t="s">
        <v>2875</v>
      </c>
      <c r="HWI1331" s="4" t="s">
        <v>2875</v>
      </c>
      <c r="HWJ1331" s="4" t="s">
        <v>2875</v>
      </c>
      <c r="HWK1331" s="4" t="s">
        <v>2875</v>
      </c>
      <c r="HWL1331" s="4" t="s">
        <v>2875</v>
      </c>
      <c r="HWM1331" s="4" t="s">
        <v>2875</v>
      </c>
      <c r="HWN1331" s="4" t="s">
        <v>2875</v>
      </c>
      <c r="HWO1331" s="4" t="s">
        <v>2875</v>
      </c>
      <c r="HWP1331" s="4" t="s">
        <v>2875</v>
      </c>
      <c r="HWQ1331" s="4" t="s">
        <v>2875</v>
      </c>
      <c r="HWR1331" s="4" t="s">
        <v>2875</v>
      </c>
      <c r="HWS1331" s="4" t="s">
        <v>2875</v>
      </c>
      <c r="HWT1331" s="4" t="s">
        <v>2875</v>
      </c>
      <c r="HWU1331" s="4" t="s">
        <v>2875</v>
      </c>
      <c r="HWV1331" s="4" t="s">
        <v>2875</v>
      </c>
      <c r="HWW1331" s="4" t="s">
        <v>2875</v>
      </c>
      <c r="HWX1331" s="4" t="s">
        <v>2875</v>
      </c>
      <c r="HWY1331" s="4" t="s">
        <v>2875</v>
      </c>
      <c r="HWZ1331" s="4" t="s">
        <v>2875</v>
      </c>
      <c r="HXA1331" s="4" t="s">
        <v>2875</v>
      </c>
      <c r="HXB1331" s="4" t="s">
        <v>2875</v>
      </c>
      <c r="HXC1331" s="4" t="s">
        <v>2875</v>
      </c>
      <c r="HXD1331" s="4" t="s">
        <v>2875</v>
      </c>
      <c r="HXE1331" s="4" t="s">
        <v>2875</v>
      </c>
      <c r="HXF1331" s="4" t="s">
        <v>2875</v>
      </c>
      <c r="HXG1331" s="4" t="s">
        <v>2875</v>
      </c>
      <c r="HXH1331" s="4" t="s">
        <v>2875</v>
      </c>
      <c r="HXI1331" s="4" t="s">
        <v>2875</v>
      </c>
      <c r="HXJ1331" s="4" t="s">
        <v>2875</v>
      </c>
      <c r="HXK1331" s="4" t="s">
        <v>2875</v>
      </c>
      <c r="HXL1331" s="4" t="s">
        <v>2875</v>
      </c>
      <c r="HXM1331" s="4" t="s">
        <v>2875</v>
      </c>
      <c r="HXN1331" s="4" t="s">
        <v>2875</v>
      </c>
      <c r="HXO1331" s="4" t="s">
        <v>2875</v>
      </c>
      <c r="HXP1331" s="4" t="s">
        <v>2875</v>
      </c>
      <c r="HXQ1331" s="4" t="s">
        <v>2875</v>
      </c>
      <c r="HXR1331" s="4" t="s">
        <v>2875</v>
      </c>
      <c r="HXS1331" s="4" t="s">
        <v>2875</v>
      </c>
      <c r="HXT1331" s="4" t="s">
        <v>2875</v>
      </c>
      <c r="HXU1331" s="4" t="s">
        <v>2875</v>
      </c>
      <c r="HXV1331" s="4" t="s">
        <v>2875</v>
      </c>
      <c r="HXW1331" s="4" t="s">
        <v>2875</v>
      </c>
      <c r="HXX1331" s="4" t="s">
        <v>2875</v>
      </c>
      <c r="HXY1331" s="4" t="s">
        <v>2875</v>
      </c>
      <c r="HXZ1331" s="4" t="s">
        <v>2875</v>
      </c>
      <c r="HYA1331" s="4" t="s">
        <v>2875</v>
      </c>
      <c r="HYB1331" s="4" t="s">
        <v>2875</v>
      </c>
      <c r="HYC1331" s="4" t="s">
        <v>2875</v>
      </c>
      <c r="HYD1331" s="4" t="s">
        <v>2875</v>
      </c>
      <c r="HYE1331" s="4" t="s">
        <v>2875</v>
      </c>
      <c r="HYF1331" s="4" t="s">
        <v>2875</v>
      </c>
      <c r="HYG1331" s="4" t="s">
        <v>2875</v>
      </c>
      <c r="HYH1331" s="4" t="s">
        <v>2875</v>
      </c>
      <c r="HYI1331" s="4" t="s">
        <v>2875</v>
      </c>
      <c r="HYJ1331" s="4" t="s">
        <v>2875</v>
      </c>
      <c r="HYK1331" s="4" t="s">
        <v>2875</v>
      </c>
      <c r="HYL1331" s="4" t="s">
        <v>2875</v>
      </c>
      <c r="HYM1331" s="4" t="s">
        <v>2875</v>
      </c>
      <c r="HYN1331" s="4" t="s">
        <v>2875</v>
      </c>
      <c r="HYO1331" s="4" t="s">
        <v>2875</v>
      </c>
      <c r="HYP1331" s="4" t="s">
        <v>2875</v>
      </c>
      <c r="HYQ1331" s="4" t="s">
        <v>2875</v>
      </c>
      <c r="HYR1331" s="4" t="s">
        <v>2875</v>
      </c>
      <c r="HYS1331" s="4" t="s">
        <v>2875</v>
      </c>
      <c r="HYT1331" s="4" t="s">
        <v>2875</v>
      </c>
      <c r="HYU1331" s="4" t="s">
        <v>2875</v>
      </c>
      <c r="HYV1331" s="4" t="s">
        <v>2875</v>
      </c>
      <c r="HYW1331" s="4" t="s">
        <v>2875</v>
      </c>
      <c r="HYX1331" s="4" t="s">
        <v>2875</v>
      </c>
      <c r="HYY1331" s="4" t="s">
        <v>2875</v>
      </c>
      <c r="HYZ1331" s="4" t="s">
        <v>2875</v>
      </c>
      <c r="HZA1331" s="4" t="s">
        <v>2875</v>
      </c>
      <c r="HZB1331" s="4" t="s">
        <v>2875</v>
      </c>
      <c r="HZC1331" s="4" t="s">
        <v>2875</v>
      </c>
      <c r="HZD1331" s="4" t="s">
        <v>2875</v>
      </c>
      <c r="HZE1331" s="4" t="s">
        <v>2875</v>
      </c>
      <c r="HZF1331" s="4" t="s">
        <v>2875</v>
      </c>
      <c r="HZG1331" s="4" t="s">
        <v>2875</v>
      </c>
      <c r="HZH1331" s="4" t="s">
        <v>2875</v>
      </c>
      <c r="HZI1331" s="4" t="s">
        <v>2875</v>
      </c>
      <c r="HZJ1331" s="4" t="s">
        <v>2875</v>
      </c>
      <c r="HZK1331" s="4" t="s">
        <v>2875</v>
      </c>
      <c r="HZL1331" s="4" t="s">
        <v>2875</v>
      </c>
      <c r="HZM1331" s="4" t="s">
        <v>2875</v>
      </c>
      <c r="HZN1331" s="4" t="s">
        <v>2875</v>
      </c>
      <c r="HZO1331" s="4" t="s">
        <v>2875</v>
      </c>
      <c r="HZP1331" s="4" t="s">
        <v>2875</v>
      </c>
      <c r="HZQ1331" s="4" t="s">
        <v>2875</v>
      </c>
      <c r="HZR1331" s="4" t="s">
        <v>2875</v>
      </c>
      <c r="HZS1331" s="4" t="s">
        <v>2875</v>
      </c>
      <c r="HZT1331" s="4" t="s">
        <v>2875</v>
      </c>
      <c r="HZU1331" s="4" t="s">
        <v>2875</v>
      </c>
      <c r="HZV1331" s="4" t="s">
        <v>2875</v>
      </c>
      <c r="HZW1331" s="4" t="s">
        <v>2875</v>
      </c>
      <c r="HZX1331" s="4" t="s">
        <v>2875</v>
      </c>
      <c r="HZY1331" s="4" t="s">
        <v>2875</v>
      </c>
      <c r="HZZ1331" s="4" t="s">
        <v>2875</v>
      </c>
      <c r="IAA1331" s="4" t="s">
        <v>2875</v>
      </c>
      <c r="IAB1331" s="4" t="s">
        <v>2875</v>
      </c>
      <c r="IAC1331" s="4" t="s">
        <v>2875</v>
      </c>
      <c r="IAD1331" s="4" t="s">
        <v>2875</v>
      </c>
      <c r="IAE1331" s="4" t="s">
        <v>2875</v>
      </c>
      <c r="IAF1331" s="4" t="s">
        <v>2875</v>
      </c>
      <c r="IAG1331" s="4" t="s">
        <v>2875</v>
      </c>
      <c r="IAH1331" s="4" t="s">
        <v>2875</v>
      </c>
      <c r="IAI1331" s="4" t="s">
        <v>2875</v>
      </c>
      <c r="IAJ1331" s="4" t="s">
        <v>2875</v>
      </c>
      <c r="IAK1331" s="4" t="s">
        <v>2875</v>
      </c>
      <c r="IAL1331" s="4" t="s">
        <v>2875</v>
      </c>
      <c r="IAM1331" s="4" t="s">
        <v>2875</v>
      </c>
      <c r="IAN1331" s="4" t="s">
        <v>2875</v>
      </c>
      <c r="IAO1331" s="4" t="s">
        <v>2875</v>
      </c>
      <c r="IAP1331" s="4" t="s">
        <v>2875</v>
      </c>
      <c r="IAQ1331" s="4" t="s">
        <v>2875</v>
      </c>
      <c r="IAR1331" s="4" t="s">
        <v>2875</v>
      </c>
      <c r="IAS1331" s="4" t="s">
        <v>2875</v>
      </c>
      <c r="IAT1331" s="4" t="s">
        <v>2875</v>
      </c>
      <c r="IAU1331" s="4" t="s">
        <v>2875</v>
      </c>
      <c r="IAV1331" s="4" t="s">
        <v>2875</v>
      </c>
      <c r="IAW1331" s="4" t="s">
        <v>2875</v>
      </c>
      <c r="IAX1331" s="4" t="s">
        <v>2875</v>
      </c>
      <c r="IAY1331" s="4" t="s">
        <v>2875</v>
      </c>
      <c r="IAZ1331" s="4" t="s">
        <v>2875</v>
      </c>
      <c r="IBA1331" s="4" t="s">
        <v>2875</v>
      </c>
      <c r="IBB1331" s="4" t="s">
        <v>2875</v>
      </c>
      <c r="IBC1331" s="4" t="s">
        <v>2875</v>
      </c>
      <c r="IBD1331" s="4" t="s">
        <v>2875</v>
      </c>
      <c r="IBE1331" s="4" t="s">
        <v>2875</v>
      </c>
      <c r="IBF1331" s="4" t="s">
        <v>2875</v>
      </c>
      <c r="IBG1331" s="4" t="s">
        <v>2875</v>
      </c>
      <c r="IBH1331" s="4" t="s">
        <v>2875</v>
      </c>
      <c r="IBI1331" s="4" t="s">
        <v>2875</v>
      </c>
      <c r="IBJ1331" s="4" t="s">
        <v>2875</v>
      </c>
      <c r="IBK1331" s="4" t="s">
        <v>2875</v>
      </c>
      <c r="IBL1331" s="4" t="s">
        <v>2875</v>
      </c>
      <c r="IBM1331" s="4" t="s">
        <v>2875</v>
      </c>
      <c r="IBN1331" s="4" t="s">
        <v>2875</v>
      </c>
      <c r="IBO1331" s="4" t="s">
        <v>2875</v>
      </c>
      <c r="IBP1331" s="4" t="s">
        <v>2875</v>
      </c>
      <c r="IBQ1331" s="4" t="s">
        <v>2875</v>
      </c>
      <c r="IBR1331" s="4" t="s">
        <v>2875</v>
      </c>
      <c r="IBS1331" s="4" t="s">
        <v>2875</v>
      </c>
      <c r="IBT1331" s="4" t="s">
        <v>2875</v>
      </c>
      <c r="IBU1331" s="4" t="s">
        <v>2875</v>
      </c>
      <c r="IBV1331" s="4" t="s">
        <v>2875</v>
      </c>
      <c r="IBW1331" s="4" t="s">
        <v>2875</v>
      </c>
      <c r="IBX1331" s="4" t="s">
        <v>2875</v>
      </c>
      <c r="IBY1331" s="4" t="s">
        <v>2875</v>
      </c>
      <c r="IBZ1331" s="4" t="s">
        <v>2875</v>
      </c>
      <c r="ICA1331" s="4" t="s">
        <v>2875</v>
      </c>
      <c r="ICB1331" s="4" t="s">
        <v>2875</v>
      </c>
      <c r="ICC1331" s="4" t="s">
        <v>2875</v>
      </c>
      <c r="ICD1331" s="4" t="s">
        <v>2875</v>
      </c>
      <c r="ICE1331" s="4" t="s">
        <v>2875</v>
      </c>
      <c r="ICF1331" s="4" t="s">
        <v>2875</v>
      </c>
      <c r="ICG1331" s="4" t="s">
        <v>2875</v>
      </c>
      <c r="ICH1331" s="4" t="s">
        <v>2875</v>
      </c>
      <c r="ICI1331" s="4" t="s">
        <v>2875</v>
      </c>
      <c r="ICJ1331" s="4" t="s">
        <v>2875</v>
      </c>
      <c r="ICK1331" s="4" t="s">
        <v>2875</v>
      </c>
      <c r="ICL1331" s="4" t="s">
        <v>2875</v>
      </c>
      <c r="ICM1331" s="4" t="s">
        <v>2875</v>
      </c>
      <c r="ICN1331" s="4" t="s">
        <v>2875</v>
      </c>
      <c r="ICO1331" s="4" t="s">
        <v>2875</v>
      </c>
      <c r="ICP1331" s="4" t="s">
        <v>2875</v>
      </c>
      <c r="ICQ1331" s="4" t="s">
        <v>2875</v>
      </c>
      <c r="ICR1331" s="4" t="s">
        <v>2875</v>
      </c>
      <c r="ICS1331" s="4" t="s">
        <v>2875</v>
      </c>
      <c r="ICT1331" s="4" t="s">
        <v>2875</v>
      </c>
      <c r="ICU1331" s="4" t="s">
        <v>2875</v>
      </c>
      <c r="ICV1331" s="4" t="s">
        <v>2875</v>
      </c>
      <c r="ICW1331" s="4" t="s">
        <v>2875</v>
      </c>
      <c r="ICX1331" s="4" t="s">
        <v>2875</v>
      </c>
      <c r="ICY1331" s="4" t="s">
        <v>2875</v>
      </c>
      <c r="ICZ1331" s="4" t="s">
        <v>2875</v>
      </c>
      <c r="IDA1331" s="4" t="s">
        <v>2875</v>
      </c>
      <c r="IDB1331" s="4" t="s">
        <v>2875</v>
      </c>
      <c r="IDC1331" s="4" t="s">
        <v>2875</v>
      </c>
      <c r="IDD1331" s="4" t="s">
        <v>2875</v>
      </c>
      <c r="IDE1331" s="4" t="s">
        <v>2875</v>
      </c>
      <c r="IDF1331" s="4" t="s">
        <v>2875</v>
      </c>
      <c r="IDG1331" s="4" t="s">
        <v>2875</v>
      </c>
      <c r="IDH1331" s="4" t="s">
        <v>2875</v>
      </c>
      <c r="IDI1331" s="4" t="s">
        <v>2875</v>
      </c>
      <c r="IDJ1331" s="4" t="s">
        <v>2875</v>
      </c>
      <c r="IDK1331" s="4" t="s">
        <v>2875</v>
      </c>
      <c r="IDL1331" s="4" t="s">
        <v>2875</v>
      </c>
      <c r="IDM1331" s="4" t="s">
        <v>2875</v>
      </c>
      <c r="IDN1331" s="4" t="s">
        <v>2875</v>
      </c>
      <c r="IDO1331" s="4" t="s">
        <v>2875</v>
      </c>
      <c r="IDP1331" s="4" t="s">
        <v>2875</v>
      </c>
      <c r="IDQ1331" s="4" t="s">
        <v>2875</v>
      </c>
      <c r="IDR1331" s="4" t="s">
        <v>2875</v>
      </c>
      <c r="IDS1331" s="4" t="s">
        <v>2875</v>
      </c>
      <c r="IDT1331" s="4" t="s">
        <v>2875</v>
      </c>
      <c r="IDU1331" s="4" t="s">
        <v>2875</v>
      </c>
      <c r="IDV1331" s="4" t="s">
        <v>2875</v>
      </c>
      <c r="IDW1331" s="4" t="s">
        <v>2875</v>
      </c>
      <c r="IDX1331" s="4" t="s">
        <v>2875</v>
      </c>
      <c r="IDY1331" s="4" t="s">
        <v>2875</v>
      </c>
      <c r="IDZ1331" s="4" t="s">
        <v>2875</v>
      </c>
      <c r="IEA1331" s="4" t="s">
        <v>2875</v>
      </c>
      <c r="IEB1331" s="4" t="s">
        <v>2875</v>
      </c>
      <c r="IEC1331" s="4" t="s">
        <v>2875</v>
      </c>
      <c r="IED1331" s="4" t="s">
        <v>2875</v>
      </c>
      <c r="IEE1331" s="4" t="s">
        <v>2875</v>
      </c>
      <c r="IEF1331" s="4" t="s">
        <v>2875</v>
      </c>
      <c r="IEG1331" s="4" t="s">
        <v>2875</v>
      </c>
      <c r="IEH1331" s="4" t="s">
        <v>2875</v>
      </c>
      <c r="IEI1331" s="4" t="s">
        <v>2875</v>
      </c>
      <c r="IEJ1331" s="4" t="s">
        <v>2875</v>
      </c>
      <c r="IEK1331" s="4" t="s">
        <v>2875</v>
      </c>
      <c r="IEL1331" s="4" t="s">
        <v>2875</v>
      </c>
      <c r="IEM1331" s="4" t="s">
        <v>2875</v>
      </c>
      <c r="IEN1331" s="4" t="s">
        <v>2875</v>
      </c>
      <c r="IEO1331" s="4" t="s">
        <v>2875</v>
      </c>
      <c r="IEP1331" s="4" t="s">
        <v>2875</v>
      </c>
      <c r="IEQ1331" s="4" t="s">
        <v>2875</v>
      </c>
      <c r="IER1331" s="4" t="s">
        <v>2875</v>
      </c>
      <c r="IES1331" s="4" t="s">
        <v>2875</v>
      </c>
      <c r="IET1331" s="4" t="s">
        <v>2875</v>
      </c>
      <c r="IEU1331" s="4" t="s">
        <v>2875</v>
      </c>
      <c r="IEV1331" s="4" t="s">
        <v>2875</v>
      </c>
      <c r="IEW1331" s="4" t="s">
        <v>2875</v>
      </c>
      <c r="IEX1331" s="4" t="s">
        <v>2875</v>
      </c>
      <c r="IEY1331" s="4" t="s">
        <v>2875</v>
      </c>
      <c r="IEZ1331" s="4" t="s">
        <v>2875</v>
      </c>
      <c r="IFA1331" s="4" t="s">
        <v>2875</v>
      </c>
      <c r="IFB1331" s="4" t="s">
        <v>2875</v>
      </c>
      <c r="IFC1331" s="4" t="s">
        <v>2875</v>
      </c>
      <c r="IFD1331" s="4" t="s">
        <v>2875</v>
      </c>
      <c r="IFE1331" s="4" t="s">
        <v>2875</v>
      </c>
      <c r="IFF1331" s="4" t="s">
        <v>2875</v>
      </c>
      <c r="IFG1331" s="4" t="s">
        <v>2875</v>
      </c>
      <c r="IFH1331" s="4" t="s">
        <v>2875</v>
      </c>
      <c r="IFI1331" s="4" t="s">
        <v>2875</v>
      </c>
      <c r="IFJ1331" s="4" t="s">
        <v>2875</v>
      </c>
      <c r="IFK1331" s="4" t="s">
        <v>2875</v>
      </c>
      <c r="IFL1331" s="4" t="s">
        <v>2875</v>
      </c>
      <c r="IFM1331" s="4" t="s">
        <v>2875</v>
      </c>
      <c r="IFN1331" s="4" t="s">
        <v>2875</v>
      </c>
      <c r="IFO1331" s="4" t="s">
        <v>2875</v>
      </c>
      <c r="IFP1331" s="4" t="s">
        <v>2875</v>
      </c>
      <c r="IFQ1331" s="4" t="s">
        <v>2875</v>
      </c>
      <c r="IFR1331" s="4" t="s">
        <v>2875</v>
      </c>
      <c r="IFS1331" s="4" t="s">
        <v>2875</v>
      </c>
      <c r="IFT1331" s="4" t="s">
        <v>2875</v>
      </c>
      <c r="IFU1331" s="4" t="s">
        <v>2875</v>
      </c>
      <c r="IFV1331" s="4" t="s">
        <v>2875</v>
      </c>
      <c r="IFW1331" s="4" t="s">
        <v>2875</v>
      </c>
      <c r="IFX1331" s="4" t="s">
        <v>2875</v>
      </c>
      <c r="IFY1331" s="4" t="s">
        <v>2875</v>
      </c>
      <c r="IFZ1331" s="4" t="s">
        <v>2875</v>
      </c>
      <c r="IGA1331" s="4" t="s">
        <v>2875</v>
      </c>
      <c r="IGB1331" s="4" t="s">
        <v>2875</v>
      </c>
      <c r="IGC1331" s="4" t="s">
        <v>2875</v>
      </c>
      <c r="IGD1331" s="4" t="s">
        <v>2875</v>
      </c>
      <c r="IGE1331" s="4" t="s">
        <v>2875</v>
      </c>
      <c r="IGF1331" s="4" t="s">
        <v>2875</v>
      </c>
      <c r="IGG1331" s="4" t="s">
        <v>2875</v>
      </c>
      <c r="IGH1331" s="4" t="s">
        <v>2875</v>
      </c>
      <c r="IGI1331" s="4" t="s">
        <v>2875</v>
      </c>
      <c r="IGJ1331" s="4" t="s">
        <v>2875</v>
      </c>
      <c r="IGK1331" s="4" t="s">
        <v>2875</v>
      </c>
      <c r="IGL1331" s="4" t="s">
        <v>2875</v>
      </c>
      <c r="IGM1331" s="4" t="s">
        <v>2875</v>
      </c>
      <c r="IGN1331" s="4" t="s">
        <v>2875</v>
      </c>
      <c r="IGO1331" s="4" t="s">
        <v>2875</v>
      </c>
      <c r="IGP1331" s="4" t="s">
        <v>2875</v>
      </c>
      <c r="IGQ1331" s="4" t="s">
        <v>2875</v>
      </c>
      <c r="IGR1331" s="4" t="s">
        <v>2875</v>
      </c>
      <c r="IGS1331" s="4" t="s">
        <v>2875</v>
      </c>
      <c r="IGT1331" s="4" t="s">
        <v>2875</v>
      </c>
      <c r="IGU1331" s="4" t="s">
        <v>2875</v>
      </c>
      <c r="IGV1331" s="4" t="s">
        <v>2875</v>
      </c>
      <c r="IGW1331" s="4" t="s">
        <v>2875</v>
      </c>
      <c r="IGX1331" s="4" t="s">
        <v>2875</v>
      </c>
      <c r="IGY1331" s="4" t="s">
        <v>2875</v>
      </c>
      <c r="IGZ1331" s="4" t="s">
        <v>2875</v>
      </c>
      <c r="IHA1331" s="4" t="s">
        <v>2875</v>
      </c>
      <c r="IHB1331" s="4" t="s">
        <v>2875</v>
      </c>
      <c r="IHC1331" s="4" t="s">
        <v>2875</v>
      </c>
      <c r="IHD1331" s="4" t="s">
        <v>2875</v>
      </c>
      <c r="IHE1331" s="4" t="s">
        <v>2875</v>
      </c>
      <c r="IHF1331" s="4" t="s">
        <v>2875</v>
      </c>
      <c r="IHG1331" s="4" t="s">
        <v>2875</v>
      </c>
      <c r="IHH1331" s="4" t="s">
        <v>2875</v>
      </c>
      <c r="IHI1331" s="4" t="s">
        <v>2875</v>
      </c>
      <c r="IHJ1331" s="4" t="s">
        <v>2875</v>
      </c>
      <c r="IHK1331" s="4" t="s">
        <v>2875</v>
      </c>
      <c r="IHL1331" s="4" t="s">
        <v>2875</v>
      </c>
      <c r="IHM1331" s="4" t="s">
        <v>2875</v>
      </c>
      <c r="IHN1331" s="4" t="s">
        <v>2875</v>
      </c>
      <c r="IHO1331" s="4" t="s">
        <v>2875</v>
      </c>
      <c r="IHP1331" s="4" t="s">
        <v>2875</v>
      </c>
      <c r="IHQ1331" s="4" t="s">
        <v>2875</v>
      </c>
      <c r="IHR1331" s="4" t="s">
        <v>2875</v>
      </c>
      <c r="IHS1331" s="4" t="s">
        <v>2875</v>
      </c>
      <c r="IHT1331" s="4" t="s">
        <v>2875</v>
      </c>
      <c r="IHU1331" s="4" t="s">
        <v>2875</v>
      </c>
      <c r="IHV1331" s="4" t="s">
        <v>2875</v>
      </c>
      <c r="IHW1331" s="4" t="s">
        <v>2875</v>
      </c>
      <c r="IHX1331" s="4" t="s">
        <v>2875</v>
      </c>
      <c r="IHY1331" s="4" t="s">
        <v>2875</v>
      </c>
      <c r="IHZ1331" s="4" t="s">
        <v>2875</v>
      </c>
      <c r="IIA1331" s="4" t="s">
        <v>2875</v>
      </c>
      <c r="IIB1331" s="4" t="s">
        <v>2875</v>
      </c>
      <c r="IIC1331" s="4" t="s">
        <v>2875</v>
      </c>
      <c r="IID1331" s="4" t="s">
        <v>2875</v>
      </c>
      <c r="IIE1331" s="4" t="s">
        <v>2875</v>
      </c>
      <c r="IIF1331" s="4" t="s">
        <v>2875</v>
      </c>
      <c r="IIG1331" s="4" t="s">
        <v>2875</v>
      </c>
      <c r="IIH1331" s="4" t="s">
        <v>2875</v>
      </c>
      <c r="III1331" s="4" t="s">
        <v>2875</v>
      </c>
      <c r="IIJ1331" s="4" t="s">
        <v>2875</v>
      </c>
      <c r="IIK1331" s="4" t="s">
        <v>2875</v>
      </c>
      <c r="IIL1331" s="4" t="s">
        <v>2875</v>
      </c>
      <c r="IIM1331" s="4" t="s">
        <v>2875</v>
      </c>
      <c r="IIN1331" s="4" t="s">
        <v>2875</v>
      </c>
      <c r="IIO1331" s="4" t="s">
        <v>2875</v>
      </c>
      <c r="IIP1331" s="4" t="s">
        <v>2875</v>
      </c>
      <c r="IIQ1331" s="4" t="s">
        <v>2875</v>
      </c>
      <c r="IIR1331" s="4" t="s">
        <v>2875</v>
      </c>
      <c r="IIS1331" s="4" t="s">
        <v>2875</v>
      </c>
      <c r="IIT1331" s="4" t="s">
        <v>2875</v>
      </c>
      <c r="IIU1331" s="4" t="s">
        <v>2875</v>
      </c>
      <c r="IIV1331" s="4" t="s">
        <v>2875</v>
      </c>
      <c r="IIW1331" s="4" t="s">
        <v>2875</v>
      </c>
      <c r="IIX1331" s="4" t="s">
        <v>2875</v>
      </c>
      <c r="IIY1331" s="4" t="s">
        <v>2875</v>
      </c>
      <c r="IIZ1331" s="4" t="s">
        <v>2875</v>
      </c>
      <c r="IJA1331" s="4" t="s">
        <v>2875</v>
      </c>
      <c r="IJB1331" s="4" t="s">
        <v>2875</v>
      </c>
      <c r="IJC1331" s="4" t="s">
        <v>2875</v>
      </c>
      <c r="IJD1331" s="4" t="s">
        <v>2875</v>
      </c>
      <c r="IJE1331" s="4" t="s">
        <v>2875</v>
      </c>
      <c r="IJF1331" s="4" t="s">
        <v>2875</v>
      </c>
      <c r="IJG1331" s="4" t="s">
        <v>2875</v>
      </c>
      <c r="IJH1331" s="4" t="s">
        <v>2875</v>
      </c>
      <c r="IJI1331" s="4" t="s">
        <v>2875</v>
      </c>
      <c r="IJJ1331" s="4" t="s">
        <v>2875</v>
      </c>
      <c r="IJK1331" s="4" t="s">
        <v>2875</v>
      </c>
      <c r="IJL1331" s="4" t="s">
        <v>2875</v>
      </c>
      <c r="IJM1331" s="4" t="s">
        <v>2875</v>
      </c>
      <c r="IJN1331" s="4" t="s">
        <v>2875</v>
      </c>
      <c r="IJO1331" s="4" t="s">
        <v>2875</v>
      </c>
      <c r="IJP1331" s="4" t="s">
        <v>2875</v>
      </c>
      <c r="IJQ1331" s="4" t="s">
        <v>2875</v>
      </c>
      <c r="IJR1331" s="4" t="s">
        <v>2875</v>
      </c>
      <c r="IJS1331" s="4" t="s">
        <v>2875</v>
      </c>
      <c r="IJT1331" s="4" t="s">
        <v>2875</v>
      </c>
      <c r="IJU1331" s="4" t="s">
        <v>2875</v>
      </c>
      <c r="IJV1331" s="4" t="s">
        <v>2875</v>
      </c>
      <c r="IJW1331" s="4" t="s">
        <v>2875</v>
      </c>
      <c r="IJX1331" s="4" t="s">
        <v>2875</v>
      </c>
      <c r="IJY1331" s="4" t="s">
        <v>2875</v>
      </c>
      <c r="IJZ1331" s="4" t="s">
        <v>2875</v>
      </c>
      <c r="IKA1331" s="4" t="s">
        <v>2875</v>
      </c>
      <c r="IKB1331" s="4" t="s">
        <v>2875</v>
      </c>
      <c r="IKC1331" s="4" t="s">
        <v>2875</v>
      </c>
      <c r="IKD1331" s="4" t="s">
        <v>2875</v>
      </c>
      <c r="IKE1331" s="4" t="s">
        <v>2875</v>
      </c>
      <c r="IKF1331" s="4" t="s">
        <v>2875</v>
      </c>
      <c r="IKG1331" s="4" t="s">
        <v>2875</v>
      </c>
      <c r="IKH1331" s="4" t="s">
        <v>2875</v>
      </c>
      <c r="IKI1331" s="4" t="s">
        <v>2875</v>
      </c>
      <c r="IKJ1331" s="4" t="s">
        <v>2875</v>
      </c>
      <c r="IKK1331" s="4" t="s">
        <v>2875</v>
      </c>
      <c r="IKL1331" s="4" t="s">
        <v>2875</v>
      </c>
      <c r="IKM1331" s="4" t="s">
        <v>2875</v>
      </c>
      <c r="IKN1331" s="4" t="s">
        <v>2875</v>
      </c>
      <c r="IKO1331" s="4" t="s">
        <v>2875</v>
      </c>
      <c r="IKP1331" s="4" t="s">
        <v>2875</v>
      </c>
      <c r="IKQ1331" s="4" t="s">
        <v>2875</v>
      </c>
      <c r="IKR1331" s="4" t="s">
        <v>2875</v>
      </c>
      <c r="IKS1331" s="4" t="s">
        <v>2875</v>
      </c>
      <c r="IKT1331" s="4" t="s">
        <v>2875</v>
      </c>
      <c r="IKU1331" s="4" t="s">
        <v>2875</v>
      </c>
      <c r="IKV1331" s="4" t="s">
        <v>2875</v>
      </c>
      <c r="IKW1331" s="4" t="s">
        <v>2875</v>
      </c>
      <c r="IKX1331" s="4" t="s">
        <v>2875</v>
      </c>
      <c r="IKY1331" s="4" t="s">
        <v>2875</v>
      </c>
      <c r="IKZ1331" s="4" t="s">
        <v>2875</v>
      </c>
      <c r="ILA1331" s="4" t="s">
        <v>2875</v>
      </c>
      <c r="ILB1331" s="4" t="s">
        <v>2875</v>
      </c>
      <c r="ILC1331" s="4" t="s">
        <v>2875</v>
      </c>
      <c r="ILD1331" s="4" t="s">
        <v>2875</v>
      </c>
      <c r="ILE1331" s="4" t="s">
        <v>2875</v>
      </c>
      <c r="ILF1331" s="4" t="s">
        <v>2875</v>
      </c>
      <c r="ILG1331" s="4" t="s">
        <v>2875</v>
      </c>
      <c r="ILH1331" s="4" t="s">
        <v>2875</v>
      </c>
      <c r="ILI1331" s="4" t="s">
        <v>2875</v>
      </c>
      <c r="ILJ1331" s="4" t="s">
        <v>2875</v>
      </c>
      <c r="ILK1331" s="4" t="s">
        <v>2875</v>
      </c>
      <c r="ILL1331" s="4" t="s">
        <v>2875</v>
      </c>
      <c r="ILM1331" s="4" t="s">
        <v>2875</v>
      </c>
      <c r="ILN1331" s="4" t="s">
        <v>2875</v>
      </c>
      <c r="ILO1331" s="4" t="s">
        <v>2875</v>
      </c>
      <c r="ILP1331" s="4" t="s">
        <v>2875</v>
      </c>
      <c r="ILQ1331" s="4" t="s">
        <v>2875</v>
      </c>
      <c r="ILR1331" s="4" t="s">
        <v>2875</v>
      </c>
      <c r="ILS1331" s="4" t="s">
        <v>2875</v>
      </c>
      <c r="ILT1331" s="4" t="s">
        <v>2875</v>
      </c>
      <c r="ILU1331" s="4" t="s">
        <v>2875</v>
      </c>
      <c r="ILV1331" s="4" t="s">
        <v>2875</v>
      </c>
      <c r="ILW1331" s="4" t="s">
        <v>2875</v>
      </c>
      <c r="ILX1331" s="4" t="s">
        <v>2875</v>
      </c>
      <c r="ILY1331" s="4" t="s">
        <v>2875</v>
      </c>
      <c r="ILZ1331" s="4" t="s">
        <v>2875</v>
      </c>
      <c r="IMA1331" s="4" t="s">
        <v>2875</v>
      </c>
      <c r="IMB1331" s="4" t="s">
        <v>2875</v>
      </c>
      <c r="IMC1331" s="4" t="s">
        <v>2875</v>
      </c>
      <c r="IMD1331" s="4" t="s">
        <v>2875</v>
      </c>
      <c r="IME1331" s="4" t="s">
        <v>2875</v>
      </c>
      <c r="IMF1331" s="4" t="s">
        <v>2875</v>
      </c>
      <c r="IMG1331" s="4" t="s">
        <v>2875</v>
      </c>
      <c r="IMH1331" s="4" t="s">
        <v>2875</v>
      </c>
      <c r="IMI1331" s="4" t="s">
        <v>2875</v>
      </c>
      <c r="IMJ1331" s="4" t="s">
        <v>2875</v>
      </c>
      <c r="IMK1331" s="4" t="s">
        <v>2875</v>
      </c>
      <c r="IML1331" s="4" t="s">
        <v>2875</v>
      </c>
      <c r="IMM1331" s="4" t="s">
        <v>2875</v>
      </c>
      <c r="IMN1331" s="4" t="s">
        <v>2875</v>
      </c>
      <c r="IMO1331" s="4" t="s">
        <v>2875</v>
      </c>
      <c r="IMP1331" s="4" t="s">
        <v>2875</v>
      </c>
      <c r="IMQ1331" s="4" t="s">
        <v>2875</v>
      </c>
      <c r="IMR1331" s="4" t="s">
        <v>2875</v>
      </c>
      <c r="IMS1331" s="4" t="s">
        <v>2875</v>
      </c>
      <c r="IMT1331" s="4" t="s">
        <v>2875</v>
      </c>
      <c r="IMU1331" s="4" t="s">
        <v>2875</v>
      </c>
      <c r="IMV1331" s="4" t="s">
        <v>2875</v>
      </c>
      <c r="IMW1331" s="4" t="s">
        <v>2875</v>
      </c>
      <c r="IMX1331" s="4" t="s">
        <v>2875</v>
      </c>
      <c r="IMY1331" s="4" t="s">
        <v>2875</v>
      </c>
      <c r="IMZ1331" s="4" t="s">
        <v>2875</v>
      </c>
      <c r="INA1331" s="4" t="s">
        <v>2875</v>
      </c>
      <c r="INB1331" s="4" t="s">
        <v>2875</v>
      </c>
      <c r="INC1331" s="4" t="s">
        <v>2875</v>
      </c>
      <c r="IND1331" s="4" t="s">
        <v>2875</v>
      </c>
      <c r="INE1331" s="4" t="s">
        <v>2875</v>
      </c>
      <c r="INF1331" s="4" t="s">
        <v>2875</v>
      </c>
      <c r="ING1331" s="4" t="s">
        <v>2875</v>
      </c>
      <c r="INH1331" s="4" t="s">
        <v>2875</v>
      </c>
      <c r="INI1331" s="4" t="s">
        <v>2875</v>
      </c>
      <c r="INJ1331" s="4" t="s">
        <v>2875</v>
      </c>
      <c r="INK1331" s="4" t="s">
        <v>2875</v>
      </c>
      <c r="INL1331" s="4" t="s">
        <v>2875</v>
      </c>
      <c r="INM1331" s="4" t="s">
        <v>2875</v>
      </c>
      <c r="INN1331" s="4" t="s">
        <v>2875</v>
      </c>
      <c r="INO1331" s="4" t="s">
        <v>2875</v>
      </c>
      <c r="INP1331" s="4" t="s">
        <v>2875</v>
      </c>
      <c r="INQ1331" s="4" t="s">
        <v>2875</v>
      </c>
      <c r="INR1331" s="4" t="s">
        <v>2875</v>
      </c>
      <c r="INS1331" s="4" t="s">
        <v>2875</v>
      </c>
      <c r="INT1331" s="4" t="s">
        <v>2875</v>
      </c>
      <c r="INU1331" s="4" t="s">
        <v>2875</v>
      </c>
      <c r="INV1331" s="4" t="s">
        <v>2875</v>
      </c>
      <c r="INW1331" s="4" t="s">
        <v>2875</v>
      </c>
      <c r="INX1331" s="4" t="s">
        <v>2875</v>
      </c>
      <c r="INY1331" s="4" t="s">
        <v>2875</v>
      </c>
      <c r="INZ1331" s="4" t="s">
        <v>2875</v>
      </c>
      <c r="IOA1331" s="4" t="s">
        <v>2875</v>
      </c>
      <c r="IOB1331" s="4" t="s">
        <v>2875</v>
      </c>
      <c r="IOC1331" s="4" t="s">
        <v>2875</v>
      </c>
      <c r="IOD1331" s="4" t="s">
        <v>2875</v>
      </c>
      <c r="IOE1331" s="4" t="s">
        <v>2875</v>
      </c>
      <c r="IOF1331" s="4" t="s">
        <v>2875</v>
      </c>
      <c r="IOG1331" s="4" t="s">
        <v>2875</v>
      </c>
      <c r="IOH1331" s="4" t="s">
        <v>2875</v>
      </c>
      <c r="IOI1331" s="4" t="s">
        <v>2875</v>
      </c>
      <c r="IOJ1331" s="4" t="s">
        <v>2875</v>
      </c>
      <c r="IOK1331" s="4" t="s">
        <v>2875</v>
      </c>
      <c r="IOL1331" s="4" t="s">
        <v>2875</v>
      </c>
      <c r="IOM1331" s="4" t="s">
        <v>2875</v>
      </c>
      <c r="ION1331" s="4" t="s">
        <v>2875</v>
      </c>
      <c r="IOO1331" s="4" t="s">
        <v>2875</v>
      </c>
      <c r="IOP1331" s="4" t="s">
        <v>2875</v>
      </c>
      <c r="IOQ1331" s="4" t="s">
        <v>2875</v>
      </c>
      <c r="IOR1331" s="4" t="s">
        <v>2875</v>
      </c>
      <c r="IOS1331" s="4" t="s">
        <v>2875</v>
      </c>
      <c r="IOT1331" s="4" t="s">
        <v>2875</v>
      </c>
      <c r="IOU1331" s="4" t="s">
        <v>2875</v>
      </c>
      <c r="IOV1331" s="4" t="s">
        <v>2875</v>
      </c>
      <c r="IOW1331" s="4" t="s">
        <v>2875</v>
      </c>
      <c r="IOX1331" s="4" t="s">
        <v>2875</v>
      </c>
      <c r="IOY1331" s="4" t="s">
        <v>2875</v>
      </c>
      <c r="IOZ1331" s="4" t="s">
        <v>2875</v>
      </c>
      <c r="IPA1331" s="4" t="s">
        <v>2875</v>
      </c>
      <c r="IPB1331" s="4" t="s">
        <v>2875</v>
      </c>
      <c r="IPC1331" s="4" t="s">
        <v>2875</v>
      </c>
      <c r="IPD1331" s="4" t="s">
        <v>2875</v>
      </c>
      <c r="IPE1331" s="4" t="s">
        <v>2875</v>
      </c>
      <c r="IPF1331" s="4" t="s">
        <v>2875</v>
      </c>
      <c r="IPG1331" s="4" t="s">
        <v>2875</v>
      </c>
      <c r="IPH1331" s="4" t="s">
        <v>2875</v>
      </c>
      <c r="IPI1331" s="4" t="s">
        <v>2875</v>
      </c>
      <c r="IPJ1331" s="4" t="s">
        <v>2875</v>
      </c>
      <c r="IPK1331" s="4" t="s">
        <v>2875</v>
      </c>
      <c r="IPL1331" s="4" t="s">
        <v>2875</v>
      </c>
      <c r="IPM1331" s="4" t="s">
        <v>2875</v>
      </c>
      <c r="IPN1331" s="4" t="s">
        <v>2875</v>
      </c>
      <c r="IPO1331" s="4" t="s">
        <v>2875</v>
      </c>
      <c r="IPP1331" s="4" t="s">
        <v>2875</v>
      </c>
      <c r="IPQ1331" s="4" t="s">
        <v>2875</v>
      </c>
      <c r="IPR1331" s="4" t="s">
        <v>2875</v>
      </c>
      <c r="IPS1331" s="4" t="s">
        <v>2875</v>
      </c>
      <c r="IPT1331" s="4" t="s">
        <v>2875</v>
      </c>
      <c r="IPU1331" s="4" t="s">
        <v>2875</v>
      </c>
      <c r="IPV1331" s="4" t="s">
        <v>2875</v>
      </c>
      <c r="IPW1331" s="4" t="s">
        <v>2875</v>
      </c>
      <c r="IPX1331" s="4" t="s">
        <v>2875</v>
      </c>
      <c r="IPY1331" s="4" t="s">
        <v>2875</v>
      </c>
      <c r="IPZ1331" s="4" t="s">
        <v>2875</v>
      </c>
      <c r="IQA1331" s="4" t="s">
        <v>2875</v>
      </c>
      <c r="IQB1331" s="4" t="s">
        <v>2875</v>
      </c>
      <c r="IQC1331" s="4" t="s">
        <v>2875</v>
      </c>
      <c r="IQD1331" s="4" t="s">
        <v>2875</v>
      </c>
      <c r="IQE1331" s="4" t="s">
        <v>2875</v>
      </c>
      <c r="IQF1331" s="4" t="s">
        <v>2875</v>
      </c>
      <c r="IQG1331" s="4" t="s">
        <v>2875</v>
      </c>
      <c r="IQH1331" s="4" t="s">
        <v>2875</v>
      </c>
      <c r="IQI1331" s="4" t="s">
        <v>2875</v>
      </c>
      <c r="IQJ1331" s="4" t="s">
        <v>2875</v>
      </c>
      <c r="IQK1331" s="4" t="s">
        <v>2875</v>
      </c>
      <c r="IQL1331" s="4" t="s">
        <v>2875</v>
      </c>
      <c r="IQM1331" s="4" t="s">
        <v>2875</v>
      </c>
      <c r="IQN1331" s="4" t="s">
        <v>2875</v>
      </c>
      <c r="IQO1331" s="4" t="s">
        <v>2875</v>
      </c>
      <c r="IQP1331" s="4" t="s">
        <v>2875</v>
      </c>
      <c r="IQQ1331" s="4" t="s">
        <v>2875</v>
      </c>
      <c r="IQR1331" s="4" t="s">
        <v>2875</v>
      </c>
      <c r="IQS1331" s="4" t="s">
        <v>2875</v>
      </c>
      <c r="IQT1331" s="4" t="s">
        <v>2875</v>
      </c>
      <c r="IQU1331" s="4" t="s">
        <v>2875</v>
      </c>
      <c r="IQV1331" s="4" t="s">
        <v>2875</v>
      </c>
      <c r="IQW1331" s="4" t="s">
        <v>2875</v>
      </c>
      <c r="IQX1331" s="4" t="s">
        <v>2875</v>
      </c>
      <c r="IQY1331" s="4" t="s">
        <v>2875</v>
      </c>
      <c r="IQZ1331" s="4" t="s">
        <v>2875</v>
      </c>
      <c r="IRA1331" s="4" t="s">
        <v>2875</v>
      </c>
      <c r="IRB1331" s="4" t="s">
        <v>2875</v>
      </c>
      <c r="IRC1331" s="4" t="s">
        <v>2875</v>
      </c>
      <c r="IRD1331" s="4" t="s">
        <v>2875</v>
      </c>
      <c r="IRE1331" s="4" t="s">
        <v>2875</v>
      </c>
      <c r="IRF1331" s="4" t="s">
        <v>2875</v>
      </c>
      <c r="IRG1331" s="4" t="s">
        <v>2875</v>
      </c>
      <c r="IRH1331" s="4" t="s">
        <v>2875</v>
      </c>
      <c r="IRI1331" s="4" t="s">
        <v>2875</v>
      </c>
      <c r="IRJ1331" s="4" t="s">
        <v>2875</v>
      </c>
      <c r="IRK1331" s="4" t="s">
        <v>2875</v>
      </c>
      <c r="IRL1331" s="4" t="s">
        <v>2875</v>
      </c>
      <c r="IRM1331" s="4" t="s">
        <v>2875</v>
      </c>
      <c r="IRN1331" s="4" t="s">
        <v>2875</v>
      </c>
      <c r="IRO1331" s="4" t="s">
        <v>2875</v>
      </c>
      <c r="IRP1331" s="4" t="s">
        <v>2875</v>
      </c>
      <c r="IRQ1331" s="4" t="s">
        <v>2875</v>
      </c>
      <c r="IRR1331" s="4" t="s">
        <v>2875</v>
      </c>
      <c r="IRS1331" s="4" t="s">
        <v>2875</v>
      </c>
      <c r="IRT1331" s="4" t="s">
        <v>2875</v>
      </c>
      <c r="IRU1331" s="4" t="s">
        <v>2875</v>
      </c>
      <c r="IRV1331" s="4" t="s">
        <v>2875</v>
      </c>
      <c r="IRW1331" s="4" t="s">
        <v>2875</v>
      </c>
      <c r="IRX1331" s="4" t="s">
        <v>2875</v>
      </c>
      <c r="IRY1331" s="4" t="s">
        <v>2875</v>
      </c>
      <c r="IRZ1331" s="4" t="s">
        <v>2875</v>
      </c>
      <c r="ISA1331" s="4" t="s">
        <v>2875</v>
      </c>
      <c r="ISB1331" s="4" t="s">
        <v>2875</v>
      </c>
      <c r="ISC1331" s="4" t="s">
        <v>2875</v>
      </c>
      <c r="ISD1331" s="4" t="s">
        <v>2875</v>
      </c>
      <c r="ISE1331" s="4" t="s">
        <v>2875</v>
      </c>
      <c r="ISF1331" s="4" t="s">
        <v>2875</v>
      </c>
      <c r="ISG1331" s="4" t="s">
        <v>2875</v>
      </c>
      <c r="ISH1331" s="4" t="s">
        <v>2875</v>
      </c>
      <c r="ISI1331" s="4" t="s">
        <v>2875</v>
      </c>
      <c r="ISJ1331" s="4" t="s">
        <v>2875</v>
      </c>
      <c r="ISK1331" s="4" t="s">
        <v>2875</v>
      </c>
      <c r="ISL1331" s="4" t="s">
        <v>2875</v>
      </c>
      <c r="ISM1331" s="4" t="s">
        <v>2875</v>
      </c>
      <c r="ISN1331" s="4" t="s">
        <v>2875</v>
      </c>
      <c r="ISO1331" s="4" t="s">
        <v>2875</v>
      </c>
      <c r="ISP1331" s="4" t="s">
        <v>2875</v>
      </c>
      <c r="ISQ1331" s="4" t="s">
        <v>2875</v>
      </c>
      <c r="ISR1331" s="4" t="s">
        <v>2875</v>
      </c>
      <c r="ISS1331" s="4" t="s">
        <v>2875</v>
      </c>
      <c r="IST1331" s="4" t="s">
        <v>2875</v>
      </c>
      <c r="ISU1331" s="4" t="s">
        <v>2875</v>
      </c>
      <c r="ISV1331" s="4" t="s">
        <v>2875</v>
      </c>
      <c r="ISW1331" s="4" t="s">
        <v>2875</v>
      </c>
      <c r="ISX1331" s="4" t="s">
        <v>2875</v>
      </c>
      <c r="ISY1331" s="4" t="s">
        <v>2875</v>
      </c>
      <c r="ISZ1331" s="4" t="s">
        <v>2875</v>
      </c>
      <c r="ITA1331" s="4" t="s">
        <v>2875</v>
      </c>
      <c r="ITB1331" s="4" t="s">
        <v>2875</v>
      </c>
      <c r="ITC1331" s="4" t="s">
        <v>2875</v>
      </c>
      <c r="ITD1331" s="4" t="s">
        <v>2875</v>
      </c>
      <c r="ITE1331" s="4" t="s">
        <v>2875</v>
      </c>
      <c r="ITF1331" s="4" t="s">
        <v>2875</v>
      </c>
      <c r="ITG1331" s="4" t="s">
        <v>2875</v>
      </c>
      <c r="ITH1331" s="4" t="s">
        <v>2875</v>
      </c>
      <c r="ITI1331" s="4" t="s">
        <v>2875</v>
      </c>
      <c r="ITJ1331" s="4" t="s">
        <v>2875</v>
      </c>
      <c r="ITK1331" s="4" t="s">
        <v>2875</v>
      </c>
      <c r="ITL1331" s="4" t="s">
        <v>2875</v>
      </c>
      <c r="ITM1331" s="4" t="s">
        <v>2875</v>
      </c>
      <c r="ITN1331" s="4" t="s">
        <v>2875</v>
      </c>
      <c r="ITO1331" s="4" t="s">
        <v>2875</v>
      </c>
      <c r="ITP1331" s="4" t="s">
        <v>2875</v>
      </c>
      <c r="ITQ1331" s="4" t="s">
        <v>2875</v>
      </c>
      <c r="ITR1331" s="4" t="s">
        <v>2875</v>
      </c>
      <c r="ITS1331" s="4" t="s">
        <v>2875</v>
      </c>
      <c r="ITT1331" s="4" t="s">
        <v>2875</v>
      </c>
      <c r="ITU1331" s="4" t="s">
        <v>2875</v>
      </c>
      <c r="ITV1331" s="4" t="s">
        <v>2875</v>
      </c>
      <c r="ITW1331" s="4" t="s">
        <v>2875</v>
      </c>
      <c r="ITX1331" s="4" t="s">
        <v>2875</v>
      </c>
      <c r="ITY1331" s="4" t="s">
        <v>2875</v>
      </c>
      <c r="ITZ1331" s="4" t="s">
        <v>2875</v>
      </c>
      <c r="IUA1331" s="4" t="s">
        <v>2875</v>
      </c>
      <c r="IUB1331" s="4" t="s">
        <v>2875</v>
      </c>
      <c r="IUC1331" s="4" t="s">
        <v>2875</v>
      </c>
      <c r="IUD1331" s="4" t="s">
        <v>2875</v>
      </c>
      <c r="IUE1331" s="4" t="s">
        <v>2875</v>
      </c>
      <c r="IUF1331" s="4" t="s">
        <v>2875</v>
      </c>
      <c r="IUG1331" s="4" t="s">
        <v>2875</v>
      </c>
      <c r="IUH1331" s="4" t="s">
        <v>2875</v>
      </c>
      <c r="IUI1331" s="4" t="s">
        <v>2875</v>
      </c>
      <c r="IUJ1331" s="4" t="s">
        <v>2875</v>
      </c>
      <c r="IUK1331" s="4" t="s">
        <v>2875</v>
      </c>
      <c r="IUL1331" s="4" t="s">
        <v>2875</v>
      </c>
      <c r="IUM1331" s="4" t="s">
        <v>2875</v>
      </c>
      <c r="IUN1331" s="4" t="s">
        <v>2875</v>
      </c>
      <c r="IUO1331" s="4" t="s">
        <v>2875</v>
      </c>
      <c r="IUP1331" s="4" t="s">
        <v>2875</v>
      </c>
      <c r="IUQ1331" s="4" t="s">
        <v>2875</v>
      </c>
      <c r="IUR1331" s="4" t="s">
        <v>2875</v>
      </c>
      <c r="IUS1331" s="4" t="s">
        <v>2875</v>
      </c>
      <c r="IUT1331" s="4" t="s">
        <v>2875</v>
      </c>
      <c r="IUU1331" s="4" t="s">
        <v>2875</v>
      </c>
      <c r="IUV1331" s="4" t="s">
        <v>2875</v>
      </c>
      <c r="IUW1331" s="4" t="s">
        <v>2875</v>
      </c>
      <c r="IUX1331" s="4" t="s">
        <v>2875</v>
      </c>
      <c r="IUY1331" s="4" t="s">
        <v>2875</v>
      </c>
      <c r="IUZ1331" s="4" t="s">
        <v>2875</v>
      </c>
      <c r="IVA1331" s="4" t="s">
        <v>2875</v>
      </c>
      <c r="IVB1331" s="4" t="s">
        <v>2875</v>
      </c>
      <c r="IVC1331" s="4" t="s">
        <v>2875</v>
      </c>
      <c r="IVD1331" s="4" t="s">
        <v>2875</v>
      </c>
      <c r="IVE1331" s="4" t="s">
        <v>2875</v>
      </c>
      <c r="IVF1331" s="4" t="s">
        <v>2875</v>
      </c>
      <c r="IVG1331" s="4" t="s">
        <v>2875</v>
      </c>
      <c r="IVH1331" s="4" t="s">
        <v>2875</v>
      </c>
      <c r="IVI1331" s="4" t="s">
        <v>2875</v>
      </c>
      <c r="IVJ1331" s="4" t="s">
        <v>2875</v>
      </c>
      <c r="IVK1331" s="4" t="s">
        <v>2875</v>
      </c>
      <c r="IVL1331" s="4" t="s">
        <v>2875</v>
      </c>
      <c r="IVM1331" s="4" t="s">
        <v>2875</v>
      </c>
      <c r="IVN1331" s="4" t="s">
        <v>2875</v>
      </c>
      <c r="IVO1331" s="4" t="s">
        <v>2875</v>
      </c>
      <c r="IVP1331" s="4" t="s">
        <v>2875</v>
      </c>
      <c r="IVQ1331" s="4" t="s">
        <v>2875</v>
      </c>
      <c r="IVR1331" s="4" t="s">
        <v>2875</v>
      </c>
      <c r="IVS1331" s="4" t="s">
        <v>2875</v>
      </c>
      <c r="IVT1331" s="4" t="s">
        <v>2875</v>
      </c>
      <c r="IVU1331" s="4" t="s">
        <v>2875</v>
      </c>
      <c r="IVV1331" s="4" t="s">
        <v>2875</v>
      </c>
      <c r="IVW1331" s="4" t="s">
        <v>2875</v>
      </c>
      <c r="IVX1331" s="4" t="s">
        <v>2875</v>
      </c>
      <c r="IVY1331" s="4" t="s">
        <v>2875</v>
      </c>
      <c r="IVZ1331" s="4" t="s">
        <v>2875</v>
      </c>
      <c r="IWA1331" s="4" t="s">
        <v>2875</v>
      </c>
      <c r="IWB1331" s="4" t="s">
        <v>2875</v>
      </c>
      <c r="IWC1331" s="4" t="s">
        <v>2875</v>
      </c>
      <c r="IWD1331" s="4" t="s">
        <v>2875</v>
      </c>
      <c r="IWE1331" s="4" t="s">
        <v>2875</v>
      </c>
      <c r="IWF1331" s="4" t="s">
        <v>2875</v>
      </c>
      <c r="IWG1331" s="4" t="s">
        <v>2875</v>
      </c>
      <c r="IWH1331" s="4" t="s">
        <v>2875</v>
      </c>
      <c r="IWI1331" s="4" t="s">
        <v>2875</v>
      </c>
      <c r="IWJ1331" s="4" t="s">
        <v>2875</v>
      </c>
      <c r="IWK1331" s="4" t="s">
        <v>2875</v>
      </c>
      <c r="IWL1331" s="4" t="s">
        <v>2875</v>
      </c>
      <c r="IWM1331" s="4" t="s">
        <v>2875</v>
      </c>
      <c r="IWN1331" s="4" t="s">
        <v>2875</v>
      </c>
      <c r="IWO1331" s="4" t="s">
        <v>2875</v>
      </c>
      <c r="IWP1331" s="4" t="s">
        <v>2875</v>
      </c>
      <c r="IWQ1331" s="4" t="s">
        <v>2875</v>
      </c>
      <c r="IWR1331" s="4" t="s">
        <v>2875</v>
      </c>
      <c r="IWS1331" s="4" t="s">
        <v>2875</v>
      </c>
      <c r="IWT1331" s="4" t="s">
        <v>2875</v>
      </c>
      <c r="IWU1331" s="4" t="s">
        <v>2875</v>
      </c>
      <c r="IWV1331" s="4" t="s">
        <v>2875</v>
      </c>
      <c r="IWW1331" s="4" t="s">
        <v>2875</v>
      </c>
      <c r="IWX1331" s="4" t="s">
        <v>2875</v>
      </c>
      <c r="IWY1331" s="4" t="s">
        <v>2875</v>
      </c>
      <c r="IWZ1331" s="4" t="s">
        <v>2875</v>
      </c>
      <c r="IXA1331" s="4" t="s">
        <v>2875</v>
      </c>
      <c r="IXB1331" s="4" t="s">
        <v>2875</v>
      </c>
      <c r="IXC1331" s="4" t="s">
        <v>2875</v>
      </c>
      <c r="IXD1331" s="4" t="s">
        <v>2875</v>
      </c>
      <c r="IXE1331" s="4" t="s">
        <v>2875</v>
      </c>
      <c r="IXF1331" s="4" t="s">
        <v>2875</v>
      </c>
      <c r="IXG1331" s="4" t="s">
        <v>2875</v>
      </c>
      <c r="IXH1331" s="4" t="s">
        <v>2875</v>
      </c>
      <c r="IXI1331" s="4" t="s">
        <v>2875</v>
      </c>
      <c r="IXJ1331" s="4" t="s">
        <v>2875</v>
      </c>
      <c r="IXK1331" s="4" t="s">
        <v>2875</v>
      </c>
      <c r="IXL1331" s="4" t="s">
        <v>2875</v>
      </c>
      <c r="IXM1331" s="4" t="s">
        <v>2875</v>
      </c>
      <c r="IXN1331" s="4" t="s">
        <v>2875</v>
      </c>
      <c r="IXO1331" s="4" t="s">
        <v>2875</v>
      </c>
      <c r="IXP1331" s="4" t="s">
        <v>2875</v>
      </c>
      <c r="IXQ1331" s="4" t="s">
        <v>2875</v>
      </c>
      <c r="IXR1331" s="4" t="s">
        <v>2875</v>
      </c>
      <c r="IXS1331" s="4" t="s">
        <v>2875</v>
      </c>
      <c r="IXT1331" s="4" t="s">
        <v>2875</v>
      </c>
      <c r="IXU1331" s="4" t="s">
        <v>2875</v>
      </c>
      <c r="IXV1331" s="4" t="s">
        <v>2875</v>
      </c>
      <c r="IXW1331" s="4" t="s">
        <v>2875</v>
      </c>
      <c r="IXX1331" s="4" t="s">
        <v>2875</v>
      </c>
      <c r="IXY1331" s="4" t="s">
        <v>2875</v>
      </c>
      <c r="IXZ1331" s="4" t="s">
        <v>2875</v>
      </c>
      <c r="IYA1331" s="4" t="s">
        <v>2875</v>
      </c>
      <c r="IYB1331" s="4" t="s">
        <v>2875</v>
      </c>
      <c r="IYC1331" s="4" t="s">
        <v>2875</v>
      </c>
      <c r="IYD1331" s="4" t="s">
        <v>2875</v>
      </c>
      <c r="IYE1331" s="4" t="s">
        <v>2875</v>
      </c>
      <c r="IYF1331" s="4" t="s">
        <v>2875</v>
      </c>
      <c r="IYG1331" s="4" t="s">
        <v>2875</v>
      </c>
      <c r="IYH1331" s="4" t="s">
        <v>2875</v>
      </c>
      <c r="IYI1331" s="4" t="s">
        <v>2875</v>
      </c>
      <c r="IYJ1331" s="4" t="s">
        <v>2875</v>
      </c>
      <c r="IYK1331" s="4" t="s">
        <v>2875</v>
      </c>
      <c r="IYL1331" s="4" t="s">
        <v>2875</v>
      </c>
      <c r="IYM1331" s="4" t="s">
        <v>2875</v>
      </c>
      <c r="IYN1331" s="4" t="s">
        <v>2875</v>
      </c>
      <c r="IYO1331" s="4" t="s">
        <v>2875</v>
      </c>
      <c r="IYP1331" s="4" t="s">
        <v>2875</v>
      </c>
      <c r="IYQ1331" s="4" t="s">
        <v>2875</v>
      </c>
      <c r="IYR1331" s="4" t="s">
        <v>2875</v>
      </c>
      <c r="IYS1331" s="4" t="s">
        <v>2875</v>
      </c>
      <c r="IYT1331" s="4" t="s">
        <v>2875</v>
      </c>
      <c r="IYU1331" s="4" t="s">
        <v>2875</v>
      </c>
      <c r="IYV1331" s="4" t="s">
        <v>2875</v>
      </c>
      <c r="IYW1331" s="4" t="s">
        <v>2875</v>
      </c>
      <c r="IYX1331" s="4" t="s">
        <v>2875</v>
      </c>
      <c r="IYY1331" s="4" t="s">
        <v>2875</v>
      </c>
      <c r="IYZ1331" s="4" t="s">
        <v>2875</v>
      </c>
      <c r="IZA1331" s="4" t="s">
        <v>2875</v>
      </c>
      <c r="IZB1331" s="4" t="s">
        <v>2875</v>
      </c>
      <c r="IZC1331" s="4" t="s">
        <v>2875</v>
      </c>
      <c r="IZD1331" s="4" t="s">
        <v>2875</v>
      </c>
      <c r="IZE1331" s="4" t="s">
        <v>2875</v>
      </c>
      <c r="IZF1331" s="4" t="s">
        <v>2875</v>
      </c>
      <c r="IZG1331" s="4" t="s">
        <v>2875</v>
      </c>
      <c r="IZH1331" s="4" t="s">
        <v>2875</v>
      </c>
      <c r="IZI1331" s="4" t="s">
        <v>2875</v>
      </c>
      <c r="IZJ1331" s="4" t="s">
        <v>2875</v>
      </c>
      <c r="IZK1331" s="4" t="s">
        <v>2875</v>
      </c>
      <c r="IZL1331" s="4" t="s">
        <v>2875</v>
      </c>
      <c r="IZM1331" s="4" t="s">
        <v>2875</v>
      </c>
      <c r="IZN1331" s="4" t="s">
        <v>2875</v>
      </c>
      <c r="IZO1331" s="4" t="s">
        <v>2875</v>
      </c>
      <c r="IZP1331" s="4" t="s">
        <v>2875</v>
      </c>
      <c r="IZQ1331" s="4" t="s">
        <v>2875</v>
      </c>
      <c r="IZR1331" s="4" t="s">
        <v>2875</v>
      </c>
      <c r="IZS1331" s="4" t="s">
        <v>2875</v>
      </c>
      <c r="IZT1331" s="4" t="s">
        <v>2875</v>
      </c>
      <c r="IZU1331" s="4" t="s">
        <v>2875</v>
      </c>
      <c r="IZV1331" s="4" t="s">
        <v>2875</v>
      </c>
      <c r="IZW1331" s="4" t="s">
        <v>2875</v>
      </c>
      <c r="IZX1331" s="4" t="s">
        <v>2875</v>
      </c>
      <c r="IZY1331" s="4" t="s">
        <v>2875</v>
      </c>
      <c r="IZZ1331" s="4" t="s">
        <v>2875</v>
      </c>
      <c r="JAA1331" s="4" t="s">
        <v>2875</v>
      </c>
      <c r="JAB1331" s="4" t="s">
        <v>2875</v>
      </c>
      <c r="JAC1331" s="4" t="s">
        <v>2875</v>
      </c>
      <c r="JAD1331" s="4" t="s">
        <v>2875</v>
      </c>
      <c r="JAE1331" s="4" t="s">
        <v>2875</v>
      </c>
      <c r="JAF1331" s="4" t="s">
        <v>2875</v>
      </c>
      <c r="JAG1331" s="4" t="s">
        <v>2875</v>
      </c>
      <c r="JAH1331" s="4" t="s">
        <v>2875</v>
      </c>
      <c r="JAI1331" s="4" t="s">
        <v>2875</v>
      </c>
      <c r="JAJ1331" s="4" t="s">
        <v>2875</v>
      </c>
      <c r="JAK1331" s="4" t="s">
        <v>2875</v>
      </c>
      <c r="JAL1331" s="4" t="s">
        <v>2875</v>
      </c>
      <c r="JAM1331" s="4" t="s">
        <v>2875</v>
      </c>
      <c r="JAN1331" s="4" t="s">
        <v>2875</v>
      </c>
      <c r="JAO1331" s="4" t="s">
        <v>2875</v>
      </c>
      <c r="JAP1331" s="4" t="s">
        <v>2875</v>
      </c>
      <c r="JAQ1331" s="4" t="s">
        <v>2875</v>
      </c>
      <c r="JAR1331" s="4" t="s">
        <v>2875</v>
      </c>
      <c r="JAS1331" s="4" t="s">
        <v>2875</v>
      </c>
      <c r="JAT1331" s="4" t="s">
        <v>2875</v>
      </c>
      <c r="JAU1331" s="4" t="s">
        <v>2875</v>
      </c>
      <c r="JAV1331" s="4" t="s">
        <v>2875</v>
      </c>
      <c r="JAW1331" s="4" t="s">
        <v>2875</v>
      </c>
      <c r="JAX1331" s="4" t="s">
        <v>2875</v>
      </c>
      <c r="JAY1331" s="4" t="s">
        <v>2875</v>
      </c>
      <c r="JAZ1331" s="4" t="s">
        <v>2875</v>
      </c>
      <c r="JBA1331" s="4" t="s">
        <v>2875</v>
      </c>
      <c r="JBB1331" s="4" t="s">
        <v>2875</v>
      </c>
      <c r="JBC1331" s="4" t="s">
        <v>2875</v>
      </c>
      <c r="JBD1331" s="4" t="s">
        <v>2875</v>
      </c>
      <c r="JBE1331" s="4" t="s">
        <v>2875</v>
      </c>
      <c r="JBF1331" s="4" t="s">
        <v>2875</v>
      </c>
      <c r="JBG1331" s="4" t="s">
        <v>2875</v>
      </c>
      <c r="JBH1331" s="4" t="s">
        <v>2875</v>
      </c>
      <c r="JBI1331" s="4" t="s">
        <v>2875</v>
      </c>
      <c r="JBJ1331" s="4" t="s">
        <v>2875</v>
      </c>
      <c r="JBK1331" s="4" t="s">
        <v>2875</v>
      </c>
      <c r="JBL1331" s="4" t="s">
        <v>2875</v>
      </c>
      <c r="JBM1331" s="4" t="s">
        <v>2875</v>
      </c>
      <c r="JBN1331" s="4" t="s">
        <v>2875</v>
      </c>
      <c r="JBO1331" s="4" t="s">
        <v>2875</v>
      </c>
      <c r="JBP1331" s="4" t="s">
        <v>2875</v>
      </c>
      <c r="JBQ1331" s="4" t="s">
        <v>2875</v>
      </c>
      <c r="JBR1331" s="4" t="s">
        <v>2875</v>
      </c>
      <c r="JBS1331" s="4" t="s">
        <v>2875</v>
      </c>
      <c r="JBT1331" s="4" t="s">
        <v>2875</v>
      </c>
      <c r="JBU1331" s="4" t="s">
        <v>2875</v>
      </c>
      <c r="JBV1331" s="4" t="s">
        <v>2875</v>
      </c>
      <c r="JBW1331" s="4" t="s">
        <v>2875</v>
      </c>
      <c r="JBX1331" s="4" t="s">
        <v>2875</v>
      </c>
      <c r="JBY1331" s="4" t="s">
        <v>2875</v>
      </c>
      <c r="JBZ1331" s="4" t="s">
        <v>2875</v>
      </c>
      <c r="JCA1331" s="4" t="s">
        <v>2875</v>
      </c>
      <c r="JCB1331" s="4" t="s">
        <v>2875</v>
      </c>
      <c r="JCC1331" s="4" t="s">
        <v>2875</v>
      </c>
      <c r="JCD1331" s="4" t="s">
        <v>2875</v>
      </c>
      <c r="JCE1331" s="4" t="s">
        <v>2875</v>
      </c>
      <c r="JCF1331" s="4" t="s">
        <v>2875</v>
      </c>
      <c r="JCG1331" s="4" t="s">
        <v>2875</v>
      </c>
      <c r="JCH1331" s="4" t="s">
        <v>2875</v>
      </c>
      <c r="JCI1331" s="4" t="s">
        <v>2875</v>
      </c>
      <c r="JCJ1331" s="4" t="s">
        <v>2875</v>
      </c>
      <c r="JCK1331" s="4" t="s">
        <v>2875</v>
      </c>
      <c r="JCL1331" s="4" t="s">
        <v>2875</v>
      </c>
      <c r="JCM1331" s="4" t="s">
        <v>2875</v>
      </c>
      <c r="JCN1331" s="4" t="s">
        <v>2875</v>
      </c>
      <c r="JCO1331" s="4" t="s">
        <v>2875</v>
      </c>
      <c r="JCP1331" s="4" t="s">
        <v>2875</v>
      </c>
      <c r="JCQ1331" s="4" t="s">
        <v>2875</v>
      </c>
      <c r="JCR1331" s="4" t="s">
        <v>2875</v>
      </c>
      <c r="JCS1331" s="4" t="s">
        <v>2875</v>
      </c>
      <c r="JCT1331" s="4" t="s">
        <v>2875</v>
      </c>
      <c r="JCU1331" s="4" t="s">
        <v>2875</v>
      </c>
      <c r="JCV1331" s="4" t="s">
        <v>2875</v>
      </c>
      <c r="JCW1331" s="4" t="s">
        <v>2875</v>
      </c>
      <c r="JCX1331" s="4" t="s">
        <v>2875</v>
      </c>
      <c r="JCY1331" s="4" t="s">
        <v>2875</v>
      </c>
      <c r="JCZ1331" s="4" t="s">
        <v>2875</v>
      </c>
      <c r="JDA1331" s="4" t="s">
        <v>2875</v>
      </c>
      <c r="JDB1331" s="4" t="s">
        <v>2875</v>
      </c>
      <c r="JDC1331" s="4" t="s">
        <v>2875</v>
      </c>
      <c r="JDD1331" s="4" t="s">
        <v>2875</v>
      </c>
      <c r="JDE1331" s="4" t="s">
        <v>2875</v>
      </c>
      <c r="JDF1331" s="4" t="s">
        <v>2875</v>
      </c>
      <c r="JDG1331" s="4" t="s">
        <v>2875</v>
      </c>
      <c r="JDH1331" s="4" t="s">
        <v>2875</v>
      </c>
      <c r="JDI1331" s="4" t="s">
        <v>2875</v>
      </c>
      <c r="JDJ1331" s="4" t="s">
        <v>2875</v>
      </c>
      <c r="JDK1331" s="4" t="s">
        <v>2875</v>
      </c>
      <c r="JDL1331" s="4" t="s">
        <v>2875</v>
      </c>
      <c r="JDM1331" s="4" t="s">
        <v>2875</v>
      </c>
      <c r="JDN1331" s="4" t="s">
        <v>2875</v>
      </c>
      <c r="JDO1331" s="4" t="s">
        <v>2875</v>
      </c>
      <c r="JDP1331" s="4" t="s">
        <v>2875</v>
      </c>
      <c r="JDQ1331" s="4" t="s">
        <v>2875</v>
      </c>
      <c r="JDR1331" s="4" t="s">
        <v>2875</v>
      </c>
      <c r="JDS1331" s="4" t="s">
        <v>2875</v>
      </c>
      <c r="JDT1331" s="4" t="s">
        <v>2875</v>
      </c>
      <c r="JDU1331" s="4" t="s">
        <v>2875</v>
      </c>
      <c r="JDV1331" s="4" t="s">
        <v>2875</v>
      </c>
      <c r="JDW1331" s="4" t="s">
        <v>2875</v>
      </c>
      <c r="JDX1331" s="4" t="s">
        <v>2875</v>
      </c>
      <c r="JDY1331" s="4" t="s">
        <v>2875</v>
      </c>
      <c r="JDZ1331" s="4" t="s">
        <v>2875</v>
      </c>
      <c r="JEA1331" s="4" t="s">
        <v>2875</v>
      </c>
      <c r="JEB1331" s="4" t="s">
        <v>2875</v>
      </c>
      <c r="JEC1331" s="4" t="s">
        <v>2875</v>
      </c>
      <c r="JED1331" s="4" t="s">
        <v>2875</v>
      </c>
      <c r="JEE1331" s="4" t="s">
        <v>2875</v>
      </c>
      <c r="JEF1331" s="4" t="s">
        <v>2875</v>
      </c>
      <c r="JEG1331" s="4" t="s">
        <v>2875</v>
      </c>
      <c r="JEH1331" s="4" t="s">
        <v>2875</v>
      </c>
      <c r="JEI1331" s="4" t="s">
        <v>2875</v>
      </c>
      <c r="JEJ1331" s="4" t="s">
        <v>2875</v>
      </c>
      <c r="JEK1331" s="4" t="s">
        <v>2875</v>
      </c>
      <c r="JEL1331" s="4" t="s">
        <v>2875</v>
      </c>
      <c r="JEM1331" s="4" t="s">
        <v>2875</v>
      </c>
      <c r="JEN1331" s="4" t="s">
        <v>2875</v>
      </c>
      <c r="JEO1331" s="4" t="s">
        <v>2875</v>
      </c>
      <c r="JEP1331" s="4" t="s">
        <v>2875</v>
      </c>
      <c r="JEQ1331" s="4" t="s">
        <v>2875</v>
      </c>
      <c r="JER1331" s="4" t="s">
        <v>2875</v>
      </c>
      <c r="JES1331" s="4" t="s">
        <v>2875</v>
      </c>
      <c r="JET1331" s="4" t="s">
        <v>2875</v>
      </c>
      <c r="JEU1331" s="4" t="s">
        <v>2875</v>
      </c>
      <c r="JEV1331" s="4" t="s">
        <v>2875</v>
      </c>
      <c r="JEW1331" s="4" t="s">
        <v>2875</v>
      </c>
      <c r="JEX1331" s="4" t="s">
        <v>2875</v>
      </c>
      <c r="JEY1331" s="4" t="s">
        <v>2875</v>
      </c>
      <c r="JEZ1331" s="4" t="s">
        <v>2875</v>
      </c>
      <c r="JFA1331" s="4" t="s">
        <v>2875</v>
      </c>
      <c r="JFB1331" s="4" t="s">
        <v>2875</v>
      </c>
      <c r="JFC1331" s="4" t="s">
        <v>2875</v>
      </c>
      <c r="JFD1331" s="4" t="s">
        <v>2875</v>
      </c>
      <c r="JFE1331" s="4" t="s">
        <v>2875</v>
      </c>
      <c r="JFF1331" s="4" t="s">
        <v>2875</v>
      </c>
      <c r="JFG1331" s="4" t="s">
        <v>2875</v>
      </c>
      <c r="JFH1331" s="4" t="s">
        <v>2875</v>
      </c>
      <c r="JFI1331" s="4" t="s">
        <v>2875</v>
      </c>
      <c r="JFJ1331" s="4" t="s">
        <v>2875</v>
      </c>
      <c r="JFK1331" s="4" t="s">
        <v>2875</v>
      </c>
      <c r="JFL1331" s="4" t="s">
        <v>2875</v>
      </c>
      <c r="JFM1331" s="4" t="s">
        <v>2875</v>
      </c>
      <c r="JFN1331" s="4" t="s">
        <v>2875</v>
      </c>
      <c r="JFO1331" s="4" t="s">
        <v>2875</v>
      </c>
      <c r="JFP1331" s="4" t="s">
        <v>2875</v>
      </c>
      <c r="JFQ1331" s="4" t="s">
        <v>2875</v>
      </c>
      <c r="JFR1331" s="4" t="s">
        <v>2875</v>
      </c>
      <c r="JFS1331" s="4" t="s">
        <v>2875</v>
      </c>
      <c r="JFT1331" s="4" t="s">
        <v>2875</v>
      </c>
      <c r="JFU1331" s="4" t="s">
        <v>2875</v>
      </c>
      <c r="JFV1331" s="4" t="s">
        <v>2875</v>
      </c>
      <c r="JFW1331" s="4" t="s">
        <v>2875</v>
      </c>
      <c r="JFX1331" s="4" t="s">
        <v>2875</v>
      </c>
      <c r="JFY1331" s="4" t="s">
        <v>2875</v>
      </c>
      <c r="JFZ1331" s="4" t="s">
        <v>2875</v>
      </c>
      <c r="JGA1331" s="4" t="s">
        <v>2875</v>
      </c>
      <c r="JGB1331" s="4" t="s">
        <v>2875</v>
      </c>
      <c r="JGC1331" s="4" t="s">
        <v>2875</v>
      </c>
      <c r="JGD1331" s="4" t="s">
        <v>2875</v>
      </c>
      <c r="JGE1331" s="4" t="s">
        <v>2875</v>
      </c>
      <c r="JGF1331" s="4" t="s">
        <v>2875</v>
      </c>
      <c r="JGG1331" s="4" t="s">
        <v>2875</v>
      </c>
      <c r="JGH1331" s="4" t="s">
        <v>2875</v>
      </c>
      <c r="JGI1331" s="4" t="s">
        <v>2875</v>
      </c>
      <c r="JGJ1331" s="4" t="s">
        <v>2875</v>
      </c>
      <c r="JGK1331" s="4" t="s">
        <v>2875</v>
      </c>
      <c r="JGL1331" s="4" t="s">
        <v>2875</v>
      </c>
      <c r="JGM1331" s="4" t="s">
        <v>2875</v>
      </c>
      <c r="JGN1331" s="4" t="s">
        <v>2875</v>
      </c>
      <c r="JGO1331" s="4" t="s">
        <v>2875</v>
      </c>
      <c r="JGP1331" s="4" t="s">
        <v>2875</v>
      </c>
      <c r="JGQ1331" s="4" t="s">
        <v>2875</v>
      </c>
      <c r="JGR1331" s="4" t="s">
        <v>2875</v>
      </c>
      <c r="JGS1331" s="4" t="s">
        <v>2875</v>
      </c>
      <c r="JGT1331" s="4" t="s">
        <v>2875</v>
      </c>
      <c r="JGU1331" s="4" t="s">
        <v>2875</v>
      </c>
      <c r="JGV1331" s="4" t="s">
        <v>2875</v>
      </c>
      <c r="JGW1331" s="4" t="s">
        <v>2875</v>
      </c>
      <c r="JGX1331" s="4" t="s">
        <v>2875</v>
      </c>
      <c r="JGY1331" s="4" t="s">
        <v>2875</v>
      </c>
      <c r="JGZ1331" s="4" t="s">
        <v>2875</v>
      </c>
      <c r="JHA1331" s="4" t="s">
        <v>2875</v>
      </c>
      <c r="JHB1331" s="4" t="s">
        <v>2875</v>
      </c>
      <c r="JHC1331" s="4" t="s">
        <v>2875</v>
      </c>
      <c r="JHD1331" s="4" t="s">
        <v>2875</v>
      </c>
      <c r="JHE1331" s="4" t="s">
        <v>2875</v>
      </c>
      <c r="JHF1331" s="4" t="s">
        <v>2875</v>
      </c>
      <c r="JHG1331" s="4" t="s">
        <v>2875</v>
      </c>
      <c r="JHH1331" s="4" t="s">
        <v>2875</v>
      </c>
      <c r="JHI1331" s="4" t="s">
        <v>2875</v>
      </c>
      <c r="JHJ1331" s="4" t="s">
        <v>2875</v>
      </c>
      <c r="JHK1331" s="4" t="s">
        <v>2875</v>
      </c>
      <c r="JHL1331" s="4" t="s">
        <v>2875</v>
      </c>
      <c r="JHM1331" s="4" t="s">
        <v>2875</v>
      </c>
      <c r="JHN1331" s="4" t="s">
        <v>2875</v>
      </c>
      <c r="JHO1331" s="4" t="s">
        <v>2875</v>
      </c>
      <c r="JHP1331" s="4" t="s">
        <v>2875</v>
      </c>
      <c r="JHQ1331" s="4" t="s">
        <v>2875</v>
      </c>
      <c r="JHR1331" s="4" t="s">
        <v>2875</v>
      </c>
      <c r="JHS1331" s="4" t="s">
        <v>2875</v>
      </c>
      <c r="JHT1331" s="4" t="s">
        <v>2875</v>
      </c>
      <c r="JHU1331" s="4" t="s">
        <v>2875</v>
      </c>
      <c r="JHV1331" s="4" t="s">
        <v>2875</v>
      </c>
      <c r="JHW1331" s="4" t="s">
        <v>2875</v>
      </c>
      <c r="JHX1331" s="4" t="s">
        <v>2875</v>
      </c>
      <c r="JHY1331" s="4" t="s">
        <v>2875</v>
      </c>
      <c r="JHZ1331" s="4" t="s">
        <v>2875</v>
      </c>
      <c r="JIA1331" s="4" t="s">
        <v>2875</v>
      </c>
      <c r="JIB1331" s="4" t="s">
        <v>2875</v>
      </c>
      <c r="JIC1331" s="4" t="s">
        <v>2875</v>
      </c>
      <c r="JID1331" s="4" t="s">
        <v>2875</v>
      </c>
      <c r="JIE1331" s="4" t="s">
        <v>2875</v>
      </c>
      <c r="JIF1331" s="4" t="s">
        <v>2875</v>
      </c>
      <c r="JIG1331" s="4" t="s">
        <v>2875</v>
      </c>
      <c r="JIH1331" s="4" t="s">
        <v>2875</v>
      </c>
      <c r="JII1331" s="4" t="s">
        <v>2875</v>
      </c>
      <c r="JIJ1331" s="4" t="s">
        <v>2875</v>
      </c>
      <c r="JIK1331" s="4" t="s">
        <v>2875</v>
      </c>
      <c r="JIL1331" s="4" t="s">
        <v>2875</v>
      </c>
      <c r="JIM1331" s="4" t="s">
        <v>2875</v>
      </c>
      <c r="JIN1331" s="4" t="s">
        <v>2875</v>
      </c>
      <c r="JIO1331" s="4" t="s">
        <v>2875</v>
      </c>
      <c r="JIP1331" s="4" t="s">
        <v>2875</v>
      </c>
      <c r="JIQ1331" s="4" t="s">
        <v>2875</v>
      </c>
      <c r="JIR1331" s="4" t="s">
        <v>2875</v>
      </c>
      <c r="JIS1331" s="4" t="s">
        <v>2875</v>
      </c>
      <c r="JIT1331" s="4" t="s">
        <v>2875</v>
      </c>
      <c r="JIU1331" s="4" t="s">
        <v>2875</v>
      </c>
      <c r="JIV1331" s="4" t="s">
        <v>2875</v>
      </c>
      <c r="JIW1331" s="4" t="s">
        <v>2875</v>
      </c>
      <c r="JIX1331" s="4" t="s">
        <v>2875</v>
      </c>
      <c r="JIY1331" s="4" t="s">
        <v>2875</v>
      </c>
      <c r="JIZ1331" s="4" t="s">
        <v>2875</v>
      </c>
      <c r="JJA1331" s="4" t="s">
        <v>2875</v>
      </c>
      <c r="JJB1331" s="4" t="s">
        <v>2875</v>
      </c>
      <c r="JJC1331" s="4" t="s">
        <v>2875</v>
      </c>
      <c r="JJD1331" s="4" t="s">
        <v>2875</v>
      </c>
      <c r="JJE1331" s="4" t="s">
        <v>2875</v>
      </c>
      <c r="JJF1331" s="4" t="s">
        <v>2875</v>
      </c>
      <c r="JJG1331" s="4" t="s">
        <v>2875</v>
      </c>
      <c r="JJH1331" s="4" t="s">
        <v>2875</v>
      </c>
      <c r="JJI1331" s="4" t="s">
        <v>2875</v>
      </c>
      <c r="JJJ1331" s="4" t="s">
        <v>2875</v>
      </c>
      <c r="JJK1331" s="4" t="s">
        <v>2875</v>
      </c>
      <c r="JJL1331" s="4" t="s">
        <v>2875</v>
      </c>
      <c r="JJM1331" s="4" t="s">
        <v>2875</v>
      </c>
      <c r="JJN1331" s="4" t="s">
        <v>2875</v>
      </c>
      <c r="JJO1331" s="4" t="s">
        <v>2875</v>
      </c>
      <c r="JJP1331" s="4" t="s">
        <v>2875</v>
      </c>
      <c r="JJQ1331" s="4" t="s">
        <v>2875</v>
      </c>
      <c r="JJR1331" s="4" t="s">
        <v>2875</v>
      </c>
      <c r="JJS1331" s="4" t="s">
        <v>2875</v>
      </c>
      <c r="JJT1331" s="4" t="s">
        <v>2875</v>
      </c>
      <c r="JJU1331" s="4" t="s">
        <v>2875</v>
      </c>
      <c r="JJV1331" s="4" t="s">
        <v>2875</v>
      </c>
      <c r="JJW1331" s="4" t="s">
        <v>2875</v>
      </c>
      <c r="JJX1331" s="4" t="s">
        <v>2875</v>
      </c>
      <c r="JJY1331" s="4" t="s">
        <v>2875</v>
      </c>
      <c r="JJZ1331" s="4" t="s">
        <v>2875</v>
      </c>
      <c r="JKA1331" s="4" t="s">
        <v>2875</v>
      </c>
      <c r="JKB1331" s="4" t="s">
        <v>2875</v>
      </c>
      <c r="JKC1331" s="4" t="s">
        <v>2875</v>
      </c>
      <c r="JKD1331" s="4" t="s">
        <v>2875</v>
      </c>
      <c r="JKE1331" s="4" t="s">
        <v>2875</v>
      </c>
      <c r="JKF1331" s="4" t="s">
        <v>2875</v>
      </c>
      <c r="JKG1331" s="4" t="s">
        <v>2875</v>
      </c>
      <c r="JKH1331" s="4" t="s">
        <v>2875</v>
      </c>
      <c r="JKI1331" s="4" t="s">
        <v>2875</v>
      </c>
      <c r="JKJ1331" s="4" t="s">
        <v>2875</v>
      </c>
      <c r="JKK1331" s="4" t="s">
        <v>2875</v>
      </c>
      <c r="JKL1331" s="4" t="s">
        <v>2875</v>
      </c>
      <c r="JKM1331" s="4" t="s">
        <v>2875</v>
      </c>
      <c r="JKN1331" s="4" t="s">
        <v>2875</v>
      </c>
      <c r="JKO1331" s="4" t="s">
        <v>2875</v>
      </c>
      <c r="JKP1331" s="4" t="s">
        <v>2875</v>
      </c>
      <c r="JKQ1331" s="4" t="s">
        <v>2875</v>
      </c>
      <c r="JKR1331" s="4" t="s">
        <v>2875</v>
      </c>
      <c r="JKS1331" s="4" t="s">
        <v>2875</v>
      </c>
      <c r="JKT1331" s="4" t="s">
        <v>2875</v>
      </c>
      <c r="JKU1331" s="4" t="s">
        <v>2875</v>
      </c>
      <c r="JKV1331" s="4" t="s">
        <v>2875</v>
      </c>
      <c r="JKW1331" s="4" t="s">
        <v>2875</v>
      </c>
      <c r="JKX1331" s="4" t="s">
        <v>2875</v>
      </c>
      <c r="JKY1331" s="4" t="s">
        <v>2875</v>
      </c>
      <c r="JKZ1331" s="4" t="s">
        <v>2875</v>
      </c>
      <c r="JLA1331" s="4" t="s">
        <v>2875</v>
      </c>
      <c r="JLB1331" s="4" t="s">
        <v>2875</v>
      </c>
      <c r="JLC1331" s="4" t="s">
        <v>2875</v>
      </c>
      <c r="JLD1331" s="4" t="s">
        <v>2875</v>
      </c>
      <c r="JLE1331" s="4" t="s">
        <v>2875</v>
      </c>
      <c r="JLF1331" s="4" t="s">
        <v>2875</v>
      </c>
      <c r="JLG1331" s="4" t="s">
        <v>2875</v>
      </c>
      <c r="JLH1331" s="4" t="s">
        <v>2875</v>
      </c>
      <c r="JLI1331" s="4" t="s">
        <v>2875</v>
      </c>
      <c r="JLJ1331" s="4" t="s">
        <v>2875</v>
      </c>
      <c r="JLK1331" s="4" t="s">
        <v>2875</v>
      </c>
      <c r="JLL1331" s="4" t="s">
        <v>2875</v>
      </c>
      <c r="JLM1331" s="4" t="s">
        <v>2875</v>
      </c>
      <c r="JLN1331" s="4" t="s">
        <v>2875</v>
      </c>
      <c r="JLO1331" s="4" t="s">
        <v>2875</v>
      </c>
      <c r="JLP1331" s="4" t="s">
        <v>2875</v>
      </c>
      <c r="JLQ1331" s="4" t="s">
        <v>2875</v>
      </c>
      <c r="JLR1331" s="4" t="s">
        <v>2875</v>
      </c>
      <c r="JLS1331" s="4" t="s">
        <v>2875</v>
      </c>
      <c r="JLT1331" s="4" t="s">
        <v>2875</v>
      </c>
      <c r="JLU1331" s="4" t="s">
        <v>2875</v>
      </c>
      <c r="JLV1331" s="4" t="s">
        <v>2875</v>
      </c>
      <c r="JLW1331" s="4" t="s">
        <v>2875</v>
      </c>
      <c r="JLX1331" s="4" t="s">
        <v>2875</v>
      </c>
      <c r="JLY1331" s="4" t="s">
        <v>2875</v>
      </c>
      <c r="JLZ1331" s="4" t="s">
        <v>2875</v>
      </c>
      <c r="JMA1331" s="4" t="s">
        <v>2875</v>
      </c>
      <c r="JMB1331" s="4" t="s">
        <v>2875</v>
      </c>
      <c r="JMC1331" s="4" t="s">
        <v>2875</v>
      </c>
      <c r="JMD1331" s="4" t="s">
        <v>2875</v>
      </c>
      <c r="JME1331" s="4" t="s">
        <v>2875</v>
      </c>
      <c r="JMF1331" s="4" t="s">
        <v>2875</v>
      </c>
      <c r="JMG1331" s="4" t="s">
        <v>2875</v>
      </c>
      <c r="JMH1331" s="4" t="s">
        <v>2875</v>
      </c>
      <c r="JMI1331" s="4" t="s">
        <v>2875</v>
      </c>
      <c r="JMJ1331" s="4" t="s">
        <v>2875</v>
      </c>
      <c r="JMK1331" s="4" t="s">
        <v>2875</v>
      </c>
      <c r="JML1331" s="4" t="s">
        <v>2875</v>
      </c>
      <c r="JMM1331" s="4" t="s">
        <v>2875</v>
      </c>
      <c r="JMN1331" s="4" t="s">
        <v>2875</v>
      </c>
      <c r="JMO1331" s="4" t="s">
        <v>2875</v>
      </c>
      <c r="JMP1331" s="4" t="s">
        <v>2875</v>
      </c>
      <c r="JMQ1331" s="4" t="s">
        <v>2875</v>
      </c>
      <c r="JMR1331" s="4" t="s">
        <v>2875</v>
      </c>
      <c r="JMS1331" s="4" t="s">
        <v>2875</v>
      </c>
      <c r="JMT1331" s="4" t="s">
        <v>2875</v>
      </c>
      <c r="JMU1331" s="4" t="s">
        <v>2875</v>
      </c>
      <c r="JMV1331" s="4" t="s">
        <v>2875</v>
      </c>
      <c r="JMW1331" s="4" t="s">
        <v>2875</v>
      </c>
      <c r="JMX1331" s="4" t="s">
        <v>2875</v>
      </c>
      <c r="JMY1331" s="4" t="s">
        <v>2875</v>
      </c>
      <c r="JMZ1331" s="4" t="s">
        <v>2875</v>
      </c>
      <c r="JNA1331" s="4" t="s">
        <v>2875</v>
      </c>
      <c r="JNB1331" s="4" t="s">
        <v>2875</v>
      </c>
      <c r="JNC1331" s="4" t="s">
        <v>2875</v>
      </c>
      <c r="JND1331" s="4" t="s">
        <v>2875</v>
      </c>
      <c r="JNE1331" s="4" t="s">
        <v>2875</v>
      </c>
      <c r="JNF1331" s="4" t="s">
        <v>2875</v>
      </c>
      <c r="JNG1331" s="4" t="s">
        <v>2875</v>
      </c>
      <c r="JNH1331" s="4" t="s">
        <v>2875</v>
      </c>
      <c r="JNI1331" s="4" t="s">
        <v>2875</v>
      </c>
      <c r="JNJ1331" s="4" t="s">
        <v>2875</v>
      </c>
      <c r="JNK1331" s="4" t="s">
        <v>2875</v>
      </c>
      <c r="JNL1331" s="4" t="s">
        <v>2875</v>
      </c>
      <c r="JNM1331" s="4" t="s">
        <v>2875</v>
      </c>
      <c r="JNN1331" s="4" t="s">
        <v>2875</v>
      </c>
      <c r="JNO1331" s="4" t="s">
        <v>2875</v>
      </c>
      <c r="JNP1331" s="4" t="s">
        <v>2875</v>
      </c>
      <c r="JNQ1331" s="4" t="s">
        <v>2875</v>
      </c>
      <c r="JNR1331" s="4" t="s">
        <v>2875</v>
      </c>
      <c r="JNS1331" s="4" t="s">
        <v>2875</v>
      </c>
      <c r="JNT1331" s="4" t="s">
        <v>2875</v>
      </c>
      <c r="JNU1331" s="4" t="s">
        <v>2875</v>
      </c>
      <c r="JNV1331" s="4" t="s">
        <v>2875</v>
      </c>
      <c r="JNW1331" s="4" t="s">
        <v>2875</v>
      </c>
      <c r="JNX1331" s="4" t="s">
        <v>2875</v>
      </c>
      <c r="JNY1331" s="4" t="s">
        <v>2875</v>
      </c>
      <c r="JNZ1331" s="4" t="s">
        <v>2875</v>
      </c>
      <c r="JOA1331" s="4" t="s">
        <v>2875</v>
      </c>
      <c r="JOB1331" s="4" t="s">
        <v>2875</v>
      </c>
      <c r="JOC1331" s="4" t="s">
        <v>2875</v>
      </c>
      <c r="JOD1331" s="4" t="s">
        <v>2875</v>
      </c>
      <c r="JOE1331" s="4" t="s">
        <v>2875</v>
      </c>
      <c r="JOF1331" s="4" t="s">
        <v>2875</v>
      </c>
      <c r="JOG1331" s="4" t="s">
        <v>2875</v>
      </c>
      <c r="JOH1331" s="4" t="s">
        <v>2875</v>
      </c>
      <c r="JOI1331" s="4" t="s">
        <v>2875</v>
      </c>
      <c r="JOJ1331" s="4" t="s">
        <v>2875</v>
      </c>
      <c r="JOK1331" s="4" t="s">
        <v>2875</v>
      </c>
      <c r="JOL1331" s="4" t="s">
        <v>2875</v>
      </c>
      <c r="JOM1331" s="4" t="s">
        <v>2875</v>
      </c>
      <c r="JON1331" s="4" t="s">
        <v>2875</v>
      </c>
      <c r="JOO1331" s="4" t="s">
        <v>2875</v>
      </c>
      <c r="JOP1331" s="4" t="s">
        <v>2875</v>
      </c>
      <c r="JOQ1331" s="4" t="s">
        <v>2875</v>
      </c>
      <c r="JOR1331" s="4" t="s">
        <v>2875</v>
      </c>
      <c r="JOS1331" s="4" t="s">
        <v>2875</v>
      </c>
      <c r="JOT1331" s="4" t="s">
        <v>2875</v>
      </c>
      <c r="JOU1331" s="4" t="s">
        <v>2875</v>
      </c>
      <c r="JOV1331" s="4" t="s">
        <v>2875</v>
      </c>
      <c r="JOW1331" s="4" t="s">
        <v>2875</v>
      </c>
      <c r="JOX1331" s="4" t="s">
        <v>2875</v>
      </c>
      <c r="JOY1331" s="4" t="s">
        <v>2875</v>
      </c>
      <c r="JOZ1331" s="4" t="s">
        <v>2875</v>
      </c>
      <c r="JPA1331" s="4" t="s">
        <v>2875</v>
      </c>
      <c r="JPB1331" s="4" t="s">
        <v>2875</v>
      </c>
      <c r="JPC1331" s="4" t="s">
        <v>2875</v>
      </c>
      <c r="JPD1331" s="4" t="s">
        <v>2875</v>
      </c>
      <c r="JPE1331" s="4" t="s">
        <v>2875</v>
      </c>
      <c r="JPF1331" s="4" t="s">
        <v>2875</v>
      </c>
      <c r="JPG1331" s="4" t="s">
        <v>2875</v>
      </c>
      <c r="JPH1331" s="4" t="s">
        <v>2875</v>
      </c>
      <c r="JPI1331" s="4" t="s">
        <v>2875</v>
      </c>
      <c r="JPJ1331" s="4" t="s">
        <v>2875</v>
      </c>
      <c r="JPK1331" s="4" t="s">
        <v>2875</v>
      </c>
      <c r="JPL1331" s="4" t="s">
        <v>2875</v>
      </c>
      <c r="JPM1331" s="4" t="s">
        <v>2875</v>
      </c>
      <c r="JPN1331" s="4" t="s">
        <v>2875</v>
      </c>
      <c r="JPO1331" s="4" t="s">
        <v>2875</v>
      </c>
      <c r="JPP1331" s="4" t="s">
        <v>2875</v>
      </c>
      <c r="JPQ1331" s="4" t="s">
        <v>2875</v>
      </c>
      <c r="JPR1331" s="4" t="s">
        <v>2875</v>
      </c>
      <c r="JPS1331" s="4" t="s">
        <v>2875</v>
      </c>
      <c r="JPT1331" s="4" t="s">
        <v>2875</v>
      </c>
      <c r="JPU1331" s="4" t="s">
        <v>2875</v>
      </c>
      <c r="JPV1331" s="4" t="s">
        <v>2875</v>
      </c>
      <c r="JPW1331" s="4" t="s">
        <v>2875</v>
      </c>
      <c r="JPX1331" s="4" t="s">
        <v>2875</v>
      </c>
      <c r="JPY1331" s="4" t="s">
        <v>2875</v>
      </c>
      <c r="JPZ1331" s="4" t="s">
        <v>2875</v>
      </c>
      <c r="JQA1331" s="4" t="s">
        <v>2875</v>
      </c>
      <c r="JQB1331" s="4" t="s">
        <v>2875</v>
      </c>
      <c r="JQC1331" s="4" t="s">
        <v>2875</v>
      </c>
      <c r="JQD1331" s="4" t="s">
        <v>2875</v>
      </c>
      <c r="JQE1331" s="4" t="s">
        <v>2875</v>
      </c>
      <c r="JQF1331" s="4" t="s">
        <v>2875</v>
      </c>
      <c r="JQG1331" s="4" t="s">
        <v>2875</v>
      </c>
      <c r="JQH1331" s="4" t="s">
        <v>2875</v>
      </c>
      <c r="JQI1331" s="4" t="s">
        <v>2875</v>
      </c>
      <c r="JQJ1331" s="4" t="s">
        <v>2875</v>
      </c>
      <c r="JQK1331" s="4" t="s">
        <v>2875</v>
      </c>
      <c r="JQL1331" s="4" t="s">
        <v>2875</v>
      </c>
      <c r="JQM1331" s="4" t="s">
        <v>2875</v>
      </c>
      <c r="JQN1331" s="4" t="s">
        <v>2875</v>
      </c>
      <c r="JQO1331" s="4" t="s">
        <v>2875</v>
      </c>
      <c r="JQP1331" s="4" t="s">
        <v>2875</v>
      </c>
      <c r="JQQ1331" s="4" t="s">
        <v>2875</v>
      </c>
      <c r="JQR1331" s="4" t="s">
        <v>2875</v>
      </c>
      <c r="JQS1331" s="4" t="s">
        <v>2875</v>
      </c>
      <c r="JQT1331" s="4" t="s">
        <v>2875</v>
      </c>
      <c r="JQU1331" s="4" t="s">
        <v>2875</v>
      </c>
      <c r="JQV1331" s="4" t="s">
        <v>2875</v>
      </c>
      <c r="JQW1331" s="4" t="s">
        <v>2875</v>
      </c>
      <c r="JQX1331" s="4" t="s">
        <v>2875</v>
      </c>
      <c r="JQY1331" s="4" t="s">
        <v>2875</v>
      </c>
      <c r="JQZ1331" s="4" t="s">
        <v>2875</v>
      </c>
      <c r="JRA1331" s="4" t="s">
        <v>2875</v>
      </c>
      <c r="JRB1331" s="4" t="s">
        <v>2875</v>
      </c>
      <c r="JRC1331" s="4" t="s">
        <v>2875</v>
      </c>
      <c r="JRD1331" s="4" t="s">
        <v>2875</v>
      </c>
      <c r="JRE1331" s="4" t="s">
        <v>2875</v>
      </c>
      <c r="JRF1331" s="4" t="s">
        <v>2875</v>
      </c>
      <c r="JRG1331" s="4" t="s">
        <v>2875</v>
      </c>
      <c r="JRH1331" s="4" t="s">
        <v>2875</v>
      </c>
      <c r="JRI1331" s="4" t="s">
        <v>2875</v>
      </c>
      <c r="JRJ1331" s="4" t="s">
        <v>2875</v>
      </c>
      <c r="JRK1331" s="4" t="s">
        <v>2875</v>
      </c>
      <c r="JRL1331" s="4" t="s">
        <v>2875</v>
      </c>
      <c r="JRM1331" s="4" t="s">
        <v>2875</v>
      </c>
      <c r="JRN1331" s="4" t="s">
        <v>2875</v>
      </c>
      <c r="JRO1331" s="4" t="s">
        <v>2875</v>
      </c>
      <c r="JRP1331" s="4" t="s">
        <v>2875</v>
      </c>
      <c r="JRQ1331" s="4" t="s">
        <v>2875</v>
      </c>
      <c r="JRR1331" s="4" t="s">
        <v>2875</v>
      </c>
      <c r="JRS1331" s="4" t="s">
        <v>2875</v>
      </c>
      <c r="JRT1331" s="4" t="s">
        <v>2875</v>
      </c>
      <c r="JRU1331" s="4" t="s">
        <v>2875</v>
      </c>
      <c r="JRV1331" s="4" t="s">
        <v>2875</v>
      </c>
      <c r="JRW1331" s="4" t="s">
        <v>2875</v>
      </c>
      <c r="JRX1331" s="4" t="s">
        <v>2875</v>
      </c>
      <c r="JRY1331" s="4" t="s">
        <v>2875</v>
      </c>
      <c r="JRZ1331" s="4" t="s">
        <v>2875</v>
      </c>
      <c r="JSA1331" s="4" t="s">
        <v>2875</v>
      </c>
      <c r="JSB1331" s="4" t="s">
        <v>2875</v>
      </c>
      <c r="JSC1331" s="4" t="s">
        <v>2875</v>
      </c>
      <c r="JSD1331" s="4" t="s">
        <v>2875</v>
      </c>
      <c r="JSE1331" s="4" t="s">
        <v>2875</v>
      </c>
      <c r="JSF1331" s="4" t="s">
        <v>2875</v>
      </c>
      <c r="JSG1331" s="4" t="s">
        <v>2875</v>
      </c>
      <c r="JSH1331" s="4" t="s">
        <v>2875</v>
      </c>
      <c r="JSI1331" s="4" t="s">
        <v>2875</v>
      </c>
      <c r="JSJ1331" s="4" t="s">
        <v>2875</v>
      </c>
      <c r="JSK1331" s="4" t="s">
        <v>2875</v>
      </c>
      <c r="JSL1331" s="4" t="s">
        <v>2875</v>
      </c>
      <c r="JSM1331" s="4" t="s">
        <v>2875</v>
      </c>
      <c r="JSN1331" s="4" t="s">
        <v>2875</v>
      </c>
      <c r="JSO1331" s="4" t="s">
        <v>2875</v>
      </c>
      <c r="JSP1331" s="4" t="s">
        <v>2875</v>
      </c>
      <c r="JSQ1331" s="4" t="s">
        <v>2875</v>
      </c>
      <c r="JSR1331" s="4" t="s">
        <v>2875</v>
      </c>
      <c r="JSS1331" s="4" t="s">
        <v>2875</v>
      </c>
      <c r="JST1331" s="4" t="s">
        <v>2875</v>
      </c>
      <c r="JSU1331" s="4" t="s">
        <v>2875</v>
      </c>
      <c r="JSV1331" s="4" t="s">
        <v>2875</v>
      </c>
      <c r="JSW1331" s="4" t="s">
        <v>2875</v>
      </c>
      <c r="JSX1331" s="4" t="s">
        <v>2875</v>
      </c>
      <c r="JSY1331" s="4" t="s">
        <v>2875</v>
      </c>
      <c r="JSZ1331" s="4" t="s">
        <v>2875</v>
      </c>
      <c r="JTA1331" s="4" t="s">
        <v>2875</v>
      </c>
      <c r="JTB1331" s="4" t="s">
        <v>2875</v>
      </c>
      <c r="JTC1331" s="4" t="s">
        <v>2875</v>
      </c>
      <c r="JTD1331" s="4" t="s">
        <v>2875</v>
      </c>
      <c r="JTE1331" s="4" t="s">
        <v>2875</v>
      </c>
      <c r="JTF1331" s="4" t="s">
        <v>2875</v>
      </c>
      <c r="JTG1331" s="4" t="s">
        <v>2875</v>
      </c>
      <c r="JTH1331" s="4" t="s">
        <v>2875</v>
      </c>
      <c r="JTI1331" s="4" t="s">
        <v>2875</v>
      </c>
      <c r="JTJ1331" s="4" t="s">
        <v>2875</v>
      </c>
      <c r="JTK1331" s="4" t="s">
        <v>2875</v>
      </c>
      <c r="JTL1331" s="4" t="s">
        <v>2875</v>
      </c>
      <c r="JTM1331" s="4" t="s">
        <v>2875</v>
      </c>
      <c r="JTN1331" s="4" t="s">
        <v>2875</v>
      </c>
      <c r="JTO1331" s="4" t="s">
        <v>2875</v>
      </c>
      <c r="JTP1331" s="4" t="s">
        <v>2875</v>
      </c>
      <c r="JTQ1331" s="4" t="s">
        <v>2875</v>
      </c>
      <c r="JTR1331" s="4" t="s">
        <v>2875</v>
      </c>
      <c r="JTS1331" s="4" t="s">
        <v>2875</v>
      </c>
      <c r="JTT1331" s="4" t="s">
        <v>2875</v>
      </c>
      <c r="JTU1331" s="4" t="s">
        <v>2875</v>
      </c>
      <c r="JTV1331" s="4" t="s">
        <v>2875</v>
      </c>
      <c r="JTW1331" s="4" t="s">
        <v>2875</v>
      </c>
      <c r="JTX1331" s="4" t="s">
        <v>2875</v>
      </c>
      <c r="JTY1331" s="4" t="s">
        <v>2875</v>
      </c>
      <c r="JTZ1331" s="4" t="s">
        <v>2875</v>
      </c>
      <c r="JUA1331" s="4" t="s">
        <v>2875</v>
      </c>
      <c r="JUB1331" s="4" t="s">
        <v>2875</v>
      </c>
      <c r="JUC1331" s="4" t="s">
        <v>2875</v>
      </c>
      <c r="JUD1331" s="4" t="s">
        <v>2875</v>
      </c>
      <c r="JUE1331" s="4" t="s">
        <v>2875</v>
      </c>
      <c r="JUF1331" s="4" t="s">
        <v>2875</v>
      </c>
      <c r="JUG1331" s="4" t="s">
        <v>2875</v>
      </c>
      <c r="JUH1331" s="4" t="s">
        <v>2875</v>
      </c>
      <c r="JUI1331" s="4" t="s">
        <v>2875</v>
      </c>
      <c r="JUJ1331" s="4" t="s">
        <v>2875</v>
      </c>
      <c r="JUK1331" s="4" t="s">
        <v>2875</v>
      </c>
      <c r="JUL1331" s="4" t="s">
        <v>2875</v>
      </c>
      <c r="JUM1331" s="4" t="s">
        <v>2875</v>
      </c>
      <c r="JUN1331" s="4" t="s">
        <v>2875</v>
      </c>
      <c r="JUO1331" s="4" t="s">
        <v>2875</v>
      </c>
      <c r="JUP1331" s="4" t="s">
        <v>2875</v>
      </c>
      <c r="JUQ1331" s="4" t="s">
        <v>2875</v>
      </c>
      <c r="JUR1331" s="4" t="s">
        <v>2875</v>
      </c>
      <c r="JUS1331" s="4" t="s">
        <v>2875</v>
      </c>
      <c r="JUT1331" s="4" t="s">
        <v>2875</v>
      </c>
      <c r="JUU1331" s="4" t="s">
        <v>2875</v>
      </c>
      <c r="JUV1331" s="4" t="s">
        <v>2875</v>
      </c>
      <c r="JUW1331" s="4" t="s">
        <v>2875</v>
      </c>
      <c r="JUX1331" s="4" t="s">
        <v>2875</v>
      </c>
      <c r="JUY1331" s="4" t="s">
        <v>2875</v>
      </c>
      <c r="JUZ1331" s="4" t="s">
        <v>2875</v>
      </c>
      <c r="JVA1331" s="4" t="s">
        <v>2875</v>
      </c>
      <c r="JVB1331" s="4" t="s">
        <v>2875</v>
      </c>
      <c r="JVC1331" s="4" t="s">
        <v>2875</v>
      </c>
      <c r="JVD1331" s="4" t="s">
        <v>2875</v>
      </c>
      <c r="JVE1331" s="4" t="s">
        <v>2875</v>
      </c>
      <c r="JVF1331" s="4" t="s">
        <v>2875</v>
      </c>
      <c r="JVG1331" s="4" t="s">
        <v>2875</v>
      </c>
      <c r="JVH1331" s="4" t="s">
        <v>2875</v>
      </c>
      <c r="JVI1331" s="4" t="s">
        <v>2875</v>
      </c>
      <c r="JVJ1331" s="4" t="s">
        <v>2875</v>
      </c>
      <c r="JVK1331" s="4" t="s">
        <v>2875</v>
      </c>
      <c r="JVL1331" s="4" t="s">
        <v>2875</v>
      </c>
      <c r="JVM1331" s="4" t="s">
        <v>2875</v>
      </c>
      <c r="JVN1331" s="4" t="s">
        <v>2875</v>
      </c>
      <c r="JVO1331" s="4" t="s">
        <v>2875</v>
      </c>
      <c r="JVP1331" s="4" t="s">
        <v>2875</v>
      </c>
      <c r="JVQ1331" s="4" t="s">
        <v>2875</v>
      </c>
      <c r="JVR1331" s="4" t="s">
        <v>2875</v>
      </c>
      <c r="JVS1331" s="4" t="s">
        <v>2875</v>
      </c>
      <c r="JVT1331" s="4" t="s">
        <v>2875</v>
      </c>
      <c r="JVU1331" s="4" t="s">
        <v>2875</v>
      </c>
      <c r="JVV1331" s="4" t="s">
        <v>2875</v>
      </c>
      <c r="JVW1331" s="4" t="s">
        <v>2875</v>
      </c>
      <c r="JVX1331" s="4" t="s">
        <v>2875</v>
      </c>
      <c r="JVY1331" s="4" t="s">
        <v>2875</v>
      </c>
      <c r="JVZ1331" s="4" t="s">
        <v>2875</v>
      </c>
      <c r="JWA1331" s="4" t="s">
        <v>2875</v>
      </c>
      <c r="JWB1331" s="4" t="s">
        <v>2875</v>
      </c>
      <c r="JWC1331" s="4" t="s">
        <v>2875</v>
      </c>
      <c r="JWD1331" s="4" t="s">
        <v>2875</v>
      </c>
      <c r="JWE1331" s="4" t="s">
        <v>2875</v>
      </c>
      <c r="JWF1331" s="4" t="s">
        <v>2875</v>
      </c>
      <c r="JWG1331" s="4" t="s">
        <v>2875</v>
      </c>
      <c r="JWH1331" s="4" t="s">
        <v>2875</v>
      </c>
      <c r="JWI1331" s="4" t="s">
        <v>2875</v>
      </c>
      <c r="JWJ1331" s="4" t="s">
        <v>2875</v>
      </c>
      <c r="JWK1331" s="4" t="s">
        <v>2875</v>
      </c>
      <c r="JWL1331" s="4" t="s">
        <v>2875</v>
      </c>
      <c r="JWM1331" s="4" t="s">
        <v>2875</v>
      </c>
      <c r="JWN1331" s="4" t="s">
        <v>2875</v>
      </c>
      <c r="JWO1331" s="4" t="s">
        <v>2875</v>
      </c>
      <c r="JWP1331" s="4" t="s">
        <v>2875</v>
      </c>
      <c r="JWQ1331" s="4" t="s">
        <v>2875</v>
      </c>
      <c r="JWR1331" s="4" t="s">
        <v>2875</v>
      </c>
      <c r="JWS1331" s="4" t="s">
        <v>2875</v>
      </c>
      <c r="JWT1331" s="4" t="s">
        <v>2875</v>
      </c>
      <c r="JWU1331" s="4" t="s">
        <v>2875</v>
      </c>
      <c r="JWV1331" s="4" t="s">
        <v>2875</v>
      </c>
      <c r="JWW1331" s="4" t="s">
        <v>2875</v>
      </c>
      <c r="JWX1331" s="4" t="s">
        <v>2875</v>
      </c>
      <c r="JWY1331" s="4" t="s">
        <v>2875</v>
      </c>
      <c r="JWZ1331" s="4" t="s">
        <v>2875</v>
      </c>
      <c r="JXA1331" s="4" t="s">
        <v>2875</v>
      </c>
      <c r="JXB1331" s="4" t="s">
        <v>2875</v>
      </c>
      <c r="JXC1331" s="4" t="s">
        <v>2875</v>
      </c>
      <c r="JXD1331" s="4" t="s">
        <v>2875</v>
      </c>
      <c r="JXE1331" s="4" t="s">
        <v>2875</v>
      </c>
      <c r="JXF1331" s="4" t="s">
        <v>2875</v>
      </c>
      <c r="JXG1331" s="4" t="s">
        <v>2875</v>
      </c>
      <c r="JXH1331" s="4" t="s">
        <v>2875</v>
      </c>
      <c r="JXI1331" s="4" t="s">
        <v>2875</v>
      </c>
      <c r="JXJ1331" s="4" t="s">
        <v>2875</v>
      </c>
      <c r="JXK1331" s="4" t="s">
        <v>2875</v>
      </c>
      <c r="JXL1331" s="4" t="s">
        <v>2875</v>
      </c>
      <c r="JXM1331" s="4" t="s">
        <v>2875</v>
      </c>
      <c r="JXN1331" s="4" t="s">
        <v>2875</v>
      </c>
      <c r="JXO1331" s="4" t="s">
        <v>2875</v>
      </c>
      <c r="JXP1331" s="4" t="s">
        <v>2875</v>
      </c>
      <c r="JXQ1331" s="4" t="s">
        <v>2875</v>
      </c>
      <c r="JXR1331" s="4" t="s">
        <v>2875</v>
      </c>
      <c r="JXS1331" s="4" t="s">
        <v>2875</v>
      </c>
      <c r="JXT1331" s="4" t="s">
        <v>2875</v>
      </c>
      <c r="JXU1331" s="4" t="s">
        <v>2875</v>
      </c>
      <c r="JXV1331" s="4" t="s">
        <v>2875</v>
      </c>
      <c r="JXW1331" s="4" t="s">
        <v>2875</v>
      </c>
      <c r="JXX1331" s="4" t="s">
        <v>2875</v>
      </c>
      <c r="JXY1331" s="4" t="s">
        <v>2875</v>
      </c>
      <c r="JXZ1331" s="4" t="s">
        <v>2875</v>
      </c>
      <c r="JYA1331" s="4" t="s">
        <v>2875</v>
      </c>
      <c r="JYB1331" s="4" t="s">
        <v>2875</v>
      </c>
      <c r="JYC1331" s="4" t="s">
        <v>2875</v>
      </c>
      <c r="JYD1331" s="4" t="s">
        <v>2875</v>
      </c>
      <c r="JYE1331" s="4" t="s">
        <v>2875</v>
      </c>
      <c r="JYF1331" s="4" t="s">
        <v>2875</v>
      </c>
      <c r="JYG1331" s="4" t="s">
        <v>2875</v>
      </c>
      <c r="JYH1331" s="4" t="s">
        <v>2875</v>
      </c>
      <c r="JYI1331" s="4" t="s">
        <v>2875</v>
      </c>
      <c r="JYJ1331" s="4" t="s">
        <v>2875</v>
      </c>
      <c r="JYK1331" s="4" t="s">
        <v>2875</v>
      </c>
      <c r="JYL1331" s="4" t="s">
        <v>2875</v>
      </c>
      <c r="JYM1331" s="4" t="s">
        <v>2875</v>
      </c>
      <c r="JYN1331" s="4" t="s">
        <v>2875</v>
      </c>
      <c r="JYO1331" s="4" t="s">
        <v>2875</v>
      </c>
      <c r="JYP1331" s="4" t="s">
        <v>2875</v>
      </c>
      <c r="JYQ1331" s="4" t="s">
        <v>2875</v>
      </c>
      <c r="JYR1331" s="4" t="s">
        <v>2875</v>
      </c>
      <c r="JYS1331" s="4" t="s">
        <v>2875</v>
      </c>
      <c r="JYT1331" s="4" t="s">
        <v>2875</v>
      </c>
      <c r="JYU1331" s="4" t="s">
        <v>2875</v>
      </c>
      <c r="JYV1331" s="4" t="s">
        <v>2875</v>
      </c>
      <c r="JYW1331" s="4" t="s">
        <v>2875</v>
      </c>
      <c r="JYX1331" s="4" t="s">
        <v>2875</v>
      </c>
      <c r="JYY1331" s="4" t="s">
        <v>2875</v>
      </c>
      <c r="JYZ1331" s="4" t="s">
        <v>2875</v>
      </c>
      <c r="JZA1331" s="4" t="s">
        <v>2875</v>
      </c>
      <c r="JZB1331" s="4" t="s">
        <v>2875</v>
      </c>
      <c r="JZC1331" s="4" t="s">
        <v>2875</v>
      </c>
      <c r="JZD1331" s="4" t="s">
        <v>2875</v>
      </c>
      <c r="JZE1331" s="4" t="s">
        <v>2875</v>
      </c>
      <c r="JZF1331" s="4" t="s">
        <v>2875</v>
      </c>
      <c r="JZG1331" s="4" t="s">
        <v>2875</v>
      </c>
      <c r="JZH1331" s="4" t="s">
        <v>2875</v>
      </c>
      <c r="JZI1331" s="4" t="s">
        <v>2875</v>
      </c>
      <c r="JZJ1331" s="4" t="s">
        <v>2875</v>
      </c>
      <c r="JZK1331" s="4" t="s">
        <v>2875</v>
      </c>
      <c r="JZL1331" s="4" t="s">
        <v>2875</v>
      </c>
      <c r="JZM1331" s="4" t="s">
        <v>2875</v>
      </c>
      <c r="JZN1331" s="4" t="s">
        <v>2875</v>
      </c>
      <c r="JZO1331" s="4" t="s">
        <v>2875</v>
      </c>
      <c r="JZP1331" s="4" t="s">
        <v>2875</v>
      </c>
      <c r="JZQ1331" s="4" t="s">
        <v>2875</v>
      </c>
      <c r="JZR1331" s="4" t="s">
        <v>2875</v>
      </c>
      <c r="JZS1331" s="4" t="s">
        <v>2875</v>
      </c>
      <c r="JZT1331" s="4" t="s">
        <v>2875</v>
      </c>
      <c r="JZU1331" s="4" t="s">
        <v>2875</v>
      </c>
      <c r="JZV1331" s="4" t="s">
        <v>2875</v>
      </c>
      <c r="JZW1331" s="4" t="s">
        <v>2875</v>
      </c>
      <c r="JZX1331" s="4" t="s">
        <v>2875</v>
      </c>
      <c r="JZY1331" s="4" t="s">
        <v>2875</v>
      </c>
      <c r="JZZ1331" s="4" t="s">
        <v>2875</v>
      </c>
      <c r="KAA1331" s="4" t="s">
        <v>2875</v>
      </c>
      <c r="KAB1331" s="4" t="s">
        <v>2875</v>
      </c>
      <c r="KAC1331" s="4" t="s">
        <v>2875</v>
      </c>
      <c r="KAD1331" s="4" t="s">
        <v>2875</v>
      </c>
      <c r="KAE1331" s="4" t="s">
        <v>2875</v>
      </c>
      <c r="KAF1331" s="4" t="s">
        <v>2875</v>
      </c>
      <c r="KAG1331" s="4" t="s">
        <v>2875</v>
      </c>
      <c r="KAH1331" s="4" t="s">
        <v>2875</v>
      </c>
      <c r="KAI1331" s="4" t="s">
        <v>2875</v>
      </c>
      <c r="KAJ1331" s="4" t="s">
        <v>2875</v>
      </c>
      <c r="KAK1331" s="4" t="s">
        <v>2875</v>
      </c>
      <c r="KAL1331" s="4" t="s">
        <v>2875</v>
      </c>
      <c r="KAM1331" s="4" t="s">
        <v>2875</v>
      </c>
      <c r="KAN1331" s="4" t="s">
        <v>2875</v>
      </c>
      <c r="KAO1331" s="4" t="s">
        <v>2875</v>
      </c>
      <c r="KAP1331" s="4" t="s">
        <v>2875</v>
      </c>
      <c r="KAQ1331" s="4" t="s">
        <v>2875</v>
      </c>
      <c r="KAR1331" s="4" t="s">
        <v>2875</v>
      </c>
      <c r="KAS1331" s="4" t="s">
        <v>2875</v>
      </c>
      <c r="KAT1331" s="4" t="s">
        <v>2875</v>
      </c>
      <c r="KAU1331" s="4" t="s">
        <v>2875</v>
      </c>
      <c r="KAV1331" s="4" t="s">
        <v>2875</v>
      </c>
      <c r="KAW1331" s="4" t="s">
        <v>2875</v>
      </c>
      <c r="KAX1331" s="4" t="s">
        <v>2875</v>
      </c>
      <c r="KAY1331" s="4" t="s">
        <v>2875</v>
      </c>
      <c r="KAZ1331" s="4" t="s">
        <v>2875</v>
      </c>
      <c r="KBA1331" s="4" t="s">
        <v>2875</v>
      </c>
      <c r="KBB1331" s="4" t="s">
        <v>2875</v>
      </c>
      <c r="KBC1331" s="4" t="s">
        <v>2875</v>
      </c>
      <c r="KBD1331" s="4" t="s">
        <v>2875</v>
      </c>
      <c r="KBE1331" s="4" t="s">
        <v>2875</v>
      </c>
      <c r="KBF1331" s="4" t="s">
        <v>2875</v>
      </c>
      <c r="KBG1331" s="4" t="s">
        <v>2875</v>
      </c>
      <c r="KBH1331" s="4" t="s">
        <v>2875</v>
      </c>
      <c r="KBI1331" s="4" t="s">
        <v>2875</v>
      </c>
      <c r="KBJ1331" s="4" t="s">
        <v>2875</v>
      </c>
      <c r="KBK1331" s="4" t="s">
        <v>2875</v>
      </c>
      <c r="KBL1331" s="4" t="s">
        <v>2875</v>
      </c>
      <c r="KBM1331" s="4" t="s">
        <v>2875</v>
      </c>
      <c r="KBN1331" s="4" t="s">
        <v>2875</v>
      </c>
      <c r="KBO1331" s="4" t="s">
        <v>2875</v>
      </c>
      <c r="KBP1331" s="4" t="s">
        <v>2875</v>
      </c>
      <c r="KBQ1331" s="4" t="s">
        <v>2875</v>
      </c>
      <c r="KBR1331" s="4" t="s">
        <v>2875</v>
      </c>
      <c r="KBS1331" s="4" t="s">
        <v>2875</v>
      </c>
      <c r="KBT1331" s="4" t="s">
        <v>2875</v>
      </c>
      <c r="KBU1331" s="4" t="s">
        <v>2875</v>
      </c>
      <c r="KBV1331" s="4" t="s">
        <v>2875</v>
      </c>
      <c r="KBW1331" s="4" t="s">
        <v>2875</v>
      </c>
      <c r="KBX1331" s="4" t="s">
        <v>2875</v>
      </c>
      <c r="KBY1331" s="4" t="s">
        <v>2875</v>
      </c>
      <c r="KBZ1331" s="4" t="s">
        <v>2875</v>
      </c>
      <c r="KCA1331" s="4" t="s">
        <v>2875</v>
      </c>
      <c r="KCB1331" s="4" t="s">
        <v>2875</v>
      </c>
      <c r="KCC1331" s="4" t="s">
        <v>2875</v>
      </c>
      <c r="KCD1331" s="4" t="s">
        <v>2875</v>
      </c>
      <c r="KCE1331" s="4" t="s">
        <v>2875</v>
      </c>
      <c r="KCF1331" s="4" t="s">
        <v>2875</v>
      </c>
      <c r="KCG1331" s="4" t="s">
        <v>2875</v>
      </c>
      <c r="KCH1331" s="4" t="s">
        <v>2875</v>
      </c>
      <c r="KCI1331" s="4" t="s">
        <v>2875</v>
      </c>
      <c r="KCJ1331" s="4" t="s">
        <v>2875</v>
      </c>
      <c r="KCK1331" s="4" t="s">
        <v>2875</v>
      </c>
      <c r="KCL1331" s="4" t="s">
        <v>2875</v>
      </c>
      <c r="KCM1331" s="4" t="s">
        <v>2875</v>
      </c>
      <c r="KCN1331" s="4" t="s">
        <v>2875</v>
      </c>
      <c r="KCO1331" s="4" t="s">
        <v>2875</v>
      </c>
      <c r="KCP1331" s="4" t="s">
        <v>2875</v>
      </c>
      <c r="KCQ1331" s="4" t="s">
        <v>2875</v>
      </c>
      <c r="KCR1331" s="4" t="s">
        <v>2875</v>
      </c>
      <c r="KCS1331" s="4" t="s">
        <v>2875</v>
      </c>
      <c r="KCT1331" s="4" t="s">
        <v>2875</v>
      </c>
      <c r="KCU1331" s="4" t="s">
        <v>2875</v>
      </c>
      <c r="KCV1331" s="4" t="s">
        <v>2875</v>
      </c>
      <c r="KCW1331" s="4" t="s">
        <v>2875</v>
      </c>
      <c r="KCX1331" s="4" t="s">
        <v>2875</v>
      </c>
      <c r="KCY1331" s="4" t="s">
        <v>2875</v>
      </c>
      <c r="KCZ1331" s="4" t="s">
        <v>2875</v>
      </c>
      <c r="KDA1331" s="4" t="s">
        <v>2875</v>
      </c>
      <c r="KDB1331" s="4" t="s">
        <v>2875</v>
      </c>
      <c r="KDC1331" s="4" t="s">
        <v>2875</v>
      </c>
      <c r="KDD1331" s="4" t="s">
        <v>2875</v>
      </c>
      <c r="KDE1331" s="4" t="s">
        <v>2875</v>
      </c>
      <c r="KDF1331" s="4" t="s">
        <v>2875</v>
      </c>
      <c r="KDG1331" s="4" t="s">
        <v>2875</v>
      </c>
      <c r="KDH1331" s="4" t="s">
        <v>2875</v>
      </c>
      <c r="KDI1331" s="4" t="s">
        <v>2875</v>
      </c>
      <c r="KDJ1331" s="4" t="s">
        <v>2875</v>
      </c>
      <c r="KDK1331" s="4" t="s">
        <v>2875</v>
      </c>
      <c r="KDL1331" s="4" t="s">
        <v>2875</v>
      </c>
      <c r="KDM1331" s="4" t="s">
        <v>2875</v>
      </c>
      <c r="KDN1331" s="4" t="s">
        <v>2875</v>
      </c>
      <c r="KDO1331" s="4" t="s">
        <v>2875</v>
      </c>
      <c r="KDP1331" s="4" t="s">
        <v>2875</v>
      </c>
      <c r="KDQ1331" s="4" t="s">
        <v>2875</v>
      </c>
      <c r="KDR1331" s="4" t="s">
        <v>2875</v>
      </c>
      <c r="KDS1331" s="4" t="s">
        <v>2875</v>
      </c>
      <c r="KDT1331" s="4" t="s">
        <v>2875</v>
      </c>
      <c r="KDU1331" s="4" t="s">
        <v>2875</v>
      </c>
      <c r="KDV1331" s="4" t="s">
        <v>2875</v>
      </c>
      <c r="KDW1331" s="4" t="s">
        <v>2875</v>
      </c>
      <c r="KDX1331" s="4" t="s">
        <v>2875</v>
      </c>
      <c r="KDY1331" s="4" t="s">
        <v>2875</v>
      </c>
      <c r="KDZ1331" s="4" t="s">
        <v>2875</v>
      </c>
      <c r="KEA1331" s="4" t="s">
        <v>2875</v>
      </c>
      <c r="KEB1331" s="4" t="s">
        <v>2875</v>
      </c>
      <c r="KEC1331" s="4" t="s">
        <v>2875</v>
      </c>
      <c r="KED1331" s="4" t="s">
        <v>2875</v>
      </c>
      <c r="KEE1331" s="4" t="s">
        <v>2875</v>
      </c>
      <c r="KEF1331" s="4" t="s">
        <v>2875</v>
      </c>
      <c r="KEG1331" s="4" t="s">
        <v>2875</v>
      </c>
      <c r="KEH1331" s="4" t="s">
        <v>2875</v>
      </c>
      <c r="KEI1331" s="4" t="s">
        <v>2875</v>
      </c>
      <c r="KEJ1331" s="4" t="s">
        <v>2875</v>
      </c>
      <c r="KEK1331" s="4" t="s">
        <v>2875</v>
      </c>
      <c r="KEL1331" s="4" t="s">
        <v>2875</v>
      </c>
      <c r="KEM1331" s="4" t="s">
        <v>2875</v>
      </c>
      <c r="KEN1331" s="4" t="s">
        <v>2875</v>
      </c>
      <c r="KEO1331" s="4" t="s">
        <v>2875</v>
      </c>
      <c r="KEP1331" s="4" t="s">
        <v>2875</v>
      </c>
      <c r="KEQ1331" s="4" t="s">
        <v>2875</v>
      </c>
      <c r="KER1331" s="4" t="s">
        <v>2875</v>
      </c>
      <c r="KES1331" s="4" t="s">
        <v>2875</v>
      </c>
      <c r="KET1331" s="4" t="s">
        <v>2875</v>
      </c>
      <c r="KEU1331" s="4" t="s">
        <v>2875</v>
      </c>
      <c r="KEV1331" s="4" t="s">
        <v>2875</v>
      </c>
      <c r="KEW1331" s="4" t="s">
        <v>2875</v>
      </c>
      <c r="KEX1331" s="4" t="s">
        <v>2875</v>
      </c>
      <c r="KEY1331" s="4" t="s">
        <v>2875</v>
      </c>
      <c r="KEZ1331" s="4" t="s">
        <v>2875</v>
      </c>
      <c r="KFA1331" s="4" t="s">
        <v>2875</v>
      </c>
      <c r="KFB1331" s="4" t="s">
        <v>2875</v>
      </c>
      <c r="KFC1331" s="4" t="s">
        <v>2875</v>
      </c>
      <c r="KFD1331" s="4" t="s">
        <v>2875</v>
      </c>
      <c r="KFE1331" s="4" t="s">
        <v>2875</v>
      </c>
      <c r="KFF1331" s="4" t="s">
        <v>2875</v>
      </c>
      <c r="KFG1331" s="4" t="s">
        <v>2875</v>
      </c>
      <c r="KFH1331" s="4" t="s">
        <v>2875</v>
      </c>
      <c r="KFI1331" s="4" t="s">
        <v>2875</v>
      </c>
      <c r="KFJ1331" s="4" t="s">
        <v>2875</v>
      </c>
      <c r="KFK1331" s="4" t="s">
        <v>2875</v>
      </c>
      <c r="KFL1331" s="4" t="s">
        <v>2875</v>
      </c>
      <c r="KFM1331" s="4" t="s">
        <v>2875</v>
      </c>
      <c r="KFN1331" s="4" t="s">
        <v>2875</v>
      </c>
      <c r="KFO1331" s="4" t="s">
        <v>2875</v>
      </c>
      <c r="KFP1331" s="4" t="s">
        <v>2875</v>
      </c>
      <c r="KFQ1331" s="4" t="s">
        <v>2875</v>
      </c>
      <c r="KFR1331" s="4" t="s">
        <v>2875</v>
      </c>
      <c r="KFS1331" s="4" t="s">
        <v>2875</v>
      </c>
      <c r="KFT1331" s="4" t="s">
        <v>2875</v>
      </c>
      <c r="KFU1331" s="4" t="s">
        <v>2875</v>
      </c>
      <c r="KFV1331" s="4" t="s">
        <v>2875</v>
      </c>
      <c r="KFW1331" s="4" t="s">
        <v>2875</v>
      </c>
      <c r="KFX1331" s="4" t="s">
        <v>2875</v>
      </c>
      <c r="KFY1331" s="4" t="s">
        <v>2875</v>
      </c>
      <c r="KFZ1331" s="4" t="s">
        <v>2875</v>
      </c>
      <c r="KGA1331" s="4" t="s">
        <v>2875</v>
      </c>
      <c r="KGB1331" s="4" t="s">
        <v>2875</v>
      </c>
      <c r="KGC1331" s="4" t="s">
        <v>2875</v>
      </c>
      <c r="KGD1331" s="4" t="s">
        <v>2875</v>
      </c>
      <c r="KGE1331" s="4" t="s">
        <v>2875</v>
      </c>
      <c r="KGF1331" s="4" t="s">
        <v>2875</v>
      </c>
      <c r="KGG1331" s="4" t="s">
        <v>2875</v>
      </c>
      <c r="KGH1331" s="4" t="s">
        <v>2875</v>
      </c>
      <c r="KGI1331" s="4" t="s">
        <v>2875</v>
      </c>
      <c r="KGJ1331" s="4" t="s">
        <v>2875</v>
      </c>
      <c r="KGK1331" s="4" t="s">
        <v>2875</v>
      </c>
      <c r="KGL1331" s="4" t="s">
        <v>2875</v>
      </c>
      <c r="KGM1331" s="4" t="s">
        <v>2875</v>
      </c>
      <c r="KGN1331" s="4" t="s">
        <v>2875</v>
      </c>
      <c r="KGO1331" s="4" t="s">
        <v>2875</v>
      </c>
      <c r="KGP1331" s="4" t="s">
        <v>2875</v>
      </c>
      <c r="KGQ1331" s="4" t="s">
        <v>2875</v>
      </c>
      <c r="KGR1331" s="4" t="s">
        <v>2875</v>
      </c>
      <c r="KGS1331" s="4" t="s">
        <v>2875</v>
      </c>
      <c r="KGT1331" s="4" t="s">
        <v>2875</v>
      </c>
      <c r="KGU1331" s="4" t="s">
        <v>2875</v>
      </c>
      <c r="KGV1331" s="4" t="s">
        <v>2875</v>
      </c>
      <c r="KGW1331" s="4" t="s">
        <v>2875</v>
      </c>
      <c r="KGX1331" s="4" t="s">
        <v>2875</v>
      </c>
      <c r="KGY1331" s="4" t="s">
        <v>2875</v>
      </c>
      <c r="KGZ1331" s="4" t="s">
        <v>2875</v>
      </c>
      <c r="KHA1331" s="4" t="s">
        <v>2875</v>
      </c>
      <c r="KHB1331" s="4" t="s">
        <v>2875</v>
      </c>
      <c r="KHC1331" s="4" t="s">
        <v>2875</v>
      </c>
      <c r="KHD1331" s="4" t="s">
        <v>2875</v>
      </c>
      <c r="KHE1331" s="4" t="s">
        <v>2875</v>
      </c>
      <c r="KHF1331" s="4" t="s">
        <v>2875</v>
      </c>
      <c r="KHG1331" s="4" t="s">
        <v>2875</v>
      </c>
      <c r="KHH1331" s="4" t="s">
        <v>2875</v>
      </c>
      <c r="KHI1331" s="4" t="s">
        <v>2875</v>
      </c>
      <c r="KHJ1331" s="4" t="s">
        <v>2875</v>
      </c>
      <c r="KHK1331" s="4" t="s">
        <v>2875</v>
      </c>
      <c r="KHL1331" s="4" t="s">
        <v>2875</v>
      </c>
      <c r="KHM1331" s="4" t="s">
        <v>2875</v>
      </c>
      <c r="KHN1331" s="4" t="s">
        <v>2875</v>
      </c>
      <c r="KHO1331" s="4" t="s">
        <v>2875</v>
      </c>
      <c r="KHP1331" s="4" t="s">
        <v>2875</v>
      </c>
      <c r="KHQ1331" s="4" t="s">
        <v>2875</v>
      </c>
      <c r="KHR1331" s="4" t="s">
        <v>2875</v>
      </c>
      <c r="KHS1331" s="4" t="s">
        <v>2875</v>
      </c>
      <c r="KHT1331" s="4" t="s">
        <v>2875</v>
      </c>
      <c r="KHU1331" s="4" t="s">
        <v>2875</v>
      </c>
      <c r="KHV1331" s="4" t="s">
        <v>2875</v>
      </c>
      <c r="KHW1331" s="4" t="s">
        <v>2875</v>
      </c>
      <c r="KHX1331" s="4" t="s">
        <v>2875</v>
      </c>
      <c r="KHY1331" s="4" t="s">
        <v>2875</v>
      </c>
      <c r="KHZ1331" s="4" t="s">
        <v>2875</v>
      </c>
      <c r="KIA1331" s="4" t="s">
        <v>2875</v>
      </c>
      <c r="KIB1331" s="4" t="s">
        <v>2875</v>
      </c>
      <c r="KIC1331" s="4" t="s">
        <v>2875</v>
      </c>
      <c r="KID1331" s="4" t="s">
        <v>2875</v>
      </c>
      <c r="KIE1331" s="4" t="s">
        <v>2875</v>
      </c>
      <c r="KIF1331" s="4" t="s">
        <v>2875</v>
      </c>
      <c r="KIG1331" s="4" t="s">
        <v>2875</v>
      </c>
      <c r="KIH1331" s="4" t="s">
        <v>2875</v>
      </c>
      <c r="KII1331" s="4" t="s">
        <v>2875</v>
      </c>
      <c r="KIJ1331" s="4" t="s">
        <v>2875</v>
      </c>
      <c r="KIK1331" s="4" t="s">
        <v>2875</v>
      </c>
      <c r="KIL1331" s="4" t="s">
        <v>2875</v>
      </c>
      <c r="KIM1331" s="4" t="s">
        <v>2875</v>
      </c>
      <c r="KIN1331" s="4" t="s">
        <v>2875</v>
      </c>
      <c r="KIO1331" s="4" t="s">
        <v>2875</v>
      </c>
      <c r="KIP1331" s="4" t="s">
        <v>2875</v>
      </c>
      <c r="KIQ1331" s="4" t="s">
        <v>2875</v>
      </c>
      <c r="KIR1331" s="4" t="s">
        <v>2875</v>
      </c>
      <c r="KIS1331" s="4" t="s">
        <v>2875</v>
      </c>
      <c r="KIT1331" s="4" t="s">
        <v>2875</v>
      </c>
      <c r="KIU1331" s="4" t="s">
        <v>2875</v>
      </c>
      <c r="KIV1331" s="4" t="s">
        <v>2875</v>
      </c>
      <c r="KIW1331" s="4" t="s">
        <v>2875</v>
      </c>
      <c r="KIX1331" s="4" t="s">
        <v>2875</v>
      </c>
      <c r="KIY1331" s="4" t="s">
        <v>2875</v>
      </c>
      <c r="KIZ1331" s="4" t="s">
        <v>2875</v>
      </c>
      <c r="KJA1331" s="4" t="s">
        <v>2875</v>
      </c>
      <c r="KJB1331" s="4" t="s">
        <v>2875</v>
      </c>
      <c r="KJC1331" s="4" t="s">
        <v>2875</v>
      </c>
      <c r="KJD1331" s="4" t="s">
        <v>2875</v>
      </c>
      <c r="KJE1331" s="4" t="s">
        <v>2875</v>
      </c>
      <c r="KJF1331" s="4" t="s">
        <v>2875</v>
      </c>
      <c r="KJG1331" s="4" t="s">
        <v>2875</v>
      </c>
      <c r="KJH1331" s="4" t="s">
        <v>2875</v>
      </c>
      <c r="KJI1331" s="4" t="s">
        <v>2875</v>
      </c>
      <c r="KJJ1331" s="4" t="s">
        <v>2875</v>
      </c>
      <c r="KJK1331" s="4" t="s">
        <v>2875</v>
      </c>
      <c r="KJL1331" s="4" t="s">
        <v>2875</v>
      </c>
      <c r="KJM1331" s="4" t="s">
        <v>2875</v>
      </c>
      <c r="KJN1331" s="4" t="s">
        <v>2875</v>
      </c>
      <c r="KJO1331" s="4" t="s">
        <v>2875</v>
      </c>
      <c r="KJP1331" s="4" t="s">
        <v>2875</v>
      </c>
      <c r="KJQ1331" s="4" t="s">
        <v>2875</v>
      </c>
      <c r="KJR1331" s="4" t="s">
        <v>2875</v>
      </c>
      <c r="KJS1331" s="4" t="s">
        <v>2875</v>
      </c>
      <c r="KJT1331" s="4" t="s">
        <v>2875</v>
      </c>
      <c r="KJU1331" s="4" t="s">
        <v>2875</v>
      </c>
      <c r="KJV1331" s="4" t="s">
        <v>2875</v>
      </c>
      <c r="KJW1331" s="4" t="s">
        <v>2875</v>
      </c>
      <c r="KJX1331" s="4" t="s">
        <v>2875</v>
      </c>
      <c r="KJY1331" s="4" t="s">
        <v>2875</v>
      </c>
      <c r="KJZ1331" s="4" t="s">
        <v>2875</v>
      </c>
      <c r="KKA1331" s="4" t="s">
        <v>2875</v>
      </c>
      <c r="KKB1331" s="4" t="s">
        <v>2875</v>
      </c>
      <c r="KKC1331" s="4" t="s">
        <v>2875</v>
      </c>
      <c r="KKD1331" s="4" t="s">
        <v>2875</v>
      </c>
      <c r="KKE1331" s="4" t="s">
        <v>2875</v>
      </c>
      <c r="KKF1331" s="4" t="s">
        <v>2875</v>
      </c>
      <c r="KKG1331" s="4" t="s">
        <v>2875</v>
      </c>
      <c r="KKH1331" s="4" t="s">
        <v>2875</v>
      </c>
      <c r="KKI1331" s="4" t="s">
        <v>2875</v>
      </c>
      <c r="KKJ1331" s="4" t="s">
        <v>2875</v>
      </c>
      <c r="KKK1331" s="4" t="s">
        <v>2875</v>
      </c>
      <c r="KKL1331" s="4" t="s">
        <v>2875</v>
      </c>
      <c r="KKM1331" s="4" t="s">
        <v>2875</v>
      </c>
      <c r="KKN1331" s="4" t="s">
        <v>2875</v>
      </c>
      <c r="KKO1331" s="4" t="s">
        <v>2875</v>
      </c>
      <c r="KKP1331" s="4" t="s">
        <v>2875</v>
      </c>
      <c r="KKQ1331" s="4" t="s">
        <v>2875</v>
      </c>
      <c r="KKR1331" s="4" t="s">
        <v>2875</v>
      </c>
      <c r="KKS1331" s="4" t="s">
        <v>2875</v>
      </c>
      <c r="KKT1331" s="4" t="s">
        <v>2875</v>
      </c>
      <c r="KKU1331" s="4" t="s">
        <v>2875</v>
      </c>
      <c r="KKV1331" s="4" t="s">
        <v>2875</v>
      </c>
      <c r="KKW1331" s="4" t="s">
        <v>2875</v>
      </c>
      <c r="KKX1331" s="4" t="s">
        <v>2875</v>
      </c>
      <c r="KKY1331" s="4" t="s">
        <v>2875</v>
      </c>
      <c r="KKZ1331" s="4" t="s">
        <v>2875</v>
      </c>
      <c r="KLA1331" s="4" t="s">
        <v>2875</v>
      </c>
      <c r="KLB1331" s="4" t="s">
        <v>2875</v>
      </c>
      <c r="KLC1331" s="4" t="s">
        <v>2875</v>
      </c>
      <c r="KLD1331" s="4" t="s">
        <v>2875</v>
      </c>
      <c r="KLE1331" s="4" t="s">
        <v>2875</v>
      </c>
      <c r="KLF1331" s="4" t="s">
        <v>2875</v>
      </c>
      <c r="KLG1331" s="4" t="s">
        <v>2875</v>
      </c>
      <c r="KLH1331" s="4" t="s">
        <v>2875</v>
      </c>
      <c r="KLI1331" s="4" t="s">
        <v>2875</v>
      </c>
      <c r="KLJ1331" s="4" t="s">
        <v>2875</v>
      </c>
      <c r="KLK1331" s="4" t="s">
        <v>2875</v>
      </c>
      <c r="KLL1331" s="4" t="s">
        <v>2875</v>
      </c>
      <c r="KLM1331" s="4" t="s">
        <v>2875</v>
      </c>
      <c r="KLN1331" s="4" t="s">
        <v>2875</v>
      </c>
      <c r="KLO1331" s="4" t="s">
        <v>2875</v>
      </c>
      <c r="KLP1331" s="4" t="s">
        <v>2875</v>
      </c>
      <c r="KLQ1331" s="4" t="s">
        <v>2875</v>
      </c>
      <c r="KLR1331" s="4" t="s">
        <v>2875</v>
      </c>
      <c r="KLS1331" s="4" t="s">
        <v>2875</v>
      </c>
      <c r="KLT1331" s="4" t="s">
        <v>2875</v>
      </c>
      <c r="KLU1331" s="4" t="s">
        <v>2875</v>
      </c>
      <c r="KLV1331" s="4" t="s">
        <v>2875</v>
      </c>
      <c r="KLW1331" s="4" t="s">
        <v>2875</v>
      </c>
      <c r="KLX1331" s="4" t="s">
        <v>2875</v>
      </c>
      <c r="KLY1331" s="4" t="s">
        <v>2875</v>
      </c>
      <c r="KLZ1331" s="4" t="s">
        <v>2875</v>
      </c>
      <c r="KMA1331" s="4" t="s">
        <v>2875</v>
      </c>
      <c r="KMB1331" s="4" t="s">
        <v>2875</v>
      </c>
      <c r="KMC1331" s="4" t="s">
        <v>2875</v>
      </c>
      <c r="KMD1331" s="4" t="s">
        <v>2875</v>
      </c>
      <c r="KME1331" s="4" t="s">
        <v>2875</v>
      </c>
      <c r="KMF1331" s="4" t="s">
        <v>2875</v>
      </c>
      <c r="KMG1331" s="4" t="s">
        <v>2875</v>
      </c>
      <c r="KMH1331" s="4" t="s">
        <v>2875</v>
      </c>
      <c r="KMI1331" s="4" t="s">
        <v>2875</v>
      </c>
      <c r="KMJ1331" s="4" t="s">
        <v>2875</v>
      </c>
      <c r="KMK1331" s="4" t="s">
        <v>2875</v>
      </c>
      <c r="KML1331" s="4" t="s">
        <v>2875</v>
      </c>
      <c r="KMM1331" s="4" t="s">
        <v>2875</v>
      </c>
      <c r="KMN1331" s="4" t="s">
        <v>2875</v>
      </c>
      <c r="KMO1331" s="4" t="s">
        <v>2875</v>
      </c>
      <c r="KMP1331" s="4" t="s">
        <v>2875</v>
      </c>
      <c r="KMQ1331" s="4" t="s">
        <v>2875</v>
      </c>
      <c r="KMR1331" s="4" t="s">
        <v>2875</v>
      </c>
      <c r="KMS1331" s="4" t="s">
        <v>2875</v>
      </c>
      <c r="KMT1331" s="4" t="s">
        <v>2875</v>
      </c>
      <c r="KMU1331" s="4" t="s">
        <v>2875</v>
      </c>
      <c r="KMV1331" s="4" t="s">
        <v>2875</v>
      </c>
      <c r="KMW1331" s="4" t="s">
        <v>2875</v>
      </c>
      <c r="KMX1331" s="4" t="s">
        <v>2875</v>
      </c>
      <c r="KMY1331" s="4" t="s">
        <v>2875</v>
      </c>
      <c r="KMZ1331" s="4" t="s">
        <v>2875</v>
      </c>
      <c r="KNA1331" s="4" t="s">
        <v>2875</v>
      </c>
      <c r="KNB1331" s="4" t="s">
        <v>2875</v>
      </c>
      <c r="KNC1331" s="4" t="s">
        <v>2875</v>
      </c>
      <c r="KND1331" s="4" t="s">
        <v>2875</v>
      </c>
      <c r="KNE1331" s="4" t="s">
        <v>2875</v>
      </c>
      <c r="KNF1331" s="4" t="s">
        <v>2875</v>
      </c>
      <c r="KNG1331" s="4" t="s">
        <v>2875</v>
      </c>
      <c r="KNH1331" s="4" t="s">
        <v>2875</v>
      </c>
      <c r="KNI1331" s="4" t="s">
        <v>2875</v>
      </c>
      <c r="KNJ1331" s="4" t="s">
        <v>2875</v>
      </c>
      <c r="KNK1331" s="4" t="s">
        <v>2875</v>
      </c>
      <c r="KNL1331" s="4" t="s">
        <v>2875</v>
      </c>
      <c r="KNM1331" s="4" t="s">
        <v>2875</v>
      </c>
      <c r="KNN1331" s="4" t="s">
        <v>2875</v>
      </c>
      <c r="KNO1331" s="4" t="s">
        <v>2875</v>
      </c>
      <c r="KNP1331" s="4" t="s">
        <v>2875</v>
      </c>
      <c r="KNQ1331" s="4" t="s">
        <v>2875</v>
      </c>
      <c r="KNR1331" s="4" t="s">
        <v>2875</v>
      </c>
      <c r="KNS1331" s="4" t="s">
        <v>2875</v>
      </c>
      <c r="KNT1331" s="4" t="s">
        <v>2875</v>
      </c>
      <c r="KNU1331" s="4" t="s">
        <v>2875</v>
      </c>
      <c r="KNV1331" s="4" t="s">
        <v>2875</v>
      </c>
      <c r="KNW1331" s="4" t="s">
        <v>2875</v>
      </c>
      <c r="KNX1331" s="4" t="s">
        <v>2875</v>
      </c>
      <c r="KNY1331" s="4" t="s">
        <v>2875</v>
      </c>
      <c r="KNZ1331" s="4" t="s">
        <v>2875</v>
      </c>
      <c r="KOA1331" s="4" t="s">
        <v>2875</v>
      </c>
      <c r="KOB1331" s="4" t="s">
        <v>2875</v>
      </c>
      <c r="KOC1331" s="4" t="s">
        <v>2875</v>
      </c>
      <c r="KOD1331" s="4" t="s">
        <v>2875</v>
      </c>
      <c r="KOE1331" s="4" t="s">
        <v>2875</v>
      </c>
      <c r="KOF1331" s="4" t="s">
        <v>2875</v>
      </c>
      <c r="KOG1331" s="4" t="s">
        <v>2875</v>
      </c>
      <c r="KOH1331" s="4" t="s">
        <v>2875</v>
      </c>
      <c r="KOI1331" s="4" t="s">
        <v>2875</v>
      </c>
      <c r="KOJ1331" s="4" t="s">
        <v>2875</v>
      </c>
      <c r="KOK1331" s="4" t="s">
        <v>2875</v>
      </c>
      <c r="KOL1331" s="4" t="s">
        <v>2875</v>
      </c>
      <c r="KOM1331" s="4" t="s">
        <v>2875</v>
      </c>
      <c r="KON1331" s="4" t="s">
        <v>2875</v>
      </c>
      <c r="KOO1331" s="4" t="s">
        <v>2875</v>
      </c>
      <c r="KOP1331" s="4" t="s">
        <v>2875</v>
      </c>
      <c r="KOQ1331" s="4" t="s">
        <v>2875</v>
      </c>
      <c r="KOR1331" s="4" t="s">
        <v>2875</v>
      </c>
      <c r="KOS1331" s="4" t="s">
        <v>2875</v>
      </c>
      <c r="KOT1331" s="4" t="s">
        <v>2875</v>
      </c>
      <c r="KOU1331" s="4" t="s">
        <v>2875</v>
      </c>
      <c r="KOV1331" s="4" t="s">
        <v>2875</v>
      </c>
      <c r="KOW1331" s="4" t="s">
        <v>2875</v>
      </c>
      <c r="KOX1331" s="4" t="s">
        <v>2875</v>
      </c>
      <c r="KOY1331" s="4" t="s">
        <v>2875</v>
      </c>
      <c r="KOZ1331" s="4" t="s">
        <v>2875</v>
      </c>
      <c r="KPA1331" s="4" t="s">
        <v>2875</v>
      </c>
      <c r="KPB1331" s="4" t="s">
        <v>2875</v>
      </c>
      <c r="KPC1331" s="4" t="s">
        <v>2875</v>
      </c>
      <c r="KPD1331" s="4" t="s">
        <v>2875</v>
      </c>
      <c r="KPE1331" s="4" t="s">
        <v>2875</v>
      </c>
      <c r="KPF1331" s="4" t="s">
        <v>2875</v>
      </c>
      <c r="KPG1331" s="4" t="s">
        <v>2875</v>
      </c>
      <c r="KPH1331" s="4" t="s">
        <v>2875</v>
      </c>
      <c r="KPI1331" s="4" t="s">
        <v>2875</v>
      </c>
      <c r="KPJ1331" s="4" t="s">
        <v>2875</v>
      </c>
      <c r="KPK1331" s="4" t="s">
        <v>2875</v>
      </c>
      <c r="KPL1331" s="4" t="s">
        <v>2875</v>
      </c>
      <c r="KPM1331" s="4" t="s">
        <v>2875</v>
      </c>
      <c r="KPN1331" s="4" t="s">
        <v>2875</v>
      </c>
      <c r="KPO1331" s="4" t="s">
        <v>2875</v>
      </c>
      <c r="KPP1331" s="4" t="s">
        <v>2875</v>
      </c>
      <c r="KPQ1331" s="4" t="s">
        <v>2875</v>
      </c>
      <c r="KPR1331" s="4" t="s">
        <v>2875</v>
      </c>
      <c r="KPS1331" s="4" t="s">
        <v>2875</v>
      </c>
      <c r="KPT1331" s="4" t="s">
        <v>2875</v>
      </c>
      <c r="KPU1331" s="4" t="s">
        <v>2875</v>
      </c>
      <c r="KPV1331" s="4" t="s">
        <v>2875</v>
      </c>
      <c r="KPW1331" s="4" t="s">
        <v>2875</v>
      </c>
      <c r="KPX1331" s="4" t="s">
        <v>2875</v>
      </c>
      <c r="KPY1331" s="4" t="s">
        <v>2875</v>
      </c>
      <c r="KPZ1331" s="4" t="s">
        <v>2875</v>
      </c>
      <c r="KQA1331" s="4" t="s">
        <v>2875</v>
      </c>
      <c r="KQB1331" s="4" t="s">
        <v>2875</v>
      </c>
      <c r="KQC1331" s="4" t="s">
        <v>2875</v>
      </c>
      <c r="KQD1331" s="4" t="s">
        <v>2875</v>
      </c>
      <c r="KQE1331" s="4" t="s">
        <v>2875</v>
      </c>
      <c r="KQF1331" s="4" t="s">
        <v>2875</v>
      </c>
      <c r="KQG1331" s="4" t="s">
        <v>2875</v>
      </c>
      <c r="KQH1331" s="4" t="s">
        <v>2875</v>
      </c>
      <c r="KQI1331" s="4" t="s">
        <v>2875</v>
      </c>
      <c r="KQJ1331" s="4" t="s">
        <v>2875</v>
      </c>
      <c r="KQK1331" s="4" t="s">
        <v>2875</v>
      </c>
      <c r="KQL1331" s="4" t="s">
        <v>2875</v>
      </c>
      <c r="KQM1331" s="4" t="s">
        <v>2875</v>
      </c>
      <c r="KQN1331" s="4" t="s">
        <v>2875</v>
      </c>
      <c r="KQO1331" s="4" t="s">
        <v>2875</v>
      </c>
      <c r="KQP1331" s="4" t="s">
        <v>2875</v>
      </c>
      <c r="KQQ1331" s="4" t="s">
        <v>2875</v>
      </c>
      <c r="KQR1331" s="4" t="s">
        <v>2875</v>
      </c>
      <c r="KQS1331" s="4" t="s">
        <v>2875</v>
      </c>
      <c r="KQT1331" s="4" t="s">
        <v>2875</v>
      </c>
      <c r="KQU1331" s="4" t="s">
        <v>2875</v>
      </c>
      <c r="KQV1331" s="4" t="s">
        <v>2875</v>
      </c>
      <c r="KQW1331" s="4" t="s">
        <v>2875</v>
      </c>
      <c r="KQX1331" s="4" t="s">
        <v>2875</v>
      </c>
      <c r="KQY1331" s="4" t="s">
        <v>2875</v>
      </c>
      <c r="KQZ1331" s="4" t="s">
        <v>2875</v>
      </c>
      <c r="KRA1331" s="4" t="s">
        <v>2875</v>
      </c>
      <c r="KRB1331" s="4" t="s">
        <v>2875</v>
      </c>
      <c r="KRC1331" s="4" t="s">
        <v>2875</v>
      </c>
      <c r="KRD1331" s="4" t="s">
        <v>2875</v>
      </c>
      <c r="KRE1331" s="4" t="s">
        <v>2875</v>
      </c>
      <c r="KRF1331" s="4" t="s">
        <v>2875</v>
      </c>
      <c r="KRG1331" s="4" t="s">
        <v>2875</v>
      </c>
      <c r="KRH1331" s="4" t="s">
        <v>2875</v>
      </c>
      <c r="KRI1331" s="4" t="s">
        <v>2875</v>
      </c>
      <c r="KRJ1331" s="4" t="s">
        <v>2875</v>
      </c>
      <c r="KRK1331" s="4" t="s">
        <v>2875</v>
      </c>
      <c r="KRL1331" s="4" t="s">
        <v>2875</v>
      </c>
      <c r="KRM1331" s="4" t="s">
        <v>2875</v>
      </c>
      <c r="KRN1331" s="4" t="s">
        <v>2875</v>
      </c>
      <c r="KRO1331" s="4" t="s">
        <v>2875</v>
      </c>
      <c r="KRP1331" s="4" t="s">
        <v>2875</v>
      </c>
      <c r="KRQ1331" s="4" t="s">
        <v>2875</v>
      </c>
      <c r="KRR1331" s="4" t="s">
        <v>2875</v>
      </c>
      <c r="KRS1331" s="4" t="s">
        <v>2875</v>
      </c>
      <c r="KRT1331" s="4" t="s">
        <v>2875</v>
      </c>
      <c r="KRU1331" s="4" t="s">
        <v>2875</v>
      </c>
      <c r="KRV1331" s="4" t="s">
        <v>2875</v>
      </c>
      <c r="KRW1331" s="4" t="s">
        <v>2875</v>
      </c>
      <c r="KRX1331" s="4" t="s">
        <v>2875</v>
      </c>
      <c r="KRY1331" s="4" t="s">
        <v>2875</v>
      </c>
      <c r="KRZ1331" s="4" t="s">
        <v>2875</v>
      </c>
      <c r="KSA1331" s="4" t="s">
        <v>2875</v>
      </c>
      <c r="KSB1331" s="4" t="s">
        <v>2875</v>
      </c>
      <c r="KSC1331" s="4" t="s">
        <v>2875</v>
      </c>
      <c r="KSD1331" s="4" t="s">
        <v>2875</v>
      </c>
      <c r="KSE1331" s="4" t="s">
        <v>2875</v>
      </c>
      <c r="KSF1331" s="4" t="s">
        <v>2875</v>
      </c>
      <c r="KSG1331" s="4" t="s">
        <v>2875</v>
      </c>
      <c r="KSH1331" s="4" t="s">
        <v>2875</v>
      </c>
      <c r="KSI1331" s="4" t="s">
        <v>2875</v>
      </c>
      <c r="KSJ1331" s="4" t="s">
        <v>2875</v>
      </c>
      <c r="KSK1331" s="4" t="s">
        <v>2875</v>
      </c>
      <c r="KSL1331" s="4" t="s">
        <v>2875</v>
      </c>
      <c r="KSM1331" s="4" t="s">
        <v>2875</v>
      </c>
      <c r="KSN1331" s="4" t="s">
        <v>2875</v>
      </c>
      <c r="KSO1331" s="4" t="s">
        <v>2875</v>
      </c>
      <c r="KSP1331" s="4" t="s">
        <v>2875</v>
      </c>
      <c r="KSQ1331" s="4" t="s">
        <v>2875</v>
      </c>
      <c r="KSR1331" s="4" t="s">
        <v>2875</v>
      </c>
      <c r="KSS1331" s="4" t="s">
        <v>2875</v>
      </c>
      <c r="KST1331" s="4" t="s">
        <v>2875</v>
      </c>
      <c r="KSU1331" s="4" t="s">
        <v>2875</v>
      </c>
      <c r="KSV1331" s="4" t="s">
        <v>2875</v>
      </c>
      <c r="KSW1331" s="4" t="s">
        <v>2875</v>
      </c>
      <c r="KSX1331" s="4" t="s">
        <v>2875</v>
      </c>
      <c r="KSY1331" s="4" t="s">
        <v>2875</v>
      </c>
      <c r="KSZ1331" s="4" t="s">
        <v>2875</v>
      </c>
      <c r="KTA1331" s="4" t="s">
        <v>2875</v>
      </c>
      <c r="KTB1331" s="4" t="s">
        <v>2875</v>
      </c>
      <c r="KTC1331" s="4" t="s">
        <v>2875</v>
      </c>
      <c r="KTD1331" s="4" t="s">
        <v>2875</v>
      </c>
      <c r="KTE1331" s="4" t="s">
        <v>2875</v>
      </c>
      <c r="KTF1331" s="4" t="s">
        <v>2875</v>
      </c>
      <c r="KTG1331" s="4" t="s">
        <v>2875</v>
      </c>
      <c r="KTH1331" s="4" t="s">
        <v>2875</v>
      </c>
      <c r="KTI1331" s="4" t="s">
        <v>2875</v>
      </c>
      <c r="KTJ1331" s="4" t="s">
        <v>2875</v>
      </c>
      <c r="KTK1331" s="4" t="s">
        <v>2875</v>
      </c>
      <c r="KTL1331" s="4" t="s">
        <v>2875</v>
      </c>
      <c r="KTM1331" s="4" t="s">
        <v>2875</v>
      </c>
      <c r="KTN1331" s="4" t="s">
        <v>2875</v>
      </c>
      <c r="KTO1331" s="4" t="s">
        <v>2875</v>
      </c>
      <c r="KTP1331" s="4" t="s">
        <v>2875</v>
      </c>
      <c r="KTQ1331" s="4" t="s">
        <v>2875</v>
      </c>
      <c r="KTR1331" s="4" t="s">
        <v>2875</v>
      </c>
      <c r="KTS1331" s="4" t="s">
        <v>2875</v>
      </c>
      <c r="KTT1331" s="4" t="s">
        <v>2875</v>
      </c>
      <c r="KTU1331" s="4" t="s">
        <v>2875</v>
      </c>
      <c r="KTV1331" s="4" t="s">
        <v>2875</v>
      </c>
      <c r="KTW1331" s="4" t="s">
        <v>2875</v>
      </c>
      <c r="KTX1331" s="4" t="s">
        <v>2875</v>
      </c>
      <c r="KTY1331" s="4" t="s">
        <v>2875</v>
      </c>
      <c r="KTZ1331" s="4" t="s">
        <v>2875</v>
      </c>
      <c r="KUA1331" s="4" t="s">
        <v>2875</v>
      </c>
      <c r="KUB1331" s="4" t="s">
        <v>2875</v>
      </c>
      <c r="KUC1331" s="4" t="s">
        <v>2875</v>
      </c>
      <c r="KUD1331" s="4" t="s">
        <v>2875</v>
      </c>
      <c r="KUE1331" s="4" t="s">
        <v>2875</v>
      </c>
      <c r="KUF1331" s="4" t="s">
        <v>2875</v>
      </c>
      <c r="KUG1331" s="4" t="s">
        <v>2875</v>
      </c>
      <c r="KUH1331" s="4" t="s">
        <v>2875</v>
      </c>
      <c r="KUI1331" s="4" t="s">
        <v>2875</v>
      </c>
      <c r="KUJ1331" s="4" t="s">
        <v>2875</v>
      </c>
      <c r="KUK1331" s="4" t="s">
        <v>2875</v>
      </c>
      <c r="KUL1331" s="4" t="s">
        <v>2875</v>
      </c>
      <c r="KUM1331" s="4" t="s">
        <v>2875</v>
      </c>
      <c r="KUN1331" s="4" t="s">
        <v>2875</v>
      </c>
      <c r="KUO1331" s="4" t="s">
        <v>2875</v>
      </c>
      <c r="KUP1331" s="4" t="s">
        <v>2875</v>
      </c>
      <c r="KUQ1331" s="4" t="s">
        <v>2875</v>
      </c>
      <c r="KUR1331" s="4" t="s">
        <v>2875</v>
      </c>
      <c r="KUS1331" s="4" t="s">
        <v>2875</v>
      </c>
      <c r="KUT1331" s="4" t="s">
        <v>2875</v>
      </c>
      <c r="KUU1331" s="4" t="s">
        <v>2875</v>
      </c>
      <c r="KUV1331" s="4" t="s">
        <v>2875</v>
      </c>
      <c r="KUW1331" s="4" t="s">
        <v>2875</v>
      </c>
      <c r="KUX1331" s="4" t="s">
        <v>2875</v>
      </c>
      <c r="KUY1331" s="4" t="s">
        <v>2875</v>
      </c>
      <c r="KUZ1331" s="4" t="s">
        <v>2875</v>
      </c>
      <c r="KVA1331" s="4" t="s">
        <v>2875</v>
      </c>
      <c r="KVB1331" s="4" t="s">
        <v>2875</v>
      </c>
      <c r="KVC1331" s="4" t="s">
        <v>2875</v>
      </c>
      <c r="KVD1331" s="4" t="s">
        <v>2875</v>
      </c>
      <c r="KVE1331" s="4" t="s">
        <v>2875</v>
      </c>
      <c r="KVF1331" s="4" t="s">
        <v>2875</v>
      </c>
      <c r="KVG1331" s="4" t="s">
        <v>2875</v>
      </c>
      <c r="KVH1331" s="4" t="s">
        <v>2875</v>
      </c>
      <c r="KVI1331" s="4" t="s">
        <v>2875</v>
      </c>
      <c r="KVJ1331" s="4" t="s">
        <v>2875</v>
      </c>
      <c r="KVK1331" s="4" t="s">
        <v>2875</v>
      </c>
      <c r="KVL1331" s="4" t="s">
        <v>2875</v>
      </c>
      <c r="KVM1331" s="4" t="s">
        <v>2875</v>
      </c>
      <c r="KVN1331" s="4" t="s">
        <v>2875</v>
      </c>
      <c r="KVO1331" s="4" t="s">
        <v>2875</v>
      </c>
      <c r="KVP1331" s="4" t="s">
        <v>2875</v>
      </c>
      <c r="KVQ1331" s="4" t="s">
        <v>2875</v>
      </c>
      <c r="KVR1331" s="4" t="s">
        <v>2875</v>
      </c>
      <c r="KVS1331" s="4" t="s">
        <v>2875</v>
      </c>
      <c r="KVT1331" s="4" t="s">
        <v>2875</v>
      </c>
      <c r="KVU1331" s="4" t="s">
        <v>2875</v>
      </c>
      <c r="KVV1331" s="4" t="s">
        <v>2875</v>
      </c>
      <c r="KVW1331" s="4" t="s">
        <v>2875</v>
      </c>
      <c r="KVX1331" s="4" t="s">
        <v>2875</v>
      </c>
      <c r="KVY1331" s="4" t="s">
        <v>2875</v>
      </c>
      <c r="KVZ1331" s="4" t="s">
        <v>2875</v>
      </c>
      <c r="KWA1331" s="4" t="s">
        <v>2875</v>
      </c>
      <c r="KWB1331" s="4" t="s">
        <v>2875</v>
      </c>
      <c r="KWC1331" s="4" t="s">
        <v>2875</v>
      </c>
      <c r="KWD1331" s="4" t="s">
        <v>2875</v>
      </c>
      <c r="KWE1331" s="4" t="s">
        <v>2875</v>
      </c>
      <c r="KWF1331" s="4" t="s">
        <v>2875</v>
      </c>
      <c r="KWG1331" s="4" t="s">
        <v>2875</v>
      </c>
      <c r="KWH1331" s="4" t="s">
        <v>2875</v>
      </c>
      <c r="KWI1331" s="4" t="s">
        <v>2875</v>
      </c>
      <c r="KWJ1331" s="4" t="s">
        <v>2875</v>
      </c>
      <c r="KWK1331" s="4" t="s">
        <v>2875</v>
      </c>
      <c r="KWL1331" s="4" t="s">
        <v>2875</v>
      </c>
      <c r="KWM1331" s="4" t="s">
        <v>2875</v>
      </c>
      <c r="KWN1331" s="4" t="s">
        <v>2875</v>
      </c>
      <c r="KWO1331" s="4" t="s">
        <v>2875</v>
      </c>
      <c r="KWP1331" s="4" t="s">
        <v>2875</v>
      </c>
      <c r="KWQ1331" s="4" t="s">
        <v>2875</v>
      </c>
      <c r="KWR1331" s="4" t="s">
        <v>2875</v>
      </c>
      <c r="KWS1331" s="4" t="s">
        <v>2875</v>
      </c>
      <c r="KWT1331" s="4" t="s">
        <v>2875</v>
      </c>
      <c r="KWU1331" s="4" t="s">
        <v>2875</v>
      </c>
      <c r="KWV1331" s="4" t="s">
        <v>2875</v>
      </c>
      <c r="KWW1331" s="4" t="s">
        <v>2875</v>
      </c>
      <c r="KWX1331" s="4" t="s">
        <v>2875</v>
      </c>
      <c r="KWY1331" s="4" t="s">
        <v>2875</v>
      </c>
      <c r="KWZ1331" s="4" t="s">
        <v>2875</v>
      </c>
      <c r="KXA1331" s="4" t="s">
        <v>2875</v>
      </c>
      <c r="KXB1331" s="4" t="s">
        <v>2875</v>
      </c>
      <c r="KXC1331" s="4" t="s">
        <v>2875</v>
      </c>
      <c r="KXD1331" s="4" t="s">
        <v>2875</v>
      </c>
      <c r="KXE1331" s="4" t="s">
        <v>2875</v>
      </c>
      <c r="KXF1331" s="4" t="s">
        <v>2875</v>
      </c>
      <c r="KXG1331" s="4" t="s">
        <v>2875</v>
      </c>
      <c r="KXH1331" s="4" t="s">
        <v>2875</v>
      </c>
      <c r="KXI1331" s="4" t="s">
        <v>2875</v>
      </c>
      <c r="KXJ1331" s="4" t="s">
        <v>2875</v>
      </c>
      <c r="KXK1331" s="4" t="s">
        <v>2875</v>
      </c>
      <c r="KXL1331" s="4" t="s">
        <v>2875</v>
      </c>
      <c r="KXM1331" s="4" t="s">
        <v>2875</v>
      </c>
      <c r="KXN1331" s="4" t="s">
        <v>2875</v>
      </c>
      <c r="KXO1331" s="4" t="s">
        <v>2875</v>
      </c>
      <c r="KXP1331" s="4" t="s">
        <v>2875</v>
      </c>
      <c r="KXQ1331" s="4" t="s">
        <v>2875</v>
      </c>
      <c r="KXR1331" s="4" t="s">
        <v>2875</v>
      </c>
      <c r="KXS1331" s="4" t="s">
        <v>2875</v>
      </c>
      <c r="KXT1331" s="4" t="s">
        <v>2875</v>
      </c>
      <c r="KXU1331" s="4" t="s">
        <v>2875</v>
      </c>
      <c r="KXV1331" s="4" t="s">
        <v>2875</v>
      </c>
      <c r="KXW1331" s="4" t="s">
        <v>2875</v>
      </c>
      <c r="KXX1331" s="4" t="s">
        <v>2875</v>
      </c>
      <c r="KXY1331" s="4" t="s">
        <v>2875</v>
      </c>
      <c r="KXZ1331" s="4" t="s">
        <v>2875</v>
      </c>
      <c r="KYA1331" s="4" t="s">
        <v>2875</v>
      </c>
      <c r="KYB1331" s="4" t="s">
        <v>2875</v>
      </c>
      <c r="KYC1331" s="4" t="s">
        <v>2875</v>
      </c>
      <c r="KYD1331" s="4" t="s">
        <v>2875</v>
      </c>
      <c r="KYE1331" s="4" t="s">
        <v>2875</v>
      </c>
      <c r="KYF1331" s="4" t="s">
        <v>2875</v>
      </c>
      <c r="KYG1331" s="4" t="s">
        <v>2875</v>
      </c>
      <c r="KYH1331" s="4" t="s">
        <v>2875</v>
      </c>
      <c r="KYI1331" s="4" t="s">
        <v>2875</v>
      </c>
      <c r="KYJ1331" s="4" t="s">
        <v>2875</v>
      </c>
      <c r="KYK1331" s="4" t="s">
        <v>2875</v>
      </c>
      <c r="KYL1331" s="4" t="s">
        <v>2875</v>
      </c>
      <c r="KYM1331" s="4" t="s">
        <v>2875</v>
      </c>
      <c r="KYN1331" s="4" t="s">
        <v>2875</v>
      </c>
      <c r="KYO1331" s="4" t="s">
        <v>2875</v>
      </c>
      <c r="KYP1331" s="4" t="s">
        <v>2875</v>
      </c>
      <c r="KYQ1331" s="4" t="s">
        <v>2875</v>
      </c>
      <c r="KYR1331" s="4" t="s">
        <v>2875</v>
      </c>
      <c r="KYS1331" s="4" t="s">
        <v>2875</v>
      </c>
      <c r="KYT1331" s="4" t="s">
        <v>2875</v>
      </c>
      <c r="KYU1331" s="4" t="s">
        <v>2875</v>
      </c>
      <c r="KYV1331" s="4" t="s">
        <v>2875</v>
      </c>
      <c r="KYW1331" s="4" t="s">
        <v>2875</v>
      </c>
      <c r="KYX1331" s="4" t="s">
        <v>2875</v>
      </c>
      <c r="KYY1331" s="4" t="s">
        <v>2875</v>
      </c>
      <c r="KYZ1331" s="4" t="s">
        <v>2875</v>
      </c>
      <c r="KZA1331" s="4" t="s">
        <v>2875</v>
      </c>
      <c r="KZB1331" s="4" t="s">
        <v>2875</v>
      </c>
      <c r="KZC1331" s="4" t="s">
        <v>2875</v>
      </c>
      <c r="KZD1331" s="4" t="s">
        <v>2875</v>
      </c>
      <c r="KZE1331" s="4" t="s">
        <v>2875</v>
      </c>
      <c r="KZF1331" s="4" t="s">
        <v>2875</v>
      </c>
      <c r="KZG1331" s="4" t="s">
        <v>2875</v>
      </c>
      <c r="KZH1331" s="4" t="s">
        <v>2875</v>
      </c>
      <c r="KZI1331" s="4" t="s">
        <v>2875</v>
      </c>
      <c r="KZJ1331" s="4" t="s">
        <v>2875</v>
      </c>
      <c r="KZK1331" s="4" t="s">
        <v>2875</v>
      </c>
      <c r="KZL1331" s="4" t="s">
        <v>2875</v>
      </c>
      <c r="KZM1331" s="4" t="s">
        <v>2875</v>
      </c>
      <c r="KZN1331" s="4" t="s">
        <v>2875</v>
      </c>
      <c r="KZO1331" s="4" t="s">
        <v>2875</v>
      </c>
      <c r="KZP1331" s="4" t="s">
        <v>2875</v>
      </c>
      <c r="KZQ1331" s="4" t="s">
        <v>2875</v>
      </c>
      <c r="KZR1331" s="4" t="s">
        <v>2875</v>
      </c>
      <c r="KZS1331" s="4" t="s">
        <v>2875</v>
      </c>
      <c r="KZT1331" s="4" t="s">
        <v>2875</v>
      </c>
      <c r="KZU1331" s="4" t="s">
        <v>2875</v>
      </c>
      <c r="KZV1331" s="4" t="s">
        <v>2875</v>
      </c>
      <c r="KZW1331" s="4" t="s">
        <v>2875</v>
      </c>
      <c r="KZX1331" s="4" t="s">
        <v>2875</v>
      </c>
      <c r="KZY1331" s="4" t="s">
        <v>2875</v>
      </c>
      <c r="KZZ1331" s="4" t="s">
        <v>2875</v>
      </c>
      <c r="LAA1331" s="4" t="s">
        <v>2875</v>
      </c>
      <c r="LAB1331" s="4" t="s">
        <v>2875</v>
      </c>
      <c r="LAC1331" s="4" t="s">
        <v>2875</v>
      </c>
      <c r="LAD1331" s="4" t="s">
        <v>2875</v>
      </c>
      <c r="LAE1331" s="4" t="s">
        <v>2875</v>
      </c>
      <c r="LAF1331" s="4" t="s">
        <v>2875</v>
      </c>
      <c r="LAG1331" s="4" t="s">
        <v>2875</v>
      </c>
      <c r="LAH1331" s="4" t="s">
        <v>2875</v>
      </c>
      <c r="LAI1331" s="4" t="s">
        <v>2875</v>
      </c>
      <c r="LAJ1331" s="4" t="s">
        <v>2875</v>
      </c>
      <c r="LAK1331" s="4" t="s">
        <v>2875</v>
      </c>
      <c r="LAL1331" s="4" t="s">
        <v>2875</v>
      </c>
      <c r="LAM1331" s="4" t="s">
        <v>2875</v>
      </c>
      <c r="LAN1331" s="4" t="s">
        <v>2875</v>
      </c>
      <c r="LAO1331" s="4" t="s">
        <v>2875</v>
      </c>
      <c r="LAP1331" s="4" t="s">
        <v>2875</v>
      </c>
      <c r="LAQ1331" s="4" t="s">
        <v>2875</v>
      </c>
      <c r="LAR1331" s="4" t="s">
        <v>2875</v>
      </c>
      <c r="LAS1331" s="4" t="s">
        <v>2875</v>
      </c>
      <c r="LAT1331" s="4" t="s">
        <v>2875</v>
      </c>
      <c r="LAU1331" s="4" t="s">
        <v>2875</v>
      </c>
      <c r="LAV1331" s="4" t="s">
        <v>2875</v>
      </c>
      <c r="LAW1331" s="4" t="s">
        <v>2875</v>
      </c>
      <c r="LAX1331" s="4" t="s">
        <v>2875</v>
      </c>
      <c r="LAY1331" s="4" t="s">
        <v>2875</v>
      </c>
      <c r="LAZ1331" s="4" t="s">
        <v>2875</v>
      </c>
      <c r="LBA1331" s="4" t="s">
        <v>2875</v>
      </c>
      <c r="LBB1331" s="4" t="s">
        <v>2875</v>
      </c>
      <c r="LBC1331" s="4" t="s">
        <v>2875</v>
      </c>
      <c r="LBD1331" s="4" t="s">
        <v>2875</v>
      </c>
      <c r="LBE1331" s="4" t="s">
        <v>2875</v>
      </c>
      <c r="LBF1331" s="4" t="s">
        <v>2875</v>
      </c>
      <c r="LBG1331" s="4" t="s">
        <v>2875</v>
      </c>
      <c r="LBH1331" s="4" t="s">
        <v>2875</v>
      </c>
      <c r="LBI1331" s="4" t="s">
        <v>2875</v>
      </c>
      <c r="LBJ1331" s="4" t="s">
        <v>2875</v>
      </c>
      <c r="LBK1331" s="4" t="s">
        <v>2875</v>
      </c>
      <c r="LBL1331" s="4" t="s">
        <v>2875</v>
      </c>
      <c r="LBM1331" s="4" t="s">
        <v>2875</v>
      </c>
      <c r="LBN1331" s="4" t="s">
        <v>2875</v>
      </c>
      <c r="LBO1331" s="4" t="s">
        <v>2875</v>
      </c>
      <c r="LBP1331" s="4" t="s">
        <v>2875</v>
      </c>
      <c r="LBQ1331" s="4" t="s">
        <v>2875</v>
      </c>
      <c r="LBR1331" s="4" t="s">
        <v>2875</v>
      </c>
      <c r="LBS1331" s="4" t="s">
        <v>2875</v>
      </c>
      <c r="LBT1331" s="4" t="s">
        <v>2875</v>
      </c>
      <c r="LBU1331" s="4" t="s">
        <v>2875</v>
      </c>
      <c r="LBV1331" s="4" t="s">
        <v>2875</v>
      </c>
      <c r="LBW1331" s="4" t="s">
        <v>2875</v>
      </c>
      <c r="LBX1331" s="4" t="s">
        <v>2875</v>
      </c>
      <c r="LBY1331" s="4" t="s">
        <v>2875</v>
      </c>
      <c r="LBZ1331" s="4" t="s">
        <v>2875</v>
      </c>
      <c r="LCA1331" s="4" t="s">
        <v>2875</v>
      </c>
      <c r="LCB1331" s="4" t="s">
        <v>2875</v>
      </c>
      <c r="LCC1331" s="4" t="s">
        <v>2875</v>
      </c>
      <c r="LCD1331" s="4" t="s">
        <v>2875</v>
      </c>
      <c r="LCE1331" s="4" t="s">
        <v>2875</v>
      </c>
      <c r="LCF1331" s="4" t="s">
        <v>2875</v>
      </c>
      <c r="LCG1331" s="4" t="s">
        <v>2875</v>
      </c>
      <c r="LCH1331" s="4" t="s">
        <v>2875</v>
      </c>
      <c r="LCI1331" s="4" t="s">
        <v>2875</v>
      </c>
      <c r="LCJ1331" s="4" t="s">
        <v>2875</v>
      </c>
      <c r="LCK1331" s="4" t="s">
        <v>2875</v>
      </c>
      <c r="LCL1331" s="4" t="s">
        <v>2875</v>
      </c>
      <c r="LCM1331" s="4" t="s">
        <v>2875</v>
      </c>
      <c r="LCN1331" s="4" t="s">
        <v>2875</v>
      </c>
      <c r="LCO1331" s="4" t="s">
        <v>2875</v>
      </c>
      <c r="LCP1331" s="4" t="s">
        <v>2875</v>
      </c>
      <c r="LCQ1331" s="4" t="s">
        <v>2875</v>
      </c>
      <c r="LCR1331" s="4" t="s">
        <v>2875</v>
      </c>
      <c r="LCS1331" s="4" t="s">
        <v>2875</v>
      </c>
      <c r="LCT1331" s="4" t="s">
        <v>2875</v>
      </c>
      <c r="LCU1331" s="4" t="s">
        <v>2875</v>
      </c>
      <c r="LCV1331" s="4" t="s">
        <v>2875</v>
      </c>
      <c r="LCW1331" s="4" t="s">
        <v>2875</v>
      </c>
      <c r="LCX1331" s="4" t="s">
        <v>2875</v>
      </c>
      <c r="LCY1331" s="4" t="s">
        <v>2875</v>
      </c>
      <c r="LCZ1331" s="4" t="s">
        <v>2875</v>
      </c>
      <c r="LDA1331" s="4" t="s">
        <v>2875</v>
      </c>
      <c r="LDB1331" s="4" t="s">
        <v>2875</v>
      </c>
      <c r="LDC1331" s="4" t="s">
        <v>2875</v>
      </c>
      <c r="LDD1331" s="4" t="s">
        <v>2875</v>
      </c>
      <c r="LDE1331" s="4" t="s">
        <v>2875</v>
      </c>
      <c r="LDF1331" s="4" t="s">
        <v>2875</v>
      </c>
      <c r="LDG1331" s="4" t="s">
        <v>2875</v>
      </c>
      <c r="LDH1331" s="4" t="s">
        <v>2875</v>
      </c>
      <c r="LDI1331" s="4" t="s">
        <v>2875</v>
      </c>
      <c r="LDJ1331" s="4" t="s">
        <v>2875</v>
      </c>
      <c r="LDK1331" s="4" t="s">
        <v>2875</v>
      </c>
      <c r="LDL1331" s="4" t="s">
        <v>2875</v>
      </c>
      <c r="LDM1331" s="4" t="s">
        <v>2875</v>
      </c>
      <c r="LDN1331" s="4" t="s">
        <v>2875</v>
      </c>
      <c r="LDO1331" s="4" t="s">
        <v>2875</v>
      </c>
      <c r="LDP1331" s="4" t="s">
        <v>2875</v>
      </c>
      <c r="LDQ1331" s="4" t="s">
        <v>2875</v>
      </c>
      <c r="LDR1331" s="4" t="s">
        <v>2875</v>
      </c>
      <c r="LDS1331" s="4" t="s">
        <v>2875</v>
      </c>
      <c r="LDT1331" s="4" t="s">
        <v>2875</v>
      </c>
      <c r="LDU1331" s="4" t="s">
        <v>2875</v>
      </c>
      <c r="LDV1331" s="4" t="s">
        <v>2875</v>
      </c>
      <c r="LDW1331" s="4" t="s">
        <v>2875</v>
      </c>
      <c r="LDX1331" s="4" t="s">
        <v>2875</v>
      </c>
      <c r="LDY1331" s="4" t="s">
        <v>2875</v>
      </c>
      <c r="LDZ1331" s="4" t="s">
        <v>2875</v>
      </c>
      <c r="LEA1331" s="4" t="s">
        <v>2875</v>
      </c>
      <c r="LEB1331" s="4" t="s">
        <v>2875</v>
      </c>
      <c r="LEC1331" s="4" t="s">
        <v>2875</v>
      </c>
      <c r="LED1331" s="4" t="s">
        <v>2875</v>
      </c>
      <c r="LEE1331" s="4" t="s">
        <v>2875</v>
      </c>
      <c r="LEF1331" s="4" t="s">
        <v>2875</v>
      </c>
      <c r="LEG1331" s="4" t="s">
        <v>2875</v>
      </c>
      <c r="LEH1331" s="4" t="s">
        <v>2875</v>
      </c>
      <c r="LEI1331" s="4" t="s">
        <v>2875</v>
      </c>
      <c r="LEJ1331" s="4" t="s">
        <v>2875</v>
      </c>
      <c r="LEK1331" s="4" t="s">
        <v>2875</v>
      </c>
      <c r="LEL1331" s="4" t="s">
        <v>2875</v>
      </c>
      <c r="LEM1331" s="4" t="s">
        <v>2875</v>
      </c>
      <c r="LEN1331" s="4" t="s">
        <v>2875</v>
      </c>
      <c r="LEO1331" s="4" t="s">
        <v>2875</v>
      </c>
      <c r="LEP1331" s="4" t="s">
        <v>2875</v>
      </c>
      <c r="LEQ1331" s="4" t="s">
        <v>2875</v>
      </c>
      <c r="LER1331" s="4" t="s">
        <v>2875</v>
      </c>
      <c r="LES1331" s="4" t="s">
        <v>2875</v>
      </c>
      <c r="LET1331" s="4" t="s">
        <v>2875</v>
      </c>
      <c r="LEU1331" s="4" t="s">
        <v>2875</v>
      </c>
      <c r="LEV1331" s="4" t="s">
        <v>2875</v>
      </c>
      <c r="LEW1331" s="4" t="s">
        <v>2875</v>
      </c>
      <c r="LEX1331" s="4" t="s">
        <v>2875</v>
      </c>
      <c r="LEY1331" s="4" t="s">
        <v>2875</v>
      </c>
      <c r="LEZ1331" s="4" t="s">
        <v>2875</v>
      </c>
      <c r="LFA1331" s="4" t="s">
        <v>2875</v>
      </c>
      <c r="LFB1331" s="4" t="s">
        <v>2875</v>
      </c>
      <c r="LFC1331" s="4" t="s">
        <v>2875</v>
      </c>
      <c r="LFD1331" s="4" t="s">
        <v>2875</v>
      </c>
      <c r="LFE1331" s="4" t="s">
        <v>2875</v>
      </c>
      <c r="LFF1331" s="4" t="s">
        <v>2875</v>
      </c>
      <c r="LFG1331" s="4" t="s">
        <v>2875</v>
      </c>
      <c r="LFH1331" s="4" t="s">
        <v>2875</v>
      </c>
      <c r="LFI1331" s="4" t="s">
        <v>2875</v>
      </c>
      <c r="LFJ1331" s="4" t="s">
        <v>2875</v>
      </c>
      <c r="LFK1331" s="4" t="s">
        <v>2875</v>
      </c>
      <c r="LFL1331" s="4" t="s">
        <v>2875</v>
      </c>
      <c r="LFM1331" s="4" t="s">
        <v>2875</v>
      </c>
      <c r="LFN1331" s="4" t="s">
        <v>2875</v>
      </c>
      <c r="LFO1331" s="4" t="s">
        <v>2875</v>
      </c>
      <c r="LFP1331" s="4" t="s">
        <v>2875</v>
      </c>
      <c r="LFQ1331" s="4" t="s">
        <v>2875</v>
      </c>
      <c r="LFR1331" s="4" t="s">
        <v>2875</v>
      </c>
      <c r="LFS1331" s="4" t="s">
        <v>2875</v>
      </c>
      <c r="LFT1331" s="4" t="s">
        <v>2875</v>
      </c>
      <c r="LFU1331" s="4" t="s">
        <v>2875</v>
      </c>
      <c r="LFV1331" s="4" t="s">
        <v>2875</v>
      </c>
      <c r="LFW1331" s="4" t="s">
        <v>2875</v>
      </c>
      <c r="LFX1331" s="4" t="s">
        <v>2875</v>
      </c>
      <c r="LFY1331" s="4" t="s">
        <v>2875</v>
      </c>
      <c r="LFZ1331" s="4" t="s">
        <v>2875</v>
      </c>
      <c r="LGA1331" s="4" t="s">
        <v>2875</v>
      </c>
      <c r="LGB1331" s="4" t="s">
        <v>2875</v>
      </c>
      <c r="LGC1331" s="4" t="s">
        <v>2875</v>
      </c>
      <c r="LGD1331" s="4" t="s">
        <v>2875</v>
      </c>
      <c r="LGE1331" s="4" t="s">
        <v>2875</v>
      </c>
      <c r="LGF1331" s="4" t="s">
        <v>2875</v>
      </c>
      <c r="LGG1331" s="4" t="s">
        <v>2875</v>
      </c>
      <c r="LGH1331" s="4" t="s">
        <v>2875</v>
      </c>
      <c r="LGI1331" s="4" t="s">
        <v>2875</v>
      </c>
      <c r="LGJ1331" s="4" t="s">
        <v>2875</v>
      </c>
      <c r="LGK1331" s="4" t="s">
        <v>2875</v>
      </c>
      <c r="LGL1331" s="4" t="s">
        <v>2875</v>
      </c>
      <c r="LGM1331" s="4" t="s">
        <v>2875</v>
      </c>
      <c r="LGN1331" s="4" t="s">
        <v>2875</v>
      </c>
      <c r="LGO1331" s="4" t="s">
        <v>2875</v>
      </c>
      <c r="LGP1331" s="4" t="s">
        <v>2875</v>
      </c>
      <c r="LGQ1331" s="4" t="s">
        <v>2875</v>
      </c>
      <c r="LGR1331" s="4" t="s">
        <v>2875</v>
      </c>
      <c r="LGS1331" s="4" t="s">
        <v>2875</v>
      </c>
      <c r="LGT1331" s="4" t="s">
        <v>2875</v>
      </c>
      <c r="LGU1331" s="4" t="s">
        <v>2875</v>
      </c>
      <c r="LGV1331" s="4" t="s">
        <v>2875</v>
      </c>
      <c r="LGW1331" s="4" t="s">
        <v>2875</v>
      </c>
      <c r="LGX1331" s="4" t="s">
        <v>2875</v>
      </c>
      <c r="LGY1331" s="4" t="s">
        <v>2875</v>
      </c>
      <c r="LGZ1331" s="4" t="s">
        <v>2875</v>
      </c>
      <c r="LHA1331" s="4" t="s">
        <v>2875</v>
      </c>
      <c r="LHB1331" s="4" t="s">
        <v>2875</v>
      </c>
      <c r="LHC1331" s="4" t="s">
        <v>2875</v>
      </c>
      <c r="LHD1331" s="4" t="s">
        <v>2875</v>
      </c>
      <c r="LHE1331" s="4" t="s">
        <v>2875</v>
      </c>
      <c r="LHF1331" s="4" t="s">
        <v>2875</v>
      </c>
      <c r="LHG1331" s="4" t="s">
        <v>2875</v>
      </c>
      <c r="LHH1331" s="4" t="s">
        <v>2875</v>
      </c>
      <c r="LHI1331" s="4" t="s">
        <v>2875</v>
      </c>
      <c r="LHJ1331" s="4" t="s">
        <v>2875</v>
      </c>
      <c r="LHK1331" s="4" t="s">
        <v>2875</v>
      </c>
      <c r="LHL1331" s="4" t="s">
        <v>2875</v>
      </c>
      <c r="LHM1331" s="4" t="s">
        <v>2875</v>
      </c>
      <c r="LHN1331" s="4" t="s">
        <v>2875</v>
      </c>
      <c r="LHO1331" s="4" t="s">
        <v>2875</v>
      </c>
      <c r="LHP1331" s="4" t="s">
        <v>2875</v>
      </c>
      <c r="LHQ1331" s="4" t="s">
        <v>2875</v>
      </c>
      <c r="LHR1331" s="4" t="s">
        <v>2875</v>
      </c>
      <c r="LHS1331" s="4" t="s">
        <v>2875</v>
      </c>
      <c r="LHT1331" s="4" t="s">
        <v>2875</v>
      </c>
      <c r="LHU1331" s="4" t="s">
        <v>2875</v>
      </c>
      <c r="LHV1331" s="4" t="s">
        <v>2875</v>
      </c>
      <c r="LHW1331" s="4" t="s">
        <v>2875</v>
      </c>
      <c r="LHX1331" s="4" t="s">
        <v>2875</v>
      </c>
      <c r="LHY1331" s="4" t="s">
        <v>2875</v>
      </c>
      <c r="LHZ1331" s="4" t="s">
        <v>2875</v>
      </c>
      <c r="LIA1331" s="4" t="s">
        <v>2875</v>
      </c>
      <c r="LIB1331" s="4" t="s">
        <v>2875</v>
      </c>
      <c r="LIC1331" s="4" t="s">
        <v>2875</v>
      </c>
      <c r="LID1331" s="4" t="s">
        <v>2875</v>
      </c>
      <c r="LIE1331" s="4" t="s">
        <v>2875</v>
      </c>
      <c r="LIF1331" s="4" t="s">
        <v>2875</v>
      </c>
      <c r="LIG1331" s="4" t="s">
        <v>2875</v>
      </c>
      <c r="LIH1331" s="4" t="s">
        <v>2875</v>
      </c>
      <c r="LII1331" s="4" t="s">
        <v>2875</v>
      </c>
      <c r="LIJ1331" s="4" t="s">
        <v>2875</v>
      </c>
      <c r="LIK1331" s="4" t="s">
        <v>2875</v>
      </c>
      <c r="LIL1331" s="4" t="s">
        <v>2875</v>
      </c>
      <c r="LIM1331" s="4" t="s">
        <v>2875</v>
      </c>
      <c r="LIN1331" s="4" t="s">
        <v>2875</v>
      </c>
      <c r="LIO1331" s="4" t="s">
        <v>2875</v>
      </c>
      <c r="LIP1331" s="4" t="s">
        <v>2875</v>
      </c>
      <c r="LIQ1331" s="4" t="s">
        <v>2875</v>
      </c>
      <c r="LIR1331" s="4" t="s">
        <v>2875</v>
      </c>
      <c r="LIS1331" s="4" t="s">
        <v>2875</v>
      </c>
      <c r="LIT1331" s="4" t="s">
        <v>2875</v>
      </c>
      <c r="LIU1331" s="4" t="s">
        <v>2875</v>
      </c>
      <c r="LIV1331" s="4" t="s">
        <v>2875</v>
      </c>
      <c r="LIW1331" s="4" t="s">
        <v>2875</v>
      </c>
      <c r="LIX1331" s="4" t="s">
        <v>2875</v>
      </c>
      <c r="LIY1331" s="4" t="s">
        <v>2875</v>
      </c>
      <c r="LIZ1331" s="4" t="s">
        <v>2875</v>
      </c>
      <c r="LJA1331" s="4" t="s">
        <v>2875</v>
      </c>
      <c r="LJB1331" s="4" t="s">
        <v>2875</v>
      </c>
      <c r="LJC1331" s="4" t="s">
        <v>2875</v>
      </c>
      <c r="LJD1331" s="4" t="s">
        <v>2875</v>
      </c>
      <c r="LJE1331" s="4" t="s">
        <v>2875</v>
      </c>
      <c r="LJF1331" s="4" t="s">
        <v>2875</v>
      </c>
      <c r="LJG1331" s="4" t="s">
        <v>2875</v>
      </c>
      <c r="LJH1331" s="4" t="s">
        <v>2875</v>
      </c>
      <c r="LJI1331" s="4" t="s">
        <v>2875</v>
      </c>
      <c r="LJJ1331" s="4" t="s">
        <v>2875</v>
      </c>
      <c r="LJK1331" s="4" t="s">
        <v>2875</v>
      </c>
      <c r="LJL1331" s="4" t="s">
        <v>2875</v>
      </c>
      <c r="LJM1331" s="4" t="s">
        <v>2875</v>
      </c>
      <c r="LJN1331" s="4" t="s">
        <v>2875</v>
      </c>
      <c r="LJO1331" s="4" t="s">
        <v>2875</v>
      </c>
      <c r="LJP1331" s="4" t="s">
        <v>2875</v>
      </c>
      <c r="LJQ1331" s="4" t="s">
        <v>2875</v>
      </c>
      <c r="LJR1331" s="4" t="s">
        <v>2875</v>
      </c>
      <c r="LJS1331" s="4" t="s">
        <v>2875</v>
      </c>
      <c r="LJT1331" s="4" t="s">
        <v>2875</v>
      </c>
      <c r="LJU1331" s="4" t="s">
        <v>2875</v>
      </c>
      <c r="LJV1331" s="4" t="s">
        <v>2875</v>
      </c>
      <c r="LJW1331" s="4" t="s">
        <v>2875</v>
      </c>
      <c r="LJX1331" s="4" t="s">
        <v>2875</v>
      </c>
      <c r="LJY1331" s="4" t="s">
        <v>2875</v>
      </c>
      <c r="LJZ1331" s="4" t="s">
        <v>2875</v>
      </c>
      <c r="LKA1331" s="4" t="s">
        <v>2875</v>
      </c>
      <c r="LKB1331" s="4" t="s">
        <v>2875</v>
      </c>
      <c r="LKC1331" s="4" t="s">
        <v>2875</v>
      </c>
      <c r="LKD1331" s="4" t="s">
        <v>2875</v>
      </c>
      <c r="LKE1331" s="4" t="s">
        <v>2875</v>
      </c>
      <c r="LKF1331" s="4" t="s">
        <v>2875</v>
      </c>
      <c r="LKG1331" s="4" t="s">
        <v>2875</v>
      </c>
      <c r="LKH1331" s="4" t="s">
        <v>2875</v>
      </c>
      <c r="LKI1331" s="4" t="s">
        <v>2875</v>
      </c>
      <c r="LKJ1331" s="4" t="s">
        <v>2875</v>
      </c>
      <c r="LKK1331" s="4" t="s">
        <v>2875</v>
      </c>
      <c r="LKL1331" s="4" t="s">
        <v>2875</v>
      </c>
      <c r="LKM1331" s="4" t="s">
        <v>2875</v>
      </c>
      <c r="LKN1331" s="4" t="s">
        <v>2875</v>
      </c>
      <c r="LKO1331" s="4" t="s">
        <v>2875</v>
      </c>
      <c r="LKP1331" s="4" t="s">
        <v>2875</v>
      </c>
      <c r="LKQ1331" s="4" t="s">
        <v>2875</v>
      </c>
      <c r="LKR1331" s="4" t="s">
        <v>2875</v>
      </c>
      <c r="LKS1331" s="4" t="s">
        <v>2875</v>
      </c>
      <c r="LKT1331" s="4" t="s">
        <v>2875</v>
      </c>
      <c r="LKU1331" s="4" t="s">
        <v>2875</v>
      </c>
      <c r="LKV1331" s="4" t="s">
        <v>2875</v>
      </c>
      <c r="LKW1331" s="4" t="s">
        <v>2875</v>
      </c>
      <c r="LKX1331" s="4" t="s">
        <v>2875</v>
      </c>
      <c r="LKY1331" s="4" t="s">
        <v>2875</v>
      </c>
      <c r="LKZ1331" s="4" t="s">
        <v>2875</v>
      </c>
      <c r="LLA1331" s="4" t="s">
        <v>2875</v>
      </c>
      <c r="LLB1331" s="4" t="s">
        <v>2875</v>
      </c>
      <c r="LLC1331" s="4" t="s">
        <v>2875</v>
      </c>
      <c r="LLD1331" s="4" t="s">
        <v>2875</v>
      </c>
      <c r="LLE1331" s="4" t="s">
        <v>2875</v>
      </c>
      <c r="LLF1331" s="4" t="s">
        <v>2875</v>
      </c>
      <c r="LLG1331" s="4" t="s">
        <v>2875</v>
      </c>
      <c r="LLH1331" s="4" t="s">
        <v>2875</v>
      </c>
      <c r="LLI1331" s="4" t="s">
        <v>2875</v>
      </c>
      <c r="LLJ1331" s="4" t="s">
        <v>2875</v>
      </c>
      <c r="LLK1331" s="4" t="s">
        <v>2875</v>
      </c>
      <c r="LLL1331" s="4" t="s">
        <v>2875</v>
      </c>
      <c r="LLM1331" s="4" t="s">
        <v>2875</v>
      </c>
      <c r="LLN1331" s="4" t="s">
        <v>2875</v>
      </c>
      <c r="LLO1331" s="4" t="s">
        <v>2875</v>
      </c>
      <c r="LLP1331" s="4" t="s">
        <v>2875</v>
      </c>
      <c r="LLQ1331" s="4" t="s">
        <v>2875</v>
      </c>
      <c r="LLR1331" s="4" t="s">
        <v>2875</v>
      </c>
      <c r="LLS1331" s="4" t="s">
        <v>2875</v>
      </c>
      <c r="LLT1331" s="4" t="s">
        <v>2875</v>
      </c>
      <c r="LLU1331" s="4" t="s">
        <v>2875</v>
      </c>
      <c r="LLV1331" s="4" t="s">
        <v>2875</v>
      </c>
      <c r="LLW1331" s="4" t="s">
        <v>2875</v>
      </c>
      <c r="LLX1331" s="4" t="s">
        <v>2875</v>
      </c>
      <c r="LLY1331" s="4" t="s">
        <v>2875</v>
      </c>
      <c r="LLZ1331" s="4" t="s">
        <v>2875</v>
      </c>
      <c r="LMA1331" s="4" t="s">
        <v>2875</v>
      </c>
      <c r="LMB1331" s="4" t="s">
        <v>2875</v>
      </c>
      <c r="LMC1331" s="4" t="s">
        <v>2875</v>
      </c>
      <c r="LMD1331" s="4" t="s">
        <v>2875</v>
      </c>
      <c r="LME1331" s="4" t="s">
        <v>2875</v>
      </c>
      <c r="LMF1331" s="4" t="s">
        <v>2875</v>
      </c>
      <c r="LMG1331" s="4" t="s">
        <v>2875</v>
      </c>
      <c r="LMH1331" s="4" t="s">
        <v>2875</v>
      </c>
      <c r="LMI1331" s="4" t="s">
        <v>2875</v>
      </c>
      <c r="LMJ1331" s="4" t="s">
        <v>2875</v>
      </c>
      <c r="LMK1331" s="4" t="s">
        <v>2875</v>
      </c>
      <c r="LML1331" s="4" t="s">
        <v>2875</v>
      </c>
      <c r="LMM1331" s="4" t="s">
        <v>2875</v>
      </c>
      <c r="LMN1331" s="4" t="s">
        <v>2875</v>
      </c>
      <c r="LMO1331" s="4" t="s">
        <v>2875</v>
      </c>
      <c r="LMP1331" s="4" t="s">
        <v>2875</v>
      </c>
      <c r="LMQ1331" s="4" t="s">
        <v>2875</v>
      </c>
      <c r="LMR1331" s="4" t="s">
        <v>2875</v>
      </c>
      <c r="LMS1331" s="4" t="s">
        <v>2875</v>
      </c>
      <c r="LMT1331" s="4" t="s">
        <v>2875</v>
      </c>
      <c r="LMU1331" s="4" t="s">
        <v>2875</v>
      </c>
      <c r="LMV1331" s="4" t="s">
        <v>2875</v>
      </c>
      <c r="LMW1331" s="4" t="s">
        <v>2875</v>
      </c>
      <c r="LMX1331" s="4" t="s">
        <v>2875</v>
      </c>
      <c r="LMY1331" s="4" t="s">
        <v>2875</v>
      </c>
      <c r="LMZ1331" s="4" t="s">
        <v>2875</v>
      </c>
      <c r="LNA1331" s="4" t="s">
        <v>2875</v>
      </c>
      <c r="LNB1331" s="4" t="s">
        <v>2875</v>
      </c>
      <c r="LNC1331" s="4" t="s">
        <v>2875</v>
      </c>
      <c r="LND1331" s="4" t="s">
        <v>2875</v>
      </c>
      <c r="LNE1331" s="4" t="s">
        <v>2875</v>
      </c>
      <c r="LNF1331" s="4" t="s">
        <v>2875</v>
      </c>
      <c r="LNG1331" s="4" t="s">
        <v>2875</v>
      </c>
      <c r="LNH1331" s="4" t="s">
        <v>2875</v>
      </c>
      <c r="LNI1331" s="4" t="s">
        <v>2875</v>
      </c>
      <c r="LNJ1331" s="4" t="s">
        <v>2875</v>
      </c>
      <c r="LNK1331" s="4" t="s">
        <v>2875</v>
      </c>
      <c r="LNL1331" s="4" t="s">
        <v>2875</v>
      </c>
      <c r="LNM1331" s="4" t="s">
        <v>2875</v>
      </c>
      <c r="LNN1331" s="4" t="s">
        <v>2875</v>
      </c>
      <c r="LNO1331" s="4" t="s">
        <v>2875</v>
      </c>
      <c r="LNP1331" s="4" t="s">
        <v>2875</v>
      </c>
      <c r="LNQ1331" s="4" t="s">
        <v>2875</v>
      </c>
      <c r="LNR1331" s="4" t="s">
        <v>2875</v>
      </c>
      <c r="LNS1331" s="4" t="s">
        <v>2875</v>
      </c>
      <c r="LNT1331" s="4" t="s">
        <v>2875</v>
      </c>
      <c r="LNU1331" s="4" t="s">
        <v>2875</v>
      </c>
      <c r="LNV1331" s="4" t="s">
        <v>2875</v>
      </c>
      <c r="LNW1331" s="4" t="s">
        <v>2875</v>
      </c>
      <c r="LNX1331" s="4" t="s">
        <v>2875</v>
      </c>
      <c r="LNY1331" s="4" t="s">
        <v>2875</v>
      </c>
      <c r="LNZ1331" s="4" t="s">
        <v>2875</v>
      </c>
      <c r="LOA1331" s="4" t="s">
        <v>2875</v>
      </c>
      <c r="LOB1331" s="4" t="s">
        <v>2875</v>
      </c>
      <c r="LOC1331" s="4" t="s">
        <v>2875</v>
      </c>
      <c r="LOD1331" s="4" t="s">
        <v>2875</v>
      </c>
      <c r="LOE1331" s="4" t="s">
        <v>2875</v>
      </c>
      <c r="LOF1331" s="4" t="s">
        <v>2875</v>
      </c>
      <c r="LOG1331" s="4" t="s">
        <v>2875</v>
      </c>
      <c r="LOH1331" s="4" t="s">
        <v>2875</v>
      </c>
      <c r="LOI1331" s="4" t="s">
        <v>2875</v>
      </c>
      <c r="LOJ1331" s="4" t="s">
        <v>2875</v>
      </c>
      <c r="LOK1331" s="4" t="s">
        <v>2875</v>
      </c>
      <c r="LOL1331" s="4" t="s">
        <v>2875</v>
      </c>
      <c r="LOM1331" s="4" t="s">
        <v>2875</v>
      </c>
      <c r="LON1331" s="4" t="s">
        <v>2875</v>
      </c>
      <c r="LOO1331" s="4" t="s">
        <v>2875</v>
      </c>
      <c r="LOP1331" s="4" t="s">
        <v>2875</v>
      </c>
      <c r="LOQ1331" s="4" t="s">
        <v>2875</v>
      </c>
      <c r="LOR1331" s="4" t="s">
        <v>2875</v>
      </c>
      <c r="LOS1331" s="4" t="s">
        <v>2875</v>
      </c>
      <c r="LOT1331" s="4" t="s">
        <v>2875</v>
      </c>
      <c r="LOU1331" s="4" t="s">
        <v>2875</v>
      </c>
      <c r="LOV1331" s="4" t="s">
        <v>2875</v>
      </c>
      <c r="LOW1331" s="4" t="s">
        <v>2875</v>
      </c>
      <c r="LOX1331" s="4" t="s">
        <v>2875</v>
      </c>
      <c r="LOY1331" s="4" t="s">
        <v>2875</v>
      </c>
      <c r="LOZ1331" s="4" t="s">
        <v>2875</v>
      </c>
      <c r="LPA1331" s="4" t="s">
        <v>2875</v>
      </c>
      <c r="LPB1331" s="4" t="s">
        <v>2875</v>
      </c>
      <c r="LPC1331" s="4" t="s">
        <v>2875</v>
      </c>
      <c r="LPD1331" s="4" t="s">
        <v>2875</v>
      </c>
      <c r="LPE1331" s="4" t="s">
        <v>2875</v>
      </c>
      <c r="LPF1331" s="4" t="s">
        <v>2875</v>
      </c>
      <c r="LPG1331" s="4" t="s">
        <v>2875</v>
      </c>
      <c r="LPH1331" s="4" t="s">
        <v>2875</v>
      </c>
      <c r="LPI1331" s="4" t="s">
        <v>2875</v>
      </c>
      <c r="LPJ1331" s="4" t="s">
        <v>2875</v>
      </c>
      <c r="LPK1331" s="4" t="s">
        <v>2875</v>
      </c>
      <c r="LPL1331" s="4" t="s">
        <v>2875</v>
      </c>
      <c r="LPM1331" s="4" t="s">
        <v>2875</v>
      </c>
      <c r="LPN1331" s="4" t="s">
        <v>2875</v>
      </c>
      <c r="LPO1331" s="4" t="s">
        <v>2875</v>
      </c>
      <c r="LPP1331" s="4" t="s">
        <v>2875</v>
      </c>
      <c r="LPQ1331" s="4" t="s">
        <v>2875</v>
      </c>
      <c r="LPR1331" s="4" t="s">
        <v>2875</v>
      </c>
      <c r="LPS1331" s="4" t="s">
        <v>2875</v>
      </c>
      <c r="LPT1331" s="4" t="s">
        <v>2875</v>
      </c>
      <c r="LPU1331" s="4" t="s">
        <v>2875</v>
      </c>
      <c r="LPV1331" s="4" t="s">
        <v>2875</v>
      </c>
      <c r="LPW1331" s="4" t="s">
        <v>2875</v>
      </c>
      <c r="LPX1331" s="4" t="s">
        <v>2875</v>
      </c>
      <c r="LPY1331" s="4" t="s">
        <v>2875</v>
      </c>
      <c r="LPZ1331" s="4" t="s">
        <v>2875</v>
      </c>
      <c r="LQA1331" s="4" t="s">
        <v>2875</v>
      </c>
      <c r="LQB1331" s="4" t="s">
        <v>2875</v>
      </c>
      <c r="LQC1331" s="4" t="s">
        <v>2875</v>
      </c>
      <c r="LQD1331" s="4" t="s">
        <v>2875</v>
      </c>
      <c r="LQE1331" s="4" t="s">
        <v>2875</v>
      </c>
      <c r="LQF1331" s="4" t="s">
        <v>2875</v>
      </c>
      <c r="LQG1331" s="4" t="s">
        <v>2875</v>
      </c>
      <c r="LQH1331" s="4" t="s">
        <v>2875</v>
      </c>
      <c r="LQI1331" s="4" t="s">
        <v>2875</v>
      </c>
      <c r="LQJ1331" s="4" t="s">
        <v>2875</v>
      </c>
      <c r="LQK1331" s="4" t="s">
        <v>2875</v>
      </c>
      <c r="LQL1331" s="4" t="s">
        <v>2875</v>
      </c>
      <c r="LQM1331" s="4" t="s">
        <v>2875</v>
      </c>
      <c r="LQN1331" s="4" t="s">
        <v>2875</v>
      </c>
      <c r="LQO1331" s="4" t="s">
        <v>2875</v>
      </c>
      <c r="LQP1331" s="4" t="s">
        <v>2875</v>
      </c>
      <c r="LQQ1331" s="4" t="s">
        <v>2875</v>
      </c>
      <c r="LQR1331" s="4" t="s">
        <v>2875</v>
      </c>
      <c r="LQS1331" s="4" t="s">
        <v>2875</v>
      </c>
      <c r="LQT1331" s="4" t="s">
        <v>2875</v>
      </c>
      <c r="LQU1331" s="4" t="s">
        <v>2875</v>
      </c>
      <c r="LQV1331" s="4" t="s">
        <v>2875</v>
      </c>
      <c r="LQW1331" s="4" t="s">
        <v>2875</v>
      </c>
      <c r="LQX1331" s="4" t="s">
        <v>2875</v>
      </c>
      <c r="LQY1331" s="4" t="s">
        <v>2875</v>
      </c>
      <c r="LQZ1331" s="4" t="s">
        <v>2875</v>
      </c>
      <c r="LRA1331" s="4" t="s">
        <v>2875</v>
      </c>
      <c r="LRB1331" s="4" t="s">
        <v>2875</v>
      </c>
      <c r="LRC1331" s="4" t="s">
        <v>2875</v>
      </c>
      <c r="LRD1331" s="4" t="s">
        <v>2875</v>
      </c>
      <c r="LRE1331" s="4" t="s">
        <v>2875</v>
      </c>
      <c r="LRF1331" s="4" t="s">
        <v>2875</v>
      </c>
      <c r="LRG1331" s="4" t="s">
        <v>2875</v>
      </c>
      <c r="LRH1331" s="4" t="s">
        <v>2875</v>
      </c>
      <c r="LRI1331" s="4" t="s">
        <v>2875</v>
      </c>
      <c r="LRJ1331" s="4" t="s">
        <v>2875</v>
      </c>
      <c r="LRK1331" s="4" t="s">
        <v>2875</v>
      </c>
      <c r="LRL1331" s="4" t="s">
        <v>2875</v>
      </c>
      <c r="LRM1331" s="4" t="s">
        <v>2875</v>
      </c>
      <c r="LRN1331" s="4" t="s">
        <v>2875</v>
      </c>
      <c r="LRO1331" s="4" t="s">
        <v>2875</v>
      </c>
      <c r="LRP1331" s="4" t="s">
        <v>2875</v>
      </c>
      <c r="LRQ1331" s="4" t="s">
        <v>2875</v>
      </c>
      <c r="LRR1331" s="4" t="s">
        <v>2875</v>
      </c>
      <c r="LRS1331" s="4" t="s">
        <v>2875</v>
      </c>
      <c r="LRT1331" s="4" t="s">
        <v>2875</v>
      </c>
      <c r="LRU1331" s="4" t="s">
        <v>2875</v>
      </c>
      <c r="LRV1331" s="4" t="s">
        <v>2875</v>
      </c>
      <c r="LRW1331" s="4" t="s">
        <v>2875</v>
      </c>
      <c r="LRX1331" s="4" t="s">
        <v>2875</v>
      </c>
      <c r="LRY1331" s="4" t="s">
        <v>2875</v>
      </c>
      <c r="LRZ1331" s="4" t="s">
        <v>2875</v>
      </c>
      <c r="LSA1331" s="4" t="s">
        <v>2875</v>
      </c>
      <c r="LSB1331" s="4" t="s">
        <v>2875</v>
      </c>
      <c r="LSC1331" s="4" t="s">
        <v>2875</v>
      </c>
      <c r="LSD1331" s="4" t="s">
        <v>2875</v>
      </c>
      <c r="LSE1331" s="4" t="s">
        <v>2875</v>
      </c>
      <c r="LSF1331" s="4" t="s">
        <v>2875</v>
      </c>
      <c r="LSG1331" s="4" t="s">
        <v>2875</v>
      </c>
      <c r="LSH1331" s="4" t="s">
        <v>2875</v>
      </c>
      <c r="LSI1331" s="4" t="s">
        <v>2875</v>
      </c>
      <c r="LSJ1331" s="4" t="s">
        <v>2875</v>
      </c>
      <c r="LSK1331" s="4" t="s">
        <v>2875</v>
      </c>
      <c r="LSL1331" s="4" t="s">
        <v>2875</v>
      </c>
      <c r="LSM1331" s="4" t="s">
        <v>2875</v>
      </c>
      <c r="LSN1331" s="4" t="s">
        <v>2875</v>
      </c>
      <c r="LSO1331" s="4" t="s">
        <v>2875</v>
      </c>
      <c r="LSP1331" s="4" t="s">
        <v>2875</v>
      </c>
      <c r="LSQ1331" s="4" t="s">
        <v>2875</v>
      </c>
      <c r="LSR1331" s="4" t="s">
        <v>2875</v>
      </c>
      <c r="LSS1331" s="4" t="s">
        <v>2875</v>
      </c>
      <c r="LST1331" s="4" t="s">
        <v>2875</v>
      </c>
      <c r="LSU1331" s="4" t="s">
        <v>2875</v>
      </c>
      <c r="LSV1331" s="4" t="s">
        <v>2875</v>
      </c>
      <c r="LSW1331" s="4" t="s">
        <v>2875</v>
      </c>
      <c r="LSX1331" s="4" t="s">
        <v>2875</v>
      </c>
      <c r="LSY1331" s="4" t="s">
        <v>2875</v>
      </c>
      <c r="LSZ1331" s="4" t="s">
        <v>2875</v>
      </c>
      <c r="LTA1331" s="4" t="s">
        <v>2875</v>
      </c>
      <c r="LTB1331" s="4" t="s">
        <v>2875</v>
      </c>
      <c r="LTC1331" s="4" t="s">
        <v>2875</v>
      </c>
      <c r="LTD1331" s="4" t="s">
        <v>2875</v>
      </c>
      <c r="LTE1331" s="4" t="s">
        <v>2875</v>
      </c>
      <c r="LTF1331" s="4" t="s">
        <v>2875</v>
      </c>
      <c r="LTG1331" s="4" t="s">
        <v>2875</v>
      </c>
      <c r="LTH1331" s="4" t="s">
        <v>2875</v>
      </c>
      <c r="LTI1331" s="4" t="s">
        <v>2875</v>
      </c>
      <c r="LTJ1331" s="4" t="s">
        <v>2875</v>
      </c>
      <c r="LTK1331" s="4" t="s">
        <v>2875</v>
      </c>
      <c r="LTL1331" s="4" t="s">
        <v>2875</v>
      </c>
      <c r="LTM1331" s="4" t="s">
        <v>2875</v>
      </c>
      <c r="LTN1331" s="4" t="s">
        <v>2875</v>
      </c>
      <c r="LTO1331" s="4" t="s">
        <v>2875</v>
      </c>
      <c r="LTP1331" s="4" t="s">
        <v>2875</v>
      </c>
      <c r="LTQ1331" s="4" t="s">
        <v>2875</v>
      </c>
      <c r="LTR1331" s="4" t="s">
        <v>2875</v>
      </c>
      <c r="LTS1331" s="4" t="s">
        <v>2875</v>
      </c>
      <c r="LTT1331" s="4" t="s">
        <v>2875</v>
      </c>
      <c r="LTU1331" s="4" t="s">
        <v>2875</v>
      </c>
      <c r="LTV1331" s="4" t="s">
        <v>2875</v>
      </c>
      <c r="LTW1331" s="4" t="s">
        <v>2875</v>
      </c>
      <c r="LTX1331" s="4" t="s">
        <v>2875</v>
      </c>
      <c r="LTY1331" s="4" t="s">
        <v>2875</v>
      </c>
      <c r="LTZ1331" s="4" t="s">
        <v>2875</v>
      </c>
      <c r="LUA1331" s="4" t="s">
        <v>2875</v>
      </c>
      <c r="LUB1331" s="4" t="s">
        <v>2875</v>
      </c>
      <c r="LUC1331" s="4" t="s">
        <v>2875</v>
      </c>
      <c r="LUD1331" s="4" t="s">
        <v>2875</v>
      </c>
      <c r="LUE1331" s="4" t="s">
        <v>2875</v>
      </c>
      <c r="LUF1331" s="4" t="s">
        <v>2875</v>
      </c>
      <c r="LUG1331" s="4" t="s">
        <v>2875</v>
      </c>
      <c r="LUH1331" s="4" t="s">
        <v>2875</v>
      </c>
      <c r="LUI1331" s="4" t="s">
        <v>2875</v>
      </c>
      <c r="LUJ1331" s="4" t="s">
        <v>2875</v>
      </c>
      <c r="LUK1331" s="4" t="s">
        <v>2875</v>
      </c>
      <c r="LUL1331" s="4" t="s">
        <v>2875</v>
      </c>
      <c r="LUM1331" s="4" t="s">
        <v>2875</v>
      </c>
      <c r="LUN1331" s="4" t="s">
        <v>2875</v>
      </c>
      <c r="LUO1331" s="4" t="s">
        <v>2875</v>
      </c>
      <c r="LUP1331" s="4" t="s">
        <v>2875</v>
      </c>
      <c r="LUQ1331" s="4" t="s">
        <v>2875</v>
      </c>
      <c r="LUR1331" s="4" t="s">
        <v>2875</v>
      </c>
      <c r="LUS1331" s="4" t="s">
        <v>2875</v>
      </c>
      <c r="LUT1331" s="4" t="s">
        <v>2875</v>
      </c>
      <c r="LUU1331" s="4" t="s">
        <v>2875</v>
      </c>
      <c r="LUV1331" s="4" t="s">
        <v>2875</v>
      </c>
      <c r="LUW1331" s="4" t="s">
        <v>2875</v>
      </c>
      <c r="LUX1331" s="4" t="s">
        <v>2875</v>
      </c>
      <c r="LUY1331" s="4" t="s">
        <v>2875</v>
      </c>
      <c r="LUZ1331" s="4" t="s">
        <v>2875</v>
      </c>
      <c r="LVA1331" s="4" t="s">
        <v>2875</v>
      </c>
      <c r="LVB1331" s="4" t="s">
        <v>2875</v>
      </c>
      <c r="LVC1331" s="4" t="s">
        <v>2875</v>
      </c>
      <c r="LVD1331" s="4" t="s">
        <v>2875</v>
      </c>
      <c r="LVE1331" s="4" t="s">
        <v>2875</v>
      </c>
      <c r="LVF1331" s="4" t="s">
        <v>2875</v>
      </c>
      <c r="LVG1331" s="4" t="s">
        <v>2875</v>
      </c>
      <c r="LVH1331" s="4" t="s">
        <v>2875</v>
      </c>
      <c r="LVI1331" s="4" t="s">
        <v>2875</v>
      </c>
      <c r="LVJ1331" s="4" t="s">
        <v>2875</v>
      </c>
      <c r="LVK1331" s="4" t="s">
        <v>2875</v>
      </c>
      <c r="LVL1331" s="4" t="s">
        <v>2875</v>
      </c>
      <c r="LVM1331" s="4" t="s">
        <v>2875</v>
      </c>
      <c r="LVN1331" s="4" t="s">
        <v>2875</v>
      </c>
      <c r="LVO1331" s="4" t="s">
        <v>2875</v>
      </c>
      <c r="LVP1331" s="4" t="s">
        <v>2875</v>
      </c>
      <c r="LVQ1331" s="4" t="s">
        <v>2875</v>
      </c>
      <c r="LVR1331" s="4" t="s">
        <v>2875</v>
      </c>
      <c r="LVS1331" s="4" t="s">
        <v>2875</v>
      </c>
      <c r="LVT1331" s="4" t="s">
        <v>2875</v>
      </c>
      <c r="LVU1331" s="4" t="s">
        <v>2875</v>
      </c>
      <c r="LVV1331" s="4" t="s">
        <v>2875</v>
      </c>
      <c r="LVW1331" s="4" t="s">
        <v>2875</v>
      </c>
      <c r="LVX1331" s="4" t="s">
        <v>2875</v>
      </c>
      <c r="LVY1331" s="4" t="s">
        <v>2875</v>
      </c>
      <c r="LVZ1331" s="4" t="s">
        <v>2875</v>
      </c>
      <c r="LWA1331" s="4" t="s">
        <v>2875</v>
      </c>
      <c r="LWB1331" s="4" t="s">
        <v>2875</v>
      </c>
      <c r="LWC1331" s="4" t="s">
        <v>2875</v>
      </c>
      <c r="LWD1331" s="4" t="s">
        <v>2875</v>
      </c>
      <c r="LWE1331" s="4" t="s">
        <v>2875</v>
      </c>
      <c r="LWF1331" s="4" t="s">
        <v>2875</v>
      </c>
      <c r="LWG1331" s="4" t="s">
        <v>2875</v>
      </c>
      <c r="LWH1331" s="4" t="s">
        <v>2875</v>
      </c>
      <c r="LWI1331" s="4" t="s">
        <v>2875</v>
      </c>
      <c r="LWJ1331" s="4" t="s">
        <v>2875</v>
      </c>
      <c r="LWK1331" s="4" t="s">
        <v>2875</v>
      </c>
      <c r="LWL1331" s="4" t="s">
        <v>2875</v>
      </c>
      <c r="LWM1331" s="4" t="s">
        <v>2875</v>
      </c>
      <c r="LWN1331" s="4" t="s">
        <v>2875</v>
      </c>
      <c r="LWO1331" s="4" t="s">
        <v>2875</v>
      </c>
      <c r="LWP1331" s="4" t="s">
        <v>2875</v>
      </c>
      <c r="LWQ1331" s="4" t="s">
        <v>2875</v>
      </c>
      <c r="LWR1331" s="4" t="s">
        <v>2875</v>
      </c>
      <c r="LWS1331" s="4" t="s">
        <v>2875</v>
      </c>
      <c r="LWT1331" s="4" t="s">
        <v>2875</v>
      </c>
      <c r="LWU1331" s="4" t="s">
        <v>2875</v>
      </c>
      <c r="LWV1331" s="4" t="s">
        <v>2875</v>
      </c>
      <c r="LWW1331" s="4" t="s">
        <v>2875</v>
      </c>
      <c r="LWX1331" s="4" t="s">
        <v>2875</v>
      </c>
      <c r="LWY1331" s="4" t="s">
        <v>2875</v>
      </c>
      <c r="LWZ1331" s="4" t="s">
        <v>2875</v>
      </c>
      <c r="LXA1331" s="4" t="s">
        <v>2875</v>
      </c>
      <c r="LXB1331" s="4" t="s">
        <v>2875</v>
      </c>
      <c r="LXC1331" s="4" t="s">
        <v>2875</v>
      </c>
      <c r="LXD1331" s="4" t="s">
        <v>2875</v>
      </c>
      <c r="LXE1331" s="4" t="s">
        <v>2875</v>
      </c>
      <c r="LXF1331" s="4" t="s">
        <v>2875</v>
      </c>
      <c r="LXG1331" s="4" t="s">
        <v>2875</v>
      </c>
      <c r="LXH1331" s="4" t="s">
        <v>2875</v>
      </c>
      <c r="LXI1331" s="4" t="s">
        <v>2875</v>
      </c>
      <c r="LXJ1331" s="4" t="s">
        <v>2875</v>
      </c>
      <c r="LXK1331" s="4" t="s">
        <v>2875</v>
      </c>
      <c r="LXL1331" s="4" t="s">
        <v>2875</v>
      </c>
      <c r="LXM1331" s="4" t="s">
        <v>2875</v>
      </c>
      <c r="LXN1331" s="4" t="s">
        <v>2875</v>
      </c>
      <c r="LXO1331" s="4" t="s">
        <v>2875</v>
      </c>
      <c r="LXP1331" s="4" t="s">
        <v>2875</v>
      </c>
      <c r="LXQ1331" s="4" t="s">
        <v>2875</v>
      </c>
      <c r="LXR1331" s="4" t="s">
        <v>2875</v>
      </c>
      <c r="LXS1331" s="4" t="s">
        <v>2875</v>
      </c>
      <c r="LXT1331" s="4" t="s">
        <v>2875</v>
      </c>
      <c r="LXU1331" s="4" t="s">
        <v>2875</v>
      </c>
      <c r="LXV1331" s="4" t="s">
        <v>2875</v>
      </c>
      <c r="LXW1331" s="4" t="s">
        <v>2875</v>
      </c>
      <c r="LXX1331" s="4" t="s">
        <v>2875</v>
      </c>
      <c r="LXY1331" s="4" t="s">
        <v>2875</v>
      </c>
      <c r="LXZ1331" s="4" t="s">
        <v>2875</v>
      </c>
      <c r="LYA1331" s="4" t="s">
        <v>2875</v>
      </c>
      <c r="LYB1331" s="4" t="s">
        <v>2875</v>
      </c>
      <c r="LYC1331" s="4" t="s">
        <v>2875</v>
      </c>
      <c r="LYD1331" s="4" t="s">
        <v>2875</v>
      </c>
      <c r="LYE1331" s="4" t="s">
        <v>2875</v>
      </c>
      <c r="LYF1331" s="4" t="s">
        <v>2875</v>
      </c>
      <c r="LYG1331" s="4" t="s">
        <v>2875</v>
      </c>
      <c r="LYH1331" s="4" t="s">
        <v>2875</v>
      </c>
      <c r="LYI1331" s="4" t="s">
        <v>2875</v>
      </c>
      <c r="LYJ1331" s="4" t="s">
        <v>2875</v>
      </c>
      <c r="LYK1331" s="4" t="s">
        <v>2875</v>
      </c>
      <c r="LYL1331" s="4" t="s">
        <v>2875</v>
      </c>
      <c r="LYM1331" s="4" t="s">
        <v>2875</v>
      </c>
      <c r="LYN1331" s="4" t="s">
        <v>2875</v>
      </c>
      <c r="LYO1331" s="4" t="s">
        <v>2875</v>
      </c>
      <c r="LYP1331" s="4" t="s">
        <v>2875</v>
      </c>
      <c r="LYQ1331" s="4" t="s">
        <v>2875</v>
      </c>
      <c r="LYR1331" s="4" t="s">
        <v>2875</v>
      </c>
      <c r="LYS1331" s="4" t="s">
        <v>2875</v>
      </c>
      <c r="LYT1331" s="4" t="s">
        <v>2875</v>
      </c>
      <c r="LYU1331" s="4" t="s">
        <v>2875</v>
      </c>
      <c r="LYV1331" s="4" t="s">
        <v>2875</v>
      </c>
      <c r="LYW1331" s="4" t="s">
        <v>2875</v>
      </c>
      <c r="LYX1331" s="4" t="s">
        <v>2875</v>
      </c>
      <c r="LYY1331" s="4" t="s">
        <v>2875</v>
      </c>
      <c r="LYZ1331" s="4" t="s">
        <v>2875</v>
      </c>
      <c r="LZA1331" s="4" t="s">
        <v>2875</v>
      </c>
      <c r="LZB1331" s="4" t="s">
        <v>2875</v>
      </c>
      <c r="LZC1331" s="4" t="s">
        <v>2875</v>
      </c>
      <c r="LZD1331" s="4" t="s">
        <v>2875</v>
      </c>
      <c r="LZE1331" s="4" t="s">
        <v>2875</v>
      </c>
      <c r="LZF1331" s="4" t="s">
        <v>2875</v>
      </c>
      <c r="LZG1331" s="4" t="s">
        <v>2875</v>
      </c>
      <c r="LZH1331" s="4" t="s">
        <v>2875</v>
      </c>
      <c r="LZI1331" s="4" t="s">
        <v>2875</v>
      </c>
      <c r="LZJ1331" s="4" t="s">
        <v>2875</v>
      </c>
      <c r="LZK1331" s="4" t="s">
        <v>2875</v>
      </c>
      <c r="LZL1331" s="4" t="s">
        <v>2875</v>
      </c>
      <c r="LZM1331" s="4" t="s">
        <v>2875</v>
      </c>
      <c r="LZN1331" s="4" t="s">
        <v>2875</v>
      </c>
      <c r="LZO1331" s="4" t="s">
        <v>2875</v>
      </c>
      <c r="LZP1331" s="4" t="s">
        <v>2875</v>
      </c>
      <c r="LZQ1331" s="4" t="s">
        <v>2875</v>
      </c>
      <c r="LZR1331" s="4" t="s">
        <v>2875</v>
      </c>
      <c r="LZS1331" s="4" t="s">
        <v>2875</v>
      </c>
      <c r="LZT1331" s="4" t="s">
        <v>2875</v>
      </c>
      <c r="LZU1331" s="4" t="s">
        <v>2875</v>
      </c>
      <c r="LZV1331" s="4" t="s">
        <v>2875</v>
      </c>
      <c r="LZW1331" s="4" t="s">
        <v>2875</v>
      </c>
      <c r="LZX1331" s="4" t="s">
        <v>2875</v>
      </c>
      <c r="LZY1331" s="4" t="s">
        <v>2875</v>
      </c>
      <c r="LZZ1331" s="4" t="s">
        <v>2875</v>
      </c>
      <c r="MAA1331" s="4" t="s">
        <v>2875</v>
      </c>
      <c r="MAB1331" s="4" t="s">
        <v>2875</v>
      </c>
      <c r="MAC1331" s="4" t="s">
        <v>2875</v>
      </c>
      <c r="MAD1331" s="4" t="s">
        <v>2875</v>
      </c>
      <c r="MAE1331" s="4" t="s">
        <v>2875</v>
      </c>
      <c r="MAF1331" s="4" t="s">
        <v>2875</v>
      </c>
      <c r="MAG1331" s="4" t="s">
        <v>2875</v>
      </c>
      <c r="MAH1331" s="4" t="s">
        <v>2875</v>
      </c>
      <c r="MAI1331" s="4" t="s">
        <v>2875</v>
      </c>
      <c r="MAJ1331" s="4" t="s">
        <v>2875</v>
      </c>
      <c r="MAK1331" s="4" t="s">
        <v>2875</v>
      </c>
      <c r="MAL1331" s="4" t="s">
        <v>2875</v>
      </c>
      <c r="MAM1331" s="4" t="s">
        <v>2875</v>
      </c>
      <c r="MAN1331" s="4" t="s">
        <v>2875</v>
      </c>
      <c r="MAO1331" s="4" t="s">
        <v>2875</v>
      </c>
      <c r="MAP1331" s="4" t="s">
        <v>2875</v>
      </c>
      <c r="MAQ1331" s="4" t="s">
        <v>2875</v>
      </c>
      <c r="MAR1331" s="4" t="s">
        <v>2875</v>
      </c>
      <c r="MAS1331" s="4" t="s">
        <v>2875</v>
      </c>
      <c r="MAT1331" s="4" t="s">
        <v>2875</v>
      </c>
      <c r="MAU1331" s="4" t="s">
        <v>2875</v>
      </c>
      <c r="MAV1331" s="4" t="s">
        <v>2875</v>
      </c>
      <c r="MAW1331" s="4" t="s">
        <v>2875</v>
      </c>
      <c r="MAX1331" s="4" t="s">
        <v>2875</v>
      </c>
      <c r="MAY1331" s="4" t="s">
        <v>2875</v>
      </c>
      <c r="MAZ1331" s="4" t="s">
        <v>2875</v>
      </c>
      <c r="MBA1331" s="4" t="s">
        <v>2875</v>
      </c>
      <c r="MBB1331" s="4" t="s">
        <v>2875</v>
      </c>
      <c r="MBC1331" s="4" t="s">
        <v>2875</v>
      </c>
      <c r="MBD1331" s="4" t="s">
        <v>2875</v>
      </c>
      <c r="MBE1331" s="4" t="s">
        <v>2875</v>
      </c>
      <c r="MBF1331" s="4" t="s">
        <v>2875</v>
      </c>
      <c r="MBG1331" s="4" t="s">
        <v>2875</v>
      </c>
      <c r="MBH1331" s="4" t="s">
        <v>2875</v>
      </c>
      <c r="MBI1331" s="4" t="s">
        <v>2875</v>
      </c>
      <c r="MBJ1331" s="4" t="s">
        <v>2875</v>
      </c>
      <c r="MBK1331" s="4" t="s">
        <v>2875</v>
      </c>
      <c r="MBL1331" s="4" t="s">
        <v>2875</v>
      </c>
      <c r="MBM1331" s="4" t="s">
        <v>2875</v>
      </c>
      <c r="MBN1331" s="4" t="s">
        <v>2875</v>
      </c>
      <c r="MBO1331" s="4" t="s">
        <v>2875</v>
      </c>
      <c r="MBP1331" s="4" t="s">
        <v>2875</v>
      </c>
      <c r="MBQ1331" s="4" t="s">
        <v>2875</v>
      </c>
      <c r="MBR1331" s="4" t="s">
        <v>2875</v>
      </c>
      <c r="MBS1331" s="4" t="s">
        <v>2875</v>
      </c>
      <c r="MBT1331" s="4" t="s">
        <v>2875</v>
      </c>
      <c r="MBU1331" s="4" t="s">
        <v>2875</v>
      </c>
      <c r="MBV1331" s="4" t="s">
        <v>2875</v>
      </c>
      <c r="MBW1331" s="4" t="s">
        <v>2875</v>
      </c>
      <c r="MBX1331" s="4" t="s">
        <v>2875</v>
      </c>
      <c r="MBY1331" s="4" t="s">
        <v>2875</v>
      </c>
      <c r="MBZ1331" s="4" t="s">
        <v>2875</v>
      </c>
      <c r="MCA1331" s="4" t="s">
        <v>2875</v>
      </c>
      <c r="MCB1331" s="4" t="s">
        <v>2875</v>
      </c>
      <c r="MCC1331" s="4" t="s">
        <v>2875</v>
      </c>
      <c r="MCD1331" s="4" t="s">
        <v>2875</v>
      </c>
      <c r="MCE1331" s="4" t="s">
        <v>2875</v>
      </c>
      <c r="MCF1331" s="4" t="s">
        <v>2875</v>
      </c>
      <c r="MCG1331" s="4" t="s">
        <v>2875</v>
      </c>
      <c r="MCH1331" s="4" t="s">
        <v>2875</v>
      </c>
      <c r="MCI1331" s="4" t="s">
        <v>2875</v>
      </c>
      <c r="MCJ1331" s="4" t="s">
        <v>2875</v>
      </c>
      <c r="MCK1331" s="4" t="s">
        <v>2875</v>
      </c>
      <c r="MCL1331" s="4" t="s">
        <v>2875</v>
      </c>
      <c r="MCM1331" s="4" t="s">
        <v>2875</v>
      </c>
      <c r="MCN1331" s="4" t="s">
        <v>2875</v>
      </c>
      <c r="MCO1331" s="4" t="s">
        <v>2875</v>
      </c>
      <c r="MCP1331" s="4" t="s">
        <v>2875</v>
      </c>
      <c r="MCQ1331" s="4" t="s">
        <v>2875</v>
      </c>
      <c r="MCR1331" s="4" t="s">
        <v>2875</v>
      </c>
      <c r="MCS1331" s="4" t="s">
        <v>2875</v>
      </c>
      <c r="MCT1331" s="4" t="s">
        <v>2875</v>
      </c>
      <c r="MCU1331" s="4" t="s">
        <v>2875</v>
      </c>
      <c r="MCV1331" s="4" t="s">
        <v>2875</v>
      </c>
      <c r="MCW1331" s="4" t="s">
        <v>2875</v>
      </c>
      <c r="MCX1331" s="4" t="s">
        <v>2875</v>
      </c>
      <c r="MCY1331" s="4" t="s">
        <v>2875</v>
      </c>
      <c r="MCZ1331" s="4" t="s">
        <v>2875</v>
      </c>
      <c r="MDA1331" s="4" t="s">
        <v>2875</v>
      </c>
      <c r="MDB1331" s="4" t="s">
        <v>2875</v>
      </c>
      <c r="MDC1331" s="4" t="s">
        <v>2875</v>
      </c>
      <c r="MDD1331" s="4" t="s">
        <v>2875</v>
      </c>
      <c r="MDE1331" s="4" t="s">
        <v>2875</v>
      </c>
      <c r="MDF1331" s="4" t="s">
        <v>2875</v>
      </c>
      <c r="MDG1331" s="4" t="s">
        <v>2875</v>
      </c>
      <c r="MDH1331" s="4" t="s">
        <v>2875</v>
      </c>
      <c r="MDI1331" s="4" t="s">
        <v>2875</v>
      </c>
      <c r="MDJ1331" s="4" t="s">
        <v>2875</v>
      </c>
      <c r="MDK1331" s="4" t="s">
        <v>2875</v>
      </c>
      <c r="MDL1331" s="4" t="s">
        <v>2875</v>
      </c>
      <c r="MDM1331" s="4" t="s">
        <v>2875</v>
      </c>
      <c r="MDN1331" s="4" t="s">
        <v>2875</v>
      </c>
      <c r="MDO1331" s="4" t="s">
        <v>2875</v>
      </c>
      <c r="MDP1331" s="4" t="s">
        <v>2875</v>
      </c>
      <c r="MDQ1331" s="4" t="s">
        <v>2875</v>
      </c>
      <c r="MDR1331" s="4" t="s">
        <v>2875</v>
      </c>
      <c r="MDS1331" s="4" t="s">
        <v>2875</v>
      </c>
      <c r="MDT1331" s="4" t="s">
        <v>2875</v>
      </c>
      <c r="MDU1331" s="4" t="s">
        <v>2875</v>
      </c>
      <c r="MDV1331" s="4" t="s">
        <v>2875</v>
      </c>
      <c r="MDW1331" s="4" t="s">
        <v>2875</v>
      </c>
      <c r="MDX1331" s="4" t="s">
        <v>2875</v>
      </c>
      <c r="MDY1331" s="4" t="s">
        <v>2875</v>
      </c>
      <c r="MDZ1331" s="4" t="s">
        <v>2875</v>
      </c>
      <c r="MEA1331" s="4" t="s">
        <v>2875</v>
      </c>
      <c r="MEB1331" s="4" t="s">
        <v>2875</v>
      </c>
      <c r="MEC1331" s="4" t="s">
        <v>2875</v>
      </c>
      <c r="MED1331" s="4" t="s">
        <v>2875</v>
      </c>
      <c r="MEE1331" s="4" t="s">
        <v>2875</v>
      </c>
      <c r="MEF1331" s="4" t="s">
        <v>2875</v>
      </c>
      <c r="MEG1331" s="4" t="s">
        <v>2875</v>
      </c>
      <c r="MEH1331" s="4" t="s">
        <v>2875</v>
      </c>
      <c r="MEI1331" s="4" t="s">
        <v>2875</v>
      </c>
      <c r="MEJ1331" s="4" t="s">
        <v>2875</v>
      </c>
      <c r="MEK1331" s="4" t="s">
        <v>2875</v>
      </c>
      <c r="MEL1331" s="4" t="s">
        <v>2875</v>
      </c>
      <c r="MEM1331" s="4" t="s">
        <v>2875</v>
      </c>
      <c r="MEN1331" s="4" t="s">
        <v>2875</v>
      </c>
      <c r="MEO1331" s="4" t="s">
        <v>2875</v>
      </c>
      <c r="MEP1331" s="4" t="s">
        <v>2875</v>
      </c>
      <c r="MEQ1331" s="4" t="s">
        <v>2875</v>
      </c>
      <c r="MER1331" s="4" t="s">
        <v>2875</v>
      </c>
      <c r="MES1331" s="4" t="s">
        <v>2875</v>
      </c>
      <c r="MET1331" s="4" t="s">
        <v>2875</v>
      </c>
      <c r="MEU1331" s="4" t="s">
        <v>2875</v>
      </c>
      <c r="MEV1331" s="4" t="s">
        <v>2875</v>
      </c>
      <c r="MEW1331" s="4" t="s">
        <v>2875</v>
      </c>
      <c r="MEX1331" s="4" t="s">
        <v>2875</v>
      </c>
      <c r="MEY1331" s="4" t="s">
        <v>2875</v>
      </c>
      <c r="MEZ1331" s="4" t="s">
        <v>2875</v>
      </c>
      <c r="MFA1331" s="4" t="s">
        <v>2875</v>
      </c>
      <c r="MFB1331" s="4" t="s">
        <v>2875</v>
      </c>
      <c r="MFC1331" s="4" t="s">
        <v>2875</v>
      </c>
      <c r="MFD1331" s="4" t="s">
        <v>2875</v>
      </c>
      <c r="MFE1331" s="4" t="s">
        <v>2875</v>
      </c>
      <c r="MFF1331" s="4" t="s">
        <v>2875</v>
      </c>
      <c r="MFG1331" s="4" t="s">
        <v>2875</v>
      </c>
      <c r="MFH1331" s="4" t="s">
        <v>2875</v>
      </c>
      <c r="MFI1331" s="4" t="s">
        <v>2875</v>
      </c>
      <c r="MFJ1331" s="4" t="s">
        <v>2875</v>
      </c>
      <c r="MFK1331" s="4" t="s">
        <v>2875</v>
      </c>
      <c r="MFL1331" s="4" t="s">
        <v>2875</v>
      </c>
      <c r="MFM1331" s="4" t="s">
        <v>2875</v>
      </c>
      <c r="MFN1331" s="4" t="s">
        <v>2875</v>
      </c>
      <c r="MFO1331" s="4" t="s">
        <v>2875</v>
      </c>
      <c r="MFP1331" s="4" t="s">
        <v>2875</v>
      </c>
      <c r="MFQ1331" s="4" t="s">
        <v>2875</v>
      </c>
      <c r="MFR1331" s="4" t="s">
        <v>2875</v>
      </c>
      <c r="MFS1331" s="4" t="s">
        <v>2875</v>
      </c>
      <c r="MFT1331" s="4" t="s">
        <v>2875</v>
      </c>
      <c r="MFU1331" s="4" t="s">
        <v>2875</v>
      </c>
      <c r="MFV1331" s="4" t="s">
        <v>2875</v>
      </c>
      <c r="MFW1331" s="4" t="s">
        <v>2875</v>
      </c>
      <c r="MFX1331" s="4" t="s">
        <v>2875</v>
      </c>
      <c r="MFY1331" s="4" t="s">
        <v>2875</v>
      </c>
      <c r="MFZ1331" s="4" t="s">
        <v>2875</v>
      </c>
      <c r="MGA1331" s="4" t="s">
        <v>2875</v>
      </c>
      <c r="MGB1331" s="4" t="s">
        <v>2875</v>
      </c>
      <c r="MGC1331" s="4" t="s">
        <v>2875</v>
      </c>
      <c r="MGD1331" s="4" t="s">
        <v>2875</v>
      </c>
      <c r="MGE1331" s="4" t="s">
        <v>2875</v>
      </c>
      <c r="MGF1331" s="4" t="s">
        <v>2875</v>
      </c>
      <c r="MGG1331" s="4" t="s">
        <v>2875</v>
      </c>
      <c r="MGH1331" s="4" t="s">
        <v>2875</v>
      </c>
      <c r="MGI1331" s="4" t="s">
        <v>2875</v>
      </c>
      <c r="MGJ1331" s="4" t="s">
        <v>2875</v>
      </c>
      <c r="MGK1331" s="4" t="s">
        <v>2875</v>
      </c>
      <c r="MGL1331" s="4" t="s">
        <v>2875</v>
      </c>
      <c r="MGM1331" s="4" t="s">
        <v>2875</v>
      </c>
      <c r="MGN1331" s="4" t="s">
        <v>2875</v>
      </c>
      <c r="MGO1331" s="4" t="s">
        <v>2875</v>
      </c>
      <c r="MGP1331" s="4" t="s">
        <v>2875</v>
      </c>
      <c r="MGQ1331" s="4" t="s">
        <v>2875</v>
      </c>
      <c r="MGR1331" s="4" t="s">
        <v>2875</v>
      </c>
      <c r="MGS1331" s="4" t="s">
        <v>2875</v>
      </c>
      <c r="MGT1331" s="4" t="s">
        <v>2875</v>
      </c>
      <c r="MGU1331" s="4" t="s">
        <v>2875</v>
      </c>
      <c r="MGV1331" s="4" t="s">
        <v>2875</v>
      </c>
      <c r="MGW1331" s="4" t="s">
        <v>2875</v>
      </c>
      <c r="MGX1331" s="4" t="s">
        <v>2875</v>
      </c>
      <c r="MGY1331" s="4" t="s">
        <v>2875</v>
      </c>
      <c r="MGZ1331" s="4" t="s">
        <v>2875</v>
      </c>
      <c r="MHA1331" s="4" t="s">
        <v>2875</v>
      </c>
      <c r="MHB1331" s="4" t="s">
        <v>2875</v>
      </c>
      <c r="MHC1331" s="4" t="s">
        <v>2875</v>
      </c>
      <c r="MHD1331" s="4" t="s">
        <v>2875</v>
      </c>
      <c r="MHE1331" s="4" t="s">
        <v>2875</v>
      </c>
      <c r="MHF1331" s="4" t="s">
        <v>2875</v>
      </c>
      <c r="MHG1331" s="4" t="s">
        <v>2875</v>
      </c>
      <c r="MHH1331" s="4" t="s">
        <v>2875</v>
      </c>
      <c r="MHI1331" s="4" t="s">
        <v>2875</v>
      </c>
      <c r="MHJ1331" s="4" t="s">
        <v>2875</v>
      </c>
      <c r="MHK1331" s="4" t="s">
        <v>2875</v>
      </c>
      <c r="MHL1331" s="4" t="s">
        <v>2875</v>
      </c>
      <c r="MHM1331" s="4" t="s">
        <v>2875</v>
      </c>
      <c r="MHN1331" s="4" t="s">
        <v>2875</v>
      </c>
      <c r="MHO1331" s="4" t="s">
        <v>2875</v>
      </c>
      <c r="MHP1331" s="4" t="s">
        <v>2875</v>
      </c>
      <c r="MHQ1331" s="4" t="s">
        <v>2875</v>
      </c>
      <c r="MHR1331" s="4" t="s">
        <v>2875</v>
      </c>
      <c r="MHS1331" s="4" t="s">
        <v>2875</v>
      </c>
      <c r="MHT1331" s="4" t="s">
        <v>2875</v>
      </c>
      <c r="MHU1331" s="4" t="s">
        <v>2875</v>
      </c>
      <c r="MHV1331" s="4" t="s">
        <v>2875</v>
      </c>
      <c r="MHW1331" s="4" t="s">
        <v>2875</v>
      </c>
      <c r="MHX1331" s="4" t="s">
        <v>2875</v>
      </c>
      <c r="MHY1331" s="4" t="s">
        <v>2875</v>
      </c>
      <c r="MHZ1331" s="4" t="s">
        <v>2875</v>
      </c>
      <c r="MIA1331" s="4" t="s">
        <v>2875</v>
      </c>
      <c r="MIB1331" s="4" t="s">
        <v>2875</v>
      </c>
      <c r="MIC1331" s="4" t="s">
        <v>2875</v>
      </c>
      <c r="MID1331" s="4" t="s">
        <v>2875</v>
      </c>
      <c r="MIE1331" s="4" t="s">
        <v>2875</v>
      </c>
      <c r="MIF1331" s="4" t="s">
        <v>2875</v>
      </c>
      <c r="MIG1331" s="4" t="s">
        <v>2875</v>
      </c>
      <c r="MIH1331" s="4" t="s">
        <v>2875</v>
      </c>
      <c r="MII1331" s="4" t="s">
        <v>2875</v>
      </c>
      <c r="MIJ1331" s="4" t="s">
        <v>2875</v>
      </c>
      <c r="MIK1331" s="4" t="s">
        <v>2875</v>
      </c>
      <c r="MIL1331" s="4" t="s">
        <v>2875</v>
      </c>
      <c r="MIM1331" s="4" t="s">
        <v>2875</v>
      </c>
      <c r="MIN1331" s="4" t="s">
        <v>2875</v>
      </c>
      <c r="MIO1331" s="4" t="s">
        <v>2875</v>
      </c>
      <c r="MIP1331" s="4" t="s">
        <v>2875</v>
      </c>
      <c r="MIQ1331" s="4" t="s">
        <v>2875</v>
      </c>
      <c r="MIR1331" s="4" t="s">
        <v>2875</v>
      </c>
      <c r="MIS1331" s="4" t="s">
        <v>2875</v>
      </c>
      <c r="MIT1331" s="4" t="s">
        <v>2875</v>
      </c>
      <c r="MIU1331" s="4" t="s">
        <v>2875</v>
      </c>
      <c r="MIV1331" s="4" t="s">
        <v>2875</v>
      </c>
      <c r="MIW1331" s="4" t="s">
        <v>2875</v>
      </c>
      <c r="MIX1331" s="4" t="s">
        <v>2875</v>
      </c>
      <c r="MIY1331" s="4" t="s">
        <v>2875</v>
      </c>
      <c r="MIZ1331" s="4" t="s">
        <v>2875</v>
      </c>
      <c r="MJA1331" s="4" t="s">
        <v>2875</v>
      </c>
      <c r="MJB1331" s="4" t="s">
        <v>2875</v>
      </c>
      <c r="MJC1331" s="4" t="s">
        <v>2875</v>
      </c>
      <c r="MJD1331" s="4" t="s">
        <v>2875</v>
      </c>
      <c r="MJE1331" s="4" t="s">
        <v>2875</v>
      </c>
      <c r="MJF1331" s="4" t="s">
        <v>2875</v>
      </c>
      <c r="MJG1331" s="4" t="s">
        <v>2875</v>
      </c>
      <c r="MJH1331" s="4" t="s">
        <v>2875</v>
      </c>
      <c r="MJI1331" s="4" t="s">
        <v>2875</v>
      </c>
      <c r="MJJ1331" s="4" t="s">
        <v>2875</v>
      </c>
      <c r="MJK1331" s="4" t="s">
        <v>2875</v>
      </c>
      <c r="MJL1331" s="4" t="s">
        <v>2875</v>
      </c>
      <c r="MJM1331" s="4" t="s">
        <v>2875</v>
      </c>
      <c r="MJN1331" s="4" t="s">
        <v>2875</v>
      </c>
      <c r="MJO1331" s="4" t="s">
        <v>2875</v>
      </c>
      <c r="MJP1331" s="4" t="s">
        <v>2875</v>
      </c>
      <c r="MJQ1331" s="4" t="s">
        <v>2875</v>
      </c>
      <c r="MJR1331" s="4" t="s">
        <v>2875</v>
      </c>
      <c r="MJS1331" s="4" t="s">
        <v>2875</v>
      </c>
      <c r="MJT1331" s="4" t="s">
        <v>2875</v>
      </c>
      <c r="MJU1331" s="4" t="s">
        <v>2875</v>
      </c>
      <c r="MJV1331" s="4" t="s">
        <v>2875</v>
      </c>
      <c r="MJW1331" s="4" t="s">
        <v>2875</v>
      </c>
      <c r="MJX1331" s="4" t="s">
        <v>2875</v>
      </c>
      <c r="MJY1331" s="4" t="s">
        <v>2875</v>
      </c>
      <c r="MJZ1331" s="4" t="s">
        <v>2875</v>
      </c>
      <c r="MKA1331" s="4" t="s">
        <v>2875</v>
      </c>
      <c r="MKB1331" s="4" t="s">
        <v>2875</v>
      </c>
      <c r="MKC1331" s="4" t="s">
        <v>2875</v>
      </c>
      <c r="MKD1331" s="4" t="s">
        <v>2875</v>
      </c>
      <c r="MKE1331" s="4" t="s">
        <v>2875</v>
      </c>
      <c r="MKF1331" s="4" t="s">
        <v>2875</v>
      </c>
      <c r="MKG1331" s="4" t="s">
        <v>2875</v>
      </c>
      <c r="MKH1331" s="4" t="s">
        <v>2875</v>
      </c>
      <c r="MKI1331" s="4" t="s">
        <v>2875</v>
      </c>
      <c r="MKJ1331" s="4" t="s">
        <v>2875</v>
      </c>
      <c r="MKK1331" s="4" t="s">
        <v>2875</v>
      </c>
      <c r="MKL1331" s="4" t="s">
        <v>2875</v>
      </c>
      <c r="MKM1331" s="4" t="s">
        <v>2875</v>
      </c>
      <c r="MKN1331" s="4" t="s">
        <v>2875</v>
      </c>
      <c r="MKO1331" s="4" t="s">
        <v>2875</v>
      </c>
      <c r="MKP1331" s="4" t="s">
        <v>2875</v>
      </c>
      <c r="MKQ1331" s="4" t="s">
        <v>2875</v>
      </c>
      <c r="MKR1331" s="4" t="s">
        <v>2875</v>
      </c>
      <c r="MKS1331" s="4" t="s">
        <v>2875</v>
      </c>
      <c r="MKT1331" s="4" t="s">
        <v>2875</v>
      </c>
      <c r="MKU1331" s="4" t="s">
        <v>2875</v>
      </c>
      <c r="MKV1331" s="4" t="s">
        <v>2875</v>
      </c>
      <c r="MKW1331" s="4" t="s">
        <v>2875</v>
      </c>
      <c r="MKX1331" s="4" t="s">
        <v>2875</v>
      </c>
      <c r="MKY1331" s="4" t="s">
        <v>2875</v>
      </c>
      <c r="MKZ1331" s="4" t="s">
        <v>2875</v>
      </c>
      <c r="MLA1331" s="4" t="s">
        <v>2875</v>
      </c>
      <c r="MLB1331" s="4" t="s">
        <v>2875</v>
      </c>
      <c r="MLC1331" s="4" t="s">
        <v>2875</v>
      </c>
      <c r="MLD1331" s="4" t="s">
        <v>2875</v>
      </c>
      <c r="MLE1331" s="4" t="s">
        <v>2875</v>
      </c>
      <c r="MLF1331" s="4" t="s">
        <v>2875</v>
      </c>
      <c r="MLG1331" s="4" t="s">
        <v>2875</v>
      </c>
      <c r="MLH1331" s="4" t="s">
        <v>2875</v>
      </c>
      <c r="MLI1331" s="4" t="s">
        <v>2875</v>
      </c>
      <c r="MLJ1331" s="4" t="s">
        <v>2875</v>
      </c>
      <c r="MLK1331" s="4" t="s">
        <v>2875</v>
      </c>
      <c r="MLL1331" s="4" t="s">
        <v>2875</v>
      </c>
      <c r="MLM1331" s="4" t="s">
        <v>2875</v>
      </c>
      <c r="MLN1331" s="4" t="s">
        <v>2875</v>
      </c>
      <c r="MLO1331" s="4" t="s">
        <v>2875</v>
      </c>
      <c r="MLP1331" s="4" t="s">
        <v>2875</v>
      </c>
      <c r="MLQ1331" s="4" t="s">
        <v>2875</v>
      </c>
      <c r="MLR1331" s="4" t="s">
        <v>2875</v>
      </c>
      <c r="MLS1331" s="4" t="s">
        <v>2875</v>
      </c>
      <c r="MLT1331" s="4" t="s">
        <v>2875</v>
      </c>
      <c r="MLU1331" s="4" t="s">
        <v>2875</v>
      </c>
      <c r="MLV1331" s="4" t="s">
        <v>2875</v>
      </c>
      <c r="MLW1331" s="4" t="s">
        <v>2875</v>
      </c>
      <c r="MLX1331" s="4" t="s">
        <v>2875</v>
      </c>
      <c r="MLY1331" s="4" t="s">
        <v>2875</v>
      </c>
      <c r="MLZ1331" s="4" t="s">
        <v>2875</v>
      </c>
      <c r="MMA1331" s="4" t="s">
        <v>2875</v>
      </c>
      <c r="MMB1331" s="4" t="s">
        <v>2875</v>
      </c>
      <c r="MMC1331" s="4" t="s">
        <v>2875</v>
      </c>
      <c r="MMD1331" s="4" t="s">
        <v>2875</v>
      </c>
      <c r="MME1331" s="4" t="s">
        <v>2875</v>
      </c>
      <c r="MMF1331" s="4" t="s">
        <v>2875</v>
      </c>
      <c r="MMG1331" s="4" t="s">
        <v>2875</v>
      </c>
      <c r="MMH1331" s="4" t="s">
        <v>2875</v>
      </c>
      <c r="MMI1331" s="4" t="s">
        <v>2875</v>
      </c>
      <c r="MMJ1331" s="4" t="s">
        <v>2875</v>
      </c>
      <c r="MMK1331" s="4" t="s">
        <v>2875</v>
      </c>
      <c r="MML1331" s="4" t="s">
        <v>2875</v>
      </c>
      <c r="MMM1331" s="4" t="s">
        <v>2875</v>
      </c>
      <c r="MMN1331" s="4" t="s">
        <v>2875</v>
      </c>
      <c r="MMO1331" s="4" t="s">
        <v>2875</v>
      </c>
      <c r="MMP1331" s="4" t="s">
        <v>2875</v>
      </c>
      <c r="MMQ1331" s="4" t="s">
        <v>2875</v>
      </c>
      <c r="MMR1331" s="4" t="s">
        <v>2875</v>
      </c>
      <c r="MMS1331" s="4" t="s">
        <v>2875</v>
      </c>
      <c r="MMT1331" s="4" t="s">
        <v>2875</v>
      </c>
      <c r="MMU1331" s="4" t="s">
        <v>2875</v>
      </c>
      <c r="MMV1331" s="4" t="s">
        <v>2875</v>
      </c>
      <c r="MMW1331" s="4" t="s">
        <v>2875</v>
      </c>
      <c r="MMX1331" s="4" t="s">
        <v>2875</v>
      </c>
      <c r="MMY1331" s="4" t="s">
        <v>2875</v>
      </c>
      <c r="MMZ1331" s="4" t="s">
        <v>2875</v>
      </c>
      <c r="MNA1331" s="4" t="s">
        <v>2875</v>
      </c>
      <c r="MNB1331" s="4" t="s">
        <v>2875</v>
      </c>
      <c r="MNC1331" s="4" t="s">
        <v>2875</v>
      </c>
      <c r="MND1331" s="4" t="s">
        <v>2875</v>
      </c>
      <c r="MNE1331" s="4" t="s">
        <v>2875</v>
      </c>
      <c r="MNF1331" s="4" t="s">
        <v>2875</v>
      </c>
      <c r="MNG1331" s="4" t="s">
        <v>2875</v>
      </c>
      <c r="MNH1331" s="4" t="s">
        <v>2875</v>
      </c>
      <c r="MNI1331" s="4" t="s">
        <v>2875</v>
      </c>
      <c r="MNJ1331" s="4" t="s">
        <v>2875</v>
      </c>
      <c r="MNK1331" s="4" t="s">
        <v>2875</v>
      </c>
      <c r="MNL1331" s="4" t="s">
        <v>2875</v>
      </c>
      <c r="MNM1331" s="4" t="s">
        <v>2875</v>
      </c>
      <c r="MNN1331" s="4" t="s">
        <v>2875</v>
      </c>
      <c r="MNO1331" s="4" t="s">
        <v>2875</v>
      </c>
      <c r="MNP1331" s="4" t="s">
        <v>2875</v>
      </c>
      <c r="MNQ1331" s="4" t="s">
        <v>2875</v>
      </c>
      <c r="MNR1331" s="4" t="s">
        <v>2875</v>
      </c>
      <c r="MNS1331" s="4" t="s">
        <v>2875</v>
      </c>
      <c r="MNT1331" s="4" t="s">
        <v>2875</v>
      </c>
      <c r="MNU1331" s="4" t="s">
        <v>2875</v>
      </c>
      <c r="MNV1331" s="4" t="s">
        <v>2875</v>
      </c>
      <c r="MNW1331" s="4" t="s">
        <v>2875</v>
      </c>
      <c r="MNX1331" s="4" t="s">
        <v>2875</v>
      </c>
      <c r="MNY1331" s="4" t="s">
        <v>2875</v>
      </c>
      <c r="MNZ1331" s="4" t="s">
        <v>2875</v>
      </c>
      <c r="MOA1331" s="4" t="s">
        <v>2875</v>
      </c>
      <c r="MOB1331" s="4" t="s">
        <v>2875</v>
      </c>
      <c r="MOC1331" s="4" t="s">
        <v>2875</v>
      </c>
      <c r="MOD1331" s="4" t="s">
        <v>2875</v>
      </c>
      <c r="MOE1331" s="4" t="s">
        <v>2875</v>
      </c>
      <c r="MOF1331" s="4" t="s">
        <v>2875</v>
      </c>
      <c r="MOG1331" s="4" t="s">
        <v>2875</v>
      </c>
      <c r="MOH1331" s="4" t="s">
        <v>2875</v>
      </c>
      <c r="MOI1331" s="4" t="s">
        <v>2875</v>
      </c>
      <c r="MOJ1331" s="4" t="s">
        <v>2875</v>
      </c>
      <c r="MOK1331" s="4" t="s">
        <v>2875</v>
      </c>
      <c r="MOL1331" s="4" t="s">
        <v>2875</v>
      </c>
      <c r="MOM1331" s="4" t="s">
        <v>2875</v>
      </c>
      <c r="MON1331" s="4" t="s">
        <v>2875</v>
      </c>
      <c r="MOO1331" s="4" t="s">
        <v>2875</v>
      </c>
      <c r="MOP1331" s="4" t="s">
        <v>2875</v>
      </c>
      <c r="MOQ1331" s="4" t="s">
        <v>2875</v>
      </c>
      <c r="MOR1331" s="4" t="s">
        <v>2875</v>
      </c>
      <c r="MOS1331" s="4" t="s">
        <v>2875</v>
      </c>
      <c r="MOT1331" s="4" t="s">
        <v>2875</v>
      </c>
      <c r="MOU1331" s="4" t="s">
        <v>2875</v>
      </c>
      <c r="MOV1331" s="4" t="s">
        <v>2875</v>
      </c>
      <c r="MOW1331" s="4" t="s">
        <v>2875</v>
      </c>
      <c r="MOX1331" s="4" t="s">
        <v>2875</v>
      </c>
      <c r="MOY1331" s="4" t="s">
        <v>2875</v>
      </c>
      <c r="MOZ1331" s="4" t="s">
        <v>2875</v>
      </c>
      <c r="MPA1331" s="4" t="s">
        <v>2875</v>
      </c>
      <c r="MPB1331" s="4" t="s">
        <v>2875</v>
      </c>
      <c r="MPC1331" s="4" t="s">
        <v>2875</v>
      </c>
      <c r="MPD1331" s="4" t="s">
        <v>2875</v>
      </c>
      <c r="MPE1331" s="4" t="s">
        <v>2875</v>
      </c>
      <c r="MPF1331" s="4" t="s">
        <v>2875</v>
      </c>
      <c r="MPG1331" s="4" t="s">
        <v>2875</v>
      </c>
      <c r="MPH1331" s="4" t="s">
        <v>2875</v>
      </c>
      <c r="MPI1331" s="4" t="s">
        <v>2875</v>
      </c>
      <c r="MPJ1331" s="4" t="s">
        <v>2875</v>
      </c>
      <c r="MPK1331" s="4" t="s">
        <v>2875</v>
      </c>
      <c r="MPL1331" s="4" t="s">
        <v>2875</v>
      </c>
      <c r="MPM1331" s="4" t="s">
        <v>2875</v>
      </c>
      <c r="MPN1331" s="4" t="s">
        <v>2875</v>
      </c>
      <c r="MPO1331" s="4" t="s">
        <v>2875</v>
      </c>
      <c r="MPP1331" s="4" t="s">
        <v>2875</v>
      </c>
      <c r="MPQ1331" s="4" t="s">
        <v>2875</v>
      </c>
      <c r="MPR1331" s="4" t="s">
        <v>2875</v>
      </c>
      <c r="MPS1331" s="4" t="s">
        <v>2875</v>
      </c>
      <c r="MPT1331" s="4" t="s">
        <v>2875</v>
      </c>
      <c r="MPU1331" s="4" t="s">
        <v>2875</v>
      </c>
      <c r="MPV1331" s="4" t="s">
        <v>2875</v>
      </c>
      <c r="MPW1331" s="4" t="s">
        <v>2875</v>
      </c>
      <c r="MPX1331" s="4" t="s">
        <v>2875</v>
      </c>
      <c r="MPY1331" s="4" t="s">
        <v>2875</v>
      </c>
      <c r="MPZ1331" s="4" t="s">
        <v>2875</v>
      </c>
      <c r="MQA1331" s="4" t="s">
        <v>2875</v>
      </c>
      <c r="MQB1331" s="4" t="s">
        <v>2875</v>
      </c>
      <c r="MQC1331" s="4" t="s">
        <v>2875</v>
      </c>
      <c r="MQD1331" s="4" t="s">
        <v>2875</v>
      </c>
      <c r="MQE1331" s="4" t="s">
        <v>2875</v>
      </c>
      <c r="MQF1331" s="4" t="s">
        <v>2875</v>
      </c>
      <c r="MQG1331" s="4" t="s">
        <v>2875</v>
      </c>
      <c r="MQH1331" s="4" t="s">
        <v>2875</v>
      </c>
      <c r="MQI1331" s="4" t="s">
        <v>2875</v>
      </c>
      <c r="MQJ1331" s="4" t="s">
        <v>2875</v>
      </c>
      <c r="MQK1331" s="4" t="s">
        <v>2875</v>
      </c>
      <c r="MQL1331" s="4" t="s">
        <v>2875</v>
      </c>
      <c r="MQM1331" s="4" t="s">
        <v>2875</v>
      </c>
      <c r="MQN1331" s="4" t="s">
        <v>2875</v>
      </c>
      <c r="MQO1331" s="4" t="s">
        <v>2875</v>
      </c>
      <c r="MQP1331" s="4" t="s">
        <v>2875</v>
      </c>
      <c r="MQQ1331" s="4" t="s">
        <v>2875</v>
      </c>
      <c r="MQR1331" s="4" t="s">
        <v>2875</v>
      </c>
      <c r="MQS1331" s="4" t="s">
        <v>2875</v>
      </c>
      <c r="MQT1331" s="4" t="s">
        <v>2875</v>
      </c>
      <c r="MQU1331" s="4" t="s">
        <v>2875</v>
      </c>
      <c r="MQV1331" s="4" t="s">
        <v>2875</v>
      </c>
      <c r="MQW1331" s="4" t="s">
        <v>2875</v>
      </c>
      <c r="MQX1331" s="4" t="s">
        <v>2875</v>
      </c>
      <c r="MQY1331" s="4" t="s">
        <v>2875</v>
      </c>
      <c r="MQZ1331" s="4" t="s">
        <v>2875</v>
      </c>
      <c r="MRA1331" s="4" t="s">
        <v>2875</v>
      </c>
      <c r="MRB1331" s="4" t="s">
        <v>2875</v>
      </c>
      <c r="MRC1331" s="4" t="s">
        <v>2875</v>
      </c>
      <c r="MRD1331" s="4" t="s">
        <v>2875</v>
      </c>
      <c r="MRE1331" s="4" t="s">
        <v>2875</v>
      </c>
      <c r="MRF1331" s="4" t="s">
        <v>2875</v>
      </c>
      <c r="MRG1331" s="4" t="s">
        <v>2875</v>
      </c>
      <c r="MRH1331" s="4" t="s">
        <v>2875</v>
      </c>
      <c r="MRI1331" s="4" t="s">
        <v>2875</v>
      </c>
      <c r="MRJ1331" s="4" t="s">
        <v>2875</v>
      </c>
      <c r="MRK1331" s="4" t="s">
        <v>2875</v>
      </c>
      <c r="MRL1331" s="4" t="s">
        <v>2875</v>
      </c>
      <c r="MRM1331" s="4" t="s">
        <v>2875</v>
      </c>
      <c r="MRN1331" s="4" t="s">
        <v>2875</v>
      </c>
      <c r="MRO1331" s="4" t="s">
        <v>2875</v>
      </c>
      <c r="MRP1331" s="4" t="s">
        <v>2875</v>
      </c>
      <c r="MRQ1331" s="4" t="s">
        <v>2875</v>
      </c>
      <c r="MRR1331" s="4" t="s">
        <v>2875</v>
      </c>
      <c r="MRS1331" s="4" t="s">
        <v>2875</v>
      </c>
      <c r="MRT1331" s="4" t="s">
        <v>2875</v>
      </c>
      <c r="MRU1331" s="4" t="s">
        <v>2875</v>
      </c>
      <c r="MRV1331" s="4" t="s">
        <v>2875</v>
      </c>
      <c r="MRW1331" s="4" t="s">
        <v>2875</v>
      </c>
      <c r="MRX1331" s="4" t="s">
        <v>2875</v>
      </c>
      <c r="MRY1331" s="4" t="s">
        <v>2875</v>
      </c>
      <c r="MRZ1331" s="4" t="s">
        <v>2875</v>
      </c>
      <c r="MSA1331" s="4" t="s">
        <v>2875</v>
      </c>
      <c r="MSB1331" s="4" t="s">
        <v>2875</v>
      </c>
      <c r="MSC1331" s="4" t="s">
        <v>2875</v>
      </c>
      <c r="MSD1331" s="4" t="s">
        <v>2875</v>
      </c>
      <c r="MSE1331" s="4" t="s">
        <v>2875</v>
      </c>
      <c r="MSF1331" s="4" t="s">
        <v>2875</v>
      </c>
      <c r="MSG1331" s="4" t="s">
        <v>2875</v>
      </c>
      <c r="MSH1331" s="4" t="s">
        <v>2875</v>
      </c>
      <c r="MSI1331" s="4" t="s">
        <v>2875</v>
      </c>
      <c r="MSJ1331" s="4" t="s">
        <v>2875</v>
      </c>
      <c r="MSK1331" s="4" t="s">
        <v>2875</v>
      </c>
      <c r="MSL1331" s="4" t="s">
        <v>2875</v>
      </c>
      <c r="MSM1331" s="4" t="s">
        <v>2875</v>
      </c>
      <c r="MSN1331" s="4" t="s">
        <v>2875</v>
      </c>
      <c r="MSO1331" s="4" t="s">
        <v>2875</v>
      </c>
      <c r="MSP1331" s="4" t="s">
        <v>2875</v>
      </c>
      <c r="MSQ1331" s="4" t="s">
        <v>2875</v>
      </c>
      <c r="MSR1331" s="4" t="s">
        <v>2875</v>
      </c>
      <c r="MSS1331" s="4" t="s">
        <v>2875</v>
      </c>
      <c r="MST1331" s="4" t="s">
        <v>2875</v>
      </c>
      <c r="MSU1331" s="4" t="s">
        <v>2875</v>
      </c>
      <c r="MSV1331" s="4" t="s">
        <v>2875</v>
      </c>
      <c r="MSW1331" s="4" t="s">
        <v>2875</v>
      </c>
      <c r="MSX1331" s="4" t="s">
        <v>2875</v>
      </c>
      <c r="MSY1331" s="4" t="s">
        <v>2875</v>
      </c>
      <c r="MSZ1331" s="4" t="s">
        <v>2875</v>
      </c>
      <c r="MTA1331" s="4" t="s">
        <v>2875</v>
      </c>
      <c r="MTB1331" s="4" t="s">
        <v>2875</v>
      </c>
      <c r="MTC1331" s="4" t="s">
        <v>2875</v>
      </c>
      <c r="MTD1331" s="4" t="s">
        <v>2875</v>
      </c>
      <c r="MTE1331" s="4" t="s">
        <v>2875</v>
      </c>
      <c r="MTF1331" s="4" t="s">
        <v>2875</v>
      </c>
      <c r="MTG1331" s="4" t="s">
        <v>2875</v>
      </c>
      <c r="MTH1331" s="4" t="s">
        <v>2875</v>
      </c>
      <c r="MTI1331" s="4" t="s">
        <v>2875</v>
      </c>
      <c r="MTJ1331" s="4" t="s">
        <v>2875</v>
      </c>
      <c r="MTK1331" s="4" t="s">
        <v>2875</v>
      </c>
      <c r="MTL1331" s="4" t="s">
        <v>2875</v>
      </c>
      <c r="MTM1331" s="4" t="s">
        <v>2875</v>
      </c>
      <c r="MTN1331" s="4" t="s">
        <v>2875</v>
      </c>
      <c r="MTO1331" s="4" t="s">
        <v>2875</v>
      </c>
      <c r="MTP1331" s="4" t="s">
        <v>2875</v>
      </c>
      <c r="MTQ1331" s="4" t="s">
        <v>2875</v>
      </c>
      <c r="MTR1331" s="4" t="s">
        <v>2875</v>
      </c>
      <c r="MTS1331" s="4" t="s">
        <v>2875</v>
      </c>
      <c r="MTT1331" s="4" t="s">
        <v>2875</v>
      </c>
      <c r="MTU1331" s="4" t="s">
        <v>2875</v>
      </c>
      <c r="MTV1331" s="4" t="s">
        <v>2875</v>
      </c>
      <c r="MTW1331" s="4" t="s">
        <v>2875</v>
      </c>
      <c r="MTX1331" s="4" t="s">
        <v>2875</v>
      </c>
      <c r="MTY1331" s="4" t="s">
        <v>2875</v>
      </c>
      <c r="MTZ1331" s="4" t="s">
        <v>2875</v>
      </c>
      <c r="MUA1331" s="4" t="s">
        <v>2875</v>
      </c>
      <c r="MUB1331" s="4" t="s">
        <v>2875</v>
      </c>
      <c r="MUC1331" s="4" t="s">
        <v>2875</v>
      </c>
      <c r="MUD1331" s="4" t="s">
        <v>2875</v>
      </c>
      <c r="MUE1331" s="4" t="s">
        <v>2875</v>
      </c>
      <c r="MUF1331" s="4" t="s">
        <v>2875</v>
      </c>
      <c r="MUG1331" s="4" t="s">
        <v>2875</v>
      </c>
      <c r="MUH1331" s="4" t="s">
        <v>2875</v>
      </c>
      <c r="MUI1331" s="4" t="s">
        <v>2875</v>
      </c>
      <c r="MUJ1331" s="4" t="s">
        <v>2875</v>
      </c>
      <c r="MUK1331" s="4" t="s">
        <v>2875</v>
      </c>
      <c r="MUL1331" s="4" t="s">
        <v>2875</v>
      </c>
      <c r="MUM1331" s="4" t="s">
        <v>2875</v>
      </c>
      <c r="MUN1331" s="4" t="s">
        <v>2875</v>
      </c>
      <c r="MUO1331" s="4" t="s">
        <v>2875</v>
      </c>
      <c r="MUP1331" s="4" t="s">
        <v>2875</v>
      </c>
      <c r="MUQ1331" s="4" t="s">
        <v>2875</v>
      </c>
      <c r="MUR1331" s="4" t="s">
        <v>2875</v>
      </c>
      <c r="MUS1331" s="4" t="s">
        <v>2875</v>
      </c>
      <c r="MUT1331" s="4" t="s">
        <v>2875</v>
      </c>
      <c r="MUU1331" s="4" t="s">
        <v>2875</v>
      </c>
      <c r="MUV1331" s="4" t="s">
        <v>2875</v>
      </c>
      <c r="MUW1331" s="4" t="s">
        <v>2875</v>
      </c>
      <c r="MUX1331" s="4" t="s">
        <v>2875</v>
      </c>
      <c r="MUY1331" s="4" t="s">
        <v>2875</v>
      </c>
      <c r="MUZ1331" s="4" t="s">
        <v>2875</v>
      </c>
      <c r="MVA1331" s="4" t="s">
        <v>2875</v>
      </c>
      <c r="MVB1331" s="4" t="s">
        <v>2875</v>
      </c>
      <c r="MVC1331" s="4" t="s">
        <v>2875</v>
      </c>
      <c r="MVD1331" s="4" t="s">
        <v>2875</v>
      </c>
      <c r="MVE1331" s="4" t="s">
        <v>2875</v>
      </c>
      <c r="MVF1331" s="4" t="s">
        <v>2875</v>
      </c>
      <c r="MVG1331" s="4" t="s">
        <v>2875</v>
      </c>
      <c r="MVH1331" s="4" t="s">
        <v>2875</v>
      </c>
      <c r="MVI1331" s="4" t="s">
        <v>2875</v>
      </c>
      <c r="MVJ1331" s="4" t="s">
        <v>2875</v>
      </c>
      <c r="MVK1331" s="4" t="s">
        <v>2875</v>
      </c>
      <c r="MVL1331" s="4" t="s">
        <v>2875</v>
      </c>
      <c r="MVM1331" s="4" t="s">
        <v>2875</v>
      </c>
      <c r="MVN1331" s="4" t="s">
        <v>2875</v>
      </c>
      <c r="MVO1331" s="4" t="s">
        <v>2875</v>
      </c>
      <c r="MVP1331" s="4" t="s">
        <v>2875</v>
      </c>
      <c r="MVQ1331" s="4" t="s">
        <v>2875</v>
      </c>
      <c r="MVR1331" s="4" t="s">
        <v>2875</v>
      </c>
      <c r="MVS1331" s="4" t="s">
        <v>2875</v>
      </c>
      <c r="MVT1331" s="4" t="s">
        <v>2875</v>
      </c>
      <c r="MVU1331" s="4" t="s">
        <v>2875</v>
      </c>
      <c r="MVV1331" s="4" t="s">
        <v>2875</v>
      </c>
      <c r="MVW1331" s="4" t="s">
        <v>2875</v>
      </c>
      <c r="MVX1331" s="4" t="s">
        <v>2875</v>
      </c>
      <c r="MVY1331" s="4" t="s">
        <v>2875</v>
      </c>
      <c r="MVZ1331" s="4" t="s">
        <v>2875</v>
      </c>
      <c r="MWA1331" s="4" t="s">
        <v>2875</v>
      </c>
      <c r="MWB1331" s="4" t="s">
        <v>2875</v>
      </c>
      <c r="MWC1331" s="4" t="s">
        <v>2875</v>
      </c>
      <c r="MWD1331" s="4" t="s">
        <v>2875</v>
      </c>
      <c r="MWE1331" s="4" t="s">
        <v>2875</v>
      </c>
      <c r="MWF1331" s="4" t="s">
        <v>2875</v>
      </c>
      <c r="MWG1331" s="4" t="s">
        <v>2875</v>
      </c>
      <c r="MWH1331" s="4" t="s">
        <v>2875</v>
      </c>
      <c r="MWI1331" s="4" t="s">
        <v>2875</v>
      </c>
      <c r="MWJ1331" s="4" t="s">
        <v>2875</v>
      </c>
      <c r="MWK1331" s="4" t="s">
        <v>2875</v>
      </c>
      <c r="MWL1331" s="4" t="s">
        <v>2875</v>
      </c>
      <c r="MWM1331" s="4" t="s">
        <v>2875</v>
      </c>
      <c r="MWN1331" s="4" t="s">
        <v>2875</v>
      </c>
      <c r="MWO1331" s="4" t="s">
        <v>2875</v>
      </c>
      <c r="MWP1331" s="4" t="s">
        <v>2875</v>
      </c>
      <c r="MWQ1331" s="4" t="s">
        <v>2875</v>
      </c>
      <c r="MWR1331" s="4" t="s">
        <v>2875</v>
      </c>
      <c r="MWS1331" s="4" t="s">
        <v>2875</v>
      </c>
      <c r="MWT1331" s="4" t="s">
        <v>2875</v>
      </c>
      <c r="MWU1331" s="4" t="s">
        <v>2875</v>
      </c>
      <c r="MWV1331" s="4" t="s">
        <v>2875</v>
      </c>
      <c r="MWW1331" s="4" t="s">
        <v>2875</v>
      </c>
      <c r="MWX1331" s="4" t="s">
        <v>2875</v>
      </c>
      <c r="MWY1331" s="4" t="s">
        <v>2875</v>
      </c>
      <c r="MWZ1331" s="4" t="s">
        <v>2875</v>
      </c>
      <c r="MXA1331" s="4" t="s">
        <v>2875</v>
      </c>
      <c r="MXB1331" s="4" t="s">
        <v>2875</v>
      </c>
      <c r="MXC1331" s="4" t="s">
        <v>2875</v>
      </c>
      <c r="MXD1331" s="4" t="s">
        <v>2875</v>
      </c>
      <c r="MXE1331" s="4" t="s">
        <v>2875</v>
      </c>
      <c r="MXF1331" s="4" t="s">
        <v>2875</v>
      </c>
      <c r="MXG1331" s="4" t="s">
        <v>2875</v>
      </c>
      <c r="MXH1331" s="4" t="s">
        <v>2875</v>
      </c>
      <c r="MXI1331" s="4" t="s">
        <v>2875</v>
      </c>
      <c r="MXJ1331" s="4" t="s">
        <v>2875</v>
      </c>
      <c r="MXK1331" s="4" t="s">
        <v>2875</v>
      </c>
      <c r="MXL1331" s="4" t="s">
        <v>2875</v>
      </c>
      <c r="MXM1331" s="4" t="s">
        <v>2875</v>
      </c>
      <c r="MXN1331" s="4" t="s">
        <v>2875</v>
      </c>
      <c r="MXO1331" s="4" t="s">
        <v>2875</v>
      </c>
      <c r="MXP1331" s="4" t="s">
        <v>2875</v>
      </c>
      <c r="MXQ1331" s="4" t="s">
        <v>2875</v>
      </c>
      <c r="MXR1331" s="4" t="s">
        <v>2875</v>
      </c>
      <c r="MXS1331" s="4" t="s">
        <v>2875</v>
      </c>
      <c r="MXT1331" s="4" t="s">
        <v>2875</v>
      </c>
      <c r="MXU1331" s="4" t="s">
        <v>2875</v>
      </c>
      <c r="MXV1331" s="4" t="s">
        <v>2875</v>
      </c>
      <c r="MXW1331" s="4" t="s">
        <v>2875</v>
      </c>
      <c r="MXX1331" s="4" t="s">
        <v>2875</v>
      </c>
      <c r="MXY1331" s="4" t="s">
        <v>2875</v>
      </c>
      <c r="MXZ1331" s="4" t="s">
        <v>2875</v>
      </c>
      <c r="MYA1331" s="4" t="s">
        <v>2875</v>
      </c>
      <c r="MYB1331" s="4" t="s">
        <v>2875</v>
      </c>
      <c r="MYC1331" s="4" t="s">
        <v>2875</v>
      </c>
      <c r="MYD1331" s="4" t="s">
        <v>2875</v>
      </c>
      <c r="MYE1331" s="4" t="s">
        <v>2875</v>
      </c>
      <c r="MYF1331" s="4" t="s">
        <v>2875</v>
      </c>
      <c r="MYG1331" s="4" t="s">
        <v>2875</v>
      </c>
      <c r="MYH1331" s="4" t="s">
        <v>2875</v>
      </c>
      <c r="MYI1331" s="4" t="s">
        <v>2875</v>
      </c>
      <c r="MYJ1331" s="4" t="s">
        <v>2875</v>
      </c>
      <c r="MYK1331" s="4" t="s">
        <v>2875</v>
      </c>
      <c r="MYL1331" s="4" t="s">
        <v>2875</v>
      </c>
      <c r="MYM1331" s="4" t="s">
        <v>2875</v>
      </c>
      <c r="MYN1331" s="4" t="s">
        <v>2875</v>
      </c>
      <c r="MYO1331" s="4" t="s">
        <v>2875</v>
      </c>
      <c r="MYP1331" s="4" t="s">
        <v>2875</v>
      </c>
      <c r="MYQ1331" s="4" t="s">
        <v>2875</v>
      </c>
      <c r="MYR1331" s="4" t="s">
        <v>2875</v>
      </c>
      <c r="MYS1331" s="4" t="s">
        <v>2875</v>
      </c>
      <c r="MYT1331" s="4" t="s">
        <v>2875</v>
      </c>
      <c r="MYU1331" s="4" t="s">
        <v>2875</v>
      </c>
      <c r="MYV1331" s="4" t="s">
        <v>2875</v>
      </c>
      <c r="MYW1331" s="4" t="s">
        <v>2875</v>
      </c>
      <c r="MYX1331" s="4" t="s">
        <v>2875</v>
      </c>
      <c r="MYY1331" s="4" t="s">
        <v>2875</v>
      </c>
      <c r="MYZ1331" s="4" t="s">
        <v>2875</v>
      </c>
      <c r="MZA1331" s="4" t="s">
        <v>2875</v>
      </c>
      <c r="MZB1331" s="4" t="s">
        <v>2875</v>
      </c>
      <c r="MZC1331" s="4" t="s">
        <v>2875</v>
      </c>
      <c r="MZD1331" s="4" t="s">
        <v>2875</v>
      </c>
      <c r="MZE1331" s="4" t="s">
        <v>2875</v>
      </c>
      <c r="MZF1331" s="4" t="s">
        <v>2875</v>
      </c>
      <c r="MZG1331" s="4" t="s">
        <v>2875</v>
      </c>
      <c r="MZH1331" s="4" t="s">
        <v>2875</v>
      </c>
      <c r="MZI1331" s="4" t="s">
        <v>2875</v>
      </c>
      <c r="MZJ1331" s="4" t="s">
        <v>2875</v>
      </c>
      <c r="MZK1331" s="4" t="s">
        <v>2875</v>
      </c>
      <c r="MZL1331" s="4" t="s">
        <v>2875</v>
      </c>
      <c r="MZM1331" s="4" t="s">
        <v>2875</v>
      </c>
      <c r="MZN1331" s="4" t="s">
        <v>2875</v>
      </c>
      <c r="MZO1331" s="4" t="s">
        <v>2875</v>
      </c>
      <c r="MZP1331" s="4" t="s">
        <v>2875</v>
      </c>
      <c r="MZQ1331" s="4" t="s">
        <v>2875</v>
      </c>
      <c r="MZR1331" s="4" t="s">
        <v>2875</v>
      </c>
      <c r="MZS1331" s="4" t="s">
        <v>2875</v>
      </c>
      <c r="MZT1331" s="4" t="s">
        <v>2875</v>
      </c>
      <c r="MZU1331" s="4" t="s">
        <v>2875</v>
      </c>
      <c r="MZV1331" s="4" t="s">
        <v>2875</v>
      </c>
      <c r="MZW1331" s="4" t="s">
        <v>2875</v>
      </c>
      <c r="MZX1331" s="4" t="s">
        <v>2875</v>
      </c>
      <c r="MZY1331" s="4" t="s">
        <v>2875</v>
      </c>
      <c r="MZZ1331" s="4" t="s">
        <v>2875</v>
      </c>
      <c r="NAA1331" s="4" t="s">
        <v>2875</v>
      </c>
      <c r="NAB1331" s="4" t="s">
        <v>2875</v>
      </c>
      <c r="NAC1331" s="4" t="s">
        <v>2875</v>
      </c>
      <c r="NAD1331" s="4" t="s">
        <v>2875</v>
      </c>
      <c r="NAE1331" s="4" t="s">
        <v>2875</v>
      </c>
      <c r="NAF1331" s="4" t="s">
        <v>2875</v>
      </c>
      <c r="NAG1331" s="4" t="s">
        <v>2875</v>
      </c>
      <c r="NAH1331" s="4" t="s">
        <v>2875</v>
      </c>
      <c r="NAI1331" s="4" t="s">
        <v>2875</v>
      </c>
      <c r="NAJ1331" s="4" t="s">
        <v>2875</v>
      </c>
      <c r="NAK1331" s="4" t="s">
        <v>2875</v>
      </c>
      <c r="NAL1331" s="4" t="s">
        <v>2875</v>
      </c>
      <c r="NAM1331" s="4" t="s">
        <v>2875</v>
      </c>
      <c r="NAN1331" s="4" t="s">
        <v>2875</v>
      </c>
      <c r="NAO1331" s="4" t="s">
        <v>2875</v>
      </c>
      <c r="NAP1331" s="4" t="s">
        <v>2875</v>
      </c>
      <c r="NAQ1331" s="4" t="s">
        <v>2875</v>
      </c>
      <c r="NAR1331" s="4" t="s">
        <v>2875</v>
      </c>
      <c r="NAS1331" s="4" t="s">
        <v>2875</v>
      </c>
      <c r="NAT1331" s="4" t="s">
        <v>2875</v>
      </c>
      <c r="NAU1331" s="4" t="s">
        <v>2875</v>
      </c>
      <c r="NAV1331" s="4" t="s">
        <v>2875</v>
      </c>
      <c r="NAW1331" s="4" t="s">
        <v>2875</v>
      </c>
      <c r="NAX1331" s="4" t="s">
        <v>2875</v>
      </c>
      <c r="NAY1331" s="4" t="s">
        <v>2875</v>
      </c>
      <c r="NAZ1331" s="4" t="s">
        <v>2875</v>
      </c>
      <c r="NBA1331" s="4" t="s">
        <v>2875</v>
      </c>
      <c r="NBB1331" s="4" t="s">
        <v>2875</v>
      </c>
      <c r="NBC1331" s="4" t="s">
        <v>2875</v>
      </c>
      <c r="NBD1331" s="4" t="s">
        <v>2875</v>
      </c>
      <c r="NBE1331" s="4" t="s">
        <v>2875</v>
      </c>
      <c r="NBF1331" s="4" t="s">
        <v>2875</v>
      </c>
      <c r="NBG1331" s="4" t="s">
        <v>2875</v>
      </c>
      <c r="NBH1331" s="4" t="s">
        <v>2875</v>
      </c>
      <c r="NBI1331" s="4" t="s">
        <v>2875</v>
      </c>
      <c r="NBJ1331" s="4" t="s">
        <v>2875</v>
      </c>
      <c r="NBK1331" s="4" t="s">
        <v>2875</v>
      </c>
      <c r="NBL1331" s="4" t="s">
        <v>2875</v>
      </c>
      <c r="NBM1331" s="4" t="s">
        <v>2875</v>
      </c>
      <c r="NBN1331" s="4" t="s">
        <v>2875</v>
      </c>
      <c r="NBO1331" s="4" t="s">
        <v>2875</v>
      </c>
      <c r="NBP1331" s="4" t="s">
        <v>2875</v>
      </c>
      <c r="NBQ1331" s="4" t="s">
        <v>2875</v>
      </c>
      <c r="NBR1331" s="4" t="s">
        <v>2875</v>
      </c>
      <c r="NBS1331" s="4" t="s">
        <v>2875</v>
      </c>
      <c r="NBT1331" s="4" t="s">
        <v>2875</v>
      </c>
      <c r="NBU1331" s="4" t="s">
        <v>2875</v>
      </c>
      <c r="NBV1331" s="4" t="s">
        <v>2875</v>
      </c>
      <c r="NBW1331" s="4" t="s">
        <v>2875</v>
      </c>
      <c r="NBX1331" s="4" t="s">
        <v>2875</v>
      </c>
      <c r="NBY1331" s="4" t="s">
        <v>2875</v>
      </c>
      <c r="NBZ1331" s="4" t="s">
        <v>2875</v>
      </c>
      <c r="NCA1331" s="4" t="s">
        <v>2875</v>
      </c>
      <c r="NCB1331" s="4" t="s">
        <v>2875</v>
      </c>
      <c r="NCC1331" s="4" t="s">
        <v>2875</v>
      </c>
      <c r="NCD1331" s="4" t="s">
        <v>2875</v>
      </c>
      <c r="NCE1331" s="4" t="s">
        <v>2875</v>
      </c>
      <c r="NCF1331" s="4" t="s">
        <v>2875</v>
      </c>
      <c r="NCG1331" s="4" t="s">
        <v>2875</v>
      </c>
      <c r="NCH1331" s="4" t="s">
        <v>2875</v>
      </c>
      <c r="NCI1331" s="4" t="s">
        <v>2875</v>
      </c>
      <c r="NCJ1331" s="4" t="s">
        <v>2875</v>
      </c>
      <c r="NCK1331" s="4" t="s">
        <v>2875</v>
      </c>
      <c r="NCL1331" s="4" t="s">
        <v>2875</v>
      </c>
      <c r="NCM1331" s="4" t="s">
        <v>2875</v>
      </c>
      <c r="NCN1331" s="4" t="s">
        <v>2875</v>
      </c>
      <c r="NCO1331" s="4" t="s">
        <v>2875</v>
      </c>
      <c r="NCP1331" s="4" t="s">
        <v>2875</v>
      </c>
      <c r="NCQ1331" s="4" t="s">
        <v>2875</v>
      </c>
      <c r="NCR1331" s="4" t="s">
        <v>2875</v>
      </c>
      <c r="NCS1331" s="4" t="s">
        <v>2875</v>
      </c>
      <c r="NCT1331" s="4" t="s">
        <v>2875</v>
      </c>
      <c r="NCU1331" s="4" t="s">
        <v>2875</v>
      </c>
      <c r="NCV1331" s="4" t="s">
        <v>2875</v>
      </c>
      <c r="NCW1331" s="4" t="s">
        <v>2875</v>
      </c>
      <c r="NCX1331" s="4" t="s">
        <v>2875</v>
      </c>
      <c r="NCY1331" s="4" t="s">
        <v>2875</v>
      </c>
      <c r="NCZ1331" s="4" t="s">
        <v>2875</v>
      </c>
      <c r="NDA1331" s="4" t="s">
        <v>2875</v>
      </c>
      <c r="NDB1331" s="4" t="s">
        <v>2875</v>
      </c>
      <c r="NDC1331" s="4" t="s">
        <v>2875</v>
      </c>
      <c r="NDD1331" s="4" t="s">
        <v>2875</v>
      </c>
      <c r="NDE1331" s="4" t="s">
        <v>2875</v>
      </c>
      <c r="NDF1331" s="4" t="s">
        <v>2875</v>
      </c>
      <c r="NDG1331" s="4" t="s">
        <v>2875</v>
      </c>
      <c r="NDH1331" s="4" t="s">
        <v>2875</v>
      </c>
      <c r="NDI1331" s="4" t="s">
        <v>2875</v>
      </c>
      <c r="NDJ1331" s="4" t="s">
        <v>2875</v>
      </c>
      <c r="NDK1331" s="4" t="s">
        <v>2875</v>
      </c>
      <c r="NDL1331" s="4" t="s">
        <v>2875</v>
      </c>
      <c r="NDM1331" s="4" t="s">
        <v>2875</v>
      </c>
      <c r="NDN1331" s="4" t="s">
        <v>2875</v>
      </c>
      <c r="NDO1331" s="4" t="s">
        <v>2875</v>
      </c>
      <c r="NDP1331" s="4" t="s">
        <v>2875</v>
      </c>
      <c r="NDQ1331" s="4" t="s">
        <v>2875</v>
      </c>
      <c r="NDR1331" s="4" t="s">
        <v>2875</v>
      </c>
      <c r="NDS1331" s="4" t="s">
        <v>2875</v>
      </c>
      <c r="NDT1331" s="4" t="s">
        <v>2875</v>
      </c>
      <c r="NDU1331" s="4" t="s">
        <v>2875</v>
      </c>
      <c r="NDV1331" s="4" t="s">
        <v>2875</v>
      </c>
      <c r="NDW1331" s="4" t="s">
        <v>2875</v>
      </c>
      <c r="NDX1331" s="4" t="s">
        <v>2875</v>
      </c>
      <c r="NDY1331" s="4" t="s">
        <v>2875</v>
      </c>
      <c r="NDZ1331" s="4" t="s">
        <v>2875</v>
      </c>
      <c r="NEA1331" s="4" t="s">
        <v>2875</v>
      </c>
      <c r="NEB1331" s="4" t="s">
        <v>2875</v>
      </c>
      <c r="NEC1331" s="4" t="s">
        <v>2875</v>
      </c>
      <c r="NED1331" s="4" t="s">
        <v>2875</v>
      </c>
      <c r="NEE1331" s="4" t="s">
        <v>2875</v>
      </c>
      <c r="NEF1331" s="4" t="s">
        <v>2875</v>
      </c>
      <c r="NEG1331" s="4" t="s">
        <v>2875</v>
      </c>
      <c r="NEH1331" s="4" t="s">
        <v>2875</v>
      </c>
      <c r="NEI1331" s="4" t="s">
        <v>2875</v>
      </c>
      <c r="NEJ1331" s="4" t="s">
        <v>2875</v>
      </c>
      <c r="NEK1331" s="4" t="s">
        <v>2875</v>
      </c>
      <c r="NEL1331" s="4" t="s">
        <v>2875</v>
      </c>
      <c r="NEM1331" s="4" t="s">
        <v>2875</v>
      </c>
      <c r="NEN1331" s="4" t="s">
        <v>2875</v>
      </c>
      <c r="NEO1331" s="4" t="s">
        <v>2875</v>
      </c>
      <c r="NEP1331" s="4" t="s">
        <v>2875</v>
      </c>
      <c r="NEQ1331" s="4" t="s">
        <v>2875</v>
      </c>
      <c r="NER1331" s="4" t="s">
        <v>2875</v>
      </c>
      <c r="NES1331" s="4" t="s">
        <v>2875</v>
      </c>
      <c r="NET1331" s="4" t="s">
        <v>2875</v>
      </c>
      <c r="NEU1331" s="4" t="s">
        <v>2875</v>
      </c>
      <c r="NEV1331" s="4" t="s">
        <v>2875</v>
      </c>
      <c r="NEW1331" s="4" t="s">
        <v>2875</v>
      </c>
      <c r="NEX1331" s="4" t="s">
        <v>2875</v>
      </c>
      <c r="NEY1331" s="4" t="s">
        <v>2875</v>
      </c>
      <c r="NEZ1331" s="4" t="s">
        <v>2875</v>
      </c>
      <c r="NFA1331" s="4" t="s">
        <v>2875</v>
      </c>
      <c r="NFB1331" s="4" t="s">
        <v>2875</v>
      </c>
      <c r="NFC1331" s="4" t="s">
        <v>2875</v>
      </c>
      <c r="NFD1331" s="4" t="s">
        <v>2875</v>
      </c>
      <c r="NFE1331" s="4" t="s">
        <v>2875</v>
      </c>
      <c r="NFF1331" s="4" t="s">
        <v>2875</v>
      </c>
      <c r="NFG1331" s="4" t="s">
        <v>2875</v>
      </c>
      <c r="NFH1331" s="4" t="s">
        <v>2875</v>
      </c>
      <c r="NFI1331" s="4" t="s">
        <v>2875</v>
      </c>
      <c r="NFJ1331" s="4" t="s">
        <v>2875</v>
      </c>
      <c r="NFK1331" s="4" t="s">
        <v>2875</v>
      </c>
      <c r="NFL1331" s="4" t="s">
        <v>2875</v>
      </c>
      <c r="NFM1331" s="4" t="s">
        <v>2875</v>
      </c>
      <c r="NFN1331" s="4" t="s">
        <v>2875</v>
      </c>
      <c r="NFO1331" s="4" t="s">
        <v>2875</v>
      </c>
      <c r="NFP1331" s="4" t="s">
        <v>2875</v>
      </c>
      <c r="NFQ1331" s="4" t="s">
        <v>2875</v>
      </c>
      <c r="NFR1331" s="4" t="s">
        <v>2875</v>
      </c>
      <c r="NFS1331" s="4" t="s">
        <v>2875</v>
      </c>
      <c r="NFT1331" s="4" t="s">
        <v>2875</v>
      </c>
      <c r="NFU1331" s="4" t="s">
        <v>2875</v>
      </c>
      <c r="NFV1331" s="4" t="s">
        <v>2875</v>
      </c>
      <c r="NFW1331" s="4" t="s">
        <v>2875</v>
      </c>
      <c r="NFX1331" s="4" t="s">
        <v>2875</v>
      </c>
      <c r="NFY1331" s="4" t="s">
        <v>2875</v>
      </c>
      <c r="NFZ1331" s="4" t="s">
        <v>2875</v>
      </c>
      <c r="NGA1331" s="4" t="s">
        <v>2875</v>
      </c>
      <c r="NGB1331" s="4" t="s">
        <v>2875</v>
      </c>
      <c r="NGC1331" s="4" t="s">
        <v>2875</v>
      </c>
      <c r="NGD1331" s="4" t="s">
        <v>2875</v>
      </c>
      <c r="NGE1331" s="4" t="s">
        <v>2875</v>
      </c>
      <c r="NGF1331" s="4" t="s">
        <v>2875</v>
      </c>
      <c r="NGG1331" s="4" t="s">
        <v>2875</v>
      </c>
      <c r="NGH1331" s="4" t="s">
        <v>2875</v>
      </c>
      <c r="NGI1331" s="4" t="s">
        <v>2875</v>
      </c>
      <c r="NGJ1331" s="4" t="s">
        <v>2875</v>
      </c>
      <c r="NGK1331" s="4" t="s">
        <v>2875</v>
      </c>
      <c r="NGL1331" s="4" t="s">
        <v>2875</v>
      </c>
      <c r="NGM1331" s="4" t="s">
        <v>2875</v>
      </c>
      <c r="NGN1331" s="4" t="s">
        <v>2875</v>
      </c>
      <c r="NGO1331" s="4" t="s">
        <v>2875</v>
      </c>
      <c r="NGP1331" s="4" t="s">
        <v>2875</v>
      </c>
      <c r="NGQ1331" s="4" t="s">
        <v>2875</v>
      </c>
      <c r="NGR1331" s="4" t="s">
        <v>2875</v>
      </c>
      <c r="NGS1331" s="4" t="s">
        <v>2875</v>
      </c>
      <c r="NGT1331" s="4" t="s">
        <v>2875</v>
      </c>
      <c r="NGU1331" s="4" t="s">
        <v>2875</v>
      </c>
      <c r="NGV1331" s="4" t="s">
        <v>2875</v>
      </c>
      <c r="NGW1331" s="4" t="s">
        <v>2875</v>
      </c>
      <c r="NGX1331" s="4" t="s">
        <v>2875</v>
      </c>
      <c r="NGY1331" s="4" t="s">
        <v>2875</v>
      </c>
      <c r="NGZ1331" s="4" t="s">
        <v>2875</v>
      </c>
      <c r="NHA1331" s="4" t="s">
        <v>2875</v>
      </c>
      <c r="NHB1331" s="4" t="s">
        <v>2875</v>
      </c>
      <c r="NHC1331" s="4" t="s">
        <v>2875</v>
      </c>
      <c r="NHD1331" s="4" t="s">
        <v>2875</v>
      </c>
      <c r="NHE1331" s="4" t="s">
        <v>2875</v>
      </c>
      <c r="NHF1331" s="4" t="s">
        <v>2875</v>
      </c>
      <c r="NHG1331" s="4" t="s">
        <v>2875</v>
      </c>
      <c r="NHH1331" s="4" t="s">
        <v>2875</v>
      </c>
      <c r="NHI1331" s="4" t="s">
        <v>2875</v>
      </c>
      <c r="NHJ1331" s="4" t="s">
        <v>2875</v>
      </c>
      <c r="NHK1331" s="4" t="s">
        <v>2875</v>
      </c>
      <c r="NHL1331" s="4" t="s">
        <v>2875</v>
      </c>
      <c r="NHM1331" s="4" t="s">
        <v>2875</v>
      </c>
      <c r="NHN1331" s="4" t="s">
        <v>2875</v>
      </c>
      <c r="NHO1331" s="4" t="s">
        <v>2875</v>
      </c>
      <c r="NHP1331" s="4" t="s">
        <v>2875</v>
      </c>
      <c r="NHQ1331" s="4" t="s">
        <v>2875</v>
      </c>
      <c r="NHR1331" s="4" t="s">
        <v>2875</v>
      </c>
      <c r="NHS1331" s="4" t="s">
        <v>2875</v>
      </c>
      <c r="NHT1331" s="4" t="s">
        <v>2875</v>
      </c>
      <c r="NHU1331" s="4" t="s">
        <v>2875</v>
      </c>
      <c r="NHV1331" s="4" t="s">
        <v>2875</v>
      </c>
      <c r="NHW1331" s="4" t="s">
        <v>2875</v>
      </c>
      <c r="NHX1331" s="4" t="s">
        <v>2875</v>
      </c>
      <c r="NHY1331" s="4" t="s">
        <v>2875</v>
      </c>
      <c r="NHZ1331" s="4" t="s">
        <v>2875</v>
      </c>
      <c r="NIA1331" s="4" t="s">
        <v>2875</v>
      </c>
      <c r="NIB1331" s="4" t="s">
        <v>2875</v>
      </c>
      <c r="NIC1331" s="4" t="s">
        <v>2875</v>
      </c>
      <c r="NID1331" s="4" t="s">
        <v>2875</v>
      </c>
      <c r="NIE1331" s="4" t="s">
        <v>2875</v>
      </c>
      <c r="NIF1331" s="4" t="s">
        <v>2875</v>
      </c>
      <c r="NIG1331" s="4" t="s">
        <v>2875</v>
      </c>
      <c r="NIH1331" s="4" t="s">
        <v>2875</v>
      </c>
      <c r="NII1331" s="4" t="s">
        <v>2875</v>
      </c>
      <c r="NIJ1331" s="4" t="s">
        <v>2875</v>
      </c>
      <c r="NIK1331" s="4" t="s">
        <v>2875</v>
      </c>
      <c r="NIL1331" s="4" t="s">
        <v>2875</v>
      </c>
      <c r="NIM1331" s="4" t="s">
        <v>2875</v>
      </c>
      <c r="NIN1331" s="4" t="s">
        <v>2875</v>
      </c>
      <c r="NIO1331" s="4" t="s">
        <v>2875</v>
      </c>
      <c r="NIP1331" s="4" t="s">
        <v>2875</v>
      </c>
      <c r="NIQ1331" s="4" t="s">
        <v>2875</v>
      </c>
      <c r="NIR1331" s="4" t="s">
        <v>2875</v>
      </c>
      <c r="NIS1331" s="4" t="s">
        <v>2875</v>
      </c>
      <c r="NIT1331" s="4" t="s">
        <v>2875</v>
      </c>
      <c r="NIU1331" s="4" t="s">
        <v>2875</v>
      </c>
      <c r="NIV1331" s="4" t="s">
        <v>2875</v>
      </c>
      <c r="NIW1331" s="4" t="s">
        <v>2875</v>
      </c>
      <c r="NIX1331" s="4" t="s">
        <v>2875</v>
      </c>
      <c r="NIY1331" s="4" t="s">
        <v>2875</v>
      </c>
      <c r="NIZ1331" s="4" t="s">
        <v>2875</v>
      </c>
      <c r="NJA1331" s="4" t="s">
        <v>2875</v>
      </c>
      <c r="NJB1331" s="4" t="s">
        <v>2875</v>
      </c>
      <c r="NJC1331" s="4" t="s">
        <v>2875</v>
      </c>
      <c r="NJD1331" s="4" t="s">
        <v>2875</v>
      </c>
      <c r="NJE1331" s="4" t="s">
        <v>2875</v>
      </c>
      <c r="NJF1331" s="4" t="s">
        <v>2875</v>
      </c>
      <c r="NJG1331" s="4" t="s">
        <v>2875</v>
      </c>
      <c r="NJH1331" s="4" t="s">
        <v>2875</v>
      </c>
      <c r="NJI1331" s="4" t="s">
        <v>2875</v>
      </c>
      <c r="NJJ1331" s="4" t="s">
        <v>2875</v>
      </c>
      <c r="NJK1331" s="4" t="s">
        <v>2875</v>
      </c>
      <c r="NJL1331" s="4" t="s">
        <v>2875</v>
      </c>
      <c r="NJM1331" s="4" t="s">
        <v>2875</v>
      </c>
      <c r="NJN1331" s="4" t="s">
        <v>2875</v>
      </c>
      <c r="NJO1331" s="4" t="s">
        <v>2875</v>
      </c>
      <c r="NJP1331" s="4" t="s">
        <v>2875</v>
      </c>
      <c r="NJQ1331" s="4" t="s">
        <v>2875</v>
      </c>
      <c r="NJR1331" s="4" t="s">
        <v>2875</v>
      </c>
      <c r="NJS1331" s="4" t="s">
        <v>2875</v>
      </c>
      <c r="NJT1331" s="4" t="s">
        <v>2875</v>
      </c>
      <c r="NJU1331" s="4" t="s">
        <v>2875</v>
      </c>
      <c r="NJV1331" s="4" t="s">
        <v>2875</v>
      </c>
      <c r="NJW1331" s="4" t="s">
        <v>2875</v>
      </c>
      <c r="NJX1331" s="4" t="s">
        <v>2875</v>
      </c>
      <c r="NJY1331" s="4" t="s">
        <v>2875</v>
      </c>
      <c r="NJZ1331" s="4" t="s">
        <v>2875</v>
      </c>
      <c r="NKA1331" s="4" t="s">
        <v>2875</v>
      </c>
      <c r="NKB1331" s="4" t="s">
        <v>2875</v>
      </c>
      <c r="NKC1331" s="4" t="s">
        <v>2875</v>
      </c>
      <c r="NKD1331" s="4" t="s">
        <v>2875</v>
      </c>
      <c r="NKE1331" s="4" t="s">
        <v>2875</v>
      </c>
      <c r="NKF1331" s="4" t="s">
        <v>2875</v>
      </c>
      <c r="NKG1331" s="4" t="s">
        <v>2875</v>
      </c>
      <c r="NKH1331" s="4" t="s">
        <v>2875</v>
      </c>
      <c r="NKI1331" s="4" t="s">
        <v>2875</v>
      </c>
      <c r="NKJ1331" s="4" t="s">
        <v>2875</v>
      </c>
      <c r="NKK1331" s="4" t="s">
        <v>2875</v>
      </c>
      <c r="NKL1331" s="4" t="s">
        <v>2875</v>
      </c>
      <c r="NKM1331" s="4" t="s">
        <v>2875</v>
      </c>
      <c r="NKN1331" s="4" t="s">
        <v>2875</v>
      </c>
      <c r="NKO1331" s="4" t="s">
        <v>2875</v>
      </c>
      <c r="NKP1331" s="4" t="s">
        <v>2875</v>
      </c>
      <c r="NKQ1331" s="4" t="s">
        <v>2875</v>
      </c>
      <c r="NKR1331" s="4" t="s">
        <v>2875</v>
      </c>
      <c r="NKS1331" s="4" t="s">
        <v>2875</v>
      </c>
      <c r="NKT1331" s="4" t="s">
        <v>2875</v>
      </c>
      <c r="NKU1331" s="4" t="s">
        <v>2875</v>
      </c>
      <c r="NKV1331" s="4" t="s">
        <v>2875</v>
      </c>
      <c r="NKW1331" s="4" t="s">
        <v>2875</v>
      </c>
      <c r="NKX1331" s="4" t="s">
        <v>2875</v>
      </c>
      <c r="NKY1331" s="4" t="s">
        <v>2875</v>
      </c>
      <c r="NKZ1331" s="4" t="s">
        <v>2875</v>
      </c>
      <c r="NLA1331" s="4" t="s">
        <v>2875</v>
      </c>
      <c r="NLB1331" s="4" t="s">
        <v>2875</v>
      </c>
      <c r="NLC1331" s="4" t="s">
        <v>2875</v>
      </c>
      <c r="NLD1331" s="4" t="s">
        <v>2875</v>
      </c>
      <c r="NLE1331" s="4" t="s">
        <v>2875</v>
      </c>
      <c r="NLF1331" s="4" t="s">
        <v>2875</v>
      </c>
      <c r="NLG1331" s="4" t="s">
        <v>2875</v>
      </c>
      <c r="NLH1331" s="4" t="s">
        <v>2875</v>
      </c>
      <c r="NLI1331" s="4" t="s">
        <v>2875</v>
      </c>
      <c r="NLJ1331" s="4" t="s">
        <v>2875</v>
      </c>
      <c r="NLK1331" s="4" t="s">
        <v>2875</v>
      </c>
      <c r="NLL1331" s="4" t="s">
        <v>2875</v>
      </c>
      <c r="NLM1331" s="4" t="s">
        <v>2875</v>
      </c>
      <c r="NLN1331" s="4" t="s">
        <v>2875</v>
      </c>
      <c r="NLO1331" s="4" t="s">
        <v>2875</v>
      </c>
      <c r="NLP1331" s="4" t="s">
        <v>2875</v>
      </c>
      <c r="NLQ1331" s="4" t="s">
        <v>2875</v>
      </c>
      <c r="NLR1331" s="4" t="s">
        <v>2875</v>
      </c>
      <c r="NLS1331" s="4" t="s">
        <v>2875</v>
      </c>
      <c r="NLT1331" s="4" t="s">
        <v>2875</v>
      </c>
      <c r="NLU1331" s="4" t="s">
        <v>2875</v>
      </c>
      <c r="NLV1331" s="4" t="s">
        <v>2875</v>
      </c>
      <c r="NLW1331" s="4" t="s">
        <v>2875</v>
      </c>
      <c r="NLX1331" s="4" t="s">
        <v>2875</v>
      </c>
      <c r="NLY1331" s="4" t="s">
        <v>2875</v>
      </c>
      <c r="NLZ1331" s="4" t="s">
        <v>2875</v>
      </c>
      <c r="NMA1331" s="4" t="s">
        <v>2875</v>
      </c>
      <c r="NMB1331" s="4" t="s">
        <v>2875</v>
      </c>
      <c r="NMC1331" s="4" t="s">
        <v>2875</v>
      </c>
      <c r="NMD1331" s="4" t="s">
        <v>2875</v>
      </c>
      <c r="NME1331" s="4" t="s">
        <v>2875</v>
      </c>
      <c r="NMF1331" s="4" t="s">
        <v>2875</v>
      </c>
      <c r="NMG1331" s="4" t="s">
        <v>2875</v>
      </c>
      <c r="NMH1331" s="4" t="s">
        <v>2875</v>
      </c>
      <c r="NMI1331" s="4" t="s">
        <v>2875</v>
      </c>
      <c r="NMJ1331" s="4" t="s">
        <v>2875</v>
      </c>
      <c r="NMK1331" s="4" t="s">
        <v>2875</v>
      </c>
      <c r="NML1331" s="4" t="s">
        <v>2875</v>
      </c>
      <c r="NMM1331" s="4" t="s">
        <v>2875</v>
      </c>
      <c r="NMN1331" s="4" t="s">
        <v>2875</v>
      </c>
      <c r="NMO1331" s="4" t="s">
        <v>2875</v>
      </c>
      <c r="NMP1331" s="4" t="s">
        <v>2875</v>
      </c>
      <c r="NMQ1331" s="4" t="s">
        <v>2875</v>
      </c>
      <c r="NMR1331" s="4" t="s">
        <v>2875</v>
      </c>
      <c r="NMS1331" s="4" t="s">
        <v>2875</v>
      </c>
      <c r="NMT1331" s="4" t="s">
        <v>2875</v>
      </c>
      <c r="NMU1331" s="4" t="s">
        <v>2875</v>
      </c>
      <c r="NMV1331" s="4" t="s">
        <v>2875</v>
      </c>
      <c r="NMW1331" s="4" t="s">
        <v>2875</v>
      </c>
      <c r="NMX1331" s="4" t="s">
        <v>2875</v>
      </c>
      <c r="NMY1331" s="4" t="s">
        <v>2875</v>
      </c>
      <c r="NMZ1331" s="4" t="s">
        <v>2875</v>
      </c>
      <c r="NNA1331" s="4" t="s">
        <v>2875</v>
      </c>
      <c r="NNB1331" s="4" t="s">
        <v>2875</v>
      </c>
      <c r="NNC1331" s="4" t="s">
        <v>2875</v>
      </c>
      <c r="NND1331" s="4" t="s">
        <v>2875</v>
      </c>
      <c r="NNE1331" s="4" t="s">
        <v>2875</v>
      </c>
      <c r="NNF1331" s="4" t="s">
        <v>2875</v>
      </c>
      <c r="NNG1331" s="4" t="s">
        <v>2875</v>
      </c>
      <c r="NNH1331" s="4" t="s">
        <v>2875</v>
      </c>
      <c r="NNI1331" s="4" t="s">
        <v>2875</v>
      </c>
      <c r="NNJ1331" s="4" t="s">
        <v>2875</v>
      </c>
      <c r="NNK1331" s="4" t="s">
        <v>2875</v>
      </c>
      <c r="NNL1331" s="4" t="s">
        <v>2875</v>
      </c>
      <c r="NNM1331" s="4" t="s">
        <v>2875</v>
      </c>
      <c r="NNN1331" s="4" t="s">
        <v>2875</v>
      </c>
      <c r="NNO1331" s="4" t="s">
        <v>2875</v>
      </c>
      <c r="NNP1331" s="4" t="s">
        <v>2875</v>
      </c>
      <c r="NNQ1331" s="4" t="s">
        <v>2875</v>
      </c>
      <c r="NNR1331" s="4" t="s">
        <v>2875</v>
      </c>
      <c r="NNS1331" s="4" t="s">
        <v>2875</v>
      </c>
      <c r="NNT1331" s="4" t="s">
        <v>2875</v>
      </c>
      <c r="NNU1331" s="4" t="s">
        <v>2875</v>
      </c>
      <c r="NNV1331" s="4" t="s">
        <v>2875</v>
      </c>
      <c r="NNW1331" s="4" t="s">
        <v>2875</v>
      </c>
      <c r="NNX1331" s="4" t="s">
        <v>2875</v>
      </c>
      <c r="NNY1331" s="4" t="s">
        <v>2875</v>
      </c>
      <c r="NNZ1331" s="4" t="s">
        <v>2875</v>
      </c>
      <c r="NOA1331" s="4" t="s">
        <v>2875</v>
      </c>
      <c r="NOB1331" s="4" t="s">
        <v>2875</v>
      </c>
      <c r="NOC1331" s="4" t="s">
        <v>2875</v>
      </c>
      <c r="NOD1331" s="4" t="s">
        <v>2875</v>
      </c>
      <c r="NOE1331" s="4" t="s">
        <v>2875</v>
      </c>
      <c r="NOF1331" s="4" t="s">
        <v>2875</v>
      </c>
      <c r="NOG1331" s="4" t="s">
        <v>2875</v>
      </c>
      <c r="NOH1331" s="4" t="s">
        <v>2875</v>
      </c>
      <c r="NOI1331" s="4" t="s">
        <v>2875</v>
      </c>
      <c r="NOJ1331" s="4" t="s">
        <v>2875</v>
      </c>
      <c r="NOK1331" s="4" t="s">
        <v>2875</v>
      </c>
      <c r="NOL1331" s="4" t="s">
        <v>2875</v>
      </c>
      <c r="NOM1331" s="4" t="s">
        <v>2875</v>
      </c>
      <c r="NON1331" s="4" t="s">
        <v>2875</v>
      </c>
      <c r="NOO1331" s="4" t="s">
        <v>2875</v>
      </c>
      <c r="NOP1331" s="4" t="s">
        <v>2875</v>
      </c>
      <c r="NOQ1331" s="4" t="s">
        <v>2875</v>
      </c>
      <c r="NOR1331" s="4" t="s">
        <v>2875</v>
      </c>
      <c r="NOS1331" s="4" t="s">
        <v>2875</v>
      </c>
      <c r="NOT1331" s="4" t="s">
        <v>2875</v>
      </c>
      <c r="NOU1331" s="4" t="s">
        <v>2875</v>
      </c>
      <c r="NOV1331" s="4" t="s">
        <v>2875</v>
      </c>
      <c r="NOW1331" s="4" t="s">
        <v>2875</v>
      </c>
      <c r="NOX1331" s="4" t="s">
        <v>2875</v>
      </c>
      <c r="NOY1331" s="4" t="s">
        <v>2875</v>
      </c>
      <c r="NOZ1331" s="4" t="s">
        <v>2875</v>
      </c>
      <c r="NPA1331" s="4" t="s">
        <v>2875</v>
      </c>
      <c r="NPB1331" s="4" t="s">
        <v>2875</v>
      </c>
      <c r="NPC1331" s="4" t="s">
        <v>2875</v>
      </c>
      <c r="NPD1331" s="4" t="s">
        <v>2875</v>
      </c>
      <c r="NPE1331" s="4" t="s">
        <v>2875</v>
      </c>
      <c r="NPF1331" s="4" t="s">
        <v>2875</v>
      </c>
      <c r="NPG1331" s="4" t="s">
        <v>2875</v>
      </c>
      <c r="NPH1331" s="4" t="s">
        <v>2875</v>
      </c>
      <c r="NPI1331" s="4" t="s">
        <v>2875</v>
      </c>
      <c r="NPJ1331" s="4" t="s">
        <v>2875</v>
      </c>
      <c r="NPK1331" s="4" t="s">
        <v>2875</v>
      </c>
      <c r="NPL1331" s="4" t="s">
        <v>2875</v>
      </c>
      <c r="NPM1331" s="4" t="s">
        <v>2875</v>
      </c>
      <c r="NPN1331" s="4" t="s">
        <v>2875</v>
      </c>
      <c r="NPO1331" s="4" t="s">
        <v>2875</v>
      </c>
      <c r="NPP1331" s="4" t="s">
        <v>2875</v>
      </c>
      <c r="NPQ1331" s="4" t="s">
        <v>2875</v>
      </c>
      <c r="NPR1331" s="4" t="s">
        <v>2875</v>
      </c>
      <c r="NPS1331" s="4" t="s">
        <v>2875</v>
      </c>
      <c r="NPT1331" s="4" t="s">
        <v>2875</v>
      </c>
      <c r="NPU1331" s="4" t="s">
        <v>2875</v>
      </c>
      <c r="NPV1331" s="4" t="s">
        <v>2875</v>
      </c>
      <c r="NPW1331" s="4" t="s">
        <v>2875</v>
      </c>
      <c r="NPX1331" s="4" t="s">
        <v>2875</v>
      </c>
      <c r="NPY1331" s="4" t="s">
        <v>2875</v>
      </c>
      <c r="NPZ1331" s="4" t="s">
        <v>2875</v>
      </c>
      <c r="NQA1331" s="4" t="s">
        <v>2875</v>
      </c>
      <c r="NQB1331" s="4" t="s">
        <v>2875</v>
      </c>
      <c r="NQC1331" s="4" t="s">
        <v>2875</v>
      </c>
      <c r="NQD1331" s="4" t="s">
        <v>2875</v>
      </c>
      <c r="NQE1331" s="4" t="s">
        <v>2875</v>
      </c>
      <c r="NQF1331" s="4" t="s">
        <v>2875</v>
      </c>
      <c r="NQG1331" s="4" t="s">
        <v>2875</v>
      </c>
      <c r="NQH1331" s="4" t="s">
        <v>2875</v>
      </c>
      <c r="NQI1331" s="4" t="s">
        <v>2875</v>
      </c>
      <c r="NQJ1331" s="4" t="s">
        <v>2875</v>
      </c>
      <c r="NQK1331" s="4" t="s">
        <v>2875</v>
      </c>
      <c r="NQL1331" s="4" t="s">
        <v>2875</v>
      </c>
      <c r="NQM1331" s="4" t="s">
        <v>2875</v>
      </c>
      <c r="NQN1331" s="4" t="s">
        <v>2875</v>
      </c>
      <c r="NQO1331" s="4" t="s">
        <v>2875</v>
      </c>
      <c r="NQP1331" s="4" t="s">
        <v>2875</v>
      </c>
      <c r="NQQ1331" s="4" t="s">
        <v>2875</v>
      </c>
      <c r="NQR1331" s="4" t="s">
        <v>2875</v>
      </c>
      <c r="NQS1331" s="4" t="s">
        <v>2875</v>
      </c>
      <c r="NQT1331" s="4" t="s">
        <v>2875</v>
      </c>
      <c r="NQU1331" s="4" t="s">
        <v>2875</v>
      </c>
      <c r="NQV1331" s="4" t="s">
        <v>2875</v>
      </c>
      <c r="NQW1331" s="4" t="s">
        <v>2875</v>
      </c>
      <c r="NQX1331" s="4" t="s">
        <v>2875</v>
      </c>
      <c r="NQY1331" s="4" t="s">
        <v>2875</v>
      </c>
      <c r="NQZ1331" s="4" t="s">
        <v>2875</v>
      </c>
      <c r="NRA1331" s="4" t="s">
        <v>2875</v>
      </c>
      <c r="NRB1331" s="4" t="s">
        <v>2875</v>
      </c>
      <c r="NRC1331" s="4" t="s">
        <v>2875</v>
      </c>
      <c r="NRD1331" s="4" t="s">
        <v>2875</v>
      </c>
      <c r="NRE1331" s="4" t="s">
        <v>2875</v>
      </c>
      <c r="NRF1331" s="4" t="s">
        <v>2875</v>
      </c>
      <c r="NRG1331" s="4" t="s">
        <v>2875</v>
      </c>
      <c r="NRH1331" s="4" t="s">
        <v>2875</v>
      </c>
      <c r="NRI1331" s="4" t="s">
        <v>2875</v>
      </c>
      <c r="NRJ1331" s="4" t="s">
        <v>2875</v>
      </c>
      <c r="NRK1331" s="4" t="s">
        <v>2875</v>
      </c>
      <c r="NRL1331" s="4" t="s">
        <v>2875</v>
      </c>
      <c r="NRM1331" s="4" t="s">
        <v>2875</v>
      </c>
      <c r="NRN1331" s="4" t="s">
        <v>2875</v>
      </c>
      <c r="NRO1331" s="4" t="s">
        <v>2875</v>
      </c>
      <c r="NRP1331" s="4" t="s">
        <v>2875</v>
      </c>
      <c r="NRQ1331" s="4" t="s">
        <v>2875</v>
      </c>
      <c r="NRR1331" s="4" t="s">
        <v>2875</v>
      </c>
      <c r="NRS1331" s="4" t="s">
        <v>2875</v>
      </c>
      <c r="NRT1331" s="4" t="s">
        <v>2875</v>
      </c>
      <c r="NRU1331" s="4" t="s">
        <v>2875</v>
      </c>
      <c r="NRV1331" s="4" t="s">
        <v>2875</v>
      </c>
      <c r="NRW1331" s="4" t="s">
        <v>2875</v>
      </c>
      <c r="NRX1331" s="4" t="s">
        <v>2875</v>
      </c>
      <c r="NRY1331" s="4" t="s">
        <v>2875</v>
      </c>
      <c r="NRZ1331" s="4" t="s">
        <v>2875</v>
      </c>
      <c r="NSA1331" s="4" t="s">
        <v>2875</v>
      </c>
      <c r="NSB1331" s="4" t="s">
        <v>2875</v>
      </c>
      <c r="NSC1331" s="4" t="s">
        <v>2875</v>
      </c>
      <c r="NSD1331" s="4" t="s">
        <v>2875</v>
      </c>
      <c r="NSE1331" s="4" t="s">
        <v>2875</v>
      </c>
      <c r="NSF1331" s="4" t="s">
        <v>2875</v>
      </c>
      <c r="NSG1331" s="4" t="s">
        <v>2875</v>
      </c>
      <c r="NSH1331" s="4" t="s">
        <v>2875</v>
      </c>
      <c r="NSI1331" s="4" t="s">
        <v>2875</v>
      </c>
      <c r="NSJ1331" s="4" t="s">
        <v>2875</v>
      </c>
      <c r="NSK1331" s="4" t="s">
        <v>2875</v>
      </c>
      <c r="NSL1331" s="4" t="s">
        <v>2875</v>
      </c>
      <c r="NSM1331" s="4" t="s">
        <v>2875</v>
      </c>
      <c r="NSN1331" s="4" t="s">
        <v>2875</v>
      </c>
      <c r="NSO1331" s="4" t="s">
        <v>2875</v>
      </c>
      <c r="NSP1331" s="4" t="s">
        <v>2875</v>
      </c>
      <c r="NSQ1331" s="4" t="s">
        <v>2875</v>
      </c>
      <c r="NSR1331" s="4" t="s">
        <v>2875</v>
      </c>
      <c r="NSS1331" s="4" t="s">
        <v>2875</v>
      </c>
      <c r="NST1331" s="4" t="s">
        <v>2875</v>
      </c>
      <c r="NSU1331" s="4" t="s">
        <v>2875</v>
      </c>
      <c r="NSV1331" s="4" t="s">
        <v>2875</v>
      </c>
      <c r="NSW1331" s="4" t="s">
        <v>2875</v>
      </c>
      <c r="NSX1331" s="4" t="s">
        <v>2875</v>
      </c>
      <c r="NSY1331" s="4" t="s">
        <v>2875</v>
      </c>
      <c r="NSZ1331" s="4" t="s">
        <v>2875</v>
      </c>
      <c r="NTA1331" s="4" t="s">
        <v>2875</v>
      </c>
      <c r="NTB1331" s="4" t="s">
        <v>2875</v>
      </c>
      <c r="NTC1331" s="4" t="s">
        <v>2875</v>
      </c>
      <c r="NTD1331" s="4" t="s">
        <v>2875</v>
      </c>
      <c r="NTE1331" s="4" t="s">
        <v>2875</v>
      </c>
      <c r="NTF1331" s="4" t="s">
        <v>2875</v>
      </c>
      <c r="NTG1331" s="4" t="s">
        <v>2875</v>
      </c>
      <c r="NTH1331" s="4" t="s">
        <v>2875</v>
      </c>
      <c r="NTI1331" s="4" t="s">
        <v>2875</v>
      </c>
      <c r="NTJ1331" s="4" t="s">
        <v>2875</v>
      </c>
      <c r="NTK1331" s="4" t="s">
        <v>2875</v>
      </c>
      <c r="NTL1331" s="4" t="s">
        <v>2875</v>
      </c>
      <c r="NTM1331" s="4" t="s">
        <v>2875</v>
      </c>
      <c r="NTN1331" s="4" t="s">
        <v>2875</v>
      </c>
      <c r="NTO1331" s="4" t="s">
        <v>2875</v>
      </c>
      <c r="NTP1331" s="4" t="s">
        <v>2875</v>
      </c>
      <c r="NTQ1331" s="4" t="s">
        <v>2875</v>
      </c>
      <c r="NTR1331" s="4" t="s">
        <v>2875</v>
      </c>
      <c r="NTS1331" s="4" t="s">
        <v>2875</v>
      </c>
      <c r="NTT1331" s="4" t="s">
        <v>2875</v>
      </c>
      <c r="NTU1331" s="4" t="s">
        <v>2875</v>
      </c>
      <c r="NTV1331" s="4" t="s">
        <v>2875</v>
      </c>
      <c r="NTW1331" s="4" t="s">
        <v>2875</v>
      </c>
      <c r="NTX1331" s="4" t="s">
        <v>2875</v>
      </c>
      <c r="NTY1331" s="4" t="s">
        <v>2875</v>
      </c>
      <c r="NTZ1331" s="4" t="s">
        <v>2875</v>
      </c>
      <c r="NUA1331" s="4" t="s">
        <v>2875</v>
      </c>
      <c r="NUB1331" s="4" t="s">
        <v>2875</v>
      </c>
      <c r="NUC1331" s="4" t="s">
        <v>2875</v>
      </c>
      <c r="NUD1331" s="4" t="s">
        <v>2875</v>
      </c>
      <c r="NUE1331" s="4" t="s">
        <v>2875</v>
      </c>
      <c r="NUF1331" s="4" t="s">
        <v>2875</v>
      </c>
      <c r="NUG1331" s="4" t="s">
        <v>2875</v>
      </c>
      <c r="NUH1331" s="4" t="s">
        <v>2875</v>
      </c>
      <c r="NUI1331" s="4" t="s">
        <v>2875</v>
      </c>
      <c r="NUJ1331" s="4" t="s">
        <v>2875</v>
      </c>
      <c r="NUK1331" s="4" t="s">
        <v>2875</v>
      </c>
      <c r="NUL1331" s="4" t="s">
        <v>2875</v>
      </c>
      <c r="NUM1331" s="4" t="s">
        <v>2875</v>
      </c>
      <c r="NUN1331" s="4" t="s">
        <v>2875</v>
      </c>
      <c r="NUO1331" s="4" t="s">
        <v>2875</v>
      </c>
      <c r="NUP1331" s="4" t="s">
        <v>2875</v>
      </c>
      <c r="NUQ1331" s="4" t="s">
        <v>2875</v>
      </c>
      <c r="NUR1331" s="4" t="s">
        <v>2875</v>
      </c>
      <c r="NUS1331" s="4" t="s">
        <v>2875</v>
      </c>
      <c r="NUT1331" s="4" t="s">
        <v>2875</v>
      </c>
      <c r="NUU1331" s="4" t="s">
        <v>2875</v>
      </c>
      <c r="NUV1331" s="4" t="s">
        <v>2875</v>
      </c>
      <c r="NUW1331" s="4" t="s">
        <v>2875</v>
      </c>
      <c r="NUX1331" s="4" t="s">
        <v>2875</v>
      </c>
      <c r="NUY1331" s="4" t="s">
        <v>2875</v>
      </c>
      <c r="NUZ1331" s="4" t="s">
        <v>2875</v>
      </c>
      <c r="NVA1331" s="4" t="s">
        <v>2875</v>
      </c>
      <c r="NVB1331" s="4" t="s">
        <v>2875</v>
      </c>
      <c r="NVC1331" s="4" t="s">
        <v>2875</v>
      </c>
      <c r="NVD1331" s="4" t="s">
        <v>2875</v>
      </c>
      <c r="NVE1331" s="4" t="s">
        <v>2875</v>
      </c>
      <c r="NVF1331" s="4" t="s">
        <v>2875</v>
      </c>
      <c r="NVG1331" s="4" t="s">
        <v>2875</v>
      </c>
      <c r="NVH1331" s="4" t="s">
        <v>2875</v>
      </c>
      <c r="NVI1331" s="4" t="s">
        <v>2875</v>
      </c>
      <c r="NVJ1331" s="4" t="s">
        <v>2875</v>
      </c>
      <c r="NVK1331" s="4" t="s">
        <v>2875</v>
      </c>
      <c r="NVL1331" s="4" t="s">
        <v>2875</v>
      </c>
      <c r="NVM1331" s="4" t="s">
        <v>2875</v>
      </c>
      <c r="NVN1331" s="4" t="s">
        <v>2875</v>
      </c>
      <c r="NVO1331" s="4" t="s">
        <v>2875</v>
      </c>
      <c r="NVP1331" s="4" t="s">
        <v>2875</v>
      </c>
      <c r="NVQ1331" s="4" t="s">
        <v>2875</v>
      </c>
      <c r="NVR1331" s="4" t="s">
        <v>2875</v>
      </c>
      <c r="NVS1331" s="4" t="s">
        <v>2875</v>
      </c>
      <c r="NVT1331" s="4" t="s">
        <v>2875</v>
      </c>
      <c r="NVU1331" s="4" t="s">
        <v>2875</v>
      </c>
      <c r="NVV1331" s="4" t="s">
        <v>2875</v>
      </c>
      <c r="NVW1331" s="4" t="s">
        <v>2875</v>
      </c>
      <c r="NVX1331" s="4" t="s">
        <v>2875</v>
      </c>
      <c r="NVY1331" s="4" t="s">
        <v>2875</v>
      </c>
      <c r="NVZ1331" s="4" t="s">
        <v>2875</v>
      </c>
      <c r="NWA1331" s="4" t="s">
        <v>2875</v>
      </c>
      <c r="NWB1331" s="4" t="s">
        <v>2875</v>
      </c>
      <c r="NWC1331" s="4" t="s">
        <v>2875</v>
      </c>
      <c r="NWD1331" s="4" t="s">
        <v>2875</v>
      </c>
      <c r="NWE1331" s="4" t="s">
        <v>2875</v>
      </c>
      <c r="NWF1331" s="4" t="s">
        <v>2875</v>
      </c>
      <c r="NWG1331" s="4" t="s">
        <v>2875</v>
      </c>
      <c r="NWH1331" s="4" t="s">
        <v>2875</v>
      </c>
      <c r="NWI1331" s="4" t="s">
        <v>2875</v>
      </c>
      <c r="NWJ1331" s="4" t="s">
        <v>2875</v>
      </c>
      <c r="NWK1331" s="4" t="s">
        <v>2875</v>
      </c>
      <c r="NWL1331" s="4" t="s">
        <v>2875</v>
      </c>
      <c r="NWM1331" s="4" t="s">
        <v>2875</v>
      </c>
      <c r="NWN1331" s="4" t="s">
        <v>2875</v>
      </c>
      <c r="NWO1331" s="4" t="s">
        <v>2875</v>
      </c>
      <c r="NWP1331" s="4" t="s">
        <v>2875</v>
      </c>
      <c r="NWQ1331" s="4" t="s">
        <v>2875</v>
      </c>
      <c r="NWR1331" s="4" t="s">
        <v>2875</v>
      </c>
      <c r="NWS1331" s="4" t="s">
        <v>2875</v>
      </c>
      <c r="NWT1331" s="4" t="s">
        <v>2875</v>
      </c>
      <c r="NWU1331" s="4" t="s">
        <v>2875</v>
      </c>
      <c r="NWV1331" s="4" t="s">
        <v>2875</v>
      </c>
      <c r="NWW1331" s="4" t="s">
        <v>2875</v>
      </c>
      <c r="NWX1331" s="4" t="s">
        <v>2875</v>
      </c>
      <c r="NWY1331" s="4" t="s">
        <v>2875</v>
      </c>
      <c r="NWZ1331" s="4" t="s">
        <v>2875</v>
      </c>
      <c r="NXA1331" s="4" t="s">
        <v>2875</v>
      </c>
      <c r="NXB1331" s="4" t="s">
        <v>2875</v>
      </c>
      <c r="NXC1331" s="4" t="s">
        <v>2875</v>
      </c>
      <c r="NXD1331" s="4" t="s">
        <v>2875</v>
      </c>
      <c r="NXE1331" s="4" t="s">
        <v>2875</v>
      </c>
      <c r="NXF1331" s="4" t="s">
        <v>2875</v>
      </c>
      <c r="NXG1331" s="4" t="s">
        <v>2875</v>
      </c>
      <c r="NXH1331" s="4" t="s">
        <v>2875</v>
      </c>
      <c r="NXI1331" s="4" t="s">
        <v>2875</v>
      </c>
      <c r="NXJ1331" s="4" t="s">
        <v>2875</v>
      </c>
      <c r="NXK1331" s="4" t="s">
        <v>2875</v>
      </c>
      <c r="NXL1331" s="4" t="s">
        <v>2875</v>
      </c>
      <c r="NXM1331" s="4" t="s">
        <v>2875</v>
      </c>
      <c r="NXN1331" s="4" t="s">
        <v>2875</v>
      </c>
      <c r="NXO1331" s="4" t="s">
        <v>2875</v>
      </c>
      <c r="NXP1331" s="4" t="s">
        <v>2875</v>
      </c>
      <c r="NXQ1331" s="4" t="s">
        <v>2875</v>
      </c>
      <c r="NXR1331" s="4" t="s">
        <v>2875</v>
      </c>
      <c r="NXS1331" s="4" t="s">
        <v>2875</v>
      </c>
      <c r="NXT1331" s="4" t="s">
        <v>2875</v>
      </c>
      <c r="NXU1331" s="4" t="s">
        <v>2875</v>
      </c>
      <c r="NXV1331" s="4" t="s">
        <v>2875</v>
      </c>
      <c r="NXW1331" s="4" t="s">
        <v>2875</v>
      </c>
      <c r="NXX1331" s="4" t="s">
        <v>2875</v>
      </c>
      <c r="NXY1331" s="4" t="s">
        <v>2875</v>
      </c>
      <c r="NXZ1331" s="4" t="s">
        <v>2875</v>
      </c>
      <c r="NYA1331" s="4" t="s">
        <v>2875</v>
      </c>
      <c r="NYB1331" s="4" t="s">
        <v>2875</v>
      </c>
      <c r="NYC1331" s="4" t="s">
        <v>2875</v>
      </c>
      <c r="NYD1331" s="4" t="s">
        <v>2875</v>
      </c>
      <c r="NYE1331" s="4" t="s">
        <v>2875</v>
      </c>
      <c r="NYF1331" s="4" t="s">
        <v>2875</v>
      </c>
      <c r="NYG1331" s="4" t="s">
        <v>2875</v>
      </c>
      <c r="NYH1331" s="4" t="s">
        <v>2875</v>
      </c>
      <c r="NYI1331" s="4" t="s">
        <v>2875</v>
      </c>
      <c r="NYJ1331" s="4" t="s">
        <v>2875</v>
      </c>
      <c r="NYK1331" s="4" t="s">
        <v>2875</v>
      </c>
      <c r="NYL1331" s="4" t="s">
        <v>2875</v>
      </c>
      <c r="NYM1331" s="4" t="s">
        <v>2875</v>
      </c>
      <c r="NYN1331" s="4" t="s">
        <v>2875</v>
      </c>
      <c r="NYO1331" s="4" t="s">
        <v>2875</v>
      </c>
      <c r="NYP1331" s="4" t="s">
        <v>2875</v>
      </c>
      <c r="NYQ1331" s="4" t="s">
        <v>2875</v>
      </c>
      <c r="NYR1331" s="4" t="s">
        <v>2875</v>
      </c>
      <c r="NYS1331" s="4" t="s">
        <v>2875</v>
      </c>
      <c r="NYT1331" s="4" t="s">
        <v>2875</v>
      </c>
      <c r="NYU1331" s="4" t="s">
        <v>2875</v>
      </c>
      <c r="NYV1331" s="4" t="s">
        <v>2875</v>
      </c>
      <c r="NYW1331" s="4" t="s">
        <v>2875</v>
      </c>
      <c r="NYX1331" s="4" t="s">
        <v>2875</v>
      </c>
      <c r="NYY1331" s="4" t="s">
        <v>2875</v>
      </c>
      <c r="NYZ1331" s="4" t="s">
        <v>2875</v>
      </c>
      <c r="NZA1331" s="4" t="s">
        <v>2875</v>
      </c>
      <c r="NZB1331" s="4" t="s">
        <v>2875</v>
      </c>
      <c r="NZC1331" s="4" t="s">
        <v>2875</v>
      </c>
      <c r="NZD1331" s="4" t="s">
        <v>2875</v>
      </c>
      <c r="NZE1331" s="4" t="s">
        <v>2875</v>
      </c>
      <c r="NZF1331" s="4" t="s">
        <v>2875</v>
      </c>
      <c r="NZG1331" s="4" t="s">
        <v>2875</v>
      </c>
      <c r="NZH1331" s="4" t="s">
        <v>2875</v>
      </c>
      <c r="NZI1331" s="4" t="s">
        <v>2875</v>
      </c>
      <c r="NZJ1331" s="4" t="s">
        <v>2875</v>
      </c>
      <c r="NZK1331" s="4" t="s">
        <v>2875</v>
      </c>
      <c r="NZL1331" s="4" t="s">
        <v>2875</v>
      </c>
      <c r="NZM1331" s="4" t="s">
        <v>2875</v>
      </c>
      <c r="NZN1331" s="4" t="s">
        <v>2875</v>
      </c>
      <c r="NZO1331" s="4" t="s">
        <v>2875</v>
      </c>
      <c r="NZP1331" s="4" t="s">
        <v>2875</v>
      </c>
      <c r="NZQ1331" s="4" t="s">
        <v>2875</v>
      </c>
      <c r="NZR1331" s="4" t="s">
        <v>2875</v>
      </c>
      <c r="NZS1331" s="4" t="s">
        <v>2875</v>
      </c>
      <c r="NZT1331" s="4" t="s">
        <v>2875</v>
      </c>
      <c r="NZU1331" s="4" t="s">
        <v>2875</v>
      </c>
      <c r="NZV1331" s="4" t="s">
        <v>2875</v>
      </c>
      <c r="NZW1331" s="4" t="s">
        <v>2875</v>
      </c>
      <c r="NZX1331" s="4" t="s">
        <v>2875</v>
      </c>
      <c r="NZY1331" s="4" t="s">
        <v>2875</v>
      </c>
      <c r="NZZ1331" s="4" t="s">
        <v>2875</v>
      </c>
      <c r="OAA1331" s="4" t="s">
        <v>2875</v>
      </c>
      <c r="OAB1331" s="4" t="s">
        <v>2875</v>
      </c>
      <c r="OAC1331" s="4" t="s">
        <v>2875</v>
      </c>
      <c r="OAD1331" s="4" t="s">
        <v>2875</v>
      </c>
      <c r="OAE1331" s="4" t="s">
        <v>2875</v>
      </c>
      <c r="OAF1331" s="4" t="s">
        <v>2875</v>
      </c>
      <c r="OAG1331" s="4" t="s">
        <v>2875</v>
      </c>
      <c r="OAH1331" s="4" t="s">
        <v>2875</v>
      </c>
      <c r="OAI1331" s="4" t="s">
        <v>2875</v>
      </c>
      <c r="OAJ1331" s="4" t="s">
        <v>2875</v>
      </c>
      <c r="OAK1331" s="4" t="s">
        <v>2875</v>
      </c>
      <c r="OAL1331" s="4" t="s">
        <v>2875</v>
      </c>
      <c r="OAM1331" s="4" t="s">
        <v>2875</v>
      </c>
      <c r="OAN1331" s="4" t="s">
        <v>2875</v>
      </c>
      <c r="OAO1331" s="4" t="s">
        <v>2875</v>
      </c>
      <c r="OAP1331" s="4" t="s">
        <v>2875</v>
      </c>
      <c r="OAQ1331" s="4" t="s">
        <v>2875</v>
      </c>
      <c r="OAR1331" s="4" t="s">
        <v>2875</v>
      </c>
      <c r="OAS1331" s="4" t="s">
        <v>2875</v>
      </c>
      <c r="OAT1331" s="4" t="s">
        <v>2875</v>
      </c>
      <c r="OAU1331" s="4" t="s">
        <v>2875</v>
      </c>
      <c r="OAV1331" s="4" t="s">
        <v>2875</v>
      </c>
      <c r="OAW1331" s="4" t="s">
        <v>2875</v>
      </c>
      <c r="OAX1331" s="4" t="s">
        <v>2875</v>
      </c>
      <c r="OAY1331" s="4" t="s">
        <v>2875</v>
      </c>
      <c r="OAZ1331" s="4" t="s">
        <v>2875</v>
      </c>
      <c r="OBA1331" s="4" t="s">
        <v>2875</v>
      </c>
      <c r="OBB1331" s="4" t="s">
        <v>2875</v>
      </c>
      <c r="OBC1331" s="4" t="s">
        <v>2875</v>
      </c>
      <c r="OBD1331" s="4" t="s">
        <v>2875</v>
      </c>
      <c r="OBE1331" s="4" t="s">
        <v>2875</v>
      </c>
      <c r="OBF1331" s="4" t="s">
        <v>2875</v>
      </c>
      <c r="OBG1331" s="4" t="s">
        <v>2875</v>
      </c>
      <c r="OBH1331" s="4" t="s">
        <v>2875</v>
      </c>
      <c r="OBI1331" s="4" t="s">
        <v>2875</v>
      </c>
      <c r="OBJ1331" s="4" t="s">
        <v>2875</v>
      </c>
      <c r="OBK1331" s="4" t="s">
        <v>2875</v>
      </c>
      <c r="OBL1331" s="4" t="s">
        <v>2875</v>
      </c>
      <c r="OBM1331" s="4" t="s">
        <v>2875</v>
      </c>
      <c r="OBN1331" s="4" t="s">
        <v>2875</v>
      </c>
      <c r="OBO1331" s="4" t="s">
        <v>2875</v>
      </c>
      <c r="OBP1331" s="4" t="s">
        <v>2875</v>
      </c>
      <c r="OBQ1331" s="4" t="s">
        <v>2875</v>
      </c>
      <c r="OBR1331" s="4" t="s">
        <v>2875</v>
      </c>
      <c r="OBS1331" s="4" t="s">
        <v>2875</v>
      </c>
      <c r="OBT1331" s="4" t="s">
        <v>2875</v>
      </c>
      <c r="OBU1331" s="4" t="s">
        <v>2875</v>
      </c>
      <c r="OBV1331" s="4" t="s">
        <v>2875</v>
      </c>
      <c r="OBW1331" s="4" t="s">
        <v>2875</v>
      </c>
      <c r="OBX1331" s="4" t="s">
        <v>2875</v>
      </c>
      <c r="OBY1331" s="4" t="s">
        <v>2875</v>
      </c>
      <c r="OBZ1331" s="4" t="s">
        <v>2875</v>
      </c>
      <c r="OCA1331" s="4" t="s">
        <v>2875</v>
      </c>
      <c r="OCB1331" s="4" t="s">
        <v>2875</v>
      </c>
      <c r="OCC1331" s="4" t="s">
        <v>2875</v>
      </c>
      <c r="OCD1331" s="4" t="s">
        <v>2875</v>
      </c>
      <c r="OCE1331" s="4" t="s">
        <v>2875</v>
      </c>
      <c r="OCF1331" s="4" t="s">
        <v>2875</v>
      </c>
      <c r="OCG1331" s="4" t="s">
        <v>2875</v>
      </c>
      <c r="OCH1331" s="4" t="s">
        <v>2875</v>
      </c>
      <c r="OCI1331" s="4" t="s">
        <v>2875</v>
      </c>
      <c r="OCJ1331" s="4" t="s">
        <v>2875</v>
      </c>
      <c r="OCK1331" s="4" t="s">
        <v>2875</v>
      </c>
      <c r="OCL1331" s="4" t="s">
        <v>2875</v>
      </c>
      <c r="OCM1331" s="4" t="s">
        <v>2875</v>
      </c>
      <c r="OCN1331" s="4" t="s">
        <v>2875</v>
      </c>
      <c r="OCO1331" s="4" t="s">
        <v>2875</v>
      </c>
      <c r="OCP1331" s="4" t="s">
        <v>2875</v>
      </c>
      <c r="OCQ1331" s="4" t="s">
        <v>2875</v>
      </c>
      <c r="OCR1331" s="4" t="s">
        <v>2875</v>
      </c>
      <c r="OCS1331" s="4" t="s">
        <v>2875</v>
      </c>
      <c r="OCT1331" s="4" t="s">
        <v>2875</v>
      </c>
      <c r="OCU1331" s="4" t="s">
        <v>2875</v>
      </c>
      <c r="OCV1331" s="4" t="s">
        <v>2875</v>
      </c>
      <c r="OCW1331" s="4" t="s">
        <v>2875</v>
      </c>
      <c r="OCX1331" s="4" t="s">
        <v>2875</v>
      </c>
      <c r="OCY1331" s="4" t="s">
        <v>2875</v>
      </c>
      <c r="OCZ1331" s="4" t="s">
        <v>2875</v>
      </c>
      <c r="ODA1331" s="4" t="s">
        <v>2875</v>
      </c>
      <c r="ODB1331" s="4" t="s">
        <v>2875</v>
      </c>
      <c r="ODC1331" s="4" t="s">
        <v>2875</v>
      </c>
      <c r="ODD1331" s="4" t="s">
        <v>2875</v>
      </c>
      <c r="ODE1331" s="4" t="s">
        <v>2875</v>
      </c>
      <c r="ODF1331" s="4" t="s">
        <v>2875</v>
      </c>
      <c r="ODG1331" s="4" t="s">
        <v>2875</v>
      </c>
      <c r="ODH1331" s="4" t="s">
        <v>2875</v>
      </c>
      <c r="ODI1331" s="4" t="s">
        <v>2875</v>
      </c>
      <c r="ODJ1331" s="4" t="s">
        <v>2875</v>
      </c>
      <c r="ODK1331" s="4" t="s">
        <v>2875</v>
      </c>
      <c r="ODL1331" s="4" t="s">
        <v>2875</v>
      </c>
      <c r="ODM1331" s="4" t="s">
        <v>2875</v>
      </c>
      <c r="ODN1331" s="4" t="s">
        <v>2875</v>
      </c>
      <c r="ODO1331" s="4" t="s">
        <v>2875</v>
      </c>
      <c r="ODP1331" s="4" t="s">
        <v>2875</v>
      </c>
      <c r="ODQ1331" s="4" t="s">
        <v>2875</v>
      </c>
      <c r="ODR1331" s="4" t="s">
        <v>2875</v>
      </c>
      <c r="ODS1331" s="4" t="s">
        <v>2875</v>
      </c>
      <c r="ODT1331" s="4" t="s">
        <v>2875</v>
      </c>
      <c r="ODU1331" s="4" t="s">
        <v>2875</v>
      </c>
      <c r="ODV1331" s="4" t="s">
        <v>2875</v>
      </c>
      <c r="ODW1331" s="4" t="s">
        <v>2875</v>
      </c>
      <c r="ODX1331" s="4" t="s">
        <v>2875</v>
      </c>
      <c r="ODY1331" s="4" t="s">
        <v>2875</v>
      </c>
      <c r="ODZ1331" s="4" t="s">
        <v>2875</v>
      </c>
      <c r="OEA1331" s="4" t="s">
        <v>2875</v>
      </c>
      <c r="OEB1331" s="4" t="s">
        <v>2875</v>
      </c>
      <c r="OEC1331" s="4" t="s">
        <v>2875</v>
      </c>
      <c r="OED1331" s="4" t="s">
        <v>2875</v>
      </c>
      <c r="OEE1331" s="4" t="s">
        <v>2875</v>
      </c>
      <c r="OEF1331" s="4" t="s">
        <v>2875</v>
      </c>
      <c r="OEG1331" s="4" t="s">
        <v>2875</v>
      </c>
      <c r="OEH1331" s="4" t="s">
        <v>2875</v>
      </c>
      <c r="OEI1331" s="4" t="s">
        <v>2875</v>
      </c>
      <c r="OEJ1331" s="4" t="s">
        <v>2875</v>
      </c>
      <c r="OEK1331" s="4" t="s">
        <v>2875</v>
      </c>
      <c r="OEL1331" s="4" t="s">
        <v>2875</v>
      </c>
      <c r="OEM1331" s="4" t="s">
        <v>2875</v>
      </c>
      <c r="OEN1331" s="4" t="s">
        <v>2875</v>
      </c>
      <c r="OEO1331" s="4" t="s">
        <v>2875</v>
      </c>
      <c r="OEP1331" s="4" t="s">
        <v>2875</v>
      </c>
      <c r="OEQ1331" s="4" t="s">
        <v>2875</v>
      </c>
      <c r="OER1331" s="4" t="s">
        <v>2875</v>
      </c>
      <c r="OES1331" s="4" t="s">
        <v>2875</v>
      </c>
      <c r="OET1331" s="4" t="s">
        <v>2875</v>
      </c>
      <c r="OEU1331" s="4" t="s">
        <v>2875</v>
      </c>
      <c r="OEV1331" s="4" t="s">
        <v>2875</v>
      </c>
      <c r="OEW1331" s="4" t="s">
        <v>2875</v>
      </c>
      <c r="OEX1331" s="4" t="s">
        <v>2875</v>
      </c>
      <c r="OEY1331" s="4" t="s">
        <v>2875</v>
      </c>
      <c r="OEZ1331" s="4" t="s">
        <v>2875</v>
      </c>
      <c r="OFA1331" s="4" t="s">
        <v>2875</v>
      </c>
      <c r="OFB1331" s="4" t="s">
        <v>2875</v>
      </c>
      <c r="OFC1331" s="4" t="s">
        <v>2875</v>
      </c>
      <c r="OFD1331" s="4" t="s">
        <v>2875</v>
      </c>
      <c r="OFE1331" s="4" t="s">
        <v>2875</v>
      </c>
      <c r="OFF1331" s="4" t="s">
        <v>2875</v>
      </c>
      <c r="OFG1331" s="4" t="s">
        <v>2875</v>
      </c>
      <c r="OFH1331" s="4" t="s">
        <v>2875</v>
      </c>
      <c r="OFI1331" s="4" t="s">
        <v>2875</v>
      </c>
      <c r="OFJ1331" s="4" t="s">
        <v>2875</v>
      </c>
      <c r="OFK1331" s="4" t="s">
        <v>2875</v>
      </c>
      <c r="OFL1331" s="4" t="s">
        <v>2875</v>
      </c>
      <c r="OFM1331" s="4" t="s">
        <v>2875</v>
      </c>
      <c r="OFN1331" s="4" t="s">
        <v>2875</v>
      </c>
      <c r="OFO1331" s="4" t="s">
        <v>2875</v>
      </c>
      <c r="OFP1331" s="4" t="s">
        <v>2875</v>
      </c>
      <c r="OFQ1331" s="4" t="s">
        <v>2875</v>
      </c>
      <c r="OFR1331" s="4" t="s">
        <v>2875</v>
      </c>
      <c r="OFS1331" s="4" t="s">
        <v>2875</v>
      </c>
      <c r="OFT1331" s="4" t="s">
        <v>2875</v>
      </c>
      <c r="OFU1331" s="4" t="s">
        <v>2875</v>
      </c>
      <c r="OFV1331" s="4" t="s">
        <v>2875</v>
      </c>
      <c r="OFW1331" s="4" t="s">
        <v>2875</v>
      </c>
      <c r="OFX1331" s="4" t="s">
        <v>2875</v>
      </c>
      <c r="OFY1331" s="4" t="s">
        <v>2875</v>
      </c>
      <c r="OFZ1331" s="4" t="s">
        <v>2875</v>
      </c>
      <c r="OGA1331" s="4" t="s">
        <v>2875</v>
      </c>
      <c r="OGB1331" s="4" t="s">
        <v>2875</v>
      </c>
      <c r="OGC1331" s="4" t="s">
        <v>2875</v>
      </c>
      <c r="OGD1331" s="4" t="s">
        <v>2875</v>
      </c>
      <c r="OGE1331" s="4" t="s">
        <v>2875</v>
      </c>
      <c r="OGF1331" s="4" t="s">
        <v>2875</v>
      </c>
      <c r="OGG1331" s="4" t="s">
        <v>2875</v>
      </c>
      <c r="OGH1331" s="4" t="s">
        <v>2875</v>
      </c>
      <c r="OGI1331" s="4" t="s">
        <v>2875</v>
      </c>
      <c r="OGJ1331" s="4" t="s">
        <v>2875</v>
      </c>
      <c r="OGK1331" s="4" t="s">
        <v>2875</v>
      </c>
      <c r="OGL1331" s="4" t="s">
        <v>2875</v>
      </c>
      <c r="OGM1331" s="4" t="s">
        <v>2875</v>
      </c>
      <c r="OGN1331" s="4" t="s">
        <v>2875</v>
      </c>
      <c r="OGO1331" s="4" t="s">
        <v>2875</v>
      </c>
      <c r="OGP1331" s="4" t="s">
        <v>2875</v>
      </c>
      <c r="OGQ1331" s="4" t="s">
        <v>2875</v>
      </c>
      <c r="OGR1331" s="4" t="s">
        <v>2875</v>
      </c>
      <c r="OGS1331" s="4" t="s">
        <v>2875</v>
      </c>
      <c r="OGT1331" s="4" t="s">
        <v>2875</v>
      </c>
      <c r="OGU1331" s="4" t="s">
        <v>2875</v>
      </c>
      <c r="OGV1331" s="4" t="s">
        <v>2875</v>
      </c>
      <c r="OGW1331" s="4" t="s">
        <v>2875</v>
      </c>
      <c r="OGX1331" s="4" t="s">
        <v>2875</v>
      </c>
      <c r="OGY1331" s="4" t="s">
        <v>2875</v>
      </c>
      <c r="OGZ1331" s="4" t="s">
        <v>2875</v>
      </c>
      <c r="OHA1331" s="4" t="s">
        <v>2875</v>
      </c>
      <c r="OHB1331" s="4" t="s">
        <v>2875</v>
      </c>
      <c r="OHC1331" s="4" t="s">
        <v>2875</v>
      </c>
      <c r="OHD1331" s="4" t="s">
        <v>2875</v>
      </c>
      <c r="OHE1331" s="4" t="s">
        <v>2875</v>
      </c>
      <c r="OHF1331" s="4" t="s">
        <v>2875</v>
      </c>
      <c r="OHG1331" s="4" t="s">
        <v>2875</v>
      </c>
      <c r="OHH1331" s="4" t="s">
        <v>2875</v>
      </c>
      <c r="OHI1331" s="4" t="s">
        <v>2875</v>
      </c>
      <c r="OHJ1331" s="4" t="s">
        <v>2875</v>
      </c>
      <c r="OHK1331" s="4" t="s">
        <v>2875</v>
      </c>
      <c r="OHL1331" s="4" t="s">
        <v>2875</v>
      </c>
      <c r="OHM1331" s="4" t="s">
        <v>2875</v>
      </c>
      <c r="OHN1331" s="4" t="s">
        <v>2875</v>
      </c>
      <c r="OHO1331" s="4" t="s">
        <v>2875</v>
      </c>
      <c r="OHP1331" s="4" t="s">
        <v>2875</v>
      </c>
      <c r="OHQ1331" s="4" t="s">
        <v>2875</v>
      </c>
      <c r="OHR1331" s="4" t="s">
        <v>2875</v>
      </c>
      <c r="OHS1331" s="4" t="s">
        <v>2875</v>
      </c>
      <c r="OHT1331" s="4" t="s">
        <v>2875</v>
      </c>
      <c r="OHU1331" s="4" t="s">
        <v>2875</v>
      </c>
      <c r="OHV1331" s="4" t="s">
        <v>2875</v>
      </c>
      <c r="OHW1331" s="4" t="s">
        <v>2875</v>
      </c>
      <c r="OHX1331" s="4" t="s">
        <v>2875</v>
      </c>
      <c r="OHY1331" s="4" t="s">
        <v>2875</v>
      </c>
      <c r="OHZ1331" s="4" t="s">
        <v>2875</v>
      </c>
      <c r="OIA1331" s="4" t="s">
        <v>2875</v>
      </c>
      <c r="OIB1331" s="4" t="s">
        <v>2875</v>
      </c>
      <c r="OIC1331" s="4" t="s">
        <v>2875</v>
      </c>
      <c r="OID1331" s="4" t="s">
        <v>2875</v>
      </c>
      <c r="OIE1331" s="4" t="s">
        <v>2875</v>
      </c>
      <c r="OIF1331" s="4" t="s">
        <v>2875</v>
      </c>
      <c r="OIG1331" s="4" t="s">
        <v>2875</v>
      </c>
      <c r="OIH1331" s="4" t="s">
        <v>2875</v>
      </c>
      <c r="OII1331" s="4" t="s">
        <v>2875</v>
      </c>
      <c r="OIJ1331" s="4" t="s">
        <v>2875</v>
      </c>
      <c r="OIK1331" s="4" t="s">
        <v>2875</v>
      </c>
      <c r="OIL1331" s="4" t="s">
        <v>2875</v>
      </c>
      <c r="OIM1331" s="4" t="s">
        <v>2875</v>
      </c>
      <c r="OIN1331" s="4" t="s">
        <v>2875</v>
      </c>
      <c r="OIO1331" s="4" t="s">
        <v>2875</v>
      </c>
      <c r="OIP1331" s="4" t="s">
        <v>2875</v>
      </c>
      <c r="OIQ1331" s="4" t="s">
        <v>2875</v>
      </c>
      <c r="OIR1331" s="4" t="s">
        <v>2875</v>
      </c>
      <c r="OIS1331" s="4" t="s">
        <v>2875</v>
      </c>
      <c r="OIT1331" s="4" t="s">
        <v>2875</v>
      </c>
      <c r="OIU1331" s="4" t="s">
        <v>2875</v>
      </c>
      <c r="OIV1331" s="4" t="s">
        <v>2875</v>
      </c>
      <c r="OIW1331" s="4" t="s">
        <v>2875</v>
      </c>
      <c r="OIX1331" s="4" t="s">
        <v>2875</v>
      </c>
      <c r="OIY1331" s="4" t="s">
        <v>2875</v>
      </c>
      <c r="OIZ1331" s="4" t="s">
        <v>2875</v>
      </c>
      <c r="OJA1331" s="4" t="s">
        <v>2875</v>
      </c>
      <c r="OJB1331" s="4" t="s">
        <v>2875</v>
      </c>
      <c r="OJC1331" s="4" t="s">
        <v>2875</v>
      </c>
      <c r="OJD1331" s="4" t="s">
        <v>2875</v>
      </c>
      <c r="OJE1331" s="4" t="s">
        <v>2875</v>
      </c>
      <c r="OJF1331" s="4" t="s">
        <v>2875</v>
      </c>
      <c r="OJG1331" s="4" t="s">
        <v>2875</v>
      </c>
      <c r="OJH1331" s="4" t="s">
        <v>2875</v>
      </c>
      <c r="OJI1331" s="4" t="s">
        <v>2875</v>
      </c>
      <c r="OJJ1331" s="4" t="s">
        <v>2875</v>
      </c>
      <c r="OJK1331" s="4" t="s">
        <v>2875</v>
      </c>
      <c r="OJL1331" s="4" t="s">
        <v>2875</v>
      </c>
      <c r="OJM1331" s="4" t="s">
        <v>2875</v>
      </c>
      <c r="OJN1331" s="4" t="s">
        <v>2875</v>
      </c>
      <c r="OJO1331" s="4" t="s">
        <v>2875</v>
      </c>
      <c r="OJP1331" s="4" t="s">
        <v>2875</v>
      </c>
      <c r="OJQ1331" s="4" t="s">
        <v>2875</v>
      </c>
      <c r="OJR1331" s="4" t="s">
        <v>2875</v>
      </c>
      <c r="OJS1331" s="4" t="s">
        <v>2875</v>
      </c>
      <c r="OJT1331" s="4" t="s">
        <v>2875</v>
      </c>
      <c r="OJU1331" s="4" t="s">
        <v>2875</v>
      </c>
      <c r="OJV1331" s="4" t="s">
        <v>2875</v>
      </c>
      <c r="OJW1331" s="4" t="s">
        <v>2875</v>
      </c>
      <c r="OJX1331" s="4" t="s">
        <v>2875</v>
      </c>
      <c r="OJY1331" s="4" t="s">
        <v>2875</v>
      </c>
      <c r="OJZ1331" s="4" t="s">
        <v>2875</v>
      </c>
      <c r="OKA1331" s="4" t="s">
        <v>2875</v>
      </c>
      <c r="OKB1331" s="4" t="s">
        <v>2875</v>
      </c>
      <c r="OKC1331" s="4" t="s">
        <v>2875</v>
      </c>
      <c r="OKD1331" s="4" t="s">
        <v>2875</v>
      </c>
      <c r="OKE1331" s="4" t="s">
        <v>2875</v>
      </c>
      <c r="OKF1331" s="4" t="s">
        <v>2875</v>
      </c>
      <c r="OKG1331" s="4" t="s">
        <v>2875</v>
      </c>
      <c r="OKH1331" s="4" t="s">
        <v>2875</v>
      </c>
      <c r="OKI1331" s="4" t="s">
        <v>2875</v>
      </c>
      <c r="OKJ1331" s="4" t="s">
        <v>2875</v>
      </c>
      <c r="OKK1331" s="4" t="s">
        <v>2875</v>
      </c>
      <c r="OKL1331" s="4" t="s">
        <v>2875</v>
      </c>
      <c r="OKM1331" s="4" t="s">
        <v>2875</v>
      </c>
      <c r="OKN1331" s="4" t="s">
        <v>2875</v>
      </c>
      <c r="OKO1331" s="4" t="s">
        <v>2875</v>
      </c>
      <c r="OKP1331" s="4" t="s">
        <v>2875</v>
      </c>
      <c r="OKQ1331" s="4" t="s">
        <v>2875</v>
      </c>
      <c r="OKR1331" s="4" t="s">
        <v>2875</v>
      </c>
      <c r="OKS1331" s="4" t="s">
        <v>2875</v>
      </c>
      <c r="OKT1331" s="4" t="s">
        <v>2875</v>
      </c>
      <c r="OKU1331" s="4" t="s">
        <v>2875</v>
      </c>
      <c r="OKV1331" s="4" t="s">
        <v>2875</v>
      </c>
      <c r="OKW1331" s="4" t="s">
        <v>2875</v>
      </c>
      <c r="OKX1331" s="4" t="s">
        <v>2875</v>
      </c>
      <c r="OKY1331" s="4" t="s">
        <v>2875</v>
      </c>
      <c r="OKZ1331" s="4" t="s">
        <v>2875</v>
      </c>
      <c r="OLA1331" s="4" t="s">
        <v>2875</v>
      </c>
      <c r="OLB1331" s="4" t="s">
        <v>2875</v>
      </c>
      <c r="OLC1331" s="4" t="s">
        <v>2875</v>
      </c>
      <c r="OLD1331" s="4" t="s">
        <v>2875</v>
      </c>
      <c r="OLE1331" s="4" t="s">
        <v>2875</v>
      </c>
      <c r="OLF1331" s="4" t="s">
        <v>2875</v>
      </c>
      <c r="OLG1331" s="4" t="s">
        <v>2875</v>
      </c>
      <c r="OLH1331" s="4" t="s">
        <v>2875</v>
      </c>
      <c r="OLI1331" s="4" t="s">
        <v>2875</v>
      </c>
      <c r="OLJ1331" s="4" t="s">
        <v>2875</v>
      </c>
      <c r="OLK1331" s="4" t="s">
        <v>2875</v>
      </c>
      <c r="OLL1331" s="4" t="s">
        <v>2875</v>
      </c>
      <c r="OLM1331" s="4" t="s">
        <v>2875</v>
      </c>
      <c r="OLN1331" s="4" t="s">
        <v>2875</v>
      </c>
      <c r="OLO1331" s="4" t="s">
        <v>2875</v>
      </c>
      <c r="OLP1331" s="4" t="s">
        <v>2875</v>
      </c>
      <c r="OLQ1331" s="4" t="s">
        <v>2875</v>
      </c>
      <c r="OLR1331" s="4" t="s">
        <v>2875</v>
      </c>
      <c r="OLS1331" s="4" t="s">
        <v>2875</v>
      </c>
      <c r="OLT1331" s="4" t="s">
        <v>2875</v>
      </c>
      <c r="OLU1331" s="4" t="s">
        <v>2875</v>
      </c>
      <c r="OLV1331" s="4" t="s">
        <v>2875</v>
      </c>
      <c r="OLW1331" s="4" t="s">
        <v>2875</v>
      </c>
      <c r="OLX1331" s="4" t="s">
        <v>2875</v>
      </c>
      <c r="OLY1331" s="4" t="s">
        <v>2875</v>
      </c>
      <c r="OLZ1331" s="4" t="s">
        <v>2875</v>
      </c>
      <c r="OMA1331" s="4" t="s">
        <v>2875</v>
      </c>
      <c r="OMB1331" s="4" t="s">
        <v>2875</v>
      </c>
      <c r="OMC1331" s="4" t="s">
        <v>2875</v>
      </c>
      <c r="OMD1331" s="4" t="s">
        <v>2875</v>
      </c>
      <c r="OME1331" s="4" t="s">
        <v>2875</v>
      </c>
      <c r="OMF1331" s="4" t="s">
        <v>2875</v>
      </c>
      <c r="OMG1331" s="4" t="s">
        <v>2875</v>
      </c>
      <c r="OMH1331" s="4" t="s">
        <v>2875</v>
      </c>
      <c r="OMI1331" s="4" t="s">
        <v>2875</v>
      </c>
      <c r="OMJ1331" s="4" t="s">
        <v>2875</v>
      </c>
      <c r="OMK1331" s="4" t="s">
        <v>2875</v>
      </c>
      <c r="OML1331" s="4" t="s">
        <v>2875</v>
      </c>
      <c r="OMM1331" s="4" t="s">
        <v>2875</v>
      </c>
      <c r="OMN1331" s="4" t="s">
        <v>2875</v>
      </c>
      <c r="OMO1331" s="4" t="s">
        <v>2875</v>
      </c>
      <c r="OMP1331" s="4" t="s">
        <v>2875</v>
      </c>
      <c r="OMQ1331" s="4" t="s">
        <v>2875</v>
      </c>
      <c r="OMR1331" s="4" t="s">
        <v>2875</v>
      </c>
      <c r="OMS1331" s="4" t="s">
        <v>2875</v>
      </c>
      <c r="OMT1331" s="4" t="s">
        <v>2875</v>
      </c>
      <c r="OMU1331" s="4" t="s">
        <v>2875</v>
      </c>
      <c r="OMV1331" s="4" t="s">
        <v>2875</v>
      </c>
      <c r="OMW1331" s="4" t="s">
        <v>2875</v>
      </c>
      <c r="OMX1331" s="4" t="s">
        <v>2875</v>
      </c>
      <c r="OMY1331" s="4" t="s">
        <v>2875</v>
      </c>
      <c r="OMZ1331" s="4" t="s">
        <v>2875</v>
      </c>
      <c r="ONA1331" s="4" t="s">
        <v>2875</v>
      </c>
      <c r="ONB1331" s="4" t="s">
        <v>2875</v>
      </c>
      <c r="ONC1331" s="4" t="s">
        <v>2875</v>
      </c>
      <c r="OND1331" s="4" t="s">
        <v>2875</v>
      </c>
      <c r="ONE1331" s="4" t="s">
        <v>2875</v>
      </c>
      <c r="ONF1331" s="4" t="s">
        <v>2875</v>
      </c>
      <c r="ONG1331" s="4" t="s">
        <v>2875</v>
      </c>
      <c r="ONH1331" s="4" t="s">
        <v>2875</v>
      </c>
      <c r="ONI1331" s="4" t="s">
        <v>2875</v>
      </c>
      <c r="ONJ1331" s="4" t="s">
        <v>2875</v>
      </c>
      <c r="ONK1331" s="4" t="s">
        <v>2875</v>
      </c>
      <c r="ONL1331" s="4" t="s">
        <v>2875</v>
      </c>
      <c r="ONM1331" s="4" t="s">
        <v>2875</v>
      </c>
      <c r="ONN1331" s="4" t="s">
        <v>2875</v>
      </c>
      <c r="ONO1331" s="4" t="s">
        <v>2875</v>
      </c>
      <c r="ONP1331" s="4" t="s">
        <v>2875</v>
      </c>
      <c r="ONQ1331" s="4" t="s">
        <v>2875</v>
      </c>
      <c r="ONR1331" s="4" t="s">
        <v>2875</v>
      </c>
      <c r="ONS1331" s="4" t="s">
        <v>2875</v>
      </c>
      <c r="ONT1331" s="4" t="s">
        <v>2875</v>
      </c>
      <c r="ONU1331" s="4" t="s">
        <v>2875</v>
      </c>
      <c r="ONV1331" s="4" t="s">
        <v>2875</v>
      </c>
      <c r="ONW1331" s="4" t="s">
        <v>2875</v>
      </c>
      <c r="ONX1331" s="4" t="s">
        <v>2875</v>
      </c>
      <c r="ONY1331" s="4" t="s">
        <v>2875</v>
      </c>
      <c r="ONZ1331" s="4" t="s">
        <v>2875</v>
      </c>
      <c r="OOA1331" s="4" t="s">
        <v>2875</v>
      </c>
      <c r="OOB1331" s="4" t="s">
        <v>2875</v>
      </c>
      <c r="OOC1331" s="4" t="s">
        <v>2875</v>
      </c>
      <c r="OOD1331" s="4" t="s">
        <v>2875</v>
      </c>
      <c r="OOE1331" s="4" t="s">
        <v>2875</v>
      </c>
      <c r="OOF1331" s="4" t="s">
        <v>2875</v>
      </c>
      <c r="OOG1331" s="4" t="s">
        <v>2875</v>
      </c>
      <c r="OOH1331" s="4" t="s">
        <v>2875</v>
      </c>
      <c r="OOI1331" s="4" t="s">
        <v>2875</v>
      </c>
      <c r="OOJ1331" s="4" t="s">
        <v>2875</v>
      </c>
      <c r="OOK1331" s="4" t="s">
        <v>2875</v>
      </c>
      <c r="OOL1331" s="4" t="s">
        <v>2875</v>
      </c>
      <c r="OOM1331" s="4" t="s">
        <v>2875</v>
      </c>
      <c r="OON1331" s="4" t="s">
        <v>2875</v>
      </c>
      <c r="OOO1331" s="4" t="s">
        <v>2875</v>
      </c>
      <c r="OOP1331" s="4" t="s">
        <v>2875</v>
      </c>
      <c r="OOQ1331" s="4" t="s">
        <v>2875</v>
      </c>
      <c r="OOR1331" s="4" t="s">
        <v>2875</v>
      </c>
      <c r="OOS1331" s="4" t="s">
        <v>2875</v>
      </c>
      <c r="OOT1331" s="4" t="s">
        <v>2875</v>
      </c>
      <c r="OOU1331" s="4" t="s">
        <v>2875</v>
      </c>
      <c r="OOV1331" s="4" t="s">
        <v>2875</v>
      </c>
      <c r="OOW1331" s="4" t="s">
        <v>2875</v>
      </c>
      <c r="OOX1331" s="4" t="s">
        <v>2875</v>
      </c>
      <c r="OOY1331" s="4" t="s">
        <v>2875</v>
      </c>
      <c r="OOZ1331" s="4" t="s">
        <v>2875</v>
      </c>
      <c r="OPA1331" s="4" t="s">
        <v>2875</v>
      </c>
      <c r="OPB1331" s="4" t="s">
        <v>2875</v>
      </c>
      <c r="OPC1331" s="4" t="s">
        <v>2875</v>
      </c>
      <c r="OPD1331" s="4" t="s">
        <v>2875</v>
      </c>
      <c r="OPE1331" s="4" t="s">
        <v>2875</v>
      </c>
      <c r="OPF1331" s="4" t="s">
        <v>2875</v>
      </c>
      <c r="OPG1331" s="4" t="s">
        <v>2875</v>
      </c>
      <c r="OPH1331" s="4" t="s">
        <v>2875</v>
      </c>
      <c r="OPI1331" s="4" t="s">
        <v>2875</v>
      </c>
      <c r="OPJ1331" s="4" t="s">
        <v>2875</v>
      </c>
      <c r="OPK1331" s="4" t="s">
        <v>2875</v>
      </c>
      <c r="OPL1331" s="4" t="s">
        <v>2875</v>
      </c>
      <c r="OPM1331" s="4" t="s">
        <v>2875</v>
      </c>
      <c r="OPN1331" s="4" t="s">
        <v>2875</v>
      </c>
      <c r="OPO1331" s="4" t="s">
        <v>2875</v>
      </c>
      <c r="OPP1331" s="4" t="s">
        <v>2875</v>
      </c>
      <c r="OPQ1331" s="4" t="s">
        <v>2875</v>
      </c>
      <c r="OPR1331" s="4" t="s">
        <v>2875</v>
      </c>
      <c r="OPS1331" s="4" t="s">
        <v>2875</v>
      </c>
      <c r="OPT1331" s="4" t="s">
        <v>2875</v>
      </c>
      <c r="OPU1331" s="4" t="s">
        <v>2875</v>
      </c>
      <c r="OPV1331" s="4" t="s">
        <v>2875</v>
      </c>
      <c r="OPW1331" s="4" t="s">
        <v>2875</v>
      </c>
      <c r="OPX1331" s="4" t="s">
        <v>2875</v>
      </c>
      <c r="OPY1331" s="4" t="s">
        <v>2875</v>
      </c>
      <c r="OPZ1331" s="4" t="s">
        <v>2875</v>
      </c>
      <c r="OQA1331" s="4" t="s">
        <v>2875</v>
      </c>
      <c r="OQB1331" s="4" t="s">
        <v>2875</v>
      </c>
      <c r="OQC1331" s="4" t="s">
        <v>2875</v>
      </c>
      <c r="OQD1331" s="4" t="s">
        <v>2875</v>
      </c>
      <c r="OQE1331" s="4" t="s">
        <v>2875</v>
      </c>
      <c r="OQF1331" s="4" t="s">
        <v>2875</v>
      </c>
      <c r="OQG1331" s="4" t="s">
        <v>2875</v>
      </c>
      <c r="OQH1331" s="4" t="s">
        <v>2875</v>
      </c>
      <c r="OQI1331" s="4" t="s">
        <v>2875</v>
      </c>
      <c r="OQJ1331" s="4" t="s">
        <v>2875</v>
      </c>
      <c r="OQK1331" s="4" t="s">
        <v>2875</v>
      </c>
      <c r="OQL1331" s="4" t="s">
        <v>2875</v>
      </c>
      <c r="OQM1331" s="4" t="s">
        <v>2875</v>
      </c>
      <c r="OQN1331" s="4" t="s">
        <v>2875</v>
      </c>
      <c r="OQO1331" s="4" t="s">
        <v>2875</v>
      </c>
      <c r="OQP1331" s="4" t="s">
        <v>2875</v>
      </c>
      <c r="OQQ1331" s="4" t="s">
        <v>2875</v>
      </c>
      <c r="OQR1331" s="4" t="s">
        <v>2875</v>
      </c>
      <c r="OQS1331" s="4" t="s">
        <v>2875</v>
      </c>
      <c r="OQT1331" s="4" t="s">
        <v>2875</v>
      </c>
      <c r="OQU1331" s="4" t="s">
        <v>2875</v>
      </c>
      <c r="OQV1331" s="4" t="s">
        <v>2875</v>
      </c>
      <c r="OQW1331" s="4" t="s">
        <v>2875</v>
      </c>
      <c r="OQX1331" s="4" t="s">
        <v>2875</v>
      </c>
      <c r="OQY1331" s="4" t="s">
        <v>2875</v>
      </c>
      <c r="OQZ1331" s="4" t="s">
        <v>2875</v>
      </c>
      <c r="ORA1331" s="4" t="s">
        <v>2875</v>
      </c>
      <c r="ORB1331" s="4" t="s">
        <v>2875</v>
      </c>
      <c r="ORC1331" s="4" t="s">
        <v>2875</v>
      </c>
      <c r="ORD1331" s="4" t="s">
        <v>2875</v>
      </c>
      <c r="ORE1331" s="4" t="s">
        <v>2875</v>
      </c>
      <c r="ORF1331" s="4" t="s">
        <v>2875</v>
      </c>
      <c r="ORG1331" s="4" t="s">
        <v>2875</v>
      </c>
      <c r="ORH1331" s="4" t="s">
        <v>2875</v>
      </c>
      <c r="ORI1331" s="4" t="s">
        <v>2875</v>
      </c>
      <c r="ORJ1331" s="4" t="s">
        <v>2875</v>
      </c>
      <c r="ORK1331" s="4" t="s">
        <v>2875</v>
      </c>
      <c r="ORL1331" s="4" t="s">
        <v>2875</v>
      </c>
      <c r="ORM1331" s="4" t="s">
        <v>2875</v>
      </c>
      <c r="ORN1331" s="4" t="s">
        <v>2875</v>
      </c>
      <c r="ORO1331" s="4" t="s">
        <v>2875</v>
      </c>
      <c r="ORP1331" s="4" t="s">
        <v>2875</v>
      </c>
      <c r="ORQ1331" s="4" t="s">
        <v>2875</v>
      </c>
      <c r="ORR1331" s="4" t="s">
        <v>2875</v>
      </c>
      <c r="ORS1331" s="4" t="s">
        <v>2875</v>
      </c>
      <c r="ORT1331" s="4" t="s">
        <v>2875</v>
      </c>
      <c r="ORU1331" s="4" t="s">
        <v>2875</v>
      </c>
      <c r="ORV1331" s="4" t="s">
        <v>2875</v>
      </c>
      <c r="ORW1331" s="4" t="s">
        <v>2875</v>
      </c>
      <c r="ORX1331" s="4" t="s">
        <v>2875</v>
      </c>
      <c r="ORY1331" s="4" t="s">
        <v>2875</v>
      </c>
      <c r="ORZ1331" s="4" t="s">
        <v>2875</v>
      </c>
      <c r="OSA1331" s="4" t="s">
        <v>2875</v>
      </c>
      <c r="OSB1331" s="4" t="s">
        <v>2875</v>
      </c>
      <c r="OSC1331" s="4" t="s">
        <v>2875</v>
      </c>
      <c r="OSD1331" s="4" t="s">
        <v>2875</v>
      </c>
      <c r="OSE1331" s="4" t="s">
        <v>2875</v>
      </c>
      <c r="OSF1331" s="4" t="s">
        <v>2875</v>
      </c>
      <c r="OSG1331" s="4" t="s">
        <v>2875</v>
      </c>
      <c r="OSH1331" s="4" t="s">
        <v>2875</v>
      </c>
      <c r="OSI1331" s="4" t="s">
        <v>2875</v>
      </c>
      <c r="OSJ1331" s="4" t="s">
        <v>2875</v>
      </c>
      <c r="OSK1331" s="4" t="s">
        <v>2875</v>
      </c>
      <c r="OSL1331" s="4" t="s">
        <v>2875</v>
      </c>
      <c r="OSM1331" s="4" t="s">
        <v>2875</v>
      </c>
      <c r="OSN1331" s="4" t="s">
        <v>2875</v>
      </c>
      <c r="OSO1331" s="4" t="s">
        <v>2875</v>
      </c>
      <c r="OSP1331" s="4" t="s">
        <v>2875</v>
      </c>
      <c r="OSQ1331" s="4" t="s">
        <v>2875</v>
      </c>
      <c r="OSR1331" s="4" t="s">
        <v>2875</v>
      </c>
      <c r="OSS1331" s="4" t="s">
        <v>2875</v>
      </c>
      <c r="OST1331" s="4" t="s">
        <v>2875</v>
      </c>
      <c r="OSU1331" s="4" t="s">
        <v>2875</v>
      </c>
      <c r="OSV1331" s="4" t="s">
        <v>2875</v>
      </c>
      <c r="OSW1331" s="4" t="s">
        <v>2875</v>
      </c>
      <c r="OSX1331" s="4" t="s">
        <v>2875</v>
      </c>
      <c r="OSY1331" s="4" t="s">
        <v>2875</v>
      </c>
      <c r="OSZ1331" s="4" t="s">
        <v>2875</v>
      </c>
      <c r="OTA1331" s="4" t="s">
        <v>2875</v>
      </c>
      <c r="OTB1331" s="4" t="s">
        <v>2875</v>
      </c>
      <c r="OTC1331" s="4" t="s">
        <v>2875</v>
      </c>
      <c r="OTD1331" s="4" t="s">
        <v>2875</v>
      </c>
      <c r="OTE1331" s="4" t="s">
        <v>2875</v>
      </c>
      <c r="OTF1331" s="4" t="s">
        <v>2875</v>
      </c>
      <c r="OTG1331" s="4" t="s">
        <v>2875</v>
      </c>
      <c r="OTH1331" s="4" t="s">
        <v>2875</v>
      </c>
      <c r="OTI1331" s="4" t="s">
        <v>2875</v>
      </c>
      <c r="OTJ1331" s="4" t="s">
        <v>2875</v>
      </c>
      <c r="OTK1331" s="4" t="s">
        <v>2875</v>
      </c>
      <c r="OTL1331" s="4" t="s">
        <v>2875</v>
      </c>
      <c r="OTM1331" s="4" t="s">
        <v>2875</v>
      </c>
      <c r="OTN1331" s="4" t="s">
        <v>2875</v>
      </c>
      <c r="OTO1331" s="4" t="s">
        <v>2875</v>
      </c>
      <c r="OTP1331" s="4" t="s">
        <v>2875</v>
      </c>
      <c r="OTQ1331" s="4" t="s">
        <v>2875</v>
      </c>
      <c r="OTR1331" s="4" t="s">
        <v>2875</v>
      </c>
      <c r="OTS1331" s="4" t="s">
        <v>2875</v>
      </c>
      <c r="OTT1331" s="4" t="s">
        <v>2875</v>
      </c>
      <c r="OTU1331" s="4" t="s">
        <v>2875</v>
      </c>
      <c r="OTV1331" s="4" t="s">
        <v>2875</v>
      </c>
      <c r="OTW1331" s="4" t="s">
        <v>2875</v>
      </c>
      <c r="OTX1331" s="4" t="s">
        <v>2875</v>
      </c>
      <c r="OTY1331" s="4" t="s">
        <v>2875</v>
      </c>
      <c r="OTZ1331" s="4" t="s">
        <v>2875</v>
      </c>
      <c r="OUA1331" s="4" t="s">
        <v>2875</v>
      </c>
      <c r="OUB1331" s="4" t="s">
        <v>2875</v>
      </c>
      <c r="OUC1331" s="4" t="s">
        <v>2875</v>
      </c>
      <c r="OUD1331" s="4" t="s">
        <v>2875</v>
      </c>
      <c r="OUE1331" s="4" t="s">
        <v>2875</v>
      </c>
      <c r="OUF1331" s="4" t="s">
        <v>2875</v>
      </c>
      <c r="OUG1331" s="4" t="s">
        <v>2875</v>
      </c>
      <c r="OUH1331" s="4" t="s">
        <v>2875</v>
      </c>
      <c r="OUI1331" s="4" t="s">
        <v>2875</v>
      </c>
      <c r="OUJ1331" s="4" t="s">
        <v>2875</v>
      </c>
      <c r="OUK1331" s="4" t="s">
        <v>2875</v>
      </c>
      <c r="OUL1331" s="4" t="s">
        <v>2875</v>
      </c>
      <c r="OUM1331" s="4" t="s">
        <v>2875</v>
      </c>
      <c r="OUN1331" s="4" t="s">
        <v>2875</v>
      </c>
      <c r="OUO1331" s="4" t="s">
        <v>2875</v>
      </c>
      <c r="OUP1331" s="4" t="s">
        <v>2875</v>
      </c>
      <c r="OUQ1331" s="4" t="s">
        <v>2875</v>
      </c>
      <c r="OUR1331" s="4" t="s">
        <v>2875</v>
      </c>
      <c r="OUS1331" s="4" t="s">
        <v>2875</v>
      </c>
      <c r="OUT1331" s="4" t="s">
        <v>2875</v>
      </c>
      <c r="OUU1331" s="4" t="s">
        <v>2875</v>
      </c>
      <c r="OUV1331" s="4" t="s">
        <v>2875</v>
      </c>
      <c r="OUW1331" s="4" t="s">
        <v>2875</v>
      </c>
      <c r="OUX1331" s="4" t="s">
        <v>2875</v>
      </c>
      <c r="OUY1331" s="4" t="s">
        <v>2875</v>
      </c>
      <c r="OUZ1331" s="4" t="s">
        <v>2875</v>
      </c>
      <c r="OVA1331" s="4" t="s">
        <v>2875</v>
      </c>
      <c r="OVB1331" s="4" t="s">
        <v>2875</v>
      </c>
      <c r="OVC1331" s="4" t="s">
        <v>2875</v>
      </c>
      <c r="OVD1331" s="4" t="s">
        <v>2875</v>
      </c>
      <c r="OVE1331" s="4" t="s">
        <v>2875</v>
      </c>
      <c r="OVF1331" s="4" t="s">
        <v>2875</v>
      </c>
      <c r="OVG1331" s="4" t="s">
        <v>2875</v>
      </c>
      <c r="OVH1331" s="4" t="s">
        <v>2875</v>
      </c>
      <c r="OVI1331" s="4" t="s">
        <v>2875</v>
      </c>
      <c r="OVJ1331" s="4" t="s">
        <v>2875</v>
      </c>
      <c r="OVK1331" s="4" t="s">
        <v>2875</v>
      </c>
      <c r="OVL1331" s="4" t="s">
        <v>2875</v>
      </c>
      <c r="OVM1331" s="4" t="s">
        <v>2875</v>
      </c>
      <c r="OVN1331" s="4" t="s">
        <v>2875</v>
      </c>
      <c r="OVO1331" s="4" t="s">
        <v>2875</v>
      </c>
      <c r="OVP1331" s="4" t="s">
        <v>2875</v>
      </c>
      <c r="OVQ1331" s="4" t="s">
        <v>2875</v>
      </c>
      <c r="OVR1331" s="4" t="s">
        <v>2875</v>
      </c>
      <c r="OVS1331" s="4" t="s">
        <v>2875</v>
      </c>
      <c r="OVT1331" s="4" t="s">
        <v>2875</v>
      </c>
      <c r="OVU1331" s="4" t="s">
        <v>2875</v>
      </c>
      <c r="OVV1331" s="4" t="s">
        <v>2875</v>
      </c>
      <c r="OVW1331" s="4" t="s">
        <v>2875</v>
      </c>
      <c r="OVX1331" s="4" t="s">
        <v>2875</v>
      </c>
      <c r="OVY1331" s="4" t="s">
        <v>2875</v>
      </c>
      <c r="OVZ1331" s="4" t="s">
        <v>2875</v>
      </c>
      <c r="OWA1331" s="4" t="s">
        <v>2875</v>
      </c>
      <c r="OWB1331" s="4" t="s">
        <v>2875</v>
      </c>
      <c r="OWC1331" s="4" t="s">
        <v>2875</v>
      </c>
      <c r="OWD1331" s="4" t="s">
        <v>2875</v>
      </c>
      <c r="OWE1331" s="4" t="s">
        <v>2875</v>
      </c>
      <c r="OWF1331" s="4" t="s">
        <v>2875</v>
      </c>
      <c r="OWG1331" s="4" t="s">
        <v>2875</v>
      </c>
      <c r="OWH1331" s="4" t="s">
        <v>2875</v>
      </c>
      <c r="OWI1331" s="4" t="s">
        <v>2875</v>
      </c>
      <c r="OWJ1331" s="4" t="s">
        <v>2875</v>
      </c>
      <c r="OWK1331" s="4" t="s">
        <v>2875</v>
      </c>
      <c r="OWL1331" s="4" t="s">
        <v>2875</v>
      </c>
      <c r="OWM1331" s="4" t="s">
        <v>2875</v>
      </c>
      <c r="OWN1331" s="4" t="s">
        <v>2875</v>
      </c>
      <c r="OWO1331" s="4" t="s">
        <v>2875</v>
      </c>
      <c r="OWP1331" s="4" t="s">
        <v>2875</v>
      </c>
      <c r="OWQ1331" s="4" t="s">
        <v>2875</v>
      </c>
      <c r="OWR1331" s="4" t="s">
        <v>2875</v>
      </c>
      <c r="OWS1331" s="4" t="s">
        <v>2875</v>
      </c>
      <c r="OWT1331" s="4" t="s">
        <v>2875</v>
      </c>
      <c r="OWU1331" s="4" t="s">
        <v>2875</v>
      </c>
      <c r="OWV1331" s="4" t="s">
        <v>2875</v>
      </c>
      <c r="OWW1331" s="4" t="s">
        <v>2875</v>
      </c>
      <c r="OWX1331" s="4" t="s">
        <v>2875</v>
      </c>
      <c r="OWY1331" s="4" t="s">
        <v>2875</v>
      </c>
      <c r="OWZ1331" s="4" t="s">
        <v>2875</v>
      </c>
      <c r="OXA1331" s="4" t="s">
        <v>2875</v>
      </c>
      <c r="OXB1331" s="4" t="s">
        <v>2875</v>
      </c>
      <c r="OXC1331" s="4" t="s">
        <v>2875</v>
      </c>
      <c r="OXD1331" s="4" t="s">
        <v>2875</v>
      </c>
      <c r="OXE1331" s="4" t="s">
        <v>2875</v>
      </c>
      <c r="OXF1331" s="4" t="s">
        <v>2875</v>
      </c>
      <c r="OXG1331" s="4" t="s">
        <v>2875</v>
      </c>
      <c r="OXH1331" s="4" t="s">
        <v>2875</v>
      </c>
      <c r="OXI1331" s="4" t="s">
        <v>2875</v>
      </c>
      <c r="OXJ1331" s="4" t="s">
        <v>2875</v>
      </c>
      <c r="OXK1331" s="4" t="s">
        <v>2875</v>
      </c>
      <c r="OXL1331" s="4" t="s">
        <v>2875</v>
      </c>
      <c r="OXM1331" s="4" t="s">
        <v>2875</v>
      </c>
      <c r="OXN1331" s="4" t="s">
        <v>2875</v>
      </c>
      <c r="OXO1331" s="4" t="s">
        <v>2875</v>
      </c>
      <c r="OXP1331" s="4" t="s">
        <v>2875</v>
      </c>
      <c r="OXQ1331" s="4" t="s">
        <v>2875</v>
      </c>
      <c r="OXR1331" s="4" t="s">
        <v>2875</v>
      </c>
      <c r="OXS1331" s="4" t="s">
        <v>2875</v>
      </c>
      <c r="OXT1331" s="4" t="s">
        <v>2875</v>
      </c>
      <c r="OXU1331" s="4" t="s">
        <v>2875</v>
      </c>
      <c r="OXV1331" s="4" t="s">
        <v>2875</v>
      </c>
      <c r="OXW1331" s="4" t="s">
        <v>2875</v>
      </c>
      <c r="OXX1331" s="4" t="s">
        <v>2875</v>
      </c>
      <c r="OXY1331" s="4" t="s">
        <v>2875</v>
      </c>
      <c r="OXZ1331" s="4" t="s">
        <v>2875</v>
      </c>
      <c r="OYA1331" s="4" t="s">
        <v>2875</v>
      </c>
      <c r="OYB1331" s="4" t="s">
        <v>2875</v>
      </c>
      <c r="OYC1331" s="4" t="s">
        <v>2875</v>
      </c>
      <c r="OYD1331" s="4" t="s">
        <v>2875</v>
      </c>
      <c r="OYE1331" s="4" t="s">
        <v>2875</v>
      </c>
      <c r="OYF1331" s="4" t="s">
        <v>2875</v>
      </c>
      <c r="OYG1331" s="4" t="s">
        <v>2875</v>
      </c>
      <c r="OYH1331" s="4" t="s">
        <v>2875</v>
      </c>
      <c r="OYI1331" s="4" t="s">
        <v>2875</v>
      </c>
      <c r="OYJ1331" s="4" t="s">
        <v>2875</v>
      </c>
      <c r="OYK1331" s="4" t="s">
        <v>2875</v>
      </c>
      <c r="OYL1331" s="4" t="s">
        <v>2875</v>
      </c>
      <c r="OYM1331" s="4" t="s">
        <v>2875</v>
      </c>
      <c r="OYN1331" s="4" t="s">
        <v>2875</v>
      </c>
      <c r="OYO1331" s="4" t="s">
        <v>2875</v>
      </c>
      <c r="OYP1331" s="4" t="s">
        <v>2875</v>
      </c>
      <c r="OYQ1331" s="4" t="s">
        <v>2875</v>
      </c>
      <c r="OYR1331" s="4" t="s">
        <v>2875</v>
      </c>
      <c r="OYS1331" s="4" t="s">
        <v>2875</v>
      </c>
      <c r="OYT1331" s="4" t="s">
        <v>2875</v>
      </c>
      <c r="OYU1331" s="4" t="s">
        <v>2875</v>
      </c>
      <c r="OYV1331" s="4" t="s">
        <v>2875</v>
      </c>
      <c r="OYW1331" s="4" t="s">
        <v>2875</v>
      </c>
      <c r="OYX1331" s="4" t="s">
        <v>2875</v>
      </c>
      <c r="OYY1331" s="4" t="s">
        <v>2875</v>
      </c>
      <c r="OYZ1331" s="4" t="s">
        <v>2875</v>
      </c>
      <c r="OZA1331" s="4" t="s">
        <v>2875</v>
      </c>
      <c r="OZB1331" s="4" t="s">
        <v>2875</v>
      </c>
      <c r="OZC1331" s="4" t="s">
        <v>2875</v>
      </c>
      <c r="OZD1331" s="4" t="s">
        <v>2875</v>
      </c>
      <c r="OZE1331" s="4" t="s">
        <v>2875</v>
      </c>
      <c r="OZF1331" s="4" t="s">
        <v>2875</v>
      </c>
      <c r="OZG1331" s="4" t="s">
        <v>2875</v>
      </c>
      <c r="OZH1331" s="4" t="s">
        <v>2875</v>
      </c>
      <c r="OZI1331" s="4" t="s">
        <v>2875</v>
      </c>
      <c r="OZJ1331" s="4" t="s">
        <v>2875</v>
      </c>
      <c r="OZK1331" s="4" t="s">
        <v>2875</v>
      </c>
      <c r="OZL1331" s="4" t="s">
        <v>2875</v>
      </c>
      <c r="OZM1331" s="4" t="s">
        <v>2875</v>
      </c>
      <c r="OZN1331" s="4" t="s">
        <v>2875</v>
      </c>
      <c r="OZO1331" s="4" t="s">
        <v>2875</v>
      </c>
      <c r="OZP1331" s="4" t="s">
        <v>2875</v>
      </c>
      <c r="OZQ1331" s="4" t="s">
        <v>2875</v>
      </c>
      <c r="OZR1331" s="4" t="s">
        <v>2875</v>
      </c>
      <c r="OZS1331" s="4" t="s">
        <v>2875</v>
      </c>
      <c r="OZT1331" s="4" t="s">
        <v>2875</v>
      </c>
      <c r="OZU1331" s="4" t="s">
        <v>2875</v>
      </c>
      <c r="OZV1331" s="4" t="s">
        <v>2875</v>
      </c>
      <c r="OZW1331" s="4" t="s">
        <v>2875</v>
      </c>
      <c r="OZX1331" s="4" t="s">
        <v>2875</v>
      </c>
      <c r="OZY1331" s="4" t="s">
        <v>2875</v>
      </c>
      <c r="OZZ1331" s="4" t="s">
        <v>2875</v>
      </c>
      <c r="PAA1331" s="4" t="s">
        <v>2875</v>
      </c>
      <c r="PAB1331" s="4" t="s">
        <v>2875</v>
      </c>
      <c r="PAC1331" s="4" t="s">
        <v>2875</v>
      </c>
      <c r="PAD1331" s="4" t="s">
        <v>2875</v>
      </c>
      <c r="PAE1331" s="4" t="s">
        <v>2875</v>
      </c>
      <c r="PAF1331" s="4" t="s">
        <v>2875</v>
      </c>
      <c r="PAG1331" s="4" t="s">
        <v>2875</v>
      </c>
      <c r="PAH1331" s="4" t="s">
        <v>2875</v>
      </c>
      <c r="PAI1331" s="4" t="s">
        <v>2875</v>
      </c>
      <c r="PAJ1331" s="4" t="s">
        <v>2875</v>
      </c>
      <c r="PAK1331" s="4" t="s">
        <v>2875</v>
      </c>
      <c r="PAL1331" s="4" t="s">
        <v>2875</v>
      </c>
      <c r="PAM1331" s="4" t="s">
        <v>2875</v>
      </c>
      <c r="PAN1331" s="4" t="s">
        <v>2875</v>
      </c>
      <c r="PAO1331" s="4" t="s">
        <v>2875</v>
      </c>
      <c r="PAP1331" s="4" t="s">
        <v>2875</v>
      </c>
      <c r="PAQ1331" s="4" t="s">
        <v>2875</v>
      </c>
      <c r="PAR1331" s="4" t="s">
        <v>2875</v>
      </c>
      <c r="PAS1331" s="4" t="s">
        <v>2875</v>
      </c>
      <c r="PAT1331" s="4" t="s">
        <v>2875</v>
      </c>
      <c r="PAU1331" s="4" t="s">
        <v>2875</v>
      </c>
      <c r="PAV1331" s="4" t="s">
        <v>2875</v>
      </c>
      <c r="PAW1331" s="4" t="s">
        <v>2875</v>
      </c>
      <c r="PAX1331" s="4" t="s">
        <v>2875</v>
      </c>
      <c r="PAY1331" s="4" t="s">
        <v>2875</v>
      </c>
      <c r="PAZ1331" s="4" t="s">
        <v>2875</v>
      </c>
      <c r="PBA1331" s="4" t="s">
        <v>2875</v>
      </c>
      <c r="PBB1331" s="4" t="s">
        <v>2875</v>
      </c>
      <c r="PBC1331" s="4" t="s">
        <v>2875</v>
      </c>
      <c r="PBD1331" s="4" t="s">
        <v>2875</v>
      </c>
      <c r="PBE1331" s="4" t="s">
        <v>2875</v>
      </c>
      <c r="PBF1331" s="4" t="s">
        <v>2875</v>
      </c>
      <c r="PBG1331" s="4" t="s">
        <v>2875</v>
      </c>
      <c r="PBH1331" s="4" t="s">
        <v>2875</v>
      </c>
      <c r="PBI1331" s="4" t="s">
        <v>2875</v>
      </c>
      <c r="PBJ1331" s="4" t="s">
        <v>2875</v>
      </c>
      <c r="PBK1331" s="4" t="s">
        <v>2875</v>
      </c>
      <c r="PBL1331" s="4" t="s">
        <v>2875</v>
      </c>
      <c r="PBM1331" s="4" t="s">
        <v>2875</v>
      </c>
      <c r="PBN1331" s="4" t="s">
        <v>2875</v>
      </c>
      <c r="PBO1331" s="4" t="s">
        <v>2875</v>
      </c>
      <c r="PBP1331" s="4" t="s">
        <v>2875</v>
      </c>
      <c r="PBQ1331" s="4" t="s">
        <v>2875</v>
      </c>
      <c r="PBR1331" s="4" t="s">
        <v>2875</v>
      </c>
      <c r="PBS1331" s="4" t="s">
        <v>2875</v>
      </c>
      <c r="PBT1331" s="4" t="s">
        <v>2875</v>
      </c>
      <c r="PBU1331" s="4" t="s">
        <v>2875</v>
      </c>
      <c r="PBV1331" s="4" t="s">
        <v>2875</v>
      </c>
      <c r="PBW1331" s="4" t="s">
        <v>2875</v>
      </c>
      <c r="PBX1331" s="4" t="s">
        <v>2875</v>
      </c>
      <c r="PBY1331" s="4" t="s">
        <v>2875</v>
      </c>
      <c r="PBZ1331" s="4" t="s">
        <v>2875</v>
      </c>
      <c r="PCA1331" s="4" t="s">
        <v>2875</v>
      </c>
      <c r="PCB1331" s="4" t="s">
        <v>2875</v>
      </c>
      <c r="PCC1331" s="4" t="s">
        <v>2875</v>
      </c>
      <c r="PCD1331" s="4" t="s">
        <v>2875</v>
      </c>
      <c r="PCE1331" s="4" t="s">
        <v>2875</v>
      </c>
      <c r="PCF1331" s="4" t="s">
        <v>2875</v>
      </c>
      <c r="PCG1331" s="4" t="s">
        <v>2875</v>
      </c>
      <c r="PCH1331" s="4" t="s">
        <v>2875</v>
      </c>
      <c r="PCI1331" s="4" t="s">
        <v>2875</v>
      </c>
      <c r="PCJ1331" s="4" t="s">
        <v>2875</v>
      </c>
      <c r="PCK1331" s="4" t="s">
        <v>2875</v>
      </c>
      <c r="PCL1331" s="4" t="s">
        <v>2875</v>
      </c>
      <c r="PCM1331" s="4" t="s">
        <v>2875</v>
      </c>
      <c r="PCN1331" s="4" t="s">
        <v>2875</v>
      </c>
      <c r="PCO1331" s="4" t="s">
        <v>2875</v>
      </c>
      <c r="PCP1331" s="4" t="s">
        <v>2875</v>
      </c>
      <c r="PCQ1331" s="4" t="s">
        <v>2875</v>
      </c>
      <c r="PCR1331" s="4" t="s">
        <v>2875</v>
      </c>
      <c r="PCS1331" s="4" t="s">
        <v>2875</v>
      </c>
      <c r="PCT1331" s="4" t="s">
        <v>2875</v>
      </c>
      <c r="PCU1331" s="4" t="s">
        <v>2875</v>
      </c>
      <c r="PCV1331" s="4" t="s">
        <v>2875</v>
      </c>
      <c r="PCW1331" s="4" t="s">
        <v>2875</v>
      </c>
      <c r="PCX1331" s="4" t="s">
        <v>2875</v>
      </c>
      <c r="PCY1331" s="4" t="s">
        <v>2875</v>
      </c>
      <c r="PCZ1331" s="4" t="s">
        <v>2875</v>
      </c>
      <c r="PDA1331" s="4" t="s">
        <v>2875</v>
      </c>
      <c r="PDB1331" s="4" t="s">
        <v>2875</v>
      </c>
      <c r="PDC1331" s="4" t="s">
        <v>2875</v>
      </c>
      <c r="PDD1331" s="4" t="s">
        <v>2875</v>
      </c>
      <c r="PDE1331" s="4" t="s">
        <v>2875</v>
      </c>
      <c r="PDF1331" s="4" t="s">
        <v>2875</v>
      </c>
      <c r="PDG1331" s="4" t="s">
        <v>2875</v>
      </c>
      <c r="PDH1331" s="4" t="s">
        <v>2875</v>
      </c>
      <c r="PDI1331" s="4" t="s">
        <v>2875</v>
      </c>
      <c r="PDJ1331" s="4" t="s">
        <v>2875</v>
      </c>
      <c r="PDK1331" s="4" t="s">
        <v>2875</v>
      </c>
      <c r="PDL1331" s="4" t="s">
        <v>2875</v>
      </c>
      <c r="PDM1331" s="4" t="s">
        <v>2875</v>
      </c>
      <c r="PDN1331" s="4" t="s">
        <v>2875</v>
      </c>
      <c r="PDO1331" s="4" t="s">
        <v>2875</v>
      </c>
      <c r="PDP1331" s="4" t="s">
        <v>2875</v>
      </c>
      <c r="PDQ1331" s="4" t="s">
        <v>2875</v>
      </c>
      <c r="PDR1331" s="4" t="s">
        <v>2875</v>
      </c>
      <c r="PDS1331" s="4" t="s">
        <v>2875</v>
      </c>
      <c r="PDT1331" s="4" t="s">
        <v>2875</v>
      </c>
      <c r="PDU1331" s="4" t="s">
        <v>2875</v>
      </c>
      <c r="PDV1331" s="4" t="s">
        <v>2875</v>
      </c>
      <c r="PDW1331" s="4" t="s">
        <v>2875</v>
      </c>
      <c r="PDX1331" s="4" t="s">
        <v>2875</v>
      </c>
      <c r="PDY1331" s="4" t="s">
        <v>2875</v>
      </c>
      <c r="PDZ1331" s="4" t="s">
        <v>2875</v>
      </c>
      <c r="PEA1331" s="4" t="s">
        <v>2875</v>
      </c>
      <c r="PEB1331" s="4" t="s">
        <v>2875</v>
      </c>
      <c r="PEC1331" s="4" t="s">
        <v>2875</v>
      </c>
      <c r="PED1331" s="4" t="s">
        <v>2875</v>
      </c>
      <c r="PEE1331" s="4" t="s">
        <v>2875</v>
      </c>
      <c r="PEF1331" s="4" t="s">
        <v>2875</v>
      </c>
      <c r="PEG1331" s="4" t="s">
        <v>2875</v>
      </c>
      <c r="PEH1331" s="4" t="s">
        <v>2875</v>
      </c>
      <c r="PEI1331" s="4" t="s">
        <v>2875</v>
      </c>
      <c r="PEJ1331" s="4" t="s">
        <v>2875</v>
      </c>
      <c r="PEK1331" s="4" t="s">
        <v>2875</v>
      </c>
      <c r="PEL1331" s="4" t="s">
        <v>2875</v>
      </c>
      <c r="PEM1331" s="4" t="s">
        <v>2875</v>
      </c>
      <c r="PEN1331" s="4" t="s">
        <v>2875</v>
      </c>
      <c r="PEO1331" s="4" t="s">
        <v>2875</v>
      </c>
      <c r="PEP1331" s="4" t="s">
        <v>2875</v>
      </c>
      <c r="PEQ1331" s="4" t="s">
        <v>2875</v>
      </c>
      <c r="PER1331" s="4" t="s">
        <v>2875</v>
      </c>
      <c r="PES1331" s="4" t="s">
        <v>2875</v>
      </c>
      <c r="PET1331" s="4" t="s">
        <v>2875</v>
      </c>
      <c r="PEU1331" s="4" t="s">
        <v>2875</v>
      </c>
      <c r="PEV1331" s="4" t="s">
        <v>2875</v>
      </c>
      <c r="PEW1331" s="4" t="s">
        <v>2875</v>
      </c>
      <c r="PEX1331" s="4" t="s">
        <v>2875</v>
      </c>
      <c r="PEY1331" s="4" t="s">
        <v>2875</v>
      </c>
      <c r="PEZ1331" s="4" t="s">
        <v>2875</v>
      </c>
      <c r="PFA1331" s="4" t="s">
        <v>2875</v>
      </c>
      <c r="PFB1331" s="4" t="s">
        <v>2875</v>
      </c>
      <c r="PFC1331" s="4" t="s">
        <v>2875</v>
      </c>
      <c r="PFD1331" s="4" t="s">
        <v>2875</v>
      </c>
      <c r="PFE1331" s="4" t="s">
        <v>2875</v>
      </c>
      <c r="PFF1331" s="4" t="s">
        <v>2875</v>
      </c>
      <c r="PFG1331" s="4" t="s">
        <v>2875</v>
      </c>
      <c r="PFH1331" s="4" t="s">
        <v>2875</v>
      </c>
      <c r="PFI1331" s="4" t="s">
        <v>2875</v>
      </c>
      <c r="PFJ1331" s="4" t="s">
        <v>2875</v>
      </c>
      <c r="PFK1331" s="4" t="s">
        <v>2875</v>
      </c>
      <c r="PFL1331" s="4" t="s">
        <v>2875</v>
      </c>
      <c r="PFM1331" s="4" t="s">
        <v>2875</v>
      </c>
      <c r="PFN1331" s="4" t="s">
        <v>2875</v>
      </c>
      <c r="PFO1331" s="4" t="s">
        <v>2875</v>
      </c>
      <c r="PFP1331" s="4" t="s">
        <v>2875</v>
      </c>
      <c r="PFQ1331" s="4" t="s">
        <v>2875</v>
      </c>
      <c r="PFR1331" s="4" t="s">
        <v>2875</v>
      </c>
      <c r="PFS1331" s="4" t="s">
        <v>2875</v>
      </c>
      <c r="PFT1331" s="4" t="s">
        <v>2875</v>
      </c>
      <c r="PFU1331" s="4" t="s">
        <v>2875</v>
      </c>
      <c r="PFV1331" s="4" t="s">
        <v>2875</v>
      </c>
      <c r="PFW1331" s="4" t="s">
        <v>2875</v>
      </c>
      <c r="PFX1331" s="4" t="s">
        <v>2875</v>
      </c>
      <c r="PFY1331" s="4" t="s">
        <v>2875</v>
      </c>
      <c r="PFZ1331" s="4" t="s">
        <v>2875</v>
      </c>
      <c r="PGA1331" s="4" t="s">
        <v>2875</v>
      </c>
      <c r="PGB1331" s="4" t="s">
        <v>2875</v>
      </c>
      <c r="PGC1331" s="4" t="s">
        <v>2875</v>
      </c>
      <c r="PGD1331" s="4" t="s">
        <v>2875</v>
      </c>
      <c r="PGE1331" s="4" t="s">
        <v>2875</v>
      </c>
      <c r="PGF1331" s="4" t="s">
        <v>2875</v>
      </c>
      <c r="PGG1331" s="4" t="s">
        <v>2875</v>
      </c>
      <c r="PGH1331" s="4" t="s">
        <v>2875</v>
      </c>
      <c r="PGI1331" s="4" t="s">
        <v>2875</v>
      </c>
      <c r="PGJ1331" s="4" t="s">
        <v>2875</v>
      </c>
      <c r="PGK1331" s="4" t="s">
        <v>2875</v>
      </c>
      <c r="PGL1331" s="4" t="s">
        <v>2875</v>
      </c>
      <c r="PGM1331" s="4" t="s">
        <v>2875</v>
      </c>
      <c r="PGN1331" s="4" t="s">
        <v>2875</v>
      </c>
      <c r="PGO1331" s="4" t="s">
        <v>2875</v>
      </c>
      <c r="PGP1331" s="4" t="s">
        <v>2875</v>
      </c>
      <c r="PGQ1331" s="4" t="s">
        <v>2875</v>
      </c>
      <c r="PGR1331" s="4" t="s">
        <v>2875</v>
      </c>
      <c r="PGS1331" s="4" t="s">
        <v>2875</v>
      </c>
      <c r="PGT1331" s="4" t="s">
        <v>2875</v>
      </c>
      <c r="PGU1331" s="4" t="s">
        <v>2875</v>
      </c>
      <c r="PGV1331" s="4" t="s">
        <v>2875</v>
      </c>
      <c r="PGW1331" s="4" t="s">
        <v>2875</v>
      </c>
      <c r="PGX1331" s="4" t="s">
        <v>2875</v>
      </c>
      <c r="PGY1331" s="4" t="s">
        <v>2875</v>
      </c>
      <c r="PGZ1331" s="4" t="s">
        <v>2875</v>
      </c>
      <c r="PHA1331" s="4" t="s">
        <v>2875</v>
      </c>
      <c r="PHB1331" s="4" t="s">
        <v>2875</v>
      </c>
      <c r="PHC1331" s="4" t="s">
        <v>2875</v>
      </c>
      <c r="PHD1331" s="4" t="s">
        <v>2875</v>
      </c>
      <c r="PHE1331" s="4" t="s">
        <v>2875</v>
      </c>
      <c r="PHF1331" s="4" t="s">
        <v>2875</v>
      </c>
      <c r="PHG1331" s="4" t="s">
        <v>2875</v>
      </c>
      <c r="PHH1331" s="4" t="s">
        <v>2875</v>
      </c>
      <c r="PHI1331" s="4" t="s">
        <v>2875</v>
      </c>
      <c r="PHJ1331" s="4" t="s">
        <v>2875</v>
      </c>
      <c r="PHK1331" s="4" t="s">
        <v>2875</v>
      </c>
      <c r="PHL1331" s="4" t="s">
        <v>2875</v>
      </c>
      <c r="PHM1331" s="4" t="s">
        <v>2875</v>
      </c>
      <c r="PHN1331" s="4" t="s">
        <v>2875</v>
      </c>
      <c r="PHO1331" s="4" t="s">
        <v>2875</v>
      </c>
      <c r="PHP1331" s="4" t="s">
        <v>2875</v>
      </c>
      <c r="PHQ1331" s="4" t="s">
        <v>2875</v>
      </c>
      <c r="PHR1331" s="4" t="s">
        <v>2875</v>
      </c>
      <c r="PHS1331" s="4" t="s">
        <v>2875</v>
      </c>
      <c r="PHT1331" s="4" t="s">
        <v>2875</v>
      </c>
      <c r="PHU1331" s="4" t="s">
        <v>2875</v>
      </c>
      <c r="PHV1331" s="4" t="s">
        <v>2875</v>
      </c>
      <c r="PHW1331" s="4" t="s">
        <v>2875</v>
      </c>
      <c r="PHX1331" s="4" t="s">
        <v>2875</v>
      </c>
      <c r="PHY1331" s="4" t="s">
        <v>2875</v>
      </c>
      <c r="PHZ1331" s="4" t="s">
        <v>2875</v>
      </c>
      <c r="PIA1331" s="4" t="s">
        <v>2875</v>
      </c>
      <c r="PIB1331" s="4" t="s">
        <v>2875</v>
      </c>
      <c r="PIC1331" s="4" t="s">
        <v>2875</v>
      </c>
      <c r="PID1331" s="4" t="s">
        <v>2875</v>
      </c>
      <c r="PIE1331" s="4" t="s">
        <v>2875</v>
      </c>
      <c r="PIF1331" s="4" t="s">
        <v>2875</v>
      </c>
      <c r="PIG1331" s="4" t="s">
        <v>2875</v>
      </c>
      <c r="PIH1331" s="4" t="s">
        <v>2875</v>
      </c>
      <c r="PII1331" s="4" t="s">
        <v>2875</v>
      </c>
      <c r="PIJ1331" s="4" t="s">
        <v>2875</v>
      </c>
      <c r="PIK1331" s="4" t="s">
        <v>2875</v>
      </c>
      <c r="PIL1331" s="4" t="s">
        <v>2875</v>
      </c>
      <c r="PIM1331" s="4" t="s">
        <v>2875</v>
      </c>
      <c r="PIN1331" s="4" t="s">
        <v>2875</v>
      </c>
      <c r="PIO1331" s="4" t="s">
        <v>2875</v>
      </c>
      <c r="PIP1331" s="4" t="s">
        <v>2875</v>
      </c>
      <c r="PIQ1331" s="4" t="s">
        <v>2875</v>
      </c>
      <c r="PIR1331" s="4" t="s">
        <v>2875</v>
      </c>
      <c r="PIS1331" s="4" t="s">
        <v>2875</v>
      </c>
      <c r="PIT1331" s="4" t="s">
        <v>2875</v>
      </c>
      <c r="PIU1331" s="4" t="s">
        <v>2875</v>
      </c>
      <c r="PIV1331" s="4" t="s">
        <v>2875</v>
      </c>
      <c r="PIW1331" s="4" t="s">
        <v>2875</v>
      </c>
      <c r="PIX1331" s="4" t="s">
        <v>2875</v>
      </c>
      <c r="PIY1331" s="4" t="s">
        <v>2875</v>
      </c>
      <c r="PIZ1331" s="4" t="s">
        <v>2875</v>
      </c>
      <c r="PJA1331" s="4" t="s">
        <v>2875</v>
      </c>
      <c r="PJB1331" s="4" t="s">
        <v>2875</v>
      </c>
      <c r="PJC1331" s="4" t="s">
        <v>2875</v>
      </c>
      <c r="PJD1331" s="4" t="s">
        <v>2875</v>
      </c>
      <c r="PJE1331" s="4" t="s">
        <v>2875</v>
      </c>
      <c r="PJF1331" s="4" t="s">
        <v>2875</v>
      </c>
      <c r="PJG1331" s="4" t="s">
        <v>2875</v>
      </c>
      <c r="PJH1331" s="4" t="s">
        <v>2875</v>
      </c>
      <c r="PJI1331" s="4" t="s">
        <v>2875</v>
      </c>
      <c r="PJJ1331" s="4" t="s">
        <v>2875</v>
      </c>
      <c r="PJK1331" s="4" t="s">
        <v>2875</v>
      </c>
      <c r="PJL1331" s="4" t="s">
        <v>2875</v>
      </c>
      <c r="PJM1331" s="4" t="s">
        <v>2875</v>
      </c>
      <c r="PJN1331" s="4" t="s">
        <v>2875</v>
      </c>
      <c r="PJO1331" s="4" t="s">
        <v>2875</v>
      </c>
      <c r="PJP1331" s="4" t="s">
        <v>2875</v>
      </c>
      <c r="PJQ1331" s="4" t="s">
        <v>2875</v>
      </c>
      <c r="PJR1331" s="4" t="s">
        <v>2875</v>
      </c>
      <c r="PJS1331" s="4" t="s">
        <v>2875</v>
      </c>
      <c r="PJT1331" s="4" t="s">
        <v>2875</v>
      </c>
      <c r="PJU1331" s="4" t="s">
        <v>2875</v>
      </c>
      <c r="PJV1331" s="4" t="s">
        <v>2875</v>
      </c>
      <c r="PJW1331" s="4" t="s">
        <v>2875</v>
      </c>
      <c r="PJX1331" s="4" t="s">
        <v>2875</v>
      </c>
      <c r="PJY1331" s="4" t="s">
        <v>2875</v>
      </c>
      <c r="PJZ1331" s="4" t="s">
        <v>2875</v>
      </c>
      <c r="PKA1331" s="4" t="s">
        <v>2875</v>
      </c>
      <c r="PKB1331" s="4" t="s">
        <v>2875</v>
      </c>
      <c r="PKC1331" s="4" t="s">
        <v>2875</v>
      </c>
      <c r="PKD1331" s="4" t="s">
        <v>2875</v>
      </c>
      <c r="PKE1331" s="4" t="s">
        <v>2875</v>
      </c>
      <c r="PKF1331" s="4" t="s">
        <v>2875</v>
      </c>
      <c r="PKG1331" s="4" t="s">
        <v>2875</v>
      </c>
      <c r="PKH1331" s="4" t="s">
        <v>2875</v>
      </c>
      <c r="PKI1331" s="4" t="s">
        <v>2875</v>
      </c>
      <c r="PKJ1331" s="4" t="s">
        <v>2875</v>
      </c>
      <c r="PKK1331" s="4" t="s">
        <v>2875</v>
      </c>
      <c r="PKL1331" s="4" t="s">
        <v>2875</v>
      </c>
      <c r="PKM1331" s="4" t="s">
        <v>2875</v>
      </c>
      <c r="PKN1331" s="4" t="s">
        <v>2875</v>
      </c>
      <c r="PKO1331" s="4" t="s">
        <v>2875</v>
      </c>
      <c r="PKP1331" s="4" t="s">
        <v>2875</v>
      </c>
      <c r="PKQ1331" s="4" t="s">
        <v>2875</v>
      </c>
      <c r="PKR1331" s="4" t="s">
        <v>2875</v>
      </c>
      <c r="PKS1331" s="4" t="s">
        <v>2875</v>
      </c>
      <c r="PKT1331" s="4" t="s">
        <v>2875</v>
      </c>
      <c r="PKU1331" s="4" t="s">
        <v>2875</v>
      </c>
      <c r="PKV1331" s="4" t="s">
        <v>2875</v>
      </c>
      <c r="PKW1331" s="4" t="s">
        <v>2875</v>
      </c>
      <c r="PKX1331" s="4" t="s">
        <v>2875</v>
      </c>
      <c r="PKY1331" s="4" t="s">
        <v>2875</v>
      </c>
      <c r="PKZ1331" s="4" t="s">
        <v>2875</v>
      </c>
      <c r="PLA1331" s="4" t="s">
        <v>2875</v>
      </c>
      <c r="PLB1331" s="4" t="s">
        <v>2875</v>
      </c>
      <c r="PLC1331" s="4" t="s">
        <v>2875</v>
      </c>
      <c r="PLD1331" s="4" t="s">
        <v>2875</v>
      </c>
      <c r="PLE1331" s="4" t="s">
        <v>2875</v>
      </c>
      <c r="PLF1331" s="4" t="s">
        <v>2875</v>
      </c>
      <c r="PLG1331" s="4" t="s">
        <v>2875</v>
      </c>
      <c r="PLH1331" s="4" t="s">
        <v>2875</v>
      </c>
      <c r="PLI1331" s="4" t="s">
        <v>2875</v>
      </c>
      <c r="PLJ1331" s="4" t="s">
        <v>2875</v>
      </c>
      <c r="PLK1331" s="4" t="s">
        <v>2875</v>
      </c>
      <c r="PLL1331" s="4" t="s">
        <v>2875</v>
      </c>
      <c r="PLM1331" s="4" t="s">
        <v>2875</v>
      </c>
      <c r="PLN1331" s="4" t="s">
        <v>2875</v>
      </c>
      <c r="PLO1331" s="4" t="s">
        <v>2875</v>
      </c>
      <c r="PLP1331" s="4" t="s">
        <v>2875</v>
      </c>
      <c r="PLQ1331" s="4" t="s">
        <v>2875</v>
      </c>
      <c r="PLR1331" s="4" t="s">
        <v>2875</v>
      </c>
      <c r="PLS1331" s="4" t="s">
        <v>2875</v>
      </c>
      <c r="PLT1331" s="4" t="s">
        <v>2875</v>
      </c>
      <c r="PLU1331" s="4" t="s">
        <v>2875</v>
      </c>
      <c r="PLV1331" s="4" t="s">
        <v>2875</v>
      </c>
      <c r="PLW1331" s="4" t="s">
        <v>2875</v>
      </c>
      <c r="PLX1331" s="4" t="s">
        <v>2875</v>
      </c>
      <c r="PLY1331" s="4" t="s">
        <v>2875</v>
      </c>
      <c r="PLZ1331" s="4" t="s">
        <v>2875</v>
      </c>
      <c r="PMA1331" s="4" t="s">
        <v>2875</v>
      </c>
      <c r="PMB1331" s="4" t="s">
        <v>2875</v>
      </c>
      <c r="PMC1331" s="4" t="s">
        <v>2875</v>
      </c>
      <c r="PMD1331" s="4" t="s">
        <v>2875</v>
      </c>
      <c r="PME1331" s="4" t="s">
        <v>2875</v>
      </c>
      <c r="PMF1331" s="4" t="s">
        <v>2875</v>
      </c>
      <c r="PMG1331" s="4" t="s">
        <v>2875</v>
      </c>
      <c r="PMH1331" s="4" t="s">
        <v>2875</v>
      </c>
      <c r="PMI1331" s="4" t="s">
        <v>2875</v>
      </c>
      <c r="PMJ1331" s="4" t="s">
        <v>2875</v>
      </c>
      <c r="PMK1331" s="4" t="s">
        <v>2875</v>
      </c>
      <c r="PML1331" s="4" t="s">
        <v>2875</v>
      </c>
      <c r="PMM1331" s="4" t="s">
        <v>2875</v>
      </c>
      <c r="PMN1331" s="4" t="s">
        <v>2875</v>
      </c>
      <c r="PMO1331" s="4" t="s">
        <v>2875</v>
      </c>
      <c r="PMP1331" s="4" t="s">
        <v>2875</v>
      </c>
      <c r="PMQ1331" s="4" t="s">
        <v>2875</v>
      </c>
      <c r="PMR1331" s="4" t="s">
        <v>2875</v>
      </c>
      <c r="PMS1331" s="4" t="s">
        <v>2875</v>
      </c>
      <c r="PMT1331" s="4" t="s">
        <v>2875</v>
      </c>
      <c r="PMU1331" s="4" t="s">
        <v>2875</v>
      </c>
      <c r="PMV1331" s="4" t="s">
        <v>2875</v>
      </c>
      <c r="PMW1331" s="4" t="s">
        <v>2875</v>
      </c>
      <c r="PMX1331" s="4" t="s">
        <v>2875</v>
      </c>
      <c r="PMY1331" s="4" t="s">
        <v>2875</v>
      </c>
      <c r="PMZ1331" s="4" t="s">
        <v>2875</v>
      </c>
      <c r="PNA1331" s="4" t="s">
        <v>2875</v>
      </c>
      <c r="PNB1331" s="4" t="s">
        <v>2875</v>
      </c>
      <c r="PNC1331" s="4" t="s">
        <v>2875</v>
      </c>
      <c r="PND1331" s="4" t="s">
        <v>2875</v>
      </c>
      <c r="PNE1331" s="4" t="s">
        <v>2875</v>
      </c>
      <c r="PNF1331" s="4" t="s">
        <v>2875</v>
      </c>
      <c r="PNG1331" s="4" t="s">
        <v>2875</v>
      </c>
      <c r="PNH1331" s="4" t="s">
        <v>2875</v>
      </c>
      <c r="PNI1331" s="4" t="s">
        <v>2875</v>
      </c>
      <c r="PNJ1331" s="4" t="s">
        <v>2875</v>
      </c>
      <c r="PNK1331" s="4" t="s">
        <v>2875</v>
      </c>
      <c r="PNL1331" s="4" t="s">
        <v>2875</v>
      </c>
      <c r="PNM1331" s="4" t="s">
        <v>2875</v>
      </c>
      <c r="PNN1331" s="4" t="s">
        <v>2875</v>
      </c>
      <c r="PNO1331" s="4" t="s">
        <v>2875</v>
      </c>
      <c r="PNP1331" s="4" t="s">
        <v>2875</v>
      </c>
      <c r="PNQ1331" s="4" t="s">
        <v>2875</v>
      </c>
      <c r="PNR1331" s="4" t="s">
        <v>2875</v>
      </c>
      <c r="PNS1331" s="4" t="s">
        <v>2875</v>
      </c>
      <c r="PNT1331" s="4" t="s">
        <v>2875</v>
      </c>
      <c r="PNU1331" s="4" t="s">
        <v>2875</v>
      </c>
      <c r="PNV1331" s="4" t="s">
        <v>2875</v>
      </c>
      <c r="PNW1331" s="4" t="s">
        <v>2875</v>
      </c>
      <c r="PNX1331" s="4" t="s">
        <v>2875</v>
      </c>
      <c r="PNY1331" s="4" t="s">
        <v>2875</v>
      </c>
      <c r="PNZ1331" s="4" t="s">
        <v>2875</v>
      </c>
      <c r="POA1331" s="4" t="s">
        <v>2875</v>
      </c>
      <c r="POB1331" s="4" t="s">
        <v>2875</v>
      </c>
      <c r="POC1331" s="4" t="s">
        <v>2875</v>
      </c>
      <c r="POD1331" s="4" t="s">
        <v>2875</v>
      </c>
      <c r="POE1331" s="4" t="s">
        <v>2875</v>
      </c>
      <c r="POF1331" s="4" t="s">
        <v>2875</v>
      </c>
      <c r="POG1331" s="4" t="s">
        <v>2875</v>
      </c>
      <c r="POH1331" s="4" t="s">
        <v>2875</v>
      </c>
      <c r="POI1331" s="4" t="s">
        <v>2875</v>
      </c>
      <c r="POJ1331" s="4" t="s">
        <v>2875</v>
      </c>
      <c r="POK1331" s="4" t="s">
        <v>2875</v>
      </c>
      <c r="POL1331" s="4" t="s">
        <v>2875</v>
      </c>
      <c r="POM1331" s="4" t="s">
        <v>2875</v>
      </c>
      <c r="PON1331" s="4" t="s">
        <v>2875</v>
      </c>
      <c r="POO1331" s="4" t="s">
        <v>2875</v>
      </c>
      <c r="POP1331" s="4" t="s">
        <v>2875</v>
      </c>
      <c r="POQ1331" s="4" t="s">
        <v>2875</v>
      </c>
      <c r="POR1331" s="4" t="s">
        <v>2875</v>
      </c>
      <c r="POS1331" s="4" t="s">
        <v>2875</v>
      </c>
      <c r="POT1331" s="4" t="s">
        <v>2875</v>
      </c>
      <c r="POU1331" s="4" t="s">
        <v>2875</v>
      </c>
      <c r="POV1331" s="4" t="s">
        <v>2875</v>
      </c>
      <c r="POW1331" s="4" t="s">
        <v>2875</v>
      </c>
      <c r="POX1331" s="4" t="s">
        <v>2875</v>
      </c>
      <c r="POY1331" s="4" t="s">
        <v>2875</v>
      </c>
      <c r="POZ1331" s="4" t="s">
        <v>2875</v>
      </c>
      <c r="PPA1331" s="4" t="s">
        <v>2875</v>
      </c>
      <c r="PPB1331" s="4" t="s">
        <v>2875</v>
      </c>
      <c r="PPC1331" s="4" t="s">
        <v>2875</v>
      </c>
      <c r="PPD1331" s="4" t="s">
        <v>2875</v>
      </c>
      <c r="PPE1331" s="4" t="s">
        <v>2875</v>
      </c>
      <c r="PPF1331" s="4" t="s">
        <v>2875</v>
      </c>
      <c r="PPG1331" s="4" t="s">
        <v>2875</v>
      </c>
      <c r="PPH1331" s="4" t="s">
        <v>2875</v>
      </c>
      <c r="PPI1331" s="4" t="s">
        <v>2875</v>
      </c>
      <c r="PPJ1331" s="4" t="s">
        <v>2875</v>
      </c>
      <c r="PPK1331" s="4" t="s">
        <v>2875</v>
      </c>
      <c r="PPL1331" s="4" t="s">
        <v>2875</v>
      </c>
      <c r="PPM1331" s="4" t="s">
        <v>2875</v>
      </c>
      <c r="PPN1331" s="4" t="s">
        <v>2875</v>
      </c>
      <c r="PPO1331" s="4" t="s">
        <v>2875</v>
      </c>
      <c r="PPP1331" s="4" t="s">
        <v>2875</v>
      </c>
      <c r="PPQ1331" s="4" t="s">
        <v>2875</v>
      </c>
      <c r="PPR1331" s="4" t="s">
        <v>2875</v>
      </c>
      <c r="PPS1331" s="4" t="s">
        <v>2875</v>
      </c>
      <c r="PPT1331" s="4" t="s">
        <v>2875</v>
      </c>
      <c r="PPU1331" s="4" t="s">
        <v>2875</v>
      </c>
      <c r="PPV1331" s="4" t="s">
        <v>2875</v>
      </c>
      <c r="PPW1331" s="4" t="s">
        <v>2875</v>
      </c>
      <c r="PPX1331" s="4" t="s">
        <v>2875</v>
      </c>
      <c r="PPY1331" s="4" t="s">
        <v>2875</v>
      </c>
      <c r="PPZ1331" s="4" t="s">
        <v>2875</v>
      </c>
      <c r="PQA1331" s="4" t="s">
        <v>2875</v>
      </c>
      <c r="PQB1331" s="4" t="s">
        <v>2875</v>
      </c>
      <c r="PQC1331" s="4" t="s">
        <v>2875</v>
      </c>
      <c r="PQD1331" s="4" t="s">
        <v>2875</v>
      </c>
      <c r="PQE1331" s="4" t="s">
        <v>2875</v>
      </c>
      <c r="PQF1331" s="4" t="s">
        <v>2875</v>
      </c>
      <c r="PQG1331" s="4" t="s">
        <v>2875</v>
      </c>
      <c r="PQH1331" s="4" t="s">
        <v>2875</v>
      </c>
      <c r="PQI1331" s="4" t="s">
        <v>2875</v>
      </c>
      <c r="PQJ1331" s="4" t="s">
        <v>2875</v>
      </c>
      <c r="PQK1331" s="4" t="s">
        <v>2875</v>
      </c>
      <c r="PQL1331" s="4" t="s">
        <v>2875</v>
      </c>
      <c r="PQM1331" s="4" t="s">
        <v>2875</v>
      </c>
      <c r="PQN1331" s="4" t="s">
        <v>2875</v>
      </c>
      <c r="PQO1331" s="4" t="s">
        <v>2875</v>
      </c>
      <c r="PQP1331" s="4" t="s">
        <v>2875</v>
      </c>
      <c r="PQQ1331" s="4" t="s">
        <v>2875</v>
      </c>
      <c r="PQR1331" s="4" t="s">
        <v>2875</v>
      </c>
      <c r="PQS1331" s="4" t="s">
        <v>2875</v>
      </c>
      <c r="PQT1331" s="4" t="s">
        <v>2875</v>
      </c>
      <c r="PQU1331" s="4" t="s">
        <v>2875</v>
      </c>
      <c r="PQV1331" s="4" t="s">
        <v>2875</v>
      </c>
      <c r="PQW1331" s="4" t="s">
        <v>2875</v>
      </c>
      <c r="PQX1331" s="4" t="s">
        <v>2875</v>
      </c>
      <c r="PQY1331" s="4" t="s">
        <v>2875</v>
      </c>
      <c r="PQZ1331" s="4" t="s">
        <v>2875</v>
      </c>
      <c r="PRA1331" s="4" t="s">
        <v>2875</v>
      </c>
      <c r="PRB1331" s="4" t="s">
        <v>2875</v>
      </c>
      <c r="PRC1331" s="4" t="s">
        <v>2875</v>
      </c>
      <c r="PRD1331" s="4" t="s">
        <v>2875</v>
      </c>
      <c r="PRE1331" s="4" t="s">
        <v>2875</v>
      </c>
      <c r="PRF1331" s="4" t="s">
        <v>2875</v>
      </c>
      <c r="PRG1331" s="4" t="s">
        <v>2875</v>
      </c>
      <c r="PRH1331" s="4" t="s">
        <v>2875</v>
      </c>
      <c r="PRI1331" s="4" t="s">
        <v>2875</v>
      </c>
      <c r="PRJ1331" s="4" t="s">
        <v>2875</v>
      </c>
      <c r="PRK1331" s="4" t="s">
        <v>2875</v>
      </c>
      <c r="PRL1331" s="4" t="s">
        <v>2875</v>
      </c>
      <c r="PRM1331" s="4" t="s">
        <v>2875</v>
      </c>
      <c r="PRN1331" s="4" t="s">
        <v>2875</v>
      </c>
      <c r="PRO1331" s="4" t="s">
        <v>2875</v>
      </c>
      <c r="PRP1331" s="4" t="s">
        <v>2875</v>
      </c>
      <c r="PRQ1331" s="4" t="s">
        <v>2875</v>
      </c>
      <c r="PRR1331" s="4" t="s">
        <v>2875</v>
      </c>
      <c r="PRS1331" s="4" t="s">
        <v>2875</v>
      </c>
      <c r="PRT1331" s="4" t="s">
        <v>2875</v>
      </c>
      <c r="PRU1331" s="4" t="s">
        <v>2875</v>
      </c>
      <c r="PRV1331" s="4" t="s">
        <v>2875</v>
      </c>
      <c r="PRW1331" s="4" t="s">
        <v>2875</v>
      </c>
      <c r="PRX1331" s="4" t="s">
        <v>2875</v>
      </c>
      <c r="PRY1331" s="4" t="s">
        <v>2875</v>
      </c>
      <c r="PRZ1331" s="4" t="s">
        <v>2875</v>
      </c>
      <c r="PSA1331" s="4" t="s">
        <v>2875</v>
      </c>
      <c r="PSB1331" s="4" t="s">
        <v>2875</v>
      </c>
      <c r="PSC1331" s="4" t="s">
        <v>2875</v>
      </c>
      <c r="PSD1331" s="4" t="s">
        <v>2875</v>
      </c>
      <c r="PSE1331" s="4" t="s">
        <v>2875</v>
      </c>
      <c r="PSF1331" s="4" t="s">
        <v>2875</v>
      </c>
      <c r="PSG1331" s="4" t="s">
        <v>2875</v>
      </c>
      <c r="PSH1331" s="4" t="s">
        <v>2875</v>
      </c>
      <c r="PSI1331" s="4" t="s">
        <v>2875</v>
      </c>
      <c r="PSJ1331" s="4" t="s">
        <v>2875</v>
      </c>
      <c r="PSK1331" s="4" t="s">
        <v>2875</v>
      </c>
      <c r="PSL1331" s="4" t="s">
        <v>2875</v>
      </c>
      <c r="PSM1331" s="4" t="s">
        <v>2875</v>
      </c>
      <c r="PSN1331" s="4" t="s">
        <v>2875</v>
      </c>
      <c r="PSO1331" s="4" t="s">
        <v>2875</v>
      </c>
      <c r="PSP1331" s="4" t="s">
        <v>2875</v>
      </c>
      <c r="PSQ1331" s="4" t="s">
        <v>2875</v>
      </c>
      <c r="PSR1331" s="4" t="s">
        <v>2875</v>
      </c>
      <c r="PSS1331" s="4" t="s">
        <v>2875</v>
      </c>
      <c r="PST1331" s="4" t="s">
        <v>2875</v>
      </c>
      <c r="PSU1331" s="4" t="s">
        <v>2875</v>
      </c>
      <c r="PSV1331" s="4" t="s">
        <v>2875</v>
      </c>
      <c r="PSW1331" s="4" t="s">
        <v>2875</v>
      </c>
      <c r="PSX1331" s="4" t="s">
        <v>2875</v>
      </c>
      <c r="PSY1331" s="4" t="s">
        <v>2875</v>
      </c>
      <c r="PSZ1331" s="4" t="s">
        <v>2875</v>
      </c>
      <c r="PTA1331" s="4" t="s">
        <v>2875</v>
      </c>
      <c r="PTB1331" s="4" t="s">
        <v>2875</v>
      </c>
      <c r="PTC1331" s="4" t="s">
        <v>2875</v>
      </c>
      <c r="PTD1331" s="4" t="s">
        <v>2875</v>
      </c>
      <c r="PTE1331" s="4" t="s">
        <v>2875</v>
      </c>
      <c r="PTF1331" s="4" t="s">
        <v>2875</v>
      </c>
      <c r="PTG1331" s="4" t="s">
        <v>2875</v>
      </c>
      <c r="PTH1331" s="4" t="s">
        <v>2875</v>
      </c>
      <c r="PTI1331" s="4" t="s">
        <v>2875</v>
      </c>
      <c r="PTJ1331" s="4" t="s">
        <v>2875</v>
      </c>
      <c r="PTK1331" s="4" t="s">
        <v>2875</v>
      </c>
      <c r="PTL1331" s="4" t="s">
        <v>2875</v>
      </c>
      <c r="PTM1331" s="4" t="s">
        <v>2875</v>
      </c>
      <c r="PTN1331" s="4" t="s">
        <v>2875</v>
      </c>
      <c r="PTO1331" s="4" t="s">
        <v>2875</v>
      </c>
      <c r="PTP1331" s="4" t="s">
        <v>2875</v>
      </c>
      <c r="PTQ1331" s="4" t="s">
        <v>2875</v>
      </c>
      <c r="PTR1331" s="4" t="s">
        <v>2875</v>
      </c>
      <c r="PTS1331" s="4" t="s">
        <v>2875</v>
      </c>
      <c r="PTT1331" s="4" t="s">
        <v>2875</v>
      </c>
      <c r="PTU1331" s="4" t="s">
        <v>2875</v>
      </c>
      <c r="PTV1331" s="4" t="s">
        <v>2875</v>
      </c>
      <c r="PTW1331" s="4" t="s">
        <v>2875</v>
      </c>
      <c r="PTX1331" s="4" t="s">
        <v>2875</v>
      </c>
      <c r="PTY1331" s="4" t="s">
        <v>2875</v>
      </c>
      <c r="PTZ1331" s="4" t="s">
        <v>2875</v>
      </c>
      <c r="PUA1331" s="4" t="s">
        <v>2875</v>
      </c>
      <c r="PUB1331" s="4" t="s">
        <v>2875</v>
      </c>
      <c r="PUC1331" s="4" t="s">
        <v>2875</v>
      </c>
      <c r="PUD1331" s="4" t="s">
        <v>2875</v>
      </c>
      <c r="PUE1331" s="4" t="s">
        <v>2875</v>
      </c>
      <c r="PUF1331" s="4" t="s">
        <v>2875</v>
      </c>
      <c r="PUG1331" s="4" t="s">
        <v>2875</v>
      </c>
      <c r="PUH1331" s="4" t="s">
        <v>2875</v>
      </c>
      <c r="PUI1331" s="4" t="s">
        <v>2875</v>
      </c>
      <c r="PUJ1331" s="4" t="s">
        <v>2875</v>
      </c>
      <c r="PUK1331" s="4" t="s">
        <v>2875</v>
      </c>
      <c r="PUL1331" s="4" t="s">
        <v>2875</v>
      </c>
      <c r="PUM1331" s="4" t="s">
        <v>2875</v>
      </c>
      <c r="PUN1331" s="4" t="s">
        <v>2875</v>
      </c>
      <c r="PUO1331" s="4" t="s">
        <v>2875</v>
      </c>
      <c r="PUP1331" s="4" t="s">
        <v>2875</v>
      </c>
      <c r="PUQ1331" s="4" t="s">
        <v>2875</v>
      </c>
      <c r="PUR1331" s="4" t="s">
        <v>2875</v>
      </c>
      <c r="PUS1331" s="4" t="s">
        <v>2875</v>
      </c>
      <c r="PUT1331" s="4" t="s">
        <v>2875</v>
      </c>
      <c r="PUU1331" s="4" t="s">
        <v>2875</v>
      </c>
      <c r="PUV1331" s="4" t="s">
        <v>2875</v>
      </c>
      <c r="PUW1331" s="4" t="s">
        <v>2875</v>
      </c>
      <c r="PUX1331" s="4" t="s">
        <v>2875</v>
      </c>
      <c r="PUY1331" s="4" t="s">
        <v>2875</v>
      </c>
      <c r="PUZ1331" s="4" t="s">
        <v>2875</v>
      </c>
      <c r="PVA1331" s="4" t="s">
        <v>2875</v>
      </c>
      <c r="PVB1331" s="4" t="s">
        <v>2875</v>
      </c>
      <c r="PVC1331" s="4" t="s">
        <v>2875</v>
      </c>
      <c r="PVD1331" s="4" t="s">
        <v>2875</v>
      </c>
      <c r="PVE1331" s="4" t="s">
        <v>2875</v>
      </c>
      <c r="PVF1331" s="4" t="s">
        <v>2875</v>
      </c>
      <c r="PVG1331" s="4" t="s">
        <v>2875</v>
      </c>
      <c r="PVH1331" s="4" t="s">
        <v>2875</v>
      </c>
      <c r="PVI1331" s="4" t="s">
        <v>2875</v>
      </c>
      <c r="PVJ1331" s="4" t="s">
        <v>2875</v>
      </c>
      <c r="PVK1331" s="4" t="s">
        <v>2875</v>
      </c>
      <c r="PVL1331" s="4" t="s">
        <v>2875</v>
      </c>
      <c r="PVM1331" s="4" t="s">
        <v>2875</v>
      </c>
      <c r="PVN1331" s="4" t="s">
        <v>2875</v>
      </c>
      <c r="PVO1331" s="4" t="s">
        <v>2875</v>
      </c>
      <c r="PVP1331" s="4" t="s">
        <v>2875</v>
      </c>
      <c r="PVQ1331" s="4" t="s">
        <v>2875</v>
      </c>
      <c r="PVR1331" s="4" t="s">
        <v>2875</v>
      </c>
      <c r="PVS1331" s="4" t="s">
        <v>2875</v>
      </c>
      <c r="PVT1331" s="4" t="s">
        <v>2875</v>
      </c>
      <c r="PVU1331" s="4" t="s">
        <v>2875</v>
      </c>
      <c r="PVV1331" s="4" t="s">
        <v>2875</v>
      </c>
      <c r="PVW1331" s="4" t="s">
        <v>2875</v>
      </c>
      <c r="PVX1331" s="4" t="s">
        <v>2875</v>
      </c>
      <c r="PVY1331" s="4" t="s">
        <v>2875</v>
      </c>
      <c r="PVZ1331" s="4" t="s">
        <v>2875</v>
      </c>
      <c r="PWA1331" s="4" t="s">
        <v>2875</v>
      </c>
      <c r="PWB1331" s="4" t="s">
        <v>2875</v>
      </c>
      <c r="PWC1331" s="4" t="s">
        <v>2875</v>
      </c>
      <c r="PWD1331" s="4" t="s">
        <v>2875</v>
      </c>
      <c r="PWE1331" s="4" t="s">
        <v>2875</v>
      </c>
      <c r="PWF1331" s="4" t="s">
        <v>2875</v>
      </c>
      <c r="PWG1331" s="4" t="s">
        <v>2875</v>
      </c>
      <c r="PWH1331" s="4" t="s">
        <v>2875</v>
      </c>
      <c r="PWI1331" s="4" t="s">
        <v>2875</v>
      </c>
      <c r="PWJ1331" s="4" t="s">
        <v>2875</v>
      </c>
      <c r="PWK1331" s="4" t="s">
        <v>2875</v>
      </c>
      <c r="PWL1331" s="4" t="s">
        <v>2875</v>
      </c>
      <c r="PWM1331" s="4" t="s">
        <v>2875</v>
      </c>
      <c r="PWN1331" s="4" t="s">
        <v>2875</v>
      </c>
      <c r="PWO1331" s="4" t="s">
        <v>2875</v>
      </c>
      <c r="PWP1331" s="4" t="s">
        <v>2875</v>
      </c>
      <c r="PWQ1331" s="4" t="s">
        <v>2875</v>
      </c>
      <c r="PWR1331" s="4" t="s">
        <v>2875</v>
      </c>
      <c r="PWS1331" s="4" t="s">
        <v>2875</v>
      </c>
      <c r="PWT1331" s="4" t="s">
        <v>2875</v>
      </c>
      <c r="PWU1331" s="4" t="s">
        <v>2875</v>
      </c>
      <c r="PWV1331" s="4" t="s">
        <v>2875</v>
      </c>
      <c r="PWW1331" s="4" t="s">
        <v>2875</v>
      </c>
      <c r="PWX1331" s="4" t="s">
        <v>2875</v>
      </c>
      <c r="PWY1331" s="4" t="s">
        <v>2875</v>
      </c>
      <c r="PWZ1331" s="4" t="s">
        <v>2875</v>
      </c>
      <c r="PXA1331" s="4" t="s">
        <v>2875</v>
      </c>
      <c r="PXB1331" s="4" t="s">
        <v>2875</v>
      </c>
      <c r="PXC1331" s="4" t="s">
        <v>2875</v>
      </c>
      <c r="PXD1331" s="4" t="s">
        <v>2875</v>
      </c>
      <c r="PXE1331" s="4" t="s">
        <v>2875</v>
      </c>
      <c r="PXF1331" s="4" t="s">
        <v>2875</v>
      </c>
      <c r="PXG1331" s="4" t="s">
        <v>2875</v>
      </c>
      <c r="PXH1331" s="4" t="s">
        <v>2875</v>
      </c>
      <c r="PXI1331" s="4" t="s">
        <v>2875</v>
      </c>
      <c r="PXJ1331" s="4" t="s">
        <v>2875</v>
      </c>
      <c r="PXK1331" s="4" t="s">
        <v>2875</v>
      </c>
      <c r="PXL1331" s="4" t="s">
        <v>2875</v>
      </c>
      <c r="PXM1331" s="4" t="s">
        <v>2875</v>
      </c>
      <c r="PXN1331" s="4" t="s">
        <v>2875</v>
      </c>
      <c r="PXO1331" s="4" t="s">
        <v>2875</v>
      </c>
      <c r="PXP1331" s="4" t="s">
        <v>2875</v>
      </c>
      <c r="PXQ1331" s="4" t="s">
        <v>2875</v>
      </c>
      <c r="PXR1331" s="4" t="s">
        <v>2875</v>
      </c>
      <c r="PXS1331" s="4" t="s">
        <v>2875</v>
      </c>
      <c r="PXT1331" s="4" t="s">
        <v>2875</v>
      </c>
      <c r="PXU1331" s="4" t="s">
        <v>2875</v>
      </c>
      <c r="PXV1331" s="4" t="s">
        <v>2875</v>
      </c>
      <c r="PXW1331" s="4" t="s">
        <v>2875</v>
      </c>
      <c r="PXX1331" s="4" t="s">
        <v>2875</v>
      </c>
      <c r="PXY1331" s="4" t="s">
        <v>2875</v>
      </c>
      <c r="PXZ1331" s="4" t="s">
        <v>2875</v>
      </c>
      <c r="PYA1331" s="4" t="s">
        <v>2875</v>
      </c>
      <c r="PYB1331" s="4" t="s">
        <v>2875</v>
      </c>
      <c r="PYC1331" s="4" t="s">
        <v>2875</v>
      </c>
      <c r="PYD1331" s="4" t="s">
        <v>2875</v>
      </c>
      <c r="PYE1331" s="4" t="s">
        <v>2875</v>
      </c>
      <c r="PYF1331" s="4" t="s">
        <v>2875</v>
      </c>
      <c r="PYG1331" s="4" t="s">
        <v>2875</v>
      </c>
      <c r="PYH1331" s="4" t="s">
        <v>2875</v>
      </c>
      <c r="PYI1331" s="4" t="s">
        <v>2875</v>
      </c>
      <c r="PYJ1331" s="4" t="s">
        <v>2875</v>
      </c>
      <c r="PYK1331" s="4" t="s">
        <v>2875</v>
      </c>
      <c r="PYL1331" s="4" t="s">
        <v>2875</v>
      </c>
      <c r="PYM1331" s="4" t="s">
        <v>2875</v>
      </c>
      <c r="PYN1331" s="4" t="s">
        <v>2875</v>
      </c>
      <c r="PYO1331" s="4" t="s">
        <v>2875</v>
      </c>
      <c r="PYP1331" s="4" t="s">
        <v>2875</v>
      </c>
      <c r="PYQ1331" s="4" t="s">
        <v>2875</v>
      </c>
      <c r="PYR1331" s="4" t="s">
        <v>2875</v>
      </c>
      <c r="PYS1331" s="4" t="s">
        <v>2875</v>
      </c>
      <c r="PYT1331" s="4" t="s">
        <v>2875</v>
      </c>
      <c r="PYU1331" s="4" t="s">
        <v>2875</v>
      </c>
      <c r="PYV1331" s="4" t="s">
        <v>2875</v>
      </c>
      <c r="PYW1331" s="4" t="s">
        <v>2875</v>
      </c>
      <c r="PYX1331" s="4" t="s">
        <v>2875</v>
      </c>
      <c r="PYY1331" s="4" t="s">
        <v>2875</v>
      </c>
      <c r="PYZ1331" s="4" t="s">
        <v>2875</v>
      </c>
      <c r="PZA1331" s="4" t="s">
        <v>2875</v>
      </c>
      <c r="PZB1331" s="4" t="s">
        <v>2875</v>
      </c>
      <c r="PZC1331" s="4" t="s">
        <v>2875</v>
      </c>
      <c r="PZD1331" s="4" t="s">
        <v>2875</v>
      </c>
      <c r="PZE1331" s="4" t="s">
        <v>2875</v>
      </c>
      <c r="PZF1331" s="4" t="s">
        <v>2875</v>
      </c>
      <c r="PZG1331" s="4" t="s">
        <v>2875</v>
      </c>
      <c r="PZH1331" s="4" t="s">
        <v>2875</v>
      </c>
      <c r="PZI1331" s="4" t="s">
        <v>2875</v>
      </c>
      <c r="PZJ1331" s="4" t="s">
        <v>2875</v>
      </c>
      <c r="PZK1331" s="4" t="s">
        <v>2875</v>
      </c>
      <c r="PZL1331" s="4" t="s">
        <v>2875</v>
      </c>
      <c r="PZM1331" s="4" t="s">
        <v>2875</v>
      </c>
      <c r="PZN1331" s="4" t="s">
        <v>2875</v>
      </c>
      <c r="PZO1331" s="4" t="s">
        <v>2875</v>
      </c>
      <c r="PZP1331" s="4" t="s">
        <v>2875</v>
      </c>
      <c r="PZQ1331" s="4" t="s">
        <v>2875</v>
      </c>
      <c r="PZR1331" s="4" t="s">
        <v>2875</v>
      </c>
      <c r="PZS1331" s="4" t="s">
        <v>2875</v>
      </c>
      <c r="PZT1331" s="4" t="s">
        <v>2875</v>
      </c>
      <c r="PZU1331" s="4" t="s">
        <v>2875</v>
      </c>
      <c r="PZV1331" s="4" t="s">
        <v>2875</v>
      </c>
      <c r="PZW1331" s="4" t="s">
        <v>2875</v>
      </c>
      <c r="PZX1331" s="4" t="s">
        <v>2875</v>
      </c>
      <c r="PZY1331" s="4" t="s">
        <v>2875</v>
      </c>
      <c r="PZZ1331" s="4" t="s">
        <v>2875</v>
      </c>
      <c r="QAA1331" s="4" t="s">
        <v>2875</v>
      </c>
      <c r="QAB1331" s="4" t="s">
        <v>2875</v>
      </c>
      <c r="QAC1331" s="4" t="s">
        <v>2875</v>
      </c>
      <c r="QAD1331" s="4" t="s">
        <v>2875</v>
      </c>
      <c r="QAE1331" s="4" t="s">
        <v>2875</v>
      </c>
      <c r="QAF1331" s="4" t="s">
        <v>2875</v>
      </c>
      <c r="QAG1331" s="4" t="s">
        <v>2875</v>
      </c>
      <c r="QAH1331" s="4" t="s">
        <v>2875</v>
      </c>
      <c r="QAI1331" s="4" t="s">
        <v>2875</v>
      </c>
      <c r="QAJ1331" s="4" t="s">
        <v>2875</v>
      </c>
      <c r="QAK1331" s="4" t="s">
        <v>2875</v>
      </c>
      <c r="QAL1331" s="4" t="s">
        <v>2875</v>
      </c>
      <c r="QAM1331" s="4" t="s">
        <v>2875</v>
      </c>
      <c r="QAN1331" s="4" t="s">
        <v>2875</v>
      </c>
      <c r="QAO1331" s="4" t="s">
        <v>2875</v>
      </c>
      <c r="QAP1331" s="4" t="s">
        <v>2875</v>
      </c>
      <c r="QAQ1331" s="4" t="s">
        <v>2875</v>
      </c>
      <c r="QAR1331" s="4" t="s">
        <v>2875</v>
      </c>
      <c r="QAS1331" s="4" t="s">
        <v>2875</v>
      </c>
      <c r="QAT1331" s="4" t="s">
        <v>2875</v>
      </c>
      <c r="QAU1331" s="4" t="s">
        <v>2875</v>
      </c>
      <c r="QAV1331" s="4" t="s">
        <v>2875</v>
      </c>
      <c r="QAW1331" s="4" t="s">
        <v>2875</v>
      </c>
      <c r="QAX1331" s="4" t="s">
        <v>2875</v>
      </c>
      <c r="QAY1331" s="4" t="s">
        <v>2875</v>
      </c>
      <c r="QAZ1331" s="4" t="s">
        <v>2875</v>
      </c>
      <c r="QBA1331" s="4" t="s">
        <v>2875</v>
      </c>
      <c r="QBB1331" s="4" t="s">
        <v>2875</v>
      </c>
      <c r="QBC1331" s="4" t="s">
        <v>2875</v>
      </c>
      <c r="QBD1331" s="4" t="s">
        <v>2875</v>
      </c>
      <c r="QBE1331" s="4" t="s">
        <v>2875</v>
      </c>
      <c r="QBF1331" s="4" t="s">
        <v>2875</v>
      </c>
      <c r="QBG1331" s="4" t="s">
        <v>2875</v>
      </c>
      <c r="QBH1331" s="4" t="s">
        <v>2875</v>
      </c>
      <c r="QBI1331" s="4" t="s">
        <v>2875</v>
      </c>
      <c r="QBJ1331" s="4" t="s">
        <v>2875</v>
      </c>
      <c r="QBK1331" s="4" t="s">
        <v>2875</v>
      </c>
      <c r="QBL1331" s="4" t="s">
        <v>2875</v>
      </c>
      <c r="QBM1331" s="4" t="s">
        <v>2875</v>
      </c>
      <c r="QBN1331" s="4" t="s">
        <v>2875</v>
      </c>
      <c r="QBO1331" s="4" t="s">
        <v>2875</v>
      </c>
      <c r="QBP1331" s="4" t="s">
        <v>2875</v>
      </c>
      <c r="QBQ1331" s="4" t="s">
        <v>2875</v>
      </c>
      <c r="QBR1331" s="4" t="s">
        <v>2875</v>
      </c>
      <c r="QBS1331" s="4" t="s">
        <v>2875</v>
      </c>
      <c r="QBT1331" s="4" t="s">
        <v>2875</v>
      </c>
      <c r="QBU1331" s="4" t="s">
        <v>2875</v>
      </c>
      <c r="QBV1331" s="4" t="s">
        <v>2875</v>
      </c>
      <c r="QBW1331" s="4" t="s">
        <v>2875</v>
      </c>
      <c r="QBX1331" s="4" t="s">
        <v>2875</v>
      </c>
      <c r="QBY1331" s="4" t="s">
        <v>2875</v>
      </c>
      <c r="QBZ1331" s="4" t="s">
        <v>2875</v>
      </c>
      <c r="QCA1331" s="4" t="s">
        <v>2875</v>
      </c>
      <c r="QCB1331" s="4" t="s">
        <v>2875</v>
      </c>
      <c r="QCC1331" s="4" t="s">
        <v>2875</v>
      </c>
      <c r="QCD1331" s="4" t="s">
        <v>2875</v>
      </c>
      <c r="QCE1331" s="4" t="s">
        <v>2875</v>
      </c>
      <c r="QCF1331" s="4" t="s">
        <v>2875</v>
      </c>
      <c r="QCG1331" s="4" t="s">
        <v>2875</v>
      </c>
      <c r="QCH1331" s="4" t="s">
        <v>2875</v>
      </c>
      <c r="QCI1331" s="4" t="s">
        <v>2875</v>
      </c>
      <c r="QCJ1331" s="4" t="s">
        <v>2875</v>
      </c>
      <c r="QCK1331" s="4" t="s">
        <v>2875</v>
      </c>
      <c r="QCL1331" s="4" t="s">
        <v>2875</v>
      </c>
      <c r="QCM1331" s="4" t="s">
        <v>2875</v>
      </c>
      <c r="QCN1331" s="4" t="s">
        <v>2875</v>
      </c>
      <c r="QCO1331" s="4" t="s">
        <v>2875</v>
      </c>
      <c r="QCP1331" s="4" t="s">
        <v>2875</v>
      </c>
      <c r="QCQ1331" s="4" t="s">
        <v>2875</v>
      </c>
      <c r="QCR1331" s="4" t="s">
        <v>2875</v>
      </c>
      <c r="QCS1331" s="4" t="s">
        <v>2875</v>
      </c>
      <c r="QCT1331" s="4" t="s">
        <v>2875</v>
      </c>
      <c r="QCU1331" s="4" t="s">
        <v>2875</v>
      </c>
      <c r="QCV1331" s="4" t="s">
        <v>2875</v>
      </c>
      <c r="QCW1331" s="4" t="s">
        <v>2875</v>
      </c>
      <c r="QCX1331" s="4" t="s">
        <v>2875</v>
      </c>
      <c r="QCY1331" s="4" t="s">
        <v>2875</v>
      </c>
      <c r="QCZ1331" s="4" t="s">
        <v>2875</v>
      </c>
      <c r="QDA1331" s="4" t="s">
        <v>2875</v>
      </c>
      <c r="QDB1331" s="4" t="s">
        <v>2875</v>
      </c>
      <c r="QDC1331" s="4" t="s">
        <v>2875</v>
      </c>
      <c r="QDD1331" s="4" t="s">
        <v>2875</v>
      </c>
      <c r="QDE1331" s="4" t="s">
        <v>2875</v>
      </c>
      <c r="QDF1331" s="4" t="s">
        <v>2875</v>
      </c>
      <c r="QDG1331" s="4" t="s">
        <v>2875</v>
      </c>
      <c r="QDH1331" s="4" t="s">
        <v>2875</v>
      </c>
      <c r="QDI1331" s="4" t="s">
        <v>2875</v>
      </c>
      <c r="QDJ1331" s="4" t="s">
        <v>2875</v>
      </c>
      <c r="QDK1331" s="4" t="s">
        <v>2875</v>
      </c>
      <c r="QDL1331" s="4" t="s">
        <v>2875</v>
      </c>
      <c r="QDM1331" s="4" t="s">
        <v>2875</v>
      </c>
      <c r="QDN1331" s="4" t="s">
        <v>2875</v>
      </c>
      <c r="QDO1331" s="4" t="s">
        <v>2875</v>
      </c>
      <c r="QDP1331" s="4" t="s">
        <v>2875</v>
      </c>
      <c r="QDQ1331" s="4" t="s">
        <v>2875</v>
      </c>
      <c r="QDR1331" s="4" t="s">
        <v>2875</v>
      </c>
      <c r="QDS1331" s="4" t="s">
        <v>2875</v>
      </c>
      <c r="QDT1331" s="4" t="s">
        <v>2875</v>
      </c>
      <c r="QDU1331" s="4" t="s">
        <v>2875</v>
      </c>
      <c r="QDV1331" s="4" t="s">
        <v>2875</v>
      </c>
      <c r="QDW1331" s="4" t="s">
        <v>2875</v>
      </c>
      <c r="QDX1331" s="4" t="s">
        <v>2875</v>
      </c>
      <c r="QDY1331" s="4" t="s">
        <v>2875</v>
      </c>
      <c r="QDZ1331" s="4" t="s">
        <v>2875</v>
      </c>
      <c r="QEA1331" s="4" t="s">
        <v>2875</v>
      </c>
      <c r="QEB1331" s="4" t="s">
        <v>2875</v>
      </c>
      <c r="QEC1331" s="4" t="s">
        <v>2875</v>
      </c>
      <c r="QED1331" s="4" t="s">
        <v>2875</v>
      </c>
      <c r="QEE1331" s="4" t="s">
        <v>2875</v>
      </c>
      <c r="QEF1331" s="4" t="s">
        <v>2875</v>
      </c>
      <c r="QEG1331" s="4" t="s">
        <v>2875</v>
      </c>
      <c r="QEH1331" s="4" t="s">
        <v>2875</v>
      </c>
      <c r="QEI1331" s="4" t="s">
        <v>2875</v>
      </c>
      <c r="QEJ1331" s="4" t="s">
        <v>2875</v>
      </c>
      <c r="QEK1331" s="4" t="s">
        <v>2875</v>
      </c>
      <c r="QEL1331" s="4" t="s">
        <v>2875</v>
      </c>
      <c r="QEM1331" s="4" t="s">
        <v>2875</v>
      </c>
      <c r="QEN1331" s="4" t="s">
        <v>2875</v>
      </c>
      <c r="QEO1331" s="4" t="s">
        <v>2875</v>
      </c>
      <c r="QEP1331" s="4" t="s">
        <v>2875</v>
      </c>
      <c r="QEQ1331" s="4" t="s">
        <v>2875</v>
      </c>
      <c r="QER1331" s="4" t="s">
        <v>2875</v>
      </c>
      <c r="QES1331" s="4" t="s">
        <v>2875</v>
      </c>
      <c r="QET1331" s="4" t="s">
        <v>2875</v>
      </c>
      <c r="QEU1331" s="4" t="s">
        <v>2875</v>
      </c>
      <c r="QEV1331" s="4" t="s">
        <v>2875</v>
      </c>
      <c r="QEW1331" s="4" t="s">
        <v>2875</v>
      </c>
      <c r="QEX1331" s="4" t="s">
        <v>2875</v>
      </c>
      <c r="QEY1331" s="4" t="s">
        <v>2875</v>
      </c>
      <c r="QEZ1331" s="4" t="s">
        <v>2875</v>
      </c>
      <c r="QFA1331" s="4" t="s">
        <v>2875</v>
      </c>
      <c r="QFB1331" s="4" t="s">
        <v>2875</v>
      </c>
      <c r="QFC1331" s="4" t="s">
        <v>2875</v>
      </c>
      <c r="QFD1331" s="4" t="s">
        <v>2875</v>
      </c>
      <c r="QFE1331" s="4" t="s">
        <v>2875</v>
      </c>
      <c r="QFF1331" s="4" t="s">
        <v>2875</v>
      </c>
      <c r="QFG1331" s="4" t="s">
        <v>2875</v>
      </c>
      <c r="QFH1331" s="4" t="s">
        <v>2875</v>
      </c>
      <c r="QFI1331" s="4" t="s">
        <v>2875</v>
      </c>
      <c r="QFJ1331" s="4" t="s">
        <v>2875</v>
      </c>
      <c r="QFK1331" s="4" t="s">
        <v>2875</v>
      </c>
      <c r="QFL1331" s="4" t="s">
        <v>2875</v>
      </c>
      <c r="QFM1331" s="4" t="s">
        <v>2875</v>
      </c>
      <c r="QFN1331" s="4" t="s">
        <v>2875</v>
      </c>
      <c r="QFO1331" s="4" t="s">
        <v>2875</v>
      </c>
      <c r="QFP1331" s="4" t="s">
        <v>2875</v>
      </c>
      <c r="QFQ1331" s="4" t="s">
        <v>2875</v>
      </c>
      <c r="QFR1331" s="4" t="s">
        <v>2875</v>
      </c>
      <c r="QFS1331" s="4" t="s">
        <v>2875</v>
      </c>
      <c r="QFT1331" s="4" t="s">
        <v>2875</v>
      </c>
      <c r="QFU1331" s="4" t="s">
        <v>2875</v>
      </c>
      <c r="QFV1331" s="4" t="s">
        <v>2875</v>
      </c>
      <c r="QFW1331" s="4" t="s">
        <v>2875</v>
      </c>
      <c r="QFX1331" s="4" t="s">
        <v>2875</v>
      </c>
      <c r="QFY1331" s="4" t="s">
        <v>2875</v>
      </c>
      <c r="QFZ1331" s="4" t="s">
        <v>2875</v>
      </c>
      <c r="QGA1331" s="4" t="s">
        <v>2875</v>
      </c>
      <c r="QGB1331" s="4" t="s">
        <v>2875</v>
      </c>
      <c r="QGC1331" s="4" t="s">
        <v>2875</v>
      </c>
      <c r="QGD1331" s="4" t="s">
        <v>2875</v>
      </c>
      <c r="QGE1331" s="4" t="s">
        <v>2875</v>
      </c>
      <c r="QGF1331" s="4" t="s">
        <v>2875</v>
      </c>
      <c r="QGG1331" s="4" t="s">
        <v>2875</v>
      </c>
      <c r="QGH1331" s="4" t="s">
        <v>2875</v>
      </c>
      <c r="QGI1331" s="4" t="s">
        <v>2875</v>
      </c>
      <c r="QGJ1331" s="4" t="s">
        <v>2875</v>
      </c>
      <c r="QGK1331" s="4" t="s">
        <v>2875</v>
      </c>
      <c r="QGL1331" s="4" t="s">
        <v>2875</v>
      </c>
      <c r="QGM1331" s="4" t="s">
        <v>2875</v>
      </c>
      <c r="QGN1331" s="4" t="s">
        <v>2875</v>
      </c>
      <c r="QGO1331" s="4" t="s">
        <v>2875</v>
      </c>
      <c r="QGP1331" s="4" t="s">
        <v>2875</v>
      </c>
      <c r="QGQ1331" s="4" t="s">
        <v>2875</v>
      </c>
      <c r="QGR1331" s="4" t="s">
        <v>2875</v>
      </c>
      <c r="QGS1331" s="4" t="s">
        <v>2875</v>
      </c>
      <c r="QGT1331" s="4" t="s">
        <v>2875</v>
      </c>
      <c r="QGU1331" s="4" t="s">
        <v>2875</v>
      </c>
      <c r="QGV1331" s="4" t="s">
        <v>2875</v>
      </c>
      <c r="QGW1331" s="4" t="s">
        <v>2875</v>
      </c>
      <c r="QGX1331" s="4" t="s">
        <v>2875</v>
      </c>
      <c r="QGY1331" s="4" t="s">
        <v>2875</v>
      </c>
      <c r="QGZ1331" s="4" t="s">
        <v>2875</v>
      </c>
      <c r="QHA1331" s="4" t="s">
        <v>2875</v>
      </c>
      <c r="QHB1331" s="4" t="s">
        <v>2875</v>
      </c>
      <c r="QHC1331" s="4" t="s">
        <v>2875</v>
      </c>
      <c r="QHD1331" s="4" t="s">
        <v>2875</v>
      </c>
      <c r="QHE1331" s="4" t="s">
        <v>2875</v>
      </c>
      <c r="QHF1331" s="4" t="s">
        <v>2875</v>
      </c>
      <c r="QHG1331" s="4" t="s">
        <v>2875</v>
      </c>
      <c r="QHH1331" s="4" t="s">
        <v>2875</v>
      </c>
      <c r="QHI1331" s="4" t="s">
        <v>2875</v>
      </c>
      <c r="QHJ1331" s="4" t="s">
        <v>2875</v>
      </c>
      <c r="QHK1331" s="4" t="s">
        <v>2875</v>
      </c>
      <c r="QHL1331" s="4" t="s">
        <v>2875</v>
      </c>
      <c r="QHM1331" s="4" t="s">
        <v>2875</v>
      </c>
      <c r="QHN1331" s="4" t="s">
        <v>2875</v>
      </c>
      <c r="QHO1331" s="4" t="s">
        <v>2875</v>
      </c>
      <c r="QHP1331" s="4" t="s">
        <v>2875</v>
      </c>
      <c r="QHQ1331" s="4" t="s">
        <v>2875</v>
      </c>
      <c r="QHR1331" s="4" t="s">
        <v>2875</v>
      </c>
      <c r="QHS1331" s="4" t="s">
        <v>2875</v>
      </c>
      <c r="QHT1331" s="4" t="s">
        <v>2875</v>
      </c>
      <c r="QHU1331" s="4" t="s">
        <v>2875</v>
      </c>
      <c r="QHV1331" s="4" t="s">
        <v>2875</v>
      </c>
      <c r="QHW1331" s="4" t="s">
        <v>2875</v>
      </c>
      <c r="QHX1331" s="4" t="s">
        <v>2875</v>
      </c>
      <c r="QHY1331" s="4" t="s">
        <v>2875</v>
      </c>
      <c r="QHZ1331" s="4" t="s">
        <v>2875</v>
      </c>
      <c r="QIA1331" s="4" t="s">
        <v>2875</v>
      </c>
      <c r="QIB1331" s="4" t="s">
        <v>2875</v>
      </c>
      <c r="QIC1331" s="4" t="s">
        <v>2875</v>
      </c>
      <c r="QID1331" s="4" t="s">
        <v>2875</v>
      </c>
      <c r="QIE1331" s="4" t="s">
        <v>2875</v>
      </c>
      <c r="QIF1331" s="4" t="s">
        <v>2875</v>
      </c>
      <c r="QIG1331" s="4" t="s">
        <v>2875</v>
      </c>
      <c r="QIH1331" s="4" t="s">
        <v>2875</v>
      </c>
      <c r="QII1331" s="4" t="s">
        <v>2875</v>
      </c>
      <c r="QIJ1331" s="4" t="s">
        <v>2875</v>
      </c>
      <c r="QIK1331" s="4" t="s">
        <v>2875</v>
      </c>
      <c r="QIL1331" s="4" t="s">
        <v>2875</v>
      </c>
      <c r="QIM1331" s="4" t="s">
        <v>2875</v>
      </c>
      <c r="QIN1331" s="4" t="s">
        <v>2875</v>
      </c>
      <c r="QIO1331" s="4" t="s">
        <v>2875</v>
      </c>
      <c r="QIP1331" s="4" t="s">
        <v>2875</v>
      </c>
      <c r="QIQ1331" s="4" t="s">
        <v>2875</v>
      </c>
      <c r="QIR1331" s="4" t="s">
        <v>2875</v>
      </c>
      <c r="QIS1331" s="4" t="s">
        <v>2875</v>
      </c>
      <c r="QIT1331" s="4" t="s">
        <v>2875</v>
      </c>
      <c r="QIU1331" s="4" t="s">
        <v>2875</v>
      </c>
      <c r="QIV1331" s="4" t="s">
        <v>2875</v>
      </c>
      <c r="QIW1331" s="4" t="s">
        <v>2875</v>
      </c>
      <c r="QIX1331" s="4" t="s">
        <v>2875</v>
      </c>
      <c r="QIY1331" s="4" t="s">
        <v>2875</v>
      </c>
      <c r="QIZ1331" s="4" t="s">
        <v>2875</v>
      </c>
      <c r="QJA1331" s="4" t="s">
        <v>2875</v>
      </c>
      <c r="QJB1331" s="4" t="s">
        <v>2875</v>
      </c>
      <c r="QJC1331" s="4" t="s">
        <v>2875</v>
      </c>
      <c r="QJD1331" s="4" t="s">
        <v>2875</v>
      </c>
      <c r="QJE1331" s="4" t="s">
        <v>2875</v>
      </c>
      <c r="QJF1331" s="4" t="s">
        <v>2875</v>
      </c>
      <c r="QJG1331" s="4" t="s">
        <v>2875</v>
      </c>
      <c r="QJH1331" s="4" t="s">
        <v>2875</v>
      </c>
      <c r="QJI1331" s="4" t="s">
        <v>2875</v>
      </c>
      <c r="QJJ1331" s="4" t="s">
        <v>2875</v>
      </c>
      <c r="QJK1331" s="4" t="s">
        <v>2875</v>
      </c>
      <c r="QJL1331" s="4" t="s">
        <v>2875</v>
      </c>
      <c r="QJM1331" s="4" t="s">
        <v>2875</v>
      </c>
      <c r="QJN1331" s="4" t="s">
        <v>2875</v>
      </c>
      <c r="QJO1331" s="4" t="s">
        <v>2875</v>
      </c>
      <c r="QJP1331" s="4" t="s">
        <v>2875</v>
      </c>
      <c r="QJQ1331" s="4" t="s">
        <v>2875</v>
      </c>
      <c r="QJR1331" s="4" t="s">
        <v>2875</v>
      </c>
      <c r="QJS1331" s="4" t="s">
        <v>2875</v>
      </c>
      <c r="QJT1331" s="4" t="s">
        <v>2875</v>
      </c>
      <c r="QJU1331" s="4" t="s">
        <v>2875</v>
      </c>
      <c r="QJV1331" s="4" t="s">
        <v>2875</v>
      </c>
      <c r="QJW1331" s="4" t="s">
        <v>2875</v>
      </c>
      <c r="QJX1331" s="4" t="s">
        <v>2875</v>
      </c>
      <c r="QJY1331" s="4" t="s">
        <v>2875</v>
      </c>
      <c r="QJZ1331" s="4" t="s">
        <v>2875</v>
      </c>
      <c r="QKA1331" s="4" t="s">
        <v>2875</v>
      </c>
      <c r="QKB1331" s="4" t="s">
        <v>2875</v>
      </c>
      <c r="QKC1331" s="4" t="s">
        <v>2875</v>
      </c>
      <c r="QKD1331" s="4" t="s">
        <v>2875</v>
      </c>
      <c r="QKE1331" s="4" t="s">
        <v>2875</v>
      </c>
      <c r="QKF1331" s="4" t="s">
        <v>2875</v>
      </c>
      <c r="QKG1331" s="4" t="s">
        <v>2875</v>
      </c>
      <c r="QKH1331" s="4" t="s">
        <v>2875</v>
      </c>
      <c r="QKI1331" s="4" t="s">
        <v>2875</v>
      </c>
      <c r="QKJ1331" s="4" t="s">
        <v>2875</v>
      </c>
      <c r="QKK1331" s="4" t="s">
        <v>2875</v>
      </c>
      <c r="QKL1331" s="4" t="s">
        <v>2875</v>
      </c>
      <c r="QKM1331" s="4" t="s">
        <v>2875</v>
      </c>
      <c r="QKN1331" s="4" t="s">
        <v>2875</v>
      </c>
      <c r="QKO1331" s="4" t="s">
        <v>2875</v>
      </c>
      <c r="QKP1331" s="4" t="s">
        <v>2875</v>
      </c>
      <c r="QKQ1331" s="4" t="s">
        <v>2875</v>
      </c>
      <c r="QKR1331" s="4" t="s">
        <v>2875</v>
      </c>
      <c r="QKS1331" s="4" t="s">
        <v>2875</v>
      </c>
      <c r="QKT1331" s="4" t="s">
        <v>2875</v>
      </c>
      <c r="QKU1331" s="4" t="s">
        <v>2875</v>
      </c>
      <c r="QKV1331" s="4" t="s">
        <v>2875</v>
      </c>
      <c r="QKW1331" s="4" t="s">
        <v>2875</v>
      </c>
      <c r="QKX1331" s="4" t="s">
        <v>2875</v>
      </c>
      <c r="QKY1331" s="4" t="s">
        <v>2875</v>
      </c>
      <c r="QKZ1331" s="4" t="s">
        <v>2875</v>
      </c>
      <c r="QLA1331" s="4" t="s">
        <v>2875</v>
      </c>
      <c r="QLB1331" s="4" t="s">
        <v>2875</v>
      </c>
      <c r="QLC1331" s="4" t="s">
        <v>2875</v>
      </c>
      <c r="QLD1331" s="4" t="s">
        <v>2875</v>
      </c>
      <c r="QLE1331" s="4" t="s">
        <v>2875</v>
      </c>
      <c r="QLF1331" s="4" t="s">
        <v>2875</v>
      </c>
      <c r="QLG1331" s="4" t="s">
        <v>2875</v>
      </c>
      <c r="QLH1331" s="4" t="s">
        <v>2875</v>
      </c>
      <c r="QLI1331" s="4" t="s">
        <v>2875</v>
      </c>
      <c r="QLJ1331" s="4" t="s">
        <v>2875</v>
      </c>
      <c r="QLK1331" s="4" t="s">
        <v>2875</v>
      </c>
      <c r="QLL1331" s="4" t="s">
        <v>2875</v>
      </c>
      <c r="QLM1331" s="4" t="s">
        <v>2875</v>
      </c>
      <c r="QLN1331" s="4" t="s">
        <v>2875</v>
      </c>
      <c r="QLO1331" s="4" t="s">
        <v>2875</v>
      </c>
      <c r="QLP1331" s="4" t="s">
        <v>2875</v>
      </c>
      <c r="QLQ1331" s="4" t="s">
        <v>2875</v>
      </c>
      <c r="QLR1331" s="4" t="s">
        <v>2875</v>
      </c>
      <c r="QLS1331" s="4" t="s">
        <v>2875</v>
      </c>
      <c r="QLT1331" s="4" t="s">
        <v>2875</v>
      </c>
      <c r="QLU1331" s="4" t="s">
        <v>2875</v>
      </c>
      <c r="QLV1331" s="4" t="s">
        <v>2875</v>
      </c>
      <c r="QLW1331" s="4" t="s">
        <v>2875</v>
      </c>
      <c r="QLX1331" s="4" t="s">
        <v>2875</v>
      </c>
      <c r="QLY1331" s="4" t="s">
        <v>2875</v>
      </c>
      <c r="QLZ1331" s="4" t="s">
        <v>2875</v>
      </c>
      <c r="QMA1331" s="4" t="s">
        <v>2875</v>
      </c>
      <c r="QMB1331" s="4" t="s">
        <v>2875</v>
      </c>
      <c r="QMC1331" s="4" t="s">
        <v>2875</v>
      </c>
      <c r="QMD1331" s="4" t="s">
        <v>2875</v>
      </c>
      <c r="QME1331" s="4" t="s">
        <v>2875</v>
      </c>
      <c r="QMF1331" s="4" t="s">
        <v>2875</v>
      </c>
      <c r="QMG1331" s="4" t="s">
        <v>2875</v>
      </c>
      <c r="QMH1331" s="4" t="s">
        <v>2875</v>
      </c>
      <c r="QMI1331" s="4" t="s">
        <v>2875</v>
      </c>
      <c r="QMJ1331" s="4" t="s">
        <v>2875</v>
      </c>
      <c r="QMK1331" s="4" t="s">
        <v>2875</v>
      </c>
      <c r="QML1331" s="4" t="s">
        <v>2875</v>
      </c>
      <c r="QMM1331" s="4" t="s">
        <v>2875</v>
      </c>
      <c r="QMN1331" s="4" t="s">
        <v>2875</v>
      </c>
      <c r="QMO1331" s="4" t="s">
        <v>2875</v>
      </c>
      <c r="QMP1331" s="4" t="s">
        <v>2875</v>
      </c>
      <c r="QMQ1331" s="4" t="s">
        <v>2875</v>
      </c>
      <c r="QMR1331" s="4" t="s">
        <v>2875</v>
      </c>
      <c r="QMS1331" s="4" t="s">
        <v>2875</v>
      </c>
      <c r="QMT1331" s="4" t="s">
        <v>2875</v>
      </c>
      <c r="QMU1331" s="4" t="s">
        <v>2875</v>
      </c>
      <c r="QMV1331" s="4" t="s">
        <v>2875</v>
      </c>
      <c r="QMW1331" s="4" t="s">
        <v>2875</v>
      </c>
      <c r="QMX1331" s="4" t="s">
        <v>2875</v>
      </c>
      <c r="QMY1331" s="4" t="s">
        <v>2875</v>
      </c>
      <c r="QMZ1331" s="4" t="s">
        <v>2875</v>
      </c>
      <c r="QNA1331" s="4" t="s">
        <v>2875</v>
      </c>
      <c r="QNB1331" s="4" t="s">
        <v>2875</v>
      </c>
      <c r="QNC1331" s="4" t="s">
        <v>2875</v>
      </c>
      <c r="QND1331" s="4" t="s">
        <v>2875</v>
      </c>
      <c r="QNE1331" s="4" t="s">
        <v>2875</v>
      </c>
      <c r="QNF1331" s="4" t="s">
        <v>2875</v>
      </c>
      <c r="QNG1331" s="4" t="s">
        <v>2875</v>
      </c>
      <c r="QNH1331" s="4" t="s">
        <v>2875</v>
      </c>
      <c r="QNI1331" s="4" t="s">
        <v>2875</v>
      </c>
      <c r="QNJ1331" s="4" t="s">
        <v>2875</v>
      </c>
      <c r="QNK1331" s="4" t="s">
        <v>2875</v>
      </c>
      <c r="QNL1331" s="4" t="s">
        <v>2875</v>
      </c>
      <c r="QNM1331" s="4" t="s">
        <v>2875</v>
      </c>
      <c r="QNN1331" s="4" t="s">
        <v>2875</v>
      </c>
      <c r="QNO1331" s="4" t="s">
        <v>2875</v>
      </c>
      <c r="QNP1331" s="4" t="s">
        <v>2875</v>
      </c>
      <c r="QNQ1331" s="4" t="s">
        <v>2875</v>
      </c>
      <c r="QNR1331" s="4" t="s">
        <v>2875</v>
      </c>
      <c r="QNS1331" s="4" t="s">
        <v>2875</v>
      </c>
      <c r="QNT1331" s="4" t="s">
        <v>2875</v>
      </c>
      <c r="QNU1331" s="4" t="s">
        <v>2875</v>
      </c>
      <c r="QNV1331" s="4" t="s">
        <v>2875</v>
      </c>
      <c r="QNW1331" s="4" t="s">
        <v>2875</v>
      </c>
      <c r="QNX1331" s="4" t="s">
        <v>2875</v>
      </c>
      <c r="QNY1331" s="4" t="s">
        <v>2875</v>
      </c>
      <c r="QNZ1331" s="4" t="s">
        <v>2875</v>
      </c>
      <c r="QOA1331" s="4" t="s">
        <v>2875</v>
      </c>
      <c r="QOB1331" s="4" t="s">
        <v>2875</v>
      </c>
      <c r="QOC1331" s="4" t="s">
        <v>2875</v>
      </c>
      <c r="QOD1331" s="4" t="s">
        <v>2875</v>
      </c>
      <c r="QOE1331" s="4" t="s">
        <v>2875</v>
      </c>
      <c r="QOF1331" s="4" t="s">
        <v>2875</v>
      </c>
      <c r="QOG1331" s="4" t="s">
        <v>2875</v>
      </c>
      <c r="QOH1331" s="4" t="s">
        <v>2875</v>
      </c>
      <c r="QOI1331" s="4" t="s">
        <v>2875</v>
      </c>
      <c r="QOJ1331" s="4" t="s">
        <v>2875</v>
      </c>
      <c r="QOK1331" s="4" t="s">
        <v>2875</v>
      </c>
      <c r="QOL1331" s="4" t="s">
        <v>2875</v>
      </c>
      <c r="QOM1331" s="4" t="s">
        <v>2875</v>
      </c>
      <c r="QON1331" s="4" t="s">
        <v>2875</v>
      </c>
      <c r="QOO1331" s="4" t="s">
        <v>2875</v>
      </c>
      <c r="QOP1331" s="4" t="s">
        <v>2875</v>
      </c>
      <c r="QOQ1331" s="4" t="s">
        <v>2875</v>
      </c>
      <c r="QOR1331" s="4" t="s">
        <v>2875</v>
      </c>
      <c r="QOS1331" s="4" t="s">
        <v>2875</v>
      </c>
      <c r="QOT1331" s="4" t="s">
        <v>2875</v>
      </c>
      <c r="QOU1331" s="4" t="s">
        <v>2875</v>
      </c>
      <c r="QOV1331" s="4" t="s">
        <v>2875</v>
      </c>
      <c r="QOW1331" s="4" t="s">
        <v>2875</v>
      </c>
      <c r="QOX1331" s="4" t="s">
        <v>2875</v>
      </c>
      <c r="QOY1331" s="4" t="s">
        <v>2875</v>
      </c>
      <c r="QOZ1331" s="4" t="s">
        <v>2875</v>
      </c>
      <c r="QPA1331" s="4" t="s">
        <v>2875</v>
      </c>
      <c r="QPB1331" s="4" t="s">
        <v>2875</v>
      </c>
      <c r="QPC1331" s="4" t="s">
        <v>2875</v>
      </c>
      <c r="QPD1331" s="4" t="s">
        <v>2875</v>
      </c>
      <c r="QPE1331" s="4" t="s">
        <v>2875</v>
      </c>
      <c r="QPF1331" s="4" t="s">
        <v>2875</v>
      </c>
      <c r="QPG1331" s="4" t="s">
        <v>2875</v>
      </c>
      <c r="QPH1331" s="4" t="s">
        <v>2875</v>
      </c>
      <c r="QPI1331" s="4" t="s">
        <v>2875</v>
      </c>
      <c r="QPJ1331" s="4" t="s">
        <v>2875</v>
      </c>
      <c r="QPK1331" s="4" t="s">
        <v>2875</v>
      </c>
      <c r="QPL1331" s="4" t="s">
        <v>2875</v>
      </c>
      <c r="QPM1331" s="4" t="s">
        <v>2875</v>
      </c>
      <c r="QPN1331" s="4" t="s">
        <v>2875</v>
      </c>
      <c r="QPO1331" s="4" t="s">
        <v>2875</v>
      </c>
      <c r="QPP1331" s="4" t="s">
        <v>2875</v>
      </c>
      <c r="QPQ1331" s="4" t="s">
        <v>2875</v>
      </c>
      <c r="QPR1331" s="4" t="s">
        <v>2875</v>
      </c>
      <c r="QPS1331" s="4" t="s">
        <v>2875</v>
      </c>
      <c r="QPT1331" s="4" t="s">
        <v>2875</v>
      </c>
      <c r="QPU1331" s="4" t="s">
        <v>2875</v>
      </c>
      <c r="QPV1331" s="4" t="s">
        <v>2875</v>
      </c>
      <c r="QPW1331" s="4" t="s">
        <v>2875</v>
      </c>
      <c r="QPX1331" s="4" t="s">
        <v>2875</v>
      </c>
      <c r="QPY1331" s="4" t="s">
        <v>2875</v>
      </c>
      <c r="QPZ1331" s="4" t="s">
        <v>2875</v>
      </c>
      <c r="QQA1331" s="4" t="s">
        <v>2875</v>
      </c>
      <c r="QQB1331" s="4" t="s">
        <v>2875</v>
      </c>
      <c r="QQC1331" s="4" t="s">
        <v>2875</v>
      </c>
      <c r="QQD1331" s="4" t="s">
        <v>2875</v>
      </c>
      <c r="QQE1331" s="4" t="s">
        <v>2875</v>
      </c>
      <c r="QQF1331" s="4" t="s">
        <v>2875</v>
      </c>
      <c r="QQG1331" s="4" t="s">
        <v>2875</v>
      </c>
      <c r="QQH1331" s="4" t="s">
        <v>2875</v>
      </c>
      <c r="QQI1331" s="4" t="s">
        <v>2875</v>
      </c>
      <c r="QQJ1331" s="4" t="s">
        <v>2875</v>
      </c>
      <c r="QQK1331" s="4" t="s">
        <v>2875</v>
      </c>
      <c r="QQL1331" s="4" t="s">
        <v>2875</v>
      </c>
      <c r="QQM1331" s="4" t="s">
        <v>2875</v>
      </c>
      <c r="QQN1331" s="4" t="s">
        <v>2875</v>
      </c>
      <c r="QQO1331" s="4" t="s">
        <v>2875</v>
      </c>
      <c r="QQP1331" s="4" t="s">
        <v>2875</v>
      </c>
      <c r="QQQ1331" s="4" t="s">
        <v>2875</v>
      </c>
      <c r="QQR1331" s="4" t="s">
        <v>2875</v>
      </c>
      <c r="QQS1331" s="4" t="s">
        <v>2875</v>
      </c>
      <c r="QQT1331" s="4" t="s">
        <v>2875</v>
      </c>
      <c r="QQU1331" s="4" t="s">
        <v>2875</v>
      </c>
      <c r="QQV1331" s="4" t="s">
        <v>2875</v>
      </c>
      <c r="QQW1331" s="4" t="s">
        <v>2875</v>
      </c>
      <c r="QQX1331" s="4" t="s">
        <v>2875</v>
      </c>
      <c r="QQY1331" s="4" t="s">
        <v>2875</v>
      </c>
      <c r="QQZ1331" s="4" t="s">
        <v>2875</v>
      </c>
      <c r="QRA1331" s="4" t="s">
        <v>2875</v>
      </c>
      <c r="QRB1331" s="4" t="s">
        <v>2875</v>
      </c>
      <c r="QRC1331" s="4" t="s">
        <v>2875</v>
      </c>
      <c r="QRD1331" s="4" t="s">
        <v>2875</v>
      </c>
      <c r="QRE1331" s="4" t="s">
        <v>2875</v>
      </c>
      <c r="QRF1331" s="4" t="s">
        <v>2875</v>
      </c>
      <c r="QRG1331" s="4" t="s">
        <v>2875</v>
      </c>
      <c r="QRH1331" s="4" t="s">
        <v>2875</v>
      </c>
      <c r="QRI1331" s="4" t="s">
        <v>2875</v>
      </c>
      <c r="QRJ1331" s="4" t="s">
        <v>2875</v>
      </c>
      <c r="QRK1331" s="4" t="s">
        <v>2875</v>
      </c>
      <c r="QRL1331" s="4" t="s">
        <v>2875</v>
      </c>
      <c r="QRM1331" s="4" t="s">
        <v>2875</v>
      </c>
      <c r="QRN1331" s="4" t="s">
        <v>2875</v>
      </c>
      <c r="QRO1331" s="4" t="s">
        <v>2875</v>
      </c>
      <c r="QRP1331" s="4" t="s">
        <v>2875</v>
      </c>
      <c r="QRQ1331" s="4" t="s">
        <v>2875</v>
      </c>
      <c r="QRR1331" s="4" t="s">
        <v>2875</v>
      </c>
      <c r="QRS1331" s="4" t="s">
        <v>2875</v>
      </c>
      <c r="QRT1331" s="4" t="s">
        <v>2875</v>
      </c>
      <c r="QRU1331" s="4" t="s">
        <v>2875</v>
      </c>
      <c r="QRV1331" s="4" t="s">
        <v>2875</v>
      </c>
      <c r="QRW1331" s="4" t="s">
        <v>2875</v>
      </c>
      <c r="QRX1331" s="4" t="s">
        <v>2875</v>
      </c>
      <c r="QRY1331" s="4" t="s">
        <v>2875</v>
      </c>
      <c r="QRZ1331" s="4" t="s">
        <v>2875</v>
      </c>
      <c r="QSA1331" s="4" t="s">
        <v>2875</v>
      </c>
      <c r="QSB1331" s="4" t="s">
        <v>2875</v>
      </c>
      <c r="QSC1331" s="4" t="s">
        <v>2875</v>
      </c>
      <c r="QSD1331" s="4" t="s">
        <v>2875</v>
      </c>
      <c r="QSE1331" s="4" t="s">
        <v>2875</v>
      </c>
      <c r="QSF1331" s="4" t="s">
        <v>2875</v>
      </c>
      <c r="QSG1331" s="4" t="s">
        <v>2875</v>
      </c>
      <c r="QSH1331" s="4" t="s">
        <v>2875</v>
      </c>
      <c r="QSI1331" s="4" t="s">
        <v>2875</v>
      </c>
      <c r="QSJ1331" s="4" t="s">
        <v>2875</v>
      </c>
      <c r="QSK1331" s="4" t="s">
        <v>2875</v>
      </c>
      <c r="QSL1331" s="4" t="s">
        <v>2875</v>
      </c>
      <c r="QSM1331" s="4" t="s">
        <v>2875</v>
      </c>
      <c r="QSN1331" s="4" t="s">
        <v>2875</v>
      </c>
      <c r="QSO1331" s="4" t="s">
        <v>2875</v>
      </c>
      <c r="QSP1331" s="4" t="s">
        <v>2875</v>
      </c>
      <c r="QSQ1331" s="4" t="s">
        <v>2875</v>
      </c>
      <c r="QSR1331" s="4" t="s">
        <v>2875</v>
      </c>
      <c r="QSS1331" s="4" t="s">
        <v>2875</v>
      </c>
      <c r="QST1331" s="4" t="s">
        <v>2875</v>
      </c>
      <c r="QSU1331" s="4" t="s">
        <v>2875</v>
      </c>
      <c r="QSV1331" s="4" t="s">
        <v>2875</v>
      </c>
      <c r="QSW1331" s="4" t="s">
        <v>2875</v>
      </c>
      <c r="QSX1331" s="4" t="s">
        <v>2875</v>
      </c>
      <c r="QSY1331" s="4" t="s">
        <v>2875</v>
      </c>
      <c r="QSZ1331" s="4" t="s">
        <v>2875</v>
      </c>
      <c r="QTA1331" s="4" t="s">
        <v>2875</v>
      </c>
      <c r="QTB1331" s="4" t="s">
        <v>2875</v>
      </c>
      <c r="QTC1331" s="4" t="s">
        <v>2875</v>
      </c>
      <c r="QTD1331" s="4" t="s">
        <v>2875</v>
      </c>
      <c r="QTE1331" s="4" t="s">
        <v>2875</v>
      </c>
      <c r="QTF1331" s="4" t="s">
        <v>2875</v>
      </c>
      <c r="QTG1331" s="4" t="s">
        <v>2875</v>
      </c>
      <c r="QTH1331" s="4" t="s">
        <v>2875</v>
      </c>
      <c r="QTI1331" s="4" t="s">
        <v>2875</v>
      </c>
      <c r="QTJ1331" s="4" t="s">
        <v>2875</v>
      </c>
      <c r="QTK1331" s="4" t="s">
        <v>2875</v>
      </c>
      <c r="QTL1331" s="4" t="s">
        <v>2875</v>
      </c>
      <c r="QTM1331" s="4" t="s">
        <v>2875</v>
      </c>
      <c r="QTN1331" s="4" t="s">
        <v>2875</v>
      </c>
      <c r="QTO1331" s="4" t="s">
        <v>2875</v>
      </c>
      <c r="QTP1331" s="4" t="s">
        <v>2875</v>
      </c>
      <c r="QTQ1331" s="4" t="s">
        <v>2875</v>
      </c>
      <c r="QTR1331" s="4" t="s">
        <v>2875</v>
      </c>
      <c r="QTS1331" s="4" t="s">
        <v>2875</v>
      </c>
      <c r="QTT1331" s="4" t="s">
        <v>2875</v>
      </c>
      <c r="QTU1331" s="4" t="s">
        <v>2875</v>
      </c>
      <c r="QTV1331" s="4" t="s">
        <v>2875</v>
      </c>
      <c r="QTW1331" s="4" t="s">
        <v>2875</v>
      </c>
      <c r="QTX1331" s="4" t="s">
        <v>2875</v>
      </c>
      <c r="QTY1331" s="4" t="s">
        <v>2875</v>
      </c>
      <c r="QTZ1331" s="4" t="s">
        <v>2875</v>
      </c>
      <c r="QUA1331" s="4" t="s">
        <v>2875</v>
      </c>
      <c r="QUB1331" s="4" t="s">
        <v>2875</v>
      </c>
      <c r="QUC1331" s="4" t="s">
        <v>2875</v>
      </c>
      <c r="QUD1331" s="4" t="s">
        <v>2875</v>
      </c>
      <c r="QUE1331" s="4" t="s">
        <v>2875</v>
      </c>
      <c r="QUF1331" s="4" t="s">
        <v>2875</v>
      </c>
      <c r="QUG1331" s="4" t="s">
        <v>2875</v>
      </c>
      <c r="QUH1331" s="4" t="s">
        <v>2875</v>
      </c>
      <c r="QUI1331" s="4" t="s">
        <v>2875</v>
      </c>
      <c r="QUJ1331" s="4" t="s">
        <v>2875</v>
      </c>
      <c r="QUK1331" s="4" t="s">
        <v>2875</v>
      </c>
      <c r="QUL1331" s="4" t="s">
        <v>2875</v>
      </c>
      <c r="QUM1331" s="4" t="s">
        <v>2875</v>
      </c>
      <c r="QUN1331" s="4" t="s">
        <v>2875</v>
      </c>
      <c r="QUO1331" s="4" t="s">
        <v>2875</v>
      </c>
      <c r="QUP1331" s="4" t="s">
        <v>2875</v>
      </c>
      <c r="QUQ1331" s="4" t="s">
        <v>2875</v>
      </c>
      <c r="QUR1331" s="4" t="s">
        <v>2875</v>
      </c>
      <c r="QUS1331" s="4" t="s">
        <v>2875</v>
      </c>
      <c r="QUT1331" s="4" t="s">
        <v>2875</v>
      </c>
      <c r="QUU1331" s="4" t="s">
        <v>2875</v>
      </c>
      <c r="QUV1331" s="4" t="s">
        <v>2875</v>
      </c>
      <c r="QUW1331" s="4" t="s">
        <v>2875</v>
      </c>
      <c r="QUX1331" s="4" t="s">
        <v>2875</v>
      </c>
      <c r="QUY1331" s="4" t="s">
        <v>2875</v>
      </c>
      <c r="QUZ1331" s="4" t="s">
        <v>2875</v>
      </c>
      <c r="QVA1331" s="4" t="s">
        <v>2875</v>
      </c>
      <c r="QVB1331" s="4" t="s">
        <v>2875</v>
      </c>
      <c r="QVC1331" s="4" t="s">
        <v>2875</v>
      </c>
      <c r="QVD1331" s="4" t="s">
        <v>2875</v>
      </c>
      <c r="QVE1331" s="4" t="s">
        <v>2875</v>
      </c>
      <c r="QVF1331" s="4" t="s">
        <v>2875</v>
      </c>
      <c r="QVG1331" s="4" t="s">
        <v>2875</v>
      </c>
      <c r="QVH1331" s="4" t="s">
        <v>2875</v>
      </c>
      <c r="QVI1331" s="4" t="s">
        <v>2875</v>
      </c>
      <c r="QVJ1331" s="4" t="s">
        <v>2875</v>
      </c>
      <c r="QVK1331" s="4" t="s">
        <v>2875</v>
      </c>
      <c r="QVL1331" s="4" t="s">
        <v>2875</v>
      </c>
      <c r="QVM1331" s="4" t="s">
        <v>2875</v>
      </c>
      <c r="QVN1331" s="4" t="s">
        <v>2875</v>
      </c>
      <c r="QVO1331" s="4" t="s">
        <v>2875</v>
      </c>
      <c r="QVP1331" s="4" t="s">
        <v>2875</v>
      </c>
      <c r="QVQ1331" s="4" t="s">
        <v>2875</v>
      </c>
      <c r="QVR1331" s="4" t="s">
        <v>2875</v>
      </c>
      <c r="QVS1331" s="4" t="s">
        <v>2875</v>
      </c>
      <c r="QVT1331" s="4" t="s">
        <v>2875</v>
      </c>
      <c r="QVU1331" s="4" t="s">
        <v>2875</v>
      </c>
      <c r="QVV1331" s="4" t="s">
        <v>2875</v>
      </c>
      <c r="QVW1331" s="4" t="s">
        <v>2875</v>
      </c>
      <c r="QVX1331" s="4" t="s">
        <v>2875</v>
      </c>
      <c r="QVY1331" s="4" t="s">
        <v>2875</v>
      </c>
      <c r="QVZ1331" s="4" t="s">
        <v>2875</v>
      </c>
      <c r="QWA1331" s="4" t="s">
        <v>2875</v>
      </c>
      <c r="QWB1331" s="4" t="s">
        <v>2875</v>
      </c>
      <c r="QWC1331" s="4" t="s">
        <v>2875</v>
      </c>
      <c r="QWD1331" s="4" t="s">
        <v>2875</v>
      </c>
      <c r="QWE1331" s="4" t="s">
        <v>2875</v>
      </c>
      <c r="QWF1331" s="4" t="s">
        <v>2875</v>
      </c>
      <c r="QWG1331" s="4" t="s">
        <v>2875</v>
      </c>
      <c r="QWH1331" s="4" t="s">
        <v>2875</v>
      </c>
      <c r="QWI1331" s="4" t="s">
        <v>2875</v>
      </c>
      <c r="QWJ1331" s="4" t="s">
        <v>2875</v>
      </c>
      <c r="QWK1331" s="4" t="s">
        <v>2875</v>
      </c>
      <c r="QWL1331" s="4" t="s">
        <v>2875</v>
      </c>
      <c r="QWM1331" s="4" t="s">
        <v>2875</v>
      </c>
      <c r="QWN1331" s="4" t="s">
        <v>2875</v>
      </c>
      <c r="QWO1331" s="4" t="s">
        <v>2875</v>
      </c>
      <c r="QWP1331" s="4" t="s">
        <v>2875</v>
      </c>
      <c r="QWQ1331" s="4" t="s">
        <v>2875</v>
      </c>
      <c r="QWR1331" s="4" t="s">
        <v>2875</v>
      </c>
      <c r="QWS1331" s="4" t="s">
        <v>2875</v>
      </c>
      <c r="QWT1331" s="4" t="s">
        <v>2875</v>
      </c>
      <c r="QWU1331" s="4" t="s">
        <v>2875</v>
      </c>
      <c r="QWV1331" s="4" t="s">
        <v>2875</v>
      </c>
      <c r="QWW1331" s="4" t="s">
        <v>2875</v>
      </c>
      <c r="QWX1331" s="4" t="s">
        <v>2875</v>
      </c>
      <c r="QWY1331" s="4" t="s">
        <v>2875</v>
      </c>
      <c r="QWZ1331" s="4" t="s">
        <v>2875</v>
      </c>
      <c r="QXA1331" s="4" t="s">
        <v>2875</v>
      </c>
      <c r="QXB1331" s="4" t="s">
        <v>2875</v>
      </c>
      <c r="QXC1331" s="4" t="s">
        <v>2875</v>
      </c>
      <c r="QXD1331" s="4" t="s">
        <v>2875</v>
      </c>
      <c r="QXE1331" s="4" t="s">
        <v>2875</v>
      </c>
      <c r="QXF1331" s="4" t="s">
        <v>2875</v>
      </c>
      <c r="QXG1331" s="4" t="s">
        <v>2875</v>
      </c>
      <c r="QXH1331" s="4" t="s">
        <v>2875</v>
      </c>
      <c r="QXI1331" s="4" t="s">
        <v>2875</v>
      </c>
      <c r="QXJ1331" s="4" t="s">
        <v>2875</v>
      </c>
      <c r="QXK1331" s="4" t="s">
        <v>2875</v>
      </c>
      <c r="QXL1331" s="4" t="s">
        <v>2875</v>
      </c>
      <c r="QXM1331" s="4" t="s">
        <v>2875</v>
      </c>
      <c r="QXN1331" s="4" t="s">
        <v>2875</v>
      </c>
      <c r="QXO1331" s="4" t="s">
        <v>2875</v>
      </c>
      <c r="QXP1331" s="4" t="s">
        <v>2875</v>
      </c>
      <c r="QXQ1331" s="4" t="s">
        <v>2875</v>
      </c>
      <c r="QXR1331" s="4" t="s">
        <v>2875</v>
      </c>
      <c r="QXS1331" s="4" t="s">
        <v>2875</v>
      </c>
      <c r="QXT1331" s="4" t="s">
        <v>2875</v>
      </c>
      <c r="QXU1331" s="4" t="s">
        <v>2875</v>
      </c>
      <c r="QXV1331" s="4" t="s">
        <v>2875</v>
      </c>
      <c r="QXW1331" s="4" t="s">
        <v>2875</v>
      </c>
      <c r="QXX1331" s="4" t="s">
        <v>2875</v>
      </c>
      <c r="QXY1331" s="4" t="s">
        <v>2875</v>
      </c>
      <c r="QXZ1331" s="4" t="s">
        <v>2875</v>
      </c>
      <c r="QYA1331" s="4" t="s">
        <v>2875</v>
      </c>
      <c r="QYB1331" s="4" t="s">
        <v>2875</v>
      </c>
      <c r="QYC1331" s="4" t="s">
        <v>2875</v>
      </c>
      <c r="QYD1331" s="4" t="s">
        <v>2875</v>
      </c>
      <c r="QYE1331" s="4" t="s">
        <v>2875</v>
      </c>
      <c r="QYF1331" s="4" t="s">
        <v>2875</v>
      </c>
      <c r="QYG1331" s="4" t="s">
        <v>2875</v>
      </c>
      <c r="QYH1331" s="4" t="s">
        <v>2875</v>
      </c>
      <c r="QYI1331" s="4" t="s">
        <v>2875</v>
      </c>
      <c r="QYJ1331" s="4" t="s">
        <v>2875</v>
      </c>
      <c r="QYK1331" s="4" t="s">
        <v>2875</v>
      </c>
      <c r="QYL1331" s="4" t="s">
        <v>2875</v>
      </c>
      <c r="QYM1331" s="4" t="s">
        <v>2875</v>
      </c>
      <c r="QYN1331" s="4" t="s">
        <v>2875</v>
      </c>
      <c r="QYO1331" s="4" t="s">
        <v>2875</v>
      </c>
      <c r="QYP1331" s="4" t="s">
        <v>2875</v>
      </c>
      <c r="QYQ1331" s="4" t="s">
        <v>2875</v>
      </c>
      <c r="QYR1331" s="4" t="s">
        <v>2875</v>
      </c>
      <c r="QYS1331" s="4" t="s">
        <v>2875</v>
      </c>
      <c r="QYT1331" s="4" t="s">
        <v>2875</v>
      </c>
      <c r="QYU1331" s="4" t="s">
        <v>2875</v>
      </c>
      <c r="QYV1331" s="4" t="s">
        <v>2875</v>
      </c>
      <c r="QYW1331" s="4" t="s">
        <v>2875</v>
      </c>
      <c r="QYX1331" s="4" t="s">
        <v>2875</v>
      </c>
      <c r="QYY1331" s="4" t="s">
        <v>2875</v>
      </c>
      <c r="QYZ1331" s="4" t="s">
        <v>2875</v>
      </c>
      <c r="QZA1331" s="4" t="s">
        <v>2875</v>
      </c>
      <c r="QZB1331" s="4" t="s">
        <v>2875</v>
      </c>
      <c r="QZC1331" s="4" t="s">
        <v>2875</v>
      </c>
      <c r="QZD1331" s="4" t="s">
        <v>2875</v>
      </c>
      <c r="QZE1331" s="4" t="s">
        <v>2875</v>
      </c>
      <c r="QZF1331" s="4" t="s">
        <v>2875</v>
      </c>
      <c r="QZG1331" s="4" t="s">
        <v>2875</v>
      </c>
      <c r="QZH1331" s="4" t="s">
        <v>2875</v>
      </c>
      <c r="QZI1331" s="4" t="s">
        <v>2875</v>
      </c>
      <c r="QZJ1331" s="4" t="s">
        <v>2875</v>
      </c>
      <c r="QZK1331" s="4" t="s">
        <v>2875</v>
      </c>
      <c r="QZL1331" s="4" t="s">
        <v>2875</v>
      </c>
      <c r="QZM1331" s="4" t="s">
        <v>2875</v>
      </c>
      <c r="QZN1331" s="4" t="s">
        <v>2875</v>
      </c>
      <c r="QZO1331" s="4" t="s">
        <v>2875</v>
      </c>
      <c r="QZP1331" s="4" t="s">
        <v>2875</v>
      </c>
      <c r="QZQ1331" s="4" t="s">
        <v>2875</v>
      </c>
      <c r="QZR1331" s="4" t="s">
        <v>2875</v>
      </c>
      <c r="QZS1331" s="4" t="s">
        <v>2875</v>
      </c>
      <c r="QZT1331" s="4" t="s">
        <v>2875</v>
      </c>
      <c r="QZU1331" s="4" t="s">
        <v>2875</v>
      </c>
      <c r="QZV1331" s="4" t="s">
        <v>2875</v>
      </c>
      <c r="QZW1331" s="4" t="s">
        <v>2875</v>
      </c>
      <c r="QZX1331" s="4" t="s">
        <v>2875</v>
      </c>
      <c r="QZY1331" s="4" t="s">
        <v>2875</v>
      </c>
      <c r="QZZ1331" s="4" t="s">
        <v>2875</v>
      </c>
      <c r="RAA1331" s="4" t="s">
        <v>2875</v>
      </c>
      <c r="RAB1331" s="4" t="s">
        <v>2875</v>
      </c>
      <c r="RAC1331" s="4" t="s">
        <v>2875</v>
      </c>
      <c r="RAD1331" s="4" t="s">
        <v>2875</v>
      </c>
      <c r="RAE1331" s="4" t="s">
        <v>2875</v>
      </c>
      <c r="RAF1331" s="4" t="s">
        <v>2875</v>
      </c>
      <c r="RAG1331" s="4" t="s">
        <v>2875</v>
      </c>
      <c r="RAH1331" s="4" t="s">
        <v>2875</v>
      </c>
      <c r="RAI1331" s="4" t="s">
        <v>2875</v>
      </c>
      <c r="RAJ1331" s="4" t="s">
        <v>2875</v>
      </c>
      <c r="RAK1331" s="4" t="s">
        <v>2875</v>
      </c>
      <c r="RAL1331" s="4" t="s">
        <v>2875</v>
      </c>
      <c r="RAM1331" s="4" t="s">
        <v>2875</v>
      </c>
      <c r="RAN1331" s="4" t="s">
        <v>2875</v>
      </c>
      <c r="RAO1331" s="4" t="s">
        <v>2875</v>
      </c>
      <c r="RAP1331" s="4" t="s">
        <v>2875</v>
      </c>
      <c r="RAQ1331" s="4" t="s">
        <v>2875</v>
      </c>
      <c r="RAR1331" s="4" t="s">
        <v>2875</v>
      </c>
      <c r="RAS1331" s="4" t="s">
        <v>2875</v>
      </c>
      <c r="RAT1331" s="4" t="s">
        <v>2875</v>
      </c>
      <c r="RAU1331" s="4" t="s">
        <v>2875</v>
      </c>
      <c r="RAV1331" s="4" t="s">
        <v>2875</v>
      </c>
      <c r="RAW1331" s="4" t="s">
        <v>2875</v>
      </c>
      <c r="RAX1331" s="4" t="s">
        <v>2875</v>
      </c>
      <c r="RAY1331" s="4" t="s">
        <v>2875</v>
      </c>
      <c r="RAZ1331" s="4" t="s">
        <v>2875</v>
      </c>
      <c r="RBA1331" s="4" t="s">
        <v>2875</v>
      </c>
      <c r="RBB1331" s="4" t="s">
        <v>2875</v>
      </c>
      <c r="RBC1331" s="4" t="s">
        <v>2875</v>
      </c>
      <c r="RBD1331" s="4" t="s">
        <v>2875</v>
      </c>
      <c r="RBE1331" s="4" t="s">
        <v>2875</v>
      </c>
      <c r="RBF1331" s="4" t="s">
        <v>2875</v>
      </c>
      <c r="RBG1331" s="4" t="s">
        <v>2875</v>
      </c>
      <c r="RBH1331" s="4" t="s">
        <v>2875</v>
      </c>
      <c r="RBI1331" s="4" t="s">
        <v>2875</v>
      </c>
      <c r="RBJ1331" s="4" t="s">
        <v>2875</v>
      </c>
      <c r="RBK1331" s="4" t="s">
        <v>2875</v>
      </c>
      <c r="RBL1331" s="4" t="s">
        <v>2875</v>
      </c>
      <c r="RBM1331" s="4" t="s">
        <v>2875</v>
      </c>
      <c r="RBN1331" s="4" t="s">
        <v>2875</v>
      </c>
      <c r="RBO1331" s="4" t="s">
        <v>2875</v>
      </c>
      <c r="RBP1331" s="4" t="s">
        <v>2875</v>
      </c>
      <c r="RBQ1331" s="4" t="s">
        <v>2875</v>
      </c>
      <c r="RBR1331" s="4" t="s">
        <v>2875</v>
      </c>
      <c r="RBS1331" s="4" t="s">
        <v>2875</v>
      </c>
      <c r="RBT1331" s="4" t="s">
        <v>2875</v>
      </c>
      <c r="RBU1331" s="4" t="s">
        <v>2875</v>
      </c>
      <c r="RBV1331" s="4" t="s">
        <v>2875</v>
      </c>
      <c r="RBW1331" s="4" t="s">
        <v>2875</v>
      </c>
      <c r="RBX1331" s="4" t="s">
        <v>2875</v>
      </c>
      <c r="RBY1331" s="4" t="s">
        <v>2875</v>
      </c>
      <c r="RBZ1331" s="4" t="s">
        <v>2875</v>
      </c>
      <c r="RCA1331" s="4" t="s">
        <v>2875</v>
      </c>
      <c r="RCB1331" s="4" t="s">
        <v>2875</v>
      </c>
      <c r="RCC1331" s="4" t="s">
        <v>2875</v>
      </c>
      <c r="RCD1331" s="4" t="s">
        <v>2875</v>
      </c>
      <c r="RCE1331" s="4" t="s">
        <v>2875</v>
      </c>
      <c r="RCF1331" s="4" t="s">
        <v>2875</v>
      </c>
      <c r="RCG1331" s="4" t="s">
        <v>2875</v>
      </c>
      <c r="RCH1331" s="4" t="s">
        <v>2875</v>
      </c>
      <c r="RCI1331" s="4" t="s">
        <v>2875</v>
      </c>
      <c r="RCJ1331" s="4" t="s">
        <v>2875</v>
      </c>
      <c r="RCK1331" s="4" t="s">
        <v>2875</v>
      </c>
      <c r="RCL1331" s="4" t="s">
        <v>2875</v>
      </c>
      <c r="RCM1331" s="4" t="s">
        <v>2875</v>
      </c>
      <c r="RCN1331" s="4" t="s">
        <v>2875</v>
      </c>
      <c r="RCO1331" s="4" t="s">
        <v>2875</v>
      </c>
      <c r="RCP1331" s="4" t="s">
        <v>2875</v>
      </c>
      <c r="RCQ1331" s="4" t="s">
        <v>2875</v>
      </c>
      <c r="RCR1331" s="4" t="s">
        <v>2875</v>
      </c>
      <c r="RCS1331" s="4" t="s">
        <v>2875</v>
      </c>
      <c r="RCT1331" s="4" t="s">
        <v>2875</v>
      </c>
      <c r="RCU1331" s="4" t="s">
        <v>2875</v>
      </c>
      <c r="RCV1331" s="4" t="s">
        <v>2875</v>
      </c>
      <c r="RCW1331" s="4" t="s">
        <v>2875</v>
      </c>
      <c r="RCX1331" s="4" t="s">
        <v>2875</v>
      </c>
      <c r="RCY1331" s="4" t="s">
        <v>2875</v>
      </c>
      <c r="RCZ1331" s="4" t="s">
        <v>2875</v>
      </c>
      <c r="RDA1331" s="4" t="s">
        <v>2875</v>
      </c>
      <c r="RDB1331" s="4" t="s">
        <v>2875</v>
      </c>
      <c r="RDC1331" s="4" t="s">
        <v>2875</v>
      </c>
      <c r="RDD1331" s="4" t="s">
        <v>2875</v>
      </c>
      <c r="RDE1331" s="4" t="s">
        <v>2875</v>
      </c>
      <c r="RDF1331" s="4" t="s">
        <v>2875</v>
      </c>
      <c r="RDG1331" s="4" t="s">
        <v>2875</v>
      </c>
      <c r="RDH1331" s="4" t="s">
        <v>2875</v>
      </c>
      <c r="RDI1331" s="4" t="s">
        <v>2875</v>
      </c>
      <c r="RDJ1331" s="4" t="s">
        <v>2875</v>
      </c>
      <c r="RDK1331" s="4" t="s">
        <v>2875</v>
      </c>
      <c r="RDL1331" s="4" t="s">
        <v>2875</v>
      </c>
      <c r="RDM1331" s="4" t="s">
        <v>2875</v>
      </c>
      <c r="RDN1331" s="4" t="s">
        <v>2875</v>
      </c>
      <c r="RDO1331" s="4" t="s">
        <v>2875</v>
      </c>
      <c r="RDP1331" s="4" t="s">
        <v>2875</v>
      </c>
      <c r="RDQ1331" s="4" t="s">
        <v>2875</v>
      </c>
      <c r="RDR1331" s="4" t="s">
        <v>2875</v>
      </c>
      <c r="RDS1331" s="4" t="s">
        <v>2875</v>
      </c>
      <c r="RDT1331" s="4" t="s">
        <v>2875</v>
      </c>
      <c r="RDU1331" s="4" t="s">
        <v>2875</v>
      </c>
      <c r="RDV1331" s="4" t="s">
        <v>2875</v>
      </c>
      <c r="RDW1331" s="4" t="s">
        <v>2875</v>
      </c>
      <c r="RDX1331" s="4" t="s">
        <v>2875</v>
      </c>
      <c r="RDY1331" s="4" t="s">
        <v>2875</v>
      </c>
      <c r="RDZ1331" s="4" t="s">
        <v>2875</v>
      </c>
      <c r="REA1331" s="4" t="s">
        <v>2875</v>
      </c>
      <c r="REB1331" s="4" t="s">
        <v>2875</v>
      </c>
      <c r="REC1331" s="4" t="s">
        <v>2875</v>
      </c>
      <c r="RED1331" s="4" t="s">
        <v>2875</v>
      </c>
      <c r="REE1331" s="4" t="s">
        <v>2875</v>
      </c>
      <c r="REF1331" s="4" t="s">
        <v>2875</v>
      </c>
      <c r="REG1331" s="4" t="s">
        <v>2875</v>
      </c>
      <c r="REH1331" s="4" t="s">
        <v>2875</v>
      </c>
      <c r="REI1331" s="4" t="s">
        <v>2875</v>
      </c>
      <c r="REJ1331" s="4" t="s">
        <v>2875</v>
      </c>
      <c r="REK1331" s="4" t="s">
        <v>2875</v>
      </c>
      <c r="REL1331" s="4" t="s">
        <v>2875</v>
      </c>
      <c r="REM1331" s="4" t="s">
        <v>2875</v>
      </c>
      <c r="REN1331" s="4" t="s">
        <v>2875</v>
      </c>
      <c r="REO1331" s="4" t="s">
        <v>2875</v>
      </c>
      <c r="REP1331" s="4" t="s">
        <v>2875</v>
      </c>
      <c r="REQ1331" s="4" t="s">
        <v>2875</v>
      </c>
      <c r="RER1331" s="4" t="s">
        <v>2875</v>
      </c>
      <c r="RES1331" s="4" t="s">
        <v>2875</v>
      </c>
      <c r="RET1331" s="4" t="s">
        <v>2875</v>
      </c>
      <c r="REU1331" s="4" t="s">
        <v>2875</v>
      </c>
      <c r="REV1331" s="4" t="s">
        <v>2875</v>
      </c>
      <c r="REW1331" s="4" t="s">
        <v>2875</v>
      </c>
      <c r="REX1331" s="4" t="s">
        <v>2875</v>
      </c>
      <c r="REY1331" s="4" t="s">
        <v>2875</v>
      </c>
      <c r="REZ1331" s="4" t="s">
        <v>2875</v>
      </c>
      <c r="RFA1331" s="4" t="s">
        <v>2875</v>
      </c>
      <c r="RFB1331" s="4" t="s">
        <v>2875</v>
      </c>
      <c r="RFC1331" s="4" t="s">
        <v>2875</v>
      </c>
      <c r="RFD1331" s="4" t="s">
        <v>2875</v>
      </c>
      <c r="RFE1331" s="4" t="s">
        <v>2875</v>
      </c>
      <c r="RFF1331" s="4" t="s">
        <v>2875</v>
      </c>
      <c r="RFG1331" s="4" t="s">
        <v>2875</v>
      </c>
      <c r="RFH1331" s="4" t="s">
        <v>2875</v>
      </c>
      <c r="RFI1331" s="4" t="s">
        <v>2875</v>
      </c>
      <c r="RFJ1331" s="4" t="s">
        <v>2875</v>
      </c>
      <c r="RFK1331" s="4" t="s">
        <v>2875</v>
      </c>
      <c r="RFL1331" s="4" t="s">
        <v>2875</v>
      </c>
      <c r="RFM1331" s="4" t="s">
        <v>2875</v>
      </c>
      <c r="RFN1331" s="4" t="s">
        <v>2875</v>
      </c>
      <c r="RFO1331" s="4" t="s">
        <v>2875</v>
      </c>
      <c r="RFP1331" s="4" t="s">
        <v>2875</v>
      </c>
      <c r="RFQ1331" s="4" t="s">
        <v>2875</v>
      </c>
      <c r="RFR1331" s="4" t="s">
        <v>2875</v>
      </c>
      <c r="RFS1331" s="4" t="s">
        <v>2875</v>
      </c>
      <c r="RFT1331" s="4" t="s">
        <v>2875</v>
      </c>
      <c r="RFU1331" s="4" t="s">
        <v>2875</v>
      </c>
      <c r="RFV1331" s="4" t="s">
        <v>2875</v>
      </c>
      <c r="RFW1331" s="4" t="s">
        <v>2875</v>
      </c>
      <c r="RFX1331" s="4" t="s">
        <v>2875</v>
      </c>
      <c r="RFY1331" s="4" t="s">
        <v>2875</v>
      </c>
      <c r="RFZ1331" s="4" t="s">
        <v>2875</v>
      </c>
      <c r="RGA1331" s="4" t="s">
        <v>2875</v>
      </c>
      <c r="RGB1331" s="4" t="s">
        <v>2875</v>
      </c>
      <c r="RGC1331" s="4" t="s">
        <v>2875</v>
      </c>
      <c r="RGD1331" s="4" t="s">
        <v>2875</v>
      </c>
      <c r="RGE1331" s="4" t="s">
        <v>2875</v>
      </c>
      <c r="RGF1331" s="4" t="s">
        <v>2875</v>
      </c>
      <c r="RGG1331" s="4" t="s">
        <v>2875</v>
      </c>
      <c r="RGH1331" s="4" t="s">
        <v>2875</v>
      </c>
      <c r="RGI1331" s="4" t="s">
        <v>2875</v>
      </c>
      <c r="RGJ1331" s="4" t="s">
        <v>2875</v>
      </c>
      <c r="RGK1331" s="4" t="s">
        <v>2875</v>
      </c>
      <c r="RGL1331" s="4" t="s">
        <v>2875</v>
      </c>
      <c r="RGM1331" s="4" t="s">
        <v>2875</v>
      </c>
      <c r="RGN1331" s="4" t="s">
        <v>2875</v>
      </c>
      <c r="RGO1331" s="4" t="s">
        <v>2875</v>
      </c>
      <c r="RGP1331" s="4" t="s">
        <v>2875</v>
      </c>
      <c r="RGQ1331" s="4" t="s">
        <v>2875</v>
      </c>
      <c r="RGR1331" s="4" t="s">
        <v>2875</v>
      </c>
      <c r="RGS1331" s="4" t="s">
        <v>2875</v>
      </c>
      <c r="RGT1331" s="4" t="s">
        <v>2875</v>
      </c>
      <c r="RGU1331" s="4" t="s">
        <v>2875</v>
      </c>
      <c r="RGV1331" s="4" t="s">
        <v>2875</v>
      </c>
      <c r="RGW1331" s="4" t="s">
        <v>2875</v>
      </c>
      <c r="RGX1331" s="4" t="s">
        <v>2875</v>
      </c>
      <c r="RGY1331" s="4" t="s">
        <v>2875</v>
      </c>
      <c r="RGZ1331" s="4" t="s">
        <v>2875</v>
      </c>
      <c r="RHA1331" s="4" t="s">
        <v>2875</v>
      </c>
      <c r="RHB1331" s="4" t="s">
        <v>2875</v>
      </c>
      <c r="RHC1331" s="4" t="s">
        <v>2875</v>
      </c>
      <c r="RHD1331" s="4" t="s">
        <v>2875</v>
      </c>
      <c r="RHE1331" s="4" t="s">
        <v>2875</v>
      </c>
      <c r="RHF1331" s="4" t="s">
        <v>2875</v>
      </c>
      <c r="RHG1331" s="4" t="s">
        <v>2875</v>
      </c>
      <c r="RHH1331" s="4" t="s">
        <v>2875</v>
      </c>
      <c r="RHI1331" s="4" t="s">
        <v>2875</v>
      </c>
      <c r="RHJ1331" s="4" t="s">
        <v>2875</v>
      </c>
      <c r="RHK1331" s="4" t="s">
        <v>2875</v>
      </c>
      <c r="RHL1331" s="4" t="s">
        <v>2875</v>
      </c>
      <c r="RHM1331" s="4" t="s">
        <v>2875</v>
      </c>
      <c r="RHN1331" s="4" t="s">
        <v>2875</v>
      </c>
      <c r="RHO1331" s="4" t="s">
        <v>2875</v>
      </c>
      <c r="RHP1331" s="4" t="s">
        <v>2875</v>
      </c>
      <c r="RHQ1331" s="4" t="s">
        <v>2875</v>
      </c>
      <c r="RHR1331" s="4" t="s">
        <v>2875</v>
      </c>
      <c r="RHS1331" s="4" t="s">
        <v>2875</v>
      </c>
      <c r="RHT1331" s="4" t="s">
        <v>2875</v>
      </c>
      <c r="RHU1331" s="4" t="s">
        <v>2875</v>
      </c>
      <c r="RHV1331" s="4" t="s">
        <v>2875</v>
      </c>
      <c r="RHW1331" s="4" t="s">
        <v>2875</v>
      </c>
      <c r="RHX1331" s="4" t="s">
        <v>2875</v>
      </c>
      <c r="RHY1331" s="4" t="s">
        <v>2875</v>
      </c>
      <c r="RHZ1331" s="4" t="s">
        <v>2875</v>
      </c>
      <c r="RIA1331" s="4" t="s">
        <v>2875</v>
      </c>
      <c r="RIB1331" s="4" t="s">
        <v>2875</v>
      </c>
      <c r="RIC1331" s="4" t="s">
        <v>2875</v>
      </c>
      <c r="RID1331" s="4" t="s">
        <v>2875</v>
      </c>
      <c r="RIE1331" s="4" t="s">
        <v>2875</v>
      </c>
      <c r="RIF1331" s="4" t="s">
        <v>2875</v>
      </c>
      <c r="RIG1331" s="4" t="s">
        <v>2875</v>
      </c>
      <c r="RIH1331" s="4" t="s">
        <v>2875</v>
      </c>
      <c r="RII1331" s="4" t="s">
        <v>2875</v>
      </c>
      <c r="RIJ1331" s="4" t="s">
        <v>2875</v>
      </c>
      <c r="RIK1331" s="4" t="s">
        <v>2875</v>
      </c>
      <c r="RIL1331" s="4" t="s">
        <v>2875</v>
      </c>
      <c r="RIM1331" s="4" t="s">
        <v>2875</v>
      </c>
      <c r="RIN1331" s="4" t="s">
        <v>2875</v>
      </c>
      <c r="RIO1331" s="4" t="s">
        <v>2875</v>
      </c>
      <c r="RIP1331" s="4" t="s">
        <v>2875</v>
      </c>
      <c r="RIQ1331" s="4" t="s">
        <v>2875</v>
      </c>
      <c r="RIR1331" s="4" t="s">
        <v>2875</v>
      </c>
      <c r="RIS1331" s="4" t="s">
        <v>2875</v>
      </c>
      <c r="RIT1331" s="4" t="s">
        <v>2875</v>
      </c>
      <c r="RIU1331" s="4" t="s">
        <v>2875</v>
      </c>
      <c r="RIV1331" s="4" t="s">
        <v>2875</v>
      </c>
      <c r="RIW1331" s="4" t="s">
        <v>2875</v>
      </c>
      <c r="RIX1331" s="4" t="s">
        <v>2875</v>
      </c>
      <c r="RIY1331" s="4" t="s">
        <v>2875</v>
      </c>
      <c r="RIZ1331" s="4" t="s">
        <v>2875</v>
      </c>
      <c r="RJA1331" s="4" t="s">
        <v>2875</v>
      </c>
      <c r="RJB1331" s="4" t="s">
        <v>2875</v>
      </c>
      <c r="RJC1331" s="4" t="s">
        <v>2875</v>
      </c>
      <c r="RJD1331" s="4" t="s">
        <v>2875</v>
      </c>
      <c r="RJE1331" s="4" t="s">
        <v>2875</v>
      </c>
      <c r="RJF1331" s="4" t="s">
        <v>2875</v>
      </c>
      <c r="RJG1331" s="4" t="s">
        <v>2875</v>
      </c>
      <c r="RJH1331" s="4" t="s">
        <v>2875</v>
      </c>
      <c r="RJI1331" s="4" t="s">
        <v>2875</v>
      </c>
      <c r="RJJ1331" s="4" t="s">
        <v>2875</v>
      </c>
      <c r="RJK1331" s="4" t="s">
        <v>2875</v>
      </c>
      <c r="RJL1331" s="4" t="s">
        <v>2875</v>
      </c>
      <c r="RJM1331" s="4" t="s">
        <v>2875</v>
      </c>
      <c r="RJN1331" s="4" t="s">
        <v>2875</v>
      </c>
      <c r="RJO1331" s="4" t="s">
        <v>2875</v>
      </c>
      <c r="RJP1331" s="4" t="s">
        <v>2875</v>
      </c>
      <c r="RJQ1331" s="4" t="s">
        <v>2875</v>
      </c>
      <c r="RJR1331" s="4" t="s">
        <v>2875</v>
      </c>
      <c r="RJS1331" s="4" t="s">
        <v>2875</v>
      </c>
      <c r="RJT1331" s="4" t="s">
        <v>2875</v>
      </c>
      <c r="RJU1331" s="4" t="s">
        <v>2875</v>
      </c>
      <c r="RJV1331" s="4" t="s">
        <v>2875</v>
      </c>
      <c r="RJW1331" s="4" t="s">
        <v>2875</v>
      </c>
      <c r="RJX1331" s="4" t="s">
        <v>2875</v>
      </c>
      <c r="RJY1331" s="4" t="s">
        <v>2875</v>
      </c>
      <c r="RJZ1331" s="4" t="s">
        <v>2875</v>
      </c>
      <c r="RKA1331" s="4" t="s">
        <v>2875</v>
      </c>
      <c r="RKB1331" s="4" t="s">
        <v>2875</v>
      </c>
      <c r="RKC1331" s="4" t="s">
        <v>2875</v>
      </c>
      <c r="RKD1331" s="4" t="s">
        <v>2875</v>
      </c>
      <c r="RKE1331" s="4" t="s">
        <v>2875</v>
      </c>
      <c r="RKF1331" s="4" t="s">
        <v>2875</v>
      </c>
      <c r="RKG1331" s="4" t="s">
        <v>2875</v>
      </c>
      <c r="RKH1331" s="4" t="s">
        <v>2875</v>
      </c>
      <c r="RKI1331" s="4" t="s">
        <v>2875</v>
      </c>
      <c r="RKJ1331" s="4" t="s">
        <v>2875</v>
      </c>
      <c r="RKK1331" s="4" t="s">
        <v>2875</v>
      </c>
      <c r="RKL1331" s="4" t="s">
        <v>2875</v>
      </c>
      <c r="RKM1331" s="4" t="s">
        <v>2875</v>
      </c>
      <c r="RKN1331" s="4" t="s">
        <v>2875</v>
      </c>
      <c r="RKO1331" s="4" t="s">
        <v>2875</v>
      </c>
      <c r="RKP1331" s="4" t="s">
        <v>2875</v>
      </c>
      <c r="RKQ1331" s="4" t="s">
        <v>2875</v>
      </c>
      <c r="RKR1331" s="4" t="s">
        <v>2875</v>
      </c>
      <c r="RKS1331" s="4" t="s">
        <v>2875</v>
      </c>
      <c r="RKT1331" s="4" t="s">
        <v>2875</v>
      </c>
      <c r="RKU1331" s="4" t="s">
        <v>2875</v>
      </c>
      <c r="RKV1331" s="4" t="s">
        <v>2875</v>
      </c>
      <c r="RKW1331" s="4" t="s">
        <v>2875</v>
      </c>
      <c r="RKX1331" s="4" t="s">
        <v>2875</v>
      </c>
      <c r="RKY1331" s="4" t="s">
        <v>2875</v>
      </c>
      <c r="RKZ1331" s="4" t="s">
        <v>2875</v>
      </c>
      <c r="RLA1331" s="4" t="s">
        <v>2875</v>
      </c>
      <c r="RLB1331" s="4" t="s">
        <v>2875</v>
      </c>
      <c r="RLC1331" s="4" t="s">
        <v>2875</v>
      </c>
      <c r="RLD1331" s="4" t="s">
        <v>2875</v>
      </c>
      <c r="RLE1331" s="4" t="s">
        <v>2875</v>
      </c>
      <c r="RLF1331" s="4" t="s">
        <v>2875</v>
      </c>
      <c r="RLG1331" s="4" t="s">
        <v>2875</v>
      </c>
      <c r="RLH1331" s="4" t="s">
        <v>2875</v>
      </c>
      <c r="RLI1331" s="4" t="s">
        <v>2875</v>
      </c>
      <c r="RLJ1331" s="4" t="s">
        <v>2875</v>
      </c>
      <c r="RLK1331" s="4" t="s">
        <v>2875</v>
      </c>
      <c r="RLL1331" s="4" t="s">
        <v>2875</v>
      </c>
      <c r="RLM1331" s="4" t="s">
        <v>2875</v>
      </c>
      <c r="RLN1331" s="4" t="s">
        <v>2875</v>
      </c>
      <c r="RLO1331" s="4" t="s">
        <v>2875</v>
      </c>
      <c r="RLP1331" s="4" t="s">
        <v>2875</v>
      </c>
      <c r="RLQ1331" s="4" t="s">
        <v>2875</v>
      </c>
      <c r="RLR1331" s="4" t="s">
        <v>2875</v>
      </c>
      <c r="RLS1331" s="4" t="s">
        <v>2875</v>
      </c>
      <c r="RLT1331" s="4" t="s">
        <v>2875</v>
      </c>
      <c r="RLU1331" s="4" t="s">
        <v>2875</v>
      </c>
      <c r="RLV1331" s="4" t="s">
        <v>2875</v>
      </c>
      <c r="RLW1331" s="4" t="s">
        <v>2875</v>
      </c>
      <c r="RLX1331" s="4" t="s">
        <v>2875</v>
      </c>
      <c r="RLY1331" s="4" t="s">
        <v>2875</v>
      </c>
      <c r="RLZ1331" s="4" t="s">
        <v>2875</v>
      </c>
      <c r="RMA1331" s="4" t="s">
        <v>2875</v>
      </c>
      <c r="RMB1331" s="4" t="s">
        <v>2875</v>
      </c>
      <c r="RMC1331" s="4" t="s">
        <v>2875</v>
      </c>
      <c r="RMD1331" s="4" t="s">
        <v>2875</v>
      </c>
      <c r="RME1331" s="4" t="s">
        <v>2875</v>
      </c>
      <c r="RMF1331" s="4" t="s">
        <v>2875</v>
      </c>
      <c r="RMG1331" s="4" t="s">
        <v>2875</v>
      </c>
      <c r="RMH1331" s="4" t="s">
        <v>2875</v>
      </c>
      <c r="RMI1331" s="4" t="s">
        <v>2875</v>
      </c>
      <c r="RMJ1331" s="4" t="s">
        <v>2875</v>
      </c>
      <c r="RMK1331" s="4" t="s">
        <v>2875</v>
      </c>
      <c r="RML1331" s="4" t="s">
        <v>2875</v>
      </c>
      <c r="RMM1331" s="4" t="s">
        <v>2875</v>
      </c>
      <c r="RMN1331" s="4" t="s">
        <v>2875</v>
      </c>
      <c r="RMO1331" s="4" t="s">
        <v>2875</v>
      </c>
      <c r="RMP1331" s="4" t="s">
        <v>2875</v>
      </c>
      <c r="RMQ1331" s="4" t="s">
        <v>2875</v>
      </c>
      <c r="RMR1331" s="4" t="s">
        <v>2875</v>
      </c>
      <c r="RMS1331" s="4" t="s">
        <v>2875</v>
      </c>
      <c r="RMT1331" s="4" t="s">
        <v>2875</v>
      </c>
      <c r="RMU1331" s="4" t="s">
        <v>2875</v>
      </c>
      <c r="RMV1331" s="4" t="s">
        <v>2875</v>
      </c>
      <c r="RMW1331" s="4" t="s">
        <v>2875</v>
      </c>
      <c r="RMX1331" s="4" t="s">
        <v>2875</v>
      </c>
      <c r="RMY1331" s="4" t="s">
        <v>2875</v>
      </c>
      <c r="RMZ1331" s="4" t="s">
        <v>2875</v>
      </c>
      <c r="RNA1331" s="4" t="s">
        <v>2875</v>
      </c>
      <c r="RNB1331" s="4" t="s">
        <v>2875</v>
      </c>
      <c r="RNC1331" s="4" t="s">
        <v>2875</v>
      </c>
      <c r="RND1331" s="4" t="s">
        <v>2875</v>
      </c>
      <c r="RNE1331" s="4" t="s">
        <v>2875</v>
      </c>
      <c r="RNF1331" s="4" t="s">
        <v>2875</v>
      </c>
      <c r="RNG1331" s="4" t="s">
        <v>2875</v>
      </c>
      <c r="RNH1331" s="4" t="s">
        <v>2875</v>
      </c>
      <c r="RNI1331" s="4" t="s">
        <v>2875</v>
      </c>
      <c r="RNJ1331" s="4" t="s">
        <v>2875</v>
      </c>
      <c r="RNK1331" s="4" t="s">
        <v>2875</v>
      </c>
      <c r="RNL1331" s="4" t="s">
        <v>2875</v>
      </c>
      <c r="RNM1331" s="4" t="s">
        <v>2875</v>
      </c>
      <c r="RNN1331" s="4" t="s">
        <v>2875</v>
      </c>
      <c r="RNO1331" s="4" t="s">
        <v>2875</v>
      </c>
      <c r="RNP1331" s="4" t="s">
        <v>2875</v>
      </c>
      <c r="RNQ1331" s="4" t="s">
        <v>2875</v>
      </c>
      <c r="RNR1331" s="4" t="s">
        <v>2875</v>
      </c>
      <c r="RNS1331" s="4" t="s">
        <v>2875</v>
      </c>
      <c r="RNT1331" s="4" t="s">
        <v>2875</v>
      </c>
      <c r="RNU1331" s="4" t="s">
        <v>2875</v>
      </c>
      <c r="RNV1331" s="4" t="s">
        <v>2875</v>
      </c>
      <c r="RNW1331" s="4" t="s">
        <v>2875</v>
      </c>
      <c r="RNX1331" s="4" t="s">
        <v>2875</v>
      </c>
      <c r="RNY1331" s="4" t="s">
        <v>2875</v>
      </c>
      <c r="RNZ1331" s="4" t="s">
        <v>2875</v>
      </c>
      <c r="ROA1331" s="4" t="s">
        <v>2875</v>
      </c>
      <c r="ROB1331" s="4" t="s">
        <v>2875</v>
      </c>
      <c r="ROC1331" s="4" t="s">
        <v>2875</v>
      </c>
      <c r="ROD1331" s="4" t="s">
        <v>2875</v>
      </c>
      <c r="ROE1331" s="4" t="s">
        <v>2875</v>
      </c>
      <c r="ROF1331" s="4" t="s">
        <v>2875</v>
      </c>
      <c r="ROG1331" s="4" t="s">
        <v>2875</v>
      </c>
      <c r="ROH1331" s="4" t="s">
        <v>2875</v>
      </c>
      <c r="ROI1331" s="4" t="s">
        <v>2875</v>
      </c>
      <c r="ROJ1331" s="4" t="s">
        <v>2875</v>
      </c>
      <c r="ROK1331" s="4" t="s">
        <v>2875</v>
      </c>
      <c r="ROL1331" s="4" t="s">
        <v>2875</v>
      </c>
      <c r="ROM1331" s="4" t="s">
        <v>2875</v>
      </c>
      <c r="RON1331" s="4" t="s">
        <v>2875</v>
      </c>
      <c r="ROO1331" s="4" t="s">
        <v>2875</v>
      </c>
      <c r="ROP1331" s="4" t="s">
        <v>2875</v>
      </c>
      <c r="ROQ1331" s="4" t="s">
        <v>2875</v>
      </c>
      <c r="ROR1331" s="4" t="s">
        <v>2875</v>
      </c>
      <c r="ROS1331" s="4" t="s">
        <v>2875</v>
      </c>
      <c r="ROT1331" s="4" t="s">
        <v>2875</v>
      </c>
      <c r="ROU1331" s="4" t="s">
        <v>2875</v>
      </c>
      <c r="ROV1331" s="4" t="s">
        <v>2875</v>
      </c>
      <c r="ROW1331" s="4" t="s">
        <v>2875</v>
      </c>
      <c r="ROX1331" s="4" t="s">
        <v>2875</v>
      </c>
      <c r="ROY1331" s="4" t="s">
        <v>2875</v>
      </c>
      <c r="ROZ1331" s="4" t="s">
        <v>2875</v>
      </c>
      <c r="RPA1331" s="4" t="s">
        <v>2875</v>
      </c>
      <c r="RPB1331" s="4" t="s">
        <v>2875</v>
      </c>
      <c r="RPC1331" s="4" t="s">
        <v>2875</v>
      </c>
      <c r="RPD1331" s="4" t="s">
        <v>2875</v>
      </c>
      <c r="RPE1331" s="4" t="s">
        <v>2875</v>
      </c>
      <c r="RPF1331" s="4" t="s">
        <v>2875</v>
      </c>
      <c r="RPG1331" s="4" t="s">
        <v>2875</v>
      </c>
      <c r="RPH1331" s="4" t="s">
        <v>2875</v>
      </c>
      <c r="RPI1331" s="4" t="s">
        <v>2875</v>
      </c>
      <c r="RPJ1331" s="4" t="s">
        <v>2875</v>
      </c>
      <c r="RPK1331" s="4" t="s">
        <v>2875</v>
      </c>
      <c r="RPL1331" s="4" t="s">
        <v>2875</v>
      </c>
      <c r="RPM1331" s="4" t="s">
        <v>2875</v>
      </c>
      <c r="RPN1331" s="4" t="s">
        <v>2875</v>
      </c>
      <c r="RPO1331" s="4" t="s">
        <v>2875</v>
      </c>
      <c r="RPP1331" s="4" t="s">
        <v>2875</v>
      </c>
      <c r="RPQ1331" s="4" t="s">
        <v>2875</v>
      </c>
      <c r="RPR1331" s="4" t="s">
        <v>2875</v>
      </c>
      <c r="RPS1331" s="4" t="s">
        <v>2875</v>
      </c>
      <c r="RPT1331" s="4" t="s">
        <v>2875</v>
      </c>
      <c r="RPU1331" s="4" t="s">
        <v>2875</v>
      </c>
      <c r="RPV1331" s="4" t="s">
        <v>2875</v>
      </c>
      <c r="RPW1331" s="4" t="s">
        <v>2875</v>
      </c>
      <c r="RPX1331" s="4" t="s">
        <v>2875</v>
      </c>
      <c r="RPY1331" s="4" t="s">
        <v>2875</v>
      </c>
      <c r="RPZ1331" s="4" t="s">
        <v>2875</v>
      </c>
      <c r="RQA1331" s="4" t="s">
        <v>2875</v>
      </c>
      <c r="RQB1331" s="4" t="s">
        <v>2875</v>
      </c>
      <c r="RQC1331" s="4" t="s">
        <v>2875</v>
      </c>
      <c r="RQD1331" s="4" t="s">
        <v>2875</v>
      </c>
      <c r="RQE1331" s="4" t="s">
        <v>2875</v>
      </c>
      <c r="RQF1331" s="4" t="s">
        <v>2875</v>
      </c>
      <c r="RQG1331" s="4" t="s">
        <v>2875</v>
      </c>
      <c r="RQH1331" s="4" t="s">
        <v>2875</v>
      </c>
      <c r="RQI1331" s="4" t="s">
        <v>2875</v>
      </c>
      <c r="RQJ1331" s="4" t="s">
        <v>2875</v>
      </c>
      <c r="RQK1331" s="4" t="s">
        <v>2875</v>
      </c>
      <c r="RQL1331" s="4" t="s">
        <v>2875</v>
      </c>
      <c r="RQM1331" s="4" t="s">
        <v>2875</v>
      </c>
      <c r="RQN1331" s="4" t="s">
        <v>2875</v>
      </c>
      <c r="RQO1331" s="4" t="s">
        <v>2875</v>
      </c>
      <c r="RQP1331" s="4" t="s">
        <v>2875</v>
      </c>
      <c r="RQQ1331" s="4" t="s">
        <v>2875</v>
      </c>
      <c r="RQR1331" s="4" t="s">
        <v>2875</v>
      </c>
      <c r="RQS1331" s="4" t="s">
        <v>2875</v>
      </c>
      <c r="RQT1331" s="4" t="s">
        <v>2875</v>
      </c>
      <c r="RQU1331" s="4" t="s">
        <v>2875</v>
      </c>
      <c r="RQV1331" s="4" t="s">
        <v>2875</v>
      </c>
      <c r="RQW1331" s="4" t="s">
        <v>2875</v>
      </c>
      <c r="RQX1331" s="4" t="s">
        <v>2875</v>
      </c>
      <c r="RQY1331" s="4" t="s">
        <v>2875</v>
      </c>
      <c r="RQZ1331" s="4" t="s">
        <v>2875</v>
      </c>
      <c r="RRA1331" s="4" t="s">
        <v>2875</v>
      </c>
      <c r="RRB1331" s="4" t="s">
        <v>2875</v>
      </c>
      <c r="RRC1331" s="4" t="s">
        <v>2875</v>
      </c>
      <c r="RRD1331" s="4" t="s">
        <v>2875</v>
      </c>
      <c r="RRE1331" s="4" t="s">
        <v>2875</v>
      </c>
      <c r="RRF1331" s="4" t="s">
        <v>2875</v>
      </c>
      <c r="RRG1331" s="4" t="s">
        <v>2875</v>
      </c>
      <c r="RRH1331" s="4" t="s">
        <v>2875</v>
      </c>
      <c r="RRI1331" s="4" t="s">
        <v>2875</v>
      </c>
      <c r="RRJ1331" s="4" t="s">
        <v>2875</v>
      </c>
      <c r="RRK1331" s="4" t="s">
        <v>2875</v>
      </c>
      <c r="RRL1331" s="4" t="s">
        <v>2875</v>
      </c>
      <c r="RRM1331" s="4" t="s">
        <v>2875</v>
      </c>
      <c r="RRN1331" s="4" t="s">
        <v>2875</v>
      </c>
      <c r="RRO1331" s="4" t="s">
        <v>2875</v>
      </c>
      <c r="RRP1331" s="4" t="s">
        <v>2875</v>
      </c>
      <c r="RRQ1331" s="4" t="s">
        <v>2875</v>
      </c>
      <c r="RRR1331" s="4" t="s">
        <v>2875</v>
      </c>
      <c r="RRS1331" s="4" t="s">
        <v>2875</v>
      </c>
      <c r="RRT1331" s="4" t="s">
        <v>2875</v>
      </c>
      <c r="RRU1331" s="4" t="s">
        <v>2875</v>
      </c>
      <c r="RRV1331" s="4" t="s">
        <v>2875</v>
      </c>
      <c r="RRW1331" s="4" t="s">
        <v>2875</v>
      </c>
      <c r="RRX1331" s="4" t="s">
        <v>2875</v>
      </c>
      <c r="RRY1331" s="4" t="s">
        <v>2875</v>
      </c>
      <c r="RRZ1331" s="4" t="s">
        <v>2875</v>
      </c>
      <c r="RSA1331" s="4" t="s">
        <v>2875</v>
      </c>
      <c r="RSB1331" s="4" t="s">
        <v>2875</v>
      </c>
      <c r="RSC1331" s="4" t="s">
        <v>2875</v>
      </c>
      <c r="RSD1331" s="4" t="s">
        <v>2875</v>
      </c>
      <c r="RSE1331" s="4" t="s">
        <v>2875</v>
      </c>
      <c r="RSF1331" s="4" t="s">
        <v>2875</v>
      </c>
      <c r="RSG1331" s="4" t="s">
        <v>2875</v>
      </c>
      <c r="RSH1331" s="4" t="s">
        <v>2875</v>
      </c>
      <c r="RSI1331" s="4" t="s">
        <v>2875</v>
      </c>
      <c r="RSJ1331" s="4" t="s">
        <v>2875</v>
      </c>
      <c r="RSK1331" s="4" t="s">
        <v>2875</v>
      </c>
      <c r="RSL1331" s="4" t="s">
        <v>2875</v>
      </c>
      <c r="RSM1331" s="4" t="s">
        <v>2875</v>
      </c>
      <c r="RSN1331" s="4" t="s">
        <v>2875</v>
      </c>
      <c r="RSO1331" s="4" t="s">
        <v>2875</v>
      </c>
      <c r="RSP1331" s="4" t="s">
        <v>2875</v>
      </c>
      <c r="RSQ1331" s="4" t="s">
        <v>2875</v>
      </c>
      <c r="RSR1331" s="4" t="s">
        <v>2875</v>
      </c>
      <c r="RSS1331" s="4" t="s">
        <v>2875</v>
      </c>
      <c r="RST1331" s="4" t="s">
        <v>2875</v>
      </c>
      <c r="RSU1331" s="4" t="s">
        <v>2875</v>
      </c>
      <c r="RSV1331" s="4" t="s">
        <v>2875</v>
      </c>
      <c r="RSW1331" s="4" t="s">
        <v>2875</v>
      </c>
      <c r="RSX1331" s="4" t="s">
        <v>2875</v>
      </c>
      <c r="RSY1331" s="4" t="s">
        <v>2875</v>
      </c>
      <c r="RSZ1331" s="4" t="s">
        <v>2875</v>
      </c>
      <c r="RTA1331" s="4" t="s">
        <v>2875</v>
      </c>
      <c r="RTB1331" s="4" t="s">
        <v>2875</v>
      </c>
      <c r="RTC1331" s="4" t="s">
        <v>2875</v>
      </c>
      <c r="RTD1331" s="4" t="s">
        <v>2875</v>
      </c>
      <c r="RTE1331" s="4" t="s">
        <v>2875</v>
      </c>
      <c r="RTF1331" s="4" t="s">
        <v>2875</v>
      </c>
      <c r="RTG1331" s="4" t="s">
        <v>2875</v>
      </c>
      <c r="RTH1331" s="4" t="s">
        <v>2875</v>
      </c>
      <c r="RTI1331" s="4" t="s">
        <v>2875</v>
      </c>
      <c r="RTJ1331" s="4" t="s">
        <v>2875</v>
      </c>
      <c r="RTK1331" s="4" t="s">
        <v>2875</v>
      </c>
      <c r="RTL1331" s="4" t="s">
        <v>2875</v>
      </c>
      <c r="RTM1331" s="4" t="s">
        <v>2875</v>
      </c>
      <c r="RTN1331" s="4" t="s">
        <v>2875</v>
      </c>
      <c r="RTO1331" s="4" t="s">
        <v>2875</v>
      </c>
      <c r="RTP1331" s="4" t="s">
        <v>2875</v>
      </c>
      <c r="RTQ1331" s="4" t="s">
        <v>2875</v>
      </c>
      <c r="RTR1331" s="4" t="s">
        <v>2875</v>
      </c>
      <c r="RTS1331" s="4" t="s">
        <v>2875</v>
      </c>
      <c r="RTT1331" s="4" t="s">
        <v>2875</v>
      </c>
      <c r="RTU1331" s="4" t="s">
        <v>2875</v>
      </c>
      <c r="RTV1331" s="4" t="s">
        <v>2875</v>
      </c>
      <c r="RTW1331" s="4" t="s">
        <v>2875</v>
      </c>
      <c r="RTX1331" s="4" t="s">
        <v>2875</v>
      </c>
      <c r="RTY1331" s="4" t="s">
        <v>2875</v>
      </c>
      <c r="RTZ1331" s="4" t="s">
        <v>2875</v>
      </c>
      <c r="RUA1331" s="4" t="s">
        <v>2875</v>
      </c>
      <c r="RUB1331" s="4" t="s">
        <v>2875</v>
      </c>
      <c r="RUC1331" s="4" t="s">
        <v>2875</v>
      </c>
      <c r="RUD1331" s="4" t="s">
        <v>2875</v>
      </c>
      <c r="RUE1331" s="4" t="s">
        <v>2875</v>
      </c>
      <c r="RUF1331" s="4" t="s">
        <v>2875</v>
      </c>
      <c r="RUG1331" s="4" t="s">
        <v>2875</v>
      </c>
      <c r="RUH1331" s="4" t="s">
        <v>2875</v>
      </c>
      <c r="RUI1331" s="4" t="s">
        <v>2875</v>
      </c>
      <c r="RUJ1331" s="4" t="s">
        <v>2875</v>
      </c>
      <c r="RUK1331" s="4" t="s">
        <v>2875</v>
      </c>
      <c r="RUL1331" s="4" t="s">
        <v>2875</v>
      </c>
      <c r="RUM1331" s="4" t="s">
        <v>2875</v>
      </c>
      <c r="RUN1331" s="4" t="s">
        <v>2875</v>
      </c>
      <c r="RUO1331" s="4" t="s">
        <v>2875</v>
      </c>
      <c r="RUP1331" s="4" t="s">
        <v>2875</v>
      </c>
      <c r="RUQ1331" s="4" t="s">
        <v>2875</v>
      </c>
      <c r="RUR1331" s="4" t="s">
        <v>2875</v>
      </c>
      <c r="RUS1331" s="4" t="s">
        <v>2875</v>
      </c>
      <c r="RUT1331" s="4" t="s">
        <v>2875</v>
      </c>
      <c r="RUU1331" s="4" t="s">
        <v>2875</v>
      </c>
      <c r="RUV1331" s="4" t="s">
        <v>2875</v>
      </c>
      <c r="RUW1331" s="4" t="s">
        <v>2875</v>
      </c>
      <c r="RUX1331" s="4" t="s">
        <v>2875</v>
      </c>
      <c r="RUY1331" s="4" t="s">
        <v>2875</v>
      </c>
      <c r="RUZ1331" s="4" t="s">
        <v>2875</v>
      </c>
      <c r="RVA1331" s="4" t="s">
        <v>2875</v>
      </c>
      <c r="RVB1331" s="4" t="s">
        <v>2875</v>
      </c>
      <c r="RVC1331" s="4" t="s">
        <v>2875</v>
      </c>
      <c r="RVD1331" s="4" t="s">
        <v>2875</v>
      </c>
      <c r="RVE1331" s="4" t="s">
        <v>2875</v>
      </c>
      <c r="RVF1331" s="4" t="s">
        <v>2875</v>
      </c>
      <c r="RVG1331" s="4" t="s">
        <v>2875</v>
      </c>
      <c r="RVH1331" s="4" t="s">
        <v>2875</v>
      </c>
      <c r="RVI1331" s="4" t="s">
        <v>2875</v>
      </c>
      <c r="RVJ1331" s="4" t="s">
        <v>2875</v>
      </c>
      <c r="RVK1331" s="4" t="s">
        <v>2875</v>
      </c>
      <c r="RVL1331" s="4" t="s">
        <v>2875</v>
      </c>
      <c r="RVM1331" s="4" t="s">
        <v>2875</v>
      </c>
      <c r="RVN1331" s="4" t="s">
        <v>2875</v>
      </c>
      <c r="RVO1331" s="4" t="s">
        <v>2875</v>
      </c>
      <c r="RVP1331" s="4" t="s">
        <v>2875</v>
      </c>
      <c r="RVQ1331" s="4" t="s">
        <v>2875</v>
      </c>
      <c r="RVR1331" s="4" t="s">
        <v>2875</v>
      </c>
      <c r="RVS1331" s="4" t="s">
        <v>2875</v>
      </c>
      <c r="RVT1331" s="4" t="s">
        <v>2875</v>
      </c>
      <c r="RVU1331" s="4" t="s">
        <v>2875</v>
      </c>
      <c r="RVV1331" s="4" t="s">
        <v>2875</v>
      </c>
      <c r="RVW1331" s="4" t="s">
        <v>2875</v>
      </c>
      <c r="RVX1331" s="4" t="s">
        <v>2875</v>
      </c>
      <c r="RVY1331" s="4" t="s">
        <v>2875</v>
      </c>
      <c r="RVZ1331" s="4" t="s">
        <v>2875</v>
      </c>
      <c r="RWA1331" s="4" t="s">
        <v>2875</v>
      </c>
      <c r="RWB1331" s="4" t="s">
        <v>2875</v>
      </c>
      <c r="RWC1331" s="4" t="s">
        <v>2875</v>
      </c>
      <c r="RWD1331" s="4" t="s">
        <v>2875</v>
      </c>
      <c r="RWE1331" s="4" t="s">
        <v>2875</v>
      </c>
      <c r="RWF1331" s="4" t="s">
        <v>2875</v>
      </c>
      <c r="RWG1331" s="4" t="s">
        <v>2875</v>
      </c>
      <c r="RWH1331" s="4" t="s">
        <v>2875</v>
      </c>
      <c r="RWI1331" s="4" t="s">
        <v>2875</v>
      </c>
      <c r="RWJ1331" s="4" t="s">
        <v>2875</v>
      </c>
      <c r="RWK1331" s="4" t="s">
        <v>2875</v>
      </c>
      <c r="RWL1331" s="4" t="s">
        <v>2875</v>
      </c>
      <c r="RWM1331" s="4" t="s">
        <v>2875</v>
      </c>
      <c r="RWN1331" s="4" t="s">
        <v>2875</v>
      </c>
      <c r="RWO1331" s="4" t="s">
        <v>2875</v>
      </c>
      <c r="RWP1331" s="4" t="s">
        <v>2875</v>
      </c>
      <c r="RWQ1331" s="4" t="s">
        <v>2875</v>
      </c>
      <c r="RWR1331" s="4" t="s">
        <v>2875</v>
      </c>
      <c r="RWS1331" s="4" t="s">
        <v>2875</v>
      </c>
      <c r="RWT1331" s="4" t="s">
        <v>2875</v>
      </c>
      <c r="RWU1331" s="4" t="s">
        <v>2875</v>
      </c>
      <c r="RWV1331" s="4" t="s">
        <v>2875</v>
      </c>
      <c r="RWW1331" s="4" t="s">
        <v>2875</v>
      </c>
      <c r="RWX1331" s="4" t="s">
        <v>2875</v>
      </c>
      <c r="RWY1331" s="4" t="s">
        <v>2875</v>
      </c>
      <c r="RWZ1331" s="4" t="s">
        <v>2875</v>
      </c>
      <c r="RXA1331" s="4" t="s">
        <v>2875</v>
      </c>
      <c r="RXB1331" s="4" t="s">
        <v>2875</v>
      </c>
      <c r="RXC1331" s="4" t="s">
        <v>2875</v>
      </c>
      <c r="RXD1331" s="4" t="s">
        <v>2875</v>
      </c>
      <c r="RXE1331" s="4" t="s">
        <v>2875</v>
      </c>
      <c r="RXF1331" s="4" t="s">
        <v>2875</v>
      </c>
      <c r="RXG1331" s="4" t="s">
        <v>2875</v>
      </c>
      <c r="RXH1331" s="4" t="s">
        <v>2875</v>
      </c>
      <c r="RXI1331" s="4" t="s">
        <v>2875</v>
      </c>
      <c r="RXJ1331" s="4" t="s">
        <v>2875</v>
      </c>
      <c r="RXK1331" s="4" t="s">
        <v>2875</v>
      </c>
      <c r="RXL1331" s="4" t="s">
        <v>2875</v>
      </c>
      <c r="RXM1331" s="4" t="s">
        <v>2875</v>
      </c>
      <c r="RXN1331" s="4" t="s">
        <v>2875</v>
      </c>
      <c r="RXO1331" s="4" t="s">
        <v>2875</v>
      </c>
      <c r="RXP1331" s="4" t="s">
        <v>2875</v>
      </c>
      <c r="RXQ1331" s="4" t="s">
        <v>2875</v>
      </c>
      <c r="RXR1331" s="4" t="s">
        <v>2875</v>
      </c>
      <c r="RXS1331" s="4" t="s">
        <v>2875</v>
      </c>
      <c r="RXT1331" s="4" t="s">
        <v>2875</v>
      </c>
      <c r="RXU1331" s="4" t="s">
        <v>2875</v>
      </c>
      <c r="RXV1331" s="4" t="s">
        <v>2875</v>
      </c>
      <c r="RXW1331" s="4" t="s">
        <v>2875</v>
      </c>
      <c r="RXX1331" s="4" t="s">
        <v>2875</v>
      </c>
      <c r="RXY1331" s="4" t="s">
        <v>2875</v>
      </c>
      <c r="RXZ1331" s="4" t="s">
        <v>2875</v>
      </c>
      <c r="RYA1331" s="4" t="s">
        <v>2875</v>
      </c>
      <c r="RYB1331" s="4" t="s">
        <v>2875</v>
      </c>
      <c r="RYC1331" s="4" t="s">
        <v>2875</v>
      </c>
      <c r="RYD1331" s="4" t="s">
        <v>2875</v>
      </c>
      <c r="RYE1331" s="4" t="s">
        <v>2875</v>
      </c>
      <c r="RYF1331" s="4" t="s">
        <v>2875</v>
      </c>
      <c r="RYG1331" s="4" t="s">
        <v>2875</v>
      </c>
      <c r="RYH1331" s="4" t="s">
        <v>2875</v>
      </c>
      <c r="RYI1331" s="4" t="s">
        <v>2875</v>
      </c>
      <c r="RYJ1331" s="4" t="s">
        <v>2875</v>
      </c>
      <c r="RYK1331" s="4" t="s">
        <v>2875</v>
      </c>
      <c r="RYL1331" s="4" t="s">
        <v>2875</v>
      </c>
      <c r="RYM1331" s="4" t="s">
        <v>2875</v>
      </c>
      <c r="RYN1331" s="4" t="s">
        <v>2875</v>
      </c>
      <c r="RYO1331" s="4" t="s">
        <v>2875</v>
      </c>
      <c r="RYP1331" s="4" t="s">
        <v>2875</v>
      </c>
      <c r="RYQ1331" s="4" t="s">
        <v>2875</v>
      </c>
      <c r="RYR1331" s="4" t="s">
        <v>2875</v>
      </c>
      <c r="RYS1331" s="4" t="s">
        <v>2875</v>
      </c>
      <c r="RYT1331" s="4" t="s">
        <v>2875</v>
      </c>
      <c r="RYU1331" s="4" t="s">
        <v>2875</v>
      </c>
      <c r="RYV1331" s="4" t="s">
        <v>2875</v>
      </c>
      <c r="RYW1331" s="4" t="s">
        <v>2875</v>
      </c>
      <c r="RYX1331" s="4" t="s">
        <v>2875</v>
      </c>
      <c r="RYY1331" s="4" t="s">
        <v>2875</v>
      </c>
      <c r="RYZ1331" s="4" t="s">
        <v>2875</v>
      </c>
      <c r="RZA1331" s="4" t="s">
        <v>2875</v>
      </c>
      <c r="RZB1331" s="4" t="s">
        <v>2875</v>
      </c>
      <c r="RZC1331" s="4" t="s">
        <v>2875</v>
      </c>
      <c r="RZD1331" s="4" t="s">
        <v>2875</v>
      </c>
      <c r="RZE1331" s="4" t="s">
        <v>2875</v>
      </c>
      <c r="RZF1331" s="4" t="s">
        <v>2875</v>
      </c>
      <c r="RZG1331" s="4" t="s">
        <v>2875</v>
      </c>
      <c r="RZH1331" s="4" t="s">
        <v>2875</v>
      </c>
      <c r="RZI1331" s="4" t="s">
        <v>2875</v>
      </c>
      <c r="RZJ1331" s="4" t="s">
        <v>2875</v>
      </c>
      <c r="RZK1331" s="4" t="s">
        <v>2875</v>
      </c>
      <c r="RZL1331" s="4" t="s">
        <v>2875</v>
      </c>
      <c r="RZM1331" s="4" t="s">
        <v>2875</v>
      </c>
      <c r="RZN1331" s="4" t="s">
        <v>2875</v>
      </c>
      <c r="RZO1331" s="4" t="s">
        <v>2875</v>
      </c>
      <c r="RZP1331" s="4" t="s">
        <v>2875</v>
      </c>
      <c r="RZQ1331" s="4" t="s">
        <v>2875</v>
      </c>
      <c r="RZR1331" s="4" t="s">
        <v>2875</v>
      </c>
      <c r="RZS1331" s="4" t="s">
        <v>2875</v>
      </c>
      <c r="RZT1331" s="4" t="s">
        <v>2875</v>
      </c>
      <c r="RZU1331" s="4" t="s">
        <v>2875</v>
      </c>
      <c r="RZV1331" s="4" t="s">
        <v>2875</v>
      </c>
      <c r="RZW1331" s="4" t="s">
        <v>2875</v>
      </c>
      <c r="RZX1331" s="4" t="s">
        <v>2875</v>
      </c>
      <c r="RZY1331" s="4" t="s">
        <v>2875</v>
      </c>
      <c r="RZZ1331" s="4" t="s">
        <v>2875</v>
      </c>
      <c r="SAA1331" s="4" t="s">
        <v>2875</v>
      </c>
      <c r="SAB1331" s="4" t="s">
        <v>2875</v>
      </c>
      <c r="SAC1331" s="4" t="s">
        <v>2875</v>
      </c>
      <c r="SAD1331" s="4" t="s">
        <v>2875</v>
      </c>
      <c r="SAE1331" s="4" t="s">
        <v>2875</v>
      </c>
      <c r="SAF1331" s="4" t="s">
        <v>2875</v>
      </c>
      <c r="SAG1331" s="4" t="s">
        <v>2875</v>
      </c>
      <c r="SAH1331" s="4" t="s">
        <v>2875</v>
      </c>
      <c r="SAI1331" s="4" t="s">
        <v>2875</v>
      </c>
      <c r="SAJ1331" s="4" t="s">
        <v>2875</v>
      </c>
      <c r="SAK1331" s="4" t="s">
        <v>2875</v>
      </c>
      <c r="SAL1331" s="4" t="s">
        <v>2875</v>
      </c>
      <c r="SAM1331" s="4" t="s">
        <v>2875</v>
      </c>
      <c r="SAN1331" s="4" t="s">
        <v>2875</v>
      </c>
      <c r="SAO1331" s="4" t="s">
        <v>2875</v>
      </c>
      <c r="SAP1331" s="4" t="s">
        <v>2875</v>
      </c>
      <c r="SAQ1331" s="4" t="s">
        <v>2875</v>
      </c>
      <c r="SAR1331" s="4" t="s">
        <v>2875</v>
      </c>
      <c r="SAS1331" s="4" t="s">
        <v>2875</v>
      </c>
      <c r="SAT1331" s="4" t="s">
        <v>2875</v>
      </c>
      <c r="SAU1331" s="4" t="s">
        <v>2875</v>
      </c>
      <c r="SAV1331" s="4" t="s">
        <v>2875</v>
      </c>
      <c r="SAW1331" s="4" t="s">
        <v>2875</v>
      </c>
      <c r="SAX1331" s="4" t="s">
        <v>2875</v>
      </c>
      <c r="SAY1331" s="4" t="s">
        <v>2875</v>
      </c>
      <c r="SAZ1331" s="4" t="s">
        <v>2875</v>
      </c>
      <c r="SBA1331" s="4" t="s">
        <v>2875</v>
      </c>
      <c r="SBB1331" s="4" t="s">
        <v>2875</v>
      </c>
      <c r="SBC1331" s="4" t="s">
        <v>2875</v>
      </c>
      <c r="SBD1331" s="4" t="s">
        <v>2875</v>
      </c>
      <c r="SBE1331" s="4" t="s">
        <v>2875</v>
      </c>
      <c r="SBF1331" s="4" t="s">
        <v>2875</v>
      </c>
      <c r="SBG1331" s="4" t="s">
        <v>2875</v>
      </c>
      <c r="SBH1331" s="4" t="s">
        <v>2875</v>
      </c>
      <c r="SBI1331" s="4" t="s">
        <v>2875</v>
      </c>
      <c r="SBJ1331" s="4" t="s">
        <v>2875</v>
      </c>
      <c r="SBK1331" s="4" t="s">
        <v>2875</v>
      </c>
      <c r="SBL1331" s="4" t="s">
        <v>2875</v>
      </c>
      <c r="SBM1331" s="4" t="s">
        <v>2875</v>
      </c>
      <c r="SBN1331" s="4" t="s">
        <v>2875</v>
      </c>
      <c r="SBO1331" s="4" t="s">
        <v>2875</v>
      </c>
      <c r="SBP1331" s="4" t="s">
        <v>2875</v>
      </c>
      <c r="SBQ1331" s="4" t="s">
        <v>2875</v>
      </c>
      <c r="SBR1331" s="4" t="s">
        <v>2875</v>
      </c>
      <c r="SBS1331" s="4" t="s">
        <v>2875</v>
      </c>
      <c r="SBT1331" s="4" t="s">
        <v>2875</v>
      </c>
      <c r="SBU1331" s="4" t="s">
        <v>2875</v>
      </c>
      <c r="SBV1331" s="4" t="s">
        <v>2875</v>
      </c>
      <c r="SBW1331" s="4" t="s">
        <v>2875</v>
      </c>
      <c r="SBX1331" s="4" t="s">
        <v>2875</v>
      </c>
      <c r="SBY1331" s="4" t="s">
        <v>2875</v>
      </c>
      <c r="SBZ1331" s="4" t="s">
        <v>2875</v>
      </c>
      <c r="SCA1331" s="4" t="s">
        <v>2875</v>
      </c>
      <c r="SCB1331" s="4" t="s">
        <v>2875</v>
      </c>
      <c r="SCC1331" s="4" t="s">
        <v>2875</v>
      </c>
      <c r="SCD1331" s="4" t="s">
        <v>2875</v>
      </c>
      <c r="SCE1331" s="4" t="s">
        <v>2875</v>
      </c>
      <c r="SCF1331" s="4" t="s">
        <v>2875</v>
      </c>
      <c r="SCG1331" s="4" t="s">
        <v>2875</v>
      </c>
      <c r="SCH1331" s="4" t="s">
        <v>2875</v>
      </c>
      <c r="SCI1331" s="4" t="s">
        <v>2875</v>
      </c>
      <c r="SCJ1331" s="4" t="s">
        <v>2875</v>
      </c>
      <c r="SCK1331" s="4" t="s">
        <v>2875</v>
      </c>
      <c r="SCL1331" s="4" t="s">
        <v>2875</v>
      </c>
      <c r="SCM1331" s="4" t="s">
        <v>2875</v>
      </c>
      <c r="SCN1331" s="4" t="s">
        <v>2875</v>
      </c>
      <c r="SCO1331" s="4" t="s">
        <v>2875</v>
      </c>
      <c r="SCP1331" s="4" t="s">
        <v>2875</v>
      </c>
      <c r="SCQ1331" s="4" t="s">
        <v>2875</v>
      </c>
      <c r="SCR1331" s="4" t="s">
        <v>2875</v>
      </c>
      <c r="SCS1331" s="4" t="s">
        <v>2875</v>
      </c>
      <c r="SCT1331" s="4" t="s">
        <v>2875</v>
      </c>
      <c r="SCU1331" s="4" t="s">
        <v>2875</v>
      </c>
      <c r="SCV1331" s="4" t="s">
        <v>2875</v>
      </c>
      <c r="SCW1331" s="4" t="s">
        <v>2875</v>
      </c>
      <c r="SCX1331" s="4" t="s">
        <v>2875</v>
      </c>
      <c r="SCY1331" s="4" t="s">
        <v>2875</v>
      </c>
      <c r="SCZ1331" s="4" t="s">
        <v>2875</v>
      </c>
      <c r="SDA1331" s="4" t="s">
        <v>2875</v>
      </c>
      <c r="SDB1331" s="4" t="s">
        <v>2875</v>
      </c>
      <c r="SDC1331" s="4" t="s">
        <v>2875</v>
      </c>
      <c r="SDD1331" s="4" t="s">
        <v>2875</v>
      </c>
      <c r="SDE1331" s="4" t="s">
        <v>2875</v>
      </c>
      <c r="SDF1331" s="4" t="s">
        <v>2875</v>
      </c>
      <c r="SDG1331" s="4" t="s">
        <v>2875</v>
      </c>
      <c r="SDH1331" s="4" t="s">
        <v>2875</v>
      </c>
      <c r="SDI1331" s="4" t="s">
        <v>2875</v>
      </c>
      <c r="SDJ1331" s="4" t="s">
        <v>2875</v>
      </c>
      <c r="SDK1331" s="4" t="s">
        <v>2875</v>
      </c>
      <c r="SDL1331" s="4" t="s">
        <v>2875</v>
      </c>
      <c r="SDM1331" s="4" t="s">
        <v>2875</v>
      </c>
      <c r="SDN1331" s="4" t="s">
        <v>2875</v>
      </c>
      <c r="SDO1331" s="4" t="s">
        <v>2875</v>
      </c>
      <c r="SDP1331" s="4" t="s">
        <v>2875</v>
      </c>
      <c r="SDQ1331" s="4" t="s">
        <v>2875</v>
      </c>
      <c r="SDR1331" s="4" t="s">
        <v>2875</v>
      </c>
      <c r="SDS1331" s="4" t="s">
        <v>2875</v>
      </c>
      <c r="SDT1331" s="4" t="s">
        <v>2875</v>
      </c>
      <c r="SDU1331" s="4" t="s">
        <v>2875</v>
      </c>
      <c r="SDV1331" s="4" t="s">
        <v>2875</v>
      </c>
      <c r="SDW1331" s="4" t="s">
        <v>2875</v>
      </c>
      <c r="SDX1331" s="4" t="s">
        <v>2875</v>
      </c>
      <c r="SDY1331" s="4" t="s">
        <v>2875</v>
      </c>
      <c r="SDZ1331" s="4" t="s">
        <v>2875</v>
      </c>
      <c r="SEA1331" s="4" t="s">
        <v>2875</v>
      </c>
      <c r="SEB1331" s="4" t="s">
        <v>2875</v>
      </c>
      <c r="SEC1331" s="4" t="s">
        <v>2875</v>
      </c>
      <c r="SED1331" s="4" t="s">
        <v>2875</v>
      </c>
      <c r="SEE1331" s="4" t="s">
        <v>2875</v>
      </c>
      <c r="SEF1331" s="4" t="s">
        <v>2875</v>
      </c>
      <c r="SEG1331" s="4" t="s">
        <v>2875</v>
      </c>
      <c r="SEH1331" s="4" t="s">
        <v>2875</v>
      </c>
      <c r="SEI1331" s="4" t="s">
        <v>2875</v>
      </c>
      <c r="SEJ1331" s="4" t="s">
        <v>2875</v>
      </c>
      <c r="SEK1331" s="4" t="s">
        <v>2875</v>
      </c>
      <c r="SEL1331" s="4" t="s">
        <v>2875</v>
      </c>
      <c r="SEM1331" s="4" t="s">
        <v>2875</v>
      </c>
      <c r="SEN1331" s="4" t="s">
        <v>2875</v>
      </c>
      <c r="SEO1331" s="4" t="s">
        <v>2875</v>
      </c>
      <c r="SEP1331" s="4" t="s">
        <v>2875</v>
      </c>
      <c r="SEQ1331" s="4" t="s">
        <v>2875</v>
      </c>
      <c r="SER1331" s="4" t="s">
        <v>2875</v>
      </c>
      <c r="SES1331" s="4" t="s">
        <v>2875</v>
      </c>
      <c r="SET1331" s="4" t="s">
        <v>2875</v>
      </c>
      <c r="SEU1331" s="4" t="s">
        <v>2875</v>
      </c>
      <c r="SEV1331" s="4" t="s">
        <v>2875</v>
      </c>
      <c r="SEW1331" s="4" t="s">
        <v>2875</v>
      </c>
      <c r="SEX1331" s="4" t="s">
        <v>2875</v>
      </c>
      <c r="SEY1331" s="4" t="s">
        <v>2875</v>
      </c>
      <c r="SEZ1331" s="4" t="s">
        <v>2875</v>
      </c>
      <c r="SFA1331" s="4" t="s">
        <v>2875</v>
      </c>
      <c r="SFB1331" s="4" t="s">
        <v>2875</v>
      </c>
      <c r="SFC1331" s="4" t="s">
        <v>2875</v>
      </c>
      <c r="SFD1331" s="4" t="s">
        <v>2875</v>
      </c>
      <c r="SFE1331" s="4" t="s">
        <v>2875</v>
      </c>
      <c r="SFF1331" s="4" t="s">
        <v>2875</v>
      </c>
      <c r="SFG1331" s="4" t="s">
        <v>2875</v>
      </c>
      <c r="SFH1331" s="4" t="s">
        <v>2875</v>
      </c>
      <c r="SFI1331" s="4" t="s">
        <v>2875</v>
      </c>
      <c r="SFJ1331" s="4" t="s">
        <v>2875</v>
      </c>
      <c r="SFK1331" s="4" t="s">
        <v>2875</v>
      </c>
      <c r="SFL1331" s="4" t="s">
        <v>2875</v>
      </c>
      <c r="SFM1331" s="4" t="s">
        <v>2875</v>
      </c>
      <c r="SFN1331" s="4" t="s">
        <v>2875</v>
      </c>
      <c r="SFO1331" s="4" t="s">
        <v>2875</v>
      </c>
      <c r="SFP1331" s="4" t="s">
        <v>2875</v>
      </c>
      <c r="SFQ1331" s="4" t="s">
        <v>2875</v>
      </c>
      <c r="SFR1331" s="4" t="s">
        <v>2875</v>
      </c>
      <c r="SFS1331" s="4" t="s">
        <v>2875</v>
      </c>
      <c r="SFT1331" s="4" t="s">
        <v>2875</v>
      </c>
      <c r="SFU1331" s="4" t="s">
        <v>2875</v>
      </c>
      <c r="SFV1331" s="4" t="s">
        <v>2875</v>
      </c>
      <c r="SFW1331" s="4" t="s">
        <v>2875</v>
      </c>
      <c r="SFX1331" s="4" t="s">
        <v>2875</v>
      </c>
      <c r="SFY1331" s="4" t="s">
        <v>2875</v>
      </c>
      <c r="SFZ1331" s="4" t="s">
        <v>2875</v>
      </c>
      <c r="SGA1331" s="4" t="s">
        <v>2875</v>
      </c>
      <c r="SGB1331" s="4" t="s">
        <v>2875</v>
      </c>
      <c r="SGC1331" s="4" t="s">
        <v>2875</v>
      </c>
      <c r="SGD1331" s="4" t="s">
        <v>2875</v>
      </c>
      <c r="SGE1331" s="4" t="s">
        <v>2875</v>
      </c>
      <c r="SGF1331" s="4" t="s">
        <v>2875</v>
      </c>
      <c r="SGG1331" s="4" t="s">
        <v>2875</v>
      </c>
      <c r="SGH1331" s="4" t="s">
        <v>2875</v>
      </c>
      <c r="SGI1331" s="4" t="s">
        <v>2875</v>
      </c>
      <c r="SGJ1331" s="4" t="s">
        <v>2875</v>
      </c>
      <c r="SGK1331" s="4" t="s">
        <v>2875</v>
      </c>
      <c r="SGL1331" s="4" t="s">
        <v>2875</v>
      </c>
      <c r="SGM1331" s="4" t="s">
        <v>2875</v>
      </c>
      <c r="SGN1331" s="4" t="s">
        <v>2875</v>
      </c>
      <c r="SGO1331" s="4" t="s">
        <v>2875</v>
      </c>
      <c r="SGP1331" s="4" t="s">
        <v>2875</v>
      </c>
      <c r="SGQ1331" s="4" t="s">
        <v>2875</v>
      </c>
      <c r="SGR1331" s="4" t="s">
        <v>2875</v>
      </c>
      <c r="SGS1331" s="4" t="s">
        <v>2875</v>
      </c>
      <c r="SGT1331" s="4" t="s">
        <v>2875</v>
      </c>
      <c r="SGU1331" s="4" t="s">
        <v>2875</v>
      </c>
      <c r="SGV1331" s="4" t="s">
        <v>2875</v>
      </c>
      <c r="SGW1331" s="4" t="s">
        <v>2875</v>
      </c>
      <c r="SGX1331" s="4" t="s">
        <v>2875</v>
      </c>
      <c r="SGY1331" s="4" t="s">
        <v>2875</v>
      </c>
      <c r="SGZ1331" s="4" t="s">
        <v>2875</v>
      </c>
      <c r="SHA1331" s="4" t="s">
        <v>2875</v>
      </c>
      <c r="SHB1331" s="4" t="s">
        <v>2875</v>
      </c>
      <c r="SHC1331" s="4" t="s">
        <v>2875</v>
      </c>
      <c r="SHD1331" s="4" t="s">
        <v>2875</v>
      </c>
      <c r="SHE1331" s="4" t="s">
        <v>2875</v>
      </c>
      <c r="SHF1331" s="4" t="s">
        <v>2875</v>
      </c>
      <c r="SHG1331" s="4" t="s">
        <v>2875</v>
      </c>
      <c r="SHH1331" s="4" t="s">
        <v>2875</v>
      </c>
      <c r="SHI1331" s="4" t="s">
        <v>2875</v>
      </c>
      <c r="SHJ1331" s="4" t="s">
        <v>2875</v>
      </c>
      <c r="SHK1331" s="4" t="s">
        <v>2875</v>
      </c>
      <c r="SHL1331" s="4" t="s">
        <v>2875</v>
      </c>
      <c r="SHM1331" s="4" t="s">
        <v>2875</v>
      </c>
      <c r="SHN1331" s="4" t="s">
        <v>2875</v>
      </c>
      <c r="SHO1331" s="4" t="s">
        <v>2875</v>
      </c>
      <c r="SHP1331" s="4" t="s">
        <v>2875</v>
      </c>
      <c r="SHQ1331" s="4" t="s">
        <v>2875</v>
      </c>
      <c r="SHR1331" s="4" t="s">
        <v>2875</v>
      </c>
      <c r="SHS1331" s="4" t="s">
        <v>2875</v>
      </c>
      <c r="SHT1331" s="4" t="s">
        <v>2875</v>
      </c>
      <c r="SHU1331" s="4" t="s">
        <v>2875</v>
      </c>
      <c r="SHV1331" s="4" t="s">
        <v>2875</v>
      </c>
      <c r="SHW1331" s="4" t="s">
        <v>2875</v>
      </c>
      <c r="SHX1331" s="4" t="s">
        <v>2875</v>
      </c>
      <c r="SHY1331" s="4" t="s">
        <v>2875</v>
      </c>
      <c r="SHZ1331" s="4" t="s">
        <v>2875</v>
      </c>
      <c r="SIA1331" s="4" t="s">
        <v>2875</v>
      </c>
      <c r="SIB1331" s="4" t="s">
        <v>2875</v>
      </c>
      <c r="SIC1331" s="4" t="s">
        <v>2875</v>
      </c>
      <c r="SID1331" s="4" t="s">
        <v>2875</v>
      </c>
      <c r="SIE1331" s="4" t="s">
        <v>2875</v>
      </c>
      <c r="SIF1331" s="4" t="s">
        <v>2875</v>
      </c>
      <c r="SIG1331" s="4" t="s">
        <v>2875</v>
      </c>
      <c r="SIH1331" s="4" t="s">
        <v>2875</v>
      </c>
      <c r="SII1331" s="4" t="s">
        <v>2875</v>
      </c>
      <c r="SIJ1331" s="4" t="s">
        <v>2875</v>
      </c>
      <c r="SIK1331" s="4" t="s">
        <v>2875</v>
      </c>
      <c r="SIL1331" s="4" t="s">
        <v>2875</v>
      </c>
      <c r="SIM1331" s="4" t="s">
        <v>2875</v>
      </c>
      <c r="SIN1331" s="4" t="s">
        <v>2875</v>
      </c>
      <c r="SIO1331" s="4" t="s">
        <v>2875</v>
      </c>
      <c r="SIP1331" s="4" t="s">
        <v>2875</v>
      </c>
      <c r="SIQ1331" s="4" t="s">
        <v>2875</v>
      </c>
      <c r="SIR1331" s="4" t="s">
        <v>2875</v>
      </c>
      <c r="SIS1331" s="4" t="s">
        <v>2875</v>
      </c>
      <c r="SIT1331" s="4" t="s">
        <v>2875</v>
      </c>
      <c r="SIU1331" s="4" t="s">
        <v>2875</v>
      </c>
      <c r="SIV1331" s="4" t="s">
        <v>2875</v>
      </c>
      <c r="SIW1331" s="4" t="s">
        <v>2875</v>
      </c>
      <c r="SIX1331" s="4" t="s">
        <v>2875</v>
      </c>
      <c r="SIY1331" s="4" t="s">
        <v>2875</v>
      </c>
      <c r="SIZ1331" s="4" t="s">
        <v>2875</v>
      </c>
      <c r="SJA1331" s="4" t="s">
        <v>2875</v>
      </c>
      <c r="SJB1331" s="4" t="s">
        <v>2875</v>
      </c>
      <c r="SJC1331" s="4" t="s">
        <v>2875</v>
      </c>
      <c r="SJD1331" s="4" t="s">
        <v>2875</v>
      </c>
      <c r="SJE1331" s="4" t="s">
        <v>2875</v>
      </c>
      <c r="SJF1331" s="4" t="s">
        <v>2875</v>
      </c>
      <c r="SJG1331" s="4" t="s">
        <v>2875</v>
      </c>
      <c r="SJH1331" s="4" t="s">
        <v>2875</v>
      </c>
      <c r="SJI1331" s="4" t="s">
        <v>2875</v>
      </c>
      <c r="SJJ1331" s="4" t="s">
        <v>2875</v>
      </c>
      <c r="SJK1331" s="4" t="s">
        <v>2875</v>
      </c>
      <c r="SJL1331" s="4" t="s">
        <v>2875</v>
      </c>
      <c r="SJM1331" s="4" t="s">
        <v>2875</v>
      </c>
      <c r="SJN1331" s="4" t="s">
        <v>2875</v>
      </c>
      <c r="SJO1331" s="4" t="s">
        <v>2875</v>
      </c>
      <c r="SJP1331" s="4" t="s">
        <v>2875</v>
      </c>
      <c r="SJQ1331" s="4" t="s">
        <v>2875</v>
      </c>
      <c r="SJR1331" s="4" t="s">
        <v>2875</v>
      </c>
      <c r="SJS1331" s="4" t="s">
        <v>2875</v>
      </c>
      <c r="SJT1331" s="4" t="s">
        <v>2875</v>
      </c>
      <c r="SJU1331" s="4" t="s">
        <v>2875</v>
      </c>
      <c r="SJV1331" s="4" t="s">
        <v>2875</v>
      </c>
      <c r="SJW1331" s="4" t="s">
        <v>2875</v>
      </c>
      <c r="SJX1331" s="4" t="s">
        <v>2875</v>
      </c>
      <c r="SJY1331" s="4" t="s">
        <v>2875</v>
      </c>
      <c r="SJZ1331" s="4" t="s">
        <v>2875</v>
      </c>
      <c r="SKA1331" s="4" t="s">
        <v>2875</v>
      </c>
      <c r="SKB1331" s="4" t="s">
        <v>2875</v>
      </c>
      <c r="SKC1331" s="4" t="s">
        <v>2875</v>
      </c>
      <c r="SKD1331" s="4" t="s">
        <v>2875</v>
      </c>
      <c r="SKE1331" s="4" t="s">
        <v>2875</v>
      </c>
      <c r="SKF1331" s="4" t="s">
        <v>2875</v>
      </c>
      <c r="SKG1331" s="4" t="s">
        <v>2875</v>
      </c>
      <c r="SKH1331" s="4" t="s">
        <v>2875</v>
      </c>
      <c r="SKI1331" s="4" t="s">
        <v>2875</v>
      </c>
      <c r="SKJ1331" s="4" t="s">
        <v>2875</v>
      </c>
      <c r="SKK1331" s="4" t="s">
        <v>2875</v>
      </c>
      <c r="SKL1331" s="4" t="s">
        <v>2875</v>
      </c>
      <c r="SKM1331" s="4" t="s">
        <v>2875</v>
      </c>
      <c r="SKN1331" s="4" t="s">
        <v>2875</v>
      </c>
      <c r="SKO1331" s="4" t="s">
        <v>2875</v>
      </c>
      <c r="SKP1331" s="4" t="s">
        <v>2875</v>
      </c>
      <c r="SKQ1331" s="4" t="s">
        <v>2875</v>
      </c>
      <c r="SKR1331" s="4" t="s">
        <v>2875</v>
      </c>
      <c r="SKS1331" s="4" t="s">
        <v>2875</v>
      </c>
      <c r="SKT1331" s="4" t="s">
        <v>2875</v>
      </c>
      <c r="SKU1331" s="4" t="s">
        <v>2875</v>
      </c>
      <c r="SKV1331" s="4" t="s">
        <v>2875</v>
      </c>
      <c r="SKW1331" s="4" t="s">
        <v>2875</v>
      </c>
      <c r="SKX1331" s="4" t="s">
        <v>2875</v>
      </c>
      <c r="SKY1331" s="4" t="s">
        <v>2875</v>
      </c>
      <c r="SKZ1331" s="4" t="s">
        <v>2875</v>
      </c>
      <c r="SLA1331" s="4" t="s">
        <v>2875</v>
      </c>
      <c r="SLB1331" s="4" t="s">
        <v>2875</v>
      </c>
      <c r="SLC1331" s="4" t="s">
        <v>2875</v>
      </c>
      <c r="SLD1331" s="4" t="s">
        <v>2875</v>
      </c>
      <c r="SLE1331" s="4" t="s">
        <v>2875</v>
      </c>
      <c r="SLF1331" s="4" t="s">
        <v>2875</v>
      </c>
      <c r="SLG1331" s="4" t="s">
        <v>2875</v>
      </c>
      <c r="SLH1331" s="4" t="s">
        <v>2875</v>
      </c>
      <c r="SLI1331" s="4" t="s">
        <v>2875</v>
      </c>
      <c r="SLJ1331" s="4" t="s">
        <v>2875</v>
      </c>
      <c r="SLK1331" s="4" t="s">
        <v>2875</v>
      </c>
      <c r="SLL1331" s="4" t="s">
        <v>2875</v>
      </c>
      <c r="SLM1331" s="4" t="s">
        <v>2875</v>
      </c>
      <c r="SLN1331" s="4" t="s">
        <v>2875</v>
      </c>
      <c r="SLO1331" s="4" t="s">
        <v>2875</v>
      </c>
      <c r="SLP1331" s="4" t="s">
        <v>2875</v>
      </c>
      <c r="SLQ1331" s="4" t="s">
        <v>2875</v>
      </c>
      <c r="SLR1331" s="4" t="s">
        <v>2875</v>
      </c>
      <c r="SLS1331" s="4" t="s">
        <v>2875</v>
      </c>
      <c r="SLT1331" s="4" t="s">
        <v>2875</v>
      </c>
      <c r="SLU1331" s="4" t="s">
        <v>2875</v>
      </c>
      <c r="SLV1331" s="4" t="s">
        <v>2875</v>
      </c>
      <c r="SLW1331" s="4" t="s">
        <v>2875</v>
      </c>
      <c r="SLX1331" s="4" t="s">
        <v>2875</v>
      </c>
      <c r="SLY1331" s="4" t="s">
        <v>2875</v>
      </c>
      <c r="SLZ1331" s="4" t="s">
        <v>2875</v>
      </c>
      <c r="SMA1331" s="4" t="s">
        <v>2875</v>
      </c>
      <c r="SMB1331" s="4" t="s">
        <v>2875</v>
      </c>
      <c r="SMC1331" s="4" t="s">
        <v>2875</v>
      </c>
      <c r="SMD1331" s="4" t="s">
        <v>2875</v>
      </c>
      <c r="SME1331" s="4" t="s">
        <v>2875</v>
      </c>
      <c r="SMF1331" s="4" t="s">
        <v>2875</v>
      </c>
      <c r="SMG1331" s="4" t="s">
        <v>2875</v>
      </c>
      <c r="SMH1331" s="4" t="s">
        <v>2875</v>
      </c>
      <c r="SMI1331" s="4" t="s">
        <v>2875</v>
      </c>
      <c r="SMJ1331" s="4" t="s">
        <v>2875</v>
      </c>
      <c r="SMK1331" s="4" t="s">
        <v>2875</v>
      </c>
      <c r="SML1331" s="4" t="s">
        <v>2875</v>
      </c>
      <c r="SMM1331" s="4" t="s">
        <v>2875</v>
      </c>
      <c r="SMN1331" s="4" t="s">
        <v>2875</v>
      </c>
      <c r="SMO1331" s="4" t="s">
        <v>2875</v>
      </c>
      <c r="SMP1331" s="4" t="s">
        <v>2875</v>
      </c>
      <c r="SMQ1331" s="4" t="s">
        <v>2875</v>
      </c>
      <c r="SMR1331" s="4" t="s">
        <v>2875</v>
      </c>
      <c r="SMS1331" s="4" t="s">
        <v>2875</v>
      </c>
      <c r="SMT1331" s="4" t="s">
        <v>2875</v>
      </c>
      <c r="SMU1331" s="4" t="s">
        <v>2875</v>
      </c>
      <c r="SMV1331" s="4" t="s">
        <v>2875</v>
      </c>
      <c r="SMW1331" s="4" t="s">
        <v>2875</v>
      </c>
      <c r="SMX1331" s="4" t="s">
        <v>2875</v>
      </c>
      <c r="SMY1331" s="4" t="s">
        <v>2875</v>
      </c>
      <c r="SMZ1331" s="4" t="s">
        <v>2875</v>
      </c>
      <c r="SNA1331" s="4" t="s">
        <v>2875</v>
      </c>
      <c r="SNB1331" s="4" t="s">
        <v>2875</v>
      </c>
      <c r="SNC1331" s="4" t="s">
        <v>2875</v>
      </c>
      <c r="SND1331" s="4" t="s">
        <v>2875</v>
      </c>
      <c r="SNE1331" s="4" t="s">
        <v>2875</v>
      </c>
      <c r="SNF1331" s="4" t="s">
        <v>2875</v>
      </c>
      <c r="SNG1331" s="4" t="s">
        <v>2875</v>
      </c>
      <c r="SNH1331" s="4" t="s">
        <v>2875</v>
      </c>
      <c r="SNI1331" s="4" t="s">
        <v>2875</v>
      </c>
      <c r="SNJ1331" s="4" t="s">
        <v>2875</v>
      </c>
      <c r="SNK1331" s="4" t="s">
        <v>2875</v>
      </c>
      <c r="SNL1331" s="4" t="s">
        <v>2875</v>
      </c>
      <c r="SNM1331" s="4" t="s">
        <v>2875</v>
      </c>
      <c r="SNN1331" s="4" t="s">
        <v>2875</v>
      </c>
      <c r="SNO1331" s="4" t="s">
        <v>2875</v>
      </c>
      <c r="SNP1331" s="4" t="s">
        <v>2875</v>
      </c>
      <c r="SNQ1331" s="4" t="s">
        <v>2875</v>
      </c>
      <c r="SNR1331" s="4" t="s">
        <v>2875</v>
      </c>
      <c r="SNS1331" s="4" t="s">
        <v>2875</v>
      </c>
      <c r="SNT1331" s="4" t="s">
        <v>2875</v>
      </c>
      <c r="SNU1331" s="4" t="s">
        <v>2875</v>
      </c>
      <c r="SNV1331" s="4" t="s">
        <v>2875</v>
      </c>
      <c r="SNW1331" s="4" t="s">
        <v>2875</v>
      </c>
      <c r="SNX1331" s="4" t="s">
        <v>2875</v>
      </c>
      <c r="SNY1331" s="4" t="s">
        <v>2875</v>
      </c>
      <c r="SNZ1331" s="4" t="s">
        <v>2875</v>
      </c>
      <c r="SOA1331" s="4" t="s">
        <v>2875</v>
      </c>
      <c r="SOB1331" s="4" t="s">
        <v>2875</v>
      </c>
      <c r="SOC1331" s="4" t="s">
        <v>2875</v>
      </c>
      <c r="SOD1331" s="4" t="s">
        <v>2875</v>
      </c>
      <c r="SOE1331" s="4" t="s">
        <v>2875</v>
      </c>
      <c r="SOF1331" s="4" t="s">
        <v>2875</v>
      </c>
      <c r="SOG1331" s="4" t="s">
        <v>2875</v>
      </c>
      <c r="SOH1331" s="4" t="s">
        <v>2875</v>
      </c>
      <c r="SOI1331" s="4" t="s">
        <v>2875</v>
      </c>
      <c r="SOJ1331" s="4" t="s">
        <v>2875</v>
      </c>
      <c r="SOK1331" s="4" t="s">
        <v>2875</v>
      </c>
      <c r="SOL1331" s="4" t="s">
        <v>2875</v>
      </c>
      <c r="SOM1331" s="4" t="s">
        <v>2875</v>
      </c>
      <c r="SON1331" s="4" t="s">
        <v>2875</v>
      </c>
      <c r="SOO1331" s="4" t="s">
        <v>2875</v>
      </c>
      <c r="SOP1331" s="4" t="s">
        <v>2875</v>
      </c>
      <c r="SOQ1331" s="4" t="s">
        <v>2875</v>
      </c>
      <c r="SOR1331" s="4" t="s">
        <v>2875</v>
      </c>
      <c r="SOS1331" s="4" t="s">
        <v>2875</v>
      </c>
      <c r="SOT1331" s="4" t="s">
        <v>2875</v>
      </c>
      <c r="SOU1331" s="4" t="s">
        <v>2875</v>
      </c>
      <c r="SOV1331" s="4" t="s">
        <v>2875</v>
      </c>
      <c r="SOW1331" s="4" t="s">
        <v>2875</v>
      </c>
      <c r="SOX1331" s="4" t="s">
        <v>2875</v>
      </c>
      <c r="SOY1331" s="4" t="s">
        <v>2875</v>
      </c>
      <c r="SOZ1331" s="4" t="s">
        <v>2875</v>
      </c>
      <c r="SPA1331" s="4" t="s">
        <v>2875</v>
      </c>
      <c r="SPB1331" s="4" t="s">
        <v>2875</v>
      </c>
      <c r="SPC1331" s="4" t="s">
        <v>2875</v>
      </c>
      <c r="SPD1331" s="4" t="s">
        <v>2875</v>
      </c>
      <c r="SPE1331" s="4" t="s">
        <v>2875</v>
      </c>
      <c r="SPF1331" s="4" t="s">
        <v>2875</v>
      </c>
      <c r="SPG1331" s="4" t="s">
        <v>2875</v>
      </c>
      <c r="SPH1331" s="4" t="s">
        <v>2875</v>
      </c>
      <c r="SPI1331" s="4" t="s">
        <v>2875</v>
      </c>
      <c r="SPJ1331" s="4" t="s">
        <v>2875</v>
      </c>
      <c r="SPK1331" s="4" t="s">
        <v>2875</v>
      </c>
      <c r="SPL1331" s="4" t="s">
        <v>2875</v>
      </c>
      <c r="SPM1331" s="4" t="s">
        <v>2875</v>
      </c>
      <c r="SPN1331" s="4" t="s">
        <v>2875</v>
      </c>
      <c r="SPO1331" s="4" t="s">
        <v>2875</v>
      </c>
      <c r="SPP1331" s="4" t="s">
        <v>2875</v>
      </c>
      <c r="SPQ1331" s="4" t="s">
        <v>2875</v>
      </c>
      <c r="SPR1331" s="4" t="s">
        <v>2875</v>
      </c>
      <c r="SPS1331" s="4" t="s">
        <v>2875</v>
      </c>
      <c r="SPT1331" s="4" t="s">
        <v>2875</v>
      </c>
      <c r="SPU1331" s="4" t="s">
        <v>2875</v>
      </c>
      <c r="SPV1331" s="4" t="s">
        <v>2875</v>
      </c>
      <c r="SPW1331" s="4" t="s">
        <v>2875</v>
      </c>
      <c r="SPX1331" s="4" t="s">
        <v>2875</v>
      </c>
      <c r="SPY1331" s="4" t="s">
        <v>2875</v>
      </c>
      <c r="SPZ1331" s="4" t="s">
        <v>2875</v>
      </c>
      <c r="SQA1331" s="4" t="s">
        <v>2875</v>
      </c>
      <c r="SQB1331" s="4" t="s">
        <v>2875</v>
      </c>
      <c r="SQC1331" s="4" t="s">
        <v>2875</v>
      </c>
      <c r="SQD1331" s="4" t="s">
        <v>2875</v>
      </c>
      <c r="SQE1331" s="4" t="s">
        <v>2875</v>
      </c>
      <c r="SQF1331" s="4" t="s">
        <v>2875</v>
      </c>
      <c r="SQG1331" s="4" t="s">
        <v>2875</v>
      </c>
      <c r="SQH1331" s="4" t="s">
        <v>2875</v>
      </c>
      <c r="SQI1331" s="4" t="s">
        <v>2875</v>
      </c>
      <c r="SQJ1331" s="4" t="s">
        <v>2875</v>
      </c>
      <c r="SQK1331" s="4" t="s">
        <v>2875</v>
      </c>
      <c r="SQL1331" s="4" t="s">
        <v>2875</v>
      </c>
      <c r="SQM1331" s="4" t="s">
        <v>2875</v>
      </c>
      <c r="SQN1331" s="4" t="s">
        <v>2875</v>
      </c>
      <c r="SQO1331" s="4" t="s">
        <v>2875</v>
      </c>
      <c r="SQP1331" s="4" t="s">
        <v>2875</v>
      </c>
      <c r="SQQ1331" s="4" t="s">
        <v>2875</v>
      </c>
      <c r="SQR1331" s="4" t="s">
        <v>2875</v>
      </c>
      <c r="SQS1331" s="4" t="s">
        <v>2875</v>
      </c>
      <c r="SQT1331" s="4" t="s">
        <v>2875</v>
      </c>
      <c r="SQU1331" s="4" t="s">
        <v>2875</v>
      </c>
      <c r="SQV1331" s="4" t="s">
        <v>2875</v>
      </c>
      <c r="SQW1331" s="4" t="s">
        <v>2875</v>
      </c>
      <c r="SQX1331" s="4" t="s">
        <v>2875</v>
      </c>
      <c r="SQY1331" s="4" t="s">
        <v>2875</v>
      </c>
      <c r="SQZ1331" s="4" t="s">
        <v>2875</v>
      </c>
      <c r="SRA1331" s="4" t="s">
        <v>2875</v>
      </c>
      <c r="SRB1331" s="4" t="s">
        <v>2875</v>
      </c>
      <c r="SRC1331" s="4" t="s">
        <v>2875</v>
      </c>
      <c r="SRD1331" s="4" t="s">
        <v>2875</v>
      </c>
      <c r="SRE1331" s="4" t="s">
        <v>2875</v>
      </c>
      <c r="SRF1331" s="4" t="s">
        <v>2875</v>
      </c>
      <c r="SRG1331" s="4" t="s">
        <v>2875</v>
      </c>
      <c r="SRH1331" s="4" t="s">
        <v>2875</v>
      </c>
      <c r="SRI1331" s="4" t="s">
        <v>2875</v>
      </c>
      <c r="SRJ1331" s="4" t="s">
        <v>2875</v>
      </c>
      <c r="SRK1331" s="4" t="s">
        <v>2875</v>
      </c>
      <c r="SRL1331" s="4" t="s">
        <v>2875</v>
      </c>
      <c r="SRM1331" s="4" t="s">
        <v>2875</v>
      </c>
      <c r="SRN1331" s="4" t="s">
        <v>2875</v>
      </c>
      <c r="SRO1331" s="4" t="s">
        <v>2875</v>
      </c>
      <c r="SRP1331" s="4" t="s">
        <v>2875</v>
      </c>
      <c r="SRQ1331" s="4" t="s">
        <v>2875</v>
      </c>
      <c r="SRR1331" s="4" t="s">
        <v>2875</v>
      </c>
      <c r="SRS1331" s="4" t="s">
        <v>2875</v>
      </c>
      <c r="SRT1331" s="4" t="s">
        <v>2875</v>
      </c>
      <c r="SRU1331" s="4" t="s">
        <v>2875</v>
      </c>
      <c r="SRV1331" s="4" t="s">
        <v>2875</v>
      </c>
      <c r="SRW1331" s="4" t="s">
        <v>2875</v>
      </c>
      <c r="SRX1331" s="4" t="s">
        <v>2875</v>
      </c>
      <c r="SRY1331" s="4" t="s">
        <v>2875</v>
      </c>
      <c r="SRZ1331" s="4" t="s">
        <v>2875</v>
      </c>
      <c r="SSA1331" s="4" t="s">
        <v>2875</v>
      </c>
      <c r="SSB1331" s="4" t="s">
        <v>2875</v>
      </c>
      <c r="SSC1331" s="4" t="s">
        <v>2875</v>
      </c>
      <c r="SSD1331" s="4" t="s">
        <v>2875</v>
      </c>
      <c r="SSE1331" s="4" t="s">
        <v>2875</v>
      </c>
      <c r="SSF1331" s="4" t="s">
        <v>2875</v>
      </c>
      <c r="SSG1331" s="4" t="s">
        <v>2875</v>
      </c>
      <c r="SSH1331" s="4" t="s">
        <v>2875</v>
      </c>
      <c r="SSI1331" s="4" t="s">
        <v>2875</v>
      </c>
      <c r="SSJ1331" s="4" t="s">
        <v>2875</v>
      </c>
      <c r="SSK1331" s="4" t="s">
        <v>2875</v>
      </c>
      <c r="SSL1331" s="4" t="s">
        <v>2875</v>
      </c>
      <c r="SSM1331" s="4" t="s">
        <v>2875</v>
      </c>
      <c r="SSN1331" s="4" t="s">
        <v>2875</v>
      </c>
      <c r="SSO1331" s="4" t="s">
        <v>2875</v>
      </c>
      <c r="SSP1331" s="4" t="s">
        <v>2875</v>
      </c>
      <c r="SSQ1331" s="4" t="s">
        <v>2875</v>
      </c>
      <c r="SSR1331" s="4" t="s">
        <v>2875</v>
      </c>
      <c r="SSS1331" s="4" t="s">
        <v>2875</v>
      </c>
      <c r="SST1331" s="4" t="s">
        <v>2875</v>
      </c>
      <c r="SSU1331" s="4" t="s">
        <v>2875</v>
      </c>
      <c r="SSV1331" s="4" t="s">
        <v>2875</v>
      </c>
      <c r="SSW1331" s="4" t="s">
        <v>2875</v>
      </c>
      <c r="SSX1331" s="4" t="s">
        <v>2875</v>
      </c>
      <c r="SSY1331" s="4" t="s">
        <v>2875</v>
      </c>
      <c r="SSZ1331" s="4" t="s">
        <v>2875</v>
      </c>
      <c r="STA1331" s="4" t="s">
        <v>2875</v>
      </c>
      <c r="STB1331" s="4" t="s">
        <v>2875</v>
      </c>
      <c r="STC1331" s="4" t="s">
        <v>2875</v>
      </c>
      <c r="STD1331" s="4" t="s">
        <v>2875</v>
      </c>
      <c r="STE1331" s="4" t="s">
        <v>2875</v>
      </c>
      <c r="STF1331" s="4" t="s">
        <v>2875</v>
      </c>
      <c r="STG1331" s="4" t="s">
        <v>2875</v>
      </c>
      <c r="STH1331" s="4" t="s">
        <v>2875</v>
      </c>
      <c r="STI1331" s="4" t="s">
        <v>2875</v>
      </c>
      <c r="STJ1331" s="4" t="s">
        <v>2875</v>
      </c>
      <c r="STK1331" s="4" t="s">
        <v>2875</v>
      </c>
      <c r="STL1331" s="4" t="s">
        <v>2875</v>
      </c>
      <c r="STM1331" s="4" t="s">
        <v>2875</v>
      </c>
      <c r="STN1331" s="4" t="s">
        <v>2875</v>
      </c>
      <c r="STO1331" s="4" t="s">
        <v>2875</v>
      </c>
      <c r="STP1331" s="4" t="s">
        <v>2875</v>
      </c>
      <c r="STQ1331" s="4" t="s">
        <v>2875</v>
      </c>
      <c r="STR1331" s="4" t="s">
        <v>2875</v>
      </c>
      <c r="STS1331" s="4" t="s">
        <v>2875</v>
      </c>
      <c r="STT1331" s="4" t="s">
        <v>2875</v>
      </c>
      <c r="STU1331" s="4" t="s">
        <v>2875</v>
      </c>
      <c r="STV1331" s="4" t="s">
        <v>2875</v>
      </c>
      <c r="STW1331" s="4" t="s">
        <v>2875</v>
      </c>
      <c r="STX1331" s="4" t="s">
        <v>2875</v>
      </c>
      <c r="STY1331" s="4" t="s">
        <v>2875</v>
      </c>
      <c r="STZ1331" s="4" t="s">
        <v>2875</v>
      </c>
      <c r="SUA1331" s="4" t="s">
        <v>2875</v>
      </c>
      <c r="SUB1331" s="4" t="s">
        <v>2875</v>
      </c>
      <c r="SUC1331" s="4" t="s">
        <v>2875</v>
      </c>
      <c r="SUD1331" s="4" t="s">
        <v>2875</v>
      </c>
      <c r="SUE1331" s="4" t="s">
        <v>2875</v>
      </c>
      <c r="SUF1331" s="4" t="s">
        <v>2875</v>
      </c>
      <c r="SUG1331" s="4" t="s">
        <v>2875</v>
      </c>
      <c r="SUH1331" s="4" t="s">
        <v>2875</v>
      </c>
      <c r="SUI1331" s="4" t="s">
        <v>2875</v>
      </c>
      <c r="SUJ1331" s="4" t="s">
        <v>2875</v>
      </c>
      <c r="SUK1331" s="4" t="s">
        <v>2875</v>
      </c>
      <c r="SUL1331" s="4" t="s">
        <v>2875</v>
      </c>
      <c r="SUM1331" s="4" t="s">
        <v>2875</v>
      </c>
      <c r="SUN1331" s="4" t="s">
        <v>2875</v>
      </c>
      <c r="SUO1331" s="4" t="s">
        <v>2875</v>
      </c>
      <c r="SUP1331" s="4" t="s">
        <v>2875</v>
      </c>
      <c r="SUQ1331" s="4" t="s">
        <v>2875</v>
      </c>
      <c r="SUR1331" s="4" t="s">
        <v>2875</v>
      </c>
      <c r="SUS1331" s="4" t="s">
        <v>2875</v>
      </c>
      <c r="SUT1331" s="4" t="s">
        <v>2875</v>
      </c>
      <c r="SUU1331" s="4" t="s">
        <v>2875</v>
      </c>
      <c r="SUV1331" s="4" t="s">
        <v>2875</v>
      </c>
      <c r="SUW1331" s="4" t="s">
        <v>2875</v>
      </c>
      <c r="SUX1331" s="4" t="s">
        <v>2875</v>
      </c>
      <c r="SUY1331" s="4" t="s">
        <v>2875</v>
      </c>
      <c r="SUZ1331" s="4" t="s">
        <v>2875</v>
      </c>
      <c r="SVA1331" s="4" t="s">
        <v>2875</v>
      </c>
      <c r="SVB1331" s="4" t="s">
        <v>2875</v>
      </c>
      <c r="SVC1331" s="4" t="s">
        <v>2875</v>
      </c>
      <c r="SVD1331" s="4" t="s">
        <v>2875</v>
      </c>
      <c r="SVE1331" s="4" t="s">
        <v>2875</v>
      </c>
      <c r="SVF1331" s="4" t="s">
        <v>2875</v>
      </c>
      <c r="SVG1331" s="4" t="s">
        <v>2875</v>
      </c>
      <c r="SVH1331" s="4" t="s">
        <v>2875</v>
      </c>
      <c r="SVI1331" s="4" t="s">
        <v>2875</v>
      </c>
      <c r="SVJ1331" s="4" t="s">
        <v>2875</v>
      </c>
      <c r="SVK1331" s="4" t="s">
        <v>2875</v>
      </c>
      <c r="SVL1331" s="4" t="s">
        <v>2875</v>
      </c>
      <c r="SVM1331" s="4" t="s">
        <v>2875</v>
      </c>
      <c r="SVN1331" s="4" t="s">
        <v>2875</v>
      </c>
      <c r="SVO1331" s="4" t="s">
        <v>2875</v>
      </c>
      <c r="SVP1331" s="4" t="s">
        <v>2875</v>
      </c>
      <c r="SVQ1331" s="4" t="s">
        <v>2875</v>
      </c>
      <c r="SVR1331" s="4" t="s">
        <v>2875</v>
      </c>
      <c r="SVS1331" s="4" t="s">
        <v>2875</v>
      </c>
      <c r="SVT1331" s="4" t="s">
        <v>2875</v>
      </c>
      <c r="SVU1331" s="4" t="s">
        <v>2875</v>
      </c>
      <c r="SVV1331" s="4" t="s">
        <v>2875</v>
      </c>
      <c r="SVW1331" s="4" t="s">
        <v>2875</v>
      </c>
      <c r="SVX1331" s="4" t="s">
        <v>2875</v>
      </c>
      <c r="SVY1331" s="4" t="s">
        <v>2875</v>
      </c>
      <c r="SVZ1331" s="4" t="s">
        <v>2875</v>
      </c>
      <c r="SWA1331" s="4" t="s">
        <v>2875</v>
      </c>
      <c r="SWB1331" s="4" t="s">
        <v>2875</v>
      </c>
      <c r="SWC1331" s="4" t="s">
        <v>2875</v>
      </c>
      <c r="SWD1331" s="4" t="s">
        <v>2875</v>
      </c>
      <c r="SWE1331" s="4" t="s">
        <v>2875</v>
      </c>
      <c r="SWF1331" s="4" t="s">
        <v>2875</v>
      </c>
      <c r="SWG1331" s="4" t="s">
        <v>2875</v>
      </c>
      <c r="SWH1331" s="4" t="s">
        <v>2875</v>
      </c>
      <c r="SWI1331" s="4" t="s">
        <v>2875</v>
      </c>
      <c r="SWJ1331" s="4" t="s">
        <v>2875</v>
      </c>
      <c r="SWK1331" s="4" t="s">
        <v>2875</v>
      </c>
      <c r="SWL1331" s="4" t="s">
        <v>2875</v>
      </c>
      <c r="SWM1331" s="4" t="s">
        <v>2875</v>
      </c>
      <c r="SWN1331" s="4" t="s">
        <v>2875</v>
      </c>
      <c r="SWO1331" s="4" t="s">
        <v>2875</v>
      </c>
      <c r="SWP1331" s="4" t="s">
        <v>2875</v>
      </c>
      <c r="SWQ1331" s="4" t="s">
        <v>2875</v>
      </c>
      <c r="SWR1331" s="4" t="s">
        <v>2875</v>
      </c>
      <c r="SWS1331" s="4" t="s">
        <v>2875</v>
      </c>
      <c r="SWT1331" s="4" t="s">
        <v>2875</v>
      </c>
      <c r="SWU1331" s="4" t="s">
        <v>2875</v>
      </c>
      <c r="SWV1331" s="4" t="s">
        <v>2875</v>
      </c>
      <c r="SWW1331" s="4" t="s">
        <v>2875</v>
      </c>
      <c r="SWX1331" s="4" t="s">
        <v>2875</v>
      </c>
      <c r="SWY1331" s="4" t="s">
        <v>2875</v>
      </c>
      <c r="SWZ1331" s="4" t="s">
        <v>2875</v>
      </c>
      <c r="SXA1331" s="4" t="s">
        <v>2875</v>
      </c>
      <c r="SXB1331" s="4" t="s">
        <v>2875</v>
      </c>
      <c r="SXC1331" s="4" t="s">
        <v>2875</v>
      </c>
      <c r="SXD1331" s="4" t="s">
        <v>2875</v>
      </c>
      <c r="SXE1331" s="4" t="s">
        <v>2875</v>
      </c>
      <c r="SXF1331" s="4" t="s">
        <v>2875</v>
      </c>
      <c r="SXG1331" s="4" t="s">
        <v>2875</v>
      </c>
      <c r="SXH1331" s="4" t="s">
        <v>2875</v>
      </c>
      <c r="SXI1331" s="4" t="s">
        <v>2875</v>
      </c>
      <c r="SXJ1331" s="4" t="s">
        <v>2875</v>
      </c>
      <c r="SXK1331" s="4" t="s">
        <v>2875</v>
      </c>
      <c r="SXL1331" s="4" t="s">
        <v>2875</v>
      </c>
      <c r="SXM1331" s="4" t="s">
        <v>2875</v>
      </c>
      <c r="SXN1331" s="4" t="s">
        <v>2875</v>
      </c>
      <c r="SXO1331" s="4" t="s">
        <v>2875</v>
      </c>
      <c r="SXP1331" s="4" t="s">
        <v>2875</v>
      </c>
      <c r="SXQ1331" s="4" t="s">
        <v>2875</v>
      </c>
      <c r="SXR1331" s="4" t="s">
        <v>2875</v>
      </c>
      <c r="SXS1331" s="4" t="s">
        <v>2875</v>
      </c>
      <c r="SXT1331" s="4" t="s">
        <v>2875</v>
      </c>
      <c r="SXU1331" s="4" t="s">
        <v>2875</v>
      </c>
      <c r="SXV1331" s="4" t="s">
        <v>2875</v>
      </c>
      <c r="SXW1331" s="4" t="s">
        <v>2875</v>
      </c>
      <c r="SXX1331" s="4" t="s">
        <v>2875</v>
      </c>
      <c r="SXY1331" s="4" t="s">
        <v>2875</v>
      </c>
      <c r="SXZ1331" s="4" t="s">
        <v>2875</v>
      </c>
      <c r="SYA1331" s="4" t="s">
        <v>2875</v>
      </c>
      <c r="SYB1331" s="4" t="s">
        <v>2875</v>
      </c>
      <c r="SYC1331" s="4" t="s">
        <v>2875</v>
      </c>
      <c r="SYD1331" s="4" t="s">
        <v>2875</v>
      </c>
      <c r="SYE1331" s="4" t="s">
        <v>2875</v>
      </c>
      <c r="SYF1331" s="4" t="s">
        <v>2875</v>
      </c>
      <c r="SYG1331" s="4" t="s">
        <v>2875</v>
      </c>
      <c r="SYH1331" s="4" t="s">
        <v>2875</v>
      </c>
      <c r="SYI1331" s="4" t="s">
        <v>2875</v>
      </c>
      <c r="SYJ1331" s="4" t="s">
        <v>2875</v>
      </c>
      <c r="SYK1331" s="4" t="s">
        <v>2875</v>
      </c>
      <c r="SYL1331" s="4" t="s">
        <v>2875</v>
      </c>
      <c r="SYM1331" s="4" t="s">
        <v>2875</v>
      </c>
      <c r="SYN1331" s="4" t="s">
        <v>2875</v>
      </c>
      <c r="SYO1331" s="4" t="s">
        <v>2875</v>
      </c>
      <c r="SYP1331" s="4" t="s">
        <v>2875</v>
      </c>
      <c r="SYQ1331" s="4" t="s">
        <v>2875</v>
      </c>
      <c r="SYR1331" s="4" t="s">
        <v>2875</v>
      </c>
      <c r="SYS1331" s="4" t="s">
        <v>2875</v>
      </c>
      <c r="SYT1331" s="4" t="s">
        <v>2875</v>
      </c>
      <c r="SYU1331" s="4" t="s">
        <v>2875</v>
      </c>
      <c r="SYV1331" s="4" t="s">
        <v>2875</v>
      </c>
      <c r="SYW1331" s="4" t="s">
        <v>2875</v>
      </c>
      <c r="SYX1331" s="4" t="s">
        <v>2875</v>
      </c>
      <c r="SYY1331" s="4" t="s">
        <v>2875</v>
      </c>
      <c r="SYZ1331" s="4" t="s">
        <v>2875</v>
      </c>
      <c r="SZA1331" s="4" t="s">
        <v>2875</v>
      </c>
      <c r="SZB1331" s="4" t="s">
        <v>2875</v>
      </c>
      <c r="SZC1331" s="4" t="s">
        <v>2875</v>
      </c>
      <c r="SZD1331" s="4" t="s">
        <v>2875</v>
      </c>
      <c r="SZE1331" s="4" t="s">
        <v>2875</v>
      </c>
      <c r="SZF1331" s="4" t="s">
        <v>2875</v>
      </c>
      <c r="SZG1331" s="4" t="s">
        <v>2875</v>
      </c>
      <c r="SZH1331" s="4" t="s">
        <v>2875</v>
      </c>
      <c r="SZI1331" s="4" t="s">
        <v>2875</v>
      </c>
      <c r="SZJ1331" s="4" t="s">
        <v>2875</v>
      </c>
      <c r="SZK1331" s="4" t="s">
        <v>2875</v>
      </c>
      <c r="SZL1331" s="4" t="s">
        <v>2875</v>
      </c>
      <c r="SZM1331" s="4" t="s">
        <v>2875</v>
      </c>
      <c r="SZN1331" s="4" t="s">
        <v>2875</v>
      </c>
      <c r="SZO1331" s="4" t="s">
        <v>2875</v>
      </c>
      <c r="SZP1331" s="4" t="s">
        <v>2875</v>
      </c>
      <c r="SZQ1331" s="4" t="s">
        <v>2875</v>
      </c>
      <c r="SZR1331" s="4" t="s">
        <v>2875</v>
      </c>
      <c r="SZS1331" s="4" t="s">
        <v>2875</v>
      </c>
      <c r="SZT1331" s="4" t="s">
        <v>2875</v>
      </c>
      <c r="SZU1331" s="4" t="s">
        <v>2875</v>
      </c>
      <c r="SZV1331" s="4" t="s">
        <v>2875</v>
      </c>
      <c r="SZW1331" s="4" t="s">
        <v>2875</v>
      </c>
      <c r="SZX1331" s="4" t="s">
        <v>2875</v>
      </c>
      <c r="SZY1331" s="4" t="s">
        <v>2875</v>
      </c>
      <c r="SZZ1331" s="4" t="s">
        <v>2875</v>
      </c>
      <c r="TAA1331" s="4" t="s">
        <v>2875</v>
      </c>
      <c r="TAB1331" s="4" t="s">
        <v>2875</v>
      </c>
      <c r="TAC1331" s="4" t="s">
        <v>2875</v>
      </c>
      <c r="TAD1331" s="4" t="s">
        <v>2875</v>
      </c>
      <c r="TAE1331" s="4" t="s">
        <v>2875</v>
      </c>
      <c r="TAF1331" s="4" t="s">
        <v>2875</v>
      </c>
      <c r="TAG1331" s="4" t="s">
        <v>2875</v>
      </c>
      <c r="TAH1331" s="4" t="s">
        <v>2875</v>
      </c>
      <c r="TAI1331" s="4" t="s">
        <v>2875</v>
      </c>
      <c r="TAJ1331" s="4" t="s">
        <v>2875</v>
      </c>
      <c r="TAK1331" s="4" t="s">
        <v>2875</v>
      </c>
      <c r="TAL1331" s="4" t="s">
        <v>2875</v>
      </c>
      <c r="TAM1331" s="4" t="s">
        <v>2875</v>
      </c>
      <c r="TAN1331" s="4" t="s">
        <v>2875</v>
      </c>
      <c r="TAO1331" s="4" t="s">
        <v>2875</v>
      </c>
      <c r="TAP1331" s="4" t="s">
        <v>2875</v>
      </c>
      <c r="TAQ1331" s="4" t="s">
        <v>2875</v>
      </c>
      <c r="TAR1331" s="4" t="s">
        <v>2875</v>
      </c>
      <c r="TAS1331" s="4" t="s">
        <v>2875</v>
      </c>
      <c r="TAT1331" s="4" t="s">
        <v>2875</v>
      </c>
      <c r="TAU1331" s="4" t="s">
        <v>2875</v>
      </c>
      <c r="TAV1331" s="4" t="s">
        <v>2875</v>
      </c>
      <c r="TAW1331" s="4" t="s">
        <v>2875</v>
      </c>
      <c r="TAX1331" s="4" t="s">
        <v>2875</v>
      </c>
      <c r="TAY1331" s="4" t="s">
        <v>2875</v>
      </c>
      <c r="TAZ1331" s="4" t="s">
        <v>2875</v>
      </c>
      <c r="TBA1331" s="4" t="s">
        <v>2875</v>
      </c>
      <c r="TBB1331" s="4" t="s">
        <v>2875</v>
      </c>
      <c r="TBC1331" s="4" t="s">
        <v>2875</v>
      </c>
      <c r="TBD1331" s="4" t="s">
        <v>2875</v>
      </c>
      <c r="TBE1331" s="4" t="s">
        <v>2875</v>
      </c>
      <c r="TBF1331" s="4" t="s">
        <v>2875</v>
      </c>
      <c r="TBG1331" s="4" t="s">
        <v>2875</v>
      </c>
      <c r="TBH1331" s="4" t="s">
        <v>2875</v>
      </c>
      <c r="TBI1331" s="4" t="s">
        <v>2875</v>
      </c>
      <c r="TBJ1331" s="4" t="s">
        <v>2875</v>
      </c>
      <c r="TBK1331" s="4" t="s">
        <v>2875</v>
      </c>
      <c r="TBL1331" s="4" t="s">
        <v>2875</v>
      </c>
      <c r="TBM1331" s="4" t="s">
        <v>2875</v>
      </c>
      <c r="TBN1331" s="4" t="s">
        <v>2875</v>
      </c>
      <c r="TBO1331" s="4" t="s">
        <v>2875</v>
      </c>
      <c r="TBP1331" s="4" t="s">
        <v>2875</v>
      </c>
      <c r="TBQ1331" s="4" t="s">
        <v>2875</v>
      </c>
      <c r="TBR1331" s="4" t="s">
        <v>2875</v>
      </c>
      <c r="TBS1331" s="4" t="s">
        <v>2875</v>
      </c>
      <c r="TBT1331" s="4" t="s">
        <v>2875</v>
      </c>
      <c r="TBU1331" s="4" t="s">
        <v>2875</v>
      </c>
      <c r="TBV1331" s="4" t="s">
        <v>2875</v>
      </c>
      <c r="TBW1331" s="4" t="s">
        <v>2875</v>
      </c>
      <c r="TBX1331" s="4" t="s">
        <v>2875</v>
      </c>
      <c r="TBY1331" s="4" t="s">
        <v>2875</v>
      </c>
      <c r="TBZ1331" s="4" t="s">
        <v>2875</v>
      </c>
      <c r="TCA1331" s="4" t="s">
        <v>2875</v>
      </c>
      <c r="TCB1331" s="4" t="s">
        <v>2875</v>
      </c>
      <c r="TCC1331" s="4" t="s">
        <v>2875</v>
      </c>
      <c r="TCD1331" s="4" t="s">
        <v>2875</v>
      </c>
      <c r="TCE1331" s="4" t="s">
        <v>2875</v>
      </c>
      <c r="TCF1331" s="4" t="s">
        <v>2875</v>
      </c>
      <c r="TCG1331" s="4" t="s">
        <v>2875</v>
      </c>
      <c r="TCH1331" s="4" t="s">
        <v>2875</v>
      </c>
      <c r="TCI1331" s="4" t="s">
        <v>2875</v>
      </c>
      <c r="TCJ1331" s="4" t="s">
        <v>2875</v>
      </c>
      <c r="TCK1331" s="4" t="s">
        <v>2875</v>
      </c>
      <c r="TCL1331" s="4" t="s">
        <v>2875</v>
      </c>
      <c r="TCM1331" s="4" t="s">
        <v>2875</v>
      </c>
      <c r="TCN1331" s="4" t="s">
        <v>2875</v>
      </c>
      <c r="TCO1331" s="4" t="s">
        <v>2875</v>
      </c>
      <c r="TCP1331" s="4" t="s">
        <v>2875</v>
      </c>
      <c r="TCQ1331" s="4" t="s">
        <v>2875</v>
      </c>
      <c r="TCR1331" s="4" t="s">
        <v>2875</v>
      </c>
      <c r="TCS1331" s="4" t="s">
        <v>2875</v>
      </c>
      <c r="TCT1331" s="4" t="s">
        <v>2875</v>
      </c>
      <c r="TCU1331" s="4" t="s">
        <v>2875</v>
      </c>
      <c r="TCV1331" s="4" t="s">
        <v>2875</v>
      </c>
      <c r="TCW1331" s="4" t="s">
        <v>2875</v>
      </c>
      <c r="TCX1331" s="4" t="s">
        <v>2875</v>
      </c>
      <c r="TCY1331" s="4" t="s">
        <v>2875</v>
      </c>
      <c r="TCZ1331" s="4" t="s">
        <v>2875</v>
      </c>
      <c r="TDA1331" s="4" t="s">
        <v>2875</v>
      </c>
      <c r="TDB1331" s="4" t="s">
        <v>2875</v>
      </c>
      <c r="TDC1331" s="4" t="s">
        <v>2875</v>
      </c>
      <c r="TDD1331" s="4" t="s">
        <v>2875</v>
      </c>
      <c r="TDE1331" s="4" t="s">
        <v>2875</v>
      </c>
      <c r="TDF1331" s="4" t="s">
        <v>2875</v>
      </c>
      <c r="TDG1331" s="4" t="s">
        <v>2875</v>
      </c>
      <c r="TDH1331" s="4" t="s">
        <v>2875</v>
      </c>
      <c r="TDI1331" s="4" t="s">
        <v>2875</v>
      </c>
      <c r="TDJ1331" s="4" t="s">
        <v>2875</v>
      </c>
      <c r="TDK1331" s="4" t="s">
        <v>2875</v>
      </c>
      <c r="TDL1331" s="4" t="s">
        <v>2875</v>
      </c>
      <c r="TDM1331" s="4" t="s">
        <v>2875</v>
      </c>
      <c r="TDN1331" s="4" t="s">
        <v>2875</v>
      </c>
      <c r="TDO1331" s="4" t="s">
        <v>2875</v>
      </c>
      <c r="TDP1331" s="4" t="s">
        <v>2875</v>
      </c>
      <c r="TDQ1331" s="4" t="s">
        <v>2875</v>
      </c>
      <c r="TDR1331" s="4" t="s">
        <v>2875</v>
      </c>
      <c r="TDS1331" s="4" t="s">
        <v>2875</v>
      </c>
      <c r="TDT1331" s="4" t="s">
        <v>2875</v>
      </c>
      <c r="TDU1331" s="4" t="s">
        <v>2875</v>
      </c>
      <c r="TDV1331" s="4" t="s">
        <v>2875</v>
      </c>
      <c r="TDW1331" s="4" t="s">
        <v>2875</v>
      </c>
      <c r="TDX1331" s="4" t="s">
        <v>2875</v>
      </c>
      <c r="TDY1331" s="4" t="s">
        <v>2875</v>
      </c>
      <c r="TDZ1331" s="4" t="s">
        <v>2875</v>
      </c>
      <c r="TEA1331" s="4" t="s">
        <v>2875</v>
      </c>
      <c r="TEB1331" s="4" t="s">
        <v>2875</v>
      </c>
      <c r="TEC1331" s="4" t="s">
        <v>2875</v>
      </c>
      <c r="TED1331" s="4" t="s">
        <v>2875</v>
      </c>
      <c r="TEE1331" s="4" t="s">
        <v>2875</v>
      </c>
      <c r="TEF1331" s="4" t="s">
        <v>2875</v>
      </c>
      <c r="TEG1331" s="4" t="s">
        <v>2875</v>
      </c>
      <c r="TEH1331" s="4" t="s">
        <v>2875</v>
      </c>
      <c r="TEI1331" s="4" t="s">
        <v>2875</v>
      </c>
      <c r="TEJ1331" s="4" t="s">
        <v>2875</v>
      </c>
      <c r="TEK1331" s="4" t="s">
        <v>2875</v>
      </c>
      <c r="TEL1331" s="4" t="s">
        <v>2875</v>
      </c>
      <c r="TEM1331" s="4" t="s">
        <v>2875</v>
      </c>
      <c r="TEN1331" s="4" t="s">
        <v>2875</v>
      </c>
      <c r="TEO1331" s="4" t="s">
        <v>2875</v>
      </c>
      <c r="TEP1331" s="4" t="s">
        <v>2875</v>
      </c>
      <c r="TEQ1331" s="4" t="s">
        <v>2875</v>
      </c>
      <c r="TER1331" s="4" t="s">
        <v>2875</v>
      </c>
      <c r="TES1331" s="4" t="s">
        <v>2875</v>
      </c>
      <c r="TET1331" s="4" t="s">
        <v>2875</v>
      </c>
      <c r="TEU1331" s="4" t="s">
        <v>2875</v>
      </c>
      <c r="TEV1331" s="4" t="s">
        <v>2875</v>
      </c>
      <c r="TEW1331" s="4" t="s">
        <v>2875</v>
      </c>
      <c r="TEX1331" s="4" t="s">
        <v>2875</v>
      </c>
      <c r="TEY1331" s="4" t="s">
        <v>2875</v>
      </c>
      <c r="TEZ1331" s="4" t="s">
        <v>2875</v>
      </c>
      <c r="TFA1331" s="4" t="s">
        <v>2875</v>
      </c>
      <c r="TFB1331" s="4" t="s">
        <v>2875</v>
      </c>
      <c r="TFC1331" s="4" t="s">
        <v>2875</v>
      </c>
      <c r="TFD1331" s="4" t="s">
        <v>2875</v>
      </c>
      <c r="TFE1331" s="4" t="s">
        <v>2875</v>
      </c>
      <c r="TFF1331" s="4" t="s">
        <v>2875</v>
      </c>
      <c r="TFG1331" s="4" t="s">
        <v>2875</v>
      </c>
      <c r="TFH1331" s="4" t="s">
        <v>2875</v>
      </c>
      <c r="TFI1331" s="4" t="s">
        <v>2875</v>
      </c>
      <c r="TFJ1331" s="4" t="s">
        <v>2875</v>
      </c>
      <c r="TFK1331" s="4" t="s">
        <v>2875</v>
      </c>
      <c r="TFL1331" s="4" t="s">
        <v>2875</v>
      </c>
      <c r="TFM1331" s="4" t="s">
        <v>2875</v>
      </c>
      <c r="TFN1331" s="4" t="s">
        <v>2875</v>
      </c>
      <c r="TFO1331" s="4" t="s">
        <v>2875</v>
      </c>
      <c r="TFP1331" s="4" t="s">
        <v>2875</v>
      </c>
      <c r="TFQ1331" s="4" t="s">
        <v>2875</v>
      </c>
      <c r="TFR1331" s="4" t="s">
        <v>2875</v>
      </c>
      <c r="TFS1331" s="4" t="s">
        <v>2875</v>
      </c>
      <c r="TFT1331" s="4" t="s">
        <v>2875</v>
      </c>
      <c r="TFU1331" s="4" t="s">
        <v>2875</v>
      </c>
      <c r="TFV1331" s="4" t="s">
        <v>2875</v>
      </c>
      <c r="TFW1331" s="4" t="s">
        <v>2875</v>
      </c>
      <c r="TFX1331" s="4" t="s">
        <v>2875</v>
      </c>
      <c r="TFY1331" s="4" t="s">
        <v>2875</v>
      </c>
      <c r="TFZ1331" s="4" t="s">
        <v>2875</v>
      </c>
      <c r="TGA1331" s="4" t="s">
        <v>2875</v>
      </c>
      <c r="TGB1331" s="4" t="s">
        <v>2875</v>
      </c>
      <c r="TGC1331" s="4" t="s">
        <v>2875</v>
      </c>
      <c r="TGD1331" s="4" t="s">
        <v>2875</v>
      </c>
      <c r="TGE1331" s="4" t="s">
        <v>2875</v>
      </c>
      <c r="TGF1331" s="4" t="s">
        <v>2875</v>
      </c>
      <c r="TGG1331" s="4" t="s">
        <v>2875</v>
      </c>
      <c r="TGH1331" s="4" t="s">
        <v>2875</v>
      </c>
      <c r="TGI1331" s="4" t="s">
        <v>2875</v>
      </c>
      <c r="TGJ1331" s="4" t="s">
        <v>2875</v>
      </c>
      <c r="TGK1331" s="4" t="s">
        <v>2875</v>
      </c>
      <c r="TGL1331" s="4" t="s">
        <v>2875</v>
      </c>
      <c r="TGM1331" s="4" t="s">
        <v>2875</v>
      </c>
      <c r="TGN1331" s="4" t="s">
        <v>2875</v>
      </c>
      <c r="TGO1331" s="4" t="s">
        <v>2875</v>
      </c>
      <c r="TGP1331" s="4" t="s">
        <v>2875</v>
      </c>
      <c r="TGQ1331" s="4" t="s">
        <v>2875</v>
      </c>
      <c r="TGR1331" s="4" t="s">
        <v>2875</v>
      </c>
      <c r="TGS1331" s="4" t="s">
        <v>2875</v>
      </c>
      <c r="TGT1331" s="4" t="s">
        <v>2875</v>
      </c>
      <c r="TGU1331" s="4" t="s">
        <v>2875</v>
      </c>
      <c r="TGV1331" s="4" t="s">
        <v>2875</v>
      </c>
      <c r="TGW1331" s="4" t="s">
        <v>2875</v>
      </c>
      <c r="TGX1331" s="4" t="s">
        <v>2875</v>
      </c>
      <c r="TGY1331" s="4" t="s">
        <v>2875</v>
      </c>
      <c r="TGZ1331" s="4" t="s">
        <v>2875</v>
      </c>
      <c r="THA1331" s="4" t="s">
        <v>2875</v>
      </c>
      <c r="THB1331" s="4" t="s">
        <v>2875</v>
      </c>
      <c r="THC1331" s="4" t="s">
        <v>2875</v>
      </c>
      <c r="THD1331" s="4" t="s">
        <v>2875</v>
      </c>
      <c r="THE1331" s="4" t="s">
        <v>2875</v>
      </c>
      <c r="THF1331" s="4" t="s">
        <v>2875</v>
      </c>
      <c r="THG1331" s="4" t="s">
        <v>2875</v>
      </c>
      <c r="THH1331" s="4" t="s">
        <v>2875</v>
      </c>
      <c r="THI1331" s="4" t="s">
        <v>2875</v>
      </c>
      <c r="THJ1331" s="4" t="s">
        <v>2875</v>
      </c>
      <c r="THK1331" s="4" t="s">
        <v>2875</v>
      </c>
      <c r="THL1331" s="4" t="s">
        <v>2875</v>
      </c>
      <c r="THM1331" s="4" t="s">
        <v>2875</v>
      </c>
      <c r="THN1331" s="4" t="s">
        <v>2875</v>
      </c>
      <c r="THO1331" s="4" t="s">
        <v>2875</v>
      </c>
      <c r="THP1331" s="4" t="s">
        <v>2875</v>
      </c>
      <c r="THQ1331" s="4" t="s">
        <v>2875</v>
      </c>
      <c r="THR1331" s="4" t="s">
        <v>2875</v>
      </c>
      <c r="THS1331" s="4" t="s">
        <v>2875</v>
      </c>
      <c r="THT1331" s="4" t="s">
        <v>2875</v>
      </c>
      <c r="THU1331" s="4" t="s">
        <v>2875</v>
      </c>
      <c r="THV1331" s="4" t="s">
        <v>2875</v>
      </c>
      <c r="THW1331" s="4" t="s">
        <v>2875</v>
      </c>
      <c r="THX1331" s="4" t="s">
        <v>2875</v>
      </c>
      <c r="THY1331" s="4" t="s">
        <v>2875</v>
      </c>
      <c r="THZ1331" s="4" t="s">
        <v>2875</v>
      </c>
      <c r="TIA1331" s="4" t="s">
        <v>2875</v>
      </c>
      <c r="TIB1331" s="4" t="s">
        <v>2875</v>
      </c>
      <c r="TIC1331" s="4" t="s">
        <v>2875</v>
      </c>
      <c r="TID1331" s="4" t="s">
        <v>2875</v>
      </c>
      <c r="TIE1331" s="4" t="s">
        <v>2875</v>
      </c>
      <c r="TIF1331" s="4" t="s">
        <v>2875</v>
      </c>
      <c r="TIG1331" s="4" t="s">
        <v>2875</v>
      </c>
      <c r="TIH1331" s="4" t="s">
        <v>2875</v>
      </c>
      <c r="TII1331" s="4" t="s">
        <v>2875</v>
      </c>
      <c r="TIJ1331" s="4" t="s">
        <v>2875</v>
      </c>
      <c r="TIK1331" s="4" t="s">
        <v>2875</v>
      </c>
      <c r="TIL1331" s="4" t="s">
        <v>2875</v>
      </c>
      <c r="TIM1331" s="4" t="s">
        <v>2875</v>
      </c>
      <c r="TIN1331" s="4" t="s">
        <v>2875</v>
      </c>
      <c r="TIO1331" s="4" t="s">
        <v>2875</v>
      </c>
      <c r="TIP1331" s="4" t="s">
        <v>2875</v>
      </c>
      <c r="TIQ1331" s="4" t="s">
        <v>2875</v>
      </c>
      <c r="TIR1331" s="4" t="s">
        <v>2875</v>
      </c>
      <c r="TIS1331" s="4" t="s">
        <v>2875</v>
      </c>
      <c r="TIT1331" s="4" t="s">
        <v>2875</v>
      </c>
      <c r="TIU1331" s="4" t="s">
        <v>2875</v>
      </c>
      <c r="TIV1331" s="4" t="s">
        <v>2875</v>
      </c>
      <c r="TIW1331" s="4" t="s">
        <v>2875</v>
      </c>
      <c r="TIX1331" s="4" t="s">
        <v>2875</v>
      </c>
      <c r="TIY1331" s="4" t="s">
        <v>2875</v>
      </c>
      <c r="TIZ1331" s="4" t="s">
        <v>2875</v>
      </c>
      <c r="TJA1331" s="4" t="s">
        <v>2875</v>
      </c>
      <c r="TJB1331" s="4" t="s">
        <v>2875</v>
      </c>
      <c r="TJC1331" s="4" t="s">
        <v>2875</v>
      </c>
      <c r="TJD1331" s="4" t="s">
        <v>2875</v>
      </c>
      <c r="TJE1331" s="4" t="s">
        <v>2875</v>
      </c>
      <c r="TJF1331" s="4" t="s">
        <v>2875</v>
      </c>
      <c r="TJG1331" s="4" t="s">
        <v>2875</v>
      </c>
      <c r="TJH1331" s="4" t="s">
        <v>2875</v>
      </c>
      <c r="TJI1331" s="4" t="s">
        <v>2875</v>
      </c>
      <c r="TJJ1331" s="4" t="s">
        <v>2875</v>
      </c>
      <c r="TJK1331" s="4" t="s">
        <v>2875</v>
      </c>
      <c r="TJL1331" s="4" t="s">
        <v>2875</v>
      </c>
      <c r="TJM1331" s="4" t="s">
        <v>2875</v>
      </c>
      <c r="TJN1331" s="4" t="s">
        <v>2875</v>
      </c>
      <c r="TJO1331" s="4" t="s">
        <v>2875</v>
      </c>
      <c r="TJP1331" s="4" t="s">
        <v>2875</v>
      </c>
      <c r="TJQ1331" s="4" t="s">
        <v>2875</v>
      </c>
      <c r="TJR1331" s="4" t="s">
        <v>2875</v>
      </c>
      <c r="TJS1331" s="4" t="s">
        <v>2875</v>
      </c>
      <c r="TJT1331" s="4" t="s">
        <v>2875</v>
      </c>
      <c r="TJU1331" s="4" t="s">
        <v>2875</v>
      </c>
      <c r="TJV1331" s="4" t="s">
        <v>2875</v>
      </c>
      <c r="TJW1331" s="4" t="s">
        <v>2875</v>
      </c>
      <c r="TJX1331" s="4" t="s">
        <v>2875</v>
      </c>
      <c r="TJY1331" s="4" t="s">
        <v>2875</v>
      </c>
      <c r="TJZ1331" s="4" t="s">
        <v>2875</v>
      </c>
      <c r="TKA1331" s="4" t="s">
        <v>2875</v>
      </c>
      <c r="TKB1331" s="4" t="s">
        <v>2875</v>
      </c>
      <c r="TKC1331" s="4" t="s">
        <v>2875</v>
      </c>
      <c r="TKD1331" s="4" t="s">
        <v>2875</v>
      </c>
      <c r="TKE1331" s="4" t="s">
        <v>2875</v>
      </c>
      <c r="TKF1331" s="4" t="s">
        <v>2875</v>
      </c>
      <c r="TKG1331" s="4" t="s">
        <v>2875</v>
      </c>
      <c r="TKH1331" s="4" t="s">
        <v>2875</v>
      </c>
      <c r="TKI1331" s="4" t="s">
        <v>2875</v>
      </c>
      <c r="TKJ1331" s="4" t="s">
        <v>2875</v>
      </c>
      <c r="TKK1331" s="4" t="s">
        <v>2875</v>
      </c>
      <c r="TKL1331" s="4" t="s">
        <v>2875</v>
      </c>
      <c r="TKM1331" s="4" t="s">
        <v>2875</v>
      </c>
      <c r="TKN1331" s="4" t="s">
        <v>2875</v>
      </c>
      <c r="TKO1331" s="4" t="s">
        <v>2875</v>
      </c>
      <c r="TKP1331" s="4" t="s">
        <v>2875</v>
      </c>
      <c r="TKQ1331" s="4" t="s">
        <v>2875</v>
      </c>
      <c r="TKR1331" s="4" t="s">
        <v>2875</v>
      </c>
      <c r="TKS1331" s="4" t="s">
        <v>2875</v>
      </c>
      <c r="TKT1331" s="4" t="s">
        <v>2875</v>
      </c>
      <c r="TKU1331" s="4" t="s">
        <v>2875</v>
      </c>
      <c r="TKV1331" s="4" t="s">
        <v>2875</v>
      </c>
      <c r="TKW1331" s="4" t="s">
        <v>2875</v>
      </c>
      <c r="TKX1331" s="4" t="s">
        <v>2875</v>
      </c>
      <c r="TKY1331" s="4" t="s">
        <v>2875</v>
      </c>
      <c r="TKZ1331" s="4" t="s">
        <v>2875</v>
      </c>
      <c r="TLA1331" s="4" t="s">
        <v>2875</v>
      </c>
      <c r="TLB1331" s="4" t="s">
        <v>2875</v>
      </c>
      <c r="TLC1331" s="4" t="s">
        <v>2875</v>
      </c>
      <c r="TLD1331" s="4" t="s">
        <v>2875</v>
      </c>
      <c r="TLE1331" s="4" t="s">
        <v>2875</v>
      </c>
      <c r="TLF1331" s="4" t="s">
        <v>2875</v>
      </c>
      <c r="TLG1331" s="4" t="s">
        <v>2875</v>
      </c>
      <c r="TLH1331" s="4" t="s">
        <v>2875</v>
      </c>
      <c r="TLI1331" s="4" t="s">
        <v>2875</v>
      </c>
      <c r="TLJ1331" s="4" t="s">
        <v>2875</v>
      </c>
      <c r="TLK1331" s="4" t="s">
        <v>2875</v>
      </c>
      <c r="TLL1331" s="4" t="s">
        <v>2875</v>
      </c>
      <c r="TLM1331" s="4" t="s">
        <v>2875</v>
      </c>
      <c r="TLN1331" s="4" t="s">
        <v>2875</v>
      </c>
      <c r="TLO1331" s="4" t="s">
        <v>2875</v>
      </c>
      <c r="TLP1331" s="4" t="s">
        <v>2875</v>
      </c>
      <c r="TLQ1331" s="4" t="s">
        <v>2875</v>
      </c>
      <c r="TLR1331" s="4" t="s">
        <v>2875</v>
      </c>
      <c r="TLS1331" s="4" t="s">
        <v>2875</v>
      </c>
      <c r="TLT1331" s="4" t="s">
        <v>2875</v>
      </c>
      <c r="TLU1331" s="4" t="s">
        <v>2875</v>
      </c>
      <c r="TLV1331" s="4" t="s">
        <v>2875</v>
      </c>
      <c r="TLW1331" s="4" t="s">
        <v>2875</v>
      </c>
      <c r="TLX1331" s="4" t="s">
        <v>2875</v>
      </c>
      <c r="TLY1331" s="4" t="s">
        <v>2875</v>
      </c>
      <c r="TLZ1331" s="4" t="s">
        <v>2875</v>
      </c>
      <c r="TMA1331" s="4" t="s">
        <v>2875</v>
      </c>
      <c r="TMB1331" s="4" t="s">
        <v>2875</v>
      </c>
      <c r="TMC1331" s="4" t="s">
        <v>2875</v>
      </c>
      <c r="TMD1331" s="4" t="s">
        <v>2875</v>
      </c>
      <c r="TME1331" s="4" t="s">
        <v>2875</v>
      </c>
      <c r="TMF1331" s="4" t="s">
        <v>2875</v>
      </c>
      <c r="TMG1331" s="4" t="s">
        <v>2875</v>
      </c>
      <c r="TMH1331" s="4" t="s">
        <v>2875</v>
      </c>
      <c r="TMI1331" s="4" t="s">
        <v>2875</v>
      </c>
      <c r="TMJ1331" s="4" t="s">
        <v>2875</v>
      </c>
      <c r="TMK1331" s="4" t="s">
        <v>2875</v>
      </c>
      <c r="TML1331" s="4" t="s">
        <v>2875</v>
      </c>
      <c r="TMM1331" s="4" t="s">
        <v>2875</v>
      </c>
      <c r="TMN1331" s="4" t="s">
        <v>2875</v>
      </c>
      <c r="TMO1331" s="4" t="s">
        <v>2875</v>
      </c>
      <c r="TMP1331" s="4" t="s">
        <v>2875</v>
      </c>
      <c r="TMQ1331" s="4" t="s">
        <v>2875</v>
      </c>
      <c r="TMR1331" s="4" t="s">
        <v>2875</v>
      </c>
      <c r="TMS1331" s="4" t="s">
        <v>2875</v>
      </c>
      <c r="TMT1331" s="4" t="s">
        <v>2875</v>
      </c>
      <c r="TMU1331" s="4" t="s">
        <v>2875</v>
      </c>
      <c r="TMV1331" s="4" t="s">
        <v>2875</v>
      </c>
      <c r="TMW1331" s="4" t="s">
        <v>2875</v>
      </c>
      <c r="TMX1331" s="4" t="s">
        <v>2875</v>
      </c>
      <c r="TMY1331" s="4" t="s">
        <v>2875</v>
      </c>
      <c r="TMZ1331" s="4" t="s">
        <v>2875</v>
      </c>
      <c r="TNA1331" s="4" t="s">
        <v>2875</v>
      </c>
      <c r="TNB1331" s="4" t="s">
        <v>2875</v>
      </c>
      <c r="TNC1331" s="4" t="s">
        <v>2875</v>
      </c>
      <c r="TND1331" s="4" t="s">
        <v>2875</v>
      </c>
      <c r="TNE1331" s="4" t="s">
        <v>2875</v>
      </c>
      <c r="TNF1331" s="4" t="s">
        <v>2875</v>
      </c>
      <c r="TNG1331" s="4" t="s">
        <v>2875</v>
      </c>
      <c r="TNH1331" s="4" t="s">
        <v>2875</v>
      </c>
      <c r="TNI1331" s="4" t="s">
        <v>2875</v>
      </c>
      <c r="TNJ1331" s="4" t="s">
        <v>2875</v>
      </c>
      <c r="TNK1331" s="4" t="s">
        <v>2875</v>
      </c>
      <c r="TNL1331" s="4" t="s">
        <v>2875</v>
      </c>
      <c r="TNM1331" s="4" t="s">
        <v>2875</v>
      </c>
      <c r="TNN1331" s="4" t="s">
        <v>2875</v>
      </c>
      <c r="TNO1331" s="4" t="s">
        <v>2875</v>
      </c>
      <c r="TNP1331" s="4" t="s">
        <v>2875</v>
      </c>
      <c r="TNQ1331" s="4" t="s">
        <v>2875</v>
      </c>
      <c r="TNR1331" s="4" t="s">
        <v>2875</v>
      </c>
      <c r="TNS1331" s="4" t="s">
        <v>2875</v>
      </c>
      <c r="TNT1331" s="4" t="s">
        <v>2875</v>
      </c>
      <c r="TNU1331" s="4" t="s">
        <v>2875</v>
      </c>
      <c r="TNV1331" s="4" t="s">
        <v>2875</v>
      </c>
      <c r="TNW1331" s="4" t="s">
        <v>2875</v>
      </c>
      <c r="TNX1331" s="4" t="s">
        <v>2875</v>
      </c>
      <c r="TNY1331" s="4" t="s">
        <v>2875</v>
      </c>
      <c r="TNZ1331" s="4" t="s">
        <v>2875</v>
      </c>
      <c r="TOA1331" s="4" t="s">
        <v>2875</v>
      </c>
      <c r="TOB1331" s="4" t="s">
        <v>2875</v>
      </c>
      <c r="TOC1331" s="4" t="s">
        <v>2875</v>
      </c>
      <c r="TOD1331" s="4" t="s">
        <v>2875</v>
      </c>
      <c r="TOE1331" s="4" t="s">
        <v>2875</v>
      </c>
      <c r="TOF1331" s="4" t="s">
        <v>2875</v>
      </c>
      <c r="TOG1331" s="4" t="s">
        <v>2875</v>
      </c>
      <c r="TOH1331" s="4" t="s">
        <v>2875</v>
      </c>
      <c r="TOI1331" s="4" t="s">
        <v>2875</v>
      </c>
      <c r="TOJ1331" s="4" t="s">
        <v>2875</v>
      </c>
      <c r="TOK1331" s="4" t="s">
        <v>2875</v>
      </c>
      <c r="TOL1331" s="4" t="s">
        <v>2875</v>
      </c>
      <c r="TOM1331" s="4" t="s">
        <v>2875</v>
      </c>
      <c r="TON1331" s="4" t="s">
        <v>2875</v>
      </c>
      <c r="TOO1331" s="4" t="s">
        <v>2875</v>
      </c>
      <c r="TOP1331" s="4" t="s">
        <v>2875</v>
      </c>
      <c r="TOQ1331" s="4" t="s">
        <v>2875</v>
      </c>
      <c r="TOR1331" s="4" t="s">
        <v>2875</v>
      </c>
      <c r="TOS1331" s="4" t="s">
        <v>2875</v>
      </c>
      <c r="TOT1331" s="4" t="s">
        <v>2875</v>
      </c>
      <c r="TOU1331" s="4" t="s">
        <v>2875</v>
      </c>
      <c r="TOV1331" s="4" t="s">
        <v>2875</v>
      </c>
      <c r="TOW1331" s="4" t="s">
        <v>2875</v>
      </c>
      <c r="TOX1331" s="4" t="s">
        <v>2875</v>
      </c>
      <c r="TOY1331" s="4" t="s">
        <v>2875</v>
      </c>
      <c r="TOZ1331" s="4" t="s">
        <v>2875</v>
      </c>
      <c r="TPA1331" s="4" t="s">
        <v>2875</v>
      </c>
      <c r="TPB1331" s="4" t="s">
        <v>2875</v>
      </c>
      <c r="TPC1331" s="4" t="s">
        <v>2875</v>
      </c>
      <c r="TPD1331" s="4" t="s">
        <v>2875</v>
      </c>
      <c r="TPE1331" s="4" t="s">
        <v>2875</v>
      </c>
      <c r="TPF1331" s="4" t="s">
        <v>2875</v>
      </c>
      <c r="TPG1331" s="4" t="s">
        <v>2875</v>
      </c>
      <c r="TPH1331" s="4" t="s">
        <v>2875</v>
      </c>
      <c r="TPI1331" s="4" t="s">
        <v>2875</v>
      </c>
      <c r="TPJ1331" s="4" t="s">
        <v>2875</v>
      </c>
      <c r="TPK1331" s="4" t="s">
        <v>2875</v>
      </c>
      <c r="TPL1331" s="4" t="s">
        <v>2875</v>
      </c>
      <c r="TPM1331" s="4" t="s">
        <v>2875</v>
      </c>
      <c r="TPN1331" s="4" t="s">
        <v>2875</v>
      </c>
      <c r="TPO1331" s="4" t="s">
        <v>2875</v>
      </c>
      <c r="TPP1331" s="4" t="s">
        <v>2875</v>
      </c>
      <c r="TPQ1331" s="4" t="s">
        <v>2875</v>
      </c>
      <c r="TPR1331" s="4" t="s">
        <v>2875</v>
      </c>
      <c r="TPS1331" s="4" t="s">
        <v>2875</v>
      </c>
      <c r="TPT1331" s="4" t="s">
        <v>2875</v>
      </c>
      <c r="TPU1331" s="4" t="s">
        <v>2875</v>
      </c>
      <c r="TPV1331" s="4" t="s">
        <v>2875</v>
      </c>
      <c r="TPW1331" s="4" t="s">
        <v>2875</v>
      </c>
      <c r="TPX1331" s="4" t="s">
        <v>2875</v>
      </c>
      <c r="TPY1331" s="4" t="s">
        <v>2875</v>
      </c>
      <c r="TPZ1331" s="4" t="s">
        <v>2875</v>
      </c>
      <c r="TQA1331" s="4" t="s">
        <v>2875</v>
      </c>
      <c r="TQB1331" s="4" t="s">
        <v>2875</v>
      </c>
      <c r="TQC1331" s="4" t="s">
        <v>2875</v>
      </c>
      <c r="TQD1331" s="4" t="s">
        <v>2875</v>
      </c>
      <c r="TQE1331" s="4" t="s">
        <v>2875</v>
      </c>
      <c r="TQF1331" s="4" t="s">
        <v>2875</v>
      </c>
      <c r="TQG1331" s="4" t="s">
        <v>2875</v>
      </c>
      <c r="TQH1331" s="4" t="s">
        <v>2875</v>
      </c>
      <c r="TQI1331" s="4" t="s">
        <v>2875</v>
      </c>
      <c r="TQJ1331" s="4" t="s">
        <v>2875</v>
      </c>
      <c r="TQK1331" s="4" t="s">
        <v>2875</v>
      </c>
      <c r="TQL1331" s="4" t="s">
        <v>2875</v>
      </c>
      <c r="TQM1331" s="4" t="s">
        <v>2875</v>
      </c>
      <c r="TQN1331" s="4" t="s">
        <v>2875</v>
      </c>
      <c r="TQO1331" s="4" t="s">
        <v>2875</v>
      </c>
      <c r="TQP1331" s="4" t="s">
        <v>2875</v>
      </c>
      <c r="TQQ1331" s="4" t="s">
        <v>2875</v>
      </c>
      <c r="TQR1331" s="4" t="s">
        <v>2875</v>
      </c>
      <c r="TQS1331" s="4" t="s">
        <v>2875</v>
      </c>
      <c r="TQT1331" s="4" t="s">
        <v>2875</v>
      </c>
      <c r="TQU1331" s="4" t="s">
        <v>2875</v>
      </c>
      <c r="TQV1331" s="4" t="s">
        <v>2875</v>
      </c>
      <c r="TQW1331" s="4" t="s">
        <v>2875</v>
      </c>
      <c r="TQX1331" s="4" t="s">
        <v>2875</v>
      </c>
      <c r="TQY1331" s="4" t="s">
        <v>2875</v>
      </c>
      <c r="TQZ1331" s="4" t="s">
        <v>2875</v>
      </c>
      <c r="TRA1331" s="4" t="s">
        <v>2875</v>
      </c>
      <c r="TRB1331" s="4" t="s">
        <v>2875</v>
      </c>
      <c r="TRC1331" s="4" t="s">
        <v>2875</v>
      </c>
      <c r="TRD1331" s="4" t="s">
        <v>2875</v>
      </c>
      <c r="TRE1331" s="4" t="s">
        <v>2875</v>
      </c>
      <c r="TRF1331" s="4" t="s">
        <v>2875</v>
      </c>
      <c r="TRG1331" s="4" t="s">
        <v>2875</v>
      </c>
      <c r="TRH1331" s="4" t="s">
        <v>2875</v>
      </c>
      <c r="TRI1331" s="4" t="s">
        <v>2875</v>
      </c>
      <c r="TRJ1331" s="4" t="s">
        <v>2875</v>
      </c>
      <c r="TRK1331" s="4" t="s">
        <v>2875</v>
      </c>
      <c r="TRL1331" s="4" t="s">
        <v>2875</v>
      </c>
      <c r="TRM1331" s="4" t="s">
        <v>2875</v>
      </c>
      <c r="TRN1331" s="4" t="s">
        <v>2875</v>
      </c>
      <c r="TRO1331" s="4" t="s">
        <v>2875</v>
      </c>
      <c r="TRP1331" s="4" t="s">
        <v>2875</v>
      </c>
      <c r="TRQ1331" s="4" t="s">
        <v>2875</v>
      </c>
      <c r="TRR1331" s="4" t="s">
        <v>2875</v>
      </c>
      <c r="TRS1331" s="4" t="s">
        <v>2875</v>
      </c>
      <c r="TRT1331" s="4" t="s">
        <v>2875</v>
      </c>
      <c r="TRU1331" s="4" t="s">
        <v>2875</v>
      </c>
      <c r="TRV1331" s="4" t="s">
        <v>2875</v>
      </c>
      <c r="TRW1331" s="4" t="s">
        <v>2875</v>
      </c>
      <c r="TRX1331" s="4" t="s">
        <v>2875</v>
      </c>
      <c r="TRY1331" s="4" t="s">
        <v>2875</v>
      </c>
      <c r="TRZ1331" s="4" t="s">
        <v>2875</v>
      </c>
      <c r="TSA1331" s="4" t="s">
        <v>2875</v>
      </c>
      <c r="TSB1331" s="4" t="s">
        <v>2875</v>
      </c>
      <c r="TSC1331" s="4" t="s">
        <v>2875</v>
      </c>
      <c r="TSD1331" s="4" t="s">
        <v>2875</v>
      </c>
      <c r="TSE1331" s="4" t="s">
        <v>2875</v>
      </c>
      <c r="TSF1331" s="4" t="s">
        <v>2875</v>
      </c>
      <c r="TSG1331" s="4" t="s">
        <v>2875</v>
      </c>
      <c r="TSH1331" s="4" t="s">
        <v>2875</v>
      </c>
      <c r="TSI1331" s="4" t="s">
        <v>2875</v>
      </c>
      <c r="TSJ1331" s="4" t="s">
        <v>2875</v>
      </c>
      <c r="TSK1331" s="4" t="s">
        <v>2875</v>
      </c>
      <c r="TSL1331" s="4" t="s">
        <v>2875</v>
      </c>
      <c r="TSM1331" s="4" t="s">
        <v>2875</v>
      </c>
      <c r="TSN1331" s="4" t="s">
        <v>2875</v>
      </c>
      <c r="TSO1331" s="4" t="s">
        <v>2875</v>
      </c>
      <c r="TSP1331" s="4" t="s">
        <v>2875</v>
      </c>
      <c r="TSQ1331" s="4" t="s">
        <v>2875</v>
      </c>
      <c r="TSR1331" s="4" t="s">
        <v>2875</v>
      </c>
      <c r="TSS1331" s="4" t="s">
        <v>2875</v>
      </c>
      <c r="TST1331" s="4" t="s">
        <v>2875</v>
      </c>
      <c r="TSU1331" s="4" t="s">
        <v>2875</v>
      </c>
      <c r="TSV1331" s="4" t="s">
        <v>2875</v>
      </c>
      <c r="TSW1331" s="4" t="s">
        <v>2875</v>
      </c>
      <c r="TSX1331" s="4" t="s">
        <v>2875</v>
      </c>
      <c r="TSY1331" s="4" t="s">
        <v>2875</v>
      </c>
      <c r="TSZ1331" s="4" t="s">
        <v>2875</v>
      </c>
      <c r="TTA1331" s="4" t="s">
        <v>2875</v>
      </c>
      <c r="TTB1331" s="4" t="s">
        <v>2875</v>
      </c>
      <c r="TTC1331" s="4" t="s">
        <v>2875</v>
      </c>
      <c r="TTD1331" s="4" t="s">
        <v>2875</v>
      </c>
      <c r="TTE1331" s="4" t="s">
        <v>2875</v>
      </c>
      <c r="TTF1331" s="4" t="s">
        <v>2875</v>
      </c>
      <c r="TTG1331" s="4" t="s">
        <v>2875</v>
      </c>
      <c r="TTH1331" s="4" t="s">
        <v>2875</v>
      </c>
      <c r="TTI1331" s="4" t="s">
        <v>2875</v>
      </c>
      <c r="TTJ1331" s="4" t="s">
        <v>2875</v>
      </c>
      <c r="TTK1331" s="4" t="s">
        <v>2875</v>
      </c>
      <c r="TTL1331" s="4" t="s">
        <v>2875</v>
      </c>
      <c r="TTM1331" s="4" t="s">
        <v>2875</v>
      </c>
      <c r="TTN1331" s="4" t="s">
        <v>2875</v>
      </c>
      <c r="TTO1331" s="4" t="s">
        <v>2875</v>
      </c>
      <c r="TTP1331" s="4" t="s">
        <v>2875</v>
      </c>
      <c r="TTQ1331" s="4" t="s">
        <v>2875</v>
      </c>
      <c r="TTR1331" s="4" t="s">
        <v>2875</v>
      </c>
      <c r="TTS1331" s="4" t="s">
        <v>2875</v>
      </c>
      <c r="TTT1331" s="4" t="s">
        <v>2875</v>
      </c>
      <c r="TTU1331" s="4" t="s">
        <v>2875</v>
      </c>
      <c r="TTV1331" s="4" t="s">
        <v>2875</v>
      </c>
      <c r="TTW1331" s="4" t="s">
        <v>2875</v>
      </c>
      <c r="TTX1331" s="4" t="s">
        <v>2875</v>
      </c>
      <c r="TTY1331" s="4" t="s">
        <v>2875</v>
      </c>
      <c r="TTZ1331" s="4" t="s">
        <v>2875</v>
      </c>
      <c r="TUA1331" s="4" t="s">
        <v>2875</v>
      </c>
      <c r="TUB1331" s="4" t="s">
        <v>2875</v>
      </c>
      <c r="TUC1331" s="4" t="s">
        <v>2875</v>
      </c>
      <c r="TUD1331" s="4" t="s">
        <v>2875</v>
      </c>
      <c r="TUE1331" s="4" t="s">
        <v>2875</v>
      </c>
      <c r="TUF1331" s="4" t="s">
        <v>2875</v>
      </c>
      <c r="TUG1331" s="4" t="s">
        <v>2875</v>
      </c>
      <c r="TUH1331" s="4" t="s">
        <v>2875</v>
      </c>
      <c r="TUI1331" s="4" t="s">
        <v>2875</v>
      </c>
      <c r="TUJ1331" s="4" t="s">
        <v>2875</v>
      </c>
      <c r="TUK1331" s="4" t="s">
        <v>2875</v>
      </c>
      <c r="TUL1331" s="4" t="s">
        <v>2875</v>
      </c>
      <c r="TUM1331" s="4" t="s">
        <v>2875</v>
      </c>
      <c r="TUN1331" s="4" t="s">
        <v>2875</v>
      </c>
      <c r="TUO1331" s="4" t="s">
        <v>2875</v>
      </c>
      <c r="TUP1331" s="4" t="s">
        <v>2875</v>
      </c>
      <c r="TUQ1331" s="4" t="s">
        <v>2875</v>
      </c>
      <c r="TUR1331" s="4" t="s">
        <v>2875</v>
      </c>
      <c r="TUS1331" s="4" t="s">
        <v>2875</v>
      </c>
      <c r="TUT1331" s="4" t="s">
        <v>2875</v>
      </c>
      <c r="TUU1331" s="4" t="s">
        <v>2875</v>
      </c>
      <c r="TUV1331" s="4" t="s">
        <v>2875</v>
      </c>
      <c r="TUW1331" s="4" t="s">
        <v>2875</v>
      </c>
      <c r="TUX1331" s="4" t="s">
        <v>2875</v>
      </c>
      <c r="TUY1331" s="4" t="s">
        <v>2875</v>
      </c>
      <c r="TUZ1331" s="4" t="s">
        <v>2875</v>
      </c>
      <c r="TVA1331" s="4" t="s">
        <v>2875</v>
      </c>
      <c r="TVB1331" s="4" t="s">
        <v>2875</v>
      </c>
      <c r="TVC1331" s="4" t="s">
        <v>2875</v>
      </c>
      <c r="TVD1331" s="4" t="s">
        <v>2875</v>
      </c>
      <c r="TVE1331" s="4" t="s">
        <v>2875</v>
      </c>
      <c r="TVF1331" s="4" t="s">
        <v>2875</v>
      </c>
      <c r="TVG1331" s="4" t="s">
        <v>2875</v>
      </c>
      <c r="TVH1331" s="4" t="s">
        <v>2875</v>
      </c>
      <c r="TVI1331" s="4" t="s">
        <v>2875</v>
      </c>
      <c r="TVJ1331" s="4" t="s">
        <v>2875</v>
      </c>
      <c r="TVK1331" s="4" t="s">
        <v>2875</v>
      </c>
      <c r="TVL1331" s="4" t="s">
        <v>2875</v>
      </c>
      <c r="TVM1331" s="4" t="s">
        <v>2875</v>
      </c>
      <c r="TVN1331" s="4" t="s">
        <v>2875</v>
      </c>
      <c r="TVO1331" s="4" t="s">
        <v>2875</v>
      </c>
      <c r="TVP1331" s="4" t="s">
        <v>2875</v>
      </c>
      <c r="TVQ1331" s="4" t="s">
        <v>2875</v>
      </c>
      <c r="TVR1331" s="4" t="s">
        <v>2875</v>
      </c>
      <c r="TVS1331" s="4" t="s">
        <v>2875</v>
      </c>
      <c r="TVT1331" s="4" t="s">
        <v>2875</v>
      </c>
      <c r="TVU1331" s="4" t="s">
        <v>2875</v>
      </c>
      <c r="TVV1331" s="4" t="s">
        <v>2875</v>
      </c>
      <c r="TVW1331" s="4" t="s">
        <v>2875</v>
      </c>
      <c r="TVX1331" s="4" t="s">
        <v>2875</v>
      </c>
      <c r="TVY1331" s="4" t="s">
        <v>2875</v>
      </c>
      <c r="TVZ1331" s="4" t="s">
        <v>2875</v>
      </c>
      <c r="TWA1331" s="4" t="s">
        <v>2875</v>
      </c>
      <c r="TWB1331" s="4" t="s">
        <v>2875</v>
      </c>
      <c r="TWC1331" s="4" t="s">
        <v>2875</v>
      </c>
      <c r="TWD1331" s="4" t="s">
        <v>2875</v>
      </c>
      <c r="TWE1331" s="4" t="s">
        <v>2875</v>
      </c>
      <c r="TWF1331" s="4" t="s">
        <v>2875</v>
      </c>
      <c r="TWG1331" s="4" t="s">
        <v>2875</v>
      </c>
      <c r="TWH1331" s="4" t="s">
        <v>2875</v>
      </c>
      <c r="TWI1331" s="4" t="s">
        <v>2875</v>
      </c>
      <c r="TWJ1331" s="4" t="s">
        <v>2875</v>
      </c>
      <c r="TWK1331" s="4" t="s">
        <v>2875</v>
      </c>
      <c r="TWL1331" s="4" t="s">
        <v>2875</v>
      </c>
      <c r="TWM1331" s="4" t="s">
        <v>2875</v>
      </c>
      <c r="TWN1331" s="4" t="s">
        <v>2875</v>
      </c>
      <c r="TWO1331" s="4" t="s">
        <v>2875</v>
      </c>
      <c r="TWP1331" s="4" t="s">
        <v>2875</v>
      </c>
      <c r="TWQ1331" s="4" t="s">
        <v>2875</v>
      </c>
      <c r="TWR1331" s="4" t="s">
        <v>2875</v>
      </c>
      <c r="TWS1331" s="4" t="s">
        <v>2875</v>
      </c>
      <c r="TWT1331" s="4" t="s">
        <v>2875</v>
      </c>
      <c r="TWU1331" s="4" t="s">
        <v>2875</v>
      </c>
      <c r="TWV1331" s="4" t="s">
        <v>2875</v>
      </c>
      <c r="TWW1331" s="4" t="s">
        <v>2875</v>
      </c>
      <c r="TWX1331" s="4" t="s">
        <v>2875</v>
      </c>
      <c r="TWY1331" s="4" t="s">
        <v>2875</v>
      </c>
      <c r="TWZ1331" s="4" t="s">
        <v>2875</v>
      </c>
      <c r="TXA1331" s="4" t="s">
        <v>2875</v>
      </c>
      <c r="TXB1331" s="4" t="s">
        <v>2875</v>
      </c>
      <c r="TXC1331" s="4" t="s">
        <v>2875</v>
      </c>
      <c r="TXD1331" s="4" t="s">
        <v>2875</v>
      </c>
      <c r="TXE1331" s="4" t="s">
        <v>2875</v>
      </c>
      <c r="TXF1331" s="4" t="s">
        <v>2875</v>
      </c>
      <c r="TXG1331" s="4" t="s">
        <v>2875</v>
      </c>
      <c r="TXH1331" s="4" t="s">
        <v>2875</v>
      </c>
      <c r="TXI1331" s="4" t="s">
        <v>2875</v>
      </c>
      <c r="TXJ1331" s="4" t="s">
        <v>2875</v>
      </c>
      <c r="TXK1331" s="4" t="s">
        <v>2875</v>
      </c>
      <c r="TXL1331" s="4" t="s">
        <v>2875</v>
      </c>
      <c r="TXM1331" s="4" t="s">
        <v>2875</v>
      </c>
      <c r="TXN1331" s="4" t="s">
        <v>2875</v>
      </c>
      <c r="TXO1331" s="4" t="s">
        <v>2875</v>
      </c>
      <c r="TXP1331" s="4" t="s">
        <v>2875</v>
      </c>
      <c r="TXQ1331" s="4" t="s">
        <v>2875</v>
      </c>
      <c r="TXR1331" s="4" t="s">
        <v>2875</v>
      </c>
      <c r="TXS1331" s="4" t="s">
        <v>2875</v>
      </c>
      <c r="TXT1331" s="4" t="s">
        <v>2875</v>
      </c>
      <c r="TXU1331" s="4" t="s">
        <v>2875</v>
      </c>
      <c r="TXV1331" s="4" t="s">
        <v>2875</v>
      </c>
      <c r="TXW1331" s="4" t="s">
        <v>2875</v>
      </c>
      <c r="TXX1331" s="4" t="s">
        <v>2875</v>
      </c>
      <c r="TXY1331" s="4" t="s">
        <v>2875</v>
      </c>
      <c r="TXZ1331" s="4" t="s">
        <v>2875</v>
      </c>
      <c r="TYA1331" s="4" t="s">
        <v>2875</v>
      </c>
      <c r="TYB1331" s="4" t="s">
        <v>2875</v>
      </c>
      <c r="TYC1331" s="4" t="s">
        <v>2875</v>
      </c>
      <c r="TYD1331" s="4" t="s">
        <v>2875</v>
      </c>
      <c r="TYE1331" s="4" t="s">
        <v>2875</v>
      </c>
      <c r="TYF1331" s="4" t="s">
        <v>2875</v>
      </c>
      <c r="TYG1331" s="4" t="s">
        <v>2875</v>
      </c>
      <c r="TYH1331" s="4" t="s">
        <v>2875</v>
      </c>
      <c r="TYI1331" s="4" t="s">
        <v>2875</v>
      </c>
      <c r="TYJ1331" s="4" t="s">
        <v>2875</v>
      </c>
      <c r="TYK1331" s="4" t="s">
        <v>2875</v>
      </c>
      <c r="TYL1331" s="4" t="s">
        <v>2875</v>
      </c>
      <c r="TYM1331" s="4" t="s">
        <v>2875</v>
      </c>
      <c r="TYN1331" s="4" t="s">
        <v>2875</v>
      </c>
      <c r="TYO1331" s="4" t="s">
        <v>2875</v>
      </c>
      <c r="TYP1331" s="4" t="s">
        <v>2875</v>
      </c>
      <c r="TYQ1331" s="4" t="s">
        <v>2875</v>
      </c>
      <c r="TYR1331" s="4" t="s">
        <v>2875</v>
      </c>
      <c r="TYS1331" s="4" t="s">
        <v>2875</v>
      </c>
      <c r="TYT1331" s="4" t="s">
        <v>2875</v>
      </c>
      <c r="TYU1331" s="4" t="s">
        <v>2875</v>
      </c>
      <c r="TYV1331" s="4" t="s">
        <v>2875</v>
      </c>
      <c r="TYW1331" s="4" t="s">
        <v>2875</v>
      </c>
      <c r="TYX1331" s="4" t="s">
        <v>2875</v>
      </c>
      <c r="TYY1331" s="4" t="s">
        <v>2875</v>
      </c>
      <c r="TYZ1331" s="4" t="s">
        <v>2875</v>
      </c>
      <c r="TZA1331" s="4" t="s">
        <v>2875</v>
      </c>
      <c r="TZB1331" s="4" t="s">
        <v>2875</v>
      </c>
      <c r="TZC1331" s="4" t="s">
        <v>2875</v>
      </c>
      <c r="TZD1331" s="4" t="s">
        <v>2875</v>
      </c>
      <c r="TZE1331" s="4" t="s">
        <v>2875</v>
      </c>
      <c r="TZF1331" s="4" t="s">
        <v>2875</v>
      </c>
      <c r="TZG1331" s="4" t="s">
        <v>2875</v>
      </c>
      <c r="TZH1331" s="4" t="s">
        <v>2875</v>
      </c>
      <c r="TZI1331" s="4" t="s">
        <v>2875</v>
      </c>
      <c r="TZJ1331" s="4" t="s">
        <v>2875</v>
      </c>
      <c r="TZK1331" s="4" t="s">
        <v>2875</v>
      </c>
      <c r="TZL1331" s="4" t="s">
        <v>2875</v>
      </c>
      <c r="TZM1331" s="4" t="s">
        <v>2875</v>
      </c>
      <c r="TZN1331" s="4" t="s">
        <v>2875</v>
      </c>
      <c r="TZO1331" s="4" t="s">
        <v>2875</v>
      </c>
      <c r="TZP1331" s="4" t="s">
        <v>2875</v>
      </c>
      <c r="TZQ1331" s="4" t="s">
        <v>2875</v>
      </c>
      <c r="TZR1331" s="4" t="s">
        <v>2875</v>
      </c>
      <c r="TZS1331" s="4" t="s">
        <v>2875</v>
      </c>
      <c r="TZT1331" s="4" t="s">
        <v>2875</v>
      </c>
      <c r="TZU1331" s="4" t="s">
        <v>2875</v>
      </c>
      <c r="TZV1331" s="4" t="s">
        <v>2875</v>
      </c>
      <c r="TZW1331" s="4" t="s">
        <v>2875</v>
      </c>
      <c r="TZX1331" s="4" t="s">
        <v>2875</v>
      </c>
      <c r="TZY1331" s="4" t="s">
        <v>2875</v>
      </c>
      <c r="TZZ1331" s="4" t="s">
        <v>2875</v>
      </c>
      <c r="UAA1331" s="4" t="s">
        <v>2875</v>
      </c>
      <c r="UAB1331" s="4" t="s">
        <v>2875</v>
      </c>
      <c r="UAC1331" s="4" t="s">
        <v>2875</v>
      </c>
      <c r="UAD1331" s="4" t="s">
        <v>2875</v>
      </c>
      <c r="UAE1331" s="4" t="s">
        <v>2875</v>
      </c>
      <c r="UAF1331" s="4" t="s">
        <v>2875</v>
      </c>
      <c r="UAG1331" s="4" t="s">
        <v>2875</v>
      </c>
      <c r="UAH1331" s="4" t="s">
        <v>2875</v>
      </c>
      <c r="UAI1331" s="4" t="s">
        <v>2875</v>
      </c>
      <c r="UAJ1331" s="4" t="s">
        <v>2875</v>
      </c>
      <c r="UAK1331" s="4" t="s">
        <v>2875</v>
      </c>
      <c r="UAL1331" s="4" t="s">
        <v>2875</v>
      </c>
      <c r="UAM1331" s="4" t="s">
        <v>2875</v>
      </c>
      <c r="UAN1331" s="4" t="s">
        <v>2875</v>
      </c>
      <c r="UAO1331" s="4" t="s">
        <v>2875</v>
      </c>
      <c r="UAP1331" s="4" t="s">
        <v>2875</v>
      </c>
      <c r="UAQ1331" s="4" t="s">
        <v>2875</v>
      </c>
      <c r="UAR1331" s="4" t="s">
        <v>2875</v>
      </c>
      <c r="UAS1331" s="4" t="s">
        <v>2875</v>
      </c>
      <c r="UAT1331" s="4" t="s">
        <v>2875</v>
      </c>
      <c r="UAU1331" s="4" t="s">
        <v>2875</v>
      </c>
      <c r="UAV1331" s="4" t="s">
        <v>2875</v>
      </c>
      <c r="UAW1331" s="4" t="s">
        <v>2875</v>
      </c>
      <c r="UAX1331" s="4" t="s">
        <v>2875</v>
      </c>
      <c r="UAY1331" s="4" t="s">
        <v>2875</v>
      </c>
      <c r="UAZ1331" s="4" t="s">
        <v>2875</v>
      </c>
      <c r="UBA1331" s="4" t="s">
        <v>2875</v>
      </c>
      <c r="UBB1331" s="4" t="s">
        <v>2875</v>
      </c>
      <c r="UBC1331" s="4" t="s">
        <v>2875</v>
      </c>
      <c r="UBD1331" s="4" t="s">
        <v>2875</v>
      </c>
      <c r="UBE1331" s="4" t="s">
        <v>2875</v>
      </c>
      <c r="UBF1331" s="4" t="s">
        <v>2875</v>
      </c>
      <c r="UBG1331" s="4" t="s">
        <v>2875</v>
      </c>
      <c r="UBH1331" s="4" t="s">
        <v>2875</v>
      </c>
      <c r="UBI1331" s="4" t="s">
        <v>2875</v>
      </c>
      <c r="UBJ1331" s="4" t="s">
        <v>2875</v>
      </c>
      <c r="UBK1331" s="4" t="s">
        <v>2875</v>
      </c>
      <c r="UBL1331" s="4" t="s">
        <v>2875</v>
      </c>
      <c r="UBM1331" s="4" t="s">
        <v>2875</v>
      </c>
      <c r="UBN1331" s="4" t="s">
        <v>2875</v>
      </c>
      <c r="UBO1331" s="4" t="s">
        <v>2875</v>
      </c>
      <c r="UBP1331" s="4" t="s">
        <v>2875</v>
      </c>
      <c r="UBQ1331" s="4" t="s">
        <v>2875</v>
      </c>
      <c r="UBR1331" s="4" t="s">
        <v>2875</v>
      </c>
      <c r="UBS1331" s="4" t="s">
        <v>2875</v>
      </c>
      <c r="UBT1331" s="4" t="s">
        <v>2875</v>
      </c>
      <c r="UBU1331" s="4" t="s">
        <v>2875</v>
      </c>
      <c r="UBV1331" s="4" t="s">
        <v>2875</v>
      </c>
      <c r="UBW1331" s="4" t="s">
        <v>2875</v>
      </c>
      <c r="UBX1331" s="4" t="s">
        <v>2875</v>
      </c>
      <c r="UBY1331" s="4" t="s">
        <v>2875</v>
      </c>
      <c r="UBZ1331" s="4" t="s">
        <v>2875</v>
      </c>
      <c r="UCA1331" s="4" t="s">
        <v>2875</v>
      </c>
      <c r="UCB1331" s="4" t="s">
        <v>2875</v>
      </c>
      <c r="UCC1331" s="4" t="s">
        <v>2875</v>
      </c>
      <c r="UCD1331" s="4" t="s">
        <v>2875</v>
      </c>
      <c r="UCE1331" s="4" t="s">
        <v>2875</v>
      </c>
      <c r="UCF1331" s="4" t="s">
        <v>2875</v>
      </c>
      <c r="UCG1331" s="4" t="s">
        <v>2875</v>
      </c>
      <c r="UCH1331" s="4" t="s">
        <v>2875</v>
      </c>
      <c r="UCI1331" s="4" t="s">
        <v>2875</v>
      </c>
      <c r="UCJ1331" s="4" t="s">
        <v>2875</v>
      </c>
      <c r="UCK1331" s="4" t="s">
        <v>2875</v>
      </c>
      <c r="UCL1331" s="4" t="s">
        <v>2875</v>
      </c>
      <c r="UCM1331" s="4" t="s">
        <v>2875</v>
      </c>
      <c r="UCN1331" s="4" t="s">
        <v>2875</v>
      </c>
      <c r="UCO1331" s="4" t="s">
        <v>2875</v>
      </c>
      <c r="UCP1331" s="4" t="s">
        <v>2875</v>
      </c>
      <c r="UCQ1331" s="4" t="s">
        <v>2875</v>
      </c>
      <c r="UCR1331" s="4" t="s">
        <v>2875</v>
      </c>
      <c r="UCS1331" s="4" t="s">
        <v>2875</v>
      </c>
      <c r="UCT1331" s="4" t="s">
        <v>2875</v>
      </c>
      <c r="UCU1331" s="4" t="s">
        <v>2875</v>
      </c>
      <c r="UCV1331" s="4" t="s">
        <v>2875</v>
      </c>
      <c r="UCW1331" s="4" t="s">
        <v>2875</v>
      </c>
      <c r="UCX1331" s="4" t="s">
        <v>2875</v>
      </c>
      <c r="UCY1331" s="4" t="s">
        <v>2875</v>
      </c>
      <c r="UCZ1331" s="4" t="s">
        <v>2875</v>
      </c>
      <c r="UDA1331" s="4" t="s">
        <v>2875</v>
      </c>
      <c r="UDB1331" s="4" t="s">
        <v>2875</v>
      </c>
      <c r="UDC1331" s="4" t="s">
        <v>2875</v>
      </c>
      <c r="UDD1331" s="4" t="s">
        <v>2875</v>
      </c>
      <c r="UDE1331" s="4" t="s">
        <v>2875</v>
      </c>
      <c r="UDF1331" s="4" t="s">
        <v>2875</v>
      </c>
      <c r="UDG1331" s="4" t="s">
        <v>2875</v>
      </c>
      <c r="UDH1331" s="4" t="s">
        <v>2875</v>
      </c>
      <c r="UDI1331" s="4" t="s">
        <v>2875</v>
      </c>
      <c r="UDJ1331" s="4" t="s">
        <v>2875</v>
      </c>
      <c r="UDK1331" s="4" t="s">
        <v>2875</v>
      </c>
      <c r="UDL1331" s="4" t="s">
        <v>2875</v>
      </c>
      <c r="UDM1331" s="4" t="s">
        <v>2875</v>
      </c>
      <c r="UDN1331" s="4" t="s">
        <v>2875</v>
      </c>
      <c r="UDO1331" s="4" t="s">
        <v>2875</v>
      </c>
      <c r="UDP1331" s="4" t="s">
        <v>2875</v>
      </c>
      <c r="UDQ1331" s="4" t="s">
        <v>2875</v>
      </c>
      <c r="UDR1331" s="4" t="s">
        <v>2875</v>
      </c>
      <c r="UDS1331" s="4" t="s">
        <v>2875</v>
      </c>
      <c r="UDT1331" s="4" t="s">
        <v>2875</v>
      </c>
      <c r="UDU1331" s="4" t="s">
        <v>2875</v>
      </c>
      <c r="UDV1331" s="4" t="s">
        <v>2875</v>
      </c>
      <c r="UDW1331" s="4" t="s">
        <v>2875</v>
      </c>
      <c r="UDX1331" s="4" t="s">
        <v>2875</v>
      </c>
      <c r="UDY1331" s="4" t="s">
        <v>2875</v>
      </c>
      <c r="UDZ1331" s="4" t="s">
        <v>2875</v>
      </c>
      <c r="UEA1331" s="4" t="s">
        <v>2875</v>
      </c>
      <c r="UEB1331" s="4" t="s">
        <v>2875</v>
      </c>
      <c r="UEC1331" s="4" t="s">
        <v>2875</v>
      </c>
      <c r="UED1331" s="4" t="s">
        <v>2875</v>
      </c>
      <c r="UEE1331" s="4" t="s">
        <v>2875</v>
      </c>
      <c r="UEF1331" s="4" t="s">
        <v>2875</v>
      </c>
      <c r="UEG1331" s="4" t="s">
        <v>2875</v>
      </c>
      <c r="UEH1331" s="4" t="s">
        <v>2875</v>
      </c>
      <c r="UEI1331" s="4" t="s">
        <v>2875</v>
      </c>
      <c r="UEJ1331" s="4" t="s">
        <v>2875</v>
      </c>
      <c r="UEK1331" s="4" t="s">
        <v>2875</v>
      </c>
      <c r="UEL1331" s="4" t="s">
        <v>2875</v>
      </c>
      <c r="UEM1331" s="4" t="s">
        <v>2875</v>
      </c>
      <c r="UEN1331" s="4" t="s">
        <v>2875</v>
      </c>
      <c r="UEO1331" s="4" t="s">
        <v>2875</v>
      </c>
      <c r="UEP1331" s="4" t="s">
        <v>2875</v>
      </c>
      <c r="UEQ1331" s="4" t="s">
        <v>2875</v>
      </c>
      <c r="UER1331" s="4" t="s">
        <v>2875</v>
      </c>
      <c r="UES1331" s="4" t="s">
        <v>2875</v>
      </c>
      <c r="UET1331" s="4" t="s">
        <v>2875</v>
      </c>
      <c r="UEU1331" s="4" t="s">
        <v>2875</v>
      </c>
      <c r="UEV1331" s="4" t="s">
        <v>2875</v>
      </c>
      <c r="UEW1331" s="4" t="s">
        <v>2875</v>
      </c>
      <c r="UEX1331" s="4" t="s">
        <v>2875</v>
      </c>
      <c r="UEY1331" s="4" t="s">
        <v>2875</v>
      </c>
      <c r="UEZ1331" s="4" t="s">
        <v>2875</v>
      </c>
      <c r="UFA1331" s="4" t="s">
        <v>2875</v>
      </c>
      <c r="UFB1331" s="4" t="s">
        <v>2875</v>
      </c>
      <c r="UFC1331" s="4" t="s">
        <v>2875</v>
      </c>
      <c r="UFD1331" s="4" t="s">
        <v>2875</v>
      </c>
      <c r="UFE1331" s="4" t="s">
        <v>2875</v>
      </c>
      <c r="UFF1331" s="4" t="s">
        <v>2875</v>
      </c>
      <c r="UFG1331" s="4" t="s">
        <v>2875</v>
      </c>
      <c r="UFH1331" s="4" t="s">
        <v>2875</v>
      </c>
      <c r="UFI1331" s="4" t="s">
        <v>2875</v>
      </c>
      <c r="UFJ1331" s="4" t="s">
        <v>2875</v>
      </c>
      <c r="UFK1331" s="4" t="s">
        <v>2875</v>
      </c>
      <c r="UFL1331" s="4" t="s">
        <v>2875</v>
      </c>
      <c r="UFM1331" s="4" t="s">
        <v>2875</v>
      </c>
      <c r="UFN1331" s="4" t="s">
        <v>2875</v>
      </c>
      <c r="UFO1331" s="4" t="s">
        <v>2875</v>
      </c>
      <c r="UFP1331" s="4" t="s">
        <v>2875</v>
      </c>
      <c r="UFQ1331" s="4" t="s">
        <v>2875</v>
      </c>
      <c r="UFR1331" s="4" t="s">
        <v>2875</v>
      </c>
      <c r="UFS1331" s="4" t="s">
        <v>2875</v>
      </c>
      <c r="UFT1331" s="4" t="s">
        <v>2875</v>
      </c>
      <c r="UFU1331" s="4" t="s">
        <v>2875</v>
      </c>
      <c r="UFV1331" s="4" t="s">
        <v>2875</v>
      </c>
      <c r="UFW1331" s="4" t="s">
        <v>2875</v>
      </c>
      <c r="UFX1331" s="4" t="s">
        <v>2875</v>
      </c>
      <c r="UFY1331" s="4" t="s">
        <v>2875</v>
      </c>
      <c r="UFZ1331" s="4" t="s">
        <v>2875</v>
      </c>
      <c r="UGA1331" s="4" t="s">
        <v>2875</v>
      </c>
      <c r="UGB1331" s="4" t="s">
        <v>2875</v>
      </c>
      <c r="UGC1331" s="4" t="s">
        <v>2875</v>
      </c>
      <c r="UGD1331" s="4" t="s">
        <v>2875</v>
      </c>
      <c r="UGE1331" s="4" t="s">
        <v>2875</v>
      </c>
      <c r="UGF1331" s="4" t="s">
        <v>2875</v>
      </c>
      <c r="UGG1331" s="4" t="s">
        <v>2875</v>
      </c>
      <c r="UGH1331" s="4" t="s">
        <v>2875</v>
      </c>
      <c r="UGI1331" s="4" t="s">
        <v>2875</v>
      </c>
      <c r="UGJ1331" s="4" t="s">
        <v>2875</v>
      </c>
      <c r="UGK1331" s="4" t="s">
        <v>2875</v>
      </c>
      <c r="UGL1331" s="4" t="s">
        <v>2875</v>
      </c>
      <c r="UGM1331" s="4" t="s">
        <v>2875</v>
      </c>
      <c r="UGN1331" s="4" t="s">
        <v>2875</v>
      </c>
      <c r="UGO1331" s="4" t="s">
        <v>2875</v>
      </c>
      <c r="UGP1331" s="4" t="s">
        <v>2875</v>
      </c>
      <c r="UGQ1331" s="4" t="s">
        <v>2875</v>
      </c>
      <c r="UGR1331" s="4" t="s">
        <v>2875</v>
      </c>
      <c r="UGS1331" s="4" t="s">
        <v>2875</v>
      </c>
      <c r="UGT1331" s="4" t="s">
        <v>2875</v>
      </c>
      <c r="UGU1331" s="4" t="s">
        <v>2875</v>
      </c>
      <c r="UGV1331" s="4" t="s">
        <v>2875</v>
      </c>
      <c r="UGW1331" s="4" t="s">
        <v>2875</v>
      </c>
      <c r="UGX1331" s="4" t="s">
        <v>2875</v>
      </c>
      <c r="UGY1331" s="4" t="s">
        <v>2875</v>
      </c>
      <c r="UGZ1331" s="4" t="s">
        <v>2875</v>
      </c>
      <c r="UHA1331" s="4" t="s">
        <v>2875</v>
      </c>
      <c r="UHB1331" s="4" t="s">
        <v>2875</v>
      </c>
      <c r="UHC1331" s="4" t="s">
        <v>2875</v>
      </c>
      <c r="UHD1331" s="4" t="s">
        <v>2875</v>
      </c>
      <c r="UHE1331" s="4" t="s">
        <v>2875</v>
      </c>
      <c r="UHF1331" s="4" t="s">
        <v>2875</v>
      </c>
      <c r="UHG1331" s="4" t="s">
        <v>2875</v>
      </c>
      <c r="UHH1331" s="4" t="s">
        <v>2875</v>
      </c>
      <c r="UHI1331" s="4" t="s">
        <v>2875</v>
      </c>
      <c r="UHJ1331" s="4" t="s">
        <v>2875</v>
      </c>
      <c r="UHK1331" s="4" t="s">
        <v>2875</v>
      </c>
      <c r="UHL1331" s="4" t="s">
        <v>2875</v>
      </c>
      <c r="UHM1331" s="4" t="s">
        <v>2875</v>
      </c>
      <c r="UHN1331" s="4" t="s">
        <v>2875</v>
      </c>
      <c r="UHO1331" s="4" t="s">
        <v>2875</v>
      </c>
      <c r="UHP1331" s="4" t="s">
        <v>2875</v>
      </c>
      <c r="UHQ1331" s="4" t="s">
        <v>2875</v>
      </c>
      <c r="UHR1331" s="4" t="s">
        <v>2875</v>
      </c>
      <c r="UHS1331" s="4" t="s">
        <v>2875</v>
      </c>
      <c r="UHT1331" s="4" t="s">
        <v>2875</v>
      </c>
      <c r="UHU1331" s="4" t="s">
        <v>2875</v>
      </c>
      <c r="UHV1331" s="4" t="s">
        <v>2875</v>
      </c>
      <c r="UHW1331" s="4" t="s">
        <v>2875</v>
      </c>
      <c r="UHX1331" s="4" t="s">
        <v>2875</v>
      </c>
      <c r="UHY1331" s="4" t="s">
        <v>2875</v>
      </c>
      <c r="UHZ1331" s="4" t="s">
        <v>2875</v>
      </c>
      <c r="UIA1331" s="4" t="s">
        <v>2875</v>
      </c>
      <c r="UIB1331" s="4" t="s">
        <v>2875</v>
      </c>
      <c r="UIC1331" s="4" t="s">
        <v>2875</v>
      </c>
      <c r="UID1331" s="4" t="s">
        <v>2875</v>
      </c>
      <c r="UIE1331" s="4" t="s">
        <v>2875</v>
      </c>
      <c r="UIF1331" s="4" t="s">
        <v>2875</v>
      </c>
      <c r="UIG1331" s="4" t="s">
        <v>2875</v>
      </c>
      <c r="UIH1331" s="4" t="s">
        <v>2875</v>
      </c>
      <c r="UII1331" s="4" t="s">
        <v>2875</v>
      </c>
      <c r="UIJ1331" s="4" t="s">
        <v>2875</v>
      </c>
      <c r="UIK1331" s="4" t="s">
        <v>2875</v>
      </c>
      <c r="UIL1331" s="4" t="s">
        <v>2875</v>
      </c>
      <c r="UIM1331" s="4" t="s">
        <v>2875</v>
      </c>
      <c r="UIN1331" s="4" t="s">
        <v>2875</v>
      </c>
      <c r="UIO1331" s="4" t="s">
        <v>2875</v>
      </c>
      <c r="UIP1331" s="4" t="s">
        <v>2875</v>
      </c>
      <c r="UIQ1331" s="4" t="s">
        <v>2875</v>
      </c>
      <c r="UIR1331" s="4" t="s">
        <v>2875</v>
      </c>
      <c r="UIS1331" s="4" t="s">
        <v>2875</v>
      </c>
      <c r="UIT1331" s="4" t="s">
        <v>2875</v>
      </c>
      <c r="UIU1331" s="4" t="s">
        <v>2875</v>
      </c>
      <c r="UIV1331" s="4" t="s">
        <v>2875</v>
      </c>
      <c r="UIW1331" s="4" t="s">
        <v>2875</v>
      </c>
      <c r="UIX1331" s="4" t="s">
        <v>2875</v>
      </c>
      <c r="UIY1331" s="4" t="s">
        <v>2875</v>
      </c>
      <c r="UIZ1331" s="4" t="s">
        <v>2875</v>
      </c>
      <c r="UJA1331" s="4" t="s">
        <v>2875</v>
      </c>
      <c r="UJB1331" s="4" t="s">
        <v>2875</v>
      </c>
      <c r="UJC1331" s="4" t="s">
        <v>2875</v>
      </c>
      <c r="UJD1331" s="4" t="s">
        <v>2875</v>
      </c>
      <c r="UJE1331" s="4" t="s">
        <v>2875</v>
      </c>
      <c r="UJF1331" s="4" t="s">
        <v>2875</v>
      </c>
      <c r="UJG1331" s="4" t="s">
        <v>2875</v>
      </c>
      <c r="UJH1331" s="4" t="s">
        <v>2875</v>
      </c>
      <c r="UJI1331" s="4" t="s">
        <v>2875</v>
      </c>
      <c r="UJJ1331" s="4" t="s">
        <v>2875</v>
      </c>
      <c r="UJK1331" s="4" t="s">
        <v>2875</v>
      </c>
      <c r="UJL1331" s="4" t="s">
        <v>2875</v>
      </c>
      <c r="UJM1331" s="4" t="s">
        <v>2875</v>
      </c>
      <c r="UJN1331" s="4" t="s">
        <v>2875</v>
      </c>
      <c r="UJO1331" s="4" t="s">
        <v>2875</v>
      </c>
      <c r="UJP1331" s="4" t="s">
        <v>2875</v>
      </c>
      <c r="UJQ1331" s="4" t="s">
        <v>2875</v>
      </c>
      <c r="UJR1331" s="4" t="s">
        <v>2875</v>
      </c>
      <c r="UJS1331" s="4" t="s">
        <v>2875</v>
      </c>
      <c r="UJT1331" s="4" t="s">
        <v>2875</v>
      </c>
      <c r="UJU1331" s="4" t="s">
        <v>2875</v>
      </c>
      <c r="UJV1331" s="4" t="s">
        <v>2875</v>
      </c>
      <c r="UJW1331" s="4" t="s">
        <v>2875</v>
      </c>
      <c r="UJX1331" s="4" t="s">
        <v>2875</v>
      </c>
      <c r="UJY1331" s="4" t="s">
        <v>2875</v>
      </c>
      <c r="UJZ1331" s="4" t="s">
        <v>2875</v>
      </c>
      <c r="UKA1331" s="4" t="s">
        <v>2875</v>
      </c>
      <c r="UKB1331" s="4" t="s">
        <v>2875</v>
      </c>
      <c r="UKC1331" s="4" t="s">
        <v>2875</v>
      </c>
      <c r="UKD1331" s="4" t="s">
        <v>2875</v>
      </c>
      <c r="UKE1331" s="4" t="s">
        <v>2875</v>
      </c>
      <c r="UKF1331" s="4" t="s">
        <v>2875</v>
      </c>
      <c r="UKG1331" s="4" t="s">
        <v>2875</v>
      </c>
      <c r="UKH1331" s="4" t="s">
        <v>2875</v>
      </c>
      <c r="UKI1331" s="4" t="s">
        <v>2875</v>
      </c>
      <c r="UKJ1331" s="4" t="s">
        <v>2875</v>
      </c>
      <c r="UKK1331" s="4" t="s">
        <v>2875</v>
      </c>
      <c r="UKL1331" s="4" t="s">
        <v>2875</v>
      </c>
      <c r="UKM1331" s="4" t="s">
        <v>2875</v>
      </c>
      <c r="UKN1331" s="4" t="s">
        <v>2875</v>
      </c>
      <c r="UKO1331" s="4" t="s">
        <v>2875</v>
      </c>
      <c r="UKP1331" s="4" t="s">
        <v>2875</v>
      </c>
      <c r="UKQ1331" s="4" t="s">
        <v>2875</v>
      </c>
      <c r="UKR1331" s="4" t="s">
        <v>2875</v>
      </c>
      <c r="UKS1331" s="4" t="s">
        <v>2875</v>
      </c>
      <c r="UKT1331" s="4" t="s">
        <v>2875</v>
      </c>
      <c r="UKU1331" s="4" t="s">
        <v>2875</v>
      </c>
      <c r="UKV1331" s="4" t="s">
        <v>2875</v>
      </c>
      <c r="UKW1331" s="4" t="s">
        <v>2875</v>
      </c>
      <c r="UKX1331" s="4" t="s">
        <v>2875</v>
      </c>
      <c r="UKY1331" s="4" t="s">
        <v>2875</v>
      </c>
      <c r="UKZ1331" s="4" t="s">
        <v>2875</v>
      </c>
      <c r="ULA1331" s="4" t="s">
        <v>2875</v>
      </c>
      <c r="ULB1331" s="4" t="s">
        <v>2875</v>
      </c>
      <c r="ULC1331" s="4" t="s">
        <v>2875</v>
      </c>
      <c r="ULD1331" s="4" t="s">
        <v>2875</v>
      </c>
      <c r="ULE1331" s="4" t="s">
        <v>2875</v>
      </c>
      <c r="ULF1331" s="4" t="s">
        <v>2875</v>
      </c>
      <c r="ULG1331" s="4" t="s">
        <v>2875</v>
      </c>
      <c r="ULH1331" s="4" t="s">
        <v>2875</v>
      </c>
      <c r="ULI1331" s="4" t="s">
        <v>2875</v>
      </c>
      <c r="ULJ1331" s="4" t="s">
        <v>2875</v>
      </c>
      <c r="ULK1331" s="4" t="s">
        <v>2875</v>
      </c>
      <c r="ULL1331" s="4" t="s">
        <v>2875</v>
      </c>
      <c r="ULM1331" s="4" t="s">
        <v>2875</v>
      </c>
      <c r="ULN1331" s="4" t="s">
        <v>2875</v>
      </c>
      <c r="ULO1331" s="4" t="s">
        <v>2875</v>
      </c>
      <c r="ULP1331" s="4" t="s">
        <v>2875</v>
      </c>
      <c r="ULQ1331" s="4" t="s">
        <v>2875</v>
      </c>
      <c r="ULR1331" s="4" t="s">
        <v>2875</v>
      </c>
      <c r="ULS1331" s="4" t="s">
        <v>2875</v>
      </c>
      <c r="ULT1331" s="4" t="s">
        <v>2875</v>
      </c>
      <c r="ULU1331" s="4" t="s">
        <v>2875</v>
      </c>
      <c r="ULV1331" s="4" t="s">
        <v>2875</v>
      </c>
      <c r="ULW1331" s="4" t="s">
        <v>2875</v>
      </c>
      <c r="ULX1331" s="4" t="s">
        <v>2875</v>
      </c>
      <c r="ULY1331" s="4" t="s">
        <v>2875</v>
      </c>
      <c r="ULZ1331" s="4" t="s">
        <v>2875</v>
      </c>
      <c r="UMA1331" s="4" t="s">
        <v>2875</v>
      </c>
      <c r="UMB1331" s="4" t="s">
        <v>2875</v>
      </c>
      <c r="UMC1331" s="4" t="s">
        <v>2875</v>
      </c>
      <c r="UMD1331" s="4" t="s">
        <v>2875</v>
      </c>
      <c r="UME1331" s="4" t="s">
        <v>2875</v>
      </c>
      <c r="UMF1331" s="4" t="s">
        <v>2875</v>
      </c>
      <c r="UMG1331" s="4" t="s">
        <v>2875</v>
      </c>
      <c r="UMH1331" s="4" t="s">
        <v>2875</v>
      </c>
      <c r="UMI1331" s="4" t="s">
        <v>2875</v>
      </c>
      <c r="UMJ1331" s="4" t="s">
        <v>2875</v>
      </c>
      <c r="UMK1331" s="4" t="s">
        <v>2875</v>
      </c>
      <c r="UML1331" s="4" t="s">
        <v>2875</v>
      </c>
      <c r="UMM1331" s="4" t="s">
        <v>2875</v>
      </c>
      <c r="UMN1331" s="4" t="s">
        <v>2875</v>
      </c>
      <c r="UMO1331" s="4" t="s">
        <v>2875</v>
      </c>
      <c r="UMP1331" s="4" t="s">
        <v>2875</v>
      </c>
      <c r="UMQ1331" s="4" t="s">
        <v>2875</v>
      </c>
      <c r="UMR1331" s="4" t="s">
        <v>2875</v>
      </c>
      <c r="UMS1331" s="4" t="s">
        <v>2875</v>
      </c>
      <c r="UMT1331" s="4" t="s">
        <v>2875</v>
      </c>
      <c r="UMU1331" s="4" t="s">
        <v>2875</v>
      </c>
      <c r="UMV1331" s="4" t="s">
        <v>2875</v>
      </c>
      <c r="UMW1331" s="4" t="s">
        <v>2875</v>
      </c>
      <c r="UMX1331" s="4" t="s">
        <v>2875</v>
      </c>
      <c r="UMY1331" s="4" t="s">
        <v>2875</v>
      </c>
      <c r="UMZ1331" s="4" t="s">
        <v>2875</v>
      </c>
      <c r="UNA1331" s="4" t="s">
        <v>2875</v>
      </c>
      <c r="UNB1331" s="4" t="s">
        <v>2875</v>
      </c>
      <c r="UNC1331" s="4" t="s">
        <v>2875</v>
      </c>
      <c r="UND1331" s="4" t="s">
        <v>2875</v>
      </c>
      <c r="UNE1331" s="4" t="s">
        <v>2875</v>
      </c>
      <c r="UNF1331" s="4" t="s">
        <v>2875</v>
      </c>
      <c r="UNG1331" s="4" t="s">
        <v>2875</v>
      </c>
      <c r="UNH1331" s="4" t="s">
        <v>2875</v>
      </c>
      <c r="UNI1331" s="4" t="s">
        <v>2875</v>
      </c>
      <c r="UNJ1331" s="4" t="s">
        <v>2875</v>
      </c>
      <c r="UNK1331" s="4" t="s">
        <v>2875</v>
      </c>
      <c r="UNL1331" s="4" t="s">
        <v>2875</v>
      </c>
      <c r="UNM1331" s="4" t="s">
        <v>2875</v>
      </c>
      <c r="UNN1331" s="4" t="s">
        <v>2875</v>
      </c>
      <c r="UNO1331" s="4" t="s">
        <v>2875</v>
      </c>
      <c r="UNP1331" s="4" t="s">
        <v>2875</v>
      </c>
      <c r="UNQ1331" s="4" t="s">
        <v>2875</v>
      </c>
      <c r="UNR1331" s="4" t="s">
        <v>2875</v>
      </c>
      <c r="UNS1331" s="4" t="s">
        <v>2875</v>
      </c>
      <c r="UNT1331" s="4" t="s">
        <v>2875</v>
      </c>
      <c r="UNU1331" s="4" t="s">
        <v>2875</v>
      </c>
      <c r="UNV1331" s="4" t="s">
        <v>2875</v>
      </c>
      <c r="UNW1331" s="4" t="s">
        <v>2875</v>
      </c>
      <c r="UNX1331" s="4" t="s">
        <v>2875</v>
      </c>
      <c r="UNY1331" s="4" t="s">
        <v>2875</v>
      </c>
      <c r="UNZ1331" s="4" t="s">
        <v>2875</v>
      </c>
      <c r="UOA1331" s="4" t="s">
        <v>2875</v>
      </c>
      <c r="UOB1331" s="4" t="s">
        <v>2875</v>
      </c>
      <c r="UOC1331" s="4" t="s">
        <v>2875</v>
      </c>
      <c r="UOD1331" s="4" t="s">
        <v>2875</v>
      </c>
      <c r="UOE1331" s="4" t="s">
        <v>2875</v>
      </c>
      <c r="UOF1331" s="4" t="s">
        <v>2875</v>
      </c>
      <c r="UOG1331" s="4" t="s">
        <v>2875</v>
      </c>
      <c r="UOH1331" s="4" t="s">
        <v>2875</v>
      </c>
      <c r="UOI1331" s="4" t="s">
        <v>2875</v>
      </c>
      <c r="UOJ1331" s="4" t="s">
        <v>2875</v>
      </c>
      <c r="UOK1331" s="4" t="s">
        <v>2875</v>
      </c>
      <c r="UOL1331" s="4" t="s">
        <v>2875</v>
      </c>
      <c r="UOM1331" s="4" t="s">
        <v>2875</v>
      </c>
      <c r="UON1331" s="4" t="s">
        <v>2875</v>
      </c>
      <c r="UOO1331" s="4" t="s">
        <v>2875</v>
      </c>
      <c r="UOP1331" s="4" t="s">
        <v>2875</v>
      </c>
      <c r="UOQ1331" s="4" t="s">
        <v>2875</v>
      </c>
      <c r="UOR1331" s="4" t="s">
        <v>2875</v>
      </c>
      <c r="UOS1331" s="4" t="s">
        <v>2875</v>
      </c>
      <c r="UOT1331" s="4" t="s">
        <v>2875</v>
      </c>
      <c r="UOU1331" s="4" t="s">
        <v>2875</v>
      </c>
      <c r="UOV1331" s="4" t="s">
        <v>2875</v>
      </c>
      <c r="UOW1331" s="4" t="s">
        <v>2875</v>
      </c>
      <c r="UOX1331" s="4" t="s">
        <v>2875</v>
      </c>
      <c r="UOY1331" s="4" t="s">
        <v>2875</v>
      </c>
      <c r="UOZ1331" s="4" t="s">
        <v>2875</v>
      </c>
      <c r="UPA1331" s="4" t="s">
        <v>2875</v>
      </c>
      <c r="UPB1331" s="4" t="s">
        <v>2875</v>
      </c>
      <c r="UPC1331" s="4" t="s">
        <v>2875</v>
      </c>
      <c r="UPD1331" s="4" t="s">
        <v>2875</v>
      </c>
      <c r="UPE1331" s="4" t="s">
        <v>2875</v>
      </c>
      <c r="UPF1331" s="4" t="s">
        <v>2875</v>
      </c>
      <c r="UPG1331" s="4" t="s">
        <v>2875</v>
      </c>
      <c r="UPH1331" s="4" t="s">
        <v>2875</v>
      </c>
      <c r="UPI1331" s="4" t="s">
        <v>2875</v>
      </c>
      <c r="UPJ1331" s="4" t="s">
        <v>2875</v>
      </c>
      <c r="UPK1331" s="4" t="s">
        <v>2875</v>
      </c>
      <c r="UPL1331" s="4" t="s">
        <v>2875</v>
      </c>
      <c r="UPM1331" s="4" t="s">
        <v>2875</v>
      </c>
      <c r="UPN1331" s="4" t="s">
        <v>2875</v>
      </c>
      <c r="UPO1331" s="4" t="s">
        <v>2875</v>
      </c>
      <c r="UPP1331" s="4" t="s">
        <v>2875</v>
      </c>
      <c r="UPQ1331" s="4" t="s">
        <v>2875</v>
      </c>
      <c r="UPR1331" s="4" t="s">
        <v>2875</v>
      </c>
      <c r="UPS1331" s="4" t="s">
        <v>2875</v>
      </c>
      <c r="UPT1331" s="4" t="s">
        <v>2875</v>
      </c>
      <c r="UPU1331" s="4" t="s">
        <v>2875</v>
      </c>
      <c r="UPV1331" s="4" t="s">
        <v>2875</v>
      </c>
      <c r="UPW1331" s="4" t="s">
        <v>2875</v>
      </c>
      <c r="UPX1331" s="4" t="s">
        <v>2875</v>
      </c>
      <c r="UPY1331" s="4" t="s">
        <v>2875</v>
      </c>
      <c r="UPZ1331" s="4" t="s">
        <v>2875</v>
      </c>
      <c r="UQA1331" s="4" t="s">
        <v>2875</v>
      </c>
      <c r="UQB1331" s="4" t="s">
        <v>2875</v>
      </c>
      <c r="UQC1331" s="4" t="s">
        <v>2875</v>
      </c>
      <c r="UQD1331" s="4" t="s">
        <v>2875</v>
      </c>
      <c r="UQE1331" s="4" t="s">
        <v>2875</v>
      </c>
      <c r="UQF1331" s="4" t="s">
        <v>2875</v>
      </c>
      <c r="UQG1331" s="4" t="s">
        <v>2875</v>
      </c>
      <c r="UQH1331" s="4" t="s">
        <v>2875</v>
      </c>
      <c r="UQI1331" s="4" t="s">
        <v>2875</v>
      </c>
      <c r="UQJ1331" s="4" t="s">
        <v>2875</v>
      </c>
      <c r="UQK1331" s="4" t="s">
        <v>2875</v>
      </c>
      <c r="UQL1331" s="4" t="s">
        <v>2875</v>
      </c>
      <c r="UQM1331" s="4" t="s">
        <v>2875</v>
      </c>
      <c r="UQN1331" s="4" t="s">
        <v>2875</v>
      </c>
      <c r="UQO1331" s="4" t="s">
        <v>2875</v>
      </c>
      <c r="UQP1331" s="4" t="s">
        <v>2875</v>
      </c>
      <c r="UQQ1331" s="4" t="s">
        <v>2875</v>
      </c>
      <c r="UQR1331" s="4" t="s">
        <v>2875</v>
      </c>
      <c r="UQS1331" s="4" t="s">
        <v>2875</v>
      </c>
      <c r="UQT1331" s="4" t="s">
        <v>2875</v>
      </c>
      <c r="UQU1331" s="4" t="s">
        <v>2875</v>
      </c>
      <c r="UQV1331" s="4" t="s">
        <v>2875</v>
      </c>
      <c r="UQW1331" s="4" t="s">
        <v>2875</v>
      </c>
      <c r="UQX1331" s="4" t="s">
        <v>2875</v>
      </c>
      <c r="UQY1331" s="4" t="s">
        <v>2875</v>
      </c>
      <c r="UQZ1331" s="4" t="s">
        <v>2875</v>
      </c>
      <c r="URA1331" s="4" t="s">
        <v>2875</v>
      </c>
      <c r="URB1331" s="4" t="s">
        <v>2875</v>
      </c>
      <c r="URC1331" s="4" t="s">
        <v>2875</v>
      </c>
      <c r="URD1331" s="4" t="s">
        <v>2875</v>
      </c>
      <c r="URE1331" s="4" t="s">
        <v>2875</v>
      </c>
      <c r="URF1331" s="4" t="s">
        <v>2875</v>
      </c>
      <c r="URG1331" s="4" t="s">
        <v>2875</v>
      </c>
      <c r="URH1331" s="4" t="s">
        <v>2875</v>
      </c>
      <c r="URI1331" s="4" t="s">
        <v>2875</v>
      </c>
      <c r="URJ1331" s="4" t="s">
        <v>2875</v>
      </c>
      <c r="URK1331" s="4" t="s">
        <v>2875</v>
      </c>
      <c r="URL1331" s="4" t="s">
        <v>2875</v>
      </c>
      <c r="URM1331" s="4" t="s">
        <v>2875</v>
      </c>
      <c r="URN1331" s="4" t="s">
        <v>2875</v>
      </c>
      <c r="URO1331" s="4" t="s">
        <v>2875</v>
      </c>
      <c r="URP1331" s="4" t="s">
        <v>2875</v>
      </c>
      <c r="URQ1331" s="4" t="s">
        <v>2875</v>
      </c>
      <c r="URR1331" s="4" t="s">
        <v>2875</v>
      </c>
      <c r="URS1331" s="4" t="s">
        <v>2875</v>
      </c>
      <c r="URT1331" s="4" t="s">
        <v>2875</v>
      </c>
      <c r="URU1331" s="4" t="s">
        <v>2875</v>
      </c>
      <c r="URV1331" s="4" t="s">
        <v>2875</v>
      </c>
      <c r="URW1331" s="4" t="s">
        <v>2875</v>
      </c>
      <c r="URX1331" s="4" t="s">
        <v>2875</v>
      </c>
      <c r="URY1331" s="4" t="s">
        <v>2875</v>
      </c>
      <c r="URZ1331" s="4" t="s">
        <v>2875</v>
      </c>
      <c r="USA1331" s="4" t="s">
        <v>2875</v>
      </c>
      <c r="USB1331" s="4" t="s">
        <v>2875</v>
      </c>
      <c r="USC1331" s="4" t="s">
        <v>2875</v>
      </c>
      <c r="USD1331" s="4" t="s">
        <v>2875</v>
      </c>
      <c r="USE1331" s="4" t="s">
        <v>2875</v>
      </c>
      <c r="USF1331" s="4" t="s">
        <v>2875</v>
      </c>
      <c r="USG1331" s="4" t="s">
        <v>2875</v>
      </c>
      <c r="USH1331" s="4" t="s">
        <v>2875</v>
      </c>
      <c r="USI1331" s="4" t="s">
        <v>2875</v>
      </c>
      <c r="USJ1331" s="4" t="s">
        <v>2875</v>
      </c>
      <c r="USK1331" s="4" t="s">
        <v>2875</v>
      </c>
      <c r="USL1331" s="4" t="s">
        <v>2875</v>
      </c>
      <c r="USM1331" s="4" t="s">
        <v>2875</v>
      </c>
      <c r="USN1331" s="4" t="s">
        <v>2875</v>
      </c>
      <c r="USO1331" s="4" t="s">
        <v>2875</v>
      </c>
      <c r="USP1331" s="4" t="s">
        <v>2875</v>
      </c>
      <c r="USQ1331" s="4" t="s">
        <v>2875</v>
      </c>
      <c r="USR1331" s="4" t="s">
        <v>2875</v>
      </c>
      <c r="USS1331" s="4" t="s">
        <v>2875</v>
      </c>
      <c r="UST1331" s="4" t="s">
        <v>2875</v>
      </c>
      <c r="USU1331" s="4" t="s">
        <v>2875</v>
      </c>
      <c r="USV1331" s="4" t="s">
        <v>2875</v>
      </c>
      <c r="USW1331" s="4" t="s">
        <v>2875</v>
      </c>
      <c r="USX1331" s="4" t="s">
        <v>2875</v>
      </c>
      <c r="USY1331" s="4" t="s">
        <v>2875</v>
      </c>
      <c r="USZ1331" s="4" t="s">
        <v>2875</v>
      </c>
      <c r="UTA1331" s="4" t="s">
        <v>2875</v>
      </c>
      <c r="UTB1331" s="4" t="s">
        <v>2875</v>
      </c>
      <c r="UTC1331" s="4" t="s">
        <v>2875</v>
      </c>
      <c r="UTD1331" s="4" t="s">
        <v>2875</v>
      </c>
      <c r="UTE1331" s="4" t="s">
        <v>2875</v>
      </c>
      <c r="UTF1331" s="4" t="s">
        <v>2875</v>
      </c>
      <c r="UTG1331" s="4" t="s">
        <v>2875</v>
      </c>
      <c r="UTH1331" s="4" t="s">
        <v>2875</v>
      </c>
      <c r="UTI1331" s="4" t="s">
        <v>2875</v>
      </c>
      <c r="UTJ1331" s="4" t="s">
        <v>2875</v>
      </c>
      <c r="UTK1331" s="4" t="s">
        <v>2875</v>
      </c>
      <c r="UTL1331" s="4" t="s">
        <v>2875</v>
      </c>
      <c r="UTM1331" s="4" t="s">
        <v>2875</v>
      </c>
      <c r="UTN1331" s="4" t="s">
        <v>2875</v>
      </c>
      <c r="UTO1331" s="4" t="s">
        <v>2875</v>
      </c>
      <c r="UTP1331" s="4" t="s">
        <v>2875</v>
      </c>
      <c r="UTQ1331" s="4" t="s">
        <v>2875</v>
      </c>
      <c r="UTR1331" s="4" t="s">
        <v>2875</v>
      </c>
      <c r="UTS1331" s="4" t="s">
        <v>2875</v>
      </c>
      <c r="UTT1331" s="4" t="s">
        <v>2875</v>
      </c>
      <c r="UTU1331" s="4" t="s">
        <v>2875</v>
      </c>
      <c r="UTV1331" s="4" t="s">
        <v>2875</v>
      </c>
      <c r="UTW1331" s="4" t="s">
        <v>2875</v>
      </c>
      <c r="UTX1331" s="4" t="s">
        <v>2875</v>
      </c>
      <c r="UTY1331" s="4" t="s">
        <v>2875</v>
      </c>
      <c r="UTZ1331" s="4" t="s">
        <v>2875</v>
      </c>
      <c r="UUA1331" s="4" t="s">
        <v>2875</v>
      </c>
      <c r="UUB1331" s="4" t="s">
        <v>2875</v>
      </c>
      <c r="UUC1331" s="4" t="s">
        <v>2875</v>
      </c>
      <c r="UUD1331" s="4" t="s">
        <v>2875</v>
      </c>
      <c r="UUE1331" s="4" t="s">
        <v>2875</v>
      </c>
      <c r="UUF1331" s="4" t="s">
        <v>2875</v>
      </c>
      <c r="UUG1331" s="4" t="s">
        <v>2875</v>
      </c>
      <c r="UUH1331" s="4" t="s">
        <v>2875</v>
      </c>
      <c r="UUI1331" s="4" t="s">
        <v>2875</v>
      </c>
      <c r="UUJ1331" s="4" t="s">
        <v>2875</v>
      </c>
      <c r="UUK1331" s="4" t="s">
        <v>2875</v>
      </c>
      <c r="UUL1331" s="4" t="s">
        <v>2875</v>
      </c>
      <c r="UUM1331" s="4" t="s">
        <v>2875</v>
      </c>
      <c r="UUN1331" s="4" t="s">
        <v>2875</v>
      </c>
      <c r="UUO1331" s="4" t="s">
        <v>2875</v>
      </c>
      <c r="UUP1331" s="4" t="s">
        <v>2875</v>
      </c>
      <c r="UUQ1331" s="4" t="s">
        <v>2875</v>
      </c>
      <c r="UUR1331" s="4" t="s">
        <v>2875</v>
      </c>
      <c r="UUS1331" s="4" t="s">
        <v>2875</v>
      </c>
      <c r="UUT1331" s="4" t="s">
        <v>2875</v>
      </c>
      <c r="UUU1331" s="4" t="s">
        <v>2875</v>
      </c>
      <c r="UUV1331" s="4" t="s">
        <v>2875</v>
      </c>
      <c r="UUW1331" s="4" t="s">
        <v>2875</v>
      </c>
      <c r="UUX1331" s="4" t="s">
        <v>2875</v>
      </c>
      <c r="UUY1331" s="4" t="s">
        <v>2875</v>
      </c>
      <c r="UUZ1331" s="4" t="s">
        <v>2875</v>
      </c>
      <c r="UVA1331" s="4" t="s">
        <v>2875</v>
      </c>
      <c r="UVB1331" s="4" t="s">
        <v>2875</v>
      </c>
      <c r="UVC1331" s="4" t="s">
        <v>2875</v>
      </c>
      <c r="UVD1331" s="4" t="s">
        <v>2875</v>
      </c>
      <c r="UVE1331" s="4" t="s">
        <v>2875</v>
      </c>
      <c r="UVF1331" s="4" t="s">
        <v>2875</v>
      </c>
      <c r="UVG1331" s="4" t="s">
        <v>2875</v>
      </c>
      <c r="UVH1331" s="4" t="s">
        <v>2875</v>
      </c>
      <c r="UVI1331" s="4" t="s">
        <v>2875</v>
      </c>
      <c r="UVJ1331" s="4" t="s">
        <v>2875</v>
      </c>
      <c r="UVK1331" s="4" t="s">
        <v>2875</v>
      </c>
      <c r="UVL1331" s="4" t="s">
        <v>2875</v>
      </c>
      <c r="UVM1331" s="4" t="s">
        <v>2875</v>
      </c>
      <c r="UVN1331" s="4" t="s">
        <v>2875</v>
      </c>
      <c r="UVO1331" s="4" t="s">
        <v>2875</v>
      </c>
      <c r="UVP1331" s="4" t="s">
        <v>2875</v>
      </c>
      <c r="UVQ1331" s="4" t="s">
        <v>2875</v>
      </c>
      <c r="UVR1331" s="4" t="s">
        <v>2875</v>
      </c>
      <c r="UVS1331" s="4" t="s">
        <v>2875</v>
      </c>
      <c r="UVT1331" s="4" t="s">
        <v>2875</v>
      </c>
      <c r="UVU1331" s="4" t="s">
        <v>2875</v>
      </c>
      <c r="UVV1331" s="4" t="s">
        <v>2875</v>
      </c>
      <c r="UVW1331" s="4" t="s">
        <v>2875</v>
      </c>
      <c r="UVX1331" s="4" t="s">
        <v>2875</v>
      </c>
      <c r="UVY1331" s="4" t="s">
        <v>2875</v>
      </c>
      <c r="UVZ1331" s="4" t="s">
        <v>2875</v>
      </c>
      <c r="UWA1331" s="4" t="s">
        <v>2875</v>
      </c>
      <c r="UWB1331" s="4" t="s">
        <v>2875</v>
      </c>
      <c r="UWC1331" s="4" t="s">
        <v>2875</v>
      </c>
      <c r="UWD1331" s="4" t="s">
        <v>2875</v>
      </c>
      <c r="UWE1331" s="4" t="s">
        <v>2875</v>
      </c>
      <c r="UWF1331" s="4" t="s">
        <v>2875</v>
      </c>
      <c r="UWG1331" s="4" t="s">
        <v>2875</v>
      </c>
      <c r="UWH1331" s="4" t="s">
        <v>2875</v>
      </c>
      <c r="UWI1331" s="4" t="s">
        <v>2875</v>
      </c>
      <c r="UWJ1331" s="4" t="s">
        <v>2875</v>
      </c>
      <c r="UWK1331" s="4" t="s">
        <v>2875</v>
      </c>
      <c r="UWL1331" s="4" t="s">
        <v>2875</v>
      </c>
      <c r="UWM1331" s="4" t="s">
        <v>2875</v>
      </c>
      <c r="UWN1331" s="4" t="s">
        <v>2875</v>
      </c>
      <c r="UWO1331" s="4" t="s">
        <v>2875</v>
      </c>
      <c r="UWP1331" s="4" t="s">
        <v>2875</v>
      </c>
      <c r="UWQ1331" s="4" t="s">
        <v>2875</v>
      </c>
      <c r="UWR1331" s="4" t="s">
        <v>2875</v>
      </c>
      <c r="UWS1331" s="4" t="s">
        <v>2875</v>
      </c>
      <c r="UWT1331" s="4" t="s">
        <v>2875</v>
      </c>
      <c r="UWU1331" s="4" t="s">
        <v>2875</v>
      </c>
      <c r="UWV1331" s="4" t="s">
        <v>2875</v>
      </c>
      <c r="UWW1331" s="4" t="s">
        <v>2875</v>
      </c>
      <c r="UWX1331" s="4" t="s">
        <v>2875</v>
      </c>
      <c r="UWY1331" s="4" t="s">
        <v>2875</v>
      </c>
      <c r="UWZ1331" s="4" t="s">
        <v>2875</v>
      </c>
      <c r="UXA1331" s="4" t="s">
        <v>2875</v>
      </c>
      <c r="UXB1331" s="4" t="s">
        <v>2875</v>
      </c>
      <c r="UXC1331" s="4" t="s">
        <v>2875</v>
      </c>
      <c r="UXD1331" s="4" t="s">
        <v>2875</v>
      </c>
      <c r="UXE1331" s="4" t="s">
        <v>2875</v>
      </c>
      <c r="UXF1331" s="4" t="s">
        <v>2875</v>
      </c>
      <c r="UXG1331" s="4" t="s">
        <v>2875</v>
      </c>
      <c r="UXH1331" s="4" t="s">
        <v>2875</v>
      </c>
      <c r="UXI1331" s="4" t="s">
        <v>2875</v>
      </c>
      <c r="UXJ1331" s="4" t="s">
        <v>2875</v>
      </c>
      <c r="UXK1331" s="4" t="s">
        <v>2875</v>
      </c>
      <c r="UXL1331" s="4" t="s">
        <v>2875</v>
      </c>
      <c r="UXM1331" s="4" t="s">
        <v>2875</v>
      </c>
      <c r="UXN1331" s="4" t="s">
        <v>2875</v>
      </c>
      <c r="UXO1331" s="4" t="s">
        <v>2875</v>
      </c>
      <c r="UXP1331" s="4" t="s">
        <v>2875</v>
      </c>
      <c r="UXQ1331" s="4" t="s">
        <v>2875</v>
      </c>
      <c r="UXR1331" s="4" t="s">
        <v>2875</v>
      </c>
      <c r="UXS1331" s="4" t="s">
        <v>2875</v>
      </c>
      <c r="UXT1331" s="4" t="s">
        <v>2875</v>
      </c>
      <c r="UXU1331" s="4" t="s">
        <v>2875</v>
      </c>
      <c r="UXV1331" s="4" t="s">
        <v>2875</v>
      </c>
      <c r="UXW1331" s="4" t="s">
        <v>2875</v>
      </c>
      <c r="UXX1331" s="4" t="s">
        <v>2875</v>
      </c>
      <c r="UXY1331" s="4" t="s">
        <v>2875</v>
      </c>
      <c r="UXZ1331" s="4" t="s">
        <v>2875</v>
      </c>
      <c r="UYA1331" s="4" t="s">
        <v>2875</v>
      </c>
      <c r="UYB1331" s="4" t="s">
        <v>2875</v>
      </c>
      <c r="UYC1331" s="4" t="s">
        <v>2875</v>
      </c>
      <c r="UYD1331" s="4" t="s">
        <v>2875</v>
      </c>
      <c r="UYE1331" s="4" t="s">
        <v>2875</v>
      </c>
      <c r="UYF1331" s="4" t="s">
        <v>2875</v>
      </c>
      <c r="UYG1331" s="4" t="s">
        <v>2875</v>
      </c>
      <c r="UYH1331" s="4" t="s">
        <v>2875</v>
      </c>
      <c r="UYI1331" s="4" t="s">
        <v>2875</v>
      </c>
      <c r="UYJ1331" s="4" t="s">
        <v>2875</v>
      </c>
      <c r="UYK1331" s="4" t="s">
        <v>2875</v>
      </c>
      <c r="UYL1331" s="4" t="s">
        <v>2875</v>
      </c>
      <c r="UYM1331" s="4" t="s">
        <v>2875</v>
      </c>
      <c r="UYN1331" s="4" t="s">
        <v>2875</v>
      </c>
      <c r="UYO1331" s="4" t="s">
        <v>2875</v>
      </c>
      <c r="UYP1331" s="4" t="s">
        <v>2875</v>
      </c>
      <c r="UYQ1331" s="4" t="s">
        <v>2875</v>
      </c>
      <c r="UYR1331" s="4" t="s">
        <v>2875</v>
      </c>
      <c r="UYS1331" s="4" t="s">
        <v>2875</v>
      </c>
      <c r="UYT1331" s="4" t="s">
        <v>2875</v>
      </c>
      <c r="UYU1331" s="4" t="s">
        <v>2875</v>
      </c>
      <c r="UYV1331" s="4" t="s">
        <v>2875</v>
      </c>
      <c r="UYW1331" s="4" t="s">
        <v>2875</v>
      </c>
      <c r="UYX1331" s="4" t="s">
        <v>2875</v>
      </c>
      <c r="UYY1331" s="4" t="s">
        <v>2875</v>
      </c>
      <c r="UYZ1331" s="4" t="s">
        <v>2875</v>
      </c>
      <c r="UZA1331" s="4" t="s">
        <v>2875</v>
      </c>
      <c r="UZB1331" s="4" t="s">
        <v>2875</v>
      </c>
      <c r="UZC1331" s="4" t="s">
        <v>2875</v>
      </c>
      <c r="UZD1331" s="4" t="s">
        <v>2875</v>
      </c>
      <c r="UZE1331" s="4" t="s">
        <v>2875</v>
      </c>
      <c r="UZF1331" s="4" t="s">
        <v>2875</v>
      </c>
      <c r="UZG1331" s="4" t="s">
        <v>2875</v>
      </c>
      <c r="UZH1331" s="4" t="s">
        <v>2875</v>
      </c>
      <c r="UZI1331" s="4" t="s">
        <v>2875</v>
      </c>
      <c r="UZJ1331" s="4" t="s">
        <v>2875</v>
      </c>
      <c r="UZK1331" s="4" t="s">
        <v>2875</v>
      </c>
      <c r="UZL1331" s="4" t="s">
        <v>2875</v>
      </c>
      <c r="UZM1331" s="4" t="s">
        <v>2875</v>
      </c>
      <c r="UZN1331" s="4" t="s">
        <v>2875</v>
      </c>
      <c r="UZO1331" s="4" t="s">
        <v>2875</v>
      </c>
      <c r="UZP1331" s="4" t="s">
        <v>2875</v>
      </c>
      <c r="UZQ1331" s="4" t="s">
        <v>2875</v>
      </c>
      <c r="UZR1331" s="4" t="s">
        <v>2875</v>
      </c>
      <c r="UZS1331" s="4" t="s">
        <v>2875</v>
      </c>
      <c r="UZT1331" s="4" t="s">
        <v>2875</v>
      </c>
      <c r="UZU1331" s="4" t="s">
        <v>2875</v>
      </c>
      <c r="UZV1331" s="4" t="s">
        <v>2875</v>
      </c>
      <c r="UZW1331" s="4" t="s">
        <v>2875</v>
      </c>
      <c r="UZX1331" s="4" t="s">
        <v>2875</v>
      </c>
      <c r="UZY1331" s="4" t="s">
        <v>2875</v>
      </c>
      <c r="UZZ1331" s="4" t="s">
        <v>2875</v>
      </c>
      <c r="VAA1331" s="4" t="s">
        <v>2875</v>
      </c>
      <c r="VAB1331" s="4" t="s">
        <v>2875</v>
      </c>
      <c r="VAC1331" s="4" t="s">
        <v>2875</v>
      </c>
      <c r="VAD1331" s="4" t="s">
        <v>2875</v>
      </c>
      <c r="VAE1331" s="4" t="s">
        <v>2875</v>
      </c>
      <c r="VAF1331" s="4" t="s">
        <v>2875</v>
      </c>
      <c r="VAG1331" s="4" t="s">
        <v>2875</v>
      </c>
      <c r="VAH1331" s="4" t="s">
        <v>2875</v>
      </c>
      <c r="VAI1331" s="4" t="s">
        <v>2875</v>
      </c>
      <c r="VAJ1331" s="4" t="s">
        <v>2875</v>
      </c>
      <c r="VAK1331" s="4" t="s">
        <v>2875</v>
      </c>
      <c r="VAL1331" s="4" t="s">
        <v>2875</v>
      </c>
      <c r="VAM1331" s="4" t="s">
        <v>2875</v>
      </c>
      <c r="VAN1331" s="4" t="s">
        <v>2875</v>
      </c>
      <c r="VAO1331" s="4" t="s">
        <v>2875</v>
      </c>
      <c r="VAP1331" s="4" t="s">
        <v>2875</v>
      </c>
      <c r="VAQ1331" s="4" t="s">
        <v>2875</v>
      </c>
      <c r="VAR1331" s="4" t="s">
        <v>2875</v>
      </c>
      <c r="VAS1331" s="4" t="s">
        <v>2875</v>
      </c>
      <c r="VAT1331" s="4" t="s">
        <v>2875</v>
      </c>
      <c r="VAU1331" s="4" t="s">
        <v>2875</v>
      </c>
      <c r="VAV1331" s="4" t="s">
        <v>2875</v>
      </c>
      <c r="VAW1331" s="4" t="s">
        <v>2875</v>
      </c>
      <c r="VAX1331" s="4" t="s">
        <v>2875</v>
      </c>
      <c r="VAY1331" s="4" t="s">
        <v>2875</v>
      </c>
      <c r="VAZ1331" s="4" t="s">
        <v>2875</v>
      </c>
      <c r="VBA1331" s="4" t="s">
        <v>2875</v>
      </c>
      <c r="VBB1331" s="4" t="s">
        <v>2875</v>
      </c>
      <c r="VBC1331" s="4" t="s">
        <v>2875</v>
      </c>
      <c r="VBD1331" s="4" t="s">
        <v>2875</v>
      </c>
      <c r="VBE1331" s="4" t="s">
        <v>2875</v>
      </c>
      <c r="VBF1331" s="4" t="s">
        <v>2875</v>
      </c>
      <c r="VBG1331" s="4" t="s">
        <v>2875</v>
      </c>
      <c r="VBH1331" s="4" t="s">
        <v>2875</v>
      </c>
      <c r="VBI1331" s="4" t="s">
        <v>2875</v>
      </c>
      <c r="VBJ1331" s="4" t="s">
        <v>2875</v>
      </c>
      <c r="VBK1331" s="4" t="s">
        <v>2875</v>
      </c>
      <c r="VBL1331" s="4" t="s">
        <v>2875</v>
      </c>
      <c r="VBM1331" s="4" t="s">
        <v>2875</v>
      </c>
      <c r="VBN1331" s="4" t="s">
        <v>2875</v>
      </c>
      <c r="VBO1331" s="4" t="s">
        <v>2875</v>
      </c>
      <c r="VBP1331" s="4" t="s">
        <v>2875</v>
      </c>
      <c r="VBQ1331" s="4" t="s">
        <v>2875</v>
      </c>
      <c r="VBR1331" s="4" t="s">
        <v>2875</v>
      </c>
      <c r="VBS1331" s="4" t="s">
        <v>2875</v>
      </c>
      <c r="VBT1331" s="4" t="s">
        <v>2875</v>
      </c>
      <c r="VBU1331" s="4" t="s">
        <v>2875</v>
      </c>
      <c r="VBV1331" s="4" t="s">
        <v>2875</v>
      </c>
      <c r="VBW1331" s="4" t="s">
        <v>2875</v>
      </c>
      <c r="VBX1331" s="4" t="s">
        <v>2875</v>
      </c>
      <c r="VBY1331" s="4" t="s">
        <v>2875</v>
      </c>
      <c r="VBZ1331" s="4" t="s">
        <v>2875</v>
      </c>
      <c r="VCA1331" s="4" t="s">
        <v>2875</v>
      </c>
      <c r="VCB1331" s="4" t="s">
        <v>2875</v>
      </c>
      <c r="VCC1331" s="4" t="s">
        <v>2875</v>
      </c>
      <c r="VCD1331" s="4" t="s">
        <v>2875</v>
      </c>
      <c r="VCE1331" s="4" t="s">
        <v>2875</v>
      </c>
      <c r="VCF1331" s="4" t="s">
        <v>2875</v>
      </c>
      <c r="VCG1331" s="4" t="s">
        <v>2875</v>
      </c>
      <c r="VCH1331" s="4" t="s">
        <v>2875</v>
      </c>
      <c r="VCI1331" s="4" t="s">
        <v>2875</v>
      </c>
      <c r="VCJ1331" s="4" t="s">
        <v>2875</v>
      </c>
      <c r="VCK1331" s="4" t="s">
        <v>2875</v>
      </c>
      <c r="VCL1331" s="4" t="s">
        <v>2875</v>
      </c>
      <c r="VCM1331" s="4" t="s">
        <v>2875</v>
      </c>
      <c r="VCN1331" s="4" t="s">
        <v>2875</v>
      </c>
      <c r="VCO1331" s="4" t="s">
        <v>2875</v>
      </c>
      <c r="VCP1331" s="4" t="s">
        <v>2875</v>
      </c>
      <c r="VCQ1331" s="4" t="s">
        <v>2875</v>
      </c>
      <c r="VCR1331" s="4" t="s">
        <v>2875</v>
      </c>
      <c r="VCS1331" s="4" t="s">
        <v>2875</v>
      </c>
      <c r="VCT1331" s="4" t="s">
        <v>2875</v>
      </c>
      <c r="VCU1331" s="4" t="s">
        <v>2875</v>
      </c>
      <c r="VCV1331" s="4" t="s">
        <v>2875</v>
      </c>
      <c r="VCW1331" s="4" t="s">
        <v>2875</v>
      </c>
      <c r="VCX1331" s="4" t="s">
        <v>2875</v>
      </c>
      <c r="VCY1331" s="4" t="s">
        <v>2875</v>
      </c>
      <c r="VCZ1331" s="4" t="s">
        <v>2875</v>
      </c>
      <c r="VDA1331" s="4" t="s">
        <v>2875</v>
      </c>
      <c r="VDB1331" s="4" t="s">
        <v>2875</v>
      </c>
      <c r="VDC1331" s="4" t="s">
        <v>2875</v>
      </c>
      <c r="VDD1331" s="4" t="s">
        <v>2875</v>
      </c>
      <c r="VDE1331" s="4" t="s">
        <v>2875</v>
      </c>
      <c r="VDF1331" s="4" t="s">
        <v>2875</v>
      </c>
      <c r="VDG1331" s="4" t="s">
        <v>2875</v>
      </c>
      <c r="VDH1331" s="4" t="s">
        <v>2875</v>
      </c>
      <c r="VDI1331" s="4" t="s">
        <v>2875</v>
      </c>
      <c r="VDJ1331" s="4" t="s">
        <v>2875</v>
      </c>
      <c r="VDK1331" s="4" t="s">
        <v>2875</v>
      </c>
      <c r="VDL1331" s="4" t="s">
        <v>2875</v>
      </c>
      <c r="VDM1331" s="4" t="s">
        <v>2875</v>
      </c>
      <c r="VDN1331" s="4" t="s">
        <v>2875</v>
      </c>
      <c r="VDO1331" s="4" t="s">
        <v>2875</v>
      </c>
      <c r="VDP1331" s="4" t="s">
        <v>2875</v>
      </c>
      <c r="VDQ1331" s="4" t="s">
        <v>2875</v>
      </c>
      <c r="VDR1331" s="4" t="s">
        <v>2875</v>
      </c>
      <c r="VDS1331" s="4" t="s">
        <v>2875</v>
      </c>
      <c r="VDT1331" s="4" t="s">
        <v>2875</v>
      </c>
      <c r="VDU1331" s="4" t="s">
        <v>2875</v>
      </c>
      <c r="VDV1331" s="4" t="s">
        <v>2875</v>
      </c>
      <c r="VDW1331" s="4" t="s">
        <v>2875</v>
      </c>
      <c r="VDX1331" s="4" t="s">
        <v>2875</v>
      </c>
      <c r="VDY1331" s="4" t="s">
        <v>2875</v>
      </c>
      <c r="VDZ1331" s="4" t="s">
        <v>2875</v>
      </c>
      <c r="VEA1331" s="4" t="s">
        <v>2875</v>
      </c>
      <c r="VEB1331" s="4" t="s">
        <v>2875</v>
      </c>
      <c r="VEC1331" s="4" t="s">
        <v>2875</v>
      </c>
      <c r="VED1331" s="4" t="s">
        <v>2875</v>
      </c>
      <c r="VEE1331" s="4" t="s">
        <v>2875</v>
      </c>
      <c r="VEF1331" s="4" t="s">
        <v>2875</v>
      </c>
      <c r="VEG1331" s="4" t="s">
        <v>2875</v>
      </c>
      <c r="VEH1331" s="4" t="s">
        <v>2875</v>
      </c>
      <c r="VEI1331" s="4" t="s">
        <v>2875</v>
      </c>
      <c r="VEJ1331" s="4" t="s">
        <v>2875</v>
      </c>
      <c r="VEK1331" s="4" t="s">
        <v>2875</v>
      </c>
      <c r="VEL1331" s="4" t="s">
        <v>2875</v>
      </c>
      <c r="VEM1331" s="4" t="s">
        <v>2875</v>
      </c>
      <c r="VEN1331" s="4" t="s">
        <v>2875</v>
      </c>
      <c r="VEO1331" s="4" t="s">
        <v>2875</v>
      </c>
      <c r="VEP1331" s="4" t="s">
        <v>2875</v>
      </c>
      <c r="VEQ1331" s="4" t="s">
        <v>2875</v>
      </c>
      <c r="VER1331" s="4" t="s">
        <v>2875</v>
      </c>
      <c r="VES1331" s="4" t="s">
        <v>2875</v>
      </c>
      <c r="VET1331" s="4" t="s">
        <v>2875</v>
      </c>
      <c r="VEU1331" s="4" t="s">
        <v>2875</v>
      </c>
      <c r="VEV1331" s="4" t="s">
        <v>2875</v>
      </c>
      <c r="VEW1331" s="4" t="s">
        <v>2875</v>
      </c>
      <c r="VEX1331" s="4" t="s">
        <v>2875</v>
      </c>
      <c r="VEY1331" s="4" t="s">
        <v>2875</v>
      </c>
      <c r="VEZ1331" s="4" t="s">
        <v>2875</v>
      </c>
      <c r="VFA1331" s="4" t="s">
        <v>2875</v>
      </c>
      <c r="VFB1331" s="4" t="s">
        <v>2875</v>
      </c>
      <c r="VFC1331" s="4" t="s">
        <v>2875</v>
      </c>
      <c r="VFD1331" s="4" t="s">
        <v>2875</v>
      </c>
      <c r="VFE1331" s="4" t="s">
        <v>2875</v>
      </c>
      <c r="VFF1331" s="4" t="s">
        <v>2875</v>
      </c>
      <c r="VFG1331" s="4" t="s">
        <v>2875</v>
      </c>
      <c r="VFH1331" s="4" t="s">
        <v>2875</v>
      </c>
      <c r="VFI1331" s="4" t="s">
        <v>2875</v>
      </c>
      <c r="VFJ1331" s="4" t="s">
        <v>2875</v>
      </c>
      <c r="VFK1331" s="4" t="s">
        <v>2875</v>
      </c>
      <c r="VFL1331" s="4" t="s">
        <v>2875</v>
      </c>
      <c r="VFM1331" s="4" t="s">
        <v>2875</v>
      </c>
      <c r="VFN1331" s="4" t="s">
        <v>2875</v>
      </c>
      <c r="VFO1331" s="4" t="s">
        <v>2875</v>
      </c>
      <c r="VFP1331" s="4" t="s">
        <v>2875</v>
      </c>
      <c r="VFQ1331" s="4" t="s">
        <v>2875</v>
      </c>
      <c r="VFR1331" s="4" t="s">
        <v>2875</v>
      </c>
      <c r="VFS1331" s="4" t="s">
        <v>2875</v>
      </c>
      <c r="VFT1331" s="4" t="s">
        <v>2875</v>
      </c>
      <c r="VFU1331" s="4" t="s">
        <v>2875</v>
      </c>
      <c r="VFV1331" s="4" t="s">
        <v>2875</v>
      </c>
      <c r="VFW1331" s="4" t="s">
        <v>2875</v>
      </c>
      <c r="VFX1331" s="4" t="s">
        <v>2875</v>
      </c>
      <c r="VFY1331" s="4" t="s">
        <v>2875</v>
      </c>
      <c r="VFZ1331" s="4" t="s">
        <v>2875</v>
      </c>
      <c r="VGA1331" s="4" t="s">
        <v>2875</v>
      </c>
      <c r="VGB1331" s="4" t="s">
        <v>2875</v>
      </c>
      <c r="VGC1331" s="4" t="s">
        <v>2875</v>
      </c>
      <c r="VGD1331" s="4" t="s">
        <v>2875</v>
      </c>
      <c r="VGE1331" s="4" t="s">
        <v>2875</v>
      </c>
      <c r="VGF1331" s="4" t="s">
        <v>2875</v>
      </c>
      <c r="VGG1331" s="4" t="s">
        <v>2875</v>
      </c>
      <c r="VGH1331" s="4" t="s">
        <v>2875</v>
      </c>
      <c r="VGI1331" s="4" t="s">
        <v>2875</v>
      </c>
      <c r="VGJ1331" s="4" t="s">
        <v>2875</v>
      </c>
      <c r="VGK1331" s="4" t="s">
        <v>2875</v>
      </c>
      <c r="VGL1331" s="4" t="s">
        <v>2875</v>
      </c>
      <c r="VGM1331" s="4" t="s">
        <v>2875</v>
      </c>
      <c r="VGN1331" s="4" t="s">
        <v>2875</v>
      </c>
      <c r="VGO1331" s="4" t="s">
        <v>2875</v>
      </c>
      <c r="VGP1331" s="4" t="s">
        <v>2875</v>
      </c>
      <c r="VGQ1331" s="4" t="s">
        <v>2875</v>
      </c>
      <c r="VGR1331" s="4" t="s">
        <v>2875</v>
      </c>
      <c r="VGS1331" s="4" t="s">
        <v>2875</v>
      </c>
      <c r="VGT1331" s="4" t="s">
        <v>2875</v>
      </c>
      <c r="VGU1331" s="4" t="s">
        <v>2875</v>
      </c>
      <c r="VGV1331" s="4" t="s">
        <v>2875</v>
      </c>
      <c r="VGW1331" s="4" t="s">
        <v>2875</v>
      </c>
      <c r="VGX1331" s="4" t="s">
        <v>2875</v>
      </c>
      <c r="VGY1331" s="4" t="s">
        <v>2875</v>
      </c>
      <c r="VGZ1331" s="4" t="s">
        <v>2875</v>
      </c>
      <c r="VHA1331" s="4" t="s">
        <v>2875</v>
      </c>
      <c r="VHB1331" s="4" t="s">
        <v>2875</v>
      </c>
      <c r="VHC1331" s="4" t="s">
        <v>2875</v>
      </c>
      <c r="VHD1331" s="4" t="s">
        <v>2875</v>
      </c>
      <c r="VHE1331" s="4" t="s">
        <v>2875</v>
      </c>
      <c r="VHF1331" s="4" t="s">
        <v>2875</v>
      </c>
      <c r="VHG1331" s="4" t="s">
        <v>2875</v>
      </c>
      <c r="VHH1331" s="4" t="s">
        <v>2875</v>
      </c>
      <c r="VHI1331" s="4" t="s">
        <v>2875</v>
      </c>
      <c r="VHJ1331" s="4" t="s">
        <v>2875</v>
      </c>
      <c r="VHK1331" s="4" t="s">
        <v>2875</v>
      </c>
      <c r="VHL1331" s="4" t="s">
        <v>2875</v>
      </c>
      <c r="VHM1331" s="4" t="s">
        <v>2875</v>
      </c>
      <c r="VHN1331" s="4" t="s">
        <v>2875</v>
      </c>
      <c r="VHO1331" s="4" t="s">
        <v>2875</v>
      </c>
      <c r="VHP1331" s="4" t="s">
        <v>2875</v>
      </c>
      <c r="VHQ1331" s="4" t="s">
        <v>2875</v>
      </c>
      <c r="VHR1331" s="4" t="s">
        <v>2875</v>
      </c>
      <c r="VHS1331" s="4" t="s">
        <v>2875</v>
      </c>
      <c r="VHT1331" s="4" t="s">
        <v>2875</v>
      </c>
      <c r="VHU1331" s="4" t="s">
        <v>2875</v>
      </c>
      <c r="VHV1331" s="4" t="s">
        <v>2875</v>
      </c>
      <c r="VHW1331" s="4" t="s">
        <v>2875</v>
      </c>
      <c r="VHX1331" s="4" t="s">
        <v>2875</v>
      </c>
      <c r="VHY1331" s="4" t="s">
        <v>2875</v>
      </c>
      <c r="VHZ1331" s="4" t="s">
        <v>2875</v>
      </c>
      <c r="VIA1331" s="4" t="s">
        <v>2875</v>
      </c>
      <c r="VIB1331" s="4" t="s">
        <v>2875</v>
      </c>
      <c r="VIC1331" s="4" t="s">
        <v>2875</v>
      </c>
      <c r="VID1331" s="4" t="s">
        <v>2875</v>
      </c>
      <c r="VIE1331" s="4" t="s">
        <v>2875</v>
      </c>
      <c r="VIF1331" s="4" t="s">
        <v>2875</v>
      </c>
      <c r="VIG1331" s="4" t="s">
        <v>2875</v>
      </c>
      <c r="VIH1331" s="4" t="s">
        <v>2875</v>
      </c>
      <c r="VII1331" s="4" t="s">
        <v>2875</v>
      </c>
      <c r="VIJ1331" s="4" t="s">
        <v>2875</v>
      </c>
      <c r="VIK1331" s="4" t="s">
        <v>2875</v>
      </c>
      <c r="VIL1331" s="4" t="s">
        <v>2875</v>
      </c>
      <c r="VIM1331" s="4" t="s">
        <v>2875</v>
      </c>
      <c r="VIN1331" s="4" t="s">
        <v>2875</v>
      </c>
      <c r="VIO1331" s="4" t="s">
        <v>2875</v>
      </c>
      <c r="VIP1331" s="4" t="s">
        <v>2875</v>
      </c>
      <c r="VIQ1331" s="4" t="s">
        <v>2875</v>
      </c>
      <c r="VIR1331" s="4" t="s">
        <v>2875</v>
      </c>
      <c r="VIS1331" s="4" t="s">
        <v>2875</v>
      </c>
      <c r="VIT1331" s="4" t="s">
        <v>2875</v>
      </c>
      <c r="VIU1331" s="4" t="s">
        <v>2875</v>
      </c>
      <c r="VIV1331" s="4" t="s">
        <v>2875</v>
      </c>
      <c r="VIW1331" s="4" t="s">
        <v>2875</v>
      </c>
      <c r="VIX1331" s="4" t="s">
        <v>2875</v>
      </c>
      <c r="VIY1331" s="4" t="s">
        <v>2875</v>
      </c>
      <c r="VIZ1331" s="4" t="s">
        <v>2875</v>
      </c>
      <c r="VJA1331" s="4" t="s">
        <v>2875</v>
      </c>
      <c r="VJB1331" s="4" t="s">
        <v>2875</v>
      </c>
      <c r="VJC1331" s="4" t="s">
        <v>2875</v>
      </c>
      <c r="VJD1331" s="4" t="s">
        <v>2875</v>
      </c>
      <c r="VJE1331" s="4" t="s">
        <v>2875</v>
      </c>
      <c r="VJF1331" s="4" t="s">
        <v>2875</v>
      </c>
      <c r="VJG1331" s="4" t="s">
        <v>2875</v>
      </c>
      <c r="VJH1331" s="4" t="s">
        <v>2875</v>
      </c>
      <c r="VJI1331" s="4" t="s">
        <v>2875</v>
      </c>
      <c r="VJJ1331" s="4" t="s">
        <v>2875</v>
      </c>
      <c r="VJK1331" s="4" t="s">
        <v>2875</v>
      </c>
      <c r="VJL1331" s="4" t="s">
        <v>2875</v>
      </c>
      <c r="VJM1331" s="4" t="s">
        <v>2875</v>
      </c>
      <c r="VJN1331" s="4" t="s">
        <v>2875</v>
      </c>
      <c r="VJO1331" s="4" t="s">
        <v>2875</v>
      </c>
      <c r="VJP1331" s="4" t="s">
        <v>2875</v>
      </c>
      <c r="VJQ1331" s="4" t="s">
        <v>2875</v>
      </c>
      <c r="VJR1331" s="4" t="s">
        <v>2875</v>
      </c>
      <c r="VJS1331" s="4" t="s">
        <v>2875</v>
      </c>
      <c r="VJT1331" s="4" t="s">
        <v>2875</v>
      </c>
      <c r="VJU1331" s="4" t="s">
        <v>2875</v>
      </c>
      <c r="VJV1331" s="4" t="s">
        <v>2875</v>
      </c>
      <c r="VJW1331" s="4" t="s">
        <v>2875</v>
      </c>
      <c r="VJX1331" s="4" t="s">
        <v>2875</v>
      </c>
      <c r="VJY1331" s="4" t="s">
        <v>2875</v>
      </c>
      <c r="VJZ1331" s="4" t="s">
        <v>2875</v>
      </c>
      <c r="VKA1331" s="4" t="s">
        <v>2875</v>
      </c>
      <c r="VKB1331" s="4" t="s">
        <v>2875</v>
      </c>
      <c r="VKC1331" s="4" t="s">
        <v>2875</v>
      </c>
      <c r="VKD1331" s="4" t="s">
        <v>2875</v>
      </c>
      <c r="VKE1331" s="4" t="s">
        <v>2875</v>
      </c>
      <c r="VKF1331" s="4" t="s">
        <v>2875</v>
      </c>
      <c r="VKG1331" s="4" t="s">
        <v>2875</v>
      </c>
      <c r="VKH1331" s="4" t="s">
        <v>2875</v>
      </c>
      <c r="VKI1331" s="4" t="s">
        <v>2875</v>
      </c>
      <c r="VKJ1331" s="4" t="s">
        <v>2875</v>
      </c>
      <c r="VKK1331" s="4" t="s">
        <v>2875</v>
      </c>
      <c r="VKL1331" s="4" t="s">
        <v>2875</v>
      </c>
      <c r="VKM1331" s="4" t="s">
        <v>2875</v>
      </c>
      <c r="VKN1331" s="4" t="s">
        <v>2875</v>
      </c>
      <c r="VKO1331" s="4" t="s">
        <v>2875</v>
      </c>
      <c r="VKP1331" s="4" t="s">
        <v>2875</v>
      </c>
      <c r="VKQ1331" s="4" t="s">
        <v>2875</v>
      </c>
      <c r="VKR1331" s="4" t="s">
        <v>2875</v>
      </c>
      <c r="VKS1331" s="4" t="s">
        <v>2875</v>
      </c>
      <c r="VKT1331" s="4" t="s">
        <v>2875</v>
      </c>
      <c r="VKU1331" s="4" t="s">
        <v>2875</v>
      </c>
      <c r="VKV1331" s="4" t="s">
        <v>2875</v>
      </c>
      <c r="VKW1331" s="4" t="s">
        <v>2875</v>
      </c>
      <c r="VKX1331" s="4" t="s">
        <v>2875</v>
      </c>
      <c r="VKY1331" s="4" t="s">
        <v>2875</v>
      </c>
      <c r="VKZ1331" s="4" t="s">
        <v>2875</v>
      </c>
      <c r="VLA1331" s="4" t="s">
        <v>2875</v>
      </c>
      <c r="VLB1331" s="4" t="s">
        <v>2875</v>
      </c>
      <c r="VLC1331" s="4" t="s">
        <v>2875</v>
      </c>
      <c r="VLD1331" s="4" t="s">
        <v>2875</v>
      </c>
      <c r="VLE1331" s="4" t="s">
        <v>2875</v>
      </c>
      <c r="VLF1331" s="4" t="s">
        <v>2875</v>
      </c>
      <c r="VLG1331" s="4" t="s">
        <v>2875</v>
      </c>
      <c r="VLH1331" s="4" t="s">
        <v>2875</v>
      </c>
      <c r="VLI1331" s="4" t="s">
        <v>2875</v>
      </c>
      <c r="VLJ1331" s="4" t="s">
        <v>2875</v>
      </c>
      <c r="VLK1331" s="4" t="s">
        <v>2875</v>
      </c>
      <c r="VLL1331" s="4" t="s">
        <v>2875</v>
      </c>
      <c r="VLM1331" s="4" t="s">
        <v>2875</v>
      </c>
      <c r="VLN1331" s="4" t="s">
        <v>2875</v>
      </c>
      <c r="VLO1331" s="4" t="s">
        <v>2875</v>
      </c>
      <c r="VLP1331" s="4" t="s">
        <v>2875</v>
      </c>
      <c r="VLQ1331" s="4" t="s">
        <v>2875</v>
      </c>
      <c r="VLR1331" s="4" t="s">
        <v>2875</v>
      </c>
      <c r="VLS1331" s="4" t="s">
        <v>2875</v>
      </c>
      <c r="VLT1331" s="4" t="s">
        <v>2875</v>
      </c>
      <c r="VLU1331" s="4" t="s">
        <v>2875</v>
      </c>
      <c r="VLV1331" s="4" t="s">
        <v>2875</v>
      </c>
      <c r="VLW1331" s="4" t="s">
        <v>2875</v>
      </c>
      <c r="VLX1331" s="4" t="s">
        <v>2875</v>
      </c>
      <c r="VLY1331" s="4" t="s">
        <v>2875</v>
      </c>
      <c r="VLZ1331" s="4" t="s">
        <v>2875</v>
      </c>
      <c r="VMA1331" s="4" t="s">
        <v>2875</v>
      </c>
      <c r="VMB1331" s="4" t="s">
        <v>2875</v>
      </c>
      <c r="VMC1331" s="4" t="s">
        <v>2875</v>
      </c>
      <c r="VMD1331" s="4" t="s">
        <v>2875</v>
      </c>
      <c r="VME1331" s="4" t="s">
        <v>2875</v>
      </c>
      <c r="VMF1331" s="4" t="s">
        <v>2875</v>
      </c>
      <c r="VMG1331" s="4" t="s">
        <v>2875</v>
      </c>
      <c r="VMH1331" s="4" t="s">
        <v>2875</v>
      </c>
      <c r="VMI1331" s="4" t="s">
        <v>2875</v>
      </c>
      <c r="VMJ1331" s="4" t="s">
        <v>2875</v>
      </c>
      <c r="VMK1331" s="4" t="s">
        <v>2875</v>
      </c>
      <c r="VML1331" s="4" t="s">
        <v>2875</v>
      </c>
      <c r="VMM1331" s="4" t="s">
        <v>2875</v>
      </c>
      <c r="VMN1331" s="4" t="s">
        <v>2875</v>
      </c>
      <c r="VMO1331" s="4" t="s">
        <v>2875</v>
      </c>
      <c r="VMP1331" s="4" t="s">
        <v>2875</v>
      </c>
      <c r="VMQ1331" s="4" t="s">
        <v>2875</v>
      </c>
      <c r="VMR1331" s="4" t="s">
        <v>2875</v>
      </c>
      <c r="VMS1331" s="4" t="s">
        <v>2875</v>
      </c>
      <c r="VMT1331" s="4" t="s">
        <v>2875</v>
      </c>
      <c r="VMU1331" s="4" t="s">
        <v>2875</v>
      </c>
      <c r="VMV1331" s="4" t="s">
        <v>2875</v>
      </c>
      <c r="VMW1331" s="4" t="s">
        <v>2875</v>
      </c>
      <c r="VMX1331" s="4" t="s">
        <v>2875</v>
      </c>
      <c r="VMY1331" s="4" t="s">
        <v>2875</v>
      </c>
      <c r="VMZ1331" s="4" t="s">
        <v>2875</v>
      </c>
      <c r="VNA1331" s="4" t="s">
        <v>2875</v>
      </c>
      <c r="VNB1331" s="4" t="s">
        <v>2875</v>
      </c>
      <c r="VNC1331" s="4" t="s">
        <v>2875</v>
      </c>
      <c r="VND1331" s="4" t="s">
        <v>2875</v>
      </c>
      <c r="VNE1331" s="4" t="s">
        <v>2875</v>
      </c>
      <c r="VNF1331" s="4" t="s">
        <v>2875</v>
      </c>
      <c r="VNG1331" s="4" t="s">
        <v>2875</v>
      </c>
      <c r="VNH1331" s="4" t="s">
        <v>2875</v>
      </c>
      <c r="VNI1331" s="4" t="s">
        <v>2875</v>
      </c>
      <c r="VNJ1331" s="4" t="s">
        <v>2875</v>
      </c>
      <c r="VNK1331" s="4" t="s">
        <v>2875</v>
      </c>
      <c r="VNL1331" s="4" t="s">
        <v>2875</v>
      </c>
      <c r="VNM1331" s="4" t="s">
        <v>2875</v>
      </c>
      <c r="VNN1331" s="4" t="s">
        <v>2875</v>
      </c>
      <c r="VNO1331" s="4" t="s">
        <v>2875</v>
      </c>
      <c r="VNP1331" s="4" t="s">
        <v>2875</v>
      </c>
      <c r="VNQ1331" s="4" t="s">
        <v>2875</v>
      </c>
      <c r="VNR1331" s="4" t="s">
        <v>2875</v>
      </c>
      <c r="VNS1331" s="4" t="s">
        <v>2875</v>
      </c>
      <c r="VNT1331" s="4" t="s">
        <v>2875</v>
      </c>
      <c r="VNU1331" s="4" t="s">
        <v>2875</v>
      </c>
      <c r="VNV1331" s="4" t="s">
        <v>2875</v>
      </c>
      <c r="VNW1331" s="4" t="s">
        <v>2875</v>
      </c>
      <c r="VNX1331" s="4" t="s">
        <v>2875</v>
      </c>
      <c r="VNY1331" s="4" t="s">
        <v>2875</v>
      </c>
      <c r="VNZ1331" s="4" t="s">
        <v>2875</v>
      </c>
      <c r="VOA1331" s="4" t="s">
        <v>2875</v>
      </c>
      <c r="VOB1331" s="4" t="s">
        <v>2875</v>
      </c>
      <c r="VOC1331" s="4" t="s">
        <v>2875</v>
      </c>
      <c r="VOD1331" s="4" t="s">
        <v>2875</v>
      </c>
      <c r="VOE1331" s="4" t="s">
        <v>2875</v>
      </c>
      <c r="VOF1331" s="4" t="s">
        <v>2875</v>
      </c>
      <c r="VOG1331" s="4" t="s">
        <v>2875</v>
      </c>
      <c r="VOH1331" s="4" t="s">
        <v>2875</v>
      </c>
      <c r="VOI1331" s="4" t="s">
        <v>2875</v>
      </c>
      <c r="VOJ1331" s="4" t="s">
        <v>2875</v>
      </c>
      <c r="VOK1331" s="4" t="s">
        <v>2875</v>
      </c>
      <c r="VOL1331" s="4" t="s">
        <v>2875</v>
      </c>
      <c r="VOM1331" s="4" t="s">
        <v>2875</v>
      </c>
      <c r="VON1331" s="4" t="s">
        <v>2875</v>
      </c>
      <c r="VOO1331" s="4" t="s">
        <v>2875</v>
      </c>
      <c r="VOP1331" s="4" t="s">
        <v>2875</v>
      </c>
      <c r="VOQ1331" s="4" t="s">
        <v>2875</v>
      </c>
      <c r="VOR1331" s="4" t="s">
        <v>2875</v>
      </c>
      <c r="VOS1331" s="4" t="s">
        <v>2875</v>
      </c>
      <c r="VOT1331" s="4" t="s">
        <v>2875</v>
      </c>
      <c r="VOU1331" s="4" t="s">
        <v>2875</v>
      </c>
      <c r="VOV1331" s="4" t="s">
        <v>2875</v>
      </c>
      <c r="VOW1331" s="4" t="s">
        <v>2875</v>
      </c>
      <c r="VOX1331" s="4" t="s">
        <v>2875</v>
      </c>
      <c r="VOY1331" s="4" t="s">
        <v>2875</v>
      </c>
      <c r="VOZ1331" s="4" t="s">
        <v>2875</v>
      </c>
      <c r="VPA1331" s="4" t="s">
        <v>2875</v>
      </c>
      <c r="VPB1331" s="4" t="s">
        <v>2875</v>
      </c>
      <c r="VPC1331" s="4" t="s">
        <v>2875</v>
      </c>
      <c r="VPD1331" s="4" t="s">
        <v>2875</v>
      </c>
      <c r="VPE1331" s="4" t="s">
        <v>2875</v>
      </c>
      <c r="VPF1331" s="4" t="s">
        <v>2875</v>
      </c>
      <c r="VPG1331" s="4" t="s">
        <v>2875</v>
      </c>
      <c r="VPH1331" s="4" t="s">
        <v>2875</v>
      </c>
      <c r="VPI1331" s="4" t="s">
        <v>2875</v>
      </c>
      <c r="VPJ1331" s="4" t="s">
        <v>2875</v>
      </c>
      <c r="VPK1331" s="4" t="s">
        <v>2875</v>
      </c>
      <c r="VPL1331" s="4" t="s">
        <v>2875</v>
      </c>
      <c r="VPM1331" s="4" t="s">
        <v>2875</v>
      </c>
      <c r="VPN1331" s="4" t="s">
        <v>2875</v>
      </c>
      <c r="VPO1331" s="4" t="s">
        <v>2875</v>
      </c>
      <c r="VPP1331" s="4" t="s">
        <v>2875</v>
      </c>
      <c r="VPQ1331" s="4" t="s">
        <v>2875</v>
      </c>
      <c r="VPR1331" s="4" t="s">
        <v>2875</v>
      </c>
      <c r="VPS1331" s="4" t="s">
        <v>2875</v>
      </c>
      <c r="VPT1331" s="4" t="s">
        <v>2875</v>
      </c>
      <c r="VPU1331" s="4" t="s">
        <v>2875</v>
      </c>
      <c r="VPV1331" s="4" t="s">
        <v>2875</v>
      </c>
      <c r="VPW1331" s="4" t="s">
        <v>2875</v>
      </c>
      <c r="VPX1331" s="4" t="s">
        <v>2875</v>
      </c>
      <c r="VPY1331" s="4" t="s">
        <v>2875</v>
      </c>
      <c r="VPZ1331" s="4" t="s">
        <v>2875</v>
      </c>
      <c r="VQA1331" s="4" t="s">
        <v>2875</v>
      </c>
      <c r="VQB1331" s="4" t="s">
        <v>2875</v>
      </c>
      <c r="VQC1331" s="4" t="s">
        <v>2875</v>
      </c>
      <c r="VQD1331" s="4" t="s">
        <v>2875</v>
      </c>
      <c r="VQE1331" s="4" t="s">
        <v>2875</v>
      </c>
      <c r="VQF1331" s="4" t="s">
        <v>2875</v>
      </c>
      <c r="VQG1331" s="4" t="s">
        <v>2875</v>
      </c>
      <c r="VQH1331" s="4" t="s">
        <v>2875</v>
      </c>
      <c r="VQI1331" s="4" t="s">
        <v>2875</v>
      </c>
      <c r="VQJ1331" s="4" t="s">
        <v>2875</v>
      </c>
      <c r="VQK1331" s="4" t="s">
        <v>2875</v>
      </c>
      <c r="VQL1331" s="4" t="s">
        <v>2875</v>
      </c>
      <c r="VQM1331" s="4" t="s">
        <v>2875</v>
      </c>
      <c r="VQN1331" s="4" t="s">
        <v>2875</v>
      </c>
      <c r="VQO1331" s="4" t="s">
        <v>2875</v>
      </c>
      <c r="VQP1331" s="4" t="s">
        <v>2875</v>
      </c>
      <c r="VQQ1331" s="4" t="s">
        <v>2875</v>
      </c>
      <c r="VQR1331" s="4" t="s">
        <v>2875</v>
      </c>
      <c r="VQS1331" s="4" t="s">
        <v>2875</v>
      </c>
      <c r="VQT1331" s="4" t="s">
        <v>2875</v>
      </c>
      <c r="VQU1331" s="4" t="s">
        <v>2875</v>
      </c>
      <c r="VQV1331" s="4" t="s">
        <v>2875</v>
      </c>
      <c r="VQW1331" s="4" t="s">
        <v>2875</v>
      </c>
      <c r="VQX1331" s="4" t="s">
        <v>2875</v>
      </c>
      <c r="VQY1331" s="4" t="s">
        <v>2875</v>
      </c>
      <c r="VQZ1331" s="4" t="s">
        <v>2875</v>
      </c>
      <c r="VRA1331" s="4" t="s">
        <v>2875</v>
      </c>
      <c r="VRB1331" s="4" t="s">
        <v>2875</v>
      </c>
      <c r="VRC1331" s="4" t="s">
        <v>2875</v>
      </c>
      <c r="VRD1331" s="4" t="s">
        <v>2875</v>
      </c>
      <c r="VRE1331" s="4" t="s">
        <v>2875</v>
      </c>
      <c r="VRF1331" s="4" t="s">
        <v>2875</v>
      </c>
      <c r="VRG1331" s="4" t="s">
        <v>2875</v>
      </c>
      <c r="VRH1331" s="4" t="s">
        <v>2875</v>
      </c>
      <c r="VRI1331" s="4" t="s">
        <v>2875</v>
      </c>
      <c r="VRJ1331" s="4" t="s">
        <v>2875</v>
      </c>
      <c r="VRK1331" s="4" t="s">
        <v>2875</v>
      </c>
      <c r="VRL1331" s="4" t="s">
        <v>2875</v>
      </c>
      <c r="VRM1331" s="4" t="s">
        <v>2875</v>
      </c>
      <c r="VRN1331" s="4" t="s">
        <v>2875</v>
      </c>
      <c r="VRO1331" s="4" t="s">
        <v>2875</v>
      </c>
      <c r="VRP1331" s="4" t="s">
        <v>2875</v>
      </c>
      <c r="VRQ1331" s="4" t="s">
        <v>2875</v>
      </c>
      <c r="VRR1331" s="4" t="s">
        <v>2875</v>
      </c>
      <c r="VRS1331" s="4" t="s">
        <v>2875</v>
      </c>
      <c r="VRT1331" s="4" t="s">
        <v>2875</v>
      </c>
      <c r="VRU1331" s="4" t="s">
        <v>2875</v>
      </c>
      <c r="VRV1331" s="4" t="s">
        <v>2875</v>
      </c>
      <c r="VRW1331" s="4" t="s">
        <v>2875</v>
      </c>
      <c r="VRX1331" s="4" t="s">
        <v>2875</v>
      </c>
      <c r="VRY1331" s="4" t="s">
        <v>2875</v>
      </c>
      <c r="VRZ1331" s="4" t="s">
        <v>2875</v>
      </c>
      <c r="VSA1331" s="4" t="s">
        <v>2875</v>
      </c>
      <c r="VSB1331" s="4" t="s">
        <v>2875</v>
      </c>
      <c r="VSC1331" s="4" t="s">
        <v>2875</v>
      </c>
      <c r="VSD1331" s="4" t="s">
        <v>2875</v>
      </c>
      <c r="VSE1331" s="4" t="s">
        <v>2875</v>
      </c>
      <c r="VSF1331" s="4" t="s">
        <v>2875</v>
      </c>
      <c r="VSG1331" s="4" t="s">
        <v>2875</v>
      </c>
      <c r="VSH1331" s="4" t="s">
        <v>2875</v>
      </c>
      <c r="VSI1331" s="4" t="s">
        <v>2875</v>
      </c>
      <c r="VSJ1331" s="4" t="s">
        <v>2875</v>
      </c>
      <c r="VSK1331" s="4" t="s">
        <v>2875</v>
      </c>
      <c r="VSL1331" s="4" t="s">
        <v>2875</v>
      </c>
      <c r="VSM1331" s="4" t="s">
        <v>2875</v>
      </c>
      <c r="VSN1331" s="4" t="s">
        <v>2875</v>
      </c>
      <c r="VSO1331" s="4" t="s">
        <v>2875</v>
      </c>
      <c r="VSP1331" s="4" t="s">
        <v>2875</v>
      </c>
      <c r="VSQ1331" s="4" t="s">
        <v>2875</v>
      </c>
      <c r="VSR1331" s="4" t="s">
        <v>2875</v>
      </c>
      <c r="VSS1331" s="4" t="s">
        <v>2875</v>
      </c>
      <c r="VST1331" s="4" t="s">
        <v>2875</v>
      </c>
      <c r="VSU1331" s="4" t="s">
        <v>2875</v>
      </c>
      <c r="VSV1331" s="4" t="s">
        <v>2875</v>
      </c>
      <c r="VSW1331" s="4" t="s">
        <v>2875</v>
      </c>
      <c r="VSX1331" s="4" t="s">
        <v>2875</v>
      </c>
      <c r="VSY1331" s="4" t="s">
        <v>2875</v>
      </c>
      <c r="VSZ1331" s="4" t="s">
        <v>2875</v>
      </c>
      <c r="VTA1331" s="4" t="s">
        <v>2875</v>
      </c>
      <c r="VTB1331" s="4" t="s">
        <v>2875</v>
      </c>
      <c r="VTC1331" s="4" t="s">
        <v>2875</v>
      </c>
      <c r="VTD1331" s="4" t="s">
        <v>2875</v>
      </c>
      <c r="VTE1331" s="4" t="s">
        <v>2875</v>
      </c>
      <c r="VTF1331" s="4" t="s">
        <v>2875</v>
      </c>
      <c r="VTG1331" s="4" t="s">
        <v>2875</v>
      </c>
      <c r="VTH1331" s="4" t="s">
        <v>2875</v>
      </c>
      <c r="VTI1331" s="4" t="s">
        <v>2875</v>
      </c>
      <c r="VTJ1331" s="4" t="s">
        <v>2875</v>
      </c>
      <c r="VTK1331" s="4" t="s">
        <v>2875</v>
      </c>
      <c r="VTL1331" s="4" t="s">
        <v>2875</v>
      </c>
      <c r="VTM1331" s="4" t="s">
        <v>2875</v>
      </c>
      <c r="VTN1331" s="4" t="s">
        <v>2875</v>
      </c>
      <c r="VTO1331" s="4" t="s">
        <v>2875</v>
      </c>
      <c r="VTP1331" s="4" t="s">
        <v>2875</v>
      </c>
      <c r="VTQ1331" s="4" t="s">
        <v>2875</v>
      </c>
      <c r="VTR1331" s="4" t="s">
        <v>2875</v>
      </c>
      <c r="VTS1331" s="4" t="s">
        <v>2875</v>
      </c>
      <c r="VTT1331" s="4" t="s">
        <v>2875</v>
      </c>
      <c r="VTU1331" s="4" t="s">
        <v>2875</v>
      </c>
      <c r="VTV1331" s="4" t="s">
        <v>2875</v>
      </c>
      <c r="VTW1331" s="4" t="s">
        <v>2875</v>
      </c>
      <c r="VTX1331" s="4" t="s">
        <v>2875</v>
      </c>
      <c r="VTY1331" s="4" t="s">
        <v>2875</v>
      </c>
      <c r="VTZ1331" s="4" t="s">
        <v>2875</v>
      </c>
      <c r="VUA1331" s="4" t="s">
        <v>2875</v>
      </c>
      <c r="VUB1331" s="4" t="s">
        <v>2875</v>
      </c>
      <c r="VUC1331" s="4" t="s">
        <v>2875</v>
      </c>
      <c r="VUD1331" s="4" t="s">
        <v>2875</v>
      </c>
      <c r="VUE1331" s="4" t="s">
        <v>2875</v>
      </c>
      <c r="VUF1331" s="4" t="s">
        <v>2875</v>
      </c>
      <c r="VUG1331" s="4" t="s">
        <v>2875</v>
      </c>
      <c r="VUH1331" s="4" t="s">
        <v>2875</v>
      </c>
      <c r="VUI1331" s="4" t="s">
        <v>2875</v>
      </c>
      <c r="VUJ1331" s="4" t="s">
        <v>2875</v>
      </c>
      <c r="VUK1331" s="4" t="s">
        <v>2875</v>
      </c>
      <c r="VUL1331" s="4" t="s">
        <v>2875</v>
      </c>
      <c r="VUM1331" s="4" t="s">
        <v>2875</v>
      </c>
      <c r="VUN1331" s="4" t="s">
        <v>2875</v>
      </c>
      <c r="VUO1331" s="4" t="s">
        <v>2875</v>
      </c>
      <c r="VUP1331" s="4" t="s">
        <v>2875</v>
      </c>
      <c r="VUQ1331" s="4" t="s">
        <v>2875</v>
      </c>
      <c r="VUR1331" s="4" t="s">
        <v>2875</v>
      </c>
      <c r="VUS1331" s="4" t="s">
        <v>2875</v>
      </c>
      <c r="VUT1331" s="4" t="s">
        <v>2875</v>
      </c>
      <c r="VUU1331" s="4" t="s">
        <v>2875</v>
      </c>
      <c r="VUV1331" s="4" t="s">
        <v>2875</v>
      </c>
      <c r="VUW1331" s="4" t="s">
        <v>2875</v>
      </c>
      <c r="VUX1331" s="4" t="s">
        <v>2875</v>
      </c>
      <c r="VUY1331" s="4" t="s">
        <v>2875</v>
      </c>
      <c r="VUZ1331" s="4" t="s">
        <v>2875</v>
      </c>
      <c r="VVA1331" s="4" t="s">
        <v>2875</v>
      </c>
      <c r="VVB1331" s="4" t="s">
        <v>2875</v>
      </c>
      <c r="VVC1331" s="4" t="s">
        <v>2875</v>
      </c>
      <c r="VVD1331" s="4" t="s">
        <v>2875</v>
      </c>
      <c r="VVE1331" s="4" t="s">
        <v>2875</v>
      </c>
      <c r="VVF1331" s="4" t="s">
        <v>2875</v>
      </c>
      <c r="VVG1331" s="4" t="s">
        <v>2875</v>
      </c>
      <c r="VVH1331" s="4" t="s">
        <v>2875</v>
      </c>
      <c r="VVI1331" s="4" t="s">
        <v>2875</v>
      </c>
      <c r="VVJ1331" s="4" t="s">
        <v>2875</v>
      </c>
      <c r="VVK1331" s="4" t="s">
        <v>2875</v>
      </c>
      <c r="VVL1331" s="4" t="s">
        <v>2875</v>
      </c>
      <c r="VVM1331" s="4" t="s">
        <v>2875</v>
      </c>
      <c r="VVN1331" s="4" t="s">
        <v>2875</v>
      </c>
      <c r="VVO1331" s="4" t="s">
        <v>2875</v>
      </c>
      <c r="VVP1331" s="4" t="s">
        <v>2875</v>
      </c>
      <c r="VVQ1331" s="4" t="s">
        <v>2875</v>
      </c>
      <c r="VVR1331" s="4" t="s">
        <v>2875</v>
      </c>
      <c r="VVS1331" s="4" t="s">
        <v>2875</v>
      </c>
      <c r="VVT1331" s="4" t="s">
        <v>2875</v>
      </c>
      <c r="VVU1331" s="4" t="s">
        <v>2875</v>
      </c>
      <c r="VVV1331" s="4" t="s">
        <v>2875</v>
      </c>
      <c r="VVW1331" s="4" t="s">
        <v>2875</v>
      </c>
      <c r="VVX1331" s="4" t="s">
        <v>2875</v>
      </c>
      <c r="VVY1331" s="4" t="s">
        <v>2875</v>
      </c>
      <c r="VVZ1331" s="4" t="s">
        <v>2875</v>
      </c>
      <c r="VWA1331" s="4" t="s">
        <v>2875</v>
      </c>
      <c r="VWB1331" s="4" t="s">
        <v>2875</v>
      </c>
      <c r="VWC1331" s="4" t="s">
        <v>2875</v>
      </c>
      <c r="VWD1331" s="4" t="s">
        <v>2875</v>
      </c>
      <c r="VWE1331" s="4" t="s">
        <v>2875</v>
      </c>
      <c r="VWF1331" s="4" t="s">
        <v>2875</v>
      </c>
      <c r="VWG1331" s="4" t="s">
        <v>2875</v>
      </c>
      <c r="VWH1331" s="4" t="s">
        <v>2875</v>
      </c>
      <c r="VWI1331" s="4" t="s">
        <v>2875</v>
      </c>
      <c r="VWJ1331" s="4" t="s">
        <v>2875</v>
      </c>
      <c r="VWK1331" s="4" t="s">
        <v>2875</v>
      </c>
      <c r="VWL1331" s="4" t="s">
        <v>2875</v>
      </c>
      <c r="VWM1331" s="4" t="s">
        <v>2875</v>
      </c>
      <c r="VWN1331" s="4" t="s">
        <v>2875</v>
      </c>
      <c r="VWO1331" s="4" t="s">
        <v>2875</v>
      </c>
      <c r="VWP1331" s="4" t="s">
        <v>2875</v>
      </c>
      <c r="VWQ1331" s="4" t="s">
        <v>2875</v>
      </c>
      <c r="VWR1331" s="4" t="s">
        <v>2875</v>
      </c>
      <c r="VWS1331" s="4" t="s">
        <v>2875</v>
      </c>
      <c r="VWT1331" s="4" t="s">
        <v>2875</v>
      </c>
      <c r="VWU1331" s="4" t="s">
        <v>2875</v>
      </c>
      <c r="VWV1331" s="4" t="s">
        <v>2875</v>
      </c>
      <c r="VWW1331" s="4" t="s">
        <v>2875</v>
      </c>
      <c r="VWX1331" s="4" t="s">
        <v>2875</v>
      </c>
      <c r="VWY1331" s="4" t="s">
        <v>2875</v>
      </c>
      <c r="VWZ1331" s="4" t="s">
        <v>2875</v>
      </c>
      <c r="VXA1331" s="4" t="s">
        <v>2875</v>
      </c>
      <c r="VXB1331" s="4" t="s">
        <v>2875</v>
      </c>
      <c r="VXC1331" s="4" t="s">
        <v>2875</v>
      </c>
      <c r="VXD1331" s="4" t="s">
        <v>2875</v>
      </c>
      <c r="VXE1331" s="4" t="s">
        <v>2875</v>
      </c>
      <c r="VXF1331" s="4" t="s">
        <v>2875</v>
      </c>
      <c r="VXG1331" s="4" t="s">
        <v>2875</v>
      </c>
      <c r="VXH1331" s="4" t="s">
        <v>2875</v>
      </c>
      <c r="VXI1331" s="4" t="s">
        <v>2875</v>
      </c>
      <c r="VXJ1331" s="4" t="s">
        <v>2875</v>
      </c>
      <c r="VXK1331" s="4" t="s">
        <v>2875</v>
      </c>
      <c r="VXL1331" s="4" t="s">
        <v>2875</v>
      </c>
      <c r="VXM1331" s="4" t="s">
        <v>2875</v>
      </c>
      <c r="VXN1331" s="4" t="s">
        <v>2875</v>
      </c>
      <c r="VXO1331" s="4" t="s">
        <v>2875</v>
      </c>
      <c r="VXP1331" s="4" t="s">
        <v>2875</v>
      </c>
      <c r="VXQ1331" s="4" t="s">
        <v>2875</v>
      </c>
      <c r="VXR1331" s="4" t="s">
        <v>2875</v>
      </c>
      <c r="VXS1331" s="4" t="s">
        <v>2875</v>
      </c>
      <c r="VXT1331" s="4" t="s">
        <v>2875</v>
      </c>
      <c r="VXU1331" s="4" t="s">
        <v>2875</v>
      </c>
      <c r="VXV1331" s="4" t="s">
        <v>2875</v>
      </c>
      <c r="VXW1331" s="4" t="s">
        <v>2875</v>
      </c>
      <c r="VXX1331" s="4" t="s">
        <v>2875</v>
      </c>
      <c r="VXY1331" s="4" t="s">
        <v>2875</v>
      </c>
      <c r="VXZ1331" s="4" t="s">
        <v>2875</v>
      </c>
      <c r="VYA1331" s="4" t="s">
        <v>2875</v>
      </c>
      <c r="VYB1331" s="4" t="s">
        <v>2875</v>
      </c>
      <c r="VYC1331" s="4" t="s">
        <v>2875</v>
      </c>
      <c r="VYD1331" s="4" t="s">
        <v>2875</v>
      </c>
      <c r="VYE1331" s="4" t="s">
        <v>2875</v>
      </c>
      <c r="VYF1331" s="4" t="s">
        <v>2875</v>
      </c>
      <c r="VYG1331" s="4" t="s">
        <v>2875</v>
      </c>
      <c r="VYH1331" s="4" t="s">
        <v>2875</v>
      </c>
      <c r="VYI1331" s="4" t="s">
        <v>2875</v>
      </c>
      <c r="VYJ1331" s="4" t="s">
        <v>2875</v>
      </c>
      <c r="VYK1331" s="4" t="s">
        <v>2875</v>
      </c>
      <c r="VYL1331" s="4" t="s">
        <v>2875</v>
      </c>
      <c r="VYM1331" s="4" t="s">
        <v>2875</v>
      </c>
      <c r="VYN1331" s="4" t="s">
        <v>2875</v>
      </c>
      <c r="VYO1331" s="4" t="s">
        <v>2875</v>
      </c>
      <c r="VYP1331" s="4" t="s">
        <v>2875</v>
      </c>
      <c r="VYQ1331" s="4" t="s">
        <v>2875</v>
      </c>
      <c r="VYR1331" s="4" t="s">
        <v>2875</v>
      </c>
      <c r="VYS1331" s="4" t="s">
        <v>2875</v>
      </c>
      <c r="VYT1331" s="4" t="s">
        <v>2875</v>
      </c>
      <c r="VYU1331" s="4" t="s">
        <v>2875</v>
      </c>
      <c r="VYV1331" s="4" t="s">
        <v>2875</v>
      </c>
      <c r="VYW1331" s="4" t="s">
        <v>2875</v>
      </c>
      <c r="VYX1331" s="4" t="s">
        <v>2875</v>
      </c>
      <c r="VYY1331" s="4" t="s">
        <v>2875</v>
      </c>
      <c r="VYZ1331" s="4" t="s">
        <v>2875</v>
      </c>
      <c r="VZA1331" s="4" t="s">
        <v>2875</v>
      </c>
      <c r="VZB1331" s="4" t="s">
        <v>2875</v>
      </c>
      <c r="VZC1331" s="4" t="s">
        <v>2875</v>
      </c>
      <c r="VZD1331" s="4" t="s">
        <v>2875</v>
      </c>
      <c r="VZE1331" s="4" t="s">
        <v>2875</v>
      </c>
      <c r="VZF1331" s="4" t="s">
        <v>2875</v>
      </c>
      <c r="VZG1331" s="4" t="s">
        <v>2875</v>
      </c>
      <c r="VZH1331" s="4" t="s">
        <v>2875</v>
      </c>
      <c r="VZI1331" s="4" t="s">
        <v>2875</v>
      </c>
      <c r="VZJ1331" s="4" t="s">
        <v>2875</v>
      </c>
      <c r="VZK1331" s="4" t="s">
        <v>2875</v>
      </c>
      <c r="VZL1331" s="4" t="s">
        <v>2875</v>
      </c>
      <c r="VZM1331" s="4" t="s">
        <v>2875</v>
      </c>
      <c r="VZN1331" s="4" t="s">
        <v>2875</v>
      </c>
      <c r="VZO1331" s="4" t="s">
        <v>2875</v>
      </c>
      <c r="VZP1331" s="4" t="s">
        <v>2875</v>
      </c>
      <c r="VZQ1331" s="4" t="s">
        <v>2875</v>
      </c>
      <c r="VZR1331" s="4" t="s">
        <v>2875</v>
      </c>
      <c r="VZS1331" s="4" t="s">
        <v>2875</v>
      </c>
      <c r="VZT1331" s="4" t="s">
        <v>2875</v>
      </c>
      <c r="VZU1331" s="4" t="s">
        <v>2875</v>
      </c>
      <c r="VZV1331" s="4" t="s">
        <v>2875</v>
      </c>
      <c r="VZW1331" s="4" t="s">
        <v>2875</v>
      </c>
      <c r="VZX1331" s="4" t="s">
        <v>2875</v>
      </c>
      <c r="VZY1331" s="4" t="s">
        <v>2875</v>
      </c>
      <c r="VZZ1331" s="4" t="s">
        <v>2875</v>
      </c>
      <c r="WAA1331" s="4" t="s">
        <v>2875</v>
      </c>
      <c r="WAB1331" s="4" t="s">
        <v>2875</v>
      </c>
      <c r="WAC1331" s="4" t="s">
        <v>2875</v>
      </c>
      <c r="WAD1331" s="4" t="s">
        <v>2875</v>
      </c>
      <c r="WAE1331" s="4" t="s">
        <v>2875</v>
      </c>
      <c r="WAF1331" s="4" t="s">
        <v>2875</v>
      </c>
      <c r="WAG1331" s="4" t="s">
        <v>2875</v>
      </c>
      <c r="WAH1331" s="4" t="s">
        <v>2875</v>
      </c>
      <c r="WAI1331" s="4" t="s">
        <v>2875</v>
      </c>
      <c r="WAJ1331" s="4" t="s">
        <v>2875</v>
      </c>
      <c r="WAK1331" s="4" t="s">
        <v>2875</v>
      </c>
      <c r="WAL1331" s="4" t="s">
        <v>2875</v>
      </c>
      <c r="WAM1331" s="4" t="s">
        <v>2875</v>
      </c>
      <c r="WAN1331" s="4" t="s">
        <v>2875</v>
      </c>
      <c r="WAO1331" s="4" t="s">
        <v>2875</v>
      </c>
      <c r="WAP1331" s="4" t="s">
        <v>2875</v>
      </c>
      <c r="WAQ1331" s="4" t="s">
        <v>2875</v>
      </c>
      <c r="WAR1331" s="4" t="s">
        <v>2875</v>
      </c>
      <c r="WAS1331" s="4" t="s">
        <v>2875</v>
      </c>
      <c r="WAT1331" s="4" t="s">
        <v>2875</v>
      </c>
      <c r="WAU1331" s="4" t="s">
        <v>2875</v>
      </c>
      <c r="WAV1331" s="4" t="s">
        <v>2875</v>
      </c>
      <c r="WAW1331" s="4" t="s">
        <v>2875</v>
      </c>
      <c r="WAX1331" s="4" t="s">
        <v>2875</v>
      </c>
      <c r="WAY1331" s="4" t="s">
        <v>2875</v>
      </c>
      <c r="WAZ1331" s="4" t="s">
        <v>2875</v>
      </c>
      <c r="WBA1331" s="4" t="s">
        <v>2875</v>
      </c>
      <c r="WBB1331" s="4" t="s">
        <v>2875</v>
      </c>
      <c r="WBC1331" s="4" t="s">
        <v>2875</v>
      </c>
      <c r="WBD1331" s="4" t="s">
        <v>2875</v>
      </c>
      <c r="WBE1331" s="4" t="s">
        <v>2875</v>
      </c>
      <c r="WBF1331" s="4" t="s">
        <v>2875</v>
      </c>
      <c r="WBG1331" s="4" t="s">
        <v>2875</v>
      </c>
      <c r="WBH1331" s="4" t="s">
        <v>2875</v>
      </c>
      <c r="WBI1331" s="4" t="s">
        <v>2875</v>
      </c>
      <c r="WBJ1331" s="4" t="s">
        <v>2875</v>
      </c>
      <c r="WBK1331" s="4" t="s">
        <v>2875</v>
      </c>
      <c r="WBL1331" s="4" t="s">
        <v>2875</v>
      </c>
      <c r="WBM1331" s="4" t="s">
        <v>2875</v>
      </c>
      <c r="WBN1331" s="4" t="s">
        <v>2875</v>
      </c>
      <c r="WBO1331" s="4" t="s">
        <v>2875</v>
      </c>
      <c r="WBP1331" s="4" t="s">
        <v>2875</v>
      </c>
      <c r="WBQ1331" s="4" t="s">
        <v>2875</v>
      </c>
      <c r="WBR1331" s="4" t="s">
        <v>2875</v>
      </c>
      <c r="WBS1331" s="4" t="s">
        <v>2875</v>
      </c>
      <c r="WBT1331" s="4" t="s">
        <v>2875</v>
      </c>
      <c r="WBU1331" s="4" t="s">
        <v>2875</v>
      </c>
      <c r="WBV1331" s="4" t="s">
        <v>2875</v>
      </c>
      <c r="WBW1331" s="4" t="s">
        <v>2875</v>
      </c>
      <c r="WBX1331" s="4" t="s">
        <v>2875</v>
      </c>
      <c r="WBY1331" s="4" t="s">
        <v>2875</v>
      </c>
      <c r="WBZ1331" s="4" t="s">
        <v>2875</v>
      </c>
      <c r="WCA1331" s="4" t="s">
        <v>2875</v>
      </c>
      <c r="WCB1331" s="4" t="s">
        <v>2875</v>
      </c>
      <c r="WCC1331" s="4" t="s">
        <v>2875</v>
      </c>
      <c r="WCD1331" s="4" t="s">
        <v>2875</v>
      </c>
      <c r="WCE1331" s="4" t="s">
        <v>2875</v>
      </c>
      <c r="WCF1331" s="4" t="s">
        <v>2875</v>
      </c>
      <c r="WCG1331" s="4" t="s">
        <v>2875</v>
      </c>
      <c r="WCH1331" s="4" t="s">
        <v>2875</v>
      </c>
      <c r="WCI1331" s="4" t="s">
        <v>2875</v>
      </c>
      <c r="WCJ1331" s="4" t="s">
        <v>2875</v>
      </c>
      <c r="WCK1331" s="4" t="s">
        <v>2875</v>
      </c>
      <c r="WCL1331" s="4" t="s">
        <v>2875</v>
      </c>
      <c r="WCM1331" s="4" t="s">
        <v>2875</v>
      </c>
      <c r="WCN1331" s="4" t="s">
        <v>2875</v>
      </c>
      <c r="WCO1331" s="4" t="s">
        <v>2875</v>
      </c>
      <c r="WCP1331" s="4" t="s">
        <v>2875</v>
      </c>
      <c r="WCQ1331" s="4" t="s">
        <v>2875</v>
      </c>
      <c r="WCR1331" s="4" t="s">
        <v>2875</v>
      </c>
      <c r="WCS1331" s="4" t="s">
        <v>2875</v>
      </c>
      <c r="WCT1331" s="4" t="s">
        <v>2875</v>
      </c>
      <c r="WCU1331" s="4" t="s">
        <v>2875</v>
      </c>
      <c r="WCV1331" s="4" t="s">
        <v>2875</v>
      </c>
      <c r="WCW1331" s="4" t="s">
        <v>2875</v>
      </c>
      <c r="WCX1331" s="4" t="s">
        <v>2875</v>
      </c>
      <c r="WCY1331" s="4" t="s">
        <v>2875</v>
      </c>
      <c r="WCZ1331" s="4" t="s">
        <v>2875</v>
      </c>
      <c r="WDA1331" s="4" t="s">
        <v>2875</v>
      </c>
      <c r="WDB1331" s="4" t="s">
        <v>2875</v>
      </c>
      <c r="WDC1331" s="4" t="s">
        <v>2875</v>
      </c>
      <c r="WDD1331" s="4" t="s">
        <v>2875</v>
      </c>
      <c r="WDE1331" s="4" t="s">
        <v>2875</v>
      </c>
      <c r="WDF1331" s="4" t="s">
        <v>2875</v>
      </c>
      <c r="WDG1331" s="4" t="s">
        <v>2875</v>
      </c>
      <c r="WDH1331" s="4" t="s">
        <v>2875</v>
      </c>
      <c r="WDI1331" s="4" t="s">
        <v>2875</v>
      </c>
      <c r="WDJ1331" s="4" t="s">
        <v>2875</v>
      </c>
      <c r="WDK1331" s="4" t="s">
        <v>2875</v>
      </c>
      <c r="WDL1331" s="4" t="s">
        <v>2875</v>
      </c>
      <c r="WDM1331" s="4" t="s">
        <v>2875</v>
      </c>
      <c r="WDN1331" s="4" t="s">
        <v>2875</v>
      </c>
      <c r="WDO1331" s="4" t="s">
        <v>2875</v>
      </c>
      <c r="WDP1331" s="4" t="s">
        <v>2875</v>
      </c>
      <c r="WDQ1331" s="4" t="s">
        <v>2875</v>
      </c>
      <c r="WDR1331" s="4" t="s">
        <v>2875</v>
      </c>
      <c r="WDS1331" s="4" t="s">
        <v>2875</v>
      </c>
      <c r="WDT1331" s="4" t="s">
        <v>2875</v>
      </c>
      <c r="WDU1331" s="4" t="s">
        <v>2875</v>
      </c>
      <c r="WDV1331" s="4" t="s">
        <v>2875</v>
      </c>
      <c r="WDW1331" s="4" t="s">
        <v>2875</v>
      </c>
      <c r="WDX1331" s="4" t="s">
        <v>2875</v>
      </c>
      <c r="WDY1331" s="4" t="s">
        <v>2875</v>
      </c>
      <c r="WDZ1331" s="4" t="s">
        <v>2875</v>
      </c>
      <c r="WEA1331" s="4" t="s">
        <v>2875</v>
      </c>
      <c r="WEB1331" s="4" t="s">
        <v>2875</v>
      </c>
      <c r="WEC1331" s="4" t="s">
        <v>2875</v>
      </c>
      <c r="WED1331" s="4" t="s">
        <v>2875</v>
      </c>
      <c r="WEE1331" s="4" t="s">
        <v>2875</v>
      </c>
      <c r="WEF1331" s="4" t="s">
        <v>2875</v>
      </c>
      <c r="WEG1331" s="4" t="s">
        <v>2875</v>
      </c>
      <c r="WEH1331" s="4" t="s">
        <v>2875</v>
      </c>
      <c r="WEI1331" s="4" t="s">
        <v>2875</v>
      </c>
      <c r="WEJ1331" s="4" t="s">
        <v>2875</v>
      </c>
      <c r="WEK1331" s="4" t="s">
        <v>2875</v>
      </c>
      <c r="WEL1331" s="4" t="s">
        <v>2875</v>
      </c>
      <c r="WEM1331" s="4" t="s">
        <v>2875</v>
      </c>
      <c r="WEN1331" s="4" t="s">
        <v>2875</v>
      </c>
      <c r="WEO1331" s="4" t="s">
        <v>2875</v>
      </c>
      <c r="WEP1331" s="4" t="s">
        <v>2875</v>
      </c>
      <c r="WEQ1331" s="4" t="s">
        <v>2875</v>
      </c>
      <c r="WER1331" s="4" t="s">
        <v>2875</v>
      </c>
      <c r="WES1331" s="4" t="s">
        <v>2875</v>
      </c>
      <c r="WET1331" s="4" t="s">
        <v>2875</v>
      </c>
      <c r="WEU1331" s="4" t="s">
        <v>2875</v>
      </c>
      <c r="WEV1331" s="4" t="s">
        <v>2875</v>
      </c>
      <c r="WEW1331" s="4" t="s">
        <v>2875</v>
      </c>
      <c r="WEX1331" s="4" t="s">
        <v>2875</v>
      </c>
      <c r="WEY1331" s="4" t="s">
        <v>2875</v>
      </c>
      <c r="WEZ1331" s="4" t="s">
        <v>2875</v>
      </c>
      <c r="WFA1331" s="4" t="s">
        <v>2875</v>
      </c>
      <c r="WFB1331" s="4" t="s">
        <v>2875</v>
      </c>
      <c r="WFC1331" s="4" t="s">
        <v>2875</v>
      </c>
      <c r="WFD1331" s="4" t="s">
        <v>2875</v>
      </c>
      <c r="WFE1331" s="4" t="s">
        <v>2875</v>
      </c>
      <c r="WFF1331" s="4" t="s">
        <v>2875</v>
      </c>
      <c r="WFG1331" s="4" t="s">
        <v>2875</v>
      </c>
      <c r="WFH1331" s="4" t="s">
        <v>2875</v>
      </c>
      <c r="WFI1331" s="4" t="s">
        <v>2875</v>
      </c>
      <c r="WFJ1331" s="4" t="s">
        <v>2875</v>
      </c>
      <c r="WFK1331" s="4" t="s">
        <v>2875</v>
      </c>
      <c r="WFL1331" s="4" t="s">
        <v>2875</v>
      </c>
      <c r="WFM1331" s="4" t="s">
        <v>2875</v>
      </c>
      <c r="WFN1331" s="4" t="s">
        <v>2875</v>
      </c>
      <c r="WFO1331" s="4" t="s">
        <v>2875</v>
      </c>
      <c r="WFP1331" s="4" t="s">
        <v>2875</v>
      </c>
      <c r="WFQ1331" s="4" t="s">
        <v>2875</v>
      </c>
      <c r="WFR1331" s="4" t="s">
        <v>2875</v>
      </c>
      <c r="WFS1331" s="4" t="s">
        <v>2875</v>
      </c>
      <c r="WFT1331" s="4" t="s">
        <v>2875</v>
      </c>
      <c r="WFU1331" s="4" t="s">
        <v>2875</v>
      </c>
      <c r="WFV1331" s="4" t="s">
        <v>2875</v>
      </c>
      <c r="WFW1331" s="4" t="s">
        <v>2875</v>
      </c>
      <c r="WFX1331" s="4" t="s">
        <v>2875</v>
      </c>
      <c r="WFY1331" s="4" t="s">
        <v>2875</v>
      </c>
      <c r="WFZ1331" s="4" t="s">
        <v>2875</v>
      </c>
      <c r="WGA1331" s="4" t="s">
        <v>2875</v>
      </c>
      <c r="WGB1331" s="4" t="s">
        <v>2875</v>
      </c>
      <c r="WGC1331" s="4" t="s">
        <v>2875</v>
      </c>
      <c r="WGD1331" s="4" t="s">
        <v>2875</v>
      </c>
      <c r="WGE1331" s="4" t="s">
        <v>2875</v>
      </c>
      <c r="WGF1331" s="4" t="s">
        <v>2875</v>
      </c>
      <c r="WGG1331" s="4" t="s">
        <v>2875</v>
      </c>
      <c r="WGH1331" s="4" t="s">
        <v>2875</v>
      </c>
      <c r="WGI1331" s="4" t="s">
        <v>2875</v>
      </c>
      <c r="WGJ1331" s="4" t="s">
        <v>2875</v>
      </c>
      <c r="WGK1331" s="4" t="s">
        <v>2875</v>
      </c>
      <c r="WGL1331" s="4" t="s">
        <v>2875</v>
      </c>
      <c r="WGM1331" s="4" t="s">
        <v>2875</v>
      </c>
      <c r="WGN1331" s="4" t="s">
        <v>2875</v>
      </c>
      <c r="WGO1331" s="4" t="s">
        <v>2875</v>
      </c>
      <c r="WGP1331" s="4" t="s">
        <v>2875</v>
      </c>
      <c r="WGQ1331" s="4" t="s">
        <v>2875</v>
      </c>
      <c r="WGR1331" s="4" t="s">
        <v>2875</v>
      </c>
      <c r="WGS1331" s="4" t="s">
        <v>2875</v>
      </c>
      <c r="WGT1331" s="4" t="s">
        <v>2875</v>
      </c>
      <c r="WGU1331" s="4" t="s">
        <v>2875</v>
      </c>
      <c r="WGV1331" s="4" t="s">
        <v>2875</v>
      </c>
      <c r="WGW1331" s="4" t="s">
        <v>2875</v>
      </c>
      <c r="WGX1331" s="4" t="s">
        <v>2875</v>
      </c>
      <c r="WGY1331" s="4" t="s">
        <v>2875</v>
      </c>
      <c r="WGZ1331" s="4" t="s">
        <v>2875</v>
      </c>
      <c r="WHA1331" s="4" t="s">
        <v>2875</v>
      </c>
      <c r="WHB1331" s="4" t="s">
        <v>2875</v>
      </c>
      <c r="WHC1331" s="4" t="s">
        <v>2875</v>
      </c>
      <c r="WHD1331" s="4" t="s">
        <v>2875</v>
      </c>
      <c r="WHE1331" s="4" t="s">
        <v>2875</v>
      </c>
      <c r="WHF1331" s="4" t="s">
        <v>2875</v>
      </c>
      <c r="WHG1331" s="4" t="s">
        <v>2875</v>
      </c>
      <c r="WHH1331" s="4" t="s">
        <v>2875</v>
      </c>
      <c r="WHI1331" s="4" t="s">
        <v>2875</v>
      </c>
      <c r="WHJ1331" s="4" t="s">
        <v>2875</v>
      </c>
      <c r="WHK1331" s="4" t="s">
        <v>2875</v>
      </c>
      <c r="WHL1331" s="4" t="s">
        <v>2875</v>
      </c>
      <c r="WHM1331" s="4" t="s">
        <v>2875</v>
      </c>
      <c r="WHN1331" s="4" t="s">
        <v>2875</v>
      </c>
      <c r="WHO1331" s="4" t="s">
        <v>2875</v>
      </c>
      <c r="WHP1331" s="4" t="s">
        <v>2875</v>
      </c>
      <c r="WHQ1331" s="4" t="s">
        <v>2875</v>
      </c>
      <c r="WHR1331" s="4" t="s">
        <v>2875</v>
      </c>
      <c r="WHS1331" s="4" t="s">
        <v>2875</v>
      </c>
      <c r="WHT1331" s="4" t="s">
        <v>2875</v>
      </c>
      <c r="WHU1331" s="4" t="s">
        <v>2875</v>
      </c>
      <c r="WHV1331" s="4" t="s">
        <v>2875</v>
      </c>
      <c r="WHW1331" s="4" t="s">
        <v>2875</v>
      </c>
      <c r="WHX1331" s="4" t="s">
        <v>2875</v>
      </c>
      <c r="WHY1331" s="4" t="s">
        <v>2875</v>
      </c>
      <c r="WHZ1331" s="4" t="s">
        <v>2875</v>
      </c>
      <c r="WIA1331" s="4" t="s">
        <v>2875</v>
      </c>
      <c r="WIB1331" s="4" t="s">
        <v>2875</v>
      </c>
      <c r="WIC1331" s="4" t="s">
        <v>2875</v>
      </c>
      <c r="WID1331" s="4" t="s">
        <v>2875</v>
      </c>
      <c r="WIE1331" s="4" t="s">
        <v>2875</v>
      </c>
      <c r="WIF1331" s="4" t="s">
        <v>2875</v>
      </c>
      <c r="WIG1331" s="4" t="s">
        <v>2875</v>
      </c>
      <c r="WIH1331" s="4" t="s">
        <v>2875</v>
      </c>
      <c r="WII1331" s="4" t="s">
        <v>2875</v>
      </c>
      <c r="WIJ1331" s="4" t="s">
        <v>2875</v>
      </c>
      <c r="WIK1331" s="4" t="s">
        <v>2875</v>
      </c>
      <c r="WIL1331" s="4" t="s">
        <v>2875</v>
      </c>
      <c r="WIM1331" s="4" t="s">
        <v>2875</v>
      </c>
      <c r="WIN1331" s="4" t="s">
        <v>2875</v>
      </c>
      <c r="WIO1331" s="4" t="s">
        <v>2875</v>
      </c>
      <c r="WIP1331" s="4" t="s">
        <v>2875</v>
      </c>
      <c r="WIQ1331" s="4" t="s">
        <v>2875</v>
      </c>
      <c r="WIR1331" s="4" t="s">
        <v>2875</v>
      </c>
      <c r="WIS1331" s="4" t="s">
        <v>2875</v>
      </c>
      <c r="WIT1331" s="4" t="s">
        <v>2875</v>
      </c>
      <c r="WIU1331" s="4" t="s">
        <v>2875</v>
      </c>
      <c r="WIV1331" s="4" t="s">
        <v>2875</v>
      </c>
      <c r="WIW1331" s="4" t="s">
        <v>2875</v>
      </c>
      <c r="WIX1331" s="4" t="s">
        <v>2875</v>
      </c>
      <c r="WIY1331" s="4" t="s">
        <v>2875</v>
      </c>
      <c r="WIZ1331" s="4" t="s">
        <v>2875</v>
      </c>
      <c r="WJA1331" s="4" t="s">
        <v>2875</v>
      </c>
      <c r="WJB1331" s="4" t="s">
        <v>2875</v>
      </c>
      <c r="WJC1331" s="4" t="s">
        <v>2875</v>
      </c>
      <c r="WJD1331" s="4" t="s">
        <v>2875</v>
      </c>
      <c r="WJE1331" s="4" t="s">
        <v>2875</v>
      </c>
      <c r="WJF1331" s="4" t="s">
        <v>2875</v>
      </c>
      <c r="WJG1331" s="4" t="s">
        <v>2875</v>
      </c>
      <c r="WJH1331" s="4" t="s">
        <v>2875</v>
      </c>
      <c r="WJI1331" s="4" t="s">
        <v>2875</v>
      </c>
      <c r="WJJ1331" s="4" t="s">
        <v>2875</v>
      </c>
      <c r="WJK1331" s="4" t="s">
        <v>2875</v>
      </c>
      <c r="WJL1331" s="4" t="s">
        <v>2875</v>
      </c>
      <c r="WJM1331" s="4" t="s">
        <v>2875</v>
      </c>
      <c r="WJN1331" s="4" t="s">
        <v>2875</v>
      </c>
      <c r="WJO1331" s="4" t="s">
        <v>2875</v>
      </c>
      <c r="WJP1331" s="4" t="s">
        <v>2875</v>
      </c>
      <c r="WJQ1331" s="4" t="s">
        <v>2875</v>
      </c>
      <c r="WJR1331" s="4" t="s">
        <v>2875</v>
      </c>
      <c r="WJS1331" s="4" t="s">
        <v>2875</v>
      </c>
      <c r="WJT1331" s="4" t="s">
        <v>2875</v>
      </c>
      <c r="WJU1331" s="4" t="s">
        <v>2875</v>
      </c>
      <c r="WJV1331" s="4" t="s">
        <v>2875</v>
      </c>
      <c r="WJW1331" s="4" t="s">
        <v>2875</v>
      </c>
      <c r="WJX1331" s="4" t="s">
        <v>2875</v>
      </c>
      <c r="WJY1331" s="4" t="s">
        <v>2875</v>
      </c>
      <c r="WJZ1331" s="4" t="s">
        <v>2875</v>
      </c>
      <c r="WKA1331" s="4" t="s">
        <v>2875</v>
      </c>
      <c r="WKB1331" s="4" t="s">
        <v>2875</v>
      </c>
      <c r="WKC1331" s="4" t="s">
        <v>2875</v>
      </c>
      <c r="WKD1331" s="4" t="s">
        <v>2875</v>
      </c>
      <c r="WKE1331" s="4" t="s">
        <v>2875</v>
      </c>
      <c r="WKF1331" s="4" t="s">
        <v>2875</v>
      </c>
      <c r="WKG1331" s="4" t="s">
        <v>2875</v>
      </c>
      <c r="WKH1331" s="4" t="s">
        <v>2875</v>
      </c>
      <c r="WKI1331" s="4" t="s">
        <v>2875</v>
      </c>
      <c r="WKJ1331" s="4" t="s">
        <v>2875</v>
      </c>
      <c r="WKK1331" s="4" t="s">
        <v>2875</v>
      </c>
      <c r="WKL1331" s="4" t="s">
        <v>2875</v>
      </c>
      <c r="WKM1331" s="4" t="s">
        <v>2875</v>
      </c>
      <c r="WKN1331" s="4" t="s">
        <v>2875</v>
      </c>
      <c r="WKO1331" s="4" t="s">
        <v>2875</v>
      </c>
      <c r="WKP1331" s="4" t="s">
        <v>2875</v>
      </c>
      <c r="WKQ1331" s="4" t="s">
        <v>2875</v>
      </c>
      <c r="WKR1331" s="4" t="s">
        <v>2875</v>
      </c>
      <c r="WKS1331" s="4" t="s">
        <v>2875</v>
      </c>
      <c r="WKT1331" s="4" t="s">
        <v>2875</v>
      </c>
      <c r="WKU1331" s="4" t="s">
        <v>2875</v>
      </c>
      <c r="WKV1331" s="4" t="s">
        <v>2875</v>
      </c>
      <c r="WKW1331" s="4" t="s">
        <v>2875</v>
      </c>
      <c r="WKX1331" s="4" t="s">
        <v>2875</v>
      </c>
      <c r="WKY1331" s="4" t="s">
        <v>2875</v>
      </c>
      <c r="WKZ1331" s="4" t="s">
        <v>2875</v>
      </c>
      <c r="WLA1331" s="4" t="s">
        <v>2875</v>
      </c>
      <c r="WLB1331" s="4" t="s">
        <v>2875</v>
      </c>
      <c r="WLC1331" s="4" t="s">
        <v>2875</v>
      </c>
      <c r="WLD1331" s="4" t="s">
        <v>2875</v>
      </c>
      <c r="WLE1331" s="4" t="s">
        <v>2875</v>
      </c>
      <c r="WLF1331" s="4" t="s">
        <v>2875</v>
      </c>
      <c r="WLG1331" s="4" t="s">
        <v>2875</v>
      </c>
      <c r="WLH1331" s="4" t="s">
        <v>2875</v>
      </c>
      <c r="WLI1331" s="4" t="s">
        <v>2875</v>
      </c>
      <c r="WLJ1331" s="4" t="s">
        <v>2875</v>
      </c>
      <c r="WLK1331" s="4" t="s">
        <v>2875</v>
      </c>
      <c r="WLL1331" s="4" t="s">
        <v>2875</v>
      </c>
      <c r="WLM1331" s="4" t="s">
        <v>2875</v>
      </c>
      <c r="WLN1331" s="4" t="s">
        <v>2875</v>
      </c>
      <c r="WLO1331" s="4" t="s">
        <v>2875</v>
      </c>
      <c r="WLP1331" s="4" t="s">
        <v>2875</v>
      </c>
      <c r="WLQ1331" s="4" t="s">
        <v>2875</v>
      </c>
      <c r="WLR1331" s="4" t="s">
        <v>2875</v>
      </c>
      <c r="WLS1331" s="4" t="s">
        <v>2875</v>
      </c>
      <c r="WLT1331" s="4" t="s">
        <v>2875</v>
      </c>
      <c r="WLU1331" s="4" t="s">
        <v>2875</v>
      </c>
      <c r="WLV1331" s="4" t="s">
        <v>2875</v>
      </c>
      <c r="WLW1331" s="4" t="s">
        <v>2875</v>
      </c>
      <c r="WLX1331" s="4" t="s">
        <v>2875</v>
      </c>
      <c r="WLY1331" s="4" t="s">
        <v>2875</v>
      </c>
      <c r="WLZ1331" s="4" t="s">
        <v>2875</v>
      </c>
      <c r="WMA1331" s="4" t="s">
        <v>2875</v>
      </c>
      <c r="WMB1331" s="4" t="s">
        <v>2875</v>
      </c>
      <c r="WMC1331" s="4" t="s">
        <v>2875</v>
      </c>
      <c r="WMD1331" s="4" t="s">
        <v>2875</v>
      </c>
      <c r="WME1331" s="4" t="s">
        <v>2875</v>
      </c>
      <c r="WMF1331" s="4" t="s">
        <v>2875</v>
      </c>
      <c r="WMG1331" s="4" t="s">
        <v>2875</v>
      </c>
      <c r="WMH1331" s="4" t="s">
        <v>2875</v>
      </c>
      <c r="WMI1331" s="4" t="s">
        <v>2875</v>
      </c>
      <c r="WMJ1331" s="4" t="s">
        <v>2875</v>
      </c>
      <c r="WMK1331" s="4" t="s">
        <v>2875</v>
      </c>
      <c r="WML1331" s="4" t="s">
        <v>2875</v>
      </c>
      <c r="WMM1331" s="4" t="s">
        <v>2875</v>
      </c>
      <c r="WMN1331" s="4" t="s">
        <v>2875</v>
      </c>
      <c r="WMO1331" s="4" t="s">
        <v>2875</v>
      </c>
      <c r="WMP1331" s="4" t="s">
        <v>2875</v>
      </c>
      <c r="WMQ1331" s="4" t="s">
        <v>2875</v>
      </c>
      <c r="WMR1331" s="4" t="s">
        <v>2875</v>
      </c>
      <c r="WMS1331" s="4" t="s">
        <v>2875</v>
      </c>
      <c r="WMT1331" s="4" t="s">
        <v>2875</v>
      </c>
      <c r="WMU1331" s="4" t="s">
        <v>2875</v>
      </c>
      <c r="WMV1331" s="4" t="s">
        <v>2875</v>
      </c>
      <c r="WMW1331" s="4" t="s">
        <v>2875</v>
      </c>
      <c r="WMX1331" s="4" t="s">
        <v>2875</v>
      </c>
      <c r="WMY1331" s="4" t="s">
        <v>2875</v>
      </c>
      <c r="WMZ1331" s="4" t="s">
        <v>2875</v>
      </c>
      <c r="WNA1331" s="4" t="s">
        <v>2875</v>
      </c>
      <c r="WNB1331" s="4" t="s">
        <v>2875</v>
      </c>
      <c r="WNC1331" s="4" t="s">
        <v>2875</v>
      </c>
      <c r="WND1331" s="4" t="s">
        <v>2875</v>
      </c>
      <c r="WNE1331" s="4" t="s">
        <v>2875</v>
      </c>
      <c r="WNF1331" s="4" t="s">
        <v>2875</v>
      </c>
      <c r="WNG1331" s="4" t="s">
        <v>2875</v>
      </c>
      <c r="WNH1331" s="4" t="s">
        <v>2875</v>
      </c>
      <c r="WNI1331" s="4" t="s">
        <v>2875</v>
      </c>
      <c r="WNJ1331" s="4" t="s">
        <v>2875</v>
      </c>
      <c r="WNK1331" s="4" t="s">
        <v>2875</v>
      </c>
      <c r="WNL1331" s="4" t="s">
        <v>2875</v>
      </c>
      <c r="WNM1331" s="4" t="s">
        <v>2875</v>
      </c>
      <c r="WNN1331" s="4" t="s">
        <v>2875</v>
      </c>
      <c r="WNO1331" s="4" t="s">
        <v>2875</v>
      </c>
      <c r="WNP1331" s="4" t="s">
        <v>2875</v>
      </c>
      <c r="WNQ1331" s="4" t="s">
        <v>2875</v>
      </c>
      <c r="WNR1331" s="4" t="s">
        <v>2875</v>
      </c>
      <c r="WNS1331" s="4" t="s">
        <v>2875</v>
      </c>
      <c r="WNT1331" s="4" t="s">
        <v>2875</v>
      </c>
      <c r="WNU1331" s="4" t="s">
        <v>2875</v>
      </c>
      <c r="WNV1331" s="4" t="s">
        <v>2875</v>
      </c>
      <c r="WNW1331" s="4" t="s">
        <v>2875</v>
      </c>
      <c r="WNX1331" s="4" t="s">
        <v>2875</v>
      </c>
      <c r="WNY1331" s="4" t="s">
        <v>2875</v>
      </c>
      <c r="WNZ1331" s="4" t="s">
        <v>2875</v>
      </c>
      <c r="WOA1331" s="4" t="s">
        <v>2875</v>
      </c>
      <c r="WOB1331" s="4" t="s">
        <v>2875</v>
      </c>
      <c r="WOC1331" s="4" t="s">
        <v>2875</v>
      </c>
      <c r="WOD1331" s="4" t="s">
        <v>2875</v>
      </c>
      <c r="WOE1331" s="4" t="s">
        <v>2875</v>
      </c>
      <c r="WOF1331" s="4" t="s">
        <v>2875</v>
      </c>
      <c r="WOG1331" s="4" t="s">
        <v>2875</v>
      </c>
      <c r="WOH1331" s="4" t="s">
        <v>2875</v>
      </c>
      <c r="WOI1331" s="4" t="s">
        <v>2875</v>
      </c>
      <c r="WOJ1331" s="4" t="s">
        <v>2875</v>
      </c>
      <c r="WOK1331" s="4" t="s">
        <v>2875</v>
      </c>
      <c r="WOL1331" s="4" t="s">
        <v>2875</v>
      </c>
      <c r="WOM1331" s="4" t="s">
        <v>2875</v>
      </c>
      <c r="WON1331" s="4" t="s">
        <v>2875</v>
      </c>
      <c r="WOO1331" s="4" t="s">
        <v>2875</v>
      </c>
      <c r="WOP1331" s="4" t="s">
        <v>2875</v>
      </c>
      <c r="WOQ1331" s="4" t="s">
        <v>2875</v>
      </c>
      <c r="WOR1331" s="4" t="s">
        <v>2875</v>
      </c>
      <c r="WOS1331" s="4" t="s">
        <v>2875</v>
      </c>
      <c r="WOT1331" s="4" t="s">
        <v>2875</v>
      </c>
      <c r="WOU1331" s="4" t="s">
        <v>2875</v>
      </c>
      <c r="WOV1331" s="4" t="s">
        <v>2875</v>
      </c>
      <c r="WOW1331" s="4" t="s">
        <v>2875</v>
      </c>
      <c r="WOX1331" s="4" t="s">
        <v>2875</v>
      </c>
      <c r="WOY1331" s="4" t="s">
        <v>2875</v>
      </c>
      <c r="WOZ1331" s="4" t="s">
        <v>2875</v>
      </c>
      <c r="WPA1331" s="4" t="s">
        <v>2875</v>
      </c>
      <c r="WPB1331" s="4" t="s">
        <v>2875</v>
      </c>
      <c r="WPC1331" s="4" t="s">
        <v>2875</v>
      </c>
      <c r="WPD1331" s="4" t="s">
        <v>2875</v>
      </c>
      <c r="WPE1331" s="4" t="s">
        <v>2875</v>
      </c>
      <c r="WPF1331" s="4" t="s">
        <v>2875</v>
      </c>
      <c r="WPG1331" s="4" t="s">
        <v>2875</v>
      </c>
      <c r="WPH1331" s="4" t="s">
        <v>2875</v>
      </c>
      <c r="WPI1331" s="4" t="s">
        <v>2875</v>
      </c>
      <c r="WPJ1331" s="4" t="s">
        <v>2875</v>
      </c>
      <c r="WPK1331" s="4" t="s">
        <v>2875</v>
      </c>
      <c r="WPL1331" s="4" t="s">
        <v>2875</v>
      </c>
      <c r="WPM1331" s="4" t="s">
        <v>2875</v>
      </c>
      <c r="WPN1331" s="4" t="s">
        <v>2875</v>
      </c>
      <c r="WPO1331" s="4" t="s">
        <v>2875</v>
      </c>
      <c r="WPP1331" s="4" t="s">
        <v>2875</v>
      </c>
      <c r="WPQ1331" s="4" t="s">
        <v>2875</v>
      </c>
      <c r="WPR1331" s="4" t="s">
        <v>2875</v>
      </c>
      <c r="WPS1331" s="4" t="s">
        <v>2875</v>
      </c>
      <c r="WPT1331" s="4" t="s">
        <v>2875</v>
      </c>
      <c r="WPU1331" s="4" t="s">
        <v>2875</v>
      </c>
      <c r="WPV1331" s="4" t="s">
        <v>2875</v>
      </c>
      <c r="WPW1331" s="4" t="s">
        <v>2875</v>
      </c>
      <c r="WPX1331" s="4" t="s">
        <v>2875</v>
      </c>
      <c r="WPY1331" s="4" t="s">
        <v>2875</v>
      </c>
      <c r="WPZ1331" s="4" t="s">
        <v>2875</v>
      </c>
      <c r="WQA1331" s="4" t="s">
        <v>2875</v>
      </c>
      <c r="WQB1331" s="4" t="s">
        <v>2875</v>
      </c>
      <c r="WQC1331" s="4" t="s">
        <v>2875</v>
      </c>
      <c r="WQD1331" s="4" t="s">
        <v>2875</v>
      </c>
      <c r="WQE1331" s="4" t="s">
        <v>2875</v>
      </c>
      <c r="WQF1331" s="4" t="s">
        <v>2875</v>
      </c>
      <c r="WQG1331" s="4" t="s">
        <v>2875</v>
      </c>
      <c r="WQH1331" s="4" t="s">
        <v>2875</v>
      </c>
      <c r="WQI1331" s="4" t="s">
        <v>2875</v>
      </c>
      <c r="WQJ1331" s="4" t="s">
        <v>2875</v>
      </c>
      <c r="WQK1331" s="4" t="s">
        <v>2875</v>
      </c>
      <c r="WQL1331" s="4" t="s">
        <v>2875</v>
      </c>
      <c r="WQM1331" s="4" t="s">
        <v>2875</v>
      </c>
      <c r="WQN1331" s="4" t="s">
        <v>2875</v>
      </c>
      <c r="WQO1331" s="4" t="s">
        <v>2875</v>
      </c>
      <c r="WQP1331" s="4" t="s">
        <v>2875</v>
      </c>
      <c r="WQQ1331" s="4" t="s">
        <v>2875</v>
      </c>
      <c r="WQR1331" s="4" t="s">
        <v>2875</v>
      </c>
      <c r="WQS1331" s="4" t="s">
        <v>2875</v>
      </c>
      <c r="WQT1331" s="4" t="s">
        <v>2875</v>
      </c>
      <c r="WQU1331" s="4" t="s">
        <v>2875</v>
      </c>
      <c r="WQV1331" s="4" t="s">
        <v>2875</v>
      </c>
      <c r="WQW1331" s="4" t="s">
        <v>2875</v>
      </c>
      <c r="WQX1331" s="4" t="s">
        <v>2875</v>
      </c>
      <c r="WQY1331" s="4" t="s">
        <v>2875</v>
      </c>
      <c r="WQZ1331" s="4" t="s">
        <v>2875</v>
      </c>
      <c r="WRA1331" s="4" t="s">
        <v>2875</v>
      </c>
      <c r="WRB1331" s="4" t="s">
        <v>2875</v>
      </c>
      <c r="WRC1331" s="4" t="s">
        <v>2875</v>
      </c>
      <c r="WRD1331" s="4" t="s">
        <v>2875</v>
      </c>
      <c r="WRE1331" s="4" t="s">
        <v>2875</v>
      </c>
      <c r="WRF1331" s="4" t="s">
        <v>2875</v>
      </c>
      <c r="WRG1331" s="4" t="s">
        <v>2875</v>
      </c>
      <c r="WRH1331" s="4" t="s">
        <v>2875</v>
      </c>
      <c r="WRI1331" s="4" t="s">
        <v>2875</v>
      </c>
      <c r="WRJ1331" s="4" t="s">
        <v>2875</v>
      </c>
      <c r="WRK1331" s="4" t="s">
        <v>2875</v>
      </c>
      <c r="WRL1331" s="4" t="s">
        <v>2875</v>
      </c>
      <c r="WRM1331" s="4" t="s">
        <v>2875</v>
      </c>
      <c r="WRN1331" s="4" t="s">
        <v>2875</v>
      </c>
      <c r="WRO1331" s="4" t="s">
        <v>2875</v>
      </c>
      <c r="WRP1331" s="4" t="s">
        <v>2875</v>
      </c>
      <c r="WRQ1331" s="4" t="s">
        <v>2875</v>
      </c>
      <c r="WRR1331" s="4" t="s">
        <v>2875</v>
      </c>
      <c r="WRS1331" s="4" t="s">
        <v>2875</v>
      </c>
      <c r="WRT1331" s="4" t="s">
        <v>2875</v>
      </c>
      <c r="WRU1331" s="4" t="s">
        <v>2875</v>
      </c>
      <c r="WRV1331" s="4" t="s">
        <v>2875</v>
      </c>
      <c r="WRW1331" s="4" t="s">
        <v>2875</v>
      </c>
      <c r="WRX1331" s="4" t="s">
        <v>2875</v>
      </c>
      <c r="WRY1331" s="4" t="s">
        <v>2875</v>
      </c>
      <c r="WRZ1331" s="4" t="s">
        <v>2875</v>
      </c>
      <c r="WSA1331" s="4" t="s">
        <v>2875</v>
      </c>
      <c r="WSB1331" s="4" t="s">
        <v>2875</v>
      </c>
      <c r="WSC1331" s="4" t="s">
        <v>2875</v>
      </c>
      <c r="WSD1331" s="4" t="s">
        <v>2875</v>
      </c>
      <c r="WSE1331" s="4" t="s">
        <v>2875</v>
      </c>
      <c r="WSF1331" s="4" t="s">
        <v>2875</v>
      </c>
      <c r="WSG1331" s="4" t="s">
        <v>2875</v>
      </c>
      <c r="WSH1331" s="4" t="s">
        <v>2875</v>
      </c>
      <c r="WSI1331" s="4" t="s">
        <v>2875</v>
      </c>
      <c r="WSJ1331" s="4" t="s">
        <v>2875</v>
      </c>
      <c r="WSK1331" s="4" t="s">
        <v>2875</v>
      </c>
      <c r="WSL1331" s="4" t="s">
        <v>2875</v>
      </c>
      <c r="WSM1331" s="4" t="s">
        <v>2875</v>
      </c>
      <c r="WSN1331" s="4" t="s">
        <v>2875</v>
      </c>
      <c r="WSO1331" s="4" t="s">
        <v>2875</v>
      </c>
      <c r="WSP1331" s="4" t="s">
        <v>2875</v>
      </c>
      <c r="WSQ1331" s="4" t="s">
        <v>2875</v>
      </c>
      <c r="WSR1331" s="4" t="s">
        <v>2875</v>
      </c>
      <c r="WSS1331" s="4" t="s">
        <v>2875</v>
      </c>
      <c r="WST1331" s="4" t="s">
        <v>2875</v>
      </c>
      <c r="WSU1331" s="4" t="s">
        <v>2875</v>
      </c>
      <c r="WSV1331" s="4" t="s">
        <v>2875</v>
      </c>
      <c r="WSW1331" s="4" t="s">
        <v>2875</v>
      </c>
      <c r="WSX1331" s="4" t="s">
        <v>2875</v>
      </c>
      <c r="WSY1331" s="4" t="s">
        <v>2875</v>
      </c>
      <c r="WSZ1331" s="4" t="s">
        <v>2875</v>
      </c>
      <c r="WTA1331" s="4" t="s">
        <v>2875</v>
      </c>
      <c r="WTB1331" s="4" t="s">
        <v>2875</v>
      </c>
      <c r="WTC1331" s="4" t="s">
        <v>2875</v>
      </c>
      <c r="WTD1331" s="4" t="s">
        <v>2875</v>
      </c>
      <c r="WTE1331" s="4" t="s">
        <v>2875</v>
      </c>
      <c r="WTF1331" s="4" t="s">
        <v>2875</v>
      </c>
      <c r="WTG1331" s="4" t="s">
        <v>2875</v>
      </c>
      <c r="WTH1331" s="4" t="s">
        <v>2875</v>
      </c>
      <c r="WTI1331" s="4" t="s">
        <v>2875</v>
      </c>
      <c r="WTJ1331" s="4" t="s">
        <v>2875</v>
      </c>
      <c r="WTK1331" s="4" t="s">
        <v>2875</v>
      </c>
      <c r="WTL1331" s="4" t="s">
        <v>2875</v>
      </c>
      <c r="WTM1331" s="4" t="s">
        <v>2875</v>
      </c>
      <c r="WTN1331" s="4" t="s">
        <v>2875</v>
      </c>
      <c r="WTO1331" s="4" t="s">
        <v>2875</v>
      </c>
      <c r="WTP1331" s="4" t="s">
        <v>2875</v>
      </c>
      <c r="WTQ1331" s="4" t="s">
        <v>2875</v>
      </c>
      <c r="WTR1331" s="4" t="s">
        <v>2875</v>
      </c>
      <c r="WTS1331" s="4" t="s">
        <v>2875</v>
      </c>
      <c r="WTT1331" s="4" t="s">
        <v>2875</v>
      </c>
      <c r="WTU1331" s="4" t="s">
        <v>2875</v>
      </c>
      <c r="WTV1331" s="4" t="s">
        <v>2875</v>
      </c>
      <c r="WTW1331" s="4" t="s">
        <v>2875</v>
      </c>
      <c r="WTX1331" s="4" t="s">
        <v>2875</v>
      </c>
      <c r="WTY1331" s="4" t="s">
        <v>2875</v>
      </c>
      <c r="WTZ1331" s="4" t="s">
        <v>2875</v>
      </c>
      <c r="WUA1331" s="4" t="s">
        <v>2875</v>
      </c>
      <c r="WUB1331" s="4" t="s">
        <v>2875</v>
      </c>
      <c r="WUC1331" s="4" t="s">
        <v>2875</v>
      </c>
      <c r="WUD1331" s="4" t="s">
        <v>2875</v>
      </c>
      <c r="WUE1331" s="4" t="s">
        <v>2875</v>
      </c>
      <c r="WUF1331" s="4" t="s">
        <v>2875</v>
      </c>
      <c r="WUG1331" s="4" t="s">
        <v>2875</v>
      </c>
      <c r="WUH1331" s="4" t="s">
        <v>2875</v>
      </c>
      <c r="WUI1331" s="4" t="s">
        <v>2875</v>
      </c>
      <c r="WUJ1331" s="4" t="s">
        <v>2875</v>
      </c>
      <c r="WUK1331" s="4" t="s">
        <v>2875</v>
      </c>
      <c r="WUL1331" s="4" t="s">
        <v>2875</v>
      </c>
      <c r="WUM1331" s="4" t="s">
        <v>2875</v>
      </c>
      <c r="WUN1331" s="4" t="s">
        <v>2875</v>
      </c>
      <c r="WUO1331" s="4" t="s">
        <v>2875</v>
      </c>
      <c r="WUP1331" s="4" t="s">
        <v>2875</v>
      </c>
      <c r="WUQ1331" s="4" t="s">
        <v>2875</v>
      </c>
      <c r="WUR1331" s="4" t="s">
        <v>2875</v>
      </c>
      <c r="WUS1331" s="4" t="s">
        <v>2875</v>
      </c>
      <c r="WUT1331" s="4" t="s">
        <v>2875</v>
      </c>
      <c r="WUU1331" s="4" t="s">
        <v>2875</v>
      </c>
      <c r="WUV1331" s="4" t="s">
        <v>2875</v>
      </c>
      <c r="WUW1331" s="4" t="s">
        <v>2875</v>
      </c>
      <c r="WUX1331" s="4" t="s">
        <v>2875</v>
      </c>
      <c r="WUY1331" s="4" t="s">
        <v>2875</v>
      </c>
      <c r="WUZ1331" s="4" t="s">
        <v>2875</v>
      </c>
      <c r="WVA1331" s="4" t="s">
        <v>2875</v>
      </c>
      <c r="WVB1331" s="4" t="s">
        <v>2875</v>
      </c>
      <c r="WVC1331" s="4" t="s">
        <v>2875</v>
      </c>
      <c r="WVD1331" s="4" t="s">
        <v>2875</v>
      </c>
      <c r="WVE1331" s="4" t="s">
        <v>2875</v>
      </c>
      <c r="WVF1331" s="4" t="s">
        <v>2875</v>
      </c>
      <c r="WVG1331" s="4" t="s">
        <v>2875</v>
      </c>
      <c r="WVH1331" s="4" t="s">
        <v>2875</v>
      </c>
      <c r="WVI1331" s="4" t="s">
        <v>2875</v>
      </c>
      <c r="WVJ1331" s="4" t="s">
        <v>2875</v>
      </c>
      <c r="WVK1331" s="4" t="s">
        <v>2875</v>
      </c>
      <c r="WVL1331" s="4" t="s">
        <v>2875</v>
      </c>
      <c r="WVM1331" s="4" t="s">
        <v>2875</v>
      </c>
      <c r="WVN1331" s="4" t="s">
        <v>2875</v>
      </c>
      <c r="WVO1331" s="4" t="s">
        <v>2875</v>
      </c>
      <c r="WVP1331" s="4" t="s">
        <v>2875</v>
      </c>
      <c r="WVQ1331" s="4" t="s">
        <v>2875</v>
      </c>
      <c r="WVR1331" s="4" t="s">
        <v>2875</v>
      </c>
      <c r="WVS1331" s="4" t="s">
        <v>2875</v>
      </c>
      <c r="WVT1331" s="4" t="s">
        <v>2875</v>
      </c>
      <c r="WVU1331" s="4" t="s">
        <v>2875</v>
      </c>
      <c r="WVV1331" s="4" t="s">
        <v>2875</v>
      </c>
      <c r="WVW1331" s="4" t="s">
        <v>2875</v>
      </c>
      <c r="WVX1331" s="4" t="s">
        <v>2875</v>
      </c>
      <c r="WVY1331" s="4" t="s">
        <v>2875</v>
      </c>
      <c r="WVZ1331" s="4" t="s">
        <v>2875</v>
      </c>
      <c r="WWA1331" s="4" t="s">
        <v>2875</v>
      </c>
      <c r="WWB1331" s="4" t="s">
        <v>2875</v>
      </c>
      <c r="WWC1331" s="4" t="s">
        <v>2875</v>
      </c>
      <c r="WWD1331" s="4" t="s">
        <v>2875</v>
      </c>
      <c r="WWE1331" s="4" t="s">
        <v>2875</v>
      </c>
      <c r="WWF1331" s="4" t="s">
        <v>2875</v>
      </c>
      <c r="WWG1331" s="4" t="s">
        <v>2875</v>
      </c>
      <c r="WWH1331" s="4" t="s">
        <v>2875</v>
      </c>
      <c r="WWI1331" s="4" t="s">
        <v>2875</v>
      </c>
      <c r="WWJ1331" s="4" t="s">
        <v>2875</v>
      </c>
      <c r="WWK1331" s="4" t="s">
        <v>2875</v>
      </c>
      <c r="WWL1331" s="4" t="s">
        <v>2875</v>
      </c>
      <c r="WWM1331" s="4" t="s">
        <v>2875</v>
      </c>
      <c r="WWN1331" s="4" t="s">
        <v>2875</v>
      </c>
      <c r="WWO1331" s="4" t="s">
        <v>2875</v>
      </c>
      <c r="WWP1331" s="4" t="s">
        <v>2875</v>
      </c>
      <c r="WWQ1331" s="4" t="s">
        <v>2875</v>
      </c>
      <c r="WWR1331" s="4" t="s">
        <v>2875</v>
      </c>
      <c r="WWS1331" s="4" t="s">
        <v>2875</v>
      </c>
      <c r="WWT1331" s="4" t="s">
        <v>2875</v>
      </c>
      <c r="WWU1331" s="4" t="s">
        <v>2875</v>
      </c>
      <c r="WWV1331" s="4" t="s">
        <v>2875</v>
      </c>
      <c r="WWW1331" s="4" t="s">
        <v>2875</v>
      </c>
      <c r="WWX1331" s="4" t="s">
        <v>2875</v>
      </c>
      <c r="WWY1331" s="4" t="s">
        <v>2875</v>
      </c>
      <c r="WWZ1331" s="4" t="s">
        <v>2875</v>
      </c>
      <c r="WXA1331" s="4" t="s">
        <v>2875</v>
      </c>
      <c r="WXB1331" s="4" t="s">
        <v>2875</v>
      </c>
      <c r="WXC1331" s="4" t="s">
        <v>2875</v>
      </c>
      <c r="WXD1331" s="4" t="s">
        <v>2875</v>
      </c>
      <c r="WXE1331" s="4" t="s">
        <v>2875</v>
      </c>
      <c r="WXF1331" s="4" t="s">
        <v>2875</v>
      </c>
      <c r="WXG1331" s="4" t="s">
        <v>2875</v>
      </c>
      <c r="WXH1331" s="4" t="s">
        <v>2875</v>
      </c>
      <c r="WXI1331" s="4" t="s">
        <v>2875</v>
      </c>
      <c r="WXJ1331" s="4" t="s">
        <v>2875</v>
      </c>
      <c r="WXK1331" s="4" t="s">
        <v>2875</v>
      </c>
      <c r="WXL1331" s="4" t="s">
        <v>2875</v>
      </c>
      <c r="WXM1331" s="4" t="s">
        <v>2875</v>
      </c>
      <c r="WXN1331" s="4" t="s">
        <v>2875</v>
      </c>
      <c r="WXO1331" s="4" t="s">
        <v>2875</v>
      </c>
      <c r="WXP1331" s="4" t="s">
        <v>2875</v>
      </c>
      <c r="WXQ1331" s="4" t="s">
        <v>2875</v>
      </c>
      <c r="WXR1331" s="4" t="s">
        <v>2875</v>
      </c>
      <c r="WXS1331" s="4" t="s">
        <v>2875</v>
      </c>
      <c r="WXT1331" s="4" t="s">
        <v>2875</v>
      </c>
      <c r="WXU1331" s="4" t="s">
        <v>2875</v>
      </c>
      <c r="WXV1331" s="4" t="s">
        <v>2875</v>
      </c>
      <c r="WXW1331" s="4" t="s">
        <v>2875</v>
      </c>
      <c r="WXX1331" s="4" t="s">
        <v>2875</v>
      </c>
      <c r="WXY1331" s="4" t="s">
        <v>2875</v>
      </c>
      <c r="WXZ1331" s="4" t="s">
        <v>2875</v>
      </c>
      <c r="WYA1331" s="4" t="s">
        <v>2875</v>
      </c>
      <c r="WYB1331" s="4" t="s">
        <v>2875</v>
      </c>
      <c r="WYC1331" s="4" t="s">
        <v>2875</v>
      </c>
      <c r="WYD1331" s="4" t="s">
        <v>2875</v>
      </c>
      <c r="WYE1331" s="4" t="s">
        <v>2875</v>
      </c>
      <c r="WYF1331" s="4" t="s">
        <v>2875</v>
      </c>
      <c r="WYG1331" s="4" t="s">
        <v>2875</v>
      </c>
      <c r="WYH1331" s="4" t="s">
        <v>2875</v>
      </c>
      <c r="WYI1331" s="4" t="s">
        <v>2875</v>
      </c>
      <c r="WYJ1331" s="4" t="s">
        <v>2875</v>
      </c>
      <c r="WYK1331" s="4" t="s">
        <v>2875</v>
      </c>
      <c r="WYL1331" s="4" t="s">
        <v>2875</v>
      </c>
      <c r="WYM1331" s="4" t="s">
        <v>2875</v>
      </c>
      <c r="WYN1331" s="4" t="s">
        <v>2875</v>
      </c>
      <c r="WYO1331" s="4" t="s">
        <v>2875</v>
      </c>
      <c r="WYP1331" s="4" t="s">
        <v>2875</v>
      </c>
      <c r="WYQ1331" s="4" t="s">
        <v>2875</v>
      </c>
      <c r="WYR1331" s="4" t="s">
        <v>2875</v>
      </c>
      <c r="WYS1331" s="4" t="s">
        <v>2875</v>
      </c>
      <c r="WYT1331" s="4" t="s">
        <v>2875</v>
      </c>
      <c r="WYU1331" s="4" t="s">
        <v>2875</v>
      </c>
      <c r="WYV1331" s="4" t="s">
        <v>2875</v>
      </c>
      <c r="WYW1331" s="4" t="s">
        <v>2875</v>
      </c>
      <c r="WYX1331" s="4" t="s">
        <v>2875</v>
      </c>
      <c r="WYY1331" s="4" t="s">
        <v>2875</v>
      </c>
      <c r="WYZ1331" s="4" t="s">
        <v>2875</v>
      </c>
      <c r="WZA1331" s="4" t="s">
        <v>2875</v>
      </c>
      <c r="WZB1331" s="4" t="s">
        <v>2875</v>
      </c>
      <c r="WZC1331" s="4" t="s">
        <v>2875</v>
      </c>
      <c r="WZD1331" s="4" t="s">
        <v>2875</v>
      </c>
      <c r="WZE1331" s="4" t="s">
        <v>2875</v>
      </c>
      <c r="WZF1331" s="4" t="s">
        <v>2875</v>
      </c>
      <c r="WZG1331" s="4" t="s">
        <v>2875</v>
      </c>
      <c r="WZH1331" s="4" t="s">
        <v>2875</v>
      </c>
      <c r="WZI1331" s="4" t="s">
        <v>2875</v>
      </c>
      <c r="WZJ1331" s="4" t="s">
        <v>2875</v>
      </c>
      <c r="WZK1331" s="4" t="s">
        <v>2875</v>
      </c>
      <c r="WZL1331" s="4" t="s">
        <v>2875</v>
      </c>
      <c r="WZM1331" s="4" t="s">
        <v>2875</v>
      </c>
      <c r="WZN1331" s="4" t="s">
        <v>2875</v>
      </c>
      <c r="WZO1331" s="4" t="s">
        <v>2875</v>
      </c>
      <c r="WZP1331" s="4" t="s">
        <v>2875</v>
      </c>
      <c r="WZQ1331" s="4" t="s">
        <v>2875</v>
      </c>
      <c r="WZR1331" s="4" t="s">
        <v>2875</v>
      </c>
      <c r="WZS1331" s="4" t="s">
        <v>2875</v>
      </c>
      <c r="WZT1331" s="4" t="s">
        <v>2875</v>
      </c>
      <c r="WZU1331" s="4" t="s">
        <v>2875</v>
      </c>
      <c r="WZV1331" s="4" t="s">
        <v>2875</v>
      </c>
      <c r="WZW1331" s="4" t="s">
        <v>2875</v>
      </c>
      <c r="WZX1331" s="4" t="s">
        <v>2875</v>
      </c>
      <c r="WZY1331" s="4" t="s">
        <v>2875</v>
      </c>
      <c r="WZZ1331" s="4" t="s">
        <v>2875</v>
      </c>
      <c r="XAA1331" s="4" t="s">
        <v>2875</v>
      </c>
      <c r="XAB1331" s="4" t="s">
        <v>2875</v>
      </c>
      <c r="XAC1331" s="4" t="s">
        <v>2875</v>
      </c>
      <c r="XAD1331" s="4" t="s">
        <v>2875</v>
      </c>
      <c r="XAE1331" s="4" t="s">
        <v>2875</v>
      </c>
      <c r="XAF1331" s="4" t="s">
        <v>2875</v>
      </c>
      <c r="XAG1331" s="4" t="s">
        <v>2875</v>
      </c>
      <c r="XAH1331" s="4" t="s">
        <v>2875</v>
      </c>
      <c r="XAI1331" s="4" t="s">
        <v>2875</v>
      </c>
      <c r="XAJ1331" s="4" t="s">
        <v>2875</v>
      </c>
      <c r="XAK1331" s="4" t="s">
        <v>2875</v>
      </c>
      <c r="XAL1331" s="4" t="s">
        <v>2875</v>
      </c>
      <c r="XAM1331" s="4" t="s">
        <v>2875</v>
      </c>
      <c r="XAN1331" s="4" t="s">
        <v>2875</v>
      </c>
      <c r="XAO1331" s="4" t="s">
        <v>2875</v>
      </c>
      <c r="XAP1331" s="4" t="s">
        <v>2875</v>
      </c>
      <c r="XAQ1331" s="4" t="s">
        <v>2875</v>
      </c>
      <c r="XAR1331" s="4" t="s">
        <v>2875</v>
      </c>
      <c r="XAS1331" s="4" t="s">
        <v>2875</v>
      </c>
      <c r="XAT1331" s="4" t="s">
        <v>2875</v>
      </c>
      <c r="XAU1331" s="4" t="s">
        <v>2875</v>
      </c>
      <c r="XAV1331" s="4" t="s">
        <v>2875</v>
      </c>
      <c r="XAW1331" s="4" t="s">
        <v>2875</v>
      </c>
      <c r="XAX1331" s="4" t="s">
        <v>2875</v>
      </c>
      <c r="XAY1331" s="4" t="s">
        <v>2875</v>
      </c>
      <c r="XAZ1331" s="4" t="s">
        <v>2875</v>
      </c>
      <c r="XBA1331" s="4" t="s">
        <v>2875</v>
      </c>
      <c r="XBB1331" s="4" t="s">
        <v>2875</v>
      </c>
      <c r="XBC1331" s="4" t="s">
        <v>2875</v>
      </c>
      <c r="XBD1331" s="4" t="s">
        <v>2875</v>
      </c>
      <c r="XBE1331" s="4" t="s">
        <v>2875</v>
      </c>
      <c r="XBF1331" s="4" t="s">
        <v>2875</v>
      </c>
      <c r="XBG1331" s="4" t="s">
        <v>2875</v>
      </c>
      <c r="XBH1331" s="4" t="s">
        <v>2875</v>
      </c>
      <c r="XBI1331" s="4" t="s">
        <v>2875</v>
      </c>
      <c r="XBJ1331" s="4" t="s">
        <v>2875</v>
      </c>
      <c r="XBK1331" s="4" t="s">
        <v>2875</v>
      </c>
      <c r="XBL1331" s="4" t="s">
        <v>2875</v>
      </c>
      <c r="XBM1331" s="4" t="s">
        <v>2875</v>
      </c>
      <c r="XBN1331" s="4" t="s">
        <v>2875</v>
      </c>
      <c r="XBO1331" s="4" t="s">
        <v>2875</v>
      </c>
      <c r="XBP1331" s="4" t="s">
        <v>2875</v>
      </c>
      <c r="XBQ1331" s="4" t="s">
        <v>2875</v>
      </c>
      <c r="XBR1331" s="4" t="s">
        <v>2875</v>
      </c>
      <c r="XBS1331" s="4" t="s">
        <v>2875</v>
      </c>
      <c r="XBT1331" s="4" t="s">
        <v>2875</v>
      </c>
      <c r="XBU1331" s="4" t="s">
        <v>2875</v>
      </c>
      <c r="XBV1331" s="4" t="s">
        <v>2875</v>
      </c>
      <c r="XBW1331" s="4" t="s">
        <v>2875</v>
      </c>
      <c r="XBX1331" s="4" t="s">
        <v>2875</v>
      </c>
      <c r="XBY1331" s="4" t="s">
        <v>2875</v>
      </c>
      <c r="XBZ1331" s="4" t="s">
        <v>2875</v>
      </c>
      <c r="XCA1331" s="4" t="s">
        <v>2875</v>
      </c>
      <c r="XCB1331" s="4" t="s">
        <v>2875</v>
      </c>
      <c r="XCC1331" s="4" t="s">
        <v>2875</v>
      </c>
      <c r="XCD1331" s="4" t="s">
        <v>2875</v>
      </c>
      <c r="XCE1331" s="4" t="s">
        <v>2875</v>
      </c>
      <c r="XCF1331" s="4" t="s">
        <v>2875</v>
      </c>
      <c r="XCG1331" s="4" t="s">
        <v>2875</v>
      </c>
      <c r="XCH1331" s="4" t="s">
        <v>2875</v>
      </c>
      <c r="XCI1331" s="4" t="s">
        <v>2875</v>
      </c>
      <c r="XCJ1331" s="4" t="s">
        <v>2875</v>
      </c>
      <c r="XCK1331" s="4" t="s">
        <v>2875</v>
      </c>
      <c r="XCL1331" s="4" t="s">
        <v>2875</v>
      </c>
      <c r="XCM1331" s="4" t="s">
        <v>2875</v>
      </c>
      <c r="XCN1331" s="4" t="s">
        <v>2875</v>
      </c>
      <c r="XCO1331" s="4" t="s">
        <v>2875</v>
      </c>
      <c r="XCP1331" s="4" t="s">
        <v>2875</v>
      </c>
      <c r="XCQ1331" s="4" t="s">
        <v>2875</v>
      </c>
      <c r="XCR1331" s="4" t="s">
        <v>2875</v>
      </c>
      <c r="XCS1331" s="4" t="s">
        <v>2875</v>
      </c>
      <c r="XCT1331" s="4" t="s">
        <v>2875</v>
      </c>
      <c r="XCU1331" s="4" t="s">
        <v>2875</v>
      </c>
      <c r="XCV1331" s="4" t="s">
        <v>2875</v>
      </c>
      <c r="XCW1331" s="4" t="s">
        <v>2875</v>
      </c>
      <c r="XCX1331" s="4" t="s">
        <v>2875</v>
      </c>
      <c r="XCY1331" s="4" t="s">
        <v>2875</v>
      </c>
      <c r="XCZ1331" s="4" t="s">
        <v>2875</v>
      </c>
      <c r="XDA1331" s="4" t="s">
        <v>2875</v>
      </c>
      <c r="XDB1331" s="4" t="s">
        <v>2875</v>
      </c>
      <c r="XDC1331" s="4" t="s">
        <v>2875</v>
      </c>
      <c r="XDD1331" s="4" t="s">
        <v>2875</v>
      </c>
      <c r="XDE1331" s="4" t="s">
        <v>2875</v>
      </c>
      <c r="XDF1331" s="4" t="s">
        <v>2875</v>
      </c>
      <c r="XDG1331" s="4" t="s">
        <v>2875</v>
      </c>
      <c r="XDH1331" s="4" t="s">
        <v>2875</v>
      </c>
      <c r="XDI1331" s="4" t="s">
        <v>2875</v>
      </c>
      <c r="XDJ1331" s="4" t="s">
        <v>2875</v>
      </c>
      <c r="XDK1331" s="4" t="s">
        <v>2875</v>
      </c>
      <c r="XDL1331" s="4" t="s">
        <v>2875</v>
      </c>
      <c r="XDM1331" s="4" t="s">
        <v>2875</v>
      </c>
      <c r="XDN1331" s="4" t="s">
        <v>2875</v>
      </c>
      <c r="XDO1331" s="4" t="s">
        <v>2875</v>
      </c>
      <c r="XDP1331" s="4" t="s">
        <v>2875</v>
      </c>
      <c r="XDQ1331" s="4" t="s">
        <v>2875</v>
      </c>
      <c r="XDR1331" s="4" t="s">
        <v>2875</v>
      </c>
      <c r="XDS1331" s="4" t="s">
        <v>2875</v>
      </c>
      <c r="XDT1331" s="4" t="s">
        <v>2875</v>
      </c>
      <c r="XDU1331" s="4" t="s">
        <v>2875</v>
      </c>
      <c r="XDV1331" s="4" t="s">
        <v>2875</v>
      </c>
      <c r="XDW1331" s="4" t="s">
        <v>2875</v>
      </c>
      <c r="XDX1331" s="4" t="s">
        <v>2875</v>
      </c>
      <c r="XDY1331" s="4" t="s">
        <v>2875</v>
      </c>
      <c r="XDZ1331" s="4" t="s">
        <v>2875</v>
      </c>
      <c r="XEA1331" s="4" t="s">
        <v>2875</v>
      </c>
      <c r="XEB1331" s="4" t="s">
        <v>2875</v>
      </c>
      <c r="XEC1331" s="4" t="s">
        <v>2875</v>
      </c>
      <c r="XED1331" s="4" t="s">
        <v>2875</v>
      </c>
      <c r="XEE1331" s="4" t="s">
        <v>2875</v>
      </c>
      <c r="XEF1331" s="4" t="s">
        <v>2875</v>
      </c>
      <c r="XEG1331" s="4" t="s">
        <v>2875</v>
      </c>
      <c r="XEH1331" s="4" t="s">
        <v>2875</v>
      </c>
      <c r="XEI1331" s="4" t="s">
        <v>2875</v>
      </c>
      <c r="XEJ1331" s="4" t="s">
        <v>2875</v>
      </c>
      <c r="XEK1331" s="4" t="s">
        <v>2875</v>
      </c>
      <c r="XEL1331" s="4" t="s">
        <v>2875</v>
      </c>
      <c r="XEM1331" s="4" t="s">
        <v>2875</v>
      </c>
      <c r="XEN1331" s="4" t="s">
        <v>2875</v>
      </c>
      <c r="XEO1331" s="4" t="s">
        <v>2875</v>
      </c>
      <c r="XEP1331" s="4" t="s">
        <v>2875</v>
      </c>
      <c r="XEQ1331" s="4" t="s">
        <v>2875</v>
      </c>
      <c r="XER1331" s="4" t="s">
        <v>2875</v>
      </c>
      <c r="XES1331" s="4" t="s">
        <v>2875</v>
      </c>
      <c r="XET1331" s="4" t="s">
        <v>2875</v>
      </c>
      <c r="XEU1331" s="4" t="s">
        <v>2875</v>
      </c>
      <c r="XEV1331" s="4" t="s">
        <v>2875</v>
      </c>
      <c r="XEW1331" s="4" t="s">
        <v>2875</v>
      </c>
      <c r="XEX1331" s="4" t="s">
        <v>2875</v>
      </c>
      <c r="XEY1331" s="4" t="s">
        <v>2875</v>
      </c>
      <c r="XEZ1331" s="4" t="s">
        <v>2875</v>
      </c>
      <c r="XFA1331" s="4" t="s">
        <v>2875</v>
      </c>
      <c r="XFB1331" s="4" t="s">
        <v>2875</v>
      </c>
    </row>
    <row r="1332" spans="1:5 1847:16382" x14ac:dyDescent="0.25">
      <c r="A1332" s="5" t="s">
        <v>3256</v>
      </c>
      <c r="B1332" s="6" t="s">
        <v>4027</v>
      </c>
      <c r="C1332" s="7" t="s">
        <v>24</v>
      </c>
      <c r="D1332" s="7" t="s">
        <v>4456</v>
      </c>
      <c r="E1332" s="8" t="s">
        <v>4454</v>
      </c>
      <c r="BSA1332" s="4" t="s">
        <v>2876</v>
      </c>
      <c r="BSB1332" s="4" t="s">
        <v>2876</v>
      </c>
      <c r="BSC1332" s="4" t="s">
        <v>2876</v>
      </c>
      <c r="BSD1332" s="4" t="s">
        <v>2876</v>
      </c>
      <c r="BSE1332" s="4" t="s">
        <v>2876</v>
      </c>
      <c r="BSF1332" s="4" t="s">
        <v>2876</v>
      </c>
      <c r="BSG1332" s="4" t="s">
        <v>2876</v>
      </c>
      <c r="BSH1332" s="4" t="s">
        <v>2876</v>
      </c>
      <c r="BSI1332" s="4" t="s">
        <v>2876</v>
      </c>
      <c r="BSJ1332" s="4" t="s">
        <v>2876</v>
      </c>
      <c r="BSK1332" s="4" t="s">
        <v>2876</v>
      </c>
      <c r="BSL1332" s="4" t="s">
        <v>2876</v>
      </c>
      <c r="BSM1332" s="4" t="s">
        <v>2876</v>
      </c>
      <c r="BSN1332" s="4" t="s">
        <v>2876</v>
      </c>
      <c r="BSO1332" s="4" t="s">
        <v>2876</v>
      </c>
      <c r="BSP1332" s="4" t="s">
        <v>2876</v>
      </c>
      <c r="BSQ1332" s="4" t="s">
        <v>2876</v>
      </c>
      <c r="BSR1332" s="4" t="s">
        <v>2876</v>
      </c>
      <c r="BSS1332" s="4" t="s">
        <v>2876</v>
      </c>
      <c r="BST1332" s="4" t="s">
        <v>2876</v>
      </c>
      <c r="BSU1332" s="4" t="s">
        <v>2876</v>
      </c>
      <c r="BSV1332" s="4" t="s">
        <v>2876</v>
      </c>
      <c r="BSW1332" s="4" t="s">
        <v>2876</v>
      </c>
      <c r="BSX1332" s="4" t="s">
        <v>2876</v>
      </c>
      <c r="BSY1332" s="4" t="s">
        <v>2876</v>
      </c>
      <c r="BSZ1332" s="4" t="s">
        <v>2876</v>
      </c>
      <c r="BTA1332" s="4" t="s">
        <v>2876</v>
      </c>
      <c r="BTB1332" s="4" t="s">
        <v>2876</v>
      </c>
      <c r="BTC1332" s="4" t="s">
        <v>2876</v>
      </c>
      <c r="BTD1332" s="4" t="s">
        <v>2876</v>
      </c>
      <c r="BTE1332" s="4" t="s">
        <v>2876</v>
      </c>
      <c r="BTF1332" s="4" t="s">
        <v>2876</v>
      </c>
      <c r="BTG1332" s="4" t="s">
        <v>2876</v>
      </c>
      <c r="BTH1332" s="4" t="s">
        <v>2876</v>
      </c>
      <c r="BTI1332" s="4" t="s">
        <v>2876</v>
      </c>
      <c r="BTJ1332" s="4" t="s">
        <v>2876</v>
      </c>
      <c r="BTK1332" s="4" t="s">
        <v>2876</v>
      </c>
      <c r="BTL1332" s="4" t="s">
        <v>2876</v>
      </c>
      <c r="BTM1332" s="4" t="s">
        <v>2876</v>
      </c>
      <c r="BTN1332" s="4" t="s">
        <v>2876</v>
      </c>
      <c r="BTO1332" s="4" t="s">
        <v>2876</v>
      </c>
      <c r="BTP1332" s="4" t="s">
        <v>2876</v>
      </c>
      <c r="BTQ1332" s="4" t="s">
        <v>2876</v>
      </c>
      <c r="BTR1332" s="4" t="s">
        <v>2876</v>
      </c>
      <c r="BTS1332" s="4" t="s">
        <v>2876</v>
      </c>
      <c r="BTT1332" s="4" t="s">
        <v>2876</v>
      </c>
      <c r="BTU1332" s="4" t="s">
        <v>2876</v>
      </c>
      <c r="BTV1332" s="4" t="s">
        <v>2876</v>
      </c>
      <c r="BTW1332" s="4" t="s">
        <v>2876</v>
      </c>
      <c r="BTX1332" s="4" t="s">
        <v>2876</v>
      </c>
      <c r="BTY1332" s="4" t="s">
        <v>2876</v>
      </c>
      <c r="BTZ1332" s="4" t="s">
        <v>2876</v>
      </c>
      <c r="BUA1332" s="4" t="s">
        <v>2876</v>
      </c>
      <c r="BUB1332" s="4" t="s">
        <v>2876</v>
      </c>
      <c r="BUC1332" s="4" t="s">
        <v>2876</v>
      </c>
      <c r="BUD1332" s="4" t="s">
        <v>2876</v>
      </c>
      <c r="BUE1332" s="4" t="s">
        <v>2876</v>
      </c>
      <c r="BUF1332" s="4" t="s">
        <v>2876</v>
      </c>
      <c r="BUG1332" s="4" t="s">
        <v>2876</v>
      </c>
      <c r="BUH1332" s="4" t="s">
        <v>2876</v>
      </c>
      <c r="BUI1332" s="4" t="s">
        <v>2876</v>
      </c>
      <c r="BUJ1332" s="4" t="s">
        <v>2876</v>
      </c>
      <c r="BUK1332" s="4" t="s">
        <v>2876</v>
      </c>
      <c r="BUL1332" s="4" t="s">
        <v>2876</v>
      </c>
      <c r="BUM1332" s="4" t="s">
        <v>2876</v>
      </c>
      <c r="BUN1332" s="4" t="s">
        <v>2876</v>
      </c>
      <c r="BUO1332" s="4" t="s">
        <v>2876</v>
      </c>
      <c r="BUP1332" s="4" t="s">
        <v>2876</v>
      </c>
      <c r="BUQ1332" s="4" t="s">
        <v>2876</v>
      </c>
      <c r="BUR1332" s="4" t="s">
        <v>2876</v>
      </c>
      <c r="BUS1332" s="4" t="s">
        <v>2876</v>
      </c>
      <c r="BUT1332" s="4" t="s">
        <v>2876</v>
      </c>
      <c r="BUU1332" s="4" t="s">
        <v>2876</v>
      </c>
      <c r="BUV1332" s="4" t="s">
        <v>2876</v>
      </c>
      <c r="BUW1332" s="4" t="s">
        <v>2876</v>
      </c>
      <c r="BUX1332" s="4" t="s">
        <v>2876</v>
      </c>
      <c r="BUY1332" s="4" t="s">
        <v>2876</v>
      </c>
      <c r="BUZ1332" s="4" t="s">
        <v>2876</v>
      </c>
      <c r="BVA1332" s="4" t="s">
        <v>2876</v>
      </c>
      <c r="BVB1332" s="4" t="s">
        <v>2876</v>
      </c>
      <c r="BVC1332" s="4" t="s">
        <v>2876</v>
      </c>
      <c r="BVD1332" s="4" t="s">
        <v>2876</v>
      </c>
      <c r="BVE1332" s="4" t="s">
        <v>2876</v>
      </c>
      <c r="BVF1332" s="4" t="s">
        <v>2876</v>
      </c>
      <c r="BVG1332" s="4" t="s">
        <v>2876</v>
      </c>
      <c r="BVH1332" s="4" t="s">
        <v>2876</v>
      </c>
      <c r="BVI1332" s="4" t="s">
        <v>2876</v>
      </c>
      <c r="BVJ1332" s="4" t="s">
        <v>2876</v>
      </c>
      <c r="BVK1332" s="4" t="s">
        <v>2876</v>
      </c>
      <c r="BVL1332" s="4" t="s">
        <v>2876</v>
      </c>
      <c r="BVM1332" s="4" t="s">
        <v>2876</v>
      </c>
      <c r="BVN1332" s="4" t="s">
        <v>2876</v>
      </c>
      <c r="BVO1332" s="4" t="s">
        <v>2876</v>
      </c>
      <c r="BVP1332" s="4" t="s">
        <v>2876</v>
      </c>
      <c r="BVQ1332" s="4" t="s">
        <v>2876</v>
      </c>
      <c r="BVR1332" s="4" t="s">
        <v>2876</v>
      </c>
      <c r="BVS1332" s="4" t="s">
        <v>2876</v>
      </c>
      <c r="BVT1332" s="4" t="s">
        <v>2876</v>
      </c>
      <c r="BVU1332" s="4" t="s">
        <v>2876</v>
      </c>
      <c r="BVV1332" s="4" t="s">
        <v>2876</v>
      </c>
      <c r="BVW1332" s="4" t="s">
        <v>2876</v>
      </c>
      <c r="BVX1332" s="4" t="s">
        <v>2876</v>
      </c>
      <c r="BVY1332" s="4" t="s">
        <v>2876</v>
      </c>
      <c r="BVZ1332" s="4" t="s">
        <v>2876</v>
      </c>
      <c r="BWA1332" s="4" t="s">
        <v>2876</v>
      </c>
      <c r="BWB1332" s="4" t="s">
        <v>2876</v>
      </c>
      <c r="BWC1332" s="4" t="s">
        <v>2876</v>
      </c>
      <c r="BWD1332" s="4" t="s">
        <v>2876</v>
      </c>
      <c r="BWE1332" s="4" t="s">
        <v>2876</v>
      </c>
      <c r="BWF1332" s="4" t="s">
        <v>2876</v>
      </c>
      <c r="BWG1332" s="4" t="s">
        <v>2876</v>
      </c>
      <c r="BWH1332" s="4" t="s">
        <v>2876</v>
      </c>
      <c r="BWI1332" s="4" t="s">
        <v>2876</v>
      </c>
      <c r="BWJ1332" s="4" t="s">
        <v>2876</v>
      </c>
      <c r="BWK1332" s="4" t="s">
        <v>2876</v>
      </c>
      <c r="BWL1332" s="4" t="s">
        <v>2876</v>
      </c>
      <c r="BWM1332" s="4" t="s">
        <v>2876</v>
      </c>
      <c r="BWN1332" s="4" t="s">
        <v>2876</v>
      </c>
      <c r="BWO1332" s="4" t="s">
        <v>2876</v>
      </c>
      <c r="BWP1332" s="4" t="s">
        <v>2876</v>
      </c>
      <c r="BWQ1332" s="4" t="s">
        <v>2876</v>
      </c>
      <c r="BWR1332" s="4" t="s">
        <v>2876</v>
      </c>
      <c r="BWS1332" s="4" t="s">
        <v>2876</v>
      </c>
      <c r="BWT1332" s="4" t="s">
        <v>2876</v>
      </c>
      <c r="BWU1332" s="4" t="s">
        <v>2876</v>
      </c>
      <c r="BWV1332" s="4" t="s">
        <v>2876</v>
      </c>
      <c r="BWW1332" s="4" t="s">
        <v>2876</v>
      </c>
      <c r="BWX1332" s="4" t="s">
        <v>2876</v>
      </c>
      <c r="BWY1332" s="4" t="s">
        <v>2876</v>
      </c>
      <c r="BWZ1332" s="4" t="s">
        <v>2876</v>
      </c>
      <c r="BXA1332" s="4" t="s">
        <v>2876</v>
      </c>
      <c r="BXB1332" s="4" t="s">
        <v>2876</v>
      </c>
      <c r="BXC1332" s="4" t="s">
        <v>2876</v>
      </c>
      <c r="BXD1332" s="4" t="s">
        <v>2876</v>
      </c>
      <c r="BXE1332" s="4" t="s">
        <v>2876</v>
      </c>
      <c r="BXF1332" s="4" t="s">
        <v>2876</v>
      </c>
      <c r="BXG1332" s="4" t="s">
        <v>2876</v>
      </c>
      <c r="BXH1332" s="4" t="s">
        <v>2876</v>
      </c>
      <c r="BXI1332" s="4" t="s">
        <v>2876</v>
      </c>
      <c r="BXJ1332" s="4" t="s">
        <v>2876</v>
      </c>
      <c r="BXK1332" s="4" t="s">
        <v>2876</v>
      </c>
      <c r="BXL1332" s="4" t="s">
        <v>2876</v>
      </c>
      <c r="BXM1332" s="4" t="s">
        <v>2876</v>
      </c>
      <c r="BXN1332" s="4" t="s">
        <v>2876</v>
      </c>
      <c r="BXO1332" s="4" t="s">
        <v>2876</v>
      </c>
      <c r="BXP1332" s="4" t="s">
        <v>2876</v>
      </c>
      <c r="BXQ1332" s="4" t="s">
        <v>2876</v>
      </c>
      <c r="BXR1332" s="4" t="s">
        <v>2876</v>
      </c>
      <c r="BXS1332" s="4" t="s">
        <v>2876</v>
      </c>
      <c r="BXT1332" s="4" t="s">
        <v>2876</v>
      </c>
      <c r="BXU1332" s="4" t="s">
        <v>2876</v>
      </c>
      <c r="BXV1332" s="4" t="s">
        <v>2876</v>
      </c>
      <c r="BXW1332" s="4" t="s">
        <v>2876</v>
      </c>
      <c r="BXX1332" s="4" t="s">
        <v>2876</v>
      </c>
      <c r="BXY1332" s="4" t="s">
        <v>2876</v>
      </c>
      <c r="BXZ1332" s="4" t="s">
        <v>2876</v>
      </c>
      <c r="BYA1332" s="4" t="s">
        <v>2876</v>
      </c>
      <c r="BYB1332" s="4" t="s">
        <v>2876</v>
      </c>
      <c r="BYC1332" s="4" t="s">
        <v>2876</v>
      </c>
      <c r="BYD1332" s="4" t="s">
        <v>2876</v>
      </c>
      <c r="BYE1332" s="4" t="s">
        <v>2876</v>
      </c>
      <c r="BYF1332" s="4" t="s">
        <v>2876</v>
      </c>
      <c r="BYG1332" s="4" t="s">
        <v>2876</v>
      </c>
      <c r="BYH1332" s="4" t="s">
        <v>2876</v>
      </c>
      <c r="BYI1332" s="4" t="s">
        <v>2876</v>
      </c>
      <c r="BYJ1332" s="4" t="s">
        <v>2876</v>
      </c>
      <c r="BYK1332" s="4" t="s">
        <v>2876</v>
      </c>
      <c r="BYL1332" s="4" t="s">
        <v>2876</v>
      </c>
      <c r="BYM1332" s="4" t="s">
        <v>2876</v>
      </c>
      <c r="BYN1332" s="4" t="s">
        <v>2876</v>
      </c>
      <c r="BYO1332" s="4" t="s">
        <v>2876</v>
      </c>
      <c r="BYP1332" s="4" t="s">
        <v>2876</v>
      </c>
      <c r="BYQ1332" s="4" t="s">
        <v>2876</v>
      </c>
      <c r="BYR1332" s="4" t="s">
        <v>2876</v>
      </c>
      <c r="BYS1332" s="4" t="s">
        <v>2876</v>
      </c>
      <c r="BYT1332" s="4" t="s">
        <v>2876</v>
      </c>
      <c r="BYU1332" s="4" t="s">
        <v>2876</v>
      </c>
      <c r="BYV1332" s="4" t="s">
        <v>2876</v>
      </c>
      <c r="BYW1332" s="4" t="s">
        <v>2876</v>
      </c>
      <c r="BYX1332" s="4" t="s">
        <v>2876</v>
      </c>
      <c r="BYY1332" s="4" t="s">
        <v>2876</v>
      </c>
      <c r="BYZ1332" s="4" t="s">
        <v>2876</v>
      </c>
      <c r="BZA1332" s="4" t="s">
        <v>2876</v>
      </c>
      <c r="BZB1332" s="4" t="s">
        <v>2876</v>
      </c>
      <c r="BZC1332" s="4" t="s">
        <v>2876</v>
      </c>
      <c r="BZD1332" s="4" t="s">
        <v>2876</v>
      </c>
      <c r="BZE1332" s="4" t="s">
        <v>2876</v>
      </c>
      <c r="BZF1332" s="4" t="s">
        <v>2876</v>
      </c>
      <c r="BZG1332" s="4" t="s">
        <v>2876</v>
      </c>
      <c r="BZH1332" s="4" t="s">
        <v>2876</v>
      </c>
      <c r="BZI1332" s="4" t="s">
        <v>2876</v>
      </c>
      <c r="BZJ1332" s="4" t="s">
        <v>2876</v>
      </c>
      <c r="BZK1332" s="4" t="s">
        <v>2876</v>
      </c>
      <c r="BZL1332" s="4" t="s">
        <v>2876</v>
      </c>
      <c r="BZM1332" s="4" t="s">
        <v>2876</v>
      </c>
      <c r="BZN1332" s="4" t="s">
        <v>2876</v>
      </c>
      <c r="BZO1332" s="4" t="s">
        <v>2876</v>
      </c>
      <c r="BZP1332" s="4" t="s">
        <v>2876</v>
      </c>
      <c r="BZQ1332" s="4" t="s">
        <v>2876</v>
      </c>
      <c r="BZR1332" s="4" t="s">
        <v>2876</v>
      </c>
      <c r="BZS1332" s="4" t="s">
        <v>2876</v>
      </c>
      <c r="BZT1332" s="4" t="s">
        <v>2876</v>
      </c>
      <c r="BZU1332" s="4" t="s">
        <v>2876</v>
      </c>
      <c r="BZV1332" s="4" t="s">
        <v>2876</v>
      </c>
      <c r="BZW1332" s="4" t="s">
        <v>2876</v>
      </c>
      <c r="BZX1332" s="4" t="s">
        <v>2876</v>
      </c>
      <c r="BZY1332" s="4" t="s">
        <v>2876</v>
      </c>
      <c r="BZZ1332" s="4" t="s">
        <v>2876</v>
      </c>
      <c r="CAA1332" s="4" t="s">
        <v>2876</v>
      </c>
      <c r="CAB1332" s="4" t="s">
        <v>2876</v>
      </c>
      <c r="CAC1332" s="4" t="s">
        <v>2876</v>
      </c>
      <c r="CAD1332" s="4" t="s">
        <v>2876</v>
      </c>
      <c r="CAE1332" s="4" t="s">
        <v>2876</v>
      </c>
      <c r="CAF1332" s="4" t="s">
        <v>2876</v>
      </c>
      <c r="CAG1332" s="4" t="s">
        <v>2876</v>
      </c>
      <c r="CAH1332" s="4" t="s">
        <v>2876</v>
      </c>
      <c r="CAI1332" s="4" t="s">
        <v>2876</v>
      </c>
      <c r="CAJ1332" s="4" t="s">
        <v>2876</v>
      </c>
      <c r="CAK1332" s="4" t="s">
        <v>2876</v>
      </c>
      <c r="CAL1332" s="4" t="s">
        <v>2876</v>
      </c>
      <c r="CAM1332" s="4" t="s">
        <v>2876</v>
      </c>
      <c r="CAN1332" s="4" t="s">
        <v>2876</v>
      </c>
      <c r="CAO1332" s="4" t="s">
        <v>2876</v>
      </c>
      <c r="CAP1332" s="4" t="s">
        <v>2876</v>
      </c>
      <c r="CAQ1332" s="4" t="s">
        <v>2876</v>
      </c>
      <c r="CAR1332" s="4" t="s">
        <v>2876</v>
      </c>
      <c r="CAS1332" s="4" t="s">
        <v>2876</v>
      </c>
      <c r="CAT1332" s="4" t="s">
        <v>2876</v>
      </c>
      <c r="CAU1332" s="4" t="s">
        <v>2876</v>
      </c>
      <c r="CAV1332" s="4" t="s">
        <v>2876</v>
      </c>
      <c r="CAW1332" s="4" t="s">
        <v>2876</v>
      </c>
      <c r="CAX1332" s="4" t="s">
        <v>2876</v>
      </c>
      <c r="CAY1332" s="4" t="s">
        <v>2876</v>
      </c>
      <c r="CAZ1332" s="4" t="s">
        <v>2876</v>
      </c>
      <c r="CBA1332" s="4" t="s">
        <v>2876</v>
      </c>
      <c r="CBB1332" s="4" t="s">
        <v>2876</v>
      </c>
      <c r="CBC1332" s="4" t="s">
        <v>2876</v>
      </c>
      <c r="CBD1332" s="4" t="s">
        <v>2876</v>
      </c>
      <c r="CBE1332" s="4" t="s">
        <v>2876</v>
      </c>
      <c r="CBF1332" s="4" t="s">
        <v>2876</v>
      </c>
      <c r="CBG1332" s="4" t="s">
        <v>2876</v>
      </c>
      <c r="CBH1332" s="4" t="s">
        <v>2876</v>
      </c>
      <c r="CBI1332" s="4" t="s">
        <v>2876</v>
      </c>
      <c r="CBJ1332" s="4" t="s">
        <v>2876</v>
      </c>
      <c r="CBK1332" s="4" t="s">
        <v>2876</v>
      </c>
      <c r="CBL1332" s="4" t="s">
        <v>2876</v>
      </c>
      <c r="CBM1332" s="4" t="s">
        <v>2876</v>
      </c>
      <c r="CBN1332" s="4" t="s">
        <v>2876</v>
      </c>
      <c r="CBO1332" s="4" t="s">
        <v>2876</v>
      </c>
      <c r="CBP1332" s="4" t="s">
        <v>2876</v>
      </c>
      <c r="CBQ1332" s="4" t="s">
        <v>2876</v>
      </c>
      <c r="CBR1332" s="4" t="s">
        <v>2876</v>
      </c>
      <c r="CBS1332" s="4" t="s">
        <v>2876</v>
      </c>
      <c r="CBT1332" s="4" t="s">
        <v>2876</v>
      </c>
      <c r="CBU1332" s="4" t="s">
        <v>2876</v>
      </c>
      <c r="CBV1332" s="4" t="s">
        <v>2876</v>
      </c>
      <c r="CBW1332" s="4" t="s">
        <v>2876</v>
      </c>
      <c r="CBX1332" s="4" t="s">
        <v>2876</v>
      </c>
      <c r="CBY1332" s="4" t="s">
        <v>2876</v>
      </c>
      <c r="CBZ1332" s="4" t="s">
        <v>2876</v>
      </c>
      <c r="CCA1332" s="4" t="s">
        <v>2876</v>
      </c>
      <c r="CCB1332" s="4" t="s">
        <v>2876</v>
      </c>
      <c r="CCC1332" s="4" t="s">
        <v>2876</v>
      </c>
      <c r="CCD1332" s="4" t="s">
        <v>2876</v>
      </c>
      <c r="CCE1332" s="4" t="s">
        <v>2876</v>
      </c>
      <c r="CCF1332" s="4" t="s">
        <v>2876</v>
      </c>
      <c r="CCG1332" s="4" t="s">
        <v>2876</v>
      </c>
      <c r="CCH1332" s="4" t="s">
        <v>2876</v>
      </c>
      <c r="CCI1332" s="4" t="s">
        <v>2876</v>
      </c>
      <c r="CCJ1332" s="4" t="s">
        <v>2876</v>
      </c>
      <c r="CCK1332" s="4" t="s">
        <v>2876</v>
      </c>
      <c r="CCL1332" s="4" t="s">
        <v>2876</v>
      </c>
      <c r="CCM1332" s="4" t="s">
        <v>2876</v>
      </c>
      <c r="CCN1332" s="4" t="s">
        <v>2876</v>
      </c>
      <c r="CCO1332" s="4" t="s">
        <v>2876</v>
      </c>
      <c r="CCP1332" s="4" t="s">
        <v>2876</v>
      </c>
      <c r="CCQ1332" s="4" t="s">
        <v>2876</v>
      </c>
      <c r="CCR1332" s="4" t="s">
        <v>2876</v>
      </c>
      <c r="CCS1332" s="4" t="s">
        <v>2876</v>
      </c>
      <c r="CCT1332" s="4" t="s">
        <v>2876</v>
      </c>
      <c r="CCU1332" s="4" t="s">
        <v>2876</v>
      </c>
      <c r="CCV1332" s="4" t="s">
        <v>2876</v>
      </c>
      <c r="CCW1332" s="4" t="s">
        <v>2876</v>
      </c>
      <c r="CCX1332" s="4" t="s">
        <v>2876</v>
      </c>
      <c r="CCY1332" s="4" t="s">
        <v>2876</v>
      </c>
      <c r="CCZ1332" s="4" t="s">
        <v>2876</v>
      </c>
      <c r="CDA1332" s="4" t="s">
        <v>2876</v>
      </c>
      <c r="CDB1332" s="4" t="s">
        <v>2876</v>
      </c>
      <c r="CDC1332" s="4" t="s">
        <v>2876</v>
      </c>
      <c r="CDD1332" s="4" t="s">
        <v>2876</v>
      </c>
      <c r="CDE1332" s="4" t="s">
        <v>2876</v>
      </c>
      <c r="CDF1332" s="4" t="s">
        <v>2876</v>
      </c>
      <c r="CDG1332" s="4" t="s">
        <v>2876</v>
      </c>
      <c r="CDH1332" s="4" t="s">
        <v>2876</v>
      </c>
      <c r="CDI1332" s="4" t="s">
        <v>2876</v>
      </c>
      <c r="CDJ1332" s="4" t="s">
        <v>2876</v>
      </c>
      <c r="CDK1332" s="4" t="s">
        <v>2876</v>
      </c>
      <c r="CDL1332" s="4" t="s">
        <v>2876</v>
      </c>
      <c r="CDM1332" s="4" t="s">
        <v>2876</v>
      </c>
      <c r="CDN1332" s="4" t="s">
        <v>2876</v>
      </c>
      <c r="CDO1332" s="4" t="s">
        <v>2876</v>
      </c>
      <c r="CDP1332" s="4" t="s">
        <v>2876</v>
      </c>
      <c r="CDQ1332" s="4" t="s">
        <v>2876</v>
      </c>
      <c r="CDR1332" s="4" t="s">
        <v>2876</v>
      </c>
      <c r="CDS1332" s="4" t="s">
        <v>2876</v>
      </c>
      <c r="CDT1332" s="4" t="s">
        <v>2876</v>
      </c>
      <c r="CDU1332" s="4" t="s">
        <v>2876</v>
      </c>
      <c r="CDV1332" s="4" t="s">
        <v>2876</v>
      </c>
      <c r="CDW1332" s="4" t="s">
        <v>2876</v>
      </c>
      <c r="CDX1332" s="4" t="s">
        <v>2876</v>
      </c>
      <c r="CDY1332" s="4" t="s">
        <v>2876</v>
      </c>
      <c r="CDZ1332" s="4" t="s">
        <v>2876</v>
      </c>
      <c r="CEA1332" s="4" t="s">
        <v>2876</v>
      </c>
      <c r="CEB1332" s="4" t="s">
        <v>2876</v>
      </c>
      <c r="CEC1332" s="4" t="s">
        <v>2876</v>
      </c>
      <c r="CED1332" s="4" t="s">
        <v>2876</v>
      </c>
      <c r="CEE1332" s="4" t="s">
        <v>2876</v>
      </c>
      <c r="CEF1332" s="4" t="s">
        <v>2876</v>
      </c>
      <c r="CEG1332" s="4" t="s">
        <v>2876</v>
      </c>
      <c r="CEH1332" s="4" t="s">
        <v>2876</v>
      </c>
      <c r="CEI1332" s="4" t="s">
        <v>2876</v>
      </c>
      <c r="CEJ1332" s="4" t="s">
        <v>2876</v>
      </c>
      <c r="CEK1332" s="4" t="s">
        <v>2876</v>
      </c>
      <c r="CEL1332" s="4" t="s">
        <v>2876</v>
      </c>
      <c r="CEM1332" s="4" t="s">
        <v>2876</v>
      </c>
      <c r="CEN1332" s="4" t="s">
        <v>2876</v>
      </c>
      <c r="CEO1332" s="4" t="s">
        <v>2876</v>
      </c>
      <c r="CEP1332" s="4" t="s">
        <v>2876</v>
      </c>
      <c r="CEQ1332" s="4" t="s">
        <v>2876</v>
      </c>
      <c r="CER1332" s="4" t="s">
        <v>2876</v>
      </c>
      <c r="CES1332" s="4" t="s">
        <v>2876</v>
      </c>
      <c r="CET1332" s="4" t="s">
        <v>2876</v>
      </c>
      <c r="CEU1332" s="4" t="s">
        <v>2876</v>
      </c>
      <c r="CEV1332" s="4" t="s">
        <v>2876</v>
      </c>
      <c r="CEW1332" s="4" t="s">
        <v>2876</v>
      </c>
      <c r="CEX1332" s="4" t="s">
        <v>2876</v>
      </c>
      <c r="CEY1332" s="4" t="s">
        <v>2876</v>
      </c>
      <c r="CEZ1332" s="4" t="s">
        <v>2876</v>
      </c>
      <c r="CFA1332" s="4" t="s">
        <v>2876</v>
      </c>
      <c r="CFB1332" s="4" t="s">
        <v>2876</v>
      </c>
      <c r="CFC1332" s="4" t="s">
        <v>2876</v>
      </c>
      <c r="CFD1332" s="4" t="s">
        <v>2876</v>
      </c>
      <c r="CFE1332" s="4" t="s">
        <v>2876</v>
      </c>
      <c r="CFF1332" s="4" t="s">
        <v>2876</v>
      </c>
      <c r="CFG1332" s="4" t="s">
        <v>2876</v>
      </c>
      <c r="CFH1332" s="4" t="s">
        <v>2876</v>
      </c>
      <c r="CFI1332" s="4" t="s">
        <v>2876</v>
      </c>
      <c r="CFJ1332" s="4" t="s">
        <v>2876</v>
      </c>
      <c r="CFK1332" s="4" t="s">
        <v>2876</v>
      </c>
      <c r="CFL1332" s="4" t="s">
        <v>2876</v>
      </c>
      <c r="CFM1332" s="4" t="s">
        <v>2876</v>
      </c>
      <c r="CFN1332" s="4" t="s">
        <v>2876</v>
      </c>
      <c r="CFO1332" s="4" t="s">
        <v>2876</v>
      </c>
      <c r="CFP1332" s="4" t="s">
        <v>2876</v>
      </c>
      <c r="CFQ1332" s="4" t="s">
        <v>2876</v>
      </c>
      <c r="CFR1332" s="4" t="s">
        <v>2876</v>
      </c>
      <c r="CFS1332" s="4" t="s">
        <v>2876</v>
      </c>
      <c r="CFT1332" s="4" t="s">
        <v>2876</v>
      </c>
      <c r="CFU1332" s="4" t="s">
        <v>2876</v>
      </c>
      <c r="CFV1332" s="4" t="s">
        <v>2876</v>
      </c>
      <c r="CFW1332" s="4" t="s">
        <v>2876</v>
      </c>
      <c r="CFX1332" s="4" t="s">
        <v>2876</v>
      </c>
      <c r="CFY1332" s="4" t="s">
        <v>2876</v>
      </c>
      <c r="CFZ1332" s="4" t="s">
        <v>2876</v>
      </c>
      <c r="CGA1332" s="4" t="s">
        <v>2876</v>
      </c>
      <c r="CGB1332" s="4" t="s">
        <v>2876</v>
      </c>
      <c r="CGC1332" s="4" t="s">
        <v>2876</v>
      </c>
      <c r="CGD1332" s="4" t="s">
        <v>2876</v>
      </c>
      <c r="CGE1332" s="4" t="s">
        <v>2876</v>
      </c>
      <c r="CGF1332" s="4" t="s">
        <v>2876</v>
      </c>
      <c r="CGG1332" s="4" t="s">
        <v>2876</v>
      </c>
      <c r="CGH1332" s="4" t="s">
        <v>2876</v>
      </c>
      <c r="CGI1332" s="4" t="s">
        <v>2876</v>
      </c>
      <c r="CGJ1332" s="4" t="s">
        <v>2876</v>
      </c>
      <c r="CGK1332" s="4" t="s">
        <v>2876</v>
      </c>
      <c r="CGL1332" s="4" t="s">
        <v>2876</v>
      </c>
      <c r="CGM1332" s="4" t="s">
        <v>2876</v>
      </c>
      <c r="CGN1332" s="4" t="s">
        <v>2876</v>
      </c>
      <c r="CGO1332" s="4" t="s">
        <v>2876</v>
      </c>
      <c r="CGP1332" s="4" t="s">
        <v>2876</v>
      </c>
      <c r="CGQ1332" s="4" t="s">
        <v>2876</v>
      </c>
      <c r="CGR1332" s="4" t="s">
        <v>2876</v>
      </c>
      <c r="CGS1332" s="4" t="s">
        <v>2876</v>
      </c>
      <c r="CGT1332" s="4" t="s">
        <v>2876</v>
      </c>
      <c r="CGU1332" s="4" t="s">
        <v>2876</v>
      </c>
      <c r="CGV1332" s="4" t="s">
        <v>2876</v>
      </c>
      <c r="CGW1332" s="4" t="s">
        <v>2876</v>
      </c>
      <c r="CGX1332" s="4" t="s">
        <v>2876</v>
      </c>
      <c r="CGY1332" s="4" t="s">
        <v>2876</v>
      </c>
      <c r="CGZ1332" s="4" t="s">
        <v>2876</v>
      </c>
      <c r="CHA1332" s="4" t="s">
        <v>2876</v>
      </c>
      <c r="CHB1332" s="4" t="s">
        <v>2876</v>
      </c>
      <c r="CHC1332" s="4" t="s">
        <v>2876</v>
      </c>
      <c r="CHD1332" s="4" t="s">
        <v>2876</v>
      </c>
      <c r="CHE1332" s="4" t="s">
        <v>2876</v>
      </c>
      <c r="CHF1332" s="4" t="s">
        <v>2876</v>
      </c>
      <c r="CHG1332" s="4" t="s">
        <v>2876</v>
      </c>
      <c r="CHH1332" s="4" t="s">
        <v>2876</v>
      </c>
      <c r="CHI1332" s="4" t="s">
        <v>2876</v>
      </c>
      <c r="CHJ1332" s="4" t="s">
        <v>2876</v>
      </c>
      <c r="CHK1332" s="4" t="s">
        <v>2876</v>
      </c>
      <c r="CHL1332" s="4" t="s">
        <v>2876</v>
      </c>
      <c r="CHM1332" s="4" t="s">
        <v>2876</v>
      </c>
      <c r="CHN1332" s="4" t="s">
        <v>2876</v>
      </c>
      <c r="CHO1332" s="4" t="s">
        <v>2876</v>
      </c>
      <c r="CHP1332" s="4" t="s">
        <v>2876</v>
      </c>
      <c r="CHQ1332" s="4" t="s">
        <v>2876</v>
      </c>
      <c r="CHR1332" s="4" t="s">
        <v>2876</v>
      </c>
      <c r="CHS1332" s="4" t="s">
        <v>2876</v>
      </c>
      <c r="CHT1332" s="4" t="s">
        <v>2876</v>
      </c>
      <c r="CHU1332" s="4" t="s">
        <v>2876</v>
      </c>
      <c r="CHV1332" s="4" t="s">
        <v>2876</v>
      </c>
      <c r="CHW1332" s="4" t="s">
        <v>2876</v>
      </c>
      <c r="CHX1332" s="4" t="s">
        <v>2876</v>
      </c>
      <c r="CHY1332" s="4" t="s">
        <v>2876</v>
      </c>
      <c r="CHZ1332" s="4" t="s">
        <v>2876</v>
      </c>
      <c r="CIA1332" s="4" t="s">
        <v>2876</v>
      </c>
      <c r="CIB1332" s="4" t="s">
        <v>2876</v>
      </c>
      <c r="CIC1332" s="4" t="s">
        <v>2876</v>
      </c>
      <c r="CID1332" s="4" t="s">
        <v>2876</v>
      </c>
      <c r="CIE1332" s="4" t="s">
        <v>2876</v>
      </c>
      <c r="CIF1332" s="4" t="s">
        <v>2876</v>
      </c>
      <c r="CIG1332" s="4" t="s">
        <v>2876</v>
      </c>
      <c r="CIH1332" s="4" t="s">
        <v>2876</v>
      </c>
      <c r="CII1332" s="4" t="s">
        <v>2876</v>
      </c>
      <c r="CIJ1332" s="4" t="s">
        <v>2876</v>
      </c>
      <c r="CIK1332" s="4" t="s">
        <v>2876</v>
      </c>
      <c r="CIL1332" s="4" t="s">
        <v>2876</v>
      </c>
      <c r="CIM1332" s="4" t="s">
        <v>2876</v>
      </c>
      <c r="CIN1332" s="4" t="s">
        <v>2876</v>
      </c>
      <c r="CIO1332" s="4" t="s">
        <v>2876</v>
      </c>
      <c r="CIP1332" s="4" t="s">
        <v>2876</v>
      </c>
      <c r="CIQ1332" s="4" t="s">
        <v>2876</v>
      </c>
      <c r="CIR1332" s="4" t="s">
        <v>2876</v>
      </c>
      <c r="CIS1332" s="4" t="s">
        <v>2876</v>
      </c>
      <c r="CIT1332" s="4" t="s">
        <v>2876</v>
      </c>
      <c r="CIU1332" s="4" t="s">
        <v>2876</v>
      </c>
      <c r="CIV1332" s="4" t="s">
        <v>2876</v>
      </c>
      <c r="CIW1332" s="4" t="s">
        <v>2876</v>
      </c>
      <c r="CIX1332" s="4" t="s">
        <v>2876</v>
      </c>
      <c r="CIY1332" s="4" t="s">
        <v>2876</v>
      </c>
      <c r="CIZ1332" s="4" t="s">
        <v>2876</v>
      </c>
      <c r="CJA1332" s="4" t="s">
        <v>2876</v>
      </c>
      <c r="CJB1332" s="4" t="s">
        <v>2876</v>
      </c>
      <c r="CJC1332" s="4" t="s">
        <v>2876</v>
      </c>
      <c r="CJD1332" s="4" t="s">
        <v>2876</v>
      </c>
      <c r="CJE1332" s="4" t="s">
        <v>2876</v>
      </c>
      <c r="CJF1332" s="4" t="s">
        <v>2876</v>
      </c>
      <c r="CJG1332" s="4" t="s">
        <v>2876</v>
      </c>
      <c r="CJH1332" s="4" t="s">
        <v>2876</v>
      </c>
      <c r="CJI1332" s="4" t="s">
        <v>2876</v>
      </c>
      <c r="CJJ1332" s="4" t="s">
        <v>2876</v>
      </c>
      <c r="CJK1332" s="4" t="s">
        <v>2876</v>
      </c>
      <c r="CJL1332" s="4" t="s">
        <v>2876</v>
      </c>
      <c r="CJM1332" s="4" t="s">
        <v>2876</v>
      </c>
      <c r="CJN1332" s="4" t="s">
        <v>2876</v>
      </c>
      <c r="CJO1332" s="4" t="s">
        <v>2876</v>
      </c>
      <c r="CJP1332" s="4" t="s">
        <v>2876</v>
      </c>
      <c r="CJQ1332" s="4" t="s">
        <v>2876</v>
      </c>
      <c r="CJR1332" s="4" t="s">
        <v>2876</v>
      </c>
      <c r="CJS1332" s="4" t="s">
        <v>2876</v>
      </c>
      <c r="CJT1332" s="4" t="s">
        <v>2876</v>
      </c>
      <c r="CJU1332" s="4" t="s">
        <v>2876</v>
      </c>
      <c r="CJV1332" s="4" t="s">
        <v>2876</v>
      </c>
      <c r="CJW1332" s="4" t="s">
        <v>2876</v>
      </c>
      <c r="CJX1332" s="4" t="s">
        <v>2876</v>
      </c>
      <c r="CJY1332" s="4" t="s">
        <v>2876</v>
      </c>
      <c r="CJZ1332" s="4" t="s">
        <v>2876</v>
      </c>
      <c r="CKA1332" s="4" t="s">
        <v>2876</v>
      </c>
      <c r="CKB1332" s="4" t="s">
        <v>2876</v>
      </c>
      <c r="CKC1332" s="4" t="s">
        <v>2876</v>
      </c>
      <c r="CKD1332" s="4" t="s">
        <v>2876</v>
      </c>
      <c r="CKE1332" s="4" t="s">
        <v>2876</v>
      </c>
      <c r="CKF1332" s="4" t="s">
        <v>2876</v>
      </c>
      <c r="CKG1332" s="4" t="s">
        <v>2876</v>
      </c>
      <c r="CKH1332" s="4" t="s">
        <v>2876</v>
      </c>
      <c r="CKI1332" s="4" t="s">
        <v>2876</v>
      </c>
      <c r="CKJ1332" s="4" t="s">
        <v>2876</v>
      </c>
      <c r="CKK1332" s="4" t="s">
        <v>2876</v>
      </c>
      <c r="CKL1332" s="4" t="s">
        <v>2876</v>
      </c>
      <c r="CKM1332" s="4" t="s">
        <v>2876</v>
      </c>
      <c r="CKN1332" s="4" t="s">
        <v>2876</v>
      </c>
      <c r="CKO1332" s="4" t="s">
        <v>2876</v>
      </c>
      <c r="CKP1332" s="4" t="s">
        <v>2876</v>
      </c>
      <c r="CKQ1332" s="4" t="s">
        <v>2876</v>
      </c>
      <c r="CKR1332" s="4" t="s">
        <v>2876</v>
      </c>
      <c r="CKS1332" s="4" t="s">
        <v>2876</v>
      </c>
      <c r="CKT1332" s="4" t="s">
        <v>2876</v>
      </c>
      <c r="CKU1332" s="4" t="s">
        <v>2876</v>
      </c>
      <c r="CKV1332" s="4" t="s">
        <v>2876</v>
      </c>
      <c r="CKW1332" s="4" t="s">
        <v>2876</v>
      </c>
      <c r="CKX1332" s="4" t="s">
        <v>2876</v>
      </c>
      <c r="CKY1332" s="4" t="s">
        <v>2876</v>
      </c>
      <c r="CKZ1332" s="4" t="s">
        <v>2876</v>
      </c>
      <c r="CLA1332" s="4" t="s">
        <v>2876</v>
      </c>
      <c r="CLB1332" s="4" t="s">
        <v>2876</v>
      </c>
      <c r="CLC1332" s="4" t="s">
        <v>2876</v>
      </c>
      <c r="CLD1332" s="4" t="s">
        <v>2876</v>
      </c>
      <c r="CLE1332" s="4" t="s">
        <v>2876</v>
      </c>
      <c r="CLF1332" s="4" t="s">
        <v>2876</v>
      </c>
      <c r="CLG1332" s="4" t="s">
        <v>2876</v>
      </c>
      <c r="CLH1332" s="4" t="s">
        <v>2876</v>
      </c>
      <c r="CLI1332" s="4" t="s">
        <v>2876</v>
      </c>
      <c r="CLJ1332" s="4" t="s">
        <v>2876</v>
      </c>
      <c r="CLK1332" s="4" t="s">
        <v>2876</v>
      </c>
      <c r="CLL1332" s="4" t="s">
        <v>2876</v>
      </c>
      <c r="CLM1332" s="4" t="s">
        <v>2876</v>
      </c>
      <c r="CLN1332" s="4" t="s">
        <v>2876</v>
      </c>
      <c r="CLO1332" s="4" t="s">
        <v>2876</v>
      </c>
      <c r="CLP1332" s="4" t="s">
        <v>2876</v>
      </c>
      <c r="CLQ1332" s="4" t="s">
        <v>2876</v>
      </c>
      <c r="CLR1332" s="4" t="s">
        <v>2876</v>
      </c>
      <c r="CLS1332" s="4" t="s">
        <v>2876</v>
      </c>
      <c r="CLT1332" s="4" t="s">
        <v>2876</v>
      </c>
      <c r="CLU1332" s="4" t="s">
        <v>2876</v>
      </c>
      <c r="CLV1332" s="4" t="s">
        <v>2876</v>
      </c>
      <c r="CLW1332" s="4" t="s">
        <v>2876</v>
      </c>
      <c r="CLX1332" s="4" t="s">
        <v>2876</v>
      </c>
      <c r="CLY1332" s="4" t="s">
        <v>2876</v>
      </c>
      <c r="CLZ1332" s="4" t="s">
        <v>2876</v>
      </c>
      <c r="CMA1332" s="4" t="s">
        <v>2876</v>
      </c>
      <c r="CMB1332" s="4" t="s">
        <v>2876</v>
      </c>
      <c r="CMC1332" s="4" t="s">
        <v>2876</v>
      </c>
      <c r="CMD1332" s="4" t="s">
        <v>2876</v>
      </c>
      <c r="CME1332" s="4" t="s">
        <v>2876</v>
      </c>
      <c r="CMF1332" s="4" t="s">
        <v>2876</v>
      </c>
      <c r="CMG1332" s="4" t="s">
        <v>2876</v>
      </c>
      <c r="CMH1332" s="4" t="s">
        <v>2876</v>
      </c>
      <c r="CMI1332" s="4" t="s">
        <v>2876</v>
      </c>
      <c r="CMJ1332" s="4" t="s">
        <v>2876</v>
      </c>
      <c r="CMK1332" s="4" t="s">
        <v>2876</v>
      </c>
      <c r="CML1332" s="4" t="s">
        <v>2876</v>
      </c>
      <c r="CMM1332" s="4" t="s">
        <v>2876</v>
      </c>
      <c r="CMN1332" s="4" t="s">
        <v>2876</v>
      </c>
      <c r="CMO1332" s="4" t="s">
        <v>2876</v>
      </c>
      <c r="CMP1332" s="4" t="s">
        <v>2876</v>
      </c>
      <c r="CMQ1332" s="4" t="s">
        <v>2876</v>
      </c>
      <c r="CMR1332" s="4" t="s">
        <v>2876</v>
      </c>
      <c r="CMS1332" s="4" t="s">
        <v>2876</v>
      </c>
      <c r="CMT1332" s="4" t="s">
        <v>2876</v>
      </c>
      <c r="CMU1332" s="4" t="s">
        <v>2876</v>
      </c>
      <c r="CMV1332" s="4" t="s">
        <v>2876</v>
      </c>
      <c r="CMW1332" s="4" t="s">
        <v>2876</v>
      </c>
      <c r="CMX1332" s="4" t="s">
        <v>2876</v>
      </c>
      <c r="CMY1332" s="4" t="s">
        <v>2876</v>
      </c>
      <c r="CMZ1332" s="4" t="s">
        <v>2876</v>
      </c>
      <c r="CNA1332" s="4" t="s">
        <v>2876</v>
      </c>
      <c r="CNB1332" s="4" t="s">
        <v>2876</v>
      </c>
      <c r="CNC1332" s="4" t="s">
        <v>2876</v>
      </c>
      <c r="CND1332" s="4" t="s">
        <v>2876</v>
      </c>
      <c r="CNE1332" s="4" t="s">
        <v>2876</v>
      </c>
      <c r="CNF1332" s="4" t="s">
        <v>2876</v>
      </c>
      <c r="CNG1332" s="4" t="s">
        <v>2876</v>
      </c>
      <c r="CNH1332" s="4" t="s">
        <v>2876</v>
      </c>
      <c r="CNI1332" s="4" t="s">
        <v>2876</v>
      </c>
      <c r="CNJ1332" s="4" t="s">
        <v>2876</v>
      </c>
      <c r="CNK1332" s="4" t="s">
        <v>2876</v>
      </c>
      <c r="CNL1332" s="4" t="s">
        <v>2876</v>
      </c>
      <c r="CNM1332" s="4" t="s">
        <v>2876</v>
      </c>
      <c r="CNN1332" s="4" t="s">
        <v>2876</v>
      </c>
      <c r="CNO1332" s="4" t="s">
        <v>2876</v>
      </c>
      <c r="CNP1332" s="4" t="s">
        <v>2876</v>
      </c>
      <c r="CNQ1332" s="4" t="s">
        <v>2876</v>
      </c>
      <c r="CNR1332" s="4" t="s">
        <v>2876</v>
      </c>
      <c r="CNS1332" s="4" t="s">
        <v>2876</v>
      </c>
      <c r="CNT1332" s="4" t="s">
        <v>2876</v>
      </c>
      <c r="CNU1332" s="4" t="s">
        <v>2876</v>
      </c>
      <c r="CNV1332" s="4" t="s">
        <v>2876</v>
      </c>
      <c r="CNW1332" s="4" t="s">
        <v>2876</v>
      </c>
      <c r="CNX1332" s="4" t="s">
        <v>2876</v>
      </c>
      <c r="CNY1332" s="4" t="s">
        <v>2876</v>
      </c>
      <c r="CNZ1332" s="4" t="s">
        <v>2876</v>
      </c>
      <c r="COA1332" s="4" t="s">
        <v>2876</v>
      </c>
      <c r="COB1332" s="4" t="s">
        <v>2876</v>
      </c>
      <c r="COC1332" s="4" t="s">
        <v>2876</v>
      </c>
      <c r="COD1332" s="4" t="s">
        <v>2876</v>
      </c>
      <c r="COE1332" s="4" t="s">
        <v>2876</v>
      </c>
      <c r="COF1332" s="4" t="s">
        <v>2876</v>
      </c>
      <c r="COG1332" s="4" t="s">
        <v>2876</v>
      </c>
      <c r="COH1332" s="4" t="s">
        <v>2876</v>
      </c>
      <c r="COI1332" s="4" t="s">
        <v>2876</v>
      </c>
      <c r="COJ1332" s="4" t="s">
        <v>2876</v>
      </c>
      <c r="COK1332" s="4" t="s">
        <v>2876</v>
      </c>
      <c r="COL1332" s="4" t="s">
        <v>2876</v>
      </c>
      <c r="COM1332" s="4" t="s">
        <v>2876</v>
      </c>
      <c r="CON1332" s="4" t="s">
        <v>2876</v>
      </c>
      <c r="COO1332" s="4" t="s">
        <v>2876</v>
      </c>
      <c r="COP1332" s="4" t="s">
        <v>2876</v>
      </c>
      <c r="COQ1332" s="4" t="s">
        <v>2876</v>
      </c>
      <c r="COR1332" s="4" t="s">
        <v>2876</v>
      </c>
      <c r="COS1332" s="4" t="s">
        <v>2876</v>
      </c>
      <c r="COT1332" s="4" t="s">
        <v>2876</v>
      </c>
      <c r="COU1332" s="4" t="s">
        <v>2876</v>
      </c>
      <c r="COV1332" s="4" t="s">
        <v>2876</v>
      </c>
      <c r="COW1332" s="4" t="s">
        <v>2876</v>
      </c>
      <c r="COX1332" s="4" t="s">
        <v>2876</v>
      </c>
      <c r="COY1332" s="4" t="s">
        <v>2876</v>
      </c>
      <c r="COZ1332" s="4" t="s">
        <v>2876</v>
      </c>
      <c r="CPA1332" s="4" t="s">
        <v>2876</v>
      </c>
      <c r="CPB1332" s="4" t="s">
        <v>2876</v>
      </c>
      <c r="CPC1332" s="4" t="s">
        <v>2876</v>
      </c>
      <c r="CPD1332" s="4" t="s">
        <v>2876</v>
      </c>
      <c r="CPE1332" s="4" t="s">
        <v>2876</v>
      </c>
      <c r="CPF1332" s="4" t="s">
        <v>2876</v>
      </c>
      <c r="CPG1332" s="4" t="s">
        <v>2876</v>
      </c>
      <c r="CPH1332" s="4" t="s">
        <v>2876</v>
      </c>
      <c r="CPI1332" s="4" t="s">
        <v>2876</v>
      </c>
      <c r="CPJ1332" s="4" t="s">
        <v>2876</v>
      </c>
      <c r="CPK1332" s="4" t="s">
        <v>2876</v>
      </c>
      <c r="CPL1332" s="4" t="s">
        <v>2876</v>
      </c>
      <c r="CPM1332" s="4" t="s">
        <v>2876</v>
      </c>
      <c r="CPN1332" s="4" t="s">
        <v>2876</v>
      </c>
      <c r="CPO1332" s="4" t="s">
        <v>2876</v>
      </c>
      <c r="CPP1332" s="4" t="s">
        <v>2876</v>
      </c>
      <c r="CPQ1332" s="4" t="s">
        <v>2876</v>
      </c>
      <c r="CPR1332" s="4" t="s">
        <v>2876</v>
      </c>
      <c r="CPS1332" s="4" t="s">
        <v>2876</v>
      </c>
      <c r="CPT1332" s="4" t="s">
        <v>2876</v>
      </c>
      <c r="CPU1332" s="4" t="s">
        <v>2876</v>
      </c>
      <c r="CPV1332" s="4" t="s">
        <v>2876</v>
      </c>
      <c r="CPW1332" s="4" t="s">
        <v>2876</v>
      </c>
      <c r="CPX1332" s="4" t="s">
        <v>2876</v>
      </c>
      <c r="CPY1332" s="4" t="s">
        <v>2876</v>
      </c>
      <c r="CPZ1332" s="4" t="s">
        <v>2876</v>
      </c>
      <c r="CQA1332" s="4" t="s">
        <v>2876</v>
      </c>
      <c r="CQB1332" s="4" t="s">
        <v>2876</v>
      </c>
      <c r="CQC1332" s="4" t="s">
        <v>2876</v>
      </c>
      <c r="CQD1332" s="4" t="s">
        <v>2876</v>
      </c>
      <c r="CQE1332" s="4" t="s">
        <v>2876</v>
      </c>
      <c r="CQF1332" s="4" t="s">
        <v>2876</v>
      </c>
      <c r="CQG1332" s="4" t="s">
        <v>2876</v>
      </c>
      <c r="CQH1332" s="4" t="s">
        <v>2876</v>
      </c>
      <c r="CQI1332" s="4" t="s">
        <v>2876</v>
      </c>
      <c r="CQJ1332" s="4" t="s">
        <v>2876</v>
      </c>
      <c r="CQK1332" s="4" t="s">
        <v>2876</v>
      </c>
      <c r="CQL1332" s="4" t="s">
        <v>2876</v>
      </c>
      <c r="CQM1332" s="4" t="s">
        <v>2876</v>
      </c>
      <c r="CQN1332" s="4" t="s">
        <v>2876</v>
      </c>
      <c r="CQO1332" s="4" t="s">
        <v>2876</v>
      </c>
      <c r="CQP1332" s="4" t="s">
        <v>2876</v>
      </c>
      <c r="CQQ1332" s="4" t="s">
        <v>2876</v>
      </c>
      <c r="CQR1332" s="4" t="s">
        <v>2876</v>
      </c>
      <c r="CQS1332" s="4" t="s">
        <v>2876</v>
      </c>
      <c r="CQT1332" s="4" t="s">
        <v>2876</v>
      </c>
      <c r="CQU1332" s="4" t="s">
        <v>2876</v>
      </c>
      <c r="CQV1332" s="4" t="s">
        <v>2876</v>
      </c>
      <c r="CQW1332" s="4" t="s">
        <v>2876</v>
      </c>
      <c r="CQX1332" s="4" t="s">
        <v>2876</v>
      </c>
      <c r="CQY1332" s="4" t="s">
        <v>2876</v>
      </c>
      <c r="CQZ1332" s="4" t="s">
        <v>2876</v>
      </c>
      <c r="CRA1332" s="4" t="s">
        <v>2876</v>
      </c>
      <c r="CRB1332" s="4" t="s">
        <v>2876</v>
      </c>
      <c r="CRC1332" s="4" t="s">
        <v>2876</v>
      </c>
      <c r="CRD1332" s="4" t="s">
        <v>2876</v>
      </c>
      <c r="CRE1332" s="4" t="s">
        <v>2876</v>
      </c>
      <c r="CRF1332" s="4" t="s">
        <v>2876</v>
      </c>
      <c r="CRG1332" s="4" t="s">
        <v>2876</v>
      </c>
      <c r="CRH1332" s="4" t="s">
        <v>2876</v>
      </c>
      <c r="CRI1332" s="4" t="s">
        <v>2876</v>
      </c>
      <c r="CRJ1332" s="4" t="s">
        <v>2876</v>
      </c>
      <c r="CRK1332" s="4" t="s">
        <v>2876</v>
      </c>
      <c r="CRL1332" s="4" t="s">
        <v>2876</v>
      </c>
      <c r="CRM1332" s="4" t="s">
        <v>2876</v>
      </c>
      <c r="CRN1332" s="4" t="s">
        <v>2876</v>
      </c>
      <c r="CRO1332" s="4" t="s">
        <v>2876</v>
      </c>
      <c r="CRP1332" s="4" t="s">
        <v>2876</v>
      </c>
      <c r="CRQ1332" s="4" t="s">
        <v>2876</v>
      </c>
      <c r="CRR1332" s="4" t="s">
        <v>2876</v>
      </c>
      <c r="CRS1332" s="4" t="s">
        <v>2876</v>
      </c>
      <c r="CRT1332" s="4" t="s">
        <v>2876</v>
      </c>
      <c r="CRU1332" s="4" t="s">
        <v>2876</v>
      </c>
      <c r="CRV1332" s="4" t="s">
        <v>2876</v>
      </c>
      <c r="CRW1332" s="4" t="s">
        <v>2876</v>
      </c>
      <c r="CRX1332" s="4" t="s">
        <v>2876</v>
      </c>
      <c r="CRY1332" s="4" t="s">
        <v>2876</v>
      </c>
      <c r="CRZ1332" s="4" t="s">
        <v>2876</v>
      </c>
      <c r="CSA1332" s="4" t="s">
        <v>2876</v>
      </c>
      <c r="CSB1332" s="4" t="s">
        <v>2876</v>
      </c>
      <c r="CSC1332" s="4" t="s">
        <v>2876</v>
      </c>
      <c r="CSD1332" s="4" t="s">
        <v>2876</v>
      </c>
      <c r="CSE1332" s="4" t="s">
        <v>2876</v>
      </c>
      <c r="CSF1332" s="4" t="s">
        <v>2876</v>
      </c>
      <c r="CSG1332" s="4" t="s">
        <v>2876</v>
      </c>
      <c r="CSH1332" s="4" t="s">
        <v>2876</v>
      </c>
      <c r="CSI1332" s="4" t="s">
        <v>2876</v>
      </c>
      <c r="CSJ1332" s="4" t="s">
        <v>2876</v>
      </c>
      <c r="CSK1332" s="4" t="s">
        <v>2876</v>
      </c>
      <c r="CSL1332" s="4" t="s">
        <v>2876</v>
      </c>
      <c r="CSM1332" s="4" t="s">
        <v>2876</v>
      </c>
      <c r="CSN1332" s="4" t="s">
        <v>2876</v>
      </c>
      <c r="CSO1332" s="4" t="s">
        <v>2876</v>
      </c>
      <c r="CSP1332" s="4" t="s">
        <v>2876</v>
      </c>
      <c r="CSQ1332" s="4" t="s">
        <v>2876</v>
      </c>
      <c r="CSR1332" s="4" t="s">
        <v>2876</v>
      </c>
      <c r="CSS1332" s="4" t="s">
        <v>2876</v>
      </c>
      <c r="CST1332" s="4" t="s">
        <v>2876</v>
      </c>
      <c r="CSU1332" s="4" t="s">
        <v>2876</v>
      </c>
      <c r="CSV1332" s="4" t="s">
        <v>2876</v>
      </c>
      <c r="CSW1332" s="4" t="s">
        <v>2876</v>
      </c>
      <c r="CSX1332" s="4" t="s">
        <v>2876</v>
      </c>
      <c r="CSY1332" s="4" t="s">
        <v>2876</v>
      </c>
      <c r="CSZ1332" s="4" t="s">
        <v>2876</v>
      </c>
      <c r="CTA1332" s="4" t="s">
        <v>2876</v>
      </c>
      <c r="CTB1332" s="4" t="s">
        <v>2876</v>
      </c>
      <c r="CTC1332" s="4" t="s">
        <v>2876</v>
      </c>
      <c r="CTD1332" s="4" t="s">
        <v>2876</v>
      </c>
      <c r="CTE1332" s="4" t="s">
        <v>2876</v>
      </c>
      <c r="CTF1332" s="4" t="s">
        <v>2876</v>
      </c>
      <c r="CTG1332" s="4" t="s">
        <v>2876</v>
      </c>
      <c r="CTH1332" s="4" t="s">
        <v>2876</v>
      </c>
      <c r="CTI1332" s="4" t="s">
        <v>2876</v>
      </c>
      <c r="CTJ1332" s="4" t="s">
        <v>2876</v>
      </c>
      <c r="CTK1332" s="4" t="s">
        <v>2876</v>
      </c>
      <c r="CTL1332" s="4" t="s">
        <v>2876</v>
      </c>
      <c r="CTM1332" s="4" t="s">
        <v>2876</v>
      </c>
      <c r="CTN1332" s="4" t="s">
        <v>2876</v>
      </c>
      <c r="CTO1332" s="4" t="s">
        <v>2876</v>
      </c>
      <c r="CTP1332" s="4" t="s">
        <v>2876</v>
      </c>
      <c r="CTQ1332" s="4" t="s">
        <v>2876</v>
      </c>
      <c r="CTR1332" s="4" t="s">
        <v>2876</v>
      </c>
      <c r="CTS1332" s="4" t="s">
        <v>2876</v>
      </c>
      <c r="CTT1332" s="4" t="s">
        <v>2876</v>
      </c>
      <c r="CTU1332" s="4" t="s">
        <v>2876</v>
      </c>
      <c r="CTV1332" s="4" t="s">
        <v>2876</v>
      </c>
      <c r="CTW1332" s="4" t="s">
        <v>2876</v>
      </c>
      <c r="CTX1332" s="4" t="s">
        <v>2876</v>
      </c>
      <c r="CTY1332" s="4" t="s">
        <v>2876</v>
      </c>
      <c r="CTZ1332" s="4" t="s">
        <v>2876</v>
      </c>
      <c r="CUA1332" s="4" t="s">
        <v>2876</v>
      </c>
      <c r="CUB1332" s="4" t="s">
        <v>2876</v>
      </c>
      <c r="CUC1332" s="4" t="s">
        <v>2876</v>
      </c>
      <c r="CUD1332" s="4" t="s">
        <v>2876</v>
      </c>
      <c r="CUE1332" s="4" t="s">
        <v>2876</v>
      </c>
      <c r="CUF1332" s="4" t="s">
        <v>2876</v>
      </c>
      <c r="CUG1332" s="4" t="s">
        <v>2876</v>
      </c>
      <c r="CUH1332" s="4" t="s">
        <v>2876</v>
      </c>
      <c r="CUI1332" s="4" t="s">
        <v>2876</v>
      </c>
      <c r="CUJ1332" s="4" t="s">
        <v>2876</v>
      </c>
      <c r="CUK1332" s="4" t="s">
        <v>2876</v>
      </c>
      <c r="CUL1332" s="4" t="s">
        <v>2876</v>
      </c>
      <c r="CUM1332" s="4" t="s">
        <v>2876</v>
      </c>
      <c r="CUN1332" s="4" t="s">
        <v>2876</v>
      </c>
      <c r="CUO1332" s="4" t="s">
        <v>2876</v>
      </c>
      <c r="CUP1332" s="4" t="s">
        <v>2876</v>
      </c>
      <c r="CUQ1332" s="4" t="s">
        <v>2876</v>
      </c>
      <c r="CUR1332" s="4" t="s">
        <v>2876</v>
      </c>
      <c r="CUS1332" s="4" t="s">
        <v>2876</v>
      </c>
      <c r="CUT1332" s="4" t="s">
        <v>2876</v>
      </c>
      <c r="CUU1332" s="4" t="s">
        <v>2876</v>
      </c>
      <c r="CUV1332" s="4" t="s">
        <v>2876</v>
      </c>
      <c r="CUW1332" s="4" t="s">
        <v>2876</v>
      </c>
      <c r="CUX1332" s="4" t="s">
        <v>2876</v>
      </c>
      <c r="CUY1332" s="4" t="s">
        <v>2876</v>
      </c>
      <c r="CUZ1332" s="4" t="s">
        <v>2876</v>
      </c>
      <c r="CVA1332" s="4" t="s">
        <v>2876</v>
      </c>
      <c r="CVB1332" s="4" t="s">
        <v>2876</v>
      </c>
      <c r="CVC1332" s="4" t="s">
        <v>2876</v>
      </c>
      <c r="CVD1332" s="4" t="s">
        <v>2876</v>
      </c>
      <c r="CVE1332" s="4" t="s">
        <v>2876</v>
      </c>
      <c r="CVF1332" s="4" t="s">
        <v>2876</v>
      </c>
      <c r="CVG1332" s="4" t="s">
        <v>2876</v>
      </c>
      <c r="CVH1332" s="4" t="s">
        <v>2876</v>
      </c>
      <c r="CVI1332" s="4" t="s">
        <v>2876</v>
      </c>
      <c r="CVJ1332" s="4" t="s">
        <v>2876</v>
      </c>
      <c r="CVK1332" s="4" t="s">
        <v>2876</v>
      </c>
      <c r="CVL1332" s="4" t="s">
        <v>2876</v>
      </c>
      <c r="CVM1332" s="4" t="s">
        <v>2876</v>
      </c>
      <c r="CVN1332" s="4" t="s">
        <v>2876</v>
      </c>
      <c r="CVO1332" s="4" t="s">
        <v>2876</v>
      </c>
      <c r="CVP1332" s="4" t="s">
        <v>2876</v>
      </c>
      <c r="CVQ1332" s="4" t="s">
        <v>2876</v>
      </c>
      <c r="CVR1332" s="4" t="s">
        <v>2876</v>
      </c>
      <c r="CVS1332" s="4" t="s">
        <v>2876</v>
      </c>
      <c r="CVT1332" s="4" t="s">
        <v>2876</v>
      </c>
      <c r="CVU1332" s="4" t="s">
        <v>2876</v>
      </c>
      <c r="CVV1332" s="4" t="s">
        <v>2876</v>
      </c>
      <c r="CVW1332" s="4" t="s">
        <v>2876</v>
      </c>
      <c r="CVX1332" s="4" t="s">
        <v>2876</v>
      </c>
      <c r="CVY1332" s="4" t="s">
        <v>2876</v>
      </c>
      <c r="CVZ1332" s="4" t="s">
        <v>2876</v>
      </c>
      <c r="CWA1332" s="4" t="s">
        <v>2876</v>
      </c>
      <c r="CWB1332" s="4" t="s">
        <v>2876</v>
      </c>
      <c r="CWC1332" s="4" t="s">
        <v>2876</v>
      </c>
      <c r="CWD1332" s="4" t="s">
        <v>2876</v>
      </c>
      <c r="CWE1332" s="4" t="s">
        <v>2876</v>
      </c>
      <c r="CWF1332" s="4" t="s">
        <v>2876</v>
      </c>
      <c r="CWG1332" s="4" t="s">
        <v>2876</v>
      </c>
      <c r="CWH1332" s="4" t="s">
        <v>2876</v>
      </c>
      <c r="CWI1332" s="4" t="s">
        <v>2876</v>
      </c>
      <c r="CWJ1332" s="4" t="s">
        <v>2876</v>
      </c>
      <c r="CWK1332" s="4" t="s">
        <v>2876</v>
      </c>
      <c r="CWL1332" s="4" t="s">
        <v>2876</v>
      </c>
      <c r="CWM1332" s="4" t="s">
        <v>2876</v>
      </c>
      <c r="CWN1332" s="4" t="s">
        <v>2876</v>
      </c>
      <c r="CWO1332" s="4" t="s">
        <v>2876</v>
      </c>
      <c r="CWP1332" s="4" t="s">
        <v>2876</v>
      </c>
      <c r="CWQ1332" s="4" t="s">
        <v>2876</v>
      </c>
      <c r="CWR1332" s="4" t="s">
        <v>2876</v>
      </c>
      <c r="CWS1332" s="4" t="s">
        <v>2876</v>
      </c>
      <c r="CWT1332" s="4" t="s">
        <v>2876</v>
      </c>
      <c r="CWU1332" s="4" t="s">
        <v>2876</v>
      </c>
      <c r="CWV1332" s="4" t="s">
        <v>2876</v>
      </c>
      <c r="CWW1332" s="4" t="s">
        <v>2876</v>
      </c>
      <c r="CWX1332" s="4" t="s">
        <v>2876</v>
      </c>
      <c r="CWY1332" s="4" t="s">
        <v>2876</v>
      </c>
      <c r="CWZ1332" s="4" t="s">
        <v>2876</v>
      </c>
      <c r="CXA1332" s="4" t="s">
        <v>2876</v>
      </c>
      <c r="CXB1332" s="4" t="s">
        <v>2876</v>
      </c>
      <c r="CXC1332" s="4" t="s">
        <v>2876</v>
      </c>
      <c r="CXD1332" s="4" t="s">
        <v>2876</v>
      </c>
      <c r="CXE1332" s="4" t="s">
        <v>2876</v>
      </c>
      <c r="CXF1332" s="4" t="s">
        <v>2876</v>
      </c>
      <c r="CXG1332" s="4" t="s">
        <v>2876</v>
      </c>
      <c r="CXH1332" s="4" t="s">
        <v>2876</v>
      </c>
      <c r="CXI1332" s="4" t="s">
        <v>2876</v>
      </c>
      <c r="CXJ1332" s="4" t="s">
        <v>2876</v>
      </c>
      <c r="CXK1332" s="4" t="s">
        <v>2876</v>
      </c>
      <c r="CXL1332" s="4" t="s">
        <v>2876</v>
      </c>
      <c r="CXM1332" s="4" t="s">
        <v>2876</v>
      </c>
      <c r="CXN1332" s="4" t="s">
        <v>2876</v>
      </c>
      <c r="CXO1332" s="4" t="s">
        <v>2876</v>
      </c>
      <c r="CXP1332" s="4" t="s">
        <v>2876</v>
      </c>
      <c r="CXQ1332" s="4" t="s">
        <v>2876</v>
      </c>
      <c r="CXR1332" s="4" t="s">
        <v>2876</v>
      </c>
      <c r="CXS1332" s="4" t="s">
        <v>2876</v>
      </c>
      <c r="CXT1332" s="4" t="s">
        <v>2876</v>
      </c>
      <c r="CXU1332" s="4" t="s">
        <v>2876</v>
      </c>
      <c r="CXV1332" s="4" t="s">
        <v>2876</v>
      </c>
      <c r="CXW1332" s="4" t="s">
        <v>2876</v>
      </c>
      <c r="CXX1332" s="4" t="s">
        <v>2876</v>
      </c>
      <c r="CXY1332" s="4" t="s">
        <v>2876</v>
      </c>
      <c r="CXZ1332" s="4" t="s">
        <v>2876</v>
      </c>
      <c r="CYA1332" s="4" t="s">
        <v>2876</v>
      </c>
      <c r="CYB1332" s="4" t="s">
        <v>2876</v>
      </c>
      <c r="CYC1332" s="4" t="s">
        <v>2876</v>
      </c>
      <c r="CYD1332" s="4" t="s">
        <v>2876</v>
      </c>
      <c r="CYE1332" s="4" t="s">
        <v>2876</v>
      </c>
      <c r="CYF1332" s="4" t="s">
        <v>2876</v>
      </c>
      <c r="CYG1332" s="4" t="s">
        <v>2876</v>
      </c>
      <c r="CYH1332" s="4" t="s">
        <v>2876</v>
      </c>
      <c r="CYI1332" s="4" t="s">
        <v>2876</v>
      </c>
      <c r="CYJ1332" s="4" t="s">
        <v>2876</v>
      </c>
      <c r="CYK1332" s="4" t="s">
        <v>2876</v>
      </c>
      <c r="CYL1332" s="4" t="s">
        <v>2876</v>
      </c>
      <c r="CYM1332" s="4" t="s">
        <v>2876</v>
      </c>
      <c r="CYN1332" s="4" t="s">
        <v>2876</v>
      </c>
      <c r="CYO1332" s="4" t="s">
        <v>2876</v>
      </c>
      <c r="CYP1332" s="4" t="s">
        <v>2876</v>
      </c>
      <c r="CYQ1332" s="4" t="s">
        <v>2876</v>
      </c>
      <c r="CYR1332" s="4" t="s">
        <v>2876</v>
      </c>
      <c r="CYS1332" s="4" t="s">
        <v>2876</v>
      </c>
      <c r="CYT1332" s="4" t="s">
        <v>2876</v>
      </c>
      <c r="CYU1332" s="4" t="s">
        <v>2876</v>
      </c>
      <c r="CYV1332" s="4" t="s">
        <v>2876</v>
      </c>
      <c r="CYW1332" s="4" t="s">
        <v>2876</v>
      </c>
      <c r="CYX1332" s="4" t="s">
        <v>2876</v>
      </c>
      <c r="CYY1332" s="4" t="s">
        <v>2876</v>
      </c>
      <c r="CYZ1332" s="4" t="s">
        <v>2876</v>
      </c>
      <c r="CZA1332" s="4" t="s">
        <v>2876</v>
      </c>
      <c r="CZB1332" s="4" t="s">
        <v>2876</v>
      </c>
      <c r="CZC1332" s="4" t="s">
        <v>2876</v>
      </c>
      <c r="CZD1332" s="4" t="s">
        <v>2876</v>
      </c>
      <c r="CZE1332" s="4" t="s">
        <v>2876</v>
      </c>
      <c r="CZF1332" s="4" t="s">
        <v>2876</v>
      </c>
      <c r="CZG1332" s="4" t="s">
        <v>2876</v>
      </c>
      <c r="CZH1332" s="4" t="s">
        <v>2876</v>
      </c>
      <c r="CZI1332" s="4" t="s">
        <v>2876</v>
      </c>
      <c r="CZJ1332" s="4" t="s">
        <v>2876</v>
      </c>
      <c r="CZK1332" s="4" t="s">
        <v>2876</v>
      </c>
      <c r="CZL1332" s="4" t="s">
        <v>2876</v>
      </c>
      <c r="CZM1332" s="4" t="s">
        <v>2876</v>
      </c>
      <c r="CZN1332" s="4" t="s">
        <v>2876</v>
      </c>
      <c r="CZO1332" s="4" t="s">
        <v>2876</v>
      </c>
      <c r="CZP1332" s="4" t="s">
        <v>2876</v>
      </c>
      <c r="CZQ1332" s="4" t="s">
        <v>2876</v>
      </c>
      <c r="CZR1332" s="4" t="s">
        <v>2876</v>
      </c>
      <c r="CZS1332" s="4" t="s">
        <v>2876</v>
      </c>
      <c r="CZT1332" s="4" t="s">
        <v>2876</v>
      </c>
      <c r="CZU1332" s="4" t="s">
        <v>2876</v>
      </c>
      <c r="CZV1332" s="4" t="s">
        <v>2876</v>
      </c>
      <c r="CZW1332" s="4" t="s">
        <v>2876</v>
      </c>
      <c r="CZX1332" s="4" t="s">
        <v>2876</v>
      </c>
      <c r="CZY1332" s="4" t="s">
        <v>2876</v>
      </c>
      <c r="CZZ1332" s="4" t="s">
        <v>2876</v>
      </c>
      <c r="DAA1332" s="4" t="s">
        <v>2876</v>
      </c>
      <c r="DAB1332" s="4" t="s">
        <v>2876</v>
      </c>
      <c r="DAC1332" s="4" t="s">
        <v>2876</v>
      </c>
      <c r="DAD1332" s="4" t="s">
        <v>2876</v>
      </c>
      <c r="DAE1332" s="4" t="s">
        <v>2876</v>
      </c>
      <c r="DAF1332" s="4" t="s">
        <v>2876</v>
      </c>
      <c r="DAG1332" s="4" t="s">
        <v>2876</v>
      </c>
      <c r="DAH1332" s="4" t="s">
        <v>2876</v>
      </c>
      <c r="DAI1332" s="4" t="s">
        <v>2876</v>
      </c>
      <c r="DAJ1332" s="4" t="s">
        <v>2876</v>
      </c>
      <c r="DAK1332" s="4" t="s">
        <v>2876</v>
      </c>
      <c r="DAL1332" s="4" t="s">
        <v>2876</v>
      </c>
      <c r="DAM1332" s="4" t="s">
        <v>2876</v>
      </c>
      <c r="DAN1332" s="4" t="s">
        <v>2876</v>
      </c>
      <c r="DAO1332" s="4" t="s">
        <v>2876</v>
      </c>
      <c r="DAP1332" s="4" t="s">
        <v>2876</v>
      </c>
      <c r="DAQ1332" s="4" t="s">
        <v>2876</v>
      </c>
      <c r="DAR1332" s="4" t="s">
        <v>2876</v>
      </c>
      <c r="DAS1332" s="4" t="s">
        <v>2876</v>
      </c>
      <c r="DAT1332" s="4" t="s">
        <v>2876</v>
      </c>
      <c r="DAU1332" s="4" t="s">
        <v>2876</v>
      </c>
      <c r="DAV1332" s="4" t="s">
        <v>2876</v>
      </c>
      <c r="DAW1332" s="4" t="s">
        <v>2876</v>
      </c>
      <c r="DAX1332" s="4" t="s">
        <v>2876</v>
      </c>
      <c r="DAY1332" s="4" t="s">
        <v>2876</v>
      </c>
      <c r="DAZ1332" s="4" t="s">
        <v>2876</v>
      </c>
      <c r="DBA1332" s="4" t="s">
        <v>2876</v>
      </c>
      <c r="DBB1332" s="4" t="s">
        <v>2876</v>
      </c>
      <c r="DBC1332" s="4" t="s">
        <v>2876</v>
      </c>
      <c r="DBD1332" s="4" t="s">
        <v>2876</v>
      </c>
      <c r="DBE1332" s="4" t="s">
        <v>2876</v>
      </c>
      <c r="DBF1332" s="4" t="s">
        <v>2876</v>
      </c>
      <c r="DBG1332" s="4" t="s">
        <v>2876</v>
      </c>
      <c r="DBH1332" s="4" t="s">
        <v>2876</v>
      </c>
      <c r="DBI1332" s="4" t="s">
        <v>2876</v>
      </c>
      <c r="DBJ1332" s="4" t="s">
        <v>2876</v>
      </c>
      <c r="DBK1332" s="4" t="s">
        <v>2876</v>
      </c>
      <c r="DBL1332" s="4" t="s">
        <v>2876</v>
      </c>
      <c r="DBM1332" s="4" t="s">
        <v>2876</v>
      </c>
      <c r="DBN1332" s="4" t="s">
        <v>2876</v>
      </c>
      <c r="DBO1332" s="4" t="s">
        <v>2876</v>
      </c>
      <c r="DBP1332" s="4" t="s">
        <v>2876</v>
      </c>
      <c r="DBQ1332" s="4" t="s">
        <v>2876</v>
      </c>
      <c r="DBR1332" s="4" t="s">
        <v>2876</v>
      </c>
      <c r="DBS1332" s="4" t="s">
        <v>2876</v>
      </c>
      <c r="DBT1332" s="4" t="s">
        <v>2876</v>
      </c>
      <c r="DBU1332" s="4" t="s">
        <v>2876</v>
      </c>
      <c r="DBV1332" s="4" t="s">
        <v>2876</v>
      </c>
      <c r="DBW1332" s="4" t="s">
        <v>2876</v>
      </c>
      <c r="DBX1332" s="4" t="s">
        <v>2876</v>
      </c>
      <c r="DBY1332" s="4" t="s">
        <v>2876</v>
      </c>
      <c r="DBZ1332" s="4" t="s">
        <v>2876</v>
      </c>
      <c r="DCA1332" s="4" t="s">
        <v>2876</v>
      </c>
      <c r="DCB1332" s="4" t="s">
        <v>2876</v>
      </c>
      <c r="DCC1332" s="4" t="s">
        <v>2876</v>
      </c>
      <c r="DCD1332" s="4" t="s">
        <v>2876</v>
      </c>
      <c r="DCE1332" s="4" t="s">
        <v>2876</v>
      </c>
      <c r="DCF1332" s="4" t="s">
        <v>2876</v>
      </c>
      <c r="DCG1332" s="4" t="s">
        <v>2876</v>
      </c>
      <c r="DCH1332" s="4" t="s">
        <v>2876</v>
      </c>
      <c r="DCI1332" s="4" t="s">
        <v>2876</v>
      </c>
      <c r="DCJ1332" s="4" t="s">
        <v>2876</v>
      </c>
      <c r="DCK1332" s="4" t="s">
        <v>2876</v>
      </c>
      <c r="DCL1332" s="4" t="s">
        <v>2876</v>
      </c>
      <c r="DCM1332" s="4" t="s">
        <v>2876</v>
      </c>
      <c r="DCN1332" s="4" t="s">
        <v>2876</v>
      </c>
      <c r="DCO1332" s="4" t="s">
        <v>2876</v>
      </c>
      <c r="DCP1332" s="4" t="s">
        <v>2876</v>
      </c>
      <c r="DCQ1332" s="4" t="s">
        <v>2876</v>
      </c>
      <c r="DCR1332" s="4" t="s">
        <v>2876</v>
      </c>
      <c r="DCS1332" s="4" t="s">
        <v>2876</v>
      </c>
      <c r="DCT1332" s="4" t="s">
        <v>2876</v>
      </c>
      <c r="DCU1332" s="4" t="s">
        <v>2876</v>
      </c>
      <c r="DCV1332" s="4" t="s">
        <v>2876</v>
      </c>
      <c r="DCW1332" s="4" t="s">
        <v>2876</v>
      </c>
      <c r="DCX1332" s="4" t="s">
        <v>2876</v>
      </c>
      <c r="DCY1332" s="4" t="s">
        <v>2876</v>
      </c>
      <c r="DCZ1332" s="4" t="s">
        <v>2876</v>
      </c>
      <c r="DDA1332" s="4" t="s">
        <v>2876</v>
      </c>
      <c r="DDB1332" s="4" t="s">
        <v>2876</v>
      </c>
      <c r="DDC1332" s="4" t="s">
        <v>2876</v>
      </c>
      <c r="DDD1332" s="4" t="s">
        <v>2876</v>
      </c>
      <c r="DDE1332" s="4" t="s">
        <v>2876</v>
      </c>
      <c r="DDF1332" s="4" t="s">
        <v>2876</v>
      </c>
      <c r="DDG1332" s="4" t="s">
        <v>2876</v>
      </c>
      <c r="DDH1332" s="4" t="s">
        <v>2876</v>
      </c>
      <c r="DDI1332" s="4" t="s">
        <v>2876</v>
      </c>
      <c r="DDJ1332" s="4" t="s">
        <v>2876</v>
      </c>
      <c r="DDK1332" s="4" t="s">
        <v>2876</v>
      </c>
      <c r="DDL1332" s="4" t="s">
        <v>2876</v>
      </c>
      <c r="DDM1332" s="4" t="s">
        <v>2876</v>
      </c>
      <c r="DDN1332" s="4" t="s">
        <v>2876</v>
      </c>
      <c r="DDO1332" s="4" t="s">
        <v>2876</v>
      </c>
      <c r="DDP1332" s="4" t="s">
        <v>2876</v>
      </c>
      <c r="DDQ1332" s="4" t="s">
        <v>2876</v>
      </c>
      <c r="DDR1332" s="4" t="s">
        <v>2876</v>
      </c>
      <c r="DDS1332" s="4" t="s">
        <v>2876</v>
      </c>
      <c r="DDT1332" s="4" t="s">
        <v>2876</v>
      </c>
      <c r="DDU1332" s="4" t="s">
        <v>2876</v>
      </c>
      <c r="DDV1332" s="4" t="s">
        <v>2876</v>
      </c>
      <c r="DDW1332" s="4" t="s">
        <v>2876</v>
      </c>
      <c r="DDX1332" s="4" t="s">
        <v>2876</v>
      </c>
      <c r="DDY1332" s="4" t="s">
        <v>2876</v>
      </c>
      <c r="DDZ1332" s="4" t="s">
        <v>2876</v>
      </c>
      <c r="DEA1332" s="4" t="s">
        <v>2876</v>
      </c>
      <c r="DEB1332" s="4" t="s">
        <v>2876</v>
      </c>
      <c r="DEC1332" s="4" t="s">
        <v>2876</v>
      </c>
      <c r="DED1332" s="4" t="s">
        <v>2876</v>
      </c>
      <c r="DEE1332" s="4" t="s">
        <v>2876</v>
      </c>
      <c r="DEF1332" s="4" t="s">
        <v>2876</v>
      </c>
      <c r="DEG1332" s="4" t="s">
        <v>2876</v>
      </c>
      <c r="DEH1332" s="4" t="s">
        <v>2876</v>
      </c>
      <c r="DEI1332" s="4" t="s">
        <v>2876</v>
      </c>
      <c r="DEJ1332" s="4" t="s">
        <v>2876</v>
      </c>
      <c r="DEK1332" s="4" t="s">
        <v>2876</v>
      </c>
      <c r="DEL1332" s="4" t="s">
        <v>2876</v>
      </c>
      <c r="DEM1332" s="4" t="s">
        <v>2876</v>
      </c>
      <c r="DEN1332" s="4" t="s">
        <v>2876</v>
      </c>
      <c r="DEO1332" s="4" t="s">
        <v>2876</v>
      </c>
      <c r="DEP1332" s="4" t="s">
        <v>2876</v>
      </c>
      <c r="DEQ1332" s="4" t="s">
        <v>2876</v>
      </c>
      <c r="DER1332" s="4" t="s">
        <v>2876</v>
      </c>
      <c r="DES1332" s="4" t="s">
        <v>2876</v>
      </c>
      <c r="DET1332" s="4" t="s">
        <v>2876</v>
      </c>
      <c r="DEU1332" s="4" t="s">
        <v>2876</v>
      </c>
      <c r="DEV1332" s="4" t="s">
        <v>2876</v>
      </c>
      <c r="DEW1332" s="4" t="s">
        <v>2876</v>
      </c>
      <c r="DEX1332" s="4" t="s">
        <v>2876</v>
      </c>
      <c r="DEY1332" s="4" t="s">
        <v>2876</v>
      </c>
      <c r="DEZ1332" s="4" t="s">
        <v>2876</v>
      </c>
      <c r="DFA1332" s="4" t="s">
        <v>2876</v>
      </c>
      <c r="DFB1332" s="4" t="s">
        <v>2876</v>
      </c>
      <c r="DFC1332" s="4" t="s">
        <v>2876</v>
      </c>
      <c r="DFD1332" s="4" t="s">
        <v>2876</v>
      </c>
      <c r="DFE1332" s="4" t="s">
        <v>2876</v>
      </c>
      <c r="DFF1332" s="4" t="s">
        <v>2876</v>
      </c>
      <c r="DFG1332" s="4" t="s">
        <v>2876</v>
      </c>
      <c r="DFH1332" s="4" t="s">
        <v>2876</v>
      </c>
      <c r="DFI1332" s="4" t="s">
        <v>2876</v>
      </c>
      <c r="DFJ1332" s="4" t="s">
        <v>2876</v>
      </c>
      <c r="DFK1332" s="4" t="s">
        <v>2876</v>
      </c>
      <c r="DFL1332" s="4" t="s">
        <v>2876</v>
      </c>
      <c r="DFM1332" s="4" t="s">
        <v>2876</v>
      </c>
      <c r="DFN1332" s="4" t="s">
        <v>2876</v>
      </c>
      <c r="DFO1332" s="4" t="s">
        <v>2876</v>
      </c>
      <c r="DFP1332" s="4" t="s">
        <v>2876</v>
      </c>
      <c r="DFQ1332" s="4" t="s">
        <v>2876</v>
      </c>
      <c r="DFR1332" s="4" t="s">
        <v>2876</v>
      </c>
      <c r="DFS1332" s="4" t="s">
        <v>2876</v>
      </c>
      <c r="DFT1332" s="4" t="s">
        <v>2876</v>
      </c>
      <c r="DFU1332" s="4" t="s">
        <v>2876</v>
      </c>
      <c r="DFV1332" s="4" t="s">
        <v>2876</v>
      </c>
      <c r="DFW1332" s="4" t="s">
        <v>2876</v>
      </c>
      <c r="DFX1332" s="4" t="s">
        <v>2876</v>
      </c>
      <c r="DFY1332" s="4" t="s">
        <v>2876</v>
      </c>
      <c r="DFZ1332" s="4" t="s">
        <v>2876</v>
      </c>
      <c r="DGA1332" s="4" t="s">
        <v>2876</v>
      </c>
      <c r="DGB1332" s="4" t="s">
        <v>2876</v>
      </c>
      <c r="DGC1332" s="4" t="s">
        <v>2876</v>
      </c>
      <c r="DGD1332" s="4" t="s">
        <v>2876</v>
      </c>
      <c r="DGE1332" s="4" t="s">
        <v>2876</v>
      </c>
      <c r="DGF1332" s="4" t="s">
        <v>2876</v>
      </c>
      <c r="DGG1332" s="4" t="s">
        <v>2876</v>
      </c>
      <c r="DGH1332" s="4" t="s">
        <v>2876</v>
      </c>
      <c r="DGI1332" s="4" t="s">
        <v>2876</v>
      </c>
      <c r="DGJ1332" s="4" t="s">
        <v>2876</v>
      </c>
      <c r="DGK1332" s="4" t="s">
        <v>2876</v>
      </c>
      <c r="DGL1332" s="4" t="s">
        <v>2876</v>
      </c>
      <c r="DGM1332" s="4" t="s">
        <v>2876</v>
      </c>
      <c r="DGN1332" s="4" t="s">
        <v>2876</v>
      </c>
      <c r="DGO1332" s="4" t="s">
        <v>2876</v>
      </c>
      <c r="DGP1332" s="4" t="s">
        <v>2876</v>
      </c>
      <c r="DGQ1332" s="4" t="s">
        <v>2876</v>
      </c>
      <c r="DGR1332" s="4" t="s">
        <v>2876</v>
      </c>
      <c r="DGS1332" s="4" t="s">
        <v>2876</v>
      </c>
      <c r="DGT1332" s="4" t="s">
        <v>2876</v>
      </c>
      <c r="DGU1332" s="4" t="s">
        <v>2876</v>
      </c>
      <c r="DGV1332" s="4" t="s">
        <v>2876</v>
      </c>
      <c r="DGW1332" s="4" t="s">
        <v>2876</v>
      </c>
      <c r="DGX1332" s="4" t="s">
        <v>2876</v>
      </c>
      <c r="DGY1332" s="4" t="s">
        <v>2876</v>
      </c>
      <c r="DGZ1332" s="4" t="s">
        <v>2876</v>
      </c>
      <c r="DHA1332" s="4" t="s">
        <v>2876</v>
      </c>
      <c r="DHB1332" s="4" t="s">
        <v>2876</v>
      </c>
      <c r="DHC1332" s="4" t="s">
        <v>2876</v>
      </c>
      <c r="DHD1332" s="4" t="s">
        <v>2876</v>
      </c>
      <c r="DHE1332" s="4" t="s">
        <v>2876</v>
      </c>
      <c r="DHF1332" s="4" t="s">
        <v>2876</v>
      </c>
      <c r="DHG1332" s="4" t="s">
        <v>2876</v>
      </c>
      <c r="DHH1332" s="4" t="s">
        <v>2876</v>
      </c>
      <c r="DHI1332" s="4" t="s">
        <v>2876</v>
      </c>
      <c r="DHJ1332" s="4" t="s">
        <v>2876</v>
      </c>
      <c r="DHK1332" s="4" t="s">
        <v>2876</v>
      </c>
      <c r="DHL1332" s="4" t="s">
        <v>2876</v>
      </c>
      <c r="DHM1332" s="4" t="s">
        <v>2876</v>
      </c>
      <c r="DHN1332" s="4" t="s">
        <v>2876</v>
      </c>
      <c r="DHO1332" s="4" t="s">
        <v>2876</v>
      </c>
      <c r="DHP1332" s="4" t="s">
        <v>2876</v>
      </c>
      <c r="DHQ1332" s="4" t="s">
        <v>2876</v>
      </c>
      <c r="DHR1332" s="4" t="s">
        <v>2876</v>
      </c>
      <c r="DHS1332" s="4" t="s">
        <v>2876</v>
      </c>
      <c r="DHT1332" s="4" t="s">
        <v>2876</v>
      </c>
      <c r="DHU1332" s="4" t="s">
        <v>2876</v>
      </c>
      <c r="DHV1332" s="4" t="s">
        <v>2876</v>
      </c>
      <c r="DHW1332" s="4" t="s">
        <v>2876</v>
      </c>
      <c r="DHX1332" s="4" t="s">
        <v>2876</v>
      </c>
      <c r="DHY1332" s="4" t="s">
        <v>2876</v>
      </c>
      <c r="DHZ1332" s="4" t="s">
        <v>2876</v>
      </c>
      <c r="DIA1332" s="4" t="s">
        <v>2876</v>
      </c>
      <c r="DIB1332" s="4" t="s">
        <v>2876</v>
      </c>
      <c r="DIC1332" s="4" t="s">
        <v>2876</v>
      </c>
      <c r="DID1332" s="4" t="s">
        <v>2876</v>
      </c>
      <c r="DIE1332" s="4" t="s">
        <v>2876</v>
      </c>
      <c r="DIF1332" s="4" t="s">
        <v>2876</v>
      </c>
      <c r="DIG1332" s="4" t="s">
        <v>2876</v>
      </c>
      <c r="DIH1332" s="4" t="s">
        <v>2876</v>
      </c>
      <c r="DII1332" s="4" t="s">
        <v>2876</v>
      </c>
      <c r="DIJ1332" s="4" t="s">
        <v>2876</v>
      </c>
      <c r="DIK1332" s="4" t="s">
        <v>2876</v>
      </c>
      <c r="DIL1332" s="4" t="s">
        <v>2876</v>
      </c>
      <c r="DIM1332" s="4" t="s">
        <v>2876</v>
      </c>
      <c r="DIN1332" s="4" t="s">
        <v>2876</v>
      </c>
      <c r="DIO1332" s="4" t="s">
        <v>2876</v>
      </c>
      <c r="DIP1332" s="4" t="s">
        <v>2876</v>
      </c>
      <c r="DIQ1332" s="4" t="s">
        <v>2876</v>
      </c>
      <c r="DIR1332" s="4" t="s">
        <v>2876</v>
      </c>
      <c r="DIS1332" s="4" t="s">
        <v>2876</v>
      </c>
      <c r="DIT1332" s="4" t="s">
        <v>2876</v>
      </c>
      <c r="DIU1332" s="4" t="s">
        <v>2876</v>
      </c>
      <c r="DIV1332" s="4" t="s">
        <v>2876</v>
      </c>
      <c r="DIW1332" s="4" t="s">
        <v>2876</v>
      </c>
      <c r="DIX1332" s="4" t="s">
        <v>2876</v>
      </c>
      <c r="DIY1332" s="4" t="s">
        <v>2876</v>
      </c>
      <c r="DIZ1332" s="4" t="s">
        <v>2876</v>
      </c>
      <c r="DJA1332" s="4" t="s">
        <v>2876</v>
      </c>
      <c r="DJB1332" s="4" t="s">
        <v>2876</v>
      </c>
      <c r="DJC1332" s="4" t="s">
        <v>2876</v>
      </c>
      <c r="DJD1332" s="4" t="s">
        <v>2876</v>
      </c>
      <c r="DJE1332" s="4" t="s">
        <v>2876</v>
      </c>
      <c r="DJF1332" s="4" t="s">
        <v>2876</v>
      </c>
      <c r="DJG1332" s="4" t="s">
        <v>2876</v>
      </c>
      <c r="DJH1332" s="4" t="s">
        <v>2876</v>
      </c>
      <c r="DJI1332" s="4" t="s">
        <v>2876</v>
      </c>
      <c r="DJJ1332" s="4" t="s">
        <v>2876</v>
      </c>
      <c r="DJK1332" s="4" t="s">
        <v>2876</v>
      </c>
      <c r="DJL1332" s="4" t="s">
        <v>2876</v>
      </c>
      <c r="DJM1332" s="4" t="s">
        <v>2876</v>
      </c>
      <c r="DJN1332" s="4" t="s">
        <v>2876</v>
      </c>
      <c r="DJO1332" s="4" t="s">
        <v>2876</v>
      </c>
      <c r="DJP1332" s="4" t="s">
        <v>2876</v>
      </c>
      <c r="DJQ1332" s="4" t="s">
        <v>2876</v>
      </c>
      <c r="DJR1332" s="4" t="s">
        <v>2876</v>
      </c>
      <c r="DJS1332" s="4" t="s">
        <v>2876</v>
      </c>
      <c r="DJT1332" s="4" t="s">
        <v>2876</v>
      </c>
      <c r="DJU1332" s="4" t="s">
        <v>2876</v>
      </c>
      <c r="DJV1332" s="4" t="s">
        <v>2876</v>
      </c>
      <c r="DJW1332" s="4" t="s">
        <v>2876</v>
      </c>
      <c r="DJX1332" s="4" t="s">
        <v>2876</v>
      </c>
      <c r="DJY1332" s="4" t="s">
        <v>2876</v>
      </c>
      <c r="DJZ1332" s="4" t="s">
        <v>2876</v>
      </c>
      <c r="DKA1332" s="4" t="s">
        <v>2876</v>
      </c>
      <c r="DKB1332" s="4" t="s">
        <v>2876</v>
      </c>
      <c r="DKC1332" s="4" t="s">
        <v>2876</v>
      </c>
      <c r="DKD1332" s="4" t="s">
        <v>2876</v>
      </c>
      <c r="DKE1332" s="4" t="s">
        <v>2876</v>
      </c>
      <c r="DKF1332" s="4" t="s">
        <v>2876</v>
      </c>
      <c r="DKG1332" s="4" t="s">
        <v>2876</v>
      </c>
      <c r="DKH1332" s="4" t="s">
        <v>2876</v>
      </c>
      <c r="DKI1332" s="4" t="s">
        <v>2876</v>
      </c>
      <c r="DKJ1332" s="4" t="s">
        <v>2876</v>
      </c>
      <c r="DKK1332" s="4" t="s">
        <v>2876</v>
      </c>
      <c r="DKL1332" s="4" t="s">
        <v>2876</v>
      </c>
      <c r="DKM1332" s="4" t="s">
        <v>2876</v>
      </c>
      <c r="DKN1332" s="4" t="s">
        <v>2876</v>
      </c>
      <c r="DKO1332" s="4" t="s">
        <v>2876</v>
      </c>
      <c r="DKP1332" s="4" t="s">
        <v>2876</v>
      </c>
      <c r="DKQ1332" s="4" t="s">
        <v>2876</v>
      </c>
      <c r="DKR1332" s="4" t="s">
        <v>2876</v>
      </c>
      <c r="DKS1332" s="4" t="s">
        <v>2876</v>
      </c>
      <c r="DKT1332" s="4" t="s">
        <v>2876</v>
      </c>
      <c r="DKU1332" s="4" t="s">
        <v>2876</v>
      </c>
      <c r="DKV1332" s="4" t="s">
        <v>2876</v>
      </c>
      <c r="DKW1332" s="4" t="s">
        <v>2876</v>
      </c>
      <c r="DKX1332" s="4" t="s">
        <v>2876</v>
      </c>
      <c r="DKY1332" s="4" t="s">
        <v>2876</v>
      </c>
      <c r="DKZ1332" s="4" t="s">
        <v>2876</v>
      </c>
      <c r="DLA1332" s="4" t="s">
        <v>2876</v>
      </c>
      <c r="DLB1332" s="4" t="s">
        <v>2876</v>
      </c>
      <c r="DLC1332" s="4" t="s">
        <v>2876</v>
      </c>
      <c r="DLD1332" s="4" t="s">
        <v>2876</v>
      </c>
      <c r="DLE1332" s="4" t="s">
        <v>2876</v>
      </c>
      <c r="DLF1332" s="4" t="s">
        <v>2876</v>
      </c>
      <c r="DLG1332" s="4" t="s">
        <v>2876</v>
      </c>
      <c r="DLH1332" s="4" t="s">
        <v>2876</v>
      </c>
      <c r="DLI1332" s="4" t="s">
        <v>2876</v>
      </c>
      <c r="DLJ1332" s="4" t="s">
        <v>2876</v>
      </c>
      <c r="DLK1332" s="4" t="s">
        <v>2876</v>
      </c>
      <c r="DLL1332" s="4" t="s">
        <v>2876</v>
      </c>
      <c r="DLM1332" s="4" t="s">
        <v>2876</v>
      </c>
      <c r="DLN1332" s="4" t="s">
        <v>2876</v>
      </c>
      <c r="DLO1332" s="4" t="s">
        <v>2876</v>
      </c>
      <c r="DLP1332" s="4" t="s">
        <v>2876</v>
      </c>
      <c r="DLQ1332" s="4" t="s">
        <v>2876</v>
      </c>
      <c r="DLR1332" s="4" t="s">
        <v>2876</v>
      </c>
      <c r="DLS1332" s="4" t="s">
        <v>2876</v>
      </c>
      <c r="DLT1332" s="4" t="s">
        <v>2876</v>
      </c>
      <c r="DLU1332" s="4" t="s">
        <v>2876</v>
      </c>
      <c r="DLV1332" s="4" t="s">
        <v>2876</v>
      </c>
      <c r="DLW1332" s="4" t="s">
        <v>2876</v>
      </c>
      <c r="DLX1332" s="4" t="s">
        <v>2876</v>
      </c>
      <c r="DLY1332" s="4" t="s">
        <v>2876</v>
      </c>
      <c r="DLZ1332" s="4" t="s">
        <v>2876</v>
      </c>
      <c r="DMA1332" s="4" t="s">
        <v>2876</v>
      </c>
      <c r="DMB1332" s="4" t="s">
        <v>2876</v>
      </c>
      <c r="DMC1332" s="4" t="s">
        <v>2876</v>
      </c>
      <c r="DMD1332" s="4" t="s">
        <v>2876</v>
      </c>
      <c r="DME1332" s="4" t="s">
        <v>2876</v>
      </c>
      <c r="DMF1332" s="4" t="s">
        <v>2876</v>
      </c>
      <c r="DMG1332" s="4" t="s">
        <v>2876</v>
      </c>
      <c r="DMH1332" s="4" t="s">
        <v>2876</v>
      </c>
      <c r="DMI1332" s="4" t="s">
        <v>2876</v>
      </c>
      <c r="DMJ1332" s="4" t="s">
        <v>2876</v>
      </c>
      <c r="DMK1332" s="4" t="s">
        <v>2876</v>
      </c>
      <c r="DML1332" s="4" t="s">
        <v>2876</v>
      </c>
      <c r="DMM1332" s="4" t="s">
        <v>2876</v>
      </c>
      <c r="DMN1332" s="4" t="s">
        <v>2876</v>
      </c>
      <c r="DMO1332" s="4" t="s">
        <v>2876</v>
      </c>
      <c r="DMP1332" s="4" t="s">
        <v>2876</v>
      </c>
      <c r="DMQ1332" s="4" t="s">
        <v>2876</v>
      </c>
      <c r="DMR1332" s="4" t="s">
        <v>2876</v>
      </c>
      <c r="DMS1332" s="4" t="s">
        <v>2876</v>
      </c>
      <c r="DMT1332" s="4" t="s">
        <v>2876</v>
      </c>
      <c r="DMU1332" s="4" t="s">
        <v>2876</v>
      </c>
      <c r="DMV1332" s="4" t="s">
        <v>2876</v>
      </c>
      <c r="DMW1332" s="4" t="s">
        <v>2876</v>
      </c>
      <c r="DMX1332" s="4" t="s">
        <v>2876</v>
      </c>
      <c r="DMY1332" s="4" t="s">
        <v>2876</v>
      </c>
      <c r="DMZ1332" s="4" t="s">
        <v>2876</v>
      </c>
      <c r="DNA1332" s="4" t="s">
        <v>2876</v>
      </c>
      <c r="DNB1332" s="4" t="s">
        <v>2876</v>
      </c>
      <c r="DNC1332" s="4" t="s">
        <v>2876</v>
      </c>
      <c r="DND1332" s="4" t="s">
        <v>2876</v>
      </c>
      <c r="DNE1332" s="4" t="s">
        <v>2876</v>
      </c>
      <c r="DNF1332" s="4" t="s">
        <v>2876</v>
      </c>
      <c r="DNG1332" s="4" t="s">
        <v>2876</v>
      </c>
      <c r="DNH1332" s="4" t="s">
        <v>2876</v>
      </c>
      <c r="DNI1332" s="4" t="s">
        <v>2876</v>
      </c>
      <c r="DNJ1332" s="4" t="s">
        <v>2876</v>
      </c>
      <c r="DNK1332" s="4" t="s">
        <v>2876</v>
      </c>
      <c r="DNL1332" s="4" t="s">
        <v>2876</v>
      </c>
      <c r="DNM1332" s="4" t="s">
        <v>2876</v>
      </c>
      <c r="DNN1332" s="4" t="s">
        <v>2876</v>
      </c>
      <c r="DNO1332" s="4" t="s">
        <v>2876</v>
      </c>
      <c r="DNP1332" s="4" t="s">
        <v>2876</v>
      </c>
      <c r="DNQ1332" s="4" t="s">
        <v>2876</v>
      </c>
      <c r="DNR1332" s="4" t="s">
        <v>2876</v>
      </c>
      <c r="DNS1332" s="4" t="s">
        <v>2876</v>
      </c>
      <c r="DNT1332" s="4" t="s">
        <v>2876</v>
      </c>
      <c r="DNU1332" s="4" t="s">
        <v>2876</v>
      </c>
      <c r="DNV1332" s="4" t="s">
        <v>2876</v>
      </c>
      <c r="DNW1332" s="4" t="s">
        <v>2876</v>
      </c>
      <c r="DNX1332" s="4" t="s">
        <v>2876</v>
      </c>
      <c r="DNY1332" s="4" t="s">
        <v>2876</v>
      </c>
      <c r="DNZ1332" s="4" t="s">
        <v>2876</v>
      </c>
      <c r="DOA1332" s="4" t="s">
        <v>2876</v>
      </c>
      <c r="DOB1332" s="4" t="s">
        <v>2876</v>
      </c>
      <c r="DOC1332" s="4" t="s">
        <v>2876</v>
      </c>
      <c r="DOD1332" s="4" t="s">
        <v>2876</v>
      </c>
      <c r="DOE1332" s="4" t="s">
        <v>2876</v>
      </c>
      <c r="DOF1332" s="4" t="s">
        <v>2876</v>
      </c>
      <c r="DOG1332" s="4" t="s">
        <v>2876</v>
      </c>
      <c r="DOH1332" s="4" t="s">
        <v>2876</v>
      </c>
      <c r="DOI1332" s="4" t="s">
        <v>2876</v>
      </c>
      <c r="DOJ1332" s="4" t="s">
        <v>2876</v>
      </c>
      <c r="DOK1332" s="4" t="s">
        <v>2876</v>
      </c>
      <c r="DOL1332" s="4" t="s">
        <v>2876</v>
      </c>
      <c r="DOM1332" s="4" t="s">
        <v>2876</v>
      </c>
      <c r="DON1332" s="4" t="s">
        <v>2876</v>
      </c>
      <c r="DOO1332" s="4" t="s">
        <v>2876</v>
      </c>
      <c r="DOP1332" s="4" t="s">
        <v>2876</v>
      </c>
      <c r="DOQ1332" s="4" t="s">
        <v>2876</v>
      </c>
      <c r="DOR1332" s="4" t="s">
        <v>2876</v>
      </c>
      <c r="DOS1332" s="4" t="s">
        <v>2876</v>
      </c>
      <c r="DOT1332" s="4" t="s">
        <v>2876</v>
      </c>
      <c r="DOU1332" s="4" t="s">
        <v>2876</v>
      </c>
      <c r="DOV1332" s="4" t="s">
        <v>2876</v>
      </c>
      <c r="DOW1332" s="4" t="s">
        <v>2876</v>
      </c>
      <c r="DOX1332" s="4" t="s">
        <v>2876</v>
      </c>
      <c r="DOY1332" s="4" t="s">
        <v>2876</v>
      </c>
      <c r="DOZ1332" s="4" t="s">
        <v>2876</v>
      </c>
      <c r="DPA1332" s="4" t="s">
        <v>2876</v>
      </c>
      <c r="DPB1332" s="4" t="s">
        <v>2876</v>
      </c>
      <c r="DPC1332" s="4" t="s">
        <v>2876</v>
      </c>
      <c r="DPD1332" s="4" t="s">
        <v>2876</v>
      </c>
      <c r="DPE1332" s="4" t="s">
        <v>2876</v>
      </c>
      <c r="DPF1332" s="4" t="s">
        <v>2876</v>
      </c>
      <c r="DPG1332" s="4" t="s">
        <v>2876</v>
      </c>
      <c r="DPH1332" s="4" t="s">
        <v>2876</v>
      </c>
      <c r="DPI1332" s="4" t="s">
        <v>2876</v>
      </c>
      <c r="DPJ1332" s="4" t="s">
        <v>2876</v>
      </c>
      <c r="DPK1332" s="4" t="s">
        <v>2876</v>
      </c>
      <c r="DPL1332" s="4" t="s">
        <v>2876</v>
      </c>
      <c r="DPM1332" s="4" t="s">
        <v>2876</v>
      </c>
      <c r="DPN1332" s="4" t="s">
        <v>2876</v>
      </c>
      <c r="DPO1332" s="4" t="s">
        <v>2876</v>
      </c>
      <c r="DPP1332" s="4" t="s">
        <v>2876</v>
      </c>
      <c r="DPQ1332" s="4" t="s">
        <v>2876</v>
      </c>
      <c r="DPR1332" s="4" t="s">
        <v>2876</v>
      </c>
      <c r="DPS1332" s="4" t="s">
        <v>2876</v>
      </c>
      <c r="DPT1332" s="4" t="s">
        <v>2876</v>
      </c>
      <c r="DPU1332" s="4" t="s">
        <v>2876</v>
      </c>
      <c r="DPV1332" s="4" t="s">
        <v>2876</v>
      </c>
      <c r="DPW1332" s="4" t="s">
        <v>2876</v>
      </c>
      <c r="DPX1332" s="4" t="s">
        <v>2876</v>
      </c>
      <c r="DPY1332" s="4" t="s">
        <v>2876</v>
      </c>
      <c r="DPZ1332" s="4" t="s">
        <v>2876</v>
      </c>
      <c r="DQA1332" s="4" t="s">
        <v>2876</v>
      </c>
      <c r="DQB1332" s="4" t="s">
        <v>2876</v>
      </c>
      <c r="DQC1332" s="4" t="s">
        <v>2876</v>
      </c>
      <c r="DQD1332" s="4" t="s">
        <v>2876</v>
      </c>
      <c r="DQE1332" s="4" t="s">
        <v>2876</v>
      </c>
      <c r="DQF1332" s="4" t="s">
        <v>2876</v>
      </c>
      <c r="DQG1332" s="4" t="s">
        <v>2876</v>
      </c>
      <c r="DQH1332" s="4" t="s">
        <v>2876</v>
      </c>
      <c r="DQI1332" s="4" t="s">
        <v>2876</v>
      </c>
      <c r="DQJ1332" s="4" t="s">
        <v>2876</v>
      </c>
      <c r="DQK1332" s="4" t="s">
        <v>2876</v>
      </c>
      <c r="DQL1332" s="4" t="s">
        <v>2876</v>
      </c>
      <c r="DQM1332" s="4" t="s">
        <v>2876</v>
      </c>
      <c r="DQN1332" s="4" t="s">
        <v>2876</v>
      </c>
      <c r="DQO1332" s="4" t="s">
        <v>2876</v>
      </c>
      <c r="DQP1332" s="4" t="s">
        <v>2876</v>
      </c>
      <c r="DQQ1332" s="4" t="s">
        <v>2876</v>
      </c>
      <c r="DQR1332" s="4" t="s">
        <v>2876</v>
      </c>
      <c r="DQS1332" s="4" t="s">
        <v>2876</v>
      </c>
      <c r="DQT1332" s="4" t="s">
        <v>2876</v>
      </c>
      <c r="DQU1332" s="4" t="s">
        <v>2876</v>
      </c>
      <c r="DQV1332" s="4" t="s">
        <v>2876</v>
      </c>
      <c r="DQW1332" s="4" t="s">
        <v>2876</v>
      </c>
      <c r="DQX1332" s="4" t="s">
        <v>2876</v>
      </c>
      <c r="DQY1332" s="4" t="s">
        <v>2876</v>
      </c>
      <c r="DQZ1332" s="4" t="s">
        <v>2876</v>
      </c>
      <c r="DRA1332" s="4" t="s">
        <v>2876</v>
      </c>
      <c r="DRB1332" s="4" t="s">
        <v>2876</v>
      </c>
      <c r="DRC1332" s="4" t="s">
        <v>2876</v>
      </c>
      <c r="DRD1332" s="4" t="s">
        <v>2876</v>
      </c>
      <c r="DRE1332" s="4" t="s">
        <v>2876</v>
      </c>
      <c r="DRF1332" s="4" t="s">
        <v>2876</v>
      </c>
      <c r="DRG1332" s="4" t="s">
        <v>2876</v>
      </c>
      <c r="DRH1332" s="4" t="s">
        <v>2876</v>
      </c>
      <c r="DRI1332" s="4" t="s">
        <v>2876</v>
      </c>
      <c r="DRJ1332" s="4" t="s">
        <v>2876</v>
      </c>
      <c r="DRK1332" s="4" t="s">
        <v>2876</v>
      </c>
      <c r="DRL1332" s="4" t="s">
        <v>2876</v>
      </c>
      <c r="DRM1332" s="4" t="s">
        <v>2876</v>
      </c>
      <c r="DRN1332" s="4" t="s">
        <v>2876</v>
      </c>
      <c r="DRO1332" s="4" t="s">
        <v>2876</v>
      </c>
      <c r="DRP1332" s="4" t="s">
        <v>2876</v>
      </c>
      <c r="DRQ1332" s="4" t="s">
        <v>2876</v>
      </c>
      <c r="DRR1332" s="4" t="s">
        <v>2876</v>
      </c>
      <c r="DRS1332" s="4" t="s">
        <v>2876</v>
      </c>
      <c r="DRT1332" s="4" t="s">
        <v>2876</v>
      </c>
      <c r="DRU1332" s="4" t="s">
        <v>2876</v>
      </c>
      <c r="DRV1332" s="4" t="s">
        <v>2876</v>
      </c>
      <c r="DRW1332" s="4" t="s">
        <v>2876</v>
      </c>
      <c r="DRX1332" s="4" t="s">
        <v>2876</v>
      </c>
      <c r="DRY1332" s="4" t="s">
        <v>2876</v>
      </c>
      <c r="DRZ1332" s="4" t="s">
        <v>2876</v>
      </c>
      <c r="DSA1332" s="4" t="s">
        <v>2876</v>
      </c>
      <c r="DSB1332" s="4" t="s">
        <v>2876</v>
      </c>
      <c r="DSC1332" s="4" t="s">
        <v>2876</v>
      </c>
      <c r="DSD1332" s="4" t="s">
        <v>2876</v>
      </c>
      <c r="DSE1332" s="4" t="s">
        <v>2876</v>
      </c>
      <c r="DSF1332" s="4" t="s">
        <v>2876</v>
      </c>
      <c r="DSG1332" s="4" t="s">
        <v>2876</v>
      </c>
      <c r="DSH1332" s="4" t="s">
        <v>2876</v>
      </c>
      <c r="DSI1332" s="4" t="s">
        <v>2876</v>
      </c>
      <c r="DSJ1332" s="4" t="s">
        <v>2876</v>
      </c>
      <c r="DSK1332" s="4" t="s">
        <v>2876</v>
      </c>
      <c r="DSL1332" s="4" t="s">
        <v>2876</v>
      </c>
      <c r="DSM1332" s="4" t="s">
        <v>2876</v>
      </c>
      <c r="DSN1332" s="4" t="s">
        <v>2876</v>
      </c>
      <c r="DSO1332" s="4" t="s">
        <v>2876</v>
      </c>
      <c r="DSP1332" s="4" t="s">
        <v>2876</v>
      </c>
      <c r="DSQ1332" s="4" t="s">
        <v>2876</v>
      </c>
      <c r="DSR1332" s="4" t="s">
        <v>2876</v>
      </c>
      <c r="DSS1332" s="4" t="s">
        <v>2876</v>
      </c>
      <c r="DST1332" s="4" t="s">
        <v>2876</v>
      </c>
      <c r="DSU1332" s="4" t="s">
        <v>2876</v>
      </c>
      <c r="DSV1332" s="4" t="s">
        <v>2876</v>
      </c>
      <c r="DSW1332" s="4" t="s">
        <v>2876</v>
      </c>
      <c r="DSX1332" s="4" t="s">
        <v>2876</v>
      </c>
      <c r="DSY1332" s="4" t="s">
        <v>2876</v>
      </c>
      <c r="DSZ1332" s="4" t="s">
        <v>2876</v>
      </c>
      <c r="DTA1332" s="4" t="s">
        <v>2876</v>
      </c>
      <c r="DTB1332" s="4" t="s">
        <v>2876</v>
      </c>
      <c r="DTC1332" s="4" t="s">
        <v>2876</v>
      </c>
      <c r="DTD1332" s="4" t="s">
        <v>2876</v>
      </c>
      <c r="DTE1332" s="4" t="s">
        <v>2876</v>
      </c>
      <c r="DTF1332" s="4" t="s">
        <v>2876</v>
      </c>
      <c r="DTG1332" s="4" t="s">
        <v>2876</v>
      </c>
      <c r="DTH1332" s="4" t="s">
        <v>2876</v>
      </c>
      <c r="DTI1332" s="4" t="s">
        <v>2876</v>
      </c>
      <c r="DTJ1332" s="4" t="s">
        <v>2876</v>
      </c>
      <c r="DTK1332" s="4" t="s">
        <v>2876</v>
      </c>
      <c r="DTL1332" s="4" t="s">
        <v>2876</v>
      </c>
      <c r="DTM1332" s="4" t="s">
        <v>2876</v>
      </c>
      <c r="DTN1332" s="4" t="s">
        <v>2876</v>
      </c>
      <c r="DTO1332" s="4" t="s">
        <v>2876</v>
      </c>
      <c r="DTP1332" s="4" t="s">
        <v>2876</v>
      </c>
      <c r="DTQ1332" s="4" t="s">
        <v>2876</v>
      </c>
      <c r="DTR1332" s="4" t="s">
        <v>2876</v>
      </c>
      <c r="DTS1332" s="4" t="s">
        <v>2876</v>
      </c>
      <c r="DTT1332" s="4" t="s">
        <v>2876</v>
      </c>
      <c r="DTU1332" s="4" t="s">
        <v>2876</v>
      </c>
      <c r="DTV1332" s="4" t="s">
        <v>2876</v>
      </c>
      <c r="DTW1332" s="4" t="s">
        <v>2876</v>
      </c>
      <c r="DTX1332" s="4" t="s">
        <v>2876</v>
      </c>
      <c r="DTY1332" s="4" t="s">
        <v>2876</v>
      </c>
      <c r="DTZ1332" s="4" t="s">
        <v>2876</v>
      </c>
      <c r="DUA1332" s="4" t="s">
        <v>2876</v>
      </c>
      <c r="DUB1332" s="4" t="s">
        <v>2876</v>
      </c>
      <c r="DUC1332" s="4" t="s">
        <v>2876</v>
      </c>
      <c r="DUD1332" s="4" t="s">
        <v>2876</v>
      </c>
      <c r="DUE1332" s="4" t="s">
        <v>2876</v>
      </c>
      <c r="DUF1332" s="4" t="s">
        <v>2876</v>
      </c>
      <c r="DUG1332" s="4" t="s">
        <v>2876</v>
      </c>
      <c r="DUH1332" s="4" t="s">
        <v>2876</v>
      </c>
      <c r="DUI1332" s="4" t="s">
        <v>2876</v>
      </c>
      <c r="DUJ1332" s="4" t="s">
        <v>2876</v>
      </c>
      <c r="DUK1332" s="4" t="s">
        <v>2876</v>
      </c>
      <c r="DUL1332" s="4" t="s">
        <v>2876</v>
      </c>
      <c r="DUM1332" s="4" t="s">
        <v>2876</v>
      </c>
      <c r="DUN1332" s="4" t="s">
        <v>2876</v>
      </c>
      <c r="DUO1332" s="4" t="s">
        <v>2876</v>
      </c>
      <c r="DUP1332" s="4" t="s">
        <v>2876</v>
      </c>
      <c r="DUQ1332" s="4" t="s">
        <v>2876</v>
      </c>
      <c r="DUR1332" s="4" t="s">
        <v>2876</v>
      </c>
      <c r="DUS1332" s="4" t="s">
        <v>2876</v>
      </c>
      <c r="DUT1332" s="4" t="s">
        <v>2876</v>
      </c>
      <c r="DUU1332" s="4" t="s">
        <v>2876</v>
      </c>
      <c r="DUV1332" s="4" t="s">
        <v>2876</v>
      </c>
      <c r="DUW1332" s="4" t="s">
        <v>2876</v>
      </c>
      <c r="DUX1332" s="4" t="s">
        <v>2876</v>
      </c>
      <c r="DUY1332" s="4" t="s">
        <v>2876</v>
      </c>
      <c r="DUZ1332" s="4" t="s">
        <v>2876</v>
      </c>
      <c r="DVA1332" s="4" t="s">
        <v>2876</v>
      </c>
      <c r="DVB1332" s="4" t="s">
        <v>2876</v>
      </c>
      <c r="DVC1332" s="4" t="s">
        <v>2876</v>
      </c>
      <c r="DVD1332" s="4" t="s">
        <v>2876</v>
      </c>
      <c r="DVE1332" s="4" t="s">
        <v>2876</v>
      </c>
      <c r="DVF1332" s="4" t="s">
        <v>2876</v>
      </c>
      <c r="DVG1332" s="4" t="s">
        <v>2876</v>
      </c>
      <c r="DVH1332" s="4" t="s">
        <v>2876</v>
      </c>
      <c r="DVI1332" s="4" t="s">
        <v>2876</v>
      </c>
      <c r="DVJ1332" s="4" t="s">
        <v>2876</v>
      </c>
      <c r="DVK1332" s="4" t="s">
        <v>2876</v>
      </c>
      <c r="DVL1332" s="4" t="s">
        <v>2876</v>
      </c>
      <c r="DVM1332" s="4" t="s">
        <v>2876</v>
      </c>
      <c r="DVN1332" s="4" t="s">
        <v>2876</v>
      </c>
      <c r="DVO1332" s="4" t="s">
        <v>2876</v>
      </c>
      <c r="DVP1332" s="4" t="s">
        <v>2876</v>
      </c>
      <c r="DVQ1332" s="4" t="s">
        <v>2876</v>
      </c>
      <c r="DVR1332" s="4" t="s">
        <v>2876</v>
      </c>
      <c r="DVS1332" s="4" t="s">
        <v>2876</v>
      </c>
      <c r="DVT1332" s="4" t="s">
        <v>2876</v>
      </c>
      <c r="DVU1332" s="4" t="s">
        <v>2876</v>
      </c>
      <c r="DVV1332" s="4" t="s">
        <v>2876</v>
      </c>
      <c r="DVW1332" s="4" t="s">
        <v>2876</v>
      </c>
      <c r="DVX1332" s="4" t="s">
        <v>2876</v>
      </c>
      <c r="DVY1332" s="4" t="s">
        <v>2876</v>
      </c>
      <c r="DVZ1332" s="4" t="s">
        <v>2876</v>
      </c>
      <c r="DWA1332" s="4" t="s">
        <v>2876</v>
      </c>
      <c r="DWB1332" s="4" t="s">
        <v>2876</v>
      </c>
      <c r="DWC1332" s="4" t="s">
        <v>2876</v>
      </c>
      <c r="DWD1332" s="4" t="s">
        <v>2876</v>
      </c>
      <c r="DWE1332" s="4" t="s">
        <v>2876</v>
      </c>
      <c r="DWF1332" s="4" t="s">
        <v>2876</v>
      </c>
      <c r="DWG1332" s="4" t="s">
        <v>2876</v>
      </c>
      <c r="DWH1332" s="4" t="s">
        <v>2876</v>
      </c>
      <c r="DWI1332" s="4" t="s">
        <v>2876</v>
      </c>
      <c r="DWJ1332" s="4" t="s">
        <v>2876</v>
      </c>
      <c r="DWK1332" s="4" t="s">
        <v>2876</v>
      </c>
      <c r="DWL1332" s="4" t="s">
        <v>2876</v>
      </c>
      <c r="DWM1332" s="4" t="s">
        <v>2876</v>
      </c>
      <c r="DWN1332" s="4" t="s">
        <v>2876</v>
      </c>
      <c r="DWO1332" s="4" t="s">
        <v>2876</v>
      </c>
      <c r="DWP1332" s="4" t="s">
        <v>2876</v>
      </c>
      <c r="DWQ1332" s="4" t="s">
        <v>2876</v>
      </c>
      <c r="DWR1332" s="4" t="s">
        <v>2876</v>
      </c>
      <c r="DWS1332" s="4" t="s">
        <v>2876</v>
      </c>
      <c r="DWT1332" s="4" t="s">
        <v>2876</v>
      </c>
      <c r="DWU1332" s="4" t="s">
        <v>2876</v>
      </c>
      <c r="DWV1332" s="4" t="s">
        <v>2876</v>
      </c>
      <c r="DWW1332" s="4" t="s">
        <v>2876</v>
      </c>
      <c r="DWX1332" s="4" t="s">
        <v>2876</v>
      </c>
      <c r="DWY1332" s="4" t="s">
        <v>2876</v>
      </c>
      <c r="DWZ1332" s="4" t="s">
        <v>2876</v>
      </c>
      <c r="DXA1332" s="4" t="s">
        <v>2876</v>
      </c>
      <c r="DXB1332" s="4" t="s">
        <v>2876</v>
      </c>
      <c r="DXC1332" s="4" t="s">
        <v>2876</v>
      </c>
      <c r="DXD1332" s="4" t="s">
        <v>2876</v>
      </c>
      <c r="DXE1332" s="4" t="s">
        <v>2876</v>
      </c>
      <c r="DXF1332" s="4" t="s">
        <v>2876</v>
      </c>
      <c r="DXG1332" s="4" t="s">
        <v>2876</v>
      </c>
      <c r="DXH1332" s="4" t="s">
        <v>2876</v>
      </c>
      <c r="DXI1332" s="4" t="s">
        <v>2876</v>
      </c>
      <c r="DXJ1332" s="4" t="s">
        <v>2876</v>
      </c>
      <c r="DXK1332" s="4" t="s">
        <v>2876</v>
      </c>
      <c r="DXL1332" s="4" t="s">
        <v>2876</v>
      </c>
      <c r="DXM1332" s="4" t="s">
        <v>2876</v>
      </c>
      <c r="DXN1332" s="4" t="s">
        <v>2876</v>
      </c>
      <c r="DXO1332" s="4" t="s">
        <v>2876</v>
      </c>
      <c r="DXP1332" s="4" t="s">
        <v>2876</v>
      </c>
      <c r="DXQ1332" s="4" t="s">
        <v>2876</v>
      </c>
      <c r="DXR1332" s="4" t="s">
        <v>2876</v>
      </c>
      <c r="DXS1332" s="4" t="s">
        <v>2876</v>
      </c>
      <c r="DXT1332" s="4" t="s">
        <v>2876</v>
      </c>
      <c r="DXU1332" s="4" t="s">
        <v>2876</v>
      </c>
      <c r="DXV1332" s="4" t="s">
        <v>2876</v>
      </c>
      <c r="DXW1332" s="4" t="s">
        <v>2876</v>
      </c>
      <c r="DXX1332" s="4" t="s">
        <v>2876</v>
      </c>
      <c r="DXY1332" s="4" t="s">
        <v>2876</v>
      </c>
      <c r="DXZ1332" s="4" t="s">
        <v>2876</v>
      </c>
      <c r="DYA1332" s="4" t="s">
        <v>2876</v>
      </c>
      <c r="DYB1332" s="4" t="s">
        <v>2876</v>
      </c>
      <c r="DYC1332" s="4" t="s">
        <v>2876</v>
      </c>
      <c r="DYD1332" s="4" t="s">
        <v>2876</v>
      </c>
      <c r="DYE1332" s="4" t="s">
        <v>2876</v>
      </c>
      <c r="DYF1332" s="4" t="s">
        <v>2876</v>
      </c>
      <c r="DYG1332" s="4" t="s">
        <v>2876</v>
      </c>
      <c r="DYH1332" s="4" t="s">
        <v>2876</v>
      </c>
      <c r="DYI1332" s="4" t="s">
        <v>2876</v>
      </c>
      <c r="DYJ1332" s="4" t="s">
        <v>2876</v>
      </c>
      <c r="DYK1332" s="4" t="s">
        <v>2876</v>
      </c>
      <c r="DYL1332" s="4" t="s">
        <v>2876</v>
      </c>
      <c r="DYM1332" s="4" t="s">
        <v>2876</v>
      </c>
      <c r="DYN1332" s="4" t="s">
        <v>2876</v>
      </c>
      <c r="DYO1332" s="4" t="s">
        <v>2876</v>
      </c>
      <c r="DYP1332" s="4" t="s">
        <v>2876</v>
      </c>
      <c r="DYQ1332" s="4" t="s">
        <v>2876</v>
      </c>
      <c r="DYR1332" s="4" t="s">
        <v>2876</v>
      </c>
      <c r="DYS1332" s="4" t="s">
        <v>2876</v>
      </c>
      <c r="DYT1332" s="4" t="s">
        <v>2876</v>
      </c>
      <c r="DYU1332" s="4" t="s">
        <v>2876</v>
      </c>
      <c r="DYV1332" s="4" t="s">
        <v>2876</v>
      </c>
      <c r="DYW1332" s="4" t="s">
        <v>2876</v>
      </c>
      <c r="DYX1332" s="4" t="s">
        <v>2876</v>
      </c>
      <c r="DYY1332" s="4" t="s">
        <v>2876</v>
      </c>
      <c r="DYZ1332" s="4" t="s">
        <v>2876</v>
      </c>
      <c r="DZA1332" s="4" t="s">
        <v>2876</v>
      </c>
      <c r="DZB1332" s="4" t="s">
        <v>2876</v>
      </c>
      <c r="DZC1332" s="4" t="s">
        <v>2876</v>
      </c>
      <c r="DZD1332" s="4" t="s">
        <v>2876</v>
      </c>
      <c r="DZE1332" s="4" t="s">
        <v>2876</v>
      </c>
      <c r="DZF1332" s="4" t="s">
        <v>2876</v>
      </c>
      <c r="DZG1332" s="4" t="s">
        <v>2876</v>
      </c>
      <c r="DZH1332" s="4" t="s">
        <v>2876</v>
      </c>
      <c r="DZI1332" s="4" t="s">
        <v>2876</v>
      </c>
      <c r="DZJ1332" s="4" t="s">
        <v>2876</v>
      </c>
      <c r="DZK1332" s="4" t="s">
        <v>2876</v>
      </c>
      <c r="DZL1332" s="4" t="s">
        <v>2876</v>
      </c>
      <c r="DZM1332" s="4" t="s">
        <v>2876</v>
      </c>
      <c r="DZN1332" s="4" t="s">
        <v>2876</v>
      </c>
      <c r="DZO1332" s="4" t="s">
        <v>2876</v>
      </c>
      <c r="DZP1332" s="4" t="s">
        <v>2876</v>
      </c>
      <c r="DZQ1332" s="4" t="s">
        <v>2876</v>
      </c>
      <c r="DZR1332" s="4" t="s">
        <v>2876</v>
      </c>
      <c r="DZS1332" s="4" t="s">
        <v>2876</v>
      </c>
      <c r="DZT1332" s="4" t="s">
        <v>2876</v>
      </c>
      <c r="DZU1332" s="4" t="s">
        <v>2876</v>
      </c>
      <c r="DZV1332" s="4" t="s">
        <v>2876</v>
      </c>
      <c r="DZW1332" s="4" t="s">
        <v>2876</v>
      </c>
      <c r="DZX1332" s="4" t="s">
        <v>2876</v>
      </c>
      <c r="DZY1332" s="4" t="s">
        <v>2876</v>
      </c>
      <c r="DZZ1332" s="4" t="s">
        <v>2876</v>
      </c>
      <c r="EAA1332" s="4" t="s">
        <v>2876</v>
      </c>
      <c r="EAB1332" s="4" t="s">
        <v>2876</v>
      </c>
      <c r="EAC1332" s="4" t="s">
        <v>2876</v>
      </c>
      <c r="EAD1332" s="4" t="s">
        <v>2876</v>
      </c>
      <c r="EAE1332" s="4" t="s">
        <v>2876</v>
      </c>
      <c r="EAF1332" s="4" t="s">
        <v>2876</v>
      </c>
      <c r="EAG1332" s="4" t="s">
        <v>2876</v>
      </c>
      <c r="EAH1332" s="4" t="s">
        <v>2876</v>
      </c>
      <c r="EAI1332" s="4" t="s">
        <v>2876</v>
      </c>
      <c r="EAJ1332" s="4" t="s">
        <v>2876</v>
      </c>
      <c r="EAK1332" s="4" t="s">
        <v>2876</v>
      </c>
      <c r="EAL1332" s="4" t="s">
        <v>2876</v>
      </c>
      <c r="EAM1332" s="4" t="s">
        <v>2876</v>
      </c>
      <c r="EAN1332" s="4" t="s">
        <v>2876</v>
      </c>
      <c r="EAO1332" s="4" t="s">
        <v>2876</v>
      </c>
      <c r="EAP1332" s="4" t="s">
        <v>2876</v>
      </c>
      <c r="EAQ1332" s="4" t="s">
        <v>2876</v>
      </c>
      <c r="EAR1332" s="4" t="s">
        <v>2876</v>
      </c>
      <c r="EAS1332" s="4" t="s">
        <v>2876</v>
      </c>
      <c r="EAT1332" s="4" t="s">
        <v>2876</v>
      </c>
      <c r="EAU1332" s="4" t="s">
        <v>2876</v>
      </c>
      <c r="EAV1332" s="4" t="s">
        <v>2876</v>
      </c>
      <c r="EAW1332" s="4" t="s">
        <v>2876</v>
      </c>
      <c r="EAX1332" s="4" t="s">
        <v>2876</v>
      </c>
      <c r="EAY1332" s="4" t="s">
        <v>2876</v>
      </c>
      <c r="EAZ1332" s="4" t="s">
        <v>2876</v>
      </c>
      <c r="EBA1332" s="4" t="s">
        <v>2876</v>
      </c>
      <c r="EBB1332" s="4" t="s">
        <v>2876</v>
      </c>
      <c r="EBC1332" s="4" t="s">
        <v>2876</v>
      </c>
      <c r="EBD1332" s="4" t="s">
        <v>2876</v>
      </c>
      <c r="EBE1332" s="4" t="s">
        <v>2876</v>
      </c>
      <c r="EBF1332" s="4" t="s">
        <v>2876</v>
      </c>
      <c r="EBG1332" s="4" t="s">
        <v>2876</v>
      </c>
      <c r="EBH1332" s="4" t="s">
        <v>2876</v>
      </c>
      <c r="EBI1332" s="4" t="s">
        <v>2876</v>
      </c>
      <c r="EBJ1332" s="4" t="s">
        <v>2876</v>
      </c>
      <c r="EBK1332" s="4" t="s">
        <v>2876</v>
      </c>
      <c r="EBL1332" s="4" t="s">
        <v>2876</v>
      </c>
      <c r="EBM1332" s="4" t="s">
        <v>2876</v>
      </c>
      <c r="EBN1332" s="4" t="s">
        <v>2876</v>
      </c>
      <c r="EBO1332" s="4" t="s">
        <v>2876</v>
      </c>
      <c r="EBP1332" s="4" t="s">
        <v>2876</v>
      </c>
      <c r="EBQ1332" s="4" t="s">
        <v>2876</v>
      </c>
      <c r="EBR1332" s="4" t="s">
        <v>2876</v>
      </c>
      <c r="EBS1332" s="4" t="s">
        <v>2876</v>
      </c>
      <c r="EBT1332" s="4" t="s">
        <v>2876</v>
      </c>
      <c r="EBU1332" s="4" t="s">
        <v>2876</v>
      </c>
      <c r="EBV1332" s="4" t="s">
        <v>2876</v>
      </c>
      <c r="EBW1332" s="4" t="s">
        <v>2876</v>
      </c>
      <c r="EBX1332" s="4" t="s">
        <v>2876</v>
      </c>
      <c r="EBY1332" s="4" t="s">
        <v>2876</v>
      </c>
      <c r="EBZ1332" s="4" t="s">
        <v>2876</v>
      </c>
      <c r="ECA1332" s="4" t="s">
        <v>2876</v>
      </c>
      <c r="ECB1332" s="4" t="s">
        <v>2876</v>
      </c>
      <c r="ECC1332" s="4" t="s">
        <v>2876</v>
      </c>
      <c r="ECD1332" s="4" t="s">
        <v>2876</v>
      </c>
      <c r="ECE1332" s="4" t="s">
        <v>2876</v>
      </c>
      <c r="ECF1332" s="4" t="s">
        <v>2876</v>
      </c>
      <c r="ECG1332" s="4" t="s">
        <v>2876</v>
      </c>
      <c r="ECH1332" s="4" t="s">
        <v>2876</v>
      </c>
      <c r="ECI1332" s="4" t="s">
        <v>2876</v>
      </c>
      <c r="ECJ1332" s="4" t="s">
        <v>2876</v>
      </c>
      <c r="ECK1332" s="4" t="s">
        <v>2876</v>
      </c>
      <c r="ECL1332" s="4" t="s">
        <v>2876</v>
      </c>
      <c r="ECM1332" s="4" t="s">
        <v>2876</v>
      </c>
      <c r="ECN1332" s="4" t="s">
        <v>2876</v>
      </c>
      <c r="ECO1332" s="4" t="s">
        <v>2876</v>
      </c>
      <c r="ECP1332" s="4" t="s">
        <v>2876</v>
      </c>
      <c r="ECQ1332" s="4" t="s">
        <v>2876</v>
      </c>
      <c r="ECR1332" s="4" t="s">
        <v>2876</v>
      </c>
      <c r="ECS1332" s="4" t="s">
        <v>2876</v>
      </c>
      <c r="ECT1332" s="4" t="s">
        <v>2876</v>
      </c>
      <c r="ECU1332" s="4" t="s">
        <v>2876</v>
      </c>
      <c r="ECV1332" s="4" t="s">
        <v>2876</v>
      </c>
      <c r="ECW1332" s="4" t="s">
        <v>2876</v>
      </c>
      <c r="ECX1332" s="4" t="s">
        <v>2876</v>
      </c>
      <c r="ECY1332" s="4" t="s">
        <v>2876</v>
      </c>
      <c r="ECZ1332" s="4" t="s">
        <v>2876</v>
      </c>
      <c r="EDA1332" s="4" t="s">
        <v>2876</v>
      </c>
      <c r="EDB1332" s="4" t="s">
        <v>2876</v>
      </c>
      <c r="EDC1332" s="4" t="s">
        <v>2876</v>
      </c>
      <c r="EDD1332" s="4" t="s">
        <v>2876</v>
      </c>
      <c r="EDE1332" s="4" t="s">
        <v>2876</v>
      </c>
      <c r="EDF1332" s="4" t="s">
        <v>2876</v>
      </c>
      <c r="EDG1332" s="4" t="s">
        <v>2876</v>
      </c>
      <c r="EDH1332" s="4" t="s">
        <v>2876</v>
      </c>
      <c r="EDI1332" s="4" t="s">
        <v>2876</v>
      </c>
      <c r="EDJ1332" s="4" t="s">
        <v>2876</v>
      </c>
      <c r="EDK1332" s="4" t="s">
        <v>2876</v>
      </c>
      <c r="EDL1332" s="4" t="s">
        <v>2876</v>
      </c>
      <c r="EDM1332" s="4" t="s">
        <v>2876</v>
      </c>
      <c r="EDN1332" s="4" t="s">
        <v>2876</v>
      </c>
      <c r="EDO1332" s="4" t="s">
        <v>2876</v>
      </c>
      <c r="EDP1332" s="4" t="s">
        <v>2876</v>
      </c>
      <c r="EDQ1332" s="4" t="s">
        <v>2876</v>
      </c>
      <c r="EDR1332" s="4" t="s">
        <v>2876</v>
      </c>
      <c r="EDS1332" s="4" t="s">
        <v>2876</v>
      </c>
      <c r="EDT1332" s="4" t="s">
        <v>2876</v>
      </c>
      <c r="EDU1332" s="4" t="s">
        <v>2876</v>
      </c>
      <c r="EDV1332" s="4" t="s">
        <v>2876</v>
      </c>
      <c r="EDW1332" s="4" t="s">
        <v>2876</v>
      </c>
      <c r="EDX1332" s="4" t="s">
        <v>2876</v>
      </c>
      <c r="EDY1332" s="4" t="s">
        <v>2876</v>
      </c>
      <c r="EDZ1332" s="4" t="s">
        <v>2876</v>
      </c>
      <c r="EEA1332" s="4" t="s">
        <v>2876</v>
      </c>
      <c r="EEB1332" s="4" t="s">
        <v>2876</v>
      </c>
      <c r="EEC1332" s="4" t="s">
        <v>2876</v>
      </c>
      <c r="EED1332" s="4" t="s">
        <v>2876</v>
      </c>
      <c r="EEE1332" s="4" t="s">
        <v>2876</v>
      </c>
      <c r="EEF1332" s="4" t="s">
        <v>2876</v>
      </c>
      <c r="EEG1332" s="4" t="s">
        <v>2876</v>
      </c>
      <c r="EEH1332" s="4" t="s">
        <v>2876</v>
      </c>
      <c r="EEI1332" s="4" t="s">
        <v>2876</v>
      </c>
      <c r="EEJ1332" s="4" t="s">
        <v>2876</v>
      </c>
      <c r="EEK1332" s="4" t="s">
        <v>2876</v>
      </c>
      <c r="EEL1332" s="4" t="s">
        <v>2876</v>
      </c>
      <c r="EEM1332" s="4" t="s">
        <v>2876</v>
      </c>
      <c r="EEN1332" s="4" t="s">
        <v>2876</v>
      </c>
      <c r="EEO1332" s="4" t="s">
        <v>2876</v>
      </c>
      <c r="EEP1332" s="4" t="s">
        <v>2876</v>
      </c>
      <c r="EEQ1332" s="4" t="s">
        <v>2876</v>
      </c>
      <c r="EER1332" s="4" t="s">
        <v>2876</v>
      </c>
      <c r="EES1332" s="4" t="s">
        <v>2876</v>
      </c>
      <c r="EET1332" s="4" t="s">
        <v>2876</v>
      </c>
      <c r="EEU1332" s="4" t="s">
        <v>2876</v>
      </c>
      <c r="EEV1332" s="4" t="s">
        <v>2876</v>
      </c>
      <c r="EEW1332" s="4" t="s">
        <v>2876</v>
      </c>
      <c r="EEX1332" s="4" t="s">
        <v>2876</v>
      </c>
      <c r="EEY1332" s="4" t="s">
        <v>2876</v>
      </c>
      <c r="EEZ1332" s="4" t="s">
        <v>2876</v>
      </c>
      <c r="EFA1332" s="4" t="s">
        <v>2876</v>
      </c>
      <c r="EFB1332" s="4" t="s">
        <v>2876</v>
      </c>
      <c r="EFC1332" s="4" t="s">
        <v>2876</v>
      </c>
      <c r="EFD1332" s="4" t="s">
        <v>2876</v>
      </c>
      <c r="EFE1332" s="4" t="s">
        <v>2876</v>
      </c>
      <c r="EFF1332" s="4" t="s">
        <v>2876</v>
      </c>
      <c r="EFG1332" s="4" t="s">
        <v>2876</v>
      </c>
      <c r="EFH1332" s="4" t="s">
        <v>2876</v>
      </c>
      <c r="EFI1332" s="4" t="s">
        <v>2876</v>
      </c>
      <c r="EFJ1332" s="4" t="s">
        <v>2876</v>
      </c>
      <c r="EFK1332" s="4" t="s">
        <v>2876</v>
      </c>
      <c r="EFL1332" s="4" t="s">
        <v>2876</v>
      </c>
      <c r="EFM1332" s="4" t="s">
        <v>2876</v>
      </c>
      <c r="EFN1332" s="4" t="s">
        <v>2876</v>
      </c>
      <c r="EFO1332" s="4" t="s">
        <v>2876</v>
      </c>
      <c r="EFP1332" s="4" t="s">
        <v>2876</v>
      </c>
      <c r="EFQ1332" s="4" t="s">
        <v>2876</v>
      </c>
      <c r="EFR1332" s="4" t="s">
        <v>2876</v>
      </c>
      <c r="EFS1332" s="4" t="s">
        <v>2876</v>
      </c>
      <c r="EFT1332" s="4" t="s">
        <v>2876</v>
      </c>
      <c r="EFU1332" s="4" t="s">
        <v>2876</v>
      </c>
      <c r="EFV1332" s="4" t="s">
        <v>2876</v>
      </c>
      <c r="EFW1332" s="4" t="s">
        <v>2876</v>
      </c>
      <c r="EFX1332" s="4" t="s">
        <v>2876</v>
      </c>
      <c r="EFY1332" s="4" t="s">
        <v>2876</v>
      </c>
      <c r="EFZ1332" s="4" t="s">
        <v>2876</v>
      </c>
      <c r="EGA1332" s="4" t="s">
        <v>2876</v>
      </c>
      <c r="EGB1332" s="4" t="s">
        <v>2876</v>
      </c>
      <c r="EGC1332" s="4" t="s">
        <v>2876</v>
      </c>
      <c r="EGD1332" s="4" t="s">
        <v>2876</v>
      </c>
      <c r="EGE1332" s="4" t="s">
        <v>2876</v>
      </c>
      <c r="EGF1332" s="4" t="s">
        <v>2876</v>
      </c>
      <c r="EGG1332" s="4" t="s">
        <v>2876</v>
      </c>
      <c r="EGH1332" s="4" t="s">
        <v>2876</v>
      </c>
      <c r="EGI1332" s="4" t="s">
        <v>2876</v>
      </c>
      <c r="EGJ1332" s="4" t="s">
        <v>2876</v>
      </c>
      <c r="EGK1332" s="4" t="s">
        <v>2876</v>
      </c>
      <c r="EGL1332" s="4" t="s">
        <v>2876</v>
      </c>
      <c r="EGM1332" s="4" t="s">
        <v>2876</v>
      </c>
      <c r="EGN1332" s="4" t="s">
        <v>2876</v>
      </c>
      <c r="EGO1332" s="4" t="s">
        <v>2876</v>
      </c>
      <c r="EGP1332" s="4" t="s">
        <v>2876</v>
      </c>
      <c r="EGQ1332" s="4" t="s">
        <v>2876</v>
      </c>
      <c r="EGR1332" s="4" t="s">
        <v>2876</v>
      </c>
      <c r="EGS1332" s="4" t="s">
        <v>2876</v>
      </c>
      <c r="EGT1332" s="4" t="s">
        <v>2876</v>
      </c>
      <c r="EGU1332" s="4" t="s">
        <v>2876</v>
      </c>
      <c r="EGV1332" s="4" t="s">
        <v>2876</v>
      </c>
      <c r="EGW1332" s="4" t="s">
        <v>2876</v>
      </c>
      <c r="EGX1332" s="4" t="s">
        <v>2876</v>
      </c>
      <c r="EGY1332" s="4" t="s">
        <v>2876</v>
      </c>
      <c r="EGZ1332" s="4" t="s">
        <v>2876</v>
      </c>
      <c r="EHA1332" s="4" t="s">
        <v>2876</v>
      </c>
      <c r="EHB1332" s="4" t="s">
        <v>2876</v>
      </c>
      <c r="EHC1332" s="4" t="s">
        <v>2876</v>
      </c>
      <c r="EHD1332" s="4" t="s">
        <v>2876</v>
      </c>
      <c r="EHE1332" s="4" t="s">
        <v>2876</v>
      </c>
      <c r="EHF1332" s="4" t="s">
        <v>2876</v>
      </c>
      <c r="EHG1332" s="4" t="s">
        <v>2876</v>
      </c>
      <c r="EHH1332" s="4" t="s">
        <v>2876</v>
      </c>
      <c r="EHI1332" s="4" t="s">
        <v>2876</v>
      </c>
      <c r="EHJ1332" s="4" t="s">
        <v>2876</v>
      </c>
      <c r="EHK1332" s="4" t="s">
        <v>2876</v>
      </c>
      <c r="EHL1332" s="4" t="s">
        <v>2876</v>
      </c>
      <c r="EHM1332" s="4" t="s">
        <v>2876</v>
      </c>
      <c r="EHN1332" s="4" t="s">
        <v>2876</v>
      </c>
      <c r="EHO1332" s="4" t="s">
        <v>2876</v>
      </c>
      <c r="EHP1332" s="4" t="s">
        <v>2876</v>
      </c>
      <c r="EHQ1332" s="4" t="s">
        <v>2876</v>
      </c>
      <c r="EHR1332" s="4" t="s">
        <v>2876</v>
      </c>
      <c r="EHS1332" s="4" t="s">
        <v>2876</v>
      </c>
      <c r="EHT1332" s="4" t="s">
        <v>2876</v>
      </c>
      <c r="EHU1332" s="4" t="s">
        <v>2876</v>
      </c>
      <c r="EHV1332" s="4" t="s">
        <v>2876</v>
      </c>
      <c r="EHW1332" s="4" t="s">
        <v>2876</v>
      </c>
      <c r="EHX1332" s="4" t="s">
        <v>2876</v>
      </c>
      <c r="EHY1332" s="4" t="s">
        <v>2876</v>
      </c>
      <c r="EHZ1332" s="4" t="s">
        <v>2876</v>
      </c>
      <c r="EIA1332" s="4" t="s">
        <v>2876</v>
      </c>
      <c r="EIB1332" s="4" t="s">
        <v>2876</v>
      </c>
      <c r="EIC1332" s="4" t="s">
        <v>2876</v>
      </c>
      <c r="EID1332" s="4" t="s">
        <v>2876</v>
      </c>
      <c r="EIE1332" s="4" t="s">
        <v>2876</v>
      </c>
      <c r="EIF1332" s="4" t="s">
        <v>2876</v>
      </c>
      <c r="EIG1332" s="4" t="s">
        <v>2876</v>
      </c>
      <c r="EIH1332" s="4" t="s">
        <v>2876</v>
      </c>
      <c r="EII1332" s="4" t="s">
        <v>2876</v>
      </c>
      <c r="EIJ1332" s="4" t="s">
        <v>2876</v>
      </c>
      <c r="EIK1332" s="4" t="s">
        <v>2876</v>
      </c>
      <c r="EIL1332" s="4" t="s">
        <v>2876</v>
      </c>
      <c r="EIM1332" s="4" t="s">
        <v>2876</v>
      </c>
      <c r="EIN1332" s="4" t="s">
        <v>2876</v>
      </c>
      <c r="EIO1332" s="4" t="s">
        <v>2876</v>
      </c>
      <c r="EIP1332" s="4" t="s">
        <v>2876</v>
      </c>
      <c r="EIQ1332" s="4" t="s">
        <v>2876</v>
      </c>
      <c r="EIR1332" s="4" t="s">
        <v>2876</v>
      </c>
      <c r="EIS1332" s="4" t="s">
        <v>2876</v>
      </c>
      <c r="EIT1332" s="4" t="s">
        <v>2876</v>
      </c>
      <c r="EIU1332" s="4" t="s">
        <v>2876</v>
      </c>
      <c r="EIV1332" s="4" t="s">
        <v>2876</v>
      </c>
      <c r="EIW1332" s="4" t="s">
        <v>2876</v>
      </c>
      <c r="EIX1332" s="4" t="s">
        <v>2876</v>
      </c>
      <c r="EIY1332" s="4" t="s">
        <v>2876</v>
      </c>
      <c r="EIZ1332" s="4" t="s">
        <v>2876</v>
      </c>
      <c r="EJA1332" s="4" t="s">
        <v>2876</v>
      </c>
      <c r="EJB1332" s="4" t="s">
        <v>2876</v>
      </c>
      <c r="EJC1332" s="4" t="s">
        <v>2876</v>
      </c>
      <c r="EJD1332" s="4" t="s">
        <v>2876</v>
      </c>
      <c r="EJE1332" s="4" t="s">
        <v>2876</v>
      </c>
      <c r="EJF1332" s="4" t="s">
        <v>2876</v>
      </c>
      <c r="EJG1332" s="4" t="s">
        <v>2876</v>
      </c>
      <c r="EJH1332" s="4" t="s">
        <v>2876</v>
      </c>
      <c r="EJI1332" s="4" t="s">
        <v>2876</v>
      </c>
      <c r="EJJ1332" s="4" t="s">
        <v>2876</v>
      </c>
      <c r="EJK1332" s="4" t="s">
        <v>2876</v>
      </c>
      <c r="EJL1332" s="4" t="s">
        <v>2876</v>
      </c>
      <c r="EJM1332" s="4" t="s">
        <v>2876</v>
      </c>
      <c r="EJN1332" s="4" t="s">
        <v>2876</v>
      </c>
      <c r="EJO1332" s="4" t="s">
        <v>2876</v>
      </c>
      <c r="EJP1332" s="4" t="s">
        <v>2876</v>
      </c>
      <c r="EJQ1332" s="4" t="s">
        <v>2876</v>
      </c>
      <c r="EJR1332" s="4" t="s">
        <v>2876</v>
      </c>
      <c r="EJS1332" s="4" t="s">
        <v>2876</v>
      </c>
      <c r="EJT1332" s="4" t="s">
        <v>2876</v>
      </c>
      <c r="EJU1332" s="4" t="s">
        <v>2876</v>
      </c>
      <c r="EJV1332" s="4" t="s">
        <v>2876</v>
      </c>
      <c r="EJW1332" s="4" t="s">
        <v>2876</v>
      </c>
      <c r="EJX1332" s="4" t="s">
        <v>2876</v>
      </c>
      <c r="EJY1332" s="4" t="s">
        <v>2876</v>
      </c>
      <c r="EJZ1332" s="4" t="s">
        <v>2876</v>
      </c>
      <c r="EKA1332" s="4" t="s">
        <v>2876</v>
      </c>
      <c r="EKB1332" s="4" t="s">
        <v>2876</v>
      </c>
      <c r="EKC1332" s="4" t="s">
        <v>2876</v>
      </c>
      <c r="EKD1332" s="4" t="s">
        <v>2876</v>
      </c>
      <c r="EKE1332" s="4" t="s">
        <v>2876</v>
      </c>
      <c r="EKF1332" s="4" t="s">
        <v>2876</v>
      </c>
      <c r="EKG1332" s="4" t="s">
        <v>2876</v>
      </c>
      <c r="EKH1332" s="4" t="s">
        <v>2876</v>
      </c>
      <c r="EKI1332" s="4" t="s">
        <v>2876</v>
      </c>
      <c r="EKJ1332" s="4" t="s">
        <v>2876</v>
      </c>
      <c r="EKK1332" s="4" t="s">
        <v>2876</v>
      </c>
      <c r="EKL1332" s="4" t="s">
        <v>2876</v>
      </c>
      <c r="EKM1332" s="4" t="s">
        <v>2876</v>
      </c>
      <c r="EKN1332" s="4" t="s">
        <v>2876</v>
      </c>
      <c r="EKO1332" s="4" t="s">
        <v>2876</v>
      </c>
      <c r="EKP1332" s="4" t="s">
        <v>2876</v>
      </c>
      <c r="EKQ1332" s="4" t="s">
        <v>2876</v>
      </c>
      <c r="EKR1332" s="4" t="s">
        <v>2876</v>
      </c>
      <c r="EKS1332" s="4" t="s">
        <v>2876</v>
      </c>
      <c r="EKT1332" s="4" t="s">
        <v>2876</v>
      </c>
      <c r="EKU1332" s="4" t="s">
        <v>2876</v>
      </c>
      <c r="EKV1332" s="4" t="s">
        <v>2876</v>
      </c>
      <c r="EKW1332" s="4" t="s">
        <v>2876</v>
      </c>
      <c r="EKX1332" s="4" t="s">
        <v>2876</v>
      </c>
      <c r="EKY1332" s="4" t="s">
        <v>2876</v>
      </c>
      <c r="EKZ1332" s="4" t="s">
        <v>2876</v>
      </c>
      <c r="ELA1332" s="4" t="s">
        <v>2876</v>
      </c>
      <c r="ELB1332" s="4" t="s">
        <v>2876</v>
      </c>
      <c r="ELC1332" s="4" t="s">
        <v>2876</v>
      </c>
      <c r="ELD1332" s="4" t="s">
        <v>2876</v>
      </c>
      <c r="ELE1332" s="4" t="s">
        <v>2876</v>
      </c>
      <c r="ELF1332" s="4" t="s">
        <v>2876</v>
      </c>
      <c r="ELG1332" s="4" t="s">
        <v>2876</v>
      </c>
      <c r="ELH1332" s="4" t="s">
        <v>2876</v>
      </c>
      <c r="ELI1332" s="4" t="s">
        <v>2876</v>
      </c>
      <c r="ELJ1332" s="4" t="s">
        <v>2876</v>
      </c>
      <c r="ELK1332" s="4" t="s">
        <v>2876</v>
      </c>
      <c r="ELL1332" s="4" t="s">
        <v>2876</v>
      </c>
      <c r="ELM1332" s="4" t="s">
        <v>2876</v>
      </c>
      <c r="ELN1332" s="4" t="s">
        <v>2876</v>
      </c>
      <c r="ELO1332" s="4" t="s">
        <v>2876</v>
      </c>
      <c r="ELP1332" s="4" t="s">
        <v>2876</v>
      </c>
      <c r="ELQ1332" s="4" t="s">
        <v>2876</v>
      </c>
      <c r="ELR1332" s="4" t="s">
        <v>2876</v>
      </c>
      <c r="ELS1332" s="4" t="s">
        <v>2876</v>
      </c>
      <c r="ELT1332" s="4" t="s">
        <v>2876</v>
      </c>
      <c r="ELU1332" s="4" t="s">
        <v>2876</v>
      </c>
      <c r="ELV1332" s="4" t="s">
        <v>2876</v>
      </c>
      <c r="ELW1332" s="4" t="s">
        <v>2876</v>
      </c>
      <c r="ELX1332" s="4" t="s">
        <v>2876</v>
      </c>
      <c r="ELY1332" s="4" t="s">
        <v>2876</v>
      </c>
      <c r="ELZ1332" s="4" t="s">
        <v>2876</v>
      </c>
      <c r="EMA1332" s="4" t="s">
        <v>2876</v>
      </c>
      <c r="EMB1332" s="4" t="s">
        <v>2876</v>
      </c>
      <c r="EMC1332" s="4" t="s">
        <v>2876</v>
      </c>
      <c r="EMD1332" s="4" t="s">
        <v>2876</v>
      </c>
      <c r="EME1332" s="4" t="s">
        <v>2876</v>
      </c>
      <c r="EMF1332" s="4" t="s">
        <v>2876</v>
      </c>
      <c r="EMG1332" s="4" t="s">
        <v>2876</v>
      </c>
      <c r="EMH1332" s="4" t="s">
        <v>2876</v>
      </c>
      <c r="EMI1332" s="4" t="s">
        <v>2876</v>
      </c>
      <c r="EMJ1332" s="4" t="s">
        <v>2876</v>
      </c>
      <c r="EMK1332" s="4" t="s">
        <v>2876</v>
      </c>
      <c r="EML1332" s="4" t="s">
        <v>2876</v>
      </c>
      <c r="EMM1332" s="4" t="s">
        <v>2876</v>
      </c>
      <c r="EMN1332" s="4" t="s">
        <v>2876</v>
      </c>
      <c r="EMO1332" s="4" t="s">
        <v>2876</v>
      </c>
      <c r="EMP1332" s="4" t="s">
        <v>2876</v>
      </c>
      <c r="EMQ1332" s="4" t="s">
        <v>2876</v>
      </c>
      <c r="EMR1332" s="4" t="s">
        <v>2876</v>
      </c>
      <c r="EMS1332" s="4" t="s">
        <v>2876</v>
      </c>
      <c r="EMT1332" s="4" t="s">
        <v>2876</v>
      </c>
      <c r="EMU1332" s="4" t="s">
        <v>2876</v>
      </c>
      <c r="EMV1332" s="4" t="s">
        <v>2876</v>
      </c>
      <c r="EMW1332" s="4" t="s">
        <v>2876</v>
      </c>
      <c r="EMX1332" s="4" t="s">
        <v>2876</v>
      </c>
      <c r="EMY1332" s="4" t="s">
        <v>2876</v>
      </c>
      <c r="EMZ1332" s="4" t="s">
        <v>2876</v>
      </c>
      <c r="ENA1332" s="4" t="s">
        <v>2876</v>
      </c>
      <c r="ENB1332" s="4" t="s">
        <v>2876</v>
      </c>
      <c r="ENC1332" s="4" t="s">
        <v>2876</v>
      </c>
      <c r="END1332" s="4" t="s">
        <v>2876</v>
      </c>
      <c r="ENE1332" s="4" t="s">
        <v>2876</v>
      </c>
      <c r="ENF1332" s="4" t="s">
        <v>2876</v>
      </c>
      <c r="ENG1332" s="4" t="s">
        <v>2876</v>
      </c>
      <c r="ENH1332" s="4" t="s">
        <v>2876</v>
      </c>
      <c r="ENI1332" s="4" t="s">
        <v>2876</v>
      </c>
      <c r="ENJ1332" s="4" t="s">
        <v>2876</v>
      </c>
      <c r="ENK1332" s="4" t="s">
        <v>2876</v>
      </c>
      <c r="ENL1332" s="4" t="s">
        <v>2876</v>
      </c>
      <c r="ENM1332" s="4" t="s">
        <v>2876</v>
      </c>
      <c r="ENN1332" s="4" t="s">
        <v>2876</v>
      </c>
      <c r="ENO1332" s="4" t="s">
        <v>2876</v>
      </c>
      <c r="ENP1332" s="4" t="s">
        <v>2876</v>
      </c>
      <c r="ENQ1332" s="4" t="s">
        <v>2876</v>
      </c>
      <c r="ENR1332" s="4" t="s">
        <v>2876</v>
      </c>
      <c r="ENS1332" s="4" t="s">
        <v>2876</v>
      </c>
      <c r="ENT1332" s="4" t="s">
        <v>2876</v>
      </c>
      <c r="ENU1332" s="4" t="s">
        <v>2876</v>
      </c>
      <c r="ENV1332" s="4" t="s">
        <v>2876</v>
      </c>
      <c r="ENW1332" s="4" t="s">
        <v>2876</v>
      </c>
      <c r="ENX1332" s="4" t="s">
        <v>2876</v>
      </c>
      <c r="ENY1332" s="4" t="s">
        <v>2876</v>
      </c>
      <c r="ENZ1332" s="4" t="s">
        <v>2876</v>
      </c>
      <c r="EOA1332" s="4" t="s">
        <v>2876</v>
      </c>
      <c r="EOB1332" s="4" t="s">
        <v>2876</v>
      </c>
      <c r="EOC1332" s="4" t="s">
        <v>2876</v>
      </c>
      <c r="EOD1332" s="4" t="s">
        <v>2876</v>
      </c>
      <c r="EOE1332" s="4" t="s">
        <v>2876</v>
      </c>
      <c r="EOF1332" s="4" t="s">
        <v>2876</v>
      </c>
      <c r="EOG1332" s="4" t="s">
        <v>2876</v>
      </c>
      <c r="EOH1332" s="4" t="s">
        <v>2876</v>
      </c>
      <c r="EOI1332" s="4" t="s">
        <v>2876</v>
      </c>
      <c r="EOJ1332" s="4" t="s">
        <v>2876</v>
      </c>
      <c r="EOK1332" s="4" t="s">
        <v>2876</v>
      </c>
      <c r="EOL1332" s="4" t="s">
        <v>2876</v>
      </c>
      <c r="EOM1332" s="4" t="s">
        <v>2876</v>
      </c>
      <c r="EON1332" s="4" t="s">
        <v>2876</v>
      </c>
      <c r="EOO1332" s="4" t="s">
        <v>2876</v>
      </c>
      <c r="EOP1332" s="4" t="s">
        <v>2876</v>
      </c>
      <c r="EOQ1332" s="4" t="s">
        <v>2876</v>
      </c>
      <c r="EOR1332" s="4" t="s">
        <v>2876</v>
      </c>
      <c r="EOS1332" s="4" t="s">
        <v>2876</v>
      </c>
      <c r="EOT1332" s="4" t="s">
        <v>2876</v>
      </c>
      <c r="EOU1332" s="4" t="s">
        <v>2876</v>
      </c>
      <c r="EOV1332" s="4" t="s">
        <v>2876</v>
      </c>
      <c r="EOW1332" s="4" t="s">
        <v>2876</v>
      </c>
      <c r="EOX1332" s="4" t="s">
        <v>2876</v>
      </c>
      <c r="EOY1332" s="4" t="s">
        <v>2876</v>
      </c>
      <c r="EOZ1332" s="4" t="s">
        <v>2876</v>
      </c>
      <c r="EPA1332" s="4" t="s">
        <v>2876</v>
      </c>
      <c r="EPB1332" s="4" t="s">
        <v>2876</v>
      </c>
      <c r="EPC1332" s="4" t="s">
        <v>2876</v>
      </c>
      <c r="EPD1332" s="4" t="s">
        <v>2876</v>
      </c>
      <c r="EPE1332" s="4" t="s">
        <v>2876</v>
      </c>
      <c r="EPF1332" s="4" t="s">
        <v>2876</v>
      </c>
      <c r="EPG1332" s="4" t="s">
        <v>2876</v>
      </c>
      <c r="EPH1332" s="4" t="s">
        <v>2876</v>
      </c>
      <c r="EPI1332" s="4" t="s">
        <v>2876</v>
      </c>
      <c r="EPJ1332" s="4" t="s">
        <v>2876</v>
      </c>
      <c r="EPK1332" s="4" t="s">
        <v>2876</v>
      </c>
      <c r="EPL1332" s="4" t="s">
        <v>2876</v>
      </c>
      <c r="EPM1332" s="4" t="s">
        <v>2876</v>
      </c>
      <c r="EPN1332" s="4" t="s">
        <v>2876</v>
      </c>
      <c r="EPO1332" s="4" t="s">
        <v>2876</v>
      </c>
      <c r="EPP1332" s="4" t="s">
        <v>2876</v>
      </c>
      <c r="EPQ1332" s="4" t="s">
        <v>2876</v>
      </c>
      <c r="EPR1332" s="4" t="s">
        <v>2876</v>
      </c>
      <c r="EPS1332" s="4" t="s">
        <v>2876</v>
      </c>
      <c r="EPT1332" s="4" t="s">
        <v>2876</v>
      </c>
      <c r="EPU1332" s="4" t="s">
        <v>2876</v>
      </c>
      <c r="EPV1332" s="4" t="s">
        <v>2876</v>
      </c>
      <c r="EPW1332" s="4" t="s">
        <v>2876</v>
      </c>
      <c r="EPX1332" s="4" t="s">
        <v>2876</v>
      </c>
      <c r="EPY1332" s="4" t="s">
        <v>2876</v>
      </c>
      <c r="EPZ1332" s="4" t="s">
        <v>2876</v>
      </c>
      <c r="EQA1332" s="4" t="s">
        <v>2876</v>
      </c>
      <c r="EQB1332" s="4" t="s">
        <v>2876</v>
      </c>
      <c r="EQC1332" s="4" t="s">
        <v>2876</v>
      </c>
      <c r="EQD1332" s="4" t="s">
        <v>2876</v>
      </c>
      <c r="EQE1332" s="4" t="s">
        <v>2876</v>
      </c>
      <c r="EQF1332" s="4" t="s">
        <v>2876</v>
      </c>
      <c r="EQG1332" s="4" t="s">
        <v>2876</v>
      </c>
      <c r="EQH1332" s="4" t="s">
        <v>2876</v>
      </c>
      <c r="EQI1332" s="4" t="s">
        <v>2876</v>
      </c>
      <c r="EQJ1332" s="4" t="s">
        <v>2876</v>
      </c>
      <c r="EQK1332" s="4" t="s">
        <v>2876</v>
      </c>
      <c r="EQL1332" s="4" t="s">
        <v>2876</v>
      </c>
      <c r="EQM1332" s="4" t="s">
        <v>2876</v>
      </c>
      <c r="EQN1332" s="4" t="s">
        <v>2876</v>
      </c>
      <c r="EQO1332" s="4" t="s">
        <v>2876</v>
      </c>
      <c r="EQP1332" s="4" t="s">
        <v>2876</v>
      </c>
      <c r="EQQ1332" s="4" t="s">
        <v>2876</v>
      </c>
      <c r="EQR1332" s="4" t="s">
        <v>2876</v>
      </c>
      <c r="EQS1332" s="4" t="s">
        <v>2876</v>
      </c>
      <c r="EQT1332" s="4" t="s">
        <v>2876</v>
      </c>
      <c r="EQU1332" s="4" t="s">
        <v>2876</v>
      </c>
      <c r="EQV1332" s="4" t="s">
        <v>2876</v>
      </c>
      <c r="EQW1332" s="4" t="s">
        <v>2876</v>
      </c>
      <c r="EQX1332" s="4" t="s">
        <v>2876</v>
      </c>
      <c r="EQY1332" s="4" t="s">
        <v>2876</v>
      </c>
      <c r="EQZ1332" s="4" t="s">
        <v>2876</v>
      </c>
      <c r="ERA1332" s="4" t="s">
        <v>2876</v>
      </c>
      <c r="ERB1332" s="4" t="s">
        <v>2876</v>
      </c>
      <c r="ERC1332" s="4" t="s">
        <v>2876</v>
      </c>
      <c r="ERD1332" s="4" t="s">
        <v>2876</v>
      </c>
      <c r="ERE1332" s="4" t="s">
        <v>2876</v>
      </c>
      <c r="ERF1332" s="4" t="s">
        <v>2876</v>
      </c>
      <c r="ERG1332" s="4" t="s">
        <v>2876</v>
      </c>
      <c r="ERH1332" s="4" t="s">
        <v>2876</v>
      </c>
      <c r="ERI1332" s="4" t="s">
        <v>2876</v>
      </c>
      <c r="ERJ1332" s="4" t="s">
        <v>2876</v>
      </c>
      <c r="ERK1332" s="4" t="s">
        <v>2876</v>
      </c>
      <c r="ERL1332" s="4" t="s">
        <v>2876</v>
      </c>
      <c r="ERM1332" s="4" t="s">
        <v>2876</v>
      </c>
      <c r="ERN1332" s="4" t="s">
        <v>2876</v>
      </c>
      <c r="ERO1332" s="4" t="s">
        <v>2876</v>
      </c>
      <c r="ERP1332" s="4" t="s">
        <v>2876</v>
      </c>
      <c r="ERQ1332" s="4" t="s">
        <v>2876</v>
      </c>
      <c r="ERR1332" s="4" t="s">
        <v>2876</v>
      </c>
      <c r="ERS1332" s="4" t="s">
        <v>2876</v>
      </c>
      <c r="ERT1332" s="4" t="s">
        <v>2876</v>
      </c>
      <c r="ERU1332" s="4" t="s">
        <v>2876</v>
      </c>
      <c r="ERV1332" s="4" t="s">
        <v>2876</v>
      </c>
      <c r="ERW1332" s="4" t="s">
        <v>2876</v>
      </c>
      <c r="ERX1332" s="4" t="s">
        <v>2876</v>
      </c>
      <c r="ERY1332" s="4" t="s">
        <v>2876</v>
      </c>
      <c r="ERZ1332" s="4" t="s">
        <v>2876</v>
      </c>
      <c r="ESA1332" s="4" t="s">
        <v>2876</v>
      </c>
      <c r="ESB1332" s="4" t="s">
        <v>2876</v>
      </c>
      <c r="ESC1332" s="4" t="s">
        <v>2876</v>
      </c>
      <c r="ESD1332" s="4" t="s">
        <v>2876</v>
      </c>
      <c r="ESE1332" s="4" t="s">
        <v>2876</v>
      </c>
      <c r="ESF1332" s="4" t="s">
        <v>2876</v>
      </c>
      <c r="ESG1332" s="4" t="s">
        <v>2876</v>
      </c>
      <c r="ESH1332" s="4" t="s">
        <v>2876</v>
      </c>
      <c r="ESI1332" s="4" t="s">
        <v>2876</v>
      </c>
      <c r="ESJ1332" s="4" t="s">
        <v>2876</v>
      </c>
      <c r="ESK1332" s="4" t="s">
        <v>2876</v>
      </c>
      <c r="ESL1332" s="4" t="s">
        <v>2876</v>
      </c>
      <c r="ESM1332" s="4" t="s">
        <v>2876</v>
      </c>
      <c r="ESN1332" s="4" t="s">
        <v>2876</v>
      </c>
      <c r="ESO1332" s="4" t="s">
        <v>2876</v>
      </c>
      <c r="ESP1332" s="4" t="s">
        <v>2876</v>
      </c>
      <c r="ESQ1332" s="4" t="s">
        <v>2876</v>
      </c>
      <c r="ESR1332" s="4" t="s">
        <v>2876</v>
      </c>
      <c r="ESS1332" s="4" t="s">
        <v>2876</v>
      </c>
      <c r="EST1332" s="4" t="s">
        <v>2876</v>
      </c>
      <c r="ESU1332" s="4" t="s">
        <v>2876</v>
      </c>
      <c r="ESV1332" s="4" t="s">
        <v>2876</v>
      </c>
      <c r="ESW1332" s="4" t="s">
        <v>2876</v>
      </c>
      <c r="ESX1332" s="4" t="s">
        <v>2876</v>
      </c>
      <c r="ESY1332" s="4" t="s">
        <v>2876</v>
      </c>
      <c r="ESZ1332" s="4" t="s">
        <v>2876</v>
      </c>
      <c r="ETA1332" s="4" t="s">
        <v>2876</v>
      </c>
      <c r="ETB1332" s="4" t="s">
        <v>2876</v>
      </c>
      <c r="ETC1332" s="4" t="s">
        <v>2876</v>
      </c>
      <c r="ETD1332" s="4" t="s">
        <v>2876</v>
      </c>
      <c r="ETE1332" s="4" t="s">
        <v>2876</v>
      </c>
      <c r="ETF1332" s="4" t="s">
        <v>2876</v>
      </c>
      <c r="ETG1332" s="4" t="s">
        <v>2876</v>
      </c>
      <c r="ETH1332" s="4" t="s">
        <v>2876</v>
      </c>
      <c r="ETI1332" s="4" t="s">
        <v>2876</v>
      </c>
      <c r="ETJ1332" s="4" t="s">
        <v>2876</v>
      </c>
      <c r="ETK1332" s="4" t="s">
        <v>2876</v>
      </c>
      <c r="ETL1332" s="4" t="s">
        <v>2876</v>
      </c>
      <c r="ETM1332" s="4" t="s">
        <v>2876</v>
      </c>
      <c r="ETN1332" s="4" t="s">
        <v>2876</v>
      </c>
      <c r="ETO1332" s="4" t="s">
        <v>2876</v>
      </c>
      <c r="ETP1332" s="4" t="s">
        <v>2876</v>
      </c>
      <c r="ETQ1332" s="4" t="s">
        <v>2876</v>
      </c>
      <c r="ETR1332" s="4" t="s">
        <v>2876</v>
      </c>
      <c r="ETS1332" s="4" t="s">
        <v>2876</v>
      </c>
      <c r="ETT1332" s="4" t="s">
        <v>2876</v>
      </c>
      <c r="ETU1332" s="4" t="s">
        <v>2876</v>
      </c>
      <c r="ETV1332" s="4" t="s">
        <v>2876</v>
      </c>
      <c r="ETW1332" s="4" t="s">
        <v>2876</v>
      </c>
      <c r="ETX1332" s="4" t="s">
        <v>2876</v>
      </c>
      <c r="ETY1332" s="4" t="s">
        <v>2876</v>
      </c>
      <c r="ETZ1332" s="4" t="s">
        <v>2876</v>
      </c>
      <c r="EUA1332" s="4" t="s">
        <v>2876</v>
      </c>
      <c r="EUB1332" s="4" t="s">
        <v>2876</v>
      </c>
      <c r="EUC1332" s="4" t="s">
        <v>2876</v>
      </c>
      <c r="EUD1332" s="4" t="s">
        <v>2876</v>
      </c>
      <c r="EUE1332" s="4" t="s">
        <v>2876</v>
      </c>
      <c r="EUF1332" s="4" t="s">
        <v>2876</v>
      </c>
      <c r="EUG1332" s="4" t="s">
        <v>2876</v>
      </c>
      <c r="EUH1332" s="4" t="s">
        <v>2876</v>
      </c>
      <c r="EUI1332" s="4" t="s">
        <v>2876</v>
      </c>
      <c r="EUJ1332" s="4" t="s">
        <v>2876</v>
      </c>
      <c r="EUK1332" s="4" t="s">
        <v>2876</v>
      </c>
      <c r="EUL1332" s="4" t="s">
        <v>2876</v>
      </c>
      <c r="EUM1332" s="4" t="s">
        <v>2876</v>
      </c>
      <c r="EUN1332" s="4" t="s">
        <v>2876</v>
      </c>
      <c r="EUO1332" s="4" t="s">
        <v>2876</v>
      </c>
      <c r="EUP1332" s="4" t="s">
        <v>2876</v>
      </c>
      <c r="EUQ1332" s="4" t="s">
        <v>2876</v>
      </c>
      <c r="EUR1332" s="4" t="s">
        <v>2876</v>
      </c>
      <c r="EUS1332" s="4" t="s">
        <v>2876</v>
      </c>
      <c r="EUT1332" s="4" t="s">
        <v>2876</v>
      </c>
      <c r="EUU1332" s="4" t="s">
        <v>2876</v>
      </c>
      <c r="EUV1332" s="4" t="s">
        <v>2876</v>
      </c>
      <c r="EUW1332" s="4" t="s">
        <v>2876</v>
      </c>
      <c r="EUX1332" s="4" t="s">
        <v>2876</v>
      </c>
      <c r="EUY1332" s="4" t="s">
        <v>2876</v>
      </c>
      <c r="EUZ1332" s="4" t="s">
        <v>2876</v>
      </c>
      <c r="EVA1332" s="4" t="s">
        <v>2876</v>
      </c>
      <c r="EVB1332" s="4" t="s">
        <v>2876</v>
      </c>
      <c r="EVC1332" s="4" t="s">
        <v>2876</v>
      </c>
      <c r="EVD1332" s="4" t="s">
        <v>2876</v>
      </c>
      <c r="EVE1332" s="4" t="s">
        <v>2876</v>
      </c>
      <c r="EVF1332" s="4" t="s">
        <v>2876</v>
      </c>
      <c r="EVG1332" s="4" t="s">
        <v>2876</v>
      </c>
      <c r="EVH1332" s="4" t="s">
        <v>2876</v>
      </c>
      <c r="EVI1332" s="4" t="s">
        <v>2876</v>
      </c>
      <c r="EVJ1332" s="4" t="s">
        <v>2876</v>
      </c>
      <c r="EVK1332" s="4" t="s">
        <v>2876</v>
      </c>
      <c r="EVL1332" s="4" t="s">
        <v>2876</v>
      </c>
      <c r="EVM1332" s="4" t="s">
        <v>2876</v>
      </c>
      <c r="EVN1332" s="4" t="s">
        <v>2876</v>
      </c>
      <c r="EVO1332" s="4" t="s">
        <v>2876</v>
      </c>
      <c r="EVP1332" s="4" t="s">
        <v>2876</v>
      </c>
      <c r="EVQ1332" s="4" t="s">
        <v>2876</v>
      </c>
      <c r="EVR1332" s="4" t="s">
        <v>2876</v>
      </c>
      <c r="EVS1332" s="4" t="s">
        <v>2876</v>
      </c>
      <c r="EVT1332" s="4" t="s">
        <v>2876</v>
      </c>
      <c r="EVU1332" s="4" t="s">
        <v>2876</v>
      </c>
      <c r="EVV1332" s="4" t="s">
        <v>2876</v>
      </c>
      <c r="EVW1332" s="4" t="s">
        <v>2876</v>
      </c>
      <c r="EVX1332" s="4" t="s">
        <v>2876</v>
      </c>
      <c r="EVY1332" s="4" t="s">
        <v>2876</v>
      </c>
      <c r="EVZ1332" s="4" t="s">
        <v>2876</v>
      </c>
      <c r="EWA1332" s="4" t="s">
        <v>2876</v>
      </c>
      <c r="EWB1332" s="4" t="s">
        <v>2876</v>
      </c>
      <c r="EWC1332" s="4" t="s">
        <v>2876</v>
      </c>
      <c r="EWD1332" s="4" t="s">
        <v>2876</v>
      </c>
      <c r="EWE1332" s="4" t="s">
        <v>2876</v>
      </c>
      <c r="EWF1332" s="4" t="s">
        <v>2876</v>
      </c>
      <c r="EWG1332" s="4" t="s">
        <v>2876</v>
      </c>
      <c r="EWH1332" s="4" t="s">
        <v>2876</v>
      </c>
      <c r="EWI1332" s="4" t="s">
        <v>2876</v>
      </c>
      <c r="EWJ1332" s="4" t="s">
        <v>2876</v>
      </c>
      <c r="EWK1332" s="4" t="s">
        <v>2876</v>
      </c>
      <c r="EWL1332" s="4" t="s">
        <v>2876</v>
      </c>
      <c r="EWM1332" s="4" t="s">
        <v>2876</v>
      </c>
      <c r="EWN1332" s="4" t="s">
        <v>2876</v>
      </c>
      <c r="EWO1332" s="4" t="s">
        <v>2876</v>
      </c>
      <c r="EWP1332" s="4" t="s">
        <v>2876</v>
      </c>
      <c r="EWQ1332" s="4" t="s">
        <v>2876</v>
      </c>
      <c r="EWR1332" s="4" t="s">
        <v>2876</v>
      </c>
      <c r="EWS1332" s="4" t="s">
        <v>2876</v>
      </c>
      <c r="EWT1332" s="4" t="s">
        <v>2876</v>
      </c>
      <c r="EWU1332" s="4" t="s">
        <v>2876</v>
      </c>
      <c r="EWV1332" s="4" t="s">
        <v>2876</v>
      </c>
      <c r="EWW1332" s="4" t="s">
        <v>2876</v>
      </c>
      <c r="EWX1332" s="4" t="s">
        <v>2876</v>
      </c>
      <c r="EWY1332" s="4" t="s">
        <v>2876</v>
      </c>
      <c r="EWZ1332" s="4" t="s">
        <v>2876</v>
      </c>
      <c r="EXA1332" s="4" t="s">
        <v>2876</v>
      </c>
      <c r="EXB1332" s="4" t="s">
        <v>2876</v>
      </c>
      <c r="EXC1332" s="4" t="s">
        <v>2876</v>
      </c>
      <c r="EXD1332" s="4" t="s">
        <v>2876</v>
      </c>
      <c r="EXE1332" s="4" t="s">
        <v>2876</v>
      </c>
      <c r="EXF1332" s="4" t="s">
        <v>2876</v>
      </c>
      <c r="EXG1332" s="4" t="s">
        <v>2876</v>
      </c>
      <c r="EXH1332" s="4" t="s">
        <v>2876</v>
      </c>
      <c r="EXI1332" s="4" t="s">
        <v>2876</v>
      </c>
      <c r="EXJ1332" s="4" t="s">
        <v>2876</v>
      </c>
      <c r="EXK1332" s="4" t="s">
        <v>2876</v>
      </c>
      <c r="EXL1332" s="4" t="s">
        <v>2876</v>
      </c>
      <c r="EXM1332" s="4" t="s">
        <v>2876</v>
      </c>
      <c r="EXN1332" s="4" t="s">
        <v>2876</v>
      </c>
      <c r="EXO1332" s="4" t="s">
        <v>2876</v>
      </c>
      <c r="EXP1332" s="4" t="s">
        <v>2876</v>
      </c>
      <c r="EXQ1332" s="4" t="s">
        <v>2876</v>
      </c>
      <c r="EXR1332" s="4" t="s">
        <v>2876</v>
      </c>
      <c r="EXS1332" s="4" t="s">
        <v>2876</v>
      </c>
      <c r="EXT1332" s="4" t="s">
        <v>2876</v>
      </c>
      <c r="EXU1332" s="4" t="s">
        <v>2876</v>
      </c>
      <c r="EXV1332" s="4" t="s">
        <v>2876</v>
      </c>
      <c r="EXW1332" s="4" t="s">
        <v>2876</v>
      </c>
      <c r="EXX1332" s="4" t="s">
        <v>2876</v>
      </c>
      <c r="EXY1332" s="4" t="s">
        <v>2876</v>
      </c>
      <c r="EXZ1332" s="4" t="s">
        <v>2876</v>
      </c>
      <c r="EYA1332" s="4" t="s">
        <v>2876</v>
      </c>
      <c r="EYB1332" s="4" t="s">
        <v>2876</v>
      </c>
      <c r="EYC1332" s="4" t="s">
        <v>2876</v>
      </c>
      <c r="EYD1332" s="4" t="s">
        <v>2876</v>
      </c>
      <c r="EYE1332" s="4" t="s">
        <v>2876</v>
      </c>
      <c r="EYF1332" s="4" t="s">
        <v>2876</v>
      </c>
      <c r="EYG1332" s="4" t="s">
        <v>2876</v>
      </c>
      <c r="EYH1332" s="4" t="s">
        <v>2876</v>
      </c>
      <c r="EYI1332" s="4" t="s">
        <v>2876</v>
      </c>
      <c r="EYJ1332" s="4" t="s">
        <v>2876</v>
      </c>
      <c r="EYK1332" s="4" t="s">
        <v>2876</v>
      </c>
      <c r="EYL1332" s="4" t="s">
        <v>2876</v>
      </c>
      <c r="EYM1332" s="4" t="s">
        <v>2876</v>
      </c>
      <c r="EYN1332" s="4" t="s">
        <v>2876</v>
      </c>
      <c r="EYO1332" s="4" t="s">
        <v>2876</v>
      </c>
      <c r="EYP1332" s="4" t="s">
        <v>2876</v>
      </c>
      <c r="EYQ1332" s="4" t="s">
        <v>2876</v>
      </c>
      <c r="EYR1332" s="4" t="s">
        <v>2876</v>
      </c>
      <c r="EYS1332" s="4" t="s">
        <v>2876</v>
      </c>
      <c r="EYT1332" s="4" t="s">
        <v>2876</v>
      </c>
      <c r="EYU1332" s="4" t="s">
        <v>2876</v>
      </c>
      <c r="EYV1332" s="4" t="s">
        <v>2876</v>
      </c>
      <c r="EYW1332" s="4" t="s">
        <v>2876</v>
      </c>
      <c r="EYX1332" s="4" t="s">
        <v>2876</v>
      </c>
      <c r="EYY1332" s="4" t="s">
        <v>2876</v>
      </c>
      <c r="EYZ1332" s="4" t="s">
        <v>2876</v>
      </c>
      <c r="EZA1332" s="4" t="s">
        <v>2876</v>
      </c>
      <c r="EZB1332" s="4" t="s">
        <v>2876</v>
      </c>
      <c r="EZC1332" s="4" t="s">
        <v>2876</v>
      </c>
      <c r="EZD1332" s="4" t="s">
        <v>2876</v>
      </c>
      <c r="EZE1332" s="4" t="s">
        <v>2876</v>
      </c>
      <c r="EZF1332" s="4" t="s">
        <v>2876</v>
      </c>
      <c r="EZG1332" s="4" t="s">
        <v>2876</v>
      </c>
      <c r="EZH1332" s="4" t="s">
        <v>2876</v>
      </c>
      <c r="EZI1332" s="4" t="s">
        <v>2876</v>
      </c>
      <c r="EZJ1332" s="4" t="s">
        <v>2876</v>
      </c>
      <c r="EZK1332" s="4" t="s">
        <v>2876</v>
      </c>
      <c r="EZL1332" s="4" t="s">
        <v>2876</v>
      </c>
      <c r="EZM1332" s="4" t="s">
        <v>2876</v>
      </c>
      <c r="EZN1332" s="4" t="s">
        <v>2876</v>
      </c>
      <c r="EZO1332" s="4" t="s">
        <v>2876</v>
      </c>
      <c r="EZP1332" s="4" t="s">
        <v>2876</v>
      </c>
      <c r="EZQ1332" s="4" t="s">
        <v>2876</v>
      </c>
      <c r="EZR1332" s="4" t="s">
        <v>2876</v>
      </c>
      <c r="EZS1332" s="4" t="s">
        <v>2876</v>
      </c>
      <c r="EZT1332" s="4" t="s">
        <v>2876</v>
      </c>
      <c r="EZU1332" s="4" t="s">
        <v>2876</v>
      </c>
      <c r="EZV1332" s="4" t="s">
        <v>2876</v>
      </c>
      <c r="EZW1332" s="4" t="s">
        <v>2876</v>
      </c>
      <c r="EZX1332" s="4" t="s">
        <v>2876</v>
      </c>
      <c r="EZY1332" s="4" t="s">
        <v>2876</v>
      </c>
      <c r="EZZ1332" s="4" t="s">
        <v>2876</v>
      </c>
      <c r="FAA1332" s="4" t="s">
        <v>2876</v>
      </c>
      <c r="FAB1332" s="4" t="s">
        <v>2876</v>
      </c>
      <c r="FAC1332" s="4" t="s">
        <v>2876</v>
      </c>
      <c r="FAD1332" s="4" t="s">
        <v>2876</v>
      </c>
      <c r="FAE1332" s="4" t="s">
        <v>2876</v>
      </c>
      <c r="FAF1332" s="4" t="s">
        <v>2876</v>
      </c>
      <c r="FAG1332" s="4" t="s">
        <v>2876</v>
      </c>
      <c r="FAH1332" s="4" t="s">
        <v>2876</v>
      </c>
      <c r="FAI1332" s="4" t="s">
        <v>2876</v>
      </c>
      <c r="FAJ1332" s="4" t="s">
        <v>2876</v>
      </c>
      <c r="FAK1332" s="4" t="s">
        <v>2876</v>
      </c>
      <c r="FAL1332" s="4" t="s">
        <v>2876</v>
      </c>
      <c r="FAM1332" s="4" t="s">
        <v>2876</v>
      </c>
      <c r="FAN1332" s="4" t="s">
        <v>2876</v>
      </c>
      <c r="FAO1332" s="4" t="s">
        <v>2876</v>
      </c>
      <c r="FAP1332" s="4" t="s">
        <v>2876</v>
      </c>
      <c r="FAQ1332" s="4" t="s">
        <v>2876</v>
      </c>
      <c r="FAR1332" s="4" t="s">
        <v>2876</v>
      </c>
      <c r="FAS1332" s="4" t="s">
        <v>2876</v>
      </c>
      <c r="FAT1332" s="4" t="s">
        <v>2876</v>
      </c>
      <c r="FAU1332" s="4" t="s">
        <v>2876</v>
      </c>
      <c r="FAV1332" s="4" t="s">
        <v>2876</v>
      </c>
      <c r="FAW1332" s="4" t="s">
        <v>2876</v>
      </c>
      <c r="FAX1332" s="4" t="s">
        <v>2876</v>
      </c>
      <c r="FAY1332" s="4" t="s">
        <v>2876</v>
      </c>
      <c r="FAZ1332" s="4" t="s">
        <v>2876</v>
      </c>
      <c r="FBA1332" s="4" t="s">
        <v>2876</v>
      </c>
      <c r="FBB1332" s="4" t="s">
        <v>2876</v>
      </c>
      <c r="FBC1332" s="4" t="s">
        <v>2876</v>
      </c>
      <c r="FBD1332" s="4" t="s">
        <v>2876</v>
      </c>
      <c r="FBE1332" s="4" t="s">
        <v>2876</v>
      </c>
      <c r="FBF1332" s="4" t="s">
        <v>2876</v>
      </c>
      <c r="FBG1332" s="4" t="s">
        <v>2876</v>
      </c>
      <c r="FBH1332" s="4" t="s">
        <v>2876</v>
      </c>
      <c r="FBI1332" s="4" t="s">
        <v>2876</v>
      </c>
      <c r="FBJ1332" s="4" t="s">
        <v>2876</v>
      </c>
      <c r="FBK1332" s="4" t="s">
        <v>2876</v>
      </c>
      <c r="FBL1332" s="4" t="s">
        <v>2876</v>
      </c>
      <c r="FBM1332" s="4" t="s">
        <v>2876</v>
      </c>
      <c r="FBN1332" s="4" t="s">
        <v>2876</v>
      </c>
      <c r="FBO1332" s="4" t="s">
        <v>2876</v>
      </c>
      <c r="FBP1332" s="4" t="s">
        <v>2876</v>
      </c>
      <c r="FBQ1332" s="4" t="s">
        <v>2876</v>
      </c>
      <c r="FBR1332" s="4" t="s">
        <v>2876</v>
      </c>
      <c r="FBS1332" s="4" t="s">
        <v>2876</v>
      </c>
      <c r="FBT1332" s="4" t="s">
        <v>2876</v>
      </c>
      <c r="FBU1332" s="4" t="s">
        <v>2876</v>
      </c>
      <c r="FBV1332" s="4" t="s">
        <v>2876</v>
      </c>
      <c r="FBW1332" s="4" t="s">
        <v>2876</v>
      </c>
      <c r="FBX1332" s="4" t="s">
        <v>2876</v>
      </c>
      <c r="FBY1332" s="4" t="s">
        <v>2876</v>
      </c>
      <c r="FBZ1332" s="4" t="s">
        <v>2876</v>
      </c>
      <c r="FCA1332" s="4" t="s">
        <v>2876</v>
      </c>
      <c r="FCB1332" s="4" t="s">
        <v>2876</v>
      </c>
      <c r="FCC1332" s="4" t="s">
        <v>2876</v>
      </c>
      <c r="FCD1332" s="4" t="s">
        <v>2876</v>
      </c>
      <c r="FCE1332" s="4" t="s">
        <v>2876</v>
      </c>
      <c r="FCF1332" s="4" t="s">
        <v>2876</v>
      </c>
      <c r="FCG1332" s="4" t="s">
        <v>2876</v>
      </c>
      <c r="FCH1332" s="4" t="s">
        <v>2876</v>
      </c>
      <c r="FCI1332" s="4" t="s">
        <v>2876</v>
      </c>
      <c r="FCJ1332" s="4" t="s">
        <v>2876</v>
      </c>
      <c r="FCK1332" s="4" t="s">
        <v>2876</v>
      </c>
      <c r="FCL1332" s="4" t="s">
        <v>2876</v>
      </c>
      <c r="FCM1332" s="4" t="s">
        <v>2876</v>
      </c>
      <c r="FCN1332" s="4" t="s">
        <v>2876</v>
      </c>
      <c r="FCO1332" s="4" t="s">
        <v>2876</v>
      </c>
      <c r="FCP1332" s="4" t="s">
        <v>2876</v>
      </c>
      <c r="FCQ1332" s="4" t="s">
        <v>2876</v>
      </c>
      <c r="FCR1332" s="4" t="s">
        <v>2876</v>
      </c>
      <c r="FCS1332" s="4" t="s">
        <v>2876</v>
      </c>
      <c r="FCT1332" s="4" t="s">
        <v>2876</v>
      </c>
      <c r="FCU1332" s="4" t="s">
        <v>2876</v>
      </c>
      <c r="FCV1332" s="4" t="s">
        <v>2876</v>
      </c>
      <c r="FCW1332" s="4" t="s">
        <v>2876</v>
      </c>
      <c r="FCX1332" s="4" t="s">
        <v>2876</v>
      </c>
      <c r="FCY1332" s="4" t="s">
        <v>2876</v>
      </c>
      <c r="FCZ1332" s="4" t="s">
        <v>2876</v>
      </c>
      <c r="FDA1332" s="4" t="s">
        <v>2876</v>
      </c>
      <c r="FDB1332" s="4" t="s">
        <v>2876</v>
      </c>
      <c r="FDC1332" s="4" t="s">
        <v>2876</v>
      </c>
      <c r="FDD1332" s="4" t="s">
        <v>2876</v>
      </c>
      <c r="FDE1332" s="4" t="s">
        <v>2876</v>
      </c>
      <c r="FDF1332" s="4" t="s">
        <v>2876</v>
      </c>
      <c r="FDG1332" s="4" t="s">
        <v>2876</v>
      </c>
      <c r="FDH1332" s="4" t="s">
        <v>2876</v>
      </c>
      <c r="FDI1332" s="4" t="s">
        <v>2876</v>
      </c>
      <c r="FDJ1332" s="4" t="s">
        <v>2876</v>
      </c>
      <c r="FDK1332" s="4" t="s">
        <v>2876</v>
      </c>
      <c r="FDL1332" s="4" t="s">
        <v>2876</v>
      </c>
      <c r="FDM1332" s="4" t="s">
        <v>2876</v>
      </c>
      <c r="FDN1332" s="4" t="s">
        <v>2876</v>
      </c>
      <c r="FDO1332" s="4" t="s">
        <v>2876</v>
      </c>
      <c r="FDP1332" s="4" t="s">
        <v>2876</v>
      </c>
      <c r="FDQ1332" s="4" t="s">
        <v>2876</v>
      </c>
      <c r="FDR1332" s="4" t="s">
        <v>2876</v>
      </c>
      <c r="FDS1332" s="4" t="s">
        <v>2876</v>
      </c>
      <c r="FDT1332" s="4" t="s">
        <v>2876</v>
      </c>
      <c r="FDU1332" s="4" t="s">
        <v>2876</v>
      </c>
      <c r="FDV1332" s="4" t="s">
        <v>2876</v>
      </c>
      <c r="FDW1332" s="4" t="s">
        <v>2876</v>
      </c>
      <c r="FDX1332" s="4" t="s">
        <v>2876</v>
      </c>
      <c r="FDY1332" s="4" t="s">
        <v>2876</v>
      </c>
      <c r="FDZ1332" s="4" t="s">
        <v>2876</v>
      </c>
      <c r="FEA1332" s="4" t="s">
        <v>2876</v>
      </c>
      <c r="FEB1332" s="4" t="s">
        <v>2876</v>
      </c>
      <c r="FEC1332" s="4" t="s">
        <v>2876</v>
      </c>
      <c r="FED1332" s="4" t="s">
        <v>2876</v>
      </c>
      <c r="FEE1332" s="4" t="s">
        <v>2876</v>
      </c>
      <c r="FEF1332" s="4" t="s">
        <v>2876</v>
      </c>
      <c r="FEG1332" s="4" t="s">
        <v>2876</v>
      </c>
      <c r="FEH1332" s="4" t="s">
        <v>2876</v>
      </c>
      <c r="FEI1332" s="4" t="s">
        <v>2876</v>
      </c>
      <c r="FEJ1332" s="4" t="s">
        <v>2876</v>
      </c>
      <c r="FEK1332" s="4" t="s">
        <v>2876</v>
      </c>
      <c r="FEL1332" s="4" t="s">
        <v>2876</v>
      </c>
      <c r="FEM1332" s="4" t="s">
        <v>2876</v>
      </c>
      <c r="FEN1332" s="4" t="s">
        <v>2876</v>
      </c>
      <c r="FEO1332" s="4" t="s">
        <v>2876</v>
      </c>
      <c r="FEP1332" s="4" t="s">
        <v>2876</v>
      </c>
      <c r="FEQ1332" s="4" t="s">
        <v>2876</v>
      </c>
      <c r="FER1332" s="4" t="s">
        <v>2876</v>
      </c>
      <c r="FES1332" s="4" t="s">
        <v>2876</v>
      </c>
      <c r="FET1332" s="4" t="s">
        <v>2876</v>
      </c>
      <c r="FEU1332" s="4" t="s">
        <v>2876</v>
      </c>
      <c r="FEV1332" s="4" t="s">
        <v>2876</v>
      </c>
      <c r="FEW1332" s="4" t="s">
        <v>2876</v>
      </c>
      <c r="FEX1332" s="4" t="s">
        <v>2876</v>
      </c>
      <c r="FEY1332" s="4" t="s">
        <v>2876</v>
      </c>
      <c r="FEZ1332" s="4" t="s">
        <v>2876</v>
      </c>
      <c r="FFA1332" s="4" t="s">
        <v>2876</v>
      </c>
      <c r="FFB1332" s="4" t="s">
        <v>2876</v>
      </c>
      <c r="FFC1332" s="4" t="s">
        <v>2876</v>
      </c>
      <c r="FFD1332" s="4" t="s">
        <v>2876</v>
      </c>
      <c r="FFE1332" s="4" t="s">
        <v>2876</v>
      </c>
      <c r="FFF1332" s="4" t="s">
        <v>2876</v>
      </c>
      <c r="FFG1332" s="4" t="s">
        <v>2876</v>
      </c>
      <c r="FFH1332" s="4" t="s">
        <v>2876</v>
      </c>
      <c r="FFI1332" s="4" t="s">
        <v>2876</v>
      </c>
      <c r="FFJ1332" s="4" t="s">
        <v>2876</v>
      </c>
      <c r="FFK1332" s="4" t="s">
        <v>2876</v>
      </c>
      <c r="FFL1332" s="4" t="s">
        <v>2876</v>
      </c>
      <c r="FFM1332" s="4" t="s">
        <v>2876</v>
      </c>
      <c r="FFN1332" s="4" t="s">
        <v>2876</v>
      </c>
      <c r="FFO1332" s="4" t="s">
        <v>2876</v>
      </c>
      <c r="FFP1332" s="4" t="s">
        <v>2876</v>
      </c>
      <c r="FFQ1332" s="4" t="s">
        <v>2876</v>
      </c>
      <c r="FFR1332" s="4" t="s">
        <v>2876</v>
      </c>
      <c r="FFS1332" s="4" t="s">
        <v>2876</v>
      </c>
      <c r="FFT1332" s="4" t="s">
        <v>2876</v>
      </c>
      <c r="FFU1332" s="4" t="s">
        <v>2876</v>
      </c>
      <c r="FFV1332" s="4" t="s">
        <v>2876</v>
      </c>
      <c r="FFW1332" s="4" t="s">
        <v>2876</v>
      </c>
      <c r="FFX1332" s="4" t="s">
        <v>2876</v>
      </c>
      <c r="FFY1332" s="4" t="s">
        <v>2876</v>
      </c>
      <c r="FFZ1332" s="4" t="s">
        <v>2876</v>
      </c>
      <c r="FGA1332" s="4" t="s">
        <v>2876</v>
      </c>
      <c r="FGB1332" s="4" t="s">
        <v>2876</v>
      </c>
      <c r="FGC1332" s="4" t="s">
        <v>2876</v>
      </c>
      <c r="FGD1332" s="4" t="s">
        <v>2876</v>
      </c>
      <c r="FGE1332" s="4" t="s">
        <v>2876</v>
      </c>
      <c r="FGF1332" s="4" t="s">
        <v>2876</v>
      </c>
      <c r="FGG1332" s="4" t="s">
        <v>2876</v>
      </c>
      <c r="FGH1332" s="4" t="s">
        <v>2876</v>
      </c>
      <c r="FGI1332" s="4" t="s">
        <v>2876</v>
      </c>
      <c r="FGJ1332" s="4" t="s">
        <v>2876</v>
      </c>
      <c r="FGK1332" s="4" t="s">
        <v>2876</v>
      </c>
      <c r="FGL1332" s="4" t="s">
        <v>2876</v>
      </c>
      <c r="FGM1332" s="4" t="s">
        <v>2876</v>
      </c>
      <c r="FGN1332" s="4" t="s">
        <v>2876</v>
      </c>
      <c r="FGO1332" s="4" t="s">
        <v>2876</v>
      </c>
      <c r="FGP1332" s="4" t="s">
        <v>2876</v>
      </c>
      <c r="FGQ1332" s="4" t="s">
        <v>2876</v>
      </c>
      <c r="FGR1332" s="4" t="s">
        <v>2876</v>
      </c>
      <c r="FGS1332" s="4" t="s">
        <v>2876</v>
      </c>
      <c r="FGT1332" s="4" t="s">
        <v>2876</v>
      </c>
      <c r="FGU1332" s="4" t="s">
        <v>2876</v>
      </c>
      <c r="FGV1332" s="4" t="s">
        <v>2876</v>
      </c>
      <c r="FGW1332" s="4" t="s">
        <v>2876</v>
      </c>
      <c r="FGX1332" s="4" t="s">
        <v>2876</v>
      </c>
      <c r="FGY1332" s="4" t="s">
        <v>2876</v>
      </c>
      <c r="FGZ1332" s="4" t="s">
        <v>2876</v>
      </c>
      <c r="FHA1332" s="4" t="s">
        <v>2876</v>
      </c>
      <c r="FHB1332" s="4" t="s">
        <v>2876</v>
      </c>
      <c r="FHC1332" s="4" t="s">
        <v>2876</v>
      </c>
      <c r="FHD1332" s="4" t="s">
        <v>2876</v>
      </c>
      <c r="FHE1332" s="4" t="s">
        <v>2876</v>
      </c>
      <c r="FHF1332" s="4" t="s">
        <v>2876</v>
      </c>
      <c r="FHG1332" s="4" t="s">
        <v>2876</v>
      </c>
      <c r="FHH1332" s="4" t="s">
        <v>2876</v>
      </c>
      <c r="FHI1332" s="4" t="s">
        <v>2876</v>
      </c>
      <c r="FHJ1332" s="4" t="s">
        <v>2876</v>
      </c>
      <c r="FHK1332" s="4" t="s">
        <v>2876</v>
      </c>
      <c r="FHL1332" s="4" t="s">
        <v>2876</v>
      </c>
      <c r="FHM1332" s="4" t="s">
        <v>2876</v>
      </c>
      <c r="FHN1332" s="4" t="s">
        <v>2876</v>
      </c>
      <c r="FHO1332" s="4" t="s">
        <v>2876</v>
      </c>
      <c r="FHP1332" s="4" t="s">
        <v>2876</v>
      </c>
      <c r="FHQ1332" s="4" t="s">
        <v>2876</v>
      </c>
      <c r="FHR1332" s="4" t="s">
        <v>2876</v>
      </c>
      <c r="FHS1332" s="4" t="s">
        <v>2876</v>
      </c>
      <c r="FHT1332" s="4" t="s">
        <v>2876</v>
      </c>
      <c r="FHU1332" s="4" t="s">
        <v>2876</v>
      </c>
      <c r="FHV1332" s="4" t="s">
        <v>2876</v>
      </c>
      <c r="FHW1332" s="4" t="s">
        <v>2876</v>
      </c>
      <c r="FHX1332" s="4" t="s">
        <v>2876</v>
      </c>
      <c r="FHY1332" s="4" t="s">
        <v>2876</v>
      </c>
      <c r="FHZ1332" s="4" t="s">
        <v>2876</v>
      </c>
      <c r="FIA1332" s="4" t="s">
        <v>2876</v>
      </c>
      <c r="FIB1332" s="4" t="s">
        <v>2876</v>
      </c>
      <c r="FIC1332" s="4" t="s">
        <v>2876</v>
      </c>
      <c r="FID1332" s="4" t="s">
        <v>2876</v>
      </c>
      <c r="FIE1332" s="4" t="s">
        <v>2876</v>
      </c>
      <c r="FIF1332" s="4" t="s">
        <v>2876</v>
      </c>
      <c r="FIG1332" s="4" t="s">
        <v>2876</v>
      </c>
      <c r="FIH1332" s="4" t="s">
        <v>2876</v>
      </c>
      <c r="FII1332" s="4" t="s">
        <v>2876</v>
      </c>
      <c r="FIJ1332" s="4" t="s">
        <v>2876</v>
      </c>
      <c r="FIK1332" s="4" t="s">
        <v>2876</v>
      </c>
      <c r="FIL1332" s="4" t="s">
        <v>2876</v>
      </c>
      <c r="FIM1332" s="4" t="s">
        <v>2876</v>
      </c>
      <c r="FIN1332" s="4" t="s">
        <v>2876</v>
      </c>
      <c r="FIO1332" s="4" t="s">
        <v>2876</v>
      </c>
      <c r="FIP1332" s="4" t="s">
        <v>2876</v>
      </c>
      <c r="FIQ1332" s="4" t="s">
        <v>2876</v>
      </c>
      <c r="FIR1332" s="4" t="s">
        <v>2876</v>
      </c>
      <c r="FIS1332" s="4" t="s">
        <v>2876</v>
      </c>
      <c r="FIT1332" s="4" t="s">
        <v>2876</v>
      </c>
      <c r="FIU1332" s="4" t="s">
        <v>2876</v>
      </c>
      <c r="FIV1332" s="4" t="s">
        <v>2876</v>
      </c>
      <c r="FIW1332" s="4" t="s">
        <v>2876</v>
      </c>
      <c r="FIX1332" s="4" t="s">
        <v>2876</v>
      </c>
      <c r="FIY1332" s="4" t="s">
        <v>2876</v>
      </c>
      <c r="FIZ1332" s="4" t="s">
        <v>2876</v>
      </c>
      <c r="FJA1332" s="4" t="s">
        <v>2876</v>
      </c>
      <c r="FJB1332" s="4" t="s">
        <v>2876</v>
      </c>
      <c r="FJC1332" s="4" t="s">
        <v>2876</v>
      </c>
      <c r="FJD1332" s="4" t="s">
        <v>2876</v>
      </c>
      <c r="FJE1332" s="4" t="s">
        <v>2876</v>
      </c>
      <c r="FJF1332" s="4" t="s">
        <v>2876</v>
      </c>
      <c r="FJG1332" s="4" t="s">
        <v>2876</v>
      </c>
      <c r="FJH1332" s="4" t="s">
        <v>2876</v>
      </c>
      <c r="FJI1332" s="4" t="s">
        <v>2876</v>
      </c>
      <c r="FJJ1332" s="4" t="s">
        <v>2876</v>
      </c>
      <c r="FJK1332" s="4" t="s">
        <v>2876</v>
      </c>
      <c r="FJL1332" s="4" t="s">
        <v>2876</v>
      </c>
      <c r="FJM1332" s="4" t="s">
        <v>2876</v>
      </c>
      <c r="FJN1332" s="4" t="s">
        <v>2876</v>
      </c>
      <c r="FJO1332" s="4" t="s">
        <v>2876</v>
      </c>
      <c r="FJP1332" s="4" t="s">
        <v>2876</v>
      </c>
      <c r="FJQ1332" s="4" t="s">
        <v>2876</v>
      </c>
      <c r="FJR1332" s="4" t="s">
        <v>2876</v>
      </c>
      <c r="FJS1332" s="4" t="s">
        <v>2876</v>
      </c>
      <c r="FJT1332" s="4" t="s">
        <v>2876</v>
      </c>
      <c r="FJU1332" s="4" t="s">
        <v>2876</v>
      </c>
      <c r="FJV1332" s="4" t="s">
        <v>2876</v>
      </c>
      <c r="FJW1332" s="4" t="s">
        <v>2876</v>
      </c>
      <c r="FJX1332" s="4" t="s">
        <v>2876</v>
      </c>
      <c r="FJY1332" s="4" t="s">
        <v>2876</v>
      </c>
      <c r="FJZ1332" s="4" t="s">
        <v>2876</v>
      </c>
      <c r="FKA1332" s="4" t="s">
        <v>2876</v>
      </c>
      <c r="FKB1332" s="4" t="s">
        <v>2876</v>
      </c>
      <c r="FKC1332" s="4" t="s">
        <v>2876</v>
      </c>
      <c r="FKD1332" s="4" t="s">
        <v>2876</v>
      </c>
      <c r="FKE1332" s="4" t="s">
        <v>2876</v>
      </c>
      <c r="FKF1332" s="4" t="s">
        <v>2876</v>
      </c>
      <c r="FKG1332" s="4" t="s">
        <v>2876</v>
      </c>
      <c r="FKH1332" s="4" t="s">
        <v>2876</v>
      </c>
      <c r="FKI1332" s="4" t="s">
        <v>2876</v>
      </c>
      <c r="FKJ1332" s="4" t="s">
        <v>2876</v>
      </c>
      <c r="FKK1332" s="4" t="s">
        <v>2876</v>
      </c>
      <c r="FKL1332" s="4" t="s">
        <v>2876</v>
      </c>
      <c r="FKM1332" s="4" t="s">
        <v>2876</v>
      </c>
      <c r="FKN1332" s="4" t="s">
        <v>2876</v>
      </c>
      <c r="FKO1332" s="4" t="s">
        <v>2876</v>
      </c>
      <c r="FKP1332" s="4" t="s">
        <v>2876</v>
      </c>
      <c r="FKQ1332" s="4" t="s">
        <v>2876</v>
      </c>
      <c r="FKR1332" s="4" t="s">
        <v>2876</v>
      </c>
      <c r="FKS1332" s="4" t="s">
        <v>2876</v>
      </c>
      <c r="FKT1332" s="4" t="s">
        <v>2876</v>
      </c>
      <c r="FKU1332" s="4" t="s">
        <v>2876</v>
      </c>
      <c r="FKV1332" s="4" t="s">
        <v>2876</v>
      </c>
      <c r="FKW1332" s="4" t="s">
        <v>2876</v>
      </c>
      <c r="FKX1332" s="4" t="s">
        <v>2876</v>
      </c>
      <c r="FKY1332" s="4" t="s">
        <v>2876</v>
      </c>
      <c r="FKZ1332" s="4" t="s">
        <v>2876</v>
      </c>
      <c r="FLA1332" s="4" t="s">
        <v>2876</v>
      </c>
      <c r="FLB1332" s="4" t="s">
        <v>2876</v>
      </c>
      <c r="FLC1332" s="4" t="s">
        <v>2876</v>
      </c>
      <c r="FLD1332" s="4" t="s">
        <v>2876</v>
      </c>
      <c r="FLE1332" s="4" t="s">
        <v>2876</v>
      </c>
      <c r="FLF1332" s="4" t="s">
        <v>2876</v>
      </c>
      <c r="FLG1332" s="4" t="s">
        <v>2876</v>
      </c>
      <c r="FLH1332" s="4" t="s">
        <v>2876</v>
      </c>
      <c r="FLI1332" s="4" t="s">
        <v>2876</v>
      </c>
      <c r="FLJ1332" s="4" t="s">
        <v>2876</v>
      </c>
      <c r="FLK1332" s="4" t="s">
        <v>2876</v>
      </c>
      <c r="FLL1332" s="4" t="s">
        <v>2876</v>
      </c>
      <c r="FLM1332" s="4" t="s">
        <v>2876</v>
      </c>
      <c r="FLN1332" s="4" t="s">
        <v>2876</v>
      </c>
      <c r="FLO1332" s="4" t="s">
        <v>2876</v>
      </c>
      <c r="FLP1332" s="4" t="s">
        <v>2876</v>
      </c>
      <c r="FLQ1332" s="4" t="s">
        <v>2876</v>
      </c>
      <c r="FLR1332" s="4" t="s">
        <v>2876</v>
      </c>
      <c r="FLS1332" s="4" t="s">
        <v>2876</v>
      </c>
      <c r="FLT1332" s="4" t="s">
        <v>2876</v>
      </c>
      <c r="FLU1332" s="4" t="s">
        <v>2876</v>
      </c>
      <c r="FLV1332" s="4" t="s">
        <v>2876</v>
      </c>
      <c r="FLW1332" s="4" t="s">
        <v>2876</v>
      </c>
      <c r="FLX1332" s="4" t="s">
        <v>2876</v>
      </c>
      <c r="FLY1332" s="4" t="s">
        <v>2876</v>
      </c>
      <c r="FLZ1332" s="4" t="s">
        <v>2876</v>
      </c>
      <c r="FMA1332" s="4" t="s">
        <v>2876</v>
      </c>
      <c r="FMB1332" s="4" t="s">
        <v>2876</v>
      </c>
      <c r="FMC1332" s="4" t="s">
        <v>2876</v>
      </c>
      <c r="FMD1332" s="4" t="s">
        <v>2876</v>
      </c>
      <c r="FME1332" s="4" t="s">
        <v>2876</v>
      </c>
      <c r="FMF1332" s="4" t="s">
        <v>2876</v>
      </c>
      <c r="FMG1332" s="4" t="s">
        <v>2876</v>
      </c>
      <c r="FMH1332" s="4" t="s">
        <v>2876</v>
      </c>
      <c r="FMI1332" s="4" t="s">
        <v>2876</v>
      </c>
      <c r="FMJ1332" s="4" t="s">
        <v>2876</v>
      </c>
      <c r="FMK1332" s="4" t="s">
        <v>2876</v>
      </c>
      <c r="FML1332" s="4" t="s">
        <v>2876</v>
      </c>
      <c r="FMM1332" s="4" t="s">
        <v>2876</v>
      </c>
      <c r="FMN1332" s="4" t="s">
        <v>2876</v>
      </c>
      <c r="FMO1332" s="4" t="s">
        <v>2876</v>
      </c>
      <c r="FMP1332" s="4" t="s">
        <v>2876</v>
      </c>
      <c r="FMQ1332" s="4" t="s">
        <v>2876</v>
      </c>
      <c r="FMR1332" s="4" t="s">
        <v>2876</v>
      </c>
      <c r="FMS1332" s="4" t="s">
        <v>2876</v>
      </c>
      <c r="FMT1332" s="4" t="s">
        <v>2876</v>
      </c>
      <c r="FMU1332" s="4" t="s">
        <v>2876</v>
      </c>
      <c r="FMV1332" s="4" t="s">
        <v>2876</v>
      </c>
      <c r="FMW1332" s="4" t="s">
        <v>2876</v>
      </c>
      <c r="FMX1332" s="4" t="s">
        <v>2876</v>
      </c>
      <c r="FMY1332" s="4" t="s">
        <v>2876</v>
      </c>
      <c r="FMZ1332" s="4" t="s">
        <v>2876</v>
      </c>
      <c r="FNA1332" s="4" t="s">
        <v>2876</v>
      </c>
      <c r="FNB1332" s="4" t="s">
        <v>2876</v>
      </c>
      <c r="FNC1332" s="4" t="s">
        <v>2876</v>
      </c>
      <c r="FND1332" s="4" t="s">
        <v>2876</v>
      </c>
      <c r="FNE1332" s="4" t="s">
        <v>2876</v>
      </c>
      <c r="FNF1332" s="4" t="s">
        <v>2876</v>
      </c>
      <c r="FNG1332" s="4" t="s">
        <v>2876</v>
      </c>
      <c r="FNH1332" s="4" t="s">
        <v>2876</v>
      </c>
      <c r="FNI1332" s="4" t="s">
        <v>2876</v>
      </c>
      <c r="FNJ1332" s="4" t="s">
        <v>2876</v>
      </c>
      <c r="FNK1332" s="4" t="s">
        <v>2876</v>
      </c>
      <c r="FNL1332" s="4" t="s">
        <v>2876</v>
      </c>
      <c r="FNM1332" s="4" t="s">
        <v>2876</v>
      </c>
      <c r="FNN1332" s="4" t="s">
        <v>2876</v>
      </c>
      <c r="FNO1332" s="4" t="s">
        <v>2876</v>
      </c>
      <c r="FNP1332" s="4" t="s">
        <v>2876</v>
      </c>
      <c r="FNQ1332" s="4" t="s">
        <v>2876</v>
      </c>
      <c r="FNR1332" s="4" t="s">
        <v>2876</v>
      </c>
      <c r="FNS1332" s="4" t="s">
        <v>2876</v>
      </c>
      <c r="FNT1332" s="4" t="s">
        <v>2876</v>
      </c>
      <c r="FNU1332" s="4" t="s">
        <v>2876</v>
      </c>
      <c r="FNV1332" s="4" t="s">
        <v>2876</v>
      </c>
      <c r="FNW1332" s="4" t="s">
        <v>2876</v>
      </c>
      <c r="FNX1332" s="4" t="s">
        <v>2876</v>
      </c>
      <c r="FNY1332" s="4" t="s">
        <v>2876</v>
      </c>
      <c r="FNZ1332" s="4" t="s">
        <v>2876</v>
      </c>
      <c r="FOA1332" s="4" t="s">
        <v>2876</v>
      </c>
      <c r="FOB1332" s="4" t="s">
        <v>2876</v>
      </c>
      <c r="FOC1332" s="4" t="s">
        <v>2876</v>
      </c>
      <c r="FOD1332" s="4" t="s">
        <v>2876</v>
      </c>
      <c r="FOE1332" s="4" t="s">
        <v>2876</v>
      </c>
      <c r="FOF1332" s="4" t="s">
        <v>2876</v>
      </c>
      <c r="FOG1332" s="4" t="s">
        <v>2876</v>
      </c>
      <c r="FOH1332" s="4" t="s">
        <v>2876</v>
      </c>
      <c r="FOI1332" s="4" t="s">
        <v>2876</v>
      </c>
      <c r="FOJ1332" s="4" t="s">
        <v>2876</v>
      </c>
      <c r="FOK1332" s="4" t="s">
        <v>2876</v>
      </c>
      <c r="FOL1332" s="4" t="s">
        <v>2876</v>
      </c>
      <c r="FOM1332" s="4" t="s">
        <v>2876</v>
      </c>
      <c r="FON1332" s="4" t="s">
        <v>2876</v>
      </c>
      <c r="FOO1332" s="4" t="s">
        <v>2876</v>
      </c>
      <c r="FOP1332" s="4" t="s">
        <v>2876</v>
      </c>
      <c r="FOQ1332" s="4" t="s">
        <v>2876</v>
      </c>
      <c r="FOR1332" s="4" t="s">
        <v>2876</v>
      </c>
      <c r="FOS1332" s="4" t="s">
        <v>2876</v>
      </c>
      <c r="FOT1332" s="4" t="s">
        <v>2876</v>
      </c>
      <c r="FOU1332" s="4" t="s">
        <v>2876</v>
      </c>
      <c r="FOV1332" s="4" t="s">
        <v>2876</v>
      </c>
      <c r="FOW1332" s="4" t="s">
        <v>2876</v>
      </c>
      <c r="FOX1332" s="4" t="s">
        <v>2876</v>
      </c>
      <c r="FOY1332" s="4" t="s">
        <v>2876</v>
      </c>
      <c r="FOZ1332" s="4" t="s">
        <v>2876</v>
      </c>
      <c r="FPA1332" s="4" t="s">
        <v>2876</v>
      </c>
      <c r="FPB1332" s="4" t="s">
        <v>2876</v>
      </c>
      <c r="FPC1332" s="4" t="s">
        <v>2876</v>
      </c>
      <c r="FPD1332" s="4" t="s">
        <v>2876</v>
      </c>
      <c r="FPE1332" s="4" t="s">
        <v>2876</v>
      </c>
      <c r="FPF1332" s="4" t="s">
        <v>2876</v>
      </c>
      <c r="FPG1332" s="4" t="s">
        <v>2876</v>
      </c>
      <c r="FPH1332" s="4" t="s">
        <v>2876</v>
      </c>
      <c r="FPI1332" s="4" t="s">
        <v>2876</v>
      </c>
      <c r="FPJ1332" s="4" t="s">
        <v>2876</v>
      </c>
      <c r="FPK1332" s="4" t="s">
        <v>2876</v>
      </c>
      <c r="FPL1332" s="4" t="s">
        <v>2876</v>
      </c>
      <c r="FPM1332" s="4" t="s">
        <v>2876</v>
      </c>
      <c r="FPN1332" s="4" t="s">
        <v>2876</v>
      </c>
      <c r="FPO1332" s="4" t="s">
        <v>2876</v>
      </c>
      <c r="FPP1332" s="4" t="s">
        <v>2876</v>
      </c>
      <c r="FPQ1332" s="4" t="s">
        <v>2876</v>
      </c>
      <c r="FPR1332" s="4" t="s">
        <v>2876</v>
      </c>
      <c r="FPS1332" s="4" t="s">
        <v>2876</v>
      </c>
      <c r="FPT1332" s="4" t="s">
        <v>2876</v>
      </c>
      <c r="FPU1332" s="4" t="s">
        <v>2876</v>
      </c>
      <c r="FPV1332" s="4" t="s">
        <v>2876</v>
      </c>
      <c r="FPW1332" s="4" t="s">
        <v>2876</v>
      </c>
      <c r="FPX1332" s="4" t="s">
        <v>2876</v>
      </c>
      <c r="FPY1332" s="4" t="s">
        <v>2876</v>
      </c>
      <c r="FPZ1332" s="4" t="s">
        <v>2876</v>
      </c>
      <c r="FQA1332" s="4" t="s">
        <v>2876</v>
      </c>
      <c r="FQB1332" s="4" t="s">
        <v>2876</v>
      </c>
      <c r="FQC1332" s="4" t="s">
        <v>2876</v>
      </c>
      <c r="FQD1332" s="4" t="s">
        <v>2876</v>
      </c>
      <c r="FQE1332" s="4" t="s">
        <v>2876</v>
      </c>
      <c r="FQF1332" s="4" t="s">
        <v>2876</v>
      </c>
      <c r="FQG1332" s="4" t="s">
        <v>2876</v>
      </c>
      <c r="FQH1332" s="4" t="s">
        <v>2876</v>
      </c>
      <c r="FQI1332" s="4" t="s">
        <v>2876</v>
      </c>
      <c r="FQJ1332" s="4" t="s">
        <v>2876</v>
      </c>
      <c r="FQK1332" s="4" t="s">
        <v>2876</v>
      </c>
      <c r="FQL1332" s="4" t="s">
        <v>2876</v>
      </c>
      <c r="FQM1332" s="4" t="s">
        <v>2876</v>
      </c>
      <c r="FQN1332" s="4" t="s">
        <v>2876</v>
      </c>
      <c r="FQO1332" s="4" t="s">
        <v>2876</v>
      </c>
      <c r="FQP1332" s="4" t="s">
        <v>2876</v>
      </c>
      <c r="FQQ1332" s="4" t="s">
        <v>2876</v>
      </c>
      <c r="FQR1332" s="4" t="s">
        <v>2876</v>
      </c>
      <c r="FQS1332" s="4" t="s">
        <v>2876</v>
      </c>
      <c r="FQT1332" s="4" t="s">
        <v>2876</v>
      </c>
      <c r="FQU1332" s="4" t="s">
        <v>2876</v>
      </c>
      <c r="FQV1332" s="4" t="s">
        <v>2876</v>
      </c>
      <c r="FQW1332" s="4" t="s">
        <v>2876</v>
      </c>
      <c r="FQX1332" s="4" t="s">
        <v>2876</v>
      </c>
      <c r="FQY1332" s="4" t="s">
        <v>2876</v>
      </c>
      <c r="FQZ1332" s="4" t="s">
        <v>2876</v>
      </c>
      <c r="FRA1332" s="4" t="s">
        <v>2876</v>
      </c>
      <c r="FRB1332" s="4" t="s">
        <v>2876</v>
      </c>
      <c r="FRC1332" s="4" t="s">
        <v>2876</v>
      </c>
      <c r="FRD1332" s="4" t="s">
        <v>2876</v>
      </c>
      <c r="FRE1332" s="4" t="s">
        <v>2876</v>
      </c>
      <c r="FRF1332" s="4" t="s">
        <v>2876</v>
      </c>
      <c r="FRG1332" s="4" t="s">
        <v>2876</v>
      </c>
      <c r="FRH1332" s="4" t="s">
        <v>2876</v>
      </c>
      <c r="FRI1332" s="4" t="s">
        <v>2876</v>
      </c>
      <c r="FRJ1332" s="4" t="s">
        <v>2876</v>
      </c>
      <c r="FRK1332" s="4" t="s">
        <v>2876</v>
      </c>
      <c r="FRL1332" s="4" t="s">
        <v>2876</v>
      </c>
      <c r="FRM1332" s="4" t="s">
        <v>2876</v>
      </c>
      <c r="FRN1332" s="4" t="s">
        <v>2876</v>
      </c>
      <c r="FRO1332" s="4" t="s">
        <v>2876</v>
      </c>
      <c r="FRP1332" s="4" t="s">
        <v>2876</v>
      </c>
      <c r="FRQ1332" s="4" t="s">
        <v>2876</v>
      </c>
      <c r="FRR1332" s="4" t="s">
        <v>2876</v>
      </c>
      <c r="FRS1332" s="4" t="s">
        <v>2876</v>
      </c>
      <c r="FRT1332" s="4" t="s">
        <v>2876</v>
      </c>
      <c r="FRU1332" s="4" t="s">
        <v>2876</v>
      </c>
      <c r="FRV1332" s="4" t="s">
        <v>2876</v>
      </c>
      <c r="FRW1332" s="4" t="s">
        <v>2876</v>
      </c>
      <c r="FRX1332" s="4" t="s">
        <v>2876</v>
      </c>
      <c r="FRY1332" s="4" t="s">
        <v>2876</v>
      </c>
      <c r="FRZ1332" s="4" t="s">
        <v>2876</v>
      </c>
      <c r="FSA1332" s="4" t="s">
        <v>2876</v>
      </c>
      <c r="FSB1332" s="4" t="s">
        <v>2876</v>
      </c>
      <c r="FSC1332" s="4" t="s">
        <v>2876</v>
      </c>
      <c r="FSD1332" s="4" t="s">
        <v>2876</v>
      </c>
      <c r="FSE1332" s="4" t="s">
        <v>2876</v>
      </c>
      <c r="FSF1332" s="4" t="s">
        <v>2876</v>
      </c>
      <c r="FSG1332" s="4" t="s">
        <v>2876</v>
      </c>
      <c r="FSH1332" s="4" t="s">
        <v>2876</v>
      </c>
      <c r="FSI1332" s="4" t="s">
        <v>2876</v>
      </c>
      <c r="FSJ1332" s="4" t="s">
        <v>2876</v>
      </c>
      <c r="FSK1332" s="4" t="s">
        <v>2876</v>
      </c>
      <c r="FSL1332" s="4" t="s">
        <v>2876</v>
      </c>
      <c r="FSM1332" s="4" t="s">
        <v>2876</v>
      </c>
      <c r="FSN1332" s="4" t="s">
        <v>2876</v>
      </c>
      <c r="FSO1332" s="4" t="s">
        <v>2876</v>
      </c>
      <c r="FSP1332" s="4" t="s">
        <v>2876</v>
      </c>
      <c r="FSQ1332" s="4" t="s">
        <v>2876</v>
      </c>
      <c r="FSR1332" s="4" t="s">
        <v>2876</v>
      </c>
      <c r="FSS1332" s="4" t="s">
        <v>2876</v>
      </c>
      <c r="FST1332" s="4" t="s">
        <v>2876</v>
      </c>
      <c r="FSU1332" s="4" t="s">
        <v>2876</v>
      </c>
      <c r="FSV1332" s="4" t="s">
        <v>2876</v>
      </c>
      <c r="FSW1332" s="4" t="s">
        <v>2876</v>
      </c>
      <c r="FSX1332" s="4" t="s">
        <v>2876</v>
      </c>
      <c r="FSY1332" s="4" t="s">
        <v>2876</v>
      </c>
      <c r="FSZ1332" s="4" t="s">
        <v>2876</v>
      </c>
      <c r="FTA1332" s="4" t="s">
        <v>2876</v>
      </c>
      <c r="FTB1332" s="4" t="s">
        <v>2876</v>
      </c>
      <c r="FTC1332" s="4" t="s">
        <v>2876</v>
      </c>
      <c r="FTD1332" s="4" t="s">
        <v>2876</v>
      </c>
      <c r="FTE1332" s="4" t="s">
        <v>2876</v>
      </c>
      <c r="FTF1332" s="4" t="s">
        <v>2876</v>
      </c>
      <c r="FTG1332" s="4" t="s">
        <v>2876</v>
      </c>
      <c r="FTH1332" s="4" t="s">
        <v>2876</v>
      </c>
      <c r="FTI1332" s="4" t="s">
        <v>2876</v>
      </c>
      <c r="FTJ1332" s="4" t="s">
        <v>2876</v>
      </c>
      <c r="FTK1332" s="4" t="s">
        <v>2876</v>
      </c>
      <c r="FTL1332" s="4" t="s">
        <v>2876</v>
      </c>
      <c r="FTM1332" s="4" t="s">
        <v>2876</v>
      </c>
      <c r="FTN1332" s="4" t="s">
        <v>2876</v>
      </c>
      <c r="FTO1332" s="4" t="s">
        <v>2876</v>
      </c>
      <c r="FTP1332" s="4" t="s">
        <v>2876</v>
      </c>
      <c r="FTQ1332" s="4" t="s">
        <v>2876</v>
      </c>
      <c r="FTR1332" s="4" t="s">
        <v>2876</v>
      </c>
      <c r="FTS1332" s="4" t="s">
        <v>2876</v>
      </c>
      <c r="FTT1332" s="4" t="s">
        <v>2876</v>
      </c>
      <c r="FTU1332" s="4" t="s">
        <v>2876</v>
      </c>
      <c r="FTV1332" s="4" t="s">
        <v>2876</v>
      </c>
      <c r="FTW1332" s="4" t="s">
        <v>2876</v>
      </c>
      <c r="FTX1332" s="4" t="s">
        <v>2876</v>
      </c>
      <c r="FTY1332" s="4" t="s">
        <v>2876</v>
      </c>
      <c r="FTZ1332" s="4" t="s">
        <v>2876</v>
      </c>
      <c r="FUA1332" s="4" t="s">
        <v>2876</v>
      </c>
      <c r="FUB1332" s="4" t="s">
        <v>2876</v>
      </c>
      <c r="FUC1332" s="4" t="s">
        <v>2876</v>
      </c>
      <c r="FUD1332" s="4" t="s">
        <v>2876</v>
      </c>
      <c r="FUE1332" s="4" t="s">
        <v>2876</v>
      </c>
      <c r="FUF1332" s="4" t="s">
        <v>2876</v>
      </c>
      <c r="FUG1332" s="4" t="s">
        <v>2876</v>
      </c>
      <c r="FUH1332" s="4" t="s">
        <v>2876</v>
      </c>
      <c r="FUI1332" s="4" t="s">
        <v>2876</v>
      </c>
      <c r="FUJ1332" s="4" t="s">
        <v>2876</v>
      </c>
      <c r="FUK1332" s="4" t="s">
        <v>2876</v>
      </c>
      <c r="FUL1332" s="4" t="s">
        <v>2876</v>
      </c>
      <c r="FUM1332" s="4" t="s">
        <v>2876</v>
      </c>
      <c r="FUN1332" s="4" t="s">
        <v>2876</v>
      </c>
      <c r="FUO1332" s="4" t="s">
        <v>2876</v>
      </c>
      <c r="FUP1332" s="4" t="s">
        <v>2876</v>
      </c>
      <c r="FUQ1332" s="4" t="s">
        <v>2876</v>
      </c>
      <c r="FUR1332" s="4" t="s">
        <v>2876</v>
      </c>
      <c r="FUS1332" s="4" t="s">
        <v>2876</v>
      </c>
      <c r="FUT1332" s="4" t="s">
        <v>2876</v>
      </c>
      <c r="FUU1332" s="4" t="s">
        <v>2876</v>
      </c>
      <c r="FUV1332" s="4" t="s">
        <v>2876</v>
      </c>
      <c r="FUW1332" s="4" t="s">
        <v>2876</v>
      </c>
      <c r="FUX1332" s="4" t="s">
        <v>2876</v>
      </c>
      <c r="FUY1332" s="4" t="s">
        <v>2876</v>
      </c>
      <c r="FUZ1332" s="4" t="s">
        <v>2876</v>
      </c>
      <c r="FVA1332" s="4" t="s">
        <v>2876</v>
      </c>
      <c r="FVB1332" s="4" t="s">
        <v>2876</v>
      </c>
      <c r="FVC1332" s="4" t="s">
        <v>2876</v>
      </c>
      <c r="FVD1332" s="4" t="s">
        <v>2876</v>
      </c>
      <c r="FVE1332" s="4" t="s">
        <v>2876</v>
      </c>
      <c r="FVF1332" s="4" t="s">
        <v>2876</v>
      </c>
      <c r="FVG1332" s="4" t="s">
        <v>2876</v>
      </c>
      <c r="FVH1332" s="4" t="s">
        <v>2876</v>
      </c>
      <c r="FVI1332" s="4" t="s">
        <v>2876</v>
      </c>
      <c r="FVJ1332" s="4" t="s">
        <v>2876</v>
      </c>
      <c r="FVK1332" s="4" t="s">
        <v>2876</v>
      </c>
      <c r="FVL1332" s="4" t="s">
        <v>2876</v>
      </c>
      <c r="FVM1332" s="4" t="s">
        <v>2876</v>
      </c>
      <c r="FVN1332" s="4" t="s">
        <v>2876</v>
      </c>
      <c r="FVO1332" s="4" t="s">
        <v>2876</v>
      </c>
      <c r="FVP1332" s="4" t="s">
        <v>2876</v>
      </c>
      <c r="FVQ1332" s="4" t="s">
        <v>2876</v>
      </c>
      <c r="FVR1332" s="4" t="s">
        <v>2876</v>
      </c>
      <c r="FVS1332" s="4" t="s">
        <v>2876</v>
      </c>
      <c r="FVT1332" s="4" t="s">
        <v>2876</v>
      </c>
      <c r="FVU1332" s="4" t="s">
        <v>2876</v>
      </c>
      <c r="FVV1332" s="4" t="s">
        <v>2876</v>
      </c>
      <c r="FVW1332" s="4" t="s">
        <v>2876</v>
      </c>
      <c r="FVX1332" s="4" t="s">
        <v>2876</v>
      </c>
      <c r="FVY1332" s="4" t="s">
        <v>2876</v>
      </c>
      <c r="FVZ1332" s="4" t="s">
        <v>2876</v>
      </c>
      <c r="FWA1332" s="4" t="s">
        <v>2876</v>
      </c>
      <c r="FWB1332" s="4" t="s">
        <v>2876</v>
      </c>
      <c r="FWC1332" s="4" t="s">
        <v>2876</v>
      </c>
      <c r="FWD1332" s="4" t="s">
        <v>2876</v>
      </c>
      <c r="FWE1332" s="4" t="s">
        <v>2876</v>
      </c>
      <c r="FWF1332" s="4" t="s">
        <v>2876</v>
      </c>
      <c r="FWG1332" s="4" t="s">
        <v>2876</v>
      </c>
      <c r="FWH1332" s="4" t="s">
        <v>2876</v>
      </c>
      <c r="FWI1332" s="4" t="s">
        <v>2876</v>
      </c>
      <c r="FWJ1332" s="4" t="s">
        <v>2876</v>
      </c>
      <c r="FWK1332" s="4" t="s">
        <v>2876</v>
      </c>
      <c r="FWL1332" s="4" t="s">
        <v>2876</v>
      </c>
      <c r="FWM1332" s="4" t="s">
        <v>2876</v>
      </c>
      <c r="FWN1332" s="4" t="s">
        <v>2876</v>
      </c>
      <c r="FWO1332" s="4" t="s">
        <v>2876</v>
      </c>
      <c r="FWP1332" s="4" t="s">
        <v>2876</v>
      </c>
      <c r="FWQ1332" s="4" t="s">
        <v>2876</v>
      </c>
      <c r="FWR1332" s="4" t="s">
        <v>2876</v>
      </c>
      <c r="FWS1332" s="4" t="s">
        <v>2876</v>
      </c>
      <c r="FWT1332" s="4" t="s">
        <v>2876</v>
      </c>
      <c r="FWU1332" s="4" t="s">
        <v>2876</v>
      </c>
      <c r="FWV1332" s="4" t="s">
        <v>2876</v>
      </c>
      <c r="FWW1332" s="4" t="s">
        <v>2876</v>
      </c>
      <c r="FWX1332" s="4" t="s">
        <v>2876</v>
      </c>
      <c r="FWY1332" s="4" t="s">
        <v>2876</v>
      </c>
      <c r="FWZ1332" s="4" t="s">
        <v>2876</v>
      </c>
      <c r="FXA1332" s="4" t="s">
        <v>2876</v>
      </c>
      <c r="FXB1332" s="4" t="s">
        <v>2876</v>
      </c>
      <c r="FXC1332" s="4" t="s">
        <v>2876</v>
      </c>
      <c r="FXD1332" s="4" t="s">
        <v>2876</v>
      </c>
      <c r="FXE1332" s="4" t="s">
        <v>2876</v>
      </c>
      <c r="FXF1332" s="4" t="s">
        <v>2876</v>
      </c>
      <c r="FXG1332" s="4" t="s">
        <v>2876</v>
      </c>
      <c r="FXH1332" s="4" t="s">
        <v>2876</v>
      </c>
      <c r="FXI1332" s="4" t="s">
        <v>2876</v>
      </c>
      <c r="FXJ1332" s="4" t="s">
        <v>2876</v>
      </c>
      <c r="FXK1332" s="4" t="s">
        <v>2876</v>
      </c>
      <c r="FXL1332" s="4" t="s">
        <v>2876</v>
      </c>
      <c r="FXM1332" s="4" t="s">
        <v>2876</v>
      </c>
      <c r="FXN1332" s="4" t="s">
        <v>2876</v>
      </c>
      <c r="FXO1332" s="4" t="s">
        <v>2876</v>
      </c>
      <c r="FXP1332" s="4" t="s">
        <v>2876</v>
      </c>
      <c r="FXQ1332" s="4" t="s">
        <v>2876</v>
      </c>
      <c r="FXR1332" s="4" t="s">
        <v>2876</v>
      </c>
      <c r="FXS1332" s="4" t="s">
        <v>2876</v>
      </c>
      <c r="FXT1332" s="4" t="s">
        <v>2876</v>
      </c>
      <c r="FXU1332" s="4" t="s">
        <v>2876</v>
      </c>
      <c r="FXV1332" s="4" t="s">
        <v>2876</v>
      </c>
      <c r="FXW1332" s="4" t="s">
        <v>2876</v>
      </c>
      <c r="FXX1332" s="4" t="s">
        <v>2876</v>
      </c>
      <c r="FXY1332" s="4" t="s">
        <v>2876</v>
      </c>
      <c r="FXZ1332" s="4" t="s">
        <v>2876</v>
      </c>
      <c r="FYA1332" s="4" t="s">
        <v>2876</v>
      </c>
      <c r="FYB1332" s="4" t="s">
        <v>2876</v>
      </c>
      <c r="FYC1332" s="4" t="s">
        <v>2876</v>
      </c>
      <c r="FYD1332" s="4" t="s">
        <v>2876</v>
      </c>
      <c r="FYE1332" s="4" t="s">
        <v>2876</v>
      </c>
      <c r="FYF1332" s="4" t="s">
        <v>2876</v>
      </c>
      <c r="FYG1332" s="4" t="s">
        <v>2876</v>
      </c>
      <c r="FYH1332" s="4" t="s">
        <v>2876</v>
      </c>
      <c r="FYI1332" s="4" t="s">
        <v>2876</v>
      </c>
      <c r="FYJ1332" s="4" t="s">
        <v>2876</v>
      </c>
      <c r="FYK1332" s="4" t="s">
        <v>2876</v>
      </c>
      <c r="FYL1332" s="4" t="s">
        <v>2876</v>
      </c>
      <c r="FYM1332" s="4" t="s">
        <v>2876</v>
      </c>
      <c r="FYN1332" s="4" t="s">
        <v>2876</v>
      </c>
      <c r="FYO1332" s="4" t="s">
        <v>2876</v>
      </c>
      <c r="FYP1332" s="4" t="s">
        <v>2876</v>
      </c>
      <c r="FYQ1332" s="4" t="s">
        <v>2876</v>
      </c>
      <c r="FYR1332" s="4" t="s">
        <v>2876</v>
      </c>
      <c r="FYS1332" s="4" t="s">
        <v>2876</v>
      </c>
      <c r="FYT1332" s="4" t="s">
        <v>2876</v>
      </c>
      <c r="FYU1332" s="4" t="s">
        <v>2876</v>
      </c>
      <c r="FYV1332" s="4" t="s">
        <v>2876</v>
      </c>
      <c r="FYW1332" s="4" t="s">
        <v>2876</v>
      </c>
      <c r="FYX1332" s="4" t="s">
        <v>2876</v>
      </c>
      <c r="FYY1332" s="4" t="s">
        <v>2876</v>
      </c>
      <c r="FYZ1332" s="4" t="s">
        <v>2876</v>
      </c>
      <c r="FZA1332" s="4" t="s">
        <v>2876</v>
      </c>
      <c r="FZB1332" s="4" t="s">
        <v>2876</v>
      </c>
      <c r="FZC1332" s="4" t="s">
        <v>2876</v>
      </c>
      <c r="FZD1332" s="4" t="s">
        <v>2876</v>
      </c>
      <c r="FZE1332" s="4" t="s">
        <v>2876</v>
      </c>
      <c r="FZF1332" s="4" t="s">
        <v>2876</v>
      </c>
      <c r="FZG1332" s="4" t="s">
        <v>2876</v>
      </c>
      <c r="FZH1332" s="4" t="s">
        <v>2876</v>
      </c>
      <c r="FZI1332" s="4" t="s">
        <v>2876</v>
      </c>
      <c r="FZJ1332" s="4" t="s">
        <v>2876</v>
      </c>
      <c r="FZK1332" s="4" t="s">
        <v>2876</v>
      </c>
      <c r="FZL1332" s="4" t="s">
        <v>2876</v>
      </c>
      <c r="FZM1332" s="4" t="s">
        <v>2876</v>
      </c>
      <c r="FZN1332" s="4" t="s">
        <v>2876</v>
      </c>
      <c r="FZO1332" s="4" t="s">
        <v>2876</v>
      </c>
      <c r="FZP1332" s="4" t="s">
        <v>2876</v>
      </c>
      <c r="FZQ1332" s="4" t="s">
        <v>2876</v>
      </c>
      <c r="FZR1332" s="4" t="s">
        <v>2876</v>
      </c>
      <c r="FZS1332" s="4" t="s">
        <v>2876</v>
      </c>
      <c r="FZT1332" s="4" t="s">
        <v>2876</v>
      </c>
      <c r="FZU1332" s="4" t="s">
        <v>2876</v>
      </c>
      <c r="FZV1332" s="4" t="s">
        <v>2876</v>
      </c>
      <c r="FZW1332" s="4" t="s">
        <v>2876</v>
      </c>
      <c r="FZX1332" s="4" t="s">
        <v>2876</v>
      </c>
      <c r="FZY1332" s="4" t="s">
        <v>2876</v>
      </c>
      <c r="FZZ1332" s="4" t="s">
        <v>2876</v>
      </c>
      <c r="GAA1332" s="4" t="s">
        <v>2876</v>
      </c>
      <c r="GAB1332" s="4" t="s">
        <v>2876</v>
      </c>
      <c r="GAC1332" s="4" t="s">
        <v>2876</v>
      </c>
      <c r="GAD1332" s="4" t="s">
        <v>2876</v>
      </c>
      <c r="GAE1332" s="4" t="s">
        <v>2876</v>
      </c>
      <c r="GAF1332" s="4" t="s">
        <v>2876</v>
      </c>
      <c r="GAG1332" s="4" t="s">
        <v>2876</v>
      </c>
      <c r="GAH1332" s="4" t="s">
        <v>2876</v>
      </c>
      <c r="GAI1332" s="4" t="s">
        <v>2876</v>
      </c>
      <c r="GAJ1332" s="4" t="s">
        <v>2876</v>
      </c>
      <c r="GAK1332" s="4" t="s">
        <v>2876</v>
      </c>
      <c r="GAL1332" s="4" t="s">
        <v>2876</v>
      </c>
      <c r="GAM1332" s="4" t="s">
        <v>2876</v>
      </c>
      <c r="GAN1332" s="4" t="s">
        <v>2876</v>
      </c>
      <c r="GAO1332" s="4" t="s">
        <v>2876</v>
      </c>
      <c r="GAP1332" s="4" t="s">
        <v>2876</v>
      </c>
      <c r="GAQ1332" s="4" t="s">
        <v>2876</v>
      </c>
      <c r="GAR1332" s="4" t="s">
        <v>2876</v>
      </c>
      <c r="GAS1332" s="4" t="s">
        <v>2876</v>
      </c>
      <c r="GAT1332" s="4" t="s">
        <v>2876</v>
      </c>
      <c r="GAU1332" s="4" t="s">
        <v>2876</v>
      </c>
      <c r="GAV1332" s="4" t="s">
        <v>2876</v>
      </c>
      <c r="GAW1332" s="4" t="s">
        <v>2876</v>
      </c>
      <c r="GAX1332" s="4" t="s">
        <v>2876</v>
      </c>
      <c r="GAY1332" s="4" t="s">
        <v>2876</v>
      </c>
      <c r="GAZ1332" s="4" t="s">
        <v>2876</v>
      </c>
      <c r="GBA1332" s="4" t="s">
        <v>2876</v>
      </c>
      <c r="GBB1332" s="4" t="s">
        <v>2876</v>
      </c>
      <c r="GBC1332" s="4" t="s">
        <v>2876</v>
      </c>
      <c r="GBD1332" s="4" t="s">
        <v>2876</v>
      </c>
      <c r="GBE1332" s="4" t="s">
        <v>2876</v>
      </c>
      <c r="GBF1332" s="4" t="s">
        <v>2876</v>
      </c>
      <c r="GBG1332" s="4" t="s">
        <v>2876</v>
      </c>
      <c r="GBH1332" s="4" t="s">
        <v>2876</v>
      </c>
      <c r="GBI1332" s="4" t="s">
        <v>2876</v>
      </c>
      <c r="GBJ1332" s="4" t="s">
        <v>2876</v>
      </c>
      <c r="GBK1332" s="4" t="s">
        <v>2876</v>
      </c>
      <c r="GBL1332" s="4" t="s">
        <v>2876</v>
      </c>
      <c r="GBM1332" s="4" t="s">
        <v>2876</v>
      </c>
      <c r="GBN1332" s="4" t="s">
        <v>2876</v>
      </c>
      <c r="GBO1332" s="4" t="s">
        <v>2876</v>
      </c>
      <c r="GBP1332" s="4" t="s">
        <v>2876</v>
      </c>
      <c r="GBQ1332" s="4" t="s">
        <v>2876</v>
      </c>
      <c r="GBR1332" s="4" t="s">
        <v>2876</v>
      </c>
      <c r="GBS1332" s="4" t="s">
        <v>2876</v>
      </c>
      <c r="GBT1332" s="4" t="s">
        <v>2876</v>
      </c>
      <c r="GBU1332" s="4" t="s">
        <v>2876</v>
      </c>
      <c r="GBV1332" s="4" t="s">
        <v>2876</v>
      </c>
      <c r="GBW1332" s="4" t="s">
        <v>2876</v>
      </c>
      <c r="GBX1332" s="4" t="s">
        <v>2876</v>
      </c>
      <c r="GBY1332" s="4" t="s">
        <v>2876</v>
      </c>
      <c r="GBZ1332" s="4" t="s">
        <v>2876</v>
      </c>
      <c r="GCA1332" s="4" t="s">
        <v>2876</v>
      </c>
      <c r="GCB1332" s="4" t="s">
        <v>2876</v>
      </c>
      <c r="GCC1332" s="4" t="s">
        <v>2876</v>
      </c>
      <c r="GCD1332" s="4" t="s">
        <v>2876</v>
      </c>
      <c r="GCE1332" s="4" t="s">
        <v>2876</v>
      </c>
      <c r="GCF1332" s="4" t="s">
        <v>2876</v>
      </c>
      <c r="GCG1332" s="4" t="s">
        <v>2876</v>
      </c>
      <c r="GCH1332" s="4" t="s">
        <v>2876</v>
      </c>
      <c r="GCI1332" s="4" t="s">
        <v>2876</v>
      </c>
      <c r="GCJ1332" s="4" t="s">
        <v>2876</v>
      </c>
      <c r="GCK1332" s="4" t="s">
        <v>2876</v>
      </c>
      <c r="GCL1332" s="4" t="s">
        <v>2876</v>
      </c>
      <c r="GCM1332" s="4" t="s">
        <v>2876</v>
      </c>
      <c r="GCN1332" s="4" t="s">
        <v>2876</v>
      </c>
      <c r="GCO1332" s="4" t="s">
        <v>2876</v>
      </c>
      <c r="GCP1332" s="4" t="s">
        <v>2876</v>
      </c>
      <c r="GCQ1332" s="4" t="s">
        <v>2876</v>
      </c>
      <c r="GCR1332" s="4" t="s">
        <v>2876</v>
      </c>
      <c r="GCS1332" s="4" t="s">
        <v>2876</v>
      </c>
      <c r="GCT1332" s="4" t="s">
        <v>2876</v>
      </c>
      <c r="GCU1332" s="4" t="s">
        <v>2876</v>
      </c>
      <c r="GCV1332" s="4" t="s">
        <v>2876</v>
      </c>
      <c r="GCW1332" s="4" t="s">
        <v>2876</v>
      </c>
      <c r="GCX1332" s="4" t="s">
        <v>2876</v>
      </c>
      <c r="GCY1332" s="4" t="s">
        <v>2876</v>
      </c>
      <c r="GCZ1332" s="4" t="s">
        <v>2876</v>
      </c>
      <c r="GDA1332" s="4" t="s">
        <v>2876</v>
      </c>
      <c r="GDB1332" s="4" t="s">
        <v>2876</v>
      </c>
      <c r="GDC1332" s="4" t="s">
        <v>2876</v>
      </c>
      <c r="GDD1332" s="4" t="s">
        <v>2876</v>
      </c>
      <c r="GDE1332" s="4" t="s">
        <v>2876</v>
      </c>
      <c r="GDF1332" s="4" t="s">
        <v>2876</v>
      </c>
      <c r="GDG1332" s="4" t="s">
        <v>2876</v>
      </c>
      <c r="GDH1332" s="4" t="s">
        <v>2876</v>
      </c>
      <c r="GDI1332" s="4" t="s">
        <v>2876</v>
      </c>
      <c r="GDJ1332" s="4" t="s">
        <v>2876</v>
      </c>
      <c r="GDK1332" s="4" t="s">
        <v>2876</v>
      </c>
      <c r="GDL1332" s="4" t="s">
        <v>2876</v>
      </c>
      <c r="GDM1332" s="4" t="s">
        <v>2876</v>
      </c>
      <c r="GDN1332" s="4" t="s">
        <v>2876</v>
      </c>
      <c r="GDO1332" s="4" t="s">
        <v>2876</v>
      </c>
      <c r="GDP1332" s="4" t="s">
        <v>2876</v>
      </c>
      <c r="GDQ1332" s="4" t="s">
        <v>2876</v>
      </c>
      <c r="GDR1332" s="4" t="s">
        <v>2876</v>
      </c>
      <c r="GDS1332" s="4" t="s">
        <v>2876</v>
      </c>
      <c r="GDT1332" s="4" t="s">
        <v>2876</v>
      </c>
      <c r="GDU1332" s="4" t="s">
        <v>2876</v>
      </c>
      <c r="GDV1332" s="4" t="s">
        <v>2876</v>
      </c>
      <c r="GDW1332" s="4" t="s">
        <v>2876</v>
      </c>
      <c r="GDX1332" s="4" t="s">
        <v>2876</v>
      </c>
      <c r="GDY1332" s="4" t="s">
        <v>2876</v>
      </c>
      <c r="GDZ1332" s="4" t="s">
        <v>2876</v>
      </c>
      <c r="GEA1332" s="4" t="s">
        <v>2876</v>
      </c>
      <c r="GEB1332" s="4" t="s">
        <v>2876</v>
      </c>
      <c r="GEC1332" s="4" t="s">
        <v>2876</v>
      </c>
      <c r="GED1332" s="4" t="s">
        <v>2876</v>
      </c>
      <c r="GEE1332" s="4" t="s">
        <v>2876</v>
      </c>
      <c r="GEF1332" s="4" t="s">
        <v>2876</v>
      </c>
      <c r="GEG1332" s="4" t="s">
        <v>2876</v>
      </c>
      <c r="GEH1332" s="4" t="s">
        <v>2876</v>
      </c>
      <c r="GEI1332" s="4" t="s">
        <v>2876</v>
      </c>
      <c r="GEJ1332" s="4" t="s">
        <v>2876</v>
      </c>
      <c r="GEK1332" s="4" t="s">
        <v>2876</v>
      </c>
      <c r="GEL1332" s="4" t="s">
        <v>2876</v>
      </c>
      <c r="GEM1332" s="4" t="s">
        <v>2876</v>
      </c>
      <c r="GEN1332" s="4" t="s">
        <v>2876</v>
      </c>
      <c r="GEO1332" s="4" t="s">
        <v>2876</v>
      </c>
      <c r="GEP1332" s="4" t="s">
        <v>2876</v>
      </c>
      <c r="GEQ1332" s="4" t="s">
        <v>2876</v>
      </c>
      <c r="GER1332" s="4" t="s">
        <v>2876</v>
      </c>
      <c r="GES1332" s="4" t="s">
        <v>2876</v>
      </c>
      <c r="GET1332" s="4" t="s">
        <v>2876</v>
      </c>
      <c r="GEU1332" s="4" t="s">
        <v>2876</v>
      </c>
      <c r="GEV1332" s="4" t="s">
        <v>2876</v>
      </c>
      <c r="GEW1332" s="4" t="s">
        <v>2876</v>
      </c>
      <c r="GEX1332" s="4" t="s">
        <v>2876</v>
      </c>
      <c r="GEY1332" s="4" t="s">
        <v>2876</v>
      </c>
      <c r="GEZ1332" s="4" t="s">
        <v>2876</v>
      </c>
      <c r="GFA1332" s="4" t="s">
        <v>2876</v>
      </c>
      <c r="GFB1332" s="4" t="s">
        <v>2876</v>
      </c>
      <c r="GFC1332" s="4" t="s">
        <v>2876</v>
      </c>
      <c r="GFD1332" s="4" t="s">
        <v>2876</v>
      </c>
      <c r="GFE1332" s="4" t="s">
        <v>2876</v>
      </c>
      <c r="GFF1332" s="4" t="s">
        <v>2876</v>
      </c>
      <c r="GFG1332" s="4" t="s">
        <v>2876</v>
      </c>
      <c r="GFH1332" s="4" t="s">
        <v>2876</v>
      </c>
      <c r="GFI1332" s="4" t="s">
        <v>2876</v>
      </c>
      <c r="GFJ1332" s="4" t="s">
        <v>2876</v>
      </c>
      <c r="GFK1332" s="4" t="s">
        <v>2876</v>
      </c>
      <c r="GFL1332" s="4" t="s">
        <v>2876</v>
      </c>
      <c r="GFM1332" s="4" t="s">
        <v>2876</v>
      </c>
      <c r="GFN1332" s="4" t="s">
        <v>2876</v>
      </c>
      <c r="GFO1332" s="4" t="s">
        <v>2876</v>
      </c>
      <c r="GFP1332" s="4" t="s">
        <v>2876</v>
      </c>
      <c r="GFQ1332" s="4" t="s">
        <v>2876</v>
      </c>
      <c r="GFR1332" s="4" t="s">
        <v>2876</v>
      </c>
      <c r="GFS1332" s="4" t="s">
        <v>2876</v>
      </c>
      <c r="GFT1332" s="4" t="s">
        <v>2876</v>
      </c>
      <c r="GFU1332" s="4" t="s">
        <v>2876</v>
      </c>
      <c r="GFV1332" s="4" t="s">
        <v>2876</v>
      </c>
      <c r="GFW1332" s="4" t="s">
        <v>2876</v>
      </c>
      <c r="GFX1332" s="4" t="s">
        <v>2876</v>
      </c>
      <c r="GFY1332" s="4" t="s">
        <v>2876</v>
      </c>
      <c r="GFZ1332" s="4" t="s">
        <v>2876</v>
      </c>
      <c r="GGA1332" s="4" t="s">
        <v>2876</v>
      </c>
      <c r="GGB1332" s="4" t="s">
        <v>2876</v>
      </c>
      <c r="GGC1332" s="4" t="s">
        <v>2876</v>
      </c>
      <c r="GGD1332" s="4" t="s">
        <v>2876</v>
      </c>
      <c r="GGE1332" s="4" t="s">
        <v>2876</v>
      </c>
      <c r="GGF1332" s="4" t="s">
        <v>2876</v>
      </c>
      <c r="GGG1332" s="4" t="s">
        <v>2876</v>
      </c>
      <c r="GGH1332" s="4" t="s">
        <v>2876</v>
      </c>
      <c r="GGI1332" s="4" t="s">
        <v>2876</v>
      </c>
      <c r="GGJ1332" s="4" t="s">
        <v>2876</v>
      </c>
      <c r="GGK1332" s="4" t="s">
        <v>2876</v>
      </c>
      <c r="GGL1332" s="4" t="s">
        <v>2876</v>
      </c>
      <c r="GGM1332" s="4" t="s">
        <v>2876</v>
      </c>
      <c r="GGN1332" s="4" t="s">
        <v>2876</v>
      </c>
      <c r="GGO1332" s="4" t="s">
        <v>2876</v>
      </c>
      <c r="GGP1332" s="4" t="s">
        <v>2876</v>
      </c>
      <c r="GGQ1332" s="4" t="s">
        <v>2876</v>
      </c>
      <c r="GGR1332" s="4" t="s">
        <v>2876</v>
      </c>
      <c r="GGS1332" s="4" t="s">
        <v>2876</v>
      </c>
      <c r="GGT1332" s="4" t="s">
        <v>2876</v>
      </c>
      <c r="GGU1332" s="4" t="s">
        <v>2876</v>
      </c>
      <c r="GGV1332" s="4" t="s">
        <v>2876</v>
      </c>
      <c r="GGW1332" s="4" t="s">
        <v>2876</v>
      </c>
      <c r="GGX1332" s="4" t="s">
        <v>2876</v>
      </c>
      <c r="GGY1332" s="4" t="s">
        <v>2876</v>
      </c>
      <c r="GGZ1332" s="4" t="s">
        <v>2876</v>
      </c>
      <c r="GHA1332" s="4" t="s">
        <v>2876</v>
      </c>
      <c r="GHB1332" s="4" t="s">
        <v>2876</v>
      </c>
      <c r="GHC1332" s="4" t="s">
        <v>2876</v>
      </c>
      <c r="GHD1332" s="4" t="s">
        <v>2876</v>
      </c>
      <c r="GHE1332" s="4" t="s">
        <v>2876</v>
      </c>
      <c r="GHF1332" s="4" t="s">
        <v>2876</v>
      </c>
      <c r="GHG1332" s="4" t="s">
        <v>2876</v>
      </c>
      <c r="GHH1332" s="4" t="s">
        <v>2876</v>
      </c>
      <c r="GHI1332" s="4" t="s">
        <v>2876</v>
      </c>
      <c r="GHJ1332" s="4" t="s">
        <v>2876</v>
      </c>
      <c r="GHK1332" s="4" t="s">
        <v>2876</v>
      </c>
      <c r="GHL1332" s="4" t="s">
        <v>2876</v>
      </c>
      <c r="GHM1332" s="4" t="s">
        <v>2876</v>
      </c>
      <c r="GHN1332" s="4" t="s">
        <v>2876</v>
      </c>
      <c r="GHO1332" s="4" t="s">
        <v>2876</v>
      </c>
      <c r="GHP1332" s="4" t="s">
        <v>2876</v>
      </c>
      <c r="GHQ1332" s="4" t="s">
        <v>2876</v>
      </c>
      <c r="GHR1332" s="4" t="s">
        <v>2876</v>
      </c>
      <c r="GHS1332" s="4" t="s">
        <v>2876</v>
      </c>
      <c r="GHT1332" s="4" t="s">
        <v>2876</v>
      </c>
      <c r="GHU1332" s="4" t="s">
        <v>2876</v>
      </c>
      <c r="GHV1332" s="4" t="s">
        <v>2876</v>
      </c>
      <c r="GHW1332" s="4" t="s">
        <v>2876</v>
      </c>
      <c r="GHX1332" s="4" t="s">
        <v>2876</v>
      </c>
      <c r="GHY1332" s="4" t="s">
        <v>2876</v>
      </c>
      <c r="GHZ1332" s="4" t="s">
        <v>2876</v>
      </c>
      <c r="GIA1332" s="4" t="s">
        <v>2876</v>
      </c>
      <c r="GIB1332" s="4" t="s">
        <v>2876</v>
      </c>
      <c r="GIC1332" s="4" t="s">
        <v>2876</v>
      </c>
      <c r="GID1332" s="4" t="s">
        <v>2876</v>
      </c>
      <c r="GIE1332" s="4" t="s">
        <v>2876</v>
      </c>
      <c r="GIF1332" s="4" t="s">
        <v>2876</v>
      </c>
      <c r="GIG1332" s="4" t="s">
        <v>2876</v>
      </c>
      <c r="GIH1332" s="4" t="s">
        <v>2876</v>
      </c>
      <c r="GII1332" s="4" t="s">
        <v>2876</v>
      </c>
      <c r="GIJ1332" s="4" t="s">
        <v>2876</v>
      </c>
      <c r="GIK1332" s="4" t="s">
        <v>2876</v>
      </c>
      <c r="GIL1332" s="4" t="s">
        <v>2876</v>
      </c>
      <c r="GIM1332" s="4" t="s">
        <v>2876</v>
      </c>
      <c r="GIN1332" s="4" t="s">
        <v>2876</v>
      </c>
      <c r="GIO1332" s="4" t="s">
        <v>2876</v>
      </c>
      <c r="GIP1332" s="4" t="s">
        <v>2876</v>
      </c>
      <c r="GIQ1332" s="4" t="s">
        <v>2876</v>
      </c>
      <c r="GIR1332" s="4" t="s">
        <v>2876</v>
      </c>
      <c r="GIS1332" s="4" t="s">
        <v>2876</v>
      </c>
      <c r="GIT1332" s="4" t="s">
        <v>2876</v>
      </c>
      <c r="GIU1332" s="4" t="s">
        <v>2876</v>
      </c>
      <c r="GIV1332" s="4" t="s">
        <v>2876</v>
      </c>
      <c r="GIW1332" s="4" t="s">
        <v>2876</v>
      </c>
      <c r="GIX1332" s="4" t="s">
        <v>2876</v>
      </c>
      <c r="GIY1332" s="4" t="s">
        <v>2876</v>
      </c>
      <c r="GIZ1332" s="4" t="s">
        <v>2876</v>
      </c>
      <c r="GJA1332" s="4" t="s">
        <v>2876</v>
      </c>
      <c r="GJB1332" s="4" t="s">
        <v>2876</v>
      </c>
      <c r="GJC1332" s="4" t="s">
        <v>2876</v>
      </c>
      <c r="GJD1332" s="4" t="s">
        <v>2876</v>
      </c>
      <c r="GJE1332" s="4" t="s">
        <v>2876</v>
      </c>
      <c r="GJF1332" s="4" t="s">
        <v>2876</v>
      </c>
      <c r="GJG1332" s="4" t="s">
        <v>2876</v>
      </c>
      <c r="GJH1332" s="4" t="s">
        <v>2876</v>
      </c>
      <c r="GJI1332" s="4" t="s">
        <v>2876</v>
      </c>
      <c r="GJJ1332" s="4" t="s">
        <v>2876</v>
      </c>
      <c r="GJK1332" s="4" t="s">
        <v>2876</v>
      </c>
      <c r="GJL1332" s="4" t="s">
        <v>2876</v>
      </c>
      <c r="GJM1332" s="4" t="s">
        <v>2876</v>
      </c>
      <c r="GJN1332" s="4" t="s">
        <v>2876</v>
      </c>
      <c r="GJO1332" s="4" t="s">
        <v>2876</v>
      </c>
      <c r="GJP1332" s="4" t="s">
        <v>2876</v>
      </c>
      <c r="GJQ1332" s="4" t="s">
        <v>2876</v>
      </c>
      <c r="GJR1332" s="4" t="s">
        <v>2876</v>
      </c>
      <c r="GJS1332" s="4" t="s">
        <v>2876</v>
      </c>
      <c r="GJT1332" s="4" t="s">
        <v>2876</v>
      </c>
      <c r="GJU1332" s="4" t="s">
        <v>2876</v>
      </c>
      <c r="GJV1332" s="4" t="s">
        <v>2876</v>
      </c>
      <c r="GJW1332" s="4" t="s">
        <v>2876</v>
      </c>
      <c r="GJX1332" s="4" t="s">
        <v>2876</v>
      </c>
      <c r="GJY1332" s="4" t="s">
        <v>2876</v>
      </c>
      <c r="GJZ1332" s="4" t="s">
        <v>2876</v>
      </c>
      <c r="GKA1332" s="4" t="s">
        <v>2876</v>
      </c>
      <c r="GKB1332" s="4" t="s">
        <v>2876</v>
      </c>
      <c r="GKC1332" s="4" t="s">
        <v>2876</v>
      </c>
      <c r="GKD1332" s="4" t="s">
        <v>2876</v>
      </c>
      <c r="GKE1332" s="4" t="s">
        <v>2876</v>
      </c>
      <c r="GKF1332" s="4" t="s">
        <v>2876</v>
      </c>
      <c r="GKG1332" s="4" t="s">
        <v>2876</v>
      </c>
      <c r="GKH1332" s="4" t="s">
        <v>2876</v>
      </c>
      <c r="GKI1332" s="4" t="s">
        <v>2876</v>
      </c>
      <c r="GKJ1332" s="4" t="s">
        <v>2876</v>
      </c>
      <c r="GKK1332" s="4" t="s">
        <v>2876</v>
      </c>
      <c r="GKL1332" s="4" t="s">
        <v>2876</v>
      </c>
      <c r="GKM1332" s="4" t="s">
        <v>2876</v>
      </c>
      <c r="GKN1332" s="4" t="s">
        <v>2876</v>
      </c>
      <c r="GKO1332" s="4" t="s">
        <v>2876</v>
      </c>
      <c r="GKP1332" s="4" t="s">
        <v>2876</v>
      </c>
      <c r="GKQ1332" s="4" t="s">
        <v>2876</v>
      </c>
      <c r="GKR1332" s="4" t="s">
        <v>2876</v>
      </c>
      <c r="GKS1332" s="4" t="s">
        <v>2876</v>
      </c>
      <c r="GKT1332" s="4" t="s">
        <v>2876</v>
      </c>
      <c r="GKU1332" s="4" t="s">
        <v>2876</v>
      </c>
      <c r="GKV1332" s="4" t="s">
        <v>2876</v>
      </c>
      <c r="GKW1332" s="4" t="s">
        <v>2876</v>
      </c>
      <c r="GKX1332" s="4" t="s">
        <v>2876</v>
      </c>
      <c r="GKY1332" s="4" t="s">
        <v>2876</v>
      </c>
      <c r="GKZ1332" s="4" t="s">
        <v>2876</v>
      </c>
      <c r="GLA1332" s="4" t="s">
        <v>2876</v>
      </c>
      <c r="GLB1332" s="4" t="s">
        <v>2876</v>
      </c>
      <c r="GLC1332" s="4" t="s">
        <v>2876</v>
      </c>
      <c r="GLD1332" s="4" t="s">
        <v>2876</v>
      </c>
      <c r="GLE1332" s="4" t="s">
        <v>2876</v>
      </c>
      <c r="GLF1332" s="4" t="s">
        <v>2876</v>
      </c>
      <c r="GLG1332" s="4" t="s">
        <v>2876</v>
      </c>
      <c r="GLH1332" s="4" t="s">
        <v>2876</v>
      </c>
      <c r="GLI1332" s="4" t="s">
        <v>2876</v>
      </c>
      <c r="GLJ1332" s="4" t="s">
        <v>2876</v>
      </c>
      <c r="GLK1332" s="4" t="s">
        <v>2876</v>
      </c>
      <c r="GLL1332" s="4" t="s">
        <v>2876</v>
      </c>
      <c r="GLM1332" s="4" t="s">
        <v>2876</v>
      </c>
      <c r="GLN1332" s="4" t="s">
        <v>2876</v>
      </c>
      <c r="GLO1332" s="4" t="s">
        <v>2876</v>
      </c>
      <c r="GLP1332" s="4" t="s">
        <v>2876</v>
      </c>
      <c r="GLQ1332" s="4" t="s">
        <v>2876</v>
      </c>
      <c r="GLR1332" s="4" t="s">
        <v>2876</v>
      </c>
      <c r="GLS1332" s="4" t="s">
        <v>2876</v>
      </c>
      <c r="GLT1332" s="4" t="s">
        <v>2876</v>
      </c>
      <c r="GLU1332" s="4" t="s">
        <v>2876</v>
      </c>
      <c r="GLV1332" s="4" t="s">
        <v>2876</v>
      </c>
      <c r="GLW1332" s="4" t="s">
        <v>2876</v>
      </c>
      <c r="GLX1332" s="4" t="s">
        <v>2876</v>
      </c>
      <c r="GLY1332" s="4" t="s">
        <v>2876</v>
      </c>
      <c r="GLZ1332" s="4" t="s">
        <v>2876</v>
      </c>
      <c r="GMA1332" s="4" t="s">
        <v>2876</v>
      </c>
      <c r="GMB1332" s="4" t="s">
        <v>2876</v>
      </c>
      <c r="GMC1332" s="4" t="s">
        <v>2876</v>
      </c>
      <c r="GMD1332" s="4" t="s">
        <v>2876</v>
      </c>
      <c r="GME1332" s="4" t="s">
        <v>2876</v>
      </c>
      <c r="GMF1332" s="4" t="s">
        <v>2876</v>
      </c>
      <c r="GMG1332" s="4" t="s">
        <v>2876</v>
      </c>
      <c r="GMH1332" s="4" t="s">
        <v>2876</v>
      </c>
      <c r="GMI1332" s="4" t="s">
        <v>2876</v>
      </c>
      <c r="GMJ1332" s="4" t="s">
        <v>2876</v>
      </c>
      <c r="GMK1332" s="4" t="s">
        <v>2876</v>
      </c>
      <c r="GML1332" s="4" t="s">
        <v>2876</v>
      </c>
      <c r="GMM1332" s="4" t="s">
        <v>2876</v>
      </c>
      <c r="GMN1332" s="4" t="s">
        <v>2876</v>
      </c>
      <c r="GMO1332" s="4" t="s">
        <v>2876</v>
      </c>
      <c r="GMP1332" s="4" t="s">
        <v>2876</v>
      </c>
      <c r="GMQ1332" s="4" t="s">
        <v>2876</v>
      </c>
      <c r="GMR1332" s="4" t="s">
        <v>2876</v>
      </c>
      <c r="GMS1332" s="4" t="s">
        <v>2876</v>
      </c>
      <c r="GMT1332" s="4" t="s">
        <v>2876</v>
      </c>
      <c r="GMU1332" s="4" t="s">
        <v>2876</v>
      </c>
      <c r="GMV1332" s="4" t="s">
        <v>2876</v>
      </c>
      <c r="GMW1332" s="4" t="s">
        <v>2876</v>
      </c>
      <c r="GMX1332" s="4" t="s">
        <v>2876</v>
      </c>
      <c r="GMY1332" s="4" t="s">
        <v>2876</v>
      </c>
      <c r="GMZ1332" s="4" t="s">
        <v>2876</v>
      </c>
      <c r="GNA1332" s="4" t="s">
        <v>2876</v>
      </c>
      <c r="GNB1332" s="4" t="s">
        <v>2876</v>
      </c>
      <c r="GNC1332" s="4" t="s">
        <v>2876</v>
      </c>
      <c r="GND1332" s="4" t="s">
        <v>2876</v>
      </c>
      <c r="GNE1332" s="4" t="s">
        <v>2876</v>
      </c>
      <c r="GNF1332" s="4" t="s">
        <v>2876</v>
      </c>
      <c r="GNG1332" s="4" t="s">
        <v>2876</v>
      </c>
      <c r="GNH1332" s="4" t="s">
        <v>2876</v>
      </c>
      <c r="GNI1332" s="4" t="s">
        <v>2876</v>
      </c>
      <c r="GNJ1332" s="4" t="s">
        <v>2876</v>
      </c>
      <c r="GNK1332" s="4" t="s">
        <v>2876</v>
      </c>
      <c r="GNL1332" s="4" t="s">
        <v>2876</v>
      </c>
      <c r="GNM1332" s="4" t="s">
        <v>2876</v>
      </c>
      <c r="GNN1332" s="4" t="s">
        <v>2876</v>
      </c>
      <c r="GNO1332" s="4" t="s">
        <v>2876</v>
      </c>
      <c r="GNP1332" s="4" t="s">
        <v>2876</v>
      </c>
      <c r="GNQ1332" s="4" t="s">
        <v>2876</v>
      </c>
      <c r="GNR1332" s="4" t="s">
        <v>2876</v>
      </c>
      <c r="GNS1332" s="4" t="s">
        <v>2876</v>
      </c>
      <c r="GNT1332" s="4" t="s">
        <v>2876</v>
      </c>
      <c r="GNU1332" s="4" t="s">
        <v>2876</v>
      </c>
      <c r="GNV1332" s="4" t="s">
        <v>2876</v>
      </c>
      <c r="GNW1332" s="4" t="s">
        <v>2876</v>
      </c>
      <c r="GNX1332" s="4" t="s">
        <v>2876</v>
      </c>
      <c r="GNY1332" s="4" t="s">
        <v>2876</v>
      </c>
      <c r="GNZ1332" s="4" t="s">
        <v>2876</v>
      </c>
      <c r="GOA1332" s="4" t="s">
        <v>2876</v>
      </c>
      <c r="GOB1332" s="4" t="s">
        <v>2876</v>
      </c>
      <c r="GOC1332" s="4" t="s">
        <v>2876</v>
      </c>
      <c r="GOD1332" s="4" t="s">
        <v>2876</v>
      </c>
      <c r="GOE1332" s="4" t="s">
        <v>2876</v>
      </c>
      <c r="GOF1332" s="4" t="s">
        <v>2876</v>
      </c>
      <c r="GOG1332" s="4" t="s">
        <v>2876</v>
      </c>
      <c r="GOH1332" s="4" t="s">
        <v>2876</v>
      </c>
      <c r="GOI1332" s="4" t="s">
        <v>2876</v>
      </c>
      <c r="GOJ1332" s="4" t="s">
        <v>2876</v>
      </c>
      <c r="GOK1332" s="4" t="s">
        <v>2876</v>
      </c>
      <c r="GOL1332" s="4" t="s">
        <v>2876</v>
      </c>
      <c r="GOM1332" s="4" t="s">
        <v>2876</v>
      </c>
      <c r="GON1332" s="4" t="s">
        <v>2876</v>
      </c>
      <c r="GOO1332" s="4" t="s">
        <v>2876</v>
      </c>
      <c r="GOP1332" s="4" t="s">
        <v>2876</v>
      </c>
      <c r="GOQ1332" s="4" t="s">
        <v>2876</v>
      </c>
      <c r="GOR1332" s="4" t="s">
        <v>2876</v>
      </c>
      <c r="GOS1332" s="4" t="s">
        <v>2876</v>
      </c>
      <c r="GOT1332" s="4" t="s">
        <v>2876</v>
      </c>
      <c r="GOU1332" s="4" t="s">
        <v>2876</v>
      </c>
      <c r="GOV1332" s="4" t="s">
        <v>2876</v>
      </c>
      <c r="GOW1332" s="4" t="s">
        <v>2876</v>
      </c>
      <c r="GOX1332" s="4" t="s">
        <v>2876</v>
      </c>
      <c r="GOY1332" s="4" t="s">
        <v>2876</v>
      </c>
      <c r="GOZ1332" s="4" t="s">
        <v>2876</v>
      </c>
      <c r="GPA1332" s="4" t="s">
        <v>2876</v>
      </c>
      <c r="GPB1332" s="4" t="s">
        <v>2876</v>
      </c>
      <c r="GPC1332" s="4" t="s">
        <v>2876</v>
      </c>
      <c r="GPD1332" s="4" t="s">
        <v>2876</v>
      </c>
      <c r="GPE1332" s="4" t="s">
        <v>2876</v>
      </c>
      <c r="GPF1332" s="4" t="s">
        <v>2876</v>
      </c>
      <c r="GPG1332" s="4" t="s">
        <v>2876</v>
      </c>
      <c r="GPH1332" s="4" t="s">
        <v>2876</v>
      </c>
      <c r="GPI1332" s="4" t="s">
        <v>2876</v>
      </c>
      <c r="GPJ1332" s="4" t="s">
        <v>2876</v>
      </c>
      <c r="GPK1332" s="4" t="s">
        <v>2876</v>
      </c>
      <c r="GPL1332" s="4" t="s">
        <v>2876</v>
      </c>
      <c r="GPM1332" s="4" t="s">
        <v>2876</v>
      </c>
      <c r="GPN1332" s="4" t="s">
        <v>2876</v>
      </c>
      <c r="GPO1332" s="4" t="s">
        <v>2876</v>
      </c>
      <c r="GPP1332" s="4" t="s">
        <v>2876</v>
      </c>
      <c r="GPQ1332" s="4" t="s">
        <v>2876</v>
      </c>
      <c r="GPR1332" s="4" t="s">
        <v>2876</v>
      </c>
      <c r="GPS1332" s="4" t="s">
        <v>2876</v>
      </c>
      <c r="GPT1332" s="4" t="s">
        <v>2876</v>
      </c>
      <c r="GPU1332" s="4" t="s">
        <v>2876</v>
      </c>
      <c r="GPV1332" s="4" t="s">
        <v>2876</v>
      </c>
      <c r="GPW1332" s="4" t="s">
        <v>2876</v>
      </c>
      <c r="GPX1332" s="4" t="s">
        <v>2876</v>
      </c>
      <c r="GPY1332" s="4" t="s">
        <v>2876</v>
      </c>
      <c r="GPZ1332" s="4" t="s">
        <v>2876</v>
      </c>
      <c r="GQA1332" s="4" t="s">
        <v>2876</v>
      </c>
      <c r="GQB1332" s="4" t="s">
        <v>2876</v>
      </c>
      <c r="GQC1332" s="4" t="s">
        <v>2876</v>
      </c>
      <c r="GQD1332" s="4" t="s">
        <v>2876</v>
      </c>
      <c r="GQE1332" s="4" t="s">
        <v>2876</v>
      </c>
      <c r="GQF1332" s="4" t="s">
        <v>2876</v>
      </c>
      <c r="GQG1332" s="4" t="s">
        <v>2876</v>
      </c>
      <c r="GQH1332" s="4" t="s">
        <v>2876</v>
      </c>
      <c r="GQI1332" s="4" t="s">
        <v>2876</v>
      </c>
      <c r="GQJ1332" s="4" t="s">
        <v>2876</v>
      </c>
      <c r="GQK1332" s="4" t="s">
        <v>2876</v>
      </c>
      <c r="GQL1332" s="4" t="s">
        <v>2876</v>
      </c>
      <c r="GQM1332" s="4" t="s">
        <v>2876</v>
      </c>
      <c r="GQN1332" s="4" t="s">
        <v>2876</v>
      </c>
      <c r="GQO1332" s="4" t="s">
        <v>2876</v>
      </c>
      <c r="GQP1332" s="4" t="s">
        <v>2876</v>
      </c>
      <c r="GQQ1332" s="4" t="s">
        <v>2876</v>
      </c>
      <c r="GQR1332" s="4" t="s">
        <v>2876</v>
      </c>
      <c r="GQS1332" s="4" t="s">
        <v>2876</v>
      </c>
      <c r="GQT1332" s="4" t="s">
        <v>2876</v>
      </c>
      <c r="GQU1332" s="4" t="s">
        <v>2876</v>
      </c>
      <c r="GQV1332" s="4" t="s">
        <v>2876</v>
      </c>
      <c r="GQW1332" s="4" t="s">
        <v>2876</v>
      </c>
      <c r="GQX1332" s="4" t="s">
        <v>2876</v>
      </c>
      <c r="GQY1332" s="4" t="s">
        <v>2876</v>
      </c>
      <c r="GQZ1332" s="4" t="s">
        <v>2876</v>
      </c>
      <c r="GRA1332" s="4" t="s">
        <v>2876</v>
      </c>
      <c r="GRB1332" s="4" t="s">
        <v>2876</v>
      </c>
      <c r="GRC1332" s="4" t="s">
        <v>2876</v>
      </c>
      <c r="GRD1332" s="4" t="s">
        <v>2876</v>
      </c>
      <c r="GRE1332" s="4" t="s">
        <v>2876</v>
      </c>
      <c r="GRF1332" s="4" t="s">
        <v>2876</v>
      </c>
      <c r="GRG1332" s="4" t="s">
        <v>2876</v>
      </c>
      <c r="GRH1332" s="4" t="s">
        <v>2876</v>
      </c>
      <c r="GRI1332" s="4" t="s">
        <v>2876</v>
      </c>
      <c r="GRJ1332" s="4" t="s">
        <v>2876</v>
      </c>
      <c r="GRK1332" s="4" t="s">
        <v>2876</v>
      </c>
      <c r="GRL1332" s="4" t="s">
        <v>2876</v>
      </c>
      <c r="GRM1332" s="4" t="s">
        <v>2876</v>
      </c>
      <c r="GRN1332" s="4" t="s">
        <v>2876</v>
      </c>
      <c r="GRO1332" s="4" t="s">
        <v>2876</v>
      </c>
      <c r="GRP1332" s="4" t="s">
        <v>2876</v>
      </c>
      <c r="GRQ1332" s="4" t="s">
        <v>2876</v>
      </c>
      <c r="GRR1332" s="4" t="s">
        <v>2876</v>
      </c>
      <c r="GRS1332" s="4" t="s">
        <v>2876</v>
      </c>
      <c r="GRT1332" s="4" t="s">
        <v>2876</v>
      </c>
      <c r="GRU1332" s="4" t="s">
        <v>2876</v>
      </c>
      <c r="GRV1332" s="4" t="s">
        <v>2876</v>
      </c>
      <c r="GRW1332" s="4" t="s">
        <v>2876</v>
      </c>
      <c r="GRX1332" s="4" t="s">
        <v>2876</v>
      </c>
      <c r="GRY1332" s="4" t="s">
        <v>2876</v>
      </c>
      <c r="GRZ1332" s="4" t="s">
        <v>2876</v>
      </c>
      <c r="GSA1332" s="4" t="s">
        <v>2876</v>
      </c>
      <c r="GSB1332" s="4" t="s">
        <v>2876</v>
      </c>
      <c r="GSC1332" s="4" t="s">
        <v>2876</v>
      </c>
      <c r="GSD1332" s="4" t="s">
        <v>2876</v>
      </c>
      <c r="GSE1332" s="4" t="s">
        <v>2876</v>
      </c>
      <c r="GSF1332" s="4" t="s">
        <v>2876</v>
      </c>
      <c r="GSG1332" s="4" t="s">
        <v>2876</v>
      </c>
      <c r="GSH1332" s="4" t="s">
        <v>2876</v>
      </c>
      <c r="GSI1332" s="4" t="s">
        <v>2876</v>
      </c>
      <c r="GSJ1332" s="4" t="s">
        <v>2876</v>
      </c>
      <c r="GSK1332" s="4" t="s">
        <v>2876</v>
      </c>
      <c r="GSL1332" s="4" t="s">
        <v>2876</v>
      </c>
      <c r="GSM1332" s="4" t="s">
        <v>2876</v>
      </c>
      <c r="GSN1332" s="4" t="s">
        <v>2876</v>
      </c>
      <c r="GSO1332" s="4" t="s">
        <v>2876</v>
      </c>
      <c r="GSP1332" s="4" t="s">
        <v>2876</v>
      </c>
      <c r="GSQ1332" s="4" t="s">
        <v>2876</v>
      </c>
      <c r="GSR1332" s="4" t="s">
        <v>2876</v>
      </c>
      <c r="GSS1332" s="4" t="s">
        <v>2876</v>
      </c>
      <c r="GST1332" s="4" t="s">
        <v>2876</v>
      </c>
      <c r="GSU1332" s="4" t="s">
        <v>2876</v>
      </c>
      <c r="GSV1332" s="4" t="s">
        <v>2876</v>
      </c>
      <c r="GSW1332" s="4" t="s">
        <v>2876</v>
      </c>
      <c r="GSX1332" s="4" t="s">
        <v>2876</v>
      </c>
      <c r="GSY1332" s="4" t="s">
        <v>2876</v>
      </c>
      <c r="GSZ1332" s="4" t="s">
        <v>2876</v>
      </c>
      <c r="GTA1332" s="4" t="s">
        <v>2876</v>
      </c>
      <c r="GTB1332" s="4" t="s">
        <v>2876</v>
      </c>
      <c r="GTC1332" s="4" t="s">
        <v>2876</v>
      </c>
      <c r="GTD1332" s="4" t="s">
        <v>2876</v>
      </c>
      <c r="GTE1332" s="4" t="s">
        <v>2876</v>
      </c>
      <c r="GTF1332" s="4" t="s">
        <v>2876</v>
      </c>
      <c r="GTG1332" s="4" t="s">
        <v>2876</v>
      </c>
      <c r="GTH1332" s="4" t="s">
        <v>2876</v>
      </c>
      <c r="GTI1332" s="4" t="s">
        <v>2876</v>
      </c>
      <c r="GTJ1332" s="4" t="s">
        <v>2876</v>
      </c>
      <c r="GTK1332" s="4" t="s">
        <v>2876</v>
      </c>
      <c r="GTL1332" s="4" t="s">
        <v>2876</v>
      </c>
      <c r="GTM1332" s="4" t="s">
        <v>2876</v>
      </c>
      <c r="GTN1332" s="4" t="s">
        <v>2876</v>
      </c>
      <c r="GTO1332" s="4" t="s">
        <v>2876</v>
      </c>
      <c r="GTP1332" s="4" t="s">
        <v>2876</v>
      </c>
      <c r="GTQ1332" s="4" t="s">
        <v>2876</v>
      </c>
      <c r="GTR1332" s="4" t="s">
        <v>2876</v>
      </c>
      <c r="GTS1332" s="4" t="s">
        <v>2876</v>
      </c>
      <c r="GTT1332" s="4" t="s">
        <v>2876</v>
      </c>
      <c r="GTU1332" s="4" t="s">
        <v>2876</v>
      </c>
      <c r="GTV1332" s="4" t="s">
        <v>2876</v>
      </c>
      <c r="GTW1332" s="4" t="s">
        <v>2876</v>
      </c>
      <c r="GTX1332" s="4" t="s">
        <v>2876</v>
      </c>
      <c r="GTY1332" s="4" t="s">
        <v>2876</v>
      </c>
      <c r="GTZ1332" s="4" t="s">
        <v>2876</v>
      </c>
      <c r="GUA1332" s="4" t="s">
        <v>2876</v>
      </c>
      <c r="GUB1332" s="4" t="s">
        <v>2876</v>
      </c>
      <c r="GUC1332" s="4" t="s">
        <v>2876</v>
      </c>
      <c r="GUD1332" s="4" t="s">
        <v>2876</v>
      </c>
      <c r="GUE1332" s="4" t="s">
        <v>2876</v>
      </c>
      <c r="GUF1332" s="4" t="s">
        <v>2876</v>
      </c>
      <c r="GUG1332" s="4" t="s">
        <v>2876</v>
      </c>
      <c r="GUH1332" s="4" t="s">
        <v>2876</v>
      </c>
      <c r="GUI1332" s="4" t="s">
        <v>2876</v>
      </c>
      <c r="GUJ1332" s="4" t="s">
        <v>2876</v>
      </c>
      <c r="GUK1332" s="4" t="s">
        <v>2876</v>
      </c>
      <c r="GUL1332" s="4" t="s">
        <v>2876</v>
      </c>
      <c r="GUM1332" s="4" t="s">
        <v>2876</v>
      </c>
      <c r="GUN1332" s="4" t="s">
        <v>2876</v>
      </c>
      <c r="GUO1332" s="4" t="s">
        <v>2876</v>
      </c>
      <c r="GUP1332" s="4" t="s">
        <v>2876</v>
      </c>
      <c r="GUQ1332" s="4" t="s">
        <v>2876</v>
      </c>
      <c r="GUR1332" s="4" t="s">
        <v>2876</v>
      </c>
      <c r="GUS1332" s="4" t="s">
        <v>2876</v>
      </c>
      <c r="GUT1332" s="4" t="s">
        <v>2876</v>
      </c>
      <c r="GUU1332" s="4" t="s">
        <v>2876</v>
      </c>
      <c r="GUV1332" s="4" t="s">
        <v>2876</v>
      </c>
      <c r="GUW1332" s="4" t="s">
        <v>2876</v>
      </c>
      <c r="GUX1332" s="4" t="s">
        <v>2876</v>
      </c>
      <c r="GUY1332" s="4" t="s">
        <v>2876</v>
      </c>
      <c r="GUZ1332" s="4" t="s">
        <v>2876</v>
      </c>
      <c r="GVA1332" s="4" t="s">
        <v>2876</v>
      </c>
      <c r="GVB1332" s="4" t="s">
        <v>2876</v>
      </c>
      <c r="GVC1332" s="4" t="s">
        <v>2876</v>
      </c>
      <c r="GVD1332" s="4" t="s">
        <v>2876</v>
      </c>
      <c r="GVE1332" s="4" t="s">
        <v>2876</v>
      </c>
      <c r="GVF1332" s="4" t="s">
        <v>2876</v>
      </c>
      <c r="GVG1332" s="4" t="s">
        <v>2876</v>
      </c>
      <c r="GVH1332" s="4" t="s">
        <v>2876</v>
      </c>
      <c r="GVI1332" s="4" t="s">
        <v>2876</v>
      </c>
      <c r="GVJ1332" s="4" t="s">
        <v>2876</v>
      </c>
      <c r="GVK1332" s="4" t="s">
        <v>2876</v>
      </c>
      <c r="GVL1332" s="4" t="s">
        <v>2876</v>
      </c>
      <c r="GVM1332" s="4" t="s">
        <v>2876</v>
      </c>
      <c r="GVN1332" s="4" t="s">
        <v>2876</v>
      </c>
      <c r="GVO1332" s="4" t="s">
        <v>2876</v>
      </c>
      <c r="GVP1332" s="4" t="s">
        <v>2876</v>
      </c>
      <c r="GVQ1332" s="4" t="s">
        <v>2876</v>
      </c>
      <c r="GVR1332" s="4" t="s">
        <v>2876</v>
      </c>
      <c r="GVS1332" s="4" t="s">
        <v>2876</v>
      </c>
      <c r="GVT1332" s="4" t="s">
        <v>2876</v>
      </c>
      <c r="GVU1332" s="4" t="s">
        <v>2876</v>
      </c>
      <c r="GVV1332" s="4" t="s">
        <v>2876</v>
      </c>
      <c r="GVW1332" s="4" t="s">
        <v>2876</v>
      </c>
      <c r="GVX1332" s="4" t="s">
        <v>2876</v>
      </c>
      <c r="GVY1332" s="4" t="s">
        <v>2876</v>
      </c>
      <c r="GVZ1332" s="4" t="s">
        <v>2876</v>
      </c>
      <c r="GWA1332" s="4" t="s">
        <v>2876</v>
      </c>
      <c r="GWB1332" s="4" t="s">
        <v>2876</v>
      </c>
      <c r="GWC1332" s="4" t="s">
        <v>2876</v>
      </c>
      <c r="GWD1332" s="4" t="s">
        <v>2876</v>
      </c>
      <c r="GWE1332" s="4" t="s">
        <v>2876</v>
      </c>
      <c r="GWF1332" s="4" t="s">
        <v>2876</v>
      </c>
      <c r="GWG1332" s="4" t="s">
        <v>2876</v>
      </c>
      <c r="GWH1332" s="4" t="s">
        <v>2876</v>
      </c>
      <c r="GWI1332" s="4" t="s">
        <v>2876</v>
      </c>
      <c r="GWJ1332" s="4" t="s">
        <v>2876</v>
      </c>
      <c r="GWK1332" s="4" t="s">
        <v>2876</v>
      </c>
      <c r="GWL1332" s="4" t="s">
        <v>2876</v>
      </c>
      <c r="GWM1332" s="4" t="s">
        <v>2876</v>
      </c>
      <c r="GWN1332" s="4" t="s">
        <v>2876</v>
      </c>
      <c r="GWO1332" s="4" t="s">
        <v>2876</v>
      </c>
      <c r="GWP1332" s="4" t="s">
        <v>2876</v>
      </c>
      <c r="GWQ1332" s="4" t="s">
        <v>2876</v>
      </c>
      <c r="GWR1332" s="4" t="s">
        <v>2876</v>
      </c>
      <c r="GWS1332" s="4" t="s">
        <v>2876</v>
      </c>
      <c r="GWT1332" s="4" t="s">
        <v>2876</v>
      </c>
      <c r="GWU1332" s="4" t="s">
        <v>2876</v>
      </c>
      <c r="GWV1332" s="4" t="s">
        <v>2876</v>
      </c>
      <c r="GWW1332" s="4" t="s">
        <v>2876</v>
      </c>
      <c r="GWX1332" s="4" t="s">
        <v>2876</v>
      </c>
      <c r="GWY1332" s="4" t="s">
        <v>2876</v>
      </c>
      <c r="GWZ1332" s="4" t="s">
        <v>2876</v>
      </c>
      <c r="GXA1332" s="4" t="s">
        <v>2876</v>
      </c>
      <c r="GXB1332" s="4" t="s">
        <v>2876</v>
      </c>
      <c r="GXC1332" s="4" t="s">
        <v>2876</v>
      </c>
      <c r="GXD1332" s="4" t="s">
        <v>2876</v>
      </c>
      <c r="GXE1332" s="4" t="s">
        <v>2876</v>
      </c>
      <c r="GXF1332" s="4" t="s">
        <v>2876</v>
      </c>
      <c r="GXG1332" s="4" t="s">
        <v>2876</v>
      </c>
      <c r="GXH1332" s="4" t="s">
        <v>2876</v>
      </c>
      <c r="GXI1332" s="4" t="s">
        <v>2876</v>
      </c>
      <c r="GXJ1332" s="4" t="s">
        <v>2876</v>
      </c>
      <c r="GXK1332" s="4" t="s">
        <v>2876</v>
      </c>
      <c r="GXL1332" s="4" t="s">
        <v>2876</v>
      </c>
      <c r="GXM1332" s="4" t="s">
        <v>2876</v>
      </c>
      <c r="GXN1332" s="4" t="s">
        <v>2876</v>
      </c>
      <c r="GXO1332" s="4" t="s">
        <v>2876</v>
      </c>
      <c r="GXP1332" s="4" t="s">
        <v>2876</v>
      </c>
      <c r="GXQ1332" s="4" t="s">
        <v>2876</v>
      </c>
      <c r="GXR1332" s="4" t="s">
        <v>2876</v>
      </c>
      <c r="GXS1332" s="4" t="s">
        <v>2876</v>
      </c>
      <c r="GXT1332" s="4" t="s">
        <v>2876</v>
      </c>
      <c r="GXU1332" s="4" t="s">
        <v>2876</v>
      </c>
      <c r="GXV1332" s="4" t="s">
        <v>2876</v>
      </c>
      <c r="GXW1332" s="4" t="s">
        <v>2876</v>
      </c>
      <c r="GXX1332" s="4" t="s">
        <v>2876</v>
      </c>
      <c r="GXY1332" s="4" t="s">
        <v>2876</v>
      </c>
      <c r="GXZ1332" s="4" t="s">
        <v>2876</v>
      </c>
      <c r="GYA1332" s="4" t="s">
        <v>2876</v>
      </c>
      <c r="GYB1332" s="4" t="s">
        <v>2876</v>
      </c>
      <c r="GYC1332" s="4" t="s">
        <v>2876</v>
      </c>
      <c r="GYD1332" s="4" t="s">
        <v>2876</v>
      </c>
      <c r="GYE1332" s="4" t="s">
        <v>2876</v>
      </c>
      <c r="GYF1332" s="4" t="s">
        <v>2876</v>
      </c>
      <c r="GYG1332" s="4" t="s">
        <v>2876</v>
      </c>
      <c r="GYH1332" s="4" t="s">
        <v>2876</v>
      </c>
      <c r="GYI1332" s="4" t="s">
        <v>2876</v>
      </c>
      <c r="GYJ1332" s="4" t="s">
        <v>2876</v>
      </c>
      <c r="GYK1332" s="4" t="s">
        <v>2876</v>
      </c>
      <c r="GYL1332" s="4" t="s">
        <v>2876</v>
      </c>
      <c r="GYM1332" s="4" t="s">
        <v>2876</v>
      </c>
      <c r="GYN1332" s="4" t="s">
        <v>2876</v>
      </c>
      <c r="GYO1332" s="4" t="s">
        <v>2876</v>
      </c>
      <c r="GYP1332" s="4" t="s">
        <v>2876</v>
      </c>
      <c r="GYQ1332" s="4" t="s">
        <v>2876</v>
      </c>
      <c r="GYR1332" s="4" t="s">
        <v>2876</v>
      </c>
      <c r="GYS1332" s="4" t="s">
        <v>2876</v>
      </c>
      <c r="GYT1332" s="4" t="s">
        <v>2876</v>
      </c>
      <c r="GYU1332" s="4" t="s">
        <v>2876</v>
      </c>
      <c r="GYV1332" s="4" t="s">
        <v>2876</v>
      </c>
      <c r="GYW1332" s="4" t="s">
        <v>2876</v>
      </c>
      <c r="GYX1332" s="4" t="s">
        <v>2876</v>
      </c>
      <c r="GYY1332" s="4" t="s">
        <v>2876</v>
      </c>
      <c r="GYZ1332" s="4" t="s">
        <v>2876</v>
      </c>
      <c r="GZA1332" s="4" t="s">
        <v>2876</v>
      </c>
      <c r="GZB1332" s="4" t="s">
        <v>2876</v>
      </c>
      <c r="GZC1332" s="4" t="s">
        <v>2876</v>
      </c>
      <c r="GZD1332" s="4" t="s">
        <v>2876</v>
      </c>
      <c r="GZE1332" s="4" t="s">
        <v>2876</v>
      </c>
      <c r="GZF1332" s="4" t="s">
        <v>2876</v>
      </c>
      <c r="GZG1332" s="4" t="s">
        <v>2876</v>
      </c>
      <c r="GZH1332" s="4" t="s">
        <v>2876</v>
      </c>
      <c r="GZI1332" s="4" t="s">
        <v>2876</v>
      </c>
      <c r="GZJ1332" s="4" t="s">
        <v>2876</v>
      </c>
      <c r="GZK1332" s="4" t="s">
        <v>2876</v>
      </c>
      <c r="GZL1332" s="4" t="s">
        <v>2876</v>
      </c>
      <c r="GZM1332" s="4" t="s">
        <v>2876</v>
      </c>
      <c r="GZN1332" s="4" t="s">
        <v>2876</v>
      </c>
      <c r="GZO1332" s="4" t="s">
        <v>2876</v>
      </c>
      <c r="GZP1332" s="4" t="s">
        <v>2876</v>
      </c>
      <c r="GZQ1332" s="4" t="s">
        <v>2876</v>
      </c>
      <c r="GZR1332" s="4" t="s">
        <v>2876</v>
      </c>
      <c r="GZS1332" s="4" t="s">
        <v>2876</v>
      </c>
      <c r="GZT1332" s="4" t="s">
        <v>2876</v>
      </c>
      <c r="GZU1332" s="4" t="s">
        <v>2876</v>
      </c>
      <c r="GZV1332" s="4" t="s">
        <v>2876</v>
      </c>
      <c r="GZW1332" s="4" t="s">
        <v>2876</v>
      </c>
      <c r="GZX1332" s="4" t="s">
        <v>2876</v>
      </c>
      <c r="GZY1332" s="4" t="s">
        <v>2876</v>
      </c>
      <c r="GZZ1332" s="4" t="s">
        <v>2876</v>
      </c>
      <c r="HAA1332" s="4" t="s">
        <v>2876</v>
      </c>
      <c r="HAB1332" s="4" t="s">
        <v>2876</v>
      </c>
      <c r="HAC1332" s="4" t="s">
        <v>2876</v>
      </c>
      <c r="HAD1332" s="4" t="s">
        <v>2876</v>
      </c>
      <c r="HAE1332" s="4" t="s">
        <v>2876</v>
      </c>
      <c r="HAF1332" s="4" t="s">
        <v>2876</v>
      </c>
      <c r="HAG1332" s="4" t="s">
        <v>2876</v>
      </c>
      <c r="HAH1332" s="4" t="s">
        <v>2876</v>
      </c>
      <c r="HAI1332" s="4" t="s">
        <v>2876</v>
      </c>
      <c r="HAJ1332" s="4" t="s">
        <v>2876</v>
      </c>
      <c r="HAK1332" s="4" t="s">
        <v>2876</v>
      </c>
      <c r="HAL1332" s="4" t="s">
        <v>2876</v>
      </c>
      <c r="HAM1332" s="4" t="s">
        <v>2876</v>
      </c>
      <c r="HAN1332" s="4" t="s">
        <v>2876</v>
      </c>
      <c r="HAO1332" s="4" t="s">
        <v>2876</v>
      </c>
      <c r="HAP1332" s="4" t="s">
        <v>2876</v>
      </c>
      <c r="HAQ1332" s="4" t="s">
        <v>2876</v>
      </c>
      <c r="HAR1332" s="4" t="s">
        <v>2876</v>
      </c>
      <c r="HAS1332" s="4" t="s">
        <v>2876</v>
      </c>
      <c r="HAT1332" s="4" t="s">
        <v>2876</v>
      </c>
      <c r="HAU1332" s="4" t="s">
        <v>2876</v>
      </c>
      <c r="HAV1332" s="4" t="s">
        <v>2876</v>
      </c>
      <c r="HAW1332" s="4" t="s">
        <v>2876</v>
      </c>
      <c r="HAX1332" s="4" t="s">
        <v>2876</v>
      </c>
      <c r="HAY1332" s="4" t="s">
        <v>2876</v>
      </c>
      <c r="HAZ1332" s="4" t="s">
        <v>2876</v>
      </c>
      <c r="HBA1332" s="4" t="s">
        <v>2876</v>
      </c>
      <c r="HBB1332" s="4" t="s">
        <v>2876</v>
      </c>
      <c r="HBC1332" s="4" t="s">
        <v>2876</v>
      </c>
      <c r="HBD1332" s="4" t="s">
        <v>2876</v>
      </c>
      <c r="HBE1332" s="4" t="s">
        <v>2876</v>
      </c>
      <c r="HBF1332" s="4" t="s">
        <v>2876</v>
      </c>
      <c r="HBG1332" s="4" t="s">
        <v>2876</v>
      </c>
      <c r="HBH1332" s="4" t="s">
        <v>2876</v>
      </c>
      <c r="HBI1332" s="4" t="s">
        <v>2876</v>
      </c>
      <c r="HBJ1332" s="4" t="s">
        <v>2876</v>
      </c>
      <c r="HBK1332" s="4" t="s">
        <v>2876</v>
      </c>
      <c r="HBL1332" s="4" t="s">
        <v>2876</v>
      </c>
      <c r="HBM1332" s="4" t="s">
        <v>2876</v>
      </c>
      <c r="HBN1332" s="4" t="s">
        <v>2876</v>
      </c>
      <c r="HBO1332" s="4" t="s">
        <v>2876</v>
      </c>
      <c r="HBP1332" s="4" t="s">
        <v>2876</v>
      </c>
      <c r="HBQ1332" s="4" t="s">
        <v>2876</v>
      </c>
      <c r="HBR1332" s="4" t="s">
        <v>2876</v>
      </c>
      <c r="HBS1332" s="4" t="s">
        <v>2876</v>
      </c>
      <c r="HBT1332" s="4" t="s">
        <v>2876</v>
      </c>
      <c r="HBU1332" s="4" t="s">
        <v>2876</v>
      </c>
      <c r="HBV1332" s="4" t="s">
        <v>2876</v>
      </c>
      <c r="HBW1332" s="4" t="s">
        <v>2876</v>
      </c>
      <c r="HBX1332" s="4" t="s">
        <v>2876</v>
      </c>
      <c r="HBY1332" s="4" t="s">
        <v>2876</v>
      </c>
      <c r="HBZ1332" s="4" t="s">
        <v>2876</v>
      </c>
      <c r="HCA1332" s="4" t="s">
        <v>2876</v>
      </c>
      <c r="HCB1332" s="4" t="s">
        <v>2876</v>
      </c>
      <c r="HCC1332" s="4" t="s">
        <v>2876</v>
      </c>
      <c r="HCD1332" s="4" t="s">
        <v>2876</v>
      </c>
      <c r="HCE1332" s="4" t="s">
        <v>2876</v>
      </c>
      <c r="HCF1332" s="4" t="s">
        <v>2876</v>
      </c>
      <c r="HCG1332" s="4" t="s">
        <v>2876</v>
      </c>
      <c r="HCH1332" s="4" t="s">
        <v>2876</v>
      </c>
      <c r="HCI1332" s="4" t="s">
        <v>2876</v>
      </c>
      <c r="HCJ1332" s="4" t="s">
        <v>2876</v>
      </c>
      <c r="HCK1332" s="4" t="s">
        <v>2876</v>
      </c>
      <c r="HCL1332" s="4" t="s">
        <v>2876</v>
      </c>
      <c r="HCM1332" s="4" t="s">
        <v>2876</v>
      </c>
      <c r="HCN1332" s="4" t="s">
        <v>2876</v>
      </c>
      <c r="HCO1332" s="4" t="s">
        <v>2876</v>
      </c>
      <c r="HCP1332" s="4" t="s">
        <v>2876</v>
      </c>
      <c r="HCQ1332" s="4" t="s">
        <v>2876</v>
      </c>
      <c r="HCR1332" s="4" t="s">
        <v>2876</v>
      </c>
      <c r="HCS1332" s="4" t="s">
        <v>2876</v>
      </c>
      <c r="HCT1332" s="4" t="s">
        <v>2876</v>
      </c>
      <c r="HCU1332" s="4" t="s">
        <v>2876</v>
      </c>
      <c r="HCV1332" s="4" t="s">
        <v>2876</v>
      </c>
      <c r="HCW1332" s="4" t="s">
        <v>2876</v>
      </c>
      <c r="HCX1332" s="4" t="s">
        <v>2876</v>
      </c>
      <c r="HCY1332" s="4" t="s">
        <v>2876</v>
      </c>
      <c r="HCZ1332" s="4" t="s">
        <v>2876</v>
      </c>
      <c r="HDA1332" s="4" t="s">
        <v>2876</v>
      </c>
      <c r="HDB1332" s="4" t="s">
        <v>2876</v>
      </c>
      <c r="HDC1332" s="4" t="s">
        <v>2876</v>
      </c>
      <c r="HDD1332" s="4" t="s">
        <v>2876</v>
      </c>
      <c r="HDE1332" s="4" t="s">
        <v>2876</v>
      </c>
      <c r="HDF1332" s="4" t="s">
        <v>2876</v>
      </c>
      <c r="HDG1332" s="4" t="s">
        <v>2876</v>
      </c>
      <c r="HDH1332" s="4" t="s">
        <v>2876</v>
      </c>
      <c r="HDI1332" s="4" t="s">
        <v>2876</v>
      </c>
      <c r="HDJ1332" s="4" t="s">
        <v>2876</v>
      </c>
      <c r="HDK1332" s="4" t="s">
        <v>2876</v>
      </c>
      <c r="HDL1332" s="4" t="s">
        <v>2876</v>
      </c>
      <c r="HDM1332" s="4" t="s">
        <v>2876</v>
      </c>
      <c r="HDN1332" s="4" t="s">
        <v>2876</v>
      </c>
      <c r="HDO1332" s="4" t="s">
        <v>2876</v>
      </c>
      <c r="HDP1332" s="4" t="s">
        <v>2876</v>
      </c>
      <c r="HDQ1332" s="4" t="s">
        <v>2876</v>
      </c>
      <c r="HDR1332" s="4" t="s">
        <v>2876</v>
      </c>
      <c r="HDS1332" s="4" t="s">
        <v>2876</v>
      </c>
      <c r="HDT1332" s="4" t="s">
        <v>2876</v>
      </c>
      <c r="HDU1332" s="4" t="s">
        <v>2876</v>
      </c>
      <c r="HDV1332" s="4" t="s">
        <v>2876</v>
      </c>
      <c r="HDW1332" s="4" t="s">
        <v>2876</v>
      </c>
      <c r="HDX1332" s="4" t="s">
        <v>2876</v>
      </c>
      <c r="HDY1332" s="4" t="s">
        <v>2876</v>
      </c>
      <c r="HDZ1332" s="4" t="s">
        <v>2876</v>
      </c>
      <c r="HEA1332" s="4" t="s">
        <v>2876</v>
      </c>
      <c r="HEB1332" s="4" t="s">
        <v>2876</v>
      </c>
      <c r="HEC1332" s="4" t="s">
        <v>2876</v>
      </c>
      <c r="HED1332" s="4" t="s">
        <v>2876</v>
      </c>
      <c r="HEE1332" s="4" t="s">
        <v>2876</v>
      </c>
      <c r="HEF1332" s="4" t="s">
        <v>2876</v>
      </c>
      <c r="HEG1332" s="4" t="s">
        <v>2876</v>
      </c>
      <c r="HEH1332" s="4" t="s">
        <v>2876</v>
      </c>
      <c r="HEI1332" s="4" t="s">
        <v>2876</v>
      </c>
      <c r="HEJ1332" s="4" t="s">
        <v>2876</v>
      </c>
      <c r="HEK1332" s="4" t="s">
        <v>2876</v>
      </c>
      <c r="HEL1332" s="4" t="s">
        <v>2876</v>
      </c>
      <c r="HEM1332" s="4" t="s">
        <v>2876</v>
      </c>
      <c r="HEN1332" s="4" t="s">
        <v>2876</v>
      </c>
      <c r="HEO1332" s="4" t="s">
        <v>2876</v>
      </c>
      <c r="HEP1332" s="4" t="s">
        <v>2876</v>
      </c>
      <c r="HEQ1332" s="4" t="s">
        <v>2876</v>
      </c>
      <c r="HER1332" s="4" t="s">
        <v>2876</v>
      </c>
      <c r="HES1332" s="4" t="s">
        <v>2876</v>
      </c>
      <c r="HET1332" s="4" t="s">
        <v>2876</v>
      </c>
      <c r="HEU1332" s="4" t="s">
        <v>2876</v>
      </c>
      <c r="HEV1332" s="4" t="s">
        <v>2876</v>
      </c>
      <c r="HEW1332" s="4" t="s">
        <v>2876</v>
      </c>
      <c r="HEX1332" s="4" t="s">
        <v>2876</v>
      </c>
      <c r="HEY1332" s="4" t="s">
        <v>2876</v>
      </c>
      <c r="HEZ1332" s="4" t="s">
        <v>2876</v>
      </c>
      <c r="HFA1332" s="4" t="s">
        <v>2876</v>
      </c>
      <c r="HFB1332" s="4" t="s">
        <v>2876</v>
      </c>
      <c r="HFC1332" s="4" t="s">
        <v>2876</v>
      </c>
      <c r="HFD1332" s="4" t="s">
        <v>2876</v>
      </c>
      <c r="HFE1332" s="4" t="s">
        <v>2876</v>
      </c>
      <c r="HFF1332" s="4" t="s">
        <v>2876</v>
      </c>
      <c r="HFG1332" s="4" t="s">
        <v>2876</v>
      </c>
      <c r="HFH1332" s="4" t="s">
        <v>2876</v>
      </c>
      <c r="HFI1332" s="4" t="s">
        <v>2876</v>
      </c>
      <c r="HFJ1332" s="4" t="s">
        <v>2876</v>
      </c>
      <c r="HFK1332" s="4" t="s">
        <v>2876</v>
      </c>
      <c r="HFL1332" s="4" t="s">
        <v>2876</v>
      </c>
      <c r="HFM1332" s="4" t="s">
        <v>2876</v>
      </c>
      <c r="HFN1332" s="4" t="s">
        <v>2876</v>
      </c>
      <c r="HFO1332" s="4" t="s">
        <v>2876</v>
      </c>
      <c r="HFP1332" s="4" t="s">
        <v>2876</v>
      </c>
      <c r="HFQ1332" s="4" t="s">
        <v>2876</v>
      </c>
      <c r="HFR1332" s="4" t="s">
        <v>2876</v>
      </c>
      <c r="HFS1332" s="4" t="s">
        <v>2876</v>
      </c>
      <c r="HFT1332" s="4" t="s">
        <v>2876</v>
      </c>
      <c r="HFU1332" s="4" t="s">
        <v>2876</v>
      </c>
      <c r="HFV1332" s="4" t="s">
        <v>2876</v>
      </c>
      <c r="HFW1332" s="4" t="s">
        <v>2876</v>
      </c>
      <c r="HFX1332" s="4" t="s">
        <v>2876</v>
      </c>
      <c r="HFY1332" s="4" t="s">
        <v>2876</v>
      </c>
      <c r="HFZ1332" s="4" t="s">
        <v>2876</v>
      </c>
      <c r="HGA1332" s="4" t="s">
        <v>2876</v>
      </c>
      <c r="HGB1332" s="4" t="s">
        <v>2876</v>
      </c>
      <c r="HGC1332" s="4" t="s">
        <v>2876</v>
      </c>
      <c r="HGD1332" s="4" t="s">
        <v>2876</v>
      </c>
      <c r="HGE1332" s="4" t="s">
        <v>2876</v>
      </c>
      <c r="HGF1332" s="4" t="s">
        <v>2876</v>
      </c>
      <c r="HGG1332" s="4" t="s">
        <v>2876</v>
      </c>
      <c r="HGH1332" s="4" t="s">
        <v>2876</v>
      </c>
      <c r="HGI1332" s="4" t="s">
        <v>2876</v>
      </c>
      <c r="HGJ1332" s="4" t="s">
        <v>2876</v>
      </c>
      <c r="HGK1332" s="4" t="s">
        <v>2876</v>
      </c>
      <c r="HGL1332" s="4" t="s">
        <v>2876</v>
      </c>
      <c r="HGM1332" s="4" t="s">
        <v>2876</v>
      </c>
      <c r="HGN1332" s="4" t="s">
        <v>2876</v>
      </c>
      <c r="HGO1332" s="4" t="s">
        <v>2876</v>
      </c>
      <c r="HGP1332" s="4" t="s">
        <v>2876</v>
      </c>
      <c r="HGQ1332" s="4" t="s">
        <v>2876</v>
      </c>
      <c r="HGR1332" s="4" t="s">
        <v>2876</v>
      </c>
      <c r="HGS1332" s="4" t="s">
        <v>2876</v>
      </c>
      <c r="HGT1332" s="4" t="s">
        <v>2876</v>
      </c>
      <c r="HGU1332" s="4" t="s">
        <v>2876</v>
      </c>
      <c r="HGV1332" s="4" t="s">
        <v>2876</v>
      </c>
      <c r="HGW1332" s="4" t="s">
        <v>2876</v>
      </c>
      <c r="HGX1332" s="4" t="s">
        <v>2876</v>
      </c>
      <c r="HGY1332" s="4" t="s">
        <v>2876</v>
      </c>
      <c r="HGZ1332" s="4" t="s">
        <v>2876</v>
      </c>
      <c r="HHA1332" s="4" t="s">
        <v>2876</v>
      </c>
      <c r="HHB1332" s="4" t="s">
        <v>2876</v>
      </c>
      <c r="HHC1332" s="4" t="s">
        <v>2876</v>
      </c>
      <c r="HHD1332" s="4" t="s">
        <v>2876</v>
      </c>
      <c r="HHE1332" s="4" t="s">
        <v>2876</v>
      </c>
      <c r="HHF1332" s="4" t="s">
        <v>2876</v>
      </c>
      <c r="HHG1332" s="4" t="s">
        <v>2876</v>
      </c>
      <c r="HHH1332" s="4" t="s">
        <v>2876</v>
      </c>
      <c r="HHI1332" s="4" t="s">
        <v>2876</v>
      </c>
      <c r="HHJ1332" s="4" t="s">
        <v>2876</v>
      </c>
      <c r="HHK1332" s="4" t="s">
        <v>2876</v>
      </c>
      <c r="HHL1332" s="4" t="s">
        <v>2876</v>
      </c>
      <c r="HHM1332" s="4" t="s">
        <v>2876</v>
      </c>
      <c r="HHN1332" s="4" t="s">
        <v>2876</v>
      </c>
      <c r="HHO1332" s="4" t="s">
        <v>2876</v>
      </c>
      <c r="HHP1332" s="4" t="s">
        <v>2876</v>
      </c>
      <c r="HHQ1332" s="4" t="s">
        <v>2876</v>
      </c>
      <c r="HHR1332" s="4" t="s">
        <v>2876</v>
      </c>
      <c r="HHS1332" s="4" t="s">
        <v>2876</v>
      </c>
      <c r="HHT1332" s="4" t="s">
        <v>2876</v>
      </c>
      <c r="HHU1332" s="4" t="s">
        <v>2876</v>
      </c>
      <c r="HHV1332" s="4" t="s">
        <v>2876</v>
      </c>
      <c r="HHW1332" s="4" t="s">
        <v>2876</v>
      </c>
      <c r="HHX1332" s="4" t="s">
        <v>2876</v>
      </c>
      <c r="HHY1332" s="4" t="s">
        <v>2876</v>
      </c>
      <c r="HHZ1332" s="4" t="s">
        <v>2876</v>
      </c>
      <c r="HIA1332" s="4" t="s">
        <v>2876</v>
      </c>
      <c r="HIB1332" s="4" t="s">
        <v>2876</v>
      </c>
      <c r="HIC1332" s="4" t="s">
        <v>2876</v>
      </c>
      <c r="HID1332" s="4" t="s">
        <v>2876</v>
      </c>
      <c r="HIE1332" s="4" t="s">
        <v>2876</v>
      </c>
      <c r="HIF1332" s="4" t="s">
        <v>2876</v>
      </c>
      <c r="HIG1332" s="4" t="s">
        <v>2876</v>
      </c>
      <c r="HIH1332" s="4" t="s">
        <v>2876</v>
      </c>
      <c r="HII1332" s="4" t="s">
        <v>2876</v>
      </c>
      <c r="HIJ1332" s="4" t="s">
        <v>2876</v>
      </c>
      <c r="HIK1332" s="4" t="s">
        <v>2876</v>
      </c>
      <c r="HIL1332" s="4" t="s">
        <v>2876</v>
      </c>
      <c r="HIM1332" s="4" t="s">
        <v>2876</v>
      </c>
      <c r="HIN1332" s="4" t="s">
        <v>2876</v>
      </c>
      <c r="HIO1332" s="4" t="s">
        <v>2876</v>
      </c>
      <c r="HIP1332" s="4" t="s">
        <v>2876</v>
      </c>
      <c r="HIQ1332" s="4" t="s">
        <v>2876</v>
      </c>
      <c r="HIR1332" s="4" t="s">
        <v>2876</v>
      </c>
      <c r="HIS1332" s="4" t="s">
        <v>2876</v>
      </c>
      <c r="HIT1332" s="4" t="s">
        <v>2876</v>
      </c>
      <c r="HIU1332" s="4" t="s">
        <v>2876</v>
      </c>
      <c r="HIV1332" s="4" t="s">
        <v>2876</v>
      </c>
      <c r="HIW1332" s="4" t="s">
        <v>2876</v>
      </c>
      <c r="HIX1332" s="4" t="s">
        <v>2876</v>
      </c>
      <c r="HIY1332" s="4" t="s">
        <v>2876</v>
      </c>
      <c r="HIZ1332" s="4" t="s">
        <v>2876</v>
      </c>
      <c r="HJA1332" s="4" t="s">
        <v>2876</v>
      </c>
      <c r="HJB1332" s="4" t="s">
        <v>2876</v>
      </c>
      <c r="HJC1332" s="4" t="s">
        <v>2876</v>
      </c>
      <c r="HJD1332" s="4" t="s">
        <v>2876</v>
      </c>
      <c r="HJE1332" s="4" t="s">
        <v>2876</v>
      </c>
      <c r="HJF1332" s="4" t="s">
        <v>2876</v>
      </c>
      <c r="HJG1332" s="4" t="s">
        <v>2876</v>
      </c>
      <c r="HJH1332" s="4" t="s">
        <v>2876</v>
      </c>
      <c r="HJI1332" s="4" t="s">
        <v>2876</v>
      </c>
      <c r="HJJ1332" s="4" t="s">
        <v>2876</v>
      </c>
      <c r="HJK1332" s="4" t="s">
        <v>2876</v>
      </c>
      <c r="HJL1332" s="4" t="s">
        <v>2876</v>
      </c>
      <c r="HJM1332" s="4" t="s">
        <v>2876</v>
      </c>
      <c r="HJN1332" s="4" t="s">
        <v>2876</v>
      </c>
      <c r="HJO1332" s="4" t="s">
        <v>2876</v>
      </c>
      <c r="HJP1332" s="4" t="s">
        <v>2876</v>
      </c>
      <c r="HJQ1332" s="4" t="s">
        <v>2876</v>
      </c>
      <c r="HJR1332" s="4" t="s">
        <v>2876</v>
      </c>
      <c r="HJS1332" s="4" t="s">
        <v>2876</v>
      </c>
      <c r="HJT1332" s="4" t="s">
        <v>2876</v>
      </c>
      <c r="HJU1332" s="4" t="s">
        <v>2876</v>
      </c>
      <c r="HJV1332" s="4" t="s">
        <v>2876</v>
      </c>
      <c r="HJW1332" s="4" t="s">
        <v>2876</v>
      </c>
      <c r="HJX1332" s="4" t="s">
        <v>2876</v>
      </c>
      <c r="HJY1332" s="4" t="s">
        <v>2876</v>
      </c>
      <c r="HJZ1332" s="4" t="s">
        <v>2876</v>
      </c>
      <c r="HKA1332" s="4" t="s">
        <v>2876</v>
      </c>
      <c r="HKB1332" s="4" t="s">
        <v>2876</v>
      </c>
      <c r="HKC1332" s="4" t="s">
        <v>2876</v>
      </c>
      <c r="HKD1332" s="4" t="s">
        <v>2876</v>
      </c>
      <c r="HKE1332" s="4" t="s">
        <v>2876</v>
      </c>
      <c r="HKF1332" s="4" t="s">
        <v>2876</v>
      </c>
      <c r="HKG1332" s="4" t="s">
        <v>2876</v>
      </c>
      <c r="HKH1332" s="4" t="s">
        <v>2876</v>
      </c>
      <c r="HKI1332" s="4" t="s">
        <v>2876</v>
      </c>
      <c r="HKJ1332" s="4" t="s">
        <v>2876</v>
      </c>
      <c r="HKK1332" s="4" t="s">
        <v>2876</v>
      </c>
      <c r="HKL1332" s="4" t="s">
        <v>2876</v>
      </c>
      <c r="HKM1332" s="4" t="s">
        <v>2876</v>
      </c>
      <c r="HKN1332" s="4" t="s">
        <v>2876</v>
      </c>
      <c r="HKO1332" s="4" t="s">
        <v>2876</v>
      </c>
      <c r="HKP1332" s="4" t="s">
        <v>2876</v>
      </c>
      <c r="HKQ1332" s="4" t="s">
        <v>2876</v>
      </c>
      <c r="HKR1332" s="4" t="s">
        <v>2876</v>
      </c>
      <c r="HKS1332" s="4" t="s">
        <v>2876</v>
      </c>
      <c r="HKT1332" s="4" t="s">
        <v>2876</v>
      </c>
      <c r="HKU1332" s="4" t="s">
        <v>2876</v>
      </c>
      <c r="HKV1332" s="4" t="s">
        <v>2876</v>
      </c>
      <c r="HKW1332" s="4" t="s">
        <v>2876</v>
      </c>
      <c r="HKX1332" s="4" t="s">
        <v>2876</v>
      </c>
      <c r="HKY1332" s="4" t="s">
        <v>2876</v>
      </c>
      <c r="HKZ1332" s="4" t="s">
        <v>2876</v>
      </c>
      <c r="HLA1332" s="4" t="s">
        <v>2876</v>
      </c>
      <c r="HLB1332" s="4" t="s">
        <v>2876</v>
      </c>
      <c r="HLC1332" s="4" t="s">
        <v>2876</v>
      </c>
      <c r="HLD1332" s="4" t="s">
        <v>2876</v>
      </c>
      <c r="HLE1332" s="4" t="s">
        <v>2876</v>
      </c>
      <c r="HLF1332" s="4" t="s">
        <v>2876</v>
      </c>
      <c r="HLG1332" s="4" t="s">
        <v>2876</v>
      </c>
      <c r="HLH1332" s="4" t="s">
        <v>2876</v>
      </c>
      <c r="HLI1332" s="4" t="s">
        <v>2876</v>
      </c>
      <c r="HLJ1332" s="4" t="s">
        <v>2876</v>
      </c>
      <c r="HLK1332" s="4" t="s">
        <v>2876</v>
      </c>
      <c r="HLL1332" s="4" t="s">
        <v>2876</v>
      </c>
      <c r="HLM1332" s="4" t="s">
        <v>2876</v>
      </c>
      <c r="HLN1332" s="4" t="s">
        <v>2876</v>
      </c>
      <c r="HLO1332" s="4" t="s">
        <v>2876</v>
      </c>
      <c r="HLP1332" s="4" t="s">
        <v>2876</v>
      </c>
      <c r="HLQ1332" s="4" t="s">
        <v>2876</v>
      </c>
      <c r="HLR1332" s="4" t="s">
        <v>2876</v>
      </c>
      <c r="HLS1332" s="4" t="s">
        <v>2876</v>
      </c>
      <c r="HLT1332" s="4" t="s">
        <v>2876</v>
      </c>
      <c r="HLU1332" s="4" t="s">
        <v>2876</v>
      </c>
      <c r="HLV1332" s="4" t="s">
        <v>2876</v>
      </c>
      <c r="HLW1332" s="4" t="s">
        <v>2876</v>
      </c>
      <c r="HLX1332" s="4" t="s">
        <v>2876</v>
      </c>
      <c r="HLY1332" s="4" t="s">
        <v>2876</v>
      </c>
      <c r="HLZ1332" s="4" t="s">
        <v>2876</v>
      </c>
      <c r="HMA1332" s="4" t="s">
        <v>2876</v>
      </c>
      <c r="HMB1332" s="4" t="s">
        <v>2876</v>
      </c>
      <c r="HMC1332" s="4" t="s">
        <v>2876</v>
      </c>
      <c r="HMD1332" s="4" t="s">
        <v>2876</v>
      </c>
      <c r="HME1332" s="4" t="s">
        <v>2876</v>
      </c>
      <c r="HMF1332" s="4" t="s">
        <v>2876</v>
      </c>
      <c r="HMG1332" s="4" t="s">
        <v>2876</v>
      </c>
      <c r="HMH1332" s="4" t="s">
        <v>2876</v>
      </c>
      <c r="HMI1332" s="4" t="s">
        <v>2876</v>
      </c>
      <c r="HMJ1332" s="4" t="s">
        <v>2876</v>
      </c>
      <c r="HMK1332" s="4" t="s">
        <v>2876</v>
      </c>
      <c r="HML1332" s="4" t="s">
        <v>2876</v>
      </c>
      <c r="HMM1332" s="4" t="s">
        <v>2876</v>
      </c>
      <c r="HMN1332" s="4" t="s">
        <v>2876</v>
      </c>
      <c r="HMO1332" s="4" t="s">
        <v>2876</v>
      </c>
      <c r="HMP1332" s="4" t="s">
        <v>2876</v>
      </c>
      <c r="HMQ1332" s="4" t="s">
        <v>2876</v>
      </c>
      <c r="HMR1332" s="4" t="s">
        <v>2876</v>
      </c>
      <c r="HMS1332" s="4" t="s">
        <v>2876</v>
      </c>
      <c r="HMT1332" s="4" t="s">
        <v>2876</v>
      </c>
      <c r="HMU1332" s="4" t="s">
        <v>2876</v>
      </c>
      <c r="HMV1332" s="4" t="s">
        <v>2876</v>
      </c>
      <c r="HMW1332" s="4" t="s">
        <v>2876</v>
      </c>
      <c r="HMX1332" s="4" t="s">
        <v>2876</v>
      </c>
      <c r="HMY1332" s="4" t="s">
        <v>2876</v>
      </c>
      <c r="HMZ1332" s="4" t="s">
        <v>2876</v>
      </c>
      <c r="HNA1332" s="4" t="s">
        <v>2876</v>
      </c>
      <c r="HNB1332" s="4" t="s">
        <v>2876</v>
      </c>
      <c r="HNC1332" s="4" t="s">
        <v>2876</v>
      </c>
      <c r="HND1332" s="4" t="s">
        <v>2876</v>
      </c>
      <c r="HNE1332" s="4" t="s">
        <v>2876</v>
      </c>
      <c r="HNF1332" s="4" t="s">
        <v>2876</v>
      </c>
      <c r="HNG1332" s="4" t="s">
        <v>2876</v>
      </c>
      <c r="HNH1332" s="4" t="s">
        <v>2876</v>
      </c>
      <c r="HNI1332" s="4" t="s">
        <v>2876</v>
      </c>
      <c r="HNJ1332" s="4" t="s">
        <v>2876</v>
      </c>
      <c r="HNK1332" s="4" t="s">
        <v>2876</v>
      </c>
      <c r="HNL1332" s="4" t="s">
        <v>2876</v>
      </c>
      <c r="HNM1332" s="4" t="s">
        <v>2876</v>
      </c>
      <c r="HNN1332" s="4" t="s">
        <v>2876</v>
      </c>
      <c r="HNO1332" s="4" t="s">
        <v>2876</v>
      </c>
      <c r="HNP1332" s="4" t="s">
        <v>2876</v>
      </c>
      <c r="HNQ1332" s="4" t="s">
        <v>2876</v>
      </c>
      <c r="HNR1332" s="4" t="s">
        <v>2876</v>
      </c>
      <c r="HNS1332" s="4" t="s">
        <v>2876</v>
      </c>
      <c r="HNT1332" s="4" t="s">
        <v>2876</v>
      </c>
      <c r="HNU1332" s="4" t="s">
        <v>2876</v>
      </c>
      <c r="HNV1332" s="4" t="s">
        <v>2876</v>
      </c>
      <c r="HNW1332" s="4" t="s">
        <v>2876</v>
      </c>
      <c r="HNX1332" s="4" t="s">
        <v>2876</v>
      </c>
      <c r="HNY1332" s="4" t="s">
        <v>2876</v>
      </c>
      <c r="HNZ1332" s="4" t="s">
        <v>2876</v>
      </c>
      <c r="HOA1332" s="4" t="s">
        <v>2876</v>
      </c>
      <c r="HOB1332" s="4" t="s">
        <v>2876</v>
      </c>
      <c r="HOC1332" s="4" t="s">
        <v>2876</v>
      </c>
      <c r="HOD1332" s="4" t="s">
        <v>2876</v>
      </c>
      <c r="HOE1332" s="4" t="s">
        <v>2876</v>
      </c>
      <c r="HOF1332" s="4" t="s">
        <v>2876</v>
      </c>
      <c r="HOG1332" s="4" t="s">
        <v>2876</v>
      </c>
      <c r="HOH1332" s="4" t="s">
        <v>2876</v>
      </c>
      <c r="HOI1332" s="4" t="s">
        <v>2876</v>
      </c>
      <c r="HOJ1332" s="4" t="s">
        <v>2876</v>
      </c>
      <c r="HOK1332" s="4" t="s">
        <v>2876</v>
      </c>
      <c r="HOL1332" s="4" t="s">
        <v>2876</v>
      </c>
      <c r="HOM1332" s="4" t="s">
        <v>2876</v>
      </c>
      <c r="HON1332" s="4" t="s">
        <v>2876</v>
      </c>
      <c r="HOO1332" s="4" t="s">
        <v>2876</v>
      </c>
      <c r="HOP1332" s="4" t="s">
        <v>2876</v>
      </c>
      <c r="HOQ1332" s="4" t="s">
        <v>2876</v>
      </c>
      <c r="HOR1332" s="4" t="s">
        <v>2876</v>
      </c>
      <c r="HOS1332" s="4" t="s">
        <v>2876</v>
      </c>
      <c r="HOT1332" s="4" t="s">
        <v>2876</v>
      </c>
      <c r="HOU1332" s="4" t="s">
        <v>2876</v>
      </c>
      <c r="HOV1332" s="4" t="s">
        <v>2876</v>
      </c>
      <c r="HOW1332" s="4" t="s">
        <v>2876</v>
      </c>
      <c r="HOX1332" s="4" t="s">
        <v>2876</v>
      </c>
      <c r="HOY1332" s="4" t="s">
        <v>2876</v>
      </c>
      <c r="HOZ1332" s="4" t="s">
        <v>2876</v>
      </c>
      <c r="HPA1332" s="4" t="s">
        <v>2876</v>
      </c>
      <c r="HPB1332" s="4" t="s">
        <v>2876</v>
      </c>
      <c r="HPC1332" s="4" t="s">
        <v>2876</v>
      </c>
      <c r="HPD1332" s="4" t="s">
        <v>2876</v>
      </c>
      <c r="HPE1332" s="4" t="s">
        <v>2876</v>
      </c>
      <c r="HPF1332" s="4" t="s">
        <v>2876</v>
      </c>
      <c r="HPG1332" s="4" t="s">
        <v>2876</v>
      </c>
      <c r="HPH1332" s="4" t="s">
        <v>2876</v>
      </c>
      <c r="HPI1332" s="4" t="s">
        <v>2876</v>
      </c>
      <c r="HPJ1332" s="4" t="s">
        <v>2876</v>
      </c>
      <c r="HPK1332" s="4" t="s">
        <v>2876</v>
      </c>
      <c r="HPL1332" s="4" t="s">
        <v>2876</v>
      </c>
      <c r="HPM1332" s="4" t="s">
        <v>2876</v>
      </c>
      <c r="HPN1332" s="4" t="s">
        <v>2876</v>
      </c>
      <c r="HPO1332" s="4" t="s">
        <v>2876</v>
      </c>
      <c r="HPP1332" s="4" t="s">
        <v>2876</v>
      </c>
      <c r="HPQ1332" s="4" t="s">
        <v>2876</v>
      </c>
      <c r="HPR1332" s="4" t="s">
        <v>2876</v>
      </c>
      <c r="HPS1332" s="4" t="s">
        <v>2876</v>
      </c>
      <c r="HPT1332" s="4" t="s">
        <v>2876</v>
      </c>
      <c r="HPU1332" s="4" t="s">
        <v>2876</v>
      </c>
      <c r="HPV1332" s="4" t="s">
        <v>2876</v>
      </c>
      <c r="HPW1332" s="4" t="s">
        <v>2876</v>
      </c>
      <c r="HPX1332" s="4" t="s">
        <v>2876</v>
      </c>
      <c r="HPY1332" s="4" t="s">
        <v>2876</v>
      </c>
      <c r="HPZ1332" s="4" t="s">
        <v>2876</v>
      </c>
      <c r="HQA1332" s="4" t="s">
        <v>2876</v>
      </c>
      <c r="HQB1332" s="4" t="s">
        <v>2876</v>
      </c>
      <c r="HQC1332" s="4" t="s">
        <v>2876</v>
      </c>
      <c r="HQD1332" s="4" t="s">
        <v>2876</v>
      </c>
      <c r="HQE1332" s="4" t="s">
        <v>2876</v>
      </c>
      <c r="HQF1332" s="4" t="s">
        <v>2876</v>
      </c>
      <c r="HQG1332" s="4" t="s">
        <v>2876</v>
      </c>
      <c r="HQH1332" s="4" t="s">
        <v>2876</v>
      </c>
      <c r="HQI1332" s="4" t="s">
        <v>2876</v>
      </c>
      <c r="HQJ1332" s="4" t="s">
        <v>2876</v>
      </c>
      <c r="HQK1332" s="4" t="s">
        <v>2876</v>
      </c>
      <c r="HQL1332" s="4" t="s">
        <v>2876</v>
      </c>
      <c r="HQM1332" s="4" t="s">
        <v>2876</v>
      </c>
      <c r="HQN1332" s="4" t="s">
        <v>2876</v>
      </c>
      <c r="HQO1332" s="4" t="s">
        <v>2876</v>
      </c>
      <c r="HQP1332" s="4" t="s">
        <v>2876</v>
      </c>
      <c r="HQQ1332" s="4" t="s">
        <v>2876</v>
      </c>
      <c r="HQR1332" s="4" t="s">
        <v>2876</v>
      </c>
      <c r="HQS1332" s="4" t="s">
        <v>2876</v>
      </c>
      <c r="HQT1332" s="4" t="s">
        <v>2876</v>
      </c>
      <c r="HQU1332" s="4" t="s">
        <v>2876</v>
      </c>
      <c r="HQV1332" s="4" t="s">
        <v>2876</v>
      </c>
      <c r="HQW1332" s="4" t="s">
        <v>2876</v>
      </c>
      <c r="HQX1332" s="4" t="s">
        <v>2876</v>
      </c>
      <c r="HQY1332" s="4" t="s">
        <v>2876</v>
      </c>
      <c r="HQZ1332" s="4" t="s">
        <v>2876</v>
      </c>
      <c r="HRA1332" s="4" t="s">
        <v>2876</v>
      </c>
      <c r="HRB1332" s="4" t="s">
        <v>2876</v>
      </c>
      <c r="HRC1332" s="4" t="s">
        <v>2876</v>
      </c>
      <c r="HRD1332" s="4" t="s">
        <v>2876</v>
      </c>
      <c r="HRE1332" s="4" t="s">
        <v>2876</v>
      </c>
      <c r="HRF1332" s="4" t="s">
        <v>2876</v>
      </c>
      <c r="HRG1332" s="4" t="s">
        <v>2876</v>
      </c>
      <c r="HRH1332" s="4" t="s">
        <v>2876</v>
      </c>
      <c r="HRI1332" s="4" t="s">
        <v>2876</v>
      </c>
      <c r="HRJ1332" s="4" t="s">
        <v>2876</v>
      </c>
      <c r="HRK1332" s="4" t="s">
        <v>2876</v>
      </c>
      <c r="HRL1332" s="4" t="s">
        <v>2876</v>
      </c>
      <c r="HRM1332" s="4" t="s">
        <v>2876</v>
      </c>
      <c r="HRN1332" s="4" t="s">
        <v>2876</v>
      </c>
      <c r="HRO1332" s="4" t="s">
        <v>2876</v>
      </c>
      <c r="HRP1332" s="4" t="s">
        <v>2876</v>
      </c>
      <c r="HRQ1332" s="4" t="s">
        <v>2876</v>
      </c>
      <c r="HRR1332" s="4" t="s">
        <v>2876</v>
      </c>
      <c r="HRS1332" s="4" t="s">
        <v>2876</v>
      </c>
      <c r="HRT1332" s="4" t="s">
        <v>2876</v>
      </c>
      <c r="HRU1332" s="4" t="s">
        <v>2876</v>
      </c>
      <c r="HRV1332" s="4" t="s">
        <v>2876</v>
      </c>
      <c r="HRW1332" s="4" t="s">
        <v>2876</v>
      </c>
      <c r="HRX1332" s="4" t="s">
        <v>2876</v>
      </c>
      <c r="HRY1332" s="4" t="s">
        <v>2876</v>
      </c>
      <c r="HRZ1332" s="4" t="s">
        <v>2876</v>
      </c>
      <c r="HSA1332" s="4" t="s">
        <v>2876</v>
      </c>
      <c r="HSB1332" s="4" t="s">
        <v>2876</v>
      </c>
      <c r="HSC1332" s="4" t="s">
        <v>2876</v>
      </c>
      <c r="HSD1332" s="4" t="s">
        <v>2876</v>
      </c>
      <c r="HSE1332" s="4" t="s">
        <v>2876</v>
      </c>
      <c r="HSF1332" s="4" t="s">
        <v>2876</v>
      </c>
      <c r="HSG1332" s="4" t="s">
        <v>2876</v>
      </c>
      <c r="HSH1332" s="4" t="s">
        <v>2876</v>
      </c>
      <c r="HSI1332" s="4" t="s">
        <v>2876</v>
      </c>
      <c r="HSJ1332" s="4" t="s">
        <v>2876</v>
      </c>
      <c r="HSK1332" s="4" t="s">
        <v>2876</v>
      </c>
      <c r="HSL1332" s="4" t="s">
        <v>2876</v>
      </c>
      <c r="HSM1332" s="4" t="s">
        <v>2876</v>
      </c>
      <c r="HSN1332" s="4" t="s">
        <v>2876</v>
      </c>
      <c r="HSO1332" s="4" t="s">
        <v>2876</v>
      </c>
      <c r="HSP1332" s="4" t="s">
        <v>2876</v>
      </c>
      <c r="HSQ1332" s="4" t="s">
        <v>2876</v>
      </c>
      <c r="HSR1332" s="4" t="s">
        <v>2876</v>
      </c>
      <c r="HSS1332" s="4" t="s">
        <v>2876</v>
      </c>
      <c r="HST1332" s="4" t="s">
        <v>2876</v>
      </c>
      <c r="HSU1332" s="4" t="s">
        <v>2876</v>
      </c>
      <c r="HSV1332" s="4" t="s">
        <v>2876</v>
      </c>
      <c r="HSW1332" s="4" t="s">
        <v>2876</v>
      </c>
      <c r="HSX1332" s="4" t="s">
        <v>2876</v>
      </c>
      <c r="HSY1332" s="4" t="s">
        <v>2876</v>
      </c>
      <c r="HSZ1332" s="4" t="s">
        <v>2876</v>
      </c>
      <c r="HTA1332" s="4" t="s">
        <v>2876</v>
      </c>
      <c r="HTB1332" s="4" t="s">
        <v>2876</v>
      </c>
      <c r="HTC1332" s="4" t="s">
        <v>2876</v>
      </c>
      <c r="HTD1332" s="4" t="s">
        <v>2876</v>
      </c>
      <c r="HTE1332" s="4" t="s">
        <v>2876</v>
      </c>
      <c r="HTF1332" s="4" t="s">
        <v>2876</v>
      </c>
      <c r="HTG1332" s="4" t="s">
        <v>2876</v>
      </c>
      <c r="HTH1332" s="4" t="s">
        <v>2876</v>
      </c>
      <c r="HTI1332" s="4" t="s">
        <v>2876</v>
      </c>
      <c r="HTJ1332" s="4" t="s">
        <v>2876</v>
      </c>
      <c r="HTK1332" s="4" t="s">
        <v>2876</v>
      </c>
      <c r="HTL1332" s="4" t="s">
        <v>2876</v>
      </c>
      <c r="HTM1332" s="4" t="s">
        <v>2876</v>
      </c>
      <c r="HTN1332" s="4" t="s">
        <v>2876</v>
      </c>
      <c r="HTO1332" s="4" t="s">
        <v>2876</v>
      </c>
      <c r="HTP1332" s="4" t="s">
        <v>2876</v>
      </c>
      <c r="HTQ1332" s="4" t="s">
        <v>2876</v>
      </c>
      <c r="HTR1332" s="4" t="s">
        <v>2876</v>
      </c>
      <c r="HTS1332" s="4" t="s">
        <v>2876</v>
      </c>
      <c r="HTT1332" s="4" t="s">
        <v>2876</v>
      </c>
      <c r="HTU1332" s="4" t="s">
        <v>2876</v>
      </c>
      <c r="HTV1332" s="4" t="s">
        <v>2876</v>
      </c>
      <c r="HTW1332" s="4" t="s">
        <v>2876</v>
      </c>
      <c r="HTX1332" s="4" t="s">
        <v>2876</v>
      </c>
      <c r="HTY1332" s="4" t="s">
        <v>2876</v>
      </c>
      <c r="HTZ1332" s="4" t="s">
        <v>2876</v>
      </c>
      <c r="HUA1332" s="4" t="s">
        <v>2876</v>
      </c>
      <c r="HUB1332" s="4" t="s">
        <v>2876</v>
      </c>
      <c r="HUC1332" s="4" t="s">
        <v>2876</v>
      </c>
      <c r="HUD1332" s="4" t="s">
        <v>2876</v>
      </c>
      <c r="HUE1332" s="4" t="s">
        <v>2876</v>
      </c>
      <c r="HUF1332" s="4" t="s">
        <v>2876</v>
      </c>
      <c r="HUG1332" s="4" t="s">
        <v>2876</v>
      </c>
      <c r="HUH1332" s="4" t="s">
        <v>2876</v>
      </c>
      <c r="HUI1332" s="4" t="s">
        <v>2876</v>
      </c>
      <c r="HUJ1332" s="4" t="s">
        <v>2876</v>
      </c>
      <c r="HUK1332" s="4" t="s">
        <v>2876</v>
      </c>
      <c r="HUL1332" s="4" t="s">
        <v>2876</v>
      </c>
      <c r="HUM1332" s="4" t="s">
        <v>2876</v>
      </c>
      <c r="HUN1332" s="4" t="s">
        <v>2876</v>
      </c>
      <c r="HUO1332" s="4" t="s">
        <v>2876</v>
      </c>
      <c r="HUP1332" s="4" t="s">
        <v>2876</v>
      </c>
      <c r="HUQ1332" s="4" t="s">
        <v>2876</v>
      </c>
      <c r="HUR1332" s="4" t="s">
        <v>2876</v>
      </c>
      <c r="HUS1332" s="4" t="s">
        <v>2876</v>
      </c>
      <c r="HUT1332" s="4" t="s">
        <v>2876</v>
      </c>
      <c r="HUU1332" s="4" t="s">
        <v>2876</v>
      </c>
      <c r="HUV1332" s="4" t="s">
        <v>2876</v>
      </c>
      <c r="HUW1332" s="4" t="s">
        <v>2876</v>
      </c>
      <c r="HUX1332" s="4" t="s">
        <v>2876</v>
      </c>
      <c r="HUY1332" s="4" t="s">
        <v>2876</v>
      </c>
      <c r="HUZ1332" s="4" t="s">
        <v>2876</v>
      </c>
      <c r="HVA1332" s="4" t="s">
        <v>2876</v>
      </c>
      <c r="HVB1332" s="4" t="s">
        <v>2876</v>
      </c>
      <c r="HVC1332" s="4" t="s">
        <v>2876</v>
      </c>
      <c r="HVD1332" s="4" t="s">
        <v>2876</v>
      </c>
      <c r="HVE1332" s="4" t="s">
        <v>2876</v>
      </c>
      <c r="HVF1332" s="4" t="s">
        <v>2876</v>
      </c>
      <c r="HVG1332" s="4" t="s">
        <v>2876</v>
      </c>
      <c r="HVH1332" s="4" t="s">
        <v>2876</v>
      </c>
      <c r="HVI1332" s="4" t="s">
        <v>2876</v>
      </c>
      <c r="HVJ1332" s="4" t="s">
        <v>2876</v>
      </c>
      <c r="HVK1332" s="4" t="s">
        <v>2876</v>
      </c>
      <c r="HVL1332" s="4" t="s">
        <v>2876</v>
      </c>
      <c r="HVM1332" s="4" t="s">
        <v>2876</v>
      </c>
      <c r="HVN1332" s="4" t="s">
        <v>2876</v>
      </c>
      <c r="HVO1332" s="4" t="s">
        <v>2876</v>
      </c>
      <c r="HVP1332" s="4" t="s">
        <v>2876</v>
      </c>
      <c r="HVQ1332" s="4" t="s">
        <v>2876</v>
      </c>
      <c r="HVR1332" s="4" t="s">
        <v>2876</v>
      </c>
      <c r="HVS1332" s="4" t="s">
        <v>2876</v>
      </c>
      <c r="HVT1332" s="4" t="s">
        <v>2876</v>
      </c>
      <c r="HVU1332" s="4" t="s">
        <v>2876</v>
      </c>
      <c r="HVV1332" s="4" t="s">
        <v>2876</v>
      </c>
      <c r="HVW1332" s="4" t="s">
        <v>2876</v>
      </c>
      <c r="HVX1332" s="4" t="s">
        <v>2876</v>
      </c>
      <c r="HVY1332" s="4" t="s">
        <v>2876</v>
      </c>
      <c r="HVZ1332" s="4" t="s">
        <v>2876</v>
      </c>
      <c r="HWA1332" s="4" t="s">
        <v>2876</v>
      </c>
      <c r="HWB1332" s="4" t="s">
        <v>2876</v>
      </c>
      <c r="HWC1332" s="4" t="s">
        <v>2876</v>
      </c>
      <c r="HWD1332" s="4" t="s">
        <v>2876</v>
      </c>
      <c r="HWE1332" s="4" t="s">
        <v>2876</v>
      </c>
      <c r="HWF1332" s="4" t="s">
        <v>2876</v>
      </c>
      <c r="HWG1332" s="4" t="s">
        <v>2876</v>
      </c>
      <c r="HWH1332" s="4" t="s">
        <v>2876</v>
      </c>
      <c r="HWI1332" s="4" t="s">
        <v>2876</v>
      </c>
      <c r="HWJ1332" s="4" t="s">
        <v>2876</v>
      </c>
      <c r="HWK1332" s="4" t="s">
        <v>2876</v>
      </c>
      <c r="HWL1332" s="4" t="s">
        <v>2876</v>
      </c>
      <c r="HWM1332" s="4" t="s">
        <v>2876</v>
      </c>
      <c r="HWN1332" s="4" t="s">
        <v>2876</v>
      </c>
      <c r="HWO1332" s="4" t="s">
        <v>2876</v>
      </c>
      <c r="HWP1332" s="4" t="s">
        <v>2876</v>
      </c>
      <c r="HWQ1332" s="4" t="s">
        <v>2876</v>
      </c>
      <c r="HWR1332" s="4" t="s">
        <v>2876</v>
      </c>
      <c r="HWS1332" s="4" t="s">
        <v>2876</v>
      </c>
      <c r="HWT1332" s="4" t="s">
        <v>2876</v>
      </c>
      <c r="HWU1332" s="4" t="s">
        <v>2876</v>
      </c>
      <c r="HWV1332" s="4" t="s">
        <v>2876</v>
      </c>
      <c r="HWW1332" s="4" t="s">
        <v>2876</v>
      </c>
      <c r="HWX1332" s="4" t="s">
        <v>2876</v>
      </c>
      <c r="HWY1332" s="4" t="s">
        <v>2876</v>
      </c>
      <c r="HWZ1332" s="4" t="s">
        <v>2876</v>
      </c>
      <c r="HXA1332" s="4" t="s">
        <v>2876</v>
      </c>
      <c r="HXB1332" s="4" t="s">
        <v>2876</v>
      </c>
      <c r="HXC1332" s="4" t="s">
        <v>2876</v>
      </c>
      <c r="HXD1332" s="4" t="s">
        <v>2876</v>
      </c>
      <c r="HXE1332" s="4" t="s">
        <v>2876</v>
      </c>
      <c r="HXF1332" s="4" t="s">
        <v>2876</v>
      </c>
      <c r="HXG1332" s="4" t="s">
        <v>2876</v>
      </c>
      <c r="HXH1332" s="4" t="s">
        <v>2876</v>
      </c>
      <c r="HXI1332" s="4" t="s">
        <v>2876</v>
      </c>
      <c r="HXJ1332" s="4" t="s">
        <v>2876</v>
      </c>
      <c r="HXK1332" s="4" t="s">
        <v>2876</v>
      </c>
      <c r="HXL1332" s="4" t="s">
        <v>2876</v>
      </c>
      <c r="HXM1332" s="4" t="s">
        <v>2876</v>
      </c>
      <c r="HXN1332" s="4" t="s">
        <v>2876</v>
      </c>
      <c r="HXO1332" s="4" t="s">
        <v>2876</v>
      </c>
      <c r="HXP1332" s="4" t="s">
        <v>2876</v>
      </c>
      <c r="HXQ1332" s="4" t="s">
        <v>2876</v>
      </c>
      <c r="HXR1332" s="4" t="s">
        <v>2876</v>
      </c>
      <c r="HXS1332" s="4" t="s">
        <v>2876</v>
      </c>
      <c r="HXT1332" s="4" t="s">
        <v>2876</v>
      </c>
      <c r="HXU1332" s="4" t="s">
        <v>2876</v>
      </c>
      <c r="HXV1332" s="4" t="s">
        <v>2876</v>
      </c>
      <c r="HXW1332" s="4" t="s">
        <v>2876</v>
      </c>
      <c r="HXX1332" s="4" t="s">
        <v>2876</v>
      </c>
      <c r="HXY1332" s="4" t="s">
        <v>2876</v>
      </c>
      <c r="HXZ1332" s="4" t="s">
        <v>2876</v>
      </c>
      <c r="HYA1332" s="4" t="s">
        <v>2876</v>
      </c>
      <c r="HYB1332" s="4" t="s">
        <v>2876</v>
      </c>
      <c r="HYC1332" s="4" t="s">
        <v>2876</v>
      </c>
      <c r="HYD1332" s="4" t="s">
        <v>2876</v>
      </c>
      <c r="HYE1332" s="4" t="s">
        <v>2876</v>
      </c>
      <c r="HYF1332" s="4" t="s">
        <v>2876</v>
      </c>
      <c r="HYG1332" s="4" t="s">
        <v>2876</v>
      </c>
      <c r="HYH1332" s="4" t="s">
        <v>2876</v>
      </c>
      <c r="HYI1332" s="4" t="s">
        <v>2876</v>
      </c>
      <c r="HYJ1332" s="4" t="s">
        <v>2876</v>
      </c>
      <c r="HYK1332" s="4" t="s">
        <v>2876</v>
      </c>
      <c r="HYL1332" s="4" t="s">
        <v>2876</v>
      </c>
      <c r="HYM1332" s="4" t="s">
        <v>2876</v>
      </c>
      <c r="HYN1332" s="4" t="s">
        <v>2876</v>
      </c>
      <c r="HYO1332" s="4" t="s">
        <v>2876</v>
      </c>
      <c r="HYP1332" s="4" t="s">
        <v>2876</v>
      </c>
      <c r="HYQ1332" s="4" t="s">
        <v>2876</v>
      </c>
      <c r="HYR1332" s="4" t="s">
        <v>2876</v>
      </c>
      <c r="HYS1332" s="4" t="s">
        <v>2876</v>
      </c>
      <c r="HYT1332" s="4" t="s">
        <v>2876</v>
      </c>
      <c r="HYU1332" s="4" t="s">
        <v>2876</v>
      </c>
      <c r="HYV1332" s="4" t="s">
        <v>2876</v>
      </c>
      <c r="HYW1332" s="4" t="s">
        <v>2876</v>
      </c>
      <c r="HYX1332" s="4" t="s">
        <v>2876</v>
      </c>
      <c r="HYY1332" s="4" t="s">
        <v>2876</v>
      </c>
      <c r="HYZ1332" s="4" t="s">
        <v>2876</v>
      </c>
      <c r="HZA1332" s="4" t="s">
        <v>2876</v>
      </c>
      <c r="HZB1332" s="4" t="s">
        <v>2876</v>
      </c>
      <c r="HZC1332" s="4" t="s">
        <v>2876</v>
      </c>
      <c r="HZD1332" s="4" t="s">
        <v>2876</v>
      </c>
      <c r="HZE1332" s="4" t="s">
        <v>2876</v>
      </c>
      <c r="HZF1332" s="4" t="s">
        <v>2876</v>
      </c>
      <c r="HZG1332" s="4" t="s">
        <v>2876</v>
      </c>
      <c r="HZH1332" s="4" t="s">
        <v>2876</v>
      </c>
      <c r="HZI1332" s="4" t="s">
        <v>2876</v>
      </c>
      <c r="HZJ1332" s="4" t="s">
        <v>2876</v>
      </c>
      <c r="HZK1332" s="4" t="s">
        <v>2876</v>
      </c>
      <c r="HZL1332" s="4" t="s">
        <v>2876</v>
      </c>
      <c r="HZM1332" s="4" t="s">
        <v>2876</v>
      </c>
      <c r="HZN1332" s="4" t="s">
        <v>2876</v>
      </c>
      <c r="HZO1332" s="4" t="s">
        <v>2876</v>
      </c>
      <c r="HZP1332" s="4" t="s">
        <v>2876</v>
      </c>
      <c r="HZQ1332" s="4" t="s">
        <v>2876</v>
      </c>
      <c r="HZR1332" s="4" t="s">
        <v>2876</v>
      </c>
      <c r="HZS1332" s="4" t="s">
        <v>2876</v>
      </c>
      <c r="HZT1332" s="4" t="s">
        <v>2876</v>
      </c>
      <c r="HZU1332" s="4" t="s">
        <v>2876</v>
      </c>
      <c r="HZV1332" s="4" t="s">
        <v>2876</v>
      </c>
      <c r="HZW1332" s="4" t="s">
        <v>2876</v>
      </c>
      <c r="HZX1332" s="4" t="s">
        <v>2876</v>
      </c>
      <c r="HZY1332" s="4" t="s">
        <v>2876</v>
      </c>
      <c r="HZZ1332" s="4" t="s">
        <v>2876</v>
      </c>
      <c r="IAA1332" s="4" t="s">
        <v>2876</v>
      </c>
      <c r="IAB1332" s="4" t="s">
        <v>2876</v>
      </c>
      <c r="IAC1332" s="4" t="s">
        <v>2876</v>
      </c>
      <c r="IAD1332" s="4" t="s">
        <v>2876</v>
      </c>
      <c r="IAE1332" s="4" t="s">
        <v>2876</v>
      </c>
      <c r="IAF1332" s="4" t="s">
        <v>2876</v>
      </c>
      <c r="IAG1332" s="4" t="s">
        <v>2876</v>
      </c>
      <c r="IAH1332" s="4" t="s">
        <v>2876</v>
      </c>
      <c r="IAI1332" s="4" t="s">
        <v>2876</v>
      </c>
      <c r="IAJ1332" s="4" t="s">
        <v>2876</v>
      </c>
      <c r="IAK1332" s="4" t="s">
        <v>2876</v>
      </c>
      <c r="IAL1332" s="4" t="s">
        <v>2876</v>
      </c>
      <c r="IAM1332" s="4" t="s">
        <v>2876</v>
      </c>
      <c r="IAN1332" s="4" t="s">
        <v>2876</v>
      </c>
      <c r="IAO1332" s="4" t="s">
        <v>2876</v>
      </c>
      <c r="IAP1332" s="4" t="s">
        <v>2876</v>
      </c>
      <c r="IAQ1332" s="4" t="s">
        <v>2876</v>
      </c>
      <c r="IAR1332" s="4" t="s">
        <v>2876</v>
      </c>
      <c r="IAS1332" s="4" t="s">
        <v>2876</v>
      </c>
      <c r="IAT1332" s="4" t="s">
        <v>2876</v>
      </c>
      <c r="IAU1332" s="4" t="s">
        <v>2876</v>
      </c>
      <c r="IAV1332" s="4" t="s">
        <v>2876</v>
      </c>
      <c r="IAW1332" s="4" t="s">
        <v>2876</v>
      </c>
      <c r="IAX1332" s="4" t="s">
        <v>2876</v>
      </c>
      <c r="IAY1332" s="4" t="s">
        <v>2876</v>
      </c>
      <c r="IAZ1332" s="4" t="s">
        <v>2876</v>
      </c>
      <c r="IBA1332" s="4" t="s">
        <v>2876</v>
      </c>
      <c r="IBB1332" s="4" t="s">
        <v>2876</v>
      </c>
      <c r="IBC1332" s="4" t="s">
        <v>2876</v>
      </c>
      <c r="IBD1332" s="4" t="s">
        <v>2876</v>
      </c>
      <c r="IBE1332" s="4" t="s">
        <v>2876</v>
      </c>
      <c r="IBF1332" s="4" t="s">
        <v>2876</v>
      </c>
      <c r="IBG1332" s="4" t="s">
        <v>2876</v>
      </c>
      <c r="IBH1332" s="4" t="s">
        <v>2876</v>
      </c>
      <c r="IBI1332" s="4" t="s">
        <v>2876</v>
      </c>
      <c r="IBJ1332" s="4" t="s">
        <v>2876</v>
      </c>
      <c r="IBK1332" s="4" t="s">
        <v>2876</v>
      </c>
      <c r="IBL1332" s="4" t="s">
        <v>2876</v>
      </c>
      <c r="IBM1332" s="4" t="s">
        <v>2876</v>
      </c>
      <c r="IBN1332" s="4" t="s">
        <v>2876</v>
      </c>
      <c r="IBO1332" s="4" t="s">
        <v>2876</v>
      </c>
      <c r="IBP1332" s="4" t="s">
        <v>2876</v>
      </c>
      <c r="IBQ1332" s="4" t="s">
        <v>2876</v>
      </c>
      <c r="IBR1332" s="4" t="s">
        <v>2876</v>
      </c>
      <c r="IBS1332" s="4" t="s">
        <v>2876</v>
      </c>
      <c r="IBT1332" s="4" t="s">
        <v>2876</v>
      </c>
      <c r="IBU1332" s="4" t="s">
        <v>2876</v>
      </c>
      <c r="IBV1332" s="4" t="s">
        <v>2876</v>
      </c>
      <c r="IBW1332" s="4" t="s">
        <v>2876</v>
      </c>
      <c r="IBX1332" s="4" t="s">
        <v>2876</v>
      </c>
      <c r="IBY1332" s="4" t="s">
        <v>2876</v>
      </c>
      <c r="IBZ1332" s="4" t="s">
        <v>2876</v>
      </c>
      <c r="ICA1332" s="4" t="s">
        <v>2876</v>
      </c>
      <c r="ICB1332" s="4" t="s">
        <v>2876</v>
      </c>
      <c r="ICC1332" s="4" t="s">
        <v>2876</v>
      </c>
      <c r="ICD1332" s="4" t="s">
        <v>2876</v>
      </c>
      <c r="ICE1332" s="4" t="s">
        <v>2876</v>
      </c>
      <c r="ICF1332" s="4" t="s">
        <v>2876</v>
      </c>
      <c r="ICG1332" s="4" t="s">
        <v>2876</v>
      </c>
      <c r="ICH1332" s="4" t="s">
        <v>2876</v>
      </c>
      <c r="ICI1332" s="4" t="s">
        <v>2876</v>
      </c>
      <c r="ICJ1332" s="4" t="s">
        <v>2876</v>
      </c>
      <c r="ICK1332" s="4" t="s">
        <v>2876</v>
      </c>
      <c r="ICL1332" s="4" t="s">
        <v>2876</v>
      </c>
      <c r="ICM1332" s="4" t="s">
        <v>2876</v>
      </c>
      <c r="ICN1332" s="4" t="s">
        <v>2876</v>
      </c>
      <c r="ICO1332" s="4" t="s">
        <v>2876</v>
      </c>
      <c r="ICP1332" s="4" t="s">
        <v>2876</v>
      </c>
      <c r="ICQ1332" s="4" t="s">
        <v>2876</v>
      </c>
      <c r="ICR1332" s="4" t="s">
        <v>2876</v>
      </c>
      <c r="ICS1332" s="4" t="s">
        <v>2876</v>
      </c>
      <c r="ICT1332" s="4" t="s">
        <v>2876</v>
      </c>
      <c r="ICU1332" s="4" t="s">
        <v>2876</v>
      </c>
      <c r="ICV1332" s="4" t="s">
        <v>2876</v>
      </c>
      <c r="ICW1332" s="4" t="s">
        <v>2876</v>
      </c>
      <c r="ICX1332" s="4" t="s">
        <v>2876</v>
      </c>
      <c r="ICY1332" s="4" t="s">
        <v>2876</v>
      </c>
      <c r="ICZ1332" s="4" t="s">
        <v>2876</v>
      </c>
      <c r="IDA1332" s="4" t="s">
        <v>2876</v>
      </c>
      <c r="IDB1332" s="4" t="s">
        <v>2876</v>
      </c>
      <c r="IDC1332" s="4" t="s">
        <v>2876</v>
      </c>
      <c r="IDD1332" s="4" t="s">
        <v>2876</v>
      </c>
      <c r="IDE1332" s="4" t="s">
        <v>2876</v>
      </c>
      <c r="IDF1332" s="4" t="s">
        <v>2876</v>
      </c>
      <c r="IDG1332" s="4" t="s">
        <v>2876</v>
      </c>
      <c r="IDH1332" s="4" t="s">
        <v>2876</v>
      </c>
      <c r="IDI1332" s="4" t="s">
        <v>2876</v>
      </c>
      <c r="IDJ1332" s="4" t="s">
        <v>2876</v>
      </c>
      <c r="IDK1332" s="4" t="s">
        <v>2876</v>
      </c>
      <c r="IDL1332" s="4" t="s">
        <v>2876</v>
      </c>
      <c r="IDM1332" s="4" t="s">
        <v>2876</v>
      </c>
      <c r="IDN1332" s="4" t="s">
        <v>2876</v>
      </c>
      <c r="IDO1332" s="4" t="s">
        <v>2876</v>
      </c>
      <c r="IDP1332" s="4" t="s">
        <v>2876</v>
      </c>
      <c r="IDQ1332" s="4" t="s">
        <v>2876</v>
      </c>
      <c r="IDR1332" s="4" t="s">
        <v>2876</v>
      </c>
      <c r="IDS1332" s="4" t="s">
        <v>2876</v>
      </c>
      <c r="IDT1332" s="4" t="s">
        <v>2876</v>
      </c>
      <c r="IDU1332" s="4" t="s">
        <v>2876</v>
      </c>
      <c r="IDV1332" s="4" t="s">
        <v>2876</v>
      </c>
      <c r="IDW1332" s="4" t="s">
        <v>2876</v>
      </c>
      <c r="IDX1332" s="4" t="s">
        <v>2876</v>
      </c>
      <c r="IDY1332" s="4" t="s">
        <v>2876</v>
      </c>
      <c r="IDZ1332" s="4" t="s">
        <v>2876</v>
      </c>
      <c r="IEA1332" s="4" t="s">
        <v>2876</v>
      </c>
      <c r="IEB1332" s="4" t="s">
        <v>2876</v>
      </c>
      <c r="IEC1332" s="4" t="s">
        <v>2876</v>
      </c>
      <c r="IED1332" s="4" t="s">
        <v>2876</v>
      </c>
      <c r="IEE1332" s="4" t="s">
        <v>2876</v>
      </c>
      <c r="IEF1332" s="4" t="s">
        <v>2876</v>
      </c>
      <c r="IEG1332" s="4" t="s">
        <v>2876</v>
      </c>
      <c r="IEH1332" s="4" t="s">
        <v>2876</v>
      </c>
      <c r="IEI1332" s="4" t="s">
        <v>2876</v>
      </c>
      <c r="IEJ1332" s="4" t="s">
        <v>2876</v>
      </c>
      <c r="IEK1332" s="4" t="s">
        <v>2876</v>
      </c>
      <c r="IEL1332" s="4" t="s">
        <v>2876</v>
      </c>
      <c r="IEM1332" s="4" t="s">
        <v>2876</v>
      </c>
      <c r="IEN1332" s="4" t="s">
        <v>2876</v>
      </c>
      <c r="IEO1332" s="4" t="s">
        <v>2876</v>
      </c>
      <c r="IEP1332" s="4" t="s">
        <v>2876</v>
      </c>
      <c r="IEQ1332" s="4" t="s">
        <v>2876</v>
      </c>
      <c r="IER1332" s="4" t="s">
        <v>2876</v>
      </c>
      <c r="IES1332" s="4" t="s">
        <v>2876</v>
      </c>
      <c r="IET1332" s="4" t="s">
        <v>2876</v>
      </c>
      <c r="IEU1332" s="4" t="s">
        <v>2876</v>
      </c>
      <c r="IEV1332" s="4" t="s">
        <v>2876</v>
      </c>
      <c r="IEW1332" s="4" t="s">
        <v>2876</v>
      </c>
      <c r="IEX1332" s="4" t="s">
        <v>2876</v>
      </c>
      <c r="IEY1332" s="4" t="s">
        <v>2876</v>
      </c>
      <c r="IEZ1332" s="4" t="s">
        <v>2876</v>
      </c>
      <c r="IFA1332" s="4" t="s">
        <v>2876</v>
      </c>
      <c r="IFB1332" s="4" t="s">
        <v>2876</v>
      </c>
      <c r="IFC1332" s="4" t="s">
        <v>2876</v>
      </c>
      <c r="IFD1332" s="4" t="s">
        <v>2876</v>
      </c>
      <c r="IFE1332" s="4" t="s">
        <v>2876</v>
      </c>
      <c r="IFF1332" s="4" t="s">
        <v>2876</v>
      </c>
      <c r="IFG1332" s="4" t="s">
        <v>2876</v>
      </c>
      <c r="IFH1332" s="4" t="s">
        <v>2876</v>
      </c>
      <c r="IFI1332" s="4" t="s">
        <v>2876</v>
      </c>
      <c r="IFJ1332" s="4" t="s">
        <v>2876</v>
      </c>
      <c r="IFK1332" s="4" t="s">
        <v>2876</v>
      </c>
      <c r="IFL1332" s="4" t="s">
        <v>2876</v>
      </c>
      <c r="IFM1332" s="4" t="s">
        <v>2876</v>
      </c>
      <c r="IFN1332" s="4" t="s">
        <v>2876</v>
      </c>
      <c r="IFO1332" s="4" t="s">
        <v>2876</v>
      </c>
      <c r="IFP1332" s="4" t="s">
        <v>2876</v>
      </c>
      <c r="IFQ1332" s="4" t="s">
        <v>2876</v>
      </c>
      <c r="IFR1332" s="4" t="s">
        <v>2876</v>
      </c>
      <c r="IFS1332" s="4" t="s">
        <v>2876</v>
      </c>
      <c r="IFT1332" s="4" t="s">
        <v>2876</v>
      </c>
      <c r="IFU1332" s="4" t="s">
        <v>2876</v>
      </c>
      <c r="IFV1332" s="4" t="s">
        <v>2876</v>
      </c>
      <c r="IFW1332" s="4" t="s">
        <v>2876</v>
      </c>
      <c r="IFX1332" s="4" t="s">
        <v>2876</v>
      </c>
      <c r="IFY1332" s="4" t="s">
        <v>2876</v>
      </c>
      <c r="IFZ1332" s="4" t="s">
        <v>2876</v>
      </c>
      <c r="IGA1332" s="4" t="s">
        <v>2876</v>
      </c>
      <c r="IGB1332" s="4" t="s">
        <v>2876</v>
      </c>
      <c r="IGC1332" s="4" t="s">
        <v>2876</v>
      </c>
      <c r="IGD1332" s="4" t="s">
        <v>2876</v>
      </c>
      <c r="IGE1332" s="4" t="s">
        <v>2876</v>
      </c>
      <c r="IGF1332" s="4" t="s">
        <v>2876</v>
      </c>
      <c r="IGG1332" s="4" t="s">
        <v>2876</v>
      </c>
      <c r="IGH1332" s="4" t="s">
        <v>2876</v>
      </c>
      <c r="IGI1332" s="4" t="s">
        <v>2876</v>
      </c>
      <c r="IGJ1332" s="4" t="s">
        <v>2876</v>
      </c>
      <c r="IGK1332" s="4" t="s">
        <v>2876</v>
      </c>
      <c r="IGL1332" s="4" t="s">
        <v>2876</v>
      </c>
      <c r="IGM1332" s="4" t="s">
        <v>2876</v>
      </c>
      <c r="IGN1332" s="4" t="s">
        <v>2876</v>
      </c>
      <c r="IGO1332" s="4" t="s">
        <v>2876</v>
      </c>
      <c r="IGP1332" s="4" t="s">
        <v>2876</v>
      </c>
      <c r="IGQ1332" s="4" t="s">
        <v>2876</v>
      </c>
      <c r="IGR1332" s="4" t="s">
        <v>2876</v>
      </c>
      <c r="IGS1332" s="4" t="s">
        <v>2876</v>
      </c>
      <c r="IGT1332" s="4" t="s">
        <v>2876</v>
      </c>
      <c r="IGU1332" s="4" t="s">
        <v>2876</v>
      </c>
      <c r="IGV1332" s="4" t="s">
        <v>2876</v>
      </c>
      <c r="IGW1332" s="4" t="s">
        <v>2876</v>
      </c>
      <c r="IGX1332" s="4" t="s">
        <v>2876</v>
      </c>
      <c r="IGY1332" s="4" t="s">
        <v>2876</v>
      </c>
      <c r="IGZ1332" s="4" t="s">
        <v>2876</v>
      </c>
      <c r="IHA1332" s="4" t="s">
        <v>2876</v>
      </c>
      <c r="IHB1332" s="4" t="s">
        <v>2876</v>
      </c>
      <c r="IHC1332" s="4" t="s">
        <v>2876</v>
      </c>
      <c r="IHD1332" s="4" t="s">
        <v>2876</v>
      </c>
      <c r="IHE1332" s="4" t="s">
        <v>2876</v>
      </c>
      <c r="IHF1332" s="4" t="s">
        <v>2876</v>
      </c>
      <c r="IHG1332" s="4" t="s">
        <v>2876</v>
      </c>
      <c r="IHH1332" s="4" t="s">
        <v>2876</v>
      </c>
      <c r="IHI1332" s="4" t="s">
        <v>2876</v>
      </c>
      <c r="IHJ1332" s="4" t="s">
        <v>2876</v>
      </c>
      <c r="IHK1332" s="4" t="s">
        <v>2876</v>
      </c>
      <c r="IHL1332" s="4" t="s">
        <v>2876</v>
      </c>
      <c r="IHM1332" s="4" t="s">
        <v>2876</v>
      </c>
      <c r="IHN1332" s="4" t="s">
        <v>2876</v>
      </c>
      <c r="IHO1332" s="4" t="s">
        <v>2876</v>
      </c>
      <c r="IHP1332" s="4" t="s">
        <v>2876</v>
      </c>
      <c r="IHQ1332" s="4" t="s">
        <v>2876</v>
      </c>
      <c r="IHR1332" s="4" t="s">
        <v>2876</v>
      </c>
      <c r="IHS1332" s="4" t="s">
        <v>2876</v>
      </c>
      <c r="IHT1332" s="4" t="s">
        <v>2876</v>
      </c>
      <c r="IHU1332" s="4" t="s">
        <v>2876</v>
      </c>
      <c r="IHV1332" s="4" t="s">
        <v>2876</v>
      </c>
      <c r="IHW1332" s="4" t="s">
        <v>2876</v>
      </c>
      <c r="IHX1332" s="4" t="s">
        <v>2876</v>
      </c>
      <c r="IHY1332" s="4" t="s">
        <v>2876</v>
      </c>
      <c r="IHZ1332" s="4" t="s">
        <v>2876</v>
      </c>
      <c r="IIA1332" s="4" t="s">
        <v>2876</v>
      </c>
      <c r="IIB1332" s="4" t="s">
        <v>2876</v>
      </c>
      <c r="IIC1332" s="4" t="s">
        <v>2876</v>
      </c>
      <c r="IID1332" s="4" t="s">
        <v>2876</v>
      </c>
      <c r="IIE1332" s="4" t="s">
        <v>2876</v>
      </c>
      <c r="IIF1332" s="4" t="s">
        <v>2876</v>
      </c>
      <c r="IIG1332" s="4" t="s">
        <v>2876</v>
      </c>
      <c r="IIH1332" s="4" t="s">
        <v>2876</v>
      </c>
      <c r="III1332" s="4" t="s">
        <v>2876</v>
      </c>
      <c r="IIJ1332" s="4" t="s">
        <v>2876</v>
      </c>
      <c r="IIK1332" s="4" t="s">
        <v>2876</v>
      </c>
      <c r="IIL1332" s="4" t="s">
        <v>2876</v>
      </c>
      <c r="IIM1332" s="4" t="s">
        <v>2876</v>
      </c>
      <c r="IIN1332" s="4" t="s">
        <v>2876</v>
      </c>
      <c r="IIO1332" s="4" t="s">
        <v>2876</v>
      </c>
      <c r="IIP1332" s="4" t="s">
        <v>2876</v>
      </c>
      <c r="IIQ1332" s="4" t="s">
        <v>2876</v>
      </c>
      <c r="IIR1332" s="4" t="s">
        <v>2876</v>
      </c>
      <c r="IIS1332" s="4" t="s">
        <v>2876</v>
      </c>
      <c r="IIT1332" s="4" t="s">
        <v>2876</v>
      </c>
      <c r="IIU1332" s="4" t="s">
        <v>2876</v>
      </c>
      <c r="IIV1332" s="4" t="s">
        <v>2876</v>
      </c>
      <c r="IIW1332" s="4" t="s">
        <v>2876</v>
      </c>
      <c r="IIX1332" s="4" t="s">
        <v>2876</v>
      </c>
      <c r="IIY1332" s="4" t="s">
        <v>2876</v>
      </c>
      <c r="IIZ1332" s="4" t="s">
        <v>2876</v>
      </c>
      <c r="IJA1332" s="4" t="s">
        <v>2876</v>
      </c>
      <c r="IJB1332" s="4" t="s">
        <v>2876</v>
      </c>
      <c r="IJC1332" s="4" t="s">
        <v>2876</v>
      </c>
      <c r="IJD1332" s="4" t="s">
        <v>2876</v>
      </c>
      <c r="IJE1332" s="4" t="s">
        <v>2876</v>
      </c>
      <c r="IJF1332" s="4" t="s">
        <v>2876</v>
      </c>
      <c r="IJG1332" s="4" t="s">
        <v>2876</v>
      </c>
      <c r="IJH1332" s="4" t="s">
        <v>2876</v>
      </c>
      <c r="IJI1332" s="4" t="s">
        <v>2876</v>
      </c>
      <c r="IJJ1332" s="4" t="s">
        <v>2876</v>
      </c>
      <c r="IJK1332" s="4" t="s">
        <v>2876</v>
      </c>
      <c r="IJL1332" s="4" t="s">
        <v>2876</v>
      </c>
      <c r="IJM1332" s="4" t="s">
        <v>2876</v>
      </c>
      <c r="IJN1332" s="4" t="s">
        <v>2876</v>
      </c>
      <c r="IJO1332" s="4" t="s">
        <v>2876</v>
      </c>
      <c r="IJP1332" s="4" t="s">
        <v>2876</v>
      </c>
      <c r="IJQ1332" s="4" t="s">
        <v>2876</v>
      </c>
      <c r="IJR1332" s="4" t="s">
        <v>2876</v>
      </c>
      <c r="IJS1332" s="4" t="s">
        <v>2876</v>
      </c>
      <c r="IJT1332" s="4" t="s">
        <v>2876</v>
      </c>
      <c r="IJU1332" s="4" t="s">
        <v>2876</v>
      </c>
      <c r="IJV1332" s="4" t="s">
        <v>2876</v>
      </c>
      <c r="IJW1332" s="4" t="s">
        <v>2876</v>
      </c>
      <c r="IJX1332" s="4" t="s">
        <v>2876</v>
      </c>
      <c r="IJY1332" s="4" t="s">
        <v>2876</v>
      </c>
      <c r="IJZ1332" s="4" t="s">
        <v>2876</v>
      </c>
      <c r="IKA1332" s="4" t="s">
        <v>2876</v>
      </c>
      <c r="IKB1332" s="4" t="s">
        <v>2876</v>
      </c>
      <c r="IKC1332" s="4" t="s">
        <v>2876</v>
      </c>
      <c r="IKD1332" s="4" t="s">
        <v>2876</v>
      </c>
      <c r="IKE1332" s="4" t="s">
        <v>2876</v>
      </c>
      <c r="IKF1332" s="4" t="s">
        <v>2876</v>
      </c>
      <c r="IKG1332" s="4" t="s">
        <v>2876</v>
      </c>
      <c r="IKH1332" s="4" t="s">
        <v>2876</v>
      </c>
      <c r="IKI1332" s="4" t="s">
        <v>2876</v>
      </c>
      <c r="IKJ1332" s="4" t="s">
        <v>2876</v>
      </c>
      <c r="IKK1332" s="4" t="s">
        <v>2876</v>
      </c>
      <c r="IKL1332" s="4" t="s">
        <v>2876</v>
      </c>
      <c r="IKM1332" s="4" t="s">
        <v>2876</v>
      </c>
      <c r="IKN1332" s="4" t="s">
        <v>2876</v>
      </c>
      <c r="IKO1332" s="4" t="s">
        <v>2876</v>
      </c>
      <c r="IKP1332" s="4" t="s">
        <v>2876</v>
      </c>
      <c r="IKQ1332" s="4" t="s">
        <v>2876</v>
      </c>
      <c r="IKR1332" s="4" t="s">
        <v>2876</v>
      </c>
      <c r="IKS1332" s="4" t="s">
        <v>2876</v>
      </c>
      <c r="IKT1332" s="4" t="s">
        <v>2876</v>
      </c>
      <c r="IKU1332" s="4" t="s">
        <v>2876</v>
      </c>
      <c r="IKV1332" s="4" t="s">
        <v>2876</v>
      </c>
      <c r="IKW1332" s="4" t="s">
        <v>2876</v>
      </c>
      <c r="IKX1332" s="4" t="s">
        <v>2876</v>
      </c>
      <c r="IKY1332" s="4" t="s">
        <v>2876</v>
      </c>
      <c r="IKZ1332" s="4" t="s">
        <v>2876</v>
      </c>
      <c r="ILA1332" s="4" t="s">
        <v>2876</v>
      </c>
      <c r="ILB1332" s="4" t="s">
        <v>2876</v>
      </c>
      <c r="ILC1332" s="4" t="s">
        <v>2876</v>
      </c>
      <c r="ILD1332" s="4" t="s">
        <v>2876</v>
      </c>
      <c r="ILE1332" s="4" t="s">
        <v>2876</v>
      </c>
      <c r="ILF1332" s="4" t="s">
        <v>2876</v>
      </c>
      <c r="ILG1332" s="4" t="s">
        <v>2876</v>
      </c>
      <c r="ILH1332" s="4" t="s">
        <v>2876</v>
      </c>
      <c r="ILI1332" s="4" t="s">
        <v>2876</v>
      </c>
      <c r="ILJ1332" s="4" t="s">
        <v>2876</v>
      </c>
      <c r="ILK1332" s="4" t="s">
        <v>2876</v>
      </c>
      <c r="ILL1332" s="4" t="s">
        <v>2876</v>
      </c>
      <c r="ILM1332" s="4" t="s">
        <v>2876</v>
      </c>
      <c r="ILN1332" s="4" t="s">
        <v>2876</v>
      </c>
      <c r="ILO1332" s="4" t="s">
        <v>2876</v>
      </c>
      <c r="ILP1332" s="4" t="s">
        <v>2876</v>
      </c>
      <c r="ILQ1332" s="4" t="s">
        <v>2876</v>
      </c>
      <c r="ILR1332" s="4" t="s">
        <v>2876</v>
      </c>
      <c r="ILS1332" s="4" t="s">
        <v>2876</v>
      </c>
      <c r="ILT1332" s="4" t="s">
        <v>2876</v>
      </c>
      <c r="ILU1332" s="4" t="s">
        <v>2876</v>
      </c>
      <c r="ILV1332" s="4" t="s">
        <v>2876</v>
      </c>
      <c r="ILW1332" s="4" t="s">
        <v>2876</v>
      </c>
      <c r="ILX1332" s="4" t="s">
        <v>2876</v>
      </c>
      <c r="ILY1332" s="4" t="s">
        <v>2876</v>
      </c>
      <c r="ILZ1332" s="4" t="s">
        <v>2876</v>
      </c>
      <c r="IMA1332" s="4" t="s">
        <v>2876</v>
      </c>
      <c r="IMB1332" s="4" t="s">
        <v>2876</v>
      </c>
      <c r="IMC1332" s="4" t="s">
        <v>2876</v>
      </c>
      <c r="IMD1332" s="4" t="s">
        <v>2876</v>
      </c>
      <c r="IME1332" s="4" t="s">
        <v>2876</v>
      </c>
      <c r="IMF1332" s="4" t="s">
        <v>2876</v>
      </c>
      <c r="IMG1332" s="4" t="s">
        <v>2876</v>
      </c>
      <c r="IMH1332" s="4" t="s">
        <v>2876</v>
      </c>
      <c r="IMI1332" s="4" t="s">
        <v>2876</v>
      </c>
      <c r="IMJ1332" s="4" t="s">
        <v>2876</v>
      </c>
      <c r="IMK1332" s="4" t="s">
        <v>2876</v>
      </c>
      <c r="IML1332" s="4" t="s">
        <v>2876</v>
      </c>
      <c r="IMM1332" s="4" t="s">
        <v>2876</v>
      </c>
      <c r="IMN1332" s="4" t="s">
        <v>2876</v>
      </c>
      <c r="IMO1332" s="4" t="s">
        <v>2876</v>
      </c>
      <c r="IMP1332" s="4" t="s">
        <v>2876</v>
      </c>
      <c r="IMQ1332" s="4" t="s">
        <v>2876</v>
      </c>
      <c r="IMR1332" s="4" t="s">
        <v>2876</v>
      </c>
      <c r="IMS1332" s="4" t="s">
        <v>2876</v>
      </c>
      <c r="IMT1332" s="4" t="s">
        <v>2876</v>
      </c>
      <c r="IMU1332" s="4" t="s">
        <v>2876</v>
      </c>
      <c r="IMV1332" s="4" t="s">
        <v>2876</v>
      </c>
      <c r="IMW1332" s="4" t="s">
        <v>2876</v>
      </c>
      <c r="IMX1332" s="4" t="s">
        <v>2876</v>
      </c>
      <c r="IMY1332" s="4" t="s">
        <v>2876</v>
      </c>
      <c r="IMZ1332" s="4" t="s">
        <v>2876</v>
      </c>
      <c r="INA1332" s="4" t="s">
        <v>2876</v>
      </c>
      <c r="INB1332" s="4" t="s">
        <v>2876</v>
      </c>
      <c r="INC1332" s="4" t="s">
        <v>2876</v>
      </c>
      <c r="IND1332" s="4" t="s">
        <v>2876</v>
      </c>
      <c r="INE1332" s="4" t="s">
        <v>2876</v>
      </c>
      <c r="INF1332" s="4" t="s">
        <v>2876</v>
      </c>
      <c r="ING1332" s="4" t="s">
        <v>2876</v>
      </c>
      <c r="INH1332" s="4" t="s">
        <v>2876</v>
      </c>
      <c r="INI1332" s="4" t="s">
        <v>2876</v>
      </c>
      <c r="INJ1332" s="4" t="s">
        <v>2876</v>
      </c>
      <c r="INK1332" s="4" t="s">
        <v>2876</v>
      </c>
      <c r="INL1332" s="4" t="s">
        <v>2876</v>
      </c>
      <c r="INM1332" s="4" t="s">
        <v>2876</v>
      </c>
      <c r="INN1332" s="4" t="s">
        <v>2876</v>
      </c>
      <c r="INO1332" s="4" t="s">
        <v>2876</v>
      </c>
      <c r="INP1332" s="4" t="s">
        <v>2876</v>
      </c>
      <c r="INQ1332" s="4" t="s">
        <v>2876</v>
      </c>
      <c r="INR1332" s="4" t="s">
        <v>2876</v>
      </c>
      <c r="INS1332" s="4" t="s">
        <v>2876</v>
      </c>
      <c r="INT1332" s="4" t="s">
        <v>2876</v>
      </c>
      <c r="INU1332" s="4" t="s">
        <v>2876</v>
      </c>
      <c r="INV1332" s="4" t="s">
        <v>2876</v>
      </c>
      <c r="INW1332" s="4" t="s">
        <v>2876</v>
      </c>
      <c r="INX1332" s="4" t="s">
        <v>2876</v>
      </c>
      <c r="INY1332" s="4" t="s">
        <v>2876</v>
      </c>
      <c r="INZ1332" s="4" t="s">
        <v>2876</v>
      </c>
      <c r="IOA1332" s="4" t="s">
        <v>2876</v>
      </c>
      <c r="IOB1332" s="4" t="s">
        <v>2876</v>
      </c>
      <c r="IOC1332" s="4" t="s">
        <v>2876</v>
      </c>
      <c r="IOD1332" s="4" t="s">
        <v>2876</v>
      </c>
      <c r="IOE1332" s="4" t="s">
        <v>2876</v>
      </c>
      <c r="IOF1332" s="4" t="s">
        <v>2876</v>
      </c>
      <c r="IOG1332" s="4" t="s">
        <v>2876</v>
      </c>
      <c r="IOH1332" s="4" t="s">
        <v>2876</v>
      </c>
      <c r="IOI1332" s="4" t="s">
        <v>2876</v>
      </c>
      <c r="IOJ1332" s="4" t="s">
        <v>2876</v>
      </c>
      <c r="IOK1332" s="4" t="s">
        <v>2876</v>
      </c>
      <c r="IOL1332" s="4" t="s">
        <v>2876</v>
      </c>
      <c r="IOM1332" s="4" t="s">
        <v>2876</v>
      </c>
      <c r="ION1332" s="4" t="s">
        <v>2876</v>
      </c>
      <c r="IOO1332" s="4" t="s">
        <v>2876</v>
      </c>
      <c r="IOP1332" s="4" t="s">
        <v>2876</v>
      </c>
      <c r="IOQ1332" s="4" t="s">
        <v>2876</v>
      </c>
      <c r="IOR1332" s="4" t="s">
        <v>2876</v>
      </c>
      <c r="IOS1332" s="4" t="s">
        <v>2876</v>
      </c>
      <c r="IOT1332" s="4" t="s">
        <v>2876</v>
      </c>
      <c r="IOU1332" s="4" t="s">
        <v>2876</v>
      </c>
      <c r="IOV1332" s="4" t="s">
        <v>2876</v>
      </c>
      <c r="IOW1332" s="4" t="s">
        <v>2876</v>
      </c>
      <c r="IOX1332" s="4" t="s">
        <v>2876</v>
      </c>
      <c r="IOY1332" s="4" t="s">
        <v>2876</v>
      </c>
      <c r="IOZ1332" s="4" t="s">
        <v>2876</v>
      </c>
      <c r="IPA1332" s="4" t="s">
        <v>2876</v>
      </c>
      <c r="IPB1332" s="4" t="s">
        <v>2876</v>
      </c>
      <c r="IPC1332" s="4" t="s">
        <v>2876</v>
      </c>
      <c r="IPD1332" s="4" t="s">
        <v>2876</v>
      </c>
      <c r="IPE1332" s="4" t="s">
        <v>2876</v>
      </c>
      <c r="IPF1332" s="4" t="s">
        <v>2876</v>
      </c>
      <c r="IPG1332" s="4" t="s">
        <v>2876</v>
      </c>
      <c r="IPH1332" s="4" t="s">
        <v>2876</v>
      </c>
      <c r="IPI1332" s="4" t="s">
        <v>2876</v>
      </c>
      <c r="IPJ1332" s="4" t="s">
        <v>2876</v>
      </c>
      <c r="IPK1332" s="4" t="s">
        <v>2876</v>
      </c>
      <c r="IPL1332" s="4" t="s">
        <v>2876</v>
      </c>
      <c r="IPM1332" s="4" t="s">
        <v>2876</v>
      </c>
      <c r="IPN1332" s="4" t="s">
        <v>2876</v>
      </c>
      <c r="IPO1332" s="4" t="s">
        <v>2876</v>
      </c>
      <c r="IPP1332" s="4" t="s">
        <v>2876</v>
      </c>
      <c r="IPQ1332" s="4" t="s">
        <v>2876</v>
      </c>
      <c r="IPR1332" s="4" t="s">
        <v>2876</v>
      </c>
      <c r="IPS1332" s="4" t="s">
        <v>2876</v>
      </c>
      <c r="IPT1332" s="4" t="s">
        <v>2876</v>
      </c>
      <c r="IPU1332" s="4" t="s">
        <v>2876</v>
      </c>
      <c r="IPV1332" s="4" t="s">
        <v>2876</v>
      </c>
      <c r="IPW1332" s="4" t="s">
        <v>2876</v>
      </c>
      <c r="IPX1332" s="4" t="s">
        <v>2876</v>
      </c>
      <c r="IPY1332" s="4" t="s">
        <v>2876</v>
      </c>
      <c r="IPZ1332" s="4" t="s">
        <v>2876</v>
      </c>
      <c r="IQA1332" s="4" t="s">
        <v>2876</v>
      </c>
      <c r="IQB1332" s="4" t="s">
        <v>2876</v>
      </c>
      <c r="IQC1332" s="4" t="s">
        <v>2876</v>
      </c>
      <c r="IQD1332" s="4" t="s">
        <v>2876</v>
      </c>
      <c r="IQE1332" s="4" t="s">
        <v>2876</v>
      </c>
      <c r="IQF1332" s="4" t="s">
        <v>2876</v>
      </c>
      <c r="IQG1332" s="4" t="s">
        <v>2876</v>
      </c>
      <c r="IQH1332" s="4" t="s">
        <v>2876</v>
      </c>
      <c r="IQI1332" s="4" t="s">
        <v>2876</v>
      </c>
      <c r="IQJ1332" s="4" t="s">
        <v>2876</v>
      </c>
      <c r="IQK1332" s="4" t="s">
        <v>2876</v>
      </c>
      <c r="IQL1332" s="4" t="s">
        <v>2876</v>
      </c>
      <c r="IQM1332" s="4" t="s">
        <v>2876</v>
      </c>
      <c r="IQN1332" s="4" t="s">
        <v>2876</v>
      </c>
      <c r="IQO1332" s="4" t="s">
        <v>2876</v>
      </c>
      <c r="IQP1332" s="4" t="s">
        <v>2876</v>
      </c>
      <c r="IQQ1332" s="4" t="s">
        <v>2876</v>
      </c>
      <c r="IQR1332" s="4" t="s">
        <v>2876</v>
      </c>
      <c r="IQS1332" s="4" t="s">
        <v>2876</v>
      </c>
      <c r="IQT1332" s="4" t="s">
        <v>2876</v>
      </c>
      <c r="IQU1332" s="4" t="s">
        <v>2876</v>
      </c>
      <c r="IQV1332" s="4" t="s">
        <v>2876</v>
      </c>
      <c r="IQW1332" s="4" t="s">
        <v>2876</v>
      </c>
      <c r="IQX1332" s="4" t="s">
        <v>2876</v>
      </c>
      <c r="IQY1332" s="4" t="s">
        <v>2876</v>
      </c>
      <c r="IQZ1332" s="4" t="s">
        <v>2876</v>
      </c>
      <c r="IRA1332" s="4" t="s">
        <v>2876</v>
      </c>
      <c r="IRB1332" s="4" t="s">
        <v>2876</v>
      </c>
      <c r="IRC1332" s="4" t="s">
        <v>2876</v>
      </c>
      <c r="IRD1332" s="4" t="s">
        <v>2876</v>
      </c>
      <c r="IRE1332" s="4" t="s">
        <v>2876</v>
      </c>
      <c r="IRF1332" s="4" t="s">
        <v>2876</v>
      </c>
      <c r="IRG1332" s="4" t="s">
        <v>2876</v>
      </c>
      <c r="IRH1332" s="4" t="s">
        <v>2876</v>
      </c>
      <c r="IRI1332" s="4" t="s">
        <v>2876</v>
      </c>
      <c r="IRJ1332" s="4" t="s">
        <v>2876</v>
      </c>
      <c r="IRK1332" s="4" t="s">
        <v>2876</v>
      </c>
      <c r="IRL1332" s="4" t="s">
        <v>2876</v>
      </c>
      <c r="IRM1332" s="4" t="s">
        <v>2876</v>
      </c>
      <c r="IRN1332" s="4" t="s">
        <v>2876</v>
      </c>
      <c r="IRO1332" s="4" t="s">
        <v>2876</v>
      </c>
      <c r="IRP1332" s="4" t="s">
        <v>2876</v>
      </c>
      <c r="IRQ1332" s="4" t="s">
        <v>2876</v>
      </c>
      <c r="IRR1332" s="4" t="s">
        <v>2876</v>
      </c>
      <c r="IRS1332" s="4" t="s">
        <v>2876</v>
      </c>
      <c r="IRT1332" s="4" t="s">
        <v>2876</v>
      </c>
      <c r="IRU1332" s="4" t="s">
        <v>2876</v>
      </c>
      <c r="IRV1332" s="4" t="s">
        <v>2876</v>
      </c>
      <c r="IRW1332" s="4" t="s">
        <v>2876</v>
      </c>
      <c r="IRX1332" s="4" t="s">
        <v>2876</v>
      </c>
      <c r="IRY1332" s="4" t="s">
        <v>2876</v>
      </c>
      <c r="IRZ1332" s="4" t="s">
        <v>2876</v>
      </c>
      <c r="ISA1332" s="4" t="s">
        <v>2876</v>
      </c>
      <c r="ISB1332" s="4" t="s">
        <v>2876</v>
      </c>
      <c r="ISC1332" s="4" t="s">
        <v>2876</v>
      </c>
      <c r="ISD1332" s="4" t="s">
        <v>2876</v>
      </c>
      <c r="ISE1332" s="4" t="s">
        <v>2876</v>
      </c>
      <c r="ISF1332" s="4" t="s">
        <v>2876</v>
      </c>
      <c r="ISG1332" s="4" t="s">
        <v>2876</v>
      </c>
      <c r="ISH1332" s="4" t="s">
        <v>2876</v>
      </c>
      <c r="ISI1332" s="4" t="s">
        <v>2876</v>
      </c>
      <c r="ISJ1332" s="4" t="s">
        <v>2876</v>
      </c>
      <c r="ISK1332" s="4" t="s">
        <v>2876</v>
      </c>
      <c r="ISL1332" s="4" t="s">
        <v>2876</v>
      </c>
      <c r="ISM1332" s="4" t="s">
        <v>2876</v>
      </c>
      <c r="ISN1332" s="4" t="s">
        <v>2876</v>
      </c>
      <c r="ISO1332" s="4" t="s">
        <v>2876</v>
      </c>
      <c r="ISP1332" s="4" t="s">
        <v>2876</v>
      </c>
      <c r="ISQ1332" s="4" t="s">
        <v>2876</v>
      </c>
      <c r="ISR1332" s="4" t="s">
        <v>2876</v>
      </c>
      <c r="ISS1332" s="4" t="s">
        <v>2876</v>
      </c>
      <c r="IST1332" s="4" t="s">
        <v>2876</v>
      </c>
      <c r="ISU1332" s="4" t="s">
        <v>2876</v>
      </c>
      <c r="ISV1332" s="4" t="s">
        <v>2876</v>
      </c>
      <c r="ISW1332" s="4" t="s">
        <v>2876</v>
      </c>
      <c r="ISX1332" s="4" t="s">
        <v>2876</v>
      </c>
      <c r="ISY1332" s="4" t="s">
        <v>2876</v>
      </c>
      <c r="ISZ1332" s="4" t="s">
        <v>2876</v>
      </c>
      <c r="ITA1332" s="4" t="s">
        <v>2876</v>
      </c>
      <c r="ITB1332" s="4" t="s">
        <v>2876</v>
      </c>
      <c r="ITC1332" s="4" t="s">
        <v>2876</v>
      </c>
      <c r="ITD1332" s="4" t="s">
        <v>2876</v>
      </c>
      <c r="ITE1332" s="4" t="s">
        <v>2876</v>
      </c>
      <c r="ITF1332" s="4" t="s">
        <v>2876</v>
      </c>
      <c r="ITG1332" s="4" t="s">
        <v>2876</v>
      </c>
      <c r="ITH1332" s="4" t="s">
        <v>2876</v>
      </c>
      <c r="ITI1332" s="4" t="s">
        <v>2876</v>
      </c>
      <c r="ITJ1332" s="4" t="s">
        <v>2876</v>
      </c>
      <c r="ITK1332" s="4" t="s">
        <v>2876</v>
      </c>
      <c r="ITL1332" s="4" t="s">
        <v>2876</v>
      </c>
      <c r="ITM1332" s="4" t="s">
        <v>2876</v>
      </c>
      <c r="ITN1332" s="4" t="s">
        <v>2876</v>
      </c>
      <c r="ITO1332" s="4" t="s">
        <v>2876</v>
      </c>
      <c r="ITP1332" s="4" t="s">
        <v>2876</v>
      </c>
      <c r="ITQ1332" s="4" t="s">
        <v>2876</v>
      </c>
      <c r="ITR1332" s="4" t="s">
        <v>2876</v>
      </c>
      <c r="ITS1332" s="4" t="s">
        <v>2876</v>
      </c>
      <c r="ITT1332" s="4" t="s">
        <v>2876</v>
      </c>
      <c r="ITU1332" s="4" t="s">
        <v>2876</v>
      </c>
      <c r="ITV1332" s="4" t="s">
        <v>2876</v>
      </c>
      <c r="ITW1332" s="4" t="s">
        <v>2876</v>
      </c>
      <c r="ITX1332" s="4" t="s">
        <v>2876</v>
      </c>
      <c r="ITY1332" s="4" t="s">
        <v>2876</v>
      </c>
      <c r="ITZ1332" s="4" t="s">
        <v>2876</v>
      </c>
      <c r="IUA1332" s="4" t="s">
        <v>2876</v>
      </c>
      <c r="IUB1332" s="4" t="s">
        <v>2876</v>
      </c>
      <c r="IUC1332" s="4" t="s">
        <v>2876</v>
      </c>
      <c r="IUD1332" s="4" t="s">
        <v>2876</v>
      </c>
      <c r="IUE1332" s="4" t="s">
        <v>2876</v>
      </c>
      <c r="IUF1332" s="4" t="s">
        <v>2876</v>
      </c>
      <c r="IUG1332" s="4" t="s">
        <v>2876</v>
      </c>
      <c r="IUH1332" s="4" t="s">
        <v>2876</v>
      </c>
      <c r="IUI1332" s="4" t="s">
        <v>2876</v>
      </c>
      <c r="IUJ1332" s="4" t="s">
        <v>2876</v>
      </c>
      <c r="IUK1332" s="4" t="s">
        <v>2876</v>
      </c>
      <c r="IUL1332" s="4" t="s">
        <v>2876</v>
      </c>
      <c r="IUM1332" s="4" t="s">
        <v>2876</v>
      </c>
      <c r="IUN1332" s="4" t="s">
        <v>2876</v>
      </c>
      <c r="IUO1332" s="4" t="s">
        <v>2876</v>
      </c>
      <c r="IUP1332" s="4" t="s">
        <v>2876</v>
      </c>
      <c r="IUQ1332" s="4" t="s">
        <v>2876</v>
      </c>
      <c r="IUR1332" s="4" t="s">
        <v>2876</v>
      </c>
      <c r="IUS1332" s="4" t="s">
        <v>2876</v>
      </c>
      <c r="IUT1332" s="4" t="s">
        <v>2876</v>
      </c>
      <c r="IUU1332" s="4" t="s">
        <v>2876</v>
      </c>
      <c r="IUV1332" s="4" t="s">
        <v>2876</v>
      </c>
      <c r="IUW1332" s="4" t="s">
        <v>2876</v>
      </c>
      <c r="IUX1332" s="4" t="s">
        <v>2876</v>
      </c>
      <c r="IUY1332" s="4" t="s">
        <v>2876</v>
      </c>
      <c r="IUZ1332" s="4" t="s">
        <v>2876</v>
      </c>
      <c r="IVA1332" s="4" t="s">
        <v>2876</v>
      </c>
      <c r="IVB1332" s="4" t="s">
        <v>2876</v>
      </c>
      <c r="IVC1332" s="4" t="s">
        <v>2876</v>
      </c>
      <c r="IVD1332" s="4" t="s">
        <v>2876</v>
      </c>
      <c r="IVE1332" s="4" t="s">
        <v>2876</v>
      </c>
      <c r="IVF1332" s="4" t="s">
        <v>2876</v>
      </c>
      <c r="IVG1332" s="4" t="s">
        <v>2876</v>
      </c>
      <c r="IVH1332" s="4" t="s">
        <v>2876</v>
      </c>
      <c r="IVI1332" s="4" t="s">
        <v>2876</v>
      </c>
      <c r="IVJ1332" s="4" t="s">
        <v>2876</v>
      </c>
      <c r="IVK1332" s="4" t="s">
        <v>2876</v>
      </c>
      <c r="IVL1332" s="4" t="s">
        <v>2876</v>
      </c>
      <c r="IVM1332" s="4" t="s">
        <v>2876</v>
      </c>
      <c r="IVN1332" s="4" t="s">
        <v>2876</v>
      </c>
      <c r="IVO1332" s="4" t="s">
        <v>2876</v>
      </c>
      <c r="IVP1332" s="4" t="s">
        <v>2876</v>
      </c>
      <c r="IVQ1332" s="4" t="s">
        <v>2876</v>
      </c>
      <c r="IVR1332" s="4" t="s">
        <v>2876</v>
      </c>
      <c r="IVS1332" s="4" t="s">
        <v>2876</v>
      </c>
      <c r="IVT1332" s="4" t="s">
        <v>2876</v>
      </c>
      <c r="IVU1332" s="4" t="s">
        <v>2876</v>
      </c>
      <c r="IVV1332" s="4" t="s">
        <v>2876</v>
      </c>
      <c r="IVW1332" s="4" t="s">
        <v>2876</v>
      </c>
      <c r="IVX1332" s="4" t="s">
        <v>2876</v>
      </c>
      <c r="IVY1332" s="4" t="s">
        <v>2876</v>
      </c>
      <c r="IVZ1332" s="4" t="s">
        <v>2876</v>
      </c>
      <c r="IWA1332" s="4" t="s">
        <v>2876</v>
      </c>
      <c r="IWB1332" s="4" t="s">
        <v>2876</v>
      </c>
      <c r="IWC1332" s="4" t="s">
        <v>2876</v>
      </c>
      <c r="IWD1332" s="4" t="s">
        <v>2876</v>
      </c>
      <c r="IWE1332" s="4" t="s">
        <v>2876</v>
      </c>
      <c r="IWF1332" s="4" t="s">
        <v>2876</v>
      </c>
      <c r="IWG1332" s="4" t="s">
        <v>2876</v>
      </c>
      <c r="IWH1332" s="4" t="s">
        <v>2876</v>
      </c>
      <c r="IWI1332" s="4" t="s">
        <v>2876</v>
      </c>
      <c r="IWJ1332" s="4" t="s">
        <v>2876</v>
      </c>
      <c r="IWK1332" s="4" t="s">
        <v>2876</v>
      </c>
      <c r="IWL1332" s="4" t="s">
        <v>2876</v>
      </c>
      <c r="IWM1332" s="4" t="s">
        <v>2876</v>
      </c>
      <c r="IWN1332" s="4" t="s">
        <v>2876</v>
      </c>
      <c r="IWO1332" s="4" t="s">
        <v>2876</v>
      </c>
      <c r="IWP1332" s="4" t="s">
        <v>2876</v>
      </c>
      <c r="IWQ1332" s="4" t="s">
        <v>2876</v>
      </c>
      <c r="IWR1332" s="4" t="s">
        <v>2876</v>
      </c>
      <c r="IWS1332" s="4" t="s">
        <v>2876</v>
      </c>
      <c r="IWT1332" s="4" t="s">
        <v>2876</v>
      </c>
      <c r="IWU1332" s="4" t="s">
        <v>2876</v>
      </c>
      <c r="IWV1332" s="4" t="s">
        <v>2876</v>
      </c>
      <c r="IWW1332" s="4" t="s">
        <v>2876</v>
      </c>
      <c r="IWX1332" s="4" t="s">
        <v>2876</v>
      </c>
      <c r="IWY1332" s="4" t="s">
        <v>2876</v>
      </c>
      <c r="IWZ1332" s="4" t="s">
        <v>2876</v>
      </c>
      <c r="IXA1332" s="4" t="s">
        <v>2876</v>
      </c>
      <c r="IXB1332" s="4" t="s">
        <v>2876</v>
      </c>
      <c r="IXC1332" s="4" t="s">
        <v>2876</v>
      </c>
      <c r="IXD1332" s="4" t="s">
        <v>2876</v>
      </c>
      <c r="IXE1332" s="4" t="s">
        <v>2876</v>
      </c>
      <c r="IXF1332" s="4" t="s">
        <v>2876</v>
      </c>
      <c r="IXG1332" s="4" t="s">
        <v>2876</v>
      </c>
      <c r="IXH1332" s="4" t="s">
        <v>2876</v>
      </c>
      <c r="IXI1332" s="4" t="s">
        <v>2876</v>
      </c>
      <c r="IXJ1332" s="4" t="s">
        <v>2876</v>
      </c>
      <c r="IXK1332" s="4" t="s">
        <v>2876</v>
      </c>
      <c r="IXL1332" s="4" t="s">
        <v>2876</v>
      </c>
      <c r="IXM1332" s="4" t="s">
        <v>2876</v>
      </c>
      <c r="IXN1332" s="4" t="s">
        <v>2876</v>
      </c>
      <c r="IXO1332" s="4" t="s">
        <v>2876</v>
      </c>
      <c r="IXP1332" s="4" t="s">
        <v>2876</v>
      </c>
      <c r="IXQ1332" s="4" t="s">
        <v>2876</v>
      </c>
      <c r="IXR1332" s="4" t="s">
        <v>2876</v>
      </c>
      <c r="IXS1332" s="4" t="s">
        <v>2876</v>
      </c>
      <c r="IXT1332" s="4" t="s">
        <v>2876</v>
      </c>
      <c r="IXU1332" s="4" t="s">
        <v>2876</v>
      </c>
      <c r="IXV1332" s="4" t="s">
        <v>2876</v>
      </c>
      <c r="IXW1332" s="4" t="s">
        <v>2876</v>
      </c>
      <c r="IXX1332" s="4" t="s">
        <v>2876</v>
      </c>
      <c r="IXY1332" s="4" t="s">
        <v>2876</v>
      </c>
      <c r="IXZ1332" s="4" t="s">
        <v>2876</v>
      </c>
      <c r="IYA1332" s="4" t="s">
        <v>2876</v>
      </c>
      <c r="IYB1332" s="4" t="s">
        <v>2876</v>
      </c>
      <c r="IYC1332" s="4" t="s">
        <v>2876</v>
      </c>
      <c r="IYD1332" s="4" t="s">
        <v>2876</v>
      </c>
      <c r="IYE1332" s="4" t="s">
        <v>2876</v>
      </c>
      <c r="IYF1332" s="4" t="s">
        <v>2876</v>
      </c>
      <c r="IYG1332" s="4" t="s">
        <v>2876</v>
      </c>
      <c r="IYH1332" s="4" t="s">
        <v>2876</v>
      </c>
      <c r="IYI1332" s="4" t="s">
        <v>2876</v>
      </c>
      <c r="IYJ1332" s="4" t="s">
        <v>2876</v>
      </c>
      <c r="IYK1332" s="4" t="s">
        <v>2876</v>
      </c>
      <c r="IYL1332" s="4" t="s">
        <v>2876</v>
      </c>
      <c r="IYM1332" s="4" t="s">
        <v>2876</v>
      </c>
      <c r="IYN1332" s="4" t="s">
        <v>2876</v>
      </c>
      <c r="IYO1332" s="4" t="s">
        <v>2876</v>
      </c>
      <c r="IYP1332" s="4" t="s">
        <v>2876</v>
      </c>
      <c r="IYQ1332" s="4" t="s">
        <v>2876</v>
      </c>
      <c r="IYR1332" s="4" t="s">
        <v>2876</v>
      </c>
      <c r="IYS1332" s="4" t="s">
        <v>2876</v>
      </c>
      <c r="IYT1332" s="4" t="s">
        <v>2876</v>
      </c>
      <c r="IYU1332" s="4" t="s">
        <v>2876</v>
      </c>
      <c r="IYV1332" s="4" t="s">
        <v>2876</v>
      </c>
      <c r="IYW1332" s="4" t="s">
        <v>2876</v>
      </c>
      <c r="IYX1332" s="4" t="s">
        <v>2876</v>
      </c>
      <c r="IYY1332" s="4" t="s">
        <v>2876</v>
      </c>
      <c r="IYZ1332" s="4" t="s">
        <v>2876</v>
      </c>
      <c r="IZA1332" s="4" t="s">
        <v>2876</v>
      </c>
      <c r="IZB1332" s="4" t="s">
        <v>2876</v>
      </c>
      <c r="IZC1332" s="4" t="s">
        <v>2876</v>
      </c>
      <c r="IZD1332" s="4" t="s">
        <v>2876</v>
      </c>
      <c r="IZE1332" s="4" t="s">
        <v>2876</v>
      </c>
      <c r="IZF1332" s="4" t="s">
        <v>2876</v>
      </c>
      <c r="IZG1332" s="4" t="s">
        <v>2876</v>
      </c>
      <c r="IZH1332" s="4" t="s">
        <v>2876</v>
      </c>
      <c r="IZI1332" s="4" t="s">
        <v>2876</v>
      </c>
      <c r="IZJ1332" s="4" t="s">
        <v>2876</v>
      </c>
      <c r="IZK1332" s="4" t="s">
        <v>2876</v>
      </c>
      <c r="IZL1332" s="4" t="s">
        <v>2876</v>
      </c>
      <c r="IZM1332" s="4" t="s">
        <v>2876</v>
      </c>
      <c r="IZN1332" s="4" t="s">
        <v>2876</v>
      </c>
      <c r="IZO1332" s="4" t="s">
        <v>2876</v>
      </c>
      <c r="IZP1332" s="4" t="s">
        <v>2876</v>
      </c>
      <c r="IZQ1332" s="4" t="s">
        <v>2876</v>
      </c>
      <c r="IZR1332" s="4" t="s">
        <v>2876</v>
      </c>
      <c r="IZS1332" s="4" t="s">
        <v>2876</v>
      </c>
      <c r="IZT1332" s="4" t="s">
        <v>2876</v>
      </c>
      <c r="IZU1332" s="4" t="s">
        <v>2876</v>
      </c>
      <c r="IZV1332" s="4" t="s">
        <v>2876</v>
      </c>
      <c r="IZW1332" s="4" t="s">
        <v>2876</v>
      </c>
      <c r="IZX1332" s="4" t="s">
        <v>2876</v>
      </c>
      <c r="IZY1332" s="4" t="s">
        <v>2876</v>
      </c>
      <c r="IZZ1332" s="4" t="s">
        <v>2876</v>
      </c>
      <c r="JAA1332" s="4" t="s">
        <v>2876</v>
      </c>
      <c r="JAB1332" s="4" t="s">
        <v>2876</v>
      </c>
      <c r="JAC1332" s="4" t="s">
        <v>2876</v>
      </c>
      <c r="JAD1332" s="4" t="s">
        <v>2876</v>
      </c>
      <c r="JAE1332" s="4" t="s">
        <v>2876</v>
      </c>
      <c r="JAF1332" s="4" t="s">
        <v>2876</v>
      </c>
      <c r="JAG1332" s="4" t="s">
        <v>2876</v>
      </c>
      <c r="JAH1332" s="4" t="s">
        <v>2876</v>
      </c>
      <c r="JAI1332" s="4" t="s">
        <v>2876</v>
      </c>
      <c r="JAJ1332" s="4" t="s">
        <v>2876</v>
      </c>
      <c r="JAK1332" s="4" t="s">
        <v>2876</v>
      </c>
      <c r="JAL1332" s="4" t="s">
        <v>2876</v>
      </c>
      <c r="JAM1332" s="4" t="s">
        <v>2876</v>
      </c>
      <c r="JAN1332" s="4" t="s">
        <v>2876</v>
      </c>
      <c r="JAO1332" s="4" t="s">
        <v>2876</v>
      </c>
      <c r="JAP1332" s="4" t="s">
        <v>2876</v>
      </c>
      <c r="JAQ1332" s="4" t="s">
        <v>2876</v>
      </c>
      <c r="JAR1332" s="4" t="s">
        <v>2876</v>
      </c>
      <c r="JAS1332" s="4" t="s">
        <v>2876</v>
      </c>
      <c r="JAT1332" s="4" t="s">
        <v>2876</v>
      </c>
      <c r="JAU1332" s="4" t="s">
        <v>2876</v>
      </c>
      <c r="JAV1332" s="4" t="s">
        <v>2876</v>
      </c>
      <c r="JAW1332" s="4" t="s">
        <v>2876</v>
      </c>
      <c r="JAX1332" s="4" t="s">
        <v>2876</v>
      </c>
      <c r="JAY1332" s="4" t="s">
        <v>2876</v>
      </c>
      <c r="JAZ1332" s="4" t="s">
        <v>2876</v>
      </c>
      <c r="JBA1332" s="4" t="s">
        <v>2876</v>
      </c>
      <c r="JBB1332" s="4" t="s">
        <v>2876</v>
      </c>
      <c r="JBC1332" s="4" t="s">
        <v>2876</v>
      </c>
      <c r="JBD1332" s="4" t="s">
        <v>2876</v>
      </c>
      <c r="JBE1332" s="4" t="s">
        <v>2876</v>
      </c>
      <c r="JBF1332" s="4" t="s">
        <v>2876</v>
      </c>
      <c r="JBG1332" s="4" t="s">
        <v>2876</v>
      </c>
      <c r="JBH1332" s="4" t="s">
        <v>2876</v>
      </c>
      <c r="JBI1332" s="4" t="s">
        <v>2876</v>
      </c>
      <c r="JBJ1332" s="4" t="s">
        <v>2876</v>
      </c>
      <c r="JBK1332" s="4" t="s">
        <v>2876</v>
      </c>
      <c r="JBL1332" s="4" t="s">
        <v>2876</v>
      </c>
      <c r="JBM1332" s="4" t="s">
        <v>2876</v>
      </c>
      <c r="JBN1332" s="4" t="s">
        <v>2876</v>
      </c>
      <c r="JBO1332" s="4" t="s">
        <v>2876</v>
      </c>
      <c r="JBP1332" s="4" t="s">
        <v>2876</v>
      </c>
      <c r="JBQ1332" s="4" t="s">
        <v>2876</v>
      </c>
      <c r="JBR1332" s="4" t="s">
        <v>2876</v>
      </c>
      <c r="JBS1332" s="4" t="s">
        <v>2876</v>
      </c>
      <c r="JBT1332" s="4" t="s">
        <v>2876</v>
      </c>
      <c r="JBU1332" s="4" t="s">
        <v>2876</v>
      </c>
      <c r="JBV1332" s="4" t="s">
        <v>2876</v>
      </c>
      <c r="JBW1332" s="4" t="s">
        <v>2876</v>
      </c>
      <c r="JBX1332" s="4" t="s">
        <v>2876</v>
      </c>
      <c r="JBY1332" s="4" t="s">
        <v>2876</v>
      </c>
      <c r="JBZ1332" s="4" t="s">
        <v>2876</v>
      </c>
      <c r="JCA1332" s="4" t="s">
        <v>2876</v>
      </c>
      <c r="JCB1332" s="4" t="s">
        <v>2876</v>
      </c>
      <c r="JCC1332" s="4" t="s">
        <v>2876</v>
      </c>
      <c r="JCD1332" s="4" t="s">
        <v>2876</v>
      </c>
      <c r="JCE1332" s="4" t="s">
        <v>2876</v>
      </c>
      <c r="JCF1332" s="4" t="s">
        <v>2876</v>
      </c>
      <c r="JCG1332" s="4" t="s">
        <v>2876</v>
      </c>
      <c r="JCH1332" s="4" t="s">
        <v>2876</v>
      </c>
      <c r="JCI1332" s="4" t="s">
        <v>2876</v>
      </c>
      <c r="JCJ1332" s="4" t="s">
        <v>2876</v>
      </c>
      <c r="JCK1332" s="4" t="s">
        <v>2876</v>
      </c>
      <c r="JCL1332" s="4" t="s">
        <v>2876</v>
      </c>
      <c r="JCM1332" s="4" t="s">
        <v>2876</v>
      </c>
      <c r="JCN1332" s="4" t="s">
        <v>2876</v>
      </c>
      <c r="JCO1332" s="4" t="s">
        <v>2876</v>
      </c>
      <c r="JCP1332" s="4" t="s">
        <v>2876</v>
      </c>
      <c r="JCQ1332" s="4" t="s">
        <v>2876</v>
      </c>
      <c r="JCR1332" s="4" t="s">
        <v>2876</v>
      </c>
      <c r="JCS1332" s="4" t="s">
        <v>2876</v>
      </c>
      <c r="JCT1332" s="4" t="s">
        <v>2876</v>
      </c>
      <c r="JCU1332" s="4" t="s">
        <v>2876</v>
      </c>
      <c r="JCV1332" s="4" t="s">
        <v>2876</v>
      </c>
      <c r="JCW1332" s="4" t="s">
        <v>2876</v>
      </c>
      <c r="JCX1332" s="4" t="s">
        <v>2876</v>
      </c>
      <c r="JCY1332" s="4" t="s">
        <v>2876</v>
      </c>
      <c r="JCZ1332" s="4" t="s">
        <v>2876</v>
      </c>
      <c r="JDA1332" s="4" t="s">
        <v>2876</v>
      </c>
      <c r="JDB1332" s="4" t="s">
        <v>2876</v>
      </c>
      <c r="JDC1332" s="4" t="s">
        <v>2876</v>
      </c>
      <c r="JDD1332" s="4" t="s">
        <v>2876</v>
      </c>
      <c r="JDE1332" s="4" t="s">
        <v>2876</v>
      </c>
      <c r="JDF1332" s="4" t="s">
        <v>2876</v>
      </c>
      <c r="JDG1332" s="4" t="s">
        <v>2876</v>
      </c>
      <c r="JDH1332" s="4" t="s">
        <v>2876</v>
      </c>
      <c r="JDI1332" s="4" t="s">
        <v>2876</v>
      </c>
      <c r="JDJ1332" s="4" t="s">
        <v>2876</v>
      </c>
      <c r="JDK1332" s="4" t="s">
        <v>2876</v>
      </c>
      <c r="JDL1332" s="4" t="s">
        <v>2876</v>
      </c>
      <c r="JDM1332" s="4" t="s">
        <v>2876</v>
      </c>
      <c r="JDN1332" s="4" t="s">
        <v>2876</v>
      </c>
      <c r="JDO1332" s="4" t="s">
        <v>2876</v>
      </c>
      <c r="JDP1332" s="4" t="s">
        <v>2876</v>
      </c>
      <c r="JDQ1332" s="4" t="s">
        <v>2876</v>
      </c>
      <c r="JDR1332" s="4" t="s">
        <v>2876</v>
      </c>
      <c r="JDS1332" s="4" t="s">
        <v>2876</v>
      </c>
      <c r="JDT1332" s="4" t="s">
        <v>2876</v>
      </c>
      <c r="JDU1332" s="4" t="s">
        <v>2876</v>
      </c>
      <c r="JDV1332" s="4" t="s">
        <v>2876</v>
      </c>
      <c r="JDW1332" s="4" t="s">
        <v>2876</v>
      </c>
      <c r="JDX1332" s="4" t="s">
        <v>2876</v>
      </c>
      <c r="JDY1332" s="4" t="s">
        <v>2876</v>
      </c>
      <c r="JDZ1332" s="4" t="s">
        <v>2876</v>
      </c>
      <c r="JEA1332" s="4" t="s">
        <v>2876</v>
      </c>
      <c r="JEB1332" s="4" t="s">
        <v>2876</v>
      </c>
      <c r="JEC1332" s="4" t="s">
        <v>2876</v>
      </c>
      <c r="JED1332" s="4" t="s">
        <v>2876</v>
      </c>
      <c r="JEE1332" s="4" t="s">
        <v>2876</v>
      </c>
      <c r="JEF1332" s="4" t="s">
        <v>2876</v>
      </c>
      <c r="JEG1332" s="4" t="s">
        <v>2876</v>
      </c>
      <c r="JEH1332" s="4" t="s">
        <v>2876</v>
      </c>
      <c r="JEI1332" s="4" t="s">
        <v>2876</v>
      </c>
      <c r="JEJ1332" s="4" t="s">
        <v>2876</v>
      </c>
      <c r="JEK1332" s="4" t="s">
        <v>2876</v>
      </c>
      <c r="JEL1332" s="4" t="s">
        <v>2876</v>
      </c>
      <c r="JEM1332" s="4" t="s">
        <v>2876</v>
      </c>
      <c r="JEN1332" s="4" t="s">
        <v>2876</v>
      </c>
      <c r="JEO1332" s="4" t="s">
        <v>2876</v>
      </c>
      <c r="JEP1332" s="4" t="s">
        <v>2876</v>
      </c>
      <c r="JEQ1332" s="4" t="s">
        <v>2876</v>
      </c>
      <c r="JER1332" s="4" t="s">
        <v>2876</v>
      </c>
      <c r="JES1332" s="4" t="s">
        <v>2876</v>
      </c>
      <c r="JET1332" s="4" t="s">
        <v>2876</v>
      </c>
      <c r="JEU1332" s="4" t="s">
        <v>2876</v>
      </c>
      <c r="JEV1332" s="4" t="s">
        <v>2876</v>
      </c>
      <c r="JEW1332" s="4" t="s">
        <v>2876</v>
      </c>
      <c r="JEX1332" s="4" t="s">
        <v>2876</v>
      </c>
      <c r="JEY1332" s="4" t="s">
        <v>2876</v>
      </c>
      <c r="JEZ1332" s="4" t="s">
        <v>2876</v>
      </c>
      <c r="JFA1332" s="4" t="s">
        <v>2876</v>
      </c>
      <c r="JFB1332" s="4" t="s">
        <v>2876</v>
      </c>
      <c r="JFC1332" s="4" t="s">
        <v>2876</v>
      </c>
      <c r="JFD1332" s="4" t="s">
        <v>2876</v>
      </c>
      <c r="JFE1332" s="4" t="s">
        <v>2876</v>
      </c>
      <c r="JFF1332" s="4" t="s">
        <v>2876</v>
      </c>
      <c r="JFG1332" s="4" t="s">
        <v>2876</v>
      </c>
      <c r="JFH1332" s="4" t="s">
        <v>2876</v>
      </c>
      <c r="JFI1332" s="4" t="s">
        <v>2876</v>
      </c>
      <c r="JFJ1332" s="4" t="s">
        <v>2876</v>
      </c>
      <c r="JFK1332" s="4" t="s">
        <v>2876</v>
      </c>
      <c r="JFL1332" s="4" t="s">
        <v>2876</v>
      </c>
      <c r="JFM1332" s="4" t="s">
        <v>2876</v>
      </c>
      <c r="JFN1332" s="4" t="s">
        <v>2876</v>
      </c>
      <c r="JFO1332" s="4" t="s">
        <v>2876</v>
      </c>
      <c r="JFP1332" s="4" t="s">
        <v>2876</v>
      </c>
      <c r="JFQ1332" s="4" t="s">
        <v>2876</v>
      </c>
      <c r="JFR1332" s="4" t="s">
        <v>2876</v>
      </c>
      <c r="JFS1332" s="4" t="s">
        <v>2876</v>
      </c>
      <c r="JFT1332" s="4" t="s">
        <v>2876</v>
      </c>
      <c r="JFU1332" s="4" t="s">
        <v>2876</v>
      </c>
      <c r="JFV1332" s="4" t="s">
        <v>2876</v>
      </c>
      <c r="JFW1332" s="4" t="s">
        <v>2876</v>
      </c>
      <c r="JFX1332" s="4" t="s">
        <v>2876</v>
      </c>
      <c r="JFY1332" s="4" t="s">
        <v>2876</v>
      </c>
      <c r="JFZ1332" s="4" t="s">
        <v>2876</v>
      </c>
      <c r="JGA1332" s="4" t="s">
        <v>2876</v>
      </c>
      <c r="JGB1332" s="4" t="s">
        <v>2876</v>
      </c>
      <c r="JGC1332" s="4" t="s">
        <v>2876</v>
      </c>
      <c r="JGD1332" s="4" t="s">
        <v>2876</v>
      </c>
      <c r="JGE1332" s="4" t="s">
        <v>2876</v>
      </c>
      <c r="JGF1332" s="4" t="s">
        <v>2876</v>
      </c>
      <c r="JGG1332" s="4" t="s">
        <v>2876</v>
      </c>
      <c r="JGH1332" s="4" t="s">
        <v>2876</v>
      </c>
      <c r="JGI1332" s="4" t="s">
        <v>2876</v>
      </c>
      <c r="JGJ1332" s="4" t="s">
        <v>2876</v>
      </c>
      <c r="JGK1332" s="4" t="s">
        <v>2876</v>
      </c>
      <c r="JGL1332" s="4" t="s">
        <v>2876</v>
      </c>
      <c r="JGM1332" s="4" t="s">
        <v>2876</v>
      </c>
      <c r="JGN1332" s="4" t="s">
        <v>2876</v>
      </c>
      <c r="JGO1332" s="4" t="s">
        <v>2876</v>
      </c>
      <c r="JGP1332" s="4" t="s">
        <v>2876</v>
      </c>
      <c r="JGQ1332" s="4" t="s">
        <v>2876</v>
      </c>
      <c r="JGR1332" s="4" t="s">
        <v>2876</v>
      </c>
      <c r="JGS1332" s="4" t="s">
        <v>2876</v>
      </c>
      <c r="JGT1332" s="4" t="s">
        <v>2876</v>
      </c>
      <c r="JGU1332" s="4" t="s">
        <v>2876</v>
      </c>
      <c r="JGV1332" s="4" t="s">
        <v>2876</v>
      </c>
      <c r="JGW1332" s="4" t="s">
        <v>2876</v>
      </c>
      <c r="JGX1332" s="4" t="s">
        <v>2876</v>
      </c>
      <c r="JGY1332" s="4" t="s">
        <v>2876</v>
      </c>
      <c r="JGZ1332" s="4" t="s">
        <v>2876</v>
      </c>
      <c r="JHA1332" s="4" t="s">
        <v>2876</v>
      </c>
      <c r="JHB1332" s="4" t="s">
        <v>2876</v>
      </c>
      <c r="JHC1332" s="4" t="s">
        <v>2876</v>
      </c>
      <c r="JHD1332" s="4" t="s">
        <v>2876</v>
      </c>
      <c r="JHE1332" s="4" t="s">
        <v>2876</v>
      </c>
      <c r="JHF1332" s="4" t="s">
        <v>2876</v>
      </c>
      <c r="JHG1332" s="4" t="s">
        <v>2876</v>
      </c>
      <c r="JHH1332" s="4" t="s">
        <v>2876</v>
      </c>
      <c r="JHI1332" s="4" t="s">
        <v>2876</v>
      </c>
      <c r="JHJ1332" s="4" t="s">
        <v>2876</v>
      </c>
      <c r="JHK1332" s="4" t="s">
        <v>2876</v>
      </c>
      <c r="JHL1332" s="4" t="s">
        <v>2876</v>
      </c>
      <c r="JHM1332" s="4" t="s">
        <v>2876</v>
      </c>
      <c r="JHN1332" s="4" t="s">
        <v>2876</v>
      </c>
      <c r="JHO1332" s="4" t="s">
        <v>2876</v>
      </c>
      <c r="JHP1332" s="4" t="s">
        <v>2876</v>
      </c>
      <c r="JHQ1332" s="4" t="s">
        <v>2876</v>
      </c>
      <c r="JHR1332" s="4" t="s">
        <v>2876</v>
      </c>
      <c r="JHS1332" s="4" t="s">
        <v>2876</v>
      </c>
      <c r="JHT1332" s="4" t="s">
        <v>2876</v>
      </c>
      <c r="JHU1332" s="4" t="s">
        <v>2876</v>
      </c>
      <c r="JHV1332" s="4" t="s">
        <v>2876</v>
      </c>
      <c r="JHW1332" s="4" t="s">
        <v>2876</v>
      </c>
      <c r="JHX1332" s="4" t="s">
        <v>2876</v>
      </c>
      <c r="JHY1332" s="4" t="s">
        <v>2876</v>
      </c>
      <c r="JHZ1332" s="4" t="s">
        <v>2876</v>
      </c>
      <c r="JIA1332" s="4" t="s">
        <v>2876</v>
      </c>
      <c r="JIB1332" s="4" t="s">
        <v>2876</v>
      </c>
      <c r="JIC1332" s="4" t="s">
        <v>2876</v>
      </c>
      <c r="JID1332" s="4" t="s">
        <v>2876</v>
      </c>
      <c r="JIE1332" s="4" t="s">
        <v>2876</v>
      </c>
      <c r="JIF1332" s="4" t="s">
        <v>2876</v>
      </c>
      <c r="JIG1332" s="4" t="s">
        <v>2876</v>
      </c>
      <c r="JIH1332" s="4" t="s">
        <v>2876</v>
      </c>
      <c r="JII1332" s="4" t="s">
        <v>2876</v>
      </c>
      <c r="JIJ1332" s="4" t="s">
        <v>2876</v>
      </c>
      <c r="JIK1332" s="4" t="s">
        <v>2876</v>
      </c>
      <c r="JIL1332" s="4" t="s">
        <v>2876</v>
      </c>
      <c r="JIM1332" s="4" t="s">
        <v>2876</v>
      </c>
      <c r="JIN1332" s="4" t="s">
        <v>2876</v>
      </c>
      <c r="JIO1332" s="4" t="s">
        <v>2876</v>
      </c>
      <c r="JIP1332" s="4" t="s">
        <v>2876</v>
      </c>
      <c r="JIQ1332" s="4" t="s">
        <v>2876</v>
      </c>
      <c r="JIR1332" s="4" t="s">
        <v>2876</v>
      </c>
      <c r="JIS1332" s="4" t="s">
        <v>2876</v>
      </c>
      <c r="JIT1332" s="4" t="s">
        <v>2876</v>
      </c>
      <c r="JIU1332" s="4" t="s">
        <v>2876</v>
      </c>
      <c r="JIV1332" s="4" t="s">
        <v>2876</v>
      </c>
      <c r="JIW1332" s="4" t="s">
        <v>2876</v>
      </c>
      <c r="JIX1332" s="4" t="s">
        <v>2876</v>
      </c>
      <c r="JIY1332" s="4" t="s">
        <v>2876</v>
      </c>
      <c r="JIZ1332" s="4" t="s">
        <v>2876</v>
      </c>
      <c r="JJA1332" s="4" t="s">
        <v>2876</v>
      </c>
      <c r="JJB1332" s="4" t="s">
        <v>2876</v>
      </c>
      <c r="JJC1332" s="4" t="s">
        <v>2876</v>
      </c>
      <c r="JJD1332" s="4" t="s">
        <v>2876</v>
      </c>
      <c r="JJE1332" s="4" t="s">
        <v>2876</v>
      </c>
      <c r="JJF1332" s="4" t="s">
        <v>2876</v>
      </c>
      <c r="JJG1332" s="4" t="s">
        <v>2876</v>
      </c>
      <c r="JJH1332" s="4" t="s">
        <v>2876</v>
      </c>
      <c r="JJI1332" s="4" t="s">
        <v>2876</v>
      </c>
      <c r="JJJ1332" s="4" t="s">
        <v>2876</v>
      </c>
      <c r="JJK1332" s="4" t="s">
        <v>2876</v>
      </c>
      <c r="JJL1332" s="4" t="s">
        <v>2876</v>
      </c>
      <c r="JJM1332" s="4" t="s">
        <v>2876</v>
      </c>
      <c r="JJN1332" s="4" t="s">
        <v>2876</v>
      </c>
      <c r="JJO1332" s="4" t="s">
        <v>2876</v>
      </c>
      <c r="JJP1332" s="4" t="s">
        <v>2876</v>
      </c>
      <c r="JJQ1332" s="4" t="s">
        <v>2876</v>
      </c>
      <c r="JJR1332" s="4" t="s">
        <v>2876</v>
      </c>
      <c r="JJS1332" s="4" t="s">
        <v>2876</v>
      </c>
      <c r="JJT1332" s="4" t="s">
        <v>2876</v>
      </c>
      <c r="JJU1332" s="4" t="s">
        <v>2876</v>
      </c>
      <c r="JJV1332" s="4" t="s">
        <v>2876</v>
      </c>
      <c r="JJW1332" s="4" t="s">
        <v>2876</v>
      </c>
      <c r="JJX1332" s="4" t="s">
        <v>2876</v>
      </c>
      <c r="JJY1332" s="4" t="s">
        <v>2876</v>
      </c>
      <c r="JJZ1332" s="4" t="s">
        <v>2876</v>
      </c>
      <c r="JKA1332" s="4" t="s">
        <v>2876</v>
      </c>
      <c r="JKB1332" s="4" t="s">
        <v>2876</v>
      </c>
      <c r="JKC1332" s="4" t="s">
        <v>2876</v>
      </c>
      <c r="JKD1332" s="4" t="s">
        <v>2876</v>
      </c>
      <c r="JKE1332" s="4" t="s">
        <v>2876</v>
      </c>
      <c r="JKF1332" s="4" t="s">
        <v>2876</v>
      </c>
      <c r="JKG1332" s="4" t="s">
        <v>2876</v>
      </c>
      <c r="JKH1332" s="4" t="s">
        <v>2876</v>
      </c>
      <c r="JKI1332" s="4" t="s">
        <v>2876</v>
      </c>
      <c r="JKJ1332" s="4" t="s">
        <v>2876</v>
      </c>
      <c r="JKK1332" s="4" t="s">
        <v>2876</v>
      </c>
      <c r="JKL1332" s="4" t="s">
        <v>2876</v>
      </c>
      <c r="JKM1332" s="4" t="s">
        <v>2876</v>
      </c>
      <c r="JKN1332" s="4" t="s">
        <v>2876</v>
      </c>
      <c r="JKO1332" s="4" t="s">
        <v>2876</v>
      </c>
      <c r="JKP1332" s="4" t="s">
        <v>2876</v>
      </c>
      <c r="JKQ1332" s="4" t="s">
        <v>2876</v>
      </c>
      <c r="JKR1332" s="4" t="s">
        <v>2876</v>
      </c>
      <c r="JKS1332" s="4" t="s">
        <v>2876</v>
      </c>
      <c r="JKT1332" s="4" t="s">
        <v>2876</v>
      </c>
      <c r="JKU1332" s="4" t="s">
        <v>2876</v>
      </c>
      <c r="JKV1332" s="4" t="s">
        <v>2876</v>
      </c>
      <c r="JKW1332" s="4" t="s">
        <v>2876</v>
      </c>
      <c r="JKX1332" s="4" t="s">
        <v>2876</v>
      </c>
      <c r="JKY1332" s="4" t="s">
        <v>2876</v>
      </c>
      <c r="JKZ1332" s="4" t="s">
        <v>2876</v>
      </c>
      <c r="JLA1332" s="4" t="s">
        <v>2876</v>
      </c>
      <c r="JLB1332" s="4" t="s">
        <v>2876</v>
      </c>
      <c r="JLC1332" s="4" t="s">
        <v>2876</v>
      </c>
      <c r="JLD1332" s="4" t="s">
        <v>2876</v>
      </c>
      <c r="JLE1332" s="4" t="s">
        <v>2876</v>
      </c>
      <c r="JLF1332" s="4" t="s">
        <v>2876</v>
      </c>
      <c r="JLG1332" s="4" t="s">
        <v>2876</v>
      </c>
      <c r="JLH1332" s="4" t="s">
        <v>2876</v>
      </c>
      <c r="JLI1332" s="4" t="s">
        <v>2876</v>
      </c>
      <c r="JLJ1332" s="4" t="s">
        <v>2876</v>
      </c>
      <c r="JLK1332" s="4" t="s">
        <v>2876</v>
      </c>
      <c r="JLL1332" s="4" t="s">
        <v>2876</v>
      </c>
      <c r="JLM1332" s="4" t="s">
        <v>2876</v>
      </c>
      <c r="JLN1332" s="4" t="s">
        <v>2876</v>
      </c>
      <c r="JLO1332" s="4" t="s">
        <v>2876</v>
      </c>
      <c r="JLP1332" s="4" t="s">
        <v>2876</v>
      </c>
      <c r="JLQ1332" s="4" t="s">
        <v>2876</v>
      </c>
      <c r="JLR1332" s="4" t="s">
        <v>2876</v>
      </c>
      <c r="JLS1332" s="4" t="s">
        <v>2876</v>
      </c>
      <c r="JLT1332" s="4" t="s">
        <v>2876</v>
      </c>
      <c r="JLU1332" s="4" t="s">
        <v>2876</v>
      </c>
      <c r="JLV1332" s="4" t="s">
        <v>2876</v>
      </c>
      <c r="JLW1332" s="4" t="s">
        <v>2876</v>
      </c>
      <c r="JLX1332" s="4" t="s">
        <v>2876</v>
      </c>
      <c r="JLY1332" s="4" t="s">
        <v>2876</v>
      </c>
      <c r="JLZ1332" s="4" t="s">
        <v>2876</v>
      </c>
      <c r="JMA1332" s="4" t="s">
        <v>2876</v>
      </c>
      <c r="JMB1332" s="4" t="s">
        <v>2876</v>
      </c>
      <c r="JMC1332" s="4" t="s">
        <v>2876</v>
      </c>
      <c r="JMD1332" s="4" t="s">
        <v>2876</v>
      </c>
      <c r="JME1332" s="4" t="s">
        <v>2876</v>
      </c>
      <c r="JMF1332" s="4" t="s">
        <v>2876</v>
      </c>
      <c r="JMG1332" s="4" t="s">
        <v>2876</v>
      </c>
      <c r="JMH1332" s="4" t="s">
        <v>2876</v>
      </c>
      <c r="JMI1332" s="4" t="s">
        <v>2876</v>
      </c>
      <c r="JMJ1332" s="4" t="s">
        <v>2876</v>
      </c>
      <c r="JMK1332" s="4" t="s">
        <v>2876</v>
      </c>
      <c r="JML1332" s="4" t="s">
        <v>2876</v>
      </c>
      <c r="JMM1332" s="4" t="s">
        <v>2876</v>
      </c>
      <c r="JMN1332" s="4" t="s">
        <v>2876</v>
      </c>
      <c r="JMO1332" s="4" t="s">
        <v>2876</v>
      </c>
      <c r="JMP1332" s="4" t="s">
        <v>2876</v>
      </c>
      <c r="JMQ1332" s="4" t="s">
        <v>2876</v>
      </c>
      <c r="JMR1332" s="4" t="s">
        <v>2876</v>
      </c>
      <c r="JMS1332" s="4" t="s">
        <v>2876</v>
      </c>
      <c r="JMT1332" s="4" t="s">
        <v>2876</v>
      </c>
      <c r="JMU1332" s="4" t="s">
        <v>2876</v>
      </c>
      <c r="JMV1332" s="4" t="s">
        <v>2876</v>
      </c>
      <c r="JMW1332" s="4" t="s">
        <v>2876</v>
      </c>
      <c r="JMX1332" s="4" t="s">
        <v>2876</v>
      </c>
      <c r="JMY1332" s="4" t="s">
        <v>2876</v>
      </c>
      <c r="JMZ1332" s="4" t="s">
        <v>2876</v>
      </c>
      <c r="JNA1332" s="4" t="s">
        <v>2876</v>
      </c>
      <c r="JNB1332" s="4" t="s">
        <v>2876</v>
      </c>
      <c r="JNC1332" s="4" t="s">
        <v>2876</v>
      </c>
      <c r="JND1332" s="4" t="s">
        <v>2876</v>
      </c>
      <c r="JNE1332" s="4" t="s">
        <v>2876</v>
      </c>
      <c r="JNF1332" s="4" t="s">
        <v>2876</v>
      </c>
      <c r="JNG1332" s="4" t="s">
        <v>2876</v>
      </c>
      <c r="JNH1332" s="4" t="s">
        <v>2876</v>
      </c>
      <c r="JNI1332" s="4" t="s">
        <v>2876</v>
      </c>
      <c r="JNJ1332" s="4" t="s">
        <v>2876</v>
      </c>
      <c r="JNK1332" s="4" t="s">
        <v>2876</v>
      </c>
      <c r="JNL1332" s="4" t="s">
        <v>2876</v>
      </c>
      <c r="JNM1332" s="4" t="s">
        <v>2876</v>
      </c>
      <c r="JNN1332" s="4" t="s">
        <v>2876</v>
      </c>
      <c r="JNO1332" s="4" t="s">
        <v>2876</v>
      </c>
      <c r="JNP1332" s="4" t="s">
        <v>2876</v>
      </c>
      <c r="JNQ1332" s="4" t="s">
        <v>2876</v>
      </c>
      <c r="JNR1332" s="4" t="s">
        <v>2876</v>
      </c>
      <c r="JNS1332" s="4" t="s">
        <v>2876</v>
      </c>
      <c r="JNT1332" s="4" t="s">
        <v>2876</v>
      </c>
      <c r="JNU1332" s="4" t="s">
        <v>2876</v>
      </c>
      <c r="JNV1332" s="4" t="s">
        <v>2876</v>
      </c>
      <c r="JNW1332" s="4" t="s">
        <v>2876</v>
      </c>
      <c r="JNX1332" s="4" t="s">
        <v>2876</v>
      </c>
      <c r="JNY1332" s="4" t="s">
        <v>2876</v>
      </c>
      <c r="JNZ1332" s="4" t="s">
        <v>2876</v>
      </c>
      <c r="JOA1332" s="4" t="s">
        <v>2876</v>
      </c>
      <c r="JOB1332" s="4" t="s">
        <v>2876</v>
      </c>
      <c r="JOC1332" s="4" t="s">
        <v>2876</v>
      </c>
      <c r="JOD1332" s="4" t="s">
        <v>2876</v>
      </c>
      <c r="JOE1332" s="4" t="s">
        <v>2876</v>
      </c>
      <c r="JOF1332" s="4" t="s">
        <v>2876</v>
      </c>
      <c r="JOG1332" s="4" t="s">
        <v>2876</v>
      </c>
      <c r="JOH1332" s="4" t="s">
        <v>2876</v>
      </c>
      <c r="JOI1332" s="4" t="s">
        <v>2876</v>
      </c>
      <c r="JOJ1332" s="4" t="s">
        <v>2876</v>
      </c>
      <c r="JOK1332" s="4" t="s">
        <v>2876</v>
      </c>
      <c r="JOL1332" s="4" t="s">
        <v>2876</v>
      </c>
      <c r="JOM1332" s="4" t="s">
        <v>2876</v>
      </c>
      <c r="JON1332" s="4" t="s">
        <v>2876</v>
      </c>
      <c r="JOO1332" s="4" t="s">
        <v>2876</v>
      </c>
      <c r="JOP1332" s="4" t="s">
        <v>2876</v>
      </c>
      <c r="JOQ1332" s="4" t="s">
        <v>2876</v>
      </c>
      <c r="JOR1332" s="4" t="s">
        <v>2876</v>
      </c>
      <c r="JOS1332" s="4" t="s">
        <v>2876</v>
      </c>
      <c r="JOT1332" s="4" t="s">
        <v>2876</v>
      </c>
      <c r="JOU1332" s="4" t="s">
        <v>2876</v>
      </c>
      <c r="JOV1332" s="4" t="s">
        <v>2876</v>
      </c>
      <c r="JOW1332" s="4" t="s">
        <v>2876</v>
      </c>
      <c r="JOX1332" s="4" t="s">
        <v>2876</v>
      </c>
      <c r="JOY1332" s="4" t="s">
        <v>2876</v>
      </c>
      <c r="JOZ1332" s="4" t="s">
        <v>2876</v>
      </c>
      <c r="JPA1332" s="4" t="s">
        <v>2876</v>
      </c>
      <c r="JPB1332" s="4" t="s">
        <v>2876</v>
      </c>
      <c r="JPC1332" s="4" t="s">
        <v>2876</v>
      </c>
      <c r="JPD1332" s="4" t="s">
        <v>2876</v>
      </c>
      <c r="JPE1332" s="4" t="s">
        <v>2876</v>
      </c>
      <c r="JPF1332" s="4" t="s">
        <v>2876</v>
      </c>
      <c r="JPG1332" s="4" t="s">
        <v>2876</v>
      </c>
      <c r="JPH1332" s="4" t="s">
        <v>2876</v>
      </c>
      <c r="JPI1332" s="4" t="s">
        <v>2876</v>
      </c>
      <c r="JPJ1332" s="4" t="s">
        <v>2876</v>
      </c>
      <c r="JPK1332" s="4" t="s">
        <v>2876</v>
      </c>
      <c r="JPL1332" s="4" t="s">
        <v>2876</v>
      </c>
      <c r="JPM1332" s="4" t="s">
        <v>2876</v>
      </c>
      <c r="JPN1332" s="4" t="s">
        <v>2876</v>
      </c>
      <c r="JPO1332" s="4" t="s">
        <v>2876</v>
      </c>
      <c r="JPP1332" s="4" t="s">
        <v>2876</v>
      </c>
      <c r="JPQ1332" s="4" t="s">
        <v>2876</v>
      </c>
      <c r="JPR1332" s="4" t="s">
        <v>2876</v>
      </c>
      <c r="JPS1332" s="4" t="s">
        <v>2876</v>
      </c>
      <c r="JPT1332" s="4" t="s">
        <v>2876</v>
      </c>
      <c r="JPU1332" s="4" t="s">
        <v>2876</v>
      </c>
      <c r="JPV1332" s="4" t="s">
        <v>2876</v>
      </c>
      <c r="JPW1332" s="4" t="s">
        <v>2876</v>
      </c>
      <c r="JPX1332" s="4" t="s">
        <v>2876</v>
      </c>
      <c r="JPY1332" s="4" t="s">
        <v>2876</v>
      </c>
      <c r="JPZ1332" s="4" t="s">
        <v>2876</v>
      </c>
      <c r="JQA1332" s="4" t="s">
        <v>2876</v>
      </c>
      <c r="JQB1332" s="4" t="s">
        <v>2876</v>
      </c>
      <c r="JQC1332" s="4" t="s">
        <v>2876</v>
      </c>
      <c r="JQD1332" s="4" t="s">
        <v>2876</v>
      </c>
      <c r="JQE1332" s="4" t="s">
        <v>2876</v>
      </c>
      <c r="JQF1332" s="4" t="s">
        <v>2876</v>
      </c>
      <c r="JQG1332" s="4" t="s">
        <v>2876</v>
      </c>
      <c r="JQH1332" s="4" t="s">
        <v>2876</v>
      </c>
      <c r="JQI1332" s="4" t="s">
        <v>2876</v>
      </c>
      <c r="JQJ1332" s="4" t="s">
        <v>2876</v>
      </c>
      <c r="JQK1332" s="4" t="s">
        <v>2876</v>
      </c>
      <c r="JQL1332" s="4" t="s">
        <v>2876</v>
      </c>
      <c r="JQM1332" s="4" t="s">
        <v>2876</v>
      </c>
      <c r="JQN1332" s="4" t="s">
        <v>2876</v>
      </c>
      <c r="JQO1332" s="4" t="s">
        <v>2876</v>
      </c>
      <c r="JQP1332" s="4" t="s">
        <v>2876</v>
      </c>
      <c r="JQQ1332" s="4" t="s">
        <v>2876</v>
      </c>
      <c r="JQR1332" s="4" t="s">
        <v>2876</v>
      </c>
      <c r="JQS1332" s="4" t="s">
        <v>2876</v>
      </c>
      <c r="JQT1332" s="4" t="s">
        <v>2876</v>
      </c>
      <c r="JQU1332" s="4" t="s">
        <v>2876</v>
      </c>
      <c r="JQV1332" s="4" t="s">
        <v>2876</v>
      </c>
      <c r="JQW1332" s="4" t="s">
        <v>2876</v>
      </c>
      <c r="JQX1332" s="4" t="s">
        <v>2876</v>
      </c>
      <c r="JQY1332" s="4" t="s">
        <v>2876</v>
      </c>
      <c r="JQZ1332" s="4" t="s">
        <v>2876</v>
      </c>
      <c r="JRA1332" s="4" t="s">
        <v>2876</v>
      </c>
      <c r="JRB1332" s="4" t="s">
        <v>2876</v>
      </c>
      <c r="JRC1332" s="4" t="s">
        <v>2876</v>
      </c>
      <c r="JRD1332" s="4" t="s">
        <v>2876</v>
      </c>
      <c r="JRE1332" s="4" t="s">
        <v>2876</v>
      </c>
      <c r="JRF1332" s="4" t="s">
        <v>2876</v>
      </c>
      <c r="JRG1332" s="4" t="s">
        <v>2876</v>
      </c>
      <c r="JRH1332" s="4" t="s">
        <v>2876</v>
      </c>
      <c r="JRI1332" s="4" t="s">
        <v>2876</v>
      </c>
      <c r="JRJ1332" s="4" t="s">
        <v>2876</v>
      </c>
      <c r="JRK1332" s="4" t="s">
        <v>2876</v>
      </c>
      <c r="JRL1332" s="4" t="s">
        <v>2876</v>
      </c>
      <c r="JRM1332" s="4" t="s">
        <v>2876</v>
      </c>
      <c r="JRN1332" s="4" t="s">
        <v>2876</v>
      </c>
      <c r="JRO1332" s="4" t="s">
        <v>2876</v>
      </c>
      <c r="JRP1332" s="4" t="s">
        <v>2876</v>
      </c>
      <c r="JRQ1332" s="4" t="s">
        <v>2876</v>
      </c>
      <c r="JRR1332" s="4" t="s">
        <v>2876</v>
      </c>
      <c r="JRS1332" s="4" t="s">
        <v>2876</v>
      </c>
      <c r="JRT1332" s="4" t="s">
        <v>2876</v>
      </c>
      <c r="JRU1332" s="4" t="s">
        <v>2876</v>
      </c>
      <c r="JRV1332" s="4" t="s">
        <v>2876</v>
      </c>
      <c r="JRW1332" s="4" t="s">
        <v>2876</v>
      </c>
      <c r="JRX1332" s="4" t="s">
        <v>2876</v>
      </c>
      <c r="JRY1332" s="4" t="s">
        <v>2876</v>
      </c>
      <c r="JRZ1332" s="4" t="s">
        <v>2876</v>
      </c>
      <c r="JSA1332" s="4" t="s">
        <v>2876</v>
      </c>
      <c r="JSB1332" s="4" t="s">
        <v>2876</v>
      </c>
      <c r="JSC1332" s="4" t="s">
        <v>2876</v>
      </c>
      <c r="JSD1332" s="4" t="s">
        <v>2876</v>
      </c>
      <c r="JSE1332" s="4" t="s">
        <v>2876</v>
      </c>
      <c r="JSF1332" s="4" t="s">
        <v>2876</v>
      </c>
      <c r="JSG1332" s="4" t="s">
        <v>2876</v>
      </c>
      <c r="JSH1332" s="4" t="s">
        <v>2876</v>
      </c>
      <c r="JSI1332" s="4" t="s">
        <v>2876</v>
      </c>
      <c r="JSJ1332" s="4" t="s">
        <v>2876</v>
      </c>
      <c r="JSK1332" s="4" t="s">
        <v>2876</v>
      </c>
      <c r="JSL1332" s="4" t="s">
        <v>2876</v>
      </c>
      <c r="JSM1332" s="4" t="s">
        <v>2876</v>
      </c>
      <c r="JSN1332" s="4" t="s">
        <v>2876</v>
      </c>
      <c r="JSO1332" s="4" t="s">
        <v>2876</v>
      </c>
      <c r="JSP1332" s="4" t="s">
        <v>2876</v>
      </c>
      <c r="JSQ1332" s="4" t="s">
        <v>2876</v>
      </c>
      <c r="JSR1332" s="4" t="s">
        <v>2876</v>
      </c>
      <c r="JSS1332" s="4" t="s">
        <v>2876</v>
      </c>
      <c r="JST1332" s="4" t="s">
        <v>2876</v>
      </c>
      <c r="JSU1332" s="4" t="s">
        <v>2876</v>
      </c>
      <c r="JSV1332" s="4" t="s">
        <v>2876</v>
      </c>
      <c r="JSW1332" s="4" t="s">
        <v>2876</v>
      </c>
      <c r="JSX1332" s="4" t="s">
        <v>2876</v>
      </c>
      <c r="JSY1332" s="4" t="s">
        <v>2876</v>
      </c>
      <c r="JSZ1332" s="4" t="s">
        <v>2876</v>
      </c>
      <c r="JTA1332" s="4" t="s">
        <v>2876</v>
      </c>
      <c r="JTB1332" s="4" t="s">
        <v>2876</v>
      </c>
      <c r="JTC1332" s="4" t="s">
        <v>2876</v>
      </c>
      <c r="JTD1332" s="4" t="s">
        <v>2876</v>
      </c>
      <c r="JTE1332" s="4" t="s">
        <v>2876</v>
      </c>
      <c r="JTF1332" s="4" t="s">
        <v>2876</v>
      </c>
      <c r="JTG1332" s="4" t="s">
        <v>2876</v>
      </c>
      <c r="JTH1332" s="4" t="s">
        <v>2876</v>
      </c>
      <c r="JTI1332" s="4" t="s">
        <v>2876</v>
      </c>
      <c r="JTJ1332" s="4" t="s">
        <v>2876</v>
      </c>
      <c r="JTK1332" s="4" t="s">
        <v>2876</v>
      </c>
      <c r="JTL1332" s="4" t="s">
        <v>2876</v>
      </c>
      <c r="JTM1332" s="4" t="s">
        <v>2876</v>
      </c>
      <c r="JTN1332" s="4" t="s">
        <v>2876</v>
      </c>
      <c r="JTO1332" s="4" t="s">
        <v>2876</v>
      </c>
      <c r="JTP1332" s="4" t="s">
        <v>2876</v>
      </c>
      <c r="JTQ1332" s="4" t="s">
        <v>2876</v>
      </c>
      <c r="JTR1332" s="4" t="s">
        <v>2876</v>
      </c>
      <c r="JTS1332" s="4" t="s">
        <v>2876</v>
      </c>
      <c r="JTT1332" s="4" t="s">
        <v>2876</v>
      </c>
      <c r="JTU1332" s="4" t="s">
        <v>2876</v>
      </c>
      <c r="JTV1332" s="4" t="s">
        <v>2876</v>
      </c>
      <c r="JTW1332" s="4" t="s">
        <v>2876</v>
      </c>
      <c r="JTX1332" s="4" t="s">
        <v>2876</v>
      </c>
      <c r="JTY1332" s="4" t="s">
        <v>2876</v>
      </c>
      <c r="JTZ1332" s="4" t="s">
        <v>2876</v>
      </c>
      <c r="JUA1332" s="4" t="s">
        <v>2876</v>
      </c>
      <c r="JUB1332" s="4" t="s">
        <v>2876</v>
      </c>
      <c r="JUC1332" s="4" t="s">
        <v>2876</v>
      </c>
      <c r="JUD1332" s="4" t="s">
        <v>2876</v>
      </c>
      <c r="JUE1332" s="4" t="s">
        <v>2876</v>
      </c>
      <c r="JUF1332" s="4" t="s">
        <v>2876</v>
      </c>
      <c r="JUG1332" s="4" t="s">
        <v>2876</v>
      </c>
      <c r="JUH1332" s="4" t="s">
        <v>2876</v>
      </c>
      <c r="JUI1332" s="4" t="s">
        <v>2876</v>
      </c>
      <c r="JUJ1332" s="4" t="s">
        <v>2876</v>
      </c>
      <c r="JUK1332" s="4" t="s">
        <v>2876</v>
      </c>
      <c r="JUL1332" s="4" t="s">
        <v>2876</v>
      </c>
      <c r="JUM1332" s="4" t="s">
        <v>2876</v>
      </c>
      <c r="JUN1332" s="4" t="s">
        <v>2876</v>
      </c>
      <c r="JUO1332" s="4" t="s">
        <v>2876</v>
      </c>
      <c r="JUP1332" s="4" t="s">
        <v>2876</v>
      </c>
      <c r="JUQ1332" s="4" t="s">
        <v>2876</v>
      </c>
      <c r="JUR1332" s="4" t="s">
        <v>2876</v>
      </c>
      <c r="JUS1332" s="4" t="s">
        <v>2876</v>
      </c>
      <c r="JUT1332" s="4" t="s">
        <v>2876</v>
      </c>
      <c r="JUU1332" s="4" t="s">
        <v>2876</v>
      </c>
      <c r="JUV1332" s="4" t="s">
        <v>2876</v>
      </c>
      <c r="JUW1332" s="4" t="s">
        <v>2876</v>
      </c>
      <c r="JUX1332" s="4" t="s">
        <v>2876</v>
      </c>
      <c r="JUY1332" s="4" t="s">
        <v>2876</v>
      </c>
      <c r="JUZ1332" s="4" t="s">
        <v>2876</v>
      </c>
      <c r="JVA1332" s="4" t="s">
        <v>2876</v>
      </c>
      <c r="JVB1332" s="4" t="s">
        <v>2876</v>
      </c>
      <c r="JVC1332" s="4" t="s">
        <v>2876</v>
      </c>
      <c r="JVD1332" s="4" t="s">
        <v>2876</v>
      </c>
      <c r="JVE1332" s="4" t="s">
        <v>2876</v>
      </c>
      <c r="JVF1332" s="4" t="s">
        <v>2876</v>
      </c>
      <c r="JVG1332" s="4" t="s">
        <v>2876</v>
      </c>
      <c r="JVH1332" s="4" t="s">
        <v>2876</v>
      </c>
      <c r="JVI1332" s="4" t="s">
        <v>2876</v>
      </c>
      <c r="JVJ1332" s="4" t="s">
        <v>2876</v>
      </c>
      <c r="JVK1332" s="4" t="s">
        <v>2876</v>
      </c>
      <c r="JVL1332" s="4" t="s">
        <v>2876</v>
      </c>
      <c r="JVM1332" s="4" t="s">
        <v>2876</v>
      </c>
      <c r="JVN1332" s="4" t="s">
        <v>2876</v>
      </c>
      <c r="JVO1332" s="4" t="s">
        <v>2876</v>
      </c>
      <c r="JVP1332" s="4" t="s">
        <v>2876</v>
      </c>
      <c r="JVQ1332" s="4" t="s">
        <v>2876</v>
      </c>
      <c r="JVR1332" s="4" t="s">
        <v>2876</v>
      </c>
      <c r="JVS1332" s="4" t="s">
        <v>2876</v>
      </c>
      <c r="JVT1332" s="4" t="s">
        <v>2876</v>
      </c>
      <c r="JVU1332" s="4" t="s">
        <v>2876</v>
      </c>
      <c r="JVV1332" s="4" t="s">
        <v>2876</v>
      </c>
      <c r="JVW1332" s="4" t="s">
        <v>2876</v>
      </c>
      <c r="JVX1332" s="4" t="s">
        <v>2876</v>
      </c>
      <c r="JVY1332" s="4" t="s">
        <v>2876</v>
      </c>
      <c r="JVZ1332" s="4" t="s">
        <v>2876</v>
      </c>
      <c r="JWA1332" s="4" t="s">
        <v>2876</v>
      </c>
      <c r="JWB1332" s="4" t="s">
        <v>2876</v>
      </c>
      <c r="JWC1332" s="4" t="s">
        <v>2876</v>
      </c>
      <c r="JWD1332" s="4" t="s">
        <v>2876</v>
      </c>
      <c r="JWE1332" s="4" t="s">
        <v>2876</v>
      </c>
      <c r="JWF1332" s="4" t="s">
        <v>2876</v>
      </c>
      <c r="JWG1332" s="4" t="s">
        <v>2876</v>
      </c>
      <c r="JWH1332" s="4" t="s">
        <v>2876</v>
      </c>
      <c r="JWI1332" s="4" t="s">
        <v>2876</v>
      </c>
      <c r="JWJ1332" s="4" t="s">
        <v>2876</v>
      </c>
      <c r="JWK1332" s="4" t="s">
        <v>2876</v>
      </c>
      <c r="JWL1332" s="4" t="s">
        <v>2876</v>
      </c>
      <c r="JWM1332" s="4" t="s">
        <v>2876</v>
      </c>
      <c r="JWN1332" s="4" t="s">
        <v>2876</v>
      </c>
      <c r="JWO1332" s="4" t="s">
        <v>2876</v>
      </c>
      <c r="JWP1332" s="4" t="s">
        <v>2876</v>
      </c>
      <c r="JWQ1332" s="4" t="s">
        <v>2876</v>
      </c>
      <c r="JWR1332" s="4" t="s">
        <v>2876</v>
      </c>
      <c r="JWS1332" s="4" t="s">
        <v>2876</v>
      </c>
      <c r="JWT1332" s="4" t="s">
        <v>2876</v>
      </c>
      <c r="JWU1332" s="4" t="s">
        <v>2876</v>
      </c>
      <c r="JWV1332" s="4" t="s">
        <v>2876</v>
      </c>
      <c r="JWW1332" s="4" t="s">
        <v>2876</v>
      </c>
      <c r="JWX1332" s="4" t="s">
        <v>2876</v>
      </c>
      <c r="JWY1332" s="4" t="s">
        <v>2876</v>
      </c>
      <c r="JWZ1332" s="4" t="s">
        <v>2876</v>
      </c>
      <c r="JXA1332" s="4" t="s">
        <v>2876</v>
      </c>
      <c r="JXB1332" s="4" t="s">
        <v>2876</v>
      </c>
      <c r="JXC1332" s="4" t="s">
        <v>2876</v>
      </c>
      <c r="JXD1332" s="4" t="s">
        <v>2876</v>
      </c>
      <c r="JXE1332" s="4" t="s">
        <v>2876</v>
      </c>
      <c r="JXF1332" s="4" t="s">
        <v>2876</v>
      </c>
      <c r="JXG1332" s="4" t="s">
        <v>2876</v>
      </c>
      <c r="JXH1332" s="4" t="s">
        <v>2876</v>
      </c>
      <c r="JXI1332" s="4" t="s">
        <v>2876</v>
      </c>
      <c r="JXJ1332" s="4" t="s">
        <v>2876</v>
      </c>
      <c r="JXK1332" s="4" t="s">
        <v>2876</v>
      </c>
      <c r="JXL1332" s="4" t="s">
        <v>2876</v>
      </c>
      <c r="JXM1332" s="4" t="s">
        <v>2876</v>
      </c>
      <c r="JXN1332" s="4" t="s">
        <v>2876</v>
      </c>
      <c r="JXO1332" s="4" t="s">
        <v>2876</v>
      </c>
      <c r="JXP1332" s="4" t="s">
        <v>2876</v>
      </c>
      <c r="JXQ1332" s="4" t="s">
        <v>2876</v>
      </c>
      <c r="JXR1332" s="4" t="s">
        <v>2876</v>
      </c>
      <c r="JXS1332" s="4" t="s">
        <v>2876</v>
      </c>
      <c r="JXT1332" s="4" t="s">
        <v>2876</v>
      </c>
      <c r="JXU1332" s="4" t="s">
        <v>2876</v>
      </c>
      <c r="JXV1332" s="4" t="s">
        <v>2876</v>
      </c>
      <c r="JXW1332" s="4" t="s">
        <v>2876</v>
      </c>
      <c r="JXX1332" s="4" t="s">
        <v>2876</v>
      </c>
      <c r="JXY1332" s="4" t="s">
        <v>2876</v>
      </c>
      <c r="JXZ1332" s="4" t="s">
        <v>2876</v>
      </c>
      <c r="JYA1332" s="4" t="s">
        <v>2876</v>
      </c>
      <c r="JYB1332" s="4" t="s">
        <v>2876</v>
      </c>
      <c r="JYC1332" s="4" t="s">
        <v>2876</v>
      </c>
      <c r="JYD1332" s="4" t="s">
        <v>2876</v>
      </c>
      <c r="JYE1332" s="4" t="s">
        <v>2876</v>
      </c>
      <c r="JYF1332" s="4" t="s">
        <v>2876</v>
      </c>
      <c r="JYG1332" s="4" t="s">
        <v>2876</v>
      </c>
      <c r="JYH1332" s="4" t="s">
        <v>2876</v>
      </c>
      <c r="JYI1332" s="4" t="s">
        <v>2876</v>
      </c>
      <c r="JYJ1332" s="4" t="s">
        <v>2876</v>
      </c>
      <c r="JYK1332" s="4" t="s">
        <v>2876</v>
      </c>
      <c r="JYL1332" s="4" t="s">
        <v>2876</v>
      </c>
      <c r="JYM1332" s="4" t="s">
        <v>2876</v>
      </c>
      <c r="JYN1332" s="4" t="s">
        <v>2876</v>
      </c>
      <c r="JYO1332" s="4" t="s">
        <v>2876</v>
      </c>
      <c r="JYP1332" s="4" t="s">
        <v>2876</v>
      </c>
      <c r="JYQ1332" s="4" t="s">
        <v>2876</v>
      </c>
      <c r="JYR1332" s="4" t="s">
        <v>2876</v>
      </c>
      <c r="JYS1332" s="4" t="s">
        <v>2876</v>
      </c>
      <c r="JYT1332" s="4" t="s">
        <v>2876</v>
      </c>
      <c r="JYU1332" s="4" t="s">
        <v>2876</v>
      </c>
      <c r="JYV1332" s="4" t="s">
        <v>2876</v>
      </c>
      <c r="JYW1332" s="4" t="s">
        <v>2876</v>
      </c>
      <c r="JYX1332" s="4" t="s">
        <v>2876</v>
      </c>
      <c r="JYY1332" s="4" t="s">
        <v>2876</v>
      </c>
      <c r="JYZ1332" s="4" t="s">
        <v>2876</v>
      </c>
      <c r="JZA1332" s="4" t="s">
        <v>2876</v>
      </c>
      <c r="JZB1332" s="4" t="s">
        <v>2876</v>
      </c>
      <c r="JZC1332" s="4" t="s">
        <v>2876</v>
      </c>
      <c r="JZD1332" s="4" t="s">
        <v>2876</v>
      </c>
      <c r="JZE1332" s="4" t="s">
        <v>2876</v>
      </c>
      <c r="JZF1332" s="4" t="s">
        <v>2876</v>
      </c>
      <c r="JZG1332" s="4" t="s">
        <v>2876</v>
      </c>
      <c r="JZH1332" s="4" t="s">
        <v>2876</v>
      </c>
      <c r="JZI1332" s="4" t="s">
        <v>2876</v>
      </c>
      <c r="JZJ1332" s="4" t="s">
        <v>2876</v>
      </c>
      <c r="JZK1332" s="4" t="s">
        <v>2876</v>
      </c>
      <c r="JZL1332" s="4" t="s">
        <v>2876</v>
      </c>
      <c r="JZM1332" s="4" t="s">
        <v>2876</v>
      </c>
      <c r="JZN1332" s="4" t="s">
        <v>2876</v>
      </c>
      <c r="JZO1332" s="4" t="s">
        <v>2876</v>
      </c>
      <c r="JZP1332" s="4" t="s">
        <v>2876</v>
      </c>
      <c r="JZQ1332" s="4" t="s">
        <v>2876</v>
      </c>
      <c r="JZR1332" s="4" t="s">
        <v>2876</v>
      </c>
      <c r="JZS1332" s="4" t="s">
        <v>2876</v>
      </c>
      <c r="JZT1332" s="4" t="s">
        <v>2876</v>
      </c>
      <c r="JZU1332" s="4" t="s">
        <v>2876</v>
      </c>
      <c r="JZV1332" s="4" t="s">
        <v>2876</v>
      </c>
      <c r="JZW1332" s="4" t="s">
        <v>2876</v>
      </c>
      <c r="JZX1332" s="4" t="s">
        <v>2876</v>
      </c>
      <c r="JZY1332" s="4" t="s">
        <v>2876</v>
      </c>
      <c r="JZZ1332" s="4" t="s">
        <v>2876</v>
      </c>
      <c r="KAA1332" s="4" t="s">
        <v>2876</v>
      </c>
      <c r="KAB1332" s="4" t="s">
        <v>2876</v>
      </c>
      <c r="KAC1332" s="4" t="s">
        <v>2876</v>
      </c>
      <c r="KAD1332" s="4" t="s">
        <v>2876</v>
      </c>
      <c r="KAE1332" s="4" t="s">
        <v>2876</v>
      </c>
      <c r="KAF1332" s="4" t="s">
        <v>2876</v>
      </c>
      <c r="KAG1332" s="4" t="s">
        <v>2876</v>
      </c>
      <c r="KAH1332" s="4" t="s">
        <v>2876</v>
      </c>
      <c r="KAI1332" s="4" t="s">
        <v>2876</v>
      </c>
      <c r="KAJ1332" s="4" t="s">
        <v>2876</v>
      </c>
      <c r="KAK1332" s="4" t="s">
        <v>2876</v>
      </c>
      <c r="KAL1332" s="4" t="s">
        <v>2876</v>
      </c>
      <c r="KAM1332" s="4" t="s">
        <v>2876</v>
      </c>
      <c r="KAN1332" s="4" t="s">
        <v>2876</v>
      </c>
      <c r="KAO1332" s="4" t="s">
        <v>2876</v>
      </c>
      <c r="KAP1332" s="4" t="s">
        <v>2876</v>
      </c>
      <c r="KAQ1332" s="4" t="s">
        <v>2876</v>
      </c>
      <c r="KAR1332" s="4" t="s">
        <v>2876</v>
      </c>
      <c r="KAS1332" s="4" t="s">
        <v>2876</v>
      </c>
      <c r="KAT1332" s="4" t="s">
        <v>2876</v>
      </c>
      <c r="KAU1332" s="4" t="s">
        <v>2876</v>
      </c>
      <c r="KAV1332" s="4" t="s">
        <v>2876</v>
      </c>
      <c r="KAW1332" s="4" t="s">
        <v>2876</v>
      </c>
      <c r="KAX1332" s="4" t="s">
        <v>2876</v>
      </c>
      <c r="KAY1332" s="4" t="s">
        <v>2876</v>
      </c>
      <c r="KAZ1332" s="4" t="s">
        <v>2876</v>
      </c>
      <c r="KBA1332" s="4" t="s">
        <v>2876</v>
      </c>
      <c r="KBB1332" s="4" t="s">
        <v>2876</v>
      </c>
      <c r="KBC1332" s="4" t="s">
        <v>2876</v>
      </c>
      <c r="KBD1332" s="4" t="s">
        <v>2876</v>
      </c>
      <c r="KBE1332" s="4" t="s">
        <v>2876</v>
      </c>
      <c r="KBF1332" s="4" t="s">
        <v>2876</v>
      </c>
      <c r="KBG1332" s="4" t="s">
        <v>2876</v>
      </c>
      <c r="KBH1332" s="4" t="s">
        <v>2876</v>
      </c>
      <c r="KBI1332" s="4" t="s">
        <v>2876</v>
      </c>
      <c r="KBJ1332" s="4" t="s">
        <v>2876</v>
      </c>
      <c r="KBK1332" s="4" t="s">
        <v>2876</v>
      </c>
      <c r="KBL1332" s="4" t="s">
        <v>2876</v>
      </c>
      <c r="KBM1332" s="4" t="s">
        <v>2876</v>
      </c>
      <c r="KBN1332" s="4" t="s">
        <v>2876</v>
      </c>
      <c r="KBO1332" s="4" t="s">
        <v>2876</v>
      </c>
      <c r="KBP1332" s="4" t="s">
        <v>2876</v>
      </c>
      <c r="KBQ1332" s="4" t="s">
        <v>2876</v>
      </c>
      <c r="KBR1332" s="4" t="s">
        <v>2876</v>
      </c>
      <c r="KBS1332" s="4" t="s">
        <v>2876</v>
      </c>
      <c r="KBT1332" s="4" t="s">
        <v>2876</v>
      </c>
      <c r="KBU1332" s="4" t="s">
        <v>2876</v>
      </c>
      <c r="KBV1332" s="4" t="s">
        <v>2876</v>
      </c>
      <c r="KBW1332" s="4" t="s">
        <v>2876</v>
      </c>
      <c r="KBX1332" s="4" t="s">
        <v>2876</v>
      </c>
      <c r="KBY1332" s="4" t="s">
        <v>2876</v>
      </c>
      <c r="KBZ1332" s="4" t="s">
        <v>2876</v>
      </c>
      <c r="KCA1332" s="4" t="s">
        <v>2876</v>
      </c>
      <c r="KCB1332" s="4" t="s">
        <v>2876</v>
      </c>
      <c r="KCC1332" s="4" t="s">
        <v>2876</v>
      </c>
      <c r="KCD1332" s="4" t="s">
        <v>2876</v>
      </c>
      <c r="KCE1332" s="4" t="s">
        <v>2876</v>
      </c>
      <c r="KCF1332" s="4" t="s">
        <v>2876</v>
      </c>
      <c r="KCG1332" s="4" t="s">
        <v>2876</v>
      </c>
      <c r="KCH1332" s="4" t="s">
        <v>2876</v>
      </c>
      <c r="KCI1332" s="4" t="s">
        <v>2876</v>
      </c>
      <c r="KCJ1332" s="4" t="s">
        <v>2876</v>
      </c>
      <c r="KCK1332" s="4" t="s">
        <v>2876</v>
      </c>
      <c r="KCL1332" s="4" t="s">
        <v>2876</v>
      </c>
      <c r="KCM1332" s="4" t="s">
        <v>2876</v>
      </c>
      <c r="KCN1332" s="4" t="s">
        <v>2876</v>
      </c>
      <c r="KCO1332" s="4" t="s">
        <v>2876</v>
      </c>
      <c r="KCP1332" s="4" t="s">
        <v>2876</v>
      </c>
      <c r="KCQ1332" s="4" t="s">
        <v>2876</v>
      </c>
      <c r="KCR1332" s="4" t="s">
        <v>2876</v>
      </c>
      <c r="KCS1332" s="4" t="s">
        <v>2876</v>
      </c>
      <c r="KCT1332" s="4" t="s">
        <v>2876</v>
      </c>
      <c r="KCU1332" s="4" t="s">
        <v>2876</v>
      </c>
      <c r="KCV1332" s="4" t="s">
        <v>2876</v>
      </c>
      <c r="KCW1332" s="4" t="s">
        <v>2876</v>
      </c>
      <c r="KCX1332" s="4" t="s">
        <v>2876</v>
      </c>
      <c r="KCY1332" s="4" t="s">
        <v>2876</v>
      </c>
      <c r="KCZ1332" s="4" t="s">
        <v>2876</v>
      </c>
      <c r="KDA1332" s="4" t="s">
        <v>2876</v>
      </c>
      <c r="KDB1332" s="4" t="s">
        <v>2876</v>
      </c>
      <c r="KDC1332" s="4" t="s">
        <v>2876</v>
      </c>
      <c r="KDD1332" s="4" t="s">
        <v>2876</v>
      </c>
      <c r="KDE1332" s="4" t="s">
        <v>2876</v>
      </c>
      <c r="KDF1332" s="4" t="s">
        <v>2876</v>
      </c>
      <c r="KDG1332" s="4" t="s">
        <v>2876</v>
      </c>
      <c r="KDH1332" s="4" t="s">
        <v>2876</v>
      </c>
      <c r="KDI1332" s="4" t="s">
        <v>2876</v>
      </c>
      <c r="KDJ1332" s="4" t="s">
        <v>2876</v>
      </c>
      <c r="KDK1332" s="4" t="s">
        <v>2876</v>
      </c>
      <c r="KDL1332" s="4" t="s">
        <v>2876</v>
      </c>
      <c r="KDM1332" s="4" t="s">
        <v>2876</v>
      </c>
      <c r="KDN1332" s="4" t="s">
        <v>2876</v>
      </c>
      <c r="KDO1332" s="4" t="s">
        <v>2876</v>
      </c>
      <c r="KDP1332" s="4" t="s">
        <v>2876</v>
      </c>
      <c r="KDQ1332" s="4" t="s">
        <v>2876</v>
      </c>
      <c r="KDR1332" s="4" t="s">
        <v>2876</v>
      </c>
      <c r="KDS1332" s="4" t="s">
        <v>2876</v>
      </c>
      <c r="KDT1332" s="4" t="s">
        <v>2876</v>
      </c>
      <c r="KDU1332" s="4" t="s">
        <v>2876</v>
      </c>
      <c r="KDV1332" s="4" t="s">
        <v>2876</v>
      </c>
      <c r="KDW1332" s="4" t="s">
        <v>2876</v>
      </c>
      <c r="KDX1332" s="4" t="s">
        <v>2876</v>
      </c>
      <c r="KDY1332" s="4" t="s">
        <v>2876</v>
      </c>
      <c r="KDZ1332" s="4" t="s">
        <v>2876</v>
      </c>
      <c r="KEA1332" s="4" t="s">
        <v>2876</v>
      </c>
      <c r="KEB1332" s="4" t="s">
        <v>2876</v>
      </c>
      <c r="KEC1332" s="4" t="s">
        <v>2876</v>
      </c>
      <c r="KED1332" s="4" t="s">
        <v>2876</v>
      </c>
      <c r="KEE1332" s="4" t="s">
        <v>2876</v>
      </c>
      <c r="KEF1332" s="4" t="s">
        <v>2876</v>
      </c>
      <c r="KEG1332" s="4" t="s">
        <v>2876</v>
      </c>
      <c r="KEH1332" s="4" t="s">
        <v>2876</v>
      </c>
      <c r="KEI1332" s="4" t="s">
        <v>2876</v>
      </c>
      <c r="KEJ1332" s="4" t="s">
        <v>2876</v>
      </c>
      <c r="KEK1332" s="4" t="s">
        <v>2876</v>
      </c>
      <c r="KEL1332" s="4" t="s">
        <v>2876</v>
      </c>
      <c r="KEM1332" s="4" t="s">
        <v>2876</v>
      </c>
      <c r="KEN1332" s="4" t="s">
        <v>2876</v>
      </c>
      <c r="KEO1332" s="4" t="s">
        <v>2876</v>
      </c>
      <c r="KEP1332" s="4" t="s">
        <v>2876</v>
      </c>
      <c r="KEQ1332" s="4" t="s">
        <v>2876</v>
      </c>
      <c r="KER1332" s="4" t="s">
        <v>2876</v>
      </c>
      <c r="KES1332" s="4" t="s">
        <v>2876</v>
      </c>
      <c r="KET1332" s="4" t="s">
        <v>2876</v>
      </c>
      <c r="KEU1332" s="4" t="s">
        <v>2876</v>
      </c>
      <c r="KEV1332" s="4" t="s">
        <v>2876</v>
      </c>
      <c r="KEW1332" s="4" t="s">
        <v>2876</v>
      </c>
      <c r="KEX1332" s="4" t="s">
        <v>2876</v>
      </c>
      <c r="KEY1332" s="4" t="s">
        <v>2876</v>
      </c>
      <c r="KEZ1332" s="4" t="s">
        <v>2876</v>
      </c>
      <c r="KFA1332" s="4" t="s">
        <v>2876</v>
      </c>
      <c r="KFB1332" s="4" t="s">
        <v>2876</v>
      </c>
      <c r="KFC1332" s="4" t="s">
        <v>2876</v>
      </c>
      <c r="KFD1332" s="4" t="s">
        <v>2876</v>
      </c>
      <c r="KFE1332" s="4" t="s">
        <v>2876</v>
      </c>
      <c r="KFF1332" s="4" t="s">
        <v>2876</v>
      </c>
      <c r="KFG1332" s="4" t="s">
        <v>2876</v>
      </c>
      <c r="KFH1332" s="4" t="s">
        <v>2876</v>
      </c>
      <c r="KFI1332" s="4" t="s">
        <v>2876</v>
      </c>
      <c r="KFJ1332" s="4" t="s">
        <v>2876</v>
      </c>
      <c r="KFK1332" s="4" t="s">
        <v>2876</v>
      </c>
      <c r="KFL1332" s="4" t="s">
        <v>2876</v>
      </c>
      <c r="KFM1332" s="4" t="s">
        <v>2876</v>
      </c>
      <c r="KFN1332" s="4" t="s">
        <v>2876</v>
      </c>
      <c r="KFO1332" s="4" t="s">
        <v>2876</v>
      </c>
      <c r="KFP1332" s="4" t="s">
        <v>2876</v>
      </c>
      <c r="KFQ1332" s="4" t="s">
        <v>2876</v>
      </c>
      <c r="KFR1332" s="4" t="s">
        <v>2876</v>
      </c>
      <c r="KFS1332" s="4" t="s">
        <v>2876</v>
      </c>
      <c r="KFT1332" s="4" t="s">
        <v>2876</v>
      </c>
      <c r="KFU1332" s="4" t="s">
        <v>2876</v>
      </c>
      <c r="KFV1332" s="4" t="s">
        <v>2876</v>
      </c>
      <c r="KFW1332" s="4" t="s">
        <v>2876</v>
      </c>
      <c r="KFX1332" s="4" t="s">
        <v>2876</v>
      </c>
      <c r="KFY1332" s="4" t="s">
        <v>2876</v>
      </c>
      <c r="KFZ1332" s="4" t="s">
        <v>2876</v>
      </c>
      <c r="KGA1332" s="4" t="s">
        <v>2876</v>
      </c>
      <c r="KGB1332" s="4" t="s">
        <v>2876</v>
      </c>
      <c r="KGC1332" s="4" t="s">
        <v>2876</v>
      </c>
      <c r="KGD1332" s="4" t="s">
        <v>2876</v>
      </c>
      <c r="KGE1332" s="4" t="s">
        <v>2876</v>
      </c>
      <c r="KGF1332" s="4" t="s">
        <v>2876</v>
      </c>
      <c r="KGG1332" s="4" t="s">
        <v>2876</v>
      </c>
      <c r="KGH1332" s="4" t="s">
        <v>2876</v>
      </c>
      <c r="KGI1332" s="4" t="s">
        <v>2876</v>
      </c>
      <c r="KGJ1332" s="4" t="s">
        <v>2876</v>
      </c>
      <c r="KGK1332" s="4" t="s">
        <v>2876</v>
      </c>
      <c r="KGL1332" s="4" t="s">
        <v>2876</v>
      </c>
      <c r="KGM1332" s="4" t="s">
        <v>2876</v>
      </c>
      <c r="KGN1332" s="4" t="s">
        <v>2876</v>
      </c>
      <c r="KGO1332" s="4" t="s">
        <v>2876</v>
      </c>
      <c r="KGP1332" s="4" t="s">
        <v>2876</v>
      </c>
      <c r="KGQ1332" s="4" t="s">
        <v>2876</v>
      </c>
      <c r="KGR1332" s="4" t="s">
        <v>2876</v>
      </c>
      <c r="KGS1332" s="4" t="s">
        <v>2876</v>
      </c>
      <c r="KGT1332" s="4" t="s">
        <v>2876</v>
      </c>
      <c r="KGU1332" s="4" t="s">
        <v>2876</v>
      </c>
      <c r="KGV1332" s="4" t="s">
        <v>2876</v>
      </c>
      <c r="KGW1332" s="4" t="s">
        <v>2876</v>
      </c>
      <c r="KGX1332" s="4" t="s">
        <v>2876</v>
      </c>
      <c r="KGY1332" s="4" t="s">
        <v>2876</v>
      </c>
      <c r="KGZ1332" s="4" t="s">
        <v>2876</v>
      </c>
      <c r="KHA1332" s="4" t="s">
        <v>2876</v>
      </c>
      <c r="KHB1332" s="4" t="s">
        <v>2876</v>
      </c>
      <c r="KHC1332" s="4" t="s">
        <v>2876</v>
      </c>
      <c r="KHD1332" s="4" t="s">
        <v>2876</v>
      </c>
      <c r="KHE1332" s="4" t="s">
        <v>2876</v>
      </c>
      <c r="KHF1332" s="4" t="s">
        <v>2876</v>
      </c>
      <c r="KHG1332" s="4" t="s">
        <v>2876</v>
      </c>
      <c r="KHH1332" s="4" t="s">
        <v>2876</v>
      </c>
      <c r="KHI1332" s="4" t="s">
        <v>2876</v>
      </c>
      <c r="KHJ1332" s="4" t="s">
        <v>2876</v>
      </c>
      <c r="KHK1332" s="4" t="s">
        <v>2876</v>
      </c>
      <c r="KHL1332" s="4" t="s">
        <v>2876</v>
      </c>
      <c r="KHM1332" s="4" t="s">
        <v>2876</v>
      </c>
      <c r="KHN1332" s="4" t="s">
        <v>2876</v>
      </c>
      <c r="KHO1332" s="4" t="s">
        <v>2876</v>
      </c>
      <c r="KHP1332" s="4" t="s">
        <v>2876</v>
      </c>
      <c r="KHQ1332" s="4" t="s">
        <v>2876</v>
      </c>
      <c r="KHR1332" s="4" t="s">
        <v>2876</v>
      </c>
      <c r="KHS1332" s="4" t="s">
        <v>2876</v>
      </c>
      <c r="KHT1332" s="4" t="s">
        <v>2876</v>
      </c>
      <c r="KHU1332" s="4" t="s">
        <v>2876</v>
      </c>
      <c r="KHV1332" s="4" t="s">
        <v>2876</v>
      </c>
      <c r="KHW1332" s="4" t="s">
        <v>2876</v>
      </c>
      <c r="KHX1332" s="4" t="s">
        <v>2876</v>
      </c>
      <c r="KHY1332" s="4" t="s">
        <v>2876</v>
      </c>
      <c r="KHZ1332" s="4" t="s">
        <v>2876</v>
      </c>
      <c r="KIA1332" s="4" t="s">
        <v>2876</v>
      </c>
      <c r="KIB1332" s="4" t="s">
        <v>2876</v>
      </c>
      <c r="KIC1332" s="4" t="s">
        <v>2876</v>
      </c>
      <c r="KID1332" s="4" t="s">
        <v>2876</v>
      </c>
      <c r="KIE1332" s="4" t="s">
        <v>2876</v>
      </c>
      <c r="KIF1332" s="4" t="s">
        <v>2876</v>
      </c>
      <c r="KIG1332" s="4" t="s">
        <v>2876</v>
      </c>
      <c r="KIH1332" s="4" t="s">
        <v>2876</v>
      </c>
      <c r="KII1332" s="4" t="s">
        <v>2876</v>
      </c>
      <c r="KIJ1332" s="4" t="s">
        <v>2876</v>
      </c>
      <c r="KIK1332" s="4" t="s">
        <v>2876</v>
      </c>
      <c r="KIL1332" s="4" t="s">
        <v>2876</v>
      </c>
      <c r="KIM1332" s="4" t="s">
        <v>2876</v>
      </c>
      <c r="KIN1332" s="4" t="s">
        <v>2876</v>
      </c>
      <c r="KIO1332" s="4" t="s">
        <v>2876</v>
      </c>
      <c r="KIP1332" s="4" t="s">
        <v>2876</v>
      </c>
      <c r="KIQ1332" s="4" t="s">
        <v>2876</v>
      </c>
      <c r="KIR1332" s="4" t="s">
        <v>2876</v>
      </c>
      <c r="KIS1332" s="4" t="s">
        <v>2876</v>
      </c>
      <c r="KIT1332" s="4" t="s">
        <v>2876</v>
      </c>
      <c r="KIU1332" s="4" t="s">
        <v>2876</v>
      </c>
      <c r="KIV1332" s="4" t="s">
        <v>2876</v>
      </c>
      <c r="KIW1332" s="4" t="s">
        <v>2876</v>
      </c>
      <c r="KIX1332" s="4" t="s">
        <v>2876</v>
      </c>
      <c r="KIY1332" s="4" t="s">
        <v>2876</v>
      </c>
      <c r="KIZ1332" s="4" t="s">
        <v>2876</v>
      </c>
      <c r="KJA1332" s="4" t="s">
        <v>2876</v>
      </c>
      <c r="KJB1332" s="4" t="s">
        <v>2876</v>
      </c>
      <c r="KJC1332" s="4" t="s">
        <v>2876</v>
      </c>
      <c r="KJD1332" s="4" t="s">
        <v>2876</v>
      </c>
      <c r="KJE1332" s="4" t="s">
        <v>2876</v>
      </c>
      <c r="KJF1332" s="4" t="s">
        <v>2876</v>
      </c>
      <c r="KJG1332" s="4" t="s">
        <v>2876</v>
      </c>
      <c r="KJH1332" s="4" t="s">
        <v>2876</v>
      </c>
      <c r="KJI1332" s="4" t="s">
        <v>2876</v>
      </c>
      <c r="KJJ1332" s="4" t="s">
        <v>2876</v>
      </c>
      <c r="KJK1332" s="4" t="s">
        <v>2876</v>
      </c>
      <c r="KJL1332" s="4" t="s">
        <v>2876</v>
      </c>
      <c r="KJM1332" s="4" t="s">
        <v>2876</v>
      </c>
      <c r="KJN1332" s="4" t="s">
        <v>2876</v>
      </c>
      <c r="KJO1332" s="4" t="s">
        <v>2876</v>
      </c>
      <c r="KJP1332" s="4" t="s">
        <v>2876</v>
      </c>
      <c r="KJQ1332" s="4" t="s">
        <v>2876</v>
      </c>
      <c r="KJR1332" s="4" t="s">
        <v>2876</v>
      </c>
      <c r="KJS1332" s="4" t="s">
        <v>2876</v>
      </c>
      <c r="KJT1332" s="4" t="s">
        <v>2876</v>
      </c>
      <c r="KJU1332" s="4" t="s">
        <v>2876</v>
      </c>
      <c r="KJV1332" s="4" t="s">
        <v>2876</v>
      </c>
      <c r="KJW1332" s="4" t="s">
        <v>2876</v>
      </c>
      <c r="KJX1332" s="4" t="s">
        <v>2876</v>
      </c>
      <c r="KJY1332" s="4" t="s">
        <v>2876</v>
      </c>
      <c r="KJZ1332" s="4" t="s">
        <v>2876</v>
      </c>
      <c r="KKA1332" s="4" t="s">
        <v>2876</v>
      </c>
      <c r="KKB1332" s="4" t="s">
        <v>2876</v>
      </c>
      <c r="KKC1332" s="4" t="s">
        <v>2876</v>
      </c>
      <c r="KKD1332" s="4" t="s">
        <v>2876</v>
      </c>
      <c r="KKE1332" s="4" t="s">
        <v>2876</v>
      </c>
      <c r="KKF1332" s="4" t="s">
        <v>2876</v>
      </c>
      <c r="KKG1332" s="4" t="s">
        <v>2876</v>
      </c>
      <c r="KKH1332" s="4" t="s">
        <v>2876</v>
      </c>
      <c r="KKI1332" s="4" t="s">
        <v>2876</v>
      </c>
      <c r="KKJ1332" s="4" t="s">
        <v>2876</v>
      </c>
      <c r="KKK1332" s="4" t="s">
        <v>2876</v>
      </c>
      <c r="KKL1332" s="4" t="s">
        <v>2876</v>
      </c>
      <c r="KKM1332" s="4" t="s">
        <v>2876</v>
      </c>
      <c r="KKN1332" s="4" t="s">
        <v>2876</v>
      </c>
      <c r="KKO1332" s="4" t="s">
        <v>2876</v>
      </c>
      <c r="KKP1332" s="4" t="s">
        <v>2876</v>
      </c>
      <c r="KKQ1332" s="4" t="s">
        <v>2876</v>
      </c>
      <c r="KKR1332" s="4" t="s">
        <v>2876</v>
      </c>
      <c r="KKS1332" s="4" t="s">
        <v>2876</v>
      </c>
      <c r="KKT1332" s="4" t="s">
        <v>2876</v>
      </c>
      <c r="KKU1332" s="4" t="s">
        <v>2876</v>
      </c>
      <c r="KKV1332" s="4" t="s">
        <v>2876</v>
      </c>
      <c r="KKW1332" s="4" t="s">
        <v>2876</v>
      </c>
      <c r="KKX1332" s="4" t="s">
        <v>2876</v>
      </c>
      <c r="KKY1332" s="4" t="s">
        <v>2876</v>
      </c>
      <c r="KKZ1332" s="4" t="s">
        <v>2876</v>
      </c>
      <c r="KLA1332" s="4" t="s">
        <v>2876</v>
      </c>
      <c r="KLB1332" s="4" t="s">
        <v>2876</v>
      </c>
      <c r="KLC1332" s="4" t="s">
        <v>2876</v>
      </c>
      <c r="KLD1332" s="4" t="s">
        <v>2876</v>
      </c>
      <c r="KLE1332" s="4" t="s">
        <v>2876</v>
      </c>
      <c r="KLF1332" s="4" t="s">
        <v>2876</v>
      </c>
      <c r="KLG1332" s="4" t="s">
        <v>2876</v>
      </c>
      <c r="KLH1332" s="4" t="s">
        <v>2876</v>
      </c>
      <c r="KLI1332" s="4" t="s">
        <v>2876</v>
      </c>
      <c r="KLJ1332" s="4" t="s">
        <v>2876</v>
      </c>
      <c r="KLK1332" s="4" t="s">
        <v>2876</v>
      </c>
      <c r="KLL1332" s="4" t="s">
        <v>2876</v>
      </c>
      <c r="KLM1332" s="4" t="s">
        <v>2876</v>
      </c>
      <c r="KLN1332" s="4" t="s">
        <v>2876</v>
      </c>
      <c r="KLO1332" s="4" t="s">
        <v>2876</v>
      </c>
      <c r="KLP1332" s="4" t="s">
        <v>2876</v>
      </c>
      <c r="KLQ1332" s="4" t="s">
        <v>2876</v>
      </c>
      <c r="KLR1332" s="4" t="s">
        <v>2876</v>
      </c>
      <c r="KLS1332" s="4" t="s">
        <v>2876</v>
      </c>
      <c r="KLT1332" s="4" t="s">
        <v>2876</v>
      </c>
      <c r="KLU1332" s="4" t="s">
        <v>2876</v>
      </c>
      <c r="KLV1332" s="4" t="s">
        <v>2876</v>
      </c>
      <c r="KLW1332" s="4" t="s">
        <v>2876</v>
      </c>
      <c r="KLX1332" s="4" t="s">
        <v>2876</v>
      </c>
      <c r="KLY1332" s="4" t="s">
        <v>2876</v>
      </c>
      <c r="KLZ1332" s="4" t="s">
        <v>2876</v>
      </c>
      <c r="KMA1332" s="4" t="s">
        <v>2876</v>
      </c>
      <c r="KMB1332" s="4" t="s">
        <v>2876</v>
      </c>
      <c r="KMC1332" s="4" t="s">
        <v>2876</v>
      </c>
      <c r="KMD1332" s="4" t="s">
        <v>2876</v>
      </c>
      <c r="KME1332" s="4" t="s">
        <v>2876</v>
      </c>
      <c r="KMF1332" s="4" t="s">
        <v>2876</v>
      </c>
      <c r="KMG1332" s="4" t="s">
        <v>2876</v>
      </c>
      <c r="KMH1332" s="4" t="s">
        <v>2876</v>
      </c>
      <c r="KMI1332" s="4" t="s">
        <v>2876</v>
      </c>
      <c r="KMJ1332" s="4" t="s">
        <v>2876</v>
      </c>
      <c r="KMK1332" s="4" t="s">
        <v>2876</v>
      </c>
      <c r="KML1332" s="4" t="s">
        <v>2876</v>
      </c>
      <c r="KMM1332" s="4" t="s">
        <v>2876</v>
      </c>
      <c r="KMN1332" s="4" t="s">
        <v>2876</v>
      </c>
      <c r="KMO1332" s="4" t="s">
        <v>2876</v>
      </c>
      <c r="KMP1332" s="4" t="s">
        <v>2876</v>
      </c>
      <c r="KMQ1332" s="4" t="s">
        <v>2876</v>
      </c>
      <c r="KMR1332" s="4" t="s">
        <v>2876</v>
      </c>
      <c r="KMS1332" s="4" t="s">
        <v>2876</v>
      </c>
      <c r="KMT1332" s="4" t="s">
        <v>2876</v>
      </c>
      <c r="KMU1332" s="4" t="s">
        <v>2876</v>
      </c>
      <c r="KMV1332" s="4" t="s">
        <v>2876</v>
      </c>
      <c r="KMW1332" s="4" t="s">
        <v>2876</v>
      </c>
      <c r="KMX1332" s="4" t="s">
        <v>2876</v>
      </c>
      <c r="KMY1332" s="4" t="s">
        <v>2876</v>
      </c>
      <c r="KMZ1332" s="4" t="s">
        <v>2876</v>
      </c>
      <c r="KNA1332" s="4" t="s">
        <v>2876</v>
      </c>
      <c r="KNB1332" s="4" t="s">
        <v>2876</v>
      </c>
      <c r="KNC1332" s="4" t="s">
        <v>2876</v>
      </c>
      <c r="KND1332" s="4" t="s">
        <v>2876</v>
      </c>
      <c r="KNE1332" s="4" t="s">
        <v>2876</v>
      </c>
      <c r="KNF1332" s="4" t="s">
        <v>2876</v>
      </c>
      <c r="KNG1332" s="4" t="s">
        <v>2876</v>
      </c>
      <c r="KNH1332" s="4" t="s">
        <v>2876</v>
      </c>
      <c r="KNI1332" s="4" t="s">
        <v>2876</v>
      </c>
      <c r="KNJ1332" s="4" t="s">
        <v>2876</v>
      </c>
      <c r="KNK1332" s="4" t="s">
        <v>2876</v>
      </c>
      <c r="KNL1332" s="4" t="s">
        <v>2876</v>
      </c>
      <c r="KNM1332" s="4" t="s">
        <v>2876</v>
      </c>
      <c r="KNN1332" s="4" t="s">
        <v>2876</v>
      </c>
      <c r="KNO1332" s="4" t="s">
        <v>2876</v>
      </c>
      <c r="KNP1332" s="4" t="s">
        <v>2876</v>
      </c>
      <c r="KNQ1332" s="4" t="s">
        <v>2876</v>
      </c>
      <c r="KNR1332" s="4" t="s">
        <v>2876</v>
      </c>
      <c r="KNS1332" s="4" t="s">
        <v>2876</v>
      </c>
      <c r="KNT1332" s="4" t="s">
        <v>2876</v>
      </c>
      <c r="KNU1332" s="4" t="s">
        <v>2876</v>
      </c>
      <c r="KNV1332" s="4" t="s">
        <v>2876</v>
      </c>
      <c r="KNW1332" s="4" t="s">
        <v>2876</v>
      </c>
      <c r="KNX1332" s="4" t="s">
        <v>2876</v>
      </c>
      <c r="KNY1332" s="4" t="s">
        <v>2876</v>
      </c>
      <c r="KNZ1332" s="4" t="s">
        <v>2876</v>
      </c>
      <c r="KOA1332" s="4" t="s">
        <v>2876</v>
      </c>
      <c r="KOB1332" s="4" t="s">
        <v>2876</v>
      </c>
      <c r="KOC1332" s="4" t="s">
        <v>2876</v>
      </c>
      <c r="KOD1332" s="4" t="s">
        <v>2876</v>
      </c>
      <c r="KOE1332" s="4" t="s">
        <v>2876</v>
      </c>
      <c r="KOF1332" s="4" t="s">
        <v>2876</v>
      </c>
      <c r="KOG1332" s="4" t="s">
        <v>2876</v>
      </c>
      <c r="KOH1332" s="4" t="s">
        <v>2876</v>
      </c>
      <c r="KOI1332" s="4" t="s">
        <v>2876</v>
      </c>
      <c r="KOJ1332" s="4" t="s">
        <v>2876</v>
      </c>
      <c r="KOK1332" s="4" t="s">
        <v>2876</v>
      </c>
      <c r="KOL1332" s="4" t="s">
        <v>2876</v>
      </c>
      <c r="KOM1332" s="4" t="s">
        <v>2876</v>
      </c>
      <c r="KON1332" s="4" t="s">
        <v>2876</v>
      </c>
      <c r="KOO1332" s="4" t="s">
        <v>2876</v>
      </c>
      <c r="KOP1332" s="4" t="s">
        <v>2876</v>
      </c>
      <c r="KOQ1332" s="4" t="s">
        <v>2876</v>
      </c>
      <c r="KOR1332" s="4" t="s">
        <v>2876</v>
      </c>
      <c r="KOS1332" s="4" t="s">
        <v>2876</v>
      </c>
      <c r="KOT1332" s="4" t="s">
        <v>2876</v>
      </c>
      <c r="KOU1332" s="4" t="s">
        <v>2876</v>
      </c>
      <c r="KOV1332" s="4" t="s">
        <v>2876</v>
      </c>
      <c r="KOW1332" s="4" t="s">
        <v>2876</v>
      </c>
      <c r="KOX1332" s="4" t="s">
        <v>2876</v>
      </c>
      <c r="KOY1332" s="4" t="s">
        <v>2876</v>
      </c>
      <c r="KOZ1332" s="4" t="s">
        <v>2876</v>
      </c>
      <c r="KPA1332" s="4" t="s">
        <v>2876</v>
      </c>
      <c r="KPB1332" s="4" t="s">
        <v>2876</v>
      </c>
      <c r="KPC1332" s="4" t="s">
        <v>2876</v>
      </c>
      <c r="KPD1332" s="4" t="s">
        <v>2876</v>
      </c>
      <c r="KPE1332" s="4" t="s">
        <v>2876</v>
      </c>
      <c r="KPF1332" s="4" t="s">
        <v>2876</v>
      </c>
      <c r="KPG1332" s="4" t="s">
        <v>2876</v>
      </c>
      <c r="KPH1332" s="4" t="s">
        <v>2876</v>
      </c>
      <c r="KPI1332" s="4" t="s">
        <v>2876</v>
      </c>
      <c r="KPJ1332" s="4" t="s">
        <v>2876</v>
      </c>
      <c r="KPK1332" s="4" t="s">
        <v>2876</v>
      </c>
      <c r="KPL1332" s="4" t="s">
        <v>2876</v>
      </c>
      <c r="KPM1332" s="4" t="s">
        <v>2876</v>
      </c>
      <c r="KPN1332" s="4" t="s">
        <v>2876</v>
      </c>
      <c r="KPO1332" s="4" t="s">
        <v>2876</v>
      </c>
      <c r="KPP1332" s="4" t="s">
        <v>2876</v>
      </c>
      <c r="KPQ1332" s="4" t="s">
        <v>2876</v>
      </c>
      <c r="KPR1332" s="4" t="s">
        <v>2876</v>
      </c>
      <c r="KPS1332" s="4" t="s">
        <v>2876</v>
      </c>
      <c r="KPT1332" s="4" t="s">
        <v>2876</v>
      </c>
      <c r="KPU1332" s="4" t="s">
        <v>2876</v>
      </c>
      <c r="KPV1332" s="4" t="s">
        <v>2876</v>
      </c>
      <c r="KPW1332" s="4" t="s">
        <v>2876</v>
      </c>
      <c r="KPX1332" s="4" t="s">
        <v>2876</v>
      </c>
      <c r="KPY1332" s="4" t="s">
        <v>2876</v>
      </c>
      <c r="KPZ1332" s="4" t="s">
        <v>2876</v>
      </c>
      <c r="KQA1332" s="4" t="s">
        <v>2876</v>
      </c>
      <c r="KQB1332" s="4" t="s">
        <v>2876</v>
      </c>
      <c r="KQC1332" s="4" t="s">
        <v>2876</v>
      </c>
      <c r="KQD1332" s="4" t="s">
        <v>2876</v>
      </c>
      <c r="KQE1332" s="4" t="s">
        <v>2876</v>
      </c>
      <c r="KQF1332" s="4" t="s">
        <v>2876</v>
      </c>
      <c r="KQG1332" s="4" t="s">
        <v>2876</v>
      </c>
      <c r="KQH1332" s="4" t="s">
        <v>2876</v>
      </c>
      <c r="KQI1332" s="4" t="s">
        <v>2876</v>
      </c>
      <c r="KQJ1332" s="4" t="s">
        <v>2876</v>
      </c>
      <c r="KQK1332" s="4" t="s">
        <v>2876</v>
      </c>
      <c r="KQL1332" s="4" t="s">
        <v>2876</v>
      </c>
      <c r="KQM1332" s="4" t="s">
        <v>2876</v>
      </c>
      <c r="KQN1332" s="4" t="s">
        <v>2876</v>
      </c>
      <c r="KQO1332" s="4" t="s">
        <v>2876</v>
      </c>
      <c r="KQP1332" s="4" t="s">
        <v>2876</v>
      </c>
      <c r="KQQ1332" s="4" t="s">
        <v>2876</v>
      </c>
      <c r="KQR1332" s="4" t="s">
        <v>2876</v>
      </c>
      <c r="KQS1332" s="4" t="s">
        <v>2876</v>
      </c>
      <c r="KQT1332" s="4" t="s">
        <v>2876</v>
      </c>
      <c r="KQU1332" s="4" t="s">
        <v>2876</v>
      </c>
      <c r="KQV1332" s="4" t="s">
        <v>2876</v>
      </c>
      <c r="KQW1332" s="4" t="s">
        <v>2876</v>
      </c>
      <c r="KQX1332" s="4" t="s">
        <v>2876</v>
      </c>
      <c r="KQY1332" s="4" t="s">
        <v>2876</v>
      </c>
      <c r="KQZ1332" s="4" t="s">
        <v>2876</v>
      </c>
      <c r="KRA1332" s="4" t="s">
        <v>2876</v>
      </c>
      <c r="KRB1332" s="4" t="s">
        <v>2876</v>
      </c>
      <c r="KRC1332" s="4" t="s">
        <v>2876</v>
      </c>
      <c r="KRD1332" s="4" t="s">
        <v>2876</v>
      </c>
      <c r="KRE1332" s="4" t="s">
        <v>2876</v>
      </c>
      <c r="KRF1332" s="4" t="s">
        <v>2876</v>
      </c>
      <c r="KRG1332" s="4" t="s">
        <v>2876</v>
      </c>
      <c r="KRH1332" s="4" t="s">
        <v>2876</v>
      </c>
      <c r="KRI1332" s="4" t="s">
        <v>2876</v>
      </c>
      <c r="KRJ1332" s="4" t="s">
        <v>2876</v>
      </c>
      <c r="KRK1332" s="4" t="s">
        <v>2876</v>
      </c>
      <c r="KRL1332" s="4" t="s">
        <v>2876</v>
      </c>
      <c r="KRM1332" s="4" t="s">
        <v>2876</v>
      </c>
      <c r="KRN1332" s="4" t="s">
        <v>2876</v>
      </c>
      <c r="KRO1332" s="4" t="s">
        <v>2876</v>
      </c>
      <c r="KRP1332" s="4" t="s">
        <v>2876</v>
      </c>
      <c r="KRQ1332" s="4" t="s">
        <v>2876</v>
      </c>
      <c r="KRR1332" s="4" t="s">
        <v>2876</v>
      </c>
      <c r="KRS1332" s="4" t="s">
        <v>2876</v>
      </c>
      <c r="KRT1332" s="4" t="s">
        <v>2876</v>
      </c>
      <c r="KRU1332" s="4" t="s">
        <v>2876</v>
      </c>
      <c r="KRV1332" s="4" t="s">
        <v>2876</v>
      </c>
      <c r="KRW1332" s="4" t="s">
        <v>2876</v>
      </c>
      <c r="KRX1332" s="4" t="s">
        <v>2876</v>
      </c>
      <c r="KRY1332" s="4" t="s">
        <v>2876</v>
      </c>
      <c r="KRZ1332" s="4" t="s">
        <v>2876</v>
      </c>
      <c r="KSA1332" s="4" t="s">
        <v>2876</v>
      </c>
      <c r="KSB1332" s="4" t="s">
        <v>2876</v>
      </c>
      <c r="KSC1332" s="4" t="s">
        <v>2876</v>
      </c>
      <c r="KSD1332" s="4" t="s">
        <v>2876</v>
      </c>
      <c r="KSE1332" s="4" t="s">
        <v>2876</v>
      </c>
      <c r="KSF1332" s="4" t="s">
        <v>2876</v>
      </c>
      <c r="KSG1332" s="4" t="s">
        <v>2876</v>
      </c>
      <c r="KSH1332" s="4" t="s">
        <v>2876</v>
      </c>
      <c r="KSI1332" s="4" t="s">
        <v>2876</v>
      </c>
      <c r="KSJ1332" s="4" t="s">
        <v>2876</v>
      </c>
      <c r="KSK1332" s="4" t="s">
        <v>2876</v>
      </c>
      <c r="KSL1332" s="4" t="s">
        <v>2876</v>
      </c>
      <c r="KSM1332" s="4" t="s">
        <v>2876</v>
      </c>
      <c r="KSN1332" s="4" t="s">
        <v>2876</v>
      </c>
      <c r="KSO1332" s="4" t="s">
        <v>2876</v>
      </c>
      <c r="KSP1332" s="4" t="s">
        <v>2876</v>
      </c>
      <c r="KSQ1332" s="4" t="s">
        <v>2876</v>
      </c>
      <c r="KSR1332" s="4" t="s">
        <v>2876</v>
      </c>
      <c r="KSS1332" s="4" t="s">
        <v>2876</v>
      </c>
      <c r="KST1332" s="4" t="s">
        <v>2876</v>
      </c>
      <c r="KSU1332" s="4" t="s">
        <v>2876</v>
      </c>
      <c r="KSV1332" s="4" t="s">
        <v>2876</v>
      </c>
      <c r="KSW1332" s="4" t="s">
        <v>2876</v>
      </c>
      <c r="KSX1332" s="4" t="s">
        <v>2876</v>
      </c>
      <c r="KSY1332" s="4" t="s">
        <v>2876</v>
      </c>
      <c r="KSZ1332" s="4" t="s">
        <v>2876</v>
      </c>
      <c r="KTA1332" s="4" t="s">
        <v>2876</v>
      </c>
      <c r="KTB1332" s="4" t="s">
        <v>2876</v>
      </c>
      <c r="KTC1332" s="4" t="s">
        <v>2876</v>
      </c>
      <c r="KTD1332" s="4" t="s">
        <v>2876</v>
      </c>
      <c r="KTE1332" s="4" t="s">
        <v>2876</v>
      </c>
      <c r="KTF1332" s="4" t="s">
        <v>2876</v>
      </c>
      <c r="KTG1332" s="4" t="s">
        <v>2876</v>
      </c>
      <c r="KTH1332" s="4" t="s">
        <v>2876</v>
      </c>
      <c r="KTI1332" s="4" t="s">
        <v>2876</v>
      </c>
      <c r="KTJ1332" s="4" t="s">
        <v>2876</v>
      </c>
      <c r="KTK1332" s="4" t="s">
        <v>2876</v>
      </c>
      <c r="KTL1332" s="4" t="s">
        <v>2876</v>
      </c>
      <c r="KTM1332" s="4" t="s">
        <v>2876</v>
      </c>
      <c r="KTN1332" s="4" t="s">
        <v>2876</v>
      </c>
      <c r="KTO1332" s="4" t="s">
        <v>2876</v>
      </c>
      <c r="KTP1332" s="4" t="s">
        <v>2876</v>
      </c>
      <c r="KTQ1332" s="4" t="s">
        <v>2876</v>
      </c>
      <c r="KTR1332" s="4" t="s">
        <v>2876</v>
      </c>
      <c r="KTS1332" s="4" t="s">
        <v>2876</v>
      </c>
      <c r="KTT1332" s="4" t="s">
        <v>2876</v>
      </c>
      <c r="KTU1332" s="4" t="s">
        <v>2876</v>
      </c>
      <c r="KTV1332" s="4" t="s">
        <v>2876</v>
      </c>
      <c r="KTW1332" s="4" t="s">
        <v>2876</v>
      </c>
      <c r="KTX1332" s="4" t="s">
        <v>2876</v>
      </c>
      <c r="KTY1332" s="4" t="s">
        <v>2876</v>
      </c>
      <c r="KTZ1332" s="4" t="s">
        <v>2876</v>
      </c>
      <c r="KUA1332" s="4" t="s">
        <v>2876</v>
      </c>
      <c r="KUB1332" s="4" t="s">
        <v>2876</v>
      </c>
      <c r="KUC1332" s="4" t="s">
        <v>2876</v>
      </c>
      <c r="KUD1332" s="4" t="s">
        <v>2876</v>
      </c>
      <c r="KUE1332" s="4" t="s">
        <v>2876</v>
      </c>
      <c r="KUF1332" s="4" t="s">
        <v>2876</v>
      </c>
      <c r="KUG1332" s="4" t="s">
        <v>2876</v>
      </c>
      <c r="KUH1332" s="4" t="s">
        <v>2876</v>
      </c>
      <c r="KUI1332" s="4" t="s">
        <v>2876</v>
      </c>
      <c r="KUJ1332" s="4" t="s">
        <v>2876</v>
      </c>
      <c r="KUK1332" s="4" t="s">
        <v>2876</v>
      </c>
      <c r="KUL1332" s="4" t="s">
        <v>2876</v>
      </c>
      <c r="KUM1332" s="4" t="s">
        <v>2876</v>
      </c>
      <c r="KUN1332" s="4" t="s">
        <v>2876</v>
      </c>
      <c r="KUO1332" s="4" t="s">
        <v>2876</v>
      </c>
      <c r="KUP1332" s="4" t="s">
        <v>2876</v>
      </c>
      <c r="KUQ1332" s="4" t="s">
        <v>2876</v>
      </c>
      <c r="KUR1332" s="4" t="s">
        <v>2876</v>
      </c>
      <c r="KUS1332" s="4" t="s">
        <v>2876</v>
      </c>
      <c r="KUT1332" s="4" t="s">
        <v>2876</v>
      </c>
      <c r="KUU1332" s="4" t="s">
        <v>2876</v>
      </c>
      <c r="KUV1332" s="4" t="s">
        <v>2876</v>
      </c>
      <c r="KUW1332" s="4" t="s">
        <v>2876</v>
      </c>
      <c r="KUX1332" s="4" t="s">
        <v>2876</v>
      </c>
      <c r="KUY1332" s="4" t="s">
        <v>2876</v>
      </c>
      <c r="KUZ1332" s="4" t="s">
        <v>2876</v>
      </c>
      <c r="KVA1332" s="4" t="s">
        <v>2876</v>
      </c>
      <c r="KVB1332" s="4" t="s">
        <v>2876</v>
      </c>
      <c r="KVC1332" s="4" t="s">
        <v>2876</v>
      </c>
      <c r="KVD1332" s="4" t="s">
        <v>2876</v>
      </c>
      <c r="KVE1332" s="4" t="s">
        <v>2876</v>
      </c>
      <c r="KVF1332" s="4" t="s">
        <v>2876</v>
      </c>
      <c r="KVG1332" s="4" t="s">
        <v>2876</v>
      </c>
      <c r="KVH1332" s="4" t="s">
        <v>2876</v>
      </c>
      <c r="KVI1332" s="4" t="s">
        <v>2876</v>
      </c>
      <c r="KVJ1332" s="4" t="s">
        <v>2876</v>
      </c>
      <c r="KVK1332" s="4" t="s">
        <v>2876</v>
      </c>
      <c r="KVL1332" s="4" t="s">
        <v>2876</v>
      </c>
      <c r="KVM1332" s="4" t="s">
        <v>2876</v>
      </c>
      <c r="KVN1332" s="4" t="s">
        <v>2876</v>
      </c>
      <c r="KVO1332" s="4" t="s">
        <v>2876</v>
      </c>
      <c r="KVP1332" s="4" t="s">
        <v>2876</v>
      </c>
      <c r="KVQ1332" s="4" t="s">
        <v>2876</v>
      </c>
      <c r="KVR1332" s="4" t="s">
        <v>2876</v>
      </c>
      <c r="KVS1332" s="4" t="s">
        <v>2876</v>
      </c>
      <c r="KVT1332" s="4" t="s">
        <v>2876</v>
      </c>
      <c r="KVU1332" s="4" t="s">
        <v>2876</v>
      </c>
      <c r="KVV1332" s="4" t="s">
        <v>2876</v>
      </c>
      <c r="KVW1332" s="4" t="s">
        <v>2876</v>
      </c>
      <c r="KVX1332" s="4" t="s">
        <v>2876</v>
      </c>
      <c r="KVY1332" s="4" t="s">
        <v>2876</v>
      </c>
      <c r="KVZ1332" s="4" t="s">
        <v>2876</v>
      </c>
      <c r="KWA1332" s="4" t="s">
        <v>2876</v>
      </c>
      <c r="KWB1332" s="4" t="s">
        <v>2876</v>
      </c>
      <c r="KWC1332" s="4" t="s">
        <v>2876</v>
      </c>
      <c r="KWD1332" s="4" t="s">
        <v>2876</v>
      </c>
      <c r="KWE1332" s="4" t="s">
        <v>2876</v>
      </c>
      <c r="KWF1332" s="4" t="s">
        <v>2876</v>
      </c>
      <c r="KWG1332" s="4" t="s">
        <v>2876</v>
      </c>
      <c r="KWH1332" s="4" t="s">
        <v>2876</v>
      </c>
      <c r="KWI1332" s="4" t="s">
        <v>2876</v>
      </c>
      <c r="KWJ1332" s="4" t="s">
        <v>2876</v>
      </c>
      <c r="KWK1332" s="4" t="s">
        <v>2876</v>
      </c>
      <c r="KWL1332" s="4" t="s">
        <v>2876</v>
      </c>
      <c r="KWM1332" s="4" t="s">
        <v>2876</v>
      </c>
      <c r="KWN1332" s="4" t="s">
        <v>2876</v>
      </c>
      <c r="KWO1332" s="4" t="s">
        <v>2876</v>
      </c>
      <c r="KWP1332" s="4" t="s">
        <v>2876</v>
      </c>
      <c r="KWQ1332" s="4" t="s">
        <v>2876</v>
      </c>
      <c r="KWR1332" s="4" t="s">
        <v>2876</v>
      </c>
      <c r="KWS1332" s="4" t="s">
        <v>2876</v>
      </c>
      <c r="KWT1332" s="4" t="s">
        <v>2876</v>
      </c>
      <c r="KWU1332" s="4" t="s">
        <v>2876</v>
      </c>
      <c r="KWV1332" s="4" t="s">
        <v>2876</v>
      </c>
      <c r="KWW1332" s="4" t="s">
        <v>2876</v>
      </c>
      <c r="KWX1332" s="4" t="s">
        <v>2876</v>
      </c>
      <c r="KWY1332" s="4" t="s">
        <v>2876</v>
      </c>
      <c r="KWZ1332" s="4" t="s">
        <v>2876</v>
      </c>
      <c r="KXA1332" s="4" t="s">
        <v>2876</v>
      </c>
      <c r="KXB1332" s="4" t="s">
        <v>2876</v>
      </c>
      <c r="KXC1332" s="4" t="s">
        <v>2876</v>
      </c>
      <c r="KXD1332" s="4" t="s">
        <v>2876</v>
      </c>
      <c r="KXE1332" s="4" t="s">
        <v>2876</v>
      </c>
      <c r="KXF1332" s="4" t="s">
        <v>2876</v>
      </c>
      <c r="KXG1332" s="4" t="s">
        <v>2876</v>
      </c>
      <c r="KXH1332" s="4" t="s">
        <v>2876</v>
      </c>
      <c r="KXI1332" s="4" t="s">
        <v>2876</v>
      </c>
      <c r="KXJ1332" s="4" t="s">
        <v>2876</v>
      </c>
      <c r="KXK1332" s="4" t="s">
        <v>2876</v>
      </c>
      <c r="KXL1332" s="4" t="s">
        <v>2876</v>
      </c>
      <c r="KXM1332" s="4" t="s">
        <v>2876</v>
      </c>
      <c r="KXN1332" s="4" t="s">
        <v>2876</v>
      </c>
      <c r="KXO1332" s="4" t="s">
        <v>2876</v>
      </c>
      <c r="KXP1332" s="4" t="s">
        <v>2876</v>
      </c>
      <c r="KXQ1332" s="4" t="s">
        <v>2876</v>
      </c>
      <c r="KXR1332" s="4" t="s">
        <v>2876</v>
      </c>
      <c r="KXS1332" s="4" t="s">
        <v>2876</v>
      </c>
      <c r="KXT1332" s="4" t="s">
        <v>2876</v>
      </c>
      <c r="KXU1332" s="4" t="s">
        <v>2876</v>
      </c>
      <c r="KXV1332" s="4" t="s">
        <v>2876</v>
      </c>
      <c r="KXW1332" s="4" t="s">
        <v>2876</v>
      </c>
      <c r="KXX1332" s="4" t="s">
        <v>2876</v>
      </c>
      <c r="KXY1332" s="4" t="s">
        <v>2876</v>
      </c>
      <c r="KXZ1332" s="4" t="s">
        <v>2876</v>
      </c>
      <c r="KYA1332" s="4" t="s">
        <v>2876</v>
      </c>
      <c r="KYB1332" s="4" t="s">
        <v>2876</v>
      </c>
      <c r="KYC1332" s="4" t="s">
        <v>2876</v>
      </c>
      <c r="KYD1332" s="4" t="s">
        <v>2876</v>
      </c>
      <c r="KYE1332" s="4" t="s">
        <v>2876</v>
      </c>
      <c r="KYF1332" s="4" t="s">
        <v>2876</v>
      </c>
      <c r="KYG1332" s="4" t="s">
        <v>2876</v>
      </c>
      <c r="KYH1332" s="4" t="s">
        <v>2876</v>
      </c>
      <c r="KYI1332" s="4" t="s">
        <v>2876</v>
      </c>
      <c r="KYJ1332" s="4" t="s">
        <v>2876</v>
      </c>
      <c r="KYK1332" s="4" t="s">
        <v>2876</v>
      </c>
      <c r="KYL1332" s="4" t="s">
        <v>2876</v>
      </c>
      <c r="KYM1332" s="4" t="s">
        <v>2876</v>
      </c>
      <c r="KYN1332" s="4" t="s">
        <v>2876</v>
      </c>
      <c r="KYO1332" s="4" t="s">
        <v>2876</v>
      </c>
      <c r="KYP1332" s="4" t="s">
        <v>2876</v>
      </c>
      <c r="KYQ1332" s="4" t="s">
        <v>2876</v>
      </c>
      <c r="KYR1332" s="4" t="s">
        <v>2876</v>
      </c>
      <c r="KYS1332" s="4" t="s">
        <v>2876</v>
      </c>
      <c r="KYT1332" s="4" t="s">
        <v>2876</v>
      </c>
      <c r="KYU1332" s="4" t="s">
        <v>2876</v>
      </c>
      <c r="KYV1332" s="4" t="s">
        <v>2876</v>
      </c>
      <c r="KYW1332" s="4" t="s">
        <v>2876</v>
      </c>
      <c r="KYX1332" s="4" t="s">
        <v>2876</v>
      </c>
      <c r="KYY1332" s="4" t="s">
        <v>2876</v>
      </c>
      <c r="KYZ1332" s="4" t="s">
        <v>2876</v>
      </c>
      <c r="KZA1332" s="4" t="s">
        <v>2876</v>
      </c>
      <c r="KZB1332" s="4" t="s">
        <v>2876</v>
      </c>
      <c r="KZC1332" s="4" t="s">
        <v>2876</v>
      </c>
      <c r="KZD1332" s="4" t="s">
        <v>2876</v>
      </c>
      <c r="KZE1332" s="4" t="s">
        <v>2876</v>
      </c>
      <c r="KZF1332" s="4" t="s">
        <v>2876</v>
      </c>
      <c r="KZG1332" s="4" t="s">
        <v>2876</v>
      </c>
      <c r="KZH1332" s="4" t="s">
        <v>2876</v>
      </c>
      <c r="KZI1332" s="4" t="s">
        <v>2876</v>
      </c>
      <c r="KZJ1332" s="4" t="s">
        <v>2876</v>
      </c>
      <c r="KZK1332" s="4" t="s">
        <v>2876</v>
      </c>
      <c r="KZL1332" s="4" t="s">
        <v>2876</v>
      </c>
      <c r="KZM1332" s="4" t="s">
        <v>2876</v>
      </c>
      <c r="KZN1332" s="4" t="s">
        <v>2876</v>
      </c>
      <c r="KZO1332" s="4" t="s">
        <v>2876</v>
      </c>
      <c r="KZP1332" s="4" t="s">
        <v>2876</v>
      </c>
      <c r="KZQ1332" s="4" t="s">
        <v>2876</v>
      </c>
      <c r="KZR1332" s="4" t="s">
        <v>2876</v>
      </c>
      <c r="KZS1332" s="4" t="s">
        <v>2876</v>
      </c>
      <c r="KZT1332" s="4" t="s">
        <v>2876</v>
      </c>
      <c r="KZU1332" s="4" t="s">
        <v>2876</v>
      </c>
      <c r="KZV1332" s="4" t="s">
        <v>2876</v>
      </c>
      <c r="KZW1332" s="4" t="s">
        <v>2876</v>
      </c>
      <c r="KZX1332" s="4" t="s">
        <v>2876</v>
      </c>
      <c r="KZY1332" s="4" t="s">
        <v>2876</v>
      </c>
      <c r="KZZ1332" s="4" t="s">
        <v>2876</v>
      </c>
      <c r="LAA1332" s="4" t="s">
        <v>2876</v>
      </c>
      <c r="LAB1332" s="4" t="s">
        <v>2876</v>
      </c>
      <c r="LAC1332" s="4" t="s">
        <v>2876</v>
      </c>
      <c r="LAD1332" s="4" t="s">
        <v>2876</v>
      </c>
      <c r="LAE1332" s="4" t="s">
        <v>2876</v>
      </c>
      <c r="LAF1332" s="4" t="s">
        <v>2876</v>
      </c>
      <c r="LAG1332" s="4" t="s">
        <v>2876</v>
      </c>
      <c r="LAH1332" s="4" t="s">
        <v>2876</v>
      </c>
      <c r="LAI1332" s="4" t="s">
        <v>2876</v>
      </c>
      <c r="LAJ1332" s="4" t="s">
        <v>2876</v>
      </c>
      <c r="LAK1332" s="4" t="s">
        <v>2876</v>
      </c>
      <c r="LAL1332" s="4" t="s">
        <v>2876</v>
      </c>
      <c r="LAM1332" s="4" t="s">
        <v>2876</v>
      </c>
      <c r="LAN1332" s="4" t="s">
        <v>2876</v>
      </c>
      <c r="LAO1332" s="4" t="s">
        <v>2876</v>
      </c>
      <c r="LAP1332" s="4" t="s">
        <v>2876</v>
      </c>
      <c r="LAQ1332" s="4" t="s">
        <v>2876</v>
      </c>
      <c r="LAR1332" s="4" t="s">
        <v>2876</v>
      </c>
      <c r="LAS1332" s="4" t="s">
        <v>2876</v>
      </c>
      <c r="LAT1332" s="4" t="s">
        <v>2876</v>
      </c>
      <c r="LAU1332" s="4" t="s">
        <v>2876</v>
      </c>
      <c r="LAV1332" s="4" t="s">
        <v>2876</v>
      </c>
      <c r="LAW1332" s="4" t="s">
        <v>2876</v>
      </c>
      <c r="LAX1332" s="4" t="s">
        <v>2876</v>
      </c>
      <c r="LAY1332" s="4" t="s">
        <v>2876</v>
      </c>
      <c r="LAZ1332" s="4" t="s">
        <v>2876</v>
      </c>
      <c r="LBA1332" s="4" t="s">
        <v>2876</v>
      </c>
      <c r="LBB1332" s="4" t="s">
        <v>2876</v>
      </c>
      <c r="LBC1332" s="4" t="s">
        <v>2876</v>
      </c>
      <c r="LBD1332" s="4" t="s">
        <v>2876</v>
      </c>
      <c r="LBE1332" s="4" t="s">
        <v>2876</v>
      </c>
      <c r="LBF1332" s="4" t="s">
        <v>2876</v>
      </c>
      <c r="LBG1332" s="4" t="s">
        <v>2876</v>
      </c>
      <c r="LBH1332" s="4" t="s">
        <v>2876</v>
      </c>
      <c r="LBI1332" s="4" t="s">
        <v>2876</v>
      </c>
      <c r="LBJ1332" s="4" t="s">
        <v>2876</v>
      </c>
      <c r="LBK1332" s="4" t="s">
        <v>2876</v>
      </c>
      <c r="LBL1332" s="4" t="s">
        <v>2876</v>
      </c>
      <c r="LBM1332" s="4" t="s">
        <v>2876</v>
      </c>
      <c r="LBN1332" s="4" t="s">
        <v>2876</v>
      </c>
      <c r="LBO1332" s="4" t="s">
        <v>2876</v>
      </c>
      <c r="LBP1332" s="4" t="s">
        <v>2876</v>
      </c>
      <c r="LBQ1332" s="4" t="s">
        <v>2876</v>
      </c>
      <c r="LBR1332" s="4" t="s">
        <v>2876</v>
      </c>
      <c r="LBS1332" s="4" t="s">
        <v>2876</v>
      </c>
      <c r="LBT1332" s="4" t="s">
        <v>2876</v>
      </c>
      <c r="LBU1332" s="4" t="s">
        <v>2876</v>
      </c>
      <c r="LBV1332" s="4" t="s">
        <v>2876</v>
      </c>
      <c r="LBW1332" s="4" t="s">
        <v>2876</v>
      </c>
      <c r="LBX1332" s="4" t="s">
        <v>2876</v>
      </c>
      <c r="LBY1332" s="4" t="s">
        <v>2876</v>
      </c>
      <c r="LBZ1332" s="4" t="s">
        <v>2876</v>
      </c>
      <c r="LCA1332" s="4" t="s">
        <v>2876</v>
      </c>
      <c r="LCB1332" s="4" t="s">
        <v>2876</v>
      </c>
      <c r="LCC1332" s="4" t="s">
        <v>2876</v>
      </c>
      <c r="LCD1332" s="4" t="s">
        <v>2876</v>
      </c>
      <c r="LCE1332" s="4" t="s">
        <v>2876</v>
      </c>
      <c r="LCF1332" s="4" t="s">
        <v>2876</v>
      </c>
      <c r="LCG1332" s="4" t="s">
        <v>2876</v>
      </c>
      <c r="LCH1332" s="4" t="s">
        <v>2876</v>
      </c>
      <c r="LCI1332" s="4" t="s">
        <v>2876</v>
      </c>
      <c r="LCJ1332" s="4" t="s">
        <v>2876</v>
      </c>
      <c r="LCK1332" s="4" t="s">
        <v>2876</v>
      </c>
      <c r="LCL1332" s="4" t="s">
        <v>2876</v>
      </c>
      <c r="LCM1332" s="4" t="s">
        <v>2876</v>
      </c>
      <c r="LCN1332" s="4" t="s">
        <v>2876</v>
      </c>
      <c r="LCO1332" s="4" t="s">
        <v>2876</v>
      </c>
      <c r="LCP1332" s="4" t="s">
        <v>2876</v>
      </c>
      <c r="LCQ1332" s="4" t="s">
        <v>2876</v>
      </c>
      <c r="LCR1332" s="4" t="s">
        <v>2876</v>
      </c>
      <c r="LCS1332" s="4" t="s">
        <v>2876</v>
      </c>
      <c r="LCT1332" s="4" t="s">
        <v>2876</v>
      </c>
      <c r="LCU1332" s="4" t="s">
        <v>2876</v>
      </c>
      <c r="LCV1332" s="4" t="s">
        <v>2876</v>
      </c>
      <c r="LCW1332" s="4" t="s">
        <v>2876</v>
      </c>
      <c r="LCX1332" s="4" t="s">
        <v>2876</v>
      </c>
      <c r="LCY1332" s="4" t="s">
        <v>2876</v>
      </c>
      <c r="LCZ1332" s="4" t="s">
        <v>2876</v>
      </c>
      <c r="LDA1332" s="4" t="s">
        <v>2876</v>
      </c>
      <c r="LDB1332" s="4" t="s">
        <v>2876</v>
      </c>
      <c r="LDC1332" s="4" t="s">
        <v>2876</v>
      </c>
      <c r="LDD1332" s="4" t="s">
        <v>2876</v>
      </c>
      <c r="LDE1332" s="4" t="s">
        <v>2876</v>
      </c>
      <c r="LDF1332" s="4" t="s">
        <v>2876</v>
      </c>
      <c r="LDG1332" s="4" t="s">
        <v>2876</v>
      </c>
      <c r="LDH1332" s="4" t="s">
        <v>2876</v>
      </c>
      <c r="LDI1332" s="4" t="s">
        <v>2876</v>
      </c>
      <c r="LDJ1332" s="4" t="s">
        <v>2876</v>
      </c>
      <c r="LDK1332" s="4" t="s">
        <v>2876</v>
      </c>
      <c r="LDL1332" s="4" t="s">
        <v>2876</v>
      </c>
      <c r="LDM1332" s="4" t="s">
        <v>2876</v>
      </c>
      <c r="LDN1332" s="4" t="s">
        <v>2876</v>
      </c>
      <c r="LDO1332" s="4" t="s">
        <v>2876</v>
      </c>
      <c r="LDP1332" s="4" t="s">
        <v>2876</v>
      </c>
      <c r="LDQ1332" s="4" t="s">
        <v>2876</v>
      </c>
      <c r="LDR1332" s="4" t="s">
        <v>2876</v>
      </c>
      <c r="LDS1332" s="4" t="s">
        <v>2876</v>
      </c>
      <c r="LDT1332" s="4" t="s">
        <v>2876</v>
      </c>
      <c r="LDU1332" s="4" t="s">
        <v>2876</v>
      </c>
      <c r="LDV1332" s="4" t="s">
        <v>2876</v>
      </c>
      <c r="LDW1332" s="4" t="s">
        <v>2876</v>
      </c>
      <c r="LDX1332" s="4" t="s">
        <v>2876</v>
      </c>
      <c r="LDY1332" s="4" t="s">
        <v>2876</v>
      </c>
      <c r="LDZ1332" s="4" t="s">
        <v>2876</v>
      </c>
      <c r="LEA1332" s="4" t="s">
        <v>2876</v>
      </c>
      <c r="LEB1332" s="4" t="s">
        <v>2876</v>
      </c>
      <c r="LEC1332" s="4" t="s">
        <v>2876</v>
      </c>
      <c r="LED1332" s="4" t="s">
        <v>2876</v>
      </c>
      <c r="LEE1332" s="4" t="s">
        <v>2876</v>
      </c>
      <c r="LEF1332" s="4" t="s">
        <v>2876</v>
      </c>
      <c r="LEG1332" s="4" t="s">
        <v>2876</v>
      </c>
      <c r="LEH1332" s="4" t="s">
        <v>2876</v>
      </c>
      <c r="LEI1332" s="4" t="s">
        <v>2876</v>
      </c>
      <c r="LEJ1332" s="4" t="s">
        <v>2876</v>
      </c>
      <c r="LEK1332" s="4" t="s">
        <v>2876</v>
      </c>
      <c r="LEL1332" s="4" t="s">
        <v>2876</v>
      </c>
      <c r="LEM1332" s="4" t="s">
        <v>2876</v>
      </c>
      <c r="LEN1332" s="4" t="s">
        <v>2876</v>
      </c>
      <c r="LEO1332" s="4" t="s">
        <v>2876</v>
      </c>
      <c r="LEP1332" s="4" t="s">
        <v>2876</v>
      </c>
      <c r="LEQ1332" s="4" t="s">
        <v>2876</v>
      </c>
      <c r="LER1332" s="4" t="s">
        <v>2876</v>
      </c>
      <c r="LES1332" s="4" t="s">
        <v>2876</v>
      </c>
      <c r="LET1332" s="4" t="s">
        <v>2876</v>
      </c>
      <c r="LEU1332" s="4" t="s">
        <v>2876</v>
      </c>
      <c r="LEV1332" s="4" t="s">
        <v>2876</v>
      </c>
      <c r="LEW1332" s="4" t="s">
        <v>2876</v>
      </c>
      <c r="LEX1332" s="4" t="s">
        <v>2876</v>
      </c>
      <c r="LEY1332" s="4" t="s">
        <v>2876</v>
      </c>
      <c r="LEZ1332" s="4" t="s">
        <v>2876</v>
      </c>
      <c r="LFA1332" s="4" t="s">
        <v>2876</v>
      </c>
      <c r="LFB1332" s="4" t="s">
        <v>2876</v>
      </c>
      <c r="LFC1332" s="4" t="s">
        <v>2876</v>
      </c>
      <c r="LFD1332" s="4" t="s">
        <v>2876</v>
      </c>
      <c r="LFE1332" s="4" t="s">
        <v>2876</v>
      </c>
      <c r="LFF1332" s="4" t="s">
        <v>2876</v>
      </c>
      <c r="LFG1332" s="4" t="s">
        <v>2876</v>
      </c>
      <c r="LFH1332" s="4" t="s">
        <v>2876</v>
      </c>
      <c r="LFI1332" s="4" t="s">
        <v>2876</v>
      </c>
      <c r="LFJ1332" s="4" t="s">
        <v>2876</v>
      </c>
      <c r="LFK1332" s="4" t="s">
        <v>2876</v>
      </c>
      <c r="LFL1332" s="4" t="s">
        <v>2876</v>
      </c>
      <c r="LFM1332" s="4" t="s">
        <v>2876</v>
      </c>
      <c r="LFN1332" s="4" t="s">
        <v>2876</v>
      </c>
      <c r="LFO1332" s="4" t="s">
        <v>2876</v>
      </c>
      <c r="LFP1332" s="4" t="s">
        <v>2876</v>
      </c>
      <c r="LFQ1332" s="4" t="s">
        <v>2876</v>
      </c>
      <c r="LFR1332" s="4" t="s">
        <v>2876</v>
      </c>
      <c r="LFS1332" s="4" t="s">
        <v>2876</v>
      </c>
      <c r="LFT1332" s="4" t="s">
        <v>2876</v>
      </c>
      <c r="LFU1332" s="4" t="s">
        <v>2876</v>
      </c>
      <c r="LFV1332" s="4" t="s">
        <v>2876</v>
      </c>
      <c r="LFW1332" s="4" t="s">
        <v>2876</v>
      </c>
      <c r="LFX1332" s="4" t="s">
        <v>2876</v>
      </c>
      <c r="LFY1332" s="4" t="s">
        <v>2876</v>
      </c>
      <c r="LFZ1332" s="4" t="s">
        <v>2876</v>
      </c>
      <c r="LGA1332" s="4" t="s">
        <v>2876</v>
      </c>
      <c r="LGB1332" s="4" t="s">
        <v>2876</v>
      </c>
      <c r="LGC1332" s="4" t="s">
        <v>2876</v>
      </c>
      <c r="LGD1332" s="4" t="s">
        <v>2876</v>
      </c>
      <c r="LGE1332" s="4" t="s">
        <v>2876</v>
      </c>
      <c r="LGF1332" s="4" t="s">
        <v>2876</v>
      </c>
      <c r="LGG1332" s="4" t="s">
        <v>2876</v>
      </c>
      <c r="LGH1332" s="4" t="s">
        <v>2876</v>
      </c>
      <c r="LGI1332" s="4" t="s">
        <v>2876</v>
      </c>
      <c r="LGJ1332" s="4" t="s">
        <v>2876</v>
      </c>
      <c r="LGK1332" s="4" t="s">
        <v>2876</v>
      </c>
      <c r="LGL1332" s="4" t="s">
        <v>2876</v>
      </c>
      <c r="LGM1332" s="4" t="s">
        <v>2876</v>
      </c>
      <c r="LGN1332" s="4" t="s">
        <v>2876</v>
      </c>
      <c r="LGO1332" s="4" t="s">
        <v>2876</v>
      </c>
      <c r="LGP1332" s="4" t="s">
        <v>2876</v>
      </c>
      <c r="LGQ1332" s="4" t="s">
        <v>2876</v>
      </c>
      <c r="LGR1332" s="4" t="s">
        <v>2876</v>
      </c>
      <c r="LGS1332" s="4" t="s">
        <v>2876</v>
      </c>
      <c r="LGT1332" s="4" t="s">
        <v>2876</v>
      </c>
      <c r="LGU1332" s="4" t="s">
        <v>2876</v>
      </c>
      <c r="LGV1332" s="4" t="s">
        <v>2876</v>
      </c>
      <c r="LGW1332" s="4" t="s">
        <v>2876</v>
      </c>
      <c r="LGX1332" s="4" t="s">
        <v>2876</v>
      </c>
      <c r="LGY1332" s="4" t="s">
        <v>2876</v>
      </c>
      <c r="LGZ1332" s="4" t="s">
        <v>2876</v>
      </c>
      <c r="LHA1332" s="4" t="s">
        <v>2876</v>
      </c>
      <c r="LHB1332" s="4" t="s">
        <v>2876</v>
      </c>
      <c r="LHC1332" s="4" t="s">
        <v>2876</v>
      </c>
      <c r="LHD1332" s="4" t="s">
        <v>2876</v>
      </c>
      <c r="LHE1332" s="4" t="s">
        <v>2876</v>
      </c>
      <c r="LHF1332" s="4" t="s">
        <v>2876</v>
      </c>
      <c r="LHG1332" s="4" t="s">
        <v>2876</v>
      </c>
      <c r="LHH1332" s="4" t="s">
        <v>2876</v>
      </c>
      <c r="LHI1332" s="4" t="s">
        <v>2876</v>
      </c>
      <c r="LHJ1332" s="4" t="s">
        <v>2876</v>
      </c>
      <c r="LHK1332" s="4" t="s">
        <v>2876</v>
      </c>
      <c r="LHL1332" s="4" t="s">
        <v>2876</v>
      </c>
      <c r="LHM1332" s="4" t="s">
        <v>2876</v>
      </c>
      <c r="LHN1332" s="4" t="s">
        <v>2876</v>
      </c>
      <c r="LHO1332" s="4" t="s">
        <v>2876</v>
      </c>
      <c r="LHP1332" s="4" t="s">
        <v>2876</v>
      </c>
      <c r="LHQ1332" s="4" t="s">
        <v>2876</v>
      </c>
      <c r="LHR1332" s="4" t="s">
        <v>2876</v>
      </c>
      <c r="LHS1332" s="4" t="s">
        <v>2876</v>
      </c>
      <c r="LHT1332" s="4" t="s">
        <v>2876</v>
      </c>
      <c r="LHU1332" s="4" t="s">
        <v>2876</v>
      </c>
      <c r="LHV1332" s="4" t="s">
        <v>2876</v>
      </c>
      <c r="LHW1332" s="4" t="s">
        <v>2876</v>
      </c>
      <c r="LHX1332" s="4" t="s">
        <v>2876</v>
      </c>
      <c r="LHY1332" s="4" t="s">
        <v>2876</v>
      </c>
      <c r="LHZ1332" s="4" t="s">
        <v>2876</v>
      </c>
      <c r="LIA1332" s="4" t="s">
        <v>2876</v>
      </c>
      <c r="LIB1332" s="4" t="s">
        <v>2876</v>
      </c>
      <c r="LIC1332" s="4" t="s">
        <v>2876</v>
      </c>
      <c r="LID1332" s="4" t="s">
        <v>2876</v>
      </c>
      <c r="LIE1332" s="4" t="s">
        <v>2876</v>
      </c>
      <c r="LIF1332" s="4" t="s">
        <v>2876</v>
      </c>
      <c r="LIG1332" s="4" t="s">
        <v>2876</v>
      </c>
      <c r="LIH1332" s="4" t="s">
        <v>2876</v>
      </c>
      <c r="LII1332" s="4" t="s">
        <v>2876</v>
      </c>
      <c r="LIJ1332" s="4" t="s">
        <v>2876</v>
      </c>
      <c r="LIK1332" s="4" t="s">
        <v>2876</v>
      </c>
      <c r="LIL1332" s="4" t="s">
        <v>2876</v>
      </c>
      <c r="LIM1332" s="4" t="s">
        <v>2876</v>
      </c>
      <c r="LIN1332" s="4" t="s">
        <v>2876</v>
      </c>
      <c r="LIO1332" s="4" t="s">
        <v>2876</v>
      </c>
      <c r="LIP1332" s="4" t="s">
        <v>2876</v>
      </c>
      <c r="LIQ1332" s="4" t="s">
        <v>2876</v>
      </c>
      <c r="LIR1332" s="4" t="s">
        <v>2876</v>
      </c>
      <c r="LIS1332" s="4" t="s">
        <v>2876</v>
      </c>
      <c r="LIT1332" s="4" t="s">
        <v>2876</v>
      </c>
      <c r="LIU1332" s="4" t="s">
        <v>2876</v>
      </c>
      <c r="LIV1332" s="4" t="s">
        <v>2876</v>
      </c>
      <c r="LIW1332" s="4" t="s">
        <v>2876</v>
      </c>
      <c r="LIX1332" s="4" t="s">
        <v>2876</v>
      </c>
      <c r="LIY1332" s="4" t="s">
        <v>2876</v>
      </c>
      <c r="LIZ1332" s="4" t="s">
        <v>2876</v>
      </c>
      <c r="LJA1332" s="4" t="s">
        <v>2876</v>
      </c>
      <c r="LJB1332" s="4" t="s">
        <v>2876</v>
      </c>
      <c r="LJC1332" s="4" t="s">
        <v>2876</v>
      </c>
      <c r="LJD1332" s="4" t="s">
        <v>2876</v>
      </c>
      <c r="LJE1332" s="4" t="s">
        <v>2876</v>
      </c>
      <c r="LJF1332" s="4" t="s">
        <v>2876</v>
      </c>
      <c r="LJG1332" s="4" t="s">
        <v>2876</v>
      </c>
      <c r="LJH1332" s="4" t="s">
        <v>2876</v>
      </c>
      <c r="LJI1332" s="4" t="s">
        <v>2876</v>
      </c>
      <c r="LJJ1332" s="4" t="s">
        <v>2876</v>
      </c>
      <c r="LJK1332" s="4" t="s">
        <v>2876</v>
      </c>
      <c r="LJL1332" s="4" t="s">
        <v>2876</v>
      </c>
      <c r="LJM1332" s="4" t="s">
        <v>2876</v>
      </c>
      <c r="LJN1332" s="4" t="s">
        <v>2876</v>
      </c>
      <c r="LJO1332" s="4" t="s">
        <v>2876</v>
      </c>
      <c r="LJP1332" s="4" t="s">
        <v>2876</v>
      </c>
      <c r="LJQ1332" s="4" t="s">
        <v>2876</v>
      </c>
      <c r="LJR1332" s="4" t="s">
        <v>2876</v>
      </c>
      <c r="LJS1332" s="4" t="s">
        <v>2876</v>
      </c>
      <c r="LJT1332" s="4" t="s">
        <v>2876</v>
      </c>
      <c r="LJU1332" s="4" t="s">
        <v>2876</v>
      </c>
      <c r="LJV1332" s="4" t="s">
        <v>2876</v>
      </c>
      <c r="LJW1332" s="4" t="s">
        <v>2876</v>
      </c>
      <c r="LJX1332" s="4" t="s">
        <v>2876</v>
      </c>
      <c r="LJY1332" s="4" t="s">
        <v>2876</v>
      </c>
      <c r="LJZ1332" s="4" t="s">
        <v>2876</v>
      </c>
      <c r="LKA1332" s="4" t="s">
        <v>2876</v>
      </c>
      <c r="LKB1332" s="4" t="s">
        <v>2876</v>
      </c>
      <c r="LKC1332" s="4" t="s">
        <v>2876</v>
      </c>
      <c r="LKD1332" s="4" t="s">
        <v>2876</v>
      </c>
      <c r="LKE1332" s="4" t="s">
        <v>2876</v>
      </c>
      <c r="LKF1332" s="4" t="s">
        <v>2876</v>
      </c>
      <c r="LKG1332" s="4" t="s">
        <v>2876</v>
      </c>
      <c r="LKH1332" s="4" t="s">
        <v>2876</v>
      </c>
      <c r="LKI1332" s="4" t="s">
        <v>2876</v>
      </c>
      <c r="LKJ1332" s="4" t="s">
        <v>2876</v>
      </c>
      <c r="LKK1332" s="4" t="s">
        <v>2876</v>
      </c>
      <c r="LKL1332" s="4" t="s">
        <v>2876</v>
      </c>
      <c r="LKM1332" s="4" t="s">
        <v>2876</v>
      </c>
      <c r="LKN1332" s="4" t="s">
        <v>2876</v>
      </c>
      <c r="LKO1332" s="4" t="s">
        <v>2876</v>
      </c>
      <c r="LKP1332" s="4" t="s">
        <v>2876</v>
      </c>
      <c r="LKQ1332" s="4" t="s">
        <v>2876</v>
      </c>
      <c r="LKR1332" s="4" t="s">
        <v>2876</v>
      </c>
      <c r="LKS1332" s="4" t="s">
        <v>2876</v>
      </c>
      <c r="LKT1332" s="4" t="s">
        <v>2876</v>
      </c>
      <c r="LKU1332" s="4" t="s">
        <v>2876</v>
      </c>
      <c r="LKV1332" s="4" t="s">
        <v>2876</v>
      </c>
      <c r="LKW1332" s="4" t="s">
        <v>2876</v>
      </c>
      <c r="LKX1332" s="4" t="s">
        <v>2876</v>
      </c>
      <c r="LKY1332" s="4" t="s">
        <v>2876</v>
      </c>
      <c r="LKZ1332" s="4" t="s">
        <v>2876</v>
      </c>
      <c r="LLA1332" s="4" t="s">
        <v>2876</v>
      </c>
      <c r="LLB1332" s="4" t="s">
        <v>2876</v>
      </c>
      <c r="LLC1332" s="4" t="s">
        <v>2876</v>
      </c>
      <c r="LLD1332" s="4" t="s">
        <v>2876</v>
      </c>
      <c r="LLE1332" s="4" t="s">
        <v>2876</v>
      </c>
      <c r="LLF1332" s="4" t="s">
        <v>2876</v>
      </c>
      <c r="LLG1332" s="4" t="s">
        <v>2876</v>
      </c>
      <c r="LLH1332" s="4" t="s">
        <v>2876</v>
      </c>
      <c r="LLI1332" s="4" t="s">
        <v>2876</v>
      </c>
      <c r="LLJ1332" s="4" t="s">
        <v>2876</v>
      </c>
      <c r="LLK1332" s="4" t="s">
        <v>2876</v>
      </c>
      <c r="LLL1332" s="4" t="s">
        <v>2876</v>
      </c>
      <c r="LLM1332" s="4" t="s">
        <v>2876</v>
      </c>
      <c r="LLN1332" s="4" t="s">
        <v>2876</v>
      </c>
      <c r="LLO1332" s="4" t="s">
        <v>2876</v>
      </c>
      <c r="LLP1332" s="4" t="s">
        <v>2876</v>
      </c>
      <c r="LLQ1332" s="4" t="s">
        <v>2876</v>
      </c>
      <c r="LLR1332" s="4" t="s">
        <v>2876</v>
      </c>
      <c r="LLS1332" s="4" t="s">
        <v>2876</v>
      </c>
      <c r="LLT1332" s="4" t="s">
        <v>2876</v>
      </c>
      <c r="LLU1332" s="4" t="s">
        <v>2876</v>
      </c>
      <c r="LLV1332" s="4" t="s">
        <v>2876</v>
      </c>
      <c r="LLW1332" s="4" t="s">
        <v>2876</v>
      </c>
      <c r="LLX1332" s="4" t="s">
        <v>2876</v>
      </c>
      <c r="LLY1332" s="4" t="s">
        <v>2876</v>
      </c>
      <c r="LLZ1332" s="4" t="s">
        <v>2876</v>
      </c>
      <c r="LMA1332" s="4" t="s">
        <v>2876</v>
      </c>
      <c r="LMB1332" s="4" t="s">
        <v>2876</v>
      </c>
      <c r="LMC1332" s="4" t="s">
        <v>2876</v>
      </c>
      <c r="LMD1332" s="4" t="s">
        <v>2876</v>
      </c>
      <c r="LME1332" s="4" t="s">
        <v>2876</v>
      </c>
      <c r="LMF1332" s="4" t="s">
        <v>2876</v>
      </c>
      <c r="LMG1332" s="4" t="s">
        <v>2876</v>
      </c>
      <c r="LMH1332" s="4" t="s">
        <v>2876</v>
      </c>
      <c r="LMI1332" s="4" t="s">
        <v>2876</v>
      </c>
      <c r="LMJ1332" s="4" t="s">
        <v>2876</v>
      </c>
      <c r="LMK1332" s="4" t="s">
        <v>2876</v>
      </c>
      <c r="LML1332" s="4" t="s">
        <v>2876</v>
      </c>
      <c r="LMM1332" s="4" t="s">
        <v>2876</v>
      </c>
      <c r="LMN1332" s="4" t="s">
        <v>2876</v>
      </c>
      <c r="LMO1332" s="4" t="s">
        <v>2876</v>
      </c>
      <c r="LMP1332" s="4" t="s">
        <v>2876</v>
      </c>
      <c r="LMQ1332" s="4" t="s">
        <v>2876</v>
      </c>
      <c r="LMR1332" s="4" t="s">
        <v>2876</v>
      </c>
      <c r="LMS1332" s="4" t="s">
        <v>2876</v>
      </c>
      <c r="LMT1332" s="4" t="s">
        <v>2876</v>
      </c>
      <c r="LMU1332" s="4" t="s">
        <v>2876</v>
      </c>
      <c r="LMV1332" s="4" t="s">
        <v>2876</v>
      </c>
      <c r="LMW1332" s="4" t="s">
        <v>2876</v>
      </c>
      <c r="LMX1332" s="4" t="s">
        <v>2876</v>
      </c>
      <c r="LMY1332" s="4" t="s">
        <v>2876</v>
      </c>
      <c r="LMZ1332" s="4" t="s">
        <v>2876</v>
      </c>
      <c r="LNA1332" s="4" t="s">
        <v>2876</v>
      </c>
      <c r="LNB1332" s="4" t="s">
        <v>2876</v>
      </c>
      <c r="LNC1332" s="4" t="s">
        <v>2876</v>
      </c>
      <c r="LND1332" s="4" t="s">
        <v>2876</v>
      </c>
      <c r="LNE1332" s="4" t="s">
        <v>2876</v>
      </c>
      <c r="LNF1332" s="4" t="s">
        <v>2876</v>
      </c>
      <c r="LNG1332" s="4" t="s">
        <v>2876</v>
      </c>
      <c r="LNH1332" s="4" t="s">
        <v>2876</v>
      </c>
      <c r="LNI1332" s="4" t="s">
        <v>2876</v>
      </c>
      <c r="LNJ1332" s="4" t="s">
        <v>2876</v>
      </c>
      <c r="LNK1332" s="4" t="s">
        <v>2876</v>
      </c>
      <c r="LNL1332" s="4" t="s">
        <v>2876</v>
      </c>
      <c r="LNM1332" s="4" t="s">
        <v>2876</v>
      </c>
      <c r="LNN1332" s="4" t="s">
        <v>2876</v>
      </c>
      <c r="LNO1332" s="4" t="s">
        <v>2876</v>
      </c>
      <c r="LNP1332" s="4" t="s">
        <v>2876</v>
      </c>
      <c r="LNQ1332" s="4" t="s">
        <v>2876</v>
      </c>
      <c r="LNR1332" s="4" t="s">
        <v>2876</v>
      </c>
      <c r="LNS1332" s="4" t="s">
        <v>2876</v>
      </c>
      <c r="LNT1332" s="4" t="s">
        <v>2876</v>
      </c>
      <c r="LNU1332" s="4" t="s">
        <v>2876</v>
      </c>
      <c r="LNV1332" s="4" t="s">
        <v>2876</v>
      </c>
      <c r="LNW1332" s="4" t="s">
        <v>2876</v>
      </c>
      <c r="LNX1332" s="4" t="s">
        <v>2876</v>
      </c>
      <c r="LNY1332" s="4" t="s">
        <v>2876</v>
      </c>
      <c r="LNZ1332" s="4" t="s">
        <v>2876</v>
      </c>
      <c r="LOA1332" s="4" t="s">
        <v>2876</v>
      </c>
      <c r="LOB1332" s="4" t="s">
        <v>2876</v>
      </c>
      <c r="LOC1332" s="4" t="s">
        <v>2876</v>
      </c>
      <c r="LOD1332" s="4" t="s">
        <v>2876</v>
      </c>
      <c r="LOE1332" s="4" t="s">
        <v>2876</v>
      </c>
      <c r="LOF1332" s="4" t="s">
        <v>2876</v>
      </c>
      <c r="LOG1332" s="4" t="s">
        <v>2876</v>
      </c>
      <c r="LOH1332" s="4" t="s">
        <v>2876</v>
      </c>
      <c r="LOI1332" s="4" t="s">
        <v>2876</v>
      </c>
      <c r="LOJ1332" s="4" t="s">
        <v>2876</v>
      </c>
      <c r="LOK1332" s="4" t="s">
        <v>2876</v>
      </c>
      <c r="LOL1332" s="4" t="s">
        <v>2876</v>
      </c>
      <c r="LOM1332" s="4" t="s">
        <v>2876</v>
      </c>
      <c r="LON1332" s="4" t="s">
        <v>2876</v>
      </c>
      <c r="LOO1332" s="4" t="s">
        <v>2876</v>
      </c>
      <c r="LOP1332" s="4" t="s">
        <v>2876</v>
      </c>
      <c r="LOQ1332" s="4" t="s">
        <v>2876</v>
      </c>
      <c r="LOR1332" s="4" t="s">
        <v>2876</v>
      </c>
      <c r="LOS1332" s="4" t="s">
        <v>2876</v>
      </c>
      <c r="LOT1332" s="4" t="s">
        <v>2876</v>
      </c>
      <c r="LOU1332" s="4" t="s">
        <v>2876</v>
      </c>
      <c r="LOV1332" s="4" t="s">
        <v>2876</v>
      </c>
      <c r="LOW1332" s="4" t="s">
        <v>2876</v>
      </c>
      <c r="LOX1332" s="4" t="s">
        <v>2876</v>
      </c>
      <c r="LOY1332" s="4" t="s">
        <v>2876</v>
      </c>
      <c r="LOZ1332" s="4" t="s">
        <v>2876</v>
      </c>
      <c r="LPA1332" s="4" t="s">
        <v>2876</v>
      </c>
      <c r="LPB1332" s="4" t="s">
        <v>2876</v>
      </c>
      <c r="LPC1332" s="4" t="s">
        <v>2876</v>
      </c>
      <c r="LPD1332" s="4" t="s">
        <v>2876</v>
      </c>
      <c r="LPE1332" s="4" t="s">
        <v>2876</v>
      </c>
      <c r="LPF1332" s="4" t="s">
        <v>2876</v>
      </c>
      <c r="LPG1332" s="4" t="s">
        <v>2876</v>
      </c>
      <c r="LPH1332" s="4" t="s">
        <v>2876</v>
      </c>
      <c r="LPI1332" s="4" t="s">
        <v>2876</v>
      </c>
      <c r="LPJ1332" s="4" t="s">
        <v>2876</v>
      </c>
      <c r="LPK1332" s="4" t="s">
        <v>2876</v>
      </c>
      <c r="LPL1332" s="4" t="s">
        <v>2876</v>
      </c>
      <c r="LPM1332" s="4" t="s">
        <v>2876</v>
      </c>
      <c r="LPN1332" s="4" t="s">
        <v>2876</v>
      </c>
      <c r="LPO1332" s="4" t="s">
        <v>2876</v>
      </c>
      <c r="LPP1332" s="4" t="s">
        <v>2876</v>
      </c>
      <c r="LPQ1332" s="4" t="s">
        <v>2876</v>
      </c>
      <c r="LPR1332" s="4" t="s">
        <v>2876</v>
      </c>
      <c r="LPS1332" s="4" t="s">
        <v>2876</v>
      </c>
      <c r="LPT1332" s="4" t="s">
        <v>2876</v>
      </c>
      <c r="LPU1332" s="4" t="s">
        <v>2876</v>
      </c>
      <c r="LPV1332" s="4" t="s">
        <v>2876</v>
      </c>
      <c r="LPW1332" s="4" t="s">
        <v>2876</v>
      </c>
      <c r="LPX1332" s="4" t="s">
        <v>2876</v>
      </c>
      <c r="LPY1332" s="4" t="s">
        <v>2876</v>
      </c>
      <c r="LPZ1332" s="4" t="s">
        <v>2876</v>
      </c>
      <c r="LQA1332" s="4" t="s">
        <v>2876</v>
      </c>
      <c r="LQB1332" s="4" t="s">
        <v>2876</v>
      </c>
      <c r="LQC1332" s="4" t="s">
        <v>2876</v>
      </c>
      <c r="LQD1332" s="4" t="s">
        <v>2876</v>
      </c>
      <c r="LQE1332" s="4" t="s">
        <v>2876</v>
      </c>
      <c r="LQF1332" s="4" t="s">
        <v>2876</v>
      </c>
      <c r="LQG1332" s="4" t="s">
        <v>2876</v>
      </c>
      <c r="LQH1332" s="4" t="s">
        <v>2876</v>
      </c>
      <c r="LQI1332" s="4" t="s">
        <v>2876</v>
      </c>
      <c r="LQJ1332" s="4" t="s">
        <v>2876</v>
      </c>
      <c r="LQK1332" s="4" t="s">
        <v>2876</v>
      </c>
      <c r="LQL1332" s="4" t="s">
        <v>2876</v>
      </c>
      <c r="LQM1332" s="4" t="s">
        <v>2876</v>
      </c>
      <c r="LQN1332" s="4" t="s">
        <v>2876</v>
      </c>
      <c r="LQO1332" s="4" t="s">
        <v>2876</v>
      </c>
      <c r="LQP1332" s="4" t="s">
        <v>2876</v>
      </c>
      <c r="LQQ1332" s="4" t="s">
        <v>2876</v>
      </c>
      <c r="LQR1332" s="4" t="s">
        <v>2876</v>
      </c>
      <c r="LQS1332" s="4" t="s">
        <v>2876</v>
      </c>
      <c r="LQT1332" s="4" t="s">
        <v>2876</v>
      </c>
      <c r="LQU1332" s="4" t="s">
        <v>2876</v>
      </c>
      <c r="LQV1332" s="4" t="s">
        <v>2876</v>
      </c>
      <c r="LQW1332" s="4" t="s">
        <v>2876</v>
      </c>
      <c r="LQX1332" s="4" t="s">
        <v>2876</v>
      </c>
      <c r="LQY1332" s="4" t="s">
        <v>2876</v>
      </c>
      <c r="LQZ1332" s="4" t="s">
        <v>2876</v>
      </c>
      <c r="LRA1332" s="4" t="s">
        <v>2876</v>
      </c>
      <c r="LRB1332" s="4" t="s">
        <v>2876</v>
      </c>
      <c r="LRC1332" s="4" t="s">
        <v>2876</v>
      </c>
      <c r="LRD1332" s="4" t="s">
        <v>2876</v>
      </c>
      <c r="LRE1332" s="4" t="s">
        <v>2876</v>
      </c>
      <c r="LRF1332" s="4" t="s">
        <v>2876</v>
      </c>
      <c r="LRG1332" s="4" t="s">
        <v>2876</v>
      </c>
      <c r="LRH1332" s="4" t="s">
        <v>2876</v>
      </c>
      <c r="LRI1332" s="4" t="s">
        <v>2876</v>
      </c>
      <c r="LRJ1332" s="4" t="s">
        <v>2876</v>
      </c>
      <c r="LRK1332" s="4" t="s">
        <v>2876</v>
      </c>
      <c r="LRL1332" s="4" t="s">
        <v>2876</v>
      </c>
      <c r="LRM1332" s="4" t="s">
        <v>2876</v>
      </c>
      <c r="LRN1332" s="4" t="s">
        <v>2876</v>
      </c>
      <c r="LRO1332" s="4" t="s">
        <v>2876</v>
      </c>
      <c r="LRP1332" s="4" t="s">
        <v>2876</v>
      </c>
      <c r="LRQ1332" s="4" t="s">
        <v>2876</v>
      </c>
      <c r="LRR1332" s="4" t="s">
        <v>2876</v>
      </c>
      <c r="LRS1332" s="4" t="s">
        <v>2876</v>
      </c>
      <c r="LRT1332" s="4" t="s">
        <v>2876</v>
      </c>
      <c r="LRU1332" s="4" t="s">
        <v>2876</v>
      </c>
      <c r="LRV1332" s="4" t="s">
        <v>2876</v>
      </c>
      <c r="LRW1332" s="4" t="s">
        <v>2876</v>
      </c>
      <c r="LRX1332" s="4" t="s">
        <v>2876</v>
      </c>
      <c r="LRY1332" s="4" t="s">
        <v>2876</v>
      </c>
      <c r="LRZ1332" s="4" t="s">
        <v>2876</v>
      </c>
      <c r="LSA1332" s="4" t="s">
        <v>2876</v>
      </c>
      <c r="LSB1332" s="4" t="s">
        <v>2876</v>
      </c>
      <c r="LSC1332" s="4" t="s">
        <v>2876</v>
      </c>
      <c r="LSD1332" s="4" t="s">
        <v>2876</v>
      </c>
      <c r="LSE1332" s="4" t="s">
        <v>2876</v>
      </c>
      <c r="LSF1332" s="4" t="s">
        <v>2876</v>
      </c>
      <c r="LSG1332" s="4" t="s">
        <v>2876</v>
      </c>
      <c r="LSH1332" s="4" t="s">
        <v>2876</v>
      </c>
      <c r="LSI1332" s="4" t="s">
        <v>2876</v>
      </c>
      <c r="LSJ1332" s="4" t="s">
        <v>2876</v>
      </c>
      <c r="LSK1332" s="4" t="s">
        <v>2876</v>
      </c>
      <c r="LSL1332" s="4" t="s">
        <v>2876</v>
      </c>
      <c r="LSM1332" s="4" t="s">
        <v>2876</v>
      </c>
      <c r="LSN1332" s="4" t="s">
        <v>2876</v>
      </c>
      <c r="LSO1332" s="4" t="s">
        <v>2876</v>
      </c>
      <c r="LSP1332" s="4" t="s">
        <v>2876</v>
      </c>
      <c r="LSQ1332" s="4" t="s">
        <v>2876</v>
      </c>
      <c r="LSR1332" s="4" t="s">
        <v>2876</v>
      </c>
      <c r="LSS1332" s="4" t="s">
        <v>2876</v>
      </c>
      <c r="LST1332" s="4" t="s">
        <v>2876</v>
      </c>
      <c r="LSU1332" s="4" t="s">
        <v>2876</v>
      </c>
      <c r="LSV1332" s="4" t="s">
        <v>2876</v>
      </c>
      <c r="LSW1332" s="4" t="s">
        <v>2876</v>
      </c>
      <c r="LSX1332" s="4" t="s">
        <v>2876</v>
      </c>
      <c r="LSY1332" s="4" t="s">
        <v>2876</v>
      </c>
      <c r="LSZ1332" s="4" t="s">
        <v>2876</v>
      </c>
      <c r="LTA1332" s="4" t="s">
        <v>2876</v>
      </c>
      <c r="LTB1332" s="4" t="s">
        <v>2876</v>
      </c>
      <c r="LTC1332" s="4" t="s">
        <v>2876</v>
      </c>
      <c r="LTD1332" s="4" t="s">
        <v>2876</v>
      </c>
      <c r="LTE1332" s="4" t="s">
        <v>2876</v>
      </c>
      <c r="LTF1332" s="4" t="s">
        <v>2876</v>
      </c>
      <c r="LTG1332" s="4" t="s">
        <v>2876</v>
      </c>
      <c r="LTH1332" s="4" t="s">
        <v>2876</v>
      </c>
      <c r="LTI1332" s="4" t="s">
        <v>2876</v>
      </c>
      <c r="LTJ1332" s="4" t="s">
        <v>2876</v>
      </c>
      <c r="LTK1332" s="4" t="s">
        <v>2876</v>
      </c>
      <c r="LTL1332" s="4" t="s">
        <v>2876</v>
      </c>
      <c r="LTM1332" s="4" t="s">
        <v>2876</v>
      </c>
      <c r="LTN1332" s="4" t="s">
        <v>2876</v>
      </c>
      <c r="LTO1332" s="4" t="s">
        <v>2876</v>
      </c>
      <c r="LTP1332" s="4" t="s">
        <v>2876</v>
      </c>
      <c r="LTQ1332" s="4" t="s">
        <v>2876</v>
      </c>
      <c r="LTR1332" s="4" t="s">
        <v>2876</v>
      </c>
      <c r="LTS1332" s="4" t="s">
        <v>2876</v>
      </c>
      <c r="LTT1332" s="4" t="s">
        <v>2876</v>
      </c>
      <c r="LTU1332" s="4" t="s">
        <v>2876</v>
      </c>
      <c r="LTV1332" s="4" t="s">
        <v>2876</v>
      </c>
      <c r="LTW1332" s="4" t="s">
        <v>2876</v>
      </c>
      <c r="LTX1332" s="4" t="s">
        <v>2876</v>
      </c>
      <c r="LTY1332" s="4" t="s">
        <v>2876</v>
      </c>
      <c r="LTZ1332" s="4" t="s">
        <v>2876</v>
      </c>
      <c r="LUA1332" s="4" t="s">
        <v>2876</v>
      </c>
      <c r="LUB1332" s="4" t="s">
        <v>2876</v>
      </c>
      <c r="LUC1332" s="4" t="s">
        <v>2876</v>
      </c>
      <c r="LUD1332" s="4" t="s">
        <v>2876</v>
      </c>
      <c r="LUE1332" s="4" t="s">
        <v>2876</v>
      </c>
      <c r="LUF1332" s="4" t="s">
        <v>2876</v>
      </c>
      <c r="LUG1332" s="4" t="s">
        <v>2876</v>
      </c>
      <c r="LUH1332" s="4" t="s">
        <v>2876</v>
      </c>
      <c r="LUI1332" s="4" t="s">
        <v>2876</v>
      </c>
      <c r="LUJ1332" s="4" t="s">
        <v>2876</v>
      </c>
      <c r="LUK1332" s="4" t="s">
        <v>2876</v>
      </c>
      <c r="LUL1332" s="4" t="s">
        <v>2876</v>
      </c>
      <c r="LUM1332" s="4" t="s">
        <v>2876</v>
      </c>
      <c r="LUN1332" s="4" t="s">
        <v>2876</v>
      </c>
      <c r="LUO1332" s="4" t="s">
        <v>2876</v>
      </c>
      <c r="LUP1332" s="4" t="s">
        <v>2876</v>
      </c>
      <c r="LUQ1332" s="4" t="s">
        <v>2876</v>
      </c>
      <c r="LUR1332" s="4" t="s">
        <v>2876</v>
      </c>
      <c r="LUS1332" s="4" t="s">
        <v>2876</v>
      </c>
      <c r="LUT1332" s="4" t="s">
        <v>2876</v>
      </c>
      <c r="LUU1332" s="4" t="s">
        <v>2876</v>
      </c>
      <c r="LUV1332" s="4" t="s">
        <v>2876</v>
      </c>
      <c r="LUW1332" s="4" t="s">
        <v>2876</v>
      </c>
      <c r="LUX1332" s="4" t="s">
        <v>2876</v>
      </c>
      <c r="LUY1332" s="4" t="s">
        <v>2876</v>
      </c>
      <c r="LUZ1332" s="4" t="s">
        <v>2876</v>
      </c>
      <c r="LVA1332" s="4" t="s">
        <v>2876</v>
      </c>
      <c r="LVB1332" s="4" t="s">
        <v>2876</v>
      </c>
      <c r="LVC1332" s="4" t="s">
        <v>2876</v>
      </c>
      <c r="LVD1332" s="4" t="s">
        <v>2876</v>
      </c>
      <c r="LVE1332" s="4" t="s">
        <v>2876</v>
      </c>
      <c r="LVF1332" s="4" t="s">
        <v>2876</v>
      </c>
      <c r="LVG1332" s="4" t="s">
        <v>2876</v>
      </c>
      <c r="LVH1332" s="4" t="s">
        <v>2876</v>
      </c>
      <c r="LVI1332" s="4" t="s">
        <v>2876</v>
      </c>
      <c r="LVJ1332" s="4" t="s">
        <v>2876</v>
      </c>
      <c r="LVK1332" s="4" t="s">
        <v>2876</v>
      </c>
      <c r="LVL1332" s="4" t="s">
        <v>2876</v>
      </c>
      <c r="LVM1332" s="4" t="s">
        <v>2876</v>
      </c>
      <c r="LVN1332" s="4" t="s">
        <v>2876</v>
      </c>
      <c r="LVO1332" s="4" t="s">
        <v>2876</v>
      </c>
      <c r="LVP1332" s="4" t="s">
        <v>2876</v>
      </c>
      <c r="LVQ1332" s="4" t="s">
        <v>2876</v>
      </c>
      <c r="LVR1332" s="4" t="s">
        <v>2876</v>
      </c>
      <c r="LVS1332" s="4" t="s">
        <v>2876</v>
      </c>
      <c r="LVT1332" s="4" t="s">
        <v>2876</v>
      </c>
      <c r="LVU1332" s="4" t="s">
        <v>2876</v>
      </c>
      <c r="LVV1332" s="4" t="s">
        <v>2876</v>
      </c>
      <c r="LVW1332" s="4" t="s">
        <v>2876</v>
      </c>
      <c r="LVX1332" s="4" t="s">
        <v>2876</v>
      </c>
      <c r="LVY1332" s="4" t="s">
        <v>2876</v>
      </c>
      <c r="LVZ1332" s="4" t="s">
        <v>2876</v>
      </c>
      <c r="LWA1332" s="4" t="s">
        <v>2876</v>
      </c>
      <c r="LWB1332" s="4" t="s">
        <v>2876</v>
      </c>
      <c r="LWC1332" s="4" t="s">
        <v>2876</v>
      </c>
      <c r="LWD1332" s="4" t="s">
        <v>2876</v>
      </c>
      <c r="LWE1332" s="4" t="s">
        <v>2876</v>
      </c>
      <c r="LWF1332" s="4" t="s">
        <v>2876</v>
      </c>
      <c r="LWG1332" s="4" t="s">
        <v>2876</v>
      </c>
      <c r="LWH1332" s="4" t="s">
        <v>2876</v>
      </c>
      <c r="LWI1332" s="4" t="s">
        <v>2876</v>
      </c>
      <c r="LWJ1332" s="4" t="s">
        <v>2876</v>
      </c>
      <c r="LWK1332" s="4" t="s">
        <v>2876</v>
      </c>
      <c r="LWL1332" s="4" t="s">
        <v>2876</v>
      </c>
      <c r="LWM1332" s="4" t="s">
        <v>2876</v>
      </c>
      <c r="LWN1332" s="4" t="s">
        <v>2876</v>
      </c>
      <c r="LWO1332" s="4" t="s">
        <v>2876</v>
      </c>
      <c r="LWP1332" s="4" t="s">
        <v>2876</v>
      </c>
      <c r="LWQ1332" s="4" t="s">
        <v>2876</v>
      </c>
      <c r="LWR1332" s="4" t="s">
        <v>2876</v>
      </c>
      <c r="LWS1332" s="4" t="s">
        <v>2876</v>
      </c>
      <c r="LWT1332" s="4" t="s">
        <v>2876</v>
      </c>
      <c r="LWU1332" s="4" t="s">
        <v>2876</v>
      </c>
      <c r="LWV1332" s="4" t="s">
        <v>2876</v>
      </c>
      <c r="LWW1332" s="4" t="s">
        <v>2876</v>
      </c>
      <c r="LWX1332" s="4" t="s">
        <v>2876</v>
      </c>
      <c r="LWY1332" s="4" t="s">
        <v>2876</v>
      </c>
      <c r="LWZ1332" s="4" t="s">
        <v>2876</v>
      </c>
      <c r="LXA1332" s="4" t="s">
        <v>2876</v>
      </c>
      <c r="LXB1332" s="4" t="s">
        <v>2876</v>
      </c>
      <c r="LXC1332" s="4" t="s">
        <v>2876</v>
      </c>
      <c r="LXD1332" s="4" t="s">
        <v>2876</v>
      </c>
      <c r="LXE1332" s="4" t="s">
        <v>2876</v>
      </c>
      <c r="LXF1332" s="4" t="s">
        <v>2876</v>
      </c>
      <c r="LXG1332" s="4" t="s">
        <v>2876</v>
      </c>
      <c r="LXH1332" s="4" t="s">
        <v>2876</v>
      </c>
      <c r="LXI1332" s="4" t="s">
        <v>2876</v>
      </c>
      <c r="LXJ1332" s="4" t="s">
        <v>2876</v>
      </c>
      <c r="LXK1332" s="4" t="s">
        <v>2876</v>
      </c>
      <c r="LXL1332" s="4" t="s">
        <v>2876</v>
      </c>
      <c r="LXM1332" s="4" t="s">
        <v>2876</v>
      </c>
      <c r="LXN1332" s="4" t="s">
        <v>2876</v>
      </c>
      <c r="LXO1332" s="4" t="s">
        <v>2876</v>
      </c>
      <c r="LXP1332" s="4" t="s">
        <v>2876</v>
      </c>
      <c r="LXQ1332" s="4" t="s">
        <v>2876</v>
      </c>
      <c r="LXR1332" s="4" t="s">
        <v>2876</v>
      </c>
      <c r="LXS1332" s="4" t="s">
        <v>2876</v>
      </c>
      <c r="LXT1332" s="4" t="s">
        <v>2876</v>
      </c>
      <c r="LXU1332" s="4" t="s">
        <v>2876</v>
      </c>
      <c r="LXV1332" s="4" t="s">
        <v>2876</v>
      </c>
      <c r="LXW1332" s="4" t="s">
        <v>2876</v>
      </c>
      <c r="LXX1332" s="4" t="s">
        <v>2876</v>
      </c>
      <c r="LXY1332" s="4" t="s">
        <v>2876</v>
      </c>
      <c r="LXZ1332" s="4" t="s">
        <v>2876</v>
      </c>
      <c r="LYA1332" s="4" t="s">
        <v>2876</v>
      </c>
      <c r="LYB1332" s="4" t="s">
        <v>2876</v>
      </c>
      <c r="LYC1332" s="4" t="s">
        <v>2876</v>
      </c>
      <c r="LYD1332" s="4" t="s">
        <v>2876</v>
      </c>
      <c r="LYE1332" s="4" t="s">
        <v>2876</v>
      </c>
      <c r="LYF1332" s="4" t="s">
        <v>2876</v>
      </c>
      <c r="LYG1332" s="4" t="s">
        <v>2876</v>
      </c>
      <c r="LYH1332" s="4" t="s">
        <v>2876</v>
      </c>
      <c r="LYI1332" s="4" t="s">
        <v>2876</v>
      </c>
      <c r="LYJ1332" s="4" t="s">
        <v>2876</v>
      </c>
      <c r="LYK1332" s="4" t="s">
        <v>2876</v>
      </c>
      <c r="LYL1332" s="4" t="s">
        <v>2876</v>
      </c>
      <c r="LYM1332" s="4" t="s">
        <v>2876</v>
      </c>
      <c r="LYN1332" s="4" t="s">
        <v>2876</v>
      </c>
      <c r="LYO1332" s="4" t="s">
        <v>2876</v>
      </c>
      <c r="LYP1332" s="4" t="s">
        <v>2876</v>
      </c>
      <c r="LYQ1332" s="4" t="s">
        <v>2876</v>
      </c>
      <c r="LYR1332" s="4" t="s">
        <v>2876</v>
      </c>
      <c r="LYS1332" s="4" t="s">
        <v>2876</v>
      </c>
      <c r="LYT1332" s="4" t="s">
        <v>2876</v>
      </c>
      <c r="LYU1332" s="4" t="s">
        <v>2876</v>
      </c>
      <c r="LYV1332" s="4" t="s">
        <v>2876</v>
      </c>
      <c r="LYW1332" s="4" t="s">
        <v>2876</v>
      </c>
      <c r="LYX1332" s="4" t="s">
        <v>2876</v>
      </c>
      <c r="LYY1332" s="4" t="s">
        <v>2876</v>
      </c>
      <c r="LYZ1332" s="4" t="s">
        <v>2876</v>
      </c>
      <c r="LZA1332" s="4" t="s">
        <v>2876</v>
      </c>
      <c r="LZB1332" s="4" t="s">
        <v>2876</v>
      </c>
      <c r="LZC1332" s="4" t="s">
        <v>2876</v>
      </c>
      <c r="LZD1332" s="4" t="s">
        <v>2876</v>
      </c>
      <c r="LZE1332" s="4" t="s">
        <v>2876</v>
      </c>
      <c r="LZF1332" s="4" t="s">
        <v>2876</v>
      </c>
      <c r="LZG1332" s="4" t="s">
        <v>2876</v>
      </c>
      <c r="LZH1332" s="4" t="s">
        <v>2876</v>
      </c>
      <c r="LZI1332" s="4" t="s">
        <v>2876</v>
      </c>
      <c r="LZJ1332" s="4" t="s">
        <v>2876</v>
      </c>
      <c r="LZK1332" s="4" t="s">
        <v>2876</v>
      </c>
      <c r="LZL1332" s="4" t="s">
        <v>2876</v>
      </c>
      <c r="LZM1332" s="4" t="s">
        <v>2876</v>
      </c>
      <c r="LZN1332" s="4" t="s">
        <v>2876</v>
      </c>
      <c r="LZO1332" s="4" t="s">
        <v>2876</v>
      </c>
      <c r="LZP1332" s="4" t="s">
        <v>2876</v>
      </c>
      <c r="LZQ1332" s="4" t="s">
        <v>2876</v>
      </c>
      <c r="LZR1332" s="4" t="s">
        <v>2876</v>
      </c>
      <c r="LZS1332" s="4" t="s">
        <v>2876</v>
      </c>
      <c r="LZT1332" s="4" t="s">
        <v>2876</v>
      </c>
      <c r="LZU1332" s="4" t="s">
        <v>2876</v>
      </c>
      <c r="LZV1332" s="4" t="s">
        <v>2876</v>
      </c>
      <c r="LZW1332" s="4" t="s">
        <v>2876</v>
      </c>
      <c r="LZX1332" s="4" t="s">
        <v>2876</v>
      </c>
      <c r="LZY1332" s="4" t="s">
        <v>2876</v>
      </c>
      <c r="LZZ1332" s="4" t="s">
        <v>2876</v>
      </c>
      <c r="MAA1332" s="4" t="s">
        <v>2876</v>
      </c>
      <c r="MAB1332" s="4" t="s">
        <v>2876</v>
      </c>
      <c r="MAC1332" s="4" t="s">
        <v>2876</v>
      </c>
      <c r="MAD1332" s="4" t="s">
        <v>2876</v>
      </c>
      <c r="MAE1332" s="4" t="s">
        <v>2876</v>
      </c>
      <c r="MAF1332" s="4" t="s">
        <v>2876</v>
      </c>
      <c r="MAG1332" s="4" t="s">
        <v>2876</v>
      </c>
      <c r="MAH1332" s="4" t="s">
        <v>2876</v>
      </c>
      <c r="MAI1332" s="4" t="s">
        <v>2876</v>
      </c>
      <c r="MAJ1332" s="4" t="s">
        <v>2876</v>
      </c>
      <c r="MAK1332" s="4" t="s">
        <v>2876</v>
      </c>
      <c r="MAL1332" s="4" t="s">
        <v>2876</v>
      </c>
      <c r="MAM1332" s="4" t="s">
        <v>2876</v>
      </c>
      <c r="MAN1332" s="4" t="s">
        <v>2876</v>
      </c>
      <c r="MAO1332" s="4" t="s">
        <v>2876</v>
      </c>
      <c r="MAP1332" s="4" t="s">
        <v>2876</v>
      </c>
      <c r="MAQ1332" s="4" t="s">
        <v>2876</v>
      </c>
      <c r="MAR1332" s="4" t="s">
        <v>2876</v>
      </c>
      <c r="MAS1332" s="4" t="s">
        <v>2876</v>
      </c>
      <c r="MAT1332" s="4" t="s">
        <v>2876</v>
      </c>
      <c r="MAU1332" s="4" t="s">
        <v>2876</v>
      </c>
      <c r="MAV1332" s="4" t="s">
        <v>2876</v>
      </c>
      <c r="MAW1332" s="4" t="s">
        <v>2876</v>
      </c>
      <c r="MAX1332" s="4" t="s">
        <v>2876</v>
      </c>
      <c r="MAY1332" s="4" t="s">
        <v>2876</v>
      </c>
      <c r="MAZ1332" s="4" t="s">
        <v>2876</v>
      </c>
      <c r="MBA1332" s="4" t="s">
        <v>2876</v>
      </c>
      <c r="MBB1332" s="4" t="s">
        <v>2876</v>
      </c>
      <c r="MBC1332" s="4" t="s">
        <v>2876</v>
      </c>
      <c r="MBD1332" s="4" t="s">
        <v>2876</v>
      </c>
      <c r="MBE1332" s="4" t="s">
        <v>2876</v>
      </c>
      <c r="MBF1332" s="4" t="s">
        <v>2876</v>
      </c>
      <c r="MBG1332" s="4" t="s">
        <v>2876</v>
      </c>
      <c r="MBH1332" s="4" t="s">
        <v>2876</v>
      </c>
      <c r="MBI1332" s="4" t="s">
        <v>2876</v>
      </c>
      <c r="MBJ1332" s="4" t="s">
        <v>2876</v>
      </c>
      <c r="MBK1332" s="4" t="s">
        <v>2876</v>
      </c>
      <c r="MBL1332" s="4" t="s">
        <v>2876</v>
      </c>
      <c r="MBM1332" s="4" t="s">
        <v>2876</v>
      </c>
      <c r="MBN1332" s="4" t="s">
        <v>2876</v>
      </c>
      <c r="MBO1332" s="4" t="s">
        <v>2876</v>
      </c>
      <c r="MBP1332" s="4" t="s">
        <v>2876</v>
      </c>
      <c r="MBQ1332" s="4" t="s">
        <v>2876</v>
      </c>
      <c r="MBR1332" s="4" t="s">
        <v>2876</v>
      </c>
      <c r="MBS1332" s="4" t="s">
        <v>2876</v>
      </c>
      <c r="MBT1332" s="4" t="s">
        <v>2876</v>
      </c>
      <c r="MBU1332" s="4" t="s">
        <v>2876</v>
      </c>
      <c r="MBV1332" s="4" t="s">
        <v>2876</v>
      </c>
      <c r="MBW1332" s="4" t="s">
        <v>2876</v>
      </c>
      <c r="MBX1332" s="4" t="s">
        <v>2876</v>
      </c>
      <c r="MBY1332" s="4" t="s">
        <v>2876</v>
      </c>
      <c r="MBZ1332" s="4" t="s">
        <v>2876</v>
      </c>
      <c r="MCA1332" s="4" t="s">
        <v>2876</v>
      </c>
      <c r="MCB1332" s="4" t="s">
        <v>2876</v>
      </c>
      <c r="MCC1332" s="4" t="s">
        <v>2876</v>
      </c>
      <c r="MCD1332" s="4" t="s">
        <v>2876</v>
      </c>
      <c r="MCE1332" s="4" t="s">
        <v>2876</v>
      </c>
      <c r="MCF1332" s="4" t="s">
        <v>2876</v>
      </c>
      <c r="MCG1332" s="4" t="s">
        <v>2876</v>
      </c>
      <c r="MCH1332" s="4" t="s">
        <v>2876</v>
      </c>
      <c r="MCI1332" s="4" t="s">
        <v>2876</v>
      </c>
      <c r="MCJ1332" s="4" t="s">
        <v>2876</v>
      </c>
      <c r="MCK1332" s="4" t="s">
        <v>2876</v>
      </c>
      <c r="MCL1332" s="4" t="s">
        <v>2876</v>
      </c>
      <c r="MCM1332" s="4" t="s">
        <v>2876</v>
      </c>
      <c r="MCN1332" s="4" t="s">
        <v>2876</v>
      </c>
      <c r="MCO1332" s="4" t="s">
        <v>2876</v>
      </c>
      <c r="MCP1332" s="4" t="s">
        <v>2876</v>
      </c>
      <c r="MCQ1332" s="4" t="s">
        <v>2876</v>
      </c>
      <c r="MCR1332" s="4" t="s">
        <v>2876</v>
      </c>
      <c r="MCS1332" s="4" t="s">
        <v>2876</v>
      </c>
      <c r="MCT1332" s="4" t="s">
        <v>2876</v>
      </c>
      <c r="MCU1332" s="4" t="s">
        <v>2876</v>
      </c>
      <c r="MCV1332" s="4" t="s">
        <v>2876</v>
      </c>
      <c r="MCW1332" s="4" t="s">
        <v>2876</v>
      </c>
      <c r="MCX1332" s="4" t="s">
        <v>2876</v>
      </c>
      <c r="MCY1332" s="4" t="s">
        <v>2876</v>
      </c>
      <c r="MCZ1332" s="4" t="s">
        <v>2876</v>
      </c>
      <c r="MDA1332" s="4" t="s">
        <v>2876</v>
      </c>
      <c r="MDB1332" s="4" t="s">
        <v>2876</v>
      </c>
      <c r="MDC1332" s="4" t="s">
        <v>2876</v>
      </c>
      <c r="MDD1332" s="4" t="s">
        <v>2876</v>
      </c>
      <c r="MDE1332" s="4" t="s">
        <v>2876</v>
      </c>
      <c r="MDF1332" s="4" t="s">
        <v>2876</v>
      </c>
      <c r="MDG1332" s="4" t="s">
        <v>2876</v>
      </c>
      <c r="MDH1332" s="4" t="s">
        <v>2876</v>
      </c>
      <c r="MDI1332" s="4" t="s">
        <v>2876</v>
      </c>
      <c r="MDJ1332" s="4" t="s">
        <v>2876</v>
      </c>
      <c r="MDK1332" s="4" t="s">
        <v>2876</v>
      </c>
      <c r="MDL1332" s="4" t="s">
        <v>2876</v>
      </c>
      <c r="MDM1332" s="4" t="s">
        <v>2876</v>
      </c>
      <c r="MDN1332" s="4" t="s">
        <v>2876</v>
      </c>
      <c r="MDO1332" s="4" t="s">
        <v>2876</v>
      </c>
      <c r="MDP1332" s="4" t="s">
        <v>2876</v>
      </c>
      <c r="MDQ1332" s="4" t="s">
        <v>2876</v>
      </c>
      <c r="MDR1332" s="4" t="s">
        <v>2876</v>
      </c>
      <c r="MDS1332" s="4" t="s">
        <v>2876</v>
      </c>
      <c r="MDT1332" s="4" t="s">
        <v>2876</v>
      </c>
      <c r="MDU1332" s="4" t="s">
        <v>2876</v>
      </c>
      <c r="MDV1332" s="4" t="s">
        <v>2876</v>
      </c>
      <c r="MDW1332" s="4" t="s">
        <v>2876</v>
      </c>
      <c r="MDX1332" s="4" t="s">
        <v>2876</v>
      </c>
      <c r="MDY1332" s="4" t="s">
        <v>2876</v>
      </c>
      <c r="MDZ1332" s="4" t="s">
        <v>2876</v>
      </c>
      <c r="MEA1332" s="4" t="s">
        <v>2876</v>
      </c>
      <c r="MEB1332" s="4" t="s">
        <v>2876</v>
      </c>
      <c r="MEC1332" s="4" t="s">
        <v>2876</v>
      </c>
      <c r="MED1332" s="4" t="s">
        <v>2876</v>
      </c>
      <c r="MEE1332" s="4" t="s">
        <v>2876</v>
      </c>
      <c r="MEF1332" s="4" t="s">
        <v>2876</v>
      </c>
      <c r="MEG1332" s="4" t="s">
        <v>2876</v>
      </c>
      <c r="MEH1332" s="4" t="s">
        <v>2876</v>
      </c>
      <c r="MEI1332" s="4" t="s">
        <v>2876</v>
      </c>
      <c r="MEJ1332" s="4" t="s">
        <v>2876</v>
      </c>
      <c r="MEK1332" s="4" t="s">
        <v>2876</v>
      </c>
      <c r="MEL1332" s="4" t="s">
        <v>2876</v>
      </c>
      <c r="MEM1332" s="4" t="s">
        <v>2876</v>
      </c>
      <c r="MEN1332" s="4" t="s">
        <v>2876</v>
      </c>
      <c r="MEO1332" s="4" t="s">
        <v>2876</v>
      </c>
      <c r="MEP1332" s="4" t="s">
        <v>2876</v>
      </c>
      <c r="MEQ1332" s="4" t="s">
        <v>2876</v>
      </c>
      <c r="MER1332" s="4" t="s">
        <v>2876</v>
      </c>
      <c r="MES1332" s="4" t="s">
        <v>2876</v>
      </c>
      <c r="MET1332" s="4" t="s">
        <v>2876</v>
      </c>
      <c r="MEU1332" s="4" t="s">
        <v>2876</v>
      </c>
      <c r="MEV1332" s="4" t="s">
        <v>2876</v>
      </c>
      <c r="MEW1332" s="4" t="s">
        <v>2876</v>
      </c>
      <c r="MEX1332" s="4" t="s">
        <v>2876</v>
      </c>
      <c r="MEY1332" s="4" t="s">
        <v>2876</v>
      </c>
      <c r="MEZ1332" s="4" t="s">
        <v>2876</v>
      </c>
      <c r="MFA1332" s="4" t="s">
        <v>2876</v>
      </c>
      <c r="MFB1332" s="4" t="s">
        <v>2876</v>
      </c>
      <c r="MFC1332" s="4" t="s">
        <v>2876</v>
      </c>
      <c r="MFD1332" s="4" t="s">
        <v>2876</v>
      </c>
      <c r="MFE1332" s="4" t="s">
        <v>2876</v>
      </c>
      <c r="MFF1332" s="4" t="s">
        <v>2876</v>
      </c>
      <c r="MFG1332" s="4" t="s">
        <v>2876</v>
      </c>
      <c r="MFH1332" s="4" t="s">
        <v>2876</v>
      </c>
      <c r="MFI1332" s="4" t="s">
        <v>2876</v>
      </c>
      <c r="MFJ1332" s="4" t="s">
        <v>2876</v>
      </c>
      <c r="MFK1332" s="4" t="s">
        <v>2876</v>
      </c>
      <c r="MFL1332" s="4" t="s">
        <v>2876</v>
      </c>
      <c r="MFM1332" s="4" t="s">
        <v>2876</v>
      </c>
      <c r="MFN1332" s="4" t="s">
        <v>2876</v>
      </c>
      <c r="MFO1332" s="4" t="s">
        <v>2876</v>
      </c>
      <c r="MFP1332" s="4" t="s">
        <v>2876</v>
      </c>
      <c r="MFQ1332" s="4" t="s">
        <v>2876</v>
      </c>
      <c r="MFR1332" s="4" t="s">
        <v>2876</v>
      </c>
      <c r="MFS1332" s="4" t="s">
        <v>2876</v>
      </c>
      <c r="MFT1332" s="4" t="s">
        <v>2876</v>
      </c>
      <c r="MFU1332" s="4" t="s">
        <v>2876</v>
      </c>
      <c r="MFV1332" s="4" t="s">
        <v>2876</v>
      </c>
      <c r="MFW1332" s="4" t="s">
        <v>2876</v>
      </c>
      <c r="MFX1332" s="4" t="s">
        <v>2876</v>
      </c>
      <c r="MFY1332" s="4" t="s">
        <v>2876</v>
      </c>
      <c r="MFZ1332" s="4" t="s">
        <v>2876</v>
      </c>
      <c r="MGA1332" s="4" t="s">
        <v>2876</v>
      </c>
      <c r="MGB1332" s="4" t="s">
        <v>2876</v>
      </c>
      <c r="MGC1332" s="4" t="s">
        <v>2876</v>
      </c>
      <c r="MGD1332" s="4" t="s">
        <v>2876</v>
      </c>
      <c r="MGE1332" s="4" t="s">
        <v>2876</v>
      </c>
      <c r="MGF1332" s="4" t="s">
        <v>2876</v>
      </c>
      <c r="MGG1332" s="4" t="s">
        <v>2876</v>
      </c>
      <c r="MGH1332" s="4" t="s">
        <v>2876</v>
      </c>
      <c r="MGI1332" s="4" t="s">
        <v>2876</v>
      </c>
      <c r="MGJ1332" s="4" t="s">
        <v>2876</v>
      </c>
      <c r="MGK1332" s="4" t="s">
        <v>2876</v>
      </c>
      <c r="MGL1332" s="4" t="s">
        <v>2876</v>
      </c>
      <c r="MGM1332" s="4" t="s">
        <v>2876</v>
      </c>
      <c r="MGN1332" s="4" t="s">
        <v>2876</v>
      </c>
      <c r="MGO1332" s="4" t="s">
        <v>2876</v>
      </c>
      <c r="MGP1332" s="4" t="s">
        <v>2876</v>
      </c>
      <c r="MGQ1332" s="4" t="s">
        <v>2876</v>
      </c>
      <c r="MGR1332" s="4" t="s">
        <v>2876</v>
      </c>
      <c r="MGS1332" s="4" t="s">
        <v>2876</v>
      </c>
      <c r="MGT1332" s="4" t="s">
        <v>2876</v>
      </c>
      <c r="MGU1332" s="4" t="s">
        <v>2876</v>
      </c>
      <c r="MGV1332" s="4" t="s">
        <v>2876</v>
      </c>
      <c r="MGW1332" s="4" t="s">
        <v>2876</v>
      </c>
      <c r="MGX1332" s="4" t="s">
        <v>2876</v>
      </c>
      <c r="MGY1332" s="4" t="s">
        <v>2876</v>
      </c>
      <c r="MGZ1332" s="4" t="s">
        <v>2876</v>
      </c>
      <c r="MHA1332" s="4" t="s">
        <v>2876</v>
      </c>
      <c r="MHB1332" s="4" t="s">
        <v>2876</v>
      </c>
      <c r="MHC1332" s="4" t="s">
        <v>2876</v>
      </c>
      <c r="MHD1332" s="4" t="s">
        <v>2876</v>
      </c>
      <c r="MHE1332" s="4" t="s">
        <v>2876</v>
      </c>
      <c r="MHF1332" s="4" t="s">
        <v>2876</v>
      </c>
      <c r="MHG1332" s="4" t="s">
        <v>2876</v>
      </c>
      <c r="MHH1332" s="4" t="s">
        <v>2876</v>
      </c>
      <c r="MHI1332" s="4" t="s">
        <v>2876</v>
      </c>
      <c r="MHJ1332" s="4" t="s">
        <v>2876</v>
      </c>
      <c r="MHK1332" s="4" t="s">
        <v>2876</v>
      </c>
      <c r="MHL1332" s="4" t="s">
        <v>2876</v>
      </c>
      <c r="MHM1332" s="4" t="s">
        <v>2876</v>
      </c>
      <c r="MHN1332" s="4" t="s">
        <v>2876</v>
      </c>
      <c r="MHO1332" s="4" t="s">
        <v>2876</v>
      </c>
      <c r="MHP1332" s="4" t="s">
        <v>2876</v>
      </c>
      <c r="MHQ1332" s="4" t="s">
        <v>2876</v>
      </c>
      <c r="MHR1332" s="4" t="s">
        <v>2876</v>
      </c>
      <c r="MHS1332" s="4" t="s">
        <v>2876</v>
      </c>
      <c r="MHT1332" s="4" t="s">
        <v>2876</v>
      </c>
      <c r="MHU1332" s="4" t="s">
        <v>2876</v>
      </c>
      <c r="MHV1332" s="4" t="s">
        <v>2876</v>
      </c>
      <c r="MHW1332" s="4" t="s">
        <v>2876</v>
      </c>
      <c r="MHX1332" s="4" t="s">
        <v>2876</v>
      </c>
      <c r="MHY1332" s="4" t="s">
        <v>2876</v>
      </c>
      <c r="MHZ1332" s="4" t="s">
        <v>2876</v>
      </c>
      <c r="MIA1332" s="4" t="s">
        <v>2876</v>
      </c>
      <c r="MIB1332" s="4" t="s">
        <v>2876</v>
      </c>
      <c r="MIC1332" s="4" t="s">
        <v>2876</v>
      </c>
      <c r="MID1332" s="4" t="s">
        <v>2876</v>
      </c>
      <c r="MIE1332" s="4" t="s">
        <v>2876</v>
      </c>
      <c r="MIF1332" s="4" t="s">
        <v>2876</v>
      </c>
      <c r="MIG1332" s="4" t="s">
        <v>2876</v>
      </c>
      <c r="MIH1332" s="4" t="s">
        <v>2876</v>
      </c>
      <c r="MII1332" s="4" t="s">
        <v>2876</v>
      </c>
      <c r="MIJ1332" s="4" t="s">
        <v>2876</v>
      </c>
      <c r="MIK1332" s="4" t="s">
        <v>2876</v>
      </c>
      <c r="MIL1332" s="4" t="s">
        <v>2876</v>
      </c>
      <c r="MIM1332" s="4" t="s">
        <v>2876</v>
      </c>
      <c r="MIN1332" s="4" t="s">
        <v>2876</v>
      </c>
      <c r="MIO1332" s="4" t="s">
        <v>2876</v>
      </c>
      <c r="MIP1332" s="4" t="s">
        <v>2876</v>
      </c>
      <c r="MIQ1332" s="4" t="s">
        <v>2876</v>
      </c>
      <c r="MIR1332" s="4" t="s">
        <v>2876</v>
      </c>
      <c r="MIS1332" s="4" t="s">
        <v>2876</v>
      </c>
      <c r="MIT1332" s="4" t="s">
        <v>2876</v>
      </c>
      <c r="MIU1332" s="4" t="s">
        <v>2876</v>
      </c>
      <c r="MIV1332" s="4" t="s">
        <v>2876</v>
      </c>
      <c r="MIW1332" s="4" t="s">
        <v>2876</v>
      </c>
      <c r="MIX1332" s="4" t="s">
        <v>2876</v>
      </c>
      <c r="MIY1332" s="4" t="s">
        <v>2876</v>
      </c>
      <c r="MIZ1332" s="4" t="s">
        <v>2876</v>
      </c>
      <c r="MJA1332" s="4" t="s">
        <v>2876</v>
      </c>
      <c r="MJB1332" s="4" t="s">
        <v>2876</v>
      </c>
      <c r="MJC1332" s="4" t="s">
        <v>2876</v>
      </c>
      <c r="MJD1332" s="4" t="s">
        <v>2876</v>
      </c>
      <c r="MJE1332" s="4" t="s">
        <v>2876</v>
      </c>
      <c r="MJF1332" s="4" t="s">
        <v>2876</v>
      </c>
      <c r="MJG1332" s="4" t="s">
        <v>2876</v>
      </c>
      <c r="MJH1332" s="4" t="s">
        <v>2876</v>
      </c>
      <c r="MJI1332" s="4" t="s">
        <v>2876</v>
      </c>
      <c r="MJJ1332" s="4" t="s">
        <v>2876</v>
      </c>
      <c r="MJK1332" s="4" t="s">
        <v>2876</v>
      </c>
      <c r="MJL1332" s="4" t="s">
        <v>2876</v>
      </c>
      <c r="MJM1332" s="4" t="s">
        <v>2876</v>
      </c>
      <c r="MJN1332" s="4" t="s">
        <v>2876</v>
      </c>
      <c r="MJO1332" s="4" t="s">
        <v>2876</v>
      </c>
      <c r="MJP1332" s="4" t="s">
        <v>2876</v>
      </c>
      <c r="MJQ1332" s="4" t="s">
        <v>2876</v>
      </c>
      <c r="MJR1332" s="4" t="s">
        <v>2876</v>
      </c>
      <c r="MJS1332" s="4" t="s">
        <v>2876</v>
      </c>
      <c r="MJT1332" s="4" t="s">
        <v>2876</v>
      </c>
      <c r="MJU1332" s="4" t="s">
        <v>2876</v>
      </c>
      <c r="MJV1332" s="4" t="s">
        <v>2876</v>
      </c>
      <c r="MJW1332" s="4" t="s">
        <v>2876</v>
      </c>
      <c r="MJX1332" s="4" t="s">
        <v>2876</v>
      </c>
      <c r="MJY1332" s="4" t="s">
        <v>2876</v>
      </c>
      <c r="MJZ1332" s="4" t="s">
        <v>2876</v>
      </c>
      <c r="MKA1332" s="4" t="s">
        <v>2876</v>
      </c>
      <c r="MKB1332" s="4" t="s">
        <v>2876</v>
      </c>
      <c r="MKC1332" s="4" t="s">
        <v>2876</v>
      </c>
      <c r="MKD1332" s="4" t="s">
        <v>2876</v>
      </c>
      <c r="MKE1332" s="4" t="s">
        <v>2876</v>
      </c>
      <c r="MKF1332" s="4" t="s">
        <v>2876</v>
      </c>
      <c r="MKG1332" s="4" t="s">
        <v>2876</v>
      </c>
      <c r="MKH1332" s="4" t="s">
        <v>2876</v>
      </c>
      <c r="MKI1332" s="4" t="s">
        <v>2876</v>
      </c>
      <c r="MKJ1332" s="4" t="s">
        <v>2876</v>
      </c>
      <c r="MKK1332" s="4" t="s">
        <v>2876</v>
      </c>
      <c r="MKL1332" s="4" t="s">
        <v>2876</v>
      </c>
      <c r="MKM1332" s="4" t="s">
        <v>2876</v>
      </c>
      <c r="MKN1332" s="4" t="s">
        <v>2876</v>
      </c>
      <c r="MKO1332" s="4" t="s">
        <v>2876</v>
      </c>
      <c r="MKP1332" s="4" t="s">
        <v>2876</v>
      </c>
      <c r="MKQ1332" s="4" t="s">
        <v>2876</v>
      </c>
      <c r="MKR1332" s="4" t="s">
        <v>2876</v>
      </c>
      <c r="MKS1332" s="4" t="s">
        <v>2876</v>
      </c>
      <c r="MKT1332" s="4" t="s">
        <v>2876</v>
      </c>
      <c r="MKU1332" s="4" t="s">
        <v>2876</v>
      </c>
      <c r="MKV1332" s="4" t="s">
        <v>2876</v>
      </c>
      <c r="MKW1332" s="4" t="s">
        <v>2876</v>
      </c>
      <c r="MKX1332" s="4" t="s">
        <v>2876</v>
      </c>
      <c r="MKY1332" s="4" t="s">
        <v>2876</v>
      </c>
      <c r="MKZ1332" s="4" t="s">
        <v>2876</v>
      </c>
      <c r="MLA1332" s="4" t="s">
        <v>2876</v>
      </c>
      <c r="MLB1332" s="4" t="s">
        <v>2876</v>
      </c>
      <c r="MLC1332" s="4" t="s">
        <v>2876</v>
      </c>
      <c r="MLD1332" s="4" t="s">
        <v>2876</v>
      </c>
      <c r="MLE1332" s="4" t="s">
        <v>2876</v>
      </c>
      <c r="MLF1332" s="4" t="s">
        <v>2876</v>
      </c>
      <c r="MLG1332" s="4" t="s">
        <v>2876</v>
      </c>
      <c r="MLH1332" s="4" t="s">
        <v>2876</v>
      </c>
      <c r="MLI1332" s="4" t="s">
        <v>2876</v>
      </c>
      <c r="MLJ1332" s="4" t="s">
        <v>2876</v>
      </c>
      <c r="MLK1332" s="4" t="s">
        <v>2876</v>
      </c>
      <c r="MLL1332" s="4" t="s">
        <v>2876</v>
      </c>
      <c r="MLM1332" s="4" t="s">
        <v>2876</v>
      </c>
      <c r="MLN1332" s="4" t="s">
        <v>2876</v>
      </c>
      <c r="MLO1332" s="4" t="s">
        <v>2876</v>
      </c>
      <c r="MLP1332" s="4" t="s">
        <v>2876</v>
      </c>
      <c r="MLQ1332" s="4" t="s">
        <v>2876</v>
      </c>
      <c r="MLR1332" s="4" t="s">
        <v>2876</v>
      </c>
      <c r="MLS1332" s="4" t="s">
        <v>2876</v>
      </c>
      <c r="MLT1332" s="4" t="s">
        <v>2876</v>
      </c>
      <c r="MLU1332" s="4" t="s">
        <v>2876</v>
      </c>
      <c r="MLV1332" s="4" t="s">
        <v>2876</v>
      </c>
      <c r="MLW1332" s="4" t="s">
        <v>2876</v>
      </c>
      <c r="MLX1332" s="4" t="s">
        <v>2876</v>
      </c>
      <c r="MLY1332" s="4" t="s">
        <v>2876</v>
      </c>
      <c r="MLZ1332" s="4" t="s">
        <v>2876</v>
      </c>
      <c r="MMA1332" s="4" t="s">
        <v>2876</v>
      </c>
      <c r="MMB1332" s="4" t="s">
        <v>2876</v>
      </c>
      <c r="MMC1332" s="4" t="s">
        <v>2876</v>
      </c>
      <c r="MMD1332" s="4" t="s">
        <v>2876</v>
      </c>
      <c r="MME1332" s="4" t="s">
        <v>2876</v>
      </c>
      <c r="MMF1332" s="4" t="s">
        <v>2876</v>
      </c>
      <c r="MMG1332" s="4" t="s">
        <v>2876</v>
      </c>
      <c r="MMH1332" s="4" t="s">
        <v>2876</v>
      </c>
      <c r="MMI1332" s="4" t="s">
        <v>2876</v>
      </c>
      <c r="MMJ1332" s="4" t="s">
        <v>2876</v>
      </c>
      <c r="MMK1332" s="4" t="s">
        <v>2876</v>
      </c>
      <c r="MML1332" s="4" t="s">
        <v>2876</v>
      </c>
      <c r="MMM1332" s="4" t="s">
        <v>2876</v>
      </c>
      <c r="MMN1332" s="4" t="s">
        <v>2876</v>
      </c>
      <c r="MMO1332" s="4" t="s">
        <v>2876</v>
      </c>
      <c r="MMP1332" s="4" t="s">
        <v>2876</v>
      </c>
      <c r="MMQ1332" s="4" t="s">
        <v>2876</v>
      </c>
      <c r="MMR1332" s="4" t="s">
        <v>2876</v>
      </c>
      <c r="MMS1332" s="4" t="s">
        <v>2876</v>
      </c>
      <c r="MMT1332" s="4" t="s">
        <v>2876</v>
      </c>
      <c r="MMU1332" s="4" t="s">
        <v>2876</v>
      </c>
      <c r="MMV1332" s="4" t="s">
        <v>2876</v>
      </c>
      <c r="MMW1332" s="4" t="s">
        <v>2876</v>
      </c>
      <c r="MMX1332" s="4" t="s">
        <v>2876</v>
      </c>
      <c r="MMY1332" s="4" t="s">
        <v>2876</v>
      </c>
      <c r="MMZ1332" s="4" t="s">
        <v>2876</v>
      </c>
      <c r="MNA1332" s="4" t="s">
        <v>2876</v>
      </c>
      <c r="MNB1332" s="4" t="s">
        <v>2876</v>
      </c>
      <c r="MNC1332" s="4" t="s">
        <v>2876</v>
      </c>
      <c r="MND1332" s="4" t="s">
        <v>2876</v>
      </c>
      <c r="MNE1332" s="4" t="s">
        <v>2876</v>
      </c>
      <c r="MNF1332" s="4" t="s">
        <v>2876</v>
      </c>
      <c r="MNG1332" s="4" t="s">
        <v>2876</v>
      </c>
      <c r="MNH1332" s="4" t="s">
        <v>2876</v>
      </c>
      <c r="MNI1332" s="4" t="s">
        <v>2876</v>
      </c>
      <c r="MNJ1332" s="4" t="s">
        <v>2876</v>
      </c>
      <c r="MNK1332" s="4" t="s">
        <v>2876</v>
      </c>
      <c r="MNL1332" s="4" t="s">
        <v>2876</v>
      </c>
      <c r="MNM1332" s="4" t="s">
        <v>2876</v>
      </c>
      <c r="MNN1332" s="4" t="s">
        <v>2876</v>
      </c>
      <c r="MNO1332" s="4" t="s">
        <v>2876</v>
      </c>
      <c r="MNP1332" s="4" t="s">
        <v>2876</v>
      </c>
      <c r="MNQ1332" s="4" t="s">
        <v>2876</v>
      </c>
      <c r="MNR1332" s="4" t="s">
        <v>2876</v>
      </c>
      <c r="MNS1332" s="4" t="s">
        <v>2876</v>
      </c>
      <c r="MNT1332" s="4" t="s">
        <v>2876</v>
      </c>
      <c r="MNU1332" s="4" t="s">
        <v>2876</v>
      </c>
      <c r="MNV1332" s="4" t="s">
        <v>2876</v>
      </c>
      <c r="MNW1332" s="4" t="s">
        <v>2876</v>
      </c>
      <c r="MNX1332" s="4" t="s">
        <v>2876</v>
      </c>
      <c r="MNY1332" s="4" t="s">
        <v>2876</v>
      </c>
      <c r="MNZ1332" s="4" t="s">
        <v>2876</v>
      </c>
      <c r="MOA1332" s="4" t="s">
        <v>2876</v>
      </c>
      <c r="MOB1332" s="4" t="s">
        <v>2876</v>
      </c>
      <c r="MOC1332" s="4" t="s">
        <v>2876</v>
      </c>
      <c r="MOD1332" s="4" t="s">
        <v>2876</v>
      </c>
      <c r="MOE1332" s="4" t="s">
        <v>2876</v>
      </c>
      <c r="MOF1332" s="4" t="s">
        <v>2876</v>
      </c>
      <c r="MOG1332" s="4" t="s">
        <v>2876</v>
      </c>
      <c r="MOH1332" s="4" t="s">
        <v>2876</v>
      </c>
      <c r="MOI1332" s="4" t="s">
        <v>2876</v>
      </c>
      <c r="MOJ1332" s="4" t="s">
        <v>2876</v>
      </c>
      <c r="MOK1332" s="4" t="s">
        <v>2876</v>
      </c>
      <c r="MOL1332" s="4" t="s">
        <v>2876</v>
      </c>
      <c r="MOM1332" s="4" t="s">
        <v>2876</v>
      </c>
      <c r="MON1332" s="4" t="s">
        <v>2876</v>
      </c>
      <c r="MOO1332" s="4" t="s">
        <v>2876</v>
      </c>
      <c r="MOP1332" s="4" t="s">
        <v>2876</v>
      </c>
      <c r="MOQ1332" s="4" t="s">
        <v>2876</v>
      </c>
      <c r="MOR1332" s="4" t="s">
        <v>2876</v>
      </c>
      <c r="MOS1332" s="4" t="s">
        <v>2876</v>
      </c>
      <c r="MOT1332" s="4" t="s">
        <v>2876</v>
      </c>
      <c r="MOU1332" s="4" t="s">
        <v>2876</v>
      </c>
      <c r="MOV1332" s="4" t="s">
        <v>2876</v>
      </c>
      <c r="MOW1332" s="4" t="s">
        <v>2876</v>
      </c>
      <c r="MOX1332" s="4" t="s">
        <v>2876</v>
      </c>
      <c r="MOY1332" s="4" t="s">
        <v>2876</v>
      </c>
      <c r="MOZ1332" s="4" t="s">
        <v>2876</v>
      </c>
      <c r="MPA1332" s="4" t="s">
        <v>2876</v>
      </c>
      <c r="MPB1332" s="4" t="s">
        <v>2876</v>
      </c>
      <c r="MPC1332" s="4" t="s">
        <v>2876</v>
      </c>
      <c r="MPD1332" s="4" t="s">
        <v>2876</v>
      </c>
      <c r="MPE1332" s="4" t="s">
        <v>2876</v>
      </c>
      <c r="MPF1332" s="4" t="s">
        <v>2876</v>
      </c>
      <c r="MPG1332" s="4" t="s">
        <v>2876</v>
      </c>
      <c r="MPH1332" s="4" t="s">
        <v>2876</v>
      </c>
      <c r="MPI1332" s="4" t="s">
        <v>2876</v>
      </c>
      <c r="MPJ1332" s="4" t="s">
        <v>2876</v>
      </c>
      <c r="MPK1332" s="4" t="s">
        <v>2876</v>
      </c>
      <c r="MPL1332" s="4" t="s">
        <v>2876</v>
      </c>
      <c r="MPM1332" s="4" t="s">
        <v>2876</v>
      </c>
      <c r="MPN1332" s="4" t="s">
        <v>2876</v>
      </c>
      <c r="MPO1332" s="4" t="s">
        <v>2876</v>
      </c>
      <c r="MPP1332" s="4" t="s">
        <v>2876</v>
      </c>
      <c r="MPQ1332" s="4" t="s">
        <v>2876</v>
      </c>
      <c r="MPR1332" s="4" t="s">
        <v>2876</v>
      </c>
      <c r="MPS1332" s="4" t="s">
        <v>2876</v>
      </c>
      <c r="MPT1332" s="4" t="s">
        <v>2876</v>
      </c>
      <c r="MPU1332" s="4" t="s">
        <v>2876</v>
      </c>
      <c r="MPV1332" s="4" t="s">
        <v>2876</v>
      </c>
      <c r="MPW1332" s="4" t="s">
        <v>2876</v>
      </c>
      <c r="MPX1332" s="4" t="s">
        <v>2876</v>
      </c>
      <c r="MPY1332" s="4" t="s">
        <v>2876</v>
      </c>
      <c r="MPZ1332" s="4" t="s">
        <v>2876</v>
      </c>
      <c r="MQA1332" s="4" t="s">
        <v>2876</v>
      </c>
      <c r="MQB1332" s="4" t="s">
        <v>2876</v>
      </c>
      <c r="MQC1332" s="4" t="s">
        <v>2876</v>
      </c>
      <c r="MQD1332" s="4" t="s">
        <v>2876</v>
      </c>
      <c r="MQE1332" s="4" t="s">
        <v>2876</v>
      </c>
      <c r="MQF1332" s="4" t="s">
        <v>2876</v>
      </c>
      <c r="MQG1332" s="4" t="s">
        <v>2876</v>
      </c>
      <c r="MQH1332" s="4" t="s">
        <v>2876</v>
      </c>
      <c r="MQI1332" s="4" t="s">
        <v>2876</v>
      </c>
      <c r="MQJ1332" s="4" t="s">
        <v>2876</v>
      </c>
      <c r="MQK1332" s="4" t="s">
        <v>2876</v>
      </c>
      <c r="MQL1332" s="4" t="s">
        <v>2876</v>
      </c>
      <c r="MQM1332" s="4" t="s">
        <v>2876</v>
      </c>
      <c r="MQN1332" s="4" t="s">
        <v>2876</v>
      </c>
      <c r="MQO1332" s="4" t="s">
        <v>2876</v>
      </c>
      <c r="MQP1332" s="4" t="s">
        <v>2876</v>
      </c>
      <c r="MQQ1332" s="4" t="s">
        <v>2876</v>
      </c>
      <c r="MQR1332" s="4" t="s">
        <v>2876</v>
      </c>
      <c r="MQS1332" s="4" t="s">
        <v>2876</v>
      </c>
      <c r="MQT1332" s="4" t="s">
        <v>2876</v>
      </c>
      <c r="MQU1332" s="4" t="s">
        <v>2876</v>
      </c>
      <c r="MQV1332" s="4" t="s">
        <v>2876</v>
      </c>
      <c r="MQW1332" s="4" t="s">
        <v>2876</v>
      </c>
      <c r="MQX1332" s="4" t="s">
        <v>2876</v>
      </c>
      <c r="MQY1332" s="4" t="s">
        <v>2876</v>
      </c>
      <c r="MQZ1332" s="4" t="s">
        <v>2876</v>
      </c>
      <c r="MRA1332" s="4" t="s">
        <v>2876</v>
      </c>
      <c r="MRB1332" s="4" t="s">
        <v>2876</v>
      </c>
      <c r="MRC1332" s="4" t="s">
        <v>2876</v>
      </c>
      <c r="MRD1332" s="4" t="s">
        <v>2876</v>
      </c>
      <c r="MRE1332" s="4" t="s">
        <v>2876</v>
      </c>
      <c r="MRF1332" s="4" t="s">
        <v>2876</v>
      </c>
      <c r="MRG1332" s="4" t="s">
        <v>2876</v>
      </c>
      <c r="MRH1332" s="4" t="s">
        <v>2876</v>
      </c>
      <c r="MRI1332" s="4" t="s">
        <v>2876</v>
      </c>
      <c r="MRJ1332" s="4" t="s">
        <v>2876</v>
      </c>
      <c r="MRK1332" s="4" t="s">
        <v>2876</v>
      </c>
      <c r="MRL1332" s="4" t="s">
        <v>2876</v>
      </c>
      <c r="MRM1332" s="4" t="s">
        <v>2876</v>
      </c>
      <c r="MRN1332" s="4" t="s">
        <v>2876</v>
      </c>
      <c r="MRO1332" s="4" t="s">
        <v>2876</v>
      </c>
      <c r="MRP1332" s="4" t="s">
        <v>2876</v>
      </c>
      <c r="MRQ1332" s="4" t="s">
        <v>2876</v>
      </c>
      <c r="MRR1332" s="4" t="s">
        <v>2876</v>
      </c>
      <c r="MRS1332" s="4" t="s">
        <v>2876</v>
      </c>
      <c r="MRT1332" s="4" t="s">
        <v>2876</v>
      </c>
      <c r="MRU1332" s="4" t="s">
        <v>2876</v>
      </c>
      <c r="MRV1332" s="4" t="s">
        <v>2876</v>
      </c>
      <c r="MRW1332" s="4" t="s">
        <v>2876</v>
      </c>
      <c r="MRX1332" s="4" t="s">
        <v>2876</v>
      </c>
      <c r="MRY1332" s="4" t="s">
        <v>2876</v>
      </c>
      <c r="MRZ1332" s="4" t="s">
        <v>2876</v>
      </c>
      <c r="MSA1332" s="4" t="s">
        <v>2876</v>
      </c>
      <c r="MSB1332" s="4" t="s">
        <v>2876</v>
      </c>
      <c r="MSC1332" s="4" t="s">
        <v>2876</v>
      </c>
      <c r="MSD1332" s="4" t="s">
        <v>2876</v>
      </c>
      <c r="MSE1332" s="4" t="s">
        <v>2876</v>
      </c>
      <c r="MSF1332" s="4" t="s">
        <v>2876</v>
      </c>
      <c r="MSG1332" s="4" t="s">
        <v>2876</v>
      </c>
      <c r="MSH1332" s="4" t="s">
        <v>2876</v>
      </c>
      <c r="MSI1332" s="4" t="s">
        <v>2876</v>
      </c>
      <c r="MSJ1332" s="4" t="s">
        <v>2876</v>
      </c>
      <c r="MSK1332" s="4" t="s">
        <v>2876</v>
      </c>
      <c r="MSL1332" s="4" t="s">
        <v>2876</v>
      </c>
      <c r="MSM1332" s="4" t="s">
        <v>2876</v>
      </c>
      <c r="MSN1332" s="4" t="s">
        <v>2876</v>
      </c>
      <c r="MSO1332" s="4" t="s">
        <v>2876</v>
      </c>
      <c r="MSP1332" s="4" t="s">
        <v>2876</v>
      </c>
      <c r="MSQ1332" s="4" t="s">
        <v>2876</v>
      </c>
      <c r="MSR1332" s="4" t="s">
        <v>2876</v>
      </c>
      <c r="MSS1332" s="4" t="s">
        <v>2876</v>
      </c>
      <c r="MST1332" s="4" t="s">
        <v>2876</v>
      </c>
      <c r="MSU1332" s="4" t="s">
        <v>2876</v>
      </c>
      <c r="MSV1332" s="4" t="s">
        <v>2876</v>
      </c>
      <c r="MSW1332" s="4" t="s">
        <v>2876</v>
      </c>
      <c r="MSX1332" s="4" t="s">
        <v>2876</v>
      </c>
      <c r="MSY1332" s="4" t="s">
        <v>2876</v>
      </c>
      <c r="MSZ1332" s="4" t="s">
        <v>2876</v>
      </c>
      <c r="MTA1332" s="4" t="s">
        <v>2876</v>
      </c>
      <c r="MTB1332" s="4" t="s">
        <v>2876</v>
      </c>
      <c r="MTC1332" s="4" t="s">
        <v>2876</v>
      </c>
      <c r="MTD1332" s="4" t="s">
        <v>2876</v>
      </c>
      <c r="MTE1332" s="4" t="s">
        <v>2876</v>
      </c>
      <c r="MTF1332" s="4" t="s">
        <v>2876</v>
      </c>
      <c r="MTG1332" s="4" t="s">
        <v>2876</v>
      </c>
      <c r="MTH1332" s="4" t="s">
        <v>2876</v>
      </c>
      <c r="MTI1332" s="4" t="s">
        <v>2876</v>
      </c>
      <c r="MTJ1332" s="4" t="s">
        <v>2876</v>
      </c>
      <c r="MTK1332" s="4" t="s">
        <v>2876</v>
      </c>
      <c r="MTL1332" s="4" t="s">
        <v>2876</v>
      </c>
      <c r="MTM1332" s="4" t="s">
        <v>2876</v>
      </c>
      <c r="MTN1332" s="4" t="s">
        <v>2876</v>
      </c>
      <c r="MTO1332" s="4" t="s">
        <v>2876</v>
      </c>
      <c r="MTP1332" s="4" t="s">
        <v>2876</v>
      </c>
      <c r="MTQ1332" s="4" t="s">
        <v>2876</v>
      </c>
      <c r="MTR1332" s="4" t="s">
        <v>2876</v>
      </c>
      <c r="MTS1332" s="4" t="s">
        <v>2876</v>
      </c>
      <c r="MTT1332" s="4" t="s">
        <v>2876</v>
      </c>
      <c r="MTU1332" s="4" t="s">
        <v>2876</v>
      </c>
      <c r="MTV1332" s="4" t="s">
        <v>2876</v>
      </c>
      <c r="MTW1332" s="4" t="s">
        <v>2876</v>
      </c>
      <c r="MTX1332" s="4" t="s">
        <v>2876</v>
      </c>
      <c r="MTY1332" s="4" t="s">
        <v>2876</v>
      </c>
      <c r="MTZ1332" s="4" t="s">
        <v>2876</v>
      </c>
      <c r="MUA1332" s="4" t="s">
        <v>2876</v>
      </c>
      <c r="MUB1332" s="4" t="s">
        <v>2876</v>
      </c>
      <c r="MUC1332" s="4" t="s">
        <v>2876</v>
      </c>
      <c r="MUD1332" s="4" t="s">
        <v>2876</v>
      </c>
      <c r="MUE1332" s="4" t="s">
        <v>2876</v>
      </c>
      <c r="MUF1332" s="4" t="s">
        <v>2876</v>
      </c>
      <c r="MUG1332" s="4" t="s">
        <v>2876</v>
      </c>
      <c r="MUH1332" s="4" t="s">
        <v>2876</v>
      </c>
      <c r="MUI1332" s="4" t="s">
        <v>2876</v>
      </c>
      <c r="MUJ1332" s="4" t="s">
        <v>2876</v>
      </c>
      <c r="MUK1332" s="4" t="s">
        <v>2876</v>
      </c>
      <c r="MUL1332" s="4" t="s">
        <v>2876</v>
      </c>
      <c r="MUM1332" s="4" t="s">
        <v>2876</v>
      </c>
      <c r="MUN1332" s="4" t="s">
        <v>2876</v>
      </c>
      <c r="MUO1332" s="4" t="s">
        <v>2876</v>
      </c>
      <c r="MUP1332" s="4" t="s">
        <v>2876</v>
      </c>
      <c r="MUQ1332" s="4" t="s">
        <v>2876</v>
      </c>
      <c r="MUR1332" s="4" t="s">
        <v>2876</v>
      </c>
      <c r="MUS1332" s="4" t="s">
        <v>2876</v>
      </c>
      <c r="MUT1332" s="4" t="s">
        <v>2876</v>
      </c>
      <c r="MUU1332" s="4" t="s">
        <v>2876</v>
      </c>
      <c r="MUV1332" s="4" t="s">
        <v>2876</v>
      </c>
      <c r="MUW1332" s="4" t="s">
        <v>2876</v>
      </c>
      <c r="MUX1332" s="4" t="s">
        <v>2876</v>
      </c>
      <c r="MUY1332" s="4" t="s">
        <v>2876</v>
      </c>
      <c r="MUZ1332" s="4" t="s">
        <v>2876</v>
      </c>
      <c r="MVA1332" s="4" t="s">
        <v>2876</v>
      </c>
      <c r="MVB1332" s="4" t="s">
        <v>2876</v>
      </c>
      <c r="MVC1332" s="4" t="s">
        <v>2876</v>
      </c>
      <c r="MVD1332" s="4" t="s">
        <v>2876</v>
      </c>
      <c r="MVE1332" s="4" t="s">
        <v>2876</v>
      </c>
      <c r="MVF1332" s="4" t="s">
        <v>2876</v>
      </c>
      <c r="MVG1332" s="4" t="s">
        <v>2876</v>
      </c>
      <c r="MVH1332" s="4" t="s">
        <v>2876</v>
      </c>
      <c r="MVI1332" s="4" t="s">
        <v>2876</v>
      </c>
      <c r="MVJ1332" s="4" t="s">
        <v>2876</v>
      </c>
      <c r="MVK1332" s="4" t="s">
        <v>2876</v>
      </c>
      <c r="MVL1332" s="4" t="s">
        <v>2876</v>
      </c>
      <c r="MVM1332" s="4" t="s">
        <v>2876</v>
      </c>
      <c r="MVN1332" s="4" t="s">
        <v>2876</v>
      </c>
      <c r="MVO1332" s="4" t="s">
        <v>2876</v>
      </c>
      <c r="MVP1332" s="4" t="s">
        <v>2876</v>
      </c>
      <c r="MVQ1332" s="4" t="s">
        <v>2876</v>
      </c>
      <c r="MVR1332" s="4" t="s">
        <v>2876</v>
      </c>
      <c r="MVS1332" s="4" t="s">
        <v>2876</v>
      </c>
      <c r="MVT1332" s="4" t="s">
        <v>2876</v>
      </c>
      <c r="MVU1332" s="4" t="s">
        <v>2876</v>
      </c>
      <c r="MVV1332" s="4" t="s">
        <v>2876</v>
      </c>
      <c r="MVW1332" s="4" t="s">
        <v>2876</v>
      </c>
      <c r="MVX1332" s="4" t="s">
        <v>2876</v>
      </c>
      <c r="MVY1332" s="4" t="s">
        <v>2876</v>
      </c>
      <c r="MVZ1332" s="4" t="s">
        <v>2876</v>
      </c>
      <c r="MWA1332" s="4" t="s">
        <v>2876</v>
      </c>
      <c r="MWB1332" s="4" t="s">
        <v>2876</v>
      </c>
      <c r="MWC1332" s="4" t="s">
        <v>2876</v>
      </c>
      <c r="MWD1332" s="4" t="s">
        <v>2876</v>
      </c>
      <c r="MWE1332" s="4" t="s">
        <v>2876</v>
      </c>
      <c r="MWF1332" s="4" t="s">
        <v>2876</v>
      </c>
      <c r="MWG1332" s="4" t="s">
        <v>2876</v>
      </c>
      <c r="MWH1332" s="4" t="s">
        <v>2876</v>
      </c>
      <c r="MWI1332" s="4" t="s">
        <v>2876</v>
      </c>
      <c r="MWJ1332" s="4" t="s">
        <v>2876</v>
      </c>
      <c r="MWK1332" s="4" t="s">
        <v>2876</v>
      </c>
      <c r="MWL1332" s="4" t="s">
        <v>2876</v>
      </c>
      <c r="MWM1332" s="4" t="s">
        <v>2876</v>
      </c>
      <c r="MWN1332" s="4" t="s">
        <v>2876</v>
      </c>
      <c r="MWO1332" s="4" t="s">
        <v>2876</v>
      </c>
      <c r="MWP1332" s="4" t="s">
        <v>2876</v>
      </c>
      <c r="MWQ1332" s="4" t="s">
        <v>2876</v>
      </c>
      <c r="MWR1332" s="4" t="s">
        <v>2876</v>
      </c>
      <c r="MWS1332" s="4" t="s">
        <v>2876</v>
      </c>
      <c r="MWT1332" s="4" t="s">
        <v>2876</v>
      </c>
      <c r="MWU1332" s="4" t="s">
        <v>2876</v>
      </c>
      <c r="MWV1332" s="4" t="s">
        <v>2876</v>
      </c>
      <c r="MWW1332" s="4" t="s">
        <v>2876</v>
      </c>
      <c r="MWX1332" s="4" t="s">
        <v>2876</v>
      </c>
      <c r="MWY1332" s="4" t="s">
        <v>2876</v>
      </c>
      <c r="MWZ1332" s="4" t="s">
        <v>2876</v>
      </c>
      <c r="MXA1332" s="4" t="s">
        <v>2876</v>
      </c>
      <c r="MXB1332" s="4" t="s">
        <v>2876</v>
      </c>
      <c r="MXC1332" s="4" t="s">
        <v>2876</v>
      </c>
      <c r="MXD1332" s="4" t="s">
        <v>2876</v>
      </c>
      <c r="MXE1332" s="4" t="s">
        <v>2876</v>
      </c>
      <c r="MXF1332" s="4" t="s">
        <v>2876</v>
      </c>
      <c r="MXG1332" s="4" t="s">
        <v>2876</v>
      </c>
      <c r="MXH1332" s="4" t="s">
        <v>2876</v>
      </c>
      <c r="MXI1332" s="4" t="s">
        <v>2876</v>
      </c>
      <c r="MXJ1332" s="4" t="s">
        <v>2876</v>
      </c>
      <c r="MXK1332" s="4" t="s">
        <v>2876</v>
      </c>
      <c r="MXL1332" s="4" t="s">
        <v>2876</v>
      </c>
      <c r="MXM1332" s="4" t="s">
        <v>2876</v>
      </c>
      <c r="MXN1332" s="4" t="s">
        <v>2876</v>
      </c>
      <c r="MXO1332" s="4" t="s">
        <v>2876</v>
      </c>
      <c r="MXP1332" s="4" t="s">
        <v>2876</v>
      </c>
      <c r="MXQ1332" s="4" t="s">
        <v>2876</v>
      </c>
      <c r="MXR1332" s="4" t="s">
        <v>2876</v>
      </c>
      <c r="MXS1332" s="4" t="s">
        <v>2876</v>
      </c>
      <c r="MXT1332" s="4" t="s">
        <v>2876</v>
      </c>
      <c r="MXU1332" s="4" t="s">
        <v>2876</v>
      </c>
      <c r="MXV1332" s="4" t="s">
        <v>2876</v>
      </c>
      <c r="MXW1332" s="4" t="s">
        <v>2876</v>
      </c>
      <c r="MXX1332" s="4" t="s">
        <v>2876</v>
      </c>
      <c r="MXY1332" s="4" t="s">
        <v>2876</v>
      </c>
      <c r="MXZ1332" s="4" t="s">
        <v>2876</v>
      </c>
      <c r="MYA1332" s="4" t="s">
        <v>2876</v>
      </c>
      <c r="MYB1332" s="4" t="s">
        <v>2876</v>
      </c>
      <c r="MYC1332" s="4" t="s">
        <v>2876</v>
      </c>
      <c r="MYD1332" s="4" t="s">
        <v>2876</v>
      </c>
      <c r="MYE1332" s="4" t="s">
        <v>2876</v>
      </c>
      <c r="MYF1332" s="4" t="s">
        <v>2876</v>
      </c>
      <c r="MYG1332" s="4" t="s">
        <v>2876</v>
      </c>
      <c r="MYH1332" s="4" t="s">
        <v>2876</v>
      </c>
      <c r="MYI1332" s="4" t="s">
        <v>2876</v>
      </c>
      <c r="MYJ1332" s="4" t="s">
        <v>2876</v>
      </c>
      <c r="MYK1332" s="4" t="s">
        <v>2876</v>
      </c>
      <c r="MYL1332" s="4" t="s">
        <v>2876</v>
      </c>
      <c r="MYM1332" s="4" t="s">
        <v>2876</v>
      </c>
      <c r="MYN1332" s="4" t="s">
        <v>2876</v>
      </c>
      <c r="MYO1332" s="4" t="s">
        <v>2876</v>
      </c>
      <c r="MYP1332" s="4" t="s">
        <v>2876</v>
      </c>
      <c r="MYQ1332" s="4" t="s">
        <v>2876</v>
      </c>
      <c r="MYR1332" s="4" t="s">
        <v>2876</v>
      </c>
      <c r="MYS1332" s="4" t="s">
        <v>2876</v>
      </c>
      <c r="MYT1332" s="4" t="s">
        <v>2876</v>
      </c>
      <c r="MYU1332" s="4" t="s">
        <v>2876</v>
      </c>
      <c r="MYV1332" s="4" t="s">
        <v>2876</v>
      </c>
      <c r="MYW1332" s="4" t="s">
        <v>2876</v>
      </c>
      <c r="MYX1332" s="4" t="s">
        <v>2876</v>
      </c>
      <c r="MYY1332" s="4" t="s">
        <v>2876</v>
      </c>
      <c r="MYZ1332" s="4" t="s">
        <v>2876</v>
      </c>
      <c r="MZA1332" s="4" t="s">
        <v>2876</v>
      </c>
      <c r="MZB1332" s="4" t="s">
        <v>2876</v>
      </c>
      <c r="MZC1332" s="4" t="s">
        <v>2876</v>
      </c>
      <c r="MZD1332" s="4" t="s">
        <v>2876</v>
      </c>
      <c r="MZE1332" s="4" t="s">
        <v>2876</v>
      </c>
      <c r="MZF1332" s="4" t="s">
        <v>2876</v>
      </c>
      <c r="MZG1332" s="4" t="s">
        <v>2876</v>
      </c>
      <c r="MZH1332" s="4" t="s">
        <v>2876</v>
      </c>
      <c r="MZI1332" s="4" t="s">
        <v>2876</v>
      </c>
      <c r="MZJ1332" s="4" t="s">
        <v>2876</v>
      </c>
      <c r="MZK1332" s="4" t="s">
        <v>2876</v>
      </c>
      <c r="MZL1332" s="4" t="s">
        <v>2876</v>
      </c>
      <c r="MZM1332" s="4" t="s">
        <v>2876</v>
      </c>
      <c r="MZN1332" s="4" t="s">
        <v>2876</v>
      </c>
      <c r="MZO1332" s="4" t="s">
        <v>2876</v>
      </c>
      <c r="MZP1332" s="4" t="s">
        <v>2876</v>
      </c>
      <c r="MZQ1332" s="4" t="s">
        <v>2876</v>
      </c>
      <c r="MZR1332" s="4" t="s">
        <v>2876</v>
      </c>
      <c r="MZS1332" s="4" t="s">
        <v>2876</v>
      </c>
      <c r="MZT1332" s="4" t="s">
        <v>2876</v>
      </c>
      <c r="MZU1332" s="4" t="s">
        <v>2876</v>
      </c>
      <c r="MZV1332" s="4" t="s">
        <v>2876</v>
      </c>
      <c r="MZW1332" s="4" t="s">
        <v>2876</v>
      </c>
      <c r="MZX1332" s="4" t="s">
        <v>2876</v>
      </c>
      <c r="MZY1332" s="4" t="s">
        <v>2876</v>
      </c>
      <c r="MZZ1332" s="4" t="s">
        <v>2876</v>
      </c>
      <c r="NAA1332" s="4" t="s">
        <v>2876</v>
      </c>
      <c r="NAB1332" s="4" t="s">
        <v>2876</v>
      </c>
      <c r="NAC1332" s="4" t="s">
        <v>2876</v>
      </c>
      <c r="NAD1332" s="4" t="s">
        <v>2876</v>
      </c>
      <c r="NAE1332" s="4" t="s">
        <v>2876</v>
      </c>
      <c r="NAF1332" s="4" t="s">
        <v>2876</v>
      </c>
      <c r="NAG1332" s="4" t="s">
        <v>2876</v>
      </c>
      <c r="NAH1332" s="4" t="s">
        <v>2876</v>
      </c>
      <c r="NAI1332" s="4" t="s">
        <v>2876</v>
      </c>
      <c r="NAJ1332" s="4" t="s">
        <v>2876</v>
      </c>
      <c r="NAK1332" s="4" t="s">
        <v>2876</v>
      </c>
      <c r="NAL1332" s="4" t="s">
        <v>2876</v>
      </c>
      <c r="NAM1332" s="4" t="s">
        <v>2876</v>
      </c>
      <c r="NAN1332" s="4" t="s">
        <v>2876</v>
      </c>
      <c r="NAO1332" s="4" t="s">
        <v>2876</v>
      </c>
      <c r="NAP1332" s="4" t="s">
        <v>2876</v>
      </c>
      <c r="NAQ1332" s="4" t="s">
        <v>2876</v>
      </c>
      <c r="NAR1332" s="4" t="s">
        <v>2876</v>
      </c>
      <c r="NAS1332" s="4" t="s">
        <v>2876</v>
      </c>
      <c r="NAT1332" s="4" t="s">
        <v>2876</v>
      </c>
      <c r="NAU1332" s="4" t="s">
        <v>2876</v>
      </c>
      <c r="NAV1332" s="4" t="s">
        <v>2876</v>
      </c>
      <c r="NAW1332" s="4" t="s">
        <v>2876</v>
      </c>
      <c r="NAX1332" s="4" t="s">
        <v>2876</v>
      </c>
      <c r="NAY1332" s="4" t="s">
        <v>2876</v>
      </c>
      <c r="NAZ1332" s="4" t="s">
        <v>2876</v>
      </c>
      <c r="NBA1332" s="4" t="s">
        <v>2876</v>
      </c>
      <c r="NBB1332" s="4" t="s">
        <v>2876</v>
      </c>
      <c r="NBC1332" s="4" t="s">
        <v>2876</v>
      </c>
      <c r="NBD1332" s="4" t="s">
        <v>2876</v>
      </c>
      <c r="NBE1332" s="4" t="s">
        <v>2876</v>
      </c>
      <c r="NBF1332" s="4" t="s">
        <v>2876</v>
      </c>
      <c r="NBG1332" s="4" t="s">
        <v>2876</v>
      </c>
      <c r="NBH1332" s="4" t="s">
        <v>2876</v>
      </c>
      <c r="NBI1332" s="4" t="s">
        <v>2876</v>
      </c>
      <c r="NBJ1332" s="4" t="s">
        <v>2876</v>
      </c>
      <c r="NBK1332" s="4" t="s">
        <v>2876</v>
      </c>
      <c r="NBL1332" s="4" t="s">
        <v>2876</v>
      </c>
      <c r="NBM1332" s="4" t="s">
        <v>2876</v>
      </c>
      <c r="NBN1332" s="4" t="s">
        <v>2876</v>
      </c>
      <c r="NBO1332" s="4" t="s">
        <v>2876</v>
      </c>
      <c r="NBP1332" s="4" t="s">
        <v>2876</v>
      </c>
      <c r="NBQ1332" s="4" t="s">
        <v>2876</v>
      </c>
      <c r="NBR1332" s="4" t="s">
        <v>2876</v>
      </c>
      <c r="NBS1332" s="4" t="s">
        <v>2876</v>
      </c>
      <c r="NBT1332" s="4" t="s">
        <v>2876</v>
      </c>
      <c r="NBU1332" s="4" t="s">
        <v>2876</v>
      </c>
      <c r="NBV1332" s="4" t="s">
        <v>2876</v>
      </c>
      <c r="NBW1332" s="4" t="s">
        <v>2876</v>
      </c>
      <c r="NBX1332" s="4" t="s">
        <v>2876</v>
      </c>
      <c r="NBY1332" s="4" t="s">
        <v>2876</v>
      </c>
      <c r="NBZ1332" s="4" t="s">
        <v>2876</v>
      </c>
      <c r="NCA1332" s="4" t="s">
        <v>2876</v>
      </c>
      <c r="NCB1332" s="4" t="s">
        <v>2876</v>
      </c>
      <c r="NCC1332" s="4" t="s">
        <v>2876</v>
      </c>
      <c r="NCD1332" s="4" t="s">
        <v>2876</v>
      </c>
      <c r="NCE1332" s="4" t="s">
        <v>2876</v>
      </c>
      <c r="NCF1332" s="4" t="s">
        <v>2876</v>
      </c>
      <c r="NCG1332" s="4" t="s">
        <v>2876</v>
      </c>
      <c r="NCH1332" s="4" t="s">
        <v>2876</v>
      </c>
      <c r="NCI1332" s="4" t="s">
        <v>2876</v>
      </c>
      <c r="NCJ1332" s="4" t="s">
        <v>2876</v>
      </c>
      <c r="NCK1332" s="4" t="s">
        <v>2876</v>
      </c>
      <c r="NCL1332" s="4" t="s">
        <v>2876</v>
      </c>
      <c r="NCM1332" s="4" t="s">
        <v>2876</v>
      </c>
      <c r="NCN1332" s="4" t="s">
        <v>2876</v>
      </c>
      <c r="NCO1332" s="4" t="s">
        <v>2876</v>
      </c>
      <c r="NCP1332" s="4" t="s">
        <v>2876</v>
      </c>
      <c r="NCQ1332" s="4" t="s">
        <v>2876</v>
      </c>
      <c r="NCR1332" s="4" t="s">
        <v>2876</v>
      </c>
      <c r="NCS1332" s="4" t="s">
        <v>2876</v>
      </c>
      <c r="NCT1332" s="4" t="s">
        <v>2876</v>
      </c>
      <c r="NCU1332" s="4" t="s">
        <v>2876</v>
      </c>
      <c r="NCV1332" s="4" t="s">
        <v>2876</v>
      </c>
      <c r="NCW1332" s="4" t="s">
        <v>2876</v>
      </c>
      <c r="NCX1332" s="4" t="s">
        <v>2876</v>
      </c>
      <c r="NCY1332" s="4" t="s">
        <v>2876</v>
      </c>
      <c r="NCZ1332" s="4" t="s">
        <v>2876</v>
      </c>
      <c r="NDA1332" s="4" t="s">
        <v>2876</v>
      </c>
      <c r="NDB1332" s="4" t="s">
        <v>2876</v>
      </c>
      <c r="NDC1332" s="4" t="s">
        <v>2876</v>
      </c>
      <c r="NDD1332" s="4" t="s">
        <v>2876</v>
      </c>
      <c r="NDE1332" s="4" t="s">
        <v>2876</v>
      </c>
      <c r="NDF1332" s="4" t="s">
        <v>2876</v>
      </c>
      <c r="NDG1332" s="4" t="s">
        <v>2876</v>
      </c>
      <c r="NDH1332" s="4" t="s">
        <v>2876</v>
      </c>
      <c r="NDI1332" s="4" t="s">
        <v>2876</v>
      </c>
      <c r="NDJ1332" s="4" t="s">
        <v>2876</v>
      </c>
      <c r="NDK1332" s="4" t="s">
        <v>2876</v>
      </c>
      <c r="NDL1332" s="4" t="s">
        <v>2876</v>
      </c>
      <c r="NDM1332" s="4" t="s">
        <v>2876</v>
      </c>
      <c r="NDN1332" s="4" t="s">
        <v>2876</v>
      </c>
      <c r="NDO1332" s="4" t="s">
        <v>2876</v>
      </c>
      <c r="NDP1332" s="4" t="s">
        <v>2876</v>
      </c>
      <c r="NDQ1332" s="4" t="s">
        <v>2876</v>
      </c>
      <c r="NDR1332" s="4" t="s">
        <v>2876</v>
      </c>
      <c r="NDS1332" s="4" t="s">
        <v>2876</v>
      </c>
      <c r="NDT1332" s="4" t="s">
        <v>2876</v>
      </c>
      <c r="NDU1332" s="4" t="s">
        <v>2876</v>
      </c>
      <c r="NDV1332" s="4" t="s">
        <v>2876</v>
      </c>
      <c r="NDW1332" s="4" t="s">
        <v>2876</v>
      </c>
      <c r="NDX1332" s="4" t="s">
        <v>2876</v>
      </c>
      <c r="NDY1332" s="4" t="s">
        <v>2876</v>
      </c>
      <c r="NDZ1332" s="4" t="s">
        <v>2876</v>
      </c>
      <c r="NEA1332" s="4" t="s">
        <v>2876</v>
      </c>
      <c r="NEB1332" s="4" t="s">
        <v>2876</v>
      </c>
      <c r="NEC1332" s="4" t="s">
        <v>2876</v>
      </c>
      <c r="NED1332" s="4" t="s">
        <v>2876</v>
      </c>
      <c r="NEE1332" s="4" t="s">
        <v>2876</v>
      </c>
      <c r="NEF1332" s="4" t="s">
        <v>2876</v>
      </c>
      <c r="NEG1332" s="4" t="s">
        <v>2876</v>
      </c>
      <c r="NEH1332" s="4" t="s">
        <v>2876</v>
      </c>
      <c r="NEI1332" s="4" t="s">
        <v>2876</v>
      </c>
      <c r="NEJ1332" s="4" t="s">
        <v>2876</v>
      </c>
      <c r="NEK1332" s="4" t="s">
        <v>2876</v>
      </c>
      <c r="NEL1332" s="4" t="s">
        <v>2876</v>
      </c>
      <c r="NEM1332" s="4" t="s">
        <v>2876</v>
      </c>
      <c r="NEN1332" s="4" t="s">
        <v>2876</v>
      </c>
      <c r="NEO1332" s="4" t="s">
        <v>2876</v>
      </c>
      <c r="NEP1332" s="4" t="s">
        <v>2876</v>
      </c>
      <c r="NEQ1332" s="4" t="s">
        <v>2876</v>
      </c>
      <c r="NER1332" s="4" t="s">
        <v>2876</v>
      </c>
      <c r="NES1332" s="4" t="s">
        <v>2876</v>
      </c>
      <c r="NET1332" s="4" t="s">
        <v>2876</v>
      </c>
      <c r="NEU1332" s="4" t="s">
        <v>2876</v>
      </c>
      <c r="NEV1332" s="4" t="s">
        <v>2876</v>
      </c>
      <c r="NEW1332" s="4" t="s">
        <v>2876</v>
      </c>
      <c r="NEX1332" s="4" t="s">
        <v>2876</v>
      </c>
      <c r="NEY1332" s="4" t="s">
        <v>2876</v>
      </c>
      <c r="NEZ1332" s="4" t="s">
        <v>2876</v>
      </c>
      <c r="NFA1332" s="4" t="s">
        <v>2876</v>
      </c>
      <c r="NFB1332" s="4" t="s">
        <v>2876</v>
      </c>
      <c r="NFC1332" s="4" t="s">
        <v>2876</v>
      </c>
      <c r="NFD1332" s="4" t="s">
        <v>2876</v>
      </c>
      <c r="NFE1332" s="4" t="s">
        <v>2876</v>
      </c>
      <c r="NFF1332" s="4" t="s">
        <v>2876</v>
      </c>
      <c r="NFG1332" s="4" t="s">
        <v>2876</v>
      </c>
      <c r="NFH1332" s="4" t="s">
        <v>2876</v>
      </c>
      <c r="NFI1332" s="4" t="s">
        <v>2876</v>
      </c>
      <c r="NFJ1332" s="4" t="s">
        <v>2876</v>
      </c>
      <c r="NFK1332" s="4" t="s">
        <v>2876</v>
      </c>
      <c r="NFL1332" s="4" t="s">
        <v>2876</v>
      </c>
      <c r="NFM1332" s="4" t="s">
        <v>2876</v>
      </c>
      <c r="NFN1332" s="4" t="s">
        <v>2876</v>
      </c>
      <c r="NFO1332" s="4" t="s">
        <v>2876</v>
      </c>
      <c r="NFP1332" s="4" t="s">
        <v>2876</v>
      </c>
      <c r="NFQ1332" s="4" t="s">
        <v>2876</v>
      </c>
      <c r="NFR1332" s="4" t="s">
        <v>2876</v>
      </c>
      <c r="NFS1332" s="4" t="s">
        <v>2876</v>
      </c>
      <c r="NFT1332" s="4" t="s">
        <v>2876</v>
      </c>
      <c r="NFU1332" s="4" t="s">
        <v>2876</v>
      </c>
      <c r="NFV1332" s="4" t="s">
        <v>2876</v>
      </c>
      <c r="NFW1332" s="4" t="s">
        <v>2876</v>
      </c>
      <c r="NFX1332" s="4" t="s">
        <v>2876</v>
      </c>
      <c r="NFY1332" s="4" t="s">
        <v>2876</v>
      </c>
      <c r="NFZ1332" s="4" t="s">
        <v>2876</v>
      </c>
      <c r="NGA1332" s="4" t="s">
        <v>2876</v>
      </c>
      <c r="NGB1332" s="4" t="s">
        <v>2876</v>
      </c>
      <c r="NGC1332" s="4" t="s">
        <v>2876</v>
      </c>
      <c r="NGD1332" s="4" t="s">
        <v>2876</v>
      </c>
      <c r="NGE1332" s="4" t="s">
        <v>2876</v>
      </c>
      <c r="NGF1332" s="4" t="s">
        <v>2876</v>
      </c>
      <c r="NGG1332" s="4" t="s">
        <v>2876</v>
      </c>
      <c r="NGH1332" s="4" t="s">
        <v>2876</v>
      </c>
      <c r="NGI1332" s="4" t="s">
        <v>2876</v>
      </c>
      <c r="NGJ1332" s="4" t="s">
        <v>2876</v>
      </c>
      <c r="NGK1332" s="4" t="s">
        <v>2876</v>
      </c>
      <c r="NGL1332" s="4" t="s">
        <v>2876</v>
      </c>
      <c r="NGM1332" s="4" t="s">
        <v>2876</v>
      </c>
      <c r="NGN1332" s="4" t="s">
        <v>2876</v>
      </c>
      <c r="NGO1332" s="4" t="s">
        <v>2876</v>
      </c>
      <c r="NGP1332" s="4" t="s">
        <v>2876</v>
      </c>
      <c r="NGQ1332" s="4" t="s">
        <v>2876</v>
      </c>
      <c r="NGR1332" s="4" t="s">
        <v>2876</v>
      </c>
      <c r="NGS1332" s="4" t="s">
        <v>2876</v>
      </c>
      <c r="NGT1332" s="4" t="s">
        <v>2876</v>
      </c>
      <c r="NGU1332" s="4" t="s">
        <v>2876</v>
      </c>
      <c r="NGV1332" s="4" t="s">
        <v>2876</v>
      </c>
      <c r="NGW1332" s="4" t="s">
        <v>2876</v>
      </c>
      <c r="NGX1332" s="4" t="s">
        <v>2876</v>
      </c>
      <c r="NGY1332" s="4" t="s">
        <v>2876</v>
      </c>
      <c r="NGZ1332" s="4" t="s">
        <v>2876</v>
      </c>
      <c r="NHA1332" s="4" t="s">
        <v>2876</v>
      </c>
      <c r="NHB1332" s="4" t="s">
        <v>2876</v>
      </c>
      <c r="NHC1332" s="4" t="s">
        <v>2876</v>
      </c>
      <c r="NHD1332" s="4" t="s">
        <v>2876</v>
      </c>
      <c r="NHE1332" s="4" t="s">
        <v>2876</v>
      </c>
      <c r="NHF1332" s="4" t="s">
        <v>2876</v>
      </c>
      <c r="NHG1332" s="4" t="s">
        <v>2876</v>
      </c>
      <c r="NHH1332" s="4" t="s">
        <v>2876</v>
      </c>
      <c r="NHI1332" s="4" t="s">
        <v>2876</v>
      </c>
      <c r="NHJ1332" s="4" t="s">
        <v>2876</v>
      </c>
      <c r="NHK1332" s="4" t="s">
        <v>2876</v>
      </c>
      <c r="NHL1332" s="4" t="s">
        <v>2876</v>
      </c>
      <c r="NHM1332" s="4" t="s">
        <v>2876</v>
      </c>
      <c r="NHN1332" s="4" t="s">
        <v>2876</v>
      </c>
      <c r="NHO1332" s="4" t="s">
        <v>2876</v>
      </c>
      <c r="NHP1332" s="4" t="s">
        <v>2876</v>
      </c>
      <c r="NHQ1332" s="4" t="s">
        <v>2876</v>
      </c>
      <c r="NHR1332" s="4" t="s">
        <v>2876</v>
      </c>
      <c r="NHS1332" s="4" t="s">
        <v>2876</v>
      </c>
      <c r="NHT1332" s="4" t="s">
        <v>2876</v>
      </c>
      <c r="NHU1332" s="4" t="s">
        <v>2876</v>
      </c>
      <c r="NHV1332" s="4" t="s">
        <v>2876</v>
      </c>
      <c r="NHW1332" s="4" t="s">
        <v>2876</v>
      </c>
      <c r="NHX1332" s="4" t="s">
        <v>2876</v>
      </c>
      <c r="NHY1332" s="4" t="s">
        <v>2876</v>
      </c>
      <c r="NHZ1332" s="4" t="s">
        <v>2876</v>
      </c>
      <c r="NIA1332" s="4" t="s">
        <v>2876</v>
      </c>
      <c r="NIB1332" s="4" t="s">
        <v>2876</v>
      </c>
      <c r="NIC1332" s="4" t="s">
        <v>2876</v>
      </c>
      <c r="NID1332" s="4" t="s">
        <v>2876</v>
      </c>
      <c r="NIE1332" s="4" t="s">
        <v>2876</v>
      </c>
      <c r="NIF1332" s="4" t="s">
        <v>2876</v>
      </c>
      <c r="NIG1332" s="4" t="s">
        <v>2876</v>
      </c>
      <c r="NIH1332" s="4" t="s">
        <v>2876</v>
      </c>
      <c r="NII1332" s="4" t="s">
        <v>2876</v>
      </c>
      <c r="NIJ1332" s="4" t="s">
        <v>2876</v>
      </c>
      <c r="NIK1332" s="4" t="s">
        <v>2876</v>
      </c>
      <c r="NIL1332" s="4" t="s">
        <v>2876</v>
      </c>
      <c r="NIM1332" s="4" t="s">
        <v>2876</v>
      </c>
      <c r="NIN1332" s="4" t="s">
        <v>2876</v>
      </c>
      <c r="NIO1332" s="4" t="s">
        <v>2876</v>
      </c>
      <c r="NIP1332" s="4" t="s">
        <v>2876</v>
      </c>
      <c r="NIQ1332" s="4" t="s">
        <v>2876</v>
      </c>
      <c r="NIR1332" s="4" t="s">
        <v>2876</v>
      </c>
      <c r="NIS1332" s="4" t="s">
        <v>2876</v>
      </c>
      <c r="NIT1332" s="4" t="s">
        <v>2876</v>
      </c>
      <c r="NIU1332" s="4" t="s">
        <v>2876</v>
      </c>
      <c r="NIV1332" s="4" t="s">
        <v>2876</v>
      </c>
      <c r="NIW1332" s="4" t="s">
        <v>2876</v>
      </c>
      <c r="NIX1332" s="4" t="s">
        <v>2876</v>
      </c>
      <c r="NIY1332" s="4" t="s">
        <v>2876</v>
      </c>
      <c r="NIZ1332" s="4" t="s">
        <v>2876</v>
      </c>
      <c r="NJA1332" s="4" t="s">
        <v>2876</v>
      </c>
      <c r="NJB1332" s="4" t="s">
        <v>2876</v>
      </c>
      <c r="NJC1332" s="4" t="s">
        <v>2876</v>
      </c>
      <c r="NJD1332" s="4" t="s">
        <v>2876</v>
      </c>
      <c r="NJE1332" s="4" t="s">
        <v>2876</v>
      </c>
      <c r="NJF1332" s="4" t="s">
        <v>2876</v>
      </c>
      <c r="NJG1332" s="4" t="s">
        <v>2876</v>
      </c>
      <c r="NJH1332" s="4" t="s">
        <v>2876</v>
      </c>
      <c r="NJI1332" s="4" t="s">
        <v>2876</v>
      </c>
      <c r="NJJ1332" s="4" t="s">
        <v>2876</v>
      </c>
      <c r="NJK1332" s="4" t="s">
        <v>2876</v>
      </c>
      <c r="NJL1332" s="4" t="s">
        <v>2876</v>
      </c>
      <c r="NJM1332" s="4" t="s">
        <v>2876</v>
      </c>
      <c r="NJN1332" s="4" t="s">
        <v>2876</v>
      </c>
      <c r="NJO1332" s="4" t="s">
        <v>2876</v>
      </c>
      <c r="NJP1332" s="4" t="s">
        <v>2876</v>
      </c>
      <c r="NJQ1332" s="4" t="s">
        <v>2876</v>
      </c>
      <c r="NJR1332" s="4" t="s">
        <v>2876</v>
      </c>
      <c r="NJS1332" s="4" t="s">
        <v>2876</v>
      </c>
      <c r="NJT1332" s="4" t="s">
        <v>2876</v>
      </c>
      <c r="NJU1332" s="4" t="s">
        <v>2876</v>
      </c>
      <c r="NJV1332" s="4" t="s">
        <v>2876</v>
      </c>
      <c r="NJW1332" s="4" t="s">
        <v>2876</v>
      </c>
      <c r="NJX1332" s="4" t="s">
        <v>2876</v>
      </c>
      <c r="NJY1332" s="4" t="s">
        <v>2876</v>
      </c>
      <c r="NJZ1332" s="4" t="s">
        <v>2876</v>
      </c>
      <c r="NKA1332" s="4" t="s">
        <v>2876</v>
      </c>
      <c r="NKB1332" s="4" t="s">
        <v>2876</v>
      </c>
      <c r="NKC1332" s="4" t="s">
        <v>2876</v>
      </c>
      <c r="NKD1332" s="4" t="s">
        <v>2876</v>
      </c>
      <c r="NKE1332" s="4" t="s">
        <v>2876</v>
      </c>
      <c r="NKF1332" s="4" t="s">
        <v>2876</v>
      </c>
      <c r="NKG1332" s="4" t="s">
        <v>2876</v>
      </c>
      <c r="NKH1332" s="4" t="s">
        <v>2876</v>
      </c>
      <c r="NKI1332" s="4" t="s">
        <v>2876</v>
      </c>
      <c r="NKJ1332" s="4" t="s">
        <v>2876</v>
      </c>
      <c r="NKK1332" s="4" t="s">
        <v>2876</v>
      </c>
      <c r="NKL1332" s="4" t="s">
        <v>2876</v>
      </c>
      <c r="NKM1332" s="4" t="s">
        <v>2876</v>
      </c>
      <c r="NKN1332" s="4" t="s">
        <v>2876</v>
      </c>
      <c r="NKO1332" s="4" t="s">
        <v>2876</v>
      </c>
      <c r="NKP1332" s="4" t="s">
        <v>2876</v>
      </c>
      <c r="NKQ1332" s="4" t="s">
        <v>2876</v>
      </c>
      <c r="NKR1332" s="4" t="s">
        <v>2876</v>
      </c>
      <c r="NKS1332" s="4" t="s">
        <v>2876</v>
      </c>
      <c r="NKT1332" s="4" t="s">
        <v>2876</v>
      </c>
      <c r="NKU1332" s="4" t="s">
        <v>2876</v>
      </c>
      <c r="NKV1332" s="4" t="s">
        <v>2876</v>
      </c>
      <c r="NKW1332" s="4" t="s">
        <v>2876</v>
      </c>
      <c r="NKX1332" s="4" t="s">
        <v>2876</v>
      </c>
      <c r="NKY1332" s="4" t="s">
        <v>2876</v>
      </c>
      <c r="NKZ1332" s="4" t="s">
        <v>2876</v>
      </c>
      <c r="NLA1332" s="4" t="s">
        <v>2876</v>
      </c>
      <c r="NLB1332" s="4" t="s">
        <v>2876</v>
      </c>
      <c r="NLC1332" s="4" t="s">
        <v>2876</v>
      </c>
      <c r="NLD1332" s="4" t="s">
        <v>2876</v>
      </c>
      <c r="NLE1332" s="4" t="s">
        <v>2876</v>
      </c>
      <c r="NLF1332" s="4" t="s">
        <v>2876</v>
      </c>
      <c r="NLG1332" s="4" t="s">
        <v>2876</v>
      </c>
      <c r="NLH1332" s="4" t="s">
        <v>2876</v>
      </c>
      <c r="NLI1332" s="4" t="s">
        <v>2876</v>
      </c>
      <c r="NLJ1332" s="4" t="s">
        <v>2876</v>
      </c>
      <c r="NLK1332" s="4" t="s">
        <v>2876</v>
      </c>
      <c r="NLL1332" s="4" t="s">
        <v>2876</v>
      </c>
      <c r="NLM1332" s="4" t="s">
        <v>2876</v>
      </c>
      <c r="NLN1332" s="4" t="s">
        <v>2876</v>
      </c>
      <c r="NLO1332" s="4" t="s">
        <v>2876</v>
      </c>
      <c r="NLP1332" s="4" t="s">
        <v>2876</v>
      </c>
      <c r="NLQ1332" s="4" t="s">
        <v>2876</v>
      </c>
      <c r="NLR1332" s="4" t="s">
        <v>2876</v>
      </c>
      <c r="NLS1332" s="4" t="s">
        <v>2876</v>
      </c>
      <c r="NLT1332" s="4" t="s">
        <v>2876</v>
      </c>
      <c r="NLU1332" s="4" t="s">
        <v>2876</v>
      </c>
      <c r="NLV1332" s="4" t="s">
        <v>2876</v>
      </c>
      <c r="NLW1332" s="4" t="s">
        <v>2876</v>
      </c>
      <c r="NLX1332" s="4" t="s">
        <v>2876</v>
      </c>
      <c r="NLY1332" s="4" t="s">
        <v>2876</v>
      </c>
      <c r="NLZ1332" s="4" t="s">
        <v>2876</v>
      </c>
      <c r="NMA1332" s="4" t="s">
        <v>2876</v>
      </c>
      <c r="NMB1332" s="4" t="s">
        <v>2876</v>
      </c>
      <c r="NMC1332" s="4" t="s">
        <v>2876</v>
      </c>
      <c r="NMD1332" s="4" t="s">
        <v>2876</v>
      </c>
      <c r="NME1332" s="4" t="s">
        <v>2876</v>
      </c>
      <c r="NMF1332" s="4" t="s">
        <v>2876</v>
      </c>
      <c r="NMG1332" s="4" t="s">
        <v>2876</v>
      </c>
      <c r="NMH1332" s="4" t="s">
        <v>2876</v>
      </c>
      <c r="NMI1332" s="4" t="s">
        <v>2876</v>
      </c>
      <c r="NMJ1332" s="4" t="s">
        <v>2876</v>
      </c>
      <c r="NMK1332" s="4" t="s">
        <v>2876</v>
      </c>
      <c r="NML1332" s="4" t="s">
        <v>2876</v>
      </c>
      <c r="NMM1332" s="4" t="s">
        <v>2876</v>
      </c>
      <c r="NMN1332" s="4" t="s">
        <v>2876</v>
      </c>
      <c r="NMO1332" s="4" t="s">
        <v>2876</v>
      </c>
      <c r="NMP1332" s="4" t="s">
        <v>2876</v>
      </c>
      <c r="NMQ1332" s="4" t="s">
        <v>2876</v>
      </c>
      <c r="NMR1332" s="4" t="s">
        <v>2876</v>
      </c>
      <c r="NMS1332" s="4" t="s">
        <v>2876</v>
      </c>
      <c r="NMT1332" s="4" t="s">
        <v>2876</v>
      </c>
      <c r="NMU1332" s="4" t="s">
        <v>2876</v>
      </c>
      <c r="NMV1332" s="4" t="s">
        <v>2876</v>
      </c>
      <c r="NMW1332" s="4" t="s">
        <v>2876</v>
      </c>
      <c r="NMX1332" s="4" t="s">
        <v>2876</v>
      </c>
      <c r="NMY1332" s="4" t="s">
        <v>2876</v>
      </c>
      <c r="NMZ1332" s="4" t="s">
        <v>2876</v>
      </c>
      <c r="NNA1332" s="4" t="s">
        <v>2876</v>
      </c>
      <c r="NNB1332" s="4" t="s">
        <v>2876</v>
      </c>
      <c r="NNC1332" s="4" t="s">
        <v>2876</v>
      </c>
      <c r="NND1332" s="4" t="s">
        <v>2876</v>
      </c>
      <c r="NNE1332" s="4" t="s">
        <v>2876</v>
      </c>
      <c r="NNF1332" s="4" t="s">
        <v>2876</v>
      </c>
      <c r="NNG1332" s="4" t="s">
        <v>2876</v>
      </c>
      <c r="NNH1332" s="4" t="s">
        <v>2876</v>
      </c>
      <c r="NNI1332" s="4" t="s">
        <v>2876</v>
      </c>
      <c r="NNJ1332" s="4" t="s">
        <v>2876</v>
      </c>
      <c r="NNK1332" s="4" t="s">
        <v>2876</v>
      </c>
      <c r="NNL1332" s="4" t="s">
        <v>2876</v>
      </c>
      <c r="NNM1332" s="4" t="s">
        <v>2876</v>
      </c>
      <c r="NNN1332" s="4" t="s">
        <v>2876</v>
      </c>
      <c r="NNO1332" s="4" t="s">
        <v>2876</v>
      </c>
      <c r="NNP1332" s="4" t="s">
        <v>2876</v>
      </c>
      <c r="NNQ1332" s="4" t="s">
        <v>2876</v>
      </c>
      <c r="NNR1332" s="4" t="s">
        <v>2876</v>
      </c>
      <c r="NNS1332" s="4" t="s">
        <v>2876</v>
      </c>
      <c r="NNT1332" s="4" t="s">
        <v>2876</v>
      </c>
      <c r="NNU1332" s="4" t="s">
        <v>2876</v>
      </c>
      <c r="NNV1332" s="4" t="s">
        <v>2876</v>
      </c>
      <c r="NNW1332" s="4" t="s">
        <v>2876</v>
      </c>
      <c r="NNX1332" s="4" t="s">
        <v>2876</v>
      </c>
      <c r="NNY1332" s="4" t="s">
        <v>2876</v>
      </c>
      <c r="NNZ1332" s="4" t="s">
        <v>2876</v>
      </c>
      <c r="NOA1332" s="4" t="s">
        <v>2876</v>
      </c>
      <c r="NOB1332" s="4" t="s">
        <v>2876</v>
      </c>
      <c r="NOC1332" s="4" t="s">
        <v>2876</v>
      </c>
      <c r="NOD1332" s="4" t="s">
        <v>2876</v>
      </c>
      <c r="NOE1332" s="4" t="s">
        <v>2876</v>
      </c>
      <c r="NOF1332" s="4" t="s">
        <v>2876</v>
      </c>
      <c r="NOG1332" s="4" t="s">
        <v>2876</v>
      </c>
      <c r="NOH1332" s="4" t="s">
        <v>2876</v>
      </c>
      <c r="NOI1332" s="4" t="s">
        <v>2876</v>
      </c>
      <c r="NOJ1332" s="4" t="s">
        <v>2876</v>
      </c>
      <c r="NOK1332" s="4" t="s">
        <v>2876</v>
      </c>
      <c r="NOL1332" s="4" t="s">
        <v>2876</v>
      </c>
      <c r="NOM1332" s="4" t="s">
        <v>2876</v>
      </c>
      <c r="NON1332" s="4" t="s">
        <v>2876</v>
      </c>
      <c r="NOO1332" s="4" t="s">
        <v>2876</v>
      </c>
      <c r="NOP1332" s="4" t="s">
        <v>2876</v>
      </c>
      <c r="NOQ1332" s="4" t="s">
        <v>2876</v>
      </c>
      <c r="NOR1332" s="4" t="s">
        <v>2876</v>
      </c>
      <c r="NOS1332" s="4" t="s">
        <v>2876</v>
      </c>
      <c r="NOT1332" s="4" t="s">
        <v>2876</v>
      </c>
      <c r="NOU1332" s="4" t="s">
        <v>2876</v>
      </c>
      <c r="NOV1332" s="4" t="s">
        <v>2876</v>
      </c>
      <c r="NOW1332" s="4" t="s">
        <v>2876</v>
      </c>
      <c r="NOX1332" s="4" t="s">
        <v>2876</v>
      </c>
      <c r="NOY1332" s="4" t="s">
        <v>2876</v>
      </c>
      <c r="NOZ1332" s="4" t="s">
        <v>2876</v>
      </c>
      <c r="NPA1332" s="4" t="s">
        <v>2876</v>
      </c>
      <c r="NPB1332" s="4" t="s">
        <v>2876</v>
      </c>
      <c r="NPC1332" s="4" t="s">
        <v>2876</v>
      </c>
      <c r="NPD1332" s="4" t="s">
        <v>2876</v>
      </c>
      <c r="NPE1332" s="4" t="s">
        <v>2876</v>
      </c>
      <c r="NPF1332" s="4" t="s">
        <v>2876</v>
      </c>
      <c r="NPG1332" s="4" t="s">
        <v>2876</v>
      </c>
      <c r="NPH1332" s="4" t="s">
        <v>2876</v>
      </c>
      <c r="NPI1332" s="4" t="s">
        <v>2876</v>
      </c>
      <c r="NPJ1332" s="4" t="s">
        <v>2876</v>
      </c>
      <c r="NPK1332" s="4" t="s">
        <v>2876</v>
      </c>
      <c r="NPL1332" s="4" t="s">
        <v>2876</v>
      </c>
      <c r="NPM1332" s="4" t="s">
        <v>2876</v>
      </c>
      <c r="NPN1332" s="4" t="s">
        <v>2876</v>
      </c>
      <c r="NPO1332" s="4" t="s">
        <v>2876</v>
      </c>
      <c r="NPP1332" s="4" t="s">
        <v>2876</v>
      </c>
      <c r="NPQ1332" s="4" t="s">
        <v>2876</v>
      </c>
      <c r="NPR1332" s="4" t="s">
        <v>2876</v>
      </c>
      <c r="NPS1332" s="4" t="s">
        <v>2876</v>
      </c>
      <c r="NPT1332" s="4" t="s">
        <v>2876</v>
      </c>
      <c r="NPU1332" s="4" t="s">
        <v>2876</v>
      </c>
      <c r="NPV1332" s="4" t="s">
        <v>2876</v>
      </c>
      <c r="NPW1332" s="4" t="s">
        <v>2876</v>
      </c>
      <c r="NPX1332" s="4" t="s">
        <v>2876</v>
      </c>
      <c r="NPY1332" s="4" t="s">
        <v>2876</v>
      </c>
      <c r="NPZ1332" s="4" t="s">
        <v>2876</v>
      </c>
      <c r="NQA1332" s="4" t="s">
        <v>2876</v>
      </c>
      <c r="NQB1332" s="4" t="s">
        <v>2876</v>
      </c>
      <c r="NQC1332" s="4" t="s">
        <v>2876</v>
      </c>
      <c r="NQD1332" s="4" t="s">
        <v>2876</v>
      </c>
      <c r="NQE1332" s="4" t="s">
        <v>2876</v>
      </c>
      <c r="NQF1332" s="4" t="s">
        <v>2876</v>
      </c>
      <c r="NQG1332" s="4" t="s">
        <v>2876</v>
      </c>
      <c r="NQH1332" s="4" t="s">
        <v>2876</v>
      </c>
      <c r="NQI1332" s="4" t="s">
        <v>2876</v>
      </c>
      <c r="NQJ1332" s="4" t="s">
        <v>2876</v>
      </c>
      <c r="NQK1332" s="4" t="s">
        <v>2876</v>
      </c>
      <c r="NQL1332" s="4" t="s">
        <v>2876</v>
      </c>
      <c r="NQM1332" s="4" t="s">
        <v>2876</v>
      </c>
      <c r="NQN1332" s="4" t="s">
        <v>2876</v>
      </c>
      <c r="NQO1332" s="4" t="s">
        <v>2876</v>
      </c>
      <c r="NQP1332" s="4" t="s">
        <v>2876</v>
      </c>
      <c r="NQQ1332" s="4" t="s">
        <v>2876</v>
      </c>
      <c r="NQR1332" s="4" t="s">
        <v>2876</v>
      </c>
      <c r="NQS1332" s="4" t="s">
        <v>2876</v>
      </c>
      <c r="NQT1332" s="4" t="s">
        <v>2876</v>
      </c>
      <c r="NQU1332" s="4" t="s">
        <v>2876</v>
      </c>
      <c r="NQV1332" s="4" t="s">
        <v>2876</v>
      </c>
      <c r="NQW1332" s="4" t="s">
        <v>2876</v>
      </c>
      <c r="NQX1332" s="4" t="s">
        <v>2876</v>
      </c>
      <c r="NQY1332" s="4" t="s">
        <v>2876</v>
      </c>
      <c r="NQZ1332" s="4" t="s">
        <v>2876</v>
      </c>
      <c r="NRA1332" s="4" t="s">
        <v>2876</v>
      </c>
      <c r="NRB1332" s="4" t="s">
        <v>2876</v>
      </c>
      <c r="NRC1332" s="4" t="s">
        <v>2876</v>
      </c>
      <c r="NRD1332" s="4" t="s">
        <v>2876</v>
      </c>
      <c r="NRE1332" s="4" t="s">
        <v>2876</v>
      </c>
      <c r="NRF1332" s="4" t="s">
        <v>2876</v>
      </c>
      <c r="NRG1332" s="4" t="s">
        <v>2876</v>
      </c>
      <c r="NRH1332" s="4" t="s">
        <v>2876</v>
      </c>
      <c r="NRI1332" s="4" t="s">
        <v>2876</v>
      </c>
      <c r="NRJ1332" s="4" t="s">
        <v>2876</v>
      </c>
      <c r="NRK1332" s="4" t="s">
        <v>2876</v>
      </c>
      <c r="NRL1332" s="4" t="s">
        <v>2876</v>
      </c>
      <c r="NRM1332" s="4" t="s">
        <v>2876</v>
      </c>
      <c r="NRN1332" s="4" t="s">
        <v>2876</v>
      </c>
      <c r="NRO1332" s="4" t="s">
        <v>2876</v>
      </c>
      <c r="NRP1332" s="4" t="s">
        <v>2876</v>
      </c>
      <c r="NRQ1332" s="4" t="s">
        <v>2876</v>
      </c>
      <c r="NRR1332" s="4" t="s">
        <v>2876</v>
      </c>
      <c r="NRS1332" s="4" t="s">
        <v>2876</v>
      </c>
      <c r="NRT1332" s="4" t="s">
        <v>2876</v>
      </c>
      <c r="NRU1332" s="4" t="s">
        <v>2876</v>
      </c>
      <c r="NRV1332" s="4" t="s">
        <v>2876</v>
      </c>
      <c r="NRW1332" s="4" t="s">
        <v>2876</v>
      </c>
      <c r="NRX1332" s="4" t="s">
        <v>2876</v>
      </c>
      <c r="NRY1332" s="4" t="s">
        <v>2876</v>
      </c>
      <c r="NRZ1332" s="4" t="s">
        <v>2876</v>
      </c>
      <c r="NSA1332" s="4" t="s">
        <v>2876</v>
      </c>
      <c r="NSB1332" s="4" t="s">
        <v>2876</v>
      </c>
      <c r="NSC1332" s="4" t="s">
        <v>2876</v>
      </c>
      <c r="NSD1332" s="4" t="s">
        <v>2876</v>
      </c>
      <c r="NSE1332" s="4" t="s">
        <v>2876</v>
      </c>
      <c r="NSF1332" s="4" t="s">
        <v>2876</v>
      </c>
      <c r="NSG1332" s="4" t="s">
        <v>2876</v>
      </c>
      <c r="NSH1332" s="4" t="s">
        <v>2876</v>
      </c>
      <c r="NSI1332" s="4" t="s">
        <v>2876</v>
      </c>
      <c r="NSJ1332" s="4" t="s">
        <v>2876</v>
      </c>
      <c r="NSK1332" s="4" t="s">
        <v>2876</v>
      </c>
      <c r="NSL1332" s="4" t="s">
        <v>2876</v>
      </c>
      <c r="NSM1332" s="4" t="s">
        <v>2876</v>
      </c>
      <c r="NSN1332" s="4" t="s">
        <v>2876</v>
      </c>
      <c r="NSO1332" s="4" t="s">
        <v>2876</v>
      </c>
      <c r="NSP1332" s="4" t="s">
        <v>2876</v>
      </c>
      <c r="NSQ1332" s="4" t="s">
        <v>2876</v>
      </c>
      <c r="NSR1332" s="4" t="s">
        <v>2876</v>
      </c>
      <c r="NSS1332" s="4" t="s">
        <v>2876</v>
      </c>
      <c r="NST1332" s="4" t="s">
        <v>2876</v>
      </c>
      <c r="NSU1332" s="4" t="s">
        <v>2876</v>
      </c>
      <c r="NSV1332" s="4" t="s">
        <v>2876</v>
      </c>
      <c r="NSW1332" s="4" t="s">
        <v>2876</v>
      </c>
      <c r="NSX1332" s="4" t="s">
        <v>2876</v>
      </c>
      <c r="NSY1332" s="4" t="s">
        <v>2876</v>
      </c>
      <c r="NSZ1332" s="4" t="s">
        <v>2876</v>
      </c>
      <c r="NTA1332" s="4" t="s">
        <v>2876</v>
      </c>
      <c r="NTB1332" s="4" t="s">
        <v>2876</v>
      </c>
      <c r="NTC1332" s="4" t="s">
        <v>2876</v>
      </c>
      <c r="NTD1332" s="4" t="s">
        <v>2876</v>
      </c>
      <c r="NTE1332" s="4" t="s">
        <v>2876</v>
      </c>
      <c r="NTF1332" s="4" t="s">
        <v>2876</v>
      </c>
      <c r="NTG1332" s="4" t="s">
        <v>2876</v>
      </c>
      <c r="NTH1332" s="4" t="s">
        <v>2876</v>
      </c>
      <c r="NTI1332" s="4" t="s">
        <v>2876</v>
      </c>
      <c r="NTJ1332" s="4" t="s">
        <v>2876</v>
      </c>
      <c r="NTK1332" s="4" t="s">
        <v>2876</v>
      </c>
      <c r="NTL1332" s="4" t="s">
        <v>2876</v>
      </c>
      <c r="NTM1332" s="4" t="s">
        <v>2876</v>
      </c>
      <c r="NTN1332" s="4" t="s">
        <v>2876</v>
      </c>
      <c r="NTO1332" s="4" t="s">
        <v>2876</v>
      </c>
      <c r="NTP1332" s="4" t="s">
        <v>2876</v>
      </c>
      <c r="NTQ1332" s="4" t="s">
        <v>2876</v>
      </c>
      <c r="NTR1332" s="4" t="s">
        <v>2876</v>
      </c>
      <c r="NTS1332" s="4" t="s">
        <v>2876</v>
      </c>
      <c r="NTT1332" s="4" t="s">
        <v>2876</v>
      </c>
      <c r="NTU1332" s="4" t="s">
        <v>2876</v>
      </c>
      <c r="NTV1332" s="4" t="s">
        <v>2876</v>
      </c>
      <c r="NTW1332" s="4" t="s">
        <v>2876</v>
      </c>
      <c r="NTX1332" s="4" t="s">
        <v>2876</v>
      </c>
      <c r="NTY1332" s="4" t="s">
        <v>2876</v>
      </c>
      <c r="NTZ1332" s="4" t="s">
        <v>2876</v>
      </c>
      <c r="NUA1332" s="4" t="s">
        <v>2876</v>
      </c>
      <c r="NUB1332" s="4" t="s">
        <v>2876</v>
      </c>
      <c r="NUC1332" s="4" t="s">
        <v>2876</v>
      </c>
      <c r="NUD1332" s="4" t="s">
        <v>2876</v>
      </c>
      <c r="NUE1332" s="4" t="s">
        <v>2876</v>
      </c>
      <c r="NUF1332" s="4" t="s">
        <v>2876</v>
      </c>
      <c r="NUG1332" s="4" t="s">
        <v>2876</v>
      </c>
      <c r="NUH1332" s="4" t="s">
        <v>2876</v>
      </c>
      <c r="NUI1332" s="4" t="s">
        <v>2876</v>
      </c>
      <c r="NUJ1332" s="4" t="s">
        <v>2876</v>
      </c>
      <c r="NUK1332" s="4" t="s">
        <v>2876</v>
      </c>
      <c r="NUL1332" s="4" t="s">
        <v>2876</v>
      </c>
      <c r="NUM1332" s="4" t="s">
        <v>2876</v>
      </c>
      <c r="NUN1332" s="4" t="s">
        <v>2876</v>
      </c>
      <c r="NUO1332" s="4" t="s">
        <v>2876</v>
      </c>
      <c r="NUP1332" s="4" t="s">
        <v>2876</v>
      </c>
      <c r="NUQ1332" s="4" t="s">
        <v>2876</v>
      </c>
      <c r="NUR1332" s="4" t="s">
        <v>2876</v>
      </c>
      <c r="NUS1332" s="4" t="s">
        <v>2876</v>
      </c>
      <c r="NUT1332" s="4" t="s">
        <v>2876</v>
      </c>
      <c r="NUU1332" s="4" t="s">
        <v>2876</v>
      </c>
      <c r="NUV1332" s="4" t="s">
        <v>2876</v>
      </c>
      <c r="NUW1332" s="4" t="s">
        <v>2876</v>
      </c>
      <c r="NUX1332" s="4" t="s">
        <v>2876</v>
      </c>
      <c r="NUY1332" s="4" t="s">
        <v>2876</v>
      </c>
      <c r="NUZ1332" s="4" t="s">
        <v>2876</v>
      </c>
      <c r="NVA1332" s="4" t="s">
        <v>2876</v>
      </c>
      <c r="NVB1332" s="4" t="s">
        <v>2876</v>
      </c>
      <c r="NVC1332" s="4" t="s">
        <v>2876</v>
      </c>
      <c r="NVD1332" s="4" t="s">
        <v>2876</v>
      </c>
      <c r="NVE1332" s="4" t="s">
        <v>2876</v>
      </c>
      <c r="NVF1332" s="4" t="s">
        <v>2876</v>
      </c>
      <c r="NVG1332" s="4" t="s">
        <v>2876</v>
      </c>
      <c r="NVH1332" s="4" t="s">
        <v>2876</v>
      </c>
      <c r="NVI1332" s="4" t="s">
        <v>2876</v>
      </c>
      <c r="NVJ1332" s="4" t="s">
        <v>2876</v>
      </c>
      <c r="NVK1332" s="4" t="s">
        <v>2876</v>
      </c>
      <c r="NVL1332" s="4" t="s">
        <v>2876</v>
      </c>
      <c r="NVM1332" s="4" t="s">
        <v>2876</v>
      </c>
      <c r="NVN1332" s="4" t="s">
        <v>2876</v>
      </c>
      <c r="NVO1332" s="4" t="s">
        <v>2876</v>
      </c>
      <c r="NVP1332" s="4" t="s">
        <v>2876</v>
      </c>
      <c r="NVQ1332" s="4" t="s">
        <v>2876</v>
      </c>
      <c r="NVR1332" s="4" t="s">
        <v>2876</v>
      </c>
      <c r="NVS1332" s="4" t="s">
        <v>2876</v>
      </c>
      <c r="NVT1332" s="4" t="s">
        <v>2876</v>
      </c>
      <c r="NVU1332" s="4" t="s">
        <v>2876</v>
      </c>
      <c r="NVV1332" s="4" t="s">
        <v>2876</v>
      </c>
      <c r="NVW1332" s="4" t="s">
        <v>2876</v>
      </c>
      <c r="NVX1332" s="4" t="s">
        <v>2876</v>
      </c>
      <c r="NVY1332" s="4" t="s">
        <v>2876</v>
      </c>
      <c r="NVZ1332" s="4" t="s">
        <v>2876</v>
      </c>
      <c r="NWA1332" s="4" t="s">
        <v>2876</v>
      </c>
      <c r="NWB1332" s="4" t="s">
        <v>2876</v>
      </c>
      <c r="NWC1332" s="4" t="s">
        <v>2876</v>
      </c>
      <c r="NWD1332" s="4" t="s">
        <v>2876</v>
      </c>
      <c r="NWE1332" s="4" t="s">
        <v>2876</v>
      </c>
      <c r="NWF1332" s="4" t="s">
        <v>2876</v>
      </c>
      <c r="NWG1332" s="4" t="s">
        <v>2876</v>
      </c>
      <c r="NWH1332" s="4" t="s">
        <v>2876</v>
      </c>
      <c r="NWI1332" s="4" t="s">
        <v>2876</v>
      </c>
      <c r="NWJ1332" s="4" t="s">
        <v>2876</v>
      </c>
      <c r="NWK1332" s="4" t="s">
        <v>2876</v>
      </c>
      <c r="NWL1332" s="4" t="s">
        <v>2876</v>
      </c>
      <c r="NWM1332" s="4" t="s">
        <v>2876</v>
      </c>
      <c r="NWN1332" s="4" t="s">
        <v>2876</v>
      </c>
      <c r="NWO1332" s="4" t="s">
        <v>2876</v>
      </c>
      <c r="NWP1332" s="4" t="s">
        <v>2876</v>
      </c>
      <c r="NWQ1332" s="4" t="s">
        <v>2876</v>
      </c>
      <c r="NWR1332" s="4" t="s">
        <v>2876</v>
      </c>
      <c r="NWS1332" s="4" t="s">
        <v>2876</v>
      </c>
      <c r="NWT1332" s="4" t="s">
        <v>2876</v>
      </c>
      <c r="NWU1332" s="4" t="s">
        <v>2876</v>
      </c>
      <c r="NWV1332" s="4" t="s">
        <v>2876</v>
      </c>
      <c r="NWW1332" s="4" t="s">
        <v>2876</v>
      </c>
      <c r="NWX1332" s="4" t="s">
        <v>2876</v>
      </c>
      <c r="NWY1332" s="4" t="s">
        <v>2876</v>
      </c>
      <c r="NWZ1332" s="4" t="s">
        <v>2876</v>
      </c>
      <c r="NXA1332" s="4" t="s">
        <v>2876</v>
      </c>
      <c r="NXB1332" s="4" t="s">
        <v>2876</v>
      </c>
      <c r="NXC1332" s="4" t="s">
        <v>2876</v>
      </c>
      <c r="NXD1332" s="4" t="s">
        <v>2876</v>
      </c>
      <c r="NXE1332" s="4" t="s">
        <v>2876</v>
      </c>
      <c r="NXF1332" s="4" t="s">
        <v>2876</v>
      </c>
      <c r="NXG1332" s="4" t="s">
        <v>2876</v>
      </c>
      <c r="NXH1332" s="4" t="s">
        <v>2876</v>
      </c>
      <c r="NXI1332" s="4" t="s">
        <v>2876</v>
      </c>
      <c r="NXJ1332" s="4" t="s">
        <v>2876</v>
      </c>
      <c r="NXK1332" s="4" t="s">
        <v>2876</v>
      </c>
      <c r="NXL1332" s="4" t="s">
        <v>2876</v>
      </c>
      <c r="NXM1332" s="4" t="s">
        <v>2876</v>
      </c>
      <c r="NXN1332" s="4" t="s">
        <v>2876</v>
      </c>
      <c r="NXO1332" s="4" t="s">
        <v>2876</v>
      </c>
      <c r="NXP1332" s="4" t="s">
        <v>2876</v>
      </c>
      <c r="NXQ1332" s="4" t="s">
        <v>2876</v>
      </c>
      <c r="NXR1332" s="4" t="s">
        <v>2876</v>
      </c>
      <c r="NXS1332" s="4" t="s">
        <v>2876</v>
      </c>
      <c r="NXT1332" s="4" t="s">
        <v>2876</v>
      </c>
      <c r="NXU1332" s="4" t="s">
        <v>2876</v>
      </c>
      <c r="NXV1332" s="4" t="s">
        <v>2876</v>
      </c>
      <c r="NXW1332" s="4" t="s">
        <v>2876</v>
      </c>
      <c r="NXX1332" s="4" t="s">
        <v>2876</v>
      </c>
      <c r="NXY1332" s="4" t="s">
        <v>2876</v>
      </c>
      <c r="NXZ1332" s="4" t="s">
        <v>2876</v>
      </c>
      <c r="NYA1332" s="4" t="s">
        <v>2876</v>
      </c>
      <c r="NYB1332" s="4" t="s">
        <v>2876</v>
      </c>
      <c r="NYC1332" s="4" t="s">
        <v>2876</v>
      </c>
      <c r="NYD1332" s="4" t="s">
        <v>2876</v>
      </c>
      <c r="NYE1332" s="4" t="s">
        <v>2876</v>
      </c>
      <c r="NYF1332" s="4" t="s">
        <v>2876</v>
      </c>
      <c r="NYG1332" s="4" t="s">
        <v>2876</v>
      </c>
      <c r="NYH1332" s="4" t="s">
        <v>2876</v>
      </c>
      <c r="NYI1332" s="4" t="s">
        <v>2876</v>
      </c>
      <c r="NYJ1332" s="4" t="s">
        <v>2876</v>
      </c>
      <c r="NYK1332" s="4" t="s">
        <v>2876</v>
      </c>
      <c r="NYL1332" s="4" t="s">
        <v>2876</v>
      </c>
      <c r="NYM1332" s="4" t="s">
        <v>2876</v>
      </c>
      <c r="NYN1332" s="4" t="s">
        <v>2876</v>
      </c>
      <c r="NYO1332" s="4" t="s">
        <v>2876</v>
      </c>
      <c r="NYP1332" s="4" t="s">
        <v>2876</v>
      </c>
      <c r="NYQ1332" s="4" t="s">
        <v>2876</v>
      </c>
      <c r="NYR1332" s="4" t="s">
        <v>2876</v>
      </c>
      <c r="NYS1332" s="4" t="s">
        <v>2876</v>
      </c>
      <c r="NYT1332" s="4" t="s">
        <v>2876</v>
      </c>
      <c r="NYU1332" s="4" t="s">
        <v>2876</v>
      </c>
      <c r="NYV1332" s="4" t="s">
        <v>2876</v>
      </c>
      <c r="NYW1332" s="4" t="s">
        <v>2876</v>
      </c>
      <c r="NYX1332" s="4" t="s">
        <v>2876</v>
      </c>
      <c r="NYY1332" s="4" t="s">
        <v>2876</v>
      </c>
      <c r="NYZ1332" s="4" t="s">
        <v>2876</v>
      </c>
      <c r="NZA1332" s="4" t="s">
        <v>2876</v>
      </c>
      <c r="NZB1332" s="4" t="s">
        <v>2876</v>
      </c>
      <c r="NZC1332" s="4" t="s">
        <v>2876</v>
      </c>
      <c r="NZD1332" s="4" t="s">
        <v>2876</v>
      </c>
      <c r="NZE1332" s="4" t="s">
        <v>2876</v>
      </c>
      <c r="NZF1332" s="4" t="s">
        <v>2876</v>
      </c>
      <c r="NZG1332" s="4" t="s">
        <v>2876</v>
      </c>
      <c r="NZH1332" s="4" t="s">
        <v>2876</v>
      </c>
      <c r="NZI1332" s="4" t="s">
        <v>2876</v>
      </c>
      <c r="NZJ1332" s="4" t="s">
        <v>2876</v>
      </c>
      <c r="NZK1332" s="4" t="s">
        <v>2876</v>
      </c>
      <c r="NZL1332" s="4" t="s">
        <v>2876</v>
      </c>
      <c r="NZM1332" s="4" t="s">
        <v>2876</v>
      </c>
      <c r="NZN1332" s="4" t="s">
        <v>2876</v>
      </c>
      <c r="NZO1332" s="4" t="s">
        <v>2876</v>
      </c>
      <c r="NZP1332" s="4" t="s">
        <v>2876</v>
      </c>
      <c r="NZQ1332" s="4" t="s">
        <v>2876</v>
      </c>
      <c r="NZR1332" s="4" t="s">
        <v>2876</v>
      </c>
      <c r="NZS1332" s="4" t="s">
        <v>2876</v>
      </c>
      <c r="NZT1332" s="4" t="s">
        <v>2876</v>
      </c>
      <c r="NZU1332" s="4" t="s">
        <v>2876</v>
      </c>
      <c r="NZV1332" s="4" t="s">
        <v>2876</v>
      </c>
      <c r="NZW1332" s="4" t="s">
        <v>2876</v>
      </c>
      <c r="NZX1332" s="4" t="s">
        <v>2876</v>
      </c>
      <c r="NZY1332" s="4" t="s">
        <v>2876</v>
      </c>
      <c r="NZZ1332" s="4" t="s">
        <v>2876</v>
      </c>
      <c r="OAA1332" s="4" t="s">
        <v>2876</v>
      </c>
      <c r="OAB1332" s="4" t="s">
        <v>2876</v>
      </c>
      <c r="OAC1332" s="4" t="s">
        <v>2876</v>
      </c>
      <c r="OAD1332" s="4" t="s">
        <v>2876</v>
      </c>
      <c r="OAE1332" s="4" t="s">
        <v>2876</v>
      </c>
      <c r="OAF1332" s="4" t="s">
        <v>2876</v>
      </c>
      <c r="OAG1332" s="4" t="s">
        <v>2876</v>
      </c>
      <c r="OAH1332" s="4" t="s">
        <v>2876</v>
      </c>
      <c r="OAI1332" s="4" t="s">
        <v>2876</v>
      </c>
      <c r="OAJ1332" s="4" t="s">
        <v>2876</v>
      </c>
      <c r="OAK1332" s="4" t="s">
        <v>2876</v>
      </c>
      <c r="OAL1332" s="4" t="s">
        <v>2876</v>
      </c>
      <c r="OAM1332" s="4" t="s">
        <v>2876</v>
      </c>
      <c r="OAN1332" s="4" t="s">
        <v>2876</v>
      </c>
      <c r="OAO1332" s="4" t="s">
        <v>2876</v>
      </c>
      <c r="OAP1332" s="4" t="s">
        <v>2876</v>
      </c>
      <c r="OAQ1332" s="4" t="s">
        <v>2876</v>
      </c>
      <c r="OAR1332" s="4" t="s">
        <v>2876</v>
      </c>
      <c r="OAS1332" s="4" t="s">
        <v>2876</v>
      </c>
      <c r="OAT1332" s="4" t="s">
        <v>2876</v>
      </c>
      <c r="OAU1332" s="4" t="s">
        <v>2876</v>
      </c>
      <c r="OAV1332" s="4" t="s">
        <v>2876</v>
      </c>
      <c r="OAW1332" s="4" t="s">
        <v>2876</v>
      </c>
      <c r="OAX1332" s="4" t="s">
        <v>2876</v>
      </c>
      <c r="OAY1332" s="4" t="s">
        <v>2876</v>
      </c>
      <c r="OAZ1332" s="4" t="s">
        <v>2876</v>
      </c>
      <c r="OBA1332" s="4" t="s">
        <v>2876</v>
      </c>
      <c r="OBB1332" s="4" t="s">
        <v>2876</v>
      </c>
      <c r="OBC1332" s="4" t="s">
        <v>2876</v>
      </c>
      <c r="OBD1332" s="4" t="s">
        <v>2876</v>
      </c>
      <c r="OBE1332" s="4" t="s">
        <v>2876</v>
      </c>
      <c r="OBF1332" s="4" t="s">
        <v>2876</v>
      </c>
      <c r="OBG1332" s="4" t="s">
        <v>2876</v>
      </c>
      <c r="OBH1332" s="4" t="s">
        <v>2876</v>
      </c>
      <c r="OBI1332" s="4" t="s">
        <v>2876</v>
      </c>
      <c r="OBJ1332" s="4" t="s">
        <v>2876</v>
      </c>
      <c r="OBK1332" s="4" t="s">
        <v>2876</v>
      </c>
      <c r="OBL1332" s="4" t="s">
        <v>2876</v>
      </c>
      <c r="OBM1332" s="4" t="s">
        <v>2876</v>
      </c>
      <c r="OBN1332" s="4" t="s">
        <v>2876</v>
      </c>
      <c r="OBO1332" s="4" t="s">
        <v>2876</v>
      </c>
      <c r="OBP1332" s="4" t="s">
        <v>2876</v>
      </c>
      <c r="OBQ1332" s="4" t="s">
        <v>2876</v>
      </c>
      <c r="OBR1332" s="4" t="s">
        <v>2876</v>
      </c>
      <c r="OBS1332" s="4" t="s">
        <v>2876</v>
      </c>
      <c r="OBT1332" s="4" t="s">
        <v>2876</v>
      </c>
      <c r="OBU1332" s="4" t="s">
        <v>2876</v>
      </c>
      <c r="OBV1332" s="4" t="s">
        <v>2876</v>
      </c>
      <c r="OBW1332" s="4" t="s">
        <v>2876</v>
      </c>
      <c r="OBX1332" s="4" t="s">
        <v>2876</v>
      </c>
      <c r="OBY1332" s="4" t="s">
        <v>2876</v>
      </c>
      <c r="OBZ1332" s="4" t="s">
        <v>2876</v>
      </c>
      <c r="OCA1332" s="4" t="s">
        <v>2876</v>
      </c>
      <c r="OCB1332" s="4" t="s">
        <v>2876</v>
      </c>
      <c r="OCC1332" s="4" t="s">
        <v>2876</v>
      </c>
      <c r="OCD1332" s="4" t="s">
        <v>2876</v>
      </c>
      <c r="OCE1332" s="4" t="s">
        <v>2876</v>
      </c>
      <c r="OCF1332" s="4" t="s">
        <v>2876</v>
      </c>
      <c r="OCG1332" s="4" t="s">
        <v>2876</v>
      </c>
      <c r="OCH1332" s="4" t="s">
        <v>2876</v>
      </c>
      <c r="OCI1332" s="4" t="s">
        <v>2876</v>
      </c>
      <c r="OCJ1332" s="4" t="s">
        <v>2876</v>
      </c>
      <c r="OCK1332" s="4" t="s">
        <v>2876</v>
      </c>
      <c r="OCL1332" s="4" t="s">
        <v>2876</v>
      </c>
      <c r="OCM1332" s="4" t="s">
        <v>2876</v>
      </c>
      <c r="OCN1332" s="4" t="s">
        <v>2876</v>
      </c>
      <c r="OCO1332" s="4" t="s">
        <v>2876</v>
      </c>
      <c r="OCP1332" s="4" t="s">
        <v>2876</v>
      </c>
      <c r="OCQ1332" s="4" t="s">
        <v>2876</v>
      </c>
      <c r="OCR1332" s="4" t="s">
        <v>2876</v>
      </c>
      <c r="OCS1332" s="4" t="s">
        <v>2876</v>
      </c>
      <c r="OCT1332" s="4" t="s">
        <v>2876</v>
      </c>
      <c r="OCU1332" s="4" t="s">
        <v>2876</v>
      </c>
      <c r="OCV1332" s="4" t="s">
        <v>2876</v>
      </c>
      <c r="OCW1332" s="4" t="s">
        <v>2876</v>
      </c>
      <c r="OCX1332" s="4" t="s">
        <v>2876</v>
      </c>
      <c r="OCY1332" s="4" t="s">
        <v>2876</v>
      </c>
      <c r="OCZ1332" s="4" t="s">
        <v>2876</v>
      </c>
      <c r="ODA1332" s="4" t="s">
        <v>2876</v>
      </c>
      <c r="ODB1332" s="4" t="s">
        <v>2876</v>
      </c>
      <c r="ODC1332" s="4" t="s">
        <v>2876</v>
      </c>
      <c r="ODD1332" s="4" t="s">
        <v>2876</v>
      </c>
      <c r="ODE1332" s="4" t="s">
        <v>2876</v>
      </c>
      <c r="ODF1332" s="4" t="s">
        <v>2876</v>
      </c>
      <c r="ODG1332" s="4" t="s">
        <v>2876</v>
      </c>
      <c r="ODH1332" s="4" t="s">
        <v>2876</v>
      </c>
      <c r="ODI1332" s="4" t="s">
        <v>2876</v>
      </c>
      <c r="ODJ1332" s="4" t="s">
        <v>2876</v>
      </c>
      <c r="ODK1332" s="4" t="s">
        <v>2876</v>
      </c>
      <c r="ODL1332" s="4" t="s">
        <v>2876</v>
      </c>
      <c r="ODM1332" s="4" t="s">
        <v>2876</v>
      </c>
      <c r="ODN1332" s="4" t="s">
        <v>2876</v>
      </c>
      <c r="ODO1332" s="4" t="s">
        <v>2876</v>
      </c>
      <c r="ODP1332" s="4" t="s">
        <v>2876</v>
      </c>
      <c r="ODQ1332" s="4" t="s">
        <v>2876</v>
      </c>
      <c r="ODR1332" s="4" t="s">
        <v>2876</v>
      </c>
      <c r="ODS1332" s="4" t="s">
        <v>2876</v>
      </c>
      <c r="ODT1332" s="4" t="s">
        <v>2876</v>
      </c>
      <c r="ODU1332" s="4" t="s">
        <v>2876</v>
      </c>
      <c r="ODV1332" s="4" t="s">
        <v>2876</v>
      </c>
      <c r="ODW1332" s="4" t="s">
        <v>2876</v>
      </c>
      <c r="ODX1332" s="4" t="s">
        <v>2876</v>
      </c>
      <c r="ODY1332" s="4" t="s">
        <v>2876</v>
      </c>
      <c r="ODZ1332" s="4" t="s">
        <v>2876</v>
      </c>
      <c r="OEA1332" s="4" t="s">
        <v>2876</v>
      </c>
      <c r="OEB1332" s="4" t="s">
        <v>2876</v>
      </c>
      <c r="OEC1332" s="4" t="s">
        <v>2876</v>
      </c>
      <c r="OED1332" s="4" t="s">
        <v>2876</v>
      </c>
      <c r="OEE1332" s="4" t="s">
        <v>2876</v>
      </c>
      <c r="OEF1332" s="4" t="s">
        <v>2876</v>
      </c>
      <c r="OEG1332" s="4" t="s">
        <v>2876</v>
      </c>
      <c r="OEH1332" s="4" t="s">
        <v>2876</v>
      </c>
      <c r="OEI1332" s="4" t="s">
        <v>2876</v>
      </c>
      <c r="OEJ1332" s="4" t="s">
        <v>2876</v>
      </c>
      <c r="OEK1332" s="4" t="s">
        <v>2876</v>
      </c>
      <c r="OEL1332" s="4" t="s">
        <v>2876</v>
      </c>
      <c r="OEM1332" s="4" t="s">
        <v>2876</v>
      </c>
      <c r="OEN1332" s="4" t="s">
        <v>2876</v>
      </c>
      <c r="OEO1332" s="4" t="s">
        <v>2876</v>
      </c>
      <c r="OEP1332" s="4" t="s">
        <v>2876</v>
      </c>
      <c r="OEQ1332" s="4" t="s">
        <v>2876</v>
      </c>
      <c r="OER1332" s="4" t="s">
        <v>2876</v>
      </c>
      <c r="OES1332" s="4" t="s">
        <v>2876</v>
      </c>
      <c r="OET1332" s="4" t="s">
        <v>2876</v>
      </c>
      <c r="OEU1332" s="4" t="s">
        <v>2876</v>
      </c>
      <c r="OEV1332" s="4" t="s">
        <v>2876</v>
      </c>
      <c r="OEW1332" s="4" t="s">
        <v>2876</v>
      </c>
      <c r="OEX1332" s="4" t="s">
        <v>2876</v>
      </c>
      <c r="OEY1332" s="4" t="s">
        <v>2876</v>
      </c>
      <c r="OEZ1332" s="4" t="s">
        <v>2876</v>
      </c>
      <c r="OFA1332" s="4" t="s">
        <v>2876</v>
      </c>
      <c r="OFB1332" s="4" t="s">
        <v>2876</v>
      </c>
      <c r="OFC1332" s="4" t="s">
        <v>2876</v>
      </c>
      <c r="OFD1332" s="4" t="s">
        <v>2876</v>
      </c>
      <c r="OFE1332" s="4" t="s">
        <v>2876</v>
      </c>
      <c r="OFF1332" s="4" t="s">
        <v>2876</v>
      </c>
      <c r="OFG1332" s="4" t="s">
        <v>2876</v>
      </c>
      <c r="OFH1332" s="4" t="s">
        <v>2876</v>
      </c>
      <c r="OFI1332" s="4" t="s">
        <v>2876</v>
      </c>
      <c r="OFJ1332" s="4" t="s">
        <v>2876</v>
      </c>
      <c r="OFK1332" s="4" t="s">
        <v>2876</v>
      </c>
      <c r="OFL1332" s="4" t="s">
        <v>2876</v>
      </c>
      <c r="OFM1332" s="4" t="s">
        <v>2876</v>
      </c>
      <c r="OFN1332" s="4" t="s">
        <v>2876</v>
      </c>
      <c r="OFO1332" s="4" t="s">
        <v>2876</v>
      </c>
      <c r="OFP1332" s="4" t="s">
        <v>2876</v>
      </c>
      <c r="OFQ1332" s="4" t="s">
        <v>2876</v>
      </c>
      <c r="OFR1332" s="4" t="s">
        <v>2876</v>
      </c>
      <c r="OFS1332" s="4" t="s">
        <v>2876</v>
      </c>
      <c r="OFT1332" s="4" t="s">
        <v>2876</v>
      </c>
      <c r="OFU1332" s="4" t="s">
        <v>2876</v>
      </c>
      <c r="OFV1332" s="4" t="s">
        <v>2876</v>
      </c>
      <c r="OFW1332" s="4" t="s">
        <v>2876</v>
      </c>
      <c r="OFX1332" s="4" t="s">
        <v>2876</v>
      </c>
      <c r="OFY1332" s="4" t="s">
        <v>2876</v>
      </c>
      <c r="OFZ1332" s="4" t="s">
        <v>2876</v>
      </c>
      <c r="OGA1332" s="4" t="s">
        <v>2876</v>
      </c>
      <c r="OGB1332" s="4" t="s">
        <v>2876</v>
      </c>
      <c r="OGC1332" s="4" t="s">
        <v>2876</v>
      </c>
      <c r="OGD1332" s="4" t="s">
        <v>2876</v>
      </c>
      <c r="OGE1332" s="4" t="s">
        <v>2876</v>
      </c>
      <c r="OGF1332" s="4" t="s">
        <v>2876</v>
      </c>
      <c r="OGG1332" s="4" t="s">
        <v>2876</v>
      </c>
      <c r="OGH1332" s="4" t="s">
        <v>2876</v>
      </c>
      <c r="OGI1332" s="4" t="s">
        <v>2876</v>
      </c>
      <c r="OGJ1332" s="4" t="s">
        <v>2876</v>
      </c>
      <c r="OGK1332" s="4" t="s">
        <v>2876</v>
      </c>
      <c r="OGL1332" s="4" t="s">
        <v>2876</v>
      </c>
      <c r="OGM1332" s="4" t="s">
        <v>2876</v>
      </c>
      <c r="OGN1332" s="4" t="s">
        <v>2876</v>
      </c>
      <c r="OGO1332" s="4" t="s">
        <v>2876</v>
      </c>
      <c r="OGP1332" s="4" t="s">
        <v>2876</v>
      </c>
      <c r="OGQ1332" s="4" t="s">
        <v>2876</v>
      </c>
      <c r="OGR1332" s="4" t="s">
        <v>2876</v>
      </c>
      <c r="OGS1332" s="4" t="s">
        <v>2876</v>
      </c>
      <c r="OGT1332" s="4" t="s">
        <v>2876</v>
      </c>
      <c r="OGU1332" s="4" t="s">
        <v>2876</v>
      </c>
      <c r="OGV1332" s="4" t="s">
        <v>2876</v>
      </c>
      <c r="OGW1332" s="4" t="s">
        <v>2876</v>
      </c>
      <c r="OGX1332" s="4" t="s">
        <v>2876</v>
      </c>
      <c r="OGY1332" s="4" t="s">
        <v>2876</v>
      </c>
      <c r="OGZ1332" s="4" t="s">
        <v>2876</v>
      </c>
      <c r="OHA1332" s="4" t="s">
        <v>2876</v>
      </c>
      <c r="OHB1332" s="4" t="s">
        <v>2876</v>
      </c>
      <c r="OHC1332" s="4" t="s">
        <v>2876</v>
      </c>
      <c r="OHD1332" s="4" t="s">
        <v>2876</v>
      </c>
      <c r="OHE1332" s="4" t="s">
        <v>2876</v>
      </c>
      <c r="OHF1332" s="4" t="s">
        <v>2876</v>
      </c>
      <c r="OHG1332" s="4" t="s">
        <v>2876</v>
      </c>
      <c r="OHH1332" s="4" t="s">
        <v>2876</v>
      </c>
      <c r="OHI1332" s="4" t="s">
        <v>2876</v>
      </c>
      <c r="OHJ1332" s="4" t="s">
        <v>2876</v>
      </c>
      <c r="OHK1332" s="4" t="s">
        <v>2876</v>
      </c>
      <c r="OHL1332" s="4" t="s">
        <v>2876</v>
      </c>
      <c r="OHM1332" s="4" t="s">
        <v>2876</v>
      </c>
      <c r="OHN1332" s="4" t="s">
        <v>2876</v>
      </c>
      <c r="OHO1332" s="4" t="s">
        <v>2876</v>
      </c>
      <c r="OHP1332" s="4" t="s">
        <v>2876</v>
      </c>
      <c r="OHQ1332" s="4" t="s">
        <v>2876</v>
      </c>
      <c r="OHR1332" s="4" t="s">
        <v>2876</v>
      </c>
      <c r="OHS1332" s="4" t="s">
        <v>2876</v>
      </c>
      <c r="OHT1332" s="4" t="s">
        <v>2876</v>
      </c>
      <c r="OHU1332" s="4" t="s">
        <v>2876</v>
      </c>
      <c r="OHV1332" s="4" t="s">
        <v>2876</v>
      </c>
      <c r="OHW1332" s="4" t="s">
        <v>2876</v>
      </c>
      <c r="OHX1332" s="4" t="s">
        <v>2876</v>
      </c>
      <c r="OHY1332" s="4" t="s">
        <v>2876</v>
      </c>
      <c r="OHZ1332" s="4" t="s">
        <v>2876</v>
      </c>
      <c r="OIA1332" s="4" t="s">
        <v>2876</v>
      </c>
      <c r="OIB1332" s="4" t="s">
        <v>2876</v>
      </c>
      <c r="OIC1332" s="4" t="s">
        <v>2876</v>
      </c>
      <c r="OID1332" s="4" t="s">
        <v>2876</v>
      </c>
      <c r="OIE1332" s="4" t="s">
        <v>2876</v>
      </c>
      <c r="OIF1332" s="4" t="s">
        <v>2876</v>
      </c>
      <c r="OIG1332" s="4" t="s">
        <v>2876</v>
      </c>
      <c r="OIH1332" s="4" t="s">
        <v>2876</v>
      </c>
      <c r="OII1332" s="4" t="s">
        <v>2876</v>
      </c>
      <c r="OIJ1332" s="4" t="s">
        <v>2876</v>
      </c>
      <c r="OIK1332" s="4" t="s">
        <v>2876</v>
      </c>
      <c r="OIL1332" s="4" t="s">
        <v>2876</v>
      </c>
      <c r="OIM1332" s="4" t="s">
        <v>2876</v>
      </c>
      <c r="OIN1332" s="4" t="s">
        <v>2876</v>
      </c>
      <c r="OIO1332" s="4" t="s">
        <v>2876</v>
      </c>
      <c r="OIP1332" s="4" t="s">
        <v>2876</v>
      </c>
      <c r="OIQ1332" s="4" t="s">
        <v>2876</v>
      </c>
      <c r="OIR1332" s="4" t="s">
        <v>2876</v>
      </c>
      <c r="OIS1332" s="4" t="s">
        <v>2876</v>
      </c>
      <c r="OIT1332" s="4" t="s">
        <v>2876</v>
      </c>
      <c r="OIU1332" s="4" t="s">
        <v>2876</v>
      </c>
      <c r="OIV1332" s="4" t="s">
        <v>2876</v>
      </c>
      <c r="OIW1332" s="4" t="s">
        <v>2876</v>
      </c>
      <c r="OIX1332" s="4" t="s">
        <v>2876</v>
      </c>
      <c r="OIY1332" s="4" t="s">
        <v>2876</v>
      </c>
      <c r="OIZ1332" s="4" t="s">
        <v>2876</v>
      </c>
      <c r="OJA1332" s="4" t="s">
        <v>2876</v>
      </c>
      <c r="OJB1332" s="4" t="s">
        <v>2876</v>
      </c>
      <c r="OJC1332" s="4" t="s">
        <v>2876</v>
      </c>
      <c r="OJD1332" s="4" t="s">
        <v>2876</v>
      </c>
      <c r="OJE1332" s="4" t="s">
        <v>2876</v>
      </c>
      <c r="OJF1332" s="4" t="s">
        <v>2876</v>
      </c>
      <c r="OJG1332" s="4" t="s">
        <v>2876</v>
      </c>
      <c r="OJH1332" s="4" t="s">
        <v>2876</v>
      </c>
      <c r="OJI1332" s="4" t="s">
        <v>2876</v>
      </c>
      <c r="OJJ1332" s="4" t="s">
        <v>2876</v>
      </c>
      <c r="OJK1332" s="4" t="s">
        <v>2876</v>
      </c>
      <c r="OJL1332" s="4" t="s">
        <v>2876</v>
      </c>
      <c r="OJM1332" s="4" t="s">
        <v>2876</v>
      </c>
      <c r="OJN1332" s="4" t="s">
        <v>2876</v>
      </c>
      <c r="OJO1332" s="4" t="s">
        <v>2876</v>
      </c>
      <c r="OJP1332" s="4" t="s">
        <v>2876</v>
      </c>
      <c r="OJQ1332" s="4" t="s">
        <v>2876</v>
      </c>
      <c r="OJR1332" s="4" t="s">
        <v>2876</v>
      </c>
      <c r="OJS1332" s="4" t="s">
        <v>2876</v>
      </c>
      <c r="OJT1332" s="4" t="s">
        <v>2876</v>
      </c>
      <c r="OJU1332" s="4" t="s">
        <v>2876</v>
      </c>
      <c r="OJV1332" s="4" t="s">
        <v>2876</v>
      </c>
      <c r="OJW1332" s="4" t="s">
        <v>2876</v>
      </c>
      <c r="OJX1332" s="4" t="s">
        <v>2876</v>
      </c>
      <c r="OJY1332" s="4" t="s">
        <v>2876</v>
      </c>
      <c r="OJZ1332" s="4" t="s">
        <v>2876</v>
      </c>
      <c r="OKA1332" s="4" t="s">
        <v>2876</v>
      </c>
      <c r="OKB1332" s="4" t="s">
        <v>2876</v>
      </c>
      <c r="OKC1332" s="4" t="s">
        <v>2876</v>
      </c>
      <c r="OKD1332" s="4" t="s">
        <v>2876</v>
      </c>
      <c r="OKE1332" s="4" t="s">
        <v>2876</v>
      </c>
      <c r="OKF1332" s="4" t="s">
        <v>2876</v>
      </c>
      <c r="OKG1332" s="4" t="s">
        <v>2876</v>
      </c>
      <c r="OKH1332" s="4" t="s">
        <v>2876</v>
      </c>
      <c r="OKI1332" s="4" t="s">
        <v>2876</v>
      </c>
      <c r="OKJ1332" s="4" t="s">
        <v>2876</v>
      </c>
      <c r="OKK1332" s="4" t="s">
        <v>2876</v>
      </c>
      <c r="OKL1332" s="4" t="s">
        <v>2876</v>
      </c>
      <c r="OKM1332" s="4" t="s">
        <v>2876</v>
      </c>
      <c r="OKN1332" s="4" t="s">
        <v>2876</v>
      </c>
      <c r="OKO1332" s="4" t="s">
        <v>2876</v>
      </c>
      <c r="OKP1332" s="4" t="s">
        <v>2876</v>
      </c>
      <c r="OKQ1332" s="4" t="s">
        <v>2876</v>
      </c>
      <c r="OKR1332" s="4" t="s">
        <v>2876</v>
      </c>
      <c r="OKS1332" s="4" t="s">
        <v>2876</v>
      </c>
      <c r="OKT1332" s="4" t="s">
        <v>2876</v>
      </c>
      <c r="OKU1332" s="4" t="s">
        <v>2876</v>
      </c>
      <c r="OKV1332" s="4" t="s">
        <v>2876</v>
      </c>
      <c r="OKW1332" s="4" t="s">
        <v>2876</v>
      </c>
      <c r="OKX1332" s="4" t="s">
        <v>2876</v>
      </c>
      <c r="OKY1332" s="4" t="s">
        <v>2876</v>
      </c>
      <c r="OKZ1332" s="4" t="s">
        <v>2876</v>
      </c>
      <c r="OLA1332" s="4" t="s">
        <v>2876</v>
      </c>
      <c r="OLB1332" s="4" t="s">
        <v>2876</v>
      </c>
      <c r="OLC1332" s="4" t="s">
        <v>2876</v>
      </c>
      <c r="OLD1332" s="4" t="s">
        <v>2876</v>
      </c>
      <c r="OLE1332" s="4" t="s">
        <v>2876</v>
      </c>
      <c r="OLF1332" s="4" t="s">
        <v>2876</v>
      </c>
      <c r="OLG1332" s="4" t="s">
        <v>2876</v>
      </c>
      <c r="OLH1332" s="4" t="s">
        <v>2876</v>
      </c>
      <c r="OLI1332" s="4" t="s">
        <v>2876</v>
      </c>
      <c r="OLJ1332" s="4" t="s">
        <v>2876</v>
      </c>
      <c r="OLK1332" s="4" t="s">
        <v>2876</v>
      </c>
      <c r="OLL1332" s="4" t="s">
        <v>2876</v>
      </c>
      <c r="OLM1332" s="4" t="s">
        <v>2876</v>
      </c>
      <c r="OLN1332" s="4" t="s">
        <v>2876</v>
      </c>
      <c r="OLO1332" s="4" t="s">
        <v>2876</v>
      </c>
      <c r="OLP1332" s="4" t="s">
        <v>2876</v>
      </c>
      <c r="OLQ1332" s="4" t="s">
        <v>2876</v>
      </c>
      <c r="OLR1332" s="4" t="s">
        <v>2876</v>
      </c>
      <c r="OLS1332" s="4" t="s">
        <v>2876</v>
      </c>
      <c r="OLT1332" s="4" t="s">
        <v>2876</v>
      </c>
      <c r="OLU1332" s="4" t="s">
        <v>2876</v>
      </c>
      <c r="OLV1332" s="4" t="s">
        <v>2876</v>
      </c>
      <c r="OLW1332" s="4" t="s">
        <v>2876</v>
      </c>
      <c r="OLX1332" s="4" t="s">
        <v>2876</v>
      </c>
      <c r="OLY1332" s="4" t="s">
        <v>2876</v>
      </c>
      <c r="OLZ1332" s="4" t="s">
        <v>2876</v>
      </c>
      <c r="OMA1332" s="4" t="s">
        <v>2876</v>
      </c>
      <c r="OMB1332" s="4" t="s">
        <v>2876</v>
      </c>
      <c r="OMC1332" s="4" t="s">
        <v>2876</v>
      </c>
      <c r="OMD1332" s="4" t="s">
        <v>2876</v>
      </c>
      <c r="OME1332" s="4" t="s">
        <v>2876</v>
      </c>
      <c r="OMF1332" s="4" t="s">
        <v>2876</v>
      </c>
      <c r="OMG1332" s="4" t="s">
        <v>2876</v>
      </c>
      <c r="OMH1332" s="4" t="s">
        <v>2876</v>
      </c>
      <c r="OMI1332" s="4" t="s">
        <v>2876</v>
      </c>
      <c r="OMJ1332" s="4" t="s">
        <v>2876</v>
      </c>
      <c r="OMK1332" s="4" t="s">
        <v>2876</v>
      </c>
      <c r="OML1332" s="4" t="s">
        <v>2876</v>
      </c>
      <c r="OMM1332" s="4" t="s">
        <v>2876</v>
      </c>
      <c r="OMN1332" s="4" t="s">
        <v>2876</v>
      </c>
      <c r="OMO1332" s="4" t="s">
        <v>2876</v>
      </c>
      <c r="OMP1332" s="4" t="s">
        <v>2876</v>
      </c>
      <c r="OMQ1332" s="4" t="s">
        <v>2876</v>
      </c>
      <c r="OMR1332" s="4" t="s">
        <v>2876</v>
      </c>
      <c r="OMS1332" s="4" t="s">
        <v>2876</v>
      </c>
      <c r="OMT1332" s="4" t="s">
        <v>2876</v>
      </c>
      <c r="OMU1332" s="4" t="s">
        <v>2876</v>
      </c>
      <c r="OMV1332" s="4" t="s">
        <v>2876</v>
      </c>
      <c r="OMW1332" s="4" t="s">
        <v>2876</v>
      </c>
      <c r="OMX1332" s="4" t="s">
        <v>2876</v>
      </c>
      <c r="OMY1332" s="4" t="s">
        <v>2876</v>
      </c>
      <c r="OMZ1332" s="4" t="s">
        <v>2876</v>
      </c>
      <c r="ONA1332" s="4" t="s">
        <v>2876</v>
      </c>
      <c r="ONB1332" s="4" t="s">
        <v>2876</v>
      </c>
      <c r="ONC1332" s="4" t="s">
        <v>2876</v>
      </c>
      <c r="OND1332" s="4" t="s">
        <v>2876</v>
      </c>
      <c r="ONE1332" s="4" t="s">
        <v>2876</v>
      </c>
      <c r="ONF1332" s="4" t="s">
        <v>2876</v>
      </c>
      <c r="ONG1332" s="4" t="s">
        <v>2876</v>
      </c>
      <c r="ONH1332" s="4" t="s">
        <v>2876</v>
      </c>
      <c r="ONI1332" s="4" t="s">
        <v>2876</v>
      </c>
      <c r="ONJ1332" s="4" t="s">
        <v>2876</v>
      </c>
      <c r="ONK1332" s="4" t="s">
        <v>2876</v>
      </c>
      <c r="ONL1332" s="4" t="s">
        <v>2876</v>
      </c>
      <c r="ONM1332" s="4" t="s">
        <v>2876</v>
      </c>
      <c r="ONN1332" s="4" t="s">
        <v>2876</v>
      </c>
      <c r="ONO1332" s="4" t="s">
        <v>2876</v>
      </c>
      <c r="ONP1332" s="4" t="s">
        <v>2876</v>
      </c>
      <c r="ONQ1332" s="4" t="s">
        <v>2876</v>
      </c>
      <c r="ONR1332" s="4" t="s">
        <v>2876</v>
      </c>
      <c r="ONS1332" s="4" t="s">
        <v>2876</v>
      </c>
      <c r="ONT1332" s="4" t="s">
        <v>2876</v>
      </c>
      <c r="ONU1332" s="4" t="s">
        <v>2876</v>
      </c>
      <c r="ONV1332" s="4" t="s">
        <v>2876</v>
      </c>
      <c r="ONW1332" s="4" t="s">
        <v>2876</v>
      </c>
      <c r="ONX1332" s="4" t="s">
        <v>2876</v>
      </c>
      <c r="ONY1332" s="4" t="s">
        <v>2876</v>
      </c>
      <c r="ONZ1332" s="4" t="s">
        <v>2876</v>
      </c>
      <c r="OOA1332" s="4" t="s">
        <v>2876</v>
      </c>
      <c r="OOB1332" s="4" t="s">
        <v>2876</v>
      </c>
      <c r="OOC1332" s="4" t="s">
        <v>2876</v>
      </c>
      <c r="OOD1332" s="4" t="s">
        <v>2876</v>
      </c>
      <c r="OOE1332" s="4" t="s">
        <v>2876</v>
      </c>
      <c r="OOF1332" s="4" t="s">
        <v>2876</v>
      </c>
      <c r="OOG1332" s="4" t="s">
        <v>2876</v>
      </c>
      <c r="OOH1332" s="4" t="s">
        <v>2876</v>
      </c>
      <c r="OOI1332" s="4" t="s">
        <v>2876</v>
      </c>
      <c r="OOJ1332" s="4" t="s">
        <v>2876</v>
      </c>
      <c r="OOK1332" s="4" t="s">
        <v>2876</v>
      </c>
      <c r="OOL1332" s="4" t="s">
        <v>2876</v>
      </c>
      <c r="OOM1332" s="4" t="s">
        <v>2876</v>
      </c>
      <c r="OON1332" s="4" t="s">
        <v>2876</v>
      </c>
      <c r="OOO1332" s="4" t="s">
        <v>2876</v>
      </c>
      <c r="OOP1332" s="4" t="s">
        <v>2876</v>
      </c>
      <c r="OOQ1332" s="4" t="s">
        <v>2876</v>
      </c>
      <c r="OOR1332" s="4" t="s">
        <v>2876</v>
      </c>
      <c r="OOS1332" s="4" t="s">
        <v>2876</v>
      </c>
      <c r="OOT1332" s="4" t="s">
        <v>2876</v>
      </c>
      <c r="OOU1332" s="4" t="s">
        <v>2876</v>
      </c>
      <c r="OOV1332" s="4" t="s">
        <v>2876</v>
      </c>
      <c r="OOW1332" s="4" t="s">
        <v>2876</v>
      </c>
      <c r="OOX1332" s="4" t="s">
        <v>2876</v>
      </c>
      <c r="OOY1332" s="4" t="s">
        <v>2876</v>
      </c>
      <c r="OOZ1332" s="4" t="s">
        <v>2876</v>
      </c>
      <c r="OPA1332" s="4" t="s">
        <v>2876</v>
      </c>
      <c r="OPB1332" s="4" t="s">
        <v>2876</v>
      </c>
      <c r="OPC1332" s="4" t="s">
        <v>2876</v>
      </c>
      <c r="OPD1332" s="4" t="s">
        <v>2876</v>
      </c>
      <c r="OPE1332" s="4" t="s">
        <v>2876</v>
      </c>
      <c r="OPF1332" s="4" t="s">
        <v>2876</v>
      </c>
      <c r="OPG1332" s="4" t="s">
        <v>2876</v>
      </c>
      <c r="OPH1332" s="4" t="s">
        <v>2876</v>
      </c>
      <c r="OPI1332" s="4" t="s">
        <v>2876</v>
      </c>
      <c r="OPJ1332" s="4" t="s">
        <v>2876</v>
      </c>
      <c r="OPK1332" s="4" t="s">
        <v>2876</v>
      </c>
      <c r="OPL1332" s="4" t="s">
        <v>2876</v>
      </c>
      <c r="OPM1332" s="4" t="s">
        <v>2876</v>
      </c>
      <c r="OPN1332" s="4" t="s">
        <v>2876</v>
      </c>
      <c r="OPO1332" s="4" t="s">
        <v>2876</v>
      </c>
      <c r="OPP1332" s="4" t="s">
        <v>2876</v>
      </c>
      <c r="OPQ1332" s="4" t="s">
        <v>2876</v>
      </c>
      <c r="OPR1332" s="4" t="s">
        <v>2876</v>
      </c>
      <c r="OPS1332" s="4" t="s">
        <v>2876</v>
      </c>
      <c r="OPT1332" s="4" t="s">
        <v>2876</v>
      </c>
      <c r="OPU1332" s="4" t="s">
        <v>2876</v>
      </c>
      <c r="OPV1332" s="4" t="s">
        <v>2876</v>
      </c>
      <c r="OPW1332" s="4" t="s">
        <v>2876</v>
      </c>
      <c r="OPX1332" s="4" t="s">
        <v>2876</v>
      </c>
      <c r="OPY1332" s="4" t="s">
        <v>2876</v>
      </c>
      <c r="OPZ1332" s="4" t="s">
        <v>2876</v>
      </c>
      <c r="OQA1332" s="4" t="s">
        <v>2876</v>
      </c>
      <c r="OQB1332" s="4" t="s">
        <v>2876</v>
      </c>
      <c r="OQC1332" s="4" t="s">
        <v>2876</v>
      </c>
      <c r="OQD1332" s="4" t="s">
        <v>2876</v>
      </c>
      <c r="OQE1332" s="4" t="s">
        <v>2876</v>
      </c>
      <c r="OQF1332" s="4" t="s">
        <v>2876</v>
      </c>
      <c r="OQG1332" s="4" t="s">
        <v>2876</v>
      </c>
      <c r="OQH1332" s="4" t="s">
        <v>2876</v>
      </c>
      <c r="OQI1332" s="4" t="s">
        <v>2876</v>
      </c>
      <c r="OQJ1332" s="4" t="s">
        <v>2876</v>
      </c>
      <c r="OQK1332" s="4" t="s">
        <v>2876</v>
      </c>
      <c r="OQL1332" s="4" t="s">
        <v>2876</v>
      </c>
      <c r="OQM1332" s="4" t="s">
        <v>2876</v>
      </c>
      <c r="OQN1332" s="4" t="s">
        <v>2876</v>
      </c>
      <c r="OQO1332" s="4" t="s">
        <v>2876</v>
      </c>
      <c r="OQP1332" s="4" t="s">
        <v>2876</v>
      </c>
      <c r="OQQ1332" s="4" t="s">
        <v>2876</v>
      </c>
      <c r="OQR1332" s="4" t="s">
        <v>2876</v>
      </c>
      <c r="OQS1332" s="4" t="s">
        <v>2876</v>
      </c>
      <c r="OQT1332" s="4" t="s">
        <v>2876</v>
      </c>
      <c r="OQU1332" s="4" t="s">
        <v>2876</v>
      </c>
      <c r="OQV1332" s="4" t="s">
        <v>2876</v>
      </c>
      <c r="OQW1332" s="4" t="s">
        <v>2876</v>
      </c>
      <c r="OQX1332" s="4" t="s">
        <v>2876</v>
      </c>
      <c r="OQY1332" s="4" t="s">
        <v>2876</v>
      </c>
      <c r="OQZ1332" s="4" t="s">
        <v>2876</v>
      </c>
      <c r="ORA1332" s="4" t="s">
        <v>2876</v>
      </c>
      <c r="ORB1332" s="4" t="s">
        <v>2876</v>
      </c>
      <c r="ORC1332" s="4" t="s">
        <v>2876</v>
      </c>
      <c r="ORD1332" s="4" t="s">
        <v>2876</v>
      </c>
      <c r="ORE1332" s="4" t="s">
        <v>2876</v>
      </c>
      <c r="ORF1332" s="4" t="s">
        <v>2876</v>
      </c>
      <c r="ORG1332" s="4" t="s">
        <v>2876</v>
      </c>
      <c r="ORH1332" s="4" t="s">
        <v>2876</v>
      </c>
      <c r="ORI1332" s="4" t="s">
        <v>2876</v>
      </c>
      <c r="ORJ1332" s="4" t="s">
        <v>2876</v>
      </c>
      <c r="ORK1332" s="4" t="s">
        <v>2876</v>
      </c>
      <c r="ORL1332" s="4" t="s">
        <v>2876</v>
      </c>
      <c r="ORM1332" s="4" t="s">
        <v>2876</v>
      </c>
      <c r="ORN1332" s="4" t="s">
        <v>2876</v>
      </c>
      <c r="ORO1332" s="4" t="s">
        <v>2876</v>
      </c>
      <c r="ORP1332" s="4" t="s">
        <v>2876</v>
      </c>
      <c r="ORQ1332" s="4" t="s">
        <v>2876</v>
      </c>
      <c r="ORR1332" s="4" t="s">
        <v>2876</v>
      </c>
      <c r="ORS1332" s="4" t="s">
        <v>2876</v>
      </c>
      <c r="ORT1332" s="4" t="s">
        <v>2876</v>
      </c>
      <c r="ORU1332" s="4" t="s">
        <v>2876</v>
      </c>
      <c r="ORV1332" s="4" t="s">
        <v>2876</v>
      </c>
      <c r="ORW1332" s="4" t="s">
        <v>2876</v>
      </c>
      <c r="ORX1332" s="4" t="s">
        <v>2876</v>
      </c>
      <c r="ORY1332" s="4" t="s">
        <v>2876</v>
      </c>
      <c r="ORZ1332" s="4" t="s">
        <v>2876</v>
      </c>
      <c r="OSA1332" s="4" t="s">
        <v>2876</v>
      </c>
      <c r="OSB1332" s="4" t="s">
        <v>2876</v>
      </c>
      <c r="OSC1332" s="4" t="s">
        <v>2876</v>
      </c>
      <c r="OSD1332" s="4" t="s">
        <v>2876</v>
      </c>
      <c r="OSE1332" s="4" t="s">
        <v>2876</v>
      </c>
      <c r="OSF1332" s="4" t="s">
        <v>2876</v>
      </c>
      <c r="OSG1332" s="4" t="s">
        <v>2876</v>
      </c>
      <c r="OSH1332" s="4" t="s">
        <v>2876</v>
      </c>
      <c r="OSI1332" s="4" t="s">
        <v>2876</v>
      </c>
      <c r="OSJ1332" s="4" t="s">
        <v>2876</v>
      </c>
      <c r="OSK1332" s="4" t="s">
        <v>2876</v>
      </c>
      <c r="OSL1332" s="4" t="s">
        <v>2876</v>
      </c>
      <c r="OSM1332" s="4" t="s">
        <v>2876</v>
      </c>
      <c r="OSN1332" s="4" t="s">
        <v>2876</v>
      </c>
      <c r="OSO1332" s="4" t="s">
        <v>2876</v>
      </c>
      <c r="OSP1332" s="4" t="s">
        <v>2876</v>
      </c>
      <c r="OSQ1332" s="4" t="s">
        <v>2876</v>
      </c>
      <c r="OSR1332" s="4" t="s">
        <v>2876</v>
      </c>
      <c r="OSS1332" s="4" t="s">
        <v>2876</v>
      </c>
      <c r="OST1332" s="4" t="s">
        <v>2876</v>
      </c>
      <c r="OSU1332" s="4" t="s">
        <v>2876</v>
      </c>
      <c r="OSV1332" s="4" t="s">
        <v>2876</v>
      </c>
      <c r="OSW1332" s="4" t="s">
        <v>2876</v>
      </c>
      <c r="OSX1332" s="4" t="s">
        <v>2876</v>
      </c>
      <c r="OSY1332" s="4" t="s">
        <v>2876</v>
      </c>
      <c r="OSZ1332" s="4" t="s">
        <v>2876</v>
      </c>
      <c r="OTA1332" s="4" t="s">
        <v>2876</v>
      </c>
      <c r="OTB1332" s="4" t="s">
        <v>2876</v>
      </c>
      <c r="OTC1332" s="4" t="s">
        <v>2876</v>
      </c>
      <c r="OTD1332" s="4" t="s">
        <v>2876</v>
      </c>
      <c r="OTE1332" s="4" t="s">
        <v>2876</v>
      </c>
      <c r="OTF1332" s="4" t="s">
        <v>2876</v>
      </c>
      <c r="OTG1332" s="4" t="s">
        <v>2876</v>
      </c>
      <c r="OTH1332" s="4" t="s">
        <v>2876</v>
      </c>
      <c r="OTI1332" s="4" t="s">
        <v>2876</v>
      </c>
      <c r="OTJ1332" s="4" t="s">
        <v>2876</v>
      </c>
      <c r="OTK1332" s="4" t="s">
        <v>2876</v>
      </c>
      <c r="OTL1332" s="4" t="s">
        <v>2876</v>
      </c>
      <c r="OTM1332" s="4" t="s">
        <v>2876</v>
      </c>
      <c r="OTN1332" s="4" t="s">
        <v>2876</v>
      </c>
      <c r="OTO1332" s="4" t="s">
        <v>2876</v>
      </c>
      <c r="OTP1332" s="4" t="s">
        <v>2876</v>
      </c>
      <c r="OTQ1332" s="4" t="s">
        <v>2876</v>
      </c>
      <c r="OTR1332" s="4" t="s">
        <v>2876</v>
      </c>
      <c r="OTS1332" s="4" t="s">
        <v>2876</v>
      </c>
      <c r="OTT1332" s="4" t="s">
        <v>2876</v>
      </c>
      <c r="OTU1332" s="4" t="s">
        <v>2876</v>
      </c>
      <c r="OTV1332" s="4" t="s">
        <v>2876</v>
      </c>
      <c r="OTW1332" s="4" t="s">
        <v>2876</v>
      </c>
      <c r="OTX1332" s="4" t="s">
        <v>2876</v>
      </c>
      <c r="OTY1332" s="4" t="s">
        <v>2876</v>
      </c>
      <c r="OTZ1332" s="4" t="s">
        <v>2876</v>
      </c>
      <c r="OUA1332" s="4" t="s">
        <v>2876</v>
      </c>
      <c r="OUB1332" s="4" t="s">
        <v>2876</v>
      </c>
      <c r="OUC1332" s="4" t="s">
        <v>2876</v>
      </c>
      <c r="OUD1332" s="4" t="s">
        <v>2876</v>
      </c>
      <c r="OUE1332" s="4" t="s">
        <v>2876</v>
      </c>
      <c r="OUF1332" s="4" t="s">
        <v>2876</v>
      </c>
      <c r="OUG1332" s="4" t="s">
        <v>2876</v>
      </c>
      <c r="OUH1332" s="4" t="s">
        <v>2876</v>
      </c>
      <c r="OUI1332" s="4" t="s">
        <v>2876</v>
      </c>
      <c r="OUJ1332" s="4" t="s">
        <v>2876</v>
      </c>
      <c r="OUK1332" s="4" t="s">
        <v>2876</v>
      </c>
      <c r="OUL1332" s="4" t="s">
        <v>2876</v>
      </c>
      <c r="OUM1332" s="4" t="s">
        <v>2876</v>
      </c>
      <c r="OUN1332" s="4" t="s">
        <v>2876</v>
      </c>
      <c r="OUO1332" s="4" t="s">
        <v>2876</v>
      </c>
      <c r="OUP1332" s="4" t="s">
        <v>2876</v>
      </c>
      <c r="OUQ1332" s="4" t="s">
        <v>2876</v>
      </c>
      <c r="OUR1332" s="4" t="s">
        <v>2876</v>
      </c>
      <c r="OUS1332" s="4" t="s">
        <v>2876</v>
      </c>
      <c r="OUT1332" s="4" t="s">
        <v>2876</v>
      </c>
      <c r="OUU1332" s="4" t="s">
        <v>2876</v>
      </c>
      <c r="OUV1332" s="4" t="s">
        <v>2876</v>
      </c>
      <c r="OUW1332" s="4" t="s">
        <v>2876</v>
      </c>
      <c r="OUX1332" s="4" t="s">
        <v>2876</v>
      </c>
      <c r="OUY1332" s="4" t="s">
        <v>2876</v>
      </c>
      <c r="OUZ1332" s="4" t="s">
        <v>2876</v>
      </c>
      <c r="OVA1332" s="4" t="s">
        <v>2876</v>
      </c>
      <c r="OVB1332" s="4" t="s">
        <v>2876</v>
      </c>
      <c r="OVC1332" s="4" t="s">
        <v>2876</v>
      </c>
      <c r="OVD1332" s="4" t="s">
        <v>2876</v>
      </c>
      <c r="OVE1332" s="4" t="s">
        <v>2876</v>
      </c>
      <c r="OVF1332" s="4" t="s">
        <v>2876</v>
      </c>
      <c r="OVG1332" s="4" t="s">
        <v>2876</v>
      </c>
      <c r="OVH1332" s="4" t="s">
        <v>2876</v>
      </c>
      <c r="OVI1332" s="4" t="s">
        <v>2876</v>
      </c>
      <c r="OVJ1332" s="4" t="s">
        <v>2876</v>
      </c>
      <c r="OVK1332" s="4" t="s">
        <v>2876</v>
      </c>
      <c r="OVL1332" s="4" t="s">
        <v>2876</v>
      </c>
      <c r="OVM1332" s="4" t="s">
        <v>2876</v>
      </c>
      <c r="OVN1332" s="4" t="s">
        <v>2876</v>
      </c>
      <c r="OVO1332" s="4" t="s">
        <v>2876</v>
      </c>
      <c r="OVP1332" s="4" t="s">
        <v>2876</v>
      </c>
      <c r="OVQ1332" s="4" t="s">
        <v>2876</v>
      </c>
      <c r="OVR1332" s="4" t="s">
        <v>2876</v>
      </c>
      <c r="OVS1332" s="4" t="s">
        <v>2876</v>
      </c>
      <c r="OVT1332" s="4" t="s">
        <v>2876</v>
      </c>
      <c r="OVU1332" s="4" t="s">
        <v>2876</v>
      </c>
      <c r="OVV1332" s="4" t="s">
        <v>2876</v>
      </c>
      <c r="OVW1332" s="4" t="s">
        <v>2876</v>
      </c>
      <c r="OVX1332" s="4" t="s">
        <v>2876</v>
      </c>
      <c r="OVY1332" s="4" t="s">
        <v>2876</v>
      </c>
      <c r="OVZ1332" s="4" t="s">
        <v>2876</v>
      </c>
      <c r="OWA1332" s="4" t="s">
        <v>2876</v>
      </c>
      <c r="OWB1332" s="4" t="s">
        <v>2876</v>
      </c>
      <c r="OWC1332" s="4" t="s">
        <v>2876</v>
      </c>
      <c r="OWD1332" s="4" t="s">
        <v>2876</v>
      </c>
      <c r="OWE1332" s="4" t="s">
        <v>2876</v>
      </c>
      <c r="OWF1332" s="4" t="s">
        <v>2876</v>
      </c>
      <c r="OWG1332" s="4" t="s">
        <v>2876</v>
      </c>
      <c r="OWH1332" s="4" t="s">
        <v>2876</v>
      </c>
      <c r="OWI1332" s="4" t="s">
        <v>2876</v>
      </c>
      <c r="OWJ1332" s="4" t="s">
        <v>2876</v>
      </c>
      <c r="OWK1332" s="4" t="s">
        <v>2876</v>
      </c>
      <c r="OWL1332" s="4" t="s">
        <v>2876</v>
      </c>
      <c r="OWM1332" s="4" t="s">
        <v>2876</v>
      </c>
      <c r="OWN1332" s="4" t="s">
        <v>2876</v>
      </c>
      <c r="OWO1332" s="4" t="s">
        <v>2876</v>
      </c>
      <c r="OWP1332" s="4" t="s">
        <v>2876</v>
      </c>
      <c r="OWQ1332" s="4" t="s">
        <v>2876</v>
      </c>
      <c r="OWR1332" s="4" t="s">
        <v>2876</v>
      </c>
      <c r="OWS1332" s="4" t="s">
        <v>2876</v>
      </c>
      <c r="OWT1332" s="4" t="s">
        <v>2876</v>
      </c>
      <c r="OWU1332" s="4" t="s">
        <v>2876</v>
      </c>
      <c r="OWV1332" s="4" t="s">
        <v>2876</v>
      </c>
      <c r="OWW1332" s="4" t="s">
        <v>2876</v>
      </c>
      <c r="OWX1332" s="4" t="s">
        <v>2876</v>
      </c>
      <c r="OWY1332" s="4" t="s">
        <v>2876</v>
      </c>
      <c r="OWZ1332" s="4" t="s">
        <v>2876</v>
      </c>
      <c r="OXA1332" s="4" t="s">
        <v>2876</v>
      </c>
      <c r="OXB1332" s="4" t="s">
        <v>2876</v>
      </c>
      <c r="OXC1332" s="4" t="s">
        <v>2876</v>
      </c>
      <c r="OXD1332" s="4" t="s">
        <v>2876</v>
      </c>
      <c r="OXE1332" s="4" t="s">
        <v>2876</v>
      </c>
      <c r="OXF1332" s="4" t="s">
        <v>2876</v>
      </c>
      <c r="OXG1332" s="4" t="s">
        <v>2876</v>
      </c>
      <c r="OXH1332" s="4" t="s">
        <v>2876</v>
      </c>
      <c r="OXI1332" s="4" t="s">
        <v>2876</v>
      </c>
      <c r="OXJ1332" s="4" t="s">
        <v>2876</v>
      </c>
      <c r="OXK1332" s="4" t="s">
        <v>2876</v>
      </c>
      <c r="OXL1332" s="4" t="s">
        <v>2876</v>
      </c>
      <c r="OXM1332" s="4" t="s">
        <v>2876</v>
      </c>
      <c r="OXN1332" s="4" t="s">
        <v>2876</v>
      </c>
      <c r="OXO1332" s="4" t="s">
        <v>2876</v>
      </c>
      <c r="OXP1332" s="4" t="s">
        <v>2876</v>
      </c>
      <c r="OXQ1332" s="4" t="s">
        <v>2876</v>
      </c>
      <c r="OXR1332" s="4" t="s">
        <v>2876</v>
      </c>
      <c r="OXS1332" s="4" t="s">
        <v>2876</v>
      </c>
      <c r="OXT1332" s="4" t="s">
        <v>2876</v>
      </c>
      <c r="OXU1332" s="4" t="s">
        <v>2876</v>
      </c>
      <c r="OXV1332" s="4" t="s">
        <v>2876</v>
      </c>
      <c r="OXW1332" s="4" t="s">
        <v>2876</v>
      </c>
      <c r="OXX1332" s="4" t="s">
        <v>2876</v>
      </c>
      <c r="OXY1332" s="4" t="s">
        <v>2876</v>
      </c>
      <c r="OXZ1332" s="4" t="s">
        <v>2876</v>
      </c>
      <c r="OYA1332" s="4" t="s">
        <v>2876</v>
      </c>
      <c r="OYB1332" s="4" t="s">
        <v>2876</v>
      </c>
      <c r="OYC1332" s="4" t="s">
        <v>2876</v>
      </c>
      <c r="OYD1332" s="4" t="s">
        <v>2876</v>
      </c>
      <c r="OYE1332" s="4" t="s">
        <v>2876</v>
      </c>
      <c r="OYF1332" s="4" t="s">
        <v>2876</v>
      </c>
      <c r="OYG1332" s="4" t="s">
        <v>2876</v>
      </c>
      <c r="OYH1332" s="4" t="s">
        <v>2876</v>
      </c>
      <c r="OYI1332" s="4" t="s">
        <v>2876</v>
      </c>
      <c r="OYJ1332" s="4" t="s">
        <v>2876</v>
      </c>
      <c r="OYK1332" s="4" t="s">
        <v>2876</v>
      </c>
      <c r="OYL1332" s="4" t="s">
        <v>2876</v>
      </c>
      <c r="OYM1332" s="4" t="s">
        <v>2876</v>
      </c>
      <c r="OYN1332" s="4" t="s">
        <v>2876</v>
      </c>
      <c r="OYO1332" s="4" t="s">
        <v>2876</v>
      </c>
      <c r="OYP1332" s="4" t="s">
        <v>2876</v>
      </c>
      <c r="OYQ1332" s="4" t="s">
        <v>2876</v>
      </c>
      <c r="OYR1332" s="4" t="s">
        <v>2876</v>
      </c>
      <c r="OYS1332" s="4" t="s">
        <v>2876</v>
      </c>
      <c r="OYT1332" s="4" t="s">
        <v>2876</v>
      </c>
      <c r="OYU1332" s="4" t="s">
        <v>2876</v>
      </c>
      <c r="OYV1332" s="4" t="s">
        <v>2876</v>
      </c>
      <c r="OYW1332" s="4" t="s">
        <v>2876</v>
      </c>
      <c r="OYX1332" s="4" t="s">
        <v>2876</v>
      </c>
      <c r="OYY1332" s="4" t="s">
        <v>2876</v>
      </c>
      <c r="OYZ1332" s="4" t="s">
        <v>2876</v>
      </c>
      <c r="OZA1332" s="4" t="s">
        <v>2876</v>
      </c>
      <c r="OZB1332" s="4" t="s">
        <v>2876</v>
      </c>
      <c r="OZC1332" s="4" t="s">
        <v>2876</v>
      </c>
      <c r="OZD1332" s="4" t="s">
        <v>2876</v>
      </c>
      <c r="OZE1332" s="4" t="s">
        <v>2876</v>
      </c>
      <c r="OZF1332" s="4" t="s">
        <v>2876</v>
      </c>
      <c r="OZG1332" s="4" t="s">
        <v>2876</v>
      </c>
      <c r="OZH1332" s="4" t="s">
        <v>2876</v>
      </c>
      <c r="OZI1332" s="4" t="s">
        <v>2876</v>
      </c>
      <c r="OZJ1332" s="4" t="s">
        <v>2876</v>
      </c>
      <c r="OZK1332" s="4" t="s">
        <v>2876</v>
      </c>
      <c r="OZL1332" s="4" t="s">
        <v>2876</v>
      </c>
      <c r="OZM1332" s="4" t="s">
        <v>2876</v>
      </c>
      <c r="OZN1332" s="4" t="s">
        <v>2876</v>
      </c>
      <c r="OZO1332" s="4" t="s">
        <v>2876</v>
      </c>
      <c r="OZP1332" s="4" t="s">
        <v>2876</v>
      </c>
      <c r="OZQ1332" s="4" t="s">
        <v>2876</v>
      </c>
      <c r="OZR1332" s="4" t="s">
        <v>2876</v>
      </c>
      <c r="OZS1332" s="4" t="s">
        <v>2876</v>
      </c>
      <c r="OZT1332" s="4" t="s">
        <v>2876</v>
      </c>
      <c r="OZU1332" s="4" t="s">
        <v>2876</v>
      </c>
      <c r="OZV1332" s="4" t="s">
        <v>2876</v>
      </c>
      <c r="OZW1332" s="4" t="s">
        <v>2876</v>
      </c>
      <c r="OZX1332" s="4" t="s">
        <v>2876</v>
      </c>
      <c r="OZY1332" s="4" t="s">
        <v>2876</v>
      </c>
      <c r="OZZ1332" s="4" t="s">
        <v>2876</v>
      </c>
      <c r="PAA1332" s="4" t="s">
        <v>2876</v>
      </c>
      <c r="PAB1332" s="4" t="s">
        <v>2876</v>
      </c>
      <c r="PAC1332" s="4" t="s">
        <v>2876</v>
      </c>
      <c r="PAD1332" s="4" t="s">
        <v>2876</v>
      </c>
      <c r="PAE1332" s="4" t="s">
        <v>2876</v>
      </c>
      <c r="PAF1332" s="4" t="s">
        <v>2876</v>
      </c>
      <c r="PAG1332" s="4" t="s">
        <v>2876</v>
      </c>
      <c r="PAH1332" s="4" t="s">
        <v>2876</v>
      </c>
      <c r="PAI1332" s="4" t="s">
        <v>2876</v>
      </c>
      <c r="PAJ1332" s="4" t="s">
        <v>2876</v>
      </c>
      <c r="PAK1332" s="4" t="s">
        <v>2876</v>
      </c>
      <c r="PAL1332" s="4" t="s">
        <v>2876</v>
      </c>
      <c r="PAM1332" s="4" t="s">
        <v>2876</v>
      </c>
      <c r="PAN1332" s="4" t="s">
        <v>2876</v>
      </c>
      <c r="PAO1332" s="4" t="s">
        <v>2876</v>
      </c>
      <c r="PAP1332" s="4" t="s">
        <v>2876</v>
      </c>
      <c r="PAQ1332" s="4" t="s">
        <v>2876</v>
      </c>
      <c r="PAR1332" s="4" t="s">
        <v>2876</v>
      </c>
      <c r="PAS1332" s="4" t="s">
        <v>2876</v>
      </c>
      <c r="PAT1332" s="4" t="s">
        <v>2876</v>
      </c>
      <c r="PAU1332" s="4" t="s">
        <v>2876</v>
      </c>
      <c r="PAV1332" s="4" t="s">
        <v>2876</v>
      </c>
      <c r="PAW1332" s="4" t="s">
        <v>2876</v>
      </c>
      <c r="PAX1332" s="4" t="s">
        <v>2876</v>
      </c>
      <c r="PAY1332" s="4" t="s">
        <v>2876</v>
      </c>
      <c r="PAZ1332" s="4" t="s">
        <v>2876</v>
      </c>
      <c r="PBA1332" s="4" t="s">
        <v>2876</v>
      </c>
      <c r="PBB1332" s="4" t="s">
        <v>2876</v>
      </c>
      <c r="PBC1332" s="4" t="s">
        <v>2876</v>
      </c>
      <c r="PBD1332" s="4" t="s">
        <v>2876</v>
      </c>
      <c r="PBE1332" s="4" t="s">
        <v>2876</v>
      </c>
      <c r="PBF1332" s="4" t="s">
        <v>2876</v>
      </c>
      <c r="PBG1332" s="4" t="s">
        <v>2876</v>
      </c>
      <c r="PBH1332" s="4" t="s">
        <v>2876</v>
      </c>
      <c r="PBI1332" s="4" t="s">
        <v>2876</v>
      </c>
      <c r="PBJ1332" s="4" t="s">
        <v>2876</v>
      </c>
      <c r="PBK1332" s="4" t="s">
        <v>2876</v>
      </c>
      <c r="PBL1332" s="4" t="s">
        <v>2876</v>
      </c>
      <c r="PBM1332" s="4" t="s">
        <v>2876</v>
      </c>
      <c r="PBN1332" s="4" t="s">
        <v>2876</v>
      </c>
      <c r="PBO1332" s="4" t="s">
        <v>2876</v>
      </c>
      <c r="PBP1332" s="4" t="s">
        <v>2876</v>
      </c>
      <c r="PBQ1332" s="4" t="s">
        <v>2876</v>
      </c>
      <c r="PBR1332" s="4" t="s">
        <v>2876</v>
      </c>
      <c r="PBS1332" s="4" t="s">
        <v>2876</v>
      </c>
      <c r="PBT1332" s="4" t="s">
        <v>2876</v>
      </c>
      <c r="PBU1332" s="4" t="s">
        <v>2876</v>
      </c>
      <c r="PBV1332" s="4" t="s">
        <v>2876</v>
      </c>
      <c r="PBW1332" s="4" t="s">
        <v>2876</v>
      </c>
      <c r="PBX1332" s="4" t="s">
        <v>2876</v>
      </c>
      <c r="PBY1332" s="4" t="s">
        <v>2876</v>
      </c>
      <c r="PBZ1332" s="4" t="s">
        <v>2876</v>
      </c>
      <c r="PCA1332" s="4" t="s">
        <v>2876</v>
      </c>
      <c r="PCB1332" s="4" t="s">
        <v>2876</v>
      </c>
      <c r="PCC1332" s="4" t="s">
        <v>2876</v>
      </c>
      <c r="PCD1332" s="4" t="s">
        <v>2876</v>
      </c>
      <c r="PCE1332" s="4" t="s">
        <v>2876</v>
      </c>
      <c r="PCF1332" s="4" t="s">
        <v>2876</v>
      </c>
      <c r="PCG1332" s="4" t="s">
        <v>2876</v>
      </c>
      <c r="PCH1332" s="4" t="s">
        <v>2876</v>
      </c>
      <c r="PCI1332" s="4" t="s">
        <v>2876</v>
      </c>
      <c r="PCJ1332" s="4" t="s">
        <v>2876</v>
      </c>
      <c r="PCK1332" s="4" t="s">
        <v>2876</v>
      </c>
      <c r="PCL1332" s="4" t="s">
        <v>2876</v>
      </c>
      <c r="PCM1332" s="4" t="s">
        <v>2876</v>
      </c>
      <c r="PCN1332" s="4" t="s">
        <v>2876</v>
      </c>
      <c r="PCO1332" s="4" t="s">
        <v>2876</v>
      </c>
      <c r="PCP1332" s="4" t="s">
        <v>2876</v>
      </c>
      <c r="PCQ1332" s="4" t="s">
        <v>2876</v>
      </c>
      <c r="PCR1332" s="4" t="s">
        <v>2876</v>
      </c>
      <c r="PCS1332" s="4" t="s">
        <v>2876</v>
      </c>
      <c r="PCT1332" s="4" t="s">
        <v>2876</v>
      </c>
      <c r="PCU1332" s="4" t="s">
        <v>2876</v>
      </c>
      <c r="PCV1332" s="4" t="s">
        <v>2876</v>
      </c>
      <c r="PCW1332" s="4" t="s">
        <v>2876</v>
      </c>
      <c r="PCX1332" s="4" t="s">
        <v>2876</v>
      </c>
      <c r="PCY1332" s="4" t="s">
        <v>2876</v>
      </c>
      <c r="PCZ1332" s="4" t="s">
        <v>2876</v>
      </c>
      <c r="PDA1332" s="4" t="s">
        <v>2876</v>
      </c>
      <c r="PDB1332" s="4" t="s">
        <v>2876</v>
      </c>
      <c r="PDC1332" s="4" t="s">
        <v>2876</v>
      </c>
      <c r="PDD1332" s="4" t="s">
        <v>2876</v>
      </c>
      <c r="PDE1332" s="4" t="s">
        <v>2876</v>
      </c>
      <c r="PDF1332" s="4" t="s">
        <v>2876</v>
      </c>
      <c r="PDG1332" s="4" t="s">
        <v>2876</v>
      </c>
      <c r="PDH1332" s="4" t="s">
        <v>2876</v>
      </c>
      <c r="PDI1332" s="4" t="s">
        <v>2876</v>
      </c>
      <c r="PDJ1332" s="4" t="s">
        <v>2876</v>
      </c>
      <c r="PDK1332" s="4" t="s">
        <v>2876</v>
      </c>
      <c r="PDL1332" s="4" t="s">
        <v>2876</v>
      </c>
      <c r="PDM1332" s="4" t="s">
        <v>2876</v>
      </c>
      <c r="PDN1332" s="4" t="s">
        <v>2876</v>
      </c>
      <c r="PDO1332" s="4" t="s">
        <v>2876</v>
      </c>
      <c r="PDP1332" s="4" t="s">
        <v>2876</v>
      </c>
      <c r="PDQ1332" s="4" t="s">
        <v>2876</v>
      </c>
      <c r="PDR1332" s="4" t="s">
        <v>2876</v>
      </c>
      <c r="PDS1332" s="4" t="s">
        <v>2876</v>
      </c>
      <c r="PDT1332" s="4" t="s">
        <v>2876</v>
      </c>
      <c r="PDU1332" s="4" t="s">
        <v>2876</v>
      </c>
      <c r="PDV1332" s="4" t="s">
        <v>2876</v>
      </c>
      <c r="PDW1332" s="4" t="s">
        <v>2876</v>
      </c>
      <c r="PDX1332" s="4" t="s">
        <v>2876</v>
      </c>
      <c r="PDY1332" s="4" t="s">
        <v>2876</v>
      </c>
      <c r="PDZ1332" s="4" t="s">
        <v>2876</v>
      </c>
      <c r="PEA1332" s="4" t="s">
        <v>2876</v>
      </c>
      <c r="PEB1332" s="4" t="s">
        <v>2876</v>
      </c>
      <c r="PEC1332" s="4" t="s">
        <v>2876</v>
      </c>
      <c r="PED1332" s="4" t="s">
        <v>2876</v>
      </c>
      <c r="PEE1332" s="4" t="s">
        <v>2876</v>
      </c>
      <c r="PEF1332" s="4" t="s">
        <v>2876</v>
      </c>
      <c r="PEG1332" s="4" t="s">
        <v>2876</v>
      </c>
      <c r="PEH1332" s="4" t="s">
        <v>2876</v>
      </c>
      <c r="PEI1332" s="4" t="s">
        <v>2876</v>
      </c>
      <c r="PEJ1332" s="4" t="s">
        <v>2876</v>
      </c>
      <c r="PEK1332" s="4" t="s">
        <v>2876</v>
      </c>
      <c r="PEL1332" s="4" t="s">
        <v>2876</v>
      </c>
      <c r="PEM1332" s="4" t="s">
        <v>2876</v>
      </c>
      <c r="PEN1332" s="4" t="s">
        <v>2876</v>
      </c>
      <c r="PEO1332" s="4" t="s">
        <v>2876</v>
      </c>
      <c r="PEP1332" s="4" t="s">
        <v>2876</v>
      </c>
      <c r="PEQ1332" s="4" t="s">
        <v>2876</v>
      </c>
      <c r="PER1332" s="4" t="s">
        <v>2876</v>
      </c>
      <c r="PES1332" s="4" t="s">
        <v>2876</v>
      </c>
      <c r="PET1332" s="4" t="s">
        <v>2876</v>
      </c>
      <c r="PEU1332" s="4" t="s">
        <v>2876</v>
      </c>
      <c r="PEV1332" s="4" t="s">
        <v>2876</v>
      </c>
      <c r="PEW1332" s="4" t="s">
        <v>2876</v>
      </c>
      <c r="PEX1332" s="4" t="s">
        <v>2876</v>
      </c>
      <c r="PEY1332" s="4" t="s">
        <v>2876</v>
      </c>
      <c r="PEZ1332" s="4" t="s">
        <v>2876</v>
      </c>
      <c r="PFA1332" s="4" t="s">
        <v>2876</v>
      </c>
      <c r="PFB1332" s="4" t="s">
        <v>2876</v>
      </c>
      <c r="PFC1332" s="4" t="s">
        <v>2876</v>
      </c>
      <c r="PFD1332" s="4" t="s">
        <v>2876</v>
      </c>
      <c r="PFE1332" s="4" t="s">
        <v>2876</v>
      </c>
      <c r="PFF1332" s="4" t="s">
        <v>2876</v>
      </c>
      <c r="PFG1332" s="4" t="s">
        <v>2876</v>
      </c>
      <c r="PFH1332" s="4" t="s">
        <v>2876</v>
      </c>
      <c r="PFI1332" s="4" t="s">
        <v>2876</v>
      </c>
      <c r="PFJ1332" s="4" t="s">
        <v>2876</v>
      </c>
      <c r="PFK1332" s="4" t="s">
        <v>2876</v>
      </c>
      <c r="PFL1332" s="4" t="s">
        <v>2876</v>
      </c>
      <c r="PFM1332" s="4" t="s">
        <v>2876</v>
      </c>
      <c r="PFN1332" s="4" t="s">
        <v>2876</v>
      </c>
      <c r="PFO1332" s="4" t="s">
        <v>2876</v>
      </c>
      <c r="PFP1332" s="4" t="s">
        <v>2876</v>
      </c>
      <c r="PFQ1332" s="4" t="s">
        <v>2876</v>
      </c>
      <c r="PFR1332" s="4" t="s">
        <v>2876</v>
      </c>
      <c r="PFS1332" s="4" t="s">
        <v>2876</v>
      </c>
      <c r="PFT1332" s="4" t="s">
        <v>2876</v>
      </c>
      <c r="PFU1332" s="4" t="s">
        <v>2876</v>
      </c>
      <c r="PFV1332" s="4" t="s">
        <v>2876</v>
      </c>
      <c r="PFW1332" s="4" t="s">
        <v>2876</v>
      </c>
      <c r="PFX1332" s="4" t="s">
        <v>2876</v>
      </c>
      <c r="PFY1332" s="4" t="s">
        <v>2876</v>
      </c>
      <c r="PFZ1332" s="4" t="s">
        <v>2876</v>
      </c>
      <c r="PGA1332" s="4" t="s">
        <v>2876</v>
      </c>
      <c r="PGB1332" s="4" t="s">
        <v>2876</v>
      </c>
      <c r="PGC1332" s="4" t="s">
        <v>2876</v>
      </c>
      <c r="PGD1332" s="4" t="s">
        <v>2876</v>
      </c>
      <c r="PGE1332" s="4" t="s">
        <v>2876</v>
      </c>
      <c r="PGF1332" s="4" t="s">
        <v>2876</v>
      </c>
      <c r="PGG1332" s="4" t="s">
        <v>2876</v>
      </c>
      <c r="PGH1332" s="4" t="s">
        <v>2876</v>
      </c>
      <c r="PGI1332" s="4" t="s">
        <v>2876</v>
      </c>
      <c r="PGJ1332" s="4" t="s">
        <v>2876</v>
      </c>
      <c r="PGK1332" s="4" t="s">
        <v>2876</v>
      </c>
      <c r="PGL1332" s="4" t="s">
        <v>2876</v>
      </c>
      <c r="PGM1332" s="4" t="s">
        <v>2876</v>
      </c>
      <c r="PGN1332" s="4" t="s">
        <v>2876</v>
      </c>
      <c r="PGO1332" s="4" t="s">
        <v>2876</v>
      </c>
      <c r="PGP1332" s="4" t="s">
        <v>2876</v>
      </c>
      <c r="PGQ1332" s="4" t="s">
        <v>2876</v>
      </c>
      <c r="PGR1332" s="4" t="s">
        <v>2876</v>
      </c>
      <c r="PGS1332" s="4" t="s">
        <v>2876</v>
      </c>
      <c r="PGT1332" s="4" t="s">
        <v>2876</v>
      </c>
      <c r="PGU1332" s="4" t="s">
        <v>2876</v>
      </c>
      <c r="PGV1332" s="4" t="s">
        <v>2876</v>
      </c>
      <c r="PGW1332" s="4" t="s">
        <v>2876</v>
      </c>
      <c r="PGX1332" s="4" t="s">
        <v>2876</v>
      </c>
      <c r="PGY1332" s="4" t="s">
        <v>2876</v>
      </c>
      <c r="PGZ1332" s="4" t="s">
        <v>2876</v>
      </c>
      <c r="PHA1332" s="4" t="s">
        <v>2876</v>
      </c>
      <c r="PHB1332" s="4" t="s">
        <v>2876</v>
      </c>
      <c r="PHC1332" s="4" t="s">
        <v>2876</v>
      </c>
      <c r="PHD1332" s="4" t="s">
        <v>2876</v>
      </c>
      <c r="PHE1332" s="4" t="s">
        <v>2876</v>
      </c>
      <c r="PHF1332" s="4" t="s">
        <v>2876</v>
      </c>
      <c r="PHG1332" s="4" t="s">
        <v>2876</v>
      </c>
      <c r="PHH1332" s="4" t="s">
        <v>2876</v>
      </c>
      <c r="PHI1332" s="4" t="s">
        <v>2876</v>
      </c>
      <c r="PHJ1332" s="4" t="s">
        <v>2876</v>
      </c>
      <c r="PHK1332" s="4" t="s">
        <v>2876</v>
      </c>
      <c r="PHL1332" s="4" t="s">
        <v>2876</v>
      </c>
      <c r="PHM1332" s="4" t="s">
        <v>2876</v>
      </c>
      <c r="PHN1332" s="4" t="s">
        <v>2876</v>
      </c>
      <c r="PHO1332" s="4" t="s">
        <v>2876</v>
      </c>
      <c r="PHP1332" s="4" t="s">
        <v>2876</v>
      </c>
      <c r="PHQ1332" s="4" t="s">
        <v>2876</v>
      </c>
      <c r="PHR1332" s="4" t="s">
        <v>2876</v>
      </c>
      <c r="PHS1332" s="4" t="s">
        <v>2876</v>
      </c>
      <c r="PHT1332" s="4" t="s">
        <v>2876</v>
      </c>
      <c r="PHU1332" s="4" t="s">
        <v>2876</v>
      </c>
      <c r="PHV1332" s="4" t="s">
        <v>2876</v>
      </c>
      <c r="PHW1332" s="4" t="s">
        <v>2876</v>
      </c>
      <c r="PHX1332" s="4" t="s">
        <v>2876</v>
      </c>
      <c r="PHY1332" s="4" t="s">
        <v>2876</v>
      </c>
      <c r="PHZ1332" s="4" t="s">
        <v>2876</v>
      </c>
      <c r="PIA1332" s="4" t="s">
        <v>2876</v>
      </c>
      <c r="PIB1332" s="4" t="s">
        <v>2876</v>
      </c>
      <c r="PIC1332" s="4" t="s">
        <v>2876</v>
      </c>
      <c r="PID1332" s="4" t="s">
        <v>2876</v>
      </c>
      <c r="PIE1332" s="4" t="s">
        <v>2876</v>
      </c>
      <c r="PIF1332" s="4" t="s">
        <v>2876</v>
      </c>
      <c r="PIG1332" s="4" t="s">
        <v>2876</v>
      </c>
      <c r="PIH1332" s="4" t="s">
        <v>2876</v>
      </c>
      <c r="PII1332" s="4" t="s">
        <v>2876</v>
      </c>
      <c r="PIJ1332" s="4" t="s">
        <v>2876</v>
      </c>
      <c r="PIK1332" s="4" t="s">
        <v>2876</v>
      </c>
      <c r="PIL1332" s="4" t="s">
        <v>2876</v>
      </c>
      <c r="PIM1332" s="4" t="s">
        <v>2876</v>
      </c>
      <c r="PIN1332" s="4" t="s">
        <v>2876</v>
      </c>
      <c r="PIO1332" s="4" t="s">
        <v>2876</v>
      </c>
      <c r="PIP1332" s="4" t="s">
        <v>2876</v>
      </c>
      <c r="PIQ1332" s="4" t="s">
        <v>2876</v>
      </c>
      <c r="PIR1332" s="4" t="s">
        <v>2876</v>
      </c>
      <c r="PIS1332" s="4" t="s">
        <v>2876</v>
      </c>
      <c r="PIT1332" s="4" t="s">
        <v>2876</v>
      </c>
      <c r="PIU1332" s="4" t="s">
        <v>2876</v>
      </c>
      <c r="PIV1332" s="4" t="s">
        <v>2876</v>
      </c>
      <c r="PIW1332" s="4" t="s">
        <v>2876</v>
      </c>
      <c r="PIX1332" s="4" t="s">
        <v>2876</v>
      </c>
      <c r="PIY1332" s="4" t="s">
        <v>2876</v>
      </c>
      <c r="PIZ1332" s="4" t="s">
        <v>2876</v>
      </c>
      <c r="PJA1332" s="4" t="s">
        <v>2876</v>
      </c>
      <c r="PJB1332" s="4" t="s">
        <v>2876</v>
      </c>
      <c r="PJC1332" s="4" t="s">
        <v>2876</v>
      </c>
      <c r="PJD1332" s="4" t="s">
        <v>2876</v>
      </c>
      <c r="PJE1332" s="4" t="s">
        <v>2876</v>
      </c>
      <c r="PJF1332" s="4" t="s">
        <v>2876</v>
      </c>
      <c r="PJG1332" s="4" t="s">
        <v>2876</v>
      </c>
      <c r="PJH1332" s="4" t="s">
        <v>2876</v>
      </c>
      <c r="PJI1332" s="4" t="s">
        <v>2876</v>
      </c>
      <c r="PJJ1332" s="4" t="s">
        <v>2876</v>
      </c>
      <c r="PJK1332" s="4" t="s">
        <v>2876</v>
      </c>
      <c r="PJL1332" s="4" t="s">
        <v>2876</v>
      </c>
      <c r="PJM1332" s="4" t="s">
        <v>2876</v>
      </c>
      <c r="PJN1332" s="4" t="s">
        <v>2876</v>
      </c>
      <c r="PJO1332" s="4" t="s">
        <v>2876</v>
      </c>
      <c r="PJP1332" s="4" t="s">
        <v>2876</v>
      </c>
      <c r="PJQ1332" s="4" t="s">
        <v>2876</v>
      </c>
      <c r="PJR1332" s="4" t="s">
        <v>2876</v>
      </c>
      <c r="PJS1332" s="4" t="s">
        <v>2876</v>
      </c>
      <c r="PJT1332" s="4" t="s">
        <v>2876</v>
      </c>
      <c r="PJU1332" s="4" t="s">
        <v>2876</v>
      </c>
      <c r="PJV1332" s="4" t="s">
        <v>2876</v>
      </c>
      <c r="PJW1332" s="4" t="s">
        <v>2876</v>
      </c>
      <c r="PJX1332" s="4" t="s">
        <v>2876</v>
      </c>
      <c r="PJY1332" s="4" t="s">
        <v>2876</v>
      </c>
      <c r="PJZ1332" s="4" t="s">
        <v>2876</v>
      </c>
      <c r="PKA1332" s="4" t="s">
        <v>2876</v>
      </c>
      <c r="PKB1332" s="4" t="s">
        <v>2876</v>
      </c>
      <c r="PKC1332" s="4" t="s">
        <v>2876</v>
      </c>
      <c r="PKD1332" s="4" t="s">
        <v>2876</v>
      </c>
      <c r="PKE1332" s="4" t="s">
        <v>2876</v>
      </c>
      <c r="PKF1332" s="4" t="s">
        <v>2876</v>
      </c>
      <c r="PKG1332" s="4" t="s">
        <v>2876</v>
      </c>
      <c r="PKH1332" s="4" t="s">
        <v>2876</v>
      </c>
      <c r="PKI1332" s="4" t="s">
        <v>2876</v>
      </c>
      <c r="PKJ1332" s="4" t="s">
        <v>2876</v>
      </c>
      <c r="PKK1332" s="4" t="s">
        <v>2876</v>
      </c>
      <c r="PKL1332" s="4" t="s">
        <v>2876</v>
      </c>
      <c r="PKM1332" s="4" t="s">
        <v>2876</v>
      </c>
      <c r="PKN1332" s="4" t="s">
        <v>2876</v>
      </c>
      <c r="PKO1332" s="4" t="s">
        <v>2876</v>
      </c>
      <c r="PKP1332" s="4" t="s">
        <v>2876</v>
      </c>
      <c r="PKQ1332" s="4" t="s">
        <v>2876</v>
      </c>
      <c r="PKR1332" s="4" t="s">
        <v>2876</v>
      </c>
      <c r="PKS1332" s="4" t="s">
        <v>2876</v>
      </c>
      <c r="PKT1332" s="4" t="s">
        <v>2876</v>
      </c>
      <c r="PKU1332" s="4" t="s">
        <v>2876</v>
      </c>
      <c r="PKV1332" s="4" t="s">
        <v>2876</v>
      </c>
      <c r="PKW1332" s="4" t="s">
        <v>2876</v>
      </c>
      <c r="PKX1332" s="4" t="s">
        <v>2876</v>
      </c>
      <c r="PKY1332" s="4" t="s">
        <v>2876</v>
      </c>
      <c r="PKZ1332" s="4" t="s">
        <v>2876</v>
      </c>
      <c r="PLA1332" s="4" t="s">
        <v>2876</v>
      </c>
      <c r="PLB1332" s="4" t="s">
        <v>2876</v>
      </c>
      <c r="PLC1332" s="4" t="s">
        <v>2876</v>
      </c>
      <c r="PLD1332" s="4" t="s">
        <v>2876</v>
      </c>
      <c r="PLE1332" s="4" t="s">
        <v>2876</v>
      </c>
      <c r="PLF1332" s="4" t="s">
        <v>2876</v>
      </c>
      <c r="PLG1332" s="4" t="s">
        <v>2876</v>
      </c>
      <c r="PLH1332" s="4" t="s">
        <v>2876</v>
      </c>
      <c r="PLI1332" s="4" t="s">
        <v>2876</v>
      </c>
      <c r="PLJ1332" s="4" t="s">
        <v>2876</v>
      </c>
      <c r="PLK1332" s="4" t="s">
        <v>2876</v>
      </c>
      <c r="PLL1332" s="4" t="s">
        <v>2876</v>
      </c>
      <c r="PLM1332" s="4" t="s">
        <v>2876</v>
      </c>
      <c r="PLN1332" s="4" t="s">
        <v>2876</v>
      </c>
      <c r="PLO1332" s="4" t="s">
        <v>2876</v>
      </c>
      <c r="PLP1332" s="4" t="s">
        <v>2876</v>
      </c>
      <c r="PLQ1332" s="4" t="s">
        <v>2876</v>
      </c>
      <c r="PLR1332" s="4" t="s">
        <v>2876</v>
      </c>
      <c r="PLS1332" s="4" t="s">
        <v>2876</v>
      </c>
      <c r="PLT1332" s="4" t="s">
        <v>2876</v>
      </c>
      <c r="PLU1332" s="4" t="s">
        <v>2876</v>
      </c>
      <c r="PLV1332" s="4" t="s">
        <v>2876</v>
      </c>
      <c r="PLW1332" s="4" t="s">
        <v>2876</v>
      </c>
      <c r="PLX1332" s="4" t="s">
        <v>2876</v>
      </c>
      <c r="PLY1332" s="4" t="s">
        <v>2876</v>
      </c>
      <c r="PLZ1332" s="4" t="s">
        <v>2876</v>
      </c>
      <c r="PMA1332" s="4" t="s">
        <v>2876</v>
      </c>
      <c r="PMB1332" s="4" t="s">
        <v>2876</v>
      </c>
      <c r="PMC1332" s="4" t="s">
        <v>2876</v>
      </c>
      <c r="PMD1332" s="4" t="s">
        <v>2876</v>
      </c>
      <c r="PME1332" s="4" t="s">
        <v>2876</v>
      </c>
      <c r="PMF1332" s="4" t="s">
        <v>2876</v>
      </c>
      <c r="PMG1332" s="4" t="s">
        <v>2876</v>
      </c>
      <c r="PMH1332" s="4" t="s">
        <v>2876</v>
      </c>
      <c r="PMI1332" s="4" t="s">
        <v>2876</v>
      </c>
      <c r="PMJ1332" s="4" t="s">
        <v>2876</v>
      </c>
      <c r="PMK1332" s="4" t="s">
        <v>2876</v>
      </c>
      <c r="PML1332" s="4" t="s">
        <v>2876</v>
      </c>
      <c r="PMM1332" s="4" t="s">
        <v>2876</v>
      </c>
      <c r="PMN1332" s="4" t="s">
        <v>2876</v>
      </c>
      <c r="PMO1332" s="4" t="s">
        <v>2876</v>
      </c>
      <c r="PMP1332" s="4" t="s">
        <v>2876</v>
      </c>
      <c r="PMQ1332" s="4" t="s">
        <v>2876</v>
      </c>
      <c r="PMR1332" s="4" t="s">
        <v>2876</v>
      </c>
      <c r="PMS1332" s="4" t="s">
        <v>2876</v>
      </c>
      <c r="PMT1332" s="4" t="s">
        <v>2876</v>
      </c>
      <c r="PMU1332" s="4" t="s">
        <v>2876</v>
      </c>
      <c r="PMV1332" s="4" t="s">
        <v>2876</v>
      </c>
      <c r="PMW1332" s="4" t="s">
        <v>2876</v>
      </c>
      <c r="PMX1332" s="4" t="s">
        <v>2876</v>
      </c>
      <c r="PMY1332" s="4" t="s">
        <v>2876</v>
      </c>
      <c r="PMZ1332" s="4" t="s">
        <v>2876</v>
      </c>
      <c r="PNA1332" s="4" t="s">
        <v>2876</v>
      </c>
      <c r="PNB1332" s="4" t="s">
        <v>2876</v>
      </c>
      <c r="PNC1332" s="4" t="s">
        <v>2876</v>
      </c>
      <c r="PND1332" s="4" t="s">
        <v>2876</v>
      </c>
      <c r="PNE1332" s="4" t="s">
        <v>2876</v>
      </c>
      <c r="PNF1332" s="4" t="s">
        <v>2876</v>
      </c>
      <c r="PNG1332" s="4" t="s">
        <v>2876</v>
      </c>
      <c r="PNH1332" s="4" t="s">
        <v>2876</v>
      </c>
      <c r="PNI1332" s="4" t="s">
        <v>2876</v>
      </c>
      <c r="PNJ1332" s="4" t="s">
        <v>2876</v>
      </c>
      <c r="PNK1332" s="4" t="s">
        <v>2876</v>
      </c>
      <c r="PNL1332" s="4" t="s">
        <v>2876</v>
      </c>
      <c r="PNM1332" s="4" t="s">
        <v>2876</v>
      </c>
      <c r="PNN1332" s="4" t="s">
        <v>2876</v>
      </c>
      <c r="PNO1332" s="4" t="s">
        <v>2876</v>
      </c>
      <c r="PNP1332" s="4" t="s">
        <v>2876</v>
      </c>
      <c r="PNQ1332" s="4" t="s">
        <v>2876</v>
      </c>
      <c r="PNR1332" s="4" t="s">
        <v>2876</v>
      </c>
      <c r="PNS1332" s="4" t="s">
        <v>2876</v>
      </c>
      <c r="PNT1332" s="4" t="s">
        <v>2876</v>
      </c>
      <c r="PNU1332" s="4" t="s">
        <v>2876</v>
      </c>
      <c r="PNV1332" s="4" t="s">
        <v>2876</v>
      </c>
      <c r="PNW1332" s="4" t="s">
        <v>2876</v>
      </c>
      <c r="PNX1332" s="4" t="s">
        <v>2876</v>
      </c>
      <c r="PNY1332" s="4" t="s">
        <v>2876</v>
      </c>
      <c r="PNZ1332" s="4" t="s">
        <v>2876</v>
      </c>
      <c r="POA1332" s="4" t="s">
        <v>2876</v>
      </c>
      <c r="POB1332" s="4" t="s">
        <v>2876</v>
      </c>
      <c r="POC1332" s="4" t="s">
        <v>2876</v>
      </c>
      <c r="POD1332" s="4" t="s">
        <v>2876</v>
      </c>
      <c r="POE1332" s="4" t="s">
        <v>2876</v>
      </c>
      <c r="POF1332" s="4" t="s">
        <v>2876</v>
      </c>
      <c r="POG1332" s="4" t="s">
        <v>2876</v>
      </c>
      <c r="POH1332" s="4" t="s">
        <v>2876</v>
      </c>
      <c r="POI1332" s="4" t="s">
        <v>2876</v>
      </c>
      <c r="POJ1332" s="4" t="s">
        <v>2876</v>
      </c>
      <c r="POK1332" s="4" t="s">
        <v>2876</v>
      </c>
      <c r="POL1332" s="4" t="s">
        <v>2876</v>
      </c>
      <c r="POM1332" s="4" t="s">
        <v>2876</v>
      </c>
      <c r="PON1332" s="4" t="s">
        <v>2876</v>
      </c>
      <c r="POO1332" s="4" t="s">
        <v>2876</v>
      </c>
      <c r="POP1332" s="4" t="s">
        <v>2876</v>
      </c>
      <c r="POQ1332" s="4" t="s">
        <v>2876</v>
      </c>
      <c r="POR1332" s="4" t="s">
        <v>2876</v>
      </c>
      <c r="POS1332" s="4" t="s">
        <v>2876</v>
      </c>
      <c r="POT1332" s="4" t="s">
        <v>2876</v>
      </c>
      <c r="POU1332" s="4" t="s">
        <v>2876</v>
      </c>
      <c r="POV1332" s="4" t="s">
        <v>2876</v>
      </c>
      <c r="POW1332" s="4" t="s">
        <v>2876</v>
      </c>
      <c r="POX1332" s="4" t="s">
        <v>2876</v>
      </c>
      <c r="POY1332" s="4" t="s">
        <v>2876</v>
      </c>
      <c r="POZ1332" s="4" t="s">
        <v>2876</v>
      </c>
      <c r="PPA1332" s="4" t="s">
        <v>2876</v>
      </c>
      <c r="PPB1332" s="4" t="s">
        <v>2876</v>
      </c>
      <c r="PPC1332" s="4" t="s">
        <v>2876</v>
      </c>
      <c r="PPD1332" s="4" t="s">
        <v>2876</v>
      </c>
      <c r="PPE1332" s="4" t="s">
        <v>2876</v>
      </c>
      <c r="PPF1332" s="4" t="s">
        <v>2876</v>
      </c>
      <c r="PPG1332" s="4" t="s">
        <v>2876</v>
      </c>
      <c r="PPH1332" s="4" t="s">
        <v>2876</v>
      </c>
      <c r="PPI1332" s="4" t="s">
        <v>2876</v>
      </c>
      <c r="PPJ1332" s="4" t="s">
        <v>2876</v>
      </c>
      <c r="PPK1332" s="4" t="s">
        <v>2876</v>
      </c>
      <c r="PPL1332" s="4" t="s">
        <v>2876</v>
      </c>
      <c r="PPM1332" s="4" t="s">
        <v>2876</v>
      </c>
      <c r="PPN1332" s="4" t="s">
        <v>2876</v>
      </c>
      <c r="PPO1332" s="4" t="s">
        <v>2876</v>
      </c>
      <c r="PPP1332" s="4" t="s">
        <v>2876</v>
      </c>
      <c r="PPQ1332" s="4" t="s">
        <v>2876</v>
      </c>
      <c r="PPR1332" s="4" t="s">
        <v>2876</v>
      </c>
      <c r="PPS1332" s="4" t="s">
        <v>2876</v>
      </c>
      <c r="PPT1332" s="4" t="s">
        <v>2876</v>
      </c>
      <c r="PPU1332" s="4" t="s">
        <v>2876</v>
      </c>
      <c r="PPV1332" s="4" t="s">
        <v>2876</v>
      </c>
      <c r="PPW1332" s="4" t="s">
        <v>2876</v>
      </c>
      <c r="PPX1332" s="4" t="s">
        <v>2876</v>
      </c>
      <c r="PPY1332" s="4" t="s">
        <v>2876</v>
      </c>
      <c r="PPZ1332" s="4" t="s">
        <v>2876</v>
      </c>
      <c r="PQA1332" s="4" t="s">
        <v>2876</v>
      </c>
      <c r="PQB1332" s="4" t="s">
        <v>2876</v>
      </c>
      <c r="PQC1332" s="4" t="s">
        <v>2876</v>
      </c>
      <c r="PQD1332" s="4" t="s">
        <v>2876</v>
      </c>
      <c r="PQE1332" s="4" t="s">
        <v>2876</v>
      </c>
      <c r="PQF1332" s="4" t="s">
        <v>2876</v>
      </c>
      <c r="PQG1332" s="4" t="s">
        <v>2876</v>
      </c>
      <c r="PQH1332" s="4" t="s">
        <v>2876</v>
      </c>
      <c r="PQI1332" s="4" t="s">
        <v>2876</v>
      </c>
      <c r="PQJ1332" s="4" t="s">
        <v>2876</v>
      </c>
      <c r="PQK1332" s="4" t="s">
        <v>2876</v>
      </c>
      <c r="PQL1332" s="4" t="s">
        <v>2876</v>
      </c>
      <c r="PQM1332" s="4" t="s">
        <v>2876</v>
      </c>
      <c r="PQN1332" s="4" t="s">
        <v>2876</v>
      </c>
      <c r="PQO1332" s="4" t="s">
        <v>2876</v>
      </c>
      <c r="PQP1332" s="4" t="s">
        <v>2876</v>
      </c>
      <c r="PQQ1332" s="4" t="s">
        <v>2876</v>
      </c>
      <c r="PQR1332" s="4" t="s">
        <v>2876</v>
      </c>
      <c r="PQS1332" s="4" t="s">
        <v>2876</v>
      </c>
      <c r="PQT1332" s="4" t="s">
        <v>2876</v>
      </c>
      <c r="PQU1332" s="4" t="s">
        <v>2876</v>
      </c>
      <c r="PQV1332" s="4" t="s">
        <v>2876</v>
      </c>
      <c r="PQW1332" s="4" t="s">
        <v>2876</v>
      </c>
      <c r="PQX1332" s="4" t="s">
        <v>2876</v>
      </c>
      <c r="PQY1332" s="4" t="s">
        <v>2876</v>
      </c>
      <c r="PQZ1332" s="4" t="s">
        <v>2876</v>
      </c>
      <c r="PRA1332" s="4" t="s">
        <v>2876</v>
      </c>
      <c r="PRB1332" s="4" t="s">
        <v>2876</v>
      </c>
      <c r="PRC1332" s="4" t="s">
        <v>2876</v>
      </c>
      <c r="PRD1332" s="4" t="s">
        <v>2876</v>
      </c>
      <c r="PRE1332" s="4" t="s">
        <v>2876</v>
      </c>
      <c r="PRF1332" s="4" t="s">
        <v>2876</v>
      </c>
      <c r="PRG1332" s="4" t="s">
        <v>2876</v>
      </c>
      <c r="PRH1332" s="4" t="s">
        <v>2876</v>
      </c>
      <c r="PRI1332" s="4" t="s">
        <v>2876</v>
      </c>
      <c r="PRJ1332" s="4" t="s">
        <v>2876</v>
      </c>
      <c r="PRK1332" s="4" t="s">
        <v>2876</v>
      </c>
      <c r="PRL1332" s="4" t="s">
        <v>2876</v>
      </c>
      <c r="PRM1332" s="4" t="s">
        <v>2876</v>
      </c>
      <c r="PRN1332" s="4" t="s">
        <v>2876</v>
      </c>
      <c r="PRO1332" s="4" t="s">
        <v>2876</v>
      </c>
      <c r="PRP1332" s="4" t="s">
        <v>2876</v>
      </c>
      <c r="PRQ1332" s="4" t="s">
        <v>2876</v>
      </c>
      <c r="PRR1332" s="4" t="s">
        <v>2876</v>
      </c>
      <c r="PRS1332" s="4" t="s">
        <v>2876</v>
      </c>
      <c r="PRT1332" s="4" t="s">
        <v>2876</v>
      </c>
      <c r="PRU1332" s="4" t="s">
        <v>2876</v>
      </c>
      <c r="PRV1332" s="4" t="s">
        <v>2876</v>
      </c>
      <c r="PRW1332" s="4" t="s">
        <v>2876</v>
      </c>
      <c r="PRX1332" s="4" t="s">
        <v>2876</v>
      </c>
      <c r="PRY1332" s="4" t="s">
        <v>2876</v>
      </c>
      <c r="PRZ1332" s="4" t="s">
        <v>2876</v>
      </c>
      <c r="PSA1332" s="4" t="s">
        <v>2876</v>
      </c>
      <c r="PSB1332" s="4" t="s">
        <v>2876</v>
      </c>
      <c r="PSC1332" s="4" t="s">
        <v>2876</v>
      </c>
      <c r="PSD1332" s="4" t="s">
        <v>2876</v>
      </c>
      <c r="PSE1332" s="4" t="s">
        <v>2876</v>
      </c>
      <c r="PSF1332" s="4" t="s">
        <v>2876</v>
      </c>
      <c r="PSG1332" s="4" t="s">
        <v>2876</v>
      </c>
      <c r="PSH1332" s="4" t="s">
        <v>2876</v>
      </c>
      <c r="PSI1332" s="4" t="s">
        <v>2876</v>
      </c>
      <c r="PSJ1332" s="4" t="s">
        <v>2876</v>
      </c>
      <c r="PSK1332" s="4" t="s">
        <v>2876</v>
      </c>
      <c r="PSL1332" s="4" t="s">
        <v>2876</v>
      </c>
      <c r="PSM1332" s="4" t="s">
        <v>2876</v>
      </c>
      <c r="PSN1332" s="4" t="s">
        <v>2876</v>
      </c>
      <c r="PSO1332" s="4" t="s">
        <v>2876</v>
      </c>
      <c r="PSP1332" s="4" t="s">
        <v>2876</v>
      </c>
      <c r="PSQ1332" s="4" t="s">
        <v>2876</v>
      </c>
      <c r="PSR1332" s="4" t="s">
        <v>2876</v>
      </c>
      <c r="PSS1332" s="4" t="s">
        <v>2876</v>
      </c>
      <c r="PST1332" s="4" t="s">
        <v>2876</v>
      </c>
      <c r="PSU1332" s="4" t="s">
        <v>2876</v>
      </c>
      <c r="PSV1332" s="4" t="s">
        <v>2876</v>
      </c>
      <c r="PSW1332" s="4" t="s">
        <v>2876</v>
      </c>
      <c r="PSX1332" s="4" t="s">
        <v>2876</v>
      </c>
      <c r="PSY1332" s="4" t="s">
        <v>2876</v>
      </c>
      <c r="PSZ1332" s="4" t="s">
        <v>2876</v>
      </c>
      <c r="PTA1332" s="4" t="s">
        <v>2876</v>
      </c>
      <c r="PTB1332" s="4" t="s">
        <v>2876</v>
      </c>
      <c r="PTC1332" s="4" t="s">
        <v>2876</v>
      </c>
      <c r="PTD1332" s="4" t="s">
        <v>2876</v>
      </c>
      <c r="PTE1332" s="4" t="s">
        <v>2876</v>
      </c>
      <c r="PTF1332" s="4" t="s">
        <v>2876</v>
      </c>
      <c r="PTG1332" s="4" t="s">
        <v>2876</v>
      </c>
      <c r="PTH1332" s="4" t="s">
        <v>2876</v>
      </c>
      <c r="PTI1332" s="4" t="s">
        <v>2876</v>
      </c>
      <c r="PTJ1332" s="4" t="s">
        <v>2876</v>
      </c>
      <c r="PTK1332" s="4" t="s">
        <v>2876</v>
      </c>
      <c r="PTL1332" s="4" t="s">
        <v>2876</v>
      </c>
      <c r="PTM1332" s="4" t="s">
        <v>2876</v>
      </c>
      <c r="PTN1332" s="4" t="s">
        <v>2876</v>
      </c>
      <c r="PTO1332" s="4" t="s">
        <v>2876</v>
      </c>
      <c r="PTP1332" s="4" t="s">
        <v>2876</v>
      </c>
      <c r="PTQ1332" s="4" t="s">
        <v>2876</v>
      </c>
      <c r="PTR1332" s="4" t="s">
        <v>2876</v>
      </c>
      <c r="PTS1332" s="4" t="s">
        <v>2876</v>
      </c>
      <c r="PTT1332" s="4" t="s">
        <v>2876</v>
      </c>
      <c r="PTU1332" s="4" t="s">
        <v>2876</v>
      </c>
      <c r="PTV1332" s="4" t="s">
        <v>2876</v>
      </c>
      <c r="PTW1332" s="4" t="s">
        <v>2876</v>
      </c>
      <c r="PTX1332" s="4" t="s">
        <v>2876</v>
      </c>
      <c r="PTY1332" s="4" t="s">
        <v>2876</v>
      </c>
      <c r="PTZ1332" s="4" t="s">
        <v>2876</v>
      </c>
      <c r="PUA1332" s="4" t="s">
        <v>2876</v>
      </c>
      <c r="PUB1332" s="4" t="s">
        <v>2876</v>
      </c>
      <c r="PUC1332" s="4" t="s">
        <v>2876</v>
      </c>
      <c r="PUD1332" s="4" t="s">
        <v>2876</v>
      </c>
      <c r="PUE1332" s="4" t="s">
        <v>2876</v>
      </c>
      <c r="PUF1332" s="4" t="s">
        <v>2876</v>
      </c>
      <c r="PUG1332" s="4" t="s">
        <v>2876</v>
      </c>
      <c r="PUH1332" s="4" t="s">
        <v>2876</v>
      </c>
      <c r="PUI1332" s="4" t="s">
        <v>2876</v>
      </c>
      <c r="PUJ1332" s="4" t="s">
        <v>2876</v>
      </c>
      <c r="PUK1332" s="4" t="s">
        <v>2876</v>
      </c>
      <c r="PUL1332" s="4" t="s">
        <v>2876</v>
      </c>
      <c r="PUM1332" s="4" t="s">
        <v>2876</v>
      </c>
      <c r="PUN1332" s="4" t="s">
        <v>2876</v>
      </c>
      <c r="PUO1332" s="4" t="s">
        <v>2876</v>
      </c>
      <c r="PUP1332" s="4" t="s">
        <v>2876</v>
      </c>
      <c r="PUQ1332" s="4" t="s">
        <v>2876</v>
      </c>
      <c r="PUR1332" s="4" t="s">
        <v>2876</v>
      </c>
      <c r="PUS1332" s="4" t="s">
        <v>2876</v>
      </c>
      <c r="PUT1332" s="4" t="s">
        <v>2876</v>
      </c>
      <c r="PUU1332" s="4" t="s">
        <v>2876</v>
      </c>
      <c r="PUV1332" s="4" t="s">
        <v>2876</v>
      </c>
      <c r="PUW1332" s="4" t="s">
        <v>2876</v>
      </c>
      <c r="PUX1332" s="4" t="s">
        <v>2876</v>
      </c>
      <c r="PUY1332" s="4" t="s">
        <v>2876</v>
      </c>
      <c r="PUZ1332" s="4" t="s">
        <v>2876</v>
      </c>
      <c r="PVA1332" s="4" t="s">
        <v>2876</v>
      </c>
      <c r="PVB1332" s="4" t="s">
        <v>2876</v>
      </c>
      <c r="PVC1332" s="4" t="s">
        <v>2876</v>
      </c>
      <c r="PVD1332" s="4" t="s">
        <v>2876</v>
      </c>
      <c r="PVE1332" s="4" t="s">
        <v>2876</v>
      </c>
      <c r="PVF1332" s="4" t="s">
        <v>2876</v>
      </c>
      <c r="PVG1332" s="4" t="s">
        <v>2876</v>
      </c>
      <c r="PVH1332" s="4" t="s">
        <v>2876</v>
      </c>
      <c r="PVI1332" s="4" t="s">
        <v>2876</v>
      </c>
      <c r="PVJ1332" s="4" t="s">
        <v>2876</v>
      </c>
      <c r="PVK1332" s="4" t="s">
        <v>2876</v>
      </c>
      <c r="PVL1332" s="4" t="s">
        <v>2876</v>
      </c>
      <c r="PVM1332" s="4" t="s">
        <v>2876</v>
      </c>
      <c r="PVN1332" s="4" t="s">
        <v>2876</v>
      </c>
      <c r="PVO1332" s="4" t="s">
        <v>2876</v>
      </c>
      <c r="PVP1332" s="4" t="s">
        <v>2876</v>
      </c>
      <c r="PVQ1332" s="4" t="s">
        <v>2876</v>
      </c>
      <c r="PVR1332" s="4" t="s">
        <v>2876</v>
      </c>
      <c r="PVS1332" s="4" t="s">
        <v>2876</v>
      </c>
      <c r="PVT1332" s="4" t="s">
        <v>2876</v>
      </c>
      <c r="PVU1332" s="4" t="s">
        <v>2876</v>
      </c>
      <c r="PVV1332" s="4" t="s">
        <v>2876</v>
      </c>
      <c r="PVW1332" s="4" t="s">
        <v>2876</v>
      </c>
      <c r="PVX1332" s="4" t="s">
        <v>2876</v>
      </c>
      <c r="PVY1332" s="4" t="s">
        <v>2876</v>
      </c>
      <c r="PVZ1332" s="4" t="s">
        <v>2876</v>
      </c>
      <c r="PWA1332" s="4" t="s">
        <v>2876</v>
      </c>
      <c r="PWB1332" s="4" t="s">
        <v>2876</v>
      </c>
      <c r="PWC1332" s="4" t="s">
        <v>2876</v>
      </c>
      <c r="PWD1332" s="4" t="s">
        <v>2876</v>
      </c>
      <c r="PWE1332" s="4" t="s">
        <v>2876</v>
      </c>
      <c r="PWF1332" s="4" t="s">
        <v>2876</v>
      </c>
      <c r="PWG1332" s="4" t="s">
        <v>2876</v>
      </c>
      <c r="PWH1332" s="4" t="s">
        <v>2876</v>
      </c>
      <c r="PWI1332" s="4" t="s">
        <v>2876</v>
      </c>
      <c r="PWJ1332" s="4" t="s">
        <v>2876</v>
      </c>
      <c r="PWK1332" s="4" t="s">
        <v>2876</v>
      </c>
      <c r="PWL1332" s="4" t="s">
        <v>2876</v>
      </c>
      <c r="PWM1332" s="4" t="s">
        <v>2876</v>
      </c>
      <c r="PWN1332" s="4" t="s">
        <v>2876</v>
      </c>
      <c r="PWO1332" s="4" t="s">
        <v>2876</v>
      </c>
      <c r="PWP1332" s="4" t="s">
        <v>2876</v>
      </c>
      <c r="PWQ1332" s="4" t="s">
        <v>2876</v>
      </c>
      <c r="PWR1332" s="4" t="s">
        <v>2876</v>
      </c>
      <c r="PWS1332" s="4" t="s">
        <v>2876</v>
      </c>
      <c r="PWT1332" s="4" t="s">
        <v>2876</v>
      </c>
      <c r="PWU1332" s="4" t="s">
        <v>2876</v>
      </c>
      <c r="PWV1332" s="4" t="s">
        <v>2876</v>
      </c>
      <c r="PWW1332" s="4" t="s">
        <v>2876</v>
      </c>
      <c r="PWX1332" s="4" t="s">
        <v>2876</v>
      </c>
      <c r="PWY1332" s="4" t="s">
        <v>2876</v>
      </c>
      <c r="PWZ1332" s="4" t="s">
        <v>2876</v>
      </c>
      <c r="PXA1332" s="4" t="s">
        <v>2876</v>
      </c>
      <c r="PXB1332" s="4" t="s">
        <v>2876</v>
      </c>
      <c r="PXC1332" s="4" t="s">
        <v>2876</v>
      </c>
      <c r="PXD1332" s="4" t="s">
        <v>2876</v>
      </c>
      <c r="PXE1332" s="4" t="s">
        <v>2876</v>
      </c>
      <c r="PXF1332" s="4" t="s">
        <v>2876</v>
      </c>
      <c r="PXG1332" s="4" t="s">
        <v>2876</v>
      </c>
      <c r="PXH1332" s="4" t="s">
        <v>2876</v>
      </c>
      <c r="PXI1332" s="4" t="s">
        <v>2876</v>
      </c>
      <c r="PXJ1332" s="4" t="s">
        <v>2876</v>
      </c>
      <c r="PXK1332" s="4" t="s">
        <v>2876</v>
      </c>
      <c r="PXL1332" s="4" t="s">
        <v>2876</v>
      </c>
      <c r="PXM1332" s="4" t="s">
        <v>2876</v>
      </c>
      <c r="PXN1332" s="4" t="s">
        <v>2876</v>
      </c>
      <c r="PXO1332" s="4" t="s">
        <v>2876</v>
      </c>
      <c r="PXP1332" s="4" t="s">
        <v>2876</v>
      </c>
      <c r="PXQ1332" s="4" t="s">
        <v>2876</v>
      </c>
      <c r="PXR1332" s="4" t="s">
        <v>2876</v>
      </c>
      <c r="PXS1332" s="4" t="s">
        <v>2876</v>
      </c>
      <c r="PXT1332" s="4" t="s">
        <v>2876</v>
      </c>
      <c r="PXU1332" s="4" t="s">
        <v>2876</v>
      </c>
      <c r="PXV1332" s="4" t="s">
        <v>2876</v>
      </c>
      <c r="PXW1332" s="4" t="s">
        <v>2876</v>
      </c>
      <c r="PXX1332" s="4" t="s">
        <v>2876</v>
      </c>
      <c r="PXY1332" s="4" t="s">
        <v>2876</v>
      </c>
      <c r="PXZ1332" s="4" t="s">
        <v>2876</v>
      </c>
      <c r="PYA1332" s="4" t="s">
        <v>2876</v>
      </c>
      <c r="PYB1332" s="4" t="s">
        <v>2876</v>
      </c>
      <c r="PYC1332" s="4" t="s">
        <v>2876</v>
      </c>
      <c r="PYD1332" s="4" t="s">
        <v>2876</v>
      </c>
      <c r="PYE1332" s="4" t="s">
        <v>2876</v>
      </c>
      <c r="PYF1332" s="4" t="s">
        <v>2876</v>
      </c>
      <c r="PYG1332" s="4" t="s">
        <v>2876</v>
      </c>
      <c r="PYH1332" s="4" t="s">
        <v>2876</v>
      </c>
      <c r="PYI1332" s="4" t="s">
        <v>2876</v>
      </c>
      <c r="PYJ1332" s="4" t="s">
        <v>2876</v>
      </c>
      <c r="PYK1332" s="4" t="s">
        <v>2876</v>
      </c>
      <c r="PYL1332" s="4" t="s">
        <v>2876</v>
      </c>
      <c r="PYM1332" s="4" t="s">
        <v>2876</v>
      </c>
      <c r="PYN1332" s="4" t="s">
        <v>2876</v>
      </c>
      <c r="PYO1332" s="4" t="s">
        <v>2876</v>
      </c>
      <c r="PYP1332" s="4" t="s">
        <v>2876</v>
      </c>
      <c r="PYQ1332" s="4" t="s">
        <v>2876</v>
      </c>
      <c r="PYR1332" s="4" t="s">
        <v>2876</v>
      </c>
      <c r="PYS1332" s="4" t="s">
        <v>2876</v>
      </c>
      <c r="PYT1332" s="4" t="s">
        <v>2876</v>
      </c>
      <c r="PYU1332" s="4" t="s">
        <v>2876</v>
      </c>
      <c r="PYV1332" s="4" t="s">
        <v>2876</v>
      </c>
      <c r="PYW1332" s="4" t="s">
        <v>2876</v>
      </c>
      <c r="PYX1332" s="4" t="s">
        <v>2876</v>
      </c>
      <c r="PYY1332" s="4" t="s">
        <v>2876</v>
      </c>
      <c r="PYZ1332" s="4" t="s">
        <v>2876</v>
      </c>
      <c r="PZA1332" s="4" t="s">
        <v>2876</v>
      </c>
      <c r="PZB1332" s="4" t="s">
        <v>2876</v>
      </c>
      <c r="PZC1332" s="4" t="s">
        <v>2876</v>
      </c>
      <c r="PZD1332" s="4" t="s">
        <v>2876</v>
      </c>
      <c r="PZE1332" s="4" t="s">
        <v>2876</v>
      </c>
      <c r="PZF1332" s="4" t="s">
        <v>2876</v>
      </c>
      <c r="PZG1332" s="4" t="s">
        <v>2876</v>
      </c>
      <c r="PZH1332" s="4" t="s">
        <v>2876</v>
      </c>
      <c r="PZI1332" s="4" t="s">
        <v>2876</v>
      </c>
      <c r="PZJ1332" s="4" t="s">
        <v>2876</v>
      </c>
      <c r="PZK1332" s="4" t="s">
        <v>2876</v>
      </c>
      <c r="PZL1332" s="4" t="s">
        <v>2876</v>
      </c>
      <c r="PZM1332" s="4" t="s">
        <v>2876</v>
      </c>
      <c r="PZN1332" s="4" t="s">
        <v>2876</v>
      </c>
      <c r="PZO1332" s="4" t="s">
        <v>2876</v>
      </c>
      <c r="PZP1332" s="4" t="s">
        <v>2876</v>
      </c>
      <c r="PZQ1332" s="4" t="s">
        <v>2876</v>
      </c>
      <c r="PZR1332" s="4" t="s">
        <v>2876</v>
      </c>
      <c r="PZS1332" s="4" t="s">
        <v>2876</v>
      </c>
      <c r="PZT1332" s="4" t="s">
        <v>2876</v>
      </c>
      <c r="PZU1332" s="4" t="s">
        <v>2876</v>
      </c>
      <c r="PZV1332" s="4" t="s">
        <v>2876</v>
      </c>
      <c r="PZW1332" s="4" t="s">
        <v>2876</v>
      </c>
      <c r="PZX1332" s="4" t="s">
        <v>2876</v>
      </c>
      <c r="PZY1332" s="4" t="s">
        <v>2876</v>
      </c>
      <c r="PZZ1332" s="4" t="s">
        <v>2876</v>
      </c>
      <c r="QAA1332" s="4" t="s">
        <v>2876</v>
      </c>
      <c r="QAB1332" s="4" t="s">
        <v>2876</v>
      </c>
      <c r="QAC1332" s="4" t="s">
        <v>2876</v>
      </c>
      <c r="QAD1332" s="4" t="s">
        <v>2876</v>
      </c>
      <c r="QAE1332" s="4" t="s">
        <v>2876</v>
      </c>
      <c r="QAF1332" s="4" t="s">
        <v>2876</v>
      </c>
      <c r="QAG1332" s="4" t="s">
        <v>2876</v>
      </c>
      <c r="QAH1332" s="4" t="s">
        <v>2876</v>
      </c>
      <c r="QAI1332" s="4" t="s">
        <v>2876</v>
      </c>
      <c r="QAJ1332" s="4" t="s">
        <v>2876</v>
      </c>
      <c r="QAK1332" s="4" t="s">
        <v>2876</v>
      </c>
      <c r="QAL1332" s="4" t="s">
        <v>2876</v>
      </c>
      <c r="QAM1332" s="4" t="s">
        <v>2876</v>
      </c>
      <c r="QAN1332" s="4" t="s">
        <v>2876</v>
      </c>
      <c r="QAO1332" s="4" t="s">
        <v>2876</v>
      </c>
      <c r="QAP1332" s="4" t="s">
        <v>2876</v>
      </c>
      <c r="QAQ1332" s="4" t="s">
        <v>2876</v>
      </c>
      <c r="QAR1332" s="4" t="s">
        <v>2876</v>
      </c>
      <c r="QAS1332" s="4" t="s">
        <v>2876</v>
      </c>
      <c r="QAT1332" s="4" t="s">
        <v>2876</v>
      </c>
      <c r="QAU1332" s="4" t="s">
        <v>2876</v>
      </c>
      <c r="QAV1332" s="4" t="s">
        <v>2876</v>
      </c>
      <c r="QAW1332" s="4" t="s">
        <v>2876</v>
      </c>
      <c r="QAX1332" s="4" t="s">
        <v>2876</v>
      </c>
      <c r="QAY1332" s="4" t="s">
        <v>2876</v>
      </c>
      <c r="QAZ1332" s="4" t="s">
        <v>2876</v>
      </c>
      <c r="QBA1332" s="4" t="s">
        <v>2876</v>
      </c>
      <c r="QBB1332" s="4" t="s">
        <v>2876</v>
      </c>
      <c r="QBC1332" s="4" t="s">
        <v>2876</v>
      </c>
      <c r="QBD1332" s="4" t="s">
        <v>2876</v>
      </c>
      <c r="QBE1332" s="4" t="s">
        <v>2876</v>
      </c>
      <c r="QBF1332" s="4" t="s">
        <v>2876</v>
      </c>
      <c r="QBG1332" s="4" t="s">
        <v>2876</v>
      </c>
      <c r="QBH1332" s="4" t="s">
        <v>2876</v>
      </c>
      <c r="QBI1332" s="4" t="s">
        <v>2876</v>
      </c>
      <c r="QBJ1332" s="4" t="s">
        <v>2876</v>
      </c>
      <c r="QBK1332" s="4" t="s">
        <v>2876</v>
      </c>
      <c r="QBL1332" s="4" t="s">
        <v>2876</v>
      </c>
      <c r="QBM1332" s="4" t="s">
        <v>2876</v>
      </c>
      <c r="QBN1332" s="4" t="s">
        <v>2876</v>
      </c>
      <c r="QBO1332" s="4" t="s">
        <v>2876</v>
      </c>
      <c r="QBP1332" s="4" t="s">
        <v>2876</v>
      </c>
      <c r="QBQ1332" s="4" t="s">
        <v>2876</v>
      </c>
      <c r="QBR1332" s="4" t="s">
        <v>2876</v>
      </c>
      <c r="QBS1332" s="4" t="s">
        <v>2876</v>
      </c>
      <c r="QBT1332" s="4" t="s">
        <v>2876</v>
      </c>
      <c r="QBU1332" s="4" t="s">
        <v>2876</v>
      </c>
      <c r="QBV1332" s="4" t="s">
        <v>2876</v>
      </c>
      <c r="QBW1332" s="4" t="s">
        <v>2876</v>
      </c>
      <c r="QBX1332" s="4" t="s">
        <v>2876</v>
      </c>
      <c r="QBY1332" s="4" t="s">
        <v>2876</v>
      </c>
      <c r="QBZ1332" s="4" t="s">
        <v>2876</v>
      </c>
      <c r="QCA1332" s="4" t="s">
        <v>2876</v>
      </c>
      <c r="QCB1332" s="4" t="s">
        <v>2876</v>
      </c>
      <c r="QCC1332" s="4" t="s">
        <v>2876</v>
      </c>
      <c r="QCD1332" s="4" t="s">
        <v>2876</v>
      </c>
      <c r="QCE1332" s="4" t="s">
        <v>2876</v>
      </c>
      <c r="QCF1332" s="4" t="s">
        <v>2876</v>
      </c>
      <c r="QCG1332" s="4" t="s">
        <v>2876</v>
      </c>
      <c r="QCH1332" s="4" t="s">
        <v>2876</v>
      </c>
      <c r="QCI1332" s="4" t="s">
        <v>2876</v>
      </c>
      <c r="QCJ1332" s="4" t="s">
        <v>2876</v>
      </c>
      <c r="QCK1332" s="4" t="s">
        <v>2876</v>
      </c>
      <c r="QCL1332" s="4" t="s">
        <v>2876</v>
      </c>
      <c r="QCM1332" s="4" t="s">
        <v>2876</v>
      </c>
      <c r="QCN1332" s="4" t="s">
        <v>2876</v>
      </c>
      <c r="QCO1332" s="4" t="s">
        <v>2876</v>
      </c>
      <c r="QCP1332" s="4" t="s">
        <v>2876</v>
      </c>
      <c r="QCQ1332" s="4" t="s">
        <v>2876</v>
      </c>
      <c r="QCR1332" s="4" t="s">
        <v>2876</v>
      </c>
      <c r="QCS1332" s="4" t="s">
        <v>2876</v>
      </c>
      <c r="QCT1332" s="4" t="s">
        <v>2876</v>
      </c>
      <c r="QCU1332" s="4" t="s">
        <v>2876</v>
      </c>
      <c r="QCV1332" s="4" t="s">
        <v>2876</v>
      </c>
      <c r="QCW1332" s="4" t="s">
        <v>2876</v>
      </c>
      <c r="QCX1332" s="4" t="s">
        <v>2876</v>
      </c>
      <c r="QCY1332" s="4" t="s">
        <v>2876</v>
      </c>
      <c r="QCZ1332" s="4" t="s">
        <v>2876</v>
      </c>
      <c r="QDA1332" s="4" t="s">
        <v>2876</v>
      </c>
      <c r="QDB1332" s="4" t="s">
        <v>2876</v>
      </c>
      <c r="QDC1332" s="4" t="s">
        <v>2876</v>
      </c>
      <c r="QDD1332" s="4" t="s">
        <v>2876</v>
      </c>
      <c r="QDE1332" s="4" t="s">
        <v>2876</v>
      </c>
      <c r="QDF1332" s="4" t="s">
        <v>2876</v>
      </c>
      <c r="QDG1332" s="4" t="s">
        <v>2876</v>
      </c>
      <c r="QDH1332" s="4" t="s">
        <v>2876</v>
      </c>
      <c r="QDI1332" s="4" t="s">
        <v>2876</v>
      </c>
      <c r="QDJ1332" s="4" t="s">
        <v>2876</v>
      </c>
      <c r="QDK1332" s="4" t="s">
        <v>2876</v>
      </c>
      <c r="QDL1332" s="4" t="s">
        <v>2876</v>
      </c>
      <c r="QDM1332" s="4" t="s">
        <v>2876</v>
      </c>
      <c r="QDN1332" s="4" t="s">
        <v>2876</v>
      </c>
      <c r="QDO1332" s="4" t="s">
        <v>2876</v>
      </c>
      <c r="QDP1332" s="4" t="s">
        <v>2876</v>
      </c>
      <c r="QDQ1332" s="4" t="s">
        <v>2876</v>
      </c>
      <c r="QDR1332" s="4" t="s">
        <v>2876</v>
      </c>
      <c r="QDS1332" s="4" t="s">
        <v>2876</v>
      </c>
      <c r="QDT1332" s="4" t="s">
        <v>2876</v>
      </c>
      <c r="QDU1332" s="4" t="s">
        <v>2876</v>
      </c>
      <c r="QDV1332" s="4" t="s">
        <v>2876</v>
      </c>
      <c r="QDW1332" s="4" t="s">
        <v>2876</v>
      </c>
      <c r="QDX1332" s="4" t="s">
        <v>2876</v>
      </c>
      <c r="QDY1332" s="4" t="s">
        <v>2876</v>
      </c>
      <c r="QDZ1332" s="4" t="s">
        <v>2876</v>
      </c>
      <c r="QEA1332" s="4" t="s">
        <v>2876</v>
      </c>
      <c r="QEB1332" s="4" t="s">
        <v>2876</v>
      </c>
      <c r="QEC1332" s="4" t="s">
        <v>2876</v>
      </c>
      <c r="QED1332" s="4" t="s">
        <v>2876</v>
      </c>
      <c r="QEE1332" s="4" t="s">
        <v>2876</v>
      </c>
      <c r="QEF1332" s="4" t="s">
        <v>2876</v>
      </c>
      <c r="QEG1332" s="4" t="s">
        <v>2876</v>
      </c>
      <c r="QEH1332" s="4" t="s">
        <v>2876</v>
      </c>
      <c r="QEI1332" s="4" t="s">
        <v>2876</v>
      </c>
      <c r="QEJ1332" s="4" t="s">
        <v>2876</v>
      </c>
      <c r="QEK1332" s="4" t="s">
        <v>2876</v>
      </c>
      <c r="QEL1332" s="4" t="s">
        <v>2876</v>
      </c>
      <c r="QEM1332" s="4" t="s">
        <v>2876</v>
      </c>
      <c r="QEN1332" s="4" t="s">
        <v>2876</v>
      </c>
      <c r="QEO1332" s="4" t="s">
        <v>2876</v>
      </c>
      <c r="QEP1332" s="4" t="s">
        <v>2876</v>
      </c>
      <c r="QEQ1332" s="4" t="s">
        <v>2876</v>
      </c>
      <c r="QER1332" s="4" t="s">
        <v>2876</v>
      </c>
      <c r="QES1332" s="4" t="s">
        <v>2876</v>
      </c>
      <c r="QET1332" s="4" t="s">
        <v>2876</v>
      </c>
      <c r="QEU1332" s="4" t="s">
        <v>2876</v>
      </c>
      <c r="QEV1332" s="4" t="s">
        <v>2876</v>
      </c>
      <c r="QEW1332" s="4" t="s">
        <v>2876</v>
      </c>
      <c r="QEX1332" s="4" t="s">
        <v>2876</v>
      </c>
      <c r="QEY1332" s="4" t="s">
        <v>2876</v>
      </c>
      <c r="QEZ1332" s="4" t="s">
        <v>2876</v>
      </c>
      <c r="QFA1332" s="4" t="s">
        <v>2876</v>
      </c>
      <c r="QFB1332" s="4" t="s">
        <v>2876</v>
      </c>
      <c r="QFC1332" s="4" t="s">
        <v>2876</v>
      </c>
      <c r="QFD1332" s="4" t="s">
        <v>2876</v>
      </c>
      <c r="QFE1332" s="4" t="s">
        <v>2876</v>
      </c>
      <c r="QFF1332" s="4" t="s">
        <v>2876</v>
      </c>
      <c r="QFG1332" s="4" t="s">
        <v>2876</v>
      </c>
      <c r="QFH1332" s="4" t="s">
        <v>2876</v>
      </c>
      <c r="QFI1332" s="4" t="s">
        <v>2876</v>
      </c>
      <c r="QFJ1332" s="4" t="s">
        <v>2876</v>
      </c>
      <c r="QFK1332" s="4" t="s">
        <v>2876</v>
      </c>
      <c r="QFL1332" s="4" t="s">
        <v>2876</v>
      </c>
      <c r="QFM1332" s="4" t="s">
        <v>2876</v>
      </c>
      <c r="QFN1332" s="4" t="s">
        <v>2876</v>
      </c>
      <c r="QFO1332" s="4" t="s">
        <v>2876</v>
      </c>
      <c r="QFP1332" s="4" t="s">
        <v>2876</v>
      </c>
      <c r="QFQ1332" s="4" t="s">
        <v>2876</v>
      </c>
      <c r="QFR1332" s="4" t="s">
        <v>2876</v>
      </c>
      <c r="QFS1332" s="4" t="s">
        <v>2876</v>
      </c>
      <c r="QFT1332" s="4" t="s">
        <v>2876</v>
      </c>
      <c r="QFU1332" s="4" t="s">
        <v>2876</v>
      </c>
      <c r="QFV1332" s="4" t="s">
        <v>2876</v>
      </c>
      <c r="QFW1332" s="4" t="s">
        <v>2876</v>
      </c>
      <c r="QFX1332" s="4" t="s">
        <v>2876</v>
      </c>
      <c r="QFY1332" s="4" t="s">
        <v>2876</v>
      </c>
      <c r="QFZ1332" s="4" t="s">
        <v>2876</v>
      </c>
      <c r="QGA1332" s="4" t="s">
        <v>2876</v>
      </c>
      <c r="QGB1332" s="4" t="s">
        <v>2876</v>
      </c>
      <c r="QGC1332" s="4" t="s">
        <v>2876</v>
      </c>
      <c r="QGD1332" s="4" t="s">
        <v>2876</v>
      </c>
      <c r="QGE1332" s="4" t="s">
        <v>2876</v>
      </c>
      <c r="QGF1332" s="4" t="s">
        <v>2876</v>
      </c>
      <c r="QGG1332" s="4" t="s">
        <v>2876</v>
      </c>
      <c r="QGH1332" s="4" t="s">
        <v>2876</v>
      </c>
      <c r="QGI1332" s="4" t="s">
        <v>2876</v>
      </c>
      <c r="QGJ1332" s="4" t="s">
        <v>2876</v>
      </c>
      <c r="QGK1332" s="4" t="s">
        <v>2876</v>
      </c>
      <c r="QGL1332" s="4" t="s">
        <v>2876</v>
      </c>
      <c r="QGM1332" s="4" t="s">
        <v>2876</v>
      </c>
      <c r="QGN1332" s="4" t="s">
        <v>2876</v>
      </c>
      <c r="QGO1332" s="4" t="s">
        <v>2876</v>
      </c>
      <c r="QGP1332" s="4" t="s">
        <v>2876</v>
      </c>
      <c r="QGQ1332" s="4" t="s">
        <v>2876</v>
      </c>
      <c r="QGR1332" s="4" t="s">
        <v>2876</v>
      </c>
      <c r="QGS1332" s="4" t="s">
        <v>2876</v>
      </c>
      <c r="QGT1332" s="4" t="s">
        <v>2876</v>
      </c>
      <c r="QGU1332" s="4" t="s">
        <v>2876</v>
      </c>
      <c r="QGV1332" s="4" t="s">
        <v>2876</v>
      </c>
      <c r="QGW1332" s="4" t="s">
        <v>2876</v>
      </c>
      <c r="QGX1332" s="4" t="s">
        <v>2876</v>
      </c>
      <c r="QGY1332" s="4" t="s">
        <v>2876</v>
      </c>
      <c r="QGZ1332" s="4" t="s">
        <v>2876</v>
      </c>
      <c r="QHA1332" s="4" t="s">
        <v>2876</v>
      </c>
      <c r="QHB1332" s="4" t="s">
        <v>2876</v>
      </c>
      <c r="QHC1332" s="4" t="s">
        <v>2876</v>
      </c>
      <c r="QHD1332" s="4" t="s">
        <v>2876</v>
      </c>
      <c r="QHE1332" s="4" t="s">
        <v>2876</v>
      </c>
      <c r="QHF1332" s="4" t="s">
        <v>2876</v>
      </c>
      <c r="QHG1332" s="4" t="s">
        <v>2876</v>
      </c>
      <c r="QHH1332" s="4" t="s">
        <v>2876</v>
      </c>
      <c r="QHI1332" s="4" t="s">
        <v>2876</v>
      </c>
      <c r="QHJ1332" s="4" t="s">
        <v>2876</v>
      </c>
      <c r="QHK1332" s="4" t="s">
        <v>2876</v>
      </c>
      <c r="QHL1332" s="4" t="s">
        <v>2876</v>
      </c>
      <c r="QHM1332" s="4" t="s">
        <v>2876</v>
      </c>
      <c r="QHN1332" s="4" t="s">
        <v>2876</v>
      </c>
      <c r="QHO1332" s="4" t="s">
        <v>2876</v>
      </c>
      <c r="QHP1332" s="4" t="s">
        <v>2876</v>
      </c>
      <c r="QHQ1332" s="4" t="s">
        <v>2876</v>
      </c>
      <c r="QHR1332" s="4" t="s">
        <v>2876</v>
      </c>
      <c r="QHS1332" s="4" t="s">
        <v>2876</v>
      </c>
      <c r="QHT1332" s="4" t="s">
        <v>2876</v>
      </c>
      <c r="QHU1332" s="4" t="s">
        <v>2876</v>
      </c>
      <c r="QHV1332" s="4" t="s">
        <v>2876</v>
      </c>
      <c r="QHW1332" s="4" t="s">
        <v>2876</v>
      </c>
      <c r="QHX1332" s="4" t="s">
        <v>2876</v>
      </c>
      <c r="QHY1332" s="4" t="s">
        <v>2876</v>
      </c>
      <c r="QHZ1332" s="4" t="s">
        <v>2876</v>
      </c>
      <c r="QIA1332" s="4" t="s">
        <v>2876</v>
      </c>
      <c r="QIB1332" s="4" t="s">
        <v>2876</v>
      </c>
      <c r="QIC1332" s="4" t="s">
        <v>2876</v>
      </c>
      <c r="QID1332" s="4" t="s">
        <v>2876</v>
      </c>
      <c r="QIE1332" s="4" t="s">
        <v>2876</v>
      </c>
      <c r="QIF1332" s="4" t="s">
        <v>2876</v>
      </c>
      <c r="QIG1332" s="4" t="s">
        <v>2876</v>
      </c>
      <c r="QIH1332" s="4" t="s">
        <v>2876</v>
      </c>
      <c r="QII1332" s="4" t="s">
        <v>2876</v>
      </c>
      <c r="QIJ1332" s="4" t="s">
        <v>2876</v>
      </c>
      <c r="QIK1332" s="4" t="s">
        <v>2876</v>
      </c>
      <c r="QIL1332" s="4" t="s">
        <v>2876</v>
      </c>
      <c r="QIM1332" s="4" t="s">
        <v>2876</v>
      </c>
      <c r="QIN1332" s="4" t="s">
        <v>2876</v>
      </c>
      <c r="QIO1332" s="4" t="s">
        <v>2876</v>
      </c>
      <c r="QIP1332" s="4" t="s">
        <v>2876</v>
      </c>
      <c r="QIQ1332" s="4" t="s">
        <v>2876</v>
      </c>
      <c r="QIR1332" s="4" t="s">
        <v>2876</v>
      </c>
      <c r="QIS1332" s="4" t="s">
        <v>2876</v>
      </c>
      <c r="QIT1332" s="4" t="s">
        <v>2876</v>
      </c>
      <c r="QIU1332" s="4" t="s">
        <v>2876</v>
      </c>
      <c r="QIV1332" s="4" t="s">
        <v>2876</v>
      </c>
      <c r="QIW1332" s="4" t="s">
        <v>2876</v>
      </c>
      <c r="QIX1332" s="4" t="s">
        <v>2876</v>
      </c>
      <c r="QIY1332" s="4" t="s">
        <v>2876</v>
      </c>
      <c r="QIZ1332" s="4" t="s">
        <v>2876</v>
      </c>
      <c r="QJA1332" s="4" t="s">
        <v>2876</v>
      </c>
      <c r="QJB1332" s="4" t="s">
        <v>2876</v>
      </c>
      <c r="QJC1332" s="4" t="s">
        <v>2876</v>
      </c>
      <c r="QJD1332" s="4" t="s">
        <v>2876</v>
      </c>
      <c r="QJE1332" s="4" t="s">
        <v>2876</v>
      </c>
      <c r="QJF1332" s="4" t="s">
        <v>2876</v>
      </c>
      <c r="QJG1332" s="4" t="s">
        <v>2876</v>
      </c>
      <c r="QJH1332" s="4" t="s">
        <v>2876</v>
      </c>
      <c r="QJI1332" s="4" t="s">
        <v>2876</v>
      </c>
      <c r="QJJ1332" s="4" t="s">
        <v>2876</v>
      </c>
      <c r="QJK1332" s="4" t="s">
        <v>2876</v>
      </c>
      <c r="QJL1332" s="4" t="s">
        <v>2876</v>
      </c>
      <c r="QJM1332" s="4" t="s">
        <v>2876</v>
      </c>
      <c r="QJN1332" s="4" t="s">
        <v>2876</v>
      </c>
      <c r="QJO1332" s="4" t="s">
        <v>2876</v>
      </c>
      <c r="QJP1332" s="4" t="s">
        <v>2876</v>
      </c>
      <c r="QJQ1332" s="4" t="s">
        <v>2876</v>
      </c>
      <c r="QJR1332" s="4" t="s">
        <v>2876</v>
      </c>
      <c r="QJS1332" s="4" t="s">
        <v>2876</v>
      </c>
      <c r="QJT1332" s="4" t="s">
        <v>2876</v>
      </c>
      <c r="QJU1332" s="4" t="s">
        <v>2876</v>
      </c>
      <c r="QJV1332" s="4" t="s">
        <v>2876</v>
      </c>
      <c r="QJW1332" s="4" t="s">
        <v>2876</v>
      </c>
      <c r="QJX1332" s="4" t="s">
        <v>2876</v>
      </c>
      <c r="QJY1332" s="4" t="s">
        <v>2876</v>
      </c>
      <c r="QJZ1332" s="4" t="s">
        <v>2876</v>
      </c>
      <c r="QKA1332" s="4" t="s">
        <v>2876</v>
      </c>
      <c r="QKB1332" s="4" t="s">
        <v>2876</v>
      </c>
      <c r="QKC1332" s="4" t="s">
        <v>2876</v>
      </c>
      <c r="QKD1332" s="4" t="s">
        <v>2876</v>
      </c>
      <c r="QKE1332" s="4" t="s">
        <v>2876</v>
      </c>
      <c r="QKF1332" s="4" t="s">
        <v>2876</v>
      </c>
      <c r="QKG1332" s="4" t="s">
        <v>2876</v>
      </c>
      <c r="QKH1332" s="4" t="s">
        <v>2876</v>
      </c>
      <c r="QKI1332" s="4" t="s">
        <v>2876</v>
      </c>
      <c r="QKJ1332" s="4" t="s">
        <v>2876</v>
      </c>
      <c r="QKK1332" s="4" t="s">
        <v>2876</v>
      </c>
      <c r="QKL1332" s="4" t="s">
        <v>2876</v>
      </c>
      <c r="QKM1332" s="4" t="s">
        <v>2876</v>
      </c>
      <c r="QKN1332" s="4" t="s">
        <v>2876</v>
      </c>
      <c r="QKO1332" s="4" t="s">
        <v>2876</v>
      </c>
      <c r="QKP1332" s="4" t="s">
        <v>2876</v>
      </c>
      <c r="QKQ1332" s="4" t="s">
        <v>2876</v>
      </c>
      <c r="QKR1332" s="4" t="s">
        <v>2876</v>
      </c>
      <c r="QKS1332" s="4" t="s">
        <v>2876</v>
      </c>
      <c r="QKT1332" s="4" t="s">
        <v>2876</v>
      </c>
      <c r="QKU1332" s="4" t="s">
        <v>2876</v>
      </c>
      <c r="QKV1332" s="4" t="s">
        <v>2876</v>
      </c>
      <c r="QKW1332" s="4" t="s">
        <v>2876</v>
      </c>
      <c r="QKX1332" s="4" t="s">
        <v>2876</v>
      </c>
      <c r="QKY1332" s="4" t="s">
        <v>2876</v>
      </c>
      <c r="QKZ1332" s="4" t="s">
        <v>2876</v>
      </c>
      <c r="QLA1332" s="4" t="s">
        <v>2876</v>
      </c>
      <c r="QLB1332" s="4" t="s">
        <v>2876</v>
      </c>
      <c r="QLC1332" s="4" t="s">
        <v>2876</v>
      </c>
      <c r="QLD1332" s="4" t="s">
        <v>2876</v>
      </c>
      <c r="QLE1332" s="4" t="s">
        <v>2876</v>
      </c>
      <c r="QLF1332" s="4" t="s">
        <v>2876</v>
      </c>
      <c r="QLG1332" s="4" t="s">
        <v>2876</v>
      </c>
      <c r="QLH1332" s="4" t="s">
        <v>2876</v>
      </c>
      <c r="QLI1332" s="4" t="s">
        <v>2876</v>
      </c>
      <c r="QLJ1332" s="4" t="s">
        <v>2876</v>
      </c>
      <c r="QLK1332" s="4" t="s">
        <v>2876</v>
      </c>
      <c r="QLL1332" s="4" t="s">
        <v>2876</v>
      </c>
      <c r="QLM1332" s="4" t="s">
        <v>2876</v>
      </c>
      <c r="QLN1332" s="4" t="s">
        <v>2876</v>
      </c>
      <c r="QLO1332" s="4" t="s">
        <v>2876</v>
      </c>
      <c r="QLP1332" s="4" t="s">
        <v>2876</v>
      </c>
      <c r="QLQ1332" s="4" t="s">
        <v>2876</v>
      </c>
      <c r="QLR1332" s="4" t="s">
        <v>2876</v>
      </c>
      <c r="QLS1332" s="4" t="s">
        <v>2876</v>
      </c>
      <c r="QLT1332" s="4" t="s">
        <v>2876</v>
      </c>
      <c r="QLU1332" s="4" t="s">
        <v>2876</v>
      </c>
      <c r="QLV1332" s="4" t="s">
        <v>2876</v>
      </c>
      <c r="QLW1332" s="4" t="s">
        <v>2876</v>
      </c>
      <c r="QLX1332" s="4" t="s">
        <v>2876</v>
      </c>
      <c r="QLY1332" s="4" t="s">
        <v>2876</v>
      </c>
      <c r="QLZ1332" s="4" t="s">
        <v>2876</v>
      </c>
      <c r="QMA1332" s="4" t="s">
        <v>2876</v>
      </c>
      <c r="QMB1332" s="4" t="s">
        <v>2876</v>
      </c>
      <c r="QMC1332" s="4" t="s">
        <v>2876</v>
      </c>
      <c r="QMD1332" s="4" t="s">
        <v>2876</v>
      </c>
      <c r="QME1332" s="4" t="s">
        <v>2876</v>
      </c>
      <c r="QMF1332" s="4" t="s">
        <v>2876</v>
      </c>
      <c r="QMG1332" s="4" t="s">
        <v>2876</v>
      </c>
      <c r="QMH1332" s="4" t="s">
        <v>2876</v>
      </c>
      <c r="QMI1332" s="4" t="s">
        <v>2876</v>
      </c>
      <c r="QMJ1332" s="4" t="s">
        <v>2876</v>
      </c>
      <c r="QMK1332" s="4" t="s">
        <v>2876</v>
      </c>
      <c r="QML1332" s="4" t="s">
        <v>2876</v>
      </c>
      <c r="QMM1332" s="4" t="s">
        <v>2876</v>
      </c>
      <c r="QMN1332" s="4" t="s">
        <v>2876</v>
      </c>
      <c r="QMO1332" s="4" t="s">
        <v>2876</v>
      </c>
      <c r="QMP1332" s="4" t="s">
        <v>2876</v>
      </c>
      <c r="QMQ1332" s="4" t="s">
        <v>2876</v>
      </c>
      <c r="QMR1332" s="4" t="s">
        <v>2876</v>
      </c>
      <c r="QMS1332" s="4" t="s">
        <v>2876</v>
      </c>
      <c r="QMT1332" s="4" t="s">
        <v>2876</v>
      </c>
      <c r="QMU1332" s="4" t="s">
        <v>2876</v>
      </c>
      <c r="QMV1332" s="4" t="s">
        <v>2876</v>
      </c>
      <c r="QMW1332" s="4" t="s">
        <v>2876</v>
      </c>
      <c r="QMX1332" s="4" t="s">
        <v>2876</v>
      </c>
      <c r="QMY1332" s="4" t="s">
        <v>2876</v>
      </c>
      <c r="QMZ1332" s="4" t="s">
        <v>2876</v>
      </c>
      <c r="QNA1332" s="4" t="s">
        <v>2876</v>
      </c>
      <c r="QNB1332" s="4" t="s">
        <v>2876</v>
      </c>
      <c r="QNC1332" s="4" t="s">
        <v>2876</v>
      </c>
      <c r="QND1332" s="4" t="s">
        <v>2876</v>
      </c>
      <c r="QNE1332" s="4" t="s">
        <v>2876</v>
      </c>
      <c r="QNF1332" s="4" t="s">
        <v>2876</v>
      </c>
      <c r="QNG1332" s="4" t="s">
        <v>2876</v>
      </c>
      <c r="QNH1332" s="4" t="s">
        <v>2876</v>
      </c>
      <c r="QNI1332" s="4" t="s">
        <v>2876</v>
      </c>
      <c r="QNJ1332" s="4" t="s">
        <v>2876</v>
      </c>
      <c r="QNK1332" s="4" t="s">
        <v>2876</v>
      </c>
      <c r="QNL1332" s="4" t="s">
        <v>2876</v>
      </c>
      <c r="QNM1332" s="4" t="s">
        <v>2876</v>
      </c>
      <c r="QNN1332" s="4" t="s">
        <v>2876</v>
      </c>
      <c r="QNO1332" s="4" t="s">
        <v>2876</v>
      </c>
      <c r="QNP1332" s="4" t="s">
        <v>2876</v>
      </c>
      <c r="QNQ1332" s="4" t="s">
        <v>2876</v>
      </c>
      <c r="QNR1332" s="4" t="s">
        <v>2876</v>
      </c>
      <c r="QNS1332" s="4" t="s">
        <v>2876</v>
      </c>
      <c r="QNT1332" s="4" t="s">
        <v>2876</v>
      </c>
      <c r="QNU1332" s="4" t="s">
        <v>2876</v>
      </c>
      <c r="QNV1332" s="4" t="s">
        <v>2876</v>
      </c>
      <c r="QNW1332" s="4" t="s">
        <v>2876</v>
      </c>
      <c r="QNX1332" s="4" t="s">
        <v>2876</v>
      </c>
      <c r="QNY1332" s="4" t="s">
        <v>2876</v>
      </c>
      <c r="QNZ1332" s="4" t="s">
        <v>2876</v>
      </c>
      <c r="QOA1332" s="4" t="s">
        <v>2876</v>
      </c>
      <c r="QOB1332" s="4" t="s">
        <v>2876</v>
      </c>
      <c r="QOC1332" s="4" t="s">
        <v>2876</v>
      </c>
      <c r="QOD1332" s="4" t="s">
        <v>2876</v>
      </c>
      <c r="QOE1332" s="4" t="s">
        <v>2876</v>
      </c>
      <c r="QOF1332" s="4" t="s">
        <v>2876</v>
      </c>
      <c r="QOG1332" s="4" t="s">
        <v>2876</v>
      </c>
      <c r="QOH1332" s="4" t="s">
        <v>2876</v>
      </c>
      <c r="QOI1332" s="4" t="s">
        <v>2876</v>
      </c>
      <c r="QOJ1332" s="4" t="s">
        <v>2876</v>
      </c>
      <c r="QOK1332" s="4" t="s">
        <v>2876</v>
      </c>
      <c r="QOL1332" s="4" t="s">
        <v>2876</v>
      </c>
      <c r="QOM1332" s="4" t="s">
        <v>2876</v>
      </c>
      <c r="QON1332" s="4" t="s">
        <v>2876</v>
      </c>
      <c r="QOO1332" s="4" t="s">
        <v>2876</v>
      </c>
      <c r="QOP1332" s="4" t="s">
        <v>2876</v>
      </c>
      <c r="QOQ1332" s="4" t="s">
        <v>2876</v>
      </c>
      <c r="QOR1332" s="4" t="s">
        <v>2876</v>
      </c>
      <c r="QOS1332" s="4" t="s">
        <v>2876</v>
      </c>
      <c r="QOT1332" s="4" t="s">
        <v>2876</v>
      </c>
      <c r="QOU1332" s="4" t="s">
        <v>2876</v>
      </c>
      <c r="QOV1332" s="4" t="s">
        <v>2876</v>
      </c>
      <c r="QOW1332" s="4" t="s">
        <v>2876</v>
      </c>
      <c r="QOX1332" s="4" t="s">
        <v>2876</v>
      </c>
      <c r="QOY1332" s="4" t="s">
        <v>2876</v>
      </c>
      <c r="QOZ1332" s="4" t="s">
        <v>2876</v>
      </c>
      <c r="QPA1332" s="4" t="s">
        <v>2876</v>
      </c>
      <c r="QPB1332" s="4" t="s">
        <v>2876</v>
      </c>
      <c r="QPC1332" s="4" t="s">
        <v>2876</v>
      </c>
      <c r="QPD1332" s="4" t="s">
        <v>2876</v>
      </c>
      <c r="QPE1332" s="4" t="s">
        <v>2876</v>
      </c>
      <c r="QPF1332" s="4" t="s">
        <v>2876</v>
      </c>
      <c r="QPG1332" s="4" t="s">
        <v>2876</v>
      </c>
      <c r="QPH1332" s="4" t="s">
        <v>2876</v>
      </c>
      <c r="QPI1332" s="4" t="s">
        <v>2876</v>
      </c>
      <c r="QPJ1332" s="4" t="s">
        <v>2876</v>
      </c>
      <c r="QPK1332" s="4" t="s">
        <v>2876</v>
      </c>
      <c r="QPL1332" s="4" t="s">
        <v>2876</v>
      </c>
      <c r="QPM1332" s="4" t="s">
        <v>2876</v>
      </c>
      <c r="QPN1332" s="4" t="s">
        <v>2876</v>
      </c>
      <c r="QPO1332" s="4" t="s">
        <v>2876</v>
      </c>
      <c r="QPP1332" s="4" t="s">
        <v>2876</v>
      </c>
      <c r="QPQ1332" s="4" t="s">
        <v>2876</v>
      </c>
      <c r="QPR1332" s="4" t="s">
        <v>2876</v>
      </c>
      <c r="QPS1332" s="4" t="s">
        <v>2876</v>
      </c>
      <c r="QPT1332" s="4" t="s">
        <v>2876</v>
      </c>
      <c r="QPU1332" s="4" t="s">
        <v>2876</v>
      </c>
      <c r="QPV1332" s="4" t="s">
        <v>2876</v>
      </c>
      <c r="QPW1332" s="4" t="s">
        <v>2876</v>
      </c>
      <c r="QPX1332" s="4" t="s">
        <v>2876</v>
      </c>
      <c r="QPY1332" s="4" t="s">
        <v>2876</v>
      </c>
      <c r="QPZ1332" s="4" t="s">
        <v>2876</v>
      </c>
      <c r="QQA1332" s="4" t="s">
        <v>2876</v>
      </c>
      <c r="QQB1332" s="4" t="s">
        <v>2876</v>
      </c>
      <c r="QQC1332" s="4" t="s">
        <v>2876</v>
      </c>
      <c r="QQD1332" s="4" t="s">
        <v>2876</v>
      </c>
      <c r="QQE1332" s="4" t="s">
        <v>2876</v>
      </c>
      <c r="QQF1332" s="4" t="s">
        <v>2876</v>
      </c>
      <c r="QQG1332" s="4" t="s">
        <v>2876</v>
      </c>
      <c r="QQH1332" s="4" t="s">
        <v>2876</v>
      </c>
      <c r="QQI1332" s="4" t="s">
        <v>2876</v>
      </c>
      <c r="QQJ1332" s="4" t="s">
        <v>2876</v>
      </c>
      <c r="QQK1332" s="4" t="s">
        <v>2876</v>
      </c>
      <c r="QQL1332" s="4" t="s">
        <v>2876</v>
      </c>
      <c r="QQM1332" s="4" t="s">
        <v>2876</v>
      </c>
      <c r="QQN1332" s="4" t="s">
        <v>2876</v>
      </c>
      <c r="QQO1332" s="4" t="s">
        <v>2876</v>
      </c>
      <c r="QQP1332" s="4" t="s">
        <v>2876</v>
      </c>
      <c r="QQQ1332" s="4" t="s">
        <v>2876</v>
      </c>
      <c r="QQR1332" s="4" t="s">
        <v>2876</v>
      </c>
      <c r="QQS1332" s="4" t="s">
        <v>2876</v>
      </c>
      <c r="QQT1332" s="4" t="s">
        <v>2876</v>
      </c>
      <c r="QQU1332" s="4" t="s">
        <v>2876</v>
      </c>
      <c r="QQV1332" s="4" t="s">
        <v>2876</v>
      </c>
      <c r="QQW1332" s="4" t="s">
        <v>2876</v>
      </c>
      <c r="QQX1332" s="4" t="s">
        <v>2876</v>
      </c>
      <c r="QQY1332" s="4" t="s">
        <v>2876</v>
      </c>
      <c r="QQZ1332" s="4" t="s">
        <v>2876</v>
      </c>
      <c r="QRA1332" s="4" t="s">
        <v>2876</v>
      </c>
      <c r="QRB1332" s="4" t="s">
        <v>2876</v>
      </c>
      <c r="QRC1332" s="4" t="s">
        <v>2876</v>
      </c>
      <c r="QRD1332" s="4" t="s">
        <v>2876</v>
      </c>
      <c r="QRE1332" s="4" t="s">
        <v>2876</v>
      </c>
      <c r="QRF1332" s="4" t="s">
        <v>2876</v>
      </c>
      <c r="QRG1332" s="4" t="s">
        <v>2876</v>
      </c>
      <c r="QRH1332" s="4" t="s">
        <v>2876</v>
      </c>
      <c r="QRI1332" s="4" t="s">
        <v>2876</v>
      </c>
      <c r="QRJ1332" s="4" t="s">
        <v>2876</v>
      </c>
      <c r="QRK1332" s="4" t="s">
        <v>2876</v>
      </c>
      <c r="QRL1332" s="4" t="s">
        <v>2876</v>
      </c>
      <c r="QRM1332" s="4" t="s">
        <v>2876</v>
      </c>
      <c r="QRN1332" s="4" t="s">
        <v>2876</v>
      </c>
      <c r="QRO1332" s="4" t="s">
        <v>2876</v>
      </c>
      <c r="QRP1332" s="4" t="s">
        <v>2876</v>
      </c>
      <c r="QRQ1332" s="4" t="s">
        <v>2876</v>
      </c>
      <c r="QRR1332" s="4" t="s">
        <v>2876</v>
      </c>
      <c r="QRS1332" s="4" t="s">
        <v>2876</v>
      </c>
      <c r="QRT1332" s="4" t="s">
        <v>2876</v>
      </c>
      <c r="QRU1332" s="4" t="s">
        <v>2876</v>
      </c>
      <c r="QRV1332" s="4" t="s">
        <v>2876</v>
      </c>
      <c r="QRW1332" s="4" t="s">
        <v>2876</v>
      </c>
      <c r="QRX1332" s="4" t="s">
        <v>2876</v>
      </c>
      <c r="QRY1332" s="4" t="s">
        <v>2876</v>
      </c>
      <c r="QRZ1332" s="4" t="s">
        <v>2876</v>
      </c>
      <c r="QSA1332" s="4" t="s">
        <v>2876</v>
      </c>
      <c r="QSB1332" s="4" t="s">
        <v>2876</v>
      </c>
      <c r="QSC1332" s="4" t="s">
        <v>2876</v>
      </c>
      <c r="QSD1332" s="4" t="s">
        <v>2876</v>
      </c>
      <c r="QSE1332" s="4" t="s">
        <v>2876</v>
      </c>
      <c r="QSF1332" s="4" t="s">
        <v>2876</v>
      </c>
      <c r="QSG1332" s="4" t="s">
        <v>2876</v>
      </c>
      <c r="QSH1332" s="4" t="s">
        <v>2876</v>
      </c>
      <c r="QSI1332" s="4" t="s">
        <v>2876</v>
      </c>
      <c r="QSJ1332" s="4" t="s">
        <v>2876</v>
      </c>
      <c r="QSK1332" s="4" t="s">
        <v>2876</v>
      </c>
      <c r="QSL1332" s="4" t="s">
        <v>2876</v>
      </c>
      <c r="QSM1332" s="4" t="s">
        <v>2876</v>
      </c>
      <c r="QSN1332" s="4" t="s">
        <v>2876</v>
      </c>
      <c r="QSO1332" s="4" t="s">
        <v>2876</v>
      </c>
      <c r="QSP1332" s="4" t="s">
        <v>2876</v>
      </c>
      <c r="QSQ1332" s="4" t="s">
        <v>2876</v>
      </c>
      <c r="QSR1332" s="4" t="s">
        <v>2876</v>
      </c>
      <c r="QSS1332" s="4" t="s">
        <v>2876</v>
      </c>
      <c r="QST1332" s="4" t="s">
        <v>2876</v>
      </c>
      <c r="QSU1332" s="4" t="s">
        <v>2876</v>
      </c>
      <c r="QSV1332" s="4" t="s">
        <v>2876</v>
      </c>
      <c r="QSW1332" s="4" t="s">
        <v>2876</v>
      </c>
      <c r="QSX1332" s="4" t="s">
        <v>2876</v>
      </c>
      <c r="QSY1332" s="4" t="s">
        <v>2876</v>
      </c>
      <c r="QSZ1332" s="4" t="s">
        <v>2876</v>
      </c>
      <c r="QTA1332" s="4" t="s">
        <v>2876</v>
      </c>
      <c r="QTB1332" s="4" t="s">
        <v>2876</v>
      </c>
      <c r="QTC1332" s="4" t="s">
        <v>2876</v>
      </c>
      <c r="QTD1332" s="4" t="s">
        <v>2876</v>
      </c>
      <c r="QTE1332" s="4" t="s">
        <v>2876</v>
      </c>
      <c r="QTF1332" s="4" t="s">
        <v>2876</v>
      </c>
      <c r="QTG1332" s="4" t="s">
        <v>2876</v>
      </c>
      <c r="QTH1332" s="4" t="s">
        <v>2876</v>
      </c>
      <c r="QTI1332" s="4" t="s">
        <v>2876</v>
      </c>
      <c r="QTJ1332" s="4" t="s">
        <v>2876</v>
      </c>
      <c r="QTK1332" s="4" t="s">
        <v>2876</v>
      </c>
      <c r="QTL1332" s="4" t="s">
        <v>2876</v>
      </c>
      <c r="QTM1332" s="4" t="s">
        <v>2876</v>
      </c>
      <c r="QTN1332" s="4" t="s">
        <v>2876</v>
      </c>
      <c r="QTO1332" s="4" t="s">
        <v>2876</v>
      </c>
      <c r="QTP1332" s="4" t="s">
        <v>2876</v>
      </c>
      <c r="QTQ1332" s="4" t="s">
        <v>2876</v>
      </c>
      <c r="QTR1332" s="4" t="s">
        <v>2876</v>
      </c>
      <c r="QTS1332" s="4" t="s">
        <v>2876</v>
      </c>
      <c r="QTT1332" s="4" t="s">
        <v>2876</v>
      </c>
      <c r="QTU1332" s="4" t="s">
        <v>2876</v>
      </c>
      <c r="QTV1332" s="4" t="s">
        <v>2876</v>
      </c>
      <c r="QTW1332" s="4" t="s">
        <v>2876</v>
      </c>
      <c r="QTX1332" s="4" t="s">
        <v>2876</v>
      </c>
      <c r="QTY1332" s="4" t="s">
        <v>2876</v>
      </c>
      <c r="QTZ1332" s="4" t="s">
        <v>2876</v>
      </c>
      <c r="QUA1332" s="4" t="s">
        <v>2876</v>
      </c>
      <c r="QUB1332" s="4" t="s">
        <v>2876</v>
      </c>
      <c r="QUC1332" s="4" t="s">
        <v>2876</v>
      </c>
      <c r="QUD1332" s="4" t="s">
        <v>2876</v>
      </c>
      <c r="QUE1332" s="4" t="s">
        <v>2876</v>
      </c>
      <c r="QUF1332" s="4" t="s">
        <v>2876</v>
      </c>
      <c r="QUG1332" s="4" t="s">
        <v>2876</v>
      </c>
      <c r="QUH1332" s="4" t="s">
        <v>2876</v>
      </c>
      <c r="QUI1332" s="4" t="s">
        <v>2876</v>
      </c>
      <c r="QUJ1332" s="4" t="s">
        <v>2876</v>
      </c>
      <c r="QUK1332" s="4" t="s">
        <v>2876</v>
      </c>
      <c r="QUL1332" s="4" t="s">
        <v>2876</v>
      </c>
      <c r="QUM1332" s="4" t="s">
        <v>2876</v>
      </c>
      <c r="QUN1332" s="4" t="s">
        <v>2876</v>
      </c>
      <c r="QUO1332" s="4" t="s">
        <v>2876</v>
      </c>
      <c r="QUP1332" s="4" t="s">
        <v>2876</v>
      </c>
      <c r="QUQ1332" s="4" t="s">
        <v>2876</v>
      </c>
      <c r="QUR1332" s="4" t="s">
        <v>2876</v>
      </c>
      <c r="QUS1332" s="4" t="s">
        <v>2876</v>
      </c>
      <c r="QUT1332" s="4" t="s">
        <v>2876</v>
      </c>
      <c r="QUU1332" s="4" t="s">
        <v>2876</v>
      </c>
      <c r="QUV1332" s="4" t="s">
        <v>2876</v>
      </c>
      <c r="QUW1332" s="4" t="s">
        <v>2876</v>
      </c>
      <c r="QUX1332" s="4" t="s">
        <v>2876</v>
      </c>
      <c r="QUY1332" s="4" t="s">
        <v>2876</v>
      </c>
      <c r="QUZ1332" s="4" t="s">
        <v>2876</v>
      </c>
      <c r="QVA1332" s="4" t="s">
        <v>2876</v>
      </c>
      <c r="QVB1332" s="4" t="s">
        <v>2876</v>
      </c>
      <c r="QVC1332" s="4" t="s">
        <v>2876</v>
      </c>
      <c r="QVD1332" s="4" t="s">
        <v>2876</v>
      </c>
      <c r="QVE1332" s="4" t="s">
        <v>2876</v>
      </c>
      <c r="QVF1332" s="4" t="s">
        <v>2876</v>
      </c>
      <c r="QVG1332" s="4" t="s">
        <v>2876</v>
      </c>
      <c r="QVH1332" s="4" t="s">
        <v>2876</v>
      </c>
      <c r="QVI1332" s="4" t="s">
        <v>2876</v>
      </c>
      <c r="QVJ1332" s="4" t="s">
        <v>2876</v>
      </c>
      <c r="QVK1332" s="4" t="s">
        <v>2876</v>
      </c>
      <c r="QVL1332" s="4" t="s">
        <v>2876</v>
      </c>
      <c r="QVM1332" s="4" t="s">
        <v>2876</v>
      </c>
      <c r="QVN1332" s="4" t="s">
        <v>2876</v>
      </c>
      <c r="QVO1332" s="4" t="s">
        <v>2876</v>
      </c>
      <c r="QVP1332" s="4" t="s">
        <v>2876</v>
      </c>
      <c r="QVQ1332" s="4" t="s">
        <v>2876</v>
      </c>
      <c r="QVR1332" s="4" t="s">
        <v>2876</v>
      </c>
      <c r="QVS1332" s="4" t="s">
        <v>2876</v>
      </c>
      <c r="QVT1332" s="4" t="s">
        <v>2876</v>
      </c>
      <c r="QVU1332" s="4" t="s">
        <v>2876</v>
      </c>
      <c r="QVV1332" s="4" t="s">
        <v>2876</v>
      </c>
      <c r="QVW1332" s="4" t="s">
        <v>2876</v>
      </c>
      <c r="QVX1332" s="4" t="s">
        <v>2876</v>
      </c>
      <c r="QVY1332" s="4" t="s">
        <v>2876</v>
      </c>
      <c r="QVZ1332" s="4" t="s">
        <v>2876</v>
      </c>
      <c r="QWA1332" s="4" t="s">
        <v>2876</v>
      </c>
      <c r="QWB1332" s="4" t="s">
        <v>2876</v>
      </c>
      <c r="QWC1332" s="4" t="s">
        <v>2876</v>
      </c>
      <c r="QWD1332" s="4" t="s">
        <v>2876</v>
      </c>
      <c r="QWE1332" s="4" t="s">
        <v>2876</v>
      </c>
      <c r="QWF1332" s="4" t="s">
        <v>2876</v>
      </c>
      <c r="QWG1332" s="4" t="s">
        <v>2876</v>
      </c>
      <c r="QWH1332" s="4" t="s">
        <v>2876</v>
      </c>
      <c r="QWI1332" s="4" t="s">
        <v>2876</v>
      </c>
      <c r="QWJ1332" s="4" t="s">
        <v>2876</v>
      </c>
      <c r="QWK1332" s="4" t="s">
        <v>2876</v>
      </c>
      <c r="QWL1332" s="4" t="s">
        <v>2876</v>
      </c>
      <c r="QWM1332" s="4" t="s">
        <v>2876</v>
      </c>
      <c r="QWN1332" s="4" t="s">
        <v>2876</v>
      </c>
      <c r="QWO1332" s="4" t="s">
        <v>2876</v>
      </c>
      <c r="QWP1332" s="4" t="s">
        <v>2876</v>
      </c>
      <c r="QWQ1332" s="4" t="s">
        <v>2876</v>
      </c>
      <c r="QWR1332" s="4" t="s">
        <v>2876</v>
      </c>
      <c r="QWS1332" s="4" t="s">
        <v>2876</v>
      </c>
      <c r="QWT1332" s="4" t="s">
        <v>2876</v>
      </c>
      <c r="QWU1332" s="4" t="s">
        <v>2876</v>
      </c>
      <c r="QWV1332" s="4" t="s">
        <v>2876</v>
      </c>
      <c r="QWW1332" s="4" t="s">
        <v>2876</v>
      </c>
      <c r="QWX1332" s="4" t="s">
        <v>2876</v>
      </c>
      <c r="QWY1332" s="4" t="s">
        <v>2876</v>
      </c>
      <c r="QWZ1332" s="4" t="s">
        <v>2876</v>
      </c>
      <c r="QXA1332" s="4" t="s">
        <v>2876</v>
      </c>
      <c r="QXB1332" s="4" t="s">
        <v>2876</v>
      </c>
      <c r="QXC1332" s="4" t="s">
        <v>2876</v>
      </c>
      <c r="QXD1332" s="4" t="s">
        <v>2876</v>
      </c>
      <c r="QXE1332" s="4" t="s">
        <v>2876</v>
      </c>
      <c r="QXF1332" s="4" t="s">
        <v>2876</v>
      </c>
      <c r="QXG1332" s="4" t="s">
        <v>2876</v>
      </c>
      <c r="QXH1332" s="4" t="s">
        <v>2876</v>
      </c>
      <c r="QXI1332" s="4" t="s">
        <v>2876</v>
      </c>
      <c r="QXJ1332" s="4" t="s">
        <v>2876</v>
      </c>
      <c r="QXK1332" s="4" t="s">
        <v>2876</v>
      </c>
      <c r="QXL1332" s="4" t="s">
        <v>2876</v>
      </c>
      <c r="QXM1332" s="4" t="s">
        <v>2876</v>
      </c>
      <c r="QXN1332" s="4" t="s">
        <v>2876</v>
      </c>
      <c r="QXO1332" s="4" t="s">
        <v>2876</v>
      </c>
      <c r="QXP1332" s="4" t="s">
        <v>2876</v>
      </c>
      <c r="QXQ1332" s="4" t="s">
        <v>2876</v>
      </c>
      <c r="QXR1332" s="4" t="s">
        <v>2876</v>
      </c>
      <c r="QXS1332" s="4" t="s">
        <v>2876</v>
      </c>
      <c r="QXT1332" s="4" t="s">
        <v>2876</v>
      </c>
      <c r="QXU1332" s="4" t="s">
        <v>2876</v>
      </c>
      <c r="QXV1332" s="4" t="s">
        <v>2876</v>
      </c>
      <c r="QXW1332" s="4" t="s">
        <v>2876</v>
      </c>
      <c r="QXX1332" s="4" t="s">
        <v>2876</v>
      </c>
      <c r="QXY1332" s="4" t="s">
        <v>2876</v>
      </c>
      <c r="QXZ1332" s="4" t="s">
        <v>2876</v>
      </c>
      <c r="QYA1332" s="4" t="s">
        <v>2876</v>
      </c>
      <c r="QYB1332" s="4" t="s">
        <v>2876</v>
      </c>
      <c r="QYC1332" s="4" t="s">
        <v>2876</v>
      </c>
      <c r="QYD1332" s="4" t="s">
        <v>2876</v>
      </c>
      <c r="QYE1332" s="4" t="s">
        <v>2876</v>
      </c>
      <c r="QYF1332" s="4" t="s">
        <v>2876</v>
      </c>
      <c r="QYG1332" s="4" t="s">
        <v>2876</v>
      </c>
      <c r="QYH1332" s="4" t="s">
        <v>2876</v>
      </c>
      <c r="QYI1332" s="4" t="s">
        <v>2876</v>
      </c>
      <c r="QYJ1332" s="4" t="s">
        <v>2876</v>
      </c>
      <c r="QYK1332" s="4" t="s">
        <v>2876</v>
      </c>
      <c r="QYL1332" s="4" t="s">
        <v>2876</v>
      </c>
      <c r="QYM1332" s="4" t="s">
        <v>2876</v>
      </c>
      <c r="QYN1332" s="4" t="s">
        <v>2876</v>
      </c>
      <c r="QYO1332" s="4" t="s">
        <v>2876</v>
      </c>
      <c r="QYP1332" s="4" t="s">
        <v>2876</v>
      </c>
      <c r="QYQ1332" s="4" t="s">
        <v>2876</v>
      </c>
      <c r="QYR1332" s="4" t="s">
        <v>2876</v>
      </c>
      <c r="QYS1332" s="4" t="s">
        <v>2876</v>
      </c>
      <c r="QYT1332" s="4" t="s">
        <v>2876</v>
      </c>
      <c r="QYU1332" s="4" t="s">
        <v>2876</v>
      </c>
      <c r="QYV1332" s="4" t="s">
        <v>2876</v>
      </c>
      <c r="QYW1332" s="4" t="s">
        <v>2876</v>
      </c>
      <c r="QYX1332" s="4" t="s">
        <v>2876</v>
      </c>
      <c r="QYY1332" s="4" t="s">
        <v>2876</v>
      </c>
      <c r="QYZ1332" s="4" t="s">
        <v>2876</v>
      </c>
      <c r="QZA1332" s="4" t="s">
        <v>2876</v>
      </c>
      <c r="QZB1332" s="4" t="s">
        <v>2876</v>
      </c>
      <c r="QZC1332" s="4" t="s">
        <v>2876</v>
      </c>
      <c r="QZD1332" s="4" t="s">
        <v>2876</v>
      </c>
      <c r="QZE1332" s="4" t="s">
        <v>2876</v>
      </c>
      <c r="QZF1332" s="4" t="s">
        <v>2876</v>
      </c>
      <c r="QZG1332" s="4" t="s">
        <v>2876</v>
      </c>
      <c r="QZH1332" s="4" t="s">
        <v>2876</v>
      </c>
      <c r="QZI1332" s="4" t="s">
        <v>2876</v>
      </c>
      <c r="QZJ1332" s="4" t="s">
        <v>2876</v>
      </c>
      <c r="QZK1332" s="4" t="s">
        <v>2876</v>
      </c>
      <c r="QZL1332" s="4" t="s">
        <v>2876</v>
      </c>
      <c r="QZM1332" s="4" t="s">
        <v>2876</v>
      </c>
      <c r="QZN1332" s="4" t="s">
        <v>2876</v>
      </c>
      <c r="QZO1332" s="4" t="s">
        <v>2876</v>
      </c>
      <c r="QZP1332" s="4" t="s">
        <v>2876</v>
      </c>
      <c r="QZQ1332" s="4" t="s">
        <v>2876</v>
      </c>
      <c r="QZR1332" s="4" t="s">
        <v>2876</v>
      </c>
      <c r="QZS1332" s="4" t="s">
        <v>2876</v>
      </c>
      <c r="QZT1332" s="4" t="s">
        <v>2876</v>
      </c>
      <c r="QZU1332" s="4" t="s">
        <v>2876</v>
      </c>
      <c r="QZV1332" s="4" t="s">
        <v>2876</v>
      </c>
      <c r="QZW1332" s="4" t="s">
        <v>2876</v>
      </c>
      <c r="QZX1332" s="4" t="s">
        <v>2876</v>
      </c>
      <c r="QZY1332" s="4" t="s">
        <v>2876</v>
      </c>
      <c r="QZZ1332" s="4" t="s">
        <v>2876</v>
      </c>
      <c r="RAA1332" s="4" t="s">
        <v>2876</v>
      </c>
      <c r="RAB1332" s="4" t="s">
        <v>2876</v>
      </c>
      <c r="RAC1332" s="4" t="s">
        <v>2876</v>
      </c>
      <c r="RAD1332" s="4" t="s">
        <v>2876</v>
      </c>
      <c r="RAE1332" s="4" t="s">
        <v>2876</v>
      </c>
      <c r="RAF1332" s="4" t="s">
        <v>2876</v>
      </c>
      <c r="RAG1332" s="4" t="s">
        <v>2876</v>
      </c>
      <c r="RAH1332" s="4" t="s">
        <v>2876</v>
      </c>
      <c r="RAI1332" s="4" t="s">
        <v>2876</v>
      </c>
      <c r="RAJ1332" s="4" t="s">
        <v>2876</v>
      </c>
      <c r="RAK1332" s="4" t="s">
        <v>2876</v>
      </c>
      <c r="RAL1332" s="4" t="s">
        <v>2876</v>
      </c>
      <c r="RAM1332" s="4" t="s">
        <v>2876</v>
      </c>
      <c r="RAN1332" s="4" t="s">
        <v>2876</v>
      </c>
      <c r="RAO1332" s="4" t="s">
        <v>2876</v>
      </c>
      <c r="RAP1332" s="4" t="s">
        <v>2876</v>
      </c>
      <c r="RAQ1332" s="4" t="s">
        <v>2876</v>
      </c>
      <c r="RAR1332" s="4" t="s">
        <v>2876</v>
      </c>
      <c r="RAS1332" s="4" t="s">
        <v>2876</v>
      </c>
      <c r="RAT1332" s="4" t="s">
        <v>2876</v>
      </c>
      <c r="RAU1332" s="4" t="s">
        <v>2876</v>
      </c>
      <c r="RAV1332" s="4" t="s">
        <v>2876</v>
      </c>
      <c r="RAW1332" s="4" t="s">
        <v>2876</v>
      </c>
      <c r="RAX1332" s="4" t="s">
        <v>2876</v>
      </c>
      <c r="RAY1332" s="4" t="s">
        <v>2876</v>
      </c>
      <c r="RAZ1332" s="4" t="s">
        <v>2876</v>
      </c>
      <c r="RBA1332" s="4" t="s">
        <v>2876</v>
      </c>
      <c r="RBB1332" s="4" t="s">
        <v>2876</v>
      </c>
      <c r="RBC1332" s="4" t="s">
        <v>2876</v>
      </c>
      <c r="RBD1332" s="4" t="s">
        <v>2876</v>
      </c>
      <c r="RBE1332" s="4" t="s">
        <v>2876</v>
      </c>
      <c r="RBF1332" s="4" t="s">
        <v>2876</v>
      </c>
      <c r="RBG1332" s="4" t="s">
        <v>2876</v>
      </c>
      <c r="RBH1332" s="4" t="s">
        <v>2876</v>
      </c>
      <c r="RBI1332" s="4" t="s">
        <v>2876</v>
      </c>
      <c r="RBJ1332" s="4" t="s">
        <v>2876</v>
      </c>
      <c r="RBK1332" s="4" t="s">
        <v>2876</v>
      </c>
      <c r="RBL1332" s="4" t="s">
        <v>2876</v>
      </c>
      <c r="RBM1332" s="4" t="s">
        <v>2876</v>
      </c>
      <c r="RBN1332" s="4" t="s">
        <v>2876</v>
      </c>
      <c r="RBO1332" s="4" t="s">
        <v>2876</v>
      </c>
      <c r="RBP1332" s="4" t="s">
        <v>2876</v>
      </c>
      <c r="RBQ1332" s="4" t="s">
        <v>2876</v>
      </c>
      <c r="RBR1332" s="4" t="s">
        <v>2876</v>
      </c>
      <c r="RBS1332" s="4" t="s">
        <v>2876</v>
      </c>
      <c r="RBT1332" s="4" t="s">
        <v>2876</v>
      </c>
      <c r="RBU1332" s="4" t="s">
        <v>2876</v>
      </c>
      <c r="RBV1332" s="4" t="s">
        <v>2876</v>
      </c>
      <c r="RBW1332" s="4" t="s">
        <v>2876</v>
      </c>
      <c r="RBX1332" s="4" t="s">
        <v>2876</v>
      </c>
      <c r="RBY1332" s="4" t="s">
        <v>2876</v>
      </c>
      <c r="RBZ1332" s="4" t="s">
        <v>2876</v>
      </c>
      <c r="RCA1332" s="4" t="s">
        <v>2876</v>
      </c>
      <c r="RCB1332" s="4" t="s">
        <v>2876</v>
      </c>
      <c r="RCC1332" s="4" t="s">
        <v>2876</v>
      </c>
      <c r="RCD1332" s="4" t="s">
        <v>2876</v>
      </c>
      <c r="RCE1332" s="4" t="s">
        <v>2876</v>
      </c>
      <c r="RCF1332" s="4" t="s">
        <v>2876</v>
      </c>
      <c r="RCG1332" s="4" t="s">
        <v>2876</v>
      </c>
      <c r="RCH1332" s="4" t="s">
        <v>2876</v>
      </c>
      <c r="RCI1332" s="4" t="s">
        <v>2876</v>
      </c>
      <c r="RCJ1332" s="4" t="s">
        <v>2876</v>
      </c>
      <c r="RCK1332" s="4" t="s">
        <v>2876</v>
      </c>
      <c r="RCL1332" s="4" t="s">
        <v>2876</v>
      </c>
      <c r="RCM1332" s="4" t="s">
        <v>2876</v>
      </c>
      <c r="RCN1332" s="4" t="s">
        <v>2876</v>
      </c>
      <c r="RCO1332" s="4" t="s">
        <v>2876</v>
      </c>
      <c r="RCP1332" s="4" t="s">
        <v>2876</v>
      </c>
      <c r="RCQ1332" s="4" t="s">
        <v>2876</v>
      </c>
      <c r="RCR1332" s="4" t="s">
        <v>2876</v>
      </c>
      <c r="RCS1332" s="4" t="s">
        <v>2876</v>
      </c>
      <c r="RCT1332" s="4" t="s">
        <v>2876</v>
      </c>
      <c r="RCU1332" s="4" t="s">
        <v>2876</v>
      </c>
      <c r="RCV1332" s="4" t="s">
        <v>2876</v>
      </c>
      <c r="RCW1332" s="4" t="s">
        <v>2876</v>
      </c>
      <c r="RCX1332" s="4" t="s">
        <v>2876</v>
      </c>
      <c r="RCY1332" s="4" t="s">
        <v>2876</v>
      </c>
      <c r="RCZ1332" s="4" t="s">
        <v>2876</v>
      </c>
      <c r="RDA1332" s="4" t="s">
        <v>2876</v>
      </c>
      <c r="RDB1332" s="4" t="s">
        <v>2876</v>
      </c>
      <c r="RDC1332" s="4" t="s">
        <v>2876</v>
      </c>
      <c r="RDD1332" s="4" t="s">
        <v>2876</v>
      </c>
      <c r="RDE1332" s="4" t="s">
        <v>2876</v>
      </c>
      <c r="RDF1332" s="4" t="s">
        <v>2876</v>
      </c>
      <c r="RDG1332" s="4" t="s">
        <v>2876</v>
      </c>
      <c r="RDH1332" s="4" t="s">
        <v>2876</v>
      </c>
      <c r="RDI1332" s="4" t="s">
        <v>2876</v>
      </c>
      <c r="RDJ1332" s="4" t="s">
        <v>2876</v>
      </c>
      <c r="RDK1332" s="4" t="s">
        <v>2876</v>
      </c>
      <c r="RDL1332" s="4" t="s">
        <v>2876</v>
      </c>
      <c r="RDM1332" s="4" t="s">
        <v>2876</v>
      </c>
      <c r="RDN1332" s="4" t="s">
        <v>2876</v>
      </c>
      <c r="RDO1332" s="4" t="s">
        <v>2876</v>
      </c>
      <c r="RDP1332" s="4" t="s">
        <v>2876</v>
      </c>
      <c r="RDQ1332" s="4" t="s">
        <v>2876</v>
      </c>
      <c r="RDR1332" s="4" t="s">
        <v>2876</v>
      </c>
      <c r="RDS1332" s="4" t="s">
        <v>2876</v>
      </c>
      <c r="RDT1332" s="4" t="s">
        <v>2876</v>
      </c>
      <c r="RDU1332" s="4" t="s">
        <v>2876</v>
      </c>
      <c r="RDV1332" s="4" t="s">
        <v>2876</v>
      </c>
      <c r="RDW1332" s="4" t="s">
        <v>2876</v>
      </c>
      <c r="RDX1332" s="4" t="s">
        <v>2876</v>
      </c>
      <c r="RDY1332" s="4" t="s">
        <v>2876</v>
      </c>
      <c r="RDZ1332" s="4" t="s">
        <v>2876</v>
      </c>
      <c r="REA1332" s="4" t="s">
        <v>2876</v>
      </c>
      <c r="REB1332" s="4" t="s">
        <v>2876</v>
      </c>
      <c r="REC1332" s="4" t="s">
        <v>2876</v>
      </c>
      <c r="RED1332" s="4" t="s">
        <v>2876</v>
      </c>
      <c r="REE1332" s="4" t="s">
        <v>2876</v>
      </c>
      <c r="REF1332" s="4" t="s">
        <v>2876</v>
      </c>
      <c r="REG1332" s="4" t="s">
        <v>2876</v>
      </c>
      <c r="REH1332" s="4" t="s">
        <v>2876</v>
      </c>
      <c r="REI1332" s="4" t="s">
        <v>2876</v>
      </c>
      <c r="REJ1332" s="4" t="s">
        <v>2876</v>
      </c>
      <c r="REK1332" s="4" t="s">
        <v>2876</v>
      </c>
      <c r="REL1332" s="4" t="s">
        <v>2876</v>
      </c>
      <c r="REM1332" s="4" t="s">
        <v>2876</v>
      </c>
      <c r="REN1332" s="4" t="s">
        <v>2876</v>
      </c>
      <c r="REO1332" s="4" t="s">
        <v>2876</v>
      </c>
      <c r="REP1332" s="4" t="s">
        <v>2876</v>
      </c>
      <c r="REQ1332" s="4" t="s">
        <v>2876</v>
      </c>
      <c r="RER1332" s="4" t="s">
        <v>2876</v>
      </c>
      <c r="RES1332" s="4" t="s">
        <v>2876</v>
      </c>
      <c r="RET1332" s="4" t="s">
        <v>2876</v>
      </c>
      <c r="REU1332" s="4" t="s">
        <v>2876</v>
      </c>
      <c r="REV1332" s="4" t="s">
        <v>2876</v>
      </c>
      <c r="REW1332" s="4" t="s">
        <v>2876</v>
      </c>
      <c r="REX1332" s="4" t="s">
        <v>2876</v>
      </c>
      <c r="REY1332" s="4" t="s">
        <v>2876</v>
      </c>
      <c r="REZ1332" s="4" t="s">
        <v>2876</v>
      </c>
      <c r="RFA1332" s="4" t="s">
        <v>2876</v>
      </c>
      <c r="RFB1332" s="4" t="s">
        <v>2876</v>
      </c>
      <c r="RFC1332" s="4" t="s">
        <v>2876</v>
      </c>
      <c r="RFD1332" s="4" t="s">
        <v>2876</v>
      </c>
      <c r="RFE1332" s="4" t="s">
        <v>2876</v>
      </c>
      <c r="RFF1332" s="4" t="s">
        <v>2876</v>
      </c>
      <c r="RFG1332" s="4" t="s">
        <v>2876</v>
      </c>
      <c r="RFH1332" s="4" t="s">
        <v>2876</v>
      </c>
      <c r="RFI1332" s="4" t="s">
        <v>2876</v>
      </c>
      <c r="RFJ1332" s="4" t="s">
        <v>2876</v>
      </c>
      <c r="RFK1332" s="4" t="s">
        <v>2876</v>
      </c>
      <c r="RFL1332" s="4" t="s">
        <v>2876</v>
      </c>
      <c r="RFM1332" s="4" t="s">
        <v>2876</v>
      </c>
      <c r="RFN1332" s="4" t="s">
        <v>2876</v>
      </c>
      <c r="RFO1332" s="4" t="s">
        <v>2876</v>
      </c>
      <c r="RFP1332" s="4" t="s">
        <v>2876</v>
      </c>
      <c r="RFQ1332" s="4" t="s">
        <v>2876</v>
      </c>
      <c r="RFR1332" s="4" t="s">
        <v>2876</v>
      </c>
      <c r="RFS1332" s="4" t="s">
        <v>2876</v>
      </c>
      <c r="RFT1332" s="4" t="s">
        <v>2876</v>
      </c>
      <c r="RFU1332" s="4" t="s">
        <v>2876</v>
      </c>
      <c r="RFV1332" s="4" t="s">
        <v>2876</v>
      </c>
      <c r="RFW1332" s="4" t="s">
        <v>2876</v>
      </c>
      <c r="RFX1332" s="4" t="s">
        <v>2876</v>
      </c>
      <c r="RFY1332" s="4" t="s">
        <v>2876</v>
      </c>
      <c r="RFZ1332" s="4" t="s">
        <v>2876</v>
      </c>
      <c r="RGA1332" s="4" t="s">
        <v>2876</v>
      </c>
      <c r="RGB1332" s="4" t="s">
        <v>2876</v>
      </c>
      <c r="RGC1332" s="4" t="s">
        <v>2876</v>
      </c>
      <c r="RGD1332" s="4" t="s">
        <v>2876</v>
      </c>
      <c r="RGE1332" s="4" t="s">
        <v>2876</v>
      </c>
      <c r="RGF1332" s="4" t="s">
        <v>2876</v>
      </c>
      <c r="RGG1332" s="4" t="s">
        <v>2876</v>
      </c>
      <c r="RGH1332" s="4" t="s">
        <v>2876</v>
      </c>
      <c r="RGI1332" s="4" t="s">
        <v>2876</v>
      </c>
      <c r="RGJ1332" s="4" t="s">
        <v>2876</v>
      </c>
      <c r="RGK1332" s="4" t="s">
        <v>2876</v>
      </c>
      <c r="RGL1332" s="4" t="s">
        <v>2876</v>
      </c>
      <c r="RGM1332" s="4" t="s">
        <v>2876</v>
      </c>
      <c r="RGN1332" s="4" t="s">
        <v>2876</v>
      </c>
      <c r="RGO1332" s="4" t="s">
        <v>2876</v>
      </c>
      <c r="RGP1332" s="4" t="s">
        <v>2876</v>
      </c>
      <c r="RGQ1332" s="4" t="s">
        <v>2876</v>
      </c>
      <c r="RGR1332" s="4" t="s">
        <v>2876</v>
      </c>
      <c r="RGS1332" s="4" t="s">
        <v>2876</v>
      </c>
      <c r="RGT1332" s="4" t="s">
        <v>2876</v>
      </c>
      <c r="RGU1332" s="4" t="s">
        <v>2876</v>
      </c>
      <c r="RGV1332" s="4" t="s">
        <v>2876</v>
      </c>
      <c r="RGW1332" s="4" t="s">
        <v>2876</v>
      </c>
      <c r="RGX1332" s="4" t="s">
        <v>2876</v>
      </c>
      <c r="RGY1332" s="4" t="s">
        <v>2876</v>
      </c>
      <c r="RGZ1332" s="4" t="s">
        <v>2876</v>
      </c>
      <c r="RHA1332" s="4" t="s">
        <v>2876</v>
      </c>
      <c r="RHB1332" s="4" t="s">
        <v>2876</v>
      </c>
      <c r="RHC1332" s="4" t="s">
        <v>2876</v>
      </c>
      <c r="RHD1332" s="4" t="s">
        <v>2876</v>
      </c>
      <c r="RHE1332" s="4" t="s">
        <v>2876</v>
      </c>
      <c r="RHF1332" s="4" t="s">
        <v>2876</v>
      </c>
      <c r="RHG1332" s="4" t="s">
        <v>2876</v>
      </c>
      <c r="RHH1332" s="4" t="s">
        <v>2876</v>
      </c>
      <c r="RHI1332" s="4" t="s">
        <v>2876</v>
      </c>
      <c r="RHJ1332" s="4" t="s">
        <v>2876</v>
      </c>
      <c r="RHK1332" s="4" t="s">
        <v>2876</v>
      </c>
      <c r="RHL1332" s="4" t="s">
        <v>2876</v>
      </c>
      <c r="RHM1332" s="4" t="s">
        <v>2876</v>
      </c>
      <c r="RHN1332" s="4" t="s">
        <v>2876</v>
      </c>
      <c r="RHO1332" s="4" t="s">
        <v>2876</v>
      </c>
      <c r="RHP1332" s="4" t="s">
        <v>2876</v>
      </c>
      <c r="RHQ1332" s="4" t="s">
        <v>2876</v>
      </c>
      <c r="RHR1332" s="4" t="s">
        <v>2876</v>
      </c>
      <c r="RHS1332" s="4" t="s">
        <v>2876</v>
      </c>
      <c r="RHT1332" s="4" t="s">
        <v>2876</v>
      </c>
      <c r="RHU1332" s="4" t="s">
        <v>2876</v>
      </c>
      <c r="RHV1332" s="4" t="s">
        <v>2876</v>
      </c>
      <c r="RHW1332" s="4" t="s">
        <v>2876</v>
      </c>
      <c r="RHX1332" s="4" t="s">
        <v>2876</v>
      </c>
      <c r="RHY1332" s="4" t="s">
        <v>2876</v>
      </c>
      <c r="RHZ1332" s="4" t="s">
        <v>2876</v>
      </c>
      <c r="RIA1332" s="4" t="s">
        <v>2876</v>
      </c>
      <c r="RIB1332" s="4" t="s">
        <v>2876</v>
      </c>
      <c r="RIC1332" s="4" t="s">
        <v>2876</v>
      </c>
      <c r="RID1332" s="4" t="s">
        <v>2876</v>
      </c>
      <c r="RIE1332" s="4" t="s">
        <v>2876</v>
      </c>
      <c r="RIF1332" s="4" t="s">
        <v>2876</v>
      </c>
      <c r="RIG1332" s="4" t="s">
        <v>2876</v>
      </c>
      <c r="RIH1332" s="4" t="s">
        <v>2876</v>
      </c>
      <c r="RII1332" s="4" t="s">
        <v>2876</v>
      </c>
      <c r="RIJ1332" s="4" t="s">
        <v>2876</v>
      </c>
      <c r="RIK1332" s="4" t="s">
        <v>2876</v>
      </c>
      <c r="RIL1332" s="4" t="s">
        <v>2876</v>
      </c>
      <c r="RIM1332" s="4" t="s">
        <v>2876</v>
      </c>
      <c r="RIN1332" s="4" t="s">
        <v>2876</v>
      </c>
      <c r="RIO1332" s="4" t="s">
        <v>2876</v>
      </c>
      <c r="RIP1332" s="4" t="s">
        <v>2876</v>
      </c>
      <c r="RIQ1332" s="4" t="s">
        <v>2876</v>
      </c>
      <c r="RIR1332" s="4" t="s">
        <v>2876</v>
      </c>
      <c r="RIS1332" s="4" t="s">
        <v>2876</v>
      </c>
      <c r="RIT1332" s="4" t="s">
        <v>2876</v>
      </c>
      <c r="RIU1332" s="4" t="s">
        <v>2876</v>
      </c>
      <c r="RIV1332" s="4" t="s">
        <v>2876</v>
      </c>
      <c r="RIW1332" s="4" t="s">
        <v>2876</v>
      </c>
      <c r="RIX1332" s="4" t="s">
        <v>2876</v>
      </c>
      <c r="RIY1332" s="4" t="s">
        <v>2876</v>
      </c>
      <c r="RIZ1332" s="4" t="s">
        <v>2876</v>
      </c>
      <c r="RJA1332" s="4" t="s">
        <v>2876</v>
      </c>
      <c r="RJB1332" s="4" t="s">
        <v>2876</v>
      </c>
      <c r="RJC1332" s="4" t="s">
        <v>2876</v>
      </c>
      <c r="RJD1332" s="4" t="s">
        <v>2876</v>
      </c>
      <c r="RJE1332" s="4" t="s">
        <v>2876</v>
      </c>
      <c r="RJF1332" s="4" t="s">
        <v>2876</v>
      </c>
      <c r="RJG1332" s="4" t="s">
        <v>2876</v>
      </c>
      <c r="RJH1332" s="4" t="s">
        <v>2876</v>
      </c>
      <c r="RJI1332" s="4" t="s">
        <v>2876</v>
      </c>
      <c r="RJJ1332" s="4" t="s">
        <v>2876</v>
      </c>
      <c r="RJK1332" s="4" t="s">
        <v>2876</v>
      </c>
      <c r="RJL1332" s="4" t="s">
        <v>2876</v>
      </c>
      <c r="RJM1332" s="4" t="s">
        <v>2876</v>
      </c>
      <c r="RJN1332" s="4" t="s">
        <v>2876</v>
      </c>
      <c r="RJO1332" s="4" t="s">
        <v>2876</v>
      </c>
      <c r="RJP1332" s="4" t="s">
        <v>2876</v>
      </c>
      <c r="RJQ1332" s="4" t="s">
        <v>2876</v>
      </c>
      <c r="RJR1332" s="4" t="s">
        <v>2876</v>
      </c>
      <c r="RJS1332" s="4" t="s">
        <v>2876</v>
      </c>
      <c r="RJT1332" s="4" t="s">
        <v>2876</v>
      </c>
      <c r="RJU1332" s="4" t="s">
        <v>2876</v>
      </c>
      <c r="RJV1332" s="4" t="s">
        <v>2876</v>
      </c>
      <c r="RJW1332" s="4" t="s">
        <v>2876</v>
      </c>
      <c r="RJX1332" s="4" t="s">
        <v>2876</v>
      </c>
      <c r="RJY1332" s="4" t="s">
        <v>2876</v>
      </c>
      <c r="RJZ1332" s="4" t="s">
        <v>2876</v>
      </c>
      <c r="RKA1332" s="4" t="s">
        <v>2876</v>
      </c>
      <c r="RKB1332" s="4" t="s">
        <v>2876</v>
      </c>
      <c r="RKC1332" s="4" t="s">
        <v>2876</v>
      </c>
      <c r="RKD1332" s="4" t="s">
        <v>2876</v>
      </c>
      <c r="RKE1332" s="4" t="s">
        <v>2876</v>
      </c>
      <c r="RKF1332" s="4" t="s">
        <v>2876</v>
      </c>
      <c r="RKG1332" s="4" t="s">
        <v>2876</v>
      </c>
      <c r="RKH1332" s="4" t="s">
        <v>2876</v>
      </c>
      <c r="RKI1332" s="4" t="s">
        <v>2876</v>
      </c>
      <c r="RKJ1332" s="4" t="s">
        <v>2876</v>
      </c>
      <c r="RKK1332" s="4" t="s">
        <v>2876</v>
      </c>
      <c r="RKL1332" s="4" t="s">
        <v>2876</v>
      </c>
      <c r="RKM1332" s="4" t="s">
        <v>2876</v>
      </c>
      <c r="RKN1332" s="4" t="s">
        <v>2876</v>
      </c>
      <c r="RKO1332" s="4" t="s">
        <v>2876</v>
      </c>
      <c r="RKP1332" s="4" t="s">
        <v>2876</v>
      </c>
      <c r="RKQ1332" s="4" t="s">
        <v>2876</v>
      </c>
      <c r="RKR1332" s="4" t="s">
        <v>2876</v>
      </c>
      <c r="RKS1332" s="4" t="s">
        <v>2876</v>
      </c>
      <c r="RKT1332" s="4" t="s">
        <v>2876</v>
      </c>
      <c r="RKU1332" s="4" t="s">
        <v>2876</v>
      </c>
      <c r="RKV1332" s="4" t="s">
        <v>2876</v>
      </c>
      <c r="RKW1332" s="4" t="s">
        <v>2876</v>
      </c>
      <c r="RKX1332" s="4" t="s">
        <v>2876</v>
      </c>
      <c r="RKY1332" s="4" t="s">
        <v>2876</v>
      </c>
      <c r="RKZ1332" s="4" t="s">
        <v>2876</v>
      </c>
      <c r="RLA1332" s="4" t="s">
        <v>2876</v>
      </c>
      <c r="RLB1332" s="4" t="s">
        <v>2876</v>
      </c>
      <c r="RLC1332" s="4" t="s">
        <v>2876</v>
      </c>
      <c r="RLD1332" s="4" t="s">
        <v>2876</v>
      </c>
      <c r="RLE1332" s="4" t="s">
        <v>2876</v>
      </c>
      <c r="RLF1332" s="4" t="s">
        <v>2876</v>
      </c>
      <c r="RLG1332" s="4" t="s">
        <v>2876</v>
      </c>
      <c r="RLH1332" s="4" t="s">
        <v>2876</v>
      </c>
      <c r="RLI1332" s="4" t="s">
        <v>2876</v>
      </c>
      <c r="RLJ1332" s="4" t="s">
        <v>2876</v>
      </c>
      <c r="RLK1332" s="4" t="s">
        <v>2876</v>
      </c>
      <c r="RLL1332" s="4" t="s">
        <v>2876</v>
      </c>
      <c r="RLM1332" s="4" t="s">
        <v>2876</v>
      </c>
      <c r="RLN1332" s="4" t="s">
        <v>2876</v>
      </c>
      <c r="RLO1332" s="4" t="s">
        <v>2876</v>
      </c>
      <c r="RLP1332" s="4" t="s">
        <v>2876</v>
      </c>
      <c r="RLQ1332" s="4" t="s">
        <v>2876</v>
      </c>
      <c r="RLR1332" s="4" t="s">
        <v>2876</v>
      </c>
      <c r="RLS1332" s="4" t="s">
        <v>2876</v>
      </c>
      <c r="RLT1332" s="4" t="s">
        <v>2876</v>
      </c>
      <c r="RLU1332" s="4" t="s">
        <v>2876</v>
      </c>
      <c r="RLV1332" s="4" t="s">
        <v>2876</v>
      </c>
      <c r="RLW1332" s="4" t="s">
        <v>2876</v>
      </c>
      <c r="RLX1332" s="4" t="s">
        <v>2876</v>
      </c>
      <c r="RLY1332" s="4" t="s">
        <v>2876</v>
      </c>
      <c r="RLZ1332" s="4" t="s">
        <v>2876</v>
      </c>
      <c r="RMA1332" s="4" t="s">
        <v>2876</v>
      </c>
      <c r="RMB1332" s="4" t="s">
        <v>2876</v>
      </c>
      <c r="RMC1332" s="4" t="s">
        <v>2876</v>
      </c>
      <c r="RMD1332" s="4" t="s">
        <v>2876</v>
      </c>
      <c r="RME1332" s="4" t="s">
        <v>2876</v>
      </c>
      <c r="RMF1332" s="4" t="s">
        <v>2876</v>
      </c>
      <c r="RMG1332" s="4" t="s">
        <v>2876</v>
      </c>
      <c r="RMH1332" s="4" t="s">
        <v>2876</v>
      </c>
      <c r="RMI1332" s="4" t="s">
        <v>2876</v>
      </c>
      <c r="RMJ1332" s="4" t="s">
        <v>2876</v>
      </c>
      <c r="RMK1332" s="4" t="s">
        <v>2876</v>
      </c>
      <c r="RML1332" s="4" t="s">
        <v>2876</v>
      </c>
      <c r="RMM1332" s="4" t="s">
        <v>2876</v>
      </c>
      <c r="RMN1332" s="4" t="s">
        <v>2876</v>
      </c>
      <c r="RMO1332" s="4" t="s">
        <v>2876</v>
      </c>
      <c r="RMP1332" s="4" t="s">
        <v>2876</v>
      </c>
      <c r="RMQ1332" s="4" t="s">
        <v>2876</v>
      </c>
      <c r="RMR1332" s="4" t="s">
        <v>2876</v>
      </c>
      <c r="RMS1332" s="4" t="s">
        <v>2876</v>
      </c>
      <c r="RMT1332" s="4" t="s">
        <v>2876</v>
      </c>
      <c r="RMU1332" s="4" t="s">
        <v>2876</v>
      </c>
      <c r="RMV1332" s="4" t="s">
        <v>2876</v>
      </c>
      <c r="RMW1332" s="4" t="s">
        <v>2876</v>
      </c>
      <c r="RMX1332" s="4" t="s">
        <v>2876</v>
      </c>
      <c r="RMY1332" s="4" t="s">
        <v>2876</v>
      </c>
      <c r="RMZ1332" s="4" t="s">
        <v>2876</v>
      </c>
      <c r="RNA1332" s="4" t="s">
        <v>2876</v>
      </c>
      <c r="RNB1332" s="4" t="s">
        <v>2876</v>
      </c>
      <c r="RNC1332" s="4" t="s">
        <v>2876</v>
      </c>
      <c r="RND1332" s="4" t="s">
        <v>2876</v>
      </c>
      <c r="RNE1332" s="4" t="s">
        <v>2876</v>
      </c>
      <c r="RNF1332" s="4" t="s">
        <v>2876</v>
      </c>
      <c r="RNG1332" s="4" t="s">
        <v>2876</v>
      </c>
      <c r="RNH1332" s="4" t="s">
        <v>2876</v>
      </c>
      <c r="RNI1332" s="4" t="s">
        <v>2876</v>
      </c>
      <c r="RNJ1332" s="4" t="s">
        <v>2876</v>
      </c>
      <c r="RNK1332" s="4" t="s">
        <v>2876</v>
      </c>
      <c r="RNL1332" s="4" t="s">
        <v>2876</v>
      </c>
      <c r="RNM1332" s="4" t="s">
        <v>2876</v>
      </c>
      <c r="RNN1332" s="4" t="s">
        <v>2876</v>
      </c>
      <c r="RNO1332" s="4" t="s">
        <v>2876</v>
      </c>
      <c r="RNP1332" s="4" t="s">
        <v>2876</v>
      </c>
      <c r="RNQ1332" s="4" t="s">
        <v>2876</v>
      </c>
      <c r="RNR1332" s="4" t="s">
        <v>2876</v>
      </c>
      <c r="RNS1332" s="4" t="s">
        <v>2876</v>
      </c>
      <c r="RNT1332" s="4" t="s">
        <v>2876</v>
      </c>
      <c r="RNU1332" s="4" t="s">
        <v>2876</v>
      </c>
      <c r="RNV1332" s="4" t="s">
        <v>2876</v>
      </c>
      <c r="RNW1332" s="4" t="s">
        <v>2876</v>
      </c>
      <c r="RNX1332" s="4" t="s">
        <v>2876</v>
      </c>
      <c r="RNY1332" s="4" t="s">
        <v>2876</v>
      </c>
      <c r="RNZ1332" s="4" t="s">
        <v>2876</v>
      </c>
      <c r="ROA1332" s="4" t="s">
        <v>2876</v>
      </c>
      <c r="ROB1332" s="4" t="s">
        <v>2876</v>
      </c>
      <c r="ROC1332" s="4" t="s">
        <v>2876</v>
      </c>
      <c r="ROD1332" s="4" t="s">
        <v>2876</v>
      </c>
      <c r="ROE1332" s="4" t="s">
        <v>2876</v>
      </c>
      <c r="ROF1332" s="4" t="s">
        <v>2876</v>
      </c>
      <c r="ROG1332" s="4" t="s">
        <v>2876</v>
      </c>
      <c r="ROH1332" s="4" t="s">
        <v>2876</v>
      </c>
      <c r="ROI1332" s="4" t="s">
        <v>2876</v>
      </c>
      <c r="ROJ1332" s="4" t="s">
        <v>2876</v>
      </c>
      <c r="ROK1332" s="4" t="s">
        <v>2876</v>
      </c>
      <c r="ROL1332" s="4" t="s">
        <v>2876</v>
      </c>
      <c r="ROM1332" s="4" t="s">
        <v>2876</v>
      </c>
      <c r="RON1332" s="4" t="s">
        <v>2876</v>
      </c>
      <c r="ROO1332" s="4" t="s">
        <v>2876</v>
      </c>
      <c r="ROP1332" s="4" t="s">
        <v>2876</v>
      </c>
      <c r="ROQ1332" s="4" t="s">
        <v>2876</v>
      </c>
      <c r="ROR1332" s="4" t="s">
        <v>2876</v>
      </c>
      <c r="ROS1332" s="4" t="s">
        <v>2876</v>
      </c>
      <c r="ROT1332" s="4" t="s">
        <v>2876</v>
      </c>
      <c r="ROU1332" s="4" t="s">
        <v>2876</v>
      </c>
      <c r="ROV1332" s="4" t="s">
        <v>2876</v>
      </c>
      <c r="ROW1332" s="4" t="s">
        <v>2876</v>
      </c>
      <c r="ROX1332" s="4" t="s">
        <v>2876</v>
      </c>
      <c r="ROY1332" s="4" t="s">
        <v>2876</v>
      </c>
      <c r="ROZ1332" s="4" t="s">
        <v>2876</v>
      </c>
      <c r="RPA1332" s="4" t="s">
        <v>2876</v>
      </c>
      <c r="RPB1332" s="4" t="s">
        <v>2876</v>
      </c>
      <c r="RPC1332" s="4" t="s">
        <v>2876</v>
      </c>
      <c r="RPD1332" s="4" t="s">
        <v>2876</v>
      </c>
      <c r="RPE1332" s="4" t="s">
        <v>2876</v>
      </c>
      <c r="RPF1332" s="4" t="s">
        <v>2876</v>
      </c>
      <c r="RPG1332" s="4" t="s">
        <v>2876</v>
      </c>
      <c r="RPH1332" s="4" t="s">
        <v>2876</v>
      </c>
      <c r="RPI1332" s="4" t="s">
        <v>2876</v>
      </c>
      <c r="RPJ1332" s="4" t="s">
        <v>2876</v>
      </c>
      <c r="RPK1332" s="4" t="s">
        <v>2876</v>
      </c>
      <c r="RPL1332" s="4" t="s">
        <v>2876</v>
      </c>
      <c r="RPM1332" s="4" t="s">
        <v>2876</v>
      </c>
      <c r="RPN1332" s="4" t="s">
        <v>2876</v>
      </c>
      <c r="RPO1332" s="4" t="s">
        <v>2876</v>
      </c>
      <c r="RPP1332" s="4" t="s">
        <v>2876</v>
      </c>
      <c r="RPQ1332" s="4" t="s">
        <v>2876</v>
      </c>
      <c r="RPR1332" s="4" t="s">
        <v>2876</v>
      </c>
      <c r="RPS1332" s="4" t="s">
        <v>2876</v>
      </c>
      <c r="RPT1332" s="4" t="s">
        <v>2876</v>
      </c>
      <c r="RPU1332" s="4" t="s">
        <v>2876</v>
      </c>
      <c r="RPV1332" s="4" t="s">
        <v>2876</v>
      </c>
      <c r="RPW1332" s="4" t="s">
        <v>2876</v>
      </c>
      <c r="RPX1332" s="4" t="s">
        <v>2876</v>
      </c>
      <c r="RPY1332" s="4" t="s">
        <v>2876</v>
      </c>
      <c r="RPZ1332" s="4" t="s">
        <v>2876</v>
      </c>
      <c r="RQA1332" s="4" t="s">
        <v>2876</v>
      </c>
      <c r="RQB1332" s="4" t="s">
        <v>2876</v>
      </c>
      <c r="RQC1332" s="4" t="s">
        <v>2876</v>
      </c>
      <c r="RQD1332" s="4" t="s">
        <v>2876</v>
      </c>
      <c r="RQE1332" s="4" t="s">
        <v>2876</v>
      </c>
      <c r="RQF1332" s="4" t="s">
        <v>2876</v>
      </c>
      <c r="RQG1332" s="4" t="s">
        <v>2876</v>
      </c>
      <c r="RQH1332" s="4" t="s">
        <v>2876</v>
      </c>
      <c r="RQI1332" s="4" t="s">
        <v>2876</v>
      </c>
      <c r="RQJ1332" s="4" t="s">
        <v>2876</v>
      </c>
      <c r="RQK1332" s="4" t="s">
        <v>2876</v>
      </c>
      <c r="RQL1332" s="4" t="s">
        <v>2876</v>
      </c>
      <c r="RQM1332" s="4" t="s">
        <v>2876</v>
      </c>
      <c r="RQN1332" s="4" t="s">
        <v>2876</v>
      </c>
      <c r="RQO1332" s="4" t="s">
        <v>2876</v>
      </c>
      <c r="RQP1332" s="4" t="s">
        <v>2876</v>
      </c>
      <c r="RQQ1332" s="4" t="s">
        <v>2876</v>
      </c>
      <c r="RQR1332" s="4" t="s">
        <v>2876</v>
      </c>
      <c r="RQS1332" s="4" t="s">
        <v>2876</v>
      </c>
      <c r="RQT1332" s="4" t="s">
        <v>2876</v>
      </c>
      <c r="RQU1332" s="4" t="s">
        <v>2876</v>
      </c>
      <c r="RQV1332" s="4" t="s">
        <v>2876</v>
      </c>
      <c r="RQW1332" s="4" t="s">
        <v>2876</v>
      </c>
      <c r="RQX1332" s="4" t="s">
        <v>2876</v>
      </c>
      <c r="RQY1332" s="4" t="s">
        <v>2876</v>
      </c>
      <c r="RQZ1332" s="4" t="s">
        <v>2876</v>
      </c>
      <c r="RRA1332" s="4" t="s">
        <v>2876</v>
      </c>
      <c r="RRB1332" s="4" t="s">
        <v>2876</v>
      </c>
      <c r="RRC1332" s="4" t="s">
        <v>2876</v>
      </c>
      <c r="RRD1332" s="4" t="s">
        <v>2876</v>
      </c>
      <c r="RRE1332" s="4" t="s">
        <v>2876</v>
      </c>
      <c r="RRF1332" s="4" t="s">
        <v>2876</v>
      </c>
      <c r="RRG1332" s="4" t="s">
        <v>2876</v>
      </c>
      <c r="RRH1332" s="4" t="s">
        <v>2876</v>
      </c>
      <c r="RRI1332" s="4" t="s">
        <v>2876</v>
      </c>
      <c r="RRJ1332" s="4" t="s">
        <v>2876</v>
      </c>
      <c r="RRK1332" s="4" t="s">
        <v>2876</v>
      </c>
      <c r="RRL1332" s="4" t="s">
        <v>2876</v>
      </c>
      <c r="RRM1332" s="4" t="s">
        <v>2876</v>
      </c>
      <c r="RRN1332" s="4" t="s">
        <v>2876</v>
      </c>
      <c r="RRO1332" s="4" t="s">
        <v>2876</v>
      </c>
      <c r="RRP1332" s="4" t="s">
        <v>2876</v>
      </c>
      <c r="RRQ1332" s="4" t="s">
        <v>2876</v>
      </c>
      <c r="RRR1332" s="4" t="s">
        <v>2876</v>
      </c>
      <c r="RRS1332" s="4" t="s">
        <v>2876</v>
      </c>
      <c r="RRT1332" s="4" t="s">
        <v>2876</v>
      </c>
      <c r="RRU1332" s="4" t="s">
        <v>2876</v>
      </c>
      <c r="RRV1332" s="4" t="s">
        <v>2876</v>
      </c>
      <c r="RRW1332" s="4" t="s">
        <v>2876</v>
      </c>
      <c r="RRX1332" s="4" t="s">
        <v>2876</v>
      </c>
      <c r="RRY1332" s="4" t="s">
        <v>2876</v>
      </c>
      <c r="RRZ1332" s="4" t="s">
        <v>2876</v>
      </c>
      <c r="RSA1332" s="4" t="s">
        <v>2876</v>
      </c>
      <c r="RSB1332" s="4" t="s">
        <v>2876</v>
      </c>
      <c r="RSC1332" s="4" t="s">
        <v>2876</v>
      </c>
      <c r="RSD1332" s="4" t="s">
        <v>2876</v>
      </c>
      <c r="RSE1332" s="4" t="s">
        <v>2876</v>
      </c>
      <c r="RSF1332" s="4" t="s">
        <v>2876</v>
      </c>
      <c r="RSG1332" s="4" t="s">
        <v>2876</v>
      </c>
      <c r="RSH1332" s="4" t="s">
        <v>2876</v>
      </c>
      <c r="RSI1332" s="4" t="s">
        <v>2876</v>
      </c>
      <c r="RSJ1332" s="4" t="s">
        <v>2876</v>
      </c>
      <c r="RSK1332" s="4" t="s">
        <v>2876</v>
      </c>
      <c r="RSL1332" s="4" t="s">
        <v>2876</v>
      </c>
      <c r="RSM1332" s="4" t="s">
        <v>2876</v>
      </c>
      <c r="RSN1332" s="4" t="s">
        <v>2876</v>
      </c>
      <c r="RSO1332" s="4" t="s">
        <v>2876</v>
      </c>
      <c r="RSP1332" s="4" t="s">
        <v>2876</v>
      </c>
      <c r="RSQ1332" s="4" t="s">
        <v>2876</v>
      </c>
      <c r="RSR1332" s="4" t="s">
        <v>2876</v>
      </c>
      <c r="RSS1332" s="4" t="s">
        <v>2876</v>
      </c>
      <c r="RST1332" s="4" t="s">
        <v>2876</v>
      </c>
      <c r="RSU1332" s="4" t="s">
        <v>2876</v>
      </c>
      <c r="RSV1332" s="4" t="s">
        <v>2876</v>
      </c>
      <c r="RSW1332" s="4" t="s">
        <v>2876</v>
      </c>
      <c r="RSX1332" s="4" t="s">
        <v>2876</v>
      </c>
      <c r="RSY1332" s="4" t="s">
        <v>2876</v>
      </c>
      <c r="RSZ1332" s="4" t="s">
        <v>2876</v>
      </c>
      <c r="RTA1332" s="4" t="s">
        <v>2876</v>
      </c>
      <c r="RTB1332" s="4" t="s">
        <v>2876</v>
      </c>
      <c r="RTC1332" s="4" t="s">
        <v>2876</v>
      </c>
      <c r="RTD1332" s="4" t="s">
        <v>2876</v>
      </c>
      <c r="RTE1332" s="4" t="s">
        <v>2876</v>
      </c>
      <c r="RTF1332" s="4" t="s">
        <v>2876</v>
      </c>
      <c r="RTG1332" s="4" t="s">
        <v>2876</v>
      </c>
      <c r="RTH1332" s="4" t="s">
        <v>2876</v>
      </c>
      <c r="RTI1332" s="4" t="s">
        <v>2876</v>
      </c>
      <c r="RTJ1332" s="4" t="s">
        <v>2876</v>
      </c>
      <c r="RTK1332" s="4" t="s">
        <v>2876</v>
      </c>
      <c r="RTL1332" s="4" t="s">
        <v>2876</v>
      </c>
      <c r="RTM1332" s="4" t="s">
        <v>2876</v>
      </c>
      <c r="RTN1332" s="4" t="s">
        <v>2876</v>
      </c>
      <c r="RTO1332" s="4" t="s">
        <v>2876</v>
      </c>
      <c r="RTP1332" s="4" t="s">
        <v>2876</v>
      </c>
      <c r="RTQ1332" s="4" t="s">
        <v>2876</v>
      </c>
      <c r="RTR1332" s="4" t="s">
        <v>2876</v>
      </c>
      <c r="RTS1332" s="4" t="s">
        <v>2876</v>
      </c>
      <c r="RTT1332" s="4" t="s">
        <v>2876</v>
      </c>
      <c r="RTU1332" s="4" t="s">
        <v>2876</v>
      </c>
      <c r="RTV1332" s="4" t="s">
        <v>2876</v>
      </c>
      <c r="RTW1332" s="4" t="s">
        <v>2876</v>
      </c>
      <c r="RTX1332" s="4" t="s">
        <v>2876</v>
      </c>
      <c r="RTY1332" s="4" t="s">
        <v>2876</v>
      </c>
      <c r="RTZ1332" s="4" t="s">
        <v>2876</v>
      </c>
      <c r="RUA1332" s="4" t="s">
        <v>2876</v>
      </c>
      <c r="RUB1332" s="4" t="s">
        <v>2876</v>
      </c>
      <c r="RUC1332" s="4" t="s">
        <v>2876</v>
      </c>
      <c r="RUD1332" s="4" t="s">
        <v>2876</v>
      </c>
      <c r="RUE1332" s="4" t="s">
        <v>2876</v>
      </c>
      <c r="RUF1332" s="4" t="s">
        <v>2876</v>
      </c>
      <c r="RUG1332" s="4" t="s">
        <v>2876</v>
      </c>
      <c r="RUH1332" s="4" t="s">
        <v>2876</v>
      </c>
      <c r="RUI1332" s="4" t="s">
        <v>2876</v>
      </c>
      <c r="RUJ1332" s="4" t="s">
        <v>2876</v>
      </c>
      <c r="RUK1332" s="4" t="s">
        <v>2876</v>
      </c>
      <c r="RUL1332" s="4" t="s">
        <v>2876</v>
      </c>
      <c r="RUM1332" s="4" t="s">
        <v>2876</v>
      </c>
      <c r="RUN1332" s="4" t="s">
        <v>2876</v>
      </c>
      <c r="RUO1332" s="4" t="s">
        <v>2876</v>
      </c>
      <c r="RUP1332" s="4" t="s">
        <v>2876</v>
      </c>
      <c r="RUQ1332" s="4" t="s">
        <v>2876</v>
      </c>
      <c r="RUR1332" s="4" t="s">
        <v>2876</v>
      </c>
      <c r="RUS1332" s="4" t="s">
        <v>2876</v>
      </c>
      <c r="RUT1332" s="4" t="s">
        <v>2876</v>
      </c>
      <c r="RUU1332" s="4" t="s">
        <v>2876</v>
      </c>
      <c r="RUV1332" s="4" t="s">
        <v>2876</v>
      </c>
      <c r="RUW1332" s="4" t="s">
        <v>2876</v>
      </c>
      <c r="RUX1332" s="4" t="s">
        <v>2876</v>
      </c>
      <c r="RUY1332" s="4" t="s">
        <v>2876</v>
      </c>
      <c r="RUZ1332" s="4" t="s">
        <v>2876</v>
      </c>
      <c r="RVA1332" s="4" t="s">
        <v>2876</v>
      </c>
      <c r="RVB1332" s="4" t="s">
        <v>2876</v>
      </c>
      <c r="RVC1332" s="4" t="s">
        <v>2876</v>
      </c>
      <c r="RVD1332" s="4" t="s">
        <v>2876</v>
      </c>
      <c r="RVE1332" s="4" t="s">
        <v>2876</v>
      </c>
      <c r="RVF1332" s="4" t="s">
        <v>2876</v>
      </c>
      <c r="RVG1332" s="4" t="s">
        <v>2876</v>
      </c>
      <c r="RVH1332" s="4" t="s">
        <v>2876</v>
      </c>
      <c r="RVI1332" s="4" t="s">
        <v>2876</v>
      </c>
      <c r="RVJ1332" s="4" t="s">
        <v>2876</v>
      </c>
      <c r="RVK1332" s="4" t="s">
        <v>2876</v>
      </c>
      <c r="RVL1332" s="4" t="s">
        <v>2876</v>
      </c>
      <c r="RVM1332" s="4" t="s">
        <v>2876</v>
      </c>
      <c r="RVN1332" s="4" t="s">
        <v>2876</v>
      </c>
      <c r="RVO1332" s="4" t="s">
        <v>2876</v>
      </c>
      <c r="RVP1332" s="4" t="s">
        <v>2876</v>
      </c>
      <c r="RVQ1332" s="4" t="s">
        <v>2876</v>
      </c>
      <c r="RVR1332" s="4" t="s">
        <v>2876</v>
      </c>
      <c r="RVS1332" s="4" t="s">
        <v>2876</v>
      </c>
      <c r="RVT1332" s="4" t="s">
        <v>2876</v>
      </c>
      <c r="RVU1332" s="4" t="s">
        <v>2876</v>
      </c>
      <c r="RVV1332" s="4" t="s">
        <v>2876</v>
      </c>
      <c r="RVW1332" s="4" t="s">
        <v>2876</v>
      </c>
      <c r="RVX1332" s="4" t="s">
        <v>2876</v>
      </c>
      <c r="RVY1332" s="4" t="s">
        <v>2876</v>
      </c>
      <c r="RVZ1332" s="4" t="s">
        <v>2876</v>
      </c>
      <c r="RWA1332" s="4" t="s">
        <v>2876</v>
      </c>
      <c r="RWB1332" s="4" t="s">
        <v>2876</v>
      </c>
      <c r="RWC1332" s="4" t="s">
        <v>2876</v>
      </c>
      <c r="RWD1332" s="4" t="s">
        <v>2876</v>
      </c>
      <c r="RWE1332" s="4" t="s">
        <v>2876</v>
      </c>
      <c r="RWF1332" s="4" t="s">
        <v>2876</v>
      </c>
      <c r="RWG1332" s="4" t="s">
        <v>2876</v>
      </c>
      <c r="RWH1332" s="4" t="s">
        <v>2876</v>
      </c>
      <c r="RWI1332" s="4" t="s">
        <v>2876</v>
      </c>
      <c r="RWJ1332" s="4" t="s">
        <v>2876</v>
      </c>
      <c r="RWK1332" s="4" t="s">
        <v>2876</v>
      </c>
      <c r="RWL1332" s="4" t="s">
        <v>2876</v>
      </c>
      <c r="RWM1332" s="4" t="s">
        <v>2876</v>
      </c>
      <c r="RWN1332" s="4" t="s">
        <v>2876</v>
      </c>
      <c r="RWO1332" s="4" t="s">
        <v>2876</v>
      </c>
      <c r="RWP1332" s="4" t="s">
        <v>2876</v>
      </c>
      <c r="RWQ1332" s="4" t="s">
        <v>2876</v>
      </c>
      <c r="RWR1332" s="4" t="s">
        <v>2876</v>
      </c>
      <c r="RWS1332" s="4" t="s">
        <v>2876</v>
      </c>
      <c r="RWT1332" s="4" t="s">
        <v>2876</v>
      </c>
      <c r="RWU1332" s="4" t="s">
        <v>2876</v>
      </c>
      <c r="RWV1332" s="4" t="s">
        <v>2876</v>
      </c>
      <c r="RWW1332" s="4" t="s">
        <v>2876</v>
      </c>
      <c r="RWX1332" s="4" t="s">
        <v>2876</v>
      </c>
      <c r="RWY1332" s="4" t="s">
        <v>2876</v>
      </c>
      <c r="RWZ1332" s="4" t="s">
        <v>2876</v>
      </c>
      <c r="RXA1332" s="4" t="s">
        <v>2876</v>
      </c>
      <c r="RXB1332" s="4" t="s">
        <v>2876</v>
      </c>
      <c r="RXC1332" s="4" t="s">
        <v>2876</v>
      </c>
      <c r="RXD1332" s="4" t="s">
        <v>2876</v>
      </c>
      <c r="RXE1332" s="4" t="s">
        <v>2876</v>
      </c>
      <c r="RXF1332" s="4" t="s">
        <v>2876</v>
      </c>
      <c r="RXG1332" s="4" t="s">
        <v>2876</v>
      </c>
      <c r="RXH1332" s="4" t="s">
        <v>2876</v>
      </c>
      <c r="RXI1332" s="4" t="s">
        <v>2876</v>
      </c>
      <c r="RXJ1332" s="4" t="s">
        <v>2876</v>
      </c>
      <c r="RXK1332" s="4" t="s">
        <v>2876</v>
      </c>
      <c r="RXL1332" s="4" t="s">
        <v>2876</v>
      </c>
      <c r="RXM1332" s="4" t="s">
        <v>2876</v>
      </c>
      <c r="RXN1332" s="4" t="s">
        <v>2876</v>
      </c>
      <c r="RXO1332" s="4" t="s">
        <v>2876</v>
      </c>
      <c r="RXP1332" s="4" t="s">
        <v>2876</v>
      </c>
      <c r="RXQ1332" s="4" t="s">
        <v>2876</v>
      </c>
      <c r="RXR1332" s="4" t="s">
        <v>2876</v>
      </c>
      <c r="RXS1332" s="4" t="s">
        <v>2876</v>
      </c>
      <c r="RXT1332" s="4" t="s">
        <v>2876</v>
      </c>
      <c r="RXU1332" s="4" t="s">
        <v>2876</v>
      </c>
      <c r="RXV1332" s="4" t="s">
        <v>2876</v>
      </c>
      <c r="RXW1332" s="4" t="s">
        <v>2876</v>
      </c>
      <c r="RXX1332" s="4" t="s">
        <v>2876</v>
      </c>
      <c r="RXY1332" s="4" t="s">
        <v>2876</v>
      </c>
      <c r="RXZ1332" s="4" t="s">
        <v>2876</v>
      </c>
      <c r="RYA1332" s="4" t="s">
        <v>2876</v>
      </c>
      <c r="RYB1332" s="4" t="s">
        <v>2876</v>
      </c>
      <c r="RYC1332" s="4" t="s">
        <v>2876</v>
      </c>
      <c r="RYD1332" s="4" t="s">
        <v>2876</v>
      </c>
      <c r="RYE1332" s="4" t="s">
        <v>2876</v>
      </c>
      <c r="RYF1332" s="4" t="s">
        <v>2876</v>
      </c>
      <c r="RYG1332" s="4" t="s">
        <v>2876</v>
      </c>
      <c r="RYH1332" s="4" t="s">
        <v>2876</v>
      </c>
      <c r="RYI1332" s="4" t="s">
        <v>2876</v>
      </c>
      <c r="RYJ1332" s="4" t="s">
        <v>2876</v>
      </c>
      <c r="RYK1332" s="4" t="s">
        <v>2876</v>
      </c>
      <c r="RYL1332" s="4" t="s">
        <v>2876</v>
      </c>
      <c r="RYM1332" s="4" t="s">
        <v>2876</v>
      </c>
      <c r="RYN1332" s="4" t="s">
        <v>2876</v>
      </c>
      <c r="RYO1332" s="4" t="s">
        <v>2876</v>
      </c>
      <c r="RYP1332" s="4" t="s">
        <v>2876</v>
      </c>
      <c r="RYQ1332" s="4" t="s">
        <v>2876</v>
      </c>
      <c r="RYR1332" s="4" t="s">
        <v>2876</v>
      </c>
      <c r="RYS1332" s="4" t="s">
        <v>2876</v>
      </c>
      <c r="RYT1332" s="4" t="s">
        <v>2876</v>
      </c>
      <c r="RYU1332" s="4" t="s">
        <v>2876</v>
      </c>
      <c r="RYV1332" s="4" t="s">
        <v>2876</v>
      </c>
      <c r="RYW1332" s="4" t="s">
        <v>2876</v>
      </c>
      <c r="RYX1332" s="4" t="s">
        <v>2876</v>
      </c>
      <c r="RYY1332" s="4" t="s">
        <v>2876</v>
      </c>
      <c r="RYZ1332" s="4" t="s">
        <v>2876</v>
      </c>
      <c r="RZA1332" s="4" t="s">
        <v>2876</v>
      </c>
      <c r="RZB1332" s="4" t="s">
        <v>2876</v>
      </c>
      <c r="RZC1332" s="4" t="s">
        <v>2876</v>
      </c>
      <c r="RZD1332" s="4" t="s">
        <v>2876</v>
      </c>
      <c r="RZE1332" s="4" t="s">
        <v>2876</v>
      </c>
      <c r="RZF1332" s="4" t="s">
        <v>2876</v>
      </c>
      <c r="RZG1332" s="4" t="s">
        <v>2876</v>
      </c>
      <c r="RZH1332" s="4" t="s">
        <v>2876</v>
      </c>
      <c r="RZI1332" s="4" t="s">
        <v>2876</v>
      </c>
      <c r="RZJ1332" s="4" t="s">
        <v>2876</v>
      </c>
      <c r="RZK1332" s="4" t="s">
        <v>2876</v>
      </c>
      <c r="RZL1332" s="4" t="s">
        <v>2876</v>
      </c>
      <c r="RZM1332" s="4" t="s">
        <v>2876</v>
      </c>
      <c r="RZN1332" s="4" t="s">
        <v>2876</v>
      </c>
      <c r="RZO1332" s="4" t="s">
        <v>2876</v>
      </c>
      <c r="RZP1332" s="4" t="s">
        <v>2876</v>
      </c>
      <c r="RZQ1332" s="4" t="s">
        <v>2876</v>
      </c>
      <c r="RZR1332" s="4" t="s">
        <v>2876</v>
      </c>
      <c r="RZS1332" s="4" t="s">
        <v>2876</v>
      </c>
      <c r="RZT1332" s="4" t="s">
        <v>2876</v>
      </c>
      <c r="RZU1332" s="4" t="s">
        <v>2876</v>
      </c>
      <c r="RZV1332" s="4" t="s">
        <v>2876</v>
      </c>
      <c r="RZW1332" s="4" t="s">
        <v>2876</v>
      </c>
      <c r="RZX1332" s="4" t="s">
        <v>2876</v>
      </c>
      <c r="RZY1332" s="4" t="s">
        <v>2876</v>
      </c>
      <c r="RZZ1332" s="4" t="s">
        <v>2876</v>
      </c>
      <c r="SAA1332" s="4" t="s">
        <v>2876</v>
      </c>
      <c r="SAB1332" s="4" t="s">
        <v>2876</v>
      </c>
      <c r="SAC1332" s="4" t="s">
        <v>2876</v>
      </c>
      <c r="SAD1332" s="4" t="s">
        <v>2876</v>
      </c>
      <c r="SAE1332" s="4" t="s">
        <v>2876</v>
      </c>
      <c r="SAF1332" s="4" t="s">
        <v>2876</v>
      </c>
      <c r="SAG1332" s="4" t="s">
        <v>2876</v>
      </c>
      <c r="SAH1332" s="4" t="s">
        <v>2876</v>
      </c>
      <c r="SAI1332" s="4" t="s">
        <v>2876</v>
      </c>
      <c r="SAJ1332" s="4" t="s">
        <v>2876</v>
      </c>
      <c r="SAK1332" s="4" t="s">
        <v>2876</v>
      </c>
      <c r="SAL1332" s="4" t="s">
        <v>2876</v>
      </c>
      <c r="SAM1332" s="4" t="s">
        <v>2876</v>
      </c>
      <c r="SAN1332" s="4" t="s">
        <v>2876</v>
      </c>
      <c r="SAO1332" s="4" t="s">
        <v>2876</v>
      </c>
      <c r="SAP1332" s="4" t="s">
        <v>2876</v>
      </c>
      <c r="SAQ1332" s="4" t="s">
        <v>2876</v>
      </c>
      <c r="SAR1332" s="4" t="s">
        <v>2876</v>
      </c>
      <c r="SAS1332" s="4" t="s">
        <v>2876</v>
      </c>
      <c r="SAT1332" s="4" t="s">
        <v>2876</v>
      </c>
      <c r="SAU1332" s="4" t="s">
        <v>2876</v>
      </c>
      <c r="SAV1332" s="4" t="s">
        <v>2876</v>
      </c>
      <c r="SAW1332" s="4" t="s">
        <v>2876</v>
      </c>
      <c r="SAX1332" s="4" t="s">
        <v>2876</v>
      </c>
      <c r="SAY1332" s="4" t="s">
        <v>2876</v>
      </c>
      <c r="SAZ1332" s="4" t="s">
        <v>2876</v>
      </c>
      <c r="SBA1332" s="4" t="s">
        <v>2876</v>
      </c>
      <c r="SBB1332" s="4" t="s">
        <v>2876</v>
      </c>
      <c r="SBC1332" s="4" t="s">
        <v>2876</v>
      </c>
      <c r="SBD1332" s="4" t="s">
        <v>2876</v>
      </c>
      <c r="SBE1332" s="4" t="s">
        <v>2876</v>
      </c>
      <c r="SBF1332" s="4" t="s">
        <v>2876</v>
      </c>
      <c r="SBG1332" s="4" t="s">
        <v>2876</v>
      </c>
      <c r="SBH1332" s="4" t="s">
        <v>2876</v>
      </c>
      <c r="SBI1332" s="4" t="s">
        <v>2876</v>
      </c>
      <c r="SBJ1332" s="4" t="s">
        <v>2876</v>
      </c>
      <c r="SBK1332" s="4" t="s">
        <v>2876</v>
      </c>
      <c r="SBL1332" s="4" t="s">
        <v>2876</v>
      </c>
      <c r="SBM1332" s="4" t="s">
        <v>2876</v>
      </c>
      <c r="SBN1332" s="4" t="s">
        <v>2876</v>
      </c>
      <c r="SBO1332" s="4" t="s">
        <v>2876</v>
      </c>
      <c r="SBP1332" s="4" t="s">
        <v>2876</v>
      </c>
      <c r="SBQ1332" s="4" t="s">
        <v>2876</v>
      </c>
      <c r="SBR1332" s="4" t="s">
        <v>2876</v>
      </c>
      <c r="SBS1332" s="4" t="s">
        <v>2876</v>
      </c>
      <c r="SBT1332" s="4" t="s">
        <v>2876</v>
      </c>
      <c r="SBU1332" s="4" t="s">
        <v>2876</v>
      </c>
      <c r="SBV1332" s="4" t="s">
        <v>2876</v>
      </c>
      <c r="SBW1332" s="4" t="s">
        <v>2876</v>
      </c>
      <c r="SBX1332" s="4" t="s">
        <v>2876</v>
      </c>
      <c r="SBY1332" s="4" t="s">
        <v>2876</v>
      </c>
      <c r="SBZ1332" s="4" t="s">
        <v>2876</v>
      </c>
      <c r="SCA1332" s="4" t="s">
        <v>2876</v>
      </c>
      <c r="SCB1332" s="4" t="s">
        <v>2876</v>
      </c>
      <c r="SCC1332" s="4" t="s">
        <v>2876</v>
      </c>
      <c r="SCD1332" s="4" t="s">
        <v>2876</v>
      </c>
      <c r="SCE1332" s="4" t="s">
        <v>2876</v>
      </c>
      <c r="SCF1332" s="4" t="s">
        <v>2876</v>
      </c>
      <c r="SCG1332" s="4" t="s">
        <v>2876</v>
      </c>
      <c r="SCH1332" s="4" t="s">
        <v>2876</v>
      </c>
      <c r="SCI1332" s="4" t="s">
        <v>2876</v>
      </c>
      <c r="SCJ1332" s="4" t="s">
        <v>2876</v>
      </c>
      <c r="SCK1332" s="4" t="s">
        <v>2876</v>
      </c>
      <c r="SCL1332" s="4" t="s">
        <v>2876</v>
      </c>
      <c r="SCM1332" s="4" t="s">
        <v>2876</v>
      </c>
      <c r="SCN1332" s="4" t="s">
        <v>2876</v>
      </c>
      <c r="SCO1332" s="4" t="s">
        <v>2876</v>
      </c>
      <c r="SCP1332" s="4" t="s">
        <v>2876</v>
      </c>
      <c r="SCQ1332" s="4" t="s">
        <v>2876</v>
      </c>
      <c r="SCR1332" s="4" t="s">
        <v>2876</v>
      </c>
      <c r="SCS1332" s="4" t="s">
        <v>2876</v>
      </c>
      <c r="SCT1332" s="4" t="s">
        <v>2876</v>
      </c>
      <c r="SCU1332" s="4" t="s">
        <v>2876</v>
      </c>
      <c r="SCV1332" s="4" t="s">
        <v>2876</v>
      </c>
      <c r="SCW1332" s="4" t="s">
        <v>2876</v>
      </c>
      <c r="SCX1332" s="4" t="s">
        <v>2876</v>
      </c>
      <c r="SCY1332" s="4" t="s">
        <v>2876</v>
      </c>
      <c r="SCZ1332" s="4" t="s">
        <v>2876</v>
      </c>
      <c r="SDA1332" s="4" t="s">
        <v>2876</v>
      </c>
      <c r="SDB1332" s="4" t="s">
        <v>2876</v>
      </c>
      <c r="SDC1332" s="4" t="s">
        <v>2876</v>
      </c>
      <c r="SDD1332" s="4" t="s">
        <v>2876</v>
      </c>
      <c r="SDE1332" s="4" t="s">
        <v>2876</v>
      </c>
      <c r="SDF1332" s="4" t="s">
        <v>2876</v>
      </c>
      <c r="SDG1332" s="4" t="s">
        <v>2876</v>
      </c>
      <c r="SDH1332" s="4" t="s">
        <v>2876</v>
      </c>
      <c r="SDI1332" s="4" t="s">
        <v>2876</v>
      </c>
      <c r="SDJ1332" s="4" t="s">
        <v>2876</v>
      </c>
      <c r="SDK1332" s="4" t="s">
        <v>2876</v>
      </c>
      <c r="SDL1332" s="4" t="s">
        <v>2876</v>
      </c>
      <c r="SDM1332" s="4" t="s">
        <v>2876</v>
      </c>
      <c r="SDN1332" s="4" t="s">
        <v>2876</v>
      </c>
      <c r="SDO1332" s="4" t="s">
        <v>2876</v>
      </c>
      <c r="SDP1332" s="4" t="s">
        <v>2876</v>
      </c>
      <c r="SDQ1332" s="4" t="s">
        <v>2876</v>
      </c>
      <c r="SDR1332" s="4" t="s">
        <v>2876</v>
      </c>
      <c r="SDS1332" s="4" t="s">
        <v>2876</v>
      </c>
      <c r="SDT1332" s="4" t="s">
        <v>2876</v>
      </c>
      <c r="SDU1332" s="4" t="s">
        <v>2876</v>
      </c>
      <c r="SDV1332" s="4" t="s">
        <v>2876</v>
      </c>
      <c r="SDW1332" s="4" t="s">
        <v>2876</v>
      </c>
      <c r="SDX1332" s="4" t="s">
        <v>2876</v>
      </c>
      <c r="SDY1332" s="4" t="s">
        <v>2876</v>
      </c>
      <c r="SDZ1332" s="4" t="s">
        <v>2876</v>
      </c>
      <c r="SEA1332" s="4" t="s">
        <v>2876</v>
      </c>
      <c r="SEB1332" s="4" t="s">
        <v>2876</v>
      </c>
      <c r="SEC1332" s="4" t="s">
        <v>2876</v>
      </c>
      <c r="SED1332" s="4" t="s">
        <v>2876</v>
      </c>
      <c r="SEE1332" s="4" t="s">
        <v>2876</v>
      </c>
      <c r="SEF1332" s="4" t="s">
        <v>2876</v>
      </c>
      <c r="SEG1332" s="4" t="s">
        <v>2876</v>
      </c>
      <c r="SEH1332" s="4" t="s">
        <v>2876</v>
      </c>
      <c r="SEI1332" s="4" t="s">
        <v>2876</v>
      </c>
      <c r="SEJ1332" s="4" t="s">
        <v>2876</v>
      </c>
      <c r="SEK1332" s="4" t="s">
        <v>2876</v>
      </c>
      <c r="SEL1332" s="4" t="s">
        <v>2876</v>
      </c>
      <c r="SEM1332" s="4" t="s">
        <v>2876</v>
      </c>
      <c r="SEN1332" s="4" t="s">
        <v>2876</v>
      </c>
      <c r="SEO1332" s="4" t="s">
        <v>2876</v>
      </c>
      <c r="SEP1332" s="4" t="s">
        <v>2876</v>
      </c>
      <c r="SEQ1332" s="4" t="s">
        <v>2876</v>
      </c>
      <c r="SER1332" s="4" t="s">
        <v>2876</v>
      </c>
      <c r="SES1332" s="4" t="s">
        <v>2876</v>
      </c>
      <c r="SET1332" s="4" t="s">
        <v>2876</v>
      </c>
      <c r="SEU1332" s="4" t="s">
        <v>2876</v>
      </c>
      <c r="SEV1332" s="4" t="s">
        <v>2876</v>
      </c>
      <c r="SEW1332" s="4" t="s">
        <v>2876</v>
      </c>
      <c r="SEX1332" s="4" t="s">
        <v>2876</v>
      </c>
      <c r="SEY1332" s="4" t="s">
        <v>2876</v>
      </c>
      <c r="SEZ1332" s="4" t="s">
        <v>2876</v>
      </c>
      <c r="SFA1332" s="4" t="s">
        <v>2876</v>
      </c>
      <c r="SFB1332" s="4" t="s">
        <v>2876</v>
      </c>
      <c r="SFC1332" s="4" t="s">
        <v>2876</v>
      </c>
      <c r="SFD1332" s="4" t="s">
        <v>2876</v>
      </c>
      <c r="SFE1332" s="4" t="s">
        <v>2876</v>
      </c>
      <c r="SFF1332" s="4" t="s">
        <v>2876</v>
      </c>
      <c r="SFG1332" s="4" t="s">
        <v>2876</v>
      </c>
      <c r="SFH1332" s="4" t="s">
        <v>2876</v>
      </c>
      <c r="SFI1332" s="4" t="s">
        <v>2876</v>
      </c>
      <c r="SFJ1332" s="4" t="s">
        <v>2876</v>
      </c>
      <c r="SFK1332" s="4" t="s">
        <v>2876</v>
      </c>
      <c r="SFL1332" s="4" t="s">
        <v>2876</v>
      </c>
      <c r="SFM1332" s="4" t="s">
        <v>2876</v>
      </c>
      <c r="SFN1332" s="4" t="s">
        <v>2876</v>
      </c>
      <c r="SFO1332" s="4" t="s">
        <v>2876</v>
      </c>
      <c r="SFP1332" s="4" t="s">
        <v>2876</v>
      </c>
      <c r="SFQ1332" s="4" t="s">
        <v>2876</v>
      </c>
      <c r="SFR1332" s="4" t="s">
        <v>2876</v>
      </c>
      <c r="SFS1332" s="4" t="s">
        <v>2876</v>
      </c>
      <c r="SFT1332" s="4" t="s">
        <v>2876</v>
      </c>
      <c r="SFU1332" s="4" t="s">
        <v>2876</v>
      </c>
      <c r="SFV1332" s="4" t="s">
        <v>2876</v>
      </c>
      <c r="SFW1332" s="4" t="s">
        <v>2876</v>
      </c>
      <c r="SFX1332" s="4" t="s">
        <v>2876</v>
      </c>
      <c r="SFY1332" s="4" t="s">
        <v>2876</v>
      </c>
      <c r="SFZ1332" s="4" t="s">
        <v>2876</v>
      </c>
      <c r="SGA1332" s="4" t="s">
        <v>2876</v>
      </c>
      <c r="SGB1332" s="4" t="s">
        <v>2876</v>
      </c>
      <c r="SGC1332" s="4" t="s">
        <v>2876</v>
      </c>
      <c r="SGD1332" s="4" t="s">
        <v>2876</v>
      </c>
      <c r="SGE1332" s="4" t="s">
        <v>2876</v>
      </c>
      <c r="SGF1332" s="4" t="s">
        <v>2876</v>
      </c>
      <c r="SGG1332" s="4" t="s">
        <v>2876</v>
      </c>
      <c r="SGH1332" s="4" t="s">
        <v>2876</v>
      </c>
      <c r="SGI1332" s="4" t="s">
        <v>2876</v>
      </c>
      <c r="SGJ1332" s="4" t="s">
        <v>2876</v>
      </c>
      <c r="SGK1332" s="4" t="s">
        <v>2876</v>
      </c>
      <c r="SGL1332" s="4" t="s">
        <v>2876</v>
      </c>
      <c r="SGM1332" s="4" t="s">
        <v>2876</v>
      </c>
      <c r="SGN1332" s="4" t="s">
        <v>2876</v>
      </c>
      <c r="SGO1332" s="4" t="s">
        <v>2876</v>
      </c>
      <c r="SGP1332" s="4" t="s">
        <v>2876</v>
      </c>
      <c r="SGQ1332" s="4" t="s">
        <v>2876</v>
      </c>
      <c r="SGR1332" s="4" t="s">
        <v>2876</v>
      </c>
      <c r="SGS1332" s="4" t="s">
        <v>2876</v>
      </c>
      <c r="SGT1332" s="4" t="s">
        <v>2876</v>
      </c>
      <c r="SGU1332" s="4" t="s">
        <v>2876</v>
      </c>
      <c r="SGV1332" s="4" t="s">
        <v>2876</v>
      </c>
      <c r="SGW1332" s="4" t="s">
        <v>2876</v>
      </c>
      <c r="SGX1332" s="4" t="s">
        <v>2876</v>
      </c>
      <c r="SGY1332" s="4" t="s">
        <v>2876</v>
      </c>
      <c r="SGZ1332" s="4" t="s">
        <v>2876</v>
      </c>
      <c r="SHA1332" s="4" t="s">
        <v>2876</v>
      </c>
      <c r="SHB1332" s="4" t="s">
        <v>2876</v>
      </c>
      <c r="SHC1332" s="4" t="s">
        <v>2876</v>
      </c>
      <c r="SHD1332" s="4" t="s">
        <v>2876</v>
      </c>
      <c r="SHE1332" s="4" t="s">
        <v>2876</v>
      </c>
      <c r="SHF1332" s="4" t="s">
        <v>2876</v>
      </c>
      <c r="SHG1332" s="4" t="s">
        <v>2876</v>
      </c>
      <c r="SHH1332" s="4" t="s">
        <v>2876</v>
      </c>
      <c r="SHI1332" s="4" t="s">
        <v>2876</v>
      </c>
      <c r="SHJ1332" s="4" t="s">
        <v>2876</v>
      </c>
      <c r="SHK1332" s="4" t="s">
        <v>2876</v>
      </c>
      <c r="SHL1332" s="4" t="s">
        <v>2876</v>
      </c>
      <c r="SHM1332" s="4" t="s">
        <v>2876</v>
      </c>
      <c r="SHN1332" s="4" t="s">
        <v>2876</v>
      </c>
      <c r="SHO1332" s="4" t="s">
        <v>2876</v>
      </c>
      <c r="SHP1332" s="4" t="s">
        <v>2876</v>
      </c>
      <c r="SHQ1332" s="4" t="s">
        <v>2876</v>
      </c>
      <c r="SHR1332" s="4" t="s">
        <v>2876</v>
      </c>
      <c r="SHS1332" s="4" t="s">
        <v>2876</v>
      </c>
      <c r="SHT1332" s="4" t="s">
        <v>2876</v>
      </c>
      <c r="SHU1332" s="4" t="s">
        <v>2876</v>
      </c>
      <c r="SHV1332" s="4" t="s">
        <v>2876</v>
      </c>
      <c r="SHW1332" s="4" t="s">
        <v>2876</v>
      </c>
      <c r="SHX1332" s="4" t="s">
        <v>2876</v>
      </c>
      <c r="SHY1332" s="4" t="s">
        <v>2876</v>
      </c>
      <c r="SHZ1332" s="4" t="s">
        <v>2876</v>
      </c>
      <c r="SIA1332" s="4" t="s">
        <v>2876</v>
      </c>
      <c r="SIB1332" s="4" t="s">
        <v>2876</v>
      </c>
      <c r="SIC1332" s="4" t="s">
        <v>2876</v>
      </c>
      <c r="SID1332" s="4" t="s">
        <v>2876</v>
      </c>
      <c r="SIE1332" s="4" t="s">
        <v>2876</v>
      </c>
      <c r="SIF1332" s="4" t="s">
        <v>2876</v>
      </c>
      <c r="SIG1332" s="4" t="s">
        <v>2876</v>
      </c>
      <c r="SIH1332" s="4" t="s">
        <v>2876</v>
      </c>
      <c r="SII1332" s="4" t="s">
        <v>2876</v>
      </c>
      <c r="SIJ1332" s="4" t="s">
        <v>2876</v>
      </c>
      <c r="SIK1332" s="4" t="s">
        <v>2876</v>
      </c>
      <c r="SIL1332" s="4" t="s">
        <v>2876</v>
      </c>
      <c r="SIM1332" s="4" t="s">
        <v>2876</v>
      </c>
      <c r="SIN1332" s="4" t="s">
        <v>2876</v>
      </c>
      <c r="SIO1332" s="4" t="s">
        <v>2876</v>
      </c>
      <c r="SIP1332" s="4" t="s">
        <v>2876</v>
      </c>
      <c r="SIQ1332" s="4" t="s">
        <v>2876</v>
      </c>
      <c r="SIR1332" s="4" t="s">
        <v>2876</v>
      </c>
      <c r="SIS1332" s="4" t="s">
        <v>2876</v>
      </c>
      <c r="SIT1332" s="4" t="s">
        <v>2876</v>
      </c>
      <c r="SIU1332" s="4" t="s">
        <v>2876</v>
      </c>
      <c r="SIV1332" s="4" t="s">
        <v>2876</v>
      </c>
      <c r="SIW1332" s="4" t="s">
        <v>2876</v>
      </c>
      <c r="SIX1332" s="4" t="s">
        <v>2876</v>
      </c>
      <c r="SIY1332" s="4" t="s">
        <v>2876</v>
      </c>
      <c r="SIZ1332" s="4" t="s">
        <v>2876</v>
      </c>
      <c r="SJA1332" s="4" t="s">
        <v>2876</v>
      </c>
      <c r="SJB1332" s="4" t="s">
        <v>2876</v>
      </c>
      <c r="SJC1332" s="4" t="s">
        <v>2876</v>
      </c>
      <c r="SJD1332" s="4" t="s">
        <v>2876</v>
      </c>
      <c r="SJE1332" s="4" t="s">
        <v>2876</v>
      </c>
      <c r="SJF1332" s="4" t="s">
        <v>2876</v>
      </c>
      <c r="SJG1332" s="4" t="s">
        <v>2876</v>
      </c>
      <c r="SJH1332" s="4" t="s">
        <v>2876</v>
      </c>
      <c r="SJI1332" s="4" t="s">
        <v>2876</v>
      </c>
      <c r="SJJ1332" s="4" t="s">
        <v>2876</v>
      </c>
      <c r="SJK1332" s="4" t="s">
        <v>2876</v>
      </c>
      <c r="SJL1332" s="4" t="s">
        <v>2876</v>
      </c>
      <c r="SJM1332" s="4" t="s">
        <v>2876</v>
      </c>
      <c r="SJN1332" s="4" t="s">
        <v>2876</v>
      </c>
      <c r="SJO1332" s="4" t="s">
        <v>2876</v>
      </c>
      <c r="SJP1332" s="4" t="s">
        <v>2876</v>
      </c>
      <c r="SJQ1332" s="4" t="s">
        <v>2876</v>
      </c>
      <c r="SJR1332" s="4" t="s">
        <v>2876</v>
      </c>
      <c r="SJS1332" s="4" t="s">
        <v>2876</v>
      </c>
      <c r="SJT1332" s="4" t="s">
        <v>2876</v>
      </c>
      <c r="SJU1332" s="4" t="s">
        <v>2876</v>
      </c>
      <c r="SJV1332" s="4" t="s">
        <v>2876</v>
      </c>
      <c r="SJW1332" s="4" t="s">
        <v>2876</v>
      </c>
      <c r="SJX1332" s="4" t="s">
        <v>2876</v>
      </c>
      <c r="SJY1332" s="4" t="s">
        <v>2876</v>
      </c>
      <c r="SJZ1332" s="4" t="s">
        <v>2876</v>
      </c>
      <c r="SKA1332" s="4" t="s">
        <v>2876</v>
      </c>
      <c r="SKB1332" s="4" t="s">
        <v>2876</v>
      </c>
      <c r="SKC1332" s="4" t="s">
        <v>2876</v>
      </c>
      <c r="SKD1332" s="4" t="s">
        <v>2876</v>
      </c>
      <c r="SKE1332" s="4" t="s">
        <v>2876</v>
      </c>
      <c r="SKF1332" s="4" t="s">
        <v>2876</v>
      </c>
      <c r="SKG1332" s="4" t="s">
        <v>2876</v>
      </c>
      <c r="SKH1332" s="4" t="s">
        <v>2876</v>
      </c>
      <c r="SKI1332" s="4" t="s">
        <v>2876</v>
      </c>
      <c r="SKJ1332" s="4" t="s">
        <v>2876</v>
      </c>
      <c r="SKK1332" s="4" t="s">
        <v>2876</v>
      </c>
      <c r="SKL1332" s="4" t="s">
        <v>2876</v>
      </c>
      <c r="SKM1332" s="4" t="s">
        <v>2876</v>
      </c>
      <c r="SKN1332" s="4" t="s">
        <v>2876</v>
      </c>
      <c r="SKO1332" s="4" t="s">
        <v>2876</v>
      </c>
      <c r="SKP1332" s="4" t="s">
        <v>2876</v>
      </c>
      <c r="SKQ1332" s="4" t="s">
        <v>2876</v>
      </c>
      <c r="SKR1332" s="4" t="s">
        <v>2876</v>
      </c>
      <c r="SKS1332" s="4" t="s">
        <v>2876</v>
      </c>
      <c r="SKT1332" s="4" t="s">
        <v>2876</v>
      </c>
      <c r="SKU1332" s="4" t="s">
        <v>2876</v>
      </c>
      <c r="SKV1332" s="4" t="s">
        <v>2876</v>
      </c>
      <c r="SKW1332" s="4" t="s">
        <v>2876</v>
      </c>
      <c r="SKX1332" s="4" t="s">
        <v>2876</v>
      </c>
      <c r="SKY1332" s="4" t="s">
        <v>2876</v>
      </c>
      <c r="SKZ1332" s="4" t="s">
        <v>2876</v>
      </c>
      <c r="SLA1332" s="4" t="s">
        <v>2876</v>
      </c>
      <c r="SLB1332" s="4" t="s">
        <v>2876</v>
      </c>
      <c r="SLC1332" s="4" t="s">
        <v>2876</v>
      </c>
      <c r="SLD1332" s="4" t="s">
        <v>2876</v>
      </c>
      <c r="SLE1332" s="4" t="s">
        <v>2876</v>
      </c>
      <c r="SLF1332" s="4" t="s">
        <v>2876</v>
      </c>
      <c r="SLG1332" s="4" t="s">
        <v>2876</v>
      </c>
      <c r="SLH1332" s="4" t="s">
        <v>2876</v>
      </c>
      <c r="SLI1332" s="4" t="s">
        <v>2876</v>
      </c>
      <c r="SLJ1332" s="4" t="s">
        <v>2876</v>
      </c>
      <c r="SLK1332" s="4" t="s">
        <v>2876</v>
      </c>
      <c r="SLL1332" s="4" t="s">
        <v>2876</v>
      </c>
      <c r="SLM1332" s="4" t="s">
        <v>2876</v>
      </c>
      <c r="SLN1332" s="4" t="s">
        <v>2876</v>
      </c>
      <c r="SLO1332" s="4" t="s">
        <v>2876</v>
      </c>
      <c r="SLP1332" s="4" t="s">
        <v>2876</v>
      </c>
      <c r="SLQ1332" s="4" t="s">
        <v>2876</v>
      </c>
      <c r="SLR1332" s="4" t="s">
        <v>2876</v>
      </c>
      <c r="SLS1332" s="4" t="s">
        <v>2876</v>
      </c>
      <c r="SLT1332" s="4" t="s">
        <v>2876</v>
      </c>
      <c r="SLU1332" s="4" t="s">
        <v>2876</v>
      </c>
      <c r="SLV1332" s="4" t="s">
        <v>2876</v>
      </c>
      <c r="SLW1332" s="4" t="s">
        <v>2876</v>
      </c>
      <c r="SLX1332" s="4" t="s">
        <v>2876</v>
      </c>
      <c r="SLY1332" s="4" t="s">
        <v>2876</v>
      </c>
      <c r="SLZ1332" s="4" t="s">
        <v>2876</v>
      </c>
      <c r="SMA1332" s="4" t="s">
        <v>2876</v>
      </c>
      <c r="SMB1332" s="4" t="s">
        <v>2876</v>
      </c>
      <c r="SMC1332" s="4" t="s">
        <v>2876</v>
      </c>
      <c r="SMD1332" s="4" t="s">
        <v>2876</v>
      </c>
      <c r="SME1332" s="4" t="s">
        <v>2876</v>
      </c>
      <c r="SMF1332" s="4" t="s">
        <v>2876</v>
      </c>
      <c r="SMG1332" s="4" t="s">
        <v>2876</v>
      </c>
      <c r="SMH1332" s="4" t="s">
        <v>2876</v>
      </c>
      <c r="SMI1332" s="4" t="s">
        <v>2876</v>
      </c>
      <c r="SMJ1332" s="4" t="s">
        <v>2876</v>
      </c>
      <c r="SMK1332" s="4" t="s">
        <v>2876</v>
      </c>
      <c r="SML1332" s="4" t="s">
        <v>2876</v>
      </c>
      <c r="SMM1332" s="4" t="s">
        <v>2876</v>
      </c>
      <c r="SMN1332" s="4" t="s">
        <v>2876</v>
      </c>
      <c r="SMO1332" s="4" t="s">
        <v>2876</v>
      </c>
      <c r="SMP1332" s="4" t="s">
        <v>2876</v>
      </c>
      <c r="SMQ1332" s="4" t="s">
        <v>2876</v>
      </c>
      <c r="SMR1332" s="4" t="s">
        <v>2876</v>
      </c>
      <c r="SMS1332" s="4" t="s">
        <v>2876</v>
      </c>
      <c r="SMT1332" s="4" t="s">
        <v>2876</v>
      </c>
      <c r="SMU1332" s="4" t="s">
        <v>2876</v>
      </c>
      <c r="SMV1332" s="4" t="s">
        <v>2876</v>
      </c>
      <c r="SMW1332" s="4" t="s">
        <v>2876</v>
      </c>
      <c r="SMX1332" s="4" t="s">
        <v>2876</v>
      </c>
      <c r="SMY1332" s="4" t="s">
        <v>2876</v>
      </c>
      <c r="SMZ1332" s="4" t="s">
        <v>2876</v>
      </c>
      <c r="SNA1332" s="4" t="s">
        <v>2876</v>
      </c>
      <c r="SNB1332" s="4" t="s">
        <v>2876</v>
      </c>
      <c r="SNC1332" s="4" t="s">
        <v>2876</v>
      </c>
      <c r="SND1332" s="4" t="s">
        <v>2876</v>
      </c>
      <c r="SNE1332" s="4" t="s">
        <v>2876</v>
      </c>
      <c r="SNF1332" s="4" t="s">
        <v>2876</v>
      </c>
      <c r="SNG1332" s="4" t="s">
        <v>2876</v>
      </c>
      <c r="SNH1332" s="4" t="s">
        <v>2876</v>
      </c>
      <c r="SNI1332" s="4" t="s">
        <v>2876</v>
      </c>
      <c r="SNJ1332" s="4" t="s">
        <v>2876</v>
      </c>
      <c r="SNK1332" s="4" t="s">
        <v>2876</v>
      </c>
      <c r="SNL1332" s="4" t="s">
        <v>2876</v>
      </c>
      <c r="SNM1332" s="4" t="s">
        <v>2876</v>
      </c>
      <c r="SNN1332" s="4" t="s">
        <v>2876</v>
      </c>
      <c r="SNO1332" s="4" t="s">
        <v>2876</v>
      </c>
      <c r="SNP1332" s="4" t="s">
        <v>2876</v>
      </c>
      <c r="SNQ1332" s="4" t="s">
        <v>2876</v>
      </c>
      <c r="SNR1332" s="4" t="s">
        <v>2876</v>
      </c>
      <c r="SNS1332" s="4" t="s">
        <v>2876</v>
      </c>
      <c r="SNT1332" s="4" t="s">
        <v>2876</v>
      </c>
      <c r="SNU1332" s="4" t="s">
        <v>2876</v>
      </c>
      <c r="SNV1332" s="4" t="s">
        <v>2876</v>
      </c>
      <c r="SNW1332" s="4" t="s">
        <v>2876</v>
      </c>
      <c r="SNX1332" s="4" t="s">
        <v>2876</v>
      </c>
      <c r="SNY1332" s="4" t="s">
        <v>2876</v>
      </c>
      <c r="SNZ1332" s="4" t="s">
        <v>2876</v>
      </c>
      <c r="SOA1332" s="4" t="s">
        <v>2876</v>
      </c>
      <c r="SOB1332" s="4" t="s">
        <v>2876</v>
      </c>
      <c r="SOC1332" s="4" t="s">
        <v>2876</v>
      </c>
      <c r="SOD1332" s="4" t="s">
        <v>2876</v>
      </c>
      <c r="SOE1332" s="4" t="s">
        <v>2876</v>
      </c>
      <c r="SOF1332" s="4" t="s">
        <v>2876</v>
      </c>
      <c r="SOG1332" s="4" t="s">
        <v>2876</v>
      </c>
      <c r="SOH1332" s="4" t="s">
        <v>2876</v>
      </c>
      <c r="SOI1332" s="4" t="s">
        <v>2876</v>
      </c>
      <c r="SOJ1332" s="4" t="s">
        <v>2876</v>
      </c>
      <c r="SOK1332" s="4" t="s">
        <v>2876</v>
      </c>
      <c r="SOL1332" s="4" t="s">
        <v>2876</v>
      </c>
      <c r="SOM1332" s="4" t="s">
        <v>2876</v>
      </c>
      <c r="SON1332" s="4" t="s">
        <v>2876</v>
      </c>
      <c r="SOO1332" s="4" t="s">
        <v>2876</v>
      </c>
      <c r="SOP1332" s="4" t="s">
        <v>2876</v>
      </c>
      <c r="SOQ1332" s="4" t="s">
        <v>2876</v>
      </c>
      <c r="SOR1332" s="4" t="s">
        <v>2876</v>
      </c>
      <c r="SOS1332" s="4" t="s">
        <v>2876</v>
      </c>
      <c r="SOT1332" s="4" t="s">
        <v>2876</v>
      </c>
      <c r="SOU1332" s="4" t="s">
        <v>2876</v>
      </c>
      <c r="SOV1332" s="4" t="s">
        <v>2876</v>
      </c>
      <c r="SOW1332" s="4" t="s">
        <v>2876</v>
      </c>
      <c r="SOX1332" s="4" t="s">
        <v>2876</v>
      </c>
      <c r="SOY1332" s="4" t="s">
        <v>2876</v>
      </c>
      <c r="SOZ1332" s="4" t="s">
        <v>2876</v>
      </c>
      <c r="SPA1332" s="4" t="s">
        <v>2876</v>
      </c>
      <c r="SPB1332" s="4" t="s">
        <v>2876</v>
      </c>
      <c r="SPC1332" s="4" t="s">
        <v>2876</v>
      </c>
      <c r="SPD1332" s="4" t="s">
        <v>2876</v>
      </c>
      <c r="SPE1332" s="4" t="s">
        <v>2876</v>
      </c>
      <c r="SPF1332" s="4" t="s">
        <v>2876</v>
      </c>
      <c r="SPG1332" s="4" t="s">
        <v>2876</v>
      </c>
      <c r="SPH1332" s="4" t="s">
        <v>2876</v>
      </c>
      <c r="SPI1332" s="4" t="s">
        <v>2876</v>
      </c>
      <c r="SPJ1332" s="4" t="s">
        <v>2876</v>
      </c>
      <c r="SPK1332" s="4" t="s">
        <v>2876</v>
      </c>
      <c r="SPL1332" s="4" t="s">
        <v>2876</v>
      </c>
      <c r="SPM1332" s="4" t="s">
        <v>2876</v>
      </c>
      <c r="SPN1332" s="4" t="s">
        <v>2876</v>
      </c>
      <c r="SPO1332" s="4" t="s">
        <v>2876</v>
      </c>
      <c r="SPP1332" s="4" t="s">
        <v>2876</v>
      </c>
      <c r="SPQ1332" s="4" t="s">
        <v>2876</v>
      </c>
      <c r="SPR1332" s="4" t="s">
        <v>2876</v>
      </c>
      <c r="SPS1332" s="4" t="s">
        <v>2876</v>
      </c>
      <c r="SPT1332" s="4" t="s">
        <v>2876</v>
      </c>
      <c r="SPU1332" s="4" t="s">
        <v>2876</v>
      </c>
      <c r="SPV1332" s="4" t="s">
        <v>2876</v>
      </c>
      <c r="SPW1332" s="4" t="s">
        <v>2876</v>
      </c>
      <c r="SPX1332" s="4" t="s">
        <v>2876</v>
      </c>
      <c r="SPY1332" s="4" t="s">
        <v>2876</v>
      </c>
      <c r="SPZ1332" s="4" t="s">
        <v>2876</v>
      </c>
      <c r="SQA1332" s="4" t="s">
        <v>2876</v>
      </c>
      <c r="SQB1332" s="4" t="s">
        <v>2876</v>
      </c>
      <c r="SQC1332" s="4" t="s">
        <v>2876</v>
      </c>
      <c r="SQD1332" s="4" t="s">
        <v>2876</v>
      </c>
      <c r="SQE1332" s="4" t="s">
        <v>2876</v>
      </c>
      <c r="SQF1332" s="4" t="s">
        <v>2876</v>
      </c>
      <c r="SQG1332" s="4" t="s">
        <v>2876</v>
      </c>
      <c r="SQH1332" s="4" t="s">
        <v>2876</v>
      </c>
      <c r="SQI1332" s="4" t="s">
        <v>2876</v>
      </c>
      <c r="SQJ1332" s="4" t="s">
        <v>2876</v>
      </c>
      <c r="SQK1332" s="4" t="s">
        <v>2876</v>
      </c>
      <c r="SQL1332" s="4" t="s">
        <v>2876</v>
      </c>
      <c r="SQM1332" s="4" t="s">
        <v>2876</v>
      </c>
      <c r="SQN1332" s="4" t="s">
        <v>2876</v>
      </c>
      <c r="SQO1332" s="4" t="s">
        <v>2876</v>
      </c>
      <c r="SQP1332" s="4" t="s">
        <v>2876</v>
      </c>
      <c r="SQQ1332" s="4" t="s">
        <v>2876</v>
      </c>
      <c r="SQR1332" s="4" t="s">
        <v>2876</v>
      </c>
      <c r="SQS1332" s="4" t="s">
        <v>2876</v>
      </c>
      <c r="SQT1332" s="4" t="s">
        <v>2876</v>
      </c>
      <c r="SQU1332" s="4" t="s">
        <v>2876</v>
      </c>
      <c r="SQV1332" s="4" t="s">
        <v>2876</v>
      </c>
      <c r="SQW1332" s="4" t="s">
        <v>2876</v>
      </c>
      <c r="SQX1332" s="4" t="s">
        <v>2876</v>
      </c>
      <c r="SQY1332" s="4" t="s">
        <v>2876</v>
      </c>
      <c r="SQZ1332" s="4" t="s">
        <v>2876</v>
      </c>
      <c r="SRA1332" s="4" t="s">
        <v>2876</v>
      </c>
      <c r="SRB1332" s="4" t="s">
        <v>2876</v>
      </c>
      <c r="SRC1332" s="4" t="s">
        <v>2876</v>
      </c>
      <c r="SRD1332" s="4" t="s">
        <v>2876</v>
      </c>
      <c r="SRE1332" s="4" t="s">
        <v>2876</v>
      </c>
      <c r="SRF1332" s="4" t="s">
        <v>2876</v>
      </c>
      <c r="SRG1332" s="4" t="s">
        <v>2876</v>
      </c>
      <c r="SRH1332" s="4" t="s">
        <v>2876</v>
      </c>
      <c r="SRI1332" s="4" t="s">
        <v>2876</v>
      </c>
      <c r="SRJ1332" s="4" t="s">
        <v>2876</v>
      </c>
      <c r="SRK1332" s="4" t="s">
        <v>2876</v>
      </c>
      <c r="SRL1332" s="4" t="s">
        <v>2876</v>
      </c>
      <c r="SRM1332" s="4" t="s">
        <v>2876</v>
      </c>
      <c r="SRN1332" s="4" t="s">
        <v>2876</v>
      </c>
      <c r="SRO1332" s="4" t="s">
        <v>2876</v>
      </c>
      <c r="SRP1332" s="4" t="s">
        <v>2876</v>
      </c>
      <c r="SRQ1332" s="4" t="s">
        <v>2876</v>
      </c>
      <c r="SRR1332" s="4" t="s">
        <v>2876</v>
      </c>
      <c r="SRS1332" s="4" t="s">
        <v>2876</v>
      </c>
      <c r="SRT1332" s="4" t="s">
        <v>2876</v>
      </c>
      <c r="SRU1332" s="4" t="s">
        <v>2876</v>
      </c>
      <c r="SRV1332" s="4" t="s">
        <v>2876</v>
      </c>
      <c r="SRW1332" s="4" t="s">
        <v>2876</v>
      </c>
      <c r="SRX1332" s="4" t="s">
        <v>2876</v>
      </c>
      <c r="SRY1332" s="4" t="s">
        <v>2876</v>
      </c>
      <c r="SRZ1332" s="4" t="s">
        <v>2876</v>
      </c>
      <c r="SSA1332" s="4" t="s">
        <v>2876</v>
      </c>
      <c r="SSB1332" s="4" t="s">
        <v>2876</v>
      </c>
      <c r="SSC1332" s="4" t="s">
        <v>2876</v>
      </c>
      <c r="SSD1332" s="4" t="s">
        <v>2876</v>
      </c>
      <c r="SSE1332" s="4" t="s">
        <v>2876</v>
      </c>
      <c r="SSF1332" s="4" t="s">
        <v>2876</v>
      </c>
      <c r="SSG1332" s="4" t="s">
        <v>2876</v>
      </c>
      <c r="SSH1332" s="4" t="s">
        <v>2876</v>
      </c>
      <c r="SSI1332" s="4" t="s">
        <v>2876</v>
      </c>
      <c r="SSJ1332" s="4" t="s">
        <v>2876</v>
      </c>
      <c r="SSK1332" s="4" t="s">
        <v>2876</v>
      </c>
      <c r="SSL1332" s="4" t="s">
        <v>2876</v>
      </c>
      <c r="SSM1332" s="4" t="s">
        <v>2876</v>
      </c>
      <c r="SSN1332" s="4" t="s">
        <v>2876</v>
      </c>
      <c r="SSO1332" s="4" t="s">
        <v>2876</v>
      </c>
      <c r="SSP1332" s="4" t="s">
        <v>2876</v>
      </c>
      <c r="SSQ1332" s="4" t="s">
        <v>2876</v>
      </c>
      <c r="SSR1332" s="4" t="s">
        <v>2876</v>
      </c>
      <c r="SSS1332" s="4" t="s">
        <v>2876</v>
      </c>
      <c r="SST1332" s="4" t="s">
        <v>2876</v>
      </c>
      <c r="SSU1332" s="4" t="s">
        <v>2876</v>
      </c>
      <c r="SSV1332" s="4" t="s">
        <v>2876</v>
      </c>
      <c r="SSW1332" s="4" t="s">
        <v>2876</v>
      </c>
      <c r="SSX1332" s="4" t="s">
        <v>2876</v>
      </c>
      <c r="SSY1332" s="4" t="s">
        <v>2876</v>
      </c>
      <c r="SSZ1332" s="4" t="s">
        <v>2876</v>
      </c>
      <c r="STA1332" s="4" t="s">
        <v>2876</v>
      </c>
      <c r="STB1332" s="4" t="s">
        <v>2876</v>
      </c>
      <c r="STC1332" s="4" t="s">
        <v>2876</v>
      </c>
      <c r="STD1332" s="4" t="s">
        <v>2876</v>
      </c>
      <c r="STE1332" s="4" t="s">
        <v>2876</v>
      </c>
      <c r="STF1332" s="4" t="s">
        <v>2876</v>
      </c>
      <c r="STG1332" s="4" t="s">
        <v>2876</v>
      </c>
      <c r="STH1332" s="4" t="s">
        <v>2876</v>
      </c>
      <c r="STI1332" s="4" t="s">
        <v>2876</v>
      </c>
      <c r="STJ1332" s="4" t="s">
        <v>2876</v>
      </c>
      <c r="STK1332" s="4" t="s">
        <v>2876</v>
      </c>
      <c r="STL1332" s="4" t="s">
        <v>2876</v>
      </c>
      <c r="STM1332" s="4" t="s">
        <v>2876</v>
      </c>
      <c r="STN1332" s="4" t="s">
        <v>2876</v>
      </c>
      <c r="STO1332" s="4" t="s">
        <v>2876</v>
      </c>
      <c r="STP1332" s="4" t="s">
        <v>2876</v>
      </c>
      <c r="STQ1332" s="4" t="s">
        <v>2876</v>
      </c>
      <c r="STR1332" s="4" t="s">
        <v>2876</v>
      </c>
      <c r="STS1332" s="4" t="s">
        <v>2876</v>
      </c>
      <c r="STT1332" s="4" t="s">
        <v>2876</v>
      </c>
      <c r="STU1332" s="4" t="s">
        <v>2876</v>
      </c>
      <c r="STV1332" s="4" t="s">
        <v>2876</v>
      </c>
      <c r="STW1332" s="4" t="s">
        <v>2876</v>
      </c>
      <c r="STX1332" s="4" t="s">
        <v>2876</v>
      </c>
      <c r="STY1332" s="4" t="s">
        <v>2876</v>
      </c>
      <c r="STZ1332" s="4" t="s">
        <v>2876</v>
      </c>
      <c r="SUA1332" s="4" t="s">
        <v>2876</v>
      </c>
      <c r="SUB1332" s="4" t="s">
        <v>2876</v>
      </c>
      <c r="SUC1332" s="4" t="s">
        <v>2876</v>
      </c>
      <c r="SUD1332" s="4" t="s">
        <v>2876</v>
      </c>
      <c r="SUE1332" s="4" t="s">
        <v>2876</v>
      </c>
      <c r="SUF1332" s="4" t="s">
        <v>2876</v>
      </c>
      <c r="SUG1332" s="4" t="s">
        <v>2876</v>
      </c>
      <c r="SUH1332" s="4" t="s">
        <v>2876</v>
      </c>
      <c r="SUI1332" s="4" t="s">
        <v>2876</v>
      </c>
      <c r="SUJ1332" s="4" t="s">
        <v>2876</v>
      </c>
      <c r="SUK1332" s="4" t="s">
        <v>2876</v>
      </c>
      <c r="SUL1332" s="4" t="s">
        <v>2876</v>
      </c>
      <c r="SUM1332" s="4" t="s">
        <v>2876</v>
      </c>
      <c r="SUN1332" s="4" t="s">
        <v>2876</v>
      </c>
      <c r="SUO1332" s="4" t="s">
        <v>2876</v>
      </c>
      <c r="SUP1332" s="4" t="s">
        <v>2876</v>
      </c>
      <c r="SUQ1332" s="4" t="s">
        <v>2876</v>
      </c>
      <c r="SUR1332" s="4" t="s">
        <v>2876</v>
      </c>
      <c r="SUS1332" s="4" t="s">
        <v>2876</v>
      </c>
      <c r="SUT1332" s="4" t="s">
        <v>2876</v>
      </c>
      <c r="SUU1332" s="4" t="s">
        <v>2876</v>
      </c>
      <c r="SUV1332" s="4" t="s">
        <v>2876</v>
      </c>
      <c r="SUW1332" s="4" t="s">
        <v>2876</v>
      </c>
      <c r="SUX1332" s="4" t="s">
        <v>2876</v>
      </c>
      <c r="SUY1332" s="4" t="s">
        <v>2876</v>
      </c>
      <c r="SUZ1332" s="4" t="s">
        <v>2876</v>
      </c>
      <c r="SVA1332" s="4" t="s">
        <v>2876</v>
      </c>
      <c r="SVB1332" s="4" t="s">
        <v>2876</v>
      </c>
      <c r="SVC1332" s="4" t="s">
        <v>2876</v>
      </c>
      <c r="SVD1332" s="4" t="s">
        <v>2876</v>
      </c>
      <c r="SVE1332" s="4" t="s">
        <v>2876</v>
      </c>
      <c r="SVF1332" s="4" t="s">
        <v>2876</v>
      </c>
      <c r="SVG1332" s="4" t="s">
        <v>2876</v>
      </c>
      <c r="SVH1332" s="4" t="s">
        <v>2876</v>
      </c>
      <c r="SVI1332" s="4" t="s">
        <v>2876</v>
      </c>
      <c r="SVJ1332" s="4" t="s">
        <v>2876</v>
      </c>
      <c r="SVK1332" s="4" t="s">
        <v>2876</v>
      </c>
      <c r="SVL1332" s="4" t="s">
        <v>2876</v>
      </c>
      <c r="SVM1332" s="4" t="s">
        <v>2876</v>
      </c>
      <c r="SVN1332" s="4" t="s">
        <v>2876</v>
      </c>
      <c r="SVO1332" s="4" t="s">
        <v>2876</v>
      </c>
      <c r="SVP1332" s="4" t="s">
        <v>2876</v>
      </c>
      <c r="SVQ1332" s="4" t="s">
        <v>2876</v>
      </c>
      <c r="SVR1332" s="4" t="s">
        <v>2876</v>
      </c>
      <c r="SVS1332" s="4" t="s">
        <v>2876</v>
      </c>
      <c r="SVT1332" s="4" t="s">
        <v>2876</v>
      </c>
      <c r="SVU1332" s="4" t="s">
        <v>2876</v>
      </c>
      <c r="SVV1332" s="4" t="s">
        <v>2876</v>
      </c>
      <c r="SVW1332" s="4" t="s">
        <v>2876</v>
      </c>
      <c r="SVX1332" s="4" t="s">
        <v>2876</v>
      </c>
      <c r="SVY1332" s="4" t="s">
        <v>2876</v>
      </c>
      <c r="SVZ1332" s="4" t="s">
        <v>2876</v>
      </c>
      <c r="SWA1332" s="4" t="s">
        <v>2876</v>
      </c>
      <c r="SWB1332" s="4" t="s">
        <v>2876</v>
      </c>
      <c r="SWC1332" s="4" t="s">
        <v>2876</v>
      </c>
      <c r="SWD1332" s="4" t="s">
        <v>2876</v>
      </c>
      <c r="SWE1332" s="4" t="s">
        <v>2876</v>
      </c>
      <c r="SWF1332" s="4" t="s">
        <v>2876</v>
      </c>
      <c r="SWG1332" s="4" t="s">
        <v>2876</v>
      </c>
      <c r="SWH1332" s="4" t="s">
        <v>2876</v>
      </c>
      <c r="SWI1332" s="4" t="s">
        <v>2876</v>
      </c>
      <c r="SWJ1332" s="4" t="s">
        <v>2876</v>
      </c>
      <c r="SWK1332" s="4" t="s">
        <v>2876</v>
      </c>
      <c r="SWL1332" s="4" t="s">
        <v>2876</v>
      </c>
      <c r="SWM1332" s="4" t="s">
        <v>2876</v>
      </c>
      <c r="SWN1332" s="4" t="s">
        <v>2876</v>
      </c>
      <c r="SWO1332" s="4" t="s">
        <v>2876</v>
      </c>
      <c r="SWP1332" s="4" t="s">
        <v>2876</v>
      </c>
      <c r="SWQ1332" s="4" t="s">
        <v>2876</v>
      </c>
      <c r="SWR1332" s="4" t="s">
        <v>2876</v>
      </c>
      <c r="SWS1332" s="4" t="s">
        <v>2876</v>
      </c>
      <c r="SWT1332" s="4" t="s">
        <v>2876</v>
      </c>
      <c r="SWU1332" s="4" t="s">
        <v>2876</v>
      </c>
      <c r="SWV1332" s="4" t="s">
        <v>2876</v>
      </c>
      <c r="SWW1332" s="4" t="s">
        <v>2876</v>
      </c>
      <c r="SWX1332" s="4" t="s">
        <v>2876</v>
      </c>
      <c r="SWY1332" s="4" t="s">
        <v>2876</v>
      </c>
      <c r="SWZ1332" s="4" t="s">
        <v>2876</v>
      </c>
      <c r="SXA1332" s="4" t="s">
        <v>2876</v>
      </c>
      <c r="SXB1332" s="4" t="s">
        <v>2876</v>
      </c>
      <c r="SXC1332" s="4" t="s">
        <v>2876</v>
      </c>
      <c r="SXD1332" s="4" t="s">
        <v>2876</v>
      </c>
      <c r="SXE1332" s="4" t="s">
        <v>2876</v>
      </c>
      <c r="SXF1332" s="4" t="s">
        <v>2876</v>
      </c>
      <c r="SXG1332" s="4" t="s">
        <v>2876</v>
      </c>
      <c r="SXH1332" s="4" t="s">
        <v>2876</v>
      </c>
      <c r="SXI1332" s="4" t="s">
        <v>2876</v>
      </c>
      <c r="SXJ1332" s="4" t="s">
        <v>2876</v>
      </c>
      <c r="SXK1332" s="4" t="s">
        <v>2876</v>
      </c>
      <c r="SXL1332" s="4" t="s">
        <v>2876</v>
      </c>
      <c r="SXM1332" s="4" t="s">
        <v>2876</v>
      </c>
      <c r="SXN1332" s="4" t="s">
        <v>2876</v>
      </c>
      <c r="SXO1332" s="4" t="s">
        <v>2876</v>
      </c>
      <c r="SXP1332" s="4" t="s">
        <v>2876</v>
      </c>
      <c r="SXQ1332" s="4" t="s">
        <v>2876</v>
      </c>
      <c r="SXR1332" s="4" t="s">
        <v>2876</v>
      </c>
      <c r="SXS1332" s="4" t="s">
        <v>2876</v>
      </c>
      <c r="SXT1332" s="4" t="s">
        <v>2876</v>
      </c>
      <c r="SXU1332" s="4" t="s">
        <v>2876</v>
      </c>
      <c r="SXV1332" s="4" t="s">
        <v>2876</v>
      </c>
      <c r="SXW1332" s="4" t="s">
        <v>2876</v>
      </c>
      <c r="SXX1332" s="4" t="s">
        <v>2876</v>
      </c>
      <c r="SXY1332" s="4" t="s">
        <v>2876</v>
      </c>
      <c r="SXZ1332" s="4" t="s">
        <v>2876</v>
      </c>
      <c r="SYA1332" s="4" t="s">
        <v>2876</v>
      </c>
      <c r="SYB1332" s="4" t="s">
        <v>2876</v>
      </c>
      <c r="SYC1332" s="4" t="s">
        <v>2876</v>
      </c>
      <c r="SYD1332" s="4" t="s">
        <v>2876</v>
      </c>
      <c r="SYE1332" s="4" t="s">
        <v>2876</v>
      </c>
      <c r="SYF1332" s="4" t="s">
        <v>2876</v>
      </c>
      <c r="SYG1332" s="4" t="s">
        <v>2876</v>
      </c>
      <c r="SYH1332" s="4" t="s">
        <v>2876</v>
      </c>
      <c r="SYI1332" s="4" t="s">
        <v>2876</v>
      </c>
      <c r="SYJ1332" s="4" t="s">
        <v>2876</v>
      </c>
      <c r="SYK1332" s="4" t="s">
        <v>2876</v>
      </c>
      <c r="SYL1332" s="4" t="s">
        <v>2876</v>
      </c>
      <c r="SYM1332" s="4" t="s">
        <v>2876</v>
      </c>
      <c r="SYN1332" s="4" t="s">
        <v>2876</v>
      </c>
      <c r="SYO1332" s="4" t="s">
        <v>2876</v>
      </c>
      <c r="SYP1332" s="4" t="s">
        <v>2876</v>
      </c>
      <c r="SYQ1332" s="4" t="s">
        <v>2876</v>
      </c>
      <c r="SYR1332" s="4" t="s">
        <v>2876</v>
      </c>
      <c r="SYS1332" s="4" t="s">
        <v>2876</v>
      </c>
      <c r="SYT1332" s="4" t="s">
        <v>2876</v>
      </c>
      <c r="SYU1332" s="4" t="s">
        <v>2876</v>
      </c>
      <c r="SYV1332" s="4" t="s">
        <v>2876</v>
      </c>
      <c r="SYW1332" s="4" t="s">
        <v>2876</v>
      </c>
      <c r="SYX1332" s="4" t="s">
        <v>2876</v>
      </c>
      <c r="SYY1332" s="4" t="s">
        <v>2876</v>
      </c>
      <c r="SYZ1332" s="4" t="s">
        <v>2876</v>
      </c>
      <c r="SZA1332" s="4" t="s">
        <v>2876</v>
      </c>
      <c r="SZB1332" s="4" t="s">
        <v>2876</v>
      </c>
      <c r="SZC1332" s="4" t="s">
        <v>2876</v>
      </c>
      <c r="SZD1332" s="4" t="s">
        <v>2876</v>
      </c>
      <c r="SZE1332" s="4" t="s">
        <v>2876</v>
      </c>
      <c r="SZF1332" s="4" t="s">
        <v>2876</v>
      </c>
      <c r="SZG1332" s="4" t="s">
        <v>2876</v>
      </c>
      <c r="SZH1332" s="4" t="s">
        <v>2876</v>
      </c>
      <c r="SZI1332" s="4" t="s">
        <v>2876</v>
      </c>
      <c r="SZJ1332" s="4" t="s">
        <v>2876</v>
      </c>
      <c r="SZK1332" s="4" t="s">
        <v>2876</v>
      </c>
      <c r="SZL1332" s="4" t="s">
        <v>2876</v>
      </c>
      <c r="SZM1332" s="4" t="s">
        <v>2876</v>
      </c>
      <c r="SZN1332" s="4" t="s">
        <v>2876</v>
      </c>
      <c r="SZO1332" s="4" t="s">
        <v>2876</v>
      </c>
      <c r="SZP1332" s="4" t="s">
        <v>2876</v>
      </c>
      <c r="SZQ1332" s="4" t="s">
        <v>2876</v>
      </c>
      <c r="SZR1332" s="4" t="s">
        <v>2876</v>
      </c>
      <c r="SZS1332" s="4" t="s">
        <v>2876</v>
      </c>
      <c r="SZT1332" s="4" t="s">
        <v>2876</v>
      </c>
      <c r="SZU1332" s="4" t="s">
        <v>2876</v>
      </c>
      <c r="SZV1332" s="4" t="s">
        <v>2876</v>
      </c>
      <c r="SZW1332" s="4" t="s">
        <v>2876</v>
      </c>
      <c r="SZX1332" s="4" t="s">
        <v>2876</v>
      </c>
      <c r="SZY1332" s="4" t="s">
        <v>2876</v>
      </c>
      <c r="SZZ1332" s="4" t="s">
        <v>2876</v>
      </c>
      <c r="TAA1332" s="4" t="s">
        <v>2876</v>
      </c>
      <c r="TAB1332" s="4" t="s">
        <v>2876</v>
      </c>
      <c r="TAC1332" s="4" t="s">
        <v>2876</v>
      </c>
      <c r="TAD1332" s="4" t="s">
        <v>2876</v>
      </c>
      <c r="TAE1332" s="4" t="s">
        <v>2876</v>
      </c>
      <c r="TAF1332" s="4" t="s">
        <v>2876</v>
      </c>
      <c r="TAG1332" s="4" t="s">
        <v>2876</v>
      </c>
      <c r="TAH1332" s="4" t="s">
        <v>2876</v>
      </c>
      <c r="TAI1332" s="4" t="s">
        <v>2876</v>
      </c>
      <c r="TAJ1332" s="4" t="s">
        <v>2876</v>
      </c>
      <c r="TAK1332" s="4" t="s">
        <v>2876</v>
      </c>
      <c r="TAL1332" s="4" t="s">
        <v>2876</v>
      </c>
      <c r="TAM1332" s="4" t="s">
        <v>2876</v>
      </c>
      <c r="TAN1332" s="4" t="s">
        <v>2876</v>
      </c>
      <c r="TAO1332" s="4" t="s">
        <v>2876</v>
      </c>
      <c r="TAP1332" s="4" t="s">
        <v>2876</v>
      </c>
      <c r="TAQ1332" s="4" t="s">
        <v>2876</v>
      </c>
      <c r="TAR1332" s="4" t="s">
        <v>2876</v>
      </c>
      <c r="TAS1332" s="4" t="s">
        <v>2876</v>
      </c>
      <c r="TAT1332" s="4" t="s">
        <v>2876</v>
      </c>
      <c r="TAU1332" s="4" t="s">
        <v>2876</v>
      </c>
      <c r="TAV1332" s="4" t="s">
        <v>2876</v>
      </c>
      <c r="TAW1332" s="4" t="s">
        <v>2876</v>
      </c>
      <c r="TAX1332" s="4" t="s">
        <v>2876</v>
      </c>
      <c r="TAY1332" s="4" t="s">
        <v>2876</v>
      </c>
      <c r="TAZ1332" s="4" t="s">
        <v>2876</v>
      </c>
      <c r="TBA1332" s="4" t="s">
        <v>2876</v>
      </c>
      <c r="TBB1332" s="4" t="s">
        <v>2876</v>
      </c>
      <c r="TBC1332" s="4" t="s">
        <v>2876</v>
      </c>
      <c r="TBD1332" s="4" t="s">
        <v>2876</v>
      </c>
      <c r="TBE1332" s="4" t="s">
        <v>2876</v>
      </c>
      <c r="TBF1332" s="4" t="s">
        <v>2876</v>
      </c>
      <c r="TBG1332" s="4" t="s">
        <v>2876</v>
      </c>
      <c r="TBH1332" s="4" t="s">
        <v>2876</v>
      </c>
      <c r="TBI1332" s="4" t="s">
        <v>2876</v>
      </c>
      <c r="TBJ1332" s="4" t="s">
        <v>2876</v>
      </c>
      <c r="TBK1332" s="4" t="s">
        <v>2876</v>
      </c>
      <c r="TBL1332" s="4" t="s">
        <v>2876</v>
      </c>
      <c r="TBM1332" s="4" t="s">
        <v>2876</v>
      </c>
      <c r="TBN1332" s="4" t="s">
        <v>2876</v>
      </c>
      <c r="TBO1332" s="4" t="s">
        <v>2876</v>
      </c>
      <c r="TBP1332" s="4" t="s">
        <v>2876</v>
      </c>
      <c r="TBQ1332" s="4" t="s">
        <v>2876</v>
      </c>
      <c r="TBR1332" s="4" t="s">
        <v>2876</v>
      </c>
      <c r="TBS1332" s="4" t="s">
        <v>2876</v>
      </c>
      <c r="TBT1332" s="4" t="s">
        <v>2876</v>
      </c>
      <c r="TBU1332" s="4" t="s">
        <v>2876</v>
      </c>
      <c r="TBV1332" s="4" t="s">
        <v>2876</v>
      </c>
      <c r="TBW1332" s="4" t="s">
        <v>2876</v>
      </c>
      <c r="TBX1332" s="4" t="s">
        <v>2876</v>
      </c>
      <c r="TBY1332" s="4" t="s">
        <v>2876</v>
      </c>
      <c r="TBZ1332" s="4" t="s">
        <v>2876</v>
      </c>
      <c r="TCA1332" s="4" t="s">
        <v>2876</v>
      </c>
      <c r="TCB1332" s="4" t="s">
        <v>2876</v>
      </c>
      <c r="TCC1332" s="4" t="s">
        <v>2876</v>
      </c>
      <c r="TCD1332" s="4" t="s">
        <v>2876</v>
      </c>
      <c r="TCE1332" s="4" t="s">
        <v>2876</v>
      </c>
      <c r="TCF1332" s="4" t="s">
        <v>2876</v>
      </c>
      <c r="TCG1332" s="4" t="s">
        <v>2876</v>
      </c>
      <c r="TCH1332" s="4" t="s">
        <v>2876</v>
      </c>
      <c r="TCI1332" s="4" t="s">
        <v>2876</v>
      </c>
      <c r="TCJ1332" s="4" t="s">
        <v>2876</v>
      </c>
      <c r="TCK1332" s="4" t="s">
        <v>2876</v>
      </c>
      <c r="TCL1332" s="4" t="s">
        <v>2876</v>
      </c>
      <c r="TCM1332" s="4" t="s">
        <v>2876</v>
      </c>
      <c r="TCN1332" s="4" t="s">
        <v>2876</v>
      </c>
      <c r="TCO1332" s="4" t="s">
        <v>2876</v>
      </c>
      <c r="TCP1332" s="4" t="s">
        <v>2876</v>
      </c>
      <c r="TCQ1332" s="4" t="s">
        <v>2876</v>
      </c>
      <c r="TCR1332" s="4" t="s">
        <v>2876</v>
      </c>
      <c r="TCS1332" s="4" t="s">
        <v>2876</v>
      </c>
      <c r="TCT1332" s="4" t="s">
        <v>2876</v>
      </c>
      <c r="TCU1332" s="4" t="s">
        <v>2876</v>
      </c>
      <c r="TCV1332" s="4" t="s">
        <v>2876</v>
      </c>
      <c r="TCW1332" s="4" t="s">
        <v>2876</v>
      </c>
      <c r="TCX1332" s="4" t="s">
        <v>2876</v>
      </c>
      <c r="TCY1332" s="4" t="s">
        <v>2876</v>
      </c>
      <c r="TCZ1332" s="4" t="s">
        <v>2876</v>
      </c>
      <c r="TDA1332" s="4" t="s">
        <v>2876</v>
      </c>
      <c r="TDB1332" s="4" t="s">
        <v>2876</v>
      </c>
      <c r="TDC1332" s="4" t="s">
        <v>2876</v>
      </c>
      <c r="TDD1332" s="4" t="s">
        <v>2876</v>
      </c>
      <c r="TDE1332" s="4" t="s">
        <v>2876</v>
      </c>
      <c r="TDF1332" s="4" t="s">
        <v>2876</v>
      </c>
      <c r="TDG1332" s="4" t="s">
        <v>2876</v>
      </c>
      <c r="TDH1332" s="4" t="s">
        <v>2876</v>
      </c>
      <c r="TDI1332" s="4" t="s">
        <v>2876</v>
      </c>
      <c r="TDJ1332" s="4" t="s">
        <v>2876</v>
      </c>
      <c r="TDK1332" s="4" t="s">
        <v>2876</v>
      </c>
      <c r="TDL1332" s="4" t="s">
        <v>2876</v>
      </c>
      <c r="TDM1332" s="4" t="s">
        <v>2876</v>
      </c>
      <c r="TDN1332" s="4" t="s">
        <v>2876</v>
      </c>
      <c r="TDO1332" s="4" t="s">
        <v>2876</v>
      </c>
      <c r="TDP1332" s="4" t="s">
        <v>2876</v>
      </c>
      <c r="TDQ1332" s="4" t="s">
        <v>2876</v>
      </c>
      <c r="TDR1332" s="4" t="s">
        <v>2876</v>
      </c>
      <c r="TDS1332" s="4" t="s">
        <v>2876</v>
      </c>
      <c r="TDT1332" s="4" t="s">
        <v>2876</v>
      </c>
      <c r="TDU1332" s="4" t="s">
        <v>2876</v>
      </c>
      <c r="TDV1332" s="4" t="s">
        <v>2876</v>
      </c>
      <c r="TDW1332" s="4" t="s">
        <v>2876</v>
      </c>
      <c r="TDX1332" s="4" t="s">
        <v>2876</v>
      </c>
      <c r="TDY1332" s="4" t="s">
        <v>2876</v>
      </c>
      <c r="TDZ1332" s="4" t="s">
        <v>2876</v>
      </c>
      <c r="TEA1332" s="4" t="s">
        <v>2876</v>
      </c>
      <c r="TEB1332" s="4" t="s">
        <v>2876</v>
      </c>
      <c r="TEC1332" s="4" t="s">
        <v>2876</v>
      </c>
      <c r="TED1332" s="4" t="s">
        <v>2876</v>
      </c>
      <c r="TEE1332" s="4" t="s">
        <v>2876</v>
      </c>
      <c r="TEF1332" s="4" t="s">
        <v>2876</v>
      </c>
      <c r="TEG1332" s="4" t="s">
        <v>2876</v>
      </c>
      <c r="TEH1332" s="4" t="s">
        <v>2876</v>
      </c>
      <c r="TEI1332" s="4" t="s">
        <v>2876</v>
      </c>
      <c r="TEJ1332" s="4" t="s">
        <v>2876</v>
      </c>
      <c r="TEK1332" s="4" t="s">
        <v>2876</v>
      </c>
      <c r="TEL1332" s="4" t="s">
        <v>2876</v>
      </c>
      <c r="TEM1332" s="4" t="s">
        <v>2876</v>
      </c>
      <c r="TEN1332" s="4" t="s">
        <v>2876</v>
      </c>
      <c r="TEO1332" s="4" t="s">
        <v>2876</v>
      </c>
      <c r="TEP1332" s="4" t="s">
        <v>2876</v>
      </c>
      <c r="TEQ1332" s="4" t="s">
        <v>2876</v>
      </c>
      <c r="TER1332" s="4" t="s">
        <v>2876</v>
      </c>
      <c r="TES1332" s="4" t="s">
        <v>2876</v>
      </c>
      <c r="TET1332" s="4" t="s">
        <v>2876</v>
      </c>
      <c r="TEU1332" s="4" t="s">
        <v>2876</v>
      </c>
      <c r="TEV1332" s="4" t="s">
        <v>2876</v>
      </c>
      <c r="TEW1332" s="4" t="s">
        <v>2876</v>
      </c>
      <c r="TEX1332" s="4" t="s">
        <v>2876</v>
      </c>
      <c r="TEY1332" s="4" t="s">
        <v>2876</v>
      </c>
      <c r="TEZ1332" s="4" t="s">
        <v>2876</v>
      </c>
      <c r="TFA1332" s="4" t="s">
        <v>2876</v>
      </c>
      <c r="TFB1332" s="4" t="s">
        <v>2876</v>
      </c>
      <c r="TFC1332" s="4" t="s">
        <v>2876</v>
      </c>
      <c r="TFD1332" s="4" t="s">
        <v>2876</v>
      </c>
      <c r="TFE1332" s="4" t="s">
        <v>2876</v>
      </c>
      <c r="TFF1332" s="4" t="s">
        <v>2876</v>
      </c>
      <c r="TFG1332" s="4" t="s">
        <v>2876</v>
      </c>
      <c r="TFH1332" s="4" t="s">
        <v>2876</v>
      </c>
      <c r="TFI1332" s="4" t="s">
        <v>2876</v>
      </c>
      <c r="TFJ1332" s="4" t="s">
        <v>2876</v>
      </c>
      <c r="TFK1332" s="4" t="s">
        <v>2876</v>
      </c>
      <c r="TFL1332" s="4" t="s">
        <v>2876</v>
      </c>
      <c r="TFM1332" s="4" t="s">
        <v>2876</v>
      </c>
      <c r="TFN1332" s="4" t="s">
        <v>2876</v>
      </c>
      <c r="TFO1332" s="4" t="s">
        <v>2876</v>
      </c>
      <c r="TFP1332" s="4" t="s">
        <v>2876</v>
      </c>
      <c r="TFQ1332" s="4" t="s">
        <v>2876</v>
      </c>
      <c r="TFR1332" s="4" t="s">
        <v>2876</v>
      </c>
      <c r="TFS1332" s="4" t="s">
        <v>2876</v>
      </c>
      <c r="TFT1332" s="4" t="s">
        <v>2876</v>
      </c>
      <c r="TFU1332" s="4" t="s">
        <v>2876</v>
      </c>
      <c r="TFV1332" s="4" t="s">
        <v>2876</v>
      </c>
      <c r="TFW1332" s="4" t="s">
        <v>2876</v>
      </c>
      <c r="TFX1332" s="4" t="s">
        <v>2876</v>
      </c>
      <c r="TFY1332" s="4" t="s">
        <v>2876</v>
      </c>
      <c r="TFZ1332" s="4" t="s">
        <v>2876</v>
      </c>
      <c r="TGA1332" s="4" t="s">
        <v>2876</v>
      </c>
      <c r="TGB1332" s="4" t="s">
        <v>2876</v>
      </c>
      <c r="TGC1332" s="4" t="s">
        <v>2876</v>
      </c>
      <c r="TGD1332" s="4" t="s">
        <v>2876</v>
      </c>
      <c r="TGE1332" s="4" t="s">
        <v>2876</v>
      </c>
      <c r="TGF1332" s="4" t="s">
        <v>2876</v>
      </c>
      <c r="TGG1332" s="4" t="s">
        <v>2876</v>
      </c>
      <c r="TGH1332" s="4" t="s">
        <v>2876</v>
      </c>
      <c r="TGI1332" s="4" t="s">
        <v>2876</v>
      </c>
      <c r="TGJ1332" s="4" t="s">
        <v>2876</v>
      </c>
      <c r="TGK1332" s="4" t="s">
        <v>2876</v>
      </c>
      <c r="TGL1332" s="4" t="s">
        <v>2876</v>
      </c>
      <c r="TGM1332" s="4" t="s">
        <v>2876</v>
      </c>
      <c r="TGN1332" s="4" t="s">
        <v>2876</v>
      </c>
      <c r="TGO1332" s="4" t="s">
        <v>2876</v>
      </c>
      <c r="TGP1332" s="4" t="s">
        <v>2876</v>
      </c>
      <c r="TGQ1332" s="4" t="s">
        <v>2876</v>
      </c>
      <c r="TGR1332" s="4" t="s">
        <v>2876</v>
      </c>
      <c r="TGS1332" s="4" t="s">
        <v>2876</v>
      </c>
      <c r="TGT1332" s="4" t="s">
        <v>2876</v>
      </c>
      <c r="TGU1332" s="4" t="s">
        <v>2876</v>
      </c>
      <c r="TGV1332" s="4" t="s">
        <v>2876</v>
      </c>
      <c r="TGW1332" s="4" t="s">
        <v>2876</v>
      </c>
      <c r="TGX1332" s="4" t="s">
        <v>2876</v>
      </c>
      <c r="TGY1332" s="4" t="s">
        <v>2876</v>
      </c>
      <c r="TGZ1332" s="4" t="s">
        <v>2876</v>
      </c>
      <c r="THA1332" s="4" t="s">
        <v>2876</v>
      </c>
      <c r="THB1332" s="4" t="s">
        <v>2876</v>
      </c>
      <c r="THC1332" s="4" t="s">
        <v>2876</v>
      </c>
      <c r="THD1332" s="4" t="s">
        <v>2876</v>
      </c>
      <c r="THE1332" s="4" t="s">
        <v>2876</v>
      </c>
      <c r="THF1332" s="4" t="s">
        <v>2876</v>
      </c>
      <c r="THG1332" s="4" t="s">
        <v>2876</v>
      </c>
      <c r="THH1332" s="4" t="s">
        <v>2876</v>
      </c>
      <c r="THI1332" s="4" t="s">
        <v>2876</v>
      </c>
      <c r="THJ1332" s="4" t="s">
        <v>2876</v>
      </c>
      <c r="THK1332" s="4" t="s">
        <v>2876</v>
      </c>
      <c r="THL1332" s="4" t="s">
        <v>2876</v>
      </c>
      <c r="THM1332" s="4" t="s">
        <v>2876</v>
      </c>
      <c r="THN1332" s="4" t="s">
        <v>2876</v>
      </c>
      <c r="THO1332" s="4" t="s">
        <v>2876</v>
      </c>
      <c r="THP1332" s="4" t="s">
        <v>2876</v>
      </c>
      <c r="THQ1332" s="4" t="s">
        <v>2876</v>
      </c>
      <c r="THR1332" s="4" t="s">
        <v>2876</v>
      </c>
      <c r="THS1332" s="4" t="s">
        <v>2876</v>
      </c>
      <c r="THT1332" s="4" t="s">
        <v>2876</v>
      </c>
      <c r="THU1332" s="4" t="s">
        <v>2876</v>
      </c>
      <c r="THV1332" s="4" t="s">
        <v>2876</v>
      </c>
      <c r="THW1332" s="4" t="s">
        <v>2876</v>
      </c>
      <c r="THX1332" s="4" t="s">
        <v>2876</v>
      </c>
      <c r="THY1332" s="4" t="s">
        <v>2876</v>
      </c>
      <c r="THZ1332" s="4" t="s">
        <v>2876</v>
      </c>
      <c r="TIA1332" s="4" t="s">
        <v>2876</v>
      </c>
      <c r="TIB1332" s="4" t="s">
        <v>2876</v>
      </c>
      <c r="TIC1332" s="4" t="s">
        <v>2876</v>
      </c>
      <c r="TID1332" s="4" t="s">
        <v>2876</v>
      </c>
      <c r="TIE1332" s="4" t="s">
        <v>2876</v>
      </c>
      <c r="TIF1332" s="4" t="s">
        <v>2876</v>
      </c>
      <c r="TIG1332" s="4" t="s">
        <v>2876</v>
      </c>
      <c r="TIH1332" s="4" t="s">
        <v>2876</v>
      </c>
      <c r="TII1332" s="4" t="s">
        <v>2876</v>
      </c>
      <c r="TIJ1332" s="4" t="s">
        <v>2876</v>
      </c>
      <c r="TIK1332" s="4" t="s">
        <v>2876</v>
      </c>
      <c r="TIL1332" s="4" t="s">
        <v>2876</v>
      </c>
      <c r="TIM1332" s="4" t="s">
        <v>2876</v>
      </c>
      <c r="TIN1332" s="4" t="s">
        <v>2876</v>
      </c>
      <c r="TIO1332" s="4" t="s">
        <v>2876</v>
      </c>
      <c r="TIP1332" s="4" t="s">
        <v>2876</v>
      </c>
      <c r="TIQ1332" s="4" t="s">
        <v>2876</v>
      </c>
      <c r="TIR1332" s="4" t="s">
        <v>2876</v>
      </c>
      <c r="TIS1332" s="4" t="s">
        <v>2876</v>
      </c>
      <c r="TIT1332" s="4" t="s">
        <v>2876</v>
      </c>
      <c r="TIU1332" s="4" t="s">
        <v>2876</v>
      </c>
      <c r="TIV1332" s="4" t="s">
        <v>2876</v>
      </c>
      <c r="TIW1332" s="4" t="s">
        <v>2876</v>
      </c>
      <c r="TIX1332" s="4" t="s">
        <v>2876</v>
      </c>
      <c r="TIY1332" s="4" t="s">
        <v>2876</v>
      </c>
      <c r="TIZ1332" s="4" t="s">
        <v>2876</v>
      </c>
      <c r="TJA1332" s="4" t="s">
        <v>2876</v>
      </c>
      <c r="TJB1332" s="4" t="s">
        <v>2876</v>
      </c>
      <c r="TJC1332" s="4" t="s">
        <v>2876</v>
      </c>
      <c r="TJD1332" s="4" t="s">
        <v>2876</v>
      </c>
      <c r="TJE1332" s="4" t="s">
        <v>2876</v>
      </c>
      <c r="TJF1332" s="4" t="s">
        <v>2876</v>
      </c>
      <c r="TJG1332" s="4" t="s">
        <v>2876</v>
      </c>
      <c r="TJH1332" s="4" t="s">
        <v>2876</v>
      </c>
      <c r="TJI1332" s="4" t="s">
        <v>2876</v>
      </c>
      <c r="TJJ1332" s="4" t="s">
        <v>2876</v>
      </c>
      <c r="TJK1332" s="4" t="s">
        <v>2876</v>
      </c>
      <c r="TJL1332" s="4" t="s">
        <v>2876</v>
      </c>
      <c r="TJM1332" s="4" t="s">
        <v>2876</v>
      </c>
      <c r="TJN1332" s="4" t="s">
        <v>2876</v>
      </c>
      <c r="TJO1332" s="4" t="s">
        <v>2876</v>
      </c>
      <c r="TJP1332" s="4" t="s">
        <v>2876</v>
      </c>
      <c r="TJQ1332" s="4" t="s">
        <v>2876</v>
      </c>
      <c r="TJR1332" s="4" t="s">
        <v>2876</v>
      </c>
      <c r="TJS1332" s="4" t="s">
        <v>2876</v>
      </c>
      <c r="TJT1332" s="4" t="s">
        <v>2876</v>
      </c>
      <c r="TJU1332" s="4" t="s">
        <v>2876</v>
      </c>
      <c r="TJV1332" s="4" t="s">
        <v>2876</v>
      </c>
      <c r="TJW1332" s="4" t="s">
        <v>2876</v>
      </c>
      <c r="TJX1332" s="4" t="s">
        <v>2876</v>
      </c>
      <c r="TJY1332" s="4" t="s">
        <v>2876</v>
      </c>
      <c r="TJZ1332" s="4" t="s">
        <v>2876</v>
      </c>
      <c r="TKA1332" s="4" t="s">
        <v>2876</v>
      </c>
      <c r="TKB1332" s="4" t="s">
        <v>2876</v>
      </c>
      <c r="TKC1332" s="4" t="s">
        <v>2876</v>
      </c>
      <c r="TKD1332" s="4" t="s">
        <v>2876</v>
      </c>
      <c r="TKE1332" s="4" t="s">
        <v>2876</v>
      </c>
      <c r="TKF1332" s="4" t="s">
        <v>2876</v>
      </c>
      <c r="TKG1332" s="4" t="s">
        <v>2876</v>
      </c>
      <c r="TKH1332" s="4" t="s">
        <v>2876</v>
      </c>
      <c r="TKI1332" s="4" t="s">
        <v>2876</v>
      </c>
      <c r="TKJ1332" s="4" t="s">
        <v>2876</v>
      </c>
      <c r="TKK1332" s="4" t="s">
        <v>2876</v>
      </c>
      <c r="TKL1332" s="4" t="s">
        <v>2876</v>
      </c>
      <c r="TKM1332" s="4" t="s">
        <v>2876</v>
      </c>
      <c r="TKN1332" s="4" t="s">
        <v>2876</v>
      </c>
      <c r="TKO1332" s="4" t="s">
        <v>2876</v>
      </c>
      <c r="TKP1332" s="4" t="s">
        <v>2876</v>
      </c>
      <c r="TKQ1332" s="4" t="s">
        <v>2876</v>
      </c>
      <c r="TKR1332" s="4" t="s">
        <v>2876</v>
      </c>
      <c r="TKS1332" s="4" t="s">
        <v>2876</v>
      </c>
      <c r="TKT1332" s="4" t="s">
        <v>2876</v>
      </c>
      <c r="TKU1332" s="4" t="s">
        <v>2876</v>
      </c>
      <c r="TKV1332" s="4" t="s">
        <v>2876</v>
      </c>
      <c r="TKW1332" s="4" t="s">
        <v>2876</v>
      </c>
      <c r="TKX1332" s="4" t="s">
        <v>2876</v>
      </c>
      <c r="TKY1332" s="4" t="s">
        <v>2876</v>
      </c>
      <c r="TKZ1332" s="4" t="s">
        <v>2876</v>
      </c>
      <c r="TLA1332" s="4" t="s">
        <v>2876</v>
      </c>
      <c r="TLB1332" s="4" t="s">
        <v>2876</v>
      </c>
      <c r="TLC1332" s="4" t="s">
        <v>2876</v>
      </c>
      <c r="TLD1332" s="4" t="s">
        <v>2876</v>
      </c>
      <c r="TLE1332" s="4" t="s">
        <v>2876</v>
      </c>
      <c r="TLF1332" s="4" t="s">
        <v>2876</v>
      </c>
      <c r="TLG1332" s="4" t="s">
        <v>2876</v>
      </c>
      <c r="TLH1332" s="4" t="s">
        <v>2876</v>
      </c>
      <c r="TLI1332" s="4" t="s">
        <v>2876</v>
      </c>
      <c r="TLJ1332" s="4" t="s">
        <v>2876</v>
      </c>
      <c r="TLK1332" s="4" t="s">
        <v>2876</v>
      </c>
      <c r="TLL1332" s="4" t="s">
        <v>2876</v>
      </c>
      <c r="TLM1332" s="4" t="s">
        <v>2876</v>
      </c>
      <c r="TLN1332" s="4" t="s">
        <v>2876</v>
      </c>
      <c r="TLO1332" s="4" t="s">
        <v>2876</v>
      </c>
      <c r="TLP1332" s="4" t="s">
        <v>2876</v>
      </c>
      <c r="TLQ1332" s="4" t="s">
        <v>2876</v>
      </c>
      <c r="TLR1332" s="4" t="s">
        <v>2876</v>
      </c>
      <c r="TLS1332" s="4" t="s">
        <v>2876</v>
      </c>
      <c r="TLT1332" s="4" t="s">
        <v>2876</v>
      </c>
      <c r="TLU1332" s="4" t="s">
        <v>2876</v>
      </c>
      <c r="TLV1332" s="4" t="s">
        <v>2876</v>
      </c>
      <c r="TLW1332" s="4" t="s">
        <v>2876</v>
      </c>
      <c r="TLX1332" s="4" t="s">
        <v>2876</v>
      </c>
      <c r="TLY1332" s="4" t="s">
        <v>2876</v>
      </c>
      <c r="TLZ1332" s="4" t="s">
        <v>2876</v>
      </c>
      <c r="TMA1332" s="4" t="s">
        <v>2876</v>
      </c>
      <c r="TMB1332" s="4" t="s">
        <v>2876</v>
      </c>
      <c r="TMC1332" s="4" t="s">
        <v>2876</v>
      </c>
      <c r="TMD1332" s="4" t="s">
        <v>2876</v>
      </c>
      <c r="TME1332" s="4" t="s">
        <v>2876</v>
      </c>
      <c r="TMF1332" s="4" t="s">
        <v>2876</v>
      </c>
      <c r="TMG1332" s="4" t="s">
        <v>2876</v>
      </c>
      <c r="TMH1332" s="4" t="s">
        <v>2876</v>
      </c>
      <c r="TMI1332" s="4" t="s">
        <v>2876</v>
      </c>
      <c r="TMJ1332" s="4" t="s">
        <v>2876</v>
      </c>
      <c r="TMK1332" s="4" t="s">
        <v>2876</v>
      </c>
      <c r="TML1332" s="4" t="s">
        <v>2876</v>
      </c>
      <c r="TMM1332" s="4" t="s">
        <v>2876</v>
      </c>
      <c r="TMN1332" s="4" t="s">
        <v>2876</v>
      </c>
      <c r="TMO1332" s="4" t="s">
        <v>2876</v>
      </c>
      <c r="TMP1332" s="4" t="s">
        <v>2876</v>
      </c>
      <c r="TMQ1332" s="4" t="s">
        <v>2876</v>
      </c>
      <c r="TMR1332" s="4" t="s">
        <v>2876</v>
      </c>
      <c r="TMS1332" s="4" t="s">
        <v>2876</v>
      </c>
      <c r="TMT1332" s="4" t="s">
        <v>2876</v>
      </c>
      <c r="TMU1332" s="4" t="s">
        <v>2876</v>
      </c>
      <c r="TMV1332" s="4" t="s">
        <v>2876</v>
      </c>
      <c r="TMW1332" s="4" t="s">
        <v>2876</v>
      </c>
      <c r="TMX1332" s="4" t="s">
        <v>2876</v>
      </c>
      <c r="TMY1332" s="4" t="s">
        <v>2876</v>
      </c>
      <c r="TMZ1332" s="4" t="s">
        <v>2876</v>
      </c>
      <c r="TNA1332" s="4" t="s">
        <v>2876</v>
      </c>
      <c r="TNB1332" s="4" t="s">
        <v>2876</v>
      </c>
      <c r="TNC1332" s="4" t="s">
        <v>2876</v>
      </c>
      <c r="TND1332" s="4" t="s">
        <v>2876</v>
      </c>
      <c r="TNE1332" s="4" t="s">
        <v>2876</v>
      </c>
      <c r="TNF1332" s="4" t="s">
        <v>2876</v>
      </c>
      <c r="TNG1332" s="4" t="s">
        <v>2876</v>
      </c>
      <c r="TNH1332" s="4" t="s">
        <v>2876</v>
      </c>
      <c r="TNI1332" s="4" t="s">
        <v>2876</v>
      </c>
      <c r="TNJ1332" s="4" t="s">
        <v>2876</v>
      </c>
      <c r="TNK1332" s="4" t="s">
        <v>2876</v>
      </c>
      <c r="TNL1332" s="4" t="s">
        <v>2876</v>
      </c>
      <c r="TNM1332" s="4" t="s">
        <v>2876</v>
      </c>
      <c r="TNN1332" s="4" t="s">
        <v>2876</v>
      </c>
      <c r="TNO1332" s="4" t="s">
        <v>2876</v>
      </c>
      <c r="TNP1332" s="4" t="s">
        <v>2876</v>
      </c>
      <c r="TNQ1332" s="4" t="s">
        <v>2876</v>
      </c>
      <c r="TNR1332" s="4" t="s">
        <v>2876</v>
      </c>
      <c r="TNS1332" s="4" t="s">
        <v>2876</v>
      </c>
      <c r="TNT1332" s="4" t="s">
        <v>2876</v>
      </c>
      <c r="TNU1332" s="4" t="s">
        <v>2876</v>
      </c>
      <c r="TNV1332" s="4" t="s">
        <v>2876</v>
      </c>
      <c r="TNW1332" s="4" t="s">
        <v>2876</v>
      </c>
      <c r="TNX1332" s="4" t="s">
        <v>2876</v>
      </c>
      <c r="TNY1332" s="4" t="s">
        <v>2876</v>
      </c>
      <c r="TNZ1332" s="4" t="s">
        <v>2876</v>
      </c>
      <c r="TOA1332" s="4" t="s">
        <v>2876</v>
      </c>
      <c r="TOB1332" s="4" t="s">
        <v>2876</v>
      </c>
      <c r="TOC1332" s="4" t="s">
        <v>2876</v>
      </c>
      <c r="TOD1332" s="4" t="s">
        <v>2876</v>
      </c>
      <c r="TOE1332" s="4" t="s">
        <v>2876</v>
      </c>
      <c r="TOF1332" s="4" t="s">
        <v>2876</v>
      </c>
      <c r="TOG1332" s="4" t="s">
        <v>2876</v>
      </c>
      <c r="TOH1332" s="4" t="s">
        <v>2876</v>
      </c>
      <c r="TOI1332" s="4" t="s">
        <v>2876</v>
      </c>
      <c r="TOJ1332" s="4" t="s">
        <v>2876</v>
      </c>
      <c r="TOK1332" s="4" t="s">
        <v>2876</v>
      </c>
      <c r="TOL1332" s="4" t="s">
        <v>2876</v>
      </c>
      <c r="TOM1332" s="4" t="s">
        <v>2876</v>
      </c>
      <c r="TON1332" s="4" t="s">
        <v>2876</v>
      </c>
      <c r="TOO1332" s="4" t="s">
        <v>2876</v>
      </c>
      <c r="TOP1332" s="4" t="s">
        <v>2876</v>
      </c>
      <c r="TOQ1332" s="4" t="s">
        <v>2876</v>
      </c>
      <c r="TOR1332" s="4" t="s">
        <v>2876</v>
      </c>
      <c r="TOS1332" s="4" t="s">
        <v>2876</v>
      </c>
      <c r="TOT1332" s="4" t="s">
        <v>2876</v>
      </c>
      <c r="TOU1332" s="4" t="s">
        <v>2876</v>
      </c>
      <c r="TOV1332" s="4" t="s">
        <v>2876</v>
      </c>
      <c r="TOW1332" s="4" t="s">
        <v>2876</v>
      </c>
      <c r="TOX1332" s="4" t="s">
        <v>2876</v>
      </c>
      <c r="TOY1332" s="4" t="s">
        <v>2876</v>
      </c>
      <c r="TOZ1332" s="4" t="s">
        <v>2876</v>
      </c>
      <c r="TPA1332" s="4" t="s">
        <v>2876</v>
      </c>
      <c r="TPB1332" s="4" t="s">
        <v>2876</v>
      </c>
      <c r="TPC1332" s="4" t="s">
        <v>2876</v>
      </c>
      <c r="TPD1332" s="4" t="s">
        <v>2876</v>
      </c>
      <c r="TPE1332" s="4" t="s">
        <v>2876</v>
      </c>
      <c r="TPF1332" s="4" t="s">
        <v>2876</v>
      </c>
      <c r="TPG1332" s="4" t="s">
        <v>2876</v>
      </c>
      <c r="TPH1332" s="4" t="s">
        <v>2876</v>
      </c>
      <c r="TPI1332" s="4" t="s">
        <v>2876</v>
      </c>
      <c r="TPJ1332" s="4" t="s">
        <v>2876</v>
      </c>
      <c r="TPK1332" s="4" t="s">
        <v>2876</v>
      </c>
      <c r="TPL1332" s="4" t="s">
        <v>2876</v>
      </c>
      <c r="TPM1332" s="4" t="s">
        <v>2876</v>
      </c>
      <c r="TPN1332" s="4" t="s">
        <v>2876</v>
      </c>
      <c r="TPO1332" s="4" t="s">
        <v>2876</v>
      </c>
      <c r="TPP1332" s="4" t="s">
        <v>2876</v>
      </c>
      <c r="TPQ1332" s="4" t="s">
        <v>2876</v>
      </c>
      <c r="TPR1332" s="4" t="s">
        <v>2876</v>
      </c>
      <c r="TPS1332" s="4" t="s">
        <v>2876</v>
      </c>
      <c r="TPT1332" s="4" t="s">
        <v>2876</v>
      </c>
      <c r="TPU1332" s="4" t="s">
        <v>2876</v>
      </c>
      <c r="TPV1332" s="4" t="s">
        <v>2876</v>
      </c>
      <c r="TPW1332" s="4" t="s">
        <v>2876</v>
      </c>
      <c r="TPX1332" s="4" t="s">
        <v>2876</v>
      </c>
      <c r="TPY1332" s="4" t="s">
        <v>2876</v>
      </c>
      <c r="TPZ1332" s="4" t="s">
        <v>2876</v>
      </c>
      <c r="TQA1332" s="4" t="s">
        <v>2876</v>
      </c>
      <c r="TQB1332" s="4" t="s">
        <v>2876</v>
      </c>
      <c r="TQC1332" s="4" t="s">
        <v>2876</v>
      </c>
      <c r="TQD1332" s="4" t="s">
        <v>2876</v>
      </c>
      <c r="TQE1332" s="4" t="s">
        <v>2876</v>
      </c>
      <c r="TQF1332" s="4" t="s">
        <v>2876</v>
      </c>
      <c r="TQG1332" s="4" t="s">
        <v>2876</v>
      </c>
      <c r="TQH1332" s="4" t="s">
        <v>2876</v>
      </c>
      <c r="TQI1332" s="4" t="s">
        <v>2876</v>
      </c>
      <c r="TQJ1332" s="4" t="s">
        <v>2876</v>
      </c>
      <c r="TQK1332" s="4" t="s">
        <v>2876</v>
      </c>
      <c r="TQL1332" s="4" t="s">
        <v>2876</v>
      </c>
      <c r="TQM1332" s="4" t="s">
        <v>2876</v>
      </c>
      <c r="TQN1332" s="4" t="s">
        <v>2876</v>
      </c>
      <c r="TQO1332" s="4" t="s">
        <v>2876</v>
      </c>
      <c r="TQP1332" s="4" t="s">
        <v>2876</v>
      </c>
      <c r="TQQ1332" s="4" t="s">
        <v>2876</v>
      </c>
      <c r="TQR1332" s="4" t="s">
        <v>2876</v>
      </c>
      <c r="TQS1332" s="4" t="s">
        <v>2876</v>
      </c>
      <c r="TQT1332" s="4" t="s">
        <v>2876</v>
      </c>
      <c r="TQU1332" s="4" t="s">
        <v>2876</v>
      </c>
      <c r="TQV1332" s="4" t="s">
        <v>2876</v>
      </c>
      <c r="TQW1332" s="4" t="s">
        <v>2876</v>
      </c>
      <c r="TQX1332" s="4" t="s">
        <v>2876</v>
      </c>
      <c r="TQY1332" s="4" t="s">
        <v>2876</v>
      </c>
      <c r="TQZ1332" s="4" t="s">
        <v>2876</v>
      </c>
      <c r="TRA1332" s="4" t="s">
        <v>2876</v>
      </c>
      <c r="TRB1332" s="4" t="s">
        <v>2876</v>
      </c>
      <c r="TRC1332" s="4" t="s">
        <v>2876</v>
      </c>
      <c r="TRD1332" s="4" t="s">
        <v>2876</v>
      </c>
      <c r="TRE1332" s="4" t="s">
        <v>2876</v>
      </c>
      <c r="TRF1332" s="4" t="s">
        <v>2876</v>
      </c>
      <c r="TRG1332" s="4" t="s">
        <v>2876</v>
      </c>
      <c r="TRH1332" s="4" t="s">
        <v>2876</v>
      </c>
      <c r="TRI1332" s="4" t="s">
        <v>2876</v>
      </c>
      <c r="TRJ1332" s="4" t="s">
        <v>2876</v>
      </c>
      <c r="TRK1332" s="4" t="s">
        <v>2876</v>
      </c>
      <c r="TRL1332" s="4" t="s">
        <v>2876</v>
      </c>
      <c r="TRM1332" s="4" t="s">
        <v>2876</v>
      </c>
      <c r="TRN1332" s="4" t="s">
        <v>2876</v>
      </c>
      <c r="TRO1332" s="4" t="s">
        <v>2876</v>
      </c>
      <c r="TRP1332" s="4" t="s">
        <v>2876</v>
      </c>
      <c r="TRQ1332" s="4" t="s">
        <v>2876</v>
      </c>
      <c r="TRR1332" s="4" t="s">
        <v>2876</v>
      </c>
      <c r="TRS1332" s="4" t="s">
        <v>2876</v>
      </c>
      <c r="TRT1332" s="4" t="s">
        <v>2876</v>
      </c>
      <c r="TRU1332" s="4" t="s">
        <v>2876</v>
      </c>
      <c r="TRV1332" s="4" t="s">
        <v>2876</v>
      </c>
      <c r="TRW1332" s="4" t="s">
        <v>2876</v>
      </c>
      <c r="TRX1332" s="4" t="s">
        <v>2876</v>
      </c>
      <c r="TRY1332" s="4" t="s">
        <v>2876</v>
      </c>
      <c r="TRZ1332" s="4" t="s">
        <v>2876</v>
      </c>
      <c r="TSA1332" s="4" t="s">
        <v>2876</v>
      </c>
      <c r="TSB1332" s="4" t="s">
        <v>2876</v>
      </c>
      <c r="TSC1332" s="4" t="s">
        <v>2876</v>
      </c>
      <c r="TSD1332" s="4" t="s">
        <v>2876</v>
      </c>
      <c r="TSE1332" s="4" t="s">
        <v>2876</v>
      </c>
      <c r="TSF1332" s="4" t="s">
        <v>2876</v>
      </c>
      <c r="TSG1332" s="4" t="s">
        <v>2876</v>
      </c>
      <c r="TSH1332" s="4" t="s">
        <v>2876</v>
      </c>
      <c r="TSI1332" s="4" t="s">
        <v>2876</v>
      </c>
      <c r="TSJ1332" s="4" t="s">
        <v>2876</v>
      </c>
      <c r="TSK1332" s="4" t="s">
        <v>2876</v>
      </c>
      <c r="TSL1332" s="4" t="s">
        <v>2876</v>
      </c>
      <c r="TSM1332" s="4" t="s">
        <v>2876</v>
      </c>
      <c r="TSN1332" s="4" t="s">
        <v>2876</v>
      </c>
      <c r="TSO1332" s="4" t="s">
        <v>2876</v>
      </c>
      <c r="TSP1332" s="4" t="s">
        <v>2876</v>
      </c>
      <c r="TSQ1332" s="4" t="s">
        <v>2876</v>
      </c>
      <c r="TSR1332" s="4" t="s">
        <v>2876</v>
      </c>
      <c r="TSS1332" s="4" t="s">
        <v>2876</v>
      </c>
      <c r="TST1332" s="4" t="s">
        <v>2876</v>
      </c>
      <c r="TSU1332" s="4" t="s">
        <v>2876</v>
      </c>
      <c r="TSV1332" s="4" t="s">
        <v>2876</v>
      </c>
      <c r="TSW1332" s="4" t="s">
        <v>2876</v>
      </c>
      <c r="TSX1332" s="4" t="s">
        <v>2876</v>
      </c>
      <c r="TSY1332" s="4" t="s">
        <v>2876</v>
      </c>
      <c r="TSZ1332" s="4" t="s">
        <v>2876</v>
      </c>
      <c r="TTA1332" s="4" t="s">
        <v>2876</v>
      </c>
      <c r="TTB1332" s="4" t="s">
        <v>2876</v>
      </c>
      <c r="TTC1332" s="4" t="s">
        <v>2876</v>
      </c>
      <c r="TTD1332" s="4" t="s">
        <v>2876</v>
      </c>
      <c r="TTE1332" s="4" t="s">
        <v>2876</v>
      </c>
      <c r="TTF1332" s="4" t="s">
        <v>2876</v>
      </c>
      <c r="TTG1332" s="4" t="s">
        <v>2876</v>
      </c>
      <c r="TTH1332" s="4" t="s">
        <v>2876</v>
      </c>
      <c r="TTI1332" s="4" t="s">
        <v>2876</v>
      </c>
      <c r="TTJ1332" s="4" t="s">
        <v>2876</v>
      </c>
      <c r="TTK1332" s="4" t="s">
        <v>2876</v>
      </c>
      <c r="TTL1332" s="4" t="s">
        <v>2876</v>
      </c>
      <c r="TTM1332" s="4" t="s">
        <v>2876</v>
      </c>
      <c r="TTN1332" s="4" t="s">
        <v>2876</v>
      </c>
      <c r="TTO1332" s="4" t="s">
        <v>2876</v>
      </c>
      <c r="TTP1332" s="4" t="s">
        <v>2876</v>
      </c>
      <c r="TTQ1332" s="4" t="s">
        <v>2876</v>
      </c>
      <c r="TTR1332" s="4" t="s">
        <v>2876</v>
      </c>
      <c r="TTS1332" s="4" t="s">
        <v>2876</v>
      </c>
      <c r="TTT1332" s="4" t="s">
        <v>2876</v>
      </c>
      <c r="TTU1332" s="4" t="s">
        <v>2876</v>
      </c>
      <c r="TTV1332" s="4" t="s">
        <v>2876</v>
      </c>
      <c r="TTW1332" s="4" t="s">
        <v>2876</v>
      </c>
      <c r="TTX1332" s="4" t="s">
        <v>2876</v>
      </c>
      <c r="TTY1332" s="4" t="s">
        <v>2876</v>
      </c>
      <c r="TTZ1332" s="4" t="s">
        <v>2876</v>
      </c>
      <c r="TUA1332" s="4" t="s">
        <v>2876</v>
      </c>
      <c r="TUB1332" s="4" t="s">
        <v>2876</v>
      </c>
      <c r="TUC1332" s="4" t="s">
        <v>2876</v>
      </c>
      <c r="TUD1332" s="4" t="s">
        <v>2876</v>
      </c>
      <c r="TUE1332" s="4" t="s">
        <v>2876</v>
      </c>
      <c r="TUF1332" s="4" t="s">
        <v>2876</v>
      </c>
      <c r="TUG1332" s="4" t="s">
        <v>2876</v>
      </c>
      <c r="TUH1332" s="4" t="s">
        <v>2876</v>
      </c>
      <c r="TUI1332" s="4" t="s">
        <v>2876</v>
      </c>
      <c r="TUJ1332" s="4" t="s">
        <v>2876</v>
      </c>
      <c r="TUK1332" s="4" t="s">
        <v>2876</v>
      </c>
      <c r="TUL1332" s="4" t="s">
        <v>2876</v>
      </c>
      <c r="TUM1332" s="4" t="s">
        <v>2876</v>
      </c>
      <c r="TUN1332" s="4" t="s">
        <v>2876</v>
      </c>
      <c r="TUO1332" s="4" t="s">
        <v>2876</v>
      </c>
      <c r="TUP1332" s="4" t="s">
        <v>2876</v>
      </c>
      <c r="TUQ1332" s="4" t="s">
        <v>2876</v>
      </c>
      <c r="TUR1332" s="4" t="s">
        <v>2876</v>
      </c>
      <c r="TUS1332" s="4" t="s">
        <v>2876</v>
      </c>
      <c r="TUT1332" s="4" t="s">
        <v>2876</v>
      </c>
      <c r="TUU1332" s="4" t="s">
        <v>2876</v>
      </c>
      <c r="TUV1332" s="4" t="s">
        <v>2876</v>
      </c>
      <c r="TUW1332" s="4" t="s">
        <v>2876</v>
      </c>
      <c r="TUX1332" s="4" t="s">
        <v>2876</v>
      </c>
      <c r="TUY1332" s="4" t="s">
        <v>2876</v>
      </c>
      <c r="TUZ1332" s="4" t="s">
        <v>2876</v>
      </c>
      <c r="TVA1332" s="4" t="s">
        <v>2876</v>
      </c>
      <c r="TVB1332" s="4" t="s">
        <v>2876</v>
      </c>
      <c r="TVC1332" s="4" t="s">
        <v>2876</v>
      </c>
      <c r="TVD1332" s="4" t="s">
        <v>2876</v>
      </c>
      <c r="TVE1332" s="4" t="s">
        <v>2876</v>
      </c>
      <c r="TVF1332" s="4" t="s">
        <v>2876</v>
      </c>
      <c r="TVG1332" s="4" t="s">
        <v>2876</v>
      </c>
      <c r="TVH1332" s="4" t="s">
        <v>2876</v>
      </c>
      <c r="TVI1332" s="4" t="s">
        <v>2876</v>
      </c>
      <c r="TVJ1332" s="4" t="s">
        <v>2876</v>
      </c>
      <c r="TVK1332" s="4" t="s">
        <v>2876</v>
      </c>
      <c r="TVL1332" s="4" t="s">
        <v>2876</v>
      </c>
      <c r="TVM1332" s="4" t="s">
        <v>2876</v>
      </c>
      <c r="TVN1332" s="4" t="s">
        <v>2876</v>
      </c>
      <c r="TVO1332" s="4" t="s">
        <v>2876</v>
      </c>
      <c r="TVP1332" s="4" t="s">
        <v>2876</v>
      </c>
      <c r="TVQ1332" s="4" t="s">
        <v>2876</v>
      </c>
      <c r="TVR1332" s="4" t="s">
        <v>2876</v>
      </c>
      <c r="TVS1332" s="4" t="s">
        <v>2876</v>
      </c>
      <c r="TVT1332" s="4" t="s">
        <v>2876</v>
      </c>
      <c r="TVU1332" s="4" t="s">
        <v>2876</v>
      </c>
      <c r="TVV1332" s="4" t="s">
        <v>2876</v>
      </c>
      <c r="TVW1332" s="4" t="s">
        <v>2876</v>
      </c>
      <c r="TVX1332" s="4" t="s">
        <v>2876</v>
      </c>
      <c r="TVY1332" s="4" t="s">
        <v>2876</v>
      </c>
      <c r="TVZ1332" s="4" t="s">
        <v>2876</v>
      </c>
      <c r="TWA1332" s="4" t="s">
        <v>2876</v>
      </c>
      <c r="TWB1332" s="4" t="s">
        <v>2876</v>
      </c>
      <c r="TWC1332" s="4" t="s">
        <v>2876</v>
      </c>
      <c r="TWD1332" s="4" t="s">
        <v>2876</v>
      </c>
      <c r="TWE1332" s="4" t="s">
        <v>2876</v>
      </c>
      <c r="TWF1332" s="4" t="s">
        <v>2876</v>
      </c>
      <c r="TWG1332" s="4" t="s">
        <v>2876</v>
      </c>
      <c r="TWH1332" s="4" t="s">
        <v>2876</v>
      </c>
      <c r="TWI1332" s="4" t="s">
        <v>2876</v>
      </c>
      <c r="TWJ1332" s="4" t="s">
        <v>2876</v>
      </c>
      <c r="TWK1332" s="4" t="s">
        <v>2876</v>
      </c>
      <c r="TWL1332" s="4" t="s">
        <v>2876</v>
      </c>
      <c r="TWM1332" s="4" t="s">
        <v>2876</v>
      </c>
      <c r="TWN1332" s="4" t="s">
        <v>2876</v>
      </c>
      <c r="TWO1332" s="4" t="s">
        <v>2876</v>
      </c>
      <c r="TWP1332" s="4" t="s">
        <v>2876</v>
      </c>
      <c r="TWQ1332" s="4" t="s">
        <v>2876</v>
      </c>
      <c r="TWR1332" s="4" t="s">
        <v>2876</v>
      </c>
      <c r="TWS1332" s="4" t="s">
        <v>2876</v>
      </c>
      <c r="TWT1332" s="4" t="s">
        <v>2876</v>
      </c>
      <c r="TWU1332" s="4" t="s">
        <v>2876</v>
      </c>
      <c r="TWV1332" s="4" t="s">
        <v>2876</v>
      </c>
      <c r="TWW1332" s="4" t="s">
        <v>2876</v>
      </c>
      <c r="TWX1332" s="4" t="s">
        <v>2876</v>
      </c>
      <c r="TWY1332" s="4" t="s">
        <v>2876</v>
      </c>
      <c r="TWZ1332" s="4" t="s">
        <v>2876</v>
      </c>
      <c r="TXA1332" s="4" t="s">
        <v>2876</v>
      </c>
      <c r="TXB1332" s="4" t="s">
        <v>2876</v>
      </c>
      <c r="TXC1332" s="4" t="s">
        <v>2876</v>
      </c>
      <c r="TXD1332" s="4" t="s">
        <v>2876</v>
      </c>
      <c r="TXE1332" s="4" t="s">
        <v>2876</v>
      </c>
      <c r="TXF1332" s="4" t="s">
        <v>2876</v>
      </c>
      <c r="TXG1332" s="4" t="s">
        <v>2876</v>
      </c>
      <c r="TXH1332" s="4" t="s">
        <v>2876</v>
      </c>
      <c r="TXI1332" s="4" t="s">
        <v>2876</v>
      </c>
      <c r="TXJ1332" s="4" t="s">
        <v>2876</v>
      </c>
      <c r="TXK1332" s="4" t="s">
        <v>2876</v>
      </c>
      <c r="TXL1332" s="4" t="s">
        <v>2876</v>
      </c>
      <c r="TXM1332" s="4" t="s">
        <v>2876</v>
      </c>
      <c r="TXN1332" s="4" t="s">
        <v>2876</v>
      </c>
      <c r="TXO1332" s="4" t="s">
        <v>2876</v>
      </c>
      <c r="TXP1332" s="4" t="s">
        <v>2876</v>
      </c>
      <c r="TXQ1332" s="4" t="s">
        <v>2876</v>
      </c>
      <c r="TXR1332" s="4" t="s">
        <v>2876</v>
      </c>
      <c r="TXS1332" s="4" t="s">
        <v>2876</v>
      </c>
      <c r="TXT1332" s="4" t="s">
        <v>2876</v>
      </c>
      <c r="TXU1332" s="4" t="s">
        <v>2876</v>
      </c>
      <c r="TXV1332" s="4" t="s">
        <v>2876</v>
      </c>
      <c r="TXW1332" s="4" t="s">
        <v>2876</v>
      </c>
      <c r="TXX1332" s="4" t="s">
        <v>2876</v>
      </c>
      <c r="TXY1332" s="4" t="s">
        <v>2876</v>
      </c>
      <c r="TXZ1332" s="4" t="s">
        <v>2876</v>
      </c>
      <c r="TYA1332" s="4" t="s">
        <v>2876</v>
      </c>
      <c r="TYB1332" s="4" t="s">
        <v>2876</v>
      </c>
      <c r="TYC1332" s="4" t="s">
        <v>2876</v>
      </c>
      <c r="TYD1332" s="4" t="s">
        <v>2876</v>
      </c>
      <c r="TYE1332" s="4" t="s">
        <v>2876</v>
      </c>
      <c r="TYF1332" s="4" t="s">
        <v>2876</v>
      </c>
      <c r="TYG1332" s="4" t="s">
        <v>2876</v>
      </c>
      <c r="TYH1332" s="4" t="s">
        <v>2876</v>
      </c>
      <c r="TYI1332" s="4" t="s">
        <v>2876</v>
      </c>
      <c r="TYJ1332" s="4" t="s">
        <v>2876</v>
      </c>
      <c r="TYK1332" s="4" t="s">
        <v>2876</v>
      </c>
      <c r="TYL1332" s="4" t="s">
        <v>2876</v>
      </c>
      <c r="TYM1332" s="4" t="s">
        <v>2876</v>
      </c>
      <c r="TYN1332" s="4" t="s">
        <v>2876</v>
      </c>
      <c r="TYO1332" s="4" t="s">
        <v>2876</v>
      </c>
      <c r="TYP1332" s="4" t="s">
        <v>2876</v>
      </c>
      <c r="TYQ1332" s="4" t="s">
        <v>2876</v>
      </c>
      <c r="TYR1332" s="4" t="s">
        <v>2876</v>
      </c>
      <c r="TYS1332" s="4" t="s">
        <v>2876</v>
      </c>
      <c r="TYT1332" s="4" t="s">
        <v>2876</v>
      </c>
      <c r="TYU1332" s="4" t="s">
        <v>2876</v>
      </c>
      <c r="TYV1332" s="4" t="s">
        <v>2876</v>
      </c>
      <c r="TYW1332" s="4" t="s">
        <v>2876</v>
      </c>
      <c r="TYX1332" s="4" t="s">
        <v>2876</v>
      </c>
      <c r="TYY1332" s="4" t="s">
        <v>2876</v>
      </c>
      <c r="TYZ1332" s="4" t="s">
        <v>2876</v>
      </c>
      <c r="TZA1332" s="4" t="s">
        <v>2876</v>
      </c>
      <c r="TZB1332" s="4" t="s">
        <v>2876</v>
      </c>
      <c r="TZC1332" s="4" t="s">
        <v>2876</v>
      </c>
      <c r="TZD1332" s="4" t="s">
        <v>2876</v>
      </c>
      <c r="TZE1332" s="4" t="s">
        <v>2876</v>
      </c>
      <c r="TZF1332" s="4" t="s">
        <v>2876</v>
      </c>
      <c r="TZG1332" s="4" t="s">
        <v>2876</v>
      </c>
      <c r="TZH1332" s="4" t="s">
        <v>2876</v>
      </c>
      <c r="TZI1332" s="4" t="s">
        <v>2876</v>
      </c>
      <c r="TZJ1332" s="4" t="s">
        <v>2876</v>
      </c>
      <c r="TZK1332" s="4" t="s">
        <v>2876</v>
      </c>
      <c r="TZL1332" s="4" t="s">
        <v>2876</v>
      </c>
      <c r="TZM1332" s="4" t="s">
        <v>2876</v>
      </c>
      <c r="TZN1332" s="4" t="s">
        <v>2876</v>
      </c>
      <c r="TZO1332" s="4" t="s">
        <v>2876</v>
      </c>
      <c r="TZP1332" s="4" t="s">
        <v>2876</v>
      </c>
      <c r="TZQ1332" s="4" t="s">
        <v>2876</v>
      </c>
      <c r="TZR1332" s="4" t="s">
        <v>2876</v>
      </c>
      <c r="TZS1332" s="4" t="s">
        <v>2876</v>
      </c>
      <c r="TZT1332" s="4" t="s">
        <v>2876</v>
      </c>
      <c r="TZU1332" s="4" t="s">
        <v>2876</v>
      </c>
      <c r="TZV1332" s="4" t="s">
        <v>2876</v>
      </c>
      <c r="TZW1332" s="4" t="s">
        <v>2876</v>
      </c>
      <c r="TZX1332" s="4" t="s">
        <v>2876</v>
      </c>
      <c r="TZY1332" s="4" t="s">
        <v>2876</v>
      </c>
      <c r="TZZ1332" s="4" t="s">
        <v>2876</v>
      </c>
      <c r="UAA1332" s="4" t="s">
        <v>2876</v>
      </c>
      <c r="UAB1332" s="4" t="s">
        <v>2876</v>
      </c>
      <c r="UAC1332" s="4" t="s">
        <v>2876</v>
      </c>
      <c r="UAD1332" s="4" t="s">
        <v>2876</v>
      </c>
      <c r="UAE1332" s="4" t="s">
        <v>2876</v>
      </c>
      <c r="UAF1332" s="4" t="s">
        <v>2876</v>
      </c>
      <c r="UAG1332" s="4" t="s">
        <v>2876</v>
      </c>
      <c r="UAH1332" s="4" t="s">
        <v>2876</v>
      </c>
      <c r="UAI1332" s="4" t="s">
        <v>2876</v>
      </c>
      <c r="UAJ1332" s="4" t="s">
        <v>2876</v>
      </c>
      <c r="UAK1332" s="4" t="s">
        <v>2876</v>
      </c>
      <c r="UAL1332" s="4" t="s">
        <v>2876</v>
      </c>
      <c r="UAM1332" s="4" t="s">
        <v>2876</v>
      </c>
      <c r="UAN1332" s="4" t="s">
        <v>2876</v>
      </c>
      <c r="UAO1332" s="4" t="s">
        <v>2876</v>
      </c>
      <c r="UAP1332" s="4" t="s">
        <v>2876</v>
      </c>
      <c r="UAQ1332" s="4" t="s">
        <v>2876</v>
      </c>
      <c r="UAR1332" s="4" t="s">
        <v>2876</v>
      </c>
      <c r="UAS1332" s="4" t="s">
        <v>2876</v>
      </c>
      <c r="UAT1332" s="4" t="s">
        <v>2876</v>
      </c>
      <c r="UAU1332" s="4" t="s">
        <v>2876</v>
      </c>
      <c r="UAV1332" s="4" t="s">
        <v>2876</v>
      </c>
      <c r="UAW1332" s="4" t="s">
        <v>2876</v>
      </c>
      <c r="UAX1332" s="4" t="s">
        <v>2876</v>
      </c>
      <c r="UAY1332" s="4" t="s">
        <v>2876</v>
      </c>
      <c r="UAZ1332" s="4" t="s">
        <v>2876</v>
      </c>
      <c r="UBA1332" s="4" t="s">
        <v>2876</v>
      </c>
      <c r="UBB1332" s="4" t="s">
        <v>2876</v>
      </c>
      <c r="UBC1332" s="4" t="s">
        <v>2876</v>
      </c>
      <c r="UBD1332" s="4" t="s">
        <v>2876</v>
      </c>
      <c r="UBE1332" s="4" t="s">
        <v>2876</v>
      </c>
      <c r="UBF1332" s="4" t="s">
        <v>2876</v>
      </c>
      <c r="UBG1332" s="4" t="s">
        <v>2876</v>
      </c>
      <c r="UBH1332" s="4" t="s">
        <v>2876</v>
      </c>
      <c r="UBI1332" s="4" t="s">
        <v>2876</v>
      </c>
      <c r="UBJ1332" s="4" t="s">
        <v>2876</v>
      </c>
      <c r="UBK1332" s="4" t="s">
        <v>2876</v>
      </c>
      <c r="UBL1332" s="4" t="s">
        <v>2876</v>
      </c>
      <c r="UBM1332" s="4" t="s">
        <v>2876</v>
      </c>
      <c r="UBN1332" s="4" t="s">
        <v>2876</v>
      </c>
      <c r="UBO1332" s="4" t="s">
        <v>2876</v>
      </c>
      <c r="UBP1332" s="4" t="s">
        <v>2876</v>
      </c>
      <c r="UBQ1332" s="4" t="s">
        <v>2876</v>
      </c>
      <c r="UBR1332" s="4" t="s">
        <v>2876</v>
      </c>
      <c r="UBS1332" s="4" t="s">
        <v>2876</v>
      </c>
      <c r="UBT1332" s="4" t="s">
        <v>2876</v>
      </c>
      <c r="UBU1332" s="4" t="s">
        <v>2876</v>
      </c>
      <c r="UBV1332" s="4" t="s">
        <v>2876</v>
      </c>
      <c r="UBW1332" s="4" t="s">
        <v>2876</v>
      </c>
      <c r="UBX1332" s="4" t="s">
        <v>2876</v>
      </c>
      <c r="UBY1332" s="4" t="s">
        <v>2876</v>
      </c>
      <c r="UBZ1332" s="4" t="s">
        <v>2876</v>
      </c>
      <c r="UCA1332" s="4" t="s">
        <v>2876</v>
      </c>
      <c r="UCB1332" s="4" t="s">
        <v>2876</v>
      </c>
      <c r="UCC1332" s="4" t="s">
        <v>2876</v>
      </c>
      <c r="UCD1332" s="4" t="s">
        <v>2876</v>
      </c>
      <c r="UCE1332" s="4" t="s">
        <v>2876</v>
      </c>
      <c r="UCF1332" s="4" t="s">
        <v>2876</v>
      </c>
      <c r="UCG1332" s="4" t="s">
        <v>2876</v>
      </c>
      <c r="UCH1332" s="4" t="s">
        <v>2876</v>
      </c>
      <c r="UCI1332" s="4" t="s">
        <v>2876</v>
      </c>
      <c r="UCJ1332" s="4" t="s">
        <v>2876</v>
      </c>
      <c r="UCK1332" s="4" t="s">
        <v>2876</v>
      </c>
      <c r="UCL1332" s="4" t="s">
        <v>2876</v>
      </c>
      <c r="UCM1332" s="4" t="s">
        <v>2876</v>
      </c>
      <c r="UCN1332" s="4" t="s">
        <v>2876</v>
      </c>
      <c r="UCO1332" s="4" t="s">
        <v>2876</v>
      </c>
      <c r="UCP1332" s="4" t="s">
        <v>2876</v>
      </c>
      <c r="UCQ1332" s="4" t="s">
        <v>2876</v>
      </c>
      <c r="UCR1332" s="4" t="s">
        <v>2876</v>
      </c>
      <c r="UCS1332" s="4" t="s">
        <v>2876</v>
      </c>
      <c r="UCT1332" s="4" t="s">
        <v>2876</v>
      </c>
      <c r="UCU1332" s="4" t="s">
        <v>2876</v>
      </c>
      <c r="UCV1332" s="4" t="s">
        <v>2876</v>
      </c>
      <c r="UCW1332" s="4" t="s">
        <v>2876</v>
      </c>
      <c r="UCX1332" s="4" t="s">
        <v>2876</v>
      </c>
      <c r="UCY1332" s="4" t="s">
        <v>2876</v>
      </c>
      <c r="UCZ1332" s="4" t="s">
        <v>2876</v>
      </c>
      <c r="UDA1332" s="4" t="s">
        <v>2876</v>
      </c>
      <c r="UDB1332" s="4" t="s">
        <v>2876</v>
      </c>
      <c r="UDC1332" s="4" t="s">
        <v>2876</v>
      </c>
      <c r="UDD1332" s="4" t="s">
        <v>2876</v>
      </c>
      <c r="UDE1332" s="4" t="s">
        <v>2876</v>
      </c>
      <c r="UDF1332" s="4" t="s">
        <v>2876</v>
      </c>
      <c r="UDG1332" s="4" t="s">
        <v>2876</v>
      </c>
      <c r="UDH1332" s="4" t="s">
        <v>2876</v>
      </c>
      <c r="UDI1332" s="4" t="s">
        <v>2876</v>
      </c>
      <c r="UDJ1332" s="4" t="s">
        <v>2876</v>
      </c>
      <c r="UDK1332" s="4" t="s">
        <v>2876</v>
      </c>
      <c r="UDL1332" s="4" t="s">
        <v>2876</v>
      </c>
      <c r="UDM1332" s="4" t="s">
        <v>2876</v>
      </c>
      <c r="UDN1332" s="4" t="s">
        <v>2876</v>
      </c>
      <c r="UDO1332" s="4" t="s">
        <v>2876</v>
      </c>
      <c r="UDP1332" s="4" t="s">
        <v>2876</v>
      </c>
      <c r="UDQ1332" s="4" t="s">
        <v>2876</v>
      </c>
      <c r="UDR1332" s="4" t="s">
        <v>2876</v>
      </c>
      <c r="UDS1332" s="4" t="s">
        <v>2876</v>
      </c>
      <c r="UDT1332" s="4" t="s">
        <v>2876</v>
      </c>
      <c r="UDU1332" s="4" t="s">
        <v>2876</v>
      </c>
      <c r="UDV1332" s="4" t="s">
        <v>2876</v>
      </c>
      <c r="UDW1332" s="4" t="s">
        <v>2876</v>
      </c>
      <c r="UDX1332" s="4" t="s">
        <v>2876</v>
      </c>
      <c r="UDY1332" s="4" t="s">
        <v>2876</v>
      </c>
      <c r="UDZ1332" s="4" t="s">
        <v>2876</v>
      </c>
      <c r="UEA1332" s="4" t="s">
        <v>2876</v>
      </c>
      <c r="UEB1332" s="4" t="s">
        <v>2876</v>
      </c>
      <c r="UEC1332" s="4" t="s">
        <v>2876</v>
      </c>
      <c r="UED1332" s="4" t="s">
        <v>2876</v>
      </c>
      <c r="UEE1332" s="4" t="s">
        <v>2876</v>
      </c>
      <c r="UEF1332" s="4" t="s">
        <v>2876</v>
      </c>
      <c r="UEG1332" s="4" t="s">
        <v>2876</v>
      </c>
      <c r="UEH1332" s="4" t="s">
        <v>2876</v>
      </c>
      <c r="UEI1332" s="4" t="s">
        <v>2876</v>
      </c>
      <c r="UEJ1332" s="4" t="s">
        <v>2876</v>
      </c>
      <c r="UEK1332" s="4" t="s">
        <v>2876</v>
      </c>
      <c r="UEL1332" s="4" t="s">
        <v>2876</v>
      </c>
      <c r="UEM1332" s="4" t="s">
        <v>2876</v>
      </c>
      <c r="UEN1332" s="4" t="s">
        <v>2876</v>
      </c>
      <c r="UEO1332" s="4" t="s">
        <v>2876</v>
      </c>
      <c r="UEP1332" s="4" t="s">
        <v>2876</v>
      </c>
      <c r="UEQ1332" s="4" t="s">
        <v>2876</v>
      </c>
      <c r="UER1332" s="4" t="s">
        <v>2876</v>
      </c>
      <c r="UES1332" s="4" t="s">
        <v>2876</v>
      </c>
      <c r="UET1332" s="4" t="s">
        <v>2876</v>
      </c>
      <c r="UEU1332" s="4" t="s">
        <v>2876</v>
      </c>
      <c r="UEV1332" s="4" t="s">
        <v>2876</v>
      </c>
      <c r="UEW1332" s="4" t="s">
        <v>2876</v>
      </c>
      <c r="UEX1332" s="4" t="s">
        <v>2876</v>
      </c>
      <c r="UEY1332" s="4" t="s">
        <v>2876</v>
      </c>
      <c r="UEZ1332" s="4" t="s">
        <v>2876</v>
      </c>
      <c r="UFA1332" s="4" t="s">
        <v>2876</v>
      </c>
      <c r="UFB1332" s="4" t="s">
        <v>2876</v>
      </c>
      <c r="UFC1332" s="4" t="s">
        <v>2876</v>
      </c>
      <c r="UFD1332" s="4" t="s">
        <v>2876</v>
      </c>
      <c r="UFE1332" s="4" t="s">
        <v>2876</v>
      </c>
      <c r="UFF1332" s="4" t="s">
        <v>2876</v>
      </c>
      <c r="UFG1332" s="4" t="s">
        <v>2876</v>
      </c>
      <c r="UFH1332" s="4" t="s">
        <v>2876</v>
      </c>
      <c r="UFI1332" s="4" t="s">
        <v>2876</v>
      </c>
      <c r="UFJ1332" s="4" t="s">
        <v>2876</v>
      </c>
      <c r="UFK1332" s="4" t="s">
        <v>2876</v>
      </c>
      <c r="UFL1332" s="4" t="s">
        <v>2876</v>
      </c>
      <c r="UFM1332" s="4" t="s">
        <v>2876</v>
      </c>
      <c r="UFN1332" s="4" t="s">
        <v>2876</v>
      </c>
      <c r="UFO1332" s="4" t="s">
        <v>2876</v>
      </c>
      <c r="UFP1332" s="4" t="s">
        <v>2876</v>
      </c>
      <c r="UFQ1332" s="4" t="s">
        <v>2876</v>
      </c>
      <c r="UFR1332" s="4" t="s">
        <v>2876</v>
      </c>
      <c r="UFS1332" s="4" t="s">
        <v>2876</v>
      </c>
      <c r="UFT1332" s="4" t="s">
        <v>2876</v>
      </c>
      <c r="UFU1332" s="4" t="s">
        <v>2876</v>
      </c>
      <c r="UFV1332" s="4" t="s">
        <v>2876</v>
      </c>
      <c r="UFW1332" s="4" t="s">
        <v>2876</v>
      </c>
      <c r="UFX1332" s="4" t="s">
        <v>2876</v>
      </c>
      <c r="UFY1332" s="4" t="s">
        <v>2876</v>
      </c>
      <c r="UFZ1332" s="4" t="s">
        <v>2876</v>
      </c>
      <c r="UGA1332" s="4" t="s">
        <v>2876</v>
      </c>
      <c r="UGB1332" s="4" t="s">
        <v>2876</v>
      </c>
      <c r="UGC1332" s="4" t="s">
        <v>2876</v>
      </c>
      <c r="UGD1332" s="4" t="s">
        <v>2876</v>
      </c>
      <c r="UGE1332" s="4" t="s">
        <v>2876</v>
      </c>
      <c r="UGF1332" s="4" t="s">
        <v>2876</v>
      </c>
      <c r="UGG1332" s="4" t="s">
        <v>2876</v>
      </c>
      <c r="UGH1332" s="4" t="s">
        <v>2876</v>
      </c>
      <c r="UGI1332" s="4" t="s">
        <v>2876</v>
      </c>
      <c r="UGJ1332" s="4" t="s">
        <v>2876</v>
      </c>
      <c r="UGK1332" s="4" t="s">
        <v>2876</v>
      </c>
      <c r="UGL1332" s="4" t="s">
        <v>2876</v>
      </c>
      <c r="UGM1332" s="4" t="s">
        <v>2876</v>
      </c>
      <c r="UGN1332" s="4" t="s">
        <v>2876</v>
      </c>
      <c r="UGO1332" s="4" t="s">
        <v>2876</v>
      </c>
      <c r="UGP1332" s="4" t="s">
        <v>2876</v>
      </c>
      <c r="UGQ1332" s="4" t="s">
        <v>2876</v>
      </c>
      <c r="UGR1332" s="4" t="s">
        <v>2876</v>
      </c>
      <c r="UGS1332" s="4" t="s">
        <v>2876</v>
      </c>
      <c r="UGT1332" s="4" t="s">
        <v>2876</v>
      </c>
      <c r="UGU1332" s="4" t="s">
        <v>2876</v>
      </c>
      <c r="UGV1332" s="4" t="s">
        <v>2876</v>
      </c>
      <c r="UGW1332" s="4" t="s">
        <v>2876</v>
      </c>
      <c r="UGX1332" s="4" t="s">
        <v>2876</v>
      </c>
      <c r="UGY1332" s="4" t="s">
        <v>2876</v>
      </c>
      <c r="UGZ1332" s="4" t="s">
        <v>2876</v>
      </c>
      <c r="UHA1332" s="4" t="s">
        <v>2876</v>
      </c>
      <c r="UHB1332" s="4" t="s">
        <v>2876</v>
      </c>
      <c r="UHC1332" s="4" t="s">
        <v>2876</v>
      </c>
      <c r="UHD1332" s="4" t="s">
        <v>2876</v>
      </c>
      <c r="UHE1332" s="4" t="s">
        <v>2876</v>
      </c>
      <c r="UHF1332" s="4" t="s">
        <v>2876</v>
      </c>
      <c r="UHG1332" s="4" t="s">
        <v>2876</v>
      </c>
      <c r="UHH1332" s="4" t="s">
        <v>2876</v>
      </c>
      <c r="UHI1332" s="4" t="s">
        <v>2876</v>
      </c>
      <c r="UHJ1332" s="4" t="s">
        <v>2876</v>
      </c>
      <c r="UHK1332" s="4" t="s">
        <v>2876</v>
      </c>
      <c r="UHL1332" s="4" t="s">
        <v>2876</v>
      </c>
      <c r="UHM1332" s="4" t="s">
        <v>2876</v>
      </c>
      <c r="UHN1332" s="4" t="s">
        <v>2876</v>
      </c>
      <c r="UHO1332" s="4" t="s">
        <v>2876</v>
      </c>
      <c r="UHP1332" s="4" t="s">
        <v>2876</v>
      </c>
      <c r="UHQ1332" s="4" t="s">
        <v>2876</v>
      </c>
      <c r="UHR1332" s="4" t="s">
        <v>2876</v>
      </c>
      <c r="UHS1332" s="4" t="s">
        <v>2876</v>
      </c>
      <c r="UHT1332" s="4" t="s">
        <v>2876</v>
      </c>
      <c r="UHU1332" s="4" t="s">
        <v>2876</v>
      </c>
      <c r="UHV1332" s="4" t="s">
        <v>2876</v>
      </c>
      <c r="UHW1332" s="4" t="s">
        <v>2876</v>
      </c>
      <c r="UHX1332" s="4" t="s">
        <v>2876</v>
      </c>
      <c r="UHY1332" s="4" t="s">
        <v>2876</v>
      </c>
      <c r="UHZ1332" s="4" t="s">
        <v>2876</v>
      </c>
      <c r="UIA1332" s="4" t="s">
        <v>2876</v>
      </c>
      <c r="UIB1332" s="4" t="s">
        <v>2876</v>
      </c>
      <c r="UIC1332" s="4" t="s">
        <v>2876</v>
      </c>
      <c r="UID1332" s="4" t="s">
        <v>2876</v>
      </c>
      <c r="UIE1332" s="4" t="s">
        <v>2876</v>
      </c>
      <c r="UIF1332" s="4" t="s">
        <v>2876</v>
      </c>
      <c r="UIG1332" s="4" t="s">
        <v>2876</v>
      </c>
      <c r="UIH1332" s="4" t="s">
        <v>2876</v>
      </c>
      <c r="UII1332" s="4" t="s">
        <v>2876</v>
      </c>
      <c r="UIJ1332" s="4" t="s">
        <v>2876</v>
      </c>
      <c r="UIK1332" s="4" t="s">
        <v>2876</v>
      </c>
      <c r="UIL1332" s="4" t="s">
        <v>2876</v>
      </c>
      <c r="UIM1332" s="4" t="s">
        <v>2876</v>
      </c>
      <c r="UIN1332" s="4" t="s">
        <v>2876</v>
      </c>
      <c r="UIO1332" s="4" t="s">
        <v>2876</v>
      </c>
      <c r="UIP1332" s="4" t="s">
        <v>2876</v>
      </c>
      <c r="UIQ1332" s="4" t="s">
        <v>2876</v>
      </c>
      <c r="UIR1332" s="4" t="s">
        <v>2876</v>
      </c>
      <c r="UIS1332" s="4" t="s">
        <v>2876</v>
      </c>
      <c r="UIT1332" s="4" t="s">
        <v>2876</v>
      </c>
      <c r="UIU1332" s="4" t="s">
        <v>2876</v>
      </c>
      <c r="UIV1332" s="4" t="s">
        <v>2876</v>
      </c>
      <c r="UIW1332" s="4" t="s">
        <v>2876</v>
      </c>
      <c r="UIX1332" s="4" t="s">
        <v>2876</v>
      </c>
      <c r="UIY1332" s="4" t="s">
        <v>2876</v>
      </c>
      <c r="UIZ1332" s="4" t="s">
        <v>2876</v>
      </c>
      <c r="UJA1332" s="4" t="s">
        <v>2876</v>
      </c>
      <c r="UJB1332" s="4" t="s">
        <v>2876</v>
      </c>
      <c r="UJC1332" s="4" t="s">
        <v>2876</v>
      </c>
      <c r="UJD1332" s="4" t="s">
        <v>2876</v>
      </c>
      <c r="UJE1332" s="4" t="s">
        <v>2876</v>
      </c>
      <c r="UJF1332" s="4" t="s">
        <v>2876</v>
      </c>
      <c r="UJG1332" s="4" t="s">
        <v>2876</v>
      </c>
      <c r="UJH1332" s="4" t="s">
        <v>2876</v>
      </c>
      <c r="UJI1332" s="4" t="s">
        <v>2876</v>
      </c>
      <c r="UJJ1332" s="4" t="s">
        <v>2876</v>
      </c>
      <c r="UJK1332" s="4" t="s">
        <v>2876</v>
      </c>
      <c r="UJL1332" s="4" t="s">
        <v>2876</v>
      </c>
      <c r="UJM1332" s="4" t="s">
        <v>2876</v>
      </c>
      <c r="UJN1332" s="4" t="s">
        <v>2876</v>
      </c>
      <c r="UJO1332" s="4" t="s">
        <v>2876</v>
      </c>
      <c r="UJP1332" s="4" t="s">
        <v>2876</v>
      </c>
      <c r="UJQ1332" s="4" t="s">
        <v>2876</v>
      </c>
      <c r="UJR1332" s="4" t="s">
        <v>2876</v>
      </c>
      <c r="UJS1332" s="4" t="s">
        <v>2876</v>
      </c>
      <c r="UJT1332" s="4" t="s">
        <v>2876</v>
      </c>
      <c r="UJU1332" s="4" t="s">
        <v>2876</v>
      </c>
      <c r="UJV1332" s="4" t="s">
        <v>2876</v>
      </c>
      <c r="UJW1332" s="4" t="s">
        <v>2876</v>
      </c>
      <c r="UJX1332" s="4" t="s">
        <v>2876</v>
      </c>
      <c r="UJY1332" s="4" t="s">
        <v>2876</v>
      </c>
      <c r="UJZ1332" s="4" t="s">
        <v>2876</v>
      </c>
      <c r="UKA1332" s="4" t="s">
        <v>2876</v>
      </c>
      <c r="UKB1332" s="4" t="s">
        <v>2876</v>
      </c>
      <c r="UKC1332" s="4" t="s">
        <v>2876</v>
      </c>
      <c r="UKD1332" s="4" t="s">
        <v>2876</v>
      </c>
      <c r="UKE1332" s="4" t="s">
        <v>2876</v>
      </c>
      <c r="UKF1332" s="4" t="s">
        <v>2876</v>
      </c>
      <c r="UKG1332" s="4" t="s">
        <v>2876</v>
      </c>
      <c r="UKH1332" s="4" t="s">
        <v>2876</v>
      </c>
      <c r="UKI1332" s="4" t="s">
        <v>2876</v>
      </c>
      <c r="UKJ1332" s="4" t="s">
        <v>2876</v>
      </c>
      <c r="UKK1332" s="4" t="s">
        <v>2876</v>
      </c>
      <c r="UKL1332" s="4" t="s">
        <v>2876</v>
      </c>
      <c r="UKM1332" s="4" t="s">
        <v>2876</v>
      </c>
      <c r="UKN1332" s="4" t="s">
        <v>2876</v>
      </c>
      <c r="UKO1332" s="4" t="s">
        <v>2876</v>
      </c>
      <c r="UKP1332" s="4" t="s">
        <v>2876</v>
      </c>
      <c r="UKQ1332" s="4" t="s">
        <v>2876</v>
      </c>
      <c r="UKR1332" s="4" t="s">
        <v>2876</v>
      </c>
      <c r="UKS1332" s="4" t="s">
        <v>2876</v>
      </c>
      <c r="UKT1332" s="4" t="s">
        <v>2876</v>
      </c>
      <c r="UKU1332" s="4" t="s">
        <v>2876</v>
      </c>
      <c r="UKV1332" s="4" t="s">
        <v>2876</v>
      </c>
      <c r="UKW1332" s="4" t="s">
        <v>2876</v>
      </c>
      <c r="UKX1332" s="4" t="s">
        <v>2876</v>
      </c>
      <c r="UKY1332" s="4" t="s">
        <v>2876</v>
      </c>
      <c r="UKZ1332" s="4" t="s">
        <v>2876</v>
      </c>
      <c r="ULA1332" s="4" t="s">
        <v>2876</v>
      </c>
      <c r="ULB1332" s="4" t="s">
        <v>2876</v>
      </c>
      <c r="ULC1332" s="4" t="s">
        <v>2876</v>
      </c>
      <c r="ULD1332" s="4" t="s">
        <v>2876</v>
      </c>
      <c r="ULE1332" s="4" t="s">
        <v>2876</v>
      </c>
      <c r="ULF1332" s="4" t="s">
        <v>2876</v>
      </c>
      <c r="ULG1332" s="4" t="s">
        <v>2876</v>
      </c>
      <c r="ULH1332" s="4" t="s">
        <v>2876</v>
      </c>
      <c r="ULI1332" s="4" t="s">
        <v>2876</v>
      </c>
      <c r="ULJ1332" s="4" t="s">
        <v>2876</v>
      </c>
      <c r="ULK1332" s="4" t="s">
        <v>2876</v>
      </c>
      <c r="ULL1332" s="4" t="s">
        <v>2876</v>
      </c>
      <c r="ULM1332" s="4" t="s">
        <v>2876</v>
      </c>
      <c r="ULN1332" s="4" t="s">
        <v>2876</v>
      </c>
      <c r="ULO1332" s="4" t="s">
        <v>2876</v>
      </c>
      <c r="ULP1332" s="4" t="s">
        <v>2876</v>
      </c>
      <c r="ULQ1332" s="4" t="s">
        <v>2876</v>
      </c>
      <c r="ULR1332" s="4" t="s">
        <v>2876</v>
      </c>
      <c r="ULS1332" s="4" t="s">
        <v>2876</v>
      </c>
      <c r="ULT1332" s="4" t="s">
        <v>2876</v>
      </c>
      <c r="ULU1332" s="4" t="s">
        <v>2876</v>
      </c>
      <c r="ULV1332" s="4" t="s">
        <v>2876</v>
      </c>
      <c r="ULW1332" s="4" t="s">
        <v>2876</v>
      </c>
      <c r="ULX1332" s="4" t="s">
        <v>2876</v>
      </c>
      <c r="ULY1332" s="4" t="s">
        <v>2876</v>
      </c>
      <c r="ULZ1332" s="4" t="s">
        <v>2876</v>
      </c>
      <c r="UMA1332" s="4" t="s">
        <v>2876</v>
      </c>
      <c r="UMB1332" s="4" t="s">
        <v>2876</v>
      </c>
      <c r="UMC1332" s="4" t="s">
        <v>2876</v>
      </c>
      <c r="UMD1332" s="4" t="s">
        <v>2876</v>
      </c>
      <c r="UME1332" s="4" t="s">
        <v>2876</v>
      </c>
      <c r="UMF1332" s="4" t="s">
        <v>2876</v>
      </c>
      <c r="UMG1332" s="4" t="s">
        <v>2876</v>
      </c>
      <c r="UMH1332" s="4" t="s">
        <v>2876</v>
      </c>
      <c r="UMI1332" s="4" t="s">
        <v>2876</v>
      </c>
      <c r="UMJ1332" s="4" t="s">
        <v>2876</v>
      </c>
      <c r="UMK1332" s="4" t="s">
        <v>2876</v>
      </c>
      <c r="UML1332" s="4" t="s">
        <v>2876</v>
      </c>
      <c r="UMM1332" s="4" t="s">
        <v>2876</v>
      </c>
      <c r="UMN1332" s="4" t="s">
        <v>2876</v>
      </c>
      <c r="UMO1332" s="4" t="s">
        <v>2876</v>
      </c>
      <c r="UMP1332" s="4" t="s">
        <v>2876</v>
      </c>
      <c r="UMQ1332" s="4" t="s">
        <v>2876</v>
      </c>
      <c r="UMR1332" s="4" t="s">
        <v>2876</v>
      </c>
      <c r="UMS1332" s="4" t="s">
        <v>2876</v>
      </c>
      <c r="UMT1332" s="4" t="s">
        <v>2876</v>
      </c>
      <c r="UMU1332" s="4" t="s">
        <v>2876</v>
      </c>
      <c r="UMV1332" s="4" t="s">
        <v>2876</v>
      </c>
      <c r="UMW1332" s="4" t="s">
        <v>2876</v>
      </c>
      <c r="UMX1332" s="4" t="s">
        <v>2876</v>
      </c>
      <c r="UMY1332" s="4" t="s">
        <v>2876</v>
      </c>
      <c r="UMZ1332" s="4" t="s">
        <v>2876</v>
      </c>
      <c r="UNA1332" s="4" t="s">
        <v>2876</v>
      </c>
      <c r="UNB1332" s="4" t="s">
        <v>2876</v>
      </c>
      <c r="UNC1332" s="4" t="s">
        <v>2876</v>
      </c>
      <c r="UND1332" s="4" t="s">
        <v>2876</v>
      </c>
      <c r="UNE1332" s="4" t="s">
        <v>2876</v>
      </c>
      <c r="UNF1332" s="4" t="s">
        <v>2876</v>
      </c>
      <c r="UNG1332" s="4" t="s">
        <v>2876</v>
      </c>
      <c r="UNH1332" s="4" t="s">
        <v>2876</v>
      </c>
      <c r="UNI1332" s="4" t="s">
        <v>2876</v>
      </c>
      <c r="UNJ1332" s="4" t="s">
        <v>2876</v>
      </c>
      <c r="UNK1332" s="4" t="s">
        <v>2876</v>
      </c>
      <c r="UNL1332" s="4" t="s">
        <v>2876</v>
      </c>
      <c r="UNM1332" s="4" t="s">
        <v>2876</v>
      </c>
      <c r="UNN1332" s="4" t="s">
        <v>2876</v>
      </c>
      <c r="UNO1332" s="4" t="s">
        <v>2876</v>
      </c>
      <c r="UNP1332" s="4" t="s">
        <v>2876</v>
      </c>
      <c r="UNQ1332" s="4" t="s">
        <v>2876</v>
      </c>
      <c r="UNR1332" s="4" t="s">
        <v>2876</v>
      </c>
      <c r="UNS1332" s="4" t="s">
        <v>2876</v>
      </c>
      <c r="UNT1332" s="4" t="s">
        <v>2876</v>
      </c>
      <c r="UNU1332" s="4" t="s">
        <v>2876</v>
      </c>
      <c r="UNV1332" s="4" t="s">
        <v>2876</v>
      </c>
      <c r="UNW1332" s="4" t="s">
        <v>2876</v>
      </c>
      <c r="UNX1332" s="4" t="s">
        <v>2876</v>
      </c>
      <c r="UNY1332" s="4" t="s">
        <v>2876</v>
      </c>
      <c r="UNZ1332" s="4" t="s">
        <v>2876</v>
      </c>
      <c r="UOA1332" s="4" t="s">
        <v>2876</v>
      </c>
      <c r="UOB1332" s="4" t="s">
        <v>2876</v>
      </c>
      <c r="UOC1332" s="4" t="s">
        <v>2876</v>
      </c>
      <c r="UOD1332" s="4" t="s">
        <v>2876</v>
      </c>
      <c r="UOE1332" s="4" t="s">
        <v>2876</v>
      </c>
      <c r="UOF1332" s="4" t="s">
        <v>2876</v>
      </c>
      <c r="UOG1332" s="4" t="s">
        <v>2876</v>
      </c>
      <c r="UOH1332" s="4" t="s">
        <v>2876</v>
      </c>
      <c r="UOI1332" s="4" t="s">
        <v>2876</v>
      </c>
      <c r="UOJ1332" s="4" t="s">
        <v>2876</v>
      </c>
      <c r="UOK1332" s="4" t="s">
        <v>2876</v>
      </c>
      <c r="UOL1332" s="4" t="s">
        <v>2876</v>
      </c>
      <c r="UOM1332" s="4" t="s">
        <v>2876</v>
      </c>
      <c r="UON1332" s="4" t="s">
        <v>2876</v>
      </c>
      <c r="UOO1332" s="4" t="s">
        <v>2876</v>
      </c>
      <c r="UOP1332" s="4" t="s">
        <v>2876</v>
      </c>
      <c r="UOQ1332" s="4" t="s">
        <v>2876</v>
      </c>
      <c r="UOR1332" s="4" t="s">
        <v>2876</v>
      </c>
      <c r="UOS1332" s="4" t="s">
        <v>2876</v>
      </c>
      <c r="UOT1332" s="4" t="s">
        <v>2876</v>
      </c>
      <c r="UOU1332" s="4" t="s">
        <v>2876</v>
      </c>
      <c r="UOV1332" s="4" t="s">
        <v>2876</v>
      </c>
      <c r="UOW1332" s="4" t="s">
        <v>2876</v>
      </c>
      <c r="UOX1332" s="4" t="s">
        <v>2876</v>
      </c>
      <c r="UOY1332" s="4" t="s">
        <v>2876</v>
      </c>
      <c r="UOZ1332" s="4" t="s">
        <v>2876</v>
      </c>
      <c r="UPA1332" s="4" t="s">
        <v>2876</v>
      </c>
      <c r="UPB1332" s="4" t="s">
        <v>2876</v>
      </c>
      <c r="UPC1332" s="4" t="s">
        <v>2876</v>
      </c>
      <c r="UPD1332" s="4" t="s">
        <v>2876</v>
      </c>
      <c r="UPE1332" s="4" t="s">
        <v>2876</v>
      </c>
      <c r="UPF1332" s="4" t="s">
        <v>2876</v>
      </c>
      <c r="UPG1332" s="4" t="s">
        <v>2876</v>
      </c>
      <c r="UPH1332" s="4" t="s">
        <v>2876</v>
      </c>
      <c r="UPI1332" s="4" t="s">
        <v>2876</v>
      </c>
      <c r="UPJ1332" s="4" t="s">
        <v>2876</v>
      </c>
      <c r="UPK1332" s="4" t="s">
        <v>2876</v>
      </c>
      <c r="UPL1332" s="4" t="s">
        <v>2876</v>
      </c>
      <c r="UPM1332" s="4" t="s">
        <v>2876</v>
      </c>
      <c r="UPN1332" s="4" t="s">
        <v>2876</v>
      </c>
      <c r="UPO1332" s="4" t="s">
        <v>2876</v>
      </c>
      <c r="UPP1332" s="4" t="s">
        <v>2876</v>
      </c>
      <c r="UPQ1332" s="4" t="s">
        <v>2876</v>
      </c>
      <c r="UPR1332" s="4" t="s">
        <v>2876</v>
      </c>
      <c r="UPS1332" s="4" t="s">
        <v>2876</v>
      </c>
      <c r="UPT1332" s="4" t="s">
        <v>2876</v>
      </c>
      <c r="UPU1332" s="4" t="s">
        <v>2876</v>
      </c>
      <c r="UPV1332" s="4" t="s">
        <v>2876</v>
      </c>
      <c r="UPW1332" s="4" t="s">
        <v>2876</v>
      </c>
      <c r="UPX1332" s="4" t="s">
        <v>2876</v>
      </c>
      <c r="UPY1332" s="4" t="s">
        <v>2876</v>
      </c>
      <c r="UPZ1332" s="4" t="s">
        <v>2876</v>
      </c>
      <c r="UQA1332" s="4" t="s">
        <v>2876</v>
      </c>
      <c r="UQB1332" s="4" t="s">
        <v>2876</v>
      </c>
      <c r="UQC1332" s="4" t="s">
        <v>2876</v>
      </c>
      <c r="UQD1332" s="4" t="s">
        <v>2876</v>
      </c>
      <c r="UQE1332" s="4" t="s">
        <v>2876</v>
      </c>
      <c r="UQF1332" s="4" t="s">
        <v>2876</v>
      </c>
      <c r="UQG1332" s="4" t="s">
        <v>2876</v>
      </c>
      <c r="UQH1332" s="4" t="s">
        <v>2876</v>
      </c>
      <c r="UQI1332" s="4" t="s">
        <v>2876</v>
      </c>
      <c r="UQJ1332" s="4" t="s">
        <v>2876</v>
      </c>
      <c r="UQK1332" s="4" t="s">
        <v>2876</v>
      </c>
      <c r="UQL1332" s="4" t="s">
        <v>2876</v>
      </c>
      <c r="UQM1332" s="4" t="s">
        <v>2876</v>
      </c>
      <c r="UQN1332" s="4" t="s">
        <v>2876</v>
      </c>
      <c r="UQO1332" s="4" t="s">
        <v>2876</v>
      </c>
      <c r="UQP1332" s="4" t="s">
        <v>2876</v>
      </c>
      <c r="UQQ1332" s="4" t="s">
        <v>2876</v>
      </c>
      <c r="UQR1332" s="4" t="s">
        <v>2876</v>
      </c>
      <c r="UQS1332" s="4" t="s">
        <v>2876</v>
      </c>
      <c r="UQT1332" s="4" t="s">
        <v>2876</v>
      </c>
      <c r="UQU1332" s="4" t="s">
        <v>2876</v>
      </c>
      <c r="UQV1332" s="4" t="s">
        <v>2876</v>
      </c>
      <c r="UQW1332" s="4" t="s">
        <v>2876</v>
      </c>
      <c r="UQX1332" s="4" t="s">
        <v>2876</v>
      </c>
      <c r="UQY1332" s="4" t="s">
        <v>2876</v>
      </c>
      <c r="UQZ1332" s="4" t="s">
        <v>2876</v>
      </c>
      <c r="URA1332" s="4" t="s">
        <v>2876</v>
      </c>
      <c r="URB1332" s="4" t="s">
        <v>2876</v>
      </c>
      <c r="URC1332" s="4" t="s">
        <v>2876</v>
      </c>
      <c r="URD1332" s="4" t="s">
        <v>2876</v>
      </c>
      <c r="URE1332" s="4" t="s">
        <v>2876</v>
      </c>
      <c r="URF1332" s="4" t="s">
        <v>2876</v>
      </c>
      <c r="URG1332" s="4" t="s">
        <v>2876</v>
      </c>
      <c r="URH1332" s="4" t="s">
        <v>2876</v>
      </c>
      <c r="URI1332" s="4" t="s">
        <v>2876</v>
      </c>
      <c r="URJ1332" s="4" t="s">
        <v>2876</v>
      </c>
      <c r="URK1332" s="4" t="s">
        <v>2876</v>
      </c>
      <c r="URL1332" s="4" t="s">
        <v>2876</v>
      </c>
      <c r="URM1332" s="4" t="s">
        <v>2876</v>
      </c>
      <c r="URN1332" s="4" t="s">
        <v>2876</v>
      </c>
      <c r="URO1332" s="4" t="s">
        <v>2876</v>
      </c>
      <c r="URP1332" s="4" t="s">
        <v>2876</v>
      </c>
      <c r="URQ1332" s="4" t="s">
        <v>2876</v>
      </c>
      <c r="URR1332" s="4" t="s">
        <v>2876</v>
      </c>
      <c r="URS1332" s="4" t="s">
        <v>2876</v>
      </c>
      <c r="URT1332" s="4" t="s">
        <v>2876</v>
      </c>
      <c r="URU1332" s="4" t="s">
        <v>2876</v>
      </c>
      <c r="URV1332" s="4" t="s">
        <v>2876</v>
      </c>
      <c r="URW1332" s="4" t="s">
        <v>2876</v>
      </c>
      <c r="URX1332" s="4" t="s">
        <v>2876</v>
      </c>
      <c r="URY1332" s="4" t="s">
        <v>2876</v>
      </c>
      <c r="URZ1332" s="4" t="s">
        <v>2876</v>
      </c>
      <c r="USA1332" s="4" t="s">
        <v>2876</v>
      </c>
      <c r="USB1332" s="4" t="s">
        <v>2876</v>
      </c>
      <c r="USC1332" s="4" t="s">
        <v>2876</v>
      </c>
      <c r="USD1332" s="4" t="s">
        <v>2876</v>
      </c>
      <c r="USE1332" s="4" t="s">
        <v>2876</v>
      </c>
      <c r="USF1332" s="4" t="s">
        <v>2876</v>
      </c>
      <c r="USG1332" s="4" t="s">
        <v>2876</v>
      </c>
      <c r="USH1332" s="4" t="s">
        <v>2876</v>
      </c>
      <c r="USI1332" s="4" t="s">
        <v>2876</v>
      </c>
      <c r="USJ1332" s="4" t="s">
        <v>2876</v>
      </c>
      <c r="USK1332" s="4" t="s">
        <v>2876</v>
      </c>
      <c r="USL1332" s="4" t="s">
        <v>2876</v>
      </c>
      <c r="USM1332" s="4" t="s">
        <v>2876</v>
      </c>
      <c r="USN1332" s="4" t="s">
        <v>2876</v>
      </c>
      <c r="USO1332" s="4" t="s">
        <v>2876</v>
      </c>
      <c r="USP1332" s="4" t="s">
        <v>2876</v>
      </c>
      <c r="USQ1332" s="4" t="s">
        <v>2876</v>
      </c>
      <c r="USR1332" s="4" t="s">
        <v>2876</v>
      </c>
      <c r="USS1332" s="4" t="s">
        <v>2876</v>
      </c>
      <c r="UST1332" s="4" t="s">
        <v>2876</v>
      </c>
      <c r="USU1332" s="4" t="s">
        <v>2876</v>
      </c>
      <c r="USV1332" s="4" t="s">
        <v>2876</v>
      </c>
      <c r="USW1332" s="4" t="s">
        <v>2876</v>
      </c>
      <c r="USX1332" s="4" t="s">
        <v>2876</v>
      </c>
      <c r="USY1332" s="4" t="s">
        <v>2876</v>
      </c>
      <c r="USZ1332" s="4" t="s">
        <v>2876</v>
      </c>
      <c r="UTA1332" s="4" t="s">
        <v>2876</v>
      </c>
      <c r="UTB1332" s="4" t="s">
        <v>2876</v>
      </c>
      <c r="UTC1332" s="4" t="s">
        <v>2876</v>
      </c>
      <c r="UTD1332" s="4" t="s">
        <v>2876</v>
      </c>
      <c r="UTE1332" s="4" t="s">
        <v>2876</v>
      </c>
      <c r="UTF1332" s="4" t="s">
        <v>2876</v>
      </c>
      <c r="UTG1332" s="4" t="s">
        <v>2876</v>
      </c>
      <c r="UTH1332" s="4" t="s">
        <v>2876</v>
      </c>
      <c r="UTI1332" s="4" t="s">
        <v>2876</v>
      </c>
      <c r="UTJ1332" s="4" t="s">
        <v>2876</v>
      </c>
      <c r="UTK1332" s="4" t="s">
        <v>2876</v>
      </c>
      <c r="UTL1332" s="4" t="s">
        <v>2876</v>
      </c>
      <c r="UTM1332" s="4" t="s">
        <v>2876</v>
      </c>
      <c r="UTN1332" s="4" t="s">
        <v>2876</v>
      </c>
      <c r="UTO1332" s="4" t="s">
        <v>2876</v>
      </c>
      <c r="UTP1332" s="4" t="s">
        <v>2876</v>
      </c>
      <c r="UTQ1332" s="4" t="s">
        <v>2876</v>
      </c>
      <c r="UTR1332" s="4" t="s">
        <v>2876</v>
      </c>
      <c r="UTS1332" s="4" t="s">
        <v>2876</v>
      </c>
      <c r="UTT1332" s="4" t="s">
        <v>2876</v>
      </c>
      <c r="UTU1332" s="4" t="s">
        <v>2876</v>
      </c>
      <c r="UTV1332" s="4" t="s">
        <v>2876</v>
      </c>
      <c r="UTW1332" s="4" t="s">
        <v>2876</v>
      </c>
      <c r="UTX1332" s="4" t="s">
        <v>2876</v>
      </c>
      <c r="UTY1332" s="4" t="s">
        <v>2876</v>
      </c>
      <c r="UTZ1332" s="4" t="s">
        <v>2876</v>
      </c>
      <c r="UUA1332" s="4" t="s">
        <v>2876</v>
      </c>
      <c r="UUB1332" s="4" t="s">
        <v>2876</v>
      </c>
      <c r="UUC1332" s="4" t="s">
        <v>2876</v>
      </c>
      <c r="UUD1332" s="4" t="s">
        <v>2876</v>
      </c>
      <c r="UUE1332" s="4" t="s">
        <v>2876</v>
      </c>
      <c r="UUF1332" s="4" t="s">
        <v>2876</v>
      </c>
      <c r="UUG1332" s="4" t="s">
        <v>2876</v>
      </c>
      <c r="UUH1332" s="4" t="s">
        <v>2876</v>
      </c>
      <c r="UUI1332" s="4" t="s">
        <v>2876</v>
      </c>
      <c r="UUJ1332" s="4" t="s">
        <v>2876</v>
      </c>
      <c r="UUK1332" s="4" t="s">
        <v>2876</v>
      </c>
      <c r="UUL1332" s="4" t="s">
        <v>2876</v>
      </c>
      <c r="UUM1332" s="4" t="s">
        <v>2876</v>
      </c>
      <c r="UUN1332" s="4" t="s">
        <v>2876</v>
      </c>
      <c r="UUO1332" s="4" t="s">
        <v>2876</v>
      </c>
      <c r="UUP1332" s="4" t="s">
        <v>2876</v>
      </c>
      <c r="UUQ1332" s="4" t="s">
        <v>2876</v>
      </c>
      <c r="UUR1332" s="4" t="s">
        <v>2876</v>
      </c>
      <c r="UUS1332" s="4" t="s">
        <v>2876</v>
      </c>
      <c r="UUT1332" s="4" t="s">
        <v>2876</v>
      </c>
      <c r="UUU1332" s="4" t="s">
        <v>2876</v>
      </c>
      <c r="UUV1332" s="4" t="s">
        <v>2876</v>
      </c>
      <c r="UUW1332" s="4" t="s">
        <v>2876</v>
      </c>
      <c r="UUX1332" s="4" t="s">
        <v>2876</v>
      </c>
      <c r="UUY1332" s="4" t="s">
        <v>2876</v>
      </c>
      <c r="UUZ1332" s="4" t="s">
        <v>2876</v>
      </c>
      <c r="UVA1332" s="4" t="s">
        <v>2876</v>
      </c>
      <c r="UVB1332" s="4" t="s">
        <v>2876</v>
      </c>
      <c r="UVC1332" s="4" t="s">
        <v>2876</v>
      </c>
      <c r="UVD1332" s="4" t="s">
        <v>2876</v>
      </c>
      <c r="UVE1332" s="4" t="s">
        <v>2876</v>
      </c>
      <c r="UVF1332" s="4" t="s">
        <v>2876</v>
      </c>
      <c r="UVG1332" s="4" t="s">
        <v>2876</v>
      </c>
      <c r="UVH1332" s="4" t="s">
        <v>2876</v>
      </c>
      <c r="UVI1332" s="4" t="s">
        <v>2876</v>
      </c>
      <c r="UVJ1332" s="4" t="s">
        <v>2876</v>
      </c>
      <c r="UVK1332" s="4" t="s">
        <v>2876</v>
      </c>
      <c r="UVL1332" s="4" t="s">
        <v>2876</v>
      </c>
      <c r="UVM1332" s="4" t="s">
        <v>2876</v>
      </c>
      <c r="UVN1332" s="4" t="s">
        <v>2876</v>
      </c>
      <c r="UVO1332" s="4" t="s">
        <v>2876</v>
      </c>
      <c r="UVP1332" s="4" t="s">
        <v>2876</v>
      </c>
      <c r="UVQ1332" s="4" t="s">
        <v>2876</v>
      </c>
      <c r="UVR1332" s="4" t="s">
        <v>2876</v>
      </c>
      <c r="UVS1332" s="4" t="s">
        <v>2876</v>
      </c>
      <c r="UVT1332" s="4" t="s">
        <v>2876</v>
      </c>
      <c r="UVU1332" s="4" t="s">
        <v>2876</v>
      </c>
      <c r="UVV1332" s="4" t="s">
        <v>2876</v>
      </c>
      <c r="UVW1332" s="4" t="s">
        <v>2876</v>
      </c>
      <c r="UVX1332" s="4" t="s">
        <v>2876</v>
      </c>
      <c r="UVY1332" s="4" t="s">
        <v>2876</v>
      </c>
      <c r="UVZ1332" s="4" t="s">
        <v>2876</v>
      </c>
      <c r="UWA1332" s="4" t="s">
        <v>2876</v>
      </c>
      <c r="UWB1332" s="4" t="s">
        <v>2876</v>
      </c>
      <c r="UWC1332" s="4" t="s">
        <v>2876</v>
      </c>
      <c r="UWD1332" s="4" t="s">
        <v>2876</v>
      </c>
      <c r="UWE1332" s="4" t="s">
        <v>2876</v>
      </c>
      <c r="UWF1332" s="4" t="s">
        <v>2876</v>
      </c>
      <c r="UWG1332" s="4" t="s">
        <v>2876</v>
      </c>
      <c r="UWH1332" s="4" t="s">
        <v>2876</v>
      </c>
      <c r="UWI1332" s="4" t="s">
        <v>2876</v>
      </c>
      <c r="UWJ1332" s="4" t="s">
        <v>2876</v>
      </c>
      <c r="UWK1332" s="4" t="s">
        <v>2876</v>
      </c>
      <c r="UWL1332" s="4" t="s">
        <v>2876</v>
      </c>
      <c r="UWM1332" s="4" t="s">
        <v>2876</v>
      </c>
      <c r="UWN1332" s="4" t="s">
        <v>2876</v>
      </c>
      <c r="UWO1332" s="4" t="s">
        <v>2876</v>
      </c>
      <c r="UWP1332" s="4" t="s">
        <v>2876</v>
      </c>
      <c r="UWQ1332" s="4" t="s">
        <v>2876</v>
      </c>
      <c r="UWR1332" s="4" t="s">
        <v>2876</v>
      </c>
      <c r="UWS1332" s="4" t="s">
        <v>2876</v>
      </c>
      <c r="UWT1332" s="4" t="s">
        <v>2876</v>
      </c>
      <c r="UWU1332" s="4" t="s">
        <v>2876</v>
      </c>
      <c r="UWV1332" s="4" t="s">
        <v>2876</v>
      </c>
      <c r="UWW1332" s="4" t="s">
        <v>2876</v>
      </c>
      <c r="UWX1332" s="4" t="s">
        <v>2876</v>
      </c>
      <c r="UWY1332" s="4" t="s">
        <v>2876</v>
      </c>
      <c r="UWZ1332" s="4" t="s">
        <v>2876</v>
      </c>
      <c r="UXA1332" s="4" t="s">
        <v>2876</v>
      </c>
      <c r="UXB1332" s="4" t="s">
        <v>2876</v>
      </c>
      <c r="UXC1332" s="4" t="s">
        <v>2876</v>
      </c>
      <c r="UXD1332" s="4" t="s">
        <v>2876</v>
      </c>
      <c r="UXE1332" s="4" t="s">
        <v>2876</v>
      </c>
      <c r="UXF1332" s="4" t="s">
        <v>2876</v>
      </c>
      <c r="UXG1332" s="4" t="s">
        <v>2876</v>
      </c>
      <c r="UXH1332" s="4" t="s">
        <v>2876</v>
      </c>
      <c r="UXI1332" s="4" t="s">
        <v>2876</v>
      </c>
      <c r="UXJ1332" s="4" t="s">
        <v>2876</v>
      </c>
      <c r="UXK1332" s="4" t="s">
        <v>2876</v>
      </c>
      <c r="UXL1332" s="4" t="s">
        <v>2876</v>
      </c>
      <c r="UXM1332" s="4" t="s">
        <v>2876</v>
      </c>
      <c r="UXN1332" s="4" t="s">
        <v>2876</v>
      </c>
      <c r="UXO1332" s="4" t="s">
        <v>2876</v>
      </c>
      <c r="UXP1332" s="4" t="s">
        <v>2876</v>
      </c>
      <c r="UXQ1332" s="4" t="s">
        <v>2876</v>
      </c>
      <c r="UXR1332" s="4" t="s">
        <v>2876</v>
      </c>
      <c r="UXS1332" s="4" t="s">
        <v>2876</v>
      </c>
      <c r="UXT1332" s="4" t="s">
        <v>2876</v>
      </c>
      <c r="UXU1332" s="4" t="s">
        <v>2876</v>
      </c>
      <c r="UXV1332" s="4" t="s">
        <v>2876</v>
      </c>
      <c r="UXW1332" s="4" t="s">
        <v>2876</v>
      </c>
      <c r="UXX1332" s="4" t="s">
        <v>2876</v>
      </c>
      <c r="UXY1332" s="4" t="s">
        <v>2876</v>
      </c>
      <c r="UXZ1332" s="4" t="s">
        <v>2876</v>
      </c>
      <c r="UYA1332" s="4" t="s">
        <v>2876</v>
      </c>
      <c r="UYB1332" s="4" t="s">
        <v>2876</v>
      </c>
      <c r="UYC1332" s="4" t="s">
        <v>2876</v>
      </c>
      <c r="UYD1332" s="4" t="s">
        <v>2876</v>
      </c>
      <c r="UYE1332" s="4" t="s">
        <v>2876</v>
      </c>
      <c r="UYF1332" s="4" t="s">
        <v>2876</v>
      </c>
      <c r="UYG1332" s="4" t="s">
        <v>2876</v>
      </c>
      <c r="UYH1332" s="4" t="s">
        <v>2876</v>
      </c>
      <c r="UYI1332" s="4" t="s">
        <v>2876</v>
      </c>
      <c r="UYJ1332" s="4" t="s">
        <v>2876</v>
      </c>
      <c r="UYK1332" s="4" t="s">
        <v>2876</v>
      </c>
      <c r="UYL1332" s="4" t="s">
        <v>2876</v>
      </c>
      <c r="UYM1332" s="4" t="s">
        <v>2876</v>
      </c>
      <c r="UYN1332" s="4" t="s">
        <v>2876</v>
      </c>
      <c r="UYO1332" s="4" t="s">
        <v>2876</v>
      </c>
      <c r="UYP1332" s="4" t="s">
        <v>2876</v>
      </c>
      <c r="UYQ1332" s="4" t="s">
        <v>2876</v>
      </c>
      <c r="UYR1332" s="4" t="s">
        <v>2876</v>
      </c>
      <c r="UYS1332" s="4" t="s">
        <v>2876</v>
      </c>
      <c r="UYT1332" s="4" t="s">
        <v>2876</v>
      </c>
      <c r="UYU1332" s="4" t="s">
        <v>2876</v>
      </c>
      <c r="UYV1332" s="4" t="s">
        <v>2876</v>
      </c>
      <c r="UYW1332" s="4" t="s">
        <v>2876</v>
      </c>
      <c r="UYX1332" s="4" t="s">
        <v>2876</v>
      </c>
      <c r="UYY1332" s="4" t="s">
        <v>2876</v>
      </c>
      <c r="UYZ1332" s="4" t="s">
        <v>2876</v>
      </c>
      <c r="UZA1332" s="4" t="s">
        <v>2876</v>
      </c>
      <c r="UZB1332" s="4" t="s">
        <v>2876</v>
      </c>
      <c r="UZC1332" s="4" t="s">
        <v>2876</v>
      </c>
      <c r="UZD1332" s="4" t="s">
        <v>2876</v>
      </c>
      <c r="UZE1332" s="4" t="s">
        <v>2876</v>
      </c>
      <c r="UZF1332" s="4" t="s">
        <v>2876</v>
      </c>
      <c r="UZG1332" s="4" t="s">
        <v>2876</v>
      </c>
      <c r="UZH1332" s="4" t="s">
        <v>2876</v>
      </c>
      <c r="UZI1332" s="4" t="s">
        <v>2876</v>
      </c>
      <c r="UZJ1332" s="4" t="s">
        <v>2876</v>
      </c>
      <c r="UZK1332" s="4" t="s">
        <v>2876</v>
      </c>
      <c r="UZL1332" s="4" t="s">
        <v>2876</v>
      </c>
      <c r="UZM1332" s="4" t="s">
        <v>2876</v>
      </c>
      <c r="UZN1332" s="4" t="s">
        <v>2876</v>
      </c>
      <c r="UZO1332" s="4" t="s">
        <v>2876</v>
      </c>
      <c r="UZP1332" s="4" t="s">
        <v>2876</v>
      </c>
      <c r="UZQ1332" s="4" t="s">
        <v>2876</v>
      </c>
      <c r="UZR1332" s="4" t="s">
        <v>2876</v>
      </c>
      <c r="UZS1332" s="4" t="s">
        <v>2876</v>
      </c>
      <c r="UZT1332" s="4" t="s">
        <v>2876</v>
      </c>
      <c r="UZU1332" s="4" t="s">
        <v>2876</v>
      </c>
      <c r="UZV1332" s="4" t="s">
        <v>2876</v>
      </c>
      <c r="UZW1332" s="4" t="s">
        <v>2876</v>
      </c>
      <c r="UZX1332" s="4" t="s">
        <v>2876</v>
      </c>
      <c r="UZY1332" s="4" t="s">
        <v>2876</v>
      </c>
      <c r="UZZ1332" s="4" t="s">
        <v>2876</v>
      </c>
      <c r="VAA1332" s="4" t="s">
        <v>2876</v>
      </c>
      <c r="VAB1332" s="4" t="s">
        <v>2876</v>
      </c>
      <c r="VAC1332" s="4" t="s">
        <v>2876</v>
      </c>
      <c r="VAD1332" s="4" t="s">
        <v>2876</v>
      </c>
      <c r="VAE1332" s="4" t="s">
        <v>2876</v>
      </c>
      <c r="VAF1332" s="4" t="s">
        <v>2876</v>
      </c>
      <c r="VAG1332" s="4" t="s">
        <v>2876</v>
      </c>
      <c r="VAH1332" s="4" t="s">
        <v>2876</v>
      </c>
      <c r="VAI1332" s="4" t="s">
        <v>2876</v>
      </c>
      <c r="VAJ1332" s="4" t="s">
        <v>2876</v>
      </c>
      <c r="VAK1332" s="4" t="s">
        <v>2876</v>
      </c>
      <c r="VAL1332" s="4" t="s">
        <v>2876</v>
      </c>
      <c r="VAM1332" s="4" t="s">
        <v>2876</v>
      </c>
      <c r="VAN1332" s="4" t="s">
        <v>2876</v>
      </c>
      <c r="VAO1332" s="4" t="s">
        <v>2876</v>
      </c>
      <c r="VAP1332" s="4" t="s">
        <v>2876</v>
      </c>
      <c r="VAQ1332" s="4" t="s">
        <v>2876</v>
      </c>
      <c r="VAR1332" s="4" t="s">
        <v>2876</v>
      </c>
      <c r="VAS1332" s="4" t="s">
        <v>2876</v>
      </c>
      <c r="VAT1332" s="4" t="s">
        <v>2876</v>
      </c>
      <c r="VAU1332" s="4" t="s">
        <v>2876</v>
      </c>
      <c r="VAV1332" s="4" t="s">
        <v>2876</v>
      </c>
      <c r="VAW1332" s="4" t="s">
        <v>2876</v>
      </c>
      <c r="VAX1332" s="4" t="s">
        <v>2876</v>
      </c>
      <c r="VAY1332" s="4" t="s">
        <v>2876</v>
      </c>
      <c r="VAZ1332" s="4" t="s">
        <v>2876</v>
      </c>
      <c r="VBA1332" s="4" t="s">
        <v>2876</v>
      </c>
      <c r="VBB1332" s="4" t="s">
        <v>2876</v>
      </c>
      <c r="VBC1332" s="4" t="s">
        <v>2876</v>
      </c>
      <c r="VBD1332" s="4" t="s">
        <v>2876</v>
      </c>
      <c r="VBE1332" s="4" t="s">
        <v>2876</v>
      </c>
      <c r="VBF1332" s="4" t="s">
        <v>2876</v>
      </c>
      <c r="VBG1332" s="4" t="s">
        <v>2876</v>
      </c>
      <c r="VBH1332" s="4" t="s">
        <v>2876</v>
      </c>
      <c r="VBI1332" s="4" t="s">
        <v>2876</v>
      </c>
      <c r="VBJ1332" s="4" t="s">
        <v>2876</v>
      </c>
      <c r="VBK1332" s="4" t="s">
        <v>2876</v>
      </c>
      <c r="VBL1332" s="4" t="s">
        <v>2876</v>
      </c>
      <c r="VBM1332" s="4" t="s">
        <v>2876</v>
      </c>
      <c r="VBN1332" s="4" t="s">
        <v>2876</v>
      </c>
      <c r="VBO1332" s="4" t="s">
        <v>2876</v>
      </c>
      <c r="VBP1332" s="4" t="s">
        <v>2876</v>
      </c>
      <c r="VBQ1332" s="4" t="s">
        <v>2876</v>
      </c>
      <c r="VBR1332" s="4" t="s">
        <v>2876</v>
      </c>
      <c r="VBS1332" s="4" t="s">
        <v>2876</v>
      </c>
      <c r="VBT1332" s="4" t="s">
        <v>2876</v>
      </c>
      <c r="VBU1332" s="4" t="s">
        <v>2876</v>
      </c>
      <c r="VBV1332" s="4" t="s">
        <v>2876</v>
      </c>
      <c r="VBW1332" s="4" t="s">
        <v>2876</v>
      </c>
      <c r="VBX1332" s="4" t="s">
        <v>2876</v>
      </c>
      <c r="VBY1332" s="4" t="s">
        <v>2876</v>
      </c>
      <c r="VBZ1332" s="4" t="s">
        <v>2876</v>
      </c>
      <c r="VCA1332" s="4" t="s">
        <v>2876</v>
      </c>
      <c r="VCB1332" s="4" t="s">
        <v>2876</v>
      </c>
      <c r="VCC1332" s="4" t="s">
        <v>2876</v>
      </c>
      <c r="VCD1332" s="4" t="s">
        <v>2876</v>
      </c>
      <c r="VCE1332" s="4" t="s">
        <v>2876</v>
      </c>
      <c r="VCF1332" s="4" t="s">
        <v>2876</v>
      </c>
      <c r="VCG1332" s="4" t="s">
        <v>2876</v>
      </c>
      <c r="VCH1332" s="4" t="s">
        <v>2876</v>
      </c>
      <c r="VCI1332" s="4" t="s">
        <v>2876</v>
      </c>
      <c r="VCJ1332" s="4" t="s">
        <v>2876</v>
      </c>
      <c r="VCK1332" s="4" t="s">
        <v>2876</v>
      </c>
      <c r="VCL1332" s="4" t="s">
        <v>2876</v>
      </c>
      <c r="VCM1332" s="4" t="s">
        <v>2876</v>
      </c>
      <c r="VCN1332" s="4" t="s">
        <v>2876</v>
      </c>
      <c r="VCO1332" s="4" t="s">
        <v>2876</v>
      </c>
      <c r="VCP1332" s="4" t="s">
        <v>2876</v>
      </c>
      <c r="VCQ1332" s="4" t="s">
        <v>2876</v>
      </c>
      <c r="VCR1332" s="4" t="s">
        <v>2876</v>
      </c>
      <c r="VCS1332" s="4" t="s">
        <v>2876</v>
      </c>
      <c r="VCT1332" s="4" t="s">
        <v>2876</v>
      </c>
      <c r="VCU1332" s="4" t="s">
        <v>2876</v>
      </c>
      <c r="VCV1332" s="4" t="s">
        <v>2876</v>
      </c>
      <c r="VCW1332" s="4" t="s">
        <v>2876</v>
      </c>
      <c r="VCX1332" s="4" t="s">
        <v>2876</v>
      </c>
      <c r="VCY1332" s="4" t="s">
        <v>2876</v>
      </c>
      <c r="VCZ1332" s="4" t="s">
        <v>2876</v>
      </c>
      <c r="VDA1332" s="4" t="s">
        <v>2876</v>
      </c>
      <c r="VDB1332" s="4" t="s">
        <v>2876</v>
      </c>
      <c r="VDC1332" s="4" t="s">
        <v>2876</v>
      </c>
      <c r="VDD1332" s="4" t="s">
        <v>2876</v>
      </c>
      <c r="VDE1332" s="4" t="s">
        <v>2876</v>
      </c>
      <c r="VDF1332" s="4" t="s">
        <v>2876</v>
      </c>
      <c r="VDG1332" s="4" t="s">
        <v>2876</v>
      </c>
      <c r="VDH1332" s="4" t="s">
        <v>2876</v>
      </c>
      <c r="VDI1332" s="4" t="s">
        <v>2876</v>
      </c>
      <c r="VDJ1332" s="4" t="s">
        <v>2876</v>
      </c>
      <c r="VDK1332" s="4" t="s">
        <v>2876</v>
      </c>
      <c r="VDL1332" s="4" t="s">
        <v>2876</v>
      </c>
      <c r="VDM1332" s="4" t="s">
        <v>2876</v>
      </c>
      <c r="VDN1332" s="4" t="s">
        <v>2876</v>
      </c>
      <c r="VDO1332" s="4" t="s">
        <v>2876</v>
      </c>
      <c r="VDP1332" s="4" t="s">
        <v>2876</v>
      </c>
      <c r="VDQ1332" s="4" t="s">
        <v>2876</v>
      </c>
      <c r="VDR1332" s="4" t="s">
        <v>2876</v>
      </c>
      <c r="VDS1332" s="4" t="s">
        <v>2876</v>
      </c>
      <c r="VDT1332" s="4" t="s">
        <v>2876</v>
      </c>
      <c r="VDU1332" s="4" t="s">
        <v>2876</v>
      </c>
      <c r="VDV1332" s="4" t="s">
        <v>2876</v>
      </c>
      <c r="VDW1332" s="4" t="s">
        <v>2876</v>
      </c>
      <c r="VDX1332" s="4" t="s">
        <v>2876</v>
      </c>
      <c r="VDY1332" s="4" t="s">
        <v>2876</v>
      </c>
      <c r="VDZ1332" s="4" t="s">
        <v>2876</v>
      </c>
      <c r="VEA1332" s="4" t="s">
        <v>2876</v>
      </c>
      <c r="VEB1332" s="4" t="s">
        <v>2876</v>
      </c>
      <c r="VEC1332" s="4" t="s">
        <v>2876</v>
      </c>
      <c r="VED1332" s="4" t="s">
        <v>2876</v>
      </c>
      <c r="VEE1332" s="4" t="s">
        <v>2876</v>
      </c>
      <c r="VEF1332" s="4" t="s">
        <v>2876</v>
      </c>
      <c r="VEG1332" s="4" t="s">
        <v>2876</v>
      </c>
      <c r="VEH1332" s="4" t="s">
        <v>2876</v>
      </c>
      <c r="VEI1332" s="4" t="s">
        <v>2876</v>
      </c>
      <c r="VEJ1332" s="4" t="s">
        <v>2876</v>
      </c>
      <c r="VEK1332" s="4" t="s">
        <v>2876</v>
      </c>
      <c r="VEL1332" s="4" t="s">
        <v>2876</v>
      </c>
      <c r="VEM1332" s="4" t="s">
        <v>2876</v>
      </c>
      <c r="VEN1332" s="4" t="s">
        <v>2876</v>
      </c>
      <c r="VEO1332" s="4" t="s">
        <v>2876</v>
      </c>
      <c r="VEP1332" s="4" t="s">
        <v>2876</v>
      </c>
      <c r="VEQ1332" s="4" t="s">
        <v>2876</v>
      </c>
      <c r="VER1332" s="4" t="s">
        <v>2876</v>
      </c>
      <c r="VES1332" s="4" t="s">
        <v>2876</v>
      </c>
      <c r="VET1332" s="4" t="s">
        <v>2876</v>
      </c>
      <c r="VEU1332" s="4" t="s">
        <v>2876</v>
      </c>
      <c r="VEV1332" s="4" t="s">
        <v>2876</v>
      </c>
      <c r="VEW1332" s="4" t="s">
        <v>2876</v>
      </c>
      <c r="VEX1332" s="4" t="s">
        <v>2876</v>
      </c>
      <c r="VEY1332" s="4" t="s">
        <v>2876</v>
      </c>
      <c r="VEZ1332" s="4" t="s">
        <v>2876</v>
      </c>
      <c r="VFA1332" s="4" t="s">
        <v>2876</v>
      </c>
      <c r="VFB1332" s="4" t="s">
        <v>2876</v>
      </c>
      <c r="VFC1332" s="4" t="s">
        <v>2876</v>
      </c>
      <c r="VFD1332" s="4" t="s">
        <v>2876</v>
      </c>
      <c r="VFE1332" s="4" t="s">
        <v>2876</v>
      </c>
      <c r="VFF1332" s="4" t="s">
        <v>2876</v>
      </c>
      <c r="VFG1332" s="4" t="s">
        <v>2876</v>
      </c>
      <c r="VFH1332" s="4" t="s">
        <v>2876</v>
      </c>
      <c r="VFI1332" s="4" t="s">
        <v>2876</v>
      </c>
      <c r="VFJ1332" s="4" t="s">
        <v>2876</v>
      </c>
      <c r="VFK1332" s="4" t="s">
        <v>2876</v>
      </c>
      <c r="VFL1332" s="4" t="s">
        <v>2876</v>
      </c>
      <c r="VFM1332" s="4" t="s">
        <v>2876</v>
      </c>
      <c r="VFN1332" s="4" t="s">
        <v>2876</v>
      </c>
      <c r="VFO1332" s="4" t="s">
        <v>2876</v>
      </c>
      <c r="VFP1332" s="4" t="s">
        <v>2876</v>
      </c>
      <c r="VFQ1332" s="4" t="s">
        <v>2876</v>
      </c>
      <c r="VFR1332" s="4" t="s">
        <v>2876</v>
      </c>
      <c r="VFS1332" s="4" t="s">
        <v>2876</v>
      </c>
      <c r="VFT1332" s="4" t="s">
        <v>2876</v>
      </c>
      <c r="VFU1332" s="4" t="s">
        <v>2876</v>
      </c>
      <c r="VFV1332" s="4" t="s">
        <v>2876</v>
      </c>
      <c r="VFW1332" s="4" t="s">
        <v>2876</v>
      </c>
      <c r="VFX1332" s="4" t="s">
        <v>2876</v>
      </c>
      <c r="VFY1332" s="4" t="s">
        <v>2876</v>
      </c>
      <c r="VFZ1332" s="4" t="s">
        <v>2876</v>
      </c>
      <c r="VGA1332" s="4" t="s">
        <v>2876</v>
      </c>
      <c r="VGB1332" s="4" t="s">
        <v>2876</v>
      </c>
      <c r="VGC1332" s="4" t="s">
        <v>2876</v>
      </c>
      <c r="VGD1332" s="4" t="s">
        <v>2876</v>
      </c>
      <c r="VGE1332" s="4" t="s">
        <v>2876</v>
      </c>
      <c r="VGF1332" s="4" t="s">
        <v>2876</v>
      </c>
      <c r="VGG1332" s="4" t="s">
        <v>2876</v>
      </c>
      <c r="VGH1332" s="4" t="s">
        <v>2876</v>
      </c>
      <c r="VGI1332" s="4" t="s">
        <v>2876</v>
      </c>
      <c r="VGJ1332" s="4" t="s">
        <v>2876</v>
      </c>
      <c r="VGK1332" s="4" t="s">
        <v>2876</v>
      </c>
      <c r="VGL1332" s="4" t="s">
        <v>2876</v>
      </c>
      <c r="VGM1332" s="4" t="s">
        <v>2876</v>
      </c>
      <c r="VGN1332" s="4" t="s">
        <v>2876</v>
      </c>
      <c r="VGO1332" s="4" t="s">
        <v>2876</v>
      </c>
      <c r="VGP1332" s="4" t="s">
        <v>2876</v>
      </c>
      <c r="VGQ1332" s="4" t="s">
        <v>2876</v>
      </c>
      <c r="VGR1332" s="4" t="s">
        <v>2876</v>
      </c>
      <c r="VGS1332" s="4" t="s">
        <v>2876</v>
      </c>
      <c r="VGT1332" s="4" t="s">
        <v>2876</v>
      </c>
      <c r="VGU1332" s="4" t="s">
        <v>2876</v>
      </c>
      <c r="VGV1332" s="4" t="s">
        <v>2876</v>
      </c>
      <c r="VGW1332" s="4" t="s">
        <v>2876</v>
      </c>
      <c r="VGX1332" s="4" t="s">
        <v>2876</v>
      </c>
      <c r="VGY1332" s="4" t="s">
        <v>2876</v>
      </c>
      <c r="VGZ1332" s="4" t="s">
        <v>2876</v>
      </c>
      <c r="VHA1332" s="4" t="s">
        <v>2876</v>
      </c>
      <c r="VHB1332" s="4" t="s">
        <v>2876</v>
      </c>
      <c r="VHC1332" s="4" t="s">
        <v>2876</v>
      </c>
      <c r="VHD1332" s="4" t="s">
        <v>2876</v>
      </c>
      <c r="VHE1332" s="4" t="s">
        <v>2876</v>
      </c>
      <c r="VHF1332" s="4" t="s">
        <v>2876</v>
      </c>
      <c r="VHG1332" s="4" t="s">
        <v>2876</v>
      </c>
      <c r="VHH1332" s="4" t="s">
        <v>2876</v>
      </c>
      <c r="VHI1332" s="4" t="s">
        <v>2876</v>
      </c>
      <c r="VHJ1332" s="4" t="s">
        <v>2876</v>
      </c>
      <c r="VHK1332" s="4" t="s">
        <v>2876</v>
      </c>
      <c r="VHL1332" s="4" t="s">
        <v>2876</v>
      </c>
      <c r="VHM1332" s="4" t="s">
        <v>2876</v>
      </c>
      <c r="VHN1332" s="4" t="s">
        <v>2876</v>
      </c>
      <c r="VHO1332" s="4" t="s">
        <v>2876</v>
      </c>
      <c r="VHP1332" s="4" t="s">
        <v>2876</v>
      </c>
      <c r="VHQ1332" s="4" t="s">
        <v>2876</v>
      </c>
      <c r="VHR1332" s="4" t="s">
        <v>2876</v>
      </c>
      <c r="VHS1332" s="4" t="s">
        <v>2876</v>
      </c>
      <c r="VHT1332" s="4" t="s">
        <v>2876</v>
      </c>
      <c r="VHU1332" s="4" t="s">
        <v>2876</v>
      </c>
      <c r="VHV1332" s="4" t="s">
        <v>2876</v>
      </c>
      <c r="VHW1332" s="4" t="s">
        <v>2876</v>
      </c>
      <c r="VHX1332" s="4" t="s">
        <v>2876</v>
      </c>
      <c r="VHY1332" s="4" t="s">
        <v>2876</v>
      </c>
      <c r="VHZ1332" s="4" t="s">
        <v>2876</v>
      </c>
      <c r="VIA1332" s="4" t="s">
        <v>2876</v>
      </c>
      <c r="VIB1332" s="4" t="s">
        <v>2876</v>
      </c>
      <c r="VIC1332" s="4" t="s">
        <v>2876</v>
      </c>
      <c r="VID1332" s="4" t="s">
        <v>2876</v>
      </c>
      <c r="VIE1332" s="4" t="s">
        <v>2876</v>
      </c>
      <c r="VIF1332" s="4" t="s">
        <v>2876</v>
      </c>
      <c r="VIG1332" s="4" t="s">
        <v>2876</v>
      </c>
      <c r="VIH1332" s="4" t="s">
        <v>2876</v>
      </c>
      <c r="VII1332" s="4" t="s">
        <v>2876</v>
      </c>
      <c r="VIJ1332" s="4" t="s">
        <v>2876</v>
      </c>
      <c r="VIK1332" s="4" t="s">
        <v>2876</v>
      </c>
      <c r="VIL1332" s="4" t="s">
        <v>2876</v>
      </c>
      <c r="VIM1332" s="4" t="s">
        <v>2876</v>
      </c>
      <c r="VIN1332" s="4" t="s">
        <v>2876</v>
      </c>
      <c r="VIO1332" s="4" t="s">
        <v>2876</v>
      </c>
      <c r="VIP1332" s="4" t="s">
        <v>2876</v>
      </c>
      <c r="VIQ1332" s="4" t="s">
        <v>2876</v>
      </c>
      <c r="VIR1332" s="4" t="s">
        <v>2876</v>
      </c>
      <c r="VIS1332" s="4" t="s">
        <v>2876</v>
      </c>
      <c r="VIT1332" s="4" t="s">
        <v>2876</v>
      </c>
      <c r="VIU1332" s="4" t="s">
        <v>2876</v>
      </c>
      <c r="VIV1332" s="4" t="s">
        <v>2876</v>
      </c>
      <c r="VIW1332" s="4" t="s">
        <v>2876</v>
      </c>
      <c r="VIX1332" s="4" t="s">
        <v>2876</v>
      </c>
      <c r="VIY1332" s="4" t="s">
        <v>2876</v>
      </c>
      <c r="VIZ1332" s="4" t="s">
        <v>2876</v>
      </c>
      <c r="VJA1332" s="4" t="s">
        <v>2876</v>
      </c>
      <c r="VJB1332" s="4" t="s">
        <v>2876</v>
      </c>
      <c r="VJC1332" s="4" t="s">
        <v>2876</v>
      </c>
      <c r="VJD1332" s="4" t="s">
        <v>2876</v>
      </c>
      <c r="VJE1332" s="4" t="s">
        <v>2876</v>
      </c>
      <c r="VJF1332" s="4" t="s">
        <v>2876</v>
      </c>
      <c r="VJG1332" s="4" t="s">
        <v>2876</v>
      </c>
      <c r="VJH1332" s="4" t="s">
        <v>2876</v>
      </c>
      <c r="VJI1332" s="4" t="s">
        <v>2876</v>
      </c>
      <c r="VJJ1332" s="4" t="s">
        <v>2876</v>
      </c>
      <c r="VJK1332" s="4" t="s">
        <v>2876</v>
      </c>
      <c r="VJL1332" s="4" t="s">
        <v>2876</v>
      </c>
      <c r="VJM1332" s="4" t="s">
        <v>2876</v>
      </c>
      <c r="VJN1332" s="4" t="s">
        <v>2876</v>
      </c>
      <c r="VJO1332" s="4" t="s">
        <v>2876</v>
      </c>
      <c r="VJP1332" s="4" t="s">
        <v>2876</v>
      </c>
      <c r="VJQ1332" s="4" t="s">
        <v>2876</v>
      </c>
      <c r="VJR1332" s="4" t="s">
        <v>2876</v>
      </c>
      <c r="VJS1332" s="4" t="s">
        <v>2876</v>
      </c>
      <c r="VJT1332" s="4" t="s">
        <v>2876</v>
      </c>
      <c r="VJU1332" s="4" t="s">
        <v>2876</v>
      </c>
      <c r="VJV1332" s="4" t="s">
        <v>2876</v>
      </c>
      <c r="VJW1332" s="4" t="s">
        <v>2876</v>
      </c>
      <c r="VJX1332" s="4" t="s">
        <v>2876</v>
      </c>
      <c r="VJY1332" s="4" t="s">
        <v>2876</v>
      </c>
      <c r="VJZ1332" s="4" t="s">
        <v>2876</v>
      </c>
      <c r="VKA1332" s="4" t="s">
        <v>2876</v>
      </c>
      <c r="VKB1332" s="4" t="s">
        <v>2876</v>
      </c>
      <c r="VKC1332" s="4" t="s">
        <v>2876</v>
      </c>
      <c r="VKD1332" s="4" t="s">
        <v>2876</v>
      </c>
      <c r="VKE1332" s="4" t="s">
        <v>2876</v>
      </c>
      <c r="VKF1332" s="4" t="s">
        <v>2876</v>
      </c>
      <c r="VKG1332" s="4" t="s">
        <v>2876</v>
      </c>
      <c r="VKH1332" s="4" t="s">
        <v>2876</v>
      </c>
      <c r="VKI1332" s="4" t="s">
        <v>2876</v>
      </c>
      <c r="VKJ1332" s="4" t="s">
        <v>2876</v>
      </c>
      <c r="VKK1332" s="4" t="s">
        <v>2876</v>
      </c>
      <c r="VKL1332" s="4" t="s">
        <v>2876</v>
      </c>
      <c r="VKM1332" s="4" t="s">
        <v>2876</v>
      </c>
      <c r="VKN1332" s="4" t="s">
        <v>2876</v>
      </c>
      <c r="VKO1332" s="4" t="s">
        <v>2876</v>
      </c>
      <c r="VKP1332" s="4" t="s">
        <v>2876</v>
      </c>
      <c r="VKQ1332" s="4" t="s">
        <v>2876</v>
      </c>
      <c r="VKR1332" s="4" t="s">
        <v>2876</v>
      </c>
      <c r="VKS1332" s="4" t="s">
        <v>2876</v>
      </c>
      <c r="VKT1332" s="4" t="s">
        <v>2876</v>
      </c>
      <c r="VKU1332" s="4" t="s">
        <v>2876</v>
      </c>
      <c r="VKV1332" s="4" t="s">
        <v>2876</v>
      </c>
      <c r="VKW1332" s="4" t="s">
        <v>2876</v>
      </c>
      <c r="VKX1332" s="4" t="s">
        <v>2876</v>
      </c>
      <c r="VKY1332" s="4" t="s">
        <v>2876</v>
      </c>
      <c r="VKZ1332" s="4" t="s">
        <v>2876</v>
      </c>
      <c r="VLA1332" s="4" t="s">
        <v>2876</v>
      </c>
      <c r="VLB1332" s="4" t="s">
        <v>2876</v>
      </c>
      <c r="VLC1332" s="4" t="s">
        <v>2876</v>
      </c>
      <c r="VLD1332" s="4" t="s">
        <v>2876</v>
      </c>
      <c r="VLE1332" s="4" t="s">
        <v>2876</v>
      </c>
      <c r="VLF1332" s="4" t="s">
        <v>2876</v>
      </c>
      <c r="VLG1332" s="4" t="s">
        <v>2876</v>
      </c>
      <c r="VLH1332" s="4" t="s">
        <v>2876</v>
      </c>
      <c r="VLI1332" s="4" t="s">
        <v>2876</v>
      </c>
      <c r="VLJ1332" s="4" t="s">
        <v>2876</v>
      </c>
      <c r="VLK1332" s="4" t="s">
        <v>2876</v>
      </c>
      <c r="VLL1332" s="4" t="s">
        <v>2876</v>
      </c>
      <c r="VLM1332" s="4" t="s">
        <v>2876</v>
      </c>
      <c r="VLN1332" s="4" t="s">
        <v>2876</v>
      </c>
      <c r="VLO1332" s="4" t="s">
        <v>2876</v>
      </c>
      <c r="VLP1332" s="4" t="s">
        <v>2876</v>
      </c>
      <c r="VLQ1332" s="4" t="s">
        <v>2876</v>
      </c>
      <c r="VLR1332" s="4" t="s">
        <v>2876</v>
      </c>
      <c r="VLS1332" s="4" t="s">
        <v>2876</v>
      </c>
      <c r="VLT1332" s="4" t="s">
        <v>2876</v>
      </c>
      <c r="VLU1332" s="4" t="s">
        <v>2876</v>
      </c>
      <c r="VLV1332" s="4" t="s">
        <v>2876</v>
      </c>
      <c r="VLW1332" s="4" t="s">
        <v>2876</v>
      </c>
      <c r="VLX1332" s="4" t="s">
        <v>2876</v>
      </c>
      <c r="VLY1332" s="4" t="s">
        <v>2876</v>
      </c>
      <c r="VLZ1332" s="4" t="s">
        <v>2876</v>
      </c>
      <c r="VMA1332" s="4" t="s">
        <v>2876</v>
      </c>
      <c r="VMB1332" s="4" t="s">
        <v>2876</v>
      </c>
      <c r="VMC1332" s="4" t="s">
        <v>2876</v>
      </c>
      <c r="VMD1332" s="4" t="s">
        <v>2876</v>
      </c>
      <c r="VME1332" s="4" t="s">
        <v>2876</v>
      </c>
      <c r="VMF1332" s="4" t="s">
        <v>2876</v>
      </c>
      <c r="VMG1332" s="4" t="s">
        <v>2876</v>
      </c>
      <c r="VMH1332" s="4" t="s">
        <v>2876</v>
      </c>
      <c r="VMI1332" s="4" t="s">
        <v>2876</v>
      </c>
      <c r="VMJ1332" s="4" t="s">
        <v>2876</v>
      </c>
      <c r="VMK1332" s="4" t="s">
        <v>2876</v>
      </c>
      <c r="VML1332" s="4" t="s">
        <v>2876</v>
      </c>
      <c r="VMM1332" s="4" t="s">
        <v>2876</v>
      </c>
      <c r="VMN1332" s="4" t="s">
        <v>2876</v>
      </c>
      <c r="VMO1332" s="4" t="s">
        <v>2876</v>
      </c>
      <c r="VMP1332" s="4" t="s">
        <v>2876</v>
      </c>
      <c r="VMQ1332" s="4" t="s">
        <v>2876</v>
      </c>
      <c r="VMR1332" s="4" t="s">
        <v>2876</v>
      </c>
      <c r="VMS1332" s="4" t="s">
        <v>2876</v>
      </c>
      <c r="VMT1332" s="4" t="s">
        <v>2876</v>
      </c>
      <c r="VMU1332" s="4" t="s">
        <v>2876</v>
      </c>
      <c r="VMV1332" s="4" t="s">
        <v>2876</v>
      </c>
      <c r="VMW1332" s="4" t="s">
        <v>2876</v>
      </c>
      <c r="VMX1332" s="4" t="s">
        <v>2876</v>
      </c>
      <c r="VMY1332" s="4" t="s">
        <v>2876</v>
      </c>
      <c r="VMZ1332" s="4" t="s">
        <v>2876</v>
      </c>
      <c r="VNA1332" s="4" t="s">
        <v>2876</v>
      </c>
      <c r="VNB1332" s="4" t="s">
        <v>2876</v>
      </c>
      <c r="VNC1332" s="4" t="s">
        <v>2876</v>
      </c>
      <c r="VND1332" s="4" t="s">
        <v>2876</v>
      </c>
      <c r="VNE1332" s="4" t="s">
        <v>2876</v>
      </c>
      <c r="VNF1332" s="4" t="s">
        <v>2876</v>
      </c>
      <c r="VNG1332" s="4" t="s">
        <v>2876</v>
      </c>
      <c r="VNH1332" s="4" t="s">
        <v>2876</v>
      </c>
      <c r="VNI1332" s="4" t="s">
        <v>2876</v>
      </c>
      <c r="VNJ1332" s="4" t="s">
        <v>2876</v>
      </c>
      <c r="VNK1332" s="4" t="s">
        <v>2876</v>
      </c>
      <c r="VNL1332" s="4" t="s">
        <v>2876</v>
      </c>
      <c r="VNM1332" s="4" t="s">
        <v>2876</v>
      </c>
      <c r="VNN1332" s="4" t="s">
        <v>2876</v>
      </c>
      <c r="VNO1332" s="4" t="s">
        <v>2876</v>
      </c>
      <c r="VNP1332" s="4" t="s">
        <v>2876</v>
      </c>
      <c r="VNQ1332" s="4" t="s">
        <v>2876</v>
      </c>
      <c r="VNR1332" s="4" t="s">
        <v>2876</v>
      </c>
      <c r="VNS1332" s="4" t="s">
        <v>2876</v>
      </c>
      <c r="VNT1332" s="4" t="s">
        <v>2876</v>
      </c>
      <c r="VNU1332" s="4" t="s">
        <v>2876</v>
      </c>
      <c r="VNV1332" s="4" t="s">
        <v>2876</v>
      </c>
      <c r="VNW1332" s="4" t="s">
        <v>2876</v>
      </c>
      <c r="VNX1332" s="4" t="s">
        <v>2876</v>
      </c>
      <c r="VNY1332" s="4" t="s">
        <v>2876</v>
      </c>
      <c r="VNZ1332" s="4" t="s">
        <v>2876</v>
      </c>
      <c r="VOA1332" s="4" t="s">
        <v>2876</v>
      </c>
      <c r="VOB1332" s="4" t="s">
        <v>2876</v>
      </c>
      <c r="VOC1332" s="4" t="s">
        <v>2876</v>
      </c>
      <c r="VOD1332" s="4" t="s">
        <v>2876</v>
      </c>
      <c r="VOE1332" s="4" t="s">
        <v>2876</v>
      </c>
      <c r="VOF1332" s="4" t="s">
        <v>2876</v>
      </c>
      <c r="VOG1332" s="4" t="s">
        <v>2876</v>
      </c>
      <c r="VOH1332" s="4" t="s">
        <v>2876</v>
      </c>
      <c r="VOI1332" s="4" t="s">
        <v>2876</v>
      </c>
      <c r="VOJ1332" s="4" t="s">
        <v>2876</v>
      </c>
      <c r="VOK1332" s="4" t="s">
        <v>2876</v>
      </c>
      <c r="VOL1332" s="4" t="s">
        <v>2876</v>
      </c>
      <c r="VOM1332" s="4" t="s">
        <v>2876</v>
      </c>
      <c r="VON1332" s="4" t="s">
        <v>2876</v>
      </c>
      <c r="VOO1332" s="4" t="s">
        <v>2876</v>
      </c>
      <c r="VOP1332" s="4" t="s">
        <v>2876</v>
      </c>
      <c r="VOQ1332" s="4" t="s">
        <v>2876</v>
      </c>
      <c r="VOR1332" s="4" t="s">
        <v>2876</v>
      </c>
      <c r="VOS1332" s="4" t="s">
        <v>2876</v>
      </c>
      <c r="VOT1332" s="4" t="s">
        <v>2876</v>
      </c>
      <c r="VOU1332" s="4" t="s">
        <v>2876</v>
      </c>
      <c r="VOV1332" s="4" t="s">
        <v>2876</v>
      </c>
      <c r="VOW1332" s="4" t="s">
        <v>2876</v>
      </c>
      <c r="VOX1332" s="4" t="s">
        <v>2876</v>
      </c>
      <c r="VOY1332" s="4" t="s">
        <v>2876</v>
      </c>
      <c r="VOZ1332" s="4" t="s">
        <v>2876</v>
      </c>
      <c r="VPA1332" s="4" t="s">
        <v>2876</v>
      </c>
      <c r="VPB1332" s="4" t="s">
        <v>2876</v>
      </c>
      <c r="VPC1332" s="4" t="s">
        <v>2876</v>
      </c>
      <c r="VPD1332" s="4" t="s">
        <v>2876</v>
      </c>
      <c r="VPE1332" s="4" t="s">
        <v>2876</v>
      </c>
      <c r="VPF1332" s="4" t="s">
        <v>2876</v>
      </c>
      <c r="VPG1332" s="4" t="s">
        <v>2876</v>
      </c>
      <c r="VPH1332" s="4" t="s">
        <v>2876</v>
      </c>
      <c r="VPI1332" s="4" t="s">
        <v>2876</v>
      </c>
      <c r="VPJ1332" s="4" t="s">
        <v>2876</v>
      </c>
      <c r="VPK1332" s="4" t="s">
        <v>2876</v>
      </c>
      <c r="VPL1332" s="4" t="s">
        <v>2876</v>
      </c>
      <c r="VPM1332" s="4" t="s">
        <v>2876</v>
      </c>
      <c r="VPN1332" s="4" t="s">
        <v>2876</v>
      </c>
      <c r="VPO1332" s="4" t="s">
        <v>2876</v>
      </c>
      <c r="VPP1332" s="4" t="s">
        <v>2876</v>
      </c>
      <c r="VPQ1332" s="4" t="s">
        <v>2876</v>
      </c>
      <c r="VPR1332" s="4" t="s">
        <v>2876</v>
      </c>
      <c r="VPS1332" s="4" t="s">
        <v>2876</v>
      </c>
      <c r="VPT1332" s="4" t="s">
        <v>2876</v>
      </c>
      <c r="VPU1332" s="4" t="s">
        <v>2876</v>
      </c>
      <c r="VPV1332" s="4" t="s">
        <v>2876</v>
      </c>
      <c r="VPW1332" s="4" t="s">
        <v>2876</v>
      </c>
      <c r="VPX1332" s="4" t="s">
        <v>2876</v>
      </c>
      <c r="VPY1332" s="4" t="s">
        <v>2876</v>
      </c>
      <c r="VPZ1332" s="4" t="s">
        <v>2876</v>
      </c>
      <c r="VQA1332" s="4" t="s">
        <v>2876</v>
      </c>
      <c r="VQB1332" s="4" t="s">
        <v>2876</v>
      </c>
      <c r="VQC1332" s="4" t="s">
        <v>2876</v>
      </c>
      <c r="VQD1332" s="4" t="s">
        <v>2876</v>
      </c>
      <c r="VQE1332" s="4" t="s">
        <v>2876</v>
      </c>
      <c r="VQF1332" s="4" t="s">
        <v>2876</v>
      </c>
      <c r="VQG1332" s="4" t="s">
        <v>2876</v>
      </c>
      <c r="VQH1332" s="4" t="s">
        <v>2876</v>
      </c>
      <c r="VQI1332" s="4" t="s">
        <v>2876</v>
      </c>
      <c r="VQJ1332" s="4" t="s">
        <v>2876</v>
      </c>
      <c r="VQK1332" s="4" t="s">
        <v>2876</v>
      </c>
      <c r="VQL1332" s="4" t="s">
        <v>2876</v>
      </c>
      <c r="VQM1332" s="4" t="s">
        <v>2876</v>
      </c>
      <c r="VQN1332" s="4" t="s">
        <v>2876</v>
      </c>
      <c r="VQO1332" s="4" t="s">
        <v>2876</v>
      </c>
      <c r="VQP1332" s="4" t="s">
        <v>2876</v>
      </c>
      <c r="VQQ1332" s="4" t="s">
        <v>2876</v>
      </c>
      <c r="VQR1332" s="4" t="s">
        <v>2876</v>
      </c>
      <c r="VQS1332" s="4" t="s">
        <v>2876</v>
      </c>
      <c r="VQT1332" s="4" t="s">
        <v>2876</v>
      </c>
      <c r="VQU1332" s="4" t="s">
        <v>2876</v>
      </c>
      <c r="VQV1332" s="4" t="s">
        <v>2876</v>
      </c>
      <c r="VQW1332" s="4" t="s">
        <v>2876</v>
      </c>
      <c r="VQX1332" s="4" t="s">
        <v>2876</v>
      </c>
      <c r="VQY1332" s="4" t="s">
        <v>2876</v>
      </c>
      <c r="VQZ1332" s="4" t="s">
        <v>2876</v>
      </c>
      <c r="VRA1332" s="4" t="s">
        <v>2876</v>
      </c>
      <c r="VRB1332" s="4" t="s">
        <v>2876</v>
      </c>
      <c r="VRC1332" s="4" t="s">
        <v>2876</v>
      </c>
      <c r="VRD1332" s="4" t="s">
        <v>2876</v>
      </c>
      <c r="VRE1332" s="4" t="s">
        <v>2876</v>
      </c>
      <c r="VRF1332" s="4" t="s">
        <v>2876</v>
      </c>
      <c r="VRG1332" s="4" t="s">
        <v>2876</v>
      </c>
      <c r="VRH1332" s="4" t="s">
        <v>2876</v>
      </c>
      <c r="VRI1332" s="4" t="s">
        <v>2876</v>
      </c>
      <c r="VRJ1332" s="4" t="s">
        <v>2876</v>
      </c>
      <c r="VRK1332" s="4" t="s">
        <v>2876</v>
      </c>
      <c r="VRL1332" s="4" t="s">
        <v>2876</v>
      </c>
      <c r="VRM1332" s="4" t="s">
        <v>2876</v>
      </c>
      <c r="VRN1332" s="4" t="s">
        <v>2876</v>
      </c>
      <c r="VRO1332" s="4" t="s">
        <v>2876</v>
      </c>
      <c r="VRP1332" s="4" t="s">
        <v>2876</v>
      </c>
      <c r="VRQ1332" s="4" t="s">
        <v>2876</v>
      </c>
      <c r="VRR1332" s="4" t="s">
        <v>2876</v>
      </c>
      <c r="VRS1332" s="4" t="s">
        <v>2876</v>
      </c>
      <c r="VRT1332" s="4" t="s">
        <v>2876</v>
      </c>
      <c r="VRU1332" s="4" t="s">
        <v>2876</v>
      </c>
      <c r="VRV1332" s="4" t="s">
        <v>2876</v>
      </c>
      <c r="VRW1332" s="4" t="s">
        <v>2876</v>
      </c>
      <c r="VRX1332" s="4" t="s">
        <v>2876</v>
      </c>
      <c r="VRY1332" s="4" t="s">
        <v>2876</v>
      </c>
      <c r="VRZ1332" s="4" t="s">
        <v>2876</v>
      </c>
      <c r="VSA1332" s="4" t="s">
        <v>2876</v>
      </c>
      <c r="VSB1332" s="4" t="s">
        <v>2876</v>
      </c>
      <c r="VSC1332" s="4" t="s">
        <v>2876</v>
      </c>
      <c r="VSD1332" s="4" t="s">
        <v>2876</v>
      </c>
      <c r="VSE1332" s="4" t="s">
        <v>2876</v>
      </c>
      <c r="VSF1332" s="4" t="s">
        <v>2876</v>
      </c>
      <c r="VSG1332" s="4" t="s">
        <v>2876</v>
      </c>
      <c r="VSH1332" s="4" t="s">
        <v>2876</v>
      </c>
      <c r="VSI1332" s="4" t="s">
        <v>2876</v>
      </c>
      <c r="VSJ1332" s="4" t="s">
        <v>2876</v>
      </c>
      <c r="VSK1332" s="4" t="s">
        <v>2876</v>
      </c>
      <c r="VSL1332" s="4" t="s">
        <v>2876</v>
      </c>
      <c r="VSM1332" s="4" t="s">
        <v>2876</v>
      </c>
      <c r="VSN1332" s="4" t="s">
        <v>2876</v>
      </c>
      <c r="VSO1332" s="4" t="s">
        <v>2876</v>
      </c>
      <c r="VSP1332" s="4" t="s">
        <v>2876</v>
      </c>
      <c r="VSQ1332" s="4" t="s">
        <v>2876</v>
      </c>
      <c r="VSR1332" s="4" t="s">
        <v>2876</v>
      </c>
      <c r="VSS1332" s="4" t="s">
        <v>2876</v>
      </c>
      <c r="VST1332" s="4" t="s">
        <v>2876</v>
      </c>
      <c r="VSU1332" s="4" t="s">
        <v>2876</v>
      </c>
      <c r="VSV1332" s="4" t="s">
        <v>2876</v>
      </c>
      <c r="VSW1332" s="4" t="s">
        <v>2876</v>
      </c>
      <c r="VSX1332" s="4" t="s">
        <v>2876</v>
      </c>
      <c r="VSY1332" s="4" t="s">
        <v>2876</v>
      </c>
      <c r="VSZ1332" s="4" t="s">
        <v>2876</v>
      </c>
      <c r="VTA1332" s="4" t="s">
        <v>2876</v>
      </c>
      <c r="VTB1332" s="4" t="s">
        <v>2876</v>
      </c>
      <c r="VTC1332" s="4" t="s">
        <v>2876</v>
      </c>
      <c r="VTD1332" s="4" t="s">
        <v>2876</v>
      </c>
      <c r="VTE1332" s="4" t="s">
        <v>2876</v>
      </c>
      <c r="VTF1332" s="4" t="s">
        <v>2876</v>
      </c>
      <c r="VTG1332" s="4" t="s">
        <v>2876</v>
      </c>
      <c r="VTH1332" s="4" t="s">
        <v>2876</v>
      </c>
      <c r="VTI1332" s="4" t="s">
        <v>2876</v>
      </c>
      <c r="VTJ1332" s="4" t="s">
        <v>2876</v>
      </c>
      <c r="VTK1332" s="4" t="s">
        <v>2876</v>
      </c>
      <c r="VTL1332" s="4" t="s">
        <v>2876</v>
      </c>
      <c r="VTM1332" s="4" t="s">
        <v>2876</v>
      </c>
      <c r="VTN1332" s="4" t="s">
        <v>2876</v>
      </c>
      <c r="VTO1332" s="4" t="s">
        <v>2876</v>
      </c>
      <c r="VTP1332" s="4" t="s">
        <v>2876</v>
      </c>
      <c r="VTQ1332" s="4" t="s">
        <v>2876</v>
      </c>
      <c r="VTR1332" s="4" t="s">
        <v>2876</v>
      </c>
      <c r="VTS1332" s="4" t="s">
        <v>2876</v>
      </c>
      <c r="VTT1332" s="4" t="s">
        <v>2876</v>
      </c>
      <c r="VTU1332" s="4" t="s">
        <v>2876</v>
      </c>
      <c r="VTV1332" s="4" t="s">
        <v>2876</v>
      </c>
      <c r="VTW1332" s="4" t="s">
        <v>2876</v>
      </c>
      <c r="VTX1332" s="4" t="s">
        <v>2876</v>
      </c>
      <c r="VTY1332" s="4" t="s">
        <v>2876</v>
      </c>
      <c r="VTZ1332" s="4" t="s">
        <v>2876</v>
      </c>
      <c r="VUA1332" s="4" t="s">
        <v>2876</v>
      </c>
      <c r="VUB1332" s="4" t="s">
        <v>2876</v>
      </c>
      <c r="VUC1332" s="4" t="s">
        <v>2876</v>
      </c>
      <c r="VUD1332" s="4" t="s">
        <v>2876</v>
      </c>
      <c r="VUE1332" s="4" t="s">
        <v>2876</v>
      </c>
      <c r="VUF1332" s="4" t="s">
        <v>2876</v>
      </c>
      <c r="VUG1332" s="4" t="s">
        <v>2876</v>
      </c>
      <c r="VUH1332" s="4" t="s">
        <v>2876</v>
      </c>
      <c r="VUI1332" s="4" t="s">
        <v>2876</v>
      </c>
      <c r="VUJ1332" s="4" t="s">
        <v>2876</v>
      </c>
      <c r="VUK1332" s="4" t="s">
        <v>2876</v>
      </c>
      <c r="VUL1332" s="4" t="s">
        <v>2876</v>
      </c>
      <c r="VUM1332" s="4" t="s">
        <v>2876</v>
      </c>
      <c r="VUN1332" s="4" t="s">
        <v>2876</v>
      </c>
      <c r="VUO1332" s="4" t="s">
        <v>2876</v>
      </c>
      <c r="VUP1332" s="4" t="s">
        <v>2876</v>
      </c>
      <c r="VUQ1332" s="4" t="s">
        <v>2876</v>
      </c>
      <c r="VUR1332" s="4" t="s">
        <v>2876</v>
      </c>
      <c r="VUS1332" s="4" t="s">
        <v>2876</v>
      </c>
      <c r="VUT1332" s="4" t="s">
        <v>2876</v>
      </c>
      <c r="VUU1332" s="4" t="s">
        <v>2876</v>
      </c>
      <c r="VUV1332" s="4" t="s">
        <v>2876</v>
      </c>
      <c r="VUW1332" s="4" t="s">
        <v>2876</v>
      </c>
      <c r="VUX1332" s="4" t="s">
        <v>2876</v>
      </c>
      <c r="VUY1332" s="4" t="s">
        <v>2876</v>
      </c>
      <c r="VUZ1332" s="4" t="s">
        <v>2876</v>
      </c>
      <c r="VVA1332" s="4" t="s">
        <v>2876</v>
      </c>
      <c r="VVB1332" s="4" t="s">
        <v>2876</v>
      </c>
      <c r="VVC1332" s="4" t="s">
        <v>2876</v>
      </c>
      <c r="VVD1332" s="4" t="s">
        <v>2876</v>
      </c>
      <c r="VVE1332" s="4" t="s">
        <v>2876</v>
      </c>
      <c r="VVF1332" s="4" t="s">
        <v>2876</v>
      </c>
      <c r="VVG1332" s="4" t="s">
        <v>2876</v>
      </c>
      <c r="VVH1332" s="4" t="s">
        <v>2876</v>
      </c>
      <c r="VVI1332" s="4" t="s">
        <v>2876</v>
      </c>
      <c r="VVJ1332" s="4" t="s">
        <v>2876</v>
      </c>
      <c r="VVK1332" s="4" t="s">
        <v>2876</v>
      </c>
      <c r="VVL1332" s="4" t="s">
        <v>2876</v>
      </c>
      <c r="VVM1332" s="4" t="s">
        <v>2876</v>
      </c>
      <c r="VVN1332" s="4" t="s">
        <v>2876</v>
      </c>
      <c r="VVO1332" s="4" t="s">
        <v>2876</v>
      </c>
      <c r="VVP1332" s="4" t="s">
        <v>2876</v>
      </c>
      <c r="VVQ1332" s="4" t="s">
        <v>2876</v>
      </c>
      <c r="VVR1332" s="4" t="s">
        <v>2876</v>
      </c>
      <c r="VVS1332" s="4" t="s">
        <v>2876</v>
      </c>
      <c r="VVT1332" s="4" t="s">
        <v>2876</v>
      </c>
      <c r="VVU1332" s="4" t="s">
        <v>2876</v>
      </c>
      <c r="VVV1332" s="4" t="s">
        <v>2876</v>
      </c>
      <c r="VVW1332" s="4" t="s">
        <v>2876</v>
      </c>
      <c r="VVX1332" s="4" t="s">
        <v>2876</v>
      </c>
      <c r="VVY1332" s="4" t="s">
        <v>2876</v>
      </c>
      <c r="VVZ1332" s="4" t="s">
        <v>2876</v>
      </c>
      <c r="VWA1332" s="4" t="s">
        <v>2876</v>
      </c>
      <c r="VWB1332" s="4" t="s">
        <v>2876</v>
      </c>
      <c r="VWC1332" s="4" t="s">
        <v>2876</v>
      </c>
      <c r="VWD1332" s="4" t="s">
        <v>2876</v>
      </c>
      <c r="VWE1332" s="4" t="s">
        <v>2876</v>
      </c>
      <c r="VWF1332" s="4" t="s">
        <v>2876</v>
      </c>
      <c r="VWG1332" s="4" t="s">
        <v>2876</v>
      </c>
      <c r="VWH1332" s="4" t="s">
        <v>2876</v>
      </c>
      <c r="VWI1332" s="4" t="s">
        <v>2876</v>
      </c>
      <c r="VWJ1332" s="4" t="s">
        <v>2876</v>
      </c>
      <c r="VWK1332" s="4" t="s">
        <v>2876</v>
      </c>
      <c r="VWL1332" s="4" t="s">
        <v>2876</v>
      </c>
      <c r="VWM1332" s="4" t="s">
        <v>2876</v>
      </c>
      <c r="VWN1332" s="4" t="s">
        <v>2876</v>
      </c>
      <c r="VWO1332" s="4" t="s">
        <v>2876</v>
      </c>
      <c r="VWP1332" s="4" t="s">
        <v>2876</v>
      </c>
      <c r="VWQ1332" s="4" t="s">
        <v>2876</v>
      </c>
      <c r="VWR1332" s="4" t="s">
        <v>2876</v>
      </c>
      <c r="VWS1332" s="4" t="s">
        <v>2876</v>
      </c>
      <c r="VWT1332" s="4" t="s">
        <v>2876</v>
      </c>
      <c r="VWU1332" s="4" t="s">
        <v>2876</v>
      </c>
      <c r="VWV1332" s="4" t="s">
        <v>2876</v>
      </c>
      <c r="VWW1332" s="4" t="s">
        <v>2876</v>
      </c>
      <c r="VWX1332" s="4" t="s">
        <v>2876</v>
      </c>
      <c r="VWY1332" s="4" t="s">
        <v>2876</v>
      </c>
      <c r="VWZ1332" s="4" t="s">
        <v>2876</v>
      </c>
      <c r="VXA1332" s="4" t="s">
        <v>2876</v>
      </c>
      <c r="VXB1332" s="4" t="s">
        <v>2876</v>
      </c>
      <c r="VXC1332" s="4" t="s">
        <v>2876</v>
      </c>
      <c r="VXD1332" s="4" t="s">
        <v>2876</v>
      </c>
      <c r="VXE1332" s="4" t="s">
        <v>2876</v>
      </c>
      <c r="VXF1332" s="4" t="s">
        <v>2876</v>
      </c>
      <c r="VXG1332" s="4" t="s">
        <v>2876</v>
      </c>
      <c r="VXH1332" s="4" t="s">
        <v>2876</v>
      </c>
      <c r="VXI1332" s="4" t="s">
        <v>2876</v>
      </c>
      <c r="VXJ1332" s="4" t="s">
        <v>2876</v>
      </c>
      <c r="VXK1332" s="4" t="s">
        <v>2876</v>
      </c>
      <c r="VXL1332" s="4" t="s">
        <v>2876</v>
      </c>
      <c r="VXM1332" s="4" t="s">
        <v>2876</v>
      </c>
      <c r="VXN1332" s="4" t="s">
        <v>2876</v>
      </c>
      <c r="VXO1332" s="4" t="s">
        <v>2876</v>
      </c>
      <c r="VXP1332" s="4" t="s">
        <v>2876</v>
      </c>
      <c r="VXQ1332" s="4" t="s">
        <v>2876</v>
      </c>
      <c r="VXR1332" s="4" t="s">
        <v>2876</v>
      </c>
      <c r="VXS1332" s="4" t="s">
        <v>2876</v>
      </c>
      <c r="VXT1332" s="4" t="s">
        <v>2876</v>
      </c>
      <c r="VXU1332" s="4" t="s">
        <v>2876</v>
      </c>
      <c r="VXV1332" s="4" t="s">
        <v>2876</v>
      </c>
      <c r="VXW1332" s="4" t="s">
        <v>2876</v>
      </c>
      <c r="VXX1332" s="4" t="s">
        <v>2876</v>
      </c>
      <c r="VXY1332" s="4" t="s">
        <v>2876</v>
      </c>
      <c r="VXZ1332" s="4" t="s">
        <v>2876</v>
      </c>
      <c r="VYA1332" s="4" t="s">
        <v>2876</v>
      </c>
      <c r="VYB1332" s="4" t="s">
        <v>2876</v>
      </c>
      <c r="VYC1332" s="4" t="s">
        <v>2876</v>
      </c>
      <c r="VYD1332" s="4" t="s">
        <v>2876</v>
      </c>
      <c r="VYE1332" s="4" t="s">
        <v>2876</v>
      </c>
      <c r="VYF1332" s="4" t="s">
        <v>2876</v>
      </c>
      <c r="VYG1332" s="4" t="s">
        <v>2876</v>
      </c>
      <c r="VYH1332" s="4" t="s">
        <v>2876</v>
      </c>
      <c r="VYI1332" s="4" t="s">
        <v>2876</v>
      </c>
      <c r="VYJ1332" s="4" t="s">
        <v>2876</v>
      </c>
      <c r="VYK1332" s="4" t="s">
        <v>2876</v>
      </c>
      <c r="VYL1332" s="4" t="s">
        <v>2876</v>
      </c>
      <c r="VYM1332" s="4" t="s">
        <v>2876</v>
      </c>
      <c r="VYN1332" s="4" t="s">
        <v>2876</v>
      </c>
      <c r="VYO1332" s="4" t="s">
        <v>2876</v>
      </c>
      <c r="VYP1332" s="4" t="s">
        <v>2876</v>
      </c>
      <c r="VYQ1332" s="4" t="s">
        <v>2876</v>
      </c>
      <c r="VYR1332" s="4" t="s">
        <v>2876</v>
      </c>
      <c r="VYS1332" s="4" t="s">
        <v>2876</v>
      </c>
      <c r="VYT1332" s="4" t="s">
        <v>2876</v>
      </c>
      <c r="VYU1332" s="4" t="s">
        <v>2876</v>
      </c>
      <c r="VYV1332" s="4" t="s">
        <v>2876</v>
      </c>
      <c r="VYW1332" s="4" t="s">
        <v>2876</v>
      </c>
      <c r="VYX1332" s="4" t="s">
        <v>2876</v>
      </c>
      <c r="VYY1332" s="4" t="s">
        <v>2876</v>
      </c>
      <c r="VYZ1332" s="4" t="s">
        <v>2876</v>
      </c>
      <c r="VZA1332" s="4" t="s">
        <v>2876</v>
      </c>
      <c r="VZB1332" s="4" t="s">
        <v>2876</v>
      </c>
      <c r="VZC1332" s="4" t="s">
        <v>2876</v>
      </c>
      <c r="VZD1332" s="4" t="s">
        <v>2876</v>
      </c>
      <c r="VZE1332" s="4" t="s">
        <v>2876</v>
      </c>
      <c r="VZF1332" s="4" t="s">
        <v>2876</v>
      </c>
      <c r="VZG1332" s="4" t="s">
        <v>2876</v>
      </c>
      <c r="VZH1332" s="4" t="s">
        <v>2876</v>
      </c>
      <c r="VZI1332" s="4" t="s">
        <v>2876</v>
      </c>
      <c r="VZJ1332" s="4" t="s">
        <v>2876</v>
      </c>
      <c r="VZK1332" s="4" t="s">
        <v>2876</v>
      </c>
      <c r="VZL1332" s="4" t="s">
        <v>2876</v>
      </c>
      <c r="VZM1332" s="4" t="s">
        <v>2876</v>
      </c>
      <c r="VZN1332" s="4" t="s">
        <v>2876</v>
      </c>
      <c r="VZO1332" s="4" t="s">
        <v>2876</v>
      </c>
      <c r="VZP1332" s="4" t="s">
        <v>2876</v>
      </c>
      <c r="VZQ1332" s="4" t="s">
        <v>2876</v>
      </c>
      <c r="VZR1332" s="4" t="s">
        <v>2876</v>
      </c>
      <c r="VZS1332" s="4" t="s">
        <v>2876</v>
      </c>
      <c r="VZT1332" s="4" t="s">
        <v>2876</v>
      </c>
      <c r="VZU1332" s="4" t="s">
        <v>2876</v>
      </c>
      <c r="VZV1332" s="4" t="s">
        <v>2876</v>
      </c>
      <c r="VZW1332" s="4" t="s">
        <v>2876</v>
      </c>
      <c r="VZX1332" s="4" t="s">
        <v>2876</v>
      </c>
      <c r="VZY1332" s="4" t="s">
        <v>2876</v>
      </c>
      <c r="VZZ1332" s="4" t="s">
        <v>2876</v>
      </c>
      <c r="WAA1332" s="4" t="s">
        <v>2876</v>
      </c>
      <c r="WAB1332" s="4" t="s">
        <v>2876</v>
      </c>
      <c r="WAC1332" s="4" t="s">
        <v>2876</v>
      </c>
      <c r="WAD1332" s="4" t="s">
        <v>2876</v>
      </c>
      <c r="WAE1332" s="4" t="s">
        <v>2876</v>
      </c>
      <c r="WAF1332" s="4" t="s">
        <v>2876</v>
      </c>
      <c r="WAG1332" s="4" t="s">
        <v>2876</v>
      </c>
      <c r="WAH1332" s="4" t="s">
        <v>2876</v>
      </c>
      <c r="WAI1332" s="4" t="s">
        <v>2876</v>
      </c>
      <c r="WAJ1332" s="4" t="s">
        <v>2876</v>
      </c>
      <c r="WAK1332" s="4" t="s">
        <v>2876</v>
      </c>
      <c r="WAL1332" s="4" t="s">
        <v>2876</v>
      </c>
      <c r="WAM1332" s="4" t="s">
        <v>2876</v>
      </c>
      <c r="WAN1332" s="4" t="s">
        <v>2876</v>
      </c>
      <c r="WAO1332" s="4" t="s">
        <v>2876</v>
      </c>
      <c r="WAP1332" s="4" t="s">
        <v>2876</v>
      </c>
      <c r="WAQ1332" s="4" t="s">
        <v>2876</v>
      </c>
      <c r="WAR1332" s="4" t="s">
        <v>2876</v>
      </c>
      <c r="WAS1332" s="4" t="s">
        <v>2876</v>
      </c>
      <c r="WAT1332" s="4" t="s">
        <v>2876</v>
      </c>
      <c r="WAU1332" s="4" t="s">
        <v>2876</v>
      </c>
      <c r="WAV1332" s="4" t="s">
        <v>2876</v>
      </c>
      <c r="WAW1332" s="4" t="s">
        <v>2876</v>
      </c>
      <c r="WAX1332" s="4" t="s">
        <v>2876</v>
      </c>
      <c r="WAY1332" s="4" t="s">
        <v>2876</v>
      </c>
      <c r="WAZ1332" s="4" t="s">
        <v>2876</v>
      </c>
      <c r="WBA1332" s="4" t="s">
        <v>2876</v>
      </c>
      <c r="WBB1332" s="4" t="s">
        <v>2876</v>
      </c>
      <c r="WBC1332" s="4" t="s">
        <v>2876</v>
      </c>
      <c r="WBD1332" s="4" t="s">
        <v>2876</v>
      </c>
      <c r="WBE1332" s="4" t="s">
        <v>2876</v>
      </c>
      <c r="WBF1332" s="4" t="s">
        <v>2876</v>
      </c>
      <c r="WBG1332" s="4" t="s">
        <v>2876</v>
      </c>
      <c r="WBH1332" s="4" t="s">
        <v>2876</v>
      </c>
      <c r="WBI1332" s="4" t="s">
        <v>2876</v>
      </c>
      <c r="WBJ1332" s="4" t="s">
        <v>2876</v>
      </c>
      <c r="WBK1332" s="4" t="s">
        <v>2876</v>
      </c>
      <c r="WBL1332" s="4" t="s">
        <v>2876</v>
      </c>
      <c r="WBM1332" s="4" t="s">
        <v>2876</v>
      </c>
      <c r="WBN1332" s="4" t="s">
        <v>2876</v>
      </c>
      <c r="WBO1332" s="4" t="s">
        <v>2876</v>
      </c>
      <c r="WBP1332" s="4" t="s">
        <v>2876</v>
      </c>
      <c r="WBQ1332" s="4" t="s">
        <v>2876</v>
      </c>
      <c r="WBR1332" s="4" t="s">
        <v>2876</v>
      </c>
      <c r="WBS1332" s="4" t="s">
        <v>2876</v>
      </c>
      <c r="WBT1332" s="4" t="s">
        <v>2876</v>
      </c>
      <c r="WBU1332" s="4" t="s">
        <v>2876</v>
      </c>
      <c r="WBV1332" s="4" t="s">
        <v>2876</v>
      </c>
      <c r="WBW1332" s="4" t="s">
        <v>2876</v>
      </c>
      <c r="WBX1332" s="4" t="s">
        <v>2876</v>
      </c>
      <c r="WBY1332" s="4" t="s">
        <v>2876</v>
      </c>
      <c r="WBZ1332" s="4" t="s">
        <v>2876</v>
      </c>
      <c r="WCA1332" s="4" t="s">
        <v>2876</v>
      </c>
      <c r="WCB1332" s="4" t="s">
        <v>2876</v>
      </c>
      <c r="WCC1332" s="4" t="s">
        <v>2876</v>
      </c>
      <c r="WCD1332" s="4" t="s">
        <v>2876</v>
      </c>
      <c r="WCE1332" s="4" t="s">
        <v>2876</v>
      </c>
      <c r="WCF1332" s="4" t="s">
        <v>2876</v>
      </c>
      <c r="WCG1332" s="4" t="s">
        <v>2876</v>
      </c>
      <c r="WCH1332" s="4" t="s">
        <v>2876</v>
      </c>
      <c r="WCI1332" s="4" t="s">
        <v>2876</v>
      </c>
      <c r="WCJ1332" s="4" t="s">
        <v>2876</v>
      </c>
      <c r="WCK1332" s="4" t="s">
        <v>2876</v>
      </c>
      <c r="WCL1332" s="4" t="s">
        <v>2876</v>
      </c>
      <c r="WCM1332" s="4" t="s">
        <v>2876</v>
      </c>
      <c r="WCN1332" s="4" t="s">
        <v>2876</v>
      </c>
      <c r="WCO1332" s="4" t="s">
        <v>2876</v>
      </c>
      <c r="WCP1332" s="4" t="s">
        <v>2876</v>
      </c>
      <c r="WCQ1332" s="4" t="s">
        <v>2876</v>
      </c>
      <c r="WCR1332" s="4" t="s">
        <v>2876</v>
      </c>
      <c r="WCS1332" s="4" t="s">
        <v>2876</v>
      </c>
      <c r="WCT1332" s="4" t="s">
        <v>2876</v>
      </c>
      <c r="WCU1332" s="4" t="s">
        <v>2876</v>
      </c>
      <c r="WCV1332" s="4" t="s">
        <v>2876</v>
      </c>
      <c r="WCW1332" s="4" t="s">
        <v>2876</v>
      </c>
      <c r="WCX1332" s="4" t="s">
        <v>2876</v>
      </c>
      <c r="WCY1332" s="4" t="s">
        <v>2876</v>
      </c>
      <c r="WCZ1332" s="4" t="s">
        <v>2876</v>
      </c>
      <c r="WDA1332" s="4" t="s">
        <v>2876</v>
      </c>
      <c r="WDB1332" s="4" t="s">
        <v>2876</v>
      </c>
      <c r="WDC1332" s="4" t="s">
        <v>2876</v>
      </c>
      <c r="WDD1332" s="4" t="s">
        <v>2876</v>
      </c>
      <c r="WDE1332" s="4" t="s">
        <v>2876</v>
      </c>
      <c r="WDF1332" s="4" t="s">
        <v>2876</v>
      </c>
      <c r="WDG1332" s="4" t="s">
        <v>2876</v>
      </c>
      <c r="WDH1332" s="4" t="s">
        <v>2876</v>
      </c>
      <c r="WDI1332" s="4" t="s">
        <v>2876</v>
      </c>
      <c r="WDJ1332" s="4" t="s">
        <v>2876</v>
      </c>
      <c r="WDK1332" s="4" t="s">
        <v>2876</v>
      </c>
      <c r="WDL1332" s="4" t="s">
        <v>2876</v>
      </c>
      <c r="WDM1332" s="4" t="s">
        <v>2876</v>
      </c>
      <c r="WDN1332" s="4" t="s">
        <v>2876</v>
      </c>
      <c r="WDO1332" s="4" t="s">
        <v>2876</v>
      </c>
      <c r="WDP1332" s="4" t="s">
        <v>2876</v>
      </c>
      <c r="WDQ1332" s="4" t="s">
        <v>2876</v>
      </c>
      <c r="WDR1332" s="4" t="s">
        <v>2876</v>
      </c>
      <c r="WDS1332" s="4" t="s">
        <v>2876</v>
      </c>
      <c r="WDT1332" s="4" t="s">
        <v>2876</v>
      </c>
      <c r="WDU1332" s="4" t="s">
        <v>2876</v>
      </c>
      <c r="WDV1332" s="4" t="s">
        <v>2876</v>
      </c>
      <c r="WDW1332" s="4" t="s">
        <v>2876</v>
      </c>
      <c r="WDX1332" s="4" t="s">
        <v>2876</v>
      </c>
      <c r="WDY1332" s="4" t="s">
        <v>2876</v>
      </c>
      <c r="WDZ1332" s="4" t="s">
        <v>2876</v>
      </c>
      <c r="WEA1332" s="4" t="s">
        <v>2876</v>
      </c>
      <c r="WEB1332" s="4" t="s">
        <v>2876</v>
      </c>
      <c r="WEC1332" s="4" t="s">
        <v>2876</v>
      </c>
      <c r="WED1332" s="4" t="s">
        <v>2876</v>
      </c>
      <c r="WEE1332" s="4" t="s">
        <v>2876</v>
      </c>
      <c r="WEF1332" s="4" t="s">
        <v>2876</v>
      </c>
      <c r="WEG1332" s="4" t="s">
        <v>2876</v>
      </c>
      <c r="WEH1332" s="4" t="s">
        <v>2876</v>
      </c>
      <c r="WEI1332" s="4" t="s">
        <v>2876</v>
      </c>
      <c r="WEJ1332" s="4" t="s">
        <v>2876</v>
      </c>
      <c r="WEK1332" s="4" t="s">
        <v>2876</v>
      </c>
      <c r="WEL1332" s="4" t="s">
        <v>2876</v>
      </c>
      <c r="WEM1332" s="4" t="s">
        <v>2876</v>
      </c>
      <c r="WEN1332" s="4" t="s">
        <v>2876</v>
      </c>
      <c r="WEO1332" s="4" t="s">
        <v>2876</v>
      </c>
      <c r="WEP1332" s="4" t="s">
        <v>2876</v>
      </c>
      <c r="WEQ1332" s="4" t="s">
        <v>2876</v>
      </c>
      <c r="WER1332" s="4" t="s">
        <v>2876</v>
      </c>
      <c r="WES1332" s="4" t="s">
        <v>2876</v>
      </c>
      <c r="WET1332" s="4" t="s">
        <v>2876</v>
      </c>
      <c r="WEU1332" s="4" t="s">
        <v>2876</v>
      </c>
      <c r="WEV1332" s="4" t="s">
        <v>2876</v>
      </c>
      <c r="WEW1332" s="4" t="s">
        <v>2876</v>
      </c>
      <c r="WEX1332" s="4" t="s">
        <v>2876</v>
      </c>
      <c r="WEY1332" s="4" t="s">
        <v>2876</v>
      </c>
      <c r="WEZ1332" s="4" t="s">
        <v>2876</v>
      </c>
      <c r="WFA1332" s="4" t="s">
        <v>2876</v>
      </c>
      <c r="WFB1332" s="4" t="s">
        <v>2876</v>
      </c>
      <c r="WFC1332" s="4" t="s">
        <v>2876</v>
      </c>
      <c r="WFD1332" s="4" t="s">
        <v>2876</v>
      </c>
      <c r="WFE1332" s="4" t="s">
        <v>2876</v>
      </c>
      <c r="WFF1332" s="4" t="s">
        <v>2876</v>
      </c>
      <c r="WFG1332" s="4" t="s">
        <v>2876</v>
      </c>
      <c r="WFH1332" s="4" t="s">
        <v>2876</v>
      </c>
      <c r="WFI1332" s="4" t="s">
        <v>2876</v>
      </c>
      <c r="WFJ1332" s="4" t="s">
        <v>2876</v>
      </c>
      <c r="WFK1332" s="4" t="s">
        <v>2876</v>
      </c>
      <c r="WFL1332" s="4" t="s">
        <v>2876</v>
      </c>
      <c r="WFM1332" s="4" t="s">
        <v>2876</v>
      </c>
      <c r="WFN1332" s="4" t="s">
        <v>2876</v>
      </c>
      <c r="WFO1332" s="4" t="s">
        <v>2876</v>
      </c>
      <c r="WFP1332" s="4" t="s">
        <v>2876</v>
      </c>
      <c r="WFQ1332" s="4" t="s">
        <v>2876</v>
      </c>
      <c r="WFR1332" s="4" t="s">
        <v>2876</v>
      </c>
      <c r="WFS1332" s="4" t="s">
        <v>2876</v>
      </c>
      <c r="WFT1332" s="4" t="s">
        <v>2876</v>
      </c>
      <c r="WFU1332" s="4" t="s">
        <v>2876</v>
      </c>
      <c r="WFV1332" s="4" t="s">
        <v>2876</v>
      </c>
      <c r="WFW1332" s="4" t="s">
        <v>2876</v>
      </c>
      <c r="WFX1332" s="4" t="s">
        <v>2876</v>
      </c>
      <c r="WFY1332" s="4" t="s">
        <v>2876</v>
      </c>
      <c r="WFZ1332" s="4" t="s">
        <v>2876</v>
      </c>
      <c r="WGA1332" s="4" t="s">
        <v>2876</v>
      </c>
      <c r="WGB1332" s="4" t="s">
        <v>2876</v>
      </c>
      <c r="WGC1332" s="4" t="s">
        <v>2876</v>
      </c>
      <c r="WGD1332" s="4" t="s">
        <v>2876</v>
      </c>
      <c r="WGE1332" s="4" t="s">
        <v>2876</v>
      </c>
      <c r="WGF1332" s="4" t="s">
        <v>2876</v>
      </c>
      <c r="WGG1332" s="4" t="s">
        <v>2876</v>
      </c>
      <c r="WGH1332" s="4" t="s">
        <v>2876</v>
      </c>
      <c r="WGI1332" s="4" t="s">
        <v>2876</v>
      </c>
      <c r="WGJ1332" s="4" t="s">
        <v>2876</v>
      </c>
      <c r="WGK1332" s="4" t="s">
        <v>2876</v>
      </c>
      <c r="WGL1332" s="4" t="s">
        <v>2876</v>
      </c>
      <c r="WGM1332" s="4" t="s">
        <v>2876</v>
      </c>
      <c r="WGN1332" s="4" t="s">
        <v>2876</v>
      </c>
      <c r="WGO1332" s="4" t="s">
        <v>2876</v>
      </c>
      <c r="WGP1332" s="4" t="s">
        <v>2876</v>
      </c>
      <c r="WGQ1332" s="4" t="s">
        <v>2876</v>
      </c>
      <c r="WGR1332" s="4" t="s">
        <v>2876</v>
      </c>
      <c r="WGS1332" s="4" t="s">
        <v>2876</v>
      </c>
      <c r="WGT1332" s="4" t="s">
        <v>2876</v>
      </c>
      <c r="WGU1332" s="4" t="s">
        <v>2876</v>
      </c>
      <c r="WGV1332" s="4" t="s">
        <v>2876</v>
      </c>
      <c r="WGW1332" s="4" t="s">
        <v>2876</v>
      </c>
      <c r="WGX1332" s="4" t="s">
        <v>2876</v>
      </c>
      <c r="WGY1332" s="4" t="s">
        <v>2876</v>
      </c>
      <c r="WGZ1332" s="4" t="s">
        <v>2876</v>
      </c>
      <c r="WHA1332" s="4" t="s">
        <v>2876</v>
      </c>
      <c r="WHB1332" s="4" t="s">
        <v>2876</v>
      </c>
      <c r="WHC1332" s="4" t="s">
        <v>2876</v>
      </c>
      <c r="WHD1332" s="4" t="s">
        <v>2876</v>
      </c>
      <c r="WHE1332" s="4" t="s">
        <v>2876</v>
      </c>
      <c r="WHF1332" s="4" t="s">
        <v>2876</v>
      </c>
      <c r="WHG1332" s="4" t="s">
        <v>2876</v>
      </c>
      <c r="WHH1332" s="4" t="s">
        <v>2876</v>
      </c>
      <c r="WHI1332" s="4" t="s">
        <v>2876</v>
      </c>
      <c r="WHJ1332" s="4" t="s">
        <v>2876</v>
      </c>
      <c r="WHK1332" s="4" t="s">
        <v>2876</v>
      </c>
      <c r="WHL1332" s="4" t="s">
        <v>2876</v>
      </c>
      <c r="WHM1332" s="4" t="s">
        <v>2876</v>
      </c>
      <c r="WHN1332" s="4" t="s">
        <v>2876</v>
      </c>
      <c r="WHO1332" s="4" t="s">
        <v>2876</v>
      </c>
      <c r="WHP1332" s="4" t="s">
        <v>2876</v>
      </c>
      <c r="WHQ1332" s="4" t="s">
        <v>2876</v>
      </c>
      <c r="WHR1332" s="4" t="s">
        <v>2876</v>
      </c>
      <c r="WHS1332" s="4" t="s">
        <v>2876</v>
      </c>
      <c r="WHT1332" s="4" t="s">
        <v>2876</v>
      </c>
      <c r="WHU1332" s="4" t="s">
        <v>2876</v>
      </c>
      <c r="WHV1332" s="4" t="s">
        <v>2876</v>
      </c>
      <c r="WHW1332" s="4" t="s">
        <v>2876</v>
      </c>
      <c r="WHX1332" s="4" t="s">
        <v>2876</v>
      </c>
      <c r="WHY1332" s="4" t="s">
        <v>2876</v>
      </c>
      <c r="WHZ1332" s="4" t="s">
        <v>2876</v>
      </c>
      <c r="WIA1332" s="4" t="s">
        <v>2876</v>
      </c>
      <c r="WIB1332" s="4" t="s">
        <v>2876</v>
      </c>
      <c r="WIC1332" s="4" t="s">
        <v>2876</v>
      </c>
      <c r="WID1332" s="4" t="s">
        <v>2876</v>
      </c>
      <c r="WIE1332" s="4" t="s">
        <v>2876</v>
      </c>
      <c r="WIF1332" s="4" t="s">
        <v>2876</v>
      </c>
      <c r="WIG1332" s="4" t="s">
        <v>2876</v>
      </c>
      <c r="WIH1332" s="4" t="s">
        <v>2876</v>
      </c>
      <c r="WII1332" s="4" t="s">
        <v>2876</v>
      </c>
      <c r="WIJ1332" s="4" t="s">
        <v>2876</v>
      </c>
      <c r="WIK1332" s="4" t="s">
        <v>2876</v>
      </c>
      <c r="WIL1332" s="4" t="s">
        <v>2876</v>
      </c>
      <c r="WIM1332" s="4" t="s">
        <v>2876</v>
      </c>
      <c r="WIN1332" s="4" t="s">
        <v>2876</v>
      </c>
      <c r="WIO1332" s="4" t="s">
        <v>2876</v>
      </c>
      <c r="WIP1332" s="4" t="s">
        <v>2876</v>
      </c>
      <c r="WIQ1332" s="4" t="s">
        <v>2876</v>
      </c>
      <c r="WIR1332" s="4" t="s">
        <v>2876</v>
      </c>
      <c r="WIS1332" s="4" t="s">
        <v>2876</v>
      </c>
      <c r="WIT1332" s="4" t="s">
        <v>2876</v>
      </c>
      <c r="WIU1332" s="4" t="s">
        <v>2876</v>
      </c>
      <c r="WIV1332" s="4" t="s">
        <v>2876</v>
      </c>
      <c r="WIW1332" s="4" t="s">
        <v>2876</v>
      </c>
      <c r="WIX1332" s="4" t="s">
        <v>2876</v>
      </c>
      <c r="WIY1332" s="4" t="s">
        <v>2876</v>
      </c>
      <c r="WIZ1332" s="4" t="s">
        <v>2876</v>
      </c>
      <c r="WJA1332" s="4" t="s">
        <v>2876</v>
      </c>
      <c r="WJB1332" s="4" t="s">
        <v>2876</v>
      </c>
      <c r="WJC1332" s="4" t="s">
        <v>2876</v>
      </c>
      <c r="WJD1332" s="4" t="s">
        <v>2876</v>
      </c>
      <c r="WJE1332" s="4" t="s">
        <v>2876</v>
      </c>
      <c r="WJF1332" s="4" t="s">
        <v>2876</v>
      </c>
      <c r="WJG1332" s="4" t="s">
        <v>2876</v>
      </c>
      <c r="WJH1332" s="4" t="s">
        <v>2876</v>
      </c>
      <c r="WJI1332" s="4" t="s">
        <v>2876</v>
      </c>
      <c r="WJJ1332" s="4" t="s">
        <v>2876</v>
      </c>
      <c r="WJK1332" s="4" t="s">
        <v>2876</v>
      </c>
      <c r="WJL1332" s="4" t="s">
        <v>2876</v>
      </c>
      <c r="WJM1332" s="4" t="s">
        <v>2876</v>
      </c>
      <c r="WJN1332" s="4" t="s">
        <v>2876</v>
      </c>
      <c r="WJO1332" s="4" t="s">
        <v>2876</v>
      </c>
      <c r="WJP1332" s="4" t="s">
        <v>2876</v>
      </c>
      <c r="WJQ1332" s="4" t="s">
        <v>2876</v>
      </c>
      <c r="WJR1332" s="4" t="s">
        <v>2876</v>
      </c>
      <c r="WJS1332" s="4" t="s">
        <v>2876</v>
      </c>
      <c r="WJT1332" s="4" t="s">
        <v>2876</v>
      </c>
      <c r="WJU1332" s="4" t="s">
        <v>2876</v>
      </c>
      <c r="WJV1332" s="4" t="s">
        <v>2876</v>
      </c>
      <c r="WJW1332" s="4" t="s">
        <v>2876</v>
      </c>
      <c r="WJX1332" s="4" t="s">
        <v>2876</v>
      </c>
      <c r="WJY1332" s="4" t="s">
        <v>2876</v>
      </c>
      <c r="WJZ1332" s="4" t="s">
        <v>2876</v>
      </c>
      <c r="WKA1332" s="4" t="s">
        <v>2876</v>
      </c>
      <c r="WKB1332" s="4" t="s">
        <v>2876</v>
      </c>
      <c r="WKC1332" s="4" t="s">
        <v>2876</v>
      </c>
      <c r="WKD1332" s="4" t="s">
        <v>2876</v>
      </c>
      <c r="WKE1332" s="4" t="s">
        <v>2876</v>
      </c>
      <c r="WKF1332" s="4" t="s">
        <v>2876</v>
      </c>
      <c r="WKG1332" s="4" t="s">
        <v>2876</v>
      </c>
      <c r="WKH1332" s="4" t="s">
        <v>2876</v>
      </c>
      <c r="WKI1332" s="4" t="s">
        <v>2876</v>
      </c>
      <c r="WKJ1332" s="4" t="s">
        <v>2876</v>
      </c>
      <c r="WKK1332" s="4" t="s">
        <v>2876</v>
      </c>
      <c r="WKL1332" s="4" t="s">
        <v>2876</v>
      </c>
      <c r="WKM1332" s="4" t="s">
        <v>2876</v>
      </c>
      <c r="WKN1332" s="4" t="s">
        <v>2876</v>
      </c>
      <c r="WKO1332" s="4" t="s">
        <v>2876</v>
      </c>
      <c r="WKP1332" s="4" t="s">
        <v>2876</v>
      </c>
      <c r="WKQ1332" s="4" t="s">
        <v>2876</v>
      </c>
      <c r="WKR1332" s="4" t="s">
        <v>2876</v>
      </c>
      <c r="WKS1332" s="4" t="s">
        <v>2876</v>
      </c>
      <c r="WKT1332" s="4" t="s">
        <v>2876</v>
      </c>
      <c r="WKU1332" s="4" t="s">
        <v>2876</v>
      </c>
      <c r="WKV1332" s="4" t="s">
        <v>2876</v>
      </c>
      <c r="WKW1332" s="4" t="s">
        <v>2876</v>
      </c>
      <c r="WKX1332" s="4" t="s">
        <v>2876</v>
      </c>
      <c r="WKY1332" s="4" t="s">
        <v>2876</v>
      </c>
      <c r="WKZ1332" s="4" t="s">
        <v>2876</v>
      </c>
      <c r="WLA1332" s="4" t="s">
        <v>2876</v>
      </c>
      <c r="WLB1332" s="4" t="s">
        <v>2876</v>
      </c>
      <c r="WLC1332" s="4" t="s">
        <v>2876</v>
      </c>
      <c r="WLD1332" s="4" t="s">
        <v>2876</v>
      </c>
      <c r="WLE1332" s="4" t="s">
        <v>2876</v>
      </c>
      <c r="WLF1332" s="4" t="s">
        <v>2876</v>
      </c>
      <c r="WLG1332" s="4" t="s">
        <v>2876</v>
      </c>
      <c r="WLH1332" s="4" t="s">
        <v>2876</v>
      </c>
      <c r="WLI1332" s="4" t="s">
        <v>2876</v>
      </c>
      <c r="WLJ1332" s="4" t="s">
        <v>2876</v>
      </c>
      <c r="WLK1332" s="4" t="s">
        <v>2876</v>
      </c>
      <c r="WLL1332" s="4" t="s">
        <v>2876</v>
      </c>
      <c r="WLM1332" s="4" t="s">
        <v>2876</v>
      </c>
      <c r="WLN1332" s="4" t="s">
        <v>2876</v>
      </c>
      <c r="WLO1332" s="4" t="s">
        <v>2876</v>
      </c>
      <c r="WLP1332" s="4" t="s">
        <v>2876</v>
      </c>
      <c r="WLQ1332" s="4" t="s">
        <v>2876</v>
      </c>
      <c r="WLR1332" s="4" t="s">
        <v>2876</v>
      </c>
      <c r="WLS1332" s="4" t="s">
        <v>2876</v>
      </c>
      <c r="WLT1332" s="4" t="s">
        <v>2876</v>
      </c>
      <c r="WLU1332" s="4" t="s">
        <v>2876</v>
      </c>
      <c r="WLV1332" s="4" t="s">
        <v>2876</v>
      </c>
      <c r="WLW1332" s="4" t="s">
        <v>2876</v>
      </c>
      <c r="WLX1332" s="4" t="s">
        <v>2876</v>
      </c>
      <c r="WLY1332" s="4" t="s">
        <v>2876</v>
      </c>
      <c r="WLZ1332" s="4" t="s">
        <v>2876</v>
      </c>
      <c r="WMA1332" s="4" t="s">
        <v>2876</v>
      </c>
      <c r="WMB1332" s="4" t="s">
        <v>2876</v>
      </c>
      <c r="WMC1332" s="4" t="s">
        <v>2876</v>
      </c>
      <c r="WMD1332" s="4" t="s">
        <v>2876</v>
      </c>
      <c r="WME1332" s="4" t="s">
        <v>2876</v>
      </c>
      <c r="WMF1332" s="4" t="s">
        <v>2876</v>
      </c>
      <c r="WMG1332" s="4" t="s">
        <v>2876</v>
      </c>
      <c r="WMH1332" s="4" t="s">
        <v>2876</v>
      </c>
      <c r="WMI1332" s="4" t="s">
        <v>2876</v>
      </c>
      <c r="WMJ1332" s="4" t="s">
        <v>2876</v>
      </c>
      <c r="WMK1332" s="4" t="s">
        <v>2876</v>
      </c>
      <c r="WML1332" s="4" t="s">
        <v>2876</v>
      </c>
      <c r="WMM1332" s="4" t="s">
        <v>2876</v>
      </c>
      <c r="WMN1332" s="4" t="s">
        <v>2876</v>
      </c>
      <c r="WMO1332" s="4" t="s">
        <v>2876</v>
      </c>
      <c r="WMP1332" s="4" t="s">
        <v>2876</v>
      </c>
      <c r="WMQ1332" s="4" t="s">
        <v>2876</v>
      </c>
      <c r="WMR1332" s="4" t="s">
        <v>2876</v>
      </c>
      <c r="WMS1332" s="4" t="s">
        <v>2876</v>
      </c>
      <c r="WMT1332" s="4" t="s">
        <v>2876</v>
      </c>
      <c r="WMU1332" s="4" t="s">
        <v>2876</v>
      </c>
      <c r="WMV1332" s="4" t="s">
        <v>2876</v>
      </c>
      <c r="WMW1332" s="4" t="s">
        <v>2876</v>
      </c>
      <c r="WMX1332" s="4" t="s">
        <v>2876</v>
      </c>
      <c r="WMY1332" s="4" t="s">
        <v>2876</v>
      </c>
      <c r="WMZ1332" s="4" t="s">
        <v>2876</v>
      </c>
      <c r="WNA1332" s="4" t="s">
        <v>2876</v>
      </c>
      <c r="WNB1332" s="4" t="s">
        <v>2876</v>
      </c>
      <c r="WNC1332" s="4" t="s">
        <v>2876</v>
      </c>
      <c r="WND1332" s="4" t="s">
        <v>2876</v>
      </c>
      <c r="WNE1332" s="4" t="s">
        <v>2876</v>
      </c>
      <c r="WNF1332" s="4" t="s">
        <v>2876</v>
      </c>
      <c r="WNG1332" s="4" t="s">
        <v>2876</v>
      </c>
      <c r="WNH1332" s="4" t="s">
        <v>2876</v>
      </c>
      <c r="WNI1332" s="4" t="s">
        <v>2876</v>
      </c>
      <c r="WNJ1332" s="4" t="s">
        <v>2876</v>
      </c>
      <c r="WNK1332" s="4" t="s">
        <v>2876</v>
      </c>
      <c r="WNL1332" s="4" t="s">
        <v>2876</v>
      </c>
      <c r="WNM1332" s="4" t="s">
        <v>2876</v>
      </c>
      <c r="WNN1332" s="4" t="s">
        <v>2876</v>
      </c>
      <c r="WNO1332" s="4" t="s">
        <v>2876</v>
      </c>
      <c r="WNP1332" s="4" t="s">
        <v>2876</v>
      </c>
      <c r="WNQ1332" s="4" t="s">
        <v>2876</v>
      </c>
      <c r="WNR1332" s="4" t="s">
        <v>2876</v>
      </c>
      <c r="WNS1332" s="4" t="s">
        <v>2876</v>
      </c>
      <c r="WNT1332" s="4" t="s">
        <v>2876</v>
      </c>
      <c r="WNU1332" s="4" t="s">
        <v>2876</v>
      </c>
      <c r="WNV1332" s="4" t="s">
        <v>2876</v>
      </c>
      <c r="WNW1332" s="4" t="s">
        <v>2876</v>
      </c>
      <c r="WNX1332" s="4" t="s">
        <v>2876</v>
      </c>
      <c r="WNY1332" s="4" t="s">
        <v>2876</v>
      </c>
      <c r="WNZ1332" s="4" t="s">
        <v>2876</v>
      </c>
      <c r="WOA1332" s="4" t="s">
        <v>2876</v>
      </c>
      <c r="WOB1332" s="4" t="s">
        <v>2876</v>
      </c>
      <c r="WOC1332" s="4" t="s">
        <v>2876</v>
      </c>
      <c r="WOD1332" s="4" t="s">
        <v>2876</v>
      </c>
      <c r="WOE1332" s="4" t="s">
        <v>2876</v>
      </c>
      <c r="WOF1332" s="4" t="s">
        <v>2876</v>
      </c>
      <c r="WOG1332" s="4" t="s">
        <v>2876</v>
      </c>
      <c r="WOH1332" s="4" t="s">
        <v>2876</v>
      </c>
      <c r="WOI1332" s="4" t="s">
        <v>2876</v>
      </c>
      <c r="WOJ1332" s="4" t="s">
        <v>2876</v>
      </c>
      <c r="WOK1332" s="4" t="s">
        <v>2876</v>
      </c>
      <c r="WOL1332" s="4" t="s">
        <v>2876</v>
      </c>
      <c r="WOM1332" s="4" t="s">
        <v>2876</v>
      </c>
      <c r="WON1332" s="4" t="s">
        <v>2876</v>
      </c>
      <c r="WOO1332" s="4" t="s">
        <v>2876</v>
      </c>
      <c r="WOP1332" s="4" t="s">
        <v>2876</v>
      </c>
      <c r="WOQ1332" s="4" t="s">
        <v>2876</v>
      </c>
      <c r="WOR1332" s="4" t="s">
        <v>2876</v>
      </c>
      <c r="WOS1332" s="4" t="s">
        <v>2876</v>
      </c>
      <c r="WOT1332" s="4" t="s">
        <v>2876</v>
      </c>
      <c r="WOU1332" s="4" t="s">
        <v>2876</v>
      </c>
      <c r="WOV1332" s="4" t="s">
        <v>2876</v>
      </c>
      <c r="WOW1332" s="4" t="s">
        <v>2876</v>
      </c>
      <c r="WOX1332" s="4" t="s">
        <v>2876</v>
      </c>
      <c r="WOY1332" s="4" t="s">
        <v>2876</v>
      </c>
      <c r="WOZ1332" s="4" t="s">
        <v>2876</v>
      </c>
      <c r="WPA1332" s="4" t="s">
        <v>2876</v>
      </c>
      <c r="WPB1332" s="4" t="s">
        <v>2876</v>
      </c>
      <c r="WPC1332" s="4" t="s">
        <v>2876</v>
      </c>
      <c r="WPD1332" s="4" t="s">
        <v>2876</v>
      </c>
      <c r="WPE1332" s="4" t="s">
        <v>2876</v>
      </c>
      <c r="WPF1332" s="4" t="s">
        <v>2876</v>
      </c>
      <c r="WPG1332" s="4" t="s">
        <v>2876</v>
      </c>
      <c r="WPH1332" s="4" t="s">
        <v>2876</v>
      </c>
      <c r="WPI1332" s="4" t="s">
        <v>2876</v>
      </c>
      <c r="WPJ1332" s="4" t="s">
        <v>2876</v>
      </c>
      <c r="WPK1332" s="4" t="s">
        <v>2876</v>
      </c>
      <c r="WPL1332" s="4" t="s">
        <v>2876</v>
      </c>
      <c r="WPM1332" s="4" t="s">
        <v>2876</v>
      </c>
      <c r="WPN1332" s="4" t="s">
        <v>2876</v>
      </c>
      <c r="WPO1332" s="4" t="s">
        <v>2876</v>
      </c>
      <c r="WPP1332" s="4" t="s">
        <v>2876</v>
      </c>
      <c r="WPQ1332" s="4" t="s">
        <v>2876</v>
      </c>
      <c r="WPR1332" s="4" t="s">
        <v>2876</v>
      </c>
      <c r="WPS1332" s="4" t="s">
        <v>2876</v>
      </c>
      <c r="WPT1332" s="4" t="s">
        <v>2876</v>
      </c>
      <c r="WPU1332" s="4" t="s">
        <v>2876</v>
      </c>
      <c r="WPV1332" s="4" t="s">
        <v>2876</v>
      </c>
      <c r="WPW1332" s="4" t="s">
        <v>2876</v>
      </c>
      <c r="WPX1332" s="4" t="s">
        <v>2876</v>
      </c>
      <c r="WPY1332" s="4" t="s">
        <v>2876</v>
      </c>
      <c r="WPZ1332" s="4" t="s">
        <v>2876</v>
      </c>
      <c r="WQA1332" s="4" t="s">
        <v>2876</v>
      </c>
      <c r="WQB1332" s="4" t="s">
        <v>2876</v>
      </c>
      <c r="WQC1332" s="4" t="s">
        <v>2876</v>
      </c>
      <c r="WQD1332" s="4" t="s">
        <v>2876</v>
      </c>
      <c r="WQE1332" s="4" t="s">
        <v>2876</v>
      </c>
      <c r="WQF1332" s="4" t="s">
        <v>2876</v>
      </c>
      <c r="WQG1332" s="4" t="s">
        <v>2876</v>
      </c>
      <c r="WQH1332" s="4" t="s">
        <v>2876</v>
      </c>
      <c r="WQI1332" s="4" t="s">
        <v>2876</v>
      </c>
      <c r="WQJ1332" s="4" t="s">
        <v>2876</v>
      </c>
      <c r="WQK1332" s="4" t="s">
        <v>2876</v>
      </c>
      <c r="WQL1332" s="4" t="s">
        <v>2876</v>
      </c>
      <c r="WQM1332" s="4" t="s">
        <v>2876</v>
      </c>
      <c r="WQN1332" s="4" t="s">
        <v>2876</v>
      </c>
      <c r="WQO1332" s="4" t="s">
        <v>2876</v>
      </c>
      <c r="WQP1332" s="4" t="s">
        <v>2876</v>
      </c>
      <c r="WQQ1332" s="4" t="s">
        <v>2876</v>
      </c>
      <c r="WQR1332" s="4" t="s">
        <v>2876</v>
      </c>
      <c r="WQS1332" s="4" t="s">
        <v>2876</v>
      </c>
      <c r="WQT1332" s="4" t="s">
        <v>2876</v>
      </c>
      <c r="WQU1332" s="4" t="s">
        <v>2876</v>
      </c>
      <c r="WQV1332" s="4" t="s">
        <v>2876</v>
      </c>
      <c r="WQW1332" s="4" t="s">
        <v>2876</v>
      </c>
      <c r="WQX1332" s="4" t="s">
        <v>2876</v>
      </c>
      <c r="WQY1332" s="4" t="s">
        <v>2876</v>
      </c>
      <c r="WQZ1332" s="4" t="s">
        <v>2876</v>
      </c>
      <c r="WRA1332" s="4" t="s">
        <v>2876</v>
      </c>
      <c r="WRB1332" s="4" t="s">
        <v>2876</v>
      </c>
      <c r="WRC1332" s="4" t="s">
        <v>2876</v>
      </c>
      <c r="WRD1332" s="4" t="s">
        <v>2876</v>
      </c>
      <c r="WRE1332" s="4" t="s">
        <v>2876</v>
      </c>
      <c r="WRF1332" s="4" t="s">
        <v>2876</v>
      </c>
      <c r="WRG1332" s="4" t="s">
        <v>2876</v>
      </c>
      <c r="WRH1332" s="4" t="s">
        <v>2876</v>
      </c>
      <c r="WRI1332" s="4" t="s">
        <v>2876</v>
      </c>
      <c r="WRJ1332" s="4" t="s">
        <v>2876</v>
      </c>
      <c r="WRK1332" s="4" t="s">
        <v>2876</v>
      </c>
      <c r="WRL1332" s="4" t="s">
        <v>2876</v>
      </c>
      <c r="WRM1332" s="4" t="s">
        <v>2876</v>
      </c>
      <c r="WRN1332" s="4" t="s">
        <v>2876</v>
      </c>
      <c r="WRO1332" s="4" t="s">
        <v>2876</v>
      </c>
      <c r="WRP1332" s="4" t="s">
        <v>2876</v>
      </c>
      <c r="WRQ1332" s="4" t="s">
        <v>2876</v>
      </c>
      <c r="WRR1332" s="4" t="s">
        <v>2876</v>
      </c>
      <c r="WRS1332" s="4" t="s">
        <v>2876</v>
      </c>
      <c r="WRT1332" s="4" t="s">
        <v>2876</v>
      </c>
      <c r="WRU1332" s="4" t="s">
        <v>2876</v>
      </c>
      <c r="WRV1332" s="4" t="s">
        <v>2876</v>
      </c>
      <c r="WRW1332" s="4" t="s">
        <v>2876</v>
      </c>
      <c r="WRX1332" s="4" t="s">
        <v>2876</v>
      </c>
      <c r="WRY1332" s="4" t="s">
        <v>2876</v>
      </c>
      <c r="WRZ1332" s="4" t="s">
        <v>2876</v>
      </c>
      <c r="WSA1332" s="4" t="s">
        <v>2876</v>
      </c>
      <c r="WSB1332" s="4" t="s">
        <v>2876</v>
      </c>
      <c r="WSC1332" s="4" t="s">
        <v>2876</v>
      </c>
      <c r="WSD1332" s="4" t="s">
        <v>2876</v>
      </c>
      <c r="WSE1332" s="4" t="s">
        <v>2876</v>
      </c>
      <c r="WSF1332" s="4" t="s">
        <v>2876</v>
      </c>
      <c r="WSG1332" s="4" t="s">
        <v>2876</v>
      </c>
      <c r="WSH1332" s="4" t="s">
        <v>2876</v>
      </c>
      <c r="WSI1332" s="4" t="s">
        <v>2876</v>
      </c>
      <c r="WSJ1332" s="4" t="s">
        <v>2876</v>
      </c>
      <c r="WSK1332" s="4" t="s">
        <v>2876</v>
      </c>
      <c r="WSL1332" s="4" t="s">
        <v>2876</v>
      </c>
      <c r="WSM1332" s="4" t="s">
        <v>2876</v>
      </c>
      <c r="WSN1332" s="4" t="s">
        <v>2876</v>
      </c>
      <c r="WSO1332" s="4" t="s">
        <v>2876</v>
      </c>
      <c r="WSP1332" s="4" t="s">
        <v>2876</v>
      </c>
      <c r="WSQ1332" s="4" t="s">
        <v>2876</v>
      </c>
      <c r="WSR1332" s="4" t="s">
        <v>2876</v>
      </c>
      <c r="WSS1332" s="4" t="s">
        <v>2876</v>
      </c>
      <c r="WST1332" s="4" t="s">
        <v>2876</v>
      </c>
      <c r="WSU1332" s="4" t="s">
        <v>2876</v>
      </c>
      <c r="WSV1332" s="4" t="s">
        <v>2876</v>
      </c>
      <c r="WSW1332" s="4" t="s">
        <v>2876</v>
      </c>
      <c r="WSX1332" s="4" t="s">
        <v>2876</v>
      </c>
      <c r="WSY1332" s="4" t="s">
        <v>2876</v>
      </c>
      <c r="WSZ1332" s="4" t="s">
        <v>2876</v>
      </c>
      <c r="WTA1332" s="4" t="s">
        <v>2876</v>
      </c>
      <c r="WTB1332" s="4" t="s">
        <v>2876</v>
      </c>
      <c r="WTC1332" s="4" t="s">
        <v>2876</v>
      </c>
      <c r="WTD1332" s="4" t="s">
        <v>2876</v>
      </c>
      <c r="WTE1332" s="4" t="s">
        <v>2876</v>
      </c>
      <c r="WTF1332" s="4" t="s">
        <v>2876</v>
      </c>
      <c r="WTG1332" s="4" t="s">
        <v>2876</v>
      </c>
      <c r="WTH1332" s="4" t="s">
        <v>2876</v>
      </c>
      <c r="WTI1332" s="4" t="s">
        <v>2876</v>
      </c>
      <c r="WTJ1332" s="4" t="s">
        <v>2876</v>
      </c>
      <c r="WTK1332" s="4" t="s">
        <v>2876</v>
      </c>
      <c r="WTL1332" s="4" t="s">
        <v>2876</v>
      </c>
      <c r="WTM1332" s="4" t="s">
        <v>2876</v>
      </c>
      <c r="WTN1332" s="4" t="s">
        <v>2876</v>
      </c>
      <c r="WTO1332" s="4" t="s">
        <v>2876</v>
      </c>
      <c r="WTP1332" s="4" t="s">
        <v>2876</v>
      </c>
      <c r="WTQ1332" s="4" t="s">
        <v>2876</v>
      </c>
      <c r="WTR1332" s="4" t="s">
        <v>2876</v>
      </c>
      <c r="WTS1332" s="4" t="s">
        <v>2876</v>
      </c>
      <c r="WTT1332" s="4" t="s">
        <v>2876</v>
      </c>
      <c r="WTU1332" s="4" t="s">
        <v>2876</v>
      </c>
      <c r="WTV1332" s="4" t="s">
        <v>2876</v>
      </c>
      <c r="WTW1332" s="4" t="s">
        <v>2876</v>
      </c>
      <c r="WTX1332" s="4" t="s">
        <v>2876</v>
      </c>
      <c r="WTY1332" s="4" t="s">
        <v>2876</v>
      </c>
      <c r="WTZ1332" s="4" t="s">
        <v>2876</v>
      </c>
      <c r="WUA1332" s="4" t="s">
        <v>2876</v>
      </c>
      <c r="WUB1332" s="4" t="s">
        <v>2876</v>
      </c>
      <c r="WUC1332" s="4" t="s">
        <v>2876</v>
      </c>
      <c r="WUD1332" s="4" t="s">
        <v>2876</v>
      </c>
      <c r="WUE1332" s="4" t="s">
        <v>2876</v>
      </c>
      <c r="WUF1332" s="4" t="s">
        <v>2876</v>
      </c>
      <c r="WUG1332" s="4" t="s">
        <v>2876</v>
      </c>
      <c r="WUH1332" s="4" t="s">
        <v>2876</v>
      </c>
      <c r="WUI1332" s="4" t="s">
        <v>2876</v>
      </c>
      <c r="WUJ1332" s="4" t="s">
        <v>2876</v>
      </c>
      <c r="WUK1332" s="4" t="s">
        <v>2876</v>
      </c>
      <c r="WUL1332" s="4" t="s">
        <v>2876</v>
      </c>
      <c r="WUM1332" s="4" t="s">
        <v>2876</v>
      </c>
      <c r="WUN1332" s="4" t="s">
        <v>2876</v>
      </c>
      <c r="WUO1332" s="4" t="s">
        <v>2876</v>
      </c>
      <c r="WUP1332" s="4" t="s">
        <v>2876</v>
      </c>
      <c r="WUQ1332" s="4" t="s">
        <v>2876</v>
      </c>
      <c r="WUR1332" s="4" t="s">
        <v>2876</v>
      </c>
      <c r="WUS1332" s="4" t="s">
        <v>2876</v>
      </c>
      <c r="WUT1332" s="4" t="s">
        <v>2876</v>
      </c>
      <c r="WUU1332" s="4" t="s">
        <v>2876</v>
      </c>
      <c r="WUV1332" s="4" t="s">
        <v>2876</v>
      </c>
      <c r="WUW1332" s="4" t="s">
        <v>2876</v>
      </c>
      <c r="WUX1332" s="4" t="s">
        <v>2876</v>
      </c>
      <c r="WUY1332" s="4" t="s">
        <v>2876</v>
      </c>
      <c r="WUZ1332" s="4" t="s">
        <v>2876</v>
      </c>
      <c r="WVA1332" s="4" t="s">
        <v>2876</v>
      </c>
      <c r="WVB1332" s="4" t="s">
        <v>2876</v>
      </c>
      <c r="WVC1332" s="4" t="s">
        <v>2876</v>
      </c>
      <c r="WVD1332" s="4" t="s">
        <v>2876</v>
      </c>
      <c r="WVE1332" s="4" t="s">
        <v>2876</v>
      </c>
      <c r="WVF1332" s="4" t="s">
        <v>2876</v>
      </c>
      <c r="WVG1332" s="4" t="s">
        <v>2876</v>
      </c>
      <c r="WVH1332" s="4" t="s">
        <v>2876</v>
      </c>
      <c r="WVI1332" s="4" t="s">
        <v>2876</v>
      </c>
      <c r="WVJ1332" s="4" t="s">
        <v>2876</v>
      </c>
      <c r="WVK1332" s="4" t="s">
        <v>2876</v>
      </c>
      <c r="WVL1332" s="4" t="s">
        <v>2876</v>
      </c>
      <c r="WVM1332" s="4" t="s">
        <v>2876</v>
      </c>
      <c r="WVN1332" s="4" t="s">
        <v>2876</v>
      </c>
      <c r="WVO1332" s="4" t="s">
        <v>2876</v>
      </c>
      <c r="WVP1332" s="4" t="s">
        <v>2876</v>
      </c>
      <c r="WVQ1332" s="4" t="s">
        <v>2876</v>
      </c>
      <c r="WVR1332" s="4" t="s">
        <v>2876</v>
      </c>
      <c r="WVS1332" s="4" t="s">
        <v>2876</v>
      </c>
      <c r="WVT1332" s="4" t="s">
        <v>2876</v>
      </c>
      <c r="WVU1332" s="4" t="s">
        <v>2876</v>
      </c>
      <c r="WVV1332" s="4" t="s">
        <v>2876</v>
      </c>
      <c r="WVW1332" s="4" t="s">
        <v>2876</v>
      </c>
      <c r="WVX1332" s="4" t="s">
        <v>2876</v>
      </c>
      <c r="WVY1332" s="4" t="s">
        <v>2876</v>
      </c>
      <c r="WVZ1332" s="4" t="s">
        <v>2876</v>
      </c>
      <c r="WWA1332" s="4" t="s">
        <v>2876</v>
      </c>
      <c r="WWB1332" s="4" t="s">
        <v>2876</v>
      </c>
      <c r="WWC1332" s="4" t="s">
        <v>2876</v>
      </c>
      <c r="WWD1332" s="4" t="s">
        <v>2876</v>
      </c>
      <c r="WWE1332" s="4" t="s">
        <v>2876</v>
      </c>
      <c r="WWF1332" s="4" t="s">
        <v>2876</v>
      </c>
      <c r="WWG1332" s="4" t="s">
        <v>2876</v>
      </c>
      <c r="WWH1332" s="4" t="s">
        <v>2876</v>
      </c>
      <c r="WWI1332" s="4" t="s">
        <v>2876</v>
      </c>
      <c r="WWJ1332" s="4" t="s">
        <v>2876</v>
      </c>
      <c r="WWK1332" s="4" t="s">
        <v>2876</v>
      </c>
      <c r="WWL1332" s="4" t="s">
        <v>2876</v>
      </c>
      <c r="WWM1332" s="4" t="s">
        <v>2876</v>
      </c>
      <c r="WWN1332" s="4" t="s">
        <v>2876</v>
      </c>
      <c r="WWO1332" s="4" t="s">
        <v>2876</v>
      </c>
      <c r="WWP1332" s="4" t="s">
        <v>2876</v>
      </c>
      <c r="WWQ1332" s="4" t="s">
        <v>2876</v>
      </c>
      <c r="WWR1332" s="4" t="s">
        <v>2876</v>
      </c>
      <c r="WWS1332" s="4" t="s">
        <v>2876</v>
      </c>
      <c r="WWT1332" s="4" t="s">
        <v>2876</v>
      </c>
      <c r="WWU1332" s="4" t="s">
        <v>2876</v>
      </c>
      <c r="WWV1332" s="4" t="s">
        <v>2876</v>
      </c>
      <c r="WWW1332" s="4" t="s">
        <v>2876</v>
      </c>
      <c r="WWX1332" s="4" t="s">
        <v>2876</v>
      </c>
      <c r="WWY1332" s="4" t="s">
        <v>2876</v>
      </c>
      <c r="WWZ1332" s="4" t="s">
        <v>2876</v>
      </c>
      <c r="WXA1332" s="4" t="s">
        <v>2876</v>
      </c>
      <c r="WXB1332" s="4" t="s">
        <v>2876</v>
      </c>
      <c r="WXC1332" s="4" t="s">
        <v>2876</v>
      </c>
      <c r="WXD1332" s="4" t="s">
        <v>2876</v>
      </c>
      <c r="WXE1332" s="4" t="s">
        <v>2876</v>
      </c>
      <c r="WXF1332" s="4" t="s">
        <v>2876</v>
      </c>
      <c r="WXG1332" s="4" t="s">
        <v>2876</v>
      </c>
      <c r="WXH1332" s="4" t="s">
        <v>2876</v>
      </c>
      <c r="WXI1332" s="4" t="s">
        <v>2876</v>
      </c>
      <c r="WXJ1332" s="4" t="s">
        <v>2876</v>
      </c>
      <c r="WXK1332" s="4" t="s">
        <v>2876</v>
      </c>
      <c r="WXL1332" s="4" t="s">
        <v>2876</v>
      </c>
      <c r="WXM1332" s="4" t="s">
        <v>2876</v>
      </c>
      <c r="WXN1332" s="4" t="s">
        <v>2876</v>
      </c>
      <c r="WXO1332" s="4" t="s">
        <v>2876</v>
      </c>
      <c r="WXP1332" s="4" t="s">
        <v>2876</v>
      </c>
      <c r="WXQ1332" s="4" t="s">
        <v>2876</v>
      </c>
      <c r="WXR1332" s="4" t="s">
        <v>2876</v>
      </c>
      <c r="WXS1332" s="4" t="s">
        <v>2876</v>
      </c>
      <c r="WXT1332" s="4" t="s">
        <v>2876</v>
      </c>
      <c r="WXU1332" s="4" t="s">
        <v>2876</v>
      </c>
      <c r="WXV1332" s="4" t="s">
        <v>2876</v>
      </c>
      <c r="WXW1332" s="4" t="s">
        <v>2876</v>
      </c>
      <c r="WXX1332" s="4" t="s">
        <v>2876</v>
      </c>
      <c r="WXY1332" s="4" t="s">
        <v>2876</v>
      </c>
      <c r="WXZ1332" s="4" t="s">
        <v>2876</v>
      </c>
      <c r="WYA1332" s="4" t="s">
        <v>2876</v>
      </c>
      <c r="WYB1332" s="4" t="s">
        <v>2876</v>
      </c>
      <c r="WYC1332" s="4" t="s">
        <v>2876</v>
      </c>
      <c r="WYD1332" s="4" t="s">
        <v>2876</v>
      </c>
      <c r="WYE1332" s="4" t="s">
        <v>2876</v>
      </c>
      <c r="WYF1332" s="4" t="s">
        <v>2876</v>
      </c>
      <c r="WYG1332" s="4" t="s">
        <v>2876</v>
      </c>
      <c r="WYH1332" s="4" t="s">
        <v>2876</v>
      </c>
      <c r="WYI1332" s="4" t="s">
        <v>2876</v>
      </c>
      <c r="WYJ1332" s="4" t="s">
        <v>2876</v>
      </c>
      <c r="WYK1332" s="4" t="s">
        <v>2876</v>
      </c>
      <c r="WYL1332" s="4" t="s">
        <v>2876</v>
      </c>
      <c r="WYM1332" s="4" t="s">
        <v>2876</v>
      </c>
      <c r="WYN1332" s="4" t="s">
        <v>2876</v>
      </c>
      <c r="WYO1332" s="4" t="s">
        <v>2876</v>
      </c>
      <c r="WYP1332" s="4" t="s">
        <v>2876</v>
      </c>
      <c r="WYQ1332" s="4" t="s">
        <v>2876</v>
      </c>
      <c r="WYR1332" s="4" t="s">
        <v>2876</v>
      </c>
      <c r="WYS1332" s="4" t="s">
        <v>2876</v>
      </c>
      <c r="WYT1332" s="4" t="s">
        <v>2876</v>
      </c>
      <c r="WYU1332" s="4" t="s">
        <v>2876</v>
      </c>
      <c r="WYV1332" s="4" t="s">
        <v>2876</v>
      </c>
      <c r="WYW1332" s="4" t="s">
        <v>2876</v>
      </c>
      <c r="WYX1332" s="4" t="s">
        <v>2876</v>
      </c>
      <c r="WYY1332" s="4" t="s">
        <v>2876</v>
      </c>
      <c r="WYZ1332" s="4" t="s">
        <v>2876</v>
      </c>
      <c r="WZA1332" s="4" t="s">
        <v>2876</v>
      </c>
      <c r="WZB1332" s="4" t="s">
        <v>2876</v>
      </c>
      <c r="WZC1332" s="4" t="s">
        <v>2876</v>
      </c>
      <c r="WZD1332" s="4" t="s">
        <v>2876</v>
      </c>
      <c r="WZE1332" s="4" t="s">
        <v>2876</v>
      </c>
      <c r="WZF1332" s="4" t="s">
        <v>2876</v>
      </c>
      <c r="WZG1332" s="4" t="s">
        <v>2876</v>
      </c>
      <c r="WZH1332" s="4" t="s">
        <v>2876</v>
      </c>
      <c r="WZI1332" s="4" t="s">
        <v>2876</v>
      </c>
      <c r="WZJ1332" s="4" t="s">
        <v>2876</v>
      </c>
      <c r="WZK1332" s="4" t="s">
        <v>2876</v>
      </c>
      <c r="WZL1332" s="4" t="s">
        <v>2876</v>
      </c>
      <c r="WZM1332" s="4" t="s">
        <v>2876</v>
      </c>
      <c r="WZN1332" s="4" t="s">
        <v>2876</v>
      </c>
      <c r="WZO1332" s="4" t="s">
        <v>2876</v>
      </c>
      <c r="WZP1332" s="4" t="s">
        <v>2876</v>
      </c>
      <c r="WZQ1332" s="4" t="s">
        <v>2876</v>
      </c>
      <c r="WZR1332" s="4" t="s">
        <v>2876</v>
      </c>
      <c r="WZS1332" s="4" t="s">
        <v>2876</v>
      </c>
      <c r="WZT1332" s="4" t="s">
        <v>2876</v>
      </c>
      <c r="WZU1332" s="4" t="s">
        <v>2876</v>
      </c>
      <c r="WZV1332" s="4" t="s">
        <v>2876</v>
      </c>
      <c r="WZW1332" s="4" t="s">
        <v>2876</v>
      </c>
      <c r="WZX1332" s="4" t="s">
        <v>2876</v>
      </c>
      <c r="WZY1332" s="4" t="s">
        <v>2876</v>
      </c>
      <c r="WZZ1332" s="4" t="s">
        <v>2876</v>
      </c>
      <c r="XAA1332" s="4" t="s">
        <v>2876</v>
      </c>
      <c r="XAB1332" s="4" t="s">
        <v>2876</v>
      </c>
      <c r="XAC1332" s="4" t="s">
        <v>2876</v>
      </c>
      <c r="XAD1332" s="4" t="s">
        <v>2876</v>
      </c>
      <c r="XAE1332" s="4" t="s">
        <v>2876</v>
      </c>
      <c r="XAF1332" s="4" t="s">
        <v>2876</v>
      </c>
      <c r="XAG1332" s="4" t="s">
        <v>2876</v>
      </c>
      <c r="XAH1332" s="4" t="s">
        <v>2876</v>
      </c>
      <c r="XAI1332" s="4" t="s">
        <v>2876</v>
      </c>
      <c r="XAJ1332" s="4" t="s">
        <v>2876</v>
      </c>
      <c r="XAK1332" s="4" t="s">
        <v>2876</v>
      </c>
      <c r="XAL1332" s="4" t="s">
        <v>2876</v>
      </c>
      <c r="XAM1332" s="4" t="s">
        <v>2876</v>
      </c>
      <c r="XAN1332" s="4" t="s">
        <v>2876</v>
      </c>
      <c r="XAO1332" s="4" t="s">
        <v>2876</v>
      </c>
      <c r="XAP1332" s="4" t="s">
        <v>2876</v>
      </c>
      <c r="XAQ1332" s="4" t="s">
        <v>2876</v>
      </c>
      <c r="XAR1332" s="4" t="s">
        <v>2876</v>
      </c>
      <c r="XAS1332" s="4" t="s">
        <v>2876</v>
      </c>
      <c r="XAT1332" s="4" t="s">
        <v>2876</v>
      </c>
      <c r="XAU1332" s="4" t="s">
        <v>2876</v>
      </c>
      <c r="XAV1332" s="4" t="s">
        <v>2876</v>
      </c>
      <c r="XAW1332" s="4" t="s">
        <v>2876</v>
      </c>
      <c r="XAX1332" s="4" t="s">
        <v>2876</v>
      </c>
      <c r="XAY1332" s="4" t="s">
        <v>2876</v>
      </c>
      <c r="XAZ1332" s="4" t="s">
        <v>2876</v>
      </c>
      <c r="XBA1332" s="4" t="s">
        <v>2876</v>
      </c>
      <c r="XBB1332" s="4" t="s">
        <v>2876</v>
      </c>
      <c r="XBC1332" s="4" t="s">
        <v>2876</v>
      </c>
      <c r="XBD1332" s="4" t="s">
        <v>2876</v>
      </c>
      <c r="XBE1332" s="4" t="s">
        <v>2876</v>
      </c>
      <c r="XBF1332" s="4" t="s">
        <v>2876</v>
      </c>
      <c r="XBG1332" s="4" t="s">
        <v>2876</v>
      </c>
      <c r="XBH1332" s="4" t="s">
        <v>2876</v>
      </c>
      <c r="XBI1332" s="4" t="s">
        <v>2876</v>
      </c>
      <c r="XBJ1332" s="4" t="s">
        <v>2876</v>
      </c>
      <c r="XBK1332" s="4" t="s">
        <v>2876</v>
      </c>
      <c r="XBL1332" s="4" t="s">
        <v>2876</v>
      </c>
      <c r="XBM1332" s="4" t="s">
        <v>2876</v>
      </c>
      <c r="XBN1332" s="4" t="s">
        <v>2876</v>
      </c>
      <c r="XBO1332" s="4" t="s">
        <v>2876</v>
      </c>
      <c r="XBP1332" s="4" t="s">
        <v>2876</v>
      </c>
      <c r="XBQ1332" s="4" t="s">
        <v>2876</v>
      </c>
      <c r="XBR1332" s="4" t="s">
        <v>2876</v>
      </c>
      <c r="XBS1332" s="4" t="s">
        <v>2876</v>
      </c>
      <c r="XBT1332" s="4" t="s">
        <v>2876</v>
      </c>
      <c r="XBU1332" s="4" t="s">
        <v>2876</v>
      </c>
      <c r="XBV1332" s="4" t="s">
        <v>2876</v>
      </c>
      <c r="XBW1332" s="4" t="s">
        <v>2876</v>
      </c>
      <c r="XBX1332" s="4" t="s">
        <v>2876</v>
      </c>
      <c r="XBY1332" s="4" t="s">
        <v>2876</v>
      </c>
      <c r="XBZ1332" s="4" t="s">
        <v>2876</v>
      </c>
      <c r="XCA1332" s="4" t="s">
        <v>2876</v>
      </c>
      <c r="XCB1332" s="4" t="s">
        <v>2876</v>
      </c>
      <c r="XCC1332" s="4" t="s">
        <v>2876</v>
      </c>
      <c r="XCD1332" s="4" t="s">
        <v>2876</v>
      </c>
      <c r="XCE1332" s="4" t="s">
        <v>2876</v>
      </c>
      <c r="XCF1332" s="4" t="s">
        <v>2876</v>
      </c>
      <c r="XCG1332" s="4" t="s">
        <v>2876</v>
      </c>
      <c r="XCH1332" s="4" t="s">
        <v>2876</v>
      </c>
      <c r="XCI1332" s="4" t="s">
        <v>2876</v>
      </c>
      <c r="XCJ1332" s="4" t="s">
        <v>2876</v>
      </c>
      <c r="XCK1332" s="4" t="s">
        <v>2876</v>
      </c>
      <c r="XCL1332" s="4" t="s">
        <v>2876</v>
      </c>
      <c r="XCM1332" s="4" t="s">
        <v>2876</v>
      </c>
      <c r="XCN1332" s="4" t="s">
        <v>2876</v>
      </c>
      <c r="XCO1332" s="4" t="s">
        <v>2876</v>
      </c>
      <c r="XCP1332" s="4" t="s">
        <v>2876</v>
      </c>
      <c r="XCQ1332" s="4" t="s">
        <v>2876</v>
      </c>
      <c r="XCR1332" s="4" t="s">
        <v>2876</v>
      </c>
      <c r="XCS1332" s="4" t="s">
        <v>2876</v>
      </c>
      <c r="XCT1332" s="4" t="s">
        <v>2876</v>
      </c>
      <c r="XCU1332" s="4" t="s">
        <v>2876</v>
      </c>
      <c r="XCV1332" s="4" t="s">
        <v>2876</v>
      </c>
      <c r="XCW1332" s="4" t="s">
        <v>2876</v>
      </c>
      <c r="XCX1332" s="4" t="s">
        <v>2876</v>
      </c>
      <c r="XCY1332" s="4" t="s">
        <v>2876</v>
      </c>
      <c r="XCZ1332" s="4" t="s">
        <v>2876</v>
      </c>
      <c r="XDA1332" s="4" t="s">
        <v>2876</v>
      </c>
      <c r="XDB1332" s="4" t="s">
        <v>2876</v>
      </c>
      <c r="XDC1332" s="4" t="s">
        <v>2876</v>
      </c>
      <c r="XDD1332" s="4" t="s">
        <v>2876</v>
      </c>
      <c r="XDE1332" s="4" t="s">
        <v>2876</v>
      </c>
      <c r="XDF1332" s="4" t="s">
        <v>2876</v>
      </c>
      <c r="XDG1332" s="4" t="s">
        <v>2876</v>
      </c>
      <c r="XDH1332" s="4" t="s">
        <v>2876</v>
      </c>
      <c r="XDI1332" s="4" t="s">
        <v>2876</v>
      </c>
      <c r="XDJ1332" s="4" t="s">
        <v>2876</v>
      </c>
      <c r="XDK1332" s="4" t="s">
        <v>2876</v>
      </c>
      <c r="XDL1332" s="4" t="s">
        <v>2876</v>
      </c>
      <c r="XDM1332" s="4" t="s">
        <v>2876</v>
      </c>
      <c r="XDN1332" s="4" t="s">
        <v>2876</v>
      </c>
      <c r="XDO1332" s="4" t="s">
        <v>2876</v>
      </c>
      <c r="XDP1332" s="4" t="s">
        <v>2876</v>
      </c>
      <c r="XDQ1332" s="4" t="s">
        <v>2876</v>
      </c>
      <c r="XDR1332" s="4" t="s">
        <v>2876</v>
      </c>
      <c r="XDS1332" s="4" t="s">
        <v>2876</v>
      </c>
      <c r="XDT1332" s="4" t="s">
        <v>2876</v>
      </c>
      <c r="XDU1332" s="4" t="s">
        <v>2876</v>
      </c>
      <c r="XDV1332" s="4" t="s">
        <v>2876</v>
      </c>
      <c r="XDW1332" s="4" t="s">
        <v>2876</v>
      </c>
      <c r="XDX1332" s="4" t="s">
        <v>2876</v>
      </c>
      <c r="XDY1332" s="4" t="s">
        <v>2876</v>
      </c>
      <c r="XDZ1332" s="4" t="s">
        <v>2876</v>
      </c>
      <c r="XEA1332" s="4" t="s">
        <v>2876</v>
      </c>
      <c r="XEB1332" s="4" t="s">
        <v>2876</v>
      </c>
      <c r="XEC1332" s="4" t="s">
        <v>2876</v>
      </c>
      <c r="XED1332" s="4" t="s">
        <v>2876</v>
      </c>
      <c r="XEE1332" s="4" t="s">
        <v>2876</v>
      </c>
      <c r="XEF1332" s="4" t="s">
        <v>2876</v>
      </c>
      <c r="XEG1332" s="4" t="s">
        <v>2876</v>
      </c>
      <c r="XEH1332" s="4" t="s">
        <v>2876</v>
      </c>
      <c r="XEI1332" s="4" t="s">
        <v>2876</v>
      </c>
      <c r="XEJ1332" s="4" t="s">
        <v>2876</v>
      </c>
      <c r="XEK1332" s="4" t="s">
        <v>2876</v>
      </c>
      <c r="XEL1332" s="4" t="s">
        <v>2876</v>
      </c>
      <c r="XEM1332" s="4" t="s">
        <v>2876</v>
      </c>
      <c r="XEN1332" s="4" t="s">
        <v>2876</v>
      </c>
      <c r="XEO1332" s="4" t="s">
        <v>2876</v>
      </c>
      <c r="XEP1332" s="4" t="s">
        <v>2876</v>
      </c>
      <c r="XEQ1332" s="4" t="s">
        <v>2876</v>
      </c>
      <c r="XER1332" s="4" t="s">
        <v>2876</v>
      </c>
      <c r="XES1332" s="4" t="s">
        <v>2876</v>
      </c>
      <c r="XET1332" s="4" t="s">
        <v>2876</v>
      </c>
      <c r="XEU1332" s="4" t="s">
        <v>2876</v>
      </c>
      <c r="XEV1332" s="4" t="s">
        <v>2876</v>
      </c>
      <c r="XEW1332" s="4" t="s">
        <v>2876</v>
      </c>
      <c r="XEX1332" s="4" t="s">
        <v>2876</v>
      </c>
      <c r="XEY1332" s="4" t="s">
        <v>2876</v>
      </c>
      <c r="XEZ1332" s="4" t="s">
        <v>2876</v>
      </c>
      <c r="XFA1332" s="4" t="s">
        <v>2876</v>
      </c>
      <c r="XFB1332" s="4" t="s">
        <v>2876</v>
      </c>
    </row>
    <row r="1333" spans="1:5 1847:16382" x14ac:dyDescent="0.25">
      <c r="A1333" s="5" t="s">
        <v>1475</v>
      </c>
      <c r="B1333" s="6" t="s">
        <v>1474</v>
      </c>
      <c r="C1333" s="7" t="s">
        <v>24</v>
      </c>
      <c r="D1333" s="7" t="s">
        <v>64</v>
      </c>
      <c r="E1333" s="8" t="s">
        <v>68</v>
      </c>
      <c r="BSA1333" s="4" t="s">
        <v>2877</v>
      </c>
      <c r="BSB1333" s="4" t="s">
        <v>2877</v>
      </c>
      <c r="BSC1333" s="4" t="s">
        <v>2877</v>
      </c>
      <c r="BSD1333" s="4" t="s">
        <v>2877</v>
      </c>
      <c r="BSE1333" s="4" t="s">
        <v>2877</v>
      </c>
      <c r="BSF1333" s="4" t="s">
        <v>2877</v>
      </c>
      <c r="BSG1333" s="4" t="s">
        <v>2877</v>
      </c>
      <c r="BSH1333" s="4" t="s">
        <v>2877</v>
      </c>
      <c r="BSI1333" s="4" t="s">
        <v>2877</v>
      </c>
      <c r="BSJ1333" s="4" t="s">
        <v>2877</v>
      </c>
      <c r="BSK1333" s="4" t="s">
        <v>2877</v>
      </c>
      <c r="BSL1333" s="4" t="s">
        <v>2877</v>
      </c>
      <c r="BSM1333" s="4" t="s">
        <v>2877</v>
      </c>
      <c r="BSN1333" s="4" t="s">
        <v>2877</v>
      </c>
      <c r="BSO1333" s="4" t="s">
        <v>2877</v>
      </c>
      <c r="BSP1333" s="4" t="s">
        <v>2877</v>
      </c>
      <c r="BSQ1333" s="4" t="s">
        <v>2877</v>
      </c>
      <c r="BSR1333" s="4" t="s">
        <v>2877</v>
      </c>
      <c r="BSS1333" s="4" t="s">
        <v>2877</v>
      </c>
      <c r="BST1333" s="4" t="s">
        <v>2877</v>
      </c>
      <c r="BSU1333" s="4" t="s">
        <v>2877</v>
      </c>
      <c r="BSV1333" s="4" t="s">
        <v>2877</v>
      </c>
      <c r="BSW1333" s="4" t="s">
        <v>2877</v>
      </c>
      <c r="BSX1333" s="4" t="s">
        <v>2877</v>
      </c>
      <c r="BSY1333" s="4" t="s">
        <v>2877</v>
      </c>
      <c r="BSZ1333" s="4" t="s">
        <v>2877</v>
      </c>
      <c r="BTA1333" s="4" t="s">
        <v>2877</v>
      </c>
      <c r="BTB1333" s="4" t="s">
        <v>2877</v>
      </c>
      <c r="BTC1333" s="4" t="s">
        <v>2877</v>
      </c>
      <c r="BTD1333" s="4" t="s">
        <v>2877</v>
      </c>
      <c r="BTE1333" s="4" t="s">
        <v>2877</v>
      </c>
      <c r="BTF1333" s="4" t="s">
        <v>2877</v>
      </c>
      <c r="BTG1333" s="4" t="s">
        <v>2877</v>
      </c>
      <c r="BTH1333" s="4" t="s">
        <v>2877</v>
      </c>
      <c r="BTI1333" s="4" t="s">
        <v>2877</v>
      </c>
      <c r="BTJ1333" s="4" t="s">
        <v>2877</v>
      </c>
      <c r="BTK1333" s="4" t="s">
        <v>2877</v>
      </c>
      <c r="BTL1333" s="4" t="s">
        <v>2877</v>
      </c>
      <c r="BTM1333" s="4" t="s">
        <v>2877</v>
      </c>
      <c r="BTN1333" s="4" t="s">
        <v>2877</v>
      </c>
      <c r="BTO1333" s="4" t="s">
        <v>2877</v>
      </c>
      <c r="BTP1333" s="4" t="s">
        <v>2877</v>
      </c>
      <c r="BTQ1333" s="4" t="s">
        <v>2877</v>
      </c>
      <c r="BTR1333" s="4" t="s">
        <v>2877</v>
      </c>
      <c r="BTS1333" s="4" t="s">
        <v>2877</v>
      </c>
      <c r="BTT1333" s="4" t="s">
        <v>2877</v>
      </c>
      <c r="BTU1333" s="4" t="s">
        <v>2877</v>
      </c>
      <c r="BTV1333" s="4" t="s">
        <v>2877</v>
      </c>
      <c r="BTW1333" s="4" t="s">
        <v>2877</v>
      </c>
      <c r="BTX1333" s="4" t="s">
        <v>2877</v>
      </c>
      <c r="BTY1333" s="4" t="s">
        <v>2877</v>
      </c>
      <c r="BTZ1333" s="4" t="s">
        <v>2877</v>
      </c>
      <c r="BUA1333" s="4" t="s">
        <v>2877</v>
      </c>
      <c r="BUB1333" s="4" t="s">
        <v>2877</v>
      </c>
      <c r="BUC1333" s="4" t="s">
        <v>2877</v>
      </c>
      <c r="BUD1333" s="4" t="s">
        <v>2877</v>
      </c>
      <c r="BUE1333" s="4" t="s">
        <v>2877</v>
      </c>
      <c r="BUF1333" s="4" t="s">
        <v>2877</v>
      </c>
      <c r="BUG1333" s="4" t="s">
        <v>2877</v>
      </c>
      <c r="BUH1333" s="4" t="s">
        <v>2877</v>
      </c>
      <c r="BUI1333" s="4" t="s">
        <v>2877</v>
      </c>
      <c r="BUJ1333" s="4" t="s">
        <v>2877</v>
      </c>
      <c r="BUK1333" s="4" t="s">
        <v>2877</v>
      </c>
      <c r="BUL1333" s="4" t="s">
        <v>2877</v>
      </c>
      <c r="BUM1333" s="4" t="s">
        <v>2877</v>
      </c>
      <c r="BUN1333" s="4" t="s">
        <v>2877</v>
      </c>
      <c r="BUO1333" s="4" t="s">
        <v>2877</v>
      </c>
      <c r="BUP1333" s="4" t="s">
        <v>2877</v>
      </c>
      <c r="BUQ1333" s="4" t="s">
        <v>2877</v>
      </c>
      <c r="BUR1333" s="4" t="s">
        <v>2877</v>
      </c>
      <c r="BUS1333" s="4" t="s">
        <v>2877</v>
      </c>
      <c r="BUT1333" s="4" t="s">
        <v>2877</v>
      </c>
      <c r="BUU1333" s="4" t="s">
        <v>2877</v>
      </c>
      <c r="BUV1333" s="4" t="s">
        <v>2877</v>
      </c>
      <c r="BUW1333" s="4" t="s">
        <v>2877</v>
      </c>
      <c r="BUX1333" s="4" t="s">
        <v>2877</v>
      </c>
      <c r="BUY1333" s="4" t="s">
        <v>2877</v>
      </c>
      <c r="BUZ1333" s="4" t="s">
        <v>2877</v>
      </c>
      <c r="BVA1333" s="4" t="s">
        <v>2877</v>
      </c>
      <c r="BVB1333" s="4" t="s">
        <v>2877</v>
      </c>
      <c r="BVC1333" s="4" t="s">
        <v>2877</v>
      </c>
      <c r="BVD1333" s="4" t="s">
        <v>2877</v>
      </c>
      <c r="BVE1333" s="4" t="s">
        <v>2877</v>
      </c>
      <c r="BVF1333" s="4" t="s">
        <v>2877</v>
      </c>
      <c r="BVG1333" s="4" t="s">
        <v>2877</v>
      </c>
      <c r="BVH1333" s="4" t="s">
        <v>2877</v>
      </c>
      <c r="BVI1333" s="4" t="s">
        <v>2877</v>
      </c>
      <c r="BVJ1333" s="4" t="s">
        <v>2877</v>
      </c>
      <c r="BVK1333" s="4" t="s">
        <v>2877</v>
      </c>
      <c r="BVL1333" s="4" t="s">
        <v>2877</v>
      </c>
      <c r="BVM1333" s="4" t="s">
        <v>2877</v>
      </c>
      <c r="BVN1333" s="4" t="s">
        <v>2877</v>
      </c>
      <c r="BVO1333" s="4" t="s">
        <v>2877</v>
      </c>
      <c r="BVP1333" s="4" t="s">
        <v>2877</v>
      </c>
      <c r="BVQ1333" s="4" t="s">
        <v>2877</v>
      </c>
      <c r="BVR1333" s="4" t="s">
        <v>2877</v>
      </c>
      <c r="BVS1333" s="4" t="s">
        <v>2877</v>
      </c>
      <c r="BVT1333" s="4" t="s">
        <v>2877</v>
      </c>
      <c r="BVU1333" s="4" t="s">
        <v>2877</v>
      </c>
      <c r="BVV1333" s="4" t="s">
        <v>2877</v>
      </c>
      <c r="BVW1333" s="4" t="s">
        <v>2877</v>
      </c>
      <c r="BVX1333" s="4" t="s">
        <v>2877</v>
      </c>
      <c r="BVY1333" s="4" t="s">
        <v>2877</v>
      </c>
      <c r="BVZ1333" s="4" t="s">
        <v>2877</v>
      </c>
      <c r="BWA1333" s="4" t="s">
        <v>2877</v>
      </c>
      <c r="BWB1333" s="4" t="s">
        <v>2877</v>
      </c>
      <c r="BWC1333" s="4" t="s">
        <v>2877</v>
      </c>
      <c r="BWD1333" s="4" t="s">
        <v>2877</v>
      </c>
      <c r="BWE1333" s="4" t="s">
        <v>2877</v>
      </c>
      <c r="BWF1333" s="4" t="s">
        <v>2877</v>
      </c>
      <c r="BWG1333" s="4" t="s">
        <v>2877</v>
      </c>
      <c r="BWH1333" s="4" t="s">
        <v>2877</v>
      </c>
      <c r="BWI1333" s="4" t="s">
        <v>2877</v>
      </c>
      <c r="BWJ1333" s="4" t="s">
        <v>2877</v>
      </c>
      <c r="BWK1333" s="4" t="s">
        <v>2877</v>
      </c>
      <c r="BWL1333" s="4" t="s">
        <v>2877</v>
      </c>
      <c r="BWM1333" s="4" t="s">
        <v>2877</v>
      </c>
      <c r="BWN1333" s="4" t="s">
        <v>2877</v>
      </c>
      <c r="BWO1333" s="4" t="s">
        <v>2877</v>
      </c>
      <c r="BWP1333" s="4" t="s">
        <v>2877</v>
      </c>
      <c r="BWQ1333" s="4" t="s">
        <v>2877</v>
      </c>
      <c r="BWR1333" s="4" t="s">
        <v>2877</v>
      </c>
      <c r="BWS1333" s="4" t="s">
        <v>2877</v>
      </c>
      <c r="BWT1333" s="4" t="s">
        <v>2877</v>
      </c>
      <c r="BWU1333" s="4" t="s">
        <v>2877</v>
      </c>
      <c r="BWV1333" s="4" t="s">
        <v>2877</v>
      </c>
      <c r="BWW1333" s="4" t="s">
        <v>2877</v>
      </c>
      <c r="BWX1333" s="4" t="s">
        <v>2877</v>
      </c>
      <c r="BWY1333" s="4" t="s">
        <v>2877</v>
      </c>
      <c r="BWZ1333" s="4" t="s">
        <v>2877</v>
      </c>
      <c r="BXA1333" s="4" t="s">
        <v>2877</v>
      </c>
      <c r="BXB1333" s="4" t="s">
        <v>2877</v>
      </c>
      <c r="BXC1333" s="4" t="s">
        <v>2877</v>
      </c>
      <c r="BXD1333" s="4" t="s">
        <v>2877</v>
      </c>
      <c r="BXE1333" s="4" t="s">
        <v>2877</v>
      </c>
      <c r="BXF1333" s="4" t="s">
        <v>2877</v>
      </c>
      <c r="BXG1333" s="4" t="s">
        <v>2877</v>
      </c>
      <c r="BXH1333" s="4" t="s">
        <v>2877</v>
      </c>
      <c r="BXI1333" s="4" t="s">
        <v>2877</v>
      </c>
      <c r="BXJ1333" s="4" t="s">
        <v>2877</v>
      </c>
      <c r="BXK1333" s="4" t="s">
        <v>2877</v>
      </c>
      <c r="BXL1333" s="4" t="s">
        <v>2877</v>
      </c>
      <c r="BXM1333" s="4" t="s">
        <v>2877</v>
      </c>
      <c r="BXN1333" s="4" t="s">
        <v>2877</v>
      </c>
      <c r="BXO1333" s="4" t="s">
        <v>2877</v>
      </c>
      <c r="BXP1333" s="4" t="s">
        <v>2877</v>
      </c>
      <c r="BXQ1333" s="4" t="s">
        <v>2877</v>
      </c>
      <c r="BXR1333" s="4" t="s">
        <v>2877</v>
      </c>
      <c r="BXS1333" s="4" t="s">
        <v>2877</v>
      </c>
      <c r="BXT1333" s="4" t="s">
        <v>2877</v>
      </c>
      <c r="BXU1333" s="4" t="s">
        <v>2877</v>
      </c>
      <c r="BXV1333" s="4" t="s">
        <v>2877</v>
      </c>
      <c r="BXW1333" s="4" t="s">
        <v>2877</v>
      </c>
      <c r="BXX1333" s="4" t="s">
        <v>2877</v>
      </c>
      <c r="BXY1333" s="4" t="s">
        <v>2877</v>
      </c>
      <c r="BXZ1333" s="4" t="s">
        <v>2877</v>
      </c>
      <c r="BYA1333" s="4" t="s">
        <v>2877</v>
      </c>
      <c r="BYB1333" s="4" t="s">
        <v>2877</v>
      </c>
      <c r="BYC1333" s="4" t="s">
        <v>2877</v>
      </c>
      <c r="BYD1333" s="4" t="s">
        <v>2877</v>
      </c>
      <c r="BYE1333" s="4" t="s">
        <v>2877</v>
      </c>
      <c r="BYF1333" s="4" t="s">
        <v>2877</v>
      </c>
      <c r="BYG1333" s="4" t="s">
        <v>2877</v>
      </c>
      <c r="BYH1333" s="4" t="s">
        <v>2877</v>
      </c>
      <c r="BYI1333" s="4" t="s">
        <v>2877</v>
      </c>
      <c r="BYJ1333" s="4" t="s">
        <v>2877</v>
      </c>
      <c r="BYK1333" s="4" t="s">
        <v>2877</v>
      </c>
      <c r="BYL1333" s="4" t="s">
        <v>2877</v>
      </c>
      <c r="BYM1333" s="4" t="s">
        <v>2877</v>
      </c>
      <c r="BYN1333" s="4" t="s">
        <v>2877</v>
      </c>
      <c r="BYO1333" s="4" t="s">
        <v>2877</v>
      </c>
      <c r="BYP1333" s="4" t="s">
        <v>2877</v>
      </c>
      <c r="BYQ1333" s="4" t="s">
        <v>2877</v>
      </c>
      <c r="BYR1333" s="4" t="s">
        <v>2877</v>
      </c>
      <c r="BYS1333" s="4" t="s">
        <v>2877</v>
      </c>
      <c r="BYT1333" s="4" t="s">
        <v>2877</v>
      </c>
      <c r="BYU1333" s="4" t="s">
        <v>2877</v>
      </c>
      <c r="BYV1333" s="4" t="s">
        <v>2877</v>
      </c>
      <c r="BYW1333" s="4" t="s">
        <v>2877</v>
      </c>
      <c r="BYX1333" s="4" t="s">
        <v>2877</v>
      </c>
      <c r="BYY1333" s="4" t="s">
        <v>2877</v>
      </c>
      <c r="BYZ1333" s="4" t="s">
        <v>2877</v>
      </c>
      <c r="BZA1333" s="4" t="s">
        <v>2877</v>
      </c>
      <c r="BZB1333" s="4" t="s">
        <v>2877</v>
      </c>
      <c r="BZC1333" s="4" t="s">
        <v>2877</v>
      </c>
      <c r="BZD1333" s="4" t="s">
        <v>2877</v>
      </c>
      <c r="BZE1333" s="4" t="s">
        <v>2877</v>
      </c>
      <c r="BZF1333" s="4" t="s">
        <v>2877</v>
      </c>
      <c r="BZG1333" s="4" t="s">
        <v>2877</v>
      </c>
      <c r="BZH1333" s="4" t="s">
        <v>2877</v>
      </c>
      <c r="BZI1333" s="4" t="s">
        <v>2877</v>
      </c>
      <c r="BZJ1333" s="4" t="s">
        <v>2877</v>
      </c>
      <c r="BZK1333" s="4" t="s">
        <v>2877</v>
      </c>
      <c r="BZL1333" s="4" t="s">
        <v>2877</v>
      </c>
      <c r="BZM1333" s="4" t="s">
        <v>2877</v>
      </c>
      <c r="BZN1333" s="4" t="s">
        <v>2877</v>
      </c>
      <c r="BZO1333" s="4" t="s">
        <v>2877</v>
      </c>
      <c r="BZP1333" s="4" t="s">
        <v>2877</v>
      </c>
      <c r="BZQ1333" s="4" t="s">
        <v>2877</v>
      </c>
      <c r="BZR1333" s="4" t="s">
        <v>2877</v>
      </c>
      <c r="BZS1333" s="4" t="s">
        <v>2877</v>
      </c>
      <c r="BZT1333" s="4" t="s">
        <v>2877</v>
      </c>
      <c r="BZU1333" s="4" t="s">
        <v>2877</v>
      </c>
      <c r="BZV1333" s="4" t="s">
        <v>2877</v>
      </c>
      <c r="BZW1333" s="4" t="s">
        <v>2877</v>
      </c>
      <c r="BZX1333" s="4" t="s">
        <v>2877</v>
      </c>
      <c r="BZY1333" s="4" t="s">
        <v>2877</v>
      </c>
      <c r="BZZ1333" s="4" t="s">
        <v>2877</v>
      </c>
      <c r="CAA1333" s="4" t="s">
        <v>2877</v>
      </c>
      <c r="CAB1333" s="4" t="s">
        <v>2877</v>
      </c>
      <c r="CAC1333" s="4" t="s">
        <v>2877</v>
      </c>
      <c r="CAD1333" s="4" t="s">
        <v>2877</v>
      </c>
      <c r="CAE1333" s="4" t="s">
        <v>2877</v>
      </c>
      <c r="CAF1333" s="4" t="s">
        <v>2877</v>
      </c>
      <c r="CAG1333" s="4" t="s">
        <v>2877</v>
      </c>
      <c r="CAH1333" s="4" t="s">
        <v>2877</v>
      </c>
      <c r="CAI1333" s="4" t="s">
        <v>2877</v>
      </c>
      <c r="CAJ1333" s="4" t="s">
        <v>2877</v>
      </c>
      <c r="CAK1333" s="4" t="s">
        <v>2877</v>
      </c>
      <c r="CAL1333" s="4" t="s">
        <v>2877</v>
      </c>
      <c r="CAM1333" s="4" t="s">
        <v>2877</v>
      </c>
      <c r="CAN1333" s="4" t="s">
        <v>2877</v>
      </c>
      <c r="CAO1333" s="4" t="s">
        <v>2877</v>
      </c>
      <c r="CAP1333" s="4" t="s">
        <v>2877</v>
      </c>
      <c r="CAQ1333" s="4" t="s">
        <v>2877</v>
      </c>
      <c r="CAR1333" s="4" t="s">
        <v>2877</v>
      </c>
      <c r="CAS1333" s="4" t="s">
        <v>2877</v>
      </c>
      <c r="CAT1333" s="4" t="s">
        <v>2877</v>
      </c>
      <c r="CAU1333" s="4" t="s">
        <v>2877</v>
      </c>
      <c r="CAV1333" s="4" t="s">
        <v>2877</v>
      </c>
      <c r="CAW1333" s="4" t="s">
        <v>2877</v>
      </c>
      <c r="CAX1333" s="4" t="s">
        <v>2877</v>
      </c>
      <c r="CAY1333" s="4" t="s">
        <v>2877</v>
      </c>
      <c r="CAZ1333" s="4" t="s">
        <v>2877</v>
      </c>
      <c r="CBA1333" s="4" t="s">
        <v>2877</v>
      </c>
      <c r="CBB1333" s="4" t="s">
        <v>2877</v>
      </c>
      <c r="CBC1333" s="4" t="s">
        <v>2877</v>
      </c>
      <c r="CBD1333" s="4" t="s">
        <v>2877</v>
      </c>
      <c r="CBE1333" s="4" t="s">
        <v>2877</v>
      </c>
      <c r="CBF1333" s="4" t="s">
        <v>2877</v>
      </c>
      <c r="CBG1333" s="4" t="s">
        <v>2877</v>
      </c>
      <c r="CBH1333" s="4" t="s">
        <v>2877</v>
      </c>
      <c r="CBI1333" s="4" t="s">
        <v>2877</v>
      </c>
      <c r="CBJ1333" s="4" t="s">
        <v>2877</v>
      </c>
      <c r="CBK1333" s="4" t="s">
        <v>2877</v>
      </c>
      <c r="CBL1333" s="4" t="s">
        <v>2877</v>
      </c>
      <c r="CBM1333" s="4" t="s">
        <v>2877</v>
      </c>
      <c r="CBN1333" s="4" t="s">
        <v>2877</v>
      </c>
      <c r="CBO1333" s="4" t="s">
        <v>2877</v>
      </c>
      <c r="CBP1333" s="4" t="s">
        <v>2877</v>
      </c>
      <c r="CBQ1333" s="4" t="s">
        <v>2877</v>
      </c>
      <c r="CBR1333" s="4" t="s">
        <v>2877</v>
      </c>
      <c r="CBS1333" s="4" t="s">
        <v>2877</v>
      </c>
      <c r="CBT1333" s="4" t="s">
        <v>2877</v>
      </c>
      <c r="CBU1333" s="4" t="s">
        <v>2877</v>
      </c>
      <c r="CBV1333" s="4" t="s">
        <v>2877</v>
      </c>
      <c r="CBW1333" s="4" t="s">
        <v>2877</v>
      </c>
      <c r="CBX1333" s="4" t="s">
        <v>2877</v>
      </c>
      <c r="CBY1333" s="4" t="s">
        <v>2877</v>
      </c>
      <c r="CBZ1333" s="4" t="s">
        <v>2877</v>
      </c>
      <c r="CCA1333" s="4" t="s">
        <v>2877</v>
      </c>
      <c r="CCB1333" s="4" t="s">
        <v>2877</v>
      </c>
      <c r="CCC1333" s="4" t="s">
        <v>2877</v>
      </c>
      <c r="CCD1333" s="4" t="s">
        <v>2877</v>
      </c>
      <c r="CCE1333" s="4" t="s">
        <v>2877</v>
      </c>
      <c r="CCF1333" s="4" t="s">
        <v>2877</v>
      </c>
      <c r="CCG1333" s="4" t="s">
        <v>2877</v>
      </c>
      <c r="CCH1333" s="4" t="s">
        <v>2877</v>
      </c>
      <c r="CCI1333" s="4" t="s">
        <v>2877</v>
      </c>
      <c r="CCJ1333" s="4" t="s">
        <v>2877</v>
      </c>
      <c r="CCK1333" s="4" t="s">
        <v>2877</v>
      </c>
      <c r="CCL1333" s="4" t="s">
        <v>2877</v>
      </c>
      <c r="CCM1333" s="4" t="s">
        <v>2877</v>
      </c>
      <c r="CCN1333" s="4" t="s">
        <v>2877</v>
      </c>
      <c r="CCO1333" s="4" t="s">
        <v>2877</v>
      </c>
      <c r="CCP1333" s="4" t="s">
        <v>2877</v>
      </c>
      <c r="CCQ1333" s="4" t="s">
        <v>2877</v>
      </c>
      <c r="CCR1333" s="4" t="s">
        <v>2877</v>
      </c>
      <c r="CCS1333" s="4" t="s">
        <v>2877</v>
      </c>
      <c r="CCT1333" s="4" t="s">
        <v>2877</v>
      </c>
      <c r="CCU1333" s="4" t="s">
        <v>2877</v>
      </c>
      <c r="CCV1333" s="4" t="s">
        <v>2877</v>
      </c>
      <c r="CCW1333" s="4" t="s">
        <v>2877</v>
      </c>
      <c r="CCX1333" s="4" t="s">
        <v>2877</v>
      </c>
      <c r="CCY1333" s="4" t="s">
        <v>2877</v>
      </c>
      <c r="CCZ1333" s="4" t="s">
        <v>2877</v>
      </c>
      <c r="CDA1333" s="4" t="s">
        <v>2877</v>
      </c>
      <c r="CDB1333" s="4" t="s">
        <v>2877</v>
      </c>
      <c r="CDC1333" s="4" t="s">
        <v>2877</v>
      </c>
      <c r="CDD1333" s="4" t="s">
        <v>2877</v>
      </c>
      <c r="CDE1333" s="4" t="s">
        <v>2877</v>
      </c>
      <c r="CDF1333" s="4" t="s">
        <v>2877</v>
      </c>
      <c r="CDG1333" s="4" t="s">
        <v>2877</v>
      </c>
      <c r="CDH1333" s="4" t="s">
        <v>2877</v>
      </c>
      <c r="CDI1333" s="4" t="s">
        <v>2877</v>
      </c>
      <c r="CDJ1333" s="4" t="s">
        <v>2877</v>
      </c>
      <c r="CDK1333" s="4" t="s">
        <v>2877</v>
      </c>
      <c r="CDL1333" s="4" t="s">
        <v>2877</v>
      </c>
      <c r="CDM1333" s="4" t="s">
        <v>2877</v>
      </c>
      <c r="CDN1333" s="4" t="s">
        <v>2877</v>
      </c>
      <c r="CDO1333" s="4" t="s">
        <v>2877</v>
      </c>
      <c r="CDP1333" s="4" t="s">
        <v>2877</v>
      </c>
      <c r="CDQ1333" s="4" t="s">
        <v>2877</v>
      </c>
      <c r="CDR1333" s="4" t="s">
        <v>2877</v>
      </c>
      <c r="CDS1333" s="4" t="s">
        <v>2877</v>
      </c>
      <c r="CDT1333" s="4" t="s">
        <v>2877</v>
      </c>
      <c r="CDU1333" s="4" t="s">
        <v>2877</v>
      </c>
      <c r="CDV1333" s="4" t="s">
        <v>2877</v>
      </c>
      <c r="CDW1333" s="4" t="s">
        <v>2877</v>
      </c>
      <c r="CDX1333" s="4" t="s">
        <v>2877</v>
      </c>
      <c r="CDY1333" s="4" t="s">
        <v>2877</v>
      </c>
      <c r="CDZ1333" s="4" t="s">
        <v>2877</v>
      </c>
      <c r="CEA1333" s="4" t="s">
        <v>2877</v>
      </c>
      <c r="CEB1333" s="4" t="s">
        <v>2877</v>
      </c>
      <c r="CEC1333" s="4" t="s">
        <v>2877</v>
      </c>
      <c r="CED1333" s="4" t="s">
        <v>2877</v>
      </c>
      <c r="CEE1333" s="4" t="s">
        <v>2877</v>
      </c>
      <c r="CEF1333" s="4" t="s">
        <v>2877</v>
      </c>
      <c r="CEG1333" s="4" t="s">
        <v>2877</v>
      </c>
      <c r="CEH1333" s="4" t="s">
        <v>2877</v>
      </c>
      <c r="CEI1333" s="4" t="s">
        <v>2877</v>
      </c>
      <c r="CEJ1333" s="4" t="s">
        <v>2877</v>
      </c>
      <c r="CEK1333" s="4" t="s">
        <v>2877</v>
      </c>
      <c r="CEL1333" s="4" t="s">
        <v>2877</v>
      </c>
      <c r="CEM1333" s="4" t="s">
        <v>2877</v>
      </c>
      <c r="CEN1333" s="4" t="s">
        <v>2877</v>
      </c>
      <c r="CEO1333" s="4" t="s">
        <v>2877</v>
      </c>
      <c r="CEP1333" s="4" t="s">
        <v>2877</v>
      </c>
      <c r="CEQ1333" s="4" t="s">
        <v>2877</v>
      </c>
      <c r="CER1333" s="4" t="s">
        <v>2877</v>
      </c>
      <c r="CES1333" s="4" t="s">
        <v>2877</v>
      </c>
      <c r="CET1333" s="4" t="s">
        <v>2877</v>
      </c>
      <c r="CEU1333" s="4" t="s">
        <v>2877</v>
      </c>
      <c r="CEV1333" s="4" t="s">
        <v>2877</v>
      </c>
      <c r="CEW1333" s="4" t="s">
        <v>2877</v>
      </c>
      <c r="CEX1333" s="4" t="s">
        <v>2877</v>
      </c>
      <c r="CEY1333" s="4" t="s">
        <v>2877</v>
      </c>
      <c r="CEZ1333" s="4" t="s">
        <v>2877</v>
      </c>
      <c r="CFA1333" s="4" t="s">
        <v>2877</v>
      </c>
      <c r="CFB1333" s="4" t="s">
        <v>2877</v>
      </c>
      <c r="CFC1333" s="4" t="s">
        <v>2877</v>
      </c>
      <c r="CFD1333" s="4" t="s">
        <v>2877</v>
      </c>
      <c r="CFE1333" s="4" t="s">
        <v>2877</v>
      </c>
      <c r="CFF1333" s="4" t="s">
        <v>2877</v>
      </c>
      <c r="CFG1333" s="4" t="s">
        <v>2877</v>
      </c>
      <c r="CFH1333" s="4" t="s">
        <v>2877</v>
      </c>
      <c r="CFI1333" s="4" t="s">
        <v>2877</v>
      </c>
      <c r="CFJ1333" s="4" t="s">
        <v>2877</v>
      </c>
      <c r="CFK1333" s="4" t="s">
        <v>2877</v>
      </c>
      <c r="CFL1333" s="4" t="s">
        <v>2877</v>
      </c>
      <c r="CFM1333" s="4" t="s">
        <v>2877</v>
      </c>
      <c r="CFN1333" s="4" t="s">
        <v>2877</v>
      </c>
      <c r="CFO1333" s="4" t="s">
        <v>2877</v>
      </c>
      <c r="CFP1333" s="4" t="s">
        <v>2877</v>
      </c>
      <c r="CFQ1333" s="4" t="s">
        <v>2877</v>
      </c>
      <c r="CFR1333" s="4" t="s">
        <v>2877</v>
      </c>
      <c r="CFS1333" s="4" t="s">
        <v>2877</v>
      </c>
      <c r="CFT1333" s="4" t="s">
        <v>2877</v>
      </c>
      <c r="CFU1333" s="4" t="s">
        <v>2877</v>
      </c>
      <c r="CFV1333" s="4" t="s">
        <v>2877</v>
      </c>
      <c r="CFW1333" s="4" t="s">
        <v>2877</v>
      </c>
      <c r="CFX1333" s="4" t="s">
        <v>2877</v>
      </c>
      <c r="CFY1333" s="4" t="s">
        <v>2877</v>
      </c>
      <c r="CFZ1333" s="4" t="s">
        <v>2877</v>
      </c>
      <c r="CGA1333" s="4" t="s">
        <v>2877</v>
      </c>
      <c r="CGB1333" s="4" t="s">
        <v>2877</v>
      </c>
      <c r="CGC1333" s="4" t="s">
        <v>2877</v>
      </c>
      <c r="CGD1333" s="4" t="s">
        <v>2877</v>
      </c>
      <c r="CGE1333" s="4" t="s">
        <v>2877</v>
      </c>
      <c r="CGF1333" s="4" t="s">
        <v>2877</v>
      </c>
      <c r="CGG1333" s="4" t="s">
        <v>2877</v>
      </c>
      <c r="CGH1333" s="4" t="s">
        <v>2877</v>
      </c>
      <c r="CGI1333" s="4" t="s">
        <v>2877</v>
      </c>
      <c r="CGJ1333" s="4" t="s">
        <v>2877</v>
      </c>
      <c r="CGK1333" s="4" t="s">
        <v>2877</v>
      </c>
      <c r="CGL1333" s="4" t="s">
        <v>2877</v>
      </c>
      <c r="CGM1333" s="4" t="s">
        <v>2877</v>
      </c>
      <c r="CGN1333" s="4" t="s">
        <v>2877</v>
      </c>
      <c r="CGO1333" s="4" t="s">
        <v>2877</v>
      </c>
      <c r="CGP1333" s="4" t="s">
        <v>2877</v>
      </c>
      <c r="CGQ1333" s="4" t="s">
        <v>2877</v>
      </c>
      <c r="CGR1333" s="4" t="s">
        <v>2877</v>
      </c>
      <c r="CGS1333" s="4" t="s">
        <v>2877</v>
      </c>
      <c r="CGT1333" s="4" t="s">
        <v>2877</v>
      </c>
      <c r="CGU1333" s="4" t="s">
        <v>2877</v>
      </c>
      <c r="CGV1333" s="4" t="s">
        <v>2877</v>
      </c>
      <c r="CGW1333" s="4" t="s">
        <v>2877</v>
      </c>
      <c r="CGX1333" s="4" t="s">
        <v>2877</v>
      </c>
      <c r="CGY1333" s="4" t="s">
        <v>2877</v>
      </c>
      <c r="CGZ1333" s="4" t="s">
        <v>2877</v>
      </c>
      <c r="CHA1333" s="4" t="s">
        <v>2877</v>
      </c>
      <c r="CHB1333" s="4" t="s">
        <v>2877</v>
      </c>
      <c r="CHC1333" s="4" t="s">
        <v>2877</v>
      </c>
      <c r="CHD1333" s="4" t="s">
        <v>2877</v>
      </c>
      <c r="CHE1333" s="4" t="s">
        <v>2877</v>
      </c>
      <c r="CHF1333" s="4" t="s">
        <v>2877</v>
      </c>
      <c r="CHG1333" s="4" t="s">
        <v>2877</v>
      </c>
      <c r="CHH1333" s="4" t="s">
        <v>2877</v>
      </c>
      <c r="CHI1333" s="4" t="s">
        <v>2877</v>
      </c>
      <c r="CHJ1333" s="4" t="s">
        <v>2877</v>
      </c>
      <c r="CHK1333" s="4" t="s">
        <v>2877</v>
      </c>
      <c r="CHL1333" s="4" t="s">
        <v>2877</v>
      </c>
      <c r="CHM1333" s="4" t="s">
        <v>2877</v>
      </c>
      <c r="CHN1333" s="4" t="s">
        <v>2877</v>
      </c>
      <c r="CHO1333" s="4" t="s">
        <v>2877</v>
      </c>
      <c r="CHP1333" s="4" t="s">
        <v>2877</v>
      </c>
      <c r="CHQ1333" s="4" t="s">
        <v>2877</v>
      </c>
      <c r="CHR1333" s="4" t="s">
        <v>2877</v>
      </c>
      <c r="CHS1333" s="4" t="s">
        <v>2877</v>
      </c>
      <c r="CHT1333" s="4" t="s">
        <v>2877</v>
      </c>
      <c r="CHU1333" s="4" t="s">
        <v>2877</v>
      </c>
      <c r="CHV1333" s="4" t="s">
        <v>2877</v>
      </c>
      <c r="CHW1333" s="4" t="s">
        <v>2877</v>
      </c>
      <c r="CHX1333" s="4" t="s">
        <v>2877</v>
      </c>
      <c r="CHY1333" s="4" t="s">
        <v>2877</v>
      </c>
      <c r="CHZ1333" s="4" t="s">
        <v>2877</v>
      </c>
      <c r="CIA1333" s="4" t="s">
        <v>2877</v>
      </c>
      <c r="CIB1333" s="4" t="s">
        <v>2877</v>
      </c>
      <c r="CIC1333" s="4" t="s">
        <v>2877</v>
      </c>
      <c r="CID1333" s="4" t="s">
        <v>2877</v>
      </c>
      <c r="CIE1333" s="4" t="s">
        <v>2877</v>
      </c>
      <c r="CIF1333" s="4" t="s">
        <v>2877</v>
      </c>
      <c r="CIG1333" s="4" t="s">
        <v>2877</v>
      </c>
      <c r="CIH1333" s="4" t="s">
        <v>2877</v>
      </c>
      <c r="CII1333" s="4" t="s">
        <v>2877</v>
      </c>
      <c r="CIJ1333" s="4" t="s">
        <v>2877</v>
      </c>
      <c r="CIK1333" s="4" t="s">
        <v>2877</v>
      </c>
      <c r="CIL1333" s="4" t="s">
        <v>2877</v>
      </c>
      <c r="CIM1333" s="4" t="s">
        <v>2877</v>
      </c>
      <c r="CIN1333" s="4" t="s">
        <v>2877</v>
      </c>
      <c r="CIO1333" s="4" t="s">
        <v>2877</v>
      </c>
      <c r="CIP1333" s="4" t="s">
        <v>2877</v>
      </c>
      <c r="CIQ1333" s="4" t="s">
        <v>2877</v>
      </c>
      <c r="CIR1333" s="4" t="s">
        <v>2877</v>
      </c>
      <c r="CIS1333" s="4" t="s">
        <v>2877</v>
      </c>
      <c r="CIT1333" s="4" t="s">
        <v>2877</v>
      </c>
      <c r="CIU1333" s="4" t="s">
        <v>2877</v>
      </c>
      <c r="CIV1333" s="4" t="s">
        <v>2877</v>
      </c>
      <c r="CIW1333" s="4" t="s">
        <v>2877</v>
      </c>
      <c r="CIX1333" s="4" t="s">
        <v>2877</v>
      </c>
      <c r="CIY1333" s="4" t="s">
        <v>2877</v>
      </c>
      <c r="CIZ1333" s="4" t="s">
        <v>2877</v>
      </c>
      <c r="CJA1333" s="4" t="s">
        <v>2877</v>
      </c>
      <c r="CJB1333" s="4" t="s">
        <v>2877</v>
      </c>
      <c r="CJC1333" s="4" t="s">
        <v>2877</v>
      </c>
      <c r="CJD1333" s="4" t="s">
        <v>2877</v>
      </c>
      <c r="CJE1333" s="4" t="s">
        <v>2877</v>
      </c>
      <c r="CJF1333" s="4" t="s">
        <v>2877</v>
      </c>
      <c r="CJG1333" s="4" t="s">
        <v>2877</v>
      </c>
      <c r="CJH1333" s="4" t="s">
        <v>2877</v>
      </c>
      <c r="CJI1333" s="4" t="s">
        <v>2877</v>
      </c>
      <c r="CJJ1333" s="4" t="s">
        <v>2877</v>
      </c>
      <c r="CJK1333" s="4" t="s">
        <v>2877</v>
      </c>
      <c r="CJL1333" s="4" t="s">
        <v>2877</v>
      </c>
      <c r="CJM1333" s="4" t="s">
        <v>2877</v>
      </c>
      <c r="CJN1333" s="4" t="s">
        <v>2877</v>
      </c>
      <c r="CJO1333" s="4" t="s">
        <v>2877</v>
      </c>
      <c r="CJP1333" s="4" t="s">
        <v>2877</v>
      </c>
      <c r="CJQ1333" s="4" t="s">
        <v>2877</v>
      </c>
      <c r="CJR1333" s="4" t="s">
        <v>2877</v>
      </c>
      <c r="CJS1333" s="4" t="s">
        <v>2877</v>
      </c>
      <c r="CJT1333" s="4" t="s">
        <v>2877</v>
      </c>
      <c r="CJU1333" s="4" t="s">
        <v>2877</v>
      </c>
      <c r="CJV1333" s="4" t="s">
        <v>2877</v>
      </c>
      <c r="CJW1333" s="4" t="s">
        <v>2877</v>
      </c>
      <c r="CJX1333" s="4" t="s">
        <v>2877</v>
      </c>
      <c r="CJY1333" s="4" t="s">
        <v>2877</v>
      </c>
      <c r="CJZ1333" s="4" t="s">
        <v>2877</v>
      </c>
      <c r="CKA1333" s="4" t="s">
        <v>2877</v>
      </c>
      <c r="CKB1333" s="4" t="s">
        <v>2877</v>
      </c>
      <c r="CKC1333" s="4" t="s">
        <v>2877</v>
      </c>
      <c r="CKD1333" s="4" t="s">
        <v>2877</v>
      </c>
      <c r="CKE1333" s="4" t="s">
        <v>2877</v>
      </c>
      <c r="CKF1333" s="4" t="s">
        <v>2877</v>
      </c>
      <c r="CKG1333" s="4" t="s">
        <v>2877</v>
      </c>
      <c r="CKH1333" s="4" t="s">
        <v>2877</v>
      </c>
      <c r="CKI1333" s="4" t="s">
        <v>2877</v>
      </c>
      <c r="CKJ1333" s="4" t="s">
        <v>2877</v>
      </c>
      <c r="CKK1333" s="4" t="s">
        <v>2877</v>
      </c>
      <c r="CKL1333" s="4" t="s">
        <v>2877</v>
      </c>
      <c r="CKM1333" s="4" t="s">
        <v>2877</v>
      </c>
      <c r="CKN1333" s="4" t="s">
        <v>2877</v>
      </c>
      <c r="CKO1333" s="4" t="s">
        <v>2877</v>
      </c>
      <c r="CKP1333" s="4" t="s">
        <v>2877</v>
      </c>
      <c r="CKQ1333" s="4" t="s">
        <v>2877</v>
      </c>
      <c r="CKR1333" s="4" t="s">
        <v>2877</v>
      </c>
      <c r="CKS1333" s="4" t="s">
        <v>2877</v>
      </c>
      <c r="CKT1333" s="4" t="s">
        <v>2877</v>
      </c>
      <c r="CKU1333" s="4" t="s">
        <v>2877</v>
      </c>
      <c r="CKV1333" s="4" t="s">
        <v>2877</v>
      </c>
      <c r="CKW1333" s="4" t="s">
        <v>2877</v>
      </c>
      <c r="CKX1333" s="4" t="s">
        <v>2877</v>
      </c>
      <c r="CKY1333" s="4" t="s">
        <v>2877</v>
      </c>
      <c r="CKZ1333" s="4" t="s">
        <v>2877</v>
      </c>
      <c r="CLA1333" s="4" t="s">
        <v>2877</v>
      </c>
      <c r="CLB1333" s="4" t="s">
        <v>2877</v>
      </c>
      <c r="CLC1333" s="4" t="s">
        <v>2877</v>
      </c>
      <c r="CLD1333" s="4" t="s">
        <v>2877</v>
      </c>
      <c r="CLE1333" s="4" t="s">
        <v>2877</v>
      </c>
      <c r="CLF1333" s="4" t="s">
        <v>2877</v>
      </c>
      <c r="CLG1333" s="4" t="s">
        <v>2877</v>
      </c>
      <c r="CLH1333" s="4" t="s">
        <v>2877</v>
      </c>
      <c r="CLI1333" s="4" t="s">
        <v>2877</v>
      </c>
      <c r="CLJ1333" s="4" t="s">
        <v>2877</v>
      </c>
      <c r="CLK1333" s="4" t="s">
        <v>2877</v>
      </c>
      <c r="CLL1333" s="4" t="s">
        <v>2877</v>
      </c>
      <c r="CLM1333" s="4" t="s">
        <v>2877</v>
      </c>
      <c r="CLN1333" s="4" t="s">
        <v>2877</v>
      </c>
      <c r="CLO1333" s="4" t="s">
        <v>2877</v>
      </c>
      <c r="CLP1333" s="4" t="s">
        <v>2877</v>
      </c>
      <c r="CLQ1333" s="4" t="s">
        <v>2877</v>
      </c>
      <c r="CLR1333" s="4" t="s">
        <v>2877</v>
      </c>
      <c r="CLS1333" s="4" t="s">
        <v>2877</v>
      </c>
      <c r="CLT1333" s="4" t="s">
        <v>2877</v>
      </c>
      <c r="CLU1333" s="4" t="s">
        <v>2877</v>
      </c>
      <c r="CLV1333" s="4" t="s">
        <v>2877</v>
      </c>
      <c r="CLW1333" s="4" t="s">
        <v>2877</v>
      </c>
      <c r="CLX1333" s="4" t="s">
        <v>2877</v>
      </c>
      <c r="CLY1333" s="4" t="s">
        <v>2877</v>
      </c>
      <c r="CLZ1333" s="4" t="s">
        <v>2877</v>
      </c>
      <c r="CMA1333" s="4" t="s">
        <v>2877</v>
      </c>
      <c r="CMB1333" s="4" t="s">
        <v>2877</v>
      </c>
      <c r="CMC1333" s="4" t="s">
        <v>2877</v>
      </c>
      <c r="CMD1333" s="4" t="s">
        <v>2877</v>
      </c>
      <c r="CME1333" s="4" t="s">
        <v>2877</v>
      </c>
      <c r="CMF1333" s="4" t="s">
        <v>2877</v>
      </c>
      <c r="CMG1333" s="4" t="s">
        <v>2877</v>
      </c>
      <c r="CMH1333" s="4" t="s">
        <v>2877</v>
      </c>
      <c r="CMI1333" s="4" t="s">
        <v>2877</v>
      </c>
      <c r="CMJ1333" s="4" t="s">
        <v>2877</v>
      </c>
      <c r="CMK1333" s="4" t="s">
        <v>2877</v>
      </c>
      <c r="CML1333" s="4" t="s">
        <v>2877</v>
      </c>
      <c r="CMM1333" s="4" t="s">
        <v>2877</v>
      </c>
      <c r="CMN1333" s="4" t="s">
        <v>2877</v>
      </c>
      <c r="CMO1333" s="4" t="s">
        <v>2877</v>
      </c>
      <c r="CMP1333" s="4" t="s">
        <v>2877</v>
      </c>
      <c r="CMQ1333" s="4" t="s">
        <v>2877</v>
      </c>
      <c r="CMR1333" s="4" t="s">
        <v>2877</v>
      </c>
      <c r="CMS1333" s="4" t="s">
        <v>2877</v>
      </c>
      <c r="CMT1333" s="4" t="s">
        <v>2877</v>
      </c>
      <c r="CMU1333" s="4" t="s">
        <v>2877</v>
      </c>
      <c r="CMV1333" s="4" t="s">
        <v>2877</v>
      </c>
      <c r="CMW1333" s="4" t="s">
        <v>2877</v>
      </c>
      <c r="CMX1333" s="4" t="s">
        <v>2877</v>
      </c>
      <c r="CMY1333" s="4" t="s">
        <v>2877</v>
      </c>
      <c r="CMZ1333" s="4" t="s">
        <v>2877</v>
      </c>
      <c r="CNA1333" s="4" t="s">
        <v>2877</v>
      </c>
      <c r="CNB1333" s="4" t="s">
        <v>2877</v>
      </c>
      <c r="CNC1333" s="4" t="s">
        <v>2877</v>
      </c>
      <c r="CND1333" s="4" t="s">
        <v>2877</v>
      </c>
      <c r="CNE1333" s="4" t="s">
        <v>2877</v>
      </c>
      <c r="CNF1333" s="4" t="s">
        <v>2877</v>
      </c>
      <c r="CNG1333" s="4" t="s">
        <v>2877</v>
      </c>
      <c r="CNH1333" s="4" t="s">
        <v>2877</v>
      </c>
      <c r="CNI1333" s="4" t="s">
        <v>2877</v>
      </c>
      <c r="CNJ1333" s="4" t="s">
        <v>2877</v>
      </c>
      <c r="CNK1333" s="4" t="s">
        <v>2877</v>
      </c>
      <c r="CNL1333" s="4" t="s">
        <v>2877</v>
      </c>
      <c r="CNM1333" s="4" t="s">
        <v>2877</v>
      </c>
      <c r="CNN1333" s="4" t="s">
        <v>2877</v>
      </c>
      <c r="CNO1333" s="4" t="s">
        <v>2877</v>
      </c>
      <c r="CNP1333" s="4" t="s">
        <v>2877</v>
      </c>
      <c r="CNQ1333" s="4" t="s">
        <v>2877</v>
      </c>
      <c r="CNR1333" s="4" t="s">
        <v>2877</v>
      </c>
      <c r="CNS1333" s="4" t="s">
        <v>2877</v>
      </c>
      <c r="CNT1333" s="4" t="s">
        <v>2877</v>
      </c>
      <c r="CNU1333" s="4" t="s">
        <v>2877</v>
      </c>
      <c r="CNV1333" s="4" t="s">
        <v>2877</v>
      </c>
      <c r="CNW1333" s="4" t="s">
        <v>2877</v>
      </c>
      <c r="CNX1333" s="4" t="s">
        <v>2877</v>
      </c>
      <c r="CNY1333" s="4" t="s">
        <v>2877</v>
      </c>
      <c r="CNZ1333" s="4" t="s">
        <v>2877</v>
      </c>
      <c r="COA1333" s="4" t="s">
        <v>2877</v>
      </c>
      <c r="COB1333" s="4" t="s">
        <v>2877</v>
      </c>
      <c r="COC1333" s="4" t="s">
        <v>2877</v>
      </c>
      <c r="COD1333" s="4" t="s">
        <v>2877</v>
      </c>
      <c r="COE1333" s="4" t="s">
        <v>2877</v>
      </c>
      <c r="COF1333" s="4" t="s">
        <v>2877</v>
      </c>
      <c r="COG1333" s="4" t="s">
        <v>2877</v>
      </c>
      <c r="COH1333" s="4" t="s">
        <v>2877</v>
      </c>
      <c r="COI1333" s="4" t="s">
        <v>2877</v>
      </c>
      <c r="COJ1333" s="4" t="s">
        <v>2877</v>
      </c>
      <c r="COK1333" s="4" t="s">
        <v>2877</v>
      </c>
      <c r="COL1333" s="4" t="s">
        <v>2877</v>
      </c>
      <c r="COM1333" s="4" t="s">
        <v>2877</v>
      </c>
      <c r="CON1333" s="4" t="s">
        <v>2877</v>
      </c>
      <c r="COO1333" s="4" t="s">
        <v>2877</v>
      </c>
      <c r="COP1333" s="4" t="s">
        <v>2877</v>
      </c>
      <c r="COQ1333" s="4" t="s">
        <v>2877</v>
      </c>
      <c r="COR1333" s="4" t="s">
        <v>2877</v>
      </c>
      <c r="COS1333" s="4" t="s">
        <v>2877</v>
      </c>
      <c r="COT1333" s="4" t="s">
        <v>2877</v>
      </c>
      <c r="COU1333" s="4" t="s">
        <v>2877</v>
      </c>
      <c r="COV1333" s="4" t="s">
        <v>2877</v>
      </c>
      <c r="COW1333" s="4" t="s">
        <v>2877</v>
      </c>
      <c r="COX1333" s="4" t="s">
        <v>2877</v>
      </c>
      <c r="COY1333" s="4" t="s">
        <v>2877</v>
      </c>
      <c r="COZ1333" s="4" t="s">
        <v>2877</v>
      </c>
      <c r="CPA1333" s="4" t="s">
        <v>2877</v>
      </c>
      <c r="CPB1333" s="4" t="s">
        <v>2877</v>
      </c>
      <c r="CPC1333" s="4" t="s">
        <v>2877</v>
      </c>
      <c r="CPD1333" s="4" t="s">
        <v>2877</v>
      </c>
      <c r="CPE1333" s="4" t="s">
        <v>2877</v>
      </c>
      <c r="CPF1333" s="4" t="s">
        <v>2877</v>
      </c>
      <c r="CPG1333" s="4" t="s">
        <v>2877</v>
      </c>
      <c r="CPH1333" s="4" t="s">
        <v>2877</v>
      </c>
      <c r="CPI1333" s="4" t="s">
        <v>2877</v>
      </c>
      <c r="CPJ1333" s="4" t="s">
        <v>2877</v>
      </c>
      <c r="CPK1333" s="4" t="s">
        <v>2877</v>
      </c>
      <c r="CPL1333" s="4" t="s">
        <v>2877</v>
      </c>
      <c r="CPM1333" s="4" t="s">
        <v>2877</v>
      </c>
      <c r="CPN1333" s="4" t="s">
        <v>2877</v>
      </c>
      <c r="CPO1333" s="4" t="s">
        <v>2877</v>
      </c>
      <c r="CPP1333" s="4" t="s">
        <v>2877</v>
      </c>
      <c r="CPQ1333" s="4" t="s">
        <v>2877</v>
      </c>
      <c r="CPR1333" s="4" t="s">
        <v>2877</v>
      </c>
      <c r="CPS1333" s="4" t="s">
        <v>2877</v>
      </c>
      <c r="CPT1333" s="4" t="s">
        <v>2877</v>
      </c>
      <c r="CPU1333" s="4" t="s">
        <v>2877</v>
      </c>
      <c r="CPV1333" s="4" t="s">
        <v>2877</v>
      </c>
      <c r="CPW1333" s="4" t="s">
        <v>2877</v>
      </c>
      <c r="CPX1333" s="4" t="s">
        <v>2877</v>
      </c>
      <c r="CPY1333" s="4" t="s">
        <v>2877</v>
      </c>
      <c r="CPZ1333" s="4" t="s">
        <v>2877</v>
      </c>
      <c r="CQA1333" s="4" t="s">
        <v>2877</v>
      </c>
      <c r="CQB1333" s="4" t="s">
        <v>2877</v>
      </c>
      <c r="CQC1333" s="4" t="s">
        <v>2877</v>
      </c>
      <c r="CQD1333" s="4" t="s">
        <v>2877</v>
      </c>
      <c r="CQE1333" s="4" t="s">
        <v>2877</v>
      </c>
      <c r="CQF1333" s="4" t="s">
        <v>2877</v>
      </c>
      <c r="CQG1333" s="4" t="s">
        <v>2877</v>
      </c>
      <c r="CQH1333" s="4" t="s">
        <v>2877</v>
      </c>
      <c r="CQI1333" s="4" t="s">
        <v>2877</v>
      </c>
      <c r="CQJ1333" s="4" t="s">
        <v>2877</v>
      </c>
      <c r="CQK1333" s="4" t="s">
        <v>2877</v>
      </c>
      <c r="CQL1333" s="4" t="s">
        <v>2877</v>
      </c>
      <c r="CQM1333" s="4" t="s">
        <v>2877</v>
      </c>
      <c r="CQN1333" s="4" t="s">
        <v>2877</v>
      </c>
      <c r="CQO1333" s="4" t="s">
        <v>2877</v>
      </c>
      <c r="CQP1333" s="4" t="s">
        <v>2877</v>
      </c>
      <c r="CQQ1333" s="4" t="s">
        <v>2877</v>
      </c>
      <c r="CQR1333" s="4" t="s">
        <v>2877</v>
      </c>
      <c r="CQS1333" s="4" t="s">
        <v>2877</v>
      </c>
      <c r="CQT1333" s="4" t="s">
        <v>2877</v>
      </c>
      <c r="CQU1333" s="4" t="s">
        <v>2877</v>
      </c>
      <c r="CQV1333" s="4" t="s">
        <v>2877</v>
      </c>
      <c r="CQW1333" s="4" t="s">
        <v>2877</v>
      </c>
      <c r="CQX1333" s="4" t="s">
        <v>2877</v>
      </c>
      <c r="CQY1333" s="4" t="s">
        <v>2877</v>
      </c>
      <c r="CQZ1333" s="4" t="s">
        <v>2877</v>
      </c>
      <c r="CRA1333" s="4" t="s">
        <v>2877</v>
      </c>
      <c r="CRB1333" s="4" t="s">
        <v>2877</v>
      </c>
      <c r="CRC1333" s="4" t="s">
        <v>2877</v>
      </c>
      <c r="CRD1333" s="4" t="s">
        <v>2877</v>
      </c>
      <c r="CRE1333" s="4" t="s">
        <v>2877</v>
      </c>
      <c r="CRF1333" s="4" t="s">
        <v>2877</v>
      </c>
      <c r="CRG1333" s="4" t="s">
        <v>2877</v>
      </c>
      <c r="CRH1333" s="4" t="s">
        <v>2877</v>
      </c>
      <c r="CRI1333" s="4" t="s">
        <v>2877</v>
      </c>
      <c r="CRJ1333" s="4" t="s">
        <v>2877</v>
      </c>
      <c r="CRK1333" s="4" t="s">
        <v>2877</v>
      </c>
      <c r="CRL1333" s="4" t="s">
        <v>2877</v>
      </c>
      <c r="CRM1333" s="4" t="s">
        <v>2877</v>
      </c>
      <c r="CRN1333" s="4" t="s">
        <v>2877</v>
      </c>
      <c r="CRO1333" s="4" t="s">
        <v>2877</v>
      </c>
      <c r="CRP1333" s="4" t="s">
        <v>2877</v>
      </c>
      <c r="CRQ1333" s="4" t="s">
        <v>2877</v>
      </c>
      <c r="CRR1333" s="4" t="s">
        <v>2877</v>
      </c>
      <c r="CRS1333" s="4" t="s">
        <v>2877</v>
      </c>
      <c r="CRT1333" s="4" t="s">
        <v>2877</v>
      </c>
      <c r="CRU1333" s="4" t="s">
        <v>2877</v>
      </c>
      <c r="CRV1333" s="4" t="s">
        <v>2877</v>
      </c>
      <c r="CRW1333" s="4" t="s">
        <v>2877</v>
      </c>
      <c r="CRX1333" s="4" t="s">
        <v>2877</v>
      </c>
      <c r="CRY1333" s="4" t="s">
        <v>2877</v>
      </c>
      <c r="CRZ1333" s="4" t="s">
        <v>2877</v>
      </c>
      <c r="CSA1333" s="4" t="s">
        <v>2877</v>
      </c>
      <c r="CSB1333" s="4" t="s">
        <v>2877</v>
      </c>
      <c r="CSC1333" s="4" t="s">
        <v>2877</v>
      </c>
      <c r="CSD1333" s="4" t="s">
        <v>2877</v>
      </c>
      <c r="CSE1333" s="4" t="s">
        <v>2877</v>
      </c>
      <c r="CSF1333" s="4" t="s">
        <v>2877</v>
      </c>
      <c r="CSG1333" s="4" t="s">
        <v>2877</v>
      </c>
      <c r="CSH1333" s="4" t="s">
        <v>2877</v>
      </c>
      <c r="CSI1333" s="4" t="s">
        <v>2877</v>
      </c>
      <c r="CSJ1333" s="4" t="s">
        <v>2877</v>
      </c>
      <c r="CSK1333" s="4" t="s">
        <v>2877</v>
      </c>
      <c r="CSL1333" s="4" t="s">
        <v>2877</v>
      </c>
      <c r="CSM1333" s="4" t="s">
        <v>2877</v>
      </c>
      <c r="CSN1333" s="4" t="s">
        <v>2877</v>
      </c>
      <c r="CSO1333" s="4" t="s">
        <v>2877</v>
      </c>
      <c r="CSP1333" s="4" t="s">
        <v>2877</v>
      </c>
      <c r="CSQ1333" s="4" t="s">
        <v>2877</v>
      </c>
      <c r="CSR1333" s="4" t="s">
        <v>2877</v>
      </c>
      <c r="CSS1333" s="4" t="s">
        <v>2877</v>
      </c>
      <c r="CST1333" s="4" t="s">
        <v>2877</v>
      </c>
      <c r="CSU1333" s="4" t="s">
        <v>2877</v>
      </c>
      <c r="CSV1333" s="4" t="s">
        <v>2877</v>
      </c>
      <c r="CSW1333" s="4" t="s">
        <v>2877</v>
      </c>
      <c r="CSX1333" s="4" t="s">
        <v>2877</v>
      </c>
      <c r="CSY1333" s="4" t="s">
        <v>2877</v>
      </c>
      <c r="CSZ1333" s="4" t="s">
        <v>2877</v>
      </c>
      <c r="CTA1333" s="4" t="s">
        <v>2877</v>
      </c>
      <c r="CTB1333" s="4" t="s">
        <v>2877</v>
      </c>
      <c r="CTC1333" s="4" t="s">
        <v>2877</v>
      </c>
      <c r="CTD1333" s="4" t="s">
        <v>2877</v>
      </c>
      <c r="CTE1333" s="4" t="s">
        <v>2877</v>
      </c>
      <c r="CTF1333" s="4" t="s">
        <v>2877</v>
      </c>
      <c r="CTG1333" s="4" t="s">
        <v>2877</v>
      </c>
      <c r="CTH1333" s="4" t="s">
        <v>2877</v>
      </c>
      <c r="CTI1333" s="4" t="s">
        <v>2877</v>
      </c>
      <c r="CTJ1333" s="4" t="s">
        <v>2877</v>
      </c>
      <c r="CTK1333" s="4" t="s">
        <v>2877</v>
      </c>
      <c r="CTL1333" s="4" t="s">
        <v>2877</v>
      </c>
      <c r="CTM1333" s="4" t="s">
        <v>2877</v>
      </c>
      <c r="CTN1333" s="4" t="s">
        <v>2877</v>
      </c>
      <c r="CTO1333" s="4" t="s">
        <v>2877</v>
      </c>
      <c r="CTP1333" s="4" t="s">
        <v>2877</v>
      </c>
      <c r="CTQ1333" s="4" t="s">
        <v>2877</v>
      </c>
      <c r="CTR1333" s="4" t="s">
        <v>2877</v>
      </c>
      <c r="CTS1333" s="4" t="s">
        <v>2877</v>
      </c>
      <c r="CTT1333" s="4" t="s">
        <v>2877</v>
      </c>
      <c r="CTU1333" s="4" t="s">
        <v>2877</v>
      </c>
      <c r="CTV1333" s="4" t="s">
        <v>2877</v>
      </c>
      <c r="CTW1333" s="4" t="s">
        <v>2877</v>
      </c>
      <c r="CTX1333" s="4" t="s">
        <v>2877</v>
      </c>
      <c r="CTY1333" s="4" t="s">
        <v>2877</v>
      </c>
      <c r="CTZ1333" s="4" t="s">
        <v>2877</v>
      </c>
      <c r="CUA1333" s="4" t="s">
        <v>2877</v>
      </c>
      <c r="CUB1333" s="4" t="s">
        <v>2877</v>
      </c>
      <c r="CUC1333" s="4" t="s">
        <v>2877</v>
      </c>
      <c r="CUD1333" s="4" t="s">
        <v>2877</v>
      </c>
      <c r="CUE1333" s="4" t="s">
        <v>2877</v>
      </c>
      <c r="CUF1333" s="4" t="s">
        <v>2877</v>
      </c>
      <c r="CUG1333" s="4" t="s">
        <v>2877</v>
      </c>
      <c r="CUH1333" s="4" t="s">
        <v>2877</v>
      </c>
      <c r="CUI1333" s="4" t="s">
        <v>2877</v>
      </c>
      <c r="CUJ1333" s="4" t="s">
        <v>2877</v>
      </c>
      <c r="CUK1333" s="4" t="s">
        <v>2877</v>
      </c>
      <c r="CUL1333" s="4" t="s">
        <v>2877</v>
      </c>
      <c r="CUM1333" s="4" t="s">
        <v>2877</v>
      </c>
      <c r="CUN1333" s="4" t="s">
        <v>2877</v>
      </c>
      <c r="CUO1333" s="4" t="s">
        <v>2877</v>
      </c>
      <c r="CUP1333" s="4" t="s">
        <v>2877</v>
      </c>
      <c r="CUQ1333" s="4" t="s">
        <v>2877</v>
      </c>
      <c r="CUR1333" s="4" t="s">
        <v>2877</v>
      </c>
      <c r="CUS1333" s="4" t="s">
        <v>2877</v>
      </c>
      <c r="CUT1333" s="4" t="s">
        <v>2877</v>
      </c>
      <c r="CUU1333" s="4" t="s">
        <v>2877</v>
      </c>
      <c r="CUV1333" s="4" t="s">
        <v>2877</v>
      </c>
      <c r="CUW1333" s="4" t="s">
        <v>2877</v>
      </c>
      <c r="CUX1333" s="4" t="s">
        <v>2877</v>
      </c>
      <c r="CUY1333" s="4" t="s">
        <v>2877</v>
      </c>
      <c r="CUZ1333" s="4" t="s">
        <v>2877</v>
      </c>
      <c r="CVA1333" s="4" t="s">
        <v>2877</v>
      </c>
      <c r="CVB1333" s="4" t="s">
        <v>2877</v>
      </c>
      <c r="CVC1333" s="4" t="s">
        <v>2877</v>
      </c>
      <c r="CVD1333" s="4" t="s">
        <v>2877</v>
      </c>
      <c r="CVE1333" s="4" t="s">
        <v>2877</v>
      </c>
      <c r="CVF1333" s="4" t="s">
        <v>2877</v>
      </c>
      <c r="CVG1333" s="4" t="s">
        <v>2877</v>
      </c>
      <c r="CVH1333" s="4" t="s">
        <v>2877</v>
      </c>
      <c r="CVI1333" s="4" t="s">
        <v>2877</v>
      </c>
      <c r="CVJ1333" s="4" t="s">
        <v>2877</v>
      </c>
      <c r="CVK1333" s="4" t="s">
        <v>2877</v>
      </c>
      <c r="CVL1333" s="4" t="s">
        <v>2877</v>
      </c>
      <c r="CVM1333" s="4" t="s">
        <v>2877</v>
      </c>
      <c r="CVN1333" s="4" t="s">
        <v>2877</v>
      </c>
      <c r="CVO1333" s="4" t="s">
        <v>2877</v>
      </c>
      <c r="CVP1333" s="4" t="s">
        <v>2877</v>
      </c>
      <c r="CVQ1333" s="4" t="s">
        <v>2877</v>
      </c>
      <c r="CVR1333" s="4" t="s">
        <v>2877</v>
      </c>
      <c r="CVS1333" s="4" t="s">
        <v>2877</v>
      </c>
      <c r="CVT1333" s="4" t="s">
        <v>2877</v>
      </c>
      <c r="CVU1333" s="4" t="s">
        <v>2877</v>
      </c>
      <c r="CVV1333" s="4" t="s">
        <v>2877</v>
      </c>
      <c r="CVW1333" s="4" t="s">
        <v>2877</v>
      </c>
      <c r="CVX1333" s="4" t="s">
        <v>2877</v>
      </c>
      <c r="CVY1333" s="4" t="s">
        <v>2877</v>
      </c>
      <c r="CVZ1333" s="4" t="s">
        <v>2877</v>
      </c>
      <c r="CWA1333" s="4" t="s">
        <v>2877</v>
      </c>
      <c r="CWB1333" s="4" t="s">
        <v>2877</v>
      </c>
      <c r="CWC1333" s="4" t="s">
        <v>2877</v>
      </c>
      <c r="CWD1333" s="4" t="s">
        <v>2877</v>
      </c>
      <c r="CWE1333" s="4" t="s">
        <v>2877</v>
      </c>
      <c r="CWF1333" s="4" t="s">
        <v>2877</v>
      </c>
      <c r="CWG1333" s="4" t="s">
        <v>2877</v>
      </c>
      <c r="CWH1333" s="4" t="s">
        <v>2877</v>
      </c>
      <c r="CWI1333" s="4" t="s">
        <v>2877</v>
      </c>
      <c r="CWJ1333" s="4" t="s">
        <v>2877</v>
      </c>
      <c r="CWK1333" s="4" t="s">
        <v>2877</v>
      </c>
      <c r="CWL1333" s="4" t="s">
        <v>2877</v>
      </c>
      <c r="CWM1333" s="4" t="s">
        <v>2877</v>
      </c>
      <c r="CWN1333" s="4" t="s">
        <v>2877</v>
      </c>
      <c r="CWO1333" s="4" t="s">
        <v>2877</v>
      </c>
      <c r="CWP1333" s="4" t="s">
        <v>2877</v>
      </c>
      <c r="CWQ1333" s="4" t="s">
        <v>2877</v>
      </c>
      <c r="CWR1333" s="4" t="s">
        <v>2877</v>
      </c>
      <c r="CWS1333" s="4" t="s">
        <v>2877</v>
      </c>
      <c r="CWT1333" s="4" t="s">
        <v>2877</v>
      </c>
      <c r="CWU1333" s="4" t="s">
        <v>2877</v>
      </c>
      <c r="CWV1333" s="4" t="s">
        <v>2877</v>
      </c>
      <c r="CWW1333" s="4" t="s">
        <v>2877</v>
      </c>
      <c r="CWX1333" s="4" t="s">
        <v>2877</v>
      </c>
      <c r="CWY1333" s="4" t="s">
        <v>2877</v>
      </c>
      <c r="CWZ1333" s="4" t="s">
        <v>2877</v>
      </c>
      <c r="CXA1333" s="4" t="s">
        <v>2877</v>
      </c>
      <c r="CXB1333" s="4" t="s">
        <v>2877</v>
      </c>
      <c r="CXC1333" s="4" t="s">
        <v>2877</v>
      </c>
      <c r="CXD1333" s="4" t="s">
        <v>2877</v>
      </c>
      <c r="CXE1333" s="4" t="s">
        <v>2877</v>
      </c>
      <c r="CXF1333" s="4" t="s">
        <v>2877</v>
      </c>
      <c r="CXG1333" s="4" t="s">
        <v>2877</v>
      </c>
      <c r="CXH1333" s="4" t="s">
        <v>2877</v>
      </c>
      <c r="CXI1333" s="4" t="s">
        <v>2877</v>
      </c>
      <c r="CXJ1333" s="4" t="s">
        <v>2877</v>
      </c>
      <c r="CXK1333" s="4" t="s">
        <v>2877</v>
      </c>
      <c r="CXL1333" s="4" t="s">
        <v>2877</v>
      </c>
      <c r="CXM1333" s="4" t="s">
        <v>2877</v>
      </c>
      <c r="CXN1333" s="4" t="s">
        <v>2877</v>
      </c>
      <c r="CXO1333" s="4" t="s">
        <v>2877</v>
      </c>
      <c r="CXP1333" s="4" t="s">
        <v>2877</v>
      </c>
      <c r="CXQ1333" s="4" t="s">
        <v>2877</v>
      </c>
      <c r="CXR1333" s="4" t="s">
        <v>2877</v>
      </c>
      <c r="CXS1333" s="4" t="s">
        <v>2877</v>
      </c>
      <c r="CXT1333" s="4" t="s">
        <v>2877</v>
      </c>
      <c r="CXU1333" s="4" t="s">
        <v>2877</v>
      </c>
      <c r="CXV1333" s="4" t="s">
        <v>2877</v>
      </c>
      <c r="CXW1333" s="4" t="s">
        <v>2877</v>
      </c>
      <c r="CXX1333" s="4" t="s">
        <v>2877</v>
      </c>
      <c r="CXY1333" s="4" t="s">
        <v>2877</v>
      </c>
      <c r="CXZ1333" s="4" t="s">
        <v>2877</v>
      </c>
      <c r="CYA1333" s="4" t="s">
        <v>2877</v>
      </c>
      <c r="CYB1333" s="4" t="s">
        <v>2877</v>
      </c>
      <c r="CYC1333" s="4" t="s">
        <v>2877</v>
      </c>
      <c r="CYD1333" s="4" t="s">
        <v>2877</v>
      </c>
      <c r="CYE1333" s="4" t="s">
        <v>2877</v>
      </c>
      <c r="CYF1333" s="4" t="s">
        <v>2877</v>
      </c>
      <c r="CYG1333" s="4" t="s">
        <v>2877</v>
      </c>
      <c r="CYH1333" s="4" t="s">
        <v>2877</v>
      </c>
      <c r="CYI1333" s="4" t="s">
        <v>2877</v>
      </c>
      <c r="CYJ1333" s="4" t="s">
        <v>2877</v>
      </c>
      <c r="CYK1333" s="4" t="s">
        <v>2877</v>
      </c>
      <c r="CYL1333" s="4" t="s">
        <v>2877</v>
      </c>
      <c r="CYM1333" s="4" t="s">
        <v>2877</v>
      </c>
      <c r="CYN1333" s="4" t="s">
        <v>2877</v>
      </c>
      <c r="CYO1333" s="4" t="s">
        <v>2877</v>
      </c>
      <c r="CYP1333" s="4" t="s">
        <v>2877</v>
      </c>
      <c r="CYQ1333" s="4" t="s">
        <v>2877</v>
      </c>
      <c r="CYR1333" s="4" t="s">
        <v>2877</v>
      </c>
      <c r="CYS1333" s="4" t="s">
        <v>2877</v>
      </c>
      <c r="CYT1333" s="4" t="s">
        <v>2877</v>
      </c>
      <c r="CYU1333" s="4" t="s">
        <v>2877</v>
      </c>
      <c r="CYV1333" s="4" t="s">
        <v>2877</v>
      </c>
      <c r="CYW1333" s="4" t="s">
        <v>2877</v>
      </c>
      <c r="CYX1333" s="4" t="s">
        <v>2877</v>
      </c>
      <c r="CYY1333" s="4" t="s">
        <v>2877</v>
      </c>
      <c r="CYZ1333" s="4" t="s">
        <v>2877</v>
      </c>
      <c r="CZA1333" s="4" t="s">
        <v>2877</v>
      </c>
      <c r="CZB1333" s="4" t="s">
        <v>2877</v>
      </c>
      <c r="CZC1333" s="4" t="s">
        <v>2877</v>
      </c>
      <c r="CZD1333" s="4" t="s">
        <v>2877</v>
      </c>
      <c r="CZE1333" s="4" t="s">
        <v>2877</v>
      </c>
      <c r="CZF1333" s="4" t="s">
        <v>2877</v>
      </c>
      <c r="CZG1333" s="4" t="s">
        <v>2877</v>
      </c>
      <c r="CZH1333" s="4" t="s">
        <v>2877</v>
      </c>
      <c r="CZI1333" s="4" t="s">
        <v>2877</v>
      </c>
      <c r="CZJ1333" s="4" t="s">
        <v>2877</v>
      </c>
      <c r="CZK1333" s="4" t="s">
        <v>2877</v>
      </c>
      <c r="CZL1333" s="4" t="s">
        <v>2877</v>
      </c>
      <c r="CZM1333" s="4" t="s">
        <v>2877</v>
      </c>
      <c r="CZN1333" s="4" t="s">
        <v>2877</v>
      </c>
      <c r="CZO1333" s="4" t="s">
        <v>2877</v>
      </c>
      <c r="CZP1333" s="4" t="s">
        <v>2877</v>
      </c>
      <c r="CZQ1333" s="4" t="s">
        <v>2877</v>
      </c>
      <c r="CZR1333" s="4" t="s">
        <v>2877</v>
      </c>
      <c r="CZS1333" s="4" t="s">
        <v>2877</v>
      </c>
      <c r="CZT1333" s="4" t="s">
        <v>2877</v>
      </c>
      <c r="CZU1333" s="4" t="s">
        <v>2877</v>
      </c>
      <c r="CZV1333" s="4" t="s">
        <v>2877</v>
      </c>
      <c r="CZW1333" s="4" t="s">
        <v>2877</v>
      </c>
      <c r="CZX1333" s="4" t="s">
        <v>2877</v>
      </c>
      <c r="CZY1333" s="4" t="s">
        <v>2877</v>
      </c>
      <c r="CZZ1333" s="4" t="s">
        <v>2877</v>
      </c>
      <c r="DAA1333" s="4" t="s">
        <v>2877</v>
      </c>
      <c r="DAB1333" s="4" t="s">
        <v>2877</v>
      </c>
      <c r="DAC1333" s="4" t="s">
        <v>2877</v>
      </c>
      <c r="DAD1333" s="4" t="s">
        <v>2877</v>
      </c>
      <c r="DAE1333" s="4" t="s">
        <v>2877</v>
      </c>
      <c r="DAF1333" s="4" t="s">
        <v>2877</v>
      </c>
      <c r="DAG1333" s="4" t="s">
        <v>2877</v>
      </c>
      <c r="DAH1333" s="4" t="s">
        <v>2877</v>
      </c>
      <c r="DAI1333" s="4" t="s">
        <v>2877</v>
      </c>
      <c r="DAJ1333" s="4" t="s">
        <v>2877</v>
      </c>
      <c r="DAK1333" s="4" t="s">
        <v>2877</v>
      </c>
      <c r="DAL1333" s="4" t="s">
        <v>2877</v>
      </c>
      <c r="DAM1333" s="4" t="s">
        <v>2877</v>
      </c>
      <c r="DAN1333" s="4" t="s">
        <v>2877</v>
      </c>
      <c r="DAO1333" s="4" t="s">
        <v>2877</v>
      </c>
      <c r="DAP1333" s="4" t="s">
        <v>2877</v>
      </c>
      <c r="DAQ1333" s="4" t="s">
        <v>2877</v>
      </c>
      <c r="DAR1333" s="4" t="s">
        <v>2877</v>
      </c>
      <c r="DAS1333" s="4" t="s">
        <v>2877</v>
      </c>
      <c r="DAT1333" s="4" t="s">
        <v>2877</v>
      </c>
      <c r="DAU1333" s="4" t="s">
        <v>2877</v>
      </c>
      <c r="DAV1333" s="4" t="s">
        <v>2877</v>
      </c>
      <c r="DAW1333" s="4" t="s">
        <v>2877</v>
      </c>
      <c r="DAX1333" s="4" t="s">
        <v>2877</v>
      </c>
      <c r="DAY1333" s="4" t="s">
        <v>2877</v>
      </c>
      <c r="DAZ1333" s="4" t="s">
        <v>2877</v>
      </c>
      <c r="DBA1333" s="4" t="s">
        <v>2877</v>
      </c>
      <c r="DBB1333" s="4" t="s">
        <v>2877</v>
      </c>
      <c r="DBC1333" s="4" t="s">
        <v>2877</v>
      </c>
      <c r="DBD1333" s="4" t="s">
        <v>2877</v>
      </c>
      <c r="DBE1333" s="4" t="s">
        <v>2877</v>
      </c>
      <c r="DBF1333" s="4" t="s">
        <v>2877</v>
      </c>
      <c r="DBG1333" s="4" t="s">
        <v>2877</v>
      </c>
      <c r="DBH1333" s="4" t="s">
        <v>2877</v>
      </c>
      <c r="DBI1333" s="4" t="s">
        <v>2877</v>
      </c>
      <c r="DBJ1333" s="4" t="s">
        <v>2877</v>
      </c>
      <c r="DBK1333" s="4" t="s">
        <v>2877</v>
      </c>
      <c r="DBL1333" s="4" t="s">
        <v>2877</v>
      </c>
      <c r="DBM1333" s="4" t="s">
        <v>2877</v>
      </c>
      <c r="DBN1333" s="4" t="s">
        <v>2877</v>
      </c>
      <c r="DBO1333" s="4" t="s">
        <v>2877</v>
      </c>
      <c r="DBP1333" s="4" t="s">
        <v>2877</v>
      </c>
      <c r="DBQ1333" s="4" t="s">
        <v>2877</v>
      </c>
      <c r="DBR1333" s="4" t="s">
        <v>2877</v>
      </c>
      <c r="DBS1333" s="4" t="s">
        <v>2877</v>
      </c>
      <c r="DBT1333" s="4" t="s">
        <v>2877</v>
      </c>
      <c r="DBU1333" s="4" t="s">
        <v>2877</v>
      </c>
      <c r="DBV1333" s="4" t="s">
        <v>2877</v>
      </c>
      <c r="DBW1333" s="4" t="s">
        <v>2877</v>
      </c>
      <c r="DBX1333" s="4" t="s">
        <v>2877</v>
      </c>
      <c r="DBY1333" s="4" t="s">
        <v>2877</v>
      </c>
      <c r="DBZ1333" s="4" t="s">
        <v>2877</v>
      </c>
      <c r="DCA1333" s="4" t="s">
        <v>2877</v>
      </c>
      <c r="DCB1333" s="4" t="s">
        <v>2877</v>
      </c>
      <c r="DCC1333" s="4" t="s">
        <v>2877</v>
      </c>
      <c r="DCD1333" s="4" t="s">
        <v>2877</v>
      </c>
      <c r="DCE1333" s="4" t="s">
        <v>2877</v>
      </c>
      <c r="DCF1333" s="4" t="s">
        <v>2877</v>
      </c>
      <c r="DCG1333" s="4" t="s">
        <v>2877</v>
      </c>
      <c r="DCH1333" s="4" t="s">
        <v>2877</v>
      </c>
      <c r="DCI1333" s="4" t="s">
        <v>2877</v>
      </c>
      <c r="DCJ1333" s="4" t="s">
        <v>2877</v>
      </c>
      <c r="DCK1333" s="4" t="s">
        <v>2877</v>
      </c>
      <c r="DCL1333" s="4" t="s">
        <v>2877</v>
      </c>
      <c r="DCM1333" s="4" t="s">
        <v>2877</v>
      </c>
      <c r="DCN1333" s="4" t="s">
        <v>2877</v>
      </c>
      <c r="DCO1333" s="4" t="s">
        <v>2877</v>
      </c>
      <c r="DCP1333" s="4" t="s">
        <v>2877</v>
      </c>
      <c r="DCQ1333" s="4" t="s">
        <v>2877</v>
      </c>
      <c r="DCR1333" s="4" t="s">
        <v>2877</v>
      </c>
      <c r="DCS1333" s="4" t="s">
        <v>2877</v>
      </c>
      <c r="DCT1333" s="4" t="s">
        <v>2877</v>
      </c>
      <c r="DCU1333" s="4" t="s">
        <v>2877</v>
      </c>
      <c r="DCV1333" s="4" t="s">
        <v>2877</v>
      </c>
      <c r="DCW1333" s="4" t="s">
        <v>2877</v>
      </c>
      <c r="DCX1333" s="4" t="s">
        <v>2877</v>
      </c>
      <c r="DCY1333" s="4" t="s">
        <v>2877</v>
      </c>
      <c r="DCZ1333" s="4" t="s">
        <v>2877</v>
      </c>
      <c r="DDA1333" s="4" t="s">
        <v>2877</v>
      </c>
      <c r="DDB1333" s="4" t="s">
        <v>2877</v>
      </c>
      <c r="DDC1333" s="4" t="s">
        <v>2877</v>
      </c>
      <c r="DDD1333" s="4" t="s">
        <v>2877</v>
      </c>
      <c r="DDE1333" s="4" t="s">
        <v>2877</v>
      </c>
      <c r="DDF1333" s="4" t="s">
        <v>2877</v>
      </c>
      <c r="DDG1333" s="4" t="s">
        <v>2877</v>
      </c>
      <c r="DDH1333" s="4" t="s">
        <v>2877</v>
      </c>
      <c r="DDI1333" s="4" t="s">
        <v>2877</v>
      </c>
      <c r="DDJ1333" s="4" t="s">
        <v>2877</v>
      </c>
      <c r="DDK1333" s="4" t="s">
        <v>2877</v>
      </c>
      <c r="DDL1333" s="4" t="s">
        <v>2877</v>
      </c>
      <c r="DDM1333" s="4" t="s">
        <v>2877</v>
      </c>
      <c r="DDN1333" s="4" t="s">
        <v>2877</v>
      </c>
      <c r="DDO1333" s="4" t="s">
        <v>2877</v>
      </c>
      <c r="DDP1333" s="4" t="s">
        <v>2877</v>
      </c>
      <c r="DDQ1333" s="4" t="s">
        <v>2877</v>
      </c>
      <c r="DDR1333" s="4" t="s">
        <v>2877</v>
      </c>
      <c r="DDS1333" s="4" t="s">
        <v>2877</v>
      </c>
      <c r="DDT1333" s="4" t="s">
        <v>2877</v>
      </c>
      <c r="DDU1333" s="4" t="s">
        <v>2877</v>
      </c>
      <c r="DDV1333" s="4" t="s">
        <v>2877</v>
      </c>
      <c r="DDW1333" s="4" t="s">
        <v>2877</v>
      </c>
      <c r="DDX1333" s="4" t="s">
        <v>2877</v>
      </c>
      <c r="DDY1333" s="4" t="s">
        <v>2877</v>
      </c>
      <c r="DDZ1333" s="4" t="s">
        <v>2877</v>
      </c>
      <c r="DEA1333" s="4" t="s">
        <v>2877</v>
      </c>
      <c r="DEB1333" s="4" t="s">
        <v>2877</v>
      </c>
      <c r="DEC1333" s="4" t="s">
        <v>2877</v>
      </c>
      <c r="DED1333" s="4" t="s">
        <v>2877</v>
      </c>
      <c r="DEE1333" s="4" t="s">
        <v>2877</v>
      </c>
      <c r="DEF1333" s="4" t="s">
        <v>2877</v>
      </c>
      <c r="DEG1333" s="4" t="s">
        <v>2877</v>
      </c>
      <c r="DEH1333" s="4" t="s">
        <v>2877</v>
      </c>
      <c r="DEI1333" s="4" t="s">
        <v>2877</v>
      </c>
      <c r="DEJ1333" s="4" t="s">
        <v>2877</v>
      </c>
      <c r="DEK1333" s="4" t="s">
        <v>2877</v>
      </c>
      <c r="DEL1333" s="4" t="s">
        <v>2877</v>
      </c>
      <c r="DEM1333" s="4" t="s">
        <v>2877</v>
      </c>
      <c r="DEN1333" s="4" t="s">
        <v>2877</v>
      </c>
      <c r="DEO1333" s="4" t="s">
        <v>2877</v>
      </c>
      <c r="DEP1333" s="4" t="s">
        <v>2877</v>
      </c>
      <c r="DEQ1333" s="4" t="s">
        <v>2877</v>
      </c>
      <c r="DER1333" s="4" t="s">
        <v>2877</v>
      </c>
      <c r="DES1333" s="4" t="s">
        <v>2877</v>
      </c>
      <c r="DET1333" s="4" t="s">
        <v>2877</v>
      </c>
      <c r="DEU1333" s="4" t="s">
        <v>2877</v>
      </c>
      <c r="DEV1333" s="4" t="s">
        <v>2877</v>
      </c>
      <c r="DEW1333" s="4" t="s">
        <v>2877</v>
      </c>
      <c r="DEX1333" s="4" t="s">
        <v>2877</v>
      </c>
      <c r="DEY1333" s="4" t="s">
        <v>2877</v>
      </c>
      <c r="DEZ1333" s="4" t="s">
        <v>2877</v>
      </c>
      <c r="DFA1333" s="4" t="s">
        <v>2877</v>
      </c>
      <c r="DFB1333" s="4" t="s">
        <v>2877</v>
      </c>
      <c r="DFC1333" s="4" t="s">
        <v>2877</v>
      </c>
      <c r="DFD1333" s="4" t="s">
        <v>2877</v>
      </c>
      <c r="DFE1333" s="4" t="s">
        <v>2877</v>
      </c>
      <c r="DFF1333" s="4" t="s">
        <v>2877</v>
      </c>
      <c r="DFG1333" s="4" t="s">
        <v>2877</v>
      </c>
      <c r="DFH1333" s="4" t="s">
        <v>2877</v>
      </c>
      <c r="DFI1333" s="4" t="s">
        <v>2877</v>
      </c>
      <c r="DFJ1333" s="4" t="s">
        <v>2877</v>
      </c>
      <c r="DFK1333" s="4" t="s">
        <v>2877</v>
      </c>
      <c r="DFL1333" s="4" t="s">
        <v>2877</v>
      </c>
      <c r="DFM1333" s="4" t="s">
        <v>2877</v>
      </c>
      <c r="DFN1333" s="4" t="s">
        <v>2877</v>
      </c>
      <c r="DFO1333" s="4" t="s">
        <v>2877</v>
      </c>
      <c r="DFP1333" s="4" t="s">
        <v>2877</v>
      </c>
      <c r="DFQ1333" s="4" t="s">
        <v>2877</v>
      </c>
      <c r="DFR1333" s="4" t="s">
        <v>2877</v>
      </c>
      <c r="DFS1333" s="4" t="s">
        <v>2877</v>
      </c>
      <c r="DFT1333" s="4" t="s">
        <v>2877</v>
      </c>
      <c r="DFU1333" s="4" t="s">
        <v>2877</v>
      </c>
      <c r="DFV1333" s="4" t="s">
        <v>2877</v>
      </c>
      <c r="DFW1333" s="4" t="s">
        <v>2877</v>
      </c>
      <c r="DFX1333" s="4" t="s">
        <v>2877</v>
      </c>
      <c r="DFY1333" s="4" t="s">
        <v>2877</v>
      </c>
      <c r="DFZ1333" s="4" t="s">
        <v>2877</v>
      </c>
      <c r="DGA1333" s="4" t="s">
        <v>2877</v>
      </c>
      <c r="DGB1333" s="4" t="s">
        <v>2877</v>
      </c>
      <c r="DGC1333" s="4" t="s">
        <v>2877</v>
      </c>
      <c r="DGD1333" s="4" t="s">
        <v>2877</v>
      </c>
      <c r="DGE1333" s="4" t="s">
        <v>2877</v>
      </c>
      <c r="DGF1333" s="4" t="s">
        <v>2877</v>
      </c>
      <c r="DGG1333" s="4" t="s">
        <v>2877</v>
      </c>
      <c r="DGH1333" s="4" t="s">
        <v>2877</v>
      </c>
      <c r="DGI1333" s="4" t="s">
        <v>2877</v>
      </c>
      <c r="DGJ1333" s="4" t="s">
        <v>2877</v>
      </c>
      <c r="DGK1333" s="4" t="s">
        <v>2877</v>
      </c>
      <c r="DGL1333" s="4" t="s">
        <v>2877</v>
      </c>
      <c r="DGM1333" s="4" t="s">
        <v>2877</v>
      </c>
      <c r="DGN1333" s="4" t="s">
        <v>2877</v>
      </c>
      <c r="DGO1333" s="4" t="s">
        <v>2877</v>
      </c>
      <c r="DGP1333" s="4" t="s">
        <v>2877</v>
      </c>
      <c r="DGQ1333" s="4" t="s">
        <v>2877</v>
      </c>
      <c r="DGR1333" s="4" t="s">
        <v>2877</v>
      </c>
      <c r="DGS1333" s="4" t="s">
        <v>2877</v>
      </c>
      <c r="DGT1333" s="4" t="s">
        <v>2877</v>
      </c>
      <c r="DGU1333" s="4" t="s">
        <v>2877</v>
      </c>
      <c r="DGV1333" s="4" t="s">
        <v>2877</v>
      </c>
      <c r="DGW1333" s="4" t="s">
        <v>2877</v>
      </c>
      <c r="DGX1333" s="4" t="s">
        <v>2877</v>
      </c>
      <c r="DGY1333" s="4" t="s">
        <v>2877</v>
      </c>
      <c r="DGZ1333" s="4" t="s">
        <v>2877</v>
      </c>
      <c r="DHA1333" s="4" t="s">
        <v>2877</v>
      </c>
      <c r="DHB1333" s="4" t="s">
        <v>2877</v>
      </c>
      <c r="DHC1333" s="4" t="s">
        <v>2877</v>
      </c>
      <c r="DHD1333" s="4" t="s">
        <v>2877</v>
      </c>
      <c r="DHE1333" s="4" t="s">
        <v>2877</v>
      </c>
      <c r="DHF1333" s="4" t="s">
        <v>2877</v>
      </c>
      <c r="DHG1333" s="4" t="s">
        <v>2877</v>
      </c>
      <c r="DHH1333" s="4" t="s">
        <v>2877</v>
      </c>
      <c r="DHI1333" s="4" t="s">
        <v>2877</v>
      </c>
      <c r="DHJ1333" s="4" t="s">
        <v>2877</v>
      </c>
      <c r="DHK1333" s="4" t="s">
        <v>2877</v>
      </c>
      <c r="DHL1333" s="4" t="s">
        <v>2877</v>
      </c>
      <c r="DHM1333" s="4" t="s">
        <v>2877</v>
      </c>
      <c r="DHN1333" s="4" t="s">
        <v>2877</v>
      </c>
      <c r="DHO1333" s="4" t="s">
        <v>2877</v>
      </c>
      <c r="DHP1333" s="4" t="s">
        <v>2877</v>
      </c>
      <c r="DHQ1333" s="4" t="s">
        <v>2877</v>
      </c>
      <c r="DHR1333" s="4" t="s">
        <v>2877</v>
      </c>
      <c r="DHS1333" s="4" t="s">
        <v>2877</v>
      </c>
      <c r="DHT1333" s="4" t="s">
        <v>2877</v>
      </c>
      <c r="DHU1333" s="4" t="s">
        <v>2877</v>
      </c>
      <c r="DHV1333" s="4" t="s">
        <v>2877</v>
      </c>
      <c r="DHW1333" s="4" t="s">
        <v>2877</v>
      </c>
      <c r="DHX1333" s="4" t="s">
        <v>2877</v>
      </c>
      <c r="DHY1333" s="4" t="s">
        <v>2877</v>
      </c>
      <c r="DHZ1333" s="4" t="s">
        <v>2877</v>
      </c>
      <c r="DIA1333" s="4" t="s">
        <v>2877</v>
      </c>
      <c r="DIB1333" s="4" t="s">
        <v>2877</v>
      </c>
      <c r="DIC1333" s="4" t="s">
        <v>2877</v>
      </c>
      <c r="DID1333" s="4" t="s">
        <v>2877</v>
      </c>
      <c r="DIE1333" s="4" t="s">
        <v>2877</v>
      </c>
      <c r="DIF1333" s="4" t="s">
        <v>2877</v>
      </c>
      <c r="DIG1333" s="4" t="s">
        <v>2877</v>
      </c>
      <c r="DIH1333" s="4" t="s">
        <v>2877</v>
      </c>
      <c r="DII1333" s="4" t="s">
        <v>2877</v>
      </c>
      <c r="DIJ1333" s="4" t="s">
        <v>2877</v>
      </c>
      <c r="DIK1333" s="4" t="s">
        <v>2877</v>
      </c>
      <c r="DIL1333" s="4" t="s">
        <v>2877</v>
      </c>
      <c r="DIM1333" s="4" t="s">
        <v>2877</v>
      </c>
      <c r="DIN1333" s="4" t="s">
        <v>2877</v>
      </c>
      <c r="DIO1333" s="4" t="s">
        <v>2877</v>
      </c>
      <c r="DIP1333" s="4" t="s">
        <v>2877</v>
      </c>
      <c r="DIQ1333" s="4" t="s">
        <v>2877</v>
      </c>
      <c r="DIR1333" s="4" t="s">
        <v>2877</v>
      </c>
      <c r="DIS1333" s="4" t="s">
        <v>2877</v>
      </c>
      <c r="DIT1333" s="4" t="s">
        <v>2877</v>
      </c>
      <c r="DIU1333" s="4" t="s">
        <v>2877</v>
      </c>
      <c r="DIV1333" s="4" t="s">
        <v>2877</v>
      </c>
      <c r="DIW1333" s="4" t="s">
        <v>2877</v>
      </c>
      <c r="DIX1333" s="4" t="s">
        <v>2877</v>
      </c>
      <c r="DIY1333" s="4" t="s">
        <v>2877</v>
      </c>
      <c r="DIZ1333" s="4" t="s">
        <v>2877</v>
      </c>
      <c r="DJA1333" s="4" t="s">
        <v>2877</v>
      </c>
      <c r="DJB1333" s="4" t="s">
        <v>2877</v>
      </c>
      <c r="DJC1333" s="4" t="s">
        <v>2877</v>
      </c>
      <c r="DJD1333" s="4" t="s">
        <v>2877</v>
      </c>
      <c r="DJE1333" s="4" t="s">
        <v>2877</v>
      </c>
      <c r="DJF1333" s="4" t="s">
        <v>2877</v>
      </c>
      <c r="DJG1333" s="4" t="s">
        <v>2877</v>
      </c>
      <c r="DJH1333" s="4" t="s">
        <v>2877</v>
      </c>
      <c r="DJI1333" s="4" t="s">
        <v>2877</v>
      </c>
      <c r="DJJ1333" s="4" t="s">
        <v>2877</v>
      </c>
      <c r="DJK1333" s="4" t="s">
        <v>2877</v>
      </c>
      <c r="DJL1333" s="4" t="s">
        <v>2877</v>
      </c>
      <c r="DJM1333" s="4" t="s">
        <v>2877</v>
      </c>
      <c r="DJN1333" s="4" t="s">
        <v>2877</v>
      </c>
      <c r="DJO1333" s="4" t="s">
        <v>2877</v>
      </c>
      <c r="DJP1333" s="4" t="s">
        <v>2877</v>
      </c>
      <c r="DJQ1333" s="4" t="s">
        <v>2877</v>
      </c>
      <c r="DJR1333" s="4" t="s">
        <v>2877</v>
      </c>
      <c r="DJS1333" s="4" t="s">
        <v>2877</v>
      </c>
      <c r="DJT1333" s="4" t="s">
        <v>2877</v>
      </c>
      <c r="DJU1333" s="4" t="s">
        <v>2877</v>
      </c>
      <c r="DJV1333" s="4" t="s">
        <v>2877</v>
      </c>
      <c r="DJW1333" s="4" t="s">
        <v>2877</v>
      </c>
      <c r="DJX1333" s="4" t="s">
        <v>2877</v>
      </c>
      <c r="DJY1333" s="4" t="s">
        <v>2877</v>
      </c>
      <c r="DJZ1333" s="4" t="s">
        <v>2877</v>
      </c>
      <c r="DKA1333" s="4" t="s">
        <v>2877</v>
      </c>
      <c r="DKB1333" s="4" t="s">
        <v>2877</v>
      </c>
      <c r="DKC1333" s="4" t="s">
        <v>2877</v>
      </c>
      <c r="DKD1333" s="4" t="s">
        <v>2877</v>
      </c>
      <c r="DKE1333" s="4" t="s">
        <v>2877</v>
      </c>
      <c r="DKF1333" s="4" t="s">
        <v>2877</v>
      </c>
      <c r="DKG1333" s="4" t="s">
        <v>2877</v>
      </c>
      <c r="DKH1333" s="4" t="s">
        <v>2877</v>
      </c>
      <c r="DKI1333" s="4" t="s">
        <v>2877</v>
      </c>
      <c r="DKJ1333" s="4" t="s">
        <v>2877</v>
      </c>
      <c r="DKK1333" s="4" t="s">
        <v>2877</v>
      </c>
      <c r="DKL1333" s="4" t="s">
        <v>2877</v>
      </c>
      <c r="DKM1333" s="4" t="s">
        <v>2877</v>
      </c>
      <c r="DKN1333" s="4" t="s">
        <v>2877</v>
      </c>
      <c r="DKO1333" s="4" t="s">
        <v>2877</v>
      </c>
      <c r="DKP1333" s="4" t="s">
        <v>2877</v>
      </c>
      <c r="DKQ1333" s="4" t="s">
        <v>2877</v>
      </c>
      <c r="DKR1333" s="4" t="s">
        <v>2877</v>
      </c>
      <c r="DKS1333" s="4" t="s">
        <v>2877</v>
      </c>
      <c r="DKT1333" s="4" t="s">
        <v>2877</v>
      </c>
      <c r="DKU1333" s="4" t="s">
        <v>2877</v>
      </c>
      <c r="DKV1333" s="4" t="s">
        <v>2877</v>
      </c>
      <c r="DKW1333" s="4" t="s">
        <v>2877</v>
      </c>
      <c r="DKX1333" s="4" t="s">
        <v>2877</v>
      </c>
      <c r="DKY1333" s="4" t="s">
        <v>2877</v>
      </c>
      <c r="DKZ1333" s="4" t="s">
        <v>2877</v>
      </c>
      <c r="DLA1333" s="4" t="s">
        <v>2877</v>
      </c>
      <c r="DLB1333" s="4" t="s">
        <v>2877</v>
      </c>
      <c r="DLC1333" s="4" t="s">
        <v>2877</v>
      </c>
      <c r="DLD1333" s="4" t="s">
        <v>2877</v>
      </c>
      <c r="DLE1333" s="4" t="s">
        <v>2877</v>
      </c>
      <c r="DLF1333" s="4" t="s">
        <v>2877</v>
      </c>
      <c r="DLG1333" s="4" t="s">
        <v>2877</v>
      </c>
      <c r="DLH1333" s="4" t="s">
        <v>2877</v>
      </c>
      <c r="DLI1333" s="4" t="s">
        <v>2877</v>
      </c>
      <c r="DLJ1333" s="4" t="s">
        <v>2877</v>
      </c>
      <c r="DLK1333" s="4" t="s">
        <v>2877</v>
      </c>
      <c r="DLL1333" s="4" t="s">
        <v>2877</v>
      </c>
      <c r="DLM1333" s="4" t="s">
        <v>2877</v>
      </c>
      <c r="DLN1333" s="4" t="s">
        <v>2877</v>
      </c>
      <c r="DLO1333" s="4" t="s">
        <v>2877</v>
      </c>
      <c r="DLP1333" s="4" t="s">
        <v>2877</v>
      </c>
      <c r="DLQ1333" s="4" t="s">
        <v>2877</v>
      </c>
      <c r="DLR1333" s="4" t="s">
        <v>2877</v>
      </c>
      <c r="DLS1333" s="4" t="s">
        <v>2877</v>
      </c>
      <c r="DLT1333" s="4" t="s">
        <v>2877</v>
      </c>
      <c r="DLU1333" s="4" t="s">
        <v>2877</v>
      </c>
      <c r="DLV1333" s="4" t="s">
        <v>2877</v>
      </c>
      <c r="DLW1333" s="4" t="s">
        <v>2877</v>
      </c>
      <c r="DLX1333" s="4" t="s">
        <v>2877</v>
      </c>
      <c r="DLY1333" s="4" t="s">
        <v>2877</v>
      </c>
      <c r="DLZ1333" s="4" t="s">
        <v>2877</v>
      </c>
      <c r="DMA1333" s="4" t="s">
        <v>2877</v>
      </c>
      <c r="DMB1333" s="4" t="s">
        <v>2877</v>
      </c>
      <c r="DMC1333" s="4" t="s">
        <v>2877</v>
      </c>
      <c r="DMD1333" s="4" t="s">
        <v>2877</v>
      </c>
      <c r="DME1333" s="4" t="s">
        <v>2877</v>
      </c>
      <c r="DMF1333" s="4" t="s">
        <v>2877</v>
      </c>
      <c r="DMG1333" s="4" t="s">
        <v>2877</v>
      </c>
      <c r="DMH1333" s="4" t="s">
        <v>2877</v>
      </c>
      <c r="DMI1333" s="4" t="s">
        <v>2877</v>
      </c>
      <c r="DMJ1333" s="4" t="s">
        <v>2877</v>
      </c>
      <c r="DMK1333" s="4" t="s">
        <v>2877</v>
      </c>
      <c r="DML1333" s="4" t="s">
        <v>2877</v>
      </c>
      <c r="DMM1333" s="4" t="s">
        <v>2877</v>
      </c>
      <c r="DMN1333" s="4" t="s">
        <v>2877</v>
      </c>
      <c r="DMO1333" s="4" t="s">
        <v>2877</v>
      </c>
      <c r="DMP1333" s="4" t="s">
        <v>2877</v>
      </c>
      <c r="DMQ1333" s="4" t="s">
        <v>2877</v>
      </c>
      <c r="DMR1333" s="4" t="s">
        <v>2877</v>
      </c>
      <c r="DMS1333" s="4" t="s">
        <v>2877</v>
      </c>
      <c r="DMT1333" s="4" t="s">
        <v>2877</v>
      </c>
      <c r="DMU1333" s="4" t="s">
        <v>2877</v>
      </c>
      <c r="DMV1333" s="4" t="s">
        <v>2877</v>
      </c>
      <c r="DMW1333" s="4" t="s">
        <v>2877</v>
      </c>
      <c r="DMX1333" s="4" t="s">
        <v>2877</v>
      </c>
      <c r="DMY1333" s="4" t="s">
        <v>2877</v>
      </c>
      <c r="DMZ1333" s="4" t="s">
        <v>2877</v>
      </c>
      <c r="DNA1333" s="4" t="s">
        <v>2877</v>
      </c>
      <c r="DNB1333" s="4" t="s">
        <v>2877</v>
      </c>
      <c r="DNC1333" s="4" t="s">
        <v>2877</v>
      </c>
      <c r="DND1333" s="4" t="s">
        <v>2877</v>
      </c>
      <c r="DNE1333" s="4" t="s">
        <v>2877</v>
      </c>
      <c r="DNF1333" s="4" t="s">
        <v>2877</v>
      </c>
      <c r="DNG1333" s="4" t="s">
        <v>2877</v>
      </c>
      <c r="DNH1333" s="4" t="s">
        <v>2877</v>
      </c>
      <c r="DNI1333" s="4" t="s">
        <v>2877</v>
      </c>
      <c r="DNJ1333" s="4" t="s">
        <v>2877</v>
      </c>
      <c r="DNK1333" s="4" t="s">
        <v>2877</v>
      </c>
      <c r="DNL1333" s="4" t="s">
        <v>2877</v>
      </c>
      <c r="DNM1333" s="4" t="s">
        <v>2877</v>
      </c>
      <c r="DNN1333" s="4" t="s">
        <v>2877</v>
      </c>
      <c r="DNO1333" s="4" t="s">
        <v>2877</v>
      </c>
      <c r="DNP1333" s="4" t="s">
        <v>2877</v>
      </c>
      <c r="DNQ1333" s="4" t="s">
        <v>2877</v>
      </c>
      <c r="DNR1333" s="4" t="s">
        <v>2877</v>
      </c>
      <c r="DNS1333" s="4" t="s">
        <v>2877</v>
      </c>
      <c r="DNT1333" s="4" t="s">
        <v>2877</v>
      </c>
      <c r="DNU1333" s="4" t="s">
        <v>2877</v>
      </c>
      <c r="DNV1333" s="4" t="s">
        <v>2877</v>
      </c>
      <c r="DNW1333" s="4" t="s">
        <v>2877</v>
      </c>
      <c r="DNX1333" s="4" t="s">
        <v>2877</v>
      </c>
      <c r="DNY1333" s="4" t="s">
        <v>2877</v>
      </c>
      <c r="DNZ1333" s="4" t="s">
        <v>2877</v>
      </c>
      <c r="DOA1333" s="4" t="s">
        <v>2877</v>
      </c>
      <c r="DOB1333" s="4" t="s">
        <v>2877</v>
      </c>
      <c r="DOC1333" s="4" t="s">
        <v>2877</v>
      </c>
      <c r="DOD1333" s="4" t="s">
        <v>2877</v>
      </c>
      <c r="DOE1333" s="4" t="s">
        <v>2877</v>
      </c>
      <c r="DOF1333" s="4" t="s">
        <v>2877</v>
      </c>
      <c r="DOG1333" s="4" t="s">
        <v>2877</v>
      </c>
      <c r="DOH1333" s="4" t="s">
        <v>2877</v>
      </c>
      <c r="DOI1333" s="4" t="s">
        <v>2877</v>
      </c>
      <c r="DOJ1333" s="4" t="s">
        <v>2877</v>
      </c>
      <c r="DOK1333" s="4" t="s">
        <v>2877</v>
      </c>
      <c r="DOL1333" s="4" t="s">
        <v>2877</v>
      </c>
      <c r="DOM1333" s="4" t="s">
        <v>2877</v>
      </c>
      <c r="DON1333" s="4" t="s">
        <v>2877</v>
      </c>
      <c r="DOO1333" s="4" t="s">
        <v>2877</v>
      </c>
      <c r="DOP1333" s="4" t="s">
        <v>2877</v>
      </c>
      <c r="DOQ1333" s="4" t="s">
        <v>2877</v>
      </c>
      <c r="DOR1333" s="4" t="s">
        <v>2877</v>
      </c>
      <c r="DOS1333" s="4" t="s">
        <v>2877</v>
      </c>
      <c r="DOT1333" s="4" t="s">
        <v>2877</v>
      </c>
      <c r="DOU1333" s="4" t="s">
        <v>2877</v>
      </c>
      <c r="DOV1333" s="4" t="s">
        <v>2877</v>
      </c>
      <c r="DOW1333" s="4" t="s">
        <v>2877</v>
      </c>
      <c r="DOX1333" s="4" t="s">
        <v>2877</v>
      </c>
      <c r="DOY1333" s="4" t="s">
        <v>2877</v>
      </c>
      <c r="DOZ1333" s="4" t="s">
        <v>2877</v>
      </c>
      <c r="DPA1333" s="4" t="s">
        <v>2877</v>
      </c>
      <c r="DPB1333" s="4" t="s">
        <v>2877</v>
      </c>
      <c r="DPC1333" s="4" t="s">
        <v>2877</v>
      </c>
      <c r="DPD1333" s="4" t="s">
        <v>2877</v>
      </c>
      <c r="DPE1333" s="4" t="s">
        <v>2877</v>
      </c>
      <c r="DPF1333" s="4" t="s">
        <v>2877</v>
      </c>
      <c r="DPG1333" s="4" t="s">
        <v>2877</v>
      </c>
      <c r="DPH1333" s="4" t="s">
        <v>2877</v>
      </c>
      <c r="DPI1333" s="4" t="s">
        <v>2877</v>
      </c>
      <c r="DPJ1333" s="4" t="s">
        <v>2877</v>
      </c>
      <c r="DPK1333" s="4" t="s">
        <v>2877</v>
      </c>
      <c r="DPL1333" s="4" t="s">
        <v>2877</v>
      </c>
      <c r="DPM1333" s="4" t="s">
        <v>2877</v>
      </c>
      <c r="DPN1333" s="4" t="s">
        <v>2877</v>
      </c>
      <c r="DPO1333" s="4" t="s">
        <v>2877</v>
      </c>
      <c r="DPP1333" s="4" t="s">
        <v>2877</v>
      </c>
      <c r="DPQ1333" s="4" t="s">
        <v>2877</v>
      </c>
      <c r="DPR1333" s="4" t="s">
        <v>2877</v>
      </c>
      <c r="DPS1333" s="4" t="s">
        <v>2877</v>
      </c>
      <c r="DPT1333" s="4" t="s">
        <v>2877</v>
      </c>
      <c r="DPU1333" s="4" t="s">
        <v>2877</v>
      </c>
      <c r="DPV1333" s="4" t="s">
        <v>2877</v>
      </c>
      <c r="DPW1333" s="4" t="s">
        <v>2877</v>
      </c>
      <c r="DPX1333" s="4" t="s">
        <v>2877</v>
      </c>
      <c r="DPY1333" s="4" t="s">
        <v>2877</v>
      </c>
      <c r="DPZ1333" s="4" t="s">
        <v>2877</v>
      </c>
      <c r="DQA1333" s="4" t="s">
        <v>2877</v>
      </c>
      <c r="DQB1333" s="4" t="s">
        <v>2877</v>
      </c>
      <c r="DQC1333" s="4" t="s">
        <v>2877</v>
      </c>
      <c r="DQD1333" s="4" t="s">
        <v>2877</v>
      </c>
      <c r="DQE1333" s="4" t="s">
        <v>2877</v>
      </c>
      <c r="DQF1333" s="4" t="s">
        <v>2877</v>
      </c>
      <c r="DQG1333" s="4" t="s">
        <v>2877</v>
      </c>
      <c r="DQH1333" s="4" t="s">
        <v>2877</v>
      </c>
      <c r="DQI1333" s="4" t="s">
        <v>2877</v>
      </c>
      <c r="DQJ1333" s="4" t="s">
        <v>2877</v>
      </c>
      <c r="DQK1333" s="4" t="s">
        <v>2877</v>
      </c>
      <c r="DQL1333" s="4" t="s">
        <v>2877</v>
      </c>
      <c r="DQM1333" s="4" t="s">
        <v>2877</v>
      </c>
      <c r="DQN1333" s="4" t="s">
        <v>2877</v>
      </c>
      <c r="DQO1333" s="4" t="s">
        <v>2877</v>
      </c>
      <c r="DQP1333" s="4" t="s">
        <v>2877</v>
      </c>
      <c r="DQQ1333" s="4" t="s">
        <v>2877</v>
      </c>
      <c r="DQR1333" s="4" t="s">
        <v>2877</v>
      </c>
      <c r="DQS1333" s="4" t="s">
        <v>2877</v>
      </c>
      <c r="DQT1333" s="4" t="s">
        <v>2877</v>
      </c>
      <c r="DQU1333" s="4" t="s">
        <v>2877</v>
      </c>
      <c r="DQV1333" s="4" t="s">
        <v>2877</v>
      </c>
      <c r="DQW1333" s="4" t="s">
        <v>2877</v>
      </c>
      <c r="DQX1333" s="4" t="s">
        <v>2877</v>
      </c>
      <c r="DQY1333" s="4" t="s">
        <v>2877</v>
      </c>
      <c r="DQZ1333" s="4" t="s">
        <v>2877</v>
      </c>
      <c r="DRA1333" s="4" t="s">
        <v>2877</v>
      </c>
      <c r="DRB1333" s="4" t="s">
        <v>2877</v>
      </c>
      <c r="DRC1333" s="4" t="s">
        <v>2877</v>
      </c>
      <c r="DRD1333" s="4" t="s">
        <v>2877</v>
      </c>
      <c r="DRE1333" s="4" t="s">
        <v>2877</v>
      </c>
      <c r="DRF1333" s="4" t="s">
        <v>2877</v>
      </c>
      <c r="DRG1333" s="4" t="s">
        <v>2877</v>
      </c>
      <c r="DRH1333" s="4" t="s">
        <v>2877</v>
      </c>
      <c r="DRI1333" s="4" t="s">
        <v>2877</v>
      </c>
      <c r="DRJ1333" s="4" t="s">
        <v>2877</v>
      </c>
      <c r="DRK1333" s="4" t="s">
        <v>2877</v>
      </c>
      <c r="DRL1333" s="4" t="s">
        <v>2877</v>
      </c>
      <c r="DRM1333" s="4" t="s">
        <v>2877</v>
      </c>
      <c r="DRN1333" s="4" t="s">
        <v>2877</v>
      </c>
      <c r="DRO1333" s="4" t="s">
        <v>2877</v>
      </c>
      <c r="DRP1333" s="4" t="s">
        <v>2877</v>
      </c>
      <c r="DRQ1333" s="4" t="s">
        <v>2877</v>
      </c>
      <c r="DRR1333" s="4" t="s">
        <v>2877</v>
      </c>
      <c r="DRS1333" s="4" t="s">
        <v>2877</v>
      </c>
      <c r="DRT1333" s="4" t="s">
        <v>2877</v>
      </c>
      <c r="DRU1333" s="4" t="s">
        <v>2877</v>
      </c>
      <c r="DRV1333" s="4" t="s">
        <v>2877</v>
      </c>
      <c r="DRW1333" s="4" t="s">
        <v>2877</v>
      </c>
      <c r="DRX1333" s="4" t="s">
        <v>2877</v>
      </c>
      <c r="DRY1333" s="4" t="s">
        <v>2877</v>
      </c>
      <c r="DRZ1333" s="4" t="s">
        <v>2877</v>
      </c>
      <c r="DSA1333" s="4" t="s">
        <v>2877</v>
      </c>
      <c r="DSB1333" s="4" t="s">
        <v>2877</v>
      </c>
      <c r="DSC1333" s="4" t="s">
        <v>2877</v>
      </c>
      <c r="DSD1333" s="4" t="s">
        <v>2877</v>
      </c>
      <c r="DSE1333" s="4" t="s">
        <v>2877</v>
      </c>
      <c r="DSF1333" s="4" t="s">
        <v>2877</v>
      </c>
      <c r="DSG1333" s="4" t="s">
        <v>2877</v>
      </c>
      <c r="DSH1333" s="4" t="s">
        <v>2877</v>
      </c>
      <c r="DSI1333" s="4" t="s">
        <v>2877</v>
      </c>
      <c r="DSJ1333" s="4" t="s">
        <v>2877</v>
      </c>
      <c r="DSK1333" s="4" t="s">
        <v>2877</v>
      </c>
      <c r="DSL1333" s="4" t="s">
        <v>2877</v>
      </c>
      <c r="DSM1333" s="4" t="s">
        <v>2877</v>
      </c>
      <c r="DSN1333" s="4" t="s">
        <v>2877</v>
      </c>
      <c r="DSO1333" s="4" t="s">
        <v>2877</v>
      </c>
      <c r="DSP1333" s="4" t="s">
        <v>2877</v>
      </c>
      <c r="DSQ1333" s="4" t="s">
        <v>2877</v>
      </c>
      <c r="DSR1333" s="4" t="s">
        <v>2877</v>
      </c>
      <c r="DSS1333" s="4" t="s">
        <v>2877</v>
      </c>
      <c r="DST1333" s="4" t="s">
        <v>2877</v>
      </c>
      <c r="DSU1333" s="4" t="s">
        <v>2877</v>
      </c>
      <c r="DSV1333" s="4" t="s">
        <v>2877</v>
      </c>
      <c r="DSW1333" s="4" t="s">
        <v>2877</v>
      </c>
      <c r="DSX1333" s="4" t="s">
        <v>2877</v>
      </c>
      <c r="DSY1333" s="4" t="s">
        <v>2877</v>
      </c>
      <c r="DSZ1333" s="4" t="s">
        <v>2877</v>
      </c>
      <c r="DTA1333" s="4" t="s">
        <v>2877</v>
      </c>
      <c r="DTB1333" s="4" t="s">
        <v>2877</v>
      </c>
      <c r="DTC1333" s="4" t="s">
        <v>2877</v>
      </c>
      <c r="DTD1333" s="4" t="s">
        <v>2877</v>
      </c>
      <c r="DTE1333" s="4" t="s">
        <v>2877</v>
      </c>
      <c r="DTF1333" s="4" t="s">
        <v>2877</v>
      </c>
      <c r="DTG1333" s="4" t="s">
        <v>2877</v>
      </c>
      <c r="DTH1333" s="4" t="s">
        <v>2877</v>
      </c>
      <c r="DTI1333" s="4" t="s">
        <v>2877</v>
      </c>
      <c r="DTJ1333" s="4" t="s">
        <v>2877</v>
      </c>
      <c r="DTK1333" s="4" t="s">
        <v>2877</v>
      </c>
      <c r="DTL1333" s="4" t="s">
        <v>2877</v>
      </c>
      <c r="DTM1333" s="4" t="s">
        <v>2877</v>
      </c>
      <c r="DTN1333" s="4" t="s">
        <v>2877</v>
      </c>
      <c r="DTO1333" s="4" t="s">
        <v>2877</v>
      </c>
      <c r="DTP1333" s="4" t="s">
        <v>2877</v>
      </c>
      <c r="DTQ1333" s="4" t="s">
        <v>2877</v>
      </c>
      <c r="DTR1333" s="4" t="s">
        <v>2877</v>
      </c>
      <c r="DTS1333" s="4" t="s">
        <v>2877</v>
      </c>
      <c r="DTT1333" s="4" t="s">
        <v>2877</v>
      </c>
      <c r="DTU1333" s="4" t="s">
        <v>2877</v>
      </c>
      <c r="DTV1333" s="4" t="s">
        <v>2877</v>
      </c>
      <c r="DTW1333" s="4" t="s">
        <v>2877</v>
      </c>
      <c r="DTX1333" s="4" t="s">
        <v>2877</v>
      </c>
      <c r="DTY1333" s="4" t="s">
        <v>2877</v>
      </c>
      <c r="DTZ1333" s="4" t="s">
        <v>2877</v>
      </c>
      <c r="DUA1333" s="4" t="s">
        <v>2877</v>
      </c>
      <c r="DUB1333" s="4" t="s">
        <v>2877</v>
      </c>
      <c r="DUC1333" s="4" t="s">
        <v>2877</v>
      </c>
      <c r="DUD1333" s="4" t="s">
        <v>2877</v>
      </c>
      <c r="DUE1333" s="4" t="s">
        <v>2877</v>
      </c>
      <c r="DUF1333" s="4" t="s">
        <v>2877</v>
      </c>
      <c r="DUG1333" s="4" t="s">
        <v>2877</v>
      </c>
      <c r="DUH1333" s="4" t="s">
        <v>2877</v>
      </c>
      <c r="DUI1333" s="4" t="s">
        <v>2877</v>
      </c>
      <c r="DUJ1333" s="4" t="s">
        <v>2877</v>
      </c>
      <c r="DUK1333" s="4" t="s">
        <v>2877</v>
      </c>
      <c r="DUL1333" s="4" t="s">
        <v>2877</v>
      </c>
      <c r="DUM1333" s="4" t="s">
        <v>2877</v>
      </c>
      <c r="DUN1333" s="4" t="s">
        <v>2877</v>
      </c>
      <c r="DUO1333" s="4" t="s">
        <v>2877</v>
      </c>
      <c r="DUP1333" s="4" t="s">
        <v>2877</v>
      </c>
      <c r="DUQ1333" s="4" t="s">
        <v>2877</v>
      </c>
      <c r="DUR1333" s="4" t="s">
        <v>2877</v>
      </c>
      <c r="DUS1333" s="4" t="s">
        <v>2877</v>
      </c>
      <c r="DUT1333" s="4" t="s">
        <v>2877</v>
      </c>
      <c r="DUU1333" s="4" t="s">
        <v>2877</v>
      </c>
      <c r="DUV1333" s="4" t="s">
        <v>2877</v>
      </c>
      <c r="DUW1333" s="4" t="s">
        <v>2877</v>
      </c>
      <c r="DUX1333" s="4" t="s">
        <v>2877</v>
      </c>
      <c r="DUY1333" s="4" t="s">
        <v>2877</v>
      </c>
      <c r="DUZ1333" s="4" t="s">
        <v>2877</v>
      </c>
      <c r="DVA1333" s="4" t="s">
        <v>2877</v>
      </c>
      <c r="DVB1333" s="4" t="s">
        <v>2877</v>
      </c>
      <c r="DVC1333" s="4" t="s">
        <v>2877</v>
      </c>
      <c r="DVD1333" s="4" t="s">
        <v>2877</v>
      </c>
      <c r="DVE1333" s="4" t="s">
        <v>2877</v>
      </c>
      <c r="DVF1333" s="4" t="s">
        <v>2877</v>
      </c>
      <c r="DVG1333" s="4" t="s">
        <v>2877</v>
      </c>
      <c r="DVH1333" s="4" t="s">
        <v>2877</v>
      </c>
      <c r="DVI1333" s="4" t="s">
        <v>2877</v>
      </c>
      <c r="DVJ1333" s="4" t="s">
        <v>2877</v>
      </c>
      <c r="DVK1333" s="4" t="s">
        <v>2877</v>
      </c>
      <c r="DVL1333" s="4" t="s">
        <v>2877</v>
      </c>
      <c r="DVM1333" s="4" t="s">
        <v>2877</v>
      </c>
      <c r="DVN1333" s="4" t="s">
        <v>2877</v>
      </c>
      <c r="DVO1333" s="4" t="s">
        <v>2877</v>
      </c>
      <c r="DVP1333" s="4" t="s">
        <v>2877</v>
      </c>
      <c r="DVQ1333" s="4" t="s">
        <v>2877</v>
      </c>
      <c r="DVR1333" s="4" t="s">
        <v>2877</v>
      </c>
      <c r="DVS1333" s="4" t="s">
        <v>2877</v>
      </c>
      <c r="DVT1333" s="4" t="s">
        <v>2877</v>
      </c>
      <c r="DVU1333" s="4" t="s">
        <v>2877</v>
      </c>
      <c r="DVV1333" s="4" t="s">
        <v>2877</v>
      </c>
      <c r="DVW1333" s="4" t="s">
        <v>2877</v>
      </c>
      <c r="DVX1333" s="4" t="s">
        <v>2877</v>
      </c>
      <c r="DVY1333" s="4" t="s">
        <v>2877</v>
      </c>
      <c r="DVZ1333" s="4" t="s">
        <v>2877</v>
      </c>
      <c r="DWA1333" s="4" t="s">
        <v>2877</v>
      </c>
      <c r="DWB1333" s="4" t="s">
        <v>2877</v>
      </c>
      <c r="DWC1333" s="4" t="s">
        <v>2877</v>
      </c>
      <c r="DWD1333" s="4" t="s">
        <v>2877</v>
      </c>
      <c r="DWE1333" s="4" t="s">
        <v>2877</v>
      </c>
      <c r="DWF1333" s="4" t="s">
        <v>2877</v>
      </c>
      <c r="DWG1333" s="4" t="s">
        <v>2877</v>
      </c>
      <c r="DWH1333" s="4" t="s">
        <v>2877</v>
      </c>
      <c r="DWI1333" s="4" t="s">
        <v>2877</v>
      </c>
      <c r="DWJ1333" s="4" t="s">
        <v>2877</v>
      </c>
      <c r="DWK1333" s="4" t="s">
        <v>2877</v>
      </c>
      <c r="DWL1333" s="4" t="s">
        <v>2877</v>
      </c>
      <c r="DWM1333" s="4" t="s">
        <v>2877</v>
      </c>
      <c r="DWN1333" s="4" t="s">
        <v>2877</v>
      </c>
      <c r="DWO1333" s="4" t="s">
        <v>2877</v>
      </c>
      <c r="DWP1333" s="4" t="s">
        <v>2877</v>
      </c>
      <c r="DWQ1333" s="4" t="s">
        <v>2877</v>
      </c>
      <c r="DWR1333" s="4" t="s">
        <v>2877</v>
      </c>
      <c r="DWS1333" s="4" t="s">
        <v>2877</v>
      </c>
      <c r="DWT1333" s="4" t="s">
        <v>2877</v>
      </c>
      <c r="DWU1333" s="4" t="s">
        <v>2877</v>
      </c>
      <c r="DWV1333" s="4" t="s">
        <v>2877</v>
      </c>
      <c r="DWW1333" s="4" t="s">
        <v>2877</v>
      </c>
      <c r="DWX1333" s="4" t="s">
        <v>2877</v>
      </c>
      <c r="DWY1333" s="4" t="s">
        <v>2877</v>
      </c>
      <c r="DWZ1333" s="4" t="s">
        <v>2877</v>
      </c>
      <c r="DXA1333" s="4" t="s">
        <v>2877</v>
      </c>
      <c r="DXB1333" s="4" t="s">
        <v>2877</v>
      </c>
      <c r="DXC1333" s="4" t="s">
        <v>2877</v>
      </c>
      <c r="DXD1333" s="4" t="s">
        <v>2877</v>
      </c>
      <c r="DXE1333" s="4" t="s">
        <v>2877</v>
      </c>
      <c r="DXF1333" s="4" t="s">
        <v>2877</v>
      </c>
      <c r="DXG1333" s="4" t="s">
        <v>2877</v>
      </c>
      <c r="DXH1333" s="4" t="s">
        <v>2877</v>
      </c>
      <c r="DXI1333" s="4" t="s">
        <v>2877</v>
      </c>
      <c r="DXJ1333" s="4" t="s">
        <v>2877</v>
      </c>
      <c r="DXK1333" s="4" t="s">
        <v>2877</v>
      </c>
      <c r="DXL1333" s="4" t="s">
        <v>2877</v>
      </c>
      <c r="DXM1333" s="4" t="s">
        <v>2877</v>
      </c>
      <c r="DXN1333" s="4" t="s">
        <v>2877</v>
      </c>
      <c r="DXO1333" s="4" t="s">
        <v>2877</v>
      </c>
      <c r="DXP1333" s="4" t="s">
        <v>2877</v>
      </c>
      <c r="DXQ1333" s="4" t="s">
        <v>2877</v>
      </c>
      <c r="DXR1333" s="4" t="s">
        <v>2877</v>
      </c>
      <c r="DXS1333" s="4" t="s">
        <v>2877</v>
      </c>
      <c r="DXT1333" s="4" t="s">
        <v>2877</v>
      </c>
      <c r="DXU1333" s="4" t="s">
        <v>2877</v>
      </c>
      <c r="DXV1333" s="4" t="s">
        <v>2877</v>
      </c>
      <c r="DXW1333" s="4" t="s">
        <v>2877</v>
      </c>
      <c r="DXX1333" s="4" t="s">
        <v>2877</v>
      </c>
      <c r="DXY1333" s="4" t="s">
        <v>2877</v>
      </c>
      <c r="DXZ1333" s="4" t="s">
        <v>2877</v>
      </c>
      <c r="DYA1333" s="4" t="s">
        <v>2877</v>
      </c>
      <c r="DYB1333" s="4" t="s">
        <v>2877</v>
      </c>
      <c r="DYC1333" s="4" t="s">
        <v>2877</v>
      </c>
      <c r="DYD1333" s="4" t="s">
        <v>2877</v>
      </c>
      <c r="DYE1333" s="4" t="s">
        <v>2877</v>
      </c>
      <c r="DYF1333" s="4" t="s">
        <v>2877</v>
      </c>
      <c r="DYG1333" s="4" t="s">
        <v>2877</v>
      </c>
      <c r="DYH1333" s="4" t="s">
        <v>2877</v>
      </c>
      <c r="DYI1333" s="4" t="s">
        <v>2877</v>
      </c>
      <c r="DYJ1333" s="4" t="s">
        <v>2877</v>
      </c>
      <c r="DYK1333" s="4" t="s">
        <v>2877</v>
      </c>
      <c r="DYL1333" s="4" t="s">
        <v>2877</v>
      </c>
      <c r="DYM1333" s="4" t="s">
        <v>2877</v>
      </c>
      <c r="DYN1333" s="4" t="s">
        <v>2877</v>
      </c>
      <c r="DYO1333" s="4" t="s">
        <v>2877</v>
      </c>
      <c r="DYP1333" s="4" t="s">
        <v>2877</v>
      </c>
      <c r="DYQ1333" s="4" t="s">
        <v>2877</v>
      </c>
      <c r="DYR1333" s="4" t="s">
        <v>2877</v>
      </c>
      <c r="DYS1333" s="4" t="s">
        <v>2877</v>
      </c>
      <c r="DYT1333" s="4" t="s">
        <v>2877</v>
      </c>
      <c r="DYU1333" s="4" t="s">
        <v>2877</v>
      </c>
      <c r="DYV1333" s="4" t="s">
        <v>2877</v>
      </c>
      <c r="DYW1333" s="4" t="s">
        <v>2877</v>
      </c>
      <c r="DYX1333" s="4" t="s">
        <v>2877</v>
      </c>
      <c r="DYY1333" s="4" t="s">
        <v>2877</v>
      </c>
      <c r="DYZ1333" s="4" t="s">
        <v>2877</v>
      </c>
      <c r="DZA1333" s="4" t="s">
        <v>2877</v>
      </c>
      <c r="DZB1333" s="4" t="s">
        <v>2877</v>
      </c>
      <c r="DZC1333" s="4" t="s">
        <v>2877</v>
      </c>
      <c r="DZD1333" s="4" t="s">
        <v>2877</v>
      </c>
      <c r="DZE1333" s="4" t="s">
        <v>2877</v>
      </c>
      <c r="DZF1333" s="4" t="s">
        <v>2877</v>
      </c>
      <c r="DZG1333" s="4" t="s">
        <v>2877</v>
      </c>
      <c r="DZH1333" s="4" t="s">
        <v>2877</v>
      </c>
      <c r="DZI1333" s="4" t="s">
        <v>2877</v>
      </c>
      <c r="DZJ1333" s="4" t="s">
        <v>2877</v>
      </c>
      <c r="DZK1333" s="4" t="s">
        <v>2877</v>
      </c>
      <c r="DZL1333" s="4" t="s">
        <v>2877</v>
      </c>
      <c r="DZM1333" s="4" t="s">
        <v>2877</v>
      </c>
      <c r="DZN1333" s="4" t="s">
        <v>2877</v>
      </c>
      <c r="DZO1333" s="4" t="s">
        <v>2877</v>
      </c>
      <c r="DZP1333" s="4" t="s">
        <v>2877</v>
      </c>
      <c r="DZQ1333" s="4" t="s">
        <v>2877</v>
      </c>
      <c r="DZR1333" s="4" t="s">
        <v>2877</v>
      </c>
      <c r="DZS1333" s="4" t="s">
        <v>2877</v>
      </c>
      <c r="DZT1333" s="4" t="s">
        <v>2877</v>
      </c>
      <c r="DZU1333" s="4" t="s">
        <v>2877</v>
      </c>
      <c r="DZV1333" s="4" t="s">
        <v>2877</v>
      </c>
      <c r="DZW1333" s="4" t="s">
        <v>2877</v>
      </c>
      <c r="DZX1333" s="4" t="s">
        <v>2877</v>
      </c>
      <c r="DZY1333" s="4" t="s">
        <v>2877</v>
      </c>
      <c r="DZZ1333" s="4" t="s">
        <v>2877</v>
      </c>
      <c r="EAA1333" s="4" t="s">
        <v>2877</v>
      </c>
      <c r="EAB1333" s="4" t="s">
        <v>2877</v>
      </c>
      <c r="EAC1333" s="4" t="s">
        <v>2877</v>
      </c>
      <c r="EAD1333" s="4" t="s">
        <v>2877</v>
      </c>
      <c r="EAE1333" s="4" t="s">
        <v>2877</v>
      </c>
      <c r="EAF1333" s="4" t="s">
        <v>2877</v>
      </c>
      <c r="EAG1333" s="4" t="s">
        <v>2877</v>
      </c>
      <c r="EAH1333" s="4" t="s">
        <v>2877</v>
      </c>
      <c r="EAI1333" s="4" t="s">
        <v>2877</v>
      </c>
      <c r="EAJ1333" s="4" t="s">
        <v>2877</v>
      </c>
      <c r="EAK1333" s="4" t="s">
        <v>2877</v>
      </c>
      <c r="EAL1333" s="4" t="s">
        <v>2877</v>
      </c>
      <c r="EAM1333" s="4" t="s">
        <v>2877</v>
      </c>
      <c r="EAN1333" s="4" t="s">
        <v>2877</v>
      </c>
      <c r="EAO1333" s="4" t="s">
        <v>2877</v>
      </c>
      <c r="EAP1333" s="4" t="s">
        <v>2877</v>
      </c>
      <c r="EAQ1333" s="4" t="s">
        <v>2877</v>
      </c>
      <c r="EAR1333" s="4" t="s">
        <v>2877</v>
      </c>
      <c r="EAS1333" s="4" t="s">
        <v>2877</v>
      </c>
      <c r="EAT1333" s="4" t="s">
        <v>2877</v>
      </c>
      <c r="EAU1333" s="4" t="s">
        <v>2877</v>
      </c>
      <c r="EAV1333" s="4" t="s">
        <v>2877</v>
      </c>
      <c r="EAW1333" s="4" t="s">
        <v>2877</v>
      </c>
      <c r="EAX1333" s="4" t="s">
        <v>2877</v>
      </c>
      <c r="EAY1333" s="4" t="s">
        <v>2877</v>
      </c>
      <c r="EAZ1333" s="4" t="s">
        <v>2877</v>
      </c>
      <c r="EBA1333" s="4" t="s">
        <v>2877</v>
      </c>
      <c r="EBB1333" s="4" t="s">
        <v>2877</v>
      </c>
      <c r="EBC1333" s="4" t="s">
        <v>2877</v>
      </c>
      <c r="EBD1333" s="4" t="s">
        <v>2877</v>
      </c>
      <c r="EBE1333" s="4" t="s">
        <v>2877</v>
      </c>
      <c r="EBF1333" s="4" t="s">
        <v>2877</v>
      </c>
      <c r="EBG1333" s="4" t="s">
        <v>2877</v>
      </c>
      <c r="EBH1333" s="4" t="s">
        <v>2877</v>
      </c>
      <c r="EBI1333" s="4" t="s">
        <v>2877</v>
      </c>
      <c r="EBJ1333" s="4" t="s">
        <v>2877</v>
      </c>
      <c r="EBK1333" s="4" t="s">
        <v>2877</v>
      </c>
      <c r="EBL1333" s="4" t="s">
        <v>2877</v>
      </c>
      <c r="EBM1333" s="4" t="s">
        <v>2877</v>
      </c>
      <c r="EBN1333" s="4" t="s">
        <v>2877</v>
      </c>
      <c r="EBO1333" s="4" t="s">
        <v>2877</v>
      </c>
      <c r="EBP1333" s="4" t="s">
        <v>2877</v>
      </c>
      <c r="EBQ1333" s="4" t="s">
        <v>2877</v>
      </c>
      <c r="EBR1333" s="4" t="s">
        <v>2877</v>
      </c>
      <c r="EBS1333" s="4" t="s">
        <v>2877</v>
      </c>
      <c r="EBT1333" s="4" t="s">
        <v>2877</v>
      </c>
      <c r="EBU1333" s="4" t="s">
        <v>2877</v>
      </c>
      <c r="EBV1333" s="4" t="s">
        <v>2877</v>
      </c>
      <c r="EBW1333" s="4" t="s">
        <v>2877</v>
      </c>
      <c r="EBX1333" s="4" t="s">
        <v>2877</v>
      </c>
      <c r="EBY1333" s="4" t="s">
        <v>2877</v>
      </c>
      <c r="EBZ1333" s="4" t="s">
        <v>2877</v>
      </c>
      <c r="ECA1333" s="4" t="s">
        <v>2877</v>
      </c>
      <c r="ECB1333" s="4" t="s">
        <v>2877</v>
      </c>
      <c r="ECC1333" s="4" t="s">
        <v>2877</v>
      </c>
      <c r="ECD1333" s="4" t="s">
        <v>2877</v>
      </c>
      <c r="ECE1333" s="4" t="s">
        <v>2877</v>
      </c>
      <c r="ECF1333" s="4" t="s">
        <v>2877</v>
      </c>
      <c r="ECG1333" s="4" t="s">
        <v>2877</v>
      </c>
      <c r="ECH1333" s="4" t="s">
        <v>2877</v>
      </c>
      <c r="ECI1333" s="4" t="s">
        <v>2877</v>
      </c>
      <c r="ECJ1333" s="4" t="s">
        <v>2877</v>
      </c>
      <c r="ECK1333" s="4" t="s">
        <v>2877</v>
      </c>
      <c r="ECL1333" s="4" t="s">
        <v>2877</v>
      </c>
      <c r="ECM1333" s="4" t="s">
        <v>2877</v>
      </c>
      <c r="ECN1333" s="4" t="s">
        <v>2877</v>
      </c>
      <c r="ECO1333" s="4" t="s">
        <v>2877</v>
      </c>
      <c r="ECP1333" s="4" t="s">
        <v>2877</v>
      </c>
      <c r="ECQ1333" s="4" t="s">
        <v>2877</v>
      </c>
      <c r="ECR1333" s="4" t="s">
        <v>2877</v>
      </c>
      <c r="ECS1333" s="4" t="s">
        <v>2877</v>
      </c>
      <c r="ECT1333" s="4" t="s">
        <v>2877</v>
      </c>
      <c r="ECU1333" s="4" t="s">
        <v>2877</v>
      </c>
      <c r="ECV1333" s="4" t="s">
        <v>2877</v>
      </c>
      <c r="ECW1333" s="4" t="s">
        <v>2877</v>
      </c>
      <c r="ECX1333" s="4" t="s">
        <v>2877</v>
      </c>
      <c r="ECY1333" s="4" t="s">
        <v>2877</v>
      </c>
      <c r="ECZ1333" s="4" t="s">
        <v>2877</v>
      </c>
      <c r="EDA1333" s="4" t="s">
        <v>2877</v>
      </c>
      <c r="EDB1333" s="4" t="s">
        <v>2877</v>
      </c>
      <c r="EDC1333" s="4" t="s">
        <v>2877</v>
      </c>
      <c r="EDD1333" s="4" t="s">
        <v>2877</v>
      </c>
      <c r="EDE1333" s="4" t="s">
        <v>2877</v>
      </c>
      <c r="EDF1333" s="4" t="s">
        <v>2877</v>
      </c>
      <c r="EDG1333" s="4" t="s">
        <v>2877</v>
      </c>
      <c r="EDH1333" s="4" t="s">
        <v>2877</v>
      </c>
      <c r="EDI1333" s="4" t="s">
        <v>2877</v>
      </c>
      <c r="EDJ1333" s="4" t="s">
        <v>2877</v>
      </c>
      <c r="EDK1333" s="4" t="s">
        <v>2877</v>
      </c>
      <c r="EDL1333" s="4" t="s">
        <v>2877</v>
      </c>
      <c r="EDM1333" s="4" t="s">
        <v>2877</v>
      </c>
      <c r="EDN1333" s="4" t="s">
        <v>2877</v>
      </c>
      <c r="EDO1333" s="4" t="s">
        <v>2877</v>
      </c>
      <c r="EDP1333" s="4" t="s">
        <v>2877</v>
      </c>
      <c r="EDQ1333" s="4" t="s">
        <v>2877</v>
      </c>
      <c r="EDR1333" s="4" t="s">
        <v>2877</v>
      </c>
      <c r="EDS1333" s="4" t="s">
        <v>2877</v>
      </c>
      <c r="EDT1333" s="4" t="s">
        <v>2877</v>
      </c>
      <c r="EDU1333" s="4" t="s">
        <v>2877</v>
      </c>
      <c r="EDV1333" s="4" t="s">
        <v>2877</v>
      </c>
      <c r="EDW1333" s="4" t="s">
        <v>2877</v>
      </c>
      <c r="EDX1333" s="4" t="s">
        <v>2877</v>
      </c>
      <c r="EDY1333" s="4" t="s">
        <v>2877</v>
      </c>
      <c r="EDZ1333" s="4" t="s">
        <v>2877</v>
      </c>
      <c r="EEA1333" s="4" t="s">
        <v>2877</v>
      </c>
      <c r="EEB1333" s="4" t="s">
        <v>2877</v>
      </c>
      <c r="EEC1333" s="4" t="s">
        <v>2877</v>
      </c>
      <c r="EED1333" s="4" t="s">
        <v>2877</v>
      </c>
      <c r="EEE1333" s="4" t="s">
        <v>2877</v>
      </c>
      <c r="EEF1333" s="4" t="s">
        <v>2877</v>
      </c>
      <c r="EEG1333" s="4" t="s">
        <v>2877</v>
      </c>
      <c r="EEH1333" s="4" t="s">
        <v>2877</v>
      </c>
      <c r="EEI1333" s="4" t="s">
        <v>2877</v>
      </c>
      <c r="EEJ1333" s="4" t="s">
        <v>2877</v>
      </c>
      <c r="EEK1333" s="4" t="s">
        <v>2877</v>
      </c>
      <c r="EEL1333" s="4" t="s">
        <v>2877</v>
      </c>
      <c r="EEM1333" s="4" t="s">
        <v>2877</v>
      </c>
      <c r="EEN1333" s="4" t="s">
        <v>2877</v>
      </c>
      <c r="EEO1333" s="4" t="s">
        <v>2877</v>
      </c>
      <c r="EEP1333" s="4" t="s">
        <v>2877</v>
      </c>
      <c r="EEQ1333" s="4" t="s">
        <v>2877</v>
      </c>
      <c r="EER1333" s="4" t="s">
        <v>2877</v>
      </c>
      <c r="EES1333" s="4" t="s">
        <v>2877</v>
      </c>
      <c r="EET1333" s="4" t="s">
        <v>2877</v>
      </c>
      <c r="EEU1333" s="4" t="s">
        <v>2877</v>
      </c>
      <c r="EEV1333" s="4" t="s">
        <v>2877</v>
      </c>
      <c r="EEW1333" s="4" t="s">
        <v>2877</v>
      </c>
      <c r="EEX1333" s="4" t="s">
        <v>2877</v>
      </c>
      <c r="EEY1333" s="4" t="s">
        <v>2877</v>
      </c>
      <c r="EEZ1333" s="4" t="s">
        <v>2877</v>
      </c>
      <c r="EFA1333" s="4" t="s">
        <v>2877</v>
      </c>
      <c r="EFB1333" s="4" t="s">
        <v>2877</v>
      </c>
      <c r="EFC1333" s="4" t="s">
        <v>2877</v>
      </c>
      <c r="EFD1333" s="4" t="s">
        <v>2877</v>
      </c>
      <c r="EFE1333" s="4" t="s">
        <v>2877</v>
      </c>
      <c r="EFF1333" s="4" t="s">
        <v>2877</v>
      </c>
      <c r="EFG1333" s="4" t="s">
        <v>2877</v>
      </c>
      <c r="EFH1333" s="4" t="s">
        <v>2877</v>
      </c>
      <c r="EFI1333" s="4" t="s">
        <v>2877</v>
      </c>
      <c r="EFJ1333" s="4" t="s">
        <v>2877</v>
      </c>
      <c r="EFK1333" s="4" t="s">
        <v>2877</v>
      </c>
      <c r="EFL1333" s="4" t="s">
        <v>2877</v>
      </c>
      <c r="EFM1333" s="4" t="s">
        <v>2877</v>
      </c>
      <c r="EFN1333" s="4" t="s">
        <v>2877</v>
      </c>
      <c r="EFO1333" s="4" t="s">
        <v>2877</v>
      </c>
      <c r="EFP1333" s="4" t="s">
        <v>2877</v>
      </c>
      <c r="EFQ1333" s="4" t="s">
        <v>2877</v>
      </c>
      <c r="EFR1333" s="4" t="s">
        <v>2877</v>
      </c>
      <c r="EFS1333" s="4" t="s">
        <v>2877</v>
      </c>
      <c r="EFT1333" s="4" t="s">
        <v>2877</v>
      </c>
      <c r="EFU1333" s="4" t="s">
        <v>2877</v>
      </c>
      <c r="EFV1333" s="4" t="s">
        <v>2877</v>
      </c>
      <c r="EFW1333" s="4" t="s">
        <v>2877</v>
      </c>
      <c r="EFX1333" s="4" t="s">
        <v>2877</v>
      </c>
      <c r="EFY1333" s="4" t="s">
        <v>2877</v>
      </c>
      <c r="EFZ1333" s="4" t="s">
        <v>2877</v>
      </c>
      <c r="EGA1333" s="4" t="s">
        <v>2877</v>
      </c>
      <c r="EGB1333" s="4" t="s">
        <v>2877</v>
      </c>
      <c r="EGC1333" s="4" t="s">
        <v>2877</v>
      </c>
      <c r="EGD1333" s="4" t="s">
        <v>2877</v>
      </c>
      <c r="EGE1333" s="4" t="s">
        <v>2877</v>
      </c>
      <c r="EGF1333" s="4" t="s">
        <v>2877</v>
      </c>
      <c r="EGG1333" s="4" t="s">
        <v>2877</v>
      </c>
      <c r="EGH1333" s="4" t="s">
        <v>2877</v>
      </c>
      <c r="EGI1333" s="4" t="s">
        <v>2877</v>
      </c>
      <c r="EGJ1333" s="4" t="s">
        <v>2877</v>
      </c>
      <c r="EGK1333" s="4" t="s">
        <v>2877</v>
      </c>
      <c r="EGL1333" s="4" t="s">
        <v>2877</v>
      </c>
      <c r="EGM1333" s="4" t="s">
        <v>2877</v>
      </c>
      <c r="EGN1333" s="4" t="s">
        <v>2877</v>
      </c>
      <c r="EGO1333" s="4" t="s">
        <v>2877</v>
      </c>
      <c r="EGP1333" s="4" t="s">
        <v>2877</v>
      </c>
      <c r="EGQ1333" s="4" t="s">
        <v>2877</v>
      </c>
      <c r="EGR1333" s="4" t="s">
        <v>2877</v>
      </c>
      <c r="EGS1333" s="4" t="s">
        <v>2877</v>
      </c>
      <c r="EGT1333" s="4" t="s">
        <v>2877</v>
      </c>
      <c r="EGU1333" s="4" t="s">
        <v>2877</v>
      </c>
      <c r="EGV1333" s="4" t="s">
        <v>2877</v>
      </c>
      <c r="EGW1333" s="4" t="s">
        <v>2877</v>
      </c>
      <c r="EGX1333" s="4" t="s">
        <v>2877</v>
      </c>
      <c r="EGY1333" s="4" t="s">
        <v>2877</v>
      </c>
      <c r="EGZ1333" s="4" t="s">
        <v>2877</v>
      </c>
      <c r="EHA1333" s="4" t="s">
        <v>2877</v>
      </c>
      <c r="EHB1333" s="4" t="s">
        <v>2877</v>
      </c>
      <c r="EHC1333" s="4" t="s">
        <v>2877</v>
      </c>
      <c r="EHD1333" s="4" t="s">
        <v>2877</v>
      </c>
      <c r="EHE1333" s="4" t="s">
        <v>2877</v>
      </c>
      <c r="EHF1333" s="4" t="s">
        <v>2877</v>
      </c>
      <c r="EHG1333" s="4" t="s">
        <v>2877</v>
      </c>
      <c r="EHH1333" s="4" t="s">
        <v>2877</v>
      </c>
      <c r="EHI1333" s="4" t="s">
        <v>2877</v>
      </c>
      <c r="EHJ1333" s="4" t="s">
        <v>2877</v>
      </c>
      <c r="EHK1333" s="4" t="s">
        <v>2877</v>
      </c>
      <c r="EHL1333" s="4" t="s">
        <v>2877</v>
      </c>
      <c r="EHM1333" s="4" t="s">
        <v>2877</v>
      </c>
      <c r="EHN1333" s="4" t="s">
        <v>2877</v>
      </c>
      <c r="EHO1333" s="4" t="s">
        <v>2877</v>
      </c>
      <c r="EHP1333" s="4" t="s">
        <v>2877</v>
      </c>
      <c r="EHQ1333" s="4" t="s">
        <v>2877</v>
      </c>
      <c r="EHR1333" s="4" t="s">
        <v>2877</v>
      </c>
      <c r="EHS1333" s="4" t="s">
        <v>2877</v>
      </c>
      <c r="EHT1333" s="4" t="s">
        <v>2877</v>
      </c>
      <c r="EHU1333" s="4" t="s">
        <v>2877</v>
      </c>
      <c r="EHV1333" s="4" t="s">
        <v>2877</v>
      </c>
      <c r="EHW1333" s="4" t="s">
        <v>2877</v>
      </c>
      <c r="EHX1333" s="4" t="s">
        <v>2877</v>
      </c>
      <c r="EHY1333" s="4" t="s">
        <v>2877</v>
      </c>
      <c r="EHZ1333" s="4" t="s">
        <v>2877</v>
      </c>
      <c r="EIA1333" s="4" t="s">
        <v>2877</v>
      </c>
      <c r="EIB1333" s="4" t="s">
        <v>2877</v>
      </c>
      <c r="EIC1333" s="4" t="s">
        <v>2877</v>
      </c>
      <c r="EID1333" s="4" t="s">
        <v>2877</v>
      </c>
      <c r="EIE1333" s="4" t="s">
        <v>2877</v>
      </c>
      <c r="EIF1333" s="4" t="s">
        <v>2877</v>
      </c>
      <c r="EIG1333" s="4" t="s">
        <v>2877</v>
      </c>
      <c r="EIH1333" s="4" t="s">
        <v>2877</v>
      </c>
      <c r="EII1333" s="4" t="s">
        <v>2877</v>
      </c>
      <c r="EIJ1333" s="4" t="s">
        <v>2877</v>
      </c>
      <c r="EIK1333" s="4" t="s">
        <v>2877</v>
      </c>
      <c r="EIL1333" s="4" t="s">
        <v>2877</v>
      </c>
      <c r="EIM1333" s="4" t="s">
        <v>2877</v>
      </c>
      <c r="EIN1333" s="4" t="s">
        <v>2877</v>
      </c>
      <c r="EIO1333" s="4" t="s">
        <v>2877</v>
      </c>
      <c r="EIP1333" s="4" t="s">
        <v>2877</v>
      </c>
      <c r="EIQ1333" s="4" t="s">
        <v>2877</v>
      </c>
      <c r="EIR1333" s="4" t="s">
        <v>2877</v>
      </c>
      <c r="EIS1333" s="4" t="s">
        <v>2877</v>
      </c>
      <c r="EIT1333" s="4" t="s">
        <v>2877</v>
      </c>
      <c r="EIU1333" s="4" t="s">
        <v>2877</v>
      </c>
      <c r="EIV1333" s="4" t="s">
        <v>2877</v>
      </c>
      <c r="EIW1333" s="4" t="s">
        <v>2877</v>
      </c>
      <c r="EIX1333" s="4" t="s">
        <v>2877</v>
      </c>
      <c r="EIY1333" s="4" t="s">
        <v>2877</v>
      </c>
      <c r="EIZ1333" s="4" t="s">
        <v>2877</v>
      </c>
      <c r="EJA1333" s="4" t="s">
        <v>2877</v>
      </c>
      <c r="EJB1333" s="4" t="s">
        <v>2877</v>
      </c>
      <c r="EJC1333" s="4" t="s">
        <v>2877</v>
      </c>
      <c r="EJD1333" s="4" t="s">
        <v>2877</v>
      </c>
      <c r="EJE1333" s="4" t="s">
        <v>2877</v>
      </c>
      <c r="EJF1333" s="4" t="s">
        <v>2877</v>
      </c>
      <c r="EJG1333" s="4" t="s">
        <v>2877</v>
      </c>
      <c r="EJH1333" s="4" t="s">
        <v>2877</v>
      </c>
      <c r="EJI1333" s="4" t="s">
        <v>2877</v>
      </c>
      <c r="EJJ1333" s="4" t="s">
        <v>2877</v>
      </c>
      <c r="EJK1333" s="4" t="s">
        <v>2877</v>
      </c>
      <c r="EJL1333" s="4" t="s">
        <v>2877</v>
      </c>
      <c r="EJM1333" s="4" t="s">
        <v>2877</v>
      </c>
      <c r="EJN1333" s="4" t="s">
        <v>2877</v>
      </c>
      <c r="EJO1333" s="4" t="s">
        <v>2877</v>
      </c>
      <c r="EJP1333" s="4" t="s">
        <v>2877</v>
      </c>
      <c r="EJQ1333" s="4" t="s">
        <v>2877</v>
      </c>
      <c r="EJR1333" s="4" t="s">
        <v>2877</v>
      </c>
      <c r="EJS1333" s="4" t="s">
        <v>2877</v>
      </c>
      <c r="EJT1333" s="4" t="s">
        <v>2877</v>
      </c>
      <c r="EJU1333" s="4" t="s">
        <v>2877</v>
      </c>
      <c r="EJV1333" s="4" t="s">
        <v>2877</v>
      </c>
      <c r="EJW1333" s="4" t="s">
        <v>2877</v>
      </c>
      <c r="EJX1333" s="4" t="s">
        <v>2877</v>
      </c>
      <c r="EJY1333" s="4" t="s">
        <v>2877</v>
      </c>
      <c r="EJZ1333" s="4" t="s">
        <v>2877</v>
      </c>
      <c r="EKA1333" s="4" t="s">
        <v>2877</v>
      </c>
      <c r="EKB1333" s="4" t="s">
        <v>2877</v>
      </c>
      <c r="EKC1333" s="4" t="s">
        <v>2877</v>
      </c>
      <c r="EKD1333" s="4" t="s">
        <v>2877</v>
      </c>
      <c r="EKE1333" s="4" t="s">
        <v>2877</v>
      </c>
      <c r="EKF1333" s="4" t="s">
        <v>2877</v>
      </c>
      <c r="EKG1333" s="4" t="s">
        <v>2877</v>
      </c>
      <c r="EKH1333" s="4" t="s">
        <v>2877</v>
      </c>
      <c r="EKI1333" s="4" t="s">
        <v>2877</v>
      </c>
      <c r="EKJ1333" s="4" t="s">
        <v>2877</v>
      </c>
      <c r="EKK1333" s="4" t="s">
        <v>2877</v>
      </c>
      <c r="EKL1333" s="4" t="s">
        <v>2877</v>
      </c>
      <c r="EKM1333" s="4" t="s">
        <v>2877</v>
      </c>
      <c r="EKN1333" s="4" t="s">
        <v>2877</v>
      </c>
      <c r="EKO1333" s="4" t="s">
        <v>2877</v>
      </c>
      <c r="EKP1333" s="4" t="s">
        <v>2877</v>
      </c>
      <c r="EKQ1333" s="4" t="s">
        <v>2877</v>
      </c>
      <c r="EKR1333" s="4" t="s">
        <v>2877</v>
      </c>
      <c r="EKS1333" s="4" t="s">
        <v>2877</v>
      </c>
      <c r="EKT1333" s="4" t="s">
        <v>2877</v>
      </c>
      <c r="EKU1333" s="4" t="s">
        <v>2877</v>
      </c>
      <c r="EKV1333" s="4" t="s">
        <v>2877</v>
      </c>
      <c r="EKW1333" s="4" t="s">
        <v>2877</v>
      </c>
      <c r="EKX1333" s="4" t="s">
        <v>2877</v>
      </c>
      <c r="EKY1333" s="4" t="s">
        <v>2877</v>
      </c>
      <c r="EKZ1333" s="4" t="s">
        <v>2877</v>
      </c>
      <c r="ELA1333" s="4" t="s">
        <v>2877</v>
      </c>
      <c r="ELB1333" s="4" t="s">
        <v>2877</v>
      </c>
      <c r="ELC1333" s="4" t="s">
        <v>2877</v>
      </c>
      <c r="ELD1333" s="4" t="s">
        <v>2877</v>
      </c>
      <c r="ELE1333" s="4" t="s">
        <v>2877</v>
      </c>
      <c r="ELF1333" s="4" t="s">
        <v>2877</v>
      </c>
      <c r="ELG1333" s="4" t="s">
        <v>2877</v>
      </c>
      <c r="ELH1333" s="4" t="s">
        <v>2877</v>
      </c>
      <c r="ELI1333" s="4" t="s">
        <v>2877</v>
      </c>
      <c r="ELJ1333" s="4" t="s">
        <v>2877</v>
      </c>
      <c r="ELK1333" s="4" t="s">
        <v>2877</v>
      </c>
      <c r="ELL1333" s="4" t="s">
        <v>2877</v>
      </c>
      <c r="ELM1333" s="4" t="s">
        <v>2877</v>
      </c>
      <c r="ELN1333" s="4" t="s">
        <v>2877</v>
      </c>
      <c r="ELO1333" s="4" t="s">
        <v>2877</v>
      </c>
      <c r="ELP1333" s="4" t="s">
        <v>2877</v>
      </c>
      <c r="ELQ1333" s="4" t="s">
        <v>2877</v>
      </c>
      <c r="ELR1333" s="4" t="s">
        <v>2877</v>
      </c>
      <c r="ELS1333" s="4" t="s">
        <v>2877</v>
      </c>
      <c r="ELT1333" s="4" t="s">
        <v>2877</v>
      </c>
      <c r="ELU1333" s="4" t="s">
        <v>2877</v>
      </c>
      <c r="ELV1333" s="4" t="s">
        <v>2877</v>
      </c>
      <c r="ELW1333" s="4" t="s">
        <v>2877</v>
      </c>
      <c r="ELX1333" s="4" t="s">
        <v>2877</v>
      </c>
      <c r="ELY1333" s="4" t="s">
        <v>2877</v>
      </c>
      <c r="ELZ1333" s="4" t="s">
        <v>2877</v>
      </c>
      <c r="EMA1333" s="4" t="s">
        <v>2877</v>
      </c>
      <c r="EMB1333" s="4" t="s">
        <v>2877</v>
      </c>
      <c r="EMC1333" s="4" t="s">
        <v>2877</v>
      </c>
      <c r="EMD1333" s="4" t="s">
        <v>2877</v>
      </c>
      <c r="EME1333" s="4" t="s">
        <v>2877</v>
      </c>
      <c r="EMF1333" s="4" t="s">
        <v>2877</v>
      </c>
      <c r="EMG1333" s="4" t="s">
        <v>2877</v>
      </c>
      <c r="EMH1333" s="4" t="s">
        <v>2877</v>
      </c>
      <c r="EMI1333" s="4" t="s">
        <v>2877</v>
      </c>
      <c r="EMJ1333" s="4" t="s">
        <v>2877</v>
      </c>
      <c r="EMK1333" s="4" t="s">
        <v>2877</v>
      </c>
      <c r="EML1333" s="4" t="s">
        <v>2877</v>
      </c>
      <c r="EMM1333" s="4" t="s">
        <v>2877</v>
      </c>
      <c r="EMN1333" s="4" t="s">
        <v>2877</v>
      </c>
      <c r="EMO1333" s="4" t="s">
        <v>2877</v>
      </c>
      <c r="EMP1333" s="4" t="s">
        <v>2877</v>
      </c>
      <c r="EMQ1333" s="4" t="s">
        <v>2877</v>
      </c>
      <c r="EMR1333" s="4" t="s">
        <v>2877</v>
      </c>
      <c r="EMS1333" s="4" t="s">
        <v>2877</v>
      </c>
      <c r="EMT1333" s="4" t="s">
        <v>2877</v>
      </c>
      <c r="EMU1333" s="4" t="s">
        <v>2877</v>
      </c>
      <c r="EMV1333" s="4" t="s">
        <v>2877</v>
      </c>
      <c r="EMW1333" s="4" t="s">
        <v>2877</v>
      </c>
      <c r="EMX1333" s="4" t="s">
        <v>2877</v>
      </c>
      <c r="EMY1333" s="4" t="s">
        <v>2877</v>
      </c>
      <c r="EMZ1333" s="4" t="s">
        <v>2877</v>
      </c>
      <c r="ENA1333" s="4" t="s">
        <v>2877</v>
      </c>
      <c r="ENB1333" s="4" t="s">
        <v>2877</v>
      </c>
      <c r="ENC1333" s="4" t="s">
        <v>2877</v>
      </c>
      <c r="END1333" s="4" t="s">
        <v>2877</v>
      </c>
      <c r="ENE1333" s="4" t="s">
        <v>2877</v>
      </c>
      <c r="ENF1333" s="4" t="s">
        <v>2877</v>
      </c>
      <c r="ENG1333" s="4" t="s">
        <v>2877</v>
      </c>
      <c r="ENH1333" s="4" t="s">
        <v>2877</v>
      </c>
      <c r="ENI1333" s="4" t="s">
        <v>2877</v>
      </c>
      <c r="ENJ1333" s="4" t="s">
        <v>2877</v>
      </c>
      <c r="ENK1333" s="4" t="s">
        <v>2877</v>
      </c>
      <c r="ENL1333" s="4" t="s">
        <v>2877</v>
      </c>
      <c r="ENM1333" s="4" t="s">
        <v>2877</v>
      </c>
      <c r="ENN1333" s="4" t="s">
        <v>2877</v>
      </c>
      <c r="ENO1333" s="4" t="s">
        <v>2877</v>
      </c>
      <c r="ENP1333" s="4" t="s">
        <v>2877</v>
      </c>
      <c r="ENQ1333" s="4" t="s">
        <v>2877</v>
      </c>
      <c r="ENR1333" s="4" t="s">
        <v>2877</v>
      </c>
      <c r="ENS1333" s="4" t="s">
        <v>2877</v>
      </c>
      <c r="ENT1333" s="4" t="s">
        <v>2877</v>
      </c>
      <c r="ENU1333" s="4" t="s">
        <v>2877</v>
      </c>
      <c r="ENV1333" s="4" t="s">
        <v>2877</v>
      </c>
      <c r="ENW1333" s="4" t="s">
        <v>2877</v>
      </c>
      <c r="ENX1333" s="4" t="s">
        <v>2877</v>
      </c>
      <c r="ENY1333" s="4" t="s">
        <v>2877</v>
      </c>
      <c r="ENZ1333" s="4" t="s">
        <v>2877</v>
      </c>
      <c r="EOA1333" s="4" t="s">
        <v>2877</v>
      </c>
      <c r="EOB1333" s="4" t="s">
        <v>2877</v>
      </c>
      <c r="EOC1333" s="4" t="s">
        <v>2877</v>
      </c>
      <c r="EOD1333" s="4" t="s">
        <v>2877</v>
      </c>
      <c r="EOE1333" s="4" t="s">
        <v>2877</v>
      </c>
      <c r="EOF1333" s="4" t="s">
        <v>2877</v>
      </c>
      <c r="EOG1333" s="4" t="s">
        <v>2877</v>
      </c>
      <c r="EOH1333" s="4" t="s">
        <v>2877</v>
      </c>
      <c r="EOI1333" s="4" t="s">
        <v>2877</v>
      </c>
      <c r="EOJ1333" s="4" t="s">
        <v>2877</v>
      </c>
      <c r="EOK1333" s="4" t="s">
        <v>2877</v>
      </c>
      <c r="EOL1333" s="4" t="s">
        <v>2877</v>
      </c>
      <c r="EOM1333" s="4" t="s">
        <v>2877</v>
      </c>
      <c r="EON1333" s="4" t="s">
        <v>2877</v>
      </c>
      <c r="EOO1333" s="4" t="s">
        <v>2877</v>
      </c>
      <c r="EOP1333" s="4" t="s">
        <v>2877</v>
      </c>
      <c r="EOQ1333" s="4" t="s">
        <v>2877</v>
      </c>
      <c r="EOR1333" s="4" t="s">
        <v>2877</v>
      </c>
      <c r="EOS1333" s="4" t="s">
        <v>2877</v>
      </c>
      <c r="EOT1333" s="4" t="s">
        <v>2877</v>
      </c>
      <c r="EOU1333" s="4" t="s">
        <v>2877</v>
      </c>
      <c r="EOV1333" s="4" t="s">
        <v>2877</v>
      </c>
      <c r="EOW1333" s="4" t="s">
        <v>2877</v>
      </c>
      <c r="EOX1333" s="4" t="s">
        <v>2877</v>
      </c>
      <c r="EOY1333" s="4" t="s">
        <v>2877</v>
      </c>
      <c r="EOZ1333" s="4" t="s">
        <v>2877</v>
      </c>
      <c r="EPA1333" s="4" t="s">
        <v>2877</v>
      </c>
      <c r="EPB1333" s="4" t="s">
        <v>2877</v>
      </c>
      <c r="EPC1333" s="4" t="s">
        <v>2877</v>
      </c>
      <c r="EPD1333" s="4" t="s">
        <v>2877</v>
      </c>
      <c r="EPE1333" s="4" t="s">
        <v>2877</v>
      </c>
      <c r="EPF1333" s="4" t="s">
        <v>2877</v>
      </c>
      <c r="EPG1333" s="4" t="s">
        <v>2877</v>
      </c>
      <c r="EPH1333" s="4" t="s">
        <v>2877</v>
      </c>
      <c r="EPI1333" s="4" t="s">
        <v>2877</v>
      </c>
      <c r="EPJ1333" s="4" t="s">
        <v>2877</v>
      </c>
      <c r="EPK1333" s="4" t="s">
        <v>2877</v>
      </c>
      <c r="EPL1333" s="4" t="s">
        <v>2877</v>
      </c>
      <c r="EPM1333" s="4" t="s">
        <v>2877</v>
      </c>
      <c r="EPN1333" s="4" t="s">
        <v>2877</v>
      </c>
      <c r="EPO1333" s="4" t="s">
        <v>2877</v>
      </c>
      <c r="EPP1333" s="4" t="s">
        <v>2877</v>
      </c>
      <c r="EPQ1333" s="4" t="s">
        <v>2877</v>
      </c>
      <c r="EPR1333" s="4" t="s">
        <v>2877</v>
      </c>
      <c r="EPS1333" s="4" t="s">
        <v>2877</v>
      </c>
      <c r="EPT1333" s="4" t="s">
        <v>2877</v>
      </c>
      <c r="EPU1333" s="4" t="s">
        <v>2877</v>
      </c>
      <c r="EPV1333" s="4" t="s">
        <v>2877</v>
      </c>
      <c r="EPW1333" s="4" t="s">
        <v>2877</v>
      </c>
      <c r="EPX1333" s="4" t="s">
        <v>2877</v>
      </c>
      <c r="EPY1333" s="4" t="s">
        <v>2877</v>
      </c>
      <c r="EPZ1333" s="4" t="s">
        <v>2877</v>
      </c>
      <c r="EQA1333" s="4" t="s">
        <v>2877</v>
      </c>
      <c r="EQB1333" s="4" t="s">
        <v>2877</v>
      </c>
      <c r="EQC1333" s="4" t="s">
        <v>2877</v>
      </c>
      <c r="EQD1333" s="4" t="s">
        <v>2877</v>
      </c>
      <c r="EQE1333" s="4" t="s">
        <v>2877</v>
      </c>
      <c r="EQF1333" s="4" t="s">
        <v>2877</v>
      </c>
      <c r="EQG1333" s="4" t="s">
        <v>2877</v>
      </c>
      <c r="EQH1333" s="4" t="s">
        <v>2877</v>
      </c>
      <c r="EQI1333" s="4" t="s">
        <v>2877</v>
      </c>
      <c r="EQJ1333" s="4" t="s">
        <v>2877</v>
      </c>
      <c r="EQK1333" s="4" t="s">
        <v>2877</v>
      </c>
      <c r="EQL1333" s="4" t="s">
        <v>2877</v>
      </c>
      <c r="EQM1333" s="4" t="s">
        <v>2877</v>
      </c>
      <c r="EQN1333" s="4" t="s">
        <v>2877</v>
      </c>
      <c r="EQO1333" s="4" t="s">
        <v>2877</v>
      </c>
      <c r="EQP1333" s="4" t="s">
        <v>2877</v>
      </c>
      <c r="EQQ1333" s="4" t="s">
        <v>2877</v>
      </c>
      <c r="EQR1333" s="4" t="s">
        <v>2877</v>
      </c>
      <c r="EQS1333" s="4" t="s">
        <v>2877</v>
      </c>
      <c r="EQT1333" s="4" t="s">
        <v>2877</v>
      </c>
      <c r="EQU1333" s="4" t="s">
        <v>2877</v>
      </c>
      <c r="EQV1333" s="4" t="s">
        <v>2877</v>
      </c>
      <c r="EQW1333" s="4" t="s">
        <v>2877</v>
      </c>
      <c r="EQX1333" s="4" t="s">
        <v>2877</v>
      </c>
      <c r="EQY1333" s="4" t="s">
        <v>2877</v>
      </c>
      <c r="EQZ1333" s="4" t="s">
        <v>2877</v>
      </c>
      <c r="ERA1333" s="4" t="s">
        <v>2877</v>
      </c>
      <c r="ERB1333" s="4" t="s">
        <v>2877</v>
      </c>
      <c r="ERC1333" s="4" t="s">
        <v>2877</v>
      </c>
      <c r="ERD1333" s="4" t="s">
        <v>2877</v>
      </c>
      <c r="ERE1333" s="4" t="s">
        <v>2877</v>
      </c>
      <c r="ERF1333" s="4" t="s">
        <v>2877</v>
      </c>
      <c r="ERG1333" s="4" t="s">
        <v>2877</v>
      </c>
      <c r="ERH1333" s="4" t="s">
        <v>2877</v>
      </c>
      <c r="ERI1333" s="4" t="s">
        <v>2877</v>
      </c>
      <c r="ERJ1333" s="4" t="s">
        <v>2877</v>
      </c>
      <c r="ERK1333" s="4" t="s">
        <v>2877</v>
      </c>
      <c r="ERL1333" s="4" t="s">
        <v>2877</v>
      </c>
      <c r="ERM1333" s="4" t="s">
        <v>2877</v>
      </c>
      <c r="ERN1333" s="4" t="s">
        <v>2877</v>
      </c>
      <c r="ERO1333" s="4" t="s">
        <v>2877</v>
      </c>
      <c r="ERP1333" s="4" t="s">
        <v>2877</v>
      </c>
      <c r="ERQ1333" s="4" t="s">
        <v>2877</v>
      </c>
      <c r="ERR1333" s="4" t="s">
        <v>2877</v>
      </c>
      <c r="ERS1333" s="4" t="s">
        <v>2877</v>
      </c>
      <c r="ERT1333" s="4" t="s">
        <v>2877</v>
      </c>
      <c r="ERU1333" s="4" t="s">
        <v>2877</v>
      </c>
      <c r="ERV1333" s="4" t="s">
        <v>2877</v>
      </c>
      <c r="ERW1333" s="4" t="s">
        <v>2877</v>
      </c>
      <c r="ERX1333" s="4" t="s">
        <v>2877</v>
      </c>
      <c r="ERY1333" s="4" t="s">
        <v>2877</v>
      </c>
      <c r="ERZ1333" s="4" t="s">
        <v>2877</v>
      </c>
      <c r="ESA1333" s="4" t="s">
        <v>2877</v>
      </c>
      <c r="ESB1333" s="4" t="s">
        <v>2877</v>
      </c>
      <c r="ESC1333" s="4" t="s">
        <v>2877</v>
      </c>
      <c r="ESD1333" s="4" t="s">
        <v>2877</v>
      </c>
      <c r="ESE1333" s="4" t="s">
        <v>2877</v>
      </c>
      <c r="ESF1333" s="4" t="s">
        <v>2877</v>
      </c>
      <c r="ESG1333" s="4" t="s">
        <v>2877</v>
      </c>
      <c r="ESH1333" s="4" t="s">
        <v>2877</v>
      </c>
      <c r="ESI1333" s="4" t="s">
        <v>2877</v>
      </c>
      <c r="ESJ1333" s="4" t="s">
        <v>2877</v>
      </c>
      <c r="ESK1333" s="4" t="s">
        <v>2877</v>
      </c>
      <c r="ESL1333" s="4" t="s">
        <v>2877</v>
      </c>
      <c r="ESM1333" s="4" t="s">
        <v>2877</v>
      </c>
      <c r="ESN1333" s="4" t="s">
        <v>2877</v>
      </c>
      <c r="ESO1333" s="4" t="s">
        <v>2877</v>
      </c>
      <c r="ESP1333" s="4" t="s">
        <v>2877</v>
      </c>
      <c r="ESQ1333" s="4" t="s">
        <v>2877</v>
      </c>
      <c r="ESR1333" s="4" t="s">
        <v>2877</v>
      </c>
      <c r="ESS1333" s="4" t="s">
        <v>2877</v>
      </c>
      <c r="EST1333" s="4" t="s">
        <v>2877</v>
      </c>
      <c r="ESU1333" s="4" t="s">
        <v>2877</v>
      </c>
      <c r="ESV1333" s="4" t="s">
        <v>2877</v>
      </c>
      <c r="ESW1333" s="4" t="s">
        <v>2877</v>
      </c>
      <c r="ESX1333" s="4" t="s">
        <v>2877</v>
      </c>
      <c r="ESY1333" s="4" t="s">
        <v>2877</v>
      </c>
      <c r="ESZ1333" s="4" t="s">
        <v>2877</v>
      </c>
      <c r="ETA1333" s="4" t="s">
        <v>2877</v>
      </c>
      <c r="ETB1333" s="4" t="s">
        <v>2877</v>
      </c>
      <c r="ETC1333" s="4" t="s">
        <v>2877</v>
      </c>
      <c r="ETD1333" s="4" t="s">
        <v>2877</v>
      </c>
      <c r="ETE1333" s="4" t="s">
        <v>2877</v>
      </c>
      <c r="ETF1333" s="4" t="s">
        <v>2877</v>
      </c>
      <c r="ETG1333" s="4" t="s">
        <v>2877</v>
      </c>
      <c r="ETH1333" s="4" t="s">
        <v>2877</v>
      </c>
      <c r="ETI1333" s="4" t="s">
        <v>2877</v>
      </c>
      <c r="ETJ1333" s="4" t="s">
        <v>2877</v>
      </c>
      <c r="ETK1333" s="4" t="s">
        <v>2877</v>
      </c>
      <c r="ETL1333" s="4" t="s">
        <v>2877</v>
      </c>
      <c r="ETM1333" s="4" t="s">
        <v>2877</v>
      </c>
      <c r="ETN1333" s="4" t="s">
        <v>2877</v>
      </c>
      <c r="ETO1333" s="4" t="s">
        <v>2877</v>
      </c>
      <c r="ETP1333" s="4" t="s">
        <v>2877</v>
      </c>
      <c r="ETQ1333" s="4" t="s">
        <v>2877</v>
      </c>
      <c r="ETR1333" s="4" t="s">
        <v>2877</v>
      </c>
      <c r="ETS1333" s="4" t="s">
        <v>2877</v>
      </c>
      <c r="ETT1333" s="4" t="s">
        <v>2877</v>
      </c>
      <c r="ETU1333" s="4" t="s">
        <v>2877</v>
      </c>
      <c r="ETV1333" s="4" t="s">
        <v>2877</v>
      </c>
      <c r="ETW1333" s="4" t="s">
        <v>2877</v>
      </c>
      <c r="ETX1333" s="4" t="s">
        <v>2877</v>
      </c>
      <c r="ETY1333" s="4" t="s">
        <v>2877</v>
      </c>
      <c r="ETZ1333" s="4" t="s">
        <v>2877</v>
      </c>
      <c r="EUA1333" s="4" t="s">
        <v>2877</v>
      </c>
      <c r="EUB1333" s="4" t="s">
        <v>2877</v>
      </c>
      <c r="EUC1333" s="4" t="s">
        <v>2877</v>
      </c>
      <c r="EUD1333" s="4" t="s">
        <v>2877</v>
      </c>
      <c r="EUE1333" s="4" t="s">
        <v>2877</v>
      </c>
      <c r="EUF1333" s="4" t="s">
        <v>2877</v>
      </c>
      <c r="EUG1333" s="4" t="s">
        <v>2877</v>
      </c>
      <c r="EUH1333" s="4" t="s">
        <v>2877</v>
      </c>
      <c r="EUI1333" s="4" t="s">
        <v>2877</v>
      </c>
      <c r="EUJ1333" s="4" t="s">
        <v>2877</v>
      </c>
      <c r="EUK1333" s="4" t="s">
        <v>2877</v>
      </c>
      <c r="EUL1333" s="4" t="s">
        <v>2877</v>
      </c>
      <c r="EUM1333" s="4" t="s">
        <v>2877</v>
      </c>
      <c r="EUN1333" s="4" t="s">
        <v>2877</v>
      </c>
      <c r="EUO1333" s="4" t="s">
        <v>2877</v>
      </c>
      <c r="EUP1333" s="4" t="s">
        <v>2877</v>
      </c>
      <c r="EUQ1333" s="4" t="s">
        <v>2877</v>
      </c>
      <c r="EUR1333" s="4" t="s">
        <v>2877</v>
      </c>
      <c r="EUS1333" s="4" t="s">
        <v>2877</v>
      </c>
      <c r="EUT1333" s="4" t="s">
        <v>2877</v>
      </c>
      <c r="EUU1333" s="4" t="s">
        <v>2877</v>
      </c>
      <c r="EUV1333" s="4" t="s">
        <v>2877</v>
      </c>
      <c r="EUW1333" s="4" t="s">
        <v>2877</v>
      </c>
      <c r="EUX1333" s="4" t="s">
        <v>2877</v>
      </c>
      <c r="EUY1333" s="4" t="s">
        <v>2877</v>
      </c>
      <c r="EUZ1333" s="4" t="s">
        <v>2877</v>
      </c>
      <c r="EVA1333" s="4" t="s">
        <v>2877</v>
      </c>
      <c r="EVB1333" s="4" t="s">
        <v>2877</v>
      </c>
      <c r="EVC1333" s="4" t="s">
        <v>2877</v>
      </c>
      <c r="EVD1333" s="4" t="s">
        <v>2877</v>
      </c>
      <c r="EVE1333" s="4" t="s">
        <v>2877</v>
      </c>
      <c r="EVF1333" s="4" t="s">
        <v>2877</v>
      </c>
      <c r="EVG1333" s="4" t="s">
        <v>2877</v>
      </c>
      <c r="EVH1333" s="4" t="s">
        <v>2877</v>
      </c>
      <c r="EVI1333" s="4" t="s">
        <v>2877</v>
      </c>
      <c r="EVJ1333" s="4" t="s">
        <v>2877</v>
      </c>
      <c r="EVK1333" s="4" t="s">
        <v>2877</v>
      </c>
      <c r="EVL1333" s="4" t="s">
        <v>2877</v>
      </c>
      <c r="EVM1333" s="4" t="s">
        <v>2877</v>
      </c>
      <c r="EVN1333" s="4" t="s">
        <v>2877</v>
      </c>
      <c r="EVO1333" s="4" t="s">
        <v>2877</v>
      </c>
      <c r="EVP1333" s="4" t="s">
        <v>2877</v>
      </c>
      <c r="EVQ1333" s="4" t="s">
        <v>2877</v>
      </c>
      <c r="EVR1333" s="4" t="s">
        <v>2877</v>
      </c>
      <c r="EVS1333" s="4" t="s">
        <v>2877</v>
      </c>
      <c r="EVT1333" s="4" t="s">
        <v>2877</v>
      </c>
      <c r="EVU1333" s="4" t="s">
        <v>2877</v>
      </c>
      <c r="EVV1333" s="4" t="s">
        <v>2877</v>
      </c>
      <c r="EVW1333" s="4" t="s">
        <v>2877</v>
      </c>
      <c r="EVX1333" s="4" t="s">
        <v>2877</v>
      </c>
      <c r="EVY1333" s="4" t="s">
        <v>2877</v>
      </c>
      <c r="EVZ1333" s="4" t="s">
        <v>2877</v>
      </c>
      <c r="EWA1333" s="4" t="s">
        <v>2877</v>
      </c>
      <c r="EWB1333" s="4" t="s">
        <v>2877</v>
      </c>
      <c r="EWC1333" s="4" t="s">
        <v>2877</v>
      </c>
      <c r="EWD1333" s="4" t="s">
        <v>2877</v>
      </c>
      <c r="EWE1333" s="4" t="s">
        <v>2877</v>
      </c>
      <c r="EWF1333" s="4" t="s">
        <v>2877</v>
      </c>
      <c r="EWG1333" s="4" t="s">
        <v>2877</v>
      </c>
      <c r="EWH1333" s="4" t="s">
        <v>2877</v>
      </c>
      <c r="EWI1333" s="4" t="s">
        <v>2877</v>
      </c>
      <c r="EWJ1333" s="4" t="s">
        <v>2877</v>
      </c>
      <c r="EWK1333" s="4" t="s">
        <v>2877</v>
      </c>
      <c r="EWL1333" s="4" t="s">
        <v>2877</v>
      </c>
      <c r="EWM1333" s="4" t="s">
        <v>2877</v>
      </c>
      <c r="EWN1333" s="4" t="s">
        <v>2877</v>
      </c>
      <c r="EWO1333" s="4" t="s">
        <v>2877</v>
      </c>
      <c r="EWP1333" s="4" t="s">
        <v>2877</v>
      </c>
      <c r="EWQ1333" s="4" t="s">
        <v>2877</v>
      </c>
      <c r="EWR1333" s="4" t="s">
        <v>2877</v>
      </c>
      <c r="EWS1333" s="4" t="s">
        <v>2877</v>
      </c>
      <c r="EWT1333" s="4" t="s">
        <v>2877</v>
      </c>
      <c r="EWU1333" s="4" t="s">
        <v>2877</v>
      </c>
      <c r="EWV1333" s="4" t="s">
        <v>2877</v>
      </c>
      <c r="EWW1333" s="4" t="s">
        <v>2877</v>
      </c>
      <c r="EWX1333" s="4" t="s">
        <v>2877</v>
      </c>
      <c r="EWY1333" s="4" t="s">
        <v>2877</v>
      </c>
      <c r="EWZ1333" s="4" t="s">
        <v>2877</v>
      </c>
      <c r="EXA1333" s="4" t="s">
        <v>2877</v>
      </c>
      <c r="EXB1333" s="4" t="s">
        <v>2877</v>
      </c>
      <c r="EXC1333" s="4" t="s">
        <v>2877</v>
      </c>
      <c r="EXD1333" s="4" t="s">
        <v>2877</v>
      </c>
      <c r="EXE1333" s="4" t="s">
        <v>2877</v>
      </c>
      <c r="EXF1333" s="4" t="s">
        <v>2877</v>
      </c>
      <c r="EXG1333" s="4" t="s">
        <v>2877</v>
      </c>
      <c r="EXH1333" s="4" t="s">
        <v>2877</v>
      </c>
      <c r="EXI1333" s="4" t="s">
        <v>2877</v>
      </c>
      <c r="EXJ1333" s="4" t="s">
        <v>2877</v>
      </c>
      <c r="EXK1333" s="4" t="s">
        <v>2877</v>
      </c>
      <c r="EXL1333" s="4" t="s">
        <v>2877</v>
      </c>
      <c r="EXM1333" s="4" t="s">
        <v>2877</v>
      </c>
      <c r="EXN1333" s="4" t="s">
        <v>2877</v>
      </c>
      <c r="EXO1333" s="4" t="s">
        <v>2877</v>
      </c>
      <c r="EXP1333" s="4" t="s">
        <v>2877</v>
      </c>
      <c r="EXQ1333" s="4" t="s">
        <v>2877</v>
      </c>
      <c r="EXR1333" s="4" t="s">
        <v>2877</v>
      </c>
      <c r="EXS1333" s="4" t="s">
        <v>2877</v>
      </c>
      <c r="EXT1333" s="4" t="s">
        <v>2877</v>
      </c>
      <c r="EXU1333" s="4" t="s">
        <v>2877</v>
      </c>
      <c r="EXV1333" s="4" t="s">
        <v>2877</v>
      </c>
      <c r="EXW1333" s="4" t="s">
        <v>2877</v>
      </c>
      <c r="EXX1333" s="4" t="s">
        <v>2877</v>
      </c>
      <c r="EXY1333" s="4" t="s">
        <v>2877</v>
      </c>
      <c r="EXZ1333" s="4" t="s">
        <v>2877</v>
      </c>
      <c r="EYA1333" s="4" t="s">
        <v>2877</v>
      </c>
      <c r="EYB1333" s="4" t="s">
        <v>2877</v>
      </c>
      <c r="EYC1333" s="4" t="s">
        <v>2877</v>
      </c>
      <c r="EYD1333" s="4" t="s">
        <v>2877</v>
      </c>
      <c r="EYE1333" s="4" t="s">
        <v>2877</v>
      </c>
      <c r="EYF1333" s="4" t="s">
        <v>2877</v>
      </c>
      <c r="EYG1333" s="4" t="s">
        <v>2877</v>
      </c>
      <c r="EYH1333" s="4" t="s">
        <v>2877</v>
      </c>
      <c r="EYI1333" s="4" t="s">
        <v>2877</v>
      </c>
      <c r="EYJ1333" s="4" t="s">
        <v>2877</v>
      </c>
      <c r="EYK1333" s="4" t="s">
        <v>2877</v>
      </c>
      <c r="EYL1333" s="4" t="s">
        <v>2877</v>
      </c>
      <c r="EYM1333" s="4" t="s">
        <v>2877</v>
      </c>
      <c r="EYN1333" s="4" t="s">
        <v>2877</v>
      </c>
      <c r="EYO1333" s="4" t="s">
        <v>2877</v>
      </c>
      <c r="EYP1333" s="4" t="s">
        <v>2877</v>
      </c>
      <c r="EYQ1333" s="4" t="s">
        <v>2877</v>
      </c>
      <c r="EYR1333" s="4" t="s">
        <v>2877</v>
      </c>
      <c r="EYS1333" s="4" t="s">
        <v>2877</v>
      </c>
      <c r="EYT1333" s="4" t="s">
        <v>2877</v>
      </c>
      <c r="EYU1333" s="4" t="s">
        <v>2877</v>
      </c>
      <c r="EYV1333" s="4" t="s">
        <v>2877</v>
      </c>
      <c r="EYW1333" s="4" t="s">
        <v>2877</v>
      </c>
      <c r="EYX1333" s="4" t="s">
        <v>2877</v>
      </c>
      <c r="EYY1333" s="4" t="s">
        <v>2877</v>
      </c>
      <c r="EYZ1333" s="4" t="s">
        <v>2877</v>
      </c>
      <c r="EZA1333" s="4" t="s">
        <v>2877</v>
      </c>
      <c r="EZB1333" s="4" t="s">
        <v>2877</v>
      </c>
      <c r="EZC1333" s="4" t="s">
        <v>2877</v>
      </c>
      <c r="EZD1333" s="4" t="s">
        <v>2877</v>
      </c>
      <c r="EZE1333" s="4" t="s">
        <v>2877</v>
      </c>
      <c r="EZF1333" s="4" t="s">
        <v>2877</v>
      </c>
      <c r="EZG1333" s="4" t="s">
        <v>2877</v>
      </c>
      <c r="EZH1333" s="4" t="s">
        <v>2877</v>
      </c>
      <c r="EZI1333" s="4" t="s">
        <v>2877</v>
      </c>
      <c r="EZJ1333" s="4" t="s">
        <v>2877</v>
      </c>
      <c r="EZK1333" s="4" t="s">
        <v>2877</v>
      </c>
      <c r="EZL1333" s="4" t="s">
        <v>2877</v>
      </c>
      <c r="EZM1333" s="4" t="s">
        <v>2877</v>
      </c>
      <c r="EZN1333" s="4" t="s">
        <v>2877</v>
      </c>
      <c r="EZO1333" s="4" t="s">
        <v>2877</v>
      </c>
      <c r="EZP1333" s="4" t="s">
        <v>2877</v>
      </c>
      <c r="EZQ1333" s="4" t="s">
        <v>2877</v>
      </c>
      <c r="EZR1333" s="4" t="s">
        <v>2877</v>
      </c>
      <c r="EZS1333" s="4" t="s">
        <v>2877</v>
      </c>
      <c r="EZT1333" s="4" t="s">
        <v>2877</v>
      </c>
      <c r="EZU1333" s="4" t="s">
        <v>2877</v>
      </c>
      <c r="EZV1333" s="4" t="s">
        <v>2877</v>
      </c>
      <c r="EZW1333" s="4" t="s">
        <v>2877</v>
      </c>
      <c r="EZX1333" s="4" t="s">
        <v>2877</v>
      </c>
      <c r="EZY1333" s="4" t="s">
        <v>2877</v>
      </c>
      <c r="EZZ1333" s="4" t="s">
        <v>2877</v>
      </c>
      <c r="FAA1333" s="4" t="s">
        <v>2877</v>
      </c>
      <c r="FAB1333" s="4" t="s">
        <v>2877</v>
      </c>
      <c r="FAC1333" s="4" t="s">
        <v>2877</v>
      </c>
      <c r="FAD1333" s="4" t="s">
        <v>2877</v>
      </c>
      <c r="FAE1333" s="4" t="s">
        <v>2877</v>
      </c>
      <c r="FAF1333" s="4" t="s">
        <v>2877</v>
      </c>
      <c r="FAG1333" s="4" t="s">
        <v>2877</v>
      </c>
      <c r="FAH1333" s="4" t="s">
        <v>2877</v>
      </c>
      <c r="FAI1333" s="4" t="s">
        <v>2877</v>
      </c>
      <c r="FAJ1333" s="4" t="s">
        <v>2877</v>
      </c>
      <c r="FAK1333" s="4" t="s">
        <v>2877</v>
      </c>
      <c r="FAL1333" s="4" t="s">
        <v>2877</v>
      </c>
      <c r="FAM1333" s="4" t="s">
        <v>2877</v>
      </c>
      <c r="FAN1333" s="4" t="s">
        <v>2877</v>
      </c>
      <c r="FAO1333" s="4" t="s">
        <v>2877</v>
      </c>
      <c r="FAP1333" s="4" t="s">
        <v>2877</v>
      </c>
      <c r="FAQ1333" s="4" t="s">
        <v>2877</v>
      </c>
      <c r="FAR1333" s="4" t="s">
        <v>2877</v>
      </c>
      <c r="FAS1333" s="4" t="s">
        <v>2877</v>
      </c>
      <c r="FAT1333" s="4" t="s">
        <v>2877</v>
      </c>
      <c r="FAU1333" s="4" t="s">
        <v>2877</v>
      </c>
      <c r="FAV1333" s="4" t="s">
        <v>2877</v>
      </c>
      <c r="FAW1333" s="4" t="s">
        <v>2877</v>
      </c>
      <c r="FAX1333" s="4" t="s">
        <v>2877</v>
      </c>
      <c r="FAY1333" s="4" t="s">
        <v>2877</v>
      </c>
      <c r="FAZ1333" s="4" t="s">
        <v>2877</v>
      </c>
      <c r="FBA1333" s="4" t="s">
        <v>2877</v>
      </c>
      <c r="FBB1333" s="4" t="s">
        <v>2877</v>
      </c>
      <c r="FBC1333" s="4" t="s">
        <v>2877</v>
      </c>
      <c r="FBD1333" s="4" t="s">
        <v>2877</v>
      </c>
      <c r="FBE1333" s="4" t="s">
        <v>2877</v>
      </c>
      <c r="FBF1333" s="4" t="s">
        <v>2877</v>
      </c>
      <c r="FBG1333" s="4" t="s">
        <v>2877</v>
      </c>
      <c r="FBH1333" s="4" t="s">
        <v>2877</v>
      </c>
      <c r="FBI1333" s="4" t="s">
        <v>2877</v>
      </c>
      <c r="FBJ1333" s="4" t="s">
        <v>2877</v>
      </c>
      <c r="FBK1333" s="4" t="s">
        <v>2877</v>
      </c>
      <c r="FBL1333" s="4" t="s">
        <v>2877</v>
      </c>
      <c r="FBM1333" s="4" t="s">
        <v>2877</v>
      </c>
      <c r="FBN1333" s="4" t="s">
        <v>2877</v>
      </c>
      <c r="FBO1333" s="4" t="s">
        <v>2877</v>
      </c>
      <c r="FBP1333" s="4" t="s">
        <v>2877</v>
      </c>
      <c r="FBQ1333" s="4" t="s">
        <v>2877</v>
      </c>
      <c r="FBR1333" s="4" t="s">
        <v>2877</v>
      </c>
      <c r="FBS1333" s="4" t="s">
        <v>2877</v>
      </c>
      <c r="FBT1333" s="4" t="s">
        <v>2877</v>
      </c>
      <c r="FBU1333" s="4" t="s">
        <v>2877</v>
      </c>
      <c r="FBV1333" s="4" t="s">
        <v>2877</v>
      </c>
      <c r="FBW1333" s="4" t="s">
        <v>2877</v>
      </c>
      <c r="FBX1333" s="4" t="s">
        <v>2877</v>
      </c>
      <c r="FBY1333" s="4" t="s">
        <v>2877</v>
      </c>
      <c r="FBZ1333" s="4" t="s">
        <v>2877</v>
      </c>
      <c r="FCA1333" s="4" t="s">
        <v>2877</v>
      </c>
      <c r="FCB1333" s="4" t="s">
        <v>2877</v>
      </c>
      <c r="FCC1333" s="4" t="s">
        <v>2877</v>
      </c>
      <c r="FCD1333" s="4" t="s">
        <v>2877</v>
      </c>
      <c r="FCE1333" s="4" t="s">
        <v>2877</v>
      </c>
      <c r="FCF1333" s="4" t="s">
        <v>2877</v>
      </c>
      <c r="FCG1333" s="4" t="s">
        <v>2877</v>
      </c>
      <c r="FCH1333" s="4" t="s">
        <v>2877</v>
      </c>
      <c r="FCI1333" s="4" t="s">
        <v>2877</v>
      </c>
      <c r="FCJ1333" s="4" t="s">
        <v>2877</v>
      </c>
      <c r="FCK1333" s="4" t="s">
        <v>2877</v>
      </c>
      <c r="FCL1333" s="4" t="s">
        <v>2877</v>
      </c>
      <c r="FCM1333" s="4" t="s">
        <v>2877</v>
      </c>
      <c r="FCN1333" s="4" t="s">
        <v>2877</v>
      </c>
      <c r="FCO1333" s="4" t="s">
        <v>2877</v>
      </c>
      <c r="FCP1333" s="4" t="s">
        <v>2877</v>
      </c>
      <c r="FCQ1333" s="4" t="s">
        <v>2877</v>
      </c>
      <c r="FCR1333" s="4" t="s">
        <v>2877</v>
      </c>
      <c r="FCS1333" s="4" t="s">
        <v>2877</v>
      </c>
      <c r="FCT1333" s="4" t="s">
        <v>2877</v>
      </c>
      <c r="FCU1333" s="4" t="s">
        <v>2877</v>
      </c>
      <c r="FCV1333" s="4" t="s">
        <v>2877</v>
      </c>
      <c r="FCW1333" s="4" t="s">
        <v>2877</v>
      </c>
      <c r="FCX1333" s="4" t="s">
        <v>2877</v>
      </c>
      <c r="FCY1333" s="4" t="s">
        <v>2877</v>
      </c>
      <c r="FCZ1333" s="4" t="s">
        <v>2877</v>
      </c>
      <c r="FDA1333" s="4" t="s">
        <v>2877</v>
      </c>
      <c r="FDB1333" s="4" t="s">
        <v>2877</v>
      </c>
      <c r="FDC1333" s="4" t="s">
        <v>2877</v>
      </c>
      <c r="FDD1333" s="4" t="s">
        <v>2877</v>
      </c>
      <c r="FDE1333" s="4" t="s">
        <v>2877</v>
      </c>
      <c r="FDF1333" s="4" t="s">
        <v>2877</v>
      </c>
      <c r="FDG1333" s="4" t="s">
        <v>2877</v>
      </c>
      <c r="FDH1333" s="4" t="s">
        <v>2877</v>
      </c>
      <c r="FDI1333" s="4" t="s">
        <v>2877</v>
      </c>
      <c r="FDJ1333" s="4" t="s">
        <v>2877</v>
      </c>
      <c r="FDK1333" s="4" t="s">
        <v>2877</v>
      </c>
      <c r="FDL1333" s="4" t="s">
        <v>2877</v>
      </c>
      <c r="FDM1333" s="4" t="s">
        <v>2877</v>
      </c>
      <c r="FDN1333" s="4" t="s">
        <v>2877</v>
      </c>
      <c r="FDO1333" s="4" t="s">
        <v>2877</v>
      </c>
      <c r="FDP1333" s="4" t="s">
        <v>2877</v>
      </c>
      <c r="FDQ1333" s="4" t="s">
        <v>2877</v>
      </c>
      <c r="FDR1333" s="4" t="s">
        <v>2877</v>
      </c>
      <c r="FDS1333" s="4" t="s">
        <v>2877</v>
      </c>
      <c r="FDT1333" s="4" t="s">
        <v>2877</v>
      </c>
      <c r="FDU1333" s="4" t="s">
        <v>2877</v>
      </c>
      <c r="FDV1333" s="4" t="s">
        <v>2877</v>
      </c>
      <c r="FDW1333" s="4" t="s">
        <v>2877</v>
      </c>
      <c r="FDX1333" s="4" t="s">
        <v>2877</v>
      </c>
      <c r="FDY1333" s="4" t="s">
        <v>2877</v>
      </c>
      <c r="FDZ1333" s="4" t="s">
        <v>2877</v>
      </c>
      <c r="FEA1333" s="4" t="s">
        <v>2877</v>
      </c>
      <c r="FEB1333" s="4" t="s">
        <v>2877</v>
      </c>
      <c r="FEC1333" s="4" t="s">
        <v>2877</v>
      </c>
      <c r="FED1333" s="4" t="s">
        <v>2877</v>
      </c>
      <c r="FEE1333" s="4" t="s">
        <v>2877</v>
      </c>
      <c r="FEF1333" s="4" t="s">
        <v>2877</v>
      </c>
      <c r="FEG1333" s="4" t="s">
        <v>2877</v>
      </c>
      <c r="FEH1333" s="4" t="s">
        <v>2877</v>
      </c>
      <c r="FEI1333" s="4" t="s">
        <v>2877</v>
      </c>
      <c r="FEJ1333" s="4" t="s">
        <v>2877</v>
      </c>
      <c r="FEK1333" s="4" t="s">
        <v>2877</v>
      </c>
      <c r="FEL1333" s="4" t="s">
        <v>2877</v>
      </c>
      <c r="FEM1333" s="4" t="s">
        <v>2877</v>
      </c>
      <c r="FEN1333" s="4" t="s">
        <v>2877</v>
      </c>
      <c r="FEO1333" s="4" t="s">
        <v>2877</v>
      </c>
      <c r="FEP1333" s="4" t="s">
        <v>2877</v>
      </c>
      <c r="FEQ1333" s="4" t="s">
        <v>2877</v>
      </c>
      <c r="FER1333" s="4" t="s">
        <v>2877</v>
      </c>
      <c r="FES1333" s="4" t="s">
        <v>2877</v>
      </c>
      <c r="FET1333" s="4" t="s">
        <v>2877</v>
      </c>
      <c r="FEU1333" s="4" t="s">
        <v>2877</v>
      </c>
      <c r="FEV1333" s="4" t="s">
        <v>2877</v>
      </c>
      <c r="FEW1333" s="4" t="s">
        <v>2877</v>
      </c>
      <c r="FEX1333" s="4" t="s">
        <v>2877</v>
      </c>
      <c r="FEY1333" s="4" t="s">
        <v>2877</v>
      </c>
      <c r="FEZ1333" s="4" t="s">
        <v>2877</v>
      </c>
      <c r="FFA1333" s="4" t="s">
        <v>2877</v>
      </c>
      <c r="FFB1333" s="4" t="s">
        <v>2877</v>
      </c>
      <c r="FFC1333" s="4" t="s">
        <v>2877</v>
      </c>
      <c r="FFD1333" s="4" t="s">
        <v>2877</v>
      </c>
      <c r="FFE1333" s="4" t="s">
        <v>2877</v>
      </c>
      <c r="FFF1333" s="4" t="s">
        <v>2877</v>
      </c>
      <c r="FFG1333" s="4" t="s">
        <v>2877</v>
      </c>
      <c r="FFH1333" s="4" t="s">
        <v>2877</v>
      </c>
      <c r="FFI1333" s="4" t="s">
        <v>2877</v>
      </c>
      <c r="FFJ1333" s="4" t="s">
        <v>2877</v>
      </c>
      <c r="FFK1333" s="4" t="s">
        <v>2877</v>
      </c>
      <c r="FFL1333" s="4" t="s">
        <v>2877</v>
      </c>
      <c r="FFM1333" s="4" t="s">
        <v>2877</v>
      </c>
      <c r="FFN1333" s="4" t="s">
        <v>2877</v>
      </c>
      <c r="FFO1333" s="4" t="s">
        <v>2877</v>
      </c>
      <c r="FFP1333" s="4" t="s">
        <v>2877</v>
      </c>
      <c r="FFQ1333" s="4" t="s">
        <v>2877</v>
      </c>
      <c r="FFR1333" s="4" t="s">
        <v>2877</v>
      </c>
      <c r="FFS1333" s="4" t="s">
        <v>2877</v>
      </c>
      <c r="FFT1333" s="4" t="s">
        <v>2877</v>
      </c>
      <c r="FFU1333" s="4" t="s">
        <v>2877</v>
      </c>
      <c r="FFV1333" s="4" t="s">
        <v>2877</v>
      </c>
      <c r="FFW1333" s="4" t="s">
        <v>2877</v>
      </c>
      <c r="FFX1333" s="4" t="s">
        <v>2877</v>
      </c>
      <c r="FFY1333" s="4" t="s">
        <v>2877</v>
      </c>
      <c r="FFZ1333" s="4" t="s">
        <v>2877</v>
      </c>
      <c r="FGA1333" s="4" t="s">
        <v>2877</v>
      </c>
      <c r="FGB1333" s="4" t="s">
        <v>2877</v>
      </c>
      <c r="FGC1333" s="4" t="s">
        <v>2877</v>
      </c>
      <c r="FGD1333" s="4" t="s">
        <v>2877</v>
      </c>
      <c r="FGE1333" s="4" t="s">
        <v>2877</v>
      </c>
      <c r="FGF1333" s="4" t="s">
        <v>2877</v>
      </c>
      <c r="FGG1333" s="4" t="s">
        <v>2877</v>
      </c>
      <c r="FGH1333" s="4" t="s">
        <v>2877</v>
      </c>
      <c r="FGI1333" s="4" t="s">
        <v>2877</v>
      </c>
      <c r="FGJ1333" s="4" t="s">
        <v>2877</v>
      </c>
      <c r="FGK1333" s="4" t="s">
        <v>2877</v>
      </c>
      <c r="FGL1333" s="4" t="s">
        <v>2877</v>
      </c>
      <c r="FGM1333" s="4" t="s">
        <v>2877</v>
      </c>
      <c r="FGN1333" s="4" t="s">
        <v>2877</v>
      </c>
      <c r="FGO1333" s="4" t="s">
        <v>2877</v>
      </c>
      <c r="FGP1333" s="4" t="s">
        <v>2877</v>
      </c>
      <c r="FGQ1333" s="4" t="s">
        <v>2877</v>
      </c>
      <c r="FGR1333" s="4" t="s">
        <v>2877</v>
      </c>
      <c r="FGS1333" s="4" t="s">
        <v>2877</v>
      </c>
      <c r="FGT1333" s="4" t="s">
        <v>2877</v>
      </c>
      <c r="FGU1333" s="4" t="s">
        <v>2877</v>
      </c>
      <c r="FGV1333" s="4" t="s">
        <v>2877</v>
      </c>
      <c r="FGW1333" s="4" t="s">
        <v>2877</v>
      </c>
      <c r="FGX1333" s="4" t="s">
        <v>2877</v>
      </c>
      <c r="FGY1333" s="4" t="s">
        <v>2877</v>
      </c>
      <c r="FGZ1333" s="4" t="s">
        <v>2877</v>
      </c>
      <c r="FHA1333" s="4" t="s">
        <v>2877</v>
      </c>
      <c r="FHB1333" s="4" t="s">
        <v>2877</v>
      </c>
      <c r="FHC1333" s="4" t="s">
        <v>2877</v>
      </c>
      <c r="FHD1333" s="4" t="s">
        <v>2877</v>
      </c>
      <c r="FHE1333" s="4" t="s">
        <v>2877</v>
      </c>
      <c r="FHF1333" s="4" t="s">
        <v>2877</v>
      </c>
      <c r="FHG1333" s="4" t="s">
        <v>2877</v>
      </c>
      <c r="FHH1333" s="4" t="s">
        <v>2877</v>
      </c>
      <c r="FHI1333" s="4" t="s">
        <v>2877</v>
      </c>
      <c r="FHJ1333" s="4" t="s">
        <v>2877</v>
      </c>
      <c r="FHK1333" s="4" t="s">
        <v>2877</v>
      </c>
      <c r="FHL1333" s="4" t="s">
        <v>2877</v>
      </c>
      <c r="FHM1333" s="4" t="s">
        <v>2877</v>
      </c>
      <c r="FHN1333" s="4" t="s">
        <v>2877</v>
      </c>
      <c r="FHO1333" s="4" t="s">
        <v>2877</v>
      </c>
      <c r="FHP1333" s="4" t="s">
        <v>2877</v>
      </c>
      <c r="FHQ1333" s="4" t="s">
        <v>2877</v>
      </c>
      <c r="FHR1333" s="4" t="s">
        <v>2877</v>
      </c>
      <c r="FHS1333" s="4" t="s">
        <v>2877</v>
      </c>
      <c r="FHT1333" s="4" t="s">
        <v>2877</v>
      </c>
      <c r="FHU1333" s="4" t="s">
        <v>2877</v>
      </c>
      <c r="FHV1333" s="4" t="s">
        <v>2877</v>
      </c>
      <c r="FHW1333" s="4" t="s">
        <v>2877</v>
      </c>
      <c r="FHX1333" s="4" t="s">
        <v>2877</v>
      </c>
      <c r="FHY1333" s="4" t="s">
        <v>2877</v>
      </c>
      <c r="FHZ1333" s="4" t="s">
        <v>2877</v>
      </c>
      <c r="FIA1333" s="4" t="s">
        <v>2877</v>
      </c>
      <c r="FIB1333" s="4" t="s">
        <v>2877</v>
      </c>
      <c r="FIC1333" s="4" t="s">
        <v>2877</v>
      </c>
      <c r="FID1333" s="4" t="s">
        <v>2877</v>
      </c>
      <c r="FIE1333" s="4" t="s">
        <v>2877</v>
      </c>
      <c r="FIF1333" s="4" t="s">
        <v>2877</v>
      </c>
      <c r="FIG1333" s="4" t="s">
        <v>2877</v>
      </c>
      <c r="FIH1333" s="4" t="s">
        <v>2877</v>
      </c>
      <c r="FII1333" s="4" t="s">
        <v>2877</v>
      </c>
      <c r="FIJ1333" s="4" t="s">
        <v>2877</v>
      </c>
      <c r="FIK1333" s="4" t="s">
        <v>2877</v>
      </c>
      <c r="FIL1333" s="4" t="s">
        <v>2877</v>
      </c>
      <c r="FIM1333" s="4" t="s">
        <v>2877</v>
      </c>
      <c r="FIN1333" s="4" t="s">
        <v>2877</v>
      </c>
      <c r="FIO1333" s="4" t="s">
        <v>2877</v>
      </c>
      <c r="FIP1333" s="4" t="s">
        <v>2877</v>
      </c>
      <c r="FIQ1333" s="4" t="s">
        <v>2877</v>
      </c>
      <c r="FIR1333" s="4" t="s">
        <v>2877</v>
      </c>
      <c r="FIS1333" s="4" t="s">
        <v>2877</v>
      </c>
      <c r="FIT1333" s="4" t="s">
        <v>2877</v>
      </c>
      <c r="FIU1333" s="4" t="s">
        <v>2877</v>
      </c>
      <c r="FIV1333" s="4" t="s">
        <v>2877</v>
      </c>
      <c r="FIW1333" s="4" t="s">
        <v>2877</v>
      </c>
      <c r="FIX1333" s="4" t="s">
        <v>2877</v>
      </c>
      <c r="FIY1333" s="4" t="s">
        <v>2877</v>
      </c>
      <c r="FIZ1333" s="4" t="s">
        <v>2877</v>
      </c>
      <c r="FJA1333" s="4" t="s">
        <v>2877</v>
      </c>
      <c r="FJB1333" s="4" t="s">
        <v>2877</v>
      </c>
      <c r="FJC1333" s="4" t="s">
        <v>2877</v>
      </c>
      <c r="FJD1333" s="4" t="s">
        <v>2877</v>
      </c>
      <c r="FJE1333" s="4" t="s">
        <v>2877</v>
      </c>
      <c r="FJF1333" s="4" t="s">
        <v>2877</v>
      </c>
      <c r="FJG1333" s="4" t="s">
        <v>2877</v>
      </c>
      <c r="FJH1333" s="4" t="s">
        <v>2877</v>
      </c>
      <c r="FJI1333" s="4" t="s">
        <v>2877</v>
      </c>
      <c r="FJJ1333" s="4" t="s">
        <v>2877</v>
      </c>
      <c r="FJK1333" s="4" t="s">
        <v>2877</v>
      </c>
      <c r="FJL1333" s="4" t="s">
        <v>2877</v>
      </c>
      <c r="FJM1333" s="4" t="s">
        <v>2877</v>
      </c>
      <c r="FJN1333" s="4" t="s">
        <v>2877</v>
      </c>
      <c r="FJO1333" s="4" t="s">
        <v>2877</v>
      </c>
      <c r="FJP1333" s="4" t="s">
        <v>2877</v>
      </c>
      <c r="FJQ1333" s="4" t="s">
        <v>2877</v>
      </c>
      <c r="FJR1333" s="4" t="s">
        <v>2877</v>
      </c>
      <c r="FJS1333" s="4" t="s">
        <v>2877</v>
      </c>
      <c r="FJT1333" s="4" t="s">
        <v>2877</v>
      </c>
      <c r="FJU1333" s="4" t="s">
        <v>2877</v>
      </c>
      <c r="FJV1333" s="4" t="s">
        <v>2877</v>
      </c>
      <c r="FJW1333" s="4" t="s">
        <v>2877</v>
      </c>
      <c r="FJX1333" s="4" t="s">
        <v>2877</v>
      </c>
      <c r="FJY1333" s="4" t="s">
        <v>2877</v>
      </c>
      <c r="FJZ1333" s="4" t="s">
        <v>2877</v>
      </c>
      <c r="FKA1333" s="4" t="s">
        <v>2877</v>
      </c>
      <c r="FKB1333" s="4" t="s">
        <v>2877</v>
      </c>
      <c r="FKC1333" s="4" t="s">
        <v>2877</v>
      </c>
      <c r="FKD1333" s="4" t="s">
        <v>2877</v>
      </c>
      <c r="FKE1333" s="4" t="s">
        <v>2877</v>
      </c>
      <c r="FKF1333" s="4" t="s">
        <v>2877</v>
      </c>
      <c r="FKG1333" s="4" t="s">
        <v>2877</v>
      </c>
      <c r="FKH1333" s="4" t="s">
        <v>2877</v>
      </c>
      <c r="FKI1333" s="4" t="s">
        <v>2877</v>
      </c>
      <c r="FKJ1333" s="4" t="s">
        <v>2877</v>
      </c>
      <c r="FKK1333" s="4" t="s">
        <v>2877</v>
      </c>
      <c r="FKL1333" s="4" t="s">
        <v>2877</v>
      </c>
      <c r="FKM1333" s="4" t="s">
        <v>2877</v>
      </c>
      <c r="FKN1333" s="4" t="s">
        <v>2877</v>
      </c>
      <c r="FKO1333" s="4" t="s">
        <v>2877</v>
      </c>
      <c r="FKP1333" s="4" t="s">
        <v>2877</v>
      </c>
      <c r="FKQ1333" s="4" t="s">
        <v>2877</v>
      </c>
      <c r="FKR1333" s="4" t="s">
        <v>2877</v>
      </c>
      <c r="FKS1333" s="4" t="s">
        <v>2877</v>
      </c>
      <c r="FKT1333" s="4" t="s">
        <v>2877</v>
      </c>
      <c r="FKU1333" s="4" t="s">
        <v>2877</v>
      </c>
      <c r="FKV1333" s="4" t="s">
        <v>2877</v>
      </c>
      <c r="FKW1333" s="4" t="s">
        <v>2877</v>
      </c>
      <c r="FKX1333" s="4" t="s">
        <v>2877</v>
      </c>
      <c r="FKY1333" s="4" t="s">
        <v>2877</v>
      </c>
      <c r="FKZ1333" s="4" t="s">
        <v>2877</v>
      </c>
      <c r="FLA1333" s="4" t="s">
        <v>2877</v>
      </c>
      <c r="FLB1333" s="4" t="s">
        <v>2877</v>
      </c>
      <c r="FLC1333" s="4" t="s">
        <v>2877</v>
      </c>
      <c r="FLD1333" s="4" t="s">
        <v>2877</v>
      </c>
      <c r="FLE1333" s="4" t="s">
        <v>2877</v>
      </c>
      <c r="FLF1333" s="4" t="s">
        <v>2877</v>
      </c>
      <c r="FLG1333" s="4" t="s">
        <v>2877</v>
      </c>
      <c r="FLH1333" s="4" t="s">
        <v>2877</v>
      </c>
      <c r="FLI1333" s="4" t="s">
        <v>2877</v>
      </c>
      <c r="FLJ1333" s="4" t="s">
        <v>2877</v>
      </c>
      <c r="FLK1333" s="4" t="s">
        <v>2877</v>
      </c>
      <c r="FLL1333" s="4" t="s">
        <v>2877</v>
      </c>
      <c r="FLM1333" s="4" t="s">
        <v>2877</v>
      </c>
      <c r="FLN1333" s="4" t="s">
        <v>2877</v>
      </c>
      <c r="FLO1333" s="4" t="s">
        <v>2877</v>
      </c>
      <c r="FLP1333" s="4" t="s">
        <v>2877</v>
      </c>
      <c r="FLQ1333" s="4" t="s">
        <v>2877</v>
      </c>
      <c r="FLR1333" s="4" t="s">
        <v>2877</v>
      </c>
      <c r="FLS1333" s="4" t="s">
        <v>2877</v>
      </c>
      <c r="FLT1333" s="4" t="s">
        <v>2877</v>
      </c>
      <c r="FLU1333" s="4" t="s">
        <v>2877</v>
      </c>
      <c r="FLV1333" s="4" t="s">
        <v>2877</v>
      </c>
      <c r="FLW1333" s="4" t="s">
        <v>2877</v>
      </c>
      <c r="FLX1333" s="4" t="s">
        <v>2877</v>
      </c>
      <c r="FLY1333" s="4" t="s">
        <v>2877</v>
      </c>
      <c r="FLZ1333" s="4" t="s">
        <v>2877</v>
      </c>
      <c r="FMA1333" s="4" t="s">
        <v>2877</v>
      </c>
      <c r="FMB1333" s="4" t="s">
        <v>2877</v>
      </c>
      <c r="FMC1333" s="4" t="s">
        <v>2877</v>
      </c>
      <c r="FMD1333" s="4" t="s">
        <v>2877</v>
      </c>
      <c r="FME1333" s="4" t="s">
        <v>2877</v>
      </c>
      <c r="FMF1333" s="4" t="s">
        <v>2877</v>
      </c>
      <c r="FMG1333" s="4" t="s">
        <v>2877</v>
      </c>
      <c r="FMH1333" s="4" t="s">
        <v>2877</v>
      </c>
      <c r="FMI1333" s="4" t="s">
        <v>2877</v>
      </c>
      <c r="FMJ1333" s="4" t="s">
        <v>2877</v>
      </c>
      <c r="FMK1333" s="4" t="s">
        <v>2877</v>
      </c>
      <c r="FML1333" s="4" t="s">
        <v>2877</v>
      </c>
      <c r="FMM1333" s="4" t="s">
        <v>2877</v>
      </c>
      <c r="FMN1333" s="4" t="s">
        <v>2877</v>
      </c>
      <c r="FMO1333" s="4" t="s">
        <v>2877</v>
      </c>
      <c r="FMP1333" s="4" t="s">
        <v>2877</v>
      </c>
      <c r="FMQ1333" s="4" t="s">
        <v>2877</v>
      </c>
      <c r="FMR1333" s="4" t="s">
        <v>2877</v>
      </c>
      <c r="FMS1333" s="4" t="s">
        <v>2877</v>
      </c>
      <c r="FMT1333" s="4" t="s">
        <v>2877</v>
      </c>
      <c r="FMU1333" s="4" t="s">
        <v>2877</v>
      </c>
      <c r="FMV1333" s="4" t="s">
        <v>2877</v>
      </c>
      <c r="FMW1333" s="4" t="s">
        <v>2877</v>
      </c>
      <c r="FMX1333" s="4" t="s">
        <v>2877</v>
      </c>
      <c r="FMY1333" s="4" t="s">
        <v>2877</v>
      </c>
      <c r="FMZ1333" s="4" t="s">
        <v>2877</v>
      </c>
      <c r="FNA1333" s="4" t="s">
        <v>2877</v>
      </c>
      <c r="FNB1333" s="4" t="s">
        <v>2877</v>
      </c>
      <c r="FNC1333" s="4" t="s">
        <v>2877</v>
      </c>
      <c r="FND1333" s="4" t="s">
        <v>2877</v>
      </c>
      <c r="FNE1333" s="4" t="s">
        <v>2877</v>
      </c>
      <c r="FNF1333" s="4" t="s">
        <v>2877</v>
      </c>
      <c r="FNG1333" s="4" t="s">
        <v>2877</v>
      </c>
      <c r="FNH1333" s="4" t="s">
        <v>2877</v>
      </c>
      <c r="FNI1333" s="4" t="s">
        <v>2877</v>
      </c>
      <c r="FNJ1333" s="4" t="s">
        <v>2877</v>
      </c>
      <c r="FNK1333" s="4" t="s">
        <v>2877</v>
      </c>
      <c r="FNL1333" s="4" t="s">
        <v>2877</v>
      </c>
      <c r="FNM1333" s="4" t="s">
        <v>2877</v>
      </c>
      <c r="FNN1333" s="4" t="s">
        <v>2877</v>
      </c>
      <c r="FNO1333" s="4" t="s">
        <v>2877</v>
      </c>
      <c r="FNP1333" s="4" t="s">
        <v>2877</v>
      </c>
      <c r="FNQ1333" s="4" t="s">
        <v>2877</v>
      </c>
      <c r="FNR1333" s="4" t="s">
        <v>2877</v>
      </c>
      <c r="FNS1333" s="4" t="s">
        <v>2877</v>
      </c>
      <c r="FNT1333" s="4" t="s">
        <v>2877</v>
      </c>
      <c r="FNU1333" s="4" t="s">
        <v>2877</v>
      </c>
      <c r="FNV1333" s="4" t="s">
        <v>2877</v>
      </c>
      <c r="FNW1333" s="4" t="s">
        <v>2877</v>
      </c>
      <c r="FNX1333" s="4" t="s">
        <v>2877</v>
      </c>
      <c r="FNY1333" s="4" t="s">
        <v>2877</v>
      </c>
      <c r="FNZ1333" s="4" t="s">
        <v>2877</v>
      </c>
      <c r="FOA1333" s="4" t="s">
        <v>2877</v>
      </c>
      <c r="FOB1333" s="4" t="s">
        <v>2877</v>
      </c>
      <c r="FOC1333" s="4" t="s">
        <v>2877</v>
      </c>
      <c r="FOD1333" s="4" t="s">
        <v>2877</v>
      </c>
      <c r="FOE1333" s="4" t="s">
        <v>2877</v>
      </c>
      <c r="FOF1333" s="4" t="s">
        <v>2877</v>
      </c>
      <c r="FOG1333" s="4" t="s">
        <v>2877</v>
      </c>
      <c r="FOH1333" s="4" t="s">
        <v>2877</v>
      </c>
      <c r="FOI1333" s="4" t="s">
        <v>2877</v>
      </c>
      <c r="FOJ1333" s="4" t="s">
        <v>2877</v>
      </c>
      <c r="FOK1333" s="4" t="s">
        <v>2877</v>
      </c>
      <c r="FOL1333" s="4" t="s">
        <v>2877</v>
      </c>
      <c r="FOM1333" s="4" t="s">
        <v>2877</v>
      </c>
      <c r="FON1333" s="4" t="s">
        <v>2877</v>
      </c>
      <c r="FOO1333" s="4" t="s">
        <v>2877</v>
      </c>
      <c r="FOP1333" s="4" t="s">
        <v>2877</v>
      </c>
      <c r="FOQ1333" s="4" t="s">
        <v>2877</v>
      </c>
      <c r="FOR1333" s="4" t="s">
        <v>2877</v>
      </c>
      <c r="FOS1333" s="4" t="s">
        <v>2877</v>
      </c>
      <c r="FOT1333" s="4" t="s">
        <v>2877</v>
      </c>
      <c r="FOU1333" s="4" t="s">
        <v>2877</v>
      </c>
      <c r="FOV1333" s="4" t="s">
        <v>2877</v>
      </c>
      <c r="FOW1333" s="4" t="s">
        <v>2877</v>
      </c>
      <c r="FOX1333" s="4" t="s">
        <v>2877</v>
      </c>
      <c r="FOY1333" s="4" t="s">
        <v>2877</v>
      </c>
      <c r="FOZ1333" s="4" t="s">
        <v>2877</v>
      </c>
      <c r="FPA1333" s="4" t="s">
        <v>2877</v>
      </c>
      <c r="FPB1333" s="4" t="s">
        <v>2877</v>
      </c>
      <c r="FPC1333" s="4" t="s">
        <v>2877</v>
      </c>
      <c r="FPD1333" s="4" t="s">
        <v>2877</v>
      </c>
      <c r="FPE1333" s="4" t="s">
        <v>2877</v>
      </c>
      <c r="FPF1333" s="4" t="s">
        <v>2877</v>
      </c>
      <c r="FPG1333" s="4" t="s">
        <v>2877</v>
      </c>
      <c r="FPH1333" s="4" t="s">
        <v>2877</v>
      </c>
      <c r="FPI1333" s="4" t="s">
        <v>2877</v>
      </c>
      <c r="FPJ1333" s="4" t="s">
        <v>2877</v>
      </c>
      <c r="FPK1333" s="4" t="s">
        <v>2877</v>
      </c>
      <c r="FPL1333" s="4" t="s">
        <v>2877</v>
      </c>
      <c r="FPM1333" s="4" t="s">
        <v>2877</v>
      </c>
      <c r="FPN1333" s="4" t="s">
        <v>2877</v>
      </c>
      <c r="FPO1333" s="4" t="s">
        <v>2877</v>
      </c>
      <c r="FPP1333" s="4" t="s">
        <v>2877</v>
      </c>
      <c r="FPQ1333" s="4" t="s">
        <v>2877</v>
      </c>
      <c r="FPR1333" s="4" t="s">
        <v>2877</v>
      </c>
      <c r="FPS1333" s="4" t="s">
        <v>2877</v>
      </c>
      <c r="FPT1333" s="4" t="s">
        <v>2877</v>
      </c>
      <c r="FPU1333" s="4" t="s">
        <v>2877</v>
      </c>
      <c r="FPV1333" s="4" t="s">
        <v>2877</v>
      </c>
      <c r="FPW1333" s="4" t="s">
        <v>2877</v>
      </c>
      <c r="FPX1333" s="4" t="s">
        <v>2877</v>
      </c>
      <c r="FPY1333" s="4" t="s">
        <v>2877</v>
      </c>
      <c r="FPZ1333" s="4" t="s">
        <v>2877</v>
      </c>
      <c r="FQA1333" s="4" t="s">
        <v>2877</v>
      </c>
      <c r="FQB1333" s="4" t="s">
        <v>2877</v>
      </c>
      <c r="FQC1333" s="4" t="s">
        <v>2877</v>
      </c>
      <c r="FQD1333" s="4" t="s">
        <v>2877</v>
      </c>
      <c r="FQE1333" s="4" t="s">
        <v>2877</v>
      </c>
      <c r="FQF1333" s="4" t="s">
        <v>2877</v>
      </c>
      <c r="FQG1333" s="4" t="s">
        <v>2877</v>
      </c>
      <c r="FQH1333" s="4" t="s">
        <v>2877</v>
      </c>
      <c r="FQI1333" s="4" t="s">
        <v>2877</v>
      </c>
      <c r="FQJ1333" s="4" t="s">
        <v>2877</v>
      </c>
      <c r="FQK1333" s="4" t="s">
        <v>2877</v>
      </c>
      <c r="FQL1333" s="4" t="s">
        <v>2877</v>
      </c>
      <c r="FQM1333" s="4" t="s">
        <v>2877</v>
      </c>
      <c r="FQN1333" s="4" t="s">
        <v>2877</v>
      </c>
      <c r="FQO1333" s="4" t="s">
        <v>2877</v>
      </c>
      <c r="FQP1333" s="4" t="s">
        <v>2877</v>
      </c>
      <c r="FQQ1333" s="4" t="s">
        <v>2877</v>
      </c>
      <c r="FQR1333" s="4" t="s">
        <v>2877</v>
      </c>
      <c r="FQS1333" s="4" t="s">
        <v>2877</v>
      </c>
      <c r="FQT1333" s="4" t="s">
        <v>2877</v>
      </c>
      <c r="FQU1333" s="4" t="s">
        <v>2877</v>
      </c>
      <c r="FQV1333" s="4" t="s">
        <v>2877</v>
      </c>
      <c r="FQW1333" s="4" t="s">
        <v>2877</v>
      </c>
      <c r="FQX1333" s="4" t="s">
        <v>2877</v>
      </c>
      <c r="FQY1333" s="4" t="s">
        <v>2877</v>
      </c>
      <c r="FQZ1333" s="4" t="s">
        <v>2877</v>
      </c>
      <c r="FRA1333" s="4" t="s">
        <v>2877</v>
      </c>
      <c r="FRB1333" s="4" t="s">
        <v>2877</v>
      </c>
      <c r="FRC1333" s="4" t="s">
        <v>2877</v>
      </c>
      <c r="FRD1333" s="4" t="s">
        <v>2877</v>
      </c>
      <c r="FRE1333" s="4" t="s">
        <v>2877</v>
      </c>
      <c r="FRF1333" s="4" t="s">
        <v>2877</v>
      </c>
      <c r="FRG1333" s="4" t="s">
        <v>2877</v>
      </c>
      <c r="FRH1333" s="4" t="s">
        <v>2877</v>
      </c>
      <c r="FRI1333" s="4" t="s">
        <v>2877</v>
      </c>
      <c r="FRJ1333" s="4" t="s">
        <v>2877</v>
      </c>
      <c r="FRK1333" s="4" t="s">
        <v>2877</v>
      </c>
      <c r="FRL1333" s="4" t="s">
        <v>2877</v>
      </c>
      <c r="FRM1333" s="4" t="s">
        <v>2877</v>
      </c>
      <c r="FRN1333" s="4" t="s">
        <v>2877</v>
      </c>
      <c r="FRO1333" s="4" t="s">
        <v>2877</v>
      </c>
      <c r="FRP1333" s="4" t="s">
        <v>2877</v>
      </c>
      <c r="FRQ1333" s="4" t="s">
        <v>2877</v>
      </c>
      <c r="FRR1333" s="4" t="s">
        <v>2877</v>
      </c>
      <c r="FRS1333" s="4" t="s">
        <v>2877</v>
      </c>
      <c r="FRT1333" s="4" t="s">
        <v>2877</v>
      </c>
      <c r="FRU1333" s="4" t="s">
        <v>2877</v>
      </c>
      <c r="FRV1333" s="4" t="s">
        <v>2877</v>
      </c>
      <c r="FRW1333" s="4" t="s">
        <v>2877</v>
      </c>
      <c r="FRX1333" s="4" t="s">
        <v>2877</v>
      </c>
      <c r="FRY1333" s="4" t="s">
        <v>2877</v>
      </c>
      <c r="FRZ1333" s="4" t="s">
        <v>2877</v>
      </c>
      <c r="FSA1333" s="4" t="s">
        <v>2877</v>
      </c>
      <c r="FSB1333" s="4" t="s">
        <v>2877</v>
      </c>
      <c r="FSC1333" s="4" t="s">
        <v>2877</v>
      </c>
      <c r="FSD1333" s="4" t="s">
        <v>2877</v>
      </c>
      <c r="FSE1333" s="4" t="s">
        <v>2877</v>
      </c>
      <c r="FSF1333" s="4" t="s">
        <v>2877</v>
      </c>
      <c r="FSG1333" s="4" t="s">
        <v>2877</v>
      </c>
      <c r="FSH1333" s="4" t="s">
        <v>2877</v>
      </c>
      <c r="FSI1333" s="4" t="s">
        <v>2877</v>
      </c>
      <c r="FSJ1333" s="4" t="s">
        <v>2877</v>
      </c>
      <c r="FSK1333" s="4" t="s">
        <v>2877</v>
      </c>
      <c r="FSL1333" s="4" t="s">
        <v>2877</v>
      </c>
      <c r="FSM1333" s="4" t="s">
        <v>2877</v>
      </c>
      <c r="FSN1333" s="4" t="s">
        <v>2877</v>
      </c>
      <c r="FSO1333" s="4" t="s">
        <v>2877</v>
      </c>
      <c r="FSP1333" s="4" t="s">
        <v>2877</v>
      </c>
      <c r="FSQ1333" s="4" t="s">
        <v>2877</v>
      </c>
      <c r="FSR1333" s="4" t="s">
        <v>2877</v>
      </c>
      <c r="FSS1333" s="4" t="s">
        <v>2877</v>
      </c>
      <c r="FST1333" s="4" t="s">
        <v>2877</v>
      </c>
      <c r="FSU1333" s="4" t="s">
        <v>2877</v>
      </c>
      <c r="FSV1333" s="4" t="s">
        <v>2877</v>
      </c>
      <c r="FSW1333" s="4" t="s">
        <v>2877</v>
      </c>
      <c r="FSX1333" s="4" t="s">
        <v>2877</v>
      </c>
      <c r="FSY1333" s="4" t="s">
        <v>2877</v>
      </c>
      <c r="FSZ1333" s="4" t="s">
        <v>2877</v>
      </c>
      <c r="FTA1333" s="4" t="s">
        <v>2877</v>
      </c>
      <c r="FTB1333" s="4" t="s">
        <v>2877</v>
      </c>
      <c r="FTC1333" s="4" t="s">
        <v>2877</v>
      </c>
      <c r="FTD1333" s="4" t="s">
        <v>2877</v>
      </c>
      <c r="FTE1333" s="4" t="s">
        <v>2877</v>
      </c>
      <c r="FTF1333" s="4" t="s">
        <v>2877</v>
      </c>
      <c r="FTG1333" s="4" t="s">
        <v>2877</v>
      </c>
      <c r="FTH1333" s="4" t="s">
        <v>2877</v>
      </c>
      <c r="FTI1333" s="4" t="s">
        <v>2877</v>
      </c>
      <c r="FTJ1333" s="4" t="s">
        <v>2877</v>
      </c>
      <c r="FTK1333" s="4" t="s">
        <v>2877</v>
      </c>
      <c r="FTL1333" s="4" t="s">
        <v>2877</v>
      </c>
      <c r="FTM1333" s="4" t="s">
        <v>2877</v>
      </c>
      <c r="FTN1333" s="4" t="s">
        <v>2877</v>
      </c>
      <c r="FTO1333" s="4" t="s">
        <v>2877</v>
      </c>
      <c r="FTP1333" s="4" t="s">
        <v>2877</v>
      </c>
      <c r="FTQ1333" s="4" t="s">
        <v>2877</v>
      </c>
      <c r="FTR1333" s="4" t="s">
        <v>2877</v>
      </c>
      <c r="FTS1333" s="4" t="s">
        <v>2877</v>
      </c>
      <c r="FTT1333" s="4" t="s">
        <v>2877</v>
      </c>
      <c r="FTU1333" s="4" t="s">
        <v>2877</v>
      </c>
      <c r="FTV1333" s="4" t="s">
        <v>2877</v>
      </c>
      <c r="FTW1333" s="4" t="s">
        <v>2877</v>
      </c>
      <c r="FTX1333" s="4" t="s">
        <v>2877</v>
      </c>
      <c r="FTY1333" s="4" t="s">
        <v>2877</v>
      </c>
      <c r="FTZ1333" s="4" t="s">
        <v>2877</v>
      </c>
      <c r="FUA1333" s="4" t="s">
        <v>2877</v>
      </c>
      <c r="FUB1333" s="4" t="s">
        <v>2877</v>
      </c>
      <c r="FUC1333" s="4" t="s">
        <v>2877</v>
      </c>
      <c r="FUD1333" s="4" t="s">
        <v>2877</v>
      </c>
      <c r="FUE1333" s="4" t="s">
        <v>2877</v>
      </c>
      <c r="FUF1333" s="4" t="s">
        <v>2877</v>
      </c>
      <c r="FUG1333" s="4" t="s">
        <v>2877</v>
      </c>
      <c r="FUH1333" s="4" t="s">
        <v>2877</v>
      </c>
      <c r="FUI1333" s="4" t="s">
        <v>2877</v>
      </c>
      <c r="FUJ1333" s="4" t="s">
        <v>2877</v>
      </c>
      <c r="FUK1333" s="4" t="s">
        <v>2877</v>
      </c>
      <c r="FUL1333" s="4" t="s">
        <v>2877</v>
      </c>
      <c r="FUM1333" s="4" t="s">
        <v>2877</v>
      </c>
      <c r="FUN1333" s="4" t="s">
        <v>2877</v>
      </c>
      <c r="FUO1333" s="4" t="s">
        <v>2877</v>
      </c>
      <c r="FUP1333" s="4" t="s">
        <v>2877</v>
      </c>
      <c r="FUQ1333" s="4" t="s">
        <v>2877</v>
      </c>
      <c r="FUR1333" s="4" t="s">
        <v>2877</v>
      </c>
      <c r="FUS1333" s="4" t="s">
        <v>2877</v>
      </c>
      <c r="FUT1333" s="4" t="s">
        <v>2877</v>
      </c>
      <c r="FUU1333" s="4" t="s">
        <v>2877</v>
      </c>
      <c r="FUV1333" s="4" t="s">
        <v>2877</v>
      </c>
      <c r="FUW1333" s="4" t="s">
        <v>2877</v>
      </c>
      <c r="FUX1333" s="4" t="s">
        <v>2877</v>
      </c>
      <c r="FUY1333" s="4" t="s">
        <v>2877</v>
      </c>
      <c r="FUZ1333" s="4" t="s">
        <v>2877</v>
      </c>
      <c r="FVA1333" s="4" t="s">
        <v>2877</v>
      </c>
      <c r="FVB1333" s="4" t="s">
        <v>2877</v>
      </c>
      <c r="FVC1333" s="4" t="s">
        <v>2877</v>
      </c>
      <c r="FVD1333" s="4" t="s">
        <v>2877</v>
      </c>
      <c r="FVE1333" s="4" t="s">
        <v>2877</v>
      </c>
      <c r="FVF1333" s="4" t="s">
        <v>2877</v>
      </c>
      <c r="FVG1333" s="4" t="s">
        <v>2877</v>
      </c>
      <c r="FVH1333" s="4" t="s">
        <v>2877</v>
      </c>
      <c r="FVI1333" s="4" t="s">
        <v>2877</v>
      </c>
      <c r="FVJ1333" s="4" t="s">
        <v>2877</v>
      </c>
      <c r="FVK1333" s="4" t="s">
        <v>2877</v>
      </c>
      <c r="FVL1333" s="4" t="s">
        <v>2877</v>
      </c>
      <c r="FVM1333" s="4" t="s">
        <v>2877</v>
      </c>
      <c r="FVN1333" s="4" t="s">
        <v>2877</v>
      </c>
      <c r="FVO1333" s="4" t="s">
        <v>2877</v>
      </c>
      <c r="FVP1333" s="4" t="s">
        <v>2877</v>
      </c>
      <c r="FVQ1333" s="4" t="s">
        <v>2877</v>
      </c>
      <c r="FVR1333" s="4" t="s">
        <v>2877</v>
      </c>
      <c r="FVS1333" s="4" t="s">
        <v>2877</v>
      </c>
      <c r="FVT1333" s="4" t="s">
        <v>2877</v>
      </c>
      <c r="FVU1333" s="4" t="s">
        <v>2877</v>
      </c>
      <c r="FVV1333" s="4" t="s">
        <v>2877</v>
      </c>
      <c r="FVW1333" s="4" t="s">
        <v>2877</v>
      </c>
      <c r="FVX1333" s="4" t="s">
        <v>2877</v>
      </c>
      <c r="FVY1333" s="4" t="s">
        <v>2877</v>
      </c>
      <c r="FVZ1333" s="4" t="s">
        <v>2877</v>
      </c>
      <c r="FWA1333" s="4" t="s">
        <v>2877</v>
      </c>
      <c r="FWB1333" s="4" t="s">
        <v>2877</v>
      </c>
      <c r="FWC1333" s="4" t="s">
        <v>2877</v>
      </c>
      <c r="FWD1333" s="4" t="s">
        <v>2877</v>
      </c>
      <c r="FWE1333" s="4" t="s">
        <v>2877</v>
      </c>
      <c r="FWF1333" s="4" t="s">
        <v>2877</v>
      </c>
      <c r="FWG1333" s="4" t="s">
        <v>2877</v>
      </c>
      <c r="FWH1333" s="4" t="s">
        <v>2877</v>
      </c>
      <c r="FWI1333" s="4" t="s">
        <v>2877</v>
      </c>
      <c r="FWJ1333" s="4" t="s">
        <v>2877</v>
      </c>
      <c r="FWK1333" s="4" t="s">
        <v>2877</v>
      </c>
      <c r="FWL1333" s="4" t="s">
        <v>2877</v>
      </c>
      <c r="FWM1333" s="4" t="s">
        <v>2877</v>
      </c>
      <c r="FWN1333" s="4" t="s">
        <v>2877</v>
      </c>
      <c r="FWO1333" s="4" t="s">
        <v>2877</v>
      </c>
      <c r="FWP1333" s="4" t="s">
        <v>2877</v>
      </c>
      <c r="FWQ1333" s="4" t="s">
        <v>2877</v>
      </c>
      <c r="FWR1333" s="4" t="s">
        <v>2877</v>
      </c>
      <c r="FWS1333" s="4" t="s">
        <v>2877</v>
      </c>
      <c r="FWT1333" s="4" t="s">
        <v>2877</v>
      </c>
      <c r="FWU1333" s="4" t="s">
        <v>2877</v>
      </c>
      <c r="FWV1333" s="4" t="s">
        <v>2877</v>
      </c>
      <c r="FWW1333" s="4" t="s">
        <v>2877</v>
      </c>
      <c r="FWX1333" s="4" t="s">
        <v>2877</v>
      </c>
      <c r="FWY1333" s="4" t="s">
        <v>2877</v>
      </c>
      <c r="FWZ1333" s="4" t="s">
        <v>2877</v>
      </c>
      <c r="FXA1333" s="4" t="s">
        <v>2877</v>
      </c>
      <c r="FXB1333" s="4" t="s">
        <v>2877</v>
      </c>
      <c r="FXC1333" s="4" t="s">
        <v>2877</v>
      </c>
      <c r="FXD1333" s="4" t="s">
        <v>2877</v>
      </c>
      <c r="FXE1333" s="4" t="s">
        <v>2877</v>
      </c>
      <c r="FXF1333" s="4" t="s">
        <v>2877</v>
      </c>
      <c r="FXG1333" s="4" t="s">
        <v>2877</v>
      </c>
      <c r="FXH1333" s="4" t="s">
        <v>2877</v>
      </c>
      <c r="FXI1333" s="4" t="s">
        <v>2877</v>
      </c>
      <c r="FXJ1333" s="4" t="s">
        <v>2877</v>
      </c>
      <c r="FXK1333" s="4" t="s">
        <v>2877</v>
      </c>
      <c r="FXL1333" s="4" t="s">
        <v>2877</v>
      </c>
      <c r="FXM1333" s="4" t="s">
        <v>2877</v>
      </c>
      <c r="FXN1333" s="4" t="s">
        <v>2877</v>
      </c>
      <c r="FXO1333" s="4" t="s">
        <v>2877</v>
      </c>
      <c r="FXP1333" s="4" t="s">
        <v>2877</v>
      </c>
      <c r="FXQ1333" s="4" t="s">
        <v>2877</v>
      </c>
      <c r="FXR1333" s="4" t="s">
        <v>2877</v>
      </c>
      <c r="FXS1333" s="4" t="s">
        <v>2877</v>
      </c>
      <c r="FXT1333" s="4" t="s">
        <v>2877</v>
      </c>
      <c r="FXU1333" s="4" t="s">
        <v>2877</v>
      </c>
      <c r="FXV1333" s="4" t="s">
        <v>2877</v>
      </c>
      <c r="FXW1333" s="4" t="s">
        <v>2877</v>
      </c>
      <c r="FXX1333" s="4" t="s">
        <v>2877</v>
      </c>
      <c r="FXY1333" s="4" t="s">
        <v>2877</v>
      </c>
      <c r="FXZ1333" s="4" t="s">
        <v>2877</v>
      </c>
      <c r="FYA1333" s="4" t="s">
        <v>2877</v>
      </c>
      <c r="FYB1333" s="4" t="s">
        <v>2877</v>
      </c>
      <c r="FYC1333" s="4" t="s">
        <v>2877</v>
      </c>
      <c r="FYD1333" s="4" t="s">
        <v>2877</v>
      </c>
      <c r="FYE1333" s="4" t="s">
        <v>2877</v>
      </c>
      <c r="FYF1333" s="4" t="s">
        <v>2877</v>
      </c>
      <c r="FYG1333" s="4" t="s">
        <v>2877</v>
      </c>
      <c r="FYH1333" s="4" t="s">
        <v>2877</v>
      </c>
      <c r="FYI1333" s="4" t="s">
        <v>2877</v>
      </c>
      <c r="FYJ1333" s="4" t="s">
        <v>2877</v>
      </c>
      <c r="FYK1333" s="4" t="s">
        <v>2877</v>
      </c>
      <c r="FYL1333" s="4" t="s">
        <v>2877</v>
      </c>
      <c r="FYM1333" s="4" t="s">
        <v>2877</v>
      </c>
      <c r="FYN1333" s="4" t="s">
        <v>2877</v>
      </c>
      <c r="FYO1333" s="4" t="s">
        <v>2877</v>
      </c>
      <c r="FYP1333" s="4" t="s">
        <v>2877</v>
      </c>
      <c r="FYQ1333" s="4" t="s">
        <v>2877</v>
      </c>
      <c r="FYR1333" s="4" t="s">
        <v>2877</v>
      </c>
      <c r="FYS1333" s="4" t="s">
        <v>2877</v>
      </c>
      <c r="FYT1333" s="4" t="s">
        <v>2877</v>
      </c>
      <c r="FYU1333" s="4" t="s">
        <v>2877</v>
      </c>
      <c r="FYV1333" s="4" t="s">
        <v>2877</v>
      </c>
      <c r="FYW1333" s="4" t="s">
        <v>2877</v>
      </c>
      <c r="FYX1333" s="4" t="s">
        <v>2877</v>
      </c>
      <c r="FYY1333" s="4" t="s">
        <v>2877</v>
      </c>
      <c r="FYZ1333" s="4" t="s">
        <v>2877</v>
      </c>
      <c r="FZA1333" s="4" t="s">
        <v>2877</v>
      </c>
      <c r="FZB1333" s="4" t="s">
        <v>2877</v>
      </c>
      <c r="FZC1333" s="4" t="s">
        <v>2877</v>
      </c>
      <c r="FZD1333" s="4" t="s">
        <v>2877</v>
      </c>
      <c r="FZE1333" s="4" t="s">
        <v>2877</v>
      </c>
      <c r="FZF1333" s="4" t="s">
        <v>2877</v>
      </c>
      <c r="FZG1333" s="4" t="s">
        <v>2877</v>
      </c>
      <c r="FZH1333" s="4" t="s">
        <v>2877</v>
      </c>
      <c r="FZI1333" s="4" t="s">
        <v>2877</v>
      </c>
      <c r="FZJ1333" s="4" t="s">
        <v>2877</v>
      </c>
      <c r="FZK1333" s="4" t="s">
        <v>2877</v>
      </c>
      <c r="FZL1333" s="4" t="s">
        <v>2877</v>
      </c>
      <c r="FZM1333" s="4" t="s">
        <v>2877</v>
      </c>
      <c r="FZN1333" s="4" t="s">
        <v>2877</v>
      </c>
      <c r="FZO1333" s="4" t="s">
        <v>2877</v>
      </c>
      <c r="FZP1333" s="4" t="s">
        <v>2877</v>
      </c>
      <c r="FZQ1333" s="4" t="s">
        <v>2877</v>
      </c>
      <c r="FZR1333" s="4" t="s">
        <v>2877</v>
      </c>
      <c r="FZS1333" s="4" t="s">
        <v>2877</v>
      </c>
      <c r="FZT1333" s="4" t="s">
        <v>2877</v>
      </c>
      <c r="FZU1333" s="4" t="s">
        <v>2877</v>
      </c>
      <c r="FZV1333" s="4" t="s">
        <v>2877</v>
      </c>
      <c r="FZW1333" s="4" t="s">
        <v>2877</v>
      </c>
      <c r="FZX1333" s="4" t="s">
        <v>2877</v>
      </c>
      <c r="FZY1333" s="4" t="s">
        <v>2877</v>
      </c>
      <c r="FZZ1333" s="4" t="s">
        <v>2877</v>
      </c>
      <c r="GAA1333" s="4" t="s">
        <v>2877</v>
      </c>
      <c r="GAB1333" s="4" t="s">
        <v>2877</v>
      </c>
      <c r="GAC1333" s="4" t="s">
        <v>2877</v>
      </c>
      <c r="GAD1333" s="4" t="s">
        <v>2877</v>
      </c>
      <c r="GAE1333" s="4" t="s">
        <v>2877</v>
      </c>
      <c r="GAF1333" s="4" t="s">
        <v>2877</v>
      </c>
      <c r="GAG1333" s="4" t="s">
        <v>2877</v>
      </c>
      <c r="GAH1333" s="4" t="s">
        <v>2877</v>
      </c>
      <c r="GAI1333" s="4" t="s">
        <v>2877</v>
      </c>
      <c r="GAJ1333" s="4" t="s">
        <v>2877</v>
      </c>
      <c r="GAK1333" s="4" t="s">
        <v>2877</v>
      </c>
      <c r="GAL1333" s="4" t="s">
        <v>2877</v>
      </c>
      <c r="GAM1333" s="4" t="s">
        <v>2877</v>
      </c>
      <c r="GAN1333" s="4" t="s">
        <v>2877</v>
      </c>
      <c r="GAO1333" s="4" t="s">
        <v>2877</v>
      </c>
      <c r="GAP1333" s="4" t="s">
        <v>2877</v>
      </c>
      <c r="GAQ1333" s="4" t="s">
        <v>2877</v>
      </c>
      <c r="GAR1333" s="4" t="s">
        <v>2877</v>
      </c>
      <c r="GAS1333" s="4" t="s">
        <v>2877</v>
      </c>
      <c r="GAT1333" s="4" t="s">
        <v>2877</v>
      </c>
      <c r="GAU1333" s="4" t="s">
        <v>2877</v>
      </c>
      <c r="GAV1333" s="4" t="s">
        <v>2877</v>
      </c>
      <c r="GAW1333" s="4" t="s">
        <v>2877</v>
      </c>
      <c r="GAX1333" s="4" t="s">
        <v>2877</v>
      </c>
      <c r="GAY1333" s="4" t="s">
        <v>2877</v>
      </c>
      <c r="GAZ1333" s="4" t="s">
        <v>2877</v>
      </c>
      <c r="GBA1333" s="4" t="s">
        <v>2877</v>
      </c>
      <c r="GBB1333" s="4" t="s">
        <v>2877</v>
      </c>
      <c r="GBC1333" s="4" t="s">
        <v>2877</v>
      </c>
      <c r="GBD1333" s="4" t="s">
        <v>2877</v>
      </c>
      <c r="GBE1333" s="4" t="s">
        <v>2877</v>
      </c>
      <c r="GBF1333" s="4" t="s">
        <v>2877</v>
      </c>
      <c r="GBG1333" s="4" t="s">
        <v>2877</v>
      </c>
      <c r="GBH1333" s="4" t="s">
        <v>2877</v>
      </c>
      <c r="GBI1333" s="4" t="s">
        <v>2877</v>
      </c>
      <c r="GBJ1333" s="4" t="s">
        <v>2877</v>
      </c>
      <c r="GBK1333" s="4" t="s">
        <v>2877</v>
      </c>
      <c r="GBL1333" s="4" t="s">
        <v>2877</v>
      </c>
      <c r="GBM1333" s="4" t="s">
        <v>2877</v>
      </c>
      <c r="GBN1333" s="4" t="s">
        <v>2877</v>
      </c>
      <c r="GBO1333" s="4" t="s">
        <v>2877</v>
      </c>
      <c r="GBP1333" s="4" t="s">
        <v>2877</v>
      </c>
      <c r="GBQ1333" s="4" t="s">
        <v>2877</v>
      </c>
      <c r="GBR1333" s="4" t="s">
        <v>2877</v>
      </c>
      <c r="GBS1333" s="4" t="s">
        <v>2877</v>
      </c>
      <c r="GBT1333" s="4" t="s">
        <v>2877</v>
      </c>
      <c r="GBU1333" s="4" t="s">
        <v>2877</v>
      </c>
      <c r="GBV1333" s="4" t="s">
        <v>2877</v>
      </c>
      <c r="GBW1333" s="4" t="s">
        <v>2877</v>
      </c>
      <c r="GBX1333" s="4" t="s">
        <v>2877</v>
      </c>
      <c r="GBY1333" s="4" t="s">
        <v>2877</v>
      </c>
      <c r="GBZ1333" s="4" t="s">
        <v>2877</v>
      </c>
      <c r="GCA1333" s="4" t="s">
        <v>2877</v>
      </c>
      <c r="GCB1333" s="4" t="s">
        <v>2877</v>
      </c>
      <c r="GCC1333" s="4" t="s">
        <v>2877</v>
      </c>
      <c r="GCD1333" s="4" t="s">
        <v>2877</v>
      </c>
      <c r="GCE1333" s="4" t="s">
        <v>2877</v>
      </c>
      <c r="GCF1333" s="4" t="s">
        <v>2877</v>
      </c>
      <c r="GCG1333" s="4" t="s">
        <v>2877</v>
      </c>
      <c r="GCH1333" s="4" t="s">
        <v>2877</v>
      </c>
      <c r="GCI1333" s="4" t="s">
        <v>2877</v>
      </c>
      <c r="GCJ1333" s="4" t="s">
        <v>2877</v>
      </c>
      <c r="GCK1333" s="4" t="s">
        <v>2877</v>
      </c>
      <c r="GCL1333" s="4" t="s">
        <v>2877</v>
      </c>
      <c r="GCM1333" s="4" t="s">
        <v>2877</v>
      </c>
      <c r="GCN1333" s="4" t="s">
        <v>2877</v>
      </c>
      <c r="GCO1333" s="4" t="s">
        <v>2877</v>
      </c>
      <c r="GCP1333" s="4" t="s">
        <v>2877</v>
      </c>
      <c r="GCQ1333" s="4" t="s">
        <v>2877</v>
      </c>
      <c r="GCR1333" s="4" t="s">
        <v>2877</v>
      </c>
      <c r="GCS1333" s="4" t="s">
        <v>2877</v>
      </c>
      <c r="GCT1333" s="4" t="s">
        <v>2877</v>
      </c>
      <c r="GCU1333" s="4" t="s">
        <v>2877</v>
      </c>
      <c r="GCV1333" s="4" t="s">
        <v>2877</v>
      </c>
      <c r="GCW1333" s="4" t="s">
        <v>2877</v>
      </c>
      <c r="GCX1333" s="4" t="s">
        <v>2877</v>
      </c>
      <c r="GCY1333" s="4" t="s">
        <v>2877</v>
      </c>
      <c r="GCZ1333" s="4" t="s">
        <v>2877</v>
      </c>
      <c r="GDA1333" s="4" t="s">
        <v>2877</v>
      </c>
      <c r="GDB1333" s="4" t="s">
        <v>2877</v>
      </c>
      <c r="GDC1333" s="4" t="s">
        <v>2877</v>
      </c>
      <c r="GDD1333" s="4" t="s">
        <v>2877</v>
      </c>
      <c r="GDE1333" s="4" t="s">
        <v>2877</v>
      </c>
      <c r="GDF1333" s="4" t="s">
        <v>2877</v>
      </c>
      <c r="GDG1333" s="4" t="s">
        <v>2877</v>
      </c>
      <c r="GDH1333" s="4" t="s">
        <v>2877</v>
      </c>
      <c r="GDI1333" s="4" t="s">
        <v>2877</v>
      </c>
      <c r="GDJ1333" s="4" t="s">
        <v>2877</v>
      </c>
      <c r="GDK1333" s="4" t="s">
        <v>2877</v>
      </c>
      <c r="GDL1333" s="4" t="s">
        <v>2877</v>
      </c>
      <c r="GDM1333" s="4" t="s">
        <v>2877</v>
      </c>
      <c r="GDN1333" s="4" t="s">
        <v>2877</v>
      </c>
      <c r="GDO1333" s="4" t="s">
        <v>2877</v>
      </c>
      <c r="GDP1333" s="4" t="s">
        <v>2877</v>
      </c>
      <c r="GDQ1333" s="4" t="s">
        <v>2877</v>
      </c>
      <c r="GDR1333" s="4" t="s">
        <v>2877</v>
      </c>
      <c r="GDS1333" s="4" t="s">
        <v>2877</v>
      </c>
      <c r="GDT1333" s="4" t="s">
        <v>2877</v>
      </c>
      <c r="GDU1333" s="4" t="s">
        <v>2877</v>
      </c>
      <c r="GDV1333" s="4" t="s">
        <v>2877</v>
      </c>
      <c r="GDW1333" s="4" t="s">
        <v>2877</v>
      </c>
      <c r="GDX1333" s="4" t="s">
        <v>2877</v>
      </c>
      <c r="GDY1333" s="4" t="s">
        <v>2877</v>
      </c>
      <c r="GDZ1333" s="4" t="s">
        <v>2877</v>
      </c>
      <c r="GEA1333" s="4" t="s">
        <v>2877</v>
      </c>
      <c r="GEB1333" s="4" t="s">
        <v>2877</v>
      </c>
      <c r="GEC1333" s="4" t="s">
        <v>2877</v>
      </c>
      <c r="GED1333" s="4" t="s">
        <v>2877</v>
      </c>
      <c r="GEE1333" s="4" t="s">
        <v>2877</v>
      </c>
      <c r="GEF1333" s="4" t="s">
        <v>2877</v>
      </c>
      <c r="GEG1333" s="4" t="s">
        <v>2877</v>
      </c>
      <c r="GEH1333" s="4" t="s">
        <v>2877</v>
      </c>
      <c r="GEI1333" s="4" t="s">
        <v>2877</v>
      </c>
      <c r="GEJ1333" s="4" t="s">
        <v>2877</v>
      </c>
      <c r="GEK1333" s="4" t="s">
        <v>2877</v>
      </c>
      <c r="GEL1333" s="4" t="s">
        <v>2877</v>
      </c>
      <c r="GEM1333" s="4" t="s">
        <v>2877</v>
      </c>
      <c r="GEN1333" s="4" t="s">
        <v>2877</v>
      </c>
      <c r="GEO1333" s="4" t="s">
        <v>2877</v>
      </c>
      <c r="GEP1333" s="4" t="s">
        <v>2877</v>
      </c>
      <c r="GEQ1333" s="4" t="s">
        <v>2877</v>
      </c>
      <c r="GER1333" s="4" t="s">
        <v>2877</v>
      </c>
      <c r="GES1333" s="4" t="s">
        <v>2877</v>
      </c>
      <c r="GET1333" s="4" t="s">
        <v>2877</v>
      </c>
      <c r="GEU1333" s="4" t="s">
        <v>2877</v>
      </c>
      <c r="GEV1333" s="4" t="s">
        <v>2877</v>
      </c>
      <c r="GEW1333" s="4" t="s">
        <v>2877</v>
      </c>
      <c r="GEX1333" s="4" t="s">
        <v>2877</v>
      </c>
      <c r="GEY1333" s="4" t="s">
        <v>2877</v>
      </c>
      <c r="GEZ1333" s="4" t="s">
        <v>2877</v>
      </c>
      <c r="GFA1333" s="4" t="s">
        <v>2877</v>
      </c>
      <c r="GFB1333" s="4" t="s">
        <v>2877</v>
      </c>
      <c r="GFC1333" s="4" t="s">
        <v>2877</v>
      </c>
      <c r="GFD1333" s="4" t="s">
        <v>2877</v>
      </c>
      <c r="GFE1333" s="4" t="s">
        <v>2877</v>
      </c>
      <c r="GFF1333" s="4" t="s">
        <v>2877</v>
      </c>
      <c r="GFG1333" s="4" t="s">
        <v>2877</v>
      </c>
      <c r="GFH1333" s="4" t="s">
        <v>2877</v>
      </c>
      <c r="GFI1333" s="4" t="s">
        <v>2877</v>
      </c>
      <c r="GFJ1333" s="4" t="s">
        <v>2877</v>
      </c>
      <c r="GFK1333" s="4" t="s">
        <v>2877</v>
      </c>
      <c r="GFL1333" s="4" t="s">
        <v>2877</v>
      </c>
      <c r="GFM1333" s="4" t="s">
        <v>2877</v>
      </c>
      <c r="GFN1333" s="4" t="s">
        <v>2877</v>
      </c>
      <c r="GFO1333" s="4" t="s">
        <v>2877</v>
      </c>
      <c r="GFP1333" s="4" t="s">
        <v>2877</v>
      </c>
      <c r="GFQ1333" s="4" t="s">
        <v>2877</v>
      </c>
      <c r="GFR1333" s="4" t="s">
        <v>2877</v>
      </c>
      <c r="GFS1333" s="4" t="s">
        <v>2877</v>
      </c>
      <c r="GFT1333" s="4" t="s">
        <v>2877</v>
      </c>
      <c r="GFU1333" s="4" t="s">
        <v>2877</v>
      </c>
      <c r="GFV1333" s="4" t="s">
        <v>2877</v>
      </c>
      <c r="GFW1333" s="4" t="s">
        <v>2877</v>
      </c>
      <c r="GFX1333" s="4" t="s">
        <v>2877</v>
      </c>
      <c r="GFY1333" s="4" t="s">
        <v>2877</v>
      </c>
      <c r="GFZ1333" s="4" t="s">
        <v>2877</v>
      </c>
      <c r="GGA1333" s="4" t="s">
        <v>2877</v>
      </c>
      <c r="GGB1333" s="4" t="s">
        <v>2877</v>
      </c>
      <c r="GGC1333" s="4" t="s">
        <v>2877</v>
      </c>
      <c r="GGD1333" s="4" t="s">
        <v>2877</v>
      </c>
      <c r="GGE1333" s="4" t="s">
        <v>2877</v>
      </c>
      <c r="GGF1333" s="4" t="s">
        <v>2877</v>
      </c>
      <c r="GGG1333" s="4" t="s">
        <v>2877</v>
      </c>
      <c r="GGH1333" s="4" t="s">
        <v>2877</v>
      </c>
      <c r="GGI1333" s="4" t="s">
        <v>2877</v>
      </c>
      <c r="GGJ1333" s="4" t="s">
        <v>2877</v>
      </c>
      <c r="GGK1333" s="4" t="s">
        <v>2877</v>
      </c>
      <c r="GGL1333" s="4" t="s">
        <v>2877</v>
      </c>
      <c r="GGM1333" s="4" t="s">
        <v>2877</v>
      </c>
      <c r="GGN1333" s="4" t="s">
        <v>2877</v>
      </c>
      <c r="GGO1333" s="4" t="s">
        <v>2877</v>
      </c>
      <c r="GGP1333" s="4" t="s">
        <v>2877</v>
      </c>
      <c r="GGQ1333" s="4" t="s">
        <v>2877</v>
      </c>
      <c r="GGR1333" s="4" t="s">
        <v>2877</v>
      </c>
      <c r="GGS1333" s="4" t="s">
        <v>2877</v>
      </c>
      <c r="GGT1333" s="4" t="s">
        <v>2877</v>
      </c>
      <c r="GGU1333" s="4" t="s">
        <v>2877</v>
      </c>
      <c r="GGV1333" s="4" t="s">
        <v>2877</v>
      </c>
      <c r="GGW1333" s="4" t="s">
        <v>2877</v>
      </c>
      <c r="GGX1333" s="4" t="s">
        <v>2877</v>
      </c>
      <c r="GGY1333" s="4" t="s">
        <v>2877</v>
      </c>
      <c r="GGZ1333" s="4" t="s">
        <v>2877</v>
      </c>
      <c r="GHA1333" s="4" t="s">
        <v>2877</v>
      </c>
      <c r="GHB1333" s="4" t="s">
        <v>2877</v>
      </c>
      <c r="GHC1333" s="4" t="s">
        <v>2877</v>
      </c>
      <c r="GHD1333" s="4" t="s">
        <v>2877</v>
      </c>
      <c r="GHE1333" s="4" t="s">
        <v>2877</v>
      </c>
      <c r="GHF1333" s="4" t="s">
        <v>2877</v>
      </c>
      <c r="GHG1333" s="4" t="s">
        <v>2877</v>
      </c>
      <c r="GHH1333" s="4" t="s">
        <v>2877</v>
      </c>
      <c r="GHI1333" s="4" t="s">
        <v>2877</v>
      </c>
      <c r="GHJ1333" s="4" t="s">
        <v>2877</v>
      </c>
      <c r="GHK1333" s="4" t="s">
        <v>2877</v>
      </c>
      <c r="GHL1333" s="4" t="s">
        <v>2877</v>
      </c>
      <c r="GHM1333" s="4" t="s">
        <v>2877</v>
      </c>
      <c r="GHN1333" s="4" t="s">
        <v>2877</v>
      </c>
      <c r="GHO1333" s="4" t="s">
        <v>2877</v>
      </c>
      <c r="GHP1333" s="4" t="s">
        <v>2877</v>
      </c>
      <c r="GHQ1333" s="4" t="s">
        <v>2877</v>
      </c>
      <c r="GHR1333" s="4" t="s">
        <v>2877</v>
      </c>
      <c r="GHS1333" s="4" t="s">
        <v>2877</v>
      </c>
      <c r="GHT1333" s="4" t="s">
        <v>2877</v>
      </c>
      <c r="GHU1333" s="4" t="s">
        <v>2877</v>
      </c>
      <c r="GHV1333" s="4" t="s">
        <v>2877</v>
      </c>
      <c r="GHW1333" s="4" t="s">
        <v>2877</v>
      </c>
      <c r="GHX1333" s="4" t="s">
        <v>2877</v>
      </c>
      <c r="GHY1333" s="4" t="s">
        <v>2877</v>
      </c>
      <c r="GHZ1333" s="4" t="s">
        <v>2877</v>
      </c>
      <c r="GIA1333" s="4" t="s">
        <v>2877</v>
      </c>
      <c r="GIB1333" s="4" t="s">
        <v>2877</v>
      </c>
      <c r="GIC1333" s="4" t="s">
        <v>2877</v>
      </c>
      <c r="GID1333" s="4" t="s">
        <v>2877</v>
      </c>
      <c r="GIE1333" s="4" t="s">
        <v>2877</v>
      </c>
      <c r="GIF1333" s="4" t="s">
        <v>2877</v>
      </c>
      <c r="GIG1333" s="4" t="s">
        <v>2877</v>
      </c>
      <c r="GIH1333" s="4" t="s">
        <v>2877</v>
      </c>
      <c r="GII1333" s="4" t="s">
        <v>2877</v>
      </c>
      <c r="GIJ1333" s="4" t="s">
        <v>2877</v>
      </c>
      <c r="GIK1333" s="4" t="s">
        <v>2877</v>
      </c>
      <c r="GIL1333" s="4" t="s">
        <v>2877</v>
      </c>
      <c r="GIM1333" s="4" t="s">
        <v>2877</v>
      </c>
      <c r="GIN1333" s="4" t="s">
        <v>2877</v>
      </c>
      <c r="GIO1333" s="4" t="s">
        <v>2877</v>
      </c>
      <c r="GIP1333" s="4" t="s">
        <v>2877</v>
      </c>
      <c r="GIQ1333" s="4" t="s">
        <v>2877</v>
      </c>
      <c r="GIR1333" s="4" t="s">
        <v>2877</v>
      </c>
      <c r="GIS1333" s="4" t="s">
        <v>2877</v>
      </c>
      <c r="GIT1333" s="4" t="s">
        <v>2877</v>
      </c>
      <c r="GIU1333" s="4" t="s">
        <v>2877</v>
      </c>
      <c r="GIV1333" s="4" t="s">
        <v>2877</v>
      </c>
      <c r="GIW1333" s="4" t="s">
        <v>2877</v>
      </c>
      <c r="GIX1333" s="4" t="s">
        <v>2877</v>
      </c>
      <c r="GIY1333" s="4" t="s">
        <v>2877</v>
      </c>
      <c r="GIZ1333" s="4" t="s">
        <v>2877</v>
      </c>
      <c r="GJA1333" s="4" t="s">
        <v>2877</v>
      </c>
      <c r="GJB1333" s="4" t="s">
        <v>2877</v>
      </c>
      <c r="GJC1333" s="4" t="s">
        <v>2877</v>
      </c>
      <c r="GJD1333" s="4" t="s">
        <v>2877</v>
      </c>
      <c r="GJE1333" s="4" t="s">
        <v>2877</v>
      </c>
      <c r="GJF1333" s="4" t="s">
        <v>2877</v>
      </c>
      <c r="GJG1333" s="4" t="s">
        <v>2877</v>
      </c>
      <c r="GJH1333" s="4" t="s">
        <v>2877</v>
      </c>
      <c r="GJI1333" s="4" t="s">
        <v>2877</v>
      </c>
      <c r="GJJ1333" s="4" t="s">
        <v>2877</v>
      </c>
      <c r="GJK1333" s="4" t="s">
        <v>2877</v>
      </c>
      <c r="GJL1333" s="4" t="s">
        <v>2877</v>
      </c>
      <c r="GJM1333" s="4" t="s">
        <v>2877</v>
      </c>
      <c r="GJN1333" s="4" t="s">
        <v>2877</v>
      </c>
      <c r="GJO1333" s="4" t="s">
        <v>2877</v>
      </c>
      <c r="GJP1333" s="4" t="s">
        <v>2877</v>
      </c>
      <c r="GJQ1333" s="4" t="s">
        <v>2877</v>
      </c>
      <c r="GJR1333" s="4" t="s">
        <v>2877</v>
      </c>
      <c r="GJS1333" s="4" t="s">
        <v>2877</v>
      </c>
      <c r="GJT1333" s="4" t="s">
        <v>2877</v>
      </c>
      <c r="GJU1333" s="4" t="s">
        <v>2877</v>
      </c>
      <c r="GJV1333" s="4" t="s">
        <v>2877</v>
      </c>
      <c r="GJW1333" s="4" t="s">
        <v>2877</v>
      </c>
      <c r="GJX1333" s="4" t="s">
        <v>2877</v>
      </c>
      <c r="GJY1333" s="4" t="s">
        <v>2877</v>
      </c>
      <c r="GJZ1333" s="4" t="s">
        <v>2877</v>
      </c>
      <c r="GKA1333" s="4" t="s">
        <v>2877</v>
      </c>
      <c r="GKB1333" s="4" t="s">
        <v>2877</v>
      </c>
      <c r="GKC1333" s="4" t="s">
        <v>2877</v>
      </c>
      <c r="GKD1333" s="4" t="s">
        <v>2877</v>
      </c>
      <c r="GKE1333" s="4" t="s">
        <v>2877</v>
      </c>
      <c r="GKF1333" s="4" t="s">
        <v>2877</v>
      </c>
      <c r="GKG1333" s="4" t="s">
        <v>2877</v>
      </c>
      <c r="GKH1333" s="4" t="s">
        <v>2877</v>
      </c>
      <c r="GKI1333" s="4" t="s">
        <v>2877</v>
      </c>
      <c r="GKJ1333" s="4" t="s">
        <v>2877</v>
      </c>
      <c r="GKK1333" s="4" t="s">
        <v>2877</v>
      </c>
      <c r="GKL1333" s="4" t="s">
        <v>2877</v>
      </c>
      <c r="GKM1333" s="4" t="s">
        <v>2877</v>
      </c>
      <c r="GKN1333" s="4" t="s">
        <v>2877</v>
      </c>
      <c r="GKO1333" s="4" t="s">
        <v>2877</v>
      </c>
      <c r="GKP1333" s="4" t="s">
        <v>2877</v>
      </c>
      <c r="GKQ1333" s="4" t="s">
        <v>2877</v>
      </c>
      <c r="GKR1333" s="4" t="s">
        <v>2877</v>
      </c>
      <c r="GKS1333" s="4" t="s">
        <v>2877</v>
      </c>
      <c r="GKT1333" s="4" t="s">
        <v>2877</v>
      </c>
      <c r="GKU1333" s="4" t="s">
        <v>2877</v>
      </c>
      <c r="GKV1333" s="4" t="s">
        <v>2877</v>
      </c>
      <c r="GKW1333" s="4" t="s">
        <v>2877</v>
      </c>
      <c r="GKX1333" s="4" t="s">
        <v>2877</v>
      </c>
      <c r="GKY1333" s="4" t="s">
        <v>2877</v>
      </c>
      <c r="GKZ1333" s="4" t="s">
        <v>2877</v>
      </c>
      <c r="GLA1333" s="4" t="s">
        <v>2877</v>
      </c>
      <c r="GLB1333" s="4" t="s">
        <v>2877</v>
      </c>
      <c r="GLC1333" s="4" t="s">
        <v>2877</v>
      </c>
      <c r="GLD1333" s="4" t="s">
        <v>2877</v>
      </c>
      <c r="GLE1333" s="4" t="s">
        <v>2877</v>
      </c>
      <c r="GLF1333" s="4" t="s">
        <v>2877</v>
      </c>
      <c r="GLG1333" s="4" t="s">
        <v>2877</v>
      </c>
      <c r="GLH1333" s="4" t="s">
        <v>2877</v>
      </c>
      <c r="GLI1333" s="4" t="s">
        <v>2877</v>
      </c>
      <c r="GLJ1333" s="4" t="s">
        <v>2877</v>
      </c>
      <c r="GLK1333" s="4" t="s">
        <v>2877</v>
      </c>
      <c r="GLL1333" s="4" t="s">
        <v>2877</v>
      </c>
      <c r="GLM1333" s="4" t="s">
        <v>2877</v>
      </c>
      <c r="GLN1333" s="4" t="s">
        <v>2877</v>
      </c>
      <c r="GLO1333" s="4" t="s">
        <v>2877</v>
      </c>
      <c r="GLP1333" s="4" t="s">
        <v>2877</v>
      </c>
      <c r="GLQ1333" s="4" t="s">
        <v>2877</v>
      </c>
      <c r="GLR1333" s="4" t="s">
        <v>2877</v>
      </c>
      <c r="GLS1333" s="4" t="s">
        <v>2877</v>
      </c>
      <c r="GLT1333" s="4" t="s">
        <v>2877</v>
      </c>
      <c r="GLU1333" s="4" t="s">
        <v>2877</v>
      </c>
      <c r="GLV1333" s="4" t="s">
        <v>2877</v>
      </c>
      <c r="GLW1333" s="4" t="s">
        <v>2877</v>
      </c>
      <c r="GLX1333" s="4" t="s">
        <v>2877</v>
      </c>
      <c r="GLY1333" s="4" t="s">
        <v>2877</v>
      </c>
      <c r="GLZ1333" s="4" t="s">
        <v>2877</v>
      </c>
      <c r="GMA1333" s="4" t="s">
        <v>2877</v>
      </c>
      <c r="GMB1333" s="4" t="s">
        <v>2877</v>
      </c>
      <c r="GMC1333" s="4" t="s">
        <v>2877</v>
      </c>
      <c r="GMD1333" s="4" t="s">
        <v>2877</v>
      </c>
      <c r="GME1333" s="4" t="s">
        <v>2877</v>
      </c>
      <c r="GMF1333" s="4" t="s">
        <v>2877</v>
      </c>
      <c r="GMG1333" s="4" t="s">
        <v>2877</v>
      </c>
      <c r="GMH1333" s="4" t="s">
        <v>2877</v>
      </c>
      <c r="GMI1333" s="4" t="s">
        <v>2877</v>
      </c>
      <c r="GMJ1333" s="4" t="s">
        <v>2877</v>
      </c>
      <c r="GMK1333" s="4" t="s">
        <v>2877</v>
      </c>
      <c r="GML1333" s="4" t="s">
        <v>2877</v>
      </c>
      <c r="GMM1333" s="4" t="s">
        <v>2877</v>
      </c>
      <c r="GMN1333" s="4" t="s">
        <v>2877</v>
      </c>
      <c r="GMO1333" s="4" t="s">
        <v>2877</v>
      </c>
      <c r="GMP1333" s="4" t="s">
        <v>2877</v>
      </c>
      <c r="GMQ1333" s="4" t="s">
        <v>2877</v>
      </c>
      <c r="GMR1333" s="4" t="s">
        <v>2877</v>
      </c>
      <c r="GMS1333" s="4" t="s">
        <v>2877</v>
      </c>
      <c r="GMT1333" s="4" t="s">
        <v>2877</v>
      </c>
      <c r="GMU1333" s="4" t="s">
        <v>2877</v>
      </c>
      <c r="GMV1333" s="4" t="s">
        <v>2877</v>
      </c>
      <c r="GMW1333" s="4" t="s">
        <v>2877</v>
      </c>
      <c r="GMX1333" s="4" t="s">
        <v>2877</v>
      </c>
      <c r="GMY1333" s="4" t="s">
        <v>2877</v>
      </c>
      <c r="GMZ1333" s="4" t="s">
        <v>2877</v>
      </c>
      <c r="GNA1333" s="4" t="s">
        <v>2877</v>
      </c>
      <c r="GNB1333" s="4" t="s">
        <v>2877</v>
      </c>
      <c r="GNC1333" s="4" t="s">
        <v>2877</v>
      </c>
      <c r="GND1333" s="4" t="s">
        <v>2877</v>
      </c>
      <c r="GNE1333" s="4" t="s">
        <v>2877</v>
      </c>
      <c r="GNF1333" s="4" t="s">
        <v>2877</v>
      </c>
      <c r="GNG1333" s="4" t="s">
        <v>2877</v>
      </c>
      <c r="GNH1333" s="4" t="s">
        <v>2877</v>
      </c>
      <c r="GNI1333" s="4" t="s">
        <v>2877</v>
      </c>
      <c r="GNJ1333" s="4" t="s">
        <v>2877</v>
      </c>
      <c r="GNK1333" s="4" t="s">
        <v>2877</v>
      </c>
      <c r="GNL1333" s="4" t="s">
        <v>2877</v>
      </c>
      <c r="GNM1333" s="4" t="s">
        <v>2877</v>
      </c>
      <c r="GNN1333" s="4" t="s">
        <v>2877</v>
      </c>
      <c r="GNO1333" s="4" t="s">
        <v>2877</v>
      </c>
      <c r="GNP1333" s="4" t="s">
        <v>2877</v>
      </c>
      <c r="GNQ1333" s="4" t="s">
        <v>2877</v>
      </c>
      <c r="GNR1333" s="4" t="s">
        <v>2877</v>
      </c>
      <c r="GNS1333" s="4" t="s">
        <v>2877</v>
      </c>
      <c r="GNT1333" s="4" t="s">
        <v>2877</v>
      </c>
      <c r="GNU1333" s="4" t="s">
        <v>2877</v>
      </c>
      <c r="GNV1333" s="4" t="s">
        <v>2877</v>
      </c>
      <c r="GNW1333" s="4" t="s">
        <v>2877</v>
      </c>
      <c r="GNX1333" s="4" t="s">
        <v>2877</v>
      </c>
      <c r="GNY1333" s="4" t="s">
        <v>2877</v>
      </c>
      <c r="GNZ1333" s="4" t="s">
        <v>2877</v>
      </c>
      <c r="GOA1333" s="4" t="s">
        <v>2877</v>
      </c>
      <c r="GOB1333" s="4" t="s">
        <v>2877</v>
      </c>
      <c r="GOC1333" s="4" t="s">
        <v>2877</v>
      </c>
      <c r="GOD1333" s="4" t="s">
        <v>2877</v>
      </c>
      <c r="GOE1333" s="4" t="s">
        <v>2877</v>
      </c>
      <c r="GOF1333" s="4" t="s">
        <v>2877</v>
      </c>
      <c r="GOG1333" s="4" t="s">
        <v>2877</v>
      </c>
      <c r="GOH1333" s="4" t="s">
        <v>2877</v>
      </c>
      <c r="GOI1333" s="4" t="s">
        <v>2877</v>
      </c>
      <c r="GOJ1333" s="4" t="s">
        <v>2877</v>
      </c>
      <c r="GOK1333" s="4" t="s">
        <v>2877</v>
      </c>
      <c r="GOL1333" s="4" t="s">
        <v>2877</v>
      </c>
      <c r="GOM1333" s="4" t="s">
        <v>2877</v>
      </c>
      <c r="GON1333" s="4" t="s">
        <v>2877</v>
      </c>
      <c r="GOO1333" s="4" t="s">
        <v>2877</v>
      </c>
      <c r="GOP1333" s="4" t="s">
        <v>2877</v>
      </c>
      <c r="GOQ1333" s="4" t="s">
        <v>2877</v>
      </c>
      <c r="GOR1333" s="4" t="s">
        <v>2877</v>
      </c>
      <c r="GOS1333" s="4" t="s">
        <v>2877</v>
      </c>
      <c r="GOT1333" s="4" t="s">
        <v>2877</v>
      </c>
      <c r="GOU1333" s="4" t="s">
        <v>2877</v>
      </c>
      <c r="GOV1333" s="4" t="s">
        <v>2877</v>
      </c>
      <c r="GOW1333" s="4" t="s">
        <v>2877</v>
      </c>
      <c r="GOX1333" s="4" t="s">
        <v>2877</v>
      </c>
      <c r="GOY1333" s="4" t="s">
        <v>2877</v>
      </c>
      <c r="GOZ1333" s="4" t="s">
        <v>2877</v>
      </c>
      <c r="GPA1333" s="4" t="s">
        <v>2877</v>
      </c>
      <c r="GPB1333" s="4" t="s">
        <v>2877</v>
      </c>
      <c r="GPC1333" s="4" t="s">
        <v>2877</v>
      </c>
      <c r="GPD1333" s="4" t="s">
        <v>2877</v>
      </c>
      <c r="GPE1333" s="4" t="s">
        <v>2877</v>
      </c>
      <c r="GPF1333" s="4" t="s">
        <v>2877</v>
      </c>
      <c r="GPG1333" s="4" t="s">
        <v>2877</v>
      </c>
      <c r="GPH1333" s="4" t="s">
        <v>2877</v>
      </c>
      <c r="GPI1333" s="4" t="s">
        <v>2877</v>
      </c>
      <c r="GPJ1333" s="4" t="s">
        <v>2877</v>
      </c>
      <c r="GPK1333" s="4" t="s">
        <v>2877</v>
      </c>
      <c r="GPL1333" s="4" t="s">
        <v>2877</v>
      </c>
      <c r="GPM1333" s="4" t="s">
        <v>2877</v>
      </c>
      <c r="GPN1333" s="4" t="s">
        <v>2877</v>
      </c>
      <c r="GPO1333" s="4" t="s">
        <v>2877</v>
      </c>
      <c r="GPP1333" s="4" t="s">
        <v>2877</v>
      </c>
      <c r="GPQ1333" s="4" t="s">
        <v>2877</v>
      </c>
      <c r="GPR1333" s="4" t="s">
        <v>2877</v>
      </c>
      <c r="GPS1333" s="4" t="s">
        <v>2877</v>
      </c>
      <c r="GPT1333" s="4" t="s">
        <v>2877</v>
      </c>
      <c r="GPU1333" s="4" t="s">
        <v>2877</v>
      </c>
      <c r="GPV1333" s="4" t="s">
        <v>2877</v>
      </c>
      <c r="GPW1333" s="4" t="s">
        <v>2877</v>
      </c>
      <c r="GPX1333" s="4" t="s">
        <v>2877</v>
      </c>
      <c r="GPY1333" s="4" t="s">
        <v>2877</v>
      </c>
      <c r="GPZ1333" s="4" t="s">
        <v>2877</v>
      </c>
      <c r="GQA1333" s="4" t="s">
        <v>2877</v>
      </c>
      <c r="GQB1333" s="4" t="s">
        <v>2877</v>
      </c>
      <c r="GQC1333" s="4" t="s">
        <v>2877</v>
      </c>
      <c r="GQD1333" s="4" t="s">
        <v>2877</v>
      </c>
      <c r="GQE1333" s="4" t="s">
        <v>2877</v>
      </c>
      <c r="GQF1333" s="4" t="s">
        <v>2877</v>
      </c>
      <c r="GQG1333" s="4" t="s">
        <v>2877</v>
      </c>
      <c r="GQH1333" s="4" t="s">
        <v>2877</v>
      </c>
      <c r="GQI1333" s="4" t="s">
        <v>2877</v>
      </c>
      <c r="GQJ1333" s="4" t="s">
        <v>2877</v>
      </c>
      <c r="GQK1333" s="4" t="s">
        <v>2877</v>
      </c>
      <c r="GQL1333" s="4" t="s">
        <v>2877</v>
      </c>
      <c r="GQM1333" s="4" t="s">
        <v>2877</v>
      </c>
      <c r="GQN1333" s="4" t="s">
        <v>2877</v>
      </c>
      <c r="GQO1333" s="4" t="s">
        <v>2877</v>
      </c>
      <c r="GQP1333" s="4" t="s">
        <v>2877</v>
      </c>
      <c r="GQQ1333" s="4" t="s">
        <v>2877</v>
      </c>
      <c r="GQR1333" s="4" t="s">
        <v>2877</v>
      </c>
      <c r="GQS1333" s="4" t="s">
        <v>2877</v>
      </c>
      <c r="GQT1333" s="4" t="s">
        <v>2877</v>
      </c>
      <c r="GQU1333" s="4" t="s">
        <v>2877</v>
      </c>
      <c r="GQV1333" s="4" t="s">
        <v>2877</v>
      </c>
      <c r="GQW1333" s="4" t="s">
        <v>2877</v>
      </c>
      <c r="GQX1333" s="4" t="s">
        <v>2877</v>
      </c>
      <c r="GQY1333" s="4" t="s">
        <v>2877</v>
      </c>
      <c r="GQZ1333" s="4" t="s">
        <v>2877</v>
      </c>
      <c r="GRA1333" s="4" t="s">
        <v>2877</v>
      </c>
      <c r="GRB1333" s="4" t="s">
        <v>2877</v>
      </c>
      <c r="GRC1333" s="4" t="s">
        <v>2877</v>
      </c>
      <c r="GRD1333" s="4" t="s">
        <v>2877</v>
      </c>
      <c r="GRE1333" s="4" t="s">
        <v>2877</v>
      </c>
      <c r="GRF1333" s="4" t="s">
        <v>2877</v>
      </c>
      <c r="GRG1333" s="4" t="s">
        <v>2877</v>
      </c>
      <c r="GRH1333" s="4" t="s">
        <v>2877</v>
      </c>
      <c r="GRI1333" s="4" t="s">
        <v>2877</v>
      </c>
      <c r="GRJ1333" s="4" t="s">
        <v>2877</v>
      </c>
      <c r="GRK1333" s="4" t="s">
        <v>2877</v>
      </c>
      <c r="GRL1333" s="4" t="s">
        <v>2877</v>
      </c>
      <c r="GRM1333" s="4" t="s">
        <v>2877</v>
      </c>
      <c r="GRN1333" s="4" t="s">
        <v>2877</v>
      </c>
      <c r="GRO1333" s="4" t="s">
        <v>2877</v>
      </c>
      <c r="GRP1333" s="4" t="s">
        <v>2877</v>
      </c>
      <c r="GRQ1333" s="4" t="s">
        <v>2877</v>
      </c>
      <c r="GRR1333" s="4" t="s">
        <v>2877</v>
      </c>
      <c r="GRS1333" s="4" t="s">
        <v>2877</v>
      </c>
      <c r="GRT1333" s="4" t="s">
        <v>2877</v>
      </c>
      <c r="GRU1333" s="4" t="s">
        <v>2877</v>
      </c>
      <c r="GRV1333" s="4" t="s">
        <v>2877</v>
      </c>
      <c r="GRW1333" s="4" t="s">
        <v>2877</v>
      </c>
      <c r="GRX1333" s="4" t="s">
        <v>2877</v>
      </c>
      <c r="GRY1333" s="4" t="s">
        <v>2877</v>
      </c>
      <c r="GRZ1333" s="4" t="s">
        <v>2877</v>
      </c>
      <c r="GSA1333" s="4" t="s">
        <v>2877</v>
      </c>
      <c r="GSB1333" s="4" t="s">
        <v>2877</v>
      </c>
      <c r="GSC1333" s="4" t="s">
        <v>2877</v>
      </c>
      <c r="GSD1333" s="4" t="s">
        <v>2877</v>
      </c>
      <c r="GSE1333" s="4" t="s">
        <v>2877</v>
      </c>
      <c r="GSF1333" s="4" t="s">
        <v>2877</v>
      </c>
      <c r="GSG1333" s="4" t="s">
        <v>2877</v>
      </c>
      <c r="GSH1333" s="4" t="s">
        <v>2877</v>
      </c>
      <c r="GSI1333" s="4" t="s">
        <v>2877</v>
      </c>
      <c r="GSJ1333" s="4" t="s">
        <v>2877</v>
      </c>
      <c r="GSK1333" s="4" t="s">
        <v>2877</v>
      </c>
      <c r="GSL1333" s="4" t="s">
        <v>2877</v>
      </c>
      <c r="GSM1333" s="4" t="s">
        <v>2877</v>
      </c>
      <c r="GSN1333" s="4" t="s">
        <v>2877</v>
      </c>
      <c r="GSO1333" s="4" t="s">
        <v>2877</v>
      </c>
      <c r="GSP1333" s="4" t="s">
        <v>2877</v>
      </c>
      <c r="GSQ1333" s="4" t="s">
        <v>2877</v>
      </c>
      <c r="GSR1333" s="4" t="s">
        <v>2877</v>
      </c>
      <c r="GSS1333" s="4" t="s">
        <v>2877</v>
      </c>
      <c r="GST1333" s="4" t="s">
        <v>2877</v>
      </c>
      <c r="GSU1333" s="4" t="s">
        <v>2877</v>
      </c>
      <c r="GSV1333" s="4" t="s">
        <v>2877</v>
      </c>
      <c r="GSW1333" s="4" t="s">
        <v>2877</v>
      </c>
      <c r="GSX1333" s="4" t="s">
        <v>2877</v>
      </c>
      <c r="GSY1333" s="4" t="s">
        <v>2877</v>
      </c>
      <c r="GSZ1333" s="4" t="s">
        <v>2877</v>
      </c>
      <c r="GTA1333" s="4" t="s">
        <v>2877</v>
      </c>
      <c r="GTB1333" s="4" t="s">
        <v>2877</v>
      </c>
      <c r="GTC1333" s="4" t="s">
        <v>2877</v>
      </c>
      <c r="GTD1333" s="4" t="s">
        <v>2877</v>
      </c>
      <c r="GTE1333" s="4" t="s">
        <v>2877</v>
      </c>
      <c r="GTF1333" s="4" t="s">
        <v>2877</v>
      </c>
      <c r="GTG1333" s="4" t="s">
        <v>2877</v>
      </c>
      <c r="GTH1333" s="4" t="s">
        <v>2877</v>
      </c>
      <c r="GTI1333" s="4" t="s">
        <v>2877</v>
      </c>
      <c r="GTJ1333" s="4" t="s">
        <v>2877</v>
      </c>
      <c r="GTK1333" s="4" t="s">
        <v>2877</v>
      </c>
      <c r="GTL1333" s="4" t="s">
        <v>2877</v>
      </c>
      <c r="GTM1333" s="4" t="s">
        <v>2877</v>
      </c>
      <c r="GTN1333" s="4" t="s">
        <v>2877</v>
      </c>
      <c r="GTO1333" s="4" t="s">
        <v>2877</v>
      </c>
      <c r="GTP1333" s="4" t="s">
        <v>2877</v>
      </c>
      <c r="GTQ1333" s="4" t="s">
        <v>2877</v>
      </c>
      <c r="GTR1333" s="4" t="s">
        <v>2877</v>
      </c>
      <c r="GTS1333" s="4" t="s">
        <v>2877</v>
      </c>
      <c r="GTT1333" s="4" t="s">
        <v>2877</v>
      </c>
      <c r="GTU1333" s="4" t="s">
        <v>2877</v>
      </c>
      <c r="GTV1333" s="4" t="s">
        <v>2877</v>
      </c>
      <c r="GTW1333" s="4" t="s">
        <v>2877</v>
      </c>
      <c r="GTX1333" s="4" t="s">
        <v>2877</v>
      </c>
      <c r="GTY1333" s="4" t="s">
        <v>2877</v>
      </c>
      <c r="GTZ1333" s="4" t="s">
        <v>2877</v>
      </c>
      <c r="GUA1333" s="4" t="s">
        <v>2877</v>
      </c>
      <c r="GUB1333" s="4" t="s">
        <v>2877</v>
      </c>
      <c r="GUC1333" s="4" t="s">
        <v>2877</v>
      </c>
      <c r="GUD1333" s="4" t="s">
        <v>2877</v>
      </c>
      <c r="GUE1333" s="4" t="s">
        <v>2877</v>
      </c>
      <c r="GUF1333" s="4" t="s">
        <v>2877</v>
      </c>
      <c r="GUG1333" s="4" t="s">
        <v>2877</v>
      </c>
      <c r="GUH1333" s="4" t="s">
        <v>2877</v>
      </c>
      <c r="GUI1333" s="4" t="s">
        <v>2877</v>
      </c>
      <c r="GUJ1333" s="4" t="s">
        <v>2877</v>
      </c>
      <c r="GUK1333" s="4" t="s">
        <v>2877</v>
      </c>
      <c r="GUL1333" s="4" t="s">
        <v>2877</v>
      </c>
      <c r="GUM1333" s="4" t="s">
        <v>2877</v>
      </c>
      <c r="GUN1333" s="4" t="s">
        <v>2877</v>
      </c>
      <c r="GUO1333" s="4" t="s">
        <v>2877</v>
      </c>
      <c r="GUP1333" s="4" t="s">
        <v>2877</v>
      </c>
      <c r="GUQ1333" s="4" t="s">
        <v>2877</v>
      </c>
      <c r="GUR1333" s="4" t="s">
        <v>2877</v>
      </c>
      <c r="GUS1333" s="4" t="s">
        <v>2877</v>
      </c>
      <c r="GUT1333" s="4" t="s">
        <v>2877</v>
      </c>
      <c r="GUU1333" s="4" t="s">
        <v>2877</v>
      </c>
      <c r="GUV1333" s="4" t="s">
        <v>2877</v>
      </c>
      <c r="GUW1333" s="4" t="s">
        <v>2877</v>
      </c>
      <c r="GUX1333" s="4" t="s">
        <v>2877</v>
      </c>
      <c r="GUY1333" s="4" t="s">
        <v>2877</v>
      </c>
      <c r="GUZ1333" s="4" t="s">
        <v>2877</v>
      </c>
      <c r="GVA1333" s="4" t="s">
        <v>2877</v>
      </c>
      <c r="GVB1333" s="4" t="s">
        <v>2877</v>
      </c>
      <c r="GVC1333" s="4" t="s">
        <v>2877</v>
      </c>
      <c r="GVD1333" s="4" t="s">
        <v>2877</v>
      </c>
      <c r="GVE1333" s="4" t="s">
        <v>2877</v>
      </c>
      <c r="GVF1333" s="4" t="s">
        <v>2877</v>
      </c>
      <c r="GVG1333" s="4" t="s">
        <v>2877</v>
      </c>
      <c r="GVH1333" s="4" t="s">
        <v>2877</v>
      </c>
      <c r="GVI1333" s="4" t="s">
        <v>2877</v>
      </c>
      <c r="GVJ1333" s="4" t="s">
        <v>2877</v>
      </c>
      <c r="GVK1333" s="4" t="s">
        <v>2877</v>
      </c>
      <c r="GVL1333" s="4" t="s">
        <v>2877</v>
      </c>
      <c r="GVM1333" s="4" t="s">
        <v>2877</v>
      </c>
      <c r="GVN1333" s="4" t="s">
        <v>2877</v>
      </c>
      <c r="GVO1333" s="4" t="s">
        <v>2877</v>
      </c>
      <c r="GVP1333" s="4" t="s">
        <v>2877</v>
      </c>
      <c r="GVQ1333" s="4" t="s">
        <v>2877</v>
      </c>
      <c r="GVR1333" s="4" t="s">
        <v>2877</v>
      </c>
      <c r="GVS1333" s="4" t="s">
        <v>2877</v>
      </c>
      <c r="GVT1333" s="4" t="s">
        <v>2877</v>
      </c>
      <c r="GVU1333" s="4" t="s">
        <v>2877</v>
      </c>
      <c r="GVV1333" s="4" t="s">
        <v>2877</v>
      </c>
      <c r="GVW1333" s="4" t="s">
        <v>2877</v>
      </c>
      <c r="GVX1333" s="4" t="s">
        <v>2877</v>
      </c>
      <c r="GVY1333" s="4" t="s">
        <v>2877</v>
      </c>
      <c r="GVZ1333" s="4" t="s">
        <v>2877</v>
      </c>
      <c r="GWA1333" s="4" t="s">
        <v>2877</v>
      </c>
      <c r="GWB1333" s="4" t="s">
        <v>2877</v>
      </c>
      <c r="GWC1333" s="4" t="s">
        <v>2877</v>
      </c>
      <c r="GWD1333" s="4" t="s">
        <v>2877</v>
      </c>
      <c r="GWE1333" s="4" t="s">
        <v>2877</v>
      </c>
      <c r="GWF1333" s="4" t="s">
        <v>2877</v>
      </c>
      <c r="GWG1333" s="4" t="s">
        <v>2877</v>
      </c>
      <c r="GWH1333" s="4" t="s">
        <v>2877</v>
      </c>
      <c r="GWI1333" s="4" t="s">
        <v>2877</v>
      </c>
      <c r="GWJ1333" s="4" t="s">
        <v>2877</v>
      </c>
      <c r="GWK1333" s="4" t="s">
        <v>2877</v>
      </c>
      <c r="GWL1333" s="4" t="s">
        <v>2877</v>
      </c>
      <c r="GWM1333" s="4" t="s">
        <v>2877</v>
      </c>
      <c r="GWN1333" s="4" t="s">
        <v>2877</v>
      </c>
      <c r="GWO1333" s="4" t="s">
        <v>2877</v>
      </c>
      <c r="GWP1333" s="4" t="s">
        <v>2877</v>
      </c>
      <c r="GWQ1333" s="4" t="s">
        <v>2877</v>
      </c>
      <c r="GWR1333" s="4" t="s">
        <v>2877</v>
      </c>
      <c r="GWS1333" s="4" t="s">
        <v>2877</v>
      </c>
      <c r="GWT1333" s="4" t="s">
        <v>2877</v>
      </c>
      <c r="GWU1333" s="4" t="s">
        <v>2877</v>
      </c>
      <c r="GWV1333" s="4" t="s">
        <v>2877</v>
      </c>
      <c r="GWW1333" s="4" t="s">
        <v>2877</v>
      </c>
      <c r="GWX1333" s="4" t="s">
        <v>2877</v>
      </c>
      <c r="GWY1333" s="4" t="s">
        <v>2877</v>
      </c>
      <c r="GWZ1333" s="4" t="s">
        <v>2877</v>
      </c>
      <c r="GXA1333" s="4" t="s">
        <v>2877</v>
      </c>
      <c r="GXB1333" s="4" t="s">
        <v>2877</v>
      </c>
      <c r="GXC1333" s="4" t="s">
        <v>2877</v>
      </c>
      <c r="GXD1333" s="4" t="s">
        <v>2877</v>
      </c>
      <c r="GXE1333" s="4" t="s">
        <v>2877</v>
      </c>
      <c r="GXF1333" s="4" t="s">
        <v>2877</v>
      </c>
      <c r="GXG1333" s="4" t="s">
        <v>2877</v>
      </c>
      <c r="GXH1333" s="4" t="s">
        <v>2877</v>
      </c>
      <c r="GXI1333" s="4" t="s">
        <v>2877</v>
      </c>
      <c r="GXJ1333" s="4" t="s">
        <v>2877</v>
      </c>
      <c r="GXK1333" s="4" t="s">
        <v>2877</v>
      </c>
      <c r="GXL1333" s="4" t="s">
        <v>2877</v>
      </c>
      <c r="GXM1333" s="4" t="s">
        <v>2877</v>
      </c>
      <c r="GXN1333" s="4" t="s">
        <v>2877</v>
      </c>
      <c r="GXO1333" s="4" t="s">
        <v>2877</v>
      </c>
      <c r="GXP1333" s="4" t="s">
        <v>2877</v>
      </c>
      <c r="GXQ1333" s="4" t="s">
        <v>2877</v>
      </c>
      <c r="GXR1333" s="4" t="s">
        <v>2877</v>
      </c>
      <c r="GXS1333" s="4" t="s">
        <v>2877</v>
      </c>
      <c r="GXT1333" s="4" t="s">
        <v>2877</v>
      </c>
      <c r="GXU1333" s="4" t="s">
        <v>2877</v>
      </c>
      <c r="GXV1333" s="4" t="s">
        <v>2877</v>
      </c>
      <c r="GXW1333" s="4" t="s">
        <v>2877</v>
      </c>
      <c r="GXX1333" s="4" t="s">
        <v>2877</v>
      </c>
      <c r="GXY1333" s="4" t="s">
        <v>2877</v>
      </c>
      <c r="GXZ1333" s="4" t="s">
        <v>2877</v>
      </c>
      <c r="GYA1333" s="4" t="s">
        <v>2877</v>
      </c>
      <c r="GYB1333" s="4" t="s">
        <v>2877</v>
      </c>
      <c r="GYC1333" s="4" t="s">
        <v>2877</v>
      </c>
      <c r="GYD1333" s="4" t="s">
        <v>2877</v>
      </c>
      <c r="GYE1333" s="4" t="s">
        <v>2877</v>
      </c>
      <c r="GYF1333" s="4" t="s">
        <v>2877</v>
      </c>
      <c r="GYG1333" s="4" t="s">
        <v>2877</v>
      </c>
      <c r="GYH1333" s="4" t="s">
        <v>2877</v>
      </c>
      <c r="GYI1333" s="4" t="s">
        <v>2877</v>
      </c>
      <c r="GYJ1333" s="4" t="s">
        <v>2877</v>
      </c>
      <c r="GYK1333" s="4" t="s">
        <v>2877</v>
      </c>
      <c r="GYL1333" s="4" t="s">
        <v>2877</v>
      </c>
      <c r="GYM1333" s="4" t="s">
        <v>2877</v>
      </c>
      <c r="GYN1333" s="4" t="s">
        <v>2877</v>
      </c>
      <c r="GYO1333" s="4" t="s">
        <v>2877</v>
      </c>
      <c r="GYP1333" s="4" t="s">
        <v>2877</v>
      </c>
      <c r="GYQ1333" s="4" t="s">
        <v>2877</v>
      </c>
      <c r="GYR1333" s="4" t="s">
        <v>2877</v>
      </c>
      <c r="GYS1333" s="4" t="s">
        <v>2877</v>
      </c>
      <c r="GYT1333" s="4" t="s">
        <v>2877</v>
      </c>
      <c r="GYU1333" s="4" t="s">
        <v>2877</v>
      </c>
      <c r="GYV1333" s="4" t="s">
        <v>2877</v>
      </c>
      <c r="GYW1333" s="4" t="s">
        <v>2877</v>
      </c>
      <c r="GYX1333" s="4" t="s">
        <v>2877</v>
      </c>
      <c r="GYY1333" s="4" t="s">
        <v>2877</v>
      </c>
      <c r="GYZ1333" s="4" t="s">
        <v>2877</v>
      </c>
      <c r="GZA1333" s="4" t="s">
        <v>2877</v>
      </c>
      <c r="GZB1333" s="4" t="s">
        <v>2877</v>
      </c>
      <c r="GZC1333" s="4" t="s">
        <v>2877</v>
      </c>
      <c r="GZD1333" s="4" t="s">
        <v>2877</v>
      </c>
      <c r="GZE1333" s="4" t="s">
        <v>2877</v>
      </c>
      <c r="GZF1333" s="4" t="s">
        <v>2877</v>
      </c>
      <c r="GZG1333" s="4" t="s">
        <v>2877</v>
      </c>
      <c r="GZH1333" s="4" t="s">
        <v>2877</v>
      </c>
      <c r="GZI1333" s="4" t="s">
        <v>2877</v>
      </c>
      <c r="GZJ1333" s="4" t="s">
        <v>2877</v>
      </c>
      <c r="GZK1333" s="4" t="s">
        <v>2877</v>
      </c>
      <c r="GZL1333" s="4" t="s">
        <v>2877</v>
      </c>
      <c r="GZM1333" s="4" t="s">
        <v>2877</v>
      </c>
      <c r="GZN1333" s="4" t="s">
        <v>2877</v>
      </c>
      <c r="GZO1333" s="4" t="s">
        <v>2877</v>
      </c>
      <c r="GZP1333" s="4" t="s">
        <v>2877</v>
      </c>
      <c r="GZQ1333" s="4" t="s">
        <v>2877</v>
      </c>
      <c r="GZR1333" s="4" t="s">
        <v>2877</v>
      </c>
      <c r="GZS1333" s="4" t="s">
        <v>2877</v>
      </c>
      <c r="GZT1333" s="4" t="s">
        <v>2877</v>
      </c>
      <c r="GZU1333" s="4" t="s">
        <v>2877</v>
      </c>
      <c r="GZV1333" s="4" t="s">
        <v>2877</v>
      </c>
      <c r="GZW1333" s="4" t="s">
        <v>2877</v>
      </c>
      <c r="GZX1333" s="4" t="s">
        <v>2877</v>
      </c>
      <c r="GZY1333" s="4" t="s">
        <v>2877</v>
      </c>
      <c r="GZZ1333" s="4" t="s">
        <v>2877</v>
      </c>
      <c r="HAA1333" s="4" t="s">
        <v>2877</v>
      </c>
      <c r="HAB1333" s="4" t="s">
        <v>2877</v>
      </c>
      <c r="HAC1333" s="4" t="s">
        <v>2877</v>
      </c>
      <c r="HAD1333" s="4" t="s">
        <v>2877</v>
      </c>
      <c r="HAE1333" s="4" t="s">
        <v>2877</v>
      </c>
      <c r="HAF1333" s="4" t="s">
        <v>2877</v>
      </c>
      <c r="HAG1333" s="4" t="s">
        <v>2877</v>
      </c>
      <c r="HAH1333" s="4" t="s">
        <v>2877</v>
      </c>
      <c r="HAI1333" s="4" t="s">
        <v>2877</v>
      </c>
      <c r="HAJ1333" s="4" t="s">
        <v>2877</v>
      </c>
      <c r="HAK1333" s="4" t="s">
        <v>2877</v>
      </c>
      <c r="HAL1333" s="4" t="s">
        <v>2877</v>
      </c>
      <c r="HAM1333" s="4" t="s">
        <v>2877</v>
      </c>
      <c r="HAN1333" s="4" t="s">
        <v>2877</v>
      </c>
      <c r="HAO1333" s="4" t="s">
        <v>2877</v>
      </c>
      <c r="HAP1333" s="4" t="s">
        <v>2877</v>
      </c>
      <c r="HAQ1333" s="4" t="s">
        <v>2877</v>
      </c>
      <c r="HAR1333" s="4" t="s">
        <v>2877</v>
      </c>
      <c r="HAS1333" s="4" t="s">
        <v>2877</v>
      </c>
      <c r="HAT1333" s="4" t="s">
        <v>2877</v>
      </c>
      <c r="HAU1333" s="4" t="s">
        <v>2877</v>
      </c>
      <c r="HAV1333" s="4" t="s">
        <v>2877</v>
      </c>
      <c r="HAW1333" s="4" t="s">
        <v>2877</v>
      </c>
      <c r="HAX1333" s="4" t="s">
        <v>2877</v>
      </c>
      <c r="HAY1333" s="4" t="s">
        <v>2877</v>
      </c>
      <c r="HAZ1333" s="4" t="s">
        <v>2877</v>
      </c>
      <c r="HBA1333" s="4" t="s">
        <v>2877</v>
      </c>
      <c r="HBB1333" s="4" t="s">
        <v>2877</v>
      </c>
      <c r="HBC1333" s="4" t="s">
        <v>2877</v>
      </c>
      <c r="HBD1333" s="4" t="s">
        <v>2877</v>
      </c>
      <c r="HBE1333" s="4" t="s">
        <v>2877</v>
      </c>
      <c r="HBF1333" s="4" t="s">
        <v>2877</v>
      </c>
      <c r="HBG1333" s="4" t="s">
        <v>2877</v>
      </c>
      <c r="HBH1333" s="4" t="s">
        <v>2877</v>
      </c>
      <c r="HBI1333" s="4" t="s">
        <v>2877</v>
      </c>
      <c r="HBJ1333" s="4" t="s">
        <v>2877</v>
      </c>
      <c r="HBK1333" s="4" t="s">
        <v>2877</v>
      </c>
      <c r="HBL1333" s="4" t="s">
        <v>2877</v>
      </c>
      <c r="HBM1333" s="4" t="s">
        <v>2877</v>
      </c>
      <c r="HBN1333" s="4" t="s">
        <v>2877</v>
      </c>
      <c r="HBO1333" s="4" t="s">
        <v>2877</v>
      </c>
      <c r="HBP1333" s="4" t="s">
        <v>2877</v>
      </c>
      <c r="HBQ1333" s="4" t="s">
        <v>2877</v>
      </c>
      <c r="HBR1333" s="4" t="s">
        <v>2877</v>
      </c>
      <c r="HBS1333" s="4" t="s">
        <v>2877</v>
      </c>
      <c r="HBT1333" s="4" t="s">
        <v>2877</v>
      </c>
      <c r="HBU1333" s="4" t="s">
        <v>2877</v>
      </c>
      <c r="HBV1333" s="4" t="s">
        <v>2877</v>
      </c>
      <c r="HBW1333" s="4" t="s">
        <v>2877</v>
      </c>
      <c r="HBX1333" s="4" t="s">
        <v>2877</v>
      </c>
      <c r="HBY1333" s="4" t="s">
        <v>2877</v>
      </c>
      <c r="HBZ1333" s="4" t="s">
        <v>2877</v>
      </c>
      <c r="HCA1333" s="4" t="s">
        <v>2877</v>
      </c>
      <c r="HCB1333" s="4" t="s">
        <v>2877</v>
      </c>
      <c r="HCC1333" s="4" t="s">
        <v>2877</v>
      </c>
      <c r="HCD1333" s="4" t="s">
        <v>2877</v>
      </c>
      <c r="HCE1333" s="4" t="s">
        <v>2877</v>
      </c>
      <c r="HCF1333" s="4" t="s">
        <v>2877</v>
      </c>
      <c r="HCG1333" s="4" t="s">
        <v>2877</v>
      </c>
      <c r="HCH1333" s="4" t="s">
        <v>2877</v>
      </c>
      <c r="HCI1333" s="4" t="s">
        <v>2877</v>
      </c>
      <c r="HCJ1333" s="4" t="s">
        <v>2877</v>
      </c>
      <c r="HCK1333" s="4" t="s">
        <v>2877</v>
      </c>
      <c r="HCL1333" s="4" t="s">
        <v>2877</v>
      </c>
      <c r="HCM1333" s="4" t="s">
        <v>2877</v>
      </c>
      <c r="HCN1333" s="4" t="s">
        <v>2877</v>
      </c>
      <c r="HCO1333" s="4" t="s">
        <v>2877</v>
      </c>
      <c r="HCP1333" s="4" t="s">
        <v>2877</v>
      </c>
      <c r="HCQ1333" s="4" t="s">
        <v>2877</v>
      </c>
      <c r="HCR1333" s="4" t="s">
        <v>2877</v>
      </c>
      <c r="HCS1333" s="4" t="s">
        <v>2877</v>
      </c>
      <c r="HCT1333" s="4" t="s">
        <v>2877</v>
      </c>
      <c r="HCU1333" s="4" t="s">
        <v>2877</v>
      </c>
      <c r="HCV1333" s="4" t="s">
        <v>2877</v>
      </c>
      <c r="HCW1333" s="4" t="s">
        <v>2877</v>
      </c>
      <c r="HCX1333" s="4" t="s">
        <v>2877</v>
      </c>
      <c r="HCY1333" s="4" t="s">
        <v>2877</v>
      </c>
      <c r="HCZ1333" s="4" t="s">
        <v>2877</v>
      </c>
      <c r="HDA1333" s="4" t="s">
        <v>2877</v>
      </c>
      <c r="HDB1333" s="4" t="s">
        <v>2877</v>
      </c>
      <c r="HDC1333" s="4" t="s">
        <v>2877</v>
      </c>
      <c r="HDD1333" s="4" t="s">
        <v>2877</v>
      </c>
      <c r="HDE1333" s="4" t="s">
        <v>2877</v>
      </c>
      <c r="HDF1333" s="4" t="s">
        <v>2877</v>
      </c>
      <c r="HDG1333" s="4" t="s">
        <v>2877</v>
      </c>
      <c r="HDH1333" s="4" t="s">
        <v>2877</v>
      </c>
      <c r="HDI1333" s="4" t="s">
        <v>2877</v>
      </c>
      <c r="HDJ1333" s="4" t="s">
        <v>2877</v>
      </c>
      <c r="HDK1333" s="4" t="s">
        <v>2877</v>
      </c>
      <c r="HDL1333" s="4" t="s">
        <v>2877</v>
      </c>
      <c r="HDM1333" s="4" t="s">
        <v>2877</v>
      </c>
      <c r="HDN1333" s="4" t="s">
        <v>2877</v>
      </c>
      <c r="HDO1333" s="4" t="s">
        <v>2877</v>
      </c>
      <c r="HDP1333" s="4" t="s">
        <v>2877</v>
      </c>
      <c r="HDQ1333" s="4" t="s">
        <v>2877</v>
      </c>
      <c r="HDR1333" s="4" t="s">
        <v>2877</v>
      </c>
      <c r="HDS1333" s="4" t="s">
        <v>2877</v>
      </c>
      <c r="HDT1333" s="4" t="s">
        <v>2877</v>
      </c>
      <c r="HDU1333" s="4" t="s">
        <v>2877</v>
      </c>
      <c r="HDV1333" s="4" t="s">
        <v>2877</v>
      </c>
      <c r="HDW1333" s="4" t="s">
        <v>2877</v>
      </c>
      <c r="HDX1333" s="4" t="s">
        <v>2877</v>
      </c>
      <c r="HDY1333" s="4" t="s">
        <v>2877</v>
      </c>
      <c r="HDZ1333" s="4" t="s">
        <v>2877</v>
      </c>
      <c r="HEA1333" s="4" t="s">
        <v>2877</v>
      </c>
      <c r="HEB1333" s="4" t="s">
        <v>2877</v>
      </c>
      <c r="HEC1333" s="4" t="s">
        <v>2877</v>
      </c>
      <c r="HED1333" s="4" t="s">
        <v>2877</v>
      </c>
      <c r="HEE1333" s="4" t="s">
        <v>2877</v>
      </c>
      <c r="HEF1333" s="4" t="s">
        <v>2877</v>
      </c>
      <c r="HEG1333" s="4" t="s">
        <v>2877</v>
      </c>
      <c r="HEH1333" s="4" t="s">
        <v>2877</v>
      </c>
      <c r="HEI1333" s="4" t="s">
        <v>2877</v>
      </c>
      <c r="HEJ1333" s="4" t="s">
        <v>2877</v>
      </c>
      <c r="HEK1333" s="4" t="s">
        <v>2877</v>
      </c>
      <c r="HEL1333" s="4" t="s">
        <v>2877</v>
      </c>
      <c r="HEM1333" s="4" t="s">
        <v>2877</v>
      </c>
      <c r="HEN1333" s="4" t="s">
        <v>2877</v>
      </c>
      <c r="HEO1333" s="4" t="s">
        <v>2877</v>
      </c>
      <c r="HEP1333" s="4" t="s">
        <v>2877</v>
      </c>
      <c r="HEQ1333" s="4" t="s">
        <v>2877</v>
      </c>
      <c r="HER1333" s="4" t="s">
        <v>2877</v>
      </c>
      <c r="HES1333" s="4" t="s">
        <v>2877</v>
      </c>
      <c r="HET1333" s="4" t="s">
        <v>2877</v>
      </c>
      <c r="HEU1333" s="4" t="s">
        <v>2877</v>
      </c>
      <c r="HEV1333" s="4" t="s">
        <v>2877</v>
      </c>
      <c r="HEW1333" s="4" t="s">
        <v>2877</v>
      </c>
      <c r="HEX1333" s="4" t="s">
        <v>2877</v>
      </c>
      <c r="HEY1333" s="4" t="s">
        <v>2877</v>
      </c>
      <c r="HEZ1333" s="4" t="s">
        <v>2877</v>
      </c>
      <c r="HFA1333" s="4" t="s">
        <v>2877</v>
      </c>
      <c r="HFB1333" s="4" t="s">
        <v>2877</v>
      </c>
      <c r="HFC1333" s="4" t="s">
        <v>2877</v>
      </c>
      <c r="HFD1333" s="4" t="s">
        <v>2877</v>
      </c>
      <c r="HFE1333" s="4" t="s">
        <v>2877</v>
      </c>
      <c r="HFF1333" s="4" t="s">
        <v>2877</v>
      </c>
      <c r="HFG1333" s="4" t="s">
        <v>2877</v>
      </c>
      <c r="HFH1333" s="4" t="s">
        <v>2877</v>
      </c>
      <c r="HFI1333" s="4" t="s">
        <v>2877</v>
      </c>
      <c r="HFJ1333" s="4" t="s">
        <v>2877</v>
      </c>
      <c r="HFK1333" s="4" t="s">
        <v>2877</v>
      </c>
      <c r="HFL1333" s="4" t="s">
        <v>2877</v>
      </c>
      <c r="HFM1333" s="4" t="s">
        <v>2877</v>
      </c>
      <c r="HFN1333" s="4" t="s">
        <v>2877</v>
      </c>
      <c r="HFO1333" s="4" t="s">
        <v>2877</v>
      </c>
      <c r="HFP1333" s="4" t="s">
        <v>2877</v>
      </c>
      <c r="HFQ1333" s="4" t="s">
        <v>2877</v>
      </c>
      <c r="HFR1333" s="4" t="s">
        <v>2877</v>
      </c>
      <c r="HFS1333" s="4" t="s">
        <v>2877</v>
      </c>
      <c r="HFT1333" s="4" t="s">
        <v>2877</v>
      </c>
      <c r="HFU1333" s="4" t="s">
        <v>2877</v>
      </c>
      <c r="HFV1333" s="4" t="s">
        <v>2877</v>
      </c>
      <c r="HFW1333" s="4" t="s">
        <v>2877</v>
      </c>
      <c r="HFX1333" s="4" t="s">
        <v>2877</v>
      </c>
      <c r="HFY1333" s="4" t="s">
        <v>2877</v>
      </c>
      <c r="HFZ1333" s="4" t="s">
        <v>2877</v>
      </c>
      <c r="HGA1333" s="4" t="s">
        <v>2877</v>
      </c>
      <c r="HGB1333" s="4" t="s">
        <v>2877</v>
      </c>
      <c r="HGC1333" s="4" t="s">
        <v>2877</v>
      </c>
      <c r="HGD1333" s="4" t="s">
        <v>2877</v>
      </c>
      <c r="HGE1333" s="4" t="s">
        <v>2877</v>
      </c>
      <c r="HGF1333" s="4" t="s">
        <v>2877</v>
      </c>
      <c r="HGG1333" s="4" t="s">
        <v>2877</v>
      </c>
      <c r="HGH1333" s="4" t="s">
        <v>2877</v>
      </c>
      <c r="HGI1333" s="4" t="s">
        <v>2877</v>
      </c>
      <c r="HGJ1333" s="4" t="s">
        <v>2877</v>
      </c>
      <c r="HGK1333" s="4" t="s">
        <v>2877</v>
      </c>
      <c r="HGL1333" s="4" t="s">
        <v>2877</v>
      </c>
      <c r="HGM1333" s="4" t="s">
        <v>2877</v>
      </c>
      <c r="HGN1333" s="4" t="s">
        <v>2877</v>
      </c>
      <c r="HGO1333" s="4" t="s">
        <v>2877</v>
      </c>
      <c r="HGP1333" s="4" t="s">
        <v>2877</v>
      </c>
      <c r="HGQ1333" s="4" t="s">
        <v>2877</v>
      </c>
      <c r="HGR1333" s="4" t="s">
        <v>2877</v>
      </c>
      <c r="HGS1333" s="4" t="s">
        <v>2877</v>
      </c>
      <c r="HGT1333" s="4" t="s">
        <v>2877</v>
      </c>
      <c r="HGU1333" s="4" t="s">
        <v>2877</v>
      </c>
      <c r="HGV1333" s="4" t="s">
        <v>2877</v>
      </c>
      <c r="HGW1333" s="4" t="s">
        <v>2877</v>
      </c>
      <c r="HGX1333" s="4" t="s">
        <v>2877</v>
      </c>
      <c r="HGY1333" s="4" t="s">
        <v>2877</v>
      </c>
      <c r="HGZ1333" s="4" t="s">
        <v>2877</v>
      </c>
      <c r="HHA1333" s="4" t="s">
        <v>2877</v>
      </c>
      <c r="HHB1333" s="4" t="s">
        <v>2877</v>
      </c>
      <c r="HHC1333" s="4" t="s">
        <v>2877</v>
      </c>
      <c r="HHD1333" s="4" t="s">
        <v>2877</v>
      </c>
      <c r="HHE1333" s="4" t="s">
        <v>2877</v>
      </c>
      <c r="HHF1333" s="4" t="s">
        <v>2877</v>
      </c>
      <c r="HHG1333" s="4" t="s">
        <v>2877</v>
      </c>
      <c r="HHH1333" s="4" t="s">
        <v>2877</v>
      </c>
      <c r="HHI1333" s="4" t="s">
        <v>2877</v>
      </c>
      <c r="HHJ1333" s="4" t="s">
        <v>2877</v>
      </c>
      <c r="HHK1333" s="4" t="s">
        <v>2877</v>
      </c>
      <c r="HHL1333" s="4" t="s">
        <v>2877</v>
      </c>
      <c r="HHM1333" s="4" t="s">
        <v>2877</v>
      </c>
      <c r="HHN1333" s="4" t="s">
        <v>2877</v>
      </c>
      <c r="HHO1333" s="4" t="s">
        <v>2877</v>
      </c>
      <c r="HHP1333" s="4" t="s">
        <v>2877</v>
      </c>
      <c r="HHQ1333" s="4" t="s">
        <v>2877</v>
      </c>
      <c r="HHR1333" s="4" t="s">
        <v>2877</v>
      </c>
      <c r="HHS1333" s="4" t="s">
        <v>2877</v>
      </c>
      <c r="HHT1333" s="4" t="s">
        <v>2877</v>
      </c>
      <c r="HHU1333" s="4" t="s">
        <v>2877</v>
      </c>
      <c r="HHV1333" s="4" t="s">
        <v>2877</v>
      </c>
      <c r="HHW1333" s="4" t="s">
        <v>2877</v>
      </c>
      <c r="HHX1333" s="4" t="s">
        <v>2877</v>
      </c>
      <c r="HHY1333" s="4" t="s">
        <v>2877</v>
      </c>
      <c r="HHZ1333" s="4" t="s">
        <v>2877</v>
      </c>
      <c r="HIA1333" s="4" t="s">
        <v>2877</v>
      </c>
      <c r="HIB1333" s="4" t="s">
        <v>2877</v>
      </c>
      <c r="HIC1333" s="4" t="s">
        <v>2877</v>
      </c>
      <c r="HID1333" s="4" t="s">
        <v>2877</v>
      </c>
      <c r="HIE1333" s="4" t="s">
        <v>2877</v>
      </c>
      <c r="HIF1333" s="4" t="s">
        <v>2877</v>
      </c>
      <c r="HIG1333" s="4" t="s">
        <v>2877</v>
      </c>
      <c r="HIH1333" s="4" t="s">
        <v>2877</v>
      </c>
      <c r="HII1333" s="4" t="s">
        <v>2877</v>
      </c>
      <c r="HIJ1333" s="4" t="s">
        <v>2877</v>
      </c>
      <c r="HIK1333" s="4" t="s">
        <v>2877</v>
      </c>
      <c r="HIL1333" s="4" t="s">
        <v>2877</v>
      </c>
      <c r="HIM1333" s="4" t="s">
        <v>2877</v>
      </c>
      <c r="HIN1333" s="4" t="s">
        <v>2877</v>
      </c>
      <c r="HIO1333" s="4" t="s">
        <v>2877</v>
      </c>
      <c r="HIP1333" s="4" t="s">
        <v>2877</v>
      </c>
      <c r="HIQ1333" s="4" t="s">
        <v>2877</v>
      </c>
      <c r="HIR1333" s="4" t="s">
        <v>2877</v>
      </c>
      <c r="HIS1333" s="4" t="s">
        <v>2877</v>
      </c>
      <c r="HIT1333" s="4" t="s">
        <v>2877</v>
      </c>
      <c r="HIU1333" s="4" t="s">
        <v>2877</v>
      </c>
      <c r="HIV1333" s="4" t="s">
        <v>2877</v>
      </c>
      <c r="HIW1333" s="4" t="s">
        <v>2877</v>
      </c>
      <c r="HIX1333" s="4" t="s">
        <v>2877</v>
      </c>
      <c r="HIY1333" s="4" t="s">
        <v>2877</v>
      </c>
      <c r="HIZ1333" s="4" t="s">
        <v>2877</v>
      </c>
      <c r="HJA1333" s="4" t="s">
        <v>2877</v>
      </c>
      <c r="HJB1333" s="4" t="s">
        <v>2877</v>
      </c>
      <c r="HJC1333" s="4" t="s">
        <v>2877</v>
      </c>
      <c r="HJD1333" s="4" t="s">
        <v>2877</v>
      </c>
      <c r="HJE1333" s="4" t="s">
        <v>2877</v>
      </c>
      <c r="HJF1333" s="4" t="s">
        <v>2877</v>
      </c>
      <c r="HJG1333" s="4" t="s">
        <v>2877</v>
      </c>
      <c r="HJH1333" s="4" t="s">
        <v>2877</v>
      </c>
      <c r="HJI1333" s="4" t="s">
        <v>2877</v>
      </c>
      <c r="HJJ1333" s="4" t="s">
        <v>2877</v>
      </c>
      <c r="HJK1333" s="4" t="s">
        <v>2877</v>
      </c>
      <c r="HJL1333" s="4" t="s">
        <v>2877</v>
      </c>
      <c r="HJM1333" s="4" t="s">
        <v>2877</v>
      </c>
      <c r="HJN1333" s="4" t="s">
        <v>2877</v>
      </c>
      <c r="HJO1333" s="4" t="s">
        <v>2877</v>
      </c>
      <c r="HJP1333" s="4" t="s">
        <v>2877</v>
      </c>
      <c r="HJQ1333" s="4" t="s">
        <v>2877</v>
      </c>
      <c r="HJR1333" s="4" t="s">
        <v>2877</v>
      </c>
      <c r="HJS1333" s="4" t="s">
        <v>2877</v>
      </c>
      <c r="HJT1333" s="4" t="s">
        <v>2877</v>
      </c>
      <c r="HJU1333" s="4" t="s">
        <v>2877</v>
      </c>
      <c r="HJV1333" s="4" t="s">
        <v>2877</v>
      </c>
      <c r="HJW1333" s="4" t="s">
        <v>2877</v>
      </c>
      <c r="HJX1333" s="4" t="s">
        <v>2877</v>
      </c>
      <c r="HJY1333" s="4" t="s">
        <v>2877</v>
      </c>
      <c r="HJZ1333" s="4" t="s">
        <v>2877</v>
      </c>
      <c r="HKA1333" s="4" t="s">
        <v>2877</v>
      </c>
      <c r="HKB1333" s="4" t="s">
        <v>2877</v>
      </c>
      <c r="HKC1333" s="4" t="s">
        <v>2877</v>
      </c>
      <c r="HKD1333" s="4" t="s">
        <v>2877</v>
      </c>
      <c r="HKE1333" s="4" t="s">
        <v>2877</v>
      </c>
      <c r="HKF1333" s="4" t="s">
        <v>2877</v>
      </c>
      <c r="HKG1333" s="4" t="s">
        <v>2877</v>
      </c>
      <c r="HKH1333" s="4" t="s">
        <v>2877</v>
      </c>
      <c r="HKI1333" s="4" t="s">
        <v>2877</v>
      </c>
      <c r="HKJ1333" s="4" t="s">
        <v>2877</v>
      </c>
      <c r="HKK1333" s="4" t="s">
        <v>2877</v>
      </c>
      <c r="HKL1333" s="4" t="s">
        <v>2877</v>
      </c>
      <c r="HKM1333" s="4" t="s">
        <v>2877</v>
      </c>
      <c r="HKN1333" s="4" t="s">
        <v>2877</v>
      </c>
      <c r="HKO1333" s="4" t="s">
        <v>2877</v>
      </c>
      <c r="HKP1333" s="4" t="s">
        <v>2877</v>
      </c>
      <c r="HKQ1333" s="4" t="s">
        <v>2877</v>
      </c>
      <c r="HKR1333" s="4" t="s">
        <v>2877</v>
      </c>
      <c r="HKS1333" s="4" t="s">
        <v>2877</v>
      </c>
      <c r="HKT1333" s="4" t="s">
        <v>2877</v>
      </c>
      <c r="HKU1333" s="4" t="s">
        <v>2877</v>
      </c>
      <c r="HKV1333" s="4" t="s">
        <v>2877</v>
      </c>
      <c r="HKW1333" s="4" t="s">
        <v>2877</v>
      </c>
      <c r="HKX1333" s="4" t="s">
        <v>2877</v>
      </c>
      <c r="HKY1333" s="4" t="s">
        <v>2877</v>
      </c>
      <c r="HKZ1333" s="4" t="s">
        <v>2877</v>
      </c>
      <c r="HLA1333" s="4" t="s">
        <v>2877</v>
      </c>
      <c r="HLB1333" s="4" t="s">
        <v>2877</v>
      </c>
      <c r="HLC1333" s="4" t="s">
        <v>2877</v>
      </c>
      <c r="HLD1333" s="4" t="s">
        <v>2877</v>
      </c>
      <c r="HLE1333" s="4" t="s">
        <v>2877</v>
      </c>
      <c r="HLF1333" s="4" t="s">
        <v>2877</v>
      </c>
      <c r="HLG1333" s="4" t="s">
        <v>2877</v>
      </c>
      <c r="HLH1333" s="4" t="s">
        <v>2877</v>
      </c>
      <c r="HLI1333" s="4" t="s">
        <v>2877</v>
      </c>
      <c r="HLJ1333" s="4" t="s">
        <v>2877</v>
      </c>
      <c r="HLK1333" s="4" t="s">
        <v>2877</v>
      </c>
      <c r="HLL1333" s="4" t="s">
        <v>2877</v>
      </c>
      <c r="HLM1333" s="4" t="s">
        <v>2877</v>
      </c>
      <c r="HLN1333" s="4" t="s">
        <v>2877</v>
      </c>
      <c r="HLO1333" s="4" t="s">
        <v>2877</v>
      </c>
      <c r="HLP1333" s="4" t="s">
        <v>2877</v>
      </c>
      <c r="HLQ1333" s="4" t="s">
        <v>2877</v>
      </c>
      <c r="HLR1333" s="4" t="s">
        <v>2877</v>
      </c>
      <c r="HLS1333" s="4" t="s">
        <v>2877</v>
      </c>
      <c r="HLT1333" s="4" t="s">
        <v>2877</v>
      </c>
      <c r="HLU1333" s="4" t="s">
        <v>2877</v>
      </c>
      <c r="HLV1333" s="4" t="s">
        <v>2877</v>
      </c>
      <c r="HLW1333" s="4" t="s">
        <v>2877</v>
      </c>
      <c r="HLX1333" s="4" t="s">
        <v>2877</v>
      </c>
      <c r="HLY1333" s="4" t="s">
        <v>2877</v>
      </c>
      <c r="HLZ1333" s="4" t="s">
        <v>2877</v>
      </c>
      <c r="HMA1333" s="4" t="s">
        <v>2877</v>
      </c>
      <c r="HMB1333" s="4" t="s">
        <v>2877</v>
      </c>
      <c r="HMC1333" s="4" t="s">
        <v>2877</v>
      </c>
      <c r="HMD1333" s="4" t="s">
        <v>2877</v>
      </c>
      <c r="HME1333" s="4" t="s">
        <v>2877</v>
      </c>
      <c r="HMF1333" s="4" t="s">
        <v>2877</v>
      </c>
      <c r="HMG1333" s="4" t="s">
        <v>2877</v>
      </c>
      <c r="HMH1333" s="4" t="s">
        <v>2877</v>
      </c>
      <c r="HMI1333" s="4" t="s">
        <v>2877</v>
      </c>
      <c r="HMJ1333" s="4" t="s">
        <v>2877</v>
      </c>
      <c r="HMK1333" s="4" t="s">
        <v>2877</v>
      </c>
      <c r="HML1333" s="4" t="s">
        <v>2877</v>
      </c>
      <c r="HMM1333" s="4" t="s">
        <v>2877</v>
      </c>
      <c r="HMN1333" s="4" t="s">
        <v>2877</v>
      </c>
      <c r="HMO1333" s="4" t="s">
        <v>2877</v>
      </c>
      <c r="HMP1333" s="4" t="s">
        <v>2877</v>
      </c>
      <c r="HMQ1333" s="4" t="s">
        <v>2877</v>
      </c>
      <c r="HMR1333" s="4" t="s">
        <v>2877</v>
      </c>
      <c r="HMS1333" s="4" t="s">
        <v>2877</v>
      </c>
      <c r="HMT1333" s="4" t="s">
        <v>2877</v>
      </c>
      <c r="HMU1333" s="4" t="s">
        <v>2877</v>
      </c>
      <c r="HMV1333" s="4" t="s">
        <v>2877</v>
      </c>
      <c r="HMW1333" s="4" t="s">
        <v>2877</v>
      </c>
      <c r="HMX1333" s="4" t="s">
        <v>2877</v>
      </c>
      <c r="HMY1333" s="4" t="s">
        <v>2877</v>
      </c>
      <c r="HMZ1333" s="4" t="s">
        <v>2877</v>
      </c>
      <c r="HNA1333" s="4" t="s">
        <v>2877</v>
      </c>
      <c r="HNB1333" s="4" t="s">
        <v>2877</v>
      </c>
      <c r="HNC1333" s="4" t="s">
        <v>2877</v>
      </c>
      <c r="HND1333" s="4" t="s">
        <v>2877</v>
      </c>
      <c r="HNE1333" s="4" t="s">
        <v>2877</v>
      </c>
      <c r="HNF1333" s="4" t="s">
        <v>2877</v>
      </c>
      <c r="HNG1333" s="4" t="s">
        <v>2877</v>
      </c>
      <c r="HNH1333" s="4" t="s">
        <v>2877</v>
      </c>
      <c r="HNI1333" s="4" t="s">
        <v>2877</v>
      </c>
      <c r="HNJ1333" s="4" t="s">
        <v>2877</v>
      </c>
      <c r="HNK1333" s="4" t="s">
        <v>2877</v>
      </c>
      <c r="HNL1333" s="4" t="s">
        <v>2877</v>
      </c>
      <c r="HNM1333" s="4" t="s">
        <v>2877</v>
      </c>
      <c r="HNN1333" s="4" t="s">
        <v>2877</v>
      </c>
      <c r="HNO1333" s="4" t="s">
        <v>2877</v>
      </c>
      <c r="HNP1333" s="4" t="s">
        <v>2877</v>
      </c>
      <c r="HNQ1333" s="4" t="s">
        <v>2877</v>
      </c>
      <c r="HNR1333" s="4" t="s">
        <v>2877</v>
      </c>
      <c r="HNS1333" s="4" t="s">
        <v>2877</v>
      </c>
      <c r="HNT1333" s="4" t="s">
        <v>2877</v>
      </c>
      <c r="HNU1333" s="4" t="s">
        <v>2877</v>
      </c>
      <c r="HNV1333" s="4" t="s">
        <v>2877</v>
      </c>
      <c r="HNW1333" s="4" t="s">
        <v>2877</v>
      </c>
      <c r="HNX1333" s="4" t="s">
        <v>2877</v>
      </c>
      <c r="HNY1333" s="4" t="s">
        <v>2877</v>
      </c>
      <c r="HNZ1333" s="4" t="s">
        <v>2877</v>
      </c>
      <c r="HOA1333" s="4" t="s">
        <v>2877</v>
      </c>
      <c r="HOB1333" s="4" t="s">
        <v>2877</v>
      </c>
      <c r="HOC1333" s="4" t="s">
        <v>2877</v>
      </c>
      <c r="HOD1333" s="4" t="s">
        <v>2877</v>
      </c>
      <c r="HOE1333" s="4" t="s">
        <v>2877</v>
      </c>
      <c r="HOF1333" s="4" t="s">
        <v>2877</v>
      </c>
      <c r="HOG1333" s="4" t="s">
        <v>2877</v>
      </c>
      <c r="HOH1333" s="4" t="s">
        <v>2877</v>
      </c>
      <c r="HOI1333" s="4" t="s">
        <v>2877</v>
      </c>
      <c r="HOJ1333" s="4" t="s">
        <v>2877</v>
      </c>
      <c r="HOK1333" s="4" t="s">
        <v>2877</v>
      </c>
      <c r="HOL1333" s="4" t="s">
        <v>2877</v>
      </c>
      <c r="HOM1333" s="4" t="s">
        <v>2877</v>
      </c>
      <c r="HON1333" s="4" t="s">
        <v>2877</v>
      </c>
      <c r="HOO1333" s="4" t="s">
        <v>2877</v>
      </c>
      <c r="HOP1333" s="4" t="s">
        <v>2877</v>
      </c>
      <c r="HOQ1333" s="4" t="s">
        <v>2877</v>
      </c>
      <c r="HOR1333" s="4" t="s">
        <v>2877</v>
      </c>
      <c r="HOS1333" s="4" t="s">
        <v>2877</v>
      </c>
      <c r="HOT1333" s="4" t="s">
        <v>2877</v>
      </c>
      <c r="HOU1333" s="4" t="s">
        <v>2877</v>
      </c>
      <c r="HOV1333" s="4" t="s">
        <v>2877</v>
      </c>
      <c r="HOW1333" s="4" t="s">
        <v>2877</v>
      </c>
      <c r="HOX1333" s="4" t="s">
        <v>2877</v>
      </c>
      <c r="HOY1333" s="4" t="s">
        <v>2877</v>
      </c>
      <c r="HOZ1333" s="4" t="s">
        <v>2877</v>
      </c>
      <c r="HPA1333" s="4" t="s">
        <v>2877</v>
      </c>
      <c r="HPB1333" s="4" t="s">
        <v>2877</v>
      </c>
      <c r="HPC1333" s="4" t="s">
        <v>2877</v>
      </c>
      <c r="HPD1333" s="4" t="s">
        <v>2877</v>
      </c>
      <c r="HPE1333" s="4" t="s">
        <v>2877</v>
      </c>
      <c r="HPF1333" s="4" t="s">
        <v>2877</v>
      </c>
      <c r="HPG1333" s="4" t="s">
        <v>2877</v>
      </c>
      <c r="HPH1333" s="4" t="s">
        <v>2877</v>
      </c>
      <c r="HPI1333" s="4" t="s">
        <v>2877</v>
      </c>
      <c r="HPJ1333" s="4" t="s">
        <v>2877</v>
      </c>
      <c r="HPK1333" s="4" t="s">
        <v>2877</v>
      </c>
      <c r="HPL1333" s="4" t="s">
        <v>2877</v>
      </c>
      <c r="HPM1333" s="4" t="s">
        <v>2877</v>
      </c>
      <c r="HPN1333" s="4" t="s">
        <v>2877</v>
      </c>
      <c r="HPO1333" s="4" t="s">
        <v>2877</v>
      </c>
      <c r="HPP1333" s="4" t="s">
        <v>2877</v>
      </c>
      <c r="HPQ1333" s="4" t="s">
        <v>2877</v>
      </c>
      <c r="HPR1333" s="4" t="s">
        <v>2877</v>
      </c>
      <c r="HPS1333" s="4" t="s">
        <v>2877</v>
      </c>
      <c r="HPT1333" s="4" t="s">
        <v>2877</v>
      </c>
      <c r="HPU1333" s="4" t="s">
        <v>2877</v>
      </c>
      <c r="HPV1333" s="4" t="s">
        <v>2877</v>
      </c>
      <c r="HPW1333" s="4" t="s">
        <v>2877</v>
      </c>
      <c r="HPX1333" s="4" t="s">
        <v>2877</v>
      </c>
      <c r="HPY1333" s="4" t="s">
        <v>2877</v>
      </c>
      <c r="HPZ1333" s="4" t="s">
        <v>2877</v>
      </c>
      <c r="HQA1333" s="4" t="s">
        <v>2877</v>
      </c>
      <c r="HQB1333" s="4" t="s">
        <v>2877</v>
      </c>
      <c r="HQC1333" s="4" t="s">
        <v>2877</v>
      </c>
      <c r="HQD1333" s="4" t="s">
        <v>2877</v>
      </c>
      <c r="HQE1333" s="4" t="s">
        <v>2877</v>
      </c>
      <c r="HQF1333" s="4" t="s">
        <v>2877</v>
      </c>
      <c r="HQG1333" s="4" t="s">
        <v>2877</v>
      </c>
      <c r="HQH1333" s="4" t="s">
        <v>2877</v>
      </c>
      <c r="HQI1333" s="4" t="s">
        <v>2877</v>
      </c>
      <c r="HQJ1333" s="4" t="s">
        <v>2877</v>
      </c>
      <c r="HQK1333" s="4" t="s">
        <v>2877</v>
      </c>
      <c r="HQL1333" s="4" t="s">
        <v>2877</v>
      </c>
      <c r="HQM1333" s="4" t="s">
        <v>2877</v>
      </c>
      <c r="HQN1333" s="4" t="s">
        <v>2877</v>
      </c>
      <c r="HQO1333" s="4" t="s">
        <v>2877</v>
      </c>
      <c r="HQP1333" s="4" t="s">
        <v>2877</v>
      </c>
      <c r="HQQ1333" s="4" t="s">
        <v>2877</v>
      </c>
      <c r="HQR1333" s="4" t="s">
        <v>2877</v>
      </c>
      <c r="HQS1333" s="4" t="s">
        <v>2877</v>
      </c>
      <c r="HQT1333" s="4" t="s">
        <v>2877</v>
      </c>
      <c r="HQU1333" s="4" t="s">
        <v>2877</v>
      </c>
      <c r="HQV1333" s="4" t="s">
        <v>2877</v>
      </c>
      <c r="HQW1333" s="4" t="s">
        <v>2877</v>
      </c>
      <c r="HQX1333" s="4" t="s">
        <v>2877</v>
      </c>
      <c r="HQY1333" s="4" t="s">
        <v>2877</v>
      </c>
      <c r="HQZ1333" s="4" t="s">
        <v>2877</v>
      </c>
      <c r="HRA1333" s="4" t="s">
        <v>2877</v>
      </c>
      <c r="HRB1333" s="4" t="s">
        <v>2877</v>
      </c>
      <c r="HRC1333" s="4" t="s">
        <v>2877</v>
      </c>
      <c r="HRD1333" s="4" t="s">
        <v>2877</v>
      </c>
      <c r="HRE1333" s="4" t="s">
        <v>2877</v>
      </c>
      <c r="HRF1333" s="4" t="s">
        <v>2877</v>
      </c>
      <c r="HRG1333" s="4" t="s">
        <v>2877</v>
      </c>
      <c r="HRH1333" s="4" t="s">
        <v>2877</v>
      </c>
      <c r="HRI1333" s="4" t="s">
        <v>2877</v>
      </c>
      <c r="HRJ1333" s="4" t="s">
        <v>2877</v>
      </c>
      <c r="HRK1333" s="4" t="s">
        <v>2877</v>
      </c>
      <c r="HRL1333" s="4" t="s">
        <v>2877</v>
      </c>
      <c r="HRM1333" s="4" t="s">
        <v>2877</v>
      </c>
      <c r="HRN1333" s="4" t="s">
        <v>2877</v>
      </c>
      <c r="HRO1333" s="4" t="s">
        <v>2877</v>
      </c>
      <c r="HRP1333" s="4" t="s">
        <v>2877</v>
      </c>
      <c r="HRQ1333" s="4" t="s">
        <v>2877</v>
      </c>
      <c r="HRR1333" s="4" t="s">
        <v>2877</v>
      </c>
      <c r="HRS1333" s="4" t="s">
        <v>2877</v>
      </c>
      <c r="HRT1333" s="4" t="s">
        <v>2877</v>
      </c>
      <c r="HRU1333" s="4" t="s">
        <v>2877</v>
      </c>
      <c r="HRV1333" s="4" t="s">
        <v>2877</v>
      </c>
      <c r="HRW1333" s="4" t="s">
        <v>2877</v>
      </c>
      <c r="HRX1333" s="4" t="s">
        <v>2877</v>
      </c>
      <c r="HRY1333" s="4" t="s">
        <v>2877</v>
      </c>
      <c r="HRZ1333" s="4" t="s">
        <v>2877</v>
      </c>
      <c r="HSA1333" s="4" t="s">
        <v>2877</v>
      </c>
      <c r="HSB1333" s="4" t="s">
        <v>2877</v>
      </c>
      <c r="HSC1333" s="4" t="s">
        <v>2877</v>
      </c>
      <c r="HSD1333" s="4" t="s">
        <v>2877</v>
      </c>
      <c r="HSE1333" s="4" t="s">
        <v>2877</v>
      </c>
      <c r="HSF1333" s="4" t="s">
        <v>2877</v>
      </c>
      <c r="HSG1333" s="4" t="s">
        <v>2877</v>
      </c>
      <c r="HSH1333" s="4" t="s">
        <v>2877</v>
      </c>
      <c r="HSI1333" s="4" t="s">
        <v>2877</v>
      </c>
      <c r="HSJ1333" s="4" t="s">
        <v>2877</v>
      </c>
      <c r="HSK1333" s="4" t="s">
        <v>2877</v>
      </c>
      <c r="HSL1333" s="4" t="s">
        <v>2877</v>
      </c>
      <c r="HSM1333" s="4" t="s">
        <v>2877</v>
      </c>
      <c r="HSN1333" s="4" t="s">
        <v>2877</v>
      </c>
      <c r="HSO1333" s="4" t="s">
        <v>2877</v>
      </c>
      <c r="HSP1333" s="4" t="s">
        <v>2877</v>
      </c>
      <c r="HSQ1333" s="4" t="s">
        <v>2877</v>
      </c>
      <c r="HSR1333" s="4" t="s">
        <v>2877</v>
      </c>
      <c r="HSS1333" s="4" t="s">
        <v>2877</v>
      </c>
      <c r="HST1333" s="4" t="s">
        <v>2877</v>
      </c>
      <c r="HSU1333" s="4" t="s">
        <v>2877</v>
      </c>
      <c r="HSV1333" s="4" t="s">
        <v>2877</v>
      </c>
      <c r="HSW1333" s="4" t="s">
        <v>2877</v>
      </c>
      <c r="HSX1333" s="4" t="s">
        <v>2877</v>
      </c>
      <c r="HSY1333" s="4" t="s">
        <v>2877</v>
      </c>
      <c r="HSZ1333" s="4" t="s">
        <v>2877</v>
      </c>
      <c r="HTA1333" s="4" t="s">
        <v>2877</v>
      </c>
      <c r="HTB1333" s="4" t="s">
        <v>2877</v>
      </c>
      <c r="HTC1333" s="4" t="s">
        <v>2877</v>
      </c>
      <c r="HTD1333" s="4" t="s">
        <v>2877</v>
      </c>
      <c r="HTE1333" s="4" t="s">
        <v>2877</v>
      </c>
      <c r="HTF1333" s="4" t="s">
        <v>2877</v>
      </c>
      <c r="HTG1333" s="4" t="s">
        <v>2877</v>
      </c>
      <c r="HTH1333" s="4" t="s">
        <v>2877</v>
      </c>
      <c r="HTI1333" s="4" t="s">
        <v>2877</v>
      </c>
      <c r="HTJ1333" s="4" t="s">
        <v>2877</v>
      </c>
      <c r="HTK1333" s="4" t="s">
        <v>2877</v>
      </c>
      <c r="HTL1333" s="4" t="s">
        <v>2877</v>
      </c>
      <c r="HTM1333" s="4" t="s">
        <v>2877</v>
      </c>
      <c r="HTN1333" s="4" t="s">
        <v>2877</v>
      </c>
      <c r="HTO1333" s="4" t="s">
        <v>2877</v>
      </c>
      <c r="HTP1333" s="4" t="s">
        <v>2877</v>
      </c>
      <c r="HTQ1333" s="4" t="s">
        <v>2877</v>
      </c>
      <c r="HTR1333" s="4" t="s">
        <v>2877</v>
      </c>
      <c r="HTS1333" s="4" t="s">
        <v>2877</v>
      </c>
      <c r="HTT1333" s="4" t="s">
        <v>2877</v>
      </c>
      <c r="HTU1333" s="4" t="s">
        <v>2877</v>
      </c>
      <c r="HTV1333" s="4" t="s">
        <v>2877</v>
      </c>
      <c r="HTW1333" s="4" t="s">
        <v>2877</v>
      </c>
      <c r="HTX1333" s="4" t="s">
        <v>2877</v>
      </c>
      <c r="HTY1333" s="4" t="s">
        <v>2877</v>
      </c>
      <c r="HTZ1333" s="4" t="s">
        <v>2877</v>
      </c>
      <c r="HUA1333" s="4" t="s">
        <v>2877</v>
      </c>
      <c r="HUB1333" s="4" t="s">
        <v>2877</v>
      </c>
      <c r="HUC1333" s="4" t="s">
        <v>2877</v>
      </c>
      <c r="HUD1333" s="4" t="s">
        <v>2877</v>
      </c>
      <c r="HUE1333" s="4" t="s">
        <v>2877</v>
      </c>
      <c r="HUF1333" s="4" t="s">
        <v>2877</v>
      </c>
      <c r="HUG1333" s="4" t="s">
        <v>2877</v>
      </c>
      <c r="HUH1333" s="4" t="s">
        <v>2877</v>
      </c>
      <c r="HUI1333" s="4" t="s">
        <v>2877</v>
      </c>
      <c r="HUJ1333" s="4" t="s">
        <v>2877</v>
      </c>
      <c r="HUK1333" s="4" t="s">
        <v>2877</v>
      </c>
      <c r="HUL1333" s="4" t="s">
        <v>2877</v>
      </c>
      <c r="HUM1333" s="4" t="s">
        <v>2877</v>
      </c>
      <c r="HUN1333" s="4" t="s">
        <v>2877</v>
      </c>
      <c r="HUO1333" s="4" t="s">
        <v>2877</v>
      </c>
      <c r="HUP1333" s="4" t="s">
        <v>2877</v>
      </c>
      <c r="HUQ1333" s="4" t="s">
        <v>2877</v>
      </c>
      <c r="HUR1333" s="4" t="s">
        <v>2877</v>
      </c>
      <c r="HUS1333" s="4" t="s">
        <v>2877</v>
      </c>
      <c r="HUT1333" s="4" t="s">
        <v>2877</v>
      </c>
      <c r="HUU1333" s="4" t="s">
        <v>2877</v>
      </c>
      <c r="HUV1333" s="4" t="s">
        <v>2877</v>
      </c>
      <c r="HUW1333" s="4" t="s">
        <v>2877</v>
      </c>
      <c r="HUX1333" s="4" t="s">
        <v>2877</v>
      </c>
      <c r="HUY1333" s="4" t="s">
        <v>2877</v>
      </c>
      <c r="HUZ1333" s="4" t="s">
        <v>2877</v>
      </c>
      <c r="HVA1333" s="4" t="s">
        <v>2877</v>
      </c>
      <c r="HVB1333" s="4" t="s">
        <v>2877</v>
      </c>
      <c r="HVC1333" s="4" t="s">
        <v>2877</v>
      </c>
      <c r="HVD1333" s="4" t="s">
        <v>2877</v>
      </c>
      <c r="HVE1333" s="4" t="s">
        <v>2877</v>
      </c>
      <c r="HVF1333" s="4" t="s">
        <v>2877</v>
      </c>
      <c r="HVG1333" s="4" t="s">
        <v>2877</v>
      </c>
      <c r="HVH1333" s="4" t="s">
        <v>2877</v>
      </c>
      <c r="HVI1333" s="4" t="s">
        <v>2877</v>
      </c>
      <c r="HVJ1333" s="4" t="s">
        <v>2877</v>
      </c>
      <c r="HVK1333" s="4" t="s">
        <v>2877</v>
      </c>
      <c r="HVL1333" s="4" t="s">
        <v>2877</v>
      </c>
      <c r="HVM1333" s="4" t="s">
        <v>2877</v>
      </c>
      <c r="HVN1333" s="4" t="s">
        <v>2877</v>
      </c>
      <c r="HVO1333" s="4" t="s">
        <v>2877</v>
      </c>
      <c r="HVP1333" s="4" t="s">
        <v>2877</v>
      </c>
      <c r="HVQ1333" s="4" t="s">
        <v>2877</v>
      </c>
      <c r="HVR1333" s="4" t="s">
        <v>2877</v>
      </c>
      <c r="HVS1333" s="4" t="s">
        <v>2877</v>
      </c>
      <c r="HVT1333" s="4" t="s">
        <v>2877</v>
      </c>
      <c r="HVU1333" s="4" t="s">
        <v>2877</v>
      </c>
      <c r="HVV1333" s="4" t="s">
        <v>2877</v>
      </c>
      <c r="HVW1333" s="4" t="s">
        <v>2877</v>
      </c>
      <c r="HVX1333" s="4" t="s">
        <v>2877</v>
      </c>
      <c r="HVY1333" s="4" t="s">
        <v>2877</v>
      </c>
      <c r="HVZ1333" s="4" t="s">
        <v>2877</v>
      </c>
      <c r="HWA1333" s="4" t="s">
        <v>2877</v>
      </c>
      <c r="HWB1333" s="4" t="s">
        <v>2877</v>
      </c>
      <c r="HWC1333" s="4" t="s">
        <v>2877</v>
      </c>
      <c r="HWD1333" s="4" t="s">
        <v>2877</v>
      </c>
      <c r="HWE1333" s="4" t="s">
        <v>2877</v>
      </c>
      <c r="HWF1333" s="4" t="s">
        <v>2877</v>
      </c>
      <c r="HWG1333" s="4" t="s">
        <v>2877</v>
      </c>
      <c r="HWH1333" s="4" t="s">
        <v>2877</v>
      </c>
      <c r="HWI1333" s="4" t="s">
        <v>2877</v>
      </c>
      <c r="HWJ1333" s="4" t="s">
        <v>2877</v>
      </c>
      <c r="HWK1333" s="4" t="s">
        <v>2877</v>
      </c>
      <c r="HWL1333" s="4" t="s">
        <v>2877</v>
      </c>
      <c r="HWM1333" s="4" t="s">
        <v>2877</v>
      </c>
      <c r="HWN1333" s="4" t="s">
        <v>2877</v>
      </c>
      <c r="HWO1333" s="4" t="s">
        <v>2877</v>
      </c>
      <c r="HWP1333" s="4" t="s">
        <v>2877</v>
      </c>
      <c r="HWQ1333" s="4" t="s">
        <v>2877</v>
      </c>
      <c r="HWR1333" s="4" t="s">
        <v>2877</v>
      </c>
      <c r="HWS1333" s="4" t="s">
        <v>2877</v>
      </c>
      <c r="HWT1333" s="4" t="s">
        <v>2877</v>
      </c>
      <c r="HWU1333" s="4" t="s">
        <v>2877</v>
      </c>
      <c r="HWV1333" s="4" t="s">
        <v>2877</v>
      </c>
      <c r="HWW1333" s="4" t="s">
        <v>2877</v>
      </c>
      <c r="HWX1333" s="4" t="s">
        <v>2877</v>
      </c>
      <c r="HWY1333" s="4" t="s">
        <v>2877</v>
      </c>
      <c r="HWZ1333" s="4" t="s">
        <v>2877</v>
      </c>
      <c r="HXA1333" s="4" t="s">
        <v>2877</v>
      </c>
      <c r="HXB1333" s="4" t="s">
        <v>2877</v>
      </c>
      <c r="HXC1333" s="4" t="s">
        <v>2877</v>
      </c>
      <c r="HXD1333" s="4" t="s">
        <v>2877</v>
      </c>
      <c r="HXE1333" s="4" t="s">
        <v>2877</v>
      </c>
      <c r="HXF1333" s="4" t="s">
        <v>2877</v>
      </c>
      <c r="HXG1333" s="4" t="s">
        <v>2877</v>
      </c>
      <c r="HXH1333" s="4" t="s">
        <v>2877</v>
      </c>
      <c r="HXI1333" s="4" t="s">
        <v>2877</v>
      </c>
      <c r="HXJ1333" s="4" t="s">
        <v>2877</v>
      </c>
      <c r="HXK1333" s="4" t="s">
        <v>2877</v>
      </c>
      <c r="HXL1333" s="4" t="s">
        <v>2877</v>
      </c>
      <c r="HXM1333" s="4" t="s">
        <v>2877</v>
      </c>
      <c r="HXN1333" s="4" t="s">
        <v>2877</v>
      </c>
      <c r="HXO1333" s="4" t="s">
        <v>2877</v>
      </c>
      <c r="HXP1333" s="4" t="s">
        <v>2877</v>
      </c>
      <c r="HXQ1333" s="4" t="s">
        <v>2877</v>
      </c>
      <c r="HXR1333" s="4" t="s">
        <v>2877</v>
      </c>
      <c r="HXS1333" s="4" t="s">
        <v>2877</v>
      </c>
      <c r="HXT1333" s="4" t="s">
        <v>2877</v>
      </c>
      <c r="HXU1333" s="4" t="s">
        <v>2877</v>
      </c>
      <c r="HXV1333" s="4" t="s">
        <v>2877</v>
      </c>
      <c r="HXW1333" s="4" t="s">
        <v>2877</v>
      </c>
      <c r="HXX1333" s="4" t="s">
        <v>2877</v>
      </c>
      <c r="HXY1333" s="4" t="s">
        <v>2877</v>
      </c>
      <c r="HXZ1333" s="4" t="s">
        <v>2877</v>
      </c>
      <c r="HYA1333" s="4" t="s">
        <v>2877</v>
      </c>
      <c r="HYB1333" s="4" t="s">
        <v>2877</v>
      </c>
      <c r="HYC1333" s="4" t="s">
        <v>2877</v>
      </c>
      <c r="HYD1333" s="4" t="s">
        <v>2877</v>
      </c>
      <c r="HYE1333" s="4" t="s">
        <v>2877</v>
      </c>
      <c r="HYF1333" s="4" t="s">
        <v>2877</v>
      </c>
      <c r="HYG1333" s="4" t="s">
        <v>2877</v>
      </c>
      <c r="HYH1333" s="4" t="s">
        <v>2877</v>
      </c>
      <c r="HYI1333" s="4" t="s">
        <v>2877</v>
      </c>
      <c r="HYJ1333" s="4" t="s">
        <v>2877</v>
      </c>
      <c r="HYK1333" s="4" t="s">
        <v>2877</v>
      </c>
      <c r="HYL1333" s="4" t="s">
        <v>2877</v>
      </c>
      <c r="HYM1333" s="4" t="s">
        <v>2877</v>
      </c>
      <c r="HYN1333" s="4" t="s">
        <v>2877</v>
      </c>
      <c r="HYO1333" s="4" t="s">
        <v>2877</v>
      </c>
      <c r="HYP1333" s="4" t="s">
        <v>2877</v>
      </c>
      <c r="HYQ1333" s="4" t="s">
        <v>2877</v>
      </c>
      <c r="HYR1333" s="4" t="s">
        <v>2877</v>
      </c>
      <c r="HYS1333" s="4" t="s">
        <v>2877</v>
      </c>
      <c r="HYT1333" s="4" t="s">
        <v>2877</v>
      </c>
      <c r="HYU1333" s="4" t="s">
        <v>2877</v>
      </c>
      <c r="HYV1333" s="4" t="s">
        <v>2877</v>
      </c>
      <c r="HYW1333" s="4" t="s">
        <v>2877</v>
      </c>
      <c r="HYX1333" s="4" t="s">
        <v>2877</v>
      </c>
      <c r="HYY1333" s="4" t="s">
        <v>2877</v>
      </c>
      <c r="HYZ1333" s="4" t="s">
        <v>2877</v>
      </c>
      <c r="HZA1333" s="4" t="s">
        <v>2877</v>
      </c>
      <c r="HZB1333" s="4" t="s">
        <v>2877</v>
      </c>
      <c r="HZC1333" s="4" t="s">
        <v>2877</v>
      </c>
      <c r="HZD1333" s="4" t="s">
        <v>2877</v>
      </c>
      <c r="HZE1333" s="4" t="s">
        <v>2877</v>
      </c>
      <c r="HZF1333" s="4" t="s">
        <v>2877</v>
      </c>
      <c r="HZG1333" s="4" t="s">
        <v>2877</v>
      </c>
      <c r="HZH1333" s="4" t="s">
        <v>2877</v>
      </c>
      <c r="HZI1333" s="4" t="s">
        <v>2877</v>
      </c>
      <c r="HZJ1333" s="4" t="s">
        <v>2877</v>
      </c>
      <c r="HZK1333" s="4" t="s">
        <v>2877</v>
      </c>
      <c r="HZL1333" s="4" t="s">
        <v>2877</v>
      </c>
      <c r="HZM1333" s="4" t="s">
        <v>2877</v>
      </c>
      <c r="HZN1333" s="4" t="s">
        <v>2877</v>
      </c>
      <c r="HZO1333" s="4" t="s">
        <v>2877</v>
      </c>
      <c r="HZP1333" s="4" t="s">
        <v>2877</v>
      </c>
      <c r="HZQ1333" s="4" t="s">
        <v>2877</v>
      </c>
      <c r="HZR1333" s="4" t="s">
        <v>2877</v>
      </c>
      <c r="HZS1333" s="4" t="s">
        <v>2877</v>
      </c>
      <c r="HZT1333" s="4" t="s">
        <v>2877</v>
      </c>
      <c r="HZU1333" s="4" t="s">
        <v>2877</v>
      </c>
      <c r="HZV1333" s="4" t="s">
        <v>2877</v>
      </c>
      <c r="HZW1333" s="4" t="s">
        <v>2877</v>
      </c>
      <c r="HZX1333" s="4" t="s">
        <v>2877</v>
      </c>
      <c r="HZY1333" s="4" t="s">
        <v>2877</v>
      </c>
      <c r="HZZ1333" s="4" t="s">
        <v>2877</v>
      </c>
      <c r="IAA1333" s="4" t="s">
        <v>2877</v>
      </c>
      <c r="IAB1333" s="4" t="s">
        <v>2877</v>
      </c>
      <c r="IAC1333" s="4" t="s">
        <v>2877</v>
      </c>
      <c r="IAD1333" s="4" t="s">
        <v>2877</v>
      </c>
      <c r="IAE1333" s="4" t="s">
        <v>2877</v>
      </c>
      <c r="IAF1333" s="4" t="s">
        <v>2877</v>
      </c>
      <c r="IAG1333" s="4" t="s">
        <v>2877</v>
      </c>
      <c r="IAH1333" s="4" t="s">
        <v>2877</v>
      </c>
      <c r="IAI1333" s="4" t="s">
        <v>2877</v>
      </c>
      <c r="IAJ1333" s="4" t="s">
        <v>2877</v>
      </c>
      <c r="IAK1333" s="4" t="s">
        <v>2877</v>
      </c>
      <c r="IAL1333" s="4" t="s">
        <v>2877</v>
      </c>
      <c r="IAM1333" s="4" t="s">
        <v>2877</v>
      </c>
      <c r="IAN1333" s="4" t="s">
        <v>2877</v>
      </c>
      <c r="IAO1333" s="4" t="s">
        <v>2877</v>
      </c>
      <c r="IAP1333" s="4" t="s">
        <v>2877</v>
      </c>
      <c r="IAQ1333" s="4" t="s">
        <v>2877</v>
      </c>
      <c r="IAR1333" s="4" t="s">
        <v>2877</v>
      </c>
      <c r="IAS1333" s="4" t="s">
        <v>2877</v>
      </c>
      <c r="IAT1333" s="4" t="s">
        <v>2877</v>
      </c>
      <c r="IAU1333" s="4" t="s">
        <v>2877</v>
      </c>
      <c r="IAV1333" s="4" t="s">
        <v>2877</v>
      </c>
      <c r="IAW1333" s="4" t="s">
        <v>2877</v>
      </c>
      <c r="IAX1333" s="4" t="s">
        <v>2877</v>
      </c>
      <c r="IAY1333" s="4" t="s">
        <v>2877</v>
      </c>
      <c r="IAZ1333" s="4" t="s">
        <v>2877</v>
      </c>
      <c r="IBA1333" s="4" t="s">
        <v>2877</v>
      </c>
      <c r="IBB1333" s="4" t="s">
        <v>2877</v>
      </c>
      <c r="IBC1333" s="4" t="s">
        <v>2877</v>
      </c>
      <c r="IBD1333" s="4" t="s">
        <v>2877</v>
      </c>
      <c r="IBE1333" s="4" t="s">
        <v>2877</v>
      </c>
      <c r="IBF1333" s="4" t="s">
        <v>2877</v>
      </c>
      <c r="IBG1333" s="4" t="s">
        <v>2877</v>
      </c>
      <c r="IBH1333" s="4" t="s">
        <v>2877</v>
      </c>
      <c r="IBI1333" s="4" t="s">
        <v>2877</v>
      </c>
      <c r="IBJ1333" s="4" t="s">
        <v>2877</v>
      </c>
      <c r="IBK1333" s="4" t="s">
        <v>2877</v>
      </c>
      <c r="IBL1333" s="4" t="s">
        <v>2877</v>
      </c>
      <c r="IBM1333" s="4" t="s">
        <v>2877</v>
      </c>
      <c r="IBN1333" s="4" t="s">
        <v>2877</v>
      </c>
      <c r="IBO1333" s="4" t="s">
        <v>2877</v>
      </c>
      <c r="IBP1333" s="4" t="s">
        <v>2877</v>
      </c>
      <c r="IBQ1333" s="4" t="s">
        <v>2877</v>
      </c>
      <c r="IBR1333" s="4" t="s">
        <v>2877</v>
      </c>
      <c r="IBS1333" s="4" t="s">
        <v>2877</v>
      </c>
      <c r="IBT1333" s="4" t="s">
        <v>2877</v>
      </c>
      <c r="IBU1333" s="4" t="s">
        <v>2877</v>
      </c>
      <c r="IBV1333" s="4" t="s">
        <v>2877</v>
      </c>
      <c r="IBW1333" s="4" t="s">
        <v>2877</v>
      </c>
      <c r="IBX1333" s="4" t="s">
        <v>2877</v>
      </c>
      <c r="IBY1333" s="4" t="s">
        <v>2877</v>
      </c>
      <c r="IBZ1333" s="4" t="s">
        <v>2877</v>
      </c>
      <c r="ICA1333" s="4" t="s">
        <v>2877</v>
      </c>
      <c r="ICB1333" s="4" t="s">
        <v>2877</v>
      </c>
      <c r="ICC1333" s="4" t="s">
        <v>2877</v>
      </c>
      <c r="ICD1333" s="4" t="s">
        <v>2877</v>
      </c>
      <c r="ICE1333" s="4" t="s">
        <v>2877</v>
      </c>
      <c r="ICF1333" s="4" t="s">
        <v>2877</v>
      </c>
      <c r="ICG1333" s="4" t="s">
        <v>2877</v>
      </c>
      <c r="ICH1333" s="4" t="s">
        <v>2877</v>
      </c>
      <c r="ICI1333" s="4" t="s">
        <v>2877</v>
      </c>
      <c r="ICJ1333" s="4" t="s">
        <v>2877</v>
      </c>
      <c r="ICK1333" s="4" t="s">
        <v>2877</v>
      </c>
      <c r="ICL1333" s="4" t="s">
        <v>2877</v>
      </c>
      <c r="ICM1333" s="4" t="s">
        <v>2877</v>
      </c>
      <c r="ICN1333" s="4" t="s">
        <v>2877</v>
      </c>
      <c r="ICO1333" s="4" t="s">
        <v>2877</v>
      </c>
      <c r="ICP1333" s="4" t="s">
        <v>2877</v>
      </c>
      <c r="ICQ1333" s="4" t="s">
        <v>2877</v>
      </c>
      <c r="ICR1333" s="4" t="s">
        <v>2877</v>
      </c>
      <c r="ICS1333" s="4" t="s">
        <v>2877</v>
      </c>
      <c r="ICT1333" s="4" t="s">
        <v>2877</v>
      </c>
      <c r="ICU1333" s="4" t="s">
        <v>2877</v>
      </c>
      <c r="ICV1333" s="4" t="s">
        <v>2877</v>
      </c>
      <c r="ICW1333" s="4" t="s">
        <v>2877</v>
      </c>
      <c r="ICX1333" s="4" t="s">
        <v>2877</v>
      </c>
      <c r="ICY1333" s="4" t="s">
        <v>2877</v>
      </c>
      <c r="ICZ1333" s="4" t="s">
        <v>2877</v>
      </c>
      <c r="IDA1333" s="4" t="s">
        <v>2877</v>
      </c>
      <c r="IDB1333" s="4" t="s">
        <v>2877</v>
      </c>
      <c r="IDC1333" s="4" t="s">
        <v>2877</v>
      </c>
      <c r="IDD1333" s="4" t="s">
        <v>2877</v>
      </c>
      <c r="IDE1333" s="4" t="s">
        <v>2877</v>
      </c>
      <c r="IDF1333" s="4" t="s">
        <v>2877</v>
      </c>
      <c r="IDG1333" s="4" t="s">
        <v>2877</v>
      </c>
      <c r="IDH1333" s="4" t="s">
        <v>2877</v>
      </c>
      <c r="IDI1333" s="4" t="s">
        <v>2877</v>
      </c>
      <c r="IDJ1333" s="4" t="s">
        <v>2877</v>
      </c>
      <c r="IDK1333" s="4" t="s">
        <v>2877</v>
      </c>
      <c r="IDL1333" s="4" t="s">
        <v>2877</v>
      </c>
      <c r="IDM1333" s="4" t="s">
        <v>2877</v>
      </c>
      <c r="IDN1333" s="4" t="s">
        <v>2877</v>
      </c>
      <c r="IDO1333" s="4" t="s">
        <v>2877</v>
      </c>
      <c r="IDP1333" s="4" t="s">
        <v>2877</v>
      </c>
      <c r="IDQ1333" s="4" t="s">
        <v>2877</v>
      </c>
      <c r="IDR1333" s="4" t="s">
        <v>2877</v>
      </c>
      <c r="IDS1333" s="4" t="s">
        <v>2877</v>
      </c>
      <c r="IDT1333" s="4" t="s">
        <v>2877</v>
      </c>
      <c r="IDU1333" s="4" t="s">
        <v>2877</v>
      </c>
      <c r="IDV1333" s="4" t="s">
        <v>2877</v>
      </c>
      <c r="IDW1333" s="4" t="s">
        <v>2877</v>
      </c>
      <c r="IDX1333" s="4" t="s">
        <v>2877</v>
      </c>
      <c r="IDY1333" s="4" t="s">
        <v>2877</v>
      </c>
      <c r="IDZ1333" s="4" t="s">
        <v>2877</v>
      </c>
      <c r="IEA1333" s="4" t="s">
        <v>2877</v>
      </c>
      <c r="IEB1333" s="4" t="s">
        <v>2877</v>
      </c>
      <c r="IEC1333" s="4" t="s">
        <v>2877</v>
      </c>
      <c r="IED1333" s="4" t="s">
        <v>2877</v>
      </c>
      <c r="IEE1333" s="4" t="s">
        <v>2877</v>
      </c>
      <c r="IEF1333" s="4" t="s">
        <v>2877</v>
      </c>
      <c r="IEG1333" s="4" t="s">
        <v>2877</v>
      </c>
      <c r="IEH1333" s="4" t="s">
        <v>2877</v>
      </c>
      <c r="IEI1333" s="4" t="s">
        <v>2877</v>
      </c>
      <c r="IEJ1333" s="4" t="s">
        <v>2877</v>
      </c>
      <c r="IEK1333" s="4" t="s">
        <v>2877</v>
      </c>
      <c r="IEL1333" s="4" t="s">
        <v>2877</v>
      </c>
      <c r="IEM1333" s="4" t="s">
        <v>2877</v>
      </c>
      <c r="IEN1333" s="4" t="s">
        <v>2877</v>
      </c>
      <c r="IEO1333" s="4" t="s">
        <v>2877</v>
      </c>
      <c r="IEP1333" s="4" t="s">
        <v>2877</v>
      </c>
      <c r="IEQ1333" s="4" t="s">
        <v>2877</v>
      </c>
      <c r="IER1333" s="4" t="s">
        <v>2877</v>
      </c>
      <c r="IES1333" s="4" t="s">
        <v>2877</v>
      </c>
      <c r="IET1333" s="4" t="s">
        <v>2877</v>
      </c>
      <c r="IEU1333" s="4" t="s">
        <v>2877</v>
      </c>
      <c r="IEV1333" s="4" t="s">
        <v>2877</v>
      </c>
      <c r="IEW1333" s="4" t="s">
        <v>2877</v>
      </c>
      <c r="IEX1333" s="4" t="s">
        <v>2877</v>
      </c>
      <c r="IEY1333" s="4" t="s">
        <v>2877</v>
      </c>
      <c r="IEZ1333" s="4" t="s">
        <v>2877</v>
      </c>
      <c r="IFA1333" s="4" t="s">
        <v>2877</v>
      </c>
      <c r="IFB1333" s="4" t="s">
        <v>2877</v>
      </c>
      <c r="IFC1333" s="4" t="s">
        <v>2877</v>
      </c>
      <c r="IFD1333" s="4" t="s">
        <v>2877</v>
      </c>
      <c r="IFE1333" s="4" t="s">
        <v>2877</v>
      </c>
      <c r="IFF1333" s="4" t="s">
        <v>2877</v>
      </c>
      <c r="IFG1333" s="4" t="s">
        <v>2877</v>
      </c>
      <c r="IFH1333" s="4" t="s">
        <v>2877</v>
      </c>
      <c r="IFI1333" s="4" t="s">
        <v>2877</v>
      </c>
      <c r="IFJ1333" s="4" t="s">
        <v>2877</v>
      </c>
      <c r="IFK1333" s="4" t="s">
        <v>2877</v>
      </c>
      <c r="IFL1333" s="4" t="s">
        <v>2877</v>
      </c>
      <c r="IFM1333" s="4" t="s">
        <v>2877</v>
      </c>
      <c r="IFN1333" s="4" t="s">
        <v>2877</v>
      </c>
      <c r="IFO1333" s="4" t="s">
        <v>2877</v>
      </c>
      <c r="IFP1333" s="4" t="s">
        <v>2877</v>
      </c>
      <c r="IFQ1333" s="4" t="s">
        <v>2877</v>
      </c>
      <c r="IFR1333" s="4" t="s">
        <v>2877</v>
      </c>
      <c r="IFS1333" s="4" t="s">
        <v>2877</v>
      </c>
      <c r="IFT1333" s="4" t="s">
        <v>2877</v>
      </c>
      <c r="IFU1333" s="4" t="s">
        <v>2877</v>
      </c>
      <c r="IFV1333" s="4" t="s">
        <v>2877</v>
      </c>
      <c r="IFW1333" s="4" t="s">
        <v>2877</v>
      </c>
      <c r="IFX1333" s="4" t="s">
        <v>2877</v>
      </c>
      <c r="IFY1333" s="4" t="s">
        <v>2877</v>
      </c>
      <c r="IFZ1333" s="4" t="s">
        <v>2877</v>
      </c>
      <c r="IGA1333" s="4" t="s">
        <v>2877</v>
      </c>
      <c r="IGB1333" s="4" t="s">
        <v>2877</v>
      </c>
      <c r="IGC1333" s="4" t="s">
        <v>2877</v>
      </c>
      <c r="IGD1333" s="4" t="s">
        <v>2877</v>
      </c>
      <c r="IGE1333" s="4" t="s">
        <v>2877</v>
      </c>
      <c r="IGF1333" s="4" t="s">
        <v>2877</v>
      </c>
      <c r="IGG1333" s="4" t="s">
        <v>2877</v>
      </c>
      <c r="IGH1333" s="4" t="s">
        <v>2877</v>
      </c>
      <c r="IGI1333" s="4" t="s">
        <v>2877</v>
      </c>
      <c r="IGJ1333" s="4" t="s">
        <v>2877</v>
      </c>
      <c r="IGK1333" s="4" t="s">
        <v>2877</v>
      </c>
      <c r="IGL1333" s="4" t="s">
        <v>2877</v>
      </c>
      <c r="IGM1333" s="4" t="s">
        <v>2877</v>
      </c>
      <c r="IGN1333" s="4" t="s">
        <v>2877</v>
      </c>
      <c r="IGO1333" s="4" t="s">
        <v>2877</v>
      </c>
      <c r="IGP1333" s="4" t="s">
        <v>2877</v>
      </c>
      <c r="IGQ1333" s="4" t="s">
        <v>2877</v>
      </c>
      <c r="IGR1333" s="4" t="s">
        <v>2877</v>
      </c>
      <c r="IGS1333" s="4" t="s">
        <v>2877</v>
      </c>
      <c r="IGT1333" s="4" t="s">
        <v>2877</v>
      </c>
      <c r="IGU1333" s="4" t="s">
        <v>2877</v>
      </c>
      <c r="IGV1333" s="4" t="s">
        <v>2877</v>
      </c>
      <c r="IGW1333" s="4" t="s">
        <v>2877</v>
      </c>
      <c r="IGX1333" s="4" t="s">
        <v>2877</v>
      </c>
      <c r="IGY1333" s="4" t="s">
        <v>2877</v>
      </c>
      <c r="IGZ1333" s="4" t="s">
        <v>2877</v>
      </c>
      <c r="IHA1333" s="4" t="s">
        <v>2877</v>
      </c>
      <c r="IHB1333" s="4" t="s">
        <v>2877</v>
      </c>
      <c r="IHC1333" s="4" t="s">
        <v>2877</v>
      </c>
      <c r="IHD1333" s="4" t="s">
        <v>2877</v>
      </c>
      <c r="IHE1333" s="4" t="s">
        <v>2877</v>
      </c>
      <c r="IHF1333" s="4" t="s">
        <v>2877</v>
      </c>
      <c r="IHG1333" s="4" t="s">
        <v>2877</v>
      </c>
      <c r="IHH1333" s="4" t="s">
        <v>2877</v>
      </c>
      <c r="IHI1333" s="4" t="s">
        <v>2877</v>
      </c>
      <c r="IHJ1333" s="4" t="s">
        <v>2877</v>
      </c>
      <c r="IHK1333" s="4" t="s">
        <v>2877</v>
      </c>
      <c r="IHL1333" s="4" t="s">
        <v>2877</v>
      </c>
      <c r="IHM1333" s="4" t="s">
        <v>2877</v>
      </c>
      <c r="IHN1333" s="4" t="s">
        <v>2877</v>
      </c>
      <c r="IHO1333" s="4" t="s">
        <v>2877</v>
      </c>
      <c r="IHP1333" s="4" t="s">
        <v>2877</v>
      </c>
      <c r="IHQ1333" s="4" t="s">
        <v>2877</v>
      </c>
      <c r="IHR1333" s="4" t="s">
        <v>2877</v>
      </c>
      <c r="IHS1333" s="4" t="s">
        <v>2877</v>
      </c>
      <c r="IHT1333" s="4" t="s">
        <v>2877</v>
      </c>
      <c r="IHU1333" s="4" t="s">
        <v>2877</v>
      </c>
      <c r="IHV1333" s="4" t="s">
        <v>2877</v>
      </c>
      <c r="IHW1333" s="4" t="s">
        <v>2877</v>
      </c>
      <c r="IHX1333" s="4" t="s">
        <v>2877</v>
      </c>
      <c r="IHY1333" s="4" t="s">
        <v>2877</v>
      </c>
      <c r="IHZ1333" s="4" t="s">
        <v>2877</v>
      </c>
      <c r="IIA1333" s="4" t="s">
        <v>2877</v>
      </c>
      <c r="IIB1333" s="4" t="s">
        <v>2877</v>
      </c>
      <c r="IIC1333" s="4" t="s">
        <v>2877</v>
      </c>
      <c r="IID1333" s="4" t="s">
        <v>2877</v>
      </c>
      <c r="IIE1333" s="4" t="s">
        <v>2877</v>
      </c>
      <c r="IIF1333" s="4" t="s">
        <v>2877</v>
      </c>
      <c r="IIG1333" s="4" t="s">
        <v>2877</v>
      </c>
      <c r="IIH1333" s="4" t="s">
        <v>2877</v>
      </c>
      <c r="III1333" s="4" t="s">
        <v>2877</v>
      </c>
      <c r="IIJ1333" s="4" t="s">
        <v>2877</v>
      </c>
      <c r="IIK1333" s="4" t="s">
        <v>2877</v>
      </c>
      <c r="IIL1333" s="4" t="s">
        <v>2877</v>
      </c>
      <c r="IIM1333" s="4" t="s">
        <v>2877</v>
      </c>
      <c r="IIN1333" s="4" t="s">
        <v>2877</v>
      </c>
      <c r="IIO1333" s="4" t="s">
        <v>2877</v>
      </c>
      <c r="IIP1333" s="4" t="s">
        <v>2877</v>
      </c>
      <c r="IIQ1333" s="4" t="s">
        <v>2877</v>
      </c>
      <c r="IIR1333" s="4" t="s">
        <v>2877</v>
      </c>
      <c r="IIS1333" s="4" t="s">
        <v>2877</v>
      </c>
      <c r="IIT1333" s="4" t="s">
        <v>2877</v>
      </c>
      <c r="IIU1333" s="4" t="s">
        <v>2877</v>
      </c>
      <c r="IIV1333" s="4" t="s">
        <v>2877</v>
      </c>
      <c r="IIW1333" s="4" t="s">
        <v>2877</v>
      </c>
      <c r="IIX1333" s="4" t="s">
        <v>2877</v>
      </c>
      <c r="IIY1333" s="4" t="s">
        <v>2877</v>
      </c>
      <c r="IIZ1333" s="4" t="s">
        <v>2877</v>
      </c>
      <c r="IJA1333" s="4" t="s">
        <v>2877</v>
      </c>
      <c r="IJB1333" s="4" t="s">
        <v>2877</v>
      </c>
      <c r="IJC1333" s="4" t="s">
        <v>2877</v>
      </c>
      <c r="IJD1333" s="4" t="s">
        <v>2877</v>
      </c>
      <c r="IJE1333" s="4" t="s">
        <v>2877</v>
      </c>
      <c r="IJF1333" s="4" t="s">
        <v>2877</v>
      </c>
      <c r="IJG1333" s="4" t="s">
        <v>2877</v>
      </c>
      <c r="IJH1333" s="4" t="s">
        <v>2877</v>
      </c>
      <c r="IJI1333" s="4" t="s">
        <v>2877</v>
      </c>
      <c r="IJJ1333" s="4" t="s">
        <v>2877</v>
      </c>
      <c r="IJK1333" s="4" t="s">
        <v>2877</v>
      </c>
      <c r="IJL1333" s="4" t="s">
        <v>2877</v>
      </c>
      <c r="IJM1333" s="4" t="s">
        <v>2877</v>
      </c>
      <c r="IJN1333" s="4" t="s">
        <v>2877</v>
      </c>
      <c r="IJO1333" s="4" t="s">
        <v>2877</v>
      </c>
      <c r="IJP1333" s="4" t="s">
        <v>2877</v>
      </c>
      <c r="IJQ1333" s="4" t="s">
        <v>2877</v>
      </c>
      <c r="IJR1333" s="4" t="s">
        <v>2877</v>
      </c>
      <c r="IJS1333" s="4" t="s">
        <v>2877</v>
      </c>
      <c r="IJT1333" s="4" t="s">
        <v>2877</v>
      </c>
      <c r="IJU1333" s="4" t="s">
        <v>2877</v>
      </c>
      <c r="IJV1333" s="4" t="s">
        <v>2877</v>
      </c>
      <c r="IJW1333" s="4" t="s">
        <v>2877</v>
      </c>
      <c r="IJX1333" s="4" t="s">
        <v>2877</v>
      </c>
      <c r="IJY1333" s="4" t="s">
        <v>2877</v>
      </c>
      <c r="IJZ1333" s="4" t="s">
        <v>2877</v>
      </c>
      <c r="IKA1333" s="4" t="s">
        <v>2877</v>
      </c>
      <c r="IKB1333" s="4" t="s">
        <v>2877</v>
      </c>
      <c r="IKC1333" s="4" t="s">
        <v>2877</v>
      </c>
      <c r="IKD1333" s="4" t="s">
        <v>2877</v>
      </c>
      <c r="IKE1333" s="4" t="s">
        <v>2877</v>
      </c>
      <c r="IKF1333" s="4" t="s">
        <v>2877</v>
      </c>
      <c r="IKG1333" s="4" t="s">
        <v>2877</v>
      </c>
      <c r="IKH1333" s="4" t="s">
        <v>2877</v>
      </c>
      <c r="IKI1333" s="4" t="s">
        <v>2877</v>
      </c>
      <c r="IKJ1333" s="4" t="s">
        <v>2877</v>
      </c>
      <c r="IKK1333" s="4" t="s">
        <v>2877</v>
      </c>
      <c r="IKL1333" s="4" t="s">
        <v>2877</v>
      </c>
      <c r="IKM1333" s="4" t="s">
        <v>2877</v>
      </c>
      <c r="IKN1333" s="4" t="s">
        <v>2877</v>
      </c>
      <c r="IKO1333" s="4" t="s">
        <v>2877</v>
      </c>
      <c r="IKP1333" s="4" t="s">
        <v>2877</v>
      </c>
      <c r="IKQ1333" s="4" t="s">
        <v>2877</v>
      </c>
      <c r="IKR1333" s="4" t="s">
        <v>2877</v>
      </c>
      <c r="IKS1333" s="4" t="s">
        <v>2877</v>
      </c>
      <c r="IKT1333" s="4" t="s">
        <v>2877</v>
      </c>
      <c r="IKU1333" s="4" t="s">
        <v>2877</v>
      </c>
      <c r="IKV1333" s="4" t="s">
        <v>2877</v>
      </c>
      <c r="IKW1333" s="4" t="s">
        <v>2877</v>
      </c>
      <c r="IKX1333" s="4" t="s">
        <v>2877</v>
      </c>
      <c r="IKY1333" s="4" t="s">
        <v>2877</v>
      </c>
      <c r="IKZ1333" s="4" t="s">
        <v>2877</v>
      </c>
      <c r="ILA1333" s="4" t="s">
        <v>2877</v>
      </c>
      <c r="ILB1333" s="4" t="s">
        <v>2877</v>
      </c>
      <c r="ILC1333" s="4" t="s">
        <v>2877</v>
      </c>
      <c r="ILD1333" s="4" t="s">
        <v>2877</v>
      </c>
      <c r="ILE1333" s="4" t="s">
        <v>2877</v>
      </c>
      <c r="ILF1333" s="4" t="s">
        <v>2877</v>
      </c>
      <c r="ILG1333" s="4" t="s">
        <v>2877</v>
      </c>
      <c r="ILH1333" s="4" t="s">
        <v>2877</v>
      </c>
      <c r="ILI1333" s="4" t="s">
        <v>2877</v>
      </c>
      <c r="ILJ1333" s="4" t="s">
        <v>2877</v>
      </c>
      <c r="ILK1333" s="4" t="s">
        <v>2877</v>
      </c>
      <c r="ILL1333" s="4" t="s">
        <v>2877</v>
      </c>
      <c r="ILM1333" s="4" t="s">
        <v>2877</v>
      </c>
      <c r="ILN1333" s="4" t="s">
        <v>2877</v>
      </c>
      <c r="ILO1333" s="4" t="s">
        <v>2877</v>
      </c>
      <c r="ILP1333" s="4" t="s">
        <v>2877</v>
      </c>
      <c r="ILQ1333" s="4" t="s">
        <v>2877</v>
      </c>
      <c r="ILR1333" s="4" t="s">
        <v>2877</v>
      </c>
      <c r="ILS1333" s="4" t="s">
        <v>2877</v>
      </c>
      <c r="ILT1333" s="4" t="s">
        <v>2877</v>
      </c>
      <c r="ILU1333" s="4" t="s">
        <v>2877</v>
      </c>
      <c r="ILV1333" s="4" t="s">
        <v>2877</v>
      </c>
      <c r="ILW1333" s="4" t="s">
        <v>2877</v>
      </c>
      <c r="ILX1333" s="4" t="s">
        <v>2877</v>
      </c>
      <c r="ILY1333" s="4" t="s">
        <v>2877</v>
      </c>
      <c r="ILZ1333" s="4" t="s">
        <v>2877</v>
      </c>
      <c r="IMA1333" s="4" t="s">
        <v>2877</v>
      </c>
      <c r="IMB1333" s="4" t="s">
        <v>2877</v>
      </c>
      <c r="IMC1333" s="4" t="s">
        <v>2877</v>
      </c>
      <c r="IMD1333" s="4" t="s">
        <v>2877</v>
      </c>
      <c r="IME1333" s="4" t="s">
        <v>2877</v>
      </c>
      <c r="IMF1333" s="4" t="s">
        <v>2877</v>
      </c>
      <c r="IMG1333" s="4" t="s">
        <v>2877</v>
      </c>
      <c r="IMH1333" s="4" t="s">
        <v>2877</v>
      </c>
      <c r="IMI1333" s="4" t="s">
        <v>2877</v>
      </c>
      <c r="IMJ1333" s="4" t="s">
        <v>2877</v>
      </c>
      <c r="IMK1333" s="4" t="s">
        <v>2877</v>
      </c>
      <c r="IML1333" s="4" t="s">
        <v>2877</v>
      </c>
      <c r="IMM1333" s="4" t="s">
        <v>2877</v>
      </c>
      <c r="IMN1333" s="4" t="s">
        <v>2877</v>
      </c>
      <c r="IMO1333" s="4" t="s">
        <v>2877</v>
      </c>
      <c r="IMP1333" s="4" t="s">
        <v>2877</v>
      </c>
      <c r="IMQ1333" s="4" t="s">
        <v>2877</v>
      </c>
      <c r="IMR1333" s="4" t="s">
        <v>2877</v>
      </c>
      <c r="IMS1333" s="4" t="s">
        <v>2877</v>
      </c>
      <c r="IMT1333" s="4" t="s">
        <v>2877</v>
      </c>
      <c r="IMU1333" s="4" t="s">
        <v>2877</v>
      </c>
      <c r="IMV1333" s="4" t="s">
        <v>2877</v>
      </c>
      <c r="IMW1333" s="4" t="s">
        <v>2877</v>
      </c>
      <c r="IMX1333" s="4" t="s">
        <v>2877</v>
      </c>
      <c r="IMY1333" s="4" t="s">
        <v>2877</v>
      </c>
      <c r="IMZ1333" s="4" t="s">
        <v>2877</v>
      </c>
      <c r="INA1333" s="4" t="s">
        <v>2877</v>
      </c>
      <c r="INB1333" s="4" t="s">
        <v>2877</v>
      </c>
      <c r="INC1333" s="4" t="s">
        <v>2877</v>
      </c>
      <c r="IND1333" s="4" t="s">
        <v>2877</v>
      </c>
      <c r="INE1333" s="4" t="s">
        <v>2877</v>
      </c>
      <c r="INF1333" s="4" t="s">
        <v>2877</v>
      </c>
      <c r="ING1333" s="4" t="s">
        <v>2877</v>
      </c>
      <c r="INH1333" s="4" t="s">
        <v>2877</v>
      </c>
      <c r="INI1333" s="4" t="s">
        <v>2877</v>
      </c>
      <c r="INJ1333" s="4" t="s">
        <v>2877</v>
      </c>
      <c r="INK1333" s="4" t="s">
        <v>2877</v>
      </c>
      <c r="INL1333" s="4" t="s">
        <v>2877</v>
      </c>
      <c r="INM1333" s="4" t="s">
        <v>2877</v>
      </c>
      <c r="INN1333" s="4" t="s">
        <v>2877</v>
      </c>
      <c r="INO1333" s="4" t="s">
        <v>2877</v>
      </c>
      <c r="INP1333" s="4" t="s">
        <v>2877</v>
      </c>
      <c r="INQ1333" s="4" t="s">
        <v>2877</v>
      </c>
      <c r="INR1333" s="4" t="s">
        <v>2877</v>
      </c>
      <c r="INS1333" s="4" t="s">
        <v>2877</v>
      </c>
      <c r="INT1333" s="4" t="s">
        <v>2877</v>
      </c>
      <c r="INU1333" s="4" t="s">
        <v>2877</v>
      </c>
      <c r="INV1333" s="4" t="s">
        <v>2877</v>
      </c>
      <c r="INW1333" s="4" t="s">
        <v>2877</v>
      </c>
      <c r="INX1333" s="4" t="s">
        <v>2877</v>
      </c>
      <c r="INY1333" s="4" t="s">
        <v>2877</v>
      </c>
      <c r="INZ1333" s="4" t="s">
        <v>2877</v>
      </c>
      <c r="IOA1333" s="4" t="s">
        <v>2877</v>
      </c>
      <c r="IOB1333" s="4" t="s">
        <v>2877</v>
      </c>
      <c r="IOC1333" s="4" t="s">
        <v>2877</v>
      </c>
      <c r="IOD1333" s="4" t="s">
        <v>2877</v>
      </c>
      <c r="IOE1333" s="4" t="s">
        <v>2877</v>
      </c>
      <c r="IOF1333" s="4" t="s">
        <v>2877</v>
      </c>
      <c r="IOG1333" s="4" t="s">
        <v>2877</v>
      </c>
      <c r="IOH1333" s="4" t="s">
        <v>2877</v>
      </c>
      <c r="IOI1333" s="4" t="s">
        <v>2877</v>
      </c>
      <c r="IOJ1333" s="4" t="s">
        <v>2877</v>
      </c>
      <c r="IOK1333" s="4" t="s">
        <v>2877</v>
      </c>
      <c r="IOL1333" s="4" t="s">
        <v>2877</v>
      </c>
      <c r="IOM1333" s="4" t="s">
        <v>2877</v>
      </c>
      <c r="ION1333" s="4" t="s">
        <v>2877</v>
      </c>
      <c r="IOO1333" s="4" t="s">
        <v>2877</v>
      </c>
      <c r="IOP1333" s="4" t="s">
        <v>2877</v>
      </c>
      <c r="IOQ1333" s="4" t="s">
        <v>2877</v>
      </c>
      <c r="IOR1333" s="4" t="s">
        <v>2877</v>
      </c>
      <c r="IOS1333" s="4" t="s">
        <v>2877</v>
      </c>
      <c r="IOT1333" s="4" t="s">
        <v>2877</v>
      </c>
      <c r="IOU1333" s="4" t="s">
        <v>2877</v>
      </c>
      <c r="IOV1333" s="4" t="s">
        <v>2877</v>
      </c>
      <c r="IOW1333" s="4" t="s">
        <v>2877</v>
      </c>
      <c r="IOX1333" s="4" t="s">
        <v>2877</v>
      </c>
      <c r="IOY1333" s="4" t="s">
        <v>2877</v>
      </c>
      <c r="IOZ1333" s="4" t="s">
        <v>2877</v>
      </c>
      <c r="IPA1333" s="4" t="s">
        <v>2877</v>
      </c>
      <c r="IPB1333" s="4" t="s">
        <v>2877</v>
      </c>
      <c r="IPC1333" s="4" t="s">
        <v>2877</v>
      </c>
      <c r="IPD1333" s="4" t="s">
        <v>2877</v>
      </c>
      <c r="IPE1333" s="4" t="s">
        <v>2877</v>
      </c>
      <c r="IPF1333" s="4" t="s">
        <v>2877</v>
      </c>
      <c r="IPG1333" s="4" t="s">
        <v>2877</v>
      </c>
      <c r="IPH1333" s="4" t="s">
        <v>2877</v>
      </c>
      <c r="IPI1333" s="4" t="s">
        <v>2877</v>
      </c>
      <c r="IPJ1333" s="4" t="s">
        <v>2877</v>
      </c>
      <c r="IPK1333" s="4" t="s">
        <v>2877</v>
      </c>
      <c r="IPL1333" s="4" t="s">
        <v>2877</v>
      </c>
      <c r="IPM1333" s="4" t="s">
        <v>2877</v>
      </c>
      <c r="IPN1333" s="4" t="s">
        <v>2877</v>
      </c>
      <c r="IPO1333" s="4" t="s">
        <v>2877</v>
      </c>
      <c r="IPP1333" s="4" t="s">
        <v>2877</v>
      </c>
      <c r="IPQ1333" s="4" t="s">
        <v>2877</v>
      </c>
      <c r="IPR1333" s="4" t="s">
        <v>2877</v>
      </c>
      <c r="IPS1333" s="4" t="s">
        <v>2877</v>
      </c>
      <c r="IPT1333" s="4" t="s">
        <v>2877</v>
      </c>
      <c r="IPU1333" s="4" t="s">
        <v>2877</v>
      </c>
      <c r="IPV1333" s="4" t="s">
        <v>2877</v>
      </c>
      <c r="IPW1333" s="4" t="s">
        <v>2877</v>
      </c>
      <c r="IPX1333" s="4" t="s">
        <v>2877</v>
      </c>
      <c r="IPY1333" s="4" t="s">
        <v>2877</v>
      </c>
      <c r="IPZ1333" s="4" t="s">
        <v>2877</v>
      </c>
      <c r="IQA1333" s="4" t="s">
        <v>2877</v>
      </c>
      <c r="IQB1333" s="4" t="s">
        <v>2877</v>
      </c>
      <c r="IQC1333" s="4" t="s">
        <v>2877</v>
      </c>
      <c r="IQD1333" s="4" t="s">
        <v>2877</v>
      </c>
      <c r="IQE1333" s="4" t="s">
        <v>2877</v>
      </c>
      <c r="IQF1333" s="4" t="s">
        <v>2877</v>
      </c>
      <c r="IQG1333" s="4" t="s">
        <v>2877</v>
      </c>
      <c r="IQH1333" s="4" t="s">
        <v>2877</v>
      </c>
      <c r="IQI1333" s="4" t="s">
        <v>2877</v>
      </c>
      <c r="IQJ1333" s="4" t="s">
        <v>2877</v>
      </c>
      <c r="IQK1333" s="4" t="s">
        <v>2877</v>
      </c>
      <c r="IQL1333" s="4" t="s">
        <v>2877</v>
      </c>
      <c r="IQM1333" s="4" t="s">
        <v>2877</v>
      </c>
      <c r="IQN1333" s="4" t="s">
        <v>2877</v>
      </c>
      <c r="IQO1333" s="4" t="s">
        <v>2877</v>
      </c>
      <c r="IQP1333" s="4" t="s">
        <v>2877</v>
      </c>
      <c r="IQQ1333" s="4" t="s">
        <v>2877</v>
      </c>
      <c r="IQR1333" s="4" t="s">
        <v>2877</v>
      </c>
      <c r="IQS1333" s="4" t="s">
        <v>2877</v>
      </c>
      <c r="IQT1333" s="4" t="s">
        <v>2877</v>
      </c>
      <c r="IQU1333" s="4" t="s">
        <v>2877</v>
      </c>
      <c r="IQV1333" s="4" t="s">
        <v>2877</v>
      </c>
      <c r="IQW1333" s="4" t="s">
        <v>2877</v>
      </c>
      <c r="IQX1333" s="4" t="s">
        <v>2877</v>
      </c>
      <c r="IQY1333" s="4" t="s">
        <v>2877</v>
      </c>
      <c r="IQZ1333" s="4" t="s">
        <v>2877</v>
      </c>
      <c r="IRA1333" s="4" t="s">
        <v>2877</v>
      </c>
      <c r="IRB1333" s="4" t="s">
        <v>2877</v>
      </c>
      <c r="IRC1333" s="4" t="s">
        <v>2877</v>
      </c>
      <c r="IRD1333" s="4" t="s">
        <v>2877</v>
      </c>
      <c r="IRE1333" s="4" t="s">
        <v>2877</v>
      </c>
      <c r="IRF1333" s="4" t="s">
        <v>2877</v>
      </c>
      <c r="IRG1333" s="4" t="s">
        <v>2877</v>
      </c>
      <c r="IRH1333" s="4" t="s">
        <v>2877</v>
      </c>
      <c r="IRI1333" s="4" t="s">
        <v>2877</v>
      </c>
      <c r="IRJ1333" s="4" t="s">
        <v>2877</v>
      </c>
      <c r="IRK1333" s="4" t="s">
        <v>2877</v>
      </c>
      <c r="IRL1333" s="4" t="s">
        <v>2877</v>
      </c>
      <c r="IRM1333" s="4" t="s">
        <v>2877</v>
      </c>
      <c r="IRN1333" s="4" t="s">
        <v>2877</v>
      </c>
      <c r="IRO1333" s="4" t="s">
        <v>2877</v>
      </c>
      <c r="IRP1333" s="4" t="s">
        <v>2877</v>
      </c>
      <c r="IRQ1333" s="4" t="s">
        <v>2877</v>
      </c>
      <c r="IRR1333" s="4" t="s">
        <v>2877</v>
      </c>
      <c r="IRS1333" s="4" t="s">
        <v>2877</v>
      </c>
      <c r="IRT1333" s="4" t="s">
        <v>2877</v>
      </c>
      <c r="IRU1333" s="4" t="s">
        <v>2877</v>
      </c>
      <c r="IRV1333" s="4" t="s">
        <v>2877</v>
      </c>
      <c r="IRW1333" s="4" t="s">
        <v>2877</v>
      </c>
      <c r="IRX1333" s="4" t="s">
        <v>2877</v>
      </c>
      <c r="IRY1333" s="4" t="s">
        <v>2877</v>
      </c>
      <c r="IRZ1333" s="4" t="s">
        <v>2877</v>
      </c>
      <c r="ISA1333" s="4" t="s">
        <v>2877</v>
      </c>
      <c r="ISB1333" s="4" t="s">
        <v>2877</v>
      </c>
      <c r="ISC1333" s="4" t="s">
        <v>2877</v>
      </c>
      <c r="ISD1333" s="4" t="s">
        <v>2877</v>
      </c>
      <c r="ISE1333" s="4" t="s">
        <v>2877</v>
      </c>
      <c r="ISF1333" s="4" t="s">
        <v>2877</v>
      </c>
      <c r="ISG1333" s="4" t="s">
        <v>2877</v>
      </c>
      <c r="ISH1333" s="4" t="s">
        <v>2877</v>
      </c>
      <c r="ISI1333" s="4" t="s">
        <v>2877</v>
      </c>
      <c r="ISJ1333" s="4" t="s">
        <v>2877</v>
      </c>
      <c r="ISK1333" s="4" t="s">
        <v>2877</v>
      </c>
      <c r="ISL1333" s="4" t="s">
        <v>2877</v>
      </c>
      <c r="ISM1333" s="4" t="s">
        <v>2877</v>
      </c>
      <c r="ISN1333" s="4" t="s">
        <v>2877</v>
      </c>
      <c r="ISO1333" s="4" t="s">
        <v>2877</v>
      </c>
      <c r="ISP1333" s="4" t="s">
        <v>2877</v>
      </c>
      <c r="ISQ1333" s="4" t="s">
        <v>2877</v>
      </c>
      <c r="ISR1333" s="4" t="s">
        <v>2877</v>
      </c>
      <c r="ISS1333" s="4" t="s">
        <v>2877</v>
      </c>
      <c r="IST1333" s="4" t="s">
        <v>2877</v>
      </c>
      <c r="ISU1333" s="4" t="s">
        <v>2877</v>
      </c>
      <c r="ISV1333" s="4" t="s">
        <v>2877</v>
      </c>
      <c r="ISW1333" s="4" t="s">
        <v>2877</v>
      </c>
      <c r="ISX1333" s="4" t="s">
        <v>2877</v>
      </c>
      <c r="ISY1333" s="4" t="s">
        <v>2877</v>
      </c>
      <c r="ISZ1333" s="4" t="s">
        <v>2877</v>
      </c>
      <c r="ITA1333" s="4" t="s">
        <v>2877</v>
      </c>
      <c r="ITB1333" s="4" t="s">
        <v>2877</v>
      </c>
      <c r="ITC1333" s="4" t="s">
        <v>2877</v>
      </c>
      <c r="ITD1333" s="4" t="s">
        <v>2877</v>
      </c>
      <c r="ITE1333" s="4" t="s">
        <v>2877</v>
      </c>
      <c r="ITF1333" s="4" t="s">
        <v>2877</v>
      </c>
      <c r="ITG1333" s="4" t="s">
        <v>2877</v>
      </c>
      <c r="ITH1333" s="4" t="s">
        <v>2877</v>
      </c>
      <c r="ITI1333" s="4" t="s">
        <v>2877</v>
      </c>
      <c r="ITJ1333" s="4" t="s">
        <v>2877</v>
      </c>
      <c r="ITK1333" s="4" t="s">
        <v>2877</v>
      </c>
      <c r="ITL1333" s="4" t="s">
        <v>2877</v>
      </c>
      <c r="ITM1333" s="4" t="s">
        <v>2877</v>
      </c>
      <c r="ITN1333" s="4" t="s">
        <v>2877</v>
      </c>
      <c r="ITO1333" s="4" t="s">
        <v>2877</v>
      </c>
      <c r="ITP1333" s="4" t="s">
        <v>2877</v>
      </c>
      <c r="ITQ1333" s="4" t="s">
        <v>2877</v>
      </c>
      <c r="ITR1333" s="4" t="s">
        <v>2877</v>
      </c>
      <c r="ITS1333" s="4" t="s">
        <v>2877</v>
      </c>
      <c r="ITT1333" s="4" t="s">
        <v>2877</v>
      </c>
      <c r="ITU1333" s="4" t="s">
        <v>2877</v>
      </c>
      <c r="ITV1333" s="4" t="s">
        <v>2877</v>
      </c>
      <c r="ITW1333" s="4" t="s">
        <v>2877</v>
      </c>
      <c r="ITX1333" s="4" t="s">
        <v>2877</v>
      </c>
      <c r="ITY1333" s="4" t="s">
        <v>2877</v>
      </c>
      <c r="ITZ1333" s="4" t="s">
        <v>2877</v>
      </c>
      <c r="IUA1333" s="4" t="s">
        <v>2877</v>
      </c>
      <c r="IUB1333" s="4" t="s">
        <v>2877</v>
      </c>
      <c r="IUC1333" s="4" t="s">
        <v>2877</v>
      </c>
      <c r="IUD1333" s="4" t="s">
        <v>2877</v>
      </c>
      <c r="IUE1333" s="4" t="s">
        <v>2877</v>
      </c>
      <c r="IUF1333" s="4" t="s">
        <v>2877</v>
      </c>
      <c r="IUG1333" s="4" t="s">
        <v>2877</v>
      </c>
      <c r="IUH1333" s="4" t="s">
        <v>2877</v>
      </c>
      <c r="IUI1333" s="4" t="s">
        <v>2877</v>
      </c>
      <c r="IUJ1333" s="4" t="s">
        <v>2877</v>
      </c>
      <c r="IUK1333" s="4" t="s">
        <v>2877</v>
      </c>
      <c r="IUL1333" s="4" t="s">
        <v>2877</v>
      </c>
      <c r="IUM1333" s="4" t="s">
        <v>2877</v>
      </c>
      <c r="IUN1333" s="4" t="s">
        <v>2877</v>
      </c>
      <c r="IUO1333" s="4" t="s">
        <v>2877</v>
      </c>
      <c r="IUP1333" s="4" t="s">
        <v>2877</v>
      </c>
      <c r="IUQ1333" s="4" t="s">
        <v>2877</v>
      </c>
      <c r="IUR1333" s="4" t="s">
        <v>2877</v>
      </c>
      <c r="IUS1333" s="4" t="s">
        <v>2877</v>
      </c>
      <c r="IUT1333" s="4" t="s">
        <v>2877</v>
      </c>
      <c r="IUU1333" s="4" t="s">
        <v>2877</v>
      </c>
      <c r="IUV1333" s="4" t="s">
        <v>2877</v>
      </c>
      <c r="IUW1333" s="4" t="s">
        <v>2877</v>
      </c>
      <c r="IUX1333" s="4" t="s">
        <v>2877</v>
      </c>
      <c r="IUY1333" s="4" t="s">
        <v>2877</v>
      </c>
      <c r="IUZ1333" s="4" t="s">
        <v>2877</v>
      </c>
      <c r="IVA1333" s="4" t="s">
        <v>2877</v>
      </c>
      <c r="IVB1333" s="4" t="s">
        <v>2877</v>
      </c>
      <c r="IVC1333" s="4" t="s">
        <v>2877</v>
      </c>
      <c r="IVD1333" s="4" t="s">
        <v>2877</v>
      </c>
      <c r="IVE1333" s="4" t="s">
        <v>2877</v>
      </c>
      <c r="IVF1333" s="4" t="s">
        <v>2877</v>
      </c>
      <c r="IVG1333" s="4" t="s">
        <v>2877</v>
      </c>
      <c r="IVH1333" s="4" t="s">
        <v>2877</v>
      </c>
      <c r="IVI1333" s="4" t="s">
        <v>2877</v>
      </c>
      <c r="IVJ1333" s="4" t="s">
        <v>2877</v>
      </c>
      <c r="IVK1333" s="4" t="s">
        <v>2877</v>
      </c>
      <c r="IVL1333" s="4" t="s">
        <v>2877</v>
      </c>
      <c r="IVM1333" s="4" t="s">
        <v>2877</v>
      </c>
      <c r="IVN1333" s="4" t="s">
        <v>2877</v>
      </c>
      <c r="IVO1333" s="4" t="s">
        <v>2877</v>
      </c>
      <c r="IVP1333" s="4" t="s">
        <v>2877</v>
      </c>
      <c r="IVQ1333" s="4" t="s">
        <v>2877</v>
      </c>
      <c r="IVR1333" s="4" t="s">
        <v>2877</v>
      </c>
      <c r="IVS1333" s="4" t="s">
        <v>2877</v>
      </c>
      <c r="IVT1333" s="4" t="s">
        <v>2877</v>
      </c>
      <c r="IVU1333" s="4" t="s">
        <v>2877</v>
      </c>
      <c r="IVV1333" s="4" t="s">
        <v>2877</v>
      </c>
      <c r="IVW1333" s="4" t="s">
        <v>2877</v>
      </c>
      <c r="IVX1333" s="4" t="s">
        <v>2877</v>
      </c>
      <c r="IVY1333" s="4" t="s">
        <v>2877</v>
      </c>
      <c r="IVZ1333" s="4" t="s">
        <v>2877</v>
      </c>
      <c r="IWA1333" s="4" t="s">
        <v>2877</v>
      </c>
      <c r="IWB1333" s="4" t="s">
        <v>2877</v>
      </c>
      <c r="IWC1333" s="4" t="s">
        <v>2877</v>
      </c>
      <c r="IWD1333" s="4" t="s">
        <v>2877</v>
      </c>
      <c r="IWE1333" s="4" t="s">
        <v>2877</v>
      </c>
      <c r="IWF1333" s="4" t="s">
        <v>2877</v>
      </c>
      <c r="IWG1333" s="4" t="s">
        <v>2877</v>
      </c>
      <c r="IWH1333" s="4" t="s">
        <v>2877</v>
      </c>
      <c r="IWI1333" s="4" t="s">
        <v>2877</v>
      </c>
      <c r="IWJ1333" s="4" t="s">
        <v>2877</v>
      </c>
      <c r="IWK1333" s="4" t="s">
        <v>2877</v>
      </c>
      <c r="IWL1333" s="4" t="s">
        <v>2877</v>
      </c>
      <c r="IWM1333" s="4" t="s">
        <v>2877</v>
      </c>
      <c r="IWN1333" s="4" t="s">
        <v>2877</v>
      </c>
      <c r="IWO1333" s="4" t="s">
        <v>2877</v>
      </c>
      <c r="IWP1333" s="4" t="s">
        <v>2877</v>
      </c>
      <c r="IWQ1333" s="4" t="s">
        <v>2877</v>
      </c>
      <c r="IWR1333" s="4" t="s">
        <v>2877</v>
      </c>
      <c r="IWS1333" s="4" t="s">
        <v>2877</v>
      </c>
      <c r="IWT1333" s="4" t="s">
        <v>2877</v>
      </c>
      <c r="IWU1333" s="4" t="s">
        <v>2877</v>
      </c>
      <c r="IWV1333" s="4" t="s">
        <v>2877</v>
      </c>
      <c r="IWW1333" s="4" t="s">
        <v>2877</v>
      </c>
      <c r="IWX1333" s="4" t="s">
        <v>2877</v>
      </c>
      <c r="IWY1333" s="4" t="s">
        <v>2877</v>
      </c>
      <c r="IWZ1333" s="4" t="s">
        <v>2877</v>
      </c>
      <c r="IXA1333" s="4" t="s">
        <v>2877</v>
      </c>
      <c r="IXB1333" s="4" t="s">
        <v>2877</v>
      </c>
      <c r="IXC1333" s="4" t="s">
        <v>2877</v>
      </c>
      <c r="IXD1333" s="4" t="s">
        <v>2877</v>
      </c>
      <c r="IXE1333" s="4" t="s">
        <v>2877</v>
      </c>
      <c r="IXF1333" s="4" t="s">
        <v>2877</v>
      </c>
      <c r="IXG1333" s="4" t="s">
        <v>2877</v>
      </c>
      <c r="IXH1333" s="4" t="s">
        <v>2877</v>
      </c>
      <c r="IXI1333" s="4" t="s">
        <v>2877</v>
      </c>
      <c r="IXJ1333" s="4" t="s">
        <v>2877</v>
      </c>
      <c r="IXK1333" s="4" t="s">
        <v>2877</v>
      </c>
      <c r="IXL1333" s="4" t="s">
        <v>2877</v>
      </c>
      <c r="IXM1333" s="4" t="s">
        <v>2877</v>
      </c>
      <c r="IXN1333" s="4" t="s">
        <v>2877</v>
      </c>
      <c r="IXO1333" s="4" t="s">
        <v>2877</v>
      </c>
      <c r="IXP1333" s="4" t="s">
        <v>2877</v>
      </c>
      <c r="IXQ1333" s="4" t="s">
        <v>2877</v>
      </c>
      <c r="IXR1333" s="4" t="s">
        <v>2877</v>
      </c>
      <c r="IXS1333" s="4" t="s">
        <v>2877</v>
      </c>
      <c r="IXT1333" s="4" t="s">
        <v>2877</v>
      </c>
      <c r="IXU1333" s="4" t="s">
        <v>2877</v>
      </c>
      <c r="IXV1333" s="4" t="s">
        <v>2877</v>
      </c>
      <c r="IXW1333" s="4" t="s">
        <v>2877</v>
      </c>
      <c r="IXX1333" s="4" t="s">
        <v>2877</v>
      </c>
      <c r="IXY1333" s="4" t="s">
        <v>2877</v>
      </c>
      <c r="IXZ1333" s="4" t="s">
        <v>2877</v>
      </c>
      <c r="IYA1333" s="4" t="s">
        <v>2877</v>
      </c>
      <c r="IYB1333" s="4" t="s">
        <v>2877</v>
      </c>
      <c r="IYC1333" s="4" t="s">
        <v>2877</v>
      </c>
      <c r="IYD1333" s="4" t="s">
        <v>2877</v>
      </c>
      <c r="IYE1333" s="4" t="s">
        <v>2877</v>
      </c>
      <c r="IYF1333" s="4" t="s">
        <v>2877</v>
      </c>
      <c r="IYG1333" s="4" t="s">
        <v>2877</v>
      </c>
      <c r="IYH1333" s="4" t="s">
        <v>2877</v>
      </c>
      <c r="IYI1333" s="4" t="s">
        <v>2877</v>
      </c>
      <c r="IYJ1333" s="4" t="s">
        <v>2877</v>
      </c>
      <c r="IYK1333" s="4" t="s">
        <v>2877</v>
      </c>
      <c r="IYL1333" s="4" t="s">
        <v>2877</v>
      </c>
      <c r="IYM1333" s="4" t="s">
        <v>2877</v>
      </c>
      <c r="IYN1333" s="4" t="s">
        <v>2877</v>
      </c>
      <c r="IYO1333" s="4" t="s">
        <v>2877</v>
      </c>
      <c r="IYP1333" s="4" t="s">
        <v>2877</v>
      </c>
      <c r="IYQ1333" s="4" t="s">
        <v>2877</v>
      </c>
      <c r="IYR1333" s="4" t="s">
        <v>2877</v>
      </c>
      <c r="IYS1333" s="4" t="s">
        <v>2877</v>
      </c>
      <c r="IYT1333" s="4" t="s">
        <v>2877</v>
      </c>
      <c r="IYU1333" s="4" t="s">
        <v>2877</v>
      </c>
      <c r="IYV1333" s="4" t="s">
        <v>2877</v>
      </c>
      <c r="IYW1333" s="4" t="s">
        <v>2877</v>
      </c>
      <c r="IYX1333" s="4" t="s">
        <v>2877</v>
      </c>
      <c r="IYY1333" s="4" t="s">
        <v>2877</v>
      </c>
      <c r="IYZ1333" s="4" t="s">
        <v>2877</v>
      </c>
      <c r="IZA1333" s="4" t="s">
        <v>2877</v>
      </c>
      <c r="IZB1333" s="4" t="s">
        <v>2877</v>
      </c>
      <c r="IZC1333" s="4" t="s">
        <v>2877</v>
      </c>
      <c r="IZD1333" s="4" t="s">
        <v>2877</v>
      </c>
      <c r="IZE1333" s="4" t="s">
        <v>2877</v>
      </c>
      <c r="IZF1333" s="4" t="s">
        <v>2877</v>
      </c>
      <c r="IZG1333" s="4" t="s">
        <v>2877</v>
      </c>
      <c r="IZH1333" s="4" t="s">
        <v>2877</v>
      </c>
      <c r="IZI1333" s="4" t="s">
        <v>2877</v>
      </c>
      <c r="IZJ1333" s="4" t="s">
        <v>2877</v>
      </c>
      <c r="IZK1333" s="4" t="s">
        <v>2877</v>
      </c>
      <c r="IZL1333" s="4" t="s">
        <v>2877</v>
      </c>
      <c r="IZM1333" s="4" t="s">
        <v>2877</v>
      </c>
      <c r="IZN1333" s="4" t="s">
        <v>2877</v>
      </c>
      <c r="IZO1333" s="4" t="s">
        <v>2877</v>
      </c>
      <c r="IZP1333" s="4" t="s">
        <v>2877</v>
      </c>
      <c r="IZQ1333" s="4" t="s">
        <v>2877</v>
      </c>
      <c r="IZR1333" s="4" t="s">
        <v>2877</v>
      </c>
      <c r="IZS1333" s="4" t="s">
        <v>2877</v>
      </c>
      <c r="IZT1333" s="4" t="s">
        <v>2877</v>
      </c>
      <c r="IZU1333" s="4" t="s">
        <v>2877</v>
      </c>
      <c r="IZV1333" s="4" t="s">
        <v>2877</v>
      </c>
      <c r="IZW1333" s="4" t="s">
        <v>2877</v>
      </c>
      <c r="IZX1333" s="4" t="s">
        <v>2877</v>
      </c>
      <c r="IZY1333" s="4" t="s">
        <v>2877</v>
      </c>
      <c r="IZZ1333" s="4" t="s">
        <v>2877</v>
      </c>
      <c r="JAA1333" s="4" t="s">
        <v>2877</v>
      </c>
      <c r="JAB1333" s="4" t="s">
        <v>2877</v>
      </c>
      <c r="JAC1333" s="4" t="s">
        <v>2877</v>
      </c>
      <c r="JAD1333" s="4" t="s">
        <v>2877</v>
      </c>
      <c r="JAE1333" s="4" t="s">
        <v>2877</v>
      </c>
      <c r="JAF1333" s="4" t="s">
        <v>2877</v>
      </c>
      <c r="JAG1333" s="4" t="s">
        <v>2877</v>
      </c>
      <c r="JAH1333" s="4" t="s">
        <v>2877</v>
      </c>
      <c r="JAI1333" s="4" t="s">
        <v>2877</v>
      </c>
      <c r="JAJ1333" s="4" t="s">
        <v>2877</v>
      </c>
      <c r="JAK1333" s="4" t="s">
        <v>2877</v>
      </c>
      <c r="JAL1333" s="4" t="s">
        <v>2877</v>
      </c>
      <c r="JAM1333" s="4" t="s">
        <v>2877</v>
      </c>
      <c r="JAN1333" s="4" t="s">
        <v>2877</v>
      </c>
      <c r="JAO1333" s="4" t="s">
        <v>2877</v>
      </c>
      <c r="JAP1333" s="4" t="s">
        <v>2877</v>
      </c>
      <c r="JAQ1333" s="4" t="s">
        <v>2877</v>
      </c>
      <c r="JAR1333" s="4" t="s">
        <v>2877</v>
      </c>
      <c r="JAS1333" s="4" t="s">
        <v>2877</v>
      </c>
      <c r="JAT1333" s="4" t="s">
        <v>2877</v>
      </c>
      <c r="JAU1333" s="4" t="s">
        <v>2877</v>
      </c>
      <c r="JAV1333" s="4" t="s">
        <v>2877</v>
      </c>
      <c r="JAW1333" s="4" t="s">
        <v>2877</v>
      </c>
      <c r="JAX1333" s="4" t="s">
        <v>2877</v>
      </c>
      <c r="JAY1333" s="4" t="s">
        <v>2877</v>
      </c>
      <c r="JAZ1333" s="4" t="s">
        <v>2877</v>
      </c>
      <c r="JBA1333" s="4" t="s">
        <v>2877</v>
      </c>
      <c r="JBB1333" s="4" t="s">
        <v>2877</v>
      </c>
      <c r="JBC1333" s="4" t="s">
        <v>2877</v>
      </c>
      <c r="JBD1333" s="4" t="s">
        <v>2877</v>
      </c>
      <c r="JBE1333" s="4" t="s">
        <v>2877</v>
      </c>
      <c r="JBF1333" s="4" t="s">
        <v>2877</v>
      </c>
      <c r="JBG1333" s="4" t="s">
        <v>2877</v>
      </c>
      <c r="JBH1333" s="4" t="s">
        <v>2877</v>
      </c>
      <c r="JBI1333" s="4" t="s">
        <v>2877</v>
      </c>
      <c r="JBJ1333" s="4" t="s">
        <v>2877</v>
      </c>
      <c r="JBK1333" s="4" t="s">
        <v>2877</v>
      </c>
      <c r="JBL1333" s="4" t="s">
        <v>2877</v>
      </c>
      <c r="JBM1333" s="4" t="s">
        <v>2877</v>
      </c>
      <c r="JBN1333" s="4" t="s">
        <v>2877</v>
      </c>
      <c r="JBO1333" s="4" t="s">
        <v>2877</v>
      </c>
      <c r="JBP1333" s="4" t="s">
        <v>2877</v>
      </c>
      <c r="JBQ1333" s="4" t="s">
        <v>2877</v>
      </c>
      <c r="JBR1333" s="4" t="s">
        <v>2877</v>
      </c>
      <c r="JBS1333" s="4" t="s">
        <v>2877</v>
      </c>
      <c r="JBT1333" s="4" t="s">
        <v>2877</v>
      </c>
      <c r="JBU1333" s="4" t="s">
        <v>2877</v>
      </c>
      <c r="JBV1333" s="4" t="s">
        <v>2877</v>
      </c>
      <c r="JBW1333" s="4" t="s">
        <v>2877</v>
      </c>
      <c r="JBX1333" s="4" t="s">
        <v>2877</v>
      </c>
      <c r="JBY1333" s="4" t="s">
        <v>2877</v>
      </c>
      <c r="JBZ1333" s="4" t="s">
        <v>2877</v>
      </c>
      <c r="JCA1333" s="4" t="s">
        <v>2877</v>
      </c>
      <c r="JCB1333" s="4" t="s">
        <v>2877</v>
      </c>
      <c r="JCC1333" s="4" t="s">
        <v>2877</v>
      </c>
      <c r="JCD1333" s="4" t="s">
        <v>2877</v>
      </c>
      <c r="JCE1333" s="4" t="s">
        <v>2877</v>
      </c>
      <c r="JCF1333" s="4" t="s">
        <v>2877</v>
      </c>
      <c r="JCG1333" s="4" t="s">
        <v>2877</v>
      </c>
      <c r="JCH1333" s="4" t="s">
        <v>2877</v>
      </c>
      <c r="JCI1333" s="4" t="s">
        <v>2877</v>
      </c>
      <c r="JCJ1333" s="4" t="s">
        <v>2877</v>
      </c>
      <c r="JCK1333" s="4" t="s">
        <v>2877</v>
      </c>
      <c r="JCL1333" s="4" t="s">
        <v>2877</v>
      </c>
      <c r="JCM1333" s="4" t="s">
        <v>2877</v>
      </c>
      <c r="JCN1333" s="4" t="s">
        <v>2877</v>
      </c>
      <c r="JCO1333" s="4" t="s">
        <v>2877</v>
      </c>
      <c r="JCP1333" s="4" t="s">
        <v>2877</v>
      </c>
      <c r="JCQ1333" s="4" t="s">
        <v>2877</v>
      </c>
      <c r="JCR1333" s="4" t="s">
        <v>2877</v>
      </c>
      <c r="JCS1333" s="4" t="s">
        <v>2877</v>
      </c>
      <c r="JCT1333" s="4" t="s">
        <v>2877</v>
      </c>
      <c r="JCU1333" s="4" t="s">
        <v>2877</v>
      </c>
      <c r="JCV1333" s="4" t="s">
        <v>2877</v>
      </c>
      <c r="JCW1333" s="4" t="s">
        <v>2877</v>
      </c>
      <c r="JCX1333" s="4" t="s">
        <v>2877</v>
      </c>
      <c r="JCY1333" s="4" t="s">
        <v>2877</v>
      </c>
      <c r="JCZ1333" s="4" t="s">
        <v>2877</v>
      </c>
      <c r="JDA1333" s="4" t="s">
        <v>2877</v>
      </c>
      <c r="JDB1333" s="4" t="s">
        <v>2877</v>
      </c>
      <c r="JDC1333" s="4" t="s">
        <v>2877</v>
      </c>
      <c r="JDD1333" s="4" t="s">
        <v>2877</v>
      </c>
      <c r="JDE1333" s="4" t="s">
        <v>2877</v>
      </c>
      <c r="JDF1333" s="4" t="s">
        <v>2877</v>
      </c>
      <c r="JDG1333" s="4" t="s">
        <v>2877</v>
      </c>
      <c r="JDH1333" s="4" t="s">
        <v>2877</v>
      </c>
      <c r="JDI1333" s="4" t="s">
        <v>2877</v>
      </c>
      <c r="JDJ1333" s="4" t="s">
        <v>2877</v>
      </c>
      <c r="JDK1333" s="4" t="s">
        <v>2877</v>
      </c>
      <c r="JDL1333" s="4" t="s">
        <v>2877</v>
      </c>
      <c r="JDM1333" s="4" t="s">
        <v>2877</v>
      </c>
      <c r="JDN1333" s="4" t="s">
        <v>2877</v>
      </c>
      <c r="JDO1333" s="4" t="s">
        <v>2877</v>
      </c>
      <c r="JDP1333" s="4" t="s">
        <v>2877</v>
      </c>
      <c r="JDQ1333" s="4" t="s">
        <v>2877</v>
      </c>
      <c r="JDR1333" s="4" t="s">
        <v>2877</v>
      </c>
      <c r="JDS1333" s="4" t="s">
        <v>2877</v>
      </c>
      <c r="JDT1333" s="4" t="s">
        <v>2877</v>
      </c>
      <c r="JDU1333" s="4" t="s">
        <v>2877</v>
      </c>
      <c r="JDV1333" s="4" t="s">
        <v>2877</v>
      </c>
      <c r="JDW1333" s="4" t="s">
        <v>2877</v>
      </c>
      <c r="JDX1333" s="4" t="s">
        <v>2877</v>
      </c>
      <c r="JDY1333" s="4" t="s">
        <v>2877</v>
      </c>
      <c r="JDZ1333" s="4" t="s">
        <v>2877</v>
      </c>
      <c r="JEA1333" s="4" t="s">
        <v>2877</v>
      </c>
      <c r="JEB1333" s="4" t="s">
        <v>2877</v>
      </c>
      <c r="JEC1333" s="4" t="s">
        <v>2877</v>
      </c>
      <c r="JED1333" s="4" t="s">
        <v>2877</v>
      </c>
      <c r="JEE1333" s="4" t="s">
        <v>2877</v>
      </c>
      <c r="JEF1333" s="4" t="s">
        <v>2877</v>
      </c>
      <c r="JEG1333" s="4" t="s">
        <v>2877</v>
      </c>
      <c r="JEH1333" s="4" t="s">
        <v>2877</v>
      </c>
      <c r="JEI1333" s="4" t="s">
        <v>2877</v>
      </c>
      <c r="JEJ1333" s="4" t="s">
        <v>2877</v>
      </c>
      <c r="JEK1333" s="4" t="s">
        <v>2877</v>
      </c>
      <c r="JEL1333" s="4" t="s">
        <v>2877</v>
      </c>
      <c r="JEM1333" s="4" t="s">
        <v>2877</v>
      </c>
      <c r="JEN1333" s="4" t="s">
        <v>2877</v>
      </c>
      <c r="JEO1333" s="4" t="s">
        <v>2877</v>
      </c>
      <c r="JEP1333" s="4" t="s">
        <v>2877</v>
      </c>
      <c r="JEQ1333" s="4" t="s">
        <v>2877</v>
      </c>
      <c r="JER1333" s="4" t="s">
        <v>2877</v>
      </c>
      <c r="JES1333" s="4" t="s">
        <v>2877</v>
      </c>
      <c r="JET1333" s="4" t="s">
        <v>2877</v>
      </c>
      <c r="JEU1333" s="4" t="s">
        <v>2877</v>
      </c>
      <c r="JEV1333" s="4" t="s">
        <v>2877</v>
      </c>
      <c r="JEW1333" s="4" t="s">
        <v>2877</v>
      </c>
      <c r="JEX1333" s="4" t="s">
        <v>2877</v>
      </c>
      <c r="JEY1333" s="4" t="s">
        <v>2877</v>
      </c>
      <c r="JEZ1333" s="4" t="s">
        <v>2877</v>
      </c>
      <c r="JFA1333" s="4" t="s">
        <v>2877</v>
      </c>
      <c r="JFB1333" s="4" t="s">
        <v>2877</v>
      </c>
      <c r="JFC1333" s="4" t="s">
        <v>2877</v>
      </c>
      <c r="JFD1333" s="4" t="s">
        <v>2877</v>
      </c>
      <c r="JFE1333" s="4" t="s">
        <v>2877</v>
      </c>
      <c r="JFF1333" s="4" t="s">
        <v>2877</v>
      </c>
      <c r="JFG1333" s="4" t="s">
        <v>2877</v>
      </c>
      <c r="JFH1333" s="4" t="s">
        <v>2877</v>
      </c>
      <c r="JFI1333" s="4" t="s">
        <v>2877</v>
      </c>
      <c r="JFJ1333" s="4" t="s">
        <v>2877</v>
      </c>
      <c r="JFK1333" s="4" t="s">
        <v>2877</v>
      </c>
      <c r="JFL1333" s="4" t="s">
        <v>2877</v>
      </c>
      <c r="JFM1333" s="4" t="s">
        <v>2877</v>
      </c>
      <c r="JFN1333" s="4" t="s">
        <v>2877</v>
      </c>
      <c r="JFO1333" s="4" t="s">
        <v>2877</v>
      </c>
      <c r="JFP1333" s="4" t="s">
        <v>2877</v>
      </c>
      <c r="JFQ1333" s="4" t="s">
        <v>2877</v>
      </c>
      <c r="JFR1333" s="4" t="s">
        <v>2877</v>
      </c>
      <c r="JFS1333" s="4" t="s">
        <v>2877</v>
      </c>
      <c r="JFT1333" s="4" t="s">
        <v>2877</v>
      </c>
      <c r="JFU1333" s="4" t="s">
        <v>2877</v>
      </c>
      <c r="JFV1333" s="4" t="s">
        <v>2877</v>
      </c>
      <c r="JFW1333" s="4" t="s">
        <v>2877</v>
      </c>
      <c r="JFX1333" s="4" t="s">
        <v>2877</v>
      </c>
      <c r="JFY1333" s="4" t="s">
        <v>2877</v>
      </c>
      <c r="JFZ1333" s="4" t="s">
        <v>2877</v>
      </c>
      <c r="JGA1333" s="4" t="s">
        <v>2877</v>
      </c>
      <c r="JGB1333" s="4" t="s">
        <v>2877</v>
      </c>
      <c r="JGC1333" s="4" t="s">
        <v>2877</v>
      </c>
      <c r="JGD1333" s="4" t="s">
        <v>2877</v>
      </c>
      <c r="JGE1333" s="4" t="s">
        <v>2877</v>
      </c>
      <c r="JGF1333" s="4" t="s">
        <v>2877</v>
      </c>
      <c r="JGG1333" s="4" t="s">
        <v>2877</v>
      </c>
      <c r="JGH1333" s="4" t="s">
        <v>2877</v>
      </c>
      <c r="JGI1333" s="4" t="s">
        <v>2877</v>
      </c>
      <c r="JGJ1333" s="4" t="s">
        <v>2877</v>
      </c>
      <c r="JGK1333" s="4" t="s">
        <v>2877</v>
      </c>
      <c r="JGL1333" s="4" t="s">
        <v>2877</v>
      </c>
      <c r="JGM1333" s="4" t="s">
        <v>2877</v>
      </c>
      <c r="JGN1333" s="4" t="s">
        <v>2877</v>
      </c>
      <c r="JGO1333" s="4" t="s">
        <v>2877</v>
      </c>
      <c r="JGP1333" s="4" t="s">
        <v>2877</v>
      </c>
      <c r="JGQ1333" s="4" t="s">
        <v>2877</v>
      </c>
      <c r="JGR1333" s="4" t="s">
        <v>2877</v>
      </c>
      <c r="JGS1333" s="4" t="s">
        <v>2877</v>
      </c>
      <c r="JGT1333" s="4" t="s">
        <v>2877</v>
      </c>
      <c r="JGU1333" s="4" t="s">
        <v>2877</v>
      </c>
      <c r="JGV1333" s="4" t="s">
        <v>2877</v>
      </c>
      <c r="JGW1333" s="4" t="s">
        <v>2877</v>
      </c>
      <c r="JGX1333" s="4" t="s">
        <v>2877</v>
      </c>
      <c r="JGY1333" s="4" t="s">
        <v>2877</v>
      </c>
      <c r="JGZ1333" s="4" t="s">
        <v>2877</v>
      </c>
      <c r="JHA1333" s="4" t="s">
        <v>2877</v>
      </c>
      <c r="JHB1333" s="4" t="s">
        <v>2877</v>
      </c>
      <c r="JHC1333" s="4" t="s">
        <v>2877</v>
      </c>
      <c r="JHD1333" s="4" t="s">
        <v>2877</v>
      </c>
      <c r="JHE1333" s="4" t="s">
        <v>2877</v>
      </c>
      <c r="JHF1333" s="4" t="s">
        <v>2877</v>
      </c>
      <c r="JHG1333" s="4" t="s">
        <v>2877</v>
      </c>
      <c r="JHH1333" s="4" t="s">
        <v>2877</v>
      </c>
      <c r="JHI1333" s="4" t="s">
        <v>2877</v>
      </c>
      <c r="JHJ1333" s="4" t="s">
        <v>2877</v>
      </c>
      <c r="JHK1333" s="4" t="s">
        <v>2877</v>
      </c>
      <c r="JHL1333" s="4" t="s">
        <v>2877</v>
      </c>
      <c r="JHM1333" s="4" t="s">
        <v>2877</v>
      </c>
      <c r="JHN1333" s="4" t="s">
        <v>2877</v>
      </c>
      <c r="JHO1333" s="4" t="s">
        <v>2877</v>
      </c>
      <c r="JHP1333" s="4" t="s">
        <v>2877</v>
      </c>
      <c r="JHQ1333" s="4" t="s">
        <v>2877</v>
      </c>
      <c r="JHR1333" s="4" t="s">
        <v>2877</v>
      </c>
      <c r="JHS1333" s="4" t="s">
        <v>2877</v>
      </c>
      <c r="JHT1333" s="4" t="s">
        <v>2877</v>
      </c>
      <c r="JHU1333" s="4" t="s">
        <v>2877</v>
      </c>
      <c r="JHV1333" s="4" t="s">
        <v>2877</v>
      </c>
      <c r="JHW1333" s="4" t="s">
        <v>2877</v>
      </c>
      <c r="JHX1333" s="4" t="s">
        <v>2877</v>
      </c>
      <c r="JHY1333" s="4" t="s">
        <v>2877</v>
      </c>
      <c r="JHZ1333" s="4" t="s">
        <v>2877</v>
      </c>
      <c r="JIA1333" s="4" t="s">
        <v>2877</v>
      </c>
      <c r="JIB1333" s="4" t="s">
        <v>2877</v>
      </c>
      <c r="JIC1333" s="4" t="s">
        <v>2877</v>
      </c>
      <c r="JID1333" s="4" t="s">
        <v>2877</v>
      </c>
      <c r="JIE1333" s="4" t="s">
        <v>2877</v>
      </c>
      <c r="JIF1333" s="4" t="s">
        <v>2877</v>
      </c>
      <c r="JIG1333" s="4" t="s">
        <v>2877</v>
      </c>
      <c r="JIH1333" s="4" t="s">
        <v>2877</v>
      </c>
      <c r="JII1333" s="4" t="s">
        <v>2877</v>
      </c>
      <c r="JIJ1333" s="4" t="s">
        <v>2877</v>
      </c>
      <c r="JIK1333" s="4" t="s">
        <v>2877</v>
      </c>
      <c r="JIL1333" s="4" t="s">
        <v>2877</v>
      </c>
      <c r="JIM1333" s="4" t="s">
        <v>2877</v>
      </c>
      <c r="JIN1333" s="4" t="s">
        <v>2877</v>
      </c>
      <c r="JIO1333" s="4" t="s">
        <v>2877</v>
      </c>
      <c r="JIP1333" s="4" t="s">
        <v>2877</v>
      </c>
      <c r="JIQ1333" s="4" t="s">
        <v>2877</v>
      </c>
      <c r="JIR1333" s="4" t="s">
        <v>2877</v>
      </c>
      <c r="JIS1333" s="4" t="s">
        <v>2877</v>
      </c>
      <c r="JIT1333" s="4" t="s">
        <v>2877</v>
      </c>
      <c r="JIU1333" s="4" t="s">
        <v>2877</v>
      </c>
      <c r="JIV1333" s="4" t="s">
        <v>2877</v>
      </c>
      <c r="JIW1333" s="4" t="s">
        <v>2877</v>
      </c>
      <c r="JIX1333" s="4" t="s">
        <v>2877</v>
      </c>
      <c r="JIY1333" s="4" t="s">
        <v>2877</v>
      </c>
      <c r="JIZ1333" s="4" t="s">
        <v>2877</v>
      </c>
      <c r="JJA1333" s="4" t="s">
        <v>2877</v>
      </c>
      <c r="JJB1333" s="4" t="s">
        <v>2877</v>
      </c>
      <c r="JJC1333" s="4" t="s">
        <v>2877</v>
      </c>
      <c r="JJD1333" s="4" t="s">
        <v>2877</v>
      </c>
      <c r="JJE1333" s="4" t="s">
        <v>2877</v>
      </c>
      <c r="JJF1333" s="4" t="s">
        <v>2877</v>
      </c>
      <c r="JJG1333" s="4" t="s">
        <v>2877</v>
      </c>
      <c r="JJH1333" s="4" t="s">
        <v>2877</v>
      </c>
      <c r="JJI1333" s="4" t="s">
        <v>2877</v>
      </c>
      <c r="JJJ1333" s="4" t="s">
        <v>2877</v>
      </c>
      <c r="JJK1333" s="4" t="s">
        <v>2877</v>
      </c>
      <c r="JJL1333" s="4" t="s">
        <v>2877</v>
      </c>
      <c r="JJM1333" s="4" t="s">
        <v>2877</v>
      </c>
      <c r="JJN1333" s="4" t="s">
        <v>2877</v>
      </c>
      <c r="JJO1333" s="4" t="s">
        <v>2877</v>
      </c>
      <c r="JJP1333" s="4" t="s">
        <v>2877</v>
      </c>
      <c r="JJQ1333" s="4" t="s">
        <v>2877</v>
      </c>
      <c r="JJR1333" s="4" t="s">
        <v>2877</v>
      </c>
      <c r="JJS1333" s="4" t="s">
        <v>2877</v>
      </c>
      <c r="JJT1333" s="4" t="s">
        <v>2877</v>
      </c>
      <c r="JJU1333" s="4" t="s">
        <v>2877</v>
      </c>
      <c r="JJV1333" s="4" t="s">
        <v>2877</v>
      </c>
      <c r="JJW1333" s="4" t="s">
        <v>2877</v>
      </c>
      <c r="JJX1333" s="4" t="s">
        <v>2877</v>
      </c>
      <c r="JJY1333" s="4" t="s">
        <v>2877</v>
      </c>
      <c r="JJZ1333" s="4" t="s">
        <v>2877</v>
      </c>
      <c r="JKA1333" s="4" t="s">
        <v>2877</v>
      </c>
      <c r="JKB1333" s="4" t="s">
        <v>2877</v>
      </c>
      <c r="JKC1333" s="4" t="s">
        <v>2877</v>
      </c>
      <c r="JKD1333" s="4" t="s">
        <v>2877</v>
      </c>
      <c r="JKE1333" s="4" t="s">
        <v>2877</v>
      </c>
      <c r="JKF1333" s="4" t="s">
        <v>2877</v>
      </c>
      <c r="JKG1333" s="4" t="s">
        <v>2877</v>
      </c>
      <c r="JKH1333" s="4" t="s">
        <v>2877</v>
      </c>
      <c r="JKI1333" s="4" t="s">
        <v>2877</v>
      </c>
      <c r="JKJ1333" s="4" t="s">
        <v>2877</v>
      </c>
      <c r="JKK1333" s="4" t="s">
        <v>2877</v>
      </c>
      <c r="JKL1333" s="4" t="s">
        <v>2877</v>
      </c>
      <c r="JKM1333" s="4" t="s">
        <v>2877</v>
      </c>
      <c r="JKN1333" s="4" t="s">
        <v>2877</v>
      </c>
      <c r="JKO1333" s="4" t="s">
        <v>2877</v>
      </c>
      <c r="JKP1333" s="4" t="s">
        <v>2877</v>
      </c>
      <c r="JKQ1333" s="4" t="s">
        <v>2877</v>
      </c>
      <c r="JKR1333" s="4" t="s">
        <v>2877</v>
      </c>
      <c r="JKS1333" s="4" t="s">
        <v>2877</v>
      </c>
      <c r="JKT1333" s="4" t="s">
        <v>2877</v>
      </c>
      <c r="JKU1333" s="4" t="s">
        <v>2877</v>
      </c>
      <c r="JKV1333" s="4" t="s">
        <v>2877</v>
      </c>
      <c r="JKW1333" s="4" t="s">
        <v>2877</v>
      </c>
      <c r="JKX1333" s="4" t="s">
        <v>2877</v>
      </c>
      <c r="JKY1333" s="4" t="s">
        <v>2877</v>
      </c>
      <c r="JKZ1333" s="4" t="s">
        <v>2877</v>
      </c>
      <c r="JLA1333" s="4" t="s">
        <v>2877</v>
      </c>
      <c r="JLB1333" s="4" t="s">
        <v>2877</v>
      </c>
      <c r="JLC1333" s="4" t="s">
        <v>2877</v>
      </c>
      <c r="JLD1333" s="4" t="s">
        <v>2877</v>
      </c>
      <c r="JLE1333" s="4" t="s">
        <v>2877</v>
      </c>
      <c r="JLF1333" s="4" t="s">
        <v>2877</v>
      </c>
      <c r="JLG1333" s="4" t="s">
        <v>2877</v>
      </c>
      <c r="JLH1333" s="4" t="s">
        <v>2877</v>
      </c>
      <c r="JLI1333" s="4" t="s">
        <v>2877</v>
      </c>
      <c r="JLJ1333" s="4" t="s">
        <v>2877</v>
      </c>
      <c r="JLK1333" s="4" t="s">
        <v>2877</v>
      </c>
      <c r="JLL1333" s="4" t="s">
        <v>2877</v>
      </c>
      <c r="JLM1333" s="4" t="s">
        <v>2877</v>
      </c>
      <c r="JLN1333" s="4" t="s">
        <v>2877</v>
      </c>
      <c r="JLO1333" s="4" t="s">
        <v>2877</v>
      </c>
      <c r="JLP1333" s="4" t="s">
        <v>2877</v>
      </c>
      <c r="JLQ1333" s="4" t="s">
        <v>2877</v>
      </c>
      <c r="JLR1333" s="4" t="s">
        <v>2877</v>
      </c>
      <c r="JLS1333" s="4" t="s">
        <v>2877</v>
      </c>
      <c r="JLT1333" s="4" t="s">
        <v>2877</v>
      </c>
      <c r="JLU1333" s="4" t="s">
        <v>2877</v>
      </c>
      <c r="JLV1333" s="4" t="s">
        <v>2877</v>
      </c>
      <c r="JLW1333" s="4" t="s">
        <v>2877</v>
      </c>
      <c r="JLX1333" s="4" t="s">
        <v>2877</v>
      </c>
      <c r="JLY1333" s="4" t="s">
        <v>2877</v>
      </c>
      <c r="JLZ1333" s="4" t="s">
        <v>2877</v>
      </c>
      <c r="JMA1333" s="4" t="s">
        <v>2877</v>
      </c>
      <c r="JMB1333" s="4" t="s">
        <v>2877</v>
      </c>
      <c r="JMC1333" s="4" t="s">
        <v>2877</v>
      </c>
      <c r="JMD1333" s="4" t="s">
        <v>2877</v>
      </c>
      <c r="JME1333" s="4" t="s">
        <v>2877</v>
      </c>
      <c r="JMF1333" s="4" t="s">
        <v>2877</v>
      </c>
      <c r="JMG1333" s="4" t="s">
        <v>2877</v>
      </c>
      <c r="JMH1333" s="4" t="s">
        <v>2877</v>
      </c>
      <c r="JMI1333" s="4" t="s">
        <v>2877</v>
      </c>
      <c r="JMJ1333" s="4" t="s">
        <v>2877</v>
      </c>
      <c r="JMK1333" s="4" t="s">
        <v>2877</v>
      </c>
      <c r="JML1333" s="4" t="s">
        <v>2877</v>
      </c>
      <c r="JMM1333" s="4" t="s">
        <v>2877</v>
      </c>
      <c r="JMN1333" s="4" t="s">
        <v>2877</v>
      </c>
      <c r="JMO1333" s="4" t="s">
        <v>2877</v>
      </c>
      <c r="JMP1333" s="4" t="s">
        <v>2877</v>
      </c>
      <c r="JMQ1333" s="4" t="s">
        <v>2877</v>
      </c>
      <c r="JMR1333" s="4" t="s">
        <v>2877</v>
      </c>
      <c r="JMS1333" s="4" t="s">
        <v>2877</v>
      </c>
      <c r="JMT1333" s="4" t="s">
        <v>2877</v>
      </c>
      <c r="JMU1333" s="4" t="s">
        <v>2877</v>
      </c>
      <c r="JMV1333" s="4" t="s">
        <v>2877</v>
      </c>
      <c r="JMW1333" s="4" t="s">
        <v>2877</v>
      </c>
      <c r="JMX1333" s="4" t="s">
        <v>2877</v>
      </c>
      <c r="JMY1333" s="4" t="s">
        <v>2877</v>
      </c>
      <c r="JMZ1333" s="4" t="s">
        <v>2877</v>
      </c>
      <c r="JNA1333" s="4" t="s">
        <v>2877</v>
      </c>
      <c r="JNB1333" s="4" t="s">
        <v>2877</v>
      </c>
      <c r="JNC1333" s="4" t="s">
        <v>2877</v>
      </c>
      <c r="JND1333" s="4" t="s">
        <v>2877</v>
      </c>
      <c r="JNE1333" s="4" t="s">
        <v>2877</v>
      </c>
      <c r="JNF1333" s="4" t="s">
        <v>2877</v>
      </c>
      <c r="JNG1333" s="4" t="s">
        <v>2877</v>
      </c>
      <c r="JNH1333" s="4" t="s">
        <v>2877</v>
      </c>
      <c r="JNI1333" s="4" t="s">
        <v>2877</v>
      </c>
      <c r="JNJ1333" s="4" t="s">
        <v>2877</v>
      </c>
      <c r="JNK1333" s="4" t="s">
        <v>2877</v>
      </c>
      <c r="JNL1333" s="4" t="s">
        <v>2877</v>
      </c>
      <c r="JNM1333" s="4" t="s">
        <v>2877</v>
      </c>
      <c r="JNN1333" s="4" t="s">
        <v>2877</v>
      </c>
      <c r="JNO1333" s="4" t="s">
        <v>2877</v>
      </c>
      <c r="JNP1333" s="4" t="s">
        <v>2877</v>
      </c>
      <c r="JNQ1333" s="4" t="s">
        <v>2877</v>
      </c>
      <c r="JNR1333" s="4" t="s">
        <v>2877</v>
      </c>
      <c r="JNS1333" s="4" t="s">
        <v>2877</v>
      </c>
      <c r="JNT1333" s="4" t="s">
        <v>2877</v>
      </c>
      <c r="JNU1333" s="4" t="s">
        <v>2877</v>
      </c>
      <c r="JNV1333" s="4" t="s">
        <v>2877</v>
      </c>
      <c r="JNW1333" s="4" t="s">
        <v>2877</v>
      </c>
      <c r="JNX1333" s="4" t="s">
        <v>2877</v>
      </c>
      <c r="JNY1333" s="4" t="s">
        <v>2877</v>
      </c>
      <c r="JNZ1333" s="4" t="s">
        <v>2877</v>
      </c>
      <c r="JOA1333" s="4" t="s">
        <v>2877</v>
      </c>
      <c r="JOB1333" s="4" t="s">
        <v>2877</v>
      </c>
      <c r="JOC1333" s="4" t="s">
        <v>2877</v>
      </c>
      <c r="JOD1333" s="4" t="s">
        <v>2877</v>
      </c>
      <c r="JOE1333" s="4" t="s">
        <v>2877</v>
      </c>
      <c r="JOF1333" s="4" t="s">
        <v>2877</v>
      </c>
      <c r="JOG1333" s="4" t="s">
        <v>2877</v>
      </c>
      <c r="JOH1333" s="4" t="s">
        <v>2877</v>
      </c>
      <c r="JOI1333" s="4" t="s">
        <v>2877</v>
      </c>
      <c r="JOJ1333" s="4" t="s">
        <v>2877</v>
      </c>
      <c r="JOK1333" s="4" t="s">
        <v>2877</v>
      </c>
      <c r="JOL1333" s="4" t="s">
        <v>2877</v>
      </c>
      <c r="JOM1333" s="4" t="s">
        <v>2877</v>
      </c>
      <c r="JON1333" s="4" t="s">
        <v>2877</v>
      </c>
      <c r="JOO1333" s="4" t="s">
        <v>2877</v>
      </c>
      <c r="JOP1333" s="4" t="s">
        <v>2877</v>
      </c>
      <c r="JOQ1333" s="4" t="s">
        <v>2877</v>
      </c>
      <c r="JOR1333" s="4" t="s">
        <v>2877</v>
      </c>
      <c r="JOS1333" s="4" t="s">
        <v>2877</v>
      </c>
      <c r="JOT1333" s="4" t="s">
        <v>2877</v>
      </c>
      <c r="JOU1333" s="4" t="s">
        <v>2877</v>
      </c>
      <c r="JOV1333" s="4" t="s">
        <v>2877</v>
      </c>
      <c r="JOW1333" s="4" t="s">
        <v>2877</v>
      </c>
      <c r="JOX1333" s="4" t="s">
        <v>2877</v>
      </c>
      <c r="JOY1333" s="4" t="s">
        <v>2877</v>
      </c>
      <c r="JOZ1333" s="4" t="s">
        <v>2877</v>
      </c>
      <c r="JPA1333" s="4" t="s">
        <v>2877</v>
      </c>
      <c r="JPB1333" s="4" t="s">
        <v>2877</v>
      </c>
      <c r="JPC1333" s="4" t="s">
        <v>2877</v>
      </c>
      <c r="JPD1333" s="4" t="s">
        <v>2877</v>
      </c>
      <c r="JPE1333" s="4" t="s">
        <v>2877</v>
      </c>
      <c r="JPF1333" s="4" t="s">
        <v>2877</v>
      </c>
      <c r="JPG1333" s="4" t="s">
        <v>2877</v>
      </c>
      <c r="JPH1333" s="4" t="s">
        <v>2877</v>
      </c>
      <c r="JPI1333" s="4" t="s">
        <v>2877</v>
      </c>
      <c r="JPJ1333" s="4" t="s">
        <v>2877</v>
      </c>
      <c r="JPK1333" s="4" t="s">
        <v>2877</v>
      </c>
      <c r="JPL1333" s="4" t="s">
        <v>2877</v>
      </c>
      <c r="JPM1333" s="4" t="s">
        <v>2877</v>
      </c>
      <c r="JPN1333" s="4" t="s">
        <v>2877</v>
      </c>
      <c r="JPO1333" s="4" t="s">
        <v>2877</v>
      </c>
      <c r="JPP1333" s="4" t="s">
        <v>2877</v>
      </c>
      <c r="JPQ1333" s="4" t="s">
        <v>2877</v>
      </c>
      <c r="JPR1333" s="4" t="s">
        <v>2877</v>
      </c>
      <c r="JPS1333" s="4" t="s">
        <v>2877</v>
      </c>
      <c r="JPT1333" s="4" t="s">
        <v>2877</v>
      </c>
      <c r="JPU1333" s="4" t="s">
        <v>2877</v>
      </c>
      <c r="JPV1333" s="4" t="s">
        <v>2877</v>
      </c>
      <c r="JPW1333" s="4" t="s">
        <v>2877</v>
      </c>
      <c r="JPX1333" s="4" t="s">
        <v>2877</v>
      </c>
      <c r="JPY1333" s="4" t="s">
        <v>2877</v>
      </c>
      <c r="JPZ1333" s="4" t="s">
        <v>2877</v>
      </c>
      <c r="JQA1333" s="4" t="s">
        <v>2877</v>
      </c>
      <c r="JQB1333" s="4" t="s">
        <v>2877</v>
      </c>
      <c r="JQC1333" s="4" t="s">
        <v>2877</v>
      </c>
      <c r="JQD1333" s="4" t="s">
        <v>2877</v>
      </c>
      <c r="JQE1333" s="4" t="s">
        <v>2877</v>
      </c>
      <c r="JQF1333" s="4" t="s">
        <v>2877</v>
      </c>
      <c r="JQG1333" s="4" t="s">
        <v>2877</v>
      </c>
      <c r="JQH1333" s="4" t="s">
        <v>2877</v>
      </c>
      <c r="JQI1333" s="4" t="s">
        <v>2877</v>
      </c>
      <c r="JQJ1333" s="4" t="s">
        <v>2877</v>
      </c>
      <c r="JQK1333" s="4" t="s">
        <v>2877</v>
      </c>
      <c r="JQL1333" s="4" t="s">
        <v>2877</v>
      </c>
      <c r="JQM1333" s="4" t="s">
        <v>2877</v>
      </c>
      <c r="JQN1333" s="4" t="s">
        <v>2877</v>
      </c>
      <c r="JQO1333" s="4" t="s">
        <v>2877</v>
      </c>
      <c r="JQP1333" s="4" t="s">
        <v>2877</v>
      </c>
      <c r="JQQ1333" s="4" t="s">
        <v>2877</v>
      </c>
      <c r="JQR1333" s="4" t="s">
        <v>2877</v>
      </c>
      <c r="JQS1333" s="4" t="s">
        <v>2877</v>
      </c>
      <c r="JQT1333" s="4" t="s">
        <v>2877</v>
      </c>
      <c r="JQU1333" s="4" t="s">
        <v>2877</v>
      </c>
      <c r="JQV1333" s="4" t="s">
        <v>2877</v>
      </c>
      <c r="JQW1333" s="4" t="s">
        <v>2877</v>
      </c>
      <c r="JQX1333" s="4" t="s">
        <v>2877</v>
      </c>
      <c r="JQY1333" s="4" t="s">
        <v>2877</v>
      </c>
      <c r="JQZ1333" s="4" t="s">
        <v>2877</v>
      </c>
      <c r="JRA1333" s="4" t="s">
        <v>2877</v>
      </c>
      <c r="JRB1333" s="4" t="s">
        <v>2877</v>
      </c>
      <c r="JRC1333" s="4" t="s">
        <v>2877</v>
      </c>
      <c r="JRD1333" s="4" t="s">
        <v>2877</v>
      </c>
      <c r="JRE1333" s="4" t="s">
        <v>2877</v>
      </c>
      <c r="JRF1333" s="4" t="s">
        <v>2877</v>
      </c>
      <c r="JRG1333" s="4" t="s">
        <v>2877</v>
      </c>
      <c r="JRH1333" s="4" t="s">
        <v>2877</v>
      </c>
      <c r="JRI1333" s="4" t="s">
        <v>2877</v>
      </c>
      <c r="JRJ1333" s="4" t="s">
        <v>2877</v>
      </c>
      <c r="JRK1333" s="4" t="s">
        <v>2877</v>
      </c>
      <c r="JRL1333" s="4" t="s">
        <v>2877</v>
      </c>
      <c r="JRM1333" s="4" t="s">
        <v>2877</v>
      </c>
      <c r="JRN1333" s="4" t="s">
        <v>2877</v>
      </c>
      <c r="JRO1333" s="4" t="s">
        <v>2877</v>
      </c>
      <c r="JRP1333" s="4" t="s">
        <v>2877</v>
      </c>
      <c r="JRQ1333" s="4" t="s">
        <v>2877</v>
      </c>
      <c r="JRR1333" s="4" t="s">
        <v>2877</v>
      </c>
      <c r="JRS1333" s="4" t="s">
        <v>2877</v>
      </c>
      <c r="JRT1333" s="4" t="s">
        <v>2877</v>
      </c>
      <c r="JRU1333" s="4" t="s">
        <v>2877</v>
      </c>
      <c r="JRV1333" s="4" t="s">
        <v>2877</v>
      </c>
      <c r="JRW1333" s="4" t="s">
        <v>2877</v>
      </c>
      <c r="JRX1333" s="4" t="s">
        <v>2877</v>
      </c>
      <c r="JRY1333" s="4" t="s">
        <v>2877</v>
      </c>
      <c r="JRZ1333" s="4" t="s">
        <v>2877</v>
      </c>
      <c r="JSA1333" s="4" t="s">
        <v>2877</v>
      </c>
      <c r="JSB1333" s="4" t="s">
        <v>2877</v>
      </c>
      <c r="JSC1333" s="4" t="s">
        <v>2877</v>
      </c>
      <c r="JSD1333" s="4" t="s">
        <v>2877</v>
      </c>
      <c r="JSE1333" s="4" t="s">
        <v>2877</v>
      </c>
      <c r="JSF1333" s="4" t="s">
        <v>2877</v>
      </c>
      <c r="JSG1333" s="4" t="s">
        <v>2877</v>
      </c>
      <c r="JSH1333" s="4" t="s">
        <v>2877</v>
      </c>
      <c r="JSI1333" s="4" t="s">
        <v>2877</v>
      </c>
      <c r="JSJ1333" s="4" t="s">
        <v>2877</v>
      </c>
      <c r="JSK1333" s="4" t="s">
        <v>2877</v>
      </c>
      <c r="JSL1333" s="4" t="s">
        <v>2877</v>
      </c>
      <c r="JSM1333" s="4" t="s">
        <v>2877</v>
      </c>
      <c r="JSN1333" s="4" t="s">
        <v>2877</v>
      </c>
      <c r="JSO1333" s="4" t="s">
        <v>2877</v>
      </c>
      <c r="JSP1333" s="4" t="s">
        <v>2877</v>
      </c>
      <c r="JSQ1333" s="4" t="s">
        <v>2877</v>
      </c>
      <c r="JSR1333" s="4" t="s">
        <v>2877</v>
      </c>
      <c r="JSS1333" s="4" t="s">
        <v>2877</v>
      </c>
      <c r="JST1333" s="4" t="s">
        <v>2877</v>
      </c>
      <c r="JSU1333" s="4" t="s">
        <v>2877</v>
      </c>
      <c r="JSV1333" s="4" t="s">
        <v>2877</v>
      </c>
      <c r="JSW1333" s="4" t="s">
        <v>2877</v>
      </c>
      <c r="JSX1333" s="4" t="s">
        <v>2877</v>
      </c>
      <c r="JSY1333" s="4" t="s">
        <v>2877</v>
      </c>
      <c r="JSZ1333" s="4" t="s">
        <v>2877</v>
      </c>
      <c r="JTA1333" s="4" t="s">
        <v>2877</v>
      </c>
      <c r="JTB1333" s="4" t="s">
        <v>2877</v>
      </c>
      <c r="JTC1333" s="4" t="s">
        <v>2877</v>
      </c>
      <c r="JTD1333" s="4" t="s">
        <v>2877</v>
      </c>
      <c r="JTE1333" s="4" t="s">
        <v>2877</v>
      </c>
      <c r="JTF1333" s="4" t="s">
        <v>2877</v>
      </c>
      <c r="JTG1333" s="4" t="s">
        <v>2877</v>
      </c>
      <c r="JTH1333" s="4" t="s">
        <v>2877</v>
      </c>
      <c r="JTI1333" s="4" t="s">
        <v>2877</v>
      </c>
      <c r="JTJ1333" s="4" t="s">
        <v>2877</v>
      </c>
      <c r="JTK1333" s="4" t="s">
        <v>2877</v>
      </c>
      <c r="JTL1333" s="4" t="s">
        <v>2877</v>
      </c>
      <c r="JTM1333" s="4" t="s">
        <v>2877</v>
      </c>
      <c r="JTN1333" s="4" t="s">
        <v>2877</v>
      </c>
      <c r="JTO1333" s="4" t="s">
        <v>2877</v>
      </c>
      <c r="JTP1333" s="4" t="s">
        <v>2877</v>
      </c>
      <c r="JTQ1333" s="4" t="s">
        <v>2877</v>
      </c>
      <c r="JTR1333" s="4" t="s">
        <v>2877</v>
      </c>
      <c r="JTS1333" s="4" t="s">
        <v>2877</v>
      </c>
      <c r="JTT1333" s="4" t="s">
        <v>2877</v>
      </c>
      <c r="JTU1333" s="4" t="s">
        <v>2877</v>
      </c>
      <c r="JTV1333" s="4" t="s">
        <v>2877</v>
      </c>
      <c r="JTW1333" s="4" t="s">
        <v>2877</v>
      </c>
      <c r="JTX1333" s="4" t="s">
        <v>2877</v>
      </c>
      <c r="JTY1333" s="4" t="s">
        <v>2877</v>
      </c>
      <c r="JTZ1333" s="4" t="s">
        <v>2877</v>
      </c>
      <c r="JUA1333" s="4" t="s">
        <v>2877</v>
      </c>
      <c r="JUB1333" s="4" t="s">
        <v>2877</v>
      </c>
      <c r="JUC1333" s="4" t="s">
        <v>2877</v>
      </c>
      <c r="JUD1333" s="4" t="s">
        <v>2877</v>
      </c>
      <c r="JUE1333" s="4" t="s">
        <v>2877</v>
      </c>
      <c r="JUF1333" s="4" t="s">
        <v>2877</v>
      </c>
      <c r="JUG1333" s="4" t="s">
        <v>2877</v>
      </c>
      <c r="JUH1333" s="4" t="s">
        <v>2877</v>
      </c>
      <c r="JUI1333" s="4" t="s">
        <v>2877</v>
      </c>
      <c r="JUJ1333" s="4" t="s">
        <v>2877</v>
      </c>
      <c r="JUK1333" s="4" t="s">
        <v>2877</v>
      </c>
      <c r="JUL1333" s="4" t="s">
        <v>2877</v>
      </c>
      <c r="JUM1333" s="4" t="s">
        <v>2877</v>
      </c>
      <c r="JUN1333" s="4" t="s">
        <v>2877</v>
      </c>
      <c r="JUO1333" s="4" t="s">
        <v>2877</v>
      </c>
      <c r="JUP1333" s="4" t="s">
        <v>2877</v>
      </c>
      <c r="JUQ1333" s="4" t="s">
        <v>2877</v>
      </c>
      <c r="JUR1333" s="4" t="s">
        <v>2877</v>
      </c>
      <c r="JUS1333" s="4" t="s">
        <v>2877</v>
      </c>
      <c r="JUT1333" s="4" t="s">
        <v>2877</v>
      </c>
      <c r="JUU1333" s="4" t="s">
        <v>2877</v>
      </c>
      <c r="JUV1333" s="4" t="s">
        <v>2877</v>
      </c>
      <c r="JUW1333" s="4" t="s">
        <v>2877</v>
      </c>
      <c r="JUX1333" s="4" t="s">
        <v>2877</v>
      </c>
      <c r="JUY1333" s="4" t="s">
        <v>2877</v>
      </c>
      <c r="JUZ1333" s="4" t="s">
        <v>2877</v>
      </c>
      <c r="JVA1333" s="4" t="s">
        <v>2877</v>
      </c>
      <c r="JVB1333" s="4" t="s">
        <v>2877</v>
      </c>
      <c r="JVC1333" s="4" t="s">
        <v>2877</v>
      </c>
      <c r="JVD1333" s="4" t="s">
        <v>2877</v>
      </c>
      <c r="JVE1333" s="4" t="s">
        <v>2877</v>
      </c>
      <c r="JVF1333" s="4" t="s">
        <v>2877</v>
      </c>
      <c r="JVG1333" s="4" t="s">
        <v>2877</v>
      </c>
      <c r="JVH1333" s="4" t="s">
        <v>2877</v>
      </c>
      <c r="JVI1333" s="4" t="s">
        <v>2877</v>
      </c>
      <c r="JVJ1333" s="4" t="s">
        <v>2877</v>
      </c>
      <c r="JVK1333" s="4" t="s">
        <v>2877</v>
      </c>
      <c r="JVL1333" s="4" t="s">
        <v>2877</v>
      </c>
      <c r="JVM1333" s="4" t="s">
        <v>2877</v>
      </c>
      <c r="JVN1333" s="4" t="s">
        <v>2877</v>
      </c>
      <c r="JVO1333" s="4" t="s">
        <v>2877</v>
      </c>
      <c r="JVP1333" s="4" t="s">
        <v>2877</v>
      </c>
      <c r="JVQ1333" s="4" t="s">
        <v>2877</v>
      </c>
      <c r="JVR1333" s="4" t="s">
        <v>2877</v>
      </c>
      <c r="JVS1333" s="4" t="s">
        <v>2877</v>
      </c>
      <c r="JVT1333" s="4" t="s">
        <v>2877</v>
      </c>
      <c r="JVU1333" s="4" t="s">
        <v>2877</v>
      </c>
      <c r="JVV1333" s="4" t="s">
        <v>2877</v>
      </c>
      <c r="JVW1333" s="4" t="s">
        <v>2877</v>
      </c>
      <c r="JVX1333" s="4" t="s">
        <v>2877</v>
      </c>
      <c r="JVY1333" s="4" t="s">
        <v>2877</v>
      </c>
      <c r="JVZ1333" s="4" t="s">
        <v>2877</v>
      </c>
      <c r="JWA1333" s="4" t="s">
        <v>2877</v>
      </c>
      <c r="JWB1333" s="4" t="s">
        <v>2877</v>
      </c>
      <c r="JWC1333" s="4" t="s">
        <v>2877</v>
      </c>
      <c r="JWD1333" s="4" t="s">
        <v>2877</v>
      </c>
      <c r="JWE1333" s="4" t="s">
        <v>2877</v>
      </c>
      <c r="JWF1333" s="4" t="s">
        <v>2877</v>
      </c>
      <c r="JWG1333" s="4" t="s">
        <v>2877</v>
      </c>
      <c r="JWH1333" s="4" t="s">
        <v>2877</v>
      </c>
      <c r="JWI1333" s="4" t="s">
        <v>2877</v>
      </c>
      <c r="JWJ1333" s="4" t="s">
        <v>2877</v>
      </c>
      <c r="JWK1333" s="4" t="s">
        <v>2877</v>
      </c>
      <c r="JWL1333" s="4" t="s">
        <v>2877</v>
      </c>
      <c r="JWM1333" s="4" t="s">
        <v>2877</v>
      </c>
      <c r="JWN1333" s="4" t="s">
        <v>2877</v>
      </c>
      <c r="JWO1333" s="4" t="s">
        <v>2877</v>
      </c>
      <c r="JWP1333" s="4" t="s">
        <v>2877</v>
      </c>
      <c r="JWQ1333" s="4" t="s">
        <v>2877</v>
      </c>
      <c r="JWR1333" s="4" t="s">
        <v>2877</v>
      </c>
      <c r="JWS1333" s="4" t="s">
        <v>2877</v>
      </c>
      <c r="JWT1333" s="4" t="s">
        <v>2877</v>
      </c>
      <c r="JWU1333" s="4" t="s">
        <v>2877</v>
      </c>
      <c r="JWV1333" s="4" t="s">
        <v>2877</v>
      </c>
      <c r="JWW1333" s="4" t="s">
        <v>2877</v>
      </c>
      <c r="JWX1333" s="4" t="s">
        <v>2877</v>
      </c>
      <c r="JWY1333" s="4" t="s">
        <v>2877</v>
      </c>
      <c r="JWZ1333" s="4" t="s">
        <v>2877</v>
      </c>
      <c r="JXA1333" s="4" t="s">
        <v>2877</v>
      </c>
      <c r="JXB1333" s="4" t="s">
        <v>2877</v>
      </c>
      <c r="JXC1333" s="4" t="s">
        <v>2877</v>
      </c>
      <c r="JXD1333" s="4" t="s">
        <v>2877</v>
      </c>
      <c r="JXE1333" s="4" t="s">
        <v>2877</v>
      </c>
      <c r="JXF1333" s="4" t="s">
        <v>2877</v>
      </c>
      <c r="JXG1333" s="4" t="s">
        <v>2877</v>
      </c>
      <c r="JXH1333" s="4" t="s">
        <v>2877</v>
      </c>
      <c r="JXI1333" s="4" t="s">
        <v>2877</v>
      </c>
      <c r="JXJ1333" s="4" t="s">
        <v>2877</v>
      </c>
      <c r="JXK1333" s="4" t="s">
        <v>2877</v>
      </c>
      <c r="JXL1333" s="4" t="s">
        <v>2877</v>
      </c>
      <c r="JXM1333" s="4" t="s">
        <v>2877</v>
      </c>
      <c r="JXN1333" s="4" t="s">
        <v>2877</v>
      </c>
      <c r="JXO1333" s="4" t="s">
        <v>2877</v>
      </c>
      <c r="JXP1333" s="4" t="s">
        <v>2877</v>
      </c>
      <c r="JXQ1333" s="4" t="s">
        <v>2877</v>
      </c>
      <c r="JXR1333" s="4" t="s">
        <v>2877</v>
      </c>
      <c r="JXS1333" s="4" t="s">
        <v>2877</v>
      </c>
      <c r="JXT1333" s="4" t="s">
        <v>2877</v>
      </c>
      <c r="JXU1333" s="4" t="s">
        <v>2877</v>
      </c>
      <c r="JXV1333" s="4" t="s">
        <v>2877</v>
      </c>
      <c r="JXW1333" s="4" t="s">
        <v>2877</v>
      </c>
      <c r="JXX1333" s="4" t="s">
        <v>2877</v>
      </c>
      <c r="JXY1333" s="4" t="s">
        <v>2877</v>
      </c>
      <c r="JXZ1333" s="4" t="s">
        <v>2877</v>
      </c>
      <c r="JYA1333" s="4" t="s">
        <v>2877</v>
      </c>
      <c r="JYB1333" s="4" t="s">
        <v>2877</v>
      </c>
      <c r="JYC1333" s="4" t="s">
        <v>2877</v>
      </c>
      <c r="JYD1333" s="4" t="s">
        <v>2877</v>
      </c>
      <c r="JYE1333" s="4" t="s">
        <v>2877</v>
      </c>
      <c r="JYF1333" s="4" t="s">
        <v>2877</v>
      </c>
      <c r="JYG1333" s="4" t="s">
        <v>2877</v>
      </c>
      <c r="JYH1333" s="4" t="s">
        <v>2877</v>
      </c>
      <c r="JYI1333" s="4" t="s">
        <v>2877</v>
      </c>
      <c r="JYJ1333" s="4" t="s">
        <v>2877</v>
      </c>
      <c r="JYK1333" s="4" t="s">
        <v>2877</v>
      </c>
      <c r="JYL1333" s="4" t="s">
        <v>2877</v>
      </c>
      <c r="JYM1333" s="4" t="s">
        <v>2877</v>
      </c>
      <c r="JYN1333" s="4" t="s">
        <v>2877</v>
      </c>
      <c r="JYO1333" s="4" t="s">
        <v>2877</v>
      </c>
      <c r="JYP1333" s="4" t="s">
        <v>2877</v>
      </c>
      <c r="JYQ1333" s="4" t="s">
        <v>2877</v>
      </c>
      <c r="JYR1333" s="4" t="s">
        <v>2877</v>
      </c>
      <c r="JYS1333" s="4" t="s">
        <v>2877</v>
      </c>
      <c r="JYT1333" s="4" t="s">
        <v>2877</v>
      </c>
      <c r="JYU1333" s="4" t="s">
        <v>2877</v>
      </c>
      <c r="JYV1333" s="4" t="s">
        <v>2877</v>
      </c>
      <c r="JYW1333" s="4" t="s">
        <v>2877</v>
      </c>
      <c r="JYX1333" s="4" t="s">
        <v>2877</v>
      </c>
      <c r="JYY1333" s="4" t="s">
        <v>2877</v>
      </c>
      <c r="JYZ1333" s="4" t="s">
        <v>2877</v>
      </c>
      <c r="JZA1333" s="4" t="s">
        <v>2877</v>
      </c>
      <c r="JZB1333" s="4" t="s">
        <v>2877</v>
      </c>
      <c r="JZC1333" s="4" t="s">
        <v>2877</v>
      </c>
      <c r="JZD1333" s="4" t="s">
        <v>2877</v>
      </c>
      <c r="JZE1333" s="4" t="s">
        <v>2877</v>
      </c>
      <c r="JZF1333" s="4" t="s">
        <v>2877</v>
      </c>
      <c r="JZG1333" s="4" t="s">
        <v>2877</v>
      </c>
      <c r="JZH1333" s="4" t="s">
        <v>2877</v>
      </c>
      <c r="JZI1333" s="4" t="s">
        <v>2877</v>
      </c>
      <c r="JZJ1333" s="4" t="s">
        <v>2877</v>
      </c>
      <c r="JZK1333" s="4" t="s">
        <v>2877</v>
      </c>
      <c r="JZL1333" s="4" t="s">
        <v>2877</v>
      </c>
      <c r="JZM1333" s="4" t="s">
        <v>2877</v>
      </c>
      <c r="JZN1333" s="4" t="s">
        <v>2877</v>
      </c>
      <c r="JZO1333" s="4" t="s">
        <v>2877</v>
      </c>
      <c r="JZP1333" s="4" t="s">
        <v>2877</v>
      </c>
      <c r="JZQ1333" s="4" t="s">
        <v>2877</v>
      </c>
      <c r="JZR1333" s="4" t="s">
        <v>2877</v>
      </c>
      <c r="JZS1333" s="4" t="s">
        <v>2877</v>
      </c>
      <c r="JZT1333" s="4" t="s">
        <v>2877</v>
      </c>
      <c r="JZU1333" s="4" t="s">
        <v>2877</v>
      </c>
      <c r="JZV1333" s="4" t="s">
        <v>2877</v>
      </c>
      <c r="JZW1333" s="4" t="s">
        <v>2877</v>
      </c>
      <c r="JZX1333" s="4" t="s">
        <v>2877</v>
      </c>
      <c r="JZY1333" s="4" t="s">
        <v>2877</v>
      </c>
      <c r="JZZ1333" s="4" t="s">
        <v>2877</v>
      </c>
      <c r="KAA1333" s="4" t="s">
        <v>2877</v>
      </c>
      <c r="KAB1333" s="4" t="s">
        <v>2877</v>
      </c>
      <c r="KAC1333" s="4" t="s">
        <v>2877</v>
      </c>
      <c r="KAD1333" s="4" t="s">
        <v>2877</v>
      </c>
      <c r="KAE1333" s="4" t="s">
        <v>2877</v>
      </c>
      <c r="KAF1333" s="4" t="s">
        <v>2877</v>
      </c>
      <c r="KAG1333" s="4" t="s">
        <v>2877</v>
      </c>
      <c r="KAH1333" s="4" t="s">
        <v>2877</v>
      </c>
      <c r="KAI1333" s="4" t="s">
        <v>2877</v>
      </c>
      <c r="KAJ1333" s="4" t="s">
        <v>2877</v>
      </c>
      <c r="KAK1333" s="4" t="s">
        <v>2877</v>
      </c>
      <c r="KAL1333" s="4" t="s">
        <v>2877</v>
      </c>
      <c r="KAM1333" s="4" t="s">
        <v>2877</v>
      </c>
      <c r="KAN1333" s="4" t="s">
        <v>2877</v>
      </c>
      <c r="KAO1333" s="4" t="s">
        <v>2877</v>
      </c>
      <c r="KAP1333" s="4" t="s">
        <v>2877</v>
      </c>
      <c r="KAQ1333" s="4" t="s">
        <v>2877</v>
      </c>
      <c r="KAR1333" s="4" t="s">
        <v>2877</v>
      </c>
      <c r="KAS1333" s="4" t="s">
        <v>2877</v>
      </c>
      <c r="KAT1333" s="4" t="s">
        <v>2877</v>
      </c>
      <c r="KAU1333" s="4" t="s">
        <v>2877</v>
      </c>
      <c r="KAV1333" s="4" t="s">
        <v>2877</v>
      </c>
      <c r="KAW1333" s="4" t="s">
        <v>2877</v>
      </c>
      <c r="KAX1333" s="4" t="s">
        <v>2877</v>
      </c>
      <c r="KAY1333" s="4" t="s">
        <v>2877</v>
      </c>
      <c r="KAZ1333" s="4" t="s">
        <v>2877</v>
      </c>
      <c r="KBA1333" s="4" t="s">
        <v>2877</v>
      </c>
      <c r="KBB1333" s="4" t="s">
        <v>2877</v>
      </c>
      <c r="KBC1333" s="4" t="s">
        <v>2877</v>
      </c>
      <c r="KBD1333" s="4" t="s">
        <v>2877</v>
      </c>
      <c r="KBE1333" s="4" t="s">
        <v>2877</v>
      </c>
      <c r="KBF1333" s="4" t="s">
        <v>2877</v>
      </c>
      <c r="KBG1333" s="4" t="s">
        <v>2877</v>
      </c>
      <c r="KBH1333" s="4" t="s">
        <v>2877</v>
      </c>
      <c r="KBI1333" s="4" t="s">
        <v>2877</v>
      </c>
      <c r="KBJ1333" s="4" t="s">
        <v>2877</v>
      </c>
      <c r="KBK1333" s="4" t="s">
        <v>2877</v>
      </c>
      <c r="KBL1333" s="4" t="s">
        <v>2877</v>
      </c>
      <c r="KBM1333" s="4" t="s">
        <v>2877</v>
      </c>
      <c r="KBN1333" s="4" t="s">
        <v>2877</v>
      </c>
      <c r="KBO1333" s="4" t="s">
        <v>2877</v>
      </c>
      <c r="KBP1333" s="4" t="s">
        <v>2877</v>
      </c>
      <c r="KBQ1333" s="4" t="s">
        <v>2877</v>
      </c>
      <c r="KBR1333" s="4" t="s">
        <v>2877</v>
      </c>
      <c r="KBS1333" s="4" t="s">
        <v>2877</v>
      </c>
      <c r="KBT1333" s="4" t="s">
        <v>2877</v>
      </c>
      <c r="KBU1333" s="4" t="s">
        <v>2877</v>
      </c>
      <c r="KBV1333" s="4" t="s">
        <v>2877</v>
      </c>
      <c r="KBW1333" s="4" t="s">
        <v>2877</v>
      </c>
      <c r="KBX1333" s="4" t="s">
        <v>2877</v>
      </c>
      <c r="KBY1333" s="4" t="s">
        <v>2877</v>
      </c>
      <c r="KBZ1333" s="4" t="s">
        <v>2877</v>
      </c>
      <c r="KCA1333" s="4" t="s">
        <v>2877</v>
      </c>
      <c r="KCB1333" s="4" t="s">
        <v>2877</v>
      </c>
      <c r="KCC1333" s="4" t="s">
        <v>2877</v>
      </c>
      <c r="KCD1333" s="4" t="s">
        <v>2877</v>
      </c>
      <c r="KCE1333" s="4" t="s">
        <v>2877</v>
      </c>
      <c r="KCF1333" s="4" t="s">
        <v>2877</v>
      </c>
      <c r="KCG1333" s="4" t="s">
        <v>2877</v>
      </c>
      <c r="KCH1333" s="4" t="s">
        <v>2877</v>
      </c>
      <c r="KCI1333" s="4" t="s">
        <v>2877</v>
      </c>
      <c r="KCJ1333" s="4" t="s">
        <v>2877</v>
      </c>
      <c r="KCK1333" s="4" t="s">
        <v>2877</v>
      </c>
      <c r="KCL1333" s="4" t="s">
        <v>2877</v>
      </c>
      <c r="KCM1333" s="4" t="s">
        <v>2877</v>
      </c>
      <c r="KCN1333" s="4" t="s">
        <v>2877</v>
      </c>
      <c r="KCO1333" s="4" t="s">
        <v>2877</v>
      </c>
      <c r="KCP1333" s="4" t="s">
        <v>2877</v>
      </c>
      <c r="KCQ1333" s="4" t="s">
        <v>2877</v>
      </c>
      <c r="KCR1333" s="4" t="s">
        <v>2877</v>
      </c>
      <c r="KCS1333" s="4" t="s">
        <v>2877</v>
      </c>
      <c r="KCT1333" s="4" t="s">
        <v>2877</v>
      </c>
      <c r="KCU1333" s="4" t="s">
        <v>2877</v>
      </c>
      <c r="KCV1333" s="4" t="s">
        <v>2877</v>
      </c>
      <c r="KCW1333" s="4" t="s">
        <v>2877</v>
      </c>
      <c r="KCX1333" s="4" t="s">
        <v>2877</v>
      </c>
      <c r="KCY1333" s="4" t="s">
        <v>2877</v>
      </c>
      <c r="KCZ1333" s="4" t="s">
        <v>2877</v>
      </c>
      <c r="KDA1333" s="4" t="s">
        <v>2877</v>
      </c>
      <c r="KDB1333" s="4" t="s">
        <v>2877</v>
      </c>
      <c r="KDC1333" s="4" t="s">
        <v>2877</v>
      </c>
      <c r="KDD1333" s="4" t="s">
        <v>2877</v>
      </c>
      <c r="KDE1333" s="4" t="s">
        <v>2877</v>
      </c>
      <c r="KDF1333" s="4" t="s">
        <v>2877</v>
      </c>
      <c r="KDG1333" s="4" t="s">
        <v>2877</v>
      </c>
      <c r="KDH1333" s="4" t="s">
        <v>2877</v>
      </c>
      <c r="KDI1333" s="4" t="s">
        <v>2877</v>
      </c>
      <c r="KDJ1333" s="4" t="s">
        <v>2877</v>
      </c>
      <c r="KDK1333" s="4" t="s">
        <v>2877</v>
      </c>
      <c r="KDL1333" s="4" t="s">
        <v>2877</v>
      </c>
      <c r="KDM1333" s="4" t="s">
        <v>2877</v>
      </c>
      <c r="KDN1333" s="4" t="s">
        <v>2877</v>
      </c>
      <c r="KDO1333" s="4" t="s">
        <v>2877</v>
      </c>
      <c r="KDP1333" s="4" t="s">
        <v>2877</v>
      </c>
      <c r="KDQ1333" s="4" t="s">
        <v>2877</v>
      </c>
      <c r="KDR1333" s="4" t="s">
        <v>2877</v>
      </c>
      <c r="KDS1333" s="4" t="s">
        <v>2877</v>
      </c>
      <c r="KDT1333" s="4" t="s">
        <v>2877</v>
      </c>
      <c r="KDU1333" s="4" t="s">
        <v>2877</v>
      </c>
      <c r="KDV1333" s="4" t="s">
        <v>2877</v>
      </c>
      <c r="KDW1333" s="4" t="s">
        <v>2877</v>
      </c>
      <c r="KDX1333" s="4" t="s">
        <v>2877</v>
      </c>
      <c r="KDY1333" s="4" t="s">
        <v>2877</v>
      </c>
      <c r="KDZ1333" s="4" t="s">
        <v>2877</v>
      </c>
      <c r="KEA1333" s="4" t="s">
        <v>2877</v>
      </c>
      <c r="KEB1333" s="4" t="s">
        <v>2877</v>
      </c>
      <c r="KEC1333" s="4" t="s">
        <v>2877</v>
      </c>
      <c r="KED1333" s="4" t="s">
        <v>2877</v>
      </c>
      <c r="KEE1333" s="4" t="s">
        <v>2877</v>
      </c>
      <c r="KEF1333" s="4" t="s">
        <v>2877</v>
      </c>
      <c r="KEG1333" s="4" t="s">
        <v>2877</v>
      </c>
      <c r="KEH1333" s="4" t="s">
        <v>2877</v>
      </c>
      <c r="KEI1333" s="4" t="s">
        <v>2877</v>
      </c>
      <c r="KEJ1333" s="4" t="s">
        <v>2877</v>
      </c>
      <c r="KEK1333" s="4" t="s">
        <v>2877</v>
      </c>
      <c r="KEL1333" s="4" t="s">
        <v>2877</v>
      </c>
      <c r="KEM1333" s="4" t="s">
        <v>2877</v>
      </c>
      <c r="KEN1333" s="4" t="s">
        <v>2877</v>
      </c>
      <c r="KEO1333" s="4" t="s">
        <v>2877</v>
      </c>
      <c r="KEP1333" s="4" t="s">
        <v>2877</v>
      </c>
      <c r="KEQ1333" s="4" t="s">
        <v>2877</v>
      </c>
      <c r="KER1333" s="4" t="s">
        <v>2877</v>
      </c>
      <c r="KES1333" s="4" t="s">
        <v>2877</v>
      </c>
      <c r="KET1333" s="4" t="s">
        <v>2877</v>
      </c>
      <c r="KEU1333" s="4" t="s">
        <v>2877</v>
      </c>
      <c r="KEV1333" s="4" t="s">
        <v>2877</v>
      </c>
      <c r="KEW1333" s="4" t="s">
        <v>2877</v>
      </c>
      <c r="KEX1333" s="4" t="s">
        <v>2877</v>
      </c>
      <c r="KEY1333" s="4" t="s">
        <v>2877</v>
      </c>
      <c r="KEZ1333" s="4" t="s">
        <v>2877</v>
      </c>
      <c r="KFA1333" s="4" t="s">
        <v>2877</v>
      </c>
      <c r="KFB1333" s="4" t="s">
        <v>2877</v>
      </c>
      <c r="KFC1333" s="4" t="s">
        <v>2877</v>
      </c>
      <c r="KFD1333" s="4" t="s">
        <v>2877</v>
      </c>
      <c r="KFE1333" s="4" t="s">
        <v>2877</v>
      </c>
      <c r="KFF1333" s="4" t="s">
        <v>2877</v>
      </c>
      <c r="KFG1333" s="4" t="s">
        <v>2877</v>
      </c>
      <c r="KFH1333" s="4" t="s">
        <v>2877</v>
      </c>
      <c r="KFI1333" s="4" t="s">
        <v>2877</v>
      </c>
      <c r="KFJ1333" s="4" t="s">
        <v>2877</v>
      </c>
      <c r="KFK1333" s="4" t="s">
        <v>2877</v>
      </c>
      <c r="KFL1333" s="4" t="s">
        <v>2877</v>
      </c>
      <c r="KFM1333" s="4" t="s">
        <v>2877</v>
      </c>
      <c r="KFN1333" s="4" t="s">
        <v>2877</v>
      </c>
      <c r="KFO1333" s="4" t="s">
        <v>2877</v>
      </c>
      <c r="KFP1333" s="4" t="s">
        <v>2877</v>
      </c>
      <c r="KFQ1333" s="4" t="s">
        <v>2877</v>
      </c>
      <c r="KFR1333" s="4" t="s">
        <v>2877</v>
      </c>
      <c r="KFS1333" s="4" t="s">
        <v>2877</v>
      </c>
      <c r="KFT1333" s="4" t="s">
        <v>2877</v>
      </c>
      <c r="KFU1333" s="4" t="s">
        <v>2877</v>
      </c>
      <c r="KFV1333" s="4" t="s">
        <v>2877</v>
      </c>
      <c r="KFW1333" s="4" t="s">
        <v>2877</v>
      </c>
      <c r="KFX1333" s="4" t="s">
        <v>2877</v>
      </c>
      <c r="KFY1333" s="4" t="s">
        <v>2877</v>
      </c>
      <c r="KFZ1333" s="4" t="s">
        <v>2877</v>
      </c>
      <c r="KGA1333" s="4" t="s">
        <v>2877</v>
      </c>
      <c r="KGB1333" s="4" t="s">
        <v>2877</v>
      </c>
      <c r="KGC1333" s="4" t="s">
        <v>2877</v>
      </c>
      <c r="KGD1333" s="4" t="s">
        <v>2877</v>
      </c>
      <c r="KGE1333" s="4" t="s">
        <v>2877</v>
      </c>
      <c r="KGF1333" s="4" t="s">
        <v>2877</v>
      </c>
      <c r="KGG1333" s="4" t="s">
        <v>2877</v>
      </c>
      <c r="KGH1333" s="4" t="s">
        <v>2877</v>
      </c>
      <c r="KGI1333" s="4" t="s">
        <v>2877</v>
      </c>
      <c r="KGJ1333" s="4" t="s">
        <v>2877</v>
      </c>
      <c r="KGK1333" s="4" t="s">
        <v>2877</v>
      </c>
      <c r="KGL1333" s="4" t="s">
        <v>2877</v>
      </c>
      <c r="KGM1333" s="4" t="s">
        <v>2877</v>
      </c>
      <c r="KGN1333" s="4" t="s">
        <v>2877</v>
      </c>
      <c r="KGO1333" s="4" t="s">
        <v>2877</v>
      </c>
      <c r="KGP1333" s="4" t="s">
        <v>2877</v>
      </c>
      <c r="KGQ1333" s="4" t="s">
        <v>2877</v>
      </c>
      <c r="KGR1333" s="4" t="s">
        <v>2877</v>
      </c>
      <c r="KGS1333" s="4" t="s">
        <v>2877</v>
      </c>
      <c r="KGT1333" s="4" t="s">
        <v>2877</v>
      </c>
      <c r="KGU1333" s="4" t="s">
        <v>2877</v>
      </c>
      <c r="KGV1333" s="4" t="s">
        <v>2877</v>
      </c>
      <c r="KGW1333" s="4" t="s">
        <v>2877</v>
      </c>
      <c r="KGX1333" s="4" t="s">
        <v>2877</v>
      </c>
      <c r="KGY1333" s="4" t="s">
        <v>2877</v>
      </c>
      <c r="KGZ1333" s="4" t="s">
        <v>2877</v>
      </c>
      <c r="KHA1333" s="4" t="s">
        <v>2877</v>
      </c>
      <c r="KHB1333" s="4" t="s">
        <v>2877</v>
      </c>
      <c r="KHC1333" s="4" t="s">
        <v>2877</v>
      </c>
      <c r="KHD1333" s="4" t="s">
        <v>2877</v>
      </c>
      <c r="KHE1333" s="4" t="s">
        <v>2877</v>
      </c>
      <c r="KHF1333" s="4" t="s">
        <v>2877</v>
      </c>
      <c r="KHG1333" s="4" t="s">
        <v>2877</v>
      </c>
      <c r="KHH1333" s="4" t="s">
        <v>2877</v>
      </c>
      <c r="KHI1333" s="4" t="s">
        <v>2877</v>
      </c>
      <c r="KHJ1333" s="4" t="s">
        <v>2877</v>
      </c>
      <c r="KHK1333" s="4" t="s">
        <v>2877</v>
      </c>
      <c r="KHL1333" s="4" t="s">
        <v>2877</v>
      </c>
      <c r="KHM1333" s="4" t="s">
        <v>2877</v>
      </c>
      <c r="KHN1333" s="4" t="s">
        <v>2877</v>
      </c>
      <c r="KHO1333" s="4" t="s">
        <v>2877</v>
      </c>
      <c r="KHP1333" s="4" t="s">
        <v>2877</v>
      </c>
      <c r="KHQ1333" s="4" t="s">
        <v>2877</v>
      </c>
      <c r="KHR1333" s="4" t="s">
        <v>2877</v>
      </c>
      <c r="KHS1333" s="4" t="s">
        <v>2877</v>
      </c>
      <c r="KHT1333" s="4" t="s">
        <v>2877</v>
      </c>
      <c r="KHU1333" s="4" t="s">
        <v>2877</v>
      </c>
      <c r="KHV1333" s="4" t="s">
        <v>2877</v>
      </c>
      <c r="KHW1333" s="4" t="s">
        <v>2877</v>
      </c>
      <c r="KHX1333" s="4" t="s">
        <v>2877</v>
      </c>
      <c r="KHY1333" s="4" t="s">
        <v>2877</v>
      </c>
      <c r="KHZ1333" s="4" t="s">
        <v>2877</v>
      </c>
      <c r="KIA1333" s="4" t="s">
        <v>2877</v>
      </c>
      <c r="KIB1333" s="4" t="s">
        <v>2877</v>
      </c>
      <c r="KIC1333" s="4" t="s">
        <v>2877</v>
      </c>
      <c r="KID1333" s="4" t="s">
        <v>2877</v>
      </c>
      <c r="KIE1333" s="4" t="s">
        <v>2877</v>
      </c>
      <c r="KIF1333" s="4" t="s">
        <v>2877</v>
      </c>
      <c r="KIG1333" s="4" t="s">
        <v>2877</v>
      </c>
      <c r="KIH1333" s="4" t="s">
        <v>2877</v>
      </c>
      <c r="KII1333" s="4" t="s">
        <v>2877</v>
      </c>
      <c r="KIJ1333" s="4" t="s">
        <v>2877</v>
      </c>
      <c r="KIK1333" s="4" t="s">
        <v>2877</v>
      </c>
      <c r="KIL1333" s="4" t="s">
        <v>2877</v>
      </c>
      <c r="KIM1333" s="4" t="s">
        <v>2877</v>
      </c>
      <c r="KIN1333" s="4" t="s">
        <v>2877</v>
      </c>
      <c r="KIO1333" s="4" t="s">
        <v>2877</v>
      </c>
      <c r="KIP1333" s="4" t="s">
        <v>2877</v>
      </c>
      <c r="KIQ1333" s="4" t="s">
        <v>2877</v>
      </c>
      <c r="KIR1333" s="4" t="s">
        <v>2877</v>
      </c>
      <c r="KIS1333" s="4" t="s">
        <v>2877</v>
      </c>
      <c r="KIT1333" s="4" t="s">
        <v>2877</v>
      </c>
      <c r="KIU1333" s="4" t="s">
        <v>2877</v>
      </c>
      <c r="KIV1333" s="4" t="s">
        <v>2877</v>
      </c>
      <c r="KIW1333" s="4" t="s">
        <v>2877</v>
      </c>
      <c r="KIX1333" s="4" t="s">
        <v>2877</v>
      </c>
      <c r="KIY1333" s="4" t="s">
        <v>2877</v>
      </c>
      <c r="KIZ1333" s="4" t="s">
        <v>2877</v>
      </c>
      <c r="KJA1333" s="4" t="s">
        <v>2877</v>
      </c>
      <c r="KJB1333" s="4" t="s">
        <v>2877</v>
      </c>
      <c r="KJC1333" s="4" t="s">
        <v>2877</v>
      </c>
      <c r="KJD1333" s="4" t="s">
        <v>2877</v>
      </c>
      <c r="KJE1333" s="4" t="s">
        <v>2877</v>
      </c>
      <c r="KJF1333" s="4" t="s">
        <v>2877</v>
      </c>
      <c r="KJG1333" s="4" t="s">
        <v>2877</v>
      </c>
      <c r="KJH1333" s="4" t="s">
        <v>2877</v>
      </c>
      <c r="KJI1333" s="4" t="s">
        <v>2877</v>
      </c>
      <c r="KJJ1333" s="4" t="s">
        <v>2877</v>
      </c>
      <c r="KJK1333" s="4" t="s">
        <v>2877</v>
      </c>
      <c r="KJL1333" s="4" t="s">
        <v>2877</v>
      </c>
      <c r="KJM1333" s="4" t="s">
        <v>2877</v>
      </c>
      <c r="KJN1333" s="4" t="s">
        <v>2877</v>
      </c>
      <c r="KJO1333" s="4" t="s">
        <v>2877</v>
      </c>
      <c r="KJP1333" s="4" t="s">
        <v>2877</v>
      </c>
      <c r="KJQ1333" s="4" t="s">
        <v>2877</v>
      </c>
      <c r="KJR1333" s="4" t="s">
        <v>2877</v>
      </c>
      <c r="KJS1333" s="4" t="s">
        <v>2877</v>
      </c>
      <c r="KJT1333" s="4" t="s">
        <v>2877</v>
      </c>
      <c r="KJU1333" s="4" t="s">
        <v>2877</v>
      </c>
      <c r="KJV1333" s="4" t="s">
        <v>2877</v>
      </c>
      <c r="KJW1333" s="4" t="s">
        <v>2877</v>
      </c>
      <c r="KJX1333" s="4" t="s">
        <v>2877</v>
      </c>
      <c r="KJY1333" s="4" t="s">
        <v>2877</v>
      </c>
      <c r="KJZ1333" s="4" t="s">
        <v>2877</v>
      </c>
      <c r="KKA1333" s="4" t="s">
        <v>2877</v>
      </c>
      <c r="KKB1333" s="4" t="s">
        <v>2877</v>
      </c>
      <c r="KKC1333" s="4" t="s">
        <v>2877</v>
      </c>
      <c r="KKD1333" s="4" t="s">
        <v>2877</v>
      </c>
      <c r="KKE1333" s="4" t="s">
        <v>2877</v>
      </c>
      <c r="KKF1333" s="4" t="s">
        <v>2877</v>
      </c>
      <c r="KKG1333" s="4" t="s">
        <v>2877</v>
      </c>
      <c r="KKH1333" s="4" t="s">
        <v>2877</v>
      </c>
      <c r="KKI1333" s="4" t="s">
        <v>2877</v>
      </c>
      <c r="KKJ1333" s="4" t="s">
        <v>2877</v>
      </c>
      <c r="KKK1333" s="4" t="s">
        <v>2877</v>
      </c>
      <c r="KKL1333" s="4" t="s">
        <v>2877</v>
      </c>
      <c r="KKM1333" s="4" t="s">
        <v>2877</v>
      </c>
      <c r="KKN1333" s="4" t="s">
        <v>2877</v>
      </c>
      <c r="KKO1333" s="4" t="s">
        <v>2877</v>
      </c>
      <c r="KKP1333" s="4" t="s">
        <v>2877</v>
      </c>
      <c r="KKQ1333" s="4" t="s">
        <v>2877</v>
      </c>
      <c r="KKR1333" s="4" t="s">
        <v>2877</v>
      </c>
      <c r="KKS1333" s="4" t="s">
        <v>2877</v>
      </c>
      <c r="KKT1333" s="4" t="s">
        <v>2877</v>
      </c>
      <c r="KKU1333" s="4" t="s">
        <v>2877</v>
      </c>
      <c r="KKV1333" s="4" t="s">
        <v>2877</v>
      </c>
      <c r="KKW1333" s="4" t="s">
        <v>2877</v>
      </c>
      <c r="KKX1333" s="4" t="s">
        <v>2877</v>
      </c>
      <c r="KKY1333" s="4" t="s">
        <v>2877</v>
      </c>
      <c r="KKZ1333" s="4" t="s">
        <v>2877</v>
      </c>
      <c r="KLA1333" s="4" t="s">
        <v>2877</v>
      </c>
      <c r="KLB1333" s="4" t="s">
        <v>2877</v>
      </c>
      <c r="KLC1333" s="4" t="s">
        <v>2877</v>
      </c>
      <c r="KLD1333" s="4" t="s">
        <v>2877</v>
      </c>
      <c r="KLE1333" s="4" t="s">
        <v>2877</v>
      </c>
      <c r="KLF1333" s="4" t="s">
        <v>2877</v>
      </c>
      <c r="KLG1333" s="4" t="s">
        <v>2877</v>
      </c>
      <c r="KLH1333" s="4" t="s">
        <v>2877</v>
      </c>
      <c r="KLI1333" s="4" t="s">
        <v>2877</v>
      </c>
      <c r="KLJ1333" s="4" t="s">
        <v>2877</v>
      </c>
      <c r="KLK1333" s="4" t="s">
        <v>2877</v>
      </c>
      <c r="KLL1333" s="4" t="s">
        <v>2877</v>
      </c>
      <c r="KLM1333" s="4" t="s">
        <v>2877</v>
      </c>
      <c r="KLN1333" s="4" t="s">
        <v>2877</v>
      </c>
      <c r="KLO1333" s="4" t="s">
        <v>2877</v>
      </c>
      <c r="KLP1333" s="4" t="s">
        <v>2877</v>
      </c>
      <c r="KLQ1333" s="4" t="s">
        <v>2877</v>
      </c>
      <c r="KLR1333" s="4" t="s">
        <v>2877</v>
      </c>
      <c r="KLS1333" s="4" t="s">
        <v>2877</v>
      </c>
      <c r="KLT1333" s="4" t="s">
        <v>2877</v>
      </c>
      <c r="KLU1333" s="4" t="s">
        <v>2877</v>
      </c>
      <c r="KLV1333" s="4" t="s">
        <v>2877</v>
      </c>
      <c r="KLW1333" s="4" t="s">
        <v>2877</v>
      </c>
      <c r="KLX1333" s="4" t="s">
        <v>2877</v>
      </c>
      <c r="KLY1333" s="4" t="s">
        <v>2877</v>
      </c>
      <c r="KLZ1333" s="4" t="s">
        <v>2877</v>
      </c>
      <c r="KMA1333" s="4" t="s">
        <v>2877</v>
      </c>
      <c r="KMB1333" s="4" t="s">
        <v>2877</v>
      </c>
      <c r="KMC1333" s="4" t="s">
        <v>2877</v>
      </c>
      <c r="KMD1333" s="4" t="s">
        <v>2877</v>
      </c>
      <c r="KME1333" s="4" t="s">
        <v>2877</v>
      </c>
      <c r="KMF1333" s="4" t="s">
        <v>2877</v>
      </c>
      <c r="KMG1333" s="4" t="s">
        <v>2877</v>
      </c>
      <c r="KMH1333" s="4" t="s">
        <v>2877</v>
      </c>
      <c r="KMI1333" s="4" t="s">
        <v>2877</v>
      </c>
      <c r="KMJ1333" s="4" t="s">
        <v>2877</v>
      </c>
      <c r="KMK1333" s="4" t="s">
        <v>2877</v>
      </c>
      <c r="KML1333" s="4" t="s">
        <v>2877</v>
      </c>
      <c r="KMM1333" s="4" t="s">
        <v>2877</v>
      </c>
      <c r="KMN1333" s="4" t="s">
        <v>2877</v>
      </c>
      <c r="KMO1333" s="4" t="s">
        <v>2877</v>
      </c>
      <c r="KMP1333" s="4" t="s">
        <v>2877</v>
      </c>
      <c r="KMQ1333" s="4" t="s">
        <v>2877</v>
      </c>
      <c r="KMR1333" s="4" t="s">
        <v>2877</v>
      </c>
      <c r="KMS1333" s="4" t="s">
        <v>2877</v>
      </c>
      <c r="KMT1333" s="4" t="s">
        <v>2877</v>
      </c>
      <c r="KMU1333" s="4" t="s">
        <v>2877</v>
      </c>
      <c r="KMV1333" s="4" t="s">
        <v>2877</v>
      </c>
      <c r="KMW1333" s="4" t="s">
        <v>2877</v>
      </c>
      <c r="KMX1333" s="4" t="s">
        <v>2877</v>
      </c>
      <c r="KMY1333" s="4" t="s">
        <v>2877</v>
      </c>
      <c r="KMZ1333" s="4" t="s">
        <v>2877</v>
      </c>
      <c r="KNA1333" s="4" t="s">
        <v>2877</v>
      </c>
      <c r="KNB1333" s="4" t="s">
        <v>2877</v>
      </c>
      <c r="KNC1333" s="4" t="s">
        <v>2877</v>
      </c>
      <c r="KND1333" s="4" t="s">
        <v>2877</v>
      </c>
      <c r="KNE1333" s="4" t="s">
        <v>2877</v>
      </c>
      <c r="KNF1333" s="4" t="s">
        <v>2877</v>
      </c>
      <c r="KNG1333" s="4" t="s">
        <v>2877</v>
      </c>
      <c r="KNH1333" s="4" t="s">
        <v>2877</v>
      </c>
      <c r="KNI1333" s="4" t="s">
        <v>2877</v>
      </c>
      <c r="KNJ1333" s="4" t="s">
        <v>2877</v>
      </c>
      <c r="KNK1333" s="4" t="s">
        <v>2877</v>
      </c>
      <c r="KNL1333" s="4" t="s">
        <v>2877</v>
      </c>
      <c r="KNM1333" s="4" t="s">
        <v>2877</v>
      </c>
      <c r="KNN1333" s="4" t="s">
        <v>2877</v>
      </c>
      <c r="KNO1333" s="4" t="s">
        <v>2877</v>
      </c>
      <c r="KNP1333" s="4" t="s">
        <v>2877</v>
      </c>
      <c r="KNQ1333" s="4" t="s">
        <v>2877</v>
      </c>
      <c r="KNR1333" s="4" t="s">
        <v>2877</v>
      </c>
      <c r="KNS1333" s="4" t="s">
        <v>2877</v>
      </c>
      <c r="KNT1333" s="4" t="s">
        <v>2877</v>
      </c>
      <c r="KNU1333" s="4" t="s">
        <v>2877</v>
      </c>
      <c r="KNV1333" s="4" t="s">
        <v>2877</v>
      </c>
      <c r="KNW1333" s="4" t="s">
        <v>2877</v>
      </c>
      <c r="KNX1333" s="4" t="s">
        <v>2877</v>
      </c>
      <c r="KNY1333" s="4" t="s">
        <v>2877</v>
      </c>
      <c r="KNZ1333" s="4" t="s">
        <v>2877</v>
      </c>
      <c r="KOA1333" s="4" t="s">
        <v>2877</v>
      </c>
      <c r="KOB1333" s="4" t="s">
        <v>2877</v>
      </c>
      <c r="KOC1333" s="4" t="s">
        <v>2877</v>
      </c>
      <c r="KOD1333" s="4" t="s">
        <v>2877</v>
      </c>
      <c r="KOE1333" s="4" t="s">
        <v>2877</v>
      </c>
      <c r="KOF1333" s="4" t="s">
        <v>2877</v>
      </c>
      <c r="KOG1333" s="4" t="s">
        <v>2877</v>
      </c>
      <c r="KOH1333" s="4" t="s">
        <v>2877</v>
      </c>
      <c r="KOI1333" s="4" t="s">
        <v>2877</v>
      </c>
      <c r="KOJ1333" s="4" t="s">
        <v>2877</v>
      </c>
      <c r="KOK1333" s="4" t="s">
        <v>2877</v>
      </c>
      <c r="KOL1333" s="4" t="s">
        <v>2877</v>
      </c>
      <c r="KOM1333" s="4" t="s">
        <v>2877</v>
      </c>
      <c r="KON1333" s="4" t="s">
        <v>2877</v>
      </c>
      <c r="KOO1333" s="4" t="s">
        <v>2877</v>
      </c>
      <c r="KOP1333" s="4" t="s">
        <v>2877</v>
      </c>
      <c r="KOQ1333" s="4" t="s">
        <v>2877</v>
      </c>
      <c r="KOR1333" s="4" t="s">
        <v>2877</v>
      </c>
      <c r="KOS1333" s="4" t="s">
        <v>2877</v>
      </c>
      <c r="KOT1333" s="4" t="s">
        <v>2877</v>
      </c>
      <c r="KOU1333" s="4" t="s">
        <v>2877</v>
      </c>
      <c r="KOV1333" s="4" t="s">
        <v>2877</v>
      </c>
      <c r="KOW1333" s="4" t="s">
        <v>2877</v>
      </c>
      <c r="KOX1333" s="4" t="s">
        <v>2877</v>
      </c>
      <c r="KOY1333" s="4" t="s">
        <v>2877</v>
      </c>
      <c r="KOZ1333" s="4" t="s">
        <v>2877</v>
      </c>
      <c r="KPA1333" s="4" t="s">
        <v>2877</v>
      </c>
      <c r="KPB1333" s="4" t="s">
        <v>2877</v>
      </c>
      <c r="KPC1333" s="4" t="s">
        <v>2877</v>
      </c>
      <c r="KPD1333" s="4" t="s">
        <v>2877</v>
      </c>
      <c r="KPE1333" s="4" t="s">
        <v>2877</v>
      </c>
      <c r="KPF1333" s="4" t="s">
        <v>2877</v>
      </c>
      <c r="KPG1333" s="4" t="s">
        <v>2877</v>
      </c>
      <c r="KPH1333" s="4" t="s">
        <v>2877</v>
      </c>
      <c r="KPI1333" s="4" t="s">
        <v>2877</v>
      </c>
      <c r="KPJ1333" s="4" t="s">
        <v>2877</v>
      </c>
      <c r="KPK1333" s="4" t="s">
        <v>2877</v>
      </c>
      <c r="KPL1333" s="4" t="s">
        <v>2877</v>
      </c>
      <c r="KPM1333" s="4" t="s">
        <v>2877</v>
      </c>
      <c r="KPN1333" s="4" t="s">
        <v>2877</v>
      </c>
      <c r="KPO1333" s="4" t="s">
        <v>2877</v>
      </c>
      <c r="KPP1333" s="4" t="s">
        <v>2877</v>
      </c>
      <c r="KPQ1333" s="4" t="s">
        <v>2877</v>
      </c>
      <c r="KPR1333" s="4" t="s">
        <v>2877</v>
      </c>
      <c r="KPS1333" s="4" t="s">
        <v>2877</v>
      </c>
      <c r="KPT1333" s="4" t="s">
        <v>2877</v>
      </c>
      <c r="KPU1333" s="4" t="s">
        <v>2877</v>
      </c>
      <c r="KPV1333" s="4" t="s">
        <v>2877</v>
      </c>
      <c r="KPW1333" s="4" t="s">
        <v>2877</v>
      </c>
      <c r="KPX1333" s="4" t="s">
        <v>2877</v>
      </c>
      <c r="KPY1333" s="4" t="s">
        <v>2877</v>
      </c>
      <c r="KPZ1333" s="4" t="s">
        <v>2877</v>
      </c>
      <c r="KQA1333" s="4" t="s">
        <v>2877</v>
      </c>
      <c r="KQB1333" s="4" t="s">
        <v>2877</v>
      </c>
      <c r="KQC1333" s="4" t="s">
        <v>2877</v>
      </c>
      <c r="KQD1333" s="4" t="s">
        <v>2877</v>
      </c>
      <c r="KQE1333" s="4" t="s">
        <v>2877</v>
      </c>
      <c r="KQF1333" s="4" t="s">
        <v>2877</v>
      </c>
      <c r="KQG1333" s="4" t="s">
        <v>2877</v>
      </c>
      <c r="KQH1333" s="4" t="s">
        <v>2877</v>
      </c>
      <c r="KQI1333" s="4" t="s">
        <v>2877</v>
      </c>
      <c r="KQJ1333" s="4" t="s">
        <v>2877</v>
      </c>
      <c r="KQK1333" s="4" t="s">
        <v>2877</v>
      </c>
      <c r="KQL1333" s="4" t="s">
        <v>2877</v>
      </c>
      <c r="KQM1333" s="4" t="s">
        <v>2877</v>
      </c>
      <c r="KQN1333" s="4" t="s">
        <v>2877</v>
      </c>
      <c r="KQO1333" s="4" t="s">
        <v>2877</v>
      </c>
      <c r="KQP1333" s="4" t="s">
        <v>2877</v>
      </c>
      <c r="KQQ1333" s="4" t="s">
        <v>2877</v>
      </c>
      <c r="KQR1333" s="4" t="s">
        <v>2877</v>
      </c>
      <c r="KQS1333" s="4" t="s">
        <v>2877</v>
      </c>
      <c r="KQT1333" s="4" t="s">
        <v>2877</v>
      </c>
      <c r="KQU1333" s="4" t="s">
        <v>2877</v>
      </c>
      <c r="KQV1333" s="4" t="s">
        <v>2877</v>
      </c>
      <c r="KQW1333" s="4" t="s">
        <v>2877</v>
      </c>
      <c r="KQX1333" s="4" t="s">
        <v>2877</v>
      </c>
      <c r="KQY1333" s="4" t="s">
        <v>2877</v>
      </c>
      <c r="KQZ1333" s="4" t="s">
        <v>2877</v>
      </c>
      <c r="KRA1333" s="4" t="s">
        <v>2877</v>
      </c>
      <c r="KRB1333" s="4" t="s">
        <v>2877</v>
      </c>
      <c r="KRC1333" s="4" t="s">
        <v>2877</v>
      </c>
      <c r="KRD1333" s="4" t="s">
        <v>2877</v>
      </c>
      <c r="KRE1333" s="4" t="s">
        <v>2877</v>
      </c>
      <c r="KRF1333" s="4" t="s">
        <v>2877</v>
      </c>
      <c r="KRG1333" s="4" t="s">
        <v>2877</v>
      </c>
      <c r="KRH1333" s="4" t="s">
        <v>2877</v>
      </c>
      <c r="KRI1333" s="4" t="s">
        <v>2877</v>
      </c>
      <c r="KRJ1333" s="4" t="s">
        <v>2877</v>
      </c>
      <c r="KRK1333" s="4" t="s">
        <v>2877</v>
      </c>
      <c r="KRL1333" s="4" t="s">
        <v>2877</v>
      </c>
      <c r="KRM1333" s="4" t="s">
        <v>2877</v>
      </c>
      <c r="KRN1333" s="4" t="s">
        <v>2877</v>
      </c>
      <c r="KRO1333" s="4" t="s">
        <v>2877</v>
      </c>
      <c r="KRP1333" s="4" t="s">
        <v>2877</v>
      </c>
      <c r="KRQ1333" s="4" t="s">
        <v>2877</v>
      </c>
      <c r="KRR1333" s="4" t="s">
        <v>2877</v>
      </c>
      <c r="KRS1333" s="4" t="s">
        <v>2877</v>
      </c>
      <c r="KRT1333" s="4" t="s">
        <v>2877</v>
      </c>
      <c r="KRU1333" s="4" t="s">
        <v>2877</v>
      </c>
      <c r="KRV1333" s="4" t="s">
        <v>2877</v>
      </c>
      <c r="KRW1333" s="4" t="s">
        <v>2877</v>
      </c>
      <c r="KRX1333" s="4" t="s">
        <v>2877</v>
      </c>
      <c r="KRY1333" s="4" t="s">
        <v>2877</v>
      </c>
      <c r="KRZ1333" s="4" t="s">
        <v>2877</v>
      </c>
      <c r="KSA1333" s="4" t="s">
        <v>2877</v>
      </c>
      <c r="KSB1333" s="4" t="s">
        <v>2877</v>
      </c>
      <c r="KSC1333" s="4" t="s">
        <v>2877</v>
      </c>
      <c r="KSD1333" s="4" t="s">
        <v>2877</v>
      </c>
      <c r="KSE1333" s="4" t="s">
        <v>2877</v>
      </c>
      <c r="KSF1333" s="4" t="s">
        <v>2877</v>
      </c>
      <c r="KSG1333" s="4" t="s">
        <v>2877</v>
      </c>
      <c r="KSH1333" s="4" t="s">
        <v>2877</v>
      </c>
      <c r="KSI1333" s="4" t="s">
        <v>2877</v>
      </c>
      <c r="KSJ1333" s="4" t="s">
        <v>2877</v>
      </c>
      <c r="KSK1333" s="4" t="s">
        <v>2877</v>
      </c>
      <c r="KSL1333" s="4" t="s">
        <v>2877</v>
      </c>
      <c r="KSM1333" s="4" t="s">
        <v>2877</v>
      </c>
      <c r="KSN1333" s="4" t="s">
        <v>2877</v>
      </c>
      <c r="KSO1333" s="4" t="s">
        <v>2877</v>
      </c>
      <c r="KSP1333" s="4" t="s">
        <v>2877</v>
      </c>
      <c r="KSQ1333" s="4" t="s">
        <v>2877</v>
      </c>
      <c r="KSR1333" s="4" t="s">
        <v>2877</v>
      </c>
      <c r="KSS1333" s="4" t="s">
        <v>2877</v>
      </c>
      <c r="KST1333" s="4" t="s">
        <v>2877</v>
      </c>
      <c r="KSU1333" s="4" t="s">
        <v>2877</v>
      </c>
      <c r="KSV1333" s="4" t="s">
        <v>2877</v>
      </c>
      <c r="KSW1333" s="4" t="s">
        <v>2877</v>
      </c>
      <c r="KSX1333" s="4" t="s">
        <v>2877</v>
      </c>
      <c r="KSY1333" s="4" t="s">
        <v>2877</v>
      </c>
      <c r="KSZ1333" s="4" t="s">
        <v>2877</v>
      </c>
      <c r="KTA1333" s="4" t="s">
        <v>2877</v>
      </c>
      <c r="KTB1333" s="4" t="s">
        <v>2877</v>
      </c>
      <c r="KTC1333" s="4" t="s">
        <v>2877</v>
      </c>
      <c r="KTD1333" s="4" t="s">
        <v>2877</v>
      </c>
      <c r="KTE1333" s="4" t="s">
        <v>2877</v>
      </c>
      <c r="KTF1333" s="4" t="s">
        <v>2877</v>
      </c>
      <c r="KTG1333" s="4" t="s">
        <v>2877</v>
      </c>
      <c r="KTH1333" s="4" t="s">
        <v>2877</v>
      </c>
      <c r="KTI1333" s="4" t="s">
        <v>2877</v>
      </c>
      <c r="KTJ1333" s="4" t="s">
        <v>2877</v>
      </c>
      <c r="KTK1333" s="4" t="s">
        <v>2877</v>
      </c>
      <c r="KTL1333" s="4" t="s">
        <v>2877</v>
      </c>
      <c r="KTM1333" s="4" t="s">
        <v>2877</v>
      </c>
      <c r="KTN1333" s="4" t="s">
        <v>2877</v>
      </c>
      <c r="KTO1333" s="4" t="s">
        <v>2877</v>
      </c>
      <c r="KTP1333" s="4" t="s">
        <v>2877</v>
      </c>
      <c r="KTQ1333" s="4" t="s">
        <v>2877</v>
      </c>
      <c r="KTR1333" s="4" t="s">
        <v>2877</v>
      </c>
      <c r="KTS1333" s="4" t="s">
        <v>2877</v>
      </c>
      <c r="KTT1333" s="4" t="s">
        <v>2877</v>
      </c>
      <c r="KTU1333" s="4" t="s">
        <v>2877</v>
      </c>
      <c r="KTV1333" s="4" t="s">
        <v>2877</v>
      </c>
      <c r="KTW1333" s="4" t="s">
        <v>2877</v>
      </c>
      <c r="KTX1333" s="4" t="s">
        <v>2877</v>
      </c>
      <c r="KTY1333" s="4" t="s">
        <v>2877</v>
      </c>
      <c r="KTZ1333" s="4" t="s">
        <v>2877</v>
      </c>
      <c r="KUA1333" s="4" t="s">
        <v>2877</v>
      </c>
      <c r="KUB1333" s="4" t="s">
        <v>2877</v>
      </c>
      <c r="KUC1333" s="4" t="s">
        <v>2877</v>
      </c>
      <c r="KUD1333" s="4" t="s">
        <v>2877</v>
      </c>
      <c r="KUE1333" s="4" t="s">
        <v>2877</v>
      </c>
      <c r="KUF1333" s="4" t="s">
        <v>2877</v>
      </c>
      <c r="KUG1333" s="4" t="s">
        <v>2877</v>
      </c>
      <c r="KUH1333" s="4" t="s">
        <v>2877</v>
      </c>
      <c r="KUI1333" s="4" t="s">
        <v>2877</v>
      </c>
      <c r="KUJ1333" s="4" t="s">
        <v>2877</v>
      </c>
      <c r="KUK1333" s="4" t="s">
        <v>2877</v>
      </c>
      <c r="KUL1333" s="4" t="s">
        <v>2877</v>
      </c>
      <c r="KUM1333" s="4" t="s">
        <v>2877</v>
      </c>
      <c r="KUN1333" s="4" t="s">
        <v>2877</v>
      </c>
      <c r="KUO1333" s="4" t="s">
        <v>2877</v>
      </c>
      <c r="KUP1333" s="4" t="s">
        <v>2877</v>
      </c>
      <c r="KUQ1333" s="4" t="s">
        <v>2877</v>
      </c>
      <c r="KUR1333" s="4" t="s">
        <v>2877</v>
      </c>
      <c r="KUS1333" s="4" t="s">
        <v>2877</v>
      </c>
      <c r="KUT1333" s="4" t="s">
        <v>2877</v>
      </c>
      <c r="KUU1333" s="4" t="s">
        <v>2877</v>
      </c>
      <c r="KUV1333" s="4" t="s">
        <v>2877</v>
      </c>
      <c r="KUW1333" s="4" t="s">
        <v>2877</v>
      </c>
      <c r="KUX1333" s="4" t="s">
        <v>2877</v>
      </c>
      <c r="KUY1333" s="4" t="s">
        <v>2877</v>
      </c>
      <c r="KUZ1333" s="4" t="s">
        <v>2877</v>
      </c>
      <c r="KVA1333" s="4" t="s">
        <v>2877</v>
      </c>
      <c r="KVB1333" s="4" t="s">
        <v>2877</v>
      </c>
      <c r="KVC1333" s="4" t="s">
        <v>2877</v>
      </c>
      <c r="KVD1333" s="4" t="s">
        <v>2877</v>
      </c>
      <c r="KVE1333" s="4" t="s">
        <v>2877</v>
      </c>
      <c r="KVF1333" s="4" t="s">
        <v>2877</v>
      </c>
      <c r="KVG1333" s="4" t="s">
        <v>2877</v>
      </c>
      <c r="KVH1333" s="4" t="s">
        <v>2877</v>
      </c>
      <c r="KVI1333" s="4" t="s">
        <v>2877</v>
      </c>
      <c r="KVJ1333" s="4" t="s">
        <v>2877</v>
      </c>
      <c r="KVK1333" s="4" t="s">
        <v>2877</v>
      </c>
      <c r="KVL1333" s="4" t="s">
        <v>2877</v>
      </c>
      <c r="KVM1333" s="4" t="s">
        <v>2877</v>
      </c>
      <c r="KVN1333" s="4" t="s">
        <v>2877</v>
      </c>
      <c r="KVO1333" s="4" t="s">
        <v>2877</v>
      </c>
      <c r="KVP1333" s="4" t="s">
        <v>2877</v>
      </c>
      <c r="KVQ1333" s="4" t="s">
        <v>2877</v>
      </c>
      <c r="KVR1333" s="4" t="s">
        <v>2877</v>
      </c>
      <c r="KVS1333" s="4" t="s">
        <v>2877</v>
      </c>
      <c r="KVT1333" s="4" t="s">
        <v>2877</v>
      </c>
      <c r="KVU1333" s="4" t="s">
        <v>2877</v>
      </c>
      <c r="KVV1333" s="4" t="s">
        <v>2877</v>
      </c>
      <c r="KVW1333" s="4" t="s">
        <v>2877</v>
      </c>
      <c r="KVX1333" s="4" t="s">
        <v>2877</v>
      </c>
      <c r="KVY1333" s="4" t="s">
        <v>2877</v>
      </c>
      <c r="KVZ1333" s="4" t="s">
        <v>2877</v>
      </c>
      <c r="KWA1333" s="4" t="s">
        <v>2877</v>
      </c>
      <c r="KWB1333" s="4" t="s">
        <v>2877</v>
      </c>
      <c r="KWC1333" s="4" t="s">
        <v>2877</v>
      </c>
      <c r="KWD1333" s="4" t="s">
        <v>2877</v>
      </c>
      <c r="KWE1333" s="4" t="s">
        <v>2877</v>
      </c>
      <c r="KWF1333" s="4" t="s">
        <v>2877</v>
      </c>
      <c r="KWG1333" s="4" t="s">
        <v>2877</v>
      </c>
      <c r="KWH1333" s="4" t="s">
        <v>2877</v>
      </c>
      <c r="KWI1333" s="4" t="s">
        <v>2877</v>
      </c>
      <c r="KWJ1333" s="4" t="s">
        <v>2877</v>
      </c>
      <c r="KWK1333" s="4" t="s">
        <v>2877</v>
      </c>
      <c r="KWL1333" s="4" t="s">
        <v>2877</v>
      </c>
      <c r="KWM1333" s="4" t="s">
        <v>2877</v>
      </c>
      <c r="KWN1333" s="4" t="s">
        <v>2877</v>
      </c>
      <c r="KWO1333" s="4" t="s">
        <v>2877</v>
      </c>
      <c r="KWP1333" s="4" t="s">
        <v>2877</v>
      </c>
      <c r="KWQ1333" s="4" t="s">
        <v>2877</v>
      </c>
      <c r="KWR1333" s="4" t="s">
        <v>2877</v>
      </c>
      <c r="KWS1333" s="4" t="s">
        <v>2877</v>
      </c>
      <c r="KWT1333" s="4" t="s">
        <v>2877</v>
      </c>
      <c r="KWU1333" s="4" t="s">
        <v>2877</v>
      </c>
      <c r="KWV1333" s="4" t="s">
        <v>2877</v>
      </c>
      <c r="KWW1333" s="4" t="s">
        <v>2877</v>
      </c>
      <c r="KWX1333" s="4" t="s">
        <v>2877</v>
      </c>
      <c r="KWY1333" s="4" t="s">
        <v>2877</v>
      </c>
      <c r="KWZ1333" s="4" t="s">
        <v>2877</v>
      </c>
      <c r="KXA1333" s="4" t="s">
        <v>2877</v>
      </c>
      <c r="KXB1333" s="4" t="s">
        <v>2877</v>
      </c>
      <c r="KXC1333" s="4" t="s">
        <v>2877</v>
      </c>
      <c r="KXD1333" s="4" t="s">
        <v>2877</v>
      </c>
      <c r="KXE1333" s="4" t="s">
        <v>2877</v>
      </c>
      <c r="KXF1333" s="4" t="s">
        <v>2877</v>
      </c>
      <c r="KXG1333" s="4" t="s">
        <v>2877</v>
      </c>
      <c r="KXH1333" s="4" t="s">
        <v>2877</v>
      </c>
      <c r="KXI1333" s="4" t="s">
        <v>2877</v>
      </c>
      <c r="KXJ1333" s="4" t="s">
        <v>2877</v>
      </c>
      <c r="KXK1333" s="4" t="s">
        <v>2877</v>
      </c>
      <c r="KXL1333" s="4" t="s">
        <v>2877</v>
      </c>
      <c r="KXM1333" s="4" t="s">
        <v>2877</v>
      </c>
      <c r="KXN1333" s="4" t="s">
        <v>2877</v>
      </c>
      <c r="KXO1333" s="4" t="s">
        <v>2877</v>
      </c>
      <c r="KXP1333" s="4" t="s">
        <v>2877</v>
      </c>
      <c r="KXQ1333" s="4" t="s">
        <v>2877</v>
      </c>
      <c r="KXR1333" s="4" t="s">
        <v>2877</v>
      </c>
      <c r="KXS1333" s="4" t="s">
        <v>2877</v>
      </c>
      <c r="KXT1333" s="4" t="s">
        <v>2877</v>
      </c>
      <c r="KXU1333" s="4" t="s">
        <v>2877</v>
      </c>
      <c r="KXV1333" s="4" t="s">
        <v>2877</v>
      </c>
      <c r="KXW1333" s="4" t="s">
        <v>2877</v>
      </c>
      <c r="KXX1333" s="4" t="s">
        <v>2877</v>
      </c>
      <c r="KXY1333" s="4" t="s">
        <v>2877</v>
      </c>
      <c r="KXZ1333" s="4" t="s">
        <v>2877</v>
      </c>
      <c r="KYA1333" s="4" t="s">
        <v>2877</v>
      </c>
      <c r="KYB1333" s="4" t="s">
        <v>2877</v>
      </c>
      <c r="KYC1333" s="4" t="s">
        <v>2877</v>
      </c>
      <c r="KYD1333" s="4" t="s">
        <v>2877</v>
      </c>
      <c r="KYE1333" s="4" t="s">
        <v>2877</v>
      </c>
      <c r="KYF1333" s="4" t="s">
        <v>2877</v>
      </c>
      <c r="KYG1333" s="4" t="s">
        <v>2877</v>
      </c>
      <c r="KYH1333" s="4" t="s">
        <v>2877</v>
      </c>
      <c r="KYI1333" s="4" t="s">
        <v>2877</v>
      </c>
      <c r="KYJ1333" s="4" t="s">
        <v>2877</v>
      </c>
      <c r="KYK1333" s="4" t="s">
        <v>2877</v>
      </c>
      <c r="KYL1333" s="4" t="s">
        <v>2877</v>
      </c>
      <c r="KYM1333" s="4" t="s">
        <v>2877</v>
      </c>
      <c r="KYN1333" s="4" t="s">
        <v>2877</v>
      </c>
      <c r="KYO1333" s="4" t="s">
        <v>2877</v>
      </c>
      <c r="KYP1333" s="4" t="s">
        <v>2877</v>
      </c>
      <c r="KYQ1333" s="4" t="s">
        <v>2877</v>
      </c>
      <c r="KYR1333" s="4" t="s">
        <v>2877</v>
      </c>
      <c r="KYS1333" s="4" t="s">
        <v>2877</v>
      </c>
      <c r="KYT1333" s="4" t="s">
        <v>2877</v>
      </c>
      <c r="KYU1333" s="4" t="s">
        <v>2877</v>
      </c>
      <c r="KYV1333" s="4" t="s">
        <v>2877</v>
      </c>
      <c r="KYW1333" s="4" t="s">
        <v>2877</v>
      </c>
      <c r="KYX1333" s="4" t="s">
        <v>2877</v>
      </c>
      <c r="KYY1333" s="4" t="s">
        <v>2877</v>
      </c>
      <c r="KYZ1333" s="4" t="s">
        <v>2877</v>
      </c>
      <c r="KZA1333" s="4" t="s">
        <v>2877</v>
      </c>
      <c r="KZB1333" s="4" t="s">
        <v>2877</v>
      </c>
      <c r="KZC1333" s="4" t="s">
        <v>2877</v>
      </c>
      <c r="KZD1333" s="4" t="s">
        <v>2877</v>
      </c>
      <c r="KZE1333" s="4" t="s">
        <v>2877</v>
      </c>
      <c r="KZF1333" s="4" t="s">
        <v>2877</v>
      </c>
      <c r="KZG1333" s="4" t="s">
        <v>2877</v>
      </c>
      <c r="KZH1333" s="4" t="s">
        <v>2877</v>
      </c>
      <c r="KZI1333" s="4" t="s">
        <v>2877</v>
      </c>
      <c r="KZJ1333" s="4" t="s">
        <v>2877</v>
      </c>
      <c r="KZK1333" s="4" t="s">
        <v>2877</v>
      </c>
      <c r="KZL1333" s="4" t="s">
        <v>2877</v>
      </c>
      <c r="KZM1333" s="4" t="s">
        <v>2877</v>
      </c>
      <c r="KZN1333" s="4" t="s">
        <v>2877</v>
      </c>
      <c r="KZO1333" s="4" t="s">
        <v>2877</v>
      </c>
      <c r="KZP1333" s="4" t="s">
        <v>2877</v>
      </c>
      <c r="KZQ1333" s="4" t="s">
        <v>2877</v>
      </c>
      <c r="KZR1333" s="4" t="s">
        <v>2877</v>
      </c>
      <c r="KZS1333" s="4" t="s">
        <v>2877</v>
      </c>
      <c r="KZT1333" s="4" t="s">
        <v>2877</v>
      </c>
      <c r="KZU1333" s="4" t="s">
        <v>2877</v>
      </c>
      <c r="KZV1333" s="4" t="s">
        <v>2877</v>
      </c>
      <c r="KZW1333" s="4" t="s">
        <v>2877</v>
      </c>
      <c r="KZX1333" s="4" t="s">
        <v>2877</v>
      </c>
      <c r="KZY1333" s="4" t="s">
        <v>2877</v>
      </c>
      <c r="KZZ1333" s="4" t="s">
        <v>2877</v>
      </c>
      <c r="LAA1333" s="4" t="s">
        <v>2877</v>
      </c>
      <c r="LAB1333" s="4" t="s">
        <v>2877</v>
      </c>
      <c r="LAC1333" s="4" t="s">
        <v>2877</v>
      </c>
      <c r="LAD1333" s="4" t="s">
        <v>2877</v>
      </c>
      <c r="LAE1333" s="4" t="s">
        <v>2877</v>
      </c>
      <c r="LAF1333" s="4" t="s">
        <v>2877</v>
      </c>
      <c r="LAG1333" s="4" t="s">
        <v>2877</v>
      </c>
      <c r="LAH1333" s="4" t="s">
        <v>2877</v>
      </c>
      <c r="LAI1333" s="4" t="s">
        <v>2877</v>
      </c>
      <c r="LAJ1333" s="4" t="s">
        <v>2877</v>
      </c>
      <c r="LAK1333" s="4" t="s">
        <v>2877</v>
      </c>
      <c r="LAL1333" s="4" t="s">
        <v>2877</v>
      </c>
      <c r="LAM1333" s="4" t="s">
        <v>2877</v>
      </c>
      <c r="LAN1333" s="4" t="s">
        <v>2877</v>
      </c>
      <c r="LAO1333" s="4" t="s">
        <v>2877</v>
      </c>
      <c r="LAP1333" s="4" t="s">
        <v>2877</v>
      </c>
      <c r="LAQ1333" s="4" t="s">
        <v>2877</v>
      </c>
      <c r="LAR1333" s="4" t="s">
        <v>2877</v>
      </c>
      <c r="LAS1333" s="4" t="s">
        <v>2877</v>
      </c>
      <c r="LAT1333" s="4" t="s">
        <v>2877</v>
      </c>
      <c r="LAU1333" s="4" t="s">
        <v>2877</v>
      </c>
      <c r="LAV1333" s="4" t="s">
        <v>2877</v>
      </c>
      <c r="LAW1333" s="4" t="s">
        <v>2877</v>
      </c>
      <c r="LAX1333" s="4" t="s">
        <v>2877</v>
      </c>
      <c r="LAY1333" s="4" t="s">
        <v>2877</v>
      </c>
      <c r="LAZ1333" s="4" t="s">
        <v>2877</v>
      </c>
      <c r="LBA1333" s="4" t="s">
        <v>2877</v>
      </c>
      <c r="LBB1333" s="4" t="s">
        <v>2877</v>
      </c>
      <c r="LBC1333" s="4" t="s">
        <v>2877</v>
      </c>
      <c r="LBD1333" s="4" t="s">
        <v>2877</v>
      </c>
      <c r="LBE1333" s="4" t="s">
        <v>2877</v>
      </c>
      <c r="LBF1333" s="4" t="s">
        <v>2877</v>
      </c>
      <c r="LBG1333" s="4" t="s">
        <v>2877</v>
      </c>
      <c r="LBH1333" s="4" t="s">
        <v>2877</v>
      </c>
      <c r="LBI1333" s="4" t="s">
        <v>2877</v>
      </c>
      <c r="LBJ1333" s="4" t="s">
        <v>2877</v>
      </c>
      <c r="LBK1333" s="4" t="s">
        <v>2877</v>
      </c>
      <c r="LBL1333" s="4" t="s">
        <v>2877</v>
      </c>
      <c r="LBM1333" s="4" t="s">
        <v>2877</v>
      </c>
      <c r="LBN1333" s="4" t="s">
        <v>2877</v>
      </c>
      <c r="LBO1333" s="4" t="s">
        <v>2877</v>
      </c>
      <c r="LBP1333" s="4" t="s">
        <v>2877</v>
      </c>
      <c r="LBQ1333" s="4" t="s">
        <v>2877</v>
      </c>
      <c r="LBR1333" s="4" t="s">
        <v>2877</v>
      </c>
      <c r="LBS1333" s="4" t="s">
        <v>2877</v>
      </c>
      <c r="LBT1333" s="4" t="s">
        <v>2877</v>
      </c>
      <c r="LBU1333" s="4" t="s">
        <v>2877</v>
      </c>
      <c r="LBV1333" s="4" t="s">
        <v>2877</v>
      </c>
      <c r="LBW1333" s="4" t="s">
        <v>2877</v>
      </c>
      <c r="LBX1333" s="4" t="s">
        <v>2877</v>
      </c>
      <c r="LBY1333" s="4" t="s">
        <v>2877</v>
      </c>
      <c r="LBZ1333" s="4" t="s">
        <v>2877</v>
      </c>
      <c r="LCA1333" s="4" t="s">
        <v>2877</v>
      </c>
      <c r="LCB1333" s="4" t="s">
        <v>2877</v>
      </c>
      <c r="LCC1333" s="4" t="s">
        <v>2877</v>
      </c>
      <c r="LCD1333" s="4" t="s">
        <v>2877</v>
      </c>
      <c r="LCE1333" s="4" t="s">
        <v>2877</v>
      </c>
      <c r="LCF1333" s="4" t="s">
        <v>2877</v>
      </c>
      <c r="LCG1333" s="4" t="s">
        <v>2877</v>
      </c>
      <c r="LCH1333" s="4" t="s">
        <v>2877</v>
      </c>
      <c r="LCI1333" s="4" t="s">
        <v>2877</v>
      </c>
      <c r="LCJ1333" s="4" t="s">
        <v>2877</v>
      </c>
      <c r="LCK1333" s="4" t="s">
        <v>2877</v>
      </c>
      <c r="LCL1333" s="4" t="s">
        <v>2877</v>
      </c>
      <c r="LCM1333" s="4" t="s">
        <v>2877</v>
      </c>
      <c r="LCN1333" s="4" t="s">
        <v>2877</v>
      </c>
      <c r="LCO1333" s="4" t="s">
        <v>2877</v>
      </c>
      <c r="LCP1333" s="4" t="s">
        <v>2877</v>
      </c>
      <c r="LCQ1333" s="4" t="s">
        <v>2877</v>
      </c>
      <c r="LCR1333" s="4" t="s">
        <v>2877</v>
      </c>
      <c r="LCS1333" s="4" t="s">
        <v>2877</v>
      </c>
      <c r="LCT1333" s="4" t="s">
        <v>2877</v>
      </c>
      <c r="LCU1333" s="4" t="s">
        <v>2877</v>
      </c>
      <c r="LCV1333" s="4" t="s">
        <v>2877</v>
      </c>
      <c r="LCW1333" s="4" t="s">
        <v>2877</v>
      </c>
      <c r="LCX1333" s="4" t="s">
        <v>2877</v>
      </c>
      <c r="LCY1333" s="4" t="s">
        <v>2877</v>
      </c>
      <c r="LCZ1333" s="4" t="s">
        <v>2877</v>
      </c>
      <c r="LDA1333" s="4" t="s">
        <v>2877</v>
      </c>
      <c r="LDB1333" s="4" t="s">
        <v>2877</v>
      </c>
      <c r="LDC1333" s="4" t="s">
        <v>2877</v>
      </c>
      <c r="LDD1333" s="4" t="s">
        <v>2877</v>
      </c>
      <c r="LDE1333" s="4" t="s">
        <v>2877</v>
      </c>
      <c r="LDF1333" s="4" t="s">
        <v>2877</v>
      </c>
      <c r="LDG1333" s="4" t="s">
        <v>2877</v>
      </c>
      <c r="LDH1333" s="4" t="s">
        <v>2877</v>
      </c>
      <c r="LDI1333" s="4" t="s">
        <v>2877</v>
      </c>
      <c r="LDJ1333" s="4" t="s">
        <v>2877</v>
      </c>
      <c r="LDK1333" s="4" t="s">
        <v>2877</v>
      </c>
      <c r="LDL1333" s="4" t="s">
        <v>2877</v>
      </c>
      <c r="LDM1333" s="4" t="s">
        <v>2877</v>
      </c>
      <c r="LDN1333" s="4" t="s">
        <v>2877</v>
      </c>
      <c r="LDO1333" s="4" t="s">
        <v>2877</v>
      </c>
      <c r="LDP1333" s="4" t="s">
        <v>2877</v>
      </c>
      <c r="LDQ1333" s="4" t="s">
        <v>2877</v>
      </c>
      <c r="LDR1333" s="4" t="s">
        <v>2877</v>
      </c>
      <c r="LDS1333" s="4" t="s">
        <v>2877</v>
      </c>
      <c r="LDT1333" s="4" t="s">
        <v>2877</v>
      </c>
      <c r="LDU1333" s="4" t="s">
        <v>2877</v>
      </c>
      <c r="LDV1333" s="4" t="s">
        <v>2877</v>
      </c>
      <c r="LDW1333" s="4" t="s">
        <v>2877</v>
      </c>
      <c r="LDX1333" s="4" t="s">
        <v>2877</v>
      </c>
      <c r="LDY1333" s="4" t="s">
        <v>2877</v>
      </c>
      <c r="LDZ1333" s="4" t="s">
        <v>2877</v>
      </c>
      <c r="LEA1333" s="4" t="s">
        <v>2877</v>
      </c>
      <c r="LEB1333" s="4" t="s">
        <v>2877</v>
      </c>
      <c r="LEC1333" s="4" t="s">
        <v>2877</v>
      </c>
      <c r="LED1333" s="4" t="s">
        <v>2877</v>
      </c>
      <c r="LEE1333" s="4" t="s">
        <v>2877</v>
      </c>
      <c r="LEF1333" s="4" t="s">
        <v>2877</v>
      </c>
      <c r="LEG1333" s="4" t="s">
        <v>2877</v>
      </c>
      <c r="LEH1333" s="4" t="s">
        <v>2877</v>
      </c>
      <c r="LEI1333" s="4" t="s">
        <v>2877</v>
      </c>
      <c r="LEJ1333" s="4" t="s">
        <v>2877</v>
      </c>
      <c r="LEK1333" s="4" t="s">
        <v>2877</v>
      </c>
      <c r="LEL1333" s="4" t="s">
        <v>2877</v>
      </c>
      <c r="LEM1333" s="4" t="s">
        <v>2877</v>
      </c>
      <c r="LEN1333" s="4" t="s">
        <v>2877</v>
      </c>
      <c r="LEO1333" s="4" t="s">
        <v>2877</v>
      </c>
      <c r="LEP1333" s="4" t="s">
        <v>2877</v>
      </c>
      <c r="LEQ1333" s="4" t="s">
        <v>2877</v>
      </c>
      <c r="LER1333" s="4" t="s">
        <v>2877</v>
      </c>
      <c r="LES1333" s="4" t="s">
        <v>2877</v>
      </c>
      <c r="LET1333" s="4" t="s">
        <v>2877</v>
      </c>
      <c r="LEU1333" s="4" t="s">
        <v>2877</v>
      </c>
      <c r="LEV1333" s="4" t="s">
        <v>2877</v>
      </c>
      <c r="LEW1333" s="4" t="s">
        <v>2877</v>
      </c>
      <c r="LEX1333" s="4" t="s">
        <v>2877</v>
      </c>
      <c r="LEY1333" s="4" t="s">
        <v>2877</v>
      </c>
      <c r="LEZ1333" s="4" t="s">
        <v>2877</v>
      </c>
      <c r="LFA1333" s="4" t="s">
        <v>2877</v>
      </c>
      <c r="LFB1333" s="4" t="s">
        <v>2877</v>
      </c>
      <c r="LFC1333" s="4" t="s">
        <v>2877</v>
      </c>
      <c r="LFD1333" s="4" t="s">
        <v>2877</v>
      </c>
      <c r="LFE1333" s="4" t="s">
        <v>2877</v>
      </c>
      <c r="LFF1333" s="4" t="s">
        <v>2877</v>
      </c>
      <c r="LFG1333" s="4" t="s">
        <v>2877</v>
      </c>
      <c r="LFH1333" s="4" t="s">
        <v>2877</v>
      </c>
      <c r="LFI1333" s="4" t="s">
        <v>2877</v>
      </c>
      <c r="LFJ1333" s="4" t="s">
        <v>2877</v>
      </c>
      <c r="LFK1333" s="4" t="s">
        <v>2877</v>
      </c>
      <c r="LFL1333" s="4" t="s">
        <v>2877</v>
      </c>
      <c r="LFM1333" s="4" t="s">
        <v>2877</v>
      </c>
      <c r="LFN1333" s="4" t="s">
        <v>2877</v>
      </c>
      <c r="LFO1333" s="4" t="s">
        <v>2877</v>
      </c>
      <c r="LFP1333" s="4" t="s">
        <v>2877</v>
      </c>
      <c r="LFQ1333" s="4" t="s">
        <v>2877</v>
      </c>
      <c r="LFR1333" s="4" t="s">
        <v>2877</v>
      </c>
      <c r="LFS1333" s="4" t="s">
        <v>2877</v>
      </c>
      <c r="LFT1333" s="4" t="s">
        <v>2877</v>
      </c>
      <c r="LFU1333" s="4" t="s">
        <v>2877</v>
      </c>
      <c r="LFV1333" s="4" t="s">
        <v>2877</v>
      </c>
      <c r="LFW1333" s="4" t="s">
        <v>2877</v>
      </c>
      <c r="LFX1333" s="4" t="s">
        <v>2877</v>
      </c>
      <c r="LFY1333" s="4" t="s">
        <v>2877</v>
      </c>
      <c r="LFZ1333" s="4" t="s">
        <v>2877</v>
      </c>
      <c r="LGA1333" s="4" t="s">
        <v>2877</v>
      </c>
      <c r="LGB1333" s="4" t="s">
        <v>2877</v>
      </c>
      <c r="LGC1333" s="4" t="s">
        <v>2877</v>
      </c>
      <c r="LGD1333" s="4" t="s">
        <v>2877</v>
      </c>
      <c r="LGE1333" s="4" t="s">
        <v>2877</v>
      </c>
      <c r="LGF1333" s="4" t="s">
        <v>2877</v>
      </c>
      <c r="LGG1333" s="4" t="s">
        <v>2877</v>
      </c>
      <c r="LGH1333" s="4" t="s">
        <v>2877</v>
      </c>
      <c r="LGI1333" s="4" t="s">
        <v>2877</v>
      </c>
      <c r="LGJ1333" s="4" t="s">
        <v>2877</v>
      </c>
      <c r="LGK1333" s="4" t="s">
        <v>2877</v>
      </c>
      <c r="LGL1333" s="4" t="s">
        <v>2877</v>
      </c>
      <c r="LGM1333" s="4" t="s">
        <v>2877</v>
      </c>
      <c r="LGN1333" s="4" t="s">
        <v>2877</v>
      </c>
      <c r="LGO1333" s="4" t="s">
        <v>2877</v>
      </c>
      <c r="LGP1333" s="4" t="s">
        <v>2877</v>
      </c>
      <c r="LGQ1333" s="4" t="s">
        <v>2877</v>
      </c>
      <c r="LGR1333" s="4" t="s">
        <v>2877</v>
      </c>
      <c r="LGS1333" s="4" t="s">
        <v>2877</v>
      </c>
      <c r="LGT1333" s="4" t="s">
        <v>2877</v>
      </c>
      <c r="LGU1333" s="4" t="s">
        <v>2877</v>
      </c>
      <c r="LGV1333" s="4" t="s">
        <v>2877</v>
      </c>
      <c r="LGW1333" s="4" t="s">
        <v>2877</v>
      </c>
      <c r="LGX1333" s="4" t="s">
        <v>2877</v>
      </c>
      <c r="LGY1333" s="4" t="s">
        <v>2877</v>
      </c>
      <c r="LGZ1333" s="4" t="s">
        <v>2877</v>
      </c>
      <c r="LHA1333" s="4" t="s">
        <v>2877</v>
      </c>
      <c r="LHB1333" s="4" t="s">
        <v>2877</v>
      </c>
      <c r="LHC1333" s="4" t="s">
        <v>2877</v>
      </c>
      <c r="LHD1333" s="4" t="s">
        <v>2877</v>
      </c>
      <c r="LHE1333" s="4" t="s">
        <v>2877</v>
      </c>
      <c r="LHF1333" s="4" t="s">
        <v>2877</v>
      </c>
      <c r="LHG1333" s="4" t="s">
        <v>2877</v>
      </c>
      <c r="LHH1333" s="4" t="s">
        <v>2877</v>
      </c>
      <c r="LHI1333" s="4" t="s">
        <v>2877</v>
      </c>
      <c r="LHJ1333" s="4" t="s">
        <v>2877</v>
      </c>
      <c r="LHK1333" s="4" t="s">
        <v>2877</v>
      </c>
      <c r="LHL1333" s="4" t="s">
        <v>2877</v>
      </c>
      <c r="LHM1333" s="4" t="s">
        <v>2877</v>
      </c>
      <c r="LHN1333" s="4" t="s">
        <v>2877</v>
      </c>
      <c r="LHO1333" s="4" t="s">
        <v>2877</v>
      </c>
      <c r="LHP1333" s="4" t="s">
        <v>2877</v>
      </c>
      <c r="LHQ1333" s="4" t="s">
        <v>2877</v>
      </c>
      <c r="LHR1333" s="4" t="s">
        <v>2877</v>
      </c>
      <c r="LHS1333" s="4" t="s">
        <v>2877</v>
      </c>
      <c r="LHT1333" s="4" t="s">
        <v>2877</v>
      </c>
      <c r="LHU1333" s="4" t="s">
        <v>2877</v>
      </c>
      <c r="LHV1333" s="4" t="s">
        <v>2877</v>
      </c>
      <c r="LHW1333" s="4" t="s">
        <v>2877</v>
      </c>
      <c r="LHX1333" s="4" t="s">
        <v>2877</v>
      </c>
      <c r="LHY1333" s="4" t="s">
        <v>2877</v>
      </c>
      <c r="LHZ1333" s="4" t="s">
        <v>2877</v>
      </c>
      <c r="LIA1333" s="4" t="s">
        <v>2877</v>
      </c>
      <c r="LIB1333" s="4" t="s">
        <v>2877</v>
      </c>
      <c r="LIC1333" s="4" t="s">
        <v>2877</v>
      </c>
      <c r="LID1333" s="4" t="s">
        <v>2877</v>
      </c>
      <c r="LIE1333" s="4" t="s">
        <v>2877</v>
      </c>
      <c r="LIF1333" s="4" t="s">
        <v>2877</v>
      </c>
      <c r="LIG1333" s="4" t="s">
        <v>2877</v>
      </c>
      <c r="LIH1333" s="4" t="s">
        <v>2877</v>
      </c>
      <c r="LII1333" s="4" t="s">
        <v>2877</v>
      </c>
      <c r="LIJ1333" s="4" t="s">
        <v>2877</v>
      </c>
      <c r="LIK1333" s="4" t="s">
        <v>2877</v>
      </c>
      <c r="LIL1333" s="4" t="s">
        <v>2877</v>
      </c>
      <c r="LIM1333" s="4" t="s">
        <v>2877</v>
      </c>
      <c r="LIN1333" s="4" t="s">
        <v>2877</v>
      </c>
      <c r="LIO1333" s="4" t="s">
        <v>2877</v>
      </c>
      <c r="LIP1333" s="4" t="s">
        <v>2877</v>
      </c>
      <c r="LIQ1333" s="4" t="s">
        <v>2877</v>
      </c>
      <c r="LIR1333" s="4" t="s">
        <v>2877</v>
      </c>
      <c r="LIS1333" s="4" t="s">
        <v>2877</v>
      </c>
      <c r="LIT1333" s="4" t="s">
        <v>2877</v>
      </c>
      <c r="LIU1333" s="4" t="s">
        <v>2877</v>
      </c>
      <c r="LIV1333" s="4" t="s">
        <v>2877</v>
      </c>
      <c r="LIW1333" s="4" t="s">
        <v>2877</v>
      </c>
      <c r="LIX1333" s="4" t="s">
        <v>2877</v>
      </c>
      <c r="LIY1333" s="4" t="s">
        <v>2877</v>
      </c>
      <c r="LIZ1333" s="4" t="s">
        <v>2877</v>
      </c>
      <c r="LJA1333" s="4" t="s">
        <v>2877</v>
      </c>
      <c r="LJB1333" s="4" t="s">
        <v>2877</v>
      </c>
      <c r="LJC1333" s="4" t="s">
        <v>2877</v>
      </c>
      <c r="LJD1333" s="4" t="s">
        <v>2877</v>
      </c>
      <c r="LJE1333" s="4" t="s">
        <v>2877</v>
      </c>
      <c r="LJF1333" s="4" t="s">
        <v>2877</v>
      </c>
      <c r="LJG1333" s="4" t="s">
        <v>2877</v>
      </c>
      <c r="LJH1333" s="4" t="s">
        <v>2877</v>
      </c>
      <c r="LJI1333" s="4" t="s">
        <v>2877</v>
      </c>
      <c r="LJJ1333" s="4" t="s">
        <v>2877</v>
      </c>
      <c r="LJK1333" s="4" t="s">
        <v>2877</v>
      </c>
      <c r="LJL1333" s="4" t="s">
        <v>2877</v>
      </c>
      <c r="LJM1333" s="4" t="s">
        <v>2877</v>
      </c>
      <c r="LJN1333" s="4" t="s">
        <v>2877</v>
      </c>
      <c r="LJO1333" s="4" t="s">
        <v>2877</v>
      </c>
      <c r="LJP1333" s="4" t="s">
        <v>2877</v>
      </c>
      <c r="LJQ1333" s="4" t="s">
        <v>2877</v>
      </c>
      <c r="LJR1333" s="4" t="s">
        <v>2877</v>
      </c>
      <c r="LJS1333" s="4" t="s">
        <v>2877</v>
      </c>
      <c r="LJT1333" s="4" t="s">
        <v>2877</v>
      </c>
      <c r="LJU1333" s="4" t="s">
        <v>2877</v>
      </c>
      <c r="LJV1333" s="4" t="s">
        <v>2877</v>
      </c>
      <c r="LJW1333" s="4" t="s">
        <v>2877</v>
      </c>
      <c r="LJX1333" s="4" t="s">
        <v>2877</v>
      </c>
      <c r="LJY1333" s="4" t="s">
        <v>2877</v>
      </c>
      <c r="LJZ1333" s="4" t="s">
        <v>2877</v>
      </c>
      <c r="LKA1333" s="4" t="s">
        <v>2877</v>
      </c>
      <c r="LKB1333" s="4" t="s">
        <v>2877</v>
      </c>
      <c r="LKC1333" s="4" t="s">
        <v>2877</v>
      </c>
      <c r="LKD1333" s="4" t="s">
        <v>2877</v>
      </c>
      <c r="LKE1333" s="4" t="s">
        <v>2877</v>
      </c>
      <c r="LKF1333" s="4" t="s">
        <v>2877</v>
      </c>
      <c r="LKG1333" s="4" t="s">
        <v>2877</v>
      </c>
      <c r="LKH1333" s="4" t="s">
        <v>2877</v>
      </c>
      <c r="LKI1333" s="4" t="s">
        <v>2877</v>
      </c>
      <c r="LKJ1333" s="4" t="s">
        <v>2877</v>
      </c>
      <c r="LKK1333" s="4" t="s">
        <v>2877</v>
      </c>
      <c r="LKL1333" s="4" t="s">
        <v>2877</v>
      </c>
      <c r="LKM1333" s="4" t="s">
        <v>2877</v>
      </c>
      <c r="LKN1333" s="4" t="s">
        <v>2877</v>
      </c>
      <c r="LKO1333" s="4" t="s">
        <v>2877</v>
      </c>
      <c r="LKP1333" s="4" t="s">
        <v>2877</v>
      </c>
      <c r="LKQ1333" s="4" t="s">
        <v>2877</v>
      </c>
      <c r="LKR1333" s="4" t="s">
        <v>2877</v>
      </c>
      <c r="LKS1333" s="4" t="s">
        <v>2877</v>
      </c>
      <c r="LKT1333" s="4" t="s">
        <v>2877</v>
      </c>
      <c r="LKU1333" s="4" t="s">
        <v>2877</v>
      </c>
      <c r="LKV1333" s="4" t="s">
        <v>2877</v>
      </c>
      <c r="LKW1333" s="4" t="s">
        <v>2877</v>
      </c>
      <c r="LKX1333" s="4" t="s">
        <v>2877</v>
      </c>
      <c r="LKY1333" s="4" t="s">
        <v>2877</v>
      </c>
      <c r="LKZ1333" s="4" t="s">
        <v>2877</v>
      </c>
      <c r="LLA1333" s="4" t="s">
        <v>2877</v>
      </c>
      <c r="LLB1333" s="4" t="s">
        <v>2877</v>
      </c>
      <c r="LLC1333" s="4" t="s">
        <v>2877</v>
      </c>
      <c r="LLD1333" s="4" t="s">
        <v>2877</v>
      </c>
      <c r="LLE1333" s="4" t="s">
        <v>2877</v>
      </c>
      <c r="LLF1333" s="4" t="s">
        <v>2877</v>
      </c>
      <c r="LLG1333" s="4" t="s">
        <v>2877</v>
      </c>
      <c r="LLH1333" s="4" t="s">
        <v>2877</v>
      </c>
      <c r="LLI1333" s="4" t="s">
        <v>2877</v>
      </c>
      <c r="LLJ1333" s="4" t="s">
        <v>2877</v>
      </c>
      <c r="LLK1333" s="4" t="s">
        <v>2877</v>
      </c>
      <c r="LLL1333" s="4" t="s">
        <v>2877</v>
      </c>
      <c r="LLM1333" s="4" t="s">
        <v>2877</v>
      </c>
      <c r="LLN1333" s="4" t="s">
        <v>2877</v>
      </c>
      <c r="LLO1333" s="4" t="s">
        <v>2877</v>
      </c>
      <c r="LLP1333" s="4" t="s">
        <v>2877</v>
      </c>
      <c r="LLQ1333" s="4" t="s">
        <v>2877</v>
      </c>
      <c r="LLR1333" s="4" t="s">
        <v>2877</v>
      </c>
      <c r="LLS1333" s="4" t="s">
        <v>2877</v>
      </c>
      <c r="LLT1333" s="4" t="s">
        <v>2877</v>
      </c>
      <c r="LLU1333" s="4" t="s">
        <v>2877</v>
      </c>
      <c r="LLV1333" s="4" t="s">
        <v>2877</v>
      </c>
      <c r="LLW1333" s="4" t="s">
        <v>2877</v>
      </c>
      <c r="LLX1333" s="4" t="s">
        <v>2877</v>
      </c>
      <c r="LLY1333" s="4" t="s">
        <v>2877</v>
      </c>
      <c r="LLZ1333" s="4" t="s">
        <v>2877</v>
      </c>
      <c r="LMA1333" s="4" t="s">
        <v>2877</v>
      </c>
      <c r="LMB1333" s="4" t="s">
        <v>2877</v>
      </c>
      <c r="LMC1333" s="4" t="s">
        <v>2877</v>
      </c>
      <c r="LMD1333" s="4" t="s">
        <v>2877</v>
      </c>
      <c r="LME1333" s="4" t="s">
        <v>2877</v>
      </c>
      <c r="LMF1333" s="4" t="s">
        <v>2877</v>
      </c>
      <c r="LMG1333" s="4" t="s">
        <v>2877</v>
      </c>
      <c r="LMH1333" s="4" t="s">
        <v>2877</v>
      </c>
      <c r="LMI1333" s="4" t="s">
        <v>2877</v>
      </c>
      <c r="LMJ1333" s="4" t="s">
        <v>2877</v>
      </c>
      <c r="LMK1333" s="4" t="s">
        <v>2877</v>
      </c>
      <c r="LML1333" s="4" t="s">
        <v>2877</v>
      </c>
      <c r="LMM1333" s="4" t="s">
        <v>2877</v>
      </c>
      <c r="LMN1333" s="4" t="s">
        <v>2877</v>
      </c>
      <c r="LMO1333" s="4" t="s">
        <v>2877</v>
      </c>
      <c r="LMP1333" s="4" t="s">
        <v>2877</v>
      </c>
      <c r="LMQ1333" s="4" t="s">
        <v>2877</v>
      </c>
      <c r="LMR1333" s="4" t="s">
        <v>2877</v>
      </c>
      <c r="LMS1333" s="4" t="s">
        <v>2877</v>
      </c>
      <c r="LMT1333" s="4" t="s">
        <v>2877</v>
      </c>
      <c r="LMU1333" s="4" t="s">
        <v>2877</v>
      </c>
      <c r="LMV1333" s="4" t="s">
        <v>2877</v>
      </c>
      <c r="LMW1333" s="4" t="s">
        <v>2877</v>
      </c>
      <c r="LMX1333" s="4" t="s">
        <v>2877</v>
      </c>
      <c r="LMY1333" s="4" t="s">
        <v>2877</v>
      </c>
      <c r="LMZ1333" s="4" t="s">
        <v>2877</v>
      </c>
      <c r="LNA1333" s="4" t="s">
        <v>2877</v>
      </c>
      <c r="LNB1333" s="4" t="s">
        <v>2877</v>
      </c>
      <c r="LNC1333" s="4" t="s">
        <v>2877</v>
      </c>
      <c r="LND1333" s="4" t="s">
        <v>2877</v>
      </c>
      <c r="LNE1333" s="4" t="s">
        <v>2877</v>
      </c>
      <c r="LNF1333" s="4" t="s">
        <v>2877</v>
      </c>
      <c r="LNG1333" s="4" t="s">
        <v>2877</v>
      </c>
      <c r="LNH1333" s="4" t="s">
        <v>2877</v>
      </c>
      <c r="LNI1333" s="4" t="s">
        <v>2877</v>
      </c>
      <c r="LNJ1333" s="4" t="s">
        <v>2877</v>
      </c>
      <c r="LNK1333" s="4" t="s">
        <v>2877</v>
      </c>
      <c r="LNL1333" s="4" t="s">
        <v>2877</v>
      </c>
      <c r="LNM1333" s="4" t="s">
        <v>2877</v>
      </c>
      <c r="LNN1333" s="4" t="s">
        <v>2877</v>
      </c>
      <c r="LNO1333" s="4" t="s">
        <v>2877</v>
      </c>
      <c r="LNP1333" s="4" t="s">
        <v>2877</v>
      </c>
      <c r="LNQ1333" s="4" t="s">
        <v>2877</v>
      </c>
      <c r="LNR1333" s="4" t="s">
        <v>2877</v>
      </c>
      <c r="LNS1333" s="4" t="s">
        <v>2877</v>
      </c>
      <c r="LNT1333" s="4" t="s">
        <v>2877</v>
      </c>
      <c r="LNU1333" s="4" t="s">
        <v>2877</v>
      </c>
      <c r="LNV1333" s="4" t="s">
        <v>2877</v>
      </c>
      <c r="LNW1333" s="4" t="s">
        <v>2877</v>
      </c>
      <c r="LNX1333" s="4" t="s">
        <v>2877</v>
      </c>
      <c r="LNY1333" s="4" t="s">
        <v>2877</v>
      </c>
      <c r="LNZ1333" s="4" t="s">
        <v>2877</v>
      </c>
      <c r="LOA1333" s="4" t="s">
        <v>2877</v>
      </c>
      <c r="LOB1333" s="4" t="s">
        <v>2877</v>
      </c>
      <c r="LOC1333" s="4" t="s">
        <v>2877</v>
      </c>
      <c r="LOD1333" s="4" t="s">
        <v>2877</v>
      </c>
      <c r="LOE1333" s="4" t="s">
        <v>2877</v>
      </c>
      <c r="LOF1333" s="4" t="s">
        <v>2877</v>
      </c>
      <c r="LOG1333" s="4" t="s">
        <v>2877</v>
      </c>
      <c r="LOH1333" s="4" t="s">
        <v>2877</v>
      </c>
      <c r="LOI1333" s="4" t="s">
        <v>2877</v>
      </c>
      <c r="LOJ1333" s="4" t="s">
        <v>2877</v>
      </c>
      <c r="LOK1333" s="4" t="s">
        <v>2877</v>
      </c>
      <c r="LOL1333" s="4" t="s">
        <v>2877</v>
      </c>
      <c r="LOM1333" s="4" t="s">
        <v>2877</v>
      </c>
      <c r="LON1333" s="4" t="s">
        <v>2877</v>
      </c>
      <c r="LOO1333" s="4" t="s">
        <v>2877</v>
      </c>
      <c r="LOP1333" s="4" t="s">
        <v>2877</v>
      </c>
      <c r="LOQ1333" s="4" t="s">
        <v>2877</v>
      </c>
      <c r="LOR1333" s="4" t="s">
        <v>2877</v>
      </c>
      <c r="LOS1333" s="4" t="s">
        <v>2877</v>
      </c>
      <c r="LOT1333" s="4" t="s">
        <v>2877</v>
      </c>
      <c r="LOU1333" s="4" t="s">
        <v>2877</v>
      </c>
      <c r="LOV1333" s="4" t="s">
        <v>2877</v>
      </c>
      <c r="LOW1333" s="4" t="s">
        <v>2877</v>
      </c>
      <c r="LOX1333" s="4" t="s">
        <v>2877</v>
      </c>
      <c r="LOY1333" s="4" t="s">
        <v>2877</v>
      </c>
      <c r="LOZ1333" s="4" t="s">
        <v>2877</v>
      </c>
      <c r="LPA1333" s="4" t="s">
        <v>2877</v>
      </c>
      <c r="LPB1333" s="4" t="s">
        <v>2877</v>
      </c>
      <c r="LPC1333" s="4" t="s">
        <v>2877</v>
      </c>
      <c r="LPD1333" s="4" t="s">
        <v>2877</v>
      </c>
      <c r="LPE1333" s="4" t="s">
        <v>2877</v>
      </c>
      <c r="LPF1333" s="4" t="s">
        <v>2877</v>
      </c>
      <c r="LPG1333" s="4" t="s">
        <v>2877</v>
      </c>
      <c r="LPH1333" s="4" t="s">
        <v>2877</v>
      </c>
      <c r="LPI1333" s="4" t="s">
        <v>2877</v>
      </c>
      <c r="LPJ1333" s="4" t="s">
        <v>2877</v>
      </c>
      <c r="LPK1333" s="4" t="s">
        <v>2877</v>
      </c>
      <c r="LPL1333" s="4" t="s">
        <v>2877</v>
      </c>
      <c r="LPM1333" s="4" t="s">
        <v>2877</v>
      </c>
      <c r="LPN1333" s="4" t="s">
        <v>2877</v>
      </c>
      <c r="LPO1333" s="4" t="s">
        <v>2877</v>
      </c>
      <c r="LPP1333" s="4" t="s">
        <v>2877</v>
      </c>
      <c r="LPQ1333" s="4" t="s">
        <v>2877</v>
      </c>
      <c r="LPR1333" s="4" t="s">
        <v>2877</v>
      </c>
      <c r="LPS1333" s="4" t="s">
        <v>2877</v>
      </c>
      <c r="LPT1333" s="4" t="s">
        <v>2877</v>
      </c>
      <c r="LPU1333" s="4" t="s">
        <v>2877</v>
      </c>
      <c r="LPV1333" s="4" t="s">
        <v>2877</v>
      </c>
      <c r="LPW1333" s="4" t="s">
        <v>2877</v>
      </c>
      <c r="LPX1333" s="4" t="s">
        <v>2877</v>
      </c>
      <c r="LPY1333" s="4" t="s">
        <v>2877</v>
      </c>
      <c r="LPZ1333" s="4" t="s">
        <v>2877</v>
      </c>
      <c r="LQA1333" s="4" t="s">
        <v>2877</v>
      </c>
      <c r="LQB1333" s="4" t="s">
        <v>2877</v>
      </c>
      <c r="LQC1333" s="4" t="s">
        <v>2877</v>
      </c>
      <c r="LQD1333" s="4" t="s">
        <v>2877</v>
      </c>
      <c r="LQE1333" s="4" t="s">
        <v>2877</v>
      </c>
      <c r="LQF1333" s="4" t="s">
        <v>2877</v>
      </c>
      <c r="LQG1333" s="4" t="s">
        <v>2877</v>
      </c>
      <c r="LQH1333" s="4" t="s">
        <v>2877</v>
      </c>
      <c r="LQI1333" s="4" t="s">
        <v>2877</v>
      </c>
      <c r="LQJ1333" s="4" t="s">
        <v>2877</v>
      </c>
      <c r="LQK1333" s="4" t="s">
        <v>2877</v>
      </c>
      <c r="LQL1333" s="4" t="s">
        <v>2877</v>
      </c>
      <c r="LQM1333" s="4" t="s">
        <v>2877</v>
      </c>
      <c r="LQN1333" s="4" t="s">
        <v>2877</v>
      </c>
      <c r="LQO1333" s="4" t="s">
        <v>2877</v>
      </c>
      <c r="LQP1333" s="4" t="s">
        <v>2877</v>
      </c>
      <c r="LQQ1333" s="4" t="s">
        <v>2877</v>
      </c>
      <c r="LQR1333" s="4" t="s">
        <v>2877</v>
      </c>
      <c r="LQS1333" s="4" t="s">
        <v>2877</v>
      </c>
      <c r="LQT1333" s="4" t="s">
        <v>2877</v>
      </c>
      <c r="LQU1333" s="4" t="s">
        <v>2877</v>
      </c>
      <c r="LQV1333" s="4" t="s">
        <v>2877</v>
      </c>
      <c r="LQW1333" s="4" t="s">
        <v>2877</v>
      </c>
      <c r="LQX1333" s="4" t="s">
        <v>2877</v>
      </c>
      <c r="LQY1333" s="4" t="s">
        <v>2877</v>
      </c>
      <c r="LQZ1333" s="4" t="s">
        <v>2877</v>
      </c>
      <c r="LRA1333" s="4" t="s">
        <v>2877</v>
      </c>
      <c r="LRB1333" s="4" t="s">
        <v>2877</v>
      </c>
      <c r="LRC1333" s="4" t="s">
        <v>2877</v>
      </c>
      <c r="LRD1333" s="4" t="s">
        <v>2877</v>
      </c>
      <c r="LRE1333" s="4" t="s">
        <v>2877</v>
      </c>
      <c r="LRF1333" s="4" t="s">
        <v>2877</v>
      </c>
      <c r="LRG1333" s="4" t="s">
        <v>2877</v>
      </c>
      <c r="LRH1333" s="4" t="s">
        <v>2877</v>
      </c>
      <c r="LRI1333" s="4" t="s">
        <v>2877</v>
      </c>
      <c r="LRJ1333" s="4" t="s">
        <v>2877</v>
      </c>
      <c r="LRK1333" s="4" t="s">
        <v>2877</v>
      </c>
      <c r="LRL1333" s="4" t="s">
        <v>2877</v>
      </c>
      <c r="LRM1333" s="4" t="s">
        <v>2877</v>
      </c>
      <c r="LRN1333" s="4" t="s">
        <v>2877</v>
      </c>
      <c r="LRO1333" s="4" t="s">
        <v>2877</v>
      </c>
      <c r="LRP1333" s="4" t="s">
        <v>2877</v>
      </c>
      <c r="LRQ1333" s="4" t="s">
        <v>2877</v>
      </c>
      <c r="LRR1333" s="4" t="s">
        <v>2877</v>
      </c>
      <c r="LRS1333" s="4" t="s">
        <v>2877</v>
      </c>
      <c r="LRT1333" s="4" t="s">
        <v>2877</v>
      </c>
      <c r="LRU1333" s="4" t="s">
        <v>2877</v>
      </c>
      <c r="LRV1333" s="4" t="s">
        <v>2877</v>
      </c>
      <c r="LRW1333" s="4" t="s">
        <v>2877</v>
      </c>
      <c r="LRX1333" s="4" t="s">
        <v>2877</v>
      </c>
      <c r="LRY1333" s="4" t="s">
        <v>2877</v>
      </c>
      <c r="LRZ1333" s="4" t="s">
        <v>2877</v>
      </c>
      <c r="LSA1333" s="4" t="s">
        <v>2877</v>
      </c>
      <c r="LSB1333" s="4" t="s">
        <v>2877</v>
      </c>
      <c r="LSC1333" s="4" t="s">
        <v>2877</v>
      </c>
      <c r="LSD1333" s="4" t="s">
        <v>2877</v>
      </c>
      <c r="LSE1333" s="4" t="s">
        <v>2877</v>
      </c>
      <c r="LSF1333" s="4" t="s">
        <v>2877</v>
      </c>
      <c r="LSG1333" s="4" t="s">
        <v>2877</v>
      </c>
      <c r="LSH1333" s="4" t="s">
        <v>2877</v>
      </c>
      <c r="LSI1333" s="4" t="s">
        <v>2877</v>
      </c>
      <c r="LSJ1333" s="4" t="s">
        <v>2877</v>
      </c>
      <c r="LSK1333" s="4" t="s">
        <v>2877</v>
      </c>
      <c r="LSL1333" s="4" t="s">
        <v>2877</v>
      </c>
      <c r="LSM1333" s="4" t="s">
        <v>2877</v>
      </c>
      <c r="LSN1333" s="4" t="s">
        <v>2877</v>
      </c>
      <c r="LSO1333" s="4" t="s">
        <v>2877</v>
      </c>
      <c r="LSP1333" s="4" t="s">
        <v>2877</v>
      </c>
      <c r="LSQ1333" s="4" t="s">
        <v>2877</v>
      </c>
      <c r="LSR1333" s="4" t="s">
        <v>2877</v>
      </c>
      <c r="LSS1333" s="4" t="s">
        <v>2877</v>
      </c>
      <c r="LST1333" s="4" t="s">
        <v>2877</v>
      </c>
      <c r="LSU1333" s="4" t="s">
        <v>2877</v>
      </c>
      <c r="LSV1333" s="4" t="s">
        <v>2877</v>
      </c>
      <c r="LSW1333" s="4" t="s">
        <v>2877</v>
      </c>
      <c r="LSX1333" s="4" t="s">
        <v>2877</v>
      </c>
      <c r="LSY1333" s="4" t="s">
        <v>2877</v>
      </c>
      <c r="LSZ1333" s="4" t="s">
        <v>2877</v>
      </c>
      <c r="LTA1333" s="4" t="s">
        <v>2877</v>
      </c>
      <c r="LTB1333" s="4" t="s">
        <v>2877</v>
      </c>
      <c r="LTC1333" s="4" t="s">
        <v>2877</v>
      </c>
      <c r="LTD1333" s="4" t="s">
        <v>2877</v>
      </c>
      <c r="LTE1333" s="4" t="s">
        <v>2877</v>
      </c>
      <c r="LTF1333" s="4" t="s">
        <v>2877</v>
      </c>
      <c r="LTG1333" s="4" t="s">
        <v>2877</v>
      </c>
      <c r="LTH1333" s="4" t="s">
        <v>2877</v>
      </c>
      <c r="LTI1333" s="4" t="s">
        <v>2877</v>
      </c>
      <c r="LTJ1333" s="4" t="s">
        <v>2877</v>
      </c>
      <c r="LTK1333" s="4" t="s">
        <v>2877</v>
      </c>
      <c r="LTL1333" s="4" t="s">
        <v>2877</v>
      </c>
      <c r="LTM1333" s="4" t="s">
        <v>2877</v>
      </c>
      <c r="LTN1333" s="4" t="s">
        <v>2877</v>
      </c>
      <c r="LTO1333" s="4" t="s">
        <v>2877</v>
      </c>
      <c r="LTP1333" s="4" t="s">
        <v>2877</v>
      </c>
      <c r="LTQ1333" s="4" t="s">
        <v>2877</v>
      </c>
      <c r="LTR1333" s="4" t="s">
        <v>2877</v>
      </c>
      <c r="LTS1333" s="4" t="s">
        <v>2877</v>
      </c>
      <c r="LTT1333" s="4" t="s">
        <v>2877</v>
      </c>
      <c r="LTU1333" s="4" t="s">
        <v>2877</v>
      </c>
      <c r="LTV1333" s="4" t="s">
        <v>2877</v>
      </c>
      <c r="LTW1333" s="4" t="s">
        <v>2877</v>
      </c>
      <c r="LTX1333" s="4" t="s">
        <v>2877</v>
      </c>
      <c r="LTY1333" s="4" t="s">
        <v>2877</v>
      </c>
      <c r="LTZ1333" s="4" t="s">
        <v>2877</v>
      </c>
      <c r="LUA1333" s="4" t="s">
        <v>2877</v>
      </c>
      <c r="LUB1333" s="4" t="s">
        <v>2877</v>
      </c>
      <c r="LUC1333" s="4" t="s">
        <v>2877</v>
      </c>
      <c r="LUD1333" s="4" t="s">
        <v>2877</v>
      </c>
      <c r="LUE1333" s="4" t="s">
        <v>2877</v>
      </c>
      <c r="LUF1333" s="4" t="s">
        <v>2877</v>
      </c>
      <c r="LUG1333" s="4" t="s">
        <v>2877</v>
      </c>
      <c r="LUH1333" s="4" t="s">
        <v>2877</v>
      </c>
      <c r="LUI1333" s="4" t="s">
        <v>2877</v>
      </c>
      <c r="LUJ1333" s="4" t="s">
        <v>2877</v>
      </c>
      <c r="LUK1333" s="4" t="s">
        <v>2877</v>
      </c>
      <c r="LUL1333" s="4" t="s">
        <v>2877</v>
      </c>
      <c r="LUM1333" s="4" t="s">
        <v>2877</v>
      </c>
      <c r="LUN1333" s="4" t="s">
        <v>2877</v>
      </c>
      <c r="LUO1333" s="4" t="s">
        <v>2877</v>
      </c>
      <c r="LUP1333" s="4" t="s">
        <v>2877</v>
      </c>
      <c r="LUQ1333" s="4" t="s">
        <v>2877</v>
      </c>
      <c r="LUR1333" s="4" t="s">
        <v>2877</v>
      </c>
      <c r="LUS1333" s="4" t="s">
        <v>2877</v>
      </c>
      <c r="LUT1333" s="4" t="s">
        <v>2877</v>
      </c>
      <c r="LUU1333" s="4" t="s">
        <v>2877</v>
      </c>
      <c r="LUV1333" s="4" t="s">
        <v>2877</v>
      </c>
      <c r="LUW1333" s="4" t="s">
        <v>2877</v>
      </c>
      <c r="LUX1333" s="4" t="s">
        <v>2877</v>
      </c>
      <c r="LUY1333" s="4" t="s">
        <v>2877</v>
      </c>
      <c r="LUZ1333" s="4" t="s">
        <v>2877</v>
      </c>
      <c r="LVA1333" s="4" t="s">
        <v>2877</v>
      </c>
      <c r="LVB1333" s="4" t="s">
        <v>2877</v>
      </c>
      <c r="LVC1333" s="4" t="s">
        <v>2877</v>
      </c>
      <c r="LVD1333" s="4" t="s">
        <v>2877</v>
      </c>
      <c r="LVE1333" s="4" t="s">
        <v>2877</v>
      </c>
      <c r="LVF1333" s="4" t="s">
        <v>2877</v>
      </c>
      <c r="LVG1333" s="4" t="s">
        <v>2877</v>
      </c>
      <c r="LVH1333" s="4" t="s">
        <v>2877</v>
      </c>
      <c r="LVI1333" s="4" t="s">
        <v>2877</v>
      </c>
      <c r="LVJ1333" s="4" t="s">
        <v>2877</v>
      </c>
      <c r="LVK1333" s="4" t="s">
        <v>2877</v>
      </c>
      <c r="LVL1333" s="4" t="s">
        <v>2877</v>
      </c>
      <c r="LVM1333" s="4" t="s">
        <v>2877</v>
      </c>
      <c r="LVN1333" s="4" t="s">
        <v>2877</v>
      </c>
      <c r="LVO1333" s="4" t="s">
        <v>2877</v>
      </c>
      <c r="LVP1333" s="4" t="s">
        <v>2877</v>
      </c>
      <c r="LVQ1333" s="4" t="s">
        <v>2877</v>
      </c>
      <c r="LVR1333" s="4" t="s">
        <v>2877</v>
      </c>
      <c r="LVS1333" s="4" t="s">
        <v>2877</v>
      </c>
      <c r="LVT1333" s="4" t="s">
        <v>2877</v>
      </c>
      <c r="LVU1333" s="4" t="s">
        <v>2877</v>
      </c>
      <c r="LVV1333" s="4" t="s">
        <v>2877</v>
      </c>
      <c r="LVW1333" s="4" t="s">
        <v>2877</v>
      </c>
      <c r="LVX1333" s="4" t="s">
        <v>2877</v>
      </c>
      <c r="LVY1333" s="4" t="s">
        <v>2877</v>
      </c>
      <c r="LVZ1333" s="4" t="s">
        <v>2877</v>
      </c>
      <c r="LWA1333" s="4" t="s">
        <v>2877</v>
      </c>
      <c r="LWB1333" s="4" t="s">
        <v>2877</v>
      </c>
      <c r="LWC1333" s="4" t="s">
        <v>2877</v>
      </c>
      <c r="LWD1333" s="4" t="s">
        <v>2877</v>
      </c>
      <c r="LWE1333" s="4" t="s">
        <v>2877</v>
      </c>
      <c r="LWF1333" s="4" t="s">
        <v>2877</v>
      </c>
      <c r="LWG1333" s="4" t="s">
        <v>2877</v>
      </c>
      <c r="LWH1333" s="4" t="s">
        <v>2877</v>
      </c>
      <c r="LWI1333" s="4" t="s">
        <v>2877</v>
      </c>
      <c r="LWJ1333" s="4" t="s">
        <v>2877</v>
      </c>
      <c r="LWK1333" s="4" t="s">
        <v>2877</v>
      </c>
      <c r="LWL1333" s="4" t="s">
        <v>2877</v>
      </c>
      <c r="LWM1333" s="4" t="s">
        <v>2877</v>
      </c>
      <c r="LWN1333" s="4" t="s">
        <v>2877</v>
      </c>
      <c r="LWO1333" s="4" t="s">
        <v>2877</v>
      </c>
      <c r="LWP1333" s="4" t="s">
        <v>2877</v>
      </c>
      <c r="LWQ1333" s="4" t="s">
        <v>2877</v>
      </c>
      <c r="LWR1333" s="4" t="s">
        <v>2877</v>
      </c>
      <c r="LWS1333" s="4" t="s">
        <v>2877</v>
      </c>
      <c r="LWT1333" s="4" t="s">
        <v>2877</v>
      </c>
      <c r="LWU1333" s="4" t="s">
        <v>2877</v>
      </c>
      <c r="LWV1333" s="4" t="s">
        <v>2877</v>
      </c>
      <c r="LWW1333" s="4" t="s">
        <v>2877</v>
      </c>
      <c r="LWX1333" s="4" t="s">
        <v>2877</v>
      </c>
      <c r="LWY1333" s="4" t="s">
        <v>2877</v>
      </c>
      <c r="LWZ1333" s="4" t="s">
        <v>2877</v>
      </c>
      <c r="LXA1333" s="4" t="s">
        <v>2877</v>
      </c>
      <c r="LXB1333" s="4" t="s">
        <v>2877</v>
      </c>
      <c r="LXC1333" s="4" t="s">
        <v>2877</v>
      </c>
      <c r="LXD1333" s="4" t="s">
        <v>2877</v>
      </c>
      <c r="LXE1333" s="4" t="s">
        <v>2877</v>
      </c>
      <c r="LXF1333" s="4" t="s">
        <v>2877</v>
      </c>
      <c r="LXG1333" s="4" t="s">
        <v>2877</v>
      </c>
      <c r="LXH1333" s="4" t="s">
        <v>2877</v>
      </c>
      <c r="LXI1333" s="4" t="s">
        <v>2877</v>
      </c>
      <c r="LXJ1333" s="4" t="s">
        <v>2877</v>
      </c>
      <c r="LXK1333" s="4" t="s">
        <v>2877</v>
      </c>
      <c r="LXL1333" s="4" t="s">
        <v>2877</v>
      </c>
      <c r="LXM1333" s="4" t="s">
        <v>2877</v>
      </c>
      <c r="LXN1333" s="4" t="s">
        <v>2877</v>
      </c>
      <c r="LXO1333" s="4" t="s">
        <v>2877</v>
      </c>
      <c r="LXP1333" s="4" t="s">
        <v>2877</v>
      </c>
      <c r="LXQ1333" s="4" t="s">
        <v>2877</v>
      </c>
      <c r="LXR1333" s="4" t="s">
        <v>2877</v>
      </c>
      <c r="LXS1333" s="4" t="s">
        <v>2877</v>
      </c>
      <c r="LXT1333" s="4" t="s">
        <v>2877</v>
      </c>
      <c r="LXU1333" s="4" t="s">
        <v>2877</v>
      </c>
      <c r="LXV1333" s="4" t="s">
        <v>2877</v>
      </c>
      <c r="LXW1333" s="4" t="s">
        <v>2877</v>
      </c>
      <c r="LXX1333" s="4" t="s">
        <v>2877</v>
      </c>
      <c r="LXY1333" s="4" t="s">
        <v>2877</v>
      </c>
      <c r="LXZ1333" s="4" t="s">
        <v>2877</v>
      </c>
      <c r="LYA1333" s="4" t="s">
        <v>2877</v>
      </c>
      <c r="LYB1333" s="4" t="s">
        <v>2877</v>
      </c>
      <c r="LYC1333" s="4" t="s">
        <v>2877</v>
      </c>
      <c r="LYD1333" s="4" t="s">
        <v>2877</v>
      </c>
      <c r="LYE1333" s="4" t="s">
        <v>2877</v>
      </c>
      <c r="LYF1333" s="4" t="s">
        <v>2877</v>
      </c>
      <c r="LYG1333" s="4" t="s">
        <v>2877</v>
      </c>
      <c r="LYH1333" s="4" t="s">
        <v>2877</v>
      </c>
      <c r="LYI1333" s="4" t="s">
        <v>2877</v>
      </c>
      <c r="LYJ1333" s="4" t="s">
        <v>2877</v>
      </c>
      <c r="LYK1333" s="4" t="s">
        <v>2877</v>
      </c>
      <c r="LYL1333" s="4" t="s">
        <v>2877</v>
      </c>
      <c r="LYM1333" s="4" t="s">
        <v>2877</v>
      </c>
      <c r="LYN1333" s="4" t="s">
        <v>2877</v>
      </c>
      <c r="LYO1333" s="4" t="s">
        <v>2877</v>
      </c>
      <c r="LYP1333" s="4" t="s">
        <v>2877</v>
      </c>
      <c r="LYQ1333" s="4" t="s">
        <v>2877</v>
      </c>
      <c r="LYR1333" s="4" t="s">
        <v>2877</v>
      </c>
      <c r="LYS1333" s="4" t="s">
        <v>2877</v>
      </c>
      <c r="LYT1333" s="4" t="s">
        <v>2877</v>
      </c>
      <c r="LYU1333" s="4" t="s">
        <v>2877</v>
      </c>
      <c r="LYV1333" s="4" t="s">
        <v>2877</v>
      </c>
      <c r="LYW1333" s="4" t="s">
        <v>2877</v>
      </c>
      <c r="LYX1333" s="4" t="s">
        <v>2877</v>
      </c>
      <c r="LYY1333" s="4" t="s">
        <v>2877</v>
      </c>
      <c r="LYZ1333" s="4" t="s">
        <v>2877</v>
      </c>
      <c r="LZA1333" s="4" t="s">
        <v>2877</v>
      </c>
      <c r="LZB1333" s="4" t="s">
        <v>2877</v>
      </c>
      <c r="LZC1333" s="4" t="s">
        <v>2877</v>
      </c>
      <c r="LZD1333" s="4" t="s">
        <v>2877</v>
      </c>
      <c r="LZE1333" s="4" t="s">
        <v>2877</v>
      </c>
      <c r="LZF1333" s="4" t="s">
        <v>2877</v>
      </c>
      <c r="LZG1333" s="4" t="s">
        <v>2877</v>
      </c>
      <c r="LZH1333" s="4" t="s">
        <v>2877</v>
      </c>
      <c r="LZI1333" s="4" t="s">
        <v>2877</v>
      </c>
      <c r="LZJ1333" s="4" t="s">
        <v>2877</v>
      </c>
      <c r="LZK1333" s="4" t="s">
        <v>2877</v>
      </c>
      <c r="LZL1333" s="4" t="s">
        <v>2877</v>
      </c>
      <c r="LZM1333" s="4" t="s">
        <v>2877</v>
      </c>
      <c r="LZN1333" s="4" t="s">
        <v>2877</v>
      </c>
      <c r="LZO1333" s="4" t="s">
        <v>2877</v>
      </c>
      <c r="LZP1333" s="4" t="s">
        <v>2877</v>
      </c>
      <c r="LZQ1333" s="4" t="s">
        <v>2877</v>
      </c>
      <c r="LZR1333" s="4" t="s">
        <v>2877</v>
      </c>
      <c r="LZS1333" s="4" t="s">
        <v>2877</v>
      </c>
      <c r="LZT1333" s="4" t="s">
        <v>2877</v>
      </c>
      <c r="LZU1333" s="4" t="s">
        <v>2877</v>
      </c>
      <c r="LZV1333" s="4" t="s">
        <v>2877</v>
      </c>
      <c r="LZW1333" s="4" t="s">
        <v>2877</v>
      </c>
      <c r="LZX1333" s="4" t="s">
        <v>2877</v>
      </c>
      <c r="LZY1333" s="4" t="s">
        <v>2877</v>
      </c>
      <c r="LZZ1333" s="4" t="s">
        <v>2877</v>
      </c>
      <c r="MAA1333" s="4" t="s">
        <v>2877</v>
      </c>
      <c r="MAB1333" s="4" t="s">
        <v>2877</v>
      </c>
      <c r="MAC1333" s="4" t="s">
        <v>2877</v>
      </c>
      <c r="MAD1333" s="4" t="s">
        <v>2877</v>
      </c>
      <c r="MAE1333" s="4" t="s">
        <v>2877</v>
      </c>
      <c r="MAF1333" s="4" t="s">
        <v>2877</v>
      </c>
      <c r="MAG1333" s="4" t="s">
        <v>2877</v>
      </c>
      <c r="MAH1333" s="4" t="s">
        <v>2877</v>
      </c>
      <c r="MAI1333" s="4" t="s">
        <v>2877</v>
      </c>
      <c r="MAJ1333" s="4" t="s">
        <v>2877</v>
      </c>
      <c r="MAK1333" s="4" t="s">
        <v>2877</v>
      </c>
      <c r="MAL1333" s="4" t="s">
        <v>2877</v>
      </c>
      <c r="MAM1333" s="4" t="s">
        <v>2877</v>
      </c>
      <c r="MAN1333" s="4" t="s">
        <v>2877</v>
      </c>
      <c r="MAO1333" s="4" t="s">
        <v>2877</v>
      </c>
      <c r="MAP1333" s="4" t="s">
        <v>2877</v>
      </c>
      <c r="MAQ1333" s="4" t="s">
        <v>2877</v>
      </c>
      <c r="MAR1333" s="4" t="s">
        <v>2877</v>
      </c>
      <c r="MAS1333" s="4" t="s">
        <v>2877</v>
      </c>
      <c r="MAT1333" s="4" t="s">
        <v>2877</v>
      </c>
      <c r="MAU1333" s="4" t="s">
        <v>2877</v>
      </c>
      <c r="MAV1333" s="4" t="s">
        <v>2877</v>
      </c>
      <c r="MAW1333" s="4" t="s">
        <v>2877</v>
      </c>
      <c r="MAX1333" s="4" t="s">
        <v>2877</v>
      </c>
      <c r="MAY1333" s="4" t="s">
        <v>2877</v>
      </c>
      <c r="MAZ1333" s="4" t="s">
        <v>2877</v>
      </c>
      <c r="MBA1333" s="4" t="s">
        <v>2877</v>
      </c>
      <c r="MBB1333" s="4" t="s">
        <v>2877</v>
      </c>
      <c r="MBC1333" s="4" t="s">
        <v>2877</v>
      </c>
      <c r="MBD1333" s="4" t="s">
        <v>2877</v>
      </c>
      <c r="MBE1333" s="4" t="s">
        <v>2877</v>
      </c>
      <c r="MBF1333" s="4" t="s">
        <v>2877</v>
      </c>
      <c r="MBG1333" s="4" t="s">
        <v>2877</v>
      </c>
      <c r="MBH1333" s="4" t="s">
        <v>2877</v>
      </c>
      <c r="MBI1333" s="4" t="s">
        <v>2877</v>
      </c>
      <c r="MBJ1333" s="4" t="s">
        <v>2877</v>
      </c>
      <c r="MBK1333" s="4" t="s">
        <v>2877</v>
      </c>
      <c r="MBL1333" s="4" t="s">
        <v>2877</v>
      </c>
      <c r="MBM1333" s="4" t="s">
        <v>2877</v>
      </c>
      <c r="MBN1333" s="4" t="s">
        <v>2877</v>
      </c>
      <c r="MBO1333" s="4" t="s">
        <v>2877</v>
      </c>
      <c r="MBP1333" s="4" t="s">
        <v>2877</v>
      </c>
      <c r="MBQ1333" s="4" t="s">
        <v>2877</v>
      </c>
      <c r="MBR1333" s="4" t="s">
        <v>2877</v>
      </c>
      <c r="MBS1333" s="4" t="s">
        <v>2877</v>
      </c>
      <c r="MBT1333" s="4" t="s">
        <v>2877</v>
      </c>
      <c r="MBU1333" s="4" t="s">
        <v>2877</v>
      </c>
      <c r="MBV1333" s="4" t="s">
        <v>2877</v>
      </c>
      <c r="MBW1333" s="4" t="s">
        <v>2877</v>
      </c>
      <c r="MBX1333" s="4" t="s">
        <v>2877</v>
      </c>
      <c r="MBY1333" s="4" t="s">
        <v>2877</v>
      </c>
      <c r="MBZ1333" s="4" t="s">
        <v>2877</v>
      </c>
      <c r="MCA1333" s="4" t="s">
        <v>2877</v>
      </c>
      <c r="MCB1333" s="4" t="s">
        <v>2877</v>
      </c>
      <c r="MCC1333" s="4" t="s">
        <v>2877</v>
      </c>
      <c r="MCD1333" s="4" t="s">
        <v>2877</v>
      </c>
      <c r="MCE1333" s="4" t="s">
        <v>2877</v>
      </c>
      <c r="MCF1333" s="4" t="s">
        <v>2877</v>
      </c>
      <c r="MCG1333" s="4" t="s">
        <v>2877</v>
      </c>
      <c r="MCH1333" s="4" t="s">
        <v>2877</v>
      </c>
      <c r="MCI1333" s="4" t="s">
        <v>2877</v>
      </c>
      <c r="MCJ1333" s="4" t="s">
        <v>2877</v>
      </c>
      <c r="MCK1333" s="4" t="s">
        <v>2877</v>
      </c>
      <c r="MCL1333" s="4" t="s">
        <v>2877</v>
      </c>
      <c r="MCM1333" s="4" t="s">
        <v>2877</v>
      </c>
      <c r="MCN1333" s="4" t="s">
        <v>2877</v>
      </c>
      <c r="MCO1333" s="4" t="s">
        <v>2877</v>
      </c>
      <c r="MCP1333" s="4" t="s">
        <v>2877</v>
      </c>
      <c r="MCQ1333" s="4" t="s">
        <v>2877</v>
      </c>
      <c r="MCR1333" s="4" t="s">
        <v>2877</v>
      </c>
      <c r="MCS1333" s="4" t="s">
        <v>2877</v>
      </c>
      <c r="MCT1333" s="4" t="s">
        <v>2877</v>
      </c>
      <c r="MCU1333" s="4" t="s">
        <v>2877</v>
      </c>
      <c r="MCV1333" s="4" t="s">
        <v>2877</v>
      </c>
      <c r="MCW1333" s="4" t="s">
        <v>2877</v>
      </c>
      <c r="MCX1333" s="4" t="s">
        <v>2877</v>
      </c>
      <c r="MCY1333" s="4" t="s">
        <v>2877</v>
      </c>
      <c r="MCZ1333" s="4" t="s">
        <v>2877</v>
      </c>
      <c r="MDA1333" s="4" t="s">
        <v>2877</v>
      </c>
      <c r="MDB1333" s="4" t="s">
        <v>2877</v>
      </c>
      <c r="MDC1333" s="4" t="s">
        <v>2877</v>
      </c>
      <c r="MDD1333" s="4" t="s">
        <v>2877</v>
      </c>
      <c r="MDE1333" s="4" t="s">
        <v>2877</v>
      </c>
      <c r="MDF1333" s="4" t="s">
        <v>2877</v>
      </c>
      <c r="MDG1333" s="4" t="s">
        <v>2877</v>
      </c>
      <c r="MDH1333" s="4" t="s">
        <v>2877</v>
      </c>
      <c r="MDI1333" s="4" t="s">
        <v>2877</v>
      </c>
      <c r="MDJ1333" s="4" t="s">
        <v>2877</v>
      </c>
      <c r="MDK1333" s="4" t="s">
        <v>2877</v>
      </c>
      <c r="MDL1333" s="4" t="s">
        <v>2877</v>
      </c>
      <c r="MDM1333" s="4" t="s">
        <v>2877</v>
      </c>
      <c r="MDN1333" s="4" t="s">
        <v>2877</v>
      </c>
      <c r="MDO1333" s="4" t="s">
        <v>2877</v>
      </c>
      <c r="MDP1333" s="4" t="s">
        <v>2877</v>
      </c>
      <c r="MDQ1333" s="4" t="s">
        <v>2877</v>
      </c>
      <c r="MDR1333" s="4" t="s">
        <v>2877</v>
      </c>
      <c r="MDS1333" s="4" t="s">
        <v>2877</v>
      </c>
      <c r="MDT1333" s="4" t="s">
        <v>2877</v>
      </c>
      <c r="MDU1333" s="4" t="s">
        <v>2877</v>
      </c>
      <c r="MDV1333" s="4" t="s">
        <v>2877</v>
      </c>
      <c r="MDW1333" s="4" t="s">
        <v>2877</v>
      </c>
      <c r="MDX1333" s="4" t="s">
        <v>2877</v>
      </c>
      <c r="MDY1333" s="4" t="s">
        <v>2877</v>
      </c>
      <c r="MDZ1333" s="4" t="s">
        <v>2877</v>
      </c>
      <c r="MEA1333" s="4" t="s">
        <v>2877</v>
      </c>
      <c r="MEB1333" s="4" t="s">
        <v>2877</v>
      </c>
      <c r="MEC1333" s="4" t="s">
        <v>2877</v>
      </c>
      <c r="MED1333" s="4" t="s">
        <v>2877</v>
      </c>
      <c r="MEE1333" s="4" t="s">
        <v>2877</v>
      </c>
      <c r="MEF1333" s="4" t="s">
        <v>2877</v>
      </c>
      <c r="MEG1333" s="4" t="s">
        <v>2877</v>
      </c>
      <c r="MEH1333" s="4" t="s">
        <v>2877</v>
      </c>
      <c r="MEI1333" s="4" t="s">
        <v>2877</v>
      </c>
      <c r="MEJ1333" s="4" t="s">
        <v>2877</v>
      </c>
      <c r="MEK1333" s="4" t="s">
        <v>2877</v>
      </c>
      <c r="MEL1333" s="4" t="s">
        <v>2877</v>
      </c>
      <c r="MEM1333" s="4" t="s">
        <v>2877</v>
      </c>
      <c r="MEN1333" s="4" t="s">
        <v>2877</v>
      </c>
      <c r="MEO1333" s="4" t="s">
        <v>2877</v>
      </c>
      <c r="MEP1333" s="4" t="s">
        <v>2877</v>
      </c>
      <c r="MEQ1333" s="4" t="s">
        <v>2877</v>
      </c>
      <c r="MER1333" s="4" t="s">
        <v>2877</v>
      </c>
      <c r="MES1333" s="4" t="s">
        <v>2877</v>
      </c>
      <c r="MET1333" s="4" t="s">
        <v>2877</v>
      </c>
      <c r="MEU1333" s="4" t="s">
        <v>2877</v>
      </c>
      <c r="MEV1333" s="4" t="s">
        <v>2877</v>
      </c>
      <c r="MEW1333" s="4" t="s">
        <v>2877</v>
      </c>
      <c r="MEX1333" s="4" t="s">
        <v>2877</v>
      </c>
      <c r="MEY1333" s="4" t="s">
        <v>2877</v>
      </c>
      <c r="MEZ1333" s="4" t="s">
        <v>2877</v>
      </c>
      <c r="MFA1333" s="4" t="s">
        <v>2877</v>
      </c>
      <c r="MFB1333" s="4" t="s">
        <v>2877</v>
      </c>
      <c r="MFC1333" s="4" t="s">
        <v>2877</v>
      </c>
      <c r="MFD1333" s="4" t="s">
        <v>2877</v>
      </c>
      <c r="MFE1333" s="4" t="s">
        <v>2877</v>
      </c>
      <c r="MFF1333" s="4" t="s">
        <v>2877</v>
      </c>
      <c r="MFG1333" s="4" t="s">
        <v>2877</v>
      </c>
      <c r="MFH1333" s="4" t="s">
        <v>2877</v>
      </c>
      <c r="MFI1333" s="4" t="s">
        <v>2877</v>
      </c>
      <c r="MFJ1333" s="4" t="s">
        <v>2877</v>
      </c>
      <c r="MFK1333" s="4" t="s">
        <v>2877</v>
      </c>
      <c r="MFL1333" s="4" t="s">
        <v>2877</v>
      </c>
      <c r="MFM1333" s="4" t="s">
        <v>2877</v>
      </c>
      <c r="MFN1333" s="4" t="s">
        <v>2877</v>
      </c>
      <c r="MFO1333" s="4" t="s">
        <v>2877</v>
      </c>
      <c r="MFP1333" s="4" t="s">
        <v>2877</v>
      </c>
      <c r="MFQ1333" s="4" t="s">
        <v>2877</v>
      </c>
      <c r="MFR1333" s="4" t="s">
        <v>2877</v>
      </c>
      <c r="MFS1333" s="4" t="s">
        <v>2877</v>
      </c>
      <c r="MFT1333" s="4" t="s">
        <v>2877</v>
      </c>
      <c r="MFU1333" s="4" t="s">
        <v>2877</v>
      </c>
      <c r="MFV1333" s="4" t="s">
        <v>2877</v>
      </c>
      <c r="MFW1333" s="4" t="s">
        <v>2877</v>
      </c>
      <c r="MFX1333" s="4" t="s">
        <v>2877</v>
      </c>
      <c r="MFY1333" s="4" t="s">
        <v>2877</v>
      </c>
      <c r="MFZ1333" s="4" t="s">
        <v>2877</v>
      </c>
      <c r="MGA1333" s="4" t="s">
        <v>2877</v>
      </c>
      <c r="MGB1333" s="4" t="s">
        <v>2877</v>
      </c>
      <c r="MGC1333" s="4" t="s">
        <v>2877</v>
      </c>
      <c r="MGD1333" s="4" t="s">
        <v>2877</v>
      </c>
      <c r="MGE1333" s="4" t="s">
        <v>2877</v>
      </c>
      <c r="MGF1333" s="4" t="s">
        <v>2877</v>
      </c>
      <c r="MGG1333" s="4" t="s">
        <v>2877</v>
      </c>
      <c r="MGH1333" s="4" t="s">
        <v>2877</v>
      </c>
      <c r="MGI1333" s="4" t="s">
        <v>2877</v>
      </c>
      <c r="MGJ1333" s="4" t="s">
        <v>2877</v>
      </c>
      <c r="MGK1333" s="4" t="s">
        <v>2877</v>
      </c>
      <c r="MGL1333" s="4" t="s">
        <v>2877</v>
      </c>
      <c r="MGM1333" s="4" t="s">
        <v>2877</v>
      </c>
      <c r="MGN1333" s="4" t="s">
        <v>2877</v>
      </c>
      <c r="MGO1333" s="4" t="s">
        <v>2877</v>
      </c>
      <c r="MGP1333" s="4" t="s">
        <v>2877</v>
      </c>
      <c r="MGQ1333" s="4" t="s">
        <v>2877</v>
      </c>
      <c r="MGR1333" s="4" t="s">
        <v>2877</v>
      </c>
      <c r="MGS1333" s="4" t="s">
        <v>2877</v>
      </c>
      <c r="MGT1333" s="4" t="s">
        <v>2877</v>
      </c>
      <c r="MGU1333" s="4" t="s">
        <v>2877</v>
      </c>
      <c r="MGV1333" s="4" t="s">
        <v>2877</v>
      </c>
      <c r="MGW1333" s="4" t="s">
        <v>2877</v>
      </c>
      <c r="MGX1333" s="4" t="s">
        <v>2877</v>
      </c>
      <c r="MGY1333" s="4" t="s">
        <v>2877</v>
      </c>
      <c r="MGZ1333" s="4" t="s">
        <v>2877</v>
      </c>
      <c r="MHA1333" s="4" t="s">
        <v>2877</v>
      </c>
      <c r="MHB1333" s="4" t="s">
        <v>2877</v>
      </c>
      <c r="MHC1333" s="4" t="s">
        <v>2877</v>
      </c>
      <c r="MHD1333" s="4" t="s">
        <v>2877</v>
      </c>
      <c r="MHE1333" s="4" t="s">
        <v>2877</v>
      </c>
      <c r="MHF1333" s="4" t="s">
        <v>2877</v>
      </c>
      <c r="MHG1333" s="4" t="s">
        <v>2877</v>
      </c>
      <c r="MHH1333" s="4" t="s">
        <v>2877</v>
      </c>
      <c r="MHI1333" s="4" t="s">
        <v>2877</v>
      </c>
      <c r="MHJ1333" s="4" t="s">
        <v>2877</v>
      </c>
      <c r="MHK1333" s="4" t="s">
        <v>2877</v>
      </c>
      <c r="MHL1333" s="4" t="s">
        <v>2877</v>
      </c>
      <c r="MHM1333" s="4" t="s">
        <v>2877</v>
      </c>
      <c r="MHN1333" s="4" t="s">
        <v>2877</v>
      </c>
      <c r="MHO1333" s="4" t="s">
        <v>2877</v>
      </c>
      <c r="MHP1333" s="4" t="s">
        <v>2877</v>
      </c>
      <c r="MHQ1333" s="4" t="s">
        <v>2877</v>
      </c>
      <c r="MHR1333" s="4" t="s">
        <v>2877</v>
      </c>
      <c r="MHS1333" s="4" t="s">
        <v>2877</v>
      </c>
      <c r="MHT1333" s="4" t="s">
        <v>2877</v>
      </c>
      <c r="MHU1333" s="4" t="s">
        <v>2877</v>
      </c>
      <c r="MHV1333" s="4" t="s">
        <v>2877</v>
      </c>
      <c r="MHW1333" s="4" t="s">
        <v>2877</v>
      </c>
      <c r="MHX1333" s="4" t="s">
        <v>2877</v>
      </c>
      <c r="MHY1333" s="4" t="s">
        <v>2877</v>
      </c>
      <c r="MHZ1333" s="4" t="s">
        <v>2877</v>
      </c>
      <c r="MIA1333" s="4" t="s">
        <v>2877</v>
      </c>
      <c r="MIB1333" s="4" t="s">
        <v>2877</v>
      </c>
      <c r="MIC1333" s="4" t="s">
        <v>2877</v>
      </c>
      <c r="MID1333" s="4" t="s">
        <v>2877</v>
      </c>
      <c r="MIE1333" s="4" t="s">
        <v>2877</v>
      </c>
      <c r="MIF1333" s="4" t="s">
        <v>2877</v>
      </c>
      <c r="MIG1333" s="4" t="s">
        <v>2877</v>
      </c>
      <c r="MIH1333" s="4" t="s">
        <v>2877</v>
      </c>
      <c r="MII1333" s="4" t="s">
        <v>2877</v>
      </c>
      <c r="MIJ1333" s="4" t="s">
        <v>2877</v>
      </c>
      <c r="MIK1333" s="4" t="s">
        <v>2877</v>
      </c>
      <c r="MIL1333" s="4" t="s">
        <v>2877</v>
      </c>
      <c r="MIM1333" s="4" t="s">
        <v>2877</v>
      </c>
      <c r="MIN1333" s="4" t="s">
        <v>2877</v>
      </c>
      <c r="MIO1333" s="4" t="s">
        <v>2877</v>
      </c>
      <c r="MIP1333" s="4" t="s">
        <v>2877</v>
      </c>
      <c r="MIQ1333" s="4" t="s">
        <v>2877</v>
      </c>
      <c r="MIR1333" s="4" t="s">
        <v>2877</v>
      </c>
      <c r="MIS1333" s="4" t="s">
        <v>2877</v>
      </c>
      <c r="MIT1333" s="4" t="s">
        <v>2877</v>
      </c>
      <c r="MIU1333" s="4" t="s">
        <v>2877</v>
      </c>
      <c r="MIV1333" s="4" t="s">
        <v>2877</v>
      </c>
      <c r="MIW1333" s="4" t="s">
        <v>2877</v>
      </c>
      <c r="MIX1333" s="4" t="s">
        <v>2877</v>
      </c>
      <c r="MIY1333" s="4" t="s">
        <v>2877</v>
      </c>
      <c r="MIZ1333" s="4" t="s">
        <v>2877</v>
      </c>
      <c r="MJA1333" s="4" t="s">
        <v>2877</v>
      </c>
      <c r="MJB1333" s="4" t="s">
        <v>2877</v>
      </c>
      <c r="MJC1333" s="4" t="s">
        <v>2877</v>
      </c>
      <c r="MJD1333" s="4" t="s">
        <v>2877</v>
      </c>
      <c r="MJE1333" s="4" t="s">
        <v>2877</v>
      </c>
      <c r="MJF1333" s="4" t="s">
        <v>2877</v>
      </c>
      <c r="MJG1333" s="4" t="s">
        <v>2877</v>
      </c>
      <c r="MJH1333" s="4" t="s">
        <v>2877</v>
      </c>
      <c r="MJI1333" s="4" t="s">
        <v>2877</v>
      </c>
      <c r="MJJ1333" s="4" t="s">
        <v>2877</v>
      </c>
      <c r="MJK1333" s="4" t="s">
        <v>2877</v>
      </c>
      <c r="MJL1333" s="4" t="s">
        <v>2877</v>
      </c>
      <c r="MJM1333" s="4" t="s">
        <v>2877</v>
      </c>
      <c r="MJN1333" s="4" t="s">
        <v>2877</v>
      </c>
      <c r="MJO1333" s="4" t="s">
        <v>2877</v>
      </c>
      <c r="MJP1333" s="4" t="s">
        <v>2877</v>
      </c>
      <c r="MJQ1333" s="4" t="s">
        <v>2877</v>
      </c>
      <c r="MJR1333" s="4" t="s">
        <v>2877</v>
      </c>
      <c r="MJS1333" s="4" t="s">
        <v>2877</v>
      </c>
      <c r="MJT1333" s="4" t="s">
        <v>2877</v>
      </c>
      <c r="MJU1333" s="4" t="s">
        <v>2877</v>
      </c>
      <c r="MJV1333" s="4" t="s">
        <v>2877</v>
      </c>
      <c r="MJW1333" s="4" t="s">
        <v>2877</v>
      </c>
      <c r="MJX1333" s="4" t="s">
        <v>2877</v>
      </c>
      <c r="MJY1333" s="4" t="s">
        <v>2877</v>
      </c>
      <c r="MJZ1333" s="4" t="s">
        <v>2877</v>
      </c>
      <c r="MKA1333" s="4" t="s">
        <v>2877</v>
      </c>
      <c r="MKB1333" s="4" t="s">
        <v>2877</v>
      </c>
      <c r="MKC1333" s="4" t="s">
        <v>2877</v>
      </c>
      <c r="MKD1333" s="4" t="s">
        <v>2877</v>
      </c>
      <c r="MKE1333" s="4" t="s">
        <v>2877</v>
      </c>
      <c r="MKF1333" s="4" t="s">
        <v>2877</v>
      </c>
      <c r="MKG1333" s="4" t="s">
        <v>2877</v>
      </c>
      <c r="MKH1333" s="4" t="s">
        <v>2877</v>
      </c>
      <c r="MKI1333" s="4" t="s">
        <v>2877</v>
      </c>
      <c r="MKJ1333" s="4" t="s">
        <v>2877</v>
      </c>
      <c r="MKK1333" s="4" t="s">
        <v>2877</v>
      </c>
      <c r="MKL1333" s="4" t="s">
        <v>2877</v>
      </c>
      <c r="MKM1333" s="4" t="s">
        <v>2877</v>
      </c>
      <c r="MKN1333" s="4" t="s">
        <v>2877</v>
      </c>
      <c r="MKO1333" s="4" t="s">
        <v>2877</v>
      </c>
      <c r="MKP1333" s="4" t="s">
        <v>2877</v>
      </c>
      <c r="MKQ1333" s="4" t="s">
        <v>2877</v>
      </c>
      <c r="MKR1333" s="4" t="s">
        <v>2877</v>
      </c>
      <c r="MKS1333" s="4" t="s">
        <v>2877</v>
      </c>
      <c r="MKT1333" s="4" t="s">
        <v>2877</v>
      </c>
      <c r="MKU1333" s="4" t="s">
        <v>2877</v>
      </c>
      <c r="MKV1333" s="4" t="s">
        <v>2877</v>
      </c>
      <c r="MKW1333" s="4" t="s">
        <v>2877</v>
      </c>
      <c r="MKX1333" s="4" t="s">
        <v>2877</v>
      </c>
      <c r="MKY1333" s="4" t="s">
        <v>2877</v>
      </c>
      <c r="MKZ1333" s="4" t="s">
        <v>2877</v>
      </c>
      <c r="MLA1333" s="4" t="s">
        <v>2877</v>
      </c>
      <c r="MLB1333" s="4" t="s">
        <v>2877</v>
      </c>
      <c r="MLC1333" s="4" t="s">
        <v>2877</v>
      </c>
      <c r="MLD1333" s="4" t="s">
        <v>2877</v>
      </c>
      <c r="MLE1333" s="4" t="s">
        <v>2877</v>
      </c>
      <c r="MLF1333" s="4" t="s">
        <v>2877</v>
      </c>
      <c r="MLG1333" s="4" t="s">
        <v>2877</v>
      </c>
      <c r="MLH1333" s="4" t="s">
        <v>2877</v>
      </c>
      <c r="MLI1333" s="4" t="s">
        <v>2877</v>
      </c>
      <c r="MLJ1333" s="4" t="s">
        <v>2877</v>
      </c>
      <c r="MLK1333" s="4" t="s">
        <v>2877</v>
      </c>
      <c r="MLL1333" s="4" t="s">
        <v>2877</v>
      </c>
      <c r="MLM1333" s="4" t="s">
        <v>2877</v>
      </c>
      <c r="MLN1333" s="4" t="s">
        <v>2877</v>
      </c>
      <c r="MLO1333" s="4" t="s">
        <v>2877</v>
      </c>
      <c r="MLP1333" s="4" t="s">
        <v>2877</v>
      </c>
      <c r="MLQ1333" s="4" t="s">
        <v>2877</v>
      </c>
      <c r="MLR1333" s="4" t="s">
        <v>2877</v>
      </c>
      <c r="MLS1333" s="4" t="s">
        <v>2877</v>
      </c>
      <c r="MLT1333" s="4" t="s">
        <v>2877</v>
      </c>
      <c r="MLU1333" s="4" t="s">
        <v>2877</v>
      </c>
      <c r="MLV1333" s="4" t="s">
        <v>2877</v>
      </c>
      <c r="MLW1333" s="4" t="s">
        <v>2877</v>
      </c>
      <c r="MLX1333" s="4" t="s">
        <v>2877</v>
      </c>
      <c r="MLY1333" s="4" t="s">
        <v>2877</v>
      </c>
      <c r="MLZ1333" s="4" t="s">
        <v>2877</v>
      </c>
      <c r="MMA1333" s="4" t="s">
        <v>2877</v>
      </c>
      <c r="MMB1333" s="4" t="s">
        <v>2877</v>
      </c>
      <c r="MMC1333" s="4" t="s">
        <v>2877</v>
      </c>
      <c r="MMD1333" s="4" t="s">
        <v>2877</v>
      </c>
      <c r="MME1333" s="4" t="s">
        <v>2877</v>
      </c>
      <c r="MMF1333" s="4" t="s">
        <v>2877</v>
      </c>
      <c r="MMG1333" s="4" t="s">
        <v>2877</v>
      </c>
      <c r="MMH1333" s="4" t="s">
        <v>2877</v>
      </c>
      <c r="MMI1333" s="4" t="s">
        <v>2877</v>
      </c>
      <c r="MMJ1333" s="4" t="s">
        <v>2877</v>
      </c>
      <c r="MMK1333" s="4" t="s">
        <v>2877</v>
      </c>
      <c r="MML1333" s="4" t="s">
        <v>2877</v>
      </c>
      <c r="MMM1333" s="4" t="s">
        <v>2877</v>
      </c>
      <c r="MMN1333" s="4" t="s">
        <v>2877</v>
      </c>
      <c r="MMO1333" s="4" t="s">
        <v>2877</v>
      </c>
      <c r="MMP1333" s="4" t="s">
        <v>2877</v>
      </c>
      <c r="MMQ1333" s="4" t="s">
        <v>2877</v>
      </c>
      <c r="MMR1333" s="4" t="s">
        <v>2877</v>
      </c>
      <c r="MMS1333" s="4" t="s">
        <v>2877</v>
      </c>
      <c r="MMT1333" s="4" t="s">
        <v>2877</v>
      </c>
      <c r="MMU1333" s="4" t="s">
        <v>2877</v>
      </c>
      <c r="MMV1333" s="4" t="s">
        <v>2877</v>
      </c>
      <c r="MMW1333" s="4" t="s">
        <v>2877</v>
      </c>
      <c r="MMX1333" s="4" t="s">
        <v>2877</v>
      </c>
      <c r="MMY1333" s="4" t="s">
        <v>2877</v>
      </c>
      <c r="MMZ1333" s="4" t="s">
        <v>2877</v>
      </c>
      <c r="MNA1333" s="4" t="s">
        <v>2877</v>
      </c>
      <c r="MNB1333" s="4" t="s">
        <v>2877</v>
      </c>
      <c r="MNC1333" s="4" t="s">
        <v>2877</v>
      </c>
      <c r="MND1333" s="4" t="s">
        <v>2877</v>
      </c>
      <c r="MNE1333" s="4" t="s">
        <v>2877</v>
      </c>
      <c r="MNF1333" s="4" t="s">
        <v>2877</v>
      </c>
      <c r="MNG1333" s="4" t="s">
        <v>2877</v>
      </c>
      <c r="MNH1333" s="4" t="s">
        <v>2877</v>
      </c>
      <c r="MNI1333" s="4" t="s">
        <v>2877</v>
      </c>
      <c r="MNJ1333" s="4" t="s">
        <v>2877</v>
      </c>
      <c r="MNK1333" s="4" t="s">
        <v>2877</v>
      </c>
      <c r="MNL1333" s="4" t="s">
        <v>2877</v>
      </c>
      <c r="MNM1333" s="4" t="s">
        <v>2877</v>
      </c>
      <c r="MNN1333" s="4" t="s">
        <v>2877</v>
      </c>
      <c r="MNO1333" s="4" t="s">
        <v>2877</v>
      </c>
      <c r="MNP1333" s="4" t="s">
        <v>2877</v>
      </c>
      <c r="MNQ1333" s="4" t="s">
        <v>2877</v>
      </c>
      <c r="MNR1333" s="4" t="s">
        <v>2877</v>
      </c>
      <c r="MNS1333" s="4" t="s">
        <v>2877</v>
      </c>
      <c r="MNT1333" s="4" t="s">
        <v>2877</v>
      </c>
      <c r="MNU1333" s="4" t="s">
        <v>2877</v>
      </c>
      <c r="MNV1333" s="4" t="s">
        <v>2877</v>
      </c>
      <c r="MNW1333" s="4" t="s">
        <v>2877</v>
      </c>
      <c r="MNX1333" s="4" t="s">
        <v>2877</v>
      </c>
      <c r="MNY1333" s="4" t="s">
        <v>2877</v>
      </c>
      <c r="MNZ1333" s="4" t="s">
        <v>2877</v>
      </c>
      <c r="MOA1333" s="4" t="s">
        <v>2877</v>
      </c>
      <c r="MOB1333" s="4" t="s">
        <v>2877</v>
      </c>
      <c r="MOC1333" s="4" t="s">
        <v>2877</v>
      </c>
      <c r="MOD1333" s="4" t="s">
        <v>2877</v>
      </c>
      <c r="MOE1333" s="4" t="s">
        <v>2877</v>
      </c>
      <c r="MOF1333" s="4" t="s">
        <v>2877</v>
      </c>
      <c r="MOG1333" s="4" t="s">
        <v>2877</v>
      </c>
      <c r="MOH1333" s="4" t="s">
        <v>2877</v>
      </c>
      <c r="MOI1333" s="4" t="s">
        <v>2877</v>
      </c>
      <c r="MOJ1333" s="4" t="s">
        <v>2877</v>
      </c>
      <c r="MOK1333" s="4" t="s">
        <v>2877</v>
      </c>
      <c r="MOL1333" s="4" t="s">
        <v>2877</v>
      </c>
      <c r="MOM1333" s="4" t="s">
        <v>2877</v>
      </c>
      <c r="MON1333" s="4" t="s">
        <v>2877</v>
      </c>
      <c r="MOO1333" s="4" t="s">
        <v>2877</v>
      </c>
      <c r="MOP1333" s="4" t="s">
        <v>2877</v>
      </c>
      <c r="MOQ1333" s="4" t="s">
        <v>2877</v>
      </c>
      <c r="MOR1333" s="4" t="s">
        <v>2877</v>
      </c>
      <c r="MOS1333" s="4" t="s">
        <v>2877</v>
      </c>
      <c r="MOT1333" s="4" t="s">
        <v>2877</v>
      </c>
      <c r="MOU1333" s="4" t="s">
        <v>2877</v>
      </c>
      <c r="MOV1333" s="4" t="s">
        <v>2877</v>
      </c>
      <c r="MOW1333" s="4" t="s">
        <v>2877</v>
      </c>
      <c r="MOX1333" s="4" t="s">
        <v>2877</v>
      </c>
      <c r="MOY1333" s="4" t="s">
        <v>2877</v>
      </c>
      <c r="MOZ1333" s="4" t="s">
        <v>2877</v>
      </c>
      <c r="MPA1333" s="4" t="s">
        <v>2877</v>
      </c>
      <c r="MPB1333" s="4" t="s">
        <v>2877</v>
      </c>
      <c r="MPC1333" s="4" t="s">
        <v>2877</v>
      </c>
      <c r="MPD1333" s="4" t="s">
        <v>2877</v>
      </c>
      <c r="MPE1333" s="4" t="s">
        <v>2877</v>
      </c>
      <c r="MPF1333" s="4" t="s">
        <v>2877</v>
      </c>
      <c r="MPG1333" s="4" t="s">
        <v>2877</v>
      </c>
      <c r="MPH1333" s="4" t="s">
        <v>2877</v>
      </c>
      <c r="MPI1333" s="4" t="s">
        <v>2877</v>
      </c>
      <c r="MPJ1333" s="4" t="s">
        <v>2877</v>
      </c>
      <c r="MPK1333" s="4" t="s">
        <v>2877</v>
      </c>
      <c r="MPL1333" s="4" t="s">
        <v>2877</v>
      </c>
      <c r="MPM1333" s="4" t="s">
        <v>2877</v>
      </c>
      <c r="MPN1333" s="4" t="s">
        <v>2877</v>
      </c>
      <c r="MPO1333" s="4" t="s">
        <v>2877</v>
      </c>
      <c r="MPP1333" s="4" t="s">
        <v>2877</v>
      </c>
      <c r="MPQ1333" s="4" t="s">
        <v>2877</v>
      </c>
      <c r="MPR1333" s="4" t="s">
        <v>2877</v>
      </c>
      <c r="MPS1333" s="4" t="s">
        <v>2877</v>
      </c>
      <c r="MPT1333" s="4" t="s">
        <v>2877</v>
      </c>
      <c r="MPU1333" s="4" t="s">
        <v>2877</v>
      </c>
      <c r="MPV1333" s="4" t="s">
        <v>2877</v>
      </c>
      <c r="MPW1333" s="4" t="s">
        <v>2877</v>
      </c>
      <c r="MPX1333" s="4" t="s">
        <v>2877</v>
      </c>
      <c r="MPY1333" s="4" t="s">
        <v>2877</v>
      </c>
      <c r="MPZ1333" s="4" t="s">
        <v>2877</v>
      </c>
      <c r="MQA1333" s="4" t="s">
        <v>2877</v>
      </c>
      <c r="MQB1333" s="4" t="s">
        <v>2877</v>
      </c>
      <c r="MQC1333" s="4" t="s">
        <v>2877</v>
      </c>
      <c r="MQD1333" s="4" t="s">
        <v>2877</v>
      </c>
      <c r="MQE1333" s="4" t="s">
        <v>2877</v>
      </c>
      <c r="MQF1333" s="4" t="s">
        <v>2877</v>
      </c>
      <c r="MQG1333" s="4" t="s">
        <v>2877</v>
      </c>
      <c r="MQH1333" s="4" t="s">
        <v>2877</v>
      </c>
      <c r="MQI1333" s="4" t="s">
        <v>2877</v>
      </c>
      <c r="MQJ1333" s="4" t="s">
        <v>2877</v>
      </c>
      <c r="MQK1333" s="4" t="s">
        <v>2877</v>
      </c>
      <c r="MQL1333" s="4" t="s">
        <v>2877</v>
      </c>
      <c r="MQM1333" s="4" t="s">
        <v>2877</v>
      </c>
      <c r="MQN1333" s="4" t="s">
        <v>2877</v>
      </c>
      <c r="MQO1333" s="4" t="s">
        <v>2877</v>
      </c>
      <c r="MQP1333" s="4" t="s">
        <v>2877</v>
      </c>
      <c r="MQQ1333" s="4" t="s">
        <v>2877</v>
      </c>
      <c r="MQR1333" s="4" t="s">
        <v>2877</v>
      </c>
      <c r="MQS1333" s="4" t="s">
        <v>2877</v>
      </c>
      <c r="MQT1333" s="4" t="s">
        <v>2877</v>
      </c>
      <c r="MQU1333" s="4" t="s">
        <v>2877</v>
      </c>
      <c r="MQV1333" s="4" t="s">
        <v>2877</v>
      </c>
      <c r="MQW1333" s="4" t="s">
        <v>2877</v>
      </c>
      <c r="MQX1333" s="4" t="s">
        <v>2877</v>
      </c>
      <c r="MQY1333" s="4" t="s">
        <v>2877</v>
      </c>
      <c r="MQZ1333" s="4" t="s">
        <v>2877</v>
      </c>
      <c r="MRA1333" s="4" t="s">
        <v>2877</v>
      </c>
      <c r="MRB1333" s="4" t="s">
        <v>2877</v>
      </c>
      <c r="MRC1333" s="4" t="s">
        <v>2877</v>
      </c>
      <c r="MRD1333" s="4" t="s">
        <v>2877</v>
      </c>
      <c r="MRE1333" s="4" t="s">
        <v>2877</v>
      </c>
      <c r="MRF1333" s="4" t="s">
        <v>2877</v>
      </c>
      <c r="MRG1333" s="4" t="s">
        <v>2877</v>
      </c>
      <c r="MRH1333" s="4" t="s">
        <v>2877</v>
      </c>
      <c r="MRI1333" s="4" t="s">
        <v>2877</v>
      </c>
      <c r="MRJ1333" s="4" t="s">
        <v>2877</v>
      </c>
      <c r="MRK1333" s="4" t="s">
        <v>2877</v>
      </c>
      <c r="MRL1333" s="4" t="s">
        <v>2877</v>
      </c>
      <c r="MRM1333" s="4" t="s">
        <v>2877</v>
      </c>
      <c r="MRN1333" s="4" t="s">
        <v>2877</v>
      </c>
      <c r="MRO1333" s="4" t="s">
        <v>2877</v>
      </c>
      <c r="MRP1333" s="4" t="s">
        <v>2877</v>
      </c>
      <c r="MRQ1333" s="4" t="s">
        <v>2877</v>
      </c>
      <c r="MRR1333" s="4" t="s">
        <v>2877</v>
      </c>
      <c r="MRS1333" s="4" t="s">
        <v>2877</v>
      </c>
      <c r="MRT1333" s="4" t="s">
        <v>2877</v>
      </c>
      <c r="MRU1333" s="4" t="s">
        <v>2877</v>
      </c>
      <c r="MRV1333" s="4" t="s">
        <v>2877</v>
      </c>
      <c r="MRW1333" s="4" t="s">
        <v>2877</v>
      </c>
      <c r="MRX1333" s="4" t="s">
        <v>2877</v>
      </c>
      <c r="MRY1333" s="4" t="s">
        <v>2877</v>
      </c>
      <c r="MRZ1333" s="4" t="s">
        <v>2877</v>
      </c>
      <c r="MSA1333" s="4" t="s">
        <v>2877</v>
      </c>
      <c r="MSB1333" s="4" t="s">
        <v>2877</v>
      </c>
      <c r="MSC1333" s="4" t="s">
        <v>2877</v>
      </c>
      <c r="MSD1333" s="4" t="s">
        <v>2877</v>
      </c>
      <c r="MSE1333" s="4" t="s">
        <v>2877</v>
      </c>
      <c r="MSF1333" s="4" t="s">
        <v>2877</v>
      </c>
      <c r="MSG1333" s="4" t="s">
        <v>2877</v>
      </c>
      <c r="MSH1333" s="4" t="s">
        <v>2877</v>
      </c>
      <c r="MSI1333" s="4" t="s">
        <v>2877</v>
      </c>
      <c r="MSJ1333" s="4" t="s">
        <v>2877</v>
      </c>
      <c r="MSK1333" s="4" t="s">
        <v>2877</v>
      </c>
      <c r="MSL1333" s="4" t="s">
        <v>2877</v>
      </c>
      <c r="MSM1333" s="4" t="s">
        <v>2877</v>
      </c>
      <c r="MSN1333" s="4" t="s">
        <v>2877</v>
      </c>
      <c r="MSO1333" s="4" t="s">
        <v>2877</v>
      </c>
      <c r="MSP1333" s="4" t="s">
        <v>2877</v>
      </c>
      <c r="MSQ1333" s="4" t="s">
        <v>2877</v>
      </c>
      <c r="MSR1333" s="4" t="s">
        <v>2877</v>
      </c>
      <c r="MSS1333" s="4" t="s">
        <v>2877</v>
      </c>
      <c r="MST1333" s="4" t="s">
        <v>2877</v>
      </c>
      <c r="MSU1333" s="4" t="s">
        <v>2877</v>
      </c>
      <c r="MSV1333" s="4" t="s">
        <v>2877</v>
      </c>
      <c r="MSW1333" s="4" t="s">
        <v>2877</v>
      </c>
      <c r="MSX1333" s="4" t="s">
        <v>2877</v>
      </c>
      <c r="MSY1333" s="4" t="s">
        <v>2877</v>
      </c>
      <c r="MSZ1333" s="4" t="s">
        <v>2877</v>
      </c>
      <c r="MTA1333" s="4" t="s">
        <v>2877</v>
      </c>
      <c r="MTB1333" s="4" t="s">
        <v>2877</v>
      </c>
      <c r="MTC1333" s="4" t="s">
        <v>2877</v>
      </c>
      <c r="MTD1333" s="4" t="s">
        <v>2877</v>
      </c>
      <c r="MTE1333" s="4" t="s">
        <v>2877</v>
      </c>
      <c r="MTF1333" s="4" t="s">
        <v>2877</v>
      </c>
      <c r="MTG1333" s="4" t="s">
        <v>2877</v>
      </c>
      <c r="MTH1333" s="4" t="s">
        <v>2877</v>
      </c>
      <c r="MTI1333" s="4" t="s">
        <v>2877</v>
      </c>
      <c r="MTJ1333" s="4" t="s">
        <v>2877</v>
      </c>
      <c r="MTK1333" s="4" t="s">
        <v>2877</v>
      </c>
      <c r="MTL1333" s="4" t="s">
        <v>2877</v>
      </c>
      <c r="MTM1333" s="4" t="s">
        <v>2877</v>
      </c>
      <c r="MTN1333" s="4" t="s">
        <v>2877</v>
      </c>
      <c r="MTO1333" s="4" t="s">
        <v>2877</v>
      </c>
      <c r="MTP1333" s="4" t="s">
        <v>2877</v>
      </c>
      <c r="MTQ1333" s="4" t="s">
        <v>2877</v>
      </c>
      <c r="MTR1333" s="4" t="s">
        <v>2877</v>
      </c>
      <c r="MTS1333" s="4" t="s">
        <v>2877</v>
      </c>
      <c r="MTT1333" s="4" t="s">
        <v>2877</v>
      </c>
      <c r="MTU1333" s="4" t="s">
        <v>2877</v>
      </c>
      <c r="MTV1333" s="4" t="s">
        <v>2877</v>
      </c>
      <c r="MTW1333" s="4" t="s">
        <v>2877</v>
      </c>
      <c r="MTX1333" s="4" t="s">
        <v>2877</v>
      </c>
      <c r="MTY1333" s="4" t="s">
        <v>2877</v>
      </c>
      <c r="MTZ1333" s="4" t="s">
        <v>2877</v>
      </c>
      <c r="MUA1333" s="4" t="s">
        <v>2877</v>
      </c>
      <c r="MUB1333" s="4" t="s">
        <v>2877</v>
      </c>
      <c r="MUC1333" s="4" t="s">
        <v>2877</v>
      </c>
      <c r="MUD1333" s="4" t="s">
        <v>2877</v>
      </c>
      <c r="MUE1333" s="4" t="s">
        <v>2877</v>
      </c>
      <c r="MUF1333" s="4" t="s">
        <v>2877</v>
      </c>
      <c r="MUG1333" s="4" t="s">
        <v>2877</v>
      </c>
      <c r="MUH1333" s="4" t="s">
        <v>2877</v>
      </c>
      <c r="MUI1333" s="4" t="s">
        <v>2877</v>
      </c>
      <c r="MUJ1333" s="4" t="s">
        <v>2877</v>
      </c>
      <c r="MUK1333" s="4" t="s">
        <v>2877</v>
      </c>
      <c r="MUL1333" s="4" t="s">
        <v>2877</v>
      </c>
      <c r="MUM1333" s="4" t="s">
        <v>2877</v>
      </c>
      <c r="MUN1333" s="4" t="s">
        <v>2877</v>
      </c>
      <c r="MUO1333" s="4" t="s">
        <v>2877</v>
      </c>
      <c r="MUP1333" s="4" t="s">
        <v>2877</v>
      </c>
      <c r="MUQ1333" s="4" t="s">
        <v>2877</v>
      </c>
      <c r="MUR1333" s="4" t="s">
        <v>2877</v>
      </c>
      <c r="MUS1333" s="4" t="s">
        <v>2877</v>
      </c>
      <c r="MUT1333" s="4" t="s">
        <v>2877</v>
      </c>
      <c r="MUU1333" s="4" t="s">
        <v>2877</v>
      </c>
      <c r="MUV1333" s="4" t="s">
        <v>2877</v>
      </c>
      <c r="MUW1333" s="4" t="s">
        <v>2877</v>
      </c>
      <c r="MUX1333" s="4" t="s">
        <v>2877</v>
      </c>
      <c r="MUY1333" s="4" t="s">
        <v>2877</v>
      </c>
      <c r="MUZ1333" s="4" t="s">
        <v>2877</v>
      </c>
      <c r="MVA1333" s="4" t="s">
        <v>2877</v>
      </c>
      <c r="MVB1333" s="4" t="s">
        <v>2877</v>
      </c>
      <c r="MVC1333" s="4" t="s">
        <v>2877</v>
      </c>
      <c r="MVD1333" s="4" t="s">
        <v>2877</v>
      </c>
      <c r="MVE1333" s="4" t="s">
        <v>2877</v>
      </c>
      <c r="MVF1333" s="4" t="s">
        <v>2877</v>
      </c>
      <c r="MVG1333" s="4" t="s">
        <v>2877</v>
      </c>
      <c r="MVH1333" s="4" t="s">
        <v>2877</v>
      </c>
      <c r="MVI1333" s="4" t="s">
        <v>2877</v>
      </c>
      <c r="MVJ1333" s="4" t="s">
        <v>2877</v>
      </c>
      <c r="MVK1333" s="4" t="s">
        <v>2877</v>
      </c>
      <c r="MVL1333" s="4" t="s">
        <v>2877</v>
      </c>
      <c r="MVM1333" s="4" t="s">
        <v>2877</v>
      </c>
      <c r="MVN1333" s="4" t="s">
        <v>2877</v>
      </c>
      <c r="MVO1333" s="4" t="s">
        <v>2877</v>
      </c>
      <c r="MVP1333" s="4" t="s">
        <v>2877</v>
      </c>
      <c r="MVQ1333" s="4" t="s">
        <v>2877</v>
      </c>
      <c r="MVR1333" s="4" t="s">
        <v>2877</v>
      </c>
      <c r="MVS1333" s="4" t="s">
        <v>2877</v>
      </c>
      <c r="MVT1333" s="4" t="s">
        <v>2877</v>
      </c>
      <c r="MVU1333" s="4" t="s">
        <v>2877</v>
      </c>
      <c r="MVV1333" s="4" t="s">
        <v>2877</v>
      </c>
      <c r="MVW1333" s="4" t="s">
        <v>2877</v>
      </c>
      <c r="MVX1333" s="4" t="s">
        <v>2877</v>
      </c>
      <c r="MVY1333" s="4" t="s">
        <v>2877</v>
      </c>
      <c r="MVZ1333" s="4" t="s">
        <v>2877</v>
      </c>
      <c r="MWA1333" s="4" t="s">
        <v>2877</v>
      </c>
      <c r="MWB1333" s="4" t="s">
        <v>2877</v>
      </c>
      <c r="MWC1333" s="4" t="s">
        <v>2877</v>
      </c>
      <c r="MWD1333" s="4" t="s">
        <v>2877</v>
      </c>
      <c r="MWE1333" s="4" t="s">
        <v>2877</v>
      </c>
      <c r="MWF1333" s="4" t="s">
        <v>2877</v>
      </c>
      <c r="MWG1333" s="4" t="s">
        <v>2877</v>
      </c>
      <c r="MWH1333" s="4" t="s">
        <v>2877</v>
      </c>
      <c r="MWI1333" s="4" t="s">
        <v>2877</v>
      </c>
      <c r="MWJ1333" s="4" t="s">
        <v>2877</v>
      </c>
      <c r="MWK1333" s="4" t="s">
        <v>2877</v>
      </c>
      <c r="MWL1333" s="4" t="s">
        <v>2877</v>
      </c>
      <c r="MWM1333" s="4" t="s">
        <v>2877</v>
      </c>
      <c r="MWN1333" s="4" t="s">
        <v>2877</v>
      </c>
      <c r="MWO1333" s="4" t="s">
        <v>2877</v>
      </c>
      <c r="MWP1333" s="4" t="s">
        <v>2877</v>
      </c>
      <c r="MWQ1333" s="4" t="s">
        <v>2877</v>
      </c>
      <c r="MWR1333" s="4" t="s">
        <v>2877</v>
      </c>
      <c r="MWS1333" s="4" t="s">
        <v>2877</v>
      </c>
      <c r="MWT1333" s="4" t="s">
        <v>2877</v>
      </c>
      <c r="MWU1333" s="4" t="s">
        <v>2877</v>
      </c>
      <c r="MWV1333" s="4" t="s">
        <v>2877</v>
      </c>
      <c r="MWW1333" s="4" t="s">
        <v>2877</v>
      </c>
      <c r="MWX1333" s="4" t="s">
        <v>2877</v>
      </c>
      <c r="MWY1333" s="4" t="s">
        <v>2877</v>
      </c>
      <c r="MWZ1333" s="4" t="s">
        <v>2877</v>
      </c>
      <c r="MXA1333" s="4" t="s">
        <v>2877</v>
      </c>
      <c r="MXB1333" s="4" t="s">
        <v>2877</v>
      </c>
      <c r="MXC1333" s="4" t="s">
        <v>2877</v>
      </c>
      <c r="MXD1333" s="4" t="s">
        <v>2877</v>
      </c>
      <c r="MXE1333" s="4" t="s">
        <v>2877</v>
      </c>
      <c r="MXF1333" s="4" t="s">
        <v>2877</v>
      </c>
      <c r="MXG1333" s="4" t="s">
        <v>2877</v>
      </c>
      <c r="MXH1333" s="4" t="s">
        <v>2877</v>
      </c>
      <c r="MXI1333" s="4" t="s">
        <v>2877</v>
      </c>
      <c r="MXJ1333" s="4" t="s">
        <v>2877</v>
      </c>
      <c r="MXK1333" s="4" t="s">
        <v>2877</v>
      </c>
      <c r="MXL1333" s="4" t="s">
        <v>2877</v>
      </c>
      <c r="MXM1333" s="4" t="s">
        <v>2877</v>
      </c>
      <c r="MXN1333" s="4" t="s">
        <v>2877</v>
      </c>
      <c r="MXO1333" s="4" t="s">
        <v>2877</v>
      </c>
      <c r="MXP1333" s="4" t="s">
        <v>2877</v>
      </c>
      <c r="MXQ1333" s="4" t="s">
        <v>2877</v>
      </c>
      <c r="MXR1333" s="4" t="s">
        <v>2877</v>
      </c>
      <c r="MXS1333" s="4" t="s">
        <v>2877</v>
      </c>
      <c r="MXT1333" s="4" t="s">
        <v>2877</v>
      </c>
      <c r="MXU1333" s="4" t="s">
        <v>2877</v>
      </c>
      <c r="MXV1333" s="4" t="s">
        <v>2877</v>
      </c>
      <c r="MXW1333" s="4" t="s">
        <v>2877</v>
      </c>
      <c r="MXX1333" s="4" t="s">
        <v>2877</v>
      </c>
      <c r="MXY1333" s="4" t="s">
        <v>2877</v>
      </c>
      <c r="MXZ1333" s="4" t="s">
        <v>2877</v>
      </c>
      <c r="MYA1333" s="4" t="s">
        <v>2877</v>
      </c>
      <c r="MYB1333" s="4" t="s">
        <v>2877</v>
      </c>
      <c r="MYC1333" s="4" t="s">
        <v>2877</v>
      </c>
      <c r="MYD1333" s="4" t="s">
        <v>2877</v>
      </c>
      <c r="MYE1333" s="4" t="s">
        <v>2877</v>
      </c>
      <c r="MYF1333" s="4" t="s">
        <v>2877</v>
      </c>
      <c r="MYG1333" s="4" t="s">
        <v>2877</v>
      </c>
      <c r="MYH1333" s="4" t="s">
        <v>2877</v>
      </c>
      <c r="MYI1333" s="4" t="s">
        <v>2877</v>
      </c>
      <c r="MYJ1333" s="4" t="s">
        <v>2877</v>
      </c>
      <c r="MYK1333" s="4" t="s">
        <v>2877</v>
      </c>
      <c r="MYL1333" s="4" t="s">
        <v>2877</v>
      </c>
      <c r="MYM1333" s="4" t="s">
        <v>2877</v>
      </c>
      <c r="MYN1333" s="4" t="s">
        <v>2877</v>
      </c>
      <c r="MYO1333" s="4" t="s">
        <v>2877</v>
      </c>
      <c r="MYP1333" s="4" t="s">
        <v>2877</v>
      </c>
      <c r="MYQ1333" s="4" t="s">
        <v>2877</v>
      </c>
      <c r="MYR1333" s="4" t="s">
        <v>2877</v>
      </c>
      <c r="MYS1333" s="4" t="s">
        <v>2877</v>
      </c>
      <c r="MYT1333" s="4" t="s">
        <v>2877</v>
      </c>
      <c r="MYU1333" s="4" t="s">
        <v>2877</v>
      </c>
      <c r="MYV1333" s="4" t="s">
        <v>2877</v>
      </c>
      <c r="MYW1333" s="4" t="s">
        <v>2877</v>
      </c>
      <c r="MYX1333" s="4" t="s">
        <v>2877</v>
      </c>
      <c r="MYY1333" s="4" t="s">
        <v>2877</v>
      </c>
      <c r="MYZ1333" s="4" t="s">
        <v>2877</v>
      </c>
      <c r="MZA1333" s="4" t="s">
        <v>2877</v>
      </c>
      <c r="MZB1333" s="4" t="s">
        <v>2877</v>
      </c>
      <c r="MZC1333" s="4" t="s">
        <v>2877</v>
      </c>
      <c r="MZD1333" s="4" t="s">
        <v>2877</v>
      </c>
      <c r="MZE1333" s="4" t="s">
        <v>2877</v>
      </c>
      <c r="MZF1333" s="4" t="s">
        <v>2877</v>
      </c>
      <c r="MZG1333" s="4" t="s">
        <v>2877</v>
      </c>
      <c r="MZH1333" s="4" t="s">
        <v>2877</v>
      </c>
      <c r="MZI1333" s="4" t="s">
        <v>2877</v>
      </c>
      <c r="MZJ1333" s="4" t="s">
        <v>2877</v>
      </c>
      <c r="MZK1333" s="4" t="s">
        <v>2877</v>
      </c>
      <c r="MZL1333" s="4" t="s">
        <v>2877</v>
      </c>
      <c r="MZM1333" s="4" t="s">
        <v>2877</v>
      </c>
      <c r="MZN1333" s="4" t="s">
        <v>2877</v>
      </c>
      <c r="MZO1333" s="4" t="s">
        <v>2877</v>
      </c>
      <c r="MZP1333" s="4" t="s">
        <v>2877</v>
      </c>
      <c r="MZQ1333" s="4" t="s">
        <v>2877</v>
      </c>
      <c r="MZR1333" s="4" t="s">
        <v>2877</v>
      </c>
      <c r="MZS1333" s="4" t="s">
        <v>2877</v>
      </c>
      <c r="MZT1333" s="4" t="s">
        <v>2877</v>
      </c>
      <c r="MZU1333" s="4" t="s">
        <v>2877</v>
      </c>
      <c r="MZV1333" s="4" t="s">
        <v>2877</v>
      </c>
      <c r="MZW1333" s="4" t="s">
        <v>2877</v>
      </c>
      <c r="MZX1333" s="4" t="s">
        <v>2877</v>
      </c>
      <c r="MZY1333" s="4" t="s">
        <v>2877</v>
      </c>
      <c r="MZZ1333" s="4" t="s">
        <v>2877</v>
      </c>
      <c r="NAA1333" s="4" t="s">
        <v>2877</v>
      </c>
      <c r="NAB1333" s="4" t="s">
        <v>2877</v>
      </c>
      <c r="NAC1333" s="4" t="s">
        <v>2877</v>
      </c>
      <c r="NAD1333" s="4" t="s">
        <v>2877</v>
      </c>
      <c r="NAE1333" s="4" t="s">
        <v>2877</v>
      </c>
      <c r="NAF1333" s="4" t="s">
        <v>2877</v>
      </c>
      <c r="NAG1333" s="4" t="s">
        <v>2877</v>
      </c>
      <c r="NAH1333" s="4" t="s">
        <v>2877</v>
      </c>
      <c r="NAI1333" s="4" t="s">
        <v>2877</v>
      </c>
      <c r="NAJ1333" s="4" t="s">
        <v>2877</v>
      </c>
      <c r="NAK1333" s="4" t="s">
        <v>2877</v>
      </c>
      <c r="NAL1333" s="4" t="s">
        <v>2877</v>
      </c>
      <c r="NAM1333" s="4" t="s">
        <v>2877</v>
      </c>
      <c r="NAN1333" s="4" t="s">
        <v>2877</v>
      </c>
      <c r="NAO1333" s="4" t="s">
        <v>2877</v>
      </c>
      <c r="NAP1333" s="4" t="s">
        <v>2877</v>
      </c>
      <c r="NAQ1333" s="4" t="s">
        <v>2877</v>
      </c>
      <c r="NAR1333" s="4" t="s">
        <v>2877</v>
      </c>
      <c r="NAS1333" s="4" t="s">
        <v>2877</v>
      </c>
      <c r="NAT1333" s="4" t="s">
        <v>2877</v>
      </c>
      <c r="NAU1333" s="4" t="s">
        <v>2877</v>
      </c>
      <c r="NAV1333" s="4" t="s">
        <v>2877</v>
      </c>
      <c r="NAW1333" s="4" t="s">
        <v>2877</v>
      </c>
      <c r="NAX1333" s="4" t="s">
        <v>2877</v>
      </c>
      <c r="NAY1333" s="4" t="s">
        <v>2877</v>
      </c>
      <c r="NAZ1333" s="4" t="s">
        <v>2877</v>
      </c>
      <c r="NBA1333" s="4" t="s">
        <v>2877</v>
      </c>
      <c r="NBB1333" s="4" t="s">
        <v>2877</v>
      </c>
      <c r="NBC1333" s="4" t="s">
        <v>2877</v>
      </c>
      <c r="NBD1333" s="4" t="s">
        <v>2877</v>
      </c>
      <c r="NBE1333" s="4" t="s">
        <v>2877</v>
      </c>
      <c r="NBF1333" s="4" t="s">
        <v>2877</v>
      </c>
      <c r="NBG1333" s="4" t="s">
        <v>2877</v>
      </c>
      <c r="NBH1333" s="4" t="s">
        <v>2877</v>
      </c>
      <c r="NBI1333" s="4" t="s">
        <v>2877</v>
      </c>
      <c r="NBJ1333" s="4" t="s">
        <v>2877</v>
      </c>
      <c r="NBK1333" s="4" t="s">
        <v>2877</v>
      </c>
      <c r="NBL1333" s="4" t="s">
        <v>2877</v>
      </c>
      <c r="NBM1333" s="4" t="s">
        <v>2877</v>
      </c>
      <c r="NBN1333" s="4" t="s">
        <v>2877</v>
      </c>
      <c r="NBO1333" s="4" t="s">
        <v>2877</v>
      </c>
      <c r="NBP1333" s="4" t="s">
        <v>2877</v>
      </c>
      <c r="NBQ1333" s="4" t="s">
        <v>2877</v>
      </c>
      <c r="NBR1333" s="4" t="s">
        <v>2877</v>
      </c>
      <c r="NBS1333" s="4" t="s">
        <v>2877</v>
      </c>
      <c r="NBT1333" s="4" t="s">
        <v>2877</v>
      </c>
      <c r="NBU1333" s="4" t="s">
        <v>2877</v>
      </c>
      <c r="NBV1333" s="4" t="s">
        <v>2877</v>
      </c>
      <c r="NBW1333" s="4" t="s">
        <v>2877</v>
      </c>
      <c r="NBX1333" s="4" t="s">
        <v>2877</v>
      </c>
      <c r="NBY1333" s="4" t="s">
        <v>2877</v>
      </c>
      <c r="NBZ1333" s="4" t="s">
        <v>2877</v>
      </c>
      <c r="NCA1333" s="4" t="s">
        <v>2877</v>
      </c>
      <c r="NCB1333" s="4" t="s">
        <v>2877</v>
      </c>
      <c r="NCC1333" s="4" t="s">
        <v>2877</v>
      </c>
      <c r="NCD1333" s="4" t="s">
        <v>2877</v>
      </c>
      <c r="NCE1333" s="4" t="s">
        <v>2877</v>
      </c>
      <c r="NCF1333" s="4" t="s">
        <v>2877</v>
      </c>
      <c r="NCG1333" s="4" t="s">
        <v>2877</v>
      </c>
      <c r="NCH1333" s="4" t="s">
        <v>2877</v>
      </c>
      <c r="NCI1333" s="4" t="s">
        <v>2877</v>
      </c>
      <c r="NCJ1333" s="4" t="s">
        <v>2877</v>
      </c>
      <c r="NCK1333" s="4" t="s">
        <v>2877</v>
      </c>
      <c r="NCL1333" s="4" t="s">
        <v>2877</v>
      </c>
      <c r="NCM1333" s="4" t="s">
        <v>2877</v>
      </c>
      <c r="NCN1333" s="4" t="s">
        <v>2877</v>
      </c>
      <c r="NCO1333" s="4" t="s">
        <v>2877</v>
      </c>
      <c r="NCP1333" s="4" t="s">
        <v>2877</v>
      </c>
      <c r="NCQ1333" s="4" t="s">
        <v>2877</v>
      </c>
      <c r="NCR1333" s="4" t="s">
        <v>2877</v>
      </c>
      <c r="NCS1333" s="4" t="s">
        <v>2877</v>
      </c>
      <c r="NCT1333" s="4" t="s">
        <v>2877</v>
      </c>
      <c r="NCU1333" s="4" t="s">
        <v>2877</v>
      </c>
      <c r="NCV1333" s="4" t="s">
        <v>2877</v>
      </c>
      <c r="NCW1333" s="4" t="s">
        <v>2877</v>
      </c>
      <c r="NCX1333" s="4" t="s">
        <v>2877</v>
      </c>
      <c r="NCY1333" s="4" t="s">
        <v>2877</v>
      </c>
      <c r="NCZ1333" s="4" t="s">
        <v>2877</v>
      </c>
      <c r="NDA1333" s="4" t="s">
        <v>2877</v>
      </c>
      <c r="NDB1333" s="4" t="s">
        <v>2877</v>
      </c>
      <c r="NDC1333" s="4" t="s">
        <v>2877</v>
      </c>
      <c r="NDD1333" s="4" t="s">
        <v>2877</v>
      </c>
      <c r="NDE1333" s="4" t="s">
        <v>2877</v>
      </c>
      <c r="NDF1333" s="4" t="s">
        <v>2877</v>
      </c>
      <c r="NDG1333" s="4" t="s">
        <v>2877</v>
      </c>
      <c r="NDH1333" s="4" t="s">
        <v>2877</v>
      </c>
      <c r="NDI1333" s="4" t="s">
        <v>2877</v>
      </c>
      <c r="NDJ1333" s="4" t="s">
        <v>2877</v>
      </c>
      <c r="NDK1333" s="4" t="s">
        <v>2877</v>
      </c>
      <c r="NDL1333" s="4" t="s">
        <v>2877</v>
      </c>
      <c r="NDM1333" s="4" t="s">
        <v>2877</v>
      </c>
      <c r="NDN1333" s="4" t="s">
        <v>2877</v>
      </c>
      <c r="NDO1333" s="4" t="s">
        <v>2877</v>
      </c>
      <c r="NDP1333" s="4" t="s">
        <v>2877</v>
      </c>
      <c r="NDQ1333" s="4" t="s">
        <v>2877</v>
      </c>
      <c r="NDR1333" s="4" t="s">
        <v>2877</v>
      </c>
      <c r="NDS1333" s="4" t="s">
        <v>2877</v>
      </c>
      <c r="NDT1333" s="4" t="s">
        <v>2877</v>
      </c>
      <c r="NDU1333" s="4" t="s">
        <v>2877</v>
      </c>
      <c r="NDV1333" s="4" t="s">
        <v>2877</v>
      </c>
      <c r="NDW1333" s="4" t="s">
        <v>2877</v>
      </c>
      <c r="NDX1333" s="4" t="s">
        <v>2877</v>
      </c>
      <c r="NDY1333" s="4" t="s">
        <v>2877</v>
      </c>
      <c r="NDZ1333" s="4" t="s">
        <v>2877</v>
      </c>
      <c r="NEA1333" s="4" t="s">
        <v>2877</v>
      </c>
      <c r="NEB1333" s="4" t="s">
        <v>2877</v>
      </c>
      <c r="NEC1333" s="4" t="s">
        <v>2877</v>
      </c>
      <c r="NED1333" s="4" t="s">
        <v>2877</v>
      </c>
      <c r="NEE1333" s="4" t="s">
        <v>2877</v>
      </c>
      <c r="NEF1333" s="4" t="s">
        <v>2877</v>
      </c>
      <c r="NEG1333" s="4" t="s">
        <v>2877</v>
      </c>
      <c r="NEH1333" s="4" t="s">
        <v>2877</v>
      </c>
      <c r="NEI1333" s="4" t="s">
        <v>2877</v>
      </c>
      <c r="NEJ1333" s="4" t="s">
        <v>2877</v>
      </c>
      <c r="NEK1333" s="4" t="s">
        <v>2877</v>
      </c>
      <c r="NEL1333" s="4" t="s">
        <v>2877</v>
      </c>
      <c r="NEM1333" s="4" t="s">
        <v>2877</v>
      </c>
      <c r="NEN1333" s="4" t="s">
        <v>2877</v>
      </c>
      <c r="NEO1333" s="4" t="s">
        <v>2877</v>
      </c>
      <c r="NEP1333" s="4" t="s">
        <v>2877</v>
      </c>
      <c r="NEQ1333" s="4" t="s">
        <v>2877</v>
      </c>
      <c r="NER1333" s="4" t="s">
        <v>2877</v>
      </c>
      <c r="NES1333" s="4" t="s">
        <v>2877</v>
      </c>
      <c r="NET1333" s="4" t="s">
        <v>2877</v>
      </c>
      <c r="NEU1333" s="4" t="s">
        <v>2877</v>
      </c>
      <c r="NEV1333" s="4" t="s">
        <v>2877</v>
      </c>
      <c r="NEW1333" s="4" t="s">
        <v>2877</v>
      </c>
      <c r="NEX1333" s="4" t="s">
        <v>2877</v>
      </c>
      <c r="NEY1333" s="4" t="s">
        <v>2877</v>
      </c>
      <c r="NEZ1333" s="4" t="s">
        <v>2877</v>
      </c>
      <c r="NFA1333" s="4" t="s">
        <v>2877</v>
      </c>
      <c r="NFB1333" s="4" t="s">
        <v>2877</v>
      </c>
      <c r="NFC1333" s="4" t="s">
        <v>2877</v>
      </c>
      <c r="NFD1333" s="4" t="s">
        <v>2877</v>
      </c>
      <c r="NFE1333" s="4" t="s">
        <v>2877</v>
      </c>
      <c r="NFF1333" s="4" t="s">
        <v>2877</v>
      </c>
      <c r="NFG1333" s="4" t="s">
        <v>2877</v>
      </c>
      <c r="NFH1333" s="4" t="s">
        <v>2877</v>
      </c>
      <c r="NFI1333" s="4" t="s">
        <v>2877</v>
      </c>
      <c r="NFJ1333" s="4" t="s">
        <v>2877</v>
      </c>
      <c r="NFK1333" s="4" t="s">
        <v>2877</v>
      </c>
      <c r="NFL1333" s="4" t="s">
        <v>2877</v>
      </c>
      <c r="NFM1333" s="4" t="s">
        <v>2877</v>
      </c>
      <c r="NFN1333" s="4" t="s">
        <v>2877</v>
      </c>
      <c r="NFO1333" s="4" t="s">
        <v>2877</v>
      </c>
      <c r="NFP1333" s="4" t="s">
        <v>2877</v>
      </c>
      <c r="NFQ1333" s="4" t="s">
        <v>2877</v>
      </c>
      <c r="NFR1333" s="4" t="s">
        <v>2877</v>
      </c>
      <c r="NFS1333" s="4" t="s">
        <v>2877</v>
      </c>
      <c r="NFT1333" s="4" t="s">
        <v>2877</v>
      </c>
      <c r="NFU1333" s="4" t="s">
        <v>2877</v>
      </c>
      <c r="NFV1333" s="4" t="s">
        <v>2877</v>
      </c>
      <c r="NFW1333" s="4" t="s">
        <v>2877</v>
      </c>
      <c r="NFX1333" s="4" t="s">
        <v>2877</v>
      </c>
      <c r="NFY1333" s="4" t="s">
        <v>2877</v>
      </c>
      <c r="NFZ1333" s="4" t="s">
        <v>2877</v>
      </c>
      <c r="NGA1333" s="4" t="s">
        <v>2877</v>
      </c>
      <c r="NGB1333" s="4" t="s">
        <v>2877</v>
      </c>
      <c r="NGC1333" s="4" t="s">
        <v>2877</v>
      </c>
      <c r="NGD1333" s="4" t="s">
        <v>2877</v>
      </c>
      <c r="NGE1333" s="4" t="s">
        <v>2877</v>
      </c>
      <c r="NGF1333" s="4" t="s">
        <v>2877</v>
      </c>
      <c r="NGG1333" s="4" t="s">
        <v>2877</v>
      </c>
      <c r="NGH1333" s="4" t="s">
        <v>2877</v>
      </c>
      <c r="NGI1333" s="4" t="s">
        <v>2877</v>
      </c>
      <c r="NGJ1333" s="4" t="s">
        <v>2877</v>
      </c>
      <c r="NGK1333" s="4" t="s">
        <v>2877</v>
      </c>
      <c r="NGL1333" s="4" t="s">
        <v>2877</v>
      </c>
      <c r="NGM1333" s="4" t="s">
        <v>2877</v>
      </c>
      <c r="NGN1333" s="4" t="s">
        <v>2877</v>
      </c>
      <c r="NGO1333" s="4" t="s">
        <v>2877</v>
      </c>
      <c r="NGP1333" s="4" t="s">
        <v>2877</v>
      </c>
      <c r="NGQ1333" s="4" t="s">
        <v>2877</v>
      </c>
      <c r="NGR1333" s="4" t="s">
        <v>2877</v>
      </c>
      <c r="NGS1333" s="4" t="s">
        <v>2877</v>
      </c>
      <c r="NGT1333" s="4" t="s">
        <v>2877</v>
      </c>
      <c r="NGU1333" s="4" t="s">
        <v>2877</v>
      </c>
      <c r="NGV1333" s="4" t="s">
        <v>2877</v>
      </c>
      <c r="NGW1333" s="4" t="s">
        <v>2877</v>
      </c>
      <c r="NGX1333" s="4" t="s">
        <v>2877</v>
      </c>
      <c r="NGY1333" s="4" t="s">
        <v>2877</v>
      </c>
      <c r="NGZ1333" s="4" t="s">
        <v>2877</v>
      </c>
      <c r="NHA1333" s="4" t="s">
        <v>2877</v>
      </c>
      <c r="NHB1333" s="4" t="s">
        <v>2877</v>
      </c>
      <c r="NHC1333" s="4" t="s">
        <v>2877</v>
      </c>
      <c r="NHD1333" s="4" t="s">
        <v>2877</v>
      </c>
      <c r="NHE1333" s="4" t="s">
        <v>2877</v>
      </c>
      <c r="NHF1333" s="4" t="s">
        <v>2877</v>
      </c>
      <c r="NHG1333" s="4" t="s">
        <v>2877</v>
      </c>
      <c r="NHH1333" s="4" t="s">
        <v>2877</v>
      </c>
      <c r="NHI1333" s="4" t="s">
        <v>2877</v>
      </c>
      <c r="NHJ1333" s="4" t="s">
        <v>2877</v>
      </c>
      <c r="NHK1333" s="4" t="s">
        <v>2877</v>
      </c>
      <c r="NHL1333" s="4" t="s">
        <v>2877</v>
      </c>
      <c r="NHM1333" s="4" t="s">
        <v>2877</v>
      </c>
      <c r="NHN1333" s="4" t="s">
        <v>2877</v>
      </c>
      <c r="NHO1333" s="4" t="s">
        <v>2877</v>
      </c>
      <c r="NHP1333" s="4" t="s">
        <v>2877</v>
      </c>
      <c r="NHQ1333" s="4" t="s">
        <v>2877</v>
      </c>
      <c r="NHR1333" s="4" t="s">
        <v>2877</v>
      </c>
      <c r="NHS1333" s="4" t="s">
        <v>2877</v>
      </c>
      <c r="NHT1333" s="4" t="s">
        <v>2877</v>
      </c>
      <c r="NHU1333" s="4" t="s">
        <v>2877</v>
      </c>
      <c r="NHV1333" s="4" t="s">
        <v>2877</v>
      </c>
      <c r="NHW1333" s="4" t="s">
        <v>2877</v>
      </c>
      <c r="NHX1333" s="4" t="s">
        <v>2877</v>
      </c>
      <c r="NHY1333" s="4" t="s">
        <v>2877</v>
      </c>
      <c r="NHZ1333" s="4" t="s">
        <v>2877</v>
      </c>
      <c r="NIA1333" s="4" t="s">
        <v>2877</v>
      </c>
      <c r="NIB1333" s="4" t="s">
        <v>2877</v>
      </c>
      <c r="NIC1333" s="4" t="s">
        <v>2877</v>
      </c>
      <c r="NID1333" s="4" t="s">
        <v>2877</v>
      </c>
      <c r="NIE1333" s="4" t="s">
        <v>2877</v>
      </c>
      <c r="NIF1333" s="4" t="s">
        <v>2877</v>
      </c>
      <c r="NIG1333" s="4" t="s">
        <v>2877</v>
      </c>
      <c r="NIH1333" s="4" t="s">
        <v>2877</v>
      </c>
      <c r="NII1333" s="4" t="s">
        <v>2877</v>
      </c>
      <c r="NIJ1333" s="4" t="s">
        <v>2877</v>
      </c>
      <c r="NIK1333" s="4" t="s">
        <v>2877</v>
      </c>
      <c r="NIL1333" s="4" t="s">
        <v>2877</v>
      </c>
      <c r="NIM1333" s="4" t="s">
        <v>2877</v>
      </c>
      <c r="NIN1333" s="4" t="s">
        <v>2877</v>
      </c>
      <c r="NIO1333" s="4" t="s">
        <v>2877</v>
      </c>
      <c r="NIP1333" s="4" t="s">
        <v>2877</v>
      </c>
      <c r="NIQ1333" s="4" t="s">
        <v>2877</v>
      </c>
      <c r="NIR1333" s="4" t="s">
        <v>2877</v>
      </c>
      <c r="NIS1333" s="4" t="s">
        <v>2877</v>
      </c>
      <c r="NIT1333" s="4" t="s">
        <v>2877</v>
      </c>
      <c r="NIU1333" s="4" t="s">
        <v>2877</v>
      </c>
      <c r="NIV1333" s="4" t="s">
        <v>2877</v>
      </c>
      <c r="NIW1333" s="4" t="s">
        <v>2877</v>
      </c>
      <c r="NIX1333" s="4" t="s">
        <v>2877</v>
      </c>
      <c r="NIY1333" s="4" t="s">
        <v>2877</v>
      </c>
      <c r="NIZ1333" s="4" t="s">
        <v>2877</v>
      </c>
      <c r="NJA1333" s="4" t="s">
        <v>2877</v>
      </c>
      <c r="NJB1333" s="4" t="s">
        <v>2877</v>
      </c>
      <c r="NJC1333" s="4" t="s">
        <v>2877</v>
      </c>
      <c r="NJD1333" s="4" t="s">
        <v>2877</v>
      </c>
      <c r="NJE1333" s="4" t="s">
        <v>2877</v>
      </c>
      <c r="NJF1333" s="4" t="s">
        <v>2877</v>
      </c>
      <c r="NJG1333" s="4" t="s">
        <v>2877</v>
      </c>
      <c r="NJH1333" s="4" t="s">
        <v>2877</v>
      </c>
      <c r="NJI1333" s="4" t="s">
        <v>2877</v>
      </c>
      <c r="NJJ1333" s="4" t="s">
        <v>2877</v>
      </c>
      <c r="NJK1333" s="4" t="s">
        <v>2877</v>
      </c>
      <c r="NJL1333" s="4" t="s">
        <v>2877</v>
      </c>
      <c r="NJM1333" s="4" t="s">
        <v>2877</v>
      </c>
      <c r="NJN1333" s="4" t="s">
        <v>2877</v>
      </c>
      <c r="NJO1333" s="4" t="s">
        <v>2877</v>
      </c>
      <c r="NJP1333" s="4" t="s">
        <v>2877</v>
      </c>
      <c r="NJQ1333" s="4" t="s">
        <v>2877</v>
      </c>
      <c r="NJR1333" s="4" t="s">
        <v>2877</v>
      </c>
      <c r="NJS1333" s="4" t="s">
        <v>2877</v>
      </c>
      <c r="NJT1333" s="4" t="s">
        <v>2877</v>
      </c>
      <c r="NJU1333" s="4" t="s">
        <v>2877</v>
      </c>
      <c r="NJV1333" s="4" t="s">
        <v>2877</v>
      </c>
      <c r="NJW1333" s="4" t="s">
        <v>2877</v>
      </c>
      <c r="NJX1333" s="4" t="s">
        <v>2877</v>
      </c>
      <c r="NJY1333" s="4" t="s">
        <v>2877</v>
      </c>
      <c r="NJZ1333" s="4" t="s">
        <v>2877</v>
      </c>
      <c r="NKA1333" s="4" t="s">
        <v>2877</v>
      </c>
      <c r="NKB1333" s="4" t="s">
        <v>2877</v>
      </c>
      <c r="NKC1333" s="4" t="s">
        <v>2877</v>
      </c>
      <c r="NKD1333" s="4" t="s">
        <v>2877</v>
      </c>
      <c r="NKE1333" s="4" t="s">
        <v>2877</v>
      </c>
      <c r="NKF1333" s="4" t="s">
        <v>2877</v>
      </c>
      <c r="NKG1333" s="4" t="s">
        <v>2877</v>
      </c>
      <c r="NKH1333" s="4" t="s">
        <v>2877</v>
      </c>
      <c r="NKI1333" s="4" t="s">
        <v>2877</v>
      </c>
      <c r="NKJ1333" s="4" t="s">
        <v>2877</v>
      </c>
      <c r="NKK1333" s="4" t="s">
        <v>2877</v>
      </c>
      <c r="NKL1333" s="4" t="s">
        <v>2877</v>
      </c>
      <c r="NKM1333" s="4" t="s">
        <v>2877</v>
      </c>
      <c r="NKN1333" s="4" t="s">
        <v>2877</v>
      </c>
      <c r="NKO1333" s="4" t="s">
        <v>2877</v>
      </c>
      <c r="NKP1333" s="4" t="s">
        <v>2877</v>
      </c>
      <c r="NKQ1333" s="4" t="s">
        <v>2877</v>
      </c>
      <c r="NKR1333" s="4" t="s">
        <v>2877</v>
      </c>
      <c r="NKS1333" s="4" t="s">
        <v>2877</v>
      </c>
      <c r="NKT1333" s="4" t="s">
        <v>2877</v>
      </c>
      <c r="NKU1333" s="4" t="s">
        <v>2877</v>
      </c>
      <c r="NKV1333" s="4" t="s">
        <v>2877</v>
      </c>
      <c r="NKW1333" s="4" t="s">
        <v>2877</v>
      </c>
      <c r="NKX1333" s="4" t="s">
        <v>2877</v>
      </c>
      <c r="NKY1333" s="4" t="s">
        <v>2877</v>
      </c>
      <c r="NKZ1333" s="4" t="s">
        <v>2877</v>
      </c>
      <c r="NLA1333" s="4" t="s">
        <v>2877</v>
      </c>
      <c r="NLB1333" s="4" t="s">
        <v>2877</v>
      </c>
      <c r="NLC1333" s="4" t="s">
        <v>2877</v>
      </c>
      <c r="NLD1333" s="4" t="s">
        <v>2877</v>
      </c>
      <c r="NLE1333" s="4" t="s">
        <v>2877</v>
      </c>
      <c r="NLF1333" s="4" t="s">
        <v>2877</v>
      </c>
      <c r="NLG1333" s="4" t="s">
        <v>2877</v>
      </c>
      <c r="NLH1333" s="4" t="s">
        <v>2877</v>
      </c>
      <c r="NLI1333" s="4" t="s">
        <v>2877</v>
      </c>
      <c r="NLJ1333" s="4" t="s">
        <v>2877</v>
      </c>
      <c r="NLK1333" s="4" t="s">
        <v>2877</v>
      </c>
      <c r="NLL1333" s="4" t="s">
        <v>2877</v>
      </c>
      <c r="NLM1333" s="4" t="s">
        <v>2877</v>
      </c>
      <c r="NLN1333" s="4" t="s">
        <v>2877</v>
      </c>
      <c r="NLO1333" s="4" t="s">
        <v>2877</v>
      </c>
      <c r="NLP1333" s="4" t="s">
        <v>2877</v>
      </c>
      <c r="NLQ1333" s="4" t="s">
        <v>2877</v>
      </c>
      <c r="NLR1333" s="4" t="s">
        <v>2877</v>
      </c>
      <c r="NLS1333" s="4" t="s">
        <v>2877</v>
      </c>
      <c r="NLT1333" s="4" t="s">
        <v>2877</v>
      </c>
      <c r="NLU1333" s="4" t="s">
        <v>2877</v>
      </c>
      <c r="NLV1333" s="4" t="s">
        <v>2877</v>
      </c>
      <c r="NLW1333" s="4" t="s">
        <v>2877</v>
      </c>
      <c r="NLX1333" s="4" t="s">
        <v>2877</v>
      </c>
      <c r="NLY1333" s="4" t="s">
        <v>2877</v>
      </c>
      <c r="NLZ1333" s="4" t="s">
        <v>2877</v>
      </c>
      <c r="NMA1333" s="4" t="s">
        <v>2877</v>
      </c>
      <c r="NMB1333" s="4" t="s">
        <v>2877</v>
      </c>
      <c r="NMC1333" s="4" t="s">
        <v>2877</v>
      </c>
      <c r="NMD1333" s="4" t="s">
        <v>2877</v>
      </c>
      <c r="NME1333" s="4" t="s">
        <v>2877</v>
      </c>
      <c r="NMF1333" s="4" t="s">
        <v>2877</v>
      </c>
      <c r="NMG1333" s="4" t="s">
        <v>2877</v>
      </c>
      <c r="NMH1333" s="4" t="s">
        <v>2877</v>
      </c>
      <c r="NMI1333" s="4" t="s">
        <v>2877</v>
      </c>
      <c r="NMJ1333" s="4" t="s">
        <v>2877</v>
      </c>
      <c r="NMK1333" s="4" t="s">
        <v>2877</v>
      </c>
      <c r="NML1333" s="4" t="s">
        <v>2877</v>
      </c>
      <c r="NMM1333" s="4" t="s">
        <v>2877</v>
      </c>
      <c r="NMN1333" s="4" t="s">
        <v>2877</v>
      </c>
      <c r="NMO1333" s="4" t="s">
        <v>2877</v>
      </c>
      <c r="NMP1333" s="4" t="s">
        <v>2877</v>
      </c>
      <c r="NMQ1333" s="4" t="s">
        <v>2877</v>
      </c>
      <c r="NMR1333" s="4" t="s">
        <v>2877</v>
      </c>
      <c r="NMS1333" s="4" t="s">
        <v>2877</v>
      </c>
      <c r="NMT1333" s="4" t="s">
        <v>2877</v>
      </c>
      <c r="NMU1333" s="4" t="s">
        <v>2877</v>
      </c>
      <c r="NMV1333" s="4" t="s">
        <v>2877</v>
      </c>
      <c r="NMW1333" s="4" t="s">
        <v>2877</v>
      </c>
      <c r="NMX1333" s="4" t="s">
        <v>2877</v>
      </c>
      <c r="NMY1333" s="4" t="s">
        <v>2877</v>
      </c>
      <c r="NMZ1333" s="4" t="s">
        <v>2877</v>
      </c>
      <c r="NNA1333" s="4" t="s">
        <v>2877</v>
      </c>
      <c r="NNB1333" s="4" t="s">
        <v>2877</v>
      </c>
      <c r="NNC1333" s="4" t="s">
        <v>2877</v>
      </c>
      <c r="NND1333" s="4" t="s">
        <v>2877</v>
      </c>
      <c r="NNE1333" s="4" t="s">
        <v>2877</v>
      </c>
      <c r="NNF1333" s="4" t="s">
        <v>2877</v>
      </c>
      <c r="NNG1333" s="4" t="s">
        <v>2877</v>
      </c>
      <c r="NNH1333" s="4" t="s">
        <v>2877</v>
      </c>
      <c r="NNI1333" s="4" t="s">
        <v>2877</v>
      </c>
      <c r="NNJ1333" s="4" t="s">
        <v>2877</v>
      </c>
      <c r="NNK1333" s="4" t="s">
        <v>2877</v>
      </c>
      <c r="NNL1333" s="4" t="s">
        <v>2877</v>
      </c>
      <c r="NNM1333" s="4" t="s">
        <v>2877</v>
      </c>
      <c r="NNN1333" s="4" t="s">
        <v>2877</v>
      </c>
      <c r="NNO1333" s="4" t="s">
        <v>2877</v>
      </c>
      <c r="NNP1333" s="4" t="s">
        <v>2877</v>
      </c>
      <c r="NNQ1333" s="4" t="s">
        <v>2877</v>
      </c>
      <c r="NNR1333" s="4" t="s">
        <v>2877</v>
      </c>
      <c r="NNS1333" s="4" t="s">
        <v>2877</v>
      </c>
      <c r="NNT1333" s="4" t="s">
        <v>2877</v>
      </c>
      <c r="NNU1333" s="4" t="s">
        <v>2877</v>
      </c>
      <c r="NNV1333" s="4" t="s">
        <v>2877</v>
      </c>
      <c r="NNW1333" s="4" t="s">
        <v>2877</v>
      </c>
      <c r="NNX1333" s="4" t="s">
        <v>2877</v>
      </c>
      <c r="NNY1333" s="4" t="s">
        <v>2877</v>
      </c>
      <c r="NNZ1333" s="4" t="s">
        <v>2877</v>
      </c>
      <c r="NOA1333" s="4" t="s">
        <v>2877</v>
      </c>
      <c r="NOB1333" s="4" t="s">
        <v>2877</v>
      </c>
      <c r="NOC1333" s="4" t="s">
        <v>2877</v>
      </c>
      <c r="NOD1333" s="4" t="s">
        <v>2877</v>
      </c>
      <c r="NOE1333" s="4" t="s">
        <v>2877</v>
      </c>
      <c r="NOF1333" s="4" t="s">
        <v>2877</v>
      </c>
      <c r="NOG1333" s="4" t="s">
        <v>2877</v>
      </c>
      <c r="NOH1333" s="4" t="s">
        <v>2877</v>
      </c>
      <c r="NOI1333" s="4" t="s">
        <v>2877</v>
      </c>
      <c r="NOJ1333" s="4" t="s">
        <v>2877</v>
      </c>
      <c r="NOK1333" s="4" t="s">
        <v>2877</v>
      </c>
      <c r="NOL1333" s="4" t="s">
        <v>2877</v>
      </c>
      <c r="NOM1333" s="4" t="s">
        <v>2877</v>
      </c>
      <c r="NON1333" s="4" t="s">
        <v>2877</v>
      </c>
      <c r="NOO1333" s="4" t="s">
        <v>2877</v>
      </c>
      <c r="NOP1333" s="4" t="s">
        <v>2877</v>
      </c>
      <c r="NOQ1333" s="4" t="s">
        <v>2877</v>
      </c>
      <c r="NOR1333" s="4" t="s">
        <v>2877</v>
      </c>
      <c r="NOS1333" s="4" t="s">
        <v>2877</v>
      </c>
      <c r="NOT1333" s="4" t="s">
        <v>2877</v>
      </c>
      <c r="NOU1333" s="4" t="s">
        <v>2877</v>
      </c>
      <c r="NOV1333" s="4" t="s">
        <v>2877</v>
      </c>
      <c r="NOW1333" s="4" t="s">
        <v>2877</v>
      </c>
      <c r="NOX1333" s="4" t="s">
        <v>2877</v>
      </c>
      <c r="NOY1333" s="4" t="s">
        <v>2877</v>
      </c>
      <c r="NOZ1333" s="4" t="s">
        <v>2877</v>
      </c>
      <c r="NPA1333" s="4" t="s">
        <v>2877</v>
      </c>
      <c r="NPB1333" s="4" t="s">
        <v>2877</v>
      </c>
      <c r="NPC1333" s="4" t="s">
        <v>2877</v>
      </c>
      <c r="NPD1333" s="4" t="s">
        <v>2877</v>
      </c>
      <c r="NPE1333" s="4" t="s">
        <v>2877</v>
      </c>
      <c r="NPF1333" s="4" t="s">
        <v>2877</v>
      </c>
      <c r="NPG1333" s="4" t="s">
        <v>2877</v>
      </c>
      <c r="NPH1333" s="4" t="s">
        <v>2877</v>
      </c>
      <c r="NPI1333" s="4" t="s">
        <v>2877</v>
      </c>
      <c r="NPJ1333" s="4" t="s">
        <v>2877</v>
      </c>
      <c r="NPK1333" s="4" t="s">
        <v>2877</v>
      </c>
      <c r="NPL1333" s="4" t="s">
        <v>2877</v>
      </c>
      <c r="NPM1333" s="4" t="s">
        <v>2877</v>
      </c>
      <c r="NPN1333" s="4" t="s">
        <v>2877</v>
      </c>
      <c r="NPO1333" s="4" t="s">
        <v>2877</v>
      </c>
      <c r="NPP1333" s="4" t="s">
        <v>2877</v>
      </c>
      <c r="NPQ1333" s="4" t="s">
        <v>2877</v>
      </c>
      <c r="NPR1333" s="4" t="s">
        <v>2877</v>
      </c>
      <c r="NPS1333" s="4" t="s">
        <v>2877</v>
      </c>
      <c r="NPT1333" s="4" t="s">
        <v>2877</v>
      </c>
      <c r="NPU1333" s="4" t="s">
        <v>2877</v>
      </c>
      <c r="NPV1333" s="4" t="s">
        <v>2877</v>
      </c>
      <c r="NPW1333" s="4" t="s">
        <v>2877</v>
      </c>
      <c r="NPX1333" s="4" t="s">
        <v>2877</v>
      </c>
      <c r="NPY1333" s="4" t="s">
        <v>2877</v>
      </c>
      <c r="NPZ1333" s="4" t="s">
        <v>2877</v>
      </c>
      <c r="NQA1333" s="4" t="s">
        <v>2877</v>
      </c>
      <c r="NQB1333" s="4" t="s">
        <v>2877</v>
      </c>
      <c r="NQC1333" s="4" t="s">
        <v>2877</v>
      </c>
      <c r="NQD1333" s="4" t="s">
        <v>2877</v>
      </c>
      <c r="NQE1333" s="4" t="s">
        <v>2877</v>
      </c>
      <c r="NQF1333" s="4" t="s">
        <v>2877</v>
      </c>
      <c r="NQG1333" s="4" t="s">
        <v>2877</v>
      </c>
      <c r="NQH1333" s="4" t="s">
        <v>2877</v>
      </c>
      <c r="NQI1333" s="4" t="s">
        <v>2877</v>
      </c>
      <c r="NQJ1333" s="4" t="s">
        <v>2877</v>
      </c>
      <c r="NQK1333" s="4" t="s">
        <v>2877</v>
      </c>
      <c r="NQL1333" s="4" t="s">
        <v>2877</v>
      </c>
      <c r="NQM1333" s="4" t="s">
        <v>2877</v>
      </c>
      <c r="NQN1333" s="4" t="s">
        <v>2877</v>
      </c>
      <c r="NQO1333" s="4" t="s">
        <v>2877</v>
      </c>
      <c r="NQP1333" s="4" t="s">
        <v>2877</v>
      </c>
      <c r="NQQ1333" s="4" t="s">
        <v>2877</v>
      </c>
      <c r="NQR1333" s="4" t="s">
        <v>2877</v>
      </c>
      <c r="NQS1333" s="4" t="s">
        <v>2877</v>
      </c>
      <c r="NQT1333" s="4" t="s">
        <v>2877</v>
      </c>
      <c r="NQU1333" s="4" t="s">
        <v>2877</v>
      </c>
      <c r="NQV1333" s="4" t="s">
        <v>2877</v>
      </c>
      <c r="NQW1333" s="4" t="s">
        <v>2877</v>
      </c>
      <c r="NQX1333" s="4" t="s">
        <v>2877</v>
      </c>
      <c r="NQY1333" s="4" t="s">
        <v>2877</v>
      </c>
      <c r="NQZ1333" s="4" t="s">
        <v>2877</v>
      </c>
      <c r="NRA1333" s="4" t="s">
        <v>2877</v>
      </c>
      <c r="NRB1333" s="4" t="s">
        <v>2877</v>
      </c>
      <c r="NRC1333" s="4" t="s">
        <v>2877</v>
      </c>
      <c r="NRD1333" s="4" t="s">
        <v>2877</v>
      </c>
      <c r="NRE1333" s="4" t="s">
        <v>2877</v>
      </c>
      <c r="NRF1333" s="4" t="s">
        <v>2877</v>
      </c>
      <c r="NRG1333" s="4" t="s">
        <v>2877</v>
      </c>
      <c r="NRH1333" s="4" t="s">
        <v>2877</v>
      </c>
      <c r="NRI1333" s="4" t="s">
        <v>2877</v>
      </c>
      <c r="NRJ1333" s="4" t="s">
        <v>2877</v>
      </c>
      <c r="NRK1333" s="4" t="s">
        <v>2877</v>
      </c>
      <c r="NRL1333" s="4" t="s">
        <v>2877</v>
      </c>
      <c r="NRM1333" s="4" t="s">
        <v>2877</v>
      </c>
      <c r="NRN1333" s="4" t="s">
        <v>2877</v>
      </c>
      <c r="NRO1333" s="4" t="s">
        <v>2877</v>
      </c>
      <c r="NRP1333" s="4" t="s">
        <v>2877</v>
      </c>
      <c r="NRQ1333" s="4" t="s">
        <v>2877</v>
      </c>
      <c r="NRR1333" s="4" t="s">
        <v>2877</v>
      </c>
      <c r="NRS1333" s="4" t="s">
        <v>2877</v>
      </c>
      <c r="NRT1333" s="4" t="s">
        <v>2877</v>
      </c>
      <c r="NRU1333" s="4" t="s">
        <v>2877</v>
      </c>
      <c r="NRV1333" s="4" t="s">
        <v>2877</v>
      </c>
      <c r="NRW1333" s="4" t="s">
        <v>2877</v>
      </c>
      <c r="NRX1333" s="4" t="s">
        <v>2877</v>
      </c>
      <c r="NRY1333" s="4" t="s">
        <v>2877</v>
      </c>
      <c r="NRZ1333" s="4" t="s">
        <v>2877</v>
      </c>
      <c r="NSA1333" s="4" t="s">
        <v>2877</v>
      </c>
      <c r="NSB1333" s="4" t="s">
        <v>2877</v>
      </c>
      <c r="NSC1333" s="4" t="s">
        <v>2877</v>
      </c>
      <c r="NSD1333" s="4" t="s">
        <v>2877</v>
      </c>
      <c r="NSE1333" s="4" t="s">
        <v>2877</v>
      </c>
      <c r="NSF1333" s="4" t="s">
        <v>2877</v>
      </c>
      <c r="NSG1333" s="4" t="s">
        <v>2877</v>
      </c>
      <c r="NSH1333" s="4" t="s">
        <v>2877</v>
      </c>
      <c r="NSI1333" s="4" t="s">
        <v>2877</v>
      </c>
      <c r="NSJ1333" s="4" t="s">
        <v>2877</v>
      </c>
      <c r="NSK1333" s="4" t="s">
        <v>2877</v>
      </c>
      <c r="NSL1333" s="4" t="s">
        <v>2877</v>
      </c>
      <c r="NSM1333" s="4" t="s">
        <v>2877</v>
      </c>
      <c r="NSN1333" s="4" t="s">
        <v>2877</v>
      </c>
      <c r="NSO1333" s="4" t="s">
        <v>2877</v>
      </c>
      <c r="NSP1333" s="4" t="s">
        <v>2877</v>
      </c>
      <c r="NSQ1333" s="4" t="s">
        <v>2877</v>
      </c>
      <c r="NSR1333" s="4" t="s">
        <v>2877</v>
      </c>
      <c r="NSS1333" s="4" t="s">
        <v>2877</v>
      </c>
      <c r="NST1333" s="4" t="s">
        <v>2877</v>
      </c>
      <c r="NSU1333" s="4" t="s">
        <v>2877</v>
      </c>
      <c r="NSV1333" s="4" t="s">
        <v>2877</v>
      </c>
      <c r="NSW1333" s="4" t="s">
        <v>2877</v>
      </c>
      <c r="NSX1333" s="4" t="s">
        <v>2877</v>
      </c>
      <c r="NSY1333" s="4" t="s">
        <v>2877</v>
      </c>
      <c r="NSZ1333" s="4" t="s">
        <v>2877</v>
      </c>
      <c r="NTA1333" s="4" t="s">
        <v>2877</v>
      </c>
      <c r="NTB1333" s="4" t="s">
        <v>2877</v>
      </c>
      <c r="NTC1333" s="4" t="s">
        <v>2877</v>
      </c>
      <c r="NTD1333" s="4" t="s">
        <v>2877</v>
      </c>
      <c r="NTE1333" s="4" t="s">
        <v>2877</v>
      </c>
      <c r="NTF1333" s="4" t="s">
        <v>2877</v>
      </c>
      <c r="NTG1333" s="4" t="s">
        <v>2877</v>
      </c>
      <c r="NTH1333" s="4" t="s">
        <v>2877</v>
      </c>
      <c r="NTI1333" s="4" t="s">
        <v>2877</v>
      </c>
      <c r="NTJ1333" s="4" t="s">
        <v>2877</v>
      </c>
      <c r="NTK1333" s="4" t="s">
        <v>2877</v>
      </c>
      <c r="NTL1333" s="4" t="s">
        <v>2877</v>
      </c>
      <c r="NTM1333" s="4" t="s">
        <v>2877</v>
      </c>
      <c r="NTN1333" s="4" t="s">
        <v>2877</v>
      </c>
      <c r="NTO1333" s="4" t="s">
        <v>2877</v>
      </c>
      <c r="NTP1333" s="4" t="s">
        <v>2877</v>
      </c>
      <c r="NTQ1333" s="4" t="s">
        <v>2877</v>
      </c>
      <c r="NTR1333" s="4" t="s">
        <v>2877</v>
      </c>
      <c r="NTS1333" s="4" t="s">
        <v>2877</v>
      </c>
      <c r="NTT1333" s="4" t="s">
        <v>2877</v>
      </c>
      <c r="NTU1333" s="4" t="s">
        <v>2877</v>
      </c>
      <c r="NTV1333" s="4" t="s">
        <v>2877</v>
      </c>
      <c r="NTW1333" s="4" t="s">
        <v>2877</v>
      </c>
      <c r="NTX1333" s="4" t="s">
        <v>2877</v>
      </c>
      <c r="NTY1333" s="4" t="s">
        <v>2877</v>
      </c>
      <c r="NTZ1333" s="4" t="s">
        <v>2877</v>
      </c>
      <c r="NUA1333" s="4" t="s">
        <v>2877</v>
      </c>
      <c r="NUB1333" s="4" t="s">
        <v>2877</v>
      </c>
      <c r="NUC1333" s="4" t="s">
        <v>2877</v>
      </c>
      <c r="NUD1333" s="4" t="s">
        <v>2877</v>
      </c>
      <c r="NUE1333" s="4" t="s">
        <v>2877</v>
      </c>
      <c r="NUF1333" s="4" t="s">
        <v>2877</v>
      </c>
      <c r="NUG1333" s="4" t="s">
        <v>2877</v>
      </c>
      <c r="NUH1333" s="4" t="s">
        <v>2877</v>
      </c>
      <c r="NUI1333" s="4" t="s">
        <v>2877</v>
      </c>
      <c r="NUJ1333" s="4" t="s">
        <v>2877</v>
      </c>
      <c r="NUK1333" s="4" t="s">
        <v>2877</v>
      </c>
      <c r="NUL1333" s="4" t="s">
        <v>2877</v>
      </c>
      <c r="NUM1333" s="4" t="s">
        <v>2877</v>
      </c>
      <c r="NUN1333" s="4" t="s">
        <v>2877</v>
      </c>
      <c r="NUO1333" s="4" t="s">
        <v>2877</v>
      </c>
      <c r="NUP1333" s="4" t="s">
        <v>2877</v>
      </c>
      <c r="NUQ1333" s="4" t="s">
        <v>2877</v>
      </c>
      <c r="NUR1333" s="4" t="s">
        <v>2877</v>
      </c>
      <c r="NUS1333" s="4" t="s">
        <v>2877</v>
      </c>
      <c r="NUT1333" s="4" t="s">
        <v>2877</v>
      </c>
      <c r="NUU1333" s="4" t="s">
        <v>2877</v>
      </c>
      <c r="NUV1333" s="4" t="s">
        <v>2877</v>
      </c>
      <c r="NUW1333" s="4" t="s">
        <v>2877</v>
      </c>
      <c r="NUX1333" s="4" t="s">
        <v>2877</v>
      </c>
      <c r="NUY1333" s="4" t="s">
        <v>2877</v>
      </c>
      <c r="NUZ1333" s="4" t="s">
        <v>2877</v>
      </c>
      <c r="NVA1333" s="4" t="s">
        <v>2877</v>
      </c>
      <c r="NVB1333" s="4" t="s">
        <v>2877</v>
      </c>
      <c r="NVC1333" s="4" t="s">
        <v>2877</v>
      </c>
      <c r="NVD1333" s="4" t="s">
        <v>2877</v>
      </c>
      <c r="NVE1333" s="4" t="s">
        <v>2877</v>
      </c>
      <c r="NVF1333" s="4" t="s">
        <v>2877</v>
      </c>
      <c r="NVG1333" s="4" t="s">
        <v>2877</v>
      </c>
      <c r="NVH1333" s="4" t="s">
        <v>2877</v>
      </c>
      <c r="NVI1333" s="4" t="s">
        <v>2877</v>
      </c>
      <c r="NVJ1333" s="4" t="s">
        <v>2877</v>
      </c>
      <c r="NVK1333" s="4" t="s">
        <v>2877</v>
      </c>
      <c r="NVL1333" s="4" t="s">
        <v>2877</v>
      </c>
      <c r="NVM1333" s="4" t="s">
        <v>2877</v>
      </c>
      <c r="NVN1333" s="4" t="s">
        <v>2877</v>
      </c>
      <c r="NVO1333" s="4" t="s">
        <v>2877</v>
      </c>
      <c r="NVP1333" s="4" t="s">
        <v>2877</v>
      </c>
      <c r="NVQ1333" s="4" t="s">
        <v>2877</v>
      </c>
      <c r="NVR1333" s="4" t="s">
        <v>2877</v>
      </c>
      <c r="NVS1333" s="4" t="s">
        <v>2877</v>
      </c>
      <c r="NVT1333" s="4" t="s">
        <v>2877</v>
      </c>
      <c r="NVU1333" s="4" t="s">
        <v>2877</v>
      </c>
      <c r="NVV1333" s="4" t="s">
        <v>2877</v>
      </c>
      <c r="NVW1333" s="4" t="s">
        <v>2877</v>
      </c>
      <c r="NVX1333" s="4" t="s">
        <v>2877</v>
      </c>
      <c r="NVY1333" s="4" t="s">
        <v>2877</v>
      </c>
      <c r="NVZ1333" s="4" t="s">
        <v>2877</v>
      </c>
      <c r="NWA1333" s="4" t="s">
        <v>2877</v>
      </c>
      <c r="NWB1333" s="4" t="s">
        <v>2877</v>
      </c>
      <c r="NWC1333" s="4" t="s">
        <v>2877</v>
      </c>
      <c r="NWD1333" s="4" t="s">
        <v>2877</v>
      </c>
      <c r="NWE1333" s="4" t="s">
        <v>2877</v>
      </c>
      <c r="NWF1333" s="4" t="s">
        <v>2877</v>
      </c>
      <c r="NWG1333" s="4" t="s">
        <v>2877</v>
      </c>
      <c r="NWH1333" s="4" t="s">
        <v>2877</v>
      </c>
      <c r="NWI1333" s="4" t="s">
        <v>2877</v>
      </c>
      <c r="NWJ1333" s="4" t="s">
        <v>2877</v>
      </c>
      <c r="NWK1333" s="4" t="s">
        <v>2877</v>
      </c>
      <c r="NWL1333" s="4" t="s">
        <v>2877</v>
      </c>
      <c r="NWM1333" s="4" t="s">
        <v>2877</v>
      </c>
      <c r="NWN1333" s="4" t="s">
        <v>2877</v>
      </c>
      <c r="NWO1333" s="4" t="s">
        <v>2877</v>
      </c>
      <c r="NWP1333" s="4" t="s">
        <v>2877</v>
      </c>
      <c r="NWQ1333" s="4" t="s">
        <v>2877</v>
      </c>
      <c r="NWR1333" s="4" t="s">
        <v>2877</v>
      </c>
      <c r="NWS1333" s="4" t="s">
        <v>2877</v>
      </c>
      <c r="NWT1333" s="4" t="s">
        <v>2877</v>
      </c>
      <c r="NWU1333" s="4" t="s">
        <v>2877</v>
      </c>
      <c r="NWV1333" s="4" t="s">
        <v>2877</v>
      </c>
      <c r="NWW1333" s="4" t="s">
        <v>2877</v>
      </c>
      <c r="NWX1333" s="4" t="s">
        <v>2877</v>
      </c>
      <c r="NWY1333" s="4" t="s">
        <v>2877</v>
      </c>
      <c r="NWZ1333" s="4" t="s">
        <v>2877</v>
      </c>
      <c r="NXA1333" s="4" t="s">
        <v>2877</v>
      </c>
      <c r="NXB1333" s="4" t="s">
        <v>2877</v>
      </c>
      <c r="NXC1333" s="4" t="s">
        <v>2877</v>
      </c>
      <c r="NXD1333" s="4" t="s">
        <v>2877</v>
      </c>
      <c r="NXE1333" s="4" t="s">
        <v>2877</v>
      </c>
      <c r="NXF1333" s="4" t="s">
        <v>2877</v>
      </c>
      <c r="NXG1333" s="4" t="s">
        <v>2877</v>
      </c>
      <c r="NXH1333" s="4" t="s">
        <v>2877</v>
      </c>
      <c r="NXI1333" s="4" t="s">
        <v>2877</v>
      </c>
      <c r="NXJ1333" s="4" t="s">
        <v>2877</v>
      </c>
      <c r="NXK1333" s="4" t="s">
        <v>2877</v>
      </c>
      <c r="NXL1333" s="4" t="s">
        <v>2877</v>
      </c>
      <c r="NXM1333" s="4" t="s">
        <v>2877</v>
      </c>
      <c r="NXN1333" s="4" t="s">
        <v>2877</v>
      </c>
      <c r="NXO1333" s="4" t="s">
        <v>2877</v>
      </c>
      <c r="NXP1333" s="4" t="s">
        <v>2877</v>
      </c>
      <c r="NXQ1333" s="4" t="s">
        <v>2877</v>
      </c>
      <c r="NXR1333" s="4" t="s">
        <v>2877</v>
      </c>
      <c r="NXS1333" s="4" t="s">
        <v>2877</v>
      </c>
      <c r="NXT1333" s="4" t="s">
        <v>2877</v>
      </c>
      <c r="NXU1333" s="4" t="s">
        <v>2877</v>
      </c>
      <c r="NXV1333" s="4" t="s">
        <v>2877</v>
      </c>
      <c r="NXW1333" s="4" t="s">
        <v>2877</v>
      </c>
      <c r="NXX1333" s="4" t="s">
        <v>2877</v>
      </c>
      <c r="NXY1333" s="4" t="s">
        <v>2877</v>
      </c>
      <c r="NXZ1333" s="4" t="s">
        <v>2877</v>
      </c>
      <c r="NYA1333" s="4" t="s">
        <v>2877</v>
      </c>
      <c r="NYB1333" s="4" t="s">
        <v>2877</v>
      </c>
      <c r="NYC1333" s="4" t="s">
        <v>2877</v>
      </c>
      <c r="NYD1333" s="4" t="s">
        <v>2877</v>
      </c>
      <c r="NYE1333" s="4" t="s">
        <v>2877</v>
      </c>
      <c r="NYF1333" s="4" t="s">
        <v>2877</v>
      </c>
      <c r="NYG1333" s="4" t="s">
        <v>2877</v>
      </c>
      <c r="NYH1333" s="4" t="s">
        <v>2877</v>
      </c>
      <c r="NYI1333" s="4" t="s">
        <v>2877</v>
      </c>
      <c r="NYJ1333" s="4" t="s">
        <v>2877</v>
      </c>
      <c r="NYK1333" s="4" t="s">
        <v>2877</v>
      </c>
      <c r="NYL1333" s="4" t="s">
        <v>2877</v>
      </c>
      <c r="NYM1333" s="4" t="s">
        <v>2877</v>
      </c>
      <c r="NYN1333" s="4" t="s">
        <v>2877</v>
      </c>
      <c r="NYO1333" s="4" t="s">
        <v>2877</v>
      </c>
      <c r="NYP1333" s="4" t="s">
        <v>2877</v>
      </c>
      <c r="NYQ1333" s="4" t="s">
        <v>2877</v>
      </c>
      <c r="NYR1333" s="4" t="s">
        <v>2877</v>
      </c>
      <c r="NYS1333" s="4" t="s">
        <v>2877</v>
      </c>
      <c r="NYT1333" s="4" t="s">
        <v>2877</v>
      </c>
      <c r="NYU1333" s="4" t="s">
        <v>2877</v>
      </c>
      <c r="NYV1333" s="4" t="s">
        <v>2877</v>
      </c>
      <c r="NYW1333" s="4" t="s">
        <v>2877</v>
      </c>
      <c r="NYX1333" s="4" t="s">
        <v>2877</v>
      </c>
      <c r="NYY1333" s="4" t="s">
        <v>2877</v>
      </c>
      <c r="NYZ1333" s="4" t="s">
        <v>2877</v>
      </c>
      <c r="NZA1333" s="4" t="s">
        <v>2877</v>
      </c>
      <c r="NZB1333" s="4" t="s">
        <v>2877</v>
      </c>
      <c r="NZC1333" s="4" t="s">
        <v>2877</v>
      </c>
      <c r="NZD1333" s="4" t="s">
        <v>2877</v>
      </c>
      <c r="NZE1333" s="4" t="s">
        <v>2877</v>
      </c>
      <c r="NZF1333" s="4" t="s">
        <v>2877</v>
      </c>
      <c r="NZG1333" s="4" t="s">
        <v>2877</v>
      </c>
      <c r="NZH1333" s="4" t="s">
        <v>2877</v>
      </c>
      <c r="NZI1333" s="4" t="s">
        <v>2877</v>
      </c>
      <c r="NZJ1333" s="4" t="s">
        <v>2877</v>
      </c>
      <c r="NZK1333" s="4" t="s">
        <v>2877</v>
      </c>
      <c r="NZL1333" s="4" t="s">
        <v>2877</v>
      </c>
      <c r="NZM1333" s="4" t="s">
        <v>2877</v>
      </c>
      <c r="NZN1333" s="4" t="s">
        <v>2877</v>
      </c>
      <c r="NZO1333" s="4" t="s">
        <v>2877</v>
      </c>
      <c r="NZP1333" s="4" t="s">
        <v>2877</v>
      </c>
      <c r="NZQ1333" s="4" t="s">
        <v>2877</v>
      </c>
      <c r="NZR1333" s="4" t="s">
        <v>2877</v>
      </c>
      <c r="NZS1333" s="4" t="s">
        <v>2877</v>
      </c>
      <c r="NZT1333" s="4" t="s">
        <v>2877</v>
      </c>
      <c r="NZU1333" s="4" t="s">
        <v>2877</v>
      </c>
      <c r="NZV1333" s="4" t="s">
        <v>2877</v>
      </c>
      <c r="NZW1333" s="4" t="s">
        <v>2877</v>
      </c>
      <c r="NZX1333" s="4" t="s">
        <v>2877</v>
      </c>
      <c r="NZY1333" s="4" t="s">
        <v>2877</v>
      </c>
      <c r="NZZ1333" s="4" t="s">
        <v>2877</v>
      </c>
      <c r="OAA1333" s="4" t="s">
        <v>2877</v>
      </c>
      <c r="OAB1333" s="4" t="s">
        <v>2877</v>
      </c>
      <c r="OAC1333" s="4" t="s">
        <v>2877</v>
      </c>
      <c r="OAD1333" s="4" t="s">
        <v>2877</v>
      </c>
      <c r="OAE1333" s="4" t="s">
        <v>2877</v>
      </c>
      <c r="OAF1333" s="4" t="s">
        <v>2877</v>
      </c>
      <c r="OAG1333" s="4" t="s">
        <v>2877</v>
      </c>
      <c r="OAH1333" s="4" t="s">
        <v>2877</v>
      </c>
      <c r="OAI1333" s="4" t="s">
        <v>2877</v>
      </c>
      <c r="OAJ1333" s="4" t="s">
        <v>2877</v>
      </c>
      <c r="OAK1333" s="4" t="s">
        <v>2877</v>
      </c>
      <c r="OAL1333" s="4" t="s">
        <v>2877</v>
      </c>
      <c r="OAM1333" s="4" t="s">
        <v>2877</v>
      </c>
      <c r="OAN1333" s="4" t="s">
        <v>2877</v>
      </c>
      <c r="OAO1333" s="4" t="s">
        <v>2877</v>
      </c>
      <c r="OAP1333" s="4" t="s">
        <v>2877</v>
      </c>
      <c r="OAQ1333" s="4" t="s">
        <v>2877</v>
      </c>
      <c r="OAR1333" s="4" t="s">
        <v>2877</v>
      </c>
      <c r="OAS1333" s="4" t="s">
        <v>2877</v>
      </c>
      <c r="OAT1333" s="4" t="s">
        <v>2877</v>
      </c>
      <c r="OAU1333" s="4" t="s">
        <v>2877</v>
      </c>
      <c r="OAV1333" s="4" t="s">
        <v>2877</v>
      </c>
      <c r="OAW1333" s="4" t="s">
        <v>2877</v>
      </c>
      <c r="OAX1333" s="4" t="s">
        <v>2877</v>
      </c>
      <c r="OAY1333" s="4" t="s">
        <v>2877</v>
      </c>
      <c r="OAZ1333" s="4" t="s">
        <v>2877</v>
      </c>
      <c r="OBA1333" s="4" t="s">
        <v>2877</v>
      </c>
      <c r="OBB1333" s="4" t="s">
        <v>2877</v>
      </c>
      <c r="OBC1333" s="4" t="s">
        <v>2877</v>
      </c>
      <c r="OBD1333" s="4" t="s">
        <v>2877</v>
      </c>
      <c r="OBE1333" s="4" t="s">
        <v>2877</v>
      </c>
      <c r="OBF1333" s="4" t="s">
        <v>2877</v>
      </c>
      <c r="OBG1333" s="4" t="s">
        <v>2877</v>
      </c>
      <c r="OBH1333" s="4" t="s">
        <v>2877</v>
      </c>
      <c r="OBI1333" s="4" t="s">
        <v>2877</v>
      </c>
      <c r="OBJ1333" s="4" t="s">
        <v>2877</v>
      </c>
      <c r="OBK1333" s="4" t="s">
        <v>2877</v>
      </c>
      <c r="OBL1333" s="4" t="s">
        <v>2877</v>
      </c>
      <c r="OBM1333" s="4" t="s">
        <v>2877</v>
      </c>
      <c r="OBN1333" s="4" t="s">
        <v>2877</v>
      </c>
      <c r="OBO1333" s="4" t="s">
        <v>2877</v>
      </c>
      <c r="OBP1333" s="4" t="s">
        <v>2877</v>
      </c>
      <c r="OBQ1333" s="4" t="s">
        <v>2877</v>
      </c>
      <c r="OBR1333" s="4" t="s">
        <v>2877</v>
      </c>
      <c r="OBS1333" s="4" t="s">
        <v>2877</v>
      </c>
      <c r="OBT1333" s="4" t="s">
        <v>2877</v>
      </c>
      <c r="OBU1333" s="4" t="s">
        <v>2877</v>
      </c>
      <c r="OBV1333" s="4" t="s">
        <v>2877</v>
      </c>
      <c r="OBW1333" s="4" t="s">
        <v>2877</v>
      </c>
      <c r="OBX1333" s="4" t="s">
        <v>2877</v>
      </c>
      <c r="OBY1333" s="4" t="s">
        <v>2877</v>
      </c>
      <c r="OBZ1333" s="4" t="s">
        <v>2877</v>
      </c>
      <c r="OCA1333" s="4" t="s">
        <v>2877</v>
      </c>
      <c r="OCB1333" s="4" t="s">
        <v>2877</v>
      </c>
      <c r="OCC1333" s="4" t="s">
        <v>2877</v>
      </c>
      <c r="OCD1333" s="4" t="s">
        <v>2877</v>
      </c>
      <c r="OCE1333" s="4" t="s">
        <v>2877</v>
      </c>
      <c r="OCF1333" s="4" t="s">
        <v>2877</v>
      </c>
      <c r="OCG1333" s="4" t="s">
        <v>2877</v>
      </c>
      <c r="OCH1333" s="4" t="s">
        <v>2877</v>
      </c>
      <c r="OCI1333" s="4" t="s">
        <v>2877</v>
      </c>
      <c r="OCJ1333" s="4" t="s">
        <v>2877</v>
      </c>
      <c r="OCK1333" s="4" t="s">
        <v>2877</v>
      </c>
      <c r="OCL1333" s="4" t="s">
        <v>2877</v>
      </c>
      <c r="OCM1333" s="4" t="s">
        <v>2877</v>
      </c>
      <c r="OCN1333" s="4" t="s">
        <v>2877</v>
      </c>
      <c r="OCO1333" s="4" t="s">
        <v>2877</v>
      </c>
      <c r="OCP1333" s="4" t="s">
        <v>2877</v>
      </c>
      <c r="OCQ1333" s="4" t="s">
        <v>2877</v>
      </c>
      <c r="OCR1333" s="4" t="s">
        <v>2877</v>
      </c>
      <c r="OCS1333" s="4" t="s">
        <v>2877</v>
      </c>
      <c r="OCT1333" s="4" t="s">
        <v>2877</v>
      </c>
      <c r="OCU1333" s="4" t="s">
        <v>2877</v>
      </c>
      <c r="OCV1333" s="4" t="s">
        <v>2877</v>
      </c>
      <c r="OCW1333" s="4" t="s">
        <v>2877</v>
      </c>
      <c r="OCX1333" s="4" t="s">
        <v>2877</v>
      </c>
      <c r="OCY1333" s="4" t="s">
        <v>2877</v>
      </c>
      <c r="OCZ1333" s="4" t="s">
        <v>2877</v>
      </c>
      <c r="ODA1333" s="4" t="s">
        <v>2877</v>
      </c>
      <c r="ODB1333" s="4" t="s">
        <v>2877</v>
      </c>
      <c r="ODC1333" s="4" t="s">
        <v>2877</v>
      </c>
      <c r="ODD1333" s="4" t="s">
        <v>2877</v>
      </c>
      <c r="ODE1333" s="4" t="s">
        <v>2877</v>
      </c>
      <c r="ODF1333" s="4" t="s">
        <v>2877</v>
      </c>
      <c r="ODG1333" s="4" t="s">
        <v>2877</v>
      </c>
      <c r="ODH1333" s="4" t="s">
        <v>2877</v>
      </c>
      <c r="ODI1333" s="4" t="s">
        <v>2877</v>
      </c>
      <c r="ODJ1333" s="4" t="s">
        <v>2877</v>
      </c>
      <c r="ODK1333" s="4" t="s">
        <v>2877</v>
      </c>
      <c r="ODL1333" s="4" t="s">
        <v>2877</v>
      </c>
      <c r="ODM1333" s="4" t="s">
        <v>2877</v>
      </c>
      <c r="ODN1333" s="4" t="s">
        <v>2877</v>
      </c>
      <c r="ODO1333" s="4" t="s">
        <v>2877</v>
      </c>
      <c r="ODP1333" s="4" t="s">
        <v>2877</v>
      </c>
      <c r="ODQ1333" s="4" t="s">
        <v>2877</v>
      </c>
      <c r="ODR1333" s="4" t="s">
        <v>2877</v>
      </c>
      <c r="ODS1333" s="4" t="s">
        <v>2877</v>
      </c>
      <c r="ODT1333" s="4" t="s">
        <v>2877</v>
      </c>
      <c r="ODU1333" s="4" t="s">
        <v>2877</v>
      </c>
      <c r="ODV1333" s="4" t="s">
        <v>2877</v>
      </c>
      <c r="ODW1333" s="4" t="s">
        <v>2877</v>
      </c>
      <c r="ODX1333" s="4" t="s">
        <v>2877</v>
      </c>
      <c r="ODY1333" s="4" t="s">
        <v>2877</v>
      </c>
      <c r="ODZ1333" s="4" t="s">
        <v>2877</v>
      </c>
      <c r="OEA1333" s="4" t="s">
        <v>2877</v>
      </c>
      <c r="OEB1333" s="4" t="s">
        <v>2877</v>
      </c>
      <c r="OEC1333" s="4" t="s">
        <v>2877</v>
      </c>
      <c r="OED1333" s="4" t="s">
        <v>2877</v>
      </c>
      <c r="OEE1333" s="4" t="s">
        <v>2877</v>
      </c>
      <c r="OEF1333" s="4" t="s">
        <v>2877</v>
      </c>
      <c r="OEG1333" s="4" t="s">
        <v>2877</v>
      </c>
      <c r="OEH1333" s="4" t="s">
        <v>2877</v>
      </c>
      <c r="OEI1333" s="4" t="s">
        <v>2877</v>
      </c>
      <c r="OEJ1333" s="4" t="s">
        <v>2877</v>
      </c>
      <c r="OEK1333" s="4" t="s">
        <v>2877</v>
      </c>
      <c r="OEL1333" s="4" t="s">
        <v>2877</v>
      </c>
      <c r="OEM1333" s="4" t="s">
        <v>2877</v>
      </c>
      <c r="OEN1333" s="4" t="s">
        <v>2877</v>
      </c>
      <c r="OEO1333" s="4" t="s">
        <v>2877</v>
      </c>
      <c r="OEP1333" s="4" t="s">
        <v>2877</v>
      </c>
      <c r="OEQ1333" s="4" t="s">
        <v>2877</v>
      </c>
      <c r="OER1333" s="4" t="s">
        <v>2877</v>
      </c>
      <c r="OES1333" s="4" t="s">
        <v>2877</v>
      </c>
      <c r="OET1333" s="4" t="s">
        <v>2877</v>
      </c>
      <c r="OEU1333" s="4" t="s">
        <v>2877</v>
      </c>
      <c r="OEV1333" s="4" t="s">
        <v>2877</v>
      </c>
      <c r="OEW1333" s="4" t="s">
        <v>2877</v>
      </c>
      <c r="OEX1333" s="4" t="s">
        <v>2877</v>
      </c>
      <c r="OEY1333" s="4" t="s">
        <v>2877</v>
      </c>
      <c r="OEZ1333" s="4" t="s">
        <v>2877</v>
      </c>
      <c r="OFA1333" s="4" t="s">
        <v>2877</v>
      </c>
      <c r="OFB1333" s="4" t="s">
        <v>2877</v>
      </c>
      <c r="OFC1333" s="4" t="s">
        <v>2877</v>
      </c>
      <c r="OFD1333" s="4" t="s">
        <v>2877</v>
      </c>
      <c r="OFE1333" s="4" t="s">
        <v>2877</v>
      </c>
      <c r="OFF1333" s="4" t="s">
        <v>2877</v>
      </c>
      <c r="OFG1333" s="4" t="s">
        <v>2877</v>
      </c>
      <c r="OFH1333" s="4" t="s">
        <v>2877</v>
      </c>
      <c r="OFI1333" s="4" t="s">
        <v>2877</v>
      </c>
      <c r="OFJ1333" s="4" t="s">
        <v>2877</v>
      </c>
      <c r="OFK1333" s="4" t="s">
        <v>2877</v>
      </c>
      <c r="OFL1333" s="4" t="s">
        <v>2877</v>
      </c>
      <c r="OFM1333" s="4" t="s">
        <v>2877</v>
      </c>
      <c r="OFN1333" s="4" t="s">
        <v>2877</v>
      </c>
      <c r="OFO1333" s="4" t="s">
        <v>2877</v>
      </c>
      <c r="OFP1333" s="4" t="s">
        <v>2877</v>
      </c>
      <c r="OFQ1333" s="4" t="s">
        <v>2877</v>
      </c>
      <c r="OFR1333" s="4" t="s">
        <v>2877</v>
      </c>
      <c r="OFS1333" s="4" t="s">
        <v>2877</v>
      </c>
      <c r="OFT1333" s="4" t="s">
        <v>2877</v>
      </c>
      <c r="OFU1333" s="4" t="s">
        <v>2877</v>
      </c>
      <c r="OFV1333" s="4" t="s">
        <v>2877</v>
      </c>
      <c r="OFW1333" s="4" t="s">
        <v>2877</v>
      </c>
      <c r="OFX1333" s="4" t="s">
        <v>2877</v>
      </c>
      <c r="OFY1333" s="4" t="s">
        <v>2877</v>
      </c>
      <c r="OFZ1333" s="4" t="s">
        <v>2877</v>
      </c>
      <c r="OGA1333" s="4" t="s">
        <v>2877</v>
      </c>
      <c r="OGB1333" s="4" t="s">
        <v>2877</v>
      </c>
      <c r="OGC1333" s="4" t="s">
        <v>2877</v>
      </c>
      <c r="OGD1333" s="4" t="s">
        <v>2877</v>
      </c>
      <c r="OGE1333" s="4" t="s">
        <v>2877</v>
      </c>
      <c r="OGF1333" s="4" t="s">
        <v>2877</v>
      </c>
      <c r="OGG1333" s="4" t="s">
        <v>2877</v>
      </c>
      <c r="OGH1333" s="4" t="s">
        <v>2877</v>
      </c>
      <c r="OGI1333" s="4" t="s">
        <v>2877</v>
      </c>
      <c r="OGJ1333" s="4" t="s">
        <v>2877</v>
      </c>
      <c r="OGK1333" s="4" t="s">
        <v>2877</v>
      </c>
      <c r="OGL1333" s="4" t="s">
        <v>2877</v>
      </c>
      <c r="OGM1333" s="4" t="s">
        <v>2877</v>
      </c>
      <c r="OGN1333" s="4" t="s">
        <v>2877</v>
      </c>
      <c r="OGO1333" s="4" t="s">
        <v>2877</v>
      </c>
      <c r="OGP1333" s="4" t="s">
        <v>2877</v>
      </c>
      <c r="OGQ1333" s="4" t="s">
        <v>2877</v>
      </c>
      <c r="OGR1333" s="4" t="s">
        <v>2877</v>
      </c>
      <c r="OGS1333" s="4" t="s">
        <v>2877</v>
      </c>
      <c r="OGT1333" s="4" t="s">
        <v>2877</v>
      </c>
      <c r="OGU1333" s="4" t="s">
        <v>2877</v>
      </c>
      <c r="OGV1333" s="4" t="s">
        <v>2877</v>
      </c>
      <c r="OGW1333" s="4" t="s">
        <v>2877</v>
      </c>
      <c r="OGX1333" s="4" t="s">
        <v>2877</v>
      </c>
      <c r="OGY1333" s="4" t="s">
        <v>2877</v>
      </c>
      <c r="OGZ1333" s="4" t="s">
        <v>2877</v>
      </c>
      <c r="OHA1333" s="4" t="s">
        <v>2877</v>
      </c>
      <c r="OHB1333" s="4" t="s">
        <v>2877</v>
      </c>
      <c r="OHC1333" s="4" t="s">
        <v>2877</v>
      </c>
      <c r="OHD1333" s="4" t="s">
        <v>2877</v>
      </c>
      <c r="OHE1333" s="4" t="s">
        <v>2877</v>
      </c>
      <c r="OHF1333" s="4" t="s">
        <v>2877</v>
      </c>
      <c r="OHG1333" s="4" t="s">
        <v>2877</v>
      </c>
      <c r="OHH1333" s="4" t="s">
        <v>2877</v>
      </c>
      <c r="OHI1333" s="4" t="s">
        <v>2877</v>
      </c>
      <c r="OHJ1333" s="4" t="s">
        <v>2877</v>
      </c>
      <c r="OHK1333" s="4" t="s">
        <v>2877</v>
      </c>
      <c r="OHL1333" s="4" t="s">
        <v>2877</v>
      </c>
      <c r="OHM1333" s="4" t="s">
        <v>2877</v>
      </c>
      <c r="OHN1333" s="4" t="s">
        <v>2877</v>
      </c>
      <c r="OHO1333" s="4" t="s">
        <v>2877</v>
      </c>
      <c r="OHP1333" s="4" t="s">
        <v>2877</v>
      </c>
      <c r="OHQ1333" s="4" t="s">
        <v>2877</v>
      </c>
      <c r="OHR1333" s="4" t="s">
        <v>2877</v>
      </c>
      <c r="OHS1333" s="4" t="s">
        <v>2877</v>
      </c>
      <c r="OHT1333" s="4" t="s">
        <v>2877</v>
      </c>
      <c r="OHU1333" s="4" t="s">
        <v>2877</v>
      </c>
      <c r="OHV1333" s="4" t="s">
        <v>2877</v>
      </c>
      <c r="OHW1333" s="4" t="s">
        <v>2877</v>
      </c>
      <c r="OHX1333" s="4" t="s">
        <v>2877</v>
      </c>
      <c r="OHY1333" s="4" t="s">
        <v>2877</v>
      </c>
      <c r="OHZ1333" s="4" t="s">
        <v>2877</v>
      </c>
      <c r="OIA1333" s="4" t="s">
        <v>2877</v>
      </c>
      <c r="OIB1333" s="4" t="s">
        <v>2877</v>
      </c>
      <c r="OIC1333" s="4" t="s">
        <v>2877</v>
      </c>
      <c r="OID1333" s="4" t="s">
        <v>2877</v>
      </c>
      <c r="OIE1333" s="4" t="s">
        <v>2877</v>
      </c>
      <c r="OIF1333" s="4" t="s">
        <v>2877</v>
      </c>
      <c r="OIG1333" s="4" t="s">
        <v>2877</v>
      </c>
      <c r="OIH1333" s="4" t="s">
        <v>2877</v>
      </c>
      <c r="OII1333" s="4" t="s">
        <v>2877</v>
      </c>
      <c r="OIJ1333" s="4" t="s">
        <v>2877</v>
      </c>
      <c r="OIK1333" s="4" t="s">
        <v>2877</v>
      </c>
      <c r="OIL1333" s="4" t="s">
        <v>2877</v>
      </c>
      <c r="OIM1333" s="4" t="s">
        <v>2877</v>
      </c>
      <c r="OIN1333" s="4" t="s">
        <v>2877</v>
      </c>
      <c r="OIO1333" s="4" t="s">
        <v>2877</v>
      </c>
      <c r="OIP1333" s="4" t="s">
        <v>2877</v>
      </c>
      <c r="OIQ1333" s="4" t="s">
        <v>2877</v>
      </c>
      <c r="OIR1333" s="4" t="s">
        <v>2877</v>
      </c>
      <c r="OIS1333" s="4" t="s">
        <v>2877</v>
      </c>
      <c r="OIT1333" s="4" t="s">
        <v>2877</v>
      </c>
      <c r="OIU1333" s="4" t="s">
        <v>2877</v>
      </c>
      <c r="OIV1333" s="4" t="s">
        <v>2877</v>
      </c>
      <c r="OIW1333" s="4" t="s">
        <v>2877</v>
      </c>
      <c r="OIX1333" s="4" t="s">
        <v>2877</v>
      </c>
      <c r="OIY1333" s="4" t="s">
        <v>2877</v>
      </c>
      <c r="OIZ1333" s="4" t="s">
        <v>2877</v>
      </c>
      <c r="OJA1333" s="4" t="s">
        <v>2877</v>
      </c>
      <c r="OJB1333" s="4" t="s">
        <v>2877</v>
      </c>
      <c r="OJC1333" s="4" t="s">
        <v>2877</v>
      </c>
      <c r="OJD1333" s="4" t="s">
        <v>2877</v>
      </c>
      <c r="OJE1333" s="4" t="s">
        <v>2877</v>
      </c>
      <c r="OJF1333" s="4" t="s">
        <v>2877</v>
      </c>
      <c r="OJG1333" s="4" t="s">
        <v>2877</v>
      </c>
      <c r="OJH1333" s="4" t="s">
        <v>2877</v>
      </c>
      <c r="OJI1333" s="4" t="s">
        <v>2877</v>
      </c>
      <c r="OJJ1333" s="4" t="s">
        <v>2877</v>
      </c>
      <c r="OJK1333" s="4" t="s">
        <v>2877</v>
      </c>
      <c r="OJL1333" s="4" t="s">
        <v>2877</v>
      </c>
      <c r="OJM1333" s="4" t="s">
        <v>2877</v>
      </c>
      <c r="OJN1333" s="4" t="s">
        <v>2877</v>
      </c>
      <c r="OJO1333" s="4" t="s">
        <v>2877</v>
      </c>
      <c r="OJP1333" s="4" t="s">
        <v>2877</v>
      </c>
      <c r="OJQ1333" s="4" t="s">
        <v>2877</v>
      </c>
      <c r="OJR1333" s="4" t="s">
        <v>2877</v>
      </c>
      <c r="OJS1333" s="4" t="s">
        <v>2877</v>
      </c>
      <c r="OJT1333" s="4" t="s">
        <v>2877</v>
      </c>
      <c r="OJU1333" s="4" t="s">
        <v>2877</v>
      </c>
      <c r="OJV1333" s="4" t="s">
        <v>2877</v>
      </c>
      <c r="OJW1333" s="4" t="s">
        <v>2877</v>
      </c>
      <c r="OJX1333" s="4" t="s">
        <v>2877</v>
      </c>
      <c r="OJY1333" s="4" t="s">
        <v>2877</v>
      </c>
      <c r="OJZ1333" s="4" t="s">
        <v>2877</v>
      </c>
      <c r="OKA1333" s="4" t="s">
        <v>2877</v>
      </c>
      <c r="OKB1333" s="4" t="s">
        <v>2877</v>
      </c>
      <c r="OKC1333" s="4" t="s">
        <v>2877</v>
      </c>
      <c r="OKD1333" s="4" t="s">
        <v>2877</v>
      </c>
      <c r="OKE1333" s="4" t="s">
        <v>2877</v>
      </c>
      <c r="OKF1333" s="4" t="s">
        <v>2877</v>
      </c>
      <c r="OKG1333" s="4" t="s">
        <v>2877</v>
      </c>
      <c r="OKH1333" s="4" t="s">
        <v>2877</v>
      </c>
      <c r="OKI1333" s="4" t="s">
        <v>2877</v>
      </c>
      <c r="OKJ1333" s="4" t="s">
        <v>2877</v>
      </c>
      <c r="OKK1333" s="4" t="s">
        <v>2877</v>
      </c>
      <c r="OKL1333" s="4" t="s">
        <v>2877</v>
      </c>
      <c r="OKM1333" s="4" t="s">
        <v>2877</v>
      </c>
      <c r="OKN1333" s="4" t="s">
        <v>2877</v>
      </c>
      <c r="OKO1333" s="4" t="s">
        <v>2877</v>
      </c>
      <c r="OKP1333" s="4" t="s">
        <v>2877</v>
      </c>
      <c r="OKQ1333" s="4" t="s">
        <v>2877</v>
      </c>
      <c r="OKR1333" s="4" t="s">
        <v>2877</v>
      </c>
      <c r="OKS1333" s="4" t="s">
        <v>2877</v>
      </c>
      <c r="OKT1333" s="4" t="s">
        <v>2877</v>
      </c>
      <c r="OKU1333" s="4" t="s">
        <v>2877</v>
      </c>
      <c r="OKV1333" s="4" t="s">
        <v>2877</v>
      </c>
      <c r="OKW1333" s="4" t="s">
        <v>2877</v>
      </c>
      <c r="OKX1333" s="4" t="s">
        <v>2877</v>
      </c>
      <c r="OKY1333" s="4" t="s">
        <v>2877</v>
      </c>
      <c r="OKZ1333" s="4" t="s">
        <v>2877</v>
      </c>
      <c r="OLA1333" s="4" t="s">
        <v>2877</v>
      </c>
      <c r="OLB1333" s="4" t="s">
        <v>2877</v>
      </c>
      <c r="OLC1333" s="4" t="s">
        <v>2877</v>
      </c>
      <c r="OLD1333" s="4" t="s">
        <v>2877</v>
      </c>
      <c r="OLE1333" s="4" t="s">
        <v>2877</v>
      </c>
      <c r="OLF1333" s="4" t="s">
        <v>2877</v>
      </c>
      <c r="OLG1333" s="4" t="s">
        <v>2877</v>
      </c>
      <c r="OLH1333" s="4" t="s">
        <v>2877</v>
      </c>
      <c r="OLI1333" s="4" t="s">
        <v>2877</v>
      </c>
      <c r="OLJ1333" s="4" t="s">
        <v>2877</v>
      </c>
      <c r="OLK1333" s="4" t="s">
        <v>2877</v>
      </c>
      <c r="OLL1333" s="4" t="s">
        <v>2877</v>
      </c>
      <c r="OLM1333" s="4" t="s">
        <v>2877</v>
      </c>
      <c r="OLN1333" s="4" t="s">
        <v>2877</v>
      </c>
      <c r="OLO1333" s="4" t="s">
        <v>2877</v>
      </c>
      <c r="OLP1333" s="4" t="s">
        <v>2877</v>
      </c>
      <c r="OLQ1333" s="4" t="s">
        <v>2877</v>
      </c>
      <c r="OLR1333" s="4" t="s">
        <v>2877</v>
      </c>
      <c r="OLS1333" s="4" t="s">
        <v>2877</v>
      </c>
      <c r="OLT1333" s="4" t="s">
        <v>2877</v>
      </c>
      <c r="OLU1333" s="4" t="s">
        <v>2877</v>
      </c>
      <c r="OLV1333" s="4" t="s">
        <v>2877</v>
      </c>
      <c r="OLW1333" s="4" t="s">
        <v>2877</v>
      </c>
      <c r="OLX1333" s="4" t="s">
        <v>2877</v>
      </c>
      <c r="OLY1333" s="4" t="s">
        <v>2877</v>
      </c>
      <c r="OLZ1333" s="4" t="s">
        <v>2877</v>
      </c>
      <c r="OMA1333" s="4" t="s">
        <v>2877</v>
      </c>
      <c r="OMB1333" s="4" t="s">
        <v>2877</v>
      </c>
      <c r="OMC1333" s="4" t="s">
        <v>2877</v>
      </c>
      <c r="OMD1333" s="4" t="s">
        <v>2877</v>
      </c>
      <c r="OME1333" s="4" t="s">
        <v>2877</v>
      </c>
      <c r="OMF1333" s="4" t="s">
        <v>2877</v>
      </c>
      <c r="OMG1333" s="4" t="s">
        <v>2877</v>
      </c>
      <c r="OMH1333" s="4" t="s">
        <v>2877</v>
      </c>
      <c r="OMI1333" s="4" t="s">
        <v>2877</v>
      </c>
      <c r="OMJ1333" s="4" t="s">
        <v>2877</v>
      </c>
      <c r="OMK1333" s="4" t="s">
        <v>2877</v>
      </c>
      <c r="OML1333" s="4" t="s">
        <v>2877</v>
      </c>
      <c r="OMM1333" s="4" t="s">
        <v>2877</v>
      </c>
      <c r="OMN1333" s="4" t="s">
        <v>2877</v>
      </c>
      <c r="OMO1333" s="4" t="s">
        <v>2877</v>
      </c>
      <c r="OMP1333" s="4" t="s">
        <v>2877</v>
      </c>
      <c r="OMQ1333" s="4" t="s">
        <v>2877</v>
      </c>
      <c r="OMR1333" s="4" t="s">
        <v>2877</v>
      </c>
      <c r="OMS1333" s="4" t="s">
        <v>2877</v>
      </c>
      <c r="OMT1333" s="4" t="s">
        <v>2877</v>
      </c>
      <c r="OMU1333" s="4" t="s">
        <v>2877</v>
      </c>
      <c r="OMV1333" s="4" t="s">
        <v>2877</v>
      </c>
      <c r="OMW1333" s="4" t="s">
        <v>2877</v>
      </c>
      <c r="OMX1333" s="4" t="s">
        <v>2877</v>
      </c>
      <c r="OMY1333" s="4" t="s">
        <v>2877</v>
      </c>
      <c r="OMZ1333" s="4" t="s">
        <v>2877</v>
      </c>
      <c r="ONA1333" s="4" t="s">
        <v>2877</v>
      </c>
      <c r="ONB1333" s="4" t="s">
        <v>2877</v>
      </c>
      <c r="ONC1333" s="4" t="s">
        <v>2877</v>
      </c>
      <c r="OND1333" s="4" t="s">
        <v>2877</v>
      </c>
      <c r="ONE1333" s="4" t="s">
        <v>2877</v>
      </c>
      <c r="ONF1333" s="4" t="s">
        <v>2877</v>
      </c>
      <c r="ONG1333" s="4" t="s">
        <v>2877</v>
      </c>
      <c r="ONH1333" s="4" t="s">
        <v>2877</v>
      </c>
      <c r="ONI1333" s="4" t="s">
        <v>2877</v>
      </c>
      <c r="ONJ1333" s="4" t="s">
        <v>2877</v>
      </c>
      <c r="ONK1333" s="4" t="s">
        <v>2877</v>
      </c>
      <c r="ONL1333" s="4" t="s">
        <v>2877</v>
      </c>
      <c r="ONM1333" s="4" t="s">
        <v>2877</v>
      </c>
      <c r="ONN1333" s="4" t="s">
        <v>2877</v>
      </c>
      <c r="ONO1333" s="4" t="s">
        <v>2877</v>
      </c>
      <c r="ONP1333" s="4" t="s">
        <v>2877</v>
      </c>
      <c r="ONQ1333" s="4" t="s">
        <v>2877</v>
      </c>
      <c r="ONR1333" s="4" t="s">
        <v>2877</v>
      </c>
      <c r="ONS1333" s="4" t="s">
        <v>2877</v>
      </c>
      <c r="ONT1333" s="4" t="s">
        <v>2877</v>
      </c>
      <c r="ONU1333" s="4" t="s">
        <v>2877</v>
      </c>
      <c r="ONV1333" s="4" t="s">
        <v>2877</v>
      </c>
      <c r="ONW1333" s="4" t="s">
        <v>2877</v>
      </c>
      <c r="ONX1333" s="4" t="s">
        <v>2877</v>
      </c>
      <c r="ONY1333" s="4" t="s">
        <v>2877</v>
      </c>
      <c r="ONZ1333" s="4" t="s">
        <v>2877</v>
      </c>
      <c r="OOA1333" s="4" t="s">
        <v>2877</v>
      </c>
      <c r="OOB1333" s="4" t="s">
        <v>2877</v>
      </c>
      <c r="OOC1333" s="4" t="s">
        <v>2877</v>
      </c>
      <c r="OOD1333" s="4" t="s">
        <v>2877</v>
      </c>
      <c r="OOE1333" s="4" t="s">
        <v>2877</v>
      </c>
      <c r="OOF1333" s="4" t="s">
        <v>2877</v>
      </c>
      <c r="OOG1333" s="4" t="s">
        <v>2877</v>
      </c>
      <c r="OOH1333" s="4" t="s">
        <v>2877</v>
      </c>
      <c r="OOI1333" s="4" t="s">
        <v>2877</v>
      </c>
      <c r="OOJ1333" s="4" t="s">
        <v>2877</v>
      </c>
      <c r="OOK1333" s="4" t="s">
        <v>2877</v>
      </c>
      <c r="OOL1333" s="4" t="s">
        <v>2877</v>
      </c>
      <c r="OOM1333" s="4" t="s">
        <v>2877</v>
      </c>
      <c r="OON1333" s="4" t="s">
        <v>2877</v>
      </c>
      <c r="OOO1333" s="4" t="s">
        <v>2877</v>
      </c>
      <c r="OOP1333" s="4" t="s">
        <v>2877</v>
      </c>
      <c r="OOQ1333" s="4" t="s">
        <v>2877</v>
      </c>
      <c r="OOR1333" s="4" t="s">
        <v>2877</v>
      </c>
      <c r="OOS1333" s="4" t="s">
        <v>2877</v>
      </c>
      <c r="OOT1333" s="4" t="s">
        <v>2877</v>
      </c>
      <c r="OOU1333" s="4" t="s">
        <v>2877</v>
      </c>
      <c r="OOV1333" s="4" t="s">
        <v>2877</v>
      </c>
      <c r="OOW1333" s="4" t="s">
        <v>2877</v>
      </c>
      <c r="OOX1333" s="4" t="s">
        <v>2877</v>
      </c>
      <c r="OOY1333" s="4" t="s">
        <v>2877</v>
      </c>
      <c r="OOZ1333" s="4" t="s">
        <v>2877</v>
      </c>
      <c r="OPA1333" s="4" t="s">
        <v>2877</v>
      </c>
      <c r="OPB1333" s="4" t="s">
        <v>2877</v>
      </c>
      <c r="OPC1333" s="4" t="s">
        <v>2877</v>
      </c>
      <c r="OPD1333" s="4" t="s">
        <v>2877</v>
      </c>
      <c r="OPE1333" s="4" t="s">
        <v>2877</v>
      </c>
      <c r="OPF1333" s="4" t="s">
        <v>2877</v>
      </c>
      <c r="OPG1333" s="4" t="s">
        <v>2877</v>
      </c>
      <c r="OPH1333" s="4" t="s">
        <v>2877</v>
      </c>
      <c r="OPI1333" s="4" t="s">
        <v>2877</v>
      </c>
      <c r="OPJ1333" s="4" t="s">
        <v>2877</v>
      </c>
      <c r="OPK1333" s="4" t="s">
        <v>2877</v>
      </c>
      <c r="OPL1333" s="4" t="s">
        <v>2877</v>
      </c>
      <c r="OPM1333" s="4" t="s">
        <v>2877</v>
      </c>
      <c r="OPN1333" s="4" t="s">
        <v>2877</v>
      </c>
      <c r="OPO1333" s="4" t="s">
        <v>2877</v>
      </c>
      <c r="OPP1333" s="4" t="s">
        <v>2877</v>
      </c>
      <c r="OPQ1333" s="4" t="s">
        <v>2877</v>
      </c>
      <c r="OPR1333" s="4" t="s">
        <v>2877</v>
      </c>
      <c r="OPS1333" s="4" t="s">
        <v>2877</v>
      </c>
      <c r="OPT1333" s="4" t="s">
        <v>2877</v>
      </c>
      <c r="OPU1333" s="4" t="s">
        <v>2877</v>
      </c>
      <c r="OPV1333" s="4" t="s">
        <v>2877</v>
      </c>
      <c r="OPW1333" s="4" t="s">
        <v>2877</v>
      </c>
      <c r="OPX1333" s="4" t="s">
        <v>2877</v>
      </c>
      <c r="OPY1333" s="4" t="s">
        <v>2877</v>
      </c>
      <c r="OPZ1333" s="4" t="s">
        <v>2877</v>
      </c>
      <c r="OQA1333" s="4" t="s">
        <v>2877</v>
      </c>
      <c r="OQB1333" s="4" t="s">
        <v>2877</v>
      </c>
      <c r="OQC1333" s="4" t="s">
        <v>2877</v>
      </c>
      <c r="OQD1333" s="4" t="s">
        <v>2877</v>
      </c>
      <c r="OQE1333" s="4" t="s">
        <v>2877</v>
      </c>
      <c r="OQF1333" s="4" t="s">
        <v>2877</v>
      </c>
      <c r="OQG1333" s="4" t="s">
        <v>2877</v>
      </c>
      <c r="OQH1333" s="4" t="s">
        <v>2877</v>
      </c>
      <c r="OQI1333" s="4" t="s">
        <v>2877</v>
      </c>
      <c r="OQJ1333" s="4" t="s">
        <v>2877</v>
      </c>
      <c r="OQK1333" s="4" t="s">
        <v>2877</v>
      </c>
      <c r="OQL1333" s="4" t="s">
        <v>2877</v>
      </c>
      <c r="OQM1333" s="4" t="s">
        <v>2877</v>
      </c>
      <c r="OQN1333" s="4" t="s">
        <v>2877</v>
      </c>
      <c r="OQO1333" s="4" t="s">
        <v>2877</v>
      </c>
      <c r="OQP1333" s="4" t="s">
        <v>2877</v>
      </c>
      <c r="OQQ1333" s="4" t="s">
        <v>2877</v>
      </c>
      <c r="OQR1333" s="4" t="s">
        <v>2877</v>
      </c>
      <c r="OQS1333" s="4" t="s">
        <v>2877</v>
      </c>
      <c r="OQT1333" s="4" t="s">
        <v>2877</v>
      </c>
      <c r="OQU1333" s="4" t="s">
        <v>2877</v>
      </c>
      <c r="OQV1333" s="4" t="s">
        <v>2877</v>
      </c>
      <c r="OQW1333" s="4" t="s">
        <v>2877</v>
      </c>
      <c r="OQX1333" s="4" t="s">
        <v>2877</v>
      </c>
      <c r="OQY1333" s="4" t="s">
        <v>2877</v>
      </c>
      <c r="OQZ1333" s="4" t="s">
        <v>2877</v>
      </c>
      <c r="ORA1333" s="4" t="s">
        <v>2877</v>
      </c>
      <c r="ORB1333" s="4" t="s">
        <v>2877</v>
      </c>
      <c r="ORC1333" s="4" t="s">
        <v>2877</v>
      </c>
      <c r="ORD1333" s="4" t="s">
        <v>2877</v>
      </c>
      <c r="ORE1333" s="4" t="s">
        <v>2877</v>
      </c>
      <c r="ORF1333" s="4" t="s">
        <v>2877</v>
      </c>
      <c r="ORG1333" s="4" t="s">
        <v>2877</v>
      </c>
      <c r="ORH1333" s="4" t="s">
        <v>2877</v>
      </c>
      <c r="ORI1333" s="4" t="s">
        <v>2877</v>
      </c>
      <c r="ORJ1333" s="4" t="s">
        <v>2877</v>
      </c>
      <c r="ORK1333" s="4" t="s">
        <v>2877</v>
      </c>
      <c r="ORL1333" s="4" t="s">
        <v>2877</v>
      </c>
      <c r="ORM1333" s="4" t="s">
        <v>2877</v>
      </c>
      <c r="ORN1333" s="4" t="s">
        <v>2877</v>
      </c>
      <c r="ORO1333" s="4" t="s">
        <v>2877</v>
      </c>
      <c r="ORP1333" s="4" t="s">
        <v>2877</v>
      </c>
      <c r="ORQ1333" s="4" t="s">
        <v>2877</v>
      </c>
      <c r="ORR1333" s="4" t="s">
        <v>2877</v>
      </c>
      <c r="ORS1333" s="4" t="s">
        <v>2877</v>
      </c>
      <c r="ORT1333" s="4" t="s">
        <v>2877</v>
      </c>
      <c r="ORU1333" s="4" t="s">
        <v>2877</v>
      </c>
      <c r="ORV1333" s="4" t="s">
        <v>2877</v>
      </c>
      <c r="ORW1333" s="4" t="s">
        <v>2877</v>
      </c>
      <c r="ORX1333" s="4" t="s">
        <v>2877</v>
      </c>
      <c r="ORY1333" s="4" t="s">
        <v>2877</v>
      </c>
      <c r="ORZ1333" s="4" t="s">
        <v>2877</v>
      </c>
      <c r="OSA1333" s="4" t="s">
        <v>2877</v>
      </c>
      <c r="OSB1333" s="4" t="s">
        <v>2877</v>
      </c>
      <c r="OSC1333" s="4" t="s">
        <v>2877</v>
      </c>
      <c r="OSD1333" s="4" t="s">
        <v>2877</v>
      </c>
      <c r="OSE1333" s="4" t="s">
        <v>2877</v>
      </c>
      <c r="OSF1333" s="4" t="s">
        <v>2877</v>
      </c>
      <c r="OSG1333" s="4" t="s">
        <v>2877</v>
      </c>
      <c r="OSH1333" s="4" t="s">
        <v>2877</v>
      </c>
      <c r="OSI1333" s="4" t="s">
        <v>2877</v>
      </c>
      <c r="OSJ1333" s="4" t="s">
        <v>2877</v>
      </c>
      <c r="OSK1333" s="4" t="s">
        <v>2877</v>
      </c>
      <c r="OSL1333" s="4" t="s">
        <v>2877</v>
      </c>
      <c r="OSM1333" s="4" t="s">
        <v>2877</v>
      </c>
      <c r="OSN1333" s="4" t="s">
        <v>2877</v>
      </c>
      <c r="OSO1333" s="4" t="s">
        <v>2877</v>
      </c>
      <c r="OSP1333" s="4" t="s">
        <v>2877</v>
      </c>
      <c r="OSQ1333" s="4" t="s">
        <v>2877</v>
      </c>
      <c r="OSR1333" s="4" t="s">
        <v>2877</v>
      </c>
      <c r="OSS1333" s="4" t="s">
        <v>2877</v>
      </c>
      <c r="OST1333" s="4" t="s">
        <v>2877</v>
      </c>
      <c r="OSU1333" s="4" t="s">
        <v>2877</v>
      </c>
      <c r="OSV1333" s="4" t="s">
        <v>2877</v>
      </c>
      <c r="OSW1333" s="4" t="s">
        <v>2877</v>
      </c>
      <c r="OSX1333" s="4" t="s">
        <v>2877</v>
      </c>
      <c r="OSY1333" s="4" t="s">
        <v>2877</v>
      </c>
      <c r="OSZ1333" s="4" t="s">
        <v>2877</v>
      </c>
      <c r="OTA1333" s="4" t="s">
        <v>2877</v>
      </c>
      <c r="OTB1333" s="4" t="s">
        <v>2877</v>
      </c>
      <c r="OTC1333" s="4" t="s">
        <v>2877</v>
      </c>
      <c r="OTD1333" s="4" t="s">
        <v>2877</v>
      </c>
      <c r="OTE1333" s="4" t="s">
        <v>2877</v>
      </c>
      <c r="OTF1333" s="4" t="s">
        <v>2877</v>
      </c>
      <c r="OTG1333" s="4" t="s">
        <v>2877</v>
      </c>
      <c r="OTH1333" s="4" t="s">
        <v>2877</v>
      </c>
      <c r="OTI1333" s="4" t="s">
        <v>2877</v>
      </c>
      <c r="OTJ1333" s="4" t="s">
        <v>2877</v>
      </c>
      <c r="OTK1333" s="4" t="s">
        <v>2877</v>
      </c>
      <c r="OTL1333" s="4" t="s">
        <v>2877</v>
      </c>
      <c r="OTM1333" s="4" t="s">
        <v>2877</v>
      </c>
      <c r="OTN1333" s="4" t="s">
        <v>2877</v>
      </c>
      <c r="OTO1333" s="4" t="s">
        <v>2877</v>
      </c>
      <c r="OTP1333" s="4" t="s">
        <v>2877</v>
      </c>
      <c r="OTQ1333" s="4" t="s">
        <v>2877</v>
      </c>
      <c r="OTR1333" s="4" t="s">
        <v>2877</v>
      </c>
      <c r="OTS1333" s="4" t="s">
        <v>2877</v>
      </c>
      <c r="OTT1333" s="4" t="s">
        <v>2877</v>
      </c>
      <c r="OTU1333" s="4" t="s">
        <v>2877</v>
      </c>
      <c r="OTV1333" s="4" t="s">
        <v>2877</v>
      </c>
      <c r="OTW1333" s="4" t="s">
        <v>2877</v>
      </c>
      <c r="OTX1333" s="4" t="s">
        <v>2877</v>
      </c>
      <c r="OTY1333" s="4" t="s">
        <v>2877</v>
      </c>
      <c r="OTZ1333" s="4" t="s">
        <v>2877</v>
      </c>
      <c r="OUA1333" s="4" t="s">
        <v>2877</v>
      </c>
      <c r="OUB1333" s="4" t="s">
        <v>2877</v>
      </c>
      <c r="OUC1333" s="4" t="s">
        <v>2877</v>
      </c>
      <c r="OUD1333" s="4" t="s">
        <v>2877</v>
      </c>
      <c r="OUE1333" s="4" t="s">
        <v>2877</v>
      </c>
      <c r="OUF1333" s="4" t="s">
        <v>2877</v>
      </c>
      <c r="OUG1333" s="4" t="s">
        <v>2877</v>
      </c>
      <c r="OUH1333" s="4" t="s">
        <v>2877</v>
      </c>
      <c r="OUI1333" s="4" t="s">
        <v>2877</v>
      </c>
      <c r="OUJ1333" s="4" t="s">
        <v>2877</v>
      </c>
      <c r="OUK1333" s="4" t="s">
        <v>2877</v>
      </c>
      <c r="OUL1333" s="4" t="s">
        <v>2877</v>
      </c>
      <c r="OUM1333" s="4" t="s">
        <v>2877</v>
      </c>
      <c r="OUN1333" s="4" t="s">
        <v>2877</v>
      </c>
      <c r="OUO1333" s="4" t="s">
        <v>2877</v>
      </c>
      <c r="OUP1333" s="4" t="s">
        <v>2877</v>
      </c>
      <c r="OUQ1333" s="4" t="s">
        <v>2877</v>
      </c>
      <c r="OUR1333" s="4" t="s">
        <v>2877</v>
      </c>
      <c r="OUS1333" s="4" t="s">
        <v>2877</v>
      </c>
      <c r="OUT1333" s="4" t="s">
        <v>2877</v>
      </c>
      <c r="OUU1333" s="4" t="s">
        <v>2877</v>
      </c>
      <c r="OUV1333" s="4" t="s">
        <v>2877</v>
      </c>
      <c r="OUW1333" s="4" t="s">
        <v>2877</v>
      </c>
      <c r="OUX1333" s="4" t="s">
        <v>2877</v>
      </c>
      <c r="OUY1333" s="4" t="s">
        <v>2877</v>
      </c>
      <c r="OUZ1333" s="4" t="s">
        <v>2877</v>
      </c>
      <c r="OVA1333" s="4" t="s">
        <v>2877</v>
      </c>
      <c r="OVB1333" s="4" t="s">
        <v>2877</v>
      </c>
      <c r="OVC1333" s="4" t="s">
        <v>2877</v>
      </c>
      <c r="OVD1333" s="4" t="s">
        <v>2877</v>
      </c>
      <c r="OVE1333" s="4" t="s">
        <v>2877</v>
      </c>
      <c r="OVF1333" s="4" t="s">
        <v>2877</v>
      </c>
      <c r="OVG1333" s="4" t="s">
        <v>2877</v>
      </c>
      <c r="OVH1333" s="4" t="s">
        <v>2877</v>
      </c>
      <c r="OVI1333" s="4" t="s">
        <v>2877</v>
      </c>
      <c r="OVJ1333" s="4" t="s">
        <v>2877</v>
      </c>
      <c r="OVK1333" s="4" t="s">
        <v>2877</v>
      </c>
      <c r="OVL1333" s="4" t="s">
        <v>2877</v>
      </c>
      <c r="OVM1333" s="4" t="s">
        <v>2877</v>
      </c>
      <c r="OVN1333" s="4" t="s">
        <v>2877</v>
      </c>
      <c r="OVO1333" s="4" t="s">
        <v>2877</v>
      </c>
      <c r="OVP1333" s="4" t="s">
        <v>2877</v>
      </c>
      <c r="OVQ1333" s="4" t="s">
        <v>2877</v>
      </c>
      <c r="OVR1333" s="4" t="s">
        <v>2877</v>
      </c>
      <c r="OVS1333" s="4" t="s">
        <v>2877</v>
      </c>
      <c r="OVT1333" s="4" t="s">
        <v>2877</v>
      </c>
      <c r="OVU1333" s="4" t="s">
        <v>2877</v>
      </c>
      <c r="OVV1333" s="4" t="s">
        <v>2877</v>
      </c>
      <c r="OVW1333" s="4" t="s">
        <v>2877</v>
      </c>
      <c r="OVX1333" s="4" t="s">
        <v>2877</v>
      </c>
      <c r="OVY1333" s="4" t="s">
        <v>2877</v>
      </c>
      <c r="OVZ1333" s="4" t="s">
        <v>2877</v>
      </c>
      <c r="OWA1333" s="4" t="s">
        <v>2877</v>
      </c>
      <c r="OWB1333" s="4" t="s">
        <v>2877</v>
      </c>
      <c r="OWC1333" s="4" t="s">
        <v>2877</v>
      </c>
      <c r="OWD1333" s="4" t="s">
        <v>2877</v>
      </c>
      <c r="OWE1333" s="4" t="s">
        <v>2877</v>
      </c>
      <c r="OWF1333" s="4" t="s">
        <v>2877</v>
      </c>
      <c r="OWG1333" s="4" t="s">
        <v>2877</v>
      </c>
      <c r="OWH1333" s="4" t="s">
        <v>2877</v>
      </c>
      <c r="OWI1333" s="4" t="s">
        <v>2877</v>
      </c>
      <c r="OWJ1333" s="4" t="s">
        <v>2877</v>
      </c>
      <c r="OWK1333" s="4" t="s">
        <v>2877</v>
      </c>
      <c r="OWL1333" s="4" t="s">
        <v>2877</v>
      </c>
      <c r="OWM1333" s="4" t="s">
        <v>2877</v>
      </c>
      <c r="OWN1333" s="4" t="s">
        <v>2877</v>
      </c>
      <c r="OWO1333" s="4" t="s">
        <v>2877</v>
      </c>
      <c r="OWP1333" s="4" t="s">
        <v>2877</v>
      </c>
      <c r="OWQ1333" s="4" t="s">
        <v>2877</v>
      </c>
      <c r="OWR1333" s="4" t="s">
        <v>2877</v>
      </c>
      <c r="OWS1333" s="4" t="s">
        <v>2877</v>
      </c>
      <c r="OWT1333" s="4" t="s">
        <v>2877</v>
      </c>
      <c r="OWU1333" s="4" t="s">
        <v>2877</v>
      </c>
      <c r="OWV1333" s="4" t="s">
        <v>2877</v>
      </c>
      <c r="OWW1333" s="4" t="s">
        <v>2877</v>
      </c>
      <c r="OWX1333" s="4" t="s">
        <v>2877</v>
      </c>
      <c r="OWY1333" s="4" t="s">
        <v>2877</v>
      </c>
      <c r="OWZ1333" s="4" t="s">
        <v>2877</v>
      </c>
      <c r="OXA1333" s="4" t="s">
        <v>2877</v>
      </c>
      <c r="OXB1333" s="4" t="s">
        <v>2877</v>
      </c>
      <c r="OXC1333" s="4" t="s">
        <v>2877</v>
      </c>
      <c r="OXD1333" s="4" t="s">
        <v>2877</v>
      </c>
      <c r="OXE1333" s="4" t="s">
        <v>2877</v>
      </c>
      <c r="OXF1333" s="4" t="s">
        <v>2877</v>
      </c>
      <c r="OXG1333" s="4" t="s">
        <v>2877</v>
      </c>
      <c r="OXH1333" s="4" t="s">
        <v>2877</v>
      </c>
      <c r="OXI1333" s="4" t="s">
        <v>2877</v>
      </c>
      <c r="OXJ1333" s="4" t="s">
        <v>2877</v>
      </c>
      <c r="OXK1333" s="4" t="s">
        <v>2877</v>
      </c>
      <c r="OXL1333" s="4" t="s">
        <v>2877</v>
      </c>
      <c r="OXM1333" s="4" t="s">
        <v>2877</v>
      </c>
      <c r="OXN1333" s="4" t="s">
        <v>2877</v>
      </c>
      <c r="OXO1333" s="4" t="s">
        <v>2877</v>
      </c>
      <c r="OXP1333" s="4" t="s">
        <v>2877</v>
      </c>
      <c r="OXQ1333" s="4" t="s">
        <v>2877</v>
      </c>
      <c r="OXR1333" s="4" t="s">
        <v>2877</v>
      </c>
      <c r="OXS1333" s="4" t="s">
        <v>2877</v>
      </c>
      <c r="OXT1333" s="4" t="s">
        <v>2877</v>
      </c>
      <c r="OXU1333" s="4" t="s">
        <v>2877</v>
      </c>
      <c r="OXV1333" s="4" t="s">
        <v>2877</v>
      </c>
      <c r="OXW1333" s="4" t="s">
        <v>2877</v>
      </c>
      <c r="OXX1333" s="4" t="s">
        <v>2877</v>
      </c>
      <c r="OXY1333" s="4" t="s">
        <v>2877</v>
      </c>
      <c r="OXZ1333" s="4" t="s">
        <v>2877</v>
      </c>
      <c r="OYA1333" s="4" t="s">
        <v>2877</v>
      </c>
      <c r="OYB1333" s="4" t="s">
        <v>2877</v>
      </c>
      <c r="OYC1333" s="4" t="s">
        <v>2877</v>
      </c>
      <c r="OYD1333" s="4" t="s">
        <v>2877</v>
      </c>
      <c r="OYE1333" s="4" t="s">
        <v>2877</v>
      </c>
      <c r="OYF1333" s="4" t="s">
        <v>2877</v>
      </c>
      <c r="OYG1333" s="4" t="s">
        <v>2877</v>
      </c>
      <c r="OYH1333" s="4" t="s">
        <v>2877</v>
      </c>
      <c r="OYI1333" s="4" t="s">
        <v>2877</v>
      </c>
      <c r="OYJ1333" s="4" t="s">
        <v>2877</v>
      </c>
      <c r="OYK1333" s="4" t="s">
        <v>2877</v>
      </c>
      <c r="OYL1333" s="4" t="s">
        <v>2877</v>
      </c>
      <c r="OYM1333" s="4" t="s">
        <v>2877</v>
      </c>
      <c r="OYN1333" s="4" t="s">
        <v>2877</v>
      </c>
      <c r="OYO1333" s="4" t="s">
        <v>2877</v>
      </c>
      <c r="OYP1333" s="4" t="s">
        <v>2877</v>
      </c>
      <c r="OYQ1333" s="4" t="s">
        <v>2877</v>
      </c>
      <c r="OYR1333" s="4" t="s">
        <v>2877</v>
      </c>
      <c r="OYS1333" s="4" t="s">
        <v>2877</v>
      </c>
      <c r="OYT1333" s="4" t="s">
        <v>2877</v>
      </c>
      <c r="OYU1333" s="4" t="s">
        <v>2877</v>
      </c>
      <c r="OYV1333" s="4" t="s">
        <v>2877</v>
      </c>
      <c r="OYW1333" s="4" t="s">
        <v>2877</v>
      </c>
      <c r="OYX1333" s="4" t="s">
        <v>2877</v>
      </c>
      <c r="OYY1333" s="4" t="s">
        <v>2877</v>
      </c>
      <c r="OYZ1333" s="4" t="s">
        <v>2877</v>
      </c>
      <c r="OZA1333" s="4" t="s">
        <v>2877</v>
      </c>
      <c r="OZB1333" s="4" t="s">
        <v>2877</v>
      </c>
      <c r="OZC1333" s="4" t="s">
        <v>2877</v>
      </c>
      <c r="OZD1333" s="4" t="s">
        <v>2877</v>
      </c>
      <c r="OZE1333" s="4" t="s">
        <v>2877</v>
      </c>
      <c r="OZF1333" s="4" t="s">
        <v>2877</v>
      </c>
      <c r="OZG1333" s="4" t="s">
        <v>2877</v>
      </c>
      <c r="OZH1333" s="4" t="s">
        <v>2877</v>
      </c>
      <c r="OZI1333" s="4" t="s">
        <v>2877</v>
      </c>
      <c r="OZJ1333" s="4" t="s">
        <v>2877</v>
      </c>
      <c r="OZK1333" s="4" t="s">
        <v>2877</v>
      </c>
      <c r="OZL1333" s="4" t="s">
        <v>2877</v>
      </c>
      <c r="OZM1333" s="4" t="s">
        <v>2877</v>
      </c>
      <c r="OZN1333" s="4" t="s">
        <v>2877</v>
      </c>
      <c r="OZO1333" s="4" t="s">
        <v>2877</v>
      </c>
      <c r="OZP1333" s="4" t="s">
        <v>2877</v>
      </c>
      <c r="OZQ1333" s="4" t="s">
        <v>2877</v>
      </c>
      <c r="OZR1333" s="4" t="s">
        <v>2877</v>
      </c>
      <c r="OZS1333" s="4" t="s">
        <v>2877</v>
      </c>
      <c r="OZT1333" s="4" t="s">
        <v>2877</v>
      </c>
      <c r="OZU1333" s="4" t="s">
        <v>2877</v>
      </c>
      <c r="OZV1333" s="4" t="s">
        <v>2877</v>
      </c>
      <c r="OZW1333" s="4" t="s">
        <v>2877</v>
      </c>
      <c r="OZX1333" s="4" t="s">
        <v>2877</v>
      </c>
      <c r="OZY1333" s="4" t="s">
        <v>2877</v>
      </c>
      <c r="OZZ1333" s="4" t="s">
        <v>2877</v>
      </c>
      <c r="PAA1333" s="4" t="s">
        <v>2877</v>
      </c>
      <c r="PAB1333" s="4" t="s">
        <v>2877</v>
      </c>
      <c r="PAC1333" s="4" t="s">
        <v>2877</v>
      </c>
      <c r="PAD1333" s="4" t="s">
        <v>2877</v>
      </c>
      <c r="PAE1333" s="4" t="s">
        <v>2877</v>
      </c>
      <c r="PAF1333" s="4" t="s">
        <v>2877</v>
      </c>
      <c r="PAG1333" s="4" t="s">
        <v>2877</v>
      </c>
      <c r="PAH1333" s="4" t="s">
        <v>2877</v>
      </c>
      <c r="PAI1333" s="4" t="s">
        <v>2877</v>
      </c>
      <c r="PAJ1333" s="4" t="s">
        <v>2877</v>
      </c>
      <c r="PAK1333" s="4" t="s">
        <v>2877</v>
      </c>
      <c r="PAL1333" s="4" t="s">
        <v>2877</v>
      </c>
      <c r="PAM1333" s="4" t="s">
        <v>2877</v>
      </c>
      <c r="PAN1333" s="4" t="s">
        <v>2877</v>
      </c>
      <c r="PAO1333" s="4" t="s">
        <v>2877</v>
      </c>
      <c r="PAP1333" s="4" t="s">
        <v>2877</v>
      </c>
      <c r="PAQ1333" s="4" t="s">
        <v>2877</v>
      </c>
      <c r="PAR1333" s="4" t="s">
        <v>2877</v>
      </c>
      <c r="PAS1333" s="4" t="s">
        <v>2877</v>
      </c>
      <c r="PAT1333" s="4" t="s">
        <v>2877</v>
      </c>
      <c r="PAU1333" s="4" t="s">
        <v>2877</v>
      </c>
      <c r="PAV1333" s="4" t="s">
        <v>2877</v>
      </c>
      <c r="PAW1333" s="4" t="s">
        <v>2877</v>
      </c>
      <c r="PAX1333" s="4" t="s">
        <v>2877</v>
      </c>
      <c r="PAY1333" s="4" t="s">
        <v>2877</v>
      </c>
      <c r="PAZ1333" s="4" t="s">
        <v>2877</v>
      </c>
      <c r="PBA1333" s="4" t="s">
        <v>2877</v>
      </c>
      <c r="PBB1333" s="4" t="s">
        <v>2877</v>
      </c>
      <c r="PBC1333" s="4" t="s">
        <v>2877</v>
      </c>
      <c r="PBD1333" s="4" t="s">
        <v>2877</v>
      </c>
      <c r="PBE1333" s="4" t="s">
        <v>2877</v>
      </c>
      <c r="PBF1333" s="4" t="s">
        <v>2877</v>
      </c>
      <c r="PBG1333" s="4" t="s">
        <v>2877</v>
      </c>
      <c r="PBH1333" s="4" t="s">
        <v>2877</v>
      </c>
      <c r="PBI1333" s="4" t="s">
        <v>2877</v>
      </c>
      <c r="PBJ1333" s="4" t="s">
        <v>2877</v>
      </c>
      <c r="PBK1333" s="4" t="s">
        <v>2877</v>
      </c>
      <c r="PBL1333" s="4" t="s">
        <v>2877</v>
      </c>
      <c r="PBM1333" s="4" t="s">
        <v>2877</v>
      </c>
      <c r="PBN1333" s="4" t="s">
        <v>2877</v>
      </c>
      <c r="PBO1333" s="4" t="s">
        <v>2877</v>
      </c>
      <c r="PBP1333" s="4" t="s">
        <v>2877</v>
      </c>
      <c r="PBQ1333" s="4" t="s">
        <v>2877</v>
      </c>
      <c r="PBR1333" s="4" t="s">
        <v>2877</v>
      </c>
      <c r="PBS1333" s="4" t="s">
        <v>2877</v>
      </c>
      <c r="PBT1333" s="4" t="s">
        <v>2877</v>
      </c>
      <c r="PBU1333" s="4" t="s">
        <v>2877</v>
      </c>
      <c r="PBV1333" s="4" t="s">
        <v>2877</v>
      </c>
      <c r="PBW1333" s="4" t="s">
        <v>2877</v>
      </c>
      <c r="PBX1333" s="4" t="s">
        <v>2877</v>
      </c>
      <c r="PBY1333" s="4" t="s">
        <v>2877</v>
      </c>
      <c r="PBZ1333" s="4" t="s">
        <v>2877</v>
      </c>
      <c r="PCA1333" s="4" t="s">
        <v>2877</v>
      </c>
      <c r="PCB1333" s="4" t="s">
        <v>2877</v>
      </c>
      <c r="PCC1333" s="4" t="s">
        <v>2877</v>
      </c>
      <c r="PCD1333" s="4" t="s">
        <v>2877</v>
      </c>
      <c r="PCE1333" s="4" t="s">
        <v>2877</v>
      </c>
      <c r="PCF1333" s="4" t="s">
        <v>2877</v>
      </c>
      <c r="PCG1333" s="4" t="s">
        <v>2877</v>
      </c>
      <c r="PCH1333" s="4" t="s">
        <v>2877</v>
      </c>
      <c r="PCI1333" s="4" t="s">
        <v>2877</v>
      </c>
      <c r="PCJ1333" s="4" t="s">
        <v>2877</v>
      </c>
      <c r="PCK1333" s="4" t="s">
        <v>2877</v>
      </c>
      <c r="PCL1333" s="4" t="s">
        <v>2877</v>
      </c>
      <c r="PCM1333" s="4" t="s">
        <v>2877</v>
      </c>
      <c r="PCN1333" s="4" t="s">
        <v>2877</v>
      </c>
      <c r="PCO1333" s="4" t="s">
        <v>2877</v>
      </c>
      <c r="PCP1333" s="4" t="s">
        <v>2877</v>
      </c>
      <c r="PCQ1333" s="4" t="s">
        <v>2877</v>
      </c>
      <c r="PCR1333" s="4" t="s">
        <v>2877</v>
      </c>
      <c r="PCS1333" s="4" t="s">
        <v>2877</v>
      </c>
      <c r="PCT1333" s="4" t="s">
        <v>2877</v>
      </c>
      <c r="PCU1333" s="4" t="s">
        <v>2877</v>
      </c>
      <c r="PCV1333" s="4" t="s">
        <v>2877</v>
      </c>
      <c r="PCW1333" s="4" t="s">
        <v>2877</v>
      </c>
      <c r="PCX1333" s="4" t="s">
        <v>2877</v>
      </c>
      <c r="PCY1333" s="4" t="s">
        <v>2877</v>
      </c>
      <c r="PCZ1333" s="4" t="s">
        <v>2877</v>
      </c>
      <c r="PDA1333" s="4" t="s">
        <v>2877</v>
      </c>
      <c r="PDB1333" s="4" t="s">
        <v>2877</v>
      </c>
      <c r="PDC1333" s="4" t="s">
        <v>2877</v>
      </c>
      <c r="PDD1333" s="4" t="s">
        <v>2877</v>
      </c>
      <c r="PDE1333" s="4" t="s">
        <v>2877</v>
      </c>
      <c r="PDF1333" s="4" t="s">
        <v>2877</v>
      </c>
      <c r="PDG1333" s="4" t="s">
        <v>2877</v>
      </c>
      <c r="PDH1333" s="4" t="s">
        <v>2877</v>
      </c>
      <c r="PDI1333" s="4" t="s">
        <v>2877</v>
      </c>
      <c r="PDJ1333" s="4" t="s">
        <v>2877</v>
      </c>
      <c r="PDK1333" s="4" t="s">
        <v>2877</v>
      </c>
      <c r="PDL1333" s="4" t="s">
        <v>2877</v>
      </c>
      <c r="PDM1333" s="4" t="s">
        <v>2877</v>
      </c>
      <c r="PDN1333" s="4" t="s">
        <v>2877</v>
      </c>
      <c r="PDO1333" s="4" t="s">
        <v>2877</v>
      </c>
      <c r="PDP1333" s="4" t="s">
        <v>2877</v>
      </c>
      <c r="PDQ1333" s="4" t="s">
        <v>2877</v>
      </c>
      <c r="PDR1333" s="4" t="s">
        <v>2877</v>
      </c>
      <c r="PDS1333" s="4" t="s">
        <v>2877</v>
      </c>
      <c r="PDT1333" s="4" t="s">
        <v>2877</v>
      </c>
      <c r="PDU1333" s="4" t="s">
        <v>2877</v>
      </c>
      <c r="PDV1333" s="4" t="s">
        <v>2877</v>
      </c>
      <c r="PDW1333" s="4" t="s">
        <v>2877</v>
      </c>
      <c r="PDX1333" s="4" t="s">
        <v>2877</v>
      </c>
      <c r="PDY1333" s="4" t="s">
        <v>2877</v>
      </c>
      <c r="PDZ1333" s="4" t="s">
        <v>2877</v>
      </c>
      <c r="PEA1333" s="4" t="s">
        <v>2877</v>
      </c>
      <c r="PEB1333" s="4" t="s">
        <v>2877</v>
      </c>
      <c r="PEC1333" s="4" t="s">
        <v>2877</v>
      </c>
      <c r="PED1333" s="4" t="s">
        <v>2877</v>
      </c>
      <c r="PEE1333" s="4" t="s">
        <v>2877</v>
      </c>
      <c r="PEF1333" s="4" t="s">
        <v>2877</v>
      </c>
      <c r="PEG1333" s="4" t="s">
        <v>2877</v>
      </c>
      <c r="PEH1333" s="4" t="s">
        <v>2877</v>
      </c>
      <c r="PEI1333" s="4" t="s">
        <v>2877</v>
      </c>
      <c r="PEJ1333" s="4" t="s">
        <v>2877</v>
      </c>
      <c r="PEK1333" s="4" t="s">
        <v>2877</v>
      </c>
      <c r="PEL1333" s="4" t="s">
        <v>2877</v>
      </c>
      <c r="PEM1333" s="4" t="s">
        <v>2877</v>
      </c>
      <c r="PEN1333" s="4" t="s">
        <v>2877</v>
      </c>
      <c r="PEO1333" s="4" t="s">
        <v>2877</v>
      </c>
      <c r="PEP1333" s="4" t="s">
        <v>2877</v>
      </c>
      <c r="PEQ1333" s="4" t="s">
        <v>2877</v>
      </c>
      <c r="PER1333" s="4" t="s">
        <v>2877</v>
      </c>
      <c r="PES1333" s="4" t="s">
        <v>2877</v>
      </c>
      <c r="PET1333" s="4" t="s">
        <v>2877</v>
      </c>
      <c r="PEU1333" s="4" t="s">
        <v>2877</v>
      </c>
      <c r="PEV1333" s="4" t="s">
        <v>2877</v>
      </c>
      <c r="PEW1333" s="4" t="s">
        <v>2877</v>
      </c>
      <c r="PEX1333" s="4" t="s">
        <v>2877</v>
      </c>
      <c r="PEY1333" s="4" t="s">
        <v>2877</v>
      </c>
      <c r="PEZ1333" s="4" t="s">
        <v>2877</v>
      </c>
      <c r="PFA1333" s="4" t="s">
        <v>2877</v>
      </c>
      <c r="PFB1333" s="4" t="s">
        <v>2877</v>
      </c>
      <c r="PFC1333" s="4" t="s">
        <v>2877</v>
      </c>
      <c r="PFD1333" s="4" t="s">
        <v>2877</v>
      </c>
      <c r="PFE1333" s="4" t="s">
        <v>2877</v>
      </c>
      <c r="PFF1333" s="4" t="s">
        <v>2877</v>
      </c>
      <c r="PFG1333" s="4" t="s">
        <v>2877</v>
      </c>
      <c r="PFH1333" s="4" t="s">
        <v>2877</v>
      </c>
      <c r="PFI1333" s="4" t="s">
        <v>2877</v>
      </c>
      <c r="PFJ1333" s="4" t="s">
        <v>2877</v>
      </c>
      <c r="PFK1333" s="4" t="s">
        <v>2877</v>
      </c>
      <c r="PFL1333" s="4" t="s">
        <v>2877</v>
      </c>
      <c r="PFM1333" s="4" t="s">
        <v>2877</v>
      </c>
      <c r="PFN1333" s="4" t="s">
        <v>2877</v>
      </c>
      <c r="PFO1333" s="4" t="s">
        <v>2877</v>
      </c>
      <c r="PFP1333" s="4" t="s">
        <v>2877</v>
      </c>
      <c r="PFQ1333" s="4" t="s">
        <v>2877</v>
      </c>
      <c r="PFR1333" s="4" t="s">
        <v>2877</v>
      </c>
      <c r="PFS1333" s="4" t="s">
        <v>2877</v>
      </c>
      <c r="PFT1333" s="4" t="s">
        <v>2877</v>
      </c>
      <c r="PFU1333" s="4" t="s">
        <v>2877</v>
      </c>
      <c r="PFV1333" s="4" t="s">
        <v>2877</v>
      </c>
      <c r="PFW1333" s="4" t="s">
        <v>2877</v>
      </c>
      <c r="PFX1333" s="4" t="s">
        <v>2877</v>
      </c>
      <c r="PFY1333" s="4" t="s">
        <v>2877</v>
      </c>
      <c r="PFZ1333" s="4" t="s">
        <v>2877</v>
      </c>
      <c r="PGA1333" s="4" t="s">
        <v>2877</v>
      </c>
      <c r="PGB1333" s="4" t="s">
        <v>2877</v>
      </c>
      <c r="PGC1333" s="4" t="s">
        <v>2877</v>
      </c>
      <c r="PGD1333" s="4" t="s">
        <v>2877</v>
      </c>
      <c r="PGE1333" s="4" t="s">
        <v>2877</v>
      </c>
      <c r="PGF1333" s="4" t="s">
        <v>2877</v>
      </c>
      <c r="PGG1333" s="4" t="s">
        <v>2877</v>
      </c>
      <c r="PGH1333" s="4" t="s">
        <v>2877</v>
      </c>
      <c r="PGI1333" s="4" t="s">
        <v>2877</v>
      </c>
      <c r="PGJ1333" s="4" t="s">
        <v>2877</v>
      </c>
      <c r="PGK1333" s="4" t="s">
        <v>2877</v>
      </c>
      <c r="PGL1333" s="4" t="s">
        <v>2877</v>
      </c>
      <c r="PGM1333" s="4" t="s">
        <v>2877</v>
      </c>
      <c r="PGN1333" s="4" t="s">
        <v>2877</v>
      </c>
      <c r="PGO1333" s="4" t="s">
        <v>2877</v>
      </c>
      <c r="PGP1333" s="4" t="s">
        <v>2877</v>
      </c>
      <c r="PGQ1333" s="4" t="s">
        <v>2877</v>
      </c>
      <c r="PGR1333" s="4" t="s">
        <v>2877</v>
      </c>
      <c r="PGS1333" s="4" t="s">
        <v>2877</v>
      </c>
      <c r="PGT1333" s="4" t="s">
        <v>2877</v>
      </c>
      <c r="PGU1333" s="4" t="s">
        <v>2877</v>
      </c>
      <c r="PGV1333" s="4" t="s">
        <v>2877</v>
      </c>
      <c r="PGW1333" s="4" t="s">
        <v>2877</v>
      </c>
      <c r="PGX1333" s="4" t="s">
        <v>2877</v>
      </c>
      <c r="PGY1333" s="4" t="s">
        <v>2877</v>
      </c>
      <c r="PGZ1333" s="4" t="s">
        <v>2877</v>
      </c>
      <c r="PHA1333" s="4" t="s">
        <v>2877</v>
      </c>
      <c r="PHB1333" s="4" t="s">
        <v>2877</v>
      </c>
      <c r="PHC1333" s="4" t="s">
        <v>2877</v>
      </c>
      <c r="PHD1333" s="4" t="s">
        <v>2877</v>
      </c>
      <c r="PHE1333" s="4" t="s">
        <v>2877</v>
      </c>
      <c r="PHF1333" s="4" t="s">
        <v>2877</v>
      </c>
      <c r="PHG1333" s="4" t="s">
        <v>2877</v>
      </c>
      <c r="PHH1333" s="4" t="s">
        <v>2877</v>
      </c>
      <c r="PHI1333" s="4" t="s">
        <v>2877</v>
      </c>
      <c r="PHJ1333" s="4" t="s">
        <v>2877</v>
      </c>
      <c r="PHK1333" s="4" t="s">
        <v>2877</v>
      </c>
      <c r="PHL1333" s="4" t="s">
        <v>2877</v>
      </c>
      <c r="PHM1333" s="4" t="s">
        <v>2877</v>
      </c>
      <c r="PHN1333" s="4" t="s">
        <v>2877</v>
      </c>
      <c r="PHO1333" s="4" t="s">
        <v>2877</v>
      </c>
      <c r="PHP1333" s="4" t="s">
        <v>2877</v>
      </c>
      <c r="PHQ1333" s="4" t="s">
        <v>2877</v>
      </c>
      <c r="PHR1333" s="4" t="s">
        <v>2877</v>
      </c>
      <c r="PHS1333" s="4" t="s">
        <v>2877</v>
      </c>
      <c r="PHT1333" s="4" t="s">
        <v>2877</v>
      </c>
      <c r="PHU1333" s="4" t="s">
        <v>2877</v>
      </c>
      <c r="PHV1333" s="4" t="s">
        <v>2877</v>
      </c>
      <c r="PHW1333" s="4" t="s">
        <v>2877</v>
      </c>
      <c r="PHX1333" s="4" t="s">
        <v>2877</v>
      </c>
      <c r="PHY1333" s="4" t="s">
        <v>2877</v>
      </c>
      <c r="PHZ1333" s="4" t="s">
        <v>2877</v>
      </c>
      <c r="PIA1333" s="4" t="s">
        <v>2877</v>
      </c>
      <c r="PIB1333" s="4" t="s">
        <v>2877</v>
      </c>
      <c r="PIC1333" s="4" t="s">
        <v>2877</v>
      </c>
      <c r="PID1333" s="4" t="s">
        <v>2877</v>
      </c>
      <c r="PIE1333" s="4" t="s">
        <v>2877</v>
      </c>
      <c r="PIF1333" s="4" t="s">
        <v>2877</v>
      </c>
      <c r="PIG1333" s="4" t="s">
        <v>2877</v>
      </c>
      <c r="PIH1333" s="4" t="s">
        <v>2877</v>
      </c>
      <c r="PII1333" s="4" t="s">
        <v>2877</v>
      </c>
      <c r="PIJ1333" s="4" t="s">
        <v>2877</v>
      </c>
      <c r="PIK1333" s="4" t="s">
        <v>2877</v>
      </c>
      <c r="PIL1333" s="4" t="s">
        <v>2877</v>
      </c>
      <c r="PIM1333" s="4" t="s">
        <v>2877</v>
      </c>
      <c r="PIN1333" s="4" t="s">
        <v>2877</v>
      </c>
      <c r="PIO1333" s="4" t="s">
        <v>2877</v>
      </c>
      <c r="PIP1333" s="4" t="s">
        <v>2877</v>
      </c>
      <c r="PIQ1333" s="4" t="s">
        <v>2877</v>
      </c>
      <c r="PIR1333" s="4" t="s">
        <v>2877</v>
      </c>
      <c r="PIS1333" s="4" t="s">
        <v>2877</v>
      </c>
      <c r="PIT1333" s="4" t="s">
        <v>2877</v>
      </c>
      <c r="PIU1333" s="4" t="s">
        <v>2877</v>
      </c>
      <c r="PIV1333" s="4" t="s">
        <v>2877</v>
      </c>
      <c r="PIW1333" s="4" t="s">
        <v>2877</v>
      </c>
      <c r="PIX1333" s="4" t="s">
        <v>2877</v>
      </c>
      <c r="PIY1333" s="4" t="s">
        <v>2877</v>
      </c>
      <c r="PIZ1333" s="4" t="s">
        <v>2877</v>
      </c>
      <c r="PJA1333" s="4" t="s">
        <v>2877</v>
      </c>
      <c r="PJB1333" s="4" t="s">
        <v>2877</v>
      </c>
      <c r="PJC1333" s="4" t="s">
        <v>2877</v>
      </c>
      <c r="PJD1333" s="4" t="s">
        <v>2877</v>
      </c>
      <c r="PJE1333" s="4" t="s">
        <v>2877</v>
      </c>
      <c r="PJF1333" s="4" t="s">
        <v>2877</v>
      </c>
      <c r="PJG1333" s="4" t="s">
        <v>2877</v>
      </c>
      <c r="PJH1333" s="4" t="s">
        <v>2877</v>
      </c>
      <c r="PJI1333" s="4" t="s">
        <v>2877</v>
      </c>
      <c r="PJJ1333" s="4" t="s">
        <v>2877</v>
      </c>
      <c r="PJK1333" s="4" t="s">
        <v>2877</v>
      </c>
      <c r="PJL1333" s="4" t="s">
        <v>2877</v>
      </c>
      <c r="PJM1333" s="4" t="s">
        <v>2877</v>
      </c>
      <c r="PJN1333" s="4" t="s">
        <v>2877</v>
      </c>
      <c r="PJO1333" s="4" t="s">
        <v>2877</v>
      </c>
      <c r="PJP1333" s="4" t="s">
        <v>2877</v>
      </c>
      <c r="PJQ1333" s="4" t="s">
        <v>2877</v>
      </c>
      <c r="PJR1333" s="4" t="s">
        <v>2877</v>
      </c>
      <c r="PJS1333" s="4" t="s">
        <v>2877</v>
      </c>
      <c r="PJT1333" s="4" t="s">
        <v>2877</v>
      </c>
      <c r="PJU1333" s="4" t="s">
        <v>2877</v>
      </c>
      <c r="PJV1333" s="4" t="s">
        <v>2877</v>
      </c>
      <c r="PJW1333" s="4" t="s">
        <v>2877</v>
      </c>
      <c r="PJX1333" s="4" t="s">
        <v>2877</v>
      </c>
      <c r="PJY1333" s="4" t="s">
        <v>2877</v>
      </c>
      <c r="PJZ1333" s="4" t="s">
        <v>2877</v>
      </c>
      <c r="PKA1333" s="4" t="s">
        <v>2877</v>
      </c>
      <c r="PKB1333" s="4" t="s">
        <v>2877</v>
      </c>
      <c r="PKC1333" s="4" t="s">
        <v>2877</v>
      </c>
      <c r="PKD1333" s="4" t="s">
        <v>2877</v>
      </c>
      <c r="PKE1333" s="4" t="s">
        <v>2877</v>
      </c>
      <c r="PKF1333" s="4" t="s">
        <v>2877</v>
      </c>
      <c r="PKG1333" s="4" t="s">
        <v>2877</v>
      </c>
      <c r="PKH1333" s="4" t="s">
        <v>2877</v>
      </c>
      <c r="PKI1333" s="4" t="s">
        <v>2877</v>
      </c>
      <c r="PKJ1333" s="4" t="s">
        <v>2877</v>
      </c>
      <c r="PKK1333" s="4" t="s">
        <v>2877</v>
      </c>
      <c r="PKL1333" s="4" t="s">
        <v>2877</v>
      </c>
      <c r="PKM1333" s="4" t="s">
        <v>2877</v>
      </c>
      <c r="PKN1333" s="4" t="s">
        <v>2877</v>
      </c>
      <c r="PKO1333" s="4" t="s">
        <v>2877</v>
      </c>
      <c r="PKP1333" s="4" t="s">
        <v>2877</v>
      </c>
      <c r="PKQ1333" s="4" t="s">
        <v>2877</v>
      </c>
      <c r="PKR1333" s="4" t="s">
        <v>2877</v>
      </c>
      <c r="PKS1333" s="4" t="s">
        <v>2877</v>
      </c>
      <c r="PKT1333" s="4" t="s">
        <v>2877</v>
      </c>
      <c r="PKU1333" s="4" t="s">
        <v>2877</v>
      </c>
      <c r="PKV1333" s="4" t="s">
        <v>2877</v>
      </c>
      <c r="PKW1333" s="4" t="s">
        <v>2877</v>
      </c>
      <c r="PKX1333" s="4" t="s">
        <v>2877</v>
      </c>
      <c r="PKY1333" s="4" t="s">
        <v>2877</v>
      </c>
      <c r="PKZ1333" s="4" t="s">
        <v>2877</v>
      </c>
      <c r="PLA1333" s="4" t="s">
        <v>2877</v>
      </c>
      <c r="PLB1333" s="4" t="s">
        <v>2877</v>
      </c>
      <c r="PLC1333" s="4" t="s">
        <v>2877</v>
      </c>
      <c r="PLD1333" s="4" t="s">
        <v>2877</v>
      </c>
      <c r="PLE1333" s="4" t="s">
        <v>2877</v>
      </c>
      <c r="PLF1333" s="4" t="s">
        <v>2877</v>
      </c>
      <c r="PLG1333" s="4" t="s">
        <v>2877</v>
      </c>
      <c r="PLH1333" s="4" t="s">
        <v>2877</v>
      </c>
      <c r="PLI1333" s="4" t="s">
        <v>2877</v>
      </c>
      <c r="PLJ1333" s="4" t="s">
        <v>2877</v>
      </c>
      <c r="PLK1333" s="4" t="s">
        <v>2877</v>
      </c>
      <c r="PLL1333" s="4" t="s">
        <v>2877</v>
      </c>
      <c r="PLM1333" s="4" t="s">
        <v>2877</v>
      </c>
      <c r="PLN1333" s="4" t="s">
        <v>2877</v>
      </c>
      <c r="PLO1333" s="4" t="s">
        <v>2877</v>
      </c>
      <c r="PLP1333" s="4" t="s">
        <v>2877</v>
      </c>
      <c r="PLQ1333" s="4" t="s">
        <v>2877</v>
      </c>
      <c r="PLR1333" s="4" t="s">
        <v>2877</v>
      </c>
      <c r="PLS1333" s="4" t="s">
        <v>2877</v>
      </c>
      <c r="PLT1333" s="4" t="s">
        <v>2877</v>
      </c>
      <c r="PLU1333" s="4" t="s">
        <v>2877</v>
      </c>
      <c r="PLV1333" s="4" t="s">
        <v>2877</v>
      </c>
      <c r="PLW1333" s="4" t="s">
        <v>2877</v>
      </c>
      <c r="PLX1333" s="4" t="s">
        <v>2877</v>
      </c>
      <c r="PLY1333" s="4" t="s">
        <v>2877</v>
      </c>
      <c r="PLZ1333" s="4" t="s">
        <v>2877</v>
      </c>
      <c r="PMA1333" s="4" t="s">
        <v>2877</v>
      </c>
      <c r="PMB1333" s="4" t="s">
        <v>2877</v>
      </c>
      <c r="PMC1333" s="4" t="s">
        <v>2877</v>
      </c>
      <c r="PMD1333" s="4" t="s">
        <v>2877</v>
      </c>
      <c r="PME1333" s="4" t="s">
        <v>2877</v>
      </c>
      <c r="PMF1333" s="4" t="s">
        <v>2877</v>
      </c>
      <c r="PMG1333" s="4" t="s">
        <v>2877</v>
      </c>
      <c r="PMH1333" s="4" t="s">
        <v>2877</v>
      </c>
      <c r="PMI1333" s="4" t="s">
        <v>2877</v>
      </c>
      <c r="PMJ1333" s="4" t="s">
        <v>2877</v>
      </c>
      <c r="PMK1333" s="4" t="s">
        <v>2877</v>
      </c>
      <c r="PML1333" s="4" t="s">
        <v>2877</v>
      </c>
      <c r="PMM1333" s="4" t="s">
        <v>2877</v>
      </c>
      <c r="PMN1333" s="4" t="s">
        <v>2877</v>
      </c>
      <c r="PMO1333" s="4" t="s">
        <v>2877</v>
      </c>
      <c r="PMP1333" s="4" t="s">
        <v>2877</v>
      </c>
      <c r="PMQ1333" s="4" t="s">
        <v>2877</v>
      </c>
      <c r="PMR1333" s="4" t="s">
        <v>2877</v>
      </c>
      <c r="PMS1333" s="4" t="s">
        <v>2877</v>
      </c>
      <c r="PMT1333" s="4" t="s">
        <v>2877</v>
      </c>
      <c r="PMU1333" s="4" t="s">
        <v>2877</v>
      </c>
      <c r="PMV1333" s="4" t="s">
        <v>2877</v>
      </c>
      <c r="PMW1333" s="4" t="s">
        <v>2877</v>
      </c>
      <c r="PMX1333" s="4" t="s">
        <v>2877</v>
      </c>
      <c r="PMY1333" s="4" t="s">
        <v>2877</v>
      </c>
      <c r="PMZ1333" s="4" t="s">
        <v>2877</v>
      </c>
      <c r="PNA1333" s="4" t="s">
        <v>2877</v>
      </c>
      <c r="PNB1333" s="4" t="s">
        <v>2877</v>
      </c>
      <c r="PNC1333" s="4" t="s">
        <v>2877</v>
      </c>
      <c r="PND1333" s="4" t="s">
        <v>2877</v>
      </c>
      <c r="PNE1333" s="4" t="s">
        <v>2877</v>
      </c>
      <c r="PNF1333" s="4" t="s">
        <v>2877</v>
      </c>
      <c r="PNG1333" s="4" t="s">
        <v>2877</v>
      </c>
      <c r="PNH1333" s="4" t="s">
        <v>2877</v>
      </c>
      <c r="PNI1333" s="4" t="s">
        <v>2877</v>
      </c>
      <c r="PNJ1333" s="4" t="s">
        <v>2877</v>
      </c>
      <c r="PNK1333" s="4" t="s">
        <v>2877</v>
      </c>
      <c r="PNL1333" s="4" t="s">
        <v>2877</v>
      </c>
      <c r="PNM1333" s="4" t="s">
        <v>2877</v>
      </c>
      <c r="PNN1333" s="4" t="s">
        <v>2877</v>
      </c>
      <c r="PNO1333" s="4" t="s">
        <v>2877</v>
      </c>
      <c r="PNP1333" s="4" t="s">
        <v>2877</v>
      </c>
      <c r="PNQ1333" s="4" t="s">
        <v>2877</v>
      </c>
      <c r="PNR1333" s="4" t="s">
        <v>2877</v>
      </c>
      <c r="PNS1333" s="4" t="s">
        <v>2877</v>
      </c>
      <c r="PNT1333" s="4" t="s">
        <v>2877</v>
      </c>
      <c r="PNU1333" s="4" t="s">
        <v>2877</v>
      </c>
      <c r="PNV1333" s="4" t="s">
        <v>2877</v>
      </c>
      <c r="PNW1333" s="4" t="s">
        <v>2877</v>
      </c>
      <c r="PNX1333" s="4" t="s">
        <v>2877</v>
      </c>
      <c r="PNY1333" s="4" t="s">
        <v>2877</v>
      </c>
      <c r="PNZ1333" s="4" t="s">
        <v>2877</v>
      </c>
      <c r="POA1333" s="4" t="s">
        <v>2877</v>
      </c>
      <c r="POB1333" s="4" t="s">
        <v>2877</v>
      </c>
      <c r="POC1333" s="4" t="s">
        <v>2877</v>
      </c>
      <c r="POD1333" s="4" t="s">
        <v>2877</v>
      </c>
      <c r="POE1333" s="4" t="s">
        <v>2877</v>
      </c>
      <c r="POF1333" s="4" t="s">
        <v>2877</v>
      </c>
      <c r="POG1333" s="4" t="s">
        <v>2877</v>
      </c>
      <c r="POH1333" s="4" t="s">
        <v>2877</v>
      </c>
      <c r="POI1333" s="4" t="s">
        <v>2877</v>
      </c>
      <c r="POJ1333" s="4" t="s">
        <v>2877</v>
      </c>
      <c r="POK1333" s="4" t="s">
        <v>2877</v>
      </c>
      <c r="POL1333" s="4" t="s">
        <v>2877</v>
      </c>
      <c r="POM1333" s="4" t="s">
        <v>2877</v>
      </c>
      <c r="PON1333" s="4" t="s">
        <v>2877</v>
      </c>
      <c r="POO1333" s="4" t="s">
        <v>2877</v>
      </c>
      <c r="POP1333" s="4" t="s">
        <v>2877</v>
      </c>
      <c r="POQ1333" s="4" t="s">
        <v>2877</v>
      </c>
      <c r="POR1333" s="4" t="s">
        <v>2877</v>
      </c>
      <c r="POS1333" s="4" t="s">
        <v>2877</v>
      </c>
      <c r="POT1333" s="4" t="s">
        <v>2877</v>
      </c>
      <c r="POU1333" s="4" t="s">
        <v>2877</v>
      </c>
      <c r="POV1333" s="4" t="s">
        <v>2877</v>
      </c>
      <c r="POW1333" s="4" t="s">
        <v>2877</v>
      </c>
      <c r="POX1333" s="4" t="s">
        <v>2877</v>
      </c>
      <c r="POY1333" s="4" t="s">
        <v>2877</v>
      </c>
      <c r="POZ1333" s="4" t="s">
        <v>2877</v>
      </c>
      <c r="PPA1333" s="4" t="s">
        <v>2877</v>
      </c>
      <c r="PPB1333" s="4" t="s">
        <v>2877</v>
      </c>
      <c r="PPC1333" s="4" t="s">
        <v>2877</v>
      </c>
      <c r="PPD1333" s="4" t="s">
        <v>2877</v>
      </c>
      <c r="PPE1333" s="4" t="s">
        <v>2877</v>
      </c>
      <c r="PPF1333" s="4" t="s">
        <v>2877</v>
      </c>
      <c r="PPG1333" s="4" t="s">
        <v>2877</v>
      </c>
      <c r="PPH1333" s="4" t="s">
        <v>2877</v>
      </c>
      <c r="PPI1333" s="4" t="s">
        <v>2877</v>
      </c>
      <c r="PPJ1333" s="4" t="s">
        <v>2877</v>
      </c>
      <c r="PPK1333" s="4" t="s">
        <v>2877</v>
      </c>
      <c r="PPL1333" s="4" t="s">
        <v>2877</v>
      </c>
      <c r="PPM1333" s="4" t="s">
        <v>2877</v>
      </c>
      <c r="PPN1333" s="4" t="s">
        <v>2877</v>
      </c>
      <c r="PPO1333" s="4" t="s">
        <v>2877</v>
      </c>
      <c r="PPP1333" s="4" t="s">
        <v>2877</v>
      </c>
      <c r="PPQ1333" s="4" t="s">
        <v>2877</v>
      </c>
      <c r="PPR1333" s="4" t="s">
        <v>2877</v>
      </c>
      <c r="PPS1333" s="4" t="s">
        <v>2877</v>
      </c>
      <c r="PPT1333" s="4" t="s">
        <v>2877</v>
      </c>
      <c r="PPU1333" s="4" t="s">
        <v>2877</v>
      </c>
      <c r="PPV1333" s="4" t="s">
        <v>2877</v>
      </c>
      <c r="PPW1333" s="4" t="s">
        <v>2877</v>
      </c>
      <c r="PPX1333" s="4" t="s">
        <v>2877</v>
      </c>
      <c r="PPY1333" s="4" t="s">
        <v>2877</v>
      </c>
      <c r="PPZ1333" s="4" t="s">
        <v>2877</v>
      </c>
      <c r="PQA1333" s="4" t="s">
        <v>2877</v>
      </c>
      <c r="PQB1333" s="4" t="s">
        <v>2877</v>
      </c>
      <c r="PQC1333" s="4" t="s">
        <v>2877</v>
      </c>
      <c r="PQD1333" s="4" t="s">
        <v>2877</v>
      </c>
      <c r="PQE1333" s="4" t="s">
        <v>2877</v>
      </c>
      <c r="PQF1333" s="4" t="s">
        <v>2877</v>
      </c>
      <c r="PQG1333" s="4" t="s">
        <v>2877</v>
      </c>
      <c r="PQH1333" s="4" t="s">
        <v>2877</v>
      </c>
      <c r="PQI1333" s="4" t="s">
        <v>2877</v>
      </c>
      <c r="PQJ1333" s="4" t="s">
        <v>2877</v>
      </c>
      <c r="PQK1333" s="4" t="s">
        <v>2877</v>
      </c>
      <c r="PQL1333" s="4" t="s">
        <v>2877</v>
      </c>
      <c r="PQM1333" s="4" t="s">
        <v>2877</v>
      </c>
      <c r="PQN1333" s="4" t="s">
        <v>2877</v>
      </c>
      <c r="PQO1333" s="4" t="s">
        <v>2877</v>
      </c>
      <c r="PQP1333" s="4" t="s">
        <v>2877</v>
      </c>
      <c r="PQQ1333" s="4" t="s">
        <v>2877</v>
      </c>
      <c r="PQR1333" s="4" t="s">
        <v>2877</v>
      </c>
      <c r="PQS1333" s="4" t="s">
        <v>2877</v>
      </c>
      <c r="PQT1333" s="4" t="s">
        <v>2877</v>
      </c>
      <c r="PQU1333" s="4" t="s">
        <v>2877</v>
      </c>
      <c r="PQV1333" s="4" t="s">
        <v>2877</v>
      </c>
      <c r="PQW1333" s="4" t="s">
        <v>2877</v>
      </c>
      <c r="PQX1333" s="4" t="s">
        <v>2877</v>
      </c>
      <c r="PQY1333" s="4" t="s">
        <v>2877</v>
      </c>
      <c r="PQZ1333" s="4" t="s">
        <v>2877</v>
      </c>
      <c r="PRA1333" s="4" t="s">
        <v>2877</v>
      </c>
      <c r="PRB1333" s="4" t="s">
        <v>2877</v>
      </c>
      <c r="PRC1333" s="4" t="s">
        <v>2877</v>
      </c>
      <c r="PRD1333" s="4" t="s">
        <v>2877</v>
      </c>
      <c r="PRE1333" s="4" t="s">
        <v>2877</v>
      </c>
      <c r="PRF1333" s="4" t="s">
        <v>2877</v>
      </c>
      <c r="PRG1333" s="4" t="s">
        <v>2877</v>
      </c>
      <c r="PRH1333" s="4" t="s">
        <v>2877</v>
      </c>
      <c r="PRI1333" s="4" t="s">
        <v>2877</v>
      </c>
      <c r="PRJ1333" s="4" t="s">
        <v>2877</v>
      </c>
      <c r="PRK1333" s="4" t="s">
        <v>2877</v>
      </c>
      <c r="PRL1333" s="4" t="s">
        <v>2877</v>
      </c>
      <c r="PRM1333" s="4" t="s">
        <v>2877</v>
      </c>
      <c r="PRN1333" s="4" t="s">
        <v>2877</v>
      </c>
      <c r="PRO1333" s="4" t="s">
        <v>2877</v>
      </c>
      <c r="PRP1333" s="4" t="s">
        <v>2877</v>
      </c>
      <c r="PRQ1333" s="4" t="s">
        <v>2877</v>
      </c>
      <c r="PRR1333" s="4" t="s">
        <v>2877</v>
      </c>
      <c r="PRS1333" s="4" t="s">
        <v>2877</v>
      </c>
      <c r="PRT1333" s="4" t="s">
        <v>2877</v>
      </c>
      <c r="PRU1333" s="4" t="s">
        <v>2877</v>
      </c>
      <c r="PRV1333" s="4" t="s">
        <v>2877</v>
      </c>
      <c r="PRW1333" s="4" t="s">
        <v>2877</v>
      </c>
      <c r="PRX1333" s="4" t="s">
        <v>2877</v>
      </c>
      <c r="PRY1333" s="4" t="s">
        <v>2877</v>
      </c>
      <c r="PRZ1333" s="4" t="s">
        <v>2877</v>
      </c>
      <c r="PSA1333" s="4" t="s">
        <v>2877</v>
      </c>
      <c r="PSB1333" s="4" t="s">
        <v>2877</v>
      </c>
      <c r="PSC1333" s="4" t="s">
        <v>2877</v>
      </c>
      <c r="PSD1333" s="4" t="s">
        <v>2877</v>
      </c>
      <c r="PSE1333" s="4" t="s">
        <v>2877</v>
      </c>
      <c r="PSF1333" s="4" t="s">
        <v>2877</v>
      </c>
      <c r="PSG1333" s="4" t="s">
        <v>2877</v>
      </c>
      <c r="PSH1333" s="4" t="s">
        <v>2877</v>
      </c>
      <c r="PSI1333" s="4" t="s">
        <v>2877</v>
      </c>
      <c r="PSJ1333" s="4" t="s">
        <v>2877</v>
      </c>
      <c r="PSK1333" s="4" t="s">
        <v>2877</v>
      </c>
      <c r="PSL1333" s="4" t="s">
        <v>2877</v>
      </c>
      <c r="PSM1333" s="4" t="s">
        <v>2877</v>
      </c>
      <c r="PSN1333" s="4" t="s">
        <v>2877</v>
      </c>
      <c r="PSO1333" s="4" t="s">
        <v>2877</v>
      </c>
      <c r="PSP1333" s="4" t="s">
        <v>2877</v>
      </c>
      <c r="PSQ1333" s="4" t="s">
        <v>2877</v>
      </c>
      <c r="PSR1333" s="4" t="s">
        <v>2877</v>
      </c>
      <c r="PSS1333" s="4" t="s">
        <v>2877</v>
      </c>
      <c r="PST1333" s="4" t="s">
        <v>2877</v>
      </c>
      <c r="PSU1333" s="4" t="s">
        <v>2877</v>
      </c>
      <c r="PSV1333" s="4" t="s">
        <v>2877</v>
      </c>
      <c r="PSW1333" s="4" t="s">
        <v>2877</v>
      </c>
      <c r="PSX1333" s="4" t="s">
        <v>2877</v>
      </c>
      <c r="PSY1333" s="4" t="s">
        <v>2877</v>
      </c>
      <c r="PSZ1333" s="4" t="s">
        <v>2877</v>
      </c>
      <c r="PTA1333" s="4" t="s">
        <v>2877</v>
      </c>
      <c r="PTB1333" s="4" t="s">
        <v>2877</v>
      </c>
      <c r="PTC1333" s="4" t="s">
        <v>2877</v>
      </c>
      <c r="PTD1333" s="4" t="s">
        <v>2877</v>
      </c>
      <c r="PTE1333" s="4" t="s">
        <v>2877</v>
      </c>
      <c r="PTF1333" s="4" t="s">
        <v>2877</v>
      </c>
      <c r="PTG1333" s="4" t="s">
        <v>2877</v>
      </c>
      <c r="PTH1333" s="4" t="s">
        <v>2877</v>
      </c>
      <c r="PTI1333" s="4" t="s">
        <v>2877</v>
      </c>
      <c r="PTJ1333" s="4" t="s">
        <v>2877</v>
      </c>
      <c r="PTK1333" s="4" t="s">
        <v>2877</v>
      </c>
      <c r="PTL1333" s="4" t="s">
        <v>2877</v>
      </c>
      <c r="PTM1333" s="4" t="s">
        <v>2877</v>
      </c>
      <c r="PTN1333" s="4" t="s">
        <v>2877</v>
      </c>
      <c r="PTO1333" s="4" t="s">
        <v>2877</v>
      </c>
      <c r="PTP1333" s="4" t="s">
        <v>2877</v>
      </c>
      <c r="PTQ1333" s="4" t="s">
        <v>2877</v>
      </c>
      <c r="PTR1333" s="4" t="s">
        <v>2877</v>
      </c>
      <c r="PTS1333" s="4" t="s">
        <v>2877</v>
      </c>
      <c r="PTT1333" s="4" t="s">
        <v>2877</v>
      </c>
      <c r="PTU1333" s="4" t="s">
        <v>2877</v>
      </c>
      <c r="PTV1333" s="4" t="s">
        <v>2877</v>
      </c>
      <c r="PTW1333" s="4" t="s">
        <v>2877</v>
      </c>
      <c r="PTX1333" s="4" t="s">
        <v>2877</v>
      </c>
      <c r="PTY1333" s="4" t="s">
        <v>2877</v>
      </c>
      <c r="PTZ1333" s="4" t="s">
        <v>2877</v>
      </c>
      <c r="PUA1333" s="4" t="s">
        <v>2877</v>
      </c>
      <c r="PUB1333" s="4" t="s">
        <v>2877</v>
      </c>
      <c r="PUC1333" s="4" t="s">
        <v>2877</v>
      </c>
      <c r="PUD1333" s="4" t="s">
        <v>2877</v>
      </c>
      <c r="PUE1333" s="4" t="s">
        <v>2877</v>
      </c>
      <c r="PUF1333" s="4" t="s">
        <v>2877</v>
      </c>
      <c r="PUG1333" s="4" t="s">
        <v>2877</v>
      </c>
      <c r="PUH1333" s="4" t="s">
        <v>2877</v>
      </c>
      <c r="PUI1333" s="4" t="s">
        <v>2877</v>
      </c>
      <c r="PUJ1333" s="4" t="s">
        <v>2877</v>
      </c>
      <c r="PUK1333" s="4" t="s">
        <v>2877</v>
      </c>
      <c r="PUL1333" s="4" t="s">
        <v>2877</v>
      </c>
      <c r="PUM1333" s="4" t="s">
        <v>2877</v>
      </c>
      <c r="PUN1333" s="4" t="s">
        <v>2877</v>
      </c>
      <c r="PUO1333" s="4" t="s">
        <v>2877</v>
      </c>
      <c r="PUP1333" s="4" t="s">
        <v>2877</v>
      </c>
      <c r="PUQ1333" s="4" t="s">
        <v>2877</v>
      </c>
      <c r="PUR1333" s="4" t="s">
        <v>2877</v>
      </c>
      <c r="PUS1333" s="4" t="s">
        <v>2877</v>
      </c>
      <c r="PUT1333" s="4" t="s">
        <v>2877</v>
      </c>
      <c r="PUU1333" s="4" t="s">
        <v>2877</v>
      </c>
      <c r="PUV1333" s="4" t="s">
        <v>2877</v>
      </c>
      <c r="PUW1333" s="4" t="s">
        <v>2877</v>
      </c>
      <c r="PUX1333" s="4" t="s">
        <v>2877</v>
      </c>
      <c r="PUY1333" s="4" t="s">
        <v>2877</v>
      </c>
      <c r="PUZ1333" s="4" t="s">
        <v>2877</v>
      </c>
      <c r="PVA1333" s="4" t="s">
        <v>2877</v>
      </c>
      <c r="PVB1333" s="4" t="s">
        <v>2877</v>
      </c>
      <c r="PVC1333" s="4" t="s">
        <v>2877</v>
      </c>
      <c r="PVD1333" s="4" t="s">
        <v>2877</v>
      </c>
      <c r="PVE1333" s="4" t="s">
        <v>2877</v>
      </c>
      <c r="PVF1333" s="4" t="s">
        <v>2877</v>
      </c>
      <c r="PVG1333" s="4" t="s">
        <v>2877</v>
      </c>
      <c r="PVH1333" s="4" t="s">
        <v>2877</v>
      </c>
      <c r="PVI1333" s="4" t="s">
        <v>2877</v>
      </c>
      <c r="PVJ1333" s="4" t="s">
        <v>2877</v>
      </c>
      <c r="PVK1333" s="4" t="s">
        <v>2877</v>
      </c>
      <c r="PVL1333" s="4" t="s">
        <v>2877</v>
      </c>
      <c r="PVM1333" s="4" t="s">
        <v>2877</v>
      </c>
      <c r="PVN1333" s="4" t="s">
        <v>2877</v>
      </c>
      <c r="PVO1333" s="4" t="s">
        <v>2877</v>
      </c>
      <c r="PVP1333" s="4" t="s">
        <v>2877</v>
      </c>
      <c r="PVQ1333" s="4" t="s">
        <v>2877</v>
      </c>
      <c r="PVR1333" s="4" t="s">
        <v>2877</v>
      </c>
      <c r="PVS1333" s="4" t="s">
        <v>2877</v>
      </c>
      <c r="PVT1333" s="4" t="s">
        <v>2877</v>
      </c>
      <c r="PVU1333" s="4" t="s">
        <v>2877</v>
      </c>
      <c r="PVV1333" s="4" t="s">
        <v>2877</v>
      </c>
      <c r="PVW1333" s="4" t="s">
        <v>2877</v>
      </c>
      <c r="PVX1333" s="4" t="s">
        <v>2877</v>
      </c>
      <c r="PVY1333" s="4" t="s">
        <v>2877</v>
      </c>
      <c r="PVZ1333" s="4" t="s">
        <v>2877</v>
      </c>
      <c r="PWA1333" s="4" t="s">
        <v>2877</v>
      </c>
      <c r="PWB1333" s="4" t="s">
        <v>2877</v>
      </c>
      <c r="PWC1333" s="4" t="s">
        <v>2877</v>
      </c>
      <c r="PWD1333" s="4" t="s">
        <v>2877</v>
      </c>
      <c r="PWE1333" s="4" t="s">
        <v>2877</v>
      </c>
      <c r="PWF1333" s="4" t="s">
        <v>2877</v>
      </c>
      <c r="PWG1333" s="4" t="s">
        <v>2877</v>
      </c>
      <c r="PWH1333" s="4" t="s">
        <v>2877</v>
      </c>
      <c r="PWI1333" s="4" t="s">
        <v>2877</v>
      </c>
      <c r="PWJ1333" s="4" t="s">
        <v>2877</v>
      </c>
      <c r="PWK1333" s="4" t="s">
        <v>2877</v>
      </c>
      <c r="PWL1333" s="4" t="s">
        <v>2877</v>
      </c>
      <c r="PWM1333" s="4" t="s">
        <v>2877</v>
      </c>
      <c r="PWN1333" s="4" t="s">
        <v>2877</v>
      </c>
      <c r="PWO1333" s="4" t="s">
        <v>2877</v>
      </c>
      <c r="PWP1333" s="4" t="s">
        <v>2877</v>
      </c>
      <c r="PWQ1333" s="4" t="s">
        <v>2877</v>
      </c>
      <c r="PWR1333" s="4" t="s">
        <v>2877</v>
      </c>
      <c r="PWS1333" s="4" t="s">
        <v>2877</v>
      </c>
      <c r="PWT1333" s="4" t="s">
        <v>2877</v>
      </c>
      <c r="PWU1333" s="4" t="s">
        <v>2877</v>
      </c>
      <c r="PWV1333" s="4" t="s">
        <v>2877</v>
      </c>
      <c r="PWW1333" s="4" t="s">
        <v>2877</v>
      </c>
      <c r="PWX1333" s="4" t="s">
        <v>2877</v>
      </c>
      <c r="PWY1333" s="4" t="s">
        <v>2877</v>
      </c>
      <c r="PWZ1333" s="4" t="s">
        <v>2877</v>
      </c>
      <c r="PXA1333" s="4" t="s">
        <v>2877</v>
      </c>
      <c r="PXB1333" s="4" t="s">
        <v>2877</v>
      </c>
      <c r="PXC1333" s="4" t="s">
        <v>2877</v>
      </c>
      <c r="PXD1333" s="4" t="s">
        <v>2877</v>
      </c>
      <c r="PXE1333" s="4" t="s">
        <v>2877</v>
      </c>
      <c r="PXF1333" s="4" t="s">
        <v>2877</v>
      </c>
      <c r="PXG1333" s="4" t="s">
        <v>2877</v>
      </c>
      <c r="PXH1333" s="4" t="s">
        <v>2877</v>
      </c>
      <c r="PXI1333" s="4" t="s">
        <v>2877</v>
      </c>
      <c r="PXJ1333" s="4" t="s">
        <v>2877</v>
      </c>
      <c r="PXK1333" s="4" t="s">
        <v>2877</v>
      </c>
      <c r="PXL1333" s="4" t="s">
        <v>2877</v>
      </c>
      <c r="PXM1333" s="4" t="s">
        <v>2877</v>
      </c>
      <c r="PXN1333" s="4" t="s">
        <v>2877</v>
      </c>
      <c r="PXO1333" s="4" t="s">
        <v>2877</v>
      </c>
      <c r="PXP1333" s="4" t="s">
        <v>2877</v>
      </c>
      <c r="PXQ1333" s="4" t="s">
        <v>2877</v>
      </c>
      <c r="PXR1333" s="4" t="s">
        <v>2877</v>
      </c>
      <c r="PXS1333" s="4" t="s">
        <v>2877</v>
      </c>
      <c r="PXT1333" s="4" t="s">
        <v>2877</v>
      </c>
      <c r="PXU1333" s="4" t="s">
        <v>2877</v>
      </c>
      <c r="PXV1333" s="4" t="s">
        <v>2877</v>
      </c>
      <c r="PXW1333" s="4" t="s">
        <v>2877</v>
      </c>
      <c r="PXX1333" s="4" t="s">
        <v>2877</v>
      </c>
      <c r="PXY1333" s="4" t="s">
        <v>2877</v>
      </c>
      <c r="PXZ1333" s="4" t="s">
        <v>2877</v>
      </c>
      <c r="PYA1333" s="4" t="s">
        <v>2877</v>
      </c>
      <c r="PYB1333" s="4" t="s">
        <v>2877</v>
      </c>
      <c r="PYC1333" s="4" t="s">
        <v>2877</v>
      </c>
      <c r="PYD1333" s="4" t="s">
        <v>2877</v>
      </c>
      <c r="PYE1333" s="4" t="s">
        <v>2877</v>
      </c>
      <c r="PYF1333" s="4" t="s">
        <v>2877</v>
      </c>
      <c r="PYG1333" s="4" t="s">
        <v>2877</v>
      </c>
      <c r="PYH1333" s="4" t="s">
        <v>2877</v>
      </c>
      <c r="PYI1333" s="4" t="s">
        <v>2877</v>
      </c>
      <c r="PYJ1333" s="4" t="s">
        <v>2877</v>
      </c>
      <c r="PYK1333" s="4" t="s">
        <v>2877</v>
      </c>
      <c r="PYL1333" s="4" t="s">
        <v>2877</v>
      </c>
      <c r="PYM1333" s="4" t="s">
        <v>2877</v>
      </c>
      <c r="PYN1333" s="4" t="s">
        <v>2877</v>
      </c>
      <c r="PYO1333" s="4" t="s">
        <v>2877</v>
      </c>
      <c r="PYP1333" s="4" t="s">
        <v>2877</v>
      </c>
      <c r="PYQ1333" s="4" t="s">
        <v>2877</v>
      </c>
      <c r="PYR1333" s="4" t="s">
        <v>2877</v>
      </c>
      <c r="PYS1333" s="4" t="s">
        <v>2877</v>
      </c>
      <c r="PYT1333" s="4" t="s">
        <v>2877</v>
      </c>
      <c r="PYU1333" s="4" t="s">
        <v>2877</v>
      </c>
      <c r="PYV1333" s="4" t="s">
        <v>2877</v>
      </c>
      <c r="PYW1333" s="4" t="s">
        <v>2877</v>
      </c>
      <c r="PYX1333" s="4" t="s">
        <v>2877</v>
      </c>
      <c r="PYY1333" s="4" t="s">
        <v>2877</v>
      </c>
      <c r="PYZ1333" s="4" t="s">
        <v>2877</v>
      </c>
      <c r="PZA1333" s="4" t="s">
        <v>2877</v>
      </c>
      <c r="PZB1333" s="4" t="s">
        <v>2877</v>
      </c>
      <c r="PZC1333" s="4" t="s">
        <v>2877</v>
      </c>
      <c r="PZD1333" s="4" t="s">
        <v>2877</v>
      </c>
      <c r="PZE1333" s="4" t="s">
        <v>2877</v>
      </c>
      <c r="PZF1333" s="4" t="s">
        <v>2877</v>
      </c>
      <c r="PZG1333" s="4" t="s">
        <v>2877</v>
      </c>
      <c r="PZH1333" s="4" t="s">
        <v>2877</v>
      </c>
      <c r="PZI1333" s="4" t="s">
        <v>2877</v>
      </c>
      <c r="PZJ1333" s="4" t="s">
        <v>2877</v>
      </c>
      <c r="PZK1333" s="4" t="s">
        <v>2877</v>
      </c>
      <c r="PZL1333" s="4" t="s">
        <v>2877</v>
      </c>
      <c r="PZM1333" s="4" t="s">
        <v>2877</v>
      </c>
      <c r="PZN1333" s="4" t="s">
        <v>2877</v>
      </c>
      <c r="PZO1333" s="4" t="s">
        <v>2877</v>
      </c>
      <c r="PZP1333" s="4" t="s">
        <v>2877</v>
      </c>
      <c r="PZQ1333" s="4" t="s">
        <v>2877</v>
      </c>
      <c r="PZR1333" s="4" t="s">
        <v>2877</v>
      </c>
      <c r="PZS1333" s="4" t="s">
        <v>2877</v>
      </c>
      <c r="PZT1333" s="4" t="s">
        <v>2877</v>
      </c>
      <c r="PZU1333" s="4" t="s">
        <v>2877</v>
      </c>
      <c r="PZV1333" s="4" t="s">
        <v>2877</v>
      </c>
      <c r="PZW1333" s="4" t="s">
        <v>2877</v>
      </c>
      <c r="PZX1333" s="4" t="s">
        <v>2877</v>
      </c>
      <c r="PZY1333" s="4" t="s">
        <v>2877</v>
      </c>
      <c r="PZZ1333" s="4" t="s">
        <v>2877</v>
      </c>
      <c r="QAA1333" s="4" t="s">
        <v>2877</v>
      </c>
      <c r="QAB1333" s="4" t="s">
        <v>2877</v>
      </c>
      <c r="QAC1333" s="4" t="s">
        <v>2877</v>
      </c>
      <c r="QAD1333" s="4" t="s">
        <v>2877</v>
      </c>
      <c r="QAE1333" s="4" t="s">
        <v>2877</v>
      </c>
      <c r="QAF1333" s="4" t="s">
        <v>2877</v>
      </c>
      <c r="QAG1333" s="4" t="s">
        <v>2877</v>
      </c>
      <c r="QAH1333" s="4" t="s">
        <v>2877</v>
      </c>
      <c r="QAI1333" s="4" t="s">
        <v>2877</v>
      </c>
      <c r="QAJ1333" s="4" t="s">
        <v>2877</v>
      </c>
      <c r="QAK1333" s="4" t="s">
        <v>2877</v>
      </c>
      <c r="QAL1333" s="4" t="s">
        <v>2877</v>
      </c>
      <c r="QAM1333" s="4" t="s">
        <v>2877</v>
      </c>
      <c r="QAN1333" s="4" t="s">
        <v>2877</v>
      </c>
      <c r="QAO1333" s="4" t="s">
        <v>2877</v>
      </c>
      <c r="QAP1333" s="4" t="s">
        <v>2877</v>
      </c>
      <c r="QAQ1333" s="4" t="s">
        <v>2877</v>
      </c>
      <c r="QAR1333" s="4" t="s">
        <v>2877</v>
      </c>
      <c r="QAS1333" s="4" t="s">
        <v>2877</v>
      </c>
      <c r="QAT1333" s="4" t="s">
        <v>2877</v>
      </c>
      <c r="QAU1333" s="4" t="s">
        <v>2877</v>
      </c>
      <c r="QAV1333" s="4" t="s">
        <v>2877</v>
      </c>
      <c r="QAW1333" s="4" t="s">
        <v>2877</v>
      </c>
      <c r="QAX1333" s="4" t="s">
        <v>2877</v>
      </c>
      <c r="QAY1333" s="4" t="s">
        <v>2877</v>
      </c>
      <c r="QAZ1333" s="4" t="s">
        <v>2877</v>
      </c>
      <c r="QBA1333" s="4" t="s">
        <v>2877</v>
      </c>
      <c r="QBB1333" s="4" t="s">
        <v>2877</v>
      </c>
      <c r="QBC1333" s="4" t="s">
        <v>2877</v>
      </c>
      <c r="QBD1333" s="4" t="s">
        <v>2877</v>
      </c>
      <c r="QBE1333" s="4" t="s">
        <v>2877</v>
      </c>
      <c r="QBF1333" s="4" t="s">
        <v>2877</v>
      </c>
      <c r="QBG1333" s="4" t="s">
        <v>2877</v>
      </c>
      <c r="QBH1333" s="4" t="s">
        <v>2877</v>
      </c>
      <c r="QBI1333" s="4" t="s">
        <v>2877</v>
      </c>
      <c r="QBJ1333" s="4" t="s">
        <v>2877</v>
      </c>
      <c r="QBK1333" s="4" t="s">
        <v>2877</v>
      </c>
      <c r="QBL1333" s="4" t="s">
        <v>2877</v>
      </c>
      <c r="QBM1333" s="4" t="s">
        <v>2877</v>
      </c>
      <c r="QBN1333" s="4" t="s">
        <v>2877</v>
      </c>
      <c r="QBO1333" s="4" t="s">
        <v>2877</v>
      </c>
      <c r="QBP1333" s="4" t="s">
        <v>2877</v>
      </c>
      <c r="QBQ1333" s="4" t="s">
        <v>2877</v>
      </c>
      <c r="QBR1333" s="4" t="s">
        <v>2877</v>
      </c>
      <c r="QBS1333" s="4" t="s">
        <v>2877</v>
      </c>
      <c r="QBT1333" s="4" t="s">
        <v>2877</v>
      </c>
      <c r="QBU1333" s="4" t="s">
        <v>2877</v>
      </c>
      <c r="QBV1333" s="4" t="s">
        <v>2877</v>
      </c>
      <c r="QBW1333" s="4" t="s">
        <v>2877</v>
      </c>
      <c r="QBX1333" s="4" t="s">
        <v>2877</v>
      </c>
      <c r="QBY1333" s="4" t="s">
        <v>2877</v>
      </c>
      <c r="QBZ1333" s="4" t="s">
        <v>2877</v>
      </c>
      <c r="QCA1333" s="4" t="s">
        <v>2877</v>
      </c>
      <c r="QCB1333" s="4" t="s">
        <v>2877</v>
      </c>
      <c r="QCC1333" s="4" t="s">
        <v>2877</v>
      </c>
      <c r="QCD1333" s="4" t="s">
        <v>2877</v>
      </c>
      <c r="QCE1333" s="4" t="s">
        <v>2877</v>
      </c>
      <c r="QCF1333" s="4" t="s">
        <v>2877</v>
      </c>
      <c r="QCG1333" s="4" t="s">
        <v>2877</v>
      </c>
      <c r="QCH1333" s="4" t="s">
        <v>2877</v>
      </c>
      <c r="QCI1333" s="4" t="s">
        <v>2877</v>
      </c>
      <c r="QCJ1333" s="4" t="s">
        <v>2877</v>
      </c>
      <c r="QCK1333" s="4" t="s">
        <v>2877</v>
      </c>
      <c r="QCL1333" s="4" t="s">
        <v>2877</v>
      </c>
      <c r="QCM1333" s="4" t="s">
        <v>2877</v>
      </c>
      <c r="QCN1333" s="4" t="s">
        <v>2877</v>
      </c>
      <c r="QCO1333" s="4" t="s">
        <v>2877</v>
      </c>
      <c r="QCP1333" s="4" t="s">
        <v>2877</v>
      </c>
      <c r="QCQ1333" s="4" t="s">
        <v>2877</v>
      </c>
      <c r="QCR1333" s="4" t="s">
        <v>2877</v>
      </c>
      <c r="QCS1333" s="4" t="s">
        <v>2877</v>
      </c>
      <c r="QCT1333" s="4" t="s">
        <v>2877</v>
      </c>
      <c r="QCU1333" s="4" t="s">
        <v>2877</v>
      </c>
      <c r="QCV1333" s="4" t="s">
        <v>2877</v>
      </c>
      <c r="QCW1333" s="4" t="s">
        <v>2877</v>
      </c>
      <c r="QCX1333" s="4" t="s">
        <v>2877</v>
      </c>
      <c r="QCY1333" s="4" t="s">
        <v>2877</v>
      </c>
      <c r="QCZ1333" s="4" t="s">
        <v>2877</v>
      </c>
      <c r="QDA1333" s="4" t="s">
        <v>2877</v>
      </c>
      <c r="QDB1333" s="4" t="s">
        <v>2877</v>
      </c>
      <c r="QDC1333" s="4" t="s">
        <v>2877</v>
      </c>
      <c r="QDD1333" s="4" t="s">
        <v>2877</v>
      </c>
      <c r="QDE1333" s="4" t="s">
        <v>2877</v>
      </c>
      <c r="QDF1333" s="4" t="s">
        <v>2877</v>
      </c>
      <c r="QDG1333" s="4" t="s">
        <v>2877</v>
      </c>
      <c r="QDH1333" s="4" t="s">
        <v>2877</v>
      </c>
      <c r="QDI1333" s="4" t="s">
        <v>2877</v>
      </c>
      <c r="QDJ1333" s="4" t="s">
        <v>2877</v>
      </c>
      <c r="QDK1333" s="4" t="s">
        <v>2877</v>
      </c>
      <c r="QDL1333" s="4" t="s">
        <v>2877</v>
      </c>
      <c r="QDM1333" s="4" t="s">
        <v>2877</v>
      </c>
      <c r="QDN1333" s="4" t="s">
        <v>2877</v>
      </c>
      <c r="QDO1333" s="4" t="s">
        <v>2877</v>
      </c>
      <c r="QDP1333" s="4" t="s">
        <v>2877</v>
      </c>
      <c r="QDQ1333" s="4" t="s">
        <v>2877</v>
      </c>
      <c r="QDR1333" s="4" t="s">
        <v>2877</v>
      </c>
      <c r="QDS1333" s="4" t="s">
        <v>2877</v>
      </c>
      <c r="QDT1333" s="4" t="s">
        <v>2877</v>
      </c>
      <c r="QDU1333" s="4" t="s">
        <v>2877</v>
      </c>
      <c r="QDV1333" s="4" t="s">
        <v>2877</v>
      </c>
      <c r="QDW1333" s="4" t="s">
        <v>2877</v>
      </c>
      <c r="QDX1333" s="4" t="s">
        <v>2877</v>
      </c>
      <c r="QDY1333" s="4" t="s">
        <v>2877</v>
      </c>
      <c r="QDZ1333" s="4" t="s">
        <v>2877</v>
      </c>
      <c r="QEA1333" s="4" t="s">
        <v>2877</v>
      </c>
      <c r="QEB1333" s="4" t="s">
        <v>2877</v>
      </c>
      <c r="QEC1333" s="4" t="s">
        <v>2877</v>
      </c>
      <c r="QED1333" s="4" t="s">
        <v>2877</v>
      </c>
      <c r="QEE1333" s="4" t="s">
        <v>2877</v>
      </c>
      <c r="QEF1333" s="4" t="s">
        <v>2877</v>
      </c>
      <c r="QEG1333" s="4" t="s">
        <v>2877</v>
      </c>
      <c r="QEH1333" s="4" t="s">
        <v>2877</v>
      </c>
      <c r="QEI1333" s="4" t="s">
        <v>2877</v>
      </c>
      <c r="QEJ1333" s="4" t="s">
        <v>2877</v>
      </c>
      <c r="QEK1333" s="4" t="s">
        <v>2877</v>
      </c>
      <c r="QEL1333" s="4" t="s">
        <v>2877</v>
      </c>
      <c r="QEM1333" s="4" t="s">
        <v>2877</v>
      </c>
      <c r="QEN1333" s="4" t="s">
        <v>2877</v>
      </c>
      <c r="QEO1333" s="4" t="s">
        <v>2877</v>
      </c>
      <c r="QEP1333" s="4" t="s">
        <v>2877</v>
      </c>
      <c r="QEQ1333" s="4" t="s">
        <v>2877</v>
      </c>
      <c r="QER1333" s="4" t="s">
        <v>2877</v>
      </c>
      <c r="QES1333" s="4" t="s">
        <v>2877</v>
      </c>
      <c r="QET1333" s="4" t="s">
        <v>2877</v>
      </c>
      <c r="QEU1333" s="4" t="s">
        <v>2877</v>
      </c>
      <c r="QEV1333" s="4" t="s">
        <v>2877</v>
      </c>
      <c r="QEW1333" s="4" t="s">
        <v>2877</v>
      </c>
      <c r="QEX1333" s="4" t="s">
        <v>2877</v>
      </c>
      <c r="QEY1333" s="4" t="s">
        <v>2877</v>
      </c>
      <c r="QEZ1333" s="4" t="s">
        <v>2877</v>
      </c>
      <c r="QFA1333" s="4" t="s">
        <v>2877</v>
      </c>
      <c r="QFB1333" s="4" t="s">
        <v>2877</v>
      </c>
      <c r="QFC1333" s="4" t="s">
        <v>2877</v>
      </c>
      <c r="QFD1333" s="4" t="s">
        <v>2877</v>
      </c>
      <c r="QFE1333" s="4" t="s">
        <v>2877</v>
      </c>
      <c r="QFF1333" s="4" t="s">
        <v>2877</v>
      </c>
      <c r="QFG1333" s="4" t="s">
        <v>2877</v>
      </c>
      <c r="QFH1333" s="4" t="s">
        <v>2877</v>
      </c>
      <c r="QFI1333" s="4" t="s">
        <v>2877</v>
      </c>
      <c r="QFJ1333" s="4" t="s">
        <v>2877</v>
      </c>
      <c r="QFK1333" s="4" t="s">
        <v>2877</v>
      </c>
      <c r="QFL1333" s="4" t="s">
        <v>2877</v>
      </c>
      <c r="QFM1333" s="4" t="s">
        <v>2877</v>
      </c>
      <c r="QFN1333" s="4" t="s">
        <v>2877</v>
      </c>
      <c r="QFO1333" s="4" t="s">
        <v>2877</v>
      </c>
      <c r="QFP1333" s="4" t="s">
        <v>2877</v>
      </c>
      <c r="QFQ1333" s="4" t="s">
        <v>2877</v>
      </c>
      <c r="QFR1333" s="4" t="s">
        <v>2877</v>
      </c>
      <c r="QFS1333" s="4" t="s">
        <v>2877</v>
      </c>
      <c r="QFT1333" s="4" t="s">
        <v>2877</v>
      </c>
      <c r="QFU1333" s="4" t="s">
        <v>2877</v>
      </c>
      <c r="QFV1333" s="4" t="s">
        <v>2877</v>
      </c>
      <c r="QFW1333" s="4" t="s">
        <v>2877</v>
      </c>
      <c r="QFX1333" s="4" t="s">
        <v>2877</v>
      </c>
      <c r="QFY1333" s="4" t="s">
        <v>2877</v>
      </c>
      <c r="QFZ1333" s="4" t="s">
        <v>2877</v>
      </c>
      <c r="QGA1333" s="4" t="s">
        <v>2877</v>
      </c>
      <c r="QGB1333" s="4" t="s">
        <v>2877</v>
      </c>
      <c r="QGC1333" s="4" t="s">
        <v>2877</v>
      </c>
      <c r="QGD1333" s="4" t="s">
        <v>2877</v>
      </c>
      <c r="QGE1333" s="4" t="s">
        <v>2877</v>
      </c>
      <c r="QGF1333" s="4" t="s">
        <v>2877</v>
      </c>
      <c r="QGG1333" s="4" t="s">
        <v>2877</v>
      </c>
      <c r="QGH1333" s="4" t="s">
        <v>2877</v>
      </c>
      <c r="QGI1333" s="4" t="s">
        <v>2877</v>
      </c>
      <c r="QGJ1333" s="4" t="s">
        <v>2877</v>
      </c>
      <c r="QGK1333" s="4" t="s">
        <v>2877</v>
      </c>
      <c r="QGL1333" s="4" t="s">
        <v>2877</v>
      </c>
      <c r="QGM1333" s="4" t="s">
        <v>2877</v>
      </c>
      <c r="QGN1333" s="4" t="s">
        <v>2877</v>
      </c>
      <c r="QGO1333" s="4" t="s">
        <v>2877</v>
      </c>
      <c r="QGP1333" s="4" t="s">
        <v>2877</v>
      </c>
      <c r="QGQ1333" s="4" t="s">
        <v>2877</v>
      </c>
      <c r="QGR1333" s="4" t="s">
        <v>2877</v>
      </c>
      <c r="QGS1333" s="4" t="s">
        <v>2877</v>
      </c>
      <c r="QGT1333" s="4" t="s">
        <v>2877</v>
      </c>
      <c r="QGU1333" s="4" t="s">
        <v>2877</v>
      </c>
      <c r="QGV1333" s="4" t="s">
        <v>2877</v>
      </c>
      <c r="QGW1333" s="4" t="s">
        <v>2877</v>
      </c>
      <c r="QGX1333" s="4" t="s">
        <v>2877</v>
      </c>
      <c r="QGY1333" s="4" t="s">
        <v>2877</v>
      </c>
      <c r="QGZ1333" s="4" t="s">
        <v>2877</v>
      </c>
      <c r="QHA1333" s="4" t="s">
        <v>2877</v>
      </c>
      <c r="QHB1333" s="4" t="s">
        <v>2877</v>
      </c>
      <c r="QHC1333" s="4" t="s">
        <v>2877</v>
      </c>
      <c r="QHD1333" s="4" t="s">
        <v>2877</v>
      </c>
      <c r="QHE1333" s="4" t="s">
        <v>2877</v>
      </c>
      <c r="QHF1333" s="4" t="s">
        <v>2877</v>
      </c>
      <c r="QHG1333" s="4" t="s">
        <v>2877</v>
      </c>
      <c r="QHH1333" s="4" t="s">
        <v>2877</v>
      </c>
      <c r="QHI1333" s="4" t="s">
        <v>2877</v>
      </c>
      <c r="QHJ1333" s="4" t="s">
        <v>2877</v>
      </c>
      <c r="QHK1333" s="4" t="s">
        <v>2877</v>
      </c>
      <c r="QHL1333" s="4" t="s">
        <v>2877</v>
      </c>
      <c r="QHM1333" s="4" t="s">
        <v>2877</v>
      </c>
      <c r="QHN1333" s="4" t="s">
        <v>2877</v>
      </c>
      <c r="QHO1333" s="4" t="s">
        <v>2877</v>
      </c>
      <c r="QHP1333" s="4" t="s">
        <v>2877</v>
      </c>
      <c r="QHQ1333" s="4" t="s">
        <v>2877</v>
      </c>
      <c r="QHR1333" s="4" t="s">
        <v>2877</v>
      </c>
      <c r="QHS1333" s="4" t="s">
        <v>2877</v>
      </c>
      <c r="QHT1333" s="4" t="s">
        <v>2877</v>
      </c>
      <c r="QHU1333" s="4" t="s">
        <v>2877</v>
      </c>
      <c r="QHV1333" s="4" t="s">
        <v>2877</v>
      </c>
      <c r="QHW1333" s="4" t="s">
        <v>2877</v>
      </c>
      <c r="QHX1333" s="4" t="s">
        <v>2877</v>
      </c>
      <c r="QHY1333" s="4" t="s">
        <v>2877</v>
      </c>
      <c r="QHZ1333" s="4" t="s">
        <v>2877</v>
      </c>
      <c r="QIA1333" s="4" t="s">
        <v>2877</v>
      </c>
      <c r="QIB1333" s="4" t="s">
        <v>2877</v>
      </c>
      <c r="QIC1333" s="4" t="s">
        <v>2877</v>
      </c>
      <c r="QID1333" s="4" t="s">
        <v>2877</v>
      </c>
      <c r="QIE1333" s="4" t="s">
        <v>2877</v>
      </c>
      <c r="QIF1333" s="4" t="s">
        <v>2877</v>
      </c>
      <c r="QIG1333" s="4" t="s">
        <v>2877</v>
      </c>
      <c r="QIH1333" s="4" t="s">
        <v>2877</v>
      </c>
      <c r="QII1333" s="4" t="s">
        <v>2877</v>
      </c>
      <c r="QIJ1333" s="4" t="s">
        <v>2877</v>
      </c>
      <c r="QIK1333" s="4" t="s">
        <v>2877</v>
      </c>
      <c r="QIL1333" s="4" t="s">
        <v>2877</v>
      </c>
      <c r="QIM1333" s="4" t="s">
        <v>2877</v>
      </c>
      <c r="QIN1333" s="4" t="s">
        <v>2877</v>
      </c>
      <c r="QIO1333" s="4" t="s">
        <v>2877</v>
      </c>
      <c r="QIP1333" s="4" t="s">
        <v>2877</v>
      </c>
      <c r="QIQ1333" s="4" t="s">
        <v>2877</v>
      </c>
      <c r="QIR1333" s="4" t="s">
        <v>2877</v>
      </c>
      <c r="QIS1333" s="4" t="s">
        <v>2877</v>
      </c>
      <c r="QIT1333" s="4" t="s">
        <v>2877</v>
      </c>
      <c r="QIU1333" s="4" t="s">
        <v>2877</v>
      </c>
      <c r="QIV1333" s="4" t="s">
        <v>2877</v>
      </c>
      <c r="QIW1333" s="4" t="s">
        <v>2877</v>
      </c>
      <c r="QIX1333" s="4" t="s">
        <v>2877</v>
      </c>
      <c r="QIY1333" s="4" t="s">
        <v>2877</v>
      </c>
      <c r="QIZ1333" s="4" t="s">
        <v>2877</v>
      </c>
      <c r="QJA1333" s="4" t="s">
        <v>2877</v>
      </c>
      <c r="QJB1333" s="4" t="s">
        <v>2877</v>
      </c>
      <c r="QJC1333" s="4" t="s">
        <v>2877</v>
      </c>
      <c r="QJD1333" s="4" t="s">
        <v>2877</v>
      </c>
      <c r="QJE1333" s="4" t="s">
        <v>2877</v>
      </c>
      <c r="QJF1333" s="4" t="s">
        <v>2877</v>
      </c>
      <c r="QJG1333" s="4" t="s">
        <v>2877</v>
      </c>
      <c r="QJH1333" s="4" t="s">
        <v>2877</v>
      </c>
      <c r="QJI1333" s="4" t="s">
        <v>2877</v>
      </c>
      <c r="QJJ1333" s="4" t="s">
        <v>2877</v>
      </c>
      <c r="QJK1333" s="4" t="s">
        <v>2877</v>
      </c>
      <c r="QJL1333" s="4" t="s">
        <v>2877</v>
      </c>
      <c r="QJM1333" s="4" t="s">
        <v>2877</v>
      </c>
      <c r="QJN1333" s="4" t="s">
        <v>2877</v>
      </c>
      <c r="QJO1333" s="4" t="s">
        <v>2877</v>
      </c>
      <c r="QJP1333" s="4" t="s">
        <v>2877</v>
      </c>
      <c r="QJQ1333" s="4" t="s">
        <v>2877</v>
      </c>
      <c r="QJR1333" s="4" t="s">
        <v>2877</v>
      </c>
      <c r="QJS1333" s="4" t="s">
        <v>2877</v>
      </c>
      <c r="QJT1333" s="4" t="s">
        <v>2877</v>
      </c>
      <c r="QJU1333" s="4" t="s">
        <v>2877</v>
      </c>
      <c r="QJV1333" s="4" t="s">
        <v>2877</v>
      </c>
      <c r="QJW1333" s="4" t="s">
        <v>2877</v>
      </c>
      <c r="QJX1333" s="4" t="s">
        <v>2877</v>
      </c>
      <c r="QJY1333" s="4" t="s">
        <v>2877</v>
      </c>
      <c r="QJZ1333" s="4" t="s">
        <v>2877</v>
      </c>
      <c r="QKA1333" s="4" t="s">
        <v>2877</v>
      </c>
      <c r="QKB1333" s="4" t="s">
        <v>2877</v>
      </c>
      <c r="QKC1333" s="4" t="s">
        <v>2877</v>
      </c>
      <c r="QKD1333" s="4" t="s">
        <v>2877</v>
      </c>
      <c r="QKE1333" s="4" t="s">
        <v>2877</v>
      </c>
      <c r="QKF1333" s="4" t="s">
        <v>2877</v>
      </c>
      <c r="QKG1333" s="4" t="s">
        <v>2877</v>
      </c>
      <c r="QKH1333" s="4" t="s">
        <v>2877</v>
      </c>
      <c r="QKI1333" s="4" t="s">
        <v>2877</v>
      </c>
      <c r="QKJ1333" s="4" t="s">
        <v>2877</v>
      </c>
      <c r="QKK1333" s="4" t="s">
        <v>2877</v>
      </c>
      <c r="QKL1333" s="4" t="s">
        <v>2877</v>
      </c>
      <c r="QKM1333" s="4" t="s">
        <v>2877</v>
      </c>
      <c r="QKN1333" s="4" t="s">
        <v>2877</v>
      </c>
      <c r="QKO1333" s="4" t="s">
        <v>2877</v>
      </c>
      <c r="QKP1333" s="4" t="s">
        <v>2877</v>
      </c>
      <c r="QKQ1333" s="4" t="s">
        <v>2877</v>
      </c>
      <c r="QKR1333" s="4" t="s">
        <v>2877</v>
      </c>
      <c r="QKS1333" s="4" t="s">
        <v>2877</v>
      </c>
      <c r="QKT1333" s="4" t="s">
        <v>2877</v>
      </c>
      <c r="QKU1333" s="4" t="s">
        <v>2877</v>
      </c>
      <c r="QKV1333" s="4" t="s">
        <v>2877</v>
      </c>
      <c r="QKW1333" s="4" t="s">
        <v>2877</v>
      </c>
      <c r="QKX1333" s="4" t="s">
        <v>2877</v>
      </c>
      <c r="QKY1333" s="4" t="s">
        <v>2877</v>
      </c>
      <c r="QKZ1333" s="4" t="s">
        <v>2877</v>
      </c>
      <c r="QLA1333" s="4" t="s">
        <v>2877</v>
      </c>
      <c r="QLB1333" s="4" t="s">
        <v>2877</v>
      </c>
      <c r="QLC1333" s="4" t="s">
        <v>2877</v>
      </c>
      <c r="QLD1333" s="4" t="s">
        <v>2877</v>
      </c>
      <c r="QLE1333" s="4" t="s">
        <v>2877</v>
      </c>
      <c r="QLF1333" s="4" t="s">
        <v>2877</v>
      </c>
      <c r="QLG1333" s="4" t="s">
        <v>2877</v>
      </c>
      <c r="QLH1333" s="4" t="s">
        <v>2877</v>
      </c>
      <c r="QLI1333" s="4" t="s">
        <v>2877</v>
      </c>
      <c r="QLJ1333" s="4" t="s">
        <v>2877</v>
      </c>
      <c r="QLK1333" s="4" t="s">
        <v>2877</v>
      </c>
      <c r="QLL1333" s="4" t="s">
        <v>2877</v>
      </c>
      <c r="QLM1333" s="4" t="s">
        <v>2877</v>
      </c>
      <c r="QLN1333" s="4" t="s">
        <v>2877</v>
      </c>
      <c r="QLO1333" s="4" t="s">
        <v>2877</v>
      </c>
      <c r="QLP1333" s="4" t="s">
        <v>2877</v>
      </c>
      <c r="QLQ1333" s="4" t="s">
        <v>2877</v>
      </c>
      <c r="QLR1333" s="4" t="s">
        <v>2877</v>
      </c>
      <c r="QLS1333" s="4" t="s">
        <v>2877</v>
      </c>
      <c r="QLT1333" s="4" t="s">
        <v>2877</v>
      </c>
      <c r="QLU1333" s="4" t="s">
        <v>2877</v>
      </c>
      <c r="QLV1333" s="4" t="s">
        <v>2877</v>
      </c>
      <c r="QLW1333" s="4" t="s">
        <v>2877</v>
      </c>
      <c r="QLX1333" s="4" t="s">
        <v>2877</v>
      </c>
      <c r="QLY1333" s="4" t="s">
        <v>2877</v>
      </c>
      <c r="QLZ1333" s="4" t="s">
        <v>2877</v>
      </c>
      <c r="QMA1333" s="4" t="s">
        <v>2877</v>
      </c>
      <c r="QMB1333" s="4" t="s">
        <v>2877</v>
      </c>
      <c r="QMC1333" s="4" t="s">
        <v>2877</v>
      </c>
      <c r="QMD1333" s="4" t="s">
        <v>2877</v>
      </c>
      <c r="QME1333" s="4" t="s">
        <v>2877</v>
      </c>
      <c r="QMF1333" s="4" t="s">
        <v>2877</v>
      </c>
      <c r="QMG1333" s="4" t="s">
        <v>2877</v>
      </c>
      <c r="QMH1333" s="4" t="s">
        <v>2877</v>
      </c>
      <c r="QMI1333" s="4" t="s">
        <v>2877</v>
      </c>
      <c r="QMJ1333" s="4" t="s">
        <v>2877</v>
      </c>
      <c r="QMK1333" s="4" t="s">
        <v>2877</v>
      </c>
      <c r="QML1333" s="4" t="s">
        <v>2877</v>
      </c>
      <c r="QMM1333" s="4" t="s">
        <v>2877</v>
      </c>
      <c r="QMN1333" s="4" t="s">
        <v>2877</v>
      </c>
      <c r="QMO1333" s="4" t="s">
        <v>2877</v>
      </c>
      <c r="QMP1333" s="4" t="s">
        <v>2877</v>
      </c>
      <c r="QMQ1333" s="4" t="s">
        <v>2877</v>
      </c>
      <c r="QMR1333" s="4" t="s">
        <v>2877</v>
      </c>
      <c r="QMS1333" s="4" t="s">
        <v>2877</v>
      </c>
      <c r="QMT1333" s="4" t="s">
        <v>2877</v>
      </c>
      <c r="QMU1333" s="4" t="s">
        <v>2877</v>
      </c>
      <c r="QMV1333" s="4" t="s">
        <v>2877</v>
      </c>
      <c r="QMW1333" s="4" t="s">
        <v>2877</v>
      </c>
      <c r="QMX1333" s="4" t="s">
        <v>2877</v>
      </c>
      <c r="QMY1333" s="4" t="s">
        <v>2877</v>
      </c>
      <c r="QMZ1333" s="4" t="s">
        <v>2877</v>
      </c>
      <c r="QNA1333" s="4" t="s">
        <v>2877</v>
      </c>
      <c r="QNB1333" s="4" t="s">
        <v>2877</v>
      </c>
      <c r="QNC1333" s="4" t="s">
        <v>2877</v>
      </c>
      <c r="QND1333" s="4" t="s">
        <v>2877</v>
      </c>
      <c r="QNE1333" s="4" t="s">
        <v>2877</v>
      </c>
      <c r="QNF1333" s="4" t="s">
        <v>2877</v>
      </c>
      <c r="QNG1333" s="4" t="s">
        <v>2877</v>
      </c>
      <c r="QNH1333" s="4" t="s">
        <v>2877</v>
      </c>
      <c r="QNI1333" s="4" t="s">
        <v>2877</v>
      </c>
      <c r="QNJ1333" s="4" t="s">
        <v>2877</v>
      </c>
      <c r="QNK1333" s="4" t="s">
        <v>2877</v>
      </c>
      <c r="QNL1333" s="4" t="s">
        <v>2877</v>
      </c>
      <c r="QNM1333" s="4" t="s">
        <v>2877</v>
      </c>
      <c r="QNN1333" s="4" t="s">
        <v>2877</v>
      </c>
      <c r="QNO1333" s="4" t="s">
        <v>2877</v>
      </c>
      <c r="QNP1333" s="4" t="s">
        <v>2877</v>
      </c>
      <c r="QNQ1333" s="4" t="s">
        <v>2877</v>
      </c>
      <c r="QNR1333" s="4" t="s">
        <v>2877</v>
      </c>
      <c r="QNS1333" s="4" t="s">
        <v>2877</v>
      </c>
      <c r="QNT1333" s="4" t="s">
        <v>2877</v>
      </c>
      <c r="QNU1333" s="4" t="s">
        <v>2877</v>
      </c>
      <c r="QNV1333" s="4" t="s">
        <v>2877</v>
      </c>
      <c r="QNW1333" s="4" t="s">
        <v>2877</v>
      </c>
      <c r="QNX1333" s="4" t="s">
        <v>2877</v>
      </c>
      <c r="QNY1333" s="4" t="s">
        <v>2877</v>
      </c>
      <c r="QNZ1333" s="4" t="s">
        <v>2877</v>
      </c>
      <c r="QOA1333" s="4" t="s">
        <v>2877</v>
      </c>
      <c r="QOB1333" s="4" t="s">
        <v>2877</v>
      </c>
      <c r="QOC1333" s="4" t="s">
        <v>2877</v>
      </c>
      <c r="QOD1333" s="4" t="s">
        <v>2877</v>
      </c>
      <c r="QOE1333" s="4" t="s">
        <v>2877</v>
      </c>
      <c r="QOF1333" s="4" t="s">
        <v>2877</v>
      </c>
      <c r="QOG1333" s="4" t="s">
        <v>2877</v>
      </c>
      <c r="QOH1333" s="4" t="s">
        <v>2877</v>
      </c>
      <c r="QOI1333" s="4" t="s">
        <v>2877</v>
      </c>
      <c r="QOJ1333" s="4" t="s">
        <v>2877</v>
      </c>
      <c r="QOK1333" s="4" t="s">
        <v>2877</v>
      </c>
      <c r="QOL1333" s="4" t="s">
        <v>2877</v>
      </c>
      <c r="QOM1333" s="4" t="s">
        <v>2877</v>
      </c>
      <c r="QON1333" s="4" t="s">
        <v>2877</v>
      </c>
      <c r="QOO1333" s="4" t="s">
        <v>2877</v>
      </c>
      <c r="QOP1333" s="4" t="s">
        <v>2877</v>
      </c>
      <c r="QOQ1333" s="4" t="s">
        <v>2877</v>
      </c>
      <c r="QOR1333" s="4" t="s">
        <v>2877</v>
      </c>
      <c r="QOS1333" s="4" t="s">
        <v>2877</v>
      </c>
      <c r="QOT1333" s="4" t="s">
        <v>2877</v>
      </c>
      <c r="QOU1333" s="4" t="s">
        <v>2877</v>
      </c>
      <c r="QOV1333" s="4" t="s">
        <v>2877</v>
      </c>
      <c r="QOW1333" s="4" t="s">
        <v>2877</v>
      </c>
      <c r="QOX1333" s="4" t="s">
        <v>2877</v>
      </c>
      <c r="QOY1333" s="4" t="s">
        <v>2877</v>
      </c>
      <c r="QOZ1333" s="4" t="s">
        <v>2877</v>
      </c>
      <c r="QPA1333" s="4" t="s">
        <v>2877</v>
      </c>
      <c r="QPB1333" s="4" t="s">
        <v>2877</v>
      </c>
      <c r="QPC1333" s="4" t="s">
        <v>2877</v>
      </c>
      <c r="QPD1333" s="4" t="s">
        <v>2877</v>
      </c>
      <c r="QPE1333" s="4" t="s">
        <v>2877</v>
      </c>
      <c r="QPF1333" s="4" t="s">
        <v>2877</v>
      </c>
      <c r="QPG1333" s="4" t="s">
        <v>2877</v>
      </c>
      <c r="QPH1333" s="4" t="s">
        <v>2877</v>
      </c>
      <c r="QPI1333" s="4" t="s">
        <v>2877</v>
      </c>
      <c r="QPJ1333" s="4" t="s">
        <v>2877</v>
      </c>
      <c r="QPK1333" s="4" t="s">
        <v>2877</v>
      </c>
      <c r="QPL1333" s="4" t="s">
        <v>2877</v>
      </c>
      <c r="QPM1333" s="4" t="s">
        <v>2877</v>
      </c>
      <c r="QPN1333" s="4" t="s">
        <v>2877</v>
      </c>
      <c r="QPO1333" s="4" t="s">
        <v>2877</v>
      </c>
      <c r="QPP1333" s="4" t="s">
        <v>2877</v>
      </c>
      <c r="QPQ1333" s="4" t="s">
        <v>2877</v>
      </c>
      <c r="QPR1333" s="4" t="s">
        <v>2877</v>
      </c>
      <c r="QPS1333" s="4" t="s">
        <v>2877</v>
      </c>
      <c r="QPT1333" s="4" t="s">
        <v>2877</v>
      </c>
      <c r="QPU1333" s="4" t="s">
        <v>2877</v>
      </c>
      <c r="QPV1333" s="4" t="s">
        <v>2877</v>
      </c>
      <c r="QPW1333" s="4" t="s">
        <v>2877</v>
      </c>
      <c r="QPX1333" s="4" t="s">
        <v>2877</v>
      </c>
      <c r="QPY1333" s="4" t="s">
        <v>2877</v>
      </c>
      <c r="QPZ1333" s="4" t="s">
        <v>2877</v>
      </c>
      <c r="QQA1333" s="4" t="s">
        <v>2877</v>
      </c>
      <c r="QQB1333" s="4" t="s">
        <v>2877</v>
      </c>
      <c r="QQC1333" s="4" t="s">
        <v>2877</v>
      </c>
      <c r="QQD1333" s="4" t="s">
        <v>2877</v>
      </c>
      <c r="QQE1333" s="4" t="s">
        <v>2877</v>
      </c>
      <c r="QQF1333" s="4" t="s">
        <v>2877</v>
      </c>
      <c r="QQG1333" s="4" t="s">
        <v>2877</v>
      </c>
      <c r="QQH1333" s="4" t="s">
        <v>2877</v>
      </c>
      <c r="QQI1333" s="4" t="s">
        <v>2877</v>
      </c>
      <c r="QQJ1333" s="4" t="s">
        <v>2877</v>
      </c>
      <c r="QQK1333" s="4" t="s">
        <v>2877</v>
      </c>
      <c r="QQL1333" s="4" t="s">
        <v>2877</v>
      </c>
      <c r="QQM1333" s="4" t="s">
        <v>2877</v>
      </c>
      <c r="QQN1333" s="4" t="s">
        <v>2877</v>
      </c>
      <c r="QQO1333" s="4" t="s">
        <v>2877</v>
      </c>
      <c r="QQP1333" s="4" t="s">
        <v>2877</v>
      </c>
      <c r="QQQ1333" s="4" t="s">
        <v>2877</v>
      </c>
      <c r="QQR1333" s="4" t="s">
        <v>2877</v>
      </c>
      <c r="QQS1333" s="4" t="s">
        <v>2877</v>
      </c>
      <c r="QQT1333" s="4" t="s">
        <v>2877</v>
      </c>
      <c r="QQU1333" s="4" t="s">
        <v>2877</v>
      </c>
      <c r="QQV1333" s="4" t="s">
        <v>2877</v>
      </c>
      <c r="QQW1333" s="4" t="s">
        <v>2877</v>
      </c>
      <c r="QQX1333" s="4" t="s">
        <v>2877</v>
      </c>
      <c r="QQY1333" s="4" t="s">
        <v>2877</v>
      </c>
      <c r="QQZ1333" s="4" t="s">
        <v>2877</v>
      </c>
      <c r="QRA1333" s="4" t="s">
        <v>2877</v>
      </c>
      <c r="QRB1333" s="4" t="s">
        <v>2877</v>
      </c>
      <c r="QRC1333" s="4" t="s">
        <v>2877</v>
      </c>
      <c r="QRD1333" s="4" t="s">
        <v>2877</v>
      </c>
      <c r="QRE1333" s="4" t="s">
        <v>2877</v>
      </c>
      <c r="QRF1333" s="4" t="s">
        <v>2877</v>
      </c>
      <c r="QRG1333" s="4" t="s">
        <v>2877</v>
      </c>
      <c r="QRH1333" s="4" t="s">
        <v>2877</v>
      </c>
      <c r="QRI1333" s="4" t="s">
        <v>2877</v>
      </c>
      <c r="QRJ1333" s="4" t="s">
        <v>2877</v>
      </c>
      <c r="QRK1333" s="4" t="s">
        <v>2877</v>
      </c>
      <c r="QRL1333" s="4" t="s">
        <v>2877</v>
      </c>
      <c r="QRM1333" s="4" t="s">
        <v>2877</v>
      </c>
      <c r="QRN1333" s="4" t="s">
        <v>2877</v>
      </c>
      <c r="QRO1333" s="4" t="s">
        <v>2877</v>
      </c>
      <c r="QRP1333" s="4" t="s">
        <v>2877</v>
      </c>
      <c r="QRQ1333" s="4" t="s">
        <v>2877</v>
      </c>
      <c r="QRR1333" s="4" t="s">
        <v>2877</v>
      </c>
      <c r="QRS1333" s="4" t="s">
        <v>2877</v>
      </c>
      <c r="QRT1333" s="4" t="s">
        <v>2877</v>
      </c>
      <c r="QRU1333" s="4" t="s">
        <v>2877</v>
      </c>
      <c r="QRV1333" s="4" t="s">
        <v>2877</v>
      </c>
      <c r="QRW1333" s="4" t="s">
        <v>2877</v>
      </c>
      <c r="QRX1333" s="4" t="s">
        <v>2877</v>
      </c>
      <c r="QRY1333" s="4" t="s">
        <v>2877</v>
      </c>
      <c r="QRZ1333" s="4" t="s">
        <v>2877</v>
      </c>
      <c r="QSA1333" s="4" t="s">
        <v>2877</v>
      </c>
      <c r="QSB1333" s="4" t="s">
        <v>2877</v>
      </c>
      <c r="QSC1333" s="4" t="s">
        <v>2877</v>
      </c>
      <c r="QSD1333" s="4" t="s">
        <v>2877</v>
      </c>
      <c r="QSE1333" s="4" t="s">
        <v>2877</v>
      </c>
      <c r="QSF1333" s="4" t="s">
        <v>2877</v>
      </c>
      <c r="QSG1333" s="4" t="s">
        <v>2877</v>
      </c>
      <c r="QSH1333" s="4" t="s">
        <v>2877</v>
      </c>
      <c r="QSI1333" s="4" t="s">
        <v>2877</v>
      </c>
      <c r="QSJ1333" s="4" t="s">
        <v>2877</v>
      </c>
      <c r="QSK1333" s="4" t="s">
        <v>2877</v>
      </c>
      <c r="QSL1333" s="4" t="s">
        <v>2877</v>
      </c>
      <c r="QSM1333" s="4" t="s">
        <v>2877</v>
      </c>
      <c r="QSN1333" s="4" t="s">
        <v>2877</v>
      </c>
      <c r="QSO1333" s="4" t="s">
        <v>2877</v>
      </c>
      <c r="QSP1333" s="4" t="s">
        <v>2877</v>
      </c>
      <c r="QSQ1333" s="4" t="s">
        <v>2877</v>
      </c>
      <c r="QSR1333" s="4" t="s">
        <v>2877</v>
      </c>
      <c r="QSS1333" s="4" t="s">
        <v>2877</v>
      </c>
      <c r="QST1333" s="4" t="s">
        <v>2877</v>
      </c>
      <c r="QSU1333" s="4" t="s">
        <v>2877</v>
      </c>
      <c r="QSV1333" s="4" t="s">
        <v>2877</v>
      </c>
      <c r="QSW1333" s="4" t="s">
        <v>2877</v>
      </c>
      <c r="QSX1333" s="4" t="s">
        <v>2877</v>
      </c>
      <c r="QSY1333" s="4" t="s">
        <v>2877</v>
      </c>
      <c r="QSZ1333" s="4" t="s">
        <v>2877</v>
      </c>
      <c r="QTA1333" s="4" t="s">
        <v>2877</v>
      </c>
      <c r="QTB1333" s="4" t="s">
        <v>2877</v>
      </c>
      <c r="QTC1333" s="4" t="s">
        <v>2877</v>
      </c>
      <c r="QTD1333" s="4" t="s">
        <v>2877</v>
      </c>
      <c r="QTE1333" s="4" t="s">
        <v>2877</v>
      </c>
      <c r="QTF1333" s="4" t="s">
        <v>2877</v>
      </c>
      <c r="QTG1333" s="4" t="s">
        <v>2877</v>
      </c>
      <c r="QTH1333" s="4" t="s">
        <v>2877</v>
      </c>
      <c r="QTI1333" s="4" t="s">
        <v>2877</v>
      </c>
      <c r="QTJ1333" s="4" t="s">
        <v>2877</v>
      </c>
      <c r="QTK1333" s="4" t="s">
        <v>2877</v>
      </c>
      <c r="QTL1333" s="4" t="s">
        <v>2877</v>
      </c>
      <c r="QTM1333" s="4" t="s">
        <v>2877</v>
      </c>
      <c r="QTN1333" s="4" t="s">
        <v>2877</v>
      </c>
      <c r="QTO1333" s="4" t="s">
        <v>2877</v>
      </c>
      <c r="QTP1333" s="4" t="s">
        <v>2877</v>
      </c>
      <c r="QTQ1333" s="4" t="s">
        <v>2877</v>
      </c>
      <c r="QTR1333" s="4" t="s">
        <v>2877</v>
      </c>
      <c r="QTS1333" s="4" t="s">
        <v>2877</v>
      </c>
      <c r="QTT1333" s="4" t="s">
        <v>2877</v>
      </c>
      <c r="QTU1333" s="4" t="s">
        <v>2877</v>
      </c>
      <c r="QTV1333" s="4" t="s">
        <v>2877</v>
      </c>
      <c r="QTW1333" s="4" t="s">
        <v>2877</v>
      </c>
      <c r="QTX1333" s="4" t="s">
        <v>2877</v>
      </c>
      <c r="QTY1333" s="4" t="s">
        <v>2877</v>
      </c>
      <c r="QTZ1333" s="4" t="s">
        <v>2877</v>
      </c>
      <c r="QUA1333" s="4" t="s">
        <v>2877</v>
      </c>
      <c r="QUB1333" s="4" t="s">
        <v>2877</v>
      </c>
      <c r="QUC1333" s="4" t="s">
        <v>2877</v>
      </c>
      <c r="QUD1333" s="4" t="s">
        <v>2877</v>
      </c>
      <c r="QUE1333" s="4" t="s">
        <v>2877</v>
      </c>
      <c r="QUF1333" s="4" t="s">
        <v>2877</v>
      </c>
      <c r="QUG1333" s="4" t="s">
        <v>2877</v>
      </c>
      <c r="QUH1333" s="4" t="s">
        <v>2877</v>
      </c>
      <c r="QUI1333" s="4" t="s">
        <v>2877</v>
      </c>
      <c r="QUJ1333" s="4" t="s">
        <v>2877</v>
      </c>
      <c r="QUK1333" s="4" t="s">
        <v>2877</v>
      </c>
      <c r="QUL1333" s="4" t="s">
        <v>2877</v>
      </c>
      <c r="QUM1333" s="4" t="s">
        <v>2877</v>
      </c>
      <c r="QUN1333" s="4" t="s">
        <v>2877</v>
      </c>
      <c r="QUO1333" s="4" t="s">
        <v>2877</v>
      </c>
      <c r="QUP1333" s="4" t="s">
        <v>2877</v>
      </c>
      <c r="QUQ1333" s="4" t="s">
        <v>2877</v>
      </c>
      <c r="QUR1333" s="4" t="s">
        <v>2877</v>
      </c>
      <c r="QUS1333" s="4" t="s">
        <v>2877</v>
      </c>
      <c r="QUT1333" s="4" t="s">
        <v>2877</v>
      </c>
      <c r="QUU1333" s="4" t="s">
        <v>2877</v>
      </c>
      <c r="QUV1333" s="4" t="s">
        <v>2877</v>
      </c>
      <c r="QUW1333" s="4" t="s">
        <v>2877</v>
      </c>
      <c r="QUX1333" s="4" t="s">
        <v>2877</v>
      </c>
      <c r="QUY1333" s="4" t="s">
        <v>2877</v>
      </c>
      <c r="QUZ1333" s="4" t="s">
        <v>2877</v>
      </c>
      <c r="QVA1333" s="4" t="s">
        <v>2877</v>
      </c>
      <c r="QVB1333" s="4" t="s">
        <v>2877</v>
      </c>
      <c r="QVC1333" s="4" t="s">
        <v>2877</v>
      </c>
      <c r="QVD1333" s="4" t="s">
        <v>2877</v>
      </c>
      <c r="QVE1333" s="4" t="s">
        <v>2877</v>
      </c>
      <c r="QVF1333" s="4" t="s">
        <v>2877</v>
      </c>
      <c r="QVG1333" s="4" t="s">
        <v>2877</v>
      </c>
      <c r="QVH1333" s="4" t="s">
        <v>2877</v>
      </c>
      <c r="QVI1333" s="4" t="s">
        <v>2877</v>
      </c>
      <c r="QVJ1333" s="4" t="s">
        <v>2877</v>
      </c>
      <c r="QVK1333" s="4" t="s">
        <v>2877</v>
      </c>
      <c r="QVL1333" s="4" t="s">
        <v>2877</v>
      </c>
      <c r="QVM1333" s="4" t="s">
        <v>2877</v>
      </c>
      <c r="QVN1333" s="4" t="s">
        <v>2877</v>
      </c>
      <c r="QVO1333" s="4" t="s">
        <v>2877</v>
      </c>
      <c r="QVP1333" s="4" t="s">
        <v>2877</v>
      </c>
      <c r="QVQ1333" s="4" t="s">
        <v>2877</v>
      </c>
      <c r="QVR1333" s="4" t="s">
        <v>2877</v>
      </c>
      <c r="QVS1333" s="4" t="s">
        <v>2877</v>
      </c>
      <c r="QVT1333" s="4" t="s">
        <v>2877</v>
      </c>
      <c r="QVU1333" s="4" t="s">
        <v>2877</v>
      </c>
      <c r="QVV1333" s="4" t="s">
        <v>2877</v>
      </c>
      <c r="QVW1333" s="4" t="s">
        <v>2877</v>
      </c>
      <c r="QVX1333" s="4" t="s">
        <v>2877</v>
      </c>
      <c r="QVY1333" s="4" t="s">
        <v>2877</v>
      </c>
      <c r="QVZ1333" s="4" t="s">
        <v>2877</v>
      </c>
      <c r="QWA1333" s="4" t="s">
        <v>2877</v>
      </c>
      <c r="QWB1333" s="4" t="s">
        <v>2877</v>
      </c>
      <c r="QWC1333" s="4" t="s">
        <v>2877</v>
      </c>
      <c r="QWD1333" s="4" t="s">
        <v>2877</v>
      </c>
      <c r="QWE1333" s="4" t="s">
        <v>2877</v>
      </c>
      <c r="QWF1333" s="4" t="s">
        <v>2877</v>
      </c>
      <c r="QWG1333" s="4" t="s">
        <v>2877</v>
      </c>
      <c r="QWH1333" s="4" t="s">
        <v>2877</v>
      </c>
      <c r="QWI1333" s="4" t="s">
        <v>2877</v>
      </c>
      <c r="QWJ1333" s="4" t="s">
        <v>2877</v>
      </c>
      <c r="QWK1333" s="4" t="s">
        <v>2877</v>
      </c>
      <c r="QWL1333" s="4" t="s">
        <v>2877</v>
      </c>
      <c r="QWM1333" s="4" t="s">
        <v>2877</v>
      </c>
      <c r="QWN1333" s="4" t="s">
        <v>2877</v>
      </c>
      <c r="QWO1333" s="4" t="s">
        <v>2877</v>
      </c>
      <c r="QWP1333" s="4" t="s">
        <v>2877</v>
      </c>
      <c r="QWQ1333" s="4" t="s">
        <v>2877</v>
      </c>
      <c r="QWR1333" s="4" t="s">
        <v>2877</v>
      </c>
      <c r="QWS1333" s="4" t="s">
        <v>2877</v>
      </c>
      <c r="QWT1333" s="4" t="s">
        <v>2877</v>
      </c>
      <c r="QWU1333" s="4" t="s">
        <v>2877</v>
      </c>
      <c r="QWV1333" s="4" t="s">
        <v>2877</v>
      </c>
      <c r="QWW1333" s="4" t="s">
        <v>2877</v>
      </c>
      <c r="QWX1333" s="4" t="s">
        <v>2877</v>
      </c>
      <c r="QWY1333" s="4" t="s">
        <v>2877</v>
      </c>
      <c r="QWZ1333" s="4" t="s">
        <v>2877</v>
      </c>
      <c r="QXA1333" s="4" t="s">
        <v>2877</v>
      </c>
      <c r="QXB1333" s="4" t="s">
        <v>2877</v>
      </c>
      <c r="QXC1333" s="4" t="s">
        <v>2877</v>
      </c>
      <c r="QXD1333" s="4" t="s">
        <v>2877</v>
      </c>
      <c r="QXE1333" s="4" t="s">
        <v>2877</v>
      </c>
      <c r="QXF1333" s="4" t="s">
        <v>2877</v>
      </c>
      <c r="QXG1333" s="4" t="s">
        <v>2877</v>
      </c>
      <c r="QXH1333" s="4" t="s">
        <v>2877</v>
      </c>
      <c r="QXI1333" s="4" t="s">
        <v>2877</v>
      </c>
      <c r="QXJ1333" s="4" t="s">
        <v>2877</v>
      </c>
      <c r="QXK1333" s="4" t="s">
        <v>2877</v>
      </c>
      <c r="QXL1333" s="4" t="s">
        <v>2877</v>
      </c>
      <c r="QXM1333" s="4" t="s">
        <v>2877</v>
      </c>
      <c r="QXN1333" s="4" t="s">
        <v>2877</v>
      </c>
      <c r="QXO1333" s="4" t="s">
        <v>2877</v>
      </c>
      <c r="QXP1333" s="4" t="s">
        <v>2877</v>
      </c>
      <c r="QXQ1333" s="4" t="s">
        <v>2877</v>
      </c>
      <c r="QXR1333" s="4" t="s">
        <v>2877</v>
      </c>
      <c r="QXS1333" s="4" t="s">
        <v>2877</v>
      </c>
      <c r="QXT1333" s="4" t="s">
        <v>2877</v>
      </c>
      <c r="QXU1333" s="4" t="s">
        <v>2877</v>
      </c>
      <c r="QXV1333" s="4" t="s">
        <v>2877</v>
      </c>
      <c r="QXW1333" s="4" t="s">
        <v>2877</v>
      </c>
      <c r="QXX1333" s="4" t="s">
        <v>2877</v>
      </c>
      <c r="QXY1333" s="4" t="s">
        <v>2877</v>
      </c>
      <c r="QXZ1333" s="4" t="s">
        <v>2877</v>
      </c>
      <c r="QYA1333" s="4" t="s">
        <v>2877</v>
      </c>
      <c r="QYB1333" s="4" t="s">
        <v>2877</v>
      </c>
      <c r="QYC1333" s="4" t="s">
        <v>2877</v>
      </c>
      <c r="QYD1333" s="4" t="s">
        <v>2877</v>
      </c>
      <c r="QYE1333" s="4" t="s">
        <v>2877</v>
      </c>
      <c r="QYF1333" s="4" t="s">
        <v>2877</v>
      </c>
      <c r="QYG1333" s="4" t="s">
        <v>2877</v>
      </c>
      <c r="QYH1333" s="4" t="s">
        <v>2877</v>
      </c>
      <c r="QYI1333" s="4" t="s">
        <v>2877</v>
      </c>
      <c r="QYJ1333" s="4" t="s">
        <v>2877</v>
      </c>
      <c r="QYK1333" s="4" t="s">
        <v>2877</v>
      </c>
      <c r="QYL1333" s="4" t="s">
        <v>2877</v>
      </c>
      <c r="QYM1333" s="4" t="s">
        <v>2877</v>
      </c>
      <c r="QYN1333" s="4" t="s">
        <v>2877</v>
      </c>
      <c r="QYO1333" s="4" t="s">
        <v>2877</v>
      </c>
      <c r="QYP1333" s="4" t="s">
        <v>2877</v>
      </c>
      <c r="QYQ1333" s="4" t="s">
        <v>2877</v>
      </c>
      <c r="QYR1333" s="4" t="s">
        <v>2877</v>
      </c>
      <c r="QYS1333" s="4" t="s">
        <v>2877</v>
      </c>
      <c r="QYT1333" s="4" t="s">
        <v>2877</v>
      </c>
      <c r="QYU1333" s="4" t="s">
        <v>2877</v>
      </c>
      <c r="QYV1333" s="4" t="s">
        <v>2877</v>
      </c>
      <c r="QYW1333" s="4" t="s">
        <v>2877</v>
      </c>
      <c r="QYX1333" s="4" t="s">
        <v>2877</v>
      </c>
      <c r="QYY1333" s="4" t="s">
        <v>2877</v>
      </c>
      <c r="QYZ1333" s="4" t="s">
        <v>2877</v>
      </c>
      <c r="QZA1333" s="4" t="s">
        <v>2877</v>
      </c>
      <c r="QZB1333" s="4" t="s">
        <v>2877</v>
      </c>
      <c r="QZC1333" s="4" t="s">
        <v>2877</v>
      </c>
      <c r="QZD1333" s="4" t="s">
        <v>2877</v>
      </c>
      <c r="QZE1333" s="4" t="s">
        <v>2877</v>
      </c>
      <c r="QZF1333" s="4" t="s">
        <v>2877</v>
      </c>
      <c r="QZG1333" s="4" t="s">
        <v>2877</v>
      </c>
      <c r="QZH1333" s="4" t="s">
        <v>2877</v>
      </c>
      <c r="QZI1333" s="4" t="s">
        <v>2877</v>
      </c>
      <c r="QZJ1333" s="4" t="s">
        <v>2877</v>
      </c>
      <c r="QZK1333" s="4" t="s">
        <v>2877</v>
      </c>
      <c r="QZL1333" s="4" t="s">
        <v>2877</v>
      </c>
      <c r="QZM1333" s="4" t="s">
        <v>2877</v>
      </c>
      <c r="QZN1333" s="4" t="s">
        <v>2877</v>
      </c>
      <c r="QZO1333" s="4" t="s">
        <v>2877</v>
      </c>
      <c r="QZP1333" s="4" t="s">
        <v>2877</v>
      </c>
      <c r="QZQ1333" s="4" t="s">
        <v>2877</v>
      </c>
      <c r="QZR1333" s="4" t="s">
        <v>2877</v>
      </c>
      <c r="QZS1333" s="4" t="s">
        <v>2877</v>
      </c>
      <c r="QZT1333" s="4" t="s">
        <v>2877</v>
      </c>
      <c r="QZU1333" s="4" t="s">
        <v>2877</v>
      </c>
      <c r="QZV1333" s="4" t="s">
        <v>2877</v>
      </c>
      <c r="QZW1333" s="4" t="s">
        <v>2877</v>
      </c>
      <c r="QZX1333" s="4" t="s">
        <v>2877</v>
      </c>
      <c r="QZY1333" s="4" t="s">
        <v>2877</v>
      </c>
      <c r="QZZ1333" s="4" t="s">
        <v>2877</v>
      </c>
      <c r="RAA1333" s="4" t="s">
        <v>2877</v>
      </c>
      <c r="RAB1333" s="4" t="s">
        <v>2877</v>
      </c>
      <c r="RAC1333" s="4" t="s">
        <v>2877</v>
      </c>
      <c r="RAD1333" s="4" t="s">
        <v>2877</v>
      </c>
      <c r="RAE1333" s="4" t="s">
        <v>2877</v>
      </c>
      <c r="RAF1333" s="4" t="s">
        <v>2877</v>
      </c>
      <c r="RAG1333" s="4" t="s">
        <v>2877</v>
      </c>
      <c r="RAH1333" s="4" t="s">
        <v>2877</v>
      </c>
      <c r="RAI1333" s="4" t="s">
        <v>2877</v>
      </c>
      <c r="RAJ1333" s="4" t="s">
        <v>2877</v>
      </c>
      <c r="RAK1333" s="4" t="s">
        <v>2877</v>
      </c>
      <c r="RAL1333" s="4" t="s">
        <v>2877</v>
      </c>
      <c r="RAM1333" s="4" t="s">
        <v>2877</v>
      </c>
      <c r="RAN1333" s="4" t="s">
        <v>2877</v>
      </c>
      <c r="RAO1333" s="4" t="s">
        <v>2877</v>
      </c>
      <c r="RAP1333" s="4" t="s">
        <v>2877</v>
      </c>
      <c r="RAQ1333" s="4" t="s">
        <v>2877</v>
      </c>
      <c r="RAR1333" s="4" t="s">
        <v>2877</v>
      </c>
      <c r="RAS1333" s="4" t="s">
        <v>2877</v>
      </c>
      <c r="RAT1333" s="4" t="s">
        <v>2877</v>
      </c>
      <c r="RAU1333" s="4" t="s">
        <v>2877</v>
      </c>
      <c r="RAV1333" s="4" t="s">
        <v>2877</v>
      </c>
      <c r="RAW1333" s="4" t="s">
        <v>2877</v>
      </c>
      <c r="RAX1333" s="4" t="s">
        <v>2877</v>
      </c>
      <c r="RAY1333" s="4" t="s">
        <v>2877</v>
      </c>
      <c r="RAZ1333" s="4" t="s">
        <v>2877</v>
      </c>
      <c r="RBA1333" s="4" t="s">
        <v>2877</v>
      </c>
      <c r="RBB1333" s="4" t="s">
        <v>2877</v>
      </c>
      <c r="RBC1333" s="4" t="s">
        <v>2877</v>
      </c>
      <c r="RBD1333" s="4" t="s">
        <v>2877</v>
      </c>
      <c r="RBE1333" s="4" t="s">
        <v>2877</v>
      </c>
      <c r="RBF1333" s="4" t="s">
        <v>2877</v>
      </c>
      <c r="RBG1333" s="4" t="s">
        <v>2877</v>
      </c>
      <c r="RBH1333" s="4" t="s">
        <v>2877</v>
      </c>
      <c r="RBI1333" s="4" t="s">
        <v>2877</v>
      </c>
      <c r="RBJ1333" s="4" t="s">
        <v>2877</v>
      </c>
      <c r="RBK1333" s="4" t="s">
        <v>2877</v>
      </c>
      <c r="RBL1333" s="4" t="s">
        <v>2877</v>
      </c>
      <c r="RBM1333" s="4" t="s">
        <v>2877</v>
      </c>
      <c r="RBN1333" s="4" t="s">
        <v>2877</v>
      </c>
      <c r="RBO1333" s="4" t="s">
        <v>2877</v>
      </c>
      <c r="RBP1333" s="4" t="s">
        <v>2877</v>
      </c>
      <c r="RBQ1333" s="4" t="s">
        <v>2877</v>
      </c>
      <c r="RBR1333" s="4" t="s">
        <v>2877</v>
      </c>
      <c r="RBS1333" s="4" t="s">
        <v>2877</v>
      </c>
      <c r="RBT1333" s="4" t="s">
        <v>2877</v>
      </c>
      <c r="RBU1333" s="4" t="s">
        <v>2877</v>
      </c>
      <c r="RBV1333" s="4" t="s">
        <v>2877</v>
      </c>
      <c r="RBW1333" s="4" t="s">
        <v>2877</v>
      </c>
      <c r="RBX1333" s="4" t="s">
        <v>2877</v>
      </c>
      <c r="RBY1333" s="4" t="s">
        <v>2877</v>
      </c>
      <c r="RBZ1333" s="4" t="s">
        <v>2877</v>
      </c>
      <c r="RCA1333" s="4" t="s">
        <v>2877</v>
      </c>
      <c r="RCB1333" s="4" t="s">
        <v>2877</v>
      </c>
      <c r="RCC1333" s="4" t="s">
        <v>2877</v>
      </c>
      <c r="RCD1333" s="4" t="s">
        <v>2877</v>
      </c>
      <c r="RCE1333" s="4" t="s">
        <v>2877</v>
      </c>
      <c r="RCF1333" s="4" t="s">
        <v>2877</v>
      </c>
      <c r="RCG1333" s="4" t="s">
        <v>2877</v>
      </c>
      <c r="RCH1333" s="4" t="s">
        <v>2877</v>
      </c>
      <c r="RCI1333" s="4" t="s">
        <v>2877</v>
      </c>
      <c r="RCJ1333" s="4" t="s">
        <v>2877</v>
      </c>
      <c r="RCK1333" s="4" t="s">
        <v>2877</v>
      </c>
      <c r="RCL1333" s="4" t="s">
        <v>2877</v>
      </c>
      <c r="RCM1333" s="4" t="s">
        <v>2877</v>
      </c>
      <c r="RCN1333" s="4" t="s">
        <v>2877</v>
      </c>
      <c r="RCO1333" s="4" t="s">
        <v>2877</v>
      </c>
      <c r="RCP1333" s="4" t="s">
        <v>2877</v>
      </c>
      <c r="RCQ1333" s="4" t="s">
        <v>2877</v>
      </c>
      <c r="RCR1333" s="4" t="s">
        <v>2877</v>
      </c>
      <c r="RCS1333" s="4" t="s">
        <v>2877</v>
      </c>
      <c r="RCT1333" s="4" t="s">
        <v>2877</v>
      </c>
      <c r="RCU1333" s="4" t="s">
        <v>2877</v>
      </c>
      <c r="RCV1333" s="4" t="s">
        <v>2877</v>
      </c>
      <c r="RCW1333" s="4" t="s">
        <v>2877</v>
      </c>
      <c r="RCX1333" s="4" t="s">
        <v>2877</v>
      </c>
      <c r="RCY1333" s="4" t="s">
        <v>2877</v>
      </c>
      <c r="RCZ1333" s="4" t="s">
        <v>2877</v>
      </c>
      <c r="RDA1333" s="4" t="s">
        <v>2877</v>
      </c>
      <c r="RDB1333" s="4" t="s">
        <v>2877</v>
      </c>
      <c r="RDC1333" s="4" t="s">
        <v>2877</v>
      </c>
      <c r="RDD1333" s="4" t="s">
        <v>2877</v>
      </c>
      <c r="RDE1333" s="4" t="s">
        <v>2877</v>
      </c>
      <c r="RDF1333" s="4" t="s">
        <v>2877</v>
      </c>
      <c r="RDG1333" s="4" t="s">
        <v>2877</v>
      </c>
      <c r="RDH1333" s="4" t="s">
        <v>2877</v>
      </c>
      <c r="RDI1333" s="4" t="s">
        <v>2877</v>
      </c>
      <c r="RDJ1333" s="4" t="s">
        <v>2877</v>
      </c>
      <c r="RDK1333" s="4" t="s">
        <v>2877</v>
      </c>
      <c r="RDL1333" s="4" t="s">
        <v>2877</v>
      </c>
      <c r="RDM1333" s="4" t="s">
        <v>2877</v>
      </c>
      <c r="RDN1333" s="4" t="s">
        <v>2877</v>
      </c>
      <c r="RDO1333" s="4" t="s">
        <v>2877</v>
      </c>
      <c r="RDP1333" s="4" t="s">
        <v>2877</v>
      </c>
      <c r="RDQ1333" s="4" t="s">
        <v>2877</v>
      </c>
      <c r="RDR1333" s="4" t="s">
        <v>2877</v>
      </c>
      <c r="RDS1333" s="4" t="s">
        <v>2877</v>
      </c>
      <c r="RDT1333" s="4" t="s">
        <v>2877</v>
      </c>
      <c r="RDU1333" s="4" t="s">
        <v>2877</v>
      </c>
      <c r="RDV1333" s="4" t="s">
        <v>2877</v>
      </c>
      <c r="RDW1333" s="4" t="s">
        <v>2877</v>
      </c>
      <c r="RDX1333" s="4" t="s">
        <v>2877</v>
      </c>
      <c r="RDY1333" s="4" t="s">
        <v>2877</v>
      </c>
      <c r="RDZ1333" s="4" t="s">
        <v>2877</v>
      </c>
      <c r="REA1333" s="4" t="s">
        <v>2877</v>
      </c>
      <c r="REB1333" s="4" t="s">
        <v>2877</v>
      </c>
      <c r="REC1333" s="4" t="s">
        <v>2877</v>
      </c>
      <c r="RED1333" s="4" t="s">
        <v>2877</v>
      </c>
      <c r="REE1333" s="4" t="s">
        <v>2877</v>
      </c>
      <c r="REF1333" s="4" t="s">
        <v>2877</v>
      </c>
      <c r="REG1333" s="4" t="s">
        <v>2877</v>
      </c>
      <c r="REH1333" s="4" t="s">
        <v>2877</v>
      </c>
      <c r="REI1333" s="4" t="s">
        <v>2877</v>
      </c>
      <c r="REJ1333" s="4" t="s">
        <v>2877</v>
      </c>
      <c r="REK1333" s="4" t="s">
        <v>2877</v>
      </c>
      <c r="REL1333" s="4" t="s">
        <v>2877</v>
      </c>
      <c r="REM1333" s="4" t="s">
        <v>2877</v>
      </c>
      <c r="REN1333" s="4" t="s">
        <v>2877</v>
      </c>
      <c r="REO1333" s="4" t="s">
        <v>2877</v>
      </c>
      <c r="REP1333" s="4" t="s">
        <v>2877</v>
      </c>
      <c r="REQ1333" s="4" t="s">
        <v>2877</v>
      </c>
      <c r="RER1333" s="4" t="s">
        <v>2877</v>
      </c>
      <c r="RES1333" s="4" t="s">
        <v>2877</v>
      </c>
      <c r="RET1333" s="4" t="s">
        <v>2877</v>
      </c>
      <c r="REU1333" s="4" t="s">
        <v>2877</v>
      </c>
      <c r="REV1333" s="4" t="s">
        <v>2877</v>
      </c>
      <c r="REW1333" s="4" t="s">
        <v>2877</v>
      </c>
      <c r="REX1333" s="4" t="s">
        <v>2877</v>
      </c>
      <c r="REY1333" s="4" t="s">
        <v>2877</v>
      </c>
      <c r="REZ1333" s="4" t="s">
        <v>2877</v>
      </c>
      <c r="RFA1333" s="4" t="s">
        <v>2877</v>
      </c>
      <c r="RFB1333" s="4" t="s">
        <v>2877</v>
      </c>
      <c r="RFC1333" s="4" t="s">
        <v>2877</v>
      </c>
      <c r="RFD1333" s="4" t="s">
        <v>2877</v>
      </c>
      <c r="RFE1333" s="4" t="s">
        <v>2877</v>
      </c>
      <c r="RFF1333" s="4" t="s">
        <v>2877</v>
      </c>
      <c r="RFG1333" s="4" t="s">
        <v>2877</v>
      </c>
      <c r="RFH1333" s="4" t="s">
        <v>2877</v>
      </c>
      <c r="RFI1333" s="4" t="s">
        <v>2877</v>
      </c>
      <c r="RFJ1333" s="4" t="s">
        <v>2877</v>
      </c>
      <c r="RFK1333" s="4" t="s">
        <v>2877</v>
      </c>
      <c r="RFL1333" s="4" t="s">
        <v>2877</v>
      </c>
      <c r="RFM1333" s="4" t="s">
        <v>2877</v>
      </c>
      <c r="RFN1333" s="4" t="s">
        <v>2877</v>
      </c>
      <c r="RFO1333" s="4" t="s">
        <v>2877</v>
      </c>
      <c r="RFP1333" s="4" t="s">
        <v>2877</v>
      </c>
      <c r="RFQ1333" s="4" t="s">
        <v>2877</v>
      </c>
      <c r="RFR1333" s="4" t="s">
        <v>2877</v>
      </c>
      <c r="RFS1333" s="4" t="s">
        <v>2877</v>
      </c>
      <c r="RFT1333" s="4" t="s">
        <v>2877</v>
      </c>
      <c r="RFU1333" s="4" t="s">
        <v>2877</v>
      </c>
      <c r="RFV1333" s="4" t="s">
        <v>2877</v>
      </c>
      <c r="RFW1333" s="4" t="s">
        <v>2877</v>
      </c>
      <c r="RFX1333" s="4" t="s">
        <v>2877</v>
      </c>
      <c r="RFY1333" s="4" t="s">
        <v>2877</v>
      </c>
      <c r="RFZ1333" s="4" t="s">
        <v>2877</v>
      </c>
      <c r="RGA1333" s="4" t="s">
        <v>2877</v>
      </c>
      <c r="RGB1333" s="4" t="s">
        <v>2877</v>
      </c>
      <c r="RGC1333" s="4" t="s">
        <v>2877</v>
      </c>
      <c r="RGD1333" s="4" t="s">
        <v>2877</v>
      </c>
      <c r="RGE1333" s="4" t="s">
        <v>2877</v>
      </c>
      <c r="RGF1333" s="4" t="s">
        <v>2877</v>
      </c>
      <c r="RGG1333" s="4" t="s">
        <v>2877</v>
      </c>
      <c r="RGH1333" s="4" t="s">
        <v>2877</v>
      </c>
      <c r="RGI1333" s="4" t="s">
        <v>2877</v>
      </c>
      <c r="RGJ1333" s="4" t="s">
        <v>2877</v>
      </c>
      <c r="RGK1333" s="4" t="s">
        <v>2877</v>
      </c>
      <c r="RGL1333" s="4" t="s">
        <v>2877</v>
      </c>
      <c r="RGM1333" s="4" t="s">
        <v>2877</v>
      </c>
      <c r="RGN1333" s="4" t="s">
        <v>2877</v>
      </c>
      <c r="RGO1333" s="4" t="s">
        <v>2877</v>
      </c>
      <c r="RGP1333" s="4" t="s">
        <v>2877</v>
      </c>
      <c r="RGQ1333" s="4" t="s">
        <v>2877</v>
      </c>
      <c r="RGR1333" s="4" t="s">
        <v>2877</v>
      </c>
      <c r="RGS1333" s="4" t="s">
        <v>2877</v>
      </c>
      <c r="RGT1333" s="4" t="s">
        <v>2877</v>
      </c>
      <c r="RGU1333" s="4" t="s">
        <v>2877</v>
      </c>
      <c r="RGV1333" s="4" t="s">
        <v>2877</v>
      </c>
      <c r="RGW1333" s="4" t="s">
        <v>2877</v>
      </c>
      <c r="RGX1333" s="4" t="s">
        <v>2877</v>
      </c>
      <c r="RGY1333" s="4" t="s">
        <v>2877</v>
      </c>
      <c r="RGZ1333" s="4" t="s">
        <v>2877</v>
      </c>
      <c r="RHA1333" s="4" t="s">
        <v>2877</v>
      </c>
      <c r="RHB1333" s="4" t="s">
        <v>2877</v>
      </c>
      <c r="RHC1333" s="4" t="s">
        <v>2877</v>
      </c>
      <c r="RHD1333" s="4" t="s">
        <v>2877</v>
      </c>
      <c r="RHE1333" s="4" t="s">
        <v>2877</v>
      </c>
      <c r="RHF1333" s="4" t="s">
        <v>2877</v>
      </c>
      <c r="RHG1333" s="4" t="s">
        <v>2877</v>
      </c>
      <c r="RHH1333" s="4" t="s">
        <v>2877</v>
      </c>
      <c r="RHI1333" s="4" t="s">
        <v>2877</v>
      </c>
      <c r="RHJ1333" s="4" t="s">
        <v>2877</v>
      </c>
      <c r="RHK1333" s="4" t="s">
        <v>2877</v>
      </c>
      <c r="RHL1333" s="4" t="s">
        <v>2877</v>
      </c>
      <c r="RHM1333" s="4" t="s">
        <v>2877</v>
      </c>
      <c r="RHN1333" s="4" t="s">
        <v>2877</v>
      </c>
      <c r="RHO1333" s="4" t="s">
        <v>2877</v>
      </c>
      <c r="RHP1333" s="4" t="s">
        <v>2877</v>
      </c>
      <c r="RHQ1333" s="4" t="s">
        <v>2877</v>
      </c>
      <c r="RHR1333" s="4" t="s">
        <v>2877</v>
      </c>
      <c r="RHS1333" s="4" t="s">
        <v>2877</v>
      </c>
      <c r="RHT1333" s="4" t="s">
        <v>2877</v>
      </c>
      <c r="RHU1333" s="4" t="s">
        <v>2877</v>
      </c>
      <c r="RHV1333" s="4" t="s">
        <v>2877</v>
      </c>
      <c r="RHW1333" s="4" t="s">
        <v>2877</v>
      </c>
      <c r="RHX1333" s="4" t="s">
        <v>2877</v>
      </c>
      <c r="RHY1333" s="4" t="s">
        <v>2877</v>
      </c>
      <c r="RHZ1333" s="4" t="s">
        <v>2877</v>
      </c>
      <c r="RIA1333" s="4" t="s">
        <v>2877</v>
      </c>
      <c r="RIB1333" s="4" t="s">
        <v>2877</v>
      </c>
      <c r="RIC1333" s="4" t="s">
        <v>2877</v>
      </c>
      <c r="RID1333" s="4" t="s">
        <v>2877</v>
      </c>
      <c r="RIE1333" s="4" t="s">
        <v>2877</v>
      </c>
      <c r="RIF1333" s="4" t="s">
        <v>2877</v>
      </c>
      <c r="RIG1333" s="4" t="s">
        <v>2877</v>
      </c>
      <c r="RIH1333" s="4" t="s">
        <v>2877</v>
      </c>
      <c r="RII1333" s="4" t="s">
        <v>2877</v>
      </c>
      <c r="RIJ1333" s="4" t="s">
        <v>2877</v>
      </c>
      <c r="RIK1333" s="4" t="s">
        <v>2877</v>
      </c>
      <c r="RIL1333" s="4" t="s">
        <v>2877</v>
      </c>
      <c r="RIM1333" s="4" t="s">
        <v>2877</v>
      </c>
      <c r="RIN1333" s="4" t="s">
        <v>2877</v>
      </c>
      <c r="RIO1333" s="4" t="s">
        <v>2877</v>
      </c>
      <c r="RIP1333" s="4" t="s">
        <v>2877</v>
      </c>
      <c r="RIQ1333" s="4" t="s">
        <v>2877</v>
      </c>
      <c r="RIR1333" s="4" t="s">
        <v>2877</v>
      </c>
      <c r="RIS1333" s="4" t="s">
        <v>2877</v>
      </c>
      <c r="RIT1333" s="4" t="s">
        <v>2877</v>
      </c>
      <c r="RIU1333" s="4" t="s">
        <v>2877</v>
      </c>
      <c r="RIV1333" s="4" t="s">
        <v>2877</v>
      </c>
      <c r="RIW1333" s="4" t="s">
        <v>2877</v>
      </c>
      <c r="RIX1333" s="4" t="s">
        <v>2877</v>
      </c>
      <c r="RIY1333" s="4" t="s">
        <v>2877</v>
      </c>
      <c r="RIZ1333" s="4" t="s">
        <v>2877</v>
      </c>
      <c r="RJA1333" s="4" t="s">
        <v>2877</v>
      </c>
      <c r="RJB1333" s="4" t="s">
        <v>2877</v>
      </c>
      <c r="RJC1333" s="4" t="s">
        <v>2877</v>
      </c>
      <c r="RJD1333" s="4" t="s">
        <v>2877</v>
      </c>
      <c r="RJE1333" s="4" t="s">
        <v>2877</v>
      </c>
      <c r="RJF1333" s="4" t="s">
        <v>2877</v>
      </c>
      <c r="RJG1333" s="4" t="s">
        <v>2877</v>
      </c>
      <c r="RJH1333" s="4" t="s">
        <v>2877</v>
      </c>
      <c r="RJI1333" s="4" t="s">
        <v>2877</v>
      </c>
      <c r="RJJ1333" s="4" t="s">
        <v>2877</v>
      </c>
      <c r="RJK1333" s="4" t="s">
        <v>2877</v>
      </c>
      <c r="RJL1333" s="4" t="s">
        <v>2877</v>
      </c>
      <c r="RJM1333" s="4" t="s">
        <v>2877</v>
      </c>
      <c r="RJN1333" s="4" t="s">
        <v>2877</v>
      </c>
      <c r="RJO1333" s="4" t="s">
        <v>2877</v>
      </c>
      <c r="RJP1333" s="4" t="s">
        <v>2877</v>
      </c>
      <c r="RJQ1333" s="4" t="s">
        <v>2877</v>
      </c>
      <c r="RJR1333" s="4" t="s">
        <v>2877</v>
      </c>
      <c r="RJS1333" s="4" t="s">
        <v>2877</v>
      </c>
      <c r="RJT1333" s="4" t="s">
        <v>2877</v>
      </c>
      <c r="RJU1333" s="4" t="s">
        <v>2877</v>
      </c>
      <c r="RJV1333" s="4" t="s">
        <v>2877</v>
      </c>
      <c r="RJW1333" s="4" t="s">
        <v>2877</v>
      </c>
      <c r="RJX1333" s="4" t="s">
        <v>2877</v>
      </c>
      <c r="RJY1333" s="4" t="s">
        <v>2877</v>
      </c>
      <c r="RJZ1333" s="4" t="s">
        <v>2877</v>
      </c>
      <c r="RKA1333" s="4" t="s">
        <v>2877</v>
      </c>
      <c r="RKB1333" s="4" t="s">
        <v>2877</v>
      </c>
      <c r="RKC1333" s="4" t="s">
        <v>2877</v>
      </c>
      <c r="RKD1333" s="4" t="s">
        <v>2877</v>
      </c>
      <c r="RKE1333" s="4" t="s">
        <v>2877</v>
      </c>
      <c r="RKF1333" s="4" t="s">
        <v>2877</v>
      </c>
      <c r="RKG1333" s="4" t="s">
        <v>2877</v>
      </c>
      <c r="RKH1333" s="4" t="s">
        <v>2877</v>
      </c>
      <c r="RKI1333" s="4" t="s">
        <v>2877</v>
      </c>
      <c r="RKJ1333" s="4" t="s">
        <v>2877</v>
      </c>
      <c r="RKK1333" s="4" t="s">
        <v>2877</v>
      </c>
      <c r="RKL1333" s="4" t="s">
        <v>2877</v>
      </c>
      <c r="RKM1333" s="4" t="s">
        <v>2877</v>
      </c>
      <c r="RKN1333" s="4" t="s">
        <v>2877</v>
      </c>
      <c r="RKO1333" s="4" t="s">
        <v>2877</v>
      </c>
      <c r="RKP1333" s="4" t="s">
        <v>2877</v>
      </c>
      <c r="RKQ1333" s="4" t="s">
        <v>2877</v>
      </c>
      <c r="RKR1333" s="4" t="s">
        <v>2877</v>
      </c>
      <c r="RKS1333" s="4" t="s">
        <v>2877</v>
      </c>
      <c r="RKT1333" s="4" t="s">
        <v>2877</v>
      </c>
      <c r="RKU1333" s="4" t="s">
        <v>2877</v>
      </c>
      <c r="RKV1333" s="4" t="s">
        <v>2877</v>
      </c>
      <c r="RKW1333" s="4" t="s">
        <v>2877</v>
      </c>
      <c r="RKX1333" s="4" t="s">
        <v>2877</v>
      </c>
      <c r="RKY1333" s="4" t="s">
        <v>2877</v>
      </c>
      <c r="RKZ1333" s="4" t="s">
        <v>2877</v>
      </c>
      <c r="RLA1333" s="4" t="s">
        <v>2877</v>
      </c>
      <c r="RLB1333" s="4" t="s">
        <v>2877</v>
      </c>
      <c r="RLC1333" s="4" t="s">
        <v>2877</v>
      </c>
      <c r="RLD1333" s="4" t="s">
        <v>2877</v>
      </c>
      <c r="RLE1333" s="4" t="s">
        <v>2877</v>
      </c>
      <c r="RLF1333" s="4" t="s">
        <v>2877</v>
      </c>
      <c r="RLG1333" s="4" t="s">
        <v>2877</v>
      </c>
      <c r="RLH1333" s="4" t="s">
        <v>2877</v>
      </c>
      <c r="RLI1333" s="4" t="s">
        <v>2877</v>
      </c>
      <c r="RLJ1333" s="4" t="s">
        <v>2877</v>
      </c>
      <c r="RLK1333" s="4" t="s">
        <v>2877</v>
      </c>
      <c r="RLL1333" s="4" t="s">
        <v>2877</v>
      </c>
      <c r="RLM1333" s="4" t="s">
        <v>2877</v>
      </c>
      <c r="RLN1333" s="4" t="s">
        <v>2877</v>
      </c>
      <c r="RLO1333" s="4" t="s">
        <v>2877</v>
      </c>
      <c r="RLP1333" s="4" t="s">
        <v>2877</v>
      </c>
      <c r="RLQ1333" s="4" t="s">
        <v>2877</v>
      </c>
      <c r="RLR1333" s="4" t="s">
        <v>2877</v>
      </c>
      <c r="RLS1333" s="4" t="s">
        <v>2877</v>
      </c>
      <c r="RLT1333" s="4" t="s">
        <v>2877</v>
      </c>
      <c r="RLU1333" s="4" t="s">
        <v>2877</v>
      </c>
      <c r="RLV1333" s="4" t="s">
        <v>2877</v>
      </c>
      <c r="RLW1333" s="4" t="s">
        <v>2877</v>
      </c>
      <c r="RLX1333" s="4" t="s">
        <v>2877</v>
      </c>
      <c r="RLY1333" s="4" t="s">
        <v>2877</v>
      </c>
      <c r="RLZ1333" s="4" t="s">
        <v>2877</v>
      </c>
      <c r="RMA1333" s="4" t="s">
        <v>2877</v>
      </c>
      <c r="RMB1333" s="4" t="s">
        <v>2877</v>
      </c>
      <c r="RMC1333" s="4" t="s">
        <v>2877</v>
      </c>
      <c r="RMD1333" s="4" t="s">
        <v>2877</v>
      </c>
      <c r="RME1333" s="4" t="s">
        <v>2877</v>
      </c>
      <c r="RMF1333" s="4" t="s">
        <v>2877</v>
      </c>
      <c r="RMG1333" s="4" t="s">
        <v>2877</v>
      </c>
      <c r="RMH1333" s="4" t="s">
        <v>2877</v>
      </c>
      <c r="RMI1333" s="4" t="s">
        <v>2877</v>
      </c>
      <c r="RMJ1333" s="4" t="s">
        <v>2877</v>
      </c>
      <c r="RMK1333" s="4" t="s">
        <v>2877</v>
      </c>
      <c r="RML1333" s="4" t="s">
        <v>2877</v>
      </c>
      <c r="RMM1333" s="4" t="s">
        <v>2877</v>
      </c>
      <c r="RMN1333" s="4" t="s">
        <v>2877</v>
      </c>
      <c r="RMO1333" s="4" t="s">
        <v>2877</v>
      </c>
      <c r="RMP1333" s="4" t="s">
        <v>2877</v>
      </c>
      <c r="RMQ1333" s="4" t="s">
        <v>2877</v>
      </c>
      <c r="RMR1333" s="4" t="s">
        <v>2877</v>
      </c>
      <c r="RMS1333" s="4" t="s">
        <v>2877</v>
      </c>
      <c r="RMT1333" s="4" t="s">
        <v>2877</v>
      </c>
      <c r="RMU1333" s="4" t="s">
        <v>2877</v>
      </c>
      <c r="RMV1333" s="4" t="s">
        <v>2877</v>
      </c>
      <c r="RMW1333" s="4" t="s">
        <v>2877</v>
      </c>
      <c r="RMX1333" s="4" t="s">
        <v>2877</v>
      </c>
      <c r="RMY1333" s="4" t="s">
        <v>2877</v>
      </c>
      <c r="RMZ1333" s="4" t="s">
        <v>2877</v>
      </c>
      <c r="RNA1333" s="4" t="s">
        <v>2877</v>
      </c>
      <c r="RNB1333" s="4" t="s">
        <v>2877</v>
      </c>
      <c r="RNC1333" s="4" t="s">
        <v>2877</v>
      </c>
      <c r="RND1333" s="4" t="s">
        <v>2877</v>
      </c>
      <c r="RNE1333" s="4" t="s">
        <v>2877</v>
      </c>
      <c r="RNF1333" s="4" t="s">
        <v>2877</v>
      </c>
      <c r="RNG1333" s="4" t="s">
        <v>2877</v>
      </c>
      <c r="RNH1333" s="4" t="s">
        <v>2877</v>
      </c>
      <c r="RNI1333" s="4" t="s">
        <v>2877</v>
      </c>
      <c r="RNJ1333" s="4" t="s">
        <v>2877</v>
      </c>
      <c r="RNK1333" s="4" t="s">
        <v>2877</v>
      </c>
      <c r="RNL1333" s="4" t="s">
        <v>2877</v>
      </c>
      <c r="RNM1333" s="4" t="s">
        <v>2877</v>
      </c>
      <c r="RNN1333" s="4" t="s">
        <v>2877</v>
      </c>
      <c r="RNO1333" s="4" t="s">
        <v>2877</v>
      </c>
      <c r="RNP1333" s="4" t="s">
        <v>2877</v>
      </c>
      <c r="RNQ1333" s="4" t="s">
        <v>2877</v>
      </c>
      <c r="RNR1333" s="4" t="s">
        <v>2877</v>
      </c>
      <c r="RNS1333" s="4" t="s">
        <v>2877</v>
      </c>
      <c r="RNT1333" s="4" t="s">
        <v>2877</v>
      </c>
      <c r="RNU1333" s="4" t="s">
        <v>2877</v>
      </c>
      <c r="RNV1333" s="4" t="s">
        <v>2877</v>
      </c>
      <c r="RNW1333" s="4" t="s">
        <v>2877</v>
      </c>
      <c r="RNX1333" s="4" t="s">
        <v>2877</v>
      </c>
      <c r="RNY1333" s="4" t="s">
        <v>2877</v>
      </c>
      <c r="RNZ1333" s="4" t="s">
        <v>2877</v>
      </c>
      <c r="ROA1333" s="4" t="s">
        <v>2877</v>
      </c>
      <c r="ROB1333" s="4" t="s">
        <v>2877</v>
      </c>
      <c r="ROC1333" s="4" t="s">
        <v>2877</v>
      </c>
      <c r="ROD1333" s="4" t="s">
        <v>2877</v>
      </c>
      <c r="ROE1333" s="4" t="s">
        <v>2877</v>
      </c>
      <c r="ROF1333" s="4" t="s">
        <v>2877</v>
      </c>
      <c r="ROG1333" s="4" t="s">
        <v>2877</v>
      </c>
      <c r="ROH1333" s="4" t="s">
        <v>2877</v>
      </c>
      <c r="ROI1333" s="4" t="s">
        <v>2877</v>
      </c>
      <c r="ROJ1333" s="4" t="s">
        <v>2877</v>
      </c>
      <c r="ROK1333" s="4" t="s">
        <v>2877</v>
      </c>
      <c r="ROL1333" s="4" t="s">
        <v>2877</v>
      </c>
      <c r="ROM1333" s="4" t="s">
        <v>2877</v>
      </c>
      <c r="RON1333" s="4" t="s">
        <v>2877</v>
      </c>
      <c r="ROO1333" s="4" t="s">
        <v>2877</v>
      </c>
      <c r="ROP1333" s="4" t="s">
        <v>2877</v>
      </c>
      <c r="ROQ1333" s="4" t="s">
        <v>2877</v>
      </c>
      <c r="ROR1333" s="4" t="s">
        <v>2877</v>
      </c>
      <c r="ROS1333" s="4" t="s">
        <v>2877</v>
      </c>
      <c r="ROT1333" s="4" t="s">
        <v>2877</v>
      </c>
      <c r="ROU1333" s="4" t="s">
        <v>2877</v>
      </c>
      <c r="ROV1333" s="4" t="s">
        <v>2877</v>
      </c>
      <c r="ROW1333" s="4" t="s">
        <v>2877</v>
      </c>
      <c r="ROX1333" s="4" t="s">
        <v>2877</v>
      </c>
      <c r="ROY1333" s="4" t="s">
        <v>2877</v>
      </c>
      <c r="ROZ1333" s="4" t="s">
        <v>2877</v>
      </c>
      <c r="RPA1333" s="4" t="s">
        <v>2877</v>
      </c>
      <c r="RPB1333" s="4" t="s">
        <v>2877</v>
      </c>
      <c r="RPC1333" s="4" t="s">
        <v>2877</v>
      </c>
      <c r="RPD1333" s="4" t="s">
        <v>2877</v>
      </c>
      <c r="RPE1333" s="4" t="s">
        <v>2877</v>
      </c>
      <c r="RPF1333" s="4" t="s">
        <v>2877</v>
      </c>
      <c r="RPG1333" s="4" t="s">
        <v>2877</v>
      </c>
      <c r="RPH1333" s="4" t="s">
        <v>2877</v>
      </c>
      <c r="RPI1333" s="4" t="s">
        <v>2877</v>
      </c>
      <c r="RPJ1333" s="4" t="s">
        <v>2877</v>
      </c>
      <c r="RPK1333" s="4" t="s">
        <v>2877</v>
      </c>
      <c r="RPL1333" s="4" t="s">
        <v>2877</v>
      </c>
      <c r="RPM1333" s="4" t="s">
        <v>2877</v>
      </c>
      <c r="RPN1333" s="4" t="s">
        <v>2877</v>
      </c>
      <c r="RPO1333" s="4" t="s">
        <v>2877</v>
      </c>
      <c r="RPP1333" s="4" t="s">
        <v>2877</v>
      </c>
      <c r="RPQ1333" s="4" t="s">
        <v>2877</v>
      </c>
      <c r="RPR1333" s="4" t="s">
        <v>2877</v>
      </c>
      <c r="RPS1333" s="4" t="s">
        <v>2877</v>
      </c>
      <c r="RPT1333" s="4" t="s">
        <v>2877</v>
      </c>
      <c r="RPU1333" s="4" t="s">
        <v>2877</v>
      </c>
      <c r="RPV1333" s="4" t="s">
        <v>2877</v>
      </c>
      <c r="RPW1333" s="4" t="s">
        <v>2877</v>
      </c>
      <c r="RPX1333" s="4" t="s">
        <v>2877</v>
      </c>
      <c r="RPY1333" s="4" t="s">
        <v>2877</v>
      </c>
      <c r="RPZ1333" s="4" t="s">
        <v>2877</v>
      </c>
      <c r="RQA1333" s="4" t="s">
        <v>2877</v>
      </c>
      <c r="RQB1333" s="4" t="s">
        <v>2877</v>
      </c>
      <c r="RQC1333" s="4" t="s">
        <v>2877</v>
      </c>
      <c r="RQD1333" s="4" t="s">
        <v>2877</v>
      </c>
      <c r="RQE1333" s="4" t="s">
        <v>2877</v>
      </c>
      <c r="RQF1333" s="4" t="s">
        <v>2877</v>
      </c>
      <c r="RQG1333" s="4" t="s">
        <v>2877</v>
      </c>
      <c r="RQH1333" s="4" t="s">
        <v>2877</v>
      </c>
      <c r="RQI1333" s="4" t="s">
        <v>2877</v>
      </c>
      <c r="RQJ1333" s="4" t="s">
        <v>2877</v>
      </c>
      <c r="RQK1333" s="4" t="s">
        <v>2877</v>
      </c>
      <c r="RQL1333" s="4" t="s">
        <v>2877</v>
      </c>
      <c r="RQM1333" s="4" t="s">
        <v>2877</v>
      </c>
      <c r="RQN1333" s="4" t="s">
        <v>2877</v>
      </c>
      <c r="RQO1333" s="4" t="s">
        <v>2877</v>
      </c>
      <c r="RQP1333" s="4" t="s">
        <v>2877</v>
      </c>
      <c r="RQQ1333" s="4" t="s">
        <v>2877</v>
      </c>
      <c r="RQR1333" s="4" t="s">
        <v>2877</v>
      </c>
      <c r="RQS1333" s="4" t="s">
        <v>2877</v>
      </c>
      <c r="RQT1333" s="4" t="s">
        <v>2877</v>
      </c>
      <c r="RQU1333" s="4" t="s">
        <v>2877</v>
      </c>
      <c r="RQV1333" s="4" t="s">
        <v>2877</v>
      </c>
      <c r="RQW1333" s="4" t="s">
        <v>2877</v>
      </c>
      <c r="RQX1333" s="4" t="s">
        <v>2877</v>
      </c>
      <c r="RQY1333" s="4" t="s">
        <v>2877</v>
      </c>
      <c r="RQZ1333" s="4" t="s">
        <v>2877</v>
      </c>
      <c r="RRA1333" s="4" t="s">
        <v>2877</v>
      </c>
      <c r="RRB1333" s="4" t="s">
        <v>2877</v>
      </c>
      <c r="RRC1333" s="4" t="s">
        <v>2877</v>
      </c>
      <c r="RRD1333" s="4" t="s">
        <v>2877</v>
      </c>
      <c r="RRE1333" s="4" t="s">
        <v>2877</v>
      </c>
      <c r="RRF1333" s="4" t="s">
        <v>2877</v>
      </c>
      <c r="RRG1333" s="4" t="s">
        <v>2877</v>
      </c>
      <c r="RRH1333" s="4" t="s">
        <v>2877</v>
      </c>
      <c r="RRI1333" s="4" t="s">
        <v>2877</v>
      </c>
      <c r="RRJ1333" s="4" t="s">
        <v>2877</v>
      </c>
      <c r="RRK1333" s="4" t="s">
        <v>2877</v>
      </c>
      <c r="RRL1333" s="4" t="s">
        <v>2877</v>
      </c>
      <c r="RRM1333" s="4" t="s">
        <v>2877</v>
      </c>
      <c r="RRN1333" s="4" t="s">
        <v>2877</v>
      </c>
      <c r="RRO1333" s="4" t="s">
        <v>2877</v>
      </c>
      <c r="RRP1333" s="4" t="s">
        <v>2877</v>
      </c>
      <c r="RRQ1333" s="4" t="s">
        <v>2877</v>
      </c>
      <c r="RRR1333" s="4" t="s">
        <v>2877</v>
      </c>
      <c r="RRS1333" s="4" t="s">
        <v>2877</v>
      </c>
      <c r="RRT1333" s="4" t="s">
        <v>2877</v>
      </c>
      <c r="RRU1333" s="4" t="s">
        <v>2877</v>
      </c>
      <c r="RRV1333" s="4" t="s">
        <v>2877</v>
      </c>
      <c r="RRW1333" s="4" t="s">
        <v>2877</v>
      </c>
      <c r="RRX1333" s="4" t="s">
        <v>2877</v>
      </c>
      <c r="RRY1333" s="4" t="s">
        <v>2877</v>
      </c>
      <c r="RRZ1333" s="4" t="s">
        <v>2877</v>
      </c>
      <c r="RSA1333" s="4" t="s">
        <v>2877</v>
      </c>
      <c r="RSB1333" s="4" t="s">
        <v>2877</v>
      </c>
      <c r="RSC1333" s="4" t="s">
        <v>2877</v>
      </c>
      <c r="RSD1333" s="4" t="s">
        <v>2877</v>
      </c>
      <c r="RSE1333" s="4" t="s">
        <v>2877</v>
      </c>
      <c r="RSF1333" s="4" t="s">
        <v>2877</v>
      </c>
      <c r="RSG1333" s="4" t="s">
        <v>2877</v>
      </c>
      <c r="RSH1333" s="4" t="s">
        <v>2877</v>
      </c>
      <c r="RSI1333" s="4" t="s">
        <v>2877</v>
      </c>
      <c r="RSJ1333" s="4" t="s">
        <v>2877</v>
      </c>
      <c r="RSK1333" s="4" t="s">
        <v>2877</v>
      </c>
      <c r="RSL1333" s="4" t="s">
        <v>2877</v>
      </c>
      <c r="RSM1333" s="4" t="s">
        <v>2877</v>
      </c>
      <c r="RSN1333" s="4" t="s">
        <v>2877</v>
      </c>
      <c r="RSO1333" s="4" t="s">
        <v>2877</v>
      </c>
      <c r="RSP1333" s="4" t="s">
        <v>2877</v>
      </c>
      <c r="RSQ1333" s="4" t="s">
        <v>2877</v>
      </c>
      <c r="RSR1333" s="4" t="s">
        <v>2877</v>
      </c>
      <c r="RSS1333" s="4" t="s">
        <v>2877</v>
      </c>
      <c r="RST1333" s="4" t="s">
        <v>2877</v>
      </c>
      <c r="RSU1333" s="4" t="s">
        <v>2877</v>
      </c>
      <c r="RSV1333" s="4" t="s">
        <v>2877</v>
      </c>
      <c r="RSW1333" s="4" t="s">
        <v>2877</v>
      </c>
      <c r="RSX1333" s="4" t="s">
        <v>2877</v>
      </c>
      <c r="RSY1333" s="4" t="s">
        <v>2877</v>
      </c>
      <c r="RSZ1333" s="4" t="s">
        <v>2877</v>
      </c>
      <c r="RTA1333" s="4" t="s">
        <v>2877</v>
      </c>
      <c r="RTB1333" s="4" t="s">
        <v>2877</v>
      </c>
      <c r="RTC1333" s="4" t="s">
        <v>2877</v>
      </c>
      <c r="RTD1333" s="4" t="s">
        <v>2877</v>
      </c>
      <c r="RTE1333" s="4" t="s">
        <v>2877</v>
      </c>
      <c r="RTF1333" s="4" t="s">
        <v>2877</v>
      </c>
      <c r="RTG1333" s="4" t="s">
        <v>2877</v>
      </c>
      <c r="RTH1333" s="4" t="s">
        <v>2877</v>
      </c>
      <c r="RTI1333" s="4" t="s">
        <v>2877</v>
      </c>
      <c r="RTJ1333" s="4" t="s">
        <v>2877</v>
      </c>
      <c r="RTK1333" s="4" t="s">
        <v>2877</v>
      </c>
      <c r="RTL1333" s="4" t="s">
        <v>2877</v>
      </c>
      <c r="RTM1333" s="4" t="s">
        <v>2877</v>
      </c>
      <c r="RTN1333" s="4" t="s">
        <v>2877</v>
      </c>
      <c r="RTO1333" s="4" t="s">
        <v>2877</v>
      </c>
      <c r="RTP1333" s="4" t="s">
        <v>2877</v>
      </c>
      <c r="RTQ1333" s="4" t="s">
        <v>2877</v>
      </c>
      <c r="RTR1333" s="4" t="s">
        <v>2877</v>
      </c>
      <c r="RTS1333" s="4" t="s">
        <v>2877</v>
      </c>
      <c r="RTT1333" s="4" t="s">
        <v>2877</v>
      </c>
      <c r="RTU1333" s="4" t="s">
        <v>2877</v>
      </c>
      <c r="RTV1333" s="4" t="s">
        <v>2877</v>
      </c>
      <c r="RTW1333" s="4" t="s">
        <v>2877</v>
      </c>
      <c r="RTX1333" s="4" t="s">
        <v>2877</v>
      </c>
      <c r="RTY1333" s="4" t="s">
        <v>2877</v>
      </c>
      <c r="RTZ1333" s="4" t="s">
        <v>2877</v>
      </c>
      <c r="RUA1333" s="4" t="s">
        <v>2877</v>
      </c>
      <c r="RUB1333" s="4" t="s">
        <v>2877</v>
      </c>
      <c r="RUC1333" s="4" t="s">
        <v>2877</v>
      </c>
      <c r="RUD1333" s="4" t="s">
        <v>2877</v>
      </c>
      <c r="RUE1333" s="4" t="s">
        <v>2877</v>
      </c>
      <c r="RUF1333" s="4" t="s">
        <v>2877</v>
      </c>
      <c r="RUG1333" s="4" t="s">
        <v>2877</v>
      </c>
      <c r="RUH1333" s="4" t="s">
        <v>2877</v>
      </c>
      <c r="RUI1333" s="4" t="s">
        <v>2877</v>
      </c>
      <c r="RUJ1333" s="4" t="s">
        <v>2877</v>
      </c>
      <c r="RUK1333" s="4" t="s">
        <v>2877</v>
      </c>
      <c r="RUL1333" s="4" t="s">
        <v>2877</v>
      </c>
      <c r="RUM1333" s="4" t="s">
        <v>2877</v>
      </c>
      <c r="RUN1333" s="4" t="s">
        <v>2877</v>
      </c>
      <c r="RUO1333" s="4" t="s">
        <v>2877</v>
      </c>
      <c r="RUP1333" s="4" t="s">
        <v>2877</v>
      </c>
      <c r="RUQ1333" s="4" t="s">
        <v>2877</v>
      </c>
      <c r="RUR1333" s="4" t="s">
        <v>2877</v>
      </c>
      <c r="RUS1333" s="4" t="s">
        <v>2877</v>
      </c>
      <c r="RUT1333" s="4" t="s">
        <v>2877</v>
      </c>
      <c r="RUU1333" s="4" t="s">
        <v>2877</v>
      </c>
      <c r="RUV1333" s="4" t="s">
        <v>2877</v>
      </c>
      <c r="RUW1333" s="4" t="s">
        <v>2877</v>
      </c>
      <c r="RUX1333" s="4" t="s">
        <v>2877</v>
      </c>
      <c r="RUY1333" s="4" t="s">
        <v>2877</v>
      </c>
      <c r="RUZ1333" s="4" t="s">
        <v>2877</v>
      </c>
      <c r="RVA1333" s="4" t="s">
        <v>2877</v>
      </c>
      <c r="RVB1333" s="4" t="s">
        <v>2877</v>
      </c>
      <c r="RVC1333" s="4" t="s">
        <v>2877</v>
      </c>
      <c r="RVD1333" s="4" t="s">
        <v>2877</v>
      </c>
      <c r="RVE1333" s="4" t="s">
        <v>2877</v>
      </c>
      <c r="RVF1333" s="4" t="s">
        <v>2877</v>
      </c>
      <c r="RVG1333" s="4" t="s">
        <v>2877</v>
      </c>
      <c r="RVH1333" s="4" t="s">
        <v>2877</v>
      </c>
      <c r="RVI1333" s="4" t="s">
        <v>2877</v>
      </c>
      <c r="RVJ1333" s="4" t="s">
        <v>2877</v>
      </c>
      <c r="RVK1333" s="4" t="s">
        <v>2877</v>
      </c>
      <c r="RVL1333" s="4" t="s">
        <v>2877</v>
      </c>
      <c r="RVM1333" s="4" t="s">
        <v>2877</v>
      </c>
      <c r="RVN1333" s="4" t="s">
        <v>2877</v>
      </c>
      <c r="RVO1333" s="4" t="s">
        <v>2877</v>
      </c>
      <c r="RVP1333" s="4" t="s">
        <v>2877</v>
      </c>
      <c r="RVQ1333" s="4" t="s">
        <v>2877</v>
      </c>
      <c r="RVR1333" s="4" t="s">
        <v>2877</v>
      </c>
      <c r="RVS1333" s="4" t="s">
        <v>2877</v>
      </c>
      <c r="RVT1333" s="4" t="s">
        <v>2877</v>
      </c>
      <c r="RVU1333" s="4" t="s">
        <v>2877</v>
      </c>
      <c r="RVV1333" s="4" t="s">
        <v>2877</v>
      </c>
      <c r="RVW1333" s="4" t="s">
        <v>2877</v>
      </c>
      <c r="RVX1333" s="4" t="s">
        <v>2877</v>
      </c>
      <c r="RVY1333" s="4" t="s">
        <v>2877</v>
      </c>
      <c r="RVZ1333" s="4" t="s">
        <v>2877</v>
      </c>
      <c r="RWA1333" s="4" t="s">
        <v>2877</v>
      </c>
      <c r="RWB1333" s="4" t="s">
        <v>2877</v>
      </c>
      <c r="RWC1333" s="4" t="s">
        <v>2877</v>
      </c>
      <c r="RWD1333" s="4" t="s">
        <v>2877</v>
      </c>
      <c r="RWE1333" s="4" t="s">
        <v>2877</v>
      </c>
      <c r="RWF1333" s="4" t="s">
        <v>2877</v>
      </c>
      <c r="RWG1333" s="4" t="s">
        <v>2877</v>
      </c>
      <c r="RWH1333" s="4" t="s">
        <v>2877</v>
      </c>
      <c r="RWI1333" s="4" t="s">
        <v>2877</v>
      </c>
      <c r="RWJ1333" s="4" t="s">
        <v>2877</v>
      </c>
      <c r="RWK1333" s="4" t="s">
        <v>2877</v>
      </c>
      <c r="RWL1333" s="4" t="s">
        <v>2877</v>
      </c>
      <c r="RWM1333" s="4" t="s">
        <v>2877</v>
      </c>
      <c r="RWN1333" s="4" t="s">
        <v>2877</v>
      </c>
      <c r="RWO1333" s="4" t="s">
        <v>2877</v>
      </c>
      <c r="RWP1333" s="4" t="s">
        <v>2877</v>
      </c>
      <c r="RWQ1333" s="4" t="s">
        <v>2877</v>
      </c>
      <c r="RWR1333" s="4" t="s">
        <v>2877</v>
      </c>
      <c r="RWS1333" s="4" t="s">
        <v>2877</v>
      </c>
      <c r="RWT1333" s="4" t="s">
        <v>2877</v>
      </c>
      <c r="RWU1333" s="4" t="s">
        <v>2877</v>
      </c>
      <c r="RWV1333" s="4" t="s">
        <v>2877</v>
      </c>
      <c r="RWW1333" s="4" t="s">
        <v>2877</v>
      </c>
      <c r="RWX1333" s="4" t="s">
        <v>2877</v>
      </c>
      <c r="RWY1333" s="4" t="s">
        <v>2877</v>
      </c>
      <c r="RWZ1333" s="4" t="s">
        <v>2877</v>
      </c>
      <c r="RXA1333" s="4" t="s">
        <v>2877</v>
      </c>
      <c r="RXB1333" s="4" t="s">
        <v>2877</v>
      </c>
      <c r="RXC1333" s="4" t="s">
        <v>2877</v>
      </c>
      <c r="RXD1333" s="4" t="s">
        <v>2877</v>
      </c>
      <c r="RXE1333" s="4" t="s">
        <v>2877</v>
      </c>
      <c r="RXF1333" s="4" t="s">
        <v>2877</v>
      </c>
      <c r="RXG1333" s="4" t="s">
        <v>2877</v>
      </c>
      <c r="RXH1333" s="4" t="s">
        <v>2877</v>
      </c>
      <c r="RXI1333" s="4" t="s">
        <v>2877</v>
      </c>
      <c r="RXJ1333" s="4" t="s">
        <v>2877</v>
      </c>
      <c r="RXK1333" s="4" t="s">
        <v>2877</v>
      </c>
      <c r="RXL1333" s="4" t="s">
        <v>2877</v>
      </c>
      <c r="RXM1333" s="4" t="s">
        <v>2877</v>
      </c>
      <c r="RXN1333" s="4" t="s">
        <v>2877</v>
      </c>
      <c r="RXO1333" s="4" t="s">
        <v>2877</v>
      </c>
      <c r="RXP1333" s="4" t="s">
        <v>2877</v>
      </c>
      <c r="RXQ1333" s="4" t="s">
        <v>2877</v>
      </c>
      <c r="RXR1333" s="4" t="s">
        <v>2877</v>
      </c>
      <c r="RXS1333" s="4" t="s">
        <v>2877</v>
      </c>
      <c r="RXT1333" s="4" t="s">
        <v>2877</v>
      </c>
      <c r="RXU1333" s="4" t="s">
        <v>2877</v>
      </c>
      <c r="RXV1333" s="4" t="s">
        <v>2877</v>
      </c>
      <c r="RXW1333" s="4" t="s">
        <v>2877</v>
      </c>
      <c r="RXX1333" s="4" t="s">
        <v>2877</v>
      </c>
      <c r="RXY1333" s="4" t="s">
        <v>2877</v>
      </c>
      <c r="RXZ1333" s="4" t="s">
        <v>2877</v>
      </c>
      <c r="RYA1333" s="4" t="s">
        <v>2877</v>
      </c>
      <c r="RYB1333" s="4" t="s">
        <v>2877</v>
      </c>
      <c r="RYC1333" s="4" t="s">
        <v>2877</v>
      </c>
      <c r="RYD1333" s="4" t="s">
        <v>2877</v>
      </c>
      <c r="RYE1333" s="4" t="s">
        <v>2877</v>
      </c>
      <c r="RYF1333" s="4" t="s">
        <v>2877</v>
      </c>
      <c r="RYG1333" s="4" t="s">
        <v>2877</v>
      </c>
      <c r="RYH1333" s="4" t="s">
        <v>2877</v>
      </c>
      <c r="RYI1333" s="4" t="s">
        <v>2877</v>
      </c>
      <c r="RYJ1333" s="4" t="s">
        <v>2877</v>
      </c>
      <c r="RYK1333" s="4" t="s">
        <v>2877</v>
      </c>
      <c r="RYL1333" s="4" t="s">
        <v>2877</v>
      </c>
      <c r="RYM1333" s="4" t="s">
        <v>2877</v>
      </c>
      <c r="RYN1333" s="4" t="s">
        <v>2877</v>
      </c>
      <c r="RYO1333" s="4" t="s">
        <v>2877</v>
      </c>
      <c r="RYP1333" s="4" t="s">
        <v>2877</v>
      </c>
      <c r="RYQ1333" s="4" t="s">
        <v>2877</v>
      </c>
      <c r="RYR1333" s="4" t="s">
        <v>2877</v>
      </c>
      <c r="RYS1333" s="4" t="s">
        <v>2877</v>
      </c>
      <c r="RYT1333" s="4" t="s">
        <v>2877</v>
      </c>
      <c r="RYU1333" s="4" t="s">
        <v>2877</v>
      </c>
      <c r="RYV1333" s="4" t="s">
        <v>2877</v>
      </c>
      <c r="RYW1333" s="4" t="s">
        <v>2877</v>
      </c>
      <c r="RYX1333" s="4" t="s">
        <v>2877</v>
      </c>
      <c r="RYY1333" s="4" t="s">
        <v>2877</v>
      </c>
      <c r="RYZ1333" s="4" t="s">
        <v>2877</v>
      </c>
      <c r="RZA1333" s="4" t="s">
        <v>2877</v>
      </c>
      <c r="RZB1333" s="4" t="s">
        <v>2877</v>
      </c>
      <c r="RZC1333" s="4" t="s">
        <v>2877</v>
      </c>
      <c r="RZD1333" s="4" t="s">
        <v>2877</v>
      </c>
      <c r="RZE1333" s="4" t="s">
        <v>2877</v>
      </c>
      <c r="RZF1333" s="4" t="s">
        <v>2877</v>
      </c>
      <c r="RZG1333" s="4" t="s">
        <v>2877</v>
      </c>
      <c r="RZH1333" s="4" t="s">
        <v>2877</v>
      </c>
      <c r="RZI1333" s="4" t="s">
        <v>2877</v>
      </c>
      <c r="RZJ1333" s="4" t="s">
        <v>2877</v>
      </c>
      <c r="RZK1333" s="4" t="s">
        <v>2877</v>
      </c>
      <c r="RZL1333" s="4" t="s">
        <v>2877</v>
      </c>
      <c r="RZM1333" s="4" t="s">
        <v>2877</v>
      </c>
      <c r="RZN1333" s="4" t="s">
        <v>2877</v>
      </c>
      <c r="RZO1333" s="4" t="s">
        <v>2877</v>
      </c>
      <c r="RZP1333" s="4" t="s">
        <v>2877</v>
      </c>
      <c r="RZQ1333" s="4" t="s">
        <v>2877</v>
      </c>
      <c r="RZR1333" s="4" t="s">
        <v>2877</v>
      </c>
      <c r="RZS1333" s="4" t="s">
        <v>2877</v>
      </c>
      <c r="RZT1333" s="4" t="s">
        <v>2877</v>
      </c>
      <c r="RZU1333" s="4" t="s">
        <v>2877</v>
      </c>
      <c r="RZV1333" s="4" t="s">
        <v>2877</v>
      </c>
      <c r="RZW1333" s="4" t="s">
        <v>2877</v>
      </c>
      <c r="RZX1333" s="4" t="s">
        <v>2877</v>
      </c>
      <c r="RZY1333" s="4" t="s">
        <v>2877</v>
      </c>
      <c r="RZZ1333" s="4" t="s">
        <v>2877</v>
      </c>
      <c r="SAA1333" s="4" t="s">
        <v>2877</v>
      </c>
      <c r="SAB1333" s="4" t="s">
        <v>2877</v>
      </c>
      <c r="SAC1333" s="4" t="s">
        <v>2877</v>
      </c>
      <c r="SAD1333" s="4" t="s">
        <v>2877</v>
      </c>
      <c r="SAE1333" s="4" t="s">
        <v>2877</v>
      </c>
      <c r="SAF1333" s="4" t="s">
        <v>2877</v>
      </c>
      <c r="SAG1333" s="4" t="s">
        <v>2877</v>
      </c>
      <c r="SAH1333" s="4" t="s">
        <v>2877</v>
      </c>
      <c r="SAI1333" s="4" t="s">
        <v>2877</v>
      </c>
      <c r="SAJ1333" s="4" t="s">
        <v>2877</v>
      </c>
      <c r="SAK1333" s="4" t="s">
        <v>2877</v>
      </c>
      <c r="SAL1333" s="4" t="s">
        <v>2877</v>
      </c>
      <c r="SAM1333" s="4" t="s">
        <v>2877</v>
      </c>
      <c r="SAN1333" s="4" t="s">
        <v>2877</v>
      </c>
      <c r="SAO1333" s="4" t="s">
        <v>2877</v>
      </c>
      <c r="SAP1333" s="4" t="s">
        <v>2877</v>
      </c>
      <c r="SAQ1333" s="4" t="s">
        <v>2877</v>
      </c>
      <c r="SAR1333" s="4" t="s">
        <v>2877</v>
      </c>
      <c r="SAS1333" s="4" t="s">
        <v>2877</v>
      </c>
      <c r="SAT1333" s="4" t="s">
        <v>2877</v>
      </c>
      <c r="SAU1333" s="4" t="s">
        <v>2877</v>
      </c>
      <c r="SAV1333" s="4" t="s">
        <v>2877</v>
      </c>
      <c r="SAW1333" s="4" t="s">
        <v>2877</v>
      </c>
      <c r="SAX1333" s="4" t="s">
        <v>2877</v>
      </c>
      <c r="SAY1333" s="4" t="s">
        <v>2877</v>
      </c>
      <c r="SAZ1333" s="4" t="s">
        <v>2877</v>
      </c>
      <c r="SBA1333" s="4" t="s">
        <v>2877</v>
      </c>
      <c r="SBB1333" s="4" t="s">
        <v>2877</v>
      </c>
      <c r="SBC1333" s="4" t="s">
        <v>2877</v>
      </c>
      <c r="SBD1333" s="4" t="s">
        <v>2877</v>
      </c>
      <c r="SBE1333" s="4" t="s">
        <v>2877</v>
      </c>
      <c r="SBF1333" s="4" t="s">
        <v>2877</v>
      </c>
      <c r="SBG1333" s="4" t="s">
        <v>2877</v>
      </c>
      <c r="SBH1333" s="4" t="s">
        <v>2877</v>
      </c>
      <c r="SBI1333" s="4" t="s">
        <v>2877</v>
      </c>
      <c r="SBJ1333" s="4" t="s">
        <v>2877</v>
      </c>
      <c r="SBK1333" s="4" t="s">
        <v>2877</v>
      </c>
      <c r="SBL1333" s="4" t="s">
        <v>2877</v>
      </c>
      <c r="SBM1333" s="4" t="s">
        <v>2877</v>
      </c>
      <c r="SBN1333" s="4" t="s">
        <v>2877</v>
      </c>
      <c r="SBO1333" s="4" t="s">
        <v>2877</v>
      </c>
      <c r="SBP1333" s="4" t="s">
        <v>2877</v>
      </c>
      <c r="SBQ1333" s="4" t="s">
        <v>2877</v>
      </c>
      <c r="SBR1333" s="4" t="s">
        <v>2877</v>
      </c>
      <c r="SBS1333" s="4" t="s">
        <v>2877</v>
      </c>
      <c r="SBT1333" s="4" t="s">
        <v>2877</v>
      </c>
      <c r="SBU1333" s="4" t="s">
        <v>2877</v>
      </c>
      <c r="SBV1333" s="4" t="s">
        <v>2877</v>
      </c>
      <c r="SBW1333" s="4" t="s">
        <v>2877</v>
      </c>
      <c r="SBX1333" s="4" t="s">
        <v>2877</v>
      </c>
      <c r="SBY1333" s="4" t="s">
        <v>2877</v>
      </c>
      <c r="SBZ1333" s="4" t="s">
        <v>2877</v>
      </c>
      <c r="SCA1333" s="4" t="s">
        <v>2877</v>
      </c>
      <c r="SCB1333" s="4" t="s">
        <v>2877</v>
      </c>
      <c r="SCC1333" s="4" t="s">
        <v>2877</v>
      </c>
      <c r="SCD1333" s="4" t="s">
        <v>2877</v>
      </c>
      <c r="SCE1333" s="4" t="s">
        <v>2877</v>
      </c>
      <c r="SCF1333" s="4" t="s">
        <v>2877</v>
      </c>
      <c r="SCG1333" s="4" t="s">
        <v>2877</v>
      </c>
      <c r="SCH1333" s="4" t="s">
        <v>2877</v>
      </c>
      <c r="SCI1333" s="4" t="s">
        <v>2877</v>
      </c>
      <c r="SCJ1333" s="4" t="s">
        <v>2877</v>
      </c>
      <c r="SCK1333" s="4" t="s">
        <v>2877</v>
      </c>
      <c r="SCL1333" s="4" t="s">
        <v>2877</v>
      </c>
      <c r="SCM1333" s="4" t="s">
        <v>2877</v>
      </c>
      <c r="SCN1333" s="4" t="s">
        <v>2877</v>
      </c>
      <c r="SCO1333" s="4" t="s">
        <v>2877</v>
      </c>
      <c r="SCP1333" s="4" t="s">
        <v>2877</v>
      </c>
      <c r="SCQ1333" s="4" t="s">
        <v>2877</v>
      </c>
      <c r="SCR1333" s="4" t="s">
        <v>2877</v>
      </c>
      <c r="SCS1333" s="4" t="s">
        <v>2877</v>
      </c>
      <c r="SCT1333" s="4" t="s">
        <v>2877</v>
      </c>
      <c r="SCU1333" s="4" t="s">
        <v>2877</v>
      </c>
      <c r="SCV1333" s="4" t="s">
        <v>2877</v>
      </c>
      <c r="SCW1333" s="4" t="s">
        <v>2877</v>
      </c>
      <c r="SCX1333" s="4" t="s">
        <v>2877</v>
      </c>
      <c r="SCY1333" s="4" t="s">
        <v>2877</v>
      </c>
      <c r="SCZ1333" s="4" t="s">
        <v>2877</v>
      </c>
      <c r="SDA1333" s="4" t="s">
        <v>2877</v>
      </c>
      <c r="SDB1333" s="4" t="s">
        <v>2877</v>
      </c>
      <c r="SDC1333" s="4" t="s">
        <v>2877</v>
      </c>
      <c r="SDD1333" s="4" t="s">
        <v>2877</v>
      </c>
      <c r="SDE1333" s="4" t="s">
        <v>2877</v>
      </c>
      <c r="SDF1333" s="4" t="s">
        <v>2877</v>
      </c>
      <c r="SDG1333" s="4" t="s">
        <v>2877</v>
      </c>
      <c r="SDH1333" s="4" t="s">
        <v>2877</v>
      </c>
      <c r="SDI1333" s="4" t="s">
        <v>2877</v>
      </c>
      <c r="SDJ1333" s="4" t="s">
        <v>2877</v>
      </c>
      <c r="SDK1333" s="4" t="s">
        <v>2877</v>
      </c>
      <c r="SDL1333" s="4" t="s">
        <v>2877</v>
      </c>
      <c r="SDM1333" s="4" t="s">
        <v>2877</v>
      </c>
      <c r="SDN1333" s="4" t="s">
        <v>2877</v>
      </c>
      <c r="SDO1333" s="4" t="s">
        <v>2877</v>
      </c>
      <c r="SDP1333" s="4" t="s">
        <v>2877</v>
      </c>
      <c r="SDQ1333" s="4" t="s">
        <v>2877</v>
      </c>
      <c r="SDR1333" s="4" t="s">
        <v>2877</v>
      </c>
      <c r="SDS1333" s="4" t="s">
        <v>2877</v>
      </c>
      <c r="SDT1333" s="4" t="s">
        <v>2877</v>
      </c>
      <c r="SDU1333" s="4" t="s">
        <v>2877</v>
      </c>
      <c r="SDV1333" s="4" t="s">
        <v>2877</v>
      </c>
      <c r="SDW1333" s="4" t="s">
        <v>2877</v>
      </c>
      <c r="SDX1333" s="4" t="s">
        <v>2877</v>
      </c>
      <c r="SDY1333" s="4" t="s">
        <v>2877</v>
      </c>
      <c r="SDZ1333" s="4" t="s">
        <v>2877</v>
      </c>
      <c r="SEA1333" s="4" t="s">
        <v>2877</v>
      </c>
      <c r="SEB1333" s="4" t="s">
        <v>2877</v>
      </c>
      <c r="SEC1333" s="4" t="s">
        <v>2877</v>
      </c>
      <c r="SED1333" s="4" t="s">
        <v>2877</v>
      </c>
      <c r="SEE1333" s="4" t="s">
        <v>2877</v>
      </c>
      <c r="SEF1333" s="4" t="s">
        <v>2877</v>
      </c>
      <c r="SEG1333" s="4" t="s">
        <v>2877</v>
      </c>
      <c r="SEH1333" s="4" t="s">
        <v>2877</v>
      </c>
      <c r="SEI1333" s="4" t="s">
        <v>2877</v>
      </c>
      <c r="SEJ1333" s="4" t="s">
        <v>2877</v>
      </c>
      <c r="SEK1333" s="4" t="s">
        <v>2877</v>
      </c>
      <c r="SEL1333" s="4" t="s">
        <v>2877</v>
      </c>
      <c r="SEM1333" s="4" t="s">
        <v>2877</v>
      </c>
      <c r="SEN1333" s="4" t="s">
        <v>2877</v>
      </c>
      <c r="SEO1333" s="4" t="s">
        <v>2877</v>
      </c>
      <c r="SEP1333" s="4" t="s">
        <v>2877</v>
      </c>
      <c r="SEQ1333" s="4" t="s">
        <v>2877</v>
      </c>
      <c r="SER1333" s="4" t="s">
        <v>2877</v>
      </c>
      <c r="SES1333" s="4" t="s">
        <v>2877</v>
      </c>
      <c r="SET1333" s="4" t="s">
        <v>2877</v>
      </c>
      <c r="SEU1333" s="4" t="s">
        <v>2877</v>
      </c>
      <c r="SEV1333" s="4" t="s">
        <v>2877</v>
      </c>
      <c r="SEW1333" s="4" t="s">
        <v>2877</v>
      </c>
      <c r="SEX1333" s="4" t="s">
        <v>2877</v>
      </c>
      <c r="SEY1333" s="4" t="s">
        <v>2877</v>
      </c>
      <c r="SEZ1333" s="4" t="s">
        <v>2877</v>
      </c>
      <c r="SFA1333" s="4" t="s">
        <v>2877</v>
      </c>
      <c r="SFB1333" s="4" t="s">
        <v>2877</v>
      </c>
      <c r="SFC1333" s="4" t="s">
        <v>2877</v>
      </c>
      <c r="SFD1333" s="4" t="s">
        <v>2877</v>
      </c>
      <c r="SFE1333" s="4" t="s">
        <v>2877</v>
      </c>
      <c r="SFF1333" s="4" t="s">
        <v>2877</v>
      </c>
      <c r="SFG1333" s="4" t="s">
        <v>2877</v>
      </c>
      <c r="SFH1333" s="4" t="s">
        <v>2877</v>
      </c>
      <c r="SFI1333" s="4" t="s">
        <v>2877</v>
      </c>
      <c r="SFJ1333" s="4" t="s">
        <v>2877</v>
      </c>
      <c r="SFK1333" s="4" t="s">
        <v>2877</v>
      </c>
      <c r="SFL1333" s="4" t="s">
        <v>2877</v>
      </c>
      <c r="SFM1333" s="4" t="s">
        <v>2877</v>
      </c>
      <c r="SFN1333" s="4" t="s">
        <v>2877</v>
      </c>
      <c r="SFO1333" s="4" t="s">
        <v>2877</v>
      </c>
      <c r="SFP1333" s="4" t="s">
        <v>2877</v>
      </c>
      <c r="SFQ1333" s="4" t="s">
        <v>2877</v>
      </c>
      <c r="SFR1333" s="4" t="s">
        <v>2877</v>
      </c>
      <c r="SFS1333" s="4" t="s">
        <v>2877</v>
      </c>
      <c r="SFT1333" s="4" t="s">
        <v>2877</v>
      </c>
      <c r="SFU1333" s="4" t="s">
        <v>2877</v>
      </c>
      <c r="SFV1333" s="4" t="s">
        <v>2877</v>
      </c>
      <c r="SFW1333" s="4" t="s">
        <v>2877</v>
      </c>
      <c r="SFX1333" s="4" t="s">
        <v>2877</v>
      </c>
      <c r="SFY1333" s="4" t="s">
        <v>2877</v>
      </c>
      <c r="SFZ1333" s="4" t="s">
        <v>2877</v>
      </c>
      <c r="SGA1333" s="4" t="s">
        <v>2877</v>
      </c>
      <c r="SGB1333" s="4" t="s">
        <v>2877</v>
      </c>
      <c r="SGC1333" s="4" t="s">
        <v>2877</v>
      </c>
      <c r="SGD1333" s="4" t="s">
        <v>2877</v>
      </c>
      <c r="SGE1333" s="4" t="s">
        <v>2877</v>
      </c>
      <c r="SGF1333" s="4" t="s">
        <v>2877</v>
      </c>
      <c r="SGG1333" s="4" t="s">
        <v>2877</v>
      </c>
      <c r="SGH1333" s="4" t="s">
        <v>2877</v>
      </c>
      <c r="SGI1333" s="4" t="s">
        <v>2877</v>
      </c>
      <c r="SGJ1333" s="4" t="s">
        <v>2877</v>
      </c>
      <c r="SGK1333" s="4" t="s">
        <v>2877</v>
      </c>
      <c r="SGL1333" s="4" t="s">
        <v>2877</v>
      </c>
      <c r="SGM1333" s="4" t="s">
        <v>2877</v>
      </c>
      <c r="SGN1333" s="4" t="s">
        <v>2877</v>
      </c>
      <c r="SGO1333" s="4" t="s">
        <v>2877</v>
      </c>
      <c r="SGP1333" s="4" t="s">
        <v>2877</v>
      </c>
      <c r="SGQ1333" s="4" t="s">
        <v>2877</v>
      </c>
      <c r="SGR1333" s="4" t="s">
        <v>2877</v>
      </c>
      <c r="SGS1333" s="4" t="s">
        <v>2877</v>
      </c>
      <c r="SGT1333" s="4" t="s">
        <v>2877</v>
      </c>
      <c r="SGU1333" s="4" t="s">
        <v>2877</v>
      </c>
      <c r="SGV1333" s="4" t="s">
        <v>2877</v>
      </c>
      <c r="SGW1333" s="4" t="s">
        <v>2877</v>
      </c>
      <c r="SGX1333" s="4" t="s">
        <v>2877</v>
      </c>
      <c r="SGY1333" s="4" t="s">
        <v>2877</v>
      </c>
      <c r="SGZ1333" s="4" t="s">
        <v>2877</v>
      </c>
      <c r="SHA1333" s="4" t="s">
        <v>2877</v>
      </c>
      <c r="SHB1333" s="4" t="s">
        <v>2877</v>
      </c>
      <c r="SHC1333" s="4" t="s">
        <v>2877</v>
      </c>
      <c r="SHD1333" s="4" t="s">
        <v>2877</v>
      </c>
      <c r="SHE1333" s="4" t="s">
        <v>2877</v>
      </c>
      <c r="SHF1333" s="4" t="s">
        <v>2877</v>
      </c>
      <c r="SHG1333" s="4" t="s">
        <v>2877</v>
      </c>
      <c r="SHH1333" s="4" t="s">
        <v>2877</v>
      </c>
      <c r="SHI1333" s="4" t="s">
        <v>2877</v>
      </c>
      <c r="SHJ1333" s="4" t="s">
        <v>2877</v>
      </c>
      <c r="SHK1333" s="4" t="s">
        <v>2877</v>
      </c>
      <c r="SHL1333" s="4" t="s">
        <v>2877</v>
      </c>
      <c r="SHM1333" s="4" t="s">
        <v>2877</v>
      </c>
      <c r="SHN1333" s="4" t="s">
        <v>2877</v>
      </c>
      <c r="SHO1333" s="4" t="s">
        <v>2877</v>
      </c>
      <c r="SHP1333" s="4" t="s">
        <v>2877</v>
      </c>
      <c r="SHQ1333" s="4" t="s">
        <v>2877</v>
      </c>
      <c r="SHR1333" s="4" t="s">
        <v>2877</v>
      </c>
      <c r="SHS1333" s="4" t="s">
        <v>2877</v>
      </c>
      <c r="SHT1333" s="4" t="s">
        <v>2877</v>
      </c>
      <c r="SHU1333" s="4" t="s">
        <v>2877</v>
      </c>
      <c r="SHV1333" s="4" t="s">
        <v>2877</v>
      </c>
      <c r="SHW1333" s="4" t="s">
        <v>2877</v>
      </c>
      <c r="SHX1333" s="4" t="s">
        <v>2877</v>
      </c>
      <c r="SHY1333" s="4" t="s">
        <v>2877</v>
      </c>
      <c r="SHZ1333" s="4" t="s">
        <v>2877</v>
      </c>
      <c r="SIA1333" s="4" t="s">
        <v>2877</v>
      </c>
      <c r="SIB1333" s="4" t="s">
        <v>2877</v>
      </c>
      <c r="SIC1333" s="4" t="s">
        <v>2877</v>
      </c>
      <c r="SID1333" s="4" t="s">
        <v>2877</v>
      </c>
      <c r="SIE1333" s="4" t="s">
        <v>2877</v>
      </c>
      <c r="SIF1333" s="4" t="s">
        <v>2877</v>
      </c>
      <c r="SIG1333" s="4" t="s">
        <v>2877</v>
      </c>
      <c r="SIH1333" s="4" t="s">
        <v>2877</v>
      </c>
      <c r="SII1333" s="4" t="s">
        <v>2877</v>
      </c>
      <c r="SIJ1333" s="4" t="s">
        <v>2877</v>
      </c>
      <c r="SIK1333" s="4" t="s">
        <v>2877</v>
      </c>
      <c r="SIL1333" s="4" t="s">
        <v>2877</v>
      </c>
      <c r="SIM1333" s="4" t="s">
        <v>2877</v>
      </c>
      <c r="SIN1333" s="4" t="s">
        <v>2877</v>
      </c>
      <c r="SIO1333" s="4" t="s">
        <v>2877</v>
      </c>
      <c r="SIP1333" s="4" t="s">
        <v>2877</v>
      </c>
      <c r="SIQ1333" s="4" t="s">
        <v>2877</v>
      </c>
      <c r="SIR1333" s="4" t="s">
        <v>2877</v>
      </c>
      <c r="SIS1333" s="4" t="s">
        <v>2877</v>
      </c>
      <c r="SIT1333" s="4" t="s">
        <v>2877</v>
      </c>
      <c r="SIU1333" s="4" t="s">
        <v>2877</v>
      </c>
      <c r="SIV1333" s="4" t="s">
        <v>2877</v>
      </c>
      <c r="SIW1333" s="4" t="s">
        <v>2877</v>
      </c>
      <c r="SIX1333" s="4" t="s">
        <v>2877</v>
      </c>
      <c r="SIY1333" s="4" t="s">
        <v>2877</v>
      </c>
      <c r="SIZ1333" s="4" t="s">
        <v>2877</v>
      </c>
      <c r="SJA1333" s="4" t="s">
        <v>2877</v>
      </c>
      <c r="SJB1333" s="4" t="s">
        <v>2877</v>
      </c>
      <c r="SJC1333" s="4" t="s">
        <v>2877</v>
      </c>
      <c r="SJD1333" s="4" t="s">
        <v>2877</v>
      </c>
      <c r="SJE1333" s="4" t="s">
        <v>2877</v>
      </c>
      <c r="SJF1333" s="4" t="s">
        <v>2877</v>
      </c>
      <c r="SJG1333" s="4" t="s">
        <v>2877</v>
      </c>
      <c r="SJH1333" s="4" t="s">
        <v>2877</v>
      </c>
      <c r="SJI1333" s="4" t="s">
        <v>2877</v>
      </c>
      <c r="SJJ1333" s="4" t="s">
        <v>2877</v>
      </c>
      <c r="SJK1333" s="4" t="s">
        <v>2877</v>
      </c>
      <c r="SJL1333" s="4" t="s">
        <v>2877</v>
      </c>
      <c r="SJM1333" s="4" t="s">
        <v>2877</v>
      </c>
      <c r="SJN1333" s="4" t="s">
        <v>2877</v>
      </c>
      <c r="SJO1333" s="4" t="s">
        <v>2877</v>
      </c>
      <c r="SJP1333" s="4" t="s">
        <v>2877</v>
      </c>
      <c r="SJQ1333" s="4" t="s">
        <v>2877</v>
      </c>
      <c r="SJR1333" s="4" t="s">
        <v>2877</v>
      </c>
      <c r="SJS1333" s="4" t="s">
        <v>2877</v>
      </c>
      <c r="SJT1333" s="4" t="s">
        <v>2877</v>
      </c>
      <c r="SJU1333" s="4" t="s">
        <v>2877</v>
      </c>
      <c r="SJV1333" s="4" t="s">
        <v>2877</v>
      </c>
      <c r="SJW1333" s="4" t="s">
        <v>2877</v>
      </c>
      <c r="SJX1333" s="4" t="s">
        <v>2877</v>
      </c>
      <c r="SJY1333" s="4" t="s">
        <v>2877</v>
      </c>
      <c r="SJZ1333" s="4" t="s">
        <v>2877</v>
      </c>
      <c r="SKA1333" s="4" t="s">
        <v>2877</v>
      </c>
      <c r="SKB1333" s="4" t="s">
        <v>2877</v>
      </c>
      <c r="SKC1333" s="4" t="s">
        <v>2877</v>
      </c>
      <c r="SKD1333" s="4" t="s">
        <v>2877</v>
      </c>
      <c r="SKE1333" s="4" t="s">
        <v>2877</v>
      </c>
      <c r="SKF1333" s="4" t="s">
        <v>2877</v>
      </c>
      <c r="SKG1333" s="4" t="s">
        <v>2877</v>
      </c>
      <c r="SKH1333" s="4" t="s">
        <v>2877</v>
      </c>
      <c r="SKI1333" s="4" t="s">
        <v>2877</v>
      </c>
      <c r="SKJ1333" s="4" t="s">
        <v>2877</v>
      </c>
      <c r="SKK1333" s="4" t="s">
        <v>2877</v>
      </c>
      <c r="SKL1333" s="4" t="s">
        <v>2877</v>
      </c>
      <c r="SKM1333" s="4" t="s">
        <v>2877</v>
      </c>
      <c r="SKN1333" s="4" t="s">
        <v>2877</v>
      </c>
      <c r="SKO1333" s="4" t="s">
        <v>2877</v>
      </c>
      <c r="SKP1333" s="4" t="s">
        <v>2877</v>
      </c>
      <c r="SKQ1333" s="4" t="s">
        <v>2877</v>
      </c>
      <c r="SKR1333" s="4" t="s">
        <v>2877</v>
      </c>
      <c r="SKS1333" s="4" t="s">
        <v>2877</v>
      </c>
      <c r="SKT1333" s="4" t="s">
        <v>2877</v>
      </c>
      <c r="SKU1333" s="4" t="s">
        <v>2877</v>
      </c>
      <c r="SKV1333" s="4" t="s">
        <v>2877</v>
      </c>
      <c r="SKW1333" s="4" t="s">
        <v>2877</v>
      </c>
      <c r="SKX1333" s="4" t="s">
        <v>2877</v>
      </c>
      <c r="SKY1333" s="4" t="s">
        <v>2877</v>
      </c>
      <c r="SKZ1333" s="4" t="s">
        <v>2877</v>
      </c>
      <c r="SLA1333" s="4" t="s">
        <v>2877</v>
      </c>
      <c r="SLB1333" s="4" t="s">
        <v>2877</v>
      </c>
      <c r="SLC1333" s="4" t="s">
        <v>2877</v>
      </c>
      <c r="SLD1333" s="4" t="s">
        <v>2877</v>
      </c>
      <c r="SLE1333" s="4" t="s">
        <v>2877</v>
      </c>
      <c r="SLF1333" s="4" t="s">
        <v>2877</v>
      </c>
      <c r="SLG1333" s="4" t="s">
        <v>2877</v>
      </c>
      <c r="SLH1333" s="4" t="s">
        <v>2877</v>
      </c>
      <c r="SLI1333" s="4" t="s">
        <v>2877</v>
      </c>
      <c r="SLJ1333" s="4" t="s">
        <v>2877</v>
      </c>
      <c r="SLK1333" s="4" t="s">
        <v>2877</v>
      </c>
      <c r="SLL1333" s="4" t="s">
        <v>2877</v>
      </c>
      <c r="SLM1333" s="4" t="s">
        <v>2877</v>
      </c>
      <c r="SLN1333" s="4" t="s">
        <v>2877</v>
      </c>
      <c r="SLO1333" s="4" t="s">
        <v>2877</v>
      </c>
      <c r="SLP1333" s="4" t="s">
        <v>2877</v>
      </c>
      <c r="SLQ1333" s="4" t="s">
        <v>2877</v>
      </c>
      <c r="SLR1333" s="4" t="s">
        <v>2877</v>
      </c>
      <c r="SLS1333" s="4" t="s">
        <v>2877</v>
      </c>
      <c r="SLT1333" s="4" t="s">
        <v>2877</v>
      </c>
      <c r="SLU1333" s="4" t="s">
        <v>2877</v>
      </c>
      <c r="SLV1333" s="4" t="s">
        <v>2877</v>
      </c>
      <c r="SLW1333" s="4" t="s">
        <v>2877</v>
      </c>
      <c r="SLX1333" s="4" t="s">
        <v>2877</v>
      </c>
      <c r="SLY1333" s="4" t="s">
        <v>2877</v>
      </c>
      <c r="SLZ1333" s="4" t="s">
        <v>2877</v>
      </c>
      <c r="SMA1333" s="4" t="s">
        <v>2877</v>
      </c>
      <c r="SMB1333" s="4" t="s">
        <v>2877</v>
      </c>
      <c r="SMC1333" s="4" t="s">
        <v>2877</v>
      </c>
      <c r="SMD1333" s="4" t="s">
        <v>2877</v>
      </c>
      <c r="SME1333" s="4" t="s">
        <v>2877</v>
      </c>
      <c r="SMF1333" s="4" t="s">
        <v>2877</v>
      </c>
      <c r="SMG1333" s="4" t="s">
        <v>2877</v>
      </c>
      <c r="SMH1333" s="4" t="s">
        <v>2877</v>
      </c>
      <c r="SMI1333" s="4" t="s">
        <v>2877</v>
      </c>
      <c r="SMJ1333" s="4" t="s">
        <v>2877</v>
      </c>
      <c r="SMK1333" s="4" t="s">
        <v>2877</v>
      </c>
      <c r="SML1333" s="4" t="s">
        <v>2877</v>
      </c>
      <c r="SMM1333" s="4" t="s">
        <v>2877</v>
      </c>
      <c r="SMN1333" s="4" t="s">
        <v>2877</v>
      </c>
      <c r="SMO1333" s="4" t="s">
        <v>2877</v>
      </c>
      <c r="SMP1333" s="4" t="s">
        <v>2877</v>
      </c>
      <c r="SMQ1333" s="4" t="s">
        <v>2877</v>
      </c>
      <c r="SMR1333" s="4" t="s">
        <v>2877</v>
      </c>
      <c r="SMS1333" s="4" t="s">
        <v>2877</v>
      </c>
      <c r="SMT1333" s="4" t="s">
        <v>2877</v>
      </c>
      <c r="SMU1333" s="4" t="s">
        <v>2877</v>
      </c>
      <c r="SMV1333" s="4" t="s">
        <v>2877</v>
      </c>
      <c r="SMW1333" s="4" t="s">
        <v>2877</v>
      </c>
      <c r="SMX1333" s="4" t="s">
        <v>2877</v>
      </c>
      <c r="SMY1333" s="4" t="s">
        <v>2877</v>
      </c>
      <c r="SMZ1333" s="4" t="s">
        <v>2877</v>
      </c>
      <c r="SNA1333" s="4" t="s">
        <v>2877</v>
      </c>
      <c r="SNB1333" s="4" t="s">
        <v>2877</v>
      </c>
      <c r="SNC1333" s="4" t="s">
        <v>2877</v>
      </c>
      <c r="SND1333" s="4" t="s">
        <v>2877</v>
      </c>
      <c r="SNE1333" s="4" t="s">
        <v>2877</v>
      </c>
      <c r="SNF1333" s="4" t="s">
        <v>2877</v>
      </c>
      <c r="SNG1333" s="4" t="s">
        <v>2877</v>
      </c>
      <c r="SNH1333" s="4" t="s">
        <v>2877</v>
      </c>
      <c r="SNI1333" s="4" t="s">
        <v>2877</v>
      </c>
      <c r="SNJ1333" s="4" t="s">
        <v>2877</v>
      </c>
      <c r="SNK1333" s="4" t="s">
        <v>2877</v>
      </c>
      <c r="SNL1333" s="4" t="s">
        <v>2877</v>
      </c>
      <c r="SNM1333" s="4" t="s">
        <v>2877</v>
      </c>
      <c r="SNN1333" s="4" t="s">
        <v>2877</v>
      </c>
      <c r="SNO1333" s="4" t="s">
        <v>2877</v>
      </c>
      <c r="SNP1333" s="4" t="s">
        <v>2877</v>
      </c>
      <c r="SNQ1333" s="4" t="s">
        <v>2877</v>
      </c>
      <c r="SNR1333" s="4" t="s">
        <v>2877</v>
      </c>
      <c r="SNS1333" s="4" t="s">
        <v>2877</v>
      </c>
      <c r="SNT1333" s="4" t="s">
        <v>2877</v>
      </c>
      <c r="SNU1333" s="4" t="s">
        <v>2877</v>
      </c>
      <c r="SNV1333" s="4" t="s">
        <v>2877</v>
      </c>
      <c r="SNW1333" s="4" t="s">
        <v>2877</v>
      </c>
      <c r="SNX1333" s="4" t="s">
        <v>2877</v>
      </c>
      <c r="SNY1333" s="4" t="s">
        <v>2877</v>
      </c>
      <c r="SNZ1333" s="4" t="s">
        <v>2877</v>
      </c>
      <c r="SOA1333" s="4" t="s">
        <v>2877</v>
      </c>
      <c r="SOB1333" s="4" t="s">
        <v>2877</v>
      </c>
      <c r="SOC1333" s="4" t="s">
        <v>2877</v>
      </c>
      <c r="SOD1333" s="4" t="s">
        <v>2877</v>
      </c>
      <c r="SOE1333" s="4" t="s">
        <v>2877</v>
      </c>
      <c r="SOF1333" s="4" t="s">
        <v>2877</v>
      </c>
      <c r="SOG1333" s="4" t="s">
        <v>2877</v>
      </c>
      <c r="SOH1333" s="4" t="s">
        <v>2877</v>
      </c>
      <c r="SOI1333" s="4" t="s">
        <v>2877</v>
      </c>
      <c r="SOJ1333" s="4" t="s">
        <v>2877</v>
      </c>
      <c r="SOK1333" s="4" t="s">
        <v>2877</v>
      </c>
      <c r="SOL1333" s="4" t="s">
        <v>2877</v>
      </c>
      <c r="SOM1333" s="4" t="s">
        <v>2877</v>
      </c>
      <c r="SON1333" s="4" t="s">
        <v>2877</v>
      </c>
      <c r="SOO1333" s="4" t="s">
        <v>2877</v>
      </c>
      <c r="SOP1333" s="4" t="s">
        <v>2877</v>
      </c>
      <c r="SOQ1333" s="4" t="s">
        <v>2877</v>
      </c>
      <c r="SOR1333" s="4" t="s">
        <v>2877</v>
      </c>
      <c r="SOS1333" s="4" t="s">
        <v>2877</v>
      </c>
      <c r="SOT1333" s="4" t="s">
        <v>2877</v>
      </c>
      <c r="SOU1333" s="4" t="s">
        <v>2877</v>
      </c>
      <c r="SOV1333" s="4" t="s">
        <v>2877</v>
      </c>
      <c r="SOW1333" s="4" t="s">
        <v>2877</v>
      </c>
      <c r="SOX1333" s="4" t="s">
        <v>2877</v>
      </c>
      <c r="SOY1333" s="4" t="s">
        <v>2877</v>
      </c>
      <c r="SOZ1333" s="4" t="s">
        <v>2877</v>
      </c>
      <c r="SPA1333" s="4" t="s">
        <v>2877</v>
      </c>
      <c r="SPB1333" s="4" t="s">
        <v>2877</v>
      </c>
      <c r="SPC1333" s="4" t="s">
        <v>2877</v>
      </c>
      <c r="SPD1333" s="4" t="s">
        <v>2877</v>
      </c>
      <c r="SPE1333" s="4" t="s">
        <v>2877</v>
      </c>
      <c r="SPF1333" s="4" t="s">
        <v>2877</v>
      </c>
      <c r="SPG1333" s="4" t="s">
        <v>2877</v>
      </c>
      <c r="SPH1333" s="4" t="s">
        <v>2877</v>
      </c>
      <c r="SPI1333" s="4" t="s">
        <v>2877</v>
      </c>
      <c r="SPJ1333" s="4" t="s">
        <v>2877</v>
      </c>
      <c r="SPK1333" s="4" t="s">
        <v>2877</v>
      </c>
      <c r="SPL1333" s="4" t="s">
        <v>2877</v>
      </c>
      <c r="SPM1333" s="4" t="s">
        <v>2877</v>
      </c>
      <c r="SPN1333" s="4" t="s">
        <v>2877</v>
      </c>
      <c r="SPO1333" s="4" t="s">
        <v>2877</v>
      </c>
      <c r="SPP1333" s="4" t="s">
        <v>2877</v>
      </c>
      <c r="SPQ1333" s="4" t="s">
        <v>2877</v>
      </c>
      <c r="SPR1333" s="4" t="s">
        <v>2877</v>
      </c>
      <c r="SPS1333" s="4" t="s">
        <v>2877</v>
      </c>
      <c r="SPT1333" s="4" t="s">
        <v>2877</v>
      </c>
      <c r="SPU1333" s="4" t="s">
        <v>2877</v>
      </c>
      <c r="SPV1333" s="4" t="s">
        <v>2877</v>
      </c>
      <c r="SPW1333" s="4" t="s">
        <v>2877</v>
      </c>
      <c r="SPX1333" s="4" t="s">
        <v>2877</v>
      </c>
      <c r="SPY1333" s="4" t="s">
        <v>2877</v>
      </c>
      <c r="SPZ1333" s="4" t="s">
        <v>2877</v>
      </c>
      <c r="SQA1333" s="4" t="s">
        <v>2877</v>
      </c>
      <c r="SQB1333" s="4" t="s">
        <v>2877</v>
      </c>
      <c r="SQC1333" s="4" t="s">
        <v>2877</v>
      </c>
      <c r="SQD1333" s="4" t="s">
        <v>2877</v>
      </c>
      <c r="SQE1333" s="4" t="s">
        <v>2877</v>
      </c>
      <c r="SQF1333" s="4" t="s">
        <v>2877</v>
      </c>
      <c r="SQG1333" s="4" t="s">
        <v>2877</v>
      </c>
      <c r="SQH1333" s="4" t="s">
        <v>2877</v>
      </c>
      <c r="SQI1333" s="4" t="s">
        <v>2877</v>
      </c>
      <c r="SQJ1333" s="4" t="s">
        <v>2877</v>
      </c>
      <c r="SQK1333" s="4" t="s">
        <v>2877</v>
      </c>
      <c r="SQL1333" s="4" t="s">
        <v>2877</v>
      </c>
      <c r="SQM1333" s="4" t="s">
        <v>2877</v>
      </c>
      <c r="SQN1333" s="4" t="s">
        <v>2877</v>
      </c>
      <c r="SQO1333" s="4" t="s">
        <v>2877</v>
      </c>
      <c r="SQP1333" s="4" t="s">
        <v>2877</v>
      </c>
      <c r="SQQ1333" s="4" t="s">
        <v>2877</v>
      </c>
      <c r="SQR1333" s="4" t="s">
        <v>2877</v>
      </c>
      <c r="SQS1333" s="4" t="s">
        <v>2877</v>
      </c>
      <c r="SQT1333" s="4" t="s">
        <v>2877</v>
      </c>
      <c r="SQU1333" s="4" t="s">
        <v>2877</v>
      </c>
      <c r="SQV1333" s="4" t="s">
        <v>2877</v>
      </c>
      <c r="SQW1333" s="4" t="s">
        <v>2877</v>
      </c>
      <c r="SQX1333" s="4" t="s">
        <v>2877</v>
      </c>
      <c r="SQY1333" s="4" t="s">
        <v>2877</v>
      </c>
      <c r="SQZ1333" s="4" t="s">
        <v>2877</v>
      </c>
      <c r="SRA1333" s="4" t="s">
        <v>2877</v>
      </c>
      <c r="SRB1333" s="4" t="s">
        <v>2877</v>
      </c>
      <c r="SRC1333" s="4" t="s">
        <v>2877</v>
      </c>
      <c r="SRD1333" s="4" t="s">
        <v>2877</v>
      </c>
      <c r="SRE1333" s="4" t="s">
        <v>2877</v>
      </c>
      <c r="SRF1333" s="4" t="s">
        <v>2877</v>
      </c>
      <c r="SRG1333" s="4" t="s">
        <v>2877</v>
      </c>
      <c r="SRH1333" s="4" t="s">
        <v>2877</v>
      </c>
      <c r="SRI1333" s="4" t="s">
        <v>2877</v>
      </c>
      <c r="SRJ1333" s="4" t="s">
        <v>2877</v>
      </c>
      <c r="SRK1333" s="4" t="s">
        <v>2877</v>
      </c>
      <c r="SRL1333" s="4" t="s">
        <v>2877</v>
      </c>
      <c r="SRM1333" s="4" t="s">
        <v>2877</v>
      </c>
      <c r="SRN1333" s="4" t="s">
        <v>2877</v>
      </c>
      <c r="SRO1333" s="4" t="s">
        <v>2877</v>
      </c>
      <c r="SRP1333" s="4" t="s">
        <v>2877</v>
      </c>
      <c r="SRQ1333" s="4" t="s">
        <v>2877</v>
      </c>
      <c r="SRR1333" s="4" t="s">
        <v>2877</v>
      </c>
      <c r="SRS1333" s="4" t="s">
        <v>2877</v>
      </c>
      <c r="SRT1333" s="4" t="s">
        <v>2877</v>
      </c>
      <c r="SRU1333" s="4" t="s">
        <v>2877</v>
      </c>
      <c r="SRV1333" s="4" t="s">
        <v>2877</v>
      </c>
      <c r="SRW1333" s="4" t="s">
        <v>2877</v>
      </c>
      <c r="SRX1333" s="4" t="s">
        <v>2877</v>
      </c>
      <c r="SRY1333" s="4" t="s">
        <v>2877</v>
      </c>
      <c r="SRZ1333" s="4" t="s">
        <v>2877</v>
      </c>
      <c r="SSA1333" s="4" t="s">
        <v>2877</v>
      </c>
      <c r="SSB1333" s="4" t="s">
        <v>2877</v>
      </c>
      <c r="SSC1333" s="4" t="s">
        <v>2877</v>
      </c>
      <c r="SSD1333" s="4" t="s">
        <v>2877</v>
      </c>
      <c r="SSE1333" s="4" t="s">
        <v>2877</v>
      </c>
      <c r="SSF1333" s="4" t="s">
        <v>2877</v>
      </c>
      <c r="SSG1333" s="4" t="s">
        <v>2877</v>
      </c>
      <c r="SSH1333" s="4" t="s">
        <v>2877</v>
      </c>
      <c r="SSI1333" s="4" t="s">
        <v>2877</v>
      </c>
      <c r="SSJ1333" s="4" t="s">
        <v>2877</v>
      </c>
      <c r="SSK1333" s="4" t="s">
        <v>2877</v>
      </c>
      <c r="SSL1333" s="4" t="s">
        <v>2877</v>
      </c>
      <c r="SSM1333" s="4" t="s">
        <v>2877</v>
      </c>
      <c r="SSN1333" s="4" t="s">
        <v>2877</v>
      </c>
      <c r="SSO1333" s="4" t="s">
        <v>2877</v>
      </c>
      <c r="SSP1333" s="4" t="s">
        <v>2877</v>
      </c>
      <c r="SSQ1333" s="4" t="s">
        <v>2877</v>
      </c>
      <c r="SSR1333" s="4" t="s">
        <v>2877</v>
      </c>
      <c r="SSS1333" s="4" t="s">
        <v>2877</v>
      </c>
      <c r="SST1333" s="4" t="s">
        <v>2877</v>
      </c>
      <c r="SSU1333" s="4" t="s">
        <v>2877</v>
      </c>
      <c r="SSV1333" s="4" t="s">
        <v>2877</v>
      </c>
      <c r="SSW1333" s="4" t="s">
        <v>2877</v>
      </c>
      <c r="SSX1333" s="4" t="s">
        <v>2877</v>
      </c>
      <c r="SSY1333" s="4" t="s">
        <v>2877</v>
      </c>
      <c r="SSZ1333" s="4" t="s">
        <v>2877</v>
      </c>
      <c r="STA1333" s="4" t="s">
        <v>2877</v>
      </c>
      <c r="STB1333" s="4" t="s">
        <v>2877</v>
      </c>
      <c r="STC1333" s="4" t="s">
        <v>2877</v>
      </c>
      <c r="STD1333" s="4" t="s">
        <v>2877</v>
      </c>
      <c r="STE1333" s="4" t="s">
        <v>2877</v>
      </c>
      <c r="STF1333" s="4" t="s">
        <v>2877</v>
      </c>
      <c r="STG1333" s="4" t="s">
        <v>2877</v>
      </c>
      <c r="STH1333" s="4" t="s">
        <v>2877</v>
      </c>
      <c r="STI1333" s="4" t="s">
        <v>2877</v>
      </c>
      <c r="STJ1333" s="4" t="s">
        <v>2877</v>
      </c>
      <c r="STK1333" s="4" t="s">
        <v>2877</v>
      </c>
      <c r="STL1333" s="4" t="s">
        <v>2877</v>
      </c>
      <c r="STM1333" s="4" t="s">
        <v>2877</v>
      </c>
      <c r="STN1333" s="4" t="s">
        <v>2877</v>
      </c>
      <c r="STO1333" s="4" t="s">
        <v>2877</v>
      </c>
      <c r="STP1333" s="4" t="s">
        <v>2877</v>
      </c>
      <c r="STQ1333" s="4" t="s">
        <v>2877</v>
      </c>
      <c r="STR1333" s="4" t="s">
        <v>2877</v>
      </c>
      <c r="STS1333" s="4" t="s">
        <v>2877</v>
      </c>
      <c r="STT1333" s="4" t="s">
        <v>2877</v>
      </c>
      <c r="STU1333" s="4" t="s">
        <v>2877</v>
      </c>
      <c r="STV1333" s="4" t="s">
        <v>2877</v>
      </c>
      <c r="STW1333" s="4" t="s">
        <v>2877</v>
      </c>
      <c r="STX1333" s="4" t="s">
        <v>2877</v>
      </c>
      <c r="STY1333" s="4" t="s">
        <v>2877</v>
      </c>
      <c r="STZ1333" s="4" t="s">
        <v>2877</v>
      </c>
      <c r="SUA1333" s="4" t="s">
        <v>2877</v>
      </c>
      <c r="SUB1333" s="4" t="s">
        <v>2877</v>
      </c>
      <c r="SUC1333" s="4" t="s">
        <v>2877</v>
      </c>
      <c r="SUD1333" s="4" t="s">
        <v>2877</v>
      </c>
      <c r="SUE1333" s="4" t="s">
        <v>2877</v>
      </c>
      <c r="SUF1333" s="4" t="s">
        <v>2877</v>
      </c>
      <c r="SUG1333" s="4" t="s">
        <v>2877</v>
      </c>
      <c r="SUH1333" s="4" t="s">
        <v>2877</v>
      </c>
      <c r="SUI1333" s="4" t="s">
        <v>2877</v>
      </c>
      <c r="SUJ1333" s="4" t="s">
        <v>2877</v>
      </c>
      <c r="SUK1333" s="4" t="s">
        <v>2877</v>
      </c>
      <c r="SUL1333" s="4" t="s">
        <v>2877</v>
      </c>
      <c r="SUM1333" s="4" t="s">
        <v>2877</v>
      </c>
      <c r="SUN1333" s="4" t="s">
        <v>2877</v>
      </c>
      <c r="SUO1333" s="4" t="s">
        <v>2877</v>
      </c>
      <c r="SUP1333" s="4" t="s">
        <v>2877</v>
      </c>
      <c r="SUQ1333" s="4" t="s">
        <v>2877</v>
      </c>
      <c r="SUR1333" s="4" t="s">
        <v>2877</v>
      </c>
      <c r="SUS1333" s="4" t="s">
        <v>2877</v>
      </c>
      <c r="SUT1333" s="4" t="s">
        <v>2877</v>
      </c>
      <c r="SUU1333" s="4" t="s">
        <v>2877</v>
      </c>
      <c r="SUV1333" s="4" t="s">
        <v>2877</v>
      </c>
      <c r="SUW1333" s="4" t="s">
        <v>2877</v>
      </c>
      <c r="SUX1333" s="4" t="s">
        <v>2877</v>
      </c>
      <c r="SUY1333" s="4" t="s">
        <v>2877</v>
      </c>
      <c r="SUZ1333" s="4" t="s">
        <v>2877</v>
      </c>
      <c r="SVA1333" s="4" t="s">
        <v>2877</v>
      </c>
      <c r="SVB1333" s="4" t="s">
        <v>2877</v>
      </c>
      <c r="SVC1333" s="4" t="s">
        <v>2877</v>
      </c>
      <c r="SVD1333" s="4" t="s">
        <v>2877</v>
      </c>
      <c r="SVE1333" s="4" t="s">
        <v>2877</v>
      </c>
      <c r="SVF1333" s="4" t="s">
        <v>2877</v>
      </c>
      <c r="SVG1333" s="4" t="s">
        <v>2877</v>
      </c>
      <c r="SVH1333" s="4" t="s">
        <v>2877</v>
      </c>
      <c r="SVI1333" s="4" t="s">
        <v>2877</v>
      </c>
      <c r="SVJ1333" s="4" t="s">
        <v>2877</v>
      </c>
      <c r="SVK1333" s="4" t="s">
        <v>2877</v>
      </c>
      <c r="SVL1333" s="4" t="s">
        <v>2877</v>
      </c>
      <c r="SVM1333" s="4" t="s">
        <v>2877</v>
      </c>
      <c r="SVN1333" s="4" t="s">
        <v>2877</v>
      </c>
      <c r="SVO1333" s="4" t="s">
        <v>2877</v>
      </c>
      <c r="SVP1333" s="4" t="s">
        <v>2877</v>
      </c>
      <c r="SVQ1333" s="4" t="s">
        <v>2877</v>
      </c>
      <c r="SVR1333" s="4" t="s">
        <v>2877</v>
      </c>
      <c r="SVS1333" s="4" t="s">
        <v>2877</v>
      </c>
      <c r="SVT1333" s="4" t="s">
        <v>2877</v>
      </c>
      <c r="SVU1333" s="4" t="s">
        <v>2877</v>
      </c>
      <c r="SVV1333" s="4" t="s">
        <v>2877</v>
      </c>
      <c r="SVW1333" s="4" t="s">
        <v>2877</v>
      </c>
      <c r="SVX1333" s="4" t="s">
        <v>2877</v>
      </c>
      <c r="SVY1333" s="4" t="s">
        <v>2877</v>
      </c>
      <c r="SVZ1333" s="4" t="s">
        <v>2877</v>
      </c>
      <c r="SWA1333" s="4" t="s">
        <v>2877</v>
      </c>
      <c r="SWB1333" s="4" t="s">
        <v>2877</v>
      </c>
      <c r="SWC1333" s="4" t="s">
        <v>2877</v>
      </c>
      <c r="SWD1333" s="4" t="s">
        <v>2877</v>
      </c>
      <c r="SWE1333" s="4" t="s">
        <v>2877</v>
      </c>
      <c r="SWF1333" s="4" t="s">
        <v>2877</v>
      </c>
      <c r="SWG1333" s="4" t="s">
        <v>2877</v>
      </c>
      <c r="SWH1333" s="4" t="s">
        <v>2877</v>
      </c>
      <c r="SWI1333" s="4" t="s">
        <v>2877</v>
      </c>
      <c r="SWJ1333" s="4" t="s">
        <v>2877</v>
      </c>
      <c r="SWK1333" s="4" t="s">
        <v>2877</v>
      </c>
      <c r="SWL1333" s="4" t="s">
        <v>2877</v>
      </c>
      <c r="SWM1333" s="4" t="s">
        <v>2877</v>
      </c>
      <c r="SWN1333" s="4" t="s">
        <v>2877</v>
      </c>
      <c r="SWO1333" s="4" t="s">
        <v>2877</v>
      </c>
      <c r="SWP1333" s="4" t="s">
        <v>2877</v>
      </c>
      <c r="SWQ1333" s="4" t="s">
        <v>2877</v>
      </c>
      <c r="SWR1333" s="4" t="s">
        <v>2877</v>
      </c>
      <c r="SWS1333" s="4" t="s">
        <v>2877</v>
      </c>
      <c r="SWT1333" s="4" t="s">
        <v>2877</v>
      </c>
      <c r="SWU1333" s="4" t="s">
        <v>2877</v>
      </c>
      <c r="SWV1333" s="4" t="s">
        <v>2877</v>
      </c>
      <c r="SWW1333" s="4" t="s">
        <v>2877</v>
      </c>
      <c r="SWX1333" s="4" t="s">
        <v>2877</v>
      </c>
      <c r="SWY1333" s="4" t="s">
        <v>2877</v>
      </c>
      <c r="SWZ1333" s="4" t="s">
        <v>2877</v>
      </c>
      <c r="SXA1333" s="4" t="s">
        <v>2877</v>
      </c>
      <c r="SXB1333" s="4" t="s">
        <v>2877</v>
      </c>
      <c r="SXC1333" s="4" t="s">
        <v>2877</v>
      </c>
      <c r="SXD1333" s="4" t="s">
        <v>2877</v>
      </c>
      <c r="SXE1333" s="4" t="s">
        <v>2877</v>
      </c>
      <c r="SXF1333" s="4" t="s">
        <v>2877</v>
      </c>
      <c r="SXG1333" s="4" t="s">
        <v>2877</v>
      </c>
      <c r="SXH1333" s="4" t="s">
        <v>2877</v>
      </c>
      <c r="SXI1333" s="4" t="s">
        <v>2877</v>
      </c>
      <c r="SXJ1333" s="4" t="s">
        <v>2877</v>
      </c>
      <c r="SXK1333" s="4" t="s">
        <v>2877</v>
      </c>
      <c r="SXL1333" s="4" t="s">
        <v>2877</v>
      </c>
      <c r="SXM1333" s="4" t="s">
        <v>2877</v>
      </c>
      <c r="SXN1333" s="4" t="s">
        <v>2877</v>
      </c>
      <c r="SXO1333" s="4" t="s">
        <v>2877</v>
      </c>
      <c r="SXP1333" s="4" t="s">
        <v>2877</v>
      </c>
      <c r="SXQ1333" s="4" t="s">
        <v>2877</v>
      </c>
      <c r="SXR1333" s="4" t="s">
        <v>2877</v>
      </c>
      <c r="SXS1333" s="4" t="s">
        <v>2877</v>
      </c>
      <c r="SXT1333" s="4" t="s">
        <v>2877</v>
      </c>
      <c r="SXU1333" s="4" t="s">
        <v>2877</v>
      </c>
      <c r="SXV1333" s="4" t="s">
        <v>2877</v>
      </c>
      <c r="SXW1333" s="4" t="s">
        <v>2877</v>
      </c>
      <c r="SXX1333" s="4" t="s">
        <v>2877</v>
      </c>
      <c r="SXY1333" s="4" t="s">
        <v>2877</v>
      </c>
      <c r="SXZ1333" s="4" t="s">
        <v>2877</v>
      </c>
      <c r="SYA1333" s="4" t="s">
        <v>2877</v>
      </c>
      <c r="SYB1333" s="4" t="s">
        <v>2877</v>
      </c>
      <c r="SYC1333" s="4" t="s">
        <v>2877</v>
      </c>
      <c r="SYD1333" s="4" t="s">
        <v>2877</v>
      </c>
      <c r="SYE1333" s="4" t="s">
        <v>2877</v>
      </c>
      <c r="SYF1333" s="4" t="s">
        <v>2877</v>
      </c>
      <c r="SYG1333" s="4" t="s">
        <v>2877</v>
      </c>
      <c r="SYH1333" s="4" t="s">
        <v>2877</v>
      </c>
      <c r="SYI1333" s="4" t="s">
        <v>2877</v>
      </c>
      <c r="SYJ1333" s="4" t="s">
        <v>2877</v>
      </c>
      <c r="SYK1333" s="4" t="s">
        <v>2877</v>
      </c>
      <c r="SYL1333" s="4" t="s">
        <v>2877</v>
      </c>
      <c r="SYM1333" s="4" t="s">
        <v>2877</v>
      </c>
      <c r="SYN1333" s="4" t="s">
        <v>2877</v>
      </c>
      <c r="SYO1333" s="4" t="s">
        <v>2877</v>
      </c>
      <c r="SYP1333" s="4" t="s">
        <v>2877</v>
      </c>
      <c r="SYQ1333" s="4" t="s">
        <v>2877</v>
      </c>
      <c r="SYR1333" s="4" t="s">
        <v>2877</v>
      </c>
      <c r="SYS1333" s="4" t="s">
        <v>2877</v>
      </c>
      <c r="SYT1333" s="4" t="s">
        <v>2877</v>
      </c>
      <c r="SYU1333" s="4" t="s">
        <v>2877</v>
      </c>
      <c r="SYV1333" s="4" t="s">
        <v>2877</v>
      </c>
      <c r="SYW1333" s="4" t="s">
        <v>2877</v>
      </c>
      <c r="SYX1333" s="4" t="s">
        <v>2877</v>
      </c>
      <c r="SYY1333" s="4" t="s">
        <v>2877</v>
      </c>
      <c r="SYZ1333" s="4" t="s">
        <v>2877</v>
      </c>
      <c r="SZA1333" s="4" t="s">
        <v>2877</v>
      </c>
      <c r="SZB1333" s="4" t="s">
        <v>2877</v>
      </c>
      <c r="SZC1333" s="4" t="s">
        <v>2877</v>
      </c>
      <c r="SZD1333" s="4" t="s">
        <v>2877</v>
      </c>
      <c r="SZE1333" s="4" t="s">
        <v>2877</v>
      </c>
      <c r="SZF1333" s="4" t="s">
        <v>2877</v>
      </c>
      <c r="SZG1333" s="4" t="s">
        <v>2877</v>
      </c>
      <c r="SZH1333" s="4" t="s">
        <v>2877</v>
      </c>
      <c r="SZI1333" s="4" t="s">
        <v>2877</v>
      </c>
      <c r="SZJ1333" s="4" t="s">
        <v>2877</v>
      </c>
      <c r="SZK1333" s="4" t="s">
        <v>2877</v>
      </c>
      <c r="SZL1333" s="4" t="s">
        <v>2877</v>
      </c>
      <c r="SZM1333" s="4" t="s">
        <v>2877</v>
      </c>
      <c r="SZN1333" s="4" t="s">
        <v>2877</v>
      </c>
      <c r="SZO1333" s="4" t="s">
        <v>2877</v>
      </c>
      <c r="SZP1333" s="4" t="s">
        <v>2877</v>
      </c>
      <c r="SZQ1333" s="4" t="s">
        <v>2877</v>
      </c>
      <c r="SZR1333" s="4" t="s">
        <v>2877</v>
      </c>
      <c r="SZS1333" s="4" t="s">
        <v>2877</v>
      </c>
      <c r="SZT1333" s="4" t="s">
        <v>2877</v>
      </c>
      <c r="SZU1333" s="4" t="s">
        <v>2877</v>
      </c>
      <c r="SZV1333" s="4" t="s">
        <v>2877</v>
      </c>
      <c r="SZW1333" s="4" t="s">
        <v>2877</v>
      </c>
      <c r="SZX1333" s="4" t="s">
        <v>2877</v>
      </c>
      <c r="SZY1333" s="4" t="s">
        <v>2877</v>
      </c>
      <c r="SZZ1333" s="4" t="s">
        <v>2877</v>
      </c>
      <c r="TAA1333" s="4" t="s">
        <v>2877</v>
      </c>
      <c r="TAB1333" s="4" t="s">
        <v>2877</v>
      </c>
      <c r="TAC1333" s="4" t="s">
        <v>2877</v>
      </c>
      <c r="TAD1333" s="4" t="s">
        <v>2877</v>
      </c>
      <c r="TAE1333" s="4" t="s">
        <v>2877</v>
      </c>
      <c r="TAF1333" s="4" t="s">
        <v>2877</v>
      </c>
      <c r="TAG1333" s="4" t="s">
        <v>2877</v>
      </c>
      <c r="TAH1333" s="4" t="s">
        <v>2877</v>
      </c>
      <c r="TAI1333" s="4" t="s">
        <v>2877</v>
      </c>
      <c r="TAJ1333" s="4" t="s">
        <v>2877</v>
      </c>
      <c r="TAK1333" s="4" t="s">
        <v>2877</v>
      </c>
      <c r="TAL1333" s="4" t="s">
        <v>2877</v>
      </c>
      <c r="TAM1333" s="4" t="s">
        <v>2877</v>
      </c>
      <c r="TAN1333" s="4" t="s">
        <v>2877</v>
      </c>
      <c r="TAO1333" s="4" t="s">
        <v>2877</v>
      </c>
      <c r="TAP1333" s="4" t="s">
        <v>2877</v>
      </c>
      <c r="TAQ1333" s="4" t="s">
        <v>2877</v>
      </c>
      <c r="TAR1333" s="4" t="s">
        <v>2877</v>
      </c>
      <c r="TAS1333" s="4" t="s">
        <v>2877</v>
      </c>
      <c r="TAT1333" s="4" t="s">
        <v>2877</v>
      </c>
      <c r="TAU1333" s="4" t="s">
        <v>2877</v>
      </c>
      <c r="TAV1333" s="4" t="s">
        <v>2877</v>
      </c>
      <c r="TAW1333" s="4" t="s">
        <v>2877</v>
      </c>
      <c r="TAX1333" s="4" t="s">
        <v>2877</v>
      </c>
      <c r="TAY1333" s="4" t="s">
        <v>2877</v>
      </c>
      <c r="TAZ1333" s="4" t="s">
        <v>2877</v>
      </c>
      <c r="TBA1333" s="4" t="s">
        <v>2877</v>
      </c>
      <c r="TBB1333" s="4" t="s">
        <v>2877</v>
      </c>
      <c r="TBC1333" s="4" t="s">
        <v>2877</v>
      </c>
      <c r="TBD1333" s="4" t="s">
        <v>2877</v>
      </c>
      <c r="TBE1333" s="4" t="s">
        <v>2877</v>
      </c>
      <c r="TBF1333" s="4" t="s">
        <v>2877</v>
      </c>
      <c r="TBG1333" s="4" t="s">
        <v>2877</v>
      </c>
      <c r="TBH1333" s="4" t="s">
        <v>2877</v>
      </c>
      <c r="TBI1333" s="4" t="s">
        <v>2877</v>
      </c>
      <c r="TBJ1333" s="4" t="s">
        <v>2877</v>
      </c>
      <c r="TBK1333" s="4" t="s">
        <v>2877</v>
      </c>
      <c r="TBL1333" s="4" t="s">
        <v>2877</v>
      </c>
      <c r="TBM1333" s="4" t="s">
        <v>2877</v>
      </c>
      <c r="TBN1333" s="4" t="s">
        <v>2877</v>
      </c>
      <c r="TBO1333" s="4" t="s">
        <v>2877</v>
      </c>
      <c r="TBP1333" s="4" t="s">
        <v>2877</v>
      </c>
      <c r="TBQ1333" s="4" t="s">
        <v>2877</v>
      </c>
      <c r="TBR1333" s="4" t="s">
        <v>2877</v>
      </c>
      <c r="TBS1333" s="4" t="s">
        <v>2877</v>
      </c>
      <c r="TBT1333" s="4" t="s">
        <v>2877</v>
      </c>
      <c r="TBU1333" s="4" t="s">
        <v>2877</v>
      </c>
      <c r="TBV1333" s="4" t="s">
        <v>2877</v>
      </c>
      <c r="TBW1333" s="4" t="s">
        <v>2877</v>
      </c>
      <c r="TBX1333" s="4" t="s">
        <v>2877</v>
      </c>
      <c r="TBY1333" s="4" t="s">
        <v>2877</v>
      </c>
      <c r="TBZ1333" s="4" t="s">
        <v>2877</v>
      </c>
      <c r="TCA1333" s="4" t="s">
        <v>2877</v>
      </c>
      <c r="TCB1333" s="4" t="s">
        <v>2877</v>
      </c>
      <c r="TCC1333" s="4" t="s">
        <v>2877</v>
      </c>
      <c r="TCD1333" s="4" t="s">
        <v>2877</v>
      </c>
      <c r="TCE1333" s="4" t="s">
        <v>2877</v>
      </c>
      <c r="TCF1333" s="4" t="s">
        <v>2877</v>
      </c>
      <c r="TCG1333" s="4" t="s">
        <v>2877</v>
      </c>
      <c r="TCH1333" s="4" t="s">
        <v>2877</v>
      </c>
      <c r="TCI1333" s="4" t="s">
        <v>2877</v>
      </c>
      <c r="TCJ1333" s="4" t="s">
        <v>2877</v>
      </c>
      <c r="TCK1333" s="4" t="s">
        <v>2877</v>
      </c>
      <c r="TCL1333" s="4" t="s">
        <v>2877</v>
      </c>
      <c r="TCM1333" s="4" t="s">
        <v>2877</v>
      </c>
      <c r="TCN1333" s="4" t="s">
        <v>2877</v>
      </c>
      <c r="TCO1333" s="4" t="s">
        <v>2877</v>
      </c>
      <c r="TCP1333" s="4" t="s">
        <v>2877</v>
      </c>
      <c r="TCQ1333" s="4" t="s">
        <v>2877</v>
      </c>
      <c r="TCR1333" s="4" t="s">
        <v>2877</v>
      </c>
      <c r="TCS1333" s="4" t="s">
        <v>2877</v>
      </c>
      <c r="TCT1333" s="4" t="s">
        <v>2877</v>
      </c>
      <c r="TCU1333" s="4" t="s">
        <v>2877</v>
      </c>
      <c r="TCV1333" s="4" t="s">
        <v>2877</v>
      </c>
      <c r="TCW1333" s="4" t="s">
        <v>2877</v>
      </c>
      <c r="TCX1333" s="4" t="s">
        <v>2877</v>
      </c>
      <c r="TCY1333" s="4" t="s">
        <v>2877</v>
      </c>
      <c r="TCZ1333" s="4" t="s">
        <v>2877</v>
      </c>
      <c r="TDA1333" s="4" t="s">
        <v>2877</v>
      </c>
      <c r="TDB1333" s="4" t="s">
        <v>2877</v>
      </c>
      <c r="TDC1333" s="4" t="s">
        <v>2877</v>
      </c>
      <c r="TDD1333" s="4" t="s">
        <v>2877</v>
      </c>
      <c r="TDE1333" s="4" t="s">
        <v>2877</v>
      </c>
      <c r="TDF1333" s="4" t="s">
        <v>2877</v>
      </c>
      <c r="TDG1333" s="4" t="s">
        <v>2877</v>
      </c>
      <c r="TDH1333" s="4" t="s">
        <v>2877</v>
      </c>
      <c r="TDI1333" s="4" t="s">
        <v>2877</v>
      </c>
      <c r="TDJ1333" s="4" t="s">
        <v>2877</v>
      </c>
      <c r="TDK1333" s="4" t="s">
        <v>2877</v>
      </c>
      <c r="TDL1333" s="4" t="s">
        <v>2877</v>
      </c>
      <c r="TDM1333" s="4" t="s">
        <v>2877</v>
      </c>
      <c r="TDN1333" s="4" t="s">
        <v>2877</v>
      </c>
      <c r="TDO1333" s="4" t="s">
        <v>2877</v>
      </c>
      <c r="TDP1333" s="4" t="s">
        <v>2877</v>
      </c>
      <c r="TDQ1333" s="4" t="s">
        <v>2877</v>
      </c>
      <c r="TDR1333" s="4" t="s">
        <v>2877</v>
      </c>
      <c r="TDS1333" s="4" t="s">
        <v>2877</v>
      </c>
      <c r="TDT1333" s="4" t="s">
        <v>2877</v>
      </c>
      <c r="TDU1333" s="4" t="s">
        <v>2877</v>
      </c>
      <c r="TDV1333" s="4" t="s">
        <v>2877</v>
      </c>
      <c r="TDW1333" s="4" t="s">
        <v>2877</v>
      </c>
      <c r="TDX1333" s="4" t="s">
        <v>2877</v>
      </c>
      <c r="TDY1333" s="4" t="s">
        <v>2877</v>
      </c>
      <c r="TDZ1333" s="4" t="s">
        <v>2877</v>
      </c>
      <c r="TEA1333" s="4" t="s">
        <v>2877</v>
      </c>
      <c r="TEB1333" s="4" t="s">
        <v>2877</v>
      </c>
      <c r="TEC1333" s="4" t="s">
        <v>2877</v>
      </c>
      <c r="TED1333" s="4" t="s">
        <v>2877</v>
      </c>
      <c r="TEE1333" s="4" t="s">
        <v>2877</v>
      </c>
      <c r="TEF1333" s="4" t="s">
        <v>2877</v>
      </c>
      <c r="TEG1333" s="4" t="s">
        <v>2877</v>
      </c>
      <c r="TEH1333" s="4" t="s">
        <v>2877</v>
      </c>
      <c r="TEI1333" s="4" t="s">
        <v>2877</v>
      </c>
      <c r="TEJ1333" s="4" t="s">
        <v>2877</v>
      </c>
      <c r="TEK1333" s="4" t="s">
        <v>2877</v>
      </c>
      <c r="TEL1333" s="4" t="s">
        <v>2877</v>
      </c>
      <c r="TEM1333" s="4" t="s">
        <v>2877</v>
      </c>
      <c r="TEN1333" s="4" t="s">
        <v>2877</v>
      </c>
      <c r="TEO1333" s="4" t="s">
        <v>2877</v>
      </c>
      <c r="TEP1333" s="4" t="s">
        <v>2877</v>
      </c>
      <c r="TEQ1333" s="4" t="s">
        <v>2877</v>
      </c>
      <c r="TER1333" s="4" t="s">
        <v>2877</v>
      </c>
      <c r="TES1333" s="4" t="s">
        <v>2877</v>
      </c>
      <c r="TET1333" s="4" t="s">
        <v>2877</v>
      </c>
      <c r="TEU1333" s="4" t="s">
        <v>2877</v>
      </c>
      <c r="TEV1333" s="4" t="s">
        <v>2877</v>
      </c>
      <c r="TEW1333" s="4" t="s">
        <v>2877</v>
      </c>
      <c r="TEX1333" s="4" t="s">
        <v>2877</v>
      </c>
      <c r="TEY1333" s="4" t="s">
        <v>2877</v>
      </c>
      <c r="TEZ1333" s="4" t="s">
        <v>2877</v>
      </c>
      <c r="TFA1333" s="4" t="s">
        <v>2877</v>
      </c>
      <c r="TFB1333" s="4" t="s">
        <v>2877</v>
      </c>
      <c r="TFC1333" s="4" t="s">
        <v>2877</v>
      </c>
      <c r="TFD1333" s="4" t="s">
        <v>2877</v>
      </c>
      <c r="TFE1333" s="4" t="s">
        <v>2877</v>
      </c>
      <c r="TFF1333" s="4" t="s">
        <v>2877</v>
      </c>
      <c r="TFG1333" s="4" t="s">
        <v>2877</v>
      </c>
      <c r="TFH1333" s="4" t="s">
        <v>2877</v>
      </c>
      <c r="TFI1333" s="4" t="s">
        <v>2877</v>
      </c>
      <c r="TFJ1333" s="4" t="s">
        <v>2877</v>
      </c>
      <c r="TFK1333" s="4" t="s">
        <v>2877</v>
      </c>
      <c r="TFL1333" s="4" t="s">
        <v>2877</v>
      </c>
      <c r="TFM1333" s="4" t="s">
        <v>2877</v>
      </c>
      <c r="TFN1333" s="4" t="s">
        <v>2877</v>
      </c>
      <c r="TFO1333" s="4" t="s">
        <v>2877</v>
      </c>
      <c r="TFP1333" s="4" t="s">
        <v>2877</v>
      </c>
      <c r="TFQ1333" s="4" t="s">
        <v>2877</v>
      </c>
      <c r="TFR1333" s="4" t="s">
        <v>2877</v>
      </c>
      <c r="TFS1333" s="4" t="s">
        <v>2877</v>
      </c>
      <c r="TFT1333" s="4" t="s">
        <v>2877</v>
      </c>
      <c r="TFU1333" s="4" t="s">
        <v>2877</v>
      </c>
      <c r="TFV1333" s="4" t="s">
        <v>2877</v>
      </c>
      <c r="TFW1333" s="4" t="s">
        <v>2877</v>
      </c>
      <c r="TFX1333" s="4" t="s">
        <v>2877</v>
      </c>
      <c r="TFY1333" s="4" t="s">
        <v>2877</v>
      </c>
      <c r="TFZ1333" s="4" t="s">
        <v>2877</v>
      </c>
      <c r="TGA1333" s="4" t="s">
        <v>2877</v>
      </c>
      <c r="TGB1333" s="4" t="s">
        <v>2877</v>
      </c>
      <c r="TGC1333" s="4" t="s">
        <v>2877</v>
      </c>
      <c r="TGD1333" s="4" t="s">
        <v>2877</v>
      </c>
      <c r="TGE1333" s="4" t="s">
        <v>2877</v>
      </c>
      <c r="TGF1333" s="4" t="s">
        <v>2877</v>
      </c>
      <c r="TGG1333" s="4" t="s">
        <v>2877</v>
      </c>
      <c r="TGH1333" s="4" t="s">
        <v>2877</v>
      </c>
      <c r="TGI1333" s="4" t="s">
        <v>2877</v>
      </c>
      <c r="TGJ1333" s="4" t="s">
        <v>2877</v>
      </c>
      <c r="TGK1333" s="4" t="s">
        <v>2877</v>
      </c>
      <c r="TGL1333" s="4" t="s">
        <v>2877</v>
      </c>
      <c r="TGM1333" s="4" t="s">
        <v>2877</v>
      </c>
      <c r="TGN1333" s="4" t="s">
        <v>2877</v>
      </c>
      <c r="TGO1333" s="4" t="s">
        <v>2877</v>
      </c>
      <c r="TGP1333" s="4" t="s">
        <v>2877</v>
      </c>
      <c r="TGQ1333" s="4" t="s">
        <v>2877</v>
      </c>
      <c r="TGR1333" s="4" t="s">
        <v>2877</v>
      </c>
      <c r="TGS1333" s="4" t="s">
        <v>2877</v>
      </c>
      <c r="TGT1333" s="4" t="s">
        <v>2877</v>
      </c>
      <c r="TGU1333" s="4" t="s">
        <v>2877</v>
      </c>
      <c r="TGV1333" s="4" t="s">
        <v>2877</v>
      </c>
      <c r="TGW1333" s="4" t="s">
        <v>2877</v>
      </c>
      <c r="TGX1333" s="4" t="s">
        <v>2877</v>
      </c>
      <c r="TGY1333" s="4" t="s">
        <v>2877</v>
      </c>
      <c r="TGZ1333" s="4" t="s">
        <v>2877</v>
      </c>
      <c r="THA1333" s="4" t="s">
        <v>2877</v>
      </c>
      <c r="THB1333" s="4" t="s">
        <v>2877</v>
      </c>
      <c r="THC1333" s="4" t="s">
        <v>2877</v>
      </c>
      <c r="THD1333" s="4" t="s">
        <v>2877</v>
      </c>
      <c r="THE1333" s="4" t="s">
        <v>2877</v>
      </c>
      <c r="THF1333" s="4" t="s">
        <v>2877</v>
      </c>
      <c r="THG1333" s="4" t="s">
        <v>2877</v>
      </c>
      <c r="THH1333" s="4" t="s">
        <v>2877</v>
      </c>
      <c r="THI1333" s="4" t="s">
        <v>2877</v>
      </c>
      <c r="THJ1333" s="4" t="s">
        <v>2877</v>
      </c>
      <c r="THK1333" s="4" t="s">
        <v>2877</v>
      </c>
      <c r="THL1333" s="4" t="s">
        <v>2877</v>
      </c>
      <c r="THM1333" s="4" t="s">
        <v>2877</v>
      </c>
      <c r="THN1333" s="4" t="s">
        <v>2877</v>
      </c>
      <c r="THO1333" s="4" t="s">
        <v>2877</v>
      </c>
      <c r="THP1333" s="4" t="s">
        <v>2877</v>
      </c>
      <c r="THQ1333" s="4" t="s">
        <v>2877</v>
      </c>
      <c r="THR1333" s="4" t="s">
        <v>2877</v>
      </c>
      <c r="THS1333" s="4" t="s">
        <v>2877</v>
      </c>
      <c r="THT1333" s="4" t="s">
        <v>2877</v>
      </c>
      <c r="THU1333" s="4" t="s">
        <v>2877</v>
      </c>
      <c r="THV1333" s="4" t="s">
        <v>2877</v>
      </c>
      <c r="THW1333" s="4" t="s">
        <v>2877</v>
      </c>
      <c r="THX1333" s="4" t="s">
        <v>2877</v>
      </c>
      <c r="THY1333" s="4" t="s">
        <v>2877</v>
      </c>
      <c r="THZ1333" s="4" t="s">
        <v>2877</v>
      </c>
      <c r="TIA1333" s="4" t="s">
        <v>2877</v>
      </c>
      <c r="TIB1333" s="4" t="s">
        <v>2877</v>
      </c>
      <c r="TIC1333" s="4" t="s">
        <v>2877</v>
      </c>
      <c r="TID1333" s="4" t="s">
        <v>2877</v>
      </c>
      <c r="TIE1333" s="4" t="s">
        <v>2877</v>
      </c>
      <c r="TIF1333" s="4" t="s">
        <v>2877</v>
      </c>
      <c r="TIG1333" s="4" t="s">
        <v>2877</v>
      </c>
      <c r="TIH1333" s="4" t="s">
        <v>2877</v>
      </c>
      <c r="TII1333" s="4" t="s">
        <v>2877</v>
      </c>
      <c r="TIJ1333" s="4" t="s">
        <v>2877</v>
      </c>
      <c r="TIK1333" s="4" t="s">
        <v>2877</v>
      </c>
      <c r="TIL1333" s="4" t="s">
        <v>2877</v>
      </c>
      <c r="TIM1333" s="4" t="s">
        <v>2877</v>
      </c>
      <c r="TIN1333" s="4" t="s">
        <v>2877</v>
      </c>
      <c r="TIO1333" s="4" t="s">
        <v>2877</v>
      </c>
      <c r="TIP1333" s="4" t="s">
        <v>2877</v>
      </c>
      <c r="TIQ1333" s="4" t="s">
        <v>2877</v>
      </c>
      <c r="TIR1333" s="4" t="s">
        <v>2877</v>
      </c>
      <c r="TIS1333" s="4" t="s">
        <v>2877</v>
      </c>
      <c r="TIT1333" s="4" t="s">
        <v>2877</v>
      </c>
      <c r="TIU1333" s="4" t="s">
        <v>2877</v>
      </c>
      <c r="TIV1333" s="4" t="s">
        <v>2877</v>
      </c>
      <c r="TIW1333" s="4" t="s">
        <v>2877</v>
      </c>
      <c r="TIX1333" s="4" t="s">
        <v>2877</v>
      </c>
      <c r="TIY1333" s="4" t="s">
        <v>2877</v>
      </c>
      <c r="TIZ1333" s="4" t="s">
        <v>2877</v>
      </c>
      <c r="TJA1333" s="4" t="s">
        <v>2877</v>
      </c>
      <c r="TJB1333" s="4" t="s">
        <v>2877</v>
      </c>
      <c r="TJC1333" s="4" t="s">
        <v>2877</v>
      </c>
      <c r="TJD1333" s="4" t="s">
        <v>2877</v>
      </c>
      <c r="TJE1333" s="4" t="s">
        <v>2877</v>
      </c>
      <c r="TJF1333" s="4" t="s">
        <v>2877</v>
      </c>
      <c r="TJG1333" s="4" t="s">
        <v>2877</v>
      </c>
      <c r="TJH1333" s="4" t="s">
        <v>2877</v>
      </c>
      <c r="TJI1333" s="4" t="s">
        <v>2877</v>
      </c>
      <c r="TJJ1333" s="4" t="s">
        <v>2877</v>
      </c>
      <c r="TJK1333" s="4" t="s">
        <v>2877</v>
      </c>
      <c r="TJL1333" s="4" t="s">
        <v>2877</v>
      </c>
      <c r="TJM1333" s="4" t="s">
        <v>2877</v>
      </c>
      <c r="TJN1333" s="4" t="s">
        <v>2877</v>
      </c>
      <c r="TJO1333" s="4" t="s">
        <v>2877</v>
      </c>
      <c r="TJP1333" s="4" t="s">
        <v>2877</v>
      </c>
      <c r="TJQ1333" s="4" t="s">
        <v>2877</v>
      </c>
      <c r="TJR1333" s="4" t="s">
        <v>2877</v>
      </c>
      <c r="TJS1333" s="4" t="s">
        <v>2877</v>
      </c>
      <c r="TJT1333" s="4" t="s">
        <v>2877</v>
      </c>
      <c r="TJU1333" s="4" t="s">
        <v>2877</v>
      </c>
      <c r="TJV1333" s="4" t="s">
        <v>2877</v>
      </c>
      <c r="TJW1333" s="4" t="s">
        <v>2877</v>
      </c>
      <c r="TJX1333" s="4" t="s">
        <v>2877</v>
      </c>
      <c r="TJY1333" s="4" t="s">
        <v>2877</v>
      </c>
      <c r="TJZ1333" s="4" t="s">
        <v>2877</v>
      </c>
      <c r="TKA1333" s="4" t="s">
        <v>2877</v>
      </c>
      <c r="TKB1333" s="4" t="s">
        <v>2877</v>
      </c>
      <c r="TKC1333" s="4" t="s">
        <v>2877</v>
      </c>
      <c r="TKD1333" s="4" t="s">
        <v>2877</v>
      </c>
      <c r="TKE1333" s="4" t="s">
        <v>2877</v>
      </c>
      <c r="TKF1333" s="4" t="s">
        <v>2877</v>
      </c>
      <c r="TKG1333" s="4" t="s">
        <v>2877</v>
      </c>
      <c r="TKH1333" s="4" t="s">
        <v>2877</v>
      </c>
      <c r="TKI1333" s="4" t="s">
        <v>2877</v>
      </c>
      <c r="TKJ1333" s="4" t="s">
        <v>2877</v>
      </c>
      <c r="TKK1333" s="4" t="s">
        <v>2877</v>
      </c>
      <c r="TKL1333" s="4" t="s">
        <v>2877</v>
      </c>
      <c r="TKM1333" s="4" t="s">
        <v>2877</v>
      </c>
      <c r="TKN1333" s="4" t="s">
        <v>2877</v>
      </c>
      <c r="TKO1333" s="4" t="s">
        <v>2877</v>
      </c>
      <c r="TKP1333" s="4" t="s">
        <v>2877</v>
      </c>
      <c r="TKQ1333" s="4" t="s">
        <v>2877</v>
      </c>
      <c r="TKR1333" s="4" t="s">
        <v>2877</v>
      </c>
      <c r="TKS1333" s="4" t="s">
        <v>2877</v>
      </c>
      <c r="TKT1333" s="4" t="s">
        <v>2877</v>
      </c>
      <c r="TKU1333" s="4" t="s">
        <v>2877</v>
      </c>
      <c r="TKV1333" s="4" t="s">
        <v>2877</v>
      </c>
      <c r="TKW1333" s="4" t="s">
        <v>2877</v>
      </c>
      <c r="TKX1333" s="4" t="s">
        <v>2877</v>
      </c>
      <c r="TKY1333" s="4" t="s">
        <v>2877</v>
      </c>
      <c r="TKZ1333" s="4" t="s">
        <v>2877</v>
      </c>
      <c r="TLA1333" s="4" t="s">
        <v>2877</v>
      </c>
      <c r="TLB1333" s="4" t="s">
        <v>2877</v>
      </c>
      <c r="TLC1333" s="4" t="s">
        <v>2877</v>
      </c>
      <c r="TLD1333" s="4" t="s">
        <v>2877</v>
      </c>
      <c r="TLE1333" s="4" t="s">
        <v>2877</v>
      </c>
      <c r="TLF1333" s="4" t="s">
        <v>2877</v>
      </c>
      <c r="TLG1333" s="4" t="s">
        <v>2877</v>
      </c>
      <c r="TLH1333" s="4" t="s">
        <v>2877</v>
      </c>
      <c r="TLI1333" s="4" t="s">
        <v>2877</v>
      </c>
      <c r="TLJ1333" s="4" t="s">
        <v>2877</v>
      </c>
      <c r="TLK1333" s="4" t="s">
        <v>2877</v>
      </c>
      <c r="TLL1333" s="4" t="s">
        <v>2877</v>
      </c>
      <c r="TLM1333" s="4" t="s">
        <v>2877</v>
      </c>
      <c r="TLN1333" s="4" t="s">
        <v>2877</v>
      </c>
      <c r="TLO1333" s="4" t="s">
        <v>2877</v>
      </c>
      <c r="TLP1333" s="4" t="s">
        <v>2877</v>
      </c>
      <c r="TLQ1333" s="4" t="s">
        <v>2877</v>
      </c>
      <c r="TLR1333" s="4" t="s">
        <v>2877</v>
      </c>
      <c r="TLS1333" s="4" t="s">
        <v>2877</v>
      </c>
      <c r="TLT1333" s="4" t="s">
        <v>2877</v>
      </c>
      <c r="TLU1333" s="4" t="s">
        <v>2877</v>
      </c>
      <c r="TLV1333" s="4" t="s">
        <v>2877</v>
      </c>
      <c r="TLW1333" s="4" t="s">
        <v>2877</v>
      </c>
      <c r="TLX1333" s="4" t="s">
        <v>2877</v>
      </c>
      <c r="TLY1333" s="4" t="s">
        <v>2877</v>
      </c>
      <c r="TLZ1333" s="4" t="s">
        <v>2877</v>
      </c>
      <c r="TMA1333" s="4" t="s">
        <v>2877</v>
      </c>
      <c r="TMB1333" s="4" t="s">
        <v>2877</v>
      </c>
      <c r="TMC1333" s="4" t="s">
        <v>2877</v>
      </c>
      <c r="TMD1333" s="4" t="s">
        <v>2877</v>
      </c>
      <c r="TME1333" s="4" t="s">
        <v>2877</v>
      </c>
      <c r="TMF1333" s="4" t="s">
        <v>2877</v>
      </c>
      <c r="TMG1333" s="4" t="s">
        <v>2877</v>
      </c>
      <c r="TMH1333" s="4" t="s">
        <v>2877</v>
      </c>
      <c r="TMI1333" s="4" t="s">
        <v>2877</v>
      </c>
      <c r="TMJ1333" s="4" t="s">
        <v>2877</v>
      </c>
      <c r="TMK1333" s="4" t="s">
        <v>2877</v>
      </c>
      <c r="TML1333" s="4" t="s">
        <v>2877</v>
      </c>
      <c r="TMM1333" s="4" t="s">
        <v>2877</v>
      </c>
      <c r="TMN1333" s="4" t="s">
        <v>2877</v>
      </c>
      <c r="TMO1333" s="4" t="s">
        <v>2877</v>
      </c>
      <c r="TMP1333" s="4" t="s">
        <v>2877</v>
      </c>
      <c r="TMQ1333" s="4" t="s">
        <v>2877</v>
      </c>
      <c r="TMR1333" s="4" t="s">
        <v>2877</v>
      </c>
      <c r="TMS1333" s="4" t="s">
        <v>2877</v>
      </c>
      <c r="TMT1333" s="4" t="s">
        <v>2877</v>
      </c>
      <c r="TMU1333" s="4" t="s">
        <v>2877</v>
      </c>
      <c r="TMV1333" s="4" t="s">
        <v>2877</v>
      </c>
      <c r="TMW1333" s="4" t="s">
        <v>2877</v>
      </c>
      <c r="TMX1333" s="4" t="s">
        <v>2877</v>
      </c>
      <c r="TMY1333" s="4" t="s">
        <v>2877</v>
      </c>
      <c r="TMZ1333" s="4" t="s">
        <v>2877</v>
      </c>
      <c r="TNA1333" s="4" t="s">
        <v>2877</v>
      </c>
      <c r="TNB1333" s="4" t="s">
        <v>2877</v>
      </c>
      <c r="TNC1333" s="4" t="s">
        <v>2877</v>
      </c>
      <c r="TND1333" s="4" t="s">
        <v>2877</v>
      </c>
      <c r="TNE1333" s="4" t="s">
        <v>2877</v>
      </c>
      <c r="TNF1333" s="4" t="s">
        <v>2877</v>
      </c>
      <c r="TNG1333" s="4" t="s">
        <v>2877</v>
      </c>
      <c r="TNH1333" s="4" t="s">
        <v>2877</v>
      </c>
      <c r="TNI1333" s="4" t="s">
        <v>2877</v>
      </c>
      <c r="TNJ1333" s="4" t="s">
        <v>2877</v>
      </c>
      <c r="TNK1333" s="4" t="s">
        <v>2877</v>
      </c>
      <c r="TNL1333" s="4" t="s">
        <v>2877</v>
      </c>
      <c r="TNM1333" s="4" t="s">
        <v>2877</v>
      </c>
      <c r="TNN1333" s="4" t="s">
        <v>2877</v>
      </c>
      <c r="TNO1333" s="4" t="s">
        <v>2877</v>
      </c>
      <c r="TNP1333" s="4" t="s">
        <v>2877</v>
      </c>
      <c r="TNQ1333" s="4" t="s">
        <v>2877</v>
      </c>
      <c r="TNR1333" s="4" t="s">
        <v>2877</v>
      </c>
      <c r="TNS1333" s="4" t="s">
        <v>2877</v>
      </c>
      <c r="TNT1333" s="4" t="s">
        <v>2877</v>
      </c>
      <c r="TNU1333" s="4" t="s">
        <v>2877</v>
      </c>
      <c r="TNV1333" s="4" t="s">
        <v>2877</v>
      </c>
      <c r="TNW1333" s="4" t="s">
        <v>2877</v>
      </c>
      <c r="TNX1333" s="4" t="s">
        <v>2877</v>
      </c>
      <c r="TNY1333" s="4" t="s">
        <v>2877</v>
      </c>
      <c r="TNZ1333" s="4" t="s">
        <v>2877</v>
      </c>
      <c r="TOA1333" s="4" t="s">
        <v>2877</v>
      </c>
      <c r="TOB1333" s="4" t="s">
        <v>2877</v>
      </c>
      <c r="TOC1333" s="4" t="s">
        <v>2877</v>
      </c>
      <c r="TOD1333" s="4" t="s">
        <v>2877</v>
      </c>
      <c r="TOE1333" s="4" t="s">
        <v>2877</v>
      </c>
      <c r="TOF1333" s="4" t="s">
        <v>2877</v>
      </c>
      <c r="TOG1333" s="4" t="s">
        <v>2877</v>
      </c>
      <c r="TOH1333" s="4" t="s">
        <v>2877</v>
      </c>
      <c r="TOI1333" s="4" t="s">
        <v>2877</v>
      </c>
      <c r="TOJ1333" s="4" t="s">
        <v>2877</v>
      </c>
      <c r="TOK1333" s="4" t="s">
        <v>2877</v>
      </c>
      <c r="TOL1333" s="4" t="s">
        <v>2877</v>
      </c>
      <c r="TOM1333" s="4" t="s">
        <v>2877</v>
      </c>
      <c r="TON1333" s="4" t="s">
        <v>2877</v>
      </c>
      <c r="TOO1333" s="4" t="s">
        <v>2877</v>
      </c>
      <c r="TOP1333" s="4" t="s">
        <v>2877</v>
      </c>
      <c r="TOQ1333" s="4" t="s">
        <v>2877</v>
      </c>
      <c r="TOR1333" s="4" t="s">
        <v>2877</v>
      </c>
      <c r="TOS1333" s="4" t="s">
        <v>2877</v>
      </c>
      <c r="TOT1333" s="4" t="s">
        <v>2877</v>
      </c>
      <c r="TOU1333" s="4" t="s">
        <v>2877</v>
      </c>
      <c r="TOV1333" s="4" t="s">
        <v>2877</v>
      </c>
      <c r="TOW1333" s="4" t="s">
        <v>2877</v>
      </c>
      <c r="TOX1333" s="4" t="s">
        <v>2877</v>
      </c>
      <c r="TOY1333" s="4" t="s">
        <v>2877</v>
      </c>
      <c r="TOZ1333" s="4" t="s">
        <v>2877</v>
      </c>
      <c r="TPA1333" s="4" t="s">
        <v>2877</v>
      </c>
      <c r="TPB1333" s="4" t="s">
        <v>2877</v>
      </c>
      <c r="TPC1333" s="4" t="s">
        <v>2877</v>
      </c>
      <c r="TPD1333" s="4" t="s">
        <v>2877</v>
      </c>
      <c r="TPE1333" s="4" t="s">
        <v>2877</v>
      </c>
      <c r="TPF1333" s="4" t="s">
        <v>2877</v>
      </c>
      <c r="TPG1333" s="4" t="s">
        <v>2877</v>
      </c>
      <c r="TPH1333" s="4" t="s">
        <v>2877</v>
      </c>
      <c r="TPI1333" s="4" t="s">
        <v>2877</v>
      </c>
      <c r="TPJ1333" s="4" t="s">
        <v>2877</v>
      </c>
      <c r="TPK1333" s="4" t="s">
        <v>2877</v>
      </c>
      <c r="TPL1333" s="4" t="s">
        <v>2877</v>
      </c>
      <c r="TPM1333" s="4" t="s">
        <v>2877</v>
      </c>
      <c r="TPN1333" s="4" t="s">
        <v>2877</v>
      </c>
      <c r="TPO1333" s="4" t="s">
        <v>2877</v>
      </c>
      <c r="TPP1333" s="4" t="s">
        <v>2877</v>
      </c>
      <c r="TPQ1333" s="4" t="s">
        <v>2877</v>
      </c>
      <c r="TPR1333" s="4" t="s">
        <v>2877</v>
      </c>
      <c r="TPS1333" s="4" t="s">
        <v>2877</v>
      </c>
      <c r="TPT1333" s="4" t="s">
        <v>2877</v>
      </c>
      <c r="TPU1333" s="4" t="s">
        <v>2877</v>
      </c>
      <c r="TPV1333" s="4" t="s">
        <v>2877</v>
      </c>
      <c r="TPW1333" s="4" t="s">
        <v>2877</v>
      </c>
      <c r="TPX1333" s="4" t="s">
        <v>2877</v>
      </c>
      <c r="TPY1333" s="4" t="s">
        <v>2877</v>
      </c>
      <c r="TPZ1333" s="4" t="s">
        <v>2877</v>
      </c>
      <c r="TQA1333" s="4" t="s">
        <v>2877</v>
      </c>
      <c r="TQB1333" s="4" t="s">
        <v>2877</v>
      </c>
      <c r="TQC1333" s="4" t="s">
        <v>2877</v>
      </c>
      <c r="TQD1333" s="4" t="s">
        <v>2877</v>
      </c>
      <c r="TQE1333" s="4" t="s">
        <v>2877</v>
      </c>
      <c r="TQF1333" s="4" t="s">
        <v>2877</v>
      </c>
      <c r="TQG1333" s="4" t="s">
        <v>2877</v>
      </c>
      <c r="TQH1333" s="4" t="s">
        <v>2877</v>
      </c>
      <c r="TQI1333" s="4" t="s">
        <v>2877</v>
      </c>
      <c r="TQJ1333" s="4" t="s">
        <v>2877</v>
      </c>
      <c r="TQK1333" s="4" t="s">
        <v>2877</v>
      </c>
      <c r="TQL1333" s="4" t="s">
        <v>2877</v>
      </c>
      <c r="TQM1333" s="4" t="s">
        <v>2877</v>
      </c>
      <c r="TQN1333" s="4" t="s">
        <v>2877</v>
      </c>
      <c r="TQO1333" s="4" t="s">
        <v>2877</v>
      </c>
      <c r="TQP1333" s="4" t="s">
        <v>2877</v>
      </c>
      <c r="TQQ1333" s="4" t="s">
        <v>2877</v>
      </c>
      <c r="TQR1333" s="4" t="s">
        <v>2877</v>
      </c>
      <c r="TQS1333" s="4" t="s">
        <v>2877</v>
      </c>
      <c r="TQT1333" s="4" t="s">
        <v>2877</v>
      </c>
      <c r="TQU1333" s="4" t="s">
        <v>2877</v>
      </c>
      <c r="TQV1333" s="4" t="s">
        <v>2877</v>
      </c>
      <c r="TQW1333" s="4" t="s">
        <v>2877</v>
      </c>
      <c r="TQX1333" s="4" t="s">
        <v>2877</v>
      </c>
      <c r="TQY1333" s="4" t="s">
        <v>2877</v>
      </c>
      <c r="TQZ1333" s="4" t="s">
        <v>2877</v>
      </c>
      <c r="TRA1333" s="4" t="s">
        <v>2877</v>
      </c>
      <c r="TRB1333" s="4" t="s">
        <v>2877</v>
      </c>
      <c r="TRC1333" s="4" t="s">
        <v>2877</v>
      </c>
      <c r="TRD1333" s="4" t="s">
        <v>2877</v>
      </c>
      <c r="TRE1333" s="4" t="s">
        <v>2877</v>
      </c>
      <c r="TRF1333" s="4" t="s">
        <v>2877</v>
      </c>
      <c r="TRG1333" s="4" t="s">
        <v>2877</v>
      </c>
      <c r="TRH1333" s="4" t="s">
        <v>2877</v>
      </c>
      <c r="TRI1333" s="4" t="s">
        <v>2877</v>
      </c>
      <c r="TRJ1333" s="4" t="s">
        <v>2877</v>
      </c>
      <c r="TRK1333" s="4" t="s">
        <v>2877</v>
      </c>
      <c r="TRL1333" s="4" t="s">
        <v>2877</v>
      </c>
      <c r="TRM1333" s="4" t="s">
        <v>2877</v>
      </c>
      <c r="TRN1333" s="4" t="s">
        <v>2877</v>
      </c>
      <c r="TRO1333" s="4" t="s">
        <v>2877</v>
      </c>
      <c r="TRP1333" s="4" t="s">
        <v>2877</v>
      </c>
      <c r="TRQ1333" s="4" t="s">
        <v>2877</v>
      </c>
      <c r="TRR1333" s="4" t="s">
        <v>2877</v>
      </c>
      <c r="TRS1333" s="4" t="s">
        <v>2877</v>
      </c>
      <c r="TRT1333" s="4" t="s">
        <v>2877</v>
      </c>
      <c r="TRU1333" s="4" t="s">
        <v>2877</v>
      </c>
      <c r="TRV1333" s="4" t="s">
        <v>2877</v>
      </c>
      <c r="TRW1333" s="4" t="s">
        <v>2877</v>
      </c>
      <c r="TRX1333" s="4" t="s">
        <v>2877</v>
      </c>
      <c r="TRY1333" s="4" t="s">
        <v>2877</v>
      </c>
      <c r="TRZ1333" s="4" t="s">
        <v>2877</v>
      </c>
      <c r="TSA1333" s="4" t="s">
        <v>2877</v>
      </c>
      <c r="TSB1333" s="4" t="s">
        <v>2877</v>
      </c>
      <c r="TSC1333" s="4" t="s">
        <v>2877</v>
      </c>
      <c r="TSD1333" s="4" t="s">
        <v>2877</v>
      </c>
      <c r="TSE1333" s="4" t="s">
        <v>2877</v>
      </c>
      <c r="TSF1333" s="4" t="s">
        <v>2877</v>
      </c>
      <c r="TSG1333" s="4" t="s">
        <v>2877</v>
      </c>
      <c r="TSH1333" s="4" t="s">
        <v>2877</v>
      </c>
      <c r="TSI1333" s="4" t="s">
        <v>2877</v>
      </c>
      <c r="TSJ1333" s="4" t="s">
        <v>2877</v>
      </c>
      <c r="TSK1333" s="4" t="s">
        <v>2877</v>
      </c>
      <c r="TSL1333" s="4" t="s">
        <v>2877</v>
      </c>
      <c r="TSM1333" s="4" t="s">
        <v>2877</v>
      </c>
      <c r="TSN1333" s="4" t="s">
        <v>2877</v>
      </c>
      <c r="TSO1333" s="4" t="s">
        <v>2877</v>
      </c>
      <c r="TSP1333" s="4" t="s">
        <v>2877</v>
      </c>
      <c r="TSQ1333" s="4" t="s">
        <v>2877</v>
      </c>
      <c r="TSR1333" s="4" t="s">
        <v>2877</v>
      </c>
      <c r="TSS1333" s="4" t="s">
        <v>2877</v>
      </c>
      <c r="TST1333" s="4" t="s">
        <v>2877</v>
      </c>
      <c r="TSU1333" s="4" t="s">
        <v>2877</v>
      </c>
      <c r="TSV1333" s="4" t="s">
        <v>2877</v>
      </c>
      <c r="TSW1333" s="4" t="s">
        <v>2877</v>
      </c>
      <c r="TSX1333" s="4" t="s">
        <v>2877</v>
      </c>
      <c r="TSY1333" s="4" t="s">
        <v>2877</v>
      </c>
      <c r="TSZ1333" s="4" t="s">
        <v>2877</v>
      </c>
      <c r="TTA1333" s="4" t="s">
        <v>2877</v>
      </c>
      <c r="TTB1333" s="4" t="s">
        <v>2877</v>
      </c>
      <c r="TTC1333" s="4" t="s">
        <v>2877</v>
      </c>
      <c r="TTD1333" s="4" t="s">
        <v>2877</v>
      </c>
      <c r="TTE1333" s="4" t="s">
        <v>2877</v>
      </c>
      <c r="TTF1333" s="4" t="s">
        <v>2877</v>
      </c>
      <c r="TTG1333" s="4" t="s">
        <v>2877</v>
      </c>
      <c r="TTH1333" s="4" t="s">
        <v>2877</v>
      </c>
      <c r="TTI1333" s="4" t="s">
        <v>2877</v>
      </c>
      <c r="TTJ1333" s="4" t="s">
        <v>2877</v>
      </c>
      <c r="TTK1333" s="4" t="s">
        <v>2877</v>
      </c>
      <c r="TTL1333" s="4" t="s">
        <v>2877</v>
      </c>
      <c r="TTM1333" s="4" t="s">
        <v>2877</v>
      </c>
      <c r="TTN1333" s="4" t="s">
        <v>2877</v>
      </c>
      <c r="TTO1333" s="4" t="s">
        <v>2877</v>
      </c>
      <c r="TTP1333" s="4" t="s">
        <v>2877</v>
      </c>
      <c r="TTQ1333" s="4" t="s">
        <v>2877</v>
      </c>
      <c r="TTR1333" s="4" t="s">
        <v>2877</v>
      </c>
      <c r="TTS1333" s="4" t="s">
        <v>2877</v>
      </c>
      <c r="TTT1333" s="4" t="s">
        <v>2877</v>
      </c>
      <c r="TTU1333" s="4" t="s">
        <v>2877</v>
      </c>
      <c r="TTV1333" s="4" t="s">
        <v>2877</v>
      </c>
      <c r="TTW1333" s="4" t="s">
        <v>2877</v>
      </c>
      <c r="TTX1333" s="4" t="s">
        <v>2877</v>
      </c>
      <c r="TTY1333" s="4" t="s">
        <v>2877</v>
      </c>
      <c r="TTZ1333" s="4" t="s">
        <v>2877</v>
      </c>
      <c r="TUA1333" s="4" t="s">
        <v>2877</v>
      </c>
      <c r="TUB1333" s="4" t="s">
        <v>2877</v>
      </c>
      <c r="TUC1333" s="4" t="s">
        <v>2877</v>
      </c>
      <c r="TUD1333" s="4" t="s">
        <v>2877</v>
      </c>
      <c r="TUE1333" s="4" t="s">
        <v>2877</v>
      </c>
      <c r="TUF1333" s="4" t="s">
        <v>2877</v>
      </c>
      <c r="TUG1333" s="4" t="s">
        <v>2877</v>
      </c>
      <c r="TUH1333" s="4" t="s">
        <v>2877</v>
      </c>
      <c r="TUI1333" s="4" t="s">
        <v>2877</v>
      </c>
      <c r="TUJ1333" s="4" t="s">
        <v>2877</v>
      </c>
      <c r="TUK1333" s="4" t="s">
        <v>2877</v>
      </c>
      <c r="TUL1333" s="4" t="s">
        <v>2877</v>
      </c>
      <c r="TUM1333" s="4" t="s">
        <v>2877</v>
      </c>
      <c r="TUN1333" s="4" t="s">
        <v>2877</v>
      </c>
      <c r="TUO1333" s="4" t="s">
        <v>2877</v>
      </c>
      <c r="TUP1333" s="4" t="s">
        <v>2877</v>
      </c>
      <c r="TUQ1333" s="4" t="s">
        <v>2877</v>
      </c>
      <c r="TUR1333" s="4" t="s">
        <v>2877</v>
      </c>
      <c r="TUS1333" s="4" t="s">
        <v>2877</v>
      </c>
      <c r="TUT1333" s="4" t="s">
        <v>2877</v>
      </c>
      <c r="TUU1333" s="4" t="s">
        <v>2877</v>
      </c>
      <c r="TUV1333" s="4" t="s">
        <v>2877</v>
      </c>
      <c r="TUW1333" s="4" t="s">
        <v>2877</v>
      </c>
      <c r="TUX1333" s="4" t="s">
        <v>2877</v>
      </c>
      <c r="TUY1333" s="4" t="s">
        <v>2877</v>
      </c>
      <c r="TUZ1333" s="4" t="s">
        <v>2877</v>
      </c>
      <c r="TVA1333" s="4" t="s">
        <v>2877</v>
      </c>
      <c r="TVB1333" s="4" t="s">
        <v>2877</v>
      </c>
      <c r="TVC1333" s="4" t="s">
        <v>2877</v>
      </c>
      <c r="TVD1333" s="4" t="s">
        <v>2877</v>
      </c>
      <c r="TVE1333" s="4" t="s">
        <v>2877</v>
      </c>
      <c r="TVF1333" s="4" t="s">
        <v>2877</v>
      </c>
      <c r="TVG1333" s="4" t="s">
        <v>2877</v>
      </c>
      <c r="TVH1333" s="4" t="s">
        <v>2877</v>
      </c>
      <c r="TVI1333" s="4" t="s">
        <v>2877</v>
      </c>
      <c r="TVJ1333" s="4" t="s">
        <v>2877</v>
      </c>
      <c r="TVK1333" s="4" t="s">
        <v>2877</v>
      </c>
      <c r="TVL1333" s="4" t="s">
        <v>2877</v>
      </c>
      <c r="TVM1333" s="4" t="s">
        <v>2877</v>
      </c>
      <c r="TVN1333" s="4" t="s">
        <v>2877</v>
      </c>
      <c r="TVO1333" s="4" t="s">
        <v>2877</v>
      </c>
      <c r="TVP1333" s="4" t="s">
        <v>2877</v>
      </c>
      <c r="TVQ1333" s="4" t="s">
        <v>2877</v>
      </c>
      <c r="TVR1333" s="4" t="s">
        <v>2877</v>
      </c>
      <c r="TVS1333" s="4" t="s">
        <v>2877</v>
      </c>
      <c r="TVT1333" s="4" t="s">
        <v>2877</v>
      </c>
      <c r="TVU1333" s="4" t="s">
        <v>2877</v>
      </c>
      <c r="TVV1333" s="4" t="s">
        <v>2877</v>
      </c>
      <c r="TVW1333" s="4" t="s">
        <v>2877</v>
      </c>
      <c r="TVX1333" s="4" t="s">
        <v>2877</v>
      </c>
      <c r="TVY1333" s="4" t="s">
        <v>2877</v>
      </c>
      <c r="TVZ1333" s="4" t="s">
        <v>2877</v>
      </c>
      <c r="TWA1333" s="4" t="s">
        <v>2877</v>
      </c>
      <c r="TWB1333" s="4" t="s">
        <v>2877</v>
      </c>
      <c r="TWC1333" s="4" t="s">
        <v>2877</v>
      </c>
      <c r="TWD1333" s="4" t="s">
        <v>2877</v>
      </c>
      <c r="TWE1333" s="4" t="s">
        <v>2877</v>
      </c>
      <c r="TWF1333" s="4" t="s">
        <v>2877</v>
      </c>
      <c r="TWG1333" s="4" t="s">
        <v>2877</v>
      </c>
      <c r="TWH1333" s="4" t="s">
        <v>2877</v>
      </c>
      <c r="TWI1333" s="4" t="s">
        <v>2877</v>
      </c>
      <c r="TWJ1333" s="4" t="s">
        <v>2877</v>
      </c>
      <c r="TWK1333" s="4" t="s">
        <v>2877</v>
      </c>
      <c r="TWL1333" s="4" t="s">
        <v>2877</v>
      </c>
      <c r="TWM1333" s="4" t="s">
        <v>2877</v>
      </c>
      <c r="TWN1333" s="4" t="s">
        <v>2877</v>
      </c>
      <c r="TWO1333" s="4" t="s">
        <v>2877</v>
      </c>
      <c r="TWP1333" s="4" t="s">
        <v>2877</v>
      </c>
      <c r="TWQ1333" s="4" t="s">
        <v>2877</v>
      </c>
      <c r="TWR1333" s="4" t="s">
        <v>2877</v>
      </c>
      <c r="TWS1333" s="4" t="s">
        <v>2877</v>
      </c>
      <c r="TWT1333" s="4" t="s">
        <v>2877</v>
      </c>
      <c r="TWU1333" s="4" t="s">
        <v>2877</v>
      </c>
      <c r="TWV1333" s="4" t="s">
        <v>2877</v>
      </c>
      <c r="TWW1333" s="4" t="s">
        <v>2877</v>
      </c>
      <c r="TWX1333" s="4" t="s">
        <v>2877</v>
      </c>
      <c r="TWY1333" s="4" t="s">
        <v>2877</v>
      </c>
      <c r="TWZ1333" s="4" t="s">
        <v>2877</v>
      </c>
      <c r="TXA1333" s="4" t="s">
        <v>2877</v>
      </c>
      <c r="TXB1333" s="4" t="s">
        <v>2877</v>
      </c>
      <c r="TXC1333" s="4" t="s">
        <v>2877</v>
      </c>
      <c r="TXD1333" s="4" t="s">
        <v>2877</v>
      </c>
      <c r="TXE1333" s="4" t="s">
        <v>2877</v>
      </c>
      <c r="TXF1333" s="4" t="s">
        <v>2877</v>
      </c>
      <c r="TXG1333" s="4" t="s">
        <v>2877</v>
      </c>
      <c r="TXH1333" s="4" t="s">
        <v>2877</v>
      </c>
      <c r="TXI1333" s="4" t="s">
        <v>2877</v>
      </c>
      <c r="TXJ1333" s="4" t="s">
        <v>2877</v>
      </c>
      <c r="TXK1333" s="4" t="s">
        <v>2877</v>
      </c>
      <c r="TXL1333" s="4" t="s">
        <v>2877</v>
      </c>
      <c r="TXM1333" s="4" t="s">
        <v>2877</v>
      </c>
      <c r="TXN1333" s="4" t="s">
        <v>2877</v>
      </c>
      <c r="TXO1333" s="4" t="s">
        <v>2877</v>
      </c>
      <c r="TXP1333" s="4" t="s">
        <v>2877</v>
      </c>
      <c r="TXQ1333" s="4" t="s">
        <v>2877</v>
      </c>
      <c r="TXR1333" s="4" t="s">
        <v>2877</v>
      </c>
      <c r="TXS1333" s="4" t="s">
        <v>2877</v>
      </c>
      <c r="TXT1333" s="4" t="s">
        <v>2877</v>
      </c>
      <c r="TXU1333" s="4" t="s">
        <v>2877</v>
      </c>
      <c r="TXV1333" s="4" t="s">
        <v>2877</v>
      </c>
      <c r="TXW1333" s="4" t="s">
        <v>2877</v>
      </c>
      <c r="TXX1333" s="4" t="s">
        <v>2877</v>
      </c>
      <c r="TXY1333" s="4" t="s">
        <v>2877</v>
      </c>
      <c r="TXZ1333" s="4" t="s">
        <v>2877</v>
      </c>
      <c r="TYA1333" s="4" t="s">
        <v>2877</v>
      </c>
      <c r="TYB1333" s="4" t="s">
        <v>2877</v>
      </c>
      <c r="TYC1333" s="4" t="s">
        <v>2877</v>
      </c>
      <c r="TYD1333" s="4" t="s">
        <v>2877</v>
      </c>
      <c r="TYE1333" s="4" t="s">
        <v>2877</v>
      </c>
      <c r="TYF1333" s="4" t="s">
        <v>2877</v>
      </c>
      <c r="TYG1333" s="4" t="s">
        <v>2877</v>
      </c>
      <c r="TYH1333" s="4" t="s">
        <v>2877</v>
      </c>
      <c r="TYI1333" s="4" t="s">
        <v>2877</v>
      </c>
      <c r="TYJ1333" s="4" t="s">
        <v>2877</v>
      </c>
      <c r="TYK1333" s="4" t="s">
        <v>2877</v>
      </c>
      <c r="TYL1333" s="4" t="s">
        <v>2877</v>
      </c>
      <c r="TYM1333" s="4" t="s">
        <v>2877</v>
      </c>
      <c r="TYN1333" s="4" t="s">
        <v>2877</v>
      </c>
      <c r="TYO1333" s="4" t="s">
        <v>2877</v>
      </c>
      <c r="TYP1333" s="4" t="s">
        <v>2877</v>
      </c>
      <c r="TYQ1333" s="4" t="s">
        <v>2877</v>
      </c>
      <c r="TYR1333" s="4" t="s">
        <v>2877</v>
      </c>
      <c r="TYS1333" s="4" t="s">
        <v>2877</v>
      </c>
      <c r="TYT1333" s="4" t="s">
        <v>2877</v>
      </c>
      <c r="TYU1333" s="4" t="s">
        <v>2877</v>
      </c>
      <c r="TYV1333" s="4" t="s">
        <v>2877</v>
      </c>
      <c r="TYW1333" s="4" t="s">
        <v>2877</v>
      </c>
      <c r="TYX1333" s="4" t="s">
        <v>2877</v>
      </c>
      <c r="TYY1333" s="4" t="s">
        <v>2877</v>
      </c>
      <c r="TYZ1333" s="4" t="s">
        <v>2877</v>
      </c>
      <c r="TZA1333" s="4" t="s">
        <v>2877</v>
      </c>
      <c r="TZB1333" s="4" t="s">
        <v>2877</v>
      </c>
      <c r="TZC1333" s="4" t="s">
        <v>2877</v>
      </c>
      <c r="TZD1333" s="4" t="s">
        <v>2877</v>
      </c>
      <c r="TZE1333" s="4" t="s">
        <v>2877</v>
      </c>
      <c r="TZF1333" s="4" t="s">
        <v>2877</v>
      </c>
      <c r="TZG1333" s="4" t="s">
        <v>2877</v>
      </c>
      <c r="TZH1333" s="4" t="s">
        <v>2877</v>
      </c>
      <c r="TZI1333" s="4" t="s">
        <v>2877</v>
      </c>
      <c r="TZJ1333" s="4" t="s">
        <v>2877</v>
      </c>
      <c r="TZK1333" s="4" t="s">
        <v>2877</v>
      </c>
      <c r="TZL1333" s="4" t="s">
        <v>2877</v>
      </c>
      <c r="TZM1333" s="4" t="s">
        <v>2877</v>
      </c>
      <c r="TZN1333" s="4" t="s">
        <v>2877</v>
      </c>
      <c r="TZO1333" s="4" t="s">
        <v>2877</v>
      </c>
      <c r="TZP1333" s="4" t="s">
        <v>2877</v>
      </c>
      <c r="TZQ1333" s="4" t="s">
        <v>2877</v>
      </c>
      <c r="TZR1333" s="4" t="s">
        <v>2877</v>
      </c>
      <c r="TZS1333" s="4" t="s">
        <v>2877</v>
      </c>
      <c r="TZT1333" s="4" t="s">
        <v>2877</v>
      </c>
      <c r="TZU1333" s="4" t="s">
        <v>2877</v>
      </c>
      <c r="TZV1333" s="4" t="s">
        <v>2877</v>
      </c>
      <c r="TZW1333" s="4" t="s">
        <v>2877</v>
      </c>
      <c r="TZX1333" s="4" t="s">
        <v>2877</v>
      </c>
      <c r="TZY1333" s="4" t="s">
        <v>2877</v>
      </c>
      <c r="TZZ1333" s="4" t="s">
        <v>2877</v>
      </c>
      <c r="UAA1333" s="4" t="s">
        <v>2877</v>
      </c>
      <c r="UAB1333" s="4" t="s">
        <v>2877</v>
      </c>
      <c r="UAC1333" s="4" t="s">
        <v>2877</v>
      </c>
      <c r="UAD1333" s="4" t="s">
        <v>2877</v>
      </c>
      <c r="UAE1333" s="4" t="s">
        <v>2877</v>
      </c>
      <c r="UAF1333" s="4" t="s">
        <v>2877</v>
      </c>
      <c r="UAG1333" s="4" t="s">
        <v>2877</v>
      </c>
      <c r="UAH1333" s="4" t="s">
        <v>2877</v>
      </c>
      <c r="UAI1333" s="4" t="s">
        <v>2877</v>
      </c>
      <c r="UAJ1333" s="4" t="s">
        <v>2877</v>
      </c>
      <c r="UAK1333" s="4" t="s">
        <v>2877</v>
      </c>
      <c r="UAL1333" s="4" t="s">
        <v>2877</v>
      </c>
      <c r="UAM1333" s="4" t="s">
        <v>2877</v>
      </c>
      <c r="UAN1333" s="4" t="s">
        <v>2877</v>
      </c>
      <c r="UAO1333" s="4" t="s">
        <v>2877</v>
      </c>
      <c r="UAP1333" s="4" t="s">
        <v>2877</v>
      </c>
      <c r="UAQ1333" s="4" t="s">
        <v>2877</v>
      </c>
      <c r="UAR1333" s="4" t="s">
        <v>2877</v>
      </c>
      <c r="UAS1333" s="4" t="s">
        <v>2877</v>
      </c>
      <c r="UAT1333" s="4" t="s">
        <v>2877</v>
      </c>
      <c r="UAU1333" s="4" t="s">
        <v>2877</v>
      </c>
      <c r="UAV1333" s="4" t="s">
        <v>2877</v>
      </c>
      <c r="UAW1333" s="4" t="s">
        <v>2877</v>
      </c>
      <c r="UAX1333" s="4" t="s">
        <v>2877</v>
      </c>
      <c r="UAY1333" s="4" t="s">
        <v>2877</v>
      </c>
      <c r="UAZ1333" s="4" t="s">
        <v>2877</v>
      </c>
      <c r="UBA1333" s="4" t="s">
        <v>2877</v>
      </c>
      <c r="UBB1333" s="4" t="s">
        <v>2877</v>
      </c>
      <c r="UBC1333" s="4" t="s">
        <v>2877</v>
      </c>
      <c r="UBD1333" s="4" t="s">
        <v>2877</v>
      </c>
      <c r="UBE1333" s="4" t="s">
        <v>2877</v>
      </c>
      <c r="UBF1333" s="4" t="s">
        <v>2877</v>
      </c>
      <c r="UBG1333" s="4" t="s">
        <v>2877</v>
      </c>
      <c r="UBH1333" s="4" t="s">
        <v>2877</v>
      </c>
      <c r="UBI1333" s="4" t="s">
        <v>2877</v>
      </c>
      <c r="UBJ1333" s="4" t="s">
        <v>2877</v>
      </c>
      <c r="UBK1333" s="4" t="s">
        <v>2877</v>
      </c>
      <c r="UBL1333" s="4" t="s">
        <v>2877</v>
      </c>
      <c r="UBM1333" s="4" t="s">
        <v>2877</v>
      </c>
      <c r="UBN1333" s="4" t="s">
        <v>2877</v>
      </c>
      <c r="UBO1333" s="4" t="s">
        <v>2877</v>
      </c>
      <c r="UBP1333" s="4" t="s">
        <v>2877</v>
      </c>
      <c r="UBQ1333" s="4" t="s">
        <v>2877</v>
      </c>
      <c r="UBR1333" s="4" t="s">
        <v>2877</v>
      </c>
      <c r="UBS1333" s="4" t="s">
        <v>2877</v>
      </c>
      <c r="UBT1333" s="4" t="s">
        <v>2877</v>
      </c>
      <c r="UBU1333" s="4" t="s">
        <v>2877</v>
      </c>
      <c r="UBV1333" s="4" t="s">
        <v>2877</v>
      </c>
      <c r="UBW1333" s="4" t="s">
        <v>2877</v>
      </c>
      <c r="UBX1333" s="4" t="s">
        <v>2877</v>
      </c>
      <c r="UBY1333" s="4" t="s">
        <v>2877</v>
      </c>
      <c r="UBZ1333" s="4" t="s">
        <v>2877</v>
      </c>
      <c r="UCA1333" s="4" t="s">
        <v>2877</v>
      </c>
      <c r="UCB1333" s="4" t="s">
        <v>2877</v>
      </c>
      <c r="UCC1333" s="4" t="s">
        <v>2877</v>
      </c>
      <c r="UCD1333" s="4" t="s">
        <v>2877</v>
      </c>
      <c r="UCE1333" s="4" t="s">
        <v>2877</v>
      </c>
      <c r="UCF1333" s="4" t="s">
        <v>2877</v>
      </c>
      <c r="UCG1333" s="4" t="s">
        <v>2877</v>
      </c>
      <c r="UCH1333" s="4" t="s">
        <v>2877</v>
      </c>
      <c r="UCI1333" s="4" t="s">
        <v>2877</v>
      </c>
      <c r="UCJ1333" s="4" t="s">
        <v>2877</v>
      </c>
      <c r="UCK1333" s="4" t="s">
        <v>2877</v>
      </c>
      <c r="UCL1333" s="4" t="s">
        <v>2877</v>
      </c>
      <c r="UCM1333" s="4" t="s">
        <v>2877</v>
      </c>
      <c r="UCN1333" s="4" t="s">
        <v>2877</v>
      </c>
      <c r="UCO1333" s="4" t="s">
        <v>2877</v>
      </c>
      <c r="UCP1333" s="4" t="s">
        <v>2877</v>
      </c>
      <c r="UCQ1333" s="4" t="s">
        <v>2877</v>
      </c>
      <c r="UCR1333" s="4" t="s">
        <v>2877</v>
      </c>
      <c r="UCS1333" s="4" t="s">
        <v>2877</v>
      </c>
      <c r="UCT1333" s="4" t="s">
        <v>2877</v>
      </c>
      <c r="UCU1333" s="4" t="s">
        <v>2877</v>
      </c>
      <c r="UCV1333" s="4" t="s">
        <v>2877</v>
      </c>
      <c r="UCW1333" s="4" t="s">
        <v>2877</v>
      </c>
      <c r="UCX1333" s="4" t="s">
        <v>2877</v>
      </c>
      <c r="UCY1333" s="4" t="s">
        <v>2877</v>
      </c>
      <c r="UCZ1333" s="4" t="s">
        <v>2877</v>
      </c>
      <c r="UDA1333" s="4" t="s">
        <v>2877</v>
      </c>
      <c r="UDB1333" s="4" t="s">
        <v>2877</v>
      </c>
      <c r="UDC1333" s="4" t="s">
        <v>2877</v>
      </c>
      <c r="UDD1333" s="4" t="s">
        <v>2877</v>
      </c>
      <c r="UDE1333" s="4" t="s">
        <v>2877</v>
      </c>
      <c r="UDF1333" s="4" t="s">
        <v>2877</v>
      </c>
      <c r="UDG1333" s="4" t="s">
        <v>2877</v>
      </c>
      <c r="UDH1333" s="4" t="s">
        <v>2877</v>
      </c>
      <c r="UDI1333" s="4" t="s">
        <v>2877</v>
      </c>
      <c r="UDJ1333" s="4" t="s">
        <v>2877</v>
      </c>
      <c r="UDK1333" s="4" t="s">
        <v>2877</v>
      </c>
      <c r="UDL1333" s="4" t="s">
        <v>2877</v>
      </c>
      <c r="UDM1333" s="4" t="s">
        <v>2877</v>
      </c>
      <c r="UDN1333" s="4" t="s">
        <v>2877</v>
      </c>
      <c r="UDO1333" s="4" t="s">
        <v>2877</v>
      </c>
      <c r="UDP1333" s="4" t="s">
        <v>2877</v>
      </c>
      <c r="UDQ1333" s="4" t="s">
        <v>2877</v>
      </c>
      <c r="UDR1333" s="4" t="s">
        <v>2877</v>
      </c>
      <c r="UDS1333" s="4" t="s">
        <v>2877</v>
      </c>
      <c r="UDT1333" s="4" t="s">
        <v>2877</v>
      </c>
      <c r="UDU1333" s="4" t="s">
        <v>2877</v>
      </c>
      <c r="UDV1333" s="4" t="s">
        <v>2877</v>
      </c>
      <c r="UDW1333" s="4" t="s">
        <v>2877</v>
      </c>
      <c r="UDX1333" s="4" t="s">
        <v>2877</v>
      </c>
      <c r="UDY1333" s="4" t="s">
        <v>2877</v>
      </c>
      <c r="UDZ1333" s="4" t="s">
        <v>2877</v>
      </c>
      <c r="UEA1333" s="4" t="s">
        <v>2877</v>
      </c>
      <c r="UEB1333" s="4" t="s">
        <v>2877</v>
      </c>
      <c r="UEC1333" s="4" t="s">
        <v>2877</v>
      </c>
      <c r="UED1333" s="4" t="s">
        <v>2877</v>
      </c>
      <c r="UEE1333" s="4" t="s">
        <v>2877</v>
      </c>
      <c r="UEF1333" s="4" t="s">
        <v>2877</v>
      </c>
      <c r="UEG1333" s="4" t="s">
        <v>2877</v>
      </c>
      <c r="UEH1333" s="4" t="s">
        <v>2877</v>
      </c>
      <c r="UEI1333" s="4" t="s">
        <v>2877</v>
      </c>
      <c r="UEJ1333" s="4" t="s">
        <v>2877</v>
      </c>
      <c r="UEK1333" s="4" t="s">
        <v>2877</v>
      </c>
      <c r="UEL1333" s="4" t="s">
        <v>2877</v>
      </c>
      <c r="UEM1333" s="4" t="s">
        <v>2877</v>
      </c>
      <c r="UEN1333" s="4" t="s">
        <v>2877</v>
      </c>
      <c r="UEO1333" s="4" t="s">
        <v>2877</v>
      </c>
      <c r="UEP1333" s="4" t="s">
        <v>2877</v>
      </c>
      <c r="UEQ1333" s="4" t="s">
        <v>2877</v>
      </c>
      <c r="UER1333" s="4" t="s">
        <v>2877</v>
      </c>
      <c r="UES1333" s="4" t="s">
        <v>2877</v>
      </c>
      <c r="UET1333" s="4" t="s">
        <v>2877</v>
      </c>
      <c r="UEU1333" s="4" t="s">
        <v>2877</v>
      </c>
      <c r="UEV1333" s="4" t="s">
        <v>2877</v>
      </c>
      <c r="UEW1333" s="4" t="s">
        <v>2877</v>
      </c>
      <c r="UEX1333" s="4" t="s">
        <v>2877</v>
      </c>
      <c r="UEY1333" s="4" t="s">
        <v>2877</v>
      </c>
      <c r="UEZ1333" s="4" t="s">
        <v>2877</v>
      </c>
      <c r="UFA1333" s="4" t="s">
        <v>2877</v>
      </c>
      <c r="UFB1333" s="4" t="s">
        <v>2877</v>
      </c>
      <c r="UFC1333" s="4" t="s">
        <v>2877</v>
      </c>
      <c r="UFD1333" s="4" t="s">
        <v>2877</v>
      </c>
      <c r="UFE1333" s="4" t="s">
        <v>2877</v>
      </c>
      <c r="UFF1333" s="4" t="s">
        <v>2877</v>
      </c>
      <c r="UFG1333" s="4" t="s">
        <v>2877</v>
      </c>
      <c r="UFH1333" s="4" t="s">
        <v>2877</v>
      </c>
      <c r="UFI1333" s="4" t="s">
        <v>2877</v>
      </c>
      <c r="UFJ1333" s="4" t="s">
        <v>2877</v>
      </c>
      <c r="UFK1333" s="4" t="s">
        <v>2877</v>
      </c>
      <c r="UFL1333" s="4" t="s">
        <v>2877</v>
      </c>
      <c r="UFM1333" s="4" t="s">
        <v>2877</v>
      </c>
      <c r="UFN1333" s="4" t="s">
        <v>2877</v>
      </c>
      <c r="UFO1333" s="4" t="s">
        <v>2877</v>
      </c>
      <c r="UFP1333" s="4" t="s">
        <v>2877</v>
      </c>
      <c r="UFQ1333" s="4" t="s">
        <v>2877</v>
      </c>
      <c r="UFR1333" s="4" t="s">
        <v>2877</v>
      </c>
      <c r="UFS1333" s="4" t="s">
        <v>2877</v>
      </c>
      <c r="UFT1333" s="4" t="s">
        <v>2877</v>
      </c>
      <c r="UFU1333" s="4" t="s">
        <v>2877</v>
      </c>
      <c r="UFV1333" s="4" t="s">
        <v>2877</v>
      </c>
      <c r="UFW1333" s="4" t="s">
        <v>2877</v>
      </c>
      <c r="UFX1333" s="4" t="s">
        <v>2877</v>
      </c>
      <c r="UFY1333" s="4" t="s">
        <v>2877</v>
      </c>
      <c r="UFZ1333" s="4" t="s">
        <v>2877</v>
      </c>
      <c r="UGA1333" s="4" t="s">
        <v>2877</v>
      </c>
      <c r="UGB1333" s="4" t="s">
        <v>2877</v>
      </c>
      <c r="UGC1333" s="4" t="s">
        <v>2877</v>
      </c>
      <c r="UGD1333" s="4" t="s">
        <v>2877</v>
      </c>
      <c r="UGE1333" s="4" t="s">
        <v>2877</v>
      </c>
      <c r="UGF1333" s="4" t="s">
        <v>2877</v>
      </c>
      <c r="UGG1333" s="4" t="s">
        <v>2877</v>
      </c>
      <c r="UGH1333" s="4" t="s">
        <v>2877</v>
      </c>
      <c r="UGI1333" s="4" t="s">
        <v>2877</v>
      </c>
      <c r="UGJ1333" s="4" t="s">
        <v>2877</v>
      </c>
      <c r="UGK1333" s="4" t="s">
        <v>2877</v>
      </c>
      <c r="UGL1333" s="4" t="s">
        <v>2877</v>
      </c>
      <c r="UGM1333" s="4" t="s">
        <v>2877</v>
      </c>
      <c r="UGN1333" s="4" t="s">
        <v>2877</v>
      </c>
      <c r="UGO1333" s="4" t="s">
        <v>2877</v>
      </c>
      <c r="UGP1333" s="4" t="s">
        <v>2877</v>
      </c>
      <c r="UGQ1333" s="4" t="s">
        <v>2877</v>
      </c>
      <c r="UGR1333" s="4" t="s">
        <v>2877</v>
      </c>
      <c r="UGS1333" s="4" t="s">
        <v>2877</v>
      </c>
      <c r="UGT1333" s="4" t="s">
        <v>2877</v>
      </c>
      <c r="UGU1333" s="4" t="s">
        <v>2877</v>
      </c>
      <c r="UGV1333" s="4" t="s">
        <v>2877</v>
      </c>
      <c r="UGW1333" s="4" t="s">
        <v>2877</v>
      </c>
      <c r="UGX1333" s="4" t="s">
        <v>2877</v>
      </c>
      <c r="UGY1333" s="4" t="s">
        <v>2877</v>
      </c>
      <c r="UGZ1333" s="4" t="s">
        <v>2877</v>
      </c>
      <c r="UHA1333" s="4" t="s">
        <v>2877</v>
      </c>
      <c r="UHB1333" s="4" t="s">
        <v>2877</v>
      </c>
      <c r="UHC1333" s="4" t="s">
        <v>2877</v>
      </c>
      <c r="UHD1333" s="4" t="s">
        <v>2877</v>
      </c>
      <c r="UHE1333" s="4" t="s">
        <v>2877</v>
      </c>
      <c r="UHF1333" s="4" t="s">
        <v>2877</v>
      </c>
      <c r="UHG1333" s="4" t="s">
        <v>2877</v>
      </c>
      <c r="UHH1333" s="4" t="s">
        <v>2877</v>
      </c>
      <c r="UHI1333" s="4" t="s">
        <v>2877</v>
      </c>
      <c r="UHJ1333" s="4" t="s">
        <v>2877</v>
      </c>
      <c r="UHK1333" s="4" t="s">
        <v>2877</v>
      </c>
      <c r="UHL1333" s="4" t="s">
        <v>2877</v>
      </c>
      <c r="UHM1333" s="4" t="s">
        <v>2877</v>
      </c>
      <c r="UHN1333" s="4" t="s">
        <v>2877</v>
      </c>
      <c r="UHO1333" s="4" t="s">
        <v>2877</v>
      </c>
      <c r="UHP1333" s="4" t="s">
        <v>2877</v>
      </c>
      <c r="UHQ1333" s="4" t="s">
        <v>2877</v>
      </c>
      <c r="UHR1333" s="4" t="s">
        <v>2877</v>
      </c>
      <c r="UHS1333" s="4" t="s">
        <v>2877</v>
      </c>
      <c r="UHT1333" s="4" t="s">
        <v>2877</v>
      </c>
      <c r="UHU1333" s="4" t="s">
        <v>2877</v>
      </c>
      <c r="UHV1333" s="4" t="s">
        <v>2877</v>
      </c>
      <c r="UHW1333" s="4" t="s">
        <v>2877</v>
      </c>
      <c r="UHX1333" s="4" t="s">
        <v>2877</v>
      </c>
      <c r="UHY1333" s="4" t="s">
        <v>2877</v>
      </c>
      <c r="UHZ1333" s="4" t="s">
        <v>2877</v>
      </c>
      <c r="UIA1333" s="4" t="s">
        <v>2877</v>
      </c>
      <c r="UIB1333" s="4" t="s">
        <v>2877</v>
      </c>
      <c r="UIC1333" s="4" t="s">
        <v>2877</v>
      </c>
      <c r="UID1333" s="4" t="s">
        <v>2877</v>
      </c>
      <c r="UIE1333" s="4" t="s">
        <v>2877</v>
      </c>
      <c r="UIF1333" s="4" t="s">
        <v>2877</v>
      </c>
      <c r="UIG1333" s="4" t="s">
        <v>2877</v>
      </c>
      <c r="UIH1333" s="4" t="s">
        <v>2877</v>
      </c>
      <c r="UII1333" s="4" t="s">
        <v>2877</v>
      </c>
      <c r="UIJ1333" s="4" t="s">
        <v>2877</v>
      </c>
      <c r="UIK1333" s="4" t="s">
        <v>2877</v>
      </c>
      <c r="UIL1333" s="4" t="s">
        <v>2877</v>
      </c>
      <c r="UIM1333" s="4" t="s">
        <v>2877</v>
      </c>
      <c r="UIN1333" s="4" t="s">
        <v>2877</v>
      </c>
      <c r="UIO1333" s="4" t="s">
        <v>2877</v>
      </c>
      <c r="UIP1333" s="4" t="s">
        <v>2877</v>
      </c>
      <c r="UIQ1333" s="4" t="s">
        <v>2877</v>
      </c>
      <c r="UIR1333" s="4" t="s">
        <v>2877</v>
      </c>
      <c r="UIS1333" s="4" t="s">
        <v>2877</v>
      </c>
      <c r="UIT1333" s="4" t="s">
        <v>2877</v>
      </c>
      <c r="UIU1333" s="4" t="s">
        <v>2877</v>
      </c>
      <c r="UIV1333" s="4" t="s">
        <v>2877</v>
      </c>
      <c r="UIW1333" s="4" t="s">
        <v>2877</v>
      </c>
      <c r="UIX1333" s="4" t="s">
        <v>2877</v>
      </c>
      <c r="UIY1333" s="4" t="s">
        <v>2877</v>
      </c>
      <c r="UIZ1333" s="4" t="s">
        <v>2877</v>
      </c>
      <c r="UJA1333" s="4" t="s">
        <v>2877</v>
      </c>
      <c r="UJB1333" s="4" t="s">
        <v>2877</v>
      </c>
      <c r="UJC1333" s="4" t="s">
        <v>2877</v>
      </c>
      <c r="UJD1333" s="4" t="s">
        <v>2877</v>
      </c>
      <c r="UJE1333" s="4" t="s">
        <v>2877</v>
      </c>
      <c r="UJF1333" s="4" t="s">
        <v>2877</v>
      </c>
      <c r="UJG1333" s="4" t="s">
        <v>2877</v>
      </c>
      <c r="UJH1333" s="4" t="s">
        <v>2877</v>
      </c>
      <c r="UJI1333" s="4" t="s">
        <v>2877</v>
      </c>
      <c r="UJJ1333" s="4" t="s">
        <v>2877</v>
      </c>
      <c r="UJK1333" s="4" t="s">
        <v>2877</v>
      </c>
      <c r="UJL1333" s="4" t="s">
        <v>2877</v>
      </c>
      <c r="UJM1333" s="4" t="s">
        <v>2877</v>
      </c>
      <c r="UJN1333" s="4" t="s">
        <v>2877</v>
      </c>
      <c r="UJO1333" s="4" t="s">
        <v>2877</v>
      </c>
      <c r="UJP1333" s="4" t="s">
        <v>2877</v>
      </c>
      <c r="UJQ1333" s="4" t="s">
        <v>2877</v>
      </c>
      <c r="UJR1333" s="4" t="s">
        <v>2877</v>
      </c>
      <c r="UJS1333" s="4" t="s">
        <v>2877</v>
      </c>
      <c r="UJT1333" s="4" t="s">
        <v>2877</v>
      </c>
      <c r="UJU1333" s="4" t="s">
        <v>2877</v>
      </c>
      <c r="UJV1333" s="4" t="s">
        <v>2877</v>
      </c>
      <c r="UJW1333" s="4" t="s">
        <v>2877</v>
      </c>
      <c r="UJX1333" s="4" t="s">
        <v>2877</v>
      </c>
      <c r="UJY1333" s="4" t="s">
        <v>2877</v>
      </c>
      <c r="UJZ1333" s="4" t="s">
        <v>2877</v>
      </c>
      <c r="UKA1333" s="4" t="s">
        <v>2877</v>
      </c>
      <c r="UKB1333" s="4" t="s">
        <v>2877</v>
      </c>
      <c r="UKC1333" s="4" t="s">
        <v>2877</v>
      </c>
      <c r="UKD1333" s="4" t="s">
        <v>2877</v>
      </c>
      <c r="UKE1333" s="4" t="s">
        <v>2877</v>
      </c>
      <c r="UKF1333" s="4" t="s">
        <v>2877</v>
      </c>
      <c r="UKG1333" s="4" t="s">
        <v>2877</v>
      </c>
      <c r="UKH1333" s="4" t="s">
        <v>2877</v>
      </c>
      <c r="UKI1333" s="4" t="s">
        <v>2877</v>
      </c>
      <c r="UKJ1333" s="4" t="s">
        <v>2877</v>
      </c>
      <c r="UKK1333" s="4" t="s">
        <v>2877</v>
      </c>
      <c r="UKL1333" s="4" t="s">
        <v>2877</v>
      </c>
      <c r="UKM1333" s="4" t="s">
        <v>2877</v>
      </c>
      <c r="UKN1333" s="4" t="s">
        <v>2877</v>
      </c>
      <c r="UKO1333" s="4" t="s">
        <v>2877</v>
      </c>
      <c r="UKP1333" s="4" t="s">
        <v>2877</v>
      </c>
      <c r="UKQ1333" s="4" t="s">
        <v>2877</v>
      </c>
      <c r="UKR1333" s="4" t="s">
        <v>2877</v>
      </c>
      <c r="UKS1333" s="4" t="s">
        <v>2877</v>
      </c>
      <c r="UKT1333" s="4" t="s">
        <v>2877</v>
      </c>
      <c r="UKU1333" s="4" t="s">
        <v>2877</v>
      </c>
      <c r="UKV1333" s="4" t="s">
        <v>2877</v>
      </c>
      <c r="UKW1333" s="4" t="s">
        <v>2877</v>
      </c>
      <c r="UKX1333" s="4" t="s">
        <v>2877</v>
      </c>
      <c r="UKY1333" s="4" t="s">
        <v>2877</v>
      </c>
      <c r="UKZ1333" s="4" t="s">
        <v>2877</v>
      </c>
      <c r="ULA1333" s="4" t="s">
        <v>2877</v>
      </c>
      <c r="ULB1333" s="4" t="s">
        <v>2877</v>
      </c>
      <c r="ULC1333" s="4" t="s">
        <v>2877</v>
      </c>
      <c r="ULD1333" s="4" t="s">
        <v>2877</v>
      </c>
      <c r="ULE1333" s="4" t="s">
        <v>2877</v>
      </c>
      <c r="ULF1333" s="4" t="s">
        <v>2877</v>
      </c>
      <c r="ULG1333" s="4" t="s">
        <v>2877</v>
      </c>
      <c r="ULH1333" s="4" t="s">
        <v>2877</v>
      </c>
      <c r="ULI1333" s="4" t="s">
        <v>2877</v>
      </c>
      <c r="ULJ1333" s="4" t="s">
        <v>2877</v>
      </c>
      <c r="ULK1333" s="4" t="s">
        <v>2877</v>
      </c>
      <c r="ULL1333" s="4" t="s">
        <v>2877</v>
      </c>
      <c r="ULM1333" s="4" t="s">
        <v>2877</v>
      </c>
      <c r="ULN1333" s="4" t="s">
        <v>2877</v>
      </c>
      <c r="ULO1333" s="4" t="s">
        <v>2877</v>
      </c>
      <c r="ULP1333" s="4" t="s">
        <v>2877</v>
      </c>
      <c r="ULQ1333" s="4" t="s">
        <v>2877</v>
      </c>
      <c r="ULR1333" s="4" t="s">
        <v>2877</v>
      </c>
      <c r="ULS1333" s="4" t="s">
        <v>2877</v>
      </c>
      <c r="ULT1333" s="4" t="s">
        <v>2877</v>
      </c>
      <c r="ULU1333" s="4" t="s">
        <v>2877</v>
      </c>
      <c r="ULV1333" s="4" t="s">
        <v>2877</v>
      </c>
      <c r="ULW1333" s="4" t="s">
        <v>2877</v>
      </c>
      <c r="ULX1333" s="4" t="s">
        <v>2877</v>
      </c>
      <c r="ULY1333" s="4" t="s">
        <v>2877</v>
      </c>
      <c r="ULZ1333" s="4" t="s">
        <v>2877</v>
      </c>
      <c r="UMA1333" s="4" t="s">
        <v>2877</v>
      </c>
      <c r="UMB1333" s="4" t="s">
        <v>2877</v>
      </c>
      <c r="UMC1333" s="4" t="s">
        <v>2877</v>
      </c>
      <c r="UMD1333" s="4" t="s">
        <v>2877</v>
      </c>
      <c r="UME1333" s="4" t="s">
        <v>2877</v>
      </c>
      <c r="UMF1333" s="4" t="s">
        <v>2877</v>
      </c>
      <c r="UMG1333" s="4" t="s">
        <v>2877</v>
      </c>
      <c r="UMH1333" s="4" t="s">
        <v>2877</v>
      </c>
      <c r="UMI1333" s="4" t="s">
        <v>2877</v>
      </c>
      <c r="UMJ1333" s="4" t="s">
        <v>2877</v>
      </c>
      <c r="UMK1333" s="4" t="s">
        <v>2877</v>
      </c>
      <c r="UML1333" s="4" t="s">
        <v>2877</v>
      </c>
      <c r="UMM1333" s="4" t="s">
        <v>2877</v>
      </c>
      <c r="UMN1333" s="4" t="s">
        <v>2877</v>
      </c>
      <c r="UMO1333" s="4" t="s">
        <v>2877</v>
      </c>
      <c r="UMP1333" s="4" t="s">
        <v>2877</v>
      </c>
      <c r="UMQ1333" s="4" t="s">
        <v>2877</v>
      </c>
      <c r="UMR1333" s="4" t="s">
        <v>2877</v>
      </c>
      <c r="UMS1333" s="4" t="s">
        <v>2877</v>
      </c>
      <c r="UMT1333" s="4" t="s">
        <v>2877</v>
      </c>
      <c r="UMU1333" s="4" t="s">
        <v>2877</v>
      </c>
      <c r="UMV1333" s="4" t="s">
        <v>2877</v>
      </c>
      <c r="UMW1333" s="4" t="s">
        <v>2877</v>
      </c>
      <c r="UMX1333" s="4" t="s">
        <v>2877</v>
      </c>
      <c r="UMY1333" s="4" t="s">
        <v>2877</v>
      </c>
      <c r="UMZ1333" s="4" t="s">
        <v>2877</v>
      </c>
      <c r="UNA1333" s="4" t="s">
        <v>2877</v>
      </c>
      <c r="UNB1333" s="4" t="s">
        <v>2877</v>
      </c>
      <c r="UNC1333" s="4" t="s">
        <v>2877</v>
      </c>
      <c r="UND1333" s="4" t="s">
        <v>2877</v>
      </c>
      <c r="UNE1333" s="4" t="s">
        <v>2877</v>
      </c>
      <c r="UNF1333" s="4" t="s">
        <v>2877</v>
      </c>
      <c r="UNG1333" s="4" t="s">
        <v>2877</v>
      </c>
      <c r="UNH1333" s="4" t="s">
        <v>2877</v>
      </c>
      <c r="UNI1333" s="4" t="s">
        <v>2877</v>
      </c>
      <c r="UNJ1333" s="4" t="s">
        <v>2877</v>
      </c>
      <c r="UNK1333" s="4" t="s">
        <v>2877</v>
      </c>
      <c r="UNL1333" s="4" t="s">
        <v>2877</v>
      </c>
      <c r="UNM1333" s="4" t="s">
        <v>2877</v>
      </c>
      <c r="UNN1333" s="4" t="s">
        <v>2877</v>
      </c>
      <c r="UNO1333" s="4" t="s">
        <v>2877</v>
      </c>
      <c r="UNP1333" s="4" t="s">
        <v>2877</v>
      </c>
      <c r="UNQ1333" s="4" t="s">
        <v>2877</v>
      </c>
      <c r="UNR1333" s="4" t="s">
        <v>2877</v>
      </c>
      <c r="UNS1333" s="4" t="s">
        <v>2877</v>
      </c>
      <c r="UNT1333" s="4" t="s">
        <v>2877</v>
      </c>
      <c r="UNU1333" s="4" t="s">
        <v>2877</v>
      </c>
      <c r="UNV1333" s="4" t="s">
        <v>2877</v>
      </c>
      <c r="UNW1333" s="4" t="s">
        <v>2877</v>
      </c>
      <c r="UNX1333" s="4" t="s">
        <v>2877</v>
      </c>
      <c r="UNY1333" s="4" t="s">
        <v>2877</v>
      </c>
      <c r="UNZ1333" s="4" t="s">
        <v>2877</v>
      </c>
      <c r="UOA1333" s="4" t="s">
        <v>2877</v>
      </c>
      <c r="UOB1333" s="4" t="s">
        <v>2877</v>
      </c>
      <c r="UOC1333" s="4" t="s">
        <v>2877</v>
      </c>
      <c r="UOD1333" s="4" t="s">
        <v>2877</v>
      </c>
      <c r="UOE1333" s="4" t="s">
        <v>2877</v>
      </c>
      <c r="UOF1333" s="4" t="s">
        <v>2877</v>
      </c>
      <c r="UOG1333" s="4" t="s">
        <v>2877</v>
      </c>
      <c r="UOH1333" s="4" t="s">
        <v>2877</v>
      </c>
      <c r="UOI1333" s="4" t="s">
        <v>2877</v>
      </c>
      <c r="UOJ1333" s="4" t="s">
        <v>2877</v>
      </c>
      <c r="UOK1333" s="4" t="s">
        <v>2877</v>
      </c>
      <c r="UOL1333" s="4" t="s">
        <v>2877</v>
      </c>
      <c r="UOM1333" s="4" t="s">
        <v>2877</v>
      </c>
      <c r="UON1333" s="4" t="s">
        <v>2877</v>
      </c>
      <c r="UOO1333" s="4" t="s">
        <v>2877</v>
      </c>
      <c r="UOP1333" s="4" t="s">
        <v>2877</v>
      </c>
      <c r="UOQ1333" s="4" t="s">
        <v>2877</v>
      </c>
      <c r="UOR1333" s="4" t="s">
        <v>2877</v>
      </c>
      <c r="UOS1333" s="4" t="s">
        <v>2877</v>
      </c>
      <c r="UOT1333" s="4" t="s">
        <v>2877</v>
      </c>
      <c r="UOU1333" s="4" t="s">
        <v>2877</v>
      </c>
      <c r="UOV1333" s="4" t="s">
        <v>2877</v>
      </c>
      <c r="UOW1333" s="4" t="s">
        <v>2877</v>
      </c>
      <c r="UOX1333" s="4" t="s">
        <v>2877</v>
      </c>
      <c r="UOY1333" s="4" t="s">
        <v>2877</v>
      </c>
      <c r="UOZ1333" s="4" t="s">
        <v>2877</v>
      </c>
      <c r="UPA1333" s="4" t="s">
        <v>2877</v>
      </c>
      <c r="UPB1333" s="4" t="s">
        <v>2877</v>
      </c>
      <c r="UPC1333" s="4" t="s">
        <v>2877</v>
      </c>
      <c r="UPD1333" s="4" t="s">
        <v>2877</v>
      </c>
      <c r="UPE1333" s="4" t="s">
        <v>2877</v>
      </c>
      <c r="UPF1333" s="4" t="s">
        <v>2877</v>
      </c>
      <c r="UPG1333" s="4" t="s">
        <v>2877</v>
      </c>
      <c r="UPH1333" s="4" t="s">
        <v>2877</v>
      </c>
      <c r="UPI1333" s="4" t="s">
        <v>2877</v>
      </c>
      <c r="UPJ1333" s="4" t="s">
        <v>2877</v>
      </c>
      <c r="UPK1333" s="4" t="s">
        <v>2877</v>
      </c>
      <c r="UPL1333" s="4" t="s">
        <v>2877</v>
      </c>
      <c r="UPM1333" s="4" t="s">
        <v>2877</v>
      </c>
      <c r="UPN1333" s="4" t="s">
        <v>2877</v>
      </c>
      <c r="UPO1333" s="4" t="s">
        <v>2877</v>
      </c>
      <c r="UPP1333" s="4" t="s">
        <v>2877</v>
      </c>
      <c r="UPQ1333" s="4" t="s">
        <v>2877</v>
      </c>
      <c r="UPR1333" s="4" t="s">
        <v>2877</v>
      </c>
      <c r="UPS1333" s="4" t="s">
        <v>2877</v>
      </c>
      <c r="UPT1333" s="4" t="s">
        <v>2877</v>
      </c>
      <c r="UPU1333" s="4" t="s">
        <v>2877</v>
      </c>
      <c r="UPV1333" s="4" t="s">
        <v>2877</v>
      </c>
      <c r="UPW1333" s="4" t="s">
        <v>2877</v>
      </c>
      <c r="UPX1333" s="4" t="s">
        <v>2877</v>
      </c>
      <c r="UPY1333" s="4" t="s">
        <v>2877</v>
      </c>
      <c r="UPZ1333" s="4" t="s">
        <v>2877</v>
      </c>
      <c r="UQA1333" s="4" t="s">
        <v>2877</v>
      </c>
      <c r="UQB1333" s="4" t="s">
        <v>2877</v>
      </c>
      <c r="UQC1333" s="4" t="s">
        <v>2877</v>
      </c>
      <c r="UQD1333" s="4" t="s">
        <v>2877</v>
      </c>
      <c r="UQE1333" s="4" t="s">
        <v>2877</v>
      </c>
      <c r="UQF1333" s="4" t="s">
        <v>2877</v>
      </c>
      <c r="UQG1333" s="4" t="s">
        <v>2877</v>
      </c>
      <c r="UQH1333" s="4" t="s">
        <v>2877</v>
      </c>
      <c r="UQI1333" s="4" t="s">
        <v>2877</v>
      </c>
      <c r="UQJ1333" s="4" t="s">
        <v>2877</v>
      </c>
      <c r="UQK1333" s="4" t="s">
        <v>2877</v>
      </c>
      <c r="UQL1333" s="4" t="s">
        <v>2877</v>
      </c>
      <c r="UQM1333" s="4" t="s">
        <v>2877</v>
      </c>
      <c r="UQN1333" s="4" t="s">
        <v>2877</v>
      </c>
      <c r="UQO1333" s="4" t="s">
        <v>2877</v>
      </c>
      <c r="UQP1333" s="4" t="s">
        <v>2877</v>
      </c>
      <c r="UQQ1333" s="4" t="s">
        <v>2877</v>
      </c>
      <c r="UQR1333" s="4" t="s">
        <v>2877</v>
      </c>
      <c r="UQS1333" s="4" t="s">
        <v>2877</v>
      </c>
      <c r="UQT1333" s="4" t="s">
        <v>2877</v>
      </c>
      <c r="UQU1333" s="4" t="s">
        <v>2877</v>
      </c>
      <c r="UQV1333" s="4" t="s">
        <v>2877</v>
      </c>
      <c r="UQW1333" s="4" t="s">
        <v>2877</v>
      </c>
      <c r="UQX1333" s="4" t="s">
        <v>2877</v>
      </c>
      <c r="UQY1333" s="4" t="s">
        <v>2877</v>
      </c>
      <c r="UQZ1333" s="4" t="s">
        <v>2877</v>
      </c>
      <c r="URA1333" s="4" t="s">
        <v>2877</v>
      </c>
      <c r="URB1333" s="4" t="s">
        <v>2877</v>
      </c>
      <c r="URC1333" s="4" t="s">
        <v>2877</v>
      </c>
      <c r="URD1333" s="4" t="s">
        <v>2877</v>
      </c>
      <c r="URE1333" s="4" t="s">
        <v>2877</v>
      </c>
      <c r="URF1333" s="4" t="s">
        <v>2877</v>
      </c>
      <c r="URG1333" s="4" t="s">
        <v>2877</v>
      </c>
      <c r="URH1333" s="4" t="s">
        <v>2877</v>
      </c>
      <c r="URI1333" s="4" t="s">
        <v>2877</v>
      </c>
      <c r="URJ1333" s="4" t="s">
        <v>2877</v>
      </c>
      <c r="URK1333" s="4" t="s">
        <v>2877</v>
      </c>
      <c r="URL1333" s="4" t="s">
        <v>2877</v>
      </c>
      <c r="URM1333" s="4" t="s">
        <v>2877</v>
      </c>
      <c r="URN1333" s="4" t="s">
        <v>2877</v>
      </c>
      <c r="URO1333" s="4" t="s">
        <v>2877</v>
      </c>
      <c r="URP1333" s="4" t="s">
        <v>2877</v>
      </c>
      <c r="URQ1333" s="4" t="s">
        <v>2877</v>
      </c>
      <c r="URR1333" s="4" t="s">
        <v>2877</v>
      </c>
      <c r="URS1333" s="4" t="s">
        <v>2877</v>
      </c>
      <c r="URT1333" s="4" t="s">
        <v>2877</v>
      </c>
      <c r="URU1333" s="4" t="s">
        <v>2877</v>
      </c>
      <c r="URV1333" s="4" t="s">
        <v>2877</v>
      </c>
      <c r="URW1333" s="4" t="s">
        <v>2877</v>
      </c>
      <c r="URX1333" s="4" t="s">
        <v>2877</v>
      </c>
      <c r="URY1333" s="4" t="s">
        <v>2877</v>
      </c>
      <c r="URZ1333" s="4" t="s">
        <v>2877</v>
      </c>
      <c r="USA1333" s="4" t="s">
        <v>2877</v>
      </c>
      <c r="USB1333" s="4" t="s">
        <v>2877</v>
      </c>
      <c r="USC1333" s="4" t="s">
        <v>2877</v>
      </c>
      <c r="USD1333" s="4" t="s">
        <v>2877</v>
      </c>
      <c r="USE1333" s="4" t="s">
        <v>2877</v>
      </c>
      <c r="USF1333" s="4" t="s">
        <v>2877</v>
      </c>
      <c r="USG1333" s="4" t="s">
        <v>2877</v>
      </c>
      <c r="USH1333" s="4" t="s">
        <v>2877</v>
      </c>
      <c r="USI1333" s="4" t="s">
        <v>2877</v>
      </c>
      <c r="USJ1333" s="4" t="s">
        <v>2877</v>
      </c>
      <c r="USK1333" s="4" t="s">
        <v>2877</v>
      </c>
      <c r="USL1333" s="4" t="s">
        <v>2877</v>
      </c>
      <c r="USM1333" s="4" t="s">
        <v>2877</v>
      </c>
      <c r="USN1333" s="4" t="s">
        <v>2877</v>
      </c>
      <c r="USO1333" s="4" t="s">
        <v>2877</v>
      </c>
      <c r="USP1333" s="4" t="s">
        <v>2877</v>
      </c>
      <c r="USQ1333" s="4" t="s">
        <v>2877</v>
      </c>
      <c r="USR1333" s="4" t="s">
        <v>2877</v>
      </c>
      <c r="USS1333" s="4" t="s">
        <v>2877</v>
      </c>
      <c r="UST1333" s="4" t="s">
        <v>2877</v>
      </c>
      <c r="USU1333" s="4" t="s">
        <v>2877</v>
      </c>
      <c r="USV1333" s="4" t="s">
        <v>2877</v>
      </c>
      <c r="USW1333" s="4" t="s">
        <v>2877</v>
      </c>
      <c r="USX1333" s="4" t="s">
        <v>2877</v>
      </c>
      <c r="USY1333" s="4" t="s">
        <v>2877</v>
      </c>
      <c r="USZ1333" s="4" t="s">
        <v>2877</v>
      </c>
      <c r="UTA1333" s="4" t="s">
        <v>2877</v>
      </c>
      <c r="UTB1333" s="4" t="s">
        <v>2877</v>
      </c>
      <c r="UTC1333" s="4" t="s">
        <v>2877</v>
      </c>
      <c r="UTD1333" s="4" t="s">
        <v>2877</v>
      </c>
      <c r="UTE1333" s="4" t="s">
        <v>2877</v>
      </c>
      <c r="UTF1333" s="4" t="s">
        <v>2877</v>
      </c>
      <c r="UTG1333" s="4" t="s">
        <v>2877</v>
      </c>
      <c r="UTH1333" s="4" t="s">
        <v>2877</v>
      </c>
      <c r="UTI1333" s="4" t="s">
        <v>2877</v>
      </c>
      <c r="UTJ1333" s="4" t="s">
        <v>2877</v>
      </c>
      <c r="UTK1333" s="4" t="s">
        <v>2877</v>
      </c>
      <c r="UTL1333" s="4" t="s">
        <v>2877</v>
      </c>
      <c r="UTM1333" s="4" t="s">
        <v>2877</v>
      </c>
      <c r="UTN1333" s="4" t="s">
        <v>2877</v>
      </c>
      <c r="UTO1333" s="4" t="s">
        <v>2877</v>
      </c>
      <c r="UTP1333" s="4" t="s">
        <v>2877</v>
      </c>
      <c r="UTQ1333" s="4" t="s">
        <v>2877</v>
      </c>
      <c r="UTR1333" s="4" t="s">
        <v>2877</v>
      </c>
      <c r="UTS1333" s="4" t="s">
        <v>2877</v>
      </c>
      <c r="UTT1333" s="4" t="s">
        <v>2877</v>
      </c>
      <c r="UTU1333" s="4" t="s">
        <v>2877</v>
      </c>
      <c r="UTV1333" s="4" t="s">
        <v>2877</v>
      </c>
      <c r="UTW1333" s="4" t="s">
        <v>2877</v>
      </c>
      <c r="UTX1333" s="4" t="s">
        <v>2877</v>
      </c>
      <c r="UTY1333" s="4" t="s">
        <v>2877</v>
      </c>
      <c r="UTZ1333" s="4" t="s">
        <v>2877</v>
      </c>
      <c r="UUA1333" s="4" t="s">
        <v>2877</v>
      </c>
      <c r="UUB1333" s="4" t="s">
        <v>2877</v>
      </c>
      <c r="UUC1333" s="4" t="s">
        <v>2877</v>
      </c>
      <c r="UUD1333" s="4" t="s">
        <v>2877</v>
      </c>
      <c r="UUE1333" s="4" t="s">
        <v>2877</v>
      </c>
      <c r="UUF1333" s="4" t="s">
        <v>2877</v>
      </c>
      <c r="UUG1333" s="4" t="s">
        <v>2877</v>
      </c>
      <c r="UUH1333" s="4" t="s">
        <v>2877</v>
      </c>
      <c r="UUI1333" s="4" t="s">
        <v>2877</v>
      </c>
      <c r="UUJ1333" s="4" t="s">
        <v>2877</v>
      </c>
      <c r="UUK1333" s="4" t="s">
        <v>2877</v>
      </c>
      <c r="UUL1333" s="4" t="s">
        <v>2877</v>
      </c>
      <c r="UUM1333" s="4" t="s">
        <v>2877</v>
      </c>
      <c r="UUN1333" s="4" t="s">
        <v>2877</v>
      </c>
      <c r="UUO1333" s="4" t="s">
        <v>2877</v>
      </c>
      <c r="UUP1333" s="4" t="s">
        <v>2877</v>
      </c>
      <c r="UUQ1333" s="4" t="s">
        <v>2877</v>
      </c>
      <c r="UUR1333" s="4" t="s">
        <v>2877</v>
      </c>
      <c r="UUS1333" s="4" t="s">
        <v>2877</v>
      </c>
      <c r="UUT1333" s="4" t="s">
        <v>2877</v>
      </c>
      <c r="UUU1333" s="4" t="s">
        <v>2877</v>
      </c>
      <c r="UUV1333" s="4" t="s">
        <v>2877</v>
      </c>
      <c r="UUW1333" s="4" t="s">
        <v>2877</v>
      </c>
      <c r="UUX1333" s="4" t="s">
        <v>2877</v>
      </c>
      <c r="UUY1333" s="4" t="s">
        <v>2877</v>
      </c>
      <c r="UUZ1333" s="4" t="s">
        <v>2877</v>
      </c>
      <c r="UVA1333" s="4" t="s">
        <v>2877</v>
      </c>
      <c r="UVB1333" s="4" t="s">
        <v>2877</v>
      </c>
      <c r="UVC1333" s="4" t="s">
        <v>2877</v>
      </c>
      <c r="UVD1333" s="4" t="s">
        <v>2877</v>
      </c>
      <c r="UVE1333" s="4" t="s">
        <v>2877</v>
      </c>
      <c r="UVF1333" s="4" t="s">
        <v>2877</v>
      </c>
      <c r="UVG1333" s="4" t="s">
        <v>2877</v>
      </c>
      <c r="UVH1333" s="4" t="s">
        <v>2877</v>
      </c>
      <c r="UVI1333" s="4" t="s">
        <v>2877</v>
      </c>
      <c r="UVJ1333" s="4" t="s">
        <v>2877</v>
      </c>
      <c r="UVK1333" s="4" t="s">
        <v>2877</v>
      </c>
      <c r="UVL1333" s="4" t="s">
        <v>2877</v>
      </c>
      <c r="UVM1333" s="4" t="s">
        <v>2877</v>
      </c>
      <c r="UVN1333" s="4" t="s">
        <v>2877</v>
      </c>
      <c r="UVO1333" s="4" t="s">
        <v>2877</v>
      </c>
      <c r="UVP1333" s="4" t="s">
        <v>2877</v>
      </c>
      <c r="UVQ1333" s="4" t="s">
        <v>2877</v>
      </c>
      <c r="UVR1333" s="4" t="s">
        <v>2877</v>
      </c>
      <c r="UVS1333" s="4" t="s">
        <v>2877</v>
      </c>
      <c r="UVT1333" s="4" t="s">
        <v>2877</v>
      </c>
      <c r="UVU1333" s="4" t="s">
        <v>2877</v>
      </c>
      <c r="UVV1333" s="4" t="s">
        <v>2877</v>
      </c>
      <c r="UVW1333" s="4" t="s">
        <v>2877</v>
      </c>
      <c r="UVX1333" s="4" t="s">
        <v>2877</v>
      </c>
      <c r="UVY1333" s="4" t="s">
        <v>2877</v>
      </c>
      <c r="UVZ1333" s="4" t="s">
        <v>2877</v>
      </c>
      <c r="UWA1333" s="4" t="s">
        <v>2877</v>
      </c>
      <c r="UWB1333" s="4" t="s">
        <v>2877</v>
      </c>
      <c r="UWC1333" s="4" t="s">
        <v>2877</v>
      </c>
      <c r="UWD1333" s="4" t="s">
        <v>2877</v>
      </c>
      <c r="UWE1333" s="4" t="s">
        <v>2877</v>
      </c>
      <c r="UWF1333" s="4" t="s">
        <v>2877</v>
      </c>
      <c r="UWG1333" s="4" t="s">
        <v>2877</v>
      </c>
      <c r="UWH1333" s="4" t="s">
        <v>2877</v>
      </c>
      <c r="UWI1333" s="4" t="s">
        <v>2877</v>
      </c>
      <c r="UWJ1333" s="4" t="s">
        <v>2877</v>
      </c>
      <c r="UWK1333" s="4" t="s">
        <v>2877</v>
      </c>
      <c r="UWL1333" s="4" t="s">
        <v>2877</v>
      </c>
      <c r="UWM1333" s="4" t="s">
        <v>2877</v>
      </c>
      <c r="UWN1333" s="4" t="s">
        <v>2877</v>
      </c>
      <c r="UWO1333" s="4" t="s">
        <v>2877</v>
      </c>
      <c r="UWP1333" s="4" t="s">
        <v>2877</v>
      </c>
      <c r="UWQ1333" s="4" t="s">
        <v>2877</v>
      </c>
      <c r="UWR1333" s="4" t="s">
        <v>2877</v>
      </c>
      <c r="UWS1333" s="4" t="s">
        <v>2877</v>
      </c>
      <c r="UWT1333" s="4" t="s">
        <v>2877</v>
      </c>
      <c r="UWU1333" s="4" t="s">
        <v>2877</v>
      </c>
      <c r="UWV1333" s="4" t="s">
        <v>2877</v>
      </c>
      <c r="UWW1333" s="4" t="s">
        <v>2877</v>
      </c>
      <c r="UWX1333" s="4" t="s">
        <v>2877</v>
      </c>
      <c r="UWY1333" s="4" t="s">
        <v>2877</v>
      </c>
      <c r="UWZ1333" s="4" t="s">
        <v>2877</v>
      </c>
      <c r="UXA1333" s="4" t="s">
        <v>2877</v>
      </c>
      <c r="UXB1333" s="4" t="s">
        <v>2877</v>
      </c>
      <c r="UXC1333" s="4" t="s">
        <v>2877</v>
      </c>
      <c r="UXD1333" s="4" t="s">
        <v>2877</v>
      </c>
      <c r="UXE1333" s="4" t="s">
        <v>2877</v>
      </c>
      <c r="UXF1333" s="4" t="s">
        <v>2877</v>
      </c>
      <c r="UXG1333" s="4" t="s">
        <v>2877</v>
      </c>
      <c r="UXH1333" s="4" t="s">
        <v>2877</v>
      </c>
      <c r="UXI1333" s="4" t="s">
        <v>2877</v>
      </c>
      <c r="UXJ1333" s="4" t="s">
        <v>2877</v>
      </c>
      <c r="UXK1333" s="4" t="s">
        <v>2877</v>
      </c>
      <c r="UXL1333" s="4" t="s">
        <v>2877</v>
      </c>
      <c r="UXM1333" s="4" t="s">
        <v>2877</v>
      </c>
      <c r="UXN1333" s="4" t="s">
        <v>2877</v>
      </c>
      <c r="UXO1333" s="4" t="s">
        <v>2877</v>
      </c>
      <c r="UXP1333" s="4" t="s">
        <v>2877</v>
      </c>
      <c r="UXQ1333" s="4" t="s">
        <v>2877</v>
      </c>
      <c r="UXR1333" s="4" t="s">
        <v>2877</v>
      </c>
      <c r="UXS1333" s="4" t="s">
        <v>2877</v>
      </c>
      <c r="UXT1333" s="4" t="s">
        <v>2877</v>
      </c>
      <c r="UXU1333" s="4" t="s">
        <v>2877</v>
      </c>
      <c r="UXV1333" s="4" t="s">
        <v>2877</v>
      </c>
      <c r="UXW1333" s="4" t="s">
        <v>2877</v>
      </c>
      <c r="UXX1333" s="4" t="s">
        <v>2877</v>
      </c>
      <c r="UXY1333" s="4" t="s">
        <v>2877</v>
      </c>
      <c r="UXZ1333" s="4" t="s">
        <v>2877</v>
      </c>
      <c r="UYA1333" s="4" t="s">
        <v>2877</v>
      </c>
      <c r="UYB1333" s="4" t="s">
        <v>2877</v>
      </c>
      <c r="UYC1333" s="4" t="s">
        <v>2877</v>
      </c>
      <c r="UYD1333" s="4" t="s">
        <v>2877</v>
      </c>
      <c r="UYE1333" s="4" t="s">
        <v>2877</v>
      </c>
      <c r="UYF1333" s="4" t="s">
        <v>2877</v>
      </c>
      <c r="UYG1333" s="4" t="s">
        <v>2877</v>
      </c>
      <c r="UYH1333" s="4" t="s">
        <v>2877</v>
      </c>
      <c r="UYI1333" s="4" t="s">
        <v>2877</v>
      </c>
      <c r="UYJ1333" s="4" t="s">
        <v>2877</v>
      </c>
      <c r="UYK1333" s="4" t="s">
        <v>2877</v>
      </c>
      <c r="UYL1333" s="4" t="s">
        <v>2877</v>
      </c>
      <c r="UYM1333" s="4" t="s">
        <v>2877</v>
      </c>
      <c r="UYN1333" s="4" t="s">
        <v>2877</v>
      </c>
      <c r="UYO1333" s="4" t="s">
        <v>2877</v>
      </c>
      <c r="UYP1333" s="4" t="s">
        <v>2877</v>
      </c>
      <c r="UYQ1333" s="4" t="s">
        <v>2877</v>
      </c>
      <c r="UYR1333" s="4" t="s">
        <v>2877</v>
      </c>
      <c r="UYS1333" s="4" t="s">
        <v>2877</v>
      </c>
      <c r="UYT1333" s="4" t="s">
        <v>2877</v>
      </c>
      <c r="UYU1333" s="4" t="s">
        <v>2877</v>
      </c>
      <c r="UYV1333" s="4" t="s">
        <v>2877</v>
      </c>
      <c r="UYW1333" s="4" t="s">
        <v>2877</v>
      </c>
      <c r="UYX1333" s="4" t="s">
        <v>2877</v>
      </c>
      <c r="UYY1333" s="4" t="s">
        <v>2877</v>
      </c>
      <c r="UYZ1333" s="4" t="s">
        <v>2877</v>
      </c>
      <c r="UZA1333" s="4" t="s">
        <v>2877</v>
      </c>
      <c r="UZB1333" s="4" t="s">
        <v>2877</v>
      </c>
      <c r="UZC1333" s="4" t="s">
        <v>2877</v>
      </c>
      <c r="UZD1333" s="4" t="s">
        <v>2877</v>
      </c>
      <c r="UZE1333" s="4" t="s">
        <v>2877</v>
      </c>
      <c r="UZF1333" s="4" t="s">
        <v>2877</v>
      </c>
      <c r="UZG1333" s="4" t="s">
        <v>2877</v>
      </c>
      <c r="UZH1333" s="4" t="s">
        <v>2877</v>
      </c>
      <c r="UZI1333" s="4" t="s">
        <v>2877</v>
      </c>
      <c r="UZJ1333" s="4" t="s">
        <v>2877</v>
      </c>
      <c r="UZK1333" s="4" t="s">
        <v>2877</v>
      </c>
      <c r="UZL1333" s="4" t="s">
        <v>2877</v>
      </c>
      <c r="UZM1333" s="4" t="s">
        <v>2877</v>
      </c>
      <c r="UZN1333" s="4" t="s">
        <v>2877</v>
      </c>
      <c r="UZO1333" s="4" t="s">
        <v>2877</v>
      </c>
      <c r="UZP1333" s="4" t="s">
        <v>2877</v>
      </c>
      <c r="UZQ1333" s="4" t="s">
        <v>2877</v>
      </c>
      <c r="UZR1333" s="4" t="s">
        <v>2877</v>
      </c>
      <c r="UZS1333" s="4" t="s">
        <v>2877</v>
      </c>
      <c r="UZT1333" s="4" t="s">
        <v>2877</v>
      </c>
      <c r="UZU1333" s="4" t="s">
        <v>2877</v>
      </c>
      <c r="UZV1333" s="4" t="s">
        <v>2877</v>
      </c>
      <c r="UZW1333" s="4" t="s">
        <v>2877</v>
      </c>
      <c r="UZX1333" s="4" t="s">
        <v>2877</v>
      </c>
      <c r="UZY1333" s="4" t="s">
        <v>2877</v>
      </c>
      <c r="UZZ1333" s="4" t="s">
        <v>2877</v>
      </c>
      <c r="VAA1333" s="4" t="s">
        <v>2877</v>
      </c>
      <c r="VAB1333" s="4" t="s">
        <v>2877</v>
      </c>
      <c r="VAC1333" s="4" t="s">
        <v>2877</v>
      </c>
      <c r="VAD1333" s="4" t="s">
        <v>2877</v>
      </c>
      <c r="VAE1333" s="4" t="s">
        <v>2877</v>
      </c>
      <c r="VAF1333" s="4" t="s">
        <v>2877</v>
      </c>
      <c r="VAG1333" s="4" t="s">
        <v>2877</v>
      </c>
      <c r="VAH1333" s="4" t="s">
        <v>2877</v>
      </c>
      <c r="VAI1333" s="4" t="s">
        <v>2877</v>
      </c>
      <c r="VAJ1333" s="4" t="s">
        <v>2877</v>
      </c>
      <c r="VAK1333" s="4" t="s">
        <v>2877</v>
      </c>
      <c r="VAL1333" s="4" t="s">
        <v>2877</v>
      </c>
      <c r="VAM1333" s="4" t="s">
        <v>2877</v>
      </c>
      <c r="VAN1333" s="4" t="s">
        <v>2877</v>
      </c>
      <c r="VAO1333" s="4" t="s">
        <v>2877</v>
      </c>
      <c r="VAP1333" s="4" t="s">
        <v>2877</v>
      </c>
      <c r="VAQ1333" s="4" t="s">
        <v>2877</v>
      </c>
      <c r="VAR1333" s="4" t="s">
        <v>2877</v>
      </c>
      <c r="VAS1333" s="4" t="s">
        <v>2877</v>
      </c>
      <c r="VAT1333" s="4" t="s">
        <v>2877</v>
      </c>
      <c r="VAU1333" s="4" t="s">
        <v>2877</v>
      </c>
      <c r="VAV1333" s="4" t="s">
        <v>2877</v>
      </c>
      <c r="VAW1333" s="4" t="s">
        <v>2877</v>
      </c>
      <c r="VAX1333" s="4" t="s">
        <v>2877</v>
      </c>
      <c r="VAY1333" s="4" t="s">
        <v>2877</v>
      </c>
      <c r="VAZ1333" s="4" t="s">
        <v>2877</v>
      </c>
      <c r="VBA1333" s="4" t="s">
        <v>2877</v>
      </c>
      <c r="VBB1333" s="4" t="s">
        <v>2877</v>
      </c>
      <c r="VBC1333" s="4" t="s">
        <v>2877</v>
      </c>
      <c r="VBD1333" s="4" t="s">
        <v>2877</v>
      </c>
      <c r="VBE1333" s="4" t="s">
        <v>2877</v>
      </c>
      <c r="VBF1333" s="4" t="s">
        <v>2877</v>
      </c>
      <c r="VBG1333" s="4" t="s">
        <v>2877</v>
      </c>
      <c r="VBH1333" s="4" t="s">
        <v>2877</v>
      </c>
      <c r="VBI1333" s="4" t="s">
        <v>2877</v>
      </c>
      <c r="VBJ1333" s="4" t="s">
        <v>2877</v>
      </c>
      <c r="VBK1333" s="4" t="s">
        <v>2877</v>
      </c>
      <c r="VBL1333" s="4" t="s">
        <v>2877</v>
      </c>
      <c r="VBM1333" s="4" t="s">
        <v>2877</v>
      </c>
      <c r="VBN1333" s="4" t="s">
        <v>2877</v>
      </c>
      <c r="VBO1333" s="4" t="s">
        <v>2877</v>
      </c>
      <c r="VBP1333" s="4" t="s">
        <v>2877</v>
      </c>
      <c r="VBQ1333" s="4" t="s">
        <v>2877</v>
      </c>
      <c r="VBR1333" s="4" t="s">
        <v>2877</v>
      </c>
      <c r="VBS1333" s="4" t="s">
        <v>2877</v>
      </c>
      <c r="VBT1333" s="4" t="s">
        <v>2877</v>
      </c>
      <c r="VBU1333" s="4" t="s">
        <v>2877</v>
      </c>
      <c r="VBV1333" s="4" t="s">
        <v>2877</v>
      </c>
      <c r="VBW1333" s="4" t="s">
        <v>2877</v>
      </c>
      <c r="VBX1333" s="4" t="s">
        <v>2877</v>
      </c>
      <c r="VBY1333" s="4" t="s">
        <v>2877</v>
      </c>
      <c r="VBZ1333" s="4" t="s">
        <v>2877</v>
      </c>
      <c r="VCA1333" s="4" t="s">
        <v>2877</v>
      </c>
      <c r="VCB1333" s="4" t="s">
        <v>2877</v>
      </c>
      <c r="VCC1333" s="4" t="s">
        <v>2877</v>
      </c>
      <c r="VCD1333" s="4" t="s">
        <v>2877</v>
      </c>
      <c r="VCE1333" s="4" t="s">
        <v>2877</v>
      </c>
      <c r="VCF1333" s="4" t="s">
        <v>2877</v>
      </c>
      <c r="VCG1333" s="4" t="s">
        <v>2877</v>
      </c>
      <c r="VCH1333" s="4" t="s">
        <v>2877</v>
      </c>
      <c r="VCI1333" s="4" t="s">
        <v>2877</v>
      </c>
      <c r="VCJ1333" s="4" t="s">
        <v>2877</v>
      </c>
      <c r="VCK1333" s="4" t="s">
        <v>2877</v>
      </c>
      <c r="VCL1333" s="4" t="s">
        <v>2877</v>
      </c>
      <c r="VCM1333" s="4" t="s">
        <v>2877</v>
      </c>
      <c r="VCN1333" s="4" t="s">
        <v>2877</v>
      </c>
      <c r="VCO1333" s="4" t="s">
        <v>2877</v>
      </c>
      <c r="VCP1333" s="4" t="s">
        <v>2877</v>
      </c>
      <c r="VCQ1333" s="4" t="s">
        <v>2877</v>
      </c>
      <c r="VCR1333" s="4" t="s">
        <v>2877</v>
      </c>
      <c r="VCS1333" s="4" t="s">
        <v>2877</v>
      </c>
      <c r="VCT1333" s="4" t="s">
        <v>2877</v>
      </c>
      <c r="VCU1333" s="4" t="s">
        <v>2877</v>
      </c>
      <c r="VCV1333" s="4" t="s">
        <v>2877</v>
      </c>
      <c r="VCW1333" s="4" t="s">
        <v>2877</v>
      </c>
      <c r="VCX1333" s="4" t="s">
        <v>2877</v>
      </c>
      <c r="VCY1333" s="4" t="s">
        <v>2877</v>
      </c>
      <c r="VCZ1333" s="4" t="s">
        <v>2877</v>
      </c>
      <c r="VDA1333" s="4" t="s">
        <v>2877</v>
      </c>
      <c r="VDB1333" s="4" t="s">
        <v>2877</v>
      </c>
      <c r="VDC1333" s="4" t="s">
        <v>2877</v>
      </c>
      <c r="VDD1333" s="4" t="s">
        <v>2877</v>
      </c>
      <c r="VDE1333" s="4" t="s">
        <v>2877</v>
      </c>
      <c r="VDF1333" s="4" t="s">
        <v>2877</v>
      </c>
      <c r="VDG1333" s="4" t="s">
        <v>2877</v>
      </c>
      <c r="VDH1333" s="4" t="s">
        <v>2877</v>
      </c>
      <c r="VDI1333" s="4" t="s">
        <v>2877</v>
      </c>
      <c r="VDJ1333" s="4" t="s">
        <v>2877</v>
      </c>
      <c r="VDK1333" s="4" t="s">
        <v>2877</v>
      </c>
      <c r="VDL1333" s="4" t="s">
        <v>2877</v>
      </c>
      <c r="VDM1333" s="4" t="s">
        <v>2877</v>
      </c>
      <c r="VDN1333" s="4" t="s">
        <v>2877</v>
      </c>
      <c r="VDO1333" s="4" t="s">
        <v>2877</v>
      </c>
      <c r="VDP1333" s="4" t="s">
        <v>2877</v>
      </c>
      <c r="VDQ1333" s="4" t="s">
        <v>2877</v>
      </c>
      <c r="VDR1333" s="4" t="s">
        <v>2877</v>
      </c>
      <c r="VDS1333" s="4" t="s">
        <v>2877</v>
      </c>
      <c r="VDT1333" s="4" t="s">
        <v>2877</v>
      </c>
      <c r="VDU1333" s="4" t="s">
        <v>2877</v>
      </c>
      <c r="VDV1333" s="4" t="s">
        <v>2877</v>
      </c>
      <c r="VDW1333" s="4" t="s">
        <v>2877</v>
      </c>
      <c r="VDX1333" s="4" t="s">
        <v>2877</v>
      </c>
      <c r="VDY1333" s="4" t="s">
        <v>2877</v>
      </c>
      <c r="VDZ1333" s="4" t="s">
        <v>2877</v>
      </c>
      <c r="VEA1333" s="4" t="s">
        <v>2877</v>
      </c>
      <c r="VEB1333" s="4" t="s">
        <v>2877</v>
      </c>
      <c r="VEC1333" s="4" t="s">
        <v>2877</v>
      </c>
      <c r="VED1333" s="4" t="s">
        <v>2877</v>
      </c>
      <c r="VEE1333" s="4" t="s">
        <v>2877</v>
      </c>
      <c r="VEF1333" s="4" t="s">
        <v>2877</v>
      </c>
      <c r="VEG1333" s="4" t="s">
        <v>2877</v>
      </c>
      <c r="VEH1333" s="4" t="s">
        <v>2877</v>
      </c>
      <c r="VEI1333" s="4" t="s">
        <v>2877</v>
      </c>
      <c r="VEJ1333" s="4" t="s">
        <v>2877</v>
      </c>
      <c r="VEK1333" s="4" t="s">
        <v>2877</v>
      </c>
      <c r="VEL1333" s="4" t="s">
        <v>2877</v>
      </c>
      <c r="VEM1333" s="4" t="s">
        <v>2877</v>
      </c>
      <c r="VEN1333" s="4" t="s">
        <v>2877</v>
      </c>
      <c r="VEO1333" s="4" t="s">
        <v>2877</v>
      </c>
      <c r="VEP1333" s="4" t="s">
        <v>2877</v>
      </c>
      <c r="VEQ1333" s="4" t="s">
        <v>2877</v>
      </c>
      <c r="VER1333" s="4" t="s">
        <v>2877</v>
      </c>
      <c r="VES1333" s="4" t="s">
        <v>2877</v>
      </c>
      <c r="VET1333" s="4" t="s">
        <v>2877</v>
      </c>
      <c r="VEU1333" s="4" t="s">
        <v>2877</v>
      </c>
      <c r="VEV1333" s="4" t="s">
        <v>2877</v>
      </c>
      <c r="VEW1333" s="4" t="s">
        <v>2877</v>
      </c>
      <c r="VEX1333" s="4" t="s">
        <v>2877</v>
      </c>
      <c r="VEY1333" s="4" t="s">
        <v>2877</v>
      </c>
      <c r="VEZ1333" s="4" t="s">
        <v>2877</v>
      </c>
      <c r="VFA1333" s="4" t="s">
        <v>2877</v>
      </c>
      <c r="VFB1333" s="4" t="s">
        <v>2877</v>
      </c>
      <c r="VFC1333" s="4" t="s">
        <v>2877</v>
      </c>
      <c r="VFD1333" s="4" t="s">
        <v>2877</v>
      </c>
      <c r="VFE1333" s="4" t="s">
        <v>2877</v>
      </c>
      <c r="VFF1333" s="4" t="s">
        <v>2877</v>
      </c>
      <c r="VFG1333" s="4" t="s">
        <v>2877</v>
      </c>
      <c r="VFH1333" s="4" t="s">
        <v>2877</v>
      </c>
      <c r="VFI1333" s="4" t="s">
        <v>2877</v>
      </c>
      <c r="VFJ1333" s="4" t="s">
        <v>2877</v>
      </c>
      <c r="VFK1333" s="4" t="s">
        <v>2877</v>
      </c>
      <c r="VFL1333" s="4" t="s">
        <v>2877</v>
      </c>
      <c r="VFM1333" s="4" t="s">
        <v>2877</v>
      </c>
      <c r="VFN1333" s="4" t="s">
        <v>2877</v>
      </c>
      <c r="VFO1333" s="4" t="s">
        <v>2877</v>
      </c>
      <c r="VFP1333" s="4" t="s">
        <v>2877</v>
      </c>
      <c r="VFQ1333" s="4" t="s">
        <v>2877</v>
      </c>
      <c r="VFR1333" s="4" t="s">
        <v>2877</v>
      </c>
      <c r="VFS1333" s="4" t="s">
        <v>2877</v>
      </c>
      <c r="VFT1333" s="4" t="s">
        <v>2877</v>
      </c>
      <c r="VFU1333" s="4" t="s">
        <v>2877</v>
      </c>
      <c r="VFV1333" s="4" t="s">
        <v>2877</v>
      </c>
      <c r="VFW1333" s="4" t="s">
        <v>2877</v>
      </c>
      <c r="VFX1333" s="4" t="s">
        <v>2877</v>
      </c>
      <c r="VFY1333" s="4" t="s">
        <v>2877</v>
      </c>
      <c r="VFZ1333" s="4" t="s">
        <v>2877</v>
      </c>
      <c r="VGA1333" s="4" t="s">
        <v>2877</v>
      </c>
      <c r="VGB1333" s="4" t="s">
        <v>2877</v>
      </c>
      <c r="VGC1333" s="4" t="s">
        <v>2877</v>
      </c>
      <c r="VGD1333" s="4" t="s">
        <v>2877</v>
      </c>
      <c r="VGE1333" s="4" t="s">
        <v>2877</v>
      </c>
      <c r="VGF1333" s="4" t="s">
        <v>2877</v>
      </c>
      <c r="VGG1333" s="4" t="s">
        <v>2877</v>
      </c>
      <c r="VGH1333" s="4" t="s">
        <v>2877</v>
      </c>
      <c r="VGI1333" s="4" t="s">
        <v>2877</v>
      </c>
      <c r="VGJ1333" s="4" t="s">
        <v>2877</v>
      </c>
      <c r="VGK1333" s="4" t="s">
        <v>2877</v>
      </c>
      <c r="VGL1333" s="4" t="s">
        <v>2877</v>
      </c>
      <c r="VGM1333" s="4" t="s">
        <v>2877</v>
      </c>
      <c r="VGN1333" s="4" t="s">
        <v>2877</v>
      </c>
      <c r="VGO1333" s="4" t="s">
        <v>2877</v>
      </c>
      <c r="VGP1333" s="4" t="s">
        <v>2877</v>
      </c>
      <c r="VGQ1333" s="4" t="s">
        <v>2877</v>
      </c>
      <c r="VGR1333" s="4" t="s">
        <v>2877</v>
      </c>
      <c r="VGS1333" s="4" t="s">
        <v>2877</v>
      </c>
      <c r="VGT1333" s="4" t="s">
        <v>2877</v>
      </c>
      <c r="VGU1333" s="4" t="s">
        <v>2877</v>
      </c>
      <c r="VGV1333" s="4" t="s">
        <v>2877</v>
      </c>
      <c r="VGW1333" s="4" t="s">
        <v>2877</v>
      </c>
      <c r="VGX1333" s="4" t="s">
        <v>2877</v>
      </c>
      <c r="VGY1333" s="4" t="s">
        <v>2877</v>
      </c>
      <c r="VGZ1333" s="4" t="s">
        <v>2877</v>
      </c>
      <c r="VHA1333" s="4" t="s">
        <v>2877</v>
      </c>
      <c r="VHB1333" s="4" t="s">
        <v>2877</v>
      </c>
      <c r="VHC1333" s="4" t="s">
        <v>2877</v>
      </c>
      <c r="VHD1333" s="4" t="s">
        <v>2877</v>
      </c>
      <c r="VHE1333" s="4" t="s">
        <v>2877</v>
      </c>
      <c r="VHF1333" s="4" t="s">
        <v>2877</v>
      </c>
      <c r="VHG1333" s="4" t="s">
        <v>2877</v>
      </c>
      <c r="VHH1333" s="4" t="s">
        <v>2877</v>
      </c>
      <c r="VHI1333" s="4" t="s">
        <v>2877</v>
      </c>
      <c r="VHJ1333" s="4" t="s">
        <v>2877</v>
      </c>
      <c r="VHK1333" s="4" t="s">
        <v>2877</v>
      </c>
      <c r="VHL1333" s="4" t="s">
        <v>2877</v>
      </c>
      <c r="VHM1333" s="4" t="s">
        <v>2877</v>
      </c>
      <c r="VHN1333" s="4" t="s">
        <v>2877</v>
      </c>
      <c r="VHO1333" s="4" t="s">
        <v>2877</v>
      </c>
      <c r="VHP1333" s="4" t="s">
        <v>2877</v>
      </c>
      <c r="VHQ1333" s="4" t="s">
        <v>2877</v>
      </c>
      <c r="VHR1333" s="4" t="s">
        <v>2877</v>
      </c>
      <c r="VHS1333" s="4" t="s">
        <v>2877</v>
      </c>
      <c r="VHT1333" s="4" t="s">
        <v>2877</v>
      </c>
      <c r="VHU1333" s="4" t="s">
        <v>2877</v>
      </c>
      <c r="VHV1333" s="4" t="s">
        <v>2877</v>
      </c>
      <c r="VHW1333" s="4" t="s">
        <v>2877</v>
      </c>
      <c r="VHX1333" s="4" t="s">
        <v>2877</v>
      </c>
      <c r="VHY1333" s="4" t="s">
        <v>2877</v>
      </c>
      <c r="VHZ1333" s="4" t="s">
        <v>2877</v>
      </c>
      <c r="VIA1333" s="4" t="s">
        <v>2877</v>
      </c>
      <c r="VIB1333" s="4" t="s">
        <v>2877</v>
      </c>
      <c r="VIC1333" s="4" t="s">
        <v>2877</v>
      </c>
      <c r="VID1333" s="4" t="s">
        <v>2877</v>
      </c>
      <c r="VIE1333" s="4" t="s">
        <v>2877</v>
      </c>
      <c r="VIF1333" s="4" t="s">
        <v>2877</v>
      </c>
      <c r="VIG1333" s="4" t="s">
        <v>2877</v>
      </c>
      <c r="VIH1333" s="4" t="s">
        <v>2877</v>
      </c>
      <c r="VII1333" s="4" t="s">
        <v>2877</v>
      </c>
      <c r="VIJ1333" s="4" t="s">
        <v>2877</v>
      </c>
      <c r="VIK1333" s="4" t="s">
        <v>2877</v>
      </c>
      <c r="VIL1333" s="4" t="s">
        <v>2877</v>
      </c>
      <c r="VIM1333" s="4" t="s">
        <v>2877</v>
      </c>
      <c r="VIN1333" s="4" t="s">
        <v>2877</v>
      </c>
      <c r="VIO1333" s="4" t="s">
        <v>2877</v>
      </c>
      <c r="VIP1333" s="4" t="s">
        <v>2877</v>
      </c>
      <c r="VIQ1333" s="4" t="s">
        <v>2877</v>
      </c>
      <c r="VIR1333" s="4" t="s">
        <v>2877</v>
      </c>
      <c r="VIS1333" s="4" t="s">
        <v>2877</v>
      </c>
      <c r="VIT1333" s="4" t="s">
        <v>2877</v>
      </c>
      <c r="VIU1333" s="4" t="s">
        <v>2877</v>
      </c>
      <c r="VIV1333" s="4" t="s">
        <v>2877</v>
      </c>
      <c r="VIW1333" s="4" t="s">
        <v>2877</v>
      </c>
      <c r="VIX1333" s="4" t="s">
        <v>2877</v>
      </c>
      <c r="VIY1333" s="4" t="s">
        <v>2877</v>
      </c>
      <c r="VIZ1333" s="4" t="s">
        <v>2877</v>
      </c>
      <c r="VJA1333" s="4" t="s">
        <v>2877</v>
      </c>
      <c r="VJB1333" s="4" t="s">
        <v>2877</v>
      </c>
      <c r="VJC1333" s="4" t="s">
        <v>2877</v>
      </c>
      <c r="VJD1333" s="4" t="s">
        <v>2877</v>
      </c>
      <c r="VJE1333" s="4" t="s">
        <v>2877</v>
      </c>
      <c r="VJF1333" s="4" t="s">
        <v>2877</v>
      </c>
      <c r="VJG1333" s="4" t="s">
        <v>2877</v>
      </c>
      <c r="VJH1333" s="4" t="s">
        <v>2877</v>
      </c>
      <c r="VJI1333" s="4" t="s">
        <v>2877</v>
      </c>
      <c r="VJJ1333" s="4" t="s">
        <v>2877</v>
      </c>
      <c r="VJK1333" s="4" t="s">
        <v>2877</v>
      </c>
      <c r="VJL1333" s="4" t="s">
        <v>2877</v>
      </c>
      <c r="VJM1333" s="4" t="s">
        <v>2877</v>
      </c>
      <c r="VJN1333" s="4" t="s">
        <v>2877</v>
      </c>
      <c r="VJO1333" s="4" t="s">
        <v>2877</v>
      </c>
      <c r="VJP1333" s="4" t="s">
        <v>2877</v>
      </c>
      <c r="VJQ1333" s="4" t="s">
        <v>2877</v>
      </c>
      <c r="VJR1333" s="4" t="s">
        <v>2877</v>
      </c>
      <c r="VJS1333" s="4" t="s">
        <v>2877</v>
      </c>
      <c r="VJT1333" s="4" t="s">
        <v>2877</v>
      </c>
      <c r="VJU1333" s="4" t="s">
        <v>2877</v>
      </c>
      <c r="VJV1333" s="4" t="s">
        <v>2877</v>
      </c>
      <c r="VJW1333" s="4" t="s">
        <v>2877</v>
      </c>
      <c r="VJX1333" s="4" t="s">
        <v>2877</v>
      </c>
      <c r="VJY1333" s="4" t="s">
        <v>2877</v>
      </c>
      <c r="VJZ1333" s="4" t="s">
        <v>2877</v>
      </c>
      <c r="VKA1333" s="4" t="s">
        <v>2877</v>
      </c>
      <c r="VKB1333" s="4" t="s">
        <v>2877</v>
      </c>
      <c r="VKC1333" s="4" t="s">
        <v>2877</v>
      </c>
      <c r="VKD1333" s="4" t="s">
        <v>2877</v>
      </c>
      <c r="VKE1333" s="4" t="s">
        <v>2877</v>
      </c>
      <c r="VKF1333" s="4" t="s">
        <v>2877</v>
      </c>
      <c r="VKG1333" s="4" t="s">
        <v>2877</v>
      </c>
      <c r="VKH1333" s="4" t="s">
        <v>2877</v>
      </c>
      <c r="VKI1333" s="4" t="s">
        <v>2877</v>
      </c>
      <c r="VKJ1333" s="4" t="s">
        <v>2877</v>
      </c>
      <c r="VKK1333" s="4" t="s">
        <v>2877</v>
      </c>
      <c r="VKL1333" s="4" t="s">
        <v>2877</v>
      </c>
      <c r="VKM1333" s="4" t="s">
        <v>2877</v>
      </c>
      <c r="VKN1333" s="4" t="s">
        <v>2877</v>
      </c>
      <c r="VKO1333" s="4" t="s">
        <v>2877</v>
      </c>
      <c r="VKP1333" s="4" t="s">
        <v>2877</v>
      </c>
      <c r="VKQ1333" s="4" t="s">
        <v>2877</v>
      </c>
      <c r="VKR1333" s="4" t="s">
        <v>2877</v>
      </c>
      <c r="VKS1333" s="4" t="s">
        <v>2877</v>
      </c>
      <c r="VKT1333" s="4" t="s">
        <v>2877</v>
      </c>
      <c r="VKU1333" s="4" t="s">
        <v>2877</v>
      </c>
      <c r="VKV1333" s="4" t="s">
        <v>2877</v>
      </c>
      <c r="VKW1333" s="4" t="s">
        <v>2877</v>
      </c>
      <c r="VKX1333" s="4" t="s">
        <v>2877</v>
      </c>
      <c r="VKY1333" s="4" t="s">
        <v>2877</v>
      </c>
      <c r="VKZ1333" s="4" t="s">
        <v>2877</v>
      </c>
      <c r="VLA1333" s="4" t="s">
        <v>2877</v>
      </c>
      <c r="VLB1333" s="4" t="s">
        <v>2877</v>
      </c>
      <c r="VLC1333" s="4" t="s">
        <v>2877</v>
      </c>
      <c r="VLD1333" s="4" t="s">
        <v>2877</v>
      </c>
      <c r="VLE1333" s="4" t="s">
        <v>2877</v>
      </c>
      <c r="VLF1333" s="4" t="s">
        <v>2877</v>
      </c>
      <c r="VLG1333" s="4" t="s">
        <v>2877</v>
      </c>
      <c r="VLH1333" s="4" t="s">
        <v>2877</v>
      </c>
      <c r="VLI1333" s="4" t="s">
        <v>2877</v>
      </c>
      <c r="VLJ1333" s="4" t="s">
        <v>2877</v>
      </c>
      <c r="VLK1333" s="4" t="s">
        <v>2877</v>
      </c>
      <c r="VLL1333" s="4" t="s">
        <v>2877</v>
      </c>
      <c r="VLM1333" s="4" t="s">
        <v>2877</v>
      </c>
      <c r="VLN1333" s="4" t="s">
        <v>2877</v>
      </c>
      <c r="VLO1333" s="4" t="s">
        <v>2877</v>
      </c>
      <c r="VLP1333" s="4" t="s">
        <v>2877</v>
      </c>
      <c r="VLQ1333" s="4" t="s">
        <v>2877</v>
      </c>
      <c r="VLR1333" s="4" t="s">
        <v>2877</v>
      </c>
      <c r="VLS1333" s="4" t="s">
        <v>2877</v>
      </c>
      <c r="VLT1333" s="4" t="s">
        <v>2877</v>
      </c>
      <c r="VLU1333" s="4" t="s">
        <v>2877</v>
      </c>
      <c r="VLV1333" s="4" t="s">
        <v>2877</v>
      </c>
      <c r="VLW1333" s="4" t="s">
        <v>2877</v>
      </c>
      <c r="VLX1333" s="4" t="s">
        <v>2877</v>
      </c>
      <c r="VLY1333" s="4" t="s">
        <v>2877</v>
      </c>
      <c r="VLZ1333" s="4" t="s">
        <v>2877</v>
      </c>
      <c r="VMA1333" s="4" t="s">
        <v>2877</v>
      </c>
      <c r="VMB1333" s="4" t="s">
        <v>2877</v>
      </c>
      <c r="VMC1333" s="4" t="s">
        <v>2877</v>
      </c>
      <c r="VMD1333" s="4" t="s">
        <v>2877</v>
      </c>
      <c r="VME1333" s="4" t="s">
        <v>2877</v>
      </c>
      <c r="VMF1333" s="4" t="s">
        <v>2877</v>
      </c>
      <c r="VMG1333" s="4" t="s">
        <v>2877</v>
      </c>
      <c r="VMH1333" s="4" t="s">
        <v>2877</v>
      </c>
      <c r="VMI1333" s="4" t="s">
        <v>2877</v>
      </c>
      <c r="VMJ1333" s="4" t="s">
        <v>2877</v>
      </c>
      <c r="VMK1333" s="4" t="s">
        <v>2877</v>
      </c>
      <c r="VML1333" s="4" t="s">
        <v>2877</v>
      </c>
      <c r="VMM1333" s="4" t="s">
        <v>2877</v>
      </c>
      <c r="VMN1333" s="4" t="s">
        <v>2877</v>
      </c>
      <c r="VMO1333" s="4" t="s">
        <v>2877</v>
      </c>
      <c r="VMP1333" s="4" t="s">
        <v>2877</v>
      </c>
      <c r="VMQ1333" s="4" t="s">
        <v>2877</v>
      </c>
      <c r="VMR1333" s="4" t="s">
        <v>2877</v>
      </c>
      <c r="VMS1333" s="4" t="s">
        <v>2877</v>
      </c>
      <c r="VMT1333" s="4" t="s">
        <v>2877</v>
      </c>
      <c r="VMU1333" s="4" t="s">
        <v>2877</v>
      </c>
      <c r="VMV1333" s="4" t="s">
        <v>2877</v>
      </c>
      <c r="VMW1333" s="4" t="s">
        <v>2877</v>
      </c>
      <c r="VMX1333" s="4" t="s">
        <v>2877</v>
      </c>
      <c r="VMY1333" s="4" t="s">
        <v>2877</v>
      </c>
      <c r="VMZ1333" s="4" t="s">
        <v>2877</v>
      </c>
      <c r="VNA1333" s="4" t="s">
        <v>2877</v>
      </c>
      <c r="VNB1333" s="4" t="s">
        <v>2877</v>
      </c>
      <c r="VNC1333" s="4" t="s">
        <v>2877</v>
      </c>
      <c r="VND1333" s="4" t="s">
        <v>2877</v>
      </c>
      <c r="VNE1333" s="4" t="s">
        <v>2877</v>
      </c>
      <c r="VNF1333" s="4" t="s">
        <v>2877</v>
      </c>
      <c r="VNG1333" s="4" t="s">
        <v>2877</v>
      </c>
      <c r="VNH1333" s="4" t="s">
        <v>2877</v>
      </c>
      <c r="VNI1333" s="4" t="s">
        <v>2877</v>
      </c>
      <c r="VNJ1333" s="4" t="s">
        <v>2877</v>
      </c>
      <c r="VNK1333" s="4" t="s">
        <v>2877</v>
      </c>
      <c r="VNL1333" s="4" t="s">
        <v>2877</v>
      </c>
      <c r="VNM1333" s="4" t="s">
        <v>2877</v>
      </c>
      <c r="VNN1333" s="4" t="s">
        <v>2877</v>
      </c>
      <c r="VNO1333" s="4" t="s">
        <v>2877</v>
      </c>
      <c r="VNP1333" s="4" t="s">
        <v>2877</v>
      </c>
      <c r="VNQ1333" s="4" t="s">
        <v>2877</v>
      </c>
      <c r="VNR1333" s="4" t="s">
        <v>2877</v>
      </c>
      <c r="VNS1333" s="4" t="s">
        <v>2877</v>
      </c>
      <c r="VNT1333" s="4" t="s">
        <v>2877</v>
      </c>
      <c r="VNU1333" s="4" t="s">
        <v>2877</v>
      </c>
      <c r="VNV1333" s="4" t="s">
        <v>2877</v>
      </c>
      <c r="VNW1333" s="4" t="s">
        <v>2877</v>
      </c>
      <c r="VNX1333" s="4" t="s">
        <v>2877</v>
      </c>
      <c r="VNY1333" s="4" t="s">
        <v>2877</v>
      </c>
      <c r="VNZ1333" s="4" t="s">
        <v>2877</v>
      </c>
      <c r="VOA1333" s="4" t="s">
        <v>2877</v>
      </c>
      <c r="VOB1333" s="4" t="s">
        <v>2877</v>
      </c>
      <c r="VOC1333" s="4" t="s">
        <v>2877</v>
      </c>
      <c r="VOD1333" s="4" t="s">
        <v>2877</v>
      </c>
      <c r="VOE1333" s="4" t="s">
        <v>2877</v>
      </c>
      <c r="VOF1333" s="4" t="s">
        <v>2877</v>
      </c>
      <c r="VOG1333" s="4" t="s">
        <v>2877</v>
      </c>
      <c r="VOH1333" s="4" t="s">
        <v>2877</v>
      </c>
      <c r="VOI1333" s="4" t="s">
        <v>2877</v>
      </c>
      <c r="VOJ1333" s="4" t="s">
        <v>2877</v>
      </c>
      <c r="VOK1333" s="4" t="s">
        <v>2877</v>
      </c>
      <c r="VOL1333" s="4" t="s">
        <v>2877</v>
      </c>
      <c r="VOM1333" s="4" t="s">
        <v>2877</v>
      </c>
      <c r="VON1333" s="4" t="s">
        <v>2877</v>
      </c>
      <c r="VOO1333" s="4" t="s">
        <v>2877</v>
      </c>
      <c r="VOP1333" s="4" t="s">
        <v>2877</v>
      </c>
      <c r="VOQ1333" s="4" t="s">
        <v>2877</v>
      </c>
      <c r="VOR1333" s="4" t="s">
        <v>2877</v>
      </c>
      <c r="VOS1333" s="4" t="s">
        <v>2877</v>
      </c>
      <c r="VOT1333" s="4" t="s">
        <v>2877</v>
      </c>
      <c r="VOU1333" s="4" t="s">
        <v>2877</v>
      </c>
      <c r="VOV1333" s="4" t="s">
        <v>2877</v>
      </c>
      <c r="VOW1333" s="4" t="s">
        <v>2877</v>
      </c>
      <c r="VOX1333" s="4" t="s">
        <v>2877</v>
      </c>
      <c r="VOY1333" s="4" t="s">
        <v>2877</v>
      </c>
      <c r="VOZ1333" s="4" t="s">
        <v>2877</v>
      </c>
      <c r="VPA1333" s="4" t="s">
        <v>2877</v>
      </c>
      <c r="VPB1333" s="4" t="s">
        <v>2877</v>
      </c>
      <c r="VPC1333" s="4" t="s">
        <v>2877</v>
      </c>
      <c r="VPD1333" s="4" t="s">
        <v>2877</v>
      </c>
      <c r="VPE1333" s="4" t="s">
        <v>2877</v>
      </c>
      <c r="VPF1333" s="4" t="s">
        <v>2877</v>
      </c>
      <c r="VPG1333" s="4" t="s">
        <v>2877</v>
      </c>
      <c r="VPH1333" s="4" t="s">
        <v>2877</v>
      </c>
      <c r="VPI1333" s="4" t="s">
        <v>2877</v>
      </c>
      <c r="VPJ1333" s="4" t="s">
        <v>2877</v>
      </c>
      <c r="VPK1333" s="4" t="s">
        <v>2877</v>
      </c>
      <c r="VPL1333" s="4" t="s">
        <v>2877</v>
      </c>
      <c r="VPM1333" s="4" t="s">
        <v>2877</v>
      </c>
      <c r="VPN1333" s="4" t="s">
        <v>2877</v>
      </c>
      <c r="VPO1333" s="4" t="s">
        <v>2877</v>
      </c>
      <c r="VPP1333" s="4" t="s">
        <v>2877</v>
      </c>
      <c r="VPQ1333" s="4" t="s">
        <v>2877</v>
      </c>
      <c r="VPR1333" s="4" t="s">
        <v>2877</v>
      </c>
      <c r="VPS1333" s="4" t="s">
        <v>2877</v>
      </c>
      <c r="VPT1333" s="4" t="s">
        <v>2877</v>
      </c>
      <c r="VPU1333" s="4" t="s">
        <v>2877</v>
      </c>
      <c r="VPV1333" s="4" t="s">
        <v>2877</v>
      </c>
      <c r="VPW1333" s="4" t="s">
        <v>2877</v>
      </c>
      <c r="VPX1333" s="4" t="s">
        <v>2877</v>
      </c>
      <c r="VPY1333" s="4" t="s">
        <v>2877</v>
      </c>
      <c r="VPZ1333" s="4" t="s">
        <v>2877</v>
      </c>
      <c r="VQA1333" s="4" t="s">
        <v>2877</v>
      </c>
      <c r="VQB1333" s="4" t="s">
        <v>2877</v>
      </c>
      <c r="VQC1333" s="4" t="s">
        <v>2877</v>
      </c>
      <c r="VQD1333" s="4" t="s">
        <v>2877</v>
      </c>
      <c r="VQE1333" s="4" t="s">
        <v>2877</v>
      </c>
      <c r="VQF1333" s="4" t="s">
        <v>2877</v>
      </c>
      <c r="VQG1333" s="4" t="s">
        <v>2877</v>
      </c>
      <c r="VQH1333" s="4" t="s">
        <v>2877</v>
      </c>
      <c r="VQI1333" s="4" t="s">
        <v>2877</v>
      </c>
      <c r="VQJ1333" s="4" t="s">
        <v>2877</v>
      </c>
      <c r="VQK1333" s="4" t="s">
        <v>2877</v>
      </c>
      <c r="VQL1333" s="4" t="s">
        <v>2877</v>
      </c>
      <c r="VQM1333" s="4" t="s">
        <v>2877</v>
      </c>
      <c r="VQN1333" s="4" t="s">
        <v>2877</v>
      </c>
      <c r="VQO1333" s="4" t="s">
        <v>2877</v>
      </c>
      <c r="VQP1333" s="4" t="s">
        <v>2877</v>
      </c>
      <c r="VQQ1333" s="4" t="s">
        <v>2877</v>
      </c>
      <c r="VQR1333" s="4" t="s">
        <v>2877</v>
      </c>
      <c r="VQS1333" s="4" t="s">
        <v>2877</v>
      </c>
      <c r="VQT1333" s="4" t="s">
        <v>2877</v>
      </c>
      <c r="VQU1333" s="4" t="s">
        <v>2877</v>
      </c>
      <c r="VQV1333" s="4" t="s">
        <v>2877</v>
      </c>
      <c r="VQW1333" s="4" t="s">
        <v>2877</v>
      </c>
      <c r="VQX1333" s="4" t="s">
        <v>2877</v>
      </c>
      <c r="VQY1333" s="4" t="s">
        <v>2877</v>
      </c>
      <c r="VQZ1333" s="4" t="s">
        <v>2877</v>
      </c>
      <c r="VRA1333" s="4" t="s">
        <v>2877</v>
      </c>
      <c r="VRB1333" s="4" t="s">
        <v>2877</v>
      </c>
      <c r="VRC1333" s="4" t="s">
        <v>2877</v>
      </c>
      <c r="VRD1333" s="4" t="s">
        <v>2877</v>
      </c>
      <c r="VRE1333" s="4" t="s">
        <v>2877</v>
      </c>
      <c r="VRF1333" s="4" t="s">
        <v>2877</v>
      </c>
      <c r="VRG1333" s="4" t="s">
        <v>2877</v>
      </c>
      <c r="VRH1333" s="4" t="s">
        <v>2877</v>
      </c>
      <c r="VRI1333" s="4" t="s">
        <v>2877</v>
      </c>
      <c r="VRJ1333" s="4" t="s">
        <v>2877</v>
      </c>
      <c r="VRK1333" s="4" t="s">
        <v>2877</v>
      </c>
      <c r="VRL1333" s="4" t="s">
        <v>2877</v>
      </c>
      <c r="VRM1333" s="4" t="s">
        <v>2877</v>
      </c>
      <c r="VRN1333" s="4" t="s">
        <v>2877</v>
      </c>
      <c r="VRO1333" s="4" t="s">
        <v>2877</v>
      </c>
      <c r="VRP1333" s="4" t="s">
        <v>2877</v>
      </c>
      <c r="VRQ1333" s="4" t="s">
        <v>2877</v>
      </c>
      <c r="VRR1333" s="4" t="s">
        <v>2877</v>
      </c>
      <c r="VRS1333" s="4" t="s">
        <v>2877</v>
      </c>
      <c r="VRT1333" s="4" t="s">
        <v>2877</v>
      </c>
      <c r="VRU1333" s="4" t="s">
        <v>2877</v>
      </c>
      <c r="VRV1333" s="4" t="s">
        <v>2877</v>
      </c>
      <c r="VRW1333" s="4" t="s">
        <v>2877</v>
      </c>
      <c r="VRX1333" s="4" t="s">
        <v>2877</v>
      </c>
      <c r="VRY1333" s="4" t="s">
        <v>2877</v>
      </c>
      <c r="VRZ1333" s="4" t="s">
        <v>2877</v>
      </c>
      <c r="VSA1333" s="4" t="s">
        <v>2877</v>
      </c>
      <c r="VSB1333" s="4" t="s">
        <v>2877</v>
      </c>
      <c r="VSC1333" s="4" t="s">
        <v>2877</v>
      </c>
      <c r="VSD1333" s="4" t="s">
        <v>2877</v>
      </c>
      <c r="VSE1333" s="4" t="s">
        <v>2877</v>
      </c>
      <c r="VSF1333" s="4" t="s">
        <v>2877</v>
      </c>
      <c r="VSG1333" s="4" t="s">
        <v>2877</v>
      </c>
      <c r="VSH1333" s="4" t="s">
        <v>2877</v>
      </c>
      <c r="VSI1333" s="4" t="s">
        <v>2877</v>
      </c>
      <c r="VSJ1333" s="4" t="s">
        <v>2877</v>
      </c>
      <c r="VSK1333" s="4" t="s">
        <v>2877</v>
      </c>
      <c r="VSL1333" s="4" t="s">
        <v>2877</v>
      </c>
      <c r="VSM1333" s="4" t="s">
        <v>2877</v>
      </c>
      <c r="VSN1333" s="4" t="s">
        <v>2877</v>
      </c>
      <c r="VSO1333" s="4" t="s">
        <v>2877</v>
      </c>
      <c r="VSP1333" s="4" t="s">
        <v>2877</v>
      </c>
      <c r="VSQ1333" s="4" t="s">
        <v>2877</v>
      </c>
      <c r="VSR1333" s="4" t="s">
        <v>2877</v>
      </c>
      <c r="VSS1333" s="4" t="s">
        <v>2877</v>
      </c>
      <c r="VST1333" s="4" t="s">
        <v>2877</v>
      </c>
      <c r="VSU1333" s="4" t="s">
        <v>2877</v>
      </c>
      <c r="VSV1333" s="4" t="s">
        <v>2877</v>
      </c>
      <c r="VSW1333" s="4" t="s">
        <v>2877</v>
      </c>
      <c r="VSX1333" s="4" t="s">
        <v>2877</v>
      </c>
      <c r="VSY1333" s="4" t="s">
        <v>2877</v>
      </c>
      <c r="VSZ1333" s="4" t="s">
        <v>2877</v>
      </c>
      <c r="VTA1333" s="4" t="s">
        <v>2877</v>
      </c>
      <c r="VTB1333" s="4" t="s">
        <v>2877</v>
      </c>
      <c r="VTC1333" s="4" t="s">
        <v>2877</v>
      </c>
      <c r="VTD1333" s="4" t="s">
        <v>2877</v>
      </c>
      <c r="VTE1333" s="4" t="s">
        <v>2877</v>
      </c>
      <c r="VTF1333" s="4" t="s">
        <v>2877</v>
      </c>
      <c r="VTG1333" s="4" t="s">
        <v>2877</v>
      </c>
      <c r="VTH1333" s="4" t="s">
        <v>2877</v>
      </c>
      <c r="VTI1333" s="4" t="s">
        <v>2877</v>
      </c>
      <c r="VTJ1333" s="4" t="s">
        <v>2877</v>
      </c>
      <c r="VTK1333" s="4" t="s">
        <v>2877</v>
      </c>
      <c r="VTL1333" s="4" t="s">
        <v>2877</v>
      </c>
      <c r="VTM1333" s="4" t="s">
        <v>2877</v>
      </c>
      <c r="VTN1333" s="4" t="s">
        <v>2877</v>
      </c>
      <c r="VTO1333" s="4" t="s">
        <v>2877</v>
      </c>
      <c r="VTP1333" s="4" t="s">
        <v>2877</v>
      </c>
      <c r="VTQ1333" s="4" t="s">
        <v>2877</v>
      </c>
      <c r="VTR1333" s="4" t="s">
        <v>2877</v>
      </c>
      <c r="VTS1333" s="4" t="s">
        <v>2877</v>
      </c>
      <c r="VTT1333" s="4" t="s">
        <v>2877</v>
      </c>
      <c r="VTU1333" s="4" t="s">
        <v>2877</v>
      </c>
      <c r="VTV1333" s="4" t="s">
        <v>2877</v>
      </c>
      <c r="VTW1333" s="4" t="s">
        <v>2877</v>
      </c>
      <c r="VTX1333" s="4" t="s">
        <v>2877</v>
      </c>
      <c r="VTY1333" s="4" t="s">
        <v>2877</v>
      </c>
      <c r="VTZ1333" s="4" t="s">
        <v>2877</v>
      </c>
      <c r="VUA1333" s="4" t="s">
        <v>2877</v>
      </c>
      <c r="VUB1333" s="4" t="s">
        <v>2877</v>
      </c>
      <c r="VUC1333" s="4" t="s">
        <v>2877</v>
      </c>
      <c r="VUD1333" s="4" t="s">
        <v>2877</v>
      </c>
      <c r="VUE1333" s="4" t="s">
        <v>2877</v>
      </c>
      <c r="VUF1333" s="4" t="s">
        <v>2877</v>
      </c>
      <c r="VUG1333" s="4" t="s">
        <v>2877</v>
      </c>
      <c r="VUH1333" s="4" t="s">
        <v>2877</v>
      </c>
      <c r="VUI1333" s="4" t="s">
        <v>2877</v>
      </c>
      <c r="VUJ1333" s="4" t="s">
        <v>2877</v>
      </c>
      <c r="VUK1333" s="4" t="s">
        <v>2877</v>
      </c>
      <c r="VUL1333" s="4" t="s">
        <v>2877</v>
      </c>
      <c r="VUM1333" s="4" t="s">
        <v>2877</v>
      </c>
      <c r="VUN1333" s="4" t="s">
        <v>2877</v>
      </c>
      <c r="VUO1333" s="4" t="s">
        <v>2877</v>
      </c>
      <c r="VUP1333" s="4" t="s">
        <v>2877</v>
      </c>
      <c r="VUQ1333" s="4" t="s">
        <v>2877</v>
      </c>
      <c r="VUR1333" s="4" t="s">
        <v>2877</v>
      </c>
      <c r="VUS1333" s="4" t="s">
        <v>2877</v>
      </c>
      <c r="VUT1333" s="4" t="s">
        <v>2877</v>
      </c>
      <c r="VUU1333" s="4" t="s">
        <v>2877</v>
      </c>
      <c r="VUV1333" s="4" t="s">
        <v>2877</v>
      </c>
      <c r="VUW1333" s="4" t="s">
        <v>2877</v>
      </c>
      <c r="VUX1333" s="4" t="s">
        <v>2877</v>
      </c>
      <c r="VUY1333" s="4" t="s">
        <v>2877</v>
      </c>
      <c r="VUZ1333" s="4" t="s">
        <v>2877</v>
      </c>
      <c r="VVA1333" s="4" t="s">
        <v>2877</v>
      </c>
      <c r="VVB1333" s="4" t="s">
        <v>2877</v>
      </c>
      <c r="VVC1333" s="4" t="s">
        <v>2877</v>
      </c>
      <c r="VVD1333" s="4" t="s">
        <v>2877</v>
      </c>
      <c r="VVE1333" s="4" t="s">
        <v>2877</v>
      </c>
      <c r="VVF1333" s="4" t="s">
        <v>2877</v>
      </c>
      <c r="VVG1333" s="4" t="s">
        <v>2877</v>
      </c>
      <c r="VVH1333" s="4" t="s">
        <v>2877</v>
      </c>
      <c r="VVI1333" s="4" t="s">
        <v>2877</v>
      </c>
      <c r="VVJ1333" s="4" t="s">
        <v>2877</v>
      </c>
      <c r="VVK1333" s="4" t="s">
        <v>2877</v>
      </c>
      <c r="VVL1333" s="4" t="s">
        <v>2877</v>
      </c>
      <c r="VVM1333" s="4" t="s">
        <v>2877</v>
      </c>
      <c r="VVN1333" s="4" t="s">
        <v>2877</v>
      </c>
      <c r="VVO1333" s="4" t="s">
        <v>2877</v>
      </c>
      <c r="VVP1333" s="4" t="s">
        <v>2877</v>
      </c>
      <c r="VVQ1333" s="4" t="s">
        <v>2877</v>
      </c>
      <c r="VVR1333" s="4" t="s">
        <v>2877</v>
      </c>
      <c r="VVS1333" s="4" t="s">
        <v>2877</v>
      </c>
      <c r="VVT1333" s="4" t="s">
        <v>2877</v>
      </c>
      <c r="VVU1333" s="4" t="s">
        <v>2877</v>
      </c>
      <c r="VVV1333" s="4" t="s">
        <v>2877</v>
      </c>
      <c r="VVW1333" s="4" t="s">
        <v>2877</v>
      </c>
      <c r="VVX1333" s="4" t="s">
        <v>2877</v>
      </c>
      <c r="VVY1333" s="4" t="s">
        <v>2877</v>
      </c>
      <c r="VVZ1333" s="4" t="s">
        <v>2877</v>
      </c>
      <c r="VWA1333" s="4" t="s">
        <v>2877</v>
      </c>
      <c r="VWB1333" s="4" t="s">
        <v>2877</v>
      </c>
      <c r="VWC1333" s="4" t="s">
        <v>2877</v>
      </c>
      <c r="VWD1333" s="4" t="s">
        <v>2877</v>
      </c>
      <c r="VWE1333" s="4" t="s">
        <v>2877</v>
      </c>
      <c r="VWF1333" s="4" t="s">
        <v>2877</v>
      </c>
      <c r="VWG1333" s="4" t="s">
        <v>2877</v>
      </c>
      <c r="VWH1333" s="4" t="s">
        <v>2877</v>
      </c>
      <c r="VWI1333" s="4" t="s">
        <v>2877</v>
      </c>
      <c r="VWJ1333" s="4" t="s">
        <v>2877</v>
      </c>
      <c r="VWK1333" s="4" t="s">
        <v>2877</v>
      </c>
      <c r="VWL1333" s="4" t="s">
        <v>2877</v>
      </c>
      <c r="VWM1333" s="4" t="s">
        <v>2877</v>
      </c>
      <c r="VWN1333" s="4" t="s">
        <v>2877</v>
      </c>
      <c r="VWO1333" s="4" t="s">
        <v>2877</v>
      </c>
      <c r="VWP1333" s="4" t="s">
        <v>2877</v>
      </c>
      <c r="VWQ1333" s="4" t="s">
        <v>2877</v>
      </c>
      <c r="VWR1333" s="4" t="s">
        <v>2877</v>
      </c>
      <c r="VWS1333" s="4" t="s">
        <v>2877</v>
      </c>
      <c r="VWT1333" s="4" t="s">
        <v>2877</v>
      </c>
      <c r="VWU1333" s="4" t="s">
        <v>2877</v>
      </c>
      <c r="VWV1333" s="4" t="s">
        <v>2877</v>
      </c>
      <c r="VWW1333" s="4" t="s">
        <v>2877</v>
      </c>
      <c r="VWX1333" s="4" t="s">
        <v>2877</v>
      </c>
      <c r="VWY1333" s="4" t="s">
        <v>2877</v>
      </c>
      <c r="VWZ1333" s="4" t="s">
        <v>2877</v>
      </c>
      <c r="VXA1333" s="4" t="s">
        <v>2877</v>
      </c>
      <c r="VXB1333" s="4" t="s">
        <v>2877</v>
      </c>
      <c r="VXC1333" s="4" t="s">
        <v>2877</v>
      </c>
      <c r="VXD1333" s="4" t="s">
        <v>2877</v>
      </c>
      <c r="VXE1333" s="4" t="s">
        <v>2877</v>
      </c>
      <c r="VXF1333" s="4" t="s">
        <v>2877</v>
      </c>
      <c r="VXG1333" s="4" t="s">
        <v>2877</v>
      </c>
      <c r="VXH1333" s="4" t="s">
        <v>2877</v>
      </c>
      <c r="VXI1333" s="4" t="s">
        <v>2877</v>
      </c>
      <c r="VXJ1333" s="4" t="s">
        <v>2877</v>
      </c>
      <c r="VXK1333" s="4" t="s">
        <v>2877</v>
      </c>
      <c r="VXL1333" s="4" t="s">
        <v>2877</v>
      </c>
      <c r="VXM1333" s="4" t="s">
        <v>2877</v>
      </c>
      <c r="VXN1333" s="4" t="s">
        <v>2877</v>
      </c>
      <c r="VXO1333" s="4" t="s">
        <v>2877</v>
      </c>
      <c r="VXP1333" s="4" t="s">
        <v>2877</v>
      </c>
      <c r="VXQ1333" s="4" t="s">
        <v>2877</v>
      </c>
      <c r="VXR1333" s="4" t="s">
        <v>2877</v>
      </c>
      <c r="VXS1333" s="4" t="s">
        <v>2877</v>
      </c>
      <c r="VXT1333" s="4" t="s">
        <v>2877</v>
      </c>
      <c r="VXU1333" s="4" t="s">
        <v>2877</v>
      </c>
      <c r="VXV1333" s="4" t="s">
        <v>2877</v>
      </c>
      <c r="VXW1333" s="4" t="s">
        <v>2877</v>
      </c>
      <c r="VXX1333" s="4" t="s">
        <v>2877</v>
      </c>
      <c r="VXY1333" s="4" t="s">
        <v>2877</v>
      </c>
      <c r="VXZ1333" s="4" t="s">
        <v>2877</v>
      </c>
      <c r="VYA1333" s="4" t="s">
        <v>2877</v>
      </c>
      <c r="VYB1333" s="4" t="s">
        <v>2877</v>
      </c>
      <c r="VYC1333" s="4" t="s">
        <v>2877</v>
      </c>
      <c r="VYD1333" s="4" t="s">
        <v>2877</v>
      </c>
      <c r="VYE1333" s="4" t="s">
        <v>2877</v>
      </c>
      <c r="VYF1333" s="4" t="s">
        <v>2877</v>
      </c>
      <c r="VYG1333" s="4" t="s">
        <v>2877</v>
      </c>
      <c r="VYH1333" s="4" t="s">
        <v>2877</v>
      </c>
      <c r="VYI1333" s="4" t="s">
        <v>2877</v>
      </c>
      <c r="VYJ1333" s="4" t="s">
        <v>2877</v>
      </c>
      <c r="VYK1333" s="4" t="s">
        <v>2877</v>
      </c>
      <c r="VYL1333" s="4" t="s">
        <v>2877</v>
      </c>
      <c r="VYM1333" s="4" t="s">
        <v>2877</v>
      </c>
      <c r="VYN1333" s="4" t="s">
        <v>2877</v>
      </c>
      <c r="VYO1333" s="4" t="s">
        <v>2877</v>
      </c>
      <c r="VYP1333" s="4" t="s">
        <v>2877</v>
      </c>
      <c r="VYQ1333" s="4" t="s">
        <v>2877</v>
      </c>
      <c r="VYR1333" s="4" t="s">
        <v>2877</v>
      </c>
      <c r="VYS1333" s="4" t="s">
        <v>2877</v>
      </c>
      <c r="VYT1333" s="4" t="s">
        <v>2877</v>
      </c>
      <c r="VYU1333" s="4" t="s">
        <v>2877</v>
      </c>
      <c r="VYV1333" s="4" t="s">
        <v>2877</v>
      </c>
      <c r="VYW1333" s="4" t="s">
        <v>2877</v>
      </c>
      <c r="VYX1333" s="4" t="s">
        <v>2877</v>
      </c>
      <c r="VYY1333" s="4" t="s">
        <v>2877</v>
      </c>
      <c r="VYZ1333" s="4" t="s">
        <v>2877</v>
      </c>
      <c r="VZA1333" s="4" t="s">
        <v>2877</v>
      </c>
      <c r="VZB1333" s="4" t="s">
        <v>2877</v>
      </c>
      <c r="VZC1333" s="4" t="s">
        <v>2877</v>
      </c>
      <c r="VZD1333" s="4" t="s">
        <v>2877</v>
      </c>
      <c r="VZE1333" s="4" t="s">
        <v>2877</v>
      </c>
      <c r="VZF1333" s="4" t="s">
        <v>2877</v>
      </c>
      <c r="VZG1333" s="4" t="s">
        <v>2877</v>
      </c>
      <c r="VZH1333" s="4" t="s">
        <v>2877</v>
      </c>
      <c r="VZI1333" s="4" t="s">
        <v>2877</v>
      </c>
      <c r="VZJ1333" s="4" t="s">
        <v>2877</v>
      </c>
      <c r="VZK1333" s="4" t="s">
        <v>2877</v>
      </c>
      <c r="VZL1333" s="4" t="s">
        <v>2877</v>
      </c>
      <c r="VZM1333" s="4" t="s">
        <v>2877</v>
      </c>
      <c r="VZN1333" s="4" t="s">
        <v>2877</v>
      </c>
      <c r="VZO1333" s="4" t="s">
        <v>2877</v>
      </c>
      <c r="VZP1333" s="4" t="s">
        <v>2877</v>
      </c>
      <c r="VZQ1333" s="4" t="s">
        <v>2877</v>
      </c>
      <c r="VZR1333" s="4" t="s">
        <v>2877</v>
      </c>
      <c r="VZS1333" s="4" t="s">
        <v>2877</v>
      </c>
      <c r="VZT1333" s="4" t="s">
        <v>2877</v>
      </c>
      <c r="VZU1333" s="4" t="s">
        <v>2877</v>
      </c>
      <c r="VZV1333" s="4" t="s">
        <v>2877</v>
      </c>
      <c r="VZW1333" s="4" t="s">
        <v>2877</v>
      </c>
      <c r="VZX1333" s="4" t="s">
        <v>2877</v>
      </c>
      <c r="VZY1333" s="4" t="s">
        <v>2877</v>
      </c>
      <c r="VZZ1333" s="4" t="s">
        <v>2877</v>
      </c>
      <c r="WAA1333" s="4" t="s">
        <v>2877</v>
      </c>
      <c r="WAB1333" s="4" t="s">
        <v>2877</v>
      </c>
      <c r="WAC1333" s="4" t="s">
        <v>2877</v>
      </c>
      <c r="WAD1333" s="4" t="s">
        <v>2877</v>
      </c>
      <c r="WAE1333" s="4" t="s">
        <v>2877</v>
      </c>
      <c r="WAF1333" s="4" t="s">
        <v>2877</v>
      </c>
      <c r="WAG1333" s="4" t="s">
        <v>2877</v>
      </c>
      <c r="WAH1333" s="4" t="s">
        <v>2877</v>
      </c>
      <c r="WAI1333" s="4" t="s">
        <v>2877</v>
      </c>
      <c r="WAJ1333" s="4" t="s">
        <v>2877</v>
      </c>
      <c r="WAK1333" s="4" t="s">
        <v>2877</v>
      </c>
      <c r="WAL1333" s="4" t="s">
        <v>2877</v>
      </c>
      <c r="WAM1333" s="4" t="s">
        <v>2877</v>
      </c>
      <c r="WAN1333" s="4" t="s">
        <v>2877</v>
      </c>
      <c r="WAO1333" s="4" t="s">
        <v>2877</v>
      </c>
      <c r="WAP1333" s="4" t="s">
        <v>2877</v>
      </c>
      <c r="WAQ1333" s="4" t="s">
        <v>2877</v>
      </c>
      <c r="WAR1333" s="4" t="s">
        <v>2877</v>
      </c>
      <c r="WAS1333" s="4" t="s">
        <v>2877</v>
      </c>
      <c r="WAT1333" s="4" t="s">
        <v>2877</v>
      </c>
      <c r="WAU1333" s="4" t="s">
        <v>2877</v>
      </c>
      <c r="WAV1333" s="4" t="s">
        <v>2877</v>
      </c>
      <c r="WAW1333" s="4" t="s">
        <v>2877</v>
      </c>
      <c r="WAX1333" s="4" t="s">
        <v>2877</v>
      </c>
      <c r="WAY1333" s="4" t="s">
        <v>2877</v>
      </c>
      <c r="WAZ1333" s="4" t="s">
        <v>2877</v>
      </c>
      <c r="WBA1333" s="4" t="s">
        <v>2877</v>
      </c>
      <c r="WBB1333" s="4" t="s">
        <v>2877</v>
      </c>
      <c r="WBC1333" s="4" t="s">
        <v>2877</v>
      </c>
      <c r="WBD1333" s="4" t="s">
        <v>2877</v>
      </c>
      <c r="WBE1333" s="4" t="s">
        <v>2877</v>
      </c>
      <c r="WBF1333" s="4" t="s">
        <v>2877</v>
      </c>
      <c r="WBG1333" s="4" t="s">
        <v>2877</v>
      </c>
      <c r="WBH1333" s="4" t="s">
        <v>2877</v>
      </c>
      <c r="WBI1333" s="4" t="s">
        <v>2877</v>
      </c>
      <c r="WBJ1333" s="4" t="s">
        <v>2877</v>
      </c>
      <c r="WBK1333" s="4" t="s">
        <v>2877</v>
      </c>
      <c r="WBL1333" s="4" t="s">
        <v>2877</v>
      </c>
      <c r="WBM1333" s="4" t="s">
        <v>2877</v>
      </c>
      <c r="WBN1333" s="4" t="s">
        <v>2877</v>
      </c>
      <c r="WBO1333" s="4" t="s">
        <v>2877</v>
      </c>
      <c r="WBP1333" s="4" t="s">
        <v>2877</v>
      </c>
      <c r="WBQ1333" s="4" t="s">
        <v>2877</v>
      </c>
      <c r="WBR1333" s="4" t="s">
        <v>2877</v>
      </c>
      <c r="WBS1333" s="4" t="s">
        <v>2877</v>
      </c>
      <c r="WBT1333" s="4" t="s">
        <v>2877</v>
      </c>
      <c r="WBU1333" s="4" t="s">
        <v>2877</v>
      </c>
      <c r="WBV1333" s="4" t="s">
        <v>2877</v>
      </c>
      <c r="WBW1333" s="4" t="s">
        <v>2877</v>
      </c>
      <c r="WBX1333" s="4" t="s">
        <v>2877</v>
      </c>
      <c r="WBY1333" s="4" t="s">
        <v>2877</v>
      </c>
      <c r="WBZ1333" s="4" t="s">
        <v>2877</v>
      </c>
      <c r="WCA1333" s="4" t="s">
        <v>2877</v>
      </c>
      <c r="WCB1333" s="4" t="s">
        <v>2877</v>
      </c>
      <c r="WCC1333" s="4" t="s">
        <v>2877</v>
      </c>
      <c r="WCD1333" s="4" t="s">
        <v>2877</v>
      </c>
      <c r="WCE1333" s="4" t="s">
        <v>2877</v>
      </c>
      <c r="WCF1333" s="4" t="s">
        <v>2877</v>
      </c>
      <c r="WCG1333" s="4" t="s">
        <v>2877</v>
      </c>
      <c r="WCH1333" s="4" t="s">
        <v>2877</v>
      </c>
      <c r="WCI1333" s="4" t="s">
        <v>2877</v>
      </c>
      <c r="WCJ1333" s="4" t="s">
        <v>2877</v>
      </c>
      <c r="WCK1333" s="4" t="s">
        <v>2877</v>
      </c>
      <c r="WCL1333" s="4" t="s">
        <v>2877</v>
      </c>
      <c r="WCM1333" s="4" t="s">
        <v>2877</v>
      </c>
      <c r="WCN1333" s="4" t="s">
        <v>2877</v>
      </c>
      <c r="WCO1333" s="4" t="s">
        <v>2877</v>
      </c>
      <c r="WCP1333" s="4" t="s">
        <v>2877</v>
      </c>
      <c r="WCQ1333" s="4" t="s">
        <v>2877</v>
      </c>
      <c r="WCR1333" s="4" t="s">
        <v>2877</v>
      </c>
      <c r="WCS1333" s="4" t="s">
        <v>2877</v>
      </c>
      <c r="WCT1333" s="4" t="s">
        <v>2877</v>
      </c>
      <c r="WCU1333" s="4" t="s">
        <v>2877</v>
      </c>
      <c r="WCV1333" s="4" t="s">
        <v>2877</v>
      </c>
      <c r="WCW1333" s="4" t="s">
        <v>2877</v>
      </c>
      <c r="WCX1333" s="4" t="s">
        <v>2877</v>
      </c>
      <c r="WCY1333" s="4" t="s">
        <v>2877</v>
      </c>
      <c r="WCZ1333" s="4" t="s">
        <v>2877</v>
      </c>
      <c r="WDA1333" s="4" t="s">
        <v>2877</v>
      </c>
      <c r="WDB1333" s="4" t="s">
        <v>2877</v>
      </c>
      <c r="WDC1333" s="4" t="s">
        <v>2877</v>
      </c>
      <c r="WDD1333" s="4" t="s">
        <v>2877</v>
      </c>
      <c r="WDE1333" s="4" t="s">
        <v>2877</v>
      </c>
      <c r="WDF1333" s="4" t="s">
        <v>2877</v>
      </c>
      <c r="WDG1333" s="4" t="s">
        <v>2877</v>
      </c>
      <c r="WDH1333" s="4" t="s">
        <v>2877</v>
      </c>
      <c r="WDI1333" s="4" t="s">
        <v>2877</v>
      </c>
      <c r="WDJ1333" s="4" t="s">
        <v>2877</v>
      </c>
      <c r="WDK1333" s="4" t="s">
        <v>2877</v>
      </c>
      <c r="WDL1333" s="4" t="s">
        <v>2877</v>
      </c>
      <c r="WDM1333" s="4" t="s">
        <v>2877</v>
      </c>
      <c r="WDN1333" s="4" t="s">
        <v>2877</v>
      </c>
      <c r="WDO1333" s="4" t="s">
        <v>2877</v>
      </c>
      <c r="WDP1333" s="4" t="s">
        <v>2877</v>
      </c>
      <c r="WDQ1333" s="4" t="s">
        <v>2877</v>
      </c>
      <c r="WDR1333" s="4" t="s">
        <v>2877</v>
      </c>
      <c r="WDS1333" s="4" t="s">
        <v>2877</v>
      </c>
      <c r="WDT1333" s="4" t="s">
        <v>2877</v>
      </c>
      <c r="WDU1333" s="4" t="s">
        <v>2877</v>
      </c>
      <c r="WDV1333" s="4" t="s">
        <v>2877</v>
      </c>
      <c r="WDW1333" s="4" t="s">
        <v>2877</v>
      </c>
      <c r="WDX1333" s="4" t="s">
        <v>2877</v>
      </c>
      <c r="WDY1333" s="4" t="s">
        <v>2877</v>
      </c>
      <c r="WDZ1333" s="4" t="s">
        <v>2877</v>
      </c>
      <c r="WEA1333" s="4" t="s">
        <v>2877</v>
      </c>
      <c r="WEB1333" s="4" t="s">
        <v>2877</v>
      </c>
      <c r="WEC1333" s="4" t="s">
        <v>2877</v>
      </c>
      <c r="WED1333" s="4" t="s">
        <v>2877</v>
      </c>
      <c r="WEE1333" s="4" t="s">
        <v>2877</v>
      </c>
      <c r="WEF1333" s="4" t="s">
        <v>2877</v>
      </c>
      <c r="WEG1333" s="4" t="s">
        <v>2877</v>
      </c>
      <c r="WEH1333" s="4" t="s">
        <v>2877</v>
      </c>
      <c r="WEI1333" s="4" t="s">
        <v>2877</v>
      </c>
      <c r="WEJ1333" s="4" t="s">
        <v>2877</v>
      </c>
      <c r="WEK1333" s="4" t="s">
        <v>2877</v>
      </c>
      <c r="WEL1333" s="4" t="s">
        <v>2877</v>
      </c>
      <c r="WEM1333" s="4" t="s">
        <v>2877</v>
      </c>
      <c r="WEN1333" s="4" t="s">
        <v>2877</v>
      </c>
      <c r="WEO1333" s="4" t="s">
        <v>2877</v>
      </c>
      <c r="WEP1333" s="4" t="s">
        <v>2877</v>
      </c>
      <c r="WEQ1333" s="4" t="s">
        <v>2877</v>
      </c>
      <c r="WER1333" s="4" t="s">
        <v>2877</v>
      </c>
      <c r="WES1333" s="4" t="s">
        <v>2877</v>
      </c>
      <c r="WET1333" s="4" t="s">
        <v>2877</v>
      </c>
      <c r="WEU1333" s="4" t="s">
        <v>2877</v>
      </c>
      <c r="WEV1333" s="4" t="s">
        <v>2877</v>
      </c>
      <c r="WEW1333" s="4" t="s">
        <v>2877</v>
      </c>
      <c r="WEX1333" s="4" t="s">
        <v>2877</v>
      </c>
      <c r="WEY1333" s="4" t="s">
        <v>2877</v>
      </c>
      <c r="WEZ1333" s="4" t="s">
        <v>2877</v>
      </c>
      <c r="WFA1333" s="4" t="s">
        <v>2877</v>
      </c>
      <c r="WFB1333" s="4" t="s">
        <v>2877</v>
      </c>
      <c r="WFC1333" s="4" t="s">
        <v>2877</v>
      </c>
      <c r="WFD1333" s="4" t="s">
        <v>2877</v>
      </c>
      <c r="WFE1333" s="4" t="s">
        <v>2877</v>
      </c>
      <c r="WFF1333" s="4" t="s">
        <v>2877</v>
      </c>
      <c r="WFG1333" s="4" t="s">
        <v>2877</v>
      </c>
      <c r="WFH1333" s="4" t="s">
        <v>2877</v>
      </c>
      <c r="WFI1333" s="4" t="s">
        <v>2877</v>
      </c>
      <c r="WFJ1333" s="4" t="s">
        <v>2877</v>
      </c>
      <c r="WFK1333" s="4" t="s">
        <v>2877</v>
      </c>
      <c r="WFL1333" s="4" t="s">
        <v>2877</v>
      </c>
      <c r="WFM1333" s="4" t="s">
        <v>2877</v>
      </c>
      <c r="WFN1333" s="4" t="s">
        <v>2877</v>
      </c>
      <c r="WFO1333" s="4" t="s">
        <v>2877</v>
      </c>
      <c r="WFP1333" s="4" t="s">
        <v>2877</v>
      </c>
      <c r="WFQ1333" s="4" t="s">
        <v>2877</v>
      </c>
      <c r="WFR1333" s="4" t="s">
        <v>2877</v>
      </c>
      <c r="WFS1333" s="4" t="s">
        <v>2877</v>
      </c>
      <c r="WFT1333" s="4" t="s">
        <v>2877</v>
      </c>
      <c r="WFU1333" s="4" t="s">
        <v>2877</v>
      </c>
      <c r="WFV1333" s="4" t="s">
        <v>2877</v>
      </c>
      <c r="WFW1333" s="4" t="s">
        <v>2877</v>
      </c>
      <c r="WFX1333" s="4" t="s">
        <v>2877</v>
      </c>
      <c r="WFY1333" s="4" t="s">
        <v>2877</v>
      </c>
      <c r="WFZ1333" s="4" t="s">
        <v>2877</v>
      </c>
      <c r="WGA1333" s="4" t="s">
        <v>2877</v>
      </c>
      <c r="WGB1333" s="4" t="s">
        <v>2877</v>
      </c>
      <c r="WGC1333" s="4" t="s">
        <v>2877</v>
      </c>
      <c r="WGD1333" s="4" t="s">
        <v>2877</v>
      </c>
      <c r="WGE1333" s="4" t="s">
        <v>2877</v>
      </c>
      <c r="WGF1333" s="4" t="s">
        <v>2877</v>
      </c>
      <c r="WGG1333" s="4" t="s">
        <v>2877</v>
      </c>
      <c r="WGH1333" s="4" t="s">
        <v>2877</v>
      </c>
      <c r="WGI1333" s="4" t="s">
        <v>2877</v>
      </c>
      <c r="WGJ1333" s="4" t="s">
        <v>2877</v>
      </c>
      <c r="WGK1333" s="4" t="s">
        <v>2877</v>
      </c>
      <c r="WGL1333" s="4" t="s">
        <v>2877</v>
      </c>
      <c r="WGM1333" s="4" t="s">
        <v>2877</v>
      </c>
      <c r="WGN1333" s="4" t="s">
        <v>2877</v>
      </c>
      <c r="WGO1333" s="4" t="s">
        <v>2877</v>
      </c>
      <c r="WGP1333" s="4" t="s">
        <v>2877</v>
      </c>
      <c r="WGQ1333" s="4" t="s">
        <v>2877</v>
      </c>
      <c r="WGR1333" s="4" t="s">
        <v>2877</v>
      </c>
      <c r="WGS1333" s="4" t="s">
        <v>2877</v>
      </c>
      <c r="WGT1333" s="4" t="s">
        <v>2877</v>
      </c>
      <c r="WGU1333" s="4" t="s">
        <v>2877</v>
      </c>
      <c r="WGV1333" s="4" t="s">
        <v>2877</v>
      </c>
      <c r="WGW1333" s="4" t="s">
        <v>2877</v>
      </c>
      <c r="WGX1333" s="4" t="s">
        <v>2877</v>
      </c>
      <c r="WGY1333" s="4" t="s">
        <v>2877</v>
      </c>
      <c r="WGZ1333" s="4" t="s">
        <v>2877</v>
      </c>
      <c r="WHA1333" s="4" t="s">
        <v>2877</v>
      </c>
      <c r="WHB1333" s="4" t="s">
        <v>2877</v>
      </c>
      <c r="WHC1333" s="4" t="s">
        <v>2877</v>
      </c>
      <c r="WHD1333" s="4" t="s">
        <v>2877</v>
      </c>
      <c r="WHE1333" s="4" t="s">
        <v>2877</v>
      </c>
      <c r="WHF1333" s="4" t="s">
        <v>2877</v>
      </c>
      <c r="WHG1333" s="4" t="s">
        <v>2877</v>
      </c>
      <c r="WHH1333" s="4" t="s">
        <v>2877</v>
      </c>
      <c r="WHI1333" s="4" t="s">
        <v>2877</v>
      </c>
      <c r="WHJ1333" s="4" t="s">
        <v>2877</v>
      </c>
      <c r="WHK1333" s="4" t="s">
        <v>2877</v>
      </c>
      <c r="WHL1333" s="4" t="s">
        <v>2877</v>
      </c>
      <c r="WHM1333" s="4" t="s">
        <v>2877</v>
      </c>
      <c r="WHN1333" s="4" t="s">
        <v>2877</v>
      </c>
      <c r="WHO1333" s="4" t="s">
        <v>2877</v>
      </c>
      <c r="WHP1333" s="4" t="s">
        <v>2877</v>
      </c>
      <c r="WHQ1333" s="4" t="s">
        <v>2877</v>
      </c>
      <c r="WHR1333" s="4" t="s">
        <v>2877</v>
      </c>
      <c r="WHS1333" s="4" t="s">
        <v>2877</v>
      </c>
      <c r="WHT1333" s="4" t="s">
        <v>2877</v>
      </c>
      <c r="WHU1333" s="4" t="s">
        <v>2877</v>
      </c>
      <c r="WHV1333" s="4" t="s">
        <v>2877</v>
      </c>
      <c r="WHW1333" s="4" t="s">
        <v>2877</v>
      </c>
      <c r="WHX1333" s="4" t="s">
        <v>2877</v>
      </c>
      <c r="WHY1333" s="4" t="s">
        <v>2877</v>
      </c>
      <c r="WHZ1333" s="4" t="s">
        <v>2877</v>
      </c>
      <c r="WIA1333" s="4" t="s">
        <v>2877</v>
      </c>
      <c r="WIB1333" s="4" t="s">
        <v>2877</v>
      </c>
      <c r="WIC1333" s="4" t="s">
        <v>2877</v>
      </c>
      <c r="WID1333" s="4" t="s">
        <v>2877</v>
      </c>
      <c r="WIE1333" s="4" t="s">
        <v>2877</v>
      </c>
      <c r="WIF1333" s="4" t="s">
        <v>2877</v>
      </c>
      <c r="WIG1333" s="4" t="s">
        <v>2877</v>
      </c>
      <c r="WIH1333" s="4" t="s">
        <v>2877</v>
      </c>
      <c r="WII1333" s="4" t="s">
        <v>2877</v>
      </c>
      <c r="WIJ1333" s="4" t="s">
        <v>2877</v>
      </c>
      <c r="WIK1333" s="4" t="s">
        <v>2877</v>
      </c>
      <c r="WIL1333" s="4" t="s">
        <v>2877</v>
      </c>
      <c r="WIM1333" s="4" t="s">
        <v>2877</v>
      </c>
      <c r="WIN1333" s="4" t="s">
        <v>2877</v>
      </c>
      <c r="WIO1333" s="4" t="s">
        <v>2877</v>
      </c>
      <c r="WIP1333" s="4" t="s">
        <v>2877</v>
      </c>
      <c r="WIQ1333" s="4" t="s">
        <v>2877</v>
      </c>
      <c r="WIR1333" s="4" t="s">
        <v>2877</v>
      </c>
      <c r="WIS1333" s="4" t="s">
        <v>2877</v>
      </c>
      <c r="WIT1333" s="4" t="s">
        <v>2877</v>
      </c>
      <c r="WIU1333" s="4" t="s">
        <v>2877</v>
      </c>
      <c r="WIV1333" s="4" t="s">
        <v>2877</v>
      </c>
      <c r="WIW1333" s="4" t="s">
        <v>2877</v>
      </c>
      <c r="WIX1333" s="4" t="s">
        <v>2877</v>
      </c>
      <c r="WIY1333" s="4" t="s">
        <v>2877</v>
      </c>
      <c r="WIZ1333" s="4" t="s">
        <v>2877</v>
      </c>
      <c r="WJA1333" s="4" t="s">
        <v>2877</v>
      </c>
      <c r="WJB1333" s="4" t="s">
        <v>2877</v>
      </c>
      <c r="WJC1333" s="4" t="s">
        <v>2877</v>
      </c>
      <c r="WJD1333" s="4" t="s">
        <v>2877</v>
      </c>
      <c r="WJE1333" s="4" t="s">
        <v>2877</v>
      </c>
      <c r="WJF1333" s="4" t="s">
        <v>2877</v>
      </c>
      <c r="WJG1333" s="4" t="s">
        <v>2877</v>
      </c>
      <c r="WJH1333" s="4" t="s">
        <v>2877</v>
      </c>
      <c r="WJI1333" s="4" t="s">
        <v>2877</v>
      </c>
      <c r="WJJ1333" s="4" t="s">
        <v>2877</v>
      </c>
      <c r="WJK1333" s="4" t="s">
        <v>2877</v>
      </c>
      <c r="WJL1333" s="4" t="s">
        <v>2877</v>
      </c>
      <c r="WJM1333" s="4" t="s">
        <v>2877</v>
      </c>
      <c r="WJN1333" s="4" t="s">
        <v>2877</v>
      </c>
      <c r="WJO1333" s="4" t="s">
        <v>2877</v>
      </c>
      <c r="WJP1333" s="4" t="s">
        <v>2877</v>
      </c>
      <c r="WJQ1333" s="4" t="s">
        <v>2877</v>
      </c>
      <c r="WJR1333" s="4" t="s">
        <v>2877</v>
      </c>
      <c r="WJS1333" s="4" t="s">
        <v>2877</v>
      </c>
      <c r="WJT1333" s="4" t="s">
        <v>2877</v>
      </c>
      <c r="WJU1333" s="4" t="s">
        <v>2877</v>
      </c>
      <c r="WJV1333" s="4" t="s">
        <v>2877</v>
      </c>
      <c r="WJW1333" s="4" t="s">
        <v>2877</v>
      </c>
      <c r="WJX1333" s="4" t="s">
        <v>2877</v>
      </c>
      <c r="WJY1333" s="4" t="s">
        <v>2877</v>
      </c>
      <c r="WJZ1333" s="4" t="s">
        <v>2877</v>
      </c>
      <c r="WKA1333" s="4" t="s">
        <v>2877</v>
      </c>
      <c r="WKB1333" s="4" t="s">
        <v>2877</v>
      </c>
      <c r="WKC1333" s="4" t="s">
        <v>2877</v>
      </c>
      <c r="WKD1333" s="4" t="s">
        <v>2877</v>
      </c>
      <c r="WKE1333" s="4" t="s">
        <v>2877</v>
      </c>
      <c r="WKF1333" s="4" t="s">
        <v>2877</v>
      </c>
      <c r="WKG1333" s="4" t="s">
        <v>2877</v>
      </c>
      <c r="WKH1333" s="4" t="s">
        <v>2877</v>
      </c>
      <c r="WKI1333" s="4" t="s">
        <v>2877</v>
      </c>
      <c r="WKJ1333" s="4" t="s">
        <v>2877</v>
      </c>
      <c r="WKK1333" s="4" t="s">
        <v>2877</v>
      </c>
      <c r="WKL1333" s="4" t="s">
        <v>2877</v>
      </c>
      <c r="WKM1333" s="4" t="s">
        <v>2877</v>
      </c>
      <c r="WKN1333" s="4" t="s">
        <v>2877</v>
      </c>
      <c r="WKO1333" s="4" t="s">
        <v>2877</v>
      </c>
      <c r="WKP1333" s="4" t="s">
        <v>2877</v>
      </c>
      <c r="WKQ1333" s="4" t="s">
        <v>2877</v>
      </c>
      <c r="WKR1333" s="4" t="s">
        <v>2877</v>
      </c>
      <c r="WKS1333" s="4" t="s">
        <v>2877</v>
      </c>
      <c r="WKT1333" s="4" t="s">
        <v>2877</v>
      </c>
      <c r="WKU1333" s="4" t="s">
        <v>2877</v>
      </c>
      <c r="WKV1333" s="4" t="s">
        <v>2877</v>
      </c>
      <c r="WKW1333" s="4" t="s">
        <v>2877</v>
      </c>
      <c r="WKX1333" s="4" t="s">
        <v>2877</v>
      </c>
      <c r="WKY1333" s="4" t="s">
        <v>2877</v>
      </c>
      <c r="WKZ1333" s="4" t="s">
        <v>2877</v>
      </c>
      <c r="WLA1333" s="4" t="s">
        <v>2877</v>
      </c>
      <c r="WLB1333" s="4" t="s">
        <v>2877</v>
      </c>
      <c r="WLC1333" s="4" t="s">
        <v>2877</v>
      </c>
      <c r="WLD1333" s="4" t="s">
        <v>2877</v>
      </c>
      <c r="WLE1333" s="4" t="s">
        <v>2877</v>
      </c>
      <c r="WLF1333" s="4" t="s">
        <v>2877</v>
      </c>
      <c r="WLG1333" s="4" t="s">
        <v>2877</v>
      </c>
      <c r="WLH1333" s="4" t="s">
        <v>2877</v>
      </c>
      <c r="WLI1333" s="4" t="s">
        <v>2877</v>
      </c>
      <c r="WLJ1333" s="4" t="s">
        <v>2877</v>
      </c>
      <c r="WLK1333" s="4" t="s">
        <v>2877</v>
      </c>
      <c r="WLL1333" s="4" t="s">
        <v>2877</v>
      </c>
      <c r="WLM1333" s="4" t="s">
        <v>2877</v>
      </c>
      <c r="WLN1333" s="4" t="s">
        <v>2877</v>
      </c>
      <c r="WLO1333" s="4" t="s">
        <v>2877</v>
      </c>
      <c r="WLP1333" s="4" t="s">
        <v>2877</v>
      </c>
      <c r="WLQ1333" s="4" t="s">
        <v>2877</v>
      </c>
      <c r="WLR1333" s="4" t="s">
        <v>2877</v>
      </c>
      <c r="WLS1333" s="4" t="s">
        <v>2877</v>
      </c>
      <c r="WLT1333" s="4" t="s">
        <v>2877</v>
      </c>
      <c r="WLU1333" s="4" t="s">
        <v>2877</v>
      </c>
      <c r="WLV1333" s="4" t="s">
        <v>2877</v>
      </c>
      <c r="WLW1333" s="4" t="s">
        <v>2877</v>
      </c>
      <c r="WLX1333" s="4" t="s">
        <v>2877</v>
      </c>
      <c r="WLY1333" s="4" t="s">
        <v>2877</v>
      </c>
      <c r="WLZ1333" s="4" t="s">
        <v>2877</v>
      </c>
      <c r="WMA1333" s="4" t="s">
        <v>2877</v>
      </c>
      <c r="WMB1333" s="4" t="s">
        <v>2877</v>
      </c>
      <c r="WMC1333" s="4" t="s">
        <v>2877</v>
      </c>
      <c r="WMD1333" s="4" t="s">
        <v>2877</v>
      </c>
      <c r="WME1333" s="4" t="s">
        <v>2877</v>
      </c>
      <c r="WMF1333" s="4" t="s">
        <v>2877</v>
      </c>
      <c r="WMG1333" s="4" t="s">
        <v>2877</v>
      </c>
      <c r="WMH1333" s="4" t="s">
        <v>2877</v>
      </c>
      <c r="WMI1333" s="4" t="s">
        <v>2877</v>
      </c>
      <c r="WMJ1333" s="4" t="s">
        <v>2877</v>
      </c>
      <c r="WMK1333" s="4" t="s">
        <v>2877</v>
      </c>
      <c r="WML1333" s="4" t="s">
        <v>2877</v>
      </c>
      <c r="WMM1333" s="4" t="s">
        <v>2877</v>
      </c>
      <c r="WMN1333" s="4" t="s">
        <v>2877</v>
      </c>
      <c r="WMO1333" s="4" t="s">
        <v>2877</v>
      </c>
      <c r="WMP1333" s="4" t="s">
        <v>2877</v>
      </c>
      <c r="WMQ1333" s="4" t="s">
        <v>2877</v>
      </c>
      <c r="WMR1333" s="4" t="s">
        <v>2877</v>
      </c>
      <c r="WMS1333" s="4" t="s">
        <v>2877</v>
      </c>
      <c r="WMT1333" s="4" t="s">
        <v>2877</v>
      </c>
      <c r="WMU1333" s="4" t="s">
        <v>2877</v>
      </c>
      <c r="WMV1333" s="4" t="s">
        <v>2877</v>
      </c>
      <c r="WMW1333" s="4" t="s">
        <v>2877</v>
      </c>
      <c r="WMX1333" s="4" t="s">
        <v>2877</v>
      </c>
      <c r="WMY1333" s="4" t="s">
        <v>2877</v>
      </c>
      <c r="WMZ1333" s="4" t="s">
        <v>2877</v>
      </c>
      <c r="WNA1333" s="4" t="s">
        <v>2877</v>
      </c>
      <c r="WNB1333" s="4" t="s">
        <v>2877</v>
      </c>
      <c r="WNC1333" s="4" t="s">
        <v>2877</v>
      </c>
      <c r="WND1333" s="4" t="s">
        <v>2877</v>
      </c>
      <c r="WNE1333" s="4" t="s">
        <v>2877</v>
      </c>
      <c r="WNF1333" s="4" t="s">
        <v>2877</v>
      </c>
      <c r="WNG1333" s="4" t="s">
        <v>2877</v>
      </c>
      <c r="WNH1333" s="4" t="s">
        <v>2877</v>
      </c>
      <c r="WNI1333" s="4" t="s">
        <v>2877</v>
      </c>
      <c r="WNJ1333" s="4" t="s">
        <v>2877</v>
      </c>
      <c r="WNK1333" s="4" t="s">
        <v>2877</v>
      </c>
      <c r="WNL1333" s="4" t="s">
        <v>2877</v>
      </c>
      <c r="WNM1333" s="4" t="s">
        <v>2877</v>
      </c>
      <c r="WNN1333" s="4" t="s">
        <v>2877</v>
      </c>
      <c r="WNO1333" s="4" t="s">
        <v>2877</v>
      </c>
      <c r="WNP1333" s="4" t="s">
        <v>2877</v>
      </c>
      <c r="WNQ1333" s="4" t="s">
        <v>2877</v>
      </c>
      <c r="WNR1333" s="4" t="s">
        <v>2877</v>
      </c>
      <c r="WNS1333" s="4" t="s">
        <v>2877</v>
      </c>
      <c r="WNT1333" s="4" t="s">
        <v>2877</v>
      </c>
      <c r="WNU1333" s="4" t="s">
        <v>2877</v>
      </c>
      <c r="WNV1333" s="4" t="s">
        <v>2877</v>
      </c>
      <c r="WNW1333" s="4" t="s">
        <v>2877</v>
      </c>
      <c r="WNX1333" s="4" t="s">
        <v>2877</v>
      </c>
      <c r="WNY1333" s="4" t="s">
        <v>2877</v>
      </c>
      <c r="WNZ1333" s="4" t="s">
        <v>2877</v>
      </c>
      <c r="WOA1333" s="4" t="s">
        <v>2877</v>
      </c>
      <c r="WOB1333" s="4" t="s">
        <v>2877</v>
      </c>
      <c r="WOC1333" s="4" t="s">
        <v>2877</v>
      </c>
      <c r="WOD1333" s="4" t="s">
        <v>2877</v>
      </c>
      <c r="WOE1333" s="4" t="s">
        <v>2877</v>
      </c>
      <c r="WOF1333" s="4" t="s">
        <v>2877</v>
      </c>
      <c r="WOG1333" s="4" t="s">
        <v>2877</v>
      </c>
      <c r="WOH1333" s="4" t="s">
        <v>2877</v>
      </c>
      <c r="WOI1333" s="4" t="s">
        <v>2877</v>
      </c>
      <c r="WOJ1333" s="4" t="s">
        <v>2877</v>
      </c>
      <c r="WOK1333" s="4" t="s">
        <v>2877</v>
      </c>
      <c r="WOL1333" s="4" t="s">
        <v>2877</v>
      </c>
      <c r="WOM1333" s="4" t="s">
        <v>2877</v>
      </c>
      <c r="WON1333" s="4" t="s">
        <v>2877</v>
      </c>
      <c r="WOO1333" s="4" t="s">
        <v>2877</v>
      </c>
      <c r="WOP1333" s="4" t="s">
        <v>2877</v>
      </c>
      <c r="WOQ1333" s="4" t="s">
        <v>2877</v>
      </c>
      <c r="WOR1333" s="4" t="s">
        <v>2877</v>
      </c>
      <c r="WOS1333" s="4" t="s">
        <v>2877</v>
      </c>
      <c r="WOT1333" s="4" t="s">
        <v>2877</v>
      </c>
      <c r="WOU1333" s="4" t="s">
        <v>2877</v>
      </c>
      <c r="WOV1333" s="4" t="s">
        <v>2877</v>
      </c>
      <c r="WOW1333" s="4" t="s">
        <v>2877</v>
      </c>
      <c r="WOX1333" s="4" t="s">
        <v>2877</v>
      </c>
      <c r="WOY1333" s="4" t="s">
        <v>2877</v>
      </c>
      <c r="WOZ1333" s="4" t="s">
        <v>2877</v>
      </c>
      <c r="WPA1333" s="4" t="s">
        <v>2877</v>
      </c>
      <c r="WPB1333" s="4" t="s">
        <v>2877</v>
      </c>
      <c r="WPC1333" s="4" t="s">
        <v>2877</v>
      </c>
      <c r="WPD1333" s="4" t="s">
        <v>2877</v>
      </c>
      <c r="WPE1333" s="4" t="s">
        <v>2877</v>
      </c>
      <c r="WPF1333" s="4" t="s">
        <v>2877</v>
      </c>
      <c r="WPG1333" s="4" t="s">
        <v>2877</v>
      </c>
      <c r="WPH1333" s="4" t="s">
        <v>2877</v>
      </c>
      <c r="WPI1333" s="4" t="s">
        <v>2877</v>
      </c>
      <c r="WPJ1333" s="4" t="s">
        <v>2877</v>
      </c>
      <c r="WPK1333" s="4" t="s">
        <v>2877</v>
      </c>
      <c r="WPL1333" s="4" t="s">
        <v>2877</v>
      </c>
      <c r="WPM1333" s="4" t="s">
        <v>2877</v>
      </c>
      <c r="WPN1333" s="4" t="s">
        <v>2877</v>
      </c>
      <c r="WPO1333" s="4" t="s">
        <v>2877</v>
      </c>
      <c r="WPP1333" s="4" t="s">
        <v>2877</v>
      </c>
      <c r="WPQ1333" s="4" t="s">
        <v>2877</v>
      </c>
      <c r="WPR1333" s="4" t="s">
        <v>2877</v>
      </c>
      <c r="WPS1333" s="4" t="s">
        <v>2877</v>
      </c>
      <c r="WPT1333" s="4" t="s">
        <v>2877</v>
      </c>
      <c r="WPU1333" s="4" t="s">
        <v>2877</v>
      </c>
      <c r="WPV1333" s="4" t="s">
        <v>2877</v>
      </c>
      <c r="WPW1333" s="4" t="s">
        <v>2877</v>
      </c>
      <c r="WPX1333" s="4" t="s">
        <v>2877</v>
      </c>
      <c r="WPY1333" s="4" t="s">
        <v>2877</v>
      </c>
      <c r="WPZ1333" s="4" t="s">
        <v>2877</v>
      </c>
      <c r="WQA1333" s="4" t="s">
        <v>2877</v>
      </c>
      <c r="WQB1333" s="4" t="s">
        <v>2877</v>
      </c>
      <c r="WQC1333" s="4" t="s">
        <v>2877</v>
      </c>
      <c r="WQD1333" s="4" t="s">
        <v>2877</v>
      </c>
      <c r="WQE1333" s="4" t="s">
        <v>2877</v>
      </c>
      <c r="WQF1333" s="4" t="s">
        <v>2877</v>
      </c>
      <c r="WQG1333" s="4" t="s">
        <v>2877</v>
      </c>
      <c r="WQH1333" s="4" t="s">
        <v>2877</v>
      </c>
      <c r="WQI1333" s="4" t="s">
        <v>2877</v>
      </c>
      <c r="WQJ1333" s="4" t="s">
        <v>2877</v>
      </c>
      <c r="WQK1333" s="4" t="s">
        <v>2877</v>
      </c>
      <c r="WQL1333" s="4" t="s">
        <v>2877</v>
      </c>
      <c r="WQM1333" s="4" t="s">
        <v>2877</v>
      </c>
      <c r="WQN1333" s="4" t="s">
        <v>2877</v>
      </c>
      <c r="WQO1333" s="4" t="s">
        <v>2877</v>
      </c>
      <c r="WQP1333" s="4" t="s">
        <v>2877</v>
      </c>
      <c r="WQQ1333" s="4" t="s">
        <v>2877</v>
      </c>
      <c r="WQR1333" s="4" t="s">
        <v>2877</v>
      </c>
      <c r="WQS1333" s="4" t="s">
        <v>2877</v>
      </c>
      <c r="WQT1333" s="4" t="s">
        <v>2877</v>
      </c>
      <c r="WQU1333" s="4" t="s">
        <v>2877</v>
      </c>
      <c r="WQV1333" s="4" t="s">
        <v>2877</v>
      </c>
      <c r="WQW1333" s="4" t="s">
        <v>2877</v>
      </c>
      <c r="WQX1333" s="4" t="s">
        <v>2877</v>
      </c>
      <c r="WQY1333" s="4" t="s">
        <v>2877</v>
      </c>
      <c r="WQZ1333" s="4" t="s">
        <v>2877</v>
      </c>
      <c r="WRA1333" s="4" t="s">
        <v>2877</v>
      </c>
      <c r="WRB1333" s="4" t="s">
        <v>2877</v>
      </c>
      <c r="WRC1333" s="4" t="s">
        <v>2877</v>
      </c>
      <c r="WRD1333" s="4" t="s">
        <v>2877</v>
      </c>
      <c r="WRE1333" s="4" t="s">
        <v>2877</v>
      </c>
      <c r="WRF1333" s="4" t="s">
        <v>2877</v>
      </c>
      <c r="WRG1333" s="4" t="s">
        <v>2877</v>
      </c>
      <c r="WRH1333" s="4" t="s">
        <v>2877</v>
      </c>
      <c r="WRI1333" s="4" t="s">
        <v>2877</v>
      </c>
      <c r="WRJ1333" s="4" t="s">
        <v>2877</v>
      </c>
      <c r="WRK1333" s="4" t="s">
        <v>2877</v>
      </c>
      <c r="WRL1333" s="4" t="s">
        <v>2877</v>
      </c>
      <c r="WRM1333" s="4" t="s">
        <v>2877</v>
      </c>
      <c r="WRN1333" s="4" t="s">
        <v>2877</v>
      </c>
      <c r="WRO1333" s="4" t="s">
        <v>2877</v>
      </c>
      <c r="WRP1333" s="4" t="s">
        <v>2877</v>
      </c>
      <c r="WRQ1333" s="4" t="s">
        <v>2877</v>
      </c>
      <c r="WRR1333" s="4" t="s">
        <v>2877</v>
      </c>
      <c r="WRS1333" s="4" t="s">
        <v>2877</v>
      </c>
      <c r="WRT1333" s="4" t="s">
        <v>2877</v>
      </c>
      <c r="WRU1333" s="4" t="s">
        <v>2877</v>
      </c>
      <c r="WRV1333" s="4" t="s">
        <v>2877</v>
      </c>
      <c r="WRW1333" s="4" t="s">
        <v>2877</v>
      </c>
      <c r="WRX1333" s="4" t="s">
        <v>2877</v>
      </c>
      <c r="WRY1333" s="4" t="s">
        <v>2877</v>
      </c>
      <c r="WRZ1333" s="4" t="s">
        <v>2877</v>
      </c>
      <c r="WSA1333" s="4" t="s">
        <v>2877</v>
      </c>
      <c r="WSB1333" s="4" t="s">
        <v>2877</v>
      </c>
      <c r="WSC1333" s="4" t="s">
        <v>2877</v>
      </c>
      <c r="WSD1333" s="4" t="s">
        <v>2877</v>
      </c>
      <c r="WSE1333" s="4" t="s">
        <v>2877</v>
      </c>
      <c r="WSF1333" s="4" t="s">
        <v>2877</v>
      </c>
      <c r="WSG1333" s="4" t="s">
        <v>2877</v>
      </c>
      <c r="WSH1333" s="4" t="s">
        <v>2877</v>
      </c>
      <c r="WSI1333" s="4" t="s">
        <v>2877</v>
      </c>
      <c r="WSJ1333" s="4" t="s">
        <v>2877</v>
      </c>
      <c r="WSK1333" s="4" t="s">
        <v>2877</v>
      </c>
      <c r="WSL1333" s="4" t="s">
        <v>2877</v>
      </c>
      <c r="WSM1333" s="4" t="s">
        <v>2877</v>
      </c>
      <c r="WSN1333" s="4" t="s">
        <v>2877</v>
      </c>
      <c r="WSO1333" s="4" t="s">
        <v>2877</v>
      </c>
      <c r="WSP1333" s="4" t="s">
        <v>2877</v>
      </c>
      <c r="WSQ1333" s="4" t="s">
        <v>2877</v>
      </c>
      <c r="WSR1333" s="4" t="s">
        <v>2877</v>
      </c>
      <c r="WSS1333" s="4" t="s">
        <v>2877</v>
      </c>
      <c r="WST1333" s="4" t="s">
        <v>2877</v>
      </c>
      <c r="WSU1333" s="4" t="s">
        <v>2877</v>
      </c>
      <c r="WSV1333" s="4" t="s">
        <v>2877</v>
      </c>
      <c r="WSW1333" s="4" t="s">
        <v>2877</v>
      </c>
      <c r="WSX1333" s="4" t="s">
        <v>2877</v>
      </c>
      <c r="WSY1333" s="4" t="s">
        <v>2877</v>
      </c>
      <c r="WSZ1333" s="4" t="s">
        <v>2877</v>
      </c>
      <c r="WTA1333" s="4" t="s">
        <v>2877</v>
      </c>
      <c r="WTB1333" s="4" t="s">
        <v>2877</v>
      </c>
      <c r="WTC1333" s="4" t="s">
        <v>2877</v>
      </c>
      <c r="WTD1333" s="4" t="s">
        <v>2877</v>
      </c>
      <c r="WTE1333" s="4" t="s">
        <v>2877</v>
      </c>
      <c r="WTF1333" s="4" t="s">
        <v>2877</v>
      </c>
      <c r="WTG1333" s="4" t="s">
        <v>2877</v>
      </c>
      <c r="WTH1333" s="4" t="s">
        <v>2877</v>
      </c>
      <c r="WTI1333" s="4" t="s">
        <v>2877</v>
      </c>
      <c r="WTJ1333" s="4" t="s">
        <v>2877</v>
      </c>
      <c r="WTK1333" s="4" t="s">
        <v>2877</v>
      </c>
      <c r="WTL1333" s="4" t="s">
        <v>2877</v>
      </c>
      <c r="WTM1333" s="4" t="s">
        <v>2877</v>
      </c>
      <c r="WTN1333" s="4" t="s">
        <v>2877</v>
      </c>
      <c r="WTO1333" s="4" t="s">
        <v>2877</v>
      </c>
      <c r="WTP1333" s="4" t="s">
        <v>2877</v>
      </c>
      <c r="WTQ1333" s="4" t="s">
        <v>2877</v>
      </c>
      <c r="WTR1333" s="4" t="s">
        <v>2877</v>
      </c>
      <c r="WTS1333" s="4" t="s">
        <v>2877</v>
      </c>
      <c r="WTT1333" s="4" t="s">
        <v>2877</v>
      </c>
      <c r="WTU1333" s="4" t="s">
        <v>2877</v>
      </c>
      <c r="WTV1333" s="4" t="s">
        <v>2877</v>
      </c>
      <c r="WTW1333" s="4" t="s">
        <v>2877</v>
      </c>
      <c r="WTX1333" s="4" t="s">
        <v>2877</v>
      </c>
      <c r="WTY1333" s="4" t="s">
        <v>2877</v>
      </c>
      <c r="WTZ1333" s="4" t="s">
        <v>2877</v>
      </c>
      <c r="WUA1333" s="4" t="s">
        <v>2877</v>
      </c>
      <c r="WUB1333" s="4" t="s">
        <v>2877</v>
      </c>
      <c r="WUC1333" s="4" t="s">
        <v>2877</v>
      </c>
      <c r="WUD1333" s="4" t="s">
        <v>2877</v>
      </c>
      <c r="WUE1333" s="4" t="s">
        <v>2877</v>
      </c>
      <c r="WUF1333" s="4" t="s">
        <v>2877</v>
      </c>
      <c r="WUG1333" s="4" t="s">
        <v>2877</v>
      </c>
      <c r="WUH1333" s="4" t="s">
        <v>2877</v>
      </c>
      <c r="WUI1333" s="4" t="s">
        <v>2877</v>
      </c>
      <c r="WUJ1333" s="4" t="s">
        <v>2877</v>
      </c>
      <c r="WUK1333" s="4" t="s">
        <v>2877</v>
      </c>
      <c r="WUL1333" s="4" t="s">
        <v>2877</v>
      </c>
      <c r="WUM1333" s="4" t="s">
        <v>2877</v>
      </c>
      <c r="WUN1333" s="4" t="s">
        <v>2877</v>
      </c>
      <c r="WUO1333" s="4" t="s">
        <v>2877</v>
      </c>
      <c r="WUP1333" s="4" t="s">
        <v>2877</v>
      </c>
      <c r="WUQ1333" s="4" t="s">
        <v>2877</v>
      </c>
      <c r="WUR1333" s="4" t="s">
        <v>2877</v>
      </c>
      <c r="WUS1333" s="4" t="s">
        <v>2877</v>
      </c>
      <c r="WUT1333" s="4" t="s">
        <v>2877</v>
      </c>
      <c r="WUU1333" s="4" t="s">
        <v>2877</v>
      </c>
      <c r="WUV1333" s="4" t="s">
        <v>2877</v>
      </c>
      <c r="WUW1333" s="4" t="s">
        <v>2877</v>
      </c>
      <c r="WUX1333" s="4" t="s">
        <v>2877</v>
      </c>
      <c r="WUY1333" s="4" t="s">
        <v>2877</v>
      </c>
      <c r="WUZ1333" s="4" t="s">
        <v>2877</v>
      </c>
      <c r="WVA1333" s="4" t="s">
        <v>2877</v>
      </c>
      <c r="WVB1333" s="4" t="s">
        <v>2877</v>
      </c>
      <c r="WVC1333" s="4" t="s">
        <v>2877</v>
      </c>
      <c r="WVD1333" s="4" t="s">
        <v>2877</v>
      </c>
      <c r="WVE1333" s="4" t="s">
        <v>2877</v>
      </c>
      <c r="WVF1333" s="4" t="s">
        <v>2877</v>
      </c>
      <c r="WVG1333" s="4" t="s">
        <v>2877</v>
      </c>
      <c r="WVH1333" s="4" t="s">
        <v>2877</v>
      </c>
      <c r="WVI1333" s="4" t="s">
        <v>2877</v>
      </c>
      <c r="WVJ1333" s="4" t="s">
        <v>2877</v>
      </c>
      <c r="WVK1333" s="4" t="s">
        <v>2877</v>
      </c>
      <c r="WVL1333" s="4" t="s">
        <v>2877</v>
      </c>
      <c r="WVM1333" s="4" t="s">
        <v>2877</v>
      </c>
      <c r="WVN1333" s="4" t="s">
        <v>2877</v>
      </c>
      <c r="WVO1333" s="4" t="s">
        <v>2877</v>
      </c>
      <c r="WVP1333" s="4" t="s">
        <v>2877</v>
      </c>
      <c r="WVQ1333" s="4" t="s">
        <v>2877</v>
      </c>
      <c r="WVR1333" s="4" t="s">
        <v>2877</v>
      </c>
      <c r="WVS1333" s="4" t="s">
        <v>2877</v>
      </c>
      <c r="WVT1333" s="4" t="s">
        <v>2877</v>
      </c>
      <c r="WVU1333" s="4" t="s">
        <v>2877</v>
      </c>
      <c r="WVV1333" s="4" t="s">
        <v>2877</v>
      </c>
      <c r="WVW1333" s="4" t="s">
        <v>2877</v>
      </c>
      <c r="WVX1333" s="4" t="s">
        <v>2877</v>
      </c>
      <c r="WVY1333" s="4" t="s">
        <v>2877</v>
      </c>
      <c r="WVZ1333" s="4" t="s">
        <v>2877</v>
      </c>
      <c r="WWA1333" s="4" t="s">
        <v>2877</v>
      </c>
      <c r="WWB1333" s="4" t="s">
        <v>2877</v>
      </c>
      <c r="WWC1333" s="4" t="s">
        <v>2877</v>
      </c>
      <c r="WWD1333" s="4" t="s">
        <v>2877</v>
      </c>
      <c r="WWE1333" s="4" t="s">
        <v>2877</v>
      </c>
      <c r="WWF1333" s="4" t="s">
        <v>2877</v>
      </c>
      <c r="WWG1333" s="4" t="s">
        <v>2877</v>
      </c>
      <c r="WWH1333" s="4" t="s">
        <v>2877</v>
      </c>
      <c r="WWI1333" s="4" t="s">
        <v>2877</v>
      </c>
      <c r="WWJ1333" s="4" t="s">
        <v>2877</v>
      </c>
      <c r="WWK1333" s="4" t="s">
        <v>2877</v>
      </c>
      <c r="WWL1333" s="4" t="s">
        <v>2877</v>
      </c>
      <c r="WWM1333" s="4" t="s">
        <v>2877</v>
      </c>
      <c r="WWN1333" s="4" t="s">
        <v>2877</v>
      </c>
      <c r="WWO1333" s="4" t="s">
        <v>2877</v>
      </c>
      <c r="WWP1333" s="4" t="s">
        <v>2877</v>
      </c>
      <c r="WWQ1333" s="4" t="s">
        <v>2877</v>
      </c>
      <c r="WWR1333" s="4" t="s">
        <v>2877</v>
      </c>
      <c r="WWS1333" s="4" t="s">
        <v>2877</v>
      </c>
      <c r="WWT1333" s="4" t="s">
        <v>2877</v>
      </c>
      <c r="WWU1333" s="4" t="s">
        <v>2877</v>
      </c>
      <c r="WWV1333" s="4" t="s">
        <v>2877</v>
      </c>
      <c r="WWW1333" s="4" t="s">
        <v>2877</v>
      </c>
      <c r="WWX1333" s="4" t="s">
        <v>2877</v>
      </c>
      <c r="WWY1333" s="4" t="s">
        <v>2877</v>
      </c>
      <c r="WWZ1333" s="4" t="s">
        <v>2877</v>
      </c>
      <c r="WXA1333" s="4" t="s">
        <v>2877</v>
      </c>
      <c r="WXB1333" s="4" t="s">
        <v>2877</v>
      </c>
      <c r="WXC1333" s="4" t="s">
        <v>2877</v>
      </c>
      <c r="WXD1333" s="4" t="s">
        <v>2877</v>
      </c>
      <c r="WXE1333" s="4" t="s">
        <v>2877</v>
      </c>
      <c r="WXF1333" s="4" t="s">
        <v>2877</v>
      </c>
      <c r="WXG1333" s="4" t="s">
        <v>2877</v>
      </c>
      <c r="WXH1333" s="4" t="s">
        <v>2877</v>
      </c>
      <c r="WXI1333" s="4" t="s">
        <v>2877</v>
      </c>
      <c r="WXJ1333" s="4" t="s">
        <v>2877</v>
      </c>
      <c r="WXK1333" s="4" t="s">
        <v>2877</v>
      </c>
      <c r="WXL1333" s="4" t="s">
        <v>2877</v>
      </c>
      <c r="WXM1333" s="4" t="s">
        <v>2877</v>
      </c>
      <c r="WXN1333" s="4" t="s">
        <v>2877</v>
      </c>
      <c r="WXO1333" s="4" t="s">
        <v>2877</v>
      </c>
      <c r="WXP1333" s="4" t="s">
        <v>2877</v>
      </c>
      <c r="WXQ1333" s="4" t="s">
        <v>2877</v>
      </c>
      <c r="WXR1333" s="4" t="s">
        <v>2877</v>
      </c>
      <c r="WXS1333" s="4" t="s">
        <v>2877</v>
      </c>
      <c r="WXT1333" s="4" t="s">
        <v>2877</v>
      </c>
      <c r="WXU1333" s="4" t="s">
        <v>2877</v>
      </c>
      <c r="WXV1333" s="4" t="s">
        <v>2877</v>
      </c>
      <c r="WXW1333" s="4" t="s">
        <v>2877</v>
      </c>
      <c r="WXX1333" s="4" t="s">
        <v>2877</v>
      </c>
      <c r="WXY1333" s="4" t="s">
        <v>2877</v>
      </c>
      <c r="WXZ1333" s="4" t="s">
        <v>2877</v>
      </c>
      <c r="WYA1333" s="4" t="s">
        <v>2877</v>
      </c>
      <c r="WYB1333" s="4" t="s">
        <v>2877</v>
      </c>
      <c r="WYC1333" s="4" t="s">
        <v>2877</v>
      </c>
      <c r="WYD1333" s="4" t="s">
        <v>2877</v>
      </c>
      <c r="WYE1333" s="4" t="s">
        <v>2877</v>
      </c>
      <c r="WYF1333" s="4" t="s">
        <v>2877</v>
      </c>
      <c r="WYG1333" s="4" t="s">
        <v>2877</v>
      </c>
      <c r="WYH1333" s="4" t="s">
        <v>2877</v>
      </c>
      <c r="WYI1333" s="4" t="s">
        <v>2877</v>
      </c>
      <c r="WYJ1333" s="4" t="s">
        <v>2877</v>
      </c>
      <c r="WYK1333" s="4" t="s">
        <v>2877</v>
      </c>
      <c r="WYL1333" s="4" t="s">
        <v>2877</v>
      </c>
      <c r="WYM1333" s="4" t="s">
        <v>2877</v>
      </c>
      <c r="WYN1333" s="4" t="s">
        <v>2877</v>
      </c>
      <c r="WYO1333" s="4" t="s">
        <v>2877</v>
      </c>
      <c r="WYP1333" s="4" t="s">
        <v>2877</v>
      </c>
      <c r="WYQ1333" s="4" t="s">
        <v>2877</v>
      </c>
      <c r="WYR1333" s="4" t="s">
        <v>2877</v>
      </c>
      <c r="WYS1333" s="4" t="s">
        <v>2877</v>
      </c>
      <c r="WYT1333" s="4" t="s">
        <v>2877</v>
      </c>
      <c r="WYU1333" s="4" t="s">
        <v>2877</v>
      </c>
      <c r="WYV1333" s="4" t="s">
        <v>2877</v>
      </c>
      <c r="WYW1333" s="4" t="s">
        <v>2877</v>
      </c>
      <c r="WYX1333" s="4" t="s">
        <v>2877</v>
      </c>
      <c r="WYY1333" s="4" t="s">
        <v>2877</v>
      </c>
      <c r="WYZ1333" s="4" t="s">
        <v>2877</v>
      </c>
      <c r="WZA1333" s="4" t="s">
        <v>2877</v>
      </c>
      <c r="WZB1333" s="4" t="s">
        <v>2877</v>
      </c>
      <c r="WZC1333" s="4" t="s">
        <v>2877</v>
      </c>
      <c r="WZD1333" s="4" t="s">
        <v>2877</v>
      </c>
      <c r="WZE1333" s="4" t="s">
        <v>2877</v>
      </c>
      <c r="WZF1333" s="4" t="s">
        <v>2877</v>
      </c>
      <c r="WZG1333" s="4" t="s">
        <v>2877</v>
      </c>
      <c r="WZH1333" s="4" t="s">
        <v>2877</v>
      </c>
      <c r="WZI1333" s="4" t="s">
        <v>2877</v>
      </c>
      <c r="WZJ1333" s="4" t="s">
        <v>2877</v>
      </c>
      <c r="WZK1333" s="4" t="s">
        <v>2877</v>
      </c>
      <c r="WZL1333" s="4" t="s">
        <v>2877</v>
      </c>
      <c r="WZM1333" s="4" t="s">
        <v>2877</v>
      </c>
      <c r="WZN1333" s="4" t="s">
        <v>2877</v>
      </c>
      <c r="WZO1333" s="4" t="s">
        <v>2877</v>
      </c>
      <c r="WZP1333" s="4" t="s">
        <v>2877</v>
      </c>
      <c r="WZQ1333" s="4" t="s">
        <v>2877</v>
      </c>
      <c r="WZR1333" s="4" t="s">
        <v>2877</v>
      </c>
      <c r="WZS1333" s="4" t="s">
        <v>2877</v>
      </c>
      <c r="WZT1333" s="4" t="s">
        <v>2877</v>
      </c>
      <c r="WZU1333" s="4" t="s">
        <v>2877</v>
      </c>
      <c r="WZV1333" s="4" t="s">
        <v>2877</v>
      </c>
      <c r="WZW1333" s="4" t="s">
        <v>2877</v>
      </c>
      <c r="WZX1333" s="4" t="s">
        <v>2877</v>
      </c>
      <c r="WZY1333" s="4" t="s">
        <v>2877</v>
      </c>
      <c r="WZZ1333" s="4" t="s">
        <v>2877</v>
      </c>
      <c r="XAA1333" s="4" t="s">
        <v>2877</v>
      </c>
      <c r="XAB1333" s="4" t="s">
        <v>2877</v>
      </c>
      <c r="XAC1333" s="4" t="s">
        <v>2877</v>
      </c>
      <c r="XAD1333" s="4" t="s">
        <v>2877</v>
      </c>
      <c r="XAE1333" s="4" t="s">
        <v>2877</v>
      </c>
      <c r="XAF1333" s="4" t="s">
        <v>2877</v>
      </c>
      <c r="XAG1333" s="4" t="s">
        <v>2877</v>
      </c>
      <c r="XAH1333" s="4" t="s">
        <v>2877</v>
      </c>
      <c r="XAI1333" s="4" t="s">
        <v>2877</v>
      </c>
      <c r="XAJ1333" s="4" t="s">
        <v>2877</v>
      </c>
      <c r="XAK1333" s="4" t="s">
        <v>2877</v>
      </c>
      <c r="XAL1333" s="4" t="s">
        <v>2877</v>
      </c>
      <c r="XAM1333" s="4" t="s">
        <v>2877</v>
      </c>
      <c r="XAN1333" s="4" t="s">
        <v>2877</v>
      </c>
      <c r="XAO1333" s="4" t="s">
        <v>2877</v>
      </c>
      <c r="XAP1333" s="4" t="s">
        <v>2877</v>
      </c>
      <c r="XAQ1333" s="4" t="s">
        <v>2877</v>
      </c>
      <c r="XAR1333" s="4" t="s">
        <v>2877</v>
      </c>
      <c r="XAS1333" s="4" t="s">
        <v>2877</v>
      </c>
      <c r="XAT1333" s="4" t="s">
        <v>2877</v>
      </c>
      <c r="XAU1333" s="4" t="s">
        <v>2877</v>
      </c>
      <c r="XAV1333" s="4" t="s">
        <v>2877</v>
      </c>
      <c r="XAW1333" s="4" t="s">
        <v>2877</v>
      </c>
      <c r="XAX1333" s="4" t="s">
        <v>2877</v>
      </c>
      <c r="XAY1333" s="4" t="s">
        <v>2877</v>
      </c>
      <c r="XAZ1333" s="4" t="s">
        <v>2877</v>
      </c>
      <c r="XBA1333" s="4" t="s">
        <v>2877</v>
      </c>
      <c r="XBB1333" s="4" t="s">
        <v>2877</v>
      </c>
      <c r="XBC1333" s="4" t="s">
        <v>2877</v>
      </c>
      <c r="XBD1333" s="4" t="s">
        <v>2877</v>
      </c>
      <c r="XBE1333" s="4" t="s">
        <v>2877</v>
      </c>
      <c r="XBF1333" s="4" t="s">
        <v>2877</v>
      </c>
      <c r="XBG1333" s="4" t="s">
        <v>2877</v>
      </c>
      <c r="XBH1333" s="4" t="s">
        <v>2877</v>
      </c>
      <c r="XBI1333" s="4" t="s">
        <v>2877</v>
      </c>
      <c r="XBJ1333" s="4" t="s">
        <v>2877</v>
      </c>
      <c r="XBK1333" s="4" t="s">
        <v>2877</v>
      </c>
      <c r="XBL1333" s="4" t="s">
        <v>2877</v>
      </c>
      <c r="XBM1333" s="4" t="s">
        <v>2877</v>
      </c>
      <c r="XBN1333" s="4" t="s">
        <v>2877</v>
      </c>
      <c r="XBO1333" s="4" t="s">
        <v>2877</v>
      </c>
      <c r="XBP1333" s="4" t="s">
        <v>2877</v>
      </c>
      <c r="XBQ1333" s="4" t="s">
        <v>2877</v>
      </c>
      <c r="XBR1333" s="4" t="s">
        <v>2877</v>
      </c>
      <c r="XBS1333" s="4" t="s">
        <v>2877</v>
      </c>
      <c r="XBT1333" s="4" t="s">
        <v>2877</v>
      </c>
      <c r="XBU1333" s="4" t="s">
        <v>2877</v>
      </c>
      <c r="XBV1333" s="4" t="s">
        <v>2877</v>
      </c>
      <c r="XBW1333" s="4" t="s">
        <v>2877</v>
      </c>
      <c r="XBX1333" s="4" t="s">
        <v>2877</v>
      </c>
      <c r="XBY1333" s="4" t="s">
        <v>2877</v>
      </c>
      <c r="XBZ1333" s="4" t="s">
        <v>2877</v>
      </c>
      <c r="XCA1333" s="4" t="s">
        <v>2877</v>
      </c>
      <c r="XCB1333" s="4" t="s">
        <v>2877</v>
      </c>
      <c r="XCC1333" s="4" t="s">
        <v>2877</v>
      </c>
      <c r="XCD1333" s="4" t="s">
        <v>2877</v>
      </c>
      <c r="XCE1333" s="4" t="s">
        <v>2877</v>
      </c>
      <c r="XCF1333" s="4" t="s">
        <v>2877</v>
      </c>
      <c r="XCG1333" s="4" t="s">
        <v>2877</v>
      </c>
      <c r="XCH1333" s="4" t="s">
        <v>2877</v>
      </c>
      <c r="XCI1333" s="4" t="s">
        <v>2877</v>
      </c>
      <c r="XCJ1333" s="4" t="s">
        <v>2877</v>
      </c>
      <c r="XCK1333" s="4" t="s">
        <v>2877</v>
      </c>
      <c r="XCL1333" s="4" t="s">
        <v>2877</v>
      </c>
      <c r="XCM1333" s="4" t="s">
        <v>2877</v>
      </c>
      <c r="XCN1333" s="4" t="s">
        <v>2877</v>
      </c>
      <c r="XCO1333" s="4" t="s">
        <v>2877</v>
      </c>
      <c r="XCP1333" s="4" t="s">
        <v>2877</v>
      </c>
      <c r="XCQ1333" s="4" t="s">
        <v>2877</v>
      </c>
      <c r="XCR1333" s="4" t="s">
        <v>2877</v>
      </c>
      <c r="XCS1333" s="4" t="s">
        <v>2877</v>
      </c>
      <c r="XCT1333" s="4" t="s">
        <v>2877</v>
      </c>
      <c r="XCU1333" s="4" t="s">
        <v>2877</v>
      </c>
      <c r="XCV1333" s="4" t="s">
        <v>2877</v>
      </c>
      <c r="XCW1333" s="4" t="s">
        <v>2877</v>
      </c>
      <c r="XCX1333" s="4" t="s">
        <v>2877</v>
      </c>
      <c r="XCY1333" s="4" t="s">
        <v>2877</v>
      </c>
      <c r="XCZ1333" s="4" t="s">
        <v>2877</v>
      </c>
      <c r="XDA1333" s="4" t="s">
        <v>2877</v>
      </c>
      <c r="XDB1333" s="4" t="s">
        <v>2877</v>
      </c>
      <c r="XDC1333" s="4" t="s">
        <v>2877</v>
      </c>
      <c r="XDD1333" s="4" t="s">
        <v>2877</v>
      </c>
      <c r="XDE1333" s="4" t="s">
        <v>2877</v>
      </c>
      <c r="XDF1333" s="4" t="s">
        <v>2877</v>
      </c>
      <c r="XDG1333" s="4" t="s">
        <v>2877</v>
      </c>
      <c r="XDH1333" s="4" t="s">
        <v>2877</v>
      </c>
      <c r="XDI1333" s="4" t="s">
        <v>2877</v>
      </c>
      <c r="XDJ1333" s="4" t="s">
        <v>2877</v>
      </c>
      <c r="XDK1333" s="4" t="s">
        <v>2877</v>
      </c>
      <c r="XDL1333" s="4" t="s">
        <v>2877</v>
      </c>
      <c r="XDM1333" s="4" t="s">
        <v>2877</v>
      </c>
      <c r="XDN1333" s="4" t="s">
        <v>2877</v>
      </c>
      <c r="XDO1333" s="4" t="s">
        <v>2877</v>
      </c>
      <c r="XDP1333" s="4" t="s">
        <v>2877</v>
      </c>
      <c r="XDQ1333" s="4" t="s">
        <v>2877</v>
      </c>
      <c r="XDR1333" s="4" t="s">
        <v>2877</v>
      </c>
      <c r="XDS1333" s="4" t="s">
        <v>2877</v>
      </c>
      <c r="XDT1333" s="4" t="s">
        <v>2877</v>
      </c>
      <c r="XDU1333" s="4" t="s">
        <v>2877</v>
      </c>
      <c r="XDV1333" s="4" t="s">
        <v>2877</v>
      </c>
      <c r="XDW1333" s="4" t="s">
        <v>2877</v>
      </c>
      <c r="XDX1333" s="4" t="s">
        <v>2877</v>
      </c>
      <c r="XDY1333" s="4" t="s">
        <v>2877</v>
      </c>
      <c r="XDZ1333" s="4" t="s">
        <v>2877</v>
      </c>
      <c r="XEA1333" s="4" t="s">
        <v>2877</v>
      </c>
      <c r="XEB1333" s="4" t="s">
        <v>2877</v>
      </c>
      <c r="XEC1333" s="4" t="s">
        <v>2877</v>
      </c>
      <c r="XED1333" s="4" t="s">
        <v>2877</v>
      </c>
      <c r="XEE1333" s="4" t="s">
        <v>2877</v>
      </c>
      <c r="XEF1333" s="4" t="s">
        <v>2877</v>
      </c>
      <c r="XEG1333" s="4" t="s">
        <v>2877</v>
      </c>
      <c r="XEH1333" s="4" t="s">
        <v>2877</v>
      </c>
      <c r="XEI1333" s="4" t="s">
        <v>2877</v>
      </c>
      <c r="XEJ1333" s="4" t="s">
        <v>2877</v>
      </c>
      <c r="XEK1333" s="4" t="s">
        <v>2877</v>
      </c>
      <c r="XEL1333" s="4" t="s">
        <v>2877</v>
      </c>
      <c r="XEM1333" s="4" t="s">
        <v>2877</v>
      </c>
      <c r="XEN1333" s="4" t="s">
        <v>2877</v>
      </c>
      <c r="XEO1333" s="4" t="s">
        <v>2877</v>
      </c>
      <c r="XEP1333" s="4" t="s">
        <v>2877</v>
      </c>
      <c r="XEQ1333" s="4" t="s">
        <v>2877</v>
      </c>
      <c r="XER1333" s="4" t="s">
        <v>2877</v>
      </c>
      <c r="XES1333" s="4" t="s">
        <v>2877</v>
      </c>
      <c r="XET1333" s="4" t="s">
        <v>2877</v>
      </c>
      <c r="XEU1333" s="4" t="s">
        <v>2877</v>
      </c>
      <c r="XEV1333" s="4" t="s">
        <v>2877</v>
      </c>
      <c r="XEW1333" s="4" t="s">
        <v>2877</v>
      </c>
      <c r="XEX1333" s="4" t="s">
        <v>2877</v>
      </c>
      <c r="XEY1333" s="4" t="s">
        <v>2877</v>
      </c>
      <c r="XEZ1333" s="4" t="s">
        <v>2877</v>
      </c>
      <c r="XFA1333" s="4" t="s">
        <v>2877</v>
      </c>
      <c r="XFB1333" s="4" t="s">
        <v>2877</v>
      </c>
    </row>
    <row r="1334" spans="1:5 1847:16382" x14ac:dyDescent="0.25">
      <c r="A1334" s="5" t="s">
        <v>1477</v>
      </c>
      <c r="B1334" s="6" t="s">
        <v>1476</v>
      </c>
      <c r="C1334" s="7" t="s">
        <v>24</v>
      </c>
      <c r="D1334" s="7" t="s">
        <v>25</v>
      </c>
      <c r="E1334" s="8" t="s">
        <v>4466</v>
      </c>
      <c r="BSA1334" s="4" t="s">
        <v>2878</v>
      </c>
      <c r="BSB1334" s="4" t="s">
        <v>2878</v>
      </c>
      <c r="BSC1334" s="4" t="s">
        <v>2878</v>
      </c>
      <c r="BSD1334" s="4" t="s">
        <v>2878</v>
      </c>
      <c r="BSE1334" s="4" t="s">
        <v>2878</v>
      </c>
      <c r="BSF1334" s="4" t="s">
        <v>2878</v>
      </c>
      <c r="BSG1334" s="4" t="s">
        <v>2878</v>
      </c>
      <c r="BSH1334" s="4" t="s">
        <v>2878</v>
      </c>
      <c r="BSI1334" s="4" t="s">
        <v>2878</v>
      </c>
      <c r="BSJ1334" s="4" t="s">
        <v>2878</v>
      </c>
      <c r="BSK1334" s="4" t="s">
        <v>2878</v>
      </c>
      <c r="BSL1334" s="4" t="s">
        <v>2878</v>
      </c>
      <c r="BSM1334" s="4" t="s">
        <v>2878</v>
      </c>
      <c r="BSN1334" s="4" t="s">
        <v>2878</v>
      </c>
      <c r="BSO1334" s="4" t="s">
        <v>2878</v>
      </c>
      <c r="BSP1334" s="4" t="s">
        <v>2878</v>
      </c>
      <c r="BSQ1334" s="4" t="s">
        <v>2878</v>
      </c>
      <c r="BSR1334" s="4" t="s">
        <v>2878</v>
      </c>
      <c r="BSS1334" s="4" t="s">
        <v>2878</v>
      </c>
      <c r="BST1334" s="4" t="s">
        <v>2878</v>
      </c>
      <c r="BSU1334" s="4" t="s">
        <v>2878</v>
      </c>
      <c r="BSV1334" s="4" t="s">
        <v>2878</v>
      </c>
      <c r="BSW1334" s="4" t="s">
        <v>2878</v>
      </c>
      <c r="BSX1334" s="4" t="s">
        <v>2878</v>
      </c>
      <c r="BSY1334" s="4" t="s">
        <v>2878</v>
      </c>
      <c r="BSZ1334" s="4" t="s">
        <v>2878</v>
      </c>
      <c r="BTA1334" s="4" t="s">
        <v>2878</v>
      </c>
      <c r="BTB1334" s="4" t="s">
        <v>2878</v>
      </c>
      <c r="BTC1334" s="4" t="s">
        <v>2878</v>
      </c>
      <c r="BTD1334" s="4" t="s">
        <v>2878</v>
      </c>
      <c r="BTE1334" s="4" t="s">
        <v>2878</v>
      </c>
      <c r="BTF1334" s="4" t="s">
        <v>2878</v>
      </c>
      <c r="BTG1334" s="4" t="s">
        <v>2878</v>
      </c>
      <c r="BTH1334" s="4" t="s">
        <v>2878</v>
      </c>
      <c r="BTI1334" s="4" t="s">
        <v>2878</v>
      </c>
      <c r="BTJ1334" s="4" t="s">
        <v>2878</v>
      </c>
      <c r="BTK1334" s="4" t="s">
        <v>2878</v>
      </c>
      <c r="BTL1334" s="4" t="s">
        <v>2878</v>
      </c>
      <c r="BTM1334" s="4" t="s">
        <v>2878</v>
      </c>
      <c r="BTN1334" s="4" t="s">
        <v>2878</v>
      </c>
      <c r="BTO1334" s="4" t="s">
        <v>2878</v>
      </c>
      <c r="BTP1334" s="4" t="s">
        <v>2878</v>
      </c>
      <c r="BTQ1334" s="4" t="s">
        <v>2878</v>
      </c>
      <c r="BTR1334" s="4" t="s">
        <v>2878</v>
      </c>
      <c r="BTS1334" s="4" t="s">
        <v>2878</v>
      </c>
      <c r="BTT1334" s="4" t="s">
        <v>2878</v>
      </c>
      <c r="BTU1334" s="4" t="s">
        <v>2878</v>
      </c>
      <c r="BTV1334" s="4" t="s">
        <v>2878</v>
      </c>
      <c r="BTW1334" s="4" t="s">
        <v>2878</v>
      </c>
      <c r="BTX1334" s="4" t="s">
        <v>2878</v>
      </c>
      <c r="BTY1334" s="4" t="s">
        <v>2878</v>
      </c>
      <c r="BTZ1334" s="4" t="s">
        <v>2878</v>
      </c>
      <c r="BUA1334" s="4" t="s">
        <v>2878</v>
      </c>
      <c r="BUB1334" s="4" t="s">
        <v>2878</v>
      </c>
      <c r="BUC1334" s="4" t="s">
        <v>2878</v>
      </c>
      <c r="BUD1334" s="4" t="s">
        <v>2878</v>
      </c>
      <c r="BUE1334" s="4" t="s">
        <v>2878</v>
      </c>
      <c r="BUF1334" s="4" t="s">
        <v>2878</v>
      </c>
      <c r="BUG1334" s="4" t="s">
        <v>2878</v>
      </c>
      <c r="BUH1334" s="4" t="s">
        <v>2878</v>
      </c>
      <c r="BUI1334" s="4" t="s">
        <v>2878</v>
      </c>
      <c r="BUJ1334" s="4" t="s">
        <v>2878</v>
      </c>
      <c r="BUK1334" s="4" t="s">
        <v>2878</v>
      </c>
      <c r="BUL1334" s="4" t="s">
        <v>2878</v>
      </c>
      <c r="BUM1334" s="4" t="s">
        <v>2878</v>
      </c>
      <c r="BUN1334" s="4" t="s">
        <v>2878</v>
      </c>
      <c r="BUO1334" s="4" t="s">
        <v>2878</v>
      </c>
      <c r="BUP1334" s="4" t="s">
        <v>2878</v>
      </c>
      <c r="BUQ1334" s="4" t="s">
        <v>2878</v>
      </c>
      <c r="BUR1334" s="4" t="s">
        <v>2878</v>
      </c>
      <c r="BUS1334" s="4" t="s">
        <v>2878</v>
      </c>
      <c r="BUT1334" s="4" t="s">
        <v>2878</v>
      </c>
      <c r="BUU1334" s="4" t="s">
        <v>2878</v>
      </c>
      <c r="BUV1334" s="4" t="s">
        <v>2878</v>
      </c>
      <c r="BUW1334" s="4" t="s">
        <v>2878</v>
      </c>
      <c r="BUX1334" s="4" t="s">
        <v>2878</v>
      </c>
      <c r="BUY1334" s="4" t="s">
        <v>2878</v>
      </c>
      <c r="BUZ1334" s="4" t="s">
        <v>2878</v>
      </c>
      <c r="BVA1334" s="4" t="s">
        <v>2878</v>
      </c>
      <c r="BVB1334" s="4" t="s">
        <v>2878</v>
      </c>
      <c r="BVC1334" s="4" t="s">
        <v>2878</v>
      </c>
      <c r="BVD1334" s="4" t="s">
        <v>2878</v>
      </c>
      <c r="BVE1334" s="4" t="s">
        <v>2878</v>
      </c>
      <c r="BVF1334" s="4" t="s">
        <v>2878</v>
      </c>
      <c r="BVG1334" s="4" t="s">
        <v>2878</v>
      </c>
      <c r="BVH1334" s="4" t="s">
        <v>2878</v>
      </c>
      <c r="BVI1334" s="4" t="s">
        <v>2878</v>
      </c>
      <c r="BVJ1334" s="4" t="s">
        <v>2878</v>
      </c>
      <c r="BVK1334" s="4" t="s">
        <v>2878</v>
      </c>
      <c r="BVL1334" s="4" t="s">
        <v>2878</v>
      </c>
      <c r="BVM1334" s="4" t="s">
        <v>2878</v>
      </c>
      <c r="BVN1334" s="4" t="s">
        <v>2878</v>
      </c>
      <c r="BVO1334" s="4" t="s">
        <v>2878</v>
      </c>
      <c r="BVP1334" s="4" t="s">
        <v>2878</v>
      </c>
      <c r="BVQ1334" s="4" t="s">
        <v>2878</v>
      </c>
      <c r="BVR1334" s="4" t="s">
        <v>2878</v>
      </c>
      <c r="BVS1334" s="4" t="s">
        <v>2878</v>
      </c>
      <c r="BVT1334" s="4" t="s">
        <v>2878</v>
      </c>
      <c r="BVU1334" s="4" t="s">
        <v>2878</v>
      </c>
      <c r="BVV1334" s="4" t="s">
        <v>2878</v>
      </c>
      <c r="BVW1334" s="4" t="s">
        <v>2878</v>
      </c>
      <c r="BVX1334" s="4" t="s">
        <v>2878</v>
      </c>
      <c r="BVY1334" s="4" t="s">
        <v>2878</v>
      </c>
      <c r="BVZ1334" s="4" t="s">
        <v>2878</v>
      </c>
      <c r="BWA1334" s="4" t="s">
        <v>2878</v>
      </c>
      <c r="BWB1334" s="4" t="s">
        <v>2878</v>
      </c>
      <c r="BWC1334" s="4" t="s">
        <v>2878</v>
      </c>
      <c r="BWD1334" s="4" t="s">
        <v>2878</v>
      </c>
      <c r="BWE1334" s="4" t="s">
        <v>2878</v>
      </c>
      <c r="BWF1334" s="4" t="s">
        <v>2878</v>
      </c>
      <c r="BWG1334" s="4" t="s">
        <v>2878</v>
      </c>
      <c r="BWH1334" s="4" t="s">
        <v>2878</v>
      </c>
      <c r="BWI1334" s="4" t="s">
        <v>2878</v>
      </c>
      <c r="BWJ1334" s="4" t="s">
        <v>2878</v>
      </c>
      <c r="BWK1334" s="4" t="s">
        <v>2878</v>
      </c>
      <c r="BWL1334" s="4" t="s">
        <v>2878</v>
      </c>
      <c r="BWM1334" s="4" t="s">
        <v>2878</v>
      </c>
      <c r="BWN1334" s="4" t="s">
        <v>2878</v>
      </c>
      <c r="BWO1334" s="4" t="s">
        <v>2878</v>
      </c>
      <c r="BWP1334" s="4" t="s">
        <v>2878</v>
      </c>
      <c r="BWQ1334" s="4" t="s">
        <v>2878</v>
      </c>
      <c r="BWR1334" s="4" t="s">
        <v>2878</v>
      </c>
      <c r="BWS1334" s="4" t="s">
        <v>2878</v>
      </c>
      <c r="BWT1334" s="4" t="s">
        <v>2878</v>
      </c>
      <c r="BWU1334" s="4" t="s">
        <v>2878</v>
      </c>
      <c r="BWV1334" s="4" t="s">
        <v>2878</v>
      </c>
      <c r="BWW1334" s="4" t="s">
        <v>2878</v>
      </c>
      <c r="BWX1334" s="4" t="s">
        <v>2878</v>
      </c>
      <c r="BWY1334" s="4" t="s">
        <v>2878</v>
      </c>
      <c r="BWZ1334" s="4" t="s">
        <v>2878</v>
      </c>
      <c r="BXA1334" s="4" t="s">
        <v>2878</v>
      </c>
      <c r="BXB1334" s="4" t="s">
        <v>2878</v>
      </c>
      <c r="BXC1334" s="4" t="s">
        <v>2878</v>
      </c>
      <c r="BXD1334" s="4" t="s">
        <v>2878</v>
      </c>
      <c r="BXE1334" s="4" t="s">
        <v>2878</v>
      </c>
      <c r="BXF1334" s="4" t="s">
        <v>2878</v>
      </c>
      <c r="BXG1334" s="4" t="s">
        <v>2878</v>
      </c>
      <c r="BXH1334" s="4" t="s">
        <v>2878</v>
      </c>
      <c r="BXI1334" s="4" t="s">
        <v>2878</v>
      </c>
      <c r="BXJ1334" s="4" t="s">
        <v>2878</v>
      </c>
      <c r="BXK1334" s="4" t="s">
        <v>2878</v>
      </c>
      <c r="BXL1334" s="4" t="s">
        <v>2878</v>
      </c>
      <c r="BXM1334" s="4" t="s">
        <v>2878</v>
      </c>
      <c r="BXN1334" s="4" t="s">
        <v>2878</v>
      </c>
      <c r="BXO1334" s="4" t="s">
        <v>2878</v>
      </c>
      <c r="BXP1334" s="4" t="s">
        <v>2878</v>
      </c>
      <c r="BXQ1334" s="4" t="s">
        <v>2878</v>
      </c>
      <c r="BXR1334" s="4" t="s">
        <v>2878</v>
      </c>
      <c r="BXS1334" s="4" t="s">
        <v>2878</v>
      </c>
      <c r="BXT1334" s="4" t="s">
        <v>2878</v>
      </c>
      <c r="BXU1334" s="4" t="s">
        <v>2878</v>
      </c>
      <c r="BXV1334" s="4" t="s">
        <v>2878</v>
      </c>
      <c r="BXW1334" s="4" t="s">
        <v>2878</v>
      </c>
      <c r="BXX1334" s="4" t="s">
        <v>2878</v>
      </c>
      <c r="BXY1334" s="4" t="s">
        <v>2878</v>
      </c>
      <c r="BXZ1334" s="4" t="s">
        <v>2878</v>
      </c>
      <c r="BYA1334" s="4" t="s">
        <v>2878</v>
      </c>
      <c r="BYB1334" s="4" t="s">
        <v>2878</v>
      </c>
      <c r="BYC1334" s="4" t="s">
        <v>2878</v>
      </c>
      <c r="BYD1334" s="4" t="s">
        <v>2878</v>
      </c>
      <c r="BYE1334" s="4" t="s">
        <v>2878</v>
      </c>
      <c r="BYF1334" s="4" t="s">
        <v>2878</v>
      </c>
      <c r="BYG1334" s="4" t="s">
        <v>2878</v>
      </c>
      <c r="BYH1334" s="4" t="s">
        <v>2878</v>
      </c>
      <c r="BYI1334" s="4" t="s">
        <v>2878</v>
      </c>
      <c r="BYJ1334" s="4" t="s">
        <v>2878</v>
      </c>
      <c r="BYK1334" s="4" t="s">
        <v>2878</v>
      </c>
      <c r="BYL1334" s="4" t="s">
        <v>2878</v>
      </c>
      <c r="BYM1334" s="4" t="s">
        <v>2878</v>
      </c>
      <c r="BYN1334" s="4" t="s">
        <v>2878</v>
      </c>
      <c r="BYO1334" s="4" t="s">
        <v>2878</v>
      </c>
      <c r="BYP1334" s="4" t="s">
        <v>2878</v>
      </c>
      <c r="BYQ1334" s="4" t="s">
        <v>2878</v>
      </c>
      <c r="BYR1334" s="4" t="s">
        <v>2878</v>
      </c>
      <c r="BYS1334" s="4" t="s">
        <v>2878</v>
      </c>
      <c r="BYT1334" s="4" t="s">
        <v>2878</v>
      </c>
      <c r="BYU1334" s="4" t="s">
        <v>2878</v>
      </c>
      <c r="BYV1334" s="4" t="s">
        <v>2878</v>
      </c>
      <c r="BYW1334" s="4" t="s">
        <v>2878</v>
      </c>
      <c r="BYX1334" s="4" t="s">
        <v>2878</v>
      </c>
      <c r="BYY1334" s="4" t="s">
        <v>2878</v>
      </c>
      <c r="BYZ1334" s="4" t="s">
        <v>2878</v>
      </c>
      <c r="BZA1334" s="4" t="s">
        <v>2878</v>
      </c>
      <c r="BZB1334" s="4" t="s">
        <v>2878</v>
      </c>
      <c r="BZC1334" s="4" t="s">
        <v>2878</v>
      </c>
      <c r="BZD1334" s="4" t="s">
        <v>2878</v>
      </c>
      <c r="BZE1334" s="4" t="s">
        <v>2878</v>
      </c>
      <c r="BZF1334" s="4" t="s">
        <v>2878</v>
      </c>
      <c r="BZG1334" s="4" t="s">
        <v>2878</v>
      </c>
      <c r="BZH1334" s="4" t="s">
        <v>2878</v>
      </c>
      <c r="BZI1334" s="4" t="s">
        <v>2878</v>
      </c>
      <c r="BZJ1334" s="4" t="s">
        <v>2878</v>
      </c>
      <c r="BZK1334" s="4" t="s">
        <v>2878</v>
      </c>
      <c r="BZL1334" s="4" t="s">
        <v>2878</v>
      </c>
      <c r="BZM1334" s="4" t="s">
        <v>2878</v>
      </c>
      <c r="BZN1334" s="4" t="s">
        <v>2878</v>
      </c>
      <c r="BZO1334" s="4" t="s">
        <v>2878</v>
      </c>
      <c r="BZP1334" s="4" t="s">
        <v>2878</v>
      </c>
      <c r="BZQ1334" s="4" t="s">
        <v>2878</v>
      </c>
      <c r="BZR1334" s="4" t="s">
        <v>2878</v>
      </c>
      <c r="BZS1334" s="4" t="s">
        <v>2878</v>
      </c>
      <c r="BZT1334" s="4" t="s">
        <v>2878</v>
      </c>
      <c r="BZU1334" s="4" t="s">
        <v>2878</v>
      </c>
      <c r="BZV1334" s="4" t="s">
        <v>2878</v>
      </c>
      <c r="BZW1334" s="4" t="s">
        <v>2878</v>
      </c>
      <c r="BZX1334" s="4" t="s">
        <v>2878</v>
      </c>
      <c r="BZY1334" s="4" t="s">
        <v>2878</v>
      </c>
      <c r="BZZ1334" s="4" t="s">
        <v>2878</v>
      </c>
      <c r="CAA1334" s="4" t="s">
        <v>2878</v>
      </c>
      <c r="CAB1334" s="4" t="s">
        <v>2878</v>
      </c>
      <c r="CAC1334" s="4" t="s">
        <v>2878</v>
      </c>
      <c r="CAD1334" s="4" t="s">
        <v>2878</v>
      </c>
      <c r="CAE1334" s="4" t="s">
        <v>2878</v>
      </c>
      <c r="CAF1334" s="4" t="s">
        <v>2878</v>
      </c>
      <c r="CAG1334" s="4" t="s">
        <v>2878</v>
      </c>
      <c r="CAH1334" s="4" t="s">
        <v>2878</v>
      </c>
      <c r="CAI1334" s="4" t="s">
        <v>2878</v>
      </c>
      <c r="CAJ1334" s="4" t="s">
        <v>2878</v>
      </c>
      <c r="CAK1334" s="4" t="s">
        <v>2878</v>
      </c>
      <c r="CAL1334" s="4" t="s">
        <v>2878</v>
      </c>
      <c r="CAM1334" s="4" t="s">
        <v>2878</v>
      </c>
      <c r="CAN1334" s="4" t="s">
        <v>2878</v>
      </c>
      <c r="CAO1334" s="4" t="s">
        <v>2878</v>
      </c>
      <c r="CAP1334" s="4" t="s">
        <v>2878</v>
      </c>
      <c r="CAQ1334" s="4" t="s">
        <v>2878</v>
      </c>
      <c r="CAR1334" s="4" t="s">
        <v>2878</v>
      </c>
      <c r="CAS1334" s="4" t="s">
        <v>2878</v>
      </c>
      <c r="CAT1334" s="4" t="s">
        <v>2878</v>
      </c>
      <c r="CAU1334" s="4" t="s">
        <v>2878</v>
      </c>
      <c r="CAV1334" s="4" t="s">
        <v>2878</v>
      </c>
      <c r="CAW1334" s="4" t="s">
        <v>2878</v>
      </c>
      <c r="CAX1334" s="4" t="s">
        <v>2878</v>
      </c>
      <c r="CAY1334" s="4" t="s">
        <v>2878</v>
      </c>
      <c r="CAZ1334" s="4" t="s">
        <v>2878</v>
      </c>
      <c r="CBA1334" s="4" t="s">
        <v>2878</v>
      </c>
      <c r="CBB1334" s="4" t="s">
        <v>2878</v>
      </c>
      <c r="CBC1334" s="4" t="s">
        <v>2878</v>
      </c>
      <c r="CBD1334" s="4" t="s">
        <v>2878</v>
      </c>
      <c r="CBE1334" s="4" t="s">
        <v>2878</v>
      </c>
      <c r="CBF1334" s="4" t="s">
        <v>2878</v>
      </c>
      <c r="CBG1334" s="4" t="s">
        <v>2878</v>
      </c>
      <c r="CBH1334" s="4" t="s">
        <v>2878</v>
      </c>
      <c r="CBI1334" s="4" t="s">
        <v>2878</v>
      </c>
      <c r="CBJ1334" s="4" t="s">
        <v>2878</v>
      </c>
      <c r="CBK1334" s="4" t="s">
        <v>2878</v>
      </c>
      <c r="CBL1334" s="4" t="s">
        <v>2878</v>
      </c>
      <c r="CBM1334" s="4" t="s">
        <v>2878</v>
      </c>
      <c r="CBN1334" s="4" t="s">
        <v>2878</v>
      </c>
      <c r="CBO1334" s="4" t="s">
        <v>2878</v>
      </c>
      <c r="CBP1334" s="4" t="s">
        <v>2878</v>
      </c>
      <c r="CBQ1334" s="4" t="s">
        <v>2878</v>
      </c>
      <c r="CBR1334" s="4" t="s">
        <v>2878</v>
      </c>
      <c r="CBS1334" s="4" t="s">
        <v>2878</v>
      </c>
      <c r="CBT1334" s="4" t="s">
        <v>2878</v>
      </c>
      <c r="CBU1334" s="4" t="s">
        <v>2878</v>
      </c>
      <c r="CBV1334" s="4" t="s">
        <v>2878</v>
      </c>
      <c r="CBW1334" s="4" t="s">
        <v>2878</v>
      </c>
      <c r="CBX1334" s="4" t="s">
        <v>2878</v>
      </c>
      <c r="CBY1334" s="4" t="s">
        <v>2878</v>
      </c>
      <c r="CBZ1334" s="4" t="s">
        <v>2878</v>
      </c>
      <c r="CCA1334" s="4" t="s">
        <v>2878</v>
      </c>
      <c r="CCB1334" s="4" t="s">
        <v>2878</v>
      </c>
      <c r="CCC1334" s="4" t="s">
        <v>2878</v>
      </c>
      <c r="CCD1334" s="4" t="s">
        <v>2878</v>
      </c>
      <c r="CCE1334" s="4" t="s">
        <v>2878</v>
      </c>
      <c r="CCF1334" s="4" t="s">
        <v>2878</v>
      </c>
      <c r="CCG1334" s="4" t="s">
        <v>2878</v>
      </c>
      <c r="CCH1334" s="4" t="s">
        <v>2878</v>
      </c>
      <c r="CCI1334" s="4" t="s">
        <v>2878</v>
      </c>
      <c r="CCJ1334" s="4" t="s">
        <v>2878</v>
      </c>
      <c r="CCK1334" s="4" t="s">
        <v>2878</v>
      </c>
      <c r="CCL1334" s="4" t="s">
        <v>2878</v>
      </c>
      <c r="CCM1334" s="4" t="s">
        <v>2878</v>
      </c>
      <c r="CCN1334" s="4" t="s">
        <v>2878</v>
      </c>
      <c r="CCO1334" s="4" t="s">
        <v>2878</v>
      </c>
      <c r="CCP1334" s="4" t="s">
        <v>2878</v>
      </c>
      <c r="CCQ1334" s="4" t="s">
        <v>2878</v>
      </c>
      <c r="CCR1334" s="4" t="s">
        <v>2878</v>
      </c>
      <c r="CCS1334" s="4" t="s">
        <v>2878</v>
      </c>
      <c r="CCT1334" s="4" t="s">
        <v>2878</v>
      </c>
      <c r="CCU1334" s="4" t="s">
        <v>2878</v>
      </c>
      <c r="CCV1334" s="4" t="s">
        <v>2878</v>
      </c>
      <c r="CCW1334" s="4" t="s">
        <v>2878</v>
      </c>
      <c r="CCX1334" s="4" t="s">
        <v>2878</v>
      </c>
      <c r="CCY1334" s="4" t="s">
        <v>2878</v>
      </c>
      <c r="CCZ1334" s="4" t="s">
        <v>2878</v>
      </c>
      <c r="CDA1334" s="4" t="s">
        <v>2878</v>
      </c>
      <c r="CDB1334" s="4" t="s">
        <v>2878</v>
      </c>
      <c r="CDC1334" s="4" t="s">
        <v>2878</v>
      </c>
      <c r="CDD1334" s="4" t="s">
        <v>2878</v>
      </c>
      <c r="CDE1334" s="4" t="s">
        <v>2878</v>
      </c>
      <c r="CDF1334" s="4" t="s">
        <v>2878</v>
      </c>
      <c r="CDG1334" s="4" t="s">
        <v>2878</v>
      </c>
      <c r="CDH1334" s="4" t="s">
        <v>2878</v>
      </c>
      <c r="CDI1334" s="4" t="s">
        <v>2878</v>
      </c>
      <c r="CDJ1334" s="4" t="s">
        <v>2878</v>
      </c>
      <c r="CDK1334" s="4" t="s">
        <v>2878</v>
      </c>
      <c r="CDL1334" s="4" t="s">
        <v>2878</v>
      </c>
      <c r="CDM1334" s="4" t="s">
        <v>2878</v>
      </c>
      <c r="CDN1334" s="4" t="s">
        <v>2878</v>
      </c>
      <c r="CDO1334" s="4" t="s">
        <v>2878</v>
      </c>
      <c r="CDP1334" s="4" t="s">
        <v>2878</v>
      </c>
      <c r="CDQ1334" s="4" t="s">
        <v>2878</v>
      </c>
      <c r="CDR1334" s="4" t="s">
        <v>2878</v>
      </c>
      <c r="CDS1334" s="4" t="s">
        <v>2878</v>
      </c>
      <c r="CDT1334" s="4" t="s">
        <v>2878</v>
      </c>
      <c r="CDU1334" s="4" t="s">
        <v>2878</v>
      </c>
      <c r="CDV1334" s="4" t="s">
        <v>2878</v>
      </c>
      <c r="CDW1334" s="4" t="s">
        <v>2878</v>
      </c>
      <c r="CDX1334" s="4" t="s">
        <v>2878</v>
      </c>
      <c r="CDY1334" s="4" t="s">
        <v>2878</v>
      </c>
      <c r="CDZ1334" s="4" t="s">
        <v>2878</v>
      </c>
      <c r="CEA1334" s="4" t="s">
        <v>2878</v>
      </c>
      <c r="CEB1334" s="4" t="s">
        <v>2878</v>
      </c>
      <c r="CEC1334" s="4" t="s">
        <v>2878</v>
      </c>
      <c r="CED1334" s="4" t="s">
        <v>2878</v>
      </c>
      <c r="CEE1334" s="4" t="s">
        <v>2878</v>
      </c>
      <c r="CEF1334" s="4" t="s">
        <v>2878</v>
      </c>
      <c r="CEG1334" s="4" t="s">
        <v>2878</v>
      </c>
      <c r="CEH1334" s="4" t="s">
        <v>2878</v>
      </c>
      <c r="CEI1334" s="4" t="s">
        <v>2878</v>
      </c>
      <c r="CEJ1334" s="4" t="s">
        <v>2878</v>
      </c>
      <c r="CEK1334" s="4" t="s">
        <v>2878</v>
      </c>
      <c r="CEL1334" s="4" t="s">
        <v>2878</v>
      </c>
      <c r="CEM1334" s="4" t="s">
        <v>2878</v>
      </c>
      <c r="CEN1334" s="4" t="s">
        <v>2878</v>
      </c>
      <c r="CEO1334" s="4" t="s">
        <v>2878</v>
      </c>
      <c r="CEP1334" s="4" t="s">
        <v>2878</v>
      </c>
      <c r="CEQ1334" s="4" t="s">
        <v>2878</v>
      </c>
      <c r="CER1334" s="4" t="s">
        <v>2878</v>
      </c>
      <c r="CES1334" s="4" t="s">
        <v>2878</v>
      </c>
      <c r="CET1334" s="4" t="s">
        <v>2878</v>
      </c>
      <c r="CEU1334" s="4" t="s">
        <v>2878</v>
      </c>
      <c r="CEV1334" s="4" t="s">
        <v>2878</v>
      </c>
      <c r="CEW1334" s="4" t="s">
        <v>2878</v>
      </c>
      <c r="CEX1334" s="4" t="s">
        <v>2878</v>
      </c>
      <c r="CEY1334" s="4" t="s">
        <v>2878</v>
      </c>
      <c r="CEZ1334" s="4" t="s">
        <v>2878</v>
      </c>
      <c r="CFA1334" s="4" t="s">
        <v>2878</v>
      </c>
      <c r="CFB1334" s="4" t="s">
        <v>2878</v>
      </c>
      <c r="CFC1334" s="4" t="s">
        <v>2878</v>
      </c>
      <c r="CFD1334" s="4" t="s">
        <v>2878</v>
      </c>
      <c r="CFE1334" s="4" t="s">
        <v>2878</v>
      </c>
      <c r="CFF1334" s="4" t="s">
        <v>2878</v>
      </c>
      <c r="CFG1334" s="4" t="s">
        <v>2878</v>
      </c>
      <c r="CFH1334" s="4" t="s">
        <v>2878</v>
      </c>
      <c r="CFI1334" s="4" t="s">
        <v>2878</v>
      </c>
      <c r="CFJ1334" s="4" t="s">
        <v>2878</v>
      </c>
      <c r="CFK1334" s="4" t="s">
        <v>2878</v>
      </c>
      <c r="CFL1334" s="4" t="s">
        <v>2878</v>
      </c>
      <c r="CFM1334" s="4" t="s">
        <v>2878</v>
      </c>
      <c r="CFN1334" s="4" t="s">
        <v>2878</v>
      </c>
      <c r="CFO1334" s="4" t="s">
        <v>2878</v>
      </c>
      <c r="CFP1334" s="4" t="s">
        <v>2878</v>
      </c>
      <c r="CFQ1334" s="4" t="s">
        <v>2878</v>
      </c>
      <c r="CFR1334" s="4" t="s">
        <v>2878</v>
      </c>
      <c r="CFS1334" s="4" t="s">
        <v>2878</v>
      </c>
      <c r="CFT1334" s="4" t="s">
        <v>2878</v>
      </c>
      <c r="CFU1334" s="4" t="s">
        <v>2878</v>
      </c>
      <c r="CFV1334" s="4" t="s">
        <v>2878</v>
      </c>
      <c r="CFW1334" s="4" t="s">
        <v>2878</v>
      </c>
      <c r="CFX1334" s="4" t="s">
        <v>2878</v>
      </c>
      <c r="CFY1334" s="4" t="s">
        <v>2878</v>
      </c>
      <c r="CFZ1334" s="4" t="s">
        <v>2878</v>
      </c>
      <c r="CGA1334" s="4" t="s">
        <v>2878</v>
      </c>
      <c r="CGB1334" s="4" t="s">
        <v>2878</v>
      </c>
      <c r="CGC1334" s="4" t="s">
        <v>2878</v>
      </c>
      <c r="CGD1334" s="4" t="s">
        <v>2878</v>
      </c>
      <c r="CGE1334" s="4" t="s">
        <v>2878</v>
      </c>
      <c r="CGF1334" s="4" t="s">
        <v>2878</v>
      </c>
      <c r="CGG1334" s="4" t="s">
        <v>2878</v>
      </c>
      <c r="CGH1334" s="4" t="s">
        <v>2878</v>
      </c>
      <c r="CGI1334" s="4" t="s">
        <v>2878</v>
      </c>
      <c r="CGJ1334" s="4" t="s">
        <v>2878</v>
      </c>
      <c r="CGK1334" s="4" t="s">
        <v>2878</v>
      </c>
      <c r="CGL1334" s="4" t="s">
        <v>2878</v>
      </c>
      <c r="CGM1334" s="4" t="s">
        <v>2878</v>
      </c>
      <c r="CGN1334" s="4" t="s">
        <v>2878</v>
      </c>
      <c r="CGO1334" s="4" t="s">
        <v>2878</v>
      </c>
      <c r="CGP1334" s="4" t="s">
        <v>2878</v>
      </c>
      <c r="CGQ1334" s="4" t="s">
        <v>2878</v>
      </c>
      <c r="CGR1334" s="4" t="s">
        <v>2878</v>
      </c>
      <c r="CGS1334" s="4" t="s">
        <v>2878</v>
      </c>
      <c r="CGT1334" s="4" t="s">
        <v>2878</v>
      </c>
      <c r="CGU1334" s="4" t="s">
        <v>2878</v>
      </c>
      <c r="CGV1334" s="4" t="s">
        <v>2878</v>
      </c>
      <c r="CGW1334" s="4" t="s">
        <v>2878</v>
      </c>
      <c r="CGX1334" s="4" t="s">
        <v>2878</v>
      </c>
      <c r="CGY1334" s="4" t="s">
        <v>2878</v>
      </c>
      <c r="CGZ1334" s="4" t="s">
        <v>2878</v>
      </c>
      <c r="CHA1334" s="4" t="s">
        <v>2878</v>
      </c>
      <c r="CHB1334" s="4" t="s">
        <v>2878</v>
      </c>
      <c r="CHC1334" s="4" t="s">
        <v>2878</v>
      </c>
      <c r="CHD1334" s="4" t="s">
        <v>2878</v>
      </c>
      <c r="CHE1334" s="4" t="s">
        <v>2878</v>
      </c>
      <c r="CHF1334" s="4" t="s">
        <v>2878</v>
      </c>
      <c r="CHG1334" s="4" t="s">
        <v>2878</v>
      </c>
      <c r="CHH1334" s="4" t="s">
        <v>2878</v>
      </c>
      <c r="CHI1334" s="4" t="s">
        <v>2878</v>
      </c>
      <c r="CHJ1334" s="4" t="s">
        <v>2878</v>
      </c>
      <c r="CHK1334" s="4" t="s">
        <v>2878</v>
      </c>
      <c r="CHL1334" s="4" t="s">
        <v>2878</v>
      </c>
      <c r="CHM1334" s="4" t="s">
        <v>2878</v>
      </c>
      <c r="CHN1334" s="4" t="s">
        <v>2878</v>
      </c>
      <c r="CHO1334" s="4" t="s">
        <v>2878</v>
      </c>
      <c r="CHP1334" s="4" t="s">
        <v>2878</v>
      </c>
      <c r="CHQ1334" s="4" t="s">
        <v>2878</v>
      </c>
      <c r="CHR1334" s="4" t="s">
        <v>2878</v>
      </c>
      <c r="CHS1334" s="4" t="s">
        <v>2878</v>
      </c>
      <c r="CHT1334" s="4" t="s">
        <v>2878</v>
      </c>
      <c r="CHU1334" s="4" t="s">
        <v>2878</v>
      </c>
      <c r="CHV1334" s="4" t="s">
        <v>2878</v>
      </c>
      <c r="CHW1334" s="4" t="s">
        <v>2878</v>
      </c>
      <c r="CHX1334" s="4" t="s">
        <v>2878</v>
      </c>
      <c r="CHY1334" s="4" t="s">
        <v>2878</v>
      </c>
      <c r="CHZ1334" s="4" t="s">
        <v>2878</v>
      </c>
      <c r="CIA1334" s="4" t="s">
        <v>2878</v>
      </c>
      <c r="CIB1334" s="4" t="s">
        <v>2878</v>
      </c>
      <c r="CIC1334" s="4" t="s">
        <v>2878</v>
      </c>
      <c r="CID1334" s="4" t="s">
        <v>2878</v>
      </c>
      <c r="CIE1334" s="4" t="s">
        <v>2878</v>
      </c>
      <c r="CIF1334" s="4" t="s">
        <v>2878</v>
      </c>
      <c r="CIG1334" s="4" t="s">
        <v>2878</v>
      </c>
      <c r="CIH1334" s="4" t="s">
        <v>2878</v>
      </c>
      <c r="CII1334" s="4" t="s">
        <v>2878</v>
      </c>
      <c r="CIJ1334" s="4" t="s">
        <v>2878</v>
      </c>
      <c r="CIK1334" s="4" t="s">
        <v>2878</v>
      </c>
      <c r="CIL1334" s="4" t="s">
        <v>2878</v>
      </c>
      <c r="CIM1334" s="4" t="s">
        <v>2878</v>
      </c>
      <c r="CIN1334" s="4" t="s">
        <v>2878</v>
      </c>
      <c r="CIO1334" s="4" t="s">
        <v>2878</v>
      </c>
      <c r="CIP1334" s="4" t="s">
        <v>2878</v>
      </c>
      <c r="CIQ1334" s="4" t="s">
        <v>2878</v>
      </c>
      <c r="CIR1334" s="4" t="s">
        <v>2878</v>
      </c>
      <c r="CIS1334" s="4" t="s">
        <v>2878</v>
      </c>
      <c r="CIT1334" s="4" t="s">
        <v>2878</v>
      </c>
      <c r="CIU1334" s="4" t="s">
        <v>2878</v>
      </c>
      <c r="CIV1334" s="4" t="s">
        <v>2878</v>
      </c>
      <c r="CIW1334" s="4" t="s">
        <v>2878</v>
      </c>
      <c r="CIX1334" s="4" t="s">
        <v>2878</v>
      </c>
      <c r="CIY1334" s="4" t="s">
        <v>2878</v>
      </c>
      <c r="CIZ1334" s="4" t="s">
        <v>2878</v>
      </c>
      <c r="CJA1334" s="4" t="s">
        <v>2878</v>
      </c>
      <c r="CJB1334" s="4" t="s">
        <v>2878</v>
      </c>
      <c r="CJC1334" s="4" t="s">
        <v>2878</v>
      </c>
      <c r="CJD1334" s="4" t="s">
        <v>2878</v>
      </c>
      <c r="CJE1334" s="4" t="s">
        <v>2878</v>
      </c>
      <c r="CJF1334" s="4" t="s">
        <v>2878</v>
      </c>
      <c r="CJG1334" s="4" t="s">
        <v>2878</v>
      </c>
      <c r="CJH1334" s="4" t="s">
        <v>2878</v>
      </c>
      <c r="CJI1334" s="4" t="s">
        <v>2878</v>
      </c>
      <c r="CJJ1334" s="4" t="s">
        <v>2878</v>
      </c>
      <c r="CJK1334" s="4" t="s">
        <v>2878</v>
      </c>
      <c r="CJL1334" s="4" t="s">
        <v>2878</v>
      </c>
      <c r="CJM1334" s="4" t="s">
        <v>2878</v>
      </c>
      <c r="CJN1334" s="4" t="s">
        <v>2878</v>
      </c>
      <c r="CJO1334" s="4" t="s">
        <v>2878</v>
      </c>
      <c r="CJP1334" s="4" t="s">
        <v>2878</v>
      </c>
      <c r="CJQ1334" s="4" t="s">
        <v>2878</v>
      </c>
      <c r="CJR1334" s="4" t="s">
        <v>2878</v>
      </c>
      <c r="CJS1334" s="4" t="s">
        <v>2878</v>
      </c>
      <c r="CJT1334" s="4" t="s">
        <v>2878</v>
      </c>
      <c r="CJU1334" s="4" t="s">
        <v>2878</v>
      </c>
      <c r="CJV1334" s="4" t="s">
        <v>2878</v>
      </c>
      <c r="CJW1334" s="4" t="s">
        <v>2878</v>
      </c>
      <c r="CJX1334" s="4" t="s">
        <v>2878</v>
      </c>
      <c r="CJY1334" s="4" t="s">
        <v>2878</v>
      </c>
      <c r="CJZ1334" s="4" t="s">
        <v>2878</v>
      </c>
      <c r="CKA1334" s="4" t="s">
        <v>2878</v>
      </c>
      <c r="CKB1334" s="4" t="s">
        <v>2878</v>
      </c>
      <c r="CKC1334" s="4" t="s">
        <v>2878</v>
      </c>
      <c r="CKD1334" s="4" t="s">
        <v>2878</v>
      </c>
      <c r="CKE1334" s="4" t="s">
        <v>2878</v>
      </c>
      <c r="CKF1334" s="4" t="s">
        <v>2878</v>
      </c>
      <c r="CKG1334" s="4" t="s">
        <v>2878</v>
      </c>
      <c r="CKH1334" s="4" t="s">
        <v>2878</v>
      </c>
      <c r="CKI1334" s="4" t="s">
        <v>2878</v>
      </c>
      <c r="CKJ1334" s="4" t="s">
        <v>2878</v>
      </c>
      <c r="CKK1334" s="4" t="s">
        <v>2878</v>
      </c>
      <c r="CKL1334" s="4" t="s">
        <v>2878</v>
      </c>
      <c r="CKM1334" s="4" t="s">
        <v>2878</v>
      </c>
      <c r="CKN1334" s="4" t="s">
        <v>2878</v>
      </c>
      <c r="CKO1334" s="4" t="s">
        <v>2878</v>
      </c>
      <c r="CKP1334" s="4" t="s">
        <v>2878</v>
      </c>
      <c r="CKQ1334" s="4" t="s">
        <v>2878</v>
      </c>
      <c r="CKR1334" s="4" t="s">
        <v>2878</v>
      </c>
      <c r="CKS1334" s="4" t="s">
        <v>2878</v>
      </c>
      <c r="CKT1334" s="4" t="s">
        <v>2878</v>
      </c>
      <c r="CKU1334" s="4" t="s">
        <v>2878</v>
      </c>
      <c r="CKV1334" s="4" t="s">
        <v>2878</v>
      </c>
      <c r="CKW1334" s="4" t="s">
        <v>2878</v>
      </c>
      <c r="CKX1334" s="4" t="s">
        <v>2878</v>
      </c>
      <c r="CKY1334" s="4" t="s">
        <v>2878</v>
      </c>
      <c r="CKZ1334" s="4" t="s">
        <v>2878</v>
      </c>
      <c r="CLA1334" s="4" t="s">
        <v>2878</v>
      </c>
      <c r="CLB1334" s="4" t="s">
        <v>2878</v>
      </c>
      <c r="CLC1334" s="4" t="s">
        <v>2878</v>
      </c>
      <c r="CLD1334" s="4" t="s">
        <v>2878</v>
      </c>
      <c r="CLE1334" s="4" t="s">
        <v>2878</v>
      </c>
      <c r="CLF1334" s="4" t="s">
        <v>2878</v>
      </c>
      <c r="CLG1334" s="4" t="s">
        <v>2878</v>
      </c>
      <c r="CLH1334" s="4" t="s">
        <v>2878</v>
      </c>
      <c r="CLI1334" s="4" t="s">
        <v>2878</v>
      </c>
      <c r="CLJ1334" s="4" t="s">
        <v>2878</v>
      </c>
      <c r="CLK1334" s="4" t="s">
        <v>2878</v>
      </c>
      <c r="CLL1334" s="4" t="s">
        <v>2878</v>
      </c>
      <c r="CLM1334" s="4" t="s">
        <v>2878</v>
      </c>
      <c r="CLN1334" s="4" t="s">
        <v>2878</v>
      </c>
      <c r="CLO1334" s="4" t="s">
        <v>2878</v>
      </c>
      <c r="CLP1334" s="4" t="s">
        <v>2878</v>
      </c>
      <c r="CLQ1334" s="4" t="s">
        <v>2878</v>
      </c>
      <c r="CLR1334" s="4" t="s">
        <v>2878</v>
      </c>
      <c r="CLS1334" s="4" t="s">
        <v>2878</v>
      </c>
      <c r="CLT1334" s="4" t="s">
        <v>2878</v>
      </c>
      <c r="CLU1334" s="4" t="s">
        <v>2878</v>
      </c>
      <c r="CLV1334" s="4" t="s">
        <v>2878</v>
      </c>
      <c r="CLW1334" s="4" t="s">
        <v>2878</v>
      </c>
      <c r="CLX1334" s="4" t="s">
        <v>2878</v>
      </c>
      <c r="CLY1334" s="4" t="s">
        <v>2878</v>
      </c>
      <c r="CLZ1334" s="4" t="s">
        <v>2878</v>
      </c>
      <c r="CMA1334" s="4" t="s">
        <v>2878</v>
      </c>
      <c r="CMB1334" s="4" t="s">
        <v>2878</v>
      </c>
      <c r="CMC1334" s="4" t="s">
        <v>2878</v>
      </c>
      <c r="CMD1334" s="4" t="s">
        <v>2878</v>
      </c>
      <c r="CME1334" s="4" t="s">
        <v>2878</v>
      </c>
      <c r="CMF1334" s="4" t="s">
        <v>2878</v>
      </c>
      <c r="CMG1334" s="4" t="s">
        <v>2878</v>
      </c>
      <c r="CMH1334" s="4" t="s">
        <v>2878</v>
      </c>
      <c r="CMI1334" s="4" t="s">
        <v>2878</v>
      </c>
      <c r="CMJ1334" s="4" t="s">
        <v>2878</v>
      </c>
      <c r="CMK1334" s="4" t="s">
        <v>2878</v>
      </c>
      <c r="CML1334" s="4" t="s">
        <v>2878</v>
      </c>
      <c r="CMM1334" s="4" t="s">
        <v>2878</v>
      </c>
      <c r="CMN1334" s="4" t="s">
        <v>2878</v>
      </c>
      <c r="CMO1334" s="4" t="s">
        <v>2878</v>
      </c>
      <c r="CMP1334" s="4" t="s">
        <v>2878</v>
      </c>
      <c r="CMQ1334" s="4" t="s">
        <v>2878</v>
      </c>
      <c r="CMR1334" s="4" t="s">
        <v>2878</v>
      </c>
      <c r="CMS1334" s="4" t="s">
        <v>2878</v>
      </c>
      <c r="CMT1334" s="4" t="s">
        <v>2878</v>
      </c>
      <c r="CMU1334" s="4" t="s">
        <v>2878</v>
      </c>
      <c r="CMV1334" s="4" t="s">
        <v>2878</v>
      </c>
      <c r="CMW1334" s="4" t="s">
        <v>2878</v>
      </c>
      <c r="CMX1334" s="4" t="s">
        <v>2878</v>
      </c>
      <c r="CMY1334" s="4" t="s">
        <v>2878</v>
      </c>
      <c r="CMZ1334" s="4" t="s">
        <v>2878</v>
      </c>
      <c r="CNA1334" s="4" t="s">
        <v>2878</v>
      </c>
      <c r="CNB1334" s="4" t="s">
        <v>2878</v>
      </c>
      <c r="CNC1334" s="4" t="s">
        <v>2878</v>
      </c>
      <c r="CND1334" s="4" t="s">
        <v>2878</v>
      </c>
      <c r="CNE1334" s="4" t="s">
        <v>2878</v>
      </c>
      <c r="CNF1334" s="4" t="s">
        <v>2878</v>
      </c>
      <c r="CNG1334" s="4" t="s">
        <v>2878</v>
      </c>
      <c r="CNH1334" s="4" t="s">
        <v>2878</v>
      </c>
      <c r="CNI1334" s="4" t="s">
        <v>2878</v>
      </c>
      <c r="CNJ1334" s="4" t="s">
        <v>2878</v>
      </c>
      <c r="CNK1334" s="4" t="s">
        <v>2878</v>
      </c>
      <c r="CNL1334" s="4" t="s">
        <v>2878</v>
      </c>
      <c r="CNM1334" s="4" t="s">
        <v>2878</v>
      </c>
      <c r="CNN1334" s="4" t="s">
        <v>2878</v>
      </c>
      <c r="CNO1334" s="4" t="s">
        <v>2878</v>
      </c>
      <c r="CNP1334" s="4" t="s">
        <v>2878</v>
      </c>
      <c r="CNQ1334" s="4" t="s">
        <v>2878</v>
      </c>
      <c r="CNR1334" s="4" t="s">
        <v>2878</v>
      </c>
      <c r="CNS1334" s="4" t="s">
        <v>2878</v>
      </c>
      <c r="CNT1334" s="4" t="s">
        <v>2878</v>
      </c>
      <c r="CNU1334" s="4" t="s">
        <v>2878</v>
      </c>
      <c r="CNV1334" s="4" t="s">
        <v>2878</v>
      </c>
      <c r="CNW1334" s="4" t="s">
        <v>2878</v>
      </c>
      <c r="CNX1334" s="4" t="s">
        <v>2878</v>
      </c>
      <c r="CNY1334" s="4" t="s">
        <v>2878</v>
      </c>
      <c r="CNZ1334" s="4" t="s">
        <v>2878</v>
      </c>
      <c r="COA1334" s="4" t="s">
        <v>2878</v>
      </c>
      <c r="COB1334" s="4" t="s">
        <v>2878</v>
      </c>
      <c r="COC1334" s="4" t="s">
        <v>2878</v>
      </c>
      <c r="COD1334" s="4" t="s">
        <v>2878</v>
      </c>
      <c r="COE1334" s="4" t="s">
        <v>2878</v>
      </c>
      <c r="COF1334" s="4" t="s">
        <v>2878</v>
      </c>
      <c r="COG1334" s="4" t="s">
        <v>2878</v>
      </c>
      <c r="COH1334" s="4" t="s">
        <v>2878</v>
      </c>
      <c r="COI1334" s="4" t="s">
        <v>2878</v>
      </c>
      <c r="COJ1334" s="4" t="s">
        <v>2878</v>
      </c>
      <c r="COK1334" s="4" t="s">
        <v>2878</v>
      </c>
      <c r="COL1334" s="4" t="s">
        <v>2878</v>
      </c>
      <c r="COM1334" s="4" t="s">
        <v>2878</v>
      </c>
      <c r="CON1334" s="4" t="s">
        <v>2878</v>
      </c>
      <c r="COO1334" s="4" t="s">
        <v>2878</v>
      </c>
      <c r="COP1334" s="4" t="s">
        <v>2878</v>
      </c>
      <c r="COQ1334" s="4" t="s">
        <v>2878</v>
      </c>
      <c r="COR1334" s="4" t="s">
        <v>2878</v>
      </c>
      <c r="COS1334" s="4" t="s">
        <v>2878</v>
      </c>
      <c r="COT1334" s="4" t="s">
        <v>2878</v>
      </c>
      <c r="COU1334" s="4" t="s">
        <v>2878</v>
      </c>
      <c r="COV1334" s="4" t="s">
        <v>2878</v>
      </c>
      <c r="COW1334" s="4" t="s">
        <v>2878</v>
      </c>
      <c r="COX1334" s="4" t="s">
        <v>2878</v>
      </c>
      <c r="COY1334" s="4" t="s">
        <v>2878</v>
      </c>
      <c r="COZ1334" s="4" t="s">
        <v>2878</v>
      </c>
      <c r="CPA1334" s="4" t="s">
        <v>2878</v>
      </c>
      <c r="CPB1334" s="4" t="s">
        <v>2878</v>
      </c>
      <c r="CPC1334" s="4" t="s">
        <v>2878</v>
      </c>
      <c r="CPD1334" s="4" t="s">
        <v>2878</v>
      </c>
      <c r="CPE1334" s="4" t="s">
        <v>2878</v>
      </c>
      <c r="CPF1334" s="4" t="s">
        <v>2878</v>
      </c>
      <c r="CPG1334" s="4" t="s">
        <v>2878</v>
      </c>
      <c r="CPH1334" s="4" t="s">
        <v>2878</v>
      </c>
      <c r="CPI1334" s="4" t="s">
        <v>2878</v>
      </c>
      <c r="CPJ1334" s="4" t="s">
        <v>2878</v>
      </c>
      <c r="CPK1334" s="4" t="s">
        <v>2878</v>
      </c>
      <c r="CPL1334" s="4" t="s">
        <v>2878</v>
      </c>
      <c r="CPM1334" s="4" t="s">
        <v>2878</v>
      </c>
      <c r="CPN1334" s="4" t="s">
        <v>2878</v>
      </c>
      <c r="CPO1334" s="4" t="s">
        <v>2878</v>
      </c>
      <c r="CPP1334" s="4" t="s">
        <v>2878</v>
      </c>
      <c r="CPQ1334" s="4" t="s">
        <v>2878</v>
      </c>
      <c r="CPR1334" s="4" t="s">
        <v>2878</v>
      </c>
      <c r="CPS1334" s="4" t="s">
        <v>2878</v>
      </c>
      <c r="CPT1334" s="4" t="s">
        <v>2878</v>
      </c>
      <c r="CPU1334" s="4" t="s">
        <v>2878</v>
      </c>
      <c r="CPV1334" s="4" t="s">
        <v>2878</v>
      </c>
      <c r="CPW1334" s="4" t="s">
        <v>2878</v>
      </c>
      <c r="CPX1334" s="4" t="s">
        <v>2878</v>
      </c>
      <c r="CPY1334" s="4" t="s">
        <v>2878</v>
      </c>
      <c r="CPZ1334" s="4" t="s">
        <v>2878</v>
      </c>
      <c r="CQA1334" s="4" t="s">
        <v>2878</v>
      </c>
      <c r="CQB1334" s="4" t="s">
        <v>2878</v>
      </c>
      <c r="CQC1334" s="4" t="s">
        <v>2878</v>
      </c>
      <c r="CQD1334" s="4" t="s">
        <v>2878</v>
      </c>
      <c r="CQE1334" s="4" t="s">
        <v>2878</v>
      </c>
      <c r="CQF1334" s="4" t="s">
        <v>2878</v>
      </c>
      <c r="CQG1334" s="4" t="s">
        <v>2878</v>
      </c>
      <c r="CQH1334" s="4" t="s">
        <v>2878</v>
      </c>
      <c r="CQI1334" s="4" t="s">
        <v>2878</v>
      </c>
      <c r="CQJ1334" s="4" t="s">
        <v>2878</v>
      </c>
      <c r="CQK1334" s="4" t="s">
        <v>2878</v>
      </c>
      <c r="CQL1334" s="4" t="s">
        <v>2878</v>
      </c>
      <c r="CQM1334" s="4" t="s">
        <v>2878</v>
      </c>
      <c r="CQN1334" s="4" t="s">
        <v>2878</v>
      </c>
      <c r="CQO1334" s="4" t="s">
        <v>2878</v>
      </c>
      <c r="CQP1334" s="4" t="s">
        <v>2878</v>
      </c>
      <c r="CQQ1334" s="4" t="s">
        <v>2878</v>
      </c>
      <c r="CQR1334" s="4" t="s">
        <v>2878</v>
      </c>
      <c r="CQS1334" s="4" t="s">
        <v>2878</v>
      </c>
      <c r="CQT1334" s="4" t="s">
        <v>2878</v>
      </c>
      <c r="CQU1334" s="4" t="s">
        <v>2878</v>
      </c>
      <c r="CQV1334" s="4" t="s">
        <v>2878</v>
      </c>
      <c r="CQW1334" s="4" t="s">
        <v>2878</v>
      </c>
      <c r="CQX1334" s="4" t="s">
        <v>2878</v>
      </c>
      <c r="CQY1334" s="4" t="s">
        <v>2878</v>
      </c>
      <c r="CQZ1334" s="4" t="s">
        <v>2878</v>
      </c>
      <c r="CRA1334" s="4" t="s">
        <v>2878</v>
      </c>
      <c r="CRB1334" s="4" t="s">
        <v>2878</v>
      </c>
      <c r="CRC1334" s="4" t="s">
        <v>2878</v>
      </c>
      <c r="CRD1334" s="4" t="s">
        <v>2878</v>
      </c>
      <c r="CRE1334" s="4" t="s">
        <v>2878</v>
      </c>
      <c r="CRF1334" s="4" t="s">
        <v>2878</v>
      </c>
      <c r="CRG1334" s="4" t="s">
        <v>2878</v>
      </c>
      <c r="CRH1334" s="4" t="s">
        <v>2878</v>
      </c>
      <c r="CRI1334" s="4" t="s">
        <v>2878</v>
      </c>
      <c r="CRJ1334" s="4" t="s">
        <v>2878</v>
      </c>
      <c r="CRK1334" s="4" t="s">
        <v>2878</v>
      </c>
      <c r="CRL1334" s="4" t="s">
        <v>2878</v>
      </c>
      <c r="CRM1334" s="4" t="s">
        <v>2878</v>
      </c>
      <c r="CRN1334" s="4" t="s">
        <v>2878</v>
      </c>
      <c r="CRO1334" s="4" t="s">
        <v>2878</v>
      </c>
      <c r="CRP1334" s="4" t="s">
        <v>2878</v>
      </c>
      <c r="CRQ1334" s="4" t="s">
        <v>2878</v>
      </c>
      <c r="CRR1334" s="4" t="s">
        <v>2878</v>
      </c>
      <c r="CRS1334" s="4" t="s">
        <v>2878</v>
      </c>
      <c r="CRT1334" s="4" t="s">
        <v>2878</v>
      </c>
      <c r="CRU1334" s="4" t="s">
        <v>2878</v>
      </c>
      <c r="CRV1334" s="4" t="s">
        <v>2878</v>
      </c>
      <c r="CRW1334" s="4" t="s">
        <v>2878</v>
      </c>
      <c r="CRX1334" s="4" t="s">
        <v>2878</v>
      </c>
      <c r="CRY1334" s="4" t="s">
        <v>2878</v>
      </c>
      <c r="CRZ1334" s="4" t="s">
        <v>2878</v>
      </c>
      <c r="CSA1334" s="4" t="s">
        <v>2878</v>
      </c>
      <c r="CSB1334" s="4" t="s">
        <v>2878</v>
      </c>
      <c r="CSC1334" s="4" t="s">
        <v>2878</v>
      </c>
      <c r="CSD1334" s="4" t="s">
        <v>2878</v>
      </c>
      <c r="CSE1334" s="4" t="s">
        <v>2878</v>
      </c>
      <c r="CSF1334" s="4" t="s">
        <v>2878</v>
      </c>
      <c r="CSG1334" s="4" t="s">
        <v>2878</v>
      </c>
      <c r="CSH1334" s="4" t="s">
        <v>2878</v>
      </c>
      <c r="CSI1334" s="4" t="s">
        <v>2878</v>
      </c>
      <c r="CSJ1334" s="4" t="s">
        <v>2878</v>
      </c>
      <c r="CSK1334" s="4" t="s">
        <v>2878</v>
      </c>
      <c r="CSL1334" s="4" t="s">
        <v>2878</v>
      </c>
      <c r="CSM1334" s="4" t="s">
        <v>2878</v>
      </c>
      <c r="CSN1334" s="4" t="s">
        <v>2878</v>
      </c>
      <c r="CSO1334" s="4" t="s">
        <v>2878</v>
      </c>
      <c r="CSP1334" s="4" t="s">
        <v>2878</v>
      </c>
      <c r="CSQ1334" s="4" t="s">
        <v>2878</v>
      </c>
      <c r="CSR1334" s="4" t="s">
        <v>2878</v>
      </c>
      <c r="CSS1334" s="4" t="s">
        <v>2878</v>
      </c>
      <c r="CST1334" s="4" t="s">
        <v>2878</v>
      </c>
      <c r="CSU1334" s="4" t="s">
        <v>2878</v>
      </c>
      <c r="CSV1334" s="4" t="s">
        <v>2878</v>
      </c>
      <c r="CSW1334" s="4" t="s">
        <v>2878</v>
      </c>
      <c r="CSX1334" s="4" t="s">
        <v>2878</v>
      </c>
      <c r="CSY1334" s="4" t="s">
        <v>2878</v>
      </c>
      <c r="CSZ1334" s="4" t="s">
        <v>2878</v>
      </c>
      <c r="CTA1334" s="4" t="s">
        <v>2878</v>
      </c>
      <c r="CTB1334" s="4" t="s">
        <v>2878</v>
      </c>
      <c r="CTC1334" s="4" t="s">
        <v>2878</v>
      </c>
      <c r="CTD1334" s="4" t="s">
        <v>2878</v>
      </c>
      <c r="CTE1334" s="4" t="s">
        <v>2878</v>
      </c>
      <c r="CTF1334" s="4" t="s">
        <v>2878</v>
      </c>
      <c r="CTG1334" s="4" t="s">
        <v>2878</v>
      </c>
      <c r="CTH1334" s="4" t="s">
        <v>2878</v>
      </c>
      <c r="CTI1334" s="4" t="s">
        <v>2878</v>
      </c>
      <c r="CTJ1334" s="4" t="s">
        <v>2878</v>
      </c>
      <c r="CTK1334" s="4" t="s">
        <v>2878</v>
      </c>
      <c r="CTL1334" s="4" t="s">
        <v>2878</v>
      </c>
      <c r="CTM1334" s="4" t="s">
        <v>2878</v>
      </c>
      <c r="CTN1334" s="4" t="s">
        <v>2878</v>
      </c>
      <c r="CTO1334" s="4" t="s">
        <v>2878</v>
      </c>
      <c r="CTP1334" s="4" t="s">
        <v>2878</v>
      </c>
      <c r="CTQ1334" s="4" t="s">
        <v>2878</v>
      </c>
      <c r="CTR1334" s="4" t="s">
        <v>2878</v>
      </c>
      <c r="CTS1334" s="4" t="s">
        <v>2878</v>
      </c>
      <c r="CTT1334" s="4" t="s">
        <v>2878</v>
      </c>
      <c r="CTU1334" s="4" t="s">
        <v>2878</v>
      </c>
      <c r="CTV1334" s="4" t="s">
        <v>2878</v>
      </c>
      <c r="CTW1334" s="4" t="s">
        <v>2878</v>
      </c>
      <c r="CTX1334" s="4" t="s">
        <v>2878</v>
      </c>
      <c r="CTY1334" s="4" t="s">
        <v>2878</v>
      </c>
      <c r="CTZ1334" s="4" t="s">
        <v>2878</v>
      </c>
      <c r="CUA1334" s="4" t="s">
        <v>2878</v>
      </c>
      <c r="CUB1334" s="4" t="s">
        <v>2878</v>
      </c>
      <c r="CUC1334" s="4" t="s">
        <v>2878</v>
      </c>
      <c r="CUD1334" s="4" t="s">
        <v>2878</v>
      </c>
      <c r="CUE1334" s="4" t="s">
        <v>2878</v>
      </c>
      <c r="CUF1334" s="4" t="s">
        <v>2878</v>
      </c>
      <c r="CUG1334" s="4" t="s">
        <v>2878</v>
      </c>
      <c r="CUH1334" s="4" t="s">
        <v>2878</v>
      </c>
      <c r="CUI1334" s="4" t="s">
        <v>2878</v>
      </c>
      <c r="CUJ1334" s="4" t="s">
        <v>2878</v>
      </c>
      <c r="CUK1334" s="4" t="s">
        <v>2878</v>
      </c>
      <c r="CUL1334" s="4" t="s">
        <v>2878</v>
      </c>
      <c r="CUM1334" s="4" t="s">
        <v>2878</v>
      </c>
      <c r="CUN1334" s="4" t="s">
        <v>2878</v>
      </c>
      <c r="CUO1334" s="4" t="s">
        <v>2878</v>
      </c>
      <c r="CUP1334" s="4" t="s">
        <v>2878</v>
      </c>
      <c r="CUQ1334" s="4" t="s">
        <v>2878</v>
      </c>
      <c r="CUR1334" s="4" t="s">
        <v>2878</v>
      </c>
      <c r="CUS1334" s="4" t="s">
        <v>2878</v>
      </c>
      <c r="CUT1334" s="4" t="s">
        <v>2878</v>
      </c>
      <c r="CUU1334" s="4" t="s">
        <v>2878</v>
      </c>
      <c r="CUV1334" s="4" t="s">
        <v>2878</v>
      </c>
      <c r="CUW1334" s="4" t="s">
        <v>2878</v>
      </c>
      <c r="CUX1334" s="4" t="s">
        <v>2878</v>
      </c>
      <c r="CUY1334" s="4" t="s">
        <v>2878</v>
      </c>
      <c r="CUZ1334" s="4" t="s">
        <v>2878</v>
      </c>
      <c r="CVA1334" s="4" t="s">
        <v>2878</v>
      </c>
      <c r="CVB1334" s="4" t="s">
        <v>2878</v>
      </c>
      <c r="CVC1334" s="4" t="s">
        <v>2878</v>
      </c>
      <c r="CVD1334" s="4" t="s">
        <v>2878</v>
      </c>
      <c r="CVE1334" s="4" t="s">
        <v>2878</v>
      </c>
      <c r="CVF1334" s="4" t="s">
        <v>2878</v>
      </c>
      <c r="CVG1334" s="4" t="s">
        <v>2878</v>
      </c>
      <c r="CVH1334" s="4" t="s">
        <v>2878</v>
      </c>
      <c r="CVI1334" s="4" t="s">
        <v>2878</v>
      </c>
      <c r="CVJ1334" s="4" t="s">
        <v>2878</v>
      </c>
      <c r="CVK1334" s="4" t="s">
        <v>2878</v>
      </c>
      <c r="CVL1334" s="4" t="s">
        <v>2878</v>
      </c>
      <c r="CVM1334" s="4" t="s">
        <v>2878</v>
      </c>
      <c r="CVN1334" s="4" t="s">
        <v>2878</v>
      </c>
      <c r="CVO1334" s="4" t="s">
        <v>2878</v>
      </c>
      <c r="CVP1334" s="4" t="s">
        <v>2878</v>
      </c>
      <c r="CVQ1334" s="4" t="s">
        <v>2878</v>
      </c>
      <c r="CVR1334" s="4" t="s">
        <v>2878</v>
      </c>
      <c r="CVS1334" s="4" t="s">
        <v>2878</v>
      </c>
      <c r="CVT1334" s="4" t="s">
        <v>2878</v>
      </c>
      <c r="CVU1334" s="4" t="s">
        <v>2878</v>
      </c>
      <c r="CVV1334" s="4" t="s">
        <v>2878</v>
      </c>
      <c r="CVW1334" s="4" t="s">
        <v>2878</v>
      </c>
      <c r="CVX1334" s="4" t="s">
        <v>2878</v>
      </c>
      <c r="CVY1334" s="4" t="s">
        <v>2878</v>
      </c>
      <c r="CVZ1334" s="4" t="s">
        <v>2878</v>
      </c>
      <c r="CWA1334" s="4" t="s">
        <v>2878</v>
      </c>
      <c r="CWB1334" s="4" t="s">
        <v>2878</v>
      </c>
      <c r="CWC1334" s="4" t="s">
        <v>2878</v>
      </c>
      <c r="CWD1334" s="4" t="s">
        <v>2878</v>
      </c>
      <c r="CWE1334" s="4" t="s">
        <v>2878</v>
      </c>
      <c r="CWF1334" s="4" t="s">
        <v>2878</v>
      </c>
      <c r="CWG1334" s="4" t="s">
        <v>2878</v>
      </c>
      <c r="CWH1334" s="4" t="s">
        <v>2878</v>
      </c>
      <c r="CWI1334" s="4" t="s">
        <v>2878</v>
      </c>
      <c r="CWJ1334" s="4" t="s">
        <v>2878</v>
      </c>
      <c r="CWK1334" s="4" t="s">
        <v>2878</v>
      </c>
      <c r="CWL1334" s="4" t="s">
        <v>2878</v>
      </c>
      <c r="CWM1334" s="4" t="s">
        <v>2878</v>
      </c>
      <c r="CWN1334" s="4" t="s">
        <v>2878</v>
      </c>
      <c r="CWO1334" s="4" t="s">
        <v>2878</v>
      </c>
      <c r="CWP1334" s="4" t="s">
        <v>2878</v>
      </c>
      <c r="CWQ1334" s="4" t="s">
        <v>2878</v>
      </c>
      <c r="CWR1334" s="4" t="s">
        <v>2878</v>
      </c>
      <c r="CWS1334" s="4" t="s">
        <v>2878</v>
      </c>
      <c r="CWT1334" s="4" t="s">
        <v>2878</v>
      </c>
      <c r="CWU1334" s="4" t="s">
        <v>2878</v>
      </c>
      <c r="CWV1334" s="4" t="s">
        <v>2878</v>
      </c>
      <c r="CWW1334" s="4" t="s">
        <v>2878</v>
      </c>
      <c r="CWX1334" s="4" t="s">
        <v>2878</v>
      </c>
      <c r="CWY1334" s="4" t="s">
        <v>2878</v>
      </c>
      <c r="CWZ1334" s="4" t="s">
        <v>2878</v>
      </c>
      <c r="CXA1334" s="4" t="s">
        <v>2878</v>
      </c>
      <c r="CXB1334" s="4" t="s">
        <v>2878</v>
      </c>
      <c r="CXC1334" s="4" t="s">
        <v>2878</v>
      </c>
      <c r="CXD1334" s="4" t="s">
        <v>2878</v>
      </c>
      <c r="CXE1334" s="4" t="s">
        <v>2878</v>
      </c>
      <c r="CXF1334" s="4" t="s">
        <v>2878</v>
      </c>
      <c r="CXG1334" s="4" t="s">
        <v>2878</v>
      </c>
      <c r="CXH1334" s="4" t="s">
        <v>2878</v>
      </c>
      <c r="CXI1334" s="4" t="s">
        <v>2878</v>
      </c>
      <c r="CXJ1334" s="4" t="s">
        <v>2878</v>
      </c>
      <c r="CXK1334" s="4" t="s">
        <v>2878</v>
      </c>
      <c r="CXL1334" s="4" t="s">
        <v>2878</v>
      </c>
      <c r="CXM1334" s="4" t="s">
        <v>2878</v>
      </c>
      <c r="CXN1334" s="4" t="s">
        <v>2878</v>
      </c>
      <c r="CXO1334" s="4" t="s">
        <v>2878</v>
      </c>
      <c r="CXP1334" s="4" t="s">
        <v>2878</v>
      </c>
      <c r="CXQ1334" s="4" t="s">
        <v>2878</v>
      </c>
      <c r="CXR1334" s="4" t="s">
        <v>2878</v>
      </c>
      <c r="CXS1334" s="4" t="s">
        <v>2878</v>
      </c>
      <c r="CXT1334" s="4" t="s">
        <v>2878</v>
      </c>
      <c r="CXU1334" s="4" t="s">
        <v>2878</v>
      </c>
      <c r="CXV1334" s="4" t="s">
        <v>2878</v>
      </c>
      <c r="CXW1334" s="4" t="s">
        <v>2878</v>
      </c>
      <c r="CXX1334" s="4" t="s">
        <v>2878</v>
      </c>
      <c r="CXY1334" s="4" t="s">
        <v>2878</v>
      </c>
      <c r="CXZ1334" s="4" t="s">
        <v>2878</v>
      </c>
      <c r="CYA1334" s="4" t="s">
        <v>2878</v>
      </c>
      <c r="CYB1334" s="4" t="s">
        <v>2878</v>
      </c>
      <c r="CYC1334" s="4" t="s">
        <v>2878</v>
      </c>
      <c r="CYD1334" s="4" t="s">
        <v>2878</v>
      </c>
      <c r="CYE1334" s="4" t="s">
        <v>2878</v>
      </c>
      <c r="CYF1334" s="4" t="s">
        <v>2878</v>
      </c>
      <c r="CYG1334" s="4" t="s">
        <v>2878</v>
      </c>
      <c r="CYH1334" s="4" t="s">
        <v>2878</v>
      </c>
      <c r="CYI1334" s="4" t="s">
        <v>2878</v>
      </c>
      <c r="CYJ1334" s="4" t="s">
        <v>2878</v>
      </c>
      <c r="CYK1334" s="4" t="s">
        <v>2878</v>
      </c>
      <c r="CYL1334" s="4" t="s">
        <v>2878</v>
      </c>
      <c r="CYM1334" s="4" t="s">
        <v>2878</v>
      </c>
      <c r="CYN1334" s="4" t="s">
        <v>2878</v>
      </c>
      <c r="CYO1334" s="4" t="s">
        <v>2878</v>
      </c>
      <c r="CYP1334" s="4" t="s">
        <v>2878</v>
      </c>
      <c r="CYQ1334" s="4" t="s">
        <v>2878</v>
      </c>
      <c r="CYR1334" s="4" t="s">
        <v>2878</v>
      </c>
      <c r="CYS1334" s="4" t="s">
        <v>2878</v>
      </c>
      <c r="CYT1334" s="4" t="s">
        <v>2878</v>
      </c>
      <c r="CYU1334" s="4" t="s">
        <v>2878</v>
      </c>
      <c r="CYV1334" s="4" t="s">
        <v>2878</v>
      </c>
      <c r="CYW1334" s="4" t="s">
        <v>2878</v>
      </c>
      <c r="CYX1334" s="4" t="s">
        <v>2878</v>
      </c>
      <c r="CYY1334" s="4" t="s">
        <v>2878</v>
      </c>
      <c r="CYZ1334" s="4" t="s">
        <v>2878</v>
      </c>
      <c r="CZA1334" s="4" t="s">
        <v>2878</v>
      </c>
      <c r="CZB1334" s="4" t="s">
        <v>2878</v>
      </c>
      <c r="CZC1334" s="4" t="s">
        <v>2878</v>
      </c>
      <c r="CZD1334" s="4" t="s">
        <v>2878</v>
      </c>
      <c r="CZE1334" s="4" t="s">
        <v>2878</v>
      </c>
      <c r="CZF1334" s="4" t="s">
        <v>2878</v>
      </c>
      <c r="CZG1334" s="4" t="s">
        <v>2878</v>
      </c>
      <c r="CZH1334" s="4" t="s">
        <v>2878</v>
      </c>
      <c r="CZI1334" s="4" t="s">
        <v>2878</v>
      </c>
      <c r="CZJ1334" s="4" t="s">
        <v>2878</v>
      </c>
      <c r="CZK1334" s="4" t="s">
        <v>2878</v>
      </c>
      <c r="CZL1334" s="4" t="s">
        <v>2878</v>
      </c>
      <c r="CZM1334" s="4" t="s">
        <v>2878</v>
      </c>
      <c r="CZN1334" s="4" t="s">
        <v>2878</v>
      </c>
      <c r="CZO1334" s="4" t="s">
        <v>2878</v>
      </c>
      <c r="CZP1334" s="4" t="s">
        <v>2878</v>
      </c>
      <c r="CZQ1334" s="4" t="s">
        <v>2878</v>
      </c>
      <c r="CZR1334" s="4" t="s">
        <v>2878</v>
      </c>
      <c r="CZS1334" s="4" t="s">
        <v>2878</v>
      </c>
      <c r="CZT1334" s="4" t="s">
        <v>2878</v>
      </c>
      <c r="CZU1334" s="4" t="s">
        <v>2878</v>
      </c>
      <c r="CZV1334" s="4" t="s">
        <v>2878</v>
      </c>
      <c r="CZW1334" s="4" t="s">
        <v>2878</v>
      </c>
      <c r="CZX1334" s="4" t="s">
        <v>2878</v>
      </c>
      <c r="CZY1334" s="4" t="s">
        <v>2878</v>
      </c>
      <c r="CZZ1334" s="4" t="s">
        <v>2878</v>
      </c>
      <c r="DAA1334" s="4" t="s">
        <v>2878</v>
      </c>
      <c r="DAB1334" s="4" t="s">
        <v>2878</v>
      </c>
      <c r="DAC1334" s="4" t="s">
        <v>2878</v>
      </c>
      <c r="DAD1334" s="4" t="s">
        <v>2878</v>
      </c>
      <c r="DAE1334" s="4" t="s">
        <v>2878</v>
      </c>
      <c r="DAF1334" s="4" t="s">
        <v>2878</v>
      </c>
      <c r="DAG1334" s="4" t="s">
        <v>2878</v>
      </c>
      <c r="DAH1334" s="4" t="s">
        <v>2878</v>
      </c>
      <c r="DAI1334" s="4" t="s">
        <v>2878</v>
      </c>
      <c r="DAJ1334" s="4" t="s">
        <v>2878</v>
      </c>
      <c r="DAK1334" s="4" t="s">
        <v>2878</v>
      </c>
      <c r="DAL1334" s="4" t="s">
        <v>2878</v>
      </c>
      <c r="DAM1334" s="4" t="s">
        <v>2878</v>
      </c>
      <c r="DAN1334" s="4" t="s">
        <v>2878</v>
      </c>
      <c r="DAO1334" s="4" t="s">
        <v>2878</v>
      </c>
      <c r="DAP1334" s="4" t="s">
        <v>2878</v>
      </c>
      <c r="DAQ1334" s="4" t="s">
        <v>2878</v>
      </c>
      <c r="DAR1334" s="4" t="s">
        <v>2878</v>
      </c>
      <c r="DAS1334" s="4" t="s">
        <v>2878</v>
      </c>
      <c r="DAT1334" s="4" t="s">
        <v>2878</v>
      </c>
      <c r="DAU1334" s="4" t="s">
        <v>2878</v>
      </c>
      <c r="DAV1334" s="4" t="s">
        <v>2878</v>
      </c>
      <c r="DAW1334" s="4" t="s">
        <v>2878</v>
      </c>
      <c r="DAX1334" s="4" t="s">
        <v>2878</v>
      </c>
      <c r="DAY1334" s="4" t="s">
        <v>2878</v>
      </c>
      <c r="DAZ1334" s="4" t="s">
        <v>2878</v>
      </c>
      <c r="DBA1334" s="4" t="s">
        <v>2878</v>
      </c>
      <c r="DBB1334" s="4" t="s">
        <v>2878</v>
      </c>
      <c r="DBC1334" s="4" t="s">
        <v>2878</v>
      </c>
      <c r="DBD1334" s="4" t="s">
        <v>2878</v>
      </c>
      <c r="DBE1334" s="4" t="s">
        <v>2878</v>
      </c>
      <c r="DBF1334" s="4" t="s">
        <v>2878</v>
      </c>
      <c r="DBG1334" s="4" t="s">
        <v>2878</v>
      </c>
      <c r="DBH1334" s="4" t="s">
        <v>2878</v>
      </c>
      <c r="DBI1334" s="4" t="s">
        <v>2878</v>
      </c>
      <c r="DBJ1334" s="4" t="s">
        <v>2878</v>
      </c>
      <c r="DBK1334" s="4" t="s">
        <v>2878</v>
      </c>
      <c r="DBL1334" s="4" t="s">
        <v>2878</v>
      </c>
      <c r="DBM1334" s="4" t="s">
        <v>2878</v>
      </c>
      <c r="DBN1334" s="4" t="s">
        <v>2878</v>
      </c>
      <c r="DBO1334" s="4" t="s">
        <v>2878</v>
      </c>
      <c r="DBP1334" s="4" t="s">
        <v>2878</v>
      </c>
      <c r="DBQ1334" s="4" t="s">
        <v>2878</v>
      </c>
      <c r="DBR1334" s="4" t="s">
        <v>2878</v>
      </c>
      <c r="DBS1334" s="4" t="s">
        <v>2878</v>
      </c>
      <c r="DBT1334" s="4" t="s">
        <v>2878</v>
      </c>
      <c r="DBU1334" s="4" t="s">
        <v>2878</v>
      </c>
      <c r="DBV1334" s="4" t="s">
        <v>2878</v>
      </c>
      <c r="DBW1334" s="4" t="s">
        <v>2878</v>
      </c>
      <c r="DBX1334" s="4" t="s">
        <v>2878</v>
      </c>
      <c r="DBY1334" s="4" t="s">
        <v>2878</v>
      </c>
      <c r="DBZ1334" s="4" t="s">
        <v>2878</v>
      </c>
      <c r="DCA1334" s="4" t="s">
        <v>2878</v>
      </c>
      <c r="DCB1334" s="4" t="s">
        <v>2878</v>
      </c>
      <c r="DCC1334" s="4" t="s">
        <v>2878</v>
      </c>
      <c r="DCD1334" s="4" t="s">
        <v>2878</v>
      </c>
      <c r="DCE1334" s="4" t="s">
        <v>2878</v>
      </c>
      <c r="DCF1334" s="4" t="s">
        <v>2878</v>
      </c>
      <c r="DCG1334" s="4" t="s">
        <v>2878</v>
      </c>
      <c r="DCH1334" s="4" t="s">
        <v>2878</v>
      </c>
      <c r="DCI1334" s="4" t="s">
        <v>2878</v>
      </c>
      <c r="DCJ1334" s="4" t="s">
        <v>2878</v>
      </c>
      <c r="DCK1334" s="4" t="s">
        <v>2878</v>
      </c>
      <c r="DCL1334" s="4" t="s">
        <v>2878</v>
      </c>
      <c r="DCM1334" s="4" t="s">
        <v>2878</v>
      </c>
      <c r="DCN1334" s="4" t="s">
        <v>2878</v>
      </c>
      <c r="DCO1334" s="4" t="s">
        <v>2878</v>
      </c>
      <c r="DCP1334" s="4" t="s">
        <v>2878</v>
      </c>
      <c r="DCQ1334" s="4" t="s">
        <v>2878</v>
      </c>
      <c r="DCR1334" s="4" t="s">
        <v>2878</v>
      </c>
      <c r="DCS1334" s="4" t="s">
        <v>2878</v>
      </c>
      <c r="DCT1334" s="4" t="s">
        <v>2878</v>
      </c>
      <c r="DCU1334" s="4" t="s">
        <v>2878</v>
      </c>
      <c r="DCV1334" s="4" t="s">
        <v>2878</v>
      </c>
      <c r="DCW1334" s="4" t="s">
        <v>2878</v>
      </c>
      <c r="DCX1334" s="4" t="s">
        <v>2878</v>
      </c>
      <c r="DCY1334" s="4" t="s">
        <v>2878</v>
      </c>
      <c r="DCZ1334" s="4" t="s">
        <v>2878</v>
      </c>
      <c r="DDA1334" s="4" t="s">
        <v>2878</v>
      </c>
      <c r="DDB1334" s="4" t="s">
        <v>2878</v>
      </c>
      <c r="DDC1334" s="4" t="s">
        <v>2878</v>
      </c>
      <c r="DDD1334" s="4" t="s">
        <v>2878</v>
      </c>
      <c r="DDE1334" s="4" t="s">
        <v>2878</v>
      </c>
      <c r="DDF1334" s="4" t="s">
        <v>2878</v>
      </c>
      <c r="DDG1334" s="4" t="s">
        <v>2878</v>
      </c>
      <c r="DDH1334" s="4" t="s">
        <v>2878</v>
      </c>
      <c r="DDI1334" s="4" t="s">
        <v>2878</v>
      </c>
      <c r="DDJ1334" s="4" t="s">
        <v>2878</v>
      </c>
      <c r="DDK1334" s="4" t="s">
        <v>2878</v>
      </c>
      <c r="DDL1334" s="4" t="s">
        <v>2878</v>
      </c>
      <c r="DDM1334" s="4" t="s">
        <v>2878</v>
      </c>
      <c r="DDN1334" s="4" t="s">
        <v>2878</v>
      </c>
      <c r="DDO1334" s="4" t="s">
        <v>2878</v>
      </c>
      <c r="DDP1334" s="4" t="s">
        <v>2878</v>
      </c>
      <c r="DDQ1334" s="4" t="s">
        <v>2878</v>
      </c>
      <c r="DDR1334" s="4" t="s">
        <v>2878</v>
      </c>
      <c r="DDS1334" s="4" t="s">
        <v>2878</v>
      </c>
      <c r="DDT1334" s="4" t="s">
        <v>2878</v>
      </c>
      <c r="DDU1334" s="4" t="s">
        <v>2878</v>
      </c>
      <c r="DDV1334" s="4" t="s">
        <v>2878</v>
      </c>
      <c r="DDW1334" s="4" t="s">
        <v>2878</v>
      </c>
      <c r="DDX1334" s="4" t="s">
        <v>2878</v>
      </c>
      <c r="DDY1334" s="4" t="s">
        <v>2878</v>
      </c>
      <c r="DDZ1334" s="4" t="s">
        <v>2878</v>
      </c>
      <c r="DEA1334" s="4" t="s">
        <v>2878</v>
      </c>
      <c r="DEB1334" s="4" t="s">
        <v>2878</v>
      </c>
      <c r="DEC1334" s="4" t="s">
        <v>2878</v>
      </c>
      <c r="DED1334" s="4" t="s">
        <v>2878</v>
      </c>
      <c r="DEE1334" s="4" t="s">
        <v>2878</v>
      </c>
      <c r="DEF1334" s="4" t="s">
        <v>2878</v>
      </c>
      <c r="DEG1334" s="4" t="s">
        <v>2878</v>
      </c>
      <c r="DEH1334" s="4" t="s">
        <v>2878</v>
      </c>
      <c r="DEI1334" s="4" t="s">
        <v>2878</v>
      </c>
      <c r="DEJ1334" s="4" t="s">
        <v>2878</v>
      </c>
      <c r="DEK1334" s="4" t="s">
        <v>2878</v>
      </c>
      <c r="DEL1334" s="4" t="s">
        <v>2878</v>
      </c>
      <c r="DEM1334" s="4" t="s">
        <v>2878</v>
      </c>
      <c r="DEN1334" s="4" t="s">
        <v>2878</v>
      </c>
      <c r="DEO1334" s="4" t="s">
        <v>2878</v>
      </c>
      <c r="DEP1334" s="4" t="s">
        <v>2878</v>
      </c>
      <c r="DEQ1334" s="4" t="s">
        <v>2878</v>
      </c>
      <c r="DER1334" s="4" t="s">
        <v>2878</v>
      </c>
      <c r="DES1334" s="4" t="s">
        <v>2878</v>
      </c>
      <c r="DET1334" s="4" t="s">
        <v>2878</v>
      </c>
      <c r="DEU1334" s="4" t="s">
        <v>2878</v>
      </c>
      <c r="DEV1334" s="4" t="s">
        <v>2878</v>
      </c>
      <c r="DEW1334" s="4" t="s">
        <v>2878</v>
      </c>
      <c r="DEX1334" s="4" t="s">
        <v>2878</v>
      </c>
      <c r="DEY1334" s="4" t="s">
        <v>2878</v>
      </c>
      <c r="DEZ1334" s="4" t="s">
        <v>2878</v>
      </c>
      <c r="DFA1334" s="4" t="s">
        <v>2878</v>
      </c>
      <c r="DFB1334" s="4" t="s">
        <v>2878</v>
      </c>
      <c r="DFC1334" s="4" t="s">
        <v>2878</v>
      </c>
      <c r="DFD1334" s="4" t="s">
        <v>2878</v>
      </c>
      <c r="DFE1334" s="4" t="s">
        <v>2878</v>
      </c>
      <c r="DFF1334" s="4" t="s">
        <v>2878</v>
      </c>
      <c r="DFG1334" s="4" t="s">
        <v>2878</v>
      </c>
      <c r="DFH1334" s="4" t="s">
        <v>2878</v>
      </c>
      <c r="DFI1334" s="4" t="s">
        <v>2878</v>
      </c>
      <c r="DFJ1334" s="4" t="s">
        <v>2878</v>
      </c>
      <c r="DFK1334" s="4" t="s">
        <v>2878</v>
      </c>
      <c r="DFL1334" s="4" t="s">
        <v>2878</v>
      </c>
      <c r="DFM1334" s="4" t="s">
        <v>2878</v>
      </c>
      <c r="DFN1334" s="4" t="s">
        <v>2878</v>
      </c>
      <c r="DFO1334" s="4" t="s">
        <v>2878</v>
      </c>
      <c r="DFP1334" s="4" t="s">
        <v>2878</v>
      </c>
      <c r="DFQ1334" s="4" t="s">
        <v>2878</v>
      </c>
      <c r="DFR1334" s="4" t="s">
        <v>2878</v>
      </c>
      <c r="DFS1334" s="4" t="s">
        <v>2878</v>
      </c>
      <c r="DFT1334" s="4" t="s">
        <v>2878</v>
      </c>
      <c r="DFU1334" s="4" t="s">
        <v>2878</v>
      </c>
      <c r="DFV1334" s="4" t="s">
        <v>2878</v>
      </c>
      <c r="DFW1334" s="4" t="s">
        <v>2878</v>
      </c>
      <c r="DFX1334" s="4" t="s">
        <v>2878</v>
      </c>
      <c r="DFY1334" s="4" t="s">
        <v>2878</v>
      </c>
      <c r="DFZ1334" s="4" t="s">
        <v>2878</v>
      </c>
      <c r="DGA1334" s="4" t="s">
        <v>2878</v>
      </c>
      <c r="DGB1334" s="4" t="s">
        <v>2878</v>
      </c>
      <c r="DGC1334" s="4" t="s">
        <v>2878</v>
      </c>
      <c r="DGD1334" s="4" t="s">
        <v>2878</v>
      </c>
      <c r="DGE1334" s="4" t="s">
        <v>2878</v>
      </c>
      <c r="DGF1334" s="4" t="s">
        <v>2878</v>
      </c>
      <c r="DGG1334" s="4" t="s">
        <v>2878</v>
      </c>
      <c r="DGH1334" s="4" t="s">
        <v>2878</v>
      </c>
      <c r="DGI1334" s="4" t="s">
        <v>2878</v>
      </c>
      <c r="DGJ1334" s="4" t="s">
        <v>2878</v>
      </c>
      <c r="DGK1334" s="4" t="s">
        <v>2878</v>
      </c>
      <c r="DGL1334" s="4" t="s">
        <v>2878</v>
      </c>
      <c r="DGM1334" s="4" t="s">
        <v>2878</v>
      </c>
      <c r="DGN1334" s="4" t="s">
        <v>2878</v>
      </c>
      <c r="DGO1334" s="4" t="s">
        <v>2878</v>
      </c>
      <c r="DGP1334" s="4" t="s">
        <v>2878</v>
      </c>
      <c r="DGQ1334" s="4" t="s">
        <v>2878</v>
      </c>
      <c r="DGR1334" s="4" t="s">
        <v>2878</v>
      </c>
      <c r="DGS1334" s="4" t="s">
        <v>2878</v>
      </c>
      <c r="DGT1334" s="4" t="s">
        <v>2878</v>
      </c>
      <c r="DGU1334" s="4" t="s">
        <v>2878</v>
      </c>
      <c r="DGV1334" s="4" t="s">
        <v>2878</v>
      </c>
      <c r="DGW1334" s="4" t="s">
        <v>2878</v>
      </c>
      <c r="DGX1334" s="4" t="s">
        <v>2878</v>
      </c>
      <c r="DGY1334" s="4" t="s">
        <v>2878</v>
      </c>
      <c r="DGZ1334" s="4" t="s">
        <v>2878</v>
      </c>
      <c r="DHA1334" s="4" t="s">
        <v>2878</v>
      </c>
      <c r="DHB1334" s="4" t="s">
        <v>2878</v>
      </c>
      <c r="DHC1334" s="4" t="s">
        <v>2878</v>
      </c>
      <c r="DHD1334" s="4" t="s">
        <v>2878</v>
      </c>
      <c r="DHE1334" s="4" t="s">
        <v>2878</v>
      </c>
      <c r="DHF1334" s="4" t="s">
        <v>2878</v>
      </c>
      <c r="DHG1334" s="4" t="s">
        <v>2878</v>
      </c>
      <c r="DHH1334" s="4" t="s">
        <v>2878</v>
      </c>
      <c r="DHI1334" s="4" t="s">
        <v>2878</v>
      </c>
      <c r="DHJ1334" s="4" t="s">
        <v>2878</v>
      </c>
      <c r="DHK1334" s="4" t="s">
        <v>2878</v>
      </c>
      <c r="DHL1334" s="4" t="s">
        <v>2878</v>
      </c>
      <c r="DHM1334" s="4" t="s">
        <v>2878</v>
      </c>
      <c r="DHN1334" s="4" t="s">
        <v>2878</v>
      </c>
      <c r="DHO1334" s="4" t="s">
        <v>2878</v>
      </c>
      <c r="DHP1334" s="4" t="s">
        <v>2878</v>
      </c>
      <c r="DHQ1334" s="4" t="s">
        <v>2878</v>
      </c>
      <c r="DHR1334" s="4" t="s">
        <v>2878</v>
      </c>
      <c r="DHS1334" s="4" t="s">
        <v>2878</v>
      </c>
      <c r="DHT1334" s="4" t="s">
        <v>2878</v>
      </c>
      <c r="DHU1334" s="4" t="s">
        <v>2878</v>
      </c>
      <c r="DHV1334" s="4" t="s">
        <v>2878</v>
      </c>
      <c r="DHW1334" s="4" t="s">
        <v>2878</v>
      </c>
      <c r="DHX1334" s="4" t="s">
        <v>2878</v>
      </c>
      <c r="DHY1334" s="4" t="s">
        <v>2878</v>
      </c>
      <c r="DHZ1334" s="4" t="s">
        <v>2878</v>
      </c>
      <c r="DIA1334" s="4" t="s">
        <v>2878</v>
      </c>
      <c r="DIB1334" s="4" t="s">
        <v>2878</v>
      </c>
      <c r="DIC1334" s="4" t="s">
        <v>2878</v>
      </c>
      <c r="DID1334" s="4" t="s">
        <v>2878</v>
      </c>
      <c r="DIE1334" s="4" t="s">
        <v>2878</v>
      </c>
      <c r="DIF1334" s="4" t="s">
        <v>2878</v>
      </c>
      <c r="DIG1334" s="4" t="s">
        <v>2878</v>
      </c>
      <c r="DIH1334" s="4" t="s">
        <v>2878</v>
      </c>
      <c r="DII1334" s="4" t="s">
        <v>2878</v>
      </c>
      <c r="DIJ1334" s="4" t="s">
        <v>2878</v>
      </c>
      <c r="DIK1334" s="4" t="s">
        <v>2878</v>
      </c>
      <c r="DIL1334" s="4" t="s">
        <v>2878</v>
      </c>
      <c r="DIM1334" s="4" t="s">
        <v>2878</v>
      </c>
      <c r="DIN1334" s="4" t="s">
        <v>2878</v>
      </c>
      <c r="DIO1334" s="4" t="s">
        <v>2878</v>
      </c>
      <c r="DIP1334" s="4" t="s">
        <v>2878</v>
      </c>
      <c r="DIQ1334" s="4" t="s">
        <v>2878</v>
      </c>
      <c r="DIR1334" s="4" t="s">
        <v>2878</v>
      </c>
      <c r="DIS1334" s="4" t="s">
        <v>2878</v>
      </c>
      <c r="DIT1334" s="4" t="s">
        <v>2878</v>
      </c>
      <c r="DIU1334" s="4" t="s">
        <v>2878</v>
      </c>
      <c r="DIV1334" s="4" t="s">
        <v>2878</v>
      </c>
      <c r="DIW1334" s="4" t="s">
        <v>2878</v>
      </c>
      <c r="DIX1334" s="4" t="s">
        <v>2878</v>
      </c>
      <c r="DIY1334" s="4" t="s">
        <v>2878</v>
      </c>
      <c r="DIZ1334" s="4" t="s">
        <v>2878</v>
      </c>
      <c r="DJA1334" s="4" t="s">
        <v>2878</v>
      </c>
      <c r="DJB1334" s="4" t="s">
        <v>2878</v>
      </c>
      <c r="DJC1334" s="4" t="s">
        <v>2878</v>
      </c>
      <c r="DJD1334" s="4" t="s">
        <v>2878</v>
      </c>
      <c r="DJE1334" s="4" t="s">
        <v>2878</v>
      </c>
      <c r="DJF1334" s="4" t="s">
        <v>2878</v>
      </c>
      <c r="DJG1334" s="4" t="s">
        <v>2878</v>
      </c>
      <c r="DJH1334" s="4" t="s">
        <v>2878</v>
      </c>
      <c r="DJI1334" s="4" t="s">
        <v>2878</v>
      </c>
      <c r="DJJ1334" s="4" t="s">
        <v>2878</v>
      </c>
      <c r="DJK1334" s="4" t="s">
        <v>2878</v>
      </c>
      <c r="DJL1334" s="4" t="s">
        <v>2878</v>
      </c>
      <c r="DJM1334" s="4" t="s">
        <v>2878</v>
      </c>
      <c r="DJN1334" s="4" t="s">
        <v>2878</v>
      </c>
      <c r="DJO1334" s="4" t="s">
        <v>2878</v>
      </c>
      <c r="DJP1334" s="4" t="s">
        <v>2878</v>
      </c>
      <c r="DJQ1334" s="4" t="s">
        <v>2878</v>
      </c>
      <c r="DJR1334" s="4" t="s">
        <v>2878</v>
      </c>
      <c r="DJS1334" s="4" t="s">
        <v>2878</v>
      </c>
      <c r="DJT1334" s="4" t="s">
        <v>2878</v>
      </c>
      <c r="DJU1334" s="4" t="s">
        <v>2878</v>
      </c>
      <c r="DJV1334" s="4" t="s">
        <v>2878</v>
      </c>
      <c r="DJW1334" s="4" t="s">
        <v>2878</v>
      </c>
      <c r="DJX1334" s="4" t="s">
        <v>2878</v>
      </c>
      <c r="DJY1334" s="4" t="s">
        <v>2878</v>
      </c>
      <c r="DJZ1334" s="4" t="s">
        <v>2878</v>
      </c>
      <c r="DKA1334" s="4" t="s">
        <v>2878</v>
      </c>
      <c r="DKB1334" s="4" t="s">
        <v>2878</v>
      </c>
      <c r="DKC1334" s="4" t="s">
        <v>2878</v>
      </c>
      <c r="DKD1334" s="4" t="s">
        <v>2878</v>
      </c>
      <c r="DKE1334" s="4" t="s">
        <v>2878</v>
      </c>
      <c r="DKF1334" s="4" t="s">
        <v>2878</v>
      </c>
      <c r="DKG1334" s="4" t="s">
        <v>2878</v>
      </c>
      <c r="DKH1334" s="4" t="s">
        <v>2878</v>
      </c>
      <c r="DKI1334" s="4" t="s">
        <v>2878</v>
      </c>
      <c r="DKJ1334" s="4" t="s">
        <v>2878</v>
      </c>
      <c r="DKK1334" s="4" t="s">
        <v>2878</v>
      </c>
      <c r="DKL1334" s="4" t="s">
        <v>2878</v>
      </c>
      <c r="DKM1334" s="4" t="s">
        <v>2878</v>
      </c>
      <c r="DKN1334" s="4" t="s">
        <v>2878</v>
      </c>
      <c r="DKO1334" s="4" t="s">
        <v>2878</v>
      </c>
      <c r="DKP1334" s="4" t="s">
        <v>2878</v>
      </c>
      <c r="DKQ1334" s="4" t="s">
        <v>2878</v>
      </c>
      <c r="DKR1334" s="4" t="s">
        <v>2878</v>
      </c>
      <c r="DKS1334" s="4" t="s">
        <v>2878</v>
      </c>
      <c r="DKT1334" s="4" t="s">
        <v>2878</v>
      </c>
      <c r="DKU1334" s="4" t="s">
        <v>2878</v>
      </c>
      <c r="DKV1334" s="4" t="s">
        <v>2878</v>
      </c>
      <c r="DKW1334" s="4" t="s">
        <v>2878</v>
      </c>
      <c r="DKX1334" s="4" t="s">
        <v>2878</v>
      </c>
      <c r="DKY1334" s="4" t="s">
        <v>2878</v>
      </c>
      <c r="DKZ1334" s="4" t="s">
        <v>2878</v>
      </c>
      <c r="DLA1334" s="4" t="s">
        <v>2878</v>
      </c>
      <c r="DLB1334" s="4" t="s">
        <v>2878</v>
      </c>
      <c r="DLC1334" s="4" t="s">
        <v>2878</v>
      </c>
      <c r="DLD1334" s="4" t="s">
        <v>2878</v>
      </c>
      <c r="DLE1334" s="4" t="s">
        <v>2878</v>
      </c>
      <c r="DLF1334" s="4" t="s">
        <v>2878</v>
      </c>
      <c r="DLG1334" s="4" t="s">
        <v>2878</v>
      </c>
      <c r="DLH1334" s="4" t="s">
        <v>2878</v>
      </c>
      <c r="DLI1334" s="4" t="s">
        <v>2878</v>
      </c>
      <c r="DLJ1334" s="4" t="s">
        <v>2878</v>
      </c>
      <c r="DLK1334" s="4" t="s">
        <v>2878</v>
      </c>
      <c r="DLL1334" s="4" t="s">
        <v>2878</v>
      </c>
      <c r="DLM1334" s="4" t="s">
        <v>2878</v>
      </c>
      <c r="DLN1334" s="4" t="s">
        <v>2878</v>
      </c>
      <c r="DLO1334" s="4" t="s">
        <v>2878</v>
      </c>
      <c r="DLP1334" s="4" t="s">
        <v>2878</v>
      </c>
      <c r="DLQ1334" s="4" t="s">
        <v>2878</v>
      </c>
      <c r="DLR1334" s="4" t="s">
        <v>2878</v>
      </c>
      <c r="DLS1334" s="4" t="s">
        <v>2878</v>
      </c>
      <c r="DLT1334" s="4" t="s">
        <v>2878</v>
      </c>
      <c r="DLU1334" s="4" t="s">
        <v>2878</v>
      </c>
      <c r="DLV1334" s="4" t="s">
        <v>2878</v>
      </c>
      <c r="DLW1334" s="4" t="s">
        <v>2878</v>
      </c>
      <c r="DLX1334" s="4" t="s">
        <v>2878</v>
      </c>
      <c r="DLY1334" s="4" t="s">
        <v>2878</v>
      </c>
      <c r="DLZ1334" s="4" t="s">
        <v>2878</v>
      </c>
      <c r="DMA1334" s="4" t="s">
        <v>2878</v>
      </c>
      <c r="DMB1334" s="4" t="s">
        <v>2878</v>
      </c>
      <c r="DMC1334" s="4" t="s">
        <v>2878</v>
      </c>
      <c r="DMD1334" s="4" t="s">
        <v>2878</v>
      </c>
      <c r="DME1334" s="4" t="s">
        <v>2878</v>
      </c>
      <c r="DMF1334" s="4" t="s">
        <v>2878</v>
      </c>
      <c r="DMG1334" s="4" t="s">
        <v>2878</v>
      </c>
      <c r="DMH1334" s="4" t="s">
        <v>2878</v>
      </c>
      <c r="DMI1334" s="4" t="s">
        <v>2878</v>
      </c>
      <c r="DMJ1334" s="4" t="s">
        <v>2878</v>
      </c>
      <c r="DMK1334" s="4" t="s">
        <v>2878</v>
      </c>
      <c r="DML1334" s="4" t="s">
        <v>2878</v>
      </c>
      <c r="DMM1334" s="4" t="s">
        <v>2878</v>
      </c>
      <c r="DMN1334" s="4" t="s">
        <v>2878</v>
      </c>
      <c r="DMO1334" s="4" t="s">
        <v>2878</v>
      </c>
      <c r="DMP1334" s="4" t="s">
        <v>2878</v>
      </c>
      <c r="DMQ1334" s="4" t="s">
        <v>2878</v>
      </c>
      <c r="DMR1334" s="4" t="s">
        <v>2878</v>
      </c>
      <c r="DMS1334" s="4" t="s">
        <v>2878</v>
      </c>
      <c r="DMT1334" s="4" t="s">
        <v>2878</v>
      </c>
      <c r="DMU1334" s="4" t="s">
        <v>2878</v>
      </c>
      <c r="DMV1334" s="4" t="s">
        <v>2878</v>
      </c>
      <c r="DMW1334" s="4" t="s">
        <v>2878</v>
      </c>
      <c r="DMX1334" s="4" t="s">
        <v>2878</v>
      </c>
      <c r="DMY1334" s="4" t="s">
        <v>2878</v>
      </c>
      <c r="DMZ1334" s="4" t="s">
        <v>2878</v>
      </c>
      <c r="DNA1334" s="4" t="s">
        <v>2878</v>
      </c>
      <c r="DNB1334" s="4" t="s">
        <v>2878</v>
      </c>
      <c r="DNC1334" s="4" t="s">
        <v>2878</v>
      </c>
      <c r="DND1334" s="4" t="s">
        <v>2878</v>
      </c>
      <c r="DNE1334" s="4" t="s">
        <v>2878</v>
      </c>
      <c r="DNF1334" s="4" t="s">
        <v>2878</v>
      </c>
      <c r="DNG1334" s="4" t="s">
        <v>2878</v>
      </c>
      <c r="DNH1334" s="4" t="s">
        <v>2878</v>
      </c>
      <c r="DNI1334" s="4" t="s">
        <v>2878</v>
      </c>
      <c r="DNJ1334" s="4" t="s">
        <v>2878</v>
      </c>
      <c r="DNK1334" s="4" t="s">
        <v>2878</v>
      </c>
      <c r="DNL1334" s="4" t="s">
        <v>2878</v>
      </c>
      <c r="DNM1334" s="4" t="s">
        <v>2878</v>
      </c>
      <c r="DNN1334" s="4" t="s">
        <v>2878</v>
      </c>
      <c r="DNO1334" s="4" t="s">
        <v>2878</v>
      </c>
      <c r="DNP1334" s="4" t="s">
        <v>2878</v>
      </c>
      <c r="DNQ1334" s="4" t="s">
        <v>2878</v>
      </c>
      <c r="DNR1334" s="4" t="s">
        <v>2878</v>
      </c>
      <c r="DNS1334" s="4" t="s">
        <v>2878</v>
      </c>
      <c r="DNT1334" s="4" t="s">
        <v>2878</v>
      </c>
      <c r="DNU1334" s="4" t="s">
        <v>2878</v>
      </c>
      <c r="DNV1334" s="4" t="s">
        <v>2878</v>
      </c>
      <c r="DNW1334" s="4" t="s">
        <v>2878</v>
      </c>
      <c r="DNX1334" s="4" t="s">
        <v>2878</v>
      </c>
      <c r="DNY1334" s="4" t="s">
        <v>2878</v>
      </c>
      <c r="DNZ1334" s="4" t="s">
        <v>2878</v>
      </c>
      <c r="DOA1334" s="4" t="s">
        <v>2878</v>
      </c>
      <c r="DOB1334" s="4" t="s">
        <v>2878</v>
      </c>
      <c r="DOC1334" s="4" t="s">
        <v>2878</v>
      </c>
      <c r="DOD1334" s="4" t="s">
        <v>2878</v>
      </c>
      <c r="DOE1334" s="4" t="s">
        <v>2878</v>
      </c>
      <c r="DOF1334" s="4" t="s">
        <v>2878</v>
      </c>
      <c r="DOG1334" s="4" t="s">
        <v>2878</v>
      </c>
      <c r="DOH1334" s="4" t="s">
        <v>2878</v>
      </c>
      <c r="DOI1334" s="4" t="s">
        <v>2878</v>
      </c>
      <c r="DOJ1334" s="4" t="s">
        <v>2878</v>
      </c>
      <c r="DOK1334" s="4" t="s">
        <v>2878</v>
      </c>
      <c r="DOL1334" s="4" t="s">
        <v>2878</v>
      </c>
      <c r="DOM1334" s="4" t="s">
        <v>2878</v>
      </c>
      <c r="DON1334" s="4" t="s">
        <v>2878</v>
      </c>
      <c r="DOO1334" s="4" t="s">
        <v>2878</v>
      </c>
      <c r="DOP1334" s="4" t="s">
        <v>2878</v>
      </c>
      <c r="DOQ1334" s="4" t="s">
        <v>2878</v>
      </c>
      <c r="DOR1334" s="4" t="s">
        <v>2878</v>
      </c>
      <c r="DOS1334" s="4" t="s">
        <v>2878</v>
      </c>
      <c r="DOT1334" s="4" t="s">
        <v>2878</v>
      </c>
      <c r="DOU1334" s="4" t="s">
        <v>2878</v>
      </c>
      <c r="DOV1334" s="4" t="s">
        <v>2878</v>
      </c>
      <c r="DOW1334" s="4" t="s">
        <v>2878</v>
      </c>
      <c r="DOX1334" s="4" t="s">
        <v>2878</v>
      </c>
      <c r="DOY1334" s="4" t="s">
        <v>2878</v>
      </c>
      <c r="DOZ1334" s="4" t="s">
        <v>2878</v>
      </c>
      <c r="DPA1334" s="4" t="s">
        <v>2878</v>
      </c>
      <c r="DPB1334" s="4" t="s">
        <v>2878</v>
      </c>
      <c r="DPC1334" s="4" t="s">
        <v>2878</v>
      </c>
      <c r="DPD1334" s="4" t="s">
        <v>2878</v>
      </c>
      <c r="DPE1334" s="4" t="s">
        <v>2878</v>
      </c>
      <c r="DPF1334" s="4" t="s">
        <v>2878</v>
      </c>
      <c r="DPG1334" s="4" t="s">
        <v>2878</v>
      </c>
      <c r="DPH1334" s="4" t="s">
        <v>2878</v>
      </c>
      <c r="DPI1334" s="4" t="s">
        <v>2878</v>
      </c>
      <c r="DPJ1334" s="4" t="s">
        <v>2878</v>
      </c>
      <c r="DPK1334" s="4" t="s">
        <v>2878</v>
      </c>
      <c r="DPL1334" s="4" t="s">
        <v>2878</v>
      </c>
      <c r="DPM1334" s="4" t="s">
        <v>2878</v>
      </c>
      <c r="DPN1334" s="4" t="s">
        <v>2878</v>
      </c>
      <c r="DPO1334" s="4" t="s">
        <v>2878</v>
      </c>
      <c r="DPP1334" s="4" t="s">
        <v>2878</v>
      </c>
      <c r="DPQ1334" s="4" t="s">
        <v>2878</v>
      </c>
      <c r="DPR1334" s="4" t="s">
        <v>2878</v>
      </c>
      <c r="DPS1334" s="4" t="s">
        <v>2878</v>
      </c>
      <c r="DPT1334" s="4" t="s">
        <v>2878</v>
      </c>
      <c r="DPU1334" s="4" t="s">
        <v>2878</v>
      </c>
      <c r="DPV1334" s="4" t="s">
        <v>2878</v>
      </c>
      <c r="DPW1334" s="4" t="s">
        <v>2878</v>
      </c>
      <c r="DPX1334" s="4" t="s">
        <v>2878</v>
      </c>
      <c r="DPY1334" s="4" t="s">
        <v>2878</v>
      </c>
      <c r="DPZ1334" s="4" t="s">
        <v>2878</v>
      </c>
      <c r="DQA1334" s="4" t="s">
        <v>2878</v>
      </c>
      <c r="DQB1334" s="4" t="s">
        <v>2878</v>
      </c>
      <c r="DQC1334" s="4" t="s">
        <v>2878</v>
      </c>
      <c r="DQD1334" s="4" t="s">
        <v>2878</v>
      </c>
      <c r="DQE1334" s="4" t="s">
        <v>2878</v>
      </c>
      <c r="DQF1334" s="4" t="s">
        <v>2878</v>
      </c>
      <c r="DQG1334" s="4" t="s">
        <v>2878</v>
      </c>
      <c r="DQH1334" s="4" t="s">
        <v>2878</v>
      </c>
      <c r="DQI1334" s="4" t="s">
        <v>2878</v>
      </c>
      <c r="DQJ1334" s="4" t="s">
        <v>2878</v>
      </c>
      <c r="DQK1334" s="4" t="s">
        <v>2878</v>
      </c>
      <c r="DQL1334" s="4" t="s">
        <v>2878</v>
      </c>
      <c r="DQM1334" s="4" t="s">
        <v>2878</v>
      </c>
      <c r="DQN1334" s="4" t="s">
        <v>2878</v>
      </c>
      <c r="DQO1334" s="4" t="s">
        <v>2878</v>
      </c>
      <c r="DQP1334" s="4" t="s">
        <v>2878</v>
      </c>
      <c r="DQQ1334" s="4" t="s">
        <v>2878</v>
      </c>
      <c r="DQR1334" s="4" t="s">
        <v>2878</v>
      </c>
      <c r="DQS1334" s="4" t="s">
        <v>2878</v>
      </c>
      <c r="DQT1334" s="4" t="s">
        <v>2878</v>
      </c>
      <c r="DQU1334" s="4" t="s">
        <v>2878</v>
      </c>
      <c r="DQV1334" s="4" t="s">
        <v>2878</v>
      </c>
      <c r="DQW1334" s="4" t="s">
        <v>2878</v>
      </c>
      <c r="DQX1334" s="4" t="s">
        <v>2878</v>
      </c>
      <c r="DQY1334" s="4" t="s">
        <v>2878</v>
      </c>
      <c r="DQZ1334" s="4" t="s">
        <v>2878</v>
      </c>
      <c r="DRA1334" s="4" t="s">
        <v>2878</v>
      </c>
      <c r="DRB1334" s="4" t="s">
        <v>2878</v>
      </c>
      <c r="DRC1334" s="4" t="s">
        <v>2878</v>
      </c>
      <c r="DRD1334" s="4" t="s">
        <v>2878</v>
      </c>
      <c r="DRE1334" s="4" t="s">
        <v>2878</v>
      </c>
      <c r="DRF1334" s="4" t="s">
        <v>2878</v>
      </c>
      <c r="DRG1334" s="4" t="s">
        <v>2878</v>
      </c>
      <c r="DRH1334" s="4" t="s">
        <v>2878</v>
      </c>
      <c r="DRI1334" s="4" t="s">
        <v>2878</v>
      </c>
      <c r="DRJ1334" s="4" t="s">
        <v>2878</v>
      </c>
      <c r="DRK1334" s="4" t="s">
        <v>2878</v>
      </c>
      <c r="DRL1334" s="4" t="s">
        <v>2878</v>
      </c>
      <c r="DRM1334" s="4" t="s">
        <v>2878</v>
      </c>
      <c r="DRN1334" s="4" t="s">
        <v>2878</v>
      </c>
      <c r="DRO1334" s="4" t="s">
        <v>2878</v>
      </c>
      <c r="DRP1334" s="4" t="s">
        <v>2878</v>
      </c>
      <c r="DRQ1334" s="4" t="s">
        <v>2878</v>
      </c>
      <c r="DRR1334" s="4" t="s">
        <v>2878</v>
      </c>
      <c r="DRS1334" s="4" t="s">
        <v>2878</v>
      </c>
      <c r="DRT1334" s="4" t="s">
        <v>2878</v>
      </c>
      <c r="DRU1334" s="4" t="s">
        <v>2878</v>
      </c>
      <c r="DRV1334" s="4" t="s">
        <v>2878</v>
      </c>
      <c r="DRW1334" s="4" t="s">
        <v>2878</v>
      </c>
      <c r="DRX1334" s="4" t="s">
        <v>2878</v>
      </c>
      <c r="DRY1334" s="4" t="s">
        <v>2878</v>
      </c>
      <c r="DRZ1334" s="4" t="s">
        <v>2878</v>
      </c>
      <c r="DSA1334" s="4" t="s">
        <v>2878</v>
      </c>
      <c r="DSB1334" s="4" t="s">
        <v>2878</v>
      </c>
      <c r="DSC1334" s="4" t="s">
        <v>2878</v>
      </c>
      <c r="DSD1334" s="4" t="s">
        <v>2878</v>
      </c>
      <c r="DSE1334" s="4" t="s">
        <v>2878</v>
      </c>
      <c r="DSF1334" s="4" t="s">
        <v>2878</v>
      </c>
      <c r="DSG1334" s="4" t="s">
        <v>2878</v>
      </c>
      <c r="DSH1334" s="4" t="s">
        <v>2878</v>
      </c>
      <c r="DSI1334" s="4" t="s">
        <v>2878</v>
      </c>
      <c r="DSJ1334" s="4" t="s">
        <v>2878</v>
      </c>
      <c r="DSK1334" s="4" t="s">
        <v>2878</v>
      </c>
      <c r="DSL1334" s="4" t="s">
        <v>2878</v>
      </c>
      <c r="DSM1334" s="4" t="s">
        <v>2878</v>
      </c>
      <c r="DSN1334" s="4" t="s">
        <v>2878</v>
      </c>
      <c r="DSO1334" s="4" t="s">
        <v>2878</v>
      </c>
      <c r="DSP1334" s="4" t="s">
        <v>2878</v>
      </c>
      <c r="DSQ1334" s="4" t="s">
        <v>2878</v>
      </c>
      <c r="DSR1334" s="4" t="s">
        <v>2878</v>
      </c>
      <c r="DSS1334" s="4" t="s">
        <v>2878</v>
      </c>
      <c r="DST1334" s="4" t="s">
        <v>2878</v>
      </c>
      <c r="DSU1334" s="4" t="s">
        <v>2878</v>
      </c>
      <c r="DSV1334" s="4" t="s">
        <v>2878</v>
      </c>
      <c r="DSW1334" s="4" t="s">
        <v>2878</v>
      </c>
      <c r="DSX1334" s="4" t="s">
        <v>2878</v>
      </c>
      <c r="DSY1334" s="4" t="s">
        <v>2878</v>
      </c>
      <c r="DSZ1334" s="4" t="s">
        <v>2878</v>
      </c>
      <c r="DTA1334" s="4" t="s">
        <v>2878</v>
      </c>
      <c r="DTB1334" s="4" t="s">
        <v>2878</v>
      </c>
      <c r="DTC1334" s="4" t="s">
        <v>2878</v>
      </c>
      <c r="DTD1334" s="4" t="s">
        <v>2878</v>
      </c>
      <c r="DTE1334" s="4" t="s">
        <v>2878</v>
      </c>
      <c r="DTF1334" s="4" t="s">
        <v>2878</v>
      </c>
      <c r="DTG1334" s="4" t="s">
        <v>2878</v>
      </c>
      <c r="DTH1334" s="4" t="s">
        <v>2878</v>
      </c>
      <c r="DTI1334" s="4" t="s">
        <v>2878</v>
      </c>
      <c r="DTJ1334" s="4" t="s">
        <v>2878</v>
      </c>
      <c r="DTK1334" s="4" t="s">
        <v>2878</v>
      </c>
      <c r="DTL1334" s="4" t="s">
        <v>2878</v>
      </c>
      <c r="DTM1334" s="4" t="s">
        <v>2878</v>
      </c>
      <c r="DTN1334" s="4" t="s">
        <v>2878</v>
      </c>
      <c r="DTO1334" s="4" t="s">
        <v>2878</v>
      </c>
      <c r="DTP1334" s="4" t="s">
        <v>2878</v>
      </c>
      <c r="DTQ1334" s="4" t="s">
        <v>2878</v>
      </c>
      <c r="DTR1334" s="4" t="s">
        <v>2878</v>
      </c>
      <c r="DTS1334" s="4" t="s">
        <v>2878</v>
      </c>
      <c r="DTT1334" s="4" t="s">
        <v>2878</v>
      </c>
      <c r="DTU1334" s="4" t="s">
        <v>2878</v>
      </c>
      <c r="DTV1334" s="4" t="s">
        <v>2878</v>
      </c>
      <c r="DTW1334" s="4" t="s">
        <v>2878</v>
      </c>
      <c r="DTX1334" s="4" t="s">
        <v>2878</v>
      </c>
      <c r="DTY1334" s="4" t="s">
        <v>2878</v>
      </c>
      <c r="DTZ1334" s="4" t="s">
        <v>2878</v>
      </c>
      <c r="DUA1334" s="4" t="s">
        <v>2878</v>
      </c>
      <c r="DUB1334" s="4" t="s">
        <v>2878</v>
      </c>
      <c r="DUC1334" s="4" t="s">
        <v>2878</v>
      </c>
      <c r="DUD1334" s="4" t="s">
        <v>2878</v>
      </c>
      <c r="DUE1334" s="4" t="s">
        <v>2878</v>
      </c>
      <c r="DUF1334" s="4" t="s">
        <v>2878</v>
      </c>
      <c r="DUG1334" s="4" t="s">
        <v>2878</v>
      </c>
      <c r="DUH1334" s="4" t="s">
        <v>2878</v>
      </c>
      <c r="DUI1334" s="4" t="s">
        <v>2878</v>
      </c>
      <c r="DUJ1334" s="4" t="s">
        <v>2878</v>
      </c>
      <c r="DUK1334" s="4" t="s">
        <v>2878</v>
      </c>
      <c r="DUL1334" s="4" t="s">
        <v>2878</v>
      </c>
      <c r="DUM1334" s="4" t="s">
        <v>2878</v>
      </c>
      <c r="DUN1334" s="4" t="s">
        <v>2878</v>
      </c>
      <c r="DUO1334" s="4" t="s">
        <v>2878</v>
      </c>
      <c r="DUP1334" s="4" t="s">
        <v>2878</v>
      </c>
      <c r="DUQ1334" s="4" t="s">
        <v>2878</v>
      </c>
      <c r="DUR1334" s="4" t="s">
        <v>2878</v>
      </c>
      <c r="DUS1334" s="4" t="s">
        <v>2878</v>
      </c>
      <c r="DUT1334" s="4" t="s">
        <v>2878</v>
      </c>
      <c r="DUU1334" s="4" t="s">
        <v>2878</v>
      </c>
      <c r="DUV1334" s="4" t="s">
        <v>2878</v>
      </c>
      <c r="DUW1334" s="4" t="s">
        <v>2878</v>
      </c>
      <c r="DUX1334" s="4" t="s">
        <v>2878</v>
      </c>
      <c r="DUY1334" s="4" t="s">
        <v>2878</v>
      </c>
      <c r="DUZ1334" s="4" t="s">
        <v>2878</v>
      </c>
      <c r="DVA1334" s="4" t="s">
        <v>2878</v>
      </c>
      <c r="DVB1334" s="4" t="s">
        <v>2878</v>
      </c>
      <c r="DVC1334" s="4" t="s">
        <v>2878</v>
      </c>
      <c r="DVD1334" s="4" t="s">
        <v>2878</v>
      </c>
      <c r="DVE1334" s="4" t="s">
        <v>2878</v>
      </c>
      <c r="DVF1334" s="4" t="s">
        <v>2878</v>
      </c>
      <c r="DVG1334" s="4" t="s">
        <v>2878</v>
      </c>
      <c r="DVH1334" s="4" t="s">
        <v>2878</v>
      </c>
      <c r="DVI1334" s="4" t="s">
        <v>2878</v>
      </c>
      <c r="DVJ1334" s="4" t="s">
        <v>2878</v>
      </c>
      <c r="DVK1334" s="4" t="s">
        <v>2878</v>
      </c>
      <c r="DVL1334" s="4" t="s">
        <v>2878</v>
      </c>
      <c r="DVM1334" s="4" t="s">
        <v>2878</v>
      </c>
      <c r="DVN1334" s="4" t="s">
        <v>2878</v>
      </c>
      <c r="DVO1334" s="4" t="s">
        <v>2878</v>
      </c>
      <c r="DVP1334" s="4" t="s">
        <v>2878</v>
      </c>
      <c r="DVQ1334" s="4" t="s">
        <v>2878</v>
      </c>
      <c r="DVR1334" s="4" t="s">
        <v>2878</v>
      </c>
      <c r="DVS1334" s="4" t="s">
        <v>2878</v>
      </c>
      <c r="DVT1334" s="4" t="s">
        <v>2878</v>
      </c>
      <c r="DVU1334" s="4" t="s">
        <v>2878</v>
      </c>
      <c r="DVV1334" s="4" t="s">
        <v>2878</v>
      </c>
      <c r="DVW1334" s="4" t="s">
        <v>2878</v>
      </c>
      <c r="DVX1334" s="4" t="s">
        <v>2878</v>
      </c>
      <c r="DVY1334" s="4" t="s">
        <v>2878</v>
      </c>
      <c r="DVZ1334" s="4" t="s">
        <v>2878</v>
      </c>
      <c r="DWA1334" s="4" t="s">
        <v>2878</v>
      </c>
      <c r="DWB1334" s="4" t="s">
        <v>2878</v>
      </c>
      <c r="DWC1334" s="4" t="s">
        <v>2878</v>
      </c>
      <c r="DWD1334" s="4" t="s">
        <v>2878</v>
      </c>
      <c r="DWE1334" s="4" t="s">
        <v>2878</v>
      </c>
      <c r="DWF1334" s="4" t="s">
        <v>2878</v>
      </c>
      <c r="DWG1334" s="4" t="s">
        <v>2878</v>
      </c>
      <c r="DWH1334" s="4" t="s">
        <v>2878</v>
      </c>
      <c r="DWI1334" s="4" t="s">
        <v>2878</v>
      </c>
      <c r="DWJ1334" s="4" t="s">
        <v>2878</v>
      </c>
      <c r="DWK1334" s="4" t="s">
        <v>2878</v>
      </c>
      <c r="DWL1334" s="4" t="s">
        <v>2878</v>
      </c>
      <c r="DWM1334" s="4" t="s">
        <v>2878</v>
      </c>
      <c r="DWN1334" s="4" t="s">
        <v>2878</v>
      </c>
      <c r="DWO1334" s="4" t="s">
        <v>2878</v>
      </c>
      <c r="DWP1334" s="4" t="s">
        <v>2878</v>
      </c>
      <c r="DWQ1334" s="4" t="s">
        <v>2878</v>
      </c>
      <c r="DWR1334" s="4" t="s">
        <v>2878</v>
      </c>
      <c r="DWS1334" s="4" t="s">
        <v>2878</v>
      </c>
      <c r="DWT1334" s="4" t="s">
        <v>2878</v>
      </c>
      <c r="DWU1334" s="4" t="s">
        <v>2878</v>
      </c>
      <c r="DWV1334" s="4" t="s">
        <v>2878</v>
      </c>
      <c r="DWW1334" s="4" t="s">
        <v>2878</v>
      </c>
      <c r="DWX1334" s="4" t="s">
        <v>2878</v>
      </c>
      <c r="DWY1334" s="4" t="s">
        <v>2878</v>
      </c>
      <c r="DWZ1334" s="4" t="s">
        <v>2878</v>
      </c>
      <c r="DXA1334" s="4" t="s">
        <v>2878</v>
      </c>
      <c r="DXB1334" s="4" t="s">
        <v>2878</v>
      </c>
      <c r="DXC1334" s="4" t="s">
        <v>2878</v>
      </c>
      <c r="DXD1334" s="4" t="s">
        <v>2878</v>
      </c>
      <c r="DXE1334" s="4" t="s">
        <v>2878</v>
      </c>
      <c r="DXF1334" s="4" t="s">
        <v>2878</v>
      </c>
      <c r="DXG1334" s="4" t="s">
        <v>2878</v>
      </c>
      <c r="DXH1334" s="4" t="s">
        <v>2878</v>
      </c>
      <c r="DXI1334" s="4" t="s">
        <v>2878</v>
      </c>
      <c r="DXJ1334" s="4" t="s">
        <v>2878</v>
      </c>
      <c r="DXK1334" s="4" t="s">
        <v>2878</v>
      </c>
      <c r="DXL1334" s="4" t="s">
        <v>2878</v>
      </c>
      <c r="DXM1334" s="4" t="s">
        <v>2878</v>
      </c>
      <c r="DXN1334" s="4" t="s">
        <v>2878</v>
      </c>
      <c r="DXO1334" s="4" t="s">
        <v>2878</v>
      </c>
      <c r="DXP1334" s="4" t="s">
        <v>2878</v>
      </c>
      <c r="DXQ1334" s="4" t="s">
        <v>2878</v>
      </c>
      <c r="DXR1334" s="4" t="s">
        <v>2878</v>
      </c>
      <c r="DXS1334" s="4" t="s">
        <v>2878</v>
      </c>
      <c r="DXT1334" s="4" t="s">
        <v>2878</v>
      </c>
      <c r="DXU1334" s="4" t="s">
        <v>2878</v>
      </c>
      <c r="DXV1334" s="4" t="s">
        <v>2878</v>
      </c>
      <c r="DXW1334" s="4" t="s">
        <v>2878</v>
      </c>
      <c r="DXX1334" s="4" t="s">
        <v>2878</v>
      </c>
      <c r="DXY1334" s="4" t="s">
        <v>2878</v>
      </c>
      <c r="DXZ1334" s="4" t="s">
        <v>2878</v>
      </c>
      <c r="DYA1334" s="4" t="s">
        <v>2878</v>
      </c>
      <c r="DYB1334" s="4" t="s">
        <v>2878</v>
      </c>
      <c r="DYC1334" s="4" t="s">
        <v>2878</v>
      </c>
      <c r="DYD1334" s="4" t="s">
        <v>2878</v>
      </c>
      <c r="DYE1334" s="4" t="s">
        <v>2878</v>
      </c>
      <c r="DYF1334" s="4" t="s">
        <v>2878</v>
      </c>
      <c r="DYG1334" s="4" t="s">
        <v>2878</v>
      </c>
      <c r="DYH1334" s="4" t="s">
        <v>2878</v>
      </c>
      <c r="DYI1334" s="4" t="s">
        <v>2878</v>
      </c>
      <c r="DYJ1334" s="4" t="s">
        <v>2878</v>
      </c>
      <c r="DYK1334" s="4" t="s">
        <v>2878</v>
      </c>
      <c r="DYL1334" s="4" t="s">
        <v>2878</v>
      </c>
      <c r="DYM1334" s="4" t="s">
        <v>2878</v>
      </c>
      <c r="DYN1334" s="4" t="s">
        <v>2878</v>
      </c>
      <c r="DYO1334" s="4" t="s">
        <v>2878</v>
      </c>
      <c r="DYP1334" s="4" t="s">
        <v>2878</v>
      </c>
      <c r="DYQ1334" s="4" t="s">
        <v>2878</v>
      </c>
      <c r="DYR1334" s="4" t="s">
        <v>2878</v>
      </c>
      <c r="DYS1334" s="4" t="s">
        <v>2878</v>
      </c>
      <c r="DYT1334" s="4" t="s">
        <v>2878</v>
      </c>
      <c r="DYU1334" s="4" t="s">
        <v>2878</v>
      </c>
      <c r="DYV1334" s="4" t="s">
        <v>2878</v>
      </c>
      <c r="DYW1334" s="4" t="s">
        <v>2878</v>
      </c>
      <c r="DYX1334" s="4" t="s">
        <v>2878</v>
      </c>
      <c r="DYY1334" s="4" t="s">
        <v>2878</v>
      </c>
      <c r="DYZ1334" s="4" t="s">
        <v>2878</v>
      </c>
      <c r="DZA1334" s="4" t="s">
        <v>2878</v>
      </c>
      <c r="DZB1334" s="4" t="s">
        <v>2878</v>
      </c>
      <c r="DZC1334" s="4" t="s">
        <v>2878</v>
      </c>
      <c r="DZD1334" s="4" t="s">
        <v>2878</v>
      </c>
      <c r="DZE1334" s="4" t="s">
        <v>2878</v>
      </c>
      <c r="DZF1334" s="4" t="s">
        <v>2878</v>
      </c>
      <c r="DZG1334" s="4" t="s">
        <v>2878</v>
      </c>
      <c r="DZH1334" s="4" t="s">
        <v>2878</v>
      </c>
      <c r="DZI1334" s="4" t="s">
        <v>2878</v>
      </c>
      <c r="DZJ1334" s="4" t="s">
        <v>2878</v>
      </c>
      <c r="DZK1334" s="4" t="s">
        <v>2878</v>
      </c>
      <c r="DZL1334" s="4" t="s">
        <v>2878</v>
      </c>
      <c r="DZM1334" s="4" t="s">
        <v>2878</v>
      </c>
      <c r="DZN1334" s="4" t="s">
        <v>2878</v>
      </c>
      <c r="DZO1334" s="4" t="s">
        <v>2878</v>
      </c>
      <c r="DZP1334" s="4" t="s">
        <v>2878</v>
      </c>
      <c r="DZQ1334" s="4" t="s">
        <v>2878</v>
      </c>
      <c r="DZR1334" s="4" t="s">
        <v>2878</v>
      </c>
      <c r="DZS1334" s="4" t="s">
        <v>2878</v>
      </c>
      <c r="DZT1334" s="4" t="s">
        <v>2878</v>
      </c>
      <c r="DZU1334" s="4" t="s">
        <v>2878</v>
      </c>
      <c r="DZV1334" s="4" t="s">
        <v>2878</v>
      </c>
      <c r="DZW1334" s="4" t="s">
        <v>2878</v>
      </c>
      <c r="DZX1334" s="4" t="s">
        <v>2878</v>
      </c>
      <c r="DZY1334" s="4" t="s">
        <v>2878</v>
      </c>
      <c r="DZZ1334" s="4" t="s">
        <v>2878</v>
      </c>
      <c r="EAA1334" s="4" t="s">
        <v>2878</v>
      </c>
      <c r="EAB1334" s="4" t="s">
        <v>2878</v>
      </c>
      <c r="EAC1334" s="4" t="s">
        <v>2878</v>
      </c>
      <c r="EAD1334" s="4" t="s">
        <v>2878</v>
      </c>
      <c r="EAE1334" s="4" t="s">
        <v>2878</v>
      </c>
      <c r="EAF1334" s="4" t="s">
        <v>2878</v>
      </c>
      <c r="EAG1334" s="4" t="s">
        <v>2878</v>
      </c>
      <c r="EAH1334" s="4" t="s">
        <v>2878</v>
      </c>
      <c r="EAI1334" s="4" t="s">
        <v>2878</v>
      </c>
      <c r="EAJ1334" s="4" t="s">
        <v>2878</v>
      </c>
      <c r="EAK1334" s="4" t="s">
        <v>2878</v>
      </c>
      <c r="EAL1334" s="4" t="s">
        <v>2878</v>
      </c>
      <c r="EAM1334" s="4" t="s">
        <v>2878</v>
      </c>
      <c r="EAN1334" s="4" t="s">
        <v>2878</v>
      </c>
      <c r="EAO1334" s="4" t="s">
        <v>2878</v>
      </c>
      <c r="EAP1334" s="4" t="s">
        <v>2878</v>
      </c>
      <c r="EAQ1334" s="4" t="s">
        <v>2878</v>
      </c>
      <c r="EAR1334" s="4" t="s">
        <v>2878</v>
      </c>
      <c r="EAS1334" s="4" t="s">
        <v>2878</v>
      </c>
      <c r="EAT1334" s="4" t="s">
        <v>2878</v>
      </c>
      <c r="EAU1334" s="4" t="s">
        <v>2878</v>
      </c>
      <c r="EAV1334" s="4" t="s">
        <v>2878</v>
      </c>
      <c r="EAW1334" s="4" t="s">
        <v>2878</v>
      </c>
      <c r="EAX1334" s="4" t="s">
        <v>2878</v>
      </c>
      <c r="EAY1334" s="4" t="s">
        <v>2878</v>
      </c>
      <c r="EAZ1334" s="4" t="s">
        <v>2878</v>
      </c>
      <c r="EBA1334" s="4" t="s">
        <v>2878</v>
      </c>
      <c r="EBB1334" s="4" t="s">
        <v>2878</v>
      </c>
      <c r="EBC1334" s="4" t="s">
        <v>2878</v>
      </c>
      <c r="EBD1334" s="4" t="s">
        <v>2878</v>
      </c>
      <c r="EBE1334" s="4" t="s">
        <v>2878</v>
      </c>
      <c r="EBF1334" s="4" t="s">
        <v>2878</v>
      </c>
      <c r="EBG1334" s="4" t="s">
        <v>2878</v>
      </c>
      <c r="EBH1334" s="4" t="s">
        <v>2878</v>
      </c>
      <c r="EBI1334" s="4" t="s">
        <v>2878</v>
      </c>
      <c r="EBJ1334" s="4" t="s">
        <v>2878</v>
      </c>
      <c r="EBK1334" s="4" t="s">
        <v>2878</v>
      </c>
      <c r="EBL1334" s="4" t="s">
        <v>2878</v>
      </c>
      <c r="EBM1334" s="4" t="s">
        <v>2878</v>
      </c>
      <c r="EBN1334" s="4" t="s">
        <v>2878</v>
      </c>
      <c r="EBO1334" s="4" t="s">
        <v>2878</v>
      </c>
      <c r="EBP1334" s="4" t="s">
        <v>2878</v>
      </c>
      <c r="EBQ1334" s="4" t="s">
        <v>2878</v>
      </c>
      <c r="EBR1334" s="4" t="s">
        <v>2878</v>
      </c>
      <c r="EBS1334" s="4" t="s">
        <v>2878</v>
      </c>
      <c r="EBT1334" s="4" t="s">
        <v>2878</v>
      </c>
      <c r="EBU1334" s="4" t="s">
        <v>2878</v>
      </c>
      <c r="EBV1334" s="4" t="s">
        <v>2878</v>
      </c>
      <c r="EBW1334" s="4" t="s">
        <v>2878</v>
      </c>
      <c r="EBX1334" s="4" t="s">
        <v>2878</v>
      </c>
      <c r="EBY1334" s="4" t="s">
        <v>2878</v>
      </c>
      <c r="EBZ1334" s="4" t="s">
        <v>2878</v>
      </c>
      <c r="ECA1334" s="4" t="s">
        <v>2878</v>
      </c>
      <c r="ECB1334" s="4" t="s">
        <v>2878</v>
      </c>
      <c r="ECC1334" s="4" t="s">
        <v>2878</v>
      </c>
      <c r="ECD1334" s="4" t="s">
        <v>2878</v>
      </c>
      <c r="ECE1334" s="4" t="s">
        <v>2878</v>
      </c>
      <c r="ECF1334" s="4" t="s">
        <v>2878</v>
      </c>
      <c r="ECG1334" s="4" t="s">
        <v>2878</v>
      </c>
      <c r="ECH1334" s="4" t="s">
        <v>2878</v>
      </c>
      <c r="ECI1334" s="4" t="s">
        <v>2878</v>
      </c>
      <c r="ECJ1334" s="4" t="s">
        <v>2878</v>
      </c>
      <c r="ECK1334" s="4" t="s">
        <v>2878</v>
      </c>
      <c r="ECL1334" s="4" t="s">
        <v>2878</v>
      </c>
      <c r="ECM1334" s="4" t="s">
        <v>2878</v>
      </c>
      <c r="ECN1334" s="4" t="s">
        <v>2878</v>
      </c>
      <c r="ECO1334" s="4" t="s">
        <v>2878</v>
      </c>
      <c r="ECP1334" s="4" t="s">
        <v>2878</v>
      </c>
      <c r="ECQ1334" s="4" t="s">
        <v>2878</v>
      </c>
      <c r="ECR1334" s="4" t="s">
        <v>2878</v>
      </c>
      <c r="ECS1334" s="4" t="s">
        <v>2878</v>
      </c>
      <c r="ECT1334" s="4" t="s">
        <v>2878</v>
      </c>
      <c r="ECU1334" s="4" t="s">
        <v>2878</v>
      </c>
      <c r="ECV1334" s="4" t="s">
        <v>2878</v>
      </c>
      <c r="ECW1334" s="4" t="s">
        <v>2878</v>
      </c>
      <c r="ECX1334" s="4" t="s">
        <v>2878</v>
      </c>
      <c r="ECY1334" s="4" t="s">
        <v>2878</v>
      </c>
      <c r="ECZ1334" s="4" t="s">
        <v>2878</v>
      </c>
      <c r="EDA1334" s="4" t="s">
        <v>2878</v>
      </c>
      <c r="EDB1334" s="4" t="s">
        <v>2878</v>
      </c>
      <c r="EDC1334" s="4" t="s">
        <v>2878</v>
      </c>
      <c r="EDD1334" s="4" t="s">
        <v>2878</v>
      </c>
      <c r="EDE1334" s="4" t="s">
        <v>2878</v>
      </c>
      <c r="EDF1334" s="4" t="s">
        <v>2878</v>
      </c>
      <c r="EDG1334" s="4" t="s">
        <v>2878</v>
      </c>
      <c r="EDH1334" s="4" t="s">
        <v>2878</v>
      </c>
      <c r="EDI1334" s="4" t="s">
        <v>2878</v>
      </c>
      <c r="EDJ1334" s="4" t="s">
        <v>2878</v>
      </c>
      <c r="EDK1334" s="4" t="s">
        <v>2878</v>
      </c>
      <c r="EDL1334" s="4" t="s">
        <v>2878</v>
      </c>
      <c r="EDM1334" s="4" t="s">
        <v>2878</v>
      </c>
      <c r="EDN1334" s="4" t="s">
        <v>2878</v>
      </c>
      <c r="EDO1334" s="4" t="s">
        <v>2878</v>
      </c>
      <c r="EDP1334" s="4" t="s">
        <v>2878</v>
      </c>
      <c r="EDQ1334" s="4" t="s">
        <v>2878</v>
      </c>
      <c r="EDR1334" s="4" t="s">
        <v>2878</v>
      </c>
      <c r="EDS1334" s="4" t="s">
        <v>2878</v>
      </c>
      <c r="EDT1334" s="4" t="s">
        <v>2878</v>
      </c>
      <c r="EDU1334" s="4" t="s">
        <v>2878</v>
      </c>
      <c r="EDV1334" s="4" t="s">
        <v>2878</v>
      </c>
      <c r="EDW1334" s="4" t="s">
        <v>2878</v>
      </c>
      <c r="EDX1334" s="4" t="s">
        <v>2878</v>
      </c>
      <c r="EDY1334" s="4" t="s">
        <v>2878</v>
      </c>
      <c r="EDZ1334" s="4" t="s">
        <v>2878</v>
      </c>
      <c r="EEA1334" s="4" t="s">
        <v>2878</v>
      </c>
      <c r="EEB1334" s="4" t="s">
        <v>2878</v>
      </c>
      <c r="EEC1334" s="4" t="s">
        <v>2878</v>
      </c>
      <c r="EED1334" s="4" t="s">
        <v>2878</v>
      </c>
      <c r="EEE1334" s="4" t="s">
        <v>2878</v>
      </c>
      <c r="EEF1334" s="4" t="s">
        <v>2878</v>
      </c>
      <c r="EEG1334" s="4" t="s">
        <v>2878</v>
      </c>
      <c r="EEH1334" s="4" t="s">
        <v>2878</v>
      </c>
      <c r="EEI1334" s="4" t="s">
        <v>2878</v>
      </c>
      <c r="EEJ1334" s="4" t="s">
        <v>2878</v>
      </c>
      <c r="EEK1334" s="4" t="s">
        <v>2878</v>
      </c>
      <c r="EEL1334" s="4" t="s">
        <v>2878</v>
      </c>
      <c r="EEM1334" s="4" t="s">
        <v>2878</v>
      </c>
      <c r="EEN1334" s="4" t="s">
        <v>2878</v>
      </c>
      <c r="EEO1334" s="4" t="s">
        <v>2878</v>
      </c>
      <c r="EEP1334" s="4" t="s">
        <v>2878</v>
      </c>
      <c r="EEQ1334" s="4" t="s">
        <v>2878</v>
      </c>
      <c r="EER1334" s="4" t="s">
        <v>2878</v>
      </c>
      <c r="EES1334" s="4" t="s">
        <v>2878</v>
      </c>
      <c r="EET1334" s="4" t="s">
        <v>2878</v>
      </c>
      <c r="EEU1334" s="4" t="s">
        <v>2878</v>
      </c>
      <c r="EEV1334" s="4" t="s">
        <v>2878</v>
      </c>
      <c r="EEW1334" s="4" t="s">
        <v>2878</v>
      </c>
      <c r="EEX1334" s="4" t="s">
        <v>2878</v>
      </c>
      <c r="EEY1334" s="4" t="s">
        <v>2878</v>
      </c>
      <c r="EEZ1334" s="4" t="s">
        <v>2878</v>
      </c>
      <c r="EFA1334" s="4" t="s">
        <v>2878</v>
      </c>
      <c r="EFB1334" s="4" t="s">
        <v>2878</v>
      </c>
      <c r="EFC1334" s="4" t="s">
        <v>2878</v>
      </c>
      <c r="EFD1334" s="4" t="s">
        <v>2878</v>
      </c>
      <c r="EFE1334" s="4" t="s">
        <v>2878</v>
      </c>
      <c r="EFF1334" s="4" t="s">
        <v>2878</v>
      </c>
      <c r="EFG1334" s="4" t="s">
        <v>2878</v>
      </c>
      <c r="EFH1334" s="4" t="s">
        <v>2878</v>
      </c>
      <c r="EFI1334" s="4" t="s">
        <v>2878</v>
      </c>
      <c r="EFJ1334" s="4" t="s">
        <v>2878</v>
      </c>
      <c r="EFK1334" s="4" t="s">
        <v>2878</v>
      </c>
      <c r="EFL1334" s="4" t="s">
        <v>2878</v>
      </c>
      <c r="EFM1334" s="4" t="s">
        <v>2878</v>
      </c>
      <c r="EFN1334" s="4" t="s">
        <v>2878</v>
      </c>
      <c r="EFO1334" s="4" t="s">
        <v>2878</v>
      </c>
      <c r="EFP1334" s="4" t="s">
        <v>2878</v>
      </c>
      <c r="EFQ1334" s="4" t="s">
        <v>2878</v>
      </c>
      <c r="EFR1334" s="4" t="s">
        <v>2878</v>
      </c>
      <c r="EFS1334" s="4" t="s">
        <v>2878</v>
      </c>
      <c r="EFT1334" s="4" t="s">
        <v>2878</v>
      </c>
      <c r="EFU1334" s="4" t="s">
        <v>2878</v>
      </c>
      <c r="EFV1334" s="4" t="s">
        <v>2878</v>
      </c>
      <c r="EFW1334" s="4" t="s">
        <v>2878</v>
      </c>
      <c r="EFX1334" s="4" t="s">
        <v>2878</v>
      </c>
      <c r="EFY1334" s="4" t="s">
        <v>2878</v>
      </c>
      <c r="EFZ1334" s="4" t="s">
        <v>2878</v>
      </c>
      <c r="EGA1334" s="4" t="s">
        <v>2878</v>
      </c>
      <c r="EGB1334" s="4" t="s">
        <v>2878</v>
      </c>
      <c r="EGC1334" s="4" t="s">
        <v>2878</v>
      </c>
      <c r="EGD1334" s="4" t="s">
        <v>2878</v>
      </c>
      <c r="EGE1334" s="4" t="s">
        <v>2878</v>
      </c>
      <c r="EGF1334" s="4" t="s">
        <v>2878</v>
      </c>
      <c r="EGG1334" s="4" t="s">
        <v>2878</v>
      </c>
      <c r="EGH1334" s="4" t="s">
        <v>2878</v>
      </c>
      <c r="EGI1334" s="4" t="s">
        <v>2878</v>
      </c>
      <c r="EGJ1334" s="4" t="s">
        <v>2878</v>
      </c>
      <c r="EGK1334" s="4" t="s">
        <v>2878</v>
      </c>
      <c r="EGL1334" s="4" t="s">
        <v>2878</v>
      </c>
      <c r="EGM1334" s="4" t="s">
        <v>2878</v>
      </c>
      <c r="EGN1334" s="4" t="s">
        <v>2878</v>
      </c>
      <c r="EGO1334" s="4" t="s">
        <v>2878</v>
      </c>
      <c r="EGP1334" s="4" t="s">
        <v>2878</v>
      </c>
      <c r="EGQ1334" s="4" t="s">
        <v>2878</v>
      </c>
      <c r="EGR1334" s="4" t="s">
        <v>2878</v>
      </c>
      <c r="EGS1334" s="4" t="s">
        <v>2878</v>
      </c>
      <c r="EGT1334" s="4" t="s">
        <v>2878</v>
      </c>
      <c r="EGU1334" s="4" t="s">
        <v>2878</v>
      </c>
      <c r="EGV1334" s="4" t="s">
        <v>2878</v>
      </c>
      <c r="EGW1334" s="4" t="s">
        <v>2878</v>
      </c>
      <c r="EGX1334" s="4" t="s">
        <v>2878</v>
      </c>
      <c r="EGY1334" s="4" t="s">
        <v>2878</v>
      </c>
      <c r="EGZ1334" s="4" t="s">
        <v>2878</v>
      </c>
      <c r="EHA1334" s="4" t="s">
        <v>2878</v>
      </c>
      <c r="EHB1334" s="4" t="s">
        <v>2878</v>
      </c>
      <c r="EHC1334" s="4" t="s">
        <v>2878</v>
      </c>
      <c r="EHD1334" s="4" t="s">
        <v>2878</v>
      </c>
      <c r="EHE1334" s="4" t="s">
        <v>2878</v>
      </c>
      <c r="EHF1334" s="4" t="s">
        <v>2878</v>
      </c>
      <c r="EHG1334" s="4" t="s">
        <v>2878</v>
      </c>
      <c r="EHH1334" s="4" t="s">
        <v>2878</v>
      </c>
      <c r="EHI1334" s="4" t="s">
        <v>2878</v>
      </c>
      <c r="EHJ1334" s="4" t="s">
        <v>2878</v>
      </c>
      <c r="EHK1334" s="4" t="s">
        <v>2878</v>
      </c>
      <c r="EHL1334" s="4" t="s">
        <v>2878</v>
      </c>
      <c r="EHM1334" s="4" t="s">
        <v>2878</v>
      </c>
      <c r="EHN1334" s="4" t="s">
        <v>2878</v>
      </c>
      <c r="EHO1334" s="4" t="s">
        <v>2878</v>
      </c>
      <c r="EHP1334" s="4" t="s">
        <v>2878</v>
      </c>
      <c r="EHQ1334" s="4" t="s">
        <v>2878</v>
      </c>
      <c r="EHR1334" s="4" t="s">
        <v>2878</v>
      </c>
      <c r="EHS1334" s="4" t="s">
        <v>2878</v>
      </c>
      <c r="EHT1334" s="4" t="s">
        <v>2878</v>
      </c>
      <c r="EHU1334" s="4" t="s">
        <v>2878</v>
      </c>
      <c r="EHV1334" s="4" t="s">
        <v>2878</v>
      </c>
      <c r="EHW1334" s="4" t="s">
        <v>2878</v>
      </c>
      <c r="EHX1334" s="4" t="s">
        <v>2878</v>
      </c>
      <c r="EHY1334" s="4" t="s">
        <v>2878</v>
      </c>
      <c r="EHZ1334" s="4" t="s">
        <v>2878</v>
      </c>
      <c r="EIA1334" s="4" t="s">
        <v>2878</v>
      </c>
      <c r="EIB1334" s="4" t="s">
        <v>2878</v>
      </c>
      <c r="EIC1334" s="4" t="s">
        <v>2878</v>
      </c>
      <c r="EID1334" s="4" t="s">
        <v>2878</v>
      </c>
      <c r="EIE1334" s="4" t="s">
        <v>2878</v>
      </c>
      <c r="EIF1334" s="4" t="s">
        <v>2878</v>
      </c>
      <c r="EIG1334" s="4" t="s">
        <v>2878</v>
      </c>
      <c r="EIH1334" s="4" t="s">
        <v>2878</v>
      </c>
      <c r="EII1334" s="4" t="s">
        <v>2878</v>
      </c>
      <c r="EIJ1334" s="4" t="s">
        <v>2878</v>
      </c>
      <c r="EIK1334" s="4" t="s">
        <v>2878</v>
      </c>
      <c r="EIL1334" s="4" t="s">
        <v>2878</v>
      </c>
      <c r="EIM1334" s="4" t="s">
        <v>2878</v>
      </c>
      <c r="EIN1334" s="4" t="s">
        <v>2878</v>
      </c>
      <c r="EIO1334" s="4" t="s">
        <v>2878</v>
      </c>
      <c r="EIP1334" s="4" t="s">
        <v>2878</v>
      </c>
      <c r="EIQ1334" s="4" t="s">
        <v>2878</v>
      </c>
      <c r="EIR1334" s="4" t="s">
        <v>2878</v>
      </c>
      <c r="EIS1334" s="4" t="s">
        <v>2878</v>
      </c>
      <c r="EIT1334" s="4" t="s">
        <v>2878</v>
      </c>
      <c r="EIU1334" s="4" t="s">
        <v>2878</v>
      </c>
      <c r="EIV1334" s="4" t="s">
        <v>2878</v>
      </c>
      <c r="EIW1334" s="4" t="s">
        <v>2878</v>
      </c>
      <c r="EIX1334" s="4" t="s">
        <v>2878</v>
      </c>
      <c r="EIY1334" s="4" t="s">
        <v>2878</v>
      </c>
      <c r="EIZ1334" s="4" t="s">
        <v>2878</v>
      </c>
      <c r="EJA1334" s="4" t="s">
        <v>2878</v>
      </c>
      <c r="EJB1334" s="4" t="s">
        <v>2878</v>
      </c>
      <c r="EJC1334" s="4" t="s">
        <v>2878</v>
      </c>
      <c r="EJD1334" s="4" t="s">
        <v>2878</v>
      </c>
      <c r="EJE1334" s="4" t="s">
        <v>2878</v>
      </c>
      <c r="EJF1334" s="4" t="s">
        <v>2878</v>
      </c>
      <c r="EJG1334" s="4" t="s">
        <v>2878</v>
      </c>
      <c r="EJH1334" s="4" t="s">
        <v>2878</v>
      </c>
      <c r="EJI1334" s="4" t="s">
        <v>2878</v>
      </c>
      <c r="EJJ1334" s="4" t="s">
        <v>2878</v>
      </c>
      <c r="EJK1334" s="4" t="s">
        <v>2878</v>
      </c>
      <c r="EJL1334" s="4" t="s">
        <v>2878</v>
      </c>
      <c r="EJM1334" s="4" t="s">
        <v>2878</v>
      </c>
      <c r="EJN1334" s="4" t="s">
        <v>2878</v>
      </c>
      <c r="EJO1334" s="4" t="s">
        <v>2878</v>
      </c>
      <c r="EJP1334" s="4" t="s">
        <v>2878</v>
      </c>
      <c r="EJQ1334" s="4" t="s">
        <v>2878</v>
      </c>
      <c r="EJR1334" s="4" t="s">
        <v>2878</v>
      </c>
      <c r="EJS1334" s="4" t="s">
        <v>2878</v>
      </c>
      <c r="EJT1334" s="4" t="s">
        <v>2878</v>
      </c>
      <c r="EJU1334" s="4" t="s">
        <v>2878</v>
      </c>
      <c r="EJV1334" s="4" t="s">
        <v>2878</v>
      </c>
      <c r="EJW1334" s="4" t="s">
        <v>2878</v>
      </c>
      <c r="EJX1334" s="4" t="s">
        <v>2878</v>
      </c>
      <c r="EJY1334" s="4" t="s">
        <v>2878</v>
      </c>
      <c r="EJZ1334" s="4" t="s">
        <v>2878</v>
      </c>
      <c r="EKA1334" s="4" t="s">
        <v>2878</v>
      </c>
      <c r="EKB1334" s="4" t="s">
        <v>2878</v>
      </c>
      <c r="EKC1334" s="4" t="s">
        <v>2878</v>
      </c>
      <c r="EKD1334" s="4" t="s">
        <v>2878</v>
      </c>
      <c r="EKE1334" s="4" t="s">
        <v>2878</v>
      </c>
      <c r="EKF1334" s="4" t="s">
        <v>2878</v>
      </c>
      <c r="EKG1334" s="4" t="s">
        <v>2878</v>
      </c>
      <c r="EKH1334" s="4" t="s">
        <v>2878</v>
      </c>
      <c r="EKI1334" s="4" t="s">
        <v>2878</v>
      </c>
      <c r="EKJ1334" s="4" t="s">
        <v>2878</v>
      </c>
      <c r="EKK1334" s="4" t="s">
        <v>2878</v>
      </c>
      <c r="EKL1334" s="4" t="s">
        <v>2878</v>
      </c>
      <c r="EKM1334" s="4" t="s">
        <v>2878</v>
      </c>
      <c r="EKN1334" s="4" t="s">
        <v>2878</v>
      </c>
      <c r="EKO1334" s="4" t="s">
        <v>2878</v>
      </c>
      <c r="EKP1334" s="4" t="s">
        <v>2878</v>
      </c>
      <c r="EKQ1334" s="4" t="s">
        <v>2878</v>
      </c>
      <c r="EKR1334" s="4" t="s">
        <v>2878</v>
      </c>
      <c r="EKS1334" s="4" t="s">
        <v>2878</v>
      </c>
      <c r="EKT1334" s="4" t="s">
        <v>2878</v>
      </c>
      <c r="EKU1334" s="4" t="s">
        <v>2878</v>
      </c>
      <c r="EKV1334" s="4" t="s">
        <v>2878</v>
      </c>
      <c r="EKW1334" s="4" t="s">
        <v>2878</v>
      </c>
      <c r="EKX1334" s="4" t="s">
        <v>2878</v>
      </c>
      <c r="EKY1334" s="4" t="s">
        <v>2878</v>
      </c>
      <c r="EKZ1334" s="4" t="s">
        <v>2878</v>
      </c>
      <c r="ELA1334" s="4" t="s">
        <v>2878</v>
      </c>
      <c r="ELB1334" s="4" t="s">
        <v>2878</v>
      </c>
      <c r="ELC1334" s="4" t="s">
        <v>2878</v>
      </c>
      <c r="ELD1334" s="4" t="s">
        <v>2878</v>
      </c>
      <c r="ELE1334" s="4" t="s">
        <v>2878</v>
      </c>
      <c r="ELF1334" s="4" t="s">
        <v>2878</v>
      </c>
      <c r="ELG1334" s="4" t="s">
        <v>2878</v>
      </c>
      <c r="ELH1334" s="4" t="s">
        <v>2878</v>
      </c>
      <c r="ELI1334" s="4" t="s">
        <v>2878</v>
      </c>
      <c r="ELJ1334" s="4" t="s">
        <v>2878</v>
      </c>
      <c r="ELK1334" s="4" t="s">
        <v>2878</v>
      </c>
      <c r="ELL1334" s="4" t="s">
        <v>2878</v>
      </c>
      <c r="ELM1334" s="4" t="s">
        <v>2878</v>
      </c>
      <c r="ELN1334" s="4" t="s">
        <v>2878</v>
      </c>
      <c r="ELO1334" s="4" t="s">
        <v>2878</v>
      </c>
      <c r="ELP1334" s="4" t="s">
        <v>2878</v>
      </c>
      <c r="ELQ1334" s="4" t="s">
        <v>2878</v>
      </c>
      <c r="ELR1334" s="4" t="s">
        <v>2878</v>
      </c>
      <c r="ELS1334" s="4" t="s">
        <v>2878</v>
      </c>
      <c r="ELT1334" s="4" t="s">
        <v>2878</v>
      </c>
      <c r="ELU1334" s="4" t="s">
        <v>2878</v>
      </c>
      <c r="ELV1334" s="4" t="s">
        <v>2878</v>
      </c>
      <c r="ELW1334" s="4" t="s">
        <v>2878</v>
      </c>
      <c r="ELX1334" s="4" t="s">
        <v>2878</v>
      </c>
      <c r="ELY1334" s="4" t="s">
        <v>2878</v>
      </c>
      <c r="ELZ1334" s="4" t="s">
        <v>2878</v>
      </c>
      <c r="EMA1334" s="4" t="s">
        <v>2878</v>
      </c>
      <c r="EMB1334" s="4" t="s">
        <v>2878</v>
      </c>
      <c r="EMC1334" s="4" t="s">
        <v>2878</v>
      </c>
      <c r="EMD1334" s="4" t="s">
        <v>2878</v>
      </c>
      <c r="EME1334" s="4" t="s">
        <v>2878</v>
      </c>
      <c r="EMF1334" s="4" t="s">
        <v>2878</v>
      </c>
      <c r="EMG1334" s="4" t="s">
        <v>2878</v>
      </c>
      <c r="EMH1334" s="4" t="s">
        <v>2878</v>
      </c>
      <c r="EMI1334" s="4" t="s">
        <v>2878</v>
      </c>
      <c r="EMJ1334" s="4" t="s">
        <v>2878</v>
      </c>
      <c r="EMK1334" s="4" t="s">
        <v>2878</v>
      </c>
      <c r="EML1334" s="4" t="s">
        <v>2878</v>
      </c>
      <c r="EMM1334" s="4" t="s">
        <v>2878</v>
      </c>
      <c r="EMN1334" s="4" t="s">
        <v>2878</v>
      </c>
      <c r="EMO1334" s="4" t="s">
        <v>2878</v>
      </c>
      <c r="EMP1334" s="4" t="s">
        <v>2878</v>
      </c>
      <c r="EMQ1334" s="4" t="s">
        <v>2878</v>
      </c>
      <c r="EMR1334" s="4" t="s">
        <v>2878</v>
      </c>
      <c r="EMS1334" s="4" t="s">
        <v>2878</v>
      </c>
      <c r="EMT1334" s="4" t="s">
        <v>2878</v>
      </c>
      <c r="EMU1334" s="4" t="s">
        <v>2878</v>
      </c>
      <c r="EMV1334" s="4" t="s">
        <v>2878</v>
      </c>
      <c r="EMW1334" s="4" t="s">
        <v>2878</v>
      </c>
      <c r="EMX1334" s="4" t="s">
        <v>2878</v>
      </c>
      <c r="EMY1334" s="4" t="s">
        <v>2878</v>
      </c>
      <c r="EMZ1334" s="4" t="s">
        <v>2878</v>
      </c>
      <c r="ENA1334" s="4" t="s">
        <v>2878</v>
      </c>
      <c r="ENB1334" s="4" t="s">
        <v>2878</v>
      </c>
      <c r="ENC1334" s="4" t="s">
        <v>2878</v>
      </c>
      <c r="END1334" s="4" t="s">
        <v>2878</v>
      </c>
      <c r="ENE1334" s="4" t="s">
        <v>2878</v>
      </c>
      <c r="ENF1334" s="4" t="s">
        <v>2878</v>
      </c>
      <c r="ENG1334" s="4" t="s">
        <v>2878</v>
      </c>
      <c r="ENH1334" s="4" t="s">
        <v>2878</v>
      </c>
      <c r="ENI1334" s="4" t="s">
        <v>2878</v>
      </c>
      <c r="ENJ1334" s="4" t="s">
        <v>2878</v>
      </c>
      <c r="ENK1334" s="4" t="s">
        <v>2878</v>
      </c>
      <c r="ENL1334" s="4" t="s">
        <v>2878</v>
      </c>
      <c r="ENM1334" s="4" t="s">
        <v>2878</v>
      </c>
      <c r="ENN1334" s="4" t="s">
        <v>2878</v>
      </c>
      <c r="ENO1334" s="4" t="s">
        <v>2878</v>
      </c>
      <c r="ENP1334" s="4" t="s">
        <v>2878</v>
      </c>
      <c r="ENQ1334" s="4" t="s">
        <v>2878</v>
      </c>
      <c r="ENR1334" s="4" t="s">
        <v>2878</v>
      </c>
      <c r="ENS1334" s="4" t="s">
        <v>2878</v>
      </c>
      <c r="ENT1334" s="4" t="s">
        <v>2878</v>
      </c>
      <c r="ENU1334" s="4" t="s">
        <v>2878</v>
      </c>
      <c r="ENV1334" s="4" t="s">
        <v>2878</v>
      </c>
      <c r="ENW1334" s="4" t="s">
        <v>2878</v>
      </c>
      <c r="ENX1334" s="4" t="s">
        <v>2878</v>
      </c>
      <c r="ENY1334" s="4" t="s">
        <v>2878</v>
      </c>
      <c r="ENZ1334" s="4" t="s">
        <v>2878</v>
      </c>
      <c r="EOA1334" s="4" t="s">
        <v>2878</v>
      </c>
      <c r="EOB1334" s="4" t="s">
        <v>2878</v>
      </c>
      <c r="EOC1334" s="4" t="s">
        <v>2878</v>
      </c>
      <c r="EOD1334" s="4" t="s">
        <v>2878</v>
      </c>
      <c r="EOE1334" s="4" t="s">
        <v>2878</v>
      </c>
      <c r="EOF1334" s="4" t="s">
        <v>2878</v>
      </c>
      <c r="EOG1334" s="4" t="s">
        <v>2878</v>
      </c>
      <c r="EOH1334" s="4" t="s">
        <v>2878</v>
      </c>
      <c r="EOI1334" s="4" t="s">
        <v>2878</v>
      </c>
      <c r="EOJ1334" s="4" t="s">
        <v>2878</v>
      </c>
      <c r="EOK1334" s="4" t="s">
        <v>2878</v>
      </c>
      <c r="EOL1334" s="4" t="s">
        <v>2878</v>
      </c>
      <c r="EOM1334" s="4" t="s">
        <v>2878</v>
      </c>
      <c r="EON1334" s="4" t="s">
        <v>2878</v>
      </c>
      <c r="EOO1334" s="4" t="s">
        <v>2878</v>
      </c>
      <c r="EOP1334" s="4" t="s">
        <v>2878</v>
      </c>
      <c r="EOQ1334" s="4" t="s">
        <v>2878</v>
      </c>
      <c r="EOR1334" s="4" t="s">
        <v>2878</v>
      </c>
      <c r="EOS1334" s="4" t="s">
        <v>2878</v>
      </c>
      <c r="EOT1334" s="4" t="s">
        <v>2878</v>
      </c>
      <c r="EOU1334" s="4" t="s">
        <v>2878</v>
      </c>
      <c r="EOV1334" s="4" t="s">
        <v>2878</v>
      </c>
      <c r="EOW1334" s="4" t="s">
        <v>2878</v>
      </c>
      <c r="EOX1334" s="4" t="s">
        <v>2878</v>
      </c>
      <c r="EOY1334" s="4" t="s">
        <v>2878</v>
      </c>
      <c r="EOZ1334" s="4" t="s">
        <v>2878</v>
      </c>
      <c r="EPA1334" s="4" t="s">
        <v>2878</v>
      </c>
      <c r="EPB1334" s="4" t="s">
        <v>2878</v>
      </c>
      <c r="EPC1334" s="4" t="s">
        <v>2878</v>
      </c>
      <c r="EPD1334" s="4" t="s">
        <v>2878</v>
      </c>
      <c r="EPE1334" s="4" t="s">
        <v>2878</v>
      </c>
      <c r="EPF1334" s="4" t="s">
        <v>2878</v>
      </c>
      <c r="EPG1334" s="4" t="s">
        <v>2878</v>
      </c>
      <c r="EPH1334" s="4" t="s">
        <v>2878</v>
      </c>
      <c r="EPI1334" s="4" t="s">
        <v>2878</v>
      </c>
      <c r="EPJ1334" s="4" t="s">
        <v>2878</v>
      </c>
      <c r="EPK1334" s="4" t="s">
        <v>2878</v>
      </c>
      <c r="EPL1334" s="4" t="s">
        <v>2878</v>
      </c>
      <c r="EPM1334" s="4" t="s">
        <v>2878</v>
      </c>
      <c r="EPN1334" s="4" t="s">
        <v>2878</v>
      </c>
      <c r="EPO1334" s="4" t="s">
        <v>2878</v>
      </c>
      <c r="EPP1334" s="4" t="s">
        <v>2878</v>
      </c>
      <c r="EPQ1334" s="4" t="s">
        <v>2878</v>
      </c>
      <c r="EPR1334" s="4" t="s">
        <v>2878</v>
      </c>
      <c r="EPS1334" s="4" t="s">
        <v>2878</v>
      </c>
      <c r="EPT1334" s="4" t="s">
        <v>2878</v>
      </c>
      <c r="EPU1334" s="4" t="s">
        <v>2878</v>
      </c>
      <c r="EPV1334" s="4" t="s">
        <v>2878</v>
      </c>
      <c r="EPW1334" s="4" t="s">
        <v>2878</v>
      </c>
      <c r="EPX1334" s="4" t="s">
        <v>2878</v>
      </c>
      <c r="EPY1334" s="4" t="s">
        <v>2878</v>
      </c>
      <c r="EPZ1334" s="4" t="s">
        <v>2878</v>
      </c>
      <c r="EQA1334" s="4" t="s">
        <v>2878</v>
      </c>
      <c r="EQB1334" s="4" t="s">
        <v>2878</v>
      </c>
      <c r="EQC1334" s="4" t="s">
        <v>2878</v>
      </c>
      <c r="EQD1334" s="4" t="s">
        <v>2878</v>
      </c>
      <c r="EQE1334" s="4" t="s">
        <v>2878</v>
      </c>
      <c r="EQF1334" s="4" t="s">
        <v>2878</v>
      </c>
      <c r="EQG1334" s="4" t="s">
        <v>2878</v>
      </c>
      <c r="EQH1334" s="4" t="s">
        <v>2878</v>
      </c>
      <c r="EQI1334" s="4" t="s">
        <v>2878</v>
      </c>
      <c r="EQJ1334" s="4" t="s">
        <v>2878</v>
      </c>
      <c r="EQK1334" s="4" t="s">
        <v>2878</v>
      </c>
      <c r="EQL1334" s="4" t="s">
        <v>2878</v>
      </c>
      <c r="EQM1334" s="4" t="s">
        <v>2878</v>
      </c>
      <c r="EQN1334" s="4" t="s">
        <v>2878</v>
      </c>
      <c r="EQO1334" s="4" t="s">
        <v>2878</v>
      </c>
      <c r="EQP1334" s="4" t="s">
        <v>2878</v>
      </c>
      <c r="EQQ1334" s="4" t="s">
        <v>2878</v>
      </c>
      <c r="EQR1334" s="4" t="s">
        <v>2878</v>
      </c>
      <c r="EQS1334" s="4" t="s">
        <v>2878</v>
      </c>
      <c r="EQT1334" s="4" t="s">
        <v>2878</v>
      </c>
      <c r="EQU1334" s="4" t="s">
        <v>2878</v>
      </c>
      <c r="EQV1334" s="4" t="s">
        <v>2878</v>
      </c>
      <c r="EQW1334" s="4" t="s">
        <v>2878</v>
      </c>
      <c r="EQX1334" s="4" t="s">
        <v>2878</v>
      </c>
      <c r="EQY1334" s="4" t="s">
        <v>2878</v>
      </c>
      <c r="EQZ1334" s="4" t="s">
        <v>2878</v>
      </c>
      <c r="ERA1334" s="4" t="s">
        <v>2878</v>
      </c>
      <c r="ERB1334" s="4" t="s">
        <v>2878</v>
      </c>
      <c r="ERC1334" s="4" t="s">
        <v>2878</v>
      </c>
      <c r="ERD1334" s="4" t="s">
        <v>2878</v>
      </c>
      <c r="ERE1334" s="4" t="s">
        <v>2878</v>
      </c>
      <c r="ERF1334" s="4" t="s">
        <v>2878</v>
      </c>
      <c r="ERG1334" s="4" t="s">
        <v>2878</v>
      </c>
      <c r="ERH1334" s="4" t="s">
        <v>2878</v>
      </c>
      <c r="ERI1334" s="4" t="s">
        <v>2878</v>
      </c>
      <c r="ERJ1334" s="4" t="s">
        <v>2878</v>
      </c>
      <c r="ERK1334" s="4" t="s">
        <v>2878</v>
      </c>
      <c r="ERL1334" s="4" t="s">
        <v>2878</v>
      </c>
      <c r="ERM1334" s="4" t="s">
        <v>2878</v>
      </c>
      <c r="ERN1334" s="4" t="s">
        <v>2878</v>
      </c>
      <c r="ERO1334" s="4" t="s">
        <v>2878</v>
      </c>
      <c r="ERP1334" s="4" t="s">
        <v>2878</v>
      </c>
      <c r="ERQ1334" s="4" t="s">
        <v>2878</v>
      </c>
      <c r="ERR1334" s="4" t="s">
        <v>2878</v>
      </c>
      <c r="ERS1334" s="4" t="s">
        <v>2878</v>
      </c>
      <c r="ERT1334" s="4" t="s">
        <v>2878</v>
      </c>
      <c r="ERU1334" s="4" t="s">
        <v>2878</v>
      </c>
      <c r="ERV1334" s="4" t="s">
        <v>2878</v>
      </c>
      <c r="ERW1334" s="4" t="s">
        <v>2878</v>
      </c>
      <c r="ERX1334" s="4" t="s">
        <v>2878</v>
      </c>
      <c r="ERY1334" s="4" t="s">
        <v>2878</v>
      </c>
      <c r="ERZ1334" s="4" t="s">
        <v>2878</v>
      </c>
      <c r="ESA1334" s="4" t="s">
        <v>2878</v>
      </c>
      <c r="ESB1334" s="4" t="s">
        <v>2878</v>
      </c>
      <c r="ESC1334" s="4" t="s">
        <v>2878</v>
      </c>
      <c r="ESD1334" s="4" t="s">
        <v>2878</v>
      </c>
      <c r="ESE1334" s="4" t="s">
        <v>2878</v>
      </c>
      <c r="ESF1334" s="4" t="s">
        <v>2878</v>
      </c>
      <c r="ESG1334" s="4" t="s">
        <v>2878</v>
      </c>
      <c r="ESH1334" s="4" t="s">
        <v>2878</v>
      </c>
      <c r="ESI1334" s="4" t="s">
        <v>2878</v>
      </c>
      <c r="ESJ1334" s="4" t="s">
        <v>2878</v>
      </c>
      <c r="ESK1334" s="4" t="s">
        <v>2878</v>
      </c>
      <c r="ESL1334" s="4" t="s">
        <v>2878</v>
      </c>
      <c r="ESM1334" s="4" t="s">
        <v>2878</v>
      </c>
      <c r="ESN1334" s="4" t="s">
        <v>2878</v>
      </c>
      <c r="ESO1334" s="4" t="s">
        <v>2878</v>
      </c>
      <c r="ESP1334" s="4" t="s">
        <v>2878</v>
      </c>
      <c r="ESQ1334" s="4" t="s">
        <v>2878</v>
      </c>
      <c r="ESR1334" s="4" t="s">
        <v>2878</v>
      </c>
      <c r="ESS1334" s="4" t="s">
        <v>2878</v>
      </c>
      <c r="EST1334" s="4" t="s">
        <v>2878</v>
      </c>
      <c r="ESU1334" s="4" t="s">
        <v>2878</v>
      </c>
      <c r="ESV1334" s="4" t="s">
        <v>2878</v>
      </c>
      <c r="ESW1334" s="4" t="s">
        <v>2878</v>
      </c>
      <c r="ESX1334" s="4" t="s">
        <v>2878</v>
      </c>
      <c r="ESY1334" s="4" t="s">
        <v>2878</v>
      </c>
      <c r="ESZ1334" s="4" t="s">
        <v>2878</v>
      </c>
      <c r="ETA1334" s="4" t="s">
        <v>2878</v>
      </c>
      <c r="ETB1334" s="4" t="s">
        <v>2878</v>
      </c>
      <c r="ETC1334" s="4" t="s">
        <v>2878</v>
      </c>
      <c r="ETD1334" s="4" t="s">
        <v>2878</v>
      </c>
      <c r="ETE1334" s="4" t="s">
        <v>2878</v>
      </c>
      <c r="ETF1334" s="4" t="s">
        <v>2878</v>
      </c>
      <c r="ETG1334" s="4" t="s">
        <v>2878</v>
      </c>
      <c r="ETH1334" s="4" t="s">
        <v>2878</v>
      </c>
      <c r="ETI1334" s="4" t="s">
        <v>2878</v>
      </c>
      <c r="ETJ1334" s="4" t="s">
        <v>2878</v>
      </c>
      <c r="ETK1334" s="4" t="s">
        <v>2878</v>
      </c>
      <c r="ETL1334" s="4" t="s">
        <v>2878</v>
      </c>
      <c r="ETM1334" s="4" t="s">
        <v>2878</v>
      </c>
      <c r="ETN1334" s="4" t="s">
        <v>2878</v>
      </c>
      <c r="ETO1334" s="4" t="s">
        <v>2878</v>
      </c>
      <c r="ETP1334" s="4" t="s">
        <v>2878</v>
      </c>
      <c r="ETQ1334" s="4" t="s">
        <v>2878</v>
      </c>
      <c r="ETR1334" s="4" t="s">
        <v>2878</v>
      </c>
      <c r="ETS1334" s="4" t="s">
        <v>2878</v>
      </c>
      <c r="ETT1334" s="4" t="s">
        <v>2878</v>
      </c>
      <c r="ETU1334" s="4" t="s">
        <v>2878</v>
      </c>
      <c r="ETV1334" s="4" t="s">
        <v>2878</v>
      </c>
      <c r="ETW1334" s="4" t="s">
        <v>2878</v>
      </c>
      <c r="ETX1334" s="4" t="s">
        <v>2878</v>
      </c>
      <c r="ETY1334" s="4" t="s">
        <v>2878</v>
      </c>
      <c r="ETZ1334" s="4" t="s">
        <v>2878</v>
      </c>
      <c r="EUA1334" s="4" t="s">
        <v>2878</v>
      </c>
      <c r="EUB1334" s="4" t="s">
        <v>2878</v>
      </c>
      <c r="EUC1334" s="4" t="s">
        <v>2878</v>
      </c>
      <c r="EUD1334" s="4" t="s">
        <v>2878</v>
      </c>
      <c r="EUE1334" s="4" t="s">
        <v>2878</v>
      </c>
      <c r="EUF1334" s="4" t="s">
        <v>2878</v>
      </c>
      <c r="EUG1334" s="4" t="s">
        <v>2878</v>
      </c>
      <c r="EUH1334" s="4" t="s">
        <v>2878</v>
      </c>
      <c r="EUI1334" s="4" t="s">
        <v>2878</v>
      </c>
      <c r="EUJ1334" s="4" t="s">
        <v>2878</v>
      </c>
      <c r="EUK1334" s="4" t="s">
        <v>2878</v>
      </c>
      <c r="EUL1334" s="4" t="s">
        <v>2878</v>
      </c>
      <c r="EUM1334" s="4" t="s">
        <v>2878</v>
      </c>
      <c r="EUN1334" s="4" t="s">
        <v>2878</v>
      </c>
      <c r="EUO1334" s="4" t="s">
        <v>2878</v>
      </c>
      <c r="EUP1334" s="4" t="s">
        <v>2878</v>
      </c>
      <c r="EUQ1334" s="4" t="s">
        <v>2878</v>
      </c>
      <c r="EUR1334" s="4" t="s">
        <v>2878</v>
      </c>
      <c r="EUS1334" s="4" t="s">
        <v>2878</v>
      </c>
      <c r="EUT1334" s="4" t="s">
        <v>2878</v>
      </c>
      <c r="EUU1334" s="4" t="s">
        <v>2878</v>
      </c>
      <c r="EUV1334" s="4" t="s">
        <v>2878</v>
      </c>
      <c r="EUW1334" s="4" t="s">
        <v>2878</v>
      </c>
      <c r="EUX1334" s="4" t="s">
        <v>2878</v>
      </c>
      <c r="EUY1334" s="4" t="s">
        <v>2878</v>
      </c>
      <c r="EUZ1334" s="4" t="s">
        <v>2878</v>
      </c>
      <c r="EVA1334" s="4" t="s">
        <v>2878</v>
      </c>
      <c r="EVB1334" s="4" t="s">
        <v>2878</v>
      </c>
      <c r="EVC1334" s="4" t="s">
        <v>2878</v>
      </c>
      <c r="EVD1334" s="4" t="s">
        <v>2878</v>
      </c>
      <c r="EVE1334" s="4" t="s">
        <v>2878</v>
      </c>
      <c r="EVF1334" s="4" t="s">
        <v>2878</v>
      </c>
      <c r="EVG1334" s="4" t="s">
        <v>2878</v>
      </c>
      <c r="EVH1334" s="4" t="s">
        <v>2878</v>
      </c>
      <c r="EVI1334" s="4" t="s">
        <v>2878</v>
      </c>
      <c r="EVJ1334" s="4" t="s">
        <v>2878</v>
      </c>
      <c r="EVK1334" s="4" t="s">
        <v>2878</v>
      </c>
      <c r="EVL1334" s="4" t="s">
        <v>2878</v>
      </c>
      <c r="EVM1334" s="4" t="s">
        <v>2878</v>
      </c>
      <c r="EVN1334" s="4" t="s">
        <v>2878</v>
      </c>
      <c r="EVO1334" s="4" t="s">
        <v>2878</v>
      </c>
      <c r="EVP1334" s="4" t="s">
        <v>2878</v>
      </c>
      <c r="EVQ1334" s="4" t="s">
        <v>2878</v>
      </c>
      <c r="EVR1334" s="4" t="s">
        <v>2878</v>
      </c>
      <c r="EVS1334" s="4" t="s">
        <v>2878</v>
      </c>
      <c r="EVT1334" s="4" t="s">
        <v>2878</v>
      </c>
      <c r="EVU1334" s="4" t="s">
        <v>2878</v>
      </c>
      <c r="EVV1334" s="4" t="s">
        <v>2878</v>
      </c>
      <c r="EVW1334" s="4" t="s">
        <v>2878</v>
      </c>
      <c r="EVX1334" s="4" t="s">
        <v>2878</v>
      </c>
      <c r="EVY1334" s="4" t="s">
        <v>2878</v>
      </c>
      <c r="EVZ1334" s="4" t="s">
        <v>2878</v>
      </c>
      <c r="EWA1334" s="4" t="s">
        <v>2878</v>
      </c>
      <c r="EWB1334" s="4" t="s">
        <v>2878</v>
      </c>
      <c r="EWC1334" s="4" t="s">
        <v>2878</v>
      </c>
      <c r="EWD1334" s="4" t="s">
        <v>2878</v>
      </c>
      <c r="EWE1334" s="4" t="s">
        <v>2878</v>
      </c>
      <c r="EWF1334" s="4" t="s">
        <v>2878</v>
      </c>
      <c r="EWG1334" s="4" t="s">
        <v>2878</v>
      </c>
      <c r="EWH1334" s="4" t="s">
        <v>2878</v>
      </c>
      <c r="EWI1334" s="4" t="s">
        <v>2878</v>
      </c>
      <c r="EWJ1334" s="4" t="s">
        <v>2878</v>
      </c>
      <c r="EWK1334" s="4" t="s">
        <v>2878</v>
      </c>
      <c r="EWL1334" s="4" t="s">
        <v>2878</v>
      </c>
      <c r="EWM1334" s="4" t="s">
        <v>2878</v>
      </c>
      <c r="EWN1334" s="4" t="s">
        <v>2878</v>
      </c>
      <c r="EWO1334" s="4" t="s">
        <v>2878</v>
      </c>
      <c r="EWP1334" s="4" t="s">
        <v>2878</v>
      </c>
      <c r="EWQ1334" s="4" t="s">
        <v>2878</v>
      </c>
      <c r="EWR1334" s="4" t="s">
        <v>2878</v>
      </c>
      <c r="EWS1334" s="4" t="s">
        <v>2878</v>
      </c>
      <c r="EWT1334" s="4" t="s">
        <v>2878</v>
      </c>
      <c r="EWU1334" s="4" t="s">
        <v>2878</v>
      </c>
      <c r="EWV1334" s="4" t="s">
        <v>2878</v>
      </c>
      <c r="EWW1334" s="4" t="s">
        <v>2878</v>
      </c>
      <c r="EWX1334" s="4" t="s">
        <v>2878</v>
      </c>
      <c r="EWY1334" s="4" t="s">
        <v>2878</v>
      </c>
      <c r="EWZ1334" s="4" t="s">
        <v>2878</v>
      </c>
      <c r="EXA1334" s="4" t="s">
        <v>2878</v>
      </c>
      <c r="EXB1334" s="4" t="s">
        <v>2878</v>
      </c>
      <c r="EXC1334" s="4" t="s">
        <v>2878</v>
      </c>
      <c r="EXD1334" s="4" t="s">
        <v>2878</v>
      </c>
      <c r="EXE1334" s="4" t="s">
        <v>2878</v>
      </c>
      <c r="EXF1334" s="4" t="s">
        <v>2878</v>
      </c>
      <c r="EXG1334" s="4" t="s">
        <v>2878</v>
      </c>
      <c r="EXH1334" s="4" t="s">
        <v>2878</v>
      </c>
      <c r="EXI1334" s="4" t="s">
        <v>2878</v>
      </c>
      <c r="EXJ1334" s="4" t="s">
        <v>2878</v>
      </c>
      <c r="EXK1334" s="4" t="s">
        <v>2878</v>
      </c>
      <c r="EXL1334" s="4" t="s">
        <v>2878</v>
      </c>
      <c r="EXM1334" s="4" t="s">
        <v>2878</v>
      </c>
      <c r="EXN1334" s="4" t="s">
        <v>2878</v>
      </c>
      <c r="EXO1334" s="4" t="s">
        <v>2878</v>
      </c>
      <c r="EXP1334" s="4" t="s">
        <v>2878</v>
      </c>
      <c r="EXQ1334" s="4" t="s">
        <v>2878</v>
      </c>
      <c r="EXR1334" s="4" t="s">
        <v>2878</v>
      </c>
      <c r="EXS1334" s="4" t="s">
        <v>2878</v>
      </c>
      <c r="EXT1334" s="4" t="s">
        <v>2878</v>
      </c>
      <c r="EXU1334" s="4" t="s">
        <v>2878</v>
      </c>
      <c r="EXV1334" s="4" t="s">
        <v>2878</v>
      </c>
      <c r="EXW1334" s="4" t="s">
        <v>2878</v>
      </c>
      <c r="EXX1334" s="4" t="s">
        <v>2878</v>
      </c>
      <c r="EXY1334" s="4" t="s">
        <v>2878</v>
      </c>
      <c r="EXZ1334" s="4" t="s">
        <v>2878</v>
      </c>
      <c r="EYA1334" s="4" t="s">
        <v>2878</v>
      </c>
      <c r="EYB1334" s="4" t="s">
        <v>2878</v>
      </c>
      <c r="EYC1334" s="4" t="s">
        <v>2878</v>
      </c>
      <c r="EYD1334" s="4" t="s">
        <v>2878</v>
      </c>
      <c r="EYE1334" s="4" t="s">
        <v>2878</v>
      </c>
      <c r="EYF1334" s="4" t="s">
        <v>2878</v>
      </c>
      <c r="EYG1334" s="4" t="s">
        <v>2878</v>
      </c>
      <c r="EYH1334" s="4" t="s">
        <v>2878</v>
      </c>
      <c r="EYI1334" s="4" t="s">
        <v>2878</v>
      </c>
      <c r="EYJ1334" s="4" t="s">
        <v>2878</v>
      </c>
      <c r="EYK1334" s="4" t="s">
        <v>2878</v>
      </c>
      <c r="EYL1334" s="4" t="s">
        <v>2878</v>
      </c>
      <c r="EYM1334" s="4" t="s">
        <v>2878</v>
      </c>
      <c r="EYN1334" s="4" t="s">
        <v>2878</v>
      </c>
      <c r="EYO1334" s="4" t="s">
        <v>2878</v>
      </c>
      <c r="EYP1334" s="4" t="s">
        <v>2878</v>
      </c>
      <c r="EYQ1334" s="4" t="s">
        <v>2878</v>
      </c>
      <c r="EYR1334" s="4" t="s">
        <v>2878</v>
      </c>
      <c r="EYS1334" s="4" t="s">
        <v>2878</v>
      </c>
      <c r="EYT1334" s="4" t="s">
        <v>2878</v>
      </c>
      <c r="EYU1334" s="4" t="s">
        <v>2878</v>
      </c>
      <c r="EYV1334" s="4" t="s">
        <v>2878</v>
      </c>
      <c r="EYW1334" s="4" t="s">
        <v>2878</v>
      </c>
      <c r="EYX1334" s="4" t="s">
        <v>2878</v>
      </c>
      <c r="EYY1334" s="4" t="s">
        <v>2878</v>
      </c>
      <c r="EYZ1334" s="4" t="s">
        <v>2878</v>
      </c>
      <c r="EZA1334" s="4" t="s">
        <v>2878</v>
      </c>
      <c r="EZB1334" s="4" t="s">
        <v>2878</v>
      </c>
      <c r="EZC1334" s="4" t="s">
        <v>2878</v>
      </c>
      <c r="EZD1334" s="4" t="s">
        <v>2878</v>
      </c>
      <c r="EZE1334" s="4" t="s">
        <v>2878</v>
      </c>
      <c r="EZF1334" s="4" t="s">
        <v>2878</v>
      </c>
      <c r="EZG1334" s="4" t="s">
        <v>2878</v>
      </c>
      <c r="EZH1334" s="4" t="s">
        <v>2878</v>
      </c>
      <c r="EZI1334" s="4" t="s">
        <v>2878</v>
      </c>
      <c r="EZJ1334" s="4" t="s">
        <v>2878</v>
      </c>
      <c r="EZK1334" s="4" t="s">
        <v>2878</v>
      </c>
      <c r="EZL1334" s="4" t="s">
        <v>2878</v>
      </c>
      <c r="EZM1334" s="4" t="s">
        <v>2878</v>
      </c>
      <c r="EZN1334" s="4" t="s">
        <v>2878</v>
      </c>
      <c r="EZO1334" s="4" t="s">
        <v>2878</v>
      </c>
      <c r="EZP1334" s="4" t="s">
        <v>2878</v>
      </c>
      <c r="EZQ1334" s="4" t="s">
        <v>2878</v>
      </c>
      <c r="EZR1334" s="4" t="s">
        <v>2878</v>
      </c>
      <c r="EZS1334" s="4" t="s">
        <v>2878</v>
      </c>
      <c r="EZT1334" s="4" t="s">
        <v>2878</v>
      </c>
      <c r="EZU1334" s="4" t="s">
        <v>2878</v>
      </c>
      <c r="EZV1334" s="4" t="s">
        <v>2878</v>
      </c>
      <c r="EZW1334" s="4" t="s">
        <v>2878</v>
      </c>
      <c r="EZX1334" s="4" t="s">
        <v>2878</v>
      </c>
      <c r="EZY1334" s="4" t="s">
        <v>2878</v>
      </c>
      <c r="EZZ1334" s="4" t="s">
        <v>2878</v>
      </c>
      <c r="FAA1334" s="4" t="s">
        <v>2878</v>
      </c>
      <c r="FAB1334" s="4" t="s">
        <v>2878</v>
      </c>
      <c r="FAC1334" s="4" t="s">
        <v>2878</v>
      </c>
      <c r="FAD1334" s="4" t="s">
        <v>2878</v>
      </c>
      <c r="FAE1334" s="4" t="s">
        <v>2878</v>
      </c>
      <c r="FAF1334" s="4" t="s">
        <v>2878</v>
      </c>
      <c r="FAG1334" s="4" t="s">
        <v>2878</v>
      </c>
      <c r="FAH1334" s="4" t="s">
        <v>2878</v>
      </c>
      <c r="FAI1334" s="4" t="s">
        <v>2878</v>
      </c>
      <c r="FAJ1334" s="4" t="s">
        <v>2878</v>
      </c>
      <c r="FAK1334" s="4" t="s">
        <v>2878</v>
      </c>
      <c r="FAL1334" s="4" t="s">
        <v>2878</v>
      </c>
      <c r="FAM1334" s="4" t="s">
        <v>2878</v>
      </c>
      <c r="FAN1334" s="4" t="s">
        <v>2878</v>
      </c>
      <c r="FAO1334" s="4" t="s">
        <v>2878</v>
      </c>
      <c r="FAP1334" s="4" t="s">
        <v>2878</v>
      </c>
      <c r="FAQ1334" s="4" t="s">
        <v>2878</v>
      </c>
      <c r="FAR1334" s="4" t="s">
        <v>2878</v>
      </c>
      <c r="FAS1334" s="4" t="s">
        <v>2878</v>
      </c>
      <c r="FAT1334" s="4" t="s">
        <v>2878</v>
      </c>
      <c r="FAU1334" s="4" t="s">
        <v>2878</v>
      </c>
      <c r="FAV1334" s="4" t="s">
        <v>2878</v>
      </c>
      <c r="FAW1334" s="4" t="s">
        <v>2878</v>
      </c>
      <c r="FAX1334" s="4" t="s">
        <v>2878</v>
      </c>
      <c r="FAY1334" s="4" t="s">
        <v>2878</v>
      </c>
      <c r="FAZ1334" s="4" t="s">
        <v>2878</v>
      </c>
      <c r="FBA1334" s="4" t="s">
        <v>2878</v>
      </c>
      <c r="FBB1334" s="4" t="s">
        <v>2878</v>
      </c>
      <c r="FBC1334" s="4" t="s">
        <v>2878</v>
      </c>
      <c r="FBD1334" s="4" t="s">
        <v>2878</v>
      </c>
      <c r="FBE1334" s="4" t="s">
        <v>2878</v>
      </c>
      <c r="FBF1334" s="4" t="s">
        <v>2878</v>
      </c>
      <c r="FBG1334" s="4" t="s">
        <v>2878</v>
      </c>
      <c r="FBH1334" s="4" t="s">
        <v>2878</v>
      </c>
      <c r="FBI1334" s="4" t="s">
        <v>2878</v>
      </c>
      <c r="FBJ1334" s="4" t="s">
        <v>2878</v>
      </c>
      <c r="FBK1334" s="4" t="s">
        <v>2878</v>
      </c>
      <c r="FBL1334" s="4" t="s">
        <v>2878</v>
      </c>
      <c r="FBM1334" s="4" t="s">
        <v>2878</v>
      </c>
      <c r="FBN1334" s="4" t="s">
        <v>2878</v>
      </c>
      <c r="FBO1334" s="4" t="s">
        <v>2878</v>
      </c>
      <c r="FBP1334" s="4" t="s">
        <v>2878</v>
      </c>
      <c r="FBQ1334" s="4" t="s">
        <v>2878</v>
      </c>
      <c r="FBR1334" s="4" t="s">
        <v>2878</v>
      </c>
      <c r="FBS1334" s="4" t="s">
        <v>2878</v>
      </c>
      <c r="FBT1334" s="4" t="s">
        <v>2878</v>
      </c>
      <c r="FBU1334" s="4" t="s">
        <v>2878</v>
      </c>
      <c r="FBV1334" s="4" t="s">
        <v>2878</v>
      </c>
      <c r="FBW1334" s="4" t="s">
        <v>2878</v>
      </c>
      <c r="FBX1334" s="4" t="s">
        <v>2878</v>
      </c>
      <c r="FBY1334" s="4" t="s">
        <v>2878</v>
      </c>
      <c r="FBZ1334" s="4" t="s">
        <v>2878</v>
      </c>
      <c r="FCA1334" s="4" t="s">
        <v>2878</v>
      </c>
      <c r="FCB1334" s="4" t="s">
        <v>2878</v>
      </c>
      <c r="FCC1334" s="4" t="s">
        <v>2878</v>
      </c>
      <c r="FCD1334" s="4" t="s">
        <v>2878</v>
      </c>
      <c r="FCE1334" s="4" t="s">
        <v>2878</v>
      </c>
      <c r="FCF1334" s="4" t="s">
        <v>2878</v>
      </c>
      <c r="FCG1334" s="4" t="s">
        <v>2878</v>
      </c>
      <c r="FCH1334" s="4" t="s">
        <v>2878</v>
      </c>
      <c r="FCI1334" s="4" t="s">
        <v>2878</v>
      </c>
      <c r="FCJ1334" s="4" t="s">
        <v>2878</v>
      </c>
      <c r="FCK1334" s="4" t="s">
        <v>2878</v>
      </c>
      <c r="FCL1334" s="4" t="s">
        <v>2878</v>
      </c>
      <c r="FCM1334" s="4" t="s">
        <v>2878</v>
      </c>
      <c r="FCN1334" s="4" t="s">
        <v>2878</v>
      </c>
      <c r="FCO1334" s="4" t="s">
        <v>2878</v>
      </c>
      <c r="FCP1334" s="4" t="s">
        <v>2878</v>
      </c>
      <c r="FCQ1334" s="4" t="s">
        <v>2878</v>
      </c>
      <c r="FCR1334" s="4" t="s">
        <v>2878</v>
      </c>
      <c r="FCS1334" s="4" t="s">
        <v>2878</v>
      </c>
      <c r="FCT1334" s="4" t="s">
        <v>2878</v>
      </c>
      <c r="FCU1334" s="4" t="s">
        <v>2878</v>
      </c>
      <c r="FCV1334" s="4" t="s">
        <v>2878</v>
      </c>
      <c r="FCW1334" s="4" t="s">
        <v>2878</v>
      </c>
      <c r="FCX1334" s="4" t="s">
        <v>2878</v>
      </c>
      <c r="FCY1334" s="4" t="s">
        <v>2878</v>
      </c>
      <c r="FCZ1334" s="4" t="s">
        <v>2878</v>
      </c>
      <c r="FDA1334" s="4" t="s">
        <v>2878</v>
      </c>
      <c r="FDB1334" s="4" t="s">
        <v>2878</v>
      </c>
      <c r="FDC1334" s="4" t="s">
        <v>2878</v>
      </c>
      <c r="FDD1334" s="4" t="s">
        <v>2878</v>
      </c>
      <c r="FDE1334" s="4" t="s">
        <v>2878</v>
      </c>
      <c r="FDF1334" s="4" t="s">
        <v>2878</v>
      </c>
      <c r="FDG1334" s="4" t="s">
        <v>2878</v>
      </c>
      <c r="FDH1334" s="4" t="s">
        <v>2878</v>
      </c>
      <c r="FDI1334" s="4" t="s">
        <v>2878</v>
      </c>
      <c r="FDJ1334" s="4" t="s">
        <v>2878</v>
      </c>
      <c r="FDK1334" s="4" t="s">
        <v>2878</v>
      </c>
      <c r="FDL1334" s="4" t="s">
        <v>2878</v>
      </c>
      <c r="FDM1334" s="4" t="s">
        <v>2878</v>
      </c>
      <c r="FDN1334" s="4" t="s">
        <v>2878</v>
      </c>
      <c r="FDO1334" s="4" t="s">
        <v>2878</v>
      </c>
      <c r="FDP1334" s="4" t="s">
        <v>2878</v>
      </c>
      <c r="FDQ1334" s="4" t="s">
        <v>2878</v>
      </c>
      <c r="FDR1334" s="4" t="s">
        <v>2878</v>
      </c>
      <c r="FDS1334" s="4" t="s">
        <v>2878</v>
      </c>
      <c r="FDT1334" s="4" t="s">
        <v>2878</v>
      </c>
      <c r="FDU1334" s="4" t="s">
        <v>2878</v>
      </c>
      <c r="FDV1334" s="4" t="s">
        <v>2878</v>
      </c>
      <c r="FDW1334" s="4" t="s">
        <v>2878</v>
      </c>
      <c r="FDX1334" s="4" t="s">
        <v>2878</v>
      </c>
      <c r="FDY1334" s="4" t="s">
        <v>2878</v>
      </c>
      <c r="FDZ1334" s="4" t="s">
        <v>2878</v>
      </c>
      <c r="FEA1334" s="4" t="s">
        <v>2878</v>
      </c>
      <c r="FEB1334" s="4" t="s">
        <v>2878</v>
      </c>
      <c r="FEC1334" s="4" t="s">
        <v>2878</v>
      </c>
      <c r="FED1334" s="4" t="s">
        <v>2878</v>
      </c>
      <c r="FEE1334" s="4" t="s">
        <v>2878</v>
      </c>
      <c r="FEF1334" s="4" t="s">
        <v>2878</v>
      </c>
      <c r="FEG1334" s="4" t="s">
        <v>2878</v>
      </c>
      <c r="FEH1334" s="4" t="s">
        <v>2878</v>
      </c>
      <c r="FEI1334" s="4" t="s">
        <v>2878</v>
      </c>
      <c r="FEJ1334" s="4" t="s">
        <v>2878</v>
      </c>
      <c r="FEK1334" s="4" t="s">
        <v>2878</v>
      </c>
      <c r="FEL1334" s="4" t="s">
        <v>2878</v>
      </c>
      <c r="FEM1334" s="4" t="s">
        <v>2878</v>
      </c>
      <c r="FEN1334" s="4" t="s">
        <v>2878</v>
      </c>
      <c r="FEO1334" s="4" t="s">
        <v>2878</v>
      </c>
      <c r="FEP1334" s="4" t="s">
        <v>2878</v>
      </c>
      <c r="FEQ1334" s="4" t="s">
        <v>2878</v>
      </c>
      <c r="FER1334" s="4" t="s">
        <v>2878</v>
      </c>
      <c r="FES1334" s="4" t="s">
        <v>2878</v>
      </c>
      <c r="FET1334" s="4" t="s">
        <v>2878</v>
      </c>
      <c r="FEU1334" s="4" t="s">
        <v>2878</v>
      </c>
      <c r="FEV1334" s="4" t="s">
        <v>2878</v>
      </c>
      <c r="FEW1334" s="4" t="s">
        <v>2878</v>
      </c>
      <c r="FEX1334" s="4" t="s">
        <v>2878</v>
      </c>
      <c r="FEY1334" s="4" t="s">
        <v>2878</v>
      </c>
      <c r="FEZ1334" s="4" t="s">
        <v>2878</v>
      </c>
      <c r="FFA1334" s="4" t="s">
        <v>2878</v>
      </c>
      <c r="FFB1334" s="4" t="s">
        <v>2878</v>
      </c>
      <c r="FFC1334" s="4" t="s">
        <v>2878</v>
      </c>
      <c r="FFD1334" s="4" t="s">
        <v>2878</v>
      </c>
      <c r="FFE1334" s="4" t="s">
        <v>2878</v>
      </c>
      <c r="FFF1334" s="4" t="s">
        <v>2878</v>
      </c>
      <c r="FFG1334" s="4" t="s">
        <v>2878</v>
      </c>
      <c r="FFH1334" s="4" t="s">
        <v>2878</v>
      </c>
      <c r="FFI1334" s="4" t="s">
        <v>2878</v>
      </c>
      <c r="FFJ1334" s="4" t="s">
        <v>2878</v>
      </c>
      <c r="FFK1334" s="4" t="s">
        <v>2878</v>
      </c>
      <c r="FFL1334" s="4" t="s">
        <v>2878</v>
      </c>
      <c r="FFM1334" s="4" t="s">
        <v>2878</v>
      </c>
      <c r="FFN1334" s="4" t="s">
        <v>2878</v>
      </c>
      <c r="FFO1334" s="4" t="s">
        <v>2878</v>
      </c>
      <c r="FFP1334" s="4" t="s">
        <v>2878</v>
      </c>
      <c r="FFQ1334" s="4" t="s">
        <v>2878</v>
      </c>
      <c r="FFR1334" s="4" t="s">
        <v>2878</v>
      </c>
      <c r="FFS1334" s="4" t="s">
        <v>2878</v>
      </c>
      <c r="FFT1334" s="4" t="s">
        <v>2878</v>
      </c>
      <c r="FFU1334" s="4" t="s">
        <v>2878</v>
      </c>
      <c r="FFV1334" s="4" t="s">
        <v>2878</v>
      </c>
      <c r="FFW1334" s="4" t="s">
        <v>2878</v>
      </c>
      <c r="FFX1334" s="4" t="s">
        <v>2878</v>
      </c>
      <c r="FFY1334" s="4" t="s">
        <v>2878</v>
      </c>
      <c r="FFZ1334" s="4" t="s">
        <v>2878</v>
      </c>
      <c r="FGA1334" s="4" t="s">
        <v>2878</v>
      </c>
      <c r="FGB1334" s="4" t="s">
        <v>2878</v>
      </c>
      <c r="FGC1334" s="4" t="s">
        <v>2878</v>
      </c>
      <c r="FGD1334" s="4" t="s">
        <v>2878</v>
      </c>
      <c r="FGE1334" s="4" t="s">
        <v>2878</v>
      </c>
      <c r="FGF1334" s="4" t="s">
        <v>2878</v>
      </c>
      <c r="FGG1334" s="4" t="s">
        <v>2878</v>
      </c>
      <c r="FGH1334" s="4" t="s">
        <v>2878</v>
      </c>
      <c r="FGI1334" s="4" t="s">
        <v>2878</v>
      </c>
      <c r="FGJ1334" s="4" t="s">
        <v>2878</v>
      </c>
      <c r="FGK1334" s="4" t="s">
        <v>2878</v>
      </c>
      <c r="FGL1334" s="4" t="s">
        <v>2878</v>
      </c>
      <c r="FGM1334" s="4" t="s">
        <v>2878</v>
      </c>
      <c r="FGN1334" s="4" t="s">
        <v>2878</v>
      </c>
      <c r="FGO1334" s="4" t="s">
        <v>2878</v>
      </c>
      <c r="FGP1334" s="4" t="s">
        <v>2878</v>
      </c>
      <c r="FGQ1334" s="4" t="s">
        <v>2878</v>
      </c>
      <c r="FGR1334" s="4" t="s">
        <v>2878</v>
      </c>
      <c r="FGS1334" s="4" t="s">
        <v>2878</v>
      </c>
      <c r="FGT1334" s="4" t="s">
        <v>2878</v>
      </c>
      <c r="FGU1334" s="4" t="s">
        <v>2878</v>
      </c>
      <c r="FGV1334" s="4" t="s">
        <v>2878</v>
      </c>
      <c r="FGW1334" s="4" t="s">
        <v>2878</v>
      </c>
      <c r="FGX1334" s="4" t="s">
        <v>2878</v>
      </c>
      <c r="FGY1334" s="4" t="s">
        <v>2878</v>
      </c>
      <c r="FGZ1334" s="4" t="s">
        <v>2878</v>
      </c>
      <c r="FHA1334" s="4" t="s">
        <v>2878</v>
      </c>
      <c r="FHB1334" s="4" t="s">
        <v>2878</v>
      </c>
      <c r="FHC1334" s="4" t="s">
        <v>2878</v>
      </c>
      <c r="FHD1334" s="4" t="s">
        <v>2878</v>
      </c>
      <c r="FHE1334" s="4" t="s">
        <v>2878</v>
      </c>
      <c r="FHF1334" s="4" t="s">
        <v>2878</v>
      </c>
      <c r="FHG1334" s="4" t="s">
        <v>2878</v>
      </c>
      <c r="FHH1334" s="4" t="s">
        <v>2878</v>
      </c>
      <c r="FHI1334" s="4" t="s">
        <v>2878</v>
      </c>
      <c r="FHJ1334" s="4" t="s">
        <v>2878</v>
      </c>
      <c r="FHK1334" s="4" t="s">
        <v>2878</v>
      </c>
      <c r="FHL1334" s="4" t="s">
        <v>2878</v>
      </c>
      <c r="FHM1334" s="4" t="s">
        <v>2878</v>
      </c>
      <c r="FHN1334" s="4" t="s">
        <v>2878</v>
      </c>
      <c r="FHO1334" s="4" t="s">
        <v>2878</v>
      </c>
      <c r="FHP1334" s="4" t="s">
        <v>2878</v>
      </c>
      <c r="FHQ1334" s="4" t="s">
        <v>2878</v>
      </c>
      <c r="FHR1334" s="4" t="s">
        <v>2878</v>
      </c>
      <c r="FHS1334" s="4" t="s">
        <v>2878</v>
      </c>
      <c r="FHT1334" s="4" t="s">
        <v>2878</v>
      </c>
      <c r="FHU1334" s="4" t="s">
        <v>2878</v>
      </c>
      <c r="FHV1334" s="4" t="s">
        <v>2878</v>
      </c>
      <c r="FHW1334" s="4" t="s">
        <v>2878</v>
      </c>
      <c r="FHX1334" s="4" t="s">
        <v>2878</v>
      </c>
      <c r="FHY1334" s="4" t="s">
        <v>2878</v>
      </c>
      <c r="FHZ1334" s="4" t="s">
        <v>2878</v>
      </c>
      <c r="FIA1334" s="4" t="s">
        <v>2878</v>
      </c>
      <c r="FIB1334" s="4" t="s">
        <v>2878</v>
      </c>
      <c r="FIC1334" s="4" t="s">
        <v>2878</v>
      </c>
      <c r="FID1334" s="4" t="s">
        <v>2878</v>
      </c>
      <c r="FIE1334" s="4" t="s">
        <v>2878</v>
      </c>
      <c r="FIF1334" s="4" t="s">
        <v>2878</v>
      </c>
      <c r="FIG1334" s="4" t="s">
        <v>2878</v>
      </c>
      <c r="FIH1334" s="4" t="s">
        <v>2878</v>
      </c>
      <c r="FII1334" s="4" t="s">
        <v>2878</v>
      </c>
      <c r="FIJ1334" s="4" t="s">
        <v>2878</v>
      </c>
      <c r="FIK1334" s="4" t="s">
        <v>2878</v>
      </c>
      <c r="FIL1334" s="4" t="s">
        <v>2878</v>
      </c>
      <c r="FIM1334" s="4" t="s">
        <v>2878</v>
      </c>
      <c r="FIN1334" s="4" t="s">
        <v>2878</v>
      </c>
      <c r="FIO1334" s="4" t="s">
        <v>2878</v>
      </c>
      <c r="FIP1334" s="4" t="s">
        <v>2878</v>
      </c>
      <c r="FIQ1334" s="4" t="s">
        <v>2878</v>
      </c>
      <c r="FIR1334" s="4" t="s">
        <v>2878</v>
      </c>
      <c r="FIS1334" s="4" t="s">
        <v>2878</v>
      </c>
      <c r="FIT1334" s="4" t="s">
        <v>2878</v>
      </c>
      <c r="FIU1334" s="4" t="s">
        <v>2878</v>
      </c>
      <c r="FIV1334" s="4" t="s">
        <v>2878</v>
      </c>
      <c r="FIW1334" s="4" t="s">
        <v>2878</v>
      </c>
      <c r="FIX1334" s="4" t="s">
        <v>2878</v>
      </c>
      <c r="FIY1334" s="4" t="s">
        <v>2878</v>
      </c>
      <c r="FIZ1334" s="4" t="s">
        <v>2878</v>
      </c>
      <c r="FJA1334" s="4" t="s">
        <v>2878</v>
      </c>
      <c r="FJB1334" s="4" t="s">
        <v>2878</v>
      </c>
      <c r="FJC1334" s="4" t="s">
        <v>2878</v>
      </c>
      <c r="FJD1334" s="4" t="s">
        <v>2878</v>
      </c>
      <c r="FJE1334" s="4" t="s">
        <v>2878</v>
      </c>
      <c r="FJF1334" s="4" t="s">
        <v>2878</v>
      </c>
      <c r="FJG1334" s="4" t="s">
        <v>2878</v>
      </c>
      <c r="FJH1334" s="4" t="s">
        <v>2878</v>
      </c>
      <c r="FJI1334" s="4" t="s">
        <v>2878</v>
      </c>
      <c r="FJJ1334" s="4" t="s">
        <v>2878</v>
      </c>
      <c r="FJK1334" s="4" t="s">
        <v>2878</v>
      </c>
      <c r="FJL1334" s="4" t="s">
        <v>2878</v>
      </c>
      <c r="FJM1334" s="4" t="s">
        <v>2878</v>
      </c>
      <c r="FJN1334" s="4" t="s">
        <v>2878</v>
      </c>
      <c r="FJO1334" s="4" t="s">
        <v>2878</v>
      </c>
      <c r="FJP1334" s="4" t="s">
        <v>2878</v>
      </c>
      <c r="FJQ1334" s="4" t="s">
        <v>2878</v>
      </c>
      <c r="FJR1334" s="4" t="s">
        <v>2878</v>
      </c>
      <c r="FJS1334" s="4" t="s">
        <v>2878</v>
      </c>
      <c r="FJT1334" s="4" t="s">
        <v>2878</v>
      </c>
      <c r="FJU1334" s="4" t="s">
        <v>2878</v>
      </c>
      <c r="FJV1334" s="4" t="s">
        <v>2878</v>
      </c>
      <c r="FJW1334" s="4" t="s">
        <v>2878</v>
      </c>
      <c r="FJX1334" s="4" t="s">
        <v>2878</v>
      </c>
      <c r="FJY1334" s="4" t="s">
        <v>2878</v>
      </c>
      <c r="FJZ1334" s="4" t="s">
        <v>2878</v>
      </c>
      <c r="FKA1334" s="4" t="s">
        <v>2878</v>
      </c>
      <c r="FKB1334" s="4" t="s">
        <v>2878</v>
      </c>
      <c r="FKC1334" s="4" t="s">
        <v>2878</v>
      </c>
      <c r="FKD1334" s="4" t="s">
        <v>2878</v>
      </c>
      <c r="FKE1334" s="4" t="s">
        <v>2878</v>
      </c>
      <c r="FKF1334" s="4" t="s">
        <v>2878</v>
      </c>
      <c r="FKG1334" s="4" t="s">
        <v>2878</v>
      </c>
      <c r="FKH1334" s="4" t="s">
        <v>2878</v>
      </c>
      <c r="FKI1334" s="4" t="s">
        <v>2878</v>
      </c>
      <c r="FKJ1334" s="4" t="s">
        <v>2878</v>
      </c>
      <c r="FKK1334" s="4" t="s">
        <v>2878</v>
      </c>
      <c r="FKL1334" s="4" t="s">
        <v>2878</v>
      </c>
      <c r="FKM1334" s="4" t="s">
        <v>2878</v>
      </c>
      <c r="FKN1334" s="4" t="s">
        <v>2878</v>
      </c>
      <c r="FKO1334" s="4" t="s">
        <v>2878</v>
      </c>
      <c r="FKP1334" s="4" t="s">
        <v>2878</v>
      </c>
      <c r="FKQ1334" s="4" t="s">
        <v>2878</v>
      </c>
      <c r="FKR1334" s="4" t="s">
        <v>2878</v>
      </c>
      <c r="FKS1334" s="4" t="s">
        <v>2878</v>
      </c>
      <c r="FKT1334" s="4" t="s">
        <v>2878</v>
      </c>
      <c r="FKU1334" s="4" t="s">
        <v>2878</v>
      </c>
      <c r="FKV1334" s="4" t="s">
        <v>2878</v>
      </c>
      <c r="FKW1334" s="4" t="s">
        <v>2878</v>
      </c>
      <c r="FKX1334" s="4" t="s">
        <v>2878</v>
      </c>
      <c r="FKY1334" s="4" t="s">
        <v>2878</v>
      </c>
      <c r="FKZ1334" s="4" t="s">
        <v>2878</v>
      </c>
      <c r="FLA1334" s="4" t="s">
        <v>2878</v>
      </c>
      <c r="FLB1334" s="4" t="s">
        <v>2878</v>
      </c>
      <c r="FLC1334" s="4" t="s">
        <v>2878</v>
      </c>
      <c r="FLD1334" s="4" t="s">
        <v>2878</v>
      </c>
      <c r="FLE1334" s="4" t="s">
        <v>2878</v>
      </c>
      <c r="FLF1334" s="4" t="s">
        <v>2878</v>
      </c>
      <c r="FLG1334" s="4" t="s">
        <v>2878</v>
      </c>
      <c r="FLH1334" s="4" t="s">
        <v>2878</v>
      </c>
      <c r="FLI1334" s="4" t="s">
        <v>2878</v>
      </c>
      <c r="FLJ1334" s="4" t="s">
        <v>2878</v>
      </c>
      <c r="FLK1334" s="4" t="s">
        <v>2878</v>
      </c>
      <c r="FLL1334" s="4" t="s">
        <v>2878</v>
      </c>
      <c r="FLM1334" s="4" t="s">
        <v>2878</v>
      </c>
      <c r="FLN1334" s="4" t="s">
        <v>2878</v>
      </c>
      <c r="FLO1334" s="4" t="s">
        <v>2878</v>
      </c>
      <c r="FLP1334" s="4" t="s">
        <v>2878</v>
      </c>
      <c r="FLQ1334" s="4" t="s">
        <v>2878</v>
      </c>
      <c r="FLR1334" s="4" t="s">
        <v>2878</v>
      </c>
      <c r="FLS1334" s="4" t="s">
        <v>2878</v>
      </c>
      <c r="FLT1334" s="4" t="s">
        <v>2878</v>
      </c>
      <c r="FLU1334" s="4" t="s">
        <v>2878</v>
      </c>
      <c r="FLV1334" s="4" t="s">
        <v>2878</v>
      </c>
      <c r="FLW1334" s="4" t="s">
        <v>2878</v>
      </c>
      <c r="FLX1334" s="4" t="s">
        <v>2878</v>
      </c>
      <c r="FLY1334" s="4" t="s">
        <v>2878</v>
      </c>
      <c r="FLZ1334" s="4" t="s">
        <v>2878</v>
      </c>
      <c r="FMA1334" s="4" t="s">
        <v>2878</v>
      </c>
      <c r="FMB1334" s="4" t="s">
        <v>2878</v>
      </c>
      <c r="FMC1334" s="4" t="s">
        <v>2878</v>
      </c>
      <c r="FMD1334" s="4" t="s">
        <v>2878</v>
      </c>
      <c r="FME1334" s="4" t="s">
        <v>2878</v>
      </c>
      <c r="FMF1334" s="4" t="s">
        <v>2878</v>
      </c>
      <c r="FMG1334" s="4" t="s">
        <v>2878</v>
      </c>
      <c r="FMH1334" s="4" t="s">
        <v>2878</v>
      </c>
      <c r="FMI1334" s="4" t="s">
        <v>2878</v>
      </c>
      <c r="FMJ1334" s="4" t="s">
        <v>2878</v>
      </c>
      <c r="FMK1334" s="4" t="s">
        <v>2878</v>
      </c>
      <c r="FML1334" s="4" t="s">
        <v>2878</v>
      </c>
      <c r="FMM1334" s="4" t="s">
        <v>2878</v>
      </c>
      <c r="FMN1334" s="4" t="s">
        <v>2878</v>
      </c>
      <c r="FMO1334" s="4" t="s">
        <v>2878</v>
      </c>
      <c r="FMP1334" s="4" t="s">
        <v>2878</v>
      </c>
      <c r="FMQ1334" s="4" t="s">
        <v>2878</v>
      </c>
      <c r="FMR1334" s="4" t="s">
        <v>2878</v>
      </c>
      <c r="FMS1334" s="4" t="s">
        <v>2878</v>
      </c>
      <c r="FMT1334" s="4" t="s">
        <v>2878</v>
      </c>
      <c r="FMU1334" s="4" t="s">
        <v>2878</v>
      </c>
      <c r="FMV1334" s="4" t="s">
        <v>2878</v>
      </c>
      <c r="FMW1334" s="4" t="s">
        <v>2878</v>
      </c>
      <c r="FMX1334" s="4" t="s">
        <v>2878</v>
      </c>
      <c r="FMY1334" s="4" t="s">
        <v>2878</v>
      </c>
      <c r="FMZ1334" s="4" t="s">
        <v>2878</v>
      </c>
      <c r="FNA1334" s="4" t="s">
        <v>2878</v>
      </c>
      <c r="FNB1334" s="4" t="s">
        <v>2878</v>
      </c>
      <c r="FNC1334" s="4" t="s">
        <v>2878</v>
      </c>
      <c r="FND1334" s="4" t="s">
        <v>2878</v>
      </c>
      <c r="FNE1334" s="4" t="s">
        <v>2878</v>
      </c>
      <c r="FNF1334" s="4" t="s">
        <v>2878</v>
      </c>
      <c r="FNG1334" s="4" t="s">
        <v>2878</v>
      </c>
      <c r="FNH1334" s="4" t="s">
        <v>2878</v>
      </c>
      <c r="FNI1334" s="4" t="s">
        <v>2878</v>
      </c>
      <c r="FNJ1334" s="4" t="s">
        <v>2878</v>
      </c>
      <c r="FNK1334" s="4" t="s">
        <v>2878</v>
      </c>
      <c r="FNL1334" s="4" t="s">
        <v>2878</v>
      </c>
      <c r="FNM1334" s="4" t="s">
        <v>2878</v>
      </c>
      <c r="FNN1334" s="4" t="s">
        <v>2878</v>
      </c>
      <c r="FNO1334" s="4" t="s">
        <v>2878</v>
      </c>
      <c r="FNP1334" s="4" t="s">
        <v>2878</v>
      </c>
      <c r="FNQ1334" s="4" t="s">
        <v>2878</v>
      </c>
      <c r="FNR1334" s="4" t="s">
        <v>2878</v>
      </c>
      <c r="FNS1334" s="4" t="s">
        <v>2878</v>
      </c>
      <c r="FNT1334" s="4" t="s">
        <v>2878</v>
      </c>
      <c r="FNU1334" s="4" t="s">
        <v>2878</v>
      </c>
      <c r="FNV1334" s="4" t="s">
        <v>2878</v>
      </c>
      <c r="FNW1334" s="4" t="s">
        <v>2878</v>
      </c>
      <c r="FNX1334" s="4" t="s">
        <v>2878</v>
      </c>
      <c r="FNY1334" s="4" t="s">
        <v>2878</v>
      </c>
      <c r="FNZ1334" s="4" t="s">
        <v>2878</v>
      </c>
      <c r="FOA1334" s="4" t="s">
        <v>2878</v>
      </c>
      <c r="FOB1334" s="4" t="s">
        <v>2878</v>
      </c>
      <c r="FOC1334" s="4" t="s">
        <v>2878</v>
      </c>
      <c r="FOD1334" s="4" t="s">
        <v>2878</v>
      </c>
      <c r="FOE1334" s="4" t="s">
        <v>2878</v>
      </c>
      <c r="FOF1334" s="4" t="s">
        <v>2878</v>
      </c>
      <c r="FOG1334" s="4" t="s">
        <v>2878</v>
      </c>
      <c r="FOH1334" s="4" t="s">
        <v>2878</v>
      </c>
      <c r="FOI1334" s="4" t="s">
        <v>2878</v>
      </c>
      <c r="FOJ1334" s="4" t="s">
        <v>2878</v>
      </c>
      <c r="FOK1334" s="4" t="s">
        <v>2878</v>
      </c>
      <c r="FOL1334" s="4" t="s">
        <v>2878</v>
      </c>
      <c r="FOM1334" s="4" t="s">
        <v>2878</v>
      </c>
      <c r="FON1334" s="4" t="s">
        <v>2878</v>
      </c>
      <c r="FOO1334" s="4" t="s">
        <v>2878</v>
      </c>
      <c r="FOP1334" s="4" t="s">
        <v>2878</v>
      </c>
      <c r="FOQ1334" s="4" t="s">
        <v>2878</v>
      </c>
      <c r="FOR1334" s="4" t="s">
        <v>2878</v>
      </c>
      <c r="FOS1334" s="4" t="s">
        <v>2878</v>
      </c>
      <c r="FOT1334" s="4" t="s">
        <v>2878</v>
      </c>
      <c r="FOU1334" s="4" t="s">
        <v>2878</v>
      </c>
      <c r="FOV1334" s="4" t="s">
        <v>2878</v>
      </c>
      <c r="FOW1334" s="4" t="s">
        <v>2878</v>
      </c>
      <c r="FOX1334" s="4" t="s">
        <v>2878</v>
      </c>
      <c r="FOY1334" s="4" t="s">
        <v>2878</v>
      </c>
      <c r="FOZ1334" s="4" t="s">
        <v>2878</v>
      </c>
      <c r="FPA1334" s="4" t="s">
        <v>2878</v>
      </c>
      <c r="FPB1334" s="4" t="s">
        <v>2878</v>
      </c>
      <c r="FPC1334" s="4" t="s">
        <v>2878</v>
      </c>
      <c r="FPD1334" s="4" t="s">
        <v>2878</v>
      </c>
      <c r="FPE1334" s="4" t="s">
        <v>2878</v>
      </c>
      <c r="FPF1334" s="4" t="s">
        <v>2878</v>
      </c>
      <c r="FPG1334" s="4" t="s">
        <v>2878</v>
      </c>
      <c r="FPH1334" s="4" t="s">
        <v>2878</v>
      </c>
      <c r="FPI1334" s="4" t="s">
        <v>2878</v>
      </c>
      <c r="FPJ1334" s="4" t="s">
        <v>2878</v>
      </c>
      <c r="FPK1334" s="4" t="s">
        <v>2878</v>
      </c>
      <c r="FPL1334" s="4" t="s">
        <v>2878</v>
      </c>
      <c r="FPM1334" s="4" t="s">
        <v>2878</v>
      </c>
      <c r="FPN1334" s="4" t="s">
        <v>2878</v>
      </c>
      <c r="FPO1334" s="4" t="s">
        <v>2878</v>
      </c>
      <c r="FPP1334" s="4" t="s">
        <v>2878</v>
      </c>
      <c r="FPQ1334" s="4" t="s">
        <v>2878</v>
      </c>
      <c r="FPR1334" s="4" t="s">
        <v>2878</v>
      </c>
      <c r="FPS1334" s="4" t="s">
        <v>2878</v>
      </c>
      <c r="FPT1334" s="4" t="s">
        <v>2878</v>
      </c>
      <c r="FPU1334" s="4" t="s">
        <v>2878</v>
      </c>
      <c r="FPV1334" s="4" t="s">
        <v>2878</v>
      </c>
      <c r="FPW1334" s="4" t="s">
        <v>2878</v>
      </c>
      <c r="FPX1334" s="4" t="s">
        <v>2878</v>
      </c>
      <c r="FPY1334" s="4" t="s">
        <v>2878</v>
      </c>
      <c r="FPZ1334" s="4" t="s">
        <v>2878</v>
      </c>
      <c r="FQA1334" s="4" t="s">
        <v>2878</v>
      </c>
      <c r="FQB1334" s="4" t="s">
        <v>2878</v>
      </c>
      <c r="FQC1334" s="4" t="s">
        <v>2878</v>
      </c>
      <c r="FQD1334" s="4" t="s">
        <v>2878</v>
      </c>
      <c r="FQE1334" s="4" t="s">
        <v>2878</v>
      </c>
      <c r="FQF1334" s="4" t="s">
        <v>2878</v>
      </c>
      <c r="FQG1334" s="4" t="s">
        <v>2878</v>
      </c>
      <c r="FQH1334" s="4" t="s">
        <v>2878</v>
      </c>
      <c r="FQI1334" s="4" t="s">
        <v>2878</v>
      </c>
      <c r="FQJ1334" s="4" t="s">
        <v>2878</v>
      </c>
      <c r="FQK1334" s="4" t="s">
        <v>2878</v>
      </c>
      <c r="FQL1334" s="4" t="s">
        <v>2878</v>
      </c>
      <c r="FQM1334" s="4" t="s">
        <v>2878</v>
      </c>
      <c r="FQN1334" s="4" t="s">
        <v>2878</v>
      </c>
      <c r="FQO1334" s="4" t="s">
        <v>2878</v>
      </c>
      <c r="FQP1334" s="4" t="s">
        <v>2878</v>
      </c>
      <c r="FQQ1334" s="4" t="s">
        <v>2878</v>
      </c>
      <c r="FQR1334" s="4" t="s">
        <v>2878</v>
      </c>
      <c r="FQS1334" s="4" t="s">
        <v>2878</v>
      </c>
      <c r="FQT1334" s="4" t="s">
        <v>2878</v>
      </c>
      <c r="FQU1334" s="4" t="s">
        <v>2878</v>
      </c>
      <c r="FQV1334" s="4" t="s">
        <v>2878</v>
      </c>
      <c r="FQW1334" s="4" t="s">
        <v>2878</v>
      </c>
      <c r="FQX1334" s="4" t="s">
        <v>2878</v>
      </c>
      <c r="FQY1334" s="4" t="s">
        <v>2878</v>
      </c>
      <c r="FQZ1334" s="4" t="s">
        <v>2878</v>
      </c>
      <c r="FRA1334" s="4" t="s">
        <v>2878</v>
      </c>
      <c r="FRB1334" s="4" t="s">
        <v>2878</v>
      </c>
      <c r="FRC1334" s="4" t="s">
        <v>2878</v>
      </c>
      <c r="FRD1334" s="4" t="s">
        <v>2878</v>
      </c>
      <c r="FRE1334" s="4" t="s">
        <v>2878</v>
      </c>
      <c r="FRF1334" s="4" t="s">
        <v>2878</v>
      </c>
      <c r="FRG1334" s="4" t="s">
        <v>2878</v>
      </c>
      <c r="FRH1334" s="4" t="s">
        <v>2878</v>
      </c>
      <c r="FRI1334" s="4" t="s">
        <v>2878</v>
      </c>
      <c r="FRJ1334" s="4" t="s">
        <v>2878</v>
      </c>
      <c r="FRK1334" s="4" t="s">
        <v>2878</v>
      </c>
      <c r="FRL1334" s="4" t="s">
        <v>2878</v>
      </c>
      <c r="FRM1334" s="4" t="s">
        <v>2878</v>
      </c>
      <c r="FRN1334" s="4" t="s">
        <v>2878</v>
      </c>
      <c r="FRO1334" s="4" t="s">
        <v>2878</v>
      </c>
      <c r="FRP1334" s="4" t="s">
        <v>2878</v>
      </c>
      <c r="FRQ1334" s="4" t="s">
        <v>2878</v>
      </c>
      <c r="FRR1334" s="4" t="s">
        <v>2878</v>
      </c>
      <c r="FRS1334" s="4" t="s">
        <v>2878</v>
      </c>
      <c r="FRT1334" s="4" t="s">
        <v>2878</v>
      </c>
      <c r="FRU1334" s="4" t="s">
        <v>2878</v>
      </c>
      <c r="FRV1334" s="4" t="s">
        <v>2878</v>
      </c>
      <c r="FRW1334" s="4" t="s">
        <v>2878</v>
      </c>
      <c r="FRX1334" s="4" t="s">
        <v>2878</v>
      </c>
      <c r="FRY1334" s="4" t="s">
        <v>2878</v>
      </c>
      <c r="FRZ1334" s="4" t="s">
        <v>2878</v>
      </c>
      <c r="FSA1334" s="4" t="s">
        <v>2878</v>
      </c>
      <c r="FSB1334" s="4" t="s">
        <v>2878</v>
      </c>
      <c r="FSC1334" s="4" t="s">
        <v>2878</v>
      </c>
      <c r="FSD1334" s="4" t="s">
        <v>2878</v>
      </c>
      <c r="FSE1334" s="4" t="s">
        <v>2878</v>
      </c>
      <c r="FSF1334" s="4" t="s">
        <v>2878</v>
      </c>
      <c r="FSG1334" s="4" t="s">
        <v>2878</v>
      </c>
      <c r="FSH1334" s="4" t="s">
        <v>2878</v>
      </c>
      <c r="FSI1334" s="4" t="s">
        <v>2878</v>
      </c>
      <c r="FSJ1334" s="4" t="s">
        <v>2878</v>
      </c>
      <c r="FSK1334" s="4" t="s">
        <v>2878</v>
      </c>
      <c r="FSL1334" s="4" t="s">
        <v>2878</v>
      </c>
      <c r="FSM1334" s="4" t="s">
        <v>2878</v>
      </c>
      <c r="FSN1334" s="4" t="s">
        <v>2878</v>
      </c>
      <c r="FSO1334" s="4" t="s">
        <v>2878</v>
      </c>
      <c r="FSP1334" s="4" t="s">
        <v>2878</v>
      </c>
      <c r="FSQ1334" s="4" t="s">
        <v>2878</v>
      </c>
      <c r="FSR1334" s="4" t="s">
        <v>2878</v>
      </c>
      <c r="FSS1334" s="4" t="s">
        <v>2878</v>
      </c>
      <c r="FST1334" s="4" t="s">
        <v>2878</v>
      </c>
      <c r="FSU1334" s="4" t="s">
        <v>2878</v>
      </c>
      <c r="FSV1334" s="4" t="s">
        <v>2878</v>
      </c>
      <c r="FSW1334" s="4" t="s">
        <v>2878</v>
      </c>
      <c r="FSX1334" s="4" t="s">
        <v>2878</v>
      </c>
      <c r="FSY1334" s="4" t="s">
        <v>2878</v>
      </c>
      <c r="FSZ1334" s="4" t="s">
        <v>2878</v>
      </c>
      <c r="FTA1334" s="4" t="s">
        <v>2878</v>
      </c>
      <c r="FTB1334" s="4" t="s">
        <v>2878</v>
      </c>
      <c r="FTC1334" s="4" t="s">
        <v>2878</v>
      </c>
      <c r="FTD1334" s="4" t="s">
        <v>2878</v>
      </c>
      <c r="FTE1334" s="4" t="s">
        <v>2878</v>
      </c>
      <c r="FTF1334" s="4" t="s">
        <v>2878</v>
      </c>
      <c r="FTG1334" s="4" t="s">
        <v>2878</v>
      </c>
      <c r="FTH1334" s="4" t="s">
        <v>2878</v>
      </c>
      <c r="FTI1334" s="4" t="s">
        <v>2878</v>
      </c>
      <c r="FTJ1334" s="4" t="s">
        <v>2878</v>
      </c>
      <c r="FTK1334" s="4" t="s">
        <v>2878</v>
      </c>
      <c r="FTL1334" s="4" t="s">
        <v>2878</v>
      </c>
      <c r="FTM1334" s="4" t="s">
        <v>2878</v>
      </c>
      <c r="FTN1334" s="4" t="s">
        <v>2878</v>
      </c>
      <c r="FTO1334" s="4" t="s">
        <v>2878</v>
      </c>
      <c r="FTP1334" s="4" t="s">
        <v>2878</v>
      </c>
      <c r="FTQ1334" s="4" t="s">
        <v>2878</v>
      </c>
      <c r="FTR1334" s="4" t="s">
        <v>2878</v>
      </c>
      <c r="FTS1334" s="4" t="s">
        <v>2878</v>
      </c>
      <c r="FTT1334" s="4" t="s">
        <v>2878</v>
      </c>
      <c r="FTU1334" s="4" t="s">
        <v>2878</v>
      </c>
      <c r="FTV1334" s="4" t="s">
        <v>2878</v>
      </c>
      <c r="FTW1334" s="4" t="s">
        <v>2878</v>
      </c>
      <c r="FTX1334" s="4" t="s">
        <v>2878</v>
      </c>
      <c r="FTY1334" s="4" t="s">
        <v>2878</v>
      </c>
      <c r="FTZ1334" s="4" t="s">
        <v>2878</v>
      </c>
      <c r="FUA1334" s="4" t="s">
        <v>2878</v>
      </c>
      <c r="FUB1334" s="4" t="s">
        <v>2878</v>
      </c>
      <c r="FUC1334" s="4" t="s">
        <v>2878</v>
      </c>
      <c r="FUD1334" s="4" t="s">
        <v>2878</v>
      </c>
      <c r="FUE1334" s="4" t="s">
        <v>2878</v>
      </c>
      <c r="FUF1334" s="4" t="s">
        <v>2878</v>
      </c>
      <c r="FUG1334" s="4" t="s">
        <v>2878</v>
      </c>
      <c r="FUH1334" s="4" t="s">
        <v>2878</v>
      </c>
      <c r="FUI1334" s="4" t="s">
        <v>2878</v>
      </c>
      <c r="FUJ1334" s="4" t="s">
        <v>2878</v>
      </c>
      <c r="FUK1334" s="4" t="s">
        <v>2878</v>
      </c>
      <c r="FUL1334" s="4" t="s">
        <v>2878</v>
      </c>
      <c r="FUM1334" s="4" t="s">
        <v>2878</v>
      </c>
      <c r="FUN1334" s="4" t="s">
        <v>2878</v>
      </c>
      <c r="FUO1334" s="4" t="s">
        <v>2878</v>
      </c>
      <c r="FUP1334" s="4" t="s">
        <v>2878</v>
      </c>
      <c r="FUQ1334" s="4" t="s">
        <v>2878</v>
      </c>
      <c r="FUR1334" s="4" t="s">
        <v>2878</v>
      </c>
      <c r="FUS1334" s="4" t="s">
        <v>2878</v>
      </c>
      <c r="FUT1334" s="4" t="s">
        <v>2878</v>
      </c>
      <c r="FUU1334" s="4" t="s">
        <v>2878</v>
      </c>
      <c r="FUV1334" s="4" t="s">
        <v>2878</v>
      </c>
      <c r="FUW1334" s="4" t="s">
        <v>2878</v>
      </c>
      <c r="FUX1334" s="4" t="s">
        <v>2878</v>
      </c>
      <c r="FUY1334" s="4" t="s">
        <v>2878</v>
      </c>
      <c r="FUZ1334" s="4" t="s">
        <v>2878</v>
      </c>
      <c r="FVA1334" s="4" t="s">
        <v>2878</v>
      </c>
      <c r="FVB1334" s="4" t="s">
        <v>2878</v>
      </c>
      <c r="FVC1334" s="4" t="s">
        <v>2878</v>
      </c>
      <c r="FVD1334" s="4" t="s">
        <v>2878</v>
      </c>
      <c r="FVE1334" s="4" t="s">
        <v>2878</v>
      </c>
      <c r="FVF1334" s="4" t="s">
        <v>2878</v>
      </c>
      <c r="FVG1334" s="4" t="s">
        <v>2878</v>
      </c>
      <c r="FVH1334" s="4" t="s">
        <v>2878</v>
      </c>
      <c r="FVI1334" s="4" t="s">
        <v>2878</v>
      </c>
      <c r="FVJ1334" s="4" t="s">
        <v>2878</v>
      </c>
      <c r="FVK1334" s="4" t="s">
        <v>2878</v>
      </c>
      <c r="FVL1334" s="4" t="s">
        <v>2878</v>
      </c>
      <c r="FVM1334" s="4" t="s">
        <v>2878</v>
      </c>
      <c r="FVN1334" s="4" t="s">
        <v>2878</v>
      </c>
      <c r="FVO1334" s="4" t="s">
        <v>2878</v>
      </c>
      <c r="FVP1334" s="4" t="s">
        <v>2878</v>
      </c>
      <c r="FVQ1334" s="4" t="s">
        <v>2878</v>
      </c>
      <c r="FVR1334" s="4" t="s">
        <v>2878</v>
      </c>
      <c r="FVS1334" s="4" t="s">
        <v>2878</v>
      </c>
      <c r="FVT1334" s="4" t="s">
        <v>2878</v>
      </c>
      <c r="FVU1334" s="4" t="s">
        <v>2878</v>
      </c>
      <c r="FVV1334" s="4" t="s">
        <v>2878</v>
      </c>
      <c r="FVW1334" s="4" t="s">
        <v>2878</v>
      </c>
      <c r="FVX1334" s="4" t="s">
        <v>2878</v>
      </c>
      <c r="FVY1334" s="4" t="s">
        <v>2878</v>
      </c>
      <c r="FVZ1334" s="4" t="s">
        <v>2878</v>
      </c>
      <c r="FWA1334" s="4" t="s">
        <v>2878</v>
      </c>
      <c r="FWB1334" s="4" t="s">
        <v>2878</v>
      </c>
      <c r="FWC1334" s="4" t="s">
        <v>2878</v>
      </c>
      <c r="FWD1334" s="4" t="s">
        <v>2878</v>
      </c>
      <c r="FWE1334" s="4" t="s">
        <v>2878</v>
      </c>
      <c r="FWF1334" s="4" t="s">
        <v>2878</v>
      </c>
      <c r="FWG1334" s="4" t="s">
        <v>2878</v>
      </c>
      <c r="FWH1334" s="4" t="s">
        <v>2878</v>
      </c>
      <c r="FWI1334" s="4" t="s">
        <v>2878</v>
      </c>
      <c r="FWJ1334" s="4" t="s">
        <v>2878</v>
      </c>
      <c r="FWK1334" s="4" t="s">
        <v>2878</v>
      </c>
      <c r="FWL1334" s="4" t="s">
        <v>2878</v>
      </c>
      <c r="FWM1334" s="4" t="s">
        <v>2878</v>
      </c>
      <c r="FWN1334" s="4" t="s">
        <v>2878</v>
      </c>
      <c r="FWO1334" s="4" t="s">
        <v>2878</v>
      </c>
      <c r="FWP1334" s="4" t="s">
        <v>2878</v>
      </c>
      <c r="FWQ1334" s="4" t="s">
        <v>2878</v>
      </c>
      <c r="FWR1334" s="4" t="s">
        <v>2878</v>
      </c>
      <c r="FWS1334" s="4" t="s">
        <v>2878</v>
      </c>
      <c r="FWT1334" s="4" t="s">
        <v>2878</v>
      </c>
      <c r="FWU1334" s="4" t="s">
        <v>2878</v>
      </c>
      <c r="FWV1334" s="4" t="s">
        <v>2878</v>
      </c>
      <c r="FWW1334" s="4" t="s">
        <v>2878</v>
      </c>
      <c r="FWX1334" s="4" t="s">
        <v>2878</v>
      </c>
      <c r="FWY1334" s="4" t="s">
        <v>2878</v>
      </c>
      <c r="FWZ1334" s="4" t="s">
        <v>2878</v>
      </c>
      <c r="FXA1334" s="4" t="s">
        <v>2878</v>
      </c>
      <c r="FXB1334" s="4" t="s">
        <v>2878</v>
      </c>
      <c r="FXC1334" s="4" t="s">
        <v>2878</v>
      </c>
      <c r="FXD1334" s="4" t="s">
        <v>2878</v>
      </c>
      <c r="FXE1334" s="4" t="s">
        <v>2878</v>
      </c>
      <c r="FXF1334" s="4" t="s">
        <v>2878</v>
      </c>
      <c r="FXG1334" s="4" t="s">
        <v>2878</v>
      </c>
      <c r="FXH1334" s="4" t="s">
        <v>2878</v>
      </c>
      <c r="FXI1334" s="4" t="s">
        <v>2878</v>
      </c>
      <c r="FXJ1334" s="4" t="s">
        <v>2878</v>
      </c>
      <c r="FXK1334" s="4" t="s">
        <v>2878</v>
      </c>
      <c r="FXL1334" s="4" t="s">
        <v>2878</v>
      </c>
      <c r="FXM1334" s="4" t="s">
        <v>2878</v>
      </c>
      <c r="FXN1334" s="4" t="s">
        <v>2878</v>
      </c>
      <c r="FXO1334" s="4" t="s">
        <v>2878</v>
      </c>
      <c r="FXP1334" s="4" t="s">
        <v>2878</v>
      </c>
      <c r="FXQ1334" s="4" t="s">
        <v>2878</v>
      </c>
      <c r="FXR1334" s="4" t="s">
        <v>2878</v>
      </c>
      <c r="FXS1334" s="4" t="s">
        <v>2878</v>
      </c>
      <c r="FXT1334" s="4" t="s">
        <v>2878</v>
      </c>
      <c r="FXU1334" s="4" t="s">
        <v>2878</v>
      </c>
      <c r="FXV1334" s="4" t="s">
        <v>2878</v>
      </c>
      <c r="FXW1334" s="4" t="s">
        <v>2878</v>
      </c>
      <c r="FXX1334" s="4" t="s">
        <v>2878</v>
      </c>
      <c r="FXY1334" s="4" t="s">
        <v>2878</v>
      </c>
      <c r="FXZ1334" s="4" t="s">
        <v>2878</v>
      </c>
      <c r="FYA1334" s="4" t="s">
        <v>2878</v>
      </c>
      <c r="FYB1334" s="4" t="s">
        <v>2878</v>
      </c>
      <c r="FYC1334" s="4" t="s">
        <v>2878</v>
      </c>
      <c r="FYD1334" s="4" t="s">
        <v>2878</v>
      </c>
      <c r="FYE1334" s="4" t="s">
        <v>2878</v>
      </c>
      <c r="FYF1334" s="4" t="s">
        <v>2878</v>
      </c>
      <c r="FYG1334" s="4" t="s">
        <v>2878</v>
      </c>
      <c r="FYH1334" s="4" t="s">
        <v>2878</v>
      </c>
      <c r="FYI1334" s="4" t="s">
        <v>2878</v>
      </c>
      <c r="FYJ1334" s="4" t="s">
        <v>2878</v>
      </c>
      <c r="FYK1334" s="4" t="s">
        <v>2878</v>
      </c>
      <c r="FYL1334" s="4" t="s">
        <v>2878</v>
      </c>
      <c r="FYM1334" s="4" t="s">
        <v>2878</v>
      </c>
      <c r="FYN1334" s="4" t="s">
        <v>2878</v>
      </c>
      <c r="FYO1334" s="4" t="s">
        <v>2878</v>
      </c>
      <c r="FYP1334" s="4" t="s">
        <v>2878</v>
      </c>
      <c r="FYQ1334" s="4" t="s">
        <v>2878</v>
      </c>
      <c r="FYR1334" s="4" t="s">
        <v>2878</v>
      </c>
      <c r="FYS1334" s="4" t="s">
        <v>2878</v>
      </c>
      <c r="FYT1334" s="4" t="s">
        <v>2878</v>
      </c>
      <c r="FYU1334" s="4" t="s">
        <v>2878</v>
      </c>
      <c r="FYV1334" s="4" t="s">
        <v>2878</v>
      </c>
      <c r="FYW1334" s="4" t="s">
        <v>2878</v>
      </c>
      <c r="FYX1334" s="4" t="s">
        <v>2878</v>
      </c>
      <c r="FYY1334" s="4" t="s">
        <v>2878</v>
      </c>
      <c r="FYZ1334" s="4" t="s">
        <v>2878</v>
      </c>
      <c r="FZA1334" s="4" t="s">
        <v>2878</v>
      </c>
      <c r="FZB1334" s="4" t="s">
        <v>2878</v>
      </c>
      <c r="FZC1334" s="4" t="s">
        <v>2878</v>
      </c>
      <c r="FZD1334" s="4" t="s">
        <v>2878</v>
      </c>
      <c r="FZE1334" s="4" t="s">
        <v>2878</v>
      </c>
      <c r="FZF1334" s="4" t="s">
        <v>2878</v>
      </c>
      <c r="FZG1334" s="4" t="s">
        <v>2878</v>
      </c>
      <c r="FZH1334" s="4" t="s">
        <v>2878</v>
      </c>
      <c r="FZI1334" s="4" t="s">
        <v>2878</v>
      </c>
      <c r="FZJ1334" s="4" t="s">
        <v>2878</v>
      </c>
      <c r="FZK1334" s="4" t="s">
        <v>2878</v>
      </c>
      <c r="FZL1334" s="4" t="s">
        <v>2878</v>
      </c>
      <c r="FZM1334" s="4" t="s">
        <v>2878</v>
      </c>
      <c r="FZN1334" s="4" t="s">
        <v>2878</v>
      </c>
      <c r="FZO1334" s="4" t="s">
        <v>2878</v>
      </c>
      <c r="FZP1334" s="4" t="s">
        <v>2878</v>
      </c>
      <c r="FZQ1334" s="4" t="s">
        <v>2878</v>
      </c>
      <c r="FZR1334" s="4" t="s">
        <v>2878</v>
      </c>
      <c r="FZS1334" s="4" t="s">
        <v>2878</v>
      </c>
      <c r="FZT1334" s="4" t="s">
        <v>2878</v>
      </c>
      <c r="FZU1334" s="4" t="s">
        <v>2878</v>
      </c>
      <c r="FZV1334" s="4" t="s">
        <v>2878</v>
      </c>
      <c r="FZW1334" s="4" t="s">
        <v>2878</v>
      </c>
      <c r="FZX1334" s="4" t="s">
        <v>2878</v>
      </c>
      <c r="FZY1334" s="4" t="s">
        <v>2878</v>
      </c>
      <c r="FZZ1334" s="4" t="s">
        <v>2878</v>
      </c>
      <c r="GAA1334" s="4" t="s">
        <v>2878</v>
      </c>
      <c r="GAB1334" s="4" t="s">
        <v>2878</v>
      </c>
      <c r="GAC1334" s="4" t="s">
        <v>2878</v>
      </c>
      <c r="GAD1334" s="4" t="s">
        <v>2878</v>
      </c>
      <c r="GAE1334" s="4" t="s">
        <v>2878</v>
      </c>
      <c r="GAF1334" s="4" t="s">
        <v>2878</v>
      </c>
      <c r="GAG1334" s="4" t="s">
        <v>2878</v>
      </c>
      <c r="GAH1334" s="4" t="s">
        <v>2878</v>
      </c>
      <c r="GAI1334" s="4" t="s">
        <v>2878</v>
      </c>
      <c r="GAJ1334" s="4" t="s">
        <v>2878</v>
      </c>
      <c r="GAK1334" s="4" t="s">
        <v>2878</v>
      </c>
      <c r="GAL1334" s="4" t="s">
        <v>2878</v>
      </c>
      <c r="GAM1334" s="4" t="s">
        <v>2878</v>
      </c>
      <c r="GAN1334" s="4" t="s">
        <v>2878</v>
      </c>
      <c r="GAO1334" s="4" t="s">
        <v>2878</v>
      </c>
      <c r="GAP1334" s="4" t="s">
        <v>2878</v>
      </c>
      <c r="GAQ1334" s="4" t="s">
        <v>2878</v>
      </c>
      <c r="GAR1334" s="4" t="s">
        <v>2878</v>
      </c>
      <c r="GAS1334" s="4" t="s">
        <v>2878</v>
      </c>
      <c r="GAT1334" s="4" t="s">
        <v>2878</v>
      </c>
      <c r="GAU1334" s="4" t="s">
        <v>2878</v>
      </c>
      <c r="GAV1334" s="4" t="s">
        <v>2878</v>
      </c>
      <c r="GAW1334" s="4" t="s">
        <v>2878</v>
      </c>
      <c r="GAX1334" s="4" t="s">
        <v>2878</v>
      </c>
      <c r="GAY1334" s="4" t="s">
        <v>2878</v>
      </c>
      <c r="GAZ1334" s="4" t="s">
        <v>2878</v>
      </c>
      <c r="GBA1334" s="4" t="s">
        <v>2878</v>
      </c>
      <c r="GBB1334" s="4" t="s">
        <v>2878</v>
      </c>
      <c r="GBC1334" s="4" t="s">
        <v>2878</v>
      </c>
      <c r="GBD1334" s="4" t="s">
        <v>2878</v>
      </c>
      <c r="GBE1334" s="4" t="s">
        <v>2878</v>
      </c>
      <c r="GBF1334" s="4" t="s">
        <v>2878</v>
      </c>
      <c r="GBG1334" s="4" t="s">
        <v>2878</v>
      </c>
      <c r="GBH1334" s="4" t="s">
        <v>2878</v>
      </c>
      <c r="GBI1334" s="4" t="s">
        <v>2878</v>
      </c>
      <c r="GBJ1334" s="4" t="s">
        <v>2878</v>
      </c>
      <c r="GBK1334" s="4" t="s">
        <v>2878</v>
      </c>
      <c r="GBL1334" s="4" t="s">
        <v>2878</v>
      </c>
      <c r="GBM1334" s="4" t="s">
        <v>2878</v>
      </c>
      <c r="GBN1334" s="4" t="s">
        <v>2878</v>
      </c>
      <c r="GBO1334" s="4" t="s">
        <v>2878</v>
      </c>
      <c r="GBP1334" s="4" t="s">
        <v>2878</v>
      </c>
      <c r="GBQ1334" s="4" t="s">
        <v>2878</v>
      </c>
      <c r="GBR1334" s="4" t="s">
        <v>2878</v>
      </c>
      <c r="GBS1334" s="4" t="s">
        <v>2878</v>
      </c>
      <c r="GBT1334" s="4" t="s">
        <v>2878</v>
      </c>
      <c r="GBU1334" s="4" t="s">
        <v>2878</v>
      </c>
      <c r="GBV1334" s="4" t="s">
        <v>2878</v>
      </c>
      <c r="GBW1334" s="4" t="s">
        <v>2878</v>
      </c>
      <c r="GBX1334" s="4" t="s">
        <v>2878</v>
      </c>
      <c r="GBY1334" s="4" t="s">
        <v>2878</v>
      </c>
      <c r="GBZ1334" s="4" t="s">
        <v>2878</v>
      </c>
      <c r="GCA1334" s="4" t="s">
        <v>2878</v>
      </c>
      <c r="GCB1334" s="4" t="s">
        <v>2878</v>
      </c>
      <c r="GCC1334" s="4" t="s">
        <v>2878</v>
      </c>
      <c r="GCD1334" s="4" t="s">
        <v>2878</v>
      </c>
      <c r="GCE1334" s="4" t="s">
        <v>2878</v>
      </c>
      <c r="GCF1334" s="4" t="s">
        <v>2878</v>
      </c>
      <c r="GCG1334" s="4" t="s">
        <v>2878</v>
      </c>
      <c r="GCH1334" s="4" t="s">
        <v>2878</v>
      </c>
      <c r="GCI1334" s="4" t="s">
        <v>2878</v>
      </c>
      <c r="GCJ1334" s="4" t="s">
        <v>2878</v>
      </c>
      <c r="GCK1334" s="4" t="s">
        <v>2878</v>
      </c>
      <c r="GCL1334" s="4" t="s">
        <v>2878</v>
      </c>
      <c r="GCM1334" s="4" t="s">
        <v>2878</v>
      </c>
      <c r="GCN1334" s="4" t="s">
        <v>2878</v>
      </c>
      <c r="GCO1334" s="4" t="s">
        <v>2878</v>
      </c>
      <c r="GCP1334" s="4" t="s">
        <v>2878</v>
      </c>
      <c r="GCQ1334" s="4" t="s">
        <v>2878</v>
      </c>
      <c r="GCR1334" s="4" t="s">
        <v>2878</v>
      </c>
      <c r="GCS1334" s="4" t="s">
        <v>2878</v>
      </c>
      <c r="GCT1334" s="4" t="s">
        <v>2878</v>
      </c>
      <c r="GCU1334" s="4" t="s">
        <v>2878</v>
      </c>
      <c r="GCV1334" s="4" t="s">
        <v>2878</v>
      </c>
      <c r="GCW1334" s="4" t="s">
        <v>2878</v>
      </c>
      <c r="GCX1334" s="4" t="s">
        <v>2878</v>
      </c>
      <c r="GCY1334" s="4" t="s">
        <v>2878</v>
      </c>
      <c r="GCZ1334" s="4" t="s">
        <v>2878</v>
      </c>
      <c r="GDA1334" s="4" t="s">
        <v>2878</v>
      </c>
      <c r="GDB1334" s="4" t="s">
        <v>2878</v>
      </c>
      <c r="GDC1334" s="4" t="s">
        <v>2878</v>
      </c>
      <c r="GDD1334" s="4" t="s">
        <v>2878</v>
      </c>
      <c r="GDE1334" s="4" t="s">
        <v>2878</v>
      </c>
      <c r="GDF1334" s="4" t="s">
        <v>2878</v>
      </c>
      <c r="GDG1334" s="4" t="s">
        <v>2878</v>
      </c>
      <c r="GDH1334" s="4" t="s">
        <v>2878</v>
      </c>
      <c r="GDI1334" s="4" t="s">
        <v>2878</v>
      </c>
      <c r="GDJ1334" s="4" t="s">
        <v>2878</v>
      </c>
      <c r="GDK1334" s="4" t="s">
        <v>2878</v>
      </c>
      <c r="GDL1334" s="4" t="s">
        <v>2878</v>
      </c>
      <c r="GDM1334" s="4" t="s">
        <v>2878</v>
      </c>
      <c r="GDN1334" s="4" t="s">
        <v>2878</v>
      </c>
      <c r="GDO1334" s="4" t="s">
        <v>2878</v>
      </c>
      <c r="GDP1334" s="4" t="s">
        <v>2878</v>
      </c>
      <c r="GDQ1334" s="4" t="s">
        <v>2878</v>
      </c>
      <c r="GDR1334" s="4" t="s">
        <v>2878</v>
      </c>
      <c r="GDS1334" s="4" t="s">
        <v>2878</v>
      </c>
      <c r="GDT1334" s="4" t="s">
        <v>2878</v>
      </c>
      <c r="GDU1334" s="4" t="s">
        <v>2878</v>
      </c>
      <c r="GDV1334" s="4" t="s">
        <v>2878</v>
      </c>
      <c r="GDW1334" s="4" t="s">
        <v>2878</v>
      </c>
      <c r="GDX1334" s="4" t="s">
        <v>2878</v>
      </c>
      <c r="GDY1334" s="4" t="s">
        <v>2878</v>
      </c>
      <c r="GDZ1334" s="4" t="s">
        <v>2878</v>
      </c>
      <c r="GEA1334" s="4" t="s">
        <v>2878</v>
      </c>
      <c r="GEB1334" s="4" t="s">
        <v>2878</v>
      </c>
      <c r="GEC1334" s="4" t="s">
        <v>2878</v>
      </c>
      <c r="GED1334" s="4" t="s">
        <v>2878</v>
      </c>
      <c r="GEE1334" s="4" t="s">
        <v>2878</v>
      </c>
      <c r="GEF1334" s="4" t="s">
        <v>2878</v>
      </c>
      <c r="GEG1334" s="4" t="s">
        <v>2878</v>
      </c>
      <c r="GEH1334" s="4" t="s">
        <v>2878</v>
      </c>
      <c r="GEI1334" s="4" t="s">
        <v>2878</v>
      </c>
      <c r="GEJ1334" s="4" t="s">
        <v>2878</v>
      </c>
      <c r="GEK1334" s="4" t="s">
        <v>2878</v>
      </c>
      <c r="GEL1334" s="4" t="s">
        <v>2878</v>
      </c>
      <c r="GEM1334" s="4" t="s">
        <v>2878</v>
      </c>
      <c r="GEN1334" s="4" t="s">
        <v>2878</v>
      </c>
      <c r="GEO1334" s="4" t="s">
        <v>2878</v>
      </c>
      <c r="GEP1334" s="4" t="s">
        <v>2878</v>
      </c>
      <c r="GEQ1334" s="4" t="s">
        <v>2878</v>
      </c>
      <c r="GER1334" s="4" t="s">
        <v>2878</v>
      </c>
      <c r="GES1334" s="4" t="s">
        <v>2878</v>
      </c>
      <c r="GET1334" s="4" t="s">
        <v>2878</v>
      </c>
      <c r="GEU1334" s="4" t="s">
        <v>2878</v>
      </c>
      <c r="GEV1334" s="4" t="s">
        <v>2878</v>
      </c>
      <c r="GEW1334" s="4" t="s">
        <v>2878</v>
      </c>
      <c r="GEX1334" s="4" t="s">
        <v>2878</v>
      </c>
      <c r="GEY1334" s="4" t="s">
        <v>2878</v>
      </c>
      <c r="GEZ1334" s="4" t="s">
        <v>2878</v>
      </c>
      <c r="GFA1334" s="4" t="s">
        <v>2878</v>
      </c>
      <c r="GFB1334" s="4" t="s">
        <v>2878</v>
      </c>
      <c r="GFC1334" s="4" t="s">
        <v>2878</v>
      </c>
      <c r="GFD1334" s="4" t="s">
        <v>2878</v>
      </c>
      <c r="GFE1334" s="4" t="s">
        <v>2878</v>
      </c>
      <c r="GFF1334" s="4" t="s">
        <v>2878</v>
      </c>
      <c r="GFG1334" s="4" t="s">
        <v>2878</v>
      </c>
      <c r="GFH1334" s="4" t="s">
        <v>2878</v>
      </c>
      <c r="GFI1334" s="4" t="s">
        <v>2878</v>
      </c>
      <c r="GFJ1334" s="4" t="s">
        <v>2878</v>
      </c>
      <c r="GFK1334" s="4" t="s">
        <v>2878</v>
      </c>
      <c r="GFL1334" s="4" t="s">
        <v>2878</v>
      </c>
      <c r="GFM1334" s="4" t="s">
        <v>2878</v>
      </c>
      <c r="GFN1334" s="4" t="s">
        <v>2878</v>
      </c>
      <c r="GFO1334" s="4" t="s">
        <v>2878</v>
      </c>
      <c r="GFP1334" s="4" t="s">
        <v>2878</v>
      </c>
      <c r="GFQ1334" s="4" t="s">
        <v>2878</v>
      </c>
      <c r="GFR1334" s="4" t="s">
        <v>2878</v>
      </c>
      <c r="GFS1334" s="4" t="s">
        <v>2878</v>
      </c>
      <c r="GFT1334" s="4" t="s">
        <v>2878</v>
      </c>
      <c r="GFU1334" s="4" t="s">
        <v>2878</v>
      </c>
      <c r="GFV1334" s="4" t="s">
        <v>2878</v>
      </c>
      <c r="GFW1334" s="4" t="s">
        <v>2878</v>
      </c>
      <c r="GFX1334" s="4" t="s">
        <v>2878</v>
      </c>
      <c r="GFY1334" s="4" t="s">
        <v>2878</v>
      </c>
      <c r="GFZ1334" s="4" t="s">
        <v>2878</v>
      </c>
      <c r="GGA1334" s="4" t="s">
        <v>2878</v>
      </c>
      <c r="GGB1334" s="4" t="s">
        <v>2878</v>
      </c>
      <c r="GGC1334" s="4" t="s">
        <v>2878</v>
      </c>
      <c r="GGD1334" s="4" t="s">
        <v>2878</v>
      </c>
      <c r="GGE1334" s="4" t="s">
        <v>2878</v>
      </c>
      <c r="GGF1334" s="4" t="s">
        <v>2878</v>
      </c>
      <c r="GGG1334" s="4" t="s">
        <v>2878</v>
      </c>
      <c r="GGH1334" s="4" t="s">
        <v>2878</v>
      </c>
      <c r="GGI1334" s="4" t="s">
        <v>2878</v>
      </c>
      <c r="GGJ1334" s="4" t="s">
        <v>2878</v>
      </c>
      <c r="GGK1334" s="4" t="s">
        <v>2878</v>
      </c>
      <c r="GGL1334" s="4" t="s">
        <v>2878</v>
      </c>
      <c r="GGM1334" s="4" t="s">
        <v>2878</v>
      </c>
      <c r="GGN1334" s="4" t="s">
        <v>2878</v>
      </c>
      <c r="GGO1334" s="4" t="s">
        <v>2878</v>
      </c>
      <c r="GGP1334" s="4" t="s">
        <v>2878</v>
      </c>
      <c r="GGQ1334" s="4" t="s">
        <v>2878</v>
      </c>
      <c r="GGR1334" s="4" t="s">
        <v>2878</v>
      </c>
      <c r="GGS1334" s="4" t="s">
        <v>2878</v>
      </c>
      <c r="GGT1334" s="4" t="s">
        <v>2878</v>
      </c>
      <c r="GGU1334" s="4" t="s">
        <v>2878</v>
      </c>
      <c r="GGV1334" s="4" t="s">
        <v>2878</v>
      </c>
      <c r="GGW1334" s="4" t="s">
        <v>2878</v>
      </c>
      <c r="GGX1334" s="4" t="s">
        <v>2878</v>
      </c>
      <c r="GGY1334" s="4" t="s">
        <v>2878</v>
      </c>
      <c r="GGZ1334" s="4" t="s">
        <v>2878</v>
      </c>
      <c r="GHA1334" s="4" t="s">
        <v>2878</v>
      </c>
      <c r="GHB1334" s="4" t="s">
        <v>2878</v>
      </c>
      <c r="GHC1334" s="4" t="s">
        <v>2878</v>
      </c>
      <c r="GHD1334" s="4" t="s">
        <v>2878</v>
      </c>
      <c r="GHE1334" s="4" t="s">
        <v>2878</v>
      </c>
      <c r="GHF1334" s="4" t="s">
        <v>2878</v>
      </c>
      <c r="GHG1334" s="4" t="s">
        <v>2878</v>
      </c>
      <c r="GHH1334" s="4" t="s">
        <v>2878</v>
      </c>
      <c r="GHI1334" s="4" t="s">
        <v>2878</v>
      </c>
      <c r="GHJ1334" s="4" t="s">
        <v>2878</v>
      </c>
      <c r="GHK1334" s="4" t="s">
        <v>2878</v>
      </c>
      <c r="GHL1334" s="4" t="s">
        <v>2878</v>
      </c>
      <c r="GHM1334" s="4" t="s">
        <v>2878</v>
      </c>
      <c r="GHN1334" s="4" t="s">
        <v>2878</v>
      </c>
      <c r="GHO1334" s="4" t="s">
        <v>2878</v>
      </c>
      <c r="GHP1334" s="4" t="s">
        <v>2878</v>
      </c>
      <c r="GHQ1334" s="4" t="s">
        <v>2878</v>
      </c>
      <c r="GHR1334" s="4" t="s">
        <v>2878</v>
      </c>
      <c r="GHS1334" s="4" t="s">
        <v>2878</v>
      </c>
      <c r="GHT1334" s="4" t="s">
        <v>2878</v>
      </c>
      <c r="GHU1334" s="4" t="s">
        <v>2878</v>
      </c>
      <c r="GHV1334" s="4" t="s">
        <v>2878</v>
      </c>
      <c r="GHW1334" s="4" t="s">
        <v>2878</v>
      </c>
      <c r="GHX1334" s="4" t="s">
        <v>2878</v>
      </c>
      <c r="GHY1334" s="4" t="s">
        <v>2878</v>
      </c>
      <c r="GHZ1334" s="4" t="s">
        <v>2878</v>
      </c>
      <c r="GIA1334" s="4" t="s">
        <v>2878</v>
      </c>
      <c r="GIB1334" s="4" t="s">
        <v>2878</v>
      </c>
      <c r="GIC1334" s="4" t="s">
        <v>2878</v>
      </c>
      <c r="GID1334" s="4" t="s">
        <v>2878</v>
      </c>
      <c r="GIE1334" s="4" t="s">
        <v>2878</v>
      </c>
      <c r="GIF1334" s="4" t="s">
        <v>2878</v>
      </c>
      <c r="GIG1334" s="4" t="s">
        <v>2878</v>
      </c>
      <c r="GIH1334" s="4" t="s">
        <v>2878</v>
      </c>
      <c r="GII1334" s="4" t="s">
        <v>2878</v>
      </c>
      <c r="GIJ1334" s="4" t="s">
        <v>2878</v>
      </c>
      <c r="GIK1334" s="4" t="s">
        <v>2878</v>
      </c>
      <c r="GIL1334" s="4" t="s">
        <v>2878</v>
      </c>
      <c r="GIM1334" s="4" t="s">
        <v>2878</v>
      </c>
      <c r="GIN1334" s="4" t="s">
        <v>2878</v>
      </c>
      <c r="GIO1334" s="4" t="s">
        <v>2878</v>
      </c>
      <c r="GIP1334" s="4" t="s">
        <v>2878</v>
      </c>
      <c r="GIQ1334" s="4" t="s">
        <v>2878</v>
      </c>
      <c r="GIR1334" s="4" t="s">
        <v>2878</v>
      </c>
      <c r="GIS1334" s="4" t="s">
        <v>2878</v>
      </c>
      <c r="GIT1334" s="4" t="s">
        <v>2878</v>
      </c>
      <c r="GIU1334" s="4" t="s">
        <v>2878</v>
      </c>
      <c r="GIV1334" s="4" t="s">
        <v>2878</v>
      </c>
      <c r="GIW1334" s="4" t="s">
        <v>2878</v>
      </c>
      <c r="GIX1334" s="4" t="s">
        <v>2878</v>
      </c>
      <c r="GIY1334" s="4" t="s">
        <v>2878</v>
      </c>
      <c r="GIZ1334" s="4" t="s">
        <v>2878</v>
      </c>
      <c r="GJA1334" s="4" t="s">
        <v>2878</v>
      </c>
      <c r="GJB1334" s="4" t="s">
        <v>2878</v>
      </c>
      <c r="GJC1334" s="4" t="s">
        <v>2878</v>
      </c>
      <c r="GJD1334" s="4" t="s">
        <v>2878</v>
      </c>
      <c r="GJE1334" s="4" t="s">
        <v>2878</v>
      </c>
      <c r="GJF1334" s="4" t="s">
        <v>2878</v>
      </c>
      <c r="GJG1334" s="4" t="s">
        <v>2878</v>
      </c>
      <c r="GJH1334" s="4" t="s">
        <v>2878</v>
      </c>
      <c r="GJI1334" s="4" t="s">
        <v>2878</v>
      </c>
      <c r="GJJ1334" s="4" t="s">
        <v>2878</v>
      </c>
      <c r="GJK1334" s="4" t="s">
        <v>2878</v>
      </c>
      <c r="GJL1334" s="4" t="s">
        <v>2878</v>
      </c>
      <c r="GJM1334" s="4" t="s">
        <v>2878</v>
      </c>
      <c r="GJN1334" s="4" t="s">
        <v>2878</v>
      </c>
      <c r="GJO1334" s="4" t="s">
        <v>2878</v>
      </c>
      <c r="GJP1334" s="4" t="s">
        <v>2878</v>
      </c>
      <c r="GJQ1334" s="4" t="s">
        <v>2878</v>
      </c>
      <c r="GJR1334" s="4" t="s">
        <v>2878</v>
      </c>
      <c r="GJS1334" s="4" t="s">
        <v>2878</v>
      </c>
      <c r="GJT1334" s="4" t="s">
        <v>2878</v>
      </c>
      <c r="GJU1334" s="4" t="s">
        <v>2878</v>
      </c>
      <c r="GJV1334" s="4" t="s">
        <v>2878</v>
      </c>
      <c r="GJW1334" s="4" t="s">
        <v>2878</v>
      </c>
      <c r="GJX1334" s="4" t="s">
        <v>2878</v>
      </c>
      <c r="GJY1334" s="4" t="s">
        <v>2878</v>
      </c>
      <c r="GJZ1334" s="4" t="s">
        <v>2878</v>
      </c>
      <c r="GKA1334" s="4" t="s">
        <v>2878</v>
      </c>
      <c r="GKB1334" s="4" t="s">
        <v>2878</v>
      </c>
      <c r="GKC1334" s="4" t="s">
        <v>2878</v>
      </c>
      <c r="GKD1334" s="4" t="s">
        <v>2878</v>
      </c>
      <c r="GKE1334" s="4" t="s">
        <v>2878</v>
      </c>
      <c r="GKF1334" s="4" t="s">
        <v>2878</v>
      </c>
      <c r="GKG1334" s="4" t="s">
        <v>2878</v>
      </c>
      <c r="GKH1334" s="4" t="s">
        <v>2878</v>
      </c>
      <c r="GKI1334" s="4" t="s">
        <v>2878</v>
      </c>
      <c r="GKJ1334" s="4" t="s">
        <v>2878</v>
      </c>
      <c r="GKK1334" s="4" t="s">
        <v>2878</v>
      </c>
      <c r="GKL1334" s="4" t="s">
        <v>2878</v>
      </c>
      <c r="GKM1334" s="4" t="s">
        <v>2878</v>
      </c>
      <c r="GKN1334" s="4" t="s">
        <v>2878</v>
      </c>
      <c r="GKO1334" s="4" t="s">
        <v>2878</v>
      </c>
      <c r="GKP1334" s="4" t="s">
        <v>2878</v>
      </c>
      <c r="GKQ1334" s="4" t="s">
        <v>2878</v>
      </c>
      <c r="GKR1334" s="4" t="s">
        <v>2878</v>
      </c>
      <c r="GKS1334" s="4" t="s">
        <v>2878</v>
      </c>
      <c r="GKT1334" s="4" t="s">
        <v>2878</v>
      </c>
      <c r="GKU1334" s="4" t="s">
        <v>2878</v>
      </c>
      <c r="GKV1334" s="4" t="s">
        <v>2878</v>
      </c>
      <c r="GKW1334" s="4" t="s">
        <v>2878</v>
      </c>
      <c r="GKX1334" s="4" t="s">
        <v>2878</v>
      </c>
      <c r="GKY1334" s="4" t="s">
        <v>2878</v>
      </c>
      <c r="GKZ1334" s="4" t="s">
        <v>2878</v>
      </c>
      <c r="GLA1334" s="4" t="s">
        <v>2878</v>
      </c>
      <c r="GLB1334" s="4" t="s">
        <v>2878</v>
      </c>
      <c r="GLC1334" s="4" t="s">
        <v>2878</v>
      </c>
      <c r="GLD1334" s="4" t="s">
        <v>2878</v>
      </c>
      <c r="GLE1334" s="4" t="s">
        <v>2878</v>
      </c>
      <c r="GLF1334" s="4" t="s">
        <v>2878</v>
      </c>
      <c r="GLG1334" s="4" t="s">
        <v>2878</v>
      </c>
      <c r="GLH1334" s="4" t="s">
        <v>2878</v>
      </c>
      <c r="GLI1334" s="4" t="s">
        <v>2878</v>
      </c>
      <c r="GLJ1334" s="4" t="s">
        <v>2878</v>
      </c>
      <c r="GLK1334" s="4" t="s">
        <v>2878</v>
      </c>
      <c r="GLL1334" s="4" t="s">
        <v>2878</v>
      </c>
      <c r="GLM1334" s="4" t="s">
        <v>2878</v>
      </c>
      <c r="GLN1334" s="4" t="s">
        <v>2878</v>
      </c>
      <c r="GLO1334" s="4" t="s">
        <v>2878</v>
      </c>
      <c r="GLP1334" s="4" t="s">
        <v>2878</v>
      </c>
      <c r="GLQ1334" s="4" t="s">
        <v>2878</v>
      </c>
      <c r="GLR1334" s="4" t="s">
        <v>2878</v>
      </c>
      <c r="GLS1334" s="4" t="s">
        <v>2878</v>
      </c>
      <c r="GLT1334" s="4" t="s">
        <v>2878</v>
      </c>
      <c r="GLU1334" s="4" t="s">
        <v>2878</v>
      </c>
      <c r="GLV1334" s="4" t="s">
        <v>2878</v>
      </c>
      <c r="GLW1334" s="4" t="s">
        <v>2878</v>
      </c>
      <c r="GLX1334" s="4" t="s">
        <v>2878</v>
      </c>
      <c r="GLY1334" s="4" t="s">
        <v>2878</v>
      </c>
      <c r="GLZ1334" s="4" t="s">
        <v>2878</v>
      </c>
      <c r="GMA1334" s="4" t="s">
        <v>2878</v>
      </c>
      <c r="GMB1334" s="4" t="s">
        <v>2878</v>
      </c>
      <c r="GMC1334" s="4" t="s">
        <v>2878</v>
      </c>
      <c r="GMD1334" s="4" t="s">
        <v>2878</v>
      </c>
      <c r="GME1334" s="4" t="s">
        <v>2878</v>
      </c>
      <c r="GMF1334" s="4" t="s">
        <v>2878</v>
      </c>
      <c r="GMG1334" s="4" t="s">
        <v>2878</v>
      </c>
      <c r="GMH1334" s="4" t="s">
        <v>2878</v>
      </c>
      <c r="GMI1334" s="4" t="s">
        <v>2878</v>
      </c>
      <c r="GMJ1334" s="4" t="s">
        <v>2878</v>
      </c>
      <c r="GMK1334" s="4" t="s">
        <v>2878</v>
      </c>
      <c r="GML1334" s="4" t="s">
        <v>2878</v>
      </c>
      <c r="GMM1334" s="4" t="s">
        <v>2878</v>
      </c>
      <c r="GMN1334" s="4" t="s">
        <v>2878</v>
      </c>
      <c r="GMO1334" s="4" t="s">
        <v>2878</v>
      </c>
      <c r="GMP1334" s="4" t="s">
        <v>2878</v>
      </c>
      <c r="GMQ1334" s="4" t="s">
        <v>2878</v>
      </c>
      <c r="GMR1334" s="4" t="s">
        <v>2878</v>
      </c>
      <c r="GMS1334" s="4" t="s">
        <v>2878</v>
      </c>
      <c r="GMT1334" s="4" t="s">
        <v>2878</v>
      </c>
      <c r="GMU1334" s="4" t="s">
        <v>2878</v>
      </c>
      <c r="GMV1334" s="4" t="s">
        <v>2878</v>
      </c>
      <c r="GMW1334" s="4" t="s">
        <v>2878</v>
      </c>
      <c r="GMX1334" s="4" t="s">
        <v>2878</v>
      </c>
      <c r="GMY1334" s="4" t="s">
        <v>2878</v>
      </c>
      <c r="GMZ1334" s="4" t="s">
        <v>2878</v>
      </c>
      <c r="GNA1334" s="4" t="s">
        <v>2878</v>
      </c>
      <c r="GNB1334" s="4" t="s">
        <v>2878</v>
      </c>
      <c r="GNC1334" s="4" t="s">
        <v>2878</v>
      </c>
      <c r="GND1334" s="4" t="s">
        <v>2878</v>
      </c>
      <c r="GNE1334" s="4" t="s">
        <v>2878</v>
      </c>
      <c r="GNF1334" s="4" t="s">
        <v>2878</v>
      </c>
      <c r="GNG1334" s="4" t="s">
        <v>2878</v>
      </c>
      <c r="GNH1334" s="4" t="s">
        <v>2878</v>
      </c>
      <c r="GNI1334" s="4" t="s">
        <v>2878</v>
      </c>
      <c r="GNJ1334" s="4" t="s">
        <v>2878</v>
      </c>
      <c r="GNK1334" s="4" t="s">
        <v>2878</v>
      </c>
      <c r="GNL1334" s="4" t="s">
        <v>2878</v>
      </c>
      <c r="GNM1334" s="4" t="s">
        <v>2878</v>
      </c>
      <c r="GNN1334" s="4" t="s">
        <v>2878</v>
      </c>
      <c r="GNO1334" s="4" t="s">
        <v>2878</v>
      </c>
      <c r="GNP1334" s="4" t="s">
        <v>2878</v>
      </c>
      <c r="GNQ1334" s="4" t="s">
        <v>2878</v>
      </c>
      <c r="GNR1334" s="4" t="s">
        <v>2878</v>
      </c>
      <c r="GNS1334" s="4" t="s">
        <v>2878</v>
      </c>
      <c r="GNT1334" s="4" t="s">
        <v>2878</v>
      </c>
      <c r="GNU1334" s="4" t="s">
        <v>2878</v>
      </c>
      <c r="GNV1334" s="4" t="s">
        <v>2878</v>
      </c>
      <c r="GNW1334" s="4" t="s">
        <v>2878</v>
      </c>
      <c r="GNX1334" s="4" t="s">
        <v>2878</v>
      </c>
      <c r="GNY1334" s="4" t="s">
        <v>2878</v>
      </c>
      <c r="GNZ1334" s="4" t="s">
        <v>2878</v>
      </c>
      <c r="GOA1334" s="4" t="s">
        <v>2878</v>
      </c>
      <c r="GOB1334" s="4" t="s">
        <v>2878</v>
      </c>
      <c r="GOC1334" s="4" t="s">
        <v>2878</v>
      </c>
      <c r="GOD1334" s="4" t="s">
        <v>2878</v>
      </c>
      <c r="GOE1334" s="4" t="s">
        <v>2878</v>
      </c>
      <c r="GOF1334" s="4" t="s">
        <v>2878</v>
      </c>
      <c r="GOG1334" s="4" t="s">
        <v>2878</v>
      </c>
      <c r="GOH1334" s="4" t="s">
        <v>2878</v>
      </c>
      <c r="GOI1334" s="4" t="s">
        <v>2878</v>
      </c>
      <c r="GOJ1334" s="4" t="s">
        <v>2878</v>
      </c>
      <c r="GOK1334" s="4" t="s">
        <v>2878</v>
      </c>
      <c r="GOL1334" s="4" t="s">
        <v>2878</v>
      </c>
      <c r="GOM1334" s="4" t="s">
        <v>2878</v>
      </c>
      <c r="GON1334" s="4" t="s">
        <v>2878</v>
      </c>
      <c r="GOO1334" s="4" t="s">
        <v>2878</v>
      </c>
      <c r="GOP1334" s="4" t="s">
        <v>2878</v>
      </c>
      <c r="GOQ1334" s="4" t="s">
        <v>2878</v>
      </c>
      <c r="GOR1334" s="4" t="s">
        <v>2878</v>
      </c>
      <c r="GOS1334" s="4" t="s">
        <v>2878</v>
      </c>
      <c r="GOT1334" s="4" t="s">
        <v>2878</v>
      </c>
      <c r="GOU1334" s="4" t="s">
        <v>2878</v>
      </c>
      <c r="GOV1334" s="4" t="s">
        <v>2878</v>
      </c>
      <c r="GOW1334" s="4" t="s">
        <v>2878</v>
      </c>
      <c r="GOX1334" s="4" t="s">
        <v>2878</v>
      </c>
      <c r="GOY1334" s="4" t="s">
        <v>2878</v>
      </c>
      <c r="GOZ1334" s="4" t="s">
        <v>2878</v>
      </c>
      <c r="GPA1334" s="4" t="s">
        <v>2878</v>
      </c>
      <c r="GPB1334" s="4" t="s">
        <v>2878</v>
      </c>
      <c r="GPC1334" s="4" t="s">
        <v>2878</v>
      </c>
      <c r="GPD1334" s="4" t="s">
        <v>2878</v>
      </c>
      <c r="GPE1334" s="4" t="s">
        <v>2878</v>
      </c>
      <c r="GPF1334" s="4" t="s">
        <v>2878</v>
      </c>
      <c r="GPG1334" s="4" t="s">
        <v>2878</v>
      </c>
      <c r="GPH1334" s="4" t="s">
        <v>2878</v>
      </c>
      <c r="GPI1334" s="4" t="s">
        <v>2878</v>
      </c>
      <c r="GPJ1334" s="4" t="s">
        <v>2878</v>
      </c>
      <c r="GPK1334" s="4" t="s">
        <v>2878</v>
      </c>
      <c r="GPL1334" s="4" t="s">
        <v>2878</v>
      </c>
      <c r="GPM1334" s="4" t="s">
        <v>2878</v>
      </c>
      <c r="GPN1334" s="4" t="s">
        <v>2878</v>
      </c>
      <c r="GPO1334" s="4" t="s">
        <v>2878</v>
      </c>
      <c r="GPP1334" s="4" t="s">
        <v>2878</v>
      </c>
      <c r="GPQ1334" s="4" t="s">
        <v>2878</v>
      </c>
      <c r="GPR1334" s="4" t="s">
        <v>2878</v>
      </c>
      <c r="GPS1334" s="4" t="s">
        <v>2878</v>
      </c>
      <c r="GPT1334" s="4" t="s">
        <v>2878</v>
      </c>
      <c r="GPU1334" s="4" t="s">
        <v>2878</v>
      </c>
      <c r="GPV1334" s="4" t="s">
        <v>2878</v>
      </c>
      <c r="GPW1334" s="4" t="s">
        <v>2878</v>
      </c>
      <c r="GPX1334" s="4" t="s">
        <v>2878</v>
      </c>
      <c r="GPY1334" s="4" t="s">
        <v>2878</v>
      </c>
      <c r="GPZ1334" s="4" t="s">
        <v>2878</v>
      </c>
      <c r="GQA1334" s="4" t="s">
        <v>2878</v>
      </c>
      <c r="GQB1334" s="4" t="s">
        <v>2878</v>
      </c>
      <c r="GQC1334" s="4" t="s">
        <v>2878</v>
      </c>
      <c r="GQD1334" s="4" t="s">
        <v>2878</v>
      </c>
      <c r="GQE1334" s="4" t="s">
        <v>2878</v>
      </c>
      <c r="GQF1334" s="4" t="s">
        <v>2878</v>
      </c>
      <c r="GQG1334" s="4" t="s">
        <v>2878</v>
      </c>
      <c r="GQH1334" s="4" t="s">
        <v>2878</v>
      </c>
      <c r="GQI1334" s="4" t="s">
        <v>2878</v>
      </c>
      <c r="GQJ1334" s="4" t="s">
        <v>2878</v>
      </c>
      <c r="GQK1334" s="4" t="s">
        <v>2878</v>
      </c>
      <c r="GQL1334" s="4" t="s">
        <v>2878</v>
      </c>
      <c r="GQM1334" s="4" t="s">
        <v>2878</v>
      </c>
      <c r="GQN1334" s="4" t="s">
        <v>2878</v>
      </c>
      <c r="GQO1334" s="4" t="s">
        <v>2878</v>
      </c>
      <c r="GQP1334" s="4" t="s">
        <v>2878</v>
      </c>
      <c r="GQQ1334" s="4" t="s">
        <v>2878</v>
      </c>
      <c r="GQR1334" s="4" t="s">
        <v>2878</v>
      </c>
      <c r="GQS1334" s="4" t="s">
        <v>2878</v>
      </c>
      <c r="GQT1334" s="4" t="s">
        <v>2878</v>
      </c>
      <c r="GQU1334" s="4" t="s">
        <v>2878</v>
      </c>
      <c r="GQV1334" s="4" t="s">
        <v>2878</v>
      </c>
      <c r="GQW1334" s="4" t="s">
        <v>2878</v>
      </c>
      <c r="GQX1334" s="4" t="s">
        <v>2878</v>
      </c>
      <c r="GQY1334" s="4" t="s">
        <v>2878</v>
      </c>
      <c r="GQZ1334" s="4" t="s">
        <v>2878</v>
      </c>
      <c r="GRA1334" s="4" t="s">
        <v>2878</v>
      </c>
      <c r="GRB1334" s="4" t="s">
        <v>2878</v>
      </c>
      <c r="GRC1334" s="4" t="s">
        <v>2878</v>
      </c>
      <c r="GRD1334" s="4" t="s">
        <v>2878</v>
      </c>
      <c r="GRE1334" s="4" t="s">
        <v>2878</v>
      </c>
      <c r="GRF1334" s="4" t="s">
        <v>2878</v>
      </c>
      <c r="GRG1334" s="4" t="s">
        <v>2878</v>
      </c>
      <c r="GRH1334" s="4" t="s">
        <v>2878</v>
      </c>
      <c r="GRI1334" s="4" t="s">
        <v>2878</v>
      </c>
      <c r="GRJ1334" s="4" t="s">
        <v>2878</v>
      </c>
      <c r="GRK1334" s="4" t="s">
        <v>2878</v>
      </c>
      <c r="GRL1334" s="4" t="s">
        <v>2878</v>
      </c>
      <c r="GRM1334" s="4" t="s">
        <v>2878</v>
      </c>
      <c r="GRN1334" s="4" t="s">
        <v>2878</v>
      </c>
      <c r="GRO1334" s="4" t="s">
        <v>2878</v>
      </c>
      <c r="GRP1334" s="4" t="s">
        <v>2878</v>
      </c>
      <c r="GRQ1334" s="4" t="s">
        <v>2878</v>
      </c>
      <c r="GRR1334" s="4" t="s">
        <v>2878</v>
      </c>
      <c r="GRS1334" s="4" t="s">
        <v>2878</v>
      </c>
      <c r="GRT1334" s="4" t="s">
        <v>2878</v>
      </c>
      <c r="GRU1334" s="4" t="s">
        <v>2878</v>
      </c>
      <c r="GRV1334" s="4" t="s">
        <v>2878</v>
      </c>
      <c r="GRW1334" s="4" t="s">
        <v>2878</v>
      </c>
      <c r="GRX1334" s="4" t="s">
        <v>2878</v>
      </c>
      <c r="GRY1334" s="4" t="s">
        <v>2878</v>
      </c>
      <c r="GRZ1334" s="4" t="s">
        <v>2878</v>
      </c>
      <c r="GSA1334" s="4" t="s">
        <v>2878</v>
      </c>
      <c r="GSB1334" s="4" t="s">
        <v>2878</v>
      </c>
      <c r="GSC1334" s="4" t="s">
        <v>2878</v>
      </c>
      <c r="GSD1334" s="4" t="s">
        <v>2878</v>
      </c>
      <c r="GSE1334" s="4" t="s">
        <v>2878</v>
      </c>
      <c r="GSF1334" s="4" t="s">
        <v>2878</v>
      </c>
      <c r="GSG1334" s="4" t="s">
        <v>2878</v>
      </c>
      <c r="GSH1334" s="4" t="s">
        <v>2878</v>
      </c>
      <c r="GSI1334" s="4" t="s">
        <v>2878</v>
      </c>
      <c r="GSJ1334" s="4" t="s">
        <v>2878</v>
      </c>
      <c r="GSK1334" s="4" t="s">
        <v>2878</v>
      </c>
      <c r="GSL1334" s="4" t="s">
        <v>2878</v>
      </c>
      <c r="GSM1334" s="4" t="s">
        <v>2878</v>
      </c>
      <c r="GSN1334" s="4" t="s">
        <v>2878</v>
      </c>
      <c r="GSO1334" s="4" t="s">
        <v>2878</v>
      </c>
      <c r="GSP1334" s="4" t="s">
        <v>2878</v>
      </c>
      <c r="GSQ1334" s="4" t="s">
        <v>2878</v>
      </c>
      <c r="GSR1334" s="4" t="s">
        <v>2878</v>
      </c>
      <c r="GSS1334" s="4" t="s">
        <v>2878</v>
      </c>
      <c r="GST1334" s="4" t="s">
        <v>2878</v>
      </c>
      <c r="GSU1334" s="4" t="s">
        <v>2878</v>
      </c>
      <c r="GSV1334" s="4" t="s">
        <v>2878</v>
      </c>
      <c r="GSW1334" s="4" t="s">
        <v>2878</v>
      </c>
      <c r="GSX1334" s="4" t="s">
        <v>2878</v>
      </c>
      <c r="GSY1334" s="4" t="s">
        <v>2878</v>
      </c>
      <c r="GSZ1334" s="4" t="s">
        <v>2878</v>
      </c>
      <c r="GTA1334" s="4" t="s">
        <v>2878</v>
      </c>
      <c r="GTB1334" s="4" t="s">
        <v>2878</v>
      </c>
      <c r="GTC1334" s="4" t="s">
        <v>2878</v>
      </c>
      <c r="GTD1334" s="4" t="s">
        <v>2878</v>
      </c>
      <c r="GTE1334" s="4" t="s">
        <v>2878</v>
      </c>
      <c r="GTF1334" s="4" t="s">
        <v>2878</v>
      </c>
      <c r="GTG1334" s="4" t="s">
        <v>2878</v>
      </c>
      <c r="GTH1334" s="4" t="s">
        <v>2878</v>
      </c>
      <c r="GTI1334" s="4" t="s">
        <v>2878</v>
      </c>
      <c r="GTJ1334" s="4" t="s">
        <v>2878</v>
      </c>
      <c r="GTK1334" s="4" t="s">
        <v>2878</v>
      </c>
      <c r="GTL1334" s="4" t="s">
        <v>2878</v>
      </c>
      <c r="GTM1334" s="4" t="s">
        <v>2878</v>
      </c>
      <c r="GTN1334" s="4" t="s">
        <v>2878</v>
      </c>
      <c r="GTO1334" s="4" t="s">
        <v>2878</v>
      </c>
      <c r="GTP1334" s="4" t="s">
        <v>2878</v>
      </c>
      <c r="GTQ1334" s="4" t="s">
        <v>2878</v>
      </c>
      <c r="GTR1334" s="4" t="s">
        <v>2878</v>
      </c>
      <c r="GTS1334" s="4" t="s">
        <v>2878</v>
      </c>
      <c r="GTT1334" s="4" t="s">
        <v>2878</v>
      </c>
      <c r="GTU1334" s="4" t="s">
        <v>2878</v>
      </c>
      <c r="GTV1334" s="4" t="s">
        <v>2878</v>
      </c>
      <c r="GTW1334" s="4" t="s">
        <v>2878</v>
      </c>
      <c r="GTX1334" s="4" t="s">
        <v>2878</v>
      </c>
      <c r="GTY1334" s="4" t="s">
        <v>2878</v>
      </c>
      <c r="GTZ1334" s="4" t="s">
        <v>2878</v>
      </c>
      <c r="GUA1334" s="4" t="s">
        <v>2878</v>
      </c>
      <c r="GUB1334" s="4" t="s">
        <v>2878</v>
      </c>
      <c r="GUC1334" s="4" t="s">
        <v>2878</v>
      </c>
      <c r="GUD1334" s="4" t="s">
        <v>2878</v>
      </c>
      <c r="GUE1334" s="4" t="s">
        <v>2878</v>
      </c>
      <c r="GUF1334" s="4" t="s">
        <v>2878</v>
      </c>
      <c r="GUG1334" s="4" t="s">
        <v>2878</v>
      </c>
      <c r="GUH1334" s="4" t="s">
        <v>2878</v>
      </c>
      <c r="GUI1334" s="4" t="s">
        <v>2878</v>
      </c>
      <c r="GUJ1334" s="4" t="s">
        <v>2878</v>
      </c>
      <c r="GUK1334" s="4" t="s">
        <v>2878</v>
      </c>
      <c r="GUL1334" s="4" t="s">
        <v>2878</v>
      </c>
      <c r="GUM1334" s="4" t="s">
        <v>2878</v>
      </c>
      <c r="GUN1334" s="4" t="s">
        <v>2878</v>
      </c>
      <c r="GUO1334" s="4" t="s">
        <v>2878</v>
      </c>
      <c r="GUP1334" s="4" t="s">
        <v>2878</v>
      </c>
      <c r="GUQ1334" s="4" t="s">
        <v>2878</v>
      </c>
      <c r="GUR1334" s="4" t="s">
        <v>2878</v>
      </c>
      <c r="GUS1334" s="4" t="s">
        <v>2878</v>
      </c>
      <c r="GUT1334" s="4" t="s">
        <v>2878</v>
      </c>
      <c r="GUU1334" s="4" t="s">
        <v>2878</v>
      </c>
      <c r="GUV1334" s="4" t="s">
        <v>2878</v>
      </c>
      <c r="GUW1334" s="4" t="s">
        <v>2878</v>
      </c>
      <c r="GUX1334" s="4" t="s">
        <v>2878</v>
      </c>
      <c r="GUY1334" s="4" t="s">
        <v>2878</v>
      </c>
      <c r="GUZ1334" s="4" t="s">
        <v>2878</v>
      </c>
      <c r="GVA1334" s="4" t="s">
        <v>2878</v>
      </c>
      <c r="GVB1334" s="4" t="s">
        <v>2878</v>
      </c>
      <c r="GVC1334" s="4" t="s">
        <v>2878</v>
      </c>
      <c r="GVD1334" s="4" t="s">
        <v>2878</v>
      </c>
      <c r="GVE1334" s="4" t="s">
        <v>2878</v>
      </c>
      <c r="GVF1334" s="4" t="s">
        <v>2878</v>
      </c>
      <c r="GVG1334" s="4" t="s">
        <v>2878</v>
      </c>
      <c r="GVH1334" s="4" t="s">
        <v>2878</v>
      </c>
      <c r="GVI1334" s="4" t="s">
        <v>2878</v>
      </c>
      <c r="GVJ1334" s="4" t="s">
        <v>2878</v>
      </c>
      <c r="GVK1334" s="4" t="s">
        <v>2878</v>
      </c>
      <c r="GVL1334" s="4" t="s">
        <v>2878</v>
      </c>
      <c r="GVM1334" s="4" t="s">
        <v>2878</v>
      </c>
      <c r="GVN1334" s="4" t="s">
        <v>2878</v>
      </c>
      <c r="GVO1334" s="4" t="s">
        <v>2878</v>
      </c>
      <c r="GVP1334" s="4" t="s">
        <v>2878</v>
      </c>
      <c r="GVQ1334" s="4" t="s">
        <v>2878</v>
      </c>
      <c r="GVR1334" s="4" t="s">
        <v>2878</v>
      </c>
      <c r="GVS1334" s="4" t="s">
        <v>2878</v>
      </c>
      <c r="GVT1334" s="4" t="s">
        <v>2878</v>
      </c>
      <c r="GVU1334" s="4" t="s">
        <v>2878</v>
      </c>
      <c r="GVV1334" s="4" t="s">
        <v>2878</v>
      </c>
      <c r="GVW1334" s="4" t="s">
        <v>2878</v>
      </c>
      <c r="GVX1334" s="4" t="s">
        <v>2878</v>
      </c>
      <c r="GVY1334" s="4" t="s">
        <v>2878</v>
      </c>
      <c r="GVZ1334" s="4" t="s">
        <v>2878</v>
      </c>
      <c r="GWA1334" s="4" t="s">
        <v>2878</v>
      </c>
      <c r="GWB1334" s="4" t="s">
        <v>2878</v>
      </c>
      <c r="GWC1334" s="4" t="s">
        <v>2878</v>
      </c>
      <c r="GWD1334" s="4" t="s">
        <v>2878</v>
      </c>
      <c r="GWE1334" s="4" t="s">
        <v>2878</v>
      </c>
      <c r="GWF1334" s="4" t="s">
        <v>2878</v>
      </c>
      <c r="GWG1334" s="4" t="s">
        <v>2878</v>
      </c>
      <c r="GWH1334" s="4" t="s">
        <v>2878</v>
      </c>
      <c r="GWI1334" s="4" t="s">
        <v>2878</v>
      </c>
      <c r="GWJ1334" s="4" t="s">
        <v>2878</v>
      </c>
      <c r="GWK1334" s="4" t="s">
        <v>2878</v>
      </c>
      <c r="GWL1334" s="4" t="s">
        <v>2878</v>
      </c>
      <c r="GWM1334" s="4" t="s">
        <v>2878</v>
      </c>
      <c r="GWN1334" s="4" t="s">
        <v>2878</v>
      </c>
      <c r="GWO1334" s="4" t="s">
        <v>2878</v>
      </c>
      <c r="GWP1334" s="4" t="s">
        <v>2878</v>
      </c>
      <c r="GWQ1334" s="4" t="s">
        <v>2878</v>
      </c>
      <c r="GWR1334" s="4" t="s">
        <v>2878</v>
      </c>
      <c r="GWS1334" s="4" t="s">
        <v>2878</v>
      </c>
      <c r="GWT1334" s="4" t="s">
        <v>2878</v>
      </c>
      <c r="GWU1334" s="4" t="s">
        <v>2878</v>
      </c>
      <c r="GWV1334" s="4" t="s">
        <v>2878</v>
      </c>
      <c r="GWW1334" s="4" t="s">
        <v>2878</v>
      </c>
      <c r="GWX1334" s="4" t="s">
        <v>2878</v>
      </c>
      <c r="GWY1334" s="4" t="s">
        <v>2878</v>
      </c>
      <c r="GWZ1334" s="4" t="s">
        <v>2878</v>
      </c>
      <c r="GXA1334" s="4" t="s">
        <v>2878</v>
      </c>
      <c r="GXB1334" s="4" t="s">
        <v>2878</v>
      </c>
      <c r="GXC1334" s="4" t="s">
        <v>2878</v>
      </c>
      <c r="GXD1334" s="4" t="s">
        <v>2878</v>
      </c>
      <c r="GXE1334" s="4" t="s">
        <v>2878</v>
      </c>
      <c r="GXF1334" s="4" t="s">
        <v>2878</v>
      </c>
      <c r="GXG1334" s="4" t="s">
        <v>2878</v>
      </c>
      <c r="GXH1334" s="4" t="s">
        <v>2878</v>
      </c>
      <c r="GXI1334" s="4" t="s">
        <v>2878</v>
      </c>
      <c r="GXJ1334" s="4" t="s">
        <v>2878</v>
      </c>
      <c r="GXK1334" s="4" t="s">
        <v>2878</v>
      </c>
      <c r="GXL1334" s="4" t="s">
        <v>2878</v>
      </c>
      <c r="GXM1334" s="4" t="s">
        <v>2878</v>
      </c>
      <c r="GXN1334" s="4" t="s">
        <v>2878</v>
      </c>
      <c r="GXO1334" s="4" t="s">
        <v>2878</v>
      </c>
      <c r="GXP1334" s="4" t="s">
        <v>2878</v>
      </c>
      <c r="GXQ1334" s="4" t="s">
        <v>2878</v>
      </c>
      <c r="GXR1334" s="4" t="s">
        <v>2878</v>
      </c>
      <c r="GXS1334" s="4" t="s">
        <v>2878</v>
      </c>
      <c r="GXT1334" s="4" t="s">
        <v>2878</v>
      </c>
      <c r="GXU1334" s="4" t="s">
        <v>2878</v>
      </c>
      <c r="GXV1334" s="4" t="s">
        <v>2878</v>
      </c>
      <c r="GXW1334" s="4" t="s">
        <v>2878</v>
      </c>
      <c r="GXX1334" s="4" t="s">
        <v>2878</v>
      </c>
      <c r="GXY1334" s="4" t="s">
        <v>2878</v>
      </c>
      <c r="GXZ1334" s="4" t="s">
        <v>2878</v>
      </c>
      <c r="GYA1334" s="4" t="s">
        <v>2878</v>
      </c>
      <c r="GYB1334" s="4" t="s">
        <v>2878</v>
      </c>
      <c r="GYC1334" s="4" t="s">
        <v>2878</v>
      </c>
      <c r="GYD1334" s="4" t="s">
        <v>2878</v>
      </c>
      <c r="GYE1334" s="4" t="s">
        <v>2878</v>
      </c>
      <c r="GYF1334" s="4" t="s">
        <v>2878</v>
      </c>
      <c r="GYG1334" s="4" t="s">
        <v>2878</v>
      </c>
      <c r="GYH1334" s="4" t="s">
        <v>2878</v>
      </c>
      <c r="GYI1334" s="4" t="s">
        <v>2878</v>
      </c>
      <c r="GYJ1334" s="4" t="s">
        <v>2878</v>
      </c>
      <c r="GYK1334" s="4" t="s">
        <v>2878</v>
      </c>
      <c r="GYL1334" s="4" t="s">
        <v>2878</v>
      </c>
      <c r="GYM1334" s="4" t="s">
        <v>2878</v>
      </c>
      <c r="GYN1334" s="4" t="s">
        <v>2878</v>
      </c>
      <c r="GYO1334" s="4" t="s">
        <v>2878</v>
      </c>
      <c r="GYP1334" s="4" t="s">
        <v>2878</v>
      </c>
      <c r="GYQ1334" s="4" t="s">
        <v>2878</v>
      </c>
      <c r="GYR1334" s="4" t="s">
        <v>2878</v>
      </c>
      <c r="GYS1334" s="4" t="s">
        <v>2878</v>
      </c>
      <c r="GYT1334" s="4" t="s">
        <v>2878</v>
      </c>
      <c r="GYU1334" s="4" t="s">
        <v>2878</v>
      </c>
      <c r="GYV1334" s="4" t="s">
        <v>2878</v>
      </c>
      <c r="GYW1334" s="4" t="s">
        <v>2878</v>
      </c>
      <c r="GYX1334" s="4" t="s">
        <v>2878</v>
      </c>
      <c r="GYY1334" s="4" t="s">
        <v>2878</v>
      </c>
      <c r="GYZ1334" s="4" t="s">
        <v>2878</v>
      </c>
      <c r="GZA1334" s="4" t="s">
        <v>2878</v>
      </c>
      <c r="GZB1334" s="4" t="s">
        <v>2878</v>
      </c>
      <c r="GZC1334" s="4" t="s">
        <v>2878</v>
      </c>
      <c r="GZD1334" s="4" t="s">
        <v>2878</v>
      </c>
      <c r="GZE1334" s="4" t="s">
        <v>2878</v>
      </c>
      <c r="GZF1334" s="4" t="s">
        <v>2878</v>
      </c>
      <c r="GZG1334" s="4" t="s">
        <v>2878</v>
      </c>
      <c r="GZH1334" s="4" t="s">
        <v>2878</v>
      </c>
      <c r="GZI1334" s="4" t="s">
        <v>2878</v>
      </c>
      <c r="GZJ1334" s="4" t="s">
        <v>2878</v>
      </c>
      <c r="GZK1334" s="4" t="s">
        <v>2878</v>
      </c>
      <c r="GZL1334" s="4" t="s">
        <v>2878</v>
      </c>
      <c r="GZM1334" s="4" t="s">
        <v>2878</v>
      </c>
      <c r="GZN1334" s="4" t="s">
        <v>2878</v>
      </c>
      <c r="GZO1334" s="4" t="s">
        <v>2878</v>
      </c>
      <c r="GZP1334" s="4" t="s">
        <v>2878</v>
      </c>
      <c r="GZQ1334" s="4" t="s">
        <v>2878</v>
      </c>
      <c r="GZR1334" s="4" t="s">
        <v>2878</v>
      </c>
      <c r="GZS1334" s="4" t="s">
        <v>2878</v>
      </c>
      <c r="GZT1334" s="4" t="s">
        <v>2878</v>
      </c>
      <c r="GZU1334" s="4" t="s">
        <v>2878</v>
      </c>
      <c r="GZV1334" s="4" t="s">
        <v>2878</v>
      </c>
      <c r="GZW1334" s="4" t="s">
        <v>2878</v>
      </c>
      <c r="GZX1334" s="4" t="s">
        <v>2878</v>
      </c>
      <c r="GZY1334" s="4" t="s">
        <v>2878</v>
      </c>
      <c r="GZZ1334" s="4" t="s">
        <v>2878</v>
      </c>
      <c r="HAA1334" s="4" t="s">
        <v>2878</v>
      </c>
      <c r="HAB1334" s="4" t="s">
        <v>2878</v>
      </c>
      <c r="HAC1334" s="4" t="s">
        <v>2878</v>
      </c>
      <c r="HAD1334" s="4" t="s">
        <v>2878</v>
      </c>
      <c r="HAE1334" s="4" t="s">
        <v>2878</v>
      </c>
      <c r="HAF1334" s="4" t="s">
        <v>2878</v>
      </c>
      <c r="HAG1334" s="4" t="s">
        <v>2878</v>
      </c>
      <c r="HAH1334" s="4" t="s">
        <v>2878</v>
      </c>
      <c r="HAI1334" s="4" t="s">
        <v>2878</v>
      </c>
      <c r="HAJ1334" s="4" t="s">
        <v>2878</v>
      </c>
      <c r="HAK1334" s="4" t="s">
        <v>2878</v>
      </c>
      <c r="HAL1334" s="4" t="s">
        <v>2878</v>
      </c>
      <c r="HAM1334" s="4" t="s">
        <v>2878</v>
      </c>
      <c r="HAN1334" s="4" t="s">
        <v>2878</v>
      </c>
      <c r="HAO1334" s="4" t="s">
        <v>2878</v>
      </c>
      <c r="HAP1334" s="4" t="s">
        <v>2878</v>
      </c>
      <c r="HAQ1334" s="4" t="s">
        <v>2878</v>
      </c>
      <c r="HAR1334" s="4" t="s">
        <v>2878</v>
      </c>
      <c r="HAS1334" s="4" t="s">
        <v>2878</v>
      </c>
      <c r="HAT1334" s="4" t="s">
        <v>2878</v>
      </c>
      <c r="HAU1334" s="4" t="s">
        <v>2878</v>
      </c>
      <c r="HAV1334" s="4" t="s">
        <v>2878</v>
      </c>
      <c r="HAW1334" s="4" t="s">
        <v>2878</v>
      </c>
      <c r="HAX1334" s="4" t="s">
        <v>2878</v>
      </c>
      <c r="HAY1334" s="4" t="s">
        <v>2878</v>
      </c>
      <c r="HAZ1334" s="4" t="s">
        <v>2878</v>
      </c>
      <c r="HBA1334" s="4" t="s">
        <v>2878</v>
      </c>
      <c r="HBB1334" s="4" t="s">
        <v>2878</v>
      </c>
      <c r="HBC1334" s="4" t="s">
        <v>2878</v>
      </c>
      <c r="HBD1334" s="4" t="s">
        <v>2878</v>
      </c>
      <c r="HBE1334" s="4" t="s">
        <v>2878</v>
      </c>
      <c r="HBF1334" s="4" t="s">
        <v>2878</v>
      </c>
      <c r="HBG1334" s="4" t="s">
        <v>2878</v>
      </c>
      <c r="HBH1334" s="4" t="s">
        <v>2878</v>
      </c>
      <c r="HBI1334" s="4" t="s">
        <v>2878</v>
      </c>
      <c r="HBJ1334" s="4" t="s">
        <v>2878</v>
      </c>
      <c r="HBK1334" s="4" t="s">
        <v>2878</v>
      </c>
      <c r="HBL1334" s="4" t="s">
        <v>2878</v>
      </c>
      <c r="HBM1334" s="4" t="s">
        <v>2878</v>
      </c>
      <c r="HBN1334" s="4" t="s">
        <v>2878</v>
      </c>
      <c r="HBO1334" s="4" t="s">
        <v>2878</v>
      </c>
      <c r="HBP1334" s="4" t="s">
        <v>2878</v>
      </c>
      <c r="HBQ1334" s="4" t="s">
        <v>2878</v>
      </c>
      <c r="HBR1334" s="4" t="s">
        <v>2878</v>
      </c>
      <c r="HBS1334" s="4" t="s">
        <v>2878</v>
      </c>
      <c r="HBT1334" s="4" t="s">
        <v>2878</v>
      </c>
      <c r="HBU1334" s="4" t="s">
        <v>2878</v>
      </c>
      <c r="HBV1334" s="4" t="s">
        <v>2878</v>
      </c>
      <c r="HBW1334" s="4" t="s">
        <v>2878</v>
      </c>
      <c r="HBX1334" s="4" t="s">
        <v>2878</v>
      </c>
      <c r="HBY1334" s="4" t="s">
        <v>2878</v>
      </c>
      <c r="HBZ1334" s="4" t="s">
        <v>2878</v>
      </c>
      <c r="HCA1334" s="4" t="s">
        <v>2878</v>
      </c>
      <c r="HCB1334" s="4" t="s">
        <v>2878</v>
      </c>
      <c r="HCC1334" s="4" t="s">
        <v>2878</v>
      </c>
      <c r="HCD1334" s="4" t="s">
        <v>2878</v>
      </c>
      <c r="HCE1334" s="4" t="s">
        <v>2878</v>
      </c>
      <c r="HCF1334" s="4" t="s">
        <v>2878</v>
      </c>
      <c r="HCG1334" s="4" t="s">
        <v>2878</v>
      </c>
      <c r="HCH1334" s="4" t="s">
        <v>2878</v>
      </c>
      <c r="HCI1334" s="4" t="s">
        <v>2878</v>
      </c>
      <c r="HCJ1334" s="4" t="s">
        <v>2878</v>
      </c>
      <c r="HCK1334" s="4" t="s">
        <v>2878</v>
      </c>
      <c r="HCL1334" s="4" t="s">
        <v>2878</v>
      </c>
      <c r="HCM1334" s="4" t="s">
        <v>2878</v>
      </c>
      <c r="HCN1334" s="4" t="s">
        <v>2878</v>
      </c>
      <c r="HCO1334" s="4" t="s">
        <v>2878</v>
      </c>
      <c r="HCP1334" s="4" t="s">
        <v>2878</v>
      </c>
      <c r="HCQ1334" s="4" t="s">
        <v>2878</v>
      </c>
      <c r="HCR1334" s="4" t="s">
        <v>2878</v>
      </c>
      <c r="HCS1334" s="4" t="s">
        <v>2878</v>
      </c>
      <c r="HCT1334" s="4" t="s">
        <v>2878</v>
      </c>
      <c r="HCU1334" s="4" t="s">
        <v>2878</v>
      </c>
      <c r="HCV1334" s="4" t="s">
        <v>2878</v>
      </c>
      <c r="HCW1334" s="4" t="s">
        <v>2878</v>
      </c>
      <c r="HCX1334" s="4" t="s">
        <v>2878</v>
      </c>
      <c r="HCY1334" s="4" t="s">
        <v>2878</v>
      </c>
      <c r="HCZ1334" s="4" t="s">
        <v>2878</v>
      </c>
      <c r="HDA1334" s="4" t="s">
        <v>2878</v>
      </c>
      <c r="HDB1334" s="4" t="s">
        <v>2878</v>
      </c>
      <c r="HDC1334" s="4" t="s">
        <v>2878</v>
      </c>
      <c r="HDD1334" s="4" t="s">
        <v>2878</v>
      </c>
      <c r="HDE1334" s="4" t="s">
        <v>2878</v>
      </c>
      <c r="HDF1334" s="4" t="s">
        <v>2878</v>
      </c>
      <c r="HDG1334" s="4" t="s">
        <v>2878</v>
      </c>
      <c r="HDH1334" s="4" t="s">
        <v>2878</v>
      </c>
      <c r="HDI1334" s="4" t="s">
        <v>2878</v>
      </c>
      <c r="HDJ1334" s="4" t="s">
        <v>2878</v>
      </c>
      <c r="HDK1334" s="4" t="s">
        <v>2878</v>
      </c>
      <c r="HDL1334" s="4" t="s">
        <v>2878</v>
      </c>
      <c r="HDM1334" s="4" t="s">
        <v>2878</v>
      </c>
      <c r="HDN1334" s="4" t="s">
        <v>2878</v>
      </c>
      <c r="HDO1334" s="4" t="s">
        <v>2878</v>
      </c>
      <c r="HDP1334" s="4" t="s">
        <v>2878</v>
      </c>
      <c r="HDQ1334" s="4" t="s">
        <v>2878</v>
      </c>
      <c r="HDR1334" s="4" t="s">
        <v>2878</v>
      </c>
      <c r="HDS1334" s="4" t="s">
        <v>2878</v>
      </c>
      <c r="HDT1334" s="4" t="s">
        <v>2878</v>
      </c>
      <c r="HDU1334" s="4" t="s">
        <v>2878</v>
      </c>
      <c r="HDV1334" s="4" t="s">
        <v>2878</v>
      </c>
      <c r="HDW1334" s="4" t="s">
        <v>2878</v>
      </c>
      <c r="HDX1334" s="4" t="s">
        <v>2878</v>
      </c>
      <c r="HDY1334" s="4" t="s">
        <v>2878</v>
      </c>
      <c r="HDZ1334" s="4" t="s">
        <v>2878</v>
      </c>
      <c r="HEA1334" s="4" t="s">
        <v>2878</v>
      </c>
      <c r="HEB1334" s="4" t="s">
        <v>2878</v>
      </c>
      <c r="HEC1334" s="4" t="s">
        <v>2878</v>
      </c>
      <c r="HED1334" s="4" t="s">
        <v>2878</v>
      </c>
      <c r="HEE1334" s="4" t="s">
        <v>2878</v>
      </c>
      <c r="HEF1334" s="4" t="s">
        <v>2878</v>
      </c>
      <c r="HEG1334" s="4" t="s">
        <v>2878</v>
      </c>
      <c r="HEH1334" s="4" t="s">
        <v>2878</v>
      </c>
      <c r="HEI1334" s="4" t="s">
        <v>2878</v>
      </c>
      <c r="HEJ1334" s="4" t="s">
        <v>2878</v>
      </c>
      <c r="HEK1334" s="4" t="s">
        <v>2878</v>
      </c>
      <c r="HEL1334" s="4" t="s">
        <v>2878</v>
      </c>
      <c r="HEM1334" s="4" t="s">
        <v>2878</v>
      </c>
      <c r="HEN1334" s="4" t="s">
        <v>2878</v>
      </c>
      <c r="HEO1334" s="4" t="s">
        <v>2878</v>
      </c>
      <c r="HEP1334" s="4" t="s">
        <v>2878</v>
      </c>
      <c r="HEQ1334" s="4" t="s">
        <v>2878</v>
      </c>
      <c r="HER1334" s="4" t="s">
        <v>2878</v>
      </c>
      <c r="HES1334" s="4" t="s">
        <v>2878</v>
      </c>
      <c r="HET1334" s="4" t="s">
        <v>2878</v>
      </c>
      <c r="HEU1334" s="4" t="s">
        <v>2878</v>
      </c>
      <c r="HEV1334" s="4" t="s">
        <v>2878</v>
      </c>
      <c r="HEW1334" s="4" t="s">
        <v>2878</v>
      </c>
      <c r="HEX1334" s="4" t="s">
        <v>2878</v>
      </c>
      <c r="HEY1334" s="4" t="s">
        <v>2878</v>
      </c>
      <c r="HEZ1334" s="4" t="s">
        <v>2878</v>
      </c>
      <c r="HFA1334" s="4" t="s">
        <v>2878</v>
      </c>
      <c r="HFB1334" s="4" t="s">
        <v>2878</v>
      </c>
      <c r="HFC1334" s="4" t="s">
        <v>2878</v>
      </c>
      <c r="HFD1334" s="4" t="s">
        <v>2878</v>
      </c>
      <c r="HFE1334" s="4" t="s">
        <v>2878</v>
      </c>
      <c r="HFF1334" s="4" t="s">
        <v>2878</v>
      </c>
      <c r="HFG1334" s="4" t="s">
        <v>2878</v>
      </c>
      <c r="HFH1334" s="4" t="s">
        <v>2878</v>
      </c>
      <c r="HFI1334" s="4" t="s">
        <v>2878</v>
      </c>
      <c r="HFJ1334" s="4" t="s">
        <v>2878</v>
      </c>
      <c r="HFK1334" s="4" t="s">
        <v>2878</v>
      </c>
      <c r="HFL1334" s="4" t="s">
        <v>2878</v>
      </c>
      <c r="HFM1334" s="4" t="s">
        <v>2878</v>
      </c>
      <c r="HFN1334" s="4" t="s">
        <v>2878</v>
      </c>
      <c r="HFO1334" s="4" t="s">
        <v>2878</v>
      </c>
      <c r="HFP1334" s="4" t="s">
        <v>2878</v>
      </c>
      <c r="HFQ1334" s="4" t="s">
        <v>2878</v>
      </c>
      <c r="HFR1334" s="4" t="s">
        <v>2878</v>
      </c>
      <c r="HFS1334" s="4" t="s">
        <v>2878</v>
      </c>
      <c r="HFT1334" s="4" t="s">
        <v>2878</v>
      </c>
      <c r="HFU1334" s="4" t="s">
        <v>2878</v>
      </c>
      <c r="HFV1334" s="4" t="s">
        <v>2878</v>
      </c>
      <c r="HFW1334" s="4" t="s">
        <v>2878</v>
      </c>
      <c r="HFX1334" s="4" t="s">
        <v>2878</v>
      </c>
      <c r="HFY1334" s="4" t="s">
        <v>2878</v>
      </c>
      <c r="HFZ1334" s="4" t="s">
        <v>2878</v>
      </c>
      <c r="HGA1334" s="4" t="s">
        <v>2878</v>
      </c>
      <c r="HGB1334" s="4" t="s">
        <v>2878</v>
      </c>
      <c r="HGC1334" s="4" t="s">
        <v>2878</v>
      </c>
      <c r="HGD1334" s="4" t="s">
        <v>2878</v>
      </c>
      <c r="HGE1334" s="4" t="s">
        <v>2878</v>
      </c>
      <c r="HGF1334" s="4" t="s">
        <v>2878</v>
      </c>
      <c r="HGG1334" s="4" t="s">
        <v>2878</v>
      </c>
      <c r="HGH1334" s="4" t="s">
        <v>2878</v>
      </c>
      <c r="HGI1334" s="4" t="s">
        <v>2878</v>
      </c>
      <c r="HGJ1334" s="4" t="s">
        <v>2878</v>
      </c>
      <c r="HGK1334" s="4" t="s">
        <v>2878</v>
      </c>
      <c r="HGL1334" s="4" t="s">
        <v>2878</v>
      </c>
      <c r="HGM1334" s="4" t="s">
        <v>2878</v>
      </c>
      <c r="HGN1334" s="4" t="s">
        <v>2878</v>
      </c>
      <c r="HGO1334" s="4" t="s">
        <v>2878</v>
      </c>
      <c r="HGP1334" s="4" t="s">
        <v>2878</v>
      </c>
      <c r="HGQ1334" s="4" t="s">
        <v>2878</v>
      </c>
      <c r="HGR1334" s="4" t="s">
        <v>2878</v>
      </c>
      <c r="HGS1334" s="4" t="s">
        <v>2878</v>
      </c>
      <c r="HGT1334" s="4" t="s">
        <v>2878</v>
      </c>
      <c r="HGU1334" s="4" t="s">
        <v>2878</v>
      </c>
      <c r="HGV1334" s="4" t="s">
        <v>2878</v>
      </c>
      <c r="HGW1334" s="4" t="s">
        <v>2878</v>
      </c>
      <c r="HGX1334" s="4" t="s">
        <v>2878</v>
      </c>
      <c r="HGY1334" s="4" t="s">
        <v>2878</v>
      </c>
      <c r="HGZ1334" s="4" t="s">
        <v>2878</v>
      </c>
      <c r="HHA1334" s="4" t="s">
        <v>2878</v>
      </c>
      <c r="HHB1334" s="4" t="s">
        <v>2878</v>
      </c>
      <c r="HHC1334" s="4" t="s">
        <v>2878</v>
      </c>
      <c r="HHD1334" s="4" t="s">
        <v>2878</v>
      </c>
      <c r="HHE1334" s="4" t="s">
        <v>2878</v>
      </c>
      <c r="HHF1334" s="4" t="s">
        <v>2878</v>
      </c>
      <c r="HHG1334" s="4" t="s">
        <v>2878</v>
      </c>
      <c r="HHH1334" s="4" t="s">
        <v>2878</v>
      </c>
      <c r="HHI1334" s="4" t="s">
        <v>2878</v>
      </c>
      <c r="HHJ1334" s="4" t="s">
        <v>2878</v>
      </c>
      <c r="HHK1334" s="4" t="s">
        <v>2878</v>
      </c>
      <c r="HHL1334" s="4" t="s">
        <v>2878</v>
      </c>
      <c r="HHM1334" s="4" t="s">
        <v>2878</v>
      </c>
      <c r="HHN1334" s="4" t="s">
        <v>2878</v>
      </c>
      <c r="HHO1334" s="4" t="s">
        <v>2878</v>
      </c>
      <c r="HHP1334" s="4" t="s">
        <v>2878</v>
      </c>
      <c r="HHQ1334" s="4" t="s">
        <v>2878</v>
      </c>
      <c r="HHR1334" s="4" t="s">
        <v>2878</v>
      </c>
      <c r="HHS1334" s="4" t="s">
        <v>2878</v>
      </c>
      <c r="HHT1334" s="4" t="s">
        <v>2878</v>
      </c>
      <c r="HHU1334" s="4" t="s">
        <v>2878</v>
      </c>
      <c r="HHV1334" s="4" t="s">
        <v>2878</v>
      </c>
      <c r="HHW1334" s="4" t="s">
        <v>2878</v>
      </c>
      <c r="HHX1334" s="4" t="s">
        <v>2878</v>
      </c>
      <c r="HHY1334" s="4" t="s">
        <v>2878</v>
      </c>
      <c r="HHZ1334" s="4" t="s">
        <v>2878</v>
      </c>
      <c r="HIA1334" s="4" t="s">
        <v>2878</v>
      </c>
      <c r="HIB1334" s="4" t="s">
        <v>2878</v>
      </c>
      <c r="HIC1334" s="4" t="s">
        <v>2878</v>
      </c>
      <c r="HID1334" s="4" t="s">
        <v>2878</v>
      </c>
      <c r="HIE1334" s="4" t="s">
        <v>2878</v>
      </c>
      <c r="HIF1334" s="4" t="s">
        <v>2878</v>
      </c>
      <c r="HIG1334" s="4" t="s">
        <v>2878</v>
      </c>
      <c r="HIH1334" s="4" t="s">
        <v>2878</v>
      </c>
      <c r="HII1334" s="4" t="s">
        <v>2878</v>
      </c>
      <c r="HIJ1334" s="4" t="s">
        <v>2878</v>
      </c>
      <c r="HIK1334" s="4" t="s">
        <v>2878</v>
      </c>
      <c r="HIL1334" s="4" t="s">
        <v>2878</v>
      </c>
      <c r="HIM1334" s="4" t="s">
        <v>2878</v>
      </c>
      <c r="HIN1334" s="4" t="s">
        <v>2878</v>
      </c>
      <c r="HIO1334" s="4" t="s">
        <v>2878</v>
      </c>
      <c r="HIP1334" s="4" t="s">
        <v>2878</v>
      </c>
      <c r="HIQ1334" s="4" t="s">
        <v>2878</v>
      </c>
      <c r="HIR1334" s="4" t="s">
        <v>2878</v>
      </c>
      <c r="HIS1334" s="4" t="s">
        <v>2878</v>
      </c>
      <c r="HIT1334" s="4" t="s">
        <v>2878</v>
      </c>
      <c r="HIU1334" s="4" t="s">
        <v>2878</v>
      </c>
      <c r="HIV1334" s="4" t="s">
        <v>2878</v>
      </c>
      <c r="HIW1334" s="4" t="s">
        <v>2878</v>
      </c>
      <c r="HIX1334" s="4" t="s">
        <v>2878</v>
      </c>
      <c r="HIY1334" s="4" t="s">
        <v>2878</v>
      </c>
      <c r="HIZ1334" s="4" t="s">
        <v>2878</v>
      </c>
      <c r="HJA1334" s="4" t="s">
        <v>2878</v>
      </c>
      <c r="HJB1334" s="4" t="s">
        <v>2878</v>
      </c>
      <c r="HJC1334" s="4" t="s">
        <v>2878</v>
      </c>
      <c r="HJD1334" s="4" t="s">
        <v>2878</v>
      </c>
      <c r="HJE1334" s="4" t="s">
        <v>2878</v>
      </c>
      <c r="HJF1334" s="4" t="s">
        <v>2878</v>
      </c>
      <c r="HJG1334" s="4" t="s">
        <v>2878</v>
      </c>
      <c r="HJH1334" s="4" t="s">
        <v>2878</v>
      </c>
      <c r="HJI1334" s="4" t="s">
        <v>2878</v>
      </c>
      <c r="HJJ1334" s="4" t="s">
        <v>2878</v>
      </c>
      <c r="HJK1334" s="4" t="s">
        <v>2878</v>
      </c>
      <c r="HJL1334" s="4" t="s">
        <v>2878</v>
      </c>
      <c r="HJM1334" s="4" t="s">
        <v>2878</v>
      </c>
      <c r="HJN1334" s="4" t="s">
        <v>2878</v>
      </c>
      <c r="HJO1334" s="4" t="s">
        <v>2878</v>
      </c>
      <c r="HJP1334" s="4" t="s">
        <v>2878</v>
      </c>
      <c r="HJQ1334" s="4" t="s">
        <v>2878</v>
      </c>
      <c r="HJR1334" s="4" t="s">
        <v>2878</v>
      </c>
      <c r="HJS1334" s="4" t="s">
        <v>2878</v>
      </c>
      <c r="HJT1334" s="4" t="s">
        <v>2878</v>
      </c>
      <c r="HJU1334" s="4" t="s">
        <v>2878</v>
      </c>
      <c r="HJV1334" s="4" t="s">
        <v>2878</v>
      </c>
      <c r="HJW1334" s="4" t="s">
        <v>2878</v>
      </c>
      <c r="HJX1334" s="4" t="s">
        <v>2878</v>
      </c>
      <c r="HJY1334" s="4" t="s">
        <v>2878</v>
      </c>
      <c r="HJZ1334" s="4" t="s">
        <v>2878</v>
      </c>
      <c r="HKA1334" s="4" t="s">
        <v>2878</v>
      </c>
      <c r="HKB1334" s="4" t="s">
        <v>2878</v>
      </c>
      <c r="HKC1334" s="4" t="s">
        <v>2878</v>
      </c>
      <c r="HKD1334" s="4" t="s">
        <v>2878</v>
      </c>
      <c r="HKE1334" s="4" t="s">
        <v>2878</v>
      </c>
      <c r="HKF1334" s="4" t="s">
        <v>2878</v>
      </c>
      <c r="HKG1334" s="4" t="s">
        <v>2878</v>
      </c>
      <c r="HKH1334" s="4" t="s">
        <v>2878</v>
      </c>
      <c r="HKI1334" s="4" t="s">
        <v>2878</v>
      </c>
      <c r="HKJ1334" s="4" t="s">
        <v>2878</v>
      </c>
      <c r="HKK1334" s="4" t="s">
        <v>2878</v>
      </c>
      <c r="HKL1334" s="4" t="s">
        <v>2878</v>
      </c>
      <c r="HKM1334" s="4" t="s">
        <v>2878</v>
      </c>
      <c r="HKN1334" s="4" t="s">
        <v>2878</v>
      </c>
      <c r="HKO1334" s="4" t="s">
        <v>2878</v>
      </c>
      <c r="HKP1334" s="4" t="s">
        <v>2878</v>
      </c>
      <c r="HKQ1334" s="4" t="s">
        <v>2878</v>
      </c>
      <c r="HKR1334" s="4" t="s">
        <v>2878</v>
      </c>
      <c r="HKS1334" s="4" t="s">
        <v>2878</v>
      </c>
      <c r="HKT1334" s="4" t="s">
        <v>2878</v>
      </c>
      <c r="HKU1334" s="4" t="s">
        <v>2878</v>
      </c>
      <c r="HKV1334" s="4" t="s">
        <v>2878</v>
      </c>
      <c r="HKW1334" s="4" t="s">
        <v>2878</v>
      </c>
      <c r="HKX1334" s="4" t="s">
        <v>2878</v>
      </c>
      <c r="HKY1334" s="4" t="s">
        <v>2878</v>
      </c>
      <c r="HKZ1334" s="4" t="s">
        <v>2878</v>
      </c>
      <c r="HLA1334" s="4" t="s">
        <v>2878</v>
      </c>
      <c r="HLB1334" s="4" t="s">
        <v>2878</v>
      </c>
      <c r="HLC1334" s="4" t="s">
        <v>2878</v>
      </c>
      <c r="HLD1334" s="4" t="s">
        <v>2878</v>
      </c>
      <c r="HLE1334" s="4" t="s">
        <v>2878</v>
      </c>
      <c r="HLF1334" s="4" t="s">
        <v>2878</v>
      </c>
      <c r="HLG1334" s="4" t="s">
        <v>2878</v>
      </c>
      <c r="HLH1334" s="4" t="s">
        <v>2878</v>
      </c>
      <c r="HLI1334" s="4" t="s">
        <v>2878</v>
      </c>
      <c r="HLJ1334" s="4" t="s">
        <v>2878</v>
      </c>
      <c r="HLK1334" s="4" t="s">
        <v>2878</v>
      </c>
      <c r="HLL1334" s="4" t="s">
        <v>2878</v>
      </c>
      <c r="HLM1334" s="4" t="s">
        <v>2878</v>
      </c>
      <c r="HLN1334" s="4" t="s">
        <v>2878</v>
      </c>
      <c r="HLO1334" s="4" t="s">
        <v>2878</v>
      </c>
      <c r="HLP1334" s="4" t="s">
        <v>2878</v>
      </c>
      <c r="HLQ1334" s="4" t="s">
        <v>2878</v>
      </c>
      <c r="HLR1334" s="4" t="s">
        <v>2878</v>
      </c>
      <c r="HLS1334" s="4" t="s">
        <v>2878</v>
      </c>
      <c r="HLT1334" s="4" t="s">
        <v>2878</v>
      </c>
      <c r="HLU1334" s="4" t="s">
        <v>2878</v>
      </c>
      <c r="HLV1334" s="4" t="s">
        <v>2878</v>
      </c>
      <c r="HLW1334" s="4" t="s">
        <v>2878</v>
      </c>
      <c r="HLX1334" s="4" t="s">
        <v>2878</v>
      </c>
      <c r="HLY1334" s="4" t="s">
        <v>2878</v>
      </c>
      <c r="HLZ1334" s="4" t="s">
        <v>2878</v>
      </c>
      <c r="HMA1334" s="4" t="s">
        <v>2878</v>
      </c>
      <c r="HMB1334" s="4" t="s">
        <v>2878</v>
      </c>
      <c r="HMC1334" s="4" t="s">
        <v>2878</v>
      </c>
      <c r="HMD1334" s="4" t="s">
        <v>2878</v>
      </c>
      <c r="HME1334" s="4" t="s">
        <v>2878</v>
      </c>
      <c r="HMF1334" s="4" t="s">
        <v>2878</v>
      </c>
      <c r="HMG1334" s="4" t="s">
        <v>2878</v>
      </c>
      <c r="HMH1334" s="4" t="s">
        <v>2878</v>
      </c>
      <c r="HMI1334" s="4" t="s">
        <v>2878</v>
      </c>
      <c r="HMJ1334" s="4" t="s">
        <v>2878</v>
      </c>
      <c r="HMK1334" s="4" t="s">
        <v>2878</v>
      </c>
      <c r="HML1334" s="4" t="s">
        <v>2878</v>
      </c>
      <c r="HMM1334" s="4" t="s">
        <v>2878</v>
      </c>
      <c r="HMN1334" s="4" t="s">
        <v>2878</v>
      </c>
      <c r="HMO1334" s="4" t="s">
        <v>2878</v>
      </c>
      <c r="HMP1334" s="4" t="s">
        <v>2878</v>
      </c>
      <c r="HMQ1334" s="4" t="s">
        <v>2878</v>
      </c>
      <c r="HMR1334" s="4" t="s">
        <v>2878</v>
      </c>
      <c r="HMS1334" s="4" t="s">
        <v>2878</v>
      </c>
      <c r="HMT1334" s="4" t="s">
        <v>2878</v>
      </c>
      <c r="HMU1334" s="4" t="s">
        <v>2878</v>
      </c>
      <c r="HMV1334" s="4" t="s">
        <v>2878</v>
      </c>
      <c r="HMW1334" s="4" t="s">
        <v>2878</v>
      </c>
      <c r="HMX1334" s="4" t="s">
        <v>2878</v>
      </c>
      <c r="HMY1334" s="4" t="s">
        <v>2878</v>
      </c>
      <c r="HMZ1334" s="4" t="s">
        <v>2878</v>
      </c>
      <c r="HNA1334" s="4" t="s">
        <v>2878</v>
      </c>
      <c r="HNB1334" s="4" t="s">
        <v>2878</v>
      </c>
      <c r="HNC1334" s="4" t="s">
        <v>2878</v>
      </c>
      <c r="HND1334" s="4" t="s">
        <v>2878</v>
      </c>
      <c r="HNE1334" s="4" t="s">
        <v>2878</v>
      </c>
      <c r="HNF1334" s="4" t="s">
        <v>2878</v>
      </c>
      <c r="HNG1334" s="4" t="s">
        <v>2878</v>
      </c>
      <c r="HNH1334" s="4" t="s">
        <v>2878</v>
      </c>
      <c r="HNI1334" s="4" t="s">
        <v>2878</v>
      </c>
      <c r="HNJ1334" s="4" t="s">
        <v>2878</v>
      </c>
      <c r="HNK1334" s="4" t="s">
        <v>2878</v>
      </c>
      <c r="HNL1334" s="4" t="s">
        <v>2878</v>
      </c>
      <c r="HNM1334" s="4" t="s">
        <v>2878</v>
      </c>
      <c r="HNN1334" s="4" t="s">
        <v>2878</v>
      </c>
      <c r="HNO1334" s="4" t="s">
        <v>2878</v>
      </c>
      <c r="HNP1334" s="4" t="s">
        <v>2878</v>
      </c>
      <c r="HNQ1334" s="4" t="s">
        <v>2878</v>
      </c>
      <c r="HNR1334" s="4" t="s">
        <v>2878</v>
      </c>
      <c r="HNS1334" s="4" t="s">
        <v>2878</v>
      </c>
      <c r="HNT1334" s="4" t="s">
        <v>2878</v>
      </c>
      <c r="HNU1334" s="4" t="s">
        <v>2878</v>
      </c>
      <c r="HNV1334" s="4" t="s">
        <v>2878</v>
      </c>
      <c r="HNW1334" s="4" t="s">
        <v>2878</v>
      </c>
      <c r="HNX1334" s="4" t="s">
        <v>2878</v>
      </c>
      <c r="HNY1334" s="4" t="s">
        <v>2878</v>
      </c>
      <c r="HNZ1334" s="4" t="s">
        <v>2878</v>
      </c>
      <c r="HOA1334" s="4" t="s">
        <v>2878</v>
      </c>
      <c r="HOB1334" s="4" t="s">
        <v>2878</v>
      </c>
      <c r="HOC1334" s="4" t="s">
        <v>2878</v>
      </c>
      <c r="HOD1334" s="4" t="s">
        <v>2878</v>
      </c>
      <c r="HOE1334" s="4" t="s">
        <v>2878</v>
      </c>
      <c r="HOF1334" s="4" t="s">
        <v>2878</v>
      </c>
      <c r="HOG1334" s="4" t="s">
        <v>2878</v>
      </c>
      <c r="HOH1334" s="4" t="s">
        <v>2878</v>
      </c>
      <c r="HOI1334" s="4" t="s">
        <v>2878</v>
      </c>
      <c r="HOJ1334" s="4" t="s">
        <v>2878</v>
      </c>
      <c r="HOK1334" s="4" t="s">
        <v>2878</v>
      </c>
      <c r="HOL1334" s="4" t="s">
        <v>2878</v>
      </c>
      <c r="HOM1334" s="4" t="s">
        <v>2878</v>
      </c>
      <c r="HON1334" s="4" t="s">
        <v>2878</v>
      </c>
      <c r="HOO1334" s="4" t="s">
        <v>2878</v>
      </c>
      <c r="HOP1334" s="4" t="s">
        <v>2878</v>
      </c>
      <c r="HOQ1334" s="4" t="s">
        <v>2878</v>
      </c>
      <c r="HOR1334" s="4" t="s">
        <v>2878</v>
      </c>
      <c r="HOS1334" s="4" t="s">
        <v>2878</v>
      </c>
      <c r="HOT1334" s="4" t="s">
        <v>2878</v>
      </c>
      <c r="HOU1334" s="4" t="s">
        <v>2878</v>
      </c>
      <c r="HOV1334" s="4" t="s">
        <v>2878</v>
      </c>
      <c r="HOW1334" s="4" t="s">
        <v>2878</v>
      </c>
      <c r="HOX1334" s="4" t="s">
        <v>2878</v>
      </c>
      <c r="HOY1334" s="4" t="s">
        <v>2878</v>
      </c>
      <c r="HOZ1334" s="4" t="s">
        <v>2878</v>
      </c>
      <c r="HPA1334" s="4" t="s">
        <v>2878</v>
      </c>
      <c r="HPB1334" s="4" t="s">
        <v>2878</v>
      </c>
      <c r="HPC1334" s="4" t="s">
        <v>2878</v>
      </c>
      <c r="HPD1334" s="4" t="s">
        <v>2878</v>
      </c>
      <c r="HPE1334" s="4" t="s">
        <v>2878</v>
      </c>
      <c r="HPF1334" s="4" t="s">
        <v>2878</v>
      </c>
      <c r="HPG1334" s="4" t="s">
        <v>2878</v>
      </c>
      <c r="HPH1334" s="4" t="s">
        <v>2878</v>
      </c>
      <c r="HPI1334" s="4" t="s">
        <v>2878</v>
      </c>
      <c r="HPJ1334" s="4" t="s">
        <v>2878</v>
      </c>
      <c r="HPK1334" s="4" t="s">
        <v>2878</v>
      </c>
      <c r="HPL1334" s="4" t="s">
        <v>2878</v>
      </c>
      <c r="HPM1334" s="4" t="s">
        <v>2878</v>
      </c>
      <c r="HPN1334" s="4" t="s">
        <v>2878</v>
      </c>
      <c r="HPO1334" s="4" t="s">
        <v>2878</v>
      </c>
      <c r="HPP1334" s="4" t="s">
        <v>2878</v>
      </c>
      <c r="HPQ1334" s="4" t="s">
        <v>2878</v>
      </c>
      <c r="HPR1334" s="4" t="s">
        <v>2878</v>
      </c>
      <c r="HPS1334" s="4" t="s">
        <v>2878</v>
      </c>
      <c r="HPT1334" s="4" t="s">
        <v>2878</v>
      </c>
      <c r="HPU1334" s="4" t="s">
        <v>2878</v>
      </c>
      <c r="HPV1334" s="4" t="s">
        <v>2878</v>
      </c>
      <c r="HPW1334" s="4" t="s">
        <v>2878</v>
      </c>
      <c r="HPX1334" s="4" t="s">
        <v>2878</v>
      </c>
      <c r="HPY1334" s="4" t="s">
        <v>2878</v>
      </c>
      <c r="HPZ1334" s="4" t="s">
        <v>2878</v>
      </c>
      <c r="HQA1334" s="4" t="s">
        <v>2878</v>
      </c>
      <c r="HQB1334" s="4" t="s">
        <v>2878</v>
      </c>
      <c r="HQC1334" s="4" t="s">
        <v>2878</v>
      </c>
      <c r="HQD1334" s="4" t="s">
        <v>2878</v>
      </c>
      <c r="HQE1334" s="4" t="s">
        <v>2878</v>
      </c>
      <c r="HQF1334" s="4" t="s">
        <v>2878</v>
      </c>
      <c r="HQG1334" s="4" t="s">
        <v>2878</v>
      </c>
      <c r="HQH1334" s="4" t="s">
        <v>2878</v>
      </c>
      <c r="HQI1334" s="4" t="s">
        <v>2878</v>
      </c>
      <c r="HQJ1334" s="4" t="s">
        <v>2878</v>
      </c>
      <c r="HQK1334" s="4" t="s">
        <v>2878</v>
      </c>
      <c r="HQL1334" s="4" t="s">
        <v>2878</v>
      </c>
      <c r="HQM1334" s="4" t="s">
        <v>2878</v>
      </c>
      <c r="HQN1334" s="4" t="s">
        <v>2878</v>
      </c>
      <c r="HQO1334" s="4" t="s">
        <v>2878</v>
      </c>
      <c r="HQP1334" s="4" t="s">
        <v>2878</v>
      </c>
      <c r="HQQ1334" s="4" t="s">
        <v>2878</v>
      </c>
      <c r="HQR1334" s="4" t="s">
        <v>2878</v>
      </c>
      <c r="HQS1334" s="4" t="s">
        <v>2878</v>
      </c>
      <c r="HQT1334" s="4" t="s">
        <v>2878</v>
      </c>
      <c r="HQU1334" s="4" t="s">
        <v>2878</v>
      </c>
      <c r="HQV1334" s="4" t="s">
        <v>2878</v>
      </c>
      <c r="HQW1334" s="4" t="s">
        <v>2878</v>
      </c>
      <c r="HQX1334" s="4" t="s">
        <v>2878</v>
      </c>
      <c r="HQY1334" s="4" t="s">
        <v>2878</v>
      </c>
      <c r="HQZ1334" s="4" t="s">
        <v>2878</v>
      </c>
      <c r="HRA1334" s="4" t="s">
        <v>2878</v>
      </c>
      <c r="HRB1334" s="4" t="s">
        <v>2878</v>
      </c>
      <c r="HRC1334" s="4" t="s">
        <v>2878</v>
      </c>
      <c r="HRD1334" s="4" t="s">
        <v>2878</v>
      </c>
      <c r="HRE1334" s="4" t="s">
        <v>2878</v>
      </c>
      <c r="HRF1334" s="4" t="s">
        <v>2878</v>
      </c>
      <c r="HRG1334" s="4" t="s">
        <v>2878</v>
      </c>
      <c r="HRH1334" s="4" t="s">
        <v>2878</v>
      </c>
      <c r="HRI1334" s="4" t="s">
        <v>2878</v>
      </c>
      <c r="HRJ1334" s="4" t="s">
        <v>2878</v>
      </c>
      <c r="HRK1334" s="4" t="s">
        <v>2878</v>
      </c>
      <c r="HRL1334" s="4" t="s">
        <v>2878</v>
      </c>
      <c r="HRM1334" s="4" t="s">
        <v>2878</v>
      </c>
      <c r="HRN1334" s="4" t="s">
        <v>2878</v>
      </c>
      <c r="HRO1334" s="4" t="s">
        <v>2878</v>
      </c>
      <c r="HRP1334" s="4" t="s">
        <v>2878</v>
      </c>
      <c r="HRQ1334" s="4" t="s">
        <v>2878</v>
      </c>
      <c r="HRR1334" s="4" t="s">
        <v>2878</v>
      </c>
      <c r="HRS1334" s="4" t="s">
        <v>2878</v>
      </c>
      <c r="HRT1334" s="4" t="s">
        <v>2878</v>
      </c>
      <c r="HRU1334" s="4" t="s">
        <v>2878</v>
      </c>
      <c r="HRV1334" s="4" t="s">
        <v>2878</v>
      </c>
      <c r="HRW1334" s="4" t="s">
        <v>2878</v>
      </c>
      <c r="HRX1334" s="4" t="s">
        <v>2878</v>
      </c>
      <c r="HRY1334" s="4" t="s">
        <v>2878</v>
      </c>
      <c r="HRZ1334" s="4" t="s">
        <v>2878</v>
      </c>
      <c r="HSA1334" s="4" t="s">
        <v>2878</v>
      </c>
      <c r="HSB1334" s="4" t="s">
        <v>2878</v>
      </c>
      <c r="HSC1334" s="4" t="s">
        <v>2878</v>
      </c>
      <c r="HSD1334" s="4" t="s">
        <v>2878</v>
      </c>
      <c r="HSE1334" s="4" t="s">
        <v>2878</v>
      </c>
      <c r="HSF1334" s="4" t="s">
        <v>2878</v>
      </c>
      <c r="HSG1334" s="4" t="s">
        <v>2878</v>
      </c>
      <c r="HSH1334" s="4" t="s">
        <v>2878</v>
      </c>
      <c r="HSI1334" s="4" t="s">
        <v>2878</v>
      </c>
      <c r="HSJ1334" s="4" t="s">
        <v>2878</v>
      </c>
      <c r="HSK1334" s="4" t="s">
        <v>2878</v>
      </c>
      <c r="HSL1334" s="4" t="s">
        <v>2878</v>
      </c>
      <c r="HSM1334" s="4" t="s">
        <v>2878</v>
      </c>
      <c r="HSN1334" s="4" t="s">
        <v>2878</v>
      </c>
      <c r="HSO1334" s="4" t="s">
        <v>2878</v>
      </c>
      <c r="HSP1334" s="4" t="s">
        <v>2878</v>
      </c>
      <c r="HSQ1334" s="4" t="s">
        <v>2878</v>
      </c>
      <c r="HSR1334" s="4" t="s">
        <v>2878</v>
      </c>
      <c r="HSS1334" s="4" t="s">
        <v>2878</v>
      </c>
      <c r="HST1334" s="4" t="s">
        <v>2878</v>
      </c>
      <c r="HSU1334" s="4" t="s">
        <v>2878</v>
      </c>
      <c r="HSV1334" s="4" t="s">
        <v>2878</v>
      </c>
      <c r="HSW1334" s="4" t="s">
        <v>2878</v>
      </c>
      <c r="HSX1334" s="4" t="s">
        <v>2878</v>
      </c>
      <c r="HSY1334" s="4" t="s">
        <v>2878</v>
      </c>
      <c r="HSZ1334" s="4" t="s">
        <v>2878</v>
      </c>
      <c r="HTA1334" s="4" t="s">
        <v>2878</v>
      </c>
      <c r="HTB1334" s="4" t="s">
        <v>2878</v>
      </c>
      <c r="HTC1334" s="4" t="s">
        <v>2878</v>
      </c>
      <c r="HTD1334" s="4" t="s">
        <v>2878</v>
      </c>
      <c r="HTE1334" s="4" t="s">
        <v>2878</v>
      </c>
      <c r="HTF1334" s="4" t="s">
        <v>2878</v>
      </c>
      <c r="HTG1334" s="4" t="s">
        <v>2878</v>
      </c>
      <c r="HTH1334" s="4" t="s">
        <v>2878</v>
      </c>
      <c r="HTI1334" s="4" t="s">
        <v>2878</v>
      </c>
      <c r="HTJ1334" s="4" t="s">
        <v>2878</v>
      </c>
      <c r="HTK1334" s="4" t="s">
        <v>2878</v>
      </c>
      <c r="HTL1334" s="4" t="s">
        <v>2878</v>
      </c>
      <c r="HTM1334" s="4" t="s">
        <v>2878</v>
      </c>
      <c r="HTN1334" s="4" t="s">
        <v>2878</v>
      </c>
      <c r="HTO1334" s="4" t="s">
        <v>2878</v>
      </c>
      <c r="HTP1334" s="4" t="s">
        <v>2878</v>
      </c>
      <c r="HTQ1334" s="4" t="s">
        <v>2878</v>
      </c>
      <c r="HTR1334" s="4" t="s">
        <v>2878</v>
      </c>
      <c r="HTS1334" s="4" t="s">
        <v>2878</v>
      </c>
      <c r="HTT1334" s="4" t="s">
        <v>2878</v>
      </c>
      <c r="HTU1334" s="4" t="s">
        <v>2878</v>
      </c>
      <c r="HTV1334" s="4" t="s">
        <v>2878</v>
      </c>
      <c r="HTW1334" s="4" t="s">
        <v>2878</v>
      </c>
      <c r="HTX1334" s="4" t="s">
        <v>2878</v>
      </c>
      <c r="HTY1334" s="4" t="s">
        <v>2878</v>
      </c>
      <c r="HTZ1334" s="4" t="s">
        <v>2878</v>
      </c>
      <c r="HUA1334" s="4" t="s">
        <v>2878</v>
      </c>
      <c r="HUB1334" s="4" t="s">
        <v>2878</v>
      </c>
      <c r="HUC1334" s="4" t="s">
        <v>2878</v>
      </c>
      <c r="HUD1334" s="4" t="s">
        <v>2878</v>
      </c>
      <c r="HUE1334" s="4" t="s">
        <v>2878</v>
      </c>
      <c r="HUF1334" s="4" t="s">
        <v>2878</v>
      </c>
      <c r="HUG1334" s="4" t="s">
        <v>2878</v>
      </c>
      <c r="HUH1334" s="4" t="s">
        <v>2878</v>
      </c>
      <c r="HUI1334" s="4" t="s">
        <v>2878</v>
      </c>
      <c r="HUJ1334" s="4" t="s">
        <v>2878</v>
      </c>
      <c r="HUK1334" s="4" t="s">
        <v>2878</v>
      </c>
      <c r="HUL1334" s="4" t="s">
        <v>2878</v>
      </c>
      <c r="HUM1334" s="4" t="s">
        <v>2878</v>
      </c>
      <c r="HUN1334" s="4" t="s">
        <v>2878</v>
      </c>
      <c r="HUO1334" s="4" t="s">
        <v>2878</v>
      </c>
      <c r="HUP1334" s="4" t="s">
        <v>2878</v>
      </c>
      <c r="HUQ1334" s="4" t="s">
        <v>2878</v>
      </c>
      <c r="HUR1334" s="4" t="s">
        <v>2878</v>
      </c>
      <c r="HUS1334" s="4" t="s">
        <v>2878</v>
      </c>
      <c r="HUT1334" s="4" t="s">
        <v>2878</v>
      </c>
      <c r="HUU1334" s="4" t="s">
        <v>2878</v>
      </c>
      <c r="HUV1334" s="4" t="s">
        <v>2878</v>
      </c>
      <c r="HUW1334" s="4" t="s">
        <v>2878</v>
      </c>
      <c r="HUX1334" s="4" t="s">
        <v>2878</v>
      </c>
      <c r="HUY1334" s="4" t="s">
        <v>2878</v>
      </c>
      <c r="HUZ1334" s="4" t="s">
        <v>2878</v>
      </c>
      <c r="HVA1334" s="4" t="s">
        <v>2878</v>
      </c>
      <c r="HVB1334" s="4" t="s">
        <v>2878</v>
      </c>
      <c r="HVC1334" s="4" t="s">
        <v>2878</v>
      </c>
      <c r="HVD1334" s="4" t="s">
        <v>2878</v>
      </c>
      <c r="HVE1334" s="4" t="s">
        <v>2878</v>
      </c>
      <c r="HVF1334" s="4" t="s">
        <v>2878</v>
      </c>
      <c r="HVG1334" s="4" t="s">
        <v>2878</v>
      </c>
      <c r="HVH1334" s="4" t="s">
        <v>2878</v>
      </c>
      <c r="HVI1334" s="4" t="s">
        <v>2878</v>
      </c>
      <c r="HVJ1334" s="4" t="s">
        <v>2878</v>
      </c>
      <c r="HVK1334" s="4" t="s">
        <v>2878</v>
      </c>
      <c r="HVL1334" s="4" t="s">
        <v>2878</v>
      </c>
      <c r="HVM1334" s="4" t="s">
        <v>2878</v>
      </c>
      <c r="HVN1334" s="4" t="s">
        <v>2878</v>
      </c>
      <c r="HVO1334" s="4" t="s">
        <v>2878</v>
      </c>
      <c r="HVP1334" s="4" t="s">
        <v>2878</v>
      </c>
      <c r="HVQ1334" s="4" t="s">
        <v>2878</v>
      </c>
      <c r="HVR1334" s="4" t="s">
        <v>2878</v>
      </c>
      <c r="HVS1334" s="4" t="s">
        <v>2878</v>
      </c>
      <c r="HVT1334" s="4" t="s">
        <v>2878</v>
      </c>
      <c r="HVU1334" s="4" t="s">
        <v>2878</v>
      </c>
      <c r="HVV1334" s="4" t="s">
        <v>2878</v>
      </c>
      <c r="HVW1334" s="4" t="s">
        <v>2878</v>
      </c>
      <c r="HVX1334" s="4" t="s">
        <v>2878</v>
      </c>
      <c r="HVY1334" s="4" t="s">
        <v>2878</v>
      </c>
      <c r="HVZ1334" s="4" t="s">
        <v>2878</v>
      </c>
      <c r="HWA1334" s="4" t="s">
        <v>2878</v>
      </c>
      <c r="HWB1334" s="4" t="s">
        <v>2878</v>
      </c>
      <c r="HWC1334" s="4" t="s">
        <v>2878</v>
      </c>
      <c r="HWD1334" s="4" t="s">
        <v>2878</v>
      </c>
      <c r="HWE1334" s="4" t="s">
        <v>2878</v>
      </c>
      <c r="HWF1334" s="4" t="s">
        <v>2878</v>
      </c>
      <c r="HWG1334" s="4" t="s">
        <v>2878</v>
      </c>
      <c r="HWH1334" s="4" t="s">
        <v>2878</v>
      </c>
      <c r="HWI1334" s="4" t="s">
        <v>2878</v>
      </c>
      <c r="HWJ1334" s="4" t="s">
        <v>2878</v>
      </c>
      <c r="HWK1334" s="4" t="s">
        <v>2878</v>
      </c>
      <c r="HWL1334" s="4" t="s">
        <v>2878</v>
      </c>
      <c r="HWM1334" s="4" t="s">
        <v>2878</v>
      </c>
      <c r="HWN1334" s="4" t="s">
        <v>2878</v>
      </c>
      <c r="HWO1334" s="4" t="s">
        <v>2878</v>
      </c>
      <c r="HWP1334" s="4" t="s">
        <v>2878</v>
      </c>
      <c r="HWQ1334" s="4" t="s">
        <v>2878</v>
      </c>
      <c r="HWR1334" s="4" t="s">
        <v>2878</v>
      </c>
      <c r="HWS1334" s="4" t="s">
        <v>2878</v>
      </c>
      <c r="HWT1334" s="4" t="s">
        <v>2878</v>
      </c>
      <c r="HWU1334" s="4" t="s">
        <v>2878</v>
      </c>
      <c r="HWV1334" s="4" t="s">
        <v>2878</v>
      </c>
      <c r="HWW1334" s="4" t="s">
        <v>2878</v>
      </c>
      <c r="HWX1334" s="4" t="s">
        <v>2878</v>
      </c>
      <c r="HWY1334" s="4" t="s">
        <v>2878</v>
      </c>
      <c r="HWZ1334" s="4" t="s">
        <v>2878</v>
      </c>
      <c r="HXA1334" s="4" t="s">
        <v>2878</v>
      </c>
      <c r="HXB1334" s="4" t="s">
        <v>2878</v>
      </c>
      <c r="HXC1334" s="4" t="s">
        <v>2878</v>
      </c>
      <c r="HXD1334" s="4" t="s">
        <v>2878</v>
      </c>
      <c r="HXE1334" s="4" t="s">
        <v>2878</v>
      </c>
      <c r="HXF1334" s="4" t="s">
        <v>2878</v>
      </c>
      <c r="HXG1334" s="4" t="s">
        <v>2878</v>
      </c>
      <c r="HXH1334" s="4" t="s">
        <v>2878</v>
      </c>
      <c r="HXI1334" s="4" t="s">
        <v>2878</v>
      </c>
      <c r="HXJ1334" s="4" t="s">
        <v>2878</v>
      </c>
      <c r="HXK1334" s="4" t="s">
        <v>2878</v>
      </c>
      <c r="HXL1334" s="4" t="s">
        <v>2878</v>
      </c>
      <c r="HXM1334" s="4" t="s">
        <v>2878</v>
      </c>
      <c r="HXN1334" s="4" t="s">
        <v>2878</v>
      </c>
      <c r="HXO1334" s="4" t="s">
        <v>2878</v>
      </c>
      <c r="HXP1334" s="4" t="s">
        <v>2878</v>
      </c>
      <c r="HXQ1334" s="4" t="s">
        <v>2878</v>
      </c>
      <c r="HXR1334" s="4" t="s">
        <v>2878</v>
      </c>
      <c r="HXS1334" s="4" t="s">
        <v>2878</v>
      </c>
      <c r="HXT1334" s="4" t="s">
        <v>2878</v>
      </c>
      <c r="HXU1334" s="4" t="s">
        <v>2878</v>
      </c>
      <c r="HXV1334" s="4" t="s">
        <v>2878</v>
      </c>
      <c r="HXW1334" s="4" t="s">
        <v>2878</v>
      </c>
      <c r="HXX1334" s="4" t="s">
        <v>2878</v>
      </c>
      <c r="HXY1334" s="4" t="s">
        <v>2878</v>
      </c>
      <c r="HXZ1334" s="4" t="s">
        <v>2878</v>
      </c>
      <c r="HYA1334" s="4" t="s">
        <v>2878</v>
      </c>
      <c r="HYB1334" s="4" t="s">
        <v>2878</v>
      </c>
      <c r="HYC1334" s="4" t="s">
        <v>2878</v>
      </c>
      <c r="HYD1334" s="4" t="s">
        <v>2878</v>
      </c>
      <c r="HYE1334" s="4" t="s">
        <v>2878</v>
      </c>
      <c r="HYF1334" s="4" t="s">
        <v>2878</v>
      </c>
      <c r="HYG1334" s="4" t="s">
        <v>2878</v>
      </c>
      <c r="HYH1334" s="4" t="s">
        <v>2878</v>
      </c>
      <c r="HYI1334" s="4" t="s">
        <v>2878</v>
      </c>
      <c r="HYJ1334" s="4" t="s">
        <v>2878</v>
      </c>
      <c r="HYK1334" s="4" t="s">
        <v>2878</v>
      </c>
      <c r="HYL1334" s="4" t="s">
        <v>2878</v>
      </c>
      <c r="HYM1334" s="4" t="s">
        <v>2878</v>
      </c>
      <c r="HYN1334" s="4" t="s">
        <v>2878</v>
      </c>
      <c r="HYO1334" s="4" t="s">
        <v>2878</v>
      </c>
      <c r="HYP1334" s="4" t="s">
        <v>2878</v>
      </c>
      <c r="HYQ1334" s="4" t="s">
        <v>2878</v>
      </c>
      <c r="HYR1334" s="4" t="s">
        <v>2878</v>
      </c>
      <c r="HYS1334" s="4" t="s">
        <v>2878</v>
      </c>
      <c r="HYT1334" s="4" t="s">
        <v>2878</v>
      </c>
      <c r="HYU1334" s="4" t="s">
        <v>2878</v>
      </c>
      <c r="HYV1334" s="4" t="s">
        <v>2878</v>
      </c>
      <c r="HYW1334" s="4" t="s">
        <v>2878</v>
      </c>
      <c r="HYX1334" s="4" t="s">
        <v>2878</v>
      </c>
      <c r="HYY1334" s="4" t="s">
        <v>2878</v>
      </c>
      <c r="HYZ1334" s="4" t="s">
        <v>2878</v>
      </c>
      <c r="HZA1334" s="4" t="s">
        <v>2878</v>
      </c>
      <c r="HZB1334" s="4" t="s">
        <v>2878</v>
      </c>
      <c r="HZC1334" s="4" t="s">
        <v>2878</v>
      </c>
      <c r="HZD1334" s="4" t="s">
        <v>2878</v>
      </c>
      <c r="HZE1334" s="4" t="s">
        <v>2878</v>
      </c>
      <c r="HZF1334" s="4" t="s">
        <v>2878</v>
      </c>
      <c r="HZG1334" s="4" t="s">
        <v>2878</v>
      </c>
      <c r="HZH1334" s="4" t="s">
        <v>2878</v>
      </c>
      <c r="HZI1334" s="4" t="s">
        <v>2878</v>
      </c>
      <c r="HZJ1334" s="4" t="s">
        <v>2878</v>
      </c>
      <c r="HZK1334" s="4" t="s">
        <v>2878</v>
      </c>
      <c r="HZL1334" s="4" t="s">
        <v>2878</v>
      </c>
      <c r="HZM1334" s="4" t="s">
        <v>2878</v>
      </c>
      <c r="HZN1334" s="4" t="s">
        <v>2878</v>
      </c>
      <c r="HZO1334" s="4" t="s">
        <v>2878</v>
      </c>
      <c r="HZP1334" s="4" t="s">
        <v>2878</v>
      </c>
      <c r="HZQ1334" s="4" t="s">
        <v>2878</v>
      </c>
      <c r="HZR1334" s="4" t="s">
        <v>2878</v>
      </c>
      <c r="HZS1334" s="4" t="s">
        <v>2878</v>
      </c>
      <c r="HZT1334" s="4" t="s">
        <v>2878</v>
      </c>
      <c r="HZU1334" s="4" t="s">
        <v>2878</v>
      </c>
      <c r="HZV1334" s="4" t="s">
        <v>2878</v>
      </c>
      <c r="HZW1334" s="4" t="s">
        <v>2878</v>
      </c>
      <c r="HZX1334" s="4" t="s">
        <v>2878</v>
      </c>
      <c r="HZY1334" s="4" t="s">
        <v>2878</v>
      </c>
      <c r="HZZ1334" s="4" t="s">
        <v>2878</v>
      </c>
      <c r="IAA1334" s="4" t="s">
        <v>2878</v>
      </c>
      <c r="IAB1334" s="4" t="s">
        <v>2878</v>
      </c>
      <c r="IAC1334" s="4" t="s">
        <v>2878</v>
      </c>
      <c r="IAD1334" s="4" t="s">
        <v>2878</v>
      </c>
      <c r="IAE1334" s="4" t="s">
        <v>2878</v>
      </c>
      <c r="IAF1334" s="4" t="s">
        <v>2878</v>
      </c>
      <c r="IAG1334" s="4" t="s">
        <v>2878</v>
      </c>
      <c r="IAH1334" s="4" t="s">
        <v>2878</v>
      </c>
      <c r="IAI1334" s="4" t="s">
        <v>2878</v>
      </c>
      <c r="IAJ1334" s="4" t="s">
        <v>2878</v>
      </c>
      <c r="IAK1334" s="4" t="s">
        <v>2878</v>
      </c>
      <c r="IAL1334" s="4" t="s">
        <v>2878</v>
      </c>
      <c r="IAM1334" s="4" t="s">
        <v>2878</v>
      </c>
      <c r="IAN1334" s="4" t="s">
        <v>2878</v>
      </c>
      <c r="IAO1334" s="4" t="s">
        <v>2878</v>
      </c>
      <c r="IAP1334" s="4" t="s">
        <v>2878</v>
      </c>
      <c r="IAQ1334" s="4" t="s">
        <v>2878</v>
      </c>
      <c r="IAR1334" s="4" t="s">
        <v>2878</v>
      </c>
      <c r="IAS1334" s="4" t="s">
        <v>2878</v>
      </c>
      <c r="IAT1334" s="4" t="s">
        <v>2878</v>
      </c>
      <c r="IAU1334" s="4" t="s">
        <v>2878</v>
      </c>
      <c r="IAV1334" s="4" t="s">
        <v>2878</v>
      </c>
      <c r="IAW1334" s="4" t="s">
        <v>2878</v>
      </c>
      <c r="IAX1334" s="4" t="s">
        <v>2878</v>
      </c>
      <c r="IAY1334" s="4" t="s">
        <v>2878</v>
      </c>
      <c r="IAZ1334" s="4" t="s">
        <v>2878</v>
      </c>
      <c r="IBA1334" s="4" t="s">
        <v>2878</v>
      </c>
      <c r="IBB1334" s="4" t="s">
        <v>2878</v>
      </c>
      <c r="IBC1334" s="4" t="s">
        <v>2878</v>
      </c>
      <c r="IBD1334" s="4" t="s">
        <v>2878</v>
      </c>
      <c r="IBE1334" s="4" t="s">
        <v>2878</v>
      </c>
      <c r="IBF1334" s="4" t="s">
        <v>2878</v>
      </c>
      <c r="IBG1334" s="4" t="s">
        <v>2878</v>
      </c>
      <c r="IBH1334" s="4" t="s">
        <v>2878</v>
      </c>
      <c r="IBI1334" s="4" t="s">
        <v>2878</v>
      </c>
      <c r="IBJ1334" s="4" t="s">
        <v>2878</v>
      </c>
      <c r="IBK1334" s="4" t="s">
        <v>2878</v>
      </c>
      <c r="IBL1334" s="4" t="s">
        <v>2878</v>
      </c>
      <c r="IBM1334" s="4" t="s">
        <v>2878</v>
      </c>
      <c r="IBN1334" s="4" t="s">
        <v>2878</v>
      </c>
      <c r="IBO1334" s="4" t="s">
        <v>2878</v>
      </c>
      <c r="IBP1334" s="4" t="s">
        <v>2878</v>
      </c>
      <c r="IBQ1334" s="4" t="s">
        <v>2878</v>
      </c>
      <c r="IBR1334" s="4" t="s">
        <v>2878</v>
      </c>
      <c r="IBS1334" s="4" t="s">
        <v>2878</v>
      </c>
      <c r="IBT1334" s="4" t="s">
        <v>2878</v>
      </c>
      <c r="IBU1334" s="4" t="s">
        <v>2878</v>
      </c>
      <c r="IBV1334" s="4" t="s">
        <v>2878</v>
      </c>
      <c r="IBW1334" s="4" t="s">
        <v>2878</v>
      </c>
      <c r="IBX1334" s="4" t="s">
        <v>2878</v>
      </c>
      <c r="IBY1334" s="4" t="s">
        <v>2878</v>
      </c>
      <c r="IBZ1334" s="4" t="s">
        <v>2878</v>
      </c>
      <c r="ICA1334" s="4" t="s">
        <v>2878</v>
      </c>
      <c r="ICB1334" s="4" t="s">
        <v>2878</v>
      </c>
      <c r="ICC1334" s="4" t="s">
        <v>2878</v>
      </c>
      <c r="ICD1334" s="4" t="s">
        <v>2878</v>
      </c>
      <c r="ICE1334" s="4" t="s">
        <v>2878</v>
      </c>
      <c r="ICF1334" s="4" t="s">
        <v>2878</v>
      </c>
      <c r="ICG1334" s="4" t="s">
        <v>2878</v>
      </c>
      <c r="ICH1334" s="4" t="s">
        <v>2878</v>
      </c>
      <c r="ICI1334" s="4" t="s">
        <v>2878</v>
      </c>
      <c r="ICJ1334" s="4" t="s">
        <v>2878</v>
      </c>
      <c r="ICK1334" s="4" t="s">
        <v>2878</v>
      </c>
      <c r="ICL1334" s="4" t="s">
        <v>2878</v>
      </c>
      <c r="ICM1334" s="4" t="s">
        <v>2878</v>
      </c>
      <c r="ICN1334" s="4" t="s">
        <v>2878</v>
      </c>
      <c r="ICO1334" s="4" t="s">
        <v>2878</v>
      </c>
      <c r="ICP1334" s="4" t="s">
        <v>2878</v>
      </c>
      <c r="ICQ1334" s="4" t="s">
        <v>2878</v>
      </c>
      <c r="ICR1334" s="4" t="s">
        <v>2878</v>
      </c>
      <c r="ICS1334" s="4" t="s">
        <v>2878</v>
      </c>
      <c r="ICT1334" s="4" t="s">
        <v>2878</v>
      </c>
      <c r="ICU1334" s="4" t="s">
        <v>2878</v>
      </c>
      <c r="ICV1334" s="4" t="s">
        <v>2878</v>
      </c>
      <c r="ICW1334" s="4" t="s">
        <v>2878</v>
      </c>
      <c r="ICX1334" s="4" t="s">
        <v>2878</v>
      </c>
      <c r="ICY1334" s="4" t="s">
        <v>2878</v>
      </c>
      <c r="ICZ1334" s="4" t="s">
        <v>2878</v>
      </c>
      <c r="IDA1334" s="4" t="s">
        <v>2878</v>
      </c>
      <c r="IDB1334" s="4" t="s">
        <v>2878</v>
      </c>
      <c r="IDC1334" s="4" t="s">
        <v>2878</v>
      </c>
      <c r="IDD1334" s="4" t="s">
        <v>2878</v>
      </c>
      <c r="IDE1334" s="4" t="s">
        <v>2878</v>
      </c>
      <c r="IDF1334" s="4" t="s">
        <v>2878</v>
      </c>
      <c r="IDG1334" s="4" t="s">
        <v>2878</v>
      </c>
      <c r="IDH1334" s="4" t="s">
        <v>2878</v>
      </c>
      <c r="IDI1334" s="4" t="s">
        <v>2878</v>
      </c>
      <c r="IDJ1334" s="4" t="s">
        <v>2878</v>
      </c>
      <c r="IDK1334" s="4" t="s">
        <v>2878</v>
      </c>
      <c r="IDL1334" s="4" t="s">
        <v>2878</v>
      </c>
      <c r="IDM1334" s="4" t="s">
        <v>2878</v>
      </c>
      <c r="IDN1334" s="4" t="s">
        <v>2878</v>
      </c>
      <c r="IDO1334" s="4" t="s">
        <v>2878</v>
      </c>
      <c r="IDP1334" s="4" t="s">
        <v>2878</v>
      </c>
      <c r="IDQ1334" s="4" t="s">
        <v>2878</v>
      </c>
      <c r="IDR1334" s="4" t="s">
        <v>2878</v>
      </c>
      <c r="IDS1334" s="4" t="s">
        <v>2878</v>
      </c>
      <c r="IDT1334" s="4" t="s">
        <v>2878</v>
      </c>
      <c r="IDU1334" s="4" t="s">
        <v>2878</v>
      </c>
      <c r="IDV1334" s="4" t="s">
        <v>2878</v>
      </c>
      <c r="IDW1334" s="4" t="s">
        <v>2878</v>
      </c>
      <c r="IDX1334" s="4" t="s">
        <v>2878</v>
      </c>
      <c r="IDY1334" s="4" t="s">
        <v>2878</v>
      </c>
      <c r="IDZ1334" s="4" t="s">
        <v>2878</v>
      </c>
      <c r="IEA1334" s="4" t="s">
        <v>2878</v>
      </c>
      <c r="IEB1334" s="4" t="s">
        <v>2878</v>
      </c>
      <c r="IEC1334" s="4" t="s">
        <v>2878</v>
      </c>
      <c r="IED1334" s="4" t="s">
        <v>2878</v>
      </c>
      <c r="IEE1334" s="4" t="s">
        <v>2878</v>
      </c>
      <c r="IEF1334" s="4" t="s">
        <v>2878</v>
      </c>
      <c r="IEG1334" s="4" t="s">
        <v>2878</v>
      </c>
      <c r="IEH1334" s="4" t="s">
        <v>2878</v>
      </c>
      <c r="IEI1334" s="4" t="s">
        <v>2878</v>
      </c>
      <c r="IEJ1334" s="4" t="s">
        <v>2878</v>
      </c>
      <c r="IEK1334" s="4" t="s">
        <v>2878</v>
      </c>
      <c r="IEL1334" s="4" t="s">
        <v>2878</v>
      </c>
      <c r="IEM1334" s="4" t="s">
        <v>2878</v>
      </c>
      <c r="IEN1334" s="4" t="s">
        <v>2878</v>
      </c>
      <c r="IEO1334" s="4" t="s">
        <v>2878</v>
      </c>
      <c r="IEP1334" s="4" t="s">
        <v>2878</v>
      </c>
      <c r="IEQ1334" s="4" t="s">
        <v>2878</v>
      </c>
      <c r="IER1334" s="4" t="s">
        <v>2878</v>
      </c>
      <c r="IES1334" s="4" t="s">
        <v>2878</v>
      </c>
      <c r="IET1334" s="4" t="s">
        <v>2878</v>
      </c>
      <c r="IEU1334" s="4" t="s">
        <v>2878</v>
      </c>
      <c r="IEV1334" s="4" t="s">
        <v>2878</v>
      </c>
      <c r="IEW1334" s="4" t="s">
        <v>2878</v>
      </c>
      <c r="IEX1334" s="4" t="s">
        <v>2878</v>
      </c>
      <c r="IEY1334" s="4" t="s">
        <v>2878</v>
      </c>
      <c r="IEZ1334" s="4" t="s">
        <v>2878</v>
      </c>
      <c r="IFA1334" s="4" t="s">
        <v>2878</v>
      </c>
      <c r="IFB1334" s="4" t="s">
        <v>2878</v>
      </c>
      <c r="IFC1334" s="4" t="s">
        <v>2878</v>
      </c>
      <c r="IFD1334" s="4" t="s">
        <v>2878</v>
      </c>
      <c r="IFE1334" s="4" t="s">
        <v>2878</v>
      </c>
      <c r="IFF1334" s="4" t="s">
        <v>2878</v>
      </c>
      <c r="IFG1334" s="4" t="s">
        <v>2878</v>
      </c>
      <c r="IFH1334" s="4" t="s">
        <v>2878</v>
      </c>
      <c r="IFI1334" s="4" t="s">
        <v>2878</v>
      </c>
      <c r="IFJ1334" s="4" t="s">
        <v>2878</v>
      </c>
      <c r="IFK1334" s="4" t="s">
        <v>2878</v>
      </c>
      <c r="IFL1334" s="4" t="s">
        <v>2878</v>
      </c>
      <c r="IFM1334" s="4" t="s">
        <v>2878</v>
      </c>
      <c r="IFN1334" s="4" t="s">
        <v>2878</v>
      </c>
      <c r="IFO1334" s="4" t="s">
        <v>2878</v>
      </c>
      <c r="IFP1334" s="4" t="s">
        <v>2878</v>
      </c>
      <c r="IFQ1334" s="4" t="s">
        <v>2878</v>
      </c>
      <c r="IFR1334" s="4" t="s">
        <v>2878</v>
      </c>
      <c r="IFS1334" s="4" t="s">
        <v>2878</v>
      </c>
      <c r="IFT1334" s="4" t="s">
        <v>2878</v>
      </c>
      <c r="IFU1334" s="4" t="s">
        <v>2878</v>
      </c>
      <c r="IFV1334" s="4" t="s">
        <v>2878</v>
      </c>
      <c r="IFW1334" s="4" t="s">
        <v>2878</v>
      </c>
      <c r="IFX1334" s="4" t="s">
        <v>2878</v>
      </c>
      <c r="IFY1334" s="4" t="s">
        <v>2878</v>
      </c>
      <c r="IFZ1334" s="4" t="s">
        <v>2878</v>
      </c>
      <c r="IGA1334" s="4" t="s">
        <v>2878</v>
      </c>
      <c r="IGB1334" s="4" t="s">
        <v>2878</v>
      </c>
      <c r="IGC1334" s="4" t="s">
        <v>2878</v>
      </c>
      <c r="IGD1334" s="4" t="s">
        <v>2878</v>
      </c>
      <c r="IGE1334" s="4" t="s">
        <v>2878</v>
      </c>
      <c r="IGF1334" s="4" t="s">
        <v>2878</v>
      </c>
      <c r="IGG1334" s="4" t="s">
        <v>2878</v>
      </c>
      <c r="IGH1334" s="4" t="s">
        <v>2878</v>
      </c>
      <c r="IGI1334" s="4" t="s">
        <v>2878</v>
      </c>
      <c r="IGJ1334" s="4" t="s">
        <v>2878</v>
      </c>
      <c r="IGK1334" s="4" t="s">
        <v>2878</v>
      </c>
      <c r="IGL1334" s="4" t="s">
        <v>2878</v>
      </c>
      <c r="IGM1334" s="4" t="s">
        <v>2878</v>
      </c>
      <c r="IGN1334" s="4" t="s">
        <v>2878</v>
      </c>
      <c r="IGO1334" s="4" t="s">
        <v>2878</v>
      </c>
      <c r="IGP1334" s="4" t="s">
        <v>2878</v>
      </c>
      <c r="IGQ1334" s="4" t="s">
        <v>2878</v>
      </c>
      <c r="IGR1334" s="4" t="s">
        <v>2878</v>
      </c>
      <c r="IGS1334" s="4" t="s">
        <v>2878</v>
      </c>
      <c r="IGT1334" s="4" t="s">
        <v>2878</v>
      </c>
      <c r="IGU1334" s="4" t="s">
        <v>2878</v>
      </c>
      <c r="IGV1334" s="4" t="s">
        <v>2878</v>
      </c>
      <c r="IGW1334" s="4" t="s">
        <v>2878</v>
      </c>
      <c r="IGX1334" s="4" t="s">
        <v>2878</v>
      </c>
      <c r="IGY1334" s="4" t="s">
        <v>2878</v>
      </c>
      <c r="IGZ1334" s="4" t="s">
        <v>2878</v>
      </c>
      <c r="IHA1334" s="4" t="s">
        <v>2878</v>
      </c>
      <c r="IHB1334" s="4" t="s">
        <v>2878</v>
      </c>
      <c r="IHC1334" s="4" t="s">
        <v>2878</v>
      </c>
      <c r="IHD1334" s="4" t="s">
        <v>2878</v>
      </c>
      <c r="IHE1334" s="4" t="s">
        <v>2878</v>
      </c>
      <c r="IHF1334" s="4" t="s">
        <v>2878</v>
      </c>
      <c r="IHG1334" s="4" t="s">
        <v>2878</v>
      </c>
      <c r="IHH1334" s="4" t="s">
        <v>2878</v>
      </c>
      <c r="IHI1334" s="4" t="s">
        <v>2878</v>
      </c>
      <c r="IHJ1334" s="4" t="s">
        <v>2878</v>
      </c>
      <c r="IHK1334" s="4" t="s">
        <v>2878</v>
      </c>
      <c r="IHL1334" s="4" t="s">
        <v>2878</v>
      </c>
      <c r="IHM1334" s="4" t="s">
        <v>2878</v>
      </c>
      <c r="IHN1334" s="4" t="s">
        <v>2878</v>
      </c>
      <c r="IHO1334" s="4" t="s">
        <v>2878</v>
      </c>
      <c r="IHP1334" s="4" t="s">
        <v>2878</v>
      </c>
      <c r="IHQ1334" s="4" t="s">
        <v>2878</v>
      </c>
      <c r="IHR1334" s="4" t="s">
        <v>2878</v>
      </c>
      <c r="IHS1334" s="4" t="s">
        <v>2878</v>
      </c>
      <c r="IHT1334" s="4" t="s">
        <v>2878</v>
      </c>
      <c r="IHU1334" s="4" t="s">
        <v>2878</v>
      </c>
      <c r="IHV1334" s="4" t="s">
        <v>2878</v>
      </c>
      <c r="IHW1334" s="4" t="s">
        <v>2878</v>
      </c>
      <c r="IHX1334" s="4" t="s">
        <v>2878</v>
      </c>
      <c r="IHY1334" s="4" t="s">
        <v>2878</v>
      </c>
      <c r="IHZ1334" s="4" t="s">
        <v>2878</v>
      </c>
      <c r="IIA1334" s="4" t="s">
        <v>2878</v>
      </c>
      <c r="IIB1334" s="4" t="s">
        <v>2878</v>
      </c>
      <c r="IIC1334" s="4" t="s">
        <v>2878</v>
      </c>
      <c r="IID1334" s="4" t="s">
        <v>2878</v>
      </c>
      <c r="IIE1334" s="4" t="s">
        <v>2878</v>
      </c>
      <c r="IIF1334" s="4" t="s">
        <v>2878</v>
      </c>
      <c r="IIG1334" s="4" t="s">
        <v>2878</v>
      </c>
      <c r="IIH1334" s="4" t="s">
        <v>2878</v>
      </c>
      <c r="III1334" s="4" t="s">
        <v>2878</v>
      </c>
      <c r="IIJ1334" s="4" t="s">
        <v>2878</v>
      </c>
      <c r="IIK1334" s="4" t="s">
        <v>2878</v>
      </c>
      <c r="IIL1334" s="4" t="s">
        <v>2878</v>
      </c>
      <c r="IIM1334" s="4" t="s">
        <v>2878</v>
      </c>
      <c r="IIN1334" s="4" t="s">
        <v>2878</v>
      </c>
      <c r="IIO1334" s="4" t="s">
        <v>2878</v>
      </c>
      <c r="IIP1334" s="4" t="s">
        <v>2878</v>
      </c>
      <c r="IIQ1334" s="4" t="s">
        <v>2878</v>
      </c>
      <c r="IIR1334" s="4" t="s">
        <v>2878</v>
      </c>
      <c r="IIS1334" s="4" t="s">
        <v>2878</v>
      </c>
      <c r="IIT1334" s="4" t="s">
        <v>2878</v>
      </c>
      <c r="IIU1334" s="4" t="s">
        <v>2878</v>
      </c>
      <c r="IIV1334" s="4" t="s">
        <v>2878</v>
      </c>
      <c r="IIW1334" s="4" t="s">
        <v>2878</v>
      </c>
      <c r="IIX1334" s="4" t="s">
        <v>2878</v>
      </c>
      <c r="IIY1334" s="4" t="s">
        <v>2878</v>
      </c>
      <c r="IIZ1334" s="4" t="s">
        <v>2878</v>
      </c>
      <c r="IJA1334" s="4" t="s">
        <v>2878</v>
      </c>
      <c r="IJB1334" s="4" t="s">
        <v>2878</v>
      </c>
      <c r="IJC1334" s="4" t="s">
        <v>2878</v>
      </c>
      <c r="IJD1334" s="4" t="s">
        <v>2878</v>
      </c>
      <c r="IJE1334" s="4" t="s">
        <v>2878</v>
      </c>
      <c r="IJF1334" s="4" t="s">
        <v>2878</v>
      </c>
      <c r="IJG1334" s="4" t="s">
        <v>2878</v>
      </c>
      <c r="IJH1334" s="4" t="s">
        <v>2878</v>
      </c>
      <c r="IJI1334" s="4" t="s">
        <v>2878</v>
      </c>
      <c r="IJJ1334" s="4" t="s">
        <v>2878</v>
      </c>
      <c r="IJK1334" s="4" t="s">
        <v>2878</v>
      </c>
      <c r="IJL1334" s="4" t="s">
        <v>2878</v>
      </c>
      <c r="IJM1334" s="4" t="s">
        <v>2878</v>
      </c>
      <c r="IJN1334" s="4" t="s">
        <v>2878</v>
      </c>
      <c r="IJO1334" s="4" t="s">
        <v>2878</v>
      </c>
      <c r="IJP1334" s="4" t="s">
        <v>2878</v>
      </c>
      <c r="IJQ1334" s="4" t="s">
        <v>2878</v>
      </c>
      <c r="IJR1334" s="4" t="s">
        <v>2878</v>
      </c>
      <c r="IJS1334" s="4" t="s">
        <v>2878</v>
      </c>
      <c r="IJT1334" s="4" t="s">
        <v>2878</v>
      </c>
      <c r="IJU1334" s="4" t="s">
        <v>2878</v>
      </c>
      <c r="IJV1334" s="4" t="s">
        <v>2878</v>
      </c>
      <c r="IJW1334" s="4" t="s">
        <v>2878</v>
      </c>
      <c r="IJX1334" s="4" t="s">
        <v>2878</v>
      </c>
      <c r="IJY1334" s="4" t="s">
        <v>2878</v>
      </c>
      <c r="IJZ1334" s="4" t="s">
        <v>2878</v>
      </c>
      <c r="IKA1334" s="4" t="s">
        <v>2878</v>
      </c>
      <c r="IKB1334" s="4" t="s">
        <v>2878</v>
      </c>
      <c r="IKC1334" s="4" t="s">
        <v>2878</v>
      </c>
      <c r="IKD1334" s="4" t="s">
        <v>2878</v>
      </c>
      <c r="IKE1334" s="4" t="s">
        <v>2878</v>
      </c>
      <c r="IKF1334" s="4" t="s">
        <v>2878</v>
      </c>
      <c r="IKG1334" s="4" t="s">
        <v>2878</v>
      </c>
      <c r="IKH1334" s="4" t="s">
        <v>2878</v>
      </c>
      <c r="IKI1334" s="4" t="s">
        <v>2878</v>
      </c>
      <c r="IKJ1334" s="4" t="s">
        <v>2878</v>
      </c>
      <c r="IKK1334" s="4" t="s">
        <v>2878</v>
      </c>
      <c r="IKL1334" s="4" t="s">
        <v>2878</v>
      </c>
      <c r="IKM1334" s="4" t="s">
        <v>2878</v>
      </c>
      <c r="IKN1334" s="4" t="s">
        <v>2878</v>
      </c>
      <c r="IKO1334" s="4" t="s">
        <v>2878</v>
      </c>
      <c r="IKP1334" s="4" t="s">
        <v>2878</v>
      </c>
      <c r="IKQ1334" s="4" t="s">
        <v>2878</v>
      </c>
      <c r="IKR1334" s="4" t="s">
        <v>2878</v>
      </c>
      <c r="IKS1334" s="4" t="s">
        <v>2878</v>
      </c>
      <c r="IKT1334" s="4" t="s">
        <v>2878</v>
      </c>
      <c r="IKU1334" s="4" t="s">
        <v>2878</v>
      </c>
      <c r="IKV1334" s="4" t="s">
        <v>2878</v>
      </c>
      <c r="IKW1334" s="4" t="s">
        <v>2878</v>
      </c>
      <c r="IKX1334" s="4" t="s">
        <v>2878</v>
      </c>
      <c r="IKY1334" s="4" t="s">
        <v>2878</v>
      </c>
      <c r="IKZ1334" s="4" t="s">
        <v>2878</v>
      </c>
      <c r="ILA1334" s="4" t="s">
        <v>2878</v>
      </c>
      <c r="ILB1334" s="4" t="s">
        <v>2878</v>
      </c>
      <c r="ILC1334" s="4" t="s">
        <v>2878</v>
      </c>
      <c r="ILD1334" s="4" t="s">
        <v>2878</v>
      </c>
      <c r="ILE1334" s="4" t="s">
        <v>2878</v>
      </c>
      <c r="ILF1334" s="4" t="s">
        <v>2878</v>
      </c>
      <c r="ILG1334" s="4" t="s">
        <v>2878</v>
      </c>
      <c r="ILH1334" s="4" t="s">
        <v>2878</v>
      </c>
      <c r="ILI1334" s="4" t="s">
        <v>2878</v>
      </c>
      <c r="ILJ1334" s="4" t="s">
        <v>2878</v>
      </c>
      <c r="ILK1334" s="4" t="s">
        <v>2878</v>
      </c>
      <c r="ILL1334" s="4" t="s">
        <v>2878</v>
      </c>
      <c r="ILM1334" s="4" t="s">
        <v>2878</v>
      </c>
      <c r="ILN1334" s="4" t="s">
        <v>2878</v>
      </c>
      <c r="ILO1334" s="4" t="s">
        <v>2878</v>
      </c>
      <c r="ILP1334" s="4" t="s">
        <v>2878</v>
      </c>
      <c r="ILQ1334" s="4" t="s">
        <v>2878</v>
      </c>
      <c r="ILR1334" s="4" t="s">
        <v>2878</v>
      </c>
      <c r="ILS1334" s="4" t="s">
        <v>2878</v>
      </c>
      <c r="ILT1334" s="4" t="s">
        <v>2878</v>
      </c>
      <c r="ILU1334" s="4" t="s">
        <v>2878</v>
      </c>
      <c r="ILV1334" s="4" t="s">
        <v>2878</v>
      </c>
      <c r="ILW1334" s="4" t="s">
        <v>2878</v>
      </c>
      <c r="ILX1334" s="4" t="s">
        <v>2878</v>
      </c>
      <c r="ILY1334" s="4" t="s">
        <v>2878</v>
      </c>
      <c r="ILZ1334" s="4" t="s">
        <v>2878</v>
      </c>
      <c r="IMA1334" s="4" t="s">
        <v>2878</v>
      </c>
      <c r="IMB1334" s="4" t="s">
        <v>2878</v>
      </c>
      <c r="IMC1334" s="4" t="s">
        <v>2878</v>
      </c>
      <c r="IMD1334" s="4" t="s">
        <v>2878</v>
      </c>
      <c r="IME1334" s="4" t="s">
        <v>2878</v>
      </c>
      <c r="IMF1334" s="4" t="s">
        <v>2878</v>
      </c>
      <c r="IMG1334" s="4" t="s">
        <v>2878</v>
      </c>
      <c r="IMH1334" s="4" t="s">
        <v>2878</v>
      </c>
      <c r="IMI1334" s="4" t="s">
        <v>2878</v>
      </c>
      <c r="IMJ1334" s="4" t="s">
        <v>2878</v>
      </c>
      <c r="IMK1334" s="4" t="s">
        <v>2878</v>
      </c>
      <c r="IML1334" s="4" t="s">
        <v>2878</v>
      </c>
      <c r="IMM1334" s="4" t="s">
        <v>2878</v>
      </c>
      <c r="IMN1334" s="4" t="s">
        <v>2878</v>
      </c>
      <c r="IMO1334" s="4" t="s">
        <v>2878</v>
      </c>
      <c r="IMP1334" s="4" t="s">
        <v>2878</v>
      </c>
      <c r="IMQ1334" s="4" t="s">
        <v>2878</v>
      </c>
      <c r="IMR1334" s="4" t="s">
        <v>2878</v>
      </c>
      <c r="IMS1334" s="4" t="s">
        <v>2878</v>
      </c>
      <c r="IMT1334" s="4" t="s">
        <v>2878</v>
      </c>
      <c r="IMU1334" s="4" t="s">
        <v>2878</v>
      </c>
      <c r="IMV1334" s="4" t="s">
        <v>2878</v>
      </c>
      <c r="IMW1334" s="4" t="s">
        <v>2878</v>
      </c>
      <c r="IMX1334" s="4" t="s">
        <v>2878</v>
      </c>
      <c r="IMY1334" s="4" t="s">
        <v>2878</v>
      </c>
      <c r="IMZ1334" s="4" t="s">
        <v>2878</v>
      </c>
      <c r="INA1334" s="4" t="s">
        <v>2878</v>
      </c>
      <c r="INB1334" s="4" t="s">
        <v>2878</v>
      </c>
      <c r="INC1334" s="4" t="s">
        <v>2878</v>
      </c>
      <c r="IND1334" s="4" t="s">
        <v>2878</v>
      </c>
      <c r="INE1334" s="4" t="s">
        <v>2878</v>
      </c>
      <c r="INF1334" s="4" t="s">
        <v>2878</v>
      </c>
      <c r="ING1334" s="4" t="s">
        <v>2878</v>
      </c>
      <c r="INH1334" s="4" t="s">
        <v>2878</v>
      </c>
      <c r="INI1334" s="4" t="s">
        <v>2878</v>
      </c>
      <c r="INJ1334" s="4" t="s">
        <v>2878</v>
      </c>
      <c r="INK1334" s="4" t="s">
        <v>2878</v>
      </c>
      <c r="INL1334" s="4" t="s">
        <v>2878</v>
      </c>
      <c r="INM1334" s="4" t="s">
        <v>2878</v>
      </c>
      <c r="INN1334" s="4" t="s">
        <v>2878</v>
      </c>
      <c r="INO1334" s="4" t="s">
        <v>2878</v>
      </c>
      <c r="INP1334" s="4" t="s">
        <v>2878</v>
      </c>
      <c r="INQ1334" s="4" t="s">
        <v>2878</v>
      </c>
      <c r="INR1334" s="4" t="s">
        <v>2878</v>
      </c>
      <c r="INS1334" s="4" t="s">
        <v>2878</v>
      </c>
      <c r="INT1334" s="4" t="s">
        <v>2878</v>
      </c>
      <c r="INU1334" s="4" t="s">
        <v>2878</v>
      </c>
      <c r="INV1334" s="4" t="s">
        <v>2878</v>
      </c>
      <c r="INW1334" s="4" t="s">
        <v>2878</v>
      </c>
      <c r="INX1334" s="4" t="s">
        <v>2878</v>
      </c>
      <c r="INY1334" s="4" t="s">
        <v>2878</v>
      </c>
      <c r="INZ1334" s="4" t="s">
        <v>2878</v>
      </c>
      <c r="IOA1334" s="4" t="s">
        <v>2878</v>
      </c>
      <c r="IOB1334" s="4" t="s">
        <v>2878</v>
      </c>
      <c r="IOC1334" s="4" t="s">
        <v>2878</v>
      </c>
      <c r="IOD1334" s="4" t="s">
        <v>2878</v>
      </c>
      <c r="IOE1334" s="4" t="s">
        <v>2878</v>
      </c>
      <c r="IOF1334" s="4" t="s">
        <v>2878</v>
      </c>
      <c r="IOG1334" s="4" t="s">
        <v>2878</v>
      </c>
      <c r="IOH1334" s="4" t="s">
        <v>2878</v>
      </c>
      <c r="IOI1334" s="4" t="s">
        <v>2878</v>
      </c>
      <c r="IOJ1334" s="4" t="s">
        <v>2878</v>
      </c>
      <c r="IOK1334" s="4" t="s">
        <v>2878</v>
      </c>
      <c r="IOL1334" s="4" t="s">
        <v>2878</v>
      </c>
      <c r="IOM1334" s="4" t="s">
        <v>2878</v>
      </c>
      <c r="ION1334" s="4" t="s">
        <v>2878</v>
      </c>
      <c r="IOO1334" s="4" t="s">
        <v>2878</v>
      </c>
      <c r="IOP1334" s="4" t="s">
        <v>2878</v>
      </c>
      <c r="IOQ1334" s="4" t="s">
        <v>2878</v>
      </c>
      <c r="IOR1334" s="4" t="s">
        <v>2878</v>
      </c>
      <c r="IOS1334" s="4" t="s">
        <v>2878</v>
      </c>
      <c r="IOT1334" s="4" t="s">
        <v>2878</v>
      </c>
      <c r="IOU1334" s="4" t="s">
        <v>2878</v>
      </c>
      <c r="IOV1334" s="4" t="s">
        <v>2878</v>
      </c>
      <c r="IOW1334" s="4" t="s">
        <v>2878</v>
      </c>
      <c r="IOX1334" s="4" t="s">
        <v>2878</v>
      </c>
      <c r="IOY1334" s="4" t="s">
        <v>2878</v>
      </c>
      <c r="IOZ1334" s="4" t="s">
        <v>2878</v>
      </c>
      <c r="IPA1334" s="4" t="s">
        <v>2878</v>
      </c>
      <c r="IPB1334" s="4" t="s">
        <v>2878</v>
      </c>
      <c r="IPC1334" s="4" t="s">
        <v>2878</v>
      </c>
      <c r="IPD1334" s="4" t="s">
        <v>2878</v>
      </c>
      <c r="IPE1334" s="4" t="s">
        <v>2878</v>
      </c>
      <c r="IPF1334" s="4" t="s">
        <v>2878</v>
      </c>
      <c r="IPG1334" s="4" t="s">
        <v>2878</v>
      </c>
      <c r="IPH1334" s="4" t="s">
        <v>2878</v>
      </c>
      <c r="IPI1334" s="4" t="s">
        <v>2878</v>
      </c>
      <c r="IPJ1334" s="4" t="s">
        <v>2878</v>
      </c>
      <c r="IPK1334" s="4" t="s">
        <v>2878</v>
      </c>
      <c r="IPL1334" s="4" t="s">
        <v>2878</v>
      </c>
      <c r="IPM1334" s="4" t="s">
        <v>2878</v>
      </c>
      <c r="IPN1334" s="4" t="s">
        <v>2878</v>
      </c>
      <c r="IPO1334" s="4" t="s">
        <v>2878</v>
      </c>
      <c r="IPP1334" s="4" t="s">
        <v>2878</v>
      </c>
      <c r="IPQ1334" s="4" t="s">
        <v>2878</v>
      </c>
      <c r="IPR1334" s="4" t="s">
        <v>2878</v>
      </c>
      <c r="IPS1334" s="4" t="s">
        <v>2878</v>
      </c>
      <c r="IPT1334" s="4" t="s">
        <v>2878</v>
      </c>
      <c r="IPU1334" s="4" t="s">
        <v>2878</v>
      </c>
      <c r="IPV1334" s="4" t="s">
        <v>2878</v>
      </c>
      <c r="IPW1334" s="4" t="s">
        <v>2878</v>
      </c>
      <c r="IPX1334" s="4" t="s">
        <v>2878</v>
      </c>
      <c r="IPY1334" s="4" t="s">
        <v>2878</v>
      </c>
      <c r="IPZ1334" s="4" t="s">
        <v>2878</v>
      </c>
      <c r="IQA1334" s="4" t="s">
        <v>2878</v>
      </c>
      <c r="IQB1334" s="4" t="s">
        <v>2878</v>
      </c>
      <c r="IQC1334" s="4" t="s">
        <v>2878</v>
      </c>
      <c r="IQD1334" s="4" t="s">
        <v>2878</v>
      </c>
      <c r="IQE1334" s="4" t="s">
        <v>2878</v>
      </c>
      <c r="IQF1334" s="4" t="s">
        <v>2878</v>
      </c>
      <c r="IQG1334" s="4" t="s">
        <v>2878</v>
      </c>
      <c r="IQH1334" s="4" t="s">
        <v>2878</v>
      </c>
      <c r="IQI1334" s="4" t="s">
        <v>2878</v>
      </c>
      <c r="IQJ1334" s="4" t="s">
        <v>2878</v>
      </c>
      <c r="IQK1334" s="4" t="s">
        <v>2878</v>
      </c>
      <c r="IQL1334" s="4" t="s">
        <v>2878</v>
      </c>
      <c r="IQM1334" s="4" t="s">
        <v>2878</v>
      </c>
      <c r="IQN1334" s="4" t="s">
        <v>2878</v>
      </c>
      <c r="IQO1334" s="4" t="s">
        <v>2878</v>
      </c>
      <c r="IQP1334" s="4" t="s">
        <v>2878</v>
      </c>
      <c r="IQQ1334" s="4" t="s">
        <v>2878</v>
      </c>
      <c r="IQR1334" s="4" t="s">
        <v>2878</v>
      </c>
      <c r="IQS1334" s="4" t="s">
        <v>2878</v>
      </c>
      <c r="IQT1334" s="4" t="s">
        <v>2878</v>
      </c>
      <c r="IQU1334" s="4" t="s">
        <v>2878</v>
      </c>
      <c r="IQV1334" s="4" t="s">
        <v>2878</v>
      </c>
      <c r="IQW1334" s="4" t="s">
        <v>2878</v>
      </c>
      <c r="IQX1334" s="4" t="s">
        <v>2878</v>
      </c>
      <c r="IQY1334" s="4" t="s">
        <v>2878</v>
      </c>
      <c r="IQZ1334" s="4" t="s">
        <v>2878</v>
      </c>
      <c r="IRA1334" s="4" t="s">
        <v>2878</v>
      </c>
      <c r="IRB1334" s="4" t="s">
        <v>2878</v>
      </c>
      <c r="IRC1334" s="4" t="s">
        <v>2878</v>
      </c>
      <c r="IRD1334" s="4" t="s">
        <v>2878</v>
      </c>
      <c r="IRE1334" s="4" t="s">
        <v>2878</v>
      </c>
      <c r="IRF1334" s="4" t="s">
        <v>2878</v>
      </c>
      <c r="IRG1334" s="4" t="s">
        <v>2878</v>
      </c>
      <c r="IRH1334" s="4" t="s">
        <v>2878</v>
      </c>
      <c r="IRI1334" s="4" t="s">
        <v>2878</v>
      </c>
      <c r="IRJ1334" s="4" t="s">
        <v>2878</v>
      </c>
      <c r="IRK1334" s="4" t="s">
        <v>2878</v>
      </c>
      <c r="IRL1334" s="4" t="s">
        <v>2878</v>
      </c>
      <c r="IRM1334" s="4" t="s">
        <v>2878</v>
      </c>
      <c r="IRN1334" s="4" t="s">
        <v>2878</v>
      </c>
      <c r="IRO1334" s="4" t="s">
        <v>2878</v>
      </c>
      <c r="IRP1334" s="4" t="s">
        <v>2878</v>
      </c>
      <c r="IRQ1334" s="4" t="s">
        <v>2878</v>
      </c>
      <c r="IRR1334" s="4" t="s">
        <v>2878</v>
      </c>
      <c r="IRS1334" s="4" t="s">
        <v>2878</v>
      </c>
      <c r="IRT1334" s="4" t="s">
        <v>2878</v>
      </c>
      <c r="IRU1334" s="4" t="s">
        <v>2878</v>
      </c>
      <c r="IRV1334" s="4" t="s">
        <v>2878</v>
      </c>
      <c r="IRW1334" s="4" t="s">
        <v>2878</v>
      </c>
      <c r="IRX1334" s="4" t="s">
        <v>2878</v>
      </c>
      <c r="IRY1334" s="4" t="s">
        <v>2878</v>
      </c>
      <c r="IRZ1334" s="4" t="s">
        <v>2878</v>
      </c>
      <c r="ISA1334" s="4" t="s">
        <v>2878</v>
      </c>
      <c r="ISB1334" s="4" t="s">
        <v>2878</v>
      </c>
      <c r="ISC1334" s="4" t="s">
        <v>2878</v>
      </c>
      <c r="ISD1334" s="4" t="s">
        <v>2878</v>
      </c>
      <c r="ISE1334" s="4" t="s">
        <v>2878</v>
      </c>
      <c r="ISF1334" s="4" t="s">
        <v>2878</v>
      </c>
      <c r="ISG1334" s="4" t="s">
        <v>2878</v>
      </c>
      <c r="ISH1334" s="4" t="s">
        <v>2878</v>
      </c>
      <c r="ISI1334" s="4" t="s">
        <v>2878</v>
      </c>
      <c r="ISJ1334" s="4" t="s">
        <v>2878</v>
      </c>
      <c r="ISK1334" s="4" t="s">
        <v>2878</v>
      </c>
      <c r="ISL1334" s="4" t="s">
        <v>2878</v>
      </c>
      <c r="ISM1334" s="4" t="s">
        <v>2878</v>
      </c>
      <c r="ISN1334" s="4" t="s">
        <v>2878</v>
      </c>
      <c r="ISO1334" s="4" t="s">
        <v>2878</v>
      </c>
      <c r="ISP1334" s="4" t="s">
        <v>2878</v>
      </c>
      <c r="ISQ1334" s="4" t="s">
        <v>2878</v>
      </c>
      <c r="ISR1334" s="4" t="s">
        <v>2878</v>
      </c>
      <c r="ISS1334" s="4" t="s">
        <v>2878</v>
      </c>
      <c r="IST1334" s="4" t="s">
        <v>2878</v>
      </c>
      <c r="ISU1334" s="4" t="s">
        <v>2878</v>
      </c>
      <c r="ISV1334" s="4" t="s">
        <v>2878</v>
      </c>
      <c r="ISW1334" s="4" t="s">
        <v>2878</v>
      </c>
      <c r="ISX1334" s="4" t="s">
        <v>2878</v>
      </c>
      <c r="ISY1334" s="4" t="s">
        <v>2878</v>
      </c>
      <c r="ISZ1334" s="4" t="s">
        <v>2878</v>
      </c>
      <c r="ITA1334" s="4" t="s">
        <v>2878</v>
      </c>
      <c r="ITB1334" s="4" t="s">
        <v>2878</v>
      </c>
      <c r="ITC1334" s="4" t="s">
        <v>2878</v>
      </c>
      <c r="ITD1334" s="4" t="s">
        <v>2878</v>
      </c>
      <c r="ITE1334" s="4" t="s">
        <v>2878</v>
      </c>
      <c r="ITF1334" s="4" t="s">
        <v>2878</v>
      </c>
      <c r="ITG1334" s="4" t="s">
        <v>2878</v>
      </c>
      <c r="ITH1334" s="4" t="s">
        <v>2878</v>
      </c>
      <c r="ITI1334" s="4" t="s">
        <v>2878</v>
      </c>
      <c r="ITJ1334" s="4" t="s">
        <v>2878</v>
      </c>
      <c r="ITK1334" s="4" t="s">
        <v>2878</v>
      </c>
      <c r="ITL1334" s="4" t="s">
        <v>2878</v>
      </c>
      <c r="ITM1334" s="4" t="s">
        <v>2878</v>
      </c>
      <c r="ITN1334" s="4" t="s">
        <v>2878</v>
      </c>
      <c r="ITO1334" s="4" t="s">
        <v>2878</v>
      </c>
      <c r="ITP1334" s="4" t="s">
        <v>2878</v>
      </c>
      <c r="ITQ1334" s="4" t="s">
        <v>2878</v>
      </c>
      <c r="ITR1334" s="4" t="s">
        <v>2878</v>
      </c>
      <c r="ITS1334" s="4" t="s">
        <v>2878</v>
      </c>
      <c r="ITT1334" s="4" t="s">
        <v>2878</v>
      </c>
      <c r="ITU1334" s="4" t="s">
        <v>2878</v>
      </c>
      <c r="ITV1334" s="4" t="s">
        <v>2878</v>
      </c>
      <c r="ITW1334" s="4" t="s">
        <v>2878</v>
      </c>
      <c r="ITX1334" s="4" t="s">
        <v>2878</v>
      </c>
      <c r="ITY1334" s="4" t="s">
        <v>2878</v>
      </c>
      <c r="ITZ1334" s="4" t="s">
        <v>2878</v>
      </c>
      <c r="IUA1334" s="4" t="s">
        <v>2878</v>
      </c>
      <c r="IUB1334" s="4" t="s">
        <v>2878</v>
      </c>
      <c r="IUC1334" s="4" t="s">
        <v>2878</v>
      </c>
      <c r="IUD1334" s="4" t="s">
        <v>2878</v>
      </c>
      <c r="IUE1334" s="4" t="s">
        <v>2878</v>
      </c>
      <c r="IUF1334" s="4" t="s">
        <v>2878</v>
      </c>
      <c r="IUG1334" s="4" t="s">
        <v>2878</v>
      </c>
      <c r="IUH1334" s="4" t="s">
        <v>2878</v>
      </c>
      <c r="IUI1334" s="4" t="s">
        <v>2878</v>
      </c>
      <c r="IUJ1334" s="4" t="s">
        <v>2878</v>
      </c>
      <c r="IUK1334" s="4" t="s">
        <v>2878</v>
      </c>
      <c r="IUL1334" s="4" t="s">
        <v>2878</v>
      </c>
      <c r="IUM1334" s="4" t="s">
        <v>2878</v>
      </c>
      <c r="IUN1334" s="4" t="s">
        <v>2878</v>
      </c>
      <c r="IUO1334" s="4" t="s">
        <v>2878</v>
      </c>
      <c r="IUP1334" s="4" t="s">
        <v>2878</v>
      </c>
      <c r="IUQ1334" s="4" t="s">
        <v>2878</v>
      </c>
      <c r="IUR1334" s="4" t="s">
        <v>2878</v>
      </c>
      <c r="IUS1334" s="4" t="s">
        <v>2878</v>
      </c>
      <c r="IUT1334" s="4" t="s">
        <v>2878</v>
      </c>
      <c r="IUU1334" s="4" t="s">
        <v>2878</v>
      </c>
      <c r="IUV1334" s="4" t="s">
        <v>2878</v>
      </c>
      <c r="IUW1334" s="4" t="s">
        <v>2878</v>
      </c>
      <c r="IUX1334" s="4" t="s">
        <v>2878</v>
      </c>
      <c r="IUY1334" s="4" t="s">
        <v>2878</v>
      </c>
      <c r="IUZ1334" s="4" t="s">
        <v>2878</v>
      </c>
      <c r="IVA1334" s="4" t="s">
        <v>2878</v>
      </c>
      <c r="IVB1334" s="4" t="s">
        <v>2878</v>
      </c>
      <c r="IVC1334" s="4" t="s">
        <v>2878</v>
      </c>
      <c r="IVD1334" s="4" t="s">
        <v>2878</v>
      </c>
      <c r="IVE1334" s="4" t="s">
        <v>2878</v>
      </c>
      <c r="IVF1334" s="4" t="s">
        <v>2878</v>
      </c>
      <c r="IVG1334" s="4" t="s">
        <v>2878</v>
      </c>
      <c r="IVH1334" s="4" t="s">
        <v>2878</v>
      </c>
      <c r="IVI1334" s="4" t="s">
        <v>2878</v>
      </c>
      <c r="IVJ1334" s="4" t="s">
        <v>2878</v>
      </c>
      <c r="IVK1334" s="4" t="s">
        <v>2878</v>
      </c>
      <c r="IVL1334" s="4" t="s">
        <v>2878</v>
      </c>
      <c r="IVM1334" s="4" t="s">
        <v>2878</v>
      </c>
      <c r="IVN1334" s="4" t="s">
        <v>2878</v>
      </c>
      <c r="IVO1334" s="4" t="s">
        <v>2878</v>
      </c>
      <c r="IVP1334" s="4" t="s">
        <v>2878</v>
      </c>
      <c r="IVQ1334" s="4" t="s">
        <v>2878</v>
      </c>
      <c r="IVR1334" s="4" t="s">
        <v>2878</v>
      </c>
      <c r="IVS1334" s="4" t="s">
        <v>2878</v>
      </c>
      <c r="IVT1334" s="4" t="s">
        <v>2878</v>
      </c>
      <c r="IVU1334" s="4" t="s">
        <v>2878</v>
      </c>
      <c r="IVV1334" s="4" t="s">
        <v>2878</v>
      </c>
      <c r="IVW1334" s="4" t="s">
        <v>2878</v>
      </c>
      <c r="IVX1334" s="4" t="s">
        <v>2878</v>
      </c>
      <c r="IVY1334" s="4" t="s">
        <v>2878</v>
      </c>
      <c r="IVZ1334" s="4" t="s">
        <v>2878</v>
      </c>
      <c r="IWA1334" s="4" t="s">
        <v>2878</v>
      </c>
      <c r="IWB1334" s="4" t="s">
        <v>2878</v>
      </c>
      <c r="IWC1334" s="4" t="s">
        <v>2878</v>
      </c>
      <c r="IWD1334" s="4" t="s">
        <v>2878</v>
      </c>
      <c r="IWE1334" s="4" t="s">
        <v>2878</v>
      </c>
      <c r="IWF1334" s="4" t="s">
        <v>2878</v>
      </c>
      <c r="IWG1334" s="4" t="s">
        <v>2878</v>
      </c>
      <c r="IWH1334" s="4" t="s">
        <v>2878</v>
      </c>
      <c r="IWI1334" s="4" t="s">
        <v>2878</v>
      </c>
      <c r="IWJ1334" s="4" t="s">
        <v>2878</v>
      </c>
      <c r="IWK1334" s="4" t="s">
        <v>2878</v>
      </c>
      <c r="IWL1334" s="4" t="s">
        <v>2878</v>
      </c>
      <c r="IWM1334" s="4" t="s">
        <v>2878</v>
      </c>
      <c r="IWN1334" s="4" t="s">
        <v>2878</v>
      </c>
      <c r="IWO1334" s="4" t="s">
        <v>2878</v>
      </c>
      <c r="IWP1334" s="4" t="s">
        <v>2878</v>
      </c>
      <c r="IWQ1334" s="4" t="s">
        <v>2878</v>
      </c>
      <c r="IWR1334" s="4" t="s">
        <v>2878</v>
      </c>
      <c r="IWS1334" s="4" t="s">
        <v>2878</v>
      </c>
      <c r="IWT1334" s="4" t="s">
        <v>2878</v>
      </c>
      <c r="IWU1334" s="4" t="s">
        <v>2878</v>
      </c>
      <c r="IWV1334" s="4" t="s">
        <v>2878</v>
      </c>
      <c r="IWW1334" s="4" t="s">
        <v>2878</v>
      </c>
      <c r="IWX1334" s="4" t="s">
        <v>2878</v>
      </c>
      <c r="IWY1334" s="4" t="s">
        <v>2878</v>
      </c>
      <c r="IWZ1334" s="4" t="s">
        <v>2878</v>
      </c>
      <c r="IXA1334" s="4" t="s">
        <v>2878</v>
      </c>
      <c r="IXB1334" s="4" t="s">
        <v>2878</v>
      </c>
      <c r="IXC1334" s="4" t="s">
        <v>2878</v>
      </c>
      <c r="IXD1334" s="4" t="s">
        <v>2878</v>
      </c>
      <c r="IXE1334" s="4" t="s">
        <v>2878</v>
      </c>
      <c r="IXF1334" s="4" t="s">
        <v>2878</v>
      </c>
      <c r="IXG1334" s="4" t="s">
        <v>2878</v>
      </c>
      <c r="IXH1334" s="4" t="s">
        <v>2878</v>
      </c>
      <c r="IXI1334" s="4" t="s">
        <v>2878</v>
      </c>
      <c r="IXJ1334" s="4" t="s">
        <v>2878</v>
      </c>
      <c r="IXK1334" s="4" t="s">
        <v>2878</v>
      </c>
      <c r="IXL1334" s="4" t="s">
        <v>2878</v>
      </c>
      <c r="IXM1334" s="4" t="s">
        <v>2878</v>
      </c>
      <c r="IXN1334" s="4" t="s">
        <v>2878</v>
      </c>
      <c r="IXO1334" s="4" t="s">
        <v>2878</v>
      </c>
      <c r="IXP1334" s="4" t="s">
        <v>2878</v>
      </c>
      <c r="IXQ1334" s="4" t="s">
        <v>2878</v>
      </c>
      <c r="IXR1334" s="4" t="s">
        <v>2878</v>
      </c>
      <c r="IXS1334" s="4" t="s">
        <v>2878</v>
      </c>
      <c r="IXT1334" s="4" t="s">
        <v>2878</v>
      </c>
      <c r="IXU1334" s="4" t="s">
        <v>2878</v>
      </c>
      <c r="IXV1334" s="4" t="s">
        <v>2878</v>
      </c>
      <c r="IXW1334" s="4" t="s">
        <v>2878</v>
      </c>
      <c r="IXX1334" s="4" t="s">
        <v>2878</v>
      </c>
      <c r="IXY1334" s="4" t="s">
        <v>2878</v>
      </c>
      <c r="IXZ1334" s="4" t="s">
        <v>2878</v>
      </c>
      <c r="IYA1334" s="4" t="s">
        <v>2878</v>
      </c>
      <c r="IYB1334" s="4" t="s">
        <v>2878</v>
      </c>
      <c r="IYC1334" s="4" t="s">
        <v>2878</v>
      </c>
      <c r="IYD1334" s="4" t="s">
        <v>2878</v>
      </c>
      <c r="IYE1334" s="4" t="s">
        <v>2878</v>
      </c>
      <c r="IYF1334" s="4" t="s">
        <v>2878</v>
      </c>
      <c r="IYG1334" s="4" t="s">
        <v>2878</v>
      </c>
      <c r="IYH1334" s="4" t="s">
        <v>2878</v>
      </c>
      <c r="IYI1334" s="4" t="s">
        <v>2878</v>
      </c>
      <c r="IYJ1334" s="4" t="s">
        <v>2878</v>
      </c>
      <c r="IYK1334" s="4" t="s">
        <v>2878</v>
      </c>
      <c r="IYL1334" s="4" t="s">
        <v>2878</v>
      </c>
      <c r="IYM1334" s="4" t="s">
        <v>2878</v>
      </c>
      <c r="IYN1334" s="4" t="s">
        <v>2878</v>
      </c>
      <c r="IYO1334" s="4" t="s">
        <v>2878</v>
      </c>
      <c r="IYP1334" s="4" t="s">
        <v>2878</v>
      </c>
      <c r="IYQ1334" s="4" t="s">
        <v>2878</v>
      </c>
      <c r="IYR1334" s="4" t="s">
        <v>2878</v>
      </c>
      <c r="IYS1334" s="4" t="s">
        <v>2878</v>
      </c>
      <c r="IYT1334" s="4" t="s">
        <v>2878</v>
      </c>
      <c r="IYU1334" s="4" t="s">
        <v>2878</v>
      </c>
      <c r="IYV1334" s="4" t="s">
        <v>2878</v>
      </c>
      <c r="IYW1334" s="4" t="s">
        <v>2878</v>
      </c>
      <c r="IYX1334" s="4" t="s">
        <v>2878</v>
      </c>
      <c r="IYY1334" s="4" t="s">
        <v>2878</v>
      </c>
      <c r="IYZ1334" s="4" t="s">
        <v>2878</v>
      </c>
      <c r="IZA1334" s="4" t="s">
        <v>2878</v>
      </c>
      <c r="IZB1334" s="4" t="s">
        <v>2878</v>
      </c>
      <c r="IZC1334" s="4" t="s">
        <v>2878</v>
      </c>
      <c r="IZD1334" s="4" t="s">
        <v>2878</v>
      </c>
      <c r="IZE1334" s="4" t="s">
        <v>2878</v>
      </c>
      <c r="IZF1334" s="4" t="s">
        <v>2878</v>
      </c>
      <c r="IZG1334" s="4" t="s">
        <v>2878</v>
      </c>
      <c r="IZH1334" s="4" t="s">
        <v>2878</v>
      </c>
      <c r="IZI1334" s="4" t="s">
        <v>2878</v>
      </c>
      <c r="IZJ1334" s="4" t="s">
        <v>2878</v>
      </c>
      <c r="IZK1334" s="4" t="s">
        <v>2878</v>
      </c>
      <c r="IZL1334" s="4" t="s">
        <v>2878</v>
      </c>
      <c r="IZM1334" s="4" t="s">
        <v>2878</v>
      </c>
      <c r="IZN1334" s="4" t="s">
        <v>2878</v>
      </c>
      <c r="IZO1334" s="4" t="s">
        <v>2878</v>
      </c>
      <c r="IZP1334" s="4" t="s">
        <v>2878</v>
      </c>
      <c r="IZQ1334" s="4" t="s">
        <v>2878</v>
      </c>
      <c r="IZR1334" s="4" t="s">
        <v>2878</v>
      </c>
      <c r="IZS1334" s="4" t="s">
        <v>2878</v>
      </c>
      <c r="IZT1334" s="4" t="s">
        <v>2878</v>
      </c>
      <c r="IZU1334" s="4" t="s">
        <v>2878</v>
      </c>
      <c r="IZV1334" s="4" t="s">
        <v>2878</v>
      </c>
      <c r="IZW1334" s="4" t="s">
        <v>2878</v>
      </c>
      <c r="IZX1334" s="4" t="s">
        <v>2878</v>
      </c>
      <c r="IZY1334" s="4" t="s">
        <v>2878</v>
      </c>
      <c r="IZZ1334" s="4" t="s">
        <v>2878</v>
      </c>
      <c r="JAA1334" s="4" t="s">
        <v>2878</v>
      </c>
      <c r="JAB1334" s="4" t="s">
        <v>2878</v>
      </c>
      <c r="JAC1334" s="4" t="s">
        <v>2878</v>
      </c>
      <c r="JAD1334" s="4" t="s">
        <v>2878</v>
      </c>
      <c r="JAE1334" s="4" t="s">
        <v>2878</v>
      </c>
      <c r="JAF1334" s="4" t="s">
        <v>2878</v>
      </c>
      <c r="JAG1334" s="4" t="s">
        <v>2878</v>
      </c>
      <c r="JAH1334" s="4" t="s">
        <v>2878</v>
      </c>
      <c r="JAI1334" s="4" t="s">
        <v>2878</v>
      </c>
      <c r="JAJ1334" s="4" t="s">
        <v>2878</v>
      </c>
      <c r="JAK1334" s="4" t="s">
        <v>2878</v>
      </c>
      <c r="JAL1334" s="4" t="s">
        <v>2878</v>
      </c>
      <c r="JAM1334" s="4" t="s">
        <v>2878</v>
      </c>
      <c r="JAN1334" s="4" t="s">
        <v>2878</v>
      </c>
      <c r="JAO1334" s="4" t="s">
        <v>2878</v>
      </c>
      <c r="JAP1334" s="4" t="s">
        <v>2878</v>
      </c>
      <c r="JAQ1334" s="4" t="s">
        <v>2878</v>
      </c>
      <c r="JAR1334" s="4" t="s">
        <v>2878</v>
      </c>
      <c r="JAS1334" s="4" t="s">
        <v>2878</v>
      </c>
      <c r="JAT1334" s="4" t="s">
        <v>2878</v>
      </c>
      <c r="JAU1334" s="4" t="s">
        <v>2878</v>
      </c>
      <c r="JAV1334" s="4" t="s">
        <v>2878</v>
      </c>
      <c r="JAW1334" s="4" t="s">
        <v>2878</v>
      </c>
      <c r="JAX1334" s="4" t="s">
        <v>2878</v>
      </c>
      <c r="JAY1334" s="4" t="s">
        <v>2878</v>
      </c>
      <c r="JAZ1334" s="4" t="s">
        <v>2878</v>
      </c>
      <c r="JBA1334" s="4" t="s">
        <v>2878</v>
      </c>
      <c r="JBB1334" s="4" t="s">
        <v>2878</v>
      </c>
      <c r="JBC1334" s="4" t="s">
        <v>2878</v>
      </c>
      <c r="JBD1334" s="4" t="s">
        <v>2878</v>
      </c>
      <c r="JBE1334" s="4" t="s">
        <v>2878</v>
      </c>
      <c r="JBF1334" s="4" t="s">
        <v>2878</v>
      </c>
      <c r="JBG1334" s="4" t="s">
        <v>2878</v>
      </c>
      <c r="JBH1334" s="4" t="s">
        <v>2878</v>
      </c>
      <c r="JBI1334" s="4" t="s">
        <v>2878</v>
      </c>
      <c r="JBJ1334" s="4" t="s">
        <v>2878</v>
      </c>
      <c r="JBK1334" s="4" t="s">
        <v>2878</v>
      </c>
      <c r="JBL1334" s="4" t="s">
        <v>2878</v>
      </c>
      <c r="JBM1334" s="4" t="s">
        <v>2878</v>
      </c>
      <c r="JBN1334" s="4" t="s">
        <v>2878</v>
      </c>
      <c r="JBO1334" s="4" t="s">
        <v>2878</v>
      </c>
      <c r="JBP1334" s="4" t="s">
        <v>2878</v>
      </c>
      <c r="JBQ1334" s="4" t="s">
        <v>2878</v>
      </c>
      <c r="JBR1334" s="4" t="s">
        <v>2878</v>
      </c>
      <c r="JBS1334" s="4" t="s">
        <v>2878</v>
      </c>
      <c r="JBT1334" s="4" t="s">
        <v>2878</v>
      </c>
      <c r="JBU1334" s="4" t="s">
        <v>2878</v>
      </c>
      <c r="JBV1334" s="4" t="s">
        <v>2878</v>
      </c>
      <c r="JBW1334" s="4" t="s">
        <v>2878</v>
      </c>
      <c r="JBX1334" s="4" t="s">
        <v>2878</v>
      </c>
      <c r="JBY1334" s="4" t="s">
        <v>2878</v>
      </c>
      <c r="JBZ1334" s="4" t="s">
        <v>2878</v>
      </c>
      <c r="JCA1334" s="4" t="s">
        <v>2878</v>
      </c>
      <c r="JCB1334" s="4" t="s">
        <v>2878</v>
      </c>
      <c r="JCC1334" s="4" t="s">
        <v>2878</v>
      </c>
      <c r="JCD1334" s="4" t="s">
        <v>2878</v>
      </c>
      <c r="JCE1334" s="4" t="s">
        <v>2878</v>
      </c>
      <c r="JCF1334" s="4" t="s">
        <v>2878</v>
      </c>
      <c r="JCG1334" s="4" t="s">
        <v>2878</v>
      </c>
      <c r="JCH1334" s="4" t="s">
        <v>2878</v>
      </c>
      <c r="JCI1334" s="4" t="s">
        <v>2878</v>
      </c>
      <c r="JCJ1334" s="4" t="s">
        <v>2878</v>
      </c>
      <c r="JCK1334" s="4" t="s">
        <v>2878</v>
      </c>
      <c r="JCL1334" s="4" t="s">
        <v>2878</v>
      </c>
      <c r="JCM1334" s="4" t="s">
        <v>2878</v>
      </c>
      <c r="JCN1334" s="4" t="s">
        <v>2878</v>
      </c>
      <c r="JCO1334" s="4" t="s">
        <v>2878</v>
      </c>
      <c r="JCP1334" s="4" t="s">
        <v>2878</v>
      </c>
      <c r="JCQ1334" s="4" t="s">
        <v>2878</v>
      </c>
      <c r="JCR1334" s="4" t="s">
        <v>2878</v>
      </c>
      <c r="JCS1334" s="4" t="s">
        <v>2878</v>
      </c>
      <c r="JCT1334" s="4" t="s">
        <v>2878</v>
      </c>
      <c r="JCU1334" s="4" t="s">
        <v>2878</v>
      </c>
      <c r="JCV1334" s="4" t="s">
        <v>2878</v>
      </c>
      <c r="JCW1334" s="4" t="s">
        <v>2878</v>
      </c>
      <c r="JCX1334" s="4" t="s">
        <v>2878</v>
      </c>
      <c r="JCY1334" s="4" t="s">
        <v>2878</v>
      </c>
      <c r="JCZ1334" s="4" t="s">
        <v>2878</v>
      </c>
      <c r="JDA1334" s="4" t="s">
        <v>2878</v>
      </c>
      <c r="JDB1334" s="4" t="s">
        <v>2878</v>
      </c>
      <c r="JDC1334" s="4" t="s">
        <v>2878</v>
      </c>
      <c r="JDD1334" s="4" t="s">
        <v>2878</v>
      </c>
      <c r="JDE1334" s="4" t="s">
        <v>2878</v>
      </c>
      <c r="JDF1334" s="4" t="s">
        <v>2878</v>
      </c>
      <c r="JDG1334" s="4" t="s">
        <v>2878</v>
      </c>
      <c r="JDH1334" s="4" t="s">
        <v>2878</v>
      </c>
      <c r="JDI1334" s="4" t="s">
        <v>2878</v>
      </c>
      <c r="JDJ1334" s="4" t="s">
        <v>2878</v>
      </c>
      <c r="JDK1334" s="4" t="s">
        <v>2878</v>
      </c>
      <c r="JDL1334" s="4" t="s">
        <v>2878</v>
      </c>
      <c r="JDM1334" s="4" t="s">
        <v>2878</v>
      </c>
      <c r="JDN1334" s="4" t="s">
        <v>2878</v>
      </c>
      <c r="JDO1334" s="4" t="s">
        <v>2878</v>
      </c>
      <c r="JDP1334" s="4" t="s">
        <v>2878</v>
      </c>
      <c r="JDQ1334" s="4" t="s">
        <v>2878</v>
      </c>
      <c r="JDR1334" s="4" t="s">
        <v>2878</v>
      </c>
      <c r="JDS1334" s="4" t="s">
        <v>2878</v>
      </c>
      <c r="JDT1334" s="4" t="s">
        <v>2878</v>
      </c>
      <c r="JDU1334" s="4" t="s">
        <v>2878</v>
      </c>
      <c r="JDV1334" s="4" t="s">
        <v>2878</v>
      </c>
      <c r="JDW1334" s="4" t="s">
        <v>2878</v>
      </c>
      <c r="JDX1334" s="4" t="s">
        <v>2878</v>
      </c>
      <c r="JDY1334" s="4" t="s">
        <v>2878</v>
      </c>
      <c r="JDZ1334" s="4" t="s">
        <v>2878</v>
      </c>
      <c r="JEA1334" s="4" t="s">
        <v>2878</v>
      </c>
      <c r="JEB1334" s="4" t="s">
        <v>2878</v>
      </c>
      <c r="JEC1334" s="4" t="s">
        <v>2878</v>
      </c>
      <c r="JED1334" s="4" t="s">
        <v>2878</v>
      </c>
      <c r="JEE1334" s="4" t="s">
        <v>2878</v>
      </c>
      <c r="JEF1334" s="4" t="s">
        <v>2878</v>
      </c>
      <c r="JEG1334" s="4" t="s">
        <v>2878</v>
      </c>
      <c r="JEH1334" s="4" t="s">
        <v>2878</v>
      </c>
      <c r="JEI1334" s="4" t="s">
        <v>2878</v>
      </c>
      <c r="JEJ1334" s="4" t="s">
        <v>2878</v>
      </c>
      <c r="JEK1334" s="4" t="s">
        <v>2878</v>
      </c>
      <c r="JEL1334" s="4" t="s">
        <v>2878</v>
      </c>
      <c r="JEM1334" s="4" t="s">
        <v>2878</v>
      </c>
      <c r="JEN1334" s="4" t="s">
        <v>2878</v>
      </c>
      <c r="JEO1334" s="4" t="s">
        <v>2878</v>
      </c>
      <c r="JEP1334" s="4" t="s">
        <v>2878</v>
      </c>
      <c r="JEQ1334" s="4" t="s">
        <v>2878</v>
      </c>
      <c r="JER1334" s="4" t="s">
        <v>2878</v>
      </c>
      <c r="JES1334" s="4" t="s">
        <v>2878</v>
      </c>
      <c r="JET1334" s="4" t="s">
        <v>2878</v>
      </c>
      <c r="JEU1334" s="4" t="s">
        <v>2878</v>
      </c>
      <c r="JEV1334" s="4" t="s">
        <v>2878</v>
      </c>
      <c r="JEW1334" s="4" t="s">
        <v>2878</v>
      </c>
      <c r="JEX1334" s="4" t="s">
        <v>2878</v>
      </c>
      <c r="JEY1334" s="4" t="s">
        <v>2878</v>
      </c>
      <c r="JEZ1334" s="4" t="s">
        <v>2878</v>
      </c>
      <c r="JFA1334" s="4" t="s">
        <v>2878</v>
      </c>
      <c r="JFB1334" s="4" t="s">
        <v>2878</v>
      </c>
      <c r="JFC1334" s="4" t="s">
        <v>2878</v>
      </c>
      <c r="JFD1334" s="4" t="s">
        <v>2878</v>
      </c>
      <c r="JFE1334" s="4" t="s">
        <v>2878</v>
      </c>
      <c r="JFF1334" s="4" t="s">
        <v>2878</v>
      </c>
      <c r="JFG1334" s="4" t="s">
        <v>2878</v>
      </c>
      <c r="JFH1334" s="4" t="s">
        <v>2878</v>
      </c>
      <c r="JFI1334" s="4" t="s">
        <v>2878</v>
      </c>
      <c r="JFJ1334" s="4" t="s">
        <v>2878</v>
      </c>
      <c r="JFK1334" s="4" t="s">
        <v>2878</v>
      </c>
      <c r="JFL1334" s="4" t="s">
        <v>2878</v>
      </c>
      <c r="JFM1334" s="4" t="s">
        <v>2878</v>
      </c>
      <c r="JFN1334" s="4" t="s">
        <v>2878</v>
      </c>
      <c r="JFO1334" s="4" t="s">
        <v>2878</v>
      </c>
      <c r="JFP1334" s="4" t="s">
        <v>2878</v>
      </c>
      <c r="JFQ1334" s="4" t="s">
        <v>2878</v>
      </c>
      <c r="JFR1334" s="4" t="s">
        <v>2878</v>
      </c>
      <c r="JFS1334" s="4" t="s">
        <v>2878</v>
      </c>
      <c r="JFT1334" s="4" t="s">
        <v>2878</v>
      </c>
      <c r="JFU1334" s="4" t="s">
        <v>2878</v>
      </c>
      <c r="JFV1334" s="4" t="s">
        <v>2878</v>
      </c>
      <c r="JFW1334" s="4" t="s">
        <v>2878</v>
      </c>
      <c r="JFX1334" s="4" t="s">
        <v>2878</v>
      </c>
      <c r="JFY1334" s="4" t="s">
        <v>2878</v>
      </c>
      <c r="JFZ1334" s="4" t="s">
        <v>2878</v>
      </c>
      <c r="JGA1334" s="4" t="s">
        <v>2878</v>
      </c>
      <c r="JGB1334" s="4" t="s">
        <v>2878</v>
      </c>
      <c r="JGC1334" s="4" t="s">
        <v>2878</v>
      </c>
      <c r="JGD1334" s="4" t="s">
        <v>2878</v>
      </c>
      <c r="JGE1334" s="4" t="s">
        <v>2878</v>
      </c>
      <c r="JGF1334" s="4" t="s">
        <v>2878</v>
      </c>
      <c r="JGG1334" s="4" t="s">
        <v>2878</v>
      </c>
      <c r="JGH1334" s="4" t="s">
        <v>2878</v>
      </c>
      <c r="JGI1334" s="4" t="s">
        <v>2878</v>
      </c>
      <c r="JGJ1334" s="4" t="s">
        <v>2878</v>
      </c>
      <c r="JGK1334" s="4" t="s">
        <v>2878</v>
      </c>
      <c r="JGL1334" s="4" t="s">
        <v>2878</v>
      </c>
      <c r="JGM1334" s="4" t="s">
        <v>2878</v>
      </c>
      <c r="JGN1334" s="4" t="s">
        <v>2878</v>
      </c>
      <c r="JGO1334" s="4" t="s">
        <v>2878</v>
      </c>
      <c r="JGP1334" s="4" t="s">
        <v>2878</v>
      </c>
      <c r="JGQ1334" s="4" t="s">
        <v>2878</v>
      </c>
      <c r="JGR1334" s="4" t="s">
        <v>2878</v>
      </c>
      <c r="JGS1334" s="4" t="s">
        <v>2878</v>
      </c>
      <c r="JGT1334" s="4" t="s">
        <v>2878</v>
      </c>
      <c r="JGU1334" s="4" t="s">
        <v>2878</v>
      </c>
      <c r="JGV1334" s="4" t="s">
        <v>2878</v>
      </c>
      <c r="JGW1334" s="4" t="s">
        <v>2878</v>
      </c>
      <c r="JGX1334" s="4" t="s">
        <v>2878</v>
      </c>
      <c r="JGY1334" s="4" t="s">
        <v>2878</v>
      </c>
      <c r="JGZ1334" s="4" t="s">
        <v>2878</v>
      </c>
      <c r="JHA1334" s="4" t="s">
        <v>2878</v>
      </c>
      <c r="JHB1334" s="4" t="s">
        <v>2878</v>
      </c>
      <c r="JHC1334" s="4" t="s">
        <v>2878</v>
      </c>
      <c r="JHD1334" s="4" t="s">
        <v>2878</v>
      </c>
      <c r="JHE1334" s="4" t="s">
        <v>2878</v>
      </c>
      <c r="JHF1334" s="4" t="s">
        <v>2878</v>
      </c>
      <c r="JHG1334" s="4" t="s">
        <v>2878</v>
      </c>
      <c r="JHH1334" s="4" t="s">
        <v>2878</v>
      </c>
      <c r="JHI1334" s="4" t="s">
        <v>2878</v>
      </c>
      <c r="JHJ1334" s="4" t="s">
        <v>2878</v>
      </c>
      <c r="JHK1334" s="4" t="s">
        <v>2878</v>
      </c>
      <c r="JHL1334" s="4" t="s">
        <v>2878</v>
      </c>
      <c r="JHM1334" s="4" t="s">
        <v>2878</v>
      </c>
      <c r="JHN1334" s="4" t="s">
        <v>2878</v>
      </c>
      <c r="JHO1334" s="4" t="s">
        <v>2878</v>
      </c>
      <c r="JHP1334" s="4" t="s">
        <v>2878</v>
      </c>
      <c r="JHQ1334" s="4" t="s">
        <v>2878</v>
      </c>
      <c r="JHR1334" s="4" t="s">
        <v>2878</v>
      </c>
      <c r="JHS1334" s="4" t="s">
        <v>2878</v>
      </c>
      <c r="JHT1334" s="4" t="s">
        <v>2878</v>
      </c>
      <c r="JHU1334" s="4" t="s">
        <v>2878</v>
      </c>
      <c r="JHV1334" s="4" t="s">
        <v>2878</v>
      </c>
      <c r="JHW1334" s="4" t="s">
        <v>2878</v>
      </c>
      <c r="JHX1334" s="4" t="s">
        <v>2878</v>
      </c>
      <c r="JHY1334" s="4" t="s">
        <v>2878</v>
      </c>
      <c r="JHZ1334" s="4" t="s">
        <v>2878</v>
      </c>
      <c r="JIA1334" s="4" t="s">
        <v>2878</v>
      </c>
      <c r="JIB1334" s="4" t="s">
        <v>2878</v>
      </c>
      <c r="JIC1334" s="4" t="s">
        <v>2878</v>
      </c>
      <c r="JID1334" s="4" t="s">
        <v>2878</v>
      </c>
      <c r="JIE1334" s="4" t="s">
        <v>2878</v>
      </c>
      <c r="JIF1334" s="4" t="s">
        <v>2878</v>
      </c>
      <c r="JIG1334" s="4" t="s">
        <v>2878</v>
      </c>
      <c r="JIH1334" s="4" t="s">
        <v>2878</v>
      </c>
      <c r="JII1334" s="4" t="s">
        <v>2878</v>
      </c>
      <c r="JIJ1334" s="4" t="s">
        <v>2878</v>
      </c>
      <c r="JIK1334" s="4" t="s">
        <v>2878</v>
      </c>
      <c r="JIL1334" s="4" t="s">
        <v>2878</v>
      </c>
      <c r="JIM1334" s="4" t="s">
        <v>2878</v>
      </c>
      <c r="JIN1334" s="4" t="s">
        <v>2878</v>
      </c>
      <c r="JIO1334" s="4" t="s">
        <v>2878</v>
      </c>
      <c r="JIP1334" s="4" t="s">
        <v>2878</v>
      </c>
      <c r="JIQ1334" s="4" t="s">
        <v>2878</v>
      </c>
      <c r="JIR1334" s="4" t="s">
        <v>2878</v>
      </c>
      <c r="JIS1334" s="4" t="s">
        <v>2878</v>
      </c>
      <c r="JIT1334" s="4" t="s">
        <v>2878</v>
      </c>
      <c r="JIU1334" s="4" t="s">
        <v>2878</v>
      </c>
      <c r="JIV1334" s="4" t="s">
        <v>2878</v>
      </c>
      <c r="JIW1334" s="4" t="s">
        <v>2878</v>
      </c>
      <c r="JIX1334" s="4" t="s">
        <v>2878</v>
      </c>
      <c r="JIY1334" s="4" t="s">
        <v>2878</v>
      </c>
      <c r="JIZ1334" s="4" t="s">
        <v>2878</v>
      </c>
      <c r="JJA1334" s="4" t="s">
        <v>2878</v>
      </c>
      <c r="JJB1334" s="4" t="s">
        <v>2878</v>
      </c>
      <c r="JJC1334" s="4" t="s">
        <v>2878</v>
      </c>
      <c r="JJD1334" s="4" t="s">
        <v>2878</v>
      </c>
      <c r="JJE1334" s="4" t="s">
        <v>2878</v>
      </c>
      <c r="JJF1334" s="4" t="s">
        <v>2878</v>
      </c>
      <c r="JJG1334" s="4" t="s">
        <v>2878</v>
      </c>
      <c r="JJH1334" s="4" t="s">
        <v>2878</v>
      </c>
      <c r="JJI1334" s="4" t="s">
        <v>2878</v>
      </c>
      <c r="JJJ1334" s="4" t="s">
        <v>2878</v>
      </c>
      <c r="JJK1334" s="4" t="s">
        <v>2878</v>
      </c>
      <c r="JJL1334" s="4" t="s">
        <v>2878</v>
      </c>
      <c r="JJM1334" s="4" t="s">
        <v>2878</v>
      </c>
      <c r="JJN1334" s="4" t="s">
        <v>2878</v>
      </c>
      <c r="JJO1334" s="4" t="s">
        <v>2878</v>
      </c>
      <c r="JJP1334" s="4" t="s">
        <v>2878</v>
      </c>
      <c r="JJQ1334" s="4" t="s">
        <v>2878</v>
      </c>
      <c r="JJR1334" s="4" t="s">
        <v>2878</v>
      </c>
      <c r="JJS1334" s="4" t="s">
        <v>2878</v>
      </c>
      <c r="JJT1334" s="4" t="s">
        <v>2878</v>
      </c>
      <c r="JJU1334" s="4" t="s">
        <v>2878</v>
      </c>
      <c r="JJV1334" s="4" t="s">
        <v>2878</v>
      </c>
      <c r="JJW1334" s="4" t="s">
        <v>2878</v>
      </c>
      <c r="JJX1334" s="4" t="s">
        <v>2878</v>
      </c>
      <c r="JJY1334" s="4" t="s">
        <v>2878</v>
      </c>
      <c r="JJZ1334" s="4" t="s">
        <v>2878</v>
      </c>
      <c r="JKA1334" s="4" t="s">
        <v>2878</v>
      </c>
      <c r="JKB1334" s="4" t="s">
        <v>2878</v>
      </c>
      <c r="JKC1334" s="4" t="s">
        <v>2878</v>
      </c>
      <c r="JKD1334" s="4" t="s">
        <v>2878</v>
      </c>
      <c r="JKE1334" s="4" t="s">
        <v>2878</v>
      </c>
      <c r="JKF1334" s="4" t="s">
        <v>2878</v>
      </c>
      <c r="JKG1334" s="4" t="s">
        <v>2878</v>
      </c>
      <c r="JKH1334" s="4" t="s">
        <v>2878</v>
      </c>
      <c r="JKI1334" s="4" t="s">
        <v>2878</v>
      </c>
      <c r="JKJ1334" s="4" t="s">
        <v>2878</v>
      </c>
      <c r="JKK1334" s="4" t="s">
        <v>2878</v>
      </c>
      <c r="JKL1334" s="4" t="s">
        <v>2878</v>
      </c>
      <c r="JKM1334" s="4" t="s">
        <v>2878</v>
      </c>
      <c r="JKN1334" s="4" t="s">
        <v>2878</v>
      </c>
      <c r="JKO1334" s="4" t="s">
        <v>2878</v>
      </c>
      <c r="JKP1334" s="4" t="s">
        <v>2878</v>
      </c>
      <c r="JKQ1334" s="4" t="s">
        <v>2878</v>
      </c>
      <c r="JKR1334" s="4" t="s">
        <v>2878</v>
      </c>
      <c r="JKS1334" s="4" t="s">
        <v>2878</v>
      </c>
      <c r="JKT1334" s="4" t="s">
        <v>2878</v>
      </c>
      <c r="JKU1334" s="4" t="s">
        <v>2878</v>
      </c>
      <c r="JKV1334" s="4" t="s">
        <v>2878</v>
      </c>
      <c r="JKW1334" s="4" t="s">
        <v>2878</v>
      </c>
      <c r="JKX1334" s="4" t="s">
        <v>2878</v>
      </c>
      <c r="JKY1334" s="4" t="s">
        <v>2878</v>
      </c>
      <c r="JKZ1334" s="4" t="s">
        <v>2878</v>
      </c>
      <c r="JLA1334" s="4" t="s">
        <v>2878</v>
      </c>
      <c r="JLB1334" s="4" t="s">
        <v>2878</v>
      </c>
      <c r="JLC1334" s="4" t="s">
        <v>2878</v>
      </c>
      <c r="JLD1334" s="4" t="s">
        <v>2878</v>
      </c>
      <c r="JLE1334" s="4" t="s">
        <v>2878</v>
      </c>
      <c r="JLF1334" s="4" t="s">
        <v>2878</v>
      </c>
      <c r="JLG1334" s="4" t="s">
        <v>2878</v>
      </c>
      <c r="JLH1334" s="4" t="s">
        <v>2878</v>
      </c>
      <c r="JLI1334" s="4" t="s">
        <v>2878</v>
      </c>
      <c r="JLJ1334" s="4" t="s">
        <v>2878</v>
      </c>
      <c r="JLK1334" s="4" t="s">
        <v>2878</v>
      </c>
      <c r="JLL1334" s="4" t="s">
        <v>2878</v>
      </c>
      <c r="JLM1334" s="4" t="s">
        <v>2878</v>
      </c>
      <c r="JLN1334" s="4" t="s">
        <v>2878</v>
      </c>
      <c r="JLO1334" s="4" t="s">
        <v>2878</v>
      </c>
      <c r="JLP1334" s="4" t="s">
        <v>2878</v>
      </c>
      <c r="JLQ1334" s="4" t="s">
        <v>2878</v>
      </c>
      <c r="JLR1334" s="4" t="s">
        <v>2878</v>
      </c>
      <c r="JLS1334" s="4" t="s">
        <v>2878</v>
      </c>
      <c r="JLT1334" s="4" t="s">
        <v>2878</v>
      </c>
      <c r="JLU1334" s="4" t="s">
        <v>2878</v>
      </c>
      <c r="JLV1334" s="4" t="s">
        <v>2878</v>
      </c>
      <c r="JLW1334" s="4" t="s">
        <v>2878</v>
      </c>
      <c r="JLX1334" s="4" t="s">
        <v>2878</v>
      </c>
      <c r="JLY1334" s="4" t="s">
        <v>2878</v>
      </c>
      <c r="JLZ1334" s="4" t="s">
        <v>2878</v>
      </c>
      <c r="JMA1334" s="4" t="s">
        <v>2878</v>
      </c>
      <c r="JMB1334" s="4" t="s">
        <v>2878</v>
      </c>
      <c r="JMC1334" s="4" t="s">
        <v>2878</v>
      </c>
      <c r="JMD1334" s="4" t="s">
        <v>2878</v>
      </c>
      <c r="JME1334" s="4" t="s">
        <v>2878</v>
      </c>
      <c r="JMF1334" s="4" t="s">
        <v>2878</v>
      </c>
      <c r="JMG1334" s="4" t="s">
        <v>2878</v>
      </c>
      <c r="JMH1334" s="4" t="s">
        <v>2878</v>
      </c>
      <c r="JMI1334" s="4" t="s">
        <v>2878</v>
      </c>
      <c r="JMJ1334" s="4" t="s">
        <v>2878</v>
      </c>
      <c r="JMK1334" s="4" t="s">
        <v>2878</v>
      </c>
      <c r="JML1334" s="4" t="s">
        <v>2878</v>
      </c>
      <c r="JMM1334" s="4" t="s">
        <v>2878</v>
      </c>
      <c r="JMN1334" s="4" t="s">
        <v>2878</v>
      </c>
      <c r="JMO1334" s="4" t="s">
        <v>2878</v>
      </c>
      <c r="JMP1334" s="4" t="s">
        <v>2878</v>
      </c>
      <c r="JMQ1334" s="4" t="s">
        <v>2878</v>
      </c>
      <c r="JMR1334" s="4" t="s">
        <v>2878</v>
      </c>
      <c r="JMS1334" s="4" t="s">
        <v>2878</v>
      </c>
      <c r="JMT1334" s="4" t="s">
        <v>2878</v>
      </c>
      <c r="JMU1334" s="4" t="s">
        <v>2878</v>
      </c>
      <c r="JMV1334" s="4" t="s">
        <v>2878</v>
      </c>
      <c r="JMW1334" s="4" t="s">
        <v>2878</v>
      </c>
      <c r="JMX1334" s="4" t="s">
        <v>2878</v>
      </c>
      <c r="JMY1334" s="4" t="s">
        <v>2878</v>
      </c>
      <c r="JMZ1334" s="4" t="s">
        <v>2878</v>
      </c>
      <c r="JNA1334" s="4" t="s">
        <v>2878</v>
      </c>
      <c r="JNB1334" s="4" t="s">
        <v>2878</v>
      </c>
      <c r="JNC1334" s="4" t="s">
        <v>2878</v>
      </c>
      <c r="JND1334" s="4" t="s">
        <v>2878</v>
      </c>
      <c r="JNE1334" s="4" t="s">
        <v>2878</v>
      </c>
      <c r="JNF1334" s="4" t="s">
        <v>2878</v>
      </c>
      <c r="JNG1334" s="4" t="s">
        <v>2878</v>
      </c>
      <c r="JNH1334" s="4" t="s">
        <v>2878</v>
      </c>
      <c r="JNI1334" s="4" t="s">
        <v>2878</v>
      </c>
      <c r="JNJ1334" s="4" t="s">
        <v>2878</v>
      </c>
      <c r="JNK1334" s="4" t="s">
        <v>2878</v>
      </c>
      <c r="JNL1334" s="4" t="s">
        <v>2878</v>
      </c>
      <c r="JNM1334" s="4" t="s">
        <v>2878</v>
      </c>
      <c r="JNN1334" s="4" t="s">
        <v>2878</v>
      </c>
      <c r="JNO1334" s="4" t="s">
        <v>2878</v>
      </c>
      <c r="JNP1334" s="4" t="s">
        <v>2878</v>
      </c>
      <c r="JNQ1334" s="4" t="s">
        <v>2878</v>
      </c>
      <c r="JNR1334" s="4" t="s">
        <v>2878</v>
      </c>
      <c r="JNS1334" s="4" t="s">
        <v>2878</v>
      </c>
      <c r="JNT1334" s="4" t="s">
        <v>2878</v>
      </c>
      <c r="JNU1334" s="4" t="s">
        <v>2878</v>
      </c>
      <c r="JNV1334" s="4" t="s">
        <v>2878</v>
      </c>
      <c r="JNW1334" s="4" t="s">
        <v>2878</v>
      </c>
      <c r="JNX1334" s="4" t="s">
        <v>2878</v>
      </c>
      <c r="JNY1334" s="4" t="s">
        <v>2878</v>
      </c>
      <c r="JNZ1334" s="4" t="s">
        <v>2878</v>
      </c>
      <c r="JOA1334" s="4" t="s">
        <v>2878</v>
      </c>
      <c r="JOB1334" s="4" t="s">
        <v>2878</v>
      </c>
      <c r="JOC1334" s="4" t="s">
        <v>2878</v>
      </c>
      <c r="JOD1334" s="4" t="s">
        <v>2878</v>
      </c>
      <c r="JOE1334" s="4" t="s">
        <v>2878</v>
      </c>
      <c r="JOF1334" s="4" t="s">
        <v>2878</v>
      </c>
      <c r="JOG1334" s="4" t="s">
        <v>2878</v>
      </c>
      <c r="JOH1334" s="4" t="s">
        <v>2878</v>
      </c>
      <c r="JOI1334" s="4" t="s">
        <v>2878</v>
      </c>
      <c r="JOJ1334" s="4" t="s">
        <v>2878</v>
      </c>
      <c r="JOK1334" s="4" t="s">
        <v>2878</v>
      </c>
      <c r="JOL1334" s="4" t="s">
        <v>2878</v>
      </c>
      <c r="JOM1334" s="4" t="s">
        <v>2878</v>
      </c>
      <c r="JON1334" s="4" t="s">
        <v>2878</v>
      </c>
      <c r="JOO1334" s="4" t="s">
        <v>2878</v>
      </c>
      <c r="JOP1334" s="4" t="s">
        <v>2878</v>
      </c>
      <c r="JOQ1334" s="4" t="s">
        <v>2878</v>
      </c>
      <c r="JOR1334" s="4" t="s">
        <v>2878</v>
      </c>
      <c r="JOS1334" s="4" t="s">
        <v>2878</v>
      </c>
      <c r="JOT1334" s="4" t="s">
        <v>2878</v>
      </c>
      <c r="JOU1334" s="4" t="s">
        <v>2878</v>
      </c>
      <c r="JOV1334" s="4" t="s">
        <v>2878</v>
      </c>
      <c r="JOW1334" s="4" t="s">
        <v>2878</v>
      </c>
      <c r="JOX1334" s="4" t="s">
        <v>2878</v>
      </c>
      <c r="JOY1334" s="4" t="s">
        <v>2878</v>
      </c>
      <c r="JOZ1334" s="4" t="s">
        <v>2878</v>
      </c>
      <c r="JPA1334" s="4" t="s">
        <v>2878</v>
      </c>
      <c r="JPB1334" s="4" t="s">
        <v>2878</v>
      </c>
      <c r="JPC1334" s="4" t="s">
        <v>2878</v>
      </c>
      <c r="JPD1334" s="4" t="s">
        <v>2878</v>
      </c>
      <c r="JPE1334" s="4" t="s">
        <v>2878</v>
      </c>
      <c r="JPF1334" s="4" t="s">
        <v>2878</v>
      </c>
      <c r="JPG1334" s="4" t="s">
        <v>2878</v>
      </c>
      <c r="JPH1334" s="4" t="s">
        <v>2878</v>
      </c>
      <c r="JPI1334" s="4" t="s">
        <v>2878</v>
      </c>
      <c r="JPJ1334" s="4" t="s">
        <v>2878</v>
      </c>
      <c r="JPK1334" s="4" t="s">
        <v>2878</v>
      </c>
      <c r="JPL1334" s="4" t="s">
        <v>2878</v>
      </c>
      <c r="JPM1334" s="4" t="s">
        <v>2878</v>
      </c>
      <c r="JPN1334" s="4" t="s">
        <v>2878</v>
      </c>
      <c r="JPO1334" s="4" t="s">
        <v>2878</v>
      </c>
      <c r="JPP1334" s="4" t="s">
        <v>2878</v>
      </c>
      <c r="JPQ1334" s="4" t="s">
        <v>2878</v>
      </c>
      <c r="JPR1334" s="4" t="s">
        <v>2878</v>
      </c>
      <c r="JPS1334" s="4" t="s">
        <v>2878</v>
      </c>
      <c r="JPT1334" s="4" t="s">
        <v>2878</v>
      </c>
      <c r="JPU1334" s="4" t="s">
        <v>2878</v>
      </c>
      <c r="JPV1334" s="4" t="s">
        <v>2878</v>
      </c>
      <c r="JPW1334" s="4" t="s">
        <v>2878</v>
      </c>
      <c r="JPX1334" s="4" t="s">
        <v>2878</v>
      </c>
      <c r="JPY1334" s="4" t="s">
        <v>2878</v>
      </c>
      <c r="JPZ1334" s="4" t="s">
        <v>2878</v>
      </c>
      <c r="JQA1334" s="4" t="s">
        <v>2878</v>
      </c>
      <c r="JQB1334" s="4" t="s">
        <v>2878</v>
      </c>
      <c r="JQC1334" s="4" t="s">
        <v>2878</v>
      </c>
      <c r="JQD1334" s="4" t="s">
        <v>2878</v>
      </c>
      <c r="JQE1334" s="4" t="s">
        <v>2878</v>
      </c>
      <c r="JQF1334" s="4" t="s">
        <v>2878</v>
      </c>
      <c r="JQG1334" s="4" t="s">
        <v>2878</v>
      </c>
      <c r="JQH1334" s="4" t="s">
        <v>2878</v>
      </c>
      <c r="JQI1334" s="4" t="s">
        <v>2878</v>
      </c>
      <c r="JQJ1334" s="4" t="s">
        <v>2878</v>
      </c>
      <c r="JQK1334" s="4" t="s">
        <v>2878</v>
      </c>
      <c r="JQL1334" s="4" t="s">
        <v>2878</v>
      </c>
      <c r="JQM1334" s="4" t="s">
        <v>2878</v>
      </c>
      <c r="JQN1334" s="4" t="s">
        <v>2878</v>
      </c>
      <c r="JQO1334" s="4" t="s">
        <v>2878</v>
      </c>
      <c r="JQP1334" s="4" t="s">
        <v>2878</v>
      </c>
      <c r="JQQ1334" s="4" t="s">
        <v>2878</v>
      </c>
      <c r="JQR1334" s="4" t="s">
        <v>2878</v>
      </c>
      <c r="JQS1334" s="4" t="s">
        <v>2878</v>
      </c>
      <c r="JQT1334" s="4" t="s">
        <v>2878</v>
      </c>
      <c r="JQU1334" s="4" t="s">
        <v>2878</v>
      </c>
      <c r="JQV1334" s="4" t="s">
        <v>2878</v>
      </c>
      <c r="JQW1334" s="4" t="s">
        <v>2878</v>
      </c>
      <c r="JQX1334" s="4" t="s">
        <v>2878</v>
      </c>
      <c r="JQY1334" s="4" t="s">
        <v>2878</v>
      </c>
      <c r="JQZ1334" s="4" t="s">
        <v>2878</v>
      </c>
      <c r="JRA1334" s="4" t="s">
        <v>2878</v>
      </c>
      <c r="JRB1334" s="4" t="s">
        <v>2878</v>
      </c>
      <c r="JRC1334" s="4" t="s">
        <v>2878</v>
      </c>
      <c r="JRD1334" s="4" t="s">
        <v>2878</v>
      </c>
      <c r="JRE1334" s="4" t="s">
        <v>2878</v>
      </c>
      <c r="JRF1334" s="4" t="s">
        <v>2878</v>
      </c>
      <c r="JRG1334" s="4" t="s">
        <v>2878</v>
      </c>
      <c r="JRH1334" s="4" t="s">
        <v>2878</v>
      </c>
      <c r="JRI1334" s="4" t="s">
        <v>2878</v>
      </c>
      <c r="JRJ1334" s="4" t="s">
        <v>2878</v>
      </c>
      <c r="JRK1334" s="4" t="s">
        <v>2878</v>
      </c>
      <c r="JRL1334" s="4" t="s">
        <v>2878</v>
      </c>
      <c r="JRM1334" s="4" t="s">
        <v>2878</v>
      </c>
      <c r="JRN1334" s="4" t="s">
        <v>2878</v>
      </c>
      <c r="JRO1334" s="4" t="s">
        <v>2878</v>
      </c>
      <c r="JRP1334" s="4" t="s">
        <v>2878</v>
      </c>
      <c r="JRQ1334" s="4" t="s">
        <v>2878</v>
      </c>
      <c r="JRR1334" s="4" t="s">
        <v>2878</v>
      </c>
      <c r="JRS1334" s="4" t="s">
        <v>2878</v>
      </c>
      <c r="JRT1334" s="4" t="s">
        <v>2878</v>
      </c>
      <c r="JRU1334" s="4" t="s">
        <v>2878</v>
      </c>
      <c r="JRV1334" s="4" t="s">
        <v>2878</v>
      </c>
      <c r="JRW1334" s="4" t="s">
        <v>2878</v>
      </c>
      <c r="JRX1334" s="4" t="s">
        <v>2878</v>
      </c>
      <c r="JRY1334" s="4" t="s">
        <v>2878</v>
      </c>
      <c r="JRZ1334" s="4" t="s">
        <v>2878</v>
      </c>
      <c r="JSA1334" s="4" t="s">
        <v>2878</v>
      </c>
      <c r="JSB1334" s="4" t="s">
        <v>2878</v>
      </c>
      <c r="JSC1334" s="4" t="s">
        <v>2878</v>
      </c>
      <c r="JSD1334" s="4" t="s">
        <v>2878</v>
      </c>
      <c r="JSE1334" s="4" t="s">
        <v>2878</v>
      </c>
      <c r="JSF1334" s="4" t="s">
        <v>2878</v>
      </c>
      <c r="JSG1334" s="4" t="s">
        <v>2878</v>
      </c>
      <c r="JSH1334" s="4" t="s">
        <v>2878</v>
      </c>
      <c r="JSI1334" s="4" t="s">
        <v>2878</v>
      </c>
      <c r="JSJ1334" s="4" t="s">
        <v>2878</v>
      </c>
      <c r="JSK1334" s="4" t="s">
        <v>2878</v>
      </c>
      <c r="JSL1334" s="4" t="s">
        <v>2878</v>
      </c>
      <c r="JSM1334" s="4" t="s">
        <v>2878</v>
      </c>
      <c r="JSN1334" s="4" t="s">
        <v>2878</v>
      </c>
      <c r="JSO1334" s="4" t="s">
        <v>2878</v>
      </c>
      <c r="JSP1334" s="4" t="s">
        <v>2878</v>
      </c>
      <c r="JSQ1334" s="4" t="s">
        <v>2878</v>
      </c>
      <c r="JSR1334" s="4" t="s">
        <v>2878</v>
      </c>
      <c r="JSS1334" s="4" t="s">
        <v>2878</v>
      </c>
      <c r="JST1334" s="4" t="s">
        <v>2878</v>
      </c>
      <c r="JSU1334" s="4" t="s">
        <v>2878</v>
      </c>
      <c r="JSV1334" s="4" t="s">
        <v>2878</v>
      </c>
      <c r="JSW1334" s="4" t="s">
        <v>2878</v>
      </c>
      <c r="JSX1334" s="4" t="s">
        <v>2878</v>
      </c>
      <c r="JSY1334" s="4" t="s">
        <v>2878</v>
      </c>
      <c r="JSZ1334" s="4" t="s">
        <v>2878</v>
      </c>
      <c r="JTA1334" s="4" t="s">
        <v>2878</v>
      </c>
      <c r="JTB1334" s="4" t="s">
        <v>2878</v>
      </c>
      <c r="JTC1334" s="4" t="s">
        <v>2878</v>
      </c>
      <c r="JTD1334" s="4" t="s">
        <v>2878</v>
      </c>
      <c r="JTE1334" s="4" t="s">
        <v>2878</v>
      </c>
      <c r="JTF1334" s="4" t="s">
        <v>2878</v>
      </c>
      <c r="JTG1334" s="4" t="s">
        <v>2878</v>
      </c>
      <c r="JTH1334" s="4" t="s">
        <v>2878</v>
      </c>
      <c r="JTI1334" s="4" t="s">
        <v>2878</v>
      </c>
      <c r="JTJ1334" s="4" t="s">
        <v>2878</v>
      </c>
      <c r="JTK1334" s="4" t="s">
        <v>2878</v>
      </c>
      <c r="JTL1334" s="4" t="s">
        <v>2878</v>
      </c>
      <c r="JTM1334" s="4" t="s">
        <v>2878</v>
      </c>
      <c r="JTN1334" s="4" t="s">
        <v>2878</v>
      </c>
      <c r="JTO1334" s="4" t="s">
        <v>2878</v>
      </c>
      <c r="JTP1334" s="4" t="s">
        <v>2878</v>
      </c>
      <c r="JTQ1334" s="4" t="s">
        <v>2878</v>
      </c>
      <c r="JTR1334" s="4" t="s">
        <v>2878</v>
      </c>
      <c r="JTS1334" s="4" t="s">
        <v>2878</v>
      </c>
      <c r="JTT1334" s="4" t="s">
        <v>2878</v>
      </c>
      <c r="JTU1334" s="4" t="s">
        <v>2878</v>
      </c>
      <c r="JTV1334" s="4" t="s">
        <v>2878</v>
      </c>
      <c r="JTW1334" s="4" t="s">
        <v>2878</v>
      </c>
      <c r="JTX1334" s="4" t="s">
        <v>2878</v>
      </c>
      <c r="JTY1334" s="4" t="s">
        <v>2878</v>
      </c>
      <c r="JTZ1334" s="4" t="s">
        <v>2878</v>
      </c>
      <c r="JUA1334" s="4" t="s">
        <v>2878</v>
      </c>
      <c r="JUB1334" s="4" t="s">
        <v>2878</v>
      </c>
      <c r="JUC1334" s="4" t="s">
        <v>2878</v>
      </c>
      <c r="JUD1334" s="4" t="s">
        <v>2878</v>
      </c>
      <c r="JUE1334" s="4" t="s">
        <v>2878</v>
      </c>
      <c r="JUF1334" s="4" t="s">
        <v>2878</v>
      </c>
      <c r="JUG1334" s="4" t="s">
        <v>2878</v>
      </c>
      <c r="JUH1334" s="4" t="s">
        <v>2878</v>
      </c>
      <c r="JUI1334" s="4" t="s">
        <v>2878</v>
      </c>
      <c r="JUJ1334" s="4" t="s">
        <v>2878</v>
      </c>
      <c r="JUK1334" s="4" t="s">
        <v>2878</v>
      </c>
      <c r="JUL1334" s="4" t="s">
        <v>2878</v>
      </c>
      <c r="JUM1334" s="4" t="s">
        <v>2878</v>
      </c>
      <c r="JUN1334" s="4" t="s">
        <v>2878</v>
      </c>
      <c r="JUO1334" s="4" t="s">
        <v>2878</v>
      </c>
      <c r="JUP1334" s="4" t="s">
        <v>2878</v>
      </c>
      <c r="JUQ1334" s="4" t="s">
        <v>2878</v>
      </c>
      <c r="JUR1334" s="4" t="s">
        <v>2878</v>
      </c>
      <c r="JUS1334" s="4" t="s">
        <v>2878</v>
      </c>
      <c r="JUT1334" s="4" t="s">
        <v>2878</v>
      </c>
      <c r="JUU1334" s="4" t="s">
        <v>2878</v>
      </c>
      <c r="JUV1334" s="4" t="s">
        <v>2878</v>
      </c>
      <c r="JUW1334" s="4" t="s">
        <v>2878</v>
      </c>
      <c r="JUX1334" s="4" t="s">
        <v>2878</v>
      </c>
      <c r="JUY1334" s="4" t="s">
        <v>2878</v>
      </c>
      <c r="JUZ1334" s="4" t="s">
        <v>2878</v>
      </c>
      <c r="JVA1334" s="4" t="s">
        <v>2878</v>
      </c>
      <c r="JVB1334" s="4" t="s">
        <v>2878</v>
      </c>
      <c r="JVC1334" s="4" t="s">
        <v>2878</v>
      </c>
      <c r="JVD1334" s="4" t="s">
        <v>2878</v>
      </c>
      <c r="JVE1334" s="4" t="s">
        <v>2878</v>
      </c>
      <c r="JVF1334" s="4" t="s">
        <v>2878</v>
      </c>
      <c r="JVG1334" s="4" t="s">
        <v>2878</v>
      </c>
      <c r="JVH1334" s="4" t="s">
        <v>2878</v>
      </c>
      <c r="JVI1334" s="4" t="s">
        <v>2878</v>
      </c>
      <c r="JVJ1334" s="4" t="s">
        <v>2878</v>
      </c>
      <c r="JVK1334" s="4" t="s">
        <v>2878</v>
      </c>
      <c r="JVL1334" s="4" t="s">
        <v>2878</v>
      </c>
      <c r="JVM1334" s="4" t="s">
        <v>2878</v>
      </c>
      <c r="JVN1334" s="4" t="s">
        <v>2878</v>
      </c>
      <c r="JVO1334" s="4" t="s">
        <v>2878</v>
      </c>
      <c r="JVP1334" s="4" t="s">
        <v>2878</v>
      </c>
      <c r="JVQ1334" s="4" t="s">
        <v>2878</v>
      </c>
      <c r="JVR1334" s="4" t="s">
        <v>2878</v>
      </c>
      <c r="JVS1334" s="4" t="s">
        <v>2878</v>
      </c>
      <c r="JVT1334" s="4" t="s">
        <v>2878</v>
      </c>
      <c r="JVU1334" s="4" t="s">
        <v>2878</v>
      </c>
      <c r="JVV1334" s="4" t="s">
        <v>2878</v>
      </c>
      <c r="JVW1334" s="4" t="s">
        <v>2878</v>
      </c>
      <c r="JVX1334" s="4" t="s">
        <v>2878</v>
      </c>
      <c r="JVY1334" s="4" t="s">
        <v>2878</v>
      </c>
      <c r="JVZ1334" s="4" t="s">
        <v>2878</v>
      </c>
      <c r="JWA1334" s="4" t="s">
        <v>2878</v>
      </c>
      <c r="JWB1334" s="4" t="s">
        <v>2878</v>
      </c>
      <c r="JWC1334" s="4" t="s">
        <v>2878</v>
      </c>
      <c r="JWD1334" s="4" t="s">
        <v>2878</v>
      </c>
      <c r="JWE1334" s="4" t="s">
        <v>2878</v>
      </c>
      <c r="JWF1334" s="4" t="s">
        <v>2878</v>
      </c>
      <c r="JWG1334" s="4" t="s">
        <v>2878</v>
      </c>
      <c r="JWH1334" s="4" t="s">
        <v>2878</v>
      </c>
      <c r="JWI1334" s="4" t="s">
        <v>2878</v>
      </c>
      <c r="JWJ1334" s="4" t="s">
        <v>2878</v>
      </c>
      <c r="JWK1334" s="4" t="s">
        <v>2878</v>
      </c>
      <c r="JWL1334" s="4" t="s">
        <v>2878</v>
      </c>
      <c r="JWM1334" s="4" t="s">
        <v>2878</v>
      </c>
      <c r="JWN1334" s="4" t="s">
        <v>2878</v>
      </c>
      <c r="JWO1334" s="4" t="s">
        <v>2878</v>
      </c>
      <c r="JWP1334" s="4" t="s">
        <v>2878</v>
      </c>
      <c r="JWQ1334" s="4" t="s">
        <v>2878</v>
      </c>
      <c r="JWR1334" s="4" t="s">
        <v>2878</v>
      </c>
      <c r="JWS1334" s="4" t="s">
        <v>2878</v>
      </c>
      <c r="JWT1334" s="4" t="s">
        <v>2878</v>
      </c>
      <c r="JWU1334" s="4" t="s">
        <v>2878</v>
      </c>
      <c r="JWV1334" s="4" t="s">
        <v>2878</v>
      </c>
      <c r="JWW1334" s="4" t="s">
        <v>2878</v>
      </c>
      <c r="JWX1334" s="4" t="s">
        <v>2878</v>
      </c>
      <c r="JWY1334" s="4" t="s">
        <v>2878</v>
      </c>
      <c r="JWZ1334" s="4" t="s">
        <v>2878</v>
      </c>
      <c r="JXA1334" s="4" t="s">
        <v>2878</v>
      </c>
      <c r="JXB1334" s="4" t="s">
        <v>2878</v>
      </c>
      <c r="JXC1334" s="4" t="s">
        <v>2878</v>
      </c>
      <c r="JXD1334" s="4" t="s">
        <v>2878</v>
      </c>
      <c r="JXE1334" s="4" t="s">
        <v>2878</v>
      </c>
      <c r="JXF1334" s="4" t="s">
        <v>2878</v>
      </c>
      <c r="JXG1334" s="4" t="s">
        <v>2878</v>
      </c>
      <c r="JXH1334" s="4" t="s">
        <v>2878</v>
      </c>
      <c r="JXI1334" s="4" t="s">
        <v>2878</v>
      </c>
      <c r="JXJ1334" s="4" t="s">
        <v>2878</v>
      </c>
      <c r="JXK1334" s="4" t="s">
        <v>2878</v>
      </c>
      <c r="JXL1334" s="4" t="s">
        <v>2878</v>
      </c>
      <c r="JXM1334" s="4" t="s">
        <v>2878</v>
      </c>
      <c r="JXN1334" s="4" t="s">
        <v>2878</v>
      </c>
      <c r="JXO1334" s="4" t="s">
        <v>2878</v>
      </c>
      <c r="JXP1334" s="4" t="s">
        <v>2878</v>
      </c>
      <c r="JXQ1334" s="4" t="s">
        <v>2878</v>
      </c>
      <c r="JXR1334" s="4" t="s">
        <v>2878</v>
      </c>
      <c r="JXS1334" s="4" t="s">
        <v>2878</v>
      </c>
      <c r="JXT1334" s="4" t="s">
        <v>2878</v>
      </c>
      <c r="JXU1334" s="4" t="s">
        <v>2878</v>
      </c>
      <c r="JXV1334" s="4" t="s">
        <v>2878</v>
      </c>
      <c r="JXW1334" s="4" t="s">
        <v>2878</v>
      </c>
      <c r="JXX1334" s="4" t="s">
        <v>2878</v>
      </c>
      <c r="JXY1334" s="4" t="s">
        <v>2878</v>
      </c>
      <c r="JXZ1334" s="4" t="s">
        <v>2878</v>
      </c>
      <c r="JYA1334" s="4" t="s">
        <v>2878</v>
      </c>
      <c r="JYB1334" s="4" t="s">
        <v>2878</v>
      </c>
      <c r="JYC1334" s="4" t="s">
        <v>2878</v>
      </c>
      <c r="JYD1334" s="4" t="s">
        <v>2878</v>
      </c>
      <c r="JYE1334" s="4" t="s">
        <v>2878</v>
      </c>
      <c r="JYF1334" s="4" t="s">
        <v>2878</v>
      </c>
      <c r="JYG1334" s="4" t="s">
        <v>2878</v>
      </c>
      <c r="JYH1334" s="4" t="s">
        <v>2878</v>
      </c>
      <c r="JYI1334" s="4" t="s">
        <v>2878</v>
      </c>
      <c r="JYJ1334" s="4" t="s">
        <v>2878</v>
      </c>
      <c r="JYK1334" s="4" t="s">
        <v>2878</v>
      </c>
      <c r="JYL1334" s="4" t="s">
        <v>2878</v>
      </c>
      <c r="JYM1334" s="4" t="s">
        <v>2878</v>
      </c>
      <c r="JYN1334" s="4" t="s">
        <v>2878</v>
      </c>
      <c r="JYO1334" s="4" t="s">
        <v>2878</v>
      </c>
      <c r="JYP1334" s="4" t="s">
        <v>2878</v>
      </c>
      <c r="JYQ1334" s="4" t="s">
        <v>2878</v>
      </c>
      <c r="JYR1334" s="4" t="s">
        <v>2878</v>
      </c>
      <c r="JYS1334" s="4" t="s">
        <v>2878</v>
      </c>
      <c r="JYT1334" s="4" t="s">
        <v>2878</v>
      </c>
      <c r="JYU1334" s="4" t="s">
        <v>2878</v>
      </c>
      <c r="JYV1334" s="4" t="s">
        <v>2878</v>
      </c>
      <c r="JYW1334" s="4" t="s">
        <v>2878</v>
      </c>
      <c r="JYX1334" s="4" t="s">
        <v>2878</v>
      </c>
      <c r="JYY1334" s="4" t="s">
        <v>2878</v>
      </c>
      <c r="JYZ1334" s="4" t="s">
        <v>2878</v>
      </c>
      <c r="JZA1334" s="4" t="s">
        <v>2878</v>
      </c>
      <c r="JZB1334" s="4" t="s">
        <v>2878</v>
      </c>
      <c r="JZC1334" s="4" t="s">
        <v>2878</v>
      </c>
      <c r="JZD1334" s="4" t="s">
        <v>2878</v>
      </c>
      <c r="JZE1334" s="4" t="s">
        <v>2878</v>
      </c>
      <c r="JZF1334" s="4" t="s">
        <v>2878</v>
      </c>
      <c r="JZG1334" s="4" t="s">
        <v>2878</v>
      </c>
      <c r="JZH1334" s="4" t="s">
        <v>2878</v>
      </c>
      <c r="JZI1334" s="4" t="s">
        <v>2878</v>
      </c>
      <c r="JZJ1334" s="4" t="s">
        <v>2878</v>
      </c>
      <c r="JZK1334" s="4" t="s">
        <v>2878</v>
      </c>
      <c r="JZL1334" s="4" t="s">
        <v>2878</v>
      </c>
      <c r="JZM1334" s="4" t="s">
        <v>2878</v>
      </c>
      <c r="JZN1334" s="4" t="s">
        <v>2878</v>
      </c>
      <c r="JZO1334" s="4" t="s">
        <v>2878</v>
      </c>
      <c r="JZP1334" s="4" t="s">
        <v>2878</v>
      </c>
      <c r="JZQ1334" s="4" t="s">
        <v>2878</v>
      </c>
      <c r="JZR1334" s="4" t="s">
        <v>2878</v>
      </c>
      <c r="JZS1334" s="4" t="s">
        <v>2878</v>
      </c>
      <c r="JZT1334" s="4" t="s">
        <v>2878</v>
      </c>
      <c r="JZU1334" s="4" t="s">
        <v>2878</v>
      </c>
      <c r="JZV1334" s="4" t="s">
        <v>2878</v>
      </c>
      <c r="JZW1334" s="4" t="s">
        <v>2878</v>
      </c>
      <c r="JZX1334" s="4" t="s">
        <v>2878</v>
      </c>
      <c r="JZY1334" s="4" t="s">
        <v>2878</v>
      </c>
      <c r="JZZ1334" s="4" t="s">
        <v>2878</v>
      </c>
      <c r="KAA1334" s="4" t="s">
        <v>2878</v>
      </c>
      <c r="KAB1334" s="4" t="s">
        <v>2878</v>
      </c>
      <c r="KAC1334" s="4" t="s">
        <v>2878</v>
      </c>
      <c r="KAD1334" s="4" t="s">
        <v>2878</v>
      </c>
      <c r="KAE1334" s="4" t="s">
        <v>2878</v>
      </c>
      <c r="KAF1334" s="4" t="s">
        <v>2878</v>
      </c>
      <c r="KAG1334" s="4" t="s">
        <v>2878</v>
      </c>
      <c r="KAH1334" s="4" t="s">
        <v>2878</v>
      </c>
      <c r="KAI1334" s="4" t="s">
        <v>2878</v>
      </c>
      <c r="KAJ1334" s="4" t="s">
        <v>2878</v>
      </c>
      <c r="KAK1334" s="4" t="s">
        <v>2878</v>
      </c>
      <c r="KAL1334" s="4" t="s">
        <v>2878</v>
      </c>
      <c r="KAM1334" s="4" t="s">
        <v>2878</v>
      </c>
      <c r="KAN1334" s="4" t="s">
        <v>2878</v>
      </c>
      <c r="KAO1334" s="4" t="s">
        <v>2878</v>
      </c>
      <c r="KAP1334" s="4" t="s">
        <v>2878</v>
      </c>
      <c r="KAQ1334" s="4" t="s">
        <v>2878</v>
      </c>
      <c r="KAR1334" s="4" t="s">
        <v>2878</v>
      </c>
      <c r="KAS1334" s="4" t="s">
        <v>2878</v>
      </c>
      <c r="KAT1334" s="4" t="s">
        <v>2878</v>
      </c>
      <c r="KAU1334" s="4" t="s">
        <v>2878</v>
      </c>
      <c r="KAV1334" s="4" t="s">
        <v>2878</v>
      </c>
      <c r="KAW1334" s="4" t="s">
        <v>2878</v>
      </c>
      <c r="KAX1334" s="4" t="s">
        <v>2878</v>
      </c>
      <c r="KAY1334" s="4" t="s">
        <v>2878</v>
      </c>
      <c r="KAZ1334" s="4" t="s">
        <v>2878</v>
      </c>
      <c r="KBA1334" s="4" t="s">
        <v>2878</v>
      </c>
      <c r="KBB1334" s="4" t="s">
        <v>2878</v>
      </c>
      <c r="KBC1334" s="4" t="s">
        <v>2878</v>
      </c>
      <c r="KBD1334" s="4" t="s">
        <v>2878</v>
      </c>
      <c r="KBE1334" s="4" t="s">
        <v>2878</v>
      </c>
      <c r="KBF1334" s="4" t="s">
        <v>2878</v>
      </c>
      <c r="KBG1334" s="4" t="s">
        <v>2878</v>
      </c>
      <c r="KBH1334" s="4" t="s">
        <v>2878</v>
      </c>
      <c r="KBI1334" s="4" t="s">
        <v>2878</v>
      </c>
      <c r="KBJ1334" s="4" t="s">
        <v>2878</v>
      </c>
      <c r="KBK1334" s="4" t="s">
        <v>2878</v>
      </c>
      <c r="KBL1334" s="4" t="s">
        <v>2878</v>
      </c>
      <c r="KBM1334" s="4" t="s">
        <v>2878</v>
      </c>
      <c r="KBN1334" s="4" t="s">
        <v>2878</v>
      </c>
      <c r="KBO1334" s="4" t="s">
        <v>2878</v>
      </c>
      <c r="KBP1334" s="4" t="s">
        <v>2878</v>
      </c>
      <c r="KBQ1334" s="4" t="s">
        <v>2878</v>
      </c>
      <c r="KBR1334" s="4" t="s">
        <v>2878</v>
      </c>
      <c r="KBS1334" s="4" t="s">
        <v>2878</v>
      </c>
      <c r="KBT1334" s="4" t="s">
        <v>2878</v>
      </c>
      <c r="KBU1334" s="4" t="s">
        <v>2878</v>
      </c>
      <c r="KBV1334" s="4" t="s">
        <v>2878</v>
      </c>
      <c r="KBW1334" s="4" t="s">
        <v>2878</v>
      </c>
      <c r="KBX1334" s="4" t="s">
        <v>2878</v>
      </c>
      <c r="KBY1334" s="4" t="s">
        <v>2878</v>
      </c>
      <c r="KBZ1334" s="4" t="s">
        <v>2878</v>
      </c>
      <c r="KCA1334" s="4" t="s">
        <v>2878</v>
      </c>
      <c r="KCB1334" s="4" t="s">
        <v>2878</v>
      </c>
      <c r="KCC1334" s="4" t="s">
        <v>2878</v>
      </c>
      <c r="KCD1334" s="4" t="s">
        <v>2878</v>
      </c>
      <c r="KCE1334" s="4" t="s">
        <v>2878</v>
      </c>
      <c r="KCF1334" s="4" t="s">
        <v>2878</v>
      </c>
      <c r="KCG1334" s="4" t="s">
        <v>2878</v>
      </c>
      <c r="KCH1334" s="4" t="s">
        <v>2878</v>
      </c>
      <c r="KCI1334" s="4" t="s">
        <v>2878</v>
      </c>
      <c r="KCJ1334" s="4" t="s">
        <v>2878</v>
      </c>
      <c r="KCK1334" s="4" t="s">
        <v>2878</v>
      </c>
      <c r="KCL1334" s="4" t="s">
        <v>2878</v>
      </c>
      <c r="KCM1334" s="4" t="s">
        <v>2878</v>
      </c>
      <c r="KCN1334" s="4" t="s">
        <v>2878</v>
      </c>
      <c r="KCO1334" s="4" t="s">
        <v>2878</v>
      </c>
      <c r="KCP1334" s="4" t="s">
        <v>2878</v>
      </c>
      <c r="KCQ1334" s="4" t="s">
        <v>2878</v>
      </c>
      <c r="KCR1334" s="4" t="s">
        <v>2878</v>
      </c>
      <c r="KCS1334" s="4" t="s">
        <v>2878</v>
      </c>
      <c r="KCT1334" s="4" t="s">
        <v>2878</v>
      </c>
      <c r="KCU1334" s="4" t="s">
        <v>2878</v>
      </c>
      <c r="KCV1334" s="4" t="s">
        <v>2878</v>
      </c>
      <c r="KCW1334" s="4" t="s">
        <v>2878</v>
      </c>
      <c r="KCX1334" s="4" t="s">
        <v>2878</v>
      </c>
      <c r="KCY1334" s="4" t="s">
        <v>2878</v>
      </c>
      <c r="KCZ1334" s="4" t="s">
        <v>2878</v>
      </c>
      <c r="KDA1334" s="4" t="s">
        <v>2878</v>
      </c>
      <c r="KDB1334" s="4" t="s">
        <v>2878</v>
      </c>
      <c r="KDC1334" s="4" t="s">
        <v>2878</v>
      </c>
      <c r="KDD1334" s="4" t="s">
        <v>2878</v>
      </c>
      <c r="KDE1334" s="4" t="s">
        <v>2878</v>
      </c>
      <c r="KDF1334" s="4" t="s">
        <v>2878</v>
      </c>
      <c r="KDG1334" s="4" t="s">
        <v>2878</v>
      </c>
      <c r="KDH1334" s="4" t="s">
        <v>2878</v>
      </c>
      <c r="KDI1334" s="4" t="s">
        <v>2878</v>
      </c>
      <c r="KDJ1334" s="4" t="s">
        <v>2878</v>
      </c>
      <c r="KDK1334" s="4" t="s">
        <v>2878</v>
      </c>
      <c r="KDL1334" s="4" t="s">
        <v>2878</v>
      </c>
      <c r="KDM1334" s="4" t="s">
        <v>2878</v>
      </c>
      <c r="KDN1334" s="4" t="s">
        <v>2878</v>
      </c>
      <c r="KDO1334" s="4" t="s">
        <v>2878</v>
      </c>
      <c r="KDP1334" s="4" t="s">
        <v>2878</v>
      </c>
      <c r="KDQ1334" s="4" t="s">
        <v>2878</v>
      </c>
      <c r="KDR1334" s="4" t="s">
        <v>2878</v>
      </c>
      <c r="KDS1334" s="4" t="s">
        <v>2878</v>
      </c>
      <c r="KDT1334" s="4" t="s">
        <v>2878</v>
      </c>
      <c r="KDU1334" s="4" t="s">
        <v>2878</v>
      </c>
      <c r="KDV1334" s="4" t="s">
        <v>2878</v>
      </c>
      <c r="KDW1334" s="4" t="s">
        <v>2878</v>
      </c>
      <c r="KDX1334" s="4" t="s">
        <v>2878</v>
      </c>
      <c r="KDY1334" s="4" t="s">
        <v>2878</v>
      </c>
      <c r="KDZ1334" s="4" t="s">
        <v>2878</v>
      </c>
      <c r="KEA1334" s="4" t="s">
        <v>2878</v>
      </c>
      <c r="KEB1334" s="4" t="s">
        <v>2878</v>
      </c>
      <c r="KEC1334" s="4" t="s">
        <v>2878</v>
      </c>
      <c r="KED1334" s="4" t="s">
        <v>2878</v>
      </c>
      <c r="KEE1334" s="4" t="s">
        <v>2878</v>
      </c>
      <c r="KEF1334" s="4" t="s">
        <v>2878</v>
      </c>
      <c r="KEG1334" s="4" t="s">
        <v>2878</v>
      </c>
      <c r="KEH1334" s="4" t="s">
        <v>2878</v>
      </c>
      <c r="KEI1334" s="4" t="s">
        <v>2878</v>
      </c>
      <c r="KEJ1334" s="4" t="s">
        <v>2878</v>
      </c>
      <c r="KEK1334" s="4" t="s">
        <v>2878</v>
      </c>
      <c r="KEL1334" s="4" t="s">
        <v>2878</v>
      </c>
      <c r="KEM1334" s="4" t="s">
        <v>2878</v>
      </c>
      <c r="KEN1334" s="4" t="s">
        <v>2878</v>
      </c>
      <c r="KEO1334" s="4" t="s">
        <v>2878</v>
      </c>
      <c r="KEP1334" s="4" t="s">
        <v>2878</v>
      </c>
      <c r="KEQ1334" s="4" t="s">
        <v>2878</v>
      </c>
      <c r="KER1334" s="4" t="s">
        <v>2878</v>
      </c>
      <c r="KES1334" s="4" t="s">
        <v>2878</v>
      </c>
      <c r="KET1334" s="4" t="s">
        <v>2878</v>
      </c>
      <c r="KEU1334" s="4" t="s">
        <v>2878</v>
      </c>
      <c r="KEV1334" s="4" t="s">
        <v>2878</v>
      </c>
      <c r="KEW1334" s="4" t="s">
        <v>2878</v>
      </c>
      <c r="KEX1334" s="4" t="s">
        <v>2878</v>
      </c>
      <c r="KEY1334" s="4" t="s">
        <v>2878</v>
      </c>
      <c r="KEZ1334" s="4" t="s">
        <v>2878</v>
      </c>
      <c r="KFA1334" s="4" t="s">
        <v>2878</v>
      </c>
      <c r="KFB1334" s="4" t="s">
        <v>2878</v>
      </c>
      <c r="KFC1334" s="4" t="s">
        <v>2878</v>
      </c>
      <c r="KFD1334" s="4" t="s">
        <v>2878</v>
      </c>
      <c r="KFE1334" s="4" t="s">
        <v>2878</v>
      </c>
      <c r="KFF1334" s="4" t="s">
        <v>2878</v>
      </c>
      <c r="KFG1334" s="4" t="s">
        <v>2878</v>
      </c>
      <c r="KFH1334" s="4" t="s">
        <v>2878</v>
      </c>
      <c r="KFI1334" s="4" t="s">
        <v>2878</v>
      </c>
      <c r="KFJ1334" s="4" t="s">
        <v>2878</v>
      </c>
      <c r="KFK1334" s="4" t="s">
        <v>2878</v>
      </c>
      <c r="KFL1334" s="4" t="s">
        <v>2878</v>
      </c>
      <c r="KFM1334" s="4" t="s">
        <v>2878</v>
      </c>
      <c r="KFN1334" s="4" t="s">
        <v>2878</v>
      </c>
      <c r="KFO1334" s="4" t="s">
        <v>2878</v>
      </c>
      <c r="KFP1334" s="4" t="s">
        <v>2878</v>
      </c>
      <c r="KFQ1334" s="4" t="s">
        <v>2878</v>
      </c>
      <c r="KFR1334" s="4" t="s">
        <v>2878</v>
      </c>
      <c r="KFS1334" s="4" t="s">
        <v>2878</v>
      </c>
      <c r="KFT1334" s="4" t="s">
        <v>2878</v>
      </c>
      <c r="KFU1334" s="4" t="s">
        <v>2878</v>
      </c>
      <c r="KFV1334" s="4" t="s">
        <v>2878</v>
      </c>
      <c r="KFW1334" s="4" t="s">
        <v>2878</v>
      </c>
      <c r="KFX1334" s="4" t="s">
        <v>2878</v>
      </c>
      <c r="KFY1334" s="4" t="s">
        <v>2878</v>
      </c>
      <c r="KFZ1334" s="4" t="s">
        <v>2878</v>
      </c>
      <c r="KGA1334" s="4" t="s">
        <v>2878</v>
      </c>
      <c r="KGB1334" s="4" t="s">
        <v>2878</v>
      </c>
      <c r="KGC1334" s="4" t="s">
        <v>2878</v>
      </c>
      <c r="KGD1334" s="4" t="s">
        <v>2878</v>
      </c>
      <c r="KGE1334" s="4" t="s">
        <v>2878</v>
      </c>
      <c r="KGF1334" s="4" t="s">
        <v>2878</v>
      </c>
      <c r="KGG1334" s="4" t="s">
        <v>2878</v>
      </c>
      <c r="KGH1334" s="4" t="s">
        <v>2878</v>
      </c>
      <c r="KGI1334" s="4" t="s">
        <v>2878</v>
      </c>
      <c r="KGJ1334" s="4" t="s">
        <v>2878</v>
      </c>
      <c r="KGK1334" s="4" t="s">
        <v>2878</v>
      </c>
      <c r="KGL1334" s="4" t="s">
        <v>2878</v>
      </c>
      <c r="KGM1334" s="4" t="s">
        <v>2878</v>
      </c>
      <c r="KGN1334" s="4" t="s">
        <v>2878</v>
      </c>
      <c r="KGO1334" s="4" t="s">
        <v>2878</v>
      </c>
      <c r="KGP1334" s="4" t="s">
        <v>2878</v>
      </c>
      <c r="KGQ1334" s="4" t="s">
        <v>2878</v>
      </c>
      <c r="KGR1334" s="4" t="s">
        <v>2878</v>
      </c>
      <c r="KGS1334" s="4" t="s">
        <v>2878</v>
      </c>
      <c r="KGT1334" s="4" t="s">
        <v>2878</v>
      </c>
      <c r="KGU1334" s="4" t="s">
        <v>2878</v>
      </c>
      <c r="KGV1334" s="4" t="s">
        <v>2878</v>
      </c>
      <c r="KGW1334" s="4" t="s">
        <v>2878</v>
      </c>
      <c r="KGX1334" s="4" t="s">
        <v>2878</v>
      </c>
      <c r="KGY1334" s="4" t="s">
        <v>2878</v>
      </c>
      <c r="KGZ1334" s="4" t="s">
        <v>2878</v>
      </c>
      <c r="KHA1334" s="4" t="s">
        <v>2878</v>
      </c>
      <c r="KHB1334" s="4" t="s">
        <v>2878</v>
      </c>
      <c r="KHC1334" s="4" t="s">
        <v>2878</v>
      </c>
      <c r="KHD1334" s="4" t="s">
        <v>2878</v>
      </c>
      <c r="KHE1334" s="4" t="s">
        <v>2878</v>
      </c>
      <c r="KHF1334" s="4" t="s">
        <v>2878</v>
      </c>
      <c r="KHG1334" s="4" t="s">
        <v>2878</v>
      </c>
      <c r="KHH1334" s="4" t="s">
        <v>2878</v>
      </c>
      <c r="KHI1334" s="4" t="s">
        <v>2878</v>
      </c>
      <c r="KHJ1334" s="4" t="s">
        <v>2878</v>
      </c>
      <c r="KHK1334" s="4" t="s">
        <v>2878</v>
      </c>
      <c r="KHL1334" s="4" t="s">
        <v>2878</v>
      </c>
      <c r="KHM1334" s="4" t="s">
        <v>2878</v>
      </c>
      <c r="KHN1334" s="4" t="s">
        <v>2878</v>
      </c>
      <c r="KHO1334" s="4" t="s">
        <v>2878</v>
      </c>
      <c r="KHP1334" s="4" t="s">
        <v>2878</v>
      </c>
      <c r="KHQ1334" s="4" t="s">
        <v>2878</v>
      </c>
      <c r="KHR1334" s="4" t="s">
        <v>2878</v>
      </c>
      <c r="KHS1334" s="4" t="s">
        <v>2878</v>
      </c>
      <c r="KHT1334" s="4" t="s">
        <v>2878</v>
      </c>
      <c r="KHU1334" s="4" t="s">
        <v>2878</v>
      </c>
      <c r="KHV1334" s="4" t="s">
        <v>2878</v>
      </c>
      <c r="KHW1334" s="4" t="s">
        <v>2878</v>
      </c>
      <c r="KHX1334" s="4" t="s">
        <v>2878</v>
      </c>
      <c r="KHY1334" s="4" t="s">
        <v>2878</v>
      </c>
      <c r="KHZ1334" s="4" t="s">
        <v>2878</v>
      </c>
      <c r="KIA1334" s="4" t="s">
        <v>2878</v>
      </c>
      <c r="KIB1334" s="4" t="s">
        <v>2878</v>
      </c>
      <c r="KIC1334" s="4" t="s">
        <v>2878</v>
      </c>
      <c r="KID1334" s="4" t="s">
        <v>2878</v>
      </c>
      <c r="KIE1334" s="4" t="s">
        <v>2878</v>
      </c>
      <c r="KIF1334" s="4" t="s">
        <v>2878</v>
      </c>
      <c r="KIG1334" s="4" t="s">
        <v>2878</v>
      </c>
      <c r="KIH1334" s="4" t="s">
        <v>2878</v>
      </c>
      <c r="KII1334" s="4" t="s">
        <v>2878</v>
      </c>
      <c r="KIJ1334" s="4" t="s">
        <v>2878</v>
      </c>
      <c r="KIK1334" s="4" t="s">
        <v>2878</v>
      </c>
      <c r="KIL1334" s="4" t="s">
        <v>2878</v>
      </c>
      <c r="KIM1334" s="4" t="s">
        <v>2878</v>
      </c>
      <c r="KIN1334" s="4" t="s">
        <v>2878</v>
      </c>
      <c r="KIO1334" s="4" t="s">
        <v>2878</v>
      </c>
      <c r="KIP1334" s="4" t="s">
        <v>2878</v>
      </c>
      <c r="KIQ1334" s="4" t="s">
        <v>2878</v>
      </c>
      <c r="KIR1334" s="4" t="s">
        <v>2878</v>
      </c>
      <c r="KIS1334" s="4" t="s">
        <v>2878</v>
      </c>
      <c r="KIT1334" s="4" t="s">
        <v>2878</v>
      </c>
      <c r="KIU1334" s="4" t="s">
        <v>2878</v>
      </c>
      <c r="KIV1334" s="4" t="s">
        <v>2878</v>
      </c>
      <c r="KIW1334" s="4" t="s">
        <v>2878</v>
      </c>
      <c r="KIX1334" s="4" t="s">
        <v>2878</v>
      </c>
      <c r="KIY1334" s="4" t="s">
        <v>2878</v>
      </c>
      <c r="KIZ1334" s="4" t="s">
        <v>2878</v>
      </c>
      <c r="KJA1334" s="4" t="s">
        <v>2878</v>
      </c>
      <c r="KJB1334" s="4" t="s">
        <v>2878</v>
      </c>
      <c r="KJC1334" s="4" t="s">
        <v>2878</v>
      </c>
      <c r="KJD1334" s="4" t="s">
        <v>2878</v>
      </c>
      <c r="KJE1334" s="4" t="s">
        <v>2878</v>
      </c>
      <c r="KJF1334" s="4" t="s">
        <v>2878</v>
      </c>
      <c r="KJG1334" s="4" t="s">
        <v>2878</v>
      </c>
      <c r="KJH1334" s="4" t="s">
        <v>2878</v>
      </c>
      <c r="KJI1334" s="4" t="s">
        <v>2878</v>
      </c>
      <c r="KJJ1334" s="4" t="s">
        <v>2878</v>
      </c>
      <c r="KJK1334" s="4" t="s">
        <v>2878</v>
      </c>
      <c r="KJL1334" s="4" t="s">
        <v>2878</v>
      </c>
      <c r="KJM1334" s="4" t="s">
        <v>2878</v>
      </c>
      <c r="KJN1334" s="4" t="s">
        <v>2878</v>
      </c>
      <c r="KJO1334" s="4" t="s">
        <v>2878</v>
      </c>
      <c r="KJP1334" s="4" t="s">
        <v>2878</v>
      </c>
      <c r="KJQ1334" s="4" t="s">
        <v>2878</v>
      </c>
      <c r="KJR1334" s="4" t="s">
        <v>2878</v>
      </c>
      <c r="KJS1334" s="4" t="s">
        <v>2878</v>
      </c>
      <c r="KJT1334" s="4" t="s">
        <v>2878</v>
      </c>
      <c r="KJU1334" s="4" t="s">
        <v>2878</v>
      </c>
      <c r="KJV1334" s="4" t="s">
        <v>2878</v>
      </c>
      <c r="KJW1334" s="4" t="s">
        <v>2878</v>
      </c>
      <c r="KJX1334" s="4" t="s">
        <v>2878</v>
      </c>
      <c r="KJY1334" s="4" t="s">
        <v>2878</v>
      </c>
      <c r="KJZ1334" s="4" t="s">
        <v>2878</v>
      </c>
      <c r="KKA1334" s="4" t="s">
        <v>2878</v>
      </c>
      <c r="KKB1334" s="4" t="s">
        <v>2878</v>
      </c>
      <c r="KKC1334" s="4" t="s">
        <v>2878</v>
      </c>
      <c r="KKD1334" s="4" t="s">
        <v>2878</v>
      </c>
      <c r="KKE1334" s="4" t="s">
        <v>2878</v>
      </c>
      <c r="KKF1334" s="4" t="s">
        <v>2878</v>
      </c>
      <c r="KKG1334" s="4" t="s">
        <v>2878</v>
      </c>
      <c r="KKH1334" s="4" t="s">
        <v>2878</v>
      </c>
      <c r="KKI1334" s="4" t="s">
        <v>2878</v>
      </c>
      <c r="KKJ1334" s="4" t="s">
        <v>2878</v>
      </c>
      <c r="KKK1334" s="4" t="s">
        <v>2878</v>
      </c>
      <c r="KKL1334" s="4" t="s">
        <v>2878</v>
      </c>
      <c r="KKM1334" s="4" t="s">
        <v>2878</v>
      </c>
      <c r="KKN1334" s="4" t="s">
        <v>2878</v>
      </c>
      <c r="KKO1334" s="4" t="s">
        <v>2878</v>
      </c>
      <c r="KKP1334" s="4" t="s">
        <v>2878</v>
      </c>
      <c r="KKQ1334" s="4" t="s">
        <v>2878</v>
      </c>
      <c r="KKR1334" s="4" t="s">
        <v>2878</v>
      </c>
      <c r="KKS1334" s="4" t="s">
        <v>2878</v>
      </c>
      <c r="KKT1334" s="4" t="s">
        <v>2878</v>
      </c>
      <c r="KKU1334" s="4" t="s">
        <v>2878</v>
      </c>
      <c r="KKV1334" s="4" t="s">
        <v>2878</v>
      </c>
      <c r="KKW1334" s="4" t="s">
        <v>2878</v>
      </c>
      <c r="KKX1334" s="4" t="s">
        <v>2878</v>
      </c>
      <c r="KKY1334" s="4" t="s">
        <v>2878</v>
      </c>
      <c r="KKZ1334" s="4" t="s">
        <v>2878</v>
      </c>
      <c r="KLA1334" s="4" t="s">
        <v>2878</v>
      </c>
      <c r="KLB1334" s="4" t="s">
        <v>2878</v>
      </c>
      <c r="KLC1334" s="4" t="s">
        <v>2878</v>
      </c>
      <c r="KLD1334" s="4" t="s">
        <v>2878</v>
      </c>
      <c r="KLE1334" s="4" t="s">
        <v>2878</v>
      </c>
      <c r="KLF1334" s="4" t="s">
        <v>2878</v>
      </c>
      <c r="KLG1334" s="4" t="s">
        <v>2878</v>
      </c>
      <c r="KLH1334" s="4" t="s">
        <v>2878</v>
      </c>
      <c r="KLI1334" s="4" t="s">
        <v>2878</v>
      </c>
      <c r="KLJ1334" s="4" t="s">
        <v>2878</v>
      </c>
      <c r="KLK1334" s="4" t="s">
        <v>2878</v>
      </c>
      <c r="KLL1334" s="4" t="s">
        <v>2878</v>
      </c>
      <c r="KLM1334" s="4" t="s">
        <v>2878</v>
      </c>
      <c r="KLN1334" s="4" t="s">
        <v>2878</v>
      </c>
      <c r="KLO1334" s="4" t="s">
        <v>2878</v>
      </c>
      <c r="KLP1334" s="4" t="s">
        <v>2878</v>
      </c>
      <c r="KLQ1334" s="4" t="s">
        <v>2878</v>
      </c>
      <c r="KLR1334" s="4" t="s">
        <v>2878</v>
      </c>
      <c r="KLS1334" s="4" t="s">
        <v>2878</v>
      </c>
      <c r="KLT1334" s="4" t="s">
        <v>2878</v>
      </c>
      <c r="KLU1334" s="4" t="s">
        <v>2878</v>
      </c>
      <c r="KLV1334" s="4" t="s">
        <v>2878</v>
      </c>
      <c r="KLW1334" s="4" t="s">
        <v>2878</v>
      </c>
      <c r="KLX1334" s="4" t="s">
        <v>2878</v>
      </c>
      <c r="KLY1334" s="4" t="s">
        <v>2878</v>
      </c>
      <c r="KLZ1334" s="4" t="s">
        <v>2878</v>
      </c>
      <c r="KMA1334" s="4" t="s">
        <v>2878</v>
      </c>
      <c r="KMB1334" s="4" t="s">
        <v>2878</v>
      </c>
      <c r="KMC1334" s="4" t="s">
        <v>2878</v>
      </c>
      <c r="KMD1334" s="4" t="s">
        <v>2878</v>
      </c>
      <c r="KME1334" s="4" t="s">
        <v>2878</v>
      </c>
      <c r="KMF1334" s="4" t="s">
        <v>2878</v>
      </c>
      <c r="KMG1334" s="4" t="s">
        <v>2878</v>
      </c>
      <c r="KMH1334" s="4" t="s">
        <v>2878</v>
      </c>
      <c r="KMI1334" s="4" t="s">
        <v>2878</v>
      </c>
      <c r="KMJ1334" s="4" t="s">
        <v>2878</v>
      </c>
      <c r="KMK1334" s="4" t="s">
        <v>2878</v>
      </c>
      <c r="KML1334" s="4" t="s">
        <v>2878</v>
      </c>
      <c r="KMM1334" s="4" t="s">
        <v>2878</v>
      </c>
      <c r="KMN1334" s="4" t="s">
        <v>2878</v>
      </c>
      <c r="KMO1334" s="4" t="s">
        <v>2878</v>
      </c>
      <c r="KMP1334" s="4" t="s">
        <v>2878</v>
      </c>
      <c r="KMQ1334" s="4" t="s">
        <v>2878</v>
      </c>
      <c r="KMR1334" s="4" t="s">
        <v>2878</v>
      </c>
      <c r="KMS1334" s="4" t="s">
        <v>2878</v>
      </c>
      <c r="KMT1334" s="4" t="s">
        <v>2878</v>
      </c>
      <c r="KMU1334" s="4" t="s">
        <v>2878</v>
      </c>
      <c r="KMV1334" s="4" t="s">
        <v>2878</v>
      </c>
      <c r="KMW1334" s="4" t="s">
        <v>2878</v>
      </c>
      <c r="KMX1334" s="4" t="s">
        <v>2878</v>
      </c>
      <c r="KMY1334" s="4" t="s">
        <v>2878</v>
      </c>
      <c r="KMZ1334" s="4" t="s">
        <v>2878</v>
      </c>
      <c r="KNA1334" s="4" t="s">
        <v>2878</v>
      </c>
      <c r="KNB1334" s="4" t="s">
        <v>2878</v>
      </c>
      <c r="KNC1334" s="4" t="s">
        <v>2878</v>
      </c>
      <c r="KND1334" s="4" t="s">
        <v>2878</v>
      </c>
      <c r="KNE1334" s="4" t="s">
        <v>2878</v>
      </c>
      <c r="KNF1334" s="4" t="s">
        <v>2878</v>
      </c>
      <c r="KNG1334" s="4" t="s">
        <v>2878</v>
      </c>
      <c r="KNH1334" s="4" t="s">
        <v>2878</v>
      </c>
      <c r="KNI1334" s="4" t="s">
        <v>2878</v>
      </c>
      <c r="KNJ1334" s="4" t="s">
        <v>2878</v>
      </c>
      <c r="KNK1334" s="4" t="s">
        <v>2878</v>
      </c>
      <c r="KNL1334" s="4" t="s">
        <v>2878</v>
      </c>
      <c r="KNM1334" s="4" t="s">
        <v>2878</v>
      </c>
      <c r="KNN1334" s="4" t="s">
        <v>2878</v>
      </c>
      <c r="KNO1334" s="4" t="s">
        <v>2878</v>
      </c>
      <c r="KNP1334" s="4" t="s">
        <v>2878</v>
      </c>
      <c r="KNQ1334" s="4" t="s">
        <v>2878</v>
      </c>
      <c r="KNR1334" s="4" t="s">
        <v>2878</v>
      </c>
      <c r="KNS1334" s="4" t="s">
        <v>2878</v>
      </c>
      <c r="KNT1334" s="4" t="s">
        <v>2878</v>
      </c>
      <c r="KNU1334" s="4" t="s">
        <v>2878</v>
      </c>
      <c r="KNV1334" s="4" t="s">
        <v>2878</v>
      </c>
      <c r="KNW1334" s="4" t="s">
        <v>2878</v>
      </c>
      <c r="KNX1334" s="4" t="s">
        <v>2878</v>
      </c>
      <c r="KNY1334" s="4" t="s">
        <v>2878</v>
      </c>
      <c r="KNZ1334" s="4" t="s">
        <v>2878</v>
      </c>
      <c r="KOA1334" s="4" t="s">
        <v>2878</v>
      </c>
      <c r="KOB1334" s="4" t="s">
        <v>2878</v>
      </c>
      <c r="KOC1334" s="4" t="s">
        <v>2878</v>
      </c>
      <c r="KOD1334" s="4" t="s">
        <v>2878</v>
      </c>
      <c r="KOE1334" s="4" t="s">
        <v>2878</v>
      </c>
      <c r="KOF1334" s="4" t="s">
        <v>2878</v>
      </c>
      <c r="KOG1334" s="4" t="s">
        <v>2878</v>
      </c>
      <c r="KOH1334" s="4" t="s">
        <v>2878</v>
      </c>
      <c r="KOI1334" s="4" t="s">
        <v>2878</v>
      </c>
      <c r="KOJ1334" s="4" t="s">
        <v>2878</v>
      </c>
      <c r="KOK1334" s="4" t="s">
        <v>2878</v>
      </c>
      <c r="KOL1334" s="4" t="s">
        <v>2878</v>
      </c>
      <c r="KOM1334" s="4" t="s">
        <v>2878</v>
      </c>
      <c r="KON1334" s="4" t="s">
        <v>2878</v>
      </c>
      <c r="KOO1334" s="4" t="s">
        <v>2878</v>
      </c>
      <c r="KOP1334" s="4" t="s">
        <v>2878</v>
      </c>
      <c r="KOQ1334" s="4" t="s">
        <v>2878</v>
      </c>
      <c r="KOR1334" s="4" t="s">
        <v>2878</v>
      </c>
      <c r="KOS1334" s="4" t="s">
        <v>2878</v>
      </c>
      <c r="KOT1334" s="4" t="s">
        <v>2878</v>
      </c>
      <c r="KOU1334" s="4" t="s">
        <v>2878</v>
      </c>
      <c r="KOV1334" s="4" t="s">
        <v>2878</v>
      </c>
      <c r="KOW1334" s="4" t="s">
        <v>2878</v>
      </c>
      <c r="KOX1334" s="4" t="s">
        <v>2878</v>
      </c>
      <c r="KOY1334" s="4" t="s">
        <v>2878</v>
      </c>
      <c r="KOZ1334" s="4" t="s">
        <v>2878</v>
      </c>
      <c r="KPA1334" s="4" t="s">
        <v>2878</v>
      </c>
      <c r="KPB1334" s="4" t="s">
        <v>2878</v>
      </c>
      <c r="KPC1334" s="4" t="s">
        <v>2878</v>
      </c>
      <c r="KPD1334" s="4" t="s">
        <v>2878</v>
      </c>
      <c r="KPE1334" s="4" t="s">
        <v>2878</v>
      </c>
      <c r="KPF1334" s="4" t="s">
        <v>2878</v>
      </c>
      <c r="KPG1334" s="4" t="s">
        <v>2878</v>
      </c>
      <c r="KPH1334" s="4" t="s">
        <v>2878</v>
      </c>
      <c r="KPI1334" s="4" t="s">
        <v>2878</v>
      </c>
      <c r="KPJ1334" s="4" t="s">
        <v>2878</v>
      </c>
      <c r="KPK1334" s="4" t="s">
        <v>2878</v>
      </c>
      <c r="KPL1334" s="4" t="s">
        <v>2878</v>
      </c>
      <c r="KPM1334" s="4" t="s">
        <v>2878</v>
      </c>
      <c r="KPN1334" s="4" t="s">
        <v>2878</v>
      </c>
      <c r="KPO1334" s="4" t="s">
        <v>2878</v>
      </c>
      <c r="KPP1334" s="4" t="s">
        <v>2878</v>
      </c>
      <c r="KPQ1334" s="4" t="s">
        <v>2878</v>
      </c>
      <c r="KPR1334" s="4" t="s">
        <v>2878</v>
      </c>
      <c r="KPS1334" s="4" t="s">
        <v>2878</v>
      </c>
      <c r="KPT1334" s="4" t="s">
        <v>2878</v>
      </c>
      <c r="KPU1334" s="4" t="s">
        <v>2878</v>
      </c>
      <c r="KPV1334" s="4" t="s">
        <v>2878</v>
      </c>
      <c r="KPW1334" s="4" t="s">
        <v>2878</v>
      </c>
      <c r="KPX1334" s="4" t="s">
        <v>2878</v>
      </c>
      <c r="KPY1334" s="4" t="s">
        <v>2878</v>
      </c>
      <c r="KPZ1334" s="4" t="s">
        <v>2878</v>
      </c>
      <c r="KQA1334" s="4" t="s">
        <v>2878</v>
      </c>
      <c r="KQB1334" s="4" t="s">
        <v>2878</v>
      </c>
      <c r="KQC1334" s="4" t="s">
        <v>2878</v>
      </c>
      <c r="KQD1334" s="4" t="s">
        <v>2878</v>
      </c>
      <c r="KQE1334" s="4" t="s">
        <v>2878</v>
      </c>
      <c r="KQF1334" s="4" t="s">
        <v>2878</v>
      </c>
      <c r="KQG1334" s="4" t="s">
        <v>2878</v>
      </c>
      <c r="KQH1334" s="4" t="s">
        <v>2878</v>
      </c>
      <c r="KQI1334" s="4" t="s">
        <v>2878</v>
      </c>
      <c r="KQJ1334" s="4" t="s">
        <v>2878</v>
      </c>
      <c r="KQK1334" s="4" t="s">
        <v>2878</v>
      </c>
      <c r="KQL1334" s="4" t="s">
        <v>2878</v>
      </c>
      <c r="KQM1334" s="4" t="s">
        <v>2878</v>
      </c>
      <c r="KQN1334" s="4" t="s">
        <v>2878</v>
      </c>
      <c r="KQO1334" s="4" t="s">
        <v>2878</v>
      </c>
      <c r="KQP1334" s="4" t="s">
        <v>2878</v>
      </c>
      <c r="KQQ1334" s="4" t="s">
        <v>2878</v>
      </c>
      <c r="KQR1334" s="4" t="s">
        <v>2878</v>
      </c>
      <c r="KQS1334" s="4" t="s">
        <v>2878</v>
      </c>
      <c r="KQT1334" s="4" t="s">
        <v>2878</v>
      </c>
      <c r="KQU1334" s="4" t="s">
        <v>2878</v>
      </c>
      <c r="KQV1334" s="4" t="s">
        <v>2878</v>
      </c>
      <c r="KQW1334" s="4" t="s">
        <v>2878</v>
      </c>
      <c r="KQX1334" s="4" t="s">
        <v>2878</v>
      </c>
      <c r="KQY1334" s="4" t="s">
        <v>2878</v>
      </c>
      <c r="KQZ1334" s="4" t="s">
        <v>2878</v>
      </c>
      <c r="KRA1334" s="4" t="s">
        <v>2878</v>
      </c>
      <c r="KRB1334" s="4" t="s">
        <v>2878</v>
      </c>
      <c r="KRC1334" s="4" t="s">
        <v>2878</v>
      </c>
      <c r="KRD1334" s="4" t="s">
        <v>2878</v>
      </c>
      <c r="KRE1334" s="4" t="s">
        <v>2878</v>
      </c>
      <c r="KRF1334" s="4" t="s">
        <v>2878</v>
      </c>
      <c r="KRG1334" s="4" t="s">
        <v>2878</v>
      </c>
      <c r="KRH1334" s="4" t="s">
        <v>2878</v>
      </c>
      <c r="KRI1334" s="4" t="s">
        <v>2878</v>
      </c>
      <c r="KRJ1334" s="4" t="s">
        <v>2878</v>
      </c>
      <c r="KRK1334" s="4" t="s">
        <v>2878</v>
      </c>
      <c r="KRL1334" s="4" t="s">
        <v>2878</v>
      </c>
      <c r="KRM1334" s="4" t="s">
        <v>2878</v>
      </c>
      <c r="KRN1334" s="4" t="s">
        <v>2878</v>
      </c>
      <c r="KRO1334" s="4" t="s">
        <v>2878</v>
      </c>
      <c r="KRP1334" s="4" t="s">
        <v>2878</v>
      </c>
      <c r="KRQ1334" s="4" t="s">
        <v>2878</v>
      </c>
      <c r="KRR1334" s="4" t="s">
        <v>2878</v>
      </c>
      <c r="KRS1334" s="4" t="s">
        <v>2878</v>
      </c>
      <c r="KRT1334" s="4" t="s">
        <v>2878</v>
      </c>
      <c r="KRU1334" s="4" t="s">
        <v>2878</v>
      </c>
      <c r="KRV1334" s="4" t="s">
        <v>2878</v>
      </c>
      <c r="KRW1334" s="4" t="s">
        <v>2878</v>
      </c>
      <c r="KRX1334" s="4" t="s">
        <v>2878</v>
      </c>
      <c r="KRY1334" s="4" t="s">
        <v>2878</v>
      </c>
      <c r="KRZ1334" s="4" t="s">
        <v>2878</v>
      </c>
      <c r="KSA1334" s="4" t="s">
        <v>2878</v>
      </c>
      <c r="KSB1334" s="4" t="s">
        <v>2878</v>
      </c>
      <c r="KSC1334" s="4" t="s">
        <v>2878</v>
      </c>
      <c r="KSD1334" s="4" t="s">
        <v>2878</v>
      </c>
      <c r="KSE1334" s="4" t="s">
        <v>2878</v>
      </c>
      <c r="KSF1334" s="4" t="s">
        <v>2878</v>
      </c>
      <c r="KSG1334" s="4" t="s">
        <v>2878</v>
      </c>
      <c r="KSH1334" s="4" t="s">
        <v>2878</v>
      </c>
      <c r="KSI1334" s="4" t="s">
        <v>2878</v>
      </c>
      <c r="KSJ1334" s="4" t="s">
        <v>2878</v>
      </c>
      <c r="KSK1334" s="4" t="s">
        <v>2878</v>
      </c>
      <c r="KSL1334" s="4" t="s">
        <v>2878</v>
      </c>
      <c r="KSM1334" s="4" t="s">
        <v>2878</v>
      </c>
      <c r="KSN1334" s="4" t="s">
        <v>2878</v>
      </c>
      <c r="KSO1334" s="4" t="s">
        <v>2878</v>
      </c>
      <c r="KSP1334" s="4" t="s">
        <v>2878</v>
      </c>
      <c r="KSQ1334" s="4" t="s">
        <v>2878</v>
      </c>
      <c r="KSR1334" s="4" t="s">
        <v>2878</v>
      </c>
      <c r="KSS1334" s="4" t="s">
        <v>2878</v>
      </c>
      <c r="KST1334" s="4" t="s">
        <v>2878</v>
      </c>
      <c r="KSU1334" s="4" t="s">
        <v>2878</v>
      </c>
      <c r="KSV1334" s="4" t="s">
        <v>2878</v>
      </c>
      <c r="KSW1334" s="4" t="s">
        <v>2878</v>
      </c>
      <c r="KSX1334" s="4" t="s">
        <v>2878</v>
      </c>
      <c r="KSY1334" s="4" t="s">
        <v>2878</v>
      </c>
      <c r="KSZ1334" s="4" t="s">
        <v>2878</v>
      </c>
      <c r="KTA1334" s="4" t="s">
        <v>2878</v>
      </c>
      <c r="KTB1334" s="4" t="s">
        <v>2878</v>
      </c>
      <c r="KTC1334" s="4" t="s">
        <v>2878</v>
      </c>
      <c r="KTD1334" s="4" t="s">
        <v>2878</v>
      </c>
      <c r="KTE1334" s="4" t="s">
        <v>2878</v>
      </c>
      <c r="KTF1334" s="4" t="s">
        <v>2878</v>
      </c>
      <c r="KTG1334" s="4" t="s">
        <v>2878</v>
      </c>
      <c r="KTH1334" s="4" t="s">
        <v>2878</v>
      </c>
      <c r="KTI1334" s="4" t="s">
        <v>2878</v>
      </c>
      <c r="KTJ1334" s="4" t="s">
        <v>2878</v>
      </c>
      <c r="KTK1334" s="4" t="s">
        <v>2878</v>
      </c>
      <c r="KTL1334" s="4" t="s">
        <v>2878</v>
      </c>
      <c r="KTM1334" s="4" t="s">
        <v>2878</v>
      </c>
      <c r="KTN1334" s="4" t="s">
        <v>2878</v>
      </c>
      <c r="KTO1334" s="4" t="s">
        <v>2878</v>
      </c>
      <c r="KTP1334" s="4" t="s">
        <v>2878</v>
      </c>
      <c r="KTQ1334" s="4" t="s">
        <v>2878</v>
      </c>
      <c r="KTR1334" s="4" t="s">
        <v>2878</v>
      </c>
      <c r="KTS1334" s="4" t="s">
        <v>2878</v>
      </c>
      <c r="KTT1334" s="4" t="s">
        <v>2878</v>
      </c>
      <c r="KTU1334" s="4" t="s">
        <v>2878</v>
      </c>
      <c r="KTV1334" s="4" t="s">
        <v>2878</v>
      </c>
      <c r="KTW1334" s="4" t="s">
        <v>2878</v>
      </c>
      <c r="KTX1334" s="4" t="s">
        <v>2878</v>
      </c>
      <c r="KTY1334" s="4" t="s">
        <v>2878</v>
      </c>
      <c r="KTZ1334" s="4" t="s">
        <v>2878</v>
      </c>
      <c r="KUA1334" s="4" t="s">
        <v>2878</v>
      </c>
      <c r="KUB1334" s="4" t="s">
        <v>2878</v>
      </c>
      <c r="KUC1334" s="4" t="s">
        <v>2878</v>
      </c>
      <c r="KUD1334" s="4" t="s">
        <v>2878</v>
      </c>
      <c r="KUE1334" s="4" t="s">
        <v>2878</v>
      </c>
      <c r="KUF1334" s="4" t="s">
        <v>2878</v>
      </c>
      <c r="KUG1334" s="4" t="s">
        <v>2878</v>
      </c>
      <c r="KUH1334" s="4" t="s">
        <v>2878</v>
      </c>
      <c r="KUI1334" s="4" t="s">
        <v>2878</v>
      </c>
      <c r="KUJ1334" s="4" t="s">
        <v>2878</v>
      </c>
      <c r="KUK1334" s="4" t="s">
        <v>2878</v>
      </c>
      <c r="KUL1334" s="4" t="s">
        <v>2878</v>
      </c>
      <c r="KUM1334" s="4" t="s">
        <v>2878</v>
      </c>
      <c r="KUN1334" s="4" t="s">
        <v>2878</v>
      </c>
      <c r="KUO1334" s="4" t="s">
        <v>2878</v>
      </c>
      <c r="KUP1334" s="4" t="s">
        <v>2878</v>
      </c>
      <c r="KUQ1334" s="4" t="s">
        <v>2878</v>
      </c>
      <c r="KUR1334" s="4" t="s">
        <v>2878</v>
      </c>
      <c r="KUS1334" s="4" t="s">
        <v>2878</v>
      </c>
      <c r="KUT1334" s="4" t="s">
        <v>2878</v>
      </c>
      <c r="KUU1334" s="4" t="s">
        <v>2878</v>
      </c>
      <c r="KUV1334" s="4" t="s">
        <v>2878</v>
      </c>
      <c r="KUW1334" s="4" t="s">
        <v>2878</v>
      </c>
      <c r="KUX1334" s="4" t="s">
        <v>2878</v>
      </c>
      <c r="KUY1334" s="4" t="s">
        <v>2878</v>
      </c>
      <c r="KUZ1334" s="4" t="s">
        <v>2878</v>
      </c>
      <c r="KVA1334" s="4" t="s">
        <v>2878</v>
      </c>
      <c r="KVB1334" s="4" t="s">
        <v>2878</v>
      </c>
      <c r="KVC1334" s="4" t="s">
        <v>2878</v>
      </c>
      <c r="KVD1334" s="4" t="s">
        <v>2878</v>
      </c>
      <c r="KVE1334" s="4" t="s">
        <v>2878</v>
      </c>
      <c r="KVF1334" s="4" t="s">
        <v>2878</v>
      </c>
      <c r="KVG1334" s="4" t="s">
        <v>2878</v>
      </c>
      <c r="KVH1334" s="4" t="s">
        <v>2878</v>
      </c>
      <c r="KVI1334" s="4" t="s">
        <v>2878</v>
      </c>
      <c r="KVJ1334" s="4" t="s">
        <v>2878</v>
      </c>
      <c r="KVK1334" s="4" t="s">
        <v>2878</v>
      </c>
      <c r="KVL1334" s="4" t="s">
        <v>2878</v>
      </c>
      <c r="KVM1334" s="4" t="s">
        <v>2878</v>
      </c>
      <c r="KVN1334" s="4" t="s">
        <v>2878</v>
      </c>
      <c r="KVO1334" s="4" t="s">
        <v>2878</v>
      </c>
      <c r="KVP1334" s="4" t="s">
        <v>2878</v>
      </c>
      <c r="KVQ1334" s="4" t="s">
        <v>2878</v>
      </c>
      <c r="KVR1334" s="4" t="s">
        <v>2878</v>
      </c>
      <c r="KVS1334" s="4" t="s">
        <v>2878</v>
      </c>
      <c r="KVT1334" s="4" t="s">
        <v>2878</v>
      </c>
      <c r="KVU1334" s="4" t="s">
        <v>2878</v>
      </c>
      <c r="KVV1334" s="4" t="s">
        <v>2878</v>
      </c>
      <c r="KVW1334" s="4" t="s">
        <v>2878</v>
      </c>
      <c r="KVX1334" s="4" t="s">
        <v>2878</v>
      </c>
      <c r="KVY1334" s="4" t="s">
        <v>2878</v>
      </c>
      <c r="KVZ1334" s="4" t="s">
        <v>2878</v>
      </c>
      <c r="KWA1334" s="4" t="s">
        <v>2878</v>
      </c>
      <c r="KWB1334" s="4" t="s">
        <v>2878</v>
      </c>
      <c r="KWC1334" s="4" t="s">
        <v>2878</v>
      </c>
      <c r="KWD1334" s="4" t="s">
        <v>2878</v>
      </c>
      <c r="KWE1334" s="4" t="s">
        <v>2878</v>
      </c>
      <c r="KWF1334" s="4" t="s">
        <v>2878</v>
      </c>
      <c r="KWG1334" s="4" t="s">
        <v>2878</v>
      </c>
      <c r="KWH1334" s="4" t="s">
        <v>2878</v>
      </c>
      <c r="KWI1334" s="4" t="s">
        <v>2878</v>
      </c>
      <c r="KWJ1334" s="4" t="s">
        <v>2878</v>
      </c>
      <c r="KWK1334" s="4" t="s">
        <v>2878</v>
      </c>
      <c r="KWL1334" s="4" t="s">
        <v>2878</v>
      </c>
      <c r="KWM1334" s="4" t="s">
        <v>2878</v>
      </c>
      <c r="KWN1334" s="4" t="s">
        <v>2878</v>
      </c>
      <c r="KWO1334" s="4" t="s">
        <v>2878</v>
      </c>
      <c r="KWP1334" s="4" t="s">
        <v>2878</v>
      </c>
      <c r="KWQ1334" s="4" t="s">
        <v>2878</v>
      </c>
      <c r="KWR1334" s="4" t="s">
        <v>2878</v>
      </c>
      <c r="KWS1334" s="4" t="s">
        <v>2878</v>
      </c>
      <c r="KWT1334" s="4" t="s">
        <v>2878</v>
      </c>
      <c r="KWU1334" s="4" t="s">
        <v>2878</v>
      </c>
      <c r="KWV1334" s="4" t="s">
        <v>2878</v>
      </c>
      <c r="KWW1334" s="4" t="s">
        <v>2878</v>
      </c>
      <c r="KWX1334" s="4" t="s">
        <v>2878</v>
      </c>
      <c r="KWY1334" s="4" t="s">
        <v>2878</v>
      </c>
      <c r="KWZ1334" s="4" t="s">
        <v>2878</v>
      </c>
      <c r="KXA1334" s="4" t="s">
        <v>2878</v>
      </c>
      <c r="KXB1334" s="4" t="s">
        <v>2878</v>
      </c>
      <c r="KXC1334" s="4" t="s">
        <v>2878</v>
      </c>
      <c r="KXD1334" s="4" t="s">
        <v>2878</v>
      </c>
      <c r="KXE1334" s="4" t="s">
        <v>2878</v>
      </c>
      <c r="KXF1334" s="4" t="s">
        <v>2878</v>
      </c>
      <c r="KXG1334" s="4" t="s">
        <v>2878</v>
      </c>
      <c r="KXH1334" s="4" t="s">
        <v>2878</v>
      </c>
      <c r="KXI1334" s="4" t="s">
        <v>2878</v>
      </c>
      <c r="KXJ1334" s="4" t="s">
        <v>2878</v>
      </c>
      <c r="KXK1334" s="4" t="s">
        <v>2878</v>
      </c>
      <c r="KXL1334" s="4" t="s">
        <v>2878</v>
      </c>
      <c r="KXM1334" s="4" t="s">
        <v>2878</v>
      </c>
      <c r="KXN1334" s="4" t="s">
        <v>2878</v>
      </c>
      <c r="KXO1334" s="4" t="s">
        <v>2878</v>
      </c>
      <c r="KXP1334" s="4" t="s">
        <v>2878</v>
      </c>
      <c r="KXQ1334" s="4" t="s">
        <v>2878</v>
      </c>
      <c r="KXR1334" s="4" t="s">
        <v>2878</v>
      </c>
      <c r="KXS1334" s="4" t="s">
        <v>2878</v>
      </c>
      <c r="KXT1334" s="4" t="s">
        <v>2878</v>
      </c>
      <c r="KXU1334" s="4" t="s">
        <v>2878</v>
      </c>
      <c r="KXV1334" s="4" t="s">
        <v>2878</v>
      </c>
      <c r="KXW1334" s="4" t="s">
        <v>2878</v>
      </c>
      <c r="KXX1334" s="4" t="s">
        <v>2878</v>
      </c>
      <c r="KXY1334" s="4" t="s">
        <v>2878</v>
      </c>
      <c r="KXZ1334" s="4" t="s">
        <v>2878</v>
      </c>
      <c r="KYA1334" s="4" t="s">
        <v>2878</v>
      </c>
      <c r="KYB1334" s="4" t="s">
        <v>2878</v>
      </c>
      <c r="KYC1334" s="4" t="s">
        <v>2878</v>
      </c>
      <c r="KYD1334" s="4" t="s">
        <v>2878</v>
      </c>
      <c r="KYE1334" s="4" t="s">
        <v>2878</v>
      </c>
      <c r="KYF1334" s="4" t="s">
        <v>2878</v>
      </c>
      <c r="KYG1334" s="4" t="s">
        <v>2878</v>
      </c>
      <c r="KYH1334" s="4" t="s">
        <v>2878</v>
      </c>
      <c r="KYI1334" s="4" t="s">
        <v>2878</v>
      </c>
      <c r="KYJ1334" s="4" t="s">
        <v>2878</v>
      </c>
      <c r="KYK1334" s="4" t="s">
        <v>2878</v>
      </c>
      <c r="KYL1334" s="4" t="s">
        <v>2878</v>
      </c>
      <c r="KYM1334" s="4" t="s">
        <v>2878</v>
      </c>
      <c r="KYN1334" s="4" t="s">
        <v>2878</v>
      </c>
      <c r="KYO1334" s="4" t="s">
        <v>2878</v>
      </c>
      <c r="KYP1334" s="4" t="s">
        <v>2878</v>
      </c>
      <c r="KYQ1334" s="4" t="s">
        <v>2878</v>
      </c>
      <c r="KYR1334" s="4" t="s">
        <v>2878</v>
      </c>
      <c r="KYS1334" s="4" t="s">
        <v>2878</v>
      </c>
      <c r="KYT1334" s="4" t="s">
        <v>2878</v>
      </c>
      <c r="KYU1334" s="4" t="s">
        <v>2878</v>
      </c>
      <c r="KYV1334" s="4" t="s">
        <v>2878</v>
      </c>
      <c r="KYW1334" s="4" t="s">
        <v>2878</v>
      </c>
      <c r="KYX1334" s="4" t="s">
        <v>2878</v>
      </c>
      <c r="KYY1334" s="4" t="s">
        <v>2878</v>
      </c>
      <c r="KYZ1334" s="4" t="s">
        <v>2878</v>
      </c>
      <c r="KZA1334" s="4" t="s">
        <v>2878</v>
      </c>
      <c r="KZB1334" s="4" t="s">
        <v>2878</v>
      </c>
      <c r="KZC1334" s="4" t="s">
        <v>2878</v>
      </c>
      <c r="KZD1334" s="4" t="s">
        <v>2878</v>
      </c>
      <c r="KZE1334" s="4" t="s">
        <v>2878</v>
      </c>
      <c r="KZF1334" s="4" t="s">
        <v>2878</v>
      </c>
      <c r="KZG1334" s="4" t="s">
        <v>2878</v>
      </c>
      <c r="KZH1334" s="4" t="s">
        <v>2878</v>
      </c>
      <c r="KZI1334" s="4" t="s">
        <v>2878</v>
      </c>
      <c r="KZJ1334" s="4" t="s">
        <v>2878</v>
      </c>
      <c r="KZK1334" s="4" t="s">
        <v>2878</v>
      </c>
      <c r="KZL1334" s="4" t="s">
        <v>2878</v>
      </c>
      <c r="KZM1334" s="4" t="s">
        <v>2878</v>
      </c>
      <c r="KZN1334" s="4" t="s">
        <v>2878</v>
      </c>
      <c r="KZO1334" s="4" t="s">
        <v>2878</v>
      </c>
      <c r="KZP1334" s="4" t="s">
        <v>2878</v>
      </c>
      <c r="KZQ1334" s="4" t="s">
        <v>2878</v>
      </c>
      <c r="KZR1334" s="4" t="s">
        <v>2878</v>
      </c>
      <c r="KZS1334" s="4" t="s">
        <v>2878</v>
      </c>
      <c r="KZT1334" s="4" t="s">
        <v>2878</v>
      </c>
      <c r="KZU1334" s="4" t="s">
        <v>2878</v>
      </c>
      <c r="KZV1334" s="4" t="s">
        <v>2878</v>
      </c>
      <c r="KZW1334" s="4" t="s">
        <v>2878</v>
      </c>
      <c r="KZX1334" s="4" t="s">
        <v>2878</v>
      </c>
      <c r="KZY1334" s="4" t="s">
        <v>2878</v>
      </c>
      <c r="KZZ1334" s="4" t="s">
        <v>2878</v>
      </c>
      <c r="LAA1334" s="4" t="s">
        <v>2878</v>
      </c>
      <c r="LAB1334" s="4" t="s">
        <v>2878</v>
      </c>
      <c r="LAC1334" s="4" t="s">
        <v>2878</v>
      </c>
      <c r="LAD1334" s="4" t="s">
        <v>2878</v>
      </c>
      <c r="LAE1334" s="4" t="s">
        <v>2878</v>
      </c>
      <c r="LAF1334" s="4" t="s">
        <v>2878</v>
      </c>
      <c r="LAG1334" s="4" t="s">
        <v>2878</v>
      </c>
      <c r="LAH1334" s="4" t="s">
        <v>2878</v>
      </c>
      <c r="LAI1334" s="4" t="s">
        <v>2878</v>
      </c>
      <c r="LAJ1334" s="4" t="s">
        <v>2878</v>
      </c>
      <c r="LAK1334" s="4" t="s">
        <v>2878</v>
      </c>
      <c r="LAL1334" s="4" t="s">
        <v>2878</v>
      </c>
      <c r="LAM1334" s="4" t="s">
        <v>2878</v>
      </c>
      <c r="LAN1334" s="4" t="s">
        <v>2878</v>
      </c>
      <c r="LAO1334" s="4" t="s">
        <v>2878</v>
      </c>
      <c r="LAP1334" s="4" t="s">
        <v>2878</v>
      </c>
      <c r="LAQ1334" s="4" t="s">
        <v>2878</v>
      </c>
      <c r="LAR1334" s="4" t="s">
        <v>2878</v>
      </c>
      <c r="LAS1334" s="4" t="s">
        <v>2878</v>
      </c>
      <c r="LAT1334" s="4" t="s">
        <v>2878</v>
      </c>
      <c r="LAU1334" s="4" t="s">
        <v>2878</v>
      </c>
      <c r="LAV1334" s="4" t="s">
        <v>2878</v>
      </c>
      <c r="LAW1334" s="4" t="s">
        <v>2878</v>
      </c>
      <c r="LAX1334" s="4" t="s">
        <v>2878</v>
      </c>
      <c r="LAY1334" s="4" t="s">
        <v>2878</v>
      </c>
      <c r="LAZ1334" s="4" t="s">
        <v>2878</v>
      </c>
      <c r="LBA1334" s="4" t="s">
        <v>2878</v>
      </c>
      <c r="LBB1334" s="4" t="s">
        <v>2878</v>
      </c>
      <c r="LBC1334" s="4" t="s">
        <v>2878</v>
      </c>
      <c r="LBD1334" s="4" t="s">
        <v>2878</v>
      </c>
      <c r="LBE1334" s="4" t="s">
        <v>2878</v>
      </c>
      <c r="LBF1334" s="4" t="s">
        <v>2878</v>
      </c>
      <c r="LBG1334" s="4" t="s">
        <v>2878</v>
      </c>
      <c r="LBH1334" s="4" t="s">
        <v>2878</v>
      </c>
      <c r="LBI1334" s="4" t="s">
        <v>2878</v>
      </c>
      <c r="LBJ1334" s="4" t="s">
        <v>2878</v>
      </c>
      <c r="LBK1334" s="4" t="s">
        <v>2878</v>
      </c>
      <c r="LBL1334" s="4" t="s">
        <v>2878</v>
      </c>
      <c r="LBM1334" s="4" t="s">
        <v>2878</v>
      </c>
      <c r="LBN1334" s="4" t="s">
        <v>2878</v>
      </c>
      <c r="LBO1334" s="4" t="s">
        <v>2878</v>
      </c>
      <c r="LBP1334" s="4" t="s">
        <v>2878</v>
      </c>
      <c r="LBQ1334" s="4" t="s">
        <v>2878</v>
      </c>
      <c r="LBR1334" s="4" t="s">
        <v>2878</v>
      </c>
      <c r="LBS1334" s="4" t="s">
        <v>2878</v>
      </c>
      <c r="LBT1334" s="4" t="s">
        <v>2878</v>
      </c>
      <c r="LBU1334" s="4" t="s">
        <v>2878</v>
      </c>
      <c r="LBV1334" s="4" t="s">
        <v>2878</v>
      </c>
      <c r="LBW1334" s="4" t="s">
        <v>2878</v>
      </c>
      <c r="LBX1334" s="4" t="s">
        <v>2878</v>
      </c>
      <c r="LBY1334" s="4" t="s">
        <v>2878</v>
      </c>
      <c r="LBZ1334" s="4" t="s">
        <v>2878</v>
      </c>
      <c r="LCA1334" s="4" t="s">
        <v>2878</v>
      </c>
      <c r="LCB1334" s="4" t="s">
        <v>2878</v>
      </c>
      <c r="LCC1334" s="4" t="s">
        <v>2878</v>
      </c>
      <c r="LCD1334" s="4" t="s">
        <v>2878</v>
      </c>
      <c r="LCE1334" s="4" t="s">
        <v>2878</v>
      </c>
      <c r="LCF1334" s="4" t="s">
        <v>2878</v>
      </c>
      <c r="LCG1334" s="4" t="s">
        <v>2878</v>
      </c>
      <c r="LCH1334" s="4" t="s">
        <v>2878</v>
      </c>
      <c r="LCI1334" s="4" t="s">
        <v>2878</v>
      </c>
      <c r="LCJ1334" s="4" t="s">
        <v>2878</v>
      </c>
      <c r="LCK1334" s="4" t="s">
        <v>2878</v>
      </c>
      <c r="LCL1334" s="4" t="s">
        <v>2878</v>
      </c>
      <c r="LCM1334" s="4" t="s">
        <v>2878</v>
      </c>
      <c r="LCN1334" s="4" t="s">
        <v>2878</v>
      </c>
      <c r="LCO1334" s="4" t="s">
        <v>2878</v>
      </c>
      <c r="LCP1334" s="4" t="s">
        <v>2878</v>
      </c>
      <c r="LCQ1334" s="4" t="s">
        <v>2878</v>
      </c>
      <c r="LCR1334" s="4" t="s">
        <v>2878</v>
      </c>
      <c r="LCS1334" s="4" t="s">
        <v>2878</v>
      </c>
      <c r="LCT1334" s="4" t="s">
        <v>2878</v>
      </c>
      <c r="LCU1334" s="4" t="s">
        <v>2878</v>
      </c>
      <c r="LCV1334" s="4" t="s">
        <v>2878</v>
      </c>
      <c r="LCW1334" s="4" t="s">
        <v>2878</v>
      </c>
      <c r="LCX1334" s="4" t="s">
        <v>2878</v>
      </c>
      <c r="LCY1334" s="4" t="s">
        <v>2878</v>
      </c>
      <c r="LCZ1334" s="4" t="s">
        <v>2878</v>
      </c>
      <c r="LDA1334" s="4" t="s">
        <v>2878</v>
      </c>
      <c r="LDB1334" s="4" t="s">
        <v>2878</v>
      </c>
      <c r="LDC1334" s="4" t="s">
        <v>2878</v>
      </c>
      <c r="LDD1334" s="4" t="s">
        <v>2878</v>
      </c>
      <c r="LDE1334" s="4" t="s">
        <v>2878</v>
      </c>
      <c r="LDF1334" s="4" t="s">
        <v>2878</v>
      </c>
      <c r="LDG1334" s="4" t="s">
        <v>2878</v>
      </c>
      <c r="LDH1334" s="4" t="s">
        <v>2878</v>
      </c>
      <c r="LDI1334" s="4" t="s">
        <v>2878</v>
      </c>
      <c r="LDJ1334" s="4" t="s">
        <v>2878</v>
      </c>
      <c r="LDK1334" s="4" t="s">
        <v>2878</v>
      </c>
      <c r="LDL1334" s="4" t="s">
        <v>2878</v>
      </c>
      <c r="LDM1334" s="4" t="s">
        <v>2878</v>
      </c>
      <c r="LDN1334" s="4" t="s">
        <v>2878</v>
      </c>
      <c r="LDO1334" s="4" t="s">
        <v>2878</v>
      </c>
      <c r="LDP1334" s="4" t="s">
        <v>2878</v>
      </c>
      <c r="LDQ1334" s="4" t="s">
        <v>2878</v>
      </c>
      <c r="LDR1334" s="4" t="s">
        <v>2878</v>
      </c>
      <c r="LDS1334" s="4" t="s">
        <v>2878</v>
      </c>
      <c r="LDT1334" s="4" t="s">
        <v>2878</v>
      </c>
      <c r="LDU1334" s="4" t="s">
        <v>2878</v>
      </c>
      <c r="LDV1334" s="4" t="s">
        <v>2878</v>
      </c>
      <c r="LDW1334" s="4" t="s">
        <v>2878</v>
      </c>
      <c r="LDX1334" s="4" t="s">
        <v>2878</v>
      </c>
      <c r="LDY1334" s="4" t="s">
        <v>2878</v>
      </c>
      <c r="LDZ1334" s="4" t="s">
        <v>2878</v>
      </c>
      <c r="LEA1334" s="4" t="s">
        <v>2878</v>
      </c>
      <c r="LEB1334" s="4" t="s">
        <v>2878</v>
      </c>
      <c r="LEC1334" s="4" t="s">
        <v>2878</v>
      </c>
      <c r="LED1334" s="4" t="s">
        <v>2878</v>
      </c>
      <c r="LEE1334" s="4" t="s">
        <v>2878</v>
      </c>
      <c r="LEF1334" s="4" t="s">
        <v>2878</v>
      </c>
      <c r="LEG1334" s="4" t="s">
        <v>2878</v>
      </c>
      <c r="LEH1334" s="4" t="s">
        <v>2878</v>
      </c>
      <c r="LEI1334" s="4" t="s">
        <v>2878</v>
      </c>
      <c r="LEJ1334" s="4" t="s">
        <v>2878</v>
      </c>
      <c r="LEK1334" s="4" t="s">
        <v>2878</v>
      </c>
      <c r="LEL1334" s="4" t="s">
        <v>2878</v>
      </c>
      <c r="LEM1334" s="4" t="s">
        <v>2878</v>
      </c>
      <c r="LEN1334" s="4" t="s">
        <v>2878</v>
      </c>
      <c r="LEO1334" s="4" t="s">
        <v>2878</v>
      </c>
      <c r="LEP1334" s="4" t="s">
        <v>2878</v>
      </c>
      <c r="LEQ1334" s="4" t="s">
        <v>2878</v>
      </c>
      <c r="LER1334" s="4" t="s">
        <v>2878</v>
      </c>
      <c r="LES1334" s="4" t="s">
        <v>2878</v>
      </c>
      <c r="LET1334" s="4" t="s">
        <v>2878</v>
      </c>
      <c r="LEU1334" s="4" t="s">
        <v>2878</v>
      </c>
      <c r="LEV1334" s="4" t="s">
        <v>2878</v>
      </c>
      <c r="LEW1334" s="4" t="s">
        <v>2878</v>
      </c>
      <c r="LEX1334" s="4" t="s">
        <v>2878</v>
      </c>
      <c r="LEY1334" s="4" t="s">
        <v>2878</v>
      </c>
      <c r="LEZ1334" s="4" t="s">
        <v>2878</v>
      </c>
      <c r="LFA1334" s="4" t="s">
        <v>2878</v>
      </c>
      <c r="LFB1334" s="4" t="s">
        <v>2878</v>
      </c>
      <c r="LFC1334" s="4" t="s">
        <v>2878</v>
      </c>
      <c r="LFD1334" s="4" t="s">
        <v>2878</v>
      </c>
      <c r="LFE1334" s="4" t="s">
        <v>2878</v>
      </c>
      <c r="LFF1334" s="4" t="s">
        <v>2878</v>
      </c>
      <c r="LFG1334" s="4" t="s">
        <v>2878</v>
      </c>
      <c r="LFH1334" s="4" t="s">
        <v>2878</v>
      </c>
      <c r="LFI1334" s="4" t="s">
        <v>2878</v>
      </c>
      <c r="LFJ1334" s="4" t="s">
        <v>2878</v>
      </c>
      <c r="LFK1334" s="4" t="s">
        <v>2878</v>
      </c>
      <c r="LFL1334" s="4" t="s">
        <v>2878</v>
      </c>
      <c r="LFM1334" s="4" t="s">
        <v>2878</v>
      </c>
      <c r="LFN1334" s="4" t="s">
        <v>2878</v>
      </c>
      <c r="LFO1334" s="4" t="s">
        <v>2878</v>
      </c>
      <c r="LFP1334" s="4" t="s">
        <v>2878</v>
      </c>
      <c r="LFQ1334" s="4" t="s">
        <v>2878</v>
      </c>
      <c r="LFR1334" s="4" t="s">
        <v>2878</v>
      </c>
      <c r="LFS1334" s="4" t="s">
        <v>2878</v>
      </c>
      <c r="LFT1334" s="4" t="s">
        <v>2878</v>
      </c>
      <c r="LFU1334" s="4" t="s">
        <v>2878</v>
      </c>
      <c r="LFV1334" s="4" t="s">
        <v>2878</v>
      </c>
      <c r="LFW1334" s="4" t="s">
        <v>2878</v>
      </c>
      <c r="LFX1334" s="4" t="s">
        <v>2878</v>
      </c>
      <c r="LFY1334" s="4" t="s">
        <v>2878</v>
      </c>
      <c r="LFZ1334" s="4" t="s">
        <v>2878</v>
      </c>
      <c r="LGA1334" s="4" t="s">
        <v>2878</v>
      </c>
      <c r="LGB1334" s="4" t="s">
        <v>2878</v>
      </c>
      <c r="LGC1334" s="4" t="s">
        <v>2878</v>
      </c>
      <c r="LGD1334" s="4" t="s">
        <v>2878</v>
      </c>
      <c r="LGE1334" s="4" t="s">
        <v>2878</v>
      </c>
      <c r="LGF1334" s="4" t="s">
        <v>2878</v>
      </c>
      <c r="LGG1334" s="4" t="s">
        <v>2878</v>
      </c>
      <c r="LGH1334" s="4" t="s">
        <v>2878</v>
      </c>
      <c r="LGI1334" s="4" t="s">
        <v>2878</v>
      </c>
      <c r="LGJ1334" s="4" t="s">
        <v>2878</v>
      </c>
      <c r="LGK1334" s="4" t="s">
        <v>2878</v>
      </c>
      <c r="LGL1334" s="4" t="s">
        <v>2878</v>
      </c>
      <c r="LGM1334" s="4" t="s">
        <v>2878</v>
      </c>
      <c r="LGN1334" s="4" t="s">
        <v>2878</v>
      </c>
      <c r="LGO1334" s="4" t="s">
        <v>2878</v>
      </c>
      <c r="LGP1334" s="4" t="s">
        <v>2878</v>
      </c>
      <c r="LGQ1334" s="4" t="s">
        <v>2878</v>
      </c>
      <c r="LGR1334" s="4" t="s">
        <v>2878</v>
      </c>
      <c r="LGS1334" s="4" t="s">
        <v>2878</v>
      </c>
      <c r="LGT1334" s="4" t="s">
        <v>2878</v>
      </c>
      <c r="LGU1334" s="4" t="s">
        <v>2878</v>
      </c>
      <c r="LGV1334" s="4" t="s">
        <v>2878</v>
      </c>
      <c r="LGW1334" s="4" t="s">
        <v>2878</v>
      </c>
      <c r="LGX1334" s="4" t="s">
        <v>2878</v>
      </c>
      <c r="LGY1334" s="4" t="s">
        <v>2878</v>
      </c>
      <c r="LGZ1334" s="4" t="s">
        <v>2878</v>
      </c>
      <c r="LHA1334" s="4" t="s">
        <v>2878</v>
      </c>
      <c r="LHB1334" s="4" t="s">
        <v>2878</v>
      </c>
      <c r="LHC1334" s="4" t="s">
        <v>2878</v>
      </c>
      <c r="LHD1334" s="4" t="s">
        <v>2878</v>
      </c>
      <c r="LHE1334" s="4" t="s">
        <v>2878</v>
      </c>
      <c r="LHF1334" s="4" t="s">
        <v>2878</v>
      </c>
      <c r="LHG1334" s="4" t="s">
        <v>2878</v>
      </c>
      <c r="LHH1334" s="4" t="s">
        <v>2878</v>
      </c>
      <c r="LHI1334" s="4" t="s">
        <v>2878</v>
      </c>
      <c r="LHJ1334" s="4" t="s">
        <v>2878</v>
      </c>
      <c r="LHK1334" s="4" t="s">
        <v>2878</v>
      </c>
      <c r="LHL1334" s="4" t="s">
        <v>2878</v>
      </c>
      <c r="LHM1334" s="4" t="s">
        <v>2878</v>
      </c>
      <c r="LHN1334" s="4" t="s">
        <v>2878</v>
      </c>
      <c r="LHO1334" s="4" t="s">
        <v>2878</v>
      </c>
      <c r="LHP1334" s="4" t="s">
        <v>2878</v>
      </c>
      <c r="LHQ1334" s="4" t="s">
        <v>2878</v>
      </c>
      <c r="LHR1334" s="4" t="s">
        <v>2878</v>
      </c>
      <c r="LHS1334" s="4" t="s">
        <v>2878</v>
      </c>
      <c r="LHT1334" s="4" t="s">
        <v>2878</v>
      </c>
      <c r="LHU1334" s="4" t="s">
        <v>2878</v>
      </c>
      <c r="LHV1334" s="4" t="s">
        <v>2878</v>
      </c>
      <c r="LHW1334" s="4" t="s">
        <v>2878</v>
      </c>
      <c r="LHX1334" s="4" t="s">
        <v>2878</v>
      </c>
      <c r="LHY1334" s="4" t="s">
        <v>2878</v>
      </c>
      <c r="LHZ1334" s="4" t="s">
        <v>2878</v>
      </c>
      <c r="LIA1334" s="4" t="s">
        <v>2878</v>
      </c>
      <c r="LIB1334" s="4" t="s">
        <v>2878</v>
      </c>
      <c r="LIC1334" s="4" t="s">
        <v>2878</v>
      </c>
      <c r="LID1334" s="4" t="s">
        <v>2878</v>
      </c>
      <c r="LIE1334" s="4" t="s">
        <v>2878</v>
      </c>
      <c r="LIF1334" s="4" t="s">
        <v>2878</v>
      </c>
      <c r="LIG1334" s="4" t="s">
        <v>2878</v>
      </c>
      <c r="LIH1334" s="4" t="s">
        <v>2878</v>
      </c>
      <c r="LII1334" s="4" t="s">
        <v>2878</v>
      </c>
      <c r="LIJ1334" s="4" t="s">
        <v>2878</v>
      </c>
      <c r="LIK1334" s="4" t="s">
        <v>2878</v>
      </c>
      <c r="LIL1334" s="4" t="s">
        <v>2878</v>
      </c>
      <c r="LIM1334" s="4" t="s">
        <v>2878</v>
      </c>
      <c r="LIN1334" s="4" t="s">
        <v>2878</v>
      </c>
      <c r="LIO1334" s="4" t="s">
        <v>2878</v>
      </c>
      <c r="LIP1334" s="4" t="s">
        <v>2878</v>
      </c>
      <c r="LIQ1334" s="4" t="s">
        <v>2878</v>
      </c>
      <c r="LIR1334" s="4" t="s">
        <v>2878</v>
      </c>
      <c r="LIS1334" s="4" t="s">
        <v>2878</v>
      </c>
      <c r="LIT1334" s="4" t="s">
        <v>2878</v>
      </c>
      <c r="LIU1334" s="4" t="s">
        <v>2878</v>
      </c>
      <c r="LIV1334" s="4" t="s">
        <v>2878</v>
      </c>
      <c r="LIW1334" s="4" t="s">
        <v>2878</v>
      </c>
      <c r="LIX1334" s="4" t="s">
        <v>2878</v>
      </c>
      <c r="LIY1334" s="4" t="s">
        <v>2878</v>
      </c>
      <c r="LIZ1334" s="4" t="s">
        <v>2878</v>
      </c>
      <c r="LJA1334" s="4" t="s">
        <v>2878</v>
      </c>
      <c r="LJB1334" s="4" t="s">
        <v>2878</v>
      </c>
      <c r="LJC1334" s="4" t="s">
        <v>2878</v>
      </c>
      <c r="LJD1334" s="4" t="s">
        <v>2878</v>
      </c>
      <c r="LJE1334" s="4" t="s">
        <v>2878</v>
      </c>
      <c r="LJF1334" s="4" t="s">
        <v>2878</v>
      </c>
      <c r="LJG1334" s="4" t="s">
        <v>2878</v>
      </c>
      <c r="LJH1334" s="4" t="s">
        <v>2878</v>
      </c>
      <c r="LJI1334" s="4" t="s">
        <v>2878</v>
      </c>
      <c r="LJJ1334" s="4" t="s">
        <v>2878</v>
      </c>
      <c r="LJK1334" s="4" t="s">
        <v>2878</v>
      </c>
      <c r="LJL1334" s="4" t="s">
        <v>2878</v>
      </c>
      <c r="LJM1334" s="4" t="s">
        <v>2878</v>
      </c>
      <c r="LJN1334" s="4" t="s">
        <v>2878</v>
      </c>
      <c r="LJO1334" s="4" t="s">
        <v>2878</v>
      </c>
      <c r="LJP1334" s="4" t="s">
        <v>2878</v>
      </c>
      <c r="LJQ1334" s="4" t="s">
        <v>2878</v>
      </c>
      <c r="LJR1334" s="4" t="s">
        <v>2878</v>
      </c>
      <c r="LJS1334" s="4" t="s">
        <v>2878</v>
      </c>
      <c r="LJT1334" s="4" t="s">
        <v>2878</v>
      </c>
      <c r="LJU1334" s="4" t="s">
        <v>2878</v>
      </c>
      <c r="LJV1334" s="4" t="s">
        <v>2878</v>
      </c>
      <c r="LJW1334" s="4" t="s">
        <v>2878</v>
      </c>
      <c r="LJX1334" s="4" t="s">
        <v>2878</v>
      </c>
      <c r="LJY1334" s="4" t="s">
        <v>2878</v>
      </c>
      <c r="LJZ1334" s="4" t="s">
        <v>2878</v>
      </c>
      <c r="LKA1334" s="4" t="s">
        <v>2878</v>
      </c>
      <c r="LKB1334" s="4" t="s">
        <v>2878</v>
      </c>
      <c r="LKC1334" s="4" t="s">
        <v>2878</v>
      </c>
      <c r="LKD1334" s="4" t="s">
        <v>2878</v>
      </c>
      <c r="LKE1334" s="4" t="s">
        <v>2878</v>
      </c>
      <c r="LKF1334" s="4" t="s">
        <v>2878</v>
      </c>
      <c r="LKG1334" s="4" t="s">
        <v>2878</v>
      </c>
      <c r="LKH1334" s="4" t="s">
        <v>2878</v>
      </c>
      <c r="LKI1334" s="4" t="s">
        <v>2878</v>
      </c>
      <c r="LKJ1334" s="4" t="s">
        <v>2878</v>
      </c>
      <c r="LKK1334" s="4" t="s">
        <v>2878</v>
      </c>
      <c r="LKL1334" s="4" t="s">
        <v>2878</v>
      </c>
      <c r="LKM1334" s="4" t="s">
        <v>2878</v>
      </c>
      <c r="LKN1334" s="4" t="s">
        <v>2878</v>
      </c>
      <c r="LKO1334" s="4" t="s">
        <v>2878</v>
      </c>
      <c r="LKP1334" s="4" t="s">
        <v>2878</v>
      </c>
      <c r="LKQ1334" s="4" t="s">
        <v>2878</v>
      </c>
      <c r="LKR1334" s="4" t="s">
        <v>2878</v>
      </c>
      <c r="LKS1334" s="4" t="s">
        <v>2878</v>
      </c>
      <c r="LKT1334" s="4" t="s">
        <v>2878</v>
      </c>
      <c r="LKU1334" s="4" t="s">
        <v>2878</v>
      </c>
      <c r="LKV1334" s="4" t="s">
        <v>2878</v>
      </c>
      <c r="LKW1334" s="4" t="s">
        <v>2878</v>
      </c>
      <c r="LKX1334" s="4" t="s">
        <v>2878</v>
      </c>
      <c r="LKY1334" s="4" t="s">
        <v>2878</v>
      </c>
      <c r="LKZ1334" s="4" t="s">
        <v>2878</v>
      </c>
      <c r="LLA1334" s="4" t="s">
        <v>2878</v>
      </c>
      <c r="LLB1334" s="4" t="s">
        <v>2878</v>
      </c>
      <c r="LLC1334" s="4" t="s">
        <v>2878</v>
      </c>
      <c r="LLD1334" s="4" t="s">
        <v>2878</v>
      </c>
      <c r="LLE1334" s="4" t="s">
        <v>2878</v>
      </c>
      <c r="LLF1334" s="4" t="s">
        <v>2878</v>
      </c>
      <c r="LLG1334" s="4" t="s">
        <v>2878</v>
      </c>
      <c r="LLH1334" s="4" t="s">
        <v>2878</v>
      </c>
      <c r="LLI1334" s="4" t="s">
        <v>2878</v>
      </c>
      <c r="LLJ1334" s="4" t="s">
        <v>2878</v>
      </c>
      <c r="LLK1334" s="4" t="s">
        <v>2878</v>
      </c>
      <c r="LLL1334" s="4" t="s">
        <v>2878</v>
      </c>
      <c r="LLM1334" s="4" t="s">
        <v>2878</v>
      </c>
      <c r="LLN1334" s="4" t="s">
        <v>2878</v>
      </c>
      <c r="LLO1334" s="4" t="s">
        <v>2878</v>
      </c>
      <c r="LLP1334" s="4" t="s">
        <v>2878</v>
      </c>
      <c r="LLQ1334" s="4" t="s">
        <v>2878</v>
      </c>
      <c r="LLR1334" s="4" t="s">
        <v>2878</v>
      </c>
      <c r="LLS1334" s="4" t="s">
        <v>2878</v>
      </c>
      <c r="LLT1334" s="4" t="s">
        <v>2878</v>
      </c>
      <c r="LLU1334" s="4" t="s">
        <v>2878</v>
      </c>
      <c r="LLV1334" s="4" t="s">
        <v>2878</v>
      </c>
      <c r="LLW1334" s="4" t="s">
        <v>2878</v>
      </c>
      <c r="LLX1334" s="4" t="s">
        <v>2878</v>
      </c>
      <c r="LLY1334" s="4" t="s">
        <v>2878</v>
      </c>
      <c r="LLZ1334" s="4" t="s">
        <v>2878</v>
      </c>
      <c r="LMA1334" s="4" t="s">
        <v>2878</v>
      </c>
      <c r="LMB1334" s="4" t="s">
        <v>2878</v>
      </c>
      <c r="LMC1334" s="4" t="s">
        <v>2878</v>
      </c>
      <c r="LMD1334" s="4" t="s">
        <v>2878</v>
      </c>
      <c r="LME1334" s="4" t="s">
        <v>2878</v>
      </c>
      <c r="LMF1334" s="4" t="s">
        <v>2878</v>
      </c>
      <c r="LMG1334" s="4" t="s">
        <v>2878</v>
      </c>
      <c r="LMH1334" s="4" t="s">
        <v>2878</v>
      </c>
      <c r="LMI1334" s="4" t="s">
        <v>2878</v>
      </c>
      <c r="LMJ1334" s="4" t="s">
        <v>2878</v>
      </c>
      <c r="LMK1334" s="4" t="s">
        <v>2878</v>
      </c>
      <c r="LML1334" s="4" t="s">
        <v>2878</v>
      </c>
      <c r="LMM1334" s="4" t="s">
        <v>2878</v>
      </c>
      <c r="LMN1334" s="4" t="s">
        <v>2878</v>
      </c>
      <c r="LMO1334" s="4" t="s">
        <v>2878</v>
      </c>
      <c r="LMP1334" s="4" t="s">
        <v>2878</v>
      </c>
      <c r="LMQ1334" s="4" t="s">
        <v>2878</v>
      </c>
      <c r="LMR1334" s="4" t="s">
        <v>2878</v>
      </c>
      <c r="LMS1334" s="4" t="s">
        <v>2878</v>
      </c>
      <c r="LMT1334" s="4" t="s">
        <v>2878</v>
      </c>
      <c r="LMU1334" s="4" t="s">
        <v>2878</v>
      </c>
      <c r="LMV1334" s="4" t="s">
        <v>2878</v>
      </c>
      <c r="LMW1334" s="4" t="s">
        <v>2878</v>
      </c>
      <c r="LMX1334" s="4" t="s">
        <v>2878</v>
      </c>
      <c r="LMY1334" s="4" t="s">
        <v>2878</v>
      </c>
      <c r="LMZ1334" s="4" t="s">
        <v>2878</v>
      </c>
      <c r="LNA1334" s="4" t="s">
        <v>2878</v>
      </c>
      <c r="LNB1334" s="4" t="s">
        <v>2878</v>
      </c>
      <c r="LNC1334" s="4" t="s">
        <v>2878</v>
      </c>
      <c r="LND1334" s="4" t="s">
        <v>2878</v>
      </c>
      <c r="LNE1334" s="4" t="s">
        <v>2878</v>
      </c>
      <c r="LNF1334" s="4" t="s">
        <v>2878</v>
      </c>
      <c r="LNG1334" s="4" t="s">
        <v>2878</v>
      </c>
      <c r="LNH1334" s="4" t="s">
        <v>2878</v>
      </c>
      <c r="LNI1334" s="4" t="s">
        <v>2878</v>
      </c>
      <c r="LNJ1334" s="4" t="s">
        <v>2878</v>
      </c>
      <c r="LNK1334" s="4" t="s">
        <v>2878</v>
      </c>
      <c r="LNL1334" s="4" t="s">
        <v>2878</v>
      </c>
      <c r="LNM1334" s="4" t="s">
        <v>2878</v>
      </c>
      <c r="LNN1334" s="4" t="s">
        <v>2878</v>
      </c>
      <c r="LNO1334" s="4" t="s">
        <v>2878</v>
      </c>
      <c r="LNP1334" s="4" t="s">
        <v>2878</v>
      </c>
      <c r="LNQ1334" s="4" t="s">
        <v>2878</v>
      </c>
      <c r="LNR1334" s="4" t="s">
        <v>2878</v>
      </c>
      <c r="LNS1334" s="4" t="s">
        <v>2878</v>
      </c>
      <c r="LNT1334" s="4" t="s">
        <v>2878</v>
      </c>
      <c r="LNU1334" s="4" t="s">
        <v>2878</v>
      </c>
      <c r="LNV1334" s="4" t="s">
        <v>2878</v>
      </c>
      <c r="LNW1334" s="4" t="s">
        <v>2878</v>
      </c>
      <c r="LNX1334" s="4" t="s">
        <v>2878</v>
      </c>
      <c r="LNY1334" s="4" t="s">
        <v>2878</v>
      </c>
      <c r="LNZ1334" s="4" t="s">
        <v>2878</v>
      </c>
      <c r="LOA1334" s="4" t="s">
        <v>2878</v>
      </c>
      <c r="LOB1334" s="4" t="s">
        <v>2878</v>
      </c>
      <c r="LOC1334" s="4" t="s">
        <v>2878</v>
      </c>
      <c r="LOD1334" s="4" t="s">
        <v>2878</v>
      </c>
      <c r="LOE1334" s="4" t="s">
        <v>2878</v>
      </c>
      <c r="LOF1334" s="4" t="s">
        <v>2878</v>
      </c>
      <c r="LOG1334" s="4" t="s">
        <v>2878</v>
      </c>
      <c r="LOH1334" s="4" t="s">
        <v>2878</v>
      </c>
      <c r="LOI1334" s="4" t="s">
        <v>2878</v>
      </c>
      <c r="LOJ1334" s="4" t="s">
        <v>2878</v>
      </c>
      <c r="LOK1334" s="4" t="s">
        <v>2878</v>
      </c>
      <c r="LOL1334" s="4" t="s">
        <v>2878</v>
      </c>
      <c r="LOM1334" s="4" t="s">
        <v>2878</v>
      </c>
      <c r="LON1334" s="4" t="s">
        <v>2878</v>
      </c>
      <c r="LOO1334" s="4" t="s">
        <v>2878</v>
      </c>
      <c r="LOP1334" s="4" t="s">
        <v>2878</v>
      </c>
      <c r="LOQ1334" s="4" t="s">
        <v>2878</v>
      </c>
      <c r="LOR1334" s="4" t="s">
        <v>2878</v>
      </c>
      <c r="LOS1334" s="4" t="s">
        <v>2878</v>
      </c>
      <c r="LOT1334" s="4" t="s">
        <v>2878</v>
      </c>
      <c r="LOU1334" s="4" t="s">
        <v>2878</v>
      </c>
      <c r="LOV1334" s="4" t="s">
        <v>2878</v>
      </c>
      <c r="LOW1334" s="4" t="s">
        <v>2878</v>
      </c>
      <c r="LOX1334" s="4" t="s">
        <v>2878</v>
      </c>
      <c r="LOY1334" s="4" t="s">
        <v>2878</v>
      </c>
      <c r="LOZ1334" s="4" t="s">
        <v>2878</v>
      </c>
      <c r="LPA1334" s="4" t="s">
        <v>2878</v>
      </c>
      <c r="LPB1334" s="4" t="s">
        <v>2878</v>
      </c>
      <c r="LPC1334" s="4" t="s">
        <v>2878</v>
      </c>
      <c r="LPD1334" s="4" t="s">
        <v>2878</v>
      </c>
      <c r="LPE1334" s="4" t="s">
        <v>2878</v>
      </c>
      <c r="LPF1334" s="4" t="s">
        <v>2878</v>
      </c>
      <c r="LPG1334" s="4" t="s">
        <v>2878</v>
      </c>
      <c r="LPH1334" s="4" t="s">
        <v>2878</v>
      </c>
      <c r="LPI1334" s="4" t="s">
        <v>2878</v>
      </c>
      <c r="LPJ1334" s="4" t="s">
        <v>2878</v>
      </c>
      <c r="LPK1334" s="4" t="s">
        <v>2878</v>
      </c>
      <c r="LPL1334" s="4" t="s">
        <v>2878</v>
      </c>
      <c r="LPM1334" s="4" t="s">
        <v>2878</v>
      </c>
      <c r="LPN1334" s="4" t="s">
        <v>2878</v>
      </c>
      <c r="LPO1334" s="4" t="s">
        <v>2878</v>
      </c>
      <c r="LPP1334" s="4" t="s">
        <v>2878</v>
      </c>
      <c r="LPQ1334" s="4" t="s">
        <v>2878</v>
      </c>
      <c r="LPR1334" s="4" t="s">
        <v>2878</v>
      </c>
      <c r="LPS1334" s="4" t="s">
        <v>2878</v>
      </c>
      <c r="LPT1334" s="4" t="s">
        <v>2878</v>
      </c>
      <c r="LPU1334" s="4" t="s">
        <v>2878</v>
      </c>
      <c r="LPV1334" s="4" t="s">
        <v>2878</v>
      </c>
      <c r="LPW1334" s="4" t="s">
        <v>2878</v>
      </c>
      <c r="LPX1334" s="4" t="s">
        <v>2878</v>
      </c>
      <c r="LPY1334" s="4" t="s">
        <v>2878</v>
      </c>
      <c r="LPZ1334" s="4" t="s">
        <v>2878</v>
      </c>
      <c r="LQA1334" s="4" t="s">
        <v>2878</v>
      </c>
      <c r="LQB1334" s="4" t="s">
        <v>2878</v>
      </c>
      <c r="LQC1334" s="4" t="s">
        <v>2878</v>
      </c>
      <c r="LQD1334" s="4" t="s">
        <v>2878</v>
      </c>
      <c r="LQE1334" s="4" t="s">
        <v>2878</v>
      </c>
      <c r="LQF1334" s="4" t="s">
        <v>2878</v>
      </c>
      <c r="LQG1334" s="4" t="s">
        <v>2878</v>
      </c>
      <c r="LQH1334" s="4" t="s">
        <v>2878</v>
      </c>
      <c r="LQI1334" s="4" t="s">
        <v>2878</v>
      </c>
      <c r="LQJ1334" s="4" t="s">
        <v>2878</v>
      </c>
      <c r="LQK1334" s="4" t="s">
        <v>2878</v>
      </c>
      <c r="LQL1334" s="4" t="s">
        <v>2878</v>
      </c>
      <c r="LQM1334" s="4" t="s">
        <v>2878</v>
      </c>
      <c r="LQN1334" s="4" t="s">
        <v>2878</v>
      </c>
      <c r="LQO1334" s="4" t="s">
        <v>2878</v>
      </c>
      <c r="LQP1334" s="4" t="s">
        <v>2878</v>
      </c>
      <c r="LQQ1334" s="4" t="s">
        <v>2878</v>
      </c>
      <c r="LQR1334" s="4" t="s">
        <v>2878</v>
      </c>
      <c r="LQS1334" s="4" t="s">
        <v>2878</v>
      </c>
      <c r="LQT1334" s="4" t="s">
        <v>2878</v>
      </c>
      <c r="LQU1334" s="4" t="s">
        <v>2878</v>
      </c>
      <c r="LQV1334" s="4" t="s">
        <v>2878</v>
      </c>
      <c r="LQW1334" s="4" t="s">
        <v>2878</v>
      </c>
      <c r="LQX1334" s="4" t="s">
        <v>2878</v>
      </c>
      <c r="LQY1334" s="4" t="s">
        <v>2878</v>
      </c>
      <c r="LQZ1334" s="4" t="s">
        <v>2878</v>
      </c>
      <c r="LRA1334" s="4" t="s">
        <v>2878</v>
      </c>
      <c r="LRB1334" s="4" t="s">
        <v>2878</v>
      </c>
      <c r="LRC1334" s="4" t="s">
        <v>2878</v>
      </c>
      <c r="LRD1334" s="4" t="s">
        <v>2878</v>
      </c>
      <c r="LRE1334" s="4" t="s">
        <v>2878</v>
      </c>
      <c r="LRF1334" s="4" t="s">
        <v>2878</v>
      </c>
      <c r="LRG1334" s="4" t="s">
        <v>2878</v>
      </c>
      <c r="LRH1334" s="4" t="s">
        <v>2878</v>
      </c>
      <c r="LRI1334" s="4" t="s">
        <v>2878</v>
      </c>
      <c r="LRJ1334" s="4" t="s">
        <v>2878</v>
      </c>
      <c r="LRK1334" s="4" t="s">
        <v>2878</v>
      </c>
      <c r="LRL1334" s="4" t="s">
        <v>2878</v>
      </c>
      <c r="LRM1334" s="4" t="s">
        <v>2878</v>
      </c>
      <c r="LRN1334" s="4" t="s">
        <v>2878</v>
      </c>
      <c r="LRO1334" s="4" t="s">
        <v>2878</v>
      </c>
      <c r="LRP1334" s="4" t="s">
        <v>2878</v>
      </c>
      <c r="LRQ1334" s="4" t="s">
        <v>2878</v>
      </c>
      <c r="LRR1334" s="4" t="s">
        <v>2878</v>
      </c>
      <c r="LRS1334" s="4" t="s">
        <v>2878</v>
      </c>
      <c r="LRT1334" s="4" t="s">
        <v>2878</v>
      </c>
      <c r="LRU1334" s="4" t="s">
        <v>2878</v>
      </c>
      <c r="LRV1334" s="4" t="s">
        <v>2878</v>
      </c>
      <c r="LRW1334" s="4" t="s">
        <v>2878</v>
      </c>
      <c r="LRX1334" s="4" t="s">
        <v>2878</v>
      </c>
      <c r="LRY1334" s="4" t="s">
        <v>2878</v>
      </c>
      <c r="LRZ1334" s="4" t="s">
        <v>2878</v>
      </c>
      <c r="LSA1334" s="4" t="s">
        <v>2878</v>
      </c>
      <c r="LSB1334" s="4" t="s">
        <v>2878</v>
      </c>
      <c r="LSC1334" s="4" t="s">
        <v>2878</v>
      </c>
      <c r="LSD1334" s="4" t="s">
        <v>2878</v>
      </c>
      <c r="LSE1334" s="4" t="s">
        <v>2878</v>
      </c>
      <c r="LSF1334" s="4" t="s">
        <v>2878</v>
      </c>
      <c r="LSG1334" s="4" t="s">
        <v>2878</v>
      </c>
      <c r="LSH1334" s="4" t="s">
        <v>2878</v>
      </c>
      <c r="LSI1334" s="4" t="s">
        <v>2878</v>
      </c>
      <c r="LSJ1334" s="4" t="s">
        <v>2878</v>
      </c>
      <c r="LSK1334" s="4" t="s">
        <v>2878</v>
      </c>
      <c r="LSL1334" s="4" t="s">
        <v>2878</v>
      </c>
      <c r="LSM1334" s="4" t="s">
        <v>2878</v>
      </c>
      <c r="LSN1334" s="4" t="s">
        <v>2878</v>
      </c>
      <c r="LSO1334" s="4" t="s">
        <v>2878</v>
      </c>
      <c r="LSP1334" s="4" t="s">
        <v>2878</v>
      </c>
      <c r="LSQ1334" s="4" t="s">
        <v>2878</v>
      </c>
      <c r="LSR1334" s="4" t="s">
        <v>2878</v>
      </c>
      <c r="LSS1334" s="4" t="s">
        <v>2878</v>
      </c>
      <c r="LST1334" s="4" t="s">
        <v>2878</v>
      </c>
      <c r="LSU1334" s="4" t="s">
        <v>2878</v>
      </c>
      <c r="LSV1334" s="4" t="s">
        <v>2878</v>
      </c>
      <c r="LSW1334" s="4" t="s">
        <v>2878</v>
      </c>
      <c r="LSX1334" s="4" t="s">
        <v>2878</v>
      </c>
      <c r="LSY1334" s="4" t="s">
        <v>2878</v>
      </c>
      <c r="LSZ1334" s="4" t="s">
        <v>2878</v>
      </c>
      <c r="LTA1334" s="4" t="s">
        <v>2878</v>
      </c>
      <c r="LTB1334" s="4" t="s">
        <v>2878</v>
      </c>
      <c r="LTC1334" s="4" t="s">
        <v>2878</v>
      </c>
      <c r="LTD1334" s="4" t="s">
        <v>2878</v>
      </c>
      <c r="LTE1334" s="4" t="s">
        <v>2878</v>
      </c>
      <c r="LTF1334" s="4" t="s">
        <v>2878</v>
      </c>
      <c r="LTG1334" s="4" t="s">
        <v>2878</v>
      </c>
      <c r="LTH1334" s="4" t="s">
        <v>2878</v>
      </c>
      <c r="LTI1334" s="4" t="s">
        <v>2878</v>
      </c>
      <c r="LTJ1334" s="4" t="s">
        <v>2878</v>
      </c>
      <c r="LTK1334" s="4" t="s">
        <v>2878</v>
      </c>
      <c r="LTL1334" s="4" t="s">
        <v>2878</v>
      </c>
      <c r="LTM1334" s="4" t="s">
        <v>2878</v>
      </c>
      <c r="LTN1334" s="4" t="s">
        <v>2878</v>
      </c>
      <c r="LTO1334" s="4" t="s">
        <v>2878</v>
      </c>
      <c r="LTP1334" s="4" t="s">
        <v>2878</v>
      </c>
      <c r="LTQ1334" s="4" t="s">
        <v>2878</v>
      </c>
      <c r="LTR1334" s="4" t="s">
        <v>2878</v>
      </c>
      <c r="LTS1334" s="4" t="s">
        <v>2878</v>
      </c>
      <c r="LTT1334" s="4" t="s">
        <v>2878</v>
      </c>
      <c r="LTU1334" s="4" t="s">
        <v>2878</v>
      </c>
      <c r="LTV1334" s="4" t="s">
        <v>2878</v>
      </c>
      <c r="LTW1334" s="4" t="s">
        <v>2878</v>
      </c>
      <c r="LTX1334" s="4" t="s">
        <v>2878</v>
      </c>
      <c r="LTY1334" s="4" t="s">
        <v>2878</v>
      </c>
      <c r="LTZ1334" s="4" t="s">
        <v>2878</v>
      </c>
      <c r="LUA1334" s="4" t="s">
        <v>2878</v>
      </c>
      <c r="LUB1334" s="4" t="s">
        <v>2878</v>
      </c>
      <c r="LUC1334" s="4" t="s">
        <v>2878</v>
      </c>
      <c r="LUD1334" s="4" t="s">
        <v>2878</v>
      </c>
      <c r="LUE1334" s="4" t="s">
        <v>2878</v>
      </c>
      <c r="LUF1334" s="4" t="s">
        <v>2878</v>
      </c>
      <c r="LUG1334" s="4" t="s">
        <v>2878</v>
      </c>
      <c r="LUH1334" s="4" t="s">
        <v>2878</v>
      </c>
      <c r="LUI1334" s="4" t="s">
        <v>2878</v>
      </c>
      <c r="LUJ1334" s="4" t="s">
        <v>2878</v>
      </c>
      <c r="LUK1334" s="4" t="s">
        <v>2878</v>
      </c>
      <c r="LUL1334" s="4" t="s">
        <v>2878</v>
      </c>
      <c r="LUM1334" s="4" t="s">
        <v>2878</v>
      </c>
      <c r="LUN1334" s="4" t="s">
        <v>2878</v>
      </c>
      <c r="LUO1334" s="4" t="s">
        <v>2878</v>
      </c>
      <c r="LUP1334" s="4" t="s">
        <v>2878</v>
      </c>
      <c r="LUQ1334" s="4" t="s">
        <v>2878</v>
      </c>
      <c r="LUR1334" s="4" t="s">
        <v>2878</v>
      </c>
      <c r="LUS1334" s="4" t="s">
        <v>2878</v>
      </c>
      <c r="LUT1334" s="4" t="s">
        <v>2878</v>
      </c>
      <c r="LUU1334" s="4" t="s">
        <v>2878</v>
      </c>
      <c r="LUV1334" s="4" t="s">
        <v>2878</v>
      </c>
      <c r="LUW1334" s="4" t="s">
        <v>2878</v>
      </c>
      <c r="LUX1334" s="4" t="s">
        <v>2878</v>
      </c>
      <c r="LUY1334" s="4" t="s">
        <v>2878</v>
      </c>
      <c r="LUZ1334" s="4" t="s">
        <v>2878</v>
      </c>
      <c r="LVA1334" s="4" t="s">
        <v>2878</v>
      </c>
      <c r="LVB1334" s="4" t="s">
        <v>2878</v>
      </c>
      <c r="LVC1334" s="4" t="s">
        <v>2878</v>
      </c>
      <c r="LVD1334" s="4" t="s">
        <v>2878</v>
      </c>
      <c r="LVE1334" s="4" t="s">
        <v>2878</v>
      </c>
      <c r="LVF1334" s="4" t="s">
        <v>2878</v>
      </c>
      <c r="LVG1334" s="4" t="s">
        <v>2878</v>
      </c>
      <c r="LVH1334" s="4" t="s">
        <v>2878</v>
      </c>
      <c r="LVI1334" s="4" t="s">
        <v>2878</v>
      </c>
      <c r="LVJ1334" s="4" t="s">
        <v>2878</v>
      </c>
      <c r="LVK1334" s="4" t="s">
        <v>2878</v>
      </c>
      <c r="LVL1334" s="4" t="s">
        <v>2878</v>
      </c>
      <c r="LVM1334" s="4" t="s">
        <v>2878</v>
      </c>
      <c r="LVN1334" s="4" t="s">
        <v>2878</v>
      </c>
      <c r="LVO1334" s="4" t="s">
        <v>2878</v>
      </c>
      <c r="LVP1334" s="4" t="s">
        <v>2878</v>
      </c>
      <c r="LVQ1334" s="4" t="s">
        <v>2878</v>
      </c>
      <c r="LVR1334" s="4" t="s">
        <v>2878</v>
      </c>
      <c r="LVS1334" s="4" t="s">
        <v>2878</v>
      </c>
      <c r="LVT1334" s="4" t="s">
        <v>2878</v>
      </c>
      <c r="LVU1334" s="4" t="s">
        <v>2878</v>
      </c>
      <c r="LVV1334" s="4" t="s">
        <v>2878</v>
      </c>
      <c r="LVW1334" s="4" t="s">
        <v>2878</v>
      </c>
      <c r="LVX1334" s="4" t="s">
        <v>2878</v>
      </c>
      <c r="LVY1334" s="4" t="s">
        <v>2878</v>
      </c>
      <c r="LVZ1334" s="4" t="s">
        <v>2878</v>
      </c>
      <c r="LWA1334" s="4" t="s">
        <v>2878</v>
      </c>
      <c r="LWB1334" s="4" t="s">
        <v>2878</v>
      </c>
      <c r="LWC1334" s="4" t="s">
        <v>2878</v>
      </c>
      <c r="LWD1334" s="4" t="s">
        <v>2878</v>
      </c>
      <c r="LWE1334" s="4" t="s">
        <v>2878</v>
      </c>
      <c r="LWF1334" s="4" t="s">
        <v>2878</v>
      </c>
      <c r="LWG1334" s="4" t="s">
        <v>2878</v>
      </c>
      <c r="LWH1334" s="4" t="s">
        <v>2878</v>
      </c>
      <c r="LWI1334" s="4" t="s">
        <v>2878</v>
      </c>
      <c r="LWJ1334" s="4" t="s">
        <v>2878</v>
      </c>
      <c r="LWK1334" s="4" t="s">
        <v>2878</v>
      </c>
      <c r="LWL1334" s="4" t="s">
        <v>2878</v>
      </c>
      <c r="LWM1334" s="4" t="s">
        <v>2878</v>
      </c>
      <c r="LWN1334" s="4" t="s">
        <v>2878</v>
      </c>
      <c r="LWO1334" s="4" t="s">
        <v>2878</v>
      </c>
      <c r="LWP1334" s="4" t="s">
        <v>2878</v>
      </c>
      <c r="LWQ1334" s="4" t="s">
        <v>2878</v>
      </c>
      <c r="LWR1334" s="4" t="s">
        <v>2878</v>
      </c>
      <c r="LWS1334" s="4" t="s">
        <v>2878</v>
      </c>
      <c r="LWT1334" s="4" t="s">
        <v>2878</v>
      </c>
      <c r="LWU1334" s="4" t="s">
        <v>2878</v>
      </c>
      <c r="LWV1334" s="4" t="s">
        <v>2878</v>
      </c>
      <c r="LWW1334" s="4" t="s">
        <v>2878</v>
      </c>
      <c r="LWX1334" s="4" t="s">
        <v>2878</v>
      </c>
      <c r="LWY1334" s="4" t="s">
        <v>2878</v>
      </c>
      <c r="LWZ1334" s="4" t="s">
        <v>2878</v>
      </c>
      <c r="LXA1334" s="4" t="s">
        <v>2878</v>
      </c>
      <c r="LXB1334" s="4" t="s">
        <v>2878</v>
      </c>
      <c r="LXC1334" s="4" t="s">
        <v>2878</v>
      </c>
      <c r="LXD1334" s="4" t="s">
        <v>2878</v>
      </c>
      <c r="LXE1334" s="4" t="s">
        <v>2878</v>
      </c>
      <c r="LXF1334" s="4" t="s">
        <v>2878</v>
      </c>
      <c r="LXG1334" s="4" t="s">
        <v>2878</v>
      </c>
      <c r="LXH1334" s="4" t="s">
        <v>2878</v>
      </c>
      <c r="LXI1334" s="4" t="s">
        <v>2878</v>
      </c>
      <c r="LXJ1334" s="4" t="s">
        <v>2878</v>
      </c>
      <c r="LXK1334" s="4" t="s">
        <v>2878</v>
      </c>
      <c r="LXL1334" s="4" t="s">
        <v>2878</v>
      </c>
      <c r="LXM1334" s="4" t="s">
        <v>2878</v>
      </c>
      <c r="LXN1334" s="4" t="s">
        <v>2878</v>
      </c>
      <c r="LXO1334" s="4" t="s">
        <v>2878</v>
      </c>
      <c r="LXP1334" s="4" t="s">
        <v>2878</v>
      </c>
      <c r="LXQ1334" s="4" t="s">
        <v>2878</v>
      </c>
      <c r="LXR1334" s="4" t="s">
        <v>2878</v>
      </c>
      <c r="LXS1334" s="4" t="s">
        <v>2878</v>
      </c>
      <c r="LXT1334" s="4" t="s">
        <v>2878</v>
      </c>
      <c r="LXU1334" s="4" t="s">
        <v>2878</v>
      </c>
      <c r="LXV1334" s="4" t="s">
        <v>2878</v>
      </c>
      <c r="LXW1334" s="4" t="s">
        <v>2878</v>
      </c>
      <c r="LXX1334" s="4" t="s">
        <v>2878</v>
      </c>
      <c r="LXY1334" s="4" t="s">
        <v>2878</v>
      </c>
      <c r="LXZ1334" s="4" t="s">
        <v>2878</v>
      </c>
      <c r="LYA1334" s="4" t="s">
        <v>2878</v>
      </c>
      <c r="LYB1334" s="4" t="s">
        <v>2878</v>
      </c>
      <c r="LYC1334" s="4" t="s">
        <v>2878</v>
      </c>
      <c r="LYD1334" s="4" t="s">
        <v>2878</v>
      </c>
      <c r="LYE1334" s="4" t="s">
        <v>2878</v>
      </c>
      <c r="LYF1334" s="4" t="s">
        <v>2878</v>
      </c>
      <c r="LYG1334" s="4" t="s">
        <v>2878</v>
      </c>
      <c r="LYH1334" s="4" t="s">
        <v>2878</v>
      </c>
      <c r="LYI1334" s="4" t="s">
        <v>2878</v>
      </c>
      <c r="LYJ1334" s="4" t="s">
        <v>2878</v>
      </c>
      <c r="LYK1334" s="4" t="s">
        <v>2878</v>
      </c>
      <c r="LYL1334" s="4" t="s">
        <v>2878</v>
      </c>
      <c r="LYM1334" s="4" t="s">
        <v>2878</v>
      </c>
      <c r="LYN1334" s="4" t="s">
        <v>2878</v>
      </c>
      <c r="LYO1334" s="4" t="s">
        <v>2878</v>
      </c>
      <c r="LYP1334" s="4" t="s">
        <v>2878</v>
      </c>
      <c r="LYQ1334" s="4" t="s">
        <v>2878</v>
      </c>
      <c r="LYR1334" s="4" t="s">
        <v>2878</v>
      </c>
      <c r="LYS1334" s="4" t="s">
        <v>2878</v>
      </c>
      <c r="LYT1334" s="4" t="s">
        <v>2878</v>
      </c>
      <c r="LYU1334" s="4" t="s">
        <v>2878</v>
      </c>
      <c r="LYV1334" s="4" t="s">
        <v>2878</v>
      </c>
      <c r="LYW1334" s="4" t="s">
        <v>2878</v>
      </c>
      <c r="LYX1334" s="4" t="s">
        <v>2878</v>
      </c>
      <c r="LYY1334" s="4" t="s">
        <v>2878</v>
      </c>
      <c r="LYZ1334" s="4" t="s">
        <v>2878</v>
      </c>
      <c r="LZA1334" s="4" t="s">
        <v>2878</v>
      </c>
      <c r="LZB1334" s="4" t="s">
        <v>2878</v>
      </c>
      <c r="LZC1334" s="4" t="s">
        <v>2878</v>
      </c>
      <c r="LZD1334" s="4" t="s">
        <v>2878</v>
      </c>
      <c r="LZE1334" s="4" t="s">
        <v>2878</v>
      </c>
      <c r="LZF1334" s="4" t="s">
        <v>2878</v>
      </c>
      <c r="LZG1334" s="4" t="s">
        <v>2878</v>
      </c>
      <c r="LZH1334" s="4" t="s">
        <v>2878</v>
      </c>
      <c r="LZI1334" s="4" t="s">
        <v>2878</v>
      </c>
      <c r="LZJ1334" s="4" t="s">
        <v>2878</v>
      </c>
      <c r="LZK1334" s="4" t="s">
        <v>2878</v>
      </c>
      <c r="LZL1334" s="4" t="s">
        <v>2878</v>
      </c>
      <c r="LZM1334" s="4" t="s">
        <v>2878</v>
      </c>
      <c r="LZN1334" s="4" t="s">
        <v>2878</v>
      </c>
      <c r="LZO1334" s="4" t="s">
        <v>2878</v>
      </c>
      <c r="LZP1334" s="4" t="s">
        <v>2878</v>
      </c>
      <c r="LZQ1334" s="4" t="s">
        <v>2878</v>
      </c>
      <c r="LZR1334" s="4" t="s">
        <v>2878</v>
      </c>
      <c r="LZS1334" s="4" t="s">
        <v>2878</v>
      </c>
      <c r="LZT1334" s="4" t="s">
        <v>2878</v>
      </c>
      <c r="LZU1334" s="4" t="s">
        <v>2878</v>
      </c>
      <c r="LZV1334" s="4" t="s">
        <v>2878</v>
      </c>
      <c r="LZW1334" s="4" t="s">
        <v>2878</v>
      </c>
      <c r="LZX1334" s="4" t="s">
        <v>2878</v>
      </c>
      <c r="LZY1334" s="4" t="s">
        <v>2878</v>
      </c>
      <c r="LZZ1334" s="4" t="s">
        <v>2878</v>
      </c>
      <c r="MAA1334" s="4" t="s">
        <v>2878</v>
      </c>
      <c r="MAB1334" s="4" t="s">
        <v>2878</v>
      </c>
      <c r="MAC1334" s="4" t="s">
        <v>2878</v>
      </c>
      <c r="MAD1334" s="4" t="s">
        <v>2878</v>
      </c>
      <c r="MAE1334" s="4" t="s">
        <v>2878</v>
      </c>
      <c r="MAF1334" s="4" t="s">
        <v>2878</v>
      </c>
      <c r="MAG1334" s="4" t="s">
        <v>2878</v>
      </c>
      <c r="MAH1334" s="4" t="s">
        <v>2878</v>
      </c>
      <c r="MAI1334" s="4" t="s">
        <v>2878</v>
      </c>
      <c r="MAJ1334" s="4" t="s">
        <v>2878</v>
      </c>
      <c r="MAK1334" s="4" t="s">
        <v>2878</v>
      </c>
      <c r="MAL1334" s="4" t="s">
        <v>2878</v>
      </c>
      <c r="MAM1334" s="4" t="s">
        <v>2878</v>
      </c>
      <c r="MAN1334" s="4" t="s">
        <v>2878</v>
      </c>
      <c r="MAO1334" s="4" t="s">
        <v>2878</v>
      </c>
      <c r="MAP1334" s="4" t="s">
        <v>2878</v>
      </c>
      <c r="MAQ1334" s="4" t="s">
        <v>2878</v>
      </c>
      <c r="MAR1334" s="4" t="s">
        <v>2878</v>
      </c>
      <c r="MAS1334" s="4" t="s">
        <v>2878</v>
      </c>
      <c r="MAT1334" s="4" t="s">
        <v>2878</v>
      </c>
      <c r="MAU1334" s="4" t="s">
        <v>2878</v>
      </c>
      <c r="MAV1334" s="4" t="s">
        <v>2878</v>
      </c>
      <c r="MAW1334" s="4" t="s">
        <v>2878</v>
      </c>
      <c r="MAX1334" s="4" t="s">
        <v>2878</v>
      </c>
      <c r="MAY1334" s="4" t="s">
        <v>2878</v>
      </c>
      <c r="MAZ1334" s="4" t="s">
        <v>2878</v>
      </c>
      <c r="MBA1334" s="4" t="s">
        <v>2878</v>
      </c>
      <c r="MBB1334" s="4" t="s">
        <v>2878</v>
      </c>
      <c r="MBC1334" s="4" t="s">
        <v>2878</v>
      </c>
      <c r="MBD1334" s="4" t="s">
        <v>2878</v>
      </c>
      <c r="MBE1334" s="4" t="s">
        <v>2878</v>
      </c>
      <c r="MBF1334" s="4" t="s">
        <v>2878</v>
      </c>
      <c r="MBG1334" s="4" t="s">
        <v>2878</v>
      </c>
      <c r="MBH1334" s="4" t="s">
        <v>2878</v>
      </c>
      <c r="MBI1334" s="4" t="s">
        <v>2878</v>
      </c>
      <c r="MBJ1334" s="4" t="s">
        <v>2878</v>
      </c>
      <c r="MBK1334" s="4" t="s">
        <v>2878</v>
      </c>
      <c r="MBL1334" s="4" t="s">
        <v>2878</v>
      </c>
      <c r="MBM1334" s="4" t="s">
        <v>2878</v>
      </c>
      <c r="MBN1334" s="4" t="s">
        <v>2878</v>
      </c>
      <c r="MBO1334" s="4" t="s">
        <v>2878</v>
      </c>
      <c r="MBP1334" s="4" t="s">
        <v>2878</v>
      </c>
      <c r="MBQ1334" s="4" t="s">
        <v>2878</v>
      </c>
      <c r="MBR1334" s="4" t="s">
        <v>2878</v>
      </c>
      <c r="MBS1334" s="4" t="s">
        <v>2878</v>
      </c>
      <c r="MBT1334" s="4" t="s">
        <v>2878</v>
      </c>
      <c r="MBU1334" s="4" t="s">
        <v>2878</v>
      </c>
      <c r="MBV1334" s="4" t="s">
        <v>2878</v>
      </c>
      <c r="MBW1334" s="4" t="s">
        <v>2878</v>
      </c>
      <c r="MBX1334" s="4" t="s">
        <v>2878</v>
      </c>
      <c r="MBY1334" s="4" t="s">
        <v>2878</v>
      </c>
      <c r="MBZ1334" s="4" t="s">
        <v>2878</v>
      </c>
      <c r="MCA1334" s="4" t="s">
        <v>2878</v>
      </c>
      <c r="MCB1334" s="4" t="s">
        <v>2878</v>
      </c>
      <c r="MCC1334" s="4" t="s">
        <v>2878</v>
      </c>
      <c r="MCD1334" s="4" t="s">
        <v>2878</v>
      </c>
      <c r="MCE1334" s="4" t="s">
        <v>2878</v>
      </c>
      <c r="MCF1334" s="4" t="s">
        <v>2878</v>
      </c>
      <c r="MCG1334" s="4" t="s">
        <v>2878</v>
      </c>
      <c r="MCH1334" s="4" t="s">
        <v>2878</v>
      </c>
      <c r="MCI1334" s="4" t="s">
        <v>2878</v>
      </c>
      <c r="MCJ1334" s="4" t="s">
        <v>2878</v>
      </c>
      <c r="MCK1334" s="4" t="s">
        <v>2878</v>
      </c>
      <c r="MCL1334" s="4" t="s">
        <v>2878</v>
      </c>
      <c r="MCM1334" s="4" t="s">
        <v>2878</v>
      </c>
      <c r="MCN1334" s="4" t="s">
        <v>2878</v>
      </c>
      <c r="MCO1334" s="4" t="s">
        <v>2878</v>
      </c>
      <c r="MCP1334" s="4" t="s">
        <v>2878</v>
      </c>
      <c r="MCQ1334" s="4" t="s">
        <v>2878</v>
      </c>
      <c r="MCR1334" s="4" t="s">
        <v>2878</v>
      </c>
      <c r="MCS1334" s="4" t="s">
        <v>2878</v>
      </c>
      <c r="MCT1334" s="4" t="s">
        <v>2878</v>
      </c>
      <c r="MCU1334" s="4" t="s">
        <v>2878</v>
      </c>
      <c r="MCV1334" s="4" t="s">
        <v>2878</v>
      </c>
      <c r="MCW1334" s="4" t="s">
        <v>2878</v>
      </c>
      <c r="MCX1334" s="4" t="s">
        <v>2878</v>
      </c>
      <c r="MCY1334" s="4" t="s">
        <v>2878</v>
      </c>
      <c r="MCZ1334" s="4" t="s">
        <v>2878</v>
      </c>
      <c r="MDA1334" s="4" t="s">
        <v>2878</v>
      </c>
      <c r="MDB1334" s="4" t="s">
        <v>2878</v>
      </c>
      <c r="MDC1334" s="4" t="s">
        <v>2878</v>
      </c>
      <c r="MDD1334" s="4" t="s">
        <v>2878</v>
      </c>
      <c r="MDE1334" s="4" t="s">
        <v>2878</v>
      </c>
      <c r="MDF1334" s="4" t="s">
        <v>2878</v>
      </c>
      <c r="MDG1334" s="4" t="s">
        <v>2878</v>
      </c>
      <c r="MDH1334" s="4" t="s">
        <v>2878</v>
      </c>
      <c r="MDI1334" s="4" t="s">
        <v>2878</v>
      </c>
      <c r="MDJ1334" s="4" t="s">
        <v>2878</v>
      </c>
      <c r="MDK1334" s="4" t="s">
        <v>2878</v>
      </c>
      <c r="MDL1334" s="4" t="s">
        <v>2878</v>
      </c>
      <c r="MDM1334" s="4" t="s">
        <v>2878</v>
      </c>
      <c r="MDN1334" s="4" t="s">
        <v>2878</v>
      </c>
      <c r="MDO1334" s="4" t="s">
        <v>2878</v>
      </c>
      <c r="MDP1334" s="4" t="s">
        <v>2878</v>
      </c>
      <c r="MDQ1334" s="4" t="s">
        <v>2878</v>
      </c>
      <c r="MDR1334" s="4" t="s">
        <v>2878</v>
      </c>
      <c r="MDS1334" s="4" t="s">
        <v>2878</v>
      </c>
      <c r="MDT1334" s="4" t="s">
        <v>2878</v>
      </c>
      <c r="MDU1334" s="4" t="s">
        <v>2878</v>
      </c>
      <c r="MDV1334" s="4" t="s">
        <v>2878</v>
      </c>
      <c r="MDW1334" s="4" t="s">
        <v>2878</v>
      </c>
      <c r="MDX1334" s="4" t="s">
        <v>2878</v>
      </c>
      <c r="MDY1334" s="4" t="s">
        <v>2878</v>
      </c>
      <c r="MDZ1334" s="4" t="s">
        <v>2878</v>
      </c>
      <c r="MEA1334" s="4" t="s">
        <v>2878</v>
      </c>
      <c r="MEB1334" s="4" t="s">
        <v>2878</v>
      </c>
      <c r="MEC1334" s="4" t="s">
        <v>2878</v>
      </c>
      <c r="MED1334" s="4" t="s">
        <v>2878</v>
      </c>
      <c r="MEE1334" s="4" t="s">
        <v>2878</v>
      </c>
      <c r="MEF1334" s="4" t="s">
        <v>2878</v>
      </c>
      <c r="MEG1334" s="4" t="s">
        <v>2878</v>
      </c>
      <c r="MEH1334" s="4" t="s">
        <v>2878</v>
      </c>
      <c r="MEI1334" s="4" t="s">
        <v>2878</v>
      </c>
      <c r="MEJ1334" s="4" t="s">
        <v>2878</v>
      </c>
      <c r="MEK1334" s="4" t="s">
        <v>2878</v>
      </c>
      <c r="MEL1334" s="4" t="s">
        <v>2878</v>
      </c>
      <c r="MEM1334" s="4" t="s">
        <v>2878</v>
      </c>
      <c r="MEN1334" s="4" t="s">
        <v>2878</v>
      </c>
      <c r="MEO1334" s="4" t="s">
        <v>2878</v>
      </c>
      <c r="MEP1334" s="4" t="s">
        <v>2878</v>
      </c>
      <c r="MEQ1334" s="4" t="s">
        <v>2878</v>
      </c>
      <c r="MER1334" s="4" t="s">
        <v>2878</v>
      </c>
      <c r="MES1334" s="4" t="s">
        <v>2878</v>
      </c>
      <c r="MET1334" s="4" t="s">
        <v>2878</v>
      </c>
      <c r="MEU1334" s="4" t="s">
        <v>2878</v>
      </c>
      <c r="MEV1334" s="4" t="s">
        <v>2878</v>
      </c>
      <c r="MEW1334" s="4" t="s">
        <v>2878</v>
      </c>
      <c r="MEX1334" s="4" t="s">
        <v>2878</v>
      </c>
      <c r="MEY1334" s="4" t="s">
        <v>2878</v>
      </c>
      <c r="MEZ1334" s="4" t="s">
        <v>2878</v>
      </c>
      <c r="MFA1334" s="4" t="s">
        <v>2878</v>
      </c>
      <c r="MFB1334" s="4" t="s">
        <v>2878</v>
      </c>
      <c r="MFC1334" s="4" t="s">
        <v>2878</v>
      </c>
      <c r="MFD1334" s="4" t="s">
        <v>2878</v>
      </c>
      <c r="MFE1334" s="4" t="s">
        <v>2878</v>
      </c>
      <c r="MFF1334" s="4" t="s">
        <v>2878</v>
      </c>
      <c r="MFG1334" s="4" t="s">
        <v>2878</v>
      </c>
      <c r="MFH1334" s="4" t="s">
        <v>2878</v>
      </c>
      <c r="MFI1334" s="4" t="s">
        <v>2878</v>
      </c>
      <c r="MFJ1334" s="4" t="s">
        <v>2878</v>
      </c>
      <c r="MFK1334" s="4" t="s">
        <v>2878</v>
      </c>
      <c r="MFL1334" s="4" t="s">
        <v>2878</v>
      </c>
      <c r="MFM1334" s="4" t="s">
        <v>2878</v>
      </c>
      <c r="MFN1334" s="4" t="s">
        <v>2878</v>
      </c>
      <c r="MFO1334" s="4" t="s">
        <v>2878</v>
      </c>
      <c r="MFP1334" s="4" t="s">
        <v>2878</v>
      </c>
      <c r="MFQ1334" s="4" t="s">
        <v>2878</v>
      </c>
      <c r="MFR1334" s="4" t="s">
        <v>2878</v>
      </c>
      <c r="MFS1334" s="4" t="s">
        <v>2878</v>
      </c>
      <c r="MFT1334" s="4" t="s">
        <v>2878</v>
      </c>
      <c r="MFU1334" s="4" t="s">
        <v>2878</v>
      </c>
      <c r="MFV1334" s="4" t="s">
        <v>2878</v>
      </c>
      <c r="MFW1334" s="4" t="s">
        <v>2878</v>
      </c>
      <c r="MFX1334" s="4" t="s">
        <v>2878</v>
      </c>
      <c r="MFY1334" s="4" t="s">
        <v>2878</v>
      </c>
      <c r="MFZ1334" s="4" t="s">
        <v>2878</v>
      </c>
      <c r="MGA1334" s="4" t="s">
        <v>2878</v>
      </c>
      <c r="MGB1334" s="4" t="s">
        <v>2878</v>
      </c>
      <c r="MGC1334" s="4" t="s">
        <v>2878</v>
      </c>
      <c r="MGD1334" s="4" t="s">
        <v>2878</v>
      </c>
      <c r="MGE1334" s="4" t="s">
        <v>2878</v>
      </c>
      <c r="MGF1334" s="4" t="s">
        <v>2878</v>
      </c>
      <c r="MGG1334" s="4" t="s">
        <v>2878</v>
      </c>
      <c r="MGH1334" s="4" t="s">
        <v>2878</v>
      </c>
      <c r="MGI1334" s="4" t="s">
        <v>2878</v>
      </c>
      <c r="MGJ1334" s="4" t="s">
        <v>2878</v>
      </c>
      <c r="MGK1334" s="4" t="s">
        <v>2878</v>
      </c>
      <c r="MGL1334" s="4" t="s">
        <v>2878</v>
      </c>
      <c r="MGM1334" s="4" t="s">
        <v>2878</v>
      </c>
      <c r="MGN1334" s="4" t="s">
        <v>2878</v>
      </c>
      <c r="MGO1334" s="4" t="s">
        <v>2878</v>
      </c>
      <c r="MGP1334" s="4" t="s">
        <v>2878</v>
      </c>
      <c r="MGQ1334" s="4" t="s">
        <v>2878</v>
      </c>
      <c r="MGR1334" s="4" t="s">
        <v>2878</v>
      </c>
      <c r="MGS1334" s="4" t="s">
        <v>2878</v>
      </c>
      <c r="MGT1334" s="4" t="s">
        <v>2878</v>
      </c>
      <c r="MGU1334" s="4" t="s">
        <v>2878</v>
      </c>
      <c r="MGV1334" s="4" t="s">
        <v>2878</v>
      </c>
      <c r="MGW1334" s="4" t="s">
        <v>2878</v>
      </c>
      <c r="MGX1334" s="4" t="s">
        <v>2878</v>
      </c>
      <c r="MGY1334" s="4" t="s">
        <v>2878</v>
      </c>
      <c r="MGZ1334" s="4" t="s">
        <v>2878</v>
      </c>
      <c r="MHA1334" s="4" t="s">
        <v>2878</v>
      </c>
      <c r="MHB1334" s="4" t="s">
        <v>2878</v>
      </c>
      <c r="MHC1334" s="4" t="s">
        <v>2878</v>
      </c>
      <c r="MHD1334" s="4" t="s">
        <v>2878</v>
      </c>
      <c r="MHE1334" s="4" t="s">
        <v>2878</v>
      </c>
      <c r="MHF1334" s="4" t="s">
        <v>2878</v>
      </c>
      <c r="MHG1334" s="4" t="s">
        <v>2878</v>
      </c>
      <c r="MHH1334" s="4" t="s">
        <v>2878</v>
      </c>
      <c r="MHI1334" s="4" t="s">
        <v>2878</v>
      </c>
      <c r="MHJ1334" s="4" t="s">
        <v>2878</v>
      </c>
      <c r="MHK1334" s="4" t="s">
        <v>2878</v>
      </c>
      <c r="MHL1334" s="4" t="s">
        <v>2878</v>
      </c>
      <c r="MHM1334" s="4" t="s">
        <v>2878</v>
      </c>
      <c r="MHN1334" s="4" t="s">
        <v>2878</v>
      </c>
      <c r="MHO1334" s="4" t="s">
        <v>2878</v>
      </c>
      <c r="MHP1334" s="4" t="s">
        <v>2878</v>
      </c>
      <c r="MHQ1334" s="4" t="s">
        <v>2878</v>
      </c>
      <c r="MHR1334" s="4" t="s">
        <v>2878</v>
      </c>
      <c r="MHS1334" s="4" t="s">
        <v>2878</v>
      </c>
      <c r="MHT1334" s="4" t="s">
        <v>2878</v>
      </c>
      <c r="MHU1334" s="4" t="s">
        <v>2878</v>
      </c>
      <c r="MHV1334" s="4" t="s">
        <v>2878</v>
      </c>
      <c r="MHW1334" s="4" t="s">
        <v>2878</v>
      </c>
      <c r="MHX1334" s="4" t="s">
        <v>2878</v>
      </c>
      <c r="MHY1334" s="4" t="s">
        <v>2878</v>
      </c>
      <c r="MHZ1334" s="4" t="s">
        <v>2878</v>
      </c>
      <c r="MIA1334" s="4" t="s">
        <v>2878</v>
      </c>
      <c r="MIB1334" s="4" t="s">
        <v>2878</v>
      </c>
      <c r="MIC1334" s="4" t="s">
        <v>2878</v>
      </c>
      <c r="MID1334" s="4" t="s">
        <v>2878</v>
      </c>
      <c r="MIE1334" s="4" t="s">
        <v>2878</v>
      </c>
      <c r="MIF1334" s="4" t="s">
        <v>2878</v>
      </c>
      <c r="MIG1334" s="4" t="s">
        <v>2878</v>
      </c>
      <c r="MIH1334" s="4" t="s">
        <v>2878</v>
      </c>
      <c r="MII1334" s="4" t="s">
        <v>2878</v>
      </c>
      <c r="MIJ1334" s="4" t="s">
        <v>2878</v>
      </c>
      <c r="MIK1334" s="4" t="s">
        <v>2878</v>
      </c>
      <c r="MIL1334" s="4" t="s">
        <v>2878</v>
      </c>
      <c r="MIM1334" s="4" t="s">
        <v>2878</v>
      </c>
      <c r="MIN1334" s="4" t="s">
        <v>2878</v>
      </c>
      <c r="MIO1334" s="4" t="s">
        <v>2878</v>
      </c>
      <c r="MIP1334" s="4" t="s">
        <v>2878</v>
      </c>
      <c r="MIQ1334" s="4" t="s">
        <v>2878</v>
      </c>
      <c r="MIR1334" s="4" t="s">
        <v>2878</v>
      </c>
      <c r="MIS1334" s="4" t="s">
        <v>2878</v>
      </c>
      <c r="MIT1334" s="4" t="s">
        <v>2878</v>
      </c>
      <c r="MIU1334" s="4" t="s">
        <v>2878</v>
      </c>
      <c r="MIV1334" s="4" t="s">
        <v>2878</v>
      </c>
      <c r="MIW1334" s="4" t="s">
        <v>2878</v>
      </c>
      <c r="MIX1334" s="4" t="s">
        <v>2878</v>
      </c>
      <c r="MIY1334" s="4" t="s">
        <v>2878</v>
      </c>
      <c r="MIZ1334" s="4" t="s">
        <v>2878</v>
      </c>
      <c r="MJA1334" s="4" t="s">
        <v>2878</v>
      </c>
      <c r="MJB1334" s="4" t="s">
        <v>2878</v>
      </c>
      <c r="MJC1334" s="4" t="s">
        <v>2878</v>
      </c>
      <c r="MJD1334" s="4" t="s">
        <v>2878</v>
      </c>
      <c r="MJE1334" s="4" t="s">
        <v>2878</v>
      </c>
      <c r="MJF1334" s="4" t="s">
        <v>2878</v>
      </c>
      <c r="MJG1334" s="4" t="s">
        <v>2878</v>
      </c>
      <c r="MJH1334" s="4" t="s">
        <v>2878</v>
      </c>
      <c r="MJI1334" s="4" t="s">
        <v>2878</v>
      </c>
      <c r="MJJ1334" s="4" t="s">
        <v>2878</v>
      </c>
      <c r="MJK1334" s="4" t="s">
        <v>2878</v>
      </c>
      <c r="MJL1334" s="4" t="s">
        <v>2878</v>
      </c>
      <c r="MJM1334" s="4" t="s">
        <v>2878</v>
      </c>
      <c r="MJN1334" s="4" t="s">
        <v>2878</v>
      </c>
      <c r="MJO1334" s="4" t="s">
        <v>2878</v>
      </c>
      <c r="MJP1334" s="4" t="s">
        <v>2878</v>
      </c>
      <c r="MJQ1334" s="4" t="s">
        <v>2878</v>
      </c>
      <c r="MJR1334" s="4" t="s">
        <v>2878</v>
      </c>
      <c r="MJS1334" s="4" t="s">
        <v>2878</v>
      </c>
      <c r="MJT1334" s="4" t="s">
        <v>2878</v>
      </c>
      <c r="MJU1334" s="4" t="s">
        <v>2878</v>
      </c>
      <c r="MJV1334" s="4" t="s">
        <v>2878</v>
      </c>
      <c r="MJW1334" s="4" t="s">
        <v>2878</v>
      </c>
      <c r="MJX1334" s="4" t="s">
        <v>2878</v>
      </c>
      <c r="MJY1334" s="4" t="s">
        <v>2878</v>
      </c>
      <c r="MJZ1334" s="4" t="s">
        <v>2878</v>
      </c>
      <c r="MKA1334" s="4" t="s">
        <v>2878</v>
      </c>
      <c r="MKB1334" s="4" t="s">
        <v>2878</v>
      </c>
      <c r="MKC1334" s="4" t="s">
        <v>2878</v>
      </c>
      <c r="MKD1334" s="4" t="s">
        <v>2878</v>
      </c>
      <c r="MKE1334" s="4" t="s">
        <v>2878</v>
      </c>
      <c r="MKF1334" s="4" t="s">
        <v>2878</v>
      </c>
      <c r="MKG1334" s="4" t="s">
        <v>2878</v>
      </c>
      <c r="MKH1334" s="4" t="s">
        <v>2878</v>
      </c>
      <c r="MKI1334" s="4" t="s">
        <v>2878</v>
      </c>
      <c r="MKJ1334" s="4" t="s">
        <v>2878</v>
      </c>
      <c r="MKK1334" s="4" t="s">
        <v>2878</v>
      </c>
      <c r="MKL1334" s="4" t="s">
        <v>2878</v>
      </c>
      <c r="MKM1334" s="4" t="s">
        <v>2878</v>
      </c>
      <c r="MKN1334" s="4" t="s">
        <v>2878</v>
      </c>
      <c r="MKO1334" s="4" t="s">
        <v>2878</v>
      </c>
      <c r="MKP1334" s="4" t="s">
        <v>2878</v>
      </c>
      <c r="MKQ1334" s="4" t="s">
        <v>2878</v>
      </c>
      <c r="MKR1334" s="4" t="s">
        <v>2878</v>
      </c>
      <c r="MKS1334" s="4" t="s">
        <v>2878</v>
      </c>
      <c r="MKT1334" s="4" t="s">
        <v>2878</v>
      </c>
      <c r="MKU1334" s="4" t="s">
        <v>2878</v>
      </c>
      <c r="MKV1334" s="4" t="s">
        <v>2878</v>
      </c>
      <c r="MKW1334" s="4" t="s">
        <v>2878</v>
      </c>
      <c r="MKX1334" s="4" t="s">
        <v>2878</v>
      </c>
      <c r="MKY1334" s="4" t="s">
        <v>2878</v>
      </c>
      <c r="MKZ1334" s="4" t="s">
        <v>2878</v>
      </c>
      <c r="MLA1334" s="4" t="s">
        <v>2878</v>
      </c>
      <c r="MLB1334" s="4" t="s">
        <v>2878</v>
      </c>
      <c r="MLC1334" s="4" t="s">
        <v>2878</v>
      </c>
      <c r="MLD1334" s="4" t="s">
        <v>2878</v>
      </c>
      <c r="MLE1334" s="4" t="s">
        <v>2878</v>
      </c>
      <c r="MLF1334" s="4" t="s">
        <v>2878</v>
      </c>
      <c r="MLG1334" s="4" t="s">
        <v>2878</v>
      </c>
      <c r="MLH1334" s="4" t="s">
        <v>2878</v>
      </c>
      <c r="MLI1334" s="4" t="s">
        <v>2878</v>
      </c>
      <c r="MLJ1334" s="4" t="s">
        <v>2878</v>
      </c>
      <c r="MLK1334" s="4" t="s">
        <v>2878</v>
      </c>
      <c r="MLL1334" s="4" t="s">
        <v>2878</v>
      </c>
      <c r="MLM1334" s="4" t="s">
        <v>2878</v>
      </c>
      <c r="MLN1334" s="4" t="s">
        <v>2878</v>
      </c>
      <c r="MLO1334" s="4" t="s">
        <v>2878</v>
      </c>
      <c r="MLP1334" s="4" t="s">
        <v>2878</v>
      </c>
      <c r="MLQ1334" s="4" t="s">
        <v>2878</v>
      </c>
      <c r="MLR1334" s="4" t="s">
        <v>2878</v>
      </c>
      <c r="MLS1334" s="4" t="s">
        <v>2878</v>
      </c>
      <c r="MLT1334" s="4" t="s">
        <v>2878</v>
      </c>
      <c r="MLU1334" s="4" t="s">
        <v>2878</v>
      </c>
      <c r="MLV1334" s="4" t="s">
        <v>2878</v>
      </c>
      <c r="MLW1334" s="4" t="s">
        <v>2878</v>
      </c>
      <c r="MLX1334" s="4" t="s">
        <v>2878</v>
      </c>
      <c r="MLY1334" s="4" t="s">
        <v>2878</v>
      </c>
      <c r="MLZ1334" s="4" t="s">
        <v>2878</v>
      </c>
      <c r="MMA1334" s="4" t="s">
        <v>2878</v>
      </c>
      <c r="MMB1334" s="4" t="s">
        <v>2878</v>
      </c>
      <c r="MMC1334" s="4" t="s">
        <v>2878</v>
      </c>
      <c r="MMD1334" s="4" t="s">
        <v>2878</v>
      </c>
      <c r="MME1334" s="4" t="s">
        <v>2878</v>
      </c>
      <c r="MMF1334" s="4" t="s">
        <v>2878</v>
      </c>
      <c r="MMG1334" s="4" t="s">
        <v>2878</v>
      </c>
      <c r="MMH1334" s="4" t="s">
        <v>2878</v>
      </c>
      <c r="MMI1334" s="4" t="s">
        <v>2878</v>
      </c>
      <c r="MMJ1334" s="4" t="s">
        <v>2878</v>
      </c>
      <c r="MMK1334" s="4" t="s">
        <v>2878</v>
      </c>
      <c r="MML1334" s="4" t="s">
        <v>2878</v>
      </c>
      <c r="MMM1334" s="4" t="s">
        <v>2878</v>
      </c>
      <c r="MMN1334" s="4" t="s">
        <v>2878</v>
      </c>
      <c r="MMO1334" s="4" t="s">
        <v>2878</v>
      </c>
      <c r="MMP1334" s="4" t="s">
        <v>2878</v>
      </c>
      <c r="MMQ1334" s="4" t="s">
        <v>2878</v>
      </c>
      <c r="MMR1334" s="4" t="s">
        <v>2878</v>
      </c>
      <c r="MMS1334" s="4" t="s">
        <v>2878</v>
      </c>
      <c r="MMT1334" s="4" t="s">
        <v>2878</v>
      </c>
      <c r="MMU1334" s="4" t="s">
        <v>2878</v>
      </c>
      <c r="MMV1334" s="4" t="s">
        <v>2878</v>
      </c>
      <c r="MMW1334" s="4" t="s">
        <v>2878</v>
      </c>
      <c r="MMX1334" s="4" t="s">
        <v>2878</v>
      </c>
      <c r="MMY1334" s="4" t="s">
        <v>2878</v>
      </c>
      <c r="MMZ1334" s="4" t="s">
        <v>2878</v>
      </c>
      <c r="MNA1334" s="4" t="s">
        <v>2878</v>
      </c>
      <c r="MNB1334" s="4" t="s">
        <v>2878</v>
      </c>
      <c r="MNC1334" s="4" t="s">
        <v>2878</v>
      </c>
      <c r="MND1334" s="4" t="s">
        <v>2878</v>
      </c>
      <c r="MNE1334" s="4" t="s">
        <v>2878</v>
      </c>
      <c r="MNF1334" s="4" t="s">
        <v>2878</v>
      </c>
      <c r="MNG1334" s="4" t="s">
        <v>2878</v>
      </c>
      <c r="MNH1334" s="4" t="s">
        <v>2878</v>
      </c>
      <c r="MNI1334" s="4" t="s">
        <v>2878</v>
      </c>
      <c r="MNJ1334" s="4" t="s">
        <v>2878</v>
      </c>
      <c r="MNK1334" s="4" t="s">
        <v>2878</v>
      </c>
      <c r="MNL1334" s="4" t="s">
        <v>2878</v>
      </c>
      <c r="MNM1334" s="4" t="s">
        <v>2878</v>
      </c>
      <c r="MNN1334" s="4" t="s">
        <v>2878</v>
      </c>
      <c r="MNO1334" s="4" t="s">
        <v>2878</v>
      </c>
      <c r="MNP1334" s="4" t="s">
        <v>2878</v>
      </c>
      <c r="MNQ1334" s="4" t="s">
        <v>2878</v>
      </c>
      <c r="MNR1334" s="4" t="s">
        <v>2878</v>
      </c>
      <c r="MNS1334" s="4" t="s">
        <v>2878</v>
      </c>
      <c r="MNT1334" s="4" t="s">
        <v>2878</v>
      </c>
      <c r="MNU1334" s="4" t="s">
        <v>2878</v>
      </c>
      <c r="MNV1334" s="4" t="s">
        <v>2878</v>
      </c>
      <c r="MNW1334" s="4" t="s">
        <v>2878</v>
      </c>
      <c r="MNX1334" s="4" t="s">
        <v>2878</v>
      </c>
      <c r="MNY1334" s="4" t="s">
        <v>2878</v>
      </c>
      <c r="MNZ1334" s="4" t="s">
        <v>2878</v>
      </c>
      <c r="MOA1334" s="4" t="s">
        <v>2878</v>
      </c>
      <c r="MOB1334" s="4" t="s">
        <v>2878</v>
      </c>
      <c r="MOC1334" s="4" t="s">
        <v>2878</v>
      </c>
      <c r="MOD1334" s="4" t="s">
        <v>2878</v>
      </c>
      <c r="MOE1334" s="4" t="s">
        <v>2878</v>
      </c>
      <c r="MOF1334" s="4" t="s">
        <v>2878</v>
      </c>
      <c r="MOG1334" s="4" t="s">
        <v>2878</v>
      </c>
      <c r="MOH1334" s="4" t="s">
        <v>2878</v>
      </c>
      <c r="MOI1334" s="4" t="s">
        <v>2878</v>
      </c>
      <c r="MOJ1334" s="4" t="s">
        <v>2878</v>
      </c>
      <c r="MOK1334" s="4" t="s">
        <v>2878</v>
      </c>
      <c r="MOL1334" s="4" t="s">
        <v>2878</v>
      </c>
      <c r="MOM1334" s="4" t="s">
        <v>2878</v>
      </c>
      <c r="MON1334" s="4" t="s">
        <v>2878</v>
      </c>
      <c r="MOO1334" s="4" t="s">
        <v>2878</v>
      </c>
      <c r="MOP1334" s="4" t="s">
        <v>2878</v>
      </c>
      <c r="MOQ1334" s="4" t="s">
        <v>2878</v>
      </c>
      <c r="MOR1334" s="4" t="s">
        <v>2878</v>
      </c>
      <c r="MOS1334" s="4" t="s">
        <v>2878</v>
      </c>
      <c r="MOT1334" s="4" t="s">
        <v>2878</v>
      </c>
      <c r="MOU1334" s="4" t="s">
        <v>2878</v>
      </c>
      <c r="MOV1334" s="4" t="s">
        <v>2878</v>
      </c>
      <c r="MOW1334" s="4" t="s">
        <v>2878</v>
      </c>
      <c r="MOX1334" s="4" t="s">
        <v>2878</v>
      </c>
      <c r="MOY1334" s="4" t="s">
        <v>2878</v>
      </c>
      <c r="MOZ1334" s="4" t="s">
        <v>2878</v>
      </c>
      <c r="MPA1334" s="4" t="s">
        <v>2878</v>
      </c>
      <c r="MPB1334" s="4" t="s">
        <v>2878</v>
      </c>
      <c r="MPC1334" s="4" t="s">
        <v>2878</v>
      </c>
      <c r="MPD1334" s="4" t="s">
        <v>2878</v>
      </c>
      <c r="MPE1334" s="4" t="s">
        <v>2878</v>
      </c>
      <c r="MPF1334" s="4" t="s">
        <v>2878</v>
      </c>
      <c r="MPG1334" s="4" t="s">
        <v>2878</v>
      </c>
      <c r="MPH1334" s="4" t="s">
        <v>2878</v>
      </c>
      <c r="MPI1334" s="4" t="s">
        <v>2878</v>
      </c>
      <c r="MPJ1334" s="4" t="s">
        <v>2878</v>
      </c>
      <c r="MPK1334" s="4" t="s">
        <v>2878</v>
      </c>
      <c r="MPL1334" s="4" t="s">
        <v>2878</v>
      </c>
      <c r="MPM1334" s="4" t="s">
        <v>2878</v>
      </c>
      <c r="MPN1334" s="4" t="s">
        <v>2878</v>
      </c>
      <c r="MPO1334" s="4" t="s">
        <v>2878</v>
      </c>
      <c r="MPP1334" s="4" t="s">
        <v>2878</v>
      </c>
      <c r="MPQ1334" s="4" t="s">
        <v>2878</v>
      </c>
      <c r="MPR1334" s="4" t="s">
        <v>2878</v>
      </c>
      <c r="MPS1334" s="4" t="s">
        <v>2878</v>
      </c>
      <c r="MPT1334" s="4" t="s">
        <v>2878</v>
      </c>
      <c r="MPU1334" s="4" t="s">
        <v>2878</v>
      </c>
      <c r="MPV1334" s="4" t="s">
        <v>2878</v>
      </c>
      <c r="MPW1334" s="4" t="s">
        <v>2878</v>
      </c>
      <c r="MPX1334" s="4" t="s">
        <v>2878</v>
      </c>
      <c r="MPY1334" s="4" t="s">
        <v>2878</v>
      </c>
      <c r="MPZ1334" s="4" t="s">
        <v>2878</v>
      </c>
      <c r="MQA1334" s="4" t="s">
        <v>2878</v>
      </c>
      <c r="MQB1334" s="4" t="s">
        <v>2878</v>
      </c>
      <c r="MQC1334" s="4" t="s">
        <v>2878</v>
      </c>
      <c r="MQD1334" s="4" t="s">
        <v>2878</v>
      </c>
      <c r="MQE1334" s="4" t="s">
        <v>2878</v>
      </c>
      <c r="MQF1334" s="4" t="s">
        <v>2878</v>
      </c>
      <c r="MQG1334" s="4" t="s">
        <v>2878</v>
      </c>
      <c r="MQH1334" s="4" t="s">
        <v>2878</v>
      </c>
      <c r="MQI1334" s="4" t="s">
        <v>2878</v>
      </c>
      <c r="MQJ1334" s="4" t="s">
        <v>2878</v>
      </c>
      <c r="MQK1334" s="4" t="s">
        <v>2878</v>
      </c>
      <c r="MQL1334" s="4" t="s">
        <v>2878</v>
      </c>
      <c r="MQM1334" s="4" t="s">
        <v>2878</v>
      </c>
      <c r="MQN1334" s="4" t="s">
        <v>2878</v>
      </c>
      <c r="MQO1334" s="4" t="s">
        <v>2878</v>
      </c>
      <c r="MQP1334" s="4" t="s">
        <v>2878</v>
      </c>
      <c r="MQQ1334" s="4" t="s">
        <v>2878</v>
      </c>
      <c r="MQR1334" s="4" t="s">
        <v>2878</v>
      </c>
      <c r="MQS1334" s="4" t="s">
        <v>2878</v>
      </c>
      <c r="MQT1334" s="4" t="s">
        <v>2878</v>
      </c>
      <c r="MQU1334" s="4" t="s">
        <v>2878</v>
      </c>
      <c r="MQV1334" s="4" t="s">
        <v>2878</v>
      </c>
      <c r="MQW1334" s="4" t="s">
        <v>2878</v>
      </c>
      <c r="MQX1334" s="4" t="s">
        <v>2878</v>
      </c>
      <c r="MQY1334" s="4" t="s">
        <v>2878</v>
      </c>
      <c r="MQZ1334" s="4" t="s">
        <v>2878</v>
      </c>
      <c r="MRA1334" s="4" t="s">
        <v>2878</v>
      </c>
      <c r="MRB1334" s="4" t="s">
        <v>2878</v>
      </c>
      <c r="MRC1334" s="4" t="s">
        <v>2878</v>
      </c>
      <c r="MRD1334" s="4" t="s">
        <v>2878</v>
      </c>
      <c r="MRE1334" s="4" t="s">
        <v>2878</v>
      </c>
      <c r="MRF1334" s="4" t="s">
        <v>2878</v>
      </c>
      <c r="MRG1334" s="4" t="s">
        <v>2878</v>
      </c>
      <c r="MRH1334" s="4" t="s">
        <v>2878</v>
      </c>
      <c r="MRI1334" s="4" t="s">
        <v>2878</v>
      </c>
      <c r="MRJ1334" s="4" t="s">
        <v>2878</v>
      </c>
      <c r="MRK1334" s="4" t="s">
        <v>2878</v>
      </c>
      <c r="MRL1334" s="4" t="s">
        <v>2878</v>
      </c>
      <c r="MRM1334" s="4" t="s">
        <v>2878</v>
      </c>
      <c r="MRN1334" s="4" t="s">
        <v>2878</v>
      </c>
      <c r="MRO1334" s="4" t="s">
        <v>2878</v>
      </c>
      <c r="MRP1334" s="4" t="s">
        <v>2878</v>
      </c>
      <c r="MRQ1334" s="4" t="s">
        <v>2878</v>
      </c>
      <c r="MRR1334" s="4" t="s">
        <v>2878</v>
      </c>
      <c r="MRS1334" s="4" t="s">
        <v>2878</v>
      </c>
      <c r="MRT1334" s="4" t="s">
        <v>2878</v>
      </c>
      <c r="MRU1334" s="4" t="s">
        <v>2878</v>
      </c>
      <c r="MRV1334" s="4" t="s">
        <v>2878</v>
      </c>
      <c r="MRW1334" s="4" t="s">
        <v>2878</v>
      </c>
      <c r="MRX1334" s="4" t="s">
        <v>2878</v>
      </c>
      <c r="MRY1334" s="4" t="s">
        <v>2878</v>
      </c>
      <c r="MRZ1334" s="4" t="s">
        <v>2878</v>
      </c>
      <c r="MSA1334" s="4" t="s">
        <v>2878</v>
      </c>
      <c r="MSB1334" s="4" t="s">
        <v>2878</v>
      </c>
      <c r="MSC1334" s="4" t="s">
        <v>2878</v>
      </c>
      <c r="MSD1334" s="4" t="s">
        <v>2878</v>
      </c>
      <c r="MSE1334" s="4" t="s">
        <v>2878</v>
      </c>
      <c r="MSF1334" s="4" t="s">
        <v>2878</v>
      </c>
      <c r="MSG1334" s="4" t="s">
        <v>2878</v>
      </c>
      <c r="MSH1334" s="4" t="s">
        <v>2878</v>
      </c>
      <c r="MSI1334" s="4" t="s">
        <v>2878</v>
      </c>
      <c r="MSJ1334" s="4" t="s">
        <v>2878</v>
      </c>
      <c r="MSK1334" s="4" t="s">
        <v>2878</v>
      </c>
      <c r="MSL1334" s="4" t="s">
        <v>2878</v>
      </c>
      <c r="MSM1334" s="4" t="s">
        <v>2878</v>
      </c>
      <c r="MSN1334" s="4" t="s">
        <v>2878</v>
      </c>
      <c r="MSO1334" s="4" t="s">
        <v>2878</v>
      </c>
      <c r="MSP1334" s="4" t="s">
        <v>2878</v>
      </c>
      <c r="MSQ1334" s="4" t="s">
        <v>2878</v>
      </c>
      <c r="MSR1334" s="4" t="s">
        <v>2878</v>
      </c>
      <c r="MSS1334" s="4" t="s">
        <v>2878</v>
      </c>
      <c r="MST1334" s="4" t="s">
        <v>2878</v>
      </c>
      <c r="MSU1334" s="4" t="s">
        <v>2878</v>
      </c>
      <c r="MSV1334" s="4" t="s">
        <v>2878</v>
      </c>
      <c r="MSW1334" s="4" t="s">
        <v>2878</v>
      </c>
      <c r="MSX1334" s="4" t="s">
        <v>2878</v>
      </c>
      <c r="MSY1334" s="4" t="s">
        <v>2878</v>
      </c>
      <c r="MSZ1334" s="4" t="s">
        <v>2878</v>
      </c>
      <c r="MTA1334" s="4" t="s">
        <v>2878</v>
      </c>
      <c r="MTB1334" s="4" t="s">
        <v>2878</v>
      </c>
      <c r="MTC1334" s="4" t="s">
        <v>2878</v>
      </c>
      <c r="MTD1334" s="4" t="s">
        <v>2878</v>
      </c>
      <c r="MTE1334" s="4" t="s">
        <v>2878</v>
      </c>
      <c r="MTF1334" s="4" t="s">
        <v>2878</v>
      </c>
      <c r="MTG1334" s="4" t="s">
        <v>2878</v>
      </c>
      <c r="MTH1334" s="4" t="s">
        <v>2878</v>
      </c>
      <c r="MTI1334" s="4" t="s">
        <v>2878</v>
      </c>
      <c r="MTJ1334" s="4" t="s">
        <v>2878</v>
      </c>
      <c r="MTK1334" s="4" t="s">
        <v>2878</v>
      </c>
      <c r="MTL1334" s="4" t="s">
        <v>2878</v>
      </c>
      <c r="MTM1334" s="4" t="s">
        <v>2878</v>
      </c>
      <c r="MTN1334" s="4" t="s">
        <v>2878</v>
      </c>
      <c r="MTO1334" s="4" t="s">
        <v>2878</v>
      </c>
      <c r="MTP1334" s="4" t="s">
        <v>2878</v>
      </c>
      <c r="MTQ1334" s="4" t="s">
        <v>2878</v>
      </c>
      <c r="MTR1334" s="4" t="s">
        <v>2878</v>
      </c>
      <c r="MTS1334" s="4" t="s">
        <v>2878</v>
      </c>
      <c r="MTT1334" s="4" t="s">
        <v>2878</v>
      </c>
      <c r="MTU1334" s="4" t="s">
        <v>2878</v>
      </c>
      <c r="MTV1334" s="4" t="s">
        <v>2878</v>
      </c>
      <c r="MTW1334" s="4" t="s">
        <v>2878</v>
      </c>
      <c r="MTX1334" s="4" t="s">
        <v>2878</v>
      </c>
      <c r="MTY1334" s="4" t="s">
        <v>2878</v>
      </c>
      <c r="MTZ1334" s="4" t="s">
        <v>2878</v>
      </c>
      <c r="MUA1334" s="4" t="s">
        <v>2878</v>
      </c>
      <c r="MUB1334" s="4" t="s">
        <v>2878</v>
      </c>
      <c r="MUC1334" s="4" t="s">
        <v>2878</v>
      </c>
      <c r="MUD1334" s="4" t="s">
        <v>2878</v>
      </c>
      <c r="MUE1334" s="4" t="s">
        <v>2878</v>
      </c>
      <c r="MUF1334" s="4" t="s">
        <v>2878</v>
      </c>
      <c r="MUG1334" s="4" t="s">
        <v>2878</v>
      </c>
      <c r="MUH1334" s="4" t="s">
        <v>2878</v>
      </c>
      <c r="MUI1334" s="4" t="s">
        <v>2878</v>
      </c>
      <c r="MUJ1334" s="4" t="s">
        <v>2878</v>
      </c>
      <c r="MUK1334" s="4" t="s">
        <v>2878</v>
      </c>
      <c r="MUL1334" s="4" t="s">
        <v>2878</v>
      </c>
      <c r="MUM1334" s="4" t="s">
        <v>2878</v>
      </c>
      <c r="MUN1334" s="4" t="s">
        <v>2878</v>
      </c>
      <c r="MUO1334" s="4" t="s">
        <v>2878</v>
      </c>
      <c r="MUP1334" s="4" t="s">
        <v>2878</v>
      </c>
      <c r="MUQ1334" s="4" t="s">
        <v>2878</v>
      </c>
      <c r="MUR1334" s="4" t="s">
        <v>2878</v>
      </c>
      <c r="MUS1334" s="4" t="s">
        <v>2878</v>
      </c>
      <c r="MUT1334" s="4" t="s">
        <v>2878</v>
      </c>
      <c r="MUU1334" s="4" t="s">
        <v>2878</v>
      </c>
      <c r="MUV1334" s="4" t="s">
        <v>2878</v>
      </c>
      <c r="MUW1334" s="4" t="s">
        <v>2878</v>
      </c>
      <c r="MUX1334" s="4" t="s">
        <v>2878</v>
      </c>
      <c r="MUY1334" s="4" t="s">
        <v>2878</v>
      </c>
      <c r="MUZ1334" s="4" t="s">
        <v>2878</v>
      </c>
      <c r="MVA1334" s="4" t="s">
        <v>2878</v>
      </c>
      <c r="MVB1334" s="4" t="s">
        <v>2878</v>
      </c>
      <c r="MVC1334" s="4" t="s">
        <v>2878</v>
      </c>
      <c r="MVD1334" s="4" t="s">
        <v>2878</v>
      </c>
      <c r="MVE1334" s="4" t="s">
        <v>2878</v>
      </c>
      <c r="MVF1334" s="4" t="s">
        <v>2878</v>
      </c>
      <c r="MVG1334" s="4" t="s">
        <v>2878</v>
      </c>
      <c r="MVH1334" s="4" t="s">
        <v>2878</v>
      </c>
      <c r="MVI1334" s="4" t="s">
        <v>2878</v>
      </c>
      <c r="MVJ1334" s="4" t="s">
        <v>2878</v>
      </c>
      <c r="MVK1334" s="4" t="s">
        <v>2878</v>
      </c>
      <c r="MVL1334" s="4" t="s">
        <v>2878</v>
      </c>
      <c r="MVM1334" s="4" t="s">
        <v>2878</v>
      </c>
      <c r="MVN1334" s="4" t="s">
        <v>2878</v>
      </c>
      <c r="MVO1334" s="4" t="s">
        <v>2878</v>
      </c>
      <c r="MVP1334" s="4" t="s">
        <v>2878</v>
      </c>
      <c r="MVQ1334" s="4" t="s">
        <v>2878</v>
      </c>
      <c r="MVR1334" s="4" t="s">
        <v>2878</v>
      </c>
      <c r="MVS1334" s="4" t="s">
        <v>2878</v>
      </c>
      <c r="MVT1334" s="4" t="s">
        <v>2878</v>
      </c>
      <c r="MVU1334" s="4" t="s">
        <v>2878</v>
      </c>
      <c r="MVV1334" s="4" t="s">
        <v>2878</v>
      </c>
      <c r="MVW1334" s="4" t="s">
        <v>2878</v>
      </c>
      <c r="MVX1334" s="4" t="s">
        <v>2878</v>
      </c>
      <c r="MVY1334" s="4" t="s">
        <v>2878</v>
      </c>
      <c r="MVZ1334" s="4" t="s">
        <v>2878</v>
      </c>
      <c r="MWA1334" s="4" t="s">
        <v>2878</v>
      </c>
      <c r="MWB1334" s="4" t="s">
        <v>2878</v>
      </c>
      <c r="MWC1334" s="4" t="s">
        <v>2878</v>
      </c>
      <c r="MWD1334" s="4" t="s">
        <v>2878</v>
      </c>
      <c r="MWE1334" s="4" t="s">
        <v>2878</v>
      </c>
      <c r="MWF1334" s="4" t="s">
        <v>2878</v>
      </c>
      <c r="MWG1334" s="4" t="s">
        <v>2878</v>
      </c>
      <c r="MWH1334" s="4" t="s">
        <v>2878</v>
      </c>
      <c r="MWI1334" s="4" t="s">
        <v>2878</v>
      </c>
      <c r="MWJ1334" s="4" t="s">
        <v>2878</v>
      </c>
      <c r="MWK1334" s="4" t="s">
        <v>2878</v>
      </c>
      <c r="MWL1334" s="4" t="s">
        <v>2878</v>
      </c>
      <c r="MWM1334" s="4" t="s">
        <v>2878</v>
      </c>
      <c r="MWN1334" s="4" t="s">
        <v>2878</v>
      </c>
      <c r="MWO1334" s="4" t="s">
        <v>2878</v>
      </c>
      <c r="MWP1334" s="4" t="s">
        <v>2878</v>
      </c>
      <c r="MWQ1334" s="4" t="s">
        <v>2878</v>
      </c>
      <c r="MWR1334" s="4" t="s">
        <v>2878</v>
      </c>
      <c r="MWS1334" s="4" t="s">
        <v>2878</v>
      </c>
      <c r="MWT1334" s="4" t="s">
        <v>2878</v>
      </c>
      <c r="MWU1334" s="4" t="s">
        <v>2878</v>
      </c>
      <c r="MWV1334" s="4" t="s">
        <v>2878</v>
      </c>
      <c r="MWW1334" s="4" t="s">
        <v>2878</v>
      </c>
      <c r="MWX1334" s="4" t="s">
        <v>2878</v>
      </c>
      <c r="MWY1334" s="4" t="s">
        <v>2878</v>
      </c>
      <c r="MWZ1334" s="4" t="s">
        <v>2878</v>
      </c>
      <c r="MXA1334" s="4" t="s">
        <v>2878</v>
      </c>
      <c r="MXB1334" s="4" t="s">
        <v>2878</v>
      </c>
      <c r="MXC1334" s="4" t="s">
        <v>2878</v>
      </c>
      <c r="MXD1334" s="4" t="s">
        <v>2878</v>
      </c>
      <c r="MXE1334" s="4" t="s">
        <v>2878</v>
      </c>
      <c r="MXF1334" s="4" t="s">
        <v>2878</v>
      </c>
      <c r="MXG1334" s="4" t="s">
        <v>2878</v>
      </c>
      <c r="MXH1334" s="4" t="s">
        <v>2878</v>
      </c>
      <c r="MXI1334" s="4" t="s">
        <v>2878</v>
      </c>
      <c r="MXJ1334" s="4" t="s">
        <v>2878</v>
      </c>
      <c r="MXK1334" s="4" t="s">
        <v>2878</v>
      </c>
      <c r="MXL1334" s="4" t="s">
        <v>2878</v>
      </c>
      <c r="MXM1334" s="4" t="s">
        <v>2878</v>
      </c>
      <c r="MXN1334" s="4" t="s">
        <v>2878</v>
      </c>
      <c r="MXO1334" s="4" t="s">
        <v>2878</v>
      </c>
      <c r="MXP1334" s="4" t="s">
        <v>2878</v>
      </c>
      <c r="MXQ1334" s="4" t="s">
        <v>2878</v>
      </c>
      <c r="MXR1334" s="4" t="s">
        <v>2878</v>
      </c>
      <c r="MXS1334" s="4" t="s">
        <v>2878</v>
      </c>
      <c r="MXT1334" s="4" t="s">
        <v>2878</v>
      </c>
      <c r="MXU1334" s="4" t="s">
        <v>2878</v>
      </c>
      <c r="MXV1334" s="4" t="s">
        <v>2878</v>
      </c>
      <c r="MXW1334" s="4" t="s">
        <v>2878</v>
      </c>
      <c r="MXX1334" s="4" t="s">
        <v>2878</v>
      </c>
      <c r="MXY1334" s="4" t="s">
        <v>2878</v>
      </c>
      <c r="MXZ1334" s="4" t="s">
        <v>2878</v>
      </c>
      <c r="MYA1334" s="4" t="s">
        <v>2878</v>
      </c>
      <c r="MYB1334" s="4" t="s">
        <v>2878</v>
      </c>
      <c r="MYC1334" s="4" t="s">
        <v>2878</v>
      </c>
      <c r="MYD1334" s="4" t="s">
        <v>2878</v>
      </c>
      <c r="MYE1334" s="4" t="s">
        <v>2878</v>
      </c>
      <c r="MYF1334" s="4" t="s">
        <v>2878</v>
      </c>
      <c r="MYG1334" s="4" t="s">
        <v>2878</v>
      </c>
      <c r="MYH1334" s="4" t="s">
        <v>2878</v>
      </c>
      <c r="MYI1334" s="4" t="s">
        <v>2878</v>
      </c>
      <c r="MYJ1334" s="4" t="s">
        <v>2878</v>
      </c>
      <c r="MYK1334" s="4" t="s">
        <v>2878</v>
      </c>
      <c r="MYL1334" s="4" t="s">
        <v>2878</v>
      </c>
      <c r="MYM1334" s="4" t="s">
        <v>2878</v>
      </c>
      <c r="MYN1334" s="4" t="s">
        <v>2878</v>
      </c>
      <c r="MYO1334" s="4" t="s">
        <v>2878</v>
      </c>
      <c r="MYP1334" s="4" t="s">
        <v>2878</v>
      </c>
      <c r="MYQ1334" s="4" t="s">
        <v>2878</v>
      </c>
      <c r="MYR1334" s="4" t="s">
        <v>2878</v>
      </c>
      <c r="MYS1334" s="4" t="s">
        <v>2878</v>
      </c>
      <c r="MYT1334" s="4" t="s">
        <v>2878</v>
      </c>
      <c r="MYU1334" s="4" t="s">
        <v>2878</v>
      </c>
      <c r="MYV1334" s="4" t="s">
        <v>2878</v>
      </c>
      <c r="MYW1334" s="4" t="s">
        <v>2878</v>
      </c>
      <c r="MYX1334" s="4" t="s">
        <v>2878</v>
      </c>
      <c r="MYY1334" s="4" t="s">
        <v>2878</v>
      </c>
      <c r="MYZ1334" s="4" t="s">
        <v>2878</v>
      </c>
      <c r="MZA1334" s="4" t="s">
        <v>2878</v>
      </c>
      <c r="MZB1334" s="4" t="s">
        <v>2878</v>
      </c>
      <c r="MZC1334" s="4" t="s">
        <v>2878</v>
      </c>
      <c r="MZD1334" s="4" t="s">
        <v>2878</v>
      </c>
      <c r="MZE1334" s="4" t="s">
        <v>2878</v>
      </c>
      <c r="MZF1334" s="4" t="s">
        <v>2878</v>
      </c>
      <c r="MZG1334" s="4" t="s">
        <v>2878</v>
      </c>
      <c r="MZH1334" s="4" t="s">
        <v>2878</v>
      </c>
      <c r="MZI1334" s="4" t="s">
        <v>2878</v>
      </c>
      <c r="MZJ1334" s="4" t="s">
        <v>2878</v>
      </c>
      <c r="MZK1334" s="4" t="s">
        <v>2878</v>
      </c>
      <c r="MZL1334" s="4" t="s">
        <v>2878</v>
      </c>
      <c r="MZM1334" s="4" t="s">
        <v>2878</v>
      </c>
      <c r="MZN1334" s="4" t="s">
        <v>2878</v>
      </c>
      <c r="MZO1334" s="4" t="s">
        <v>2878</v>
      </c>
      <c r="MZP1334" s="4" t="s">
        <v>2878</v>
      </c>
      <c r="MZQ1334" s="4" t="s">
        <v>2878</v>
      </c>
      <c r="MZR1334" s="4" t="s">
        <v>2878</v>
      </c>
      <c r="MZS1334" s="4" t="s">
        <v>2878</v>
      </c>
      <c r="MZT1334" s="4" t="s">
        <v>2878</v>
      </c>
      <c r="MZU1334" s="4" t="s">
        <v>2878</v>
      </c>
      <c r="MZV1334" s="4" t="s">
        <v>2878</v>
      </c>
      <c r="MZW1334" s="4" t="s">
        <v>2878</v>
      </c>
      <c r="MZX1334" s="4" t="s">
        <v>2878</v>
      </c>
      <c r="MZY1334" s="4" t="s">
        <v>2878</v>
      </c>
      <c r="MZZ1334" s="4" t="s">
        <v>2878</v>
      </c>
      <c r="NAA1334" s="4" t="s">
        <v>2878</v>
      </c>
      <c r="NAB1334" s="4" t="s">
        <v>2878</v>
      </c>
      <c r="NAC1334" s="4" t="s">
        <v>2878</v>
      </c>
      <c r="NAD1334" s="4" t="s">
        <v>2878</v>
      </c>
      <c r="NAE1334" s="4" t="s">
        <v>2878</v>
      </c>
      <c r="NAF1334" s="4" t="s">
        <v>2878</v>
      </c>
      <c r="NAG1334" s="4" t="s">
        <v>2878</v>
      </c>
      <c r="NAH1334" s="4" t="s">
        <v>2878</v>
      </c>
      <c r="NAI1334" s="4" t="s">
        <v>2878</v>
      </c>
      <c r="NAJ1334" s="4" t="s">
        <v>2878</v>
      </c>
      <c r="NAK1334" s="4" t="s">
        <v>2878</v>
      </c>
      <c r="NAL1334" s="4" t="s">
        <v>2878</v>
      </c>
      <c r="NAM1334" s="4" t="s">
        <v>2878</v>
      </c>
      <c r="NAN1334" s="4" t="s">
        <v>2878</v>
      </c>
      <c r="NAO1334" s="4" t="s">
        <v>2878</v>
      </c>
      <c r="NAP1334" s="4" t="s">
        <v>2878</v>
      </c>
      <c r="NAQ1334" s="4" t="s">
        <v>2878</v>
      </c>
      <c r="NAR1334" s="4" t="s">
        <v>2878</v>
      </c>
      <c r="NAS1334" s="4" t="s">
        <v>2878</v>
      </c>
      <c r="NAT1334" s="4" t="s">
        <v>2878</v>
      </c>
      <c r="NAU1334" s="4" t="s">
        <v>2878</v>
      </c>
      <c r="NAV1334" s="4" t="s">
        <v>2878</v>
      </c>
      <c r="NAW1334" s="4" t="s">
        <v>2878</v>
      </c>
      <c r="NAX1334" s="4" t="s">
        <v>2878</v>
      </c>
      <c r="NAY1334" s="4" t="s">
        <v>2878</v>
      </c>
      <c r="NAZ1334" s="4" t="s">
        <v>2878</v>
      </c>
      <c r="NBA1334" s="4" t="s">
        <v>2878</v>
      </c>
      <c r="NBB1334" s="4" t="s">
        <v>2878</v>
      </c>
      <c r="NBC1334" s="4" t="s">
        <v>2878</v>
      </c>
      <c r="NBD1334" s="4" t="s">
        <v>2878</v>
      </c>
      <c r="NBE1334" s="4" t="s">
        <v>2878</v>
      </c>
      <c r="NBF1334" s="4" t="s">
        <v>2878</v>
      </c>
      <c r="NBG1334" s="4" t="s">
        <v>2878</v>
      </c>
      <c r="NBH1334" s="4" t="s">
        <v>2878</v>
      </c>
      <c r="NBI1334" s="4" t="s">
        <v>2878</v>
      </c>
      <c r="NBJ1334" s="4" t="s">
        <v>2878</v>
      </c>
      <c r="NBK1334" s="4" t="s">
        <v>2878</v>
      </c>
      <c r="NBL1334" s="4" t="s">
        <v>2878</v>
      </c>
      <c r="NBM1334" s="4" t="s">
        <v>2878</v>
      </c>
      <c r="NBN1334" s="4" t="s">
        <v>2878</v>
      </c>
      <c r="NBO1334" s="4" t="s">
        <v>2878</v>
      </c>
      <c r="NBP1334" s="4" t="s">
        <v>2878</v>
      </c>
      <c r="NBQ1334" s="4" t="s">
        <v>2878</v>
      </c>
      <c r="NBR1334" s="4" t="s">
        <v>2878</v>
      </c>
      <c r="NBS1334" s="4" t="s">
        <v>2878</v>
      </c>
      <c r="NBT1334" s="4" t="s">
        <v>2878</v>
      </c>
      <c r="NBU1334" s="4" t="s">
        <v>2878</v>
      </c>
      <c r="NBV1334" s="4" t="s">
        <v>2878</v>
      </c>
      <c r="NBW1334" s="4" t="s">
        <v>2878</v>
      </c>
      <c r="NBX1334" s="4" t="s">
        <v>2878</v>
      </c>
      <c r="NBY1334" s="4" t="s">
        <v>2878</v>
      </c>
      <c r="NBZ1334" s="4" t="s">
        <v>2878</v>
      </c>
      <c r="NCA1334" s="4" t="s">
        <v>2878</v>
      </c>
      <c r="NCB1334" s="4" t="s">
        <v>2878</v>
      </c>
      <c r="NCC1334" s="4" t="s">
        <v>2878</v>
      </c>
      <c r="NCD1334" s="4" t="s">
        <v>2878</v>
      </c>
      <c r="NCE1334" s="4" t="s">
        <v>2878</v>
      </c>
      <c r="NCF1334" s="4" t="s">
        <v>2878</v>
      </c>
      <c r="NCG1334" s="4" t="s">
        <v>2878</v>
      </c>
      <c r="NCH1334" s="4" t="s">
        <v>2878</v>
      </c>
      <c r="NCI1334" s="4" t="s">
        <v>2878</v>
      </c>
      <c r="NCJ1334" s="4" t="s">
        <v>2878</v>
      </c>
      <c r="NCK1334" s="4" t="s">
        <v>2878</v>
      </c>
      <c r="NCL1334" s="4" t="s">
        <v>2878</v>
      </c>
      <c r="NCM1334" s="4" t="s">
        <v>2878</v>
      </c>
      <c r="NCN1334" s="4" t="s">
        <v>2878</v>
      </c>
      <c r="NCO1334" s="4" t="s">
        <v>2878</v>
      </c>
      <c r="NCP1334" s="4" t="s">
        <v>2878</v>
      </c>
      <c r="NCQ1334" s="4" t="s">
        <v>2878</v>
      </c>
      <c r="NCR1334" s="4" t="s">
        <v>2878</v>
      </c>
      <c r="NCS1334" s="4" t="s">
        <v>2878</v>
      </c>
      <c r="NCT1334" s="4" t="s">
        <v>2878</v>
      </c>
      <c r="NCU1334" s="4" t="s">
        <v>2878</v>
      </c>
      <c r="NCV1334" s="4" t="s">
        <v>2878</v>
      </c>
      <c r="NCW1334" s="4" t="s">
        <v>2878</v>
      </c>
      <c r="NCX1334" s="4" t="s">
        <v>2878</v>
      </c>
      <c r="NCY1334" s="4" t="s">
        <v>2878</v>
      </c>
      <c r="NCZ1334" s="4" t="s">
        <v>2878</v>
      </c>
      <c r="NDA1334" s="4" t="s">
        <v>2878</v>
      </c>
      <c r="NDB1334" s="4" t="s">
        <v>2878</v>
      </c>
      <c r="NDC1334" s="4" t="s">
        <v>2878</v>
      </c>
      <c r="NDD1334" s="4" t="s">
        <v>2878</v>
      </c>
      <c r="NDE1334" s="4" t="s">
        <v>2878</v>
      </c>
      <c r="NDF1334" s="4" t="s">
        <v>2878</v>
      </c>
      <c r="NDG1334" s="4" t="s">
        <v>2878</v>
      </c>
      <c r="NDH1334" s="4" t="s">
        <v>2878</v>
      </c>
      <c r="NDI1334" s="4" t="s">
        <v>2878</v>
      </c>
      <c r="NDJ1334" s="4" t="s">
        <v>2878</v>
      </c>
      <c r="NDK1334" s="4" t="s">
        <v>2878</v>
      </c>
      <c r="NDL1334" s="4" t="s">
        <v>2878</v>
      </c>
      <c r="NDM1334" s="4" t="s">
        <v>2878</v>
      </c>
      <c r="NDN1334" s="4" t="s">
        <v>2878</v>
      </c>
      <c r="NDO1334" s="4" t="s">
        <v>2878</v>
      </c>
      <c r="NDP1334" s="4" t="s">
        <v>2878</v>
      </c>
      <c r="NDQ1334" s="4" t="s">
        <v>2878</v>
      </c>
      <c r="NDR1334" s="4" t="s">
        <v>2878</v>
      </c>
      <c r="NDS1334" s="4" t="s">
        <v>2878</v>
      </c>
      <c r="NDT1334" s="4" t="s">
        <v>2878</v>
      </c>
      <c r="NDU1334" s="4" t="s">
        <v>2878</v>
      </c>
      <c r="NDV1334" s="4" t="s">
        <v>2878</v>
      </c>
      <c r="NDW1334" s="4" t="s">
        <v>2878</v>
      </c>
      <c r="NDX1334" s="4" t="s">
        <v>2878</v>
      </c>
      <c r="NDY1334" s="4" t="s">
        <v>2878</v>
      </c>
      <c r="NDZ1334" s="4" t="s">
        <v>2878</v>
      </c>
      <c r="NEA1334" s="4" t="s">
        <v>2878</v>
      </c>
      <c r="NEB1334" s="4" t="s">
        <v>2878</v>
      </c>
      <c r="NEC1334" s="4" t="s">
        <v>2878</v>
      </c>
      <c r="NED1334" s="4" t="s">
        <v>2878</v>
      </c>
      <c r="NEE1334" s="4" t="s">
        <v>2878</v>
      </c>
      <c r="NEF1334" s="4" t="s">
        <v>2878</v>
      </c>
      <c r="NEG1334" s="4" t="s">
        <v>2878</v>
      </c>
      <c r="NEH1334" s="4" t="s">
        <v>2878</v>
      </c>
      <c r="NEI1334" s="4" t="s">
        <v>2878</v>
      </c>
      <c r="NEJ1334" s="4" t="s">
        <v>2878</v>
      </c>
      <c r="NEK1334" s="4" t="s">
        <v>2878</v>
      </c>
      <c r="NEL1334" s="4" t="s">
        <v>2878</v>
      </c>
      <c r="NEM1334" s="4" t="s">
        <v>2878</v>
      </c>
      <c r="NEN1334" s="4" t="s">
        <v>2878</v>
      </c>
      <c r="NEO1334" s="4" t="s">
        <v>2878</v>
      </c>
      <c r="NEP1334" s="4" t="s">
        <v>2878</v>
      </c>
      <c r="NEQ1334" s="4" t="s">
        <v>2878</v>
      </c>
      <c r="NER1334" s="4" t="s">
        <v>2878</v>
      </c>
      <c r="NES1334" s="4" t="s">
        <v>2878</v>
      </c>
      <c r="NET1334" s="4" t="s">
        <v>2878</v>
      </c>
      <c r="NEU1334" s="4" t="s">
        <v>2878</v>
      </c>
      <c r="NEV1334" s="4" t="s">
        <v>2878</v>
      </c>
      <c r="NEW1334" s="4" t="s">
        <v>2878</v>
      </c>
      <c r="NEX1334" s="4" t="s">
        <v>2878</v>
      </c>
      <c r="NEY1334" s="4" t="s">
        <v>2878</v>
      </c>
      <c r="NEZ1334" s="4" t="s">
        <v>2878</v>
      </c>
      <c r="NFA1334" s="4" t="s">
        <v>2878</v>
      </c>
      <c r="NFB1334" s="4" t="s">
        <v>2878</v>
      </c>
      <c r="NFC1334" s="4" t="s">
        <v>2878</v>
      </c>
      <c r="NFD1334" s="4" t="s">
        <v>2878</v>
      </c>
      <c r="NFE1334" s="4" t="s">
        <v>2878</v>
      </c>
      <c r="NFF1334" s="4" t="s">
        <v>2878</v>
      </c>
      <c r="NFG1334" s="4" t="s">
        <v>2878</v>
      </c>
      <c r="NFH1334" s="4" t="s">
        <v>2878</v>
      </c>
      <c r="NFI1334" s="4" t="s">
        <v>2878</v>
      </c>
      <c r="NFJ1334" s="4" t="s">
        <v>2878</v>
      </c>
      <c r="NFK1334" s="4" t="s">
        <v>2878</v>
      </c>
      <c r="NFL1334" s="4" t="s">
        <v>2878</v>
      </c>
      <c r="NFM1334" s="4" t="s">
        <v>2878</v>
      </c>
      <c r="NFN1334" s="4" t="s">
        <v>2878</v>
      </c>
      <c r="NFO1334" s="4" t="s">
        <v>2878</v>
      </c>
      <c r="NFP1334" s="4" t="s">
        <v>2878</v>
      </c>
      <c r="NFQ1334" s="4" t="s">
        <v>2878</v>
      </c>
      <c r="NFR1334" s="4" t="s">
        <v>2878</v>
      </c>
      <c r="NFS1334" s="4" t="s">
        <v>2878</v>
      </c>
      <c r="NFT1334" s="4" t="s">
        <v>2878</v>
      </c>
      <c r="NFU1334" s="4" t="s">
        <v>2878</v>
      </c>
      <c r="NFV1334" s="4" t="s">
        <v>2878</v>
      </c>
      <c r="NFW1334" s="4" t="s">
        <v>2878</v>
      </c>
      <c r="NFX1334" s="4" t="s">
        <v>2878</v>
      </c>
      <c r="NFY1334" s="4" t="s">
        <v>2878</v>
      </c>
      <c r="NFZ1334" s="4" t="s">
        <v>2878</v>
      </c>
      <c r="NGA1334" s="4" t="s">
        <v>2878</v>
      </c>
      <c r="NGB1334" s="4" t="s">
        <v>2878</v>
      </c>
      <c r="NGC1334" s="4" t="s">
        <v>2878</v>
      </c>
      <c r="NGD1334" s="4" t="s">
        <v>2878</v>
      </c>
      <c r="NGE1334" s="4" t="s">
        <v>2878</v>
      </c>
      <c r="NGF1334" s="4" t="s">
        <v>2878</v>
      </c>
      <c r="NGG1334" s="4" t="s">
        <v>2878</v>
      </c>
      <c r="NGH1334" s="4" t="s">
        <v>2878</v>
      </c>
      <c r="NGI1334" s="4" t="s">
        <v>2878</v>
      </c>
      <c r="NGJ1334" s="4" t="s">
        <v>2878</v>
      </c>
      <c r="NGK1334" s="4" t="s">
        <v>2878</v>
      </c>
      <c r="NGL1334" s="4" t="s">
        <v>2878</v>
      </c>
      <c r="NGM1334" s="4" t="s">
        <v>2878</v>
      </c>
      <c r="NGN1334" s="4" t="s">
        <v>2878</v>
      </c>
      <c r="NGO1334" s="4" t="s">
        <v>2878</v>
      </c>
      <c r="NGP1334" s="4" t="s">
        <v>2878</v>
      </c>
      <c r="NGQ1334" s="4" t="s">
        <v>2878</v>
      </c>
      <c r="NGR1334" s="4" t="s">
        <v>2878</v>
      </c>
      <c r="NGS1334" s="4" t="s">
        <v>2878</v>
      </c>
      <c r="NGT1334" s="4" t="s">
        <v>2878</v>
      </c>
      <c r="NGU1334" s="4" t="s">
        <v>2878</v>
      </c>
      <c r="NGV1334" s="4" t="s">
        <v>2878</v>
      </c>
      <c r="NGW1334" s="4" t="s">
        <v>2878</v>
      </c>
      <c r="NGX1334" s="4" t="s">
        <v>2878</v>
      </c>
      <c r="NGY1334" s="4" t="s">
        <v>2878</v>
      </c>
      <c r="NGZ1334" s="4" t="s">
        <v>2878</v>
      </c>
      <c r="NHA1334" s="4" t="s">
        <v>2878</v>
      </c>
      <c r="NHB1334" s="4" t="s">
        <v>2878</v>
      </c>
      <c r="NHC1334" s="4" t="s">
        <v>2878</v>
      </c>
      <c r="NHD1334" s="4" t="s">
        <v>2878</v>
      </c>
      <c r="NHE1334" s="4" t="s">
        <v>2878</v>
      </c>
      <c r="NHF1334" s="4" t="s">
        <v>2878</v>
      </c>
      <c r="NHG1334" s="4" t="s">
        <v>2878</v>
      </c>
      <c r="NHH1334" s="4" t="s">
        <v>2878</v>
      </c>
      <c r="NHI1334" s="4" t="s">
        <v>2878</v>
      </c>
      <c r="NHJ1334" s="4" t="s">
        <v>2878</v>
      </c>
      <c r="NHK1334" s="4" t="s">
        <v>2878</v>
      </c>
      <c r="NHL1334" s="4" t="s">
        <v>2878</v>
      </c>
      <c r="NHM1334" s="4" t="s">
        <v>2878</v>
      </c>
      <c r="NHN1334" s="4" t="s">
        <v>2878</v>
      </c>
      <c r="NHO1334" s="4" t="s">
        <v>2878</v>
      </c>
      <c r="NHP1334" s="4" t="s">
        <v>2878</v>
      </c>
      <c r="NHQ1334" s="4" t="s">
        <v>2878</v>
      </c>
      <c r="NHR1334" s="4" t="s">
        <v>2878</v>
      </c>
      <c r="NHS1334" s="4" t="s">
        <v>2878</v>
      </c>
      <c r="NHT1334" s="4" t="s">
        <v>2878</v>
      </c>
      <c r="NHU1334" s="4" t="s">
        <v>2878</v>
      </c>
      <c r="NHV1334" s="4" t="s">
        <v>2878</v>
      </c>
      <c r="NHW1334" s="4" t="s">
        <v>2878</v>
      </c>
      <c r="NHX1334" s="4" t="s">
        <v>2878</v>
      </c>
      <c r="NHY1334" s="4" t="s">
        <v>2878</v>
      </c>
      <c r="NHZ1334" s="4" t="s">
        <v>2878</v>
      </c>
      <c r="NIA1334" s="4" t="s">
        <v>2878</v>
      </c>
      <c r="NIB1334" s="4" t="s">
        <v>2878</v>
      </c>
      <c r="NIC1334" s="4" t="s">
        <v>2878</v>
      </c>
      <c r="NID1334" s="4" t="s">
        <v>2878</v>
      </c>
      <c r="NIE1334" s="4" t="s">
        <v>2878</v>
      </c>
      <c r="NIF1334" s="4" t="s">
        <v>2878</v>
      </c>
      <c r="NIG1334" s="4" t="s">
        <v>2878</v>
      </c>
      <c r="NIH1334" s="4" t="s">
        <v>2878</v>
      </c>
      <c r="NII1334" s="4" t="s">
        <v>2878</v>
      </c>
      <c r="NIJ1334" s="4" t="s">
        <v>2878</v>
      </c>
      <c r="NIK1334" s="4" t="s">
        <v>2878</v>
      </c>
      <c r="NIL1334" s="4" t="s">
        <v>2878</v>
      </c>
      <c r="NIM1334" s="4" t="s">
        <v>2878</v>
      </c>
      <c r="NIN1334" s="4" t="s">
        <v>2878</v>
      </c>
      <c r="NIO1334" s="4" t="s">
        <v>2878</v>
      </c>
      <c r="NIP1334" s="4" t="s">
        <v>2878</v>
      </c>
      <c r="NIQ1334" s="4" t="s">
        <v>2878</v>
      </c>
      <c r="NIR1334" s="4" t="s">
        <v>2878</v>
      </c>
      <c r="NIS1334" s="4" t="s">
        <v>2878</v>
      </c>
      <c r="NIT1334" s="4" t="s">
        <v>2878</v>
      </c>
      <c r="NIU1334" s="4" t="s">
        <v>2878</v>
      </c>
      <c r="NIV1334" s="4" t="s">
        <v>2878</v>
      </c>
      <c r="NIW1334" s="4" t="s">
        <v>2878</v>
      </c>
      <c r="NIX1334" s="4" t="s">
        <v>2878</v>
      </c>
      <c r="NIY1334" s="4" t="s">
        <v>2878</v>
      </c>
      <c r="NIZ1334" s="4" t="s">
        <v>2878</v>
      </c>
      <c r="NJA1334" s="4" t="s">
        <v>2878</v>
      </c>
      <c r="NJB1334" s="4" t="s">
        <v>2878</v>
      </c>
      <c r="NJC1334" s="4" t="s">
        <v>2878</v>
      </c>
      <c r="NJD1334" s="4" t="s">
        <v>2878</v>
      </c>
      <c r="NJE1334" s="4" t="s">
        <v>2878</v>
      </c>
      <c r="NJF1334" s="4" t="s">
        <v>2878</v>
      </c>
      <c r="NJG1334" s="4" t="s">
        <v>2878</v>
      </c>
      <c r="NJH1334" s="4" t="s">
        <v>2878</v>
      </c>
      <c r="NJI1334" s="4" t="s">
        <v>2878</v>
      </c>
      <c r="NJJ1334" s="4" t="s">
        <v>2878</v>
      </c>
      <c r="NJK1334" s="4" t="s">
        <v>2878</v>
      </c>
      <c r="NJL1334" s="4" t="s">
        <v>2878</v>
      </c>
      <c r="NJM1334" s="4" t="s">
        <v>2878</v>
      </c>
      <c r="NJN1334" s="4" t="s">
        <v>2878</v>
      </c>
      <c r="NJO1334" s="4" t="s">
        <v>2878</v>
      </c>
      <c r="NJP1334" s="4" t="s">
        <v>2878</v>
      </c>
      <c r="NJQ1334" s="4" t="s">
        <v>2878</v>
      </c>
      <c r="NJR1334" s="4" t="s">
        <v>2878</v>
      </c>
      <c r="NJS1334" s="4" t="s">
        <v>2878</v>
      </c>
      <c r="NJT1334" s="4" t="s">
        <v>2878</v>
      </c>
      <c r="NJU1334" s="4" t="s">
        <v>2878</v>
      </c>
      <c r="NJV1334" s="4" t="s">
        <v>2878</v>
      </c>
      <c r="NJW1334" s="4" t="s">
        <v>2878</v>
      </c>
      <c r="NJX1334" s="4" t="s">
        <v>2878</v>
      </c>
      <c r="NJY1334" s="4" t="s">
        <v>2878</v>
      </c>
      <c r="NJZ1334" s="4" t="s">
        <v>2878</v>
      </c>
      <c r="NKA1334" s="4" t="s">
        <v>2878</v>
      </c>
      <c r="NKB1334" s="4" t="s">
        <v>2878</v>
      </c>
      <c r="NKC1334" s="4" t="s">
        <v>2878</v>
      </c>
      <c r="NKD1334" s="4" t="s">
        <v>2878</v>
      </c>
      <c r="NKE1334" s="4" t="s">
        <v>2878</v>
      </c>
      <c r="NKF1334" s="4" t="s">
        <v>2878</v>
      </c>
      <c r="NKG1334" s="4" t="s">
        <v>2878</v>
      </c>
      <c r="NKH1334" s="4" t="s">
        <v>2878</v>
      </c>
      <c r="NKI1334" s="4" t="s">
        <v>2878</v>
      </c>
      <c r="NKJ1334" s="4" t="s">
        <v>2878</v>
      </c>
      <c r="NKK1334" s="4" t="s">
        <v>2878</v>
      </c>
      <c r="NKL1334" s="4" t="s">
        <v>2878</v>
      </c>
      <c r="NKM1334" s="4" t="s">
        <v>2878</v>
      </c>
      <c r="NKN1334" s="4" t="s">
        <v>2878</v>
      </c>
      <c r="NKO1334" s="4" t="s">
        <v>2878</v>
      </c>
      <c r="NKP1334" s="4" t="s">
        <v>2878</v>
      </c>
      <c r="NKQ1334" s="4" t="s">
        <v>2878</v>
      </c>
      <c r="NKR1334" s="4" t="s">
        <v>2878</v>
      </c>
      <c r="NKS1334" s="4" t="s">
        <v>2878</v>
      </c>
      <c r="NKT1334" s="4" t="s">
        <v>2878</v>
      </c>
      <c r="NKU1334" s="4" t="s">
        <v>2878</v>
      </c>
      <c r="NKV1334" s="4" t="s">
        <v>2878</v>
      </c>
      <c r="NKW1334" s="4" t="s">
        <v>2878</v>
      </c>
      <c r="NKX1334" s="4" t="s">
        <v>2878</v>
      </c>
      <c r="NKY1334" s="4" t="s">
        <v>2878</v>
      </c>
      <c r="NKZ1334" s="4" t="s">
        <v>2878</v>
      </c>
      <c r="NLA1334" s="4" t="s">
        <v>2878</v>
      </c>
      <c r="NLB1334" s="4" t="s">
        <v>2878</v>
      </c>
      <c r="NLC1334" s="4" t="s">
        <v>2878</v>
      </c>
      <c r="NLD1334" s="4" t="s">
        <v>2878</v>
      </c>
      <c r="NLE1334" s="4" t="s">
        <v>2878</v>
      </c>
      <c r="NLF1334" s="4" t="s">
        <v>2878</v>
      </c>
      <c r="NLG1334" s="4" t="s">
        <v>2878</v>
      </c>
      <c r="NLH1334" s="4" t="s">
        <v>2878</v>
      </c>
      <c r="NLI1334" s="4" t="s">
        <v>2878</v>
      </c>
      <c r="NLJ1334" s="4" t="s">
        <v>2878</v>
      </c>
      <c r="NLK1334" s="4" t="s">
        <v>2878</v>
      </c>
      <c r="NLL1334" s="4" t="s">
        <v>2878</v>
      </c>
      <c r="NLM1334" s="4" t="s">
        <v>2878</v>
      </c>
      <c r="NLN1334" s="4" t="s">
        <v>2878</v>
      </c>
      <c r="NLO1334" s="4" t="s">
        <v>2878</v>
      </c>
      <c r="NLP1334" s="4" t="s">
        <v>2878</v>
      </c>
      <c r="NLQ1334" s="4" t="s">
        <v>2878</v>
      </c>
      <c r="NLR1334" s="4" t="s">
        <v>2878</v>
      </c>
      <c r="NLS1334" s="4" t="s">
        <v>2878</v>
      </c>
      <c r="NLT1334" s="4" t="s">
        <v>2878</v>
      </c>
      <c r="NLU1334" s="4" t="s">
        <v>2878</v>
      </c>
      <c r="NLV1334" s="4" t="s">
        <v>2878</v>
      </c>
      <c r="NLW1334" s="4" t="s">
        <v>2878</v>
      </c>
      <c r="NLX1334" s="4" t="s">
        <v>2878</v>
      </c>
      <c r="NLY1334" s="4" t="s">
        <v>2878</v>
      </c>
      <c r="NLZ1334" s="4" t="s">
        <v>2878</v>
      </c>
      <c r="NMA1334" s="4" t="s">
        <v>2878</v>
      </c>
      <c r="NMB1334" s="4" t="s">
        <v>2878</v>
      </c>
      <c r="NMC1334" s="4" t="s">
        <v>2878</v>
      </c>
      <c r="NMD1334" s="4" t="s">
        <v>2878</v>
      </c>
      <c r="NME1334" s="4" t="s">
        <v>2878</v>
      </c>
      <c r="NMF1334" s="4" t="s">
        <v>2878</v>
      </c>
      <c r="NMG1334" s="4" t="s">
        <v>2878</v>
      </c>
      <c r="NMH1334" s="4" t="s">
        <v>2878</v>
      </c>
      <c r="NMI1334" s="4" t="s">
        <v>2878</v>
      </c>
      <c r="NMJ1334" s="4" t="s">
        <v>2878</v>
      </c>
      <c r="NMK1334" s="4" t="s">
        <v>2878</v>
      </c>
      <c r="NML1334" s="4" t="s">
        <v>2878</v>
      </c>
      <c r="NMM1334" s="4" t="s">
        <v>2878</v>
      </c>
      <c r="NMN1334" s="4" t="s">
        <v>2878</v>
      </c>
      <c r="NMO1334" s="4" t="s">
        <v>2878</v>
      </c>
      <c r="NMP1334" s="4" t="s">
        <v>2878</v>
      </c>
      <c r="NMQ1334" s="4" t="s">
        <v>2878</v>
      </c>
      <c r="NMR1334" s="4" t="s">
        <v>2878</v>
      </c>
      <c r="NMS1334" s="4" t="s">
        <v>2878</v>
      </c>
      <c r="NMT1334" s="4" t="s">
        <v>2878</v>
      </c>
      <c r="NMU1334" s="4" t="s">
        <v>2878</v>
      </c>
      <c r="NMV1334" s="4" t="s">
        <v>2878</v>
      </c>
      <c r="NMW1334" s="4" t="s">
        <v>2878</v>
      </c>
      <c r="NMX1334" s="4" t="s">
        <v>2878</v>
      </c>
      <c r="NMY1334" s="4" t="s">
        <v>2878</v>
      </c>
      <c r="NMZ1334" s="4" t="s">
        <v>2878</v>
      </c>
      <c r="NNA1334" s="4" t="s">
        <v>2878</v>
      </c>
      <c r="NNB1334" s="4" t="s">
        <v>2878</v>
      </c>
      <c r="NNC1334" s="4" t="s">
        <v>2878</v>
      </c>
      <c r="NND1334" s="4" t="s">
        <v>2878</v>
      </c>
      <c r="NNE1334" s="4" t="s">
        <v>2878</v>
      </c>
      <c r="NNF1334" s="4" t="s">
        <v>2878</v>
      </c>
      <c r="NNG1334" s="4" t="s">
        <v>2878</v>
      </c>
      <c r="NNH1334" s="4" t="s">
        <v>2878</v>
      </c>
      <c r="NNI1334" s="4" t="s">
        <v>2878</v>
      </c>
      <c r="NNJ1334" s="4" t="s">
        <v>2878</v>
      </c>
      <c r="NNK1334" s="4" t="s">
        <v>2878</v>
      </c>
      <c r="NNL1334" s="4" t="s">
        <v>2878</v>
      </c>
      <c r="NNM1334" s="4" t="s">
        <v>2878</v>
      </c>
      <c r="NNN1334" s="4" t="s">
        <v>2878</v>
      </c>
      <c r="NNO1334" s="4" t="s">
        <v>2878</v>
      </c>
      <c r="NNP1334" s="4" t="s">
        <v>2878</v>
      </c>
      <c r="NNQ1334" s="4" t="s">
        <v>2878</v>
      </c>
      <c r="NNR1334" s="4" t="s">
        <v>2878</v>
      </c>
      <c r="NNS1334" s="4" t="s">
        <v>2878</v>
      </c>
      <c r="NNT1334" s="4" t="s">
        <v>2878</v>
      </c>
      <c r="NNU1334" s="4" t="s">
        <v>2878</v>
      </c>
      <c r="NNV1334" s="4" t="s">
        <v>2878</v>
      </c>
      <c r="NNW1334" s="4" t="s">
        <v>2878</v>
      </c>
      <c r="NNX1334" s="4" t="s">
        <v>2878</v>
      </c>
      <c r="NNY1334" s="4" t="s">
        <v>2878</v>
      </c>
      <c r="NNZ1334" s="4" t="s">
        <v>2878</v>
      </c>
      <c r="NOA1334" s="4" t="s">
        <v>2878</v>
      </c>
      <c r="NOB1334" s="4" t="s">
        <v>2878</v>
      </c>
      <c r="NOC1334" s="4" t="s">
        <v>2878</v>
      </c>
      <c r="NOD1334" s="4" t="s">
        <v>2878</v>
      </c>
      <c r="NOE1334" s="4" t="s">
        <v>2878</v>
      </c>
      <c r="NOF1334" s="4" t="s">
        <v>2878</v>
      </c>
      <c r="NOG1334" s="4" t="s">
        <v>2878</v>
      </c>
      <c r="NOH1334" s="4" t="s">
        <v>2878</v>
      </c>
      <c r="NOI1334" s="4" t="s">
        <v>2878</v>
      </c>
      <c r="NOJ1334" s="4" t="s">
        <v>2878</v>
      </c>
      <c r="NOK1334" s="4" t="s">
        <v>2878</v>
      </c>
      <c r="NOL1334" s="4" t="s">
        <v>2878</v>
      </c>
      <c r="NOM1334" s="4" t="s">
        <v>2878</v>
      </c>
      <c r="NON1334" s="4" t="s">
        <v>2878</v>
      </c>
      <c r="NOO1334" s="4" t="s">
        <v>2878</v>
      </c>
      <c r="NOP1334" s="4" t="s">
        <v>2878</v>
      </c>
      <c r="NOQ1334" s="4" t="s">
        <v>2878</v>
      </c>
      <c r="NOR1334" s="4" t="s">
        <v>2878</v>
      </c>
      <c r="NOS1334" s="4" t="s">
        <v>2878</v>
      </c>
      <c r="NOT1334" s="4" t="s">
        <v>2878</v>
      </c>
      <c r="NOU1334" s="4" t="s">
        <v>2878</v>
      </c>
      <c r="NOV1334" s="4" t="s">
        <v>2878</v>
      </c>
      <c r="NOW1334" s="4" t="s">
        <v>2878</v>
      </c>
      <c r="NOX1334" s="4" t="s">
        <v>2878</v>
      </c>
      <c r="NOY1334" s="4" t="s">
        <v>2878</v>
      </c>
      <c r="NOZ1334" s="4" t="s">
        <v>2878</v>
      </c>
      <c r="NPA1334" s="4" t="s">
        <v>2878</v>
      </c>
      <c r="NPB1334" s="4" t="s">
        <v>2878</v>
      </c>
      <c r="NPC1334" s="4" t="s">
        <v>2878</v>
      </c>
      <c r="NPD1334" s="4" t="s">
        <v>2878</v>
      </c>
      <c r="NPE1334" s="4" t="s">
        <v>2878</v>
      </c>
      <c r="NPF1334" s="4" t="s">
        <v>2878</v>
      </c>
      <c r="NPG1334" s="4" t="s">
        <v>2878</v>
      </c>
      <c r="NPH1334" s="4" t="s">
        <v>2878</v>
      </c>
      <c r="NPI1334" s="4" t="s">
        <v>2878</v>
      </c>
      <c r="NPJ1334" s="4" t="s">
        <v>2878</v>
      </c>
      <c r="NPK1334" s="4" t="s">
        <v>2878</v>
      </c>
      <c r="NPL1334" s="4" t="s">
        <v>2878</v>
      </c>
      <c r="NPM1334" s="4" t="s">
        <v>2878</v>
      </c>
      <c r="NPN1334" s="4" t="s">
        <v>2878</v>
      </c>
      <c r="NPO1334" s="4" t="s">
        <v>2878</v>
      </c>
      <c r="NPP1334" s="4" t="s">
        <v>2878</v>
      </c>
      <c r="NPQ1334" s="4" t="s">
        <v>2878</v>
      </c>
      <c r="NPR1334" s="4" t="s">
        <v>2878</v>
      </c>
      <c r="NPS1334" s="4" t="s">
        <v>2878</v>
      </c>
      <c r="NPT1334" s="4" t="s">
        <v>2878</v>
      </c>
      <c r="NPU1334" s="4" t="s">
        <v>2878</v>
      </c>
      <c r="NPV1334" s="4" t="s">
        <v>2878</v>
      </c>
      <c r="NPW1334" s="4" t="s">
        <v>2878</v>
      </c>
      <c r="NPX1334" s="4" t="s">
        <v>2878</v>
      </c>
      <c r="NPY1334" s="4" t="s">
        <v>2878</v>
      </c>
      <c r="NPZ1334" s="4" t="s">
        <v>2878</v>
      </c>
      <c r="NQA1334" s="4" t="s">
        <v>2878</v>
      </c>
      <c r="NQB1334" s="4" t="s">
        <v>2878</v>
      </c>
      <c r="NQC1334" s="4" t="s">
        <v>2878</v>
      </c>
      <c r="NQD1334" s="4" t="s">
        <v>2878</v>
      </c>
      <c r="NQE1334" s="4" t="s">
        <v>2878</v>
      </c>
      <c r="NQF1334" s="4" t="s">
        <v>2878</v>
      </c>
      <c r="NQG1334" s="4" t="s">
        <v>2878</v>
      </c>
      <c r="NQH1334" s="4" t="s">
        <v>2878</v>
      </c>
      <c r="NQI1334" s="4" t="s">
        <v>2878</v>
      </c>
      <c r="NQJ1334" s="4" t="s">
        <v>2878</v>
      </c>
      <c r="NQK1334" s="4" t="s">
        <v>2878</v>
      </c>
      <c r="NQL1334" s="4" t="s">
        <v>2878</v>
      </c>
      <c r="NQM1334" s="4" t="s">
        <v>2878</v>
      </c>
      <c r="NQN1334" s="4" t="s">
        <v>2878</v>
      </c>
      <c r="NQO1334" s="4" t="s">
        <v>2878</v>
      </c>
      <c r="NQP1334" s="4" t="s">
        <v>2878</v>
      </c>
      <c r="NQQ1334" s="4" t="s">
        <v>2878</v>
      </c>
      <c r="NQR1334" s="4" t="s">
        <v>2878</v>
      </c>
      <c r="NQS1334" s="4" t="s">
        <v>2878</v>
      </c>
      <c r="NQT1334" s="4" t="s">
        <v>2878</v>
      </c>
      <c r="NQU1334" s="4" t="s">
        <v>2878</v>
      </c>
      <c r="NQV1334" s="4" t="s">
        <v>2878</v>
      </c>
      <c r="NQW1334" s="4" t="s">
        <v>2878</v>
      </c>
      <c r="NQX1334" s="4" t="s">
        <v>2878</v>
      </c>
      <c r="NQY1334" s="4" t="s">
        <v>2878</v>
      </c>
      <c r="NQZ1334" s="4" t="s">
        <v>2878</v>
      </c>
      <c r="NRA1334" s="4" t="s">
        <v>2878</v>
      </c>
      <c r="NRB1334" s="4" t="s">
        <v>2878</v>
      </c>
      <c r="NRC1334" s="4" t="s">
        <v>2878</v>
      </c>
      <c r="NRD1334" s="4" t="s">
        <v>2878</v>
      </c>
      <c r="NRE1334" s="4" t="s">
        <v>2878</v>
      </c>
      <c r="NRF1334" s="4" t="s">
        <v>2878</v>
      </c>
      <c r="NRG1334" s="4" t="s">
        <v>2878</v>
      </c>
      <c r="NRH1334" s="4" t="s">
        <v>2878</v>
      </c>
      <c r="NRI1334" s="4" t="s">
        <v>2878</v>
      </c>
      <c r="NRJ1334" s="4" t="s">
        <v>2878</v>
      </c>
      <c r="NRK1334" s="4" t="s">
        <v>2878</v>
      </c>
      <c r="NRL1334" s="4" t="s">
        <v>2878</v>
      </c>
      <c r="NRM1334" s="4" t="s">
        <v>2878</v>
      </c>
      <c r="NRN1334" s="4" t="s">
        <v>2878</v>
      </c>
      <c r="NRO1334" s="4" t="s">
        <v>2878</v>
      </c>
      <c r="NRP1334" s="4" t="s">
        <v>2878</v>
      </c>
      <c r="NRQ1334" s="4" t="s">
        <v>2878</v>
      </c>
      <c r="NRR1334" s="4" t="s">
        <v>2878</v>
      </c>
      <c r="NRS1334" s="4" t="s">
        <v>2878</v>
      </c>
      <c r="NRT1334" s="4" t="s">
        <v>2878</v>
      </c>
      <c r="NRU1334" s="4" t="s">
        <v>2878</v>
      </c>
      <c r="NRV1334" s="4" t="s">
        <v>2878</v>
      </c>
      <c r="NRW1334" s="4" t="s">
        <v>2878</v>
      </c>
      <c r="NRX1334" s="4" t="s">
        <v>2878</v>
      </c>
      <c r="NRY1334" s="4" t="s">
        <v>2878</v>
      </c>
      <c r="NRZ1334" s="4" t="s">
        <v>2878</v>
      </c>
      <c r="NSA1334" s="4" t="s">
        <v>2878</v>
      </c>
      <c r="NSB1334" s="4" t="s">
        <v>2878</v>
      </c>
      <c r="NSC1334" s="4" t="s">
        <v>2878</v>
      </c>
      <c r="NSD1334" s="4" t="s">
        <v>2878</v>
      </c>
      <c r="NSE1334" s="4" t="s">
        <v>2878</v>
      </c>
      <c r="NSF1334" s="4" t="s">
        <v>2878</v>
      </c>
      <c r="NSG1334" s="4" t="s">
        <v>2878</v>
      </c>
      <c r="NSH1334" s="4" t="s">
        <v>2878</v>
      </c>
      <c r="NSI1334" s="4" t="s">
        <v>2878</v>
      </c>
      <c r="NSJ1334" s="4" t="s">
        <v>2878</v>
      </c>
      <c r="NSK1334" s="4" t="s">
        <v>2878</v>
      </c>
      <c r="NSL1334" s="4" t="s">
        <v>2878</v>
      </c>
      <c r="NSM1334" s="4" t="s">
        <v>2878</v>
      </c>
      <c r="NSN1334" s="4" t="s">
        <v>2878</v>
      </c>
      <c r="NSO1334" s="4" t="s">
        <v>2878</v>
      </c>
      <c r="NSP1334" s="4" t="s">
        <v>2878</v>
      </c>
      <c r="NSQ1334" s="4" t="s">
        <v>2878</v>
      </c>
      <c r="NSR1334" s="4" t="s">
        <v>2878</v>
      </c>
      <c r="NSS1334" s="4" t="s">
        <v>2878</v>
      </c>
      <c r="NST1334" s="4" t="s">
        <v>2878</v>
      </c>
      <c r="NSU1334" s="4" t="s">
        <v>2878</v>
      </c>
      <c r="NSV1334" s="4" t="s">
        <v>2878</v>
      </c>
      <c r="NSW1334" s="4" t="s">
        <v>2878</v>
      </c>
      <c r="NSX1334" s="4" t="s">
        <v>2878</v>
      </c>
      <c r="NSY1334" s="4" t="s">
        <v>2878</v>
      </c>
      <c r="NSZ1334" s="4" t="s">
        <v>2878</v>
      </c>
      <c r="NTA1334" s="4" t="s">
        <v>2878</v>
      </c>
      <c r="NTB1334" s="4" t="s">
        <v>2878</v>
      </c>
      <c r="NTC1334" s="4" t="s">
        <v>2878</v>
      </c>
      <c r="NTD1334" s="4" t="s">
        <v>2878</v>
      </c>
      <c r="NTE1334" s="4" t="s">
        <v>2878</v>
      </c>
      <c r="NTF1334" s="4" t="s">
        <v>2878</v>
      </c>
      <c r="NTG1334" s="4" t="s">
        <v>2878</v>
      </c>
      <c r="NTH1334" s="4" t="s">
        <v>2878</v>
      </c>
      <c r="NTI1334" s="4" t="s">
        <v>2878</v>
      </c>
      <c r="NTJ1334" s="4" t="s">
        <v>2878</v>
      </c>
      <c r="NTK1334" s="4" t="s">
        <v>2878</v>
      </c>
      <c r="NTL1334" s="4" t="s">
        <v>2878</v>
      </c>
      <c r="NTM1334" s="4" t="s">
        <v>2878</v>
      </c>
      <c r="NTN1334" s="4" t="s">
        <v>2878</v>
      </c>
      <c r="NTO1334" s="4" t="s">
        <v>2878</v>
      </c>
      <c r="NTP1334" s="4" t="s">
        <v>2878</v>
      </c>
      <c r="NTQ1334" s="4" t="s">
        <v>2878</v>
      </c>
      <c r="NTR1334" s="4" t="s">
        <v>2878</v>
      </c>
      <c r="NTS1334" s="4" t="s">
        <v>2878</v>
      </c>
      <c r="NTT1334" s="4" t="s">
        <v>2878</v>
      </c>
      <c r="NTU1334" s="4" t="s">
        <v>2878</v>
      </c>
      <c r="NTV1334" s="4" t="s">
        <v>2878</v>
      </c>
      <c r="NTW1334" s="4" t="s">
        <v>2878</v>
      </c>
      <c r="NTX1334" s="4" t="s">
        <v>2878</v>
      </c>
      <c r="NTY1334" s="4" t="s">
        <v>2878</v>
      </c>
      <c r="NTZ1334" s="4" t="s">
        <v>2878</v>
      </c>
      <c r="NUA1334" s="4" t="s">
        <v>2878</v>
      </c>
      <c r="NUB1334" s="4" t="s">
        <v>2878</v>
      </c>
      <c r="NUC1334" s="4" t="s">
        <v>2878</v>
      </c>
      <c r="NUD1334" s="4" t="s">
        <v>2878</v>
      </c>
      <c r="NUE1334" s="4" t="s">
        <v>2878</v>
      </c>
      <c r="NUF1334" s="4" t="s">
        <v>2878</v>
      </c>
      <c r="NUG1334" s="4" t="s">
        <v>2878</v>
      </c>
      <c r="NUH1334" s="4" t="s">
        <v>2878</v>
      </c>
      <c r="NUI1334" s="4" t="s">
        <v>2878</v>
      </c>
      <c r="NUJ1334" s="4" t="s">
        <v>2878</v>
      </c>
      <c r="NUK1334" s="4" t="s">
        <v>2878</v>
      </c>
      <c r="NUL1334" s="4" t="s">
        <v>2878</v>
      </c>
      <c r="NUM1334" s="4" t="s">
        <v>2878</v>
      </c>
      <c r="NUN1334" s="4" t="s">
        <v>2878</v>
      </c>
      <c r="NUO1334" s="4" t="s">
        <v>2878</v>
      </c>
      <c r="NUP1334" s="4" t="s">
        <v>2878</v>
      </c>
      <c r="NUQ1334" s="4" t="s">
        <v>2878</v>
      </c>
      <c r="NUR1334" s="4" t="s">
        <v>2878</v>
      </c>
      <c r="NUS1334" s="4" t="s">
        <v>2878</v>
      </c>
      <c r="NUT1334" s="4" t="s">
        <v>2878</v>
      </c>
      <c r="NUU1334" s="4" t="s">
        <v>2878</v>
      </c>
      <c r="NUV1334" s="4" t="s">
        <v>2878</v>
      </c>
      <c r="NUW1334" s="4" t="s">
        <v>2878</v>
      </c>
      <c r="NUX1334" s="4" t="s">
        <v>2878</v>
      </c>
      <c r="NUY1334" s="4" t="s">
        <v>2878</v>
      </c>
      <c r="NUZ1334" s="4" t="s">
        <v>2878</v>
      </c>
      <c r="NVA1334" s="4" t="s">
        <v>2878</v>
      </c>
      <c r="NVB1334" s="4" t="s">
        <v>2878</v>
      </c>
      <c r="NVC1334" s="4" t="s">
        <v>2878</v>
      </c>
      <c r="NVD1334" s="4" t="s">
        <v>2878</v>
      </c>
      <c r="NVE1334" s="4" t="s">
        <v>2878</v>
      </c>
      <c r="NVF1334" s="4" t="s">
        <v>2878</v>
      </c>
      <c r="NVG1334" s="4" t="s">
        <v>2878</v>
      </c>
      <c r="NVH1334" s="4" t="s">
        <v>2878</v>
      </c>
      <c r="NVI1334" s="4" t="s">
        <v>2878</v>
      </c>
      <c r="NVJ1334" s="4" t="s">
        <v>2878</v>
      </c>
      <c r="NVK1334" s="4" t="s">
        <v>2878</v>
      </c>
      <c r="NVL1334" s="4" t="s">
        <v>2878</v>
      </c>
      <c r="NVM1334" s="4" t="s">
        <v>2878</v>
      </c>
      <c r="NVN1334" s="4" t="s">
        <v>2878</v>
      </c>
      <c r="NVO1334" s="4" t="s">
        <v>2878</v>
      </c>
      <c r="NVP1334" s="4" t="s">
        <v>2878</v>
      </c>
      <c r="NVQ1334" s="4" t="s">
        <v>2878</v>
      </c>
      <c r="NVR1334" s="4" t="s">
        <v>2878</v>
      </c>
      <c r="NVS1334" s="4" t="s">
        <v>2878</v>
      </c>
      <c r="NVT1334" s="4" t="s">
        <v>2878</v>
      </c>
      <c r="NVU1334" s="4" t="s">
        <v>2878</v>
      </c>
      <c r="NVV1334" s="4" t="s">
        <v>2878</v>
      </c>
      <c r="NVW1334" s="4" t="s">
        <v>2878</v>
      </c>
      <c r="NVX1334" s="4" t="s">
        <v>2878</v>
      </c>
      <c r="NVY1334" s="4" t="s">
        <v>2878</v>
      </c>
      <c r="NVZ1334" s="4" t="s">
        <v>2878</v>
      </c>
      <c r="NWA1334" s="4" t="s">
        <v>2878</v>
      </c>
      <c r="NWB1334" s="4" t="s">
        <v>2878</v>
      </c>
      <c r="NWC1334" s="4" t="s">
        <v>2878</v>
      </c>
      <c r="NWD1334" s="4" t="s">
        <v>2878</v>
      </c>
      <c r="NWE1334" s="4" t="s">
        <v>2878</v>
      </c>
      <c r="NWF1334" s="4" t="s">
        <v>2878</v>
      </c>
      <c r="NWG1334" s="4" t="s">
        <v>2878</v>
      </c>
      <c r="NWH1334" s="4" t="s">
        <v>2878</v>
      </c>
      <c r="NWI1334" s="4" t="s">
        <v>2878</v>
      </c>
      <c r="NWJ1334" s="4" t="s">
        <v>2878</v>
      </c>
      <c r="NWK1334" s="4" t="s">
        <v>2878</v>
      </c>
      <c r="NWL1334" s="4" t="s">
        <v>2878</v>
      </c>
      <c r="NWM1334" s="4" t="s">
        <v>2878</v>
      </c>
      <c r="NWN1334" s="4" t="s">
        <v>2878</v>
      </c>
      <c r="NWO1334" s="4" t="s">
        <v>2878</v>
      </c>
      <c r="NWP1334" s="4" t="s">
        <v>2878</v>
      </c>
      <c r="NWQ1334" s="4" t="s">
        <v>2878</v>
      </c>
      <c r="NWR1334" s="4" t="s">
        <v>2878</v>
      </c>
      <c r="NWS1334" s="4" t="s">
        <v>2878</v>
      </c>
      <c r="NWT1334" s="4" t="s">
        <v>2878</v>
      </c>
      <c r="NWU1334" s="4" t="s">
        <v>2878</v>
      </c>
      <c r="NWV1334" s="4" t="s">
        <v>2878</v>
      </c>
      <c r="NWW1334" s="4" t="s">
        <v>2878</v>
      </c>
      <c r="NWX1334" s="4" t="s">
        <v>2878</v>
      </c>
      <c r="NWY1334" s="4" t="s">
        <v>2878</v>
      </c>
      <c r="NWZ1334" s="4" t="s">
        <v>2878</v>
      </c>
      <c r="NXA1334" s="4" t="s">
        <v>2878</v>
      </c>
      <c r="NXB1334" s="4" t="s">
        <v>2878</v>
      </c>
      <c r="NXC1334" s="4" t="s">
        <v>2878</v>
      </c>
      <c r="NXD1334" s="4" t="s">
        <v>2878</v>
      </c>
      <c r="NXE1334" s="4" t="s">
        <v>2878</v>
      </c>
      <c r="NXF1334" s="4" t="s">
        <v>2878</v>
      </c>
      <c r="NXG1334" s="4" t="s">
        <v>2878</v>
      </c>
      <c r="NXH1334" s="4" t="s">
        <v>2878</v>
      </c>
      <c r="NXI1334" s="4" t="s">
        <v>2878</v>
      </c>
      <c r="NXJ1334" s="4" t="s">
        <v>2878</v>
      </c>
      <c r="NXK1334" s="4" t="s">
        <v>2878</v>
      </c>
      <c r="NXL1334" s="4" t="s">
        <v>2878</v>
      </c>
      <c r="NXM1334" s="4" t="s">
        <v>2878</v>
      </c>
      <c r="NXN1334" s="4" t="s">
        <v>2878</v>
      </c>
      <c r="NXO1334" s="4" t="s">
        <v>2878</v>
      </c>
      <c r="NXP1334" s="4" t="s">
        <v>2878</v>
      </c>
      <c r="NXQ1334" s="4" t="s">
        <v>2878</v>
      </c>
      <c r="NXR1334" s="4" t="s">
        <v>2878</v>
      </c>
      <c r="NXS1334" s="4" t="s">
        <v>2878</v>
      </c>
      <c r="NXT1334" s="4" t="s">
        <v>2878</v>
      </c>
      <c r="NXU1334" s="4" t="s">
        <v>2878</v>
      </c>
      <c r="NXV1334" s="4" t="s">
        <v>2878</v>
      </c>
      <c r="NXW1334" s="4" t="s">
        <v>2878</v>
      </c>
      <c r="NXX1334" s="4" t="s">
        <v>2878</v>
      </c>
      <c r="NXY1334" s="4" t="s">
        <v>2878</v>
      </c>
      <c r="NXZ1334" s="4" t="s">
        <v>2878</v>
      </c>
      <c r="NYA1334" s="4" t="s">
        <v>2878</v>
      </c>
      <c r="NYB1334" s="4" t="s">
        <v>2878</v>
      </c>
      <c r="NYC1334" s="4" t="s">
        <v>2878</v>
      </c>
      <c r="NYD1334" s="4" t="s">
        <v>2878</v>
      </c>
      <c r="NYE1334" s="4" t="s">
        <v>2878</v>
      </c>
      <c r="NYF1334" s="4" t="s">
        <v>2878</v>
      </c>
      <c r="NYG1334" s="4" t="s">
        <v>2878</v>
      </c>
      <c r="NYH1334" s="4" t="s">
        <v>2878</v>
      </c>
      <c r="NYI1334" s="4" t="s">
        <v>2878</v>
      </c>
      <c r="NYJ1334" s="4" t="s">
        <v>2878</v>
      </c>
      <c r="NYK1334" s="4" t="s">
        <v>2878</v>
      </c>
      <c r="NYL1334" s="4" t="s">
        <v>2878</v>
      </c>
      <c r="NYM1334" s="4" t="s">
        <v>2878</v>
      </c>
      <c r="NYN1334" s="4" t="s">
        <v>2878</v>
      </c>
      <c r="NYO1334" s="4" t="s">
        <v>2878</v>
      </c>
      <c r="NYP1334" s="4" t="s">
        <v>2878</v>
      </c>
      <c r="NYQ1334" s="4" t="s">
        <v>2878</v>
      </c>
      <c r="NYR1334" s="4" t="s">
        <v>2878</v>
      </c>
      <c r="NYS1334" s="4" t="s">
        <v>2878</v>
      </c>
      <c r="NYT1334" s="4" t="s">
        <v>2878</v>
      </c>
      <c r="NYU1334" s="4" t="s">
        <v>2878</v>
      </c>
      <c r="NYV1334" s="4" t="s">
        <v>2878</v>
      </c>
      <c r="NYW1334" s="4" t="s">
        <v>2878</v>
      </c>
      <c r="NYX1334" s="4" t="s">
        <v>2878</v>
      </c>
      <c r="NYY1334" s="4" t="s">
        <v>2878</v>
      </c>
      <c r="NYZ1334" s="4" t="s">
        <v>2878</v>
      </c>
      <c r="NZA1334" s="4" t="s">
        <v>2878</v>
      </c>
      <c r="NZB1334" s="4" t="s">
        <v>2878</v>
      </c>
      <c r="NZC1334" s="4" t="s">
        <v>2878</v>
      </c>
      <c r="NZD1334" s="4" t="s">
        <v>2878</v>
      </c>
      <c r="NZE1334" s="4" t="s">
        <v>2878</v>
      </c>
      <c r="NZF1334" s="4" t="s">
        <v>2878</v>
      </c>
      <c r="NZG1334" s="4" t="s">
        <v>2878</v>
      </c>
      <c r="NZH1334" s="4" t="s">
        <v>2878</v>
      </c>
      <c r="NZI1334" s="4" t="s">
        <v>2878</v>
      </c>
      <c r="NZJ1334" s="4" t="s">
        <v>2878</v>
      </c>
      <c r="NZK1334" s="4" t="s">
        <v>2878</v>
      </c>
      <c r="NZL1334" s="4" t="s">
        <v>2878</v>
      </c>
      <c r="NZM1334" s="4" t="s">
        <v>2878</v>
      </c>
      <c r="NZN1334" s="4" t="s">
        <v>2878</v>
      </c>
      <c r="NZO1334" s="4" t="s">
        <v>2878</v>
      </c>
      <c r="NZP1334" s="4" t="s">
        <v>2878</v>
      </c>
      <c r="NZQ1334" s="4" t="s">
        <v>2878</v>
      </c>
      <c r="NZR1334" s="4" t="s">
        <v>2878</v>
      </c>
      <c r="NZS1334" s="4" t="s">
        <v>2878</v>
      </c>
      <c r="NZT1334" s="4" t="s">
        <v>2878</v>
      </c>
      <c r="NZU1334" s="4" t="s">
        <v>2878</v>
      </c>
      <c r="NZV1334" s="4" t="s">
        <v>2878</v>
      </c>
      <c r="NZW1334" s="4" t="s">
        <v>2878</v>
      </c>
      <c r="NZX1334" s="4" t="s">
        <v>2878</v>
      </c>
      <c r="NZY1334" s="4" t="s">
        <v>2878</v>
      </c>
      <c r="NZZ1334" s="4" t="s">
        <v>2878</v>
      </c>
      <c r="OAA1334" s="4" t="s">
        <v>2878</v>
      </c>
      <c r="OAB1334" s="4" t="s">
        <v>2878</v>
      </c>
      <c r="OAC1334" s="4" t="s">
        <v>2878</v>
      </c>
      <c r="OAD1334" s="4" t="s">
        <v>2878</v>
      </c>
      <c r="OAE1334" s="4" t="s">
        <v>2878</v>
      </c>
      <c r="OAF1334" s="4" t="s">
        <v>2878</v>
      </c>
      <c r="OAG1334" s="4" t="s">
        <v>2878</v>
      </c>
      <c r="OAH1334" s="4" t="s">
        <v>2878</v>
      </c>
      <c r="OAI1334" s="4" t="s">
        <v>2878</v>
      </c>
      <c r="OAJ1334" s="4" t="s">
        <v>2878</v>
      </c>
      <c r="OAK1334" s="4" t="s">
        <v>2878</v>
      </c>
      <c r="OAL1334" s="4" t="s">
        <v>2878</v>
      </c>
      <c r="OAM1334" s="4" t="s">
        <v>2878</v>
      </c>
      <c r="OAN1334" s="4" t="s">
        <v>2878</v>
      </c>
      <c r="OAO1334" s="4" t="s">
        <v>2878</v>
      </c>
      <c r="OAP1334" s="4" t="s">
        <v>2878</v>
      </c>
      <c r="OAQ1334" s="4" t="s">
        <v>2878</v>
      </c>
      <c r="OAR1334" s="4" t="s">
        <v>2878</v>
      </c>
      <c r="OAS1334" s="4" t="s">
        <v>2878</v>
      </c>
      <c r="OAT1334" s="4" t="s">
        <v>2878</v>
      </c>
      <c r="OAU1334" s="4" t="s">
        <v>2878</v>
      </c>
      <c r="OAV1334" s="4" t="s">
        <v>2878</v>
      </c>
      <c r="OAW1334" s="4" t="s">
        <v>2878</v>
      </c>
      <c r="OAX1334" s="4" t="s">
        <v>2878</v>
      </c>
      <c r="OAY1334" s="4" t="s">
        <v>2878</v>
      </c>
      <c r="OAZ1334" s="4" t="s">
        <v>2878</v>
      </c>
      <c r="OBA1334" s="4" t="s">
        <v>2878</v>
      </c>
      <c r="OBB1334" s="4" t="s">
        <v>2878</v>
      </c>
      <c r="OBC1334" s="4" t="s">
        <v>2878</v>
      </c>
      <c r="OBD1334" s="4" t="s">
        <v>2878</v>
      </c>
      <c r="OBE1334" s="4" t="s">
        <v>2878</v>
      </c>
      <c r="OBF1334" s="4" t="s">
        <v>2878</v>
      </c>
      <c r="OBG1334" s="4" t="s">
        <v>2878</v>
      </c>
      <c r="OBH1334" s="4" t="s">
        <v>2878</v>
      </c>
      <c r="OBI1334" s="4" t="s">
        <v>2878</v>
      </c>
      <c r="OBJ1334" s="4" t="s">
        <v>2878</v>
      </c>
      <c r="OBK1334" s="4" t="s">
        <v>2878</v>
      </c>
      <c r="OBL1334" s="4" t="s">
        <v>2878</v>
      </c>
      <c r="OBM1334" s="4" t="s">
        <v>2878</v>
      </c>
      <c r="OBN1334" s="4" t="s">
        <v>2878</v>
      </c>
      <c r="OBO1334" s="4" t="s">
        <v>2878</v>
      </c>
      <c r="OBP1334" s="4" t="s">
        <v>2878</v>
      </c>
      <c r="OBQ1334" s="4" t="s">
        <v>2878</v>
      </c>
      <c r="OBR1334" s="4" t="s">
        <v>2878</v>
      </c>
      <c r="OBS1334" s="4" t="s">
        <v>2878</v>
      </c>
      <c r="OBT1334" s="4" t="s">
        <v>2878</v>
      </c>
      <c r="OBU1334" s="4" t="s">
        <v>2878</v>
      </c>
      <c r="OBV1334" s="4" t="s">
        <v>2878</v>
      </c>
      <c r="OBW1334" s="4" t="s">
        <v>2878</v>
      </c>
      <c r="OBX1334" s="4" t="s">
        <v>2878</v>
      </c>
      <c r="OBY1334" s="4" t="s">
        <v>2878</v>
      </c>
      <c r="OBZ1334" s="4" t="s">
        <v>2878</v>
      </c>
      <c r="OCA1334" s="4" t="s">
        <v>2878</v>
      </c>
      <c r="OCB1334" s="4" t="s">
        <v>2878</v>
      </c>
      <c r="OCC1334" s="4" t="s">
        <v>2878</v>
      </c>
      <c r="OCD1334" s="4" t="s">
        <v>2878</v>
      </c>
      <c r="OCE1334" s="4" t="s">
        <v>2878</v>
      </c>
      <c r="OCF1334" s="4" t="s">
        <v>2878</v>
      </c>
      <c r="OCG1334" s="4" t="s">
        <v>2878</v>
      </c>
      <c r="OCH1334" s="4" t="s">
        <v>2878</v>
      </c>
      <c r="OCI1334" s="4" t="s">
        <v>2878</v>
      </c>
      <c r="OCJ1334" s="4" t="s">
        <v>2878</v>
      </c>
      <c r="OCK1334" s="4" t="s">
        <v>2878</v>
      </c>
      <c r="OCL1334" s="4" t="s">
        <v>2878</v>
      </c>
      <c r="OCM1334" s="4" t="s">
        <v>2878</v>
      </c>
      <c r="OCN1334" s="4" t="s">
        <v>2878</v>
      </c>
      <c r="OCO1334" s="4" t="s">
        <v>2878</v>
      </c>
      <c r="OCP1334" s="4" t="s">
        <v>2878</v>
      </c>
      <c r="OCQ1334" s="4" t="s">
        <v>2878</v>
      </c>
      <c r="OCR1334" s="4" t="s">
        <v>2878</v>
      </c>
      <c r="OCS1334" s="4" t="s">
        <v>2878</v>
      </c>
      <c r="OCT1334" s="4" t="s">
        <v>2878</v>
      </c>
      <c r="OCU1334" s="4" t="s">
        <v>2878</v>
      </c>
      <c r="OCV1334" s="4" t="s">
        <v>2878</v>
      </c>
      <c r="OCW1334" s="4" t="s">
        <v>2878</v>
      </c>
      <c r="OCX1334" s="4" t="s">
        <v>2878</v>
      </c>
      <c r="OCY1334" s="4" t="s">
        <v>2878</v>
      </c>
      <c r="OCZ1334" s="4" t="s">
        <v>2878</v>
      </c>
      <c r="ODA1334" s="4" t="s">
        <v>2878</v>
      </c>
      <c r="ODB1334" s="4" t="s">
        <v>2878</v>
      </c>
      <c r="ODC1334" s="4" t="s">
        <v>2878</v>
      </c>
      <c r="ODD1334" s="4" t="s">
        <v>2878</v>
      </c>
      <c r="ODE1334" s="4" t="s">
        <v>2878</v>
      </c>
      <c r="ODF1334" s="4" t="s">
        <v>2878</v>
      </c>
      <c r="ODG1334" s="4" t="s">
        <v>2878</v>
      </c>
      <c r="ODH1334" s="4" t="s">
        <v>2878</v>
      </c>
      <c r="ODI1334" s="4" t="s">
        <v>2878</v>
      </c>
      <c r="ODJ1334" s="4" t="s">
        <v>2878</v>
      </c>
      <c r="ODK1334" s="4" t="s">
        <v>2878</v>
      </c>
      <c r="ODL1334" s="4" t="s">
        <v>2878</v>
      </c>
      <c r="ODM1334" s="4" t="s">
        <v>2878</v>
      </c>
      <c r="ODN1334" s="4" t="s">
        <v>2878</v>
      </c>
      <c r="ODO1334" s="4" t="s">
        <v>2878</v>
      </c>
      <c r="ODP1334" s="4" t="s">
        <v>2878</v>
      </c>
      <c r="ODQ1334" s="4" t="s">
        <v>2878</v>
      </c>
      <c r="ODR1334" s="4" t="s">
        <v>2878</v>
      </c>
      <c r="ODS1334" s="4" t="s">
        <v>2878</v>
      </c>
      <c r="ODT1334" s="4" t="s">
        <v>2878</v>
      </c>
      <c r="ODU1334" s="4" t="s">
        <v>2878</v>
      </c>
      <c r="ODV1334" s="4" t="s">
        <v>2878</v>
      </c>
      <c r="ODW1334" s="4" t="s">
        <v>2878</v>
      </c>
      <c r="ODX1334" s="4" t="s">
        <v>2878</v>
      </c>
      <c r="ODY1334" s="4" t="s">
        <v>2878</v>
      </c>
      <c r="ODZ1334" s="4" t="s">
        <v>2878</v>
      </c>
      <c r="OEA1334" s="4" t="s">
        <v>2878</v>
      </c>
      <c r="OEB1334" s="4" t="s">
        <v>2878</v>
      </c>
      <c r="OEC1334" s="4" t="s">
        <v>2878</v>
      </c>
      <c r="OED1334" s="4" t="s">
        <v>2878</v>
      </c>
      <c r="OEE1334" s="4" t="s">
        <v>2878</v>
      </c>
      <c r="OEF1334" s="4" t="s">
        <v>2878</v>
      </c>
      <c r="OEG1334" s="4" t="s">
        <v>2878</v>
      </c>
      <c r="OEH1334" s="4" t="s">
        <v>2878</v>
      </c>
      <c r="OEI1334" s="4" t="s">
        <v>2878</v>
      </c>
      <c r="OEJ1334" s="4" t="s">
        <v>2878</v>
      </c>
      <c r="OEK1334" s="4" t="s">
        <v>2878</v>
      </c>
      <c r="OEL1334" s="4" t="s">
        <v>2878</v>
      </c>
      <c r="OEM1334" s="4" t="s">
        <v>2878</v>
      </c>
      <c r="OEN1334" s="4" t="s">
        <v>2878</v>
      </c>
      <c r="OEO1334" s="4" t="s">
        <v>2878</v>
      </c>
      <c r="OEP1334" s="4" t="s">
        <v>2878</v>
      </c>
      <c r="OEQ1334" s="4" t="s">
        <v>2878</v>
      </c>
      <c r="OER1334" s="4" t="s">
        <v>2878</v>
      </c>
      <c r="OES1334" s="4" t="s">
        <v>2878</v>
      </c>
      <c r="OET1334" s="4" t="s">
        <v>2878</v>
      </c>
      <c r="OEU1334" s="4" t="s">
        <v>2878</v>
      </c>
      <c r="OEV1334" s="4" t="s">
        <v>2878</v>
      </c>
      <c r="OEW1334" s="4" t="s">
        <v>2878</v>
      </c>
      <c r="OEX1334" s="4" t="s">
        <v>2878</v>
      </c>
      <c r="OEY1334" s="4" t="s">
        <v>2878</v>
      </c>
      <c r="OEZ1334" s="4" t="s">
        <v>2878</v>
      </c>
      <c r="OFA1334" s="4" t="s">
        <v>2878</v>
      </c>
      <c r="OFB1334" s="4" t="s">
        <v>2878</v>
      </c>
      <c r="OFC1334" s="4" t="s">
        <v>2878</v>
      </c>
      <c r="OFD1334" s="4" t="s">
        <v>2878</v>
      </c>
      <c r="OFE1334" s="4" t="s">
        <v>2878</v>
      </c>
      <c r="OFF1334" s="4" t="s">
        <v>2878</v>
      </c>
      <c r="OFG1334" s="4" t="s">
        <v>2878</v>
      </c>
      <c r="OFH1334" s="4" t="s">
        <v>2878</v>
      </c>
      <c r="OFI1334" s="4" t="s">
        <v>2878</v>
      </c>
      <c r="OFJ1334" s="4" t="s">
        <v>2878</v>
      </c>
      <c r="OFK1334" s="4" t="s">
        <v>2878</v>
      </c>
      <c r="OFL1334" s="4" t="s">
        <v>2878</v>
      </c>
      <c r="OFM1334" s="4" t="s">
        <v>2878</v>
      </c>
      <c r="OFN1334" s="4" t="s">
        <v>2878</v>
      </c>
      <c r="OFO1334" s="4" t="s">
        <v>2878</v>
      </c>
      <c r="OFP1334" s="4" t="s">
        <v>2878</v>
      </c>
      <c r="OFQ1334" s="4" t="s">
        <v>2878</v>
      </c>
      <c r="OFR1334" s="4" t="s">
        <v>2878</v>
      </c>
      <c r="OFS1334" s="4" t="s">
        <v>2878</v>
      </c>
      <c r="OFT1334" s="4" t="s">
        <v>2878</v>
      </c>
      <c r="OFU1334" s="4" t="s">
        <v>2878</v>
      </c>
      <c r="OFV1334" s="4" t="s">
        <v>2878</v>
      </c>
      <c r="OFW1334" s="4" t="s">
        <v>2878</v>
      </c>
      <c r="OFX1334" s="4" t="s">
        <v>2878</v>
      </c>
      <c r="OFY1334" s="4" t="s">
        <v>2878</v>
      </c>
      <c r="OFZ1334" s="4" t="s">
        <v>2878</v>
      </c>
      <c r="OGA1334" s="4" t="s">
        <v>2878</v>
      </c>
      <c r="OGB1334" s="4" t="s">
        <v>2878</v>
      </c>
      <c r="OGC1334" s="4" t="s">
        <v>2878</v>
      </c>
      <c r="OGD1334" s="4" t="s">
        <v>2878</v>
      </c>
      <c r="OGE1334" s="4" t="s">
        <v>2878</v>
      </c>
      <c r="OGF1334" s="4" t="s">
        <v>2878</v>
      </c>
      <c r="OGG1334" s="4" t="s">
        <v>2878</v>
      </c>
      <c r="OGH1334" s="4" t="s">
        <v>2878</v>
      </c>
      <c r="OGI1334" s="4" t="s">
        <v>2878</v>
      </c>
      <c r="OGJ1334" s="4" t="s">
        <v>2878</v>
      </c>
      <c r="OGK1334" s="4" t="s">
        <v>2878</v>
      </c>
      <c r="OGL1334" s="4" t="s">
        <v>2878</v>
      </c>
      <c r="OGM1334" s="4" t="s">
        <v>2878</v>
      </c>
      <c r="OGN1334" s="4" t="s">
        <v>2878</v>
      </c>
      <c r="OGO1334" s="4" t="s">
        <v>2878</v>
      </c>
      <c r="OGP1334" s="4" t="s">
        <v>2878</v>
      </c>
      <c r="OGQ1334" s="4" t="s">
        <v>2878</v>
      </c>
      <c r="OGR1334" s="4" t="s">
        <v>2878</v>
      </c>
      <c r="OGS1334" s="4" t="s">
        <v>2878</v>
      </c>
      <c r="OGT1334" s="4" t="s">
        <v>2878</v>
      </c>
      <c r="OGU1334" s="4" t="s">
        <v>2878</v>
      </c>
      <c r="OGV1334" s="4" t="s">
        <v>2878</v>
      </c>
      <c r="OGW1334" s="4" t="s">
        <v>2878</v>
      </c>
      <c r="OGX1334" s="4" t="s">
        <v>2878</v>
      </c>
      <c r="OGY1334" s="4" t="s">
        <v>2878</v>
      </c>
      <c r="OGZ1334" s="4" t="s">
        <v>2878</v>
      </c>
      <c r="OHA1334" s="4" t="s">
        <v>2878</v>
      </c>
      <c r="OHB1334" s="4" t="s">
        <v>2878</v>
      </c>
      <c r="OHC1334" s="4" t="s">
        <v>2878</v>
      </c>
      <c r="OHD1334" s="4" t="s">
        <v>2878</v>
      </c>
      <c r="OHE1334" s="4" t="s">
        <v>2878</v>
      </c>
      <c r="OHF1334" s="4" t="s">
        <v>2878</v>
      </c>
      <c r="OHG1334" s="4" t="s">
        <v>2878</v>
      </c>
      <c r="OHH1334" s="4" t="s">
        <v>2878</v>
      </c>
      <c r="OHI1334" s="4" t="s">
        <v>2878</v>
      </c>
      <c r="OHJ1334" s="4" t="s">
        <v>2878</v>
      </c>
      <c r="OHK1334" s="4" t="s">
        <v>2878</v>
      </c>
      <c r="OHL1334" s="4" t="s">
        <v>2878</v>
      </c>
      <c r="OHM1334" s="4" t="s">
        <v>2878</v>
      </c>
      <c r="OHN1334" s="4" t="s">
        <v>2878</v>
      </c>
      <c r="OHO1334" s="4" t="s">
        <v>2878</v>
      </c>
      <c r="OHP1334" s="4" t="s">
        <v>2878</v>
      </c>
      <c r="OHQ1334" s="4" t="s">
        <v>2878</v>
      </c>
      <c r="OHR1334" s="4" t="s">
        <v>2878</v>
      </c>
      <c r="OHS1334" s="4" t="s">
        <v>2878</v>
      </c>
      <c r="OHT1334" s="4" t="s">
        <v>2878</v>
      </c>
      <c r="OHU1334" s="4" t="s">
        <v>2878</v>
      </c>
      <c r="OHV1334" s="4" t="s">
        <v>2878</v>
      </c>
      <c r="OHW1334" s="4" t="s">
        <v>2878</v>
      </c>
      <c r="OHX1334" s="4" t="s">
        <v>2878</v>
      </c>
      <c r="OHY1334" s="4" t="s">
        <v>2878</v>
      </c>
      <c r="OHZ1334" s="4" t="s">
        <v>2878</v>
      </c>
      <c r="OIA1334" s="4" t="s">
        <v>2878</v>
      </c>
      <c r="OIB1334" s="4" t="s">
        <v>2878</v>
      </c>
      <c r="OIC1334" s="4" t="s">
        <v>2878</v>
      </c>
      <c r="OID1334" s="4" t="s">
        <v>2878</v>
      </c>
      <c r="OIE1334" s="4" t="s">
        <v>2878</v>
      </c>
      <c r="OIF1334" s="4" t="s">
        <v>2878</v>
      </c>
      <c r="OIG1334" s="4" t="s">
        <v>2878</v>
      </c>
      <c r="OIH1334" s="4" t="s">
        <v>2878</v>
      </c>
      <c r="OII1334" s="4" t="s">
        <v>2878</v>
      </c>
      <c r="OIJ1334" s="4" t="s">
        <v>2878</v>
      </c>
      <c r="OIK1334" s="4" t="s">
        <v>2878</v>
      </c>
      <c r="OIL1334" s="4" t="s">
        <v>2878</v>
      </c>
      <c r="OIM1334" s="4" t="s">
        <v>2878</v>
      </c>
      <c r="OIN1334" s="4" t="s">
        <v>2878</v>
      </c>
      <c r="OIO1334" s="4" t="s">
        <v>2878</v>
      </c>
      <c r="OIP1334" s="4" t="s">
        <v>2878</v>
      </c>
      <c r="OIQ1334" s="4" t="s">
        <v>2878</v>
      </c>
      <c r="OIR1334" s="4" t="s">
        <v>2878</v>
      </c>
      <c r="OIS1334" s="4" t="s">
        <v>2878</v>
      </c>
      <c r="OIT1334" s="4" t="s">
        <v>2878</v>
      </c>
      <c r="OIU1334" s="4" t="s">
        <v>2878</v>
      </c>
      <c r="OIV1334" s="4" t="s">
        <v>2878</v>
      </c>
      <c r="OIW1334" s="4" t="s">
        <v>2878</v>
      </c>
      <c r="OIX1334" s="4" t="s">
        <v>2878</v>
      </c>
      <c r="OIY1334" s="4" t="s">
        <v>2878</v>
      </c>
      <c r="OIZ1334" s="4" t="s">
        <v>2878</v>
      </c>
      <c r="OJA1334" s="4" t="s">
        <v>2878</v>
      </c>
      <c r="OJB1334" s="4" t="s">
        <v>2878</v>
      </c>
      <c r="OJC1334" s="4" t="s">
        <v>2878</v>
      </c>
      <c r="OJD1334" s="4" t="s">
        <v>2878</v>
      </c>
      <c r="OJE1334" s="4" t="s">
        <v>2878</v>
      </c>
      <c r="OJF1334" s="4" t="s">
        <v>2878</v>
      </c>
      <c r="OJG1334" s="4" t="s">
        <v>2878</v>
      </c>
      <c r="OJH1334" s="4" t="s">
        <v>2878</v>
      </c>
      <c r="OJI1334" s="4" t="s">
        <v>2878</v>
      </c>
      <c r="OJJ1334" s="4" t="s">
        <v>2878</v>
      </c>
      <c r="OJK1334" s="4" t="s">
        <v>2878</v>
      </c>
      <c r="OJL1334" s="4" t="s">
        <v>2878</v>
      </c>
      <c r="OJM1334" s="4" t="s">
        <v>2878</v>
      </c>
      <c r="OJN1334" s="4" t="s">
        <v>2878</v>
      </c>
      <c r="OJO1334" s="4" t="s">
        <v>2878</v>
      </c>
      <c r="OJP1334" s="4" t="s">
        <v>2878</v>
      </c>
      <c r="OJQ1334" s="4" t="s">
        <v>2878</v>
      </c>
      <c r="OJR1334" s="4" t="s">
        <v>2878</v>
      </c>
      <c r="OJS1334" s="4" t="s">
        <v>2878</v>
      </c>
      <c r="OJT1334" s="4" t="s">
        <v>2878</v>
      </c>
      <c r="OJU1334" s="4" t="s">
        <v>2878</v>
      </c>
      <c r="OJV1334" s="4" t="s">
        <v>2878</v>
      </c>
      <c r="OJW1334" s="4" t="s">
        <v>2878</v>
      </c>
      <c r="OJX1334" s="4" t="s">
        <v>2878</v>
      </c>
      <c r="OJY1334" s="4" t="s">
        <v>2878</v>
      </c>
      <c r="OJZ1334" s="4" t="s">
        <v>2878</v>
      </c>
      <c r="OKA1334" s="4" t="s">
        <v>2878</v>
      </c>
      <c r="OKB1334" s="4" t="s">
        <v>2878</v>
      </c>
      <c r="OKC1334" s="4" t="s">
        <v>2878</v>
      </c>
      <c r="OKD1334" s="4" t="s">
        <v>2878</v>
      </c>
      <c r="OKE1334" s="4" t="s">
        <v>2878</v>
      </c>
      <c r="OKF1334" s="4" t="s">
        <v>2878</v>
      </c>
      <c r="OKG1334" s="4" t="s">
        <v>2878</v>
      </c>
      <c r="OKH1334" s="4" t="s">
        <v>2878</v>
      </c>
      <c r="OKI1334" s="4" t="s">
        <v>2878</v>
      </c>
      <c r="OKJ1334" s="4" t="s">
        <v>2878</v>
      </c>
      <c r="OKK1334" s="4" t="s">
        <v>2878</v>
      </c>
      <c r="OKL1334" s="4" t="s">
        <v>2878</v>
      </c>
      <c r="OKM1334" s="4" t="s">
        <v>2878</v>
      </c>
      <c r="OKN1334" s="4" t="s">
        <v>2878</v>
      </c>
      <c r="OKO1334" s="4" t="s">
        <v>2878</v>
      </c>
      <c r="OKP1334" s="4" t="s">
        <v>2878</v>
      </c>
      <c r="OKQ1334" s="4" t="s">
        <v>2878</v>
      </c>
      <c r="OKR1334" s="4" t="s">
        <v>2878</v>
      </c>
      <c r="OKS1334" s="4" t="s">
        <v>2878</v>
      </c>
      <c r="OKT1334" s="4" t="s">
        <v>2878</v>
      </c>
      <c r="OKU1334" s="4" t="s">
        <v>2878</v>
      </c>
      <c r="OKV1334" s="4" t="s">
        <v>2878</v>
      </c>
      <c r="OKW1334" s="4" t="s">
        <v>2878</v>
      </c>
      <c r="OKX1334" s="4" t="s">
        <v>2878</v>
      </c>
      <c r="OKY1334" s="4" t="s">
        <v>2878</v>
      </c>
      <c r="OKZ1334" s="4" t="s">
        <v>2878</v>
      </c>
      <c r="OLA1334" s="4" t="s">
        <v>2878</v>
      </c>
      <c r="OLB1334" s="4" t="s">
        <v>2878</v>
      </c>
      <c r="OLC1334" s="4" t="s">
        <v>2878</v>
      </c>
      <c r="OLD1334" s="4" t="s">
        <v>2878</v>
      </c>
      <c r="OLE1334" s="4" t="s">
        <v>2878</v>
      </c>
      <c r="OLF1334" s="4" t="s">
        <v>2878</v>
      </c>
      <c r="OLG1334" s="4" t="s">
        <v>2878</v>
      </c>
      <c r="OLH1334" s="4" t="s">
        <v>2878</v>
      </c>
      <c r="OLI1334" s="4" t="s">
        <v>2878</v>
      </c>
      <c r="OLJ1334" s="4" t="s">
        <v>2878</v>
      </c>
      <c r="OLK1334" s="4" t="s">
        <v>2878</v>
      </c>
      <c r="OLL1334" s="4" t="s">
        <v>2878</v>
      </c>
      <c r="OLM1334" s="4" t="s">
        <v>2878</v>
      </c>
      <c r="OLN1334" s="4" t="s">
        <v>2878</v>
      </c>
      <c r="OLO1334" s="4" t="s">
        <v>2878</v>
      </c>
      <c r="OLP1334" s="4" t="s">
        <v>2878</v>
      </c>
      <c r="OLQ1334" s="4" t="s">
        <v>2878</v>
      </c>
      <c r="OLR1334" s="4" t="s">
        <v>2878</v>
      </c>
      <c r="OLS1334" s="4" t="s">
        <v>2878</v>
      </c>
      <c r="OLT1334" s="4" t="s">
        <v>2878</v>
      </c>
      <c r="OLU1334" s="4" t="s">
        <v>2878</v>
      </c>
      <c r="OLV1334" s="4" t="s">
        <v>2878</v>
      </c>
      <c r="OLW1334" s="4" t="s">
        <v>2878</v>
      </c>
      <c r="OLX1334" s="4" t="s">
        <v>2878</v>
      </c>
      <c r="OLY1334" s="4" t="s">
        <v>2878</v>
      </c>
      <c r="OLZ1334" s="4" t="s">
        <v>2878</v>
      </c>
      <c r="OMA1334" s="4" t="s">
        <v>2878</v>
      </c>
      <c r="OMB1334" s="4" t="s">
        <v>2878</v>
      </c>
      <c r="OMC1334" s="4" t="s">
        <v>2878</v>
      </c>
      <c r="OMD1334" s="4" t="s">
        <v>2878</v>
      </c>
      <c r="OME1334" s="4" t="s">
        <v>2878</v>
      </c>
      <c r="OMF1334" s="4" t="s">
        <v>2878</v>
      </c>
      <c r="OMG1334" s="4" t="s">
        <v>2878</v>
      </c>
      <c r="OMH1334" s="4" t="s">
        <v>2878</v>
      </c>
      <c r="OMI1334" s="4" t="s">
        <v>2878</v>
      </c>
      <c r="OMJ1334" s="4" t="s">
        <v>2878</v>
      </c>
      <c r="OMK1334" s="4" t="s">
        <v>2878</v>
      </c>
      <c r="OML1334" s="4" t="s">
        <v>2878</v>
      </c>
      <c r="OMM1334" s="4" t="s">
        <v>2878</v>
      </c>
      <c r="OMN1334" s="4" t="s">
        <v>2878</v>
      </c>
      <c r="OMO1334" s="4" t="s">
        <v>2878</v>
      </c>
      <c r="OMP1334" s="4" t="s">
        <v>2878</v>
      </c>
      <c r="OMQ1334" s="4" t="s">
        <v>2878</v>
      </c>
      <c r="OMR1334" s="4" t="s">
        <v>2878</v>
      </c>
      <c r="OMS1334" s="4" t="s">
        <v>2878</v>
      </c>
      <c r="OMT1334" s="4" t="s">
        <v>2878</v>
      </c>
      <c r="OMU1334" s="4" t="s">
        <v>2878</v>
      </c>
      <c r="OMV1334" s="4" t="s">
        <v>2878</v>
      </c>
      <c r="OMW1334" s="4" t="s">
        <v>2878</v>
      </c>
      <c r="OMX1334" s="4" t="s">
        <v>2878</v>
      </c>
      <c r="OMY1334" s="4" t="s">
        <v>2878</v>
      </c>
      <c r="OMZ1334" s="4" t="s">
        <v>2878</v>
      </c>
      <c r="ONA1334" s="4" t="s">
        <v>2878</v>
      </c>
      <c r="ONB1334" s="4" t="s">
        <v>2878</v>
      </c>
      <c r="ONC1334" s="4" t="s">
        <v>2878</v>
      </c>
      <c r="OND1334" s="4" t="s">
        <v>2878</v>
      </c>
      <c r="ONE1334" s="4" t="s">
        <v>2878</v>
      </c>
      <c r="ONF1334" s="4" t="s">
        <v>2878</v>
      </c>
      <c r="ONG1334" s="4" t="s">
        <v>2878</v>
      </c>
      <c r="ONH1334" s="4" t="s">
        <v>2878</v>
      </c>
      <c r="ONI1334" s="4" t="s">
        <v>2878</v>
      </c>
      <c r="ONJ1334" s="4" t="s">
        <v>2878</v>
      </c>
      <c r="ONK1334" s="4" t="s">
        <v>2878</v>
      </c>
      <c r="ONL1334" s="4" t="s">
        <v>2878</v>
      </c>
      <c r="ONM1334" s="4" t="s">
        <v>2878</v>
      </c>
      <c r="ONN1334" s="4" t="s">
        <v>2878</v>
      </c>
      <c r="ONO1334" s="4" t="s">
        <v>2878</v>
      </c>
      <c r="ONP1334" s="4" t="s">
        <v>2878</v>
      </c>
      <c r="ONQ1334" s="4" t="s">
        <v>2878</v>
      </c>
      <c r="ONR1334" s="4" t="s">
        <v>2878</v>
      </c>
      <c r="ONS1334" s="4" t="s">
        <v>2878</v>
      </c>
      <c r="ONT1334" s="4" t="s">
        <v>2878</v>
      </c>
      <c r="ONU1334" s="4" t="s">
        <v>2878</v>
      </c>
      <c r="ONV1334" s="4" t="s">
        <v>2878</v>
      </c>
      <c r="ONW1334" s="4" t="s">
        <v>2878</v>
      </c>
      <c r="ONX1334" s="4" t="s">
        <v>2878</v>
      </c>
      <c r="ONY1334" s="4" t="s">
        <v>2878</v>
      </c>
      <c r="ONZ1334" s="4" t="s">
        <v>2878</v>
      </c>
      <c r="OOA1334" s="4" t="s">
        <v>2878</v>
      </c>
      <c r="OOB1334" s="4" t="s">
        <v>2878</v>
      </c>
      <c r="OOC1334" s="4" t="s">
        <v>2878</v>
      </c>
      <c r="OOD1334" s="4" t="s">
        <v>2878</v>
      </c>
      <c r="OOE1334" s="4" t="s">
        <v>2878</v>
      </c>
      <c r="OOF1334" s="4" t="s">
        <v>2878</v>
      </c>
      <c r="OOG1334" s="4" t="s">
        <v>2878</v>
      </c>
      <c r="OOH1334" s="4" t="s">
        <v>2878</v>
      </c>
      <c r="OOI1334" s="4" t="s">
        <v>2878</v>
      </c>
      <c r="OOJ1334" s="4" t="s">
        <v>2878</v>
      </c>
      <c r="OOK1334" s="4" t="s">
        <v>2878</v>
      </c>
      <c r="OOL1334" s="4" t="s">
        <v>2878</v>
      </c>
      <c r="OOM1334" s="4" t="s">
        <v>2878</v>
      </c>
      <c r="OON1334" s="4" t="s">
        <v>2878</v>
      </c>
      <c r="OOO1334" s="4" t="s">
        <v>2878</v>
      </c>
      <c r="OOP1334" s="4" t="s">
        <v>2878</v>
      </c>
      <c r="OOQ1334" s="4" t="s">
        <v>2878</v>
      </c>
      <c r="OOR1334" s="4" t="s">
        <v>2878</v>
      </c>
      <c r="OOS1334" s="4" t="s">
        <v>2878</v>
      </c>
      <c r="OOT1334" s="4" t="s">
        <v>2878</v>
      </c>
      <c r="OOU1334" s="4" t="s">
        <v>2878</v>
      </c>
      <c r="OOV1334" s="4" t="s">
        <v>2878</v>
      </c>
      <c r="OOW1334" s="4" t="s">
        <v>2878</v>
      </c>
      <c r="OOX1334" s="4" t="s">
        <v>2878</v>
      </c>
      <c r="OOY1334" s="4" t="s">
        <v>2878</v>
      </c>
      <c r="OOZ1334" s="4" t="s">
        <v>2878</v>
      </c>
      <c r="OPA1334" s="4" t="s">
        <v>2878</v>
      </c>
      <c r="OPB1334" s="4" t="s">
        <v>2878</v>
      </c>
      <c r="OPC1334" s="4" t="s">
        <v>2878</v>
      </c>
      <c r="OPD1334" s="4" t="s">
        <v>2878</v>
      </c>
      <c r="OPE1334" s="4" t="s">
        <v>2878</v>
      </c>
      <c r="OPF1334" s="4" t="s">
        <v>2878</v>
      </c>
      <c r="OPG1334" s="4" t="s">
        <v>2878</v>
      </c>
      <c r="OPH1334" s="4" t="s">
        <v>2878</v>
      </c>
      <c r="OPI1334" s="4" t="s">
        <v>2878</v>
      </c>
      <c r="OPJ1334" s="4" t="s">
        <v>2878</v>
      </c>
      <c r="OPK1334" s="4" t="s">
        <v>2878</v>
      </c>
      <c r="OPL1334" s="4" t="s">
        <v>2878</v>
      </c>
      <c r="OPM1334" s="4" t="s">
        <v>2878</v>
      </c>
      <c r="OPN1334" s="4" t="s">
        <v>2878</v>
      </c>
      <c r="OPO1334" s="4" t="s">
        <v>2878</v>
      </c>
      <c r="OPP1334" s="4" t="s">
        <v>2878</v>
      </c>
      <c r="OPQ1334" s="4" t="s">
        <v>2878</v>
      </c>
      <c r="OPR1334" s="4" t="s">
        <v>2878</v>
      </c>
      <c r="OPS1334" s="4" t="s">
        <v>2878</v>
      </c>
      <c r="OPT1334" s="4" t="s">
        <v>2878</v>
      </c>
      <c r="OPU1334" s="4" t="s">
        <v>2878</v>
      </c>
      <c r="OPV1334" s="4" t="s">
        <v>2878</v>
      </c>
      <c r="OPW1334" s="4" t="s">
        <v>2878</v>
      </c>
      <c r="OPX1334" s="4" t="s">
        <v>2878</v>
      </c>
      <c r="OPY1334" s="4" t="s">
        <v>2878</v>
      </c>
      <c r="OPZ1334" s="4" t="s">
        <v>2878</v>
      </c>
      <c r="OQA1334" s="4" t="s">
        <v>2878</v>
      </c>
      <c r="OQB1334" s="4" t="s">
        <v>2878</v>
      </c>
      <c r="OQC1334" s="4" t="s">
        <v>2878</v>
      </c>
      <c r="OQD1334" s="4" t="s">
        <v>2878</v>
      </c>
      <c r="OQE1334" s="4" t="s">
        <v>2878</v>
      </c>
      <c r="OQF1334" s="4" t="s">
        <v>2878</v>
      </c>
      <c r="OQG1334" s="4" t="s">
        <v>2878</v>
      </c>
      <c r="OQH1334" s="4" t="s">
        <v>2878</v>
      </c>
      <c r="OQI1334" s="4" t="s">
        <v>2878</v>
      </c>
      <c r="OQJ1334" s="4" t="s">
        <v>2878</v>
      </c>
      <c r="OQK1334" s="4" t="s">
        <v>2878</v>
      </c>
      <c r="OQL1334" s="4" t="s">
        <v>2878</v>
      </c>
      <c r="OQM1334" s="4" t="s">
        <v>2878</v>
      </c>
      <c r="OQN1334" s="4" t="s">
        <v>2878</v>
      </c>
      <c r="OQO1334" s="4" t="s">
        <v>2878</v>
      </c>
      <c r="OQP1334" s="4" t="s">
        <v>2878</v>
      </c>
      <c r="OQQ1334" s="4" t="s">
        <v>2878</v>
      </c>
      <c r="OQR1334" s="4" t="s">
        <v>2878</v>
      </c>
      <c r="OQS1334" s="4" t="s">
        <v>2878</v>
      </c>
      <c r="OQT1334" s="4" t="s">
        <v>2878</v>
      </c>
      <c r="OQU1334" s="4" t="s">
        <v>2878</v>
      </c>
      <c r="OQV1334" s="4" t="s">
        <v>2878</v>
      </c>
      <c r="OQW1334" s="4" t="s">
        <v>2878</v>
      </c>
      <c r="OQX1334" s="4" t="s">
        <v>2878</v>
      </c>
      <c r="OQY1334" s="4" t="s">
        <v>2878</v>
      </c>
      <c r="OQZ1334" s="4" t="s">
        <v>2878</v>
      </c>
      <c r="ORA1334" s="4" t="s">
        <v>2878</v>
      </c>
      <c r="ORB1334" s="4" t="s">
        <v>2878</v>
      </c>
      <c r="ORC1334" s="4" t="s">
        <v>2878</v>
      </c>
      <c r="ORD1334" s="4" t="s">
        <v>2878</v>
      </c>
      <c r="ORE1334" s="4" t="s">
        <v>2878</v>
      </c>
      <c r="ORF1334" s="4" t="s">
        <v>2878</v>
      </c>
      <c r="ORG1334" s="4" t="s">
        <v>2878</v>
      </c>
      <c r="ORH1334" s="4" t="s">
        <v>2878</v>
      </c>
      <c r="ORI1334" s="4" t="s">
        <v>2878</v>
      </c>
      <c r="ORJ1334" s="4" t="s">
        <v>2878</v>
      </c>
      <c r="ORK1334" s="4" t="s">
        <v>2878</v>
      </c>
      <c r="ORL1334" s="4" t="s">
        <v>2878</v>
      </c>
      <c r="ORM1334" s="4" t="s">
        <v>2878</v>
      </c>
      <c r="ORN1334" s="4" t="s">
        <v>2878</v>
      </c>
      <c r="ORO1334" s="4" t="s">
        <v>2878</v>
      </c>
      <c r="ORP1334" s="4" t="s">
        <v>2878</v>
      </c>
      <c r="ORQ1334" s="4" t="s">
        <v>2878</v>
      </c>
      <c r="ORR1334" s="4" t="s">
        <v>2878</v>
      </c>
      <c r="ORS1334" s="4" t="s">
        <v>2878</v>
      </c>
      <c r="ORT1334" s="4" t="s">
        <v>2878</v>
      </c>
      <c r="ORU1334" s="4" t="s">
        <v>2878</v>
      </c>
      <c r="ORV1334" s="4" t="s">
        <v>2878</v>
      </c>
      <c r="ORW1334" s="4" t="s">
        <v>2878</v>
      </c>
      <c r="ORX1334" s="4" t="s">
        <v>2878</v>
      </c>
      <c r="ORY1334" s="4" t="s">
        <v>2878</v>
      </c>
      <c r="ORZ1334" s="4" t="s">
        <v>2878</v>
      </c>
      <c r="OSA1334" s="4" t="s">
        <v>2878</v>
      </c>
      <c r="OSB1334" s="4" t="s">
        <v>2878</v>
      </c>
      <c r="OSC1334" s="4" t="s">
        <v>2878</v>
      </c>
      <c r="OSD1334" s="4" t="s">
        <v>2878</v>
      </c>
      <c r="OSE1334" s="4" t="s">
        <v>2878</v>
      </c>
      <c r="OSF1334" s="4" t="s">
        <v>2878</v>
      </c>
      <c r="OSG1334" s="4" t="s">
        <v>2878</v>
      </c>
      <c r="OSH1334" s="4" t="s">
        <v>2878</v>
      </c>
      <c r="OSI1334" s="4" t="s">
        <v>2878</v>
      </c>
      <c r="OSJ1334" s="4" t="s">
        <v>2878</v>
      </c>
      <c r="OSK1334" s="4" t="s">
        <v>2878</v>
      </c>
      <c r="OSL1334" s="4" t="s">
        <v>2878</v>
      </c>
      <c r="OSM1334" s="4" t="s">
        <v>2878</v>
      </c>
      <c r="OSN1334" s="4" t="s">
        <v>2878</v>
      </c>
      <c r="OSO1334" s="4" t="s">
        <v>2878</v>
      </c>
      <c r="OSP1334" s="4" t="s">
        <v>2878</v>
      </c>
      <c r="OSQ1334" s="4" t="s">
        <v>2878</v>
      </c>
      <c r="OSR1334" s="4" t="s">
        <v>2878</v>
      </c>
      <c r="OSS1334" s="4" t="s">
        <v>2878</v>
      </c>
      <c r="OST1334" s="4" t="s">
        <v>2878</v>
      </c>
      <c r="OSU1334" s="4" t="s">
        <v>2878</v>
      </c>
      <c r="OSV1334" s="4" t="s">
        <v>2878</v>
      </c>
      <c r="OSW1334" s="4" t="s">
        <v>2878</v>
      </c>
      <c r="OSX1334" s="4" t="s">
        <v>2878</v>
      </c>
      <c r="OSY1334" s="4" t="s">
        <v>2878</v>
      </c>
      <c r="OSZ1334" s="4" t="s">
        <v>2878</v>
      </c>
      <c r="OTA1334" s="4" t="s">
        <v>2878</v>
      </c>
      <c r="OTB1334" s="4" t="s">
        <v>2878</v>
      </c>
      <c r="OTC1334" s="4" t="s">
        <v>2878</v>
      </c>
      <c r="OTD1334" s="4" t="s">
        <v>2878</v>
      </c>
      <c r="OTE1334" s="4" t="s">
        <v>2878</v>
      </c>
      <c r="OTF1334" s="4" t="s">
        <v>2878</v>
      </c>
      <c r="OTG1334" s="4" t="s">
        <v>2878</v>
      </c>
      <c r="OTH1334" s="4" t="s">
        <v>2878</v>
      </c>
      <c r="OTI1334" s="4" t="s">
        <v>2878</v>
      </c>
      <c r="OTJ1334" s="4" t="s">
        <v>2878</v>
      </c>
      <c r="OTK1334" s="4" t="s">
        <v>2878</v>
      </c>
      <c r="OTL1334" s="4" t="s">
        <v>2878</v>
      </c>
      <c r="OTM1334" s="4" t="s">
        <v>2878</v>
      </c>
      <c r="OTN1334" s="4" t="s">
        <v>2878</v>
      </c>
      <c r="OTO1334" s="4" t="s">
        <v>2878</v>
      </c>
      <c r="OTP1334" s="4" t="s">
        <v>2878</v>
      </c>
      <c r="OTQ1334" s="4" t="s">
        <v>2878</v>
      </c>
      <c r="OTR1334" s="4" t="s">
        <v>2878</v>
      </c>
      <c r="OTS1334" s="4" t="s">
        <v>2878</v>
      </c>
      <c r="OTT1334" s="4" t="s">
        <v>2878</v>
      </c>
      <c r="OTU1334" s="4" t="s">
        <v>2878</v>
      </c>
      <c r="OTV1334" s="4" t="s">
        <v>2878</v>
      </c>
      <c r="OTW1334" s="4" t="s">
        <v>2878</v>
      </c>
      <c r="OTX1334" s="4" t="s">
        <v>2878</v>
      </c>
      <c r="OTY1334" s="4" t="s">
        <v>2878</v>
      </c>
      <c r="OTZ1334" s="4" t="s">
        <v>2878</v>
      </c>
      <c r="OUA1334" s="4" t="s">
        <v>2878</v>
      </c>
      <c r="OUB1334" s="4" t="s">
        <v>2878</v>
      </c>
      <c r="OUC1334" s="4" t="s">
        <v>2878</v>
      </c>
      <c r="OUD1334" s="4" t="s">
        <v>2878</v>
      </c>
      <c r="OUE1334" s="4" t="s">
        <v>2878</v>
      </c>
      <c r="OUF1334" s="4" t="s">
        <v>2878</v>
      </c>
      <c r="OUG1334" s="4" t="s">
        <v>2878</v>
      </c>
      <c r="OUH1334" s="4" t="s">
        <v>2878</v>
      </c>
      <c r="OUI1334" s="4" t="s">
        <v>2878</v>
      </c>
      <c r="OUJ1334" s="4" t="s">
        <v>2878</v>
      </c>
      <c r="OUK1334" s="4" t="s">
        <v>2878</v>
      </c>
      <c r="OUL1334" s="4" t="s">
        <v>2878</v>
      </c>
      <c r="OUM1334" s="4" t="s">
        <v>2878</v>
      </c>
      <c r="OUN1334" s="4" t="s">
        <v>2878</v>
      </c>
      <c r="OUO1334" s="4" t="s">
        <v>2878</v>
      </c>
      <c r="OUP1334" s="4" t="s">
        <v>2878</v>
      </c>
      <c r="OUQ1334" s="4" t="s">
        <v>2878</v>
      </c>
      <c r="OUR1334" s="4" t="s">
        <v>2878</v>
      </c>
      <c r="OUS1334" s="4" t="s">
        <v>2878</v>
      </c>
      <c r="OUT1334" s="4" t="s">
        <v>2878</v>
      </c>
      <c r="OUU1334" s="4" t="s">
        <v>2878</v>
      </c>
      <c r="OUV1334" s="4" t="s">
        <v>2878</v>
      </c>
      <c r="OUW1334" s="4" t="s">
        <v>2878</v>
      </c>
      <c r="OUX1334" s="4" t="s">
        <v>2878</v>
      </c>
      <c r="OUY1334" s="4" t="s">
        <v>2878</v>
      </c>
      <c r="OUZ1334" s="4" t="s">
        <v>2878</v>
      </c>
      <c r="OVA1334" s="4" t="s">
        <v>2878</v>
      </c>
      <c r="OVB1334" s="4" t="s">
        <v>2878</v>
      </c>
      <c r="OVC1334" s="4" t="s">
        <v>2878</v>
      </c>
      <c r="OVD1334" s="4" t="s">
        <v>2878</v>
      </c>
      <c r="OVE1334" s="4" t="s">
        <v>2878</v>
      </c>
      <c r="OVF1334" s="4" t="s">
        <v>2878</v>
      </c>
      <c r="OVG1334" s="4" t="s">
        <v>2878</v>
      </c>
      <c r="OVH1334" s="4" t="s">
        <v>2878</v>
      </c>
      <c r="OVI1334" s="4" t="s">
        <v>2878</v>
      </c>
      <c r="OVJ1334" s="4" t="s">
        <v>2878</v>
      </c>
      <c r="OVK1334" s="4" t="s">
        <v>2878</v>
      </c>
      <c r="OVL1334" s="4" t="s">
        <v>2878</v>
      </c>
      <c r="OVM1334" s="4" t="s">
        <v>2878</v>
      </c>
      <c r="OVN1334" s="4" t="s">
        <v>2878</v>
      </c>
      <c r="OVO1334" s="4" t="s">
        <v>2878</v>
      </c>
      <c r="OVP1334" s="4" t="s">
        <v>2878</v>
      </c>
      <c r="OVQ1334" s="4" t="s">
        <v>2878</v>
      </c>
      <c r="OVR1334" s="4" t="s">
        <v>2878</v>
      </c>
      <c r="OVS1334" s="4" t="s">
        <v>2878</v>
      </c>
      <c r="OVT1334" s="4" t="s">
        <v>2878</v>
      </c>
      <c r="OVU1334" s="4" t="s">
        <v>2878</v>
      </c>
      <c r="OVV1334" s="4" t="s">
        <v>2878</v>
      </c>
      <c r="OVW1334" s="4" t="s">
        <v>2878</v>
      </c>
      <c r="OVX1334" s="4" t="s">
        <v>2878</v>
      </c>
      <c r="OVY1334" s="4" t="s">
        <v>2878</v>
      </c>
      <c r="OVZ1334" s="4" t="s">
        <v>2878</v>
      </c>
      <c r="OWA1334" s="4" t="s">
        <v>2878</v>
      </c>
      <c r="OWB1334" s="4" t="s">
        <v>2878</v>
      </c>
      <c r="OWC1334" s="4" t="s">
        <v>2878</v>
      </c>
      <c r="OWD1334" s="4" t="s">
        <v>2878</v>
      </c>
      <c r="OWE1334" s="4" t="s">
        <v>2878</v>
      </c>
      <c r="OWF1334" s="4" t="s">
        <v>2878</v>
      </c>
      <c r="OWG1334" s="4" t="s">
        <v>2878</v>
      </c>
      <c r="OWH1334" s="4" t="s">
        <v>2878</v>
      </c>
      <c r="OWI1334" s="4" t="s">
        <v>2878</v>
      </c>
      <c r="OWJ1334" s="4" t="s">
        <v>2878</v>
      </c>
      <c r="OWK1334" s="4" t="s">
        <v>2878</v>
      </c>
      <c r="OWL1334" s="4" t="s">
        <v>2878</v>
      </c>
      <c r="OWM1334" s="4" t="s">
        <v>2878</v>
      </c>
      <c r="OWN1334" s="4" t="s">
        <v>2878</v>
      </c>
      <c r="OWO1334" s="4" t="s">
        <v>2878</v>
      </c>
      <c r="OWP1334" s="4" t="s">
        <v>2878</v>
      </c>
      <c r="OWQ1334" s="4" t="s">
        <v>2878</v>
      </c>
      <c r="OWR1334" s="4" t="s">
        <v>2878</v>
      </c>
      <c r="OWS1334" s="4" t="s">
        <v>2878</v>
      </c>
      <c r="OWT1334" s="4" t="s">
        <v>2878</v>
      </c>
      <c r="OWU1334" s="4" t="s">
        <v>2878</v>
      </c>
      <c r="OWV1334" s="4" t="s">
        <v>2878</v>
      </c>
      <c r="OWW1334" s="4" t="s">
        <v>2878</v>
      </c>
      <c r="OWX1334" s="4" t="s">
        <v>2878</v>
      </c>
      <c r="OWY1334" s="4" t="s">
        <v>2878</v>
      </c>
      <c r="OWZ1334" s="4" t="s">
        <v>2878</v>
      </c>
      <c r="OXA1334" s="4" t="s">
        <v>2878</v>
      </c>
      <c r="OXB1334" s="4" t="s">
        <v>2878</v>
      </c>
      <c r="OXC1334" s="4" t="s">
        <v>2878</v>
      </c>
      <c r="OXD1334" s="4" t="s">
        <v>2878</v>
      </c>
      <c r="OXE1334" s="4" t="s">
        <v>2878</v>
      </c>
      <c r="OXF1334" s="4" t="s">
        <v>2878</v>
      </c>
      <c r="OXG1334" s="4" t="s">
        <v>2878</v>
      </c>
      <c r="OXH1334" s="4" t="s">
        <v>2878</v>
      </c>
      <c r="OXI1334" s="4" t="s">
        <v>2878</v>
      </c>
      <c r="OXJ1334" s="4" t="s">
        <v>2878</v>
      </c>
      <c r="OXK1334" s="4" t="s">
        <v>2878</v>
      </c>
      <c r="OXL1334" s="4" t="s">
        <v>2878</v>
      </c>
      <c r="OXM1334" s="4" t="s">
        <v>2878</v>
      </c>
      <c r="OXN1334" s="4" t="s">
        <v>2878</v>
      </c>
      <c r="OXO1334" s="4" t="s">
        <v>2878</v>
      </c>
      <c r="OXP1334" s="4" t="s">
        <v>2878</v>
      </c>
      <c r="OXQ1334" s="4" t="s">
        <v>2878</v>
      </c>
      <c r="OXR1334" s="4" t="s">
        <v>2878</v>
      </c>
      <c r="OXS1334" s="4" t="s">
        <v>2878</v>
      </c>
      <c r="OXT1334" s="4" t="s">
        <v>2878</v>
      </c>
      <c r="OXU1334" s="4" t="s">
        <v>2878</v>
      </c>
      <c r="OXV1334" s="4" t="s">
        <v>2878</v>
      </c>
      <c r="OXW1334" s="4" t="s">
        <v>2878</v>
      </c>
      <c r="OXX1334" s="4" t="s">
        <v>2878</v>
      </c>
      <c r="OXY1334" s="4" t="s">
        <v>2878</v>
      </c>
      <c r="OXZ1334" s="4" t="s">
        <v>2878</v>
      </c>
      <c r="OYA1334" s="4" t="s">
        <v>2878</v>
      </c>
      <c r="OYB1334" s="4" t="s">
        <v>2878</v>
      </c>
      <c r="OYC1334" s="4" t="s">
        <v>2878</v>
      </c>
      <c r="OYD1334" s="4" t="s">
        <v>2878</v>
      </c>
      <c r="OYE1334" s="4" t="s">
        <v>2878</v>
      </c>
      <c r="OYF1334" s="4" t="s">
        <v>2878</v>
      </c>
      <c r="OYG1334" s="4" t="s">
        <v>2878</v>
      </c>
      <c r="OYH1334" s="4" t="s">
        <v>2878</v>
      </c>
      <c r="OYI1334" s="4" t="s">
        <v>2878</v>
      </c>
      <c r="OYJ1334" s="4" t="s">
        <v>2878</v>
      </c>
      <c r="OYK1334" s="4" t="s">
        <v>2878</v>
      </c>
      <c r="OYL1334" s="4" t="s">
        <v>2878</v>
      </c>
      <c r="OYM1334" s="4" t="s">
        <v>2878</v>
      </c>
      <c r="OYN1334" s="4" t="s">
        <v>2878</v>
      </c>
      <c r="OYO1334" s="4" t="s">
        <v>2878</v>
      </c>
      <c r="OYP1334" s="4" t="s">
        <v>2878</v>
      </c>
      <c r="OYQ1334" s="4" t="s">
        <v>2878</v>
      </c>
      <c r="OYR1334" s="4" t="s">
        <v>2878</v>
      </c>
      <c r="OYS1334" s="4" t="s">
        <v>2878</v>
      </c>
      <c r="OYT1334" s="4" t="s">
        <v>2878</v>
      </c>
      <c r="OYU1334" s="4" t="s">
        <v>2878</v>
      </c>
      <c r="OYV1334" s="4" t="s">
        <v>2878</v>
      </c>
      <c r="OYW1334" s="4" t="s">
        <v>2878</v>
      </c>
      <c r="OYX1334" s="4" t="s">
        <v>2878</v>
      </c>
      <c r="OYY1334" s="4" t="s">
        <v>2878</v>
      </c>
      <c r="OYZ1334" s="4" t="s">
        <v>2878</v>
      </c>
      <c r="OZA1334" s="4" t="s">
        <v>2878</v>
      </c>
      <c r="OZB1334" s="4" t="s">
        <v>2878</v>
      </c>
      <c r="OZC1334" s="4" t="s">
        <v>2878</v>
      </c>
      <c r="OZD1334" s="4" t="s">
        <v>2878</v>
      </c>
      <c r="OZE1334" s="4" t="s">
        <v>2878</v>
      </c>
      <c r="OZF1334" s="4" t="s">
        <v>2878</v>
      </c>
      <c r="OZG1334" s="4" t="s">
        <v>2878</v>
      </c>
      <c r="OZH1334" s="4" t="s">
        <v>2878</v>
      </c>
      <c r="OZI1334" s="4" t="s">
        <v>2878</v>
      </c>
      <c r="OZJ1334" s="4" t="s">
        <v>2878</v>
      </c>
      <c r="OZK1334" s="4" t="s">
        <v>2878</v>
      </c>
      <c r="OZL1334" s="4" t="s">
        <v>2878</v>
      </c>
      <c r="OZM1334" s="4" t="s">
        <v>2878</v>
      </c>
      <c r="OZN1334" s="4" t="s">
        <v>2878</v>
      </c>
      <c r="OZO1334" s="4" t="s">
        <v>2878</v>
      </c>
      <c r="OZP1334" s="4" t="s">
        <v>2878</v>
      </c>
      <c r="OZQ1334" s="4" t="s">
        <v>2878</v>
      </c>
      <c r="OZR1334" s="4" t="s">
        <v>2878</v>
      </c>
      <c r="OZS1334" s="4" t="s">
        <v>2878</v>
      </c>
      <c r="OZT1334" s="4" t="s">
        <v>2878</v>
      </c>
      <c r="OZU1334" s="4" t="s">
        <v>2878</v>
      </c>
      <c r="OZV1334" s="4" t="s">
        <v>2878</v>
      </c>
      <c r="OZW1334" s="4" t="s">
        <v>2878</v>
      </c>
      <c r="OZX1334" s="4" t="s">
        <v>2878</v>
      </c>
      <c r="OZY1334" s="4" t="s">
        <v>2878</v>
      </c>
      <c r="OZZ1334" s="4" t="s">
        <v>2878</v>
      </c>
      <c r="PAA1334" s="4" t="s">
        <v>2878</v>
      </c>
      <c r="PAB1334" s="4" t="s">
        <v>2878</v>
      </c>
      <c r="PAC1334" s="4" t="s">
        <v>2878</v>
      </c>
      <c r="PAD1334" s="4" t="s">
        <v>2878</v>
      </c>
      <c r="PAE1334" s="4" t="s">
        <v>2878</v>
      </c>
      <c r="PAF1334" s="4" t="s">
        <v>2878</v>
      </c>
      <c r="PAG1334" s="4" t="s">
        <v>2878</v>
      </c>
      <c r="PAH1334" s="4" t="s">
        <v>2878</v>
      </c>
      <c r="PAI1334" s="4" t="s">
        <v>2878</v>
      </c>
      <c r="PAJ1334" s="4" t="s">
        <v>2878</v>
      </c>
      <c r="PAK1334" s="4" t="s">
        <v>2878</v>
      </c>
      <c r="PAL1334" s="4" t="s">
        <v>2878</v>
      </c>
      <c r="PAM1334" s="4" t="s">
        <v>2878</v>
      </c>
      <c r="PAN1334" s="4" t="s">
        <v>2878</v>
      </c>
      <c r="PAO1334" s="4" t="s">
        <v>2878</v>
      </c>
      <c r="PAP1334" s="4" t="s">
        <v>2878</v>
      </c>
      <c r="PAQ1334" s="4" t="s">
        <v>2878</v>
      </c>
      <c r="PAR1334" s="4" t="s">
        <v>2878</v>
      </c>
      <c r="PAS1334" s="4" t="s">
        <v>2878</v>
      </c>
      <c r="PAT1334" s="4" t="s">
        <v>2878</v>
      </c>
      <c r="PAU1334" s="4" t="s">
        <v>2878</v>
      </c>
      <c r="PAV1334" s="4" t="s">
        <v>2878</v>
      </c>
      <c r="PAW1334" s="4" t="s">
        <v>2878</v>
      </c>
      <c r="PAX1334" s="4" t="s">
        <v>2878</v>
      </c>
      <c r="PAY1334" s="4" t="s">
        <v>2878</v>
      </c>
      <c r="PAZ1334" s="4" t="s">
        <v>2878</v>
      </c>
      <c r="PBA1334" s="4" t="s">
        <v>2878</v>
      </c>
      <c r="PBB1334" s="4" t="s">
        <v>2878</v>
      </c>
      <c r="PBC1334" s="4" t="s">
        <v>2878</v>
      </c>
      <c r="PBD1334" s="4" t="s">
        <v>2878</v>
      </c>
      <c r="PBE1334" s="4" t="s">
        <v>2878</v>
      </c>
      <c r="PBF1334" s="4" t="s">
        <v>2878</v>
      </c>
      <c r="PBG1334" s="4" t="s">
        <v>2878</v>
      </c>
      <c r="PBH1334" s="4" t="s">
        <v>2878</v>
      </c>
      <c r="PBI1334" s="4" t="s">
        <v>2878</v>
      </c>
      <c r="PBJ1334" s="4" t="s">
        <v>2878</v>
      </c>
      <c r="PBK1334" s="4" t="s">
        <v>2878</v>
      </c>
      <c r="PBL1334" s="4" t="s">
        <v>2878</v>
      </c>
      <c r="PBM1334" s="4" t="s">
        <v>2878</v>
      </c>
      <c r="PBN1334" s="4" t="s">
        <v>2878</v>
      </c>
      <c r="PBO1334" s="4" t="s">
        <v>2878</v>
      </c>
      <c r="PBP1334" s="4" t="s">
        <v>2878</v>
      </c>
      <c r="PBQ1334" s="4" t="s">
        <v>2878</v>
      </c>
      <c r="PBR1334" s="4" t="s">
        <v>2878</v>
      </c>
      <c r="PBS1334" s="4" t="s">
        <v>2878</v>
      </c>
      <c r="PBT1334" s="4" t="s">
        <v>2878</v>
      </c>
      <c r="PBU1334" s="4" t="s">
        <v>2878</v>
      </c>
      <c r="PBV1334" s="4" t="s">
        <v>2878</v>
      </c>
      <c r="PBW1334" s="4" t="s">
        <v>2878</v>
      </c>
      <c r="PBX1334" s="4" t="s">
        <v>2878</v>
      </c>
      <c r="PBY1334" s="4" t="s">
        <v>2878</v>
      </c>
      <c r="PBZ1334" s="4" t="s">
        <v>2878</v>
      </c>
      <c r="PCA1334" s="4" t="s">
        <v>2878</v>
      </c>
      <c r="PCB1334" s="4" t="s">
        <v>2878</v>
      </c>
      <c r="PCC1334" s="4" t="s">
        <v>2878</v>
      </c>
      <c r="PCD1334" s="4" t="s">
        <v>2878</v>
      </c>
      <c r="PCE1334" s="4" t="s">
        <v>2878</v>
      </c>
      <c r="PCF1334" s="4" t="s">
        <v>2878</v>
      </c>
      <c r="PCG1334" s="4" t="s">
        <v>2878</v>
      </c>
      <c r="PCH1334" s="4" t="s">
        <v>2878</v>
      </c>
      <c r="PCI1334" s="4" t="s">
        <v>2878</v>
      </c>
      <c r="PCJ1334" s="4" t="s">
        <v>2878</v>
      </c>
      <c r="PCK1334" s="4" t="s">
        <v>2878</v>
      </c>
      <c r="PCL1334" s="4" t="s">
        <v>2878</v>
      </c>
      <c r="PCM1334" s="4" t="s">
        <v>2878</v>
      </c>
      <c r="PCN1334" s="4" t="s">
        <v>2878</v>
      </c>
      <c r="PCO1334" s="4" t="s">
        <v>2878</v>
      </c>
      <c r="PCP1334" s="4" t="s">
        <v>2878</v>
      </c>
      <c r="PCQ1334" s="4" t="s">
        <v>2878</v>
      </c>
      <c r="PCR1334" s="4" t="s">
        <v>2878</v>
      </c>
      <c r="PCS1334" s="4" t="s">
        <v>2878</v>
      </c>
      <c r="PCT1334" s="4" t="s">
        <v>2878</v>
      </c>
      <c r="PCU1334" s="4" t="s">
        <v>2878</v>
      </c>
      <c r="PCV1334" s="4" t="s">
        <v>2878</v>
      </c>
      <c r="PCW1334" s="4" t="s">
        <v>2878</v>
      </c>
      <c r="PCX1334" s="4" t="s">
        <v>2878</v>
      </c>
      <c r="PCY1334" s="4" t="s">
        <v>2878</v>
      </c>
      <c r="PCZ1334" s="4" t="s">
        <v>2878</v>
      </c>
      <c r="PDA1334" s="4" t="s">
        <v>2878</v>
      </c>
      <c r="PDB1334" s="4" t="s">
        <v>2878</v>
      </c>
      <c r="PDC1334" s="4" t="s">
        <v>2878</v>
      </c>
      <c r="PDD1334" s="4" t="s">
        <v>2878</v>
      </c>
      <c r="PDE1334" s="4" t="s">
        <v>2878</v>
      </c>
      <c r="PDF1334" s="4" t="s">
        <v>2878</v>
      </c>
      <c r="PDG1334" s="4" t="s">
        <v>2878</v>
      </c>
      <c r="PDH1334" s="4" t="s">
        <v>2878</v>
      </c>
      <c r="PDI1334" s="4" t="s">
        <v>2878</v>
      </c>
      <c r="PDJ1334" s="4" t="s">
        <v>2878</v>
      </c>
      <c r="PDK1334" s="4" t="s">
        <v>2878</v>
      </c>
      <c r="PDL1334" s="4" t="s">
        <v>2878</v>
      </c>
      <c r="PDM1334" s="4" t="s">
        <v>2878</v>
      </c>
      <c r="PDN1334" s="4" t="s">
        <v>2878</v>
      </c>
      <c r="PDO1334" s="4" t="s">
        <v>2878</v>
      </c>
      <c r="PDP1334" s="4" t="s">
        <v>2878</v>
      </c>
      <c r="PDQ1334" s="4" t="s">
        <v>2878</v>
      </c>
      <c r="PDR1334" s="4" t="s">
        <v>2878</v>
      </c>
      <c r="PDS1334" s="4" t="s">
        <v>2878</v>
      </c>
      <c r="PDT1334" s="4" t="s">
        <v>2878</v>
      </c>
      <c r="PDU1334" s="4" t="s">
        <v>2878</v>
      </c>
      <c r="PDV1334" s="4" t="s">
        <v>2878</v>
      </c>
      <c r="PDW1334" s="4" t="s">
        <v>2878</v>
      </c>
      <c r="PDX1334" s="4" t="s">
        <v>2878</v>
      </c>
      <c r="PDY1334" s="4" t="s">
        <v>2878</v>
      </c>
      <c r="PDZ1334" s="4" t="s">
        <v>2878</v>
      </c>
      <c r="PEA1334" s="4" t="s">
        <v>2878</v>
      </c>
      <c r="PEB1334" s="4" t="s">
        <v>2878</v>
      </c>
      <c r="PEC1334" s="4" t="s">
        <v>2878</v>
      </c>
      <c r="PED1334" s="4" t="s">
        <v>2878</v>
      </c>
      <c r="PEE1334" s="4" t="s">
        <v>2878</v>
      </c>
      <c r="PEF1334" s="4" t="s">
        <v>2878</v>
      </c>
      <c r="PEG1334" s="4" t="s">
        <v>2878</v>
      </c>
      <c r="PEH1334" s="4" t="s">
        <v>2878</v>
      </c>
      <c r="PEI1334" s="4" t="s">
        <v>2878</v>
      </c>
      <c r="PEJ1334" s="4" t="s">
        <v>2878</v>
      </c>
      <c r="PEK1334" s="4" t="s">
        <v>2878</v>
      </c>
      <c r="PEL1334" s="4" t="s">
        <v>2878</v>
      </c>
      <c r="PEM1334" s="4" t="s">
        <v>2878</v>
      </c>
      <c r="PEN1334" s="4" t="s">
        <v>2878</v>
      </c>
      <c r="PEO1334" s="4" t="s">
        <v>2878</v>
      </c>
      <c r="PEP1334" s="4" t="s">
        <v>2878</v>
      </c>
      <c r="PEQ1334" s="4" t="s">
        <v>2878</v>
      </c>
      <c r="PER1334" s="4" t="s">
        <v>2878</v>
      </c>
      <c r="PES1334" s="4" t="s">
        <v>2878</v>
      </c>
      <c r="PET1334" s="4" t="s">
        <v>2878</v>
      </c>
      <c r="PEU1334" s="4" t="s">
        <v>2878</v>
      </c>
      <c r="PEV1334" s="4" t="s">
        <v>2878</v>
      </c>
      <c r="PEW1334" s="4" t="s">
        <v>2878</v>
      </c>
      <c r="PEX1334" s="4" t="s">
        <v>2878</v>
      </c>
      <c r="PEY1334" s="4" t="s">
        <v>2878</v>
      </c>
      <c r="PEZ1334" s="4" t="s">
        <v>2878</v>
      </c>
      <c r="PFA1334" s="4" t="s">
        <v>2878</v>
      </c>
      <c r="PFB1334" s="4" t="s">
        <v>2878</v>
      </c>
      <c r="PFC1334" s="4" t="s">
        <v>2878</v>
      </c>
      <c r="PFD1334" s="4" t="s">
        <v>2878</v>
      </c>
      <c r="PFE1334" s="4" t="s">
        <v>2878</v>
      </c>
      <c r="PFF1334" s="4" t="s">
        <v>2878</v>
      </c>
      <c r="PFG1334" s="4" t="s">
        <v>2878</v>
      </c>
      <c r="PFH1334" s="4" t="s">
        <v>2878</v>
      </c>
      <c r="PFI1334" s="4" t="s">
        <v>2878</v>
      </c>
      <c r="PFJ1334" s="4" t="s">
        <v>2878</v>
      </c>
      <c r="PFK1334" s="4" t="s">
        <v>2878</v>
      </c>
      <c r="PFL1334" s="4" t="s">
        <v>2878</v>
      </c>
      <c r="PFM1334" s="4" t="s">
        <v>2878</v>
      </c>
      <c r="PFN1334" s="4" t="s">
        <v>2878</v>
      </c>
      <c r="PFO1334" s="4" t="s">
        <v>2878</v>
      </c>
      <c r="PFP1334" s="4" t="s">
        <v>2878</v>
      </c>
      <c r="PFQ1334" s="4" t="s">
        <v>2878</v>
      </c>
      <c r="PFR1334" s="4" t="s">
        <v>2878</v>
      </c>
      <c r="PFS1334" s="4" t="s">
        <v>2878</v>
      </c>
      <c r="PFT1334" s="4" t="s">
        <v>2878</v>
      </c>
      <c r="PFU1334" s="4" t="s">
        <v>2878</v>
      </c>
      <c r="PFV1334" s="4" t="s">
        <v>2878</v>
      </c>
      <c r="PFW1334" s="4" t="s">
        <v>2878</v>
      </c>
      <c r="PFX1334" s="4" t="s">
        <v>2878</v>
      </c>
      <c r="PFY1334" s="4" t="s">
        <v>2878</v>
      </c>
      <c r="PFZ1334" s="4" t="s">
        <v>2878</v>
      </c>
      <c r="PGA1334" s="4" t="s">
        <v>2878</v>
      </c>
      <c r="PGB1334" s="4" t="s">
        <v>2878</v>
      </c>
      <c r="PGC1334" s="4" t="s">
        <v>2878</v>
      </c>
      <c r="PGD1334" s="4" t="s">
        <v>2878</v>
      </c>
      <c r="PGE1334" s="4" t="s">
        <v>2878</v>
      </c>
      <c r="PGF1334" s="4" t="s">
        <v>2878</v>
      </c>
      <c r="PGG1334" s="4" t="s">
        <v>2878</v>
      </c>
      <c r="PGH1334" s="4" t="s">
        <v>2878</v>
      </c>
      <c r="PGI1334" s="4" t="s">
        <v>2878</v>
      </c>
      <c r="PGJ1334" s="4" t="s">
        <v>2878</v>
      </c>
      <c r="PGK1334" s="4" t="s">
        <v>2878</v>
      </c>
      <c r="PGL1334" s="4" t="s">
        <v>2878</v>
      </c>
      <c r="PGM1334" s="4" t="s">
        <v>2878</v>
      </c>
      <c r="PGN1334" s="4" t="s">
        <v>2878</v>
      </c>
      <c r="PGO1334" s="4" t="s">
        <v>2878</v>
      </c>
      <c r="PGP1334" s="4" t="s">
        <v>2878</v>
      </c>
      <c r="PGQ1334" s="4" t="s">
        <v>2878</v>
      </c>
      <c r="PGR1334" s="4" t="s">
        <v>2878</v>
      </c>
      <c r="PGS1334" s="4" t="s">
        <v>2878</v>
      </c>
      <c r="PGT1334" s="4" t="s">
        <v>2878</v>
      </c>
      <c r="PGU1334" s="4" t="s">
        <v>2878</v>
      </c>
      <c r="PGV1334" s="4" t="s">
        <v>2878</v>
      </c>
      <c r="PGW1334" s="4" t="s">
        <v>2878</v>
      </c>
      <c r="PGX1334" s="4" t="s">
        <v>2878</v>
      </c>
      <c r="PGY1334" s="4" t="s">
        <v>2878</v>
      </c>
      <c r="PGZ1334" s="4" t="s">
        <v>2878</v>
      </c>
      <c r="PHA1334" s="4" t="s">
        <v>2878</v>
      </c>
      <c r="PHB1334" s="4" t="s">
        <v>2878</v>
      </c>
      <c r="PHC1334" s="4" t="s">
        <v>2878</v>
      </c>
      <c r="PHD1334" s="4" t="s">
        <v>2878</v>
      </c>
      <c r="PHE1334" s="4" t="s">
        <v>2878</v>
      </c>
      <c r="PHF1334" s="4" t="s">
        <v>2878</v>
      </c>
      <c r="PHG1334" s="4" t="s">
        <v>2878</v>
      </c>
      <c r="PHH1334" s="4" t="s">
        <v>2878</v>
      </c>
      <c r="PHI1334" s="4" t="s">
        <v>2878</v>
      </c>
      <c r="PHJ1334" s="4" t="s">
        <v>2878</v>
      </c>
      <c r="PHK1334" s="4" t="s">
        <v>2878</v>
      </c>
      <c r="PHL1334" s="4" t="s">
        <v>2878</v>
      </c>
      <c r="PHM1334" s="4" t="s">
        <v>2878</v>
      </c>
      <c r="PHN1334" s="4" t="s">
        <v>2878</v>
      </c>
      <c r="PHO1334" s="4" t="s">
        <v>2878</v>
      </c>
      <c r="PHP1334" s="4" t="s">
        <v>2878</v>
      </c>
      <c r="PHQ1334" s="4" t="s">
        <v>2878</v>
      </c>
      <c r="PHR1334" s="4" t="s">
        <v>2878</v>
      </c>
      <c r="PHS1334" s="4" t="s">
        <v>2878</v>
      </c>
      <c r="PHT1334" s="4" t="s">
        <v>2878</v>
      </c>
      <c r="PHU1334" s="4" t="s">
        <v>2878</v>
      </c>
      <c r="PHV1334" s="4" t="s">
        <v>2878</v>
      </c>
      <c r="PHW1334" s="4" t="s">
        <v>2878</v>
      </c>
      <c r="PHX1334" s="4" t="s">
        <v>2878</v>
      </c>
      <c r="PHY1334" s="4" t="s">
        <v>2878</v>
      </c>
      <c r="PHZ1334" s="4" t="s">
        <v>2878</v>
      </c>
      <c r="PIA1334" s="4" t="s">
        <v>2878</v>
      </c>
      <c r="PIB1334" s="4" t="s">
        <v>2878</v>
      </c>
      <c r="PIC1334" s="4" t="s">
        <v>2878</v>
      </c>
      <c r="PID1334" s="4" t="s">
        <v>2878</v>
      </c>
      <c r="PIE1334" s="4" t="s">
        <v>2878</v>
      </c>
      <c r="PIF1334" s="4" t="s">
        <v>2878</v>
      </c>
      <c r="PIG1334" s="4" t="s">
        <v>2878</v>
      </c>
      <c r="PIH1334" s="4" t="s">
        <v>2878</v>
      </c>
      <c r="PII1334" s="4" t="s">
        <v>2878</v>
      </c>
      <c r="PIJ1334" s="4" t="s">
        <v>2878</v>
      </c>
      <c r="PIK1334" s="4" t="s">
        <v>2878</v>
      </c>
      <c r="PIL1334" s="4" t="s">
        <v>2878</v>
      </c>
      <c r="PIM1334" s="4" t="s">
        <v>2878</v>
      </c>
      <c r="PIN1334" s="4" t="s">
        <v>2878</v>
      </c>
      <c r="PIO1334" s="4" t="s">
        <v>2878</v>
      </c>
      <c r="PIP1334" s="4" t="s">
        <v>2878</v>
      </c>
      <c r="PIQ1334" s="4" t="s">
        <v>2878</v>
      </c>
      <c r="PIR1334" s="4" t="s">
        <v>2878</v>
      </c>
      <c r="PIS1334" s="4" t="s">
        <v>2878</v>
      </c>
      <c r="PIT1334" s="4" t="s">
        <v>2878</v>
      </c>
      <c r="PIU1334" s="4" t="s">
        <v>2878</v>
      </c>
      <c r="PIV1334" s="4" t="s">
        <v>2878</v>
      </c>
      <c r="PIW1334" s="4" t="s">
        <v>2878</v>
      </c>
      <c r="PIX1334" s="4" t="s">
        <v>2878</v>
      </c>
      <c r="PIY1334" s="4" t="s">
        <v>2878</v>
      </c>
      <c r="PIZ1334" s="4" t="s">
        <v>2878</v>
      </c>
      <c r="PJA1334" s="4" t="s">
        <v>2878</v>
      </c>
      <c r="PJB1334" s="4" t="s">
        <v>2878</v>
      </c>
      <c r="PJC1334" s="4" t="s">
        <v>2878</v>
      </c>
      <c r="PJD1334" s="4" t="s">
        <v>2878</v>
      </c>
      <c r="PJE1334" s="4" t="s">
        <v>2878</v>
      </c>
      <c r="PJF1334" s="4" t="s">
        <v>2878</v>
      </c>
      <c r="PJG1334" s="4" t="s">
        <v>2878</v>
      </c>
      <c r="PJH1334" s="4" t="s">
        <v>2878</v>
      </c>
      <c r="PJI1334" s="4" t="s">
        <v>2878</v>
      </c>
      <c r="PJJ1334" s="4" t="s">
        <v>2878</v>
      </c>
      <c r="PJK1334" s="4" t="s">
        <v>2878</v>
      </c>
      <c r="PJL1334" s="4" t="s">
        <v>2878</v>
      </c>
      <c r="PJM1334" s="4" t="s">
        <v>2878</v>
      </c>
      <c r="PJN1334" s="4" t="s">
        <v>2878</v>
      </c>
      <c r="PJO1334" s="4" t="s">
        <v>2878</v>
      </c>
      <c r="PJP1334" s="4" t="s">
        <v>2878</v>
      </c>
      <c r="PJQ1334" s="4" t="s">
        <v>2878</v>
      </c>
      <c r="PJR1334" s="4" t="s">
        <v>2878</v>
      </c>
      <c r="PJS1334" s="4" t="s">
        <v>2878</v>
      </c>
      <c r="PJT1334" s="4" t="s">
        <v>2878</v>
      </c>
      <c r="PJU1334" s="4" t="s">
        <v>2878</v>
      </c>
      <c r="PJV1334" s="4" t="s">
        <v>2878</v>
      </c>
      <c r="PJW1334" s="4" t="s">
        <v>2878</v>
      </c>
      <c r="PJX1334" s="4" t="s">
        <v>2878</v>
      </c>
      <c r="PJY1334" s="4" t="s">
        <v>2878</v>
      </c>
      <c r="PJZ1334" s="4" t="s">
        <v>2878</v>
      </c>
      <c r="PKA1334" s="4" t="s">
        <v>2878</v>
      </c>
      <c r="PKB1334" s="4" t="s">
        <v>2878</v>
      </c>
      <c r="PKC1334" s="4" t="s">
        <v>2878</v>
      </c>
      <c r="PKD1334" s="4" t="s">
        <v>2878</v>
      </c>
      <c r="PKE1334" s="4" t="s">
        <v>2878</v>
      </c>
      <c r="PKF1334" s="4" t="s">
        <v>2878</v>
      </c>
      <c r="PKG1334" s="4" t="s">
        <v>2878</v>
      </c>
      <c r="PKH1334" s="4" t="s">
        <v>2878</v>
      </c>
      <c r="PKI1334" s="4" t="s">
        <v>2878</v>
      </c>
      <c r="PKJ1334" s="4" t="s">
        <v>2878</v>
      </c>
      <c r="PKK1334" s="4" t="s">
        <v>2878</v>
      </c>
      <c r="PKL1334" s="4" t="s">
        <v>2878</v>
      </c>
      <c r="PKM1334" s="4" t="s">
        <v>2878</v>
      </c>
      <c r="PKN1334" s="4" t="s">
        <v>2878</v>
      </c>
      <c r="PKO1334" s="4" t="s">
        <v>2878</v>
      </c>
      <c r="PKP1334" s="4" t="s">
        <v>2878</v>
      </c>
      <c r="PKQ1334" s="4" t="s">
        <v>2878</v>
      </c>
      <c r="PKR1334" s="4" t="s">
        <v>2878</v>
      </c>
      <c r="PKS1334" s="4" t="s">
        <v>2878</v>
      </c>
      <c r="PKT1334" s="4" t="s">
        <v>2878</v>
      </c>
      <c r="PKU1334" s="4" t="s">
        <v>2878</v>
      </c>
      <c r="PKV1334" s="4" t="s">
        <v>2878</v>
      </c>
      <c r="PKW1334" s="4" t="s">
        <v>2878</v>
      </c>
      <c r="PKX1334" s="4" t="s">
        <v>2878</v>
      </c>
      <c r="PKY1334" s="4" t="s">
        <v>2878</v>
      </c>
      <c r="PKZ1334" s="4" t="s">
        <v>2878</v>
      </c>
      <c r="PLA1334" s="4" t="s">
        <v>2878</v>
      </c>
      <c r="PLB1334" s="4" t="s">
        <v>2878</v>
      </c>
      <c r="PLC1334" s="4" t="s">
        <v>2878</v>
      </c>
      <c r="PLD1334" s="4" t="s">
        <v>2878</v>
      </c>
      <c r="PLE1334" s="4" t="s">
        <v>2878</v>
      </c>
      <c r="PLF1334" s="4" t="s">
        <v>2878</v>
      </c>
      <c r="PLG1334" s="4" t="s">
        <v>2878</v>
      </c>
      <c r="PLH1334" s="4" t="s">
        <v>2878</v>
      </c>
      <c r="PLI1334" s="4" t="s">
        <v>2878</v>
      </c>
      <c r="PLJ1334" s="4" t="s">
        <v>2878</v>
      </c>
      <c r="PLK1334" s="4" t="s">
        <v>2878</v>
      </c>
      <c r="PLL1334" s="4" t="s">
        <v>2878</v>
      </c>
      <c r="PLM1334" s="4" t="s">
        <v>2878</v>
      </c>
      <c r="PLN1334" s="4" t="s">
        <v>2878</v>
      </c>
      <c r="PLO1334" s="4" t="s">
        <v>2878</v>
      </c>
      <c r="PLP1334" s="4" t="s">
        <v>2878</v>
      </c>
      <c r="PLQ1334" s="4" t="s">
        <v>2878</v>
      </c>
      <c r="PLR1334" s="4" t="s">
        <v>2878</v>
      </c>
      <c r="PLS1334" s="4" t="s">
        <v>2878</v>
      </c>
      <c r="PLT1334" s="4" t="s">
        <v>2878</v>
      </c>
      <c r="PLU1334" s="4" t="s">
        <v>2878</v>
      </c>
      <c r="PLV1334" s="4" t="s">
        <v>2878</v>
      </c>
      <c r="PLW1334" s="4" t="s">
        <v>2878</v>
      </c>
      <c r="PLX1334" s="4" t="s">
        <v>2878</v>
      </c>
      <c r="PLY1334" s="4" t="s">
        <v>2878</v>
      </c>
      <c r="PLZ1334" s="4" t="s">
        <v>2878</v>
      </c>
      <c r="PMA1334" s="4" t="s">
        <v>2878</v>
      </c>
      <c r="PMB1334" s="4" t="s">
        <v>2878</v>
      </c>
      <c r="PMC1334" s="4" t="s">
        <v>2878</v>
      </c>
      <c r="PMD1334" s="4" t="s">
        <v>2878</v>
      </c>
      <c r="PME1334" s="4" t="s">
        <v>2878</v>
      </c>
      <c r="PMF1334" s="4" t="s">
        <v>2878</v>
      </c>
      <c r="PMG1334" s="4" t="s">
        <v>2878</v>
      </c>
      <c r="PMH1334" s="4" t="s">
        <v>2878</v>
      </c>
      <c r="PMI1334" s="4" t="s">
        <v>2878</v>
      </c>
      <c r="PMJ1334" s="4" t="s">
        <v>2878</v>
      </c>
      <c r="PMK1334" s="4" t="s">
        <v>2878</v>
      </c>
      <c r="PML1334" s="4" t="s">
        <v>2878</v>
      </c>
      <c r="PMM1334" s="4" t="s">
        <v>2878</v>
      </c>
      <c r="PMN1334" s="4" t="s">
        <v>2878</v>
      </c>
      <c r="PMO1334" s="4" t="s">
        <v>2878</v>
      </c>
      <c r="PMP1334" s="4" t="s">
        <v>2878</v>
      </c>
      <c r="PMQ1334" s="4" t="s">
        <v>2878</v>
      </c>
      <c r="PMR1334" s="4" t="s">
        <v>2878</v>
      </c>
      <c r="PMS1334" s="4" t="s">
        <v>2878</v>
      </c>
      <c r="PMT1334" s="4" t="s">
        <v>2878</v>
      </c>
      <c r="PMU1334" s="4" t="s">
        <v>2878</v>
      </c>
      <c r="PMV1334" s="4" t="s">
        <v>2878</v>
      </c>
      <c r="PMW1334" s="4" t="s">
        <v>2878</v>
      </c>
      <c r="PMX1334" s="4" t="s">
        <v>2878</v>
      </c>
      <c r="PMY1334" s="4" t="s">
        <v>2878</v>
      </c>
      <c r="PMZ1334" s="4" t="s">
        <v>2878</v>
      </c>
      <c r="PNA1334" s="4" t="s">
        <v>2878</v>
      </c>
      <c r="PNB1334" s="4" t="s">
        <v>2878</v>
      </c>
      <c r="PNC1334" s="4" t="s">
        <v>2878</v>
      </c>
      <c r="PND1334" s="4" t="s">
        <v>2878</v>
      </c>
      <c r="PNE1334" s="4" t="s">
        <v>2878</v>
      </c>
      <c r="PNF1334" s="4" t="s">
        <v>2878</v>
      </c>
      <c r="PNG1334" s="4" t="s">
        <v>2878</v>
      </c>
      <c r="PNH1334" s="4" t="s">
        <v>2878</v>
      </c>
      <c r="PNI1334" s="4" t="s">
        <v>2878</v>
      </c>
      <c r="PNJ1334" s="4" t="s">
        <v>2878</v>
      </c>
      <c r="PNK1334" s="4" t="s">
        <v>2878</v>
      </c>
      <c r="PNL1334" s="4" t="s">
        <v>2878</v>
      </c>
      <c r="PNM1334" s="4" t="s">
        <v>2878</v>
      </c>
      <c r="PNN1334" s="4" t="s">
        <v>2878</v>
      </c>
      <c r="PNO1334" s="4" t="s">
        <v>2878</v>
      </c>
      <c r="PNP1334" s="4" t="s">
        <v>2878</v>
      </c>
      <c r="PNQ1334" s="4" t="s">
        <v>2878</v>
      </c>
      <c r="PNR1334" s="4" t="s">
        <v>2878</v>
      </c>
      <c r="PNS1334" s="4" t="s">
        <v>2878</v>
      </c>
      <c r="PNT1334" s="4" t="s">
        <v>2878</v>
      </c>
      <c r="PNU1334" s="4" t="s">
        <v>2878</v>
      </c>
      <c r="PNV1334" s="4" t="s">
        <v>2878</v>
      </c>
      <c r="PNW1334" s="4" t="s">
        <v>2878</v>
      </c>
      <c r="PNX1334" s="4" t="s">
        <v>2878</v>
      </c>
      <c r="PNY1334" s="4" t="s">
        <v>2878</v>
      </c>
      <c r="PNZ1334" s="4" t="s">
        <v>2878</v>
      </c>
      <c r="POA1334" s="4" t="s">
        <v>2878</v>
      </c>
      <c r="POB1334" s="4" t="s">
        <v>2878</v>
      </c>
      <c r="POC1334" s="4" t="s">
        <v>2878</v>
      </c>
      <c r="POD1334" s="4" t="s">
        <v>2878</v>
      </c>
      <c r="POE1334" s="4" t="s">
        <v>2878</v>
      </c>
      <c r="POF1334" s="4" t="s">
        <v>2878</v>
      </c>
      <c r="POG1334" s="4" t="s">
        <v>2878</v>
      </c>
      <c r="POH1334" s="4" t="s">
        <v>2878</v>
      </c>
      <c r="POI1334" s="4" t="s">
        <v>2878</v>
      </c>
      <c r="POJ1334" s="4" t="s">
        <v>2878</v>
      </c>
      <c r="POK1334" s="4" t="s">
        <v>2878</v>
      </c>
      <c r="POL1334" s="4" t="s">
        <v>2878</v>
      </c>
      <c r="POM1334" s="4" t="s">
        <v>2878</v>
      </c>
      <c r="PON1334" s="4" t="s">
        <v>2878</v>
      </c>
      <c r="POO1334" s="4" t="s">
        <v>2878</v>
      </c>
      <c r="POP1334" s="4" t="s">
        <v>2878</v>
      </c>
      <c r="POQ1334" s="4" t="s">
        <v>2878</v>
      </c>
      <c r="POR1334" s="4" t="s">
        <v>2878</v>
      </c>
      <c r="POS1334" s="4" t="s">
        <v>2878</v>
      </c>
      <c r="POT1334" s="4" t="s">
        <v>2878</v>
      </c>
      <c r="POU1334" s="4" t="s">
        <v>2878</v>
      </c>
      <c r="POV1334" s="4" t="s">
        <v>2878</v>
      </c>
      <c r="POW1334" s="4" t="s">
        <v>2878</v>
      </c>
      <c r="POX1334" s="4" t="s">
        <v>2878</v>
      </c>
      <c r="POY1334" s="4" t="s">
        <v>2878</v>
      </c>
      <c r="POZ1334" s="4" t="s">
        <v>2878</v>
      </c>
      <c r="PPA1334" s="4" t="s">
        <v>2878</v>
      </c>
      <c r="PPB1334" s="4" t="s">
        <v>2878</v>
      </c>
      <c r="PPC1334" s="4" t="s">
        <v>2878</v>
      </c>
      <c r="PPD1334" s="4" t="s">
        <v>2878</v>
      </c>
      <c r="PPE1334" s="4" t="s">
        <v>2878</v>
      </c>
      <c r="PPF1334" s="4" t="s">
        <v>2878</v>
      </c>
      <c r="PPG1334" s="4" t="s">
        <v>2878</v>
      </c>
      <c r="PPH1334" s="4" t="s">
        <v>2878</v>
      </c>
      <c r="PPI1334" s="4" t="s">
        <v>2878</v>
      </c>
      <c r="PPJ1334" s="4" t="s">
        <v>2878</v>
      </c>
      <c r="PPK1334" s="4" t="s">
        <v>2878</v>
      </c>
      <c r="PPL1334" s="4" t="s">
        <v>2878</v>
      </c>
      <c r="PPM1334" s="4" t="s">
        <v>2878</v>
      </c>
      <c r="PPN1334" s="4" t="s">
        <v>2878</v>
      </c>
      <c r="PPO1334" s="4" t="s">
        <v>2878</v>
      </c>
      <c r="PPP1334" s="4" t="s">
        <v>2878</v>
      </c>
      <c r="PPQ1334" s="4" t="s">
        <v>2878</v>
      </c>
      <c r="PPR1334" s="4" t="s">
        <v>2878</v>
      </c>
      <c r="PPS1334" s="4" t="s">
        <v>2878</v>
      </c>
      <c r="PPT1334" s="4" t="s">
        <v>2878</v>
      </c>
      <c r="PPU1334" s="4" t="s">
        <v>2878</v>
      </c>
      <c r="PPV1334" s="4" t="s">
        <v>2878</v>
      </c>
      <c r="PPW1334" s="4" t="s">
        <v>2878</v>
      </c>
      <c r="PPX1334" s="4" t="s">
        <v>2878</v>
      </c>
      <c r="PPY1334" s="4" t="s">
        <v>2878</v>
      </c>
      <c r="PPZ1334" s="4" t="s">
        <v>2878</v>
      </c>
      <c r="PQA1334" s="4" t="s">
        <v>2878</v>
      </c>
      <c r="PQB1334" s="4" t="s">
        <v>2878</v>
      </c>
      <c r="PQC1334" s="4" t="s">
        <v>2878</v>
      </c>
      <c r="PQD1334" s="4" t="s">
        <v>2878</v>
      </c>
      <c r="PQE1334" s="4" t="s">
        <v>2878</v>
      </c>
      <c r="PQF1334" s="4" t="s">
        <v>2878</v>
      </c>
      <c r="PQG1334" s="4" t="s">
        <v>2878</v>
      </c>
      <c r="PQH1334" s="4" t="s">
        <v>2878</v>
      </c>
      <c r="PQI1334" s="4" t="s">
        <v>2878</v>
      </c>
      <c r="PQJ1334" s="4" t="s">
        <v>2878</v>
      </c>
      <c r="PQK1334" s="4" t="s">
        <v>2878</v>
      </c>
      <c r="PQL1334" s="4" t="s">
        <v>2878</v>
      </c>
      <c r="PQM1334" s="4" t="s">
        <v>2878</v>
      </c>
      <c r="PQN1334" s="4" t="s">
        <v>2878</v>
      </c>
      <c r="PQO1334" s="4" t="s">
        <v>2878</v>
      </c>
      <c r="PQP1334" s="4" t="s">
        <v>2878</v>
      </c>
      <c r="PQQ1334" s="4" t="s">
        <v>2878</v>
      </c>
      <c r="PQR1334" s="4" t="s">
        <v>2878</v>
      </c>
      <c r="PQS1334" s="4" t="s">
        <v>2878</v>
      </c>
      <c r="PQT1334" s="4" t="s">
        <v>2878</v>
      </c>
      <c r="PQU1334" s="4" t="s">
        <v>2878</v>
      </c>
      <c r="PQV1334" s="4" t="s">
        <v>2878</v>
      </c>
      <c r="PQW1334" s="4" t="s">
        <v>2878</v>
      </c>
      <c r="PQX1334" s="4" t="s">
        <v>2878</v>
      </c>
      <c r="PQY1334" s="4" t="s">
        <v>2878</v>
      </c>
      <c r="PQZ1334" s="4" t="s">
        <v>2878</v>
      </c>
      <c r="PRA1334" s="4" t="s">
        <v>2878</v>
      </c>
      <c r="PRB1334" s="4" t="s">
        <v>2878</v>
      </c>
      <c r="PRC1334" s="4" t="s">
        <v>2878</v>
      </c>
      <c r="PRD1334" s="4" t="s">
        <v>2878</v>
      </c>
      <c r="PRE1334" s="4" t="s">
        <v>2878</v>
      </c>
      <c r="PRF1334" s="4" t="s">
        <v>2878</v>
      </c>
      <c r="PRG1334" s="4" t="s">
        <v>2878</v>
      </c>
      <c r="PRH1334" s="4" t="s">
        <v>2878</v>
      </c>
      <c r="PRI1334" s="4" t="s">
        <v>2878</v>
      </c>
      <c r="PRJ1334" s="4" t="s">
        <v>2878</v>
      </c>
      <c r="PRK1334" s="4" t="s">
        <v>2878</v>
      </c>
      <c r="PRL1334" s="4" t="s">
        <v>2878</v>
      </c>
      <c r="PRM1334" s="4" t="s">
        <v>2878</v>
      </c>
      <c r="PRN1334" s="4" t="s">
        <v>2878</v>
      </c>
      <c r="PRO1334" s="4" t="s">
        <v>2878</v>
      </c>
      <c r="PRP1334" s="4" t="s">
        <v>2878</v>
      </c>
      <c r="PRQ1334" s="4" t="s">
        <v>2878</v>
      </c>
      <c r="PRR1334" s="4" t="s">
        <v>2878</v>
      </c>
      <c r="PRS1334" s="4" t="s">
        <v>2878</v>
      </c>
      <c r="PRT1334" s="4" t="s">
        <v>2878</v>
      </c>
      <c r="PRU1334" s="4" t="s">
        <v>2878</v>
      </c>
      <c r="PRV1334" s="4" t="s">
        <v>2878</v>
      </c>
      <c r="PRW1334" s="4" t="s">
        <v>2878</v>
      </c>
      <c r="PRX1334" s="4" t="s">
        <v>2878</v>
      </c>
      <c r="PRY1334" s="4" t="s">
        <v>2878</v>
      </c>
      <c r="PRZ1334" s="4" t="s">
        <v>2878</v>
      </c>
      <c r="PSA1334" s="4" t="s">
        <v>2878</v>
      </c>
      <c r="PSB1334" s="4" t="s">
        <v>2878</v>
      </c>
      <c r="PSC1334" s="4" t="s">
        <v>2878</v>
      </c>
      <c r="PSD1334" s="4" t="s">
        <v>2878</v>
      </c>
      <c r="PSE1334" s="4" t="s">
        <v>2878</v>
      </c>
      <c r="PSF1334" s="4" t="s">
        <v>2878</v>
      </c>
      <c r="PSG1334" s="4" t="s">
        <v>2878</v>
      </c>
      <c r="PSH1334" s="4" t="s">
        <v>2878</v>
      </c>
      <c r="PSI1334" s="4" t="s">
        <v>2878</v>
      </c>
      <c r="PSJ1334" s="4" t="s">
        <v>2878</v>
      </c>
      <c r="PSK1334" s="4" t="s">
        <v>2878</v>
      </c>
      <c r="PSL1334" s="4" t="s">
        <v>2878</v>
      </c>
      <c r="PSM1334" s="4" t="s">
        <v>2878</v>
      </c>
      <c r="PSN1334" s="4" t="s">
        <v>2878</v>
      </c>
      <c r="PSO1334" s="4" t="s">
        <v>2878</v>
      </c>
      <c r="PSP1334" s="4" t="s">
        <v>2878</v>
      </c>
      <c r="PSQ1334" s="4" t="s">
        <v>2878</v>
      </c>
      <c r="PSR1334" s="4" t="s">
        <v>2878</v>
      </c>
      <c r="PSS1334" s="4" t="s">
        <v>2878</v>
      </c>
      <c r="PST1334" s="4" t="s">
        <v>2878</v>
      </c>
      <c r="PSU1334" s="4" t="s">
        <v>2878</v>
      </c>
      <c r="PSV1334" s="4" t="s">
        <v>2878</v>
      </c>
      <c r="PSW1334" s="4" t="s">
        <v>2878</v>
      </c>
      <c r="PSX1334" s="4" t="s">
        <v>2878</v>
      </c>
      <c r="PSY1334" s="4" t="s">
        <v>2878</v>
      </c>
      <c r="PSZ1334" s="4" t="s">
        <v>2878</v>
      </c>
      <c r="PTA1334" s="4" t="s">
        <v>2878</v>
      </c>
      <c r="PTB1334" s="4" t="s">
        <v>2878</v>
      </c>
      <c r="PTC1334" s="4" t="s">
        <v>2878</v>
      </c>
      <c r="PTD1334" s="4" t="s">
        <v>2878</v>
      </c>
      <c r="PTE1334" s="4" t="s">
        <v>2878</v>
      </c>
      <c r="PTF1334" s="4" t="s">
        <v>2878</v>
      </c>
      <c r="PTG1334" s="4" t="s">
        <v>2878</v>
      </c>
      <c r="PTH1334" s="4" t="s">
        <v>2878</v>
      </c>
      <c r="PTI1334" s="4" t="s">
        <v>2878</v>
      </c>
      <c r="PTJ1334" s="4" t="s">
        <v>2878</v>
      </c>
      <c r="PTK1334" s="4" t="s">
        <v>2878</v>
      </c>
      <c r="PTL1334" s="4" t="s">
        <v>2878</v>
      </c>
      <c r="PTM1334" s="4" t="s">
        <v>2878</v>
      </c>
      <c r="PTN1334" s="4" t="s">
        <v>2878</v>
      </c>
      <c r="PTO1334" s="4" t="s">
        <v>2878</v>
      </c>
      <c r="PTP1334" s="4" t="s">
        <v>2878</v>
      </c>
      <c r="PTQ1334" s="4" t="s">
        <v>2878</v>
      </c>
      <c r="PTR1334" s="4" t="s">
        <v>2878</v>
      </c>
      <c r="PTS1334" s="4" t="s">
        <v>2878</v>
      </c>
      <c r="PTT1334" s="4" t="s">
        <v>2878</v>
      </c>
      <c r="PTU1334" s="4" t="s">
        <v>2878</v>
      </c>
      <c r="PTV1334" s="4" t="s">
        <v>2878</v>
      </c>
      <c r="PTW1334" s="4" t="s">
        <v>2878</v>
      </c>
      <c r="PTX1334" s="4" t="s">
        <v>2878</v>
      </c>
      <c r="PTY1334" s="4" t="s">
        <v>2878</v>
      </c>
      <c r="PTZ1334" s="4" t="s">
        <v>2878</v>
      </c>
      <c r="PUA1334" s="4" t="s">
        <v>2878</v>
      </c>
      <c r="PUB1334" s="4" t="s">
        <v>2878</v>
      </c>
      <c r="PUC1334" s="4" t="s">
        <v>2878</v>
      </c>
      <c r="PUD1334" s="4" t="s">
        <v>2878</v>
      </c>
      <c r="PUE1334" s="4" t="s">
        <v>2878</v>
      </c>
      <c r="PUF1334" s="4" t="s">
        <v>2878</v>
      </c>
      <c r="PUG1334" s="4" t="s">
        <v>2878</v>
      </c>
      <c r="PUH1334" s="4" t="s">
        <v>2878</v>
      </c>
      <c r="PUI1334" s="4" t="s">
        <v>2878</v>
      </c>
      <c r="PUJ1334" s="4" t="s">
        <v>2878</v>
      </c>
      <c r="PUK1334" s="4" t="s">
        <v>2878</v>
      </c>
      <c r="PUL1334" s="4" t="s">
        <v>2878</v>
      </c>
      <c r="PUM1334" s="4" t="s">
        <v>2878</v>
      </c>
      <c r="PUN1334" s="4" t="s">
        <v>2878</v>
      </c>
      <c r="PUO1334" s="4" t="s">
        <v>2878</v>
      </c>
      <c r="PUP1334" s="4" t="s">
        <v>2878</v>
      </c>
      <c r="PUQ1334" s="4" t="s">
        <v>2878</v>
      </c>
      <c r="PUR1334" s="4" t="s">
        <v>2878</v>
      </c>
      <c r="PUS1334" s="4" t="s">
        <v>2878</v>
      </c>
      <c r="PUT1334" s="4" t="s">
        <v>2878</v>
      </c>
      <c r="PUU1334" s="4" t="s">
        <v>2878</v>
      </c>
      <c r="PUV1334" s="4" t="s">
        <v>2878</v>
      </c>
      <c r="PUW1334" s="4" t="s">
        <v>2878</v>
      </c>
      <c r="PUX1334" s="4" t="s">
        <v>2878</v>
      </c>
      <c r="PUY1334" s="4" t="s">
        <v>2878</v>
      </c>
      <c r="PUZ1334" s="4" t="s">
        <v>2878</v>
      </c>
      <c r="PVA1334" s="4" t="s">
        <v>2878</v>
      </c>
      <c r="PVB1334" s="4" t="s">
        <v>2878</v>
      </c>
      <c r="PVC1334" s="4" t="s">
        <v>2878</v>
      </c>
      <c r="PVD1334" s="4" t="s">
        <v>2878</v>
      </c>
      <c r="PVE1334" s="4" t="s">
        <v>2878</v>
      </c>
      <c r="PVF1334" s="4" t="s">
        <v>2878</v>
      </c>
      <c r="PVG1334" s="4" t="s">
        <v>2878</v>
      </c>
      <c r="PVH1334" s="4" t="s">
        <v>2878</v>
      </c>
      <c r="PVI1334" s="4" t="s">
        <v>2878</v>
      </c>
      <c r="PVJ1334" s="4" t="s">
        <v>2878</v>
      </c>
      <c r="PVK1334" s="4" t="s">
        <v>2878</v>
      </c>
      <c r="PVL1334" s="4" t="s">
        <v>2878</v>
      </c>
      <c r="PVM1334" s="4" t="s">
        <v>2878</v>
      </c>
      <c r="PVN1334" s="4" t="s">
        <v>2878</v>
      </c>
      <c r="PVO1334" s="4" t="s">
        <v>2878</v>
      </c>
      <c r="PVP1334" s="4" t="s">
        <v>2878</v>
      </c>
      <c r="PVQ1334" s="4" t="s">
        <v>2878</v>
      </c>
      <c r="PVR1334" s="4" t="s">
        <v>2878</v>
      </c>
      <c r="PVS1334" s="4" t="s">
        <v>2878</v>
      </c>
      <c r="PVT1334" s="4" t="s">
        <v>2878</v>
      </c>
      <c r="PVU1334" s="4" t="s">
        <v>2878</v>
      </c>
      <c r="PVV1334" s="4" t="s">
        <v>2878</v>
      </c>
      <c r="PVW1334" s="4" t="s">
        <v>2878</v>
      </c>
      <c r="PVX1334" s="4" t="s">
        <v>2878</v>
      </c>
      <c r="PVY1334" s="4" t="s">
        <v>2878</v>
      </c>
      <c r="PVZ1334" s="4" t="s">
        <v>2878</v>
      </c>
      <c r="PWA1334" s="4" t="s">
        <v>2878</v>
      </c>
      <c r="PWB1334" s="4" t="s">
        <v>2878</v>
      </c>
      <c r="PWC1334" s="4" t="s">
        <v>2878</v>
      </c>
      <c r="PWD1334" s="4" t="s">
        <v>2878</v>
      </c>
      <c r="PWE1334" s="4" t="s">
        <v>2878</v>
      </c>
      <c r="PWF1334" s="4" t="s">
        <v>2878</v>
      </c>
      <c r="PWG1334" s="4" t="s">
        <v>2878</v>
      </c>
      <c r="PWH1334" s="4" t="s">
        <v>2878</v>
      </c>
      <c r="PWI1334" s="4" t="s">
        <v>2878</v>
      </c>
      <c r="PWJ1334" s="4" t="s">
        <v>2878</v>
      </c>
      <c r="PWK1334" s="4" t="s">
        <v>2878</v>
      </c>
      <c r="PWL1334" s="4" t="s">
        <v>2878</v>
      </c>
      <c r="PWM1334" s="4" t="s">
        <v>2878</v>
      </c>
      <c r="PWN1334" s="4" t="s">
        <v>2878</v>
      </c>
      <c r="PWO1334" s="4" t="s">
        <v>2878</v>
      </c>
      <c r="PWP1334" s="4" t="s">
        <v>2878</v>
      </c>
      <c r="PWQ1334" s="4" t="s">
        <v>2878</v>
      </c>
      <c r="PWR1334" s="4" t="s">
        <v>2878</v>
      </c>
      <c r="PWS1334" s="4" t="s">
        <v>2878</v>
      </c>
      <c r="PWT1334" s="4" t="s">
        <v>2878</v>
      </c>
      <c r="PWU1334" s="4" t="s">
        <v>2878</v>
      </c>
      <c r="PWV1334" s="4" t="s">
        <v>2878</v>
      </c>
      <c r="PWW1334" s="4" t="s">
        <v>2878</v>
      </c>
      <c r="PWX1334" s="4" t="s">
        <v>2878</v>
      </c>
      <c r="PWY1334" s="4" t="s">
        <v>2878</v>
      </c>
      <c r="PWZ1334" s="4" t="s">
        <v>2878</v>
      </c>
      <c r="PXA1334" s="4" t="s">
        <v>2878</v>
      </c>
      <c r="PXB1334" s="4" t="s">
        <v>2878</v>
      </c>
      <c r="PXC1334" s="4" t="s">
        <v>2878</v>
      </c>
      <c r="PXD1334" s="4" t="s">
        <v>2878</v>
      </c>
      <c r="PXE1334" s="4" t="s">
        <v>2878</v>
      </c>
      <c r="PXF1334" s="4" t="s">
        <v>2878</v>
      </c>
      <c r="PXG1334" s="4" t="s">
        <v>2878</v>
      </c>
      <c r="PXH1334" s="4" t="s">
        <v>2878</v>
      </c>
      <c r="PXI1334" s="4" t="s">
        <v>2878</v>
      </c>
      <c r="PXJ1334" s="4" t="s">
        <v>2878</v>
      </c>
      <c r="PXK1334" s="4" t="s">
        <v>2878</v>
      </c>
      <c r="PXL1334" s="4" t="s">
        <v>2878</v>
      </c>
      <c r="PXM1334" s="4" t="s">
        <v>2878</v>
      </c>
      <c r="PXN1334" s="4" t="s">
        <v>2878</v>
      </c>
      <c r="PXO1334" s="4" t="s">
        <v>2878</v>
      </c>
      <c r="PXP1334" s="4" t="s">
        <v>2878</v>
      </c>
      <c r="PXQ1334" s="4" t="s">
        <v>2878</v>
      </c>
      <c r="PXR1334" s="4" t="s">
        <v>2878</v>
      </c>
      <c r="PXS1334" s="4" t="s">
        <v>2878</v>
      </c>
      <c r="PXT1334" s="4" t="s">
        <v>2878</v>
      </c>
      <c r="PXU1334" s="4" t="s">
        <v>2878</v>
      </c>
      <c r="PXV1334" s="4" t="s">
        <v>2878</v>
      </c>
      <c r="PXW1334" s="4" t="s">
        <v>2878</v>
      </c>
      <c r="PXX1334" s="4" t="s">
        <v>2878</v>
      </c>
      <c r="PXY1334" s="4" t="s">
        <v>2878</v>
      </c>
      <c r="PXZ1334" s="4" t="s">
        <v>2878</v>
      </c>
      <c r="PYA1334" s="4" t="s">
        <v>2878</v>
      </c>
      <c r="PYB1334" s="4" t="s">
        <v>2878</v>
      </c>
      <c r="PYC1334" s="4" t="s">
        <v>2878</v>
      </c>
      <c r="PYD1334" s="4" t="s">
        <v>2878</v>
      </c>
      <c r="PYE1334" s="4" t="s">
        <v>2878</v>
      </c>
      <c r="PYF1334" s="4" t="s">
        <v>2878</v>
      </c>
      <c r="PYG1334" s="4" t="s">
        <v>2878</v>
      </c>
      <c r="PYH1334" s="4" t="s">
        <v>2878</v>
      </c>
      <c r="PYI1334" s="4" t="s">
        <v>2878</v>
      </c>
      <c r="PYJ1334" s="4" t="s">
        <v>2878</v>
      </c>
      <c r="PYK1334" s="4" t="s">
        <v>2878</v>
      </c>
      <c r="PYL1334" s="4" t="s">
        <v>2878</v>
      </c>
      <c r="PYM1334" s="4" t="s">
        <v>2878</v>
      </c>
      <c r="PYN1334" s="4" t="s">
        <v>2878</v>
      </c>
      <c r="PYO1334" s="4" t="s">
        <v>2878</v>
      </c>
      <c r="PYP1334" s="4" t="s">
        <v>2878</v>
      </c>
      <c r="PYQ1334" s="4" t="s">
        <v>2878</v>
      </c>
      <c r="PYR1334" s="4" t="s">
        <v>2878</v>
      </c>
      <c r="PYS1334" s="4" t="s">
        <v>2878</v>
      </c>
      <c r="PYT1334" s="4" t="s">
        <v>2878</v>
      </c>
      <c r="PYU1334" s="4" t="s">
        <v>2878</v>
      </c>
      <c r="PYV1334" s="4" t="s">
        <v>2878</v>
      </c>
      <c r="PYW1334" s="4" t="s">
        <v>2878</v>
      </c>
      <c r="PYX1334" s="4" t="s">
        <v>2878</v>
      </c>
      <c r="PYY1334" s="4" t="s">
        <v>2878</v>
      </c>
      <c r="PYZ1334" s="4" t="s">
        <v>2878</v>
      </c>
      <c r="PZA1334" s="4" t="s">
        <v>2878</v>
      </c>
      <c r="PZB1334" s="4" t="s">
        <v>2878</v>
      </c>
      <c r="PZC1334" s="4" t="s">
        <v>2878</v>
      </c>
      <c r="PZD1334" s="4" t="s">
        <v>2878</v>
      </c>
      <c r="PZE1334" s="4" t="s">
        <v>2878</v>
      </c>
      <c r="PZF1334" s="4" t="s">
        <v>2878</v>
      </c>
      <c r="PZG1334" s="4" t="s">
        <v>2878</v>
      </c>
      <c r="PZH1334" s="4" t="s">
        <v>2878</v>
      </c>
      <c r="PZI1334" s="4" t="s">
        <v>2878</v>
      </c>
      <c r="PZJ1334" s="4" t="s">
        <v>2878</v>
      </c>
      <c r="PZK1334" s="4" t="s">
        <v>2878</v>
      </c>
      <c r="PZL1334" s="4" t="s">
        <v>2878</v>
      </c>
      <c r="PZM1334" s="4" t="s">
        <v>2878</v>
      </c>
      <c r="PZN1334" s="4" t="s">
        <v>2878</v>
      </c>
      <c r="PZO1334" s="4" t="s">
        <v>2878</v>
      </c>
      <c r="PZP1334" s="4" t="s">
        <v>2878</v>
      </c>
      <c r="PZQ1334" s="4" t="s">
        <v>2878</v>
      </c>
      <c r="PZR1334" s="4" t="s">
        <v>2878</v>
      </c>
      <c r="PZS1334" s="4" t="s">
        <v>2878</v>
      </c>
      <c r="PZT1334" s="4" t="s">
        <v>2878</v>
      </c>
      <c r="PZU1334" s="4" t="s">
        <v>2878</v>
      </c>
      <c r="PZV1334" s="4" t="s">
        <v>2878</v>
      </c>
      <c r="PZW1334" s="4" t="s">
        <v>2878</v>
      </c>
      <c r="PZX1334" s="4" t="s">
        <v>2878</v>
      </c>
      <c r="PZY1334" s="4" t="s">
        <v>2878</v>
      </c>
      <c r="PZZ1334" s="4" t="s">
        <v>2878</v>
      </c>
      <c r="QAA1334" s="4" t="s">
        <v>2878</v>
      </c>
      <c r="QAB1334" s="4" t="s">
        <v>2878</v>
      </c>
      <c r="QAC1334" s="4" t="s">
        <v>2878</v>
      </c>
      <c r="QAD1334" s="4" t="s">
        <v>2878</v>
      </c>
      <c r="QAE1334" s="4" t="s">
        <v>2878</v>
      </c>
      <c r="QAF1334" s="4" t="s">
        <v>2878</v>
      </c>
      <c r="QAG1334" s="4" t="s">
        <v>2878</v>
      </c>
      <c r="QAH1334" s="4" t="s">
        <v>2878</v>
      </c>
      <c r="QAI1334" s="4" t="s">
        <v>2878</v>
      </c>
      <c r="QAJ1334" s="4" t="s">
        <v>2878</v>
      </c>
      <c r="QAK1334" s="4" t="s">
        <v>2878</v>
      </c>
      <c r="QAL1334" s="4" t="s">
        <v>2878</v>
      </c>
      <c r="QAM1334" s="4" t="s">
        <v>2878</v>
      </c>
      <c r="QAN1334" s="4" t="s">
        <v>2878</v>
      </c>
      <c r="QAO1334" s="4" t="s">
        <v>2878</v>
      </c>
      <c r="QAP1334" s="4" t="s">
        <v>2878</v>
      </c>
      <c r="QAQ1334" s="4" t="s">
        <v>2878</v>
      </c>
      <c r="QAR1334" s="4" t="s">
        <v>2878</v>
      </c>
      <c r="QAS1334" s="4" t="s">
        <v>2878</v>
      </c>
      <c r="QAT1334" s="4" t="s">
        <v>2878</v>
      </c>
      <c r="QAU1334" s="4" t="s">
        <v>2878</v>
      </c>
      <c r="QAV1334" s="4" t="s">
        <v>2878</v>
      </c>
      <c r="QAW1334" s="4" t="s">
        <v>2878</v>
      </c>
      <c r="QAX1334" s="4" t="s">
        <v>2878</v>
      </c>
      <c r="QAY1334" s="4" t="s">
        <v>2878</v>
      </c>
      <c r="QAZ1334" s="4" t="s">
        <v>2878</v>
      </c>
      <c r="QBA1334" s="4" t="s">
        <v>2878</v>
      </c>
      <c r="QBB1334" s="4" t="s">
        <v>2878</v>
      </c>
      <c r="QBC1334" s="4" t="s">
        <v>2878</v>
      </c>
      <c r="QBD1334" s="4" t="s">
        <v>2878</v>
      </c>
      <c r="QBE1334" s="4" t="s">
        <v>2878</v>
      </c>
      <c r="QBF1334" s="4" t="s">
        <v>2878</v>
      </c>
      <c r="QBG1334" s="4" t="s">
        <v>2878</v>
      </c>
      <c r="QBH1334" s="4" t="s">
        <v>2878</v>
      </c>
      <c r="QBI1334" s="4" t="s">
        <v>2878</v>
      </c>
      <c r="QBJ1334" s="4" t="s">
        <v>2878</v>
      </c>
      <c r="QBK1334" s="4" t="s">
        <v>2878</v>
      </c>
      <c r="QBL1334" s="4" t="s">
        <v>2878</v>
      </c>
      <c r="QBM1334" s="4" t="s">
        <v>2878</v>
      </c>
      <c r="QBN1334" s="4" t="s">
        <v>2878</v>
      </c>
      <c r="QBO1334" s="4" t="s">
        <v>2878</v>
      </c>
      <c r="QBP1334" s="4" t="s">
        <v>2878</v>
      </c>
      <c r="QBQ1334" s="4" t="s">
        <v>2878</v>
      </c>
      <c r="QBR1334" s="4" t="s">
        <v>2878</v>
      </c>
      <c r="QBS1334" s="4" t="s">
        <v>2878</v>
      </c>
      <c r="QBT1334" s="4" t="s">
        <v>2878</v>
      </c>
      <c r="QBU1334" s="4" t="s">
        <v>2878</v>
      </c>
      <c r="QBV1334" s="4" t="s">
        <v>2878</v>
      </c>
      <c r="QBW1334" s="4" t="s">
        <v>2878</v>
      </c>
      <c r="QBX1334" s="4" t="s">
        <v>2878</v>
      </c>
      <c r="QBY1334" s="4" t="s">
        <v>2878</v>
      </c>
      <c r="QBZ1334" s="4" t="s">
        <v>2878</v>
      </c>
      <c r="QCA1334" s="4" t="s">
        <v>2878</v>
      </c>
      <c r="QCB1334" s="4" t="s">
        <v>2878</v>
      </c>
      <c r="QCC1334" s="4" t="s">
        <v>2878</v>
      </c>
      <c r="QCD1334" s="4" t="s">
        <v>2878</v>
      </c>
      <c r="QCE1334" s="4" t="s">
        <v>2878</v>
      </c>
      <c r="QCF1334" s="4" t="s">
        <v>2878</v>
      </c>
      <c r="QCG1334" s="4" t="s">
        <v>2878</v>
      </c>
      <c r="QCH1334" s="4" t="s">
        <v>2878</v>
      </c>
      <c r="QCI1334" s="4" t="s">
        <v>2878</v>
      </c>
      <c r="QCJ1334" s="4" t="s">
        <v>2878</v>
      </c>
      <c r="QCK1334" s="4" t="s">
        <v>2878</v>
      </c>
      <c r="QCL1334" s="4" t="s">
        <v>2878</v>
      </c>
      <c r="QCM1334" s="4" t="s">
        <v>2878</v>
      </c>
      <c r="QCN1334" s="4" t="s">
        <v>2878</v>
      </c>
      <c r="QCO1334" s="4" t="s">
        <v>2878</v>
      </c>
      <c r="QCP1334" s="4" t="s">
        <v>2878</v>
      </c>
      <c r="QCQ1334" s="4" t="s">
        <v>2878</v>
      </c>
      <c r="QCR1334" s="4" t="s">
        <v>2878</v>
      </c>
      <c r="QCS1334" s="4" t="s">
        <v>2878</v>
      </c>
      <c r="QCT1334" s="4" t="s">
        <v>2878</v>
      </c>
      <c r="QCU1334" s="4" t="s">
        <v>2878</v>
      </c>
      <c r="QCV1334" s="4" t="s">
        <v>2878</v>
      </c>
      <c r="QCW1334" s="4" t="s">
        <v>2878</v>
      </c>
      <c r="QCX1334" s="4" t="s">
        <v>2878</v>
      </c>
      <c r="QCY1334" s="4" t="s">
        <v>2878</v>
      </c>
      <c r="QCZ1334" s="4" t="s">
        <v>2878</v>
      </c>
      <c r="QDA1334" s="4" t="s">
        <v>2878</v>
      </c>
      <c r="QDB1334" s="4" t="s">
        <v>2878</v>
      </c>
      <c r="QDC1334" s="4" t="s">
        <v>2878</v>
      </c>
      <c r="QDD1334" s="4" t="s">
        <v>2878</v>
      </c>
      <c r="QDE1334" s="4" t="s">
        <v>2878</v>
      </c>
      <c r="QDF1334" s="4" t="s">
        <v>2878</v>
      </c>
      <c r="QDG1334" s="4" t="s">
        <v>2878</v>
      </c>
      <c r="QDH1334" s="4" t="s">
        <v>2878</v>
      </c>
      <c r="QDI1334" s="4" t="s">
        <v>2878</v>
      </c>
      <c r="QDJ1334" s="4" t="s">
        <v>2878</v>
      </c>
      <c r="QDK1334" s="4" t="s">
        <v>2878</v>
      </c>
      <c r="QDL1334" s="4" t="s">
        <v>2878</v>
      </c>
      <c r="QDM1334" s="4" t="s">
        <v>2878</v>
      </c>
      <c r="QDN1334" s="4" t="s">
        <v>2878</v>
      </c>
      <c r="QDO1334" s="4" t="s">
        <v>2878</v>
      </c>
      <c r="QDP1334" s="4" t="s">
        <v>2878</v>
      </c>
      <c r="QDQ1334" s="4" t="s">
        <v>2878</v>
      </c>
      <c r="QDR1334" s="4" t="s">
        <v>2878</v>
      </c>
      <c r="QDS1334" s="4" t="s">
        <v>2878</v>
      </c>
      <c r="QDT1334" s="4" t="s">
        <v>2878</v>
      </c>
      <c r="QDU1334" s="4" t="s">
        <v>2878</v>
      </c>
      <c r="QDV1334" s="4" t="s">
        <v>2878</v>
      </c>
      <c r="QDW1334" s="4" t="s">
        <v>2878</v>
      </c>
      <c r="QDX1334" s="4" t="s">
        <v>2878</v>
      </c>
      <c r="QDY1334" s="4" t="s">
        <v>2878</v>
      </c>
      <c r="QDZ1334" s="4" t="s">
        <v>2878</v>
      </c>
      <c r="QEA1334" s="4" t="s">
        <v>2878</v>
      </c>
      <c r="QEB1334" s="4" t="s">
        <v>2878</v>
      </c>
      <c r="QEC1334" s="4" t="s">
        <v>2878</v>
      </c>
      <c r="QED1334" s="4" t="s">
        <v>2878</v>
      </c>
      <c r="QEE1334" s="4" t="s">
        <v>2878</v>
      </c>
      <c r="QEF1334" s="4" t="s">
        <v>2878</v>
      </c>
      <c r="QEG1334" s="4" t="s">
        <v>2878</v>
      </c>
      <c r="QEH1334" s="4" t="s">
        <v>2878</v>
      </c>
      <c r="QEI1334" s="4" t="s">
        <v>2878</v>
      </c>
      <c r="QEJ1334" s="4" t="s">
        <v>2878</v>
      </c>
      <c r="QEK1334" s="4" t="s">
        <v>2878</v>
      </c>
      <c r="QEL1334" s="4" t="s">
        <v>2878</v>
      </c>
      <c r="QEM1334" s="4" t="s">
        <v>2878</v>
      </c>
      <c r="QEN1334" s="4" t="s">
        <v>2878</v>
      </c>
      <c r="QEO1334" s="4" t="s">
        <v>2878</v>
      </c>
      <c r="QEP1334" s="4" t="s">
        <v>2878</v>
      </c>
      <c r="QEQ1334" s="4" t="s">
        <v>2878</v>
      </c>
      <c r="QER1334" s="4" t="s">
        <v>2878</v>
      </c>
      <c r="QES1334" s="4" t="s">
        <v>2878</v>
      </c>
      <c r="QET1334" s="4" t="s">
        <v>2878</v>
      </c>
      <c r="QEU1334" s="4" t="s">
        <v>2878</v>
      </c>
      <c r="QEV1334" s="4" t="s">
        <v>2878</v>
      </c>
      <c r="QEW1334" s="4" t="s">
        <v>2878</v>
      </c>
      <c r="QEX1334" s="4" t="s">
        <v>2878</v>
      </c>
      <c r="QEY1334" s="4" t="s">
        <v>2878</v>
      </c>
      <c r="QEZ1334" s="4" t="s">
        <v>2878</v>
      </c>
      <c r="QFA1334" s="4" t="s">
        <v>2878</v>
      </c>
      <c r="QFB1334" s="4" t="s">
        <v>2878</v>
      </c>
      <c r="QFC1334" s="4" t="s">
        <v>2878</v>
      </c>
      <c r="QFD1334" s="4" t="s">
        <v>2878</v>
      </c>
      <c r="QFE1334" s="4" t="s">
        <v>2878</v>
      </c>
      <c r="QFF1334" s="4" t="s">
        <v>2878</v>
      </c>
      <c r="QFG1334" s="4" t="s">
        <v>2878</v>
      </c>
      <c r="QFH1334" s="4" t="s">
        <v>2878</v>
      </c>
      <c r="QFI1334" s="4" t="s">
        <v>2878</v>
      </c>
      <c r="QFJ1334" s="4" t="s">
        <v>2878</v>
      </c>
      <c r="QFK1334" s="4" t="s">
        <v>2878</v>
      </c>
      <c r="QFL1334" s="4" t="s">
        <v>2878</v>
      </c>
      <c r="QFM1334" s="4" t="s">
        <v>2878</v>
      </c>
      <c r="QFN1334" s="4" t="s">
        <v>2878</v>
      </c>
      <c r="QFO1334" s="4" t="s">
        <v>2878</v>
      </c>
      <c r="QFP1334" s="4" t="s">
        <v>2878</v>
      </c>
      <c r="QFQ1334" s="4" t="s">
        <v>2878</v>
      </c>
      <c r="QFR1334" s="4" t="s">
        <v>2878</v>
      </c>
      <c r="QFS1334" s="4" t="s">
        <v>2878</v>
      </c>
      <c r="QFT1334" s="4" t="s">
        <v>2878</v>
      </c>
      <c r="QFU1334" s="4" t="s">
        <v>2878</v>
      </c>
      <c r="QFV1334" s="4" t="s">
        <v>2878</v>
      </c>
      <c r="QFW1334" s="4" t="s">
        <v>2878</v>
      </c>
      <c r="QFX1334" s="4" t="s">
        <v>2878</v>
      </c>
      <c r="QFY1334" s="4" t="s">
        <v>2878</v>
      </c>
      <c r="QFZ1334" s="4" t="s">
        <v>2878</v>
      </c>
      <c r="QGA1334" s="4" t="s">
        <v>2878</v>
      </c>
      <c r="QGB1334" s="4" t="s">
        <v>2878</v>
      </c>
      <c r="QGC1334" s="4" t="s">
        <v>2878</v>
      </c>
      <c r="QGD1334" s="4" t="s">
        <v>2878</v>
      </c>
      <c r="QGE1334" s="4" t="s">
        <v>2878</v>
      </c>
      <c r="QGF1334" s="4" t="s">
        <v>2878</v>
      </c>
      <c r="QGG1334" s="4" t="s">
        <v>2878</v>
      </c>
      <c r="QGH1334" s="4" t="s">
        <v>2878</v>
      </c>
      <c r="QGI1334" s="4" t="s">
        <v>2878</v>
      </c>
      <c r="QGJ1334" s="4" t="s">
        <v>2878</v>
      </c>
      <c r="QGK1334" s="4" t="s">
        <v>2878</v>
      </c>
      <c r="QGL1334" s="4" t="s">
        <v>2878</v>
      </c>
      <c r="QGM1334" s="4" t="s">
        <v>2878</v>
      </c>
      <c r="QGN1334" s="4" t="s">
        <v>2878</v>
      </c>
      <c r="QGO1334" s="4" t="s">
        <v>2878</v>
      </c>
      <c r="QGP1334" s="4" t="s">
        <v>2878</v>
      </c>
      <c r="QGQ1334" s="4" t="s">
        <v>2878</v>
      </c>
      <c r="QGR1334" s="4" t="s">
        <v>2878</v>
      </c>
      <c r="QGS1334" s="4" t="s">
        <v>2878</v>
      </c>
      <c r="QGT1334" s="4" t="s">
        <v>2878</v>
      </c>
      <c r="QGU1334" s="4" t="s">
        <v>2878</v>
      </c>
      <c r="QGV1334" s="4" t="s">
        <v>2878</v>
      </c>
      <c r="QGW1334" s="4" t="s">
        <v>2878</v>
      </c>
      <c r="QGX1334" s="4" t="s">
        <v>2878</v>
      </c>
      <c r="QGY1334" s="4" t="s">
        <v>2878</v>
      </c>
      <c r="QGZ1334" s="4" t="s">
        <v>2878</v>
      </c>
      <c r="QHA1334" s="4" t="s">
        <v>2878</v>
      </c>
      <c r="QHB1334" s="4" t="s">
        <v>2878</v>
      </c>
      <c r="QHC1334" s="4" t="s">
        <v>2878</v>
      </c>
      <c r="QHD1334" s="4" t="s">
        <v>2878</v>
      </c>
      <c r="QHE1334" s="4" t="s">
        <v>2878</v>
      </c>
      <c r="QHF1334" s="4" t="s">
        <v>2878</v>
      </c>
      <c r="QHG1334" s="4" t="s">
        <v>2878</v>
      </c>
      <c r="QHH1334" s="4" t="s">
        <v>2878</v>
      </c>
      <c r="QHI1334" s="4" t="s">
        <v>2878</v>
      </c>
      <c r="QHJ1334" s="4" t="s">
        <v>2878</v>
      </c>
      <c r="QHK1334" s="4" t="s">
        <v>2878</v>
      </c>
      <c r="QHL1334" s="4" t="s">
        <v>2878</v>
      </c>
      <c r="QHM1334" s="4" t="s">
        <v>2878</v>
      </c>
      <c r="QHN1334" s="4" t="s">
        <v>2878</v>
      </c>
      <c r="QHO1334" s="4" t="s">
        <v>2878</v>
      </c>
      <c r="QHP1334" s="4" t="s">
        <v>2878</v>
      </c>
      <c r="QHQ1334" s="4" t="s">
        <v>2878</v>
      </c>
      <c r="QHR1334" s="4" t="s">
        <v>2878</v>
      </c>
      <c r="QHS1334" s="4" t="s">
        <v>2878</v>
      </c>
      <c r="QHT1334" s="4" t="s">
        <v>2878</v>
      </c>
      <c r="QHU1334" s="4" t="s">
        <v>2878</v>
      </c>
      <c r="QHV1334" s="4" t="s">
        <v>2878</v>
      </c>
      <c r="QHW1334" s="4" t="s">
        <v>2878</v>
      </c>
      <c r="QHX1334" s="4" t="s">
        <v>2878</v>
      </c>
      <c r="QHY1334" s="4" t="s">
        <v>2878</v>
      </c>
      <c r="QHZ1334" s="4" t="s">
        <v>2878</v>
      </c>
      <c r="QIA1334" s="4" t="s">
        <v>2878</v>
      </c>
      <c r="QIB1334" s="4" t="s">
        <v>2878</v>
      </c>
      <c r="QIC1334" s="4" t="s">
        <v>2878</v>
      </c>
      <c r="QID1334" s="4" t="s">
        <v>2878</v>
      </c>
      <c r="QIE1334" s="4" t="s">
        <v>2878</v>
      </c>
      <c r="QIF1334" s="4" t="s">
        <v>2878</v>
      </c>
      <c r="QIG1334" s="4" t="s">
        <v>2878</v>
      </c>
      <c r="QIH1334" s="4" t="s">
        <v>2878</v>
      </c>
      <c r="QII1334" s="4" t="s">
        <v>2878</v>
      </c>
      <c r="QIJ1334" s="4" t="s">
        <v>2878</v>
      </c>
      <c r="QIK1334" s="4" t="s">
        <v>2878</v>
      </c>
      <c r="QIL1334" s="4" t="s">
        <v>2878</v>
      </c>
      <c r="QIM1334" s="4" t="s">
        <v>2878</v>
      </c>
      <c r="QIN1334" s="4" t="s">
        <v>2878</v>
      </c>
      <c r="QIO1334" s="4" t="s">
        <v>2878</v>
      </c>
      <c r="QIP1334" s="4" t="s">
        <v>2878</v>
      </c>
      <c r="QIQ1334" s="4" t="s">
        <v>2878</v>
      </c>
      <c r="QIR1334" s="4" t="s">
        <v>2878</v>
      </c>
      <c r="QIS1334" s="4" t="s">
        <v>2878</v>
      </c>
      <c r="QIT1334" s="4" t="s">
        <v>2878</v>
      </c>
      <c r="QIU1334" s="4" t="s">
        <v>2878</v>
      </c>
      <c r="QIV1334" s="4" t="s">
        <v>2878</v>
      </c>
      <c r="QIW1334" s="4" t="s">
        <v>2878</v>
      </c>
      <c r="QIX1334" s="4" t="s">
        <v>2878</v>
      </c>
      <c r="QIY1334" s="4" t="s">
        <v>2878</v>
      </c>
      <c r="QIZ1334" s="4" t="s">
        <v>2878</v>
      </c>
      <c r="QJA1334" s="4" t="s">
        <v>2878</v>
      </c>
      <c r="QJB1334" s="4" t="s">
        <v>2878</v>
      </c>
      <c r="QJC1334" s="4" t="s">
        <v>2878</v>
      </c>
      <c r="QJD1334" s="4" t="s">
        <v>2878</v>
      </c>
      <c r="QJE1334" s="4" t="s">
        <v>2878</v>
      </c>
      <c r="QJF1334" s="4" t="s">
        <v>2878</v>
      </c>
      <c r="QJG1334" s="4" t="s">
        <v>2878</v>
      </c>
      <c r="QJH1334" s="4" t="s">
        <v>2878</v>
      </c>
      <c r="QJI1334" s="4" t="s">
        <v>2878</v>
      </c>
      <c r="QJJ1334" s="4" t="s">
        <v>2878</v>
      </c>
      <c r="QJK1334" s="4" t="s">
        <v>2878</v>
      </c>
      <c r="QJL1334" s="4" t="s">
        <v>2878</v>
      </c>
      <c r="QJM1334" s="4" t="s">
        <v>2878</v>
      </c>
      <c r="QJN1334" s="4" t="s">
        <v>2878</v>
      </c>
      <c r="QJO1334" s="4" t="s">
        <v>2878</v>
      </c>
      <c r="QJP1334" s="4" t="s">
        <v>2878</v>
      </c>
      <c r="QJQ1334" s="4" t="s">
        <v>2878</v>
      </c>
      <c r="QJR1334" s="4" t="s">
        <v>2878</v>
      </c>
      <c r="QJS1334" s="4" t="s">
        <v>2878</v>
      </c>
      <c r="QJT1334" s="4" t="s">
        <v>2878</v>
      </c>
      <c r="QJU1334" s="4" t="s">
        <v>2878</v>
      </c>
      <c r="QJV1334" s="4" t="s">
        <v>2878</v>
      </c>
      <c r="QJW1334" s="4" t="s">
        <v>2878</v>
      </c>
      <c r="QJX1334" s="4" t="s">
        <v>2878</v>
      </c>
      <c r="QJY1334" s="4" t="s">
        <v>2878</v>
      </c>
      <c r="QJZ1334" s="4" t="s">
        <v>2878</v>
      </c>
      <c r="QKA1334" s="4" t="s">
        <v>2878</v>
      </c>
      <c r="QKB1334" s="4" t="s">
        <v>2878</v>
      </c>
      <c r="QKC1334" s="4" t="s">
        <v>2878</v>
      </c>
      <c r="QKD1334" s="4" t="s">
        <v>2878</v>
      </c>
      <c r="QKE1334" s="4" t="s">
        <v>2878</v>
      </c>
      <c r="QKF1334" s="4" t="s">
        <v>2878</v>
      </c>
      <c r="QKG1334" s="4" t="s">
        <v>2878</v>
      </c>
      <c r="QKH1334" s="4" t="s">
        <v>2878</v>
      </c>
      <c r="QKI1334" s="4" t="s">
        <v>2878</v>
      </c>
      <c r="QKJ1334" s="4" t="s">
        <v>2878</v>
      </c>
      <c r="QKK1334" s="4" t="s">
        <v>2878</v>
      </c>
      <c r="QKL1334" s="4" t="s">
        <v>2878</v>
      </c>
      <c r="QKM1334" s="4" t="s">
        <v>2878</v>
      </c>
      <c r="QKN1334" s="4" t="s">
        <v>2878</v>
      </c>
      <c r="QKO1334" s="4" t="s">
        <v>2878</v>
      </c>
      <c r="QKP1334" s="4" t="s">
        <v>2878</v>
      </c>
      <c r="QKQ1334" s="4" t="s">
        <v>2878</v>
      </c>
      <c r="QKR1334" s="4" t="s">
        <v>2878</v>
      </c>
      <c r="QKS1334" s="4" t="s">
        <v>2878</v>
      </c>
      <c r="QKT1334" s="4" t="s">
        <v>2878</v>
      </c>
      <c r="QKU1334" s="4" t="s">
        <v>2878</v>
      </c>
      <c r="QKV1334" s="4" t="s">
        <v>2878</v>
      </c>
      <c r="QKW1334" s="4" t="s">
        <v>2878</v>
      </c>
      <c r="QKX1334" s="4" t="s">
        <v>2878</v>
      </c>
      <c r="QKY1334" s="4" t="s">
        <v>2878</v>
      </c>
      <c r="QKZ1334" s="4" t="s">
        <v>2878</v>
      </c>
      <c r="QLA1334" s="4" t="s">
        <v>2878</v>
      </c>
      <c r="QLB1334" s="4" t="s">
        <v>2878</v>
      </c>
      <c r="QLC1334" s="4" t="s">
        <v>2878</v>
      </c>
      <c r="QLD1334" s="4" t="s">
        <v>2878</v>
      </c>
      <c r="QLE1334" s="4" t="s">
        <v>2878</v>
      </c>
      <c r="QLF1334" s="4" t="s">
        <v>2878</v>
      </c>
      <c r="QLG1334" s="4" t="s">
        <v>2878</v>
      </c>
      <c r="QLH1334" s="4" t="s">
        <v>2878</v>
      </c>
      <c r="QLI1334" s="4" t="s">
        <v>2878</v>
      </c>
      <c r="QLJ1334" s="4" t="s">
        <v>2878</v>
      </c>
      <c r="QLK1334" s="4" t="s">
        <v>2878</v>
      </c>
      <c r="QLL1334" s="4" t="s">
        <v>2878</v>
      </c>
      <c r="QLM1334" s="4" t="s">
        <v>2878</v>
      </c>
      <c r="QLN1334" s="4" t="s">
        <v>2878</v>
      </c>
      <c r="QLO1334" s="4" t="s">
        <v>2878</v>
      </c>
      <c r="QLP1334" s="4" t="s">
        <v>2878</v>
      </c>
      <c r="QLQ1334" s="4" t="s">
        <v>2878</v>
      </c>
      <c r="QLR1334" s="4" t="s">
        <v>2878</v>
      </c>
      <c r="QLS1334" s="4" t="s">
        <v>2878</v>
      </c>
      <c r="QLT1334" s="4" t="s">
        <v>2878</v>
      </c>
      <c r="QLU1334" s="4" t="s">
        <v>2878</v>
      </c>
      <c r="QLV1334" s="4" t="s">
        <v>2878</v>
      </c>
      <c r="QLW1334" s="4" t="s">
        <v>2878</v>
      </c>
      <c r="QLX1334" s="4" t="s">
        <v>2878</v>
      </c>
      <c r="QLY1334" s="4" t="s">
        <v>2878</v>
      </c>
      <c r="QLZ1334" s="4" t="s">
        <v>2878</v>
      </c>
      <c r="QMA1334" s="4" t="s">
        <v>2878</v>
      </c>
      <c r="QMB1334" s="4" t="s">
        <v>2878</v>
      </c>
      <c r="QMC1334" s="4" t="s">
        <v>2878</v>
      </c>
      <c r="QMD1334" s="4" t="s">
        <v>2878</v>
      </c>
      <c r="QME1334" s="4" t="s">
        <v>2878</v>
      </c>
      <c r="QMF1334" s="4" t="s">
        <v>2878</v>
      </c>
      <c r="QMG1334" s="4" t="s">
        <v>2878</v>
      </c>
      <c r="QMH1334" s="4" t="s">
        <v>2878</v>
      </c>
      <c r="QMI1334" s="4" t="s">
        <v>2878</v>
      </c>
      <c r="QMJ1334" s="4" t="s">
        <v>2878</v>
      </c>
      <c r="QMK1334" s="4" t="s">
        <v>2878</v>
      </c>
      <c r="QML1334" s="4" t="s">
        <v>2878</v>
      </c>
      <c r="QMM1334" s="4" t="s">
        <v>2878</v>
      </c>
      <c r="QMN1334" s="4" t="s">
        <v>2878</v>
      </c>
      <c r="QMO1334" s="4" t="s">
        <v>2878</v>
      </c>
      <c r="QMP1334" s="4" t="s">
        <v>2878</v>
      </c>
      <c r="QMQ1334" s="4" t="s">
        <v>2878</v>
      </c>
      <c r="QMR1334" s="4" t="s">
        <v>2878</v>
      </c>
      <c r="QMS1334" s="4" t="s">
        <v>2878</v>
      </c>
      <c r="QMT1334" s="4" t="s">
        <v>2878</v>
      </c>
      <c r="QMU1334" s="4" t="s">
        <v>2878</v>
      </c>
      <c r="QMV1334" s="4" t="s">
        <v>2878</v>
      </c>
      <c r="QMW1334" s="4" t="s">
        <v>2878</v>
      </c>
      <c r="QMX1334" s="4" t="s">
        <v>2878</v>
      </c>
      <c r="QMY1334" s="4" t="s">
        <v>2878</v>
      </c>
      <c r="QMZ1334" s="4" t="s">
        <v>2878</v>
      </c>
      <c r="QNA1334" s="4" t="s">
        <v>2878</v>
      </c>
      <c r="QNB1334" s="4" t="s">
        <v>2878</v>
      </c>
      <c r="QNC1334" s="4" t="s">
        <v>2878</v>
      </c>
      <c r="QND1334" s="4" t="s">
        <v>2878</v>
      </c>
      <c r="QNE1334" s="4" t="s">
        <v>2878</v>
      </c>
      <c r="QNF1334" s="4" t="s">
        <v>2878</v>
      </c>
      <c r="QNG1334" s="4" t="s">
        <v>2878</v>
      </c>
      <c r="QNH1334" s="4" t="s">
        <v>2878</v>
      </c>
      <c r="QNI1334" s="4" t="s">
        <v>2878</v>
      </c>
      <c r="QNJ1334" s="4" t="s">
        <v>2878</v>
      </c>
      <c r="QNK1334" s="4" t="s">
        <v>2878</v>
      </c>
      <c r="QNL1334" s="4" t="s">
        <v>2878</v>
      </c>
      <c r="QNM1334" s="4" t="s">
        <v>2878</v>
      </c>
      <c r="QNN1334" s="4" t="s">
        <v>2878</v>
      </c>
      <c r="QNO1334" s="4" t="s">
        <v>2878</v>
      </c>
      <c r="QNP1334" s="4" t="s">
        <v>2878</v>
      </c>
      <c r="QNQ1334" s="4" t="s">
        <v>2878</v>
      </c>
      <c r="QNR1334" s="4" t="s">
        <v>2878</v>
      </c>
      <c r="QNS1334" s="4" t="s">
        <v>2878</v>
      </c>
      <c r="QNT1334" s="4" t="s">
        <v>2878</v>
      </c>
      <c r="QNU1334" s="4" t="s">
        <v>2878</v>
      </c>
      <c r="QNV1334" s="4" t="s">
        <v>2878</v>
      </c>
      <c r="QNW1334" s="4" t="s">
        <v>2878</v>
      </c>
      <c r="QNX1334" s="4" t="s">
        <v>2878</v>
      </c>
      <c r="QNY1334" s="4" t="s">
        <v>2878</v>
      </c>
      <c r="QNZ1334" s="4" t="s">
        <v>2878</v>
      </c>
      <c r="QOA1334" s="4" t="s">
        <v>2878</v>
      </c>
      <c r="QOB1334" s="4" t="s">
        <v>2878</v>
      </c>
      <c r="QOC1334" s="4" t="s">
        <v>2878</v>
      </c>
      <c r="QOD1334" s="4" t="s">
        <v>2878</v>
      </c>
      <c r="QOE1334" s="4" t="s">
        <v>2878</v>
      </c>
      <c r="QOF1334" s="4" t="s">
        <v>2878</v>
      </c>
      <c r="QOG1334" s="4" t="s">
        <v>2878</v>
      </c>
      <c r="QOH1334" s="4" t="s">
        <v>2878</v>
      </c>
      <c r="QOI1334" s="4" t="s">
        <v>2878</v>
      </c>
      <c r="QOJ1334" s="4" t="s">
        <v>2878</v>
      </c>
      <c r="QOK1334" s="4" t="s">
        <v>2878</v>
      </c>
      <c r="QOL1334" s="4" t="s">
        <v>2878</v>
      </c>
      <c r="QOM1334" s="4" t="s">
        <v>2878</v>
      </c>
      <c r="QON1334" s="4" t="s">
        <v>2878</v>
      </c>
      <c r="QOO1334" s="4" t="s">
        <v>2878</v>
      </c>
      <c r="QOP1334" s="4" t="s">
        <v>2878</v>
      </c>
      <c r="QOQ1334" s="4" t="s">
        <v>2878</v>
      </c>
      <c r="QOR1334" s="4" t="s">
        <v>2878</v>
      </c>
      <c r="QOS1334" s="4" t="s">
        <v>2878</v>
      </c>
      <c r="QOT1334" s="4" t="s">
        <v>2878</v>
      </c>
      <c r="QOU1334" s="4" t="s">
        <v>2878</v>
      </c>
      <c r="QOV1334" s="4" t="s">
        <v>2878</v>
      </c>
      <c r="QOW1334" s="4" t="s">
        <v>2878</v>
      </c>
      <c r="QOX1334" s="4" t="s">
        <v>2878</v>
      </c>
      <c r="QOY1334" s="4" t="s">
        <v>2878</v>
      </c>
      <c r="QOZ1334" s="4" t="s">
        <v>2878</v>
      </c>
      <c r="QPA1334" s="4" t="s">
        <v>2878</v>
      </c>
      <c r="QPB1334" s="4" t="s">
        <v>2878</v>
      </c>
      <c r="QPC1334" s="4" t="s">
        <v>2878</v>
      </c>
      <c r="QPD1334" s="4" t="s">
        <v>2878</v>
      </c>
      <c r="QPE1334" s="4" t="s">
        <v>2878</v>
      </c>
      <c r="QPF1334" s="4" t="s">
        <v>2878</v>
      </c>
      <c r="QPG1334" s="4" t="s">
        <v>2878</v>
      </c>
      <c r="QPH1334" s="4" t="s">
        <v>2878</v>
      </c>
      <c r="QPI1334" s="4" t="s">
        <v>2878</v>
      </c>
      <c r="QPJ1334" s="4" t="s">
        <v>2878</v>
      </c>
      <c r="QPK1334" s="4" t="s">
        <v>2878</v>
      </c>
      <c r="QPL1334" s="4" t="s">
        <v>2878</v>
      </c>
      <c r="QPM1334" s="4" t="s">
        <v>2878</v>
      </c>
      <c r="QPN1334" s="4" t="s">
        <v>2878</v>
      </c>
      <c r="QPO1334" s="4" t="s">
        <v>2878</v>
      </c>
      <c r="QPP1334" s="4" t="s">
        <v>2878</v>
      </c>
      <c r="QPQ1334" s="4" t="s">
        <v>2878</v>
      </c>
      <c r="QPR1334" s="4" t="s">
        <v>2878</v>
      </c>
      <c r="QPS1334" s="4" t="s">
        <v>2878</v>
      </c>
      <c r="QPT1334" s="4" t="s">
        <v>2878</v>
      </c>
      <c r="QPU1334" s="4" t="s">
        <v>2878</v>
      </c>
      <c r="QPV1334" s="4" t="s">
        <v>2878</v>
      </c>
      <c r="QPW1334" s="4" t="s">
        <v>2878</v>
      </c>
      <c r="QPX1334" s="4" t="s">
        <v>2878</v>
      </c>
      <c r="QPY1334" s="4" t="s">
        <v>2878</v>
      </c>
      <c r="QPZ1334" s="4" t="s">
        <v>2878</v>
      </c>
      <c r="QQA1334" s="4" t="s">
        <v>2878</v>
      </c>
      <c r="QQB1334" s="4" t="s">
        <v>2878</v>
      </c>
      <c r="QQC1334" s="4" t="s">
        <v>2878</v>
      </c>
      <c r="QQD1334" s="4" t="s">
        <v>2878</v>
      </c>
      <c r="QQE1334" s="4" t="s">
        <v>2878</v>
      </c>
      <c r="QQF1334" s="4" t="s">
        <v>2878</v>
      </c>
      <c r="QQG1334" s="4" t="s">
        <v>2878</v>
      </c>
      <c r="QQH1334" s="4" t="s">
        <v>2878</v>
      </c>
      <c r="QQI1334" s="4" t="s">
        <v>2878</v>
      </c>
      <c r="QQJ1334" s="4" t="s">
        <v>2878</v>
      </c>
      <c r="QQK1334" s="4" t="s">
        <v>2878</v>
      </c>
      <c r="QQL1334" s="4" t="s">
        <v>2878</v>
      </c>
      <c r="QQM1334" s="4" t="s">
        <v>2878</v>
      </c>
      <c r="QQN1334" s="4" t="s">
        <v>2878</v>
      </c>
      <c r="QQO1334" s="4" t="s">
        <v>2878</v>
      </c>
      <c r="QQP1334" s="4" t="s">
        <v>2878</v>
      </c>
      <c r="QQQ1334" s="4" t="s">
        <v>2878</v>
      </c>
      <c r="QQR1334" s="4" t="s">
        <v>2878</v>
      </c>
      <c r="QQS1334" s="4" t="s">
        <v>2878</v>
      </c>
      <c r="QQT1334" s="4" t="s">
        <v>2878</v>
      </c>
      <c r="QQU1334" s="4" t="s">
        <v>2878</v>
      </c>
      <c r="QQV1334" s="4" t="s">
        <v>2878</v>
      </c>
      <c r="QQW1334" s="4" t="s">
        <v>2878</v>
      </c>
      <c r="QQX1334" s="4" t="s">
        <v>2878</v>
      </c>
      <c r="QQY1334" s="4" t="s">
        <v>2878</v>
      </c>
      <c r="QQZ1334" s="4" t="s">
        <v>2878</v>
      </c>
      <c r="QRA1334" s="4" t="s">
        <v>2878</v>
      </c>
      <c r="QRB1334" s="4" t="s">
        <v>2878</v>
      </c>
      <c r="QRC1334" s="4" t="s">
        <v>2878</v>
      </c>
      <c r="QRD1334" s="4" t="s">
        <v>2878</v>
      </c>
      <c r="QRE1334" s="4" t="s">
        <v>2878</v>
      </c>
      <c r="QRF1334" s="4" t="s">
        <v>2878</v>
      </c>
      <c r="QRG1334" s="4" t="s">
        <v>2878</v>
      </c>
      <c r="QRH1334" s="4" t="s">
        <v>2878</v>
      </c>
      <c r="QRI1334" s="4" t="s">
        <v>2878</v>
      </c>
      <c r="QRJ1334" s="4" t="s">
        <v>2878</v>
      </c>
      <c r="QRK1334" s="4" t="s">
        <v>2878</v>
      </c>
      <c r="QRL1334" s="4" t="s">
        <v>2878</v>
      </c>
      <c r="QRM1334" s="4" t="s">
        <v>2878</v>
      </c>
      <c r="QRN1334" s="4" t="s">
        <v>2878</v>
      </c>
      <c r="QRO1334" s="4" t="s">
        <v>2878</v>
      </c>
      <c r="QRP1334" s="4" t="s">
        <v>2878</v>
      </c>
      <c r="QRQ1334" s="4" t="s">
        <v>2878</v>
      </c>
      <c r="QRR1334" s="4" t="s">
        <v>2878</v>
      </c>
      <c r="QRS1334" s="4" t="s">
        <v>2878</v>
      </c>
      <c r="QRT1334" s="4" t="s">
        <v>2878</v>
      </c>
      <c r="QRU1334" s="4" t="s">
        <v>2878</v>
      </c>
      <c r="QRV1334" s="4" t="s">
        <v>2878</v>
      </c>
      <c r="QRW1334" s="4" t="s">
        <v>2878</v>
      </c>
      <c r="QRX1334" s="4" t="s">
        <v>2878</v>
      </c>
      <c r="QRY1334" s="4" t="s">
        <v>2878</v>
      </c>
      <c r="QRZ1334" s="4" t="s">
        <v>2878</v>
      </c>
      <c r="QSA1334" s="4" t="s">
        <v>2878</v>
      </c>
      <c r="QSB1334" s="4" t="s">
        <v>2878</v>
      </c>
      <c r="QSC1334" s="4" t="s">
        <v>2878</v>
      </c>
      <c r="QSD1334" s="4" t="s">
        <v>2878</v>
      </c>
      <c r="QSE1334" s="4" t="s">
        <v>2878</v>
      </c>
      <c r="QSF1334" s="4" t="s">
        <v>2878</v>
      </c>
      <c r="QSG1334" s="4" t="s">
        <v>2878</v>
      </c>
      <c r="QSH1334" s="4" t="s">
        <v>2878</v>
      </c>
      <c r="QSI1334" s="4" t="s">
        <v>2878</v>
      </c>
      <c r="QSJ1334" s="4" t="s">
        <v>2878</v>
      </c>
      <c r="QSK1334" s="4" t="s">
        <v>2878</v>
      </c>
      <c r="QSL1334" s="4" t="s">
        <v>2878</v>
      </c>
      <c r="QSM1334" s="4" t="s">
        <v>2878</v>
      </c>
      <c r="QSN1334" s="4" t="s">
        <v>2878</v>
      </c>
      <c r="QSO1334" s="4" t="s">
        <v>2878</v>
      </c>
      <c r="QSP1334" s="4" t="s">
        <v>2878</v>
      </c>
      <c r="QSQ1334" s="4" t="s">
        <v>2878</v>
      </c>
      <c r="QSR1334" s="4" t="s">
        <v>2878</v>
      </c>
      <c r="QSS1334" s="4" t="s">
        <v>2878</v>
      </c>
      <c r="QST1334" s="4" t="s">
        <v>2878</v>
      </c>
      <c r="QSU1334" s="4" t="s">
        <v>2878</v>
      </c>
      <c r="QSV1334" s="4" t="s">
        <v>2878</v>
      </c>
      <c r="QSW1334" s="4" t="s">
        <v>2878</v>
      </c>
      <c r="QSX1334" s="4" t="s">
        <v>2878</v>
      </c>
      <c r="QSY1334" s="4" t="s">
        <v>2878</v>
      </c>
      <c r="QSZ1334" s="4" t="s">
        <v>2878</v>
      </c>
      <c r="QTA1334" s="4" t="s">
        <v>2878</v>
      </c>
      <c r="QTB1334" s="4" t="s">
        <v>2878</v>
      </c>
      <c r="QTC1334" s="4" t="s">
        <v>2878</v>
      </c>
      <c r="QTD1334" s="4" t="s">
        <v>2878</v>
      </c>
      <c r="QTE1334" s="4" t="s">
        <v>2878</v>
      </c>
      <c r="QTF1334" s="4" t="s">
        <v>2878</v>
      </c>
      <c r="QTG1334" s="4" t="s">
        <v>2878</v>
      </c>
      <c r="QTH1334" s="4" t="s">
        <v>2878</v>
      </c>
      <c r="QTI1334" s="4" t="s">
        <v>2878</v>
      </c>
      <c r="QTJ1334" s="4" t="s">
        <v>2878</v>
      </c>
      <c r="QTK1334" s="4" t="s">
        <v>2878</v>
      </c>
      <c r="QTL1334" s="4" t="s">
        <v>2878</v>
      </c>
      <c r="QTM1334" s="4" t="s">
        <v>2878</v>
      </c>
      <c r="QTN1334" s="4" t="s">
        <v>2878</v>
      </c>
      <c r="QTO1334" s="4" t="s">
        <v>2878</v>
      </c>
      <c r="QTP1334" s="4" t="s">
        <v>2878</v>
      </c>
      <c r="QTQ1334" s="4" t="s">
        <v>2878</v>
      </c>
      <c r="QTR1334" s="4" t="s">
        <v>2878</v>
      </c>
      <c r="QTS1334" s="4" t="s">
        <v>2878</v>
      </c>
      <c r="QTT1334" s="4" t="s">
        <v>2878</v>
      </c>
      <c r="QTU1334" s="4" t="s">
        <v>2878</v>
      </c>
      <c r="QTV1334" s="4" t="s">
        <v>2878</v>
      </c>
      <c r="QTW1334" s="4" t="s">
        <v>2878</v>
      </c>
      <c r="QTX1334" s="4" t="s">
        <v>2878</v>
      </c>
      <c r="QTY1334" s="4" t="s">
        <v>2878</v>
      </c>
      <c r="QTZ1334" s="4" t="s">
        <v>2878</v>
      </c>
      <c r="QUA1334" s="4" t="s">
        <v>2878</v>
      </c>
      <c r="QUB1334" s="4" t="s">
        <v>2878</v>
      </c>
      <c r="QUC1334" s="4" t="s">
        <v>2878</v>
      </c>
      <c r="QUD1334" s="4" t="s">
        <v>2878</v>
      </c>
      <c r="QUE1334" s="4" t="s">
        <v>2878</v>
      </c>
      <c r="QUF1334" s="4" t="s">
        <v>2878</v>
      </c>
      <c r="QUG1334" s="4" t="s">
        <v>2878</v>
      </c>
      <c r="QUH1334" s="4" t="s">
        <v>2878</v>
      </c>
      <c r="QUI1334" s="4" t="s">
        <v>2878</v>
      </c>
      <c r="QUJ1334" s="4" t="s">
        <v>2878</v>
      </c>
      <c r="QUK1334" s="4" t="s">
        <v>2878</v>
      </c>
      <c r="QUL1334" s="4" t="s">
        <v>2878</v>
      </c>
      <c r="QUM1334" s="4" t="s">
        <v>2878</v>
      </c>
      <c r="QUN1334" s="4" t="s">
        <v>2878</v>
      </c>
      <c r="QUO1334" s="4" t="s">
        <v>2878</v>
      </c>
      <c r="QUP1334" s="4" t="s">
        <v>2878</v>
      </c>
      <c r="QUQ1334" s="4" t="s">
        <v>2878</v>
      </c>
      <c r="QUR1334" s="4" t="s">
        <v>2878</v>
      </c>
      <c r="QUS1334" s="4" t="s">
        <v>2878</v>
      </c>
      <c r="QUT1334" s="4" t="s">
        <v>2878</v>
      </c>
      <c r="QUU1334" s="4" t="s">
        <v>2878</v>
      </c>
      <c r="QUV1334" s="4" t="s">
        <v>2878</v>
      </c>
      <c r="QUW1334" s="4" t="s">
        <v>2878</v>
      </c>
      <c r="QUX1334" s="4" t="s">
        <v>2878</v>
      </c>
      <c r="QUY1334" s="4" t="s">
        <v>2878</v>
      </c>
      <c r="QUZ1334" s="4" t="s">
        <v>2878</v>
      </c>
      <c r="QVA1334" s="4" t="s">
        <v>2878</v>
      </c>
      <c r="QVB1334" s="4" t="s">
        <v>2878</v>
      </c>
      <c r="QVC1334" s="4" t="s">
        <v>2878</v>
      </c>
      <c r="QVD1334" s="4" t="s">
        <v>2878</v>
      </c>
      <c r="QVE1334" s="4" t="s">
        <v>2878</v>
      </c>
      <c r="QVF1334" s="4" t="s">
        <v>2878</v>
      </c>
      <c r="QVG1334" s="4" t="s">
        <v>2878</v>
      </c>
      <c r="QVH1334" s="4" t="s">
        <v>2878</v>
      </c>
      <c r="QVI1334" s="4" t="s">
        <v>2878</v>
      </c>
      <c r="QVJ1334" s="4" t="s">
        <v>2878</v>
      </c>
      <c r="QVK1334" s="4" t="s">
        <v>2878</v>
      </c>
      <c r="QVL1334" s="4" t="s">
        <v>2878</v>
      </c>
      <c r="QVM1334" s="4" t="s">
        <v>2878</v>
      </c>
      <c r="QVN1334" s="4" t="s">
        <v>2878</v>
      </c>
      <c r="QVO1334" s="4" t="s">
        <v>2878</v>
      </c>
      <c r="QVP1334" s="4" t="s">
        <v>2878</v>
      </c>
      <c r="QVQ1334" s="4" t="s">
        <v>2878</v>
      </c>
      <c r="QVR1334" s="4" t="s">
        <v>2878</v>
      </c>
      <c r="QVS1334" s="4" t="s">
        <v>2878</v>
      </c>
      <c r="QVT1334" s="4" t="s">
        <v>2878</v>
      </c>
      <c r="QVU1334" s="4" t="s">
        <v>2878</v>
      </c>
      <c r="QVV1334" s="4" t="s">
        <v>2878</v>
      </c>
      <c r="QVW1334" s="4" t="s">
        <v>2878</v>
      </c>
      <c r="QVX1334" s="4" t="s">
        <v>2878</v>
      </c>
      <c r="QVY1334" s="4" t="s">
        <v>2878</v>
      </c>
      <c r="QVZ1334" s="4" t="s">
        <v>2878</v>
      </c>
      <c r="QWA1334" s="4" t="s">
        <v>2878</v>
      </c>
      <c r="QWB1334" s="4" t="s">
        <v>2878</v>
      </c>
      <c r="QWC1334" s="4" t="s">
        <v>2878</v>
      </c>
      <c r="QWD1334" s="4" t="s">
        <v>2878</v>
      </c>
      <c r="QWE1334" s="4" t="s">
        <v>2878</v>
      </c>
      <c r="QWF1334" s="4" t="s">
        <v>2878</v>
      </c>
      <c r="QWG1334" s="4" t="s">
        <v>2878</v>
      </c>
      <c r="QWH1334" s="4" t="s">
        <v>2878</v>
      </c>
      <c r="QWI1334" s="4" t="s">
        <v>2878</v>
      </c>
      <c r="QWJ1334" s="4" t="s">
        <v>2878</v>
      </c>
      <c r="QWK1334" s="4" t="s">
        <v>2878</v>
      </c>
      <c r="QWL1334" s="4" t="s">
        <v>2878</v>
      </c>
      <c r="QWM1334" s="4" t="s">
        <v>2878</v>
      </c>
      <c r="QWN1334" s="4" t="s">
        <v>2878</v>
      </c>
      <c r="QWO1334" s="4" t="s">
        <v>2878</v>
      </c>
      <c r="QWP1334" s="4" t="s">
        <v>2878</v>
      </c>
      <c r="QWQ1334" s="4" t="s">
        <v>2878</v>
      </c>
      <c r="QWR1334" s="4" t="s">
        <v>2878</v>
      </c>
      <c r="QWS1334" s="4" t="s">
        <v>2878</v>
      </c>
      <c r="QWT1334" s="4" t="s">
        <v>2878</v>
      </c>
      <c r="QWU1334" s="4" t="s">
        <v>2878</v>
      </c>
      <c r="QWV1334" s="4" t="s">
        <v>2878</v>
      </c>
      <c r="QWW1334" s="4" t="s">
        <v>2878</v>
      </c>
      <c r="QWX1334" s="4" t="s">
        <v>2878</v>
      </c>
      <c r="QWY1334" s="4" t="s">
        <v>2878</v>
      </c>
      <c r="QWZ1334" s="4" t="s">
        <v>2878</v>
      </c>
      <c r="QXA1334" s="4" t="s">
        <v>2878</v>
      </c>
      <c r="QXB1334" s="4" t="s">
        <v>2878</v>
      </c>
      <c r="QXC1334" s="4" t="s">
        <v>2878</v>
      </c>
      <c r="QXD1334" s="4" t="s">
        <v>2878</v>
      </c>
      <c r="QXE1334" s="4" t="s">
        <v>2878</v>
      </c>
      <c r="QXF1334" s="4" t="s">
        <v>2878</v>
      </c>
      <c r="QXG1334" s="4" t="s">
        <v>2878</v>
      </c>
      <c r="QXH1334" s="4" t="s">
        <v>2878</v>
      </c>
      <c r="QXI1334" s="4" t="s">
        <v>2878</v>
      </c>
      <c r="QXJ1334" s="4" t="s">
        <v>2878</v>
      </c>
      <c r="QXK1334" s="4" t="s">
        <v>2878</v>
      </c>
      <c r="QXL1334" s="4" t="s">
        <v>2878</v>
      </c>
      <c r="QXM1334" s="4" t="s">
        <v>2878</v>
      </c>
      <c r="QXN1334" s="4" t="s">
        <v>2878</v>
      </c>
      <c r="QXO1334" s="4" t="s">
        <v>2878</v>
      </c>
      <c r="QXP1334" s="4" t="s">
        <v>2878</v>
      </c>
      <c r="QXQ1334" s="4" t="s">
        <v>2878</v>
      </c>
      <c r="QXR1334" s="4" t="s">
        <v>2878</v>
      </c>
      <c r="QXS1334" s="4" t="s">
        <v>2878</v>
      </c>
      <c r="QXT1334" s="4" t="s">
        <v>2878</v>
      </c>
      <c r="QXU1334" s="4" t="s">
        <v>2878</v>
      </c>
      <c r="QXV1334" s="4" t="s">
        <v>2878</v>
      </c>
      <c r="QXW1334" s="4" t="s">
        <v>2878</v>
      </c>
      <c r="QXX1334" s="4" t="s">
        <v>2878</v>
      </c>
      <c r="QXY1334" s="4" t="s">
        <v>2878</v>
      </c>
      <c r="QXZ1334" s="4" t="s">
        <v>2878</v>
      </c>
      <c r="QYA1334" s="4" t="s">
        <v>2878</v>
      </c>
      <c r="QYB1334" s="4" t="s">
        <v>2878</v>
      </c>
      <c r="QYC1334" s="4" t="s">
        <v>2878</v>
      </c>
      <c r="QYD1334" s="4" t="s">
        <v>2878</v>
      </c>
      <c r="QYE1334" s="4" t="s">
        <v>2878</v>
      </c>
      <c r="QYF1334" s="4" t="s">
        <v>2878</v>
      </c>
      <c r="QYG1334" s="4" t="s">
        <v>2878</v>
      </c>
      <c r="QYH1334" s="4" t="s">
        <v>2878</v>
      </c>
      <c r="QYI1334" s="4" t="s">
        <v>2878</v>
      </c>
      <c r="QYJ1334" s="4" t="s">
        <v>2878</v>
      </c>
      <c r="QYK1334" s="4" t="s">
        <v>2878</v>
      </c>
      <c r="QYL1334" s="4" t="s">
        <v>2878</v>
      </c>
      <c r="QYM1334" s="4" t="s">
        <v>2878</v>
      </c>
      <c r="QYN1334" s="4" t="s">
        <v>2878</v>
      </c>
      <c r="QYO1334" s="4" t="s">
        <v>2878</v>
      </c>
      <c r="QYP1334" s="4" t="s">
        <v>2878</v>
      </c>
      <c r="QYQ1334" s="4" t="s">
        <v>2878</v>
      </c>
      <c r="QYR1334" s="4" t="s">
        <v>2878</v>
      </c>
      <c r="QYS1334" s="4" t="s">
        <v>2878</v>
      </c>
      <c r="QYT1334" s="4" t="s">
        <v>2878</v>
      </c>
      <c r="QYU1334" s="4" t="s">
        <v>2878</v>
      </c>
      <c r="QYV1334" s="4" t="s">
        <v>2878</v>
      </c>
      <c r="QYW1334" s="4" t="s">
        <v>2878</v>
      </c>
      <c r="QYX1334" s="4" t="s">
        <v>2878</v>
      </c>
      <c r="QYY1334" s="4" t="s">
        <v>2878</v>
      </c>
      <c r="QYZ1334" s="4" t="s">
        <v>2878</v>
      </c>
      <c r="QZA1334" s="4" t="s">
        <v>2878</v>
      </c>
      <c r="QZB1334" s="4" t="s">
        <v>2878</v>
      </c>
      <c r="QZC1334" s="4" t="s">
        <v>2878</v>
      </c>
      <c r="QZD1334" s="4" t="s">
        <v>2878</v>
      </c>
      <c r="QZE1334" s="4" t="s">
        <v>2878</v>
      </c>
      <c r="QZF1334" s="4" t="s">
        <v>2878</v>
      </c>
      <c r="QZG1334" s="4" t="s">
        <v>2878</v>
      </c>
      <c r="QZH1334" s="4" t="s">
        <v>2878</v>
      </c>
      <c r="QZI1334" s="4" t="s">
        <v>2878</v>
      </c>
      <c r="QZJ1334" s="4" t="s">
        <v>2878</v>
      </c>
      <c r="QZK1334" s="4" t="s">
        <v>2878</v>
      </c>
      <c r="QZL1334" s="4" t="s">
        <v>2878</v>
      </c>
      <c r="QZM1334" s="4" t="s">
        <v>2878</v>
      </c>
      <c r="QZN1334" s="4" t="s">
        <v>2878</v>
      </c>
      <c r="QZO1334" s="4" t="s">
        <v>2878</v>
      </c>
      <c r="QZP1334" s="4" t="s">
        <v>2878</v>
      </c>
      <c r="QZQ1334" s="4" t="s">
        <v>2878</v>
      </c>
      <c r="QZR1334" s="4" t="s">
        <v>2878</v>
      </c>
      <c r="QZS1334" s="4" t="s">
        <v>2878</v>
      </c>
      <c r="QZT1334" s="4" t="s">
        <v>2878</v>
      </c>
      <c r="QZU1334" s="4" t="s">
        <v>2878</v>
      </c>
      <c r="QZV1334" s="4" t="s">
        <v>2878</v>
      </c>
      <c r="QZW1334" s="4" t="s">
        <v>2878</v>
      </c>
      <c r="QZX1334" s="4" t="s">
        <v>2878</v>
      </c>
      <c r="QZY1334" s="4" t="s">
        <v>2878</v>
      </c>
      <c r="QZZ1334" s="4" t="s">
        <v>2878</v>
      </c>
      <c r="RAA1334" s="4" t="s">
        <v>2878</v>
      </c>
      <c r="RAB1334" s="4" t="s">
        <v>2878</v>
      </c>
      <c r="RAC1334" s="4" t="s">
        <v>2878</v>
      </c>
      <c r="RAD1334" s="4" t="s">
        <v>2878</v>
      </c>
      <c r="RAE1334" s="4" t="s">
        <v>2878</v>
      </c>
      <c r="RAF1334" s="4" t="s">
        <v>2878</v>
      </c>
      <c r="RAG1334" s="4" t="s">
        <v>2878</v>
      </c>
      <c r="RAH1334" s="4" t="s">
        <v>2878</v>
      </c>
      <c r="RAI1334" s="4" t="s">
        <v>2878</v>
      </c>
      <c r="RAJ1334" s="4" t="s">
        <v>2878</v>
      </c>
      <c r="RAK1334" s="4" t="s">
        <v>2878</v>
      </c>
      <c r="RAL1334" s="4" t="s">
        <v>2878</v>
      </c>
      <c r="RAM1334" s="4" t="s">
        <v>2878</v>
      </c>
      <c r="RAN1334" s="4" t="s">
        <v>2878</v>
      </c>
      <c r="RAO1334" s="4" t="s">
        <v>2878</v>
      </c>
      <c r="RAP1334" s="4" t="s">
        <v>2878</v>
      </c>
      <c r="RAQ1334" s="4" t="s">
        <v>2878</v>
      </c>
      <c r="RAR1334" s="4" t="s">
        <v>2878</v>
      </c>
      <c r="RAS1334" s="4" t="s">
        <v>2878</v>
      </c>
      <c r="RAT1334" s="4" t="s">
        <v>2878</v>
      </c>
      <c r="RAU1334" s="4" t="s">
        <v>2878</v>
      </c>
      <c r="RAV1334" s="4" t="s">
        <v>2878</v>
      </c>
      <c r="RAW1334" s="4" t="s">
        <v>2878</v>
      </c>
      <c r="RAX1334" s="4" t="s">
        <v>2878</v>
      </c>
      <c r="RAY1334" s="4" t="s">
        <v>2878</v>
      </c>
      <c r="RAZ1334" s="4" t="s">
        <v>2878</v>
      </c>
      <c r="RBA1334" s="4" t="s">
        <v>2878</v>
      </c>
      <c r="RBB1334" s="4" t="s">
        <v>2878</v>
      </c>
      <c r="RBC1334" s="4" t="s">
        <v>2878</v>
      </c>
      <c r="RBD1334" s="4" t="s">
        <v>2878</v>
      </c>
      <c r="RBE1334" s="4" t="s">
        <v>2878</v>
      </c>
      <c r="RBF1334" s="4" t="s">
        <v>2878</v>
      </c>
      <c r="RBG1334" s="4" t="s">
        <v>2878</v>
      </c>
      <c r="RBH1334" s="4" t="s">
        <v>2878</v>
      </c>
      <c r="RBI1334" s="4" t="s">
        <v>2878</v>
      </c>
      <c r="RBJ1334" s="4" t="s">
        <v>2878</v>
      </c>
      <c r="RBK1334" s="4" t="s">
        <v>2878</v>
      </c>
      <c r="RBL1334" s="4" t="s">
        <v>2878</v>
      </c>
      <c r="RBM1334" s="4" t="s">
        <v>2878</v>
      </c>
      <c r="RBN1334" s="4" t="s">
        <v>2878</v>
      </c>
      <c r="RBO1334" s="4" t="s">
        <v>2878</v>
      </c>
      <c r="RBP1334" s="4" t="s">
        <v>2878</v>
      </c>
      <c r="RBQ1334" s="4" t="s">
        <v>2878</v>
      </c>
      <c r="RBR1334" s="4" t="s">
        <v>2878</v>
      </c>
      <c r="RBS1334" s="4" t="s">
        <v>2878</v>
      </c>
      <c r="RBT1334" s="4" t="s">
        <v>2878</v>
      </c>
      <c r="RBU1334" s="4" t="s">
        <v>2878</v>
      </c>
      <c r="RBV1334" s="4" t="s">
        <v>2878</v>
      </c>
      <c r="RBW1334" s="4" t="s">
        <v>2878</v>
      </c>
      <c r="RBX1334" s="4" t="s">
        <v>2878</v>
      </c>
      <c r="RBY1334" s="4" t="s">
        <v>2878</v>
      </c>
      <c r="RBZ1334" s="4" t="s">
        <v>2878</v>
      </c>
      <c r="RCA1334" s="4" t="s">
        <v>2878</v>
      </c>
      <c r="RCB1334" s="4" t="s">
        <v>2878</v>
      </c>
      <c r="RCC1334" s="4" t="s">
        <v>2878</v>
      </c>
      <c r="RCD1334" s="4" t="s">
        <v>2878</v>
      </c>
      <c r="RCE1334" s="4" t="s">
        <v>2878</v>
      </c>
      <c r="RCF1334" s="4" t="s">
        <v>2878</v>
      </c>
      <c r="RCG1334" s="4" t="s">
        <v>2878</v>
      </c>
      <c r="RCH1334" s="4" t="s">
        <v>2878</v>
      </c>
      <c r="RCI1334" s="4" t="s">
        <v>2878</v>
      </c>
      <c r="RCJ1334" s="4" t="s">
        <v>2878</v>
      </c>
      <c r="RCK1334" s="4" t="s">
        <v>2878</v>
      </c>
      <c r="RCL1334" s="4" t="s">
        <v>2878</v>
      </c>
      <c r="RCM1334" s="4" t="s">
        <v>2878</v>
      </c>
      <c r="RCN1334" s="4" t="s">
        <v>2878</v>
      </c>
      <c r="RCO1334" s="4" t="s">
        <v>2878</v>
      </c>
      <c r="RCP1334" s="4" t="s">
        <v>2878</v>
      </c>
      <c r="RCQ1334" s="4" t="s">
        <v>2878</v>
      </c>
      <c r="RCR1334" s="4" t="s">
        <v>2878</v>
      </c>
      <c r="RCS1334" s="4" t="s">
        <v>2878</v>
      </c>
      <c r="RCT1334" s="4" t="s">
        <v>2878</v>
      </c>
      <c r="RCU1334" s="4" t="s">
        <v>2878</v>
      </c>
      <c r="RCV1334" s="4" t="s">
        <v>2878</v>
      </c>
      <c r="RCW1334" s="4" t="s">
        <v>2878</v>
      </c>
      <c r="RCX1334" s="4" t="s">
        <v>2878</v>
      </c>
      <c r="RCY1334" s="4" t="s">
        <v>2878</v>
      </c>
      <c r="RCZ1334" s="4" t="s">
        <v>2878</v>
      </c>
      <c r="RDA1334" s="4" t="s">
        <v>2878</v>
      </c>
      <c r="RDB1334" s="4" t="s">
        <v>2878</v>
      </c>
      <c r="RDC1334" s="4" t="s">
        <v>2878</v>
      </c>
      <c r="RDD1334" s="4" t="s">
        <v>2878</v>
      </c>
      <c r="RDE1334" s="4" t="s">
        <v>2878</v>
      </c>
      <c r="RDF1334" s="4" t="s">
        <v>2878</v>
      </c>
      <c r="RDG1334" s="4" t="s">
        <v>2878</v>
      </c>
      <c r="RDH1334" s="4" t="s">
        <v>2878</v>
      </c>
      <c r="RDI1334" s="4" t="s">
        <v>2878</v>
      </c>
      <c r="RDJ1334" s="4" t="s">
        <v>2878</v>
      </c>
      <c r="RDK1334" s="4" t="s">
        <v>2878</v>
      </c>
      <c r="RDL1334" s="4" t="s">
        <v>2878</v>
      </c>
      <c r="RDM1334" s="4" t="s">
        <v>2878</v>
      </c>
      <c r="RDN1334" s="4" t="s">
        <v>2878</v>
      </c>
      <c r="RDO1334" s="4" t="s">
        <v>2878</v>
      </c>
      <c r="RDP1334" s="4" t="s">
        <v>2878</v>
      </c>
      <c r="RDQ1334" s="4" t="s">
        <v>2878</v>
      </c>
      <c r="RDR1334" s="4" t="s">
        <v>2878</v>
      </c>
      <c r="RDS1334" s="4" t="s">
        <v>2878</v>
      </c>
      <c r="RDT1334" s="4" t="s">
        <v>2878</v>
      </c>
      <c r="RDU1334" s="4" t="s">
        <v>2878</v>
      </c>
      <c r="RDV1334" s="4" t="s">
        <v>2878</v>
      </c>
      <c r="RDW1334" s="4" t="s">
        <v>2878</v>
      </c>
      <c r="RDX1334" s="4" t="s">
        <v>2878</v>
      </c>
      <c r="RDY1334" s="4" t="s">
        <v>2878</v>
      </c>
      <c r="RDZ1334" s="4" t="s">
        <v>2878</v>
      </c>
      <c r="REA1334" s="4" t="s">
        <v>2878</v>
      </c>
      <c r="REB1334" s="4" t="s">
        <v>2878</v>
      </c>
      <c r="REC1334" s="4" t="s">
        <v>2878</v>
      </c>
      <c r="RED1334" s="4" t="s">
        <v>2878</v>
      </c>
      <c r="REE1334" s="4" t="s">
        <v>2878</v>
      </c>
      <c r="REF1334" s="4" t="s">
        <v>2878</v>
      </c>
      <c r="REG1334" s="4" t="s">
        <v>2878</v>
      </c>
      <c r="REH1334" s="4" t="s">
        <v>2878</v>
      </c>
      <c r="REI1334" s="4" t="s">
        <v>2878</v>
      </c>
      <c r="REJ1334" s="4" t="s">
        <v>2878</v>
      </c>
      <c r="REK1334" s="4" t="s">
        <v>2878</v>
      </c>
      <c r="REL1334" s="4" t="s">
        <v>2878</v>
      </c>
      <c r="REM1334" s="4" t="s">
        <v>2878</v>
      </c>
      <c r="REN1334" s="4" t="s">
        <v>2878</v>
      </c>
      <c r="REO1334" s="4" t="s">
        <v>2878</v>
      </c>
      <c r="REP1334" s="4" t="s">
        <v>2878</v>
      </c>
      <c r="REQ1334" s="4" t="s">
        <v>2878</v>
      </c>
      <c r="RER1334" s="4" t="s">
        <v>2878</v>
      </c>
      <c r="RES1334" s="4" t="s">
        <v>2878</v>
      </c>
      <c r="RET1334" s="4" t="s">
        <v>2878</v>
      </c>
      <c r="REU1334" s="4" t="s">
        <v>2878</v>
      </c>
      <c r="REV1334" s="4" t="s">
        <v>2878</v>
      </c>
      <c r="REW1334" s="4" t="s">
        <v>2878</v>
      </c>
      <c r="REX1334" s="4" t="s">
        <v>2878</v>
      </c>
      <c r="REY1334" s="4" t="s">
        <v>2878</v>
      </c>
      <c r="REZ1334" s="4" t="s">
        <v>2878</v>
      </c>
      <c r="RFA1334" s="4" t="s">
        <v>2878</v>
      </c>
      <c r="RFB1334" s="4" t="s">
        <v>2878</v>
      </c>
      <c r="RFC1334" s="4" t="s">
        <v>2878</v>
      </c>
      <c r="RFD1334" s="4" t="s">
        <v>2878</v>
      </c>
      <c r="RFE1334" s="4" t="s">
        <v>2878</v>
      </c>
      <c r="RFF1334" s="4" t="s">
        <v>2878</v>
      </c>
      <c r="RFG1334" s="4" t="s">
        <v>2878</v>
      </c>
      <c r="RFH1334" s="4" t="s">
        <v>2878</v>
      </c>
      <c r="RFI1334" s="4" t="s">
        <v>2878</v>
      </c>
      <c r="RFJ1334" s="4" t="s">
        <v>2878</v>
      </c>
      <c r="RFK1334" s="4" t="s">
        <v>2878</v>
      </c>
      <c r="RFL1334" s="4" t="s">
        <v>2878</v>
      </c>
      <c r="RFM1334" s="4" t="s">
        <v>2878</v>
      </c>
      <c r="RFN1334" s="4" t="s">
        <v>2878</v>
      </c>
      <c r="RFO1334" s="4" t="s">
        <v>2878</v>
      </c>
      <c r="RFP1334" s="4" t="s">
        <v>2878</v>
      </c>
      <c r="RFQ1334" s="4" t="s">
        <v>2878</v>
      </c>
      <c r="RFR1334" s="4" t="s">
        <v>2878</v>
      </c>
      <c r="RFS1334" s="4" t="s">
        <v>2878</v>
      </c>
      <c r="RFT1334" s="4" t="s">
        <v>2878</v>
      </c>
      <c r="RFU1334" s="4" t="s">
        <v>2878</v>
      </c>
      <c r="RFV1334" s="4" t="s">
        <v>2878</v>
      </c>
      <c r="RFW1334" s="4" t="s">
        <v>2878</v>
      </c>
      <c r="RFX1334" s="4" t="s">
        <v>2878</v>
      </c>
      <c r="RFY1334" s="4" t="s">
        <v>2878</v>
      </c>
      <c r="RFZ1334" s="4" t="s">
        <v>2878</v>
      </c>
      <c r="RGA1334" s="4" t="s">
        <v>2878</v>
      </c>
      <c r="RGB1334" s="4" t="s">
        <v>2878</v>
      </c>
      <c r="RGC1334" s="4" t="s">
        <v>2878</v>
      </c>
      <c r="RGD1334" s="4" t="s">
        <v>2878</v>
      </c>
      <c r="RGE1334" s="4" t="s">
        <v>2878</v>
      </c>
      <c r="RGF1334" s="4" t="s">
        <v>2878</v>
      </c>
      <c r="RGG1334" s="4" t="s">
        <v>2878</v>
      </c>
      <c r="RGH1334" s="4" t="s">
        <v>2878</v>
      </c>
      <c r="RGI1334" s="4" t="s">
        <v>2878</v>
      </c>
      <c r="RGJ1334" s="4" t="s">
        <v>2878</v>
      </c>
      <c r="RGK1334" s="4" t="s">
        <v>2878</v>
      </c>
      <c r="RGL1334" s="4" t="s">
        <v>2878</v>
      </c>
      <c r="RGM1334" s="4" t="s">
        <v>2878</v>
      </c>
      <c r="RGN1334" s="4" t="s">
        <v>2878</v>
      </c>
      <c r="RGO1334" s="4" t="s">
        <v>2878</v>
      </c>
      <c r="RGP1334" s="4" t="s">
        <v>2878</v>
      </c>
      <c r="RGQ1334" s="4" t="s">
        <v>2878</v>
      </c>
      <c r="RGR1334" s="4" t="s">
        <v>2878</v>
      </c>
      <c r="RGS1334" s="4" t="s">
        <v>2878</v>
      </c>
      <c r="RGT1334" s="4" t="s">
        <v>2878</v>
      </c>
      <c r="RGU1334" s="4" t="s">
        <v>2878</v>
      </c>
      <c r="RGV1334" s="4" t="s">
        <v>2878</v>
      </c>
      <c r="RGW1334" s="4" t="s">
        <v>2878</v>
      </c>
      <c r="RGX1334" s="4" t="s">
        <v>2878</v>
      </c>
      <c r="RGY1334" s="4" t="s">
        <v>2878</v>
      </c>
      <c r="RGZ1334" s="4" t="s">
        <v>2878</v>
      </c>
      <c r="RHA1334" s="4" t="s">
        <v>2878</v>
      </c>
      <c r="RHB1334" s="4" t="s">
        <v>2878</v>
      </c>
      <c r="RHC1334" s="4" t="s">
        <v>2878</v>
      </c>
      <c r="RHD1334" s="4" t="s">
        <v>2878</v>
      </c>
      <c r="RHE1334" s="4" t="s">
        <v>2878</v>
      </c>
      <c r="RHF1334" s="4" t="s">
        <v>2878</v>
      </c>
      <c r="RHG1334" s="4" t="s">
        <v>2878</v>
      </c>
      <c r="RHH1334" s="4" t="s">
        <v>2878</v>
      </c>
      <c r="RHI1334" s="4" t="s">
        <v>2878</v>
      </c>
      <c r="RHJ1334" s="4" t="s">
        <v>2878</v>
      </c>
      <c r="RHK1334" s="4" t="s">
        <v>2878</v>
      </c>
      <c r="RHL1334" s="4" t="s">
        <v>2878</v>
      </c>
      <c r="RHM1334" s="4" t="s">
        <v>2878</v>
      </c>
      <c r="RHN1334" s="4" t="s">
        <v>2878</v>
      </c>
      <c r="RHO1334" s="4" t="s">
        <v>2878</v>
      </c>
      <c r="RHP1334" s="4" t="s">
        <v>2878</v>
      </c>
      <c r="RHQ1334" s="4" t="s">
        <v>2878</v>
      </c>
      <c r="RHR1334" s="4" t="s">
        <v>2878</v>
      </c>
      <c r="RHS1334" s="4" t="s">
        <v>2878</v>
      </c>
      <c r="RHT1334" s="4" t="s">
        <v>2878</v>
      </c>
      <c r="RHU1334" s="4" t="s">
        <v>2878</v>
      </c>
      <c r="RHV1334" s="4" t="s">
        <v>2878</v>
      </c>
      <c r="RHW1334" s="4" t="s">
        <v>2878</v>
      </c>
      <c r="RHX1334" s="4" t="s">
        <v>2878</v>
      </c>
      <c r="RHY1334" s="4" t="s">
        <v>2878</v>
      </c>
      <c r="RHZ1334" s="4" t="s">
        <v>2878</v>
      </c>
      <c r="RIA1334" s="4" t="s">
        <v>2878</v>
      </c>
      <c r="RIB1334" s="4" t="s">
        <v>2878</v>
      </c>
      <c r="RIC1334" s="4" t="s">
        <v>2878</v>
      </c>
      <c r="RID1334" s="4" t="s">
        <v>2878</v>
      </c>
      <c r="RIE1334" s="4" t="s">
        <v>2878</v>
      </c>
      <c r="RIF1334" s="4" t="s">
        <v>2878</v>
      </c>
      <c r="RIG1334" s="4" t="s">
        <v>2878</v>
      </c>
      <c r="RIH1334" s="4" t="s">
        <v>2878</v>
      </c>
      <c r="RII1334" s="4" t="s">
        <v>2878</v>
      </c>
      <c r="RIJ1334" s="4" t="s">
        <v>2878</v>
      </c>
      <c r="RIK1334" s="4" t="s">
        <v>2878</v>
      </c>
      <c r="RIL1334" s="4" t="s">
        <v>2878</v>
      </c>
      <c r="RIM1334" s="4" t="s">
        <v>2878</v>
      </c>
      <c r="RIN1334" s="4" t="s">
        <v>2878</v>
      </c>
      <c r="RIO1334" s="4" t="s">
        <v>2878</v>
      </c>
      <c r="RIP1334" s="4" t="s">
        <v>2878</v>
      </c>
      <c r="RIQ1334" s="4" t="s">
        <v>2878</v>
      </c>
      <c r="RIR1334" s="4" t="s">
        <v>2878</v>
      </c>
      <c r="RIS1334" s="4" t="s">
        <v>2878</v>
      </c>
      <c r="RIT1334" s="4" t="s">
        <v>2878</v>
      </c>
      <c r="RIU1334" s="4" t="s">
        <v>2878</v>
      </c>
      <c r="RIV1334" s="4" t="s">
        <v>2878</v>
      </c>
      <c r="RIW1334" s="4" t="s">
        <v>2878</v>
      </c>
      <c r="RIX1334" s="4" t="s">
        <v>2878</v>
      </c>
      <c r="RIY1334" s="4" t="s">
        <v>2878</v>
      </c>
      <c r="RIZ1334" s="4" t="s">
        <v>2878</v>
      </c>
      <c r="RJA1334" s="4" t="s">
        <v>2878</v>
      </c>
      <c r="RJB1334" s="4" t="s">
        <v>2878</v>
      </c>
      <c r="RJC1334" s="4" t="s">
        <v>2878</v>
      </c>
      <c r="RJD1334" s="4" t="s">
        <v>2878</v>
      </c>
      <c r="RJE1334" s="4" t="s">
        <v>2878</v>
      </c>
      <c r="RJF1334" s="4" t="s">
        <v>2878</v>
      </c>
      <c r="RJG1334" s="4" t="s">
        <v>2878</v>
      </c>
      <c r="RJH1334" s="4" t="s">
        <v>2878</v>
      </c>
      <c r="RJI1334" s="4" t="s">
        <v>2878</v>
      </c>
      <c r="RJJ1334" s="4" t="s">
        <v>2878</v>
      </c>
      <c r="RJK1334" s="4" t="s">
        <v>2878</v>
      </c>
      <c r="RJL1334" s="4" t="s">
        <v>2878</v>
      </c>
      <c r="RJM1334" s="4" t="s">
        <v>2878</v>
      </c>
      <c r="RJN1334" s="4" t="s">
        <v>2878</v>
      </c>
      <c r="RJO1334" s="4" t="s">
        <v>2878</v>
      </c>
      <c r="RJP1334" s="4" t="s">
        <v>2878</v>
      </c>
      <c r="RJQ1334" s="4" t="s">
        <v>2878</v>
      </c>
      <c r="RJR1334" s="4" t="s">
        <v>2878</v>
      </c>
      <c r="RJS1334" s="4" t="s">
        <v>2878</v>
      </c>
      <c r="RJT1334" s="4" t="s">
        <v>2878</v>
      </c>
      <c r="RJU1334" s="4" t="s">
        <v>2878</v>
      </c>
      <c r="RJV1334" s="4" t="s">
        <v>2878</v>
      </c>
      <c r="RJW1334" s="4" t="s">
        <v>2878</v>
      </c>
      <c r="RJX1334" s="4" t="s">
        <v>2878</v>
      </c>
      <c r="RJY1334" s="4" t="s">
        <v>2878</v>
      </c>
      <c r="RJZ1334" s="4" t="s">
        <v>2878</v>
      </c>
      <c r="RKA1334" s="4" t="s">
        <v>2878</v>
      </c>
      <c r="RKB1334" s="4" t="s">
        <v>2878</v>
      </c>
      <c r="RKC1334" s="4" t="s">
        <v>2878</v>
      </c>
      <c r="RKD1334" s="4" t="s">
        <v>2878</v>
      </c>
      <c r="RKE1334" s="4" t="s">
        <v>2878</v>
      </c>
      <c r="RKF1334" s="4" t="s">
        <v>2878</v>
      </c>
      <c r="RKG1334" s="4" t="s">
        <v>2878</v>
      </c>
      <c r="RKH1334" s="4" t="s">
        <v>2878</v>
      </c>
      <c r="RKI1334" s="4" t="s">
        <v>2878</v>
      </c>
      <c r="RKJ1334" s="4" t="s">
        <v>2878</v>
      </c>
      <c r="RKK1334" s="4" t="s">
        <v>2878</v>
      </c>
      <c r="RKL1334" s="4" t="s">
        <v>2878</v>
      </c>
      <c r="RKM1334" s="4" t="s">
        <v>2878</v>
      </c>
      <c r="RKN1334" s="4" t="s">
        <v>2878</v>
      </c>
      <c r="RKO1334" s="4" t="s">
        <v>2878</v>
      </c>
      <c r="RKP1334" s="4" t="s">
        <v>2878</v>
      </c>
      <c r="RKQ1334" s="4" t="s">
        <v>2878</v>
      </c>
      <c r="RKR1334" s="4" t="s">
        <v>2878</v>
      </c>
      <c r="RKS1334" s="4" t="s">
        <v>2878</v>
      </c>
      <c r="RKT1334" s="4" t="s">
        <v>2878</v>
      </c>
      <c r="RKU1334" s="4" t="s">
        <v>2878</v>
      </c>
      <c r="RKV1334" s="4" t="s">
        <v>2878</v>
      </c>
      <c r="RKW1334" s="4" t="s">
        <v>2878</v>
      </c>
      <c r="RKX1334" s="4" t="s">
        <v>2878</v>
      </c>
      <c r="RKY1334" s="4" t="s">
        <v>2878</v>
      </c>
      <c r="RKZ1334" s="4" t="s">
        <v>2878</v>
      </c>
      <c r="RLA1334" s="4" t="s">
        <v>2878</v>
      </c>
      <c r="RLB1334" s="4" t="s">
        <v>2878</v>
      </c>
      <c r="RLC1334" s="4" t="s">
        <v>2878</v>
      </c>
      <c r="RLD1334" s="4" t="s">
        <v>2878</v>
      </c>
      <c r="RLE1334" s="4" t="s">
        <v>2878</v>
      </c>
      <c r="RLF1334" s="4" t="s">
        <v>2878</v>
      </c>
      <c r="RLG1334" s="4" t="s">
        <v>2878</v>
      </c>
      <c r="RLH1334" s="4" t="s">
        <v>2878</v>
      </c>
      <c r="RLI1334" s="4" t="s">
        <v>2878</v>
      </c>
      <c r="RLJ1334" s="4" t="s">
        <v>2878</v>
      </c>
      <c r="RLK1334" s="4" t="s">
        <v>2878</v>
      </c>
      <c r="RLL1334" s="4" t="s">
        <v>2878</v>
      </c>
      <c r="RLM1334" s="4" t="s">
        <v>2878</v>
      </c>
      <c r="RLN1334" s="4" t="s">
        <v>2878</v>
      </c>
      <c r="RLO1334" s="4" t="s">
        <v>2878</v>
      </c>
      <c r="RLP1334" s="4" t="s">
        <v>2878</v>
      </c>
      <c r="RLQ1334" s="4" t="s">
        <v>2878</v>
      </c>
      <c r="RLR1334" s="4" t="s">
        <v>2878</v>
      </c>
      <c r="RLS1334" s="4" t="s">
        <v>2878</v>
      </c>
      <c r="RLT1334" s="4" t="s">
        <v>2878</v>
      </c>
      <c r="RLU1334" s="4" t="s">
        <v>2878</v>
      </c>
      <c r="RLV1334" s="4" t="s">
        <v>2878</v>
      </c>
      <c r="RLW1334" s="4" t="s">
        <v>2878</v>
      </c>
      <c r="RLX1334" s="4" t="s">
        <v>2878</v>
      </c>
      <c r="RLY1334" s="4" t="s">
        <v>2878</v>
      </c>
      <c r="RLZ1334" s="4" t="s">
        <v>2878</v>
      </c>
      <c r="RMA1334" s="4" t="s">
        <v>2878</v>
      </c>
      <c r="RMB1334" s="4" t="s">
        <v>2878</v>
      </c>
      <c r="RMC1334" s="4" t="s">
        <v>2878</v>
      </c>
      <c r="RMD1334" s="4" t="s">
        <v>2878</v>
      </c>
      <c r="RME1334" s="4" t="s">
        <v>2878</v>
      </c>
      <c r="RMF1334" s="4" t="s">
        <v>2878</v>
      </c>
      <c r="RMG1334" s="4" t="s">
        <v>2878</v>
      </c>
      <c r="RMH1334" s="4" t="s">
        <v>2878</v>
      </c>
      <c r="RMI1334" s="4" t="s">
        <v>2878</v>
      </c>
      <c r="RMJ1334" s="4" t="s">
        <v>2878</v>
      </c>
      <c r="RMK1334" s="4" t="s">
        <v>2878</v>
      </c>
      <c r="RML1334" s="4" t="s">
        <v>2878</v>
      </c>
      <c r="RMM1334" s="4" t="s">
        <v>2878</v>
      </c>
      <c r="RMN1334" s="4" t="s">
        <v>2878</v>
      </c>
      <c r="RMO1334" s="4" t="s">
        <v>2878</v>
      </c>
      <c r="RMP1334" s="4" t="s">
        <v>2878</v>
      </c>
      <c r="RMQ1334" s="4" t="s">
        <v>2878</v>
      </c>
      <c r="RMR1334" s="4" t="s">
        <v>2878</v>
      </c>
      <c r="RMS1334" s="4" t="s">
        <v>2878</v>
      </c>
      <c r="RMT1334" s="4" t="s">
        <v>2878</v>
      </c>
      <c r="RMU1334" s="4" t="s">
        <v>2878</v>
      </c>
      <c r="RMV1334" s="4" t="s">
        <v>2878</v>
      </c>
      <c r="RMW1334" s="4" t="s">
        <v>2878</v>
      </c>
      <c r="RMX1334" s="4" t="s">
        <v>2878</v>
      </c>
      <c r="RMY1334" s="4" t="s">
        <v>2878</v>
      </c>
      <c r="RMZ1334" s="4" t="s">
        <v>2878</v>
      </c>
      <c r="RNA1334" s="4" t="s">
        <v>2878</v>
      </c>
      <c r="RNB1334" s="4" t="s">
        <v>2878</v>
      </c>
      <c r="RNC1334" s="4" t="s">
        <v>2878</v>
      </c>
      <c r="RND1334" s="4" t="s">
        <v>2878</v>
      </c>
      <c r="RNE1334" s="4" t="s">
        <v>2878</v>
      </c>
      <c r="RNF1334" s="4" t="s">
        <v>2878</v>
      </c>
      <c r="RNG1334" s="4" t="s">
        <v>2878</v>
      </c>
      <c r="RNH1334" s="4" t="s">
        <v>2878</v>
      </c>
      <c r="RNI1334" s="4" t="s">
        <v>2878</v>
      </c>
      <c r="RNJ1334" s="4" t="s">
        <v>2878</v>
      </c>
      <c r="RNK1334" s="4" t="s">
        <v>2878</v>
      </c>
      <c r="RNL1334" s="4" t="s">
        <v>2878</v>
      </c>
      <c r="RNM1334" s="4" t="s">
        <v>2878</v>
      </c>
      <c r="RNN1334" s="4" t="s">
        <v>2878</v>
      </c>
      <c r="RNO1334" s="4" t="s">
        <v>2878</v>
      </c>
      <c r="RNP1334" s="4" t="s">
        <v>2878</v>
      </c>
      <c r="RNQ1334" s="4" t="s">
        <v>2878</v>
      </c>
      <c r="RNR1334" s="4" t="s">
        <v>2878</v>
      </c>
      <c r="RNS1334" s="4" t="s">
        <v>2878</v>
      </c>
      <c r="RNT1334" s="4" t="s">
        <v>2878</v>
      </c>
      <c r="RNU1334" s="4" t="s">
        <v>2878</v>
      </c>
      <c r="RNV1334" s="4" t="s">
        <v>2878</v>
      </c>
      <c r="RNW1334" s="4" t="s">
        <v>2878</v>
      </c>
      <c r="RNX1334" s="4" t="s">
        <v>2878</v>
      </c>
      <c r="RNY1334" s="4" t="s">
        <v>2878</v>
      </c>
      <c r="RNZ1334" s="4" t="s">
        <v>2878</v>
      </c>
      <c r="ROA1334" s="4" t="s">
        <v>2878</v>
      </c>
      <c r="ROB1334" s="4" t="s">
        <v>2878</v>
      </c>
      <c r="ROC1334" s="4" t="s">
        <v>2878</v>
      </c>
      <c r="ROD1334" s="4" t="s">
        <v>2878</v>
      </c>
      <c r="ROE1334" s="4" t="s">
        <v>2878</v>
      </c>
      <c r="ROF1334" s="4" t="s">
        <v>2878</v>
      </c>
      <c r="ROG1334" s="4" t="s">
        <v>2878</v>
      </c>
      <c r="ROH1334" s="4" t="s">
        <v>2878</v>
      </c>
      <c r="ROI1334" s="4" t="s">
        <v>2878</v>
      </c>
      <c r="ROJ1334" s="4" t="s">
        <v>2878</v>
      </c>
      <c r="ROK1334" s="4" t="s">
        <v>2878</v>
      </c>
      <c r="ROL1334" s="4" t="s">
        <v>2878</v>
      </c>
      <c r="ROM1334" s="4" t="s">
        <v>2878</v>
      </c>
      <c r="RON1334" s="4" t="s">
        <v>2878</v>
      </c>
      <c r="ROO1334" s="4" t="s">
        <v>2878</v>
      </c>
      <c r="ROP1334" s="4" t="s">
        <v>2878</v>
      </c>
      <c r="ROQ1334" s="4" t="s">
        <v>2878</v>
      </c>
      <c r="ROR1334" s="4" t="s">
        <v>2878</v>
      </c>
      <c r="ROS1334" s="4" t="s">
        <v>2878</v>
      </c>
      <c r="ROT1334" s="4" t="s">
        <v>2878</v>
      </c>
      <c r="ROU1334" s="4" t="s">
        <v>2878</v>
      </c>
      <c r="ROV1334" s="4" t="s">
        <v>2878</v>
      </c>
      <c r="ROW1334" s="4" t="s">
        <v>2878</v>
      </c>
      <c r="ROX1334" s="4" t="s">
        <v>2878</v>
      </c>
      <c r="ROY1334" s="4" t="s">
        <v>2878</v>
      </c>
      <c r="ROZ1334" s="4" t="s">
        <v>2878</v>
      </c>
      <c r="RPA1334" s="4" t="s">
        <v>2878</v>
      </c>
      <c r="RPB1334" s="4" t="s">
        <v>2878</v>
      </c>
      <c r="RPC1334" s="4" t="s">
        <v>2878</v>
      </c>
      <c r="RPD1334" s="4" t="s">
        <v>2878</v>
      </c>
      <c r="RPE1334" s="4" t="s">
        <v>2878</v>
      </c>
      <c r="RPF1334" s="4" t="s">
        <v>2878</v>
      </c>
      <c r="RPG1334" s="4" t="s">
        <v>2878</v>
      </c>
      <c r="RPH1334" s="4" t="s">
        <v>2878</v>
      </c>
      <c r="RPI1334" s="4" t="s">
        <v>2878</v>
      </c>
      <c r="RPJ1334" s="4" t="s">
        <v>2878</v>
      </c>
      <c r="RPK1334" s="4" t="s">
        <v>2878</v>
      </c>
      <c r="RPL1334" s="4" t="s">
        <v>2878</v>
      </c>
      <c r="RPM1334" s="4" t="s">
        <v>2878</v>
      </c>
      <c r="RPN1334" s="4" t="s">
        <v>2878</v>
      </c>
      <c r="RPO1334" s="4" t="s">
        <v>2878</v>
      </c>
      <c r="RPP1334" s="4" t="s">
        <v>2878</v>
      </c>
      <c r="RPQ1334" s="4" t="s">
        <v>2878</v>
      </c>
      <c r="RPR1334" s="4" t="s">
        <v>2878</v>
      </c>
      <c r="RPS1334" s="4" t="s">
        <v>2878</v>
      </c>
      <c r="RPT1334" s="4" t="s">
        <v>2878</v>
      </c>
      <c r="RPU1334" s="4" t="s">
        <v>2878</v>
      </c>
      <c r="RPV1334" s="4" t="s">
        <v>2878</v>
      </c>
      <c r="RPW1334" s="4" t="s">
        <v>2878</v>
      </c>
      <c r="RPX1334" s="4" t="s">
        <v>2878</v>
      </c>
      <c r="RPY1334" s="4" t="s">
        <v>2878</v>
      </c>
      <c r="RPZ1334" s="4" t="s">
        <v>2878</v>
      </c>
      <c r="RQA1334" s="4" t="s">
        <v>2878</v>
      </c>
      <c r="RQB1334" s="4" t="s">
        <v>2878</v>
      </c>
      <c r="RQC1334" s="4" t="s">
        <v>2878</v>
      </c>
      <c r="RQD1334" s="4" t="s">
        <v>2878</v>
      </c>
      <c r="RQE1334" s="4" t="s">
        <v>2878</v>
      </c>
      <c r="RQF1334" s="4" t="s">
        <v>2878</v>
      </c>
      <c r="RQG1334" s="4" t="s">
        <v>2878</v>
      </c>
      <c r="RQH1334" s="4" t="s">
        <v>2878</v>
      </c>
      <c r="RQI1334" s="4" t="s">
        <v>2878</v>
      </c>
      <c r="RQJ1334" s="4" t="s">
        <v>2878</v>
      </c>
      <c r="RQK1334" s="4" t="s">
        <v>2878</v>
      </c>
      <c r="RQL1334" s="4" t="s">
        <v>2878</v>
      </c>
      <c r="RQM1334" s="4" t="s">
        <v>2878</v>
      </c>
      <c r="RQN1334" s="4" t="s">
        <v>2878</v>
      </c>
      <c r="RQO1334" s="4" t="s">
        <v>2878</v>
      </c>
      <c r="RQP1334" s="4" t="s">
        <v>2878</v>
      </c>
      <c r="RQQ1334" s="4" t="s">
        <v>2878</v>
      </c>
      <c r="RQR1334" s="4" t="s">
        <v>2878</v>
      </c>
      <c r="RQS1334" s="4" t="s">
        <v>2878</v>
      </c>
      <c r="RQT1334" s="4" t="s">
        <v>2878</v>
      </c>
      <c r="RQU1334" s="4" t="s">
        <v>2878</v>
      </c>
      <c r="RQV1334" s="4" t="s">
        <v>2878</v>
      </c>
      <c r="RQW1334" s="4" t="s">
        <v>2878</v>
      </c>
      <c r="RQX1334" s="4" t="s">
        <v>2878</v>
      </c>
      <c r="RQY1334" s="4" t="s">
        <v>2878</v>
      </c>
      <c r="RQZ1334" s="4" t="s">
        <v>2878</v>
      </c>
      <c r="RRA1334" s="4" t="s">
        <v>2878</v>
      </c>
      <c r="RRB1334" s="4" t="s">
        <v>2878</v>
      </c>
      <c r="RRC1334" s="4" t="s">
        <v>2878</v>
      </c>
      <c r="RRD1334" s="4" t="s">
        <v>2878</v>
      </c>
      <c r="RRE1334" s="4" t="s">
        <v>2878</v>
      </c>
      <c r="RRF1334" s="4" t="s">
        <v>2878</v>
      </c>
      <c r="RRG1334" s="4" t="s">
        <v>2878</v>
      </c>
      <c r="RRH1334" s="4" t="s">
        <v>2878</v>
      </c>
      <c r="RRI1334" s="4" t="s">
        <v>2878</v>
      </c>
      <c r="RRJ1334" s="4" t="s">
        <v>2878</v>
      </c>
      <c r="RRK1334" s="4" t="s">
        <v>2878</v>
      </c>
      <c r="RRL1334" s="4" t="s">
        <v>2878</v>
      </c>
      <c r="RRM1334" s="4" t="s">
        <v>2878</v>
      </c>
      <c r="RRN1334" s="4" t="s">
        <v>2878</v>
      </c>
      <c r="RRO1334" s="4" t="s">
        <v>2878</v>
      </c>
      <c r="RRP1334" s="4" t="s">
        <v>2878</v>
      </c>
      <c r="RRQ1334" s="4" t="s">
        <v>2878</v>
      </c>
      <c r="RRR1334" s="4" t="s">
        <v>2878</v>
      </c>
      <c r="RRS1334" s="4" t="s">
        <v>2878</v>
      </c>
      <c r="RRT1334" s="4" t="s">
        <v>2878</v>
      </c>
      <c r="RRU1334" s="4" t="s">
        <v>2878</v>
      </c>
      <c r="RRV1334" s="4" t="s">
        <v>2878</v>
      </c>
      <c r="RRW1334" s="4" t="s">
        <v>2878</v>
      </c>
      <c r="RRX1334" s="4" t="s">
        <v>2878</v>
      </c>
      <c r="RRY1334" s="4" t="s">
        <v>2878</v>
      </c>
      <c r="RRZ1334" s="4" t="s">
        <v>2878</v>
      </c>
      <c r="RSA1334" s="4" t="s">
        <v>2878</v>
      </c>
      <c r="RSB1334" s="4" t="s">
        <v>2878</v>
      </c>
      <c r="RSC1334" s="4" t="s">
        <v>2878</v>
      </c>
      <c r="RSD1334" s="4" t="s">
        <v>2878</v>
      </c>
      <c r="RSE1334" s="4" t="s">
        <v>2878</v>
      </c>
      <c r="RSF1334" s="4" t="s">
        <v>2878</v>
      </c>
      <c r="RSG1334" s="4" t="s">
        <v>2878</v>
      </c>
      <c r="RSH1334" s="4" t="s">
        <v>2878</v>
      </c>
      <c r="RSI1334" s="4" t="s">
        <v>2878</v>
      </c>
      <c r="RSJ1334" s="4" t="s">
        <v>2878</v>
      </c>
      <c r="RSK1334" s="4" t="s">
        <v>2878</v>
      </c>
      <c r="RSL1334" s="4" t="s">
        <v>2878</v>
      </c>
      <c r="RSM1334" s="4" t="s">
        <v>2878</v>
      </c>
      <c r="RSN1334" s="4" t="s">
        <v>2878</v>
      </c>
      <c r="RSO1334" s="4" t="s">
        <v>2878</v>
      </c>
      <c r="RSP1334" s="4" t="s">
        <v>2878</v>
      </c>
      <c r="RSQ1334" s="4" t="s">
        <v>2878</v>
      </c>
      <c r="RSR1334" s="4" t="s">
        <v>2878</v>
      </c>
      <c r="RSS1334" s="4" t="s">
        <v>2878</v>
      </c>
      <c r="RST1334" s="4" t="s">
        <v>2878</v>
      </c>
      <c r="RSU1334" s="4" t="s">
        <v>2878</v>
      </c>
      <c r="RSV1334" s="4" t="s">
        <v>2878</v>
      </c>
      <c r="RSW1334" s="4" t="s">
        <v>2878</v>
      </c>
      <c r="RSX1334" s="4" t="s">
        <v>2878</v>
      </c>
      <c r="RSY1334" s="4" t="s">
        <v>2878</v>
      </c>
      <c r="RSZ1334" s="4" t="s">
        <v>2878</v>
      </c>
      <c r="RTA1334" s="4" t="s">
        <v>2878</v>
      </c>
      <c r="RTB1334" s="4" t="s">
        <v>2878</v>
      </c>
      <c r="RTC1334" s="4" t="s">
        <v>2878</v>
      </c>
      <c r="RTD1334" s="4" t="s">
        <v>2878</v>
      </c>
      <c r="RTE1334" s="4" t="s">
        <v>2878</v>
      </c>
      <c r="RTF1334" s="4" t="s">
        <v>2878</v>
      </c>
      <c r="RTG1334" s="4" t="s">
        <v>2878</v>
      </c>
      <c r="RTH1334" s="4" t="s">
        <v>2878</v>
      </c>
      <c r="RTI1334" s="4" t="s">
        <v>2878</v>
      </c>
      <c r="RTJ1334" s="4" t="s">
        <v>2878</v>
      </c>
      <c r="RTK1334" s="4" t="s">
        <v>2878</v>
      </c>
      <c r="RTL1334" s="4" t="s">
        <v>2878</v>
      </c>
      <c r="RTM1334" s="4" t="s">
        <v>2878</v>
      </c>
      <c r="RTN1334" s="4" t="s">
        <v>2878</v>
      </c>
      <c r="RTO1334" s="4" t="s">
        <v>2878</v>
      </c>
      <c r="RTP1334" s="4" t="s">
        <v>2878</v>
      </c>
      <c r="RTQ1334" s="4" t="s">
        <v>2878</v>
      </c>
      <c r="RTR1334" s="4" t="s">
        <v>2878</v>
      </c>
      <c r="RTS1334" s="4" t="s">
        <v>2878</v>
      </c>
      <c r="RTT1334" s="4" t="s">
        <v>2878</v>
      </c>
      <c r="RTU1334" s="4" t="s">
        <v>2878</v>
      </c>
      <c r="RTV1334" s="4" t="s">
        <v>2878</v>
      </c>
      <c r="RTW1334" s="4" t="s">
        <v>2878</v>
      </c>
      <c r="RTX1334" s="4" t="s">
        <v>2878</v>
      </c>
      <c r="RTY1334" s="4" t="s">
        <v>2878</v>
      </c>
      <c r="RTZ1334" s="4" t="s">
        <v>2878</v>
      </c>
      <c r="RUA1334" s="4" t="s">
        <v>2878</v>
      </c>
      <c r="RUB1334" s="4" t="s">
        <v>2878</v>
      </c>
      <c r="RUC1334" s="4" t="s">
        <v>2878</v>
      </c>
      <c r="RUD1334" s="4" t="s">
        <v>2878</v>
      </c>
      <c r="RUE1334" s="4" t="s">
        <v>2878</v>
      </c>
      <c r="RUF1334" s="4" t="s">
        <v>2878</v>
      </c>
      <c r="RUG1334" s="4" t="s">
        <v>2878</v>
      </c>
      <c r="RUH1334" s="4" t="s">
        <v>2878</v>
      </c>
      <c r="RUI1334" s="4" t="s">
        <v>2878</v>
      </c>
      <c r="RUJ1334" s="4" t="s">
        <v>2878</v>
      </c>
      <c r="RUK1334" s="4" t="s">
        <v>2878</v>
      </c>
      <c r="RUL1334" s="4" t="s">
        <v>2878</v>
      </c>
      <c r="RUM1334" s="4" t="s">
        <v>2878</v>
      </c>
      <c r="RUN1334" s="4" t="s">
        <v>2878</v>
      </c>
      <c r="RUO1334" s="4" t="s">
        <v>2878</v>
      </c>
      <c r="RUP1334" s="4" t="s">
        <v>2878</v>
      </c>
      <c r="RUQ1334" s="4" t="s">
        <v>2878</v>
      </c>
      <c r="RUR1334" s="4" t="s">
        <v>2878</v>
      </c>
      <c r="RUS1334" s="4" t="s">
        <v>2878</v>
      </c>
      <c r="RUT1334" s="4" t="s">
        <v>2878</v>
      </c>
      <c r="RUU1334" s="4" t="s">
        <v>2878</v>
      </c>
      <c r="RUV1334" s="4" t="s">
        <v>2878</v>
      </c>
      <c r="RUW1334" s="4" t="s">
        <v>2878</v>
      </c>
      <c r="RUX1334" s="4" t="s">
        <v>2878</v>
      </c>
      <c r="RUY1334" s="4" t="s">
        <v>2878</v>
      </c>
      <c r="RUZ1334" s="4" t="s">
        <v>2878</v>
      </c>
      <c r="RVA1334" s="4" t="s">
        <v>2878</v>
      </c>
      <c r="RVB1334" s="4" t="s">
        <v>2878</v>
      </c>
      <c r="RVC1334" s="4" t="s">
        <v>2878</v>
      </c>
      <c r="RVD1334" s="4" t="s">
        <v>2878</v>
      </c>
      <c r="RVE1334" s="4" t="s">
        <v>2878</v>
      </c>
      <c r="RVF1334" s="4" t="s">
        <v>2878</v>
      </c>
      <c r="RVG1334" s="4" t="s">
        <v>2878</v>
      </c>
      <c r="RVH1334" s="4" t="s">
        <v>2878</v>
      </c>
      <c r="RVI1334" s="4" t="s">
        <v>2878</v>
      </c>
      <c r="RVJ1334" s="4" t="s">
        <v>2878</v>
      </c>
      <c r="RVK1334" s="4" t="s">
        <v>2878</v>
      </c>
      <c r="RVL1334" s="4" t="s">
        <v>2878</v>
      </c>
      <c r="RVM1334" s="4" t="s">
        <v>2878</v>
      </c>
      <c r="RVN1334" s="4" t="s">
        <v>2878</v>
      </c>
      <c r="RVO1334" s="4" t="s">
        <v>2878</v>
      </c>
      <c r="RVP1334" s="4" t="s">
        <v>2878</v>
      </c>
      <c r="RVQ1334" s="4" t="s">
        <v>2878</v>
      </c>
      <c r="RVR1334" s="4" t="s">
        <v>2878</v>
      </c>
      <c r="RVS1334" s="4" t="s">
        <v>2878</v>
      </c>
      <c r="RVT1334" s="4" t="s">
        <v>2878</v>
      </c>
      <c r="RVU1334" s="4" t="s">
        <v>2878</v>
      </c>
      <c r="RVV1334" s="4" t="s">
        <v>2878</v>
      </c>
      <c r="RVW1334" s="4" t="s">
        <v>2878</v>
      </c>
      <c r="RVX1334" s="4" t="s">
        <v>2878</v>
      </c>
      <c r="RVY1334" s="4" t="s">
        <v>2878</v>
      </c>
      <c r="RVZ1334" s="4" t="s">
        <v>2878</v>
      </c>
      <c r="RWA1334" s="4" t="s">
        <v>2878</v>
      </c>
      <c r="RWB1334" s="4" t="s">
        <v>2878</v>
      </c>
      <c r="RWC1334" s="4" t="s">
        <v>2878</v>
      </c>
      <c r="RWD1334" s="4" t="s">
        <v>2878</v>
      </c>
      <c r="RWE1334" s="4" t="s">
        <v>2878</v>
      </c>
      <c r="RWF1334" s="4" t="s">
        <v>2878</v>
      </c>
      <c r="RWG1334" s="4" t="s">
        <v>2878</v>
      </c>
      <c r="RWH1334" s="4" t="s">
        <v>2878</v>
      </c>
      <c r="RWI1334" s="4" t="s">
        <v>2878</v>
      </c>
      <c r="RWJ1334" s="4" t="s">
        <v>2878</v>
      </c>
      <c r="RWK1334" s="4" t="s">
        <v>2878</v>
      </c>
      <c r="RWL1334" s="4" t="s">
        <v>2878</v>
      </c>
      <c r="RWM1334" s="4" t="s">
        <v>2878</v>
      </c>
      <c r="RWN1334" s="4" t="s">
        <v>2878</v>
      </c>
      <c r="RWO1334" s="4" t="s">
        <v>2878</v>
      </c>
      <c r="RWP1334" s="4" t="s">
        <v>2878</v>
      </c>
      <c r="RWQ1334" s="4" t="s">
        <v>2878</v>
      </c>
      <c r="RWR1334" s="4" t="s">
        <v>2878</v>
      </c>
      <c r="RWS1334" s="4" t="s">
        <v>2878</v>
      </c>
      <c r="RWT1334" s="4" t="s">
        <v>2878</v>
      </c>
      <c r="RWU1334" s="4" t="s">
        <v>2878</v>
      </c>
      <c r="RWV1334" s="4" t="s">
        <v>2878</v>
      </c>
      <c r="RWW1334" s="4" t="s">
        <v>2878</v>
      </c>
      <c r="RWX1334" s="4" t="s">
        <v>2878</v>
      </c>
      <c r="RWY1334" s="4" t="s">
        <v>2878</v>
      </c>
      <c r="RWZ1334" s="4" t="s">
        <v>2878</v>
      </c>
      <c r="RXA1334" s="4" t="s">
        <v>2878</v>
      </c>
      <c r="RXB1334" s="4" t="s">
        <v>2878</v>
      </c>
      <c r="RXC1334" s="4" t="s">
        <v>2878</v>
      </c>
      <c r="RXD1334" s="4" t="s">
        <v>2878</v>
      </c>
      <c r="RXE1334" s="4" t="s">
        <v>2878</v>
      </c>
      <c r="RXF1334" s="4" t="s">
        <v>2878</v>
      </c>
      <c r="RXG1334" s="4" t="s">
        <v>2878</v>
      </c>
      <c r="RXH1334" s="4" t="s">
        <v>2878</v>
      </c>
      <c r="RXI1334" s="4" t="s">
        <v>2878</v>
      </c>
      <c r="RXJ1334" s="4" t="s">
        <v>2878</v>
      </c>
      <c r="RXK1334" s="4" t="s">
        <v>2878</v>
      </c>
      <c r="RXL1334" s="4" t="s">
        <v>2878</v>
      </c>
      <c r="RXM1334" s="4" t="s">
        <v>2878</v>
      </c>
      <c r="RXN1334" s="4" t="s">
        <v>2878</v>
      </c>
      <c r="RXO1334" s="4" t="s">
        <v>2878</v>
      </c>
      <c r="RXP1334" s="4" t="s">
        <v>2878</v>
      </c>
      <c r="RXQ1334" s="4" t="s">
        <v>2878</v>
      </c>
      <c r="RXR1334" s="4" t="s">
        <v>2878</v>
      </c>
      <c r="RXS1334" s="4" t="s">
        <v>2878</v>
      </c>
      <c r="RXT1334" s="4" t="s">
        <v>2878</v>
      </c>
      <c r="RXU1334" s="4" t="s">
        <v>2878</v>
      </c>
      <c r="RXV1334" s="4" t="s">
        <v>2878</v>
      </c>
      <c r="RXW1334" s="4" t="s">
        <v>2878</v>
      </c>
      <c r="RXX1334" s="4" t="s">
        <v>2878</v>
      </c>
      <c r="RXY1334" s="4" t="s">
        <v>2878</v>
      </c>
      <c r="RXZ1334" s="4" t="s">
        <v>2878</v>
      </c>
      <c r="RYA1334" s="4" t="s">
        <v>2878</v>
      </c>
      <c r="RYB1334" s="4" t="s">
        <v>2878</v>
      </c>
      <c r="RYC1334" s="4" t="s">
        <v>2878</v>
      </c>
      <c r="RYD1334" s="4" t="s">
        <v>2878</v>
      </c>
      <c r="RYE1334" s="4" t="s">
        <v>2878</v>
      </c>
      <c r="RYF1334" s="4" t="s">
        <v>2878</v>
      </c>
      <c r="RYG1334" s="4" t="s">
        <v>2878</v>
      </c>
      <c r="RYH1334" s="4" t="s">
        <v>2878</v>
      </c>
      <c r="RYI1334" s="4" t="s">
        <v>2878</v>
      </c>
      <c r="RYJ1334" s="4" t="s">
        <v>2878</v>
      </c>
      <c r="RYK1334" s="4" t="s">
        <v>2878</v>
      </c>
      <c r="RYL1334" s="4" t="s">
        <v>2878</v>
      </c>
      <c r="RYM1334" s="4" t="s">
        <v>2878</v>
      </c>
      <c r="RYN1334" s="4" t="s">
        <v>2878</v>
      </c>
      <c r="RYO1334" s="4" t="s">
        <v>2878</v>
      </c>
      <c r="RYP1334" s="4" t="s">
        <v>2878</v>
      </c>
      <c r="RYQ1334" s="4" t="s">
        <v>2878</v>
      </c>
      <c r="RYR1334" s="4" t="s">
        <v>2878</v>
      </c>
      <c r="RYS1334" s="4" t="s">
        <v>2878</v>
      </c>
      <c r="RYT1334" s="4" t="s">
        <v>2878</v>
      </c>
      <c r="RYU1334" s="4" t="s">
        <v>2878</v>
      </c>
      <c r="RYV1334" s="4" t="s">
        <v>2878</v>
      </c>
      <c r="RYW1334" s="4" t="s">
        <v>2878</v>
      </c>
      <c r="RYX1334" s="4" t="s">
        <v>2878</v>
      </c>
      <c r="RYY1334" s="4" t="s">
        <v>2878</v>
      </c>
      <c r="RYZ1334" s="4" t="s">
        <v>2878</v>
      </c>
      <c r="RZA1334" s="4" t="s">
        <v>2878</v>
      </c>
      <c r="RZB1334" s="4" t="s">
        <v>2878</v>
      </c>
      <c r="RZC1334" s="4" t="s">
        <v>2878</v>
      </c>
      <c r="RZD1334" s="4" t="s">
        <v>2878</v>
      </c>
      <c r="RZE1334" s="4" t="s">
        <v>2878</v>
      </c>
      <c r="RZF1334" s="4" t="s">
        <v>2878</v>
      </c>
      <c r="RZG1334" s="4" t="s">
        <v>2878</v>
      </c>
      <c r="RZH1334" s="4" t="s">
        <v>2878</v>
      </c>
      <c r="RZI1334" s="4" t="s">
        <v>2878</v>
      </c>
      <c r="RZJ1334" s="4" t="s">
        <v>2878</v>
      </c>
      <c r="RZK1334" s="4" t="s">
        <v>2878</v>
      </c>
      <c r="RZL1334" s="4" t="s">
        <v>2878</v>
      </c>
      <c r="RZM1334" s="4" t="s">
        <v>2878</v>
      </c>
      <c r="RZN1334" s="4" t="s">
        <v>2878</v>
      </c>
      <c r="RZO1334" s="4" t="s">
        <v>2878</v>
      </c>
      <c r="RZP1334" s="4" t="s">
        <v>2878</v>
      </c>
      <c r="RZQ1334" s="4" t="s">
        <v>2878</v>
      </c>
      <c r="RZR1334" s="4" t="s">
        <v>2878</v>
      </c>
      <c r="RZS1334" s="4" t="s">
        <v>2878</v>
      </c>
      <c r="RZT1334" s="4" t="s">
        <v>2878</v>
      </c>
      <c r="RZU1334" s="4" t="s">
        <v>2878</v>
      </c>
      <c r="RZV1334" s="4" t="s">
        <v>2878</v>
      </c>
      <c r="RZW1334" s="4" t="s">
        <v>2878</v>
      </c>
      <c r="RZX1334" s="4" t="s">
        <v>2878</v>
      </c>
      <c r="RZY1334" s="4" t="s">
        <v>2878</v>
      </c>
      <c r="RZZ1334" s="4" t="s">
        <v>2878</v>
      </c>
      <c r="SAA1334" s="4" t="s">
        <v>2878</v>
      </c>
      <c r="SAB1334" s="4" t="s">
        <v>2878</v>
      </c>
      <c r="SAC1334" s="4" t="s">
        <v>2878</v>
      </c>
      <c r="SAD1334" s="4" t="s">
        <v>2878</v>
      </c>
      <c r="SAE1334" s="4" t="s">
        <v>2878</v>
      </c>
      <c r="SAF1334" s="4" t="s">
        <v>2878</v>
      </c>
      <c r="SAG1334" s="4" t="s">
        <v>2878</v>
      </c>
      <c r="SAH1334" s="4" t="s">
        <v>2878</v>
      </c>
      <c r="SAI1334" s="4" t="s">
        <v>2878</v>
      </c>
      <c r="SAJ1334" s="4" t="s">
        <v>2878</v>
      </c>
      <c r="SAK1334" s="4" t="s">
        <v>2878</v>
      </c>
      <c r="SAL1334" s="4" t="s">
        <v>2878</v>
      </c>
      <c r="SAM1334" s="4" t="s">
        <v>2878</v>
      </c>
      <c r="SAN1334" s="4" t="s">
        <v>2878</v>
      </c>
      <c r="SAO1334" s="4" t="s">
        <v>2878</v>
      </c>
      <c r="SAP1334" s="4" t="s">
        <v>2878</v>
      </c>
      <c r="SAQ1334" s="4" t="s">
        <v>2878</v>
      </c>
      <c r="SAR1334" s="4" t="s">
        <v>2878</v>
      </c>
      <c r="SAS1334" s="4" t="s">
        <v>2878</v>
      </c>
      <c r="SAT1334" s="4" t="s">
        <v>2878</v>
      </c>
      <c r="SAU1334" s="4" t="s">
        <v>2878</v>
      </c>
      <c r="SAV1334" s="4" t="s">
        <v>2878</v>
      </c>
      <c r="SAW1334" s="4" t="s">
        <v>2878</v>
      </c>
      <c r="SAX1334" s="4" t="s">
        <v>2878</v>
      </c>
      <c r="SAY1334" s="4" t="s">
        <v>2878</v>
      </c>
      <c r="SAZ1334" s="4" t="s">
        <v>2878</v>
      </c>
      <c r="SBA1334" s="4" t="s">
        <v>2878</v>
      </c>
      <c r="SBB1334" s="4" t="s">
        <v>2878</v>
      </c>
      <c r="SBC1334" s="4" t="s">
        <v>2878</v>
      </c>
      <c r="SBD1334" s="4" t="s">
        <v>2878</v>
      </c>
      <c r="SBE1334" s="4" t="s">
        <v>2878</v>
      </c>
      <c r="SBF1334" s="4" t="s">
        <v>2878</v>
      </c>
      <c r="SBG1334" s="4" t="s">
        <v>2878</v>
      </c>
      <c r="SBH1334" s="4" t="s">
        <v>2878</v>
      </c>
      <c r="SBI1334" s="4" t="s">
        <v>2878</v>
      </c>
      <c r="SBJ1334" s="4" t="s">
        <v>2878</v>
      </c>
      <c r="SBK1334" s="4" t="s">
        <v>2878</v>
      </c>
      <c r="SBL1334" s="4" t="s">
        <v>2878</v>
      </c>
      <c r="SBM1334" s="4" t="s">
        <v>2878</v>
      </c>
      <c r="SBN1334" s="4" t="s">
        <v>2878</v>
      </c>
      <c r="SBO1334" s="4" t="s">
        <v>2878</v>
      </c>
      <c r="SBP1334" s="4" t="s">
        <v>2878</v>
      </c>
      <c r="SBQ1334" s="4" t="s">
        <v>2878</v>
      </c>
      <c r="SBR1334" s="4" t="s">
        <v>2878</v>
      </c>
      <c r="SBS1334" s="4" t="s">
        <v>2878</v>
      </c>
      <c r="SBT1334" s="4" t="s">
        <v>2878</v>
      </c>
      <c r="SBU1334" s="4" t="s">
        <v>2878</v>
      </c>
      <c r="SBV1334" s="4" t="s">
        <v>2878</v>
      </c>
      <c r="SBW1334" s="4" t="s">
        <v>2878</v>
      </c>
      <c r="SBX1334" s="4" t="s">
        <v>2878</v>
      </c>
      <c r="SBY1334" s="4" t="s">
        <v>2878</v>
      </c>
      <c r="SBZ1334" s="4" t="s">
        <v>2878</v>
      </c>
      <c r="SCA1334" s="4" t="s">
        <v>2878</v>
      </c>
      <c r="SCB1334" s="4" t="s">
        <v>2878</v>
      </c>
      <c r="SCC1334" s="4" t="s">
        <v>2878</v>
      </c>
      <c r="SCD1334" s="4" t="s">
        <v>2878</v>
      </c>
      <c r="SCE1334" s="4" t="s">
        <v>2878</v>
      </c>
      <c r="SCF1334" s="4" t="s">
        <v>2878</v>
      </c>
      <c r="SCG1334" s="4" t="s">
        <v>2878</v>
      </c>
      <c r="SCH1334" s="4" t="s">
        <v>2878</v>
      </c>
      <c r="SCI1334" s="4" t="s">
        <v>2878</v>
      </c>
      <c r="SCJ1334" s="4" t="s">
        <v>2878</v>
      </c>
      <c r="SCK1334" s="4" t="s">
        <v>2878</v>
      </c>
      <c r="SCL1334" s="4" t="s">
        <v>2878</v>
      </c>
      <c r="SCM1334" s="4" t="s">
        <v>2878</v>
      </c>
      <c r="SCN1334" s="4" t="s">
        <v>2878</v>
      </c>
      <c r="SCO1334" s="4" t="s">
        <v>2878</v>
      </c>
      <c r="SCP1334" s="4" t="s">
        <v>2878</v>
      </c>
      <c r="SCQ1334" s="4" t="s">
        <v>2878</v>
      </c>
      <c r="SCR1334" s="4" t="s">
        <v>2878</v>
      </c>
      <c r="SCS1334" s="4" t="s">
        <v>2878</v>
      </c>
      <c r="SCT1334" s="4" t="s">
        <v>2878</v>
      </c>
      <c r="SCU1334" s="4" t="s">
        <v>2878</v>
      </c>
      <c r="SCV1334" s="4" t="s">
        <v>2878</v>
      </c>
      <c r="SCW1334" s="4" t="s">
        <v>2878</v>
      </c>
      <c r="SCX1334" s="4" t="s">
        <v>2878</v>
      </c>
      <c r="SCY1334" s="4" t="s">
        <v>2878</v>
      </c>
      <c r="SCZ1334" s="4" t="s">
        <v>2878</v>
      </c>
      <c r="SDA1334" s="4" t="s">
        <v>2878</v>
      </c>
      <c r="SDB1334" s="4" t="s">
        <v>2878</v>
      </c>
      <c r="SDC1334" s="4" t="s">
        <v>2878</v>
      </c>
      <c r="SDD1334" s="4" t="s">
        <v>2878</v>
      </c>
      <c r="SDE1334" s="4" t="s">
        <v>2878</v>
      </c>
      <c r="SDF1334" s="4" t="s">
        <v>2878</v>
      </c>
      <c r="SDG1334" s="4" t="s">
        <v>2878</v>
      </c>
      <c r="SDH1334" s="4" t="s">
        <v>2878</v>
      </c>
      <c r="SDI1334" s="4" t="s">
        <v>2878</v>
      </c>
      <c r="SDJ1334" s="4" t="s">
        <v>2878</v>
      </c>
      <c r="SDK1334" s="4" t="s">
        <v>2878</v>
      </c>
      <c r="SDL1334" s="4" t="s">
        <v>2878</v>
      </c>
      <c r="SDM1334" s="4" t="s">
        <v>2878</v>
      </c>
      <c r="SDN1334" s="4" t="s">
        <v>2878</v>
      </c>
      <c r="SDO1334" s="4" t="s">
        <v>2878</v>
      </c>
      <c r="SDP1334" s="4" t="s">
        <v>2878</v>
      </c>
      <c r="SDQ1334" s="4" t="s">
        <v>2878</v>
      </c>
      <c r="SDR1334" s="4" t="s">
        <v>2878</v>
      </c>
      <c r="SDS1334" s="4" t="s">
        <v>2878</v>
      </c>
      <c r="SDT1334" s="4" t="s">
        <v>2878</v>
      </c>
      <c r="SDU1334" s="4" t="s">
        <v>2878</v>
      </c>
      <c r="SDV1334" s="4" t="s">
        <v>2878</v>
      </c>
      <c r="SDW1334" s="4" t="s">
        <v>2878</v>
      </c>
      <c r="SDX1334" s="4" t="s">
        <v>2878</v>
      </c>
      <c r="SDY1334" s="4" t="s">
        <v>2878</v>
      </c>
      <c r="SDZ1334" s="4" t="s">
        <v>2878</v>
      </c>
      <c r="SEA1334" s="4" t="s">
        <v>2878</v>
      </c>
      <c r="SEB1334" s="4" t="s">
        <v>2878</v>
      </c>
      <c r="SEC1334" s="4" t="s">
        <v>2878</v>
      </c>
      <c r="SED1334" s="4" t="s">
        <v>2878</v>
      </c>
      <c r="SEE1334" s="4" t="s">
        <v>2878</v>
      </c>
      <c r="SEF1334" s="4" t="s">
        <v>2878</v>
      </c>
      <c r="SEG1334" s="4" t="s">
        <v>2878</v>
      </c>
      <c r="SEH1334" s="4" t="s">
        <v>2878</v>
      </c>
      <c r="SEI1334" s="4" t="s">
        <v>2878</v>
      </c>
      <c r="SEJ1334" s="4" t="s">
        <v>2878</v>
      </c>
      <c r="SEK1334" s="4" t="s">
        <v>2878</v>
      </c>
      <c r="SEL1334" s="4" t="s">
        <v>2878</v>
      </c>
      <c r="SEM1334" s="4" t="s">
        <v>2878</v>
      </c>
      <c r="SEN1334" s="4" t="s">
        <v>2878</v>
      </c>
      <c r="SEO1334" s="4" t="s">
        <v>2878</v>
      </c>
      <c r="SEP1334" s="4" t="s">
        <v>2878</v>
      </c>
      <c r="SEQ1334" s="4" t="s">
        <v>2878</v>
      </c>
      <c r="SER1334" s="4" t="s">
        <v>2878</v>
      </c>
      <c r="SES1334" s="4" t="s">
        <v>2878</v>
      </c>
      <c r="SET1334" s="4" t="s">
        <v>2878</v>
      </c>
      <c r="SEU1334" s="4" t="s">
        <v>2878</v>
      </c>
      <c r="SEV1334" s="4" t="s">
        <v>2878</v>
      </c>
      <c r="SEW1334" s="4" t="s">
        <v>2878</v>
      </c>
      <c r="SEX1334" s="4" t="s">
        <v>2878</v>
      </c>
      <c r="SEY1334" s="4" t="s">
        <v>2878</v>
      </c>
      <c r="SEZ1334" s="4" t="s">
        <v>2878</v>
      </c>
      <c r="SFA1334" s="4" t="s">
        <v>2878</v>
      </c>
      <c r="SFB1334" s="4" t="s">
        <v>2878</v>
      </c>
      <c r="SFC1334" s="4" t="s">
        <v>2878</v>
      </c>
      <c r="SFD1334" s="4" t="s">
        <v>2878</v>
      </c>
      <c r="SFE1334" s="4" t="s">
        <v>2878</v>
      </c>
      <c r="SFF1334" s="4" t="s">
        <v>2878</v>
      </c>
      <c r="SFG1334" s="4" t="s">
        <v>2878</v>
      </c>
      <c r="SFH1334" s="4" t="s">
        <v>2878</v>
      </c>
      <c r="SFI1334" s="4" t="s">
        <v>2878</v>
      </c>
      <c r="SFJ1334" s="4" t="s">
        <v>2878</v>
      </c>
      <c r="SFK1334" s="4" t="s">
        <v>2878</v>
      </c>
      <c r="SFL1334" s="4" t="s">
        <v>2878</v>
      </c>
      <c r="SFM1334" s="4" t="s">
        <v>2878</v>
      </c>
      <c r="SFN1334" s="4" t="s">
        <v>2878</v>
      </c>
      <c r="SFO1334" s="4" t="s">
        <v>2878</v>
      </c>
      <c r="SFP1334" s="4" t="s">
        <v>2878</v>
      </c>
      <c r="SFQ1334" s="4" t="s">
        <v>2878</v>
      </c>
      <c r="SFR1334" s="4" t="s">
        <v>2878</v>
      </c>
      <c r="SFS1334" s="4" t="s">
        <v>2878</v>
      </c>
      <c r="SFT1334" s="4" t="s">
        <v>2878</v>
      </c>
      <c r="SFU1334" s="4" t="s">
        <v>2878</v>
      </c>
      <c r="SFV1334" s="4" t="s">
        <v>2878</v>
      </c>
      <c r="SFW1334" s="4" t="s">
        <v>2878</v>
      </c>
      <c r="SFX1334" s="4" t="s">
        <v>2878</v>
      </c>
      <c r="SFY1334" s="4" t="s">
        <v>2878</v>
      </c>
      <c r="SFZ1334" s="4" t="s">
        <v>2878</v>
      </c>
      <c r="SGA1334" s="4" t="s">
        <v>2878</v>
      </c>
      <c r="SGB1334" s="4" t="s">
        <v>2878</v>
      </c>
      <c r="SGC1334" s="4" t="s">
        <v>2878</v>
      </c>
      <c r="SGD1334" s="4" t="s">
        <v>2878</v>
      </c>
      <c r="SGE1334" s="4" t="s">
        <v>2878</v>
      </c>
      <c r="SGF1334" s="4" t="s">
        <v>2878</v>
      </c>
      <c r="SGG1334" s="4" t="s">
        <v>2878</v>
      </c>
      <c r="SGH1334" s="4" t="s">
        <v>2878</v>
      </c>
      <c r="SGI1334" s="4" t="s">
        <v>2878</v>
      </c>
      <c r="SGJ1334" s="4" t="s">
        <v>2878</v>
      </c>
      <c r="SGK1334" s="4" t="s">
        <v>2878</v>
      </c>
      <c r="SGL1334" s="4" t="s">
        <v>2878</v>
      </c>
      <c r="SGM1334" s="4" t="s">
        <v>2878</v>
      </c>
      <c r="SGN1334" s="4" t="s">
        <v>2878</v>
      </c>
      <c r="SGO1334" s="4" t="s">
        <v>2878</v>
      </c>
      <c r="SGP1334" s="4" t="s">
        <v>2878</v>
      </c>
      <c r="SGQ1334" s="4" t="s">
        <v>2878</v>
      </c>
      <c r="SGR1334" s="4" t="s">
        <v>2878</v>
      </c>
      <c r="SGS1334" s="4" t="s">
        <v>2878</v>
      </c>
      <c r="SGT1334" s="4" t="s">
        <v>2878</v>
      </c>
      <c r="SGU1334" s="4" t="s">
        <v>2878</v>
      </c>
      <c r="SGV1334" s="4" t="s">
        <v>2878</v>
      </c>
      <c r="SGW1334" s="4" t="s">
        <v>2878</v>
      </c>
      <c r="SGX1334" s="4" t="s">
        <v>2878</v>
      </c>
      <c r="SGY1334" s="4" t="s">
        <v>2878</v>
      </c>
      <c r="SGZ1334" s="4" t="s">
        <v>2878</v>
      </c>
      <c r="SHA1334" s="4" t="s">
        <v>2878</v>
      </c>
      <c r="SHB1334" s="4" t="s">
        <v>2878</v>
      </c>
      <c r="SHC1334" s="4" t="s">
        <v>2878</v>
      </c>
      <c r="SHD1334" s="4" t="s">
        <v>2878</v>
      </c>
      <c r="SHE1334" s="4" t="s">
        <v>2878</v>
      </c>
      <c r="SHF1334" s="4" t="s">
        <v>2878</v>
      </c>
      <c r="SHG1334" s="4" t="s">
        <v>2878</v>
      </c>
      <c r="SHH1334" s="4" t="s">
        <v>2878</v>
      </c>
      <c r="SHI1334" s="4" t="s">
        <v>2878</v>
      </c>
      <c r="SHJ1334" s="4" t="s">
        <v>2878</v>
      </c>
      <c r="SHK1334" s="4" t="s">
        <v>2878</v>
      </c>
      <c r="SHL1334" s="4" t="s">
        <v>2878</v>
      </c>
      <c r="SHM1334" s="4" t="s">
        <v>2878</v>
      </c>
      <c r="SHN1334" s="4" t="s">
        <v>2878</v>
      </c>
      <c r="SHO1334" s="4" t="s">
        <v>2878</v>
      </c>
      <c r="SHP1334" s="4" t="s">
        <v>2878</v>
      </c>
      <c r="SHQ1334" s="4" t="s">
        <v>2878</v>
      </c>
      <c r="SHR1334" s="4" t="s">
        <v>2878</v>
      </c>
      <c r="SHS1334" s="4" t="s">
        <v>2878</v>
      </c>
      <c r="SHT1334" s="4" t="s">
        <v>2878</v>
      </c>
      <c r="SHU1334" s="4" t="s">
        <v>2878</v>
      </c>
      <c r="SHV1334" s="4" t="s">
        <v>2878</v>
      </c>
      <c r="SHW1334" s="4" t="s">
        <v>2878</v>
      </c>
      <c r="SHX1334" s="4" t="s">
        <v>2878</v>
      </c>
      <c r="SHY1334" s="4" t="s">
        <v>2878</v>
      </c>
      <c r="SHZ1334" s="4" t="s">
        <v>2878</v>
      </c>
      <c r="SIA1334" s="4" t="s">
        <v>2878</v>
      </c>
      <c r="SIB1334" s="4" t="s">
        <v>2878</v>
      </c>
      <c r="SIC1334" s="4" t="s">
        <v>2878</v>
      </c>
      <c r="SID1334" s="4" t="s">
        <v>2878</v>
      </c>
      <c r="SIE1334" s="4" t="s">
        <v>2878</v>
      </c>
      <c r="SIF1334" s="4" t="s">
        <v>2878</v>
      </c>
      <c r="SIG1334" s="4" t="s">
        <v>2878</v>
      </c>
      <c r="SIH1334" s="4" t="s">
        <v>2878</v>
      </c>
      <c r="SII1334" s="4" t="s">
        <v>2878</v>
      </c>
      <c r="SIJ1334" s="4" t="s">
        <v>2878</v>
      </c>
      <c r="SIK1334" s="4" t="s">
        <v>2878</v>
      </c>
      <c r="SIL1334" s="4" t="s">
        <v>2878</v>
      </c>
      <c r="SIM1334" s="4" t="s">
        <v>2878</v>
      </c>
      <c r="SIN1334" s="4" t="s">
        <v>2878</v>
      </c>
      <c r="SIO1334" s="4" t="s">
        <v>2878</v>
      </c>
      <c r="SIP1334" s="4" t="s">
        <v>2878</v>
      </c>
      <c r="SIQ1334" s="4" t="s">
        <v>2878</v>
      </c>
      <c r="SIR1334" s="4" t="s">
        <v>2878</v>
      </c>
      <c r="SIS1334" s="4" t="s">
        <v>2878</v>
      </c>
      <c r="SIT1334" s="4" t="s">
        <v>2878</v>
      </c>
      <c r="SIU1334" s="4" t="s">
        <v>2878</v>
      </c>
      <c r="SIV1334" s="4" t="s">
        <v>2878</v>
      </c>
      <c r="SIW1334" s="4" t="s">
        <v>2878</v>
      </c>
      <c r="SIX1334" s="4" t="s">
        <v>2878</v>
      </c>
      <c r="SIY1334" s="4" t="s">
        <v>2878</v>
      </c>
      <c r="SIZ1334" s="4" t="s">
        <v>2878</v>
      </c>
      <c r="SJA1334" s="4" t="s">
        <v>2878</v>
      </c>
      <c r="SJB1334" s="4" t="s">
        <v>2878</v>
      </c>
      <c r="SJC1334" s="4" t="s">
        <v>2878</v>
      </c>
      <c r="SJD1334" s="4" t="s">
        <v>2878</v>
      </c>
      <c r="SJE1334" s="4" t="s">
        <v>2878</v>
      </c>
      <c r="SJF1334" s="4" t="s">
        <v>2878</v>
      </c>
      <c r="SJG1334" s="4" t="s">
        <v>2878</v>
      </c>
      <c r="SJH1334" s="4" t="s">
        <v>2878</v>
      </c>
      <c r="SJI1334" s="4" t="s">
        <v>2878</v>
      </c>
      <c r="SJJ1334" s="4" t="s">
        <v>2878</v>
      </c>
      <c r="SJK1334" s="4" t="s">
        <v>2878</v>
      </c>
      <c r="SJL1334" s="4" t="s">
        <v>2878</v>
      </c>
      <c r="SJM1334" s="4" t="s">
        <v>2878</v>
      </c>
      <c r="SJN1334" s="4" t="s">
        <v>2878</v>
      </c>
      <c r="SJO1334" s="4" t="s">
        <v>2878</v>
      </c>
      <c r="SJP1334" s="4" t="s">
        <v>2878</v>
      </c>
      <c r="SJQ1334" s="4" t="s">
        <v>2878</v>
      </c>
      <c r="SJR1334" s="4" t="s">
        <v>2878</v>
      </c>
      <c r="SJS1334" s="4" t="s">
        <v>2878</v>
      </c>
      <c r="SJT1334" s="4" t="s">
        <v>2878</v>
      </c>
      <c r="SJU1334" s="4" t="s">
        <v>2878</v>
      </c>
      <c r="SJV1334" s="4" t="s">
        <v>2878</v>
      </c>
      <c r="SJW1334" s="4" t="s">
        <v>2878</v>
      </c>
      <c r="SJX1334" s="4" t="s">
        <v>2878</v>
      </c>
      <c r="SJY1334" s="4" t="s">
        <v>2878</v>
      </c>
      <c r="SJZ1334" s="4" t="s">
        <v>2878</v>
      </c>
      <c r="SKA1334" s="4" t="s">
        <v>2878</v>
      </c>
      <c r="SKB1334" s="4" t="s">
        <v>2878</v>
      </c>
      <c r="SKC1334" s="4" t="s">
        <v>2878</v>
      </c>
      <c r="SKD1334" s="4" t="s">
        <v>2878</v>
      </c>
      <c r="SKE1334" s="4" t="s">
        <v>2878</v>
      </c>
      <c r="SKF1334" s="4" t="s">
        <v>2878</v>
      </c>
      <c r="SKG1334" s="4" t="s">
        <v>2878</v>
      </c>
      <c r="SKH1334" s="4" t="s">
        <v>2878</v>
      </c>
      <c r="SKI1334" s="4" t="s">
        <v>2878</v>
      </c>
      <c r="SKJ1334" s="4" t="s">
        <v>2878</v>
      </c>
      <c r="SKK1334" s="4" t="s">
        <v>2878</v>
      </c>
      <c r="SKL1334" s="4" t="s">
        <v>2878</v>
      </c>
      <c r="SKM1334" s="4" t="s">
        <v>2878</v>
      </c>
      <c r="SKN1334" s="4" t="s">
        <v>2878</v>
      </c>
      <c r="SKO1334" s="4" t="s">
        <v>2878</v>
      </c>
      <c r="SKP1334" s="4" t="s">
        <v>2878</v>
      </c>
      <c r="SKQ1334" s="4" t="s">
        <v>2878</v>
      </c>
      <c r="SKR1334" s="4" t="s">
        <v>2878</v>
      </c>
      <c r="SKS1334" s="4" t="s">
        <v>2878</v>
      </c>
      <c r="SKT1334" s="4" t="s">
        <v>2878</v>
      </c>
      <c r="SKU1334" s="4" t="s">
        <v>2878</v>
      </c>
      <c r="SKV1334" s="4" t="s">
        <v>2878</v>
      </c>
      <c r="SKW1334" s="4" t="s">
        <v>2878</v>
      </c>
      <c r="SKX1334" s="4" t="s">
        <v>2878</v>
      </c>
      <c r="SKY1334" s="4" t="s">
        <v>2878</v>
      </c>
      <c r="SKZ1334" s="4" t="s">
        <v>2878</v>
      </c>
      <c r="SLA1334" s="4" t="s">
        <v>2878</v>
      </c>
      <c r="SLB1334" s="4" t="s">
        <v>2878</v>
      </c>
      <c r="SLC1334" s="4" t="s">
        <v>2878</v>
      </c>
      <c r="SLD1334" s="4" t="s">
        <v>2878</v>
      </c>
      <c r="SLE1334" s="4" t="s">
        <v>2878</v>
      </c>
      <c r="SLF1334" s="4" t="s">
        <v>2878</v>
      </c>
      <c r="SLG1334" s="4" t="s">
        <v>2878</v>
      </c>
      <c r="SLH1334" s="4" t="s">
        <v>2878</v>
      </c>
      <c r="SLI1334" s="4" t="s">
        <v>2878</v>
      </c>
      <c r="SLJ1334" s="4" t="s">
        <v>2878</v>
      </c>
      <c r="SLK1334" s="4" t="s">
        <v>2878</v>
      </c>
      <c r="SLL1334" s="4" t="s">
        <v>2878</v>
      </c>
      <c r="SLM1334" s="4" t="s">
        <v>2878</v>
      </c>
      <c r="SLN1334" s="4" t="s">
        <v>2878</v>
      </c>
      <c r="SLO1334" s="4" t="s">
        <v>2878</v>
      </c>
      <c r="SLP1334" s="4" t="s">
        <v>2878</v>
      </c>
      <c r="SLQ1334" s="4" t="s">
        <v>2878</v>
      </c>
      <c r="SLR1334" s="4" t="s">
        <v>2878</v>
      </c>
      <c r="SLS1334" s="4" t="s">
        <v>2878</v>
      </c>
      <c r="SLT1334" s="4" t="s">
        <v>2878</v>
      </c>
      <c r="SLU1334" s="4" t="s">
        <v>2878</v>
      </c>
      <c r="SLV1334" s="4" t="s">
        <v>2878</v>
      </c>
      <c r="SLW1334" s="4" t="s">
        <v>2878</v>
      </c>
      <c r="SLX1334" s="4" t="s">
        <v>2878</v>
      </c>
      <c r="SLY1334" s="4" t="s">
        <v>2878</v>
      </c>
      <c r="SLZ1334" s="4" t="s">
        <v>2878</v>
      </c>
      <c r="SMA1334" s="4" t="s">
        <v>2878</v>
      </c>
      <c r="SMB1334" s="4" t="s">
        <v>2878</v>
      </c>
      <c r="SMC1334" s="4" t="s">
        <v>2878</v>
      </c>
      <c r="SMD1334" s="4" t="s">
        <v>2878</v>
      </c>
      <c r="SME1334" s="4" t="s">
        <v>2878</v>
      </c>
      <c r="SMF1334" s="4" t="s">
        <v>2878</v>
      </c>
      <c r="SMG1334" s="4" t="s">
        <v>2878</v>
      </c>
      <c r="SMH1334" s="4" t="s">
        <v>2878</v>
      </c>
      <c r="SMI1334" s="4" t="s">
        <v>2878</v>
      </c>
      <c r="SMJ1334" s="4" t="s">
        <v>2878</v>
      </c>
      <c r="SMK1334" s="4" t="s">
        <v>2878</v>
      </c>
      <c r="SML1334" s="4" t="s">
        <v>2878</v>
      </c>
      <c r="SMM1334" s="4" t="s">
        <v>2878</v>
      </c>
      <c r="SMN1334" s="4" t="s">
        <v>2878</v>
      </c>
      <c r="SMO1334" s="4" t="s">
        <v>2878</v>
      </c>
      <c r="SMP1334" s="4" t="s">
        <v>2878</v>
      </c>
      <c r="SMQ1334" s="4" t="s">
        <v>2878</v>
      </c>
      <c r="SMR1334" s="4" t="s">
        <v>2878</v>
      </c>
      <c r="SMS1334" s="4" t="s">
        <v>2878</v>
      </c>
      <c r="SMT1334" s="4" t="s">
        <v>2878</v>
      </c>
      <c r="SMU1334" s="4" t="s">
        <v>2878</v>
      </c>
      <c r="SMV1334" s="4" t="s">
        <v>2878</v>
      </c>
      <c r="SMW1334" s="4" t="s">
        <v>2878</v>
      </c>
      <c r="SMX1334" s="4" t="s">
        <v>2878</v>
      </c>
      <c r="SMY1334" s="4" t="s">
        <v>2878</v>
      </c>
      <c r="SMZ1334" s="4" t="s">
        <v>2878</v>
      </c>
      <c r="SNA1334" s="4" t="s">
        <v>2878</v>
      </c>
      <c r="SNB1334" s="4" t="s">
        <v>2878</v>
      </c>
      <c r="SNC1334" s="4" t="s">
        <v>2878</v>
      </c>
      <c r="SND1334" s="4" t="s">
        <v>2878</v>
      </c>
      <c r="SNE1334" s="4" t="s">
        <v>2878</v>
      </c>
      <c r="SNF1334" s="4" t="s">
        <v>2878</v>
      </c>
      <c r="SNG1334" s="4" t="s">
        <v>2878</v>
      </c>
      <c r="SNH1334" s="4" t="s">
        <v>2878</v>
      </c>
      <c r="SNI1334" s="4" t="s">
        <v>2878</v>
      </c>
      <c r="SNJ1334" s="4" t="s">
        <v>2878</v>
      </c>
      <c r="SNK1334" s="4" t="s">
        <v>2878</v>
      </c>
      <c r="SNL1334" s="4" t="s">
        <v>2878</v>
      </c>
      <c r="SNM1334" s="4" t="s">
        <v>2878</v>
      </c>
      <c r="SNN1334" s="4" t="s">
        <v>2878</v>
      </c>
      <c r="SNO1334" s="4" t="s">
        <v>2878</v>
      </c>
      <c r="SNP1334" s="4" t="s">
        <v>2878</v>
      </c>
      <c r="SNQ1334" s="4" t="s">
        <v>2878</v>
      </c>
      <c r="SNR1334" s="4" t="s">
        <v>2878</v>
      </c>
      <c r="SNS1334" s="4" t="s">
        <v>2878</v>
      </c>
      <c r="SNT1334" s="4" t="s">
        <v>2878</v>
      </c>
      <c r="SNU1334" s="4" t="s">
        <v>2878</v>
      </c>
      <c r="SNV1334" s="4" t="s">
        <v>2878</v>
      </c>
      <c r="SNW1334" s="4" t="s">
        <v>2878</v>
      </c>
      <c r="SNX1334" s="4" t="s">
        <v>2878</v>
      </c>
      <c r="SNY1334" s="4" t="s">
        <v>2878</v>
      </c>
      <c r="SNZ1334" s="4" t="s">
        <v>2878</v>
      </c>
      <c r="SOA1334" s="4" t="s">
        <v>2878</v>
      </c>
      <c r="SOB1334" s="4" t="s">
        <v>2878</v>
      </c>
      <c r="SOC1334" s="4" t="s">
        <v>2878</v>
      </c>
      <c r="SOD1334" s="4" t="s">
        <v>2878</v>
      </c>
      <c r="SOE1334" s="4" t="s">
        <v>2878</v>
      </c>
      <c r="SOF1334" s="4" t="s">
        <v>2878</v>
      </c>
      <c r="SOG1334" s="4" t="s">
        <v>2878</v>
      </c>
      <c r="SOH1334" s="4" t="s">
        <v>2878</v>
      </c>
      <c r="SOI1334" s="4" t="s">
        <v>2878</v>
      </c>
      <c r="SOJ1334" s="4" t="s">
        <v>2878</v>
      </c>
      <c r="SOK1334" s="4" t="s">
        <v>2878</v>
      </c>
      <c r="SOL1334" s="4" t="s">
        <v>2878</v>
      </c>
      <c r="SOM1334" s="4" t="s">
        <v>2878</v>
      </c>
      <c r="SON1334" s="4" t="s">
        <v>2878</v>
      </c>
      <c r="SOO1334" s="4" t="s">
        <v>2878</v>
      </c>
      <c r="SOP1334" s="4" t="s">
        <v>2878</v>
      </c>
      <c r="SOQ1334" s="4" t="s">
        <v>2878</v>
      </c>
      <c r="SOR1334" s="4" t="s">
        <v>2878</v>
      </c>
      <c r="SOS1334" s="4" t="s">
        <v>2878</v>
      </c>
      <c r="SOT1334" s="4" t="s">
        <v>2878</v>
      </c>
      <c r="SOU1334" s="4" t="s">
        <v>2878</v>
      </c>
      <c r="SOV1334" s="4" t="s">
        <v>2878</v>
      </c>
      <c r="SOW1334" s="4" t="s">
        <v>2878</v>
      </c>
      <c r="SOX1334" s="4" t="s">
        <v>2878</v>
      </c>
      <c r="SOY1334" s="4" t="s">
        <v>2878</v>
      </c>
      <c r="SOZ1334" s="4" t="s">
        <v>2878</v>
      </c>
      <c r="SPA1334" s="4" t="s">
        <v>2878</v>
      </c>
      <c r="SPB1334" s="4" t="s">
        <v>2878</v>
      </c>
      <c r="SPC1334" s="4" t="s">
        <v>2878</v>
      </c>
      <c r="SPD1334" s="4" t="s">
        <v>2878</v>
      </c>
      <c r="SPE1334" s="4" t="s">
        <v>2878</v>
      </c>
      <c r="SPF1334" s="4" t="s">
        <v>2878</v>
      </c>
      <c r="SPG1334" s="4" t="s">
        <v>2878</v>
      </c>
      <c r="SPH1334" s="4" t="s">
        <v>2878</v>
      </c>
      <c r="SPI1334" s="4" t="s">
        <v>2878</v>
      </c>
      <c r="SPJ1334" s="4" t="s">
        <v>2878</v>
      </c>
      <c r="SPK1334" s="4" t="s">
        <v>2878</v>
      </c>
      <c r="SPL1334" s="4" t="s">
        <v>2878</v>
      </c>
      <c r="SPM1334" s="4" t="s">
        <v>2878</v>
      </c>
      <c r="SPN1334" s="4" t="s">
        <v>2878</v>
      </c>
      <c r="SPO1334" s="4" t="s">
        <v>2878</v>
      </c>
      <c r="SPP1334" s="4" t="s">
        <v>2878</v>
      </c>
      <c r="SPQ1334" s="4" t="s">
        <v>2878</v>
      </c>
      <c r="SPR1334" s="4" t="s">
        <v>2878</v>
      </c>
      <c r="SPS1334" s="4" t="s">
        <v>2878</v>
      </c>
      <c r="SPT1334" s="4" t="s">
        <v>2878</v>
      </c>
      <c r="SPU1334" s="4" t="s">
        <v>2878</v>
      </c>
      <c r="SPV1334" s="4" t="s">
        <v>2878</v>
      </c>
      <c r="SPW1334" s="4" t="s">
        <v>2878</v>
      </c>
      <c r="SPX1334" s="4" t="s">
        <v>2878</v>
      </c>
      <c r="SPY1334" s="4" t="s">
        <v>2878</v>
      </c>
      <c r="SPZ1334" s="4" t="s">
        <v>2878</v>
      </c>
      <c r="SQA1334" s="4" t="s">
        <v>2878</v>
      </c>
      <c r="SQB1334" s="4" t="s">
        <v>2878</v>
      </c>
      <c r="SQC1334" s="4" t="s">
        <v>2878</v>
      </c>
      <c r="SQD1334" s="4" t="s">
        <v>2878</v>
      </c>
      <c r="SQE1334" s="4" t="s">
        <v>2878</v>
      </c>
      <c r="SQF1334" s="4" t="s">
        <v>2878</v>
      </c>
      <c r="SQG1334" s="4" t="s">
        <v>2878</v>
      </c>
      <c r="SQH1334" s="4" t="s">
        <v>2878</v>
      </c>
      <c r="SQI1334" s="4" t="s">
        <v>2878</v>
      </c>
      <c r="SQJ1334" s="4" t="s">
        <v>2878</v>
      </c>
      <c r="SQK1334" s="4" t="s">
        <v>2878</v>
      </c>
      <c r="SQL1334" s="4" t="s">
        <v>2878</v>
      </c>
      <c r="SQM1334" s="4" t="s">
        <v>2878</v>
      </c>
      <c r="SQN1334" s="4" t="s">
        <v>2878</v>
      </c>
      <c r="SQO1334" s="4" t="s">
        <v>2878</v>
      </c>
      <c r="SQP1334" s="4" t="s">
        <v>2878</v>
      </c>
      <c r="SQQ1334" s="4" t="s">
        <v>2878</v>
      </c>
      <c r="SQR1334" s="4" t="s">
        <v>2878</v>
      </c>
      <c r="SQS1334" s="4" t="s">
        <v>2878</v>
      </c>
      <c r="SQT1334" s="4" t="s">
        <v>2878</v>
      </c>
      <c r="SQU1334" s="4" t="s">
        <v>2878</v>
      </c>
      <c r="SQV1334" s="4" t="s">
        <v>2878</v>
      </c>
      <c r="SQW1334" s="4" t="s">
        <v>2878</v>
      </c>
      <c r="SQX1334" s="4" t="s">
        <v>2878</v>
      </c>
      <c r="SQY1334" s="4" t="s">
        <v>2878</v>
      </c>
      <c r="SQZ1334" s="4" t="s">
        <v>2878</v>
      </c>
      <c r="SRA1334" s="4" t="s">
        <v>2878</v>
      </c>
      <c r="SRB1334" s="4" t="s">
        <v>2878</v>
      </c>
      <c r="SRC1334" s="4" t="s">
        <v>2878</v>
      </c>
      <c r="SRD1334" s="4" t="s">
        <v>2878</v>
      </c>
      <c r="SRE1334" s="4" t="s">
        <v>2878</v>
      </c>
      <c r="SRF1334" s="4" t="s">
        <v>2878</v>
      </c>
      <c r="SRG1334" s="4" t="s">
        <v>2878</v>
      </c>
      <c r="SRH1334" s="4" t="s">
        <v>2878</v>
      </c>
      <c r="SRI1334" s="4" t="s">
        <v>2878</v>
      </c>
      <c r="SRJ1334" s="4" t="s">
        <v>2878</v>
      </c>
      <c r="SRK1334" s="4" t="s">
        <v>2878</v>
      </c>
      <c r="SRL1334" s="4" t="s">
        <v>2878</v>
      </c>
      <c r="SRM1334" s="4" t="s">
        <v>2878</v>
      </c>
      <c r="SRN1334" s="4" t="s">
        <v>2878</v>
      </c>
      <c r="SRO1334" s="4" t="s">
        <v>2878</v>
      </c>
      <c r="SRP1334" s="4" t="s">
        <v>2878</v>
      </c>
      <c r="SRQ1334" s="4" t="s">
        <v>2878</v>
      </c>
      <c r="SRR1334" s="4" t="s">
        <v>2878</v>
      </c>
      <c r="SRS1334" s="4" t="s">
        <v>2878</v>
      </c>
      <c r="SRT1334" s="4" t="s">
        <v>2878</v>
      </c>
      <c r="SRU1334" s="4" t="s">
        <v>2878</v>
      </c>
      <c r="SRV1334" s="4" t="s">
        <v>2878</v>
      </c>
      <c r="SRW1334" s="4" t="s">
        <v>2878</v>
      </c>
      <c r="SRX1334" s="4" t="s">
        <v>2878</v>
      </c>
      <c r="SRY1334" s="4" t="s">
        <v>2878</v>
      </c>
      <c r="SRZ1334" s="4" t="s">
        <v>2878</v>
      </c>
      <c r="SSA1334" s="4" t="s">
        <v>2878</v>
      </c>
      <c r="SSB1334" s="4" t="s">
        <v>2878</v>
      </c>
      <c r="SSC1334" s="4" t="s">
        <v>2878</v>
      </c>
      <c r="SSD1334" s="4" t="s">
        <v>2878</v>
      </c>
      <c r="SSE1334" s="4" t="s">
        <v>2878</v>
      </c>
      <c r="SSF1334" s="4" t="s">
        <v>2878</v>
      </c>
      <c r="SSG1334" s="4" t="s">
        <v>2878</v>
      </c>
      <c r="SSH1334" s="4" t="s">
        <v>2878</v>
      </c>
      <c r="SSI1334" s="4" t="s">
        <v>2878</v>
      </c>
      <c r="SSJ1334" s="4" t="s">
        <v>2878</v>
      </c>
      <c r="SSK1334" s="4" t="s">
        <v>2878</v>
      </c>
      <c r="SSL1334" s="4" t="s">
        <v>2878</v>
      </c>
      <c r="SSM1334" s="4" t="s">
        <v>2878</v>
      </c>
      <c r="SSN1334" s="4" t="s">
        <v>2878</v>
      </c>
      <c r="SSO1334" s="4" t="s">
        <v>2878</v>
      </c>
      <c r="SSP1334" s="4" t="s">
        <v>2878</v>
      </c>
      <c r="SSQ1334" s="4" t="s">
        <v>2878</v>
      </c>
      <c r="SSR1334" s="4" t="s">
        <v>2878</v>
      </c>
      <c r="SSS1334" s="4" t="s">
        <v>2878</v>
      </c>
      <c r="SST1334" s="4" t="s">
        <v>2878</v>
      </c>
      <c r="SSU1334" s="4" t="s">
        <v>2878</v>
      </c>
      <c r="SSV1334" s="4" t="s">
        <v>2878</v>
      </c>
      <c r="SSW1334" s="4" t="s">
        <v>2878</v>
      </c>
      <c r="SSX1334" s="4" t="s">
        <v>2878</v>
      </c>
      <c r="SSY1334" s="4" t="s">
        <v>2878</v>
      </c>
      <c r="SSZ1334" s="4" t="s">
        <v>2878</v>
      </c>
      <c r="STA1334" s="4" t="s">
        <v>2878</v>
      </c>
      <c r="STB1334" s="4" t="s">
        <v>2878</v>
      </c>
      <c r="STC1334" s="4" t="s">
        <v>2878</v>
      </c>
      <c r="STD1334" s="4" t="s">
        <v>2878</v>
      </c>
      <c r="STE1334" s="4" t="s">
        <v>2878</v>
      </c>
      <c r="STF1334" s="4" t="s">
        <v>2878</v>
      </c>
      <c r="STG1334" s="4" t="s">
        <v>2878</v>
      </c>
      <c r="STH1334" s="4" t="s">
        <v>2878</v>
      </c>
      <c r="STI1334" s="4" t="s">
        <v>2878</v>
      </c>
      <c r="STJ1334" s="4" t="s">
        <v>2878</v>
      </c>
      <c r="STK1334" s="4" t="s">
        <v>2878</v>
      </c>
      <c r="STL1334" s="4" t="s">
        <v>2878</v>
      </c>
      <c r="STM1334" s="4" t="s">
        <v>2878</v>
      </c>
      <c r="STN1334" s="4" t="s">
        <v>2878</v>
      </c>
      <c r="STO1334" s="4" t="s">
        <v>2878</v>
      </c>
      <c r="STP1334" s="4" t="s">
        <v>2878</v>
      </c>
      <c r="STQ1334" s="4" t="s">
        <v>2878</v>
      </c>
      <c r="STR1334" s="4" t="s">
        <v>2878</v>
      </c>
      <c r="STS1334" s="4" t="s">
        <v>2878</v>
      </c>
      <c r="STT1334" s="4" t="s">
        <v>2878</v>
      </c>
      <c r="STU1334" s="4" t="s">
        <v>2878</v>
      </c>
      <c r="STV1334" s="4" t="s">
        <v>2878</v>
      </c>
      <c r="STW1334" s="4" t="s">
        <v>2878</v>
      </c>
      <c r="STX1334" s="4" t="s">
        <v>2878</v>
      </c>
      <c r="STY1334" s="4" t="s">
        <v>2878</v>
      </c>
      <c r="STZ1334" s="4" t="s">
        <v>2878</v>
      </c>
      <c r="SUA1334" s="4" t="s">
        <v>2878</v>
      </c>
      <c r="SUB1334" s="4" t="s">
        <v>2878</v>
      </c>
      <c r="SUC1334" s="4" t="s">
        <v>2878</v>
      </c>
      <c r="SUD1334" s="4" t="s">
        <v>2878</v>
      </c>
      <c r="SUE1334" s="4" t="s">
        <v>2878</v>
      </c>
      <c r="SUF1334" s="4" t="s">
        <v>2878</v>
      </c>
      <c r="SUG1334" s="4" t="s">
        <v>2878</v>
      </c>
      <c r="SUH1334" s="4" t="s">
        <v>2878</v>
      </c>
      <c r="SUI1334" s="4" t="s">
        <v>2878</v>
      </c>
      <c r="SUJ1334" s="4" t="s">
        <v>2878</v>
      </c>
      <c r="SUK1334" s="4" t="s">
        <v>2878</v>
      </c>
      <c r="SUL1334" s="4" t="s">
        <v>2878</v>
      </c>
      <c r="SUM1334" s="4" t="s">
        <v>2878</v>
      </c>
      <c r="SUN1334" s="4" t="s">
        <v>2878</v>
      </c>
      <c r="SUO1334" s="4" t="s">
        <v>2878</v>
      </c>
      <c r="SUP1334" s="4" t="s">
        <v>2878</v>
      </c>
      <c r="SUQ1334" s="4" t="s">
        <v>2878</v>
      </c>
      <c r="SUR1334" s="4" t="s">
        <v>2878</v>
      </c>
      <c r="SUS1334" s="4" t="s">
        <v>2878</v>
      </c>
      <c r="SUT1334" s="4" t="s">
        <v>2878</v>
      </c>
      <c r="SUU1334" s="4" t="s">
        <v>2878</v>
      </c>
      <c r="SUV1334" s="4" t="s">
        <v>2878</v>
      </c>
      <c r="SUW1334" s="4" t="s">
        <v>2878</v>
      </c>
      <c r="SUX1334" s="4" t="s">
        <v>2878</v>
      </c>
      <c r="SUY1334" s="4" t="s">
        <v>2878</v>
      </c>
      <c r="SUZ1334" s="4" t="s">
        <v>2878</v>
      </c>
      <c r="SVA1334" s="4" t="s">
        <v>2878</v>
      </c>
      <c r="SVB1334" s="4" t="s">
        <v>2878</v>
      </c>
      <c r="SVC1334" s="4" t="s">
        <v>2878</v>
      </c>
      <c r="SVD1334" s="4" t="s">
        <v>2878</v>
      </c>
      <c r="SVE1334" s="4" t="s">
        <v>2878</v>
      </c>
      <c r="SVF1334" s="4" t="s">
        <v>2878</v>
      </c>
      <c r="SVG1334" s="4" t="s">
        <v>2878</v>
      </c>
      <c r="SVH1334" s="4" t="s">
        <v>2878</v>
      </c>
      <c r="SVI1334" s="4" t="s">
        <v>2878</v>
      </c>
      <c r="SVJ1334" s="4" t="s">
        <v>2878</v>
      </c>
      <c r="SVK1334" s="4" t="s">
        <v>2878</v>
      </c>
      <c r="SVL1334" s="4" t="s">
        <v>2878</v>
      </c>
      <c r="SVM1334" s="4" t="s">
        <v>2878</v>
      </c>
      <c r="SVN1334" s="4" t="s">
        <v>2878</v>
      </c>
      <c r="SVO1334" s="4" t="s">
        <v>2878</v>
      </c>
      <c r="SVP1334" s="4" t="s">
        <v>2878</v>
      </c>
      <c r="SVQ1334" s="4" t="s">
        <v>2878</v>
      </c>
      <c r="SVR1334" s="4" t="s">
        <v>2878</v>
      </c>
      <c r="SVS1334" s="4" t="s">
        <v>2878</v>
      </c>
      <c r="SVT1334" s="4" t="s">
        <v>2878</v>
      </c>
      <c r="SVU1334" s="4" t="s">
        <v>2878</v>
      </c>
      <c r="SVV1334" s="4" t="s">
        <v>2878</v>
      </c>
      <c r="SVW1334" s="4" t="s">
        <v>2878</v>
      </c>
      <c r="SVX1334" s="4" t="s">
        <v>2878</v>
      </c>
      <c r="SVY1334" s="4" t="s">
        <v>2878</v>
      </c>
      <c r="SVZ1334" s="4" t="s">
        <v>2878</v>
      </c>
      <c r="SWA1334" s="4" t="s">
        <v>2878</v>
      </c>
      <c r="SWB1334" s="4" t="s">
        <v>2878</v>
      </c>
      <c r="SWC1334" s="4" t="s">
        <v>2878</v>
      </c>
      <c r="SWD1334" s="4" t="s">
        <v>2878</v>
      </c>
      <c r="SWE1334" s="4" t="s">
        <v>2878</v>
      </c>
      <c r="SWF1334" s="4" t="s">
        <v>2878</v>
      </c>
      <c r="SWG1334" s="4" t="s">
        <v>2878</v>
      </c>
      <c r="SWH1334" s="4" t="s">
        <v>2878</v>
      </c>
      <c r="SWI1334" s="4" t="s">
        <v>2878</v>
      </c>
      <c r="SWJ1334" s="4" t="s">
        <v>2878</v>
      </c>
      <c r="SWK1334" s="4" t="s">
        <v>2878</v>
      </c>
      <c r="SWL1334" s="4" t="s">
        <v>2878</v>
      </c>
      <c r="SWM1334" s="4" t="s">
        <v>2878</v>
      </c>
      <c r="SWN1334" s="4" t="s">
        <v>2878</v>
      </c>
      <c r="SWO1334" s="4" t="s">
        <v>2878</v>
      </c>
      <c r="SWP1334" s="4" t="s">
        <v>2878</v>
      </c>
      <c r="SWQ1334" s="4" t="s">
        <v>2878</v>
      </c>
      <c r="SWR1334" s="4" t="s">
        <v>2878</v>
      </c>
      <c r="SWS1334" s="4" t="s">
        <v>2878</v>
      </c>
      <c r="SWT1334" s="4" t="s">
        <v>2878</v>
      </c>
      <c r="SWU1334" s="4" t="s">
        <v>2878</v>
      </c>
      <c r="SWV1334" s="4" t="s">
        <v>2878</v>
      </c>
      <c r="SWW1334" s="4" t="s">
        <v>2878</v>
      </c>
      <c r="SWX1334" s="4" t="s">
        <v>2878</v>
      </c>
      <c r="SWY1334" s="4" t="s">
        <v>2878</v>
      </c>
      <c r="SWZ1334" s="4" t="s">
        <v>2878</v>
      </c>
      <c r="SXA1334" s="4" t="s">
        <v>2878</v>
      </c>
      <c r="SXB1334" s="4" t="s">
        <v>2878</v>
      </c>
      <c r="SXC1334" s="4" t="s">
        <v>2878</v>
      </c>
      <c r="SXD1334" s="4" t="s">
        <v>2878</v>
      </c>
      <c r="SXE1334" s="4" t="s">
        <v>2878</v>
      </c>
      <c r="SXF1334" s="4" t="s">
        <v>2878</v>
      </c>
      <c r="SXG1334" s="4" t="s">
        <v>2878</v>
      </c>
      <c r="SXH1334" s="4" t="s">
        <v>2878</v>
      </c>
      <c r="SXI1334" s="4" t="s">
        <v>2878</v>
      </c>
      <c r="SXJ1334" s="4" t="s">
        <v>2878</v>
      </c>
      <c r="SXK1334" s="4" t="s">
        <v>2878</v>
      </c>
      <c r="SXL1334" s="4" t="s">
        <v>2878</v>
      </c>
      <c r="SXM1334" s="4" t="s">
        <v>2878</v>
      </c>
      <c r="SXN1334" s="4" t="s">
        <v>2878</v>
      </c>
      <c r="SXO1334" s="4" t="s">
        <v>2878</v>
      </c>
      <c r="SXP1334" s="4" t="s">
        <v>2878</v>
      </c>
      <c r="SXQ1334" s="4" t="s">
        <v>2878</v>
      </c>
      <c r="SXR1334" s="4" t="s">
        <v>2878</v>
      </c>
      <c r="SXS1334" s="4" t="s">
        <v>2878</v>
      </c>
      <c r="SXT1334" s="4" t="s">
        <v>2878</v>
      </c>
      <c r="SXU1334" s="4" t="s">
        <v>2878</v>
      </c>
      <c r="SXV1334" s="4" t="s">
        <v>2878</v>
      </c>
      <c r="SXW1334" s="4" t="s">
        <v>2878</v>
      </c>
      <c r="SXX1334" s="4" t="s">
        <v>2878</v>
      </c>
      <c r="SXY1334" s="4" t="s">
        <v>2878</v>
      </c>
      <c r="SXZ1334" s="4" t="s">
        <v>2878</v>
      </c>
      <c r="SYA1334" s="4" t="s">
        <v>2878</v>
      </c>
      <c r="SYB1334" s="4" t="s">
        <v>2878</v>
      </c>
      <c r="SYC1334" s="4" t="s">
        <v>2878</v>
      </c>
      <c r="SYD1334" s="4" t="s">
        <v>2878</v>
      </c>
      <c r="SYE1334" s="4" t="s">
        <v>2878</v>
      </c>
      <c r="SYF1334" s="4" t="s">
        <v>2878</v>
      </c>
      <c r="SYG1334" s="4" t="s">
        <v>2878</v>
      </c>
      <c r="SYH1334" s="4" t="s">
        <v>2878</v>
      </c>
      <c r="SYI1334" s="4" t="s">
        <v>2878</v>
      </c>
      <c r="SYJ1334" s="4" t="s">
        <v>2878</v>
      </c>
      <c r="SYK1334" s="4" t="s">
        <v>2878</v>
      </c>
      <c r="SYL1334" s="4" t="s">
        <v>2878</v>
      </c>
      <c r="SYM1334" s="4" t="s">
        <v>2878</v>
      </c>
      <c r="SYN1334" s="4" t="s">
        <v>2878</v>
      </c>
      <c r="SYO1334" s="4" t="s">
        <v>2878</v>
      </c>
      <c r="SYP1334" s="4" t="s">
        <v>2878</v>
      </c>
      <c r="SYQ1334" s="4" t="s">
        <v>2878</v>
      </c>
      <c r="SYR1334" s="4" t="s">
        <v>2878</v>
      </c>
      <c r="SYS1334" s="4" t="s">
        <v>2878</v>
      </c>
      <c r="SYT1334" s="4" t="s">
        <v>2878</v>
      </c>
      <c r="SYU1334" s="4" t="s">
        <v>2878</v>
      </c>
      <c r="SYV1334" s="4" t="s">
        <v>2878</v>
      </c>
      <c r="SYW1334" s="4" t="s">
        <v>2878</v>
      </c>
      <c r="SYX1334" s="4" t="s">
        <v>2878</v>
      </c>
      <c r="SYY1334" s="4" t="s">
        <v>2878</v>
      </c>
      <c r="SYZ1334" s="4" t="s">
        <v>2878</v>
      </c>
      <c r="SZA1334" s="4" t="s">
        <v>2878</v>
      </c>
      <c r="SZB1334" s="4" t="s">
        <v>2878</v>
      </c>
      <c r="SZC1334" s="4" t="s">
        <v>2878</v>
      </c>
      <c r="SZD1334" s="4" t="s">
        <v>2878</v>
      </c>
      <c r="SZE1334" s="4" t="s">
        <v>2878</v>
      </c>
      <c r="SZF1334" s="4" t="s">
        <v>2878</v>
      </c>
      <c r="SZG1334" s="4" t="s">
        <v>2878</v>
      </c>
      <c r="SZH1334" s="4" t="s">
        <v>2878</v>
      </c>
      <c r="SZI1334" s="4" t="s">
        <v>2878</v>
      </c>
      <c r="SZJ1334" s="4" t="s">
        <v>2878</v>
      </c>
      <c r="SZK1334" s="4" t="s">
        <v>2878</v>
      </c>
      <c r="SZL1334" s="4" t="s">
        <v>2878</v>
      </c>
      <c r="SZM1334" s="4" t="s">
        <v>2878</v>
      </c>
      <c r="SZN1334" s="4" t="s">
        <v>2878</v>
      </c>
      <c r="SZO1334" s="4" t="s">
        <v>2878</v>
      </c>
      <c r="SZP1334" s="4" t="s">
        <v>2878</v>
      </c>
      <c r="SZQ1334" s="4" t="s">
        <v>2878</v>
      </c>
      <c r="SZR1334" s="4" t="s">
        <v>2878</v>
      </c>
      <c r="SZS1334" s="4" t="s">
        <v>2878</v>
      </c>
      <c r="SZT1334" s="4" t="s">
        <v>2878</v>
      </c>
      <c r="SZU1334" s="4" t="s">
        <v>2878</v>
      </c>
      <c r="SZV1334" s="4" t="s">
        <v>2878</v>
      </c>
      <c r="SZW1334" s="4" t="s">
        <v>2878</v>
      </c>
      <c r="SZX1334" s="4" t="s">
        <v>2878</v>
      </c>
      <c r="SZY1334" s="4" t="s">
        <v>2878</v>
      </c>
      <c r="SZZ1334" s="4" t="s">
        <v>2878</v>
      </c>
      <c r="TAA1334" s="4" t="s">
        <v>2878</v>
      </c>
      <c r="TAB1334" s="4" t="s">
        <v>2878</v>
      </c>
      <c r="TAC1334" s="4" t="s">
        <v>2878</v>
      </c>
      <c r="TAD1334" s="4" t="s">
        <v>2878</v>
      </c>
      <c r="TAE1334" s="4" t="s">
        <v>2878</v>
      </c>
      <c r="TAF1334" s="4" t="s">
        <v>2878</v>
      </c>
      <c r="TAG1334" s="4" t="s">
        <v>2878</v>
      </c>
      <c r="TAH1334" s="4" t="s">
        <v>2878</v>
      </c>
      <c r="TAI1334" s="4" t="s">
        <v>2878</v>
      </c>
      <c r="TAJ1334" s="4" t="s">
        <v>2878</v>
      </c>
      <c r="TAK1334" s="4" t="s">
        <v>2878</v>
      </c>
      <c r="TAL1334" s="4" t="s">
        <v>2878</v>
      </c>
      <c r="TAM1334" s="4" t="s">
        <v>2878</v>
      </c>
      <c r="TAN1334" s="4" t="s">
        <v>2878</v>
      </c>
      <c r="TAO1334" s="4" t="s">
        <v>2878</v>
      </c>
      <c r="TAP1334" s="4" t="s">
        <v>2878</v>
      </c>
      <c r="TAQ1334" s="4" t="s">
        <v>2878</v>
      </c>
      <c r="TAR1334" s="4" t="s">
        <v>2878</v>
      </c>
      <c r="TAS1334" s="4" t="s">
        <v>2878</v>
      </c>
      <c r="TAT1334" s="4" t="s">
        <v>2878</v>
      </c>
      <c r="TAU1334" s="4" t="s">
        <v>2878</v>
      </c>
      <c r="TAV1334" s="4" t="s">
        <v>2878</v>
      </c>
      <c r="TAW1334" s="4" t="s">
        <v>2878</v>
      </c>
      <c r="TAX1334" s="4" t="s">
        <v>2878</v>
      </c>
      <c r="TAY1334" s="4" t="s">
        <v>2878</v>
      </c>
      <c r="TAZ1334" s="4" t="s">
        <v>2878</v>
      </c>
      <c r="TBA1334" s="4" t="s">
        <v>2878</v>
      </c>
      <c r="TBB1334" s="4" t="s">
        <v>2878</v>
      </c>
      <c r="TBC1334" s="4" t="s">
        <v>2878</v>
      </c>
      <c r="TBD1334" s="4" t="s">
        <v>2878</v>
      </c>
      <c r="TBE1334" s="4" t="s">
        <v>2878</v>
      </c>
      <c r="TBF1334" s="4" t="s">
        <v>2878</v>
      </c>
      <c r="TBG1334" s="4" t="s">
        <v>2878</v>
      </c>
      <c r="TBH1334" s="4" t="s">
        <v>2878</v>
      </c>
      <c r="TBI1334" s="4" t="s">
        <v>2878</v>
      </c>
      <c r="TBJ1334" s="4" t="s">
        <v>2878</v>
      </c>
      <c r="TBK1334" s="4" t="s">
        <v>2878</v>
      </c>
      <c r="TBL1334" s="4" t="s">
        <v>2878</v>
      </c>
      <c r="TBM1334" s="4" t="s">
        <v>2878</v>
      </c>
      <c r="TBN1334" s="4" t="s">
        <v>2878</v>
      </c>
      <c r="TBO1334" s="4" t="s">
        <v>2878</v>
      </c>
      <c r="TBP1334" s="4" t="s">
        <v>2878</v>
      </c>
      <c r="TBQ1334" s="4" t="s">
        <v>2878</v>
      </c>
      <c r="TBR1334" s="4" t="s">
        <v>2878</v>
      </c>
      <c r="TBS1334" s="4" t="s">
        <v>2878</v>
      </c>
      <c r="TBT1334" s="4" t="s">
        <v>2878</v>
      </c>
      <c r="TBU1334" s="4" t="s">
        <v>2878</v>
      </c>
      <c r="TBV1334" s="4" t="s">
        <v>2878</v>
      </c>
      <c r="TBW1334" s="4" t="s">
        <v>2878</v>
      </c>
      <c r="TBX1334" s="4" t="s">
        <v>2878</v>
      </c>
      <c r="TBY1334" s="4" t="s">
        <v>2878</v>
      </c>
      <c r="TBZ1334" s="4" t="s">
        <v>2878</v>
      </c>
      <c r="TCA1334" s="4" t="s">
        <v>2878</v>
      </c>
      <c r="TCB1334" s="4" t="s">
        <v>2878</v>
      </c>
      <c r="TCC1334" s="4" t="s">
        <v>2878</v>
      </c>
      <c r="TCD1334" s="4" t="s">
        <v>2878</v>
      </c>
      <c r="TCE1334" s="4" t="s">
        <v>2878</v>
      </c>
      <c r="TCF1334" s="4" t="s">
        <v>2878</v>
      </c>
      <c r="TCG1334" s="4" t="s">
        <v>2878</v>
      </c>
      <c r="TCH1334" s="4" t="s">
        <v>2878</v>
      </c>
      <c r="TCI1334" s="4" t="s">
        <v>2878</v>
      </c>
      <c r="TCJ1334" s="4" t="s">
        <v>2878</v>
      </c>
      <c r="TCK1334" s="4" t="s">
        <v>2878</v>
      </c>
      <c r="TCL1334" s="4" t="s">
        <v>2878</v>
      </c>
      <c r="TCM1334" s="4" t="s">
        <v>2878</v>
      </c>
      <c r="TCN1334" s="4" t="s">
        <v>2878</v>
      </c>
      <c r="TCO1334" s="4" t="s">
        <v>2878</v>
      </c>
      <c r="TCP1334" s="4" t="s">
        <v>2878</v>
      </c>
      <c r="TCQ1334" s="4" t="s">
        <v>2878</v>
      </c>
      <c r="TCR1334" s="4" t="s">
        <v>2878</v>
      </c>
      <c r="TCS1334" s="4" t="s">
        <v>2878</v>
      </c>
      <c r="TCT1334" s="4" t="s">
        <v>2878</v>
      </c>
      <c r="TCU1334" s="4" t="s">
        <v>2878</v>
      </c>
      <c r="TCV1334" s="4" t="s">
        <v>2878</v>
      </c>
      <c r="TCW1334" s="4" t="s">
        <v>2878</v>
      </c>
      <c r="TCX1334" s="4" t="s">
        <v>2878</v>
      </c>
      <c r="TCY1334" s="4" t="s">
        <v>2878</v>
      </c>
      <c r="TCZ1334" s="4" t="s">
        <v>2878</v>
      </c>
      <c r="TDA1334" s="4" t="s">
        <v>2878</v>
      </c>
      <c r="TDB1334" s="4" t="s">
        <v>2878</v>
      </c>
      <c r="TDC1334" s="4" t="s">
        <v>2878</v>
      </c>
      <c r="TDD1334" s="4" t="s">
        <v>2878</v>
      </c>
      <c r="TDE1334" s="4" t="s">
        <v>2878</v>
      </c>
      <c r="TDF1334" s="4" t="s">
        <v>2878</v>
      </c>
      <c r="TDG1334" s="4" t="s">
        <v>2878</v>
      </c>
      <c r="TDH1334" s="4" t="s">
        <v>2878</v>
      </c>
      <c r="TDI1334" s="4" t="s">
        <v>2878</v>
      </c>
      <c r="TDJ1334" s="4" t="s">
        <v>2878</v>
      </c>
      <c r="TDK1334" s="4" t="s">
        <v>2878</v>
      </c>
      <c r="TDL1334" s="4" t="s">
        <v>2878</v>
      </c>
      <c r="TDM1334" s="4" t="s">
        <v>2878</v>
      </c>
      <c r="TDN1334" s="4" t="s">
        <v>2878</v>
      </c>
      <c r="TDO1334" s="4" t="s">
        <v>2878</v>
      </c>
      <c r="TDP1334" s="4" t="s">
        <v>2878</v>
      </c>
      <c r="TDQ1334" s="4" t="s">
        <v>2878</v>
      </c>
      <c r="TDR1334" s="4" t="s">
        <v>2878</v>
      </c>
      <c r="TDS1334" s="4" t="s">
        <v>2878</v>
      </c>
      <c r="TDT1334" s="4" t="s">
        <v>2878</v>
      </c>
      <c r="TDU1334" s="4" t="s">
        <v>2878</v>
      </c>
      <c r="TDV1334" s="4" t="s">
        <v>2878</v>
      </c>
      <c r="TDW1334" s="4" t="s">
        <v>2878</v>
      </c>
      <c r="TDX1334" s="4" t="s">
        <v>2878</v>
      </c>
      <c r="TDY1334" s="4" t="s">
        <v>2878</v>
      </c>
      <c r="TDZ1334" s="4" t="s">
        <v>2878</v>
      </c>
      <c r="TEA1334" s="4" t="s">
        <v>2878</v>
      </c>
      <c r="TEB1334" s="4" t="s">
        <v>2878</v>
      </c>
      <c r="TEC1334" s="4" t="s">
        <v>2878</v>
      </c>
      <c r="TED1334" s="4" t="s">
        <v>2878</v>
      </c>
      <c r="TEE1334" s="4" t="s">
        <v>2878</v>
      </c>
      <c r="TEF1334" s="4" t="s">
        <v>2878</v>
      </c>
      <c r="TEG1334" s="4" t="s">
        <v>2878</v>
      </c>
      <c r="TEH1334" s="4" t="s">
        <v>2878</v>
      </c>
      <c r="TEI1334" s="4" t="s">
        <v>2878</v>
      </c>
      <c r="TEJ1334" s="4" t="s">
        <v>2878</v>
      </c>
      <c r="TEK1334" s="4" t="s">
        <v>2878</v>
      </c>
      <c r="TEL1334" s="4" t="s">
        <v>2878</v>
      </c>
      <c r="TEM1334" s="4" t="s">
        <v>2878</v>
      </c>
      <c r="TEN1334" s="4" t="s">
        <v>2878</v>
      </c>
      <c r="TEO1334" s="4" t="s">
        <v>2878</v>
      </c>
      <c r="TEP1334" s="4" t="s">
        <v>2878</v>
      </c>
      <c r="TEQ1334" s="4" t="s">
        <v>2878</v>
      </c>
      <c r="TER1334" s="4" t="s">
        <v>2878</v>
      </c>
      <c r="TES1334" s="4" t="s">
        <v>2878</v>
      </c>
      <c r="TET1334" s="4" t="s">
        <v>2878</v>
      </c>
      <c r="TEU1334" s="4" t="s">
        <v>2878</v>
      </c>
      <c r="TEV1334" s="4" t="s">
        <v>2878</v>
      </c>
      <c r="TEW1334" s="4" t="s">
        <v>2878</v>
      </c>
      <c r="TEX1334" s="4" t="s">
        <v>2878</v>
      </c>
      <c r="TEY1334" s="4" t="s">
        <v>2878</v>
      </c>
      <c r="TEZ1334" s="4" t="s">
        <v>2878</v>
      </c>
      <c r="TFA1334" s="4" t="s">
        <v>2878</v>
      </c>
      <c r="TFB1334" s="4" t="s">
        <v>2878</v>
      </c>
      <c r="TFC1334" s="4" t="s">
        <v>2878</v>
      </c>
      <c r="TFD1334" s="4" t="s">
        <v>2878</v>
      </c>
      <c r="TFE1334" s="4" t="s">
        <v>2878</v>
      </c>
      <c r="TFF1334" s="4" t="s">
        <v>2878</v>
      </c>
      <c r="TFG1334" s="4" t="s">
        <v>2878</v>
      </c>
      <c r="TFH1334" s="4" t="s">
        <v>2878</v>
      </c>
      <c r="TFI1334" s="4" t="s">
        <v>2878</v>
      </c>
      <c r="TFJ1334" s="4" t="s">
        <v>2878</v>
      </c>
      <c r="TFK1334" s="4" t="s">
        <v>2878</v>
      </c>
      <c r="TFL1334" s="4" t="s">
        <v>2878</v>
      </c>
      <c r="TFM1334" s="4" t="s">
        <v>2878</v>
      </c>
      <c r="TFN1334" s="4" t="s">
        <v>2878</v>
      </c>
      <c r="TFO1334" s="4" t="s">
        <v>2878</v>
      </c>
      <c r="TFP1334" s="4" t="s">
        <v>2878</v>
      </c>
      <c r="TFQ1334" s="4" t="s">
        <v>2878</v>
      </c>
      <c r="TFR1334" s="4" t="s">
        <v>2878</v>
      </c>
      <c r="TFS1334" s="4" t="s">
        <v>2878</v>
      </c>
      <c r="TFT1334" s="4" t="s">
        <v>2878</v>
      </c>
      <c r="TFU1334" s="4" t="s">
        <v>2878</v>
      </c>
      <c r="TFV1334" s="4" t="s">
        <v>2878</v>
      </c>
      <c r="TFW1334" s="4" t="s">
        <v>2878</v>
      </c>
      <c r="TFX1334" s="4" t="s">
        <v>2878</v>
      </c>
      <c r="TFY1334" s="4" t="s">
        <v>2878</v>
      </c>
      <c r="TFZ1334" s="4" t="s">
        <v>2878</v>
      </c>
      <c r="TGA1334" s="4" t="s">
        <v>2878</v>
      </c>
      <c r="TGB1334" s="4" t="s">
        <v>2878</v>
      </c>
      <c r="TGC1334" s="4" t="s">
        <v>2878</v>
      </c>
      <c r="TGD1334" s="4" t="s">
        <v>2878</v>
      </c>
      <c r="TGE1334" s="4" t="s">
        <v>2878</v>
      </c>
      <c r="TGF1334" s="4" t="s">
        <v>2878</v>
      </c>
      <c r="TGG1334" s="4" t="s">
        <v>2878</v>
      </c>
      <c r="TGH1334" s="4" t="s">
        <v>2878</v>
      </c>
      <c r="TGI1334" s="4" t="s">
        <v>2878</v>
      </c>
      <c r="TGJ1334" s="4" t="s">
        <v>2878</v>
      </c>
      <c r="TGK1334" s="4" t="s">
        <v>2878</v>
      </c>
      <c r="TGL1334" s="4" t="s">
        <v>2878</v>
      </c>
      <c r="TGM1334" s="4" t="s">
        <v>2878</v>
      </c>
      <c r="TGN1334" s="4" t="s">
        <v>2878</v>
      </c>
      <c r="TGO1334" s="4" t="s">
        <v>2878</v>
      </c>
      <c r="TGP1334" s="4" t="s">
        <v>2878</v>
      </c>
      <c r="TGQ1334" s="4" t="s">
        <v>2878</v>
      </c>
      <c r="TGR1334" s="4" t="s">
        <v>2878</v>
      </c>
      <c r="TGS1334" s="4" t="s">
        <v>2878</v>
      </c>
      <c r="TGT1334" s="4" t="s">
        <v>2878</v>
      </c>
      <c r="TGU1334" s="4" t="s">
        <v>2878</v>
      </c>
      <c r="TGV1334" s="4" t="s">
        <v>2878</v>
      </c>
      <c r="TGW1334" s="4" t="s">
        <v>2878</v>
      </c>
      <c r="TGX1334" s="4" t="s">
        <v>2878</v>
      </c>
      <c r="TGY1334" s="4" t="s">
        <v>2878</v>
      </c>
      <c r="TGZ1334" s="4" t="s">
        <v>2878</v>
      </c>
      <c r="THA1334" s="4" t="s">
        <v>2878</v>
      </c>
      <c r="THB1334" s="4" t="s">
        <v>2878</v>
      </c>
      <c r="THC1334" s="4" t="s">
        <v>2878</v>
      </c>
      <c r="THD1334" s="4" t="s">
        <v>2878</v>
      </c>
      <c r="THE1334" s="4" t="s">
        <v>2878</v>
      </c>
      <c r="THF1334" s="4" t="s">
        <v>2878</v>
      </c>
      <c r="THG1334" s="4" t="s">
        <v>2878</v>
      </c>
      <c r="THH1334" s="4" t="s">
        <v>2878</v>
      </c>
      <c r="THI1334" s="4" t="s">
        <v>2878</v>
      </c>
      <c r="THJ1334" s="4" t="s">
        <v>2878</v>
      </c>
      <c r="THK1334" s="4" t="s">
        <v>2878</v>
      </c>
      <c r="THL1334" s="4" t="s">
        <v>2878</v>
      </c>
      <c r="THM1334" s="4" t="s">
        <v>2878</v>
      </c>
      <c r="THN1334" s="4" t="s">
        <v>2878</v>
      </c>
      <c r="THO1334" s="4" t="s">
        <v>2878</v>
      </c>
      <c r="THP1334" s="4" t="s">
        <v>2878</v>
      </c>
      <c r="THQ1334" s="4" t="s">
        <v>2878</v>
      </c>
      <c r="THR1334" s="4" t="s">
        <v>2878</v>
      </c>
      <c r="THS1334" s="4" t="s">
        <v>2878</v>
      </c>
      <c r="THT1334" s="4" t="s">
        <v>2878</v>
      </c>
      <c r="THU1334" s="4" t="s">
        <v>2878</v>
      </c>
      <c r="THV1334" s="4" t="s">
        <v>2878</v>
      </c>
      <c r="THW1334" s="4" t="s">
        <v>2878</v>
      </c>
      <c r="THX1334" s="4" t="s">
        <v>2878</v>
      </c>
      <c r="THY1334" s="4" t="s">
        <v>2878</v>
      </c>
      <c r="THZ1334" s="4" t="s">
        <v>2878</v>
      </c>
      <c r="TIA1334" s="4" t="s">
        <v>2878</v>
      </c>
      <c r="TIB1334" s="4" t="s">
        <v>2878</v>
      </c>
      <c r="TIC1334" s="4" t="s">
        <v>2878</v>
      </c>
      <c r="TID1334" s="4" t="s">
        <v>2878</v>
      </c>
      <c r="TIE1334" s="4" t="s">
        <v>2878</v>
      </c>
      <c r="TIF1334" s="4" t="s">
        <v>2878</v>
      </c>
      <c r="TIG1334" s="4" t="s">
        <v>2878</v>
      </c>
      <c r="TIH1334" s="4" t="s">
        <v>2878</v>
      </c>
      <c r="TII1334" s="4" t="s">
        <v>2878</v>
      </c>
      <c r="TIJ1334" s="4" t="s">
        <v>2878</v>
      </c>
      <c r="TIK1334" s="4" t="s">
        <v>2878</v>
      </c>
      <c r="TIL1334" s="4" t="s">
        <v>2878</v>
      </c>
      <c r="TIM1334" s="4" t="s">
        <v>2878</v>
      </c>
      <c r="TIN1334" s="4" t="s">
        <v>2878</v>
      </c>
      <c r="TIO1334" s="4" t="s">
        <v>2878</v>
      </c>
      <c r="TIP1334" s="4" t="s">
        <v>2878</v>
      </c>
      <c r="TIQ1334" s="4" t="s">
        <v>2878</v>
      </c>
      <c r="TIR1334" s="4" t="s">
        <v>2878</v>
      </c>
      <c r="TIS1334" s="4" t="s">
        <v>2878</v>
      </c>
      <c r="TIT1334" s="4" t="s">
        <v>2878</v>
      </c>
      <c r="TIU1334" s="4" t="s">
        <v>2878</v>
      </c>
      <c r="TIV1334" s="4" t="s">
        <v>2878</v>
      </c>
      <c r="TIW1334" s="4" t="s">
        <v>2878</v>
      </c>
      <c r="TIX1334" s="4" t="s">
        <v>2878</v>
      </c>
      <c r="TIY1334" s="4" t="s">
        <v>2878</v>
      </c>
      <c r="TIZ1334" s="4" t="s">
        <v>2878</v>
      </c>
      <c r="TJA1334" s="4" t="s">
        <v>2878</v>
      </c>
      <c r="TJB1334" s="4" t="s">
        <v>2878</v>
      </c>
      <c r="TJC1334" s="4" t="s">
        <v>2878</v>
      </c>
      <c r="TJD1334" s="4" t="s">
        <v>2878</v>
      </c>
      <c r="TJE1334" s="4" t="s">
        <v>2878</v>
      </c>
      <c r="TJF1334" s="4" t="s">
        <v>2878</v>
      </c>
      <c r="TJG1334" s="4" t="s">
        <v>2878</v>
      </c>
      <c r="TJH1334" s="4" t="s">
        <v>2878</v>
      </c>
      <c r="TJI1334" s="4" t="s">
        <v>2878</v>
      </c>
      <c r="TJJ1334" s="4" t="s">
        <v>2878</v>
      </c>
      <c r="TJK1334" s="4" t="s">
        <v>2878</v>
      </c>
      <c r="TJL1334" s="4" t="s">
        <v>2878</v>
      </c>
      <c r="TJM1334" s="4" t="s">
        <v>2878</v>
      </c>
      <c r="TJN1334" s="4" t="s">
        <v>2878</v>
      </c>
      <c r="TJO1334" s="4" t="s">
        <v>2878</v>
      </c>
      <c r="TJP1334" s="4" t="s">
        <v>2878</v>
      </c>
      <c r="TJQ1334" s="4" t="s">
        <v>2878</v>
      </c>
      <c r="TJR1334" s="4" t="s">
        <v>2878</v>
      </c>
      <c r="TJS1334" s="4" t="s">
        <v>2878</v>
      </c>
      <c r="TJT1334" s="4" t="s">
        <v>2878</v>
      </c>
      <c r="TJU1334" s="4" t="s">
        <v>2878</v>
      </c>
      <c r="TJV1334" s="4" t="s">
        <v>2878</v>
      </c>
      <c r="TJW1334" s="4" t="s">
        <v>2878</v>
      </c>
      <c r="TJX1334" s="4" t="s">
        <v>2878</v>
      </c>
      <c r="TJY1334" s="4" t="s">
        <v>2878</v>
      </c>
      <c r="TJZ1334" s="4" t="s">
        <v>2878</v>
      </c>
      <c r="TKA1334" s="4" t="s">
        <v>2878</v>
      </c>
      <c r="TKB1334" s="4" t="s">
        <v>2878</v>
      </c>
      <c r="TKC1334" s="4" t="s">
        <v>2878</v>
      </c>
      <c r="TKD1334" s="4" t="s">
        <v>2878</v>
      </c>
      <c r="TKE1334" s="4" t="s">
        <v>2878</v>
      </c>
      <c r="TKF1334" s="4" t="s">
        <v>2878</v>
      </c>
      <c r="TKG1334" s="4" t="s">
        <v>2878</v>
      </c>
      <c r="TKH1334" s="4" t="s">
        <v>2878</v>
      </c>
      <c r="TKI1334" s="4" t="s">
        <v>2878</v>
      </c>
      <c r="TKJ1334" s="4" t="s">
        <v>2878</v>
      </c>
      <c r="TKK1334" s="4" t="s">
        <v>2878</v>
      </c>
      <c r="TKL1334" s="4" t="s">
        <v>2878</v>
      </c>
      <c r="TKM1334" s="4" t="s">
        <v>2878</v>
      </c>
      <c r="TKN1334" s="4" t="s">
        <v>2878</v>
      </c>
      <c r="TKO1334" s="4" t="s">
        <v>2878</v>
      </c>
      <c r="TKP1334" s="4" t="s">
        <v>2878</v>
      </c>
      <c r="TKQ1334" s="4" t="s">
        <v>2878</v>
      </c>
      <c r="TKR1334" s="4" t="s">
        <v>2878</v>
      </c>
      <c r="TKS1334" s="4" t="s">
        <v>2878</v>
      </c>
      <c r="TKT1334" s="4" t="s">
        <v>2878</v>
      </c>
      <c r="TKU1334" s="4" t="s">
        <v>2878</v>
      </c>
      <c r="TKV1334" s="4" t="s">
        <v>2878</v>
      </c>
      <c r="TKW1334" s="4" t="s">
        <v>2878</v>
      </c>
      <c r="TKX1334" s="4" t="s">
        <v>2878</v>
      </c>
      <c r="TKY1334" s="4" t="s">
        <v>2878</v>
      </c>
      <c r="TKZ1334" s="4" t="s">
        <v>2878</v>
      </c>
      <c r="TLA1334" s="4" t="s">
        <v>2878</v>
      </c>
      <c r="TLB1334" s="4" t="s">
        <v>2878</v>
      </c>
      <c r="TLC1334" s="4" t="s">
        <v>2878</v>
      </c>
      <c r="TLD1334" s="4" t="s">
        <v>2878</v>
      </c>
      <c r="TLE1334" s="4" t="s">
        <v>2878</v>
      </c>
      <c r="TLF1334" s="4" t="s">
        <v>2878</v>
      </c>
      <c r="TLG1334" s="4" t="s">
        <v>2878</v>
      </c>
      <c r="TLH1334" s="4" t="s">
        <v>2878</v>
      </c>
      <c r="TLI1334" s="4" t="s">
        <v>2878</v>
      </c>
      <c r="TLJ1334" s="4" t="s">
        <v>2878</v>
      </c>
      <c r="TLK1334" s="4" t="s">
        <v>2878</v>
      </c>
      <c r="TLL1334" s="4" t="s">
        <v>2878</v>
      </c>
      <c r="TLM1334" s="4" t="s">
        <v>2878</v>
      </c>
      <c r="TLN1334" s="4" t="s">
        <v>2878</v>
      </c>
      <c r="TLO1334" s="4" t="s">
        <v>2878</v>
      </c>
      <c r="TLP1334" s="4" t="s">
        <v>2878</v>
      </c>
      <c r="TLQ1334" s="4" t="s">
        <v>2878</v>
      </c>
      <c r="TLR1334" s="4" t="s">
        <v>2878</v>
      </c>
      <c r="TLS1334" s="4" t="s">
        <v>2878</v>
      </c>
      <c r="TLT1334" s="4" t="s">
        <v>2878</v>
      </c>
      <c r="TLU1334" s="4" t="s">
        <v>2878</v>
      </c>
      <c r="TLV1334" s="4" t="s">
        <v>2878</v>
      </c>
      <c r="TLW1334" s="4" t="s">
        <v>2878</v>
      </c>
      <c r="TLX1334" s="4" t="s">
        <v>2878</v>
      </c>
      <c r="TLY1334" s="4" t="s">
        <v>2878</v>
      </c>
      <c r="TLZ1334" s="4" t="s">
        <v>2878</v>
      </c>
      <c r="TMA1334" s="4" t="s">
        <v>2878</v>
      </c>
      <c r="TMB1334" s="4" t="s">
        <v>2878</v>
      </c>
      <c r="TMC1334" s="4" t="s">
        <v>2878</v>
      </c>
      <c r="TMD1334" s="4" t="s">
        <v>2878</v>
      </c>
      <c r="TME1334" s="4" t="s">
        <v>2878</v>
      </c>
      <c r="TMF1334" s="4" t="s">
        <v>2878</v>
      </c>
      <c r="TMG1334" s="4" t="s">
        <v>2878</v>
      </c>
      <c r="TMH1334" s="4" t="s">
        <v>2878</v>
      </c>
      <c r="TMI1334" s="4" t="s">
        <v>2878</v>
      </c>
      <c r="TMJ1334" s="4" t="s">
        <v>2878</v>
      </c>
      <c r="TMK1334" s="4" t="s">
        <v>2878</v>
      </c>
      <c r="TML1334" s="4" t="s">
        <v>2878</v>
      </c>
      <c r="TMM1334" s="4" t="s">
        <v>2878</v>
      </c>
      <c r="TMN1334" s="4" t="s">
        <v>2878</v>
      </c>
      <c r="TMO1334" s="4" t="s">
        <v>2878</v>
      </c>
      <c r="TMP1334" s="4" t="s">
        <v>2878</v>
      </c>
      <c r="TMQ1334" s="4" t="s">
        <v>2878</v>
      </c>
      <c r="TMR1334" s="4" t="s">
        <v>2878</v>
      </c>
      <c r="TMS1334" s="4" t="s">
        <v>2878</v>
      </c>
      <c r="TMT1334" s="4" t="s">
        <v>2878</v>
      </c>
      <c r="TMU1334" s="4" t="s">
        <v>2878</v>
      </c>
      <c r="TMV1334" s="4" t="s">
        <v>2878</v>
      </c>
      <c r="TMW1334" s="4" t="s">
        <v>2878</v>
      </c>
      <c r="TMX1334" s="4" t="s">
        <v>2878</v>
      </c>
      <c r="TMY1334" s="4" t="s">
        <v>2878</v>
      </c>
      <c r="TMZ1334" s="4" t="s">
        <v>2878</v>
      </c>
      <c r="TNA1334" s="4" t="s">
        <v>2878</v>
      </c>
      <c r="TNB1334" s="4" t="s">
        <v>2878</v>
      </c>
      <c r="TNC1334" s="4" t="s">
        <v>2878</v>
      </c>
      <c r="TND1334" s="4" t="s">
        <v>2878</v>
      </c>
      <c r="TNE1334" s="4" t="s">
        <v>2878</v>
      </c>
      <c r="TNF1334" s="4" t="s">
        <v>2878</v>
      </c>
      <c r="TNG1334" s="4" t="s">
        <v>2878</v>
      </c>
      <c r="TNH1334" s="4" t="s">
        <v>2878</v>
      </c>
      <c r="TNI1334" s="4" t="s">
        <v>2878</v>
      </c>
      <c r="TNJ1334" s="4" t="s">
        <v>2878</v>
      </c>
      <c r="TNK1334" s="4" t="s">
        <v>2878</v>
      </c>
      <c r="TNL1334" s="4" t="s">
        <v>2878</v>
      </c>
      <c r="TNM1334" s="4" t="s">
        <v>2878</v>
      </c>
      <c r="TNN1334" s="4" t="s">
        <v>2878</v>
      </c>
      <c r="TNO1334" s="4" t="s">
        <v>2878</v>
      </c>
      <c r="TNP1334" s="4" t="s">
        <v>2878</v>
      </c>
      <c r="TNQ1334" s="4" t="s">
        <v>2878</v>
      </c>
      <c r="TNR1334" s="4" t="s">
        <v>2878</v>
      </c>
      <c r="TNS1334" s="4" t="s">
        <v>2878</v>
      </c>
      <c r="TNT1334" s="4" t="s">
        <v>2878</v>
      </c>
      <c r="TNU1334" s="4" t="s">
        <v>2878</v>
      </c>
      <c r="TNV1334" s="4" t="s">
        <v>2878</v>
      </c>
      <c r="TNW1334" s="4" t="s">
        <v>2878</v>
      </c>
      <c r="TNX1334" s="4" t="s">
        <v>2878</v>
      </c>
      <c r="TNY1334" s="4" t="s">
        <v>2878</v>
      </c>
      <c r="TNZ1334" s="4" t="s">
        <v>2878</v>
      </c>
      <c r="TOA1334" s="4" t="s">
        <v>2878</v>
      </c>
      <c r="TOB1334" s="4" t="s">
        <v>2878</v>
      </c>
      <c r="TOC1334" s="4" t="s">
        <v>2878</v>
      </c>
      <c r="TOD1334" s="4" t="s">
        <v>2878</v>
      </c>
      <c r="TOE1334" s="4" t="s">
        <v>2878</v>
      </c>
      <c r="TOF1334" s="4" t="s">
        <v>2878</v>
      </c>
      <c r="TOG1334" s="4" t="s">
        <v>2878</v>
      </c>
      <c r="TOH1334" s="4" t="s">
        <v>2878</v>
      </c>
      <c r="TOI1334" s="4" t="s">
        <v>2878</v>
      </c>
      <c r="TOJ1334" s="4" t="s">
        <v>2878</v>
      </c>
      <c r="TOK1334" s="4" t="s">
        <v>2878</v>
      </c>
      <c r="TOL1334" s="4" t="s">
        <v>2878</v>
      </c>
      <c r="TOM1334" s="4" t="s">
        <v>2878</v>
      </c>
      <c r="TON1334" s="4" t="s">
        <v>2878</v>
      </c>
      <c r="TOO1334" s="4" t="s">
        <v>2878</v>
      </c>
      <c r="TOP1334" s="4" t="s">
        <v>2878</v>
      </c>
      <c r="TOQ1334" s="4" t="s">
        <v>2878</v>
      </c>
      <c r="TOR1334" s="4" t="s">
        <v>2878</v>
      </c>
      <c r="TOS1334" s="4" t="s">
        <v>2878</v>
      </c>
      <c r="TOT1334" s="4" t="s">
        <v>2878</v>
      </c>
      <c r="TOU1334" s="4" t="s">
        <v>2878</v>
      </c>
      <c r="TOV1334" s="4" t="s">
        <v>2878</v>
      </c>
      <c r="TOW1334" s="4" t="s">
        <v>2878</v>
      </c>
      <c r="TOX1334" s="4" t="s">
        <v>2878</v>
      </c>
      <c r="TOY1334" s="4" t="s">
        <v>2878</v>
      </c>
      <c r="TOZ1334" s="4" t="s">
        <v>2878</v>
      </c>
      <c r="TPA1334" s="4" t="s">
        <v>2878</v>
      </c>
      <c r="TPB1334" s="4" t="s">
        <v>2878</v>
      </c>
      <c r="TPC1334" s="4" t="s">
        <v>2878</v>
      </c>
      <c r="TPD1334" s="4" t="s">
        <v>2878</v>
      </c>
      <c r="TPE1334" s="4" t="s">
        <v>2878</v>
      </c>
      <c r="TPF1334" s="4" t="s">
        <v>2878</v>
      </c>
      <c r="TPG1334" s="4" t="s">
        <v>2878</v>
      </c>
      <c r="TPH1334" s="4" t="s">
        <v>2878</v>
      </c>
      <c r="TPI1334" s="4" t="s">
        <v>2878</v>
      </c>
      <c r="TPJ1334" s="4" t="s">
        <v>2878</v>
      </c>
      <c r="TPK1334" s="4" t="s">
        <v>2878</v>
      </c>
      <c r="TPL1334" s="4" t="s">
        <v>2878</v>
      </c>
      <c r="TPM1334" s="4" t="s">
        <v>2878</v>
      </c>
      <c r="TPN1334" s="4" t="s">
        <v>2878</v>
      </c>
      <c r="TPO1334" s="4" t="s">
        <v>2878</v>
      </c>
      <c r="TPP1334" s="4" t="s">
        <v>2878</v>
      </c>
      <c r="TPQ1334" s="4" t="s">
        <v>2878</v>
      </c>
      <c r="TPR1334" s="4" t="s">
        <v>2878</v>
      </c>
      <c r="TPS1334" s="4" t="s">
        <v>2878</v>
      </c>
      <c r="TPT1334" s="4" t="s">
        <v>2878</v>
      </c>
      <c r="TPU1334" s="4" t="s">
        <v>2878</v>
      </c>
      <c r="TPV1334" s="4" t="s">
        <v>2878</v>
      </c>
      <c r="TPW1334" s="4" t="s">
        <v>2878</v>
      </c>
      <c r="TPX1334" s="4" t="s">
        <v>2878</v>
      </c>
      <c r="TPY1334" s="4" t="s">
        <v>2878</v>
      </c>
      <c r="TPZ1334" s="4" t="s">
        <v>2878</v>
      </c>
      <c r="TQA1334" s="4" t="s">
        <v>2878</v>
      </c>
      <c r="TQB1334" s="4" t="s">
        <v>2878</v>
      </c>
      <c r="TQC1334" s="4" t="s">
        <v>2878</v>
      </c>
      <c r="TQD1334" s="4" t="s">
        <v>2878</v>
      </c>
      <c r="TQE1334" s="4" t="s">
        <v>2878</v>
      </c>
      <c r="TQF1334" s="4" t="s">
        <v>2878</v>
      </c>
      <c r="TQG1334" s="4" t="s">
        <v>2878</v>
      </c>
      <c r="TQH1334" s="4" t="s">
        <v>2878</v>
      </c>
      <c r="TQI1334" s="4" t="s">
        <v>2878</v>
      </c>
      <c r="TQJ1334" s="4" t="s">
        <v>2878</v>
      </c>
      <c r="TQK1334" s="4" t="s">
        <v>2878</v>
      </c>
      <c r="TQL1334" s="4" t="s">
        <v>2878</v>
      </c>
      <c r="TQM1334" s="4" t="s">
        <v>2878</v>
      </c>
      <c r="TQN1334" s="4" t="s">
        <v>2878</v>
      </c>
      <c r="TQO1334" s="4" t="s">
        <v>2878</v>
      </c>
      <c r="TQP1334" s="4" t="s">
        <v>2878</v>
      </c>
      <c r="TQQ1334" s="4" t="s">
        <v>2878</v>
      </c>
      <c r="TQR1334" s="4" t="s">
        <v>2878</v>
      </c>
      <c r="TQS1334" s="4" t="s">
        <v>2878</v>
      </c>
      <c r="TQT1334" s="4" t="s">
        <v>2878</v>
      </c>
      <c r="TQU1334" s="4" t="s">
        <v>2878</v>
      </c>
      <c r="TQV1334" s="4" t="s">
        <v>2878</v>
      </c>
      <c r="TQW1334" s="4" t="s">
        <v>2878</v>
      </c>
      <c r="TQX1334" s="4" t="s">
        <v>2878</v>
      </c>
      <c r="TQY1334" s="4" t="s">
        <v>2878</v>
      </c>
      <c r="TQZ1334" s="4" t="s">
        <v>2878</v>
      </c>
      <c r="TRA1334" s="4" t="s">
        <v>2878</v>
      </c>
      <c r="TRB1334" s="4" t="s">
        <v>2878</v>
      </c>
      <c r="TRC1334" s="4" t="s">
        <v>2878</v>
      </c>
      <c r="TRD1334" s="4" t="s">
        <v>2878</v>
      </c>
      <c r="TRE1334" s="4" t="s">
        <v>2878</v>
      </c>
      <c r="TRF1334" s="4" t="s">
        <v>2878</v>
      </c>
      <c r="TRG1334" s="4" t="s">
        <v>2878</v>
      </c>
      <c r="TRH1334" s="4" t="s">
        <v>2878</v>
      </c>
      <c r="TRI1334" s="4" t="s">
        <v>2878</v>
      </c>
      <c r="TRJ1334" s="4" t="s">
        <v>2878</v>
      </c>
      <c r="TRK1334" s="4" t="s">
        <v>2878</v>
      </c>
      <c r="TRL1334" s="4" t="s">
        <v>2878</v>
      </c>
      <c r="TRM1334" s="4" t="s">
        <v>2878</v>
      </c>
      <c r="TRN1334" s="4" t="s">
        <v>2878</v>
      </c>
      <c r="TRO1334" s="4" t="s">
        <v>2878</v>
      </c>
      <c r="TRP1334" s="4" t="s">
        <v>2878</v>
      </c>
      <c r="TRQ1334" s="4" t="s">
        <v>2878</v>
      </c>
      <c r="TRR1334" s="4" t="s">
        <v>2878</v>
      </c>
      <c r="TRS1334" s="4" t="s">
        <v>2878</v>
      </c>
      <c r="TRT1334" s="4" t="s">
        <v>2878</v>
      </c>
      <c r="TRU1334" s="4" t="s">
        <v>2878</v>
      </c>
      <c r="TRV1334" s="4" t="s">
        <v>2878</v>
      </c>
      <c r="TRW1334" s="4" t="s">
        <v>2878</v>
      </c>
      <c r="TRX1334" s="4" t="s">
        <v>2878</v>
      </c>
      <c r="TRY1334" s="4" t="s">
        <v>2878</v>
      </c>
      <c r="TRZ1334" s="4" t="s">
        <v>2878</v>
      </c>
      <c r="TSA1334" s="4" t="s">
        <v>2878</v>
      </c>
      <c r="TSB1334" s="4" t="s">
        <v>2878</v>
      </c>
      <c r="TSC1334" s="4" t="s">
        <v>2878</v>
      </c>
      <c r="TSD1334" s="4" t="s">
        <v>2878</v>
      </c>
      <c r="TSE1334" s="4" t="s">
        <v>2878</v>
      </c>
      <c r="TSF1334" s="4" t="s">
        <v>2878</v>
      </c>
      <c r="TSG1334" s="4" t="s">
        <v>2878</v>
      </c>
      <c r="TSH1334" s="4" t="s">
        <v>2878</v>
      </c>
      <c r="TSI1334" s="4" t="s">
        <v>2878</v>
      </c>
      <c r="TSJ1334" s="4" t="s">
        <v>2878</v>
      </c>
      <c r="TSK1334" s="4" t="s">
        <v>2878</v>
      </c>
      <c r="TSL1334" s="4" t="s">
        <v>2878</v>
      </c>
      <c r="TSM1334" s="4" t="s">
        <v>2878</v>
      </c>
      <c r="TSN1334" s="4" t="s">
        <v>2878</v>
      </c>
      <c r="TSO1334" s="4" t="s">
        <v>2878</v>
      </c>
      <c r="TSP1334" s="4" t="s">
        <v>2878</v>
      </c>
      <c r="TSQ1334" s="4" t="s">
        <v>2878</v>
      </c>
      <c r="TSR1334" s="4" t="s">
        <v>2878</v>
      </c>
      <c r="TSS1334" s="4" t="s">
        <v>2878</v>
      </c>
      <c r="TST1334" s="4" t="s">
        <v>2878</v>
      </c>
      <c r="TSU1334" s="4" t="s">
        <v>2878</v>
      </c>
      <c r="TSV1334" s="4" t="s">
        <v>2878</v>
      </c>
      <c r="TSW1334" s="4" t="s">
        <v>2878</v>
      </c>
      <c r="TSX1334" s="4" t="s">
        <v>2878</v>
      </c>
      <c r="TSY1334" s="4" t="s">
        <v>2878</v>
      </c>
      <c r="TSZ1334" s="4" t="s">
        <v>2878</v>
      </c>
      <c r="TTA1334" s="4" t="s">
        <v>2878</v>
      </c>
      <c r="TTB1334" s="4" t="s">
        <v>2878</v>
      </c>
      <c r="TTC1334" s="4" t="s">
        <v>2878</v>
      </c>
      <c r="TTD1334" s="4" t="s">
        <v>2878</v>
      </c>
      <c r="TTE1334" s="4" t="s">
        <v>2878</v>
      </c>
      <c r="TTF1334" s="4" t="s">
        <v>2878</v>
      </c>
      <c r="TTG1334" s="4" t="s">
        <v>2878</v>
      </c>
      <c r="TTH1334" s="4" t="s">
        <v>2878</v>
      </c>
      <c r="TTI1334" s="4" t="s">
        <v>2878</v>
      </c>
      <c r="TTJ1334" s="4" t="s">
        <v>2878</v>
      </c>
      <c r="TTK1334" s="4" t="s">
        <v>2878</v>
      </c>
      <c r="TTL1334" s="4" t="s">
        <v>2878</v>
      </c>
      <c r="TTM1334" s="4" t="s">
        <v>2878</v>
      </c>
      <c r="TTN1334" s="4" t="s">
        <v>2878</v>
      </c>
      <c r="TTO1334" s="4" t="s">
        <v>2878</v>
      </c>
      <c r="TTP1334" s="4" t="s">
        <v>2878</v>
      </c>
      <c r="TTQ1334" s="4" t="s">
        <v>2878</v>
      </c>
      <c r="TTR1334" s="4" t="s">
        <v>2878</v>
      </c>
      <c r="TTS1334" s="4" t="s">
        <v>2878</v>
      </c>
      <c r="TTT1334" s="4" t="s">
        <v>2878</v>
      </c>
      <c r="TTU1334" s="4" t="s">
        <v>2878</v>
      </c>
      <c r="TTV1334" s="4" t="s">
        <v>2878</v>
      </c>
      <c r="TTW1334" s="4" t="s">
        <v>2878</v>
      </c>
      <c r="TTX1334" s="4" t="s">
        <v>2878</v>
      </c>
      <c r="TTY1334" s="4" t="s">
        <v>2878</v>
      </c>
      <c r="TTZ1334" s="4" t="s">
        <v>2878</v>
      </c>
      <c r="TUA1334" s="4" t="s">
        <v>2878</v>
      </c>
      <c r="TUB1334" s="4" t="s">
        <v>2878</v>
      </c>
      <c r="TUC1334" s="4" t="s">
        <v>2878</v>
      </c>
      <c r="TUD1334" s="4" t="s">
        <v>2878</v>
      </c>
      <c r="TUE1334" s="4" t="s">
        <v>2878</v>
      </c>
      <c r="TUF1334" s="4" t="s">
        <v>2878</v>
      </c>
      <c r="TUG1334" s="4" t="s">
        <v>2878</v>
      </c>
      <c r="TUH1334" s="4" t="s">
        <v>2878</v>
      </c>
      <c r="TUI1334" s="4" t="s">
        <v>2878</v>
      </c>
      <c r="TUJ1334" s="4" t="s">
        <v>2878</v>
      </c>
      <c r="TUK1334" s="4" t="s">
        <v>2878</v>
      </c>
      <c r="TUL1334" s="4" t="s">
        <v>2878</v>
      </c>
      <c r="TUM1334" s="4" t="s">
        <v>2878</v>
      </c>
      <c r="TUN1334" s="4" t="s">
        <v>2878</v>
      </c>
      <c r="TUO1334" s="4" t="s">
        <v>2878</v>
      </c>
      <c r="TUP1334" s="4" t="s">
        <v>2878</v>
      </c>
      <c r="TUQ1334" s="4" t="s">
        <v>2878</v>
      </c>
      <c r="TUR1334" s="4" t="s">
        <v>2878</v>
      </c>
      <c r="TUS1334" s="4" t="s">
        <v>2878</v>
      </c>
      <c r="TUT1334" s="4" t="s">
        <v>2878</v>
      </c>
      <c r="TUU1334" s="4" t="s">
        <v>2878</v>
      </c>
      <c r="TUV1334" s="4" t="s">
        <v>2878</v>
      </c>
      <c r="TUW1334" s="4" t="s">
        <v>2878</v>
      </c>
      <c r="TUX1334" s="4" t="s">
        <v>2878</v>
      </c>
      <c r="TUY1334" s="4" t="s">
        <v>2878</v>
      </c>
      <c r="TUZ1334" s="4" t="s">
        <v>2878</v>
      </c>
      <c r="TVA1334" s="4" t="s">
        <v>2878</v>
      </c>
      <c r="TVB1334" s="4" t="s">
        <v>2878</v>
      </c>
      <c r="TVC1334" s="4" t="s">
        <v>2878</v>
      </c>
      <c r="TVD1334" s="4" t="s">
        <v>2878</v>
      </c>
      <c r="TVE1334" s="4" t="s">
        <v>2878</v>
      </c>
      <c r="TVF1334" s="4" t="s">
        <v>2878</v>
      </c>
      <c r="TVG1334" s="4" t="s">
        <v>2878</v>
      </c>
      <c r="TVH1334" s="4" t="s">
        <v>2878</v>
      </c>
      <c r="TVI1334" s="4" t="s">
        <v>2878</v>
      </c>
      <c r="TVJ1334" s="4" t="s">
        <v>2878</v>
      </c>
      <c r="TVK1334" s="4" t="s">
        <v>2878</v>
      </c>
      <c r="TVL1334" s="4" t="s">
        <v>2878</v>
      </c>
      <c r="TVM1334" s="4" t="s">
        <v>2878</v>
      </c>
      <c r="TVN1334" s="4" t="s">
        <v>2878</v>
      </c>
      <c r="TVO1334" s="4" t="s">
        <v>2878</v>
      </c>
      <c r="TVP1334" s="4" t="s">
        <v>2878</v>
      </c>
      <c r="TVQ1334" s="4" t="s">
        <v>2878</v>
      </c>
      <c r="TVR1334" s="4" t="s">
        <v>2878</v>
      </c>
      <c r="TVS1334" s="4" t="s">
        <v>2878</v>
      </c>
      <c r="TVT1334" s="4" t="s">
        <v>2878</v>
      </c>
      <c r="TVU1334" s="4" t="s">
        <v>2878</v>
      </c>
      <c r="TVV1334" s="4" t="s">
        <v>2878</v>
      </c>
      <c r="TVW1334" s="4" t="s">
        <v>2878</v>
      </c>
      <c r="TVX1334" s="4" t="s">
        <v>2878</v>
      </c>
      <c r="TVY1334" s="4" t="s">
        <v>2878</v>
      </c>
      <c r="TVZ1334" s="4" t="s">
        <v>2878</v>
      </c>
      <c r="TWA1334" s="4" t="s">
        <v>2878</v>
      </c>
      <c r="TWB1334" s="4" t="s">
        <v>2878</v>
      </c>
      <c r="TWC1334" s="4" t="s">
        <v>2878</v>
      </c>
      <c r="TWD1334" s="4" t="s">
        <v>2878</v>
      </c>
      <c r="TWE1334" s="4" t="s">
        <v>2878</v>
      </c>
      <c r="TWF1334" s="4" t="s">
        <v>2878</v>
      </c>
      <c r="TWG1334" s="4" t="s">
        <v>2878</v>
      </c>
      <c r="TWH1334" s="4" t="s">
        <v>2878</v>
      </c>
      <c r="TWI1334" s="4" t="s">
        <v>2878</v>
      </c>
      <c r="TWJ1334" s="4" t="s">
        <v>2878</v>
      </c>
      <c r="TWK1334" s="4" t="s">
        <v>2878</v>
      </c>
      <c r="TWL1334" s="4" t="s">
        <v>2878</v>
      </c>
      <c r="TWM1334" s="4" t="s">
        <v>2878</v>
      </c>
      <c r="TWN1334" s="4" t="s">
        <v>2878</v>
      </c>
      <c r="TWO1334" s="4" t="s">
        <v>2878</v>
      </c>
      <c r="TWP1334" s="4" t="s">
        <v>2878</v>
      </c>
      <c r="TWQ1334" s="4" t="s">
        <v>2878</v>
      </c>
      <c r="TWR1334" s="4" t="s">
        <v>2878</v>
      </c>
      <c r="TWS1334" s="4" t="s">
        <v>2878</v>
      </c>
      <c r="TWT1334" s="4" t="s">
        <v>2878</v>
      </c>
      <c r="TWU1334" s="4" t="s">
        <v>2878</v>
      </c>
      <c r="TWV1334" s="4" t="s">
        <v>2878</v>
      </c>
      <c r="TWW1334" s="4" t="s">
        <v>2878</v>
      </c>
      <c r="TWX1334" s="4" t="s">
        <v>2878</v>
      </c>
      <c r="TWY1334" s="4" t="s">
        <v>2878</v>
      </c>
      <c r="TWZ1334" s="4" t="s">
        <v>2878</v>
      </c>
      <c r="TXA1334" s="4" t="s">
        <v>2878</v>
      </c>
      <c r="TXB1334" s="4" t="s">
        <v>2878</v>
      </c>
      <c r="TXC1334" s="4" t="s">
        <v>2878</v>
      </c>
      <c r="TXD1334" s="4" t="s">
        <v>2878</v>
      </c>
      <c r="TXE1334" s="4" t="s">
        <v>2878</v>
      </c>
      <c r="TXF1334" s="4" t="s">
        <v>2878</v>
      </c>
      <c r="TXG1334" s="4" t="s">
        <v>2878</v>
      </c>
      <c r="TXH1334" s="4" t="s">
        <v>2878</v>
      </c>
      <c r="TXI1334" s="4" t="s">
        <v>2878</v>
      </c>
      <c r="TXJ1334" s="4" t="s">
        <v>2878</v>
      </c>
      <c r="TXK1334" s="4" t="s">
        <v>2878</v>
      </c>
      <c r="TXL1334" s="4" t="s">
        <v>2878</v>
      </c>
      <c r="TXM1334" s="4" t="s">
        <v>2878</v>
      </c>
      <c r="TXN1334" s="4" t="s">
        <v>2878</v>
      </c>
      <c r="TXO1334" s="4" t="s">
        <v>2878</v>
      </c>
      <c r="TXP1334" s="4" t="s">
        <v>2878</v>
      </c>
      <c r="TXQ1334" s="4" t="s">
        <v>2878</v>
      </c>
      <c r="TXR1334" s="4" t="s">
        <v>2878</v>
      </c>
      <c r="TXS1334" s="4" t="s">
        <v>2878</v>
      </c>
      <c r="TXT1334" s="4" t="s">
        <v>2878</v>
      </c>
      <c r="TXU1334" s="4" t="s">
        <v>2878</v>
      </c>
      <c r="TXV1334" s="4" t="s">
        <v>2878</v>
      </c>
      <c r="TXW1334" s="4" t="s">
        <v>2878</v>
      </c>
      <c r="TXX1334" s="4" t="s">
        <v>2878</v>
      </c>
      <c r="TXY1334" s="4" t="s">
        <v>2878</v>
      </c>
      <c r="TXZ1334" s="4" t="s">
        <v>2878</v>
      </c>
      <c r="TYA1334" s="4" t="s">
        <v>2878</v>
      </c>
      <c r="TYB1334" s="4" t="s">
        <v>2878</v>
      </c>
      <c r="TYC1334" s="4" t="s">
        <v>2878</v>
      </c>
      <c r="TYD1334" s="4" t="s">
        <v>2878</v>
      </c>
      <c r="TYE1334" s="4" t="s">
        <v>2878</v>
      </c>
      <c r="TYF1334" s="4" t="s">
        <v>2878</v>
      </c>
      <c r="TYG1334" s="4" t="s">
        <v>2878</v>
      </c>
      <c r="TYH1334" s="4" t="s">
        <v>2878</v>
      </c>
      <c r="TYI1334" s="4" t="s">
        <v>2878</v>
      </c>
      <c r="TYJ1334" s="4" t="s">
        <v>2878</v>
      </c>
      <c r="TYK1334" s="4" t="s">
        <v>2878</v>
      </c>
      <c r="TYL1334" s="4" t="s">
        <v>2878</v>
      </c>
      <c r="TYM1334" s="4" t="s">
        <v>2878</v>
      </c>
      <c r="TYN1334" s="4" t="s">
        <v>2878</v>
      </c>
      <c r="TYO1334" s="4" t="s">
        <v>2878</v>
      </c>
      <c r="TYP1334" s="4" t="s">
        <v>2878</v>
      </c>
      <c r="TYQ1334" s="4" t="s">
        <v>2878</v>
      </c>
      <c r="TYR1334" s="4" t="s">
        <v>2878</v>
      </c>
      <c r="TYS1334" s="4" t="s">
        <v>2878</v>
      </c>
      <c r="TYT1334" s="4" t="s">
        <v>2878</v>
      </c>
      <c r="TYU1334" s="4" t="s">
        <v>2878</v>
      </c>
      <c r="TYV1334" s="4" t="s">
        <v>2878</v>
      </c>
      <c r="TYW1334" s="4" t="s">
        <v>2878</v>
      </c>
      <c r="TYX1334" s="4" t="s">
        <v>2878</v>
      </c>
      <c r="TYY1334" s="4" t="s">
        <v>2878</v>
      </c>
      <c r="TYZ1334" s="4" t="s">
        <v>2878</v>
      </c>
      <c r="TZA1334" s="4" t="s">
        <v>2878</v>
      </c>
      <c r="TZB1334" s="4" t="s">
        <v>2878</v>
      </c>
      <c r="TZC1334" s="4" t="s">
        <v>2878</v>
      </c>
      <c r="TZD1334" s="4" t="s">
        <v>2878</v>
      </c>
      <c r="TZE1334" s="4" t="s">
        <v>2878</v>
      </c>
      <c r="TZF1334" s="4" t="s">
        <v>2878</v>
      </c>
      <c r="TZG1334" s="4" t="s">
        <v>2878</v>
      </c>
      <c r="TZH1334" s="4" t="s">
        <v>2878</v>
      </c>
      <c r="TZI1334" s="4" t="s">
        <v>2878</v>
      </c>
      <c r="TZJ1334" s="4" t="s">
        <v>2878</v>
      </c>
      <c r="TZK1334" s="4" t="s">
        <v>2878</v>
      </c>
      <c r="TZL1334" s="4" t="s">
        <v>2878</v>
      </c>
      <c r="TZM1334" s="4" t="s">
        <v>2878</v>
      </c>
      <c r="TZN1334" s="4" t="s">
        <v>2878</v>
      </c>
      <c r="TZO1334" s="4" t="s">
        <v>2878</v>
      </c>
      <c r="TZP1334" s="4" t="s">
        <v>2878</v>
      </c>
      <c r="TZQ1334" s="4" t="s">
        <v>2878</v>
      </c>
      <c r="TZR1334" s="4" t="s">
        <v>2878</v>
      </c>
      <c r="TZS1334" s="4" t="s">
        <v>2878</v>
      </c>
      <c r="TZT1334" s="4" t="s">
        <v>2878</v>
      </c>
      <c r="TZU1334" s="4" t="s">
        <v>2878</v>
      </c>
      <c r="TZV1334" s="4" t="s">
        <v>2878</v>
      </c>
      <c r="TZW1334" s="4" t="s">
        <v>2878</v>
      </c>
      <c r="TZX1334" s="4" t="s">
        <v>2878</v>
      </c>
      <c r="TZY1334" s="4" t="s">
        <v>2878</v>
      </c>
      <c r="TZZ1334" s="4" t="s">
        <v>2878</v>
      </c>
      <c r="UAA1334" s="4" t="s">
        <v>2878</v>
      </c>
      <c r="UAB1334" s="4" t="s">
        <v>2878</v>
      </c>
      <c r="UAC1334" s="4" t="s">
        <v>2878</v>
      </c>
      <c r="UAD1334" s="4" t="s">
        <v>2878</v>
      </c>
      <c r="UAE1334" s="4" t="s">
        <v>2878</v>
      </c>
      <c r="UAF1334" s="4" t="s">
        <v>2878</v>
      </c>
      <c r="UAG1334" s="4" t="s">
        <v>2878</v>
      </c>
      <c r="UAH1334" s="4" t="s">
        <v>2878</v>
      </c>
      <c r="UAI1334" s="4" t="s">
        <v>2878</v>
      </c>
      <c r="UAJ1334" s="4" t="s">
        <v>2878</v>
      </c>
      <c r="UAK1334" s="4" t="s">
        <v>2878</v>
      </c>
      <c r="UAL1334" s="4" t="s">
        <v>2878</v>
      </c>
      <c r="UAM1334" s="4" t="s">
        <v>2878</v>
      </c>
      <c r="UAN1334" s="4" t="s">
        <v>2878</v>
      </c>
      <c r="UAO1334" s="4" t="s">
        <v>2878</v>
      </c>
      <c r="UAP1334" s="4" t="s">
        <v>2878</v>
      </c>
      <c r="UAQ1334" s="4" t="s">
        <v>2878</v>
      </c>
      <c r="UAR1334" s="4" t="s">
        <v>2878</v>
      </c>
      <c r="UAS1334" s="4" t="s">
        <v>2878</v>
      </c>
      <c r="UAT1334" s="4" t="s">
        <v>2878</v>
      </c>
      <c r="UAU1334" s="4" t="s">
        <v>2878</v>
      </c>
      <c r="UAV1334" s="4" t="s">
        <v>2878</v>
      </c>
      <c r="UAW1334" s="4" t="s">
        <v>2878</v>
      </c>
      <c r="UAX1334" s="4" t="s">
        <v>2878</v>
      </c>
      <c r="UAY1334" s="4" t="s">
        <v>2878</v>
      </c>
      <c r="UAZ1334" s="4" t="s">
        <v>2878</v>
      </c>
      <c r="UBA1334" s="4" t="s">
        <v>2878</v>
      </c>
      <c r="UBB1334" s="4" t="s">
        <v>2878</v>
      </c>
      <c r="UBC1334" s="4" t="s">
        <v>2878</v>
      </c>
      <c r="UBD1334" s="4" t="s">
        <v>2878</v>
      </c>
      <c r="UBE1334" s="4" t="s">
        <v>2878</v>
      </c>
      <c r="UBF1334" s="4" t="s">
        <v>2878</v>
      </c>
      <c r="UBG1334" s="4" t="s">
        <v>2878</v>
      </c>
      <c r="UBH1334" s="4" t="s">
        <v>2878</v>
      </c>
      <c r="UBI1334" s="4" t="s">
        <v>2878</v>
      </c>
      <c r="UBJ1334" s="4" t="s">
        <v>2878</v>
      </c>
      <c r="UBK1334" s="4" t="s">
        <v>2878</v>
      </c>
      <c r="UBL1334" s="4" t="s">
        <v>2878</v>
      </c>
      <c r="UBM1334" s="4" t="s">
        <v>2878</v>
      </c>
      <c r="UBN1334" s="4" t="s">
        <v>2878</v>
      </c>
      <c r="UBO1334" s="4" t="s">
        <v>2878</v>
      </c>
      <c r="UBP1334" s="4" t="s">
        <v>2878</v>
      </c>
      <c r="UBQ1334" s="4" t="s">
        <v>2878</v>
      </c>
      <c r="UBR1334" s="4" t="s">
        <v>2878</v>
      </c>
      <c r="UBS1334" s="4" t="s">
        <v>2878</v>
      </c>
      <c r="UBT1334" s="4" t="s">
        <v>2878</v>
      </c>
      <c r="UBU1334" s="4" t="s">
        <v>2878</v>
      </c>
      <c r="UBV1334" s="4" t="s">
        <v>2878</v>
      </c>
      <c r="UBW1334" s="4" t="s">
        <v>2878</v>
      </c>
      <c r="UBX1334" s="4" t="s">
        <v>2878</v>
      </c>
      <c r="UBY1334" s="4" t="s">
        <v>2878</v>
      </c>
      <c r="UBZ1334" s="4" t="s">
        <v>2878</v>
      </c>
      <c r="UCA1334" s="4" t="s">
        <v>2878</v>
      </c>
      <c r="UCB1334" s="4" t="s">
        <v>2878</v>
      </c>
      <c r="UCC1334" s="4" t="s">
        <v>2878</v>
      </c>
      <c r="UCD1334" s="4" t="s">
        <v>2878</v>
      </c>
      <c r="UCE1334" s="4" t="s">
        <v>2878</v>
      </c>
      <c r="UCF1334" s="4" t="s">
        <v>2878</v>
      </c>
      <c r="UCG1334" s="4" t="s">
        <v>2878</v>
      </c>
      <c r="UCH1334" s="4" t="s">
        <v>2878</v>
      </c>
      <c r="UCI1334" s="4" t="s">
        <v>2878</v>
      </c>
      <c r="UCJ1334" s="4" t="s">
        <v>2878</v>
      </c>
      <c r="UCK1334" s="4" t="s">
        <v>2878</v>
      </c>
      <c r="UCL1334" s="4" t="s">
        <v>2878</v>
      </c>
      <c r="UCM1334" s="4" t="s">
        <v>2878</v>
      </c>
      <c r="UCN1334" s="4" t="s">
        <v>2878</v>
      </c>
      <c r="UCO1334" s="4" t="s">
        <v>2878</v>
      </c>
      <c r="UCP1334" s="4" t="s">
        <v>2878</v>
      </c>
      <c r="UCQ1334" s="4" t="s">
        <v>2878</v>
      </c>
      <c r="UCR1334" s="4" t="s">
        <v>2878</v>
      </c>
      <c r="UCS1334" s="4" t="s">
        <v>2878</v>
      </c>
      <c r="UCT1334" s="4" t="s">
        <v>2878</v>
      </c>
      <c r="UCU1334" s="4" t="s">
        <v>2878</v>
      </c>
      <c r="UCV1334" s="4" t="s">
        <v>2878</v>
      </c>
      <c r="UCW1334" s="4" t="s">
        <v>2878</v>
      </c>
      <c r="UCX1334" s="4" t="s">
        <v>2878</v>
      </c>
      <c r="UCY1334" s="4" t="s">
        <v>2878</v>
      </c>
      <c r="UCZ1334" s="4" t="s">
        <v>2878</v>
      </c>
      <c r="UDA1334" s="4" t="s">
        <v>2878</v>
      </c>
      <c r="UDB1334" s="4" t="s">
        <v>2878</v>
      </c>
      <c r="UDC1334" s="4" t="s">
        <v>2878</v>
      </c>
      <c r="UDD1334" s="4" t="s">
        <v>2878</v>
      </c>
      <c r="UDE1334" s="4" t="s">
        <v>2878</v>
      </c>
      <c r="UDF1334" s="4" t="s">
        <v>2878</v>
      </c>
      <c r="UDG1334" s="4" t="s">
        <v>2878</v>
      </c>
      <c r="UDH1334" s="4" t="s">
        <v>2878</v>
      </c>
      <c r="UDI1334" s="4" t="s">
        <v>2878</v>
      </c>
      <c r="UDJ1334" s="4" t="s">
        <v>2878</v>
      </c>
      <c r="UDK1334" s="4" t="s">
        <v>2878</v>
      </c>
      <c r="UDL1334" s="4" t="s">
        <v>2878</v>
      </c>
      <c r="UDM1334" s="4" t="s">
        <v>2878</v>
      </c>
      <c r="UDN1334" s="4" t="s">
        <v>2878</v>
      </c>
      <c r="UDO1334" s="4" t="s">
        <v>2878</v>
      </c>
      <c r="UDP1334" s="4" t="s">
        <v>2878</v>
      </c>
      <c r="UDQ1334" s="4" t="s">
        <v>2878</v>
      </c>
      <c r="UDR1334" s="4" t="s">
        <v>2878</v>
      </c>
      <c r="UDS1334" s="4" t="s">
        <v>2878</v>
      </c>
      <c r="UDT1334" s="4" t="s">
        <v>2878</v>
      </c>
      <c r="UDU1334" s="4" t="s">
        <v>2878</v>
      </c>
      <c r="UDV1334" s="4" t="s">
        <v>2878</v>
      </c>
      <c r="UDW1334" s="4" t="s">
        <v>2878</v>
      </c>
      <c r="UDX1334" s="4" t="s">
        <v>2878</v>
      </c>
      <c r="UDY1334" s="4" t="s">
        <v>2878</v>
      </c>
      <c r="UDZ1334" s="4" t="s">
        <v>2878</v>
      </c>
      <c r="UEA1334" s="4" t="s">
        <v>2878</v>
      </c>
      <c r="UEB1334" s="4" t="s">
        <v>2878</v>
      </c>
      <c r="UEC1334" s="4" t="s">
        <v>2878</v>
      </c>
      <c r="UED1334" s="4" t="s">
        <v>2878</v>
      </c>
      <c r="UEE1334" s="4" t="s">
        <v>2878</v>
      </c>
      <c r="UEF1334" s="4" t="s">
        <v>2878</v>
      </c>
      <c r="UEG1334" s="4" t="s">
        <v>2878</v>
      </c>
      <c r="UEH1334" s="4" t="s">
        <v>2878</v>
      </c>
      <c r="UEI1334" s="4" t="s">
        <v>2878</v>
      </c>
      <c r="UEJ1334" s="4" t="s">
        <v>2878</v>
      </c>
      <c r="UEK1334" s="4" t="s">
        <v>2878</v>
      </c>
      <c r="UEL1334" s="4" t="s">
        <v>2878</v>
      </c>
      <c r="UEM1334" s="4" t="s">
        <v>2878</v>
      </c>
      <c r="UEN1334" s="4" t="s">
        <v>2878</v>
      </c>
      <c r="UEO1334" s="4" t="s">
        <v>2878</v>
      </c>
      <c r="UEP1334" s="4" t="s">
        <v>2878</v>
      </c>
      <c r="UEQ1334" s="4" t="s">
        <v>2878</v>
      </c>
      <c r="UER1334" s="4" t="s">
        <v>2878</v>
      </c>
      <c r="UES1334" s="4" t="s">
        <v>2878</v>
      </c>
      <c r="UET1334" s="4" t="s">
        <v>2878</v>
      </c>
      <c r="UEU1334" s="4" t="s">
        <v>2878</v>
      </c>
      <c r="UEV1334" s="4" t="s">
        <v>2878</v>
      </c>
      <c r="UEW1334" s="4" t="s">
        <v>2878</v>
      </c>
      <c r="UEX1334" s="4" t="s">
        <v>2878</v>
      </c>
      <c r="UEY1334" s="4" t="s">
        <v>2878</v>
      </c>
      <c r="UEZ1334" s="4" t="s">
        <v>2878</v>
      </c>
      <c r="UFA1334" s="4" t="s">
        <v>2878</v>
      </c>
      <c r="UFB1334" s="4" t="s">
        <v>2878</v>
      </c>
      <c r="UFC1334" s="4" t="s">
        <v>2878</v>
      </c>
      <c r="UFD1334" s="4" t="s">
        <v>2878</v>
      </c>
      <c r="UFE1334" s="4" t="s">
        <v>2878</v>
      </c>
      <c r="UFF1334" s="4" t="s">
        <v>2878</v>
      </c>
      <c r="UFG1334" s="4" t="s">
        <v>2878</v>
      </c>
      <c r="UFH1334" s="4" t="s">
        <v>2878</v>
      </c>
      <c r="UFI1334" s="4" t="s">
        <v>2878</v>
      </c>
      <c r="UFJ1334" s="4" t="s">
        <v>2878</v>
      </c>
      <c r="UFK1334" s="4" t="s">
        <v>2878</v>
      </c>
      <c r="UFL1334" s="4" t="s">
        <v>2878</v>
      </c>
      <c r="UFM1334" s="4" t="s">
        <v>2878</v>
      </c>
      <c r="UFN1334" s="4" t="s">
        <v>2878</v>
      </c>
      <c r="UFO1334" s="4" t="s">
        <v>2878</v>
      </c>
      <c r="UFP1334" s="4" t="s">
        <v>2878</v>
      </c>
      <c r="UFQ1334" s="4" t="s">
        <v>2878</v>
      </c>
      <c r="UFR1334" s="4" t="s">
        <v>2878</v>
      </c>
      <c r="UFS1334" s="4" t="s">
        <v>2878</v>
      </c>
      <c r="UFT1334" s="4" t="s">
        <v>2878</v>
      </c>
      <c r="UFU1334" s="4" t="s">
        <v>2878</v>
      </c>
      <c r="UFV1334" s="4" t="s">
        <v>2878</v>
      </c>
      <c r="UFW1334" s="4" t="s">
        <v>2878</v>
      </c>
      <c r="UFX1334" s="4" t="s">
        <v>2878</v>
      </c>
      <c r="UFY1334" s="4" t="s">
        <v>2878</v>
      </c>
      <c r="UFZ1334" s="4" t="s">
        <v>2878</v>
      </c>
      <c r="UGA1334" s="4" t="s">
        <v>2878</v>
      </c>
      <c r="UGB1334" s="4" t="s">
        <v>2878</v>
      </c>
      <c r="UGC1334" s="4" t="s">
        <v>2878</v>
      </c>
      <c r="UGD1334" s="4" t="s">
        <v>2878</v>
      </c>
      <c r="UGE1334" s="4" t="s">
        <v>2878</v>
      </c>
      <c r="UGF1334" s="4" t="s">
        <v>2878</v>
      </c>
      <c r="UGG1334" s="4" t="s">
        <v>2878</v>
      </c>
      <c r="UGH1334" s="4" t="s">
        <v>2878</v>
      </c>
      <c r="UGI1334" s="4" t="s">
        <v>2878</v>
      </c>
      <c r="UGJ1334" s="4" t="s">
        <v>2878</v>
      </c>
      <c r="UGK1334" s="4" t="s">
        <v>2878</v>
      </c>
      <c r="UGL1334" s="4" t="s">
        <v>2878</v>
      </c>
      <c r="UGM1334" s="4" t="s">
        <v>2878</v>
      </c>
      <c r="UGN1334" s="4" t="s">
        <v>2878</v>
      </c>
      <c r="UGO1334" s="4" t="s">
        <v>2878</v>
      </c>
      <c r="UGP1334" s="4" t="s">
        <v>2878</v>
      </c>
      <c r="UGQ1334" s="4" t="s">
        <v>2878</v>
      </c>
      <c r="UGR1334" s="4" t="s">
        <v>2878</v>
      </c>
      <c r="UGS1334" s="4" t="s">
        <v>2878</v>
      </c>
      <c r="UGT1334" s="4" t="s">
        <v>2878</v>
      </c>
      <c r="UGU1334" s="4" t="s">
        <v>2878</v>
      </c>
      <c r="UGV1334" s="4" t="s">
        <v>2878</v>
      </c>
      <c r="UGW1334" s="4" t="s">
        <v>2878</v>
      </c>
      <c r="UGX1334" s="4" t="s">
        <v>2878</v>
      </c>
      <c r="UGY1334" s="4" t="s">
        <v>2878</v>
      </c>
      <c r="UGZ1334" s="4" t="s">
        <v>2878</v>
      </c>
      <c r="UHA1334" s="4" t="s">
        <v>2878</v>
      </c>
      <c r="UHB1334" s="4" t="s">
        <v>2878</v>
      </c>
      <c r="UHC1334" s="4" t="s">
        <v>2878</v>
      </c>
      <c r="UHD1334" s="4" t="s">
        <v>2878</v>
      </c>
      <c r="UHE1334" s="4" t="s">
        <v>2878</v>
      </c>
      <c r="UHF1334" s="4" t="s">
        <v>2878</v>
      </c>
      <c r="UHG1334" s="4" t="s">
        <v>2878</v>
      </c>
      <c r="UHH1334" s="4" t="s">
        <v>2878</v>
      </c>
      <c r="UHI1334" s="4" t="s">
        <v>2878</v>
      </c>
      <c r="UHJ1334" s="4" t="s">
        <v>2878</v>
      </c>
      <c r="UHK1334" s="4" t="s">
        <v>2878</v>
      </c>
      <c r="UHL1334" s="4" t="s">
        <v>2878</v>
      </c>
      <c r="UHM1334" s="4" t="s">
        <v>2878</v>
      </c>
      <c r="UHN1334" s="4" t="s">
        <v>2878</v>
      </c>
      <c r="UHO1334" s="4" t="s">
        <v>2878</v>
      </c>
      <c r="UHP1334" s="4" t="s">
        <v>2878</v>
      </c>
      <c r="UHQ1334" s="4" t="s">
        <v>2878</v>
      </c>
      <c r="UHR1334" s="4" t="s">
        <v>2878</v>
      </c>
      <c r="UHS1334" s="4" t="s">
        <v>2878</v>
      </c>
      <c r="UHT1334" s="4" t="s">
        <v>2878</v>
      </c>
      <c r="UHU1334" s="4" t="s">
        <v>2878</v>
      </c>
      <c r="UHV1334" s="4" t="s">
        <v>2878</v>
      </c>
      <c r="UHW1334" s="4" t="s">
        <v>2878</v>
      </c>
      <c r="UHX1334" s="4" t="s">
        <v>2878</v>
      </c>
      <c r="UHY1334" s="4" t="s">
        <v>2878</v>
      </c>
      <c r="UHZ1334" s="4" t="s">
        <v>2878</v>
      </c>
      <c r="UIA1334" s="4" t="s">
        <v>2878</v>
      </c>
      <c r="UIB1334" s="4" t="s">
        <v>2878</v>
      </c>
      <c r="UIC1334" s="4" t="s">
        <v>2878</v>
      </c>
      <c r="UID1334" s="4" t="s">
        <v>2878</v>
      </c>
      <c r="UIE1334" s="4" t="s">
        <v>2878</v>
      </c>
      <c r="UIF1334" s="4" t="s">
        <v>2878</v>
      </c>
      <c r="UIG1334" s="4" t="s">
        <v>2878</v>
      </c>
      <c r="UIH1334" s="4" t="s">
        <v>2878</v>
      </c>
      <c r="UII1334" s="4" t="s">
        <v>2878</v>
      </c>
      <c r="UIJ1334" s="4" t="s">
        <v>2878</v>
      </c>
      <c r="UIK1334" s="4" t="s">
        <v>2878</v>
      </c>
      <c r="UIL1334" s="4" t="s">
        <v>2878</v>
      </c>
      <c r="UIM1334" s="4" t="s">
        <v>2878</v>
      </c>
      <c r="UIN1334" s="4" t="s">
        <v>2878</v>
      </c>
      <c r="UIO1334" s="4" t="s">
        <v>2878</v>
      </c>
      <c r="UIP1334" s="4" t="s">
        <v>2878</v>
      </c>
      <c r="UIQ1334" s="4" t="s">
        <v>2878</v>
      </c>
      <c r="UIR1334" s="4" t="s">
        <v>2878</v>
      </c>
      <c r="UIS1334" s="4" t="s">
        <v>2878</v>
      </c>
      <c r="UIT1334" s="4" t="s">
        <v>2878</v>
      </c>
      <c r="UIU1334" s="4" t="s">
        <v>2878</v>
      </c>
      <c r="UIV1334" s="4" t="s">
        <v>2878</v>
      </c>
      <c r="UIW1334" s="4" t="s">
        <v>2878</v>
      </c>
      <c r="UIX1334" s="4" t="s">
        <v>2878</v>
      </c>
      <c r="UIY1334" s="4" t="s">
        <v>2878</v>
      </c>
      <c r="UIZ1334" s="4" t="s">
        <v>2878</v>
      </c>
      <c r="UJA1334" s="4" t="s">
        <v>2878</v>
      </c>
      <c r="UJB1334" s="4" t="s">
        <v>2878</v>
      </c>
      <c r="UJC1334" s="4" t="s">
        <v>2878</v>
      </c>
      <c r="UJD1334" s="4" t="s">
        <v>2878</v>
      </c>
      <c r="UJE1334" s="4" t="s">
        <v>2878</v>
      </c>
      <c r="UJF1334" s="4" t="s">
        <v>2878</v>
      </c>
      <c r="UJG1334" s="4" t="s">
        <v>2878</v>
      </c>
      <c r="UJH1334" s="4" t="s">
        <v>2878</v>
      </c>
      <c r="UJI1334" s="4" t="s">
        <v>2878</v>
      </c>
      <c r="UJJ1334" s="4" t="s">
        <v>2878</v>
      </c>
      <c r="UJK1334" s="4" t="s">
        <v>2878</v>
      </c>
      <c r="UJL1334" s="4" t="s">
        <v>2878</v>
      </c>
      <c r="UJM1334" s="4" t="s">
        <v>2878</v>
      </c>
      <c r="UJN1334" s="4" t="s">
        <v>2878</v>
      </c>
      <c r="UJO1334" s="4" t="s">
        <v>2878</v>
      </c>
      <c r="UJP1334" s="4" t="s">
        <v>2878</v>
      </c>
      <c r="UJQ1334" s="4" t="s">
        <v>2878</v>
      </c>
      <c r="UJR1334" s="4" t="s">
        <v>2878</v>
      </c>
      <c r="UJS1334" s="4" t="s">
        <v>2878</v>
      </c>
      <c r="UJT1334" s="4" t="s">
        <v>2878</v>
      </c>
      <c r="UJU1334" s="4" t="s">
        <v>2878</v>
      </c>
      <c r="UJV1334" s="4" t="s">
        <v>2878</v>
      </c>
      <c r="UJW1334" s="4" t="s">
        <v>2878</v>
      </c>
      <c r="UJX1334" s="4" t="s">
        <v>2878</v>
      </c>
      <c r="UJY1334" s="4" t="s">
        <v>2878</v>
      </c>
      <c r="UJZ1334" s="4" t="s">
        <v>2878</v>
      </c>
      <c r="UKA1334" s="4" t="s">
        <v>2878</v>
      </c>
      <c r="UKB1334" s="4" t="s">
        <v>2878</v>
      </c>
      <c r="UKC1334" s="4" t="s">
        <v>2878</v>
      </c>
      <c r="UKD1334" s="4" t="s">
        <v>2878</v>
      </c>
      <c r="UKE1334" s="4" t="s">
        <v>2878</v>
      </c>
      <c r="UKF1334" s="4" t="s">
        <v>2878</v>
      </c>
      <c r="UKG1334" s="4" t="s">
        <v>2878</v>
      </c>
      <c r="UKH1334" s="4" t="s">
        <v>2878</v>
      </c>
      <c r="UKI1334" s="4" t="s">
        <v>2878</v>
      </c>
      <c r="UKJ1334" s="4" t="s">
        <v>2878</v>
      </c>
      <c r="UKK1334" s="4" t="s">
        <v>2878</v>
      </c>
      <c r="UKL1334" s="4" t="s">
        <v>2878</v>
      </c>
      <c r="UKM1334" s="4" t="s">
        <v>2878</v>
      </c>
      <c r="UKN1334" s="4" t="s">
        <v>2878</v>
      </c>
      <c r="UKO1334" s="4" t="s">
        <v>2878</v>
      </c>
      <c r="UKP1334" s="4" t="s">
        <v>2878</v>
      </c>
      <c r="UKQ1334" s="4" t="s">
        <v>2878</v>
      </c>
      <c r="UKR1334" s="4" t="s">
        <v>2878</v>
      </c>
      <c r="UKS1334" s="4" t="s">
        <v>2878</v>
      </c>
      <c r="UKT1334" s="4" t="s">
        <v>2878</v>
      </c>
      <c r="UKU1334" s="4" t="s">
        <v>2878</v>
      </c>
      <c r="UKV1334" s="4" t="s">
        <v>2878</v>
      </c>
      <c r="UKW1334" s="4" t="s">
        <v>2878</v>
      </c>
      <c r="UKX1334" s="4" t="s">
        <v>2878</v>
      </c>
      <c r="UKY1334" s="4" t="s">
        <v>2878</v>
      </c>
      <c r="UKZ1334" s="4" t="s">
        <v>2878</v>
      </c>
      <c r="ULA1334" s="4" t="s">
        <v>2878</v>
      </c>
      <c r="ULB1334" s="4" t="s">
        <v>2878</v>
      </c>
      <c r="ULC1334" s="4" t="s">
        <v>2878</v>
      </c>
      <c r="ULD1334" s="4" t="s">
        <v>2878</v>
      </c>
      <c r="ULE1334" s="4" t="s">
        <v>2878</v>
      </c>
      <c r="ULF1334" s="4" t="s">
        <v>2878</v>
      </c>
      <c r="ULG1334" s="4" t="s">
        <v>2878</v>
      </c>
      <c r="ULH1334" s="4" t="s">
        <v>2878</v>
      </c>
      <c r="ULI1334" s="4" t="s">
        <v>2878</v>
      </c>
      <c r="ULJ1334" s="4" t="s">
        <v>2878</v>
      </c>
      <c r="ULK1334" s="4" t="s">
        <v>2878</v>
      </c>
      <c r="ULL1334" s="4" t="s">
        <v>2878</v>
      </c>
      <c r="ULM1334" s="4" t="s">
        <v>2878</v>
      </c>
      <c r="ULN1334" s="4" t="s">
        <v>2878</v>
      </c>
      <c r="ULO1334" s="4" t="s">
        <v>2878</v>
      </c>
      <c r="ULP1334" s="4" t="s">
        <v>2878</v>
      </c>
      <c r="ULQ1334" s="4" t="s">
        <v>2878</v>
      </c>
      <c r="ULR1334" s="4" t="s">
        <v>2878</v>
      </c>
      <c r="ULS1334" s="4" t="s">
        <v>2878</v>
      </c>
      <c r="ULT1334" s="4" t="s">
        <v>2878</v>
      </c>
      <c r="ULU1334" s="4" t="s">
        <v>2878</v>
      </c>
      <c r="ULV1334" s="4" t="s">
        <v>2878</v>
      </c>
      <c r="ULW1334" s="4" t="s">
        <v>2878</v>
      </c>
      <c r="ULX1334" s="4" t="s">
        <v>2878</v>
      </c>
      <c r="ULY1334" s="4" t="s">
        <v>2878</v>
      </c>
      <c r="ULZ1334" s="4" t="s">
        <v>2878</v>
      </c>
      <c r="UMA1334" s="4" t="s">
        <v>2878</v>
      </c>
      <c r="UMB1334" s="4" t="s">
        <v>2878</v>
      </c>
      <c r="UMC1334" s="4" t="s">
        <v>2878</v>
      </c>
      <c r="UMD1334" s="4" t="s">
        <v>2878</v>
      </c>
      <c r="UME1334" s="4" t="s">
        <v>2878</v>
      </c>
      <c r="UMF1334" s="4" t="s">
        <v>2878</v>
      </c>
      <c r="UMG1334" s="4" t="s">
        <v>2878</v>
      </c>
      <c r="UMH1334" s="4" t="s">
        <v>2878</v>
      </c>
      <c r="UMI1334" s="4" t="s">
        <v>2878</v>
      </c>
      <c r="UMJ1334" s="4" t="s">
        <v>2878</v>
      </c>
      <c r="UMK1334" s="4" t="s">
        <v>2878</v>
      </c>
      <c r="UML1334" s="4" t="s">
        <v>2878</v>
      </c>
      <c r="UMM1334" s="4" t="s">
        <v>2878</v>
      </c>
      <c r="UMN1334" s="4" t="s">
        <v>2878</v>
      </c>
      <c r="UMO1334" s="4" t="s">
        <v>2878</v>
      </c>
      <c r="UMP1334" s="4" t="s">
        <v>2878</v>
      </c>
      <c r="UMQ1334" s="4" t="s">
        <v>2878</v>
      </c>
      <c r="UMR1334" s="4" t="s">
        <v>2878</v>
      </c>
      <c r="UMS1334" s="4" t="s">
        <v>2878</v>
      </c>
      <c r="UMT1334" s="4" t="s">
        <v>2878</v>
      </c>
      <c r="UMU1334" s="4" t="s">
        <v>2878</v>
      </c>
      <c r="UMV1334" s="4" t="s">
        <v>2878</v>
      </c>
      <c r="UMW1334" s="4" t="s">
        <v>2878</v>
      </c>
      <c r="UMX1334" s="4" t="s">
        <v>2878</v>
      </c>
      <c r="UMY1334" s="4" t="s">
        <v>2878</v>
      </c>
      <c r="UMZ1334" s="4" t="s">
        <v>2878</v>
      </c>
      <c r="UNA1334" s="4" t="s">
        <v>2878</v>
      </c>
      <c r="UNB1334" s="4" t="s">
        <v>2878</v>
      </c>
      <c r="UNC1334" s="4" t="s">
        <v>2878</v>
      </c>
      <c r="UND1334" s="4" t="s">
        <v>2878</v>
      </c>
      <c r="UNE1334" s="4" t="s">
        <v>2878</v>
      </c>
      <c r="UNF1334" s="4" t="s">
        <v>2878</v>
      </c>
      <c r="UNG1334" s="4" t="s">
        <v>2878</v>
      </c>
      <c r="UNH1334" s="4" t="s">
        <v>2878</v>
      </c>
      <c r="UNI1334" s="4" t="s">
        <v>2878</v>
      </c>
      <c r="UNJ1334" s="4" t="s">
        <v>2878</v>
      </c>
      <c r="UNK1334" s="4" t="s">
        <v>2878</v>
      </c>
      <c r="UNL1334" s="4" t="s">
        <v>2878</v>
      </c>
      <c r="UNM1334" s="4" t="s">
        <v>2878</v>
      </c>
      <c r="UNN1334" s="4" t="s">
        <v>2878</v>
      </c>
      <c r="UNO1334" s="4" t="s">
        <v>2878</v>
      </c>
      <c r="UNP1334" s="4" t="s">
        <v>2878</v>
      </c>
      <c r="UNQ1334" s="4" t="s">
        <v>2878</v>
      </c>
      <c r="UNR1334" s="4" t="s">
        <v>2878</v>
      </c>
      <c r="UNS1334" s="4" t="s">
        <v>2878</v>
      </c>
      <c r="UNT1334" s="4" t="s">
        <v>2878</v>
      </c>
      <c r="UNU1334" s="4" t="s">
        <v>2878</v>
      </c>
      <c r="UNV1334" s="4" t="s">
        <v>2878</v>
      </c>
      <c r="UNW1334" s="4" t="s">
        <v>2878</v>
      </c>
      <c r="UNX1334" s="4" t="s">
        <v>2878</v>
      </c>
      <c r="UNY1334" s="4" t="s">
        <v>2878</v>
      </c>
      <c r="UNZ1334" s="4" t="s">
        <v>2878</v>
      </c>
      <c r="UOA1334" s="4" t="s">
        <v>2878</v>
      </c>
      <c r="UOB1334" s="4" t="s">
        <v>2878</v>
      </c>
      <c r="UOC1334" s="4" t="s">
        <v>2878</v>
      </c>
      <c r="UOD1334" s="4" t="s">
        <v>2878</v>
      </c>
      <c r="UOE1334" s="4" t="s">
        <v>2878</v>
      </c>
      <c r="UOF1334" s="4" t="s">
        <v>2878</v>
      </c>
      <c r="UOG1334" s="4" t="s">
        <v>2878</v>
      </c>
      <c r="UOH1334" s="4" t="s">
        <v>2878</v>
      </c>
      <c r="UOI1334" s="4" t="s">
        <v>2878</v>
      </c>
      <c r="UOJ1334" s="4" t="s">
        <v>2878</v>
      </c>
      <c r="UOK1334" s="4" t="s">
        <v>2878</v>
      </c>
      <c r="UOL1334" s="4" t="s">
        <v>2878</v>
      </c>
      <c r="UOM1334" s="4" t="s">
        <v>2878</v>
      </c>
      <c r="UON1334" s="4" t="s">
        <v>2878</v>
      </c>
      <c r="UOO1334" s="4" t="s">
        <v>2878</v>
      </c>
      <c r="UOP1334" s="4" t="s">
        <v>2878</v>
      </c>
      <c r="UOQ1334" s="4" t="s">
        <v>2878</v>
      </c>
      <c r="UOR1334" s="4" t="s">
        <v>2878</v>
      </c>
      <c r="UOS1334" s="4" t="s">
        <v>2878</v>
      </c>
      <c r="UOT1334" s="4" t="s">
        <v>2878</v>
      </c>
      <c r="UOU1334" s="4" t="s">
        <v>2878</v>
      </c>
      <c r="UOV1334" s="4" t="s">
        <v>2878</v>
      </c>
      <c r="UOW1334" s="4" t="s">
        <v>2878</v>
      </c>
      <c r="UOX1334" s="4" t="s">
        <v>2878</v>
      </c>
      <c r="UOY1334" s="4" t="s">
        <v>2878</v>
      </c>
      <c r="UOZ1334" s="4" t="s">
        <v>2878</v>
      </c>
      <c r="UPA1334" s="4" t="s">
        <v>2878</v>
      </c>
      <c r="UPB1334" s="4" t="s">
        <v>2878</v>
      </c>
      <c r="UPC1334" s="4" t="s">
        <v>2878</v>
      </c>
      <c r="UPD1334" s="4" t="s">
        <v>2878</v>
      </c>
      <c r="UPE1334" s="4" t="s">
        <v>2878</v>
      </c>
      <c r="UPF1334" s="4" t="s">
        <v>2878</v>
      </c>
      <c r="UPG1334" s="4" t="s">
        <v>2878</v>
      </c>
      <c r="UPH1334" s="4" t="s">
        <v>2878</v>
      </c>
      <c r="UPI1334" s="4" t="s">
        <v>2878</v>
      </c>
      <c r="UPJ1334" s="4" t="s">
        <v>2878</v>
      </c>
      <c r="UPK1334" s="4" t="s">
        <v>2878</v>
      </c>
      <c r="UPL1334" s="4" t="s">
        <v>2878</v>
      </c>
      <c r="UPM1334" s="4" t="s">
        <v>2878</v>
      </c>
      <c r="UPN1334" s="4" t="s">
        <v>2878</v>
      </c>
      <c r="UPO1334" s="4" t="s">
        <v>2878</v>
      </c>
      <c r="UPP1334" s="4" t="s">
        <v>2878</v>
      </c>
      <c r="UPQ1334" s="4" t="s">
        <v>2878</v>
      </c>
      <c r="UPR1334" s="4" t="s">
        <v>2878</v>
      </c>
      <c r="UPS1334" s="4" t="s">
        <v>2878</v>
      </c>
      <c r="UPT1334" s="4" t="s">
        <v>2878</v>
      </c>
      <c r="UPU1334" s="4" t="s">
        <v>2878</v>
      </c>
      <c r="UPV1334" s="4" t="s">
        <v>2878</v>
      </c>
      <c r="UPW1334" s="4" t="s">
        <v>2878</v>
      </c>
      <c r="UPX1334" s="4" t="s">
        <v>2878</v>
      </c>
      <c r="UPY1334" s="4" t="s">
        <v>2878</v>
      </c>
      <c r="UPZ1334" s="4" t="s">
        <v>2878</v>
      </c>
      <c r="UQA1334" s="4" t="s">
        <v>2878</v>
      </c>
      <c r="UQB1334" s="4" t="s">
        <v>2878</v>
      </c>
      <c r="UQC1334" s="4" t="s">
        <v>2878</v>
      </c>
      <c r="UQD1334" s="4" t="s">
        <v>2878</v>
      </c>
      <c r="UQE1334" s="4" t="s">
        <v>2878</v>
      </c>
      <c r="UQF1334" s="4" t="s">
        <v>2878</v>
      </c>
      <c r="UQG1334" s="4" t="s">
        <v>2878</v>
      </c>
      <c r="UQH1334" s="4" t="s">
        <v>2878</v>
      </c>
      <c r="UQI1334" s="4" t="s">
        <v>2878</v>
      </c>
      <c r="UQJ1334" s="4" t="s">
        <v>2878</v>
      </c>
      <c r="UQK1334" s="4" t="s">
        <v>2878</v>
      </c>
      <c r="UQL1334" s="4" t="s">
        <v>2878</v>
      </c>
      <c r="UQM1334" s="4" t="s">
        <v>2878</v>
      </c>
      <c r="UQN1334" s="4" t="s">
        <v>2878</v>
      </c>
      <c r="UQO1334" s="4" t="s">
        <v>2878</v>
      </c>
      <c r="UQP1334" s="4" t="s">
        <v>2878</v>
      </c>
      <c r="UQQ1334" s="4" t="s">
        <v>2878</v>
      </c>
      <c r="UQR1334" s="4" t="s">
        <v>2878</v>
      </c>
      <c r="UQS1334" s="4" t="s">
        <v>2878</v>
      </c>
      <c r="UQT1334" s="4" t="s">
        <v>2878</v>
      </c>
      <c r="UQU1334" s="4" t="s">
        <v>2878</v>
      </c>
      <c r="UQV1334" s="4" t="s">
        <v>2878</v>
      </c>
      <c r="UQW1334" s="4" t="s">
        <v>2878</v>
      </c>
      <c r="UQX1334" s="4" t="s">
        <v>2878</v>
      </c>
      <c r="UQY1334" s="4" t="s">
        <v>2878</v>
      </c>
      <c r="UQZ1334" s="4" t="s">
        <v>2878</v>
      </c>
      <c r="URA1334" s="4" t="s">
        <v>2878</v>
      </c>
      <c r="URB1334" s="4" t="s">
        <v>2878</v>
      </c>
      <c r="URC1334" s="4" t="s">
        <v>2878</v>
      </c>
      <c r="URD1334" s="4" t="s">
        <v>2878</v>
      </c>
      <c r="URE1334" s="4" t="s">
        <v>2878</v>
      </c>
      <c r="URF1334" s="4" t="s">
        <v>2878</v>
      </c>
      <c r="URG1334" s="4" t="s">
        <v>2878</v>
      </c>
      <c r="URH1334" s="4" t="s">
        <v>2878</v>
      </c>
      <c r="URI1334" s="4" t="s">
        <v>2878</v>
      </c>
      <c r="URJ1334" s="4" t="s">
        <v>2878</v>
      </c>
      <c r="URK1334" s="4" t="s">
        <v>2878</v>
      </c>
      <c r="URL1334" s="4" t="s">
        <v>2878</v>
      </c>
      <c r="URM1334" s="4" t="s">
        <v>2878</v>
      </c>
      <c r="URN1334" s="4" t="s">
        <v>2878</v>
      </c>
      <c r="URO1334" s="4" t="s">
        <v>2878</v>
      </c>
      <c r="URP1334" s="4" t="s">
        <v>2878</v>
      </c>
      <c r="URQ1334" s="4" t="s">
        <v>2878</v>
      </c>
      <c r="URR1334" s="4" t="s">
        <v>2878</v>
      </c>
      <c r="URS1334" s="4" t="s">
        <v>2878</v>
      </c>
      <c r="URT1334" s="4" t="s">
        <v>2878</v>
      </c>
      <c r="URU1334" s="4" t="s">
        <v>2878</v>
      </c>
      <c r="URV1334" s="4" t="s">
        <v>2878</v>
      </c>
      <c r="URW1334" s="4" t="s">
        <v>2878</v>
      </c>
      <c r="URX1334" s="4" t="s">
        <v>2878</v>
      </c>
      <c r="URY1334" s="4" t="s">
        <v>2878</v>
      </c>
      <c r="URZ1334" s="4" t="s">
        <v>2878</v>
      </c>
      <c r="USA1334" s="4" t="s">
        <v>2878</v>
      </c>
      <c r="USB1334" s="4" t="s">
        <v>2878</v>
      </c>
      <c r="USC1334" s="4" t="s">
        <v>2878</v>
      </c>
      <c r="USD1334" s="4" t="s">
        <v>2878</v>
      </c>
      <c r="USE1334" s="4" t="s">
        <v>2878</v>
      </c>
      <c r="USF1334" s="4" t="s">
        <v>2878</v>
      </c>
      <c r="USG1334" s="4" t="s">
        <v>2878</v>
      </c>
      <c r="USH1334" s="4" t="s">
        <v>2878</v>
      </c>
      <c r="USI1334" s="4" t="s">
        <v>2878</v>
      </c>
      <c r="USJ1334" s="4" t="s">
        <v>2878</v>
      </c>
      <c r="USK1334" s="4" t="s">
        <v>2878</v>
      </c>
      <c r="USL1334" s="4" t="s">
        <v>2878</v>
      </c>
      <c r="USM1334" s="4" t="s">
        <v>2878</v>
      </c>
      <c r="USN1334" s="4" t="s">
        <v>2878</v>
      </c>
      <c r="USO1334" s="4" t="s">
        <v>2878</v>
      </c>
      <c r="USP1334" s="4" t="s">
        <v>2878</v>
      </c>
      <c r="USQ1334" s="4" t="s">
        <v>2878</v>
      </c>
      <c r="USR1334" s="4" t="s">
        <v>2878</v>
      </c>
      <c r="USS1334" s="4" t="s">
        <v>2878</v>
      </c>
      <c r="UST1334" s="4" t="s">
        <v>2878</v>
      </c>
      <c r="USU1334" s="4" t="s">
        <v>2878</v>
      </c>
      <c r="USV1334" s="4" t="s">
        <v>2878</v>
      </c>
      <c r="USW1334" s="4" t="s">
        <v>2878</v>
      </c>
      <c r="USX1334" s="4" t="s">
        <v>2878</v>
      </c>
      <c r="USY1334" s="4" t="s">
        <v>2878</v>
      </c>
      <c r="USZ1334" s="4" t="s">
        <v>2878</v>
      </c>
      <c r="UTA1334" s="4" t="s">
        <v>2878</v>
      </c>
      <c r="UTB1334" s="4" t="s">
        <v>2878</v>
      </c>
      <c r="UTC1334" s="4" t="s">
        <v>2878</v>
      </c>
      <c r="UTD1334" s="4" t="s">
        <v>2878</v>
      </c>
      <c r="UTE1334" s="4" t="s">
        <v>2878</v>
      </c>
      <c r="UTF1334" s="4" t="s">
        <v>2878</v>
      </c>
      <c r="UTG1334" s="4" t="s">
        <v>2878</v>
      </c>
      <c r="UTH1334" s="4" t="s">
        <v>2878</v>
      </c>
      <c r="UTI1334" s="4" t="s">
        <v>2878</v>
      </c>
      <c r="UTJ1334" s="4" t="s">
        <v>2878</v>
      </c>
      <c r="UTK1334" s="4" t="s">
        <v>2878</v>
      </c>
      <c r="UTL1334" s="4" t="s">
        <v>2878</v>
      </c>
      <c r="UTM1334" s="4" t="s">
        <v>2878</v>
      </c>
      <c r="UTN1334" s="4" t="s">
        <v>2878</v>
      </c>
      <c r="UTO1334" s="4" t="s">
        <v>2878</v>
      </c>
      <c r="UTP1334" s="4" t="s">
        <v>2878</v>
      </c>
      <c r="UTQ1334" s="4" t="s">
        <v>2878</v>
      </c>
      <c r="UTR1334" s="4" t="s">
        <v>2878</v>
      </c>
      <c r="UTS1334" s="4" t="s">
        <v>2878</v>
      </c>
      <c r="UTT1334" s="4" t="s">
        <v>2878</v>
      </c>
      <c r="UTU1334" s="4" t="s">
        <v>2878</v>
      </c>
      <c r="UTV1334" s="4" t="s">
        <v>2878</v>
      </c>
      <c r="UTW1334" s="4" t="s">
        <v>2878</v>
      </c>
      <c r="UTX1334" s="4" t="s">
        <v>2878</v>
      </c>
      <c r="UTY1334" s="4" t="s">
        <v>2878</v>
      </c>
      <c r="UTZ1334" s="4" t="s">
        <v>2878</v>
      </c>
      <c r="UUA1334" s="4" t="s">
        <v>2878</v>
      </c>
      <c r="UUB1334" s="4" t="s">
        <v>2878</v>
      </c>
      <c r="UUC1334" s="4" t="s">
        <v>2878</v>
      </c>
      <c r="UUD1334" s="4" t="s">
        <v>2878</v>
      </c>
      <c r="UUE1334" s="4" t="s">
        <v>2878</v>
      </c>
      <c r="UUF1334" s="4" t="s">
        <v>2878</v>
      </c>
      <c r="UUG1334" s="4" t="s">
        <v>2878</v>
      </c>
      <c r="UUH1334" s="4" t="s">
        <v>2878</v>
      </c>
      <c r="UUI1334" s="4" t="s">
        <v>2878</v>
      </c>
      <c r="UUJ1334" s="4" t="s">
        <v>2878</v>
      </c>
      <c r="UUK1334" s="4" t="s">
        <v>2878</v>
      </c>
      <c r="UUL1334" s="4" t="s">
        <v>2878</v>
      </c>
      <c r="UUM1334" s="4" t="s">
        <v>2878</v>
      </c>
      <c r="UUN1334" s="4" t="s">
        <v>2878</v>
      </c>
      <c r="UUO1334" s="4" t="s">
        <v>2878</v>
      </c>
      <c r="UUP1334" s="4" t="s">
        <v>2878</v>
      </c>
      <c r="UUQ1334" s="4" t="s">
        <v>2878</v>
      </c>
      <c r="UUR1334" s="4" t="s">
        <v>2878</v>
      </c>
      <c r="UUS1334" s="4" t="s">
        <v>2878</v>
      </c>
      <c r="UUT1334" s="4" t="s">
        <v>2878</v>
      </c>
      <c r="UUU1334" s="4" t="s">
        <v>2878</v>
      </c>
      <c r="UUV1334" s="4" t="s">
        <v>2878</v>
      </c>
      <c r="UUW1334" s="4" t="s">
        <v>2878</v>
      </c>
      <c r="UUX1334" s="4" t="s">
        <v>2878</v>
      </c>
      <c r="UUY1334" s="4" t="s">
        <v>2878</v>
      </c>
      <c r="UUZ1334" s="4" t="s">
        <v>2878</v>
      </c>
      <c r="UVA1334" s="4" t="s">
        <v>2878</v>
      </c>
      <c r="UVB1334" s="4" t="s">
        <v>2878</v>
      </c>
      <c r="UVC1334" s="4" t="s">
        <v>2878</v>
      </c>
      <c r="UVD1334" s="4" t="s">
        <v>2878</v>
      </c>
      <c r="UVE1334" s="4" t="s">
        <v>2878</v>
      </c>
      <c r="UVF1334" s="4" t="s">
        <v>2878</v>
      </c>
      <c r="UVG1334" s="4" t="s">
        <v>2878</v>
      </c>
      <c r="UVH1334" s="4" t="s">
        <v>2878</v>
      </c>
      <c r="UVI1334" s="4" t="s">
        <v>2878</v>
      </c>
      <c r="UVJ1334" s="4" t="s">
        <v>2878</v>
      </c>
      <c r="UVK1334" s="4" t="s">
        <v>2878</v>
      </c>
      <c r="UVL1334" s="4" t="s">
        <v>2878</v>
      </c>
      <c r="UVM1334" s="4" t="s">
        <v>2878</v>
      </c>
      <c r="UVN1334" s="4" t="s">
        <v>2878</v>
      </c>
      <c r="UVO1334" s="4" t="s">
        <v>2878</v>
      </c>
      <c r="UVP1334" s="4" t="s">
        <v>2878</v>
      </c>
      <c r="UVQ1334" s="4" t="s">
        <v>2878</v>
      </c>
      <c r="UVR1334" s="4" t="s">
        <v>2878</v>
      </c>
      <c r="UVS1334" s="4" t="s">
        <v>2878</v>
      </c>
      <c r="UVT1334" s="4" t="s">
        <v>2878</v>
      </c>
      <c r="UVU1334" s="4" t="s">
        <v>2878</v>
      </c>
      <c r="UVV1334" s="4" t="s">
        <v>2878</v>
      </c>
      <c r="UVW1334" s="4" t="s">
        <v>2878</v>
      </c>
      <c r="UVX1334" s="4" t="s">
        <v>2878</v>
      </c>
      <c r="UVY1334" s="4" t="s">
        <v>2878</v>
      </c>
      <c r="UVZ1334" s="4" t="s">
        <v>2878</v>
      </c>
      <c r="UWA1334" s="4" t="s">
        <v>2878</v>
      </c>
      <c r="UWB1334" s="4" t="s">
        <v>2878</v>
      </c>
      <c r="UWC1334" s="4" t="s">
        <v>2878</v>
      </c>
      <c r="UWD1334" s="4" t="s">
        <v>2878</v>
      </c>
      <c r="UWE1334" s="4" t="s">
        <v>2878</v>
      </c>
      <c r="UWF1334" s="4" t="s">
        <v>2878</v>
      </c>
      <c r="UWG1334" s="4" t="s">
        <v>2878</v>
      </c>
      <c r="UWH1334" s="4" t="s">
        <v>2878</v>
      </c>
      <c r="UWI1334" s="4" t="s">
        <v>2878</v>
      </c>
      <c r="UWJ1334" s="4" t="s">
        <v>2878</v>
      </c>
      <c r="UWK1334" s="4" t="s">
        <v>2878</v>
      </c>
      <c r="UWL1334" s="4" t="s">
        <v>2878</v>
      </c>
      <c r="UWM1334" s="4" t="s">
        <v>2878</v>
      </c>
      <c r="UWN1334" s="4" t="s">
        <v>2878</v>
      </c>
      <c r="UWO1334" s="4" t="s">
        <v>2878</v>
      </c>
      <c r="UWP1334" s="4" t="s">
        <v>2878</v>
      </c>
      <c r="UWQ1334" s="4" t="s">
        <v>2878</v>
      </c>
      <c r="UWR1334" s="4" t="s">
        <v>2878</v>
      </c>
      <c r="UWS1334" s="4" t="s">
        <v>2878</v>
      </c>
      <c r="UWT1334" s="4" t="s">
        <v>2878</v>
      </c>
      <c r="UWU1334" s="4" t="s">
        <v>2878</v>
      </c>
      <c r="UWV1334" s="4" t="s">
        <v>2878</v>
      </c>
      <c r="UWW1334" s="4" t="s">
        <v>2878</v>
      </c>
      <c r="UWX1334" s="4" t="s">
        <v>2878</v>
      </c>
      <c r="UWY1334" s="4" t="s">
        <v>2878</v>
      </c>
      <c r="UWZ1334" s="4" t="s">
        <v>2878</v>
      </c>
      <c r="UXA1334" s="4" t="s">
        <v>2878</v>
      </c>
      <c r="UXB1334" s="4" t="s">
        <v>2878</v>
      </c>
      <c r="UXC1334" s="4" t="s">
        <v>2878</v>
      </c>
      <c r="UXD1334" s="4" t="s">
        <v>2878</v>
      </c>
      <c r="UXE1334" s="4" t="s">
        <v>2878</v>
      </c>
      <c r="UXF1334" s="4" t="s">
        <v>2878</v>
      </c>
      <c r="UXG1334" s="4" t="s">
        <v>2878</v>
      </c>
      <c r="UXH1334" s="4" t="s">
        <v>2878</v>
      </c>
      <c r="UXI1334" s="4" t="s">
        <v>2878</v>
      </c>
      <c r="UXJ1334" s="4" t="s">
        <v>2878</v>
      </c>
      <c r="UXK1334" s="4" t="s">
        <v>2878</v>
      </c>
      <c r="UXL1334" s="4" t="s">
        <v>2878</v>
      </c>
      <c r="UXM1334" s="4" t="s">
        <v>2878</v>
      </c>
      <c r="UXN1334" s="4" t="s">
        <v>2878</v>
      </c>
      <c r="UXO1334" s="4" t="s">
        <v>2878</v>
      </c>
      <c r="UXP1334" s="4" t="s">
        <v>2878</v>
      </c>
      <c r="UXQ1334" s="4" t="s">
        <v>2878</v>
      </c>
      <c r="UXR1334" s="4" t="s">
        <v>2878</v>
      </c>
      <c r="UXS1334" s="4" t="s">
        <v>2878</v>
      </c>
      <c r="UXT1334" s="4" t="s">
        <v>2878</v>
      </c>
      <c r="UXU1334" s="4" t="s">
        <v>2878</v>
      </c>
      <c r="UXV1334" s="4" t="s">
        <v>2878</v>
      </c>
      <c r="UXW1334" s="4" t="s">
        <v>2878</v>
      </c>
      <c r="UXX1334" s="4" t="s">
        <v>2878</v>
      </c>
      <c r="UXY1334" s="4" t="s">
        <v>2878</v>
      </c>
      <c r="UXZ1334" s="4" t="s">
        <v>2878</v>
      </c>
      <c r="UYA1334" s="4" t="s">
        <v>2878</v>
      </c>
      <c r="UYB1334" s="4" t="s">
        <v>2878</v>
      </c>
      <c r="UYC1334" s="4" t="s">
        <v>2878</v>
      </c>
      <c r="UYD1334" s="4" t="s">
        <v>2878</v>
      </c>
      <c r="UYE1334" s="4" t="s">
        <v>2878</v>
      </c>
      <c r="UYF1334" s="4" t="s">
        <v>2878</v>
      </c>
      <c r="UYG1334" s="4" t="s">
        <v>2878</v>
      </c>
      <c r="UYH1334" s="4" t="s">
        <v>2878</v>
      </c>
      <c r="UYI1334" s="4" t="s">
        <v>2878</v>
      </c>
      <c r="UYJ1334" s="4" t="s">
        <v>2878</v>
      </c>
      <c r="UYK1334" s="4" t="s">
        <v>2878</v>
      </c>
      <c r="UYL1334" s="4" t="s">
        <v>2878</v>
      </c>
      <c r="UYM1334" s="4" t="s">
        <v>2878</v>
      </c>
      <c r="UYN1334" s="4" t="s">
        <v>2878</v>
      </c>
      <c r="UYO1334" s="4" t="s">
        <v>2878</v>
      </c>
      <c r="UYP1334" s="4" t="s">
        <v>2878</v>
      </c>
      <c r="UYQ1334" s="4" t="s">
        <v>2878</v>
      </c>
      <c r="UYR1334" s="4" t="s">
        <v>2878</v>
      </c>
      <c r="UYS1334" s="4" t="s">
        <v>2878</v>
      </c>
      <c r="UYT1334" s="4" t="s">
        <v>2878</v>
      </c>
      <c r="UYU1334" s="4" t="s">
        <v>2878</v>
      </c>
      <c r="UYV1334" s="4" t="s">
        <v>2878</v>
      </c>
      <c r="UYW1334" s="4" t="s">
        <v>2878</v>
      </c>
      <c r="UYX1334" s="4" t="s">
        <v>2878</v>
      </c>
      <c r="UYY1334" s="4" t="s">
        <v>2878</v>
      </c>
      <c r="UYZ1334" s="4" t="s">
        <v>2878</v>
      </c>
      <c r="UZA1334" s="4" t="s">
        <v>2878</v>
      </c>
      <c r="UZB1334" s="4" t="s">
        <v>2878</v>
      </c>
      <c r="UZC1334" s="4" t="s">
        <v>2878</v>
      </c>
      <c r="UZD1334" s="4" t="s">
        <v>2878</v>
      </c>
      <c r="UZE1334" s="4" t="s">
        <v>2878</v>
      </c>
      <c r="UZF1334" s="4" t="s">
        <v>2878</v>
      </c>
      <c r="UZG1334" s="4" t="s">
        <v>2878</v>
      </c>
      <c r="UZH1334" s="4" t="s">
        <v>2878</v>
      </c>
      <c r="UZI1334" s="4" t="s">
        <v>2878</v>
      </c>
      <c r="UZJ1334" s="4" t="s">
        <v>2878</v>
      </c>
      <c r="UZK1334" s="4" t="s">
        <v>2878</v>
      </c>
      <c r="UZL1334" s="4" t="s">
        <v>2878</v>
      </c>
      <c r="UZM1334" s="4" t="s">
        <v>2878</v>
      </c>
      <c r="UZN1334" s="4" t="s">
        <v>2878</v>
      </c>
      <c r="UZO1334" s="4" t="s">
        <v>2878</v>
      </c>
      <c r="UZP1334" s="4" t="s">
        <v>2878</v>
      </c>
      <c r="UZQ1334" s="4" t="s">
        <v>2878</v>
      </c>
      <c r="UZR1334" s="4" t="s">
        <v>2878</v>
      </c>
      <c r="UZS1334" s="4" t="s">
        <v>2878</v>
      </c>
      <c r="UZT1334" s="4" t="s">
        <v>2878</v>
      </c>
      <c r="UZU1334" s="4" t="s">
        <v>2878</v>
      </c>
      <c r="UZV1334" s="4" t="s">
        <v>2878</v>
      </c>
      <c r="UZW1334" s="4" t="s">
        <v>2878</v>
      </c>
      <c r="UZX1334" s="4" t="s">
        <v>2878</v>
      </c>
      <c r="UZY1334" s="4" t="s">
        <v>2878</v>
      </c>
      <c r="UZZ1334" s="4" t="s">
        <v>2878</v>
      </c>
      <c r="VAA1334" s="4" t="s">
        <v>2878</v>
      </c>
      <c r="VAB1334" s="4" t="s">
        <v>2878</v>
      </c>
      <c r="VAC1334" s="4" t="s">
        <v>2878</v>
      </c>
      <c r="VAD1334" s="4" t="s">
        <v>2878</v>
      </c>
      <c r="VAE1334" s="4" t="s">
        <v>2878</v>
      </c>
      <c r="VAF1334" s="4" t="s">
        <v>2878</v>
      </c>
      <c r="VAG1334" s="4" t="s">
        <v>2878</v>
      </c>
      <c r="VAH1334" s="4" t="s">
        <v>2878</v>
      </c>
      <c r="VAI1334" s="4" t="s">
        <v>2878</v>
      </c>
      <c r="VAJ1334" s="4" t="s">
        <v>2878</v>
      </c>
      <c r="VAK1334" s="4" t="s">
        <v>2878</v>
      </c>
      <c r="VAL1334" s="4" t="s">
        <v>2878</v>
      </c>
      <c r="VAM1334" s="4" t="s">
        <v>2878</v>
      </c>
      <c r="VAN1334" s="4" t="s">
        <v>2878</v>
      </c>
      <c r="VAO1334" s="4" t="s">
        <v>2878</v>
      </c>
      <c r="VAP1334" s="4" t="s">
        <v>2878</v>
      </c>
      <c r="VAQ1334" s="4" t="s">
        <v>2878</v>
      </c>
      <c r="VAR1334" s="4" t="s">
        <v>2878</v>
      </c>
      <c r="VAS1334" s="4" t="s">
        <v>2878</v>
      </c>
      <c r="VAT1334" s="4" t="s">
        <v>2878</v>
      </c>
      <c r="VAU1334" s="4" t="s">
        <v>2878</v>
      </c>
      <c r="VAV1334" s="4" t="s">
        <v>2878</v>
      </c>
      <c r="VAW1334" s="4" t="s">
        <v>2878</v>
      </c>
      <c r="VAX1334" s="4" t="s">
        <v>2878</v>
      </c>
      <c r="VAY1334" s="4" t="s">
        <v>2878</v>
      </c>
      <c r="VAZ1334" s="4" t="s">
        <v>2878</v>
      </c>
      <c r="VBA1334" s="4" t="s">
        <v>2878</v>
      </c>
      <c r="VBB1334" s="4" t="s">
        <v>2878</v>
      </c>
      <c r="VBC1334" s="4" t="s">
        <v>2878</v>
      </c>
      <c r="VBD1334" s="4" t="s">
        <v>2878</v>
      </c>
      <c r="VBE1334" s="4" t="s">
        <v>2878</v>
      </c>
      <c r="VBF1334" s="4" t="s">
        <v>2878</v>
      </c>
      <c r="VBG1334" s="4" t="s">
        <v>2878</v>
      </c>
      <c r="VBH1334" s="4" t="s">
        <v>2878</v>
      </c>
      <c r="VBI1334" s="4" t="s">
        <v>2878</v>
      </c>
      <c r="VBJ1334" s="4" t="s">
        <v>2878</v>
      </c>
      <c r="VBK1334" s="4" t="s">
        <v>2878</v>
      </c>
      <c r="VBL1334" s="4" t="s">
        <v>2878</v>
      </c>
      <c r="VBM1334" s="4" t="s">
        <v>2878</v>
      </c>
      <c r="VBN1334" s="4" t="s">
        <v>2878</v>
      </c>
      <c r="VBO1334" s="4" t="s">
        <v>2878</v>
      </c>
      <c r="VBP1334" s="4" t="s">
        <v>2878</v>
      </c>
      <c r="VBQ1334" s="4" t="s">
        <v>2878</v>
      </c>
      <c r="VBR1334" s="4" t="s">
        <v>2878</v>
      </c>
      <c r="VBS1334" s="4" t="s">
        <v>2878</v>
      </c>
      <c r="VBT1334" s="4" t="s">
        <v>2878</v>
      </c>
      <c r="VBU1334" s="4" t="s">
        <v>2878</v>
      </c>
      <c r="VBV1334" s="4" t="s">
        <v>2878</v>
      </c>
      <c r="VBW1334" s="4" t="s">
        <v>2878</v>
      </c>
      <c r="VBX1334" s="4" t="s">
        <v>2878</v>
      </c>
      <c r="VBY1334" s="4" t="s">
        <v>2878</v>
      </c>
      <c r="VBZ1334" s="4" t="s">
        <v>2878</v>
      </c>
      <c r="VCA1334" s="4" t="s">
        <v>2878</v>
      </c>
      <c r="VCB1334" s="4" t="s">
        <v>2878</v>
      </c>
      <c r="VCC1334" s="4" t="s">
        <v>2878</v>
      </c>
      <c r="VCD1334" s="4" t="s">
        <v>2878</v>
      </c>
      <c r="VCE1334" s="4" t="s">
        <v>2878</v>
      </c>
      <c r="VCF1334" s="4" t="s">
        <v>2878</v>
      </c>
      <c r="VCG1334" s="4" t="s">
        <v>2878</v>
      </c>
      <c r="VCH1334" s="4" t="s">
        <v>2878</v>
      </c>
      <c r="VCI1334" s="4" t="s">
        <v>2878</v>
      </c>
      <c r="VCJ1334" s="4" t="s">
        <v>2878</v>
      </c>
      <c r="VCK1334" s="4" t="s">
        <v>2878</v>
      </c>
      <c r="VCL1334" s="4" t="s">
        <v>2878</v>
      </c>
      <c r="VCM1334" s="4" t="s">
        <v>2878</v>
      </c>
      <c r="VCN1334" s="4" t="s">
        <v>2878</v>
      </c>
      <c r="VCO1334" s="4" t="s">
        <v>2878</v>
      </c>
      <c r="VCP1334" s="4" t="s">
        <v>2878</v>
      </c>
      <c r="VCQ1334" s="4" t="s">
        <v>2878</v>
      </c>
      <c r="VCR1334" s="4" t="s">
        <v>2878</v>
      </c>
      <c r="VCS1334" s="4" t="s">
        <v>2878</v>
      </c>
      <c r="VCT1334" s="4" t="s">
        <v>2878</v>
      </c>
      <c r="VCU1334" s="4" t="s">
        <v>2878</v>
      </c>
      <c r="VCV1334" s="4" t="s">
        <v>2878</v>
      </c>
      <c r="VCW1334" s="4" t="s">
        <v>2878</v>
      </c>
      <c r="VCX1334" s="4" t="s">
        <v>2878</v>
      </c>
      <c r="VCY1334" s="4" t="s">
        <v>2878</v>
      </c>
      <c r="VCZ1334" s="4" t="s">
        <v>2878</v>
      </c>
      <c r="VDA1334" s="4" t="s">
        <v>2878</v>
      </c>
      <c r="VDB1334" s="4" t="s">
        <v>2878</v>
      </c>
      <c r="VDC1334" s="4" t="s">
        <v>2878</v>
      </c>
      <c r="VDD1334" s="4" t="s">
        <v>2878</v>
      </c>
      <c r="VDE1334" s="4" t="s">
        <v>2878</v>
      </c>
      <c r="VDF1334" s="4" t="s">
        <v>2878</v>
      </c>
      <c r="VDG1334" s="4" t="s">
        <v>2878</v>
      </c>
      <c r="VDH1334" s="4" t="s">
        <v>2878</v>
      </c>
      <c r="VDI1334" s="4" t="s">
        <v>2878</v>
      </c>
      <c r="VDJ1334" s="4" t="s">
        <v>2878</v>
      </c>
      <c r="VDK1334" s="4" t="s">
        <v>2878</v>
      </c>
      <c r="VDL1334" s="4" t="s">
        <v>2878</v>
      </c>
      <c r="VDM1334" s="4" t="s">
        <v>2878</v>
      </c>
      <c r="VDN1334" s="4" t="s">
        <v>2878</v>
      </c>
      <c r="VDO1334" s="4" t="s">
        <v>2878</v>
      </c>
      <c r="VDP1334" s="4" t="s">
        <v>2878</v>
      </c>
      <c r="VDQ1334" s="4" t="s">
        <v>2878</v>
      </c>
      <c r="VDR1334" s="4" t="s">
        <v>2878</v>
      </c>
      <c r="VDS1334" s="4" t="s">
        <v>2878</v>
      </c>
      <c r="VDT1334" s="4" t="s">
        <v>2878</v>
      </c>
      <c r="VDU1334" s="4" t="s">
        <v>2878</v>
      </c>
      <c r="VDV1334" s="4" t="s">
        <v>2878</v>
      </c>
      <c r="VDW1334" s="4" t="s">
        <v>2878</v>
      </c>
      <c r="VDX1334" s="4" t="s">
        <v>2878</v>
      </c>
      <c r="VDY1334" s="4" t="s">
        <v>2878</v>
      </c>
      <c r="VDZ1334" s="4" t="s">
        <v>2878</v>
      </c>
      <c r="VEA1334" s="4" t="s">
        <v>2878</v>
      </c>
      <c r="VEB1334" s="4" t="s">
        <v>2878</v>
      </c>
      <c r="VEC1334" s="4" t="s">
        <v>2878</v>
      </c>
      <c r="VED1334" s="4" t="s">
        <v>2878</v>
      </c>
      <c r="VEE1334" s="4" t="s">
        <v>2878</v>
      </c>
      <c r="VEF1334" s="4" t="s">
        <v>2878</v>
      </c>
      <c r="VEG1334" s="4" t="s">
        <v>2878</v>
      </c>
      <c r="VEH1334" s="4" t="s">
        <v>2878</v>
      </c>
      <c r="VEI1334" s="4" t="s">
        <v>2878</v>
      </c>
      <c r="VEJ1334" s="4" t="s">
        <v>2878</v>
      </c>
      <c r="VEK1334" s="4" t="s">
        <v>2878</v>
      </c>
      <c r="VEL1334" s="4" t="s">
        <v>2878</v>
      </c>
      <c r="VEM1334" s="4" t="s">
        <v>2878</v>
      </c>
      <c r="VEN1334" s="4" t="s">
        <v>2878</v>
      </c>
      <c r="VEO1334" s="4" t="s">
        <v>2878</v>
      </c>
      <c r="VEP1334" s="4" t="s">
        <v>2878</v>
      </c>
      <c r="VEQ1334" s="4" t="s">
        <v>2878</v>
      </c>
      <c r="VER1334" s="4" t="s">
        <v>2878</v>
      </c>
      <c r="VES1334" s="4" t="s">
        <v>2878</v>
      </c>
      <c r="VET1334" s="4" t="s">
        <v>2878</v>
      </c>
      <c r="VEU1334" s="4" t="s">
        <v>2878</v>
      </c>
      <c r="VEV1334" s="4" t="s">
        <v>2878</v>
      </c>
      <c r="VEW1334" s="4" t="s">
        <v>2878</v>
      </c>
      <c r="VEX1334" s="4" t="s">
        <v>2878</v>
      </c>
      <c r="VEY1334" s="4" t="s">
        <v>2878</v>
      </c>
      <c r="VEZ1334" s="4" t="s">
        <v>2878</v>
      </c>
      <c r="VFA1334" s="4" t="s">
        <v>2878</v>
      </c>
      <c r="VFB1334" s="4" t="s">
        <v>2878</v>
      </c>
      <c r="VFC1334" s="4" t="s">
        <v>2878</v>
      </c>
      <c r="VFD1334" s="4" t="s">
        <v>2878</v>
      </c>
      <c r="VFE1334" s="4" t="s">
        <v>2878</v>
      </c>
      <c r="VFF1334" s="4" t="s">
        <v>2878</v>
      </c>
      <c r="VFG1334" s="4" t="s">
        <v>2878</v>
      </c>
      <c r="VFH1334" s="4" t="s">
        <v>2878</v>
      </c>
      <c r="VFI1334" s="4" t="s">
        <v>2878</v>
      </c>
      <c r="VFJ1334" s="4" t="s">
        <v>2878</v>
      </c>
      <c r="VFK1334" s="4" t="s">
        <v>2878</v>
      </c>
      <c r="VFL1334" s="4" t="s">
        <v>2878</v>
      </c>
      <c r="VFM1334" s="4" t="s">
        <v>2878</v>
      </c>
      <c r="VFN1334" s="4" t="s">
        <v>2878</v>
      </c>
      <c r="VFO1334" s="4" t="s">
        <v>2878</v>
      </c>
      <c r="VFP1334" s="4" t="s">
        <v>2878</v>
      </c>
      <c r="VFQ1334" s="4" t="s">
        <v>2878</v>
      </c>
      <c r="VFR1334" s="4" t="s">
        <v>2878</v>
      </c>
      <c r="VFS1334" s="4" t="s">
        <v>2878</v>
      </c>
      <c r="VFT1334" s="4" t="s">
        <v>2878</v>
      </c>
      <c r="VFU1334" s="4" t="s">
        <v>2878</v>
      </c>
      <c r="VFV1334" s="4" t="s">
        <v>2878</v>
      </c>
      <c r="VFW1334" s="4" t="s">
        <v>2878</v>
      </c>
      <c r="VFX1334" s="4" t="s">
        <v>2878</v>
      </c>
      <c r="VFY1334" s="4" t="s">
        <v>2878</v>
      </c>
      <c r="VFZ1334" s="4" t="s">
        <v>2878</v>
      </c>
      <c r="VGA1334" s="4" t="s">
        <v>2878</v>
      </c>
      <c r="VGB1334" s="4" t="s">
        <v>2878</v>
      </c>
      <c r="VGC1334" s="4" t="s">
        <v>2878</v>
      </c>
      <c r="VGD1334" s="4" t="s">
        <v>2878</v>
      </c>
      <c r="VGE1334" s="4" t="s">
        <v>2878</v>
      </c>
      <c r="VGF1334" s="4" t="s">
        <v>2878</v>
      </c>
      <c r="VGG1334" s="4" t="s">
        <v>2878</v>
      </c>
      <c r="VGH1334" s="4" t="s">
        <v>2878</v>
      </c>
      <c r="VGI1334" s="4" t="s">
        <v>2878</v>
      </c>
      <c r="VGJ1334" s="4" t="s">
        <v>2878</v>
      </c>
      <c r="VGK1334" s="4" t="s">
        <v>2878</v>
      </c>
      <c r="VGL1334" s="4" t="s">
        <v>2878</v>
      </c>
      <c r="VGM1334" s="4" t="s">
        <v>2878</v>
      </c>
      <c r="VGN1334" s="4" t="s">
        <v>2878</v>
      </c>
      <c r="VGO1334" s="4" t="s">
        <v>2878</v>
      </c>
      <c r="VGP1334" s="4" t="s">
        <v>2878</v>
      </c>
      <c r="VGQ1334" s="4" t="s">
        <v>2878</v>
      </c>
      <c r="VGR1334" s="4" t="s">
        <v>2878</v>
      </c>
      <c r="VGS1334" s="4" t="s">
        <v>2878</v>
      </c>
      <c r="VGT1334" s="4" t="s">
        <v>2878</v>
      </c>
      <c r="VGU1334" s="4" t="s">
        <v>2878</v>
      </c>
      <c r="VGV1334" s="4" t="s">
        <v>2878</v>
      </c>
      <c r="VGW1334" s="4" t="s">
        <v>2878</v>
      </c>
      <c r="VGX1334" s="4" t="s">
        <v>2878</v>
      </c>
      <c r="VGY1334" s="4" t="s">
        <v>2878</v>
      </c>
      <c r="VGZ1334" s="4" t="s">
        <v>2878</v>
      </c>
      <c r="VHA1334" s="4" t="s">
        <v>2878</v>
      </c>
      <c r="VHB1334" s="4" t="s">
        <v>2878</v>
      </c>
      <c r="VHC1334" s="4" t="s">
        <v>2878</v>
      </c>
      <c r="VHD1334" s="4" t="s">
        <v>2878</v>
      </c>
      <c r="VHE1334" s="4" t="s">
        <v>2878</v>
      </c>
      <c r="VHF1334" s="4" t="s">
        <v>2878</v>
      </c>
      <c r="VHG1334" s="4" t="s">
        <v>2878</v>
      </c>
      <c r="VHH1334" s="4" t="s">
        <v>2878</v>
      </c>
      <c r="VHI1334" s="4" t="s">
        <v>2878</v>
      </c>
      <c r="VHJ1334" s="4" t="s">
        <v>2878</v>
      </c>
      <c r="VHK1334" s="4" t="s">
        <v>2878</v>
      </c>
      <c r="VHL1334" s="4" t="s">
        <v>2878</v>
      </c>
      <c r="VHM1334" s="4" t="s">
        <v>2878</v>
      </c>
      <c r="VHN1334" s="4" t="s">
        <v>2878</v>
      </c>
      <c r="VHO1334" s="4" t="s">
        <v>2878</v>
      </c>
      <c r="VHP1334" s="4" t="s">
        <v>2878</v>
      </c>
      <c r="VHQ1334" s="4" t="s">
        <v>2878</v>
      </c>
      <c r="VHR1334" s="4" t="s">
        <v>2878</v>
      </c>
      <c r="VHS1334" s="4" t="s">
        <v>2878</v>
      </c>
      <c r="VHT1334" s="4" t="s">
        <v>2878</v>
      </c>
      <c r="VHU1334" s="4" t="s">
        <v>2878</v>
      </c>
      <c r="VHV1334" s="4" t="s">
        <v>2878</v>
      </c>
      <c r="VHW1334" s="4" t="s">
        <v>2878</v>
      </c>
      <c r="VHX1334" s="4" t="s">
        <v>2878</v>
      </c>
      <c r="VHY1334" s="4" t="s">
        <v>2878</v>
      </c>
      <c r="VHZ1334" s="4" t="s">
        <v>2878</v>
      </c>
      <c r="VIA1334" s="4" t="s">
        <v>2878</v>
      </c>
      <c r="VIB1334" s="4" t="s">
        <v>2878</v>
      </c>
      <c r="VIC1334" s="4" t="s">
        <v>2878</v>
      </c>
      <c r="VID1334" s="4" t="s">
        <v>2878</v>
      </c>
      <c r="VIE1334" s="4" t="s">
        <v>2878</v>
      </c>
      <c r="VIF1334" s="4" t="s">
        <v>2878</v>
      </c>
      <c r="VIG1334" s="4" t="s">
        <v>2878</v>
      </c>
      <c r="VIH1334" s="4" t="s">
        <v>2878</v>
      </c>
      <c r="VII1334" s="4" t="s">
        <v>2878</v>
      </c>
      <c r="VIJ1334" s="4" t="s">
        <v>2878</v>
      </c>
      <c r="VIK1334" s="4" t="s">
        <v>2878</v>
      </c>
      <c r="VIL1334" s="4" t="s">
        <v>2878</v>
      </c>
      <c r="VIM1334" s="4" t="s">
        <v>2878</v>
      </c>
      <c r="VIN1334" s="4" t="s">
        <v>2878</v>
      </c>
      <c r="VIO1334" s="4" t="s">
        <v>2878</v>
      </c>
      <c r="VIP1334" s="4" t="s">
        <v>2878</v>
      </c>
      <c r="VIQ1334" s="4" t="s">
        <v>2878</v>
      </c>
      <c r="VIR1334" s="4" t="s">
        <v>2878</v>
      </c>
      <c r="VIS1334" s="4" t="s">
        <v>2878</v>
      </c>
      <c r="VIT1334" s="4" t="s">
        <v>2878</v>
      </c>
      <c r="VIU1334" s="4" t="s">
        <v>2878</v>
      </c>
      <c r="VIV1334" s="4" t="s">
        <v>2878</v>
      </c>
      <c r="VIW1334" s="4" t="s">
        <v>2878</v>
      </c>
      <c r="VIX1334" s="4" t="s">
        <v>2878</v>
      </c>
      <c r="VIY1334" s="4" t="s">
        <v>2878</v>
      </c>
      <c r="VIZ1334" s="4" t="s">
        <v>2878</v>
      </c>
      <c r="VJA1334" s="4" t="s">
        <v>2878</v>
      </c>
      <c r="VJB1334" s="4" t="s">
        <v>2878</v>
      </c>
      <c r="VJC1334" s="4" t="s">
        <v>2878</v>
      </c>
      <c r="VJD1334" s="4" t="s">
        <v>2878</v>
      </c>
      <c r="VJE1334" s="4" t="s">
        <v>2878</v>
      </c>
      <c r="VJF1334" s="4" t="s">
        <v>2878</v>
      </c>
      <c r="VJG1334" s="4" t="s">
        <v>2878</v>
      </c>
      <c r="VJH1334" s="4" t="s">
        <v>2878</v>
      </c>
      <c r="VJI1334" s="4" t="s">
        <v>2878</v>
      </c>
      <c r="VJJ1334" s="4" t="s">
        <v>2878</v>
      </c>
      <c r="VJK1334" s="4" t="s">
        <v>2878</v>
      </c>
      <c r="VJL1334" s="4" t="s">
        <v>2878</v>
      </c>
      <c r="VJM1334" s="4" t="s">
        <v>2878</v>
      </c>
      <c r="VJN1334" s="4" t="s">
        <v>2878</v>
      </c>
      <c r="VJO1334" s="4" t="s">
        <v>2878</v>
      </c>
      <c r="VJP1334" s="4" t="s">
        <v>2878</v>
      </c>
      <c r="VJQ1334" s="4" t="s">
        <v>2878</v>
      </c>
      <c r="VJR1334" s="4" t="s">
        <v>2878</v>
      </c>
      <c r="VJS1334" s="4" t="s">
        <v>2878</v>
      </c>
      <c r="VJT1334" s="4" t="s">
        <v>2878</v>
      </c>
      <c r="VJU1334" s="4" t="s">
        <v>2878</v>
      </c>
      <c r="VJV1334" s="4" t="s">
        <v>2878</v>
      </c>
      <c r="VJW1334" s="4" t="s">
        <v>2878</v>
      </c>
      <c r="VJX1334" s="4" t="s">
        <v>2878</v>
      </c>
      <c r="VJY1334" s="4" t="s">
        <v>2878</v>
      </c>
      <c r="VJZ1334" s="4" t="s">
        <v>2878</v>
      </c>
      <c r="VKA1334" s="4" t="s">
        <v>2878</v>
      </c>
      <c r="VKB1334" s="4" t="s">
        <v>2878</v>
      </c>
      <c r="VKC1334" s="4" t="s">
        <v>2878</v>
      </c>
      <c r="VKD1334" s="4" t="s">
        <v>2878</v>
      </c>
      <c r="VKE1334" s="4" t="s">
        <v>2878</v>
      </c>
      <c r="VKF1334" s="4" t="s">
        <v>2878</v>
      </c>
      <c r="VKG1334" s="4" t="s">
        <v>2878</v>
      </c>
      <c r="VKH1334" s="4" t="s">
        <v>2878</v>
      </c>
      <c r="VKI1334" s="4" t="s">
        <v>2878</v>
      </c>
      <c r="VKJ1334" s="4" t="s">
        <v>2878</v>
      </c>
      <c r="VKK1334" s="4" t="s">
        <v>2878</v>
      </c>
      <c r="VKL1334" s="4" t="s">
        <v>2878</v>
      </c>
      <c r="VKM1334" s="4" t="s">
        <v>2878</v>
      </c>
      <c r="VKN1334" s="4" t="s">
        <v>2878</v>
      </c>
      <c r="VKO1334" s="4" t="s">
        <v>2878</v>
      </c>
      <c r="VKP1334" s="4" t="s">
        <v>2878</v>
      </c>
      <c r="VKQ1334" s="4" t="s">
        <v>2878</v>
      </c>
      <c r="VKR1334" s="4" t="s">
        <v>2878</v>
      </c>
      <c r="VKS1334" s="4" t="s">
        <v>2878</v>
      </c>
      <c r="VKT1334" s="4" t="s">
        <v>2878</v>
      </c>
      <c r="VKU1334" s="4" t="s">
        <v>2878</v>
      </c>
      <c r="VKV1334" s="4" t="s">
        <v>2878</v>
      </c>
      <c r="VKW1334" s="4" t="s">
        <v>2878</v>
      </c>
      <c r="VKX1334" s="4" t="s">
        <v>2878</v>
      </c>
      <c r="VKY1334" s="4" t="s">
        <v>2878</v>
      </c>
      <c r="VKZ1334" s="4" t="s">
        <v>2878</v>
      </c>
      <c r="VLA1334" s="4" t="s">
        <v>2878</v>
      </c>
      <c r="VLB1334" s="4" t="s">
        <v>2878</v>
      </c>
      <c r="VLC1334" s="4" t="s">
        <v>2878</v>
      </c>
      <c r="VLD1334" s="4" t="s">
        <v>2878</v>
      </c>
      <c r="VLE1334" s="4" t="s">
        <v>2878</v>
      </c>
      <c r="VLF1334" s="4" t="s">
        <v>2878</v>
      </c>
      <c r="VLG1334" s="4" t="s">
        <v>2878</v>
      </c>
      <c r="VLH1334" s="4" t="s">
        <v>2878</v>
      </c>
      <c r="VLI1334" s="4" t="s">
        <v>2878</v>
      </c>
      <c r="VLJ1334" s="4" t="s">
        <v>2878</v>
      </c>
      <c r="VLK1334" s="4" t="s">
        <v>2878</v>
      </c>
      <c r="VLL1334" s="4" t="s">
        <v>2878</v>
      </c>
      <c r="VLM1334" s="4" t="s">
        <v>2878</v>
      </c>
      <c r="VLN1334" s="4" t="s">
        <v>2878</v>
      </c>
      <c r="VLO1334" s="4" t="s">
        <v>2878</v>
      </c>
      <c r="VLP1334" s="4" t="s">
        <v>2878</v>
      </c>
      <c r="VLQ1334" s="4" t="s">
        <v>2878</v>
      </c>
      <c r="VLR1334" s="4" t="s">
        <v>2878</v>
      </c>
      <c r="VLS1334" s="4" t="s">
        <v>2878</v>
      </c>
      <c r="VLT1334" s="4" t="s">
        <v>2878</v>
      </c>
      <c r="VLU1334" s="4" t="s">
        <v>2878</v>
      </c>
      <c r="VLV1334" s="4" t="s">
        <v>2878</v>
      </c>
      <c r="VLW1334" s="4" t="s">
        <v>2878</v>
      </c>
      <c r="VLX1334" s="4" t="s">
        <v>2878</v>
      </c>
      <c r="VLY1334" s="4" t="s">
        <v>2878</v>
      </c>
      <c r="VLZ1334" s="4" t="s">
        <v>2878</v>
      </c>
      <c r="VMA1334" s="4" t="s">
        <v>2878</v>
      </c>
      <c r="VMB1334" s="4" t="s">
        <v>2878</v>
      </c>
      <c r="VMC1334" s="4" t="s">
        <v>2878</v>
      </c>
      <c r="VMD1334" s="4" t="s">
        <v>2878</v>
      </c>
      <c r="VME1334" s="4" t="s">
        <v>2878</v>
      </c>
      <c r="VMF1334" s="4" t="s">
        <v>2878</v>
      </c>
      <c r="VMG1334" s="4" t="s">
        <v>2878</v>
      </c>
      <c r="VMH1334" s="4" t="s">
        <v>2878</v>
      </c>
      <c r="VMI1334" s="4" t="s">
        <v>2878</v>
      </c>
      <c r="VMJ1334" s="4" t="s">
        <v>2878</v>
      </c>
      <c r="VMK1334" s="4" t="s">
        <v>2878</v>
      </c>
      <c r="VML1334" s="4" t="s">
        <v>2878</v>
      </c>
      <c r="VMM1334" s="4" t="s">
        <v>2878</v>
      </c>
      <c r="VMN1334" s="4" t="s">
        <v>2878</v>
      </c>
      <c r="VMO1334" s="4" t="s">
        <v>2878</v>
      </c>
      <c r="VMP1334" s="4" t="s">
        <v>2878</v>
      </c>
      <c r="VMQ1334" s="4" t="s">
        <v>2878</v>
      </c>
      <c r="VMR1334" s="4" t="s">
        <v>2878</v>
      </c>
      <c r="VMS1334" s="4" t="s">
        <v>2878</v>
      </c>
      <c r="VMT1334" s="4" t="s">
        <v>2878</v>
      </c>
      <c r="VMU1334" s="4" t="s">
        <v>2878</v>
      </c>
      <c r="VMV1334" s="4" t="s">
        <v>2878</v>
      </c>
      <c r="VMW1334" s="4" t="s">
        <v>2878</v>
      </c>
      <c r="VMX1334" s="4" t="s">
        <v>2878</v>
      </c>
      <c r="VMY1334" s="4" t="s">
        <v>2878</v>
      </c>
      <c r="VMZ1334" s="4" t="s">
        <v>2878</v>
      </c>
      <c r="VNA1334" s="4" t="s">
        <v>2878</v>
      </c>
      <c r="VNB1334" s="4" t="s">
        <v>2878</v>
      </c>
      <c r="VNC1334" s="4" t="s">
        <v>2878</v>
      </c>
      <c r="VND1334" s="4" t="s">
        <v>2878</v>
      </c>
      <c r="VNE1334" s="4" t="s">
        <v>2878</v>
      </c>
      <c r="VNF1334" s="4" t="s">
        <v>2878</v>
      </c>
      <c r="VNG1334" s="4" t="s">
        <v>2878</v>
      </c>
      <c r="VNH1334" s="4" t="s">
        <v>2878</v>
      </c>
      <c r="VNI1334" s="4" t="s">
        <v>2878</v>
      </c>
      <c r="VNJ1334" s="4" t="s">
        <v>2878</v>
      </c>
      <c r="VNK1334" s="4" t="s">
        <v>2878</v>
      </c>
      <c r="VNL1334" s="4" t="s">
        <v>2878</v>
      </c>
      <c r="VNM1334" s="4" t="s">
        <v>2878</v>
      </c>
      <c r="VNN1334" s="4" t="s">
        <v>2878</v>
      </c>
      <c r="VNO1334" s="4" t="s">
        <v>2878</v>
      </c>
      <c r="VNP1334" s="4" t="s">
        <v>2878</v>
      </c>
      <c r="VNQ1334" s="4" t="s">
        <v>2878</v>
      </c>
      <c r="VNR1334" s="4" t="s">
        <v>2878</v>
      </c>
      <c r="VNS1334" s="4" t="s">
        <v>2878</v>
      </c>
      <c r="VNT1334" s="4" t="s">
        <v>2878</v>
      </c>
      <c r="VNU1334" s="4" t="s">
        <v>2878</v>
      </c>
      <c r="VNV1334" s="4" t="s">
        <v>2878</v>
      </c>
      <c r="VNW1334" s="4" t="s">
        <v>2878</v>
      </c>
      <c r="VNX1334" s="4" t="s">
        <v>2878</v>
      </c>
      <c r="VNY1334" s="4" t="s">
        <v>2878</v>
      </c>
      <c r="VNZ1334" s="4" t="s">
        <v>2878</v>
      </c>
      <c r="VOA1334" s="4" t="s">
        <v>2878</v>
      </c>
      <c r="VOB1334" s="4" t="s">
        <v>2878</v>
      </c>
      <c r="VOC1334" s="4" t="s">
        <v>2878</v>
      </c>
      <c r="VOD1334" s="4" t="s">
        <v>2878</v>
      </c>
      <c r="VOE1334" s="4" t="s">
        <v>2878</v>
      </c>
      <c r="VOF1334" s="4" t="s">
        <v>2878</v>
      </c>
      <c r="VOG1334" s="4" t="s">
        <v>2878</v>
      </c>
      <c r="VOH1334" s="4" t="s">
        <v>2878</v>
      </c>
      <c r="VOI1334" s="4" t="s">
        <v>2878</v>
      </c>
      <c r="VOJ1334" s="4" t="s">
        <v>2878</v>
      </c>
      <c r="VOK1334" s="4" t="s">
        <v>2878</v>
      </c>
      <c r="VOL1334" s="4" t="s">
        <v>2878</v>
      </c>
      <c r="VOM1334" s="4" t="s">
        <v>2878</v>
      </c>
      <c r="VON1334" s="4" t="s">
        <v>2878</v>
      </c>
      <c r="VOO1334" s="4" t="s">
        <v>2878</v>
      </c>
      <c r="VOP1334" s="4" t="s">
        <v>2878</v>
      </c>
      <c r="VOQ1334" s="4" t="s">
        <v>2878</v>
      </c>
      <c r="VOR1334" s="4" t="s">
        <v>2878</v>
      </c>
      <c r="VOS1334" s="4" t="s">
        <v>2878</v>
      </c>
      <c r="VOT1334" s="4" t="s">
        <v>2878</v>
      </c>
      <c r="VOU1334" s="4" t="s">
        <v>2878</v>
      </c>
      <c r="VOV1334" s="4" t="s">
        <v>2878</v>
      </c>
      <c r="VOW1334" s="4" t="s">
        <v>2878</v>
      </c>
      <c r="VOX1334" s="4" t="s">
        <v>2878</v>
      </c>
      <c r="VOY1334" s="4" t="s">
        <v>2878</v>
      </c>
      <c r="VOZ1334" s="4" t="s">
        <v>2878</v>
      </c>
      <c r="VPA1334" s="4" t="s">
        <v>2878</v>
      </c>
      <c r="VPB1334" s="4" t="s">
        <v>2878</v>
      </c>
      <c r="VPC1334" s="4" t="s">
        <v>2878</v>
      </c>
      <c r="VPD1334" s="4" t="s">
        <v>2878</v>
      </c>
      <c r="VPE1334" s="4" t="s">
        <v>2878</v>
      </c>
      <c r="VPF1334" s="4" t="s">
        <v>2878</v>
      </c>
      <c r="VPG1334" s="4" t="s">
        <v>2878</v>
      </c>
      <c r="VPH1334" s="4" t="s">
        <v>2878</v>
      </c>
      <c r="VPI1334" s="4" t="s">
        <v>2878</v>
      </c>
      <c r="VPJ1334" s="4" t="s">
        <v>2878</v>
      </c>
      <c r="VPK1334" s="4" t="s">
        <v>2878</v>
      </c>
      <c r="VPL1334" s="4" t="s">
        <v>2878</v>
      </c>
      <c r="VPM1334" s="4" t="s">
        <v>2878</v>
      </c>
      <c r="VPN1334" s="4" t="s">
        <v>2878</v>
      </c>
      <c r="VPO1334" s="4" t="s">
        <v>2878</v>
      </c>
      <c r="VPP1334" s="4" t="s">
        <v>2878</v>
      </c>
      <c r="VPQ1334" s="4" t="s">
        <v>2878</v>
      </c>
      <c r="VPR1334" s="4" t="s">
        <v>2878</v>
      </c>
      <c r="VPS1334" s="4" t="s">
        <v>2878</v>
      </c>
      <c r="VPT1334" s="4" t="s">
        <v>2878</v>
      </c>
      <c r="VPU1334" s="4" t="s">
        <v>2878</v>
      </c>
      <c r="VPV1334" s="4" t="s">
        <v>2878</v>
      </c>
      <c r="VPW1334" s="4" t="s">
        <v>2878</v>
      </c>
      <c r="VPX1334" s="4" t="s">
        <v>2878</v>
      </c>
      <c r="VPY1334" s="4" t="s">
        <v>2878</v>
      </c>
      <c r="VPZ1334" s="4" t="s">
        <v>2878</v>
      </c>
      <c r="VQA1334" s="4" t="s">
        <v>2878</v>
      </c>
      <c r="VQB1334" s="4" t="s">
        <v>2878</v>
      </c>
      <c r="VQC1334" s="4" t="s">
        <v>2878</v>
      </c>
      <c r="VQD1334" s="4" t="s">
        <v>2878</v>
      </c>
      <c r="VQE1334" s="4" t="s">
        <v>2878</v>
      </c>
      <c r="VQF1334" s="4" t="s">
        <v>2878</v>
      </c>
      <c r="VQG1334" s="4" t="s">
        <v>2878</v>
      </c>
      <c r="VQH1334" s="4" t="s">
        <v>2878</v>
      </c>
      <c r="VQI1334" s="4" t="s">
        <v>2878</v>
      </c>
      <c r="VQJ1334" s="4" t="s">
        <v>2878</v>
      </c>
      <c r="VQK1334" s="4" t="s">
        <v>2878</v>
      </c>
      <c r="VQL1334" s="4" t="s">
        <v>2878</v>
      </c>
      <c r="VQM1334" s="4" t="s">
        <v>2878</v>
      </c>
      <c r="VQN1334" s="4" t="s">
        <v>2878</v>
      </c>
      <c r="VQO1334" s="4" t="s">
        <v>2878</v>
      </c>
      <c r="VQP1334" s="4" t="s">
        <v>2878</v>
      </c>
      <c r="VQQ1334" s="4" t="s">
        <v>2878</v>
      </c>
      <c r="VQR1334" s="4" t="s">
        <v>2878</v>
      </c>
      <c r="VQS1334" s="4" t="s">
        <v>2878</v>
      </c>
      <c r="VQT1334" s="4" t="s">
        <v>2878</v>
      </c>
      <c r="VQU1334" s="4" t="s">
        <v>2878</v>
      </c>
      <c r="VQV1334" s="4" t="s">
        <v>2878</v>
      </c>
      <c r="VQW1334" s="4" t="s">
        <v>2878</v>
      </c>
      <c r="VQX1334" s="4" t="s">
        <v>2878</v>
      </c>
      <c r="VQY1334" s="4" t="s">
        <v>2878</v>
      </c>
      <c r="VQZ1334" s="4" t="s">
        <v>2878</v>
      </c>
      <c r="VRA1334" s="4" t="s">
        <v>2878</v>
      </c>
      <c r="VRB1334" s="4" t="s">
        <v>2878</v>
      </c>
      <c r="VRC1334" s="4" t="s">
        <v>2878</v>
      </c>
      <c r="VRD1334" s="4" t="s">
        <v>2878</v>
      </c>
      <c r="VRE1334" s="4" t="s">
        <v>2878</v>
      </c>
      <c r="VRF1334" s="4" t="s">
        <v>2878</v>
      </c>
      <c r="VRG1334" s="4" t="s">
        <v>2878</v>
      </c>
      <c r="VRH1334" s="4" t="s">
        <v>2878</v>
      </c>
      <c r="VRI1334" s="4" t="s">
        <v>2878</v>
      </c>
      <c r="VRJ1334" s="4" t="s">
        <v>2878</v>
      </c>
      <c r="VRK1334" s="4" t="s">
        <v>2878</v>
      </c>
      <c r="VRL1334" s="4" t="s">
        <v>2878</v>
      </c>
      <c r="VRM1334" s="4" t="s">
        <v>2878</v>
      </c>
      <c r="VRN1334" s="4" t="s">
        <v>2878</v>
      </c>
      <c r="VRO1334" s="4" t="s">
        <v>2878</v>
      </c>
      <c r="VRP1334" s="4" t="s">
        <v>2878</v>
      </c>
      <c r="VRQ1334" s="4" t="s">
        <v>2878</v>
      </c>
      <c r="VRR1334" s="4" t="s">
        <v>2878</v>
      </c>
      <c r="VRS1334" s="4" t="s">
        <v>2878</v>
      </c>
      <c r="VRT1334" s="4" t="s">
        <v>2878</v>
      </c>
      <c r="VRU1334" s="4" t="s">
        <v>2878</v>
      </c>
      <c r="VRV1334" s="4" t="s">
        <v>2878</v>
      </c>
      <c r="VRW1334" s="4" t="s">
        <v>2878</v>
      </c>
      <c r="VRX1334" s="4" t="s">
        <v>2878</v>
      </c>
      <c r="VRY1334" s="4" t="s">
        <v>2878</v>
      </c>
      <c r="VRZ1334" s="4" t="s">
        <v>2878</v>
      </c>
      <c r="VSA1334" s="4" t="s">
        <v>2878</v>
      </c>
      <c r="VSB1334" s="4" t="s">
        <v>2878</v>
      </c>
      <c r="VSC1334" s="4" t="s">
        <v>2878</v>
      </c>
      <c r="VSD1334" s="4" t="s">
        <v>2878</v>
      </c>
      <c r="VSE1334" s="4" t="s">
        <v>2878</v>
      </c>
      <c r="VSF1334" s="4" t="s">
        <v>2878</v>
      </c>
      <c r="VSG1334" s="4" t="s">
        <v>2878</v>
      </c>
      <c r="VSH1334" s="4" t="s">
        <v>2878</v>
      </c>
      <c r="VSI1334" s="4" t="s">
        <v>2878</v>
      </c>
      <c r="VSJ1334" s="4" t="s">
        <v>2878</v>
      </c>
      <c r="VSK1334" s="4" t="s">
        <v>2878</v>
      </c>
      <c r="VSL1334" s="4" t="s">
        <v>2878</v>
      </c>
      <c r="VSM1334" s="4" t="s">
        <v>2878</v>
      </c>
      <c r="VSN1334" s="4" t="s">
        <v>2878</v>
      </c>
      <c r="VSO1334" s="4" t="s">
        <v>2878</v>
      </c>
      <c r="VSP1334" s="4" t="s">
        <v>2878</v>
      </c>
      <c r="VSQ1334" s="4" t="s">
        <v>2878</v>
      </c>
      <c r="VSR1334" s="4" t="s">
        <v>2878</v>
      </c>
      <c r="VSS1334" s="4" t="s">
        <v>2878</v>
      </c>
      <c r="VST1334" s="4" t="s">
        <v>2878</v>
      </c>
      <c r="VSU1334" s="4" t="s">
        <v>2878</v>
      </c>
      <c r="VSV1334" s="4" t="s">
        <v>2878</v>
      </c>
      <c r="VSW1334" s="4" t="s">
        <v>2878</v>
      </c>
      <c r="VSX1334" s="4" t="s">
        <v>2878</v>
      </c>
      <c r="VSY1334" s="4" t="s">
        <v>2878</v>
      </c>
      <c r="VSZ1334" s="4" t="s">
        <v>2878</v>
      </c>
      <c r="VTA1334" s="4" t="s">
        <v>2878</v>
      </c>
      <c r="VTB1334" s="4" t="s">
        <v>2878</v>
      </c>
      <c r="VTC1334" s="4" t="s">
        <v>2878</v>
      </c>
      <c r="VTD1334" s="4" t="s">
        <v>2878</v>
      </c>
      <c r="VTE1334" s="4" t="s">
        <v>2878</v>
      </c>
      <c r="VTF1334" s="4" t="s">
        <v>2878</v>
      </c>
      <c r="VTG1334" s="4" t="s">
        <v>2878</v>
      </c>
      <c r="VTH1334" s="4" t="s">
        <v>2878</v>
      </c>
      <c r="VTI1334" s="4" t="s">
        <v>2878</v>
      </c>
      <c r="VTJ1334" s="4" t="s">
        <v>2878</v>
      </c>
      <c r="VTK1334" s="4" t="s">
        <v>2878</v>
      </c>
      <c r="VTL1334" s="4" t="s">
        <v>2878</v>
      </c>
      <c r="VTM1334" s="4" t="s">
        <v>2878</v>
      </c>
      <c r="VTN1334" s="4" t="s">
        <v>2878</v>
      </c>
      <c r="VTO1334" s="4" t="s">
        <v>2878</v>
      </c>
      <c r="VTP1334" s="4" t="s">
        <v>2878</v>
      </c>
      <c r="VTQ1334" s="4" t="s">
        <v>2878</v>
      </c>
      <c r="VTR1334" s="4" t="s">
        <v>2878</v>
      </c>
      <c r="VTS1334" s="4" t="s">
        <v>2878</v>
      </c>
      <c r="VTT1334" s="4" t="s">
        <v>2878</v>
      </c>
      <c r="VTU1334" s="4" t="s">
        <v>2878</v>
      </c>
      <c r="VTV1334" s="4" t="s">
        <v>2878</v>
      </c>
      <c r="VTW1334" s="4" t="s">
        <v>2878</v>
      </c>
      <c r="VTX1334" s="4" t="s">
        <v>2878</v>
      </c>
      <c r="VTY1334" s="4" t="s">
        <v>2878</v>
      </c>
      <c r="VTZ1334" s="4" t="s">
        <v>2878</v>
      </c>
      <c r="VUA1334" s="4" t="s">
        <v>2878</v>
      </c>
      <c r="VUB1334" s="4" t="s">
        <v>2878</v>
      </c>
      <c r="VUC1334" s="4" t="s">
        <v>2878</v>
      </c>
      <c r="VUD1334" s="4" t="s">
        <v>2878</v>
      </c>
      <c r="VUE1334" s="4" t="s">
        <v>2878</v>
      </c>
      <c r="VUF1334" s="4" t="s">
        <v>2878</v>
      </c>
      <c r="VUG1334" s="4" t="s">
        <v>2878</v>
      </c>
      <c r="VUH1334" s="4" t="s">
        <v>2878</v>
      </c>
      <c r="VUI1334" s="4" t="s">
        <v>2878</v>
      </c>
      <c r="VUJ1334" s="4" t="s">
        <v>2878</v>
      </c>
      <c r="VUK1334" s="4" t="s">
        <v>2878</v>
      </c>
      <c r="VUL1334" s="4" t="s">
        <v>2878</v>
      </c>
      <c r="VUM1334" s="4" t="s">
        <v>2878</v>
      </c>
      <c r="VUN1334" s="4" t="s">
        <v>2878</v>
      </c>
      <c r="VUO1334" s="4" t="s">
        <v>2878</v>
      </c>
      <c r="VUP1334" s="4" t="s">
        <v>2878</v>
      </c>
      <c r="VUQ1334" s="4" t="s">
        <v>2878</v>
      </c>
      <c r="VUR1334" s="4" t="s">
        <v>2878</v>
      </c>
      <c r="VUS1334" s="4" t="s">
        <v>2878</v>
      </c>
      <c r="VUT1334" s="4" t="s">
        <v>2878</v>
      </c>
      <c r="VUU1334" s="4" t="s">
        <v>2878</v>
      </c>
      <c r="VUV1334" s="4" t="s">
        <v>2878</v>
      </c>
      <c r="VUW1334" s="4" t="s">
        <v>2878</v>
      </c>
      <c r="VUX1334" s="4" t="s">
        <v>2878</v>
      </c>
      <c r="VUY1334" s="4" t="s">
        <v>2878</v>
      </c>
      <c r="VUZ1334" s="4" t="s">
        <v>2878</v>
      </c>
      <c r="VVA1334" s="4" t="s">
        <v>2878</v>
      </c>
      <c r="VVB1334" s="4" t="s">
        <v>2878</v>
      </c>
      <c r="VVC1334" s="4" t="s">
        <v>2878</v>
      </c>
      <c r="VVD1334" s="4" t="s">
        <v>2878</v>
      </c>
      <c r="VVE1334" s="4" t="s">
        <v>2878</v>
      </c>
      <c r="VVF1334" s="4" t="s">
        <v>2878</v>
      </c>
      <c r="VVG1334" s="4" t="s">
        <v>2878</v>
      </c>
      <c r="VVH1334" s="4" t="s">
        <v>2878</v>
      </c>
      <c r="VVI1334" s="4" t="s">
        <v>2878</v>
      </c>
      <c r="VVJ1334" s="4" t="s">
        <v>2878</v>
      </c>
      <c r="VVK1334" s="4" t="s">
        <v>2878</v>
      </c>
      <c r="VVL1334" s="4" t="s">
        <v>2878</v>
      </c>
      <c r="VVM1334" s="4" t="s">
        <v>2878</v>
      </c>
      <c r="VVN1334" s="4" t="s">
        <v>2878</v>
      </c>
      <c r="VVO1334" s="4" t="s">
        <v>2878</v>
      </c>
      <c r="VVP1334" s="4" t="s">
        <v>2878</v>
      </c>
      <c r="VVQ1334" s="4" t="s">
        <v>2878</v>
      </c>
      <c r="VVR1334" s="4" t="s">
        <v>2878</v>
      </c>
      <c r="VVS1334" s="4" t="s">
        <v>2878</v>
      </c>
      <c r="VVT1334" s="4" t="s">
        <v>2878</v>
      </c>
      <c r="VVU1334" s="4" t="s">
        <v>2878</v>
      </c>
      <c r="VVV1334" s="4" t="s">
        <v>2878</v>
      </c>
      <c r="VVW1334" s="4" t="s">
        <v>2878</v>
      </c>
      <c r="VVX1334" s="4" t="s">
        <v>2878</v>
      </c>
      <c r="VVY1334" s="4" t="s">
        <v>2878</v>
      </c>
      <c r="VVZ1334" s="4" t="s">
        <v>2878</v>
      </c>
      <c r="VWA1334" s="4" t="s">
        <v>2878</v>
      </c>
      <c r="VWB1334" s="4" t="s">
        <v>2878</v>
      </c>
      <c r="VWC1334" s="4" t="s">
        <v>2878</v>
      </c>
      <c r="VWD1334" s="4" t="s">
        <v>2878</v>
      </c>
      <c r="VWE1334" s="4" t="s">
        <v>2878</v>
      </c>
      <c r="VWF1334" s="4" t="s">
        <v>2878</v>
      </c>
      <c r="VWG1334" s="4" t="s">
        <v>2878</v>
      </c>
      <c r="VWH1334" s="4" t="s">
        <v>2878</v>
      </c>
      <c r="VWI1334" s="4" t="s">
        <v>2878</v>
      </c>
      <c r="VWJ1334" s="4" t="s">
        <v>2878</v>
      </c>
      <c r="VWK1334" s="4" t="s">
        <v>2878</v>
      </c>
      <c r="VWL1334" s="4" t="s">
        <v>2878</v>
      </c>
      <c r="VWM1334" s="4" t="s">
        <v>2878</v>
      </c>
      <c r="VWN1334" s="4" t="s">
        <v>2878</v>
      </c>
      <c r="VWO1334" s="4" t="s">
        <v>2878</v>
      </c>
      <c r="VWP1334" s="4" t="s">
        <v>2878</v>
      </c>
      <c r="VWQ1334" s="4" t="s">
        <v>2878</v>
      </c>
      <c r="VWR1334" s="4" t="s">
        <v>2878</v>
      </c>
      <c r="VWS1334" s="4" t="s">
        <v>2878</v>
      </c>
      <c r="VWT1334" s="4" t="s">
        <v>2878</v>
      </c>
      <c r="VWU1334" s="4" t="s">
        <v>2878</v>
      </c>
      <c r="VWV1334" s="4" t="s">
        <v>2878</v>
      </c>
      <c r="VWW1334" s="4" t="s">
        <v>2878</v>
      </c>
      <c r="VWX1334" s="4" t="s">
        <v>2878</v>
      </c>
      <c r="VWY1334" s="4" t="s">
        <v>2878</v>
      </c>
      <c r="VWZ1334" s="4" t="s">
        <v>2878</v>
      </c>
      <c r="VXA1334" s="4" t="s">
        <v>2878</v>
      </c>
      <c r="VXB1334" s="4" t="s">
        <v>2878</v>
      </c>
      <c r="VXC1334" s="4" t="s">
        <v>2878</v>
      </c>
      <c r="VXD1334" s="4" t="s">
        <v>2878</v>
      </c>
      <c r="VXE1334" s="4" t="s">
        <v>2878</v>
      </c>
      <c r="VXF1334" s="4" t="s">
        <v>2878</v>
      </c>
      <c r="VXG1334" s="4" t="s">
        <v>2878</v>
      </c>
      <c r="VXH1334" s="4" t="s">
        <v>2878</v>
      </c>
      <c r="VXI1334" s="4" t="s">
        <v>2878</v>
      </c>
      <c r="VXJ1334" s="4" t="s">
        <v>2878</v>
      </c>
      <c r="VXK1334" s="4" t="s">
        <v>2878</v>
      </c>
      <c r="VXL1334" s="4" t="s">
        <v>2878</v>
      </c>
      <c r="VXM1334" s="4" t="s">
        <v>2878</v>
      </c>
      <c r="VXN1334" s="4" t="s">
        <v>2878</v>
      </c>
      <c r="VXO1334" s="4" t="s">
        <v>2878</v>
      </c>
      <c r="VXP1334" s="4" t="s">
        <v>2878</v>
      </c>
      <c r="VXQ1334" s="4" t="s">
        <v>2878</v>
      </c>
      <c r="VXR1334" s="4" t="s">
        <v>2878</v>
      </c>
      <c r="VXS1334" s="4" t="s">
        <v>2878</v>
      </c>
      <c r="VXT1334" s="4" t="s">
        <v>2878</v>
      </c>
      <c r="VXU1334" s="4" t="s">
        <v>2878</v>
      </c>
      <c r="VXV1334" s="4" t="s">
        <v>2878</v>
      </c>
      <c r="VXW1334" s="4" t="s">
        <v>2878</v>
      </c>
      <c r="VXX1334" s="4" t="s">
        <v>2878</v>
      </c>
      <c r="VXY1334" s="4" t="s">
        <v>2878</v>
      </c>
      <c r="VXZ1334" s="4" t="s">
        <v>2878</v>
      </c>
      <c r="VYA1334" s="4" t="s">
        <v>2878</v>
      </c>
      <c r="VYB1334" s="4" t="s">
        <v>2878</v>
      </c>
      <c r="VYC1334" s="4" t="s">
        <v>2878</v>
      </c>
      <c r="VYD1334" s="4" t="s">
        <v>2878</v>
      </c>
      <c r="VYE1334" s="4" t="s">
        <v>2878</v>
      </c>
      <c r="VYF1334" s="4" t="s">
        <v>2878</v>
      </c>
      <c r="VYG1334" s="4" t="s">
        <v>2878</v>
      </c>
      <c r="VYH1334" s="4" t="s">
        <v>2878</v>
      </c>
      <c r="VYI1334" s="4" t="s">
        <v>2878</v>
      </c>
      <c r="VYJ1334" s="4" t="s">
        <v>2878</v>
      </c>
      <c r="VYK1334" s="4" t="s">
        <v>2878</v>
      </c>
      <c r="VYL1334" s="4" t="s">
        <v>2878</v>
      </c>
      <c r="VYM1334" s="4" t="s">
        <v>2878</v>
      </c>
      <c r="VYN1334" s="4" t="s">
        <v>2878</v>
      </c>
      <c r="VYO1334" s="4" t="s">
        <v>2878</v>
      </c>
      <c r="VYP1334" s="4" t="s">
        <v>2878</v>
      </c>
      <c r="VYQ1334" s="4" t="s">
        <v>2878</v>
      </c>
      <c r="VYR1334" s="4" t="s">
        <v>2878</v>
      </c>
      <c r="VYS1334" s="4" t="s">
        <v>2878</v>
      </c>
      <c r="VYT1334" s="4" t="s">
        <v>2878</v>
      </c>
      <c r="VYU1334" s="4" t="s">
        <v>2878</v>
      </c>
      <c r="VYV1334" s="4" t="s">
        <v>2878</v>
      </c>
      <c r="VYW1334" s="4" t="s">
        <v>2878</v>
      </c>
      <c r="VYX1334" s="4" t="s">
        <v>2878</v>
      </c>
      <c r="VYY1334" s="4" t="s">
        <v>2878</v>
      </c>
      <c r="VYZ1334" s="4" t="s">
        <v>2878</v>
      </c>
      <c r="VZA1334" s="4" t="s">
        <v>2878</v>
      </c>
      <c r="VZB1334" s="4" t="s">
        <v>2878</v>
      </c>
      <c r="VZC1334" s="4" t="s">
        <v>2878</v>
      </c>
      <c r="VZD1334" s="4" t="s">
        <v>2878</v>
      </c>
      <c r="VZE1334" s="4" t="s">
        <v>2878</v>
      </c>
      <c r="VZF1334" s="4" t="s">
        <v>2878</v>
      </c>
      <c r="VZG1334" s="4" t="s">
        <v>2878</v>
      </c>
      <c r="VZH1334" s="4" t="s">
        <v>2878</v>
      </c>
      <c r="VZI1334" s="4" t="s">
        <v>2878</v>
      </c>
      <c r="VZJ1334" s="4" t="s">
        <v>2878</v>
      </c>
      <c r="VZK1334" s="4" t="s">
        <v>2878</v>
      </c>
      <c r="VZL1334" s="4" t="s">
        <v>2878</v>
      </c>
      <c r="VZM1334" s="4" t="s">
        <v>2878</v>
      </c>
      <c r="VZN1334" s="4" t="s">
        <v>2878</v>
      </c>
      <c r="VZO1334" s="4" t="s">
        <v>2878</v>
      </c>
      <c r="VZP1334" s="4" t="s">
        <v>2878</v>
      </c>
      <c r="VZQ1334" s="4" t="s">
        <v>2878</v>
      </c>
      <c r="VZR1334" s="4" t="s">
        <v>2878</v>
      </c>
      <c r="VZS1334" s="4" t="s">
        <v>2878</v>
      </c>
      <c r="VZT1334" s="4" t="s">
        <v>2878</v>
      </c>
      <c r="VZU1334" s="4" t="s">
        <v>2878</v>
      </c>
      <c r="VZV1334" s="4" t="s">
        <v>2878</v>
      </c>
      <c r="VZW1334" s="4" t="s">
        <v>2878</v>
      </c>
      <c r="VZX1334" s="4" t="s">
        <v>2878</v>
      </c>
      <c r="VZY1334" s="4" t="s">
        <v>2878</v>
      </c>
      <c r="VZZ1334" s="4" t="s">
        <v>2878</v>
      </c>
      <c r="WAA1334" s="4" t="s">
        <v>2878</v>
      </c>
      <c r="WAB1334" s="4" t="s">
        <v>2878</v>
      </c>
      <c r="WAC1334" s="4" t="s">
        <v>2878</v>
      </c>
      <c r="WAD1334" s="4" t="s">
        <v>2878</v>
      </c>
      <c r="WAE1334" s="4" t="s">
        <v>2878</v>
      </c>
      <c r="WAF1334" s="4" t="s">
        <v>2878</v>
      </c>
      <c r="WAG1334" s="4" t="s">
        <v>2878</v>
      </c>
      <c r="WAH1334" s="4" t="s">
        <v>2878</v>
      </c>
      <c r="WAI1334" s="4" t="s">
        <v>2878</v>
      </c>
      <c r="WAJ1334" s="4" t="s">
        <v>2878</v>
      </c>
      <c r="WAK1334" s="4" t="s">
        <v>2878</v>
      </c>
      <c r="WAL1334" s="4" t="s">
        <v>2878</v>
      </c>
      <c r="WAM1334" s="4" t="s">
        <v>2878</v>
      </c>
      <c r="WAN1334" s="4" t="s">
        <v>2878</v>
      </c>
      <c r="WAO1334" s="4" t="s">
        <v>2878</v>
      </c>
      <c r="WAP1334" s="4" t="s">
        <v>2878</v>
      </c>
      <c r="WAQ1334" s="4" t="s">
        <v>2878</v>
      </c>
      <c r="WAR1334" s="4" t="s">
        <v>2878</v>
      </c>
      <c r="WAS1334" s="4" t="s">
        <v>2878</v>
      </c>
      <c r="WAT1334" s="4" t="s">
        <v>2878</v>
      </c>
      <c r="WAU1334" s="4" t="s">
        <v>2878</v>
      </c>
      <c r="WAV1334" s="4" t="s">
        <v>2878</v>
      </c>
      <c r="WAW1334" s="4" t="s">
        <v>2878</v>
      </c>
      <c r="WAX1334" s="4" t="s">
        <v>2878</v>
      </c>
      <c r="WAY1334" s="4" t="s">
        <v>2878</v>
      </c>
      <c r="WAZ1334" s="4" t="s">
        <v>2878</v>
      </c>
      <c r="WBA1334" s="4" t="s">
        <v>2878</v>
      </c>
      <c r="WBB1334" s="4" t="s">
        <v>2878</v>
      </c>
      <c r="WBC1334" s="4" t="s">
        <v>2878</v>
      </c>
      <c r="WBD1334" s="4" t="s">
        <v>2878</v>
      </c>
      <c r="WBE1334" s="4" t="s">
        <v>2878</v>
      </c>
      <c r="WBF1334" s="4" t="s">
        <v>2878</v>
      </c>
      <c r="WBG1334" s="4" t="s">
        <v>2878</v>
      </c>
      <c r="WBH1334" s="4" t="s">
        <v>2878</v>
      </c>
      <c r="WBI1334" s="4" t="s">
        <v>2878</v>
      </c>
      <c r="WBJ1334" s="4" t="s">
        <v>2878</v>
      </c>
      <c r="WBK1334" s="4" t="s">
        <v>2878</v>
      </c>
      <c r="WBL1334" s="4" t="s">
        <v>2878</v>
      </c>
      <c r="WBM1334" s="4" t="s">
        <v>2878</v>
      </c>
      <c r="WBN1334" s="4" t="s">
        <v>2878</v>
      </c>
      <c r="WBO1334" s="4" t="s">
        <v>2878</v>
      </c>
      <c r="WBP1334" s="4" t="s">
        <v>2878</v>
      </c>
      <c r="WBQ1334" s="4" t="s">
        <v>2878</v>
      </c>
      <c r="WBR1334" s="4" t="s">
        <v>2878</v>
      </c>
      <c r="WBS1334" s="4" t="s">
        <v>2878</v>
      </c>
      <c r="WBT1334" s="4" t="s">
        <v>2878</v>
      </c>
      <c r="WBU1334" s="4" t="s">
        <v>2878</v>
      </c>
      <c r="WBV1334" s="4" t="s">
        <v>2878</v>
      </c>
      <c r="WBW1334" s="4" t="s">
        <v>2878</v>
      </c>
      <c r="WBX1334" s="4" t="s">
        <v>2878</v>
      </c>
      <c r="WBY1334" s="4" t="s">
        <v>2878</v>
      </c>
      <c r="WBZ1334" s="4" t="s">
        <v>2878</v>
      </c>
      <c r="WCA1334" s="4" t="s">
        <v>2878</v>
      </c>
      <c r="WCB1334" s="4" t="s">
        <v>2878</v>
      </c>
      <c r="WCC1334" s="4" t="s">
        <v>2878</v>
      </c>
      <c r="WCD1334" s="4" t="s">
        <v>2878</v>
      </c>
      <c r="WCE1334" s="4" t="s">
        <v>2878</v>
      </c>
      <c r="WCF1334" s="4" t="s">
        <v>2878</v>
      </c>
      <c r="WCG1334" s="4" t="s">
        <v>2878</v>
      </c>
      <c r="WCH1334" s="4" t="s">
        <v>2878</v>
      </c>
      <c r="WCI1334" s="4" t="s">
        <v>2878</v>
      </c>
      <c r="WCJ1334" s="4" t="s">
        <v>2878</v>
      </c>
      <c r="WCK1334" s="4" t="s">
        <v>2878</v>
      </c>
      <c r="WCL1334" s="4" t="s">
        <v>2878</v>
      </c>
      <c r="WCM1334" s="4" t="s">
        <v>2878</v>
      </c>
      <c r="WCN1334" s="4" t="s">
        <v>2878</v>
      </c>
      <c r="WCO1334" s="4" t="s">
        <v>2878</v>
      </c>
      <c r="WCP1334" s="4" t="s">
        <v>2878</v>
      </c>
      <c r="WCQ1334" s="4" t="s">
        <v>2878</v>
      </c>
      <c r="WCR1334" s="4" t="s">
        <v>2878</v>
      </c>
      <c r="WCS1334" s="4" t="s">
        <v>2878</v>
      </c>
      <c r="WCT1334" s="4" t="s">
        <v>2878</v>
      </c>
      <c r="WCU1334" s="4" t="s">
        <v>2878</v>
      </c>
      <c r="WCV1334" s="4" t="s">
        <v>2878</v>
      </c>
      <c r="WCW1334" s="4" t="s">
        <v>2878</v>
      </c>
      <c r="WCX1334" s="4" t="s">
        <v>2878</v>
      </c>
      <c r="WCY1334" s="4" t="s">
        <v>2878</v>
      </c>
      <c r="WCZ1334" s="4" t="s">
        <v>2878</v>
      </c>
      <c r="WDA1334" s="4" t="s">
        <v>2878</v>
      </c>
      <c r="WDB1334" s="4" t="s">
        <v>2878</v>
      </c>
      <c r="WDC1334" s="4" t="s">
        <v>2878</v>
      </c>
      <c r="WDD1334" s="4" t="s">
        <v>2878</v>
      </c>
      <c r="WDE1334" s="4" t="s">
        <v>2878</v>
      </c>
      <c r="WDF1334" s="4" t="s">
        <v>2878</v>
      </c>
      <c r="WDG1334" s="4" t="s">
        <v>2878</v>
      </c>
      <c r="WDH1334" s="4" t="s">
        <v>2878</v>
      </c>
      <c r="WDI1334" s="4" t="s">
        <v>2878</v>
      </c>
      <c r="WDJ1334" s="4" t="s">
        <v>2878</v>
      </c>
      <c r="WDK1334" s="4" t="s">
        <v>2878</v>
      </c>
      <c r="WDL1334" s="4" t="s">
        <v>2878</v>
      </c>
      <c r="WDM1334" s="4" t="s">
        <v>2878</v>
      </c>
      <c r="WDN1334" s="4" t="s">
        <v>2878</v>
      </c>
      <c r="WDO1334" s="4" t="s">
        <v>2878</v>
      </c>
      <c r="WDP1334" s="4" t="s">
        <v>2878</v>
      </c>
      <c r="WDQ1334" s="4" t="s">
        <v>2878</v>
      </c>
      <c r="WDR1334" s="4" t="s">
        <v>2878</v>
      </c>
      <c r="WDS1334" s="4" t="s">
        <v>2878</v>
      </c>
      <c r="WDT1334" s="4" t="s">
        <v>2878</v>
      </c>
      <c r="WDU1334" s="4" t="s">
        <v>2878</v>
      </c>
      <c r="WDV1334" s="4" t="s">
        <v>2878</v>
      </c>
      <c r="WDW1334" s="4" t="s">
        <v>2878</v>
      </c>
      <c r="WDX1334" s="4" t="s">
        <v>2878</v>
      </c>
      <c r="WDY1334" s="4" t="s">
        <v>2878</v>
      </c>
      <c r="WDZ1334" s="4" t="s">
        <v>2878</v>
      </c>
      <c r="WEA1334" s="4" t="s">
        <v>2878</v>
      </c>
      <c r="WEB1334" s="4" t="s">
        <v>2878</v>
      </c>
      <c r="WEC1334" s="4" t="s">
        <v>2878</v>
      </c>
      <c r="WED1334" s="4" t="s">
        <v>2878</v>
      </c>
      <c r="WEE1334" s="4" t="s">
        <v>2878</v>
      </c>
      <c r="WEF1334" s="4" t="s">
        <v>2878</v>
      </c>
      <c r="WEG1334" s="4" t="s">
        <v>2878</v>
      </c>
      <c r="WEH1334" s="4" t="s">
        <v>2878</v>
      </c>
      <c r="WEI1334" s="4" t="s">
        <v>2878</v>
      </c>
      <c r="WEJ1334" s="4" t="s">
        <v>2878</v>
      </c>
      <c r="WEK1334" s="4" t="s">
        <v>2878</v>
      </c>
      <c r="WEL1334" s="4" t="s">
        <v>2878</v>
      </c>
      <c r="WEM1334" s="4" t="s">
        <v>2878</v>
      </c>
      <c r="WEN1334" s="4" t="s">
        <v>2878</v>
      </c>
      <c r="WEO1334" s="4" t="s">
        <v>2878</v>
      </c>
      <c r="WEP1334" s="4" t="s">
        <v>2878</v>
      </c>
      <c r="WEQ1334" s="4" t="s">
        <v>2878</v>
      </c>
      <c r="WER1334" s="4" t="s">
        <v>2878</v>
      </c>
      <c r="WES1334" s="4" t="s">
        <v>2878</v>
      </c>
      <c r="WET1334" s="4" t="s">
        <v>2878</v>
      </c>
      <c r="WEU1334" s="4" t="s">
        <v>2878</v>
      </c>
      <c r="WEV1334" s="4" t="s">
        <v>2878</v>
      </c>
      <c r="WEW1334" s="4" t="s">
        <v>2878</v>
      </c>
      <c r="WEX1334" s="4" t="s">
        <v>2878</v>
      </c>
      <c r="WEY1334" s="4" t="s">
        <v>2878</v>
      </c>
      <c r="WEZ1334" s="4" t="s">
        <v>2878</v>
      </c>
      <c r="WFA1334" s="4" t="s">
        <v>2878</v>
      </c>
      <c r="WFB1334" s="4" t="s">
        <v>2878</v>
      </c>
      <c r="WFC1334" s="4" t="s">
        <v>2878</v>
      </c>
      <c r="WFD1334" s="4" t="s">
        <v>2878</v>
      </c>
      <c r="WFE1334" s="4" t="s">
        <v>2878</v>
      </c>
      <c r="WFF1334" s="4" t="s">
        <v>2878</v>
      </c>
      <c r="WFG1334" s="4" t="s">
        <v>2878</v>
      </c>
      <c r="WFH1334" s="4" t="s">
        <v>2878</v>
      </c>
      <c r="WFI1334" s="4" t="s">
        <v>2878</v>
      </c>
      <c r="WFJ1334" s="4" t="s">
        <v>2878</v>
      </c>
      <c r="WFK1334" s="4" t="s">
        <v>2878</v>
      </c>
      <c r="WFL1334" s="4" t="s">
        <v>2878</v>
      </c>
      <c r="WFM1334" s="4" t="s">
        <v>2878</v>
      </c>
      <c r="WFN1334" s="4" t="s">
        <v>2878</v>
      </c>
      <c r="WFO1334" s="4" t="s">
        <v>2878</v>
      </c>
      <c r="WFP1334" s="4" t="s">
        <v>2878</v>
      </c>
      <c r="WFQ1334" s="4" t="s">
        <v>2878</v>
      </c>
      <c r="WFR1334" s="4" t="s">
        <v>2878</v>
      </c>
      <c r="WFS1334" s="4" t="s">
        <v>2878</v>
      </c>
      <c r="WFT1334" s="4" t="s">
        <v>2878</v>
      </c>
      <c r="WFU1334" s="4" t="s">
        <v>2878</v>
      </c>
      <c r="WFV1334" s="4" t="s">
        <v>2878</v>
      </c>
      <c r="WFW1334" s="4" t="s">
        <v>2878</v>
      </c>
      <c r="WFX1334" s="4" t="s">
        <v>2878</v>
      </c>
      <c r="WFY1334" s="4" t="s">
        <v>2878</v>
      </c>
      <c r="WFZ1334" s="4" t="s">
        <v>2878</v>
      </c>
      <c r="WGA1334" s="4" t="s">
        <v>2878</v>
      </c>
      <c r="WGB1334" s="4" t="s">
        <v>2878</v>
      </c>
      <c r="WGC1334" s="4" t="s">
        <v>2878</v>
      </c>
      <c r="WGD1334" s="4" t="s">
        <v>2878</v>
      </c>
      <c r="WGE1334" s="4" t="s">
        <v>2878</v>
      </c>
      <c r="WGF1334" s="4" t="s">
        <v>2878</v>
      </c>
      <c r="WGG1334" s="4" t="s">
        <v>2878</v>
      </c>
      <c r="WGH1334" s="4" t="s">
        <v>2878</v>
      </c>
      <c r="WGI1334" s="4" t="s">
        <v>2878</v>
      </c>
      <c r="WGJ1334" s="4" t="s">
        <v>2878</v>
      </c>
      <c r="WGK1334" s="4" t="s">
        <v>2878</v>
      </c>
      <c r="WGL1334" s="4" t="s">
        <v>2878</v>
      </c>
      <c r="WGM1334" s="4" t="s">
        <v>2878</v>
      </c>
      <c r="WGN1334" s="4" t="s">
        <v>2878</v>
      </c>
      <c r="WGO1334" s="4" t="s">
        <v>2878</v>
      </c>
      <c r="WGP1334" s="4" t="s">
        <v>2878</v>
      </c>
      <c r="WGQ1334" s="4" t="s">
        <v>2878</v>
      </c>
      <c r="WGR1334" s="4" t="s">
        <v>2878</v>
      </c>
      <c r="WGS1334" s="4" t="s">
        <v>2878</v>
      </c>
      <c r="WGT1334" s="4" t="s">
        <v>2878</v>
      </c>
      <c r="WGU1334" s="4" t="s">
        <v>2878</v>
      </c>
      <c r="WGV1334" s="4" t="s">
        <v>2878</v>
      </c>
      <c r="WGW1334" s="4" t="s">
        <v>2878</v>
      </c>
      <c r="WGX1334" s="4" t="s">
        <v>2878</v>
      </c>
      <c r="WGY1334" s="4" t="s">
        <v>2878</v>
      </c>
      <c r="WGZ1334" s="4" t="s">
        <v>2878</v>
      </c>
      <c r="WHA1334" s="4" t="s">
        <v>2878</v>
      </c>
      <c r="WHB1334" s="4" t="s">
        <v>2878</v>
      </c>
      <c r="WHC1334" s="4" t="s">
        <v>2878</v>
      </c>
      <c r="WHD1334" s="4" t="s">
        <v>2878</v>
      </c>
      <c r="WHE1334" s="4" t="s">
        <v>2878</v>
      </c>
      <c r="WHF1334" s="4" t="s">
        <v>2878</v>
      </c>
      <c r="WHG1334" s="4" t="s">
        <v>2878</v>
      </c>
      <c r="WHH1334" s="4" t="s">
        <v>2878</v>
      </c>
      <c r="WHI1334" s="4" t="s">
        <v>2878</v>
      </c>
      <c r="WHJ1334" s="4" t="s">
        <v>2878</v>
      </c>
      <c r="WHK1334" s="4" t="s">
        <v>2878</v>
      </c>
      <c r="WHL1334" s="4" t="s">
        <v>2878</v>
      </c>
      <c r="WHM1334" s="4" t="s">
        <v>2878</v>
      </c>
      <c r="WHN1334" s="4" t="s">
        <v>2878</v>
      </c>
      <c r="WHO1334" s="4" t="s">
        <v>2878</v>
      </c>
      <c r="WHP1334" s="4" t="s">
        <v>2878</v>
      </c>
      <c r="WHQ1334" s="4" t="s">
        <v>2878</v>
      </c>
      <c r="WHR1334" s="4" t="s">
        <v>2878</v>
      </c>
      <c r="WHS1334" s="4" t="s">
        <v>2878</v>
      </c>
      <c r="WHT1334" s="4" t="s">
        <v>2878</v>
      </c>
      <c r="WHU1334" s="4" t="s">
        <v>2878</v>
      </c>
      <c r="WHV1334" s="4" t="s">
        <v>2878</v>
      </c>
      <c r="WHW1334" s="4" t="s">
        <v>2878</v>
      </c>
      <c r="WHX1334" s="4" t="s">
        <v>2878</v>
      </c>
      <c r="WHY1334" s="4" t="s">
        <v>2878</v>
      </c>
      <c r="WHZ1334" s="4" t="s">
        <v>2878</v>
      </c>
      <c r="WIA1334" s="4" t="s">
        <v>2878</v>
      </c>
      <c r="WIB1334" s="4" t="s">
        <v>2878</v>
      </c>
      <c r="WIC1334" s="4" t="s">
        <v>2878</v>
      </c>
      <c r="WID1334" s="4" t="s">
        <v>2878</v>
      </c>
      <c r="WIE1334" s="4" t="s">
        <v>2878</v>
      </c>
      <c r="WIF1334" s="4" t="s">
        <v>2878</v>
      </c>
      <c r="WIG1334" s="4" t="s">
        <v>2878</v>
      </c>
      <c r="WIH1334" s="4" t="s">
        <v>2878</v>
      </c>
      <c r="WII1334" s="4" t="s">
        <v>2878</v>
      </c>
      <c r="WIJ1334" s="4" t="s">
        <v>2878</v>
      </c>
      <c r="WIK1334" s="4" t="s">
        <v>2878</v>
      </c>
      <c r="WIL1334" s="4" t="s">
        <v>2878</v>
      </c>
      <c r="WIM1334" s="4" t="s">
        <v>2878</v>
      </c>
      <c r="WIN1334" s="4" t="s">
        <v>2878</v>
      </c>
      <c r="WIO1334" s="4" t="s">
        <v>2878</v>
      </c>
      <c r="WIP1334" s="4" t="s">
        <v>2878</v>
      </c>
      <c r="WIQ1334" s="4" t="s">
        <v>2878</v>
      </c>
      <c r="WIR1334" s="4" t="s">
        <v>2878</v>
      </c>
      <c r="WIS1334" s="4" t="s">
        <v>2878</v>
      </c>
      <c r="WIT1334" s="4" t="s">
        <v>2878</v>
      </c>
      <c r="WIU1334" s="4" t="s">
        <v>2878</v>
      </c>
      <c r="WIV1334" s="4" t="s">
        <v>2878</v>
      </c>
      <c r="WIW1334" s="4" t="s">
        <v>2878</v>
      </c>
      <c r="WIX1334" s="4" t="s">
        <v>2878</v>
      </c>
      <c r="WIY1334" s="4" t="s">
        <v>2878</v>
      </c>
      <c r="WIZ1334" s="4" t="s">
        <v>2878</v>
      </c>
      <c r="WJA1334" s="4" t="s">
        <v>2878</v>
      </c>
      <c r="WJB1334" s="4" t="s">
        <v>2878</v>
      </c>
      <c r="WJC1334" s="4" t="s">
        <v>2878</v>
      </c>
      <c r="WJD1334" s="4" t="s">
        <v>2878</v>
      </c>
      <c r="WJE1334" s="4" t="s">
        <v>2878</v>
      </c>
      <c r="WJF1334" s="4" t="s">
        <v>2878</v>
      </c>
      <c r="WJG1334" s="4" t="s">
        <v>2878</v>
      </c>
      <c r="WJH1334" s="4" t="s">
        <v>2878</v>
      </c>
      <c r="WJI1334" s="4" t="s">
        <v>2878</v>
      </c>
      <c r="WJJ1334" s="4" t="s">
        <v>2878</v>
      </c>
      <c r="WJK1334" s="4" t="s">
        <v>2878</v>
      </c>
      <c r="WJL1334" s="4" t="s">
        <v>2878</v>
      </c>
      <c r="WJM1334" s="4" t="s">
        <v>2878</v>
      </c>
      <c r="WJN1334" s="4" t="s">
        <v>2878</v>
      </c>
      <c r="WJO1334" s="4" t="s">
        <v>2878</v>
      </c>
      <c r="WJP1334" s="4" t="s">
        <v>2878</v>
      </c>
      <c r="WJQ1334" s="4" t="s">
        <v>2878</v>
      </c>
      <c r="WJR1334" s="4" t="s">
        <v>2878</v>
      </c>
      <c r="WJS1334" s="4" t="s">
        <v>2878</v>
      </c>
      <c r="WJT1334" s="4" t="s">
        <v>2878</v>
      </c>
      <c r="WJU1334" s="4" t="s">
        <v>2878</v>
      </c>
      <c r="WJV1334" s="4" t="s">
        <v>2878</v>
      </c>
      <c r="WJW1334" s="4" t="s">
        <v>2878</v>
      </c>
      <c r="WJX1334" s="4" t="s">
        <v>2878</v>
      </c>
      <c r="WJY1334" s="4" t="s">
        <v>2878</v>
      </c>
      <c r="WJZ1334" s="4" t="s">
        <v>2878</v>
      </c>
      <c r="WKA1334" s="4" t="s">
        <v>2878</v>
      </c>
      <c r="WKB1334" s="4" t="s">
        <v>2878</v>
      </c>
      <c r="WKC1334" s="4" t="s">
        <v>2878</v>
      </c>
      <c r="WKD1334" s="4" t="s">
        <v>2878</v>
      </c>
      <c r="WKE1334" s="4" t="s">
        <v>2878</v>
      </c>
      <c r="WKF1334" s="4" t="s">
        <v>2878</v>
      </c>
      <c r="WKG1334" s="4" t="s">
        <v>2878</v>
      </c>
      <c r="WKH1334" s="4" t="s">
        <v>2878</v>
      </c>
      <c r="WKI1334" s="4" t="s">
        <v>2878</v>
      </c>
      <c r="WKJ1334" s="4" t="s">
        <v>2878</v>
      </c>
      <c r="WKK1334" s="4" t="s">
        <v>2878</v>
      </c>
      <c r="WKL1334" s="4" t="s">
        <v>2878</v>
      </c>
      <c r="WKM1334" s="4" t="s">
        <v>2878</v>
      </c>
      <c r="WKN1334" s="4" t="s">
        <v>2878</v>
      </c>
      <c r="WKO1334" s="4" t="s">
        <v>2878</v>
      </c>
      <c r="WKP1334" s="4" t="s">
        <v>2878</v>
      </c>
      <c r="WKQ1334" s="4" t="s">
        <v>2878</v>
      </c>
      <c r="WKR1334" s="4" t="s">
        <v>2878</v>
      </c>
      <c r="WKS1334" s="4" t="s">
        <v>2878</v>
      </c>
      <c r="WKT1334" s="4" t="s">
        <v>2878</v>
      </c>
      <c r="WKU1334" s="4" t="s">
        <v>2878</v>
      </c>
      <c r="WKV1334" s="4" t="s">
        <v>2878</v>
      </c>
      <c r="WKW1334" s="4" t="s">
        <v>2878</v>
      </c>
      <c r="WKX1334" s="4" t="s">
        <v>2878</v>
      </c>
      <c r="WKY1334" s="4" t="s">
        <v>2878</v>
      </c>
      <c r="WKZ1334" s="4" t="s">
        <v>2878</v>
      </c>
      <c r="WLA1334" s="4" t="s">
        <v>2878</v>
      </c>
      <c r="WLB1334" s="4" t="s">
        <v>2878</v>
      </c>
      <c r="WLC1334" s="4" t="s">
        <v>2878</v>
      </c>
      <c r="WLD1334" s="4" t="s">
        <v>2878</v>
      </c>
      <c r="WLE1334" s="4" t="s">
        <v>2878</v>
      </c>
      <c r="WLF1334" s="4" t="s">
        <v>2878</v>
      </c>
      <c r="WLG1334" s="4" t="s">
        <v>2878</v>
      </c>
      <c r="WLH1334" s="4" t="s">
        <v>2878</v>
      </c>
      <c r="WLI1334" s="4" t="s">
        <v>2878</v>
      </c>
      <c r="WLJ1334" s="4" t="s">
        <v>2878</v>
      </c>
      <c r="WLK1334" s="4" t="s">
        <v>2878</v>
      </c>
      <c r="WLL1334" s="4" t="s">
        <v>2878</v>
      </c>
      <c r="WLM1334" s="4" t="s">
        <v>2878</v>
      </c>
      <c r="WLN1334" s="4" t="s">
        <v>2878</v>
      </c>
      <c r="WLO1334" s="4" t="s">
        <v>2878</v>
      </c>
      <c r="WLP1334" s="4" t="s">
        <v>2878</v>
      </c>
      <c r="WLQ1334" s="4" t="s">
        <v>2878</v>
      </c>
      <c r="WLR1334" s="4" t="s">
        <v>2878</v>
      </c>
      <c r="WLS1334" s="4" t="s">
        <v>2878</v>
      </c>
      <c r="WLT1334" s="4" t="s">
        <v>2878</v>
      </c>
      <c r="WLU1334" s="4" t="s">
        <v>2878</v>
      </c>
      <c r="WLV1334" s="4" t="s">
        <v>2878</v>
      </c>
      <c r="WLW1334" s="4" t="s">
        <v>2878</v>
      </c>
      <c r="WLX1334" s="4" t="s">
        <v>2878</v>
      </c>
      <c r="WLY1334" s="4" t="s">
        <v>2878</v>
      </c>
      <c r="WLZ1334" s="4" t="s">
        <v>2878</v>
      </c>
      <c r="WMA1334" s="4" t="s">
        <v>2878</v>
      </c>
      <c r="WMB1334" s="4" t="s">
        <v>2878</v>
      </c>
      <c r="WMC1334" s="4" t="s">
        <v>2878</v>
      </c>
      <c r="WMD1334" s="4" t="s">
        <v>2878</v>
      </c>
      <c r="WME1334" s="4" t="s">
        <v>2878</v>
      </c>
      <c r="WMF1334" s="4" t="s">
        <v>2878</v>
      </c>
      <c r="WMG1334" s="4" t="s">
        <v>2878</v>
      </c>
      <c r="WMH1334" s="4" t="s">
        <v>2878</v>
      </c>
      <c r="WMI1334" s="4" t="s">
        <v>2878</v>
      </c>
      <c r="WMJ1334" s="4" t="s">
        <v>2878</v>
      </c>
      <c r="WMK1334" s="4" t="s">
        <v>2878</v>
      </c>
      <c r="WML1334" s="4" t="s">
        <v>2878</v>
      </c>
      <c r="WMM1334" s="4" t="s">
        <v>2878</v>
      </c>
      <c r="WMN1334" s="4" t="s">
        <v>2878</v>
      </c>
      <c r="WMO1334" s="4" t="s">
        <v>2878</v>
      </c>
      <c r="WMP1334" s="4" t="s">
        <v>2878</v>
      </c>
      <c r="WMQ1334" s="4" t="s">
        <v>2878</v>
      </c>
      <c r="WMR1334" s="4" t="s">
        <v>2878</v>
      </c>
      <c r="WMS1334" s="4" t="s">
        <v>2878</v>
      </c>
      <c r="WMT1334" s="4" t="s">
        <v>2878</v>
      </c>
      <c r="WMU1334" s="4" t="s">
        <v>2878</v>
      </c>
      <c r="WMV1334" s="4" t="s">
        <v>2878</v>
      </c>
      <c r="WMW1334" s="4" t="s">
        <v>2878</v>
      </c>
      <c r="WMX1334" s="4" t="s">
        <v>2878</v>
      </c>
      <c r="WMY1334" s="4" t="s">
        <v>2878</v>
      </c>
      <c r="WMZ1334" s="4" t="s">
        <v>2878</v>
      </c>
      <c r="WNA1334" s="4" t="s">
        <v>2878</v>
      </c>
      <c r="WNB1334" s="4" t="s">
        <v>2878</v>
      </c>
      <c r="WNC1334" s="4" t="s">
        <v>2878</v>
      </c>
      <c r="WND1334" s="4" t="s">
        <v>2878</v>
      </c>
      <c r="WNE1334" s="4" t="s">
        <v>2878</v>
      </c>
      <c r="WNF1334" s="4" t="s">
        <v>2878</v>
      </c>
      <c r="WNG1334" s="4" t="s">
        <v>2878</v>
      </c>
      <c r="WNH1334" s="4" t="s">
        <v>2878</v>
      </c>
      <c r="WNI1334" s="4" t="s">
        <v>2878</v>
      </c>
      <c r="WNJ1334" s="4" t="s">
        <v>2878</v>
      </c>
      <c r="WNK1334" s="4" t="s">
        <v>2878</v>
      </c>
      <c r="WNL1334" s="4" t="s">
        <v>2878</v>
      </c>
      <c r="WNM1334" s="4" t="s">
        <v>2878</v>
      </c>
      <c r="WNN1334" s="4" t="s">
        <v>2878</v>
      </c>
      <c r="WNO1334" s="4" t="s">
        <v>2878</v>
      </c>
      <c r="WNP1334" s="4" t="s">
        <v>2878</v>
      </c>
      <c r="WNQ1334" s="4" t="s">
        <v>2878</v>
      </c>
      <c r="WNR1334" s="4" t="s">
        <v>2878</v>
      </c>
      <c r="WNS1334" s="4" t="s">
        <v>2878</v>
      </c>
      <c r="WNT1334" s="4" t="s">
        <v>2878</v>
      </c>
      <c r="WNU1334" s="4" t="s">
        <v>2878</v>
      </c>
      <c r="WNV1334" s="4" t="s">
        <v>2878</v>
      </c>
      <c r="WNW1334" s="4" t="s">
        <v>2878</v>
      </c>
      <c r="WNX1334" s="4" t="s">
        <v>2878</v>
      </c>
      <c r="WNY1334" s="4" t="s">
        <v>2878</v>
      </c>
      <c r="WNZ1334" s="4" t="s">
        <v>2878</v>
      </c>
      <c r="WOA1334" s="4" t="s">
        <v>2878</v>
      </c>
      <c r="WOB1334" s="4" t="s">
        <v>2878</v>
      </c>
      <c r="WOC1334" s="4" t="s">
        <v>2878</v>
      </c>
      <c r="WOD1334" s="4" t="s">
        <v>2878</v>
      </c>
      <c r="WOE1334" s="4" t="s">
        <v>2878</v>
      </c>
      <c r="WOF1334" s="4" t="s">
        <v>2878</v>
      </c>
      <c r="WOG1334" s="4" t="s">
        <v>2878</v>
      </c>
      <c r="WOH1334" s="4" t="s">
        <v>2878</v>
      </c>
      <c r="WOI1334" s="4" t="s">
        <v>2878</v>
      </c>
      <c r="WOJ1334" s="4" t="s">
        <v>2878</v>
      </c>
      <c r="WOK1334" s="4" t="s">
        <v>2878</v>
      </c>
      <c r="WOL1334" s="4" t="s">
        <v>2878</v>
      </c>
      <c r="WOM1334" s="4" t="s">
        <v>2878</v>
      </c>
      <c r="WON1334" s="4" t="s">
        <v>2878</v>
      </c>
      <c r="WOO1334" s="4" t="s">
        <v>2878</v>
      </c>
      <c r="WOP1334" s="4" t="s">
        <v>2878</v>
      </c>
      <c r="WOQ1334" s="4" t="s">
        <v>2878</v>
      </c>
      <c r="WOR1334" s="4" t="s">
        <v>2878</v>
      </c>
      <c r="WOS1334" s="4" t="s">
        <v>2878</v>
      </c>
      <c r="WOT1334" s="4" t="s">
        <v>2878</v>
      </c>
      <c r="WOU1334" s="4" t="s">
        <v>2878</v>
      </c>
      <c r="WOV1334" s="4" t="s">
        <v>2878</v>
      </c>
      <c r="WOW1334" s="4" t="s">
        <v>2878</v>
      </c>
      <c r="WOX1334" s="4" t="s">
        <v>2878</v>
      </c>
      <c r="WOY1334" s="4" t="s">
        <v>2878</v>
      </c>
      <c r="WOZ1334" s="4" t="s">
        <v>2878</v>
      </c>
      <c r="WPA1334" s="4" t="s">
        <v>2878</v>
      </c>
      <c r="WPB1334" s="4" t="s">
        <v>2878</v>
      </c>
      <c r="WPC1334" s="4" t="s">
        <v>2878</v>
      </c>
      <c r="WPD1334" s="4" t="s">
        <v>2878</v>
      </c>
      <c r="WPE1334" s="4" t="s">
        <v>2878</v>
      </c>
      <c r="WPF1334" s="4" t="s">
        <v>2878</v>
      </c>
      <c r="WPG1334" s="4" t="s">
        <v>2878</v>
      </c>
      <c r="WPH1334" s="4" t="s">
        <v>2878</v>
      </c>
      <c r="WPI1334" s="4" t="s">
        <v>2878</v>
      </c>
      <c r="WPJ1334" s="4" t="s">
        <v>2878</v>
      </c>
      <c r="WPK1334" s="4" t="s">
        <v>2878</v>
      </c>
      <c r="WPL1334" s="4" t="s">
        <v>2878</v>
      </c>
      <c r="WPM1334" s="4" t="s">
        <v>2878</v>
      </c>
      <c r="WPN1334" s="4" t="s">
        <v>2878</v>
      </c>
      <c r="WPO1334" s="4" t="s">
        <v>2878</v>
      </c>
      <c r="WPP1334" s="4" t="s">
        <v>2878</v>
      </c>
      <c r="WPQ1334" s="4" t="s">
        <v>2878</v>
      </c>
      <c r="WPR1334" s="4" t="s">
        <v>2878</v>
      </c>
      <c r="WPS1334" s="4" t="s">
        <v>2878</v>
      </c>
      <c r="WPT1334" s="4" t="s">
        <v>2878</v>
      </c>
      <c r="WPU1334" s="4" t="s">
        <v>2878</v>
      </c>
      <c r="WPV1334" s="4" t="s">
        <v>2878</v>
      </c>
      <c r="WPW1334" s="4" t="s">
        <v>2878</v>
      </c>
      <c r="WPX1334" s="4" t="s">
        <v>2878</v>
      </c>
      <c r="WPY1334" s="4" t="s">
        <v>2878</v>
      </c>
      <c r="WPZ1334" s="4" t="s">
        <v>2878</v>
      </c>
      <c r="WQA1334" s="4" t="s">
        <v>2878</v>
      </c>
      <c r="WQB1334" s="4" t="s">
        <v>2878</v>
      </c>
      <c r="WQC1334" s="4" t="s">
        <v>2878</v>
      </c>
      <c r="WQD1334" s="4" t="s">
        <v>2878</v>
      </c>
      <c r="WQE1334" s="4" t="s">
        <v>2878</v>
      </c>
      <c r="WQF1334" s="4" t="s">
        <v>2878</v>
      </c>
      <c r="WQG1334" s="4" t="s">
        <v>2878</v>
      </c>
      <c r="WQH1334" s="4" t="s">
        <v>2878</v>
      </c>
      <c r="WQI1334" s="4" t="s">
        <v>2878</v>
      </c>
      <c r="WQJ1334" s="4" t="s">
        <v>2878</v>
      </c>
      <c r="WQK1334" s="4" t="s">
        <v>2878</v>
      </c>
      <c r="WQL1334" s="4" t="s">
        <v>2878</v>
      </c>
      <c r="WQM1334" s="4" t="s">
        <v>2878</v>
      </c>
      <c r="WQN1334" s="4" t="s">
        <v>2878</v>
      </c>
      <c r="WQO1334" s="4" t="s">
        <v>2878</v>
      </c>
      <c r="WQP1334" s="4" t="s">
        <v>2878</v>
      </c>
      <c r="WQQ1334" s="4" t="s">
        <v>2878</v>
      </c>
      <c r="WQR1334" s="4" t="s">
        <v>2878</v>
      </c>
      <c r="WQS1334" s="4" t="s">
        <v>2878</v>
      </c>
      <c r="WQT1334" s="4" t="s">
        <v>2878</v>
      </c>
      <c r="WQU1334" s="4" t="s">
        <v>2878</v>
      </c>
      <c r="WQV1334" s="4" t="s">
        <v>2878</v>
      </c>
      <c r="WQW1334" s="4" t="s">
        <v>2878</v>
      </c>
      <c r="WQX1334" s="4" t="s">
        <v>2878</v>
      </c>
      <c r="WQY1334" s="4" t="s">
        <v>2878</v>
      </c>
      <c r="WQZ1334" s="4" t="s">
        <v>2878</v>
      </c>
      <c r="WRA1334" s="4" t="s">
        <v>2878</v>
      </c>
      <c r="WRB1334" s="4" t="s">
        <v>2878</v>
      </c>
      <c r="WRC1334" s="4" t="s">
        <v>2878</v>
      </c>
      <c r="WRD1334" s="4" t="s">
        <v>2878</v>
      </c>
      <c r="WRE1334" s="4" t="s">
        <v>2878</v>
      </c>
      <c r="WRF1334" s="4" t="s">
        <v>2878</v>
      </c>
      <c r="WRG1334" s="4" t="s">
        <v>2878</v>
      </c>
      <c r="WRH1334" s="4" t="s">
        <v>2878</v>
      </c>
      <c r="WRI1334" s="4" t="s">
        <v>2878</v>
      </c>
      <c r="WRJ1334" s="4" t="s">
        <v>2878</v>
      </c>
      <c r="WRK1334" s="4" t="s">
        <v>2878</v>
      </c>
      <c r="WRL1334" s="4" t="s">
        <v>2878</v>
      </c>
      <c r="WRM1334" s="4" t="s">
        <v>2878</v>
      </c>
      <c r="WRN1334" s="4" t="s">
        <v>2878</v>
      </c>
      <c r="WRO1334" s="4" t="s">
        <v>2878</v>
      </c>
      <c r="WRP1334" s="4" t="s">
        <v>2878</v>
      </c>
      <c r="WRQ1334" s="4" t="s">
        <v>2878</v>
      </c>
      <c r="WRR1334" s="4" t="s">
        <v>2878</v>
      </c>
      <c r="WRS1334" s="4" t="s">
        <v>2878</v>
      </c>
      <c r="WRT1334" s="4" t="s">
        <v>2878</v>
      </c>
      <c r="WRU1334" s="4" t="s">
        <v>2878</v>
      </c>
      <c r="WRV1334" s="4" t="s">
        <v>2878</v>
      </c>
      <c r="WRW1334" s="4" t="s">
        <v>2878</v>
      </c>
      <c r="WRX1334" s="4" t="s">
        <v>2878</v>
      </c>
      <c r="WRY1334" s="4" t="s">
        <v>2878</v>
      </c>
      <c r="WRZ1334" s="4" t="s">
        <v>2878</v>
      </c>
      <c r="WSA1334" s="4" t="s">
        <v>2878</v>
      </c>
      <c r="WSB1334" s="4" t="s">
        <v>2878</v>
      </c>
      <c r="WSC1334" s="4" t="s">
        <v>2878</v>
      </c>
      <c r="WSD1334" s="4" t="s">
        <v>2878</v>
      </c>
      <c r="WSE1334" s="4" t="s">
        <v>2878</v>
      </c>
      <c r="WSF1334" s="4" t="s">
        <v>2878</v>
      </c>
      <c r="WSG1334" s="4" t="s">
        <v>2878</v>
      </c>
      <c r="WSH1334" s="4" t="s">
        <v>2878</v>
      </c>
      <c r="WSI1334" s="4" t="s">
        <v>2878</v>
      </c>
      <c r="WSJ1334" s="4" t="s">
        <v>2878</v>
      </c>
      <c r="WSK1334" s="4" t="s">
        <v>2878</v>
      </c>
      <c r="WSL1334" s="4" t="s">
        <v>2878</v>
      </c>
      <c r="WSM1334" s="4" t="s">
        <v>2878</v>
      </c>
      <c r="WSN1334" s="4" t="s">
        <v>2878</v>
      </c>
      <c r="WSO1334" s="4" t="s">
        <v>2878</v>
      </c>
      <c r="WSP1334" s="4" t="s">
        <v>2878</v>
      </c>
      <c r="WSQ1334" s="4" t="s">
        <v>2878</v>
      </c>
      <c r="WSR1334" s="4" t="s">
        <v>2878</v>
      </c>
      <c r="WSS1334" s="4" t="s">
        <v>2878</v>
      </c>
      <c r="WST1334" s="4" t="s">
        <v>2878</v>
      </c>
      <c r="WSU1334" s="4" t="s">
        <v>2878</v>
      </c>
      <c r="WSV1334" s="4" t="s">
        <v>2878</v>
      </c>
      <c r="WSW1334" s="4" t="s">
        <v>2878</v>
      </c>
      <c r="WSX1334" s="4" t="s">
        <v>2878</v>
      </c>
      <c r="WSY1334" s="4" t="s">
        <v>2878</v>
      </c>
      <c r="WSZ1334" s="4" t="s">
        <v>2878</v>
      </c>
      <c r="WTA1334" s="4" t="s">
        <v>2878</v>
      </c>
      <c r="WTB1334" s="4" t="s">
        <v>2878</v>
      </c>
      <c r="WTC1334" s="4" t="s">
        <v>2878</v>
      </c>
      <c r="WTD1334" s="4" t="s">
        <v>2878</v>
      </c>
      <c r="WTE1334" s="4" t="s">
        <v>2878</v>
      </c>
      <c r="WTF1334" s="4" t="s">
        <v>2878</v>
      </c>
      <c r="WTG1334" s="4" t="s">
        <v>2878</v>
      </c>
      <c r="WTH1334" s="4" t="s">
        <v>2878</v>
      </c>
      <c r="WTI1334" s="4" t="s">
        <v>2878</v>
      </c>
      <c r="WTJ1334" s="4" t="s">
        <v>2878</v>
      </c>
      <c r="WTK1334" s="4" t="s">
        <v>2878</v>
      </c>
      <c r="WTL1334" s="4" t="s">
        <v>2878</v>
      </c>
      <c r="WTM1334" s="4" t="s">
        <v>2878</v>
      </c>
      <c r="WTN1334" s="4" t="s">
        <v>2878</v>
      </c>
      <c r="WTO1334" s="4" t="s">
        <v>2878</v>
      </c>
      <c r="WTP1334" s="4" t="s">
        <v>2878</v>
      </c>
      <c r="WTQ1334" s="4" t="s">
        <v>2878</v>
      </c>
      <c r="WTR1334" s="4" t="s">
        <v>2878</v>
      </c>
      <c r="WTS1334" s="4" t="s">
        <v>2878</v>
      </c>
      <c r="WTT1334" s="4" t="s">
        <v>2878</v>
      </c>
      <c r="WTU1334" s="4" t="s">
        <v>2878</v>
      </c>
      <c r="WTV1334" s="4" t="s">
        <v>2878</v>
      </c>
      <c r="WTW1334" s="4" t="s">
        <v>2878</v>
      </c>
      <c r="WTX1334" s="4" t="s">
        <v>2878</v>
      </c>
      <c r="WTY1334" s="4" t="s">
        <v>2878</v>
      </c>
      <c r="WTZ1334" s="4" t="s">
        <v>2878</v>
      </c>
      <c r="WUA1334" s="4" t="s">
        <v>2878</v>
      </c>
      <c r="WUB1334" s="4" t="s">
        <v>2878</v>
      </c>
      <c r="WUC1334" s="4" t="s">
        <v>2878</v>
      </c>
      <c r="WUD1334" s="4" t="s">
        <v>2878</v>
      </c>
      <c r="WUE1334" s="4" t="s">
        <v>2878</v>
      </c>
      <c r="WUF1334" s="4" t="s">
        <v>2878</v>
      </c>
      <c r="WUG1334" s="4" t="s">
        <v>2878</v>
      </c>
      <c r="WUH1334" s="4" t="s">
        <v>2878</v>
      </c>
      <c r="WUI1334" s="4" t="s">
        <v>2878</v>
      </c>
      <c r="WUJ1334" s="4" t="s">
        <v>2878</v>
      </c>
      <c r="WUK1334" s="4" t="s">
        <v>2878</v>
      </c>
      <c r="WUL1334" s="4" t="s">
        <v>2878</v>
      </c>
      <c r="WUM1334" s="4" t="s">
        <v>2878</v>
      </c>
      <c r="WUN1334" s="4" t="s">
        <v>2878</v>
      </c>
      <c r="WUO1334" s="4" t="s">
        <v>2878</v>
      </c>
      <c r="WUP1334" s="4" t="s">
        <v>2878</v>
      </c>
      <c r="WUQ1334" s="4" t="s">
        <v>2878</v>
      </c>
      <c r="WUR1334" s="4" t="s">
        <v>2878</v>
      </c>
      <c r="WUS1334" s="4" t="s">
        <v>2878</v>
      </c>
      <c r="WUT1334" s="4" t="s">
        <v>2878</v>
      </c>
      <c r="WUU1334" s="4" t="s">
        <v>2878</v>
      </c>
      <c r="WUV1334" s="4" t="s">
        <v>2878</v>
      </c>
      <c r="WUW1334" s="4" t="s">
        <v>2878</v>
      </c>
      <c r="WUX1334" s="4" t="s">
        <v>2878</v>
      </c>
      <c r="WUY1334" s="4" t="s">
        <v>2878</v>
      </c>
      <c r="WUZ1334" s="4" t="s">
        <v>2878</v>
      </c>
      <c r="WVA1334" s="4" t="s">
        <v>2878</v>
      </c>
      <c r="WVB1334" s="4" t="s">
        <v>2878</v>
      </c>
      <c r="WVC1334" s="4" t="s">
        <v>2878</v>
      </c>
      <c r="WVD1334" s="4" t="s">
        <v>2878</v>
      </c>
      <c r="WVE1334" s="4" t="s">
        <v>2878</v>
      </c>
      <c r="WVF1334" s="4" t="s">
        <v>2878</v>
      </c>
      <c r="WVG1334" s="4" t="s">
        <v>2878</v>
      </c>
      <c r="WVH1334" s="4" t="s">
        <v>2878</v>
      </c>
      <c r="WVI1334" s="4" t="s">
        <v>2878</v>
      </c>
      <c r="WVJ1334" s="4" t="s">
        <v>2878</v>
      </c>
      <c r="WVK1334" s="4" t="s">
        <v>2878</v>
      </c>
      <c r="WVL1334" s="4" t="s">
        <v>2878</v>
      </c>
      <c r="WVM1334" s="4" t="s">
        <v>2878</v>
      </c>
      <c r="WVN1334" s="4" t="s">
        <v>2878</v>
      </c>
      <c r="WVO1334" s="4" t="s">
        <v>2878</v>
      </c>
      <c r="WVP1334" s="4" t="s">
        <v>2878</v>
      </c>
      <c r="WVQ1334" s="4" t="s">
        <v>2878</v>
      </c>
      <c r="WVR1334" s="4" t="s">
        <v>2878</v>
      </c>
      <c r="WVS1334" s="4" t="s">
        <v>2878</v>
      </c>
      <c r="WVT1334" s="4" t="s">
        <v>2878</v>
      </c>
      <c r="WVU1334" s="4" t="s">
        <v>2878</v>
      </c>
      <c r="WVV1334" s="4" t="s">
        <v>2878</v>
      </c>
      <c r="WVW1334" s="4" t="s">
        <v>2878</v>
      </c>
      <c r="WVX1334" s="4" t="s">
        <v>2878</v>
      </c>
      <c r="WVY1334" s="4" t="s">
        <v>2878</v>
      </c>
      <c r="WVZ1334" s="4" t="s">
        <v>2878</v>
      </c>
      <c r="WWA1334" s="4" t="s">
        <v>2878</v>
      </c>
      <c r="WWB1334" s="4" t="s">
        <v>2878</v>
      </c>
      <c r="WWC1334" s="4" t="s">
        <v>2878</v>
      </c>
      <c r="WWD1334" s="4" t="s">
        <v>2878</v>
      </c>
      <c r="WWE1334" s="4" t="s">
        <v>2878</v>
      </c>
      <c r="WWF1334" s="4" t="s">
        <v>2878</v>
      </c>
      <c r="WWG1334" s="4" t="s">
        <v>2878</v>
      </c>
      <c r="WWH1334" s="4" t="s">
        <v>2878</v>
      </c>
      <c r="WWI1334" s="4" t="s">
        <v>2878</v>
      </c>
      <c r="WWJ1334" s="4" t="s">
        <v>2878</v>
      </c>
      <c r="WWK1334" s="4" t="s">
        <v>2878</v>
      </c>
      <c r="WWL1334" s="4" t="s">
        <v>2878</v>
      </c>
      <c r="WWM1334" s="4" t="s">
        <v>2878</v>
      </c>
      <c r="WWN1334" s="4" t="s">
        <v>2878</v>
      </c>
      <c r="WWO1334" s="4" t="s">
        <v>2878</v>
      </c>
      <c r="WWP1334" s="4" t="s">
        <v>2878</v>
      </c>
      <c r="WWQ1334" s="4" t="s">
        <v>2878</v>
      </c>
      <c r="WWR1334" s="4" t="s">
        <v>2878</v>
      </c>
      <c r="WWS1334" s="4" t="s">
        <v>2878</v>
      </c>
      <c r="WWT1334" s="4" t="s">
        <v>2878</v>
      </c>
      <c r="WWU1334" s="4" t="s">
        <v>2878</v>
      </c>
      <c r="WWV1334" s="4" t="s">
        <v>2878</v>
      </c>
      <c r="WWW1334" s="4" t="s">
        <v>2878</v>
      </c>
      <c r="WWX1334" s="4" t="s">
        <v>2878</v>
      </c>
      <c r="WWY1334" s="4" t="s">
        <v>2878</v>
      </c>
      <c r="WWZ1334" s="4" t="s">
        <v>2878</v>
      </c>
      <c r="WXA1334" s="4" t="s">
        <v>2878</v>
      </c>
      <c r="WXB1334" s="4" t="s">
        <v>2878</v>
      </c>
      <c r="WXC1334" s="4" t="s">
        <v>2878</v>
      </c>
      <c r="WXD1334" s="4" t="s">
        <v>2878</v>
      </c>
      <c r="WXE1334" s="4" t="s">
        <v>2878</v>
      </c>
      <c r="WXF1334" s="4" t="s">
        <v>2878</v>
      </c>
      <c r="WXG1334" s="4" t="s">
        <v>2878</v>
      </c>
      <c r="WXH1334" s="4" t="s">
        <v>2878</v>
      </c>
      <c r="WXI1334" s="4" t="s">
        <v>2878</v>
      </c>
      <c r="WXJ1334" s="4" t="s">
        <v>2878</v>
      </c>
      <c r="WXK1334" s="4" t="s">
        <v>2878</v>
      </c>
      <c r="WXL1334" s="4" t="s">
        <v>2878</v>
      </c>
      <c r="WXM1334" s="4" t="s">
        <v>2878</v>
      </c>
      <c r="WXN1334" s="4" t="s">
        <v>2878</v>
      </c>
      <c r="WXO1334" s="4" t="s">
        <v>2878</v>
      </c>
      <c r="WXP1334" s="4" t="s">
        <v>2878</v>
      </c>
      <c r="WXQ1334" s="4" t="s">
        <v>2878</v>
      </c>
      <c r="WXR1334" s="4" t="s">
        <v>2878</v>
      </c>
      <c r="WXS1334" s="4" t="s">
        <v>2878</v>
      </c>
      <c r="WXT1334" s="4" t="s">
        <v>2878</v>
      </c>
      <c r="WXU1334" s="4" t="s">
        <v>2878</v>
      </c>
      <c r="WXV1334" s="4" t="s">
        <v>2878</v>
      </c>
      <c r="WXW1334" s="4" t="s">
        <v>2878</v>
      </c>
      <c r="WXX1334" s="4" t="s">
        <v>2878</v>
      </c>
      <c r="WXY1334" s="4" t="s">
        <v>2878</v>
      </c>
      <c r="WXZ1334" s="4" t="s">
        <v>2878</v>
      </c>
      <c r="WYA1334" s="4" t="s">
        <v>2878</v>
      </c>
      <c r="WYB1334" s="4" t="s">
        <v>2878</v>
      </c>
      <c r="WYC1334" s="4" t="s">
        <v>2878</v>
      </c>
      <c r="WYD1334" s="4" t="s">
        <v>2878</v>
      </c>
      <c r="WYE1334" s="4" t="s">
        <v>2878</v>
      </c>
      <c r="WYF1334" s="4" t="s">
        <v>2878</v>
      </c>
      <c r="WYG1334" s="4" t="s">
        <v>2878</v>
      </c>
      <c r="WYH1334" s="4" t="s">
        <v>2878</v>
      </c>
      <c r="WYI1334" s="4" t="s">
        <v>2878</v>
      </c>
      <c r="WYJ1334" s="4" t="s">
        <v>2878</v>
      </c>
      <c r="WYK1334" s="4" t="s">
        <v>2878</v>
      </c>
      <c r="WYL1334" s="4" t="s">
        <v>2878</v>
      </c>
      <c r="WYM1334" s="4" t="s">
        <v>2878</v>
      </c>
      <c r="WYN1334" s="4" t="s">
        <v>2878</v>
      </c>
      <c r="WYO1334" s="4" t="s">
        <v>2878</v>
      </c>
      <c r="WYP1334" s="4" t="s">
        <v>2878</v>
      </c>
      <c r="WYQ1334" s="4" t="s">
        <v>2878</v>
      </c>
      <c r="WYR1334" s="4" t="s">
        <v>2878</v>
      </c>
      <c r="WYS1334" s="4" t="s">
        <v>2878</v>
      </c>
      <c r="WYT1334" s="4" t="s">
        <v>2878</v>
      </c>
      <c r="WYU1334" s="4" t="s">
        <v>2878</v>
      </c>
      <c r="WYV1334" s="4" t="s">
        <v>2878</v>
      </c>
      <c r="WYW1334" s="4" t="s">
        <v>2878</v>
      </c>
      <c r="WYX1334" s="4" t="s">
        <v>2878</v>
      </c>
      <c r="WYY1334" s="4" t="s">
        <v>2878</v>
      </c>
      <c r="WYZ1334" s="4" t="s">
        <v>2878</v>
      </c>
      <c r="WZA1334" s="4" t="s">
        <v>2878</v>
      </c>
      <c r="WZB1334" s="4" t="s">
        <v>2878</v>
      </c>
      <c r="WZC1334" s="4" t="s">
        <v>2878</v>
      </c>
      <c r="WZD1334" s="4" t="s">
        <v>2878</v>
      </c>
      <c r="WZE1334" s="4" t="s">
        <v>2878</v>
      </c>
      <c r="WZF1334" s="4" t="s">
        <v>2878</v>
      </c>
      <c r="WZG1334" s="4" t="s">
        <v>2878</v>
      </c>
      <c r="WZH1334" s="4" t="s">
        <v>2878</v>
      </c>
      <c r="WZI1334" s="4" t="s">
        <v>2878</v>
      </c>
      <c r="WZJ1334" s="4" t="s">
        <v>2878</v>
      </c>
      <c r="WZK1334" s="4" t="s">
        <v>2878</v>
      </c>
      <c r="WZL1334" s="4" t="s">
        <v>2878</v>
      </c>
      <c r="WZM1334" s="4" t="s">
        <v>2878</v>
      </c>
      <c r="WZN1334" s="4" t="s">
        <v>2878</v>
      </c>
      <c r="WZO1334" s="4" t="s">
        <v>2878</v>
      </c>
      <c r="WZP1334" s="4" t="s">
        <v>2878</v>
      </c>
      <c r="WZQ1334" s="4" t="s">
        <v>2878</v>
      </c>
      <c r="WZR1334" s="4" t="s">
        <v>2878</v>
      </c>
      <c r="WZS1334" s="4" t="s">
        <v>2878</v>
      </c>
      <c r="WZT1334" s="4" t="s">
        <v>2878</v>
      </c>
      <c r="WZU1334" s="4" t="s">
        <v>2878</v>
      </c>
      <c r="WZV1334" s="4" t="s">
        <v>2878</v>
      </c>
      <c r="WZW1334" s="4" t="s">
        <v>2878</v>
      </c>
      <c r="WZX1334" s="4" t="s">
        <v>2878</v>
      </c>
      <c r="WZY1334" s="4" t="s">
        <v>2878</v>
      </c>
      <c r="WZZ1334" s="4" t="s">
        <v>2878</v>
      </c>
      <c r="XAA1334" s="4" t="s">
        <v>2878</v>
      </c>
      <c r="XAB1334" s="4" t="s">
        <v>2878</v>
      </c>
      <c r="XAC1334" s="4" t="s">
        <v>2878</v>
      </c>
      <c r="XAD1334" s="4" t="s">
        <v>2878</v>
      </c>
      <c r="XAE1334" s="4" t="s">
        <v>2878</v>
      </c>
      <c r="XAF1334" s="4" t="s">
        <v>2878</v>
      </c>
      <c r="XAG1334" s="4" t="s">
        <v>2878</v>
      </c>
      <c r="XAH1334" s="4" t="s">
        <v>2878</v>
      </c>
      <c r="XAI1334" s="4" t="s">
        <v>2878</v>
      </c>
      <c r="XAJ1334" s="4" t="s">
        <v>2878</v>
      </c>
      <c r="XAK1334" s="4" t="s">
        <v>2878</v>
      </c>
      <c r="XAL1334" s="4" t="s">
        <v>2878</v>
      </c>
      <c r="XAM1334" s="4" t="s">
        <v>2878</v>
      </c>
      <c r="XAN1334" s="4" t="s">
        <v>2878</v>
      </c>
      <c r="XAO1334" s="4" t="s">
        <v>2878</v>
      </c>
      <c r="XAP1334" s="4" t="s">
        <v>2878</v>
      </c>
      <c r="XAQ1334" s="4" t="s">
        <v>2878</v>
      </c>
      <c r="XAR1334" s="4" t="s">
        <v>2878</v>
      </c>
      <c r="XAS1334" s="4" t="s">
        <v>2878</v>
      </c>
      <c r="XAT1334" s="4" t="s">
        <v>2878</v>
      </c>
      <c r="XAU1334" s="4" t="s">
        <v>2878</v>
      </c>
      <c r="XAV1334" s="4" t="s">
        <v>2878</v>
      </c>
      <c r="XAW1334" s="4" t="s">
        <v>2878</v>
      </c>
      <c r="XAX1334" s="4" t="s">
        <v>2878</v>
      </c>
      <c r="XAY1334" s="4" t="s">
        <v>2878</v>
      </c>
      <c r="XAZ1334" s="4" t="s">
        <v>2878</v>
      </c>
      <c r="XBA1334" s="4" t="s">
        <v>2878</v>
      </c>
      <c r="XBB1334" s="4" t="s">
        <v>2878</v>
      </c>
      <c r="XBC1334" s="4" t="s">
        <v>2878</v>
      </c>
      <c r="XBD1334" s="4" t="s">
        <v>2878</v>
      </c>
      <c r="XBE1334" s="4" t="s">
        <v>2878</v>
      </c>
      <c r="XBF1334" s="4" t="s">
        <v>2878</v>
      </c>
      <c r="XBG1334" s="4" t="s">
        <v>2878</v>
      </c>
      <c r="XBH1334" s="4" t="s">
        <v>2878</v>
      </c>
      <c r="XBI1334" s="4" t="s">
        <v>2878</v>
      </c>
      <c r="XBJ1334" s="4" t="s">
        <v>2878</v>
      </c>
      <c r="XBK1334" s="4" t="s">
        <v>2878</v>
      </c>
      <c r="XBL1334" s="4" t="s">
        <v>2878</v>
      </c>
      <c r="XBM1334" s="4" t="s">
        <v>2878</v>
      </c>
      <c r="XBN1334" s="4" t="s">
        <v>2878</v>
      </c>
      <c r="XBO1334" s="4" t="s">
        <v>2878</v>
      </c>
      <c r="XBP1334" s="4" t="s">
        <v>2878</v>
      </c>
      <c r="XBQ1334" s="4" t="s">
        <v>2878</v>
      </c>
      <c r="XBR1334" s="4" t="s">
        <v>2878</v>
      </c>
      <c r="XBS1334" s="4" t="s">
        <v>2878</v>
      </c>
      <c r="XBT1334" s="4" t="s">
        <v>2878</v>
      </c>
      <c r="XBU1334" s="4" t="s">
        <v>2878</v>
      </c>
      <c r="XBV1334" s="4" t="s">
        <v>2878</v>
      </c>
      <c r="XBW1334" s="4" t="s">
        <v>2878</v>
      </c>
      <c r="XBX1334" s="4" t="s">
        <v>2878</v>
      </c>
      <c r="XBY1334" s="4" t="s">
        <v>2878</v>
      </c>
      <c r="XBZ1334" s="4" t="s">
        <v>2878</v>
      </c>
      <c r="XCA1334" s="4" t="s">
        <v>2878</v>
      </c>
      <c r="XCB1334" s="4" t="s">
        <v>2878</v>
      </c>
      <c r="XCC1334" s="4" t="s">
        <v>2878</v>
      </c>
      <c r="XCD1334" s="4" t="s">
        <v>2878</v>
      </c>
      <c r="XCE1334" s="4" t="s">
        <v>2878</v>
      </c>
      <c r="XCF1334" s="4" t="s">
        <v>2878</v>
      </c>
      <c r="XCG1334" s="4" t="s">
        <v>2878</v>
      </c>
      <c r="XCH1334" s="4" t="s">
        <v>2878</v>
      </c>
      <c r="XCI1334" s="4" t="s">
        <v>2878</v>
      </c>
      <c r="XCJ1334" s="4" t="s">
        <v>2878</v>
      </c>
      <c r="XCK1334" s="4" t="s">
        <v>2878</v>
      </c>
      <c r="XCL1334" s="4" t="s">
        <v>2878</v>
      </c>
      <c r="XCM1334" s="4" t="s">
        <v>2878</v>
      </c>
      <c r="XCN1334" s="4" t="s">
        <v>2878</v>
      </c>
      <c r="XCO1334" s="4" t="s">
        <v>2878</v>
      </c>
      <c r="XCP1334" s="4" t="s">
        <v>2878</v>
      </c>
      <c r="XCQ1334" s="4" t="s">
        <v>2878</v>
      </c>
      <c r="XCR1334" s="4" t="s">
        <v>2878</v>
      </c>
      <c r="XCS1334" s="4" t="s">
        <v>2878</v>
      </c>
      <c r="XCT1334" s="4" t="s">
        <v>2878</v>
      </c>
      <c r="XCU1334" s="4" t="s">
        <v>2878</v>
      </c>
      <c r="XCV1334" s="4" t="s">
        <v>2878</v>
      </c>
      <c r="XCW1334" s="4" t="s">
        <v>2878</v>
      </c>
      <c r="XCX1334" s="4" t="s">
        <v>2878</v>
      </c>
      <c r="XCY1334" s="4" t="s">
        <v>2878</v>
      </c>
      <c r="XCZ1334" s="4" t="s">
        <v>2878</v>
      </c>
      <c r="XDA1334" s="4" t="s">
        <v>2878</v>
      </c>
      <c r="XDB1334" s="4" t="s">
        <v>2878</v>
      </c>
      <c r="XDC1334" s="4" t="s">
        <v>2878</v>
      </c>
      <c r="XDD1334" s="4" t="s">
        <v>2878</v>
      </c>
      <c r="XDE1334" s="4" t="s">
        <v>2878</v>
      </c>
      <c r="XDF1334" s="4" t="s">
        <v>2878</v>
      </c>
      <c r="XDG1334" s="4" t="s">
        <v>2878</v>
      </c>
      <c r="XDH1334" s="4" t="s">
        <v>2878</v>
      </c>
      <c r="XDI1334" s="4" t="s">
        <v>2878</v>
      </c>
      <c r="XDJ1334" s="4" t="s">
        <v>2878</v>
      </c>
      <c r="XDK1334" s="4" t="s">
        <v>2878</v>
      </c>
      <c r="XDL1334" s="4" t="s">
        <v>2878</v>
      </c>
      <c r="XDM1334" s="4" t="s">
        <v>2878</v>
      </c>
      <c r="XDN1334" s="4" t="s">
        <v>2878</v>
      </c>
      <c r="XDO1334" s="4" t="s">
        <v>2878</v>
      </c>
      <c r="XDP1334" s="4" t="s">
        <v>2878</v>
      </c>
      <c r="XDQ1334" s="4" t="s">
        <v>2878</v>
      </c>
      <c r="XDR1334" s="4" t="s">
        <v>2878</v>
      </c>
      <c r="XDS1334" s="4" t="s">
        <v>2878</v>
      </c>
      <c r="XDT1334" s="4" t="s">
        <v>2878</v>
      </c>
      <c r="XDU1334" s="4" t="s">
        <v>2878</v>
      </c>
      <c r="XDV1334" s="4" t="s">
        <v>2878</v>
      </c>
      <c r="XDW1334" s="4" t="s">
        <v>2878</v>
      </c>
      <c r="XDX1334" s="4" t="s">
        <v>2878</v>
      </c>
      <c r="XDY1334" s="4" t="s">
        <v>2878</v>
      </c>
      <c r="XDZ1334" s="4" t="s">
        <v>2878</v>
      </c>
      <c r="XEA1334" s="4" t="s">
        <v>2878</v>
      </c>
      <c r="XEB1334" s="4" t="s">
        <v>2878</v>
      </c>
      <c r="XEC1334" s="4" t="s">
        <v>2878</v>
      </c>
      <c r="XED1334" s="4" t="s">
        <v>2878</v>
      </c>
      <c r="XEE1334" s="4" t="s">
        <v>2878</v>
      </c>
      <c r="XEF1334" s="4" t="s">
        <v>2878</v>
      </c>
      <c r="XEG1334" s="4" t="s">
        <v>2878</v>
      </c>
      <c r="XEH1334" s="4" t="s">
        <v>2878</v>
      </c>
      <c r="XEI1334" s="4" t="s">
        <v>2878</v>
      </c>
      <c r="XEJ1334" s="4" t="s">
        <v>2878</v>
      </c>
      <c r="XEK1334" s="4" t="s">
        <v>2878</v>
      </c>
      <c r="XEL1334" s="4" t="s">
        <v>2878</v>
      </c>
      <c r="XEM1334" s="4" t="s">
        <v>2878</v>
      </c>
      <c r="XEN1334" s="4" t="s">
        <v>2878</v>
      </c>
      <c r="XEO1334" s="4" t="s">
        <v>2878</v>
      </c>
      <c r="XEP1334" s="4" t="s">
        <v>2878</v>
      </c>
      <c r="XEQ1334" s="4" t="s">
        <v>2878</v>
      </c>
      <c r="XER1334" s="4" t="s">
        <v>2878</v>
      </c>
      <c r="XES1334" s="4" t="s">
        <v>2878</v>
      </c>
      <c r="XET1334" s="4" t="s">
        <v>2878</v>
      </c>
      <c r="XEU1334" s="4" t="s">
        <v>2878</v>
      </c>
      <c r="XEV1334" s="4" t="s">
        <v>2878</v>
      </c>
      <c r="XEW1334" s="4" t="s">
        <v>2878</v>
      </c>
      <c r="XEX1334" s="4" t="s">
        <v>2878</v>
      </c>
      <c r="XEY1334" s="4" t="s">
        <v>2878</v>
      </c>
      <c r="XEZ1334" s="4" t="s">
        <v>2878</v>
      </c>
      <c r="XFA1334" s="4" t="s">
        <v>2878</v>
      </c>
      <c r="XFB1334" s="4" t="s">
        <v>2878</v>
      </c>
    </row>
    <row r="1335" spans="1:5 1847:16382" x14ac:dyDescent="0.25">
      <c r="A1335" s="5" t="s">
        <v>1479</v>
      </c>
      <c r="B1335" s="6" t="s">
        <v>1478</v>
      </c>
      <c r="C1335" s="7" t="s">
        <v>24</v>
      </c>
      <c r="D1335" s="7" t="s">
        <v>64</v>
      </c>
      <c r="E1335" s="8" t="s">
        <v>426</v>
      </c>
      <c r="BSA1335" s="4" t="s">
        <v>2879</v>
      </c>
      <c r="BSB1335" s="4" t="s">
        <v>2879</v>
      </c>
      <c r="BSC1335" s="4" t="s">
        <v>2879</v>
      </c>
      <c r="BSD1335" s="4" t="s">
        <v>2879</v>
      </c>
      <c r="BSE1335" s="4" t="s">
        <v>2879</v>
      </c>
      <c r="BSF1335" s="4" t="s">
        <v>2879</v>
      </c>
      <c r="BSG1335" s="4" t="s">
        <v>2879</v>
      </c>
      <c r="BSH1335" s="4" t="s">
        <v>2879</v>
      </c>
      <c r="BSI1335" s="4" t="s">
        <v>2879</v>
      </c>
      <c r="BSJ1335" s="4" t="s">
        <v>2879</v>
      </c>
      <c r="BSK1335" s="4" t="s">
        <v>2879</v>
      </c>
      <c r="BSL1335" s="4" t="s">
        <v>2879</v>
      </c>
      <c r="BSM1335" s="4" t="s">
        <v>2879</v>
      </c>
      <c r="BSN1335" s="4" t="s">
        <v>2879</v>
      </c>
      <c r="BSO1335" s="4" t="s">
        <v>2879</v>
      </c>
      <c r="BSP1335" s="4" t="s">
        <v>2879</v>
      </c>
      <c r="BSQ1335" s="4" t="s">
        <v>2879</v>
      </c>
      <c r="BSR1335" s="4" t="s">
        <v>2879</v>
      </c>
      <c r="BSS1335" s="4" t="s">
        <v>2879</v>
      </c>
      <c r="BST1335" s="4" t="s">
        <v>2879</v>
      </c>
      <c r="BSU1335" s="4" t="s">
        <v>2879</v>
      </c>
      <c r="BSV1335" s="4" t="s">
        <v>2879</v>
      </c>
      <c r="BSW1335" s="4" t="s">
        <v>2879</v>
      </c>
      <c r="BSX1335" s="4" t="s">
        <v>2879</v>
      </c>
      <c r="BSY1335" s="4" t="s">
        <v>2879</v>
      </c>
      <c r="BSZ1335" s="4" t="s">
        <v>2879</v>
      </c>
      <c r="BTA1335" s="4" t="s">
        <v>2879</v>
      </c>
      <c r="BTB1335" s="4" t="s">
        <v>2879</v>
      </c>
      <c r="BTC1335" s="4" t="s">
        <v>2879</v>
      </c>
      <c r="BTD1335" s="4" t="s">
        <v>2879</v>
      </c>
      <c r="BTE1335" s="4" t="s">
        <v>2879</v>
      </c>
      <c r="BTF1335" s="4" t="s">
        <v>2879</v>
      </c>
      <c r="BTG1335" s="4" t="s">
        <v>2879</v>
      </c>
      <c r="BTH1335" s="4" t="s">
        <v>2879</v>
      </c>
      <c r="BTI1335" s="4" t="s">
        <v>2879</v>
      </c>
      <c r="BTJ1335" s="4" t="s">
        <v>2879</v>
      </c>
      <c r="BTK1335" s="4" t="s">
        <v>2879</v>
      </c>
      <c r="BTL1335" s="4" t="s">
        <v>2879</v>
      </c>
      <c r="BTM1335" s="4" t="s">
        <v>2879</v>
      </c>
      <c r="BTN1335" s="4" t="s">
        <v>2879</v>
      </c>
      <c r="BTO1335" s="4" t="s">
        <v>2879</v>
      </c>
      <c r="BTP1335" s="4" t="s">
        <v>2879</v>
      </c>
      <c r="BTQ1335" s="4" t="s">
        <v>2879</v>
      </c>
      <c r="BTR1335" s="4" t="s">
        <v>2879</v>
      </c>
      <c r="BTS1335" s="4" t="s">
        <v>2879</v>
      </c>
      <c r="BTT1335" s="4" t="s">
        <v>2879</v>
      </c>
      <c r="BTU1335" s="4" t="s">
        <v>2879</v>
      </c>
      <c r="BTV1335" s="4" t="s">
        <v>2879</v>
      </c>
      <c r="BTW1335" s="4" t="s">
        <v>2879</v>
      </c>
      <c r="BTX1335" s="4" t="s">
        <v>2879</v>
      </c>
      <c r="BTY1335" s="4" t="s">
        <v>2879</v>
      </c>
      <c r="BTZ1335" s="4" t="s">
        <v>2879</v>
      </c>
      <c r="BUA1335" s="4" t="s">
        <v>2879</v>
      </c>
      <c r="BUB1335" s="4" t="s">
        <v>2879</v>
      </c>
      <c r="BUC1335" s="4" t="s">
        <v>2879</v>
      </c>
      <c r="BUD1335" s="4" t="s">
        <v>2879</v>
      </c>
      <c r="BUE1335" s="4" t="s">
        <v>2879</v>
      </c>
      <c r="BUF1335" s="4" t="s">
        <v>2879</v>
      </c>
      <c r="BUG1335" s="4" t="s">
        <v>2879</v>
      </c>
      <c r="BUH1335" s="4" t="s">
        <v>2879</v>
      </c>
      <c r="BUI1335" s="4" t="s">
        <v>2879</v>
      </c>
      <c r="BUJ1335" s="4" t="s">
        <v>2879</v>
      </c>
      <c r="BUK1335" s="4" t="s">
        <v>2879</v>
      </c>
      <c r="BUL1335" s="4" t="s">
        <v>2879</v>
      </c>
      <c r="BUM1335" s="4" t="s">
        <v>2879</v>
      </c>
      <c r="BUN1335" s="4" t="s">
        <v>2879</v>
      </c>
      <c r="BUO1335" s="4" t="s">
        <v>2879</v>
      </c>
      <c r="BUP1335" s="4" t="s">
        <v>2879</v>
      </c>
      <c r="BUQ1335" s="4" t="s">
        <v>2879</v>
      </c>
      <c r="BUR1335" s="4" t="s">
        <v>2879</v>
      </c>
      <c r="BUS1335" s="4" t="s">
        <v>2879</v>
      </c>
      <c r="BUT1335" s="4" t="s">
        <v>2879</v>
      </c>
      <c r="BUU1335" s="4" t="s">
        <v>2879</v>
      </c>
      <c r="BUV1335" s="4" t="s">
        <v>2879</v>
      </c>
      <c r="BUW1335" s="4" t="s">
        <v>2879</v>
      </c>
      <c r="BUX1335" s="4" t="s">
        <v>2879</v>
      </c>
      <c r="BUY1335" s="4" t="s">
        <v>2879</v>
      </c>
      <c r="BUZ1335" s="4" t="s">
        <v>2879</v>
      </c>
      <c r="BVA1335" s="4" t="s">
        <v>2879</v>
      </c>
      <c r="BVB1335" s="4" t="s">
        <v>2879</v>
      </c>
      <c r="BVC1335" s="4" t="s">
        <v>2879</v>
      </c>
      <c r="BVD1335" s="4" t="s">
        <v>2879</v>
      </c>
      <c r="BVE1335" s="4" t="s">
        <v>2879</v>
      </c>
      <c r="BVF1335" s="4" t="s">
        <v>2879</v>
      </c>
      <c r="BVG1335" s="4" t="s">
        <v>2879</v>
      </c>
      <c r="BVH1335" s="4" t="s">
        <v>2879</v>
      </c>
      <c r="BVI1335" s="4" t="s">
        <v>2879</v>
      </c>
      <c r="BVJ1335" s="4" t="s">
        <v>2879</v>
      </c>
      <c r="BVK1335" s="4" t="s">
        <v>2879</v>
      </c>
      <c r="BVL1335" s="4" t="s">
        <v>2879</v>
      </c>
      <c r="BVM1335" s="4" t="s">
        <v>2879</v>
      </c>
      <c r="BVN1335" s="4" t="s">
        <v>2879</v>
      </c>
      <c r="BVO1335" s="4" t="s">
        <v>2879</v>
      </c>
      <c r="BVP1335" s="4" t="s">
        <v>2879</v>
      </c>
      <c r="BVQ1335" s="4" t="s">
        <v>2879</v>
      </c>
      <c r="BVR1335" s="4" t="s">
        <v>2879</v>
      </c>
      <c r="BVS1335" s="4" t="s">
        <v>2879</v>
      </c>
      <c r="BVT1335" s="4" t="s">
        <v>2879</v>
      </c>
      <c r="BVU1335" s="4" t="s">
        <v>2879</v>
      </c>
      <c r="BVV1335" s="4" t="s">
        <v>2879</v>
      </c>
      <c r="BVW1335" s="4" t="s">
        <v>2879</v>
      </c>
      <c r="BVX1335" s="4" t="s">
        <v>2879</v>
      </c>
      <c r="BVY1335" s="4" t="s">
        <v>2879</v>
      </c>
      <c r="BVZ1335" s="4" t="s">
        <v>2879</v>
      </c>
      <c r="BWA1335" s="4" t="s">
        <v>2879</v>
      </c>
      <c r="BWB1335" s="4" t="s">
        <v>2879</v>
      </c>
      <c r="BWC1335" s="4" t="s">
        <v>2879</v>
      </c>
      <c r="BWD1335" s="4" t="s">
        <v>2879</v>
      </c>
      <c r="BWE1335" s="4" t="s">
        <v>2879</v>
      </c>
      <c r="BWF1335" s="4" t="s">
        <v>2879</v>
      </c>
      <c r="BWG1335" s="4" t="s">
        <v>2879</v>
      </c>
      <c r="BWH1335" s="4" t="s">
        <v>2879</v>
      </c>
      <c r="BWI1335" s="4" t="s">
        <v>2879</v>
      </c>
      <c r="BWJ1335" s="4" t="s">
        <v>2879</v>
      </c>
      <c r="BWK1335" s="4" t="s">
        <v>2879</v>
      </c>
      <c r="BWL1335" s="4" t="s">
        <v>2879</v>
      </c>
      <c r="BWM1335" s="4" t="s">
        <v>2879</v>
      </c>
      <c r="BWN1335" s="4" t="s">
        <v>2879</v>
      </c>
      <c r="BWO1335" s="4" t="s">
        <v>2879</v>
      </c>
      <c r="BWP1335" s="4" t="s">
        <v>2879</v>
      </c>
      <c r="BWQ1335" s="4" t="s">
        <v>2879</v>
      </c>
      <c r="BWR1335" s="4" t="s">
        <v>2879</v>
      </c>
      <c r="BWS1335" s="4" t="s">
        <v>2879</v>
      </c>
      <c r="BWT1335" s="4" t="s">
        <v>2879</v>
      </c>
      <c r="BWU1335" s="4" t="s">
        <v>2879</v>
      </c>
      <c r="BWV1335" s="4" t="s">
        <v>2879</v>
      </c>
      <c r="BWW1335" s="4" t="s">
        <v>2879</v>
      </c>
      <c r="BWX1335" s="4" t="s">
        <v>2879</v>
      </c>
      <c r="BWY1335" s="4" t="s">
        <v>2879</v>
      </c>
      <c r="BWZ1335" s="4" t="s">
        <v>2879</v>
      </c>
      <c r="BXA1335" s="4" t="s">
        <v>2879</v>
      </c>
      <c r="BXB1335" s="4" t="s">
        <v>2879</v>
      </c>
      <c r="BXC1335" s="4" t="s">
        <v>2879</v>
      </c>
      <c r="BXD1335" s="4" t="s">
        <v>2879</v>
      </c>
      <c r="BXE1335" s="4" t="s">
        <v>2879</v>
      </c>
      <c r="BXF1335" s="4" t="s">
        <v>2879</v>
      </c>
      <c r="BXG1335" s="4" t="s">
        <v>2879</v>
      </c>
      <c r="BXH1335" s="4" t="s">
        <v>2879</v>
      </c>
      <c r="BXI1335" s="4" t="s">
        <v>2879</v>
      </c>
      <c r="BXJ1335" s="4" t="s">
        <v>2879</v>
      </c>
      <c r="BXK1335" s="4" t="s">
        <v>2879</v>
      </c>
      <c r="BXL1335" s="4" t="s">
        <v>2879</v>
      </c>
      <c r="BXM1335" s="4" t="s">
        <v>2879</v>
      </c>
      <c r="BXN1335" s="4" t="s">
        <v>2879</v>
      </c>
      <c r="BXO1335" s="4" t="s">
        <v>2879</v>
      </c>
      <c r="BXP1335" s="4" t="s">
        <v>2879</v>
      </c>
      <c r="BXQ1335" s="4" t="s">
        <v>2879</v>
      </c>
      <c r="BXR1335" s="4" t="s">
        <v>2879</v>
      </c>
      <c r="BXS1335" s="4" t="s">
        <v>2879</v>
      </c>
      <c r="BXT1335" s="4" t="s">
        <v>2879</v>
      </c>
      <c r="BXU1335" s="4" t="s">
        <v>2879</v>
      </c>
      <c r="BXV1335" s="4" t="s">
        <v>2879</v>
      </c>
      <c r="BXW1335" s="4" t="s">
        <v>2879</v>
      </c>
      <c r="BXX1335" s="4" t="s">
        <v>2879</v>
      </c>
      <c r="BXY1335" s="4" t="s">
        <v>2879</v>
      </c>
      <c r="BXZ1335" s="4" t="s">
        <v>2879</v>
      </c>
      <c r="BYA1335" s="4" t="s">
        <v>2879</v>
      </c>
      <c r="BYB1335" s="4" t="s">
        <v>2879</v>
      </c>
      <c r="BYC1335" s="4" t="s">
        <v>2879</v>
      </c>
      <c r="BYD1335" s="4" t="s">
        <v>2879</v>
      </c>
      <c r="BYE1335" s="4" t="s">
        <v>2879</v>
      </c>
      <c r="BYF1335" s="4" t="s">
        <v>2879</v>
      </c>
      <c r="BYG1335" s="4" t="s">
        <v>2879</v>
      </c>
      <c r="BYH1335" s="4" t="s">
        <v>2879</v>
      </c>
      <c r="BYI1335" s="4" t="s">
        <v>2879</v>
      </c>
      <c r="BYJ1335" s="4" t="s">
        <v>2879</v>
      </c>
      <c r="BYK1335" s="4" t="s">
        <v>2879</v>
      </c>
      <c r="BYL1335" s="4" t="s">
        <v>2879</v>
      </c>
      <c r="BYM1335" s="4" t="s">
        <v>2879</v>
      </c>
      <c r="BYN1335" s="4" t="s">
        <v>2879</v>
      </c>
      <c r="BYO1335" s="4" t="s">
        <v>2879</v>
      </c>
      <c r="BYP1335" s="4" t="s">
        <v>2879</v>
      </c>
      <c r="BYQ1335" s="4" t="s">
        <v>2879</v>
      </c>
      <c r="BYR1335" s="4" t="s">
        <v>2879</v>
      </c>
      <c r="BYS1335" s="4" t="s">
        <v>2879</v>
      </c>
      <c r="BYT1335" s="4" t="s">
        <v>2879</v>
      </c>
      <c r="BYU1335" s="4" t="s">
        <v>2879</v>
      </c>
      <c r="BYV1335" s="4" t="s">
        <v>2879</v>
      </c>
      <c r="BYW1335" s="4" t="s">
        <v>2879</v>
      </c>
      <c r="BYX1335" s="4" t="s">
        <v>2879</v>
      </c>
      <c r="BYY1335" s="4" t="s">
        <v>2879</v>
      </c>
      <c r="BYZ1335" s="4" t="s">
        <v>2879</v>
      </c>
      <c r="BZA1335" s="4" t="s">
        <v>2879</v>
      </c>
      <c r="BZB1335" s="4" t="s">
        <v>2879</v>
      </c>
      <c r="BZC1335" s="4" t="s">
        <v>2879</v>
      </c>
      <c r="BZD1335" s="4" t="s">
        <v>2879</v>
      </c>
      <c r="BZE1335" s="4" t="s">
        <v>2879</v>
      </c>
      <c r="BZF1335" s="4" t="s">
        <v>2879</v>
      </c>
      <c r="BZG1335" s="4" t="s">
        <v>2879</v>
      </c>
      <c r="BZH1335" s="4" t="s">
        <v>2879</v>
      </c>
      <c r="BZI1335" s="4" t="s">
        <v>2879</v>
      </c>
      <c r="BZJ1335" s="4" t="s">
        <v>2879</v>
      </c>
      <c r="BZK1335" s="4" t="s">
        <v>2879</v>
      </c>
      <c r="BZL1335" s="4" t="s">
        <v>2879</v>
      </c>
      <c r="BZM1335" s="4" t="s">
        <v>2879</v>
      </c>
      <c r="BZN1335" s="4" t="s">
        <v>2879</v>
      </c>
      <c r="BZO1335" s="4" t="s">
        <v>2879</v>
      </c>
      <c r="BZP1335" s="4" t="s">
        <v>2879</v>
      </c>
      <c r="BZQ1335" s="4" t="s">
        <v>2879</v>
      </c>
      <c r="BZR1335" s="4" t="s">
        <v>2879</v>
      </c>
      <c r="BZS1335" s="4" t="s">
        <v>2879</v>
      </c>
      <c r="BZT1335" s="4" t="s">
        <v>2879</v>
      </c>
      <c r="BZU1335" s="4" t="s">
        <v>2879</v>
      </c>
      <c r="BZV1335" s="4" t="s">
        <v>2879</v>
      </c>
      <c r="BZW1335" s="4" t="s">
        <v>2879</v>
      </c>
      <c r="BZX1335" s="4" t="s">
        <v>2879</v>
      </c>
      <c r="BZY1335" s="4" t="s">
        <v>2879</v>
      </c>
      <c r="BZZ1335" s="4" t="s">
        <v>2879</v>
      </c>
      <c r="CAA1335" s="4" t="s">
        <v>2879</v>
      </c>
      <c r="CAB1335" s="4" t="s">
        <v>2879</v>
      </c>
      <c r="CAC1335" s="4" t="s">
        <v>2879</v>
      </c>
      <c r="CAD1335" s="4" t="s">
        <v>2879</v>
      </c>
      <c r="CAE1335" s="4" t="s">
        <v>2879</v>
      </c>
      <c r="CAF1335" s="4" t="s">
        <v>2879</v>
      </c>
      <c r="CAG1335" s="4" t="s">
        <v>2879</v>
      </c>
      <c r="CAH1335" s="4" t="s">
        <v>2879</v>
      </c>
      <c r="CAI1335" s="4" t="s">
        <v>2879</v>
      </c>
      <c r="CAJ1335" s="4" t="s">
        <v>2879</v>
      </c>
      <c r="CAK1335" s="4" t="s">
        <v>2879</v>
      </c>
      <c r="CAL1335" s="4" t="s">
        <v>2879</v>
      </c>
      <c r="CAM1335" s="4" t="s">
        <v>2879</v>
      </c>
      <c r="CAN1335" s="4" t="s">
        <v>2879</v>
      </c>
      <c r="CAO1335" s="4" t="s">
        <v>2879</v>
      </c>
      <c r="CAP1335" s="4" t="s">
        <v>2879</v>
      </c>
      <c r="CAQ1335" s="4" t="s">
        <v>2879</v>
      </c>
      <c r="CAR1335" s="4" t="s">
        <v>2879</v>
      </c>
      <c r="CAS1335" s="4" t="s">
        <v>2879</v>
      </c>
      <c r="CAT1335" s="4" t="s">
        <v>2879</v>
      </c>
      <c r="CAU1335" s="4" t="s">
        <v>2879</v>
      </c>
      <c r="CAV1335" s="4" t="s">
        <v>2879</v>
      </c>
      <c r="CAW1335" s="4" t="s">
        <v>2879</v>
      </c>
      <c r="CAX1335" s="4" t="s">
        <v>2879</v>
      </c>
      <c r="CAY1335" s="4" t="s">
        <v>2879</v>
      </c>
      <c r="CAZ1335" s="4" t="s">
        <v>2879</v>
      </c>
      <c r="CBA1335" s="4" t="s">
        <v>2879</v>
      </c>
      <c r="CBB1335" s="4" t="s">
        <v>2879</v>
      </c>
      <c r="CBC1335" s="4" t="s">
        <v>2879</v>
      </c>
      <c r="CBD1335" s="4" t="s">
        <v>2879</v>
      </c>
      <c r="CBE1335" s="4" t="s">
        <v>2879</v>
      </c>
      <c r="CBF1335" s="4" t="s">
        <v>2879</v>
      </c>
      <c r="CBG1335" s="4" t="s">
        <v>2879</v>
      </c>
      <c r="CBH1335" s="4" t="s">
        <v>2879</v>
      </c>
      <c r="CBI1335" s="4" t="s">
        <v>2879</v>
      </c>
      <c r="CBJ1335" s="4" t="s">
        <v>2879</v>
      </c>
      <c r="CBK1335" s="4" t="s">
        <v>2879</v>
      </c>
      <c r="CBL1335" s="4" t="s">
        <v>2879</v>
      </c>
      <c r="CBM1335" s="4" t="s">
        <v>2879</v>
      </c>
      <c r="CBN1335" s="4" t="s">
        <v>2879</v>
      </c>
      <c r="CBO1335" s="4" t="s">
        <v>2879</v>
      </c>
      <c r="CBP1335" s="4" t="s">
        <v>2879</v>
      </c>
      <c r="CBQ1335" s="4" t="s">
        <v>2879</v>
      </c>
      <c r="CBR1335" s="4" t="s">
        <v>2879</v>
      </c>
      <c r="CBS1335" s="4" t="s">
        <v>2879</v>
      </c>
      <c r="CBT1335" s="4" t="s">
        <v>2879</v>
      </c>
      <c r="CBU1335" s="4" t="s">
        <v>2879</v>
      </c>
      <c r="CBV1335" s="4" t="s">
        <v>2879</v>
      </c>
      <c r="CBW1335" s="4" t="s">
        <v>2879</v>
      </c>
      <c r="CBX1335" s="4" t="s">
        <v>2879</v>
      </c>
      <c r="CBY1335" s="4" t="s">
        <v>2879</v>
      </c>
      <c r="CBZ1335" s="4" t="s">
        <v>2879</v>
      </c>
      <c r="CCA1335" s="4" t="s">
        <v>2879</v>
      </c>
      <c r="CCB1335" s="4" t="s">
        <v>2879</v>
      </c>
      <c r="CCC1335" s="4" t="s">
        <v>2879</v>
      </c>
      <c r="CCD1335" s="4" t="s">
        <v>2879</v>
      </c>
      <c r="CCE1335" s="4" t="s">
        <v>2879</v>
      </c>
      <c r="CCF1335" s="4" t="s">
        <v>2879</v>
      </c>
      <c r="CCG1335" s="4" t="s">
        <v>2879</v>
      </c>
      <c r="CCH1335" s="4" t="s">
        <v>2879</v>
      </c>
      <c r="CCI1335" s="4" t="s">
        <v>2879</v>
      </c>
      <c r="CCJ1335" s="4" t="s">
        <v>2879</v>
      </c>
      <c r="CCK1335" s="4" t="s">
        <v>2879</v>
      </c>
      <c r="CCL1335" s="4" t="s">
        <v>2879</v>
      </c>
      <c r="CCM1335" s="4" t="s">
        <v>2879</v>
      </c>
      <c r="CCN1335" s="4" t="s">
        <v>2879</v>
      </c>
      <c r="CCO1335" s="4" t="s">
        <v>2879</v>
      </c>
      <c r="CCP1335" s="4" t="s">
        <v>2879</v>
      </c>
      <c r="CCQ1335" s="4" t="s">
        <v>2879</v>
      </c>
      <c r="CCR1335" s="4" t="s">
        <v>2879</v>
      </c>
      <c r="CCS1335" s="4" t="s">
        <v>2879</v>
      </c>
      <c r="CCT1335" s="4" t="s">
        <v>2879</v>
      </c>
      <c r="CCU1335" s="4" t="s">
        <v>2879</v>
      </c>
      <c r="CCV1335" s="4" t="s">
        <v>2879</v>
      </c>
      <c r="CCW1335" s="4" t="s">
        <v>2879</v>
      </c>
      <c r="CCX1335" s="4" t="s">
        <v>2879</v>
      </c>
      <c r="CCY1335" s="4" t="s">
        <v>2879</v>
      </c>
      <c r="CCZ1335" s="4" t="s">
        <v>2879</v>
      </c>
      <c r="CDA1335" s="4" t="s">
        <v>2879</v>
      </c>
      <c r="CDB1335" s="4" t="s">
        <v>2879</v>
      </c>
      <c r="CDC1335" s="4" t="s">
        <v>2879</v>
      </c>
      <c r="CDD1335" s="4" t="s">
        <v>2879</v>
      </c>
      <c r="CDE1335" s="4" t="s">
        <v>2879</v>
      </c>
      <c r="CDF1335" s="4" t="s">
        <v>2879</v>
      </c>
      <c r="CDG1335" s="4" t="s">
        <v>2879</v>
      </c>
      <c r="CDH1335" s="4" t="s">
        <v>2879</v>
      </c>
      <c r="CDI1335" s="4" t="s">
        <v>2879</v>
      </c>
      <c r="CDJ1335" s="4" t="s">
        <v>2879</v>
      </c>
      <c r="CDK1335" s="4" t="s">
        <v>2879</v>
      </c>
      <c r="CDL1335" s="4" t="s">
        <v>2879</v>
      </c>
      <c r="CDM1335" s="4" t="s">
        <v>2879</v>
      </c>
      <c r="CDN1335" s="4" t="s">
        <v>2879</v>
      </c>
      <c r="CDO1335" s="4" t="s">
        <v>2879</v>
      </c>
      <c r="CDP1335" s="4" t="s">
        <v>2879</v>
      </c>
      <c r="CDQ1335" s="4" t="s">
        <v>2879</v>
      </c>
      <c r="CDR1335" s="4" t="s">
        <v>2879</v>
      </c>
      <c r="CDS1335" s="4" t="s">
        <v>2879</v>
      </c>
      <c r="CDT1335" s="4" t="s">
        <v>2879</v>
      </c>
      <c r="CDU1335" s="4" t="s">
        <v>2879</v>
      </c>
      <c r="CDV1335" s="4" t="s">
        <v>2879</v>
      </c>
      <c r="CDW1335" s="4" t="s">
        <v>2879</v>
      </c>
      <c r="CDX1335" s="4" t="s">
        <v>2879</v>
      </c>
      <c r="CDY1335" s="4" t="s">
        <v>2879</v>
      </c>
      <c r="CDZ1335" s="4" t="s">
        <v>2879</v>
      </c>
      <c r="CEA1335" s="4" t="s">
        <v>2879</v>
      </c>
      <c r="CEB1335" s="4" t="s">
        <v>2879</v>
      </c>
      <c r="CEC1335" s="4" t="s">
        <v>2879</v>
      </c>
      <c r="CED1335" s="4" t="s">
        <v>2879</v>
      </c>
      <c r="CEE1335" s="4" t="s">
        <v>2879</v>
      </c>
      <c r="CEF1335" s="4" t="s">
        <v>2879</v>
      </c>
      <c r="CEG1335" s="4" t="s">
        <v>2879</v>
      </c>
      <c r="CEH1335" s="4" t="s">
        <v>2879</v>
      </c>
      <c r="CEI1335" s="4" t="s">
        <v>2879</v>
      </c>
      <c r="CEJ1335" s="4" t="s">
        <v>2879</v>
      </c>
      <c r="CEK1335" s="4" t="s">
        <v>2879</v>
      </c>
      <c r="CEL1335" s="4" t="s">
        <v>2879</v>
      </c>
      <c r="CEM1335" s="4" t="s">
        <v>2879</v>
      </c>
      <c r="CEN1335" s="4" t="s">
        <v>2879</v>
      </c>
      <c r="CEO1335" s="4" t="s">
        <v>2879</v>
      </c>
      <c r="CEP1335" s="4" t="s">
        <v>2879</v>
      </c>
      <c r="CEQ1335" s="4" t="s">
        <v>2879</v>
      </c>
      <c r="CER1335" s="4" t="s">
        <v>2879</v>
      </c>
      <c r="CES1335" s="4" t="s">
        <v>2879</v>
      </c>
      <c r="CET1335" s="4" t="s">
        <v>2879</v>
      </c>
      <c r="CEU1335" s="4" t="s">
        <v>2879</v>
      </c>
      <c r="CEV1335" s="4" t="s">
        <v>2879</v>
      </c>
      <c r="CEW1335" s="4" t="s">
        <v>2879</v>
      </c>
      <c r="CEX1335" s="4" t="s">
        <v>2879</v>
      </c>
      <c r="CEY1335" s="4" t="s">
        <v>2879</v>
      </c>
      <c r="CEZ1335" s="4" t="s">
        <v>2879</v>
      </c>
      <c r="CFA1335" s="4" t="s">
        <v>2879</v>
      </c>
      <c r="CFB1335" s="4" t="s">
        <v>2879</v>
      </c>
      <c r="CFC1335" s="4" t="s">
        <v>2879</v>
      </c>
      <c r="CFD1335" s="4" t="s">
        <v>2879</v>
      </c>
      <c r="CFE1335" s="4" t="s">
        <v>2879</v>
      </c>
      <c r="CFF1335" s="4" t="s">
        <v>2879</v>
      </c>
      <c r="CFG1335" s="4" t="s">
        <v>2879</v>
      </c>
      <c r="CFH1335" s="4" t="s">
        <v>2879</v>
      </c>
      <c r="CFI1335" s="4" t="s">
        <v>2879</v>
      </c>
      <c r="CFJ1335" s="4" t="s">
        <v>2879</v>
      </c>
      <c r="CFK1335" s="4" t="s">
        <v>2879</v>
      </c>
      <c r="CFL1335" s="4" t="s">
        <v>2879</v>
      </c>
      <c r="CFM1335" s="4" t="s">
        <v>2879</v>
      </c>
      <c r="CFN1335" s="4" t="s">
        <v>2879</v>
      </c>
      <c r="CFO1335" s="4" t="s">
        <v>2879</v>
      </c>
      <c r="CFP1335" s="4" t="s">
        <v>2879</v>
      </c>
      <c r="CFQ1335" s="4" t="s">
        <v>2879</v>
      </c>
      <c r="CFR1335" s="4" t="s">
        <v>2879</v>
      </c>
      <c r="CFS1335" s="4" t="s">
        <v>2879</v>
      </c>
      <c r="CFT1335" s="4" t="s">
        <v>2879</v>
      </c>
      <c r="CFU1335" s="4" t="s">
        <v>2879</v>
      </c>
      <c r="CFV1335" s="4" t="s">
        <v>2879</v>
      </c>
      <c r="CFW1335" s="4" t="s">
        <v>2879</v>
      </c>
      <c r="CFX1335" s="4" t="s">
        <v>2879</v>
      </c>
      <c r="CFY1335" s="4" t="s">
        <v>2879</v>
      </c>
      <c r="CFZ1335" s="4" t="s">
        <v>2879</v>
      </c>
      <c r="CGA1335" s="4" t="s">
        <v>2879</v>
      </c>
      <c r="CGB1335" s="4" t="s">
        <v>2879</v>
      </c>
      <c r="CGC1335" s="4" t="s">
        <v>2879</v>
      </c>
      <c r="CGD1335" s="4" t="s">
        <v>2879</v>
      </c>
      <c r="CGE1335" s="4" t="s">
        <v>2879</v>
      </c>
      <c r="CGF1335" s="4" t="s">
        <v>2879</v>
      </c>
      <c r="CGG1335" s="4" t="s">
        <v>2879</v>
      </c>
      <c r="CGH1335" s="4" t="s">
        <v>2879</v>
      </c>
      <c r="CGI1335" s="4" t="s">
        <v>2879</v>
      </c>
      <c r="CGJ1335" s="4" t="s">
        <v>2879</v>
      </c>
      <c r="CGK1335" s="4" t="s">
        <v>2879</v>
      </c>
      <c r="CGL1335" s="4" t="s">
        <v>2879</v>
      </c>
      <c r="CGM1335" s="4" t="s">
        <v>2879</v>
      </c>
      <c r="CGN1335" s="4" t="s">
        <v>2879</v>
      </c>
      <c r="CGO1335" s="4" t="s">
        <v>2879</v>
      </c>
      <c r="CGP1335" s="4" t="s">
        <v>2879</v>
      </c>
      <c r="CGQ1335" s="4" t="s">
        <v>2879</v>
      </c>
      <c r="CGR1335" s="4" t="s">
        <v>2879</v>
      </c>
      <c r="CGS1335" s="4" t="s">
        <v>2879</v>
      </c>
      <c r="CGT1335" s="4" t="s">
        <v>2879</v>
      </c>
      <c r="CGU1335" s="4" t="s">
        <v>2879</v>
      </c>
      <c r="CGV1335" s="4" t="s">
        <v>2879</v>
      </c>
      <c r="CGW1335" s="4" t="s">
        <v>2879</v>
      </c>
      <c r="CGX1335" s="4" t="s">
        <v>2879</v>
      </c>
      <c r="CGY1335" s="4" t="s">
        <v>2879</v>
      </c>
      <c r="CGZ1335" s="4" t="s">
        <v>2879</v>
      </c>
      <c r="CHA1335" s="4" t="s">
        <v>2879</v>
      </c>
      <c r="CHB1335" s="4" t="s">
        <v>2879</v>
      </c>
      <c r="CHC1335" s="4" t="s">
        <v>2879</v>
      </c>
      <c r="CHD1335" s="4" t="s">
        <v>2879</v>
      </c>
      <c r="CHE1335" s="4" t="s">
        <v>2879</v>
      </c>
      <c r="CHF1335" s="4" t="s">
        <v>2879</v>
      </c>
      <c r="CHG1335" s="4" t="s">
        <v>2879</v>
      </c>
      <c r="CHH1335" s="4" t="s">
        <v>2879</v>
      </c>
      <c r="CHI1335" s="4" t="s">
        <v>2879</v>
      </c>
      <c r="CHJ1335" s="4" t="s">
        <v>2879</v>
      </c>
      <c r="CHK1335" s="4" t="s">
        <v>2879</v>
      </c>
      <c r="CHL1335" s="4" t="s">
        <v>2879</v>
      </c>
      <c r="CHM1335" s="4" t="s">
        <v>2879</v>
      </c>
      <c r="CHN1335" s="4" t="s">
        <v>2879</v>
      </c>
      <c r="CHO1335" s="4" t="s">
        <v>2879</v>
      </c>
      <c r="CHP1335" s="4" t="s">
        <v>2879</v>
      </c>
      <c r="CHQ1335" s="4" t="s">
        <v>2879</v>
      </c>
      <c r="CHR1335" s="4" t="s">
        <v>2879</v>
      </c>
      <c r="CHS1335" s="4" t="s">
        <v>2879</v>
      </c>
      <c r="CHT1335" s="4" t="s">
        <v>2879</v>
      </c>
      <c r="CHU1335" s="4" t="s">
        <v>2879</v>
      </c>
      <c r="CHV1335" s="4" t="s">
        <v>2879</v>
      </c>
      <c r="CHW1335" s="4" t="s">
        <v>2879</v>
      </c>
      <c r="CHX1335" s="4" t="s">
        <v>2879</v>
      </c>
      <c r="CHY1335" s="4" t="s">
        <v>2879</v>
      </c>
      <c r="CHZ1335" s="4" t="s">
        <v>2879</v>
      </c>
      <c r="CIA1335" s="4" t="s">
        <v>2879</v>
      </c>
      <c r="CIB1335" s="4" t="s">
        <v>2879</v>
      </c>
      <c r="CIC1335" s="4" t="s">
        <v>2879</v>
      </c>
      <c r="CID1335" s="4" t="s">
        <v>2879</v>
      </c>
      <c r="CIE1335" s="4" t="s">
        <v>2879</v>
      </c>
      <c r="CIF1335" s="4" t="s">
        <v>2879</v>
      </c>
      <c r="CIG1335" s="4" t="s">
        <v>2879</v>
      </c>
      <c r="CIH1335" s="4" t="s">
        <v>2879</v>
      </c>
      <c r="CII1335" s="4" t="s">
        <v>2879</v>
      </c>
      <c r="CIJ1335" s="4" t="s">
        <v>2879</v>
      </c>
      <c r="CIK1335" s="4" t="s">
        <v>2879</v>
      </c>
      <c r="CIL1335" s="4" t="s">
        <v>2879</v>
      </c>
      <c r="CIM1335" s="4" t="s">
        <v>2879</v>
      </c>
      <c r="CIN1335" s="4" t="s">
        <v>2879</v>
      </c>
      <c r="CIO1335" s="4" t="s">
        <v>2879</v>
      </c>
      <c r="CIP1335" s="4" t="s">
        <v>2879</v>
      </c>
      <c r="CIQ1335" s="4" t="s">
        <v>2879</v>
      </c>
      <c r="CIR1335" s="4" t="s">
        <v>2879</v>
      </c>
      <c r="CIS1335" s="4" t="s">
        <v>2879</v>
      </c>
      <c r="CIT1335" s="4" t="s">
        <v>2879</v>
      </c>
      <c r="CIU1335" s="4" t="s">
        <v>2879</v>
      </c>
      <c r="CIV1335" s="4" t="s">
        <v>2879</v>
      </c>
      <c r="CIW1335" s="4" t="s">
        <v>2879</v>
      </c>
      <c r="CIX1335" s="4" t="s">
        <v>2879</v>
      </c>
      <c r="CIY1335" s="4" t="s">
        <v>2879</v>
      </c>
      <c r="CIZ1335" s="4" t="s">
        <v>2879</v>
      </c>
      <c r="CJA1335" s="4" t="s">
        <v>2879</v>
      </c>
      <c r="CJB1335" s="4" t="s">
        <v>2879</v>
      </c>
      <c r="CJC1335" s="4" t="s">
        <v>2879</v>
      </c>
      <c r="CJD1335" s="4" t="s">
        <v>2879</v>
      </c>
      <c r="CJE1335" s="4" t="s">
        <v>2879</v>
      </c>
      <c r="CJF1335" s="4" t="s">
        <v>2879</v>
      </c>
      <c r="CJG1335" s="4" t="s">
        <v>2879</v>
      </c>
      <c r="CJH1335" s="4" t="s">
        <v>2879</v>
      </c>
      <c r="CJI1335" s="4" t="s">
        <v>2879</v>
      </c>
      <c r="CJJ1335" s="4" t="s">
        <v>2879</v>
      </c>
      <c r="CJK1335" s="4" t="s">
        <v>2879</v>
      </c>
      <c r="CJL1335" s="4" t="s">
        <v>2879</v>
      </c>
      <c r="CJM1335" s="4" t="s">
        <v>2879</v>
      </c>
      <c r="CJN1335" s="4" t="s">
        <v>2879</v>
      </c>
      <c r="CJO1335" s="4" t="s">
        <v>2879</v>
      </c>
      <c r="CJP1335" s="4" t="s">
        <v>2879</v>
      </c>
      <c r="CJQ1335" s="4" t="s">
        <v>2879</v>
      </c>
      <c r="CJR1335" s="4" t="s">
        <v>2879</v>
      </c>
      <c r="CJS1335" s="4" t="s">
        <v>2879</v>
      </c>
      <c r="CJT1335" s="4" t="s">
        <v>2879</v>
      </c>
      <c r="CJU1335" s="4" t="s">
        <v>2879</v>
      </c>
      <c r="CJV1335" s="4" t="s">
        <v>2879</v>
      </c>
      <c r="CJW1335" s="4" t="s">
        <v>2879</v>
      </c>
      <c r="CJX1335" s="4" t="s">
        <v>2879</v>
      </c>
      <c r="CJY1335" s="4" t="s">
        <v>2879</v>
      </c>
      <c r="CJZ1335" s="4" t="s">
        <v>2879</v>
      </c>
      <c r="CKA1335" s="4" t="s">
        <v>2879</v>
      </c>
      <c r="CKB1335" s="4" t="s">
        <v>2879</v>
      </c>
      <c r="CKC1335" s="4" t="s">
        <v>2879</v>
      </c>
      <c r="CKD1335" s="4" t="s">
        <v>2879</v>
      </c>
      <c r="CKE1335" s="4" t="s">
        <v>2879</v>
      </c>
      <c r="CKF1335" s="4" t="s">
        <v>2879</v>
      </c>
      <c r="CKG1335" s="4" t="s">
        <v>2879</v>
      </c>
      <c r="CKH1335" s="4" t="s">
        <v>2879</v>
      </c>
      <c r="CKI1335" s="4" t="s">
        <v>2879</v>
      </c>
      <c r="CKJ1335" s="4" t="s">
        <v>2879</v>
      </c>
      <c r="CKK1335" s="4" t="s">
        <v>2879</v>
      </c>
      <c r="CKL1335" s="4" t="s">
        <v>2879</v>
      </c>
      <c r="CKM1335" s="4" t="s">
        <v>2879</v>
      </c>
      <c r="CKN1335" s="4" t="s">
        <v>2879</v>
      </c>
      <c r="CKO1335" s="4" t="s">
        <v>2879</v>
      </c>
      <c r="CKP1335" s="4" t="s">
        <v>2879</v>
      </c>
      <c r="CKQ1335" s="4" t="s">
        <v>2879</v>
      </c>
      <c r="CKR1335" s="4" t="s">
        <v>2879</v>
      </c>
      <c r="CKS1335" s="4" t="s">
        <v>2879</v>
      </c>
      <c r="CKT1335" s="4" t="s">
        <v>2879</v>
      </c>
      <c r="CKU1335" s="4" t="s">
        <v>2879</v>
      </c>
      <c r="CKV1335" s="4" t="s">
        <v>2879</v>
      </c>
      <c r="CKW1335" s="4" t="s">
        <v>2879</v>
      </c>
      <c r="CKX1335" s="4" t="s">
        <v>2879</v>
      </c>
      <c r="CKY1335" s="4" t="s">
        <v>2879</v>
      </c>
      <c r="CKZ1335" s="4" t="s">
        <v>2879</v>
      </c>
      <c r="CLA1335" s="4" t="s">
        <v>2879</v>
      </c>
      <c r="CLB1335" s="4" t="s">
        <v>2879</v>
      </c>
      <c r="CLC1335" s="4" t="s">
        <v>2879</v>
      </c>
      <c r="CLD1335" s="4" t="s">
        <v>2879</v>
      </c>
      <c r="CLE1335" s="4" t="s">
        <v>2879</v>
      </c>
      <c r="CLF1335" s="4" t="s">
        <v>2879</v>
      </c>
      <c r="CLG1335" s="4" t="s">
        <v>2879</v>
      </c>
      <c r="CLH1335" s="4" t="s">
        <v>2879</v>
      </c>
      <c r="CLI1335" s="4" t="s">
        <v>2879</v>
      </c>
      <c r="CLJ1335" s="4" t="s">
        <v>2879</v>
      </c>
      <c r="CLK1335" s="4" t="s">
        <v>2879</v>
      </c>
      <c r="CLL1335" s="4" t="s">
        <v>2879</v>
      </c>
      <c r="CLM1335" s="4" t="s">
        <v>2879</v>
      </c>
      <c r="CLN1335" s="4" t="s">
        <v>2879</v>
      </c>
      <c r="CLO1335" s="4" t="s">
        <v>2879</v>
      </c>
      <c r="CLP1335" s="4" t="s">
        <v>2879</v>
      </c>
      <c r="CLQ1335" s="4" t="s">
        <v>2879</v>
      </c>
      <c r="CLR1335" s="4" t="s">
        <v>2879</v>
      </c>
      <c r="CLS1335" s="4" t="s">
        <v>2879</v>
      </c>
      <c r="CLT1335" s="4" t="s">
        <v>2879</v>
      </c>
      <c r="CLU1335" s="4" t="s">
        <v>2879</v>
      </c>
      <c r="CLV1335" s="4" t="s">
        <v>2879</v>
      </c>
      <c r="CLW1335" s="4" t="s">
        <v>2879</v>
      </c>
      <c r="CLX1335" s="4" t="s">
        <v>2879</v>
      </c>
      <c r="CLY1335" s="4" t="s">
        <v>2879</v>
      </c>
      <c r="CLZ1335" s="4" t="s">
        <v>2879</v>
      </c>
      <c r="CMA1335" s="4" t="s">
        <v>2879</v>
      </c>
      <c r="CMB1335" s="4" t="s">
        <v>2879</v>
      </c>
      <c r="CMC1335" s="4" t="s">
        <v>2879</v>
      </c>
      <c r="CMD1335" s="4" t="s">
        <v>2879</v>
      </c>
      <c r="CME1335" s="4" t="s">
        <v>2879</v>
      </c>
      <c r="CMF1335" s="4" t="s">
        <v>2879</v>
      </c>
      <c r="CMG1335" s="4" t="s">
        <v>2879</v>
      </c>
      <c r="CMH1335" s="4" t="s">
        <v>2879</v>
      </c>
      <c r="CMI1335" s="4" t="s">
        <v>2879</v>
      </c>
      <c r="CMJ1335" s="4" t="s">
        <v>2879</v>
      </c>
      <c r="CMK1335" s="4" t="s">
        <v>2879</v>
      </c>
      <c r="CML1335" s="4" t="s">
        <v>2879</v>
      </c>
      <c r="CMM1335" s="4" t="s">
        <v>2879</v>
      </c>
      <c r="CMN1335" s="4" t="s">
        <v>2879</v>
      </c>
      <c r="CMO1335" s="4" t="s">
        <v>2879</v>
      </c>
      <c r="CMP1335" s="4" t="s">
        <v>2879</v>
      </c>
      <c r="CMQ1335" s="4" t="s">
        <v>2879</v>
      </c>
      <c r="CMR1335" s="4" t="s">
        <v>2879</v>
      </c>
      <c r="CMS1335" s="4" t="s">
        <v>2879</v>
      </c>
      <c r="CMT1335" s="4" t="s">
        <v>2879</v>
      </c>
      <c r="CMU1335" s="4" t="s">
        <v>2879</v>
      </c>
      <c r="CMV1335" s="4" t="s">
        <v>2879</v>
      </c>
      <c r="CMW1335" s="4" t="s">
        <v>2879</v>
      </c>
      <c r="CMX1335" s="4" t="s">
        <v>2879</v>
      </c>
      <c r="CMY1335" s="4" t="s">
        <v>2879</v>
      </c>
      <c r="CMZ1335" s="4" t="s">
        <v>2879</v>
      </c>
      <c r="CNA1335" s="4" t="s">
        <v>2879</v>
      </c>
      <c r="CNB1335" s="4" t="s">
        <v>2879</v>
      </c>
      <c r="CNC1335" s="4" t="s">
        <v>2879</v>
      </c>
      <c r="CND1335" s="4" t="s">
        <v>2879</v>
      </c>
      <c r="CNE1335" s="4" t="s">
        <v>2879</v>
      </c>
      <c r="CNF1335" s="4" t="s">
        <v>2879</v>
      </c>
      <c r="CNG1335" s="4" t="s">
        <v>2879</v>
      </c>
      <c r="CNH1335" s="4" t="s">
        <v>2879</v>
      </c>
      <c r="CNI1335" s="4" t="s">
        <v>2879</v>
      </c>
      <c r="CNJ1335" s="4" t="s">
        <v>2879</v>
      </c>
      <c r="CNK1335" s="4" t="s">
        <v>2879</v>
      </c>
      <c r="CNL1335" s="4" t="s">
        <v>2879</v>
      </c>
      <c r="CNM1335" s="4" t="s">
        <v>2879</v>
      </c>
      <c r="CNN1335" s="4" t="s">
        <v>2879</v>
      </c>
      <c r="CNO1335" s="4" t="s">
        <v>2879</v>
      </c>
      <c r="CNP1335" s="4" t="s">
        <v>2879</v>
      </c>
      <c r="CNQ1335" s="4" t="s">
        <v>2879</v>
      </c>
      <c r="CNR1335" s="4" t="s">
        <v>2879</v>
      </c>
      <c r="CNS1335" s="4" t="s">
        <v>2879</v>
      </c>
      <c r="CNT1335" s="4" t="s">
        <v>2879</v>
      </c>
      <c r="CNU1335" s="4" t="s">
        <v>2879</v>
      </c>
      <c r="CNV1335" s="4" t="s">
        <v>2879</v>
      </c>
      <c r="CNW1335" s="4" t="s">
        <v>2879</v>
      </c>
      <c r="CNX1335" s="4" t="s">
        <v>2879</v>
      </c>
      <c r="CNY1335" s="4" t="s">
        <v>2879</v>
      </c>
      <c r="CNZ1335" s="4" t="s">
        <v>2879</v>
      </c>
      <c r="COA1335" s="4" t="s">
        <v>2879</v>
      </c>
      <c r="COB1335" s="4" t="s">
        <v>2879</v>
      </c>
      <c r="COC1335" s="4" t="s">
        <v>2879</v>
      </c>
      <c r="COD1335" s="4" t="s">
        <v>2879</v>
      </c>
      <c r="COE1335" s="4" t="s">
        <v>2879</v>
      </c>
      <c r="COF1335" s="4" t="s">
        <v>2879</v>
      </c>
      <c r="COG1335" s="4" t="s">
        <v>2879</v>
      </c>
      <c r="COH1335" s="4" t="s">
        <v>2879</v>
      </c>
      <c r="COI1335" s="4" t="s">
        <v>2879</v>
      </c>
      <c r="COJ1335" s="4" t="s">
        <v>2879</v>
      </c>
      <c r="COK1335" s="4" t="s">
        <v>2879</v>
      </c>
      <c r="COL1335" s="4" t="s">
        <v>2879</v>
      </c>
      <c r="COM1335" s="4" t="s">
        <v>2879</v>
      </c>
      <c r="CON1335" s="4" t="s">
        <v>2879</v>
      </c>
      <c r="COO1335" s="4" t="s">
        <v>2879</v>
      </c>
      <c r="COP1335" s="4" t="s">
        <v>2879</v>
      </c>
      <c r="COQ1335" s="4" t="s">
        <v>2879</v>
      </c>
      <c r="COR1335" s="4" t="s">
        <v>2879</v>
      </c>
      <c r="COS1335" s="4" t="s">
        <v>2879</v>
      </c>
      <c r="COT1335" s="4" t="s">
        <v>2879</v>
      </c>
      <c r="COU1335" s="4" t="s">
        <v>2879</v>
      </c>
      <c r="COV1335" s="4" t="s">
        <v>2879</v>
      </c>
      <c r="COW1335" s="4" t="s">
        <v>2879</v>
      </c>
      <c r="COX1335" s="4" t="s">
        <v>2879</v>
      </c>
      <c r="COY1335" s="4" t="s">
        <v>2879</v>
      </c>
      <c r="COZ1335" s="4" t="s">
        <v>2879</v>
      </c>
      <c r="CPA1335" s="4" t="s">
        <v>2879</v>
      </c>
      <c r="CPB1335" s="4" t="s">
        <v>2879</v>
      </c>
      <c r="CPC1335" s="4" t="s">
        <v>2879</v>
      </c>
      <c r="CPD1335" s="4" t="s">
        <v>2879</v>
      </c>
      <c r="CPE1335" s="4" t="s">
        <v>2879</v>
      </c>
      <c r="CPF1335" s="4" t="s">
        <v>2879</v>
      </c>
      <c r="CPG1335" s="4" t="s">
        <v>2879</v>
      </c>
      <c r="CPH1335" s="4" t="s">
        <v>2879</v>
      </c>
      <c r="CPI1335" s="4" t="s">
        <v>2879</v>
      </c>
      <c r="CPJ1335" s="4" t="s">
        <v>2879</v>
      </c>
      <c r="CPK1335" s="4" t="s">
        <v>2879</v>
      </c>
      <c r="CPL1335" s="4" t="s">
        <v>2879</v>
      </c>
      <c r="CPM1335" s="4" t="s">
        <v>2879</v>
      </c>
      <c r="CPN1335" s="4" t="s">
        <v>2879</v>
      </c>
      <c r="CPO1335" s="4" t="s">
        <v>2879</v>
      </c>
      <c r="CPP1335" s="4" t="s">
        <v>2879</v>
      </c>
      <c r="CPQ1335" s="4" t="s">
        <v>2879</v>
      </c>
      <c r="CPR1335" s="4" t="s">
        <v>2879</v>
      </c>
      <c r="CPS1335" s="4" t="s">
        <v>2879</v>
      </c>
      <c r="CPT1335" s="4" t="s">
        <v>2879</v>
      </c>
      <c r="CPU1335" s="4" t="s">
        <v>2879</v>
      </c>
      <c r="CPV1335" s="4" t="s">
        <v>2879</v>
      </c>
      <c r="CPW1335" s="4" t="s">
        <v>2879</v>
      </c>
      <c r="CPX1335" s="4" t="s">
        <v>2879</v>
      </c>
      <c r="CPY1335" s="4" t="s">
        <v>2879</v>
      </c>
      <c r="CPZ1335" s="4" t="s">
        <v>2879</v>
      </c>
      <c r="CQA1335" s="4" t="s">
        <v>2879</v>
      </c>
      <c r="CQB1335" s="4" t="s">
        <v>2879</v>
      </c>
      <c r="CQC1335" s="4" t="s">
        <v>2879</v>
      </c>
      <c r="CQD1335" s="4" t="s">
        <v>2879</v>
      </c>
      <c r="CQE1335" s="4" t="s">
        <v>2879</v>
      </c>
      <c r="CQF1335" s="4" t="s">
        <v>2879</v>
      </c>
      <c r="CQG1335" s="4" t="s">
        <v>2879</v>
      </c>
      <c r="CQH1335" s="4" t="s">
        <v>2879</v>
      </c>
      <c r="CQI1335" s="4" t="s">
        <v>2879</v>
      </c>
      <c r="CQJ1335" s="4" t="s">
        <v>2879</v>
      </c>
      <c r="CQK1335" s="4" t="s">
        <v>2879</v>
      </c>
      <c r="CQL1335" s="4" t="s">
        <v>2879</v>
      </c>
      <c r="CQM1335" s="4" t="s">
        <v>2879</v>
      </c>
      <c r="CQN1335" s="4" t="s">
        <v>2879</v>
      </c>
      <c r="CQO1335" s="4" t="s">
        <v>2879</v>
      </c>
      <c r="CQP1335" s="4" t="s">
        <v>2879</v>
      </c>
      <c r="CQQ1335" s="4" t="s">
        <v>2879</v>
      </c>
      <c r="CQR1335" s="4" t="s">
        <v>2879</v>
      </c>
      <c r="CQS1335" s="4" t="s">
        <v>2879</v>
      </c>
      <c r="CQT1335" s="4" t="s">
        <v>2879</v>
      </c>
      <c r="CQU1335" s="4" t="s">
        <v>2879</v>
      </c>
      <c r="CQV1335" s="4" t="s">
        <v>2879</v>
      </c>
      <c r="CQW1335" s="4" t="s">
        <v>2879</v>
      </c>
      <c r="CQX1335" s="4" t="s">
        <v>2879</v>
      </c>
      <c r="CQY1335" s="4" t="s">
        <v>2879</v>
      </c>
      <c r="CQZ1335" s="4" t="s">
        <v>2879</v>
      </c>
      <c r="CRA1335" s="4" t="s">
        <v>2879</v>
      </c>
      <c r="CRB1335" s="4" t="s">
        <v>2879</v>
      </c>
      <c r="CRC1335" s="4" t="s">
        <v>2879</v>
      </c>
      <c r="CRD1335" s="4" t="s">
        <v>2879</v>
      </c>
      <c r="CRE1335" s="4" t="s">
        <v>2879</v>
      </c>
      <c r="CRF1335" s="4" t="s">
        <v>2879</v>
      </c>
      <c r="CRG1335" s="4" t="s">
        <v>2879</v>
      </c>
      <c r="CRH1335" s="4" t="s">
        <v>2879</v>
      </c>
      <c r="CRI1335" s="4" t="s">
        <v>2879</v>
      </c>
      <c r="CRJ1335" s="4" t="s">
        <v>2879</v>
      </c>
      <c r="CRK1335" s="4" t="s">
        <v>2879</v>
      </c>
      <c r="CRL1335" s="4" t="s">
        <v>2879</v>
      </c>
      <c r="CRM1335" s="4" t="s">
        <v>2879</v>
      </c>
      <c r="CRN1335" s="4" t="s">
        <v>2879</v>
      </c>
      <c r="CRO1335" s="4" t="s">
        <v>2879</v>
      </c>
      <c r="CRP1335" s="4" t="s">
        <v>2879</v>
      </c>
      <c r="CRQ1335" s="4" t="s">
        <v>2879</v>
      </c>
      <c r="CRR1335" s="4" t="s">
        <v>2879</v>
      </c>
      <c r="CRS1335" s="4" t="s">
        <v>2879</v>
      </c>
      <c r="CRT1335" s="4" t="s">
        <v>2879</v>
      </c>
      <c r="CRU1335" s="4" t="s">
        <v>2879</v>
      </c>
      <c r="CRV1335" s="4" t="s">
        <v>2879</v>
      </c>
      <c r="CRW1335" s="4" t="s">
        <v>2879</v>
      </c>
      <c r="CRX1335" s="4" t="s">
        <v>2879</v>
      </c>
      <c r="CRY1335" s="4" t="s">
        <v>2879</v>
      </c>
      <c r="CRZ1335" s="4" t="s">
        <v>2879</v>
      </c>
      <c r="CSA1335" s="4" t="s">
        <v>2879</v>
      </c>
      <c r="CSB1335" s="4" t="s">
        <v>2879</v>
      </c>
      <c r="CSC1335" s="4" t="s">
        <v>2879</v>
      </c>
      <c r="CSD1335" s="4" t="s">
        <v>2879</v>
      </c>
      <c r="CSE1335" s="4" t="s">
        <v>2879</v>
      </c>
      <c r="CSF1335" s="4" t="s">
        <v>2879</v>
      </c>
      <c r="CSG1335" s="4" t="s">
        <v>2879</v>
      </c>
      <c r="CSH1335" s="4" t="s">
        <v>2879</v>
      </c>
      <c r="CSI1335" s="4" t="s">
        <v>2879</v>
      </c>
      <c r="CSJ1335" s="4" t="s">
        <v>2879</v>
      </c>
      <c r="CSK1335" s="4" t="s">
        <v>2879</v>
      </c>
      <c r="CSL1335" s="4" t="s">
        <v>2879</v>
      </c>
      <c r="CSM1335" s="4" t="s">
        <v>2879</v>
      </c>
      <c r="CSN1335" s="4" t="s">
        <v>2879</v>
      </c>
      <c r="CSO1335" s="4" t="s">
        <v>2879</v>
      </c>
      <c r="CSP1335" s="4" t="s">
        <v>2879</v>
      </c>
      <c r="CSQ1335" s="4" t="s">
        <v>2879</v>
      </c>
      <c r="CSR1335" s="4" t="s">
        <v>2879</v>
      </c>
      <c r="CSS1335" s="4" t="s">
        <v>2879</v>
      </c>
      <c r="CST1335" s="4" t="s">
        <v>2879</v>
      </c>
      <c r="CSU1335" s="4" t="s">
        <v>2879</v>
      </c>
      <c r="CSV1335" s="4" t="s">
        <v>2879</v>
      </c>
      <c r="CSW1335" s="4" t="s">
        <v>2879</v>
      </c>
      <c r="CSX1335" s="4" t="s">
        <v>2879</v>
      </c>
      <c r="CSY1335" s="4" t="s">
        <v>2879</v>
      </c>
      <c r="CSZ1335" s="4" t="s">
        <v>2879</v>
      </c>
      <c r="CTA1335" s="4" t="s">
        <v>2879</v>
      </c>
      <c r="CTB1335" s="4" t="s">
        <v>2879</v>
      </c>
      <c r="CTC1335" s="4" t="s">
        <v>2879</v>
      </c>
      <c r="CTD1335" s="4" t="s">
        <v>2879</v>
      </c>
      <c r="CTE1335" s="4" t="s">
        <v>2879</v>
      </c>
      <c r="CTF1335" s="4" t="s">
        <v>2879</v>
      </c>
      <c r="CTG1335" s="4" t="s">
        <v>2879</v>
      </c>
      <c r="CTH1335" s="4" t="s">
        <v>2879</v>
      </c>
      <c r="CTI1335" s="4" t="s">
        <v>2879</v>
      </c>
      <c r="CTJ1335" s="4" t="s">
        <v>2879</v>
      </c>
      <c r="CTK1335" s="4" t="s">
        <v>2879</v>
      </c>
      <c r="CTL1335" s="4" t="s">
        <v>2879</v>
      </c>
      <c r="CTM1335" s="4" t="s">
        <v>2879</v>
      </c>
      <c r="CTN1335" s="4" t="s">
        <v>2879</v>
      </c>
      <c r="CTO1335" s="4" t="s">
        <v>2879</v>
      </c>
      <c r="CTP1335" s="4" t="s">
        <v>2879</v>
      </c>
      <c r="CTQ1335" s="4" t="s">
        <v>2879</v>
      </c>
      <c r="CTR1335" s="4" t="s">
        <v>2879</v>
      </c>
      <c r="CTS1335" s="4" t="s">
        <v>2879</v>
      </c>
      <c r="CTT1335" s="4" t="s">
        <v>2879</v>
      </c>
      <c r="CTU1335" s="4" t="s">
        <v>2879</v>
      </c>
      <c r="CTV1335" s="4" t="s">
        <v>2879</v>
      </c>
      <c r="CTW1335" s="4" t="s">
        <v>2879</v>
      </c>
      <c r="CTX1335" s="4" t="s">
        <v>2879</v>
      </c>
      <c r="CTY1335" s="4" t="s">
        <v>2879</v>
      </c>
      <c r="CTZ1335" s="4" t="s">
        <v>2879</v>
      </c>
      <c r="CUA1335" s="4" t="s">
        <v>2879</v>
      </c>
      <c r="CUB1335" s="4" t="s">
        <v>2879</v>
      </c>
      <c r="CUC1335" s="4" t="s">
        <v>2879</v>
      </c>
      <c r="CUD1335" s="4" t="s">
        <v>2879</v>
      </c>
      <c r="CUE1335" s="4" t="s">
        <v>2879</v>
      </c>
      <c r="CUF1335" s="4" t="s">
        <v>2879</v>
      </c>
      <c r="CUG1335" s="4" t="s">
        <v>2879</v>
      </c>
      <c r="CUH1335" s="4" t="s">
        <v>2879</v>
      </c>
      <c r="CUI1335" s="4" t="s">
        <v>2879</v>
      </c>
      <c r="CUJ1335" s="4" t="s">
        <v>2879</v>
      </c>
      <c r="CUK1335" s="4" t="s">
        <v>2879</v>
      </c>
      <c r="CUL1335" s="4" t="s">
        <v>2879</v>
      </c>
      <c r="CUM1335" s="4" t="s">
        <v>2879</v>
      </c>
      <c r="CUN1335" s="4" t="s">
        <v>2879</v>
      </c>
      <c r="CUO1335" s="4" t="s">
        <v>2879</v>
      </c>
      <c r="CUP1335" s="4" t="s">
        <v>2879</v>
      </c>
      <c r="CUQ1335" s="4" t="s">
        <v>2879</v>
      </c>
      <c r="CUR1335" s="4" t="s">
        <v>2879</v>
      </c>
      <c r="CUS1335" s="4" t="s">
        <v>2879</v>
      </c>
      <c r="CUT1335" s="4" t="s">
        <v>2879</v>
      </c>
      <c r="CUU1335" s="4" t="s">
        <v>2879</v>
      </c>
      <c r="CUV1335" s="4" t="s">
        <v>2879</v>
      </c>
      <c r="CUW1335" s="4" t="s">
        <v>2879</v>
      </c>
      <c r="CUX1335" s="4" t="s">
        <v>2879</v>
      </c>
      <c r="CUY1335" s="4" t="s">
        <v>2879</v>
      </c>
      <c r="CUZ1335" s="4" t="s">
        <v>2879</v>
      </c>
      <c r="CVA1335" s="4" t="s">
        <v>2879</v>
      </c>
      <c r="CVB1335" s="4" t="s">
        <v>2879</v>
      </c>
      <c r="CVC1335" s="4" t="s">
        <v>2879</v>
      </c>
      <c r="CVD1335" s="4" t="s">
        <v>2879</v>
      </c>
      <c r="CVE1335" s="4" t="s">
        <v>2879</v>
      </c>
      <c r="CVF1335" s="4" t="s">
        <v>2879</v>
      </c>
      <c r="CVG1335" s="4" t="s">
        <v>2879</v>
      </c>
      <c r="CVH1335" s="4" t="s">
        <v>2879</v>
      </c>
      <c r="CVI1335" s="4" t="s">
        <v>2879</v>
      </c>
      <c r="CVJ1335" s="4" t="s">
        <v>2879</v>
      </c>
      <c r="CVK1335" s="4" t="s">
        <v>2879</v>
      </c>
      <c r="CVL1335" s="4" t="s">
        <v>2879</v>
      </c>
      <c r="CVM1335" s="4" t="s">
        <v>2879</v>
      </c>
      <c r="CVN1335" s="4" t="s">
        <v>2879</v>
      </c>
      <c r="CVO1335" s="4" t="s">
        <v>2879</v>
      </c>
      <c r="CVP1335" s="4" t="s">
        <v>2879</v>
      </c>
      <c r="CVQ1335" s="4" t="s">
        <v>2879</v>
      </c>
      <c r="CVR1335" s="4" t="s">
        <v>2879</v>
      </c>
      <c r="CVS1335" s="4" t="s">
        <v>2879</v>
      </c>
      <c r="CVT1335" s="4" t="s">
        <v>2879</v>
      </c>
      <c r="CVU1335" s="4" t="s">
        <v>2879</v>
      </c>
      <c r="CVV1335" s="4" t="s">
        <v>2879</v>
      </c>
      <c r="CVW1335" s="4" t="s">
        <v>2879</v>
      </c>
      <c r="CVX1335" s="4" t="s">
        <v>2879</v>
      </c>
      <c r="CVY1335" s="4" t="s">
        <v>2879</v>
      </c>
      <c r="CVZ1335" s="4" t="s">
        <v>2879</v>
      </c>
      <c r="CWA1335" s="4" t="s">
        <v>2879</v>
      </c>
      <c r="CWB1335" s="4" t="s">
        <v>2879</v>
      </c>
      <c r="CWC1335" s="4" t="s">
        <v>2879</v>
      </c>
      <c r="CWD1335" s="4" t="s">
        <v>2879</v>
      </c>
      <c r="CWE1335" s="4" t="s">
        <v>2879</v>
      </c>
      <c r="CWF1335" s="4" t="s">
        <v>2879</v>
      </c>
      <c r="CWG1335" s="4" t="s">
        <v>2879</v>
      </c>
      <c r="CWH1335" s="4" t="s">
        <v>2879</v>
      </c>
      <c r="CWI1335" s="4" t="s">
        <v>2879</v>
      </c>
      <c r="CWJ1335" s="4" t="s">
        <v>2879</v>
      </c>
      <c r="CWK1335" s="4" t="s">
        <v>2879</v>
      </c>
      <c r="CWL1335" s="4" t="s">
        <v>2879</v>
      </c>
      <c r="CWM1335" s="4" t="s">
        <v>2879</v>
      </c>
      <c r="CWN1335" s="4" t="s">
        <v>2879</v>
      </c>
      <c r="CWO1335" s="4" t="s">
        <v>2879</v>
      </c>
      <c r="CWP1335" s="4" t="s">
        <v>2879</v>
      </c>
      <c r="CWQ1335" s="4" t="s">
        <v>2879</v>
      </c>
      <c r="CWR1335" s="4" t="s">
        <v>2879</v>
      </c>
      <c r="CWS1335" s="4" t="s">
        <v>2879</v>
      </c>
      <c r="CWT1335" s="4" t="s">
        <v>2879</v>
      </c>
      <c r="CWU1335" s="4" t="s">
        <v>2879</v>
      </c>
      <c r="CWV1335" s="4" t="s">
        <v>2879</v>
      </c>
      <c r="CWW1335" s="4" t="s">
        <v>2879</v>
      </c>
      <c r="CWX1335" s="4" t="s">
        <v>2879</v>
      </c>
      <c r="CWY1335" s="4" t="s">
        <v>2879</v>
      </c>
      <c r="CWZ1335" s="4" t="s">
        <v>2879</v>
      </c>
      <c r="CXA1335" s="4" t="s">
        <v>2879</v>
      </c>
      <c r="CXB1335" s="4" t="s">
        <v>2879</v>
      </c>
      <c r="CXC1335" s="4" t="s">
        <v>2879</v>
      </c>
      <c r="CXD1335" s="4" t="s">
        <v>2879</v>
      </c>
      <c r="CXE1335" s="4" t="s">
        <v>2879</v>
      </c>
      <c r="CXF1335" s="4" t="s">
        <v>2879</v>
      </c>
      <c r="CXG1335" s="4" t="s">
        <v>2879</v>
      </c>
      <c r="CXH1335" s="4" t="s">
        <v>2879</v>
      </c>
      <c r="CXI1335" s="4" t="s">
        <v>2879</v>
      </c>
      <c r="CXJ1335" s="4" t="s">
        <v>2879</v>
      </c>
      <c r="CXK1335" s="4" t="s">
        <v>2879</v>
      </c>
      <c r="CXL1335" s="4" t="s">
        <v>2879</v>
      </c>
      <c r="CXM1335" s="4" t="s">
        <v>2879</v>
      </c>
      <c r="CXN1335" s="4" t="s">
        <v>2879</v>
      </c>
      <c r="CXO1335" s="4" t="s">
        <v>2879</v>
      </c>
      <c r="CXP1335" s="4" t="s">
        <v>2879</v>
      </c>
      <c r="CXQ1335" s="4" t="s">
        <v>2879</v>
      </c>
      <c r="CXR1335" s="4" t="s">
        <v>2879</v>
      </c>
      <c r="CXS1335" s="4" t="s">
        <v>2879</v>
      </c>
      <c r="CXT1335" s="4" t="s">
        <v>2879</v>
      </c>
      <c r="CXU1335" s="4" t="s">
        <v>2879</v>
      </c>
      <c r="CXV1335" s="4" t="s">
        <v>2879</v>
      </c>
      <c r="CXW1335" s="4" t="s">
        <v>2879</v>
      </c>
      <c r="CXX1335" s="4" t="s">
        <v>2879</v>
      </c>
      <c r="CXY1335" s="4" t="s">
        <v>2879</v>
      </c>
      <c r="CXZ1335" s="4" t="s">
        <v>2879</v>
      </c>
      <c r="CYA1335" s="4" t="s">
        <v>2879</v>
      </c>
      <c r="CYB1335" s="4" t="s">
        <v>2879</v>
      </c>
      <c r="CYC1335" s="4" t="s">
        <v>2879</v>
      </c>
      <c r="CYD1335" s="4" t="s">
        <v>2879</v>
      </c>
      <c r="CYE1335" s="4" t="s">
        <v>2879</v>
      </c>
      <c r="CYF1335" s="4" t="s">
        <v>2879</v>
      </c>
      <c r="CYG1335" s="4" t="s">
        <v>2879</v>
      </c>
      <c r="CYH1335" s="4" t="s">
        <v>2879</v>
      </c>
      <c r="CYI1335" s="4" t="s">
        <v>2879</v>
      </c>
      <c r="CYJ1335" s="4" t="s">
        <v>2879</v>
      </c>
      <c r="CYK1335" s="4" t="s">
        <v>2879</v>
      </c>
      <c r="CYL1335" s="4" t="s">
        <v>2879</v>
      </c>
      <c r="CYM1335" s="4" t="s">
        <v>2879</v>
      </c>
      <c r="CYN1335" s="4" t="s">
        <v>2879</v>
      </c>
      <c r="CYO1335" s="4" t="s">
        <v>2879</v>
      </c>
      <c r="CYP1335" s="4" t="s">
        <v>2879</v>
      </c>
      <c r="CYQ1335" s="4" t="s">
        <v>2879</v>
      </c>
      <c r="CYR1335" s="4" t="s">
        <v>2879</v>
      </c>
      <c r="CYS1335" s="4" t="s">
        <v>2879</v>
      </c>
      <c r="CYT1335" s="4" t="s">
        <v>2879</v>
      </c>
      <c r="CYU1335" s="4" t="s">
        <v>2879</v>
      </c>
      <c r="CYV1335" s="4" t="s">
        <v>2879</v>
      </c>
      <c r="CYW1335" s="4" t="s">
        <v>2879</v>
      </c>
      <c r="CYX1335" s="4" t="s">
        <v>2879</v>
      </c>
      <c r="CYY1335" s="4" t="s">
        <v>2879</v>
      </c>
      <c r="CYZ1335" s="4" t="s">
        <v>2879</v>
      </c>
      <c r="CZA1335" s="4" t="s">
        <v>2879</v>
      </c>
      <c r="CZB1335" s="4" t="s">
        <v>2879</v>
      </c>
      <c r="CZC1335" s="4" t="s">
        <v>2879</v>
      </c>
      <c r="CZD1335" s="4" t="s">
        <v>2879</v>
      </c>
      <c r="CZE1335" s="4" t="s">
        <v>2879</v>
      </c>
      <c r="CZF1335" s="4" t="s">
        <v>2879</v>
      </c>
      <c r="CZG1335" s="4" t="s">
        <v>2879</v>
      </c>
      <c r="CZH1335" s="4" t="s">
        <v>2879</v>
      </c>
      <c r="CZI1335" s="4" t="s">
        <v>2879</v>
      </c>
      <c r="CZJ1335" s="4" t="s">
        <v>2879</v>
      </c>
      <c r="CZK1335" s="4" t="s">
        <v>2879</v>
      </c>
      <c r="CZL1335" s="4" t="s">
        <v>2879</v>
      </c>
      <c r="CZM1335" s="4" t="s">
        <v>2879</v>
      </c>
      <c r="CZN1335" s="4" t="s">
        <v>2879</v>
      </c>
      <c r="CZO1335" s="4" t="s">
        <v>2879</v>
      </c>
      <c r="CZP1335" s="4" t="s">
        <v>2879</v>
      </c>
      <c r="CZQ1335" s="4" t="s">
        <v>2879</v>
      </c>
      <c r="CZR1335" s="4" t="s">
        <v>2879</v>
      </c>
      <c r="CZS1335" s="4" t="s">
        <v>2879</v>
      </c>
      <c r="CZT1335" s="4" t="s">
        <v>2879</v>
      </c>
      <c r="CZU1335" s="4" t="s">
        <v>2879</v>
      </c>
      <c r="CZV1335" s="4" t="s">
        <v>2879</v>
      </c>
      <c r="CZW1335" s="4" t="s">
        <v>2879</v>
      </c>
      <c r="CZX1335" s="4" t="s">
        <v>2879</v>
      </c>
      <c r="CZY1335" s="4" t="s">
        <v>2879</v>
      </c>
      <c r="CZZ1335" s="4" t="s">
        <v>2879</v>
      </c>
      <c r="DAA1335" s="4" t="s">
        <v>2879</v>
      </c>
      <c r="DAB1335" s="4" t="s">
        <v>2879</v>
      </c>
      <c r="DAC1335" s="4" t="s">
        <v>2879</v>
      </c>
      <c r="DAD1335" s="4" t="s">
        <v>2879</v>
      </c>
      <c r="DAE1335" s="4" t="s">
        <v>2879</v>
      </c>
      <c r="DAF1335" s="4" t="s">
        <v>2879</v>
      </c>
      <c r="DAG1335" s="4" t="s">
        <v>2879</v>
      </c>
      <c r="DAH1335" s="4" t="s">
        <v>2879</v>
      </c>
      <c r="DAI1335" s="4" t="s">
        <v>2879</v>
      </c>
      <c r="DAJ1335" s="4" t="s">
        <v>2879</v>
      </c>
      <c r="DAK1335" s="4" t="s">
        <v>2879</v>
      </c>
      <c r="DAL1335" s="4" t="s">
        <v>2879</v>
      </c>
      <c r="DAM1335" s="4" t="s">
        <v>2879</v>
      </c>
      <c r="DAN1335" s="4" t="s">
        <v>2879</v>
      </c>
      <c r="DAO1335" s="4" t="s">
        <v>2879</v>
      </c>
      <c r="DAP1335" s="4" t="s">
        <v>2879</v>
      </c>
      <c r="DAQ1335" s="4" t="s">
        <v>2879</v>
      </c>
      <c r="DAR1335" s="4" t="s">
        <v>2879</v>
      </c>
      <c r="DAS1335" s="4" t="s">
        <v>2879</v>
      </c>
      <c r="DAT1335" s="4" t="s">
        <v>2879</v>
      </c>
      <c r="DAU1335" s="4" t="s">
        <v>2879</v>
      </c>
      <c r="DAV1335" s="4" t="s">
        <v>2879</v>
      </c>
      <c r="DAW1335" s="4" t="s">
        <v>2879</v>
      </c>
      <c r="DAX1335" s="4" t="s">
        <v>2879</v>
      </c>
      <c r="DAY1335" s="4" t="s">
        <v>2879</v>
      </c>
      <c r="DAZ1335" s="4" t="s">
        <v>2879</v>
      </c>
      <c r="DBA1335" s="4" t="s">
        <v>2879</v>
      </c>
      <c r="DBB1335" s="4" t="s">
        <v>2879</v>
      </c>
      <c r="DBC1335" s="4" t="s">
        <v>2879</v>
      </c>
      <c r="DBD1335" s="4" t="s">
        <v>2879</v>
      </c>
      <c r="DBE1335" s="4" t="s">
        <v>2879</v>
      </c>
      <c r="DBF1335" s="4" t="s">
        <v>2879</v>
      </c>
      <c r="DBG1335" s="4" t="s">
        <v>2879</v>
      </c>
      <c r="DBH1335" s="4" t="s">
        <v>2879</v>
      </c>
      <c r="DBI1335" s="4" t="s">
        <v>2879</v>
      </c>
      <c r="DBJ1335" s="4" t="s">
        <v>2879</v>
      </c>
      <c r="DBK1335" s="4" t="s">
        <v>2879</v>
      </c>
      <c r="DBL1335" s="4" t="s">
        <v>2879</v>
      </c>
      <c r="DBM1335" s="4" t="s">
        <v>2879</v>
      </c>
      <c r="DBN1335" s="4" t="s">
        <v>2879</v>
      </c>
      <c r="DBO1335" s="4" t="s">
        <v>2879</v>
      </c>
      <c r="DBP1335" s="4" t="s">
        <v>2879</v>
      </c>
      <c r="DBQ1335" s="4" t="s">
        <v>2879</v>
      </c>
      <c r="DBR1335" s="4" t="s">
        <v>2879</v>
      </c>
      <c r="DBS1335" s="4" t="s">
        <v>2879</v>
      </c>
      <c r="DBT1335" s="4" t="s">
        <v>2879</v>
      </c>
      <c r="DBU1335" s="4" t="s">
        <v>2879</v>
      </c>
      <c r="DBV1335" s="4" t="s">
        <v>2879</v>
      </c>
      <c r="DBW1335" s="4" t="s">
        <v>2879</v>
      </c>
      <c r="DBX1335" s="4" t="s">
        <v>2879</v>
      </c>
      <c r="DBY1335" s="4" t="s">
        <v>2879</v>
      </c>
      <c r="DBZ1335" s="4" t="s">
        <v>2879</v>
      </c>
      <c r="DCA1335" s="4" t="s">
        <v>2879</v>
      </c>
      <c r="DCB1335" s="4" t="s">
        <v>2879</v>
      </c>
      <c r="DCC1335" s="4" t="s">
        <v>2879</v>
      </c>
      <c r="DCD1335" s="4" t="s">
        <v>2879</v>
      </c>
      <c r="DCE1335" s="4" t="s">
        <v>2879</v>
      </c>
      <c r="DCF1335" s="4" t="s">
        <v>2879</v>
      </c>
      <c r="DCG1335" s="4" t="s">
        <v>2879</v>
      </c>
      <c r="DCH1335" s="4" t="s">
        <v>2879</v>
      </c>
      <c r="DCI1335" s="4" t="s">
        <v>2879</v>
      </c>
      <c r="DCJ1335" s="4" t="s">
        <v>2879</v>
      </c>
      <c r="DCK1335" s="4" t="s">
        <v>2879</v>
      </c>
      <c r="DCL1335" s="4" t="s">
        <v>2879</v>
      </c>
      <c r="DCM1335" s="4" t="s">
        <v>2879</v>
      </c>
      <c r="DCN1335" s="4" t="s">
        <v>2879</v>
      </c>
      <c r="DCO1335" s="4" t="s">
        <v>2879</v>
      </c>
      <c r="DCP1335" s="4" t="s">
        <v>2879</v>
      </c>
      <c r="DCQ1335" s="4" t="s">
        <v>2879</v>
      </c>
      <c r="DCR1335" s="4" t="s">
        <v>2879</v>
      </c>
      <c r="DCS1335" s="4" t="s">
        <v>2879</v>
      </c>
      <c r="DCT1335" s="4" t="s">
        <v>2879</v>
      </c>
      <c r="DCU1335" s="4" t="s">
        <v>2879</v>
      </c>
      <c r="DCV1335" s="4" t="s">
        <v>2879</v>
      </c>
      <c r="DCW1335" s="4" t="s">
        <v>2879</v>
      </c>
      <c r="DCX1335" s="4" t="s">
        <v>2879</v>
      </c>
      <c r="DCY1335" s="4" t="s">
        <v>2879</v>
      </c>
      <c r="DCZ1335" s="4" t="s">
        <v>2879</v>
      </c>
      <c r="DDA1335" s="4" t="s">
        <v>2879</v>
      </c>
      <c r="DDB1335" s="4" t="s">
        <v>2879</v>
      </c>
      <c r="DDC1335" s="4" t="s">
        <v>2879</v>
      </c>
      <c r="DDD1335" s="4" t="s">
        <v>2879</v>
      </c>
      <c r="DDE1335" s="4" t="s">
        <v>2879</v>
      </c>
      <c r="DDF1335" s="4" t="s">
        <v>2879</v>
      </c>
      <c r="DDG1335" s="4" t="s">
        <v>2879</v>
      </c>
      <c r="DDH1335" s="4" t="s">
        <v>2879</v>
      </c>
      <c r="DDI1335" s="4" t="s">
        <v>2879</v>
      </c>
      <c r="DDJ1335" s="4" t="s">
        <v>2879</v>
      </c>
      <c r="DDK1335" s="4" t="s">
        <v>2879</v>
      </c>
      <c r="DDL1335" s="4" t="s">
        <v>2879</v>
      </c>
      <c r="DDM1335" s="4" t="s">
        <v>2879</v>
      </c>
      <c r="DDN1335" s="4" t="s">
        <v>2879</v>
      </c>
      <c r="DDO1335" s="4" t="s">
        <v>2879</v>
      </c>
      <c r="DDP1335" s="4" t="s">
        <v>2879</v>
      </c>
      <c r="DDQ1335" s="4" t="s">
        <v>2879</v>
      </c>
      <c r="DDR1335" s="4" t="s">
        <v>2879</v>
      </c>
      <c r="DDS1335" s="4" t="s">
        <v>2879</v>
      </c>
      <c r="DDT1335" s="4" t="s">
        <v>2879</v>
      </c>
      <c r="DDU1335" s="4" t="s">
        <v>2879</v>
      </c>
      <c r="DDV1335" s="4" t="s">
        <v>2879</v>
      </c>
      <c r="DDW1335" s="4" t="s">
        <v>2879</v>
      </c>
      <c r="DDX1335" s="4" t="s">
        <v>2879</v>
      </c>
      <c r="DDY1335" s="4" t="s">
        <v>2879</v>
      </c>
      <c r="DDZ1335" s="4" t="s">
        <v>2879</v>
      </c>
      <c r="DEA1335" s="4" t="s">
        <v>2879</v>
      </c>
      <c r="DEB1335" s="4" t="s">
        <v>2879</v>
      </c>
      <c r="DEC1335" s="4" t="s">
        <v>2879</v>
      </c>
      <c r="DED1335" s="4" t="s">
        <v>2879</v>
      </c>
      <c r="DEE1335" s="4" t="s">
        <v>2879</v>
      </c>
      <c r="DEF1335" s="4" t="s">
        <v>2879</v>
      </c>
      <c r="DEG1335" s="4" t="s">
        <v>2879</v>
      </c>
      <c r="DEH1335" s="4" t="s">
        <v>2879</v>
      </c>
      <c r="DEI1335" s="4" t="s">
        <v>2879</v>
      </c>
      <c r="DEJ1335" s="4" t="s">
        <v>2879</v>
      </c>
      <c r="DEK1335" s="4" t="s">
        <v>2879</v>
      </c>
      <c r="DEL1335" s="4" t="s">
        <v>2879</v>
      </c>
      <c r="DEM1335" s="4" t="s">
        <v>2879</v>
      </c>
      <c r="DEN1335" s="4" t="s">
        <v>2879</v>
      </c>
      <c r="DEO1335" s="4" t="s">
        <v>2879</v>
      </c>
      <c r="DEP1335" s="4" t="s">
        <v>2879</v>
      </c>
      <c r="DEQ1335" s="4" t="s">
        <v>2879</v>
      </c>
      <c r="DER1335" s="4" t="s">
        <v>2879</v>
      </c>
      <c r="DES1335" s="4" t="s">
        <v>2879</v>
      </c>
      <c r="DET1335" s="4" t="s">
        <v>2879</v>
      </c>
      <c r="DEU1335" s="4" t="s">
        <v>2879</v>
      </c>
      <c r="DEV1335" s="4" t="s">
        <v>2879</v>
      </c>
      <c r="DEW1335" s="4" t="s">
        <v>2879</v>
      </c>
      <c r="DEX1335" s="4" t="s">
        <v>2879</v>
      </c>
      <c r="DEY1335" s="4" t="s">
        <v>2879</v>
      </c>
      <c r="DEZ1335" s="4" t="s">
        <v>2879</v>
      </c>
      <c r="DFA1335" s="4" t="s">
        <v>2879</v>
      </c>
      <c r="DFB1335" s="4" t="s">
        <v>2879</v>
      </c>
      <c r="DFC1335" s="4" t="s">
        <v>2879</v>
      </c>
      <c r="DFD1335" s="4" t="s">
        <v>2879</v>
      </c>
      <c r="DFE1335" s="4" t="s">
        <v>2879</v>
      </c>
      <c r="DFF1335" s="4" t="s">
        <v>2879</v>
      </c>
      <c r="DFG1335" s="4" t="s">
        <v>2879</v>
      </c>
      <c r="DFH1335" s="4" t="s">
        <v>2879</v>
      </c>
      <c r="DFI1335" s="4" t="s">
        <v>2879</v>
      </c>
      <c r="DFJ1335" s="4" t="s">
        <v>2879</v>
      </c>
      <c r="DFK1335" s="4" t="s">
        <v>2879</v>
      </c>
      <c r="DFL1335" s="4" t="s">
        <v>2879</v>
      </c>
      <c r="DFM1335" s="4" t="s">
        <v>2879</v>
      </c>
      <c r="DFN1335" s="4" t="s">
        <v>2879</v>
      </c>
      <c r="DFO1335" s="4" t="s">
        <v>2879</v>
      </c>
      <c r="DFP1335" s="4" t="s">
        <v>2879</v>
      </c>
      <c r="DFQ1335" s="4" t="s">
        <v>2879</v>
      </c>
      <c r="DFR1335" s="4" t="s">
        <v>2879</v>
      </c>
      <c r="DFS1335" s="4" t="s">
        <v>2879</v>
      </c>
      <c r="DFT1335" s="4" t="s">
        <v>2879</v>
      </c>
      <c r="DFU1335" s="4" t="s">
        <v>2879</v>
      </c>
      <c r="DFV1335" s="4" t="s">
        <v>2879</v>
      </c>
      <c r="DFW1335" s="4" t="s">
        <v>2879</v>
      </c>
      <c r="DFX1335" s="4" t="s">
        <v>2879</v>
      </c>
      <c r="DFY1335" s="4" t="s">
        <v>2879</v>
      </c>
      <c r="DFZ1335" s="4" t="s">
        <v>2879</v>
      </c>
      <c r="DGA1335" s="4" t="s">
        <v>2879</v>
      </c>
      <c r="DGB1335" s="4" t="s">
        <v>2879</v>
      </c>
      <c r="DGC1335" s="4" t="s">
        <v>2879</v>
      </c>
      <c r="DGD1335" s="4" t="s">
        <v>2879</v>
      </c>
      <c r="DGE1335" s="4" t="s">
        <v>2879</v>
      </c>
      <c r="DGF1335" s="4" t="s">
        <v>2879</v>
      </c>
      <c r="DGG1335" s="4" t="s">
        <v>2879</v>
      </c>
      <c r="DGH1335" s="4" t="s">
        <v>2879</v>
      </c>
      <c r="DGI1335" s="4" t="s">
        <v>2879</v>
      </c>
      <c r="DGJ1335" s="4" t="s">
        <v>2879</v>
      </c>
      <c r="DGK1335" s="4" t="s">
        <v>2879</v>
      </c>
      <c r="DGL1335" s="4" t="s">
        <v>2879</v>
      </c>
      <c r="DGM1335" s="4" t="s">
        <v>2879</v>
      </c>
      <c r="DGN1335" s="4" t="s">
        <v>2879</v>
      </c>
      <c r="DGO1335" s="4" t="s">
        <v>2879</v>
      </c>
      <c r="DGP1335" s="4" t="s">
        <v>2879</v>
      </c>
      <c r="DGQ1335" s="4" t="s">
        <v>2879</v>
      </c>
      <c r="DGR1335" s="4" t="s">
        <v>2879</v>
      </c>
      <c r="DGS1335" s="4" t="s">
        <v>2879</v>
      </c>
      <c r="DGT1335" s="4" t="s">
        <v>2879</v>
      </c>
      <c r="DGU1335" s="4" t="s">
        <v>2879</v>
      </c>
      <c r="DGV1335" s="4" t="s">
        <v>2879</v>
      </c>
      <c r="DGW1335" s="4" t="s">
        <v>2879</v>
      </c>
      <c r="DGX1335" s="4" t="s">
        <v>2879</v>
      </c>
      <c r="DGY1335" s="4" t="s">
        <v>2879</v>
      </c>
      <c r="DGZ1335" s="4" t="s">
        <v>2879</v>
      </c>
      <c r="DHA1335" s="4" t="s">
        <v>2879</v>
      </c>
      <c r="DHB1335" s="4" t="s">
        <v>2879</v>
      </c>
      <c r="DHC1335" s="4" t="s">
        <v>2879</v>
      </c>
      <c r="DHD1335" s="4" t="s">
        <v>2879</v>
      </c>
      <c r="DHE1335" s="4" t="s">
        <v>2879</v>
      </c>
      <c r="DHF1335" s="4" t="s">
        <v>2879</v>
      </c>
      <c r="DHG1335" s="4" t="s">
        <v>2879</v>
      </c>
      <c r="DHH1335" s="4" t="s">
        <v>2879</v>
      </c>
      <c r="DHI1335" s="4" t="s">
        <v>2879</v>
      </c>
      <c r="DHJ1335" s="4" t="s">
        <v>2879</v>
      </c>
      <c r="DHK1335" s="4" t="s">
        <v>2879</v>
      </c>
      <c r="DHL1335" s="4" t="s">
        <v>2879</v>
      </c>
      <c r="DHM1335" s="4" t="s">
        <v>2879</v>
      </c>
      <c r="DHN1335" s="4" t="s">
        <v>2879</v>
      </c>
      <c r="DHO1335" s="4" t="s">
        <v>2879</v>
      </c>
      <c r="DHP1335" s="4" t="s">
        <v>2879</v>
      </c>
      <c r="DHQ1335" s="4" t="s">
        <v>2879</v>
      </c>
      <c r="DHR1335" s="4" t="s">
        <v>2879</v>
      </c>
      <c r="DHS1335" s="4" t="s">
        <v>2879</v>
      </c>
      <c r="DHT1335" s="4" t="s">
        <v>2879</v>
      </c>
      <c r="DHU1335" s="4" t="s">
        <v>2879</v>
      </c>
      <c r="DHV1335" s="4" t="s">
        <v>2879</v>
      </c>
      <c r="DHW1335" s="4" t="s">
        <v>2879</v>
      </c>
      <c r="DHX1335" s="4" t="s">
        <v>2879</v>
      </c>
      <c r="DHY1335" s="4" t="s">
        <v>2879</v>
      </c>
      <c r="DHZ1335" s="4" t="s">
        <v>2879</v>
      </c>
      <c r="DIA1335" s="4" t="s">
        <v>2879</v>
      </c>
      <c r="DIB1335" s="4" t="s">
        <v>2879</v>
      </c>
      <c r="DIC1335" s="4" t="s">
        <v>2879</v>
      </c>
      <c r="DID1335" s="4" t="s">
        <v>2879</v>
      </c>
      <c r="DIE1335" s="4" t="s">
        <v>2879</v>
      </c>
      <c r="DIF1335" s="4" t="s">
        <v>2879</v>
      </c>
      <c r="DIG1335" s="4" t="s">
        <v>2879</v>
      </c>
      <c r="DIH1335" s="4" t="s">
        <v>2879</v>
      </c>
      <c r="DII1335" s="4" t="s">
        <v>2879</v>
      </c>
      <c r="DIJ1335" s="4" t="s">
        <v>2879</v>
      </c>
      <c r="DIK1335" s="4" t="s">
        <v>2879</v>
      </c>
      <c r="DIL1335" s="4" t="s">
        <v>2879</v>
      </c>
      <c r="DIM1335" s="4" t="s">
        <v>2879</v>
      </c>
      <c r="DIN1335" s="4" t="s">
        <v>2879</v>
      </c>
      <c r="DIO1335" s="4" t="s">
        <v>2879</v>
      </c>
      <c r="DIP1335" s="4" t="s">
        <v>2879</v>
      </c>
      <c r="DIQ1335" s="4" t="s">
        <v>2879</v>
      </c>
      <c r="DIR1335" s="4" t="s">
        <v>2879</v>
      </c>
      <c r="DIS1335" s="4" t="s">
        <v>2879</v>
      </c>
      <c r="DIT1335" s="4" t="s">
        <v>2879</v>
      </c>
      <c r="DIU1335" s="4" t="s">
        <v>2879</v>
      </c>
      <c r="DIV1335" s="4" t="s">
        <v>2879</v>
      </c>
      <c r="DIW1335" s="4" t="s">
        <v>2879</v>
      </c>
      <c r="DIX1335" s="4" t="s">
        <v>2879</v>
      </c>
      <c r="DIY1335" s="4" t="s">
        <v>2879</v>
      </c>
      <c r="DIZ1335" s="4" t="s">
        <v>2879</v>
      </c>
      <c r="DJA1335" s="4" t="s">
        <v>2879</v>
      </c>
      <c r="DJB1335" s="4" t="s">
        <v>2879</v>
      </c>
      <c r="DJC1335" s="4" t="s">
        <v>2879</v>
      </c>
      <c r="DJD1335" s="4" t="s">
        <v>2879</v>
      </c>
      <c r="DJE1335" s="4" t="s">
        <v>2879</v>
      </c>
      <c r="DJF1335" s="4" t="s">
        <v>2879</v>
      </c>
      <c r="DJG1335" s="4" t="s">
        <v>2879</v>
      </c>
      <c r="DJH1335" s="4" t="s">
        <v>2879</v>
      </c>
      <c r="DJI1335" s="4" t="s">
        <v>2879</v>
      </c>
      <c r="DJJ1335" s="4" t="s">
        <v>2879</v>
      </c>
      <c r="DJK1335" s="4" t="s">
        <v>2879</v>
      </c>
      <c r="DJL1335" s="4" t="s">
        <v>2879</v>
      </c>
      <c r="DJM1335" s="4" t="s">
        <v>2879</v>
      </c>
      <c r="DJN1335" s="4" t="s">
        <v>2879</v>
      </c>
      <c r="DJO1335" s="4" t="s">
        <v>2879</v>
      </c>
      <c r="DJP1335" s="4" t="s">
        <v>2879</v>
      </c>
      <c r="DJQ1335" s="4" t="s">
        <v>2879</v>
      </c>
      <c r="DJR1335" s="4" t="s">
        <v>2879</v>
      </c>
      <c r="DJS1335" s="4" t="s">
        <v>2879</v>
      </c>
      <c r="DJT1335" s="4" t="s">
        <v>2879</v>
      </c>
      <c r="DJU1335" s="4" t="s">
        <v>2879</v>
      </c>
      <c r="DJV1335" s="4" t="s">
        <v>2879</v>
      </c>
      <c r="DJW1335" s="4" t="s">
        <v>2879</v>
      </c>
      <c r="DJX1335" s="4" t="s">
        <v>2879</v>
      </c>
      <c r="DJY1335" s="4" t="s">
        <v>2879</v>
      </c>
      <c r="DJZ1335" s="4" t="s">
        <v>2879</v>
      </c>
      <c r="DKA1335" s="4" t="s">
        <v>2879</v>
      </c>
      <c r="DKB1335" s="4" t="s">
        <v>2879</v>
      </c>
      <c r="DKC1335" s="4" t="s">
        <v>2879</v>
      </c>
      <c r="DKD1335" s="4" t="s">
        <v>2879</v>
      </c>
      <c r="DKE1335" s="4" t="s">
        <v>2879</v>
      </c>
      <c r="DKF1335" s="4" t="s">
        <v>2879</v>
      </c>
      <c r="DKG1335" s="4" t="s">
        <v>2879</v>
      </c>
      <c r="DKH1335" s="4" t="s">
        <v>2879</v>
      </c>
      <c r="DKI1335" s="4" t="s">
        <v>2879</v>
      </c>
      <c r="DKJ1335" s="4" t="s">
        <v>2879</v>
      </c>
      <c r="DKK1335" s="4" t="s">
        <v>2879</v>
      </c>
      <c r="DKL1335" s="4" t="s">
        <v>2879</v>
      </c>
      <c r="DKM1335" s="4" t="s">
        <v>2879</v>
      </c>
      <c r="DKN1335" s="4" t="s">
        <v>2879</v>
      </c>
      <c r="DKO1335" s="4" t="s">
        <v>2879</v>
      </c>
      <c r="DKP1335" s="4" t="s">
        <v>2879</v>
      </c>
      <c r="DKQ1335" s="4" t="s">
        <v>2879</v>
      </c>
      <c r="DKR1335" s="4" t="s">
        <v>2879</v>
      </c>
      <c r="DKS1335" s="4" t="s">
        <v>2879</v>
      </c>
      <c r="DKT1335" s="4" t="s">
        <v>2879</v>
      </c>
      <c r="DKU1335" s="4" t="s">
        <v>2879</v>
      </c>
      <c r="DKV1335" s="4" t="s">
        <v>2879</v>
      </c>
      <c r="DKW1335" s="4" t="s">
        <v>2879</v>
      </c>
      <c r="DKX1335" s="4" t="s">
        <v>2879</v>
      </c>
      <c r="DKY1335" s="4" t="s">
        <v>2879</v>
      </c>
      <c r="DKZ1335" s="4" t="s">
        <v>2879</v>
      </c>
      <c r="DLA1335" s="4" t="s">
        <v>2879</v>
      </c>
      <c r="DLB1335" s="4" t="s">
        <v>2879</v>
      </c>
      <c r="DLC1335" s="4" t="s">
        <v>2879</v>
      </c>
      <c r="DLD1335" s="4" t="s">
        <v>2879</v>
      </c>
      <c r="DLE1335" s="4" t="s">
        <v>2879</v>
      </c>
      <c r="DLF1335" s="4" t="s">
        <v>2879</v>
      </c>
      <c r="DLG1335" s="4" t="s">
        <v>2879</v>
      </c>
      <c r="DLH1335" s="4" t="s">
        <v>2879</v>
      </c>
      <c r="DLI1335" s="4" t="s">
        <v>2879</v>
      </c>
      <c r="DLJ1335" s="4" t="s">
        <v>2879</v>
      </c>
      <c r="DLK1335" s="4" t="s">
        <v>2879</v>
      </c>
      <c r="DLL1335" s="4" t="s">
        <v>2879</v>
      </c>
      <c r="DLM1335" s="4" t="s">
        <v>2879</v>
      </c>
      <c r="DLN1335" s="4" t="s">
        <v>2879</v>
      </c>
      <c r="DLO1335" s="4" t="s">
        <v>2879</v>
      </c>
      <c r="DLP1335" s="4" t="s">
        <v>2879</v>
      </c>
      <c r="DLQ1335" s="4" t="s">
        <v>2879</v>
      </c>
      <c r="DLR1335" s="4" t="s">
        <v>2879</v>
      </c>
      <c r="DLS1335" s="4" t="s">
        <v>2879</v>
      </c>
      <c r="DLT1335" s="4" t="s">
        <v>2879</v>
      </c>
      <c r="DLU1335" s="4" t="s">
        <v>2879</v>
      </c>
      <c r="DLV1335" s="4" t="s">
        <v>2879</v>
      </c>
      <c r="DLW1335" s="4" t="s">
        <v>2879</v>
      </c>
      <c r="DLX1335" s="4" t="s">
        <v>2879</v>
      </c>
      <c r="DLY1335" s="4" t="s">
        <v>2879</v>
      </c>
      <c r="DLZ1335" s="4" t="s">
        <v>2879</v>
      </c>
      <c r="DMA1335" s="4" t="s">
        <v>2879</v>
      </c>
      <c r="DMB1335" s="4" t="s">
        <v>2879</v>
      </c>
      <c r="DMC1335" s="4" t="s">
        <v>2879</v>
      </c>
      <c r="DMD1335" s="4" t="s">
        <v>2879</v>
      </c>
      <c r="DME1335" s="4" t="s">
        <v>2879</v>
      </c>
      <c r="DMF1335" s="4" t="s">
        <v>2879</v>
      </c>
      <c r="DMG1335" s="4" t="s">
        <v>2879</v>
      </c>
      <c r="DMH1335" s="4" t="s">
        <v>2879</v>
      </c>
      <c r="DMI1335" s="4" t="s">
        <v>2879</v>
      </c>
      <c r="DMJ1335" s="4" t="s">
        <v>2879</v>
      </c>
      <c r="DMK1335" s="4" t="s">
        <v>2879</v>
      </c>
      <c r="DML1335" s="4" t="s">
        <v>2879</v>
      </c>
      <c r="DMM1335" s="4" t="s">
        <v>2879</v>
      </c>
      <c r="DMN1335" s="4" t="s">
        <v>2879</v>
      </c>
      <c r="DMO1335" s="4" t="s">
        <v>2879</v>
      </c>
      <c r="DMP1335" s="4" t="s">
        <v>2879</v>
      </c>
      <c r="DMQ1335" s="4" t="s">
        <v>2879</v>
      </c>
      <c r="DMR1335" s="4" t="s">
        <v>2879</v>
      </c>
      <c r="DMS1335" s="4" t="s">
        <v>2879</v>
      </c>
      <c r="DMT1335" s="4" t="s">
        <v>2879</v>
      </c>
      <c r="DMU1335" s="4" t="s">
        <v>2879</v>
      </c>
      <c r="DMV1335" s="4" t="s">
        <v>2879</v>
      </c>
      <c r="DMW1335" s="4" t="s">
        <v>2879</v>
      </c>
      <c r="DMX1335" s="4" t="s">
        <v>2879</v>
      </c>
      <c r="DMY1335" s="4" t="s">
        <v>2879</v>
      </c>
      <c r="DMZ1335" s="4" t="s">
        <v>2879</v>
      </c>
      <c r="DNA1335" s="4" t="s">
        <v>2879</v>
      </c>
      <c r="DNB1335" s="4" t="s">
        <v>2879</v>
      </c>
      <c r="DNC1335" s="4" t="s">
        <v>2879</v>
      </c>
      <c r="DND1335" s="4" t="s">
        <v>2879</v>
      </c>
      <c r="DNE1335" s="4" t="s">
        <v>2879</v>
      </c>
      <c r="DNF1335" s="4" t="s">
        <v>2879</v>
      </c>
      <c r="DNG1335" s="4" t="s">
        <v>2879</v>
      </c>
      <c r="DNH1335" s="4" t="s">
        <v>2879</v>
      </c>
      <c r="DNI1335" s="4" t="s">
        <v>2879</v>
      </c>
      <c r="DNJ1335" s="4" t="s">
        <v>2879</v>
      </c>
      <c r="DNK1335" s="4" t="s">
        <v>2879</v>
      </c>
      <c r="DNL1335" s="4" t="s">
        <v>2879</v>
      </c>
      <c r="DNM1335" s="4" t="s">
        <v>2879</v>
      </c>
      <c r="DNN1335" s="4" t="s">
        <v>2879</v>
      </c>
      <c r="DNO1335" s="4" t="s">
        <v>2879</v>
      </c>
      <c r="DNP1335" s="4" t="s">
        <v>2879</v>
      </c>
      <c r="DNQ1335" s="4" t="s">
        <v>2879</v>
      </c>
      <c r="DNR1335" s="4" t="s">
        <v>2879</v>
      </c>
      <c r="DNS1335" s="4" t="s">
        <v>2879</v>
      </c>
      <c r="DNT1335" s="4" t="s">
        <v>2879</v>
      </c>
      <c r="DNU1335" s="4" t="s">
        <v>2879</v>
      </c>
      <c r="DNV1335" s="4" t="s">
        <v>2879</v>
      </c>
      <c r="DNW1335" s="4" t="s">
        <v>2879</v>
      </c>
      <c r="DNX1335" s="4" t="s">
        <v>2879</v>
      </c>
      <c r="DNY1335" s="4" t="s">
        <v>2879</v>
      </c>
      <c r="DNZ1335" s="4" t="s">
        <v>2879</v>
      </c>
      <c r="DOA1335" s="4" t="s">
        <v>2879</v>
      </c>
      <c r="DOB1335" s="4" t="s">
        <v>2879</v>
      </c>
      <c r="DOC1335" s="4" t="s">
        <v>2879</v>
      </c>
      <c r="DOD1335" s="4" t="s">
        <v>2879</v>
      </c>
      <c r="DOE1335" s="4" t="s">
        <v>2879</v>
      </c>
      <c r="DOF1335" s="4" t="s">
        <v>2879</v>
      </c>
      <c r="DOG1335" s="4" t="s">
        <v>2879</v>
      </c>
      <c r="DOH1335" s="4" t="s">
        <v>2879</v>
      </c>
      <c r="DOI1335" s="4" t="s">
        <v>2879</v>
      </c>
      <c r="DOJ1335" s="4" t="s">
        <v>2879</v>
      </c>
      <c r="DOK1335" s="4" t="s">
        <v>2879</v>
      </c>
      <c r="DOL1335" s="4" t="s">
        <v>2879</v>
      </c>
      <c r="DOM1335" s="4" t="s">
        <v>2879</v>
      </c>
      <c r="DON1335" s="4" t="s">
        <v>2879</v>
      </c>
      <c r="DOO1335" s="4" t="s">
        <v>2879</v>
      </c>
      <c r="DOP1335" s="4" t="s">
        <v>2879</v>
      </c>
      <c r="DOQ1335" s="4" t="s">
        <v>2879</v>
      </c>
      <c r="DOR1335" s="4" t="s">
        <v>2879</v>
      </c>
      <c r="DOS1335" s="4" t="s">
        <v>2879</v>
      </c>
      <c r="DOT1335" s="4" t="s">
        <v>2879</v>
      </c>
      <c r="DOU1335" s="4" t="s">
        <v>2879</v>
      </c>
      <c r="DOV1335" s="4" t="s">
        <v>2879</v>
      </c>
      <c r="DOW1335" s="4" t="s">
        <v>2879</v>
      </c>
      <c r="DOX1335" s="4" t="s">
        <v>2879</v>
      </c>
      <c r="DOY1335" s="4" t="s">
        <v>2879</v>
      </c>
      <c r="DOZ1335" s="4" t="s">
        <v>2879</v>
      </c>
      <c r="DPA1335" s="4" t="s">
        <v>2879</v>
      </c>
      <c r="DPB1335" s="4" t="s">
        <v>2879</v>
      </c>
      <c r="DPC1335" s="4" t="s">
        <v>2879</v>
      </c>
      <c r="DPD1335" s="4" t="s">
        <v>2879</v>
      </c>
      <c r="DPE1335" s="4" t="s">
        <v>2879</v>
      </c>
      <c r="DPF1335" s="4" t="s">
        <v>2879</v>
      </c>
      <c r="DPG1335" s="4" t="s">
        <v>2879</v>
      </c>
      <c r="DPH1335" s="4" t="s">
        <v>2879</v>
      </c>
      <c r="DPI1335" s="4" t="s">
        <v>2879</v>
      </c>
      <c r="DPJ1335" s="4" t="s">
        <v>2879</v>
      </c>
      <c r="DPK1335" s="4" t="s">
        <v>2879</v>
      </c>
      <c r="DPL1335" s="4" t="s">
        <v>2879</v>
      </c>
      <c r="DPM1335" s="4" t="s">
        <v>2879</v>
      </c>
      <c r="DPN1335" s="4" t="s">
        <v>2879</v>
      </c>
      <c r="DPO1335" s="4" t="s">
        <v>2879</v>
      </c>
      <c r="DPP1335" s="4" t="s">
        <v>2879</v>
      </c>
      <c r="DPQ1335" s="4" t="s">
        <v>2879</v>
      </c>
      <c r="DPR1335" s="4" t="s">
        <v>2879</v>
      </c>
      <c r="DPS1335" s="4" t="s">
        <v>2879</v>
      </c>
      <c r="DPT1335" s="4" t="s">
        <v>2879</v>
      </c>
      <c r="DPU1335" s="4" t="s">
        <v>2879</v>
      </c>
      <c r="DPV1335" s="4" t="s">
        <v>2879</v>
      </c>
      <c r="DPW1335" s="4" t="s">
        <v>2879</v>
      </c>
      <c r="DPX1335" s="4" t="s">
        <v>2879</v>
      </c>
      <c r="DPY1335" s="4" t="s">
        <v>2879</v>
      </c>
      <c r="DPZ1335" s="4" t="s">
        <v>2879</v>
      </c>
      <c r="DQA1335" s="4" t="s">
        <v>2879</v>
      </c>
      <c r="DQB1335" s="4" t="s">
        <v>2879</v>
      </c>
      <c r="DQC1335" s="4" t="s">
        <v>2879</v>
      </c>
      <c r="DQD1335" s="4" t="s">
        <v>2879</v>
      </c>
      <c r="DQE1335" s="4" t="s">
        <v>2879</v>
      </c>
      <c r="DQF1335" s="4" t="s">
        <v>2879</v>
      </c>
      <c r="DQG1335" s="4" t="s">
        <v>2879</v>
      </c>
      <c r="DQH1335" s="4" t="s">
        <v>2879</v>
      </c>
      <c r="DQI1335" s="4" t="s">
        <v>2879</v>
      </c>
      <c r="DQJ1335" s="4" t="s">
        <v>2879</v>
      </c>
      <c r="DQK1335" s="4" t="s">
        <v>2879</v>
      </c>
      <c r="DQL1335" s="4" t="s">
        <v>2879</v>
      </c>
      <c r="DQM1335" s="4" t="s">
        <v>2879</v>
      </c>
      <c r="DQN1335" s="4" t="s">
        <v>2879</v>
      </c>
      <c r="DQO1335" s="4" t="s">
        <v>2879</v>
      </c>
      <c r="DQP1335" s="4" t="s">
        <v>2879</v>
      </c>
      <c r="DQQ1335" s="4" t="s">
        <v>2879</v>
      </c>
      <c r="DQR1335" s="4" t="s">
        <v>2879</v>
      </c>
      <c r="DQS1335" s="4" t="s">
        <v>2879</v>
      </c>
      <c r="DQT1335" s="4" t="s">
        <v>2879</v>
      </c>
      <c r="DQU1335" s="4" t="s">
        <v>2879</v>
      </c>
      <c r="DQV1335" s="4" t="s">
        <v>2879</v>
      </c>
      <c r="DQW1335" s="4" t="s">
        <v>2879</v>
      </c>
      <c r="DQX1335" s="4" t="s">
        <v>2879</v>
      </c>
      <c r="DQY1335" s="4" t="s">
        <v>2879</v>
      </c>
      <c r="DQZ1335" s="4" t="s">
        <v>2879</v>
      </c>
      <c r="DRA1335" s="4" t="s">
        <v>2879</v>
      </c>
      <c r="DRB1335" s="4" t="s">
        <v>2879</v>
      </c>
      <c r="DRC1335" s="4" t="s">
        <v>2879</v>
      </c>
      <c r="DRD1335" s="4" t="s">
        <v>2879</v>
      </c>
      <c r="DRE1335" s="4" t="s">
        <v>2879</v>
      </c>
      <c r="DRF1335" s="4" t="s">
        <v>2879</v>
      </c>
      <c r="DRG1335" s="4" t="s">
        <v>2879</v>
      </c>
      <c r="DRH1335" s="4" t="s">
        <v>2879</v>
      </c>
      <c r="DRI1335" s="4" t="s">
        <v>2879</v>
      </c>
      <c r="DRJ1335" s="4" t="s">
        <v>2879</v>
      </c>
      <c r="DRK1335" s="4" t="s">
        <v>2879</v>
      </c>
      <c r="DRL1335" s="4" t="s">
        <v>2879</v>
      </c>
      <c r="DRM1335" s="4" t="s">
        <v>2879</v>
      </c>
      <c r="DRN1335" s="4" t="s">
        <v>2879</v>
      </c>
      <c r="DRO1335" s="4" t="s">
        <v>2879</v>
      </c>
      <c r="DRP1335" s="4" t="s">
        <v>2879</v>
      </c>
      <c r="DRQ1335" s="4" t="s">
        <v>2879</v>
      </c>
      <c r="DRR1335" s="4" t="s">
        <v>2879</v>
      </c>
      <c r="DRS1335" s="4" t="s">
        <v>2879</v>
      </c>
      <c r="DRT1335" s="4" t="s">
        <v>2879</v>
      </c>
      <c r="DRU1335" s="4" t="s">
        <v>2879</v>
      </c>
      <c r="DRV1335" s="4" t="s">
        <v>2879</v>
      </c>
      <c r="DRW1335" s="4" t="s">
        <v>2879</v>
      </c>
      <c r="DRX1335" s="4" t="s">
        <v>2879</v>
      </c>
      <c r="DRY1335" s="4" t="s">
        <v>2879</v>
      </c>
      <c r="DRZ1335" s="4" t="s">
        <v>2879</v>
      </c>
      <c r="DSA1335" s="4" t="s">
        <v>2879</v>
      </c>
      <c r="DSB1335" s="4" t="s">
        <v>2879</v>
      </c>
      <c r="DSC1335" s="4" t="s">
        <v>2879</v>
      </c>
      <c r="DSD1335" s="4" t="s">
        <v>2879</v>
      </c>
      <c r="DSE1335" s="4" t="s">
        <v>2879</v>
      </c>
      <c r="DSF1335" s="4" t="s">
        <v>2879</v>
      </c>
      <c r="DSG1335" s="4" t="s">
        <v>2879</v>
      </c>
      <c r="DSH1335" s="4" t="s">
        <v>2879</v>
      </c>
      <c r="DSI1335" s="4" t="s">
        <v>2879</v>
      </c>
      <c r="DSJ1335" s="4" t="s">
        <v>2879</v>
      </c>
      <c r="DSK1335" s="4" t="s">
        <v>2879</v>
      </c>
      <c r="DSL1335" s="4" t="s">
        <v>2879</v>
      </c>
      <c r="DSM1335" s="4" t="s">
        <v>2879</v>
      </c>
      <c r="DSN1335" s="4" t="s">
        <v>2879</v>
      </c>
      <c r="DSO1335" s="4" t="s">
        <v>2879</v>
      </c>
      <c r="DSP1335" s="4" t="s">
        <v>2879</v>
      </c>
      <c r="DSQ1335" s="4" t="s">
        <v>2879</v>
      </c>
      <c r="DSR1335" s="4" t="s">
        <v>2879</v>
      </c>
      <c r="DSS1335" s="4" t="s">
        <v>2879</v>
      </c>
      <c r="DST1335" s="4" t="s">
        <v>2879</v>
      </c>
      <c r="DSU1335" s="4" t="s">
        <v>2879</v>
      </c>
      <c r="DSV1335" s="4" t="s">
        <v>2879</v>
      </c>
      <c r="DSW1335" s="4" t="s">
        <v>2879</v>
      </c>
      <c r="DSX1335" s="4" t="s">
        <v>2879</v>
      </c>
      <c r="DSY1335" s="4" t="s">
        <v>2879</v>
      </c>
      <c r="DSZ1335" s="4" t="s">
        <v>2879</v>
      </c>
      <c r="DTA1335" s="4" t="s">
        <v>2879</v>
      </c>
      <c r="DTB1335" s="4" t="s">
        <v>2879</v>
      </c>
      <c r="DTC1335" s="4" t="s">
        <v>2879</v>
      </c>
      <c r="DTD1335" s="4" t="s">
        <v>2879</v>
      </c>
      <c r="DTE1335" s="4" t="s">
        <v>2879</v>
      </c>
      <c r="DTF1335" s="4" t="s">
        <v>2879</v>
      </c>
      <c r="DTG1335" s="4" t="s">
        <v>2879</v>
      </c>
      <c r="DTH1335" s="4" t="s">
        <v>2879</v>
      </c>
      <c r="DTI1335" s="4" t="s">
        <v>2879</v>
      </c>
      <c r="DTJ1335" s="4" t="s">
        <v>2879</v>
      </c>
      <c r="DTK1335" s="4" t="s">
        <v>2879</v>
      </c>
      <c r="DTL1335" s="4" t="s">
        <v>2879</v>
      </c>
      <c r="DTM1335" s="4" t="s">
        <v>2879</v>
      </c>
      <c r="DTN1335" s="4" t="s">
        <v>2879</v>
      </c>
      <c r="DTO1335" s="4" t="s">
        <v>2879</v>
      </c>
      <c r="DTP1335" s="4" t="s">
        <v>2879</v>
      </c>
      <c r="DTQ1335" s="4" t="s">
        <v>2879</v>
      </c>
      <c r="DTR1335" s="4" t="s">
        <v>2879</v>
      </c>
      <c r="DTS1335" s="4" t="s">
        <v>2879</v>
      </c>
      <c r="DTT1335" s="4" t="s">
        <v>2879</v>
      </c>
      <c r="DTU1335" s="4" t="s">
        <v>2879</v>
      </c>
      <c r="DTV1335" s="4" t="s">
        <v>2879</v>
      </c>
      <c r="DTW1335" s="4" t="s">
        <v>2879</v>
      </c>
      <c r="DTX1335" s="4" t="s">
        <v>2879</v>
      </c>
      <c r="DTY1335" s="4" t="s">
        <v>2879</v>
      </c>
      <c r="DTZ1335" s="4" t="s">
        <v>2879</v>
      </c>
      <c r="DUA1335" s="4" t="s">
        <v>2879</v>
      </c>
      <c r="DUB1335" s="4" t="s">
        <v>2879</v>
      </c>
      <c r="DUC1335" s="4" t="s">
        <v>2879</v>
      </c>
      <c r="DUD1335" s="4" t="s">
        <v>2879</v>
      </c>
      <c r="DUE1335" s="4" t="s">
        <v>2879</v>
      </c>
      <c r="DUF1335" s="4" t="s">
        <v>2879</v>
      </c>
      <c r="DUG1335" s="4" t="s">
        <v>2879</v>
      </c>
      <c r="DUH1335" s="4" t="s">
        <v>2879</v>
      </c>
      <c r="DUI1335" s="4" t="s">
        <v>2879</v>
      </c>
      <c r="DUJ1335" s="4" t="s">
        <v>2879</v>
      </c>
      <c r="DUK1335" s="4" t="s">
        <v>2879</v>
      </c>
      <c r="DUL1335" s="4" t="s">
        <v>2879</v>
      </c>
      <c r="DUM1335" s="4" t="s">
        <v>2879</v>
      </c>
      <c r="DUN1335" s="4" t="s">
        <v>2879</v>
      </c>
      <c r="DUO1335" s="4" t="s">
        <v>2879</v>
      </c>
      <c r="DUP1335" s="4" t="s">
        <v>2879</v>
      </c>
      <c r="DUQ1335" s="4" t="s">
        <v>2879</v>
      </c>
      <c r="DUR1335" s="4" t="s">
        <v>2879</v>
      </c>
      <c r="DUS1335" s="4" t="s">
        <v>2879</v>
      </c>
      <c r="DUT1335" s="4" t="s">
        <v>2879</v>
      </c>
      <c r="DUU1335" s="4" t="s">
        <v>2879</v>
      </c>
      <c r="DUV1335" s="4" t="s">
        <v>2879</v>
      </c>
      <c r="DUW1335" s="4" t="s">
        <v>2879</v>
      </c>
      <c r="DUX1335" s="4" t="s">
        <v>2879</v>
      </c>
      <c r="DUY1335" s="4" t="s">
        <v>2879</v>
      </c>
      <c r="DUZ1335" s="4" t="s">
        <v>2879</v>
      </c>
      <c r="DVA1335" s="4" t="s">
        <v>2879</v>
      </c>
      <c r="DVB1335" s="4" t="s">
        <v>2879</v>
      </c>
      <c r="DVC1335" s="4" t="s">
        <v>2879</v>
      </c>
      <c r="DVD1335" s="4" t="s">
        <v>2879</v>
      </c>
      <c r="DVE1335" s="4" t="s">
        <v>2879</v>
      </c>
      <c r="DVF1335" s="4" t="s">
        <v>2879</v>
      </c>
      <c r="DVG1335" s="4" t="s">
        <v>2879</v>
      </c>
      <c r="DVH1335" s="4" t="s">
        <v>2879</v>
      </c>
      <c r="DVI1335" s="4" t="s">
        <v>2879</v>
      </c>
      <c r="DVJ1335" s="4" t="s">
        <v>2879</v>
      </c>
      <c r="DVK1335" s="4" t="s">
        <v>2879</v>
      </c>
      <c r="DVL1335" s="4" t="s">
        <v>2879</v>
      </c>
      <c r="DVM1335" s="4" t="s">
        <v>2879</v>
      </c>
      <c r="DVN1335" s="4" t="s">
        <v>2879</v>
      </c>
      <c r="DVO1335" s="4" t="s">
        <v>2879</v>
      </c>
      <c r="DVP1335" s="4" t="s">
        <v>2879</v>
      </c>
      <c r="DVQ1335" s="4" t="s">
        <v>2879</v>
      </c>
      <c r="DVR1335" s="4" t="s">
        <v>2879</v>
      </c>
      <c r="DVS1335" s="4" t="s">
        <v>2879</v>
      </c>
      <c r="DVT1335" s="4" t="s">
        <v>2879</v>
      </c>
      <c r="DVU1335" s="4" t="s">
        <v>2879</v>
      </c>
      <c r="DVV1335" s="4" t="s">
        <v>2879</v>
      </c>
      <c r="DVW1335" s="4" t="s">
        <v>2879</v>
      </c>
      <c r="DVX1335" s="4" t="s">
        <v>2879</v>
      </c>
      <c r="DVY1335" s="4" t="s">
        <v>2879</v>
      </c>
      <c r="DVZ1335" s="4" t="s">
        <v>2879</v>
      </c>
      <c r="DWA1335" s="4" t="s">
        <v>2879</v>
      </c>
      <c r="DWB1335" s="4" t="s">
        <v>2879</v>
      </c>
      <c r="DWC1335" s="4" t="s">
        <v>2879</v>
      </c>
      <c r="DWD1335" s="4" t="s">
        <v>2879</v>
      </c>
      <c r="DWE1335" s="4" t="s">
        <v>2879</v>
      </c>
      <c r="DWF1335" s="4" t="s">
        <v>2879</v>
      </c>
      <c r="DWG1335" s="4" t="s">
        <v>2879</v>
      </c>
      <c r="DWH1335" s="4" t="s">
        <v>2879</v>
      </c>
      <c r="DWI1335" s="4" t="s">
        <v>2879</v>
      </c>
      <c r="DWJ1335" s="4" t="s">
        <v>2879</v>
      </c>
      <c r="DWK1335" s="4" t="s">
        <v>2879</v>
      </c>
      <c r="DWL1335" s="4" t="s">
        <v>2879</v>
      </c>
      <c r="DWM1335" s="4" t="s">
        <v>2879</v>
      </c>
      <c r="DWN1335" s="4" t="s">
        <v>2879</v>
      </c>
      <c r="DWO1335" s="4" t="s">
        <v>2879</v>
      </c>
      <c r="DWP1335" s="4" t="s">
        <v>2879</v>
      </c>
      <c r="DWQ1335" s="4" t="s">
        <v>2879</v>
      </c>
      <c r="DWR1335" s="4" t="s">
        <v>2879</v>
      </c>
      <c r="DWS1335" s="4" t="s">
        <v>2879</v>
      </c>
      <c r="DWT1335" s="4" t="s">
        <v>2879</v>
      </c>
      <c r="DWU1335" s="4" t="s">
        <v>2879</v>
      </c>
      <c r="DWV1335" s="4" t="s">
        <v>2879</v>
      </c>
      <c r="DWW1335" s="4" t="s">
        <v>2879</v>
      </c>
      <c r="DWX1335" s="4" t="s">
        <v>2879</v>
      </c>
      <c r="DWY1335" s="4" t="s">
        <v>2879</v>
      </c>
      <c r="DWZ1335" s="4" t="s">
        <v>2879</v>
      </c>
      <c r="DXA1335" s="4" t="s">
        <v>2879</v>
      </c>
      <c r="DXB1335" s="4" t="s">
        <v>2879</v>
      </c>
      <c r="DXC1335" s="4" t="s">
        <v>2879</v>
      </c>
      <c r="DXD1335" s="4" t="s">
        <v>2879</v>
      </c>
      <c r="DXE1335" s="4" t="s">
        <v>2879</v>
      </c>
      <c r="DXF1335" s="4" t="s">
        <v>2879</v>
      </c>
      <c r="DXG1335" s="4" t="s">
        <v>2879</v>
      </c>
      <c r="DXH1335" s="4" t="s">
        <v>2879</v>
      </c>
      <c r="DXI1335" s="4" t="s">
        <v>2879</v>
      </c>
      <c r="DXJ1335" s="4" t="s">
        <v>2879</v>
      </c>
      <c r="DXK1335" s="4" t="s">
        <v>2879</v>
      </c>
      <c r="DXL1335" s="4" t="s">
        <v>2879</v>
      </c>
      <c r="DXM1335" s="4" t="s">
        <v>2879</v>
      </c>
      <c r="DXN1335" s="4" t="s">
        <v>2879</v>
      </c>
      <c r="DXO1335" s="4" t="s">
        <v>2879</v>
      </c>
      <c r="DXP1335" s="4" t="s">
        <v>2879</v>
      </c>
      <c r="DXQ1335" s="4" t="s">
        <v>2879</v>
      </c>
      <c r="DXR1335" s="4" t="s">
        <v>2879</v>
      </c>
      <c r="DXS1335" s="4" t="s">
        <v>2879</v>
      </c>
      <c r="DXT1335" s="4" t="s">
        <v>2879</v>
      </c>
      <c r="DXU1335" s="4" t="s">
        <v>2879</v>
      </c>
      <c r="DXV1335" s="4" t="s">
        <v>2879</v>
      </c>
      <c r="DXW1335" s="4" t="s">
        <v>2879</v>
      </c>
      <c r="DXX1335" s="4" t="s">
        <v>2879</v>
      </c>
      <c r="DXY1335" s="4" t="s">
        <v>2879</v>
      </c>
      <c r="DXZ1335" s="4" t="s">
        <v>2879</v>
      </c>
      <c r="DYA1335" s="4" t="s">
        <v>2879</v>
      </c>
      <c r="DYB1335" s="4" t="s">
        <v>2879</v>
      </c>
      <c r="DYC1335" s="4" t="s">
        <v>2879</v>
      </c>
      <c r="DYD1335" s="4" t="s">
        <v>2879</v>
      </c>
      <c r="DYE1335" s="4" t="s">
        <v>2879</v>
      </c>
      <c r="DYF1335" s="4" t="s">
        <v>2879</v>
      </c>
      <c r="DYG1335" s="4" t="s">
        <v>2879</v>
      </c>
      <c r="DYH1335" s="4" t="s">
        <v>2879</v>
      </c>
      <c r="DYI1335" s="4" t="s">
        <v>2879</v>
      </c>
      <c r="DYJ1335" s="4" t="s">
        <v>2879</v>
      </c>
      <c r="DYK1335" s="4" t="s">
        <v>2879</v>
      </c>
      <c r="DYL1335" s="4" t="s">
        <v>2879</v>
      </c>
      <c r="DYM1335" s="4" t="s">
        <v>2879</v>
      </c>
      <c r="DYN1335" s="4" t="s">
        <v>2879</v>
      </c>
      <c r="DYO1335" s="4" t="s">
        <v>2879</v>
      </c>
      <c r="DYP1335" s="4" t="s">
        <v>2879</v>
      </c>
      <c r="DYQ1335" s="4" t="s">
        <v>2879</v>
      </c>
      <c r="DYR1335" s="4" t="s">
        <v>2879</v>
      </c>
      <c r="DYS1335" s="4" t="s">
        <v>2879</v>
      </c>
      <c r="DYT1335" s="4" t="s">
        <v>2879</v>
      </c>
      <c r="DYU1335" s="4" t="s">
        <v>2879</v>
      </c>
      <c r="DYV1335" s="4" t="s">
        <v>2879</v>
      </c>
      <c r="DYW1335" s="4" t="s">
        <v>2879</v>
      </c>
      <c r="DYX1335" s="4" t="s">
        <v>2879</v>
      </c>
      <c r="DYY1335" s="4" t="s">
        <v>2879</v>
      </c>
      <c r="DYZ1335" s="4" t="s">
        <v>2879</v>
      </c>
      <c r="DZA1335" s="4" t="s">
        <v>2879</v>
      </c>
      <c r="DZB1335" s="4" t="s">
        <v>2879</v>
      </c>
      <c r="DZC1335" s="4" t="s">
        <v>2879</v>
      </c>
      <c r="DZD1335" s="4" t="s">
        <v>2879</v>
      </c>
      <c r="DZE1335" s="4" t="s">
        <v>2879</v>
      </c>
      <c r="DZF1335" s="4" t="s">
        <v>2879</v>
      </c>
      <c r="DZG1335" s="4" t="s">
        <v>2879</v>
      </c>
      <c r="DZH1335" s="4" t="s">
        <v>2879</v>
      </c>
      <c r="DZI1335" s="4" t="s">
        <v>2879</v>
      </c>
      <c r="DZJ1335" s="4" t="s">
        <v>2879</v>
      </c>
      <c r="DZK1335" s="4" t="s">
        <v>2879</v>
      </c>
      <c r="DZL1335" s="4" t="s">
        <v>2879</v>
      </c>
      <c r="DZM1335" s="4" t="s">
        <v>2879</v>
      </c>
      <c r="DZN1335" s="4" t="s">
        <v>2879</v>
      </c>
      <c r="DZO1335" s="4" t="s">
        <v>2879</v>
      </c>
      <c r="DZP1335" s="4" t="s">
        <v>2879</v>
      </c>
      <c r="DZQ1335" s="4" t="s">
        <v>2879</v>
      </c>
      <c r="DZR1335" s="4" t="s">
        <v>2879</v>
      </c>
      <c r="DZS1335" s="4" t="s">
        <v>2879</v>
      </c>
      <c r="DZT1335" s="4" t="s">
        <v>2879</v>
      </c>
      <c r="DZU1335" s="4" t="s">
        <v>2879</v>
      </c>
      <c r="DZV1335" s="4" t="s">
        <v>2879</v>
      </c>
      <c r="DZW1335" s="4" t="s">
        <v>2879</v>
      </c>
      <c r="DZX1335" s="4" t="s">
        <v>2879</v>
      </c>
      <c r="DZY1335" s="4" t="s">
        <v>2879</v>
      </c>
      <c r="DZZ1335" s="4" t="s">
        <v>2879</v>
      </c>
      <c r="EAA1335" s="4" t="s">
        <v>2879</v>
      </c>
      <c r="EAB1335" s="4" t="s">
        <v>2879</v>
      </c>
      <c r="EAC1335" s="4" t="s">
        <v>2879</v>
      </c>
      <c r="EAD1335" s="4" t="s">
        <v>2879</v>
      </c>
      <c r="EAE1335" s="4" t="s">
        <v>2879</v>
      </c>
      <c r="EAF1335" s="4" t="s">
        <v>2879</v>
      </c>
      <c r="EAG1335" s="4" t="s">
        <v>2879</v>
      </c>
      <c r="EAH1335" s="4" t="s">
        <v>2879</v>
      </c>
      <c r="EAI1335" s="4" t="s">
        <v>2879</v>
      </c>
      <c r="EAJ1335" s="4" t="s">
        <v>2879</v>
      </c>
      <c r="EAK1335" s="4" t="s">
        <v>2879</v>
      </c>
      <c r="EAL1335" s="4" t="s">
        <v>2879</v>
      </c>
      <c r="EAM1335" s="4" t="s">
        <v>2879</v>
      </c>
      <c r="EAN1335" s="4" t="s">
        <v>2879</v>
      </c>
      <c r="EAO1335" s="4" t="s">
        <v>2879</v>
      </c>
      <c r="EAP1335" s="4" t="s">
        <v>2879</v>
      </c>
      <c r="EAQ1335" s="4" t="s">
        <v>2879</v>
      </c>
      <c r="EAR1335" s="4" t="s">
        <v>2879</v>
      </c>
      <c r="EAS1335" s="4" t="s">
        <v>2879</v>
      </c>
      <c r="EAT1335" s="4" t="s">
        <v>2879</v>
      </c>
      <c r="EAU1335" s="4" t="s">
        <v>2879</v>
      </c>
      <c r="EAV1335" s="4" t="s">
        <v>2879</v>
      </c>
      <c r="EAW1335" s="4" t="s">
        <v>2879</v>
      </c>
      <c r="EAX1335" s="4" t="s">
        <v>2879</v>
      </c>
      <c r="EAY1335" s="4" t="s">
        <v>2879</v>
      </c>
      <c r="EAZ1335" s="4" t="s">
        <v>2879</v>
      </c>
      <c r="EBA1335" s="4" t="s">
        <v>2879</v>
      </c>
      <c r="EBB1335" s="4" t="s">
        <v>2879</v>
      </c>
      <c r="EBC1335" s="4" t="s">
        <v>2879</v>
      </c>
      <c r="EBD1335" s="4" t="s">
        <v>2879</v>
      </c>
      <c r="EBE1335" s="4" t="s">
        <v>2879</v>
      </c>
      <c r="EBF1335" s="4" t="s">
        <v>2879</v>
      </c>
      <c r="EBG1335" s="4" t="s">
        <v>2879</v>
      </c>
      <c r="EBH1335" s="4" t="s">
        <v>2879</v>
      </c>
      <c r="EBI1335" s="4" t="s">
        <v>2879</v>
      </c>
      <c r="EBJ1335" s="4" t="s">
        <v>2879</v>
      </c>
      <c r="EBK1335" s="4" t="s">
        <v>2879</v>
      </c>
      <c r="EBL1335" s="4" t="s">
        <v>2879</v>
      </c>
      <c r="EBM1335" s="4" t="s">
        <v>2879</v>
      </c>
      <c r="EBN1335" s="4" t="s">
        <v>2879</v>
      </c>
      <c r="EBO1335" s="4" t="s">
        <v>2879</v>
      </c>
      <c r="EBP1335" s="4" t="s">
        <v>2879</v>
      </c>
      <c r="EBQ1335" s="4" t="s">
        <v>2879</v>
      </c>
      <c r="EBR1335" s="4" t="s">
        <v>2879</v>
      </c>
      <c r="EBS1335" s="4" t="s">
        <v>2879</v>
      </c>
      <c r="EBT1335" s="4" t="s">
        <v>2879</v>
      </c>
      <c r="EBU1335" s="4" t="s">
        <v>2879</v>
      </c>
      <c r="EBV1335" s="4" t="s">
        <v>2879</v>
      </c>
      <c r="EBW1335" s="4" t="s">
        <v>2879</v>
      </c>
      <c r="EBX1335" s="4" t="s">
        <v>2879</v>
      </c>
      <c r="EBY1335" s="4" t="s">
        <v>2879</v>
      </c>
      <c r="EBZ1335" s="4" t="s">
        <v>2879</v>
      </c>
      <c r="ECA1335" s="4" t="s">
        <v>2879</v>
      </c>
      <c r="ECB1335" s="4" t="s">
        <v>2879</v>
      </c>
      <c r="ECC1335" s="4" t="s">
        <v>2879</v>
      </c>
      <c r="ECD1335" s="4" t="s">
        <v>2879</v>
      </c>
      <c r="ECE1335" s="4" t="s">
        <v>2879</v>
      </c>
      <c r="ECF1335" s="4" t="s">
        <v>2879</v>
      </c>
      <c r="ECG1335" s="4" t="s">
        <v>2879</v>
      </c>
      <c r="ECH1335" s="4" t="s">
        <v>2879</v>
      </c>
      <c r="ECI1335" s="4" t="s">
        <v>2879</v>
      </c>
      <c r="ECJ1335" s="4" t="s">
        <v>2879</v>
      </c>
      <c r="ECK1335" s="4" t="s">
        <v>2879</v>
      </c>
      <c r="ECL1335" s="4" t="s">
        <v>2879</v>
      </c>
      <c r="ECM1335" s="4" t="s">
        <v>2879</v>
      </c>
      <c r="ECN1335" s="4" t="s">
        <v>2879</v>
      </c>
      <c r="ECO1335" s="4" t="s">
        <v>2879</v>
      </c>
      <c r="ECP1335" s="4" t="s">
        <v>2879</v>
      </c>
      <c r="ECQ1335" s="4" t="s">
        <v>2879</v>
      </c>
      <c r="ECR1335" s="4" t="s">
        <v>2879</v>
      </c>
      <c r="ECS1335" s="4" t="s">
        <v>2879</v>
      </c>
      <c r="ECT1335" s="4" t="s">
        <v>2879</v>
      </c>
      <c r="ECU1335" s="4" t="s">
        <v>2879</v>
      </c>
      <c r="ECV1335" s="4" t="s">
        <v>2879</v>
      </c>
      <c r="ECW1335" s="4" t="s">
        <v>2879</v>
      </c>
      <c r="ECX1335" s="4" t="s">
        <v>2879</v>
      </c>
      <c r="ECY1335" s="4" t="s">
        <v>2879</v>
      </c>
      <c r="ECZ1335" s="4" t="s">
        <v>2879</v>
      </c>
      <c r="EDA1335" s="4" t="s">
        <v>2879</v>
      </c>
      <c r="EDB1335" s="4" t="s">
        <v>2879</v>
      </c>
      <c r="EDC1335" s="4" t="s">
        <v>2879</v>
      </c>
      <c r="EDD1335" s="4" t="s">
        <v>2879</v>
      </c>
      <c r="EDE1335" s="4" t="s">
        <v>2879</v>
      </c>
      <c r="EDF1335" s="4" t="s">
        <v>2879</v>
      </c>
      <c r="EDG1335" s="4" t="s">
        <v>2879</v>
      </c>
      <c r="EDH1335" s="4" t="s">
        <v>2879</v>
      </c>
      <c r="EDI1335" s="4" t="s">
        <v>2879</v>
      </c>
      <c r="EDJ1335" s="4" t="s">
        <v>2879</v>
      </c>
      <c r="EDK1335" s="4" t="s">
        <v>2879</v>
      </c>
      <c r="EDL1335" s="4" t="s">
        <v>2879</v>
      </c>
      <c r="EDM1335" s="4" t="s">
        <v>2879</v>
      </c>
      <c r="EDN1335" s="4" t="s">
        <v>2879</v>
      </c>
      <c r="EDO1335" s="4" t="s">
        <v>2879</v>
      </c>
      <c r="EDP1335" s="4" t="s">
        <v>2879</v>
      </c>
      <c r="EDQ1335" s="4" t="s">
        <v>2879</v>
      </c>
      <c r="EDR1335" s="4" t="s">
        <v>2879</v>
      </c>
      <c r="EDS1335" s="4" t="s">
        <v>2879</v>
      </c>
      <c r="EDT1335" s="4" t="s">
        <v>2879</v>
      </c>
      <c r="EDU1335" s="4" t="s">
        <v>2879</v>
      </c>
      <c r="EDV1335" s="4" t="s">
        <v>2879</v>
      </c>
      <c r="EDW1335" s="4" t="s">
        <v>2879</v>
      </c>
      <c r="EDX1335" s="4" t="s">
        <v>2879</v>
      </c>
      <c r="EDY1335" s="4" t="s">
        <v>2879</v>
      </c>
      <c r="EDZ1335" s="4" t="s">
        <v>2879</v>
      </c>
      <c r="EEA1335" s="4" t="s">
        <v>2879</v>
      </c>
      <c r="EEB1335" s="4" t="s">
        <v>2879</v>
      </c>
      <c r="EEC1335" s="4" t="s">
        <v>2879</v>
      </c>
      <c r="EED1335" s="4" t="s">
        <v>2879</v>
      </c>
      <c r="EEE1335" s="4" t="s">
        <v>2879</v>
      </c>
      <c r="EEF1335" s="4" t="s">
        <v>2879</v>
      </c>
      <c r="EEG1335" s="4" t="s">
        <v>2879</v>
      </c>
      <c r="EEH1335" s="4" t="s">
        <v>2879</v>
      </c>
      <c r="EEI1335" s="4" t="s">
        <v>2879</v>
      </c>
      <c r="EEJ1335" s="4" t="s">
        <v>2879</v>
      </c>
      <c r="EEK1335" s="4" t="s">
        <v>2879</v>
      </c>
      <c r="EEL1335" s="4" t="s">
        <v>2879</v>
      </c>
      <c r="EEM1335" s="4" t="s">
        <v>2879</v>
      </c>
      <c r="EEN1335" s="4" t="s">
        <v>2879</v>
      </c>
      <c r="EEO1335" s="4" t="s">
        <v>2879</v>
      </c>
      <c r="EEP1335" s="4" t="s">
        <v>2879</v>
      </c>
      <c r="EEQ1335" s="4" t="s">
        <v>2879</v>
      </c>
      <c r="EER1335" s="4" t="s">
        <v>2879</v>
      </c>
      <c r="EES1335" s="4" t="s">
        <v>2879</v>
      </c>
      <c r="EET1335" s="4" t="s">
        <v>2879</v>
      </c>
      <c r="EEU1335" s="4" t="s">
        <v>2879</v>
      </c>
      <c r="EEV1335" s="4" t="s">
        <v>2879</v>
      </c>
      <c r="EEW1335" s="4" t="s">
        <v>2879</v>
      </c>
      <c r="EEX1335" s="4" t="s">
        <v>2879</v>
      </c>
      <c r="EEY1335" s="4" t="s">
        <v>2879</v>
      </c>
      <c r="EEZ1335" s="4" t="s">
        <v>2879</v>
      </c>
      <c r="EFA1335" s="4" t="s">
        <v>2879</v>
      </c>
      <c r="EFB1335" s="4" t="s">
        <v>2879</v>
      </c>
      <c r="EFC1335" s="4" t="s">
        <v>2879</v>
      </c>
      <c r="EFD1335" s="4" t="s">
        <v>2879</v>
      </c>
      <c r="EFE1335" s="4" t="s">
        <v>2879</v>
      </c>
      <c r="EFF1335" s="4" t="s">
        <v>2879</v>
      </c>
      <c r="EFG1335" s="4" t="s">
        <v>2879</v>
      </c>
      <c r="EFH1335" s="4" t="s">
        <v>2879</v>
      </c>
      <c r="EFI1335" s="4" t="s">
        <v>2879</v>
      </c>
      <c r="EFJ1335" s="4" t="s">
        <v>2879</v>
      </c>
      <c r="EFK1335" s="4" t="s">
        <v>2879</v>
      </c>
      <c r="EFL1335" s="4" t="s">
        <v>2879</v>
      </c>
      <c r="EFM1335" s="4" t="s">
        <v>2879</v>
      </c>
      <c r="EFN1335" s="4" t="s">
        <v>2879</v>
      </c>
      <c r="EFO1335" s="4" t="s">
        <v>2879</v>
      </c>
      <c r="EFP1335" s="4" t="s">
        <v>2879</v>
      </c>
      <c r="EFQ1335" s="4" t="s">
        <v>2879</v>
      </c>
      <c r="EFR1335" s="4" t="s">
        <v>2879</v>
      </c>
      <c r="EFS1335" s="4" t="s">
        <v>2879</v>
      </c>
      <c r="EFT1335" s="4" t="s">
        <v>2879</v>
      </c>
      <c r="EFU1335" s="4" t="s">
        <v>2879</v>
      </c>
      <c r="EFV1335" s="4" t="s">
        <v>2879</v>
      </c>
      <c r="EFW1335" s="4" t="s">
        <v>2879</v>
      </c>
      <c r="EFX1335" s="4" t="s">
        <v>2879</v>
      </c>
      <c r="EFY1335" s="4" t="s">
        <v>2879</v>
      </c>
      <c r="EFZ1335" s="4" t="s">
        <v>2879</v>
      </c>
      <c r="EGA1335" s="4" t="s">
        <v>2879</v>
      </c>
      <c r="EGB1335" s="4" t="s">
        <v>2879</v>
      </c>
      <c r="EGC1335" s="4" t="s">
        <v>2879</v>
      </c>
      <c r="EGD1335" s="4" t="s">
        <v>2879</v>
      </c>
      <c r="EGE1335" s="4" t="s">
        <v>2879</v>
      </c>
      <c r="EGF1335" s="4" t="s">
        <v>2879</v>
      </c>
      <c r="EGG1335" s="4" t="s">
        <v>2879</v>
      </c>
      <c r="EGH1335" s="4" t="s">
        <v>2879</v>
      </c>
      <c r="EGI1335" s="4" t="s">
        <v>2879</v>
      </c>
      <c r="EGJ1335" s="4" t="s">
        <v>2879</v>
      </c>
      <c r="EGK1335" s="4" t="s">
        <v>2879</v>
      </c>
      <c r="EGL1335" s="4" t="s">
        <v>2879</v>
      </c>
      <c r="EGM1335" s="4" t="s">
        <v>2879</v>
      </c>
      <c r="EGN1335" s="4" t="s">
        <v>2879</v>
      </c>
      <c r="EGO1335" s="4" t="s">
        <v>2879</v>
      </c>
      <c r="EGP1335" s="4" t="s">
        <v>2879</v>
      </c>
      <c r="EGQ1335" s="4" t="s">
        <v>2879</v>
      </c>
      <c r="EGR1335" s="4" t="s">
        <v>2879</v>
      </c>
      <c r="EGS1335" s="4" t="s">
        <v>2879</v>
      </c>
      <c r="EGT1335" s="4" t="s">
        <v>2879</v>
      </c>
      <c r="EGU1335" s="4" t="s">
        <v>2879</v>
      </c>
      <c r="EGV1335" s="4" t="s">
        <v>2879</v>
      </c>
      <c r="EGW1335" s="4" t="s">
        <v>2879</v>
      </c>
      <c r="EGX1335" s="4" t="s">
        <v>2879</v>
      </c>
      <c r="EGY1335" s="4" t="s">
        <v>2879</v>
      </c>
      <c r="EGZ1335" s="4" t="s">
        <v>2879</v>
      </c>
      <c r="EHA1335" s="4" t="s">
        <v>2879</v>
      </c>
      <c r="EHB1335" s="4" t="s">
        <v>2879</v>
      </c>
      <c r="EHC1335" s="4" t="s">
        <v>2879</v>
      </c>
      <c r="EHD1335" s="4" t="s">
        <v>2879</v>
      </c>
      <c r="EHE1335" s="4" t="s">
        <v>2879</v>
      </c>
      <c r="EHF1335" s="4" t="s">
        <v>2879</v>
      </c>
      <c r="EHG1335" s="4" t="s">
        <v>2879</v>
      </c>
      <c r="EHH1335" s="4" t="s">
        <v>2879</v>
      </c>
      <c r="EHI1335" s="4" t="s">
        <v>2879</v>
      </c>
      <c r="EHJ1335" s="4" t="s">
        <v>2879</v>
      </c>
      <c r="EHK1335" s="4" t="s">
        <v>2879</v>
      </c>
      <c r="EHL1335" s="4" t="s">
        <v>2879</v>
      </c>
      <c r="EHM1335" s="4" t="s">
        <v>2879</v>
      </c>
      <c r="EHN1335" s="4" t="s">
        <v>2879</v>
      </c>
      <c r="EHO1335" s="4" t="s">
        <v>2879</v>
      </c>
      <c r="EHP1335" s="4" t="s">
        <v>2879</v>
      </c>
      <c r="EHQ1335" s="4" t="s">
        <v>2879</v>
      </c>
      <c r="EHR1335" s="4" t="s">
        <v>2879</v>
      </c>
      <c r="EHS1335" s="4" t="s">
        <v>2879</v>
      </c>
      <c r="EHT1335" s="4" t="s">
        <v>2879</v>
      </c>
      <c r="EHU1335" s="4" t="s">
        <v>2879</v>
      </c>
      <c r="EHV1335" s="4" t="s">
        <v>2879</v>
      </c>
      <c r="EHW1335" s="4" t="s">
        <v>2879</v>
      </c>
      <c r="EHX1335" s="4" t="s">
        <v>2879</v>
      </c>
      <c r="EHY1335" s="4" t="s">
        <v>2879</v>
      </c>
      <c r="EHZ1335" s="4" t="s">
        <v>2879</v>
      </c>
      <c r="EIA1335" s="4" t="s">
        <v>2879</v>
      </c>
      <c r="EIB1335" s="4" t="s">
        <v>2879</v>
      </c>
      <c r="EIC1335" s="4" t="s">
        <v>2879</v>
      </c>
      <c r="EID1335" s="4" t="s">
        <v>2879</v>
      </c>
      <c r="EIE1335" s="4" t="s">
        <v>2879</v>
      </c>
      <c r="EIF1335" s="4" t="s">
        <v>2879</v>
      </c>
      <c r="EIG1335" s="4" t="s">
        <v>2879</v>
      </c>
      <c r="EIH1335" s="4" t="s">
        <v>2879</v>
      </c>
      <c r="EII1335" s="4" t="s">
        <v>2879</v>
      </c>
      <c r="EIJ1335" s="4" t="s">
        <v>2879</v>
      </c>
      <c r="EIK1335" s="4" t="s">
        <v>2879</v>
      </c>
      <c r="EIL1335" s="4" t="s">
        <v>2879</v>
      </c>
      <c r="EIM1335" s="4" t="s">
        <v>2879</v>
      </c>
      <c r="EIN1335" s="4" t="s">
        <v>2879</v>
      </c>
      <c r="EIO1335" s="4" t="s">
        <v>2879</v>
      </c>
      <c r="EIP1335" s="4" t="s">
        <v>2879</v>
      </c>
      <c r="EIQ1335" s="4" t="s">
        <v>2879</v>
      </c>
      <c r="EIR1335" s="4" t="s">
        <v>2879</v>
      </c>
      <c r="EIS1335" s="4" t="s">
        <v>2879</v>
      </c>
      <c r="EIT1335" s="4" t="s">
        <v>2879</v>
      </c>
      <c r="EIU1335" s="4" t="s">
        <v>2879</v>
      </c>
      <c r="EIV1335" s="4" t="s">
        <v>2879</v>
      </c>
      <c r="EIW1335" s="4" t="s">
        <v>2879</v>
      </c>
      <c r="EIX1335" s="4" t="s">
        <v>2879</v>
      </c>
      <c r="EIY1335" s="4" t="s">
        <v>2879</v>
      </c>
      <c r="EIZ1335" s="4" t="s">
        <v>2879</v>
      </c>
      <c r="EJA1335" s="4" t="s">
        <v>2879</v>
      </c>
      <c r="EJB1335" s="4" t="s">
        <v>2879</v>
      </c>
      <c r="EJC1335" s="4" t="s">
        <v>2879</v>
      </c>
      <c r="EJD1335" s="4" t="s">
        <v>2879</v>
      </c>
      <c r="EJE1335" s="4" t="s">
        <v>2879</v>
      </c>
      <c r="EJF1335" s="4" t="s">
        <v>2879</v>
      </c>
      <c r="EJG1335" s="4" t="s">
        <v>2879</v>
      </c>
      <c r="EJH1335" s="4" t="s">
        <v>2879</v>
      </c>
      <c r="EJI1335" s="4" t="s">
        <v>2879</v>
      </c>
      <c r="EJJ1335" s="4" t="s">
        <v>2879</v>
      </c>
      <c r="EJK1335" s="4" t="s">
        <v>2879</v>
      </c>
      <c r="EJL1335" s="4" t="s">
        <v>2879</v>
      </c>
      <c r="EJM1335" s="4" t="s">
        <v>2879</v>
      </c>
      <c r="EJN1335" s="4" t="s">
        <v>2879</v>
      </c>
      <c r="EJO1335" s="4" t="s">
        <v>2879</v>
      </c>
      <c r="EJP1335" s="4" t="s">
        <v>2879</v>
      </c>
      <c r="EJQ1335" s="4" t="s">
        <v>2879</v>
      </c>
      <c r="EJR1335" s="4" t="s">
        <v>2879</v>
      </c>
      <c r="EJS1335" s="4" t="s">
        <v>2879</v>
      </c>
      <c r="EJT1335" s="4" t="s">
        <v>2879</v>
      </c>
      <c r="EJU1335" s="4" t="s">
        <v>2879</v>
      </c>
      <c r="EJV1335" s="4" t="s">
        <v>2879</v>
      </c>
      <c r="EJW1335" s="4" t="s">
        <v>2879</v>
      </c>
      <c r="EJX1335" s="4" t="s">
        <v>2879</v>
      </c>
      <c r="EJY1335" s="4" t="s">
        <v>2879</v>
      </c>
      <c r="EJZ1335" s="4" t="s">
        <v>2879</v>
      </c>
      <c r="EKA1335" s="4" t="s">
        <v>2879</v>
      </c>
      <c r="EKB1335" s="4" t="s">
        <v>2879</v>
      </c>
      <c r="EKC1335" s="4" t="s">
        <v>2879</v>
      </c>
      <c r="EKD1335" s="4" t="s">
        <v>2879</v>
      </c>
      <c r="EKE1335" s="4" t="s">
        <v>2879</v>
      </c>
      <c r="EKF1335" s="4" t="s">
        <v>2879</v>
      </c>
      <c r="EKG1335" s="4" t="s">
        <v>2879</v>
      </c>
      <c r="EKH1335" s="4" t="s">
        <v>2879</v>
      </c>
      <c r="EKI1335" s="4" t="s">
        <v>2879</v>
      </c>
      <c r="EKJ1335" s="4" t="s">
        <v>2879</v>
      </c>
      <c r="EKK1335" s="4" t="s">
        <v>2879</v>
      </c>
      <c r="EKL1335" s="4" t="s">
        <v>2879</v>
      </c>
      <c r="EKM1335" s="4" t="s">
        <v>2879</v>
      </c>
      <c r="EKN1335" s="4" t="s">
        <v>2879</v>
      </c>
      <c r="EKO1335" s="4" t="s">
        <v>2879</v>
      </c>
      <c r="EKP1335" s="4" t="s">
        <v>2879</v>
      </c>
      <c r="EKQ1335" s="4" t="s">
        <v>2879</v>
      </c>
      <c r="EKR1335" s="4" t="s">
        <v>2879</v>
      </c>
      <c r="EKS1335" s="4" t="s">
        <v>2879</v>
      </c>
      <c r="EKT1335" s="4" t="s">
        <v>2879</v>
      </c>
      <c r="EKU1335" s="4" t="s">
        <v>2879</v>
      </c>
      <c r="EKV1335" s="4" t="s">
        <v>2879</v>
      </c>
      <c r="EKW1335" s="4" t="s">
        <v>2879</v>
      </c>
      <c r="EKX1335" s="4" t="s">
        <v>2879</v>
      </c>
      <c r="EKY1335" s="4" t="s">
        <v>2879</v>
      </c>
      <c r="EKZ1335" s="4" t="s">
        <v>2879</v>
      </c>
      <c r="ELA1335" s="4" t="s">
        <v>2879</v>
      </c>
      <c r="ELB1335" s="4" t="s">
        <v>2879</v>
      </c>
      <c r="ELC1335" s="4" t="s">
        <v>2879</v>
      </c>
      <c r="ELD1335" s="4" t="s">
        <v>2879</v>
      </c>
      <c r="ELE1335" s="4" t="s">
        <v>2879</v>
      </c>
      <c r="ELF1335" s="4" t="s">
        <v>2879</v>
      </c>
      <c r="ELG1335" s="4" t="s">
        <v>2879</v>
      </c>
      <c r="ELH1335" s="4" t="s">
        <v>2879</v>
      </c>
      <c r="ELI1335" s="4" t="s">
        <v>2879</v>
      </c>
      <c r="ELJ1335" s="4" t="s">
        <v>2879</v>
      </c>
      <c r="ELK1335" s="4" t="s">
        <v>2879</v>
      </c>
      <c r="ELL1335" s="4" t="s">
        <v>2879</v>
      </c>
      <c r="ELM1335" s="4" t="s">
        <v>2879</v>
      </c>
      <c r="ELN1335" s="4" t="s">
        <v>2879</v>
      </c>
      <c r="ELO1335" s="4" t="s">
        <v>2879</v>
      </c>
      <c r="ELP1335" s="4" t="s">
        <v>2879</v>
      </c>
      <c r="ELQ1335" s="4" t="s">
        <v>2879</v>
      </c>
      <c r="ELR1335" s="4" t="s">
        <v>2879</v>
      </c>
      <c r="ELS1335" s="4" t="s">
        <v>2879</v>
      </c>
      <c r="ELT1335" s="4" t="s">
        <v>2879</v>
      </c>
      <c r="ELU1335" s="4" t="s">
        <v>2879</v>
      </c>
      <c r="ELV1335" s="4" t="s">
        <v>2879</v>
      </c>
      <c r="ELW1335" s="4" t="s">
        <v>2879</v>
      </c>
      <c r="ELX1335" s="4" t="s">
        <v>2879</v>
      </c>
      <c r="ELY1335" s="4" t="s">
        <v>2879</v>
      </c>
      <c r="ELZ1335" s="4" t="s">
        <v>2879</v>
      </c>
      <c r="EMA1335" s="4" t="s">
        <v>2879</v>
      </c>
      <c r="EMB1335" s="4" t="s">
        <v>2879</v>
      </c>
      <c r="EMC1335" s="4" t="s">
        <v>2879</v>
      </c>
      <c r="EMD1335" s="4" t="s">
        <v>2879</v>
      </c>
      <c r="EME1335" s="4" t="s">
        <v>2879</v>
      </c>
      <c r="EMF1335" s="4" t="s">
        <v>2879</v>
      </c>
      <c r="EMG1335" s="4" t="s">
        <v>2879</v>
      </c>
      <c r="EMH1335" s="4" t="s">
        <v>2879</v>
      </c>
      <c r="EMI1335" s="4" t="s">
        <v>2879</v>
      </c>
      <c r="EMJ1335" s="4" t="s">
        <v>2879</v>
      </c>
      <c r="EMK1335" s="4" t="s">
        <v>2879</v>
      </c>
      <c r="EML1335" s="4" t="s">
        <v>2879</v>
      </c>
      <c r="EMM1335" s="4" t="s">
        <v>2879</v>
      </c>
      <c r="EMN1335" s="4" t="s">
        <v>2879</v>
      </c>
      <c r="EMO1335" s="4" t="s">
        <v>2879</v>
      </c>
      <c r="EMP1335" s="4" t="s">
        <v>2879</v>
      </c>
      <c r="EMQ1335" s="4" t="s">
        <v>2879</v>
      </c>
      <c r="EMR1335" s="4" t="s">
        <v>2879</v>
      </c>
      <c r="EMS1335" s="4" t="s">
        <v>2879</v>
      </c>
      <c r="EMT1335" s="4" t="s">
        <v>2879</v>
      </c>
      <c r="EMU1335" s="4" t="s">
        <v>2879</v>
      </c>
      <c r="EMV1335" s="4" t="s">
        <v>2879</v>
      </c>
      <c r="EMW1335" s="4" t="s">
        <v>2879</v>
      </c>
      <c r="EMX1335" s="4" t="s">
        <v>2879</v>
      </c>
      <c r="EMY1335" s="4" t="s">
        <v>2879</v>
      </c>
      <c r="EMZ1335" s="4" t="s">
        <v>2879</v>
      </c>
      <c r="ENA1335" s="4" t="s">
        <v>2879</v>
      </c>
      <c r="ENB1335" s="4" t="s">
        <v>2879</v>
      </c>
      <c r="ENC1335" s="4" t="s">
        <v>2879</v>
      </c>
      <c r="END1335" s="4" t="s">
        <v>2879</v>
      </c>
      <c r="ENE1335" s="4" t="s">
        <v>2879</v>
      </c>
      <c r="ENF1335" s="4" t="s">
        <v>2879</v>
      </c>
      <c r="ENG1335" s="4" t="s">
        <v>2879</v>
      </c>
      <c r="ENH1335" s="4" t="s">
        <v>2879</v>
      </c>
      <c r="ENI1335" s="4" t="s">
        <v>2879</v>
      </c>
      <c r="ENJ1335" s="4" t="s">
        <v>2879</v>
      </c>
      <c r="ENK1335" s="4" t="s">
        <v>2879</v>
      </c>
      <c r="ENL1335" s="4" t="s">
        <v>2879</v>
      </c>
      <c r="ENM1335" s="4" t="s">
        <v>2879</v>
      </c>
      <c r="ENN1335" s="4" t="s">
        <v>2879</v>
      </c>
      <c r="ENO1335" s="4" t="s">
        <v>2879</v>
      </c>
      <c r="ENP1335" s="4" t="s">
        <v>2879</v>
      </c>
      <c r="ENQ1335" s="4" t="s">
        <v>2879</v>
      </c>
      <c r="ENR1335" s="4" t="s">
        <v>2879</v>
      </c>
      <c r="ENS1335" s="4" t="s">
        <v>2879</v>
      </c>
      <c r="ENT1335" s="4" t="s">
        <v>2879</v>
      </c>
      <c r="ENU1335" s="4" t="s">
        <v>2879</v>
      </c>
      <c r="ENV1335" s="4" t="s">
        <v>2879</v>
      </c>
      <c r="ENW1335" s="4" t="s">
        <v>2879</v>
      </c>
      <c r="ENX1335" s="4" t="s">
        <v>2879</v>
      </c>
      <c r="ENY1335" s="4" t="s">
        <v>2879</v>
      </c>
      <c r="ENZ1335" s="4" t="s">
        <v>2879</v>
      </c>
      <c r="EOA1335" s="4" t="s">
        <v>2879</v>
      </c>
      <c r="EOB1335" s="4" t="s">
        <v>2879</v>
      </c>
      <c r="EOC1335" s="4" t="s">
        <v>2879</v>
      </c>
      <c r="EOD1335" s="4" t="s">
        <v>2879</v>
      </c>
      <c r="EOE1335" s="4" t="s">
        <v>2879</v>
      </c>
      <c r="EOF1335" s="4" t="s">
        <v>2879</v>
      </c>
      <c r="EOG1335" s="4" t="s">
        <v>2879</v>
      </c>
      <c r="EOH1335" s="4" t="s">
        <v>2879</v>
      </c>
      <c r="EOI1335" s="4" t="s">
        <v>2879</v>
      </c>
      <c r="EOJ1335" s="4" t="s">
        <v>2879</v>
      </c>
      <c r="EOK1335" s="4" t="s">
        <v>2879</v>
      </c>
      <c r="EOL1335" s="4" t="s">
        <v>2879</v>
      </c>
      <c r="EOM1335" s="4" t="s">
        <v>2879</v>
      </c>
      <c r="EON1335" s="4" t="s">
        <v>2879</v>
      </c>
      <c r="EOO1335" s="4" t="s">
        <v>2879</v>
      </c>
      <c r="EOP1335" s="4" t="s">
        <v>2879</v>
      </c>
      <c r="EOQ1335" s="4" t="s">
        <v>2879</v>
      </c>
      <c r="EOR1335" s="4" t="s">
        <v>2879</v>
      </c>
      <c r="EOS1335" s="4" t="s">
        <v>2879</v>
      </c>
      <c r="EOT1335" s="4" t="s">
        <v>2879</v>
      </c>
      <c r="EOU1335" s="4" t="s">
        <v>2879</v>
      </c>
      <c r="EOV1335" s="4" t="s">
        <v>2879</v>
      </c>
      <c r="EOW1335" s="4" t="s">
        <v>2879</v>
      </c>
      <c r="EOX1335" s="4" t="s">
        <v>2879</v>
      </c>
      <c r="EOY1335" s="4" t="s">
        <v>2879</v>
      </c>
      <c r="EOZ1335" s="4" t="s">
        <v>2879</v>
      </c>
      <c r="EPA1335" s="4" t="s">
        <v>2879</v>
      </c>
      <c r="EPB1335" s="4" t="s">
        <v>2879</v>
      </c>
      <c r="EPC1335" s="4" t="s">
        <v>2879</v>
      </c>
      <c r="EPD1335" s="4" t="s">
        <v>2879</v>
      </c>
      <c r="EPE1335" s="4" t="s">
        <v>2879</v>
      </c>
      <c r="EPF1335" s="4" t="s">
        <v>2879</v>
      </c>
      <c r="EPG1335" s="4" t="s">
        <v>2879</v>
      </c>
      <c r="EPH1335" s="4" t="s">
        <v>2879</v>
      </c>
      <c r="EPI1335" s="4" t="s">
        <v>2879</v>
      </c>
      <c r="EPJ1335" s="4" t="s">
        <v>2879</v>
      </c>
      <c r="EPK1335" s="4" t="s">
        <v>2879</v>
      </c>
      <c r="EPL1335" s="4" t="s">
        <v>2879</v>
      </c>
      <c r="EPM1335" s="4" t="s">
        <v>2879</v>
      </c>
      <c r="EPN1335" s="4" t="s">
        <v>2879</v>
      </c>
      <c r="EPO1335" s="4" t="s">
        <v>2879</v>
      </c>
      <c r="EPP1335" s="4" t="s">
        <v>2879</v>
      </c>
      <c r="EPQ1335" s="4" t="s">
        <v>2879</v>
      </c>
      <c r="EPR1335" s="4" t="s">
        <v>2879</v>
      </c>
      <c r="EPS1335" s="4" t="s">
        <v>2879</v>
      </c>
      <c r="EPT1335" s="4" t="s">
        <v>2879</v>
      </c>
      <c r="EPU1335" s="4" t="s">
        <v>2879</v>
      </c>
      <c r="EPV1335" s="4" t="s">
        <v>2879</v>
      </c>
      <c r="EPW1335" s="4" t="s">
        <v>2879</v>
      </c>
      <c r="EPX1335" s="4" t="s">
        <v>2879</v>
      </c>
      <c r="EPY1335" s="4" t="s">
        <v>2879</v>
      </c>
      <c r="EPZ1335" s="4" t="s">
        <v>2879</v>
      </c>
      <c r="EQA1335" s="4" t="s">
        <v>2879</v>
      </c>
      <c r="EQB1335" s="4" t="s">
        <v>2879</v>
      </c>
      <c r="EQC1335" s="4" t="s">
        <v>2879</v>
      </c>
      <c r="EQD1335" s="4" t="s">
        <v>2879</v>
      </c>
      <c r="EQE1335" s="4" t="s">
        <v>2879</v>
      </c>
      <c r="EQF1335" s="4" t="s">
        <v>2879</v>
      </c>
      <c r="EQG1335" s="4" t="s">
        <v>2879</v>
      </c>
      <c r="EQH1335" s="4" t="s">
        <v>2879</v>
      </c>
      <c r="EQI1335" s="4" t="s">
        <v>2879</v>
      </c>
      <c r="EQJ1335" s="4" t="s">
        <v>2879</v>
      </c>
      <c r="EQK1335" s="4" t="s">
        <v>2879</v>
      </c>
      <c r="EQL1335" s="4" t="s">
        <v>2879</v>
      </c>
      <c r="EQM1335" s="4" t="s">
        <v>2879</v>
      </c>
      <c r="EQN1335" s="4" t="s">
        <v>2879</v>
      </c>
      <c r="EQO1335" s="4" t="s">
        <v>2879</v>
      </c>
      <c r="EQP1335" s="4" t="s">
        <v>2879</v>
      </c>
      <c r="EQQ1335" s="4" t="s">
        <v>2879</v>
      </c>
      <c r="EQR1335" s="4" t="s">
        <v>2879</v>
      </c>
      <c r="EQS1335" s="4" t="s">
        <v>2879</v>
      </c>
      <c r="EQT1335" s="4" t="s">
        <v>2879</v>
      </c>
      <c r="EQU1335" s="4" t="s">
        <v>2879</v>
      </c>
      <c r="EQV1335" s="4" t="s">
        <v>2879</v>
      </c>
      <c r="EQW1335" s="4" t="s">
        <v>2879</v>
      </c>
      <c r="EQX1335" s="4" t="s">
        <v>2879</v>
      </c>
      <c r="EQY1335" s="4" t="s">
        <v>2879</v>
      </c>
      <c r="EQZ1335" s="4" t="s">
        <v>2879</v>
      </c>
      <c r="ERA1335" s="4" t="s">
        <v>2879</v>
      </c>
      <c r="ERB1335" s="4" t="s">
        <v>2879</v>
      </c>
      <c r="ERC1335" s="4" t="s">
        <v>2879</v>
      </c>
      <c r="ERD1335" s="4" t="s">
        <v>2879</v>
      </c>
      <c r="ERE1335" s="4" t="s">
        <v>2879</v>
      </c>
      <c r="ERF1335" s="4" t="s">
        <v>2879</v>
      </c>
      <c r="ERG1335" s="4" t="s">
        <v>2879</v>
      </c>
      <c r="ERH1335" s="4" t="s">
        <v>2879</v>
      </c>
      <c r="ERI1335" s="4" t="s">
        <v>2879</v>
      </c>
      <c r="ERJ1335" s="4" t="s">
        <v>2879</v>
      </c>
      <c r="ERK1335" s="4" t="s">
        <v>2879</v>
      </c>
      <c r="ERL1335" s="4" t="s">
        <v>2879</v>
      </c>
      <c r="ERM1335" s="4" t="s">
        <v>2879</v>
      </c>
      <c r="ERN1335" s="4" t="s">
        <v>2879</v>
      </c>
      <c r="ERO1335" s="4" t="s">
        <v>2879</v>
      </c>
      <c r="ERP1335" s="4" t="s">
        <v>2879</v>
      </c>
      <c r="ERQ1335" s="4" t="s">
        <v>2879</v>
      </c>
      <c r="ERR1335" s="4" t="s">
        <v>2879</v>
      </c>
      <c r="ERS1335" s="4" t="s">
        <v>2879</v>
      </c>
      <c r="ERT1335" s="4" t="s">
        <v>2879</v>
      </c>
      <c r="ERU1335" s="4" t="s">
        <v>2879</v>
      </c>
      <c r="ERV1335" s="4" t="s">
        <v>2879</v>
      </c>
      <c r="ERW1335" s="4" t="s">
        <v>2879</v>
      </c>
      <c r="ERX1335" s="4" t="s">
        <v>2879</v>
      </c>
      <c r="ERY1335" s="4" t="s">
        <v>2879</v>
      </c>
      <c r="ERZ1335" s="4" t="s">
        <v>2879</v>
      </c>
      <c r="ESA1335" s="4" t="s">
        <v>2879</v>
      </c>
      <c r="ESB1335" s="4" t="s">
        <v>2879</v>
      </c>
      <c r="ESC1335" s="4" t="s">
        <v>2879</v>
      </c>
      <c r="ESD1335" s="4" t="s">
        <v>2879</v>
      </c>
      <c r="ESE1335" s="4" t="s">
        <v>2879</v>
      </c>
      <c r="ESF1335" s="4" t="s">
        <v>2879</v>
      </c>
      <c r="ESG1335" s="4" t="s">
        <v>2879</v>
      </c>
      <c r="ESH1335" s="4" t="s">
        <v>2879</v>
      </c>
      <c r="ESI1335" s="4" t="s">
        <v>2879</v>
      </c>
      <c r="ESJ1335" s="4" t="s">
        <v>2879</v>
      </c>
      <c r="ESK1335" s="4" t="s">
        <v>2879</v>
      </c>
      <c r="ESL1335" s="4" t="s">
        <v>2879</v>
      </c>
      <c r="ESM1335" s="4" t="s">
        <v>2879</v>
      </c>
      <c r="ESN1335" s="4" t="s">
        <v>2879</v>
      </c>
      <c r="ESO1335" s="4" t="s">
        <v>2879</v>
      </c>
      <c r="ESP1335" s="4" t="s">
        <v>2879</v>
      </c>
      <c r="ESQ1335" s="4" t="s">
        <v>2879</v>
      </c>
      <c r="ESR1335" s="4" t="s">
        <v>2879</v>
      </c>
      <c r="ESS1335" s="4" t="s">
        <v>2879</v>
      </c>
      <c r="EST1335" s="4" t="s">
        <v>2879</v>
      </c>
      <c r="ESU1335" s="4" t="s">
        <v>2879</v>
      </c>
      <c r="ESV1335" s="4" t="s">
        <v>2879</v>
      </c>
      <c r="ESW1335" s="4" t="s">
        <v>2879</v>
      </c>
      <c r="ESX1335" s="4" t="s">
        <v>2879</v>
      </c>
      <c r="ESY1335" s="4" t="s">
        <v>2879</v>
      </c>
      <c r="ESZ1335" s="4" t="s">
        <v>2879</v>
      </c>
      <c r="ETA1335" s="4" t="s">
        <v>2879</v>
      </c>
      <c r="ETB1335" s="4" t="s">
        <v>2879</v>
      </c>
      <c r="ETC1335" s="4" t="s">
        <v>2879</v>
      </c>
      <c r="ETD1335" s="4" t="s">
        <v>2879</v>
      </c>
      <c r="ETE1335" s="4" t="s">
        <v>2879</v>
      </c>
      <c r="ETF1335" s="4" t="s">
        <v>2879</v>
      </c>
      <c r="ETG1335" s="4" t="s">
        <v>2879</v>
      </c>
      <c r="ETH1335" s="4" t="s">
        <v>2879</v>
      </c>
      <c r="ETI1335" s="4" t="s">
        <v>2879</v>
      </c>
      <c r="ETJ1335" s="4" t="s">
        <v>2879</v>
      </c>
      <c r="ETK1335" s="4" t="s">
        <v>2879</v>
      </c>
      <c r="ETL1335" s="4" t="s">
        <v>2879</v>
      </c>
      <c r="ETM1335" s="4" t="s">
        <v>2879</v>
      </c>
      <c r="ETN1335" s="4" t="s">
        <v>2879</v>
      </c>
      <c r="ETO1335" s="4" t="s">
        <v>2879</v>
      </c>
      <c r="ETP1335" s="4" t="s">
        <v>2879</v>
      </c>
      <c r="ETQ1335" s="4" t="s">
        <v>2879</v>
      </c>
      <c r="ETR1335" s="4" t="s">
        <v>2879</v>
      </c>
      <c r="ETS1335" s="4" t="s">
        <v>2879</v>
      </c>
      <c r="ETT1335" s="4" t="s">
        <v>2879</v>
      </c>
      <c r="ETU1335" s="4" t="s">
        <v>2879</v>
      </c>
      <c r="ETV1335" s="4" t="s">
        <v>2879</v>
      </c>
      <c r="ETW1335" s="4" t="s">
        <v>2879</v>
      </c>
      <c r="ETX1335" s="4" t="s">
        <v>2879</v>
      </c>
      <c r="ETY1335" s="4" t="s">
        <v>2879</v>
      </c>
      <c r="ETZ1335" s="4" t="s">
        <v>2879</v>
      </c>
      <c r="EUA1335" s="4" t="s">
        <v>2879</v>
      </c>
      <c r="EUB1335" s="4" t="s">
        <v>2879</v>
      </c>
      <c r="EUC1335" s="4" t="s">
        <v>2879</v>
      </c>
      <c r="EUD1335" s="4" t="s">
        <v>2879</v>
      </c>
      <c r="EUE1335" s="4" t="s">
        <v>2879</v>
      </c>
      <c r="EUF1335" s="4" t="s">
        <v>2879</v>
      </c>
      <c r="EUG1335" s="4" t="s">
        <v>2879</v>
      </c>
      <c r="EUH1335" s="4" t="s">
        <v>2879</v>
      </c>
      <c r="EUI1335" s="4" t="s">
        <v>2879</v>
      </c>
      <c r="EUJ1335" s="4" t="s">
        <v>2879</v>
      </c>
      <c r="EUK1335" s="4" t="s">
        <v>2879</v>
      </c>
      <c r="EUL1335" s="4" t="s">
        <v>2879</v>
      </c>
      <c r="EUM1335" s="4" t="s">
        <v>2879</v>
      </c>
      <c r="EUN1335" s="4" t="s">
        <v>2879</v>
      </c>
      <c r="EUO1335" s="4" t="s">
        <v>2879</v>
      </c>
      <c r="EUP1335" s="4" t="s">
        <v>2879</v>
      </c>
      <c r="EUQ1335" s="4" t="s">
        <v>2879</v>
      </c>
      <c r="EUR1335" s="4" t="s">
        <v>2879</v>
      </c>
      <c r="EUS1335" s="4" t="s">
        <v>2879</v>
      </c>
      <c r="EUT1335" s="4" t="s">
        <v>2879</v>
      </c>
      <c r="EUU1335" s="4" t="s">
        <v>2879</v>
      </c>
      <c r="EUV1335" s="4" t="s">
        <v>2879</v>
      </c>
      <c r="EUW1335" s="4" t="s">
        <v>2879</v>
      </c>
      <c r="EUX1335" s="4" t="s">
        <v>2879</v>
      </c>
      <c r="EUY1335" s="4" t="s">
        <v>2879</v>
      </c>
      <c r="EUZ1335" s="4" t="s">
        <v>2879</v>
      </c>
      <c r="EVA1335" s="4" t="s">
        <v>2879</v>
      </c>
      <c r="EVB1335" s="4" t="s">
        <v>2879</v>
      </c>
      <c r="EVC1335" s="4" t="s">
        <v>2879</v>
      </c>
      <c r="EVD1335" s="4" t="s">
        <v>2879</v>
      </c>
      <c r="EVE1335" s="4" t="s">
        <v>2879</v>
      </c>
      <c r="EVF1335" s="4" t="s">
        <v>2879</v>
      </c>
      <c r="EVG1335" s="4" t="s">
        <v>2879</v>
      </c>
      <c r="EVH1335" s="4" t="s">
        <v>2879</v>
      </c>
      <c r="EVI1335" s="4" t="s">
        <v>2879</v>
      </c>
      <c r="EVJ1335" s="4" t="s">
        <v>2879</v>
      </c>
      <c r="EVK1335" s="4" t="s">
        <v>2879</v>
      </c>
      <c r="EVL1335" s="4" t="s">
        <v>2879</v>
      </c>
      <c r="EVM1335" s="4" t="s">
        <v>2879</v>
      </c>
      <c r="EVN1335" s="4" t="s">
        <v>2879</v>
      </c>
      <c r="EVO1335" s="4" t="s">
        <v>2879</v>
      </c>
      <c r="EVP1335" s="4" t="s">
        <v>2879</v>
      </c>
      <c r="EVQ1335" s="4" t="s">
        <v>2879</v>
      </c>
      <c r="EVR1335" s="4" t="s">
        <v>2879</v>
      </c>
      <c r="EVS1335" s="4" t="s">
        <v>2879</v>
      </c>
      <c r="EVT1335" s="4" t="s">
        <v>2879</v>
      </c>
      <c r="EVU1335" s="4" t="s">
        <v>2879</v>
      </c>
      <c r="EVV1335" s="4" t="s">
        <v>2879</v>
      </c>
      <c r="EVW1335" s="4" t="s">
        <v>2879</v>
      </c>
      <c r="EVX1335" s="4" t="s">
        <v>2879</v>
      </c>
      <c r="EVY1335" s="4" t="s">
        <v>2879</v>
      </c>
      <c r="EVZ1335" s="4" t="s">
        <v>2879</v>
      </c>
      <c r="EWA1335" s="4" t="s">
        <v>2879</v>
      </c>
      <c r="EWB1335" s="4" t="s">
        <v>2879</v>
      </c>
      <c r="EWC1335" s="4" t="s">
        <v>2879</v>
      </c>
      <c r="EWD1335" s="4" t="s">
        <v>2879</v>
      </c>
      <c r="EWE1335" s="4" t="s">
        <v>2879</v>
      </c>
      <c r="EWF1335" s="4" t="s">
        <v>2879</v>
      </c>
      <c r="EWG1335" s="4" t="s">
        <v>2879</v>
      </c>
      <c r="EWH1335" s="4" t="s">
        <v>2879</v>
      </c>
      <c r="EWI1335" s="4" t="s">
        <v>2879</v>
      </c>
      <c r="EWJ1335" s="4" t="s">
        <v>2879</v>
      </c>
      <c r="EWK1335" s="4" t="s">
        <v>2879</v>
      </c>
      <c r="EWL1335" s="4" t="s">
        <v>2879</v>
      </c>
      <c r="EWM1335" s="4" t="s">
        <v>2879</v>
      </c>
      <c r="EWN1335" s="4" t="s">
        <v>2879</v>
      </c>
      <c r="EWO1335" s="4" t="s">
        <v>2879</v>
      </c>
      <c r="EWP1335" s="4" t="s">
        <v>2879</v>
      </c>
      <c r="EWQ1335" s="4" t="s">
        <v>2879</v>
      </c>
      <c r="EWR1335" s="4" t="s">
        <v>2879</v>
      </c>
      <c r="EWS1335" s="4" t="s">
        <v>2879</v>
      </c>
      <c r="EWT1335" s="4" t="s">
        <v>2879</v>
      </c>
      <c r="EWU1335" s="4" t="s">
        <v>2879</v>
      </c>
      <c r="EWV1335" s="4" t="s">
        <v>2879</v>
      </c>
      <c r="EWW1335" s="4" t="s">
        <v>2879</v>
      </c>
      <c r="EWX1335" s="4" t="s">
        <v>2879</v>
      </c>
      <c r="EWY1335" s="4" t="s">
        <v>2879</v>
      </c>
      <c r="EWZ1335" s="4" t="s">
        <v>2879</v>
      </c>
      <c r="EXA1335" s="4" t="s">
        <v>2879</v>
      </c>
      <c r="EXB1335" s="4" t="s">
        <v>2879</v>
      </c>
      <c r="EXC1335" s="4" t="s">
        <v>2879</v>
      </c>
      <c r="EXD1335" s="4" t="s">
        <v>2879</v>
      </c>
      <c r="EXE1335" s="4" t="s">
        <v>2879</v>
      </c>
      <c r="EXF1335" s="4" t="s">
        <v>2879</v>
      </c>
      <c r="EXG1335" s="4" t="s">
        <v>2879</v>
      </c>
      <c r="EXH1335" s="4" t="s">
        <v>2879</v>
      </c>
      <c r="EXI1335" s="4" t="s">
        <v>2879</v>
      </c>
      <c r="EXJ1335" s="4" t="s">
        <v>2879</v>
      </c>
      <c r="EXK1335" s="4" t="s">
        <v>2879</v>
      </c>
      <c r="EXL1335" s="4" t="s">
        <v>2879</v>
      </c>
      <c r="EXM1335" s="4" t="s">
        <v>2879</v>
      </c>
      <c r="EXN1335" s="4" t="s">
        <v>2879</v>
      </c>
      <c r="EXO1335" s="4" t="s">
        <v>2879</v>
      </c>
      <c r="EXP1335" s="4" t="s">
        <v>2879</v>
      </c>
      <c r="EXQ1335" s="4" t="s">
        <v>2879</v>
      </c>
      <c r="EXR1335" s="4" t="s">
        <v>2879</v>
      </c>
      <c r="EXS1335" s="4" t="s">
        <v>2879</v>
      </c>
      <c r="EXT1335" s="4" t="s">
        <v>2879</v>
      </c>
      <c r="EXU1335" s="4" t="s">
        <v>2879</v>
      </c>
      <c r="EXV1335" s="4" t="s">
        <v>2879</v>
      </c>
      <c r="EXW1335" s="4" t="s">
        <v>2879</v>
      </c>
      <c r="EXX1335" s="4" t="s">
        <v>2879</v>
      </c>
      <c r="EXY1335" s="4" t="s">
        <v>2879</v>
      </c>
      <c r="EXZ1335" s="4" t="s">
        <v>2879</v>
      </c>
      <c r="EYA1335" s="4" t="s">
        <v>2879</v>
      </c>
      <c r="EYB1335" s="4" t="s">
        <v>2879</v>
      </c>
      <c r="EYC1335" s="4" t="s">
        <v>2879</v>
      </c>
      <c r="EYD1335" s="4" t="s">
        <v>2879</v>
      </c>
      <c r="EYE1335" s="4" t="s">
        <v>2879</v>
      </c>
      <c r="EYF1335" s="4" t="s">
        <v>2879</v>
      </c>
      <c r="EYG1335" s="4" t="s">
        <v>2879</v>
      </c>
      <c r="EYH1335" s="4" t="s">
        <v>2879</v>
      </c>
      <c r="EYI1335" s="4" t="s">
        <v>2879</v>
      </c>
      <c r="EYJ1335" s="4" t="s">
        <v>2879</v>
      </c>
      <c r="EYK1335" s="4" t="s">
        <v>2879</v>
      </c>
      <c r="EYL1335" s="4" t="s">
        <v>2879</v>
      </c>
      <c r="EYM1335" s="4" t="s">
        <v>2879</v>
      </c>
      <c r="EYN1335" s="4" t="s">
        <v>2879</v>
      </c>
      <c r="EYO1335" s="4" t="s">
        <v>2879</v>
      </c>
      <c r="EYP1335" s="4" t="s">
        <v>2879</v>
      </c>
      <c r="EYQ1335" s="4" t="s">
        <v>2879</v>
      </c>
      <c r="EYR1335" s="4" t="s">
        <v>2879</v>
      </c>
      <c r="EYS1335" s="4" t="s">
        <v>2879</v>
      </c>
      <c r="EYT1335" s="4" t="s">
        <v>2879</v>
      </c>
      <c r="EYU1335" s="4" t="s">
        <v>2879</v>
      </c>
      <c r="EYV1335" s="4" t="s">
        <v>2879</v>
      </c>
      <c r="EYW1335" s="4" t="s">
        <v>2879</v>
      </c>
      <c r="EYX1335" s="4" t="s">
        <v>2879</v>
      </c>
      <c r="EYY1335" s="4" t="s">
        <v>2879</v>
      </c>
      <c r="EYZ1335" s="4" t="s">
        <v>2879</v>
      </c>
      <c r="EZA1335" s="4" t="s">
        <v>2879</v>
      </c>
      <c r="EZB1335" s="4" t="s">
        <v>2879</v>
      </c>
      <c r="EZC1335" s="4" t="s">
        <v>2879</v>
      </c>
      <c r="EZD1335" s="4" t="s">
        <v>2879</v>
      </c>
      <c r="EZE1335" s="4" t="s">
        <v>2879</v>
      </c>
      <c r="EZF1335" s="4" t="s">
        <v>2879</v>
      </c>
      <c r="EZG1335" s="4" t="s">
        <v>2879</v>
      </c>
      <c r="EZH1335" s="4" t="s">
        <v>2879</v>
      </c>
      <c r="EZI1335" s="4" t="s">
        <v>2879</v>
      </c>
      <c r="EZJ1335" s="4" t="s">
        <v>2879</v>
      </c>
      <c r="EZK1335" s="4" t="s">
        <v>2879</v>
      </c>
      <c r="EZL1335" s="4" t="s">
        <v>2879</v>
      </c>
      <c r="EZM1335" s="4" t="s">
        <v>2879</v>
      </c>
      <c r="EZN1335" s="4" t="s">
        <v>2879</v>
      </c>
      <c r="EZO1335" s="4" t="s">
        <v>2879</v>
      </c>
      <c r="EZP1335" s="4" t="s">
        <v>2879</v>
      </c>
      <c r="EZQ1335" s="4" t="s">
        <v>2879</v>
      </c>
      <c r="EZR1335" s="4" t="s">
        <v>2879</v>
      </c>
      <c r="EZS1335" s="4" t="s">
        <v>2879</v>
      </c>
      <c r="EZT1335" s="4" t="s">
        <v>2879</v>
      </c>
      <c r="EZU1335" s="4" t="s">
        <v>2879</v>
      </c>
      <c r="EZV1335" s="4" t="s">
        <v>2879</v>
      </c>
      <c r="EZW1335" s="4" t="s">
        <v>2879</v>
      </c>
      <c r="EZX1335" s="4" t="s">
        <v>2879</v>
      </c>
      <c r="EZY1335" s="4" t="s">
        <v>2879</v>
      </c>
      <c r="EZZ1335" s="4" t="s">
        <v>2879</v>
      </c>
      <c r="FAA1335" s="4" t="s">
        <v>2879</v>
      </c>
      <c r="FAB1335" s="4" t="s">
        <v>2879</v>
      </c>
      <c r="FAC1335" s="4" t="s">
        <v>2879</v>
      </c>
      <c r="FAD1335" s="4" t="s">
        <v>2879</v>
      </c>
      <c r="FAE1335" s="4" t="s">
        <v>2879</v>
      </c>
      <c r="FAF1335" s="4" t="s">
        <v>2879</v>
      </c>
      <c r="FAG1335" s="4" t="s">
        <v>2879</v>
      </c>
      <c r="FAH1335" s="4" t="s">
        <v>2879</v>
      </c>
      <c r="FAI1335" s="4" t="s">
        <v>2879</v>
      </c>
      <c r="FAJ1335" s="4" t="s">
        <v>2879</v>
      </c>
      <c r="FAK1335" s="4" t="s">
        <v>2879</v>
      </c>
      <c r="FAL1335" s="4" t="s">
        <v>2879</v>
      </c>
      <c r="FAM1335" s="4" t="s">
        <v>2879</v>
      </c>
      <c r="FAN1335" s="4" t="s">
        <v>2879</v>
      </c>
      <c r="FAO1335" s="4" t="s">
        <v>2879</v>
      </c>
      <c r="FAP1335" s="4" t="s">
        <v>2879</v>
      </c>
      <c r="FAQ1335" s="4" t="s">
        <v>2879</v>
      </c>
      <c r="FAR1335" s="4" t="s">
        <v>2879</v>
      </c>
      <c r="FAS1335" s="4" t="s">
        <v>2879</v>
      </c>
      <c r="FAT1335" s="4" t="s">
        <v>2879</v>
      </c>
      <c r="FAU1335" s="4" t="s">
        <v>2879</v>
      </c>
      <c r="FAV1335" s="4" t="s">
        <v>2879</v>
      </c>
      <c r="FAW1335" s="4" t="s">
        <v>2879</v>
      </c>
      <c r="FAX1335" s="4" t="s">
        <v>2879</v>
      </c>
      <c r="FAY1335" s="4" t="s">
        <v>2879</v>
      </c>
      <c r="FAZ1335" s="4" t="s">
        <v>2879</v>
      </c>
      <c r="FBA1335" s="4" t="s">
        <v>2879</v>
      </c>
      <c r="FBB1335" s="4" t="s">
        <v>2879</v>
      </c>
      <c r="FBC1335" s="4" t="s">
        <v>2879</v>
      </c>
      <c r="FBD1335" s="4" t="s">
        <v>2879</v>
      </c>
      <c r="FBE1335" s="4" t="s">
        <v>2879</v>
      </c>
      <c r="FBF1335" s="4" t="s">
        <v>2879</v>
      </c>
      <c r="FBG1335" s="4" t="s">
        <v>2879</v>
      </c>
      <c r="FBH1335" s="4" t="s">
        <v>2879</v>
      </c>
      <c r="FBI1335" s="4" t="s">
        <v>2879</v>
      </c>
      <c r="FBJ1335" s="4" t="s">
        <v>2879</v>
      </c>
      <c r="FBK1335" s="4" t="s">
        <v>2879</v>
      </c>
      <c r="FBL1335" s="4" t="s">
        <v>2879</v>
      </c>
      <c r="FBM1335" s="4" t="s">
        <v>2879</v>
      </c>
      <c r="FBN1335" s="4" t="s">
        <v>2879</v>
      </c>
      <c r="FBO1335" s="4" t="s">
        <v>2879</v>
      </c>
      <c r="FBP1335" s="4" t="s">
        <v>2879</v>
      </c>
      <c r="FBQ1335" s="4" t="s">
        <v>2879</v>
      </c>
      <c r="FBR1335" s="4" t="s">
        <v>2879</v>
      </c>
      <c r="FBS1335" s="4" t="s">
        <v>2879</v>
      </c>
      <c r="FBT1335" s="4" t="s">
        <v>2879</v>
      </c>
      <c r="FBU1335" s="4" t="s">
        <v>2879</v>
      </c>
      <c r="FBV1335" s="4" t="s">
        <v>2879</v>
      </c>
      <c r="FBW1335" s="4" t="s">
        <v>2879</v>
      </c>
      <c r="FBX1335" s="4" t="s">
        <v>2879</v>
      </c>
      <c r="FBY1335" s="4" t="s">
        <v>2879</v>
      </c>
      <c r="FBZ1335" s="4" t="s">
        <v>2879</v>
      </c>
      <c r="FCA1335" s="4" t="s">
        <v>2879</v>
      </c>
      <c r="FCB1335" s="4" t="s">
        <v>2879</v>
      </c>
      <c r="FCC1335" s="4" t="s">
        <v>2879</v>
      </c>
      <c r="FCD1335" s="4" t="s">
        <v>2879</v>
      </c>
      <c r="FCE1335" s="4" t="s">
        <v>2879</v>
      </c>
      <c r="FCF1335" s="4" t="s">
        <v>2879</v>
      </c>
      <c r="FCG1335" s="4" t="s">
        <v>2879</v>
      </c>
      <c r="FCH1335" s="4" t="s">
        <v>2879</v>
      </c>
      <c r="FCI1335" s="4" t="s">
        <v>2879</v>
      </c>
      <c r="FCJ1335" s="4" t="s">
        <v>2879</v>
      </c>
      <c r="FCK1335" s="4" t="s">
        <v>2879</v>
      </c>
      <c r="FCL1335" s="4" t="s">
        <v>2879</v>
      </c>
      <c r="FCM1335" s="4" t="s">
        <v>2879</v>
      </c>
      <c r="FCN1335" s="4" t="s">
        <v>2879</v>
      </c>
      <c r="FCO1335" s="4" t="s">
        <v>2879</v>
      </c>
      <c r="FCP1335" s="4" t="s">
        <v>2879</v>
      </c>
      <c r="FCQ1335" s="4" t="s">
        <v>2879</v>
      </c>
      <c r="FCR1335" s="4" t="s">
        <v>2879</v>
      </c>
      <c r="FCS1335" s="4" t="s">
        <v>2879</v>
      </c>
      <c r="FCT1335" s="4" t="s">
        <v>2879</v>
      </c>
      <c r="FCU1335" s="4" t="s">
        <v>2879</v>
      </c>
      <c r="FCV1335" s="4" t="s">
        <v>2879</v>
      </c>
      <c r="FCW1335" s="4" t="s">
        <v>2879</v>
      </c>
      <c r="FCX1335" s="4" t="s">
        <v>2879</v>
      </c>
      <c r="FCY1335" s="4" t="s">
        <v>2879</v>
      </c>
      <c r="FCZ1335" s="4" t="s">
        <v>2879</v>
      </c>
      <c r="FDA1335" s="4" t="s">
        <v>2879</v>
      </c>
      <c r="FDB1335" s="4" t="s">
        <v>2879</v>
      </c>
      <c r="FDC1335" s="4" t="s">
        <v>2879</v>
      </c>
      <c r="FDD1335" s="4" t="s">
        <v>2879</v>
      </c>
      <c r="FDE1335" s="4" t="s">
        <v>2879</v>
      </c>
      <c r="FDF1335" s="4" t="s">
        <v>2879</v>
      </c>
      <c r="FDG1335" s="4" t="s">
        <v>2879</v>
      </c>
      <c r="FDH1335" s="4" t="s">
        <v>2879</v>
      </c>
      <c r="FDI1335" s="4" t="s">
        <v>2879</v>
      </c>
      <c r="FDJ1335" s="4" t="s">
        <v>2879</v>
      </c>
      <c r="FDK1335" s="4" t="s">
        <v>2879</v>
      </c>
      <c r="FDL1335" s="4" t="s">
        <v>2879</v>
      </c>
      <c r="FDM1335" s="4" t="s">
        <v>2879</v>
      </c>
      <c r="FDN1335" s="4" t="s">
        <v>2879</v>
      </c>
      <c r="FDO1335" s="4" t="s">
        <v>2879</v>
      </c>
      <c r="FDP1335" s="4" t="s">
        <v>2879</v>
      </c>
      <c r="FDQ1335" s="4" t="s">
        <v>2879</v>
      </c>
      <c r="FDR1335" s="4" t="s">
        <v>2879</v>
      </c>
      <c r="FDS1335" s="4" t="s">
        <v>2879</v>
      </c>
      <c r="FDT1335" s="4" t="s">
        <v>2879</v>
      </c>
      <c r="FDU1335" s="4" t="s">
        <v>2879</v>
      </c>
      <c r="FDV1335" s="4" t="s">
        <v>2879</v>
      </c>
      <c r="FDW1335" s="4" t="s">
        <v>2879</v>
      </c>
      <c r="FDX1335" s="4" t="s">
        <v>2879</v>
      </c>
      <c r="FDY1335" s="4" t="s">
        <v>2879</v>
      </c>
      <c r="FDZ1335" s="4" t="s">
        <v>2879</v>
      </c>
      <c r="FEA1335" s="4" t="s">
        <v>2879</v>
      </c>
      <c r="FEB1335" s="4" t="s">
        <v>2879</v>
      </c>
      <c r="FEC1335" s="4" t="s">
        <v>2879</v>
      </c>
      <c r="FED1335" s="4" t="s">
        <v>2879</v>
      </c>
      <c r="FEE1335" s="4" t="s">
        <v>2879</v>
      </c>
      <c r="FEF1335" s="4" t="s">
        <v>2879</v>
      </c>
      <c r="FEG1335" s="4" t="s">
        <v>2879</v>
      </c>
      <c r="FEH1335" s="4" t="s">
        <v>2879</v>
      </c>
      <c r="FEI1335" s="4" t="s">
        <v>2879</v>
      </c>
      <c r="FEJ1335" s="4" t="s">
        <v>2879</v>
      </c>
      <c r="FEK1335" s="4" t="s">
        <v>2879</v>
      </c>
      <c r="FEL1335" s="4" t="s">
        <v>2879</v>
      </c>
      <c r="FEM1335" s="4" t="s">
        <v>2879</v>
      </c>
      <c r="FEN1335" s="4" t="s">
        <v>2879</v>
      </c>
      <c r="FEO1335" s="4" t="s">
        <v>2879</v>
      </c>
      <c r="FEP1335" s="4" t="s">
        <v>2879</v>
      </c>
      <c r="FEQ1335" s="4" t="s">
        <v>2879</v>
      </c>
      <c r="FER1335" s="4" t="s">
        <v>2879</v>
      </c>
      <c r="FES1335" s="4" t="s">
        <v>2879</v>
      </c>
      <c r="FET1335" s="4" t="s">
        <v>2879</v>
      </c>
      <c r="FEU1335" s="4" t="s">
        <v>2879</v>
      </c>
      <c r="FEV1335" s="4" t="s">
        <v>2879</v>
      </c>
      <c r="FEW1335" s="4" t="s">
        <v>2879</v>
      </c>
      <c r="FEX1335" s="4" t="s">
        <v>2879</v>
      </c>
      <c r="FEY1335" s="4" t="s">
        <v>2879</v>
      </c>
      <c r="FEZ1335" s="4" t="s">
        <v>2879</v>
      </c>
      <c r="FFA1335" s="4" t="s">
        <v>2879</v>
      </c>
      <c r="FFB1335" s="4" t="s">
        <v>2879</v>
      </c>
      <c r="FFC1335" s="4" t="s">
        <v>2879</v>
      </c>
      <c r="FFD1335" s="4" t="s">
        <v>2879</v>
      </c>
      <c r="FFE1335" s="4" t="s">
        <v>2879</v>
      </c>
      <c r="FFF1335" s="4" t="s">
        <v>2879</v>
      </c>
      <c r="FFG1335" s="4" t="s">
        <v>2879</v>
      </c>
      <c r="FFH1335" s="4" t="s">
        <v>2879</v>
      </c>
      <c r="FFI1335" s="4" t="s">
        <v>2879</v>
      </c>
      <c r="FFJ1335" s="4" t="s">
        <v>2879</v>
      </c>
      <c r="FFK1335" s="4" t="s">
        <v>2879</v>
      </c>
      <c r="FFL1335" s="4" t="s">
        <v>2879</v>
      </c>
      <c r="FFM1335" s="4" t="s">
        <v>2879</v>
      </c>
      <c r="FFN1335" s="4" t="s">
        <v>2879</v>
      </c>
      <c r="FFO1335" s="4" t="s">
        <v>2879</v>
      </c>
      <c r="FFP1335" s="4" t="s">
        <v>2879</v>
      </c>
      <c r="FFQ1335" s="4" t="s">
        <v>2879</v>
      </c>
      <c r="FFR1335" s="4" t="s">
        <v>2879</v>
      </c>
      <c r="FFS1335" s="4" t="s">
        <v>2879</v>
      </c>
      <c r="FFT1335" s="4" t="s">
        <v>2879</v>
      </c>
      <c r="FFU1335" s="4" t="s">
        <v>2879</v>
      </c>
      <c r="FFV1335" s="4" t="s">
        <v>2879</v>
      </c>
      <c r="FFW1335" s="4" t="s">
        <v>2879</v>
      </c>
      <c r="FFX1335" s="4" t="s">
        <v>2879</v>
      </c>
      <c r="FFY1335" s="4" t="s">
        <v>2879</v>
      </c>
      <c r="FFZ1335" s="4" t="s">
        <v>2879</v>
      </c>
      <c r="FGA1335" s="4" t="s">
        <v>2879</v>
      </c>
      <c r="FGB1335" s="4" t="s">
        <v>2879</v>
      </c>
      <c r="FGC1335" s="4" t="s">
        <v>2879</v>
      </c>
      <c r="FGD1335" s="4" t="s">
        <v>2879</v>
      </c>
      <c r="FGE1335" s="4" t="s">
        <v>2879</v>
      </c>
      <c r="FGF1335" s="4" t="s">
        <v>2879</v>
      </c>
      <c r="FGG1335" s="4" t="s">
        <v>2879</v>
      </c>
      <c r="FGH1335" s="4" t="s">
        <v>2879</v>
      </c>
      <c r="FGI1335" s="4" t="s">
        <v>2879</v>
      </c>
      <c r="FGJ1335" s="4" t="s">
        <v>2879</v>
      </c>
      <c r="FGK1335" s="4" t="s">
        <v>2879</v>
      </c>
      <c r="FGL1335" s="4" t="s">
        <v>2879</v>
      </c>
      <c r="FGM1335" s="4" t="s">
        <v>2879</v>
      </c>
      <c r="FGN1335" s="4" t="s">
        <v>2879</v>
      </c>
      <c r="FGO1335" s="4" t="s">
        <v>2879</v>
      </c>
      <c r="FGP1335" s="4" t="s">
        <v>2879</v>
      </c>
      <c r="FGQ1335" s="4" t="s">
        <v>2879</v>
      </c>
      <c r="FGR1335" s="4" t="s">
        <v>2879</v>
      </c>
      <c r="FGS1335" s="4" t="s">
        <v>2879</v>
      </c>
      <c r="FGT1335" s="4" t="s">
        <v>2879</v>
      </c>
      <c r="FGU1335" s="4" t="s">
        <v>2879</v>
      </c>
      <c r="FGV1335" s="4" t="s">
        <v>2879</v>
      </c>
      <c r="FGW1335" s="4" t="s">
        <v>2879</v>
      </c>
      <c r="FGX1335" s="4" t="s">
        <v>2879</v>
      </c>
      <c r="FGY1335" s="4" t="s">
        <v>2879</v>
      </c>
      <c r="FGZ1335" s="4" t="s">
        <v>2879</v>
      </c>
      <c r="FHA1335" s="4" t="s">
        <v>2879</v>
      </c>
      <c r="FHB1335" s="4" t="s">
        <v>2879</v>
      </c>
      <c r="FHC1335" s="4" t="s">
        <v>2879</v>
      </c>
      <c r="FHD1335" s="4" t="s">
        <v>2879</v>
      </c>
      <c r="FHE1335" s="4" t="s">
        <v>2879</v>
      </c>
      <c r="FHF1335" s="4" t="s">
        <v>2879</v>
      </c>
      <c r="FHG1335" s="4" t="s">
        <v>2879</v>
      </c>
      <c r="FHH1335" s="4" t="s">
        <v>2879</v>
      </c>
      <c r="FHI1335" s="4" t="s">
        <v>2879</v>
      </c>
      <c r="FHJ1335" s="4" t="s">
        <v>2879</v>
      </c>
      <c r="FHK1335" s="4" t="s">
        <v>2879</v>
      </c>
      <c r="FHL1335" s="4" t="s">
        <v>2879</v>
      </c>
      <c r="FHM1335" s="4" t="s">
        <v>2879</v>
      </c>
      <c r="FHN1335" s="4" t="s">
        <v>2879</v>
      </c>
      <c r="FHO1335" s="4" t="s">
        <v>2879</v>
      </c>
      <c r="FHP1335" s="4" t="s">
        <v>2879</v>
      </c>
      <c r="FHQ1335" s="4" t="s">
        <v>2879</v>
      </c>
      <c r="FHR1335" s="4" t="s">
        <v>2879</v>
      </c>
      <c r="FHS1335" s="4" t="s">
        <v>2879</v>
      </c>
      <c r="FHT1335" s="4" t="s">
        <v>2879</v>
      </c>
      <c r="FHU1335" s="4" t="s">
        <v>2879</v>
      </c>
      <c r="FHV1335" s="4" t="s">
        <v>2879</v>
      </c>
      <c r="FHW1335" s="4" t="s">
        <v>2879</v>
      </c>
      <c r="FHX1335" s="4" t="s">
        <v>2879</v>
      </c>
      <c r="FHY1335" s="4" t="s">
        <v>2879</v>
      </c>
      <c r="FHZ1335" s="4" t="s">
        <v>2879</v>
      </c>
      <c r="FIA1335" s="4" t="s">
        <v>2879</v>
      </c>
      <c r="FIB1335" s="4" t="s">
        <v>2879</v>
      </c>
      <c r="FIC1335" s="4" t="s">
        <v>2879</v>
      </c>
      <c r="FID1335" s="4" t="s">
        <v>2879</v>
      </c>
      <c r="FIE1335" s="4" t="s">
        <v>2879</v>
      </c>
      <c r="FIF1335" s="4" t="s">
        <v>2879</v>
      </c>
      <c r="FIG1335" s="4" t="s">
        <v>2879</v>
      </c>
      <c r="FIH1335" s="4" t="s">
        <v>2879</v>
      </c>
      <c r="FII1335" s="4" t="s">
        <v>2879</v>
      </c>
      <c r="FIJ1335" s="4" t="s">
        <v>2879</v>
      </c>
      <c r="FIK1335" s="4" t="s">
        <v>2879</v>
      </c>
      <c r="FIL1335" s="4" t="s">
        <v>2879</v>
      </c>
      <c r="FIM1335" s="4" t="s">
        <v>2879</v>
      </c>
      <c r="FIN1335" s="4" t="s">
        <v>2879</v>
      </c>
      <c r="FIO1335" s="4" t="s">
        <v>2879</v>
      </c>
      <c r="FIP1335" s="4" t="s">
        <v>2879</v>
      </c>
      <c r="FIQ1335" s="4" t="s">
        <v>2879</v>
      </c>
      <c r="FIR1335" s="4" t="s">
        <v>2879</v>
      </c>
      <c r="FIS1335" s="4" t="s">
        <v>2879</v>
      </c>
      <c r="FIT1335" s="4" t="s">
        <v>2879</v>
      </c>
      <c r="FIU1335" s="4" t="s">
        <v>2879</v>
      </c>
      <c r="FIV1335" s="4" t="s">
        <v>2879</v>
      </c>
      <c r="FIW1335" s="4" t="s">
        <v>2879</v>
      </c>
      <c r="FIX1335" s="4" t="s">
        <v>2879</v>
      </c>
      <c r="FIY1335" s="4" t="s">
        <v>2879</v>
      </c>
      <c r="FIZ1335" s="4" t="s">
        <v>2879</v>
      </c>
      <c r="FJA1335" s="4" t="s">
        <v>2879</v>
      </c>
      <c r="FJB1335" s="4" t="s">
        <v>2879</v>
      </c>
      <c r="FJC1335" s="4" t="s">
        <v>2879</v>
      </c>
      <c r="FJD1335" s="4" t="s">
        <v>2879</v>
      </c>
      <c r="FJE1335" s="4" t="s">
        <v>2879</v>
      </c>
      <c r="FJF1335" s="4" t="s">
        <v>2879</v>
      </c>
      <c r="FJG1335" s="4" t="s">
        <v>2879</v>
      </c>
      <c r="FJH1335" s="4" t="s">
        <v>2879</v>
      </c>
      <c r="FJI1335" s="4" t="s">
        <v>2879</v>
      </c>
      <c r="FJJ1335" s="4" t="s">
        <v>2879</v>
      </c>
      <c r="FJK1335" s="4" t="s">
        <v>2879</v>
      </c>
      <c r="FJL1335" s="4" t="s">
        <v>2879</v>
      </c>
      <c r="FJM1335" s="4" t="s">
        <v>2879</v>
      </c>
      <c r="FJN1335" s="4" t="s">
        <v>2879</v>
      </c>
      <c r="FJO1335" s="4" t="s">
        <v>2879</v>
      </c>
      <c r="FJP1335" s="4" t="s">
        <v>2879</v>
      </c>
      <c r="FJQ1335" s="4" t="s">
        <v>2879</v>
      </c>
      <c r="FJR1335" s="4" t="s">
        <v>2879</v>
      </c>
      <c r="FJS1335" s="4" t="s">
        <v>2879</v>
      </c>
      <c r="FJT1335" s="4" t="s">
        <v>2879</v>
      </c>
      <c r="FJU1335" s="4" t="s">
        <v>2879</v>
      </c>
      <c r="FJV1335" s="4" t="s">
        <v>2879</v>
      </c>
      <c r="FJW1335" s="4" t="s">
        <v>2879</v>
      </c>
      <c r="FJX1335" s="4" t="s">
        <v>2879</v>
      </c>
      <c r="FJY1335" s="4" t="s">
        <v>2879</v>
      </c>
      <c r="FJZ1335" s="4" t="s">
        <v>2879</v>
      </c>
      <c r="FKA1335" s="4" t="s">
        <v>2879</v>
      </c>
      <c r="FKB1335" s="4" t="s">
        <v>2879</v>
      </c>
      <c r="FKC1335" s="4" t="s">
        <v>2879</v>
      </c>
      <c r="FKD1335" s="4" t="s">
        <v>2879</v>
      </c>
      <c r="FKE1335" s="4" t="s">
        <v>2879</v>
      </c>
      <c r="FKF1335" s="4" t="s">
        <v>2879</v>
      </c>
      <c r="FKG1335" s="4" t="s">
        <v>2879</v>
      </c>
      <c r="FKH1335" s="4" t="s">
        <v>2879</v>
      </c>
      <c r="FKI1335" s="4" t="s">
        <v>2879</v>
      </c>
      <c r="FKJ1335" s="4" t="s">
        <v>2879</v>
      </c>
      <c r="FKK1335" s="4" t="s">
        <v>2879</v>
      </c>
      <c r="FKL1335" s="4" t="s">
        <v>2879</v>
      </c>
      <c r="FKM1335" s="4" t="s">
        <v>2879</v>
      </c>
      <c r="FKN1335" s="4" t="s">
        <v>2879</v>
      </c>
      <c r="FKO1335" s="4" t="s">
        <v>2879</v>
      </c>
      <c r="FKP1335" s="4" t="s">
        <v>2879</v>
      </c>
      <c r="FKQ1335" s="4" t="s">
        <v>2879</v>
      </c>
      <c r="FKR1335" s="4" t="s">
        <v>2879</v>
      </c>
      <c r="FKS1335" s="4" t="s">
        <v>2879</v>
      </c>
      <c r="FKT1335" s="4" t="s">
        <v>2879</v>
      </c>
      <c r="FKU1335" s="4" t="s">
        <v>2879</v>
      </c>
      <c r="FKV1335" s="4" t="s">
        <v>2879</v>
      </c>
      <c r="FKW1335" s="4" t="s">
        <v>2879</v>
      </c>
      <c r="FKX1335" s="4" t="s">
        <v>2879</v>
      </c>
      <c r="FKY1335" s="4" t="s">
        <v>2879</v>
      </c>
      <c r="FKZ1335" s="4" t="s">
        <v>2879</v>
      </c>
      <c r="FLA1335" s="4" t="s">
        <v>2879</v>
      </c>
      <c r="FLB1335" s="4" t="s">
        <v>2879</v>
      </c>
      <c r="FLC1335" s="4" t="s">
        <v>2879</v>
      </c>
      <c r="FLD1335" s="4" t="s">
        <v>2879</v>
      </c>
      <c r="FLE1335" s="4" t="s">
        <v>2879</v>
      </c>
      <c r="FLF1335" s="4" t="s">
        <v>2879</v>
      </c>
      <c r="FLG1335" s="4" t="s">
        <v>2879</v>
      </c>
      <c r="FLH1335" s="4" t="s">
        <v>2879</v>
      </c>
      <c r="FLI1335" s="4" t="s">
        <v>2879</v>
      </c>
      <c r="FLJ1335" s="4" t="s">
        <v>2879</v>
      </c>
      <c r="FLK1335" s="4" t="s">
        <v>2879</v>
      </c>
      <c r="FLL1335" s="4" t="s">
        <v>2879</v>
      </c>
      <c r="FLM1335" s="4" t="s">
        <v>2879</v>
      </c>
      <c r="FLN1335" s="4" t="s">
        <v>2879</v>
      </c>
      <c r="FLO1335" s="4" t="s">
        <v>2879</v>
      </c>
      <c r="FLP1335" s="4" t="s">
        <v>2879</v>
      </c>
      <c r="FLQ1335" s="4" t="s">
        <v>2879</v>
      </c>
      <c r="FLR1335" s="4" t="s">
        <v>2879</v>
      </c>
      <c r="FLS1335" s="4" t="s">
        <v>2879</v>
      </c>
      <c r="FLT1335" s="4" t="s">
        <v>2879</v>
      </c>
      <c r="FLU1335" s="4" t="s">
        <v>2879</v>
      </c>
      <c r="FLV1335" s="4" t="s">
        <v>2879</v>
      </c>
      <c r="FLW1335" s="4" t="s">
        <v>2879</v>
      </c>
      <c r="FLX1335" s="4" t="s">
        <v>2879</v>
      </c>
      <c r="FLY1335" s="4" t="s">
        <v>2879</v>
      </c>
      <c r="FLZ1335" s="4" t="s">
        <v>2879</v>
      </c>
      <c r="FMA1335" s="4" t="s">
        <v>2879</v>
      </c>
      <c r="FMB1335" s="4" t="s">
        <v>2879</v>
      </c>
      <c r="FMC1335" s="4" t="s">
        <v>2879</v>
      </c>
      <c r="FMD1335" s="4" t="s">
        <v>2879</v>
      </c>
      <c r="FME1335" s="4" t="s">
        <v>2879</v>
      </c>
      <c r="FMF1335" s="4" t="s">
        <v>2879</v>
      </c>
      <c r="FMG1335" s="4" t="s">
        <v>2879</v>
      </c>
      <c r="FMH1335" s="4" t="s">
        <v>2879</v>
      </c>
      <c r="FMI1335" s="4" t="s">
        <v>2879</v>
      </c>
      <c r="FMJ1335" s="4" t="s">
        <v>2879</v>
      </c>
      <c r="FMK1335" s="4" t="s">
        <v>2879</v>
      </c>
      <c r="FML1335" s="4" t="s">
        <v>2879</v>
      </c>
      <c r="FMM1335" s="4" t="s">
        <v>2879</v>
      </c>
      <c r="FMN1335" s="4" t="s">
        <v>2879</v>
      </c>
      <c r="FMO1335" s="4" t="s">
        <v>2879</v>
      </c>
      <c r="FMP1335" s="4" t="s">
        <v>2879</v>
      </c>
      <c r="FMQ1335" s="4" t="s">
        <v>2879</v>
      </c>
      <c r="FMR1335" s="4" t="s">
        <v>2879</v>
      </c>
      <c r="FMS1335" s="4" t="s">
        <v>2879</v>
      </c>
      <c r="FMT1335" s="4" t="s">
        <v>2879</v>
      </c>
      <c r="FMU1335" s="4" t="s">
        <v>2879</v>
      </c>
      <c r="FMV1335" s="4" t="s">
        <v>2879</v>
      </c>
      <c r="FMW1335" s="4" t="s">
        <v>2879</v>
      </c>
      <c r="FMX1335" s="4" t="s">
        <v>2879</v>
      </c>
      <c r="FMY1335" s="4" t="s">
        <v>2879</v>
      </c>
      <c r="FMZ1335" s="4" t="s">
        <v>2879</v>
      </c>
      <c r="FNA1335" s="4" t="s">
        <v>2879</v>
      </c>
      <c r="FNB1335" s="4" t="s">
        <v>2879</v>
      </c>
      <c r="FNC1335" s="4" t="s">
        <v>2879</v>
      </c>
      <c r="FND1335" s="4" t="s">
        <v>2879</v>
      </c>
      <c r="FNE1335" s="4" t="s">
        <v>2879</v>
      </c>
      <c r="FNF1335" s="4" t="s">
        <v>2879</v>
      </c>
      <c r="FNG1335" s="4" t="s">
        <v>2879</v>
      </c>
      <c r="FNH1335" s="4" t="s">
        <v>2879</v>
      </c>
      <c r="FNI1335" s="4" t="s">
        <v>2879</v>
      </c>
      <c r="FNJ1335" s="4" t="s">
        <v>2879</v>
      </c>
      <c r="FNK1335" s="4" t="s">
        <v>2879</v>
      </c>
      <c r="FNL1335" s="4" t="s">
        <v>2879</v>
      </c>
      <c r="FNM1335" s="4" t="s">
        <v>2879</v>
      </c>
      <c r="FNN1335" s="4" t="s">
        <v>2879</v>
      </c>
      <c r="FNO1335" s="4" t="s">
        <v>2879</v>
      </c>
      <c r="FNP1335" s="4" t="s">
        <v>2879</v>
      </c>
      <c r="FNQ1335" s="4" t="s">
        <v>2879</v>
      </c>
      <c r="FNR1335" s="4" t="s">
        <v>2879</v>
      </c>
      <c r="FNS1335" s="4" t="s">
        <v>2879</v>
      </c>
      <c r="FNT1335" s="4" t="s">
        <v>2879</v>
      </c>
      <c r="FNU1335" s="4" t="s">
        <v>2879</v>
      </c>
      <c r="FNV1335" s="4" t="s">
        <v>2879</v>
      </c>
      <c r="FNW1335" s="4" t="s">
        <v>2879</v>
      </c>
      <c r="FNX1335" s="4" t="s">
        <v>2879</v>
      </c>
      <c r="FNY1335" s="4" t="s">
        <v>2879</v>
      </c>
      <c r="FNZ1335" s="4" t="s">
        <v>2879</v>
      </c>
      <c r="FOA1335" s="4" t="s">
        <v>2879</v>
      </c>
      <c r="FOB1335" s="4" t="s">
        <v>2879</v>
      </c>
      <c r="FOC1335" s="4" t="s">
        <v>2879</v>
      </c>
      <c r="FOD1335" s="4" t="s">
        <v>2879</v>
      </c>
      <c r="FOE1335" s="4" t="s">
        <v>2879</v>
      </c>
      <c r="FOF1335" s="4" t="s">
        <v>2879</v>
      </c>
      <c r="FOG1335" s="4" t="s">
        <v>2879</v>
      </c>
      <c r="FOH1335" s="4" t="s">
        <v>2879</v>
      </c>
      <c r="FOI1335" s="4" t="s">
        <v>2879</v>
      </c>
      <c r="FOJ1335" s="4" t="s">
        <v>2879</v>
      </c>
      <c r="FOK1335" s="4" t="s">
        <v>2879</v>
      </c>
      <c r="FOL1335" s="4" t="s">
        <v>2879</v>
      </c>
      <c r="FOM1335" s="4" t="s">
        <v>2879</v>
      </c>
      <c r="FON1335" s="4" t="s">
        <v>2879</v>
      </c>
      <c r="FOO1335" s="4" t="s">
        <v>2879</v>
      </c>
      <c r="FOP1335" s="4" t="s">
        <v>2879</v>
      </c>
      <c r="FOQ1335" s="4" t="s">
        <v>2879</v>
      </c>
      <c r="FOR1335" s="4" t="s">
        <v>2879</v>
      </c>
      <c r="FOS1335" s="4" t="s">
        <v>2879</v>
      </c>
      <c r="FOT1335" s="4" t="s">
        <v>2879</v>
      </c>
      <c r="FOU1335" s="4" t="s">
        <v>2879</v>
      </c>
      <c r="FOV1335" s="4" t="s">
        <v>2879</v>
      </c>
      <c r="FOW1335" s="4" t="s">
        <v>2879</v>
      </c>
      <c r="FOX1335" s="4" t="s">
        <v>2879</v>
      </c>
      <c r="FOY1335" s="4" t="s">
        <v>2879</v>
      </c>
      <c r="FOZ1335" s="4" t="s">
        <v>2879</v>
      </c>
      <c r="FPA1335" s="4" t="s">
        <v>2879</v>
      </c>
      <c r="FPB1335" s="4" t="s">
        <v>2879</v>
      </c>
      <c r="FPC1335" s="4" t="s">
        <v>2879</v>
      </c>
      <c r="FPD1335" s="4" t="s">
        <v>2879</v>
      </c>
      <c r="FPE1335" s="4" t="s">
        <v>2879</v>
      </c>
      <c r="FPF1335" s="4" t="s">
        <v>2879</v>
      </c>
      <c r="FPG1335" s="4" t="s">
        <v>2879</v>
      </c>
      <c r="FPH1335" s="4" t="s">
        <v>2879</v>
      </c>
      <c r="FPI1335" s="4" t="s">
        <v>2879</v>
      </c>
      <c r="FPJ1335" s="4" t="s">
        <v>2879</v>
      </c>
      <c r="FPK1335" s="4" t="s">
        <v>2879</v>
      </c>
      <c r="FPL1335" s="4" t="s">
        <v>2879</v>
      </c>
      <c r="FPM1335" s="4" t="s">
        <v>2879</v>
      </c>
      <c r="FPN1335" s="4" t="s">
        <v>2879</v>
      </c>
      <c r="FPO1335" s="4" t="s">
        <v>2879</v>
      </c>
      <c r="FPP1335" s="4" t="s">
        <v>2879</v>
      </c>
      <c r="FPQ1335" s="4" t="s">
        <v>2879</v>
      </c>
      <c r="FPR1335" s="4" t="s">
        <v>2879</v>
      </c>
      <c r="FPS1335" s="4" t="s">
        <v>2879</v>
      </c>
      <c r="FPT1335" s="4" t="s">
        <v>2879</v>
      </c>
      <c r="FPU1335" s="4" t="s">
        <v>2879</v>
      </c>
      <c r="FPV1335" s="4" t="s">
        <v>2879</v>
      </c>
      <c r="FPW1335" s="4" t="s">
        <v>2879</v>
      </c>
      <c r="FPX1335" s="4" t="s">
        <v>2879</v>
      </c>
      <c r="FPY1335" s="4" t="s">
        <v>2879</v>
      </c>
      <c r="FPZ1335" s="4" t="s">
        <v>2879</v>
      </c>
      <c r="FQA1335" s="4" t="s">
        <v>2879</v>
      </c>
      <c r="FQB1335" s="4" t="s">
        <v>2879</v>
      </c>
      <c r="FQC1335" s="4" t="s">
        <v>2879</v>
      </c>
      <c r="FQD1335" s="4" t="s">
        <v>2879</v>
      </c>
      <c r="FQE1335" s="4" t="s">
        <v>2879</v>
      </c>
      <c r="FQF1335" s="4" t="s">
        <v>2879</v>
      </c>
      <c r="FQG1335" s="4" t="s">
        <v>2879</v>
      </c>
      <c r="FQH1335" s="4" t="s">
        <v>2879</v>
      </c>
      <c r="FQI1335" s="4" t="s">
        <v>2879</v>
      </c>
      <c r="FQJ1335" s="4" t="s">
        <v>2879</v>
      </c>
      <c r="FQK1335" s="4" t="s">
        <v>2879</v>
      </c>
      <c r="FQL1335" s="4" t="s">
        <v>2879</v>
      </c>
      <c r="FQM1335" s="4" t="s">
        <v>2879</v>
      </c>
      <c r="FQN1335" s="4" t="s">
        <v>2879</v>
      </c>
      <c r="FQO1335" s="4" t="s">
        <v>2879</v>
      </c>
      <c r="FQP1335" s="4" t="s">
        <v>2879</v>
      </c>
      <c r="FQQ1335" s="4" t="s">
        <v>2879</v>
      </c>
      <c r="FQR1335" s="4" t="s">
        <v>2879</v>
      </c>
      <c r="FQS1335" s="4" t="s">
        <v>2879</v>
      </c>
      <c r="FQT1335" s="4" t="s">
        <v>2879</v>
      </c>
      <c r="FQU1335" s="4" t="s">
        <v>2879</v>
      </c>
      <c r="FQV1335" s="4" t="s">
        <v>2879</v>
      </c>
      <c r="FQW1335" s="4" t="s">
        <v>2879</v>
      </c>
      <c r="FQX1335" s="4" t="s">
        <v>2879</v>
      </c>
      <c r="FQY1335" s="4" t="s">
        <v>2879</v>
      </c>
      <c r="FQZ1335" s="4" t="s">
        <v>2879</v>
      </c>
      <c r="FRA1335" s="4" t="s">
        <v>2879</v>
      </c>
      <c r="FRB1335" s="4" t="s">
        <v>2879</v>
      </c>
      <c r="FRC1335" s="4" t="s">
        <v>2879</v>
      </c>
      <c r="FRD1335" s="4" t="s">
        <v>2879</v>
      </c>
      <c r="FRE1335" s="4" t="s">
        <v>2879</v>
      </c>
      <c r="FRF1335" s="4" t="s">
        <v>2879</v>
      </c>
      <c r="FRG1335" s="4" t="s">
        <v>2879</v>
      </c>
      <c r="FRH1335" s="4" t="s">
        <v>2879</v>
      </c>
      <c r="FRI1335" s="4" t="s">
        <v>2879</v>
      </c>
      <c r="FRJ1335" s="4" t="s">
        <v>2879</v>
      </c>
      <c r="FRK1335" s="4" t="s">
        <v>2879</v>
      </c>
      <c r="FRL1335" s="4" t="s">
        <v>2879</v>
      </c>
      <c r="FRM1335" s="4" t="s">
        <v>2879</v>
      </c>
      <c r="FRN1335" s="4" t="s">
        <v>2879</v>
      </c>
      <c r="FRO1335" s="4" t="s">
        <v>2879</v>
      </c>
      <c r="FRP1335" s="4" t="s">
        <v>2879</v>
      </c>
      <c r="FRQ1335" s="4" t="s">
        <v>2879</v>
      </c>
      <c r="FRR1335" s="4" t="s">
        <v>2879</v>
      </c>
      <c r="FRS1335" s="4" t="s">
        <v>2879</v>
      </c>
      <c r="FRT1335" s="4" t="s">
        <v>2879</v>
      </c>
      <c r="FRU1335" s="4" t="s">
        <v>2879</v>
      </c>
      <c r="FRV1335" s="4" t="s">
        <v>2879</v>
      </c>
      <c r="FRW1335" s="4" t="s">
        <v>2879</v>
      </c>
      <c r="FRX1335" s="4" t="s">
        <v>2879</v>
      </c>
      <c r="FRY1335" s="4" t="s">
        <v>2879</v>
      </c>
      <c r="FRZ1335" s="4" t="s">
        <v>2879</v>
      </c>
      <c r="FSA1335" s="4" t="s">
        <v>2879</v>
      </c>
      <c r="FSB1335" s="4" t="s">
        <v>2879</v>
      </c>
      <c r="FSC1335" s="4" t="s">
        <v>2879</v>
      </c>
      <c r="FSD1335" s="4" t="s">
        <v>2879</v>
      </c>
      <c r="FSE1335" s="4" t="s">
        <v>2879</v>
      </c>
      <c r="FSF1335" s="4" t="s">
        <v>2879</v>
      </c>
      <c r="FSG1335" s="4" t="s">
        <v>2879</v>
      </c>
      <c r="FSH1335" s="4" t="s">
        <v>2879</v>
      </c>
      <c r="FSI1335" s="4" t="s">
        <v>2879</v>
      </c>
      <c r="FSJ1335" s="4" t="s">
        <v>2879</v>
      </c>
      <c r="FSK1335" s="4" t="s">
        <v>2879</v>
      </c>
      <c r="FSL1335" s="4" t="s">
        <v>2879</v>
      </c>
      <c r="FSM1335" s="4" t="s">
        <v>2879</v>
      </c>
      <c r="FSN1335" s="4" t="s">
        <v>2879</v>
      </c>
      <c r="FSO1335" s="4" t="s">
        <v>2879</v>
      </c>
      <c r="FSP1335" s="4" t="s">
        <v>2879</v>
      </c>
      <c r="FSQ1335" s="4" t="s">
        <v>2879</v>
      </c>
      <c r="FSR1335" s="4" t="s">
        <v>2879</v>
      </c>
      <c r="FSS1335" s="4" t="s">
        <v>2879</v>
      </c>
      <c r="FST1335" s="4" t="s">
        <v>2879</v>
      </c>
      <c r="FSU1335" s="4" t="s">
        <v>2879</v>
      </c>
      <c r="FSV1335" s="4" t="s">
        <v>2879</v>
      </c>
      <c r="FSW1335" s="4" t="s">
        <v>2879</v>
      </c>
      <c r="FSX1335" s="4" t="s">
        <v>2879</v>
      </c>
      <c r="FSY1335" s="4" t="s">
        <v>2879</v>
      </c>
      <c r="FSZ1335" s="4" t="s">
        <v>2879</v>
      </c>
      <c r="FTA1335" s="4" t="s">
        <v>2879</v>
      </c>
      <c r="FTB1335" s="4" t="s">
        <v>2879</v>
      </c>
      <c r="FTC1335" s="4" t="s">
        <v>2879</v>
      </c>
      <c r="FTD1335" s="4" t="s">
        <v>2879</v>
      </c>
      <c r="FTE1335" s="4" t="s">
        <v>2879</v>
      </c>
      <c r="FTF1335" s="4" t="s">
        <v>2879</v>
      </c>
      <c r="FTG1335" s="4" t="s">
        <v>2879</v>
      </c>
      <c r="FTH1335" s="4" t="s">
        <v>2879</v>
      </c>
      <c r="FTI1335" s="4" t="s">
        <v>2879</v>
      </c>
      <c r="FTJ1335" s="4" t="s">
        <v>2879</v>
      </c>
      <c r="FTK1335" s="4" t="s">
        <v>2879</v>
      </c>
      <c r="FTL1335" s="4" t="s">
        <v>2879</v>
      </c>
      <c r="FTM1335" s="4" t="s">
        <v>2879</v>
      </c>
      <c r="FTN1335" s="4" t="s">
        <v>2879</v>
      </c>
      <c r="FTO1335" s="4" t="s">
        <v>2879</v>
      </c>
      <c r="FTP1335" s="4" t="s">
        <v>2879</v>
      </c>
      <c r="FTQ1335" s="4" t="s">
        <v>2879</v>
      </c>
      <c r="FTR1335" s="4" t="s">
        <v>2879</v>
      </c>
      <c r="FTS1335" s="4" t="s">
        <v>2879</v>
      </c>
      <c r="FTT1335" s="4" t="s">
        <v>2879</v>
      </c>
      <c r="FTU1335" s="4" t="s">
        <v>2879</v>
      </c>
      <c r="FTV1335" s="4" t="s">
        <v>2879</v>
      </c>
      <c r="FTW1335" s="4" t="s">
        <v>2879</v>
      </c>
      <c r="FTX1335" s="4" t="s">
        <v>2879</v>
      </c>
      <c r="FTY1335" s="4" t="s">
        <v>2879</v>
      </c>
      <c r="FTZ1335" s="4" t="s">
        <v>2879</v>
      </c>
      <c r="FUA1335" s="4" t="s">
        <v>2879</v>
      </c>
      <c r="FUB1335" s="4" t="s">
        <v>2879</v>
      </c>
      <c r="FUC1335" s="4" t="s">
        <v>2879</v>
      </c>
      <c r="FUD1335" s="4" t="s">
        <v>2879</v>
      </c>
      <c r="FUE1335" s="4" t="s">
        <v>2879</v>
      </c>
      <c r="FUF1335" s="4" t="s">
        <v>2879</v>
      </c>
      <c r="FUG1335" s="4" t="s">
        <v>2879</v>
      </c>
      <c r="FUH1335" s="4" t="s">
        <v>2879</v>
      </c>
      <c r="FUI1335" s="4" t="s">
        <v>2879</v>
      </c>
      <c r="FUJ1335" s="4" t="s">
        <v>2879</v>
      </c>
      <c r="FUK1335" s="4" t="s">
        <v>2879</v>
      </c>
      <c r="FUL1335" s="4" t="s">
        <v>2879</v>
      </c>
      <c r="FUM1335" s="4" t="s">
        <v>2879</v>
      </c>
      <c r="FUN1335" s="4" t="s">
        <v>2879</v>
      </c>
      <c r="FUO1335" s="4" t="s">
        <v>2879</v>
      </c>
      <c r="FUP1335" s="4" t="s">
        <v>2879</v>
      </c>
      <c r="FUQ1335" s="4" t="s">
        <v>2879</v>
      </c>
      <c r="FUR1335" s="4" t="s">
        <v>2879</v>
      </c>
      <c r="FUS1335" s="4" t="s">
        <v>2879</v>
      </c>
      <c r="FUT1335" s="4" t="s">
        <v>2879</v>
      </c>
      <c r="FUU1335" s="4" t="s">
        <v>2879</v>
      </c>
      <c r="FUV1335" s="4" t="s">
        <v>2879</v>
      </c>
      <c r="FUW1335" s="4" t="s">
        <v>2879</v>
      </c>
      <c r="FUX1335" s="4" t="s">
        <v>2879</v>
      </c>
      <c r="FUY1335" s="4" t="s">
        <v>2879</v>
      </c>
      <c r="FUZ1335" s="4" t="s">
        <v>2879</v>
      </c>
      <c r="FVA1335" s="4" t="s">
        <v>2879</v>
      </c>
      <c r="FVB1335" s="4" t="s">
        <v>2879</v>
      </c>
      <c r="FVC1335" s="4" t="s">
        <v>2879</v>
      </c>
      <c r="FVD1335" s="4" t="s">
        <v>2879</v>
      </c>
      <c r="FVE1335" s="4" t="s">
        <v>2879</v>
      </c>
      <c r="FVF1335" s="4" t="s">
        <v>2879</v>
      </c>
      <c r="FVG1335" s="4" t="s">
        <v>2879</v>
      </c>
      <c r="FVH1335" s="4" t="s">
        <v>2879</v>
      </c>
      <c r="FVI1335" s="4" t="s">
        <v>2879</v>
      </c>
      <c r="FVJ1335" s="4" t="s">
        <v>2879</v>
      </c>
      <c r="FVK1335" s="4" t="s">
        <v>2879</v>
      </c>
      <c r="FVL1335" s="4" t="s">
        <v>2879</v>
      </c>
      <c r="FVM1335" s="4" t="s">
        <v>2879</v>
      </c>
      <c r="FVN1335" s="4" t="s">
        <v>2879</v>
      </c>
      <c r="FVO1335" s="4" t="s">
        <v>2879</v>
      </c>
      <c r="FVP1335" s="4" t="s">
        <v>2879</v>
      </c>
      <c r="FVQ1335" s="4" t="s">
        <v>2879</v>
      </c>
      <c r="FVR1335" s="4" t="s">
        <v>2879</v>
      </c>
      <c r="FVS1335" s="4" t="s">
        <v>2879</v>
      </c>
      <c r="FVT1335" s="4" t="s">
        <v>2879</v>
      </c>
      <c r="FVU1335" s="4" t="s">
        <v>2879</v>
      </c>
      <c r="FVV1335" s="4" t="s">
        <v>2879</v>
      </c>
      <c r="FVW1335" s="4" t="s">
        <v>2879</v>
      </c>
      <c r="FVX1335" s="4" t="s">
        <v>2879</v>
      </c>
      <c r="FVY1335" s="4" t="s">
        <v>2879</v>
      </c>
      <c r="FVZ1335" s="4" t="s">
        <v>2879</v>
      </c>
      <c r="FWA1335" s="4" t="s">
        <v>2879</v>
      </c>
      <c r="FWB1335" s="4" t="s">
        <v>2879</v>
      </c>
      <c r="FWC1335" s="4" t="s">
        <v>2879</v>
      </c>
      <c r="FWD1335" s="4" t="s">
        <v>2879</v>
      </c>
      <c r="FWE1335" s="4" t="s">
        <v>2879</v>
      </c>
      <c r="FWF1335" s="4" t="s">
        <v>2879</v>
      </c>
      <c r="FWG1335" s="4" t="s">
        <v>2879</v>
      </c>
      <c r="FWH1335" s="4" t="s">
        <v>2879</v>
      </c>
      <c r="FWI1335" s="4" t="s">
        <v>2879</v>
      </c>
      <c r="FWJ1335" s="4" t="s">
        <v>2879</v>
      </c>
      <c r="FWK1335" s="4" t="s">
        <v>2879</v>
      </c>
      <c r="FWL1335" s="4" t="s">
        <v>2879</v>
      </c>
      <c r="FWM1335" s="4" t="s">
        <v>2879</v>
      </c>
      <c r="FWN1335" s="4" t="s">
        <v>2879</v>
      </c>
      <c r="FWO1335" s="4" t="s">
        <v>2879</v>
      </c>
      <c r="FWP1335" s="4" t="s">
        <v>2879</v>
      </c>
      <c r="FWQ1335" s="4" t="s">
        <v>2879</v>
      </c>
      <c r="FWR1335" s="4" t="s">
        <v>2879</v>
      </c>
      <c r="FWS1335" s="4" t="s">
        <v>2879</v>
      </c>
      <c r="FWT1335" s="4" t="s">
        <v>2879</v>
      </c>
      <c r="FWU1335" s="4" t="s">
        <v>2879</v>
      </c>
      <c r="FWV1335" s="4" t="s">
        <v>2879</v>
      </c>
      <c r="FWW1335" s="4" t="s">
        <v>2879</v>
      </c>
      <c r="FWX1335" s="4" t="s">
        <v>2879</v>
      </c>
      <c r="FWY1335" s="4" t="s">
        <v>2879</v>
      </c>
      <c r="FWZ1335" s="4" t="s">
        <v>2879</v>
      </c>
      <c r="FXA1335" s="4" t="s">
        <v>2879</v>
      </c>
      <c r="FXB1335" s="4" t="s">
        <v>2879</v>
      </c>
      <c r="FXC1335" s="4" t="s">
        <v>2879</v>
      </c>
      <c r="FXD1335" s="4" t="s">
        <v>2879</v>
      </c>
      <c r="FXE1335" s="4" t="s">
        <v>2879</v>
      </c>
      <c r="FXF1335" s="4" t="s">
        <v>2879</v>
      </c>
      <c r="FXG1335" s="4" t="s">
        <v>2879</v>
      </c>
      <c r="FXH1335" s="4" t="s">
        <v>2879</v>
      </c>
      <c r="FXI1335" s="4" t="s">
        <v>2879</v>
      </c>
      <c r="FXJ1335" s="4" t="s">
        <v>2879</v>
      </c>
      <c r="FXK1335" s="4" t="s">
        <v>2879</v>
      </c>
      <c r="FXL1335" s="4" t="s">
        <v>2879</v>
      </c>
      <c r="FXM1335" s="4" t="s">
        <v>2879</v>
      </c>
      <c r="FXN1335" s="4" t="s">
        <v>2879</v>
      </c>
      <c r="FXO1335" s="4" t="s">
        <v>2879</v>
      </c>
      <c r="FXP1335" s="4" t="s">
        <v>2879</v>
      </c>
      <c r="FXQ1335" s="4" t="s">
        <v>2879</v>
      </c>
      <c r="FXR1335" s="4" t="s">
        <v>2879</v>
      </c>
      <c r="FXS1335" s="4" t="s">
        <v>2879</v>
      </c>
      <c r="FXT1335" s="4" t="s">
        <v>2879</v>
      </c>
      <c r="FXU1335" s="4" t="s">
        <v>2879</v>
      </c>
      <c r="FXV1335" s="4" t="s">
        <v>2879</v>
      </c>
      <c r="FXW1335" s="4" t="s">
        <v>2879</v>
      </c>
      <c r="FXX1335" s="4" t="s">
        <v>2879</v>
      </c>
      <c r="FXY1335" s="4" t="s">
        <v>2879</v>
      </c>
      <c r="FXZ1335" s="4" t="s">
        <v>2879</v>
      </c>
      <c r="FYA1335" s="4" t="s">
        <v>2879</v>
      </c>
      <c r="FYB1335" s="4" t="s">
        <v>2879</v>
      </c>
      <c r="FYC1335" s="4" t="s">
        <v>2879</v>
      </c>
      <c r="FYD1335" s="4" t="s">
        <v>2879</v>
      </c>
      <c r="FYE1335" s="4" t="s">
        <v>2879</v>
      </c>
      <c r="FYF1335" s="4" t="s">
        <v>2879</v>
      </c>
      <c r="FYG1335" s="4" t="s">
        <v>2879</v>
      </c>
      <c r="FYH1335" s="4" t="s">
        <v>2879</v>
      </c>
      <c r="FYI1335" s="4" t="s">
        <v>2879</v>
      </c>
      <c r="FYJ1335" s="4" t="s">
        <v>2879</v>
      </c>
      <c r="FYK1335" s="4" t="s">
        <v>2879</v>
      </c>
      <c r="FYL1335" s="4" t="s">
        <v>2879</v>
      </c>
      <c r="FYM1335" s="4" t="s">
        <v>2879</v>
      </c>
      <c r="FYN1335" s="4" t="s">
        <v>2879</v>
      </c>
      <c r="FYO1335" s="4" t="s">
        <v>2879</v>
      </c>
      <c r="FYP1335" s="4" t="s">
        <v>2879</v>
      </c>
      <c r="FYQ1335" s="4" t="s">
        <v>2879</v>
      </c>
      <c r="FYR1335" s="4" t="s">
        <v>2879</v>
      </c>
      <c r="FYS1335" s="4" t="s">
        <v>2879</v>
      </c>
      <c r="FYT1335" s="4" t="s">
        <v>2879</v>
      </c>
      <c r="FYU1335" s="4" t="s">
        <v>2879</v>
      </c>
      <c r="FYV1335" s="4" t="s">
        <v>2879</v>
      </c>
      <c r="FYW1335" s="4" t="s">
        <v>2879</v>
      </c>
      <c r="FYX1335" s="4" t="s">
        <v>2879</v>
      </c>
      <c r="FYY1335" s="4" t="s">
        <v>2879</v>
      </c>
      <c r="FYZ1335" s="4" t="s">
        <v>2879</v>
      </c>
      <c r="FZA1335" s="4" t="s">
        <v>2879</v>
      </c>
      <c r="FZB1335" s="4" t="s">
        <v>2879</v>
      </c>
      <c r="FZC1335" s="4" t="s">
        <v>2879</v>
      </c>
      <c r="FZD1335" s="4" t="s">
        <v>2879</v>
      </c>
      <c r="FZE1335" s="4" t="s">
        <v>2879</v>
      </c>
      <c r="FZF1335" s="4" t="s">
        <v>2879</v>
      </c>
      <c r="FZG1335" s="4" t="s">
        <v>2879</v>
      </c>
      <c r="FZH1335" s="4" t="s">
        <v>2879</v>
      </c>
      <c r="FZI1335" s="4" t="s">
        <v>2879</v>
      </c>
      <c r="FZJ1335" s="4" t="s">
        <v>2879</v>
      </c>
      <c r="FZK1335" s="4" t="s">
        <v>2879</v>
      </c>
      <c r="FZL1335" s="4" t="s">
        <v>2879</v>
      </c>
      <c r="FZM1335" s="4" t="s">
        <v>2879</v>
      </c>
      <c r="FZN1335" s="4" t="s">
        <v>2879</v>
      </c>
      <c r="FZO1335" s="4" t="s">
        <v>2879</v>
      </c>
      <c r="FZP1335" s="4" t="s">
        <v>2879</v>
      </c>
      <c r="FZQ1335" s="4" t="s">
        <v>2879</v>
      </c>
      <c r="FZR1335" s="4" t="s">
        <v>2879</v>
      </c>
      <c r="FZS1335" s="4" t="s">
        <v>2879</v>
      </c>
      <c r="FZT1335" s="4" t="s">
        <v>2879</v>
      </c>
      <c r="FZU1335" s="4" t="s">
        <v>2879</v>
      </c>
      <c r="FZV1335" s="4" t="s">
        <v>2879</v>
      </c>
      <c r="FZW1335" s="4" t="s">
        <v>2879</v>
      </c>
      <c r="FZX1335" s="4" t="s">
        <v>2879</v>
      </c>
      <c r="FZY1335" s="4" t="s">
        <v>2879</v>
      </c>
      <c r="FZZ1335" s="4" t="s">
        <v>2879</v>
      </c>
      <c r="GAA1335" s="4" t="s">
        <v>2879</v>
      </c>
      <c r="GAB1335" s="4" t="s">
        <v>2879</v>
      </c>
      <c r="GAC1335" s="4" t="s">
        <v>2879</v>
      </c>
      <c r="GAD1335" s="4" t="s">
        <v>2879</v>
      </c>
      <c r="GAE1335" s="4" t="s">
        <v>2879</v>
      </c>
      <c r="GAF1335" s="4" t="s">
        <v>2879</v>
      </c>
      <c r="GAG1335" s="4" t="s">
        <v>2879</v>
      </c>
      <c r="GAH1335" s="4" t="s">
        <v>2879</v>
      </c>
      <c r="GAI1335" s="4" t="s">
        <v>2879</v>
      </c>
      <c r="GAJ1335" s="4" t="s">
        <v>2879</v>
      </c>
      <c r="GAK1335" s="4" t="s">
        <v>2879</v>
      </c>
      <c r="GAL1335" s="4" t="s">
        <v>2879</v>
      </c>
      <c r="GAM1335" s="4" t="s">
        <v>2879</v>
      </c>
      <c r="GAN1335" s="4" t="s">
        <v>2879</v>
      </c>
      <c r="GAO1335" s="4" t="s">
        <v>2879</v>
      </c>
      <c r="GAP1335" s="4" t="s">
        <v>2879</v>
      </c>
      <c r="GAQ1335" s="4" t="s">
        <v>2879</v>
      </c>
      <c r="GAR1335" s="4" t="s">
        <v>2879</v>
      </c>
      <c r="GAS1335" s="4" t="s">
        <v>2879</v>
      </c>
      <c r="GAT1335" s="4" t="s">
        <v>2879</v>
      </c>
      <c r="GAU1335" s="4" t="s">
        <v>2879</v>
      </c>
      <c r="GAV1335" s="4" t="s">
        <v>2879</v>
      </c>
      <c r="GAW1335" s="4" t="s">
        <v>2879</v>
      </c>
      <c r="GAX1335" s="4" t="s">
        <v>2879</v>
      </c>
      <c r="GAY1335" s="4" t="s">
        <v>2879</v>
      </c>
      <c r="GAZ1335" s="4" t="s">
        <v>2879</v>
      </c>
      <c r="GBA1335" s="4" t="s">
        <v>2879</v>
      </c>
      <c r="GBB1335" s="4" t="s">
        <v>2879</v>
      </c>
      <c r="GBC1335" s="4" t="s">
        <v>2879</v>
      </c>
      <c r="GBD1335" s="4" t="s">
        <v>2879</v>
      </c>
      <c r="GBE1335" s="4" t="s">
        <v>2879</v>
      </c>
      <c r="GBF1335" s="4" t="s">
        <v>2879</v>
      </c>
      <c r="GBG1335" s="4" t="s">
        <v>2879</v>
      </c>
      <c r="GBH1335" s="4" t="s">
        <v>2879</v>
      </c>
      <c r="GBI1335" s="4" t="s">
        <v>2879</v>
      </c>
      <c r="GBJ1335" s="4" t="s">
        <v>2879</v>
      </c>
      <c r="GBK1335" s="4" t="s">
        <v>2879</v>
      </c>
      <c r="GBL1335" s="4" t="s">
        <v>2879</v>
      </c>
      <c r="GBM1335" s="4" t="s">
        <v>2879</v>
      </c>
      <c r="GBN1335" s="4" t="s">
        <v>2879</v>
      </c>
      <c r="GBO1335" s="4" t="s">
        <v>2879</v>
      </c>
      <c r="GBP1335" s="4" t="s">
        <v>2879</v>
      </c>
      <c r="GBQ1335" s="4" t="s">
        <v>2879</v>
      </c>
      <c r="GBR1335" s="4" t="s">
        <v>2879</v>
      </c>
      <c r="GBS1335" s="4" t="s">
        <v>2879</v>
      </c>
      <c r="GBT1335" s="4" t="s">
        <v>2879</v>
      </c>
      <c r="GBU1335" s="4" t="s">
        <v>2879</v>
      </c>
      <c r="GBV1335" s="4" t="s">
        <v>2879</v>
      </c>
      <c r="GBW1335" s="4" t="s">
        <v>2879</v>
      </c>
      <c r="GBX1335" s="4" t="s">
        <v>2879</v>
      </c>
      <c r="GBY1335" s="4" t="s">
        <v>2879</v>
      </c>
      <c r="GBZ1335" s="4" t="s">
        <v>2879</v>
      </c>
      <c r="GCA1335" s="4" t="s">
        <v>2879</v>
      </c>
      <c r="GCB1335" s="4" t="s">
        <v>2879</v>
      </c>
      <c r="GCC1335" s="4" t="s">
        <v>2879</v>
      </c>
      <c r="GCD1335" s="4" t="s">
        <v>2879</v>
      </c>
      <c r="GCE1335" s="4" t="s">
        <v>2879</v>
      </c>
      <c r="GCF1335" s="4" t="s">
        <v>2879</v>
      </c>
      <c r="GCG1335" s="4" t="s">
        <v>2879</v>
      </c>
      <c r="GCH1335" s="4" t="s">
        <v>2879</v>
      </c>
      <c r="GCI1335" s="4" t="s">
        <v>2879</v>
      </c>
      <c r="GCJ1335" s="4" t="s">
        <v>2879</v>
      </c>
      <c r="GCK1335" s="4" t="s">
        <v>2879</v>
      </c>
      <c r="GCL1335" s="4" t="s">
        <v>2879</v>
      </c>
      <c r="GCM1335" s="4" t="s">
        <v>2879</v>
      </c>
      <c r="GCN1335" s="4" t="s">
        <v>2879</v>
      </c>
      <c r="GCO1335" s="4" t="s">
        <v>2879</v>
      </c>
      <c r="GCP1335" s="4" t="s">
        <v>2879</v>
      </c>
      <c r="GCQ1335" s="4" t="s">
        <v>2879</v>
      </c>
      <c r="GCR1335" s="4" t="s">
        <v>2879</v>
      </c>
      <c r="GCS1335" s="4" t="s">
        <v>2879</v>
      </c>
      <c r="GCT1335" s="4" t="s">
        <v>2879</v>
      </c>
      <c r="GCU1335" s="4" t="s">
        <v>2879</v>
      </c>
      <c r="GCV1335" s="4" t="s">
        <v>2879</v>
      </c>
      <c r="GCW1335" s="4" t="s">
        <v>2879</v>
      </c>
      <c r="GCX1335" s="4" t="s">
        <v>2879</v>
      </c>
      <c r="GCY1335" s="4" t="s">
        <v>2879</v>
      </c>
      <c r="GCZ1335" s="4" t="s">
        <v>2879</v>
      </c>
      <c r="GDA1335" s="4" t="s">
        <v>2879</v>
      </c>
      <c r="GDB1335" s="4" t="s">
        <v>2879</v>
      </c>
      <c r="GDC1335" s="4" t="s">
        <v>2879</v>
      </c>
      <c r="GDD1335" s="4" t="s">
        <v>2879</v>
      </c>
      <c r="GDE1335" s="4" t="s">
        <v>2879</v>
      </c>
      <c r="GDF1335" s="4" t="s">
        <v>2879</v>
      </c>
      <c r="GDG1335" s="4" t="s">
        <v>2879</v>
      </c>
      <c r="GDH1335" s="4" t="s">
        <v>2879</v>
      </c>
      <c r="GDI1335" s="4" t="s">
        <v>2879</v>
      </c>
      <c r="GDJ1335" s="4" t="s">
        <v>2879</v>
      </c>
      <c r="GDK1335" s="4" t="s">
        <v>2879</v>
      </c>
      <c r="GDL1335" s="4" t="s">
        <v>2879</v>
      </c>
      <c r="GDM1335" s="4" t="s">
        <v>2879</v>
      </c>
      <c r="GDN1335" s="4" t="s">
        <v>2879</v>
      </c>
      <c r="GDO1335" s="4" t="s">
        <v>2879</v>
      </c>
      <c r="GDP1335" s="4" t="s">
        <v>2879</v>
      </c>
      <c r="GDQ1335" s="4" t="s">
        <v>2879</v>
      </c>
      <c r="GDR1335" s="4" t="s">
        <v>2879</v>
      </c>
      <c r="GDS1335" s="4" t="s">
        <v>2879</v>
      </c>
      <c r="GDT1335" s="4" t="s">
        <v>2879</v>
      </c>
      <c r="GDU1335" s="4" t="s">
        <v>2879</v>
      </c>
      <c r="GDV1335" s="4" t="s">
        <v>2879</v>
      </c>
      <c r="GDW1335" s="4" t="s">
        <v>2879</v>
      </c>
      <c r="GDX1335" s="4" t="s">
        <v>2879</v>
      </c>
      <c r="GDY1335" s="4" t="s">
        <v>2879</v>
      </c>
      <c r="GDZ1335" s="4" t="s">
        <v>2879</v>
      </c>
      <c r="GEA1335" s="4" t="s">
        <v>2879</v>
      </c>
      <c r="GEB1335" s="4" t="s">
        <v>2879</v>
      </c>
      <c r="GEC1335" s="4" t="s">
        <v>2879</v>
      </c>
      <c r="GED1335" s="4" t="s">
        <v>2879</v>
      </c>
      <c r="GEE1335" s="4" t="s">
        <v>2879</v>
      </c>
      <c r="GEF1335" s="4" t="s">
        <v>2879</v>
      </c>
      <c r="GEG1335" s="4" t="s">
        <v>2879</v>
      </c>
      <c r="GEH1335" s="4" t="s">
        <v>2879</v>
      </c>
      <c r="GEI1335" s="4" t="s">
        <v>2879</v>
      </c>
      <c r="GEJ1335" s="4" t="s">
        <v>2879</v>
      </c>
      <c r="GEK1335" s="4" t="s">
        <v>2879</v>
      </c>
      <c r="GEL1335" s="4" t="s">
        <v>2879</v>
      </c>
      <c r="GEM1335" s="4" t="s">
        <v>2879</v>
      </c>
      <c r="GEN1335" s="4" t="s">
        <v>2879</v>
      </c>
      <c r="GEO1335" s="4" t="s">
        <v>2879</v>
      </c>
      <c r="GEP1335" s="4" t="s">
        <v>2879</v>
      </c>
      <c r="GEQ1335" s="4" t="s">
        <v>2879</v>
      </c>
      <c r="GER1335" s="4" t="s">
        <v>2879</v>
      </c>
      <c r="GES1335" s="4" t="s">
        <v>2879</v>
      </c>
      <c r="GET1335" s="4" t="s">
        <v>2879</v>
      </c>
      <c r="GEU1335" s="4" t="s">
        <v>2879</v>
      </c>
      <c r="GEV1335" s="4" t="s">
        <v>2879</v>
      </c>
      <c r="GEW1335" s="4" t="s">
        <v>2879</v>
      </c>
      <c r="GEX1335" s="4" t="s">
        <v>2879</v>
      </c>
      <c r="GEY1335" s="4" t="s">
        <v>2879</v>
      </c>
      <c r="GEZ1335" s="4" t="s">
        <v>2879</v>
      </c>
      <c r="GFA1335" s="4" t="s">
        <v>2879</v>
      </c>
      <c r="GFB1335" s="4" t="s">
        <v>2879</v>
      </c>
      <c r="GFC1335" s="4" t="s">
        <v>2879</v>
      </c>
      <c r="GFD1335" s="4" t="s">
        <v>2879</v>
      </c>
      <c r="GFE1335" s="4" t="s">
        <v>2879</v>
      </c>
      <c r="GFF1335" s="4" t="s">
        <v>2879</v>
      </c>
      <c r="GFG1335" s="4" t="s">
        <v>2879</v>
      </c>
      <c r="GFH1335" s="4" t="s">
        <v>2879</v>
      </c>
      <c r="GFI1335" s="4" t="s">
        <v>2879</v>
      </c>
      <c r="GFJ1335" s="4" t="s">
        <v>2879</v>
      </c>
      <c r="GFK1335" s="4" t="s">
        <v>2879</v>
      </c>
      <c r="GFL1335" s="4" t="s">
        <v>2879</v>
      </c>
      <c r="GFM1335" s="4" t="s">
        <v>2879</v>
      </c>
      <c r="GFN1335" s="4" t="s">
        <v>2879</v>
      </c>
      <c r="GFO1335" s="4" t="s">
        <v>2879</v>
      </c>
      <c r="GFP1335" s="4" t="s">
        <v>2879</v>
      </c>
      <c r="GFQ1335" s="4" t="s">
        <v>2879</v>
      </c>
      <c r="GFR1335" s="4" t="s">
        <v>2879</v>
      </c>
      <c r="GFS1335" s="4" t="s">
        <v>2879</v>
      </c>
      <c r="GFT1335" s="4" t="s">
        <v>2879</v>
      </c>
      <c r="GFU1335" s="4" t="s">
        <v>2879</v>
      </c>
      <c r="GFV1335" s="4" t="s">
        <v>2879</v>
      </c>
      <c r="GFW1335" s="4" t="s">
        <v>2879</v>
      </c>
      <c r="GFX1335" s="4" t="s">
        <v>2879</v>
      </c>
      <c r="GFY1335" s="4" t="s">
        <v>2879</v>
      </c>
      <c r="GFZ1335" s="4" t="s">
        <v>2879</v>
      </c>
      <c r="GGA1335" s="4" t="s">
        <v>2879</v>
      </c>
      <c r="GGB1335" s="4" t="s">
        <v>2879</v>
      </c>
      <c r="GGC1335" s="4" t="s">
        <v>2879</v>
      </c>
      <c r="GGD1335" s="4" t="s">
        <v>2879</v>
      </c>
      <c r="GGE1335" s="4" t="s">
        <v>2879</v>
      </c>
      <c r="GGF1335" s="4" t="s">
        <v>2879</v>
      </c>
      <c r="GGG1335" s="4" t="s">
        <v>2879</v>
      </c>
      <c r="GGH1335" s="4" t="s">
        <v>2879</v>
      </c>
      <c r="GGI1335" s="4" t="s">
        <v>2879</v>
      </c>
      <c r="GGJ1335" s="4" t="s">
        <v>2879</v>
      </c>
      <c r="GGK1335" s="4" t="s">
        <v>2879</v>
      </c>
      <c r="GGL1335" s="4" t="s">
        <v>2879</v>
      </c>
      <c r="GGM1335" s="4" t="s">
        <v>2879</v>
      </c>
      <c r="GGN1335" s="4" t="s">
        <v>2879</v>
      </c>
      <c r="GGO1335" s="4" t="s">
        <v>2879</v>
      </c>
      <c r="GGP1335" s="4" t="s">
        <v>2879</v>
      </c>
      <c r="GGQ1335" s="4" t="s">
        <v>2879</v>
      </c>
      <c r="GGR1335" s="4" t="s">
        <v>2879</v>
      </c>
      <c r="GGS1335" s="4" t="s">
        <v>2879</v>
      </c>
      <c r="GGT1335" s="4" t="s">
        <v>2879</v>
      </c>
      <c r="GGU1335" s="4" t="s">
        <v>2879</v>
      </c>
      <c r="GGV1335" s="4" t="s">
        <v>2879</v>
      </c>
      <c r="GGW1335" s="4" t="s">
        <v>2879</v>
      </c>
      <c r="GGX1335" s="4" t="s">
        <v>2879</v>
      </c>
      <c r="GGY1335" s="4" t="s">
        <v>2879</v>
      </c>
      <c r="GGZ1335" s="4" t="s">
        <v>2879</v>
      </c>
      <c r="GHA1335" s="4" t="s">
        <v>2879</v>
      </c>
      <c r="GHB1335" s="4" t="s">
        <v>2879</v>
      </c>
      <c r="GHC1335" s="4" t="s">
        <v>2879</v>
      </c>
      <c r="GHD1335" s="4" t="s">
        <v>2879</v>
      </c>
      <c r="GHE1335" s="4" t="s">
        <v>2879</v>
      </c>
      <c r="GHF1335" s="4" t="s">
        <v>2879</v>
      </c>
      <c r="GHG1335" s="4" t="s">
        <v>2879</v>
      </c>
      <c r="GHH1335" s="4" t="s">
        <v>2879</v>
      </c>
      <c r="GHI1335" s="4" t="s">
        <v>2879</v>
      </c>
      <c r="GHJ1335" s="4" t="s">
        <v>2879</v>
      </c>
      <c r="GHK1335" s="4" t="s">
        <v>2879</v>
      </c>
      <c r="GHL1335" s="4" t="s">
        <v>2879</v>
      </c>
      <c r="GHM1335" s="4" t="s">
        <v>2879</v>
      </c>
      <c r="GHN1335" s="4" t="s">
        <v>2879</v>
      </c>
      <c r="GHO1335" s="4" t="s">
        <v>2879</v>
      </c>
      <c r="GHP1335" s="4" t="s">
        <v>2879</v>
      </c>
      <c r="GHQ1335" s="4" t="s">
        <v>2879</v>
      </c>
      <c r="GHR1335" s="4" t="s">
        <v>2879</v>
      </c>
      <c r="GHS1335" s="4" t="s">
        <v>2879</v>
      </c>
      <c r="GHT1335" s="4" t="s">
        <v>2879</v>
      </c>
      <c r="GHU1335" s="4" t="s">
        <v>2879</v>
      </c>
      <c r="GHV1335" s="4" t="s">
        <v>2879</v>
      </c>
      <c r="GHW1335" s="4" t="s">
        <v>2879</v>
      </c>
      <c r="GHX1335" s="4" t="s">
        <v>2879</v>
      </c>
      <c r="GHY1335" s="4" t="s">
        <v>2879</v>
      </c>
      <c r="GHZ1335" s="4" t="s">
        <v>2879</v>
      </c>
      <c r="GIA1335" s="4" t="s">
        <v>2879</v>
      </c>
      <c r="GIB1335" s="4" t="s">
        <v>2879</v>
      </c>
      <c r="GIC1335" s="4" t="s">
        <v>2879</v>
      </c>
      <c r="GID1335" s="4" t="s">
        <v>2879</v>
      </c>
      <c r="GIE1335" s="4" t="s">
        <v>2879</v>
      </c>
      <c r="GIF1335" s="4" t="s">
        <v>2879</v>
      </c>
      <c r="GIG1335" s="4" t="s">
        <v>2879</v>
      </c>
      <c r="GIH1335" s="4" t="s">
        <v>2879</v>
      </c>
      <c r="GII1335" s="4" t="s">
        <v>2879</v>
      </c>
      <c r="GIJ1335" s="4" t="s">
        <v>2879</v>
      </c>
      <c r="GIK1335" s="4" t="s">
        <v>2879</v>
      </c>
      <c r="GIL1335" s="4" t="s">
        <v>2879</v>
      </c>
      <c r="GIM1335" s="4" t="s">
        <v>2879</v>
      </c>
      <c r="GIN1335" s="4" t="s">
        <v>2879</v>
      </c>
      <c r="GIO1335" s="4" t="s">
        <v>2879</v>
      </c>
      <c r="GIP1335" s="4" t="s">
        <v>2879</v>
      </c>
      <c r="GIQ1335" s="4" t="s">
        <v>2879</v>
      </c>
      <c r="GIR1335" s="4" t="s">
        <v>2879</v>
      </c>
      <c r="GIS1335" s="4" t="s">
        <v>2879</v>
      </c>
      <c r="GIT1335" s="4" t="s">
        <v>2879</v>
      </c>
      <c r="GIU1335" s="4" t="s">
        <v>2879</v>
      </c>
      <c r="GIV1335" s="4" t="s">
        <v>2879</v>
      </c>
      <c r="GIW1335" s="4" t="s">
        <v>2879</v>
      </c>
      <c r="GIX1335" s="4" t="s">
        <v>2879</v>
      </c>
      <c r="GIY1335" s="4" t="s">
        <v>2879</v>
      </c>
      <c r="GIZ1335" s="4" t="s">
        <v>2879</v>
      </c>
      <c r="GJA1335" s="4" t="s">
        <v>2879</v>
      </c>
      <c r="GJB1335" s="4" t="s">
        <v>2879</v>
      </c>
      <c r="GJC1335" s="4" t="s">
        <v>2879</v>
      </c>
      <c r="GJD1335" s="4" t="s">
        <v>2879</v>
      </c>
      <c r="GJE1335" s="4" t="s">
        <v>2879</v>
      </c>
      <c r="GJF1335" s="4" t="s">
        <v>2879</v>
      </c>
      <c r="GJG1335" s="4" t="s">
        <v>2879</v>
      </c>
      <c r="GJH1335" s="4" t="s">
        <v>2879</v>
      </c>
      <c r="GJI1335" s="4" t="s">
        <v>2879</v>
      </c>
      <c r="GJJ1335" s="4" t="s">
        <v>2879</v>
      </c>
      <c r="GJK1335" s="4" t="s">
        <v>2879</v>
      </c>
      <c r="GJL1335" s="4" t="s">
        <v>2879</v>
      </c>
      <c r="GJM1335" s="4" t="s">
        <v>2879</v>
      </c>
      <c r="GJN1335" s="4" t="s">
        <v>2879</v>
      </c>
      <c r="GJO1335" s="4" t="s">
        <v>2879</v>
      </c>
      <c r="GJP1335" s="4" t="s">
        <v>2879</v>
      </c>
      <c r="GJQ1335" s="4" t="s">
        <v>2879</v>
      </c>
      <c r="GJR1335" s="4" t="s">
        <v>2879</v>
      </c>
      <c r="GJS1335" s="4" t="s">
        <v>2879</v>
      </c>
      <c r="GJT1335" s="4" t="s">
        <v>2879</v>
      </c>
      <c r="GJU1335" s="4" t="s">
        <v>2879</v>
      </c>
      <c r="GJV1335" s="4" t="s">
        <v>2879</v>
      </c>
      <c r="GJW1335" s="4" t="s">
        <v>2879</v>
      </c>
      <c r="GJX1335" s="4" t="s">
        <v>2879</v>
      </c>
      <c r="GJY1335" s="4" t="s">
        <v>2879</v>
      </c>
      <c r="GJZ1335" s="4" t="s">
        <v>2879</v>
      </c>
      <c r="GKA1335" s="4" t="s">
        <v>2879</v>
      </c>
      <c r="GKB1335" s="4" t="s">
        <v>2879</v>
      </c>
      <c r="GKC1335" s="4" t="s">
        <v>2879</v>
      </c>
      <c r="GKD1335" s="4" t="s">
        <v>2879</v>
      </c>
      <c r="GKE1335" s="4" t="s">
        <v>2879</v>
      </c>
      <c r="GKF1335" s="4" t="s">
        <v>2879</v>
      </c>
      <c r="GKG1335" s="4" t="s">
        <v>2879</v>
      </c>
      <c r="GKH1335" s="4" t="s">
        <v>2879</v>
      </c>
      <c r="GKI1335" s="4" t="s">
        <v>2879</v>
      </c>
      <c r="GKJ1335" s="4" t="s">
        <v>2879</v>
      </c>
      <c r="GKK1335" s="4" t="s">
        <v>2879</v>
      </c>
      <c r="GKL1335" s="4" t="s">
        <v>2879</v>
      </c>
      <c r="GKM1335" s="4" t="s">
        <v>2879</v>
      </c>
      <c r="GKN1335" s="4" t="s">
        <v>2879</v>
      </c>
      <c r="GKO1335" s="4" t="s">
        <v>2879</v>
      </c>
      <c r="GKP1335" s="4" t="s">
        <v>2879</v>
      </c>
      <c r="GKQ1335" s="4" t="s">
        <v>2879</v>
      </c>
      <c r="GKR1335" s="4" t="s">
        <v>2879</v>
      </c>
      <c r="GKS1335" s="4" t="s">
        <v>2879</v>
      </c>
      <c r="GKT1335" s="4" t="s">
        <v>2879</v>
      </c>
      <c r="GKU1335" s="4" t="s">
        <v>2879</v>
      </c>
      <c r="GKV1335" s="4" t="s">
        <v>2879</v>
      </c>
      <c r="GKW1335" s="4" t="s">
        <v>2879</v>
      </c>
      <c r="GKX1335" s="4" t="s">
        <v>2879</v>
      </c>
      <c r="GKY1335" s="4" t="s">
        <v>2879</v>
      </c>
      <c r="GKZ1335" s="4" t="s">
        <v>2879</v>
      </c>
      <c r="GLA1335" s="4" t="s">
        <v>2879</v>
      </c>
      <c r="GLB1335" s="4" t="s">
        <v>2879</v>
      </c>
      <c r="GLC1335" s="4" t="s">
        <v>2879</v>
      </c>
      <c r="GLD1335" s="4" t="s">
        <v>2879</v>
      </c>
      <c r="GLE1335" s="4" t="s">
        <v>2879</v>
      </c>
      <c r="GLF1335" s="4" t="s">
        <v>2879</v>
      </c>
      <c r="GLG1335" s="4" t="s">
        <v>2879</v>
      </c>
      <c r="GLH1335" s="4" t="s">
        <v>2879</v>
      </c>
      <c r="GLI1335" s="4" t="s">
        <v>2879</v>
      </c>
      <c r="GLJ1335" s="4" t="s">
        <v>2879</v>
      </c>
      <c r="GLK1335" s="4" t="s">
        <v>2879</v>
      </c>
      <c r="GLL1335" s="4" t="s">
        <v>2879</v>
      </c>
      <c r="GLM1335" s="4" t="s">
        <v>2879</v>
      </c>
      <c r="GLN1335" s="4" t="s">
        <v>2879</v>
      </c>
      <c r="GLO1335" s="4" t="s">
        <v>2879</v>
      </c>
      <c r="GLP1335" s="4" t="s">
        <v>2879</v>
      </c>
      <c r="GLQ1335" s="4" t="s">
        <v>2879</v>
      </c>
      <c r="GLR1335" s="4" t="s">
        <v>2879</v>
      </c>
      <c r="GLS1335" s="4" t="s">
        <v>2879</v>
      </c>
      <c r="GLT1335" s="4" t="s">
        <v>2879</v>
      </c>
      <c r="GLU1335" s="4" t="s">
        <v>2879</v>
      </c>
      <c r="GLV1335" s="4" t="s">
        <v>2879</v>
      </c>
      <c r="GLW1335" s="4" t="s">
        <v>2879</v>
      </c>
      <c r="GLX1335" s="4" t="s">
        <v>2879</v>
      </c>
      <c r="GLY1335" s="4" t="s">
        <v>2879</v>
      </c>
      <c r="GLZ1335" s="4" t="s">
        <v>2879</v>
      </c>
      <c r="GMA1335" s="4" t="s">
        <v>2879</v>
      </c>
      <c r="GMB1335" s="4" t="s">
        <v>2879</v>
      </c>
      <c r="GMC1335" s="4" t="s">
        <v>2879</v>
      </c>
      <c r="GMD1335" s="4" t="s">
        <v>2879</v>
      </c>
      <c r="GME1335" s="4" t="s">
        <v>2879</v>
      </c>
      <c r="GMF1335" s="4" t="s">
        <v>2879</v>
      </c>
      <c r="GMG1335" s="4" t="s">
        <v>2879</v>
      </c>
      <c r="GMH1335" s="4" t="s">
        <v>2879</v>
      </c>
      <c r="GMI1335" s="4" t="s">
        <v>2879</v>
      </c>
      <c r="GMJ1335" s="4" t="s">
        <v>2879</v>
      </c>
      <c r="GMK1335" s="4" t="s">
        <v>2879</v>
      </c>
      <c r="GML1335" s="4" t="s">
        <v>2879</v>
      </c>
      <c r="GMM1335" s="4" t="s">
        <v>2879</v>
      </c>
      <c r="GMN1335" s="4" t="s">
        <v>2879</v>
      </c>
      <c r="GMO1335" s="4" t="s">
        <v>2879</v>
      </c>
      <c r="GMP1335" s="4" t="s">
        <v>2879</v>
      </c>
      <c r="GMQ1335" s="4" t="s">
        <v>2879</v>
      </c>
      <c r="GMR1335" s="4" t="s">
        <v>2879</v>
      </c>
      <c r="GMS1335" s="4" t="s">
        <v>2879</v>
      </c>
      <c r="GMT1335" s="4" t="s">
        <v>2879</v>
      </c>
      <c r="GMU1335" s="4" t="s">
        <v>2879</v>
      </c>
      <c r="GMV1335" s="4" t="s">
        <v>2879</v>
      </c>
      <c r="GMW1335" s="4" t="s">
        <v>2879</v>
      </c>
      <c r="GMX1335" s="4" t="s">
        <v>2879</v>
      </c>
      <c r="GMY1335" s="4" t="s">
        <v>2879</v>
      </c>
      <c r="GMZ1335" s="4" t="s">
        <v>2879</v>
      </c>
      <c r="GNA1335" s="4" t="s">
        <v>2879</v>
      </c>
      <c r="GNB1335" s="4" t="s">
        <v>2879</v>
      </c>
      <c r="GNC1335" s="4" t="s">
        <v>2879</v>
      </c>
      <c r="GND1335" s="4" t="s">
        <v>2879</v>
      </c>
      <c r="GNE1335" s="4" t="s">
        <v>2879</v>
      </c>
      <c r="GNF1335" s="4" t="s">
        <v>2879</v>
      </c>
      <c r="GNG1335" s="4" t="s">
        <v>2879</v>
      </c>
      <c r="GNH1335" s="4" t="s">
        <v>2879</v>
      </c>
      <c r="GNI1335" s="4" t="s">
        <v>2879</v>
      </c>
      <c r="GNJ1335" s="4" t="s">
        <v>2879</v>
      </c>
      <c r="GNK1335" s="4" t="s">
        <v>2879</v>
      </c>
      <c r="GNL1335" s="4" t="s">
        <v>2879</v>
      </c>
      <c r="GNM1335" s="4" t="s">
        <v>2879</v>
      </c>
      <c r="GNN1335" s="4" t="s">
        <v>2879</v>
      </c>
      <c r="GNO1335" s="4" t="s">
        <v>2879</v>
      </c>
      <c r="GNP1335" s="4" t="s">
        <v>2879</v>
      </c>
      <c r="GNQ1335" s="4" t="s">
        <v>2879</v>
      </c>
      <c r="GNR1335" s="4" t="s">
        <v>2879</v>
      </c>
      <c r="GNS1335" s="4" t="s">
        <v>2879</v>
      </c>
      <c r="GNT1335" s="4" t="s">
        <v>2879</v>
      </c>
      <c r="GNU1335" s="4" t="s">
        <v>2879</v>
      </c>
      <c r="GNV1335" s="4" t="s">
        <v>2879</v>
      </c>
      <c r="GNW1335" s="4" t="s">
        <v>2879</v>
      </c>
      <c r="GNX1335" s="4" t="s">
        <v>2879</v>
      </c>
      <c r="GNY1335" s="4" t="s">
        <v>2879</v>
      </c>
      <c r="GNZ1335" s="4" t="s">
        <v>2879</v>
      </c>
      <c r="GOA1335" s="4" t="s">
        <v>2879</v>
      </c>
      <c r="GOB1335" s="4" t="s">
        <v>2879</v>
      </c>
      <c r="GOC1335" s="4" t="s">
        <v>2879</v>
      </c>
      <c r="GOD1335" s="4" t="s">
        <v>2879</v>
      </c>
      <c r="GOE1335" s="4" t="s">
        <v>2879</v>
      </c>
      <c r="GOF1335" s="4" t="s">
        <v>2879</v>
      </c>
      <c r="GOG1335" s="4" t="s">
        <v>2879</v>
      </c>
      <c r="GOH1335" s="4" t="s">
        <v>2879</v>
      </c>
      <c r="GOI1335" s="4" t="s">
        <v>2879</v>
      </c>
      <c r="GOJ1335" s="4" t="s">
        <v>2879</v>
      </c>
      <c r="GOK1335" s="4" t="s">
        <v>2879</v>
      </c>
      <c r="GOL1335" s="4" t="s">
        <v>2879</v>
      </c>
      <c r="GOM1335" s="4" t="s">
        <v>2879</v>
      </c>
      <c r="GON1335" s="4" t="s">
        <v>2879</v>
      </c>
      <c r="GOO1335" s="4" t="s">
        <v>2879</v>
      </c>
      <c r="GOP1335" s="4" t="s">
        <v>2879</v>
      </c>
      <c r="GOQ1335" s="4" t="s">
        <v>2879</v>
      </c>
      <c r="GOR1335" s="4" t="s">
        <v>2879</v>
      </c>
      <c r="GOS1335" s="4" t="s">
        <v>2879</v>
      </c>
      <c r="GOT1335" s="4" t="s">
        <v>2879</v>
      </c>
      <c r="GOU1335" s="4" t="s">
        <v>2879</v>
      </c>
      <c r="GOV1335" s="4" t="s">
        <v>2879</v>
      </c>
      <c r="GOW1335" s="4" t="s">
        <v>2879</v>
      </c>
      <c r="GOX1335" s="4" t="s">
        <v>2879</v>
      </c>
      <c r="GOY1335" s="4" t="s">
        <v>2879</v>
      </c>
      <c r="GOZ1335" s="4" t="s">
        <v>2879</v>
      </c>
      <c r="GPA1335" s="4" t="s">
        <v>2879</v>
      </c>
      <c r="GPB1335" s="4" t="s">
        <v>2879</v>
      </c>
      <c r="GPC1335" s="4" t="s">
        <v>2879</v>
      </c>
      <c r="GPD1335" s="4" t="s">
        <v>2879</v>
      </c>
      <c r="GPE1335" s="4" t="s">
        <v>2879</v>
      </c>
      <c r="GPF1335" s="4" t="s">
        <v>2879</v>
      </c>
      <c r="GPG1335" s="4" t="s">
        <v>2879</v>
      </c>
      <c r="GPH1335" s="4" t="s">
        <v>2879</v>
      </c>
      <c r="GPI1335" s="4" t="s">
        <v>2879</v>
      </c>
      <c r="GPJ1335" s="4" t="s">
        <v>2879</v>
      </c>
      <c r="GPK1335" s="4" t="s">
        <v>2879</v>
      </c>
      <c r="GPL1335" s="4" t="s">
        <v>2879</v>
      </c>
      <c r="GPM1335" s="4" t="s">
        <v>2879</v>
      </c>
      <c r="GPN1335" s="4" t="s">
        <v>2879</v>
      </c>
      <c r="GPO1335" s="4" t="s">
        <v>2879</v>
      </c>
      <c r="GPP1335" s="4" t="s">
        <v>2879</v>
      </c>
      <c r="GPQ1335" s="4" t="s">
        <v>2879</v>
      </c>
      <c r="GPR1335" s="4" t="s">
        <v>2879</v>
      </c>
      <c r="GPS1335" s="4" t="s">
        <v>2879</v>
      </c>
      <c r="GPT1335" s="4" t="s">
        <v>2879</v>
      </c>
      <c r="GPU1335" s="4" t="s">
        <v>2879</v>
      </c>
      <c r="GPV1335" s="4" t="s">
        <v>2879</v>
      </c>
      <c r="GPW1335" s="4" t="s">
        <v>2879</v>
      </c>
      <c r="GPX1335" s="4" t="s">
        <v>2879</v>
      </c>
      <c r="GPY1335" s="4" t="s">
        <v>2879</v>
      </c>
      <c r="GPZ1335" s="4" t="s">
        <v>2879</v>
      </c>
      <c r="GQA1335" s="4" t="s">
        <v>2879</v>
      </c>
      <c r="GQB1335" s="4" t="s">
        <v>2879</v>
      </c>
      <c r="GQC1335" s="4" t="s">
        <v>2879</v>
      </c>
      <c r="GQD1335" s="4" t="s">
        <v>2879</v>
      </c>
      <c r="GQE1335" s="4" t="s">
        <v>2879</v>
      </c>
      <c r="GQF1335" s="4" t="s">
        <v>2879</v>
      </c>
      <c r="GQG1335" s="4" t="s">
        <v>2879</v>
      </c>
      <c r="GQH1335" s="4" t="s">
        <v>2879</v>
      </c>
      <c r="GQI1335" s="4" t="s">
        <v>2879</v>
      </c>
      <c r="GQJ1335" s="4" t="s">
        <v>2879</v>
      </c>
      <c r="GQK1335" s="4" t="s">
        <v>2879</v>
      </c>
      <c r="GQL1335" s="4" t="s">
        <v>2879</v>
      </c>
      <c r="GQM1335" s="4" t="s">
        <v>2879</v>
      </c>
      <c r="GQN1335" s="4" t="s">
        <v>2879</v>
      </c>
      <c r="GQO1335" s="4" t="s">
        <v>2879</v>
      </c>
      <c r="GQP1335" s="4" t="s">
        <v>2879</v>
      </c>
      <c r="GQQ1335" s="4" t="s">
        <v>2879</v>
      </c>
      <c r="GQR1335" s="4" t="s">
        <v>2879</v>
      </c>
      <c r="GQS1335" s="4" t="s">
        <v>2879</v>
      </c>
      <c r="GQT1335" s="4" t="s">
        <v>2879</v>
      </c>
      <c r="GQU1335" s="4" t="s">
        <v>2879</v>
      </c>
      <c r="GQV1335" s="4" t="s">
        <v>2879</v>
      </c>
      <c r="GQW1335" s="4" t="s">
        <v>2879</v>
      </c>
      <c r="GQX1335" s="4" t="s">
        <v>2879</v>
      </c>
      <c r="GQY1335" s="4" t="s">
        <v>2879</v>
      </c>
      <c r="GQZ1335" s="4" t="s">
        <v>2879</v>
      </c>
      <c r="GRA1335" s="4" t="s">
        <v>2879</v>
      </c>
      <c r="GRB1335" s="4" t="s">
        <v>2879</v>
      </c>
      <c r="GRC1335" s="4" t="s">
        <v>2879</v>
      </c>
      <c r="GRD1335" s="4" t="s">
        <v>2879</v>
      </c>
      <c r="GRE1335" s="4" t="s">
        <v>2879</v>
      </c>
      <c r="GRF1335" s="4" t="s">
        <v>2879</v>
      </c>
      <c r="GRG1335" s="4" t="s">
        <v>2879</v>
      </c>
      <c r="GRH1335" s="4" t="s">
        <v>2879</v>
      </c>
      <c r="GRI1335" s="4" t="s">
        <v>2879</v>
      </c>
      <c r="GRJ1335" s="4" t="s">
        <v>2879</v>
      </c>
      <c r="GRK1335" s="4" t="s">
        <v>2879</v>
      </c>
      <c r="GRL1335" s="4" t="s">
        <v>2879</v>
      </c>
      <c r="GRM1335" s="4" t="s">
        <v>2879</v>
      </c>
      <c r="GRN1335" s="4" t="s">
        <v>2879</v>
      </c>
      <c r="GRO1335" s="4" t="s">
        <v>2879</v>
      </c>
      <c r="GRP1335" s="4" t="s">
        <v>2879</v>
      </c>
      <c r="GRQ1335" s="4" t="s">
        <v>2879</v>
      </c>
      <c r="GRR1335" s="4" t="s">
        <v>2879</v>
      </c>
      <c r="GRS1335" s="4" t="s">
        <v>2879</v>
      </c>
      <c r="GRT1335" s="4" t="s">
        <v>2879</v>
      </c>
      <c r="GRU1335" s="4" t="s">
        <v>2879</v>
      </c>
      <c r="GRV1335" s="4" t="s">
        <v>2879</v>
      </c>
      <c r="GRW1335" s="4" t="s">
        <v>2879</v>
      </c>
      <c r="GRX1335" s="4" t="s">
        <v>2879</v>
      </c>
      <c r="GRY1335" s="4" t="s">
        <v>2879</v>
      </c>
      <c r="GRZ1335" s="4" t="s">
        <v>2879</v>
      </c>
      <c r="GSA1335" s="4" t="s">
        <v>2879</v>
      </c>
      <c r="GSB1335" s="4" t="s">
        <v>2879</v>
      </c>
      <c r="GSC1335" s="4" t="s">
        <v>2879</v>
      </c>
      <c r="GSD1335" s="4" t="s">
        <v>2879</v>
      </c>
      <c r="GSE1335" s="4" t="s">
        <v>2879</v>
      </c>
      <c r="GSF1335" s="4" t="s">
        <v>2879</v>
      </c>
      <c r="GSG1335" s="4" t="s">
        <v>2879</v>
      </c>
      <c r="GSH1335" s="4" t="s">
        <v>2879</v>
      </c>
      <c r="GSI1335" s="4" t="s">
        <v>2879</v>
      </c>
      <c r="GSJ1335" s="4" t="s">
        <v>2879</v>
      </c>
      <c r="GSK1335" s="4" t="s">
        <v>2879</v>
      </c>
      <c r="GSL1335" s="4" t="s">
        <v>2879</v>
      </c>
      <c r="GSM1335" s="4" t="s">
        <v>2879</v>
      </c>
      <c r="GSN1335" s="4" t="s">
        <v>2879</v>
      </c>
      <c r="GSO1335" s="4" t="s">
        <v>2879</v>
      </c>
      <c r="GSP1335" s="4" t="s">
        <v>2879</v>
      </c>
      <c r="GSQ1335" s="4" t="s">
        <v>2879</v>
      </c>
      <c r="GSR1335" s="4" t="s">
        <v>2879</v>
      </c>
      <c r="GSS1335" s="4" t="s">
        <v>2879</v>
      </c>
      <c r="GST1335" s="4" t="s">
        <v>2879</v>
      </c>
      <c r="GSU1335" s="4" t="s">
        <v>2879</v>
      </c>
      <c r="GSV1335" s="4" t="s">
        <v>2879</v>
      </c>
      <c r="GSW1335" s="4" t="s">
        <v>2879</v>
      </c>
      <c r="GSX1335" s="4" t="s">
        <v>2879</v>
      </c>
      <c r="GSY1335" s="4" t="s">
        <v>2879</v>
      </c>
      <c r="GSZ1335" s="4" t="s">
        <v>2879</v>
      </c>
      <c r="GTA1335" s="4" t="s">
        <v>2879</v>
      </c>
      <c r="GTB1335" s="4" t="s">
        <v>2879</v>
      </c>
      <c r="GTC1335" s="4" t="s">
        <v>2879</v>
      </c>
      <c r="GTD1335" s="4" t="s">
        <v>2879</v>
      </c>
      <c r="GTE1335" s="4" t="s">
        <v>2879</v>
      </c>
      <c r="GTF1335" s="4" t="s">
        <v>2879</v>
      </c>
      <c r="GTG1335" s="4" t="s">
        <v>2879</v>
      </c>
      <c r="GTH1335" s="4" t="s">
        <v>2879</v>
      </c>
      <c r="GTI1335" s="4" t="s">
        <v>2879</v>
      </c>
      <c r="GTJ1335" s="4" t="s">
        <v>2879</v>
      </c>
      <c r="GTK1335" s="4" t="s">
        <v>2879</v>
      </c>
      <c r="GTL1335" s="4" t="s">
        <v>2879</v>
      </c>
      <c r="GTM1335" s="4" t="s">
        <v>2879</v>
      </c>
      <c r="GTN1335" s="4" t="s">
        <v>2879</v>
      </c>
      <c r="GTO1335" s="4" t="s">
        <v>2879</v>
      </c>
      <c r="GTP1335" s="4" t="s">
        <v>2879</v>
      </c>
      <c r="GTQ1335" s="4" t="s">
        <v>2879</v>
      </c>
      <c r="GTR1335" s="4" t="s">
        <v>2879</v>
      </c>
      <c r="GTS1335" s="4" t="s">
        <v>2879</v>
      </c>
      <c r="GTT1335" s="4" t="s">
        <v>2879</v>
      </c>
      <c r="GTU1335" s="4" t="s">
        <v>2879</v>
      </c>
      <c r="GTV1335" s="4" t="s">
        <v>2879</v>
      </c>
      <c r="GTW1335" s="4" t="s">
        <v>2879</v>
      </c>
      <c r="GTX1335" s="4" t="s">
        <v>2879</v>
      </c>
      <c r="GTY1335" s="4" t="s">
        <v>2879</v>
      </c>
      <c r="GTZ1335" s="4" t="s">
        <v>2879</v>
      </c>
      <c r="GUA1335" s="4" t="s">
        <v>2879</v>
      </c>
      <c r="GUB1335" s="4" t="s">
        <v>2879</v>
      </c>
      <c r="GUC1335" s="4" t="s">
        <v>2879</v>
      </c>
      <c r="GUD1335" s="4" t="s">
        <v>2879</v>
      </c>
      <c r="GUE1335" s="4" t="s">
        <v>2879</v>
      </c>
      <c r="GUF1335" s="4" t="s">
        <v>2879</v>
      </c>
      <c r="GUG1335" s="4" t="s">
        <v>2879</v>
      </c>
      <c r="GUH1335" s="4" t="s">
        <v>2879</v>
      </c>
      <c r="GUI1335" s="4" t="s">
        <v>2879</v>
      </c>
      <c r="GUJ1335" s="4" t="s">
        <v>2879</v>
      </c>
      <c r="GUK1335" s="4" t="s">
        <v>2879</v>
      </c>
      <c r="GUL1335" s="4" t="s">
        <v>2879</v>
      </c>
      <c r="GUM1335" s="4" t="s">
        <v>2879</v>
      </c>
      <c r="GUN1335" s="4" t="s">
        <v>2879</v>
      </c>
      <c r="GUO1335" s="4" t="s">
        <v>2879</v>
      </c>
      <c r="GUP1335" s="4" t="s">
        <v>2879</v>
      </c>
      <c r="GUQ1335" s="4" t="s">
        <v>2879</v>
      </c>
      <c r="GUR1335" s="4" t="s">
        <v>2879</v>
      </c>
      <c r="GUS1335" s="4" t="s">
        <v>2879</v>
      </c>
      <c r="GUT1335" s="4" t="s">
        <v>2879</v>
      </c>
      <c r="GUU1335" s="4" t="s">
        <v>2879</v>
      </c>
      <c r="GUV1335" s="4" t="s">
        <v>2879</v>
      </c>
      <c r="GUW1335" s="4" t="s">
        <v>2879</v>
      </c>
      <c r="GUX1335" s="4" t="s">
        <v>2879</v>
      </c>
      <c r="GUY1335" s="4" t="s">
        <v>2879</v>
      </c>
      <c r="GUZ1335" s="4" t="s">
        <v>2879</v>
      </c>
      <c r="GVA1335" s="4" t="s">
        <v>2879</v>
      </c>
      <c r="GVB1335" s="4" t="s">
        <v>2879</v>
      </c>
      <c r="GVC1335" s="4" t="s">
        <v>2879</v>
      </c>
      <c r="GVD1335" s="4" t="s">
        <v>2879</v>
      </c>
      <c r="GVE1335" s="4" t="s">
        <v>2879</v>
      </c>
      <c r="GVF1335" s="4" t="s">
        <v>2879</v>
      </c>
      <c r="GVG1335" s="4" t="s">
        <v>2879</v>
      </c>
      <c r="GVH1335" s="4" t="s">
        <v>2879</v>
      </c>
      <c r="GVI1335" s="4" t="s">
        <v>2879</v>
      </c>
      <c r="GVJ1335" s="4" t="s">
        <v>2879</v>
      </c>
      <c r="GVK1335" s="4" t="s">
        <v>2879</v>
      </c>
      <c r="GVL1335" s="4" t="s">
        <v>2879</v>
      </c>
      <c r="GVM1335" s="4" t="s">
        <v>2879</v>
      </c>
      <c r="GVN1335" s="4" t="s">
        <v>2879</v>
      </c>
      <c r="GVO1335" s="4" t="s">
        <v>2879</v>
      </c>
      <c r="GVP1335" s="4" t="s">
        <v>2879</v>
      </c>
      <c r="GVQ1335" s="4" t="s">
        <v>2879</v>
      </c>
      <c r="GVR1335" s="4" t="s">
        <v>2879</v>
      </c>
      <c r="GVS1335" s="4" t="s">
        <v>2879</v>
      </c>
      <c r="GVT1335" s="4" t="s">
        <v>2879</v>
      </c>
      <c r="GVU1335" s="4" t="s">
        <v>2879</v>
      </c>
      <c r="GVV1335" s="4" t="s">
        <v>2879</v>
      </c>
      <c r="GVW1335" s="4" t="s">
        <v>2879</v>
      </c>
      <c r="GVX1335" s="4" t="s">
        <v>2879</v>
      </c>
      <c r="GVY1335" s="4" t="s">
        <v>2879</v>
      </c>
      <c r="GVZ1335" s="4" t="s">
        <v>2879</v>
      </c>
      <c r="GWA1335" s="4" t="s">
        <v>2879</v>
      </c>
      <c r="GWB1335" s="4" t="s">
        <v>2879</v>
      </c>
      <c r="GWC1335" s="4" t="s">
        <v>2879</v>
      </c>
      <c r="GWD1335" s="4" t="s">
        <v>2879</v>
      </c>
      <c r="GWE1335" s="4" t="s">
        <v>2879</v>
      </c>
      <c r="GWF1335" s="4" t="s">
        <v>2879</v>
      </c>
      <c r="GWG1335" s="4" t="s">
        <v>2879</v>
      </c>
      <c r="GWH1335" s="4" t="s">
        <v>2879</v>
      </c>
      <c r="GWI1335" s="4" t="s">
        <v>2879</v>
      </c>
      <c r="GWJ1335" s="4" t="s">
        <v>2879</v>
      </c>
      <c r="GWK1335" s="4" t="s">
        <v>2879</v>
      </c>
      <c r="GWL1335" s="4" t="s">
        <v>2879</v>
      </c>
      <c r="GWM1335" s="4" t="s">
        <v>2879</v>
      </c>
      <c r="GWN1335" s="4" t="s">
        <v>2879</v>
      </c>
      <c r="GWO1335" s="4" t="s">
        <v>2879</v>
      </c>
      <c r="GWP1335" s="4" t="s">
        <v>2879</v>
      </c>
      <c r="GWQ1335" s="4" t="s">
        <v>2879</v>
      </c>
      <c r="GWR1335" s="4" t="s">
        <v>2879</v>
      </c>
      <c r="GWS1335" s="4" t="s">
        <v>2879</v>
      </c>
      <c r="GWT1335" s="4" t="s">
        <v>2879</v>
      </c>
      <c r="GWU1335" s="4" t="s">
        <v>2879</v>
      </c>
      <c r="GWV1335" s="4" t="s">
        <v>2879</v>
      </c>
      <c r="GWW1335" s="4" t="s">
        <v>2879</v>
      </c>
      <c r="GWX1335" s="4" t="s">
        <v>2879</v>
      </c>
      <c r="GWY1335" s="4" t="s">
        <v>2879</v>
      </c>
      <c r="GWZ1335" s="4" t="s">
        <v>2879</v>
      </c>
      <c r="GXA1335" s="4" t="s">
        <v>2879</v>
      </c>
      <c r="GXB1335" s="4" t="s">
        <v>2879</v>
      </c>
      <c r="GXC1335" s="4" t="s">
        <v>2879</v>
      </c>
      <c r="GXD1335" s="4" t="s">
        <v>2879</v>
      </c>
      <c r="GXE1335" s="4" t="s">
        <v>2879</v>
      </c>
      <c r="GXF1335" s="4" t="s">
        <v>2879</v>
      </c>
      <c r="GXG1335" s="4" t="s">
        <v>2879</v>
      </c>
      <c r="GXH1335" s="4" t="s">
        <v>2879</v>
      </c>
      <c r="GXI1335" s="4" t="s">
        <v>2879</v>
      </c>
      <c r="GXJ1335" s="4" t="s">
        <v>2879</v>
      </c>
      <c r="GXK1335" s="4" t="s">
        <v>2879</v>
      </c>
      <c r="GXL1335" s="4" t="s">
        <v>2879</v>
      </c>
      <c r="GXM1335" s="4" t="s">
        <v>2879</v>
      </c>
      <c r="GXN1335" s="4" t="s">
        <v>2879</v>
      </c>
      <c r="GXO1335" s="4" t="s">
        <v>2879</v>
      </c>
      <c r="GXP1335" s="4" t="s">
        <v>2879</v>
      </c>
      <c r="GXQ1335" s="4" t="s">
        <v>2879</v>
      </c>
      <c r="GXR1335" s="4" t="s">
        <v>2879</v>
      </c>
      <c r="GXS1335" s="4" t="s">
        <v>2879</v>
      </c>
      <c r="GXT1335" s="4" t="s">
        <v>2879</v>
      </c>
      <c r="GXU1335" s="4" t="s">
        <v>2879</v>
      </c>
      <c r="GXV1335" s="4" t="s">
        <v>2879</v>
      </c>
      <c r="GXW1335" s="4" t="s">
        <v>2879</v>
      </c>
      <c r="GXX1335" s="4" t="s">
        <v>2879</v>
      </c>
      <c r="GXY1335" s="4" t="s">
        <v>2879</v>
      </c>
      <c r="GXZ1335" s="4" t="s">
        <v>2879</v>
      </c>
      <c r="GYA1335" s="4" t="s">
        <v>2879</v>
      </c>
      <c r="GYB1335" s="4" t="s">
        <v>2879</v>
      </c>
      <c r="GYC1335" s="4" t="s">
        <v>2879</v>
      </c>
      <c r="GYD1335" s="4" t="s">
        <v>2879</v>
      </c>
      <c r="GYE1335" s="4" t="s">
        <v>2879</v>
      </c>
      <c r="GYF1335" s="4" t="s">
        <v>2879</v>
      </c>
      <c r="GYG1335" s="4" t="s">
        <v>2879</v>
      </c>
      <c r="GYH1335" s="4" t="s">
        <v>2879</v>
      </c>
      <c r="GYI1335" s="4" t="s">
        <v>2879</v>
      </c>
      <c r="GYJ1335" s="4" t="s">
        <v>2879</v>
      </c>
      <c r="GYK1335" s="4" t="s">
        <v>2879</v>
      </c>
      <c r="GYL1335" s="4" t="s">
        <v>2879</v>
      </c>
      <c r="GYM1335" s="4" t="s">
        <v>2879</v>
      </c>
      <c r="GYN1335" s="4" t="s">
        <v>2879</v>
      </c>
      <c r="GYO1335" s="4" t="s">
        <v>2879</v>
      </c>
      <c r="GYP1335" s="4" t="s">
        <v>2879</v>
      </c>
      <c r="GYQ1335" s="4" t="s">
        <v>2879</v>
      </c>
      <c r="GYR1335" s="4" t="s">
        <v>2879</v>
      </c>
      <c r="GYS1335" s="4" t="s">
        <v>2879</v>
      </c>
      <c r="GYT1335" s="4" t="s">
        <v>2879</v>
      </c>
      <c r="GYU1335" s="4" t="s">
        <v>2879</v>
      </c>
      <c r="GYV1335" s="4" t="s">
        <v>2879</v>
      </c>
      <c r="GYW1335" s="4" t="s">
        <v>2879</v>
      </c>
      <c r="GYX1335" s="4" t="s">
        <v>2879</v>
      </c>
      <c r="GYY1335" s="4" t="s">
        <v>2879</v>
      </c>
      <c r="GYZ1335" s="4" t="s">
        <v>2879</v>
      </c>
      <c r="GZA1335" s="4" t="s">
        <v>2879</v>
      </c>
      <c r="GZB1335" s="4" t="s">
        <v>2879</v>
      </c>
      <c r="GZC1335" s="4" t="s">
        <v>2879</v>
      </c>
      <c r="GZD1335" s="4" t="s">
        <v>2879</v>
      </c>
      <c r="GZE1335" s="4" t="s">
        <v>2879</v>
      </c>
      <c r="GZF1335" s="4" t="s">
        <v>2879</v>
      </c>
      <c r="GZG1335" s="4" t="s">
        <v>2879</v>
      </c>
      <c r="GZH1335" s="4" t="s">
        <v>2879</v>
      </c>
      <c r="GZI1335" s="4" t="s">
        <v>2879</v>
      </c>
      <c r="GZJ1335" s="4" t="s">
        <v>2879</v>
      </c>
      <c r="GZK1335" s="4" t="s">
        <v>2879</v>
      </c>
      <c r="GZL1335" s="4" t="s">
        <v>2879</v>
      </c>
      <c r="GZM1335" s="4" t="s">
        <v>2879</v>
      </c>
      <c r="GZN1335" s="4" t="s">
        <v>2879</v>
      </c>
      <c r="GZO1335" s="4" t="s">
        <v>2879</v>
      </c>
      <c r="GZP1335" s="4" t="s">
        <v>2879</v>
      </c>
      <c r="GZQ1335" s="4" t="s">
        <v>2879</v>
      </c>
      <c r="GZR1335" s="4" t="s">
        <v>2879</v>
      </c>
      <c r="GZS1335" s="4" t="s">
        <v>2879</v>
      </c>
      <c r="GZT1335" s="4" t="s">
        <v>2879</v>
      </c>
      <c r="GZU1335" s="4" t="s">
        <v>2879</v>
      </c>
      <c r="GZV1335" s="4" t="s">
        <v>2879</v>
      </c>
      <c r="GZW1335" s="4" t="s">
        <v>2879</v>
      </c>
      <c r="GZX1335" s="4" t="s">
        <v>2879</v>
      </c>
      <c r="GZY1335" s="4" t="s">
        <v>2879</v>
      </c>
      <c r="GZZ1335" s="4" t="s">
        <v>2879</v>
      </c>
      <c r="HAA1335" s="4" t="s">
        <v>2879</v>
      </c>
      <c r="HAB1335" s="4" t="s">
        <v>2879</v>
      </c>
      <c r="HAC1335" s="4" t="s">
        <v>2879</v>
      </c>
      <c r="HAD1335" s="4" t="s">
        <v>2879</v>
      </c>
      <c r="HAE1335" s="4" t="s">
        <v>2879</v>
      </c>
      <c r="HAF1335" s="4" t="s">
        <v>2879</v>
      </c>
      <c r="HAG1335" s="4" t="s">
        <v>2879</v>
      </c>
      <c r="HAH1335" s="4" t="s">
        <v>2879</v>
      </c>
      <c r="HAI1335" s="4" t="s">
        <v>2879</v>
      </c>
      <c r="HAJ1335" s="4" t="s">
        <v>2879</v>
      </c>
      <c r="HAK1335" s="4" t="s">
        <v>2879</v>
      </c>
      <c r="HAL1335" s="4" t="s">
        <v>2879</v>
      </c>
      <c r="HAM1335" s="4" t="s">
        <v>2879</v>
      </c>
      <c r="HAN1335" s="4" t="s">
        <v>2879</v>
      </c>
      <c r="HAO1335" s="4" t="s">
        <v>2879</v>
      </c>
      <c r="HAP1335" s="4" t="s">
        <v>2879</v>
      </c>
      <c r="HAQ1335" s="4" t="s">
        <v>2879</v>
      </c>
      <c r="HAR1335" s="4" t="s">
        <v>2879</v>
      </c>
      <c r="HAS1335" s="4" t="s">
        <v>2879</v>
      </c>
      <c r="HAT1335" s="4" t="s">
        <v>2879</v>
      </c>
      <c r="HAU1335" s="4" t="s">
        <v>2879</v>
      </c>
      <c r="HAV1335" s="4" t="s">
        <v>2879</v>
      </c>
      <c r="HAW1335" s="4" t="s">
        <v>2879</v>
      </c>
      <c r="HAX1335" s="4" t="s">
        <v>2879</v>
      </c>
      <c r="HAY1335" s="4" t="s">
        <v>2879</v>
      </c>
      <c r="HAZ1335" s="4" t="s">
        <v>2879</v>
      </c>
      <c r="HBA1335" s="4" t="s">
        <v>2879</v>
      </c>
      <c r="HBB1335" s="4" t="s">
        <v>2879</v>
      </c>
      <c r="HBC1335" s="4" t="s">
        <v>2879</v>
      </c>
      <c r="HBD1335" s="4" t="s">
        <v>2879</v>
      </c>
      <c r="HBE1335" s="4" t="s">
        <v>2879</v>
      </c>
      <c r="HBF1335" s="4" t="s">
        <v>2879</v>
      </c>
      <c r="HBG1335" s="4" t="s">
        <v>2879</v>
      </c>
      <c r="HBH1335" s="4" t="s">
        <v>2879</v>
      </c>
      <c r="HBI1335" s="4" t="s">
        <v>2879</v>
      </c>
      <c r="HBJ1335" s="4" t="s">
        <v>2879</v>
      </c>
      <c r="HBK1335" s="4" t="s">
        <v>2879</v>
      </c>
      <c r="HBL1335" s="4" t="s">
        <v>2879</v>
      </c>
      <c r="HBM1335" s="4" t="s">
        <v>2879</v>
      </c>
      <c r="HBN1335" s="4" t="s">
        <v>2879</v>
      </c>
      <c r="HBO1335" s="4" t="s">
        <v>2879</v>
      </c>
      <c r="HBP1335" s="4" t="s">
        <v>2879</v>
      </c>
      <c r="HBQ1335" s="4" t="s">
        <v>2879</v>
      </c>
      <c r="HBR1335" s="4" t="s">
        <v>2879</v>
      </c>
      <c r="HBS1335" s="4" t="s">
        <v>2879</v>
      </c>
      <c r="HBT1335" s="4" t="s">
        <v>2879</v>
      </c>
      <c r="HBU1335" s="4" t="s">
        <v>2879</v>
      </c>
      <c r="HBV1335" s="4" t="s">
        <v>2879</v>
      </c>
      <c r="HBW1335" s="4" t="s">
        <v>2879</v>
      </c>
      <c r="HBX1335" s="4" t="s">
        <v>2879</v>
      </c>
      <c r="HBY1335" s="4" t="s">
        <v>2879</v>
      </c>
      <c r="HBZ1335" s="4" t="s">
        <v>2879</v>
      </c>
      <c r="HCA1335" s="4" t="s">
        <v>2879</v>
      </c>
      <c r="HCB1335" s="4" t="s">
        <v>2879</v>
      </c>
      <c r="HCC1335" s="4" t="s">
        <v>2879</v>
      </c>
      <c r="HCD1335" s="4" t="s">
        <v>2879</v>
      </c>
      <c r="HCE1335" s="4" t="s">
        <v>2879</v>
      </c>
      <c r="HCF1335" s="4" t="s">
        <v>2879</v>
      </c>
      <c r="HCG1335" s="4" t="s">
        <v>2879</v>
      </c>
      <c r="HCH1335" s="4" t="s">
        <v>2879</v>
      </c>
      <c r="HCI1335" s="4" t="s">
        <v>2879</v>
      </c>
      <c r="HCJ1335" s="4" t="s">
        <v>2879</v>
      </c>
      <c r="HCK1335" s="4" t="s">
        <v>2879</v>
      </c>
      <c r="HCL1335" s="4" t="s">
        <v>2879</v>
      </c>
      <c r="HCM1335" s="4" t="s">
        <v>2879</v>
      </c>
      <c r="HCN1335" s="4" t="s">
        <v>2879</v>
      </c>
      <c r="HCO1335" s="4" t="s">
        <v>2879</v>
      </c>
      <c r="HCP1335" s="4" t="s">
        <v>2879</v>
      </c>
      <c r="HCQ1335" s="4" t="s">
        <v>2879</v>
      </c>
      <c r="HCR1335" s="4" t="s">
        <v>2879</v>
      </c>
      <c r="HCS1335" s="4" t="s">
        <v>2879</v>
      </c>
      <c r="HCT1335" s="4" t="s">
        <v>2879</v>
      </c>
      <c r="HCU1335" s="4" t="s">
        <v>2879</v>
      </c>
      <c r="HCV1335" s="4" t="s">
        <v>2879</v>
      </c>
      <c r="HCW1335" s="4" t="s">
        <v>2879</v>
      </c>
      <c r="HCX1335" s="4" t="s">
        <v>2879</v>
      </c>
      <c r="HCY1335" s="4" t="s">
        <v>2879</v>
      </c>
      <c r="HCZ1335" s="4" t="s">
        <v>2879</v>
      </c>
      <c r="HDA1335" s="4" t="s">
        <v>2879</v>
      </c>
      <c r="HDB1335" s="4" t="s">
        <v>2879</v>
      </c>
      <c r="HDC1335" s="4" t="s">
        <v>2879</v>
      </c>
      <c r="HDD1335" s="4" t="s">
        <v>2879</v>
      </c>
      <c r="HDE1335" s="4" t="s">
        <v>2879</v>
      </c>
      <c r="HDF1335" s="4" t="s">
        <v>2879</v>
      </c>
      <c r="HDG1335" s="4" t="s">
        <v>2879</v>
      </c>
      <c r="HDH1335" s="4" t="s">
        <v>2879</v>
      </c>
      <c r="HDI1335" s="4" t="s">
        <v>2879</v>
      </c>
      <c r="HDJ1335" s="4" t="s">
        <v>2879</v>
      </c>
      <c r="HDK1335" s="4" t="s">
        <v>2879</v>
      </c>
      <c r="HDL1335" s="4" t="s">
        <v>2879</v>
      </c>
      <c r="HDM1335" s="4" t="s">
        <v>2879</v>
      </c>
      <c r="HDN1335" s="4" t="s">
        <v>2879</v>
      </c>
      <c r="HDO1335" s="4" t="s">
        <v>2879</v>
      </c>
      <c r="HDP1335" s="4" t="s">
        <v>2879</v>
      </c>
      <c r="HDQ1335" s="4" t="s">
        <v>2879</v>
      </c>
      <c r="HDR1335" s="4" t="s">
        <v>2879</v>
      </c>
      <c r="HDS1335" s="4" t="s">
        <v>2879</v>
      </c>
      <c r="HDT1335" s="4" t="s">
        <v>2879</v>
      </c>
      <c r="HDU1335" s="4" t="s">
        <v>2879</v>
      </c>
      <c r="HDV1335" s="4" t="s">
        <v>2879</v>
      </c>
      <c r="HDW1335" s="4" t="s">
        <v>2879</v>
      </c>
      <c r="HDX1335" s="4" t="s">
        <v>2879</v>
      </c>
      <c r="HDY1335" s="4" t="s">
        <v>2879</v>
      </c>
      <c r="HDZ1335" s="4" t="s">
        <v>2879</v>
      </c>
      <c r="HEA1335" s="4" t="s">
        <v>2879</v>
      </c>
      <c r="HEB1335" s="4" t="s">
        <v>2879</v>
      </c>
      <c r="HEC1335" s="4" t="s">
        <v>2879</v>
      </c>
      <c r="HED1335" s="4" t="s">
        <v>2879</v>
      </c>
      <c r="HEE1335" s="4" t="s">
        <v>2879</v>
      </c>
      <c r="HEF1335" s="4" t="s">
        <v>2879</v>
      </c>
      <c r="HEG1335" s="4" t="s">
        <v>2879</v>
      </c>
      <c r="HEH1335" s="4" t="s">
        <v>2879</v>
      </c>
      <c r="HEI1335" s="4" t="s">
        <v>2879</v>
      </c>
      <c r="HEJ1335" s="4" t="s">
        <v>2879</v>
      </c>
      <c r="HEK1335" s="4" t="s">
        <v>2879</v>
      </c>
      <c r="HEL1335" s="4" t="s">
        <v>2879</v>
      </c>
      <c r="HEM1335" s="4" t="s">
        <v>2879</v>
      </c>
      <c r="HEN1335" s="4" t="s">
        <v>2879</v>
      </c>
      <c r="HEO1335" s="4" t="s">
        <v>2879</v>
      </c>
      <c r="HEP1335" s="4" t="s">
        <v>2879</v>
      </c>
      <c r="HEQ1335" s="4" t="s">
        <v>2879</v>
      </c>
      <c r="HER1335" s="4" t="s">
        <v>2879</v>
      </c>
      <c r="HES1335" s="4" t="s">
        <v>2879</v>
      </c>
      <c r="HET1335" s="4" t="s">
        <v>2879</v>
      </c>
      <c r="HEU1335" s="4" t="s">
        <v>2879</v>
      </c>
      <c r="HEV1335" s="4" t="s">
        <v>2879</v>
      </c>
      <c r="HEW1335" s="4" t="s">
        <v>2879</v>
      </c>
      <c r="HEX1335" s="4" t="s">
        <v>2879</v>
      </c>
      <c r="HEY1335" s="4" t="s">
        <v>2879</v>
      </c>
      <c r="HEZ1335" s="4" t="s">
        <v>2879</v>
      </c>
      <c r="HFA1335" s="4" t="s">
        <v>2879</v>
      </c>
      <c r="HFB1335" s="4" t="s">
        <v>2879</v>
      </c>
      <c r="HFC1335" s="4" t="s">
        <v>2879</v>
      </c>
      <c r="HFD1335" s="4" t="s">
        <v>2879</v>
      </c>
      <c r="HFE1335" s="4" t="s">
        <v>2879</v>
      </c>
      <c r="HFF1335" s="4" t="s">
        <v>2879</v>
      </c>
      <c r="HFG1335" s="4" t="s">
        <v>2879</v>
      </c>
      <c r="HFH1335" s="4" t="s">
        <v>2879</v>
      </c>
      <c r="HFI1335" s="4" t="s">
        <v>2879</v>
      </c>
      <c r="HFJ1335" s="4" t="s">
        <v>2879</v>
      </c>
      <c r="HFK1335" s="4" t="s">
        <v>2879</v>
      </c>
      <c r="HFL1335" s="4" t="s">
        <v>2879</v>
      </c>
      <c r="HFM1335" s="4" t="s">
        <v>2879</v>
      </c>
      <c r="HFN1335" s="4" t="s">
        <v>2879</v>
      </c>
      <c r="HFO1335" s="4" t="s">
        <v>2879</v>
      </c>
      <c r="HFP1335" s="4" t="s">
        <v>2879</v>
      </c>
      <c r="HFQ1335" s="4" t="s">
        <v>2879</v>
      </c>
      <c r="HFR1335" s="4" t="s">
        <v>2879</v>
      </c>
      <c r="HFS1335" s="4" t="s">
        <v>2879</v>
      </c>
      <c r="HFT1335" s="4" t="s">
        <v>2879</v>
      </c>
      <c r="HFU1335" s="4" t="s">
        <v>2879</v>
      </c>
      <c r="HFV1335" s="4" t="s">
        <v>2879</v>
      </c>
      <c r="HFW1335" s="4" t="s">
        <v>2879</v>
      </c>
      <c r="HFX1335" s="4" t="s">
        <v>2879</v>
      </c>
      <c r="HFY1335" s="4" t="s">
        <v>2879</v>
      </c>
      <c r="HFZ1335" s="4" t="s">
        <v>2879</v>
      </c>
      <c r="HGA1335" s="4" t="s">
        <v>2879</v>
      </c>
      <c r="HGB1335" s="4" t="s">
        <v>2879</v>
      </c>
      <c r="HGC1335" s="4" t="s">
        <v>2879</v>
      </c>
      <c r="HGD1335" s="4" t="s">
        <v>2879</v>
      </c>
      <c r="HGE1335" s="4" t="s">
        <v>2879</v>
      </c>
      <c r="HGF1335" s="4" t="s">
        <v>2879</v>
      </c>
      <c r="HGG1335" s="4" t="s">
        <v>2879</v>
      </c>
      <c r="HGH1335" s="4" t="s">
        <v>2879</v>
      </c>
      <c r="HGI1335" s="4" t="s">
        <v>2879</v>
      </c>
      <c r="HGJ1335" s="4" t="s">
        <v>2879</v>
      </c>
      <c r="HGK1335" s="4" t="s">
        <v>2879</v>
      </c>
      <c r="HGL1335" s="4" t="s">
        <v>2879</v>
      </c>
      <c r="HGM1335" s="4" t="s">
        <v>2879</v>
      </c>
      <c r="HGN1335" s="4" t="s">
        <v>2879</v>
      </c>
      <c r="HGO1335" s="4" t="s">
        <v>2879</v>
      </c>
      <c r="HGP1335" s="4" t="s">
        <v>2879</v>
      </c>
      <c r="HGQ1335" s="4" t="s">
        <v>2879</v>
      </c>
      <c r="HGR1335" s="4" t="s">
        <v>2879</v>
      </c>
      <c r="HGS1335" s="4" t="s">
        <v>2879</v>
      </c>
      <c r="HGT1335" s="4" t="s">
        <v>2879</v>
      </c>
      <c r="HGU1335" s="4" t="s">
        <v>2879</v>
      </c>
      <c r="HGV1335" s="4" t="s">
        <v>2879</v>
      </c>
      <c r="HGW1335" s="4" t="s">
        <v>2879</v>
      </c>
      <c r="HGX1335" s="4" t="s">
        <v>2879</v>
      </c>
      <c r="HGY1335" s="4" t="s">
        <v>2879</v>
      </c>
      <c r="HGZ1335" s="4" t="s">
        <v>2879</v>
      </c>
      <c r="HHA1335" s="4" t="s">
        <v>2879</v>
      </c>
      <c r="HHB1335" s="4" t="s">
        <v>2879</v>
      </c>
      <c r="HHC1335" s="4" t="s">
        <v>2879</v>
      </c>
      <c r="HHD1335" s="4" t="s">
        <v>2879</v>
      </c>
      <c r="HHE1335" s="4" t="s">
        <v>2879</v>
      </c>
      <c r="HHF1335" s="4" t="s">
        <v>2879</v>
      </c>
      <c r="HHG1335" s="4" t="s">
        <v>2879</v>
      </c>
      <c r="HHH1335" s="4" t="s">
        <v>2879</v>
      </c>
      <c r="HHI1335" s="4" t="s">
        <v>2879</v>
      </c>
      <c r="HHJ1335" s="4" t="s">
        <v>2879</v>
      </c>
      <c r="HHK1335" s="4" t="s">
        <v>2879</v>
      </c>
      <c r="HHL1335" s="4" t="s">
        <v>2879</v>
      </c>
      <c r="HHM1335" s="4" t="s">
        <v>2879</v>
      </c>
      <c r="HHN1335" s="4" t="s">
        <v>2879</v>
      </c>
      <c r="HHO1335" s="4" t="s">
        <v>2879</v>
      </c>
      <c r="HHP1335" s="4" t="s">
        <v>2879</v>
      </c>
      <c r="HHQ1335" s="4" t="s">
        <v>2879</v>
      </c>
      <c r="HHR1335" s="4" t="s">
        <v>2879</v>
      </c>
      <c r="HHS1335" s="4" t="s">
        <v>2879</v>
      </c>
      <c r="HHT1335" s="4" t="s">
        <v>2879</v>
      </c>
      <c r="HHU1335" s="4" t="s">
        <v>2879</v>
      </c>
      <c r="HHV1335" s="4" t="s">
        <v>2879</v>
      </c>
      <c r="HHW1335" s="4" t="s">
        <v>2879</v>
      </c>
      <c r="HHX1335" s="4" t="s">
        <v>2879</v>
      </c>
      <c r="HHY1335" s="4" t="s">
        <v>2879</v>
      </c>
      <c r="HHZ1335" s="4" t="s">
        <v>2879</v>
      </c>
      <c r="HIA1335" s="4" t="s">
        <v>2879</v>
      </c>
      <c r="HIB1335" s="4" t="s">
        <v>2879</v>
      </c>
      <c r="HIC1335" s="4" t="s">
        <v>2879</v>
      </c>
      <c r="HID1335" s="4" t="s">
        <v>2879</v>
      </c>
      <c r="HIE1335" s="4" t="s">
        <v>2879</v>
      </c>
      <c r="HIF1335" s="4" t="s">
        <v>2879</v>
      </c>
      <c r="HIG1335" s="4" t="s">
        <v>2879</v>
      </c>
      <c r="HIH1335" s="4" t="s">
        <v>2879</v>
      </c>
      <c r="HII1335" s="4" t="s">
        <v>2879</v>
      </c>
      <c r="HIJ1335" s="4" t="s">
        <v>2879</v>
      </c>
      <c r="HIK1335" s="4" t="s">
        <v>2879</v>
      </c>
      <c r="HIL1335" s="4" t="s">
        <v>2879</v>
      </c>
      <c r="HIM1335" s="4" t="s">
        <v>2879</v>
      </c>
      <c r="HIN1335" s="4" t="s">
        <v>2879</v>
      </c>
      <c r="HIO1335" s="4" t="s">
        <v>2879</v>
      </c>
      <c r="HIP1335" s="4" t="s">
        <v>2879</v>
      </c>
      <c r="HIQ1335" s="4" t="s">
        <v>2879</v>
      </c>
      <c r="HIR1335" s="4" t="s">
        <v>2879</v>
      </c>
      <c r="HIS1335" s="4" t="s">
        <v>2879</v>
      </c>
      <c r="HIT1335" s="4" t="s">
        <v>2879</v>
      </c>
      <c r="HIU1335" s="4" t="s">
        <v>2879</v>
      </c>
      <c r="HIV1335" s="4" t="s">
        <v>2879</v>
      </c>
      <c r="HIW1335" s="4" t="s">
        <v>2879</v>
      </c>
      <c r="HIX1335" s="4" t="s">
        <v>2879</v>
      </c>
      <c r="HIY1335" s="4" t="s">
        <v>2879</v>
      </c>
      <c r="HIZ1335" s="4" t="s">
        <v>2879</v>
      </c>
      <c r="HJA1335" s="4" t="s">
        <v>2879</v>
      </c>
      <c r="HJB1335" s="4" t="s">
        <v>2879</v>
      </c>
      <c r="HJC1335" s="4" t="s">
        <v>2879</v>
      </c>
      <c r="HJD1335" s="4" t="s">
        <v>2879</v>
      </c>
      <c r="HJE1335" s="4" t="s">
        <v>2879</v>
      </c>
      <c r="HJF1335" s="4" t="s">
        <v>2879</v>
      </c>
      <c r="HJG1335" s="4" t="s">
        <v>2879</v>
      </c>
      <c r="HJH1335" s="4" t="s">
        <v>2879</v>
      </c>
      <c r="HJI1335" s="4" t="s">
        <v>2879</v>
      </c>
      <c r="HJJ1335" s="4" t="s">
        <v>2879</v>
      </c>
      <c r="HJK1335" s="4" t="s">
        <v>2879</v>
      </c>
      <c r="HJL1335" s="4" t="s">
        <v>2879</v>
      </c>
      <c r="HJM1335" s="4" t="s">
        <v>2879</v>
      </c>
      <c r="HJN1335" s="4" t="s">
        <v>2879</v>
      </c>
      <c r="HJO1335" s="4" t="s">
        <v>2879</v>
      </c>
      <c r="HJP1335" s="4" t="s">
        <v>2879</v>
      </c>
      <c r="HJQ1335" s="4" t="s">
        <v>2879</v>
      </c>
      <c r="HJR1335" s="4" t="s">
        <v>2879</v>
      </c>
      <c r="HJS1335" s="4" t="s">
        <v>2879</v>
      </c>
      <c r="HJT1335" s="4" t="s">
        <v>2879</v>
      </c>
      <c r="HJU1335" s="4" t="s">
        <v>2879</v>
      </c>
      <c r="HJV1335" s="4" t="s">
        <v>2879</v>
      </c>
      <c r="HJW1335" s="4" t="s">
        <v>2879</v>
      </c>
      <c r="HJX1335" s="4" t="s">
        <v>2879</v>
      </c>
      <c r="HJY1335" s="4" t="s">
        <v>2879</v>
      </c>
      <c r="HJZ1335" s="4" t="s">
        <v>2879</v>
      </c>
      <c r="HKA1335" s="4" t="s">
        <v>2879</v>
      </c>
      <c r="HKB1335" s="4" t="s">
        <v>2879</v>
      </c>
      <c r="HKC1335" s="4" t="s">
        <v>2879</v>
      </c>
      <c r="HKD1335" s="4" t="s">
        <v>2879</v>
      </c>
      <c r="HKE1335" s="4" t="s">
        <v>2879</v>
      </c>
      <c r="HKF1335" s="4" t="s">
        <v>2879</v>
      </c>
      <c r="HKG1335" s="4" t="s">
        <v>2879</v>
      </c>
      <c r="HKH1335" s="4" t="s">
        <v>2879</v>
      </c>
      <c r="HKI1335" s="4" t="s">
        <v>2879</v>
      </c>
      <c r="HKJ1335" s="4" t="s">
        <v>2879</v>
      </c>
      <c r="HKK1335" s="4" t="s">
        <v>2879</v>
      </c>
      <c r="HKL1335" s="4" t="s">
        <v>2879</v>
      </c>
      <c r="HKM1335" s="4" t="s">
        <v>2879</v>
      </c>
      <c r="HKN1335" s="4" t="s">
        <v>2879</v>
      </c>
      <c r="HKO1335" s="4" t="s">
        <v>2879</v>
      </c>
      <c r="HKP1335" s="4" t="s">
        <v>2879</v>
      </c>
      <c r="HKQ1335" s="4" t="s">
        <v>2879</v>
      </c>
      <c r="HKR1335" s="4" t="s">
        <v>2879</v>
      </c>
      <c r="HKS1335" s="4" t="s">
        <v>2879</v>
      </c>
      <c r="HKT1335" s="4" t="s">
        <v>2879</v>
      </c>
      <c r="HKU1335" s="4" t="s">
        <v>2879</v>
      </c>
      <c r="HKV1335" s="4" t="s">
        <v>2879</v>
      </c>
      <c r="HKW1335" s="4" t="s">
        <v>2879</v>
      </c>
      <c r="HKX1335" s="4" t="s">
        <v>2879</v>
      </c>
      <c r="HKY1335" s="4" t="s">
        <v>2879</v>
      </c>
      <c r="HKZ1335" s="4" t="s">
        <v>2879</v>
      </c>
      <c r="HLA1335" s="4" t="s">
        <v>2879</v>
      </c>
      <c r="HLB1335" s="4" t="s">
        <v>2879</v>
      </c>
      <c r="HLC1335" s="4" t="s">
        <v>2879</v>
      </c>
      <c r="HLD1335" s="4" t="s">
        <v>2879</v>
      </c>
      <c r="HLE1335" s="4" t="s">
        <v>2879</v>
      </c>
      <c r="HLF1335" s="4" t="s">
        <v>2879</v>
      </c>
      <c r="HLG1335" s="4" t="s">
        <v>2879</v>
      </c>
      <c r="HLH1335" s="4" t="s">
        <v>2879</v>
      </c>
      <c r="HLI1335" s="4" t="s">
        <v>2879</v>
      </c>
      <c r="HLJ1335" s="4" t="s">
        <v>2879</v>
      </c>
      <c r="HLK1335" s="4" t="s">
        <v>2879</v>
      </c>
      <c r="HLL1335" s="4" t="s">
        <v>2879</v>
      </c>
      <c r="HLM1335" s="4" t="s">
        <v>2879</v>
      </c>
      <c r="HLN1335" s="4" t="s">
        <v>2879</v>
      </c>
      <c r="HLO1335" s="4" t="s">
        <v>2879</v>
      </c>
      <c r="HLP1335" s="4" t="s">
        <v>2879</v>
      </c>
      <c r="HLQ1335" s="4" t="s">
        <v>2879</v>
      </c>
      <c r="HLR1335" s="4" t="s">
        <v>2879</v>
      </c>
      <c r="HLS1335" s="4" t="s">
        <v>2879</v>
      </c>
      <c r="HLT1335" s="4" t="s">
        <v>2879</v>
      </c>
      <c r="HLU1335" s="4" t="s">
        <v>2879</v>
      </c>
      <c r="HLV1335" s="4" t="s">
        <v>2879</v>
      </c>
      <c r="HLW1335" s="4" t="s">
        <v>2879</v>
      </c>
      <c r="HLX1335" s="4" t="s">
        <v>2879</v>
      </c>
      <c r="HLY1335" s="4" t="s">
        <v>2879</v>
      </c>
      <c r="HLZ1335" s="4" t="s">
        <v>2879</v>
      </c>
      <c r="HMA1335" s="4" t="s">
        <v>2879</v>
      </c>
      <c r="HMB1335" s="4" t="s">
        <v>2879</v>
      </c>
      <c r="HMC1335" s="4" t="s">
        <v>2879</v>
      </c>
      <c r="HMD1335" s="4" t="s">
        <v>2879</v>
      </c>
      <c r="HME1335" s="4" t="s">
        <v>2879</v>
      </c>
      <c r="HMF1335" s="4" t="s">
        <v>2879</v>
      </c>
      <c r="HMG1335" s="4" t="s">
        <v>2879</v>
      </c>
      <c r="HMH1335" s="4" t="s">
        <v>2879</v>
      </c>
      <c r="HMI1335" s="4" t="s">
        <v>2879</v>
      </c>
      <c r="HMJ1335" s="4" t="s">
        <v>2879</v>
      </c>
      <c r="HMK1335" s="4" t="s">
        <v>2879</v>
      </c>
      <c r="HML1335" s="4" t="s">
        <v>2879</v>
      </c>
      <c r="HMM1335" s="4" t="s">
        <v>2879</v>
      </c>
      <c r="HMN1335" s="4" t="s">
        <v>2879</v>
      </c>
      <c r="HMO1335" s="4" t="s">
        <v>2879</v>
      </c>
      <c r="HMP1335" s="4" t="s">
        <v>2879</v>
      </c>
      <c r="HMQ1335" s="4" t="s">
        <v>2879</v>
      </c>
      <c r="HMR1335" s="4" t="s">
        <v>2879</v>
      </c>
      <c r="HMS1335" s="4" t="s">
        <v>2879</v>
      </c>
      <c r="HMT1335" s="4" t="s">
        <v>2879</v>
      </c>
      <c r="HMU1335" s="4" t="s">
        <v>2879</v>
      </c>
      <c r="HMV1335" s="4" t="s">
        <v>2879</v>
      </c>
      <c r="HMW1335" s="4" t="s">
        <v>2879</v>
      </c>
      <c r="HMX1335" s="4" t="s">
        <v>2879</v>
      </c>
      <c r="HMY1335" s="4" t="s">
        <v>2879</v>
      </c>
      <c r="HMZ1335" s="4" t="s">
        <v>2879</v>
      </c>
      <c r="HNA1335" s="4" t="s">
        <v>2879</v>
      </c>
      <c r="HNB1335" s="4" t="s">
        <v>2879</v>
      </c>
      <c r="HNC1335" s="4" t="s">
        <v>2879</v>
      </c>
      <c r="HND1335" s="4" t="s">
        <v>2879</v>
      </c>
      <c r="HNE1335" s="4" t="s">
        <v>2879</v>
      </c>
      <c r="HNF1335" s="4" t="s">
        <v>2879</v>
      </c>
      <c r="HNG1335" s="4" t="s">
        <v>2879</v>
      </c>
      <c r="HNH1335" s="4" t="s">
        <v>2879</v>
      </c>
      <c r="HNI1335" s="4" t="s">
        <v>2879</v>
      </c>
      <c r="HNJ1335" s="4" t="s">
        <v>2879</v>
      </c>
      <c r="HNK1335" s="4" t="s">
        <v>2879</v>
      </c>
      <c r="HNL1335" s="4" t="s">
        <v>2879</v>
      </c>
      <c r="HNM1335" s="4" t="s">
        <v>2879</v>
      </c>
      <c r="HNN1335" s="4" t="s">
        <v>2879</v>
      </c>
      <c r="HNO1335" s="4" t="s">
        <v>2879</v>
      </c>
      <c r="HNP1335" s="4" t="s">
        <v>2879</v>
      </c>
      <c r="HNQ1335" s="4" t="s">
        <v>2879</v>
      </c>
      <c r="HNR1335" s="4" t="s">
        <v>2879</v>
      </c>
      <c r="HNS1335" s="4" t="s">
        <v>2879</v>
      </c>
      <c r="HNT1335" s="4" t="s">
        <v>2879</v>
      </c>
      <c r="HNU1335" s="4" t="s">
        <v>2879</v>
      </c>
      <c r="HNV1335" s="4" t="s">
        <v>2879</v>
      </c>
      <c r="HNW1335" s="4" t="s">
        <v>2879</v>
      </c>
      <c r="HNX1335" s="4" t="s">
        <v>2879</v>
      </c>
      <c r="HNY1335" s="4" t="s">
        <v>2879</v>
      </c>
      <c r="HNZ1335" s="4" t="s">
        <v>2879</v>
      </c>
      <c r="HOA1335" s="4" t="s">
        <v>2879</v>
      </c>
      <c r="HOB1335" s="4" t="s">
        <v>2879</v>
      </c>
      <c r="HOC1335" s="4" t="s">
        <v>2879</v>
      </c>
      <c r="HOD1335" s="4" t="s">
        <v>2879</v>
      </c>
      <c r="HOE1335" s="4" t="s">
        <v>2879</v>
      </c>
      <c r="HOF1335" s="4" t="s">
        <v>2879</v>
      </c>
      <c r="HOG1335" s="4" t="s">
        <v>2879</v>
      </c>
      <c r="HOH1335" s="4" t="s">
        <v>2879</v>
      </c>
      <c r="HOI1335" s="4" t="s">
        <v>2879</v>
      </c>
      <c r="HOJ1335" s="4" t="s">
        <v>2879</v>
      </c>
      <c r="HOK1335" s="4" t="s">
        <v>2879</v>
      </c>
      <c r="HOL1335" s="4" t="s">
        <v>2879</v>
      </c>
      <c r="HOM1335" s="4" t="s">
        <v>2879</v>
      </c>
      <c r="HON1335" s="4" t="s">
        <v>2879</v>
      </c>
      <c r="HOO1335" s="4" t="s">
        <v>2879</v>
      </c>
      <c r="HOP1335" s="4" t="s">
        <v>2879</v>
      </c>
      <c r="HOQ1335" s="4" t="s">
        <v>2879</v>
      </c>
      <c r="HOR1335" s="4" t="s">
        <v>2879</v>
      </c>
      <c r="HOS1335" s="4" t="s">
        <v>2879</v>
      </c>
      <c r="HOT1335" s="4" t="s">
        <v>2879</v>
      </c>
      <c r="HOU1335" s="4" t="s">
        <v>2879</v>
      </c>
      <c r="HOV1335" s="4" t="s">
        <v>2879</v>
      </c>
      <c r="HOW1335" s="4" t="s">
        <v>2879</v>
      </c>
      <c r="HOX1335" s="4" t="s">
        <v>2879</v>
      </c>
      <c r="HOY1335" s="4" t="s">
        <v>2879</v>
      </c>
      <c r="HOZ1335" s="4" t="s">
        <v>2879</v>
      </c>
      <c r="HPA1335" s="4" t="s">
        <v>2879</v>
      </c>
      <c r="HPB1335" s="4" t="s">
        <v>2879</v>
      </c>
      <c r="HPC1335" s="4" t="s">
        <v>2879</v>
      </c>
      <c r="HPD1335" s="4" t="s">
        <v>2879</v>
      </c>
      <c r="HPE1335" s="4" t="s">
        <v>2879</v>
      </c>
      <c r="HPF1335" s="4" t="s">
        <v>2879</v>
      </c>
      <c r="HPG1335" s="4" t="s">
        <v>2879</v>
      </c>
      <c r="HPH1335" s="4" t="s">
        <v>2879</v>
      </c>
      <c r="HPI1335" s="4" t="s">
        <v>2879</v>
      </c>
      <c r="HPJ1335" s="4" t="s">
        <v>2879</v>
      </c>
      <c r="HPK1335" s="4" t="s">
        <v>2879</v>
      </c>
      <c r="HPL1335" s="4" t="s">
        <v>2879</v>
      </c>
      <c r="HPM1335" s="4" t="s">
        <v>2879</v>
      </c>
      <c r="HPN1335" s="4" t="s">
        <v>2879</v>
      </c>
      <c r="HPO1335" s="4" t="s">
        <v>2879</v>
      </c>
      <c r="HPP1335" s="4" t="s">
        <v>2879</v>
      </c>
      <c r="HPQ1335" s="4" t="s">
        <v>2879</v>
      </c>
      <c r="HPR1335" s="4" t="s">
        <v>2879</v>
      </c>
      <c r="HPS1335" s="4" t="s">
        <v>2879</v>
      </c>
      <c r="HPT1335" s="4" t="s">
        <v>2879</v>
      </c>
      <c r="HPU1335" s="4" t="s">
        <v>2879</v>
      </c>
      <c r="HPV1335" s="4" t="s">
        <v>2879</v>
      </c>
      <c r="HPW1335" s="4" t="s">
        <v>2879</v>
      </c>
      <c r="HPX1335" s="4" t="s">
        <v>2879</v>
      </c>
      <c r="HPY1335" s="4" t="s">
        <v>2879</v>
      </c>
      <c r="HPZ1335" s="4" t="s">
        <v>2879</v>
      </c>
      <c r="HQA1335" s="4" t="s">
        <v>2879</v>
      </c>
      <c r="HQB1335" s="4" t="s">
        <v>2879</v>
      </c>
      <c r="HQC1335" s="4" t="s">
        <v>2879</v>
      </c>
      <c r="HQD1335" s="4" t="s">
        <v>2879</v>
      </c>
      <c r="HQE1335" s="4" t="s">
        <v>2879</v>
      </c>
      <c r="HQF1335" s="4" t="s">
        <v>2879</v>
      </c>
      <c r="HQG1335" s="4" t="s">
        <v>2879</v>
      </c>
      <c r="HQH1335" s="4" t="s">
        <v>2879</v>
      </c>
      <c r="HQI1335" s="4" t="s">
        <v>2879</v>
      </c>
      <c r="HQJ1335" s="4" t="s">
        <v>2879</v>
      </c>
      <c r="HQK1335" s="4" t="s">
        <v>2879</v>
      </c>
      <c r="HQL1335" s="4" t="s">
        <v>2879</v>
      </c>
      <c r="HQM1335" s="4" t="s">
        <v>2879</v>
      </c>
      <c r="HQN1335" s="4" t="s">
        <v>2879</v>
      </c>
      <c r="HQO1335" s="4" t="s">
        <v>2879</v>
      </c>
      <c r="HQP1335" s="4" t="s">
        <v>2879</v>
      </c>
      <c r="HQQ1335" s="4" t="s">
        <v>2879</v>
      </c>
      <c r="HQR1335" s="4" t="s">
        <v>2879</v>
      </c>
      <c r="HQS1335" s="4" t="s">
        <v>2879</v>
      </c>
      <c r="HQT1335" s="4" t="s">
        <v>2879</v>
      </c>
      <c r="HQU1335" s="4" t="s">
        <v>2879</v>
      </c>
      <c r="HQV1335" s="4" t="s">
        <v>2879</v>
      </c>
      <c r="HQW1335" s="4" t="s">
        <v>2879</v>
      </c>
      <c r="HQX1335" s="4" t="s">
        <v>2879</v>
      </c>
      <c r="HQY1335" s="4" t="s">
        <v>2879</v>
      </c>
      <c r="HQZ1335" s="4" t="s">
        <v>2879</v>
      </c>
      <c r="HRA1335" s="4" t="s">
        <v>2879</v>
      </c>
      <c r="HRB1335" s="4" t="s">
        <v>2879</v>
      </c>
      <c r="HRC1335" s="4" t="s">
        <v>2879</v>
      </c>
      <c r="HRD1335" s="4" t="s">
        <v>2879</v>
      </c>
      <c r="HRE1335" s="4" t="s">
        <v>2879</v>
      </c>
      <c r="HRF1335" s="4" t="s">
        <v>2879</v>
      </c>
      <c r="HRG1335" s="4" t="s">
        <v>2879</v>
      </c>
      <c r="HRH1335" s="4" t="s">
        <v>2879</v>
      </c>
      <c r="HRI1335" s="4" t="s">
        <v>2879</v>
      </c>
      <c r="HRJ1335" s="4" t="s">
        <v>2879</v>
      </c>
      <c r="HRK1335" s="4" t="s">
        <v>2879</v>
      </c>
      <c r="HRL1335" s="4" t="s">
        <v>2879</v>
      </c>
      <c r="HRM1335" s="4" t="s">
        <v>2879</v>
      </c>
      <c r="HRN1335" s="4" t="s">
        <v>2879</v>
      </c>
      <c r="HRO1335" s="4" t="s">
        <v>2879</v>
      </c>
      <c r="HRP1335" s="4" t="s">
        <v>2879</v>
      </c>
      <c r="HRQ1335" s="4" t="s">
        <v>2879</v>
      </c>
      <c r="HRR1335" s="4" t="s">
        <v>2879</v>
      </c>
      <c r="HRS1335" s="4" t="s">
        <v>2879</v>
      </c>
      <c r="HRT1335" s="4" t="s">
        <v>2879</v>
      </c>
      <c r="HRU1335" s="4" t="s">
        <v>2879</v>
      </c>
      <c r="HRV1335" s="4" t="s">
        <v>2879</v>
      </c>
      <c r="HRW1335" s="4" t="s">
        <v>2879</v>
      </c>
      <c r="HRX1335" s="4" t="s">
        <v>2879</v>
      </c>
      <c r="HRY1335" s="4" t="s">
        <v>2879</v>
      </c>
      <c r="HRZ1335" s="4" t="s">
        <v>2879</v>
      </c>
      <c r="HSA1335" s="4" t="s">
        <v>2879</v>
      </c>
      <c r="HSB1335" s="4" t="s">
        <v>2879</v>
      </c>
      <c r="HSC1335" s="4" t="s">
        <v>2879</v>
      </c>
      <c r="HSD1335" s="4" t="s">
        <v>2879</v>
      </c>
      <c r="HSE1335" s="4" t="s">
        <v>2879</v>
      </c>
      <c r="HSF1335" s="4" t="s">
        <v>2879</v>
      </c>
      <c r="HSG1335" s="4" t="s">
        <v>2879</v>
      </c>
      <c r="HSH1335" s="4" t="s">
        <v>2879</v>
      </c>
      <c r="HSI1335" s="4" t="s">
        <v>2879</v>
      </c>
      <c r="HSJ1335" s="4" t="s">
        <v>2879</v>
      </c>
      <c r="HSK1335" s="4" t="s">
        <v>2879</v>
      </c>
      <c r="HSL1335" s="4" t="s">
        <v>2879</v>
      </c>
      <c r="HSM1335" s="4" t="s">
        <v>2879</v>
      </c>
      <c r="HSN1335" s="4" t="s">
        <v>2879</v>
      </c>
      <c r="HSO1335" s="4" t="s">
        <v>2879</v>
      </c>
      <c r="HSP1335" s="4" t="s">
        <v>2879</v>
      </c>
      <c r="HSQ1335" s="4" t="s">
        <v>2879</v>
      </c>
      <c r="HSR1335" s="4" t="s">
        <v>2879</v>
      </c>
      <c r="HSS1335" s="4" t="s">
        <v>2879</v>
      </c>
      <c r="HST1335" s="4" t="s">
        <v>2879</v>
      </c>
      <c r="HSU1335" s="4" t="s">
        <v>2879</v>
      </c>
      <c r="HSV1335" s="4" t="s">
        <v>2879</v>
      </c>
      <c r="HSW1335" s="4" t="s">
        <v>2879</v>
      </c>
      <c r="HSX1335" s="4" t="s">
        <v>2879</v>
      </c>
      <c r="HSY1335" s="4" t="s">
        <v>2879</v>
      </c>
      <c r="HSZ1335" s="4" t="s">
        <v>2879</v>
      </c>
      <c r="HTA1335" s="4" t="s">
        <v>2879</v>
      </c>
      <c r="HTB1335" s="4" t="s">
        <v>2879</v>
      </c>
      <c r="HTC1335" s="4" t="s">
        <v>2879</v>
      </c>
      <c r="HTD1335" s="4" t="s">
        <v>2879</v>
      </c>
      <c r="HTE1335" s="4" t="s">
        <v>2879</v>
      </c>
      <c r="HTF1335" s="4" t="s">
        <v>2879</v>
      </c>
      <c r="HTG1335" s="4" t="s">
        <v>2879</v>
      </c>
      <c r="HTH1335" s="4" t="s">
        <v>2879</v>
      </c>
      <c r="HTI1335" s="4" t="s">
        <v>2879</v>
      </c>
      <c r="HTJ1335" s="4" t="s">
        <v>2879</v>
      </c>
      <c r="HTK1335" s="4" t="s">
        <v>2879</v>
      </c>
      <c r="HTL1335" s="4" t="s">
        <v>2879</v>
      </c>
      <c r="HTM1335" s="4" t="s">
        <v>2879</v>
      </c>
      <c r="HTN1335" s="4" t="s">
        <v>2879</v>
      </c>
      <c r="HTO1335" s="4" t="s">
        <v>2879</v>
      </c>
      <c r="HTP1335" s="4" t="s">
        <v>2879</v>
      </c>
      <c r="HTQ1335" s="4" t="s">
        <v>2879</v>
      </c>
      <c r="HTR1335" s="4" t="s">
        <v>2879</v>
      </c>
      <c r="HTS1335" s="4" t="s">
        <v>2879</v>
      </c>
      <c r="HTT1335" s="4" t="s">
        <v>2879</v>
      </c>
      <c r="HTU1335" s="4" t="s">
        <v>2879</v>
      </c>
      <c r="HTV1335" s="4" t="s">
        <v>2879</v>
      </c>
      <c r="HTW1335" s="4" t="s">
        <v>2879</v>
      </c>
      <c r="HTX1335" s="4" t="s">
        <v>2879</v>
      </c>
      <c r="HTY1335" s="4" t="s">
        <v>2879</v>
      </c>
      <c r="HTZ1335" s="4" t="s">
        <v>2879</v>
      </c>
      <c r="HUA1335" s="4" t="s">
        <v>2879</v>
      </c>
      <c r="HUB1335" s="4" t="s">
        <v>2879</v>
      </c>
      <c r="HUC1335" s="4" t="s">
        <v>2879</v>
      </c>
      <c r="HUD1335" s="4" t="s">
        <v>2879</v>
      </c>
      <c r="HUE1335" s="4" t="s">
        <v>2879</v>
      </c>
      <c r="HUF1335" s="4" t="s">
        <v>2879</v>
      </c>
      <c r="HUG1335" s="4" t="s">
        <v>2879</v>
      </c>
      <c r="HUH1335" s="4" t="s">
        <v>2879</v>
      </c>
      <c r="HUI1335" s="4" t="s">
        <v>2879</v>
      </c>
      <c r="HUJ1335" s="4" t="s">
        <v>2879</v>
      </c>
      <c r="HUK1335" s="4" t="s">
        <v>2879</v>
      </c>
      <c r="HUL1335" s="4" t="s">
        <v>2879</v>
      </c>
      <c r="HUM1335" s="4" t="s">
        <v>2879</v>
      </c>
      <c r="HUN1335" s="4" t="s">
        <v>2879</v>
      </c>
      <c r="HUO1335" s="4" t="s">
        <v>2879</v>
      </c>
      <c r="HUP1335" s="4" t="s">
        <v>2879</v>
      </c>
      <c r="HUQ1335" s="4" t="s">
        <v>2879</v>
      </c>
      <c r="HUR1335" s="4" t="s">
        <v>2879</v>
      </c>
      <c r="HUS1335" s="4" t="s">
        <v>2879</v>
      </c>
      <c r="HUT1335" s="4" t="s">
        <v>2879</v>
      </c>
      <c r="HUU1335" s="4" t="s">
        <v>2879</v>
      </c>
      <c r="HUV1335" s="4" t="s">
        <v>2879</v>
      </c>
      <c r="HUW1335" s="4" t="s">
        <v>2879</v>
      </c>
      <c r="HUX1335" s="4" t="s">
        <v>2879</v>
      </c>
      <c r="HUY1335" s="4" t="s">
        <v>2879</v>
      </c>
      <c r="HUZ1335" s="4" t="s">
        <v>2879</v>
      </c>
      <c r="HVA1335" s="4" t="s">
        <v>2879</v>
      </c>
      <c r="HVB1335" s="4" t="s">
        <v>2879</v>
      </c>
      <c r="HVC1335" s="4" t="s">
        <v>2879</v>
      </c>
      <c r="HVD1335" s="4" t="s">
        <v>2879</v>
      </c>
      <c r="HVE1335" s="4" t="s">
        <v>2879</v>
      </c>
      <c r="HVF1335" s="4" t="s">
        <v>2879</v>
      </c>
      <c r="HVG1335" s="4" t="s">
        <v>2879</v>
      </c>
      <c r="HVH1335" s="4" t="s">
        <v>2879</v>
      </c>
      <c r="HVI1335" s="4" t="s">
        <v>2879</v>
      </c>
      <c r="HVJ1335" s="4" t="s">
        <v>2879</v>
      </c>
      <c r="HVK1335" s="4" t="s">
        <v>2879</v>
      </c>
      <c r="HVL1335" s="4" t="s">
        <v>2879</v>
      </c>
      <c r="HVM1335" s="4" t="s">
        <v>2879</v>
      </c>
      <c r="HVN1335" s="4" t="s">
        <v>2879</v>
      </c>
      <c r="HVO1335" s="4" t="s">
        <v>2879</v>
      </c>
      <c r="HVP1335" s="4" t="s">
        <v>2879</v>
      </c>
      <c r="HVQ1335" s="4" t="s">
        <v>2879</v>
      </c>
      <c r="HVR1335" s="4" t="s">
        <v>2879</v>
      </c>
      <c r="HVS1335" s="4" t="s">
        <v>2879</v>
      </c>
      <c r="HVT1335" s="4" t="s">
        <v>2879</v>
      </c>
      <c r="HVU1335" s="4" t="s">
        <v>2879</v>
      </c>
      <c r="HVV1335" s="4" t="s">
        <v>2879</v>
      </c>
      <c r="HVW1335" s="4" t="s">
        <v>2879</v>
      </c>
      <c r="HVX1335" s="4" t="s">
        <v>2879</v>
      </c>
      <c r="HVY1335" s="4" t="s">
        <v>2879</v>
      </c>
      <c r="HVZ1335" s="4" t="s">
        <v>2879</v>
      </c>
      <c r="HWA1335" s="4" t="s">
        <v>2879</v>
      </c>
      <c r="HWB1335" s="4" t="s">
        <v>2879</v>
      </c>
      <c r="HWC1335" s="4" t="s">
        <v>2879</v>
      </c>
      <c r="HWD1335" s="4" t="s">
        <v>2879</v>
      </c>
      <c r="HWE1335" s="4" t="s">
        <v>2879</v>
      </c>
      <c r="HWF1335" s="4" t="s">
        <v>2879</v>
      </c>
      <c r="HWG1335" s="4" t="s">
        <v>2879</v>
      </c>
      <c r="HWH1335" s="4" t="s">
        <v>2879</v>
      </c>
      <c r="HWI1335" s="4" t="s">
        <v>2879</v>
      </c>
      <c r="HWJ1335" s="4" t="s">
        <v>2879</v>
      </c>
      <c r="HWK1335" s="4" t="s">
        <v>2879</v>
      </c>
      <c r="HWL1335" s="4" t="s">
        <v>2879</v>
      </c>
      <c r="HWM1335" s="4" t="s">
        <v>2879</v>
      </c>
      <c r="HWN1335" s="4" t="s">
        <v>2879</v>
      </c>
      <c r="HWO1335" s="4" t="s">
        <v>2879</v>
      </c>
      <c r="HWP1335" s="4" t="s">
        <v>2879</v>
      </c>
      <c r="HWQ1335" s="4" t="s">
        <v>2879</v>
      </c>
      <c r="HWR1335" s="4" t="s">
        <v>2879</v>
      </c>
      <c r="HWS1335" s="4" t="s">
        <v>2879</v>
      </c>
      <c r="HWT1335" s="4" t="s">
        <v>2879</v>
      </c>
      <c r="HWU1335" s="4" t="s">
        <v>2879</v>
      </c>
      <c r="HWV1335" s="4" t="s">
        <v>2879</v>
      </c>
      <c r="HWW1335" s="4" t="s">
        <v>2879</v>
      </c>
      <c r="HWX1335" s="4" t="s">
        <v>2879</v>
      </c>
      <c r="HWY1335" s="4" t="s">
        <v>2879</v>
      </c>
      <c r="HWZ1335" s="4" t="s">
        <v>2879</v>
      </c>
      <c r="HXA1335" s="4" t="s">
        <v>2879</v>
      </c>
      <c r="HXB1335" s="4" t="s">
        <v>2879</v>
      </c>
      <c r="HXC1335" s="4" t="s">
        <v>2879</v>
      </c>
      <c r="HXD1335" s="4" t="s">
        <v>2879</v>
      </c>
      <c r="HXE1335" s="4" t="s">
        <v>2879</v>
      </c>
      <c r="HXF1335" s="4" t="s">
        <v>2879</v>
      </c>
      <c r="HXG1335" s="4" t="s">
        <v>2879</v>
      </c>
      <c r="HXH1335" s="4" t="s">
        <v>2879</v>
      </c>
      <c r="HXI1335" s="4" t="s">
        <v>2879</v>
      </c>
      <c r="HXJ1335" s="4" t="s">
        <v>2879</v>
      </c>
      <c r="HXK1335" s="4" t="s">
        <v>2879</v>
      </c>
      <c r="HXL1335" s="4" t="s">
        <v>2879</v>
      </c>
      <c r="HXM1335" s="4" t="s">
        <v>2879</v>
      </c>
      <c r="HXN1335" s="4" t="s">
        <v>2879</v>
      </c>
      <c r="HXO1335" s="4" t="s">
        <v>2879</v>
      </c>
      <c r="HXP1335" s="4" t="s">
        <v>2879</v>
      </c>
      <c r="HXQ1335" s="4" t="s">
        <v>2879</v>
      </c>
      <c r="HXR1335" s="4" t="s">
        <v>2879</v>
      </c>
      <c r="HXS1335" s="4" t="s">
        <v>2879</v>
      </c>
      <c r="HXT1335" s="4" t="s">
        <v>2879</v>
      </c>
      <c r="HXU1335" s="4" t="s">
        <v>2879</v>
      </c>
      <c r="HXV1335" s="4" t="s">
        <v>2879</v>
      </c>
      <c r="HXW1335" s="4" t="s">
        <v>2879</v>
      </c>
      <c r="HXX1335" s="4" t="s">
        <v>2879</v>
      </c>
      <c r="HXY1335" s="4" t="s">
        <v>2879</v>
      </c>
      <c r="HXZ1335" s="4" t="s">
        <v>2879</v>
      </c>
      <c r="HYA1335" s="4" t="s">
        <v>2879</v>
      </c>
      <c r="HYB1335" s="4" t="s">
        <v>2879</v>
      </c>
      <c r="HYC1335" s="4" t="s">
        <v>2879</v>
      </c>
      <c r="HYD1335" s="4" t="s">
        <v>2879</v>
      </c>
      <c r="HYE1335" s="4" t="s">
        <v>2879</v>
      </c>
      <c r="HYF1335" s="4" t="s">
        <v>2879</v>
      </c>
      <c r="HYG1335" s="4" t="s">
        <v>2879</v>
      </c>
      <c r="HYH1335" s="4" t="s">
        <v>2879</v>
      </c>
      <c r="HYI1335" s="4" t="s">
        <v>2879</v>
      </c>
      <c r="HYJ1335" s="4" t="s">
        <v>2879</v>
      </c>
      <c r="HYK1335" s="4" t="s">
        <v>2879</v>
      </c>
      <c r="HYL1335" s="4" t="s">
        <v>2879</v>
      </c>
      <c r="HYM1335" s="4" t="s">
        <v>2879</v>
      </c>
      <c r="HYN1335" s="4" t="s">
        <v>2879</v>
      </c>
      <c r="HYO1335" s="4" t="s">
        <v>2879</v>
      </c>
      <c r="HYP1335" s="4" t="s">
        <v>2879</v>
      </c>
      <c r="HYQ1335" s="4" t="s">
        <v>2879</v>
      </c>
      <c r="HYR1335" s="4" t="s">
        <v>2879</v>
      </c>
      <c r="HYS1335" s="4" t="s">
        <v>2879</v>
      </c>
      <c r="HYT1335" s="4" t="s">
        <v>2879</v>
      </c>
      <c r="HYU1335" s="4" t="s">
        <v>2879</v>
      </c>
      <c r="HYV1335" s="4" t="s">
        <v>2879</v>
      </c>
      <c r="HYW1335" s="4" t="s">
        <v>2879</v>
      </c>
      <c r="HYX1335" s="4" t="s">
        <v>2879</v>
      </c>
      <c r="HYY1335" s="4" t="s">
        <v>2879</v>
      </c>
      <c r="HYZ1335" s="4" t="s">
        <v>2879</v>
      </c>
      <c r="HZA1335" s="4" t="s">
        <v>2879</v>
      </c>
      <c r="HZB1335" s="4" t="s">
        <v>2879</v>
      </c>
      <c r="HZC1335" s="4" t="s">
        <v>2879</v>
      </c>
      <c r="HZD1335" s="4" t="s">
        <v>2879</v>
      </c>
      <c r="HZE1335" s="4" t="s">
        <v>2879</v>
      </c>
      <c r="HZF1335" s="4" t="s">
        <v>2879</v>
      </c>
      <c r="HZG1335" s="4" t="s">
        <v>2879</v>
      </c>
      <c r="HZH1335" s="4" t="s">
        <v>2879</v>
      </c>
      <c r="HZI1335" s="4" t="s">
        <v>2879</v>
      </c>
      <c r="HZJ1335" s="4" t="s">
        <v>2879</v>
      </c>
      <c r="HZK1335" s="4" t="s">
        <v>2879</v>
      </c>
      <c r="HZL1335" s="4" t="s">
        <v>2879</v>
      </c>
      <c r="HZM1335" s="4" t="s">
        <v>2879</v>
      </c>
      <c r="HZN1335" s="4" t="s">
        <v>2879</v>
      </c>
      <c r="HZO1335" s="4" t="s">
        <v>2879</v>
      </c>
      <c r="HZP1335" s="4" t="s">
        <v>2879</v>
      </c>
      <c r="HZQ1335" s="4" t="s">
        <v>2879</v>
      </c>
      <c r="HZR1335" s="4" t="s">
        <v>2879</v>
      </c>
      <c r="HZS1335" s="4" t="s">
        <v>2879</v>
      </c>
      <c r="HZT1335" s="4" t="s">
        <v>2879</v>
      </c>
      <c r="HZU1335" s="4" t="s">
        <v>2879</v>
      </c>
      <c r="HZV1335" s="4" t="s">
        <v>2879</v>
      </c>
      <c r="HZW1335" s="4" t="s">
        <v>2879</v>
      </c>
      <c r="HZX1335" s="4" t="s">
        <v>2879</v>
      </c>
      <c r="HZY1335" s="4" t="s">
        <v>2879</v>
      </c>
      <c r="HZZ1335" s="4" t="s">
        <v>2879</v>
      </c>
      <c r="IAA1335" s="4" t="s">
        <v>2879</v>
      </c>
      <c r="IAB1335" s="4" t="s">
        <v>2879</v>
      </c>
      <c r="IAC1335" s="4" t="s">
        <v>2879</v>
      </c>
      <c r="IAD1335" s="4" t="s">
        <v>2879</v>
      </c>
      <c r="IAE1335" s="4" t="s">
        <v>2879</v>
      </c>
      <c r="IAF1335" s="4" t="s">
        <v>2879</v>
      </c>
      <c r="IAG1335" s="4" t="s">
        <v>2879</v>
      </c>
      <c r="IAH1335" s="4" t="s">
        <v>2879</v>
      </c>
      <c r="IAI1335" s="4" t="s">
        <v>2879</v>
      </c>
      <c r="IAJ1335" s="4" t="s">
        <v>2879</v>
      </c>
      <c r="IAK1335" s="4" t="s">
        <v>2879</v>
      </c>
      <c r="IAL1335" s="4" t="s">
        <v>2879</v>
      </c>
      <c r="IAM1335" s="4" t="s">
        <v>2879</v>
      </c>
      <c r="IAN1335" s="4" t="s">
        <v>2879</v>
      </c>
      <c r="IAO1335" s="4" t="s">
        <v>2879</v>
      </c>
      <c r="IAP1335" s="4" t="s">
        <v>2879</v>
      </c>
      <c r="IAQ1335" s="4" t="s">
        <v>2879</v>
      </c>
      <c r="IAR1335" s="4" t="s">
        <v>2879</v>
      </c>
      <c r="IAS1335" s="4" t="s">
        <v>2879</v>
      </c>
      <c r="IAT1335" s="4" t="s">
        <v>2879</v>
      </c>
      <c r="IAU1335" s="4" t="s">
        <v>2879</v>
      </c>
      <c r="IAV1335" s="4" t="s">
        <v>2879</v>
      </c>
      <c r="IAW1335" s="4" t="s">
        <v>2879</v>
      </c>
      <c r="IAX1335" s="4" t="s">
        <v>2879</v>
      </c>
      <c r="IAY1335" s="4" t="s">
        <v>2879</v>
      </c>
      <c r="IAZ1335" s="4" t="s">
        <v>2879</v>
      </c>
      <c r="IBA1335" s="4" t="s">
        <v>2879</v>
      </c>
      <c r="IBB1335" s="4" t="s">
        <v>2879</v>
      </c>
      <c r="IBC1335" s="4" t="s">
        <v>2879</v>
      </c>
      <c r="IBD1335" s="4" t="s">
        <v>2879</v>
      </c>
      <c r="IBE1335" s="4" t="s">
        <v>2879</v>
      </c>
      <c r="IBF1335" s="4" t="s">
        <v>2879</v>
      </c>
      <c r="IBG1335" s="4" t="s">
        <v>2879</v>
      </c>
      <c r="IBH1335" s="4" t="s">
        <v>2879</v>
      </c>
      <c r="IBI1335" s="4" t="s">
        <v>2879</v>
      </c>
      <c r="IBJ1335" s="4" t="s">
        <v>2879</v>
      </c>
      <c r="IBK1335" s="4" t="s">
        <v>2879</v>
      </c>
      <c r="IBL1335" s="4" t="s">
        <v>2879</v>
      </c>
      <c r="IBM1335" s="4" t="s">
        <v>2879</v>
      </c>
      <c r="IBN1335" s="4" t="s">
        <v>2879</v>
      </c>
      <c r="IBO1335" s="4" t="s">
        <v>2879</v>
      </c>
      <c r="IBP1335" s="4" t="s">
        <v>2879</v>
      </c>
      <c r="IBQ1335" s="4" t="s">
        <v>2879</v>
      </c>
      <c r="IBR1335" s="4" t="s">
        <v>2879</v>
      </c>
      <c r="IBS1335" s="4" t="s">
        <v>2879</v>
      </c>
      <c r="IBT1335" s="4" t="s">
        <v>2879</v>
      </c>
      <c r="IBU1335" s="4" t="s">
        <v>2879</v>
      </c>
      <c r="IBV1335" s="4" t="s">
        <v>2879</v>
      </c>
      <c r="IBW1335" s="4" t="s">
        <v>2879</v>
      </c>
      <c r="IBX1335" s="4" t="s">
        <v>2879</v>
      </c>
      <c r="IBY1335" s="4" t="s">
        <v>2879</v>
      </c>
      <c r="IBZ1335" s="4" t="s">
        <v>2879</v>
      </c>
      <c r="ICA1335" s="4" t="s">
        <v>2879</v>
      </c>
      <c r="ICB1335" s="4" t="s">
        <v>2879</v>
      </c>
      <c r="ICC1335" s="4" t="s">
        <v>2879</v>
      </c>
      <c r="ICD1335" s="4" t="s">
        <v>2879</v>
      </c>
      <c r="ICE1335" s="4" t="s">
        <v>2879</v>
      </c>
      <c r="ICF1335" s="4" t="s">
        <v>2879</v>
      </c>
      <c r="ICG1335" s="4" t="s">
        <v>2879</v>
      </c>
      <c r="ICH1335" s="4" t="s">
        <v>2879</v>
      </c>
      <c r="ICI1335" s="4" t="s">
        <v>2879</v>
      </c>
      <c r="ICJ1335" s="4" t="s">
        <v>2879</v>
      </c>
      <c r="ICK1335" s="4" t="s">
        <v>2879</v>
      </c>
      <c r="ICL1335" s="4" t="s">
        <v>2879</v>
      </c>
      <c r="ICM1335" s="4" t="s">
        <v>2879</v>
      </c>
      <c r="ICN1335" s="4" t="s">
        <v>2879</v>
      </c>
      <c r="ICO1335" s="4" t="s">
        <v>2879</v>
      </c>
      <c r="ICP1335" s="4" t="s">
        <v>2879</v>
      </c>
      <c r="ICQ1335" s="4" t="s">
        <v>2879</v>
      </c>
      <c r="ICR1335" s="4" t="s">
        <v>2879</v>
      </c>
      <c r="ICS1335" s="4" t="s">
        <v>2879</v>
      </c>
      <c r="ICT1335" s="4" t="s">
        <v>2879</v>
      </c>
      <c r="ICU1335" s="4" t="s">
        <v>2879</v>
      </c>
      <c r="ICV1335" s="4" t="s">
        <v>2879</v>
      </c>
      <c r="ICW1335" s="4" t="s">
        <v>2879</v>
      </c>
      <c r="ICX1335" s="4" t="s">
        <v>2879</v>
      </c>
      <c r="ICY1335" s="4" t="s">
        <v>2879</v>
      </c>
      <c r="ICZ1335" s="4" t="s">
        <v>2879</v>
      </c>
      <c r="IDA1335" s="4" t="s">
        <v>2879</v>
      </c>
      <c r="IDB1335" s="4" t="s">
        <v>2879</v>
      </c>
      <c r="IDC1335" s="4" t="s">
        <v>2879</v>
      </c>
      <c r="IDD1335" s="4" t="s">
        <v>2879</v>
      </c>
      <c r="IDE1335" s="4" t="s">
        <v>2879</v>
      </c>
      <c r="IDF1335" s="4" t="s">
        <v>2879</v>
      </c>
      <c r="IDG1335" s="4" t="s">
        <v>2879</v>
      </c>
      <c r="IDH1335" s="4" t="s">
        <v>2879</v>
      </c>
      <c r="IDI1335" s="4" t="s">
        <v>2879</v>
      </c>
      <c r="IDJ1335" s="4" t="s">
        <v>2879</v>
      </c>
      <c r="IDK1335" s="4" t="s">
        <v>2879</v>
      </c>
      <c r="IDL1335" s="4" t="s">
        <v>2879</v>
      </c>
      <c r="IDM1335" s="4" t="s">
        <v>2879</v>
      </c>
      <c r="IDN1335" s="4" t="s">
        <v>2879</v>
      </c>
      <c r="IDO1335" s="4" t="s">
        <v>2879</v>
      </c>
      <c r="IDP1335" s="4" t="s">
        <v>2879</v>
      </c>
      <c r="IDQ1335" s="4" t="s">
        <v>2879</v>
      </c>
      <c r="IDR1335" s="4" t="s">
        <v>2879</v>
      </c>
      <c r="IDS1335" s="4" t="s">
        <v>2879</v>
      </c>
      <c r="IDT1335" s="4" t="s">
        <v>2879</v>
      </c>
      <c r="IDU1335" s="4" t="s">
        <v>2879</v>
      </c>
      <c r="IDV1335" s="4" t="s">
        <v>2879</v>
      </c>
      <c r="IDW1335" s="4" t="s">
        <v>2879</v>
      </c>
      <c r="IDX1335" s="4" t="s">
        <v>2879</v>
      </c>
      <c r="IDY1335" s="4" t="s">
        <v>2879</v>
      </c>
      <c r="IDZ1335" s="4" t="s">
        <v>2879</v>
      </c>
      <c r="IEA1335" s="4" t="s">
        <v>2879</v>
      </c>
      <c r="IEB1335" s="4" t="s">
        <v>2879</v>
      </c>
      <c r="IEC1335" s="4" t="s">
        <v>2879</v>
      </c>
      <c r="IED1335" s="4" t="s">
        <v>2879</v>
      </c>
      <c r="IEE1335" s="4" t="s">
        <v>2879</v>
      </c>
      <c r="IEF1335" s="4" t="s">
        <v>2879</v>
      </c>
      <c r="IEG1335" s="4" t="s">
        <v>2879</v>
      </c>
      <c r="IEH1335" s="4" t="s">
        <v>2879</v>
      </c>
      <c r="IEI1335" s="4" t="s">
        <v>2879</v>
      </c>
      <c r="IEJ1335" s="4" t="s">
        <v>2879</v>
      </c>
      <c r="IEK1335" s="4" t="s">
        <v>2879</v>
      </c>
      <c r="IEL1335" s="4" t="s">
        <v>2879</v>
      </c>
      <c r="IEM1335" s="4" t="s">
        <v>2879</v>
      </c>
      <c r="IEN1335" s="4" t="s">
        <v>2879</v>
      </c>
      <c r="IEO1335" s="4" t="s">
        <v>2879</v>
      </c>
      <c r="IEP1335" s="4" t="s">
        <v>2879</v>
      </c>
      <c r="IEQ1335" s="4" t="s">
        <v>2879</v>
      </c>
      <c r="IER1335" s="4" t="s">
        <v>2879</v>
      </c>
      <c r="IES1335" s="4" t="s">
        <v>2879</v>
      </c>
      <c r="IET1335" s="4" t="s">
        <v>2879</v>
      </c>
      <c r="IEU1335" s="4" t="s">
        <v>2879</v>
      </c>
      <c r="IEV1335" s="4" t="s">
        <v>2879</v>
      </c>
      <c r="IEW1335" s="4" t="s">
        <v>2879</v>
      </c>
      <c r="IEX1335" s="4" t="s">
        <v>2879</v>
      </c>
      <c r="IEY1335" s="4" t="s">
        <v>2879</v>
      </c>
      <c r="IEZ1335" s="4" t="s">
        <v>2879</v>
      </c>
      <c r="IFA1335" s="4" t="s">
        <v>2879</v>
      </c>
      <c r="IFB1335" s="4" t="s">
        <v>2879</v>
      </c>
      <c r="IFC1335" s="4" t="s">
        <v>2879</v>
      </c>
      <c r="IFD1335" s="4" t="s">
        <v>2879</v>
      </c>
      <c r="IFE1335" s="4" t="s">
        <v>2879</v>
      </c>
      <c r="IFF1335" s="4" t="s">
        <v>2879</v>
      </c>
      <c r="IFG1335" s="4" t="s">
        <v>2879</v>
      </c>
      <c r="IFH1335" s="4" t="s">
        <v>2879</v>
      </c>
      <c r="IFI1335" s="4" t="s">
        <v>2879</v>
      </c>
      <c r="IFJ1335" s="4" t="s">
        <v>2879</v>
      </c>
      <c r="IFK1335" s="4" t="s">
        <v>2879</v>
      </c>
      <c r="IFL1335" s="4" t="s">
        <v>2879</v>
      </c>
      <c r="IFM1335" s="4" t="s">
        <v>2879</v>
      </c>
      <c r="IFN1335" s="4" t="s">
        <v>2879</v>
      </c>
      <c r="IFO1335" s="4" t="s">
        <v>2879</v>
      </c>
      <c r="IFP1335" s="4" t="s">
        <v>2879</v>
      </c>
      <c r="IFQ1335" s="4" t="s">
        <v>2879</v>
      </c>
      <c r="IFR1335" s="4" t="s">
        <v>2879</v>
      </c>
      <c r="IFS1335" s="4" t="s">
        <v>2879</v>
      </c>
      <c r="IFT1335" s="4" t="s">
        <v>2879</v>
      </c>
      <c r="IFU1335" s="4" t="s">
        <v>2879</v>
      </c>
      <c r="IFV1335" s="4" t="s">
        <v>2879</v>
      </c>
      <c r="IFW1335" s="4" t="s">
        <v>2879</v>
      </c>
      <c r="IFX1335" s="4" t="s">
        <v>2879</v>
      </c>
      <c r="IFY1335" s="4" t="s">
        <v>2879</v>
      </c>
      <c r="IFZ1335" s="4" t="s">
        <v>2879</v>
      </c>
      <c r="IGA1335" s="4" t="s">
        <v>2879</v>
      </c>
      <c r="IGB1335" s="4" t="s">
        <v>2879</v>
      </c>
      <c r="IGC1335" s="4" t="s">
        <v>2879</v>
      </c>
      <c r="IGD1335" s="4" t="s">
        <v>2879</v>
      </c>
      <c r="IGE1335" s="4" t="s">
        <v>2879</v>
      </c>
      <c r="IGF1335" s="4" t="s">
        <v>2879</v>
      </c>
      <c r="IGG1335" s="4" t="s">
        <v>2879</v>
      </c>
      <c r="IGH1335" s="4" t="s">
        <v>2879</v>
      </c>
      <c r="IGI1335" s="4" t="s">
        <v>2879</v>
      </c>
      <c r="IGJ1335" s="4" t="s">
        <v>2879</v>
      </c>
      <c r="IGK1335" s="4" t="s">
        <v>2879</v>
      </c>
      <c r="IGL1335" s="4" t="s">
        <v>2879</v>
      </c>
      <c r="IGM1335" s="4" t="s">
        <v>2879</v>
      </c>
      <c r="IGN1335" s="4" t="s">
        <v>2879</v>
      </c>
      <c r="IGO1335" s="4" t="s">
        <v>2879</v>
      </c>
      <c r="IGP1335" s="4" t="s">
        <v>2879</v>
      </c>
      <c r="IGQ1335" s="4" t="s">
        <v>2879</v>
      </c>
      <c r="IGR1335" s="4" t="s">
        <v>2879</v>
      </c>
      <c r="IGS1335" s="4" t="s">
        <v>2879</v>
      </c>
      <c r="IGT1335" s="4" t="s">
        <v>2879</v>
      </c>
      <c r="IGU1335" s="4" t="s">
        <v>2879</v>
      </c>
      <c r="IGV1335" s="4" t="s">
        <v>2879</v>
      </c>
      <c r="IGW1335" s="4" t="s">
        <v>2879</v>
      </c>
      <c r="IGX1335" s="4" t="s">
        <v>2879</v>
      </c>
      <c r="IGY1335" s="4" t="s">
        <v>2879</v>
      </c>
      <c r="IGZ1335" s="4" t="s">
        <v>2879</v>
      </c>
      <c r="IHA1335" s="4" t="s">
        <v>2879</v>
      </c>
      <c r="IHB1335" s="4" t="s">
        <v>2879</v>
      </c>
      <c r="IHC1335" s="4" t="s">
        <v>2879</v>
      </c>
      <c r="IHD1335" s="4" t="s">
        <v>2879</v>
      </c>
      <c r="IHE1335" s="4" t="s">
        <v>2879</v>
      </c>
      <c r="IHF1335" s="4" t="s">
        <v>2879</v>
      </c>
      <c r="IHG1335" s="4" t="s">
        <v>2879</v>
      </c>
      <c r="IHH1335" s="4" t="s">
        <v>2879</v>
      </c>
      <c r="IHI1335" s="4" t="s">
        <v>2879</v>
      </c>
      <c r="IHJ1335" s="4" t="s">
        <v>2879</v>
      </c>
      <c r="IHK1335" s="4" t="s">
        <v>2879</v>
      </c>
      <c r="IHL1335" s="4" t="s">
        <v>2879</v>
      </c>
      <c r="IHM1335" s="4" t="s">
        <v>2879</v>
      </c>
      <c r="IHN1335" s="4" t="s">
        <v>2879</v>
      </c>
      <c r="IHO1335" s="4" t="s">
        <v>2879</v>
      </c>
      <c r="IHP1335" s="4" t="s">
        <v>2879</v>
      </c>
      <c r="IHQ1335" s="4" t="s">
        <v>2879</v>
      </c>
      <c r="IHR1335" s="4" t="s">
        <v>2879</v>
      </c>
      <c r="IHS1335" s="4" t="s">
        <v>2879</v>
      </c>
      <c r="IHT1335" s="4" t="s">
        <v>2879</v>
      </c>
      <c r="IHU1335" s="4" t="s">
        <v>2879</v>
      </c>
      <c r="IHV1335" s="4" t="s">
        <v>2879</v>
      </c>
      <c r="IHW1335" s="4" t="s">
        <v>2879</v>
      </c>
      <c r="IHX1335" s="4" t="s">
        <v>2879</v>
      </c>
      <c r="IHY1335" s="4" t="s">
        <v>2879</v>
      </c>
      <c r="IHZ1335" s="4" t="s">
        <v>2879</v>
      </c>
      <c r="IIA1335" s="4" t="s">
        <v>2879</v>
      </c>
      <c r="IIB1335" s="4" t="s">
        <v>2879</v>
      </c>
      <c r="IIC1335" s="4" t="s">
        <v>2879</v>
      </c>
      <c r="IID1335" s="4" t="s">
        <v>2879</v>
      </c>
      <c r="IIE1335" s="4" t="s">
        <v>2879</v>
      </c>
      <c r="IIF1335" s="4" t="s">
        <v>2879</v>
      </c>
      <c r="IIG1335" s="4" t="s">
        <v>2879</v>
      </c>
      <c r="IIH1335" s="4" t="s">
        <v>2879</v>
      </c>
      <c r="III1335" s="4" t="s">
        <v>2879</v>
      </c>
      <c r="IIJ1335" s="4" t="s">
        <v>2879</v>
      </c>
      <c r="IIK1335" s="4" t="s">
        <v>2879</v>
      </c>
      <c r="IIL1335" s="4" t="s">
        <v>2879</v>
      </c>
      <c r="IIM1335" s="4" t="s">
        <v>2879</v>
      </c>
      <c r="IIN1335" s="4" t="s">
        <v>2879</v>
      </c>
      <c r="IIO1335" s="4" t="s">
        <v>2879</v>
      </c>
      <c r="IIP1335" s="4" t="s">
        <v>2879</v>
      </c>
      <c r="IIQ1335" s="4" t="s">
        <v>2879</v>
      </c>
      <c r="IIR1335" s="4" t="s">
        <v>2879</v>
      </c>
      <c r="IIS1335" s="4" t="s">
        <v>2879</v>
      </c>
      <c r="IIT1335" s="4" t="s">
        <v>2879</v>
      </c>
      <c r="IIU1335" s="4" t="s">
        <v>2879</v>
      </c>
      <c r="IIV1335" s="4" t="s">
        <v>2879</v>
      </c>
      <c r="IIW1335" s="4" t="s">
        <v>2879</v>
      </c>
      <c r="IIX1335" s="4" t="s">
        <v>2879</v>
      </c>
      <c r="IIY1335" s="4" t="s">
        <v>2879</v>
      </c>
      <c r="IIZ1335" s="4" t="s">
        <v>2879</v>
      </c>
      <c r="IJA1335" s="4" t="s">
        <v>2879</v>
      </c>
      <c r="IJB1335" s="4" t="s">
        <v>2879</v>
      </c>
      <c r="IJC1335" s="4" t="s">
        <v>2879</v>
      </c>
      <c r="IJD1335" s="4" t="s">
        <v>2879</v>
      </c>
      <c r="IJE1335" s="4" t="s">
        <v>2879</v>
      </c>
      <c r="IJF1335" s="4" t="s">
        <v>2879</v>
      </c>
      <c r="IJG1335" s="4" t="s">
        <v>2879</v>
      </c>
      <c r="IJH1335" s="4" t="s">
        <v>2879</v>
      </c>
      <c r="IJI1335" s="4" t="s">
        <v>2879</v>
      </c>
      <c r="IJJ1335" s="4" t="s">
        <v>2879</v>
      </c>
      <c r="IJK1335" s="4" t="s">
        <v>2879</v>
      </c>
      <c r="IJL1335" s="4" t="s">
        <v>2879</v>
      </c>
      <c r="IJM1335" s="4" t="s">
        <v>2879</v>
      </c>
      <c r="IJN1335" s="4" t="s">
        <v>2879</v>
      </c>
      <c r="IJO1335" s="4" t="s">
        <v>2879</v>
      </c>
      <c r="IJP1335" s="4" t="s">
        <v>2879</v>
      </c>
      <c r="IJQ1335" s="4" t="s">
        <v>2879</v>
      </c>
      <c r="IJR1335" s="4" t="s">
        <v>2879</v>
      </c>
      <c r="IJS1335" s="4" t="s">
        <v>2879</v>
      </c>
      <c r="IJT1335" s="4" t="s">
        <v>2879</v>
      </c>
      <c r="IJU1335" s="4" t="s">
        <v>2879</v>
      </c>
      <c r="IJV1335" s="4" t="s">
        <v>2879</v>
      </c>
      <c r="IJW1335" s="4" t="s">
        <v>2879</v>
      </c>
      <c r="IJX1335" s="4" t="s">
        <v>2879</v>
      </c>
      <c r="IJY1335" s="4" t="s">
        <v>2879</v>
      </c>
      <c r="IJZ1335" s="4" t="s">
        <v>2879</v>
      </c>
      <c r="IKA1335" s="4" t="s">
        <v>2879</v>
      </c>
      <c r="IKB1335" s="4" t="s">
        <v>2879</v>
      </c>
      <c r="IKC1335" s="4" t="s">
        <v>2879</v>
      </c>
      <c r="IKD1335" s="4" t="s">
        <v>2879</v>
      </c>
      <c r="IKE1335" s="4" t="s">
        <v>2879</v>
      </c>
      <c r="IKF1335" s="4" t="s">
        <v>2879</v>
      </c>
      <c r="IKG1335" s="4" t="s">
        <v>2879</v>
      </c>
      <c r="IKH1335" s="4" t="s">
        <v>2879</v>
      </c>
      <c r="IKI1335" s="4" t="s">
        <v>2879</v>
      </c>
      <c r="IKJ1335" s="4" t="s">
        <v>2879</v>
      </c>
      <c r="IKK1335" s="4" t="s">
        <v>2879</v>
      </c>
      <c r="IKL1335" s="4" t="s">
        <v>2879</v>
      </c>
      <c r="IKM1335" s="4" t="s">
        <v>2879</v>
      </c>
      <c r="IKN1335" s="4" t="s">
        <v>2879</v>
      </c>
      <c r="IKO1335" s="4" t="s">
        <v>2879</v>
      </c>
      <c r="IKP1335" s="4" t="s">
        <v>2879</v>
      </c>
      <c r="IKQ1335" s="4" t="s">
        <v>2879</v>
      </c>
      <c r="IKR1335" s="4" t="s">
        <v>2879</v>
      </c>
      <c r="IKS1335" s="4" t="s">
        <v>2879</v>
      </c>
      <c r="IKT1335" s="4" t="s">
        <v>2879</v>
      </c>
      <c r="IKU1335" s="4" t="s">
        <v>2879</v>
      </c>
      <c r="IKV1335" s="4" t="s">
        <v>2879</v>
      </c>
      <c r="IKW1335" s="4" t="s">
        <v>2879</v>
      </c>
      <c r="IKX1335" s="4" t="s">
        <v>2879</v>
      </c>
      <c r="IKY1335" s="4" t="s">
        <v>2879</v>
      </c>
      <c r="IKZ1335" s="4" t="s">
        <v>2879</v>
      </c>
      <c r="ILA1335" s="4" t="s">
        <v>2879</v>
      </c>
      <c r="ILB1335" s="4" t="s">
        <v>2879</v>
      </c>
      <c r="ILC1335" s="4" t="s">
        <v>2879</v>
      </c>
      <c r="ILD1335" s="4" t="s">
        <v>2879</v>
      </c>
      <c r="ILE1335" s="4" t="s">
        <v>2879</v>
      </c>
      <c r="ILF1335" s="4" t="s">
        <v>2879</v>
      </c>
      <c r="ILG1335" s="4" t="s">
        <v>2879</v>
      </c>
      <c r="ILH1335" s="4" t="s">
        <v>2879</v>
      </c>
      <c r="ILI1335" s="4" t="s">
        <v>2879</v>
      </c>
      <c r="ILJ1335" s="4" t="s">
        <v>2879</v>
      </c>
      <c r="ILK1335" s="4" t="s">
        <v>2879</v>
      </c>
      <c r="ILL1335" s="4" t="s">
        <v>2879</v>
      </c>
      <c r="ILM1335" s="4" t="s">
        <v>2879</v>
      </c>
      <c r="ILN1335" s="4" t="s">
        <v>2879</v>
      </c>
      <c r="ILO1335" s="4" t="s">
        <v>2879</v>
      </c>
      <c r="ILP1335" s="4" t="s">
        <v>2879</v>
      </c>
      <c r="ILQ1335" s="4" t="s">
        <v>2879</v>
      </c>
      <c r="ILR1335" s="4" t="s">
        <v>2879</v>
      </c>
      <c r="ILS1335" s="4" t="s">
        <v>2879</v>
      </c>
      <c r="ILT1335" s="4" t="s">
        <v>2879</v>
      </c>
      <c r="ILU1335" s="4" t="s">
        <v>2879</v>
      </c>
      <c r="ILV1335" s="4" t="s">
        <v>2879</v>
      </c>
      <c r="ILW1335" s="4" t="s">
        <v>2879</v>
      </c>
      <c r="ILX1335" s="4" t="s">
        <v>2879</v>
      </c>
      <c r="ILY1335" s="4" t="s">
        <v>2879</v>
      </c>
      <c r="ILZ1335" s="4" t="s">
        <v>2879</v>
      </c>
      <c r="IMA1335" s="4" t="s">
        <v>2879</v>
      </c>
      <c r="IMB1335" s="4" t="s">
        <v>2879</v>
      </c>
      <c r="IMC1335" s="4" t="s">
        <v>2879</v>
      </c>
      <c r="IMD1335" s="4" t="s">
        <v>2879</v>
      </c>
      <c r="IME1335" s="4" t="s">
        <v>2879</v>
      </c>
      <c r="IMF1335" s="4" t="s">
        <v>2879</v>
      </c>
      <c r="IMG1335" s="4" t="s">
        <v>2879</v>
      </c>
      <c r="IMH1335" s="4" t="s">
        <v>2879</v>
      </c>
      <c r="IMI1335" s="4" t="s">
        <v>2879</v>
      </c>
      <c r="IMJ1335" s="4" t="s">
        <v>2879</v>
      </c>
      <c r="IMK1335" s="4" t="s">
        <v>2879</v>
      </c>
      <c r="IML1335" s="4" t="s">
        <v>2879</v>
      </c>
      <c r="IMM1335" s="4" t="s">
        <v>2879</v>
      </c>
      <c r="IMN1335" s="4" t="s">
        <v>2879</v>
      </c>
      <c r="IMO1335" s="4" t="s">
        <v>2879</v>
      </c>
      <c r="IMP1335" s="4" t="s">
        <v>2879</v>
      </c>
      <c r="IMQ1335" s="4" t="s">
        <v>2879</v>
      </c>
      <c r="IMR1335" s="4" t="s">
        <v>2879</v>
      </c>
      <c r="IMS1335" s="4" t="s">
        <v>2879</v>
      </c>
      <c r="IMT1335" s="4" t="s">
        <v>2879</v>
      </c>
      <c r="IMU1335" s="4" t="s">
        <v>2879</v>
      </c>
      <c r="IMV1335" s="4" t="s">
        <v>2879</v>
      </c>
      <c r="IMW1335" s="4" t="s">
        <v>2879</v>
      </c>
      <c r="IMX1335" s="4" t="s">
        <v>2879</v>
      </c>
      <c r="IMY1335" s="4" t="s">
        <v>2879</v>
      </c>
      <c r="IMZ1335" s="4" t="s">
        <v>2879</v>
      </c>
      <c r="INA1335" s="4" t="s">
        <v>2879</v>
      </c>
      <c r="INB1335" s="4" t="s">
        <v>2879</v>
      </c>
      <c r="INC1335" s="4" t="s">
        <v>2879</v>
      </c>
      <c r="IND1335" s="4" t="s">
        <v>2879</v>
      </c>
      <c r="INE1335" s="4" t="s">
        <v>2879</v>
      </c>
      <c r="INF1335" s="4" t="s">
        <v>2879</v>
      </c>
      <c r="ING1335" s="4" t="s">
        <v>2879</v>
      </c>
      <c r="INH1335" s="4" t="s">
        <v>2879</v>
      </c>
      <c r="INI1335" s="4" t="s">
        <v>2879</v>
      </c>
      <c r="INJ1335" s="4" t="s">
        <v>2879</v>
      </c>
      <c r="INK1335" s="4" t="s">
        <v>2879</v>
      </c>
      <c r="INL1335" s="4" t="s">
        <v>2879</v>
      </c>
      <c r="INM1335" s="4" t="s">
        <v>2879</v>
      </c>
      <c r="INN1335" s="4" t="s">
        <v>2879</v>
      </c>
      <c r="INO1335" s="4" t="s">
        <v>2879</v>
      </c>
      <c r="INP1335" s="4" t="s">
        <v>2879</v>
      </c>
      <c r="INQ1335" s="4" t="s">
        <v>2879</v>
      </c>
      <c r="INR1335" s="4" t="s">
        <v>2879</v>
      </c>
      <c r="INS1335" s="4" t="s">
        <v>2879</v>
      </c>
      <c r="INT1335" s="4" t="s">
        <v>2879</v>
      </c>
      <c r="INU1335" s="4" t="s">
        <v>2879</v>
      </c>
      <c r="INV1335" s="4" t="s">
        <v>2879</v>
      </c>
      <c r="INW1335" s="4" t="s">
        <v>2879</v>
      </c>
      <c r="INX1335" s="4" t="s">
        <v>2879</v>
      </c>
      <c r="INY1335" s="4" t="s">
        <v>2879</v>
      </c>
      <c r="INZ1335" s="4" t="s">
        <v>2879</v>
      </c>
      <c r="IOA1335" s="4" t="s">
        <v>2879</v>
      </c>
      <c r="IOB1335" s="4" t="s">
        <v>2879</v>
      </c>
      <c r="IOC1335" s="4" t="s">
        <v>2879</v>
      </c>
      <c r="IOD1335" s="4" t="s">
        <v>2879</v>
      </c>
      <c r="IOE1335" s="4" t="s">
        <v>2879</v>
      </c>
      <c r="IOF1335" s="4" t="s">
        <v>2879</v>
      </c>
      <c r="IOG1335" s="4" t="s">
        <v>2879</v>
      </c>
      <c r="IOH1335" s="4" t="s">
        <v>2879</v>
      </c>
      <c r="IOI1335" s="4" t="s">
        <v>2879</v>
      </c>
      <c r="IOJ1335" s="4" t="s">
        <v>2879</v>
      </c>
      <c r="IOK1335" s="4" t="s">
        <v>2879</v>
      </c>
      <c r="IOL1335" s="4" t="s">
        <v>2879</v>
      </c>
      <c r="IOM1335" s="4" t="s">
        <v>2879</v>
      </c>
      <c r="ION1335" s="4" t="s">
        <v>2879</v>
      </c>
      <c r="IOO1335" s="4" t="s">
        <v>2879</v>
      </c>
      <c r="IOP1335" s="4" t="s">
        <v>2879</v>
      </c>
      <c r="IOQ1335" s="4" t="s">
        <v>2879</v>
      </c>
      <c r="IOR1335" s="4" t="s">
        <v>2879</v>
      </c>
      <c r="IOS1335" s="4" t="s">
        <v>2879</v>
      </c>
      <c r="IOT1335" s="4" t="s">
        <v>2879</v>
      </c>
      <c r="IOU1335" s="4" t="s">
        <v>2879</v>
      </c>
      <c r="IOV1335" s="4" t="s">
        <v>2879</v>
      </c>
      <c r="IOW1335" s="4" t="s">
        <v>2879</v>
      </c>
      <c r="IOX1335" s="4" t="s">
        <v>2879</v>
      </c>
      <c r="IOY1335" s="4" t="s">
        <v>2879</v>
      </c>
      <c r="IOZ1335" s="4" t="s">
        <v>2879</v>
      </c>
      <c r="IPA1335" s="4" t="s">
        <v>2879</v>
      </c>
      <c r="IPB1335" s="4" t="s">
        <v>2879</v>
      </c>
      <c r="IPC1335" s="4" t="s">
        <v>2879</v>
      </c>
      <c r="IPD1335" s="4" t="s">
        <v>2879</v>
      </c>
      <c r="IPE1335" s="4" t="s">
        <v>2879</v>
      </c>
      <c r="IPF1335" s="4" t="s">
        <v>2879</v>
      </c>
      <c r="IPG1335" s="4" t="s">
        <v>2879</v>
      </c>
      <c r="IPH1335" s="4" t="s">
        <v>2879</v>
      </c>
      <c r="IPI1335" s="4" t="s">
        <v>2879</v>
      </c>
      <c r="IPJ1335" s="4" t="s">
        <v>2879</v>
      </c>
      <c r="IPK1335" s="4" t="s">
        <v>2879</v>
      </c>
      <c r="IPL1335" s="4" t="s">
        <v>2879</v>
      </c>
      <c r="IPM1335" s="4" t="s">
        <v>2879</v>
      </c>
      <c r="IPN1335" s="4" t="s">
        <v>2879</v>
      </c>
      <c r="IPO1335" s="4" t="s">
        <v>2879</v>
      </c>
      <c r="IPP1335" s="4" t="s">
        <v>2879</v>
      </c>
      <c r="IPQ1335" s="4" t="s">
        <v>2879</v>
      </c>
      <c r="IPR1335" s="4" t="s">
        <v>2879</v>
      </c>
      <c r="IPS1335" s="4" t="s">
        <v>2879</v>
      </c>
      <c r="IPT1335" s="4" t="s">
        <v>2879</v>
      </c>
      <c r="IPU1335" s="4" t="s">
        <v>2879</v>
      </c>
      <c r="IPV1335" s="4" t="s">
        <v>2879</v>
      </c>
      <c r="IPW1335" s="4" t="s">
        <v>2879</v>
      </c>
      <c r="IPX1335" s="4" t="s">
        <v>2879</v>
      </c>
      <c r="IPY1335" s="4" t="s">
        <v>2879</v>
      </c>
      <c r="IPZ1335" s="4" t="s">
        <v>2879</v>
      </c>
      <c r="IQA1335" s="4" t="s">
        <v>2879</v>
      </c>
      <c r="IQB1335" s="4" t="s">
        <v>2879</v>
      </c>
      <c r="IQC1335" s="4" t="s">
        <v>2879</v>
      </c>
      <c r="IQD1335" s="4" t="s">
        <v>2879</v>
      </c>
      <c r="IQE1335" s="4" t="s">
        <v>2879</v>
      </c>
      <c r="IQF1335" s="4" t="s">
        <v>2879</v>
      </c>
      <c r="IQG1335" s="4" t="s">
        <v>2879</v>
      </c>
      <c r="IQH1335" s="4" t="s">
        <v>2879</v>
      </c>
      <c r="IQI1335" s="4" t="s">
        <v>2879</v>
      </c>
      <c r="IQJ1335" s="4" t="s">
        <v>2879</v>
      </c>
      <c r="IQK1335" s="4" t="s">
        <v>2879</v>
      </c>
      <c r="IQL1335" s="4" t="s">
        <v>2879</v>
      </c>
      <c r="IQM1335" s="4" t="s">
        <v>2879</v>
      </c>
      <c r="IQN1335" s="4" t="s">
        <v>2879</v>
      </c>
      <c r="IQO1335" s="4" t="s">
        <v>2879</v>
      </c>
      <c r="IQP1335" s="4" t="s">
        <v>2879</v>
      </c>
      <c r="IQQ1335" s="4" t="s">
        <v>2879</v>
      </c>
      <c r="IQR1335" s="4" t="s">
        <v>2879</v>
      </c>
      <c r="IQS1335" s="4" t="s">
        <v>2879</v>
      </c>
      <c r="IQT1335" s="4" t="s">
        <v>2879</v>
      </c>
      <c r="IQU1335" s="4" t="s">
        <v>2879</v>
      </c>
      <c r="IQV1335" s="4" t="s">
        <v>2879</v>
      </c>
      <c r="IQW1335" s="4" t="s">
        <v>2879</v>
      </c>
      <c r="IQX1335" s="4" t="s">
        <v>2879</v>
      </c>
      <c r="IQY1335" s="4" t="s">
        <v>2879</v>
      </c>
      <c r="IQZ1335" s="4" t="s">
        <v>2879</v>
      </c>
      <c r="IRA1335" s="4" t="s">
        <v>2879</v>
      </c>
      <c r="IRB1335" s="4" t="s">
        <v>2879</v>
      </c>
      <c r="IRC1335" s="4" t="s">
        <v>2879</v>
      </c>
      <c r="IRD1335" s="4" t="s">
        <v>2879</v>
      </c>
      <c r="IRE1335" s="4" t="s">
        <v>2879</v>
      </c>
      <c r="IRF1335" s="4" t="s">
        <v>2879</v>
      </c>
      <c r="IRG1335" s="4" t="s">
        <v>2879</v>
      </c>
      <c r="IRH1335" s="4" t="s">
        <v>2879</v>
      </c>
      <c r="IRI1335" s="4" t="s">
        <v>2879</v>
      </c>
      <c r="IRJ1335" s="4" t="s">
        <v>2879</v>
      </c>
      <c r="IRK1335" s="4" t="s">
        <v>2879</v>
      </c>
      <c r="IRL1335" s="4" t="s">
        <v>2879</v>
      </c>
      <c r="IRM1335" s="4" t="s">
        <v>2879</v>
      </c>
      <c r="IRN1335" s="4" t="s">
        <v>2879</v>
      </c>
      <c r="IRO1335" s="4" t="s">
        <v>2879</v>
      </c>
      <c r="IRP1335" s="4" t="s">
        <v>2879</v>
      </c>
      <c r="IRQ1335" s="4" t="s">
        <v>2879</v>
      </c>
      <c r="IRR1335" s="4" t="s">
        <v>2879</v>
      </c>
      <c r="IRS1335" s="4" t="s">
        <v>2879</v>
      </c>
      <c r="IRT1335" s="4" t="s">
        <v>2879</v>
      </c>
      <c r="IRU1335" s="4" t="s">
        <v>2879</v>
      </c>
      <c r="IRV1335" s="4" t="s">
        <v>2879</v>
      </c>
      <c r="IRW1335" s="4" t="s">
        <v>2879</v>
      </c>
      <c r="IRX1335" s="4" t="s">
        <v>2879</v>
      </c>
      <c r="IRY1335" s="4" t="s">
        <v>2879</v>
      </c>
      <c r="IRZ1335" s="4" t="s">
        <v>2879</v>
      </c>
      <c r="ISA1335" s="4" t="s">
        <v>2879</v>
      </c>
      <c r="ISB1335" s="4" t="s">
        <v>2879</v>
      </c>
      <c r="ISC1335" s="4" t="s">
        <v>2879</v>
      </c>
      <c r="ISD1335" s="4" t="s">
        <v>2879</v>
      </c>
      <c r="ISE1335" s="4" t="s">
        <v>2879</v>
      </c>
      <c r="ISF1335" s="4" t="s">
        <v>2879</v>
      </c>
      <c r="ISG1335" s="4" t="s">
        <v>2879</v>
      </c>
      <c r="ISH1335" s="4" t="s">
        <v>2879</v>
      </c>
      <c r="ISI1335" s="4" t="s">
        <v>2879</v>
      </c>
      <c r="ISJ1335" s="4" t="s">
        <v>2879</v>
      </c>
      <c r="ISK1335" s="4" t="s">
        <v>2879</v>
      </c>
      <c r="ISL1335" s="4" t="s">
        <v>2879</v>
      </c>
      <c r="ISM1335" s="4" t="s">
        <v>2879</v>
      </c>
      <c r="ISN1335" s="4" t="s">
        <v>2879</v>
      </c>
      <c r="ISO1335" s="4" t="s">
        <v>2879</v>
      </c>
      <c r="ISP1335" s="4" t="s">
        <v>2879</v>
      </c>
      <c r="ISQ1335" s="4" t="s">
        <v>2879</v>
      </c>
      <c r="ISR1335" s="4" t="s">
        <v>2879</v>
      </c>
      <c r="ISS1335" s="4" t="s">
        <v>2879</v>
      </c>
      <c r="IST1335" s="4" t="s">
        <v>2879</v>
      </c>
      <c r="ISU1335" s="4" t="s">
        <v>2879</v>
      </c>
      <c r="ISV1335" s="4" t="s">
        <v>2879</v>
      </c>
      <c r="ISW1335" s="4" t="s">
        <v>2879</v>
      </c>
      <c r="ISX1335" s="4" t="s">
        <v>2879</v>
      </c>
      <c r="ISY1335" s="4" t="s">
        <v>2879</v>
      </c>
      <c r="ISZ1335" s="4" t="s">
        <v>2879</v>
      </c>
      <c r="ITA1335" s="4" t="s">
        <v>2879</v>
      </c>
      <c r="ITB1335" s="4" t="s">
        <v>2879</v>
      </c>
      <c r="ITC1335" s="4" t="s">
        <v>2879</v>
      </c>
      <c r="ITD1335" s="4" t="s">
        <v>2879</v>
      </c>
      <c r="ITE1335" s="4" t="s">
        <v>2879</v>
      </c>
      <c r="ITF1335" s="4" t="s">
        <v>2879</v>
      </c>
      <c r="ITG1335" s="4" t="s">
        <v>2879</v>
      </c>
      <c r="ITH1335" s="4" t="s">
        <v>2879</v>
      </c>
      <c r="ITI1335" s="4" t="s">
        <v>2879</v>
      </c>
      <c r="ITJ1335" s="4" t="s">
        <v>2879</v>
      </c>
      <c r="ITK1335" s="4" t="s">
        <v>2879</v>
      </c>
      <c r="ITL1335" s="4" t="s">
        <v>2879</v>
      </c>
      <c r="ITM1335" s="4" t="s">
        <v>2879</v>
      </c>
      <c r="ITN1335" s="4" t="s">
        <v>2879</v>
      </c>
      <c r="ITO1335" s="4" t="s">
        <v>2879</v>
      </c>
      <c r="ITP1335" s="4" t="s">
        <v>2879</v>
      </c>
      <c r="ITQ1335" s="4" t="s">
        <v>2879</v>
      </c>
      <c r="ITR1335" s="4" t="s">
        <v>2879</v>
      </c>
      <c r="ITS1335" s="4" t="s">
        <v>2879</v>
      </c>
      <c r="ITT1335" s="4" t="s">
        <v>2879</v>
      </c>
      <c r="ITU1335" s="4" t="s">
        <v>2879</v>
      </c>
      <c r="ITV1335" s="4" t="s">
        <v>2879</v>
      </c>
      <c r="ITW1335" s="4" t="s">
        <v>2879</v>
      </c>
      <c r="ITX1335" s="4" t="s">
        <v>2879</v>
      </c>
      <c r="ITY1335" s="4" t="s">
        <v>2879</v>
      </c>
      <c r="ITZ1335" s="4" t="s">
        <v>2879</v>
      </c>
      <c r="IUA1335" s="4" t="s">
        <v>2879</v>
      </c>
      <c r="IUB1335" s="4" t="s">
        <v>2879</v>
      </c>
      <c r="IUC1335" s="4" t="s">
        <v>2879</v>
      </c>
      <c r="IUD1335" s="4" t="s">
        <v>2879</v>
      </c>
      <c r="IUE1335" s="4" t="s">
        <v>2879</v>
      </c>
      <c r="IUF1335" s="4" t="s">
        <v>2879</v>
      </c>
      <c r="IUG1335" s="4" t="s">
        <v>2879</v>
      </c>
      <c r="IUH1335" s="4" t="s">
        <v>2879</v>
      </c>
      <c r="IUI1335" s="4" t="s">
        <v>2879</v>
      </c>
      <c r="IUJ1335" s="4" t="s">
        <v>2879</v>
      </c>
      <c r="IUK1335" s="4" t="s">
        <v>2879</v>
      </c>
      <c r="IUL1335" s="4" t="s">
        <v>2879</v>
      </c>
      <c r="IUM1335" s="4" t="s">
        <v>2879</v>
      </c>
      <c r="IUN1335" s="4" t="s">
        <v>2879</v>
      </c>
      <c r="IUO1335" s="4" t="s">
        <v>2879</v>
      </c>
      <c r="IUP1335" s="4" t="s">
        <v>2879</v>
      </c>
      <c r="IUQ1335" s="4" t="s">
        <v>2879</v>
      </c>
      <c r="IUR1335" s="4" t="s">
        <v>2879</v>
      </c>
      <c r="IUS1335" s="4" t="s">
        <v>2879</v>
      </c>
      <c r="IUT1335" s="4" t="s">
        <v>2879</v>
      </c>
      <c r="IUU1335" s="4" t="s">
        <v>2879</v>
      </c>
      <c r="IUV1335" s="4" t="s">
        <v>2879</v>
      </c>
      <c r="IUW1335" s="4" t="s">
        <v>2879</v>
      </c>
      <c r="IUX1335" s="4" t="s">
        <v>2879</v>
      </c>
      <c r="IUY1335" s="4" t="s">
        <v>2879</v>
      </c>
      <c r="IUZ1335" s="4" t="s">
        <v>2879</v>
      </c>
      <c r="IVA1335" s="4" t="s">
        <v>2879</v>
      </c>
      <c r="IVB1335" s="4" t="s">
        <v>2879</v>
      </c>
      <c r="IVC1335" s="4" t="s">
        <v>2879</v>
      </c>
      <c r="IVD1335" s="4" t="s">
        <v>2879</v>
      </c>
      <c r="IVE1335" s="4" t="s">
        <v>2879</v>
      </c>
      <c r="IVF1335" s="4" t="s">
        <v>2879</v>
      </c>
      <c r="IVG1335" s="4" t="s">
        <v>2879</v>
      </c>
      <c r="IVH1335" s="4" t="s">
        <v>2879</v>
      </c>
      <c r="IVI1335" s="4" t="s">
        <v>2879</v>
      </c>
      <c r="IVJ1335" s="4" t="s">
        <v>2879</v>
      </c>
      <c r="IVK1335" s="4" t="s">
        <v>2879</v>
      </c>
      <c r="IVL1335" s="4" t="s">
        <v>2879</v>
      </c>
      <c r="IVM1335" s="4" t="s">
        <v>2879</v>
      </c>
      <c r="IVN1335" s="4" t="s">
        <v>2879</v>
      </c>
      <c r="IVO1335" s="4" t="s">
        <v>2879</v>
      </c>
      <c r="IVP1335" s="4" t="s">
        <v>2879</v>
      </c>
      <c r="IVQ1335" s="4" t="s">
        <v>2879</v>
      </c>
      <c r="IVR1335" s="4" t="s">
        <v>2879</v>
      </c>
      <c r="IVS1335" s="4" t="s">
        <v>2879</v>
      </c>
      <c r="IVT1335" s="4" t="s">
        <v>2879</v>
      </c>
      <c r="IVU1335" s="4" t="s">
        <v>2879</v>
      </c>
      <c r="IVV1335" s="4" t="s">
        <v>2879</v>
      </c>
      <c r="IVW1335" s="4" t="s">
        <v>2879</v>
      </c>
      <c r="IVX1335" s="4" t="s">
        <v>2879</v>
      </c>
      <c r="IVY1335" s="4" t="s">
        <v>2879</v>
      </c>
      <c r="IVZ1335" s="4" t="s">
        <v>2879</v>
      </c>
      <c r="IWA1335" s="4" t="s">
        <v>2879</v>
      </c>
      <c r="IWB1335" s="4" t="s">
        <v>2879</v>
      </c>
      <c r="IWC1335" s="4" t="s">
        <v>2879</v>
      </c>
      <c r="IWD1335" s="4" t="s">
        <v>2879</v>
      </c>
      <c r="IWE1335" s="4" t="s">
        <v>2879</v>
      </c>
      <c r="IWF1335" s="4" t="s">
        <v>2879</v>
      </c>
      <c r="IWG1335" s="4" t="s">
        <v>2879</v>
      </c>
      <c r="IWH1335" s="4" t="s">
        <v>2879</v>
      </c>
      <c r="IWI1335" s="4" t="s">
        <v>2879</v>
      </c>
      <c r="IWJ1335" s="4" t="s">
        <v>2879</v>
      </c>
      <c r="IWK1335" s="4" t="s">
        <v>2879</v>
      </c>
      <c r="IWL1335" s="4" t="s">
        <v>2879</v>
      </c>
      <c r="IWM1335" s="4" t="s">
        <v>2879</v>
      </c>
      <c r="IWN1335" s="4" t="s">
        <v>2879</v>
      </c>
      <c r="IWO1335" s="4" t="s">
        <v>2879</v>
      </c>
      <c r="IWP1335" s="4" t="s">
        <v>2879</v>
      </c>
      <c r="IWQ1335" s="4" t="s">
        <v>2879</v>
      </c>
      <c r="IWR1335" s="4" t="s">
        <v>2879</v>
      </c>
      <c r="IWS1335" s="4" t="s">
        <v>2879</v>
      </c>
      <c r="IWT1335" s="4" t="s">
        <v>2879</v>
      </c>
      <c r="IWU1335" s="4" t="s">
        <v>2879</v>
      </c>
      <c r="IWV1335" s="4" t="s">
        <v>2879</v>
      </c>
      <c r="IWW1335" s="4" t="s">
        <v>2879</v>
      </c>
      <c r="IWX1335" s="4" t="s">
        <v>2879</v>
      </c>
      <c r="IWY1335" s="4" t="s">
        <v>2879</v>
      </c>
      <c r="IWZ1335" s="4" t="s">
        <v>2879</v>
      </c>
      <c r="IXA1335" s="4" t="s">
        <v>2879</v>
      </c>
      <c r="IXB1335" s="4" t="s">
        <v>2879</v>
      </c>
      <c r="IXC1335" s="4" t="s">
        <v>2879</v>
      </c>
      <c r="IXD1335" s="4" t="s">
        <v>2879</v>
      </c>
      <c r="IXE1335" s="4" t="s">
        <v>2879</v>
      </c>
      <c r="IXF1335" s="4" t="s">
        <v>2879</v>
      </c>
      <c r="IXG1335" s="4" t="s">
        <v>2879</v>
      </c>
      <c r="IXH1335" s="4" t="s">
        <v>2879</v>
      </c>
      <c r="IXI1335" s="4" t="s">
        <v>2879</v>
      </c>
      <c r="IXJ1335" s="4" t="s">
        <v>2879</v>
      </c>
      <c r="IXK1335" s="4" t="s">
        <v>2879</v>
      </c>
      <c r="IXL1335" s="4" t="s">
        <v>2879</v>
      </c>
      <c r="IXM1335" s="4" t="s">
        <v>2879</v>
      </c>
      <c r="IXN1335" s="4" t="s">
        <v>2879</v>
      </c>
      <c r="IXO1335" s="4" t="s">
        <v>2879</v>
      </c>
      <c r="IXP1335" s="4" t="s">
        <v>2879</v>
      </c>
      <c r="IXQ1335" s="4" t="s">
        <v>2879</v>
      </c>
      <c r="IXR1335" s="4" t="s">
        <v>2879</v>
      </c>
      <c r="IXS1335" s="4" t="s">
        <v>2879</v>
      </c>
      <c r="IXT1335" s="4" t="s">
        <v>2879</v>
      </c>
      <c r="IXU1335" s="4" t="s">
        <v>2879</v>
      </c>
      <c r="IXV1335" s="4" t="s">
        <v>2879</v>
      </c>
      <c r="IXW1335" s="4" t="s">
        <v>2879</v>
      </c>
      <c r="IXX1335" s="4" t="s">
        <v>2879</v>
      </c>
      <c r="IXY1335" s="4" t="s">
        <v>2879</v>
      </c>
      <c r="IXZ1335" s="4" t="s">
        <v>2879</v>
      </c>
      <c r="IYA1335" s="4" t="s">
        <v>2879</v>
      </c>
      <c r="IYB1335" s="4" t="s">
        <v>2879</v>
      </c>
      <c r="IYC1335" s="4" t="s">
        <v>2879</v>
      </c>
      <c r="IYD1335" s="4" t="s">
        <v>2879</v>
      </c>
      <c r="IYE1335" s="4" t="s">
        <v>2879</v>
      </c>
      <c r="IYF1335" s="4" t="s">
        <v>2879</v>
      </c>
      <c r="IYG1335" s="4" t="s">
        <v>2879</v>
      </c>
      <c r="IYH1335" s="4" t="s">
        <v>2879</v>
      </c>
      <c r="IYI1335" s="4" t="s">
        <v>2879</v>
      </c>
      <c r="IYJ1335" s="4" t="s">
        <v>2879</v>
      </c>
      <c r="IYK1335" s="4" t="s">
        <v>2879</v>
      </c>
      <c r="IYL1335" s="4" t="s">
        <v>2879</v>
      </c>
      <c r="IYM1335" s="4" t="s">
        <v>2879</v>
      </c>
      <c r="IYN1335" s="4" t="s">
        <v>2879</v>
      </c>
      <c r="IYO1335" s="4" t="s">
        <v>2879</v>
      </c>
      <c r="IYP1335" s="4" t="s">
        <v>2879</v>
      </c>
      <c r="IYQ1335" s="4" t="s">
        <v>2879</v>
      </c>
      <c r="IYR1335" s="4" t="s">
        <v>2879</v>
      </c>
      <c r="IYS1335" s="4" t="s">
        <v>2879</v>
      </c>
      <c r="IYT1335" s="4" t="s">
        <v>2879</v>
      </c>
      <c r="IYU1335" s="4" t="s">
        <v>2879</v>
      </c>
      <c r="IYV1335" s="4" t="s">
        <v>2879</v>
      </c>
      <c r="IYW1335" s="4" t="s">
        <v>2879</v>
      </c>
      <c r="IYX1335" s="4" t="s">
        <v>2879</v>
      </c>
      <c r="IYY1335" s="4" t="s">
        <v>2879</v>
      </c>
      <c r="IYZ1335" s="4" t="s">
        <v>2879</v>
      </c>
      <c r="IZA1335" s="4" t="s">
        <v>2879</v>
      </c>
      <c r="IZB1335" s="4" t="s">
        <v>2879</v>
      </c>
      <c r="IZC1335" s="4" t="s">
        <v>2879</v>
      </c>
      <c r="IZD1335" s="4" t="s">
        <v>2879</v>
      </c>
      <c r="IZE1335" s="4" t="s">
        <v>2879</v>
      </c>
      <c r="IZF1335" s="4" t="s">
        <v>2879</v>
      </c>
      <c r="IZG1335" s="4" t="s">
        <v>2879</v>
      </c>
      <c r="IZH1335" s="4" t="s">
        <v>2879</v>
      </c>
      <c r="IZI1335" s="4" t="s">
        <v>2879</v>
      </c>
      <c r="IZJ1335" s="4" t="s">
        <v>2879</v>
      </c>
      <c r="IZK1335" s="4" t="s">
        <v>2879</v>
      </c>
      <c r="IZL1335" s="4" t="s">
        <v>2879</v>
      </c>
      <c r="IZM1335" s="4" t="s">
        <v>2879</v>
      </c>
      <c r="IZN1335" s="4" t="s">
        <v>2879</v>
      </c>
      <c r="IZO1335" s="4" t="s">
        <v>2879</v>
      </c>
      <c r="IZP1335" s="4" t="s">
        <v>2879</v>
      </c>
      <c r="IZQ1335" s="4" t="s">
        <v>2879</v>
      </c>
      <c r="IZR1335" s="4" t="s">
        <v>2879</v>
      </c>
      <c r="IZS1335" s="4" t="s">
        <v>2879</v>
      </c>
      <c r="IZT1335" s="4" t="s">
        <v>2879</v>
      </c>
      <c r="IZU1335" s="4" t="s">
        <v>2879</v>
      </c>
      <c r="IZV1335" s="4" t="s">
        <v>2879</v>
      </c>
      <c r="IZW1335" s="4" t="s">
        <v>2879</v>
      </c>
      <c r="IZX1335" s="4" t="s">
        <v>2879</v>
      </c>
      <c r="IZY1335" s="4" t="s">
        <v>2879</v>
      </c>
      <c r="IZZ1335" s="4" t="s">
        <v>2879</v>
      </c>
      <c r="JAA1335" s="4" t="s">
        <v>2879</v>
      </c>
      <c r="JAB1335" s="4" t="s">
        <v>2879</v>
      </c>
      <c r="JAC1335" s="4" t="s">
        <v>2879</v>
      </c>
      <c r="JAD1335" s="4" t="s">
        <v>2879</v>
      </c>
      <c r="JAE1335" s="4" t="s">
        <v>2879</v>
      </c>
      <c r="JAF1335" s="4" t="s">
        <v>2879</v>
      </c>
      <c r="JAG1335" s="4" t="s">
        <v>2879</v>
      </c>
      <c r="JAH1335" s="4" t="s">
        <v>2879</v>
      </c>
      <c r="JAI1335" s="4" t="s">
        <v>2879</v>
      </c>
      <c r="JAJ1335" s="4" t="s">
        <v>2879</v>
      </c>
      <c r="JAK1335" s="4" t="s">
        <v>2879</v>
      </c>
      <c r="JAL1335" s="4" t="s">
        <v>2879</v>
      </c>
      <c r="JAM1335" s="4" t="s">
        <v>2879</v>
      </c>
      <c r="JAN1335" s="4" t="s">
        <v>2879</v>
      </c>
      <c r="JAO1335" s="4" t="s">
        <v>2879</v>
      </c>
      <c r="JAP1335" s="4" t="s">
        <v>2879</v>
      </c>
      <c r="JAQ1335" s="4" t="s">
        <v>2879</v>
      </c>
      <c r="JAR1335" s="4" t="s">
        <v>2879</v>
      </c>
      <c r="JAS1335" s="4" t="s">
        <v>2879</v>
      </c>
      <c r="JAT1335" s="4" t="s">
        <v>2879</v>
      </c>
      <c r="JAU1335" s="4" t="s">
        <v>2879</v>
      </c>
      <c r="JAV1335" s="4" t="s">
        <v>2879</v>
      </c>
      <c r="JAW1335" s="4" t="s">
        <v>2879</v>
      </c>
      <c r="JAX1335" s="4" t="s">
        <v>2879</v>
      </c>
      <c r="JAY1335" s="4" t="s">
        <v>2879</v>
      </c>
      <c r="JAZ1335" s="4" t="s">
        <v>2879</v>
      </c>
      <c r="JBA1335" s="4" t="s">
        <v>2879</v>
      </c>
      <c r="JBB1335" s="4" t="s">
        <v>2879</v>
      </c>
      <c r="JBC1335" s="4" t="s">
        <v>2879</v>
      </c>
      <c r="JBD1335" s="4" t="s">
        <v>2879</v>
      </c>
      <c r="JBE1335" s="4" t="s">
        <v>2879</v>
      </c>
      <c r="JBF1335" s="4" t="s">
        <v>2879</v>
      </c>
      <c r="JBG1335" s="4" t="s">
        <v>2879</v>
      </c>
      <c r="JBH1335" s="4" t="s">
        <v>2879</v>
      </c>
      <c r="JBI1335" s="4" t="s">
        <v>2879</v>
      </c>
      <c r="JBJ1335" s="4" t="s">
        <v>2879</v>
      </c>
      <c r="JBK1335" s="4" t="s">
        <v>2879</v>
      </c>
      <c r="JBL1335" s="4" t="s">
        <v>2879</v>
      </c>
      <c r="JBM1335" s="4" t="s">
        <v>2879</v>
      </c>
      <c r="JBN1335" s="4" t="s">
        <v>2879</v>
      </c>
      <c r="JBO1335" s="4" t="s">
        <v>2879</v>
      </c>
      <c r="JBP1335" s="4" t="s">
        <v>2879</v>
      </c>
      <c r="JBQ1335" s="4" t="s">
        <v>2879</v>
      </c>
      <c r="JBR1335" s="4" t="s">
        <v>2879</v>
      </c>
      <c r="JBS1335" s="4" t="s">
        <v>2879</v>
      </c>
      <c r="JBT1335" s="4" t="s">
        <v>2879</v>
      </c>
      <c r="JBU1335" s="4" t="s">
        <v>2879</v>
      </c>
      <c r="JBV1335" s="4" t="s">
        <v>2879</v>
      </c>
      <c r="JBW1335" s="4" t="s">
        <v>2879</v>
      </c>
      <c r="JBX1335" s="4" t="s">
        <v>2879</v>
      </c>
      <c r="JBY1335" s="4" t="s">
        <v>2879</v>
      </c>
      <c r="JBZ1335" s="4" t="s">
        <v>2879</v>
      </c>
      <c r="JCA1335" s="4" t="s">
        <v>2879</v>
      </c>
      <c r="JCB1335" s="4" t="s">
        <v>2879</v>
      </c>
      <c r="JCC1335" s="4" t="s">
        <v>2879</v>
      </c>
      <c r="JCD1335" s="4" t="s">
        <v>2879</v>
      </c>
      <c r="JCE1335" s="4" t="s">
        <v>2879</v>
      </c>
      <c r="JCF1335" s="4" t="s">
        <v>2879</v>
      </c>
      <c r="JCG1335" s="4" t="s">
        <v>2879</v>
      </c>
      <c r="JCH1335" s="4" t="s">
        <v>2879</v>
      </c>
      <c r="JCI1335" s="4" t="s">
        <v>2879</v>
      </c>
      <c r="JCJ1335" s="4" t="s">
        <v>2879</v>
      </c>
      <c r="JCK1335" s="4" t="s">
        <v>2879</v>
      </c>
      <c r="JCL1335" s="4" t="s">
        <v>2879</v>
      </c>
      <c r="JCM1335" s="4" t="s">
        <v>2879</v>
      </c>
      <c r="JCN1335" s="4" t="s">
        <v>2879</v>
      </c>
      <c r="JCO1335" s="4" t="s">
        <v>2879</v>
      </c>
      <c r="JCP1335" s="4" t="s">
        <v>2879</v>
      </c>
      <c r="JCQ1335" s="4" t="s">
        <v>2879</v>
      </c>
      <c r="JCR1335" s="4" t="s">
        <v>2879</v>
      </c>
      <c r="JCS1335" s="4" t="s">
        <v>2879</v>
      </c>
      <c r="JCT1335" s="4" t="s">
        <v>2879</v>
      </c>
      <c r="JCU1335" s="4" t="s">
        <v>2879</v>
      </c>
      <c r="JCV1335" s="4" t="s">
        <v>2879</v>
      </c>
      <c r="JCW1335" s="4" t="s">
        <v>2879</v>
      </c>
      <c r="JCX1335" s="4" t="s">
        <v>2879</v>
      </c>
      <c r="JCY1335" s="4" t="s">
        <v>2879</v>
      </c>
      <c r="JCZ1335" s="4" t="s">
        <v>2879</v>
      </c>
      <c r="JDA1335" s="4" t="s">
        <v>2879</v>
      </c>
      <c r="JDB1335" s="4" t="s">
        <v>2879</v>
      </c>
      <c r="JDC1335" s="4" t="s">
        <v>2879</v>
      </c>
      <c r="JDD1335" s="4" t="s">
        <v>2879</v>
      </c>
      <c r="JDE1335" s="4" t="s">
        <v>2879</v>
      </c>
      <c r="JDF1335" s="4" t="s">
        <v>2879</v>
      </c>
      <c r="JDG1335" s="4" t="s">
        <v>2879</v>
      </c>
      <c r="JDH1335" s="4" t="s">
        <v>2879</v>
      </c>
      <c r="JDI1335" s="4" t="s">
        <v>2879</v>
      </c>
      <c r="JDJ1335" s="4" t="s">
        <v>2879</v>
      </c>
      <c r="JDK1335" s="4" t="s">
        <v>2879</v>
      </c>
      <c r="JDL1335" s="4" t="s">
        <v>2879</v>
      </c>
      <c r="JDM1335" s="4" t="s">
        <v>2879</v>
      </c>
      <c r="JDN1335" s="4" t="s">
        <v>2879</v>
      </c>
      <c r="JDO1335" s="4" t="s">
        <v>2879</v>
      </c>
      <c r="JDP1335" s="4" t="s">
        <v>2879</v>
      </c>
      <c r="JDQ1335" s="4" t="s">
        <v>2879</v>
      </c>
      <c r="JDR1335" s="4" t="s">
        <v>2879</v>
      </c>
      <c r="JDS1335" s="4" t="s">
        <v>2879</v>
      </c>
      <c r="JDT1335" s="4" t="s">
        <v>2879</v>
      </c>
      <c r="JDU1335" s="4" t="s">
        <v>2879</v>
      </c>
      <c r="JDV1335" s="4" t="s">
        <v>2879</v>
      </c>
      <c r="JDW1335" s="4" t="s">
        <v>2879</v>
      </c>
      <c r="JDX1335" s="4" t="s">
        <v>2879</v>
      </c>
      <c r="JDY1335" s="4" t="s">
        <v>2879</v>
      </c>
      <c r="JDZ1335" s="4" t="s">
        <v>2879</v>
      </c>
      <c r="JEA1335" s="4" t="s">
        <v>2879</v>
      </c>
      <c r="JEB1335" s="4" t="s">
        <v>2879</v>
      </c>
      <c r="JEC1335" s="4" t="s">
        <v>2879</v>
      </c>
      <c r="JED1335" s="4" t="s">
        <v>2879</v>
      </c>
      <c r="JEE1335" s="4" t="s">
        <v>2879</v>
      </c>
      <c r="JEF1335" s="4" t="s">
        <v>2879</v>
      </c>
      <c r="JEG1335" s="4" t="s">
        <v>2879</v>
      </c>
      <c r="JEH1335" s="4" t="s">
        <v>2879</v>
      </c>
      <c r="JEI1335" s="4" t="s">
        <v>2879</v>
      </c>
      <c r="JEJ1335" s="4" t="s">
        <v>2879</v>
      </c>
      <c r="JEK1335" s="4" t="s">
        <v>2879</v>
      </c>
      <c r="JEL1335" s="4" t="s">
        <v>2879</v>
      </c>
      <c r="JEM1335" s="4" t="s">
        <v>2879</v>
      </c>
      <c r="JEN1335" s="4" t="s">
        <v>2879</v>
      </c>
      <c r="JEO1335" s="4" t="s">
        <v>2879</v>
      </c>
      <c r="JEP1335" s="4" t="s">
        <v>2879</v>
      </c>
      <c r="JEQ1335" s="4" t="s">
        <v>2879</v>
      </c>
      <c r="JER1335" s="4" t="s">
        <v>2879</v>
      </c>
      <c r="JES1335" s="4" t="s">
        <v>2879</v>
      </c>
      <c r="JET1335" s="4" t="s">
        <v>2879</v>
      </c>
      <c r="JEU1335" s="4" t="s">
        <v>2879</v>
      </c>
      <c r="JEV1335" s="4" t="s">
        <v>2879</v>
      </c>
      <c r="JEW1335" s="4" t="s">
        <v>2879</v>
      </c>
      <c r="JEX1335" s="4" t="s">
        <v>2879</v>
      </c>
      <c r="JEY1335" s="4" t="s">
        <v>2879</v>
      </c>
      <c r="JEZ1335" s="4" t="s">
        <v>2879</v>
      </c>
      <c r="JFA1335" s="4" t="s">
        <v>2879</v>
      </c>
      <c r="JFB1335" s="4" t="s">
        <v>2879</v>
      </c>
      <c r="JFC1335" s="4" t="s">
        <v>2879</v>
      </c>
      <c r="JFD1335" s="4" t="s">
        <v>2879</v>
      </c>
      <c r="JFE1335" s="4" t="s">
        <v>2879</v>
      </c>
      <c r="JFF1335" s="4" t="s">
        <v>2879</v>
      </c>
      <c r="JFG1335" s="4" t="s">
        <v>2879</v>
      </c>
      <c r="JFH1335" s="4" t="s">
        <v>2879</v>
      </c>
      <c r="JFI1335" s="4" t="s">
        <v>2879</v>
      </c>
      <c r="JFJ1335" s="4" t="s">
        <v>2879</v>
      </c>
      <c r="JFK1335" s="4" t="s">
        <v>2879</v>
      </c>
      <c r="JFL1335" s="4" t="s">
        <v>2879</v>
      </c>
      <c r="JFM1335" s="4" t="s">
        <v>2879</v>
      </c>
      <c r="JFN1335" s="4" t="s">
        <v>2879</v>
      </c>
      <c r="JFO1335" s="4" t="s">
        <v>2879</v>
      </c>
      <c r="JFP1335" s="4" t="s">
        <v>2879</v>
      </c>
      <c r="JFQ1335" s="4" t="s">
        <v>2879</v>
      </c>
      <c r="JFR1335" s="4" t="s">
        <v>2879</v>
      </c>
      <c r="JFS1335" s="4" t="s">
        <v>2879</v>
      </c>
      <c r="JFT1335" s="4" t="s">
        <v>2879</v>
      </c>
      <c r="JFU1335" s="4" t="s">
        <v>2879</v>
      </c>
      <c r="JFV1335" s="4" t="s">
        <v>2879</v>
      </c>
      <c r="JFW1335" s="4" t="s">
        <v>2879</v>
      </c>
      <c r="JFX1335" s="4" t="s">
        <v>2879</v>
      </c>
      <c r="JFY1335" s="4" t="s">
        <v>2879</v>
      </c>
      <c r="JFZ1335" s="4" t="s">
        <v>2879</v>
      </c>
      <c r="JGA1335" s="4" t="s">
        <v>2879</v>
      </c>
      <c r="JGB1335" s="4" t="s">
        <v>2879</v>
      </c>
      <c r="JGC1335" s="4" t="s">
        <v>2879</v>
      </c>
      <c r="JGD1335" s="4" t="s">
        <v>2879</v>
      </c>
      <c r="JGE1335" s="4" t="s">
        <v>2879</v>
      </c>
      <c r="JGF1335" s="4" t="s">
        <v>2879</v>
      </c>
      <c r="JGG1335" s="4" t="s">
        <v>2879</v>
      </c>
      <c r="JGH1335" s="4" t="s">
        <v>2879</v>
      </c>
      <c r="JGI1335" s="4" t="s">
        <v>2879</v>
      </c>
      <c r="JGJ1335" s="4" t="s">
        <v>2879</v>
      </c>
      <c r="JGK1335" s="4" t="s">
        <v>2879</v>
      </c>
      <c r="JGL1335" s="4" t="s">
        <v>2879</v>
      </c>
      <c r="JGM1335" s="4" t="s">
        <v>2879</v>
      </c>
      <c r="JGN1335" s="4" t="s">
        <v>2879</v>
      </c>
      <c r="JGO1335" s="4" t="s">
        <v>2879</v>
      </c>
      <c r="JGP1335" s="4" t="s">
        <v>2879</v>
      </c>
      <c r="JGQ1335" s="4" t="s">
        <v>2879</v>
      </c>
      <c r="JGR1335" s="4" t="s">
        <v>2879</v>
      </c>
      <c r="JGS1335" s="4" t="s">
        <v>2879</v>
      </c>
      <c r="JGT1335" s="4" t="s">
        <v>2879</v>
      </c>
      <c r="JGU1335" s="4" t="s">
        <v>2879</v>
      </c>
      <c r="JGV1335" s="4" t="s">
        <v>2879</v>
      </c>
      <c r="JGW1335" s="4" t="s">
        <v>2879</v>
      </c>
      <c r="JGX1335" s="4" t="s">
        <v>2879</v>
      </c>
      <c r="JGY1335" s="4" t="s">
        <v>2879</v>
      </c>
      <c r="JGZ1335" s="4" t="s">
        <v>2879</v>
      </c>
      <c r="JHA1335" s="4" t="s">
        <v>2879</v>
      </c>
      <c r="JHB1335" s="4" t="s">
        <v>2879</v>
      </c>
      <c r="JHC1335" s="4" t="s">
        <v>2879</v>
      </c>
      <c r="JHD1335" s="4" t="s">
        <v>2879</v>
      </c>
      <c r="JHE1335" s="4" t="s">
        <v>2879</v>
      </c>
      <c r="JHF1335" s="4" t="s">
        <v>2879</v>
      </c>
      <c r="JHG1335" s="4" t="s">
        <v>2879</v>
      </c>
      <c r="JHH1335" s="4" t="s">
        <v>2879</v>
      </c>
      <c r="JHI1335" s="4" t="s">
        <v>2879</v>
      </c>
      <c r="JHJ1335" s="4" t="s">
        <v>2879</v>
      </c>
      <c r="JHK1335" s="4" t="s">
        <v>2879</v>
      </c>
      <c r="JHL1335" s="4" t="s">
        <v>2879</v>
      </c>
      <c r="JHM1335" s="4" t="s">
        <v>2879</v>
      </c>
      <c r="JHN1335" s="4" t="s">
        <v>2879</v>
      </c>
      <c r="JHO1335" s="4" t="s">
        <v>2879</v>
      </c>
      <c r="JHP1335" s="4" t="s">
        <v>2879</v>
      </c>
      <c r="JHQ1335" s="4" t="s">
        <v>2879</v>
      </c>
      <c r="JHR1335" s="4" t="s">
        <v>2879</v>
      </c>
      <c r="JHS1335" s="4" t="s">
        <v>2879</v>
      </c>
      <c r="JHT1335" s="4" t="s">
        <v>2879</v>
      </c>
      <c r="JHU1335" s="4" t="s">
        <v>2879</v>
      </c>
      <c r="JHV1335" s="4" t="s">
        <v>2879</v>
      </c>
      <c r="JHW1335" s="4" t="s">
        <v>2879</v>
      </c>
      <c r="JHX1335" s="4" t="s">
        <v>2879</v>
      </c>
      <c r="JHY1335" s="4" t="s">
        <v>2879</v>
      </c>
      <c r="JHZ1335" s="4" t="s">
        <v>2879</v>
      </c>
      <c r="JIA1335" s="4" t="s">
        <v>2879</v>
      </c>
      <c r="JIB1335" s="4" t="s">
        <v>2879</v>
      </c>
      <c r="JIC1335" s="4" t="s">
        <v>2879</v>
      </c>
      <c r="JID1335" s="4" t="s">
        <v>2879</v>
      </c>
      <c r="JIE1335" s="4" t="s">
        <v>2879</v>
      </c>
      <c r="JIF1335" s="4" t="s">
        <v>2879</v>
      </c>
      <c r="JIG1335" s="4" t="s">
        <v>2879</v>
      </c>
      <c r="JIH1335" s="4" t="s">
        <v>2879</v>
      </c>
      <c r="JII1335" s="4" t="s">
        <v>2879</v>
      </c>
      <c r="JIJ1335" s="4" t="s">
        <v>2879</v>
      </c>
      <c r="JIK1335" s="4" t="s">
        <v>2879</v>
      </c>
      <c r="JIL1335" s="4" t="s">
        <v>2879</v>
      </c>
      <c r="JIM1335" s="4" t="s">
        <v>2879</v>
      </c>
      <c r="JIN1335" s="4" t="s">
        <v>2879</v>
      </c>
      <c r="JIO1335" s="4" t="s">
        <v>2879</v>
      </c>
      <c r="JIP1335" s="4" t="s">
        <v>2879</v>
      </c>
      <c r="JIQ1335" s="4" t="s">
        <v>2879</v>
      </c>
      <c r="JIR1335" s="4" t="s">
        <v>2879</v>
      </c>
      <c r="JIS1335" s="4" t="s">
        <v>2879</v>
      </c>
      <c r="JIT1335" s="4" t="s">
        <v>2879</v>
      </c>
      <c r="JIU1335" s="4" t="s">
        <v>2879</v>
      </c>
      <c r="JIV1335" s="4" t="s">
        <v>2879</v>
      </c>
      <c r="JIW1335" s="4" t="s">
        <v>2879</v>
      </c>
      <c r="JIX1335" s="4" t="s">
        <v>2879</v>
      </c>
      <c r="JIY1335" s="4" t="s">
        <v>2879</v>
      </c>
      <c r="JIZ1335" s="4" t="s">
        <v>2879</v>
      </c>
      <c r="JJA1335" s="4" t="s">
        <v>2879</v>
      </c>
      <c r="JJB1335" s="4" t="s">
        <v>2879</v>
      </c>
      <c r="JJC1335" s="4" t="s">
        <v>2879</v>
      </c>
      <c r="JJD1335" s="4" t="s">
        <v>2879</v>
      </c>
      <c r="JJE1335" s="4" t="s">
        <v>2879</v>
      </c>
      <c r="JJF1335" s="4" t="s">
        <v>2879</v>
      </c>
      <c r="JJG1335" s="4" t="s">
        <v>2879</v>
      </c>
      <c r="JJH1335" s="4" t="s">
        <v>2879</v>
      </c>
      <c r="JJI1335" s="4" t="s">
        <v>2879</v>
      </c>
      <c r="JJJ1335" s="4" t="s">
        <v>2879</v>
      </c>
      <c r="JJK1335" s="4" t="s">
        <v>2879</v>
      </c>
      <c r="JJL1335" s="4" t="s">
        <v>2879</v>
      </c>
      <c r="JJM1335" s="4" t="s">
        <v>2879</v>
      </c>
      <c r="JJN1335" s="4" t="s">
        <v>2879</v>
      </c>
      <c r="JJO1335" s="4" t="s">
        <v>2879</v>
      </c>
      <c r="JJP1335" s="4" t="s">
        <v>2879</v>
      </c>
      <c r="JJQ1335" s="4" t="s">
        <v>2879</v>
      </c>
      <c r="JJR1335" s="4" t="s">
        <v>2879</v>
      </c>
      <c r="JJS1335" s="4" t="s">
        <v>2879</v>
      </c>
      <c r="JJT1335" s="4" t="s">
        <v>2879</v>
      </c>
      <c r="JJU1335" s="4" t="s">
        <v>2879</v>
      </c>
      <c r="JJV1335" s="4" t="s">
        <v>2879</v>
      </c>
      <c r="JJW1335" s="4" t="s">
        <v>2879</v>
      </c>
      <c r="JJX1335" s="4" t="s">
        <v>2879</v>
      </c>
      <c r="JJY1335" s="4" t="s">
        <v>2879</v>
      </c>
      <c r="JJZ1335" s="4" t="s">
        <v>2879</v>
      </c>
      <c r="JKA1335" s="4" t="s">
        <v>2879</v>
      </c>
      <c r="JKB1335" s="4" t="s">
        <v>2879</v>
      </c>
      <c r="JKC1335" s="4" t="s">
        <v>2879</v>
      </c>
      <c r="JKD1335" s="4" t="s">
        <v>2879</v>
      </c>
      <c r="JKE1335" s="4" t="s">
        <v>2879</v>
      </c>
      <c r="JKF1335" s="4" t="s">
        <v>2879</v>
      </c>
      <c r="JKG1335" s="4" t="s">
        <v>2879</v>
      </c>
      <c r="JKH1335" s="4" t="s">
        <v>2879</v>
      </c>
      <c r="JKI1335" s="4" t="s">
        <v>2879</v>
      </c>
      <c r="JKJ1335" s="4" t="s">
        <v>2879</v>
      </c>
      <c r="JKK1335" s="4" t="s">
        <v>2879</v>
      </c>
      <c r="JKL1335" s="4" t="s">
        <v>2879</v>
      </c>
      <c r="JKM1335" s="4" t="s">
        <v>2879</v>
      </c>
      <c r="JKN1335" s="4" t="s">
        <v>2879</v>
      </c>
      <c r="JKO1335" s="4" t="s">
        <v>2879</v>
      </c>
      <c r="JKP1335" s="4" t="s">
        <v>2879</v>
      </c>
      <c r="JKQ1335" s="4" t="s">
        <v>2879</v>
      </c>
      <c r="JKR1335" s="4" t="s">
        <v>2879</v>
      </c>
      <c r="JKS1335" s="4" t="s">
        <v>2879</v>
      </c>
      <c r="JKT1335" s="4" t="s">
        <v>2879</v>
      </c>
      <c r="JKU1335" s="4" t="s">
        <v>2879</v>
      </c>
      <c r="JKV1335" s="4" t="s">
        <v>2879</v>
      </c>
      <c r="JKW1335" s="4" t="s">
        <v>2879</v>
      </c>
      <c r="JKX1335" s="4" t="s">
        <v>2879</v>
      </c>
      <c r="JKY1335" s="4" t="s">
        <v>2879</v>
      </c>
      <c r="JKZ1335" s="4" t="s">
        <v>2879</v>
      </c>
      <c r="JLA1335" s="4" t="s">
        <v>2879</v>
      </c>
      <c r="JLB1335" s="4" t="s">
        <v>2879</v>
      </c>
      <c r="JLC1335" s="4" t="s">
        <v>2879</v>
      </c>
      <c r="JLD1335" s="4" t="s">
        <v>2879</v>
      </c>
      <c r="JLE1335" s="4" t="s">
        <v>2879</v>
      </c>
      <c r="JLF1335" s="4" t="s">
        <v>2879</v>
      </c>
      <c r="JLG1335" s="4" t="s">
        <v>2879</v>
      </c>
      <c r="JLH1335" s="4" t="s">
        <v>2879</v>
      </c>
      <c r="JLI1335" s="4" t="s">
        <v>2879</v>
      </c>
      <c r="JLJ1335" s="4" t="s">
        <v>2879</v>
      </c>
      <c r="JLK1335" s="4" t="s">
        <v>2879</v>
      </c>
      <c r="JLL1335" s="4" t="s">
        <v>2879</v>
      </c>
      <c r="JLM1335" s="4" t="s">
        <v>2879</v>
      </c>
      <c r="JLN1335" s="4" t="s">
        <v>2879</v>
      </c>
      <c r="JLO1335" s="4" t="s">
        <v>2879</v>
      </c>
      <c r="JLP1335" s="4" t="s">
        <v>2879</v>
      </c>
      <c r="JLQ1335" s="4" t="s">
        <v>2879</v>
      </c>
      <c r="JLR1335" s="4" t="s">
        <v>2879</v>
      </c>
      <c r="JLS1335" s="4" t="s">
        <v>2879</v>
      </c>
      <c r="JLT1335" s="4" t="s">
        <v>2879</v>
      </c>
      <c r="JLU1335" s="4" t="s">
        <v>2879</v>
      </c>
      <c r="JLV1335" s="4" t="s">
        <v>2879</v>
      </c>
      <c r="JLW1335" s="4" t="s">
        <v>2879</v>
      </c>
      <c r="JLX1335" s="4" t="s">
        <v>2879</v>
      </c>
      <c r="JLY1335" s="4" t="s">
        <v>2879</v>
      </c>
      <c r="JLZ1335" s="4" t="s">
        <v>2879</v>
      </c>
      <c r="JMA1335" s="4" t="s">
        <v>2879</v>
      </c>
      <c r="JMB1335" s="4" t="s">
        <v>2879</v>
      </c>
      <c r="JMC1335" s="4" t="s">
        <v>2879</v>
      </c>
      <c r="JMD1335" s="4" t="s">
        <v>2879</v>
      </c>
      <c r="JME1335" s="4" t="s">
        <v>2879</v>
      </c>
      <c r="JMF1335" s="4" t="s">
        <v>2879</v>
      </c>
      <c r="JMG1335" s="4" t="s">
        <v>2879</v>
      </c>
      <c r="JMH1335" s="4" t="s">
        <v>2879</v>
      </c>
      <c r="JMI1335" s="4" t="s">
        <v>2879</v>
      </c>
      <c r="JMJ1335" s="4" t="s">
        <v>2879</v>
      </c>
      <c r="JMK1335" s="4" t="s">
        <v>2879</v>
      </c>
      <c r="JML1335" s="4" t="s">
        <v>2879</v>
      </c>
      <c r="JMM1335" s="4" t="s">
        <v>2879</v>
      </c>
      <c r="JMN1335" s="4" t="s">
        <v>2879</v>
      </c>
      <c r="JMO1335" s="4" t="s">
        <v>2879</v>
      </c>
      <c r="JMP1335" s="4" t="s">
        <v>2879</v>
      </c>
      <c r="JMQ1335" s="4" t="s">
        <v>2879</v>
      </c>
      <c r="JMR1335" s="4" t="s">
        <v>2879</v>
      </c>
      <c r="JMS1335" s="4" t="s">
        <v>2879</v>
      </c>
      <c r="JMT1335" s="4" t="s">
        <v>2879</v>
      </c>
      <c r="JMU1335" s="4" t="s">
        <v>2879</v>
      </c>
      <c r="JMV1335" s="4" t="s">
        <v>2879</v>
      </c>
      <c r="JMW1335" s="4" t="s">
        <v>2879</v>
      </c>
      <c r="JMX1335" s="4" t="s">
        <v>2879</v>
      </c>
      <c r="JMY1335" s="4" t="s">
        <v>2879</v>
      </c>
      <c r="JMZ1335" s="4" t="s">
        <v>2879</v>
      </c>
      <c r="JNA1335" s="4" t="s">
        <v>2879</v>
      </c>
      <c r="JNB1335" s="4" t="s">
        <v>2879</v>
      </c>
      <c r="JNC1335" s="4" t="s">
        <v>2879</v>
      </c>
      <c r="JND1335" s="4" t="s">
        <v>2879</v>
      </c>
      <c r="JNE1335" s="4" t="s">
        <v>2879</v>
      </c>
      <c r="JNF1335" s="4" t="s">
        <v>2879</v>
      </c>
      <c r="JNG1335" s="4" t="s">
        <v>2879</v>
      </c>
      <c r="JNH1335" s="4" t="s">
        <v>2879</v>
      </c>
      <c r="JNI1335" s="4" t="s">
        <v>2879</v>
      </c>
      <c r="JNJ1335" s="4" t="s">
        <v>2879</v>
      </c>
      <c r="JNK1335" s="4" t="s">
        <v>2879</v>
      </c>
      <c r="JNL1335" s="4" t="s">
        <v>2879</v>
      </c>
      <c r="JNM1335" s="4" t="s">
        <v>2879</v>
      </c>
      <c r="JNN1335" s="4" t="s">
        <v>2879</v>
      </c>
      <c r="JNO1335" s="4" t="s">
        <v>2879</v>
      </c>
      <c r="JNP1335" s="4" t="s">
        <v>2879</v>
      </c>
      <c r="JNQ1335" s="4" t="s">
        <v>2879</v>
      </c>
      <c r="JNR1335" s="4" t="s">
        <v>2879</v>
      </c>
      <c r="JNS1335" s="4" t="s">
        <v>2879</v>
      </c>
      <c r="JNT1335" s="4" t="s">
        <v>2879</v>
      </c>
      <c r="JNU1335" s="4" t="s">
        <v>2879</v>
      </c>
      <c r="JNV1335" s="4" t="s">
        <v>2879</v>
      </c>
      <c r="JNW1335" s="4" t="s">
        <v>2879</v>
      </c>
      <c r="JNX1335" s="4" t="s">
        <v>2879</v>
      </c>
      <c r="JNY1335" s="4" t="s">
        <v>2879</v>
      </c>
      <c r="JNZ1335" s="4" t="s">
        <v>2879</v>
      </c>
      <c r="JOA1335" s="4" t="s">
        <v>2879</v>
      </c>
      <c r="JOB1335" s="4" t="s">
        <v>2879</v>
      </c>
      <c r="JOC1335" s="4" t="s">
        <v>2879</v>
      </c>
      <c r="JOD1335" s="4" t="s">
        <v>2879</v>
      </c>
      <c r="JOE1335" s="4" t="s">
        <v>2879</v>
      </c>
      <c r="JOF1335" s="4" t="s">
        <v>2879</v>
      </c>
      <c r="JOG1335" s="4" t="s">
        <v>2879</v>
      </c>
      <c r="JOH1335" s="4" t="s">
        <v>2879</v>
      </c>
      <c r="JOI1335" s="4" t="s">
        <v>2879</v>
      </c>
      <c r="JOJ1335" s="4" t="s">
        <v>2879</v>
      </c>
      <c r="JOK1335" s="4" t="s">
        <v>2879</v>
      </c>
      <c r="JOL1335" s="4" t="s">
        <v>2879</v>
      </c>
      <c r="JOM1335" s="4" t="s">
        <v>2879</v>
      </c>
      <c r="JON1335" s="4" t="s">
        <v>2879</v>
      </c>
      <c r="JOO1335" s="4" t="s">
        <v>2879</v>
      </c>
      <c r="JOP1335" s="4" t="s">
        <v>2879</v>
      </c>
      <c r="JOQ1335" s="4" t="s">
        <v>2879</v>
      </c>
      <c r="JOR1335" s="4" t="s">
        <v>2879</v>
      </c>
      <c r="JOS1335" s="4" t="s">
        <v>2879</v>
      </c>
      <c r="JOT1335" s="4" t="s">
        <v>2879</v>
      </c>
      <c r="JOU1335" s="4" t="s">
        <v>2879</v>
      </c>
      <c r="JOV1335" s="4" t="s">
        <v>2879</v>
      </c>
      <c r="JOW1335" s="4" t="s">
        <v>2879</v>
      </c>
      <c r="JOX1335" s="4" t="s">
        <v>2879</v>
      </c>
      <c r="JOY1335" s="4" t="s">
        <v>2879</v>
      </c>
      <c r="JOZ1335" s="4" t="s">
        <v>2879</v>
      </c>
      <c r="JPA1335" s="4" t="s">
        <v>2879</v>
      </c>
      <c r="JPB1335" s="4" t="s">
        <v>2879</v>
      </c>
      <c r="JPC1335" s="4" t="s">
        <v>2879</v>
      </c>
      <c r="JPD1335" s="4" t="s">
        <v>2879</v>
      </c>
      <c r="JPE1335" s="4" t="s">
        <v>2879</v>
      </c>
      <c r="JPF1335" s="4" t="s">
        <v>2879</v>
      </c>
      <c r="JPG1335" s="4" t="s">
        <v>2879</v>
      </c>
      <c r="JPH1335" s="4" t="s">
        <v>2879</v>
      </c>
      <c r="JPI1335" s="4" t="s">
        <v>2879</v>
      </c>
      <c r="JPJ1335" s="4" t="s">
        <v>2879</v>
      </c>
      <c r="JPK1335" s="4" t="s">
        <v>2879</v>
      </c>
      <c r="JPL1335" s="4" t="s">
        <v>2879</v>
      </c>
      <c r="JPM1335" s="4" t="s">
        <v>2879</v>
      </c>
      <c r="JPN1335" s="4" t="s">
        <v>2879</v>
      </c>
      <c r="JPO1335" s="4" t="s">
        <v>2879</v>
      </c>
      <c r="JPP1335" s="4" t="s">
        <v>2879</v>
      </c>
      <c r="JPQ1335" s="4" t="s">
        <v>2879</v>
      </c>
      <c r="JPR1335" s="4" t="s">
        <v>2879</v>
      </c>
      <c r="JPS1335" s="4" t="s">
        <v>2879</v>
      </c>
      <c r="JPT1335" s="4" t="s">
        <v>2879</v>
      </c>
      <c r="JPU1335" s="4" t="s">
        <v>2879</v>
      </c>
      <c r="JPV1335" s="4" t="s">
        <v>2879</v>
      </c>
      <c r="JPW1335" s="4" t="s">
        <v>2879</v>
      </c>
      <c r="JPX1335" s="4" t="s">
        <v>2879</v>
      </c>
      <c r="JPY1335" s="4" t="s">
        <v>2879</v>
      </c>
      <c r="JPZ1335" s="4" t="s">
        <v>2879</v>
      </c>
      <c r="JQA1335" s="4" t="s">
        <v>2879</v>
      </c>
      <c r="JQB1335" s="4" t="s">
        <v>2879</v>
      </c>
      <c r="JQC1335" s="4" t="s">
        <v>2879</v>
      </c>
      <c r="JQD1335" s="4" t="s">
        <v>2879</v>
      </c>
      <c r="JQE1335" s="4" t="s">
        <v>2879</v>
      </c>
      <c r="JQF1335" s="4" t="s">
        <v>2879</v>
      </c>
      <c r="JQG1335" s="4" t="s">
        <v>2879</v>
      </c>
      <c r="JQH1335" s="4" t="s">
        <v>2879</v>
      </c>
      <c r="JQI1335" s="4" t="s">
        <v>2879</v>
      </c>
      <c r="JQJ1335" s="4" t="s">
        <v>2879</v>
      </c>
      <c r="JQK1335" s="4" t="s">
        <v>2879</v>
      </c>
      <c r="JQL1335" s="4" t="s">
        <v>2879</v>
      </c>
      <c r="JQM1335" s="4" t="s">
        <v>2879</v>
      </c>
      <c r="JQN1335" s="4" t="s">
        <v>2879</v>
      </c>
      <c r="JQO1335" s="4" t="s">
        <v>2879</v>
      </c>
      <c r="JQP1335" s="4" t="s">
        <v>2879</v>
      </c>
      <c r="JQQ1335" s="4" t="s">
        <v>2879</v>
      </c>
      <c r="JQR1335" s="4" t="s">
        <v>2879</v>
      </c>
      <c r="JQS1335" s="4" t="s">
        <v>2879</v>
      </c>
      <c r="JQT1335" s="4" t="s">
        <v>2879</v>
      </c>
      <c r="JQU1335" s="4" t="s">
        <v>2879</v>
      </c>
      <c r="JQV1335" s="4" t="s">
        <v>2879</v>
      </c>
      <c r="JQW1335" s="4" t="s">
        <v>2879</v>
      </c>
      <c r="JQX1335" s="4" t="s">
        <v>2879</v>
      </c>
      <c r="JQY1335" s="4" t="s">
        <v>2879</v>
      </c>
      <c r="JQZ1335" s="4" t="s">
        <v>2879</v>
      </c>
      <c r="JRA1335" s="4" t="s">
        <v>2879</v>
      </c>
      <c r="JRB1335" s="4" t="s">
        <v>2879</v>
      </c>
      <c r="JRC1335" s="4" t="s">
        <v>2879</v>
      </c>
      <c r="JRD1335" s="4" t="s">
        <v>2879</v>
      </c>
      <c r="JRE1335" s="4" t="s">
        <v>2879</v>
      </c>
      <c r="JRF1335" s="4" t="s">
        <v>2879</v>
      </c>
      <c r="JRG1335" s="4" t="s">
        <v>2879</v>
      </c>
      <c r="JRH1335" s="4" t="s">
        <v>2879</v>
      </c>
      <c r="JRI1335" s="4" t="s">
        <v>2879</v>
      </c>
      <c r="JRJ1335" s="4" t="s">
        <v>2879</v>
      </c>
      <c r="JRK1335" s="4" t="s">
        <v>2879</v>
      </c>
      <c r="JRL1335" s="4" t="s">
        <v>2879</v>
      </c>
      <c r="JRM1335" s="4" t="s">
        <v>2879</v>
      </c>
      <c r="JRN1335" s="4" t="s">
        <v>2879</v>
      </c>
      <c r="JRO1335" s="4" t="s">
        <v>2879</v>
      </c>
      <c r="JRP1335" s="4" t="s">
        <v>2879</v>
      </c>
      <c r="JRQ1335" s="4" t="s">
        <v>2879</v>
      </c>
      <c r="JRR1335" s="4" t="s">
        <v>2879</v>
      </c>
      <c r="JRS1335" s="4" t="s">
        <v>2879</v>
      </c>
      <c r="JRT1335" s="4" t="s">
        <v>2879</v>
      </c>
      <c r="JRU1335" s="4" t="s">
        <v>2879</v>
      </c>
      <c r="JRV1335" s="4" t="s">
        <v>2879</v>
      </c>
      <c r="JRW1335" s="4" t="s">
        <v>2879</v>
      </c>
      <c r="JRX1335" s="4" t="s">
        <v>2879</v>
      </c>
      <c r="JRY1335" s="4" t="s">
        <v>2879</v>
      </c>
      <c r="JRZ1335" s="4" t="s">
        <v>2879</v>
      </c>
      <c r="JSA1335" s="4" t="s">
        <v>2879</v>
      </c>
      <c r="JSB1335" s="4" t="s">
        <v>2879</v>
      </c>
      <c r="JSC1335" s="4" t="s">
        <v>2879</v>
      </c>
      <c r="JSD1335" s="4" t="s">
        <v>2879</v>
      </c>
      <c r="JSE1335" s="4" t="s">
        <v>2879</v>
      </c>
      <c r="JSF1335" s="4" t="s">
        <v>2879</v>
      </c>
      <c r="JSG1335" s="4" t="s">
        <v>2879</v>
      </c>
      <c r="JSH1335" s="4" t="s">
        <v>2879</v>
      </c>
      <c r="JSI1335" s="4" t="s">
        <v>2879</v>
      </c>
      <c r="JSJ1335" s="4" t="s">
        <v>2879</v>
      </c>
      <c r="JSK1335" s="4" t="s">
        <v>2879</v>
      </c>
      <c r="JSL1335" s="4" t="s">
        <v>2879</v>
      </c>
      <c r="JSM1335" s="4" t="s">
        <v>2879</v>
      </c>
      <c r="JSN1335" s="4" t="s">
        <v>2879</v>
      </c>
      <c r="JSO1335" s="4" t="s">
        <v>2879</v>
      </c>
      <c r="JSP1335" s="4" t="s">
        <v>2879</v>
      </c>
      <c r="JSQ1335" s="4" t="s">
        <v>2879</v>
      </c>
      <c r="JSR1335" s="4" t="s">
        <v>2879</v>
      </c>
      <c r="JSS1335" s="4" t="s">
        <v>2879</v>
      </c>
      <c r="JST1335" s="4" t="s">
        <v>2879</v>
      </c>
      <c r="JSU1335" s="4" t="s">
        <v>2879</v>
      </c>
      <c r="JSV1335" s="4" t="s">
        <v>2879</v>
      </c>
      <c r="JSW1335" s="4" t="s">
        <v>2879</v>
      </c>
      <c r="JSX1335" s="4" t="s">
        <v>2879</v>
      </c>
      <c r="JSY1335" s="4" t="s">
        <v>2879</v>
      </c>
      <c r="JSZ1335" s="4" t="s">
        <v>2879</v>
      </c>
      <c r="JTA1335" s="4" t="s">
        <v>2879</v>
      </c>
      <c r="JTB1335" s="4" t="s">
        <v>2879</v>
      </c>
      <c r="JTC1335" s="4" t="s">
        <v>2879</v>
      </c>
      <c r="JTD1335" s="4" t="s">
        <v>2879</v>
      </c>
      <c r="JTE1335" s="4" t="s">
        <v>2879</v>
      </c>
      <c r="JTF1335" s="4" t="s">
        <v>2879</v>
      </c>
      <c r="JTG1335" s="4" t="s">
        <v>2879</v>
      </c>
      <c r="JTH1335" s="4" t="s">
        <v>2879</v>
      </c>
      <c r="JTI1335" s="4" t="s">
        <v>2879</v>
      </c>
      <c r="JTJ1335" s="4" t="s">
        <v>2879</v>
      </c>
      <c r="JTK1335" s="4" t="s">
        <v>2879</v>
      </c>
      <c r="JTL1335" s="4" t="s">
        <v>2879</v>
      </c>
      <c r="JTM1335" s="4" t="s">
        <v>2879</v>
      </c>
      <c r="JTN1335" s="4" t="s">
        <v>2879</v>
      </c>
      <c r="JTO1335" s="4" t="s">
        <v>2879</v>
      </c>
      <c r="JTP1335" s="4" t="s">
        <v>2879</v>
      </c>
      <c r="JTQ1335" s="4" t="s">
        <v>2879</v>
      </c>
      <c r="JTR1335" s="4" t="s">
        <v>2879</v>
      </c>
      <c r="JTS1335" s="4" t="s">
        <v>2879</v>
      </c>
      <c r="JTT1335" s="4" t="s">
        <v>2879</v>
      </c>
      <c r="JTU1335" s="4" t="s">
        <v>2879</v>
      </c>
      <c r="JTV1335" s="4" t="s">
        <v>2879</v>
      </c>
      <c r="JTW1335" s="4" t="s">
        <v>2879</v>
      </c>
      <c r="JTX1335" s="4" t="s">
        <v>2879</v>
      </c>
      <c r="JTY1335" s="4" t="s">
        <v>2879</v>
      </c>
      <c r="JTZ1335" s="4" t="s">
        <v>2879</v>
      </c>
      <c r="JUA1335" s="4" t="s">
        <v>2879</v>
      </c>
      <c r="JUB1335" s="4" t="s">
        <v>2879</v>
      </c>
      <c r="JUC1335" s="4" t="s">
        <v>2879</v>
      </c>
      <c r="JUD1335" s="4" t="s">
        <v>2879</v>
      </c>
      <c r="JUE1335" s="4" t="s">
        <v>2879</v>
      </c>
      <c r="JUF1335" s="4" t="s">
        <v>2879</v>
      </c>
      <c r="JUG1335" s="4" t="s">
        <v>2879</v>
      </c>
      <c r="JUH1335" s="4" t="s">
        <v>2879</v>
      </c>
      <c r="JUI1335" s="4" t="s">
        <v>2879</v>
      </c>
      <c r="JUJ1335" s="4" t="s">
        <v>2879</v>
      </c>
      <c r="JUK1335" s="4" t="s">
        <v>2879</v>
      </c>
      <c r="JUL1335" s="4" t="s">
        <v>2879</v>
      </c>
      <c r="JUM1335" s="4" t="s">
        <v>2879</v>
      </c>
      <c r="JUN1335" s="4" t="s">
        <v>2879</v>
      </c>
      <c r="JUO1335" s="4" t="s">
        <v>2879</v>
      </c>
      <c r="JUP1335" s="4" t="s">
        <v>2879</v>
      </c>
      <c r="JUQ1335" s="4" t="s">
        <v>2879</v>
      </c>
      <c r="JUR1335" s="4" t="s">
        <v>2879</v>
      </c>
      <c r="JUS1335" s="4" t="s">
        <v>2879</v>
      </c>
      <c r="JUT1335" s="4" t="s">
        <v>2879</v>
      </c>
      <c r="JUU1335" s="4" t="s">
        <v>2879</v>
      </c>
      <c r="JUV1335" s="4" t="s">
        <v>2879</v>
      </c>
      <c r="JUW1335" s="4" t="s">
        <v>2879</v>
      </c>
      <c r="JUX1335" s="4" t="s">
        <v>2879</v>
      </c>
      <c r="JUY1335" s="4" t="s">
        <v>2879</v>
      </c>
      <c r="JUZ1335" s="4" t="s">
        <v>2879</v>
      </c>
      <c r="JVA1335" s="4" t="s">
        <v>2879</v>
      </c>
      <c r="JVB1335" s="4" t="s">
        <v>2879</v>
      </c>
      <c r="JVC1335" s="4" t="s">
        <v>2879</v>
      </c>
      <c r="JVD1335" s="4" t="s">
        <v>2879</v>
      </c>
      <c r="JVE1335" s="4" t="s">
        <v>2879</v>
      </c>
      <c r="JVF1335" s="4" t="s">
        <v>2879</v>
      </c>
      <c r="JVG1335" s="4" t="s">
        <v>2879</v>
      </c>
      <c r="JVH1335" s="4" t="s">
        <v>2879</v>
      </c>
      <c r="JVI1335" s="4" t="s">
        <v>2879</v>
      </c>
      <c r="JVJ1335" s="4" t="s">
        <v>2879</v>
      </c>
      <c r="JVK1335" s="4" t="s">
        <v>2879</v>
      </c>
      <c r="JVL1335" s="4" t="s">
        <v>2879</v>
      </c>
      <c r="JVM1335" s="4" t="s">
        <v>2879</v>
      </c>
      <c r="JVN1335" s="4" t="s">
        <v>2879</v>
      </c>
      <c r="JVO1335" s="4" t="s">
        <v>2879</v>
      </c>
      <c r="JVP1335" s="4" t="s">
        <v>2879</v>
      </c>
      <c r="JVQ1335" s="4" t="s">
        <v>2879</v>
      </c>
      <c r="JVR1335" s="4" t="s">
        <v>2879</v>
      </c>
      <c r="JVS1335" s="4" t="s">
        <v>2879</v>
      </c>
      <c r="JVT1335" s="4" t="s">
        <v>2879</v>
      </c>
      <c r="JVU1335" s="4" t="s">
        <v>2879</v>
      </c>
      <c r="JVV1335" s="4" t="s">
        <v>2879</v>
      </c>
      <c r="JVW1335" s="4" t="s">
        <v>2879</v>
      </c>
      <c r="JVX1335" s="4" t="s">
        <v>2879</v>
      </c>
      <c r="JVY1335" s="4" t="s">
        <v>2879</v>
      </c>
      <c r="JVZ1335" s="4" t="s">
        <v>2879</v>
      </c>
      <c r="JWA1335" s="4" t="s">
        <v>2879</v>
      </c>
      <c r="JWB1335" s="4" t="s">
        <v>2879</v>
      </c>
      <c r="JWC1335" s="4" t="s">
        <v>2879</v>
      </c>
      <c r="JWD1335" s="4" t="s">
        <v>2879</v>
      </c>
      <c r="JWE1335" s="4" t="s">
        <v>2879</v>
      </c>
      <c r="JWF1335" s="4" t="s">
        <v>2879</v>
      </c>
      <c r="JWG1335" s="4" t="s">
        <v>2879</v>
      </c>
      <c r="JWH1335" s="4" t="s">
        <v>2879</v>
      </c>
      <c r="JWI1335" s="4" t="s">
        <v>2879</v>
      </c>
      <c r="JWJ1335" s="4" t="s">
        <v>2879</v>
      </c>
      <c r="JWK1335" s="4" t="s">
        <v>2879</v>
      </c>
      <c r="JWL1335" s="4" t="s">
        <v>2879</v>
      </c>
      <c r="JWM1335" s="4" t="s">
        <v>2879</v>
      </c>
      <c r="JWN1335" s="4" t="s">
        <v>2879</v>
      </c>
      <c r="JWO1335" s="4" t="s">
        <v>2879</v>
      </c>
      <c r="JWP1335" s="4" t="s">
        <v>2879</v>
      </c>
      <c r="JWQ1335" s="4" t="s">
        <v>2879</v>
      </c>
      <c r="JWR1335" s="4" t="s">
        <v>2879</v>
      </c>
      <c r="JWS1335" s="4" t="s">
        <v>2879</v>
      </c>
      <c r="JWT1335" s="4" t="s">
        <v>2879</v>
      </c>
      <c r="JWU1335" s="4" t="s">
        <v>2879</v>
      </c>
      <c r="JWV1335" s="4" t="s">
        <v>2879</v>
      </c>
      <c r="JWW1335" s="4" t="s">
        <v>2879</v>
      </c>
      <c r="JWX1335" s="4" t="s">
        <v>2879</v>
      </c>
      <c r="JWY1335" s="4" t="s">
        <v>2879</v>
      </c>
      <c r="JWZ1335" s="4" t="s">
        <v>2879</v>
      </c>
      <c r="JXA1335" s="4" t="s">
        <v>2879</v>
      </c>
      <c r="JXB1335" s="4" t="s">
        <v>2879</v>
      </c>
      <c r="JXC1335" s="4" t="s">
        <v>2879</v>
      </c>
      <c r="JXD1335" s="4" t="s">
        <v>2879</v>
      </c>
      <c r="JXE1335" s="4" t="s">
        <v>2879</v>
      </c>
      <c r="JXF1335" s="4" t="s">
        <v>2879</v>
      </c>
      <c r="JXG1335" s="4" t="s">
        <v>2879</v>
      </c>
      <c r="JXH1335" s="4" t="s">
        <v>2879</v>
      </c>
      <c r="JXI1335" s="4" t="s">
        <v>2879</v>
      </c>
      <c r="JXJ1335" s="4" t="s">
        <v>2879</v>
      </c>
      <c r="JXK1335" s="4" t="s">
        <v>2879</v>
      </c>
      <c r="JXL1335" s="4" t="s">
        <v>2879</v>
      </c>
      <c r="JXM1335" s="4" t="s">
        <v>2879</v>
      </c>
      <c r="JXN1335" s="4" t="s">
        <v>2879</v>
      </c>
      <c r="JXO1335" s="4" t="s">
        <v>2879</v>
      </c>
      <c r="JXP1335" s="4" t="s">
        <v>2879</v>
      </c>
      <c r="JXQ1335" s="4" t="s">
        <v>2879</v>
      </c>
      <c r="JXR1335" s="4" t="s">
        <v>2879</v>
      </c>
      <c r="JXS1335" s="4" t="s">
        <v>2879</v>
      </c>
      <c r="JXT1335" s="4" t="s">
        <v>2879</v>
      </c>
      <c r="JXU1335" s="4" t="s">
        <v>2879</v>
      </c>
      <c r="JXV1335" s="4" t="s">
        <v>2879</v>
      </c>
      <c r="JXW1335" s="4" t="s">
        <v>2879</v>
      </c>
      <c r="JXX1335" s="4" t="s">
        <v>2879</v>
      </c>
      <c r="JXY1335" s="4" t="s">
        <v>2879</v>
      </c>
      <c r="JXZ1335" s="4" t="s">
        <v>2879</v>
      </c>
      <c r="JYA1335" s="4" t="s">
        <v>2879</v>
      </c>
      <c r="JYB1335" s="4" t="s">
        <v>2879</v>
      </c>
      <c r="JYC1335" s="4" t="s">
        <v>2879</v>
      </c>
      <c r="JYD1335" s="4" t="s">
        <v>2879</v>
      </c>
      <c r="JYE1335" s="4" t="s">
        <v>2879</v>
      </c>
      <c r="JYF1335" s="4" t="s">
        <v>2879</v>
      </c>
      <c r="JYG1335" s="4" t="s">
        <v>2879</v>
      </c>
      <c r="JYH1335" s="4" t="s">
        <v>2879</v>
      </c>
      <c r="JYI1335" s="4" t="s">
        <v>2879</v>
      </c>
      <c r="JYJ1335" s="4" t="s">
        <v>2879</v>
      </c>
      <c r="JYK1335" s="4" t="s">
        <v>2879</v>
      </c>
      <c r="JYL1335" s="4" t="s">
        <v>2879</v>
      </c>
      <c r="JYM1335" s="4" t="s">
        <v>2879</v>
      </c>
      <c r="JYN1335" s="4" t="s">
        <v>2879</v>
      </c>
      <c r="JYO1335" s="4" t="s">
        <v>2879</v>
      </c>
      <c r="JYP1335" s="4" t="s">
        <v>2879</v>
      </c>
      <c r="JYQ1335" s="4" t="s">
        <v>2879</v>
      </c>
      <c r="JYR1335" s="4" t="s">
        <v>2879</v>
      </c>
      <c r="JYS1335" s="4" t="s">
        <v>2879</v>
      </c>
      <c r="JYT1335" s="4" t="s">
        <v>2879</v>
      </c>
      <c r="JYU1335" s="4" t="s">
        <v>2879</v>
      </c>
      <c r="JYV1335" s="4" t="s">
        <v>2879</v>
      </c>
      <c r="JYW1335" s="4" t="s">
        <v>2879</v>
      </c>
      <c r="JYX1335" s="4" t="s">
        <v>2879</v>
      </c>
      <c r="JYY1335" s="4" t="s">
        <v>2879</v>
      </c>
      <c r="JYZ1335" s="4" t="s">
        <v>2879</v>
      </c>
      <c r="JZA1335" s="4" t="s">
        <v>2879</v>
      </c>
      <c r="JZB1335" s="4" t="s">
        <v>2879</v>
      </c>
      <c r="JZC1335" s="4" t="s">
        <v>2879</v>
      </c>
      <c r="JZD1335" s="4" t="s">
        <v>2879</v>
      </c>
      <c r="JZE1335" s="4" t="s">
        <v>2879</v>
      </c>
      <c r="JZF1335" s="4" t="s">
        <v>2879</v>
      </c>
      <c r="JZG1335" s="4" t="s">
        <v>2879</v>
      </c>
      <c r="JZH1335" s="4" t="s">
        <v>2879</v>
      </c>
      <c r="JZI1335" s="4" t="s">
        <v>2879</v>
      </c>
      <c r="JZJ1335" s="4" t="s">
        <v>2879</v>
      </c>
      <c r="JZK1335" s="4" t="s">
        <v>2879</v>
      </c>
      <c r="JZL1335" s="4" t="s">
        <v>2879</v>
      </c>
      <c r="JZM1335" s="4" t="s">
        <v>2879</v>
      </c>
      <c r="JZN1335" s="4" t="s">
        <v>2879</v>
      </c>
      <c r="JZO1335" s="4" t="s">
        <v>2879</v>
      </c>
      <c r="JZP1335" s="4" t="s">
        <v>2879</v>
      </c>
      <c r="JZQ1335" s="4" t="s">
        <v>2879</v>
      </c>
      <c r="JZR1335" s="4" t="s">
        <v>2879</v>
      </c>
      <c r="JZS1335" s="4" t="s">
        <v>2879</v>
      </c>
      <c r="JZT1335" s="4" t="s">
        <v>2879</v>
      </c>
      <c r="JZU1335" s="4" t="s">
        <v>2879</v>
      </c>
      <c r="JZV1335" s="4" t="s">
        <v>2879</v>
      </c>
      <c r="JZW1335" s="4" t="s">
        <v>2879</v>
      </c>
      <c r="JZX1335" s="4" t="s">
        <v>2879</v>
      </c>
      <c r="JZY1335" s="4" t="s">
        <v>2879</v>
      </c>
      <c r="JZZ1335" s="4" t="s">
        <v>2879</v>
      </c>
      <c r="KAA1335" s="4" t="s">
        <v>2879</v>
      </c>
      <c r="KAB1335" s="4" t="s">
        <v>2879</v>
      </c>
      <c r="KAC1335" s="4" t="s">
        <v>2879</v>
      </c>
      <c r="KAD1335" s="4" t="s">
        <v>2879</v>
      </c>
      <c r="KAE1335" s="4" t="s">
        <v>2879</v>
      </c>
      <c r="KAF1335" s="4" t="s">
        <v>2879</v>
      </c>
      <c r="KAG1335" s="4" t="s">
        <v>2879</v>
      </c>
      <c r="KAH1335" s="4" t="s">
        <v>2879</v>
      </c>
      <c r="KAI1335" s="4" t="s">
        <v>2879</v>
      </c>
      <c r="KAJ1335" s="4" t="s">
        <v>2879</v>
      </c>
      <c r="KAK1335" s="4" t="s">
        <v>2879</v>
      </c>
      <c r="KAL1335" s="4" t="s">
        <v>2879</v>
      </c>
      <c r="KAM1335" s="4" t="s">
        <v>2879</v>
      </c>
      <c r="KAN1335" s="4" t="s">
        <v>2879</v>
      </c>
      <c r="KAO1335" s="4" t="s">
        <v>2879</v>
      </c>
      <c r="KAP1335" s="4" t="s">
        <v>2879</v>
      </c>
      <c r="KAQ1335" s="4" t="s">
        <v>2879</v>
      </c>
      <c r="KAR1335" s="4" t="s">
        <v>2879</v>
      </c>
      <c r="KAS1335" s="4" t="s">
        <v>2879</v>
      </c>
      <c r="KAT1335" s="4" t="s">
        <v>2879</v>
      </c>
      <c r="KAU1335" s="4" t="s">
        <v>2879</v>
      </c>
      <c r="KAV1335" s="4" t="s">
        <v>2879</v>
      </c>
      <c r="KAW1335" s="4" t="s">
        <v>2879</v>
      </c>
      <c r="KAX1335" s="4" t="s">
        <v>2879</v>
      </c>
      <c r="KAY1335" s="4" t="s">
        <v>2879</v>
      </c>
      <c r="KAZ1335" s="4" t="s">
        <v>2879</v>
      </c>
      <c r="KBA1335" s="4" t="s">
        <v>2879</v>
      </c>
      <c r="KBB1335" s="4" t="s">
        <v>2879</v>
      </c>
      <c r="KBC1335" s="4" t="s">
        <v>2879</v>
      </c>
      <c r="KBD1335" s="4" t="s">
        <v>2879</v>
      </c>
      <c r="KBE1335" s="4" t="s">
        <v>2879</v>
      </c>
      <c r="KBF1335" s="4" t="s">
        <v>2879</v>
      </c>
      <c r="KBG1335" s="4" t="s">
        <v>2879</v>
      </c>
      <c r="KBH1335" s="4" t="s">
        <v>2879</v>
      </c>
      <c r="KBI1335" s="4" t="s">
        <v>2879</v>
      </c>
      <c r="KBJ1335" s="4" t="s">
        <v>2879</v>
      </c>
      <c r="KBK1335" s="4" t="s">
        <v>2879</v>
      </c>
      <c r="KBL1335" s="4" t="s">
        <v>2879</v>
      </c>
      <c r="KBM1335" s="4" t="s">
        <v>2879</v>
      </c>
      <c r="KBN1335" s="4" t="s">
        <v>2879</v>
      </c>
      <c r="KBO1335" s="4" t="s">
        <v>2879</v>
      </c>
      <c r="KBP1335" s="4" t="s">
        <v>2879</v>
      </c>
      <c r="KBQ1335" s="4" t="s">
        <v>2879</v>
      </c>
      <c r="KBR1335" s="4" t="s">
        <v>2879</v>
      </c>
      <c r="KBS1335" s="4" t="s">
        <v>2879</v>
      </c>
      <c r="KBT1335" s="4" t="s">
        <v>2879</v>
      </c>
      <c r="KBU1335" s="4" t="s">
        <v>2879</v>
      </c>
      <c r="KBV1335" s="4" t="s">
        <v>2879</v>
      </c>
      <c r="KBW1335" s="4" t="s">
        <v>2879</v>
      </c>
      <c r="KBX1335" s="4" t="s">
        <v>2879</v>
      </c>
      <c r="KBY1335" s="4" t="s">
        <v>2879</v>
      </c>
      <c r="KBZ1335" s="4" t="s">
        <v>2879</v>
      </c>
      <c r="KCA1335" s="4" t="s">
        <v>2879</v>
      </c>
      <c r="KCB1335" s="4" t="s">
        <v>2879</v>
      </c>
      <c r="KCC1335" s="4" t="s">
        <v>2879</v>
      </c>
      <c r="KCD1335" s="4" t="s">
        <v>2879</v>
      </c>
      <c r="KCE1335" s="4" t="s">
        <v>2879</v>
      </c>
      <c r="KCF1335" s="4" t="s">
        <v>2879</v>
      </c>
      <c r="KCG1335" s="4" t="s">
        <v>2879</v>
      </c>
      <c r="KCH1335" s="4" t="s">
        <v>2879</v>
      </c>
      <c r="KCI1335" s="4" t="s">
        <v>2879</v>
      </c>
      <c r="KCJ1335" s="4" t="s">
        <v>2879</v>
      </c>
      <c r="KCK1335" s="4" t="s">
        <v>2879</v>
      </c>
      <c r="KCL1335" s="4" t="s">
        <v>2879</v>
      </c>
      <c r="KCM1335" s="4" t="s">
        <v>2879</v>
      </c>
      <c r="KCN1335" s="4" t="s">
        <v>2879</v>
      </c>
      <c r="KCO1335" s="4" t="s">
        <v>2879</v>
      </c>
      <c r="KCP1335" s="4" t="s">
        <v>2879</v>
      </c>
      <c r="KCQ1335" s="4" t="s">
        <v>2879</v>
      </c>
      <c r="KCR1335" s="4" t="s">
        <v>2879</v>
      </c>
      <c r="KCS1335" s="4" t="s">
        <v>2879</v>
      </c>
      <c r="KCT1335" s="4" t="s">
        <v>2879</v>
      </c>
      <c r="KCU1335" s="4" t="s">
        <v>2879</v>
      </c>
      <c r="KCV1335" s="4" t="s">
        <v>2879</v>
      </c>
      <c r="KCW1335" s="4" t="s">
        <v>2879</v>
      </c>
      <c r="KCX1335" s="4" t="s">
        <v>2879</v>
      </c>
      <c r="KCY1335" s="4" t="s">
        <v>2879</v>
      </c>
      <c r="KCZ1335" s="4" t="s">
        <v>2879</v>
      </c>
      <c r="KDA1335" s="4" t="s">
        <v>2879</v>
      </c>
      <c r="KDB1335" s="4" t="s">
        <v>2879</v>
      </c>
      <c r="KDC1335" s="4" t="s">
        <v>2879</v>
      </c>
      <c r="KDD1335" s="4" t="s">
        <v>2879</v>
      </c>
      <c r="KDE1335" s="4" t="s">
        <v>2879</v>
      </c>
      <c r="KDF1335" s="4" t="s">
        <v>2879</v>
      </c>
      <c r="KDG1335" s="4" t="s">
        <v>2879</v>
      </c>
      <c r="KDH1335" s="4" t="s">
        <v>2879</v>
      </c>
      <c r="KDI1335" s="4" t="s">
        <v>2879</v>
      </c>
      <c r="KDJ1335" s="4" t="s">
        <v>2879</v>
      </c>
      <c r="KDK1335" s="4" t="s">
        <v>2879</v>
      </c>
      <c r="KDL1335" s="4" t="s">
        <v>2879</v>
      </c>
      <c r="KDM1335" s="4" t="s">
        <v>2879</v>
      </c>
      <c r="KDN1335" s="4" t="s">
        <v>2879</v>
      </c>
      <c r="KDO1335" s="4" t="s">
        <v>2879</v>
      </c>
      <c r="KDP1335" s="4" t="s">
        <v>2879</v>
      </c>
      <c r="KDQ1335" s="4" t="s">
        <v>2879</v>
      </c>
      <c r="KDR1335" s="4" t="s">
        <v>2879</v>
      </c>
      <c r="KDS1335" s="4" t="s">
        <v>2879</v>
      </c>
      <c r="KDT1335" s="4" t="s">
        <v>2879</v>
      </c>
      <c r="KDU1335" s="4" t="s">
        <v>2879</v>
      </c>
      <c r="KDV1335" s="4" t="s">
        <v>2879</v>
      </c>
      <c r="KDW1335" s="4" t="s">
        <v>2879</v>
      </c>
      <c r="KDX1335" s="4" t="s">
        <v>2879</v>
      </c>
      <c r="KDY1335" s="4" t="s">
        <v>2879</v>
      </c>
      <c r="KDZ1335" s="4" t="s">
        <v>2879</v>
      </c>
      <c r="KEA1335" s="4" t="s">
        <v>2879</v>
      </c>
      <c r="KEB1335" s="4" t="s">
        <v>2879</v>
      </c>
      <c r="KEC1335" s="4" t="s">
        <v>2879</v>
      </c>
      <c r="KED1335" s="4" t="s">
        <v>2879</v>
      </c>
      <c r="KEE1335" s="4" t="s">
        <v>2879</v>
      </c>
      <c r="KEF1335" s="4" t="s">
        <v>2879</v>
      </c>
      <c r="KEG1335" s="4" t="s">
        <v>2879</v>
      </c>
      <c r="KEH1335" s="4" t="s">
        <v>2879</v>
      </c>
      <c r="KEI1335" s="4" t="s">
        <v>2879</v>
      </c>
      <c r="KEJ1335" s="4" t="s">
        <v>2879</v>
      </c>
      <c r="KEK1335" s="4" t="s">
        <v>2879</v>
      </c>
      <c r="KEL1335" s="4" t="s">
        <v>2879</v>
      </c>
      <c r="KEM1335" s="4" t="s">
        <v>2879</v>
      </c>
      <c r="KEN1335" s="4" t="s">
        <v>2879</v>
      </c>
      <c r="KEO1335" s="4" t="s">
        <v>2879</v>
      </c>
      <c r="KEP1335" s="4" t="s">
        <v>2879</v>
      </c>
      <c r="KEQ1335" s="4" t="s">
        <v>2879</v>
      </c>
      <c r="KER1335" s="4" t="s">
        <v>2879</v>
      </c>
      <c r="KES1335" s="4" t="s">
        <v>2879</v>
      </c>
      <c r="KET1335" s="4" t="s">
        <v>2879</v>
      </c>
      <c r="KEU1335" s="4" t="s">
        <v>2879</v>
      </c>
      <c r="KEV1335" s="4" t="s">
        <v>2879</v>
      </c>
      <c r="KEW1335" s="4" t="s">
        <v>2879</v>
      </c>
      <c r="KEX1335" s="4" t="s">
        <v>2879</v>
      </c>
      <c r="KEY1335" s="4" t="s">
        <v>2879</v>
      </c>
      <c r="KEZ1335" s="4" t="s">
        <v>2879</v>
      </c>
      <c r="KFA1335" s="4" t="s">
        <v>2879</v>
      </c>
      <c r="KFB1335" s="4" t="s">
        <v>2879</v>
      </c>
      <c r="KFC1335" s="4" t="s">
        <v>2879</v>
      </c>
      <c r="KFD1335" s="4" t="s">
        <v>2879</v>
      </c>
      <c r="KFE1335" s="4" t="s">
        <v>2879</v>
      </c>
      <c r="KFF1335" s="4" t="s">
        <v>2879</v>
      </c>
      <c r="KFG1335" s="4" t="s">
        <v>2879</v>
      </c>
      <c r="KFH1335" s="4" t="s">
        <v>2879</v>
      </c>
      <c r="KFI1335" s="4" t="s">
        <v>2879</v>
      </c>
      <c r="KFJ1335" s="4" t="s">
        <v>2879</v>
      </c>
      <c r="KFK1335" s="4" t="s">
        <v>2879</v>
      </c>
      <c r="KFL1335" s="4" t="s">
        <v>2879</v>
      </c>
      <c r="KFM1335" s="4" t="s">
        <v>2879</v>
      </c>
      <c r="KFN1335" s="4" t="s">
        <v>2879</v>
      </c>
      <c r="KFO1335" s="4" t="s">
        <v>2879</v>
      </c>
      <c r="KFP1335" s="4" t="s">
        <v>2879</v>
      </c>
      <c r="KFQ1335" s="4" t="s">
        <v>2879</v>
      </c>
      <c r="KFR1335" s="4" t="s">
        <v>2879</v>
      </c>
      <c r="KFS1335" s="4" t="s">
        <v>2879</v>
      </c>
      <c r="KFT1335" s="4" t="s">
        <v>2879</v>
      </c>
      <c r="KFU1335" s="4" t="s">
        <v>2879</v>
      </c>
      <c r="KFV1335" s="4" t="s">
        <v>2879</v>
      </c>
      <c r="KFW1335" s="4" t="s">
        <v>2879</v>
      </c>
      <c r="KFX1335" s="4" t="s">
        <v>2879</v>
      </c>
      <c r="KFY1335" s="4" t="s">
        <v>2879</v>
      </c>
      <c r="KFZ1335" s="4" t="s">
        <v>2879</v>
      </c>
      <c r="KGA1335" s="4" t="s">
        <v>2879</v>
      </c>
      <c r="KGB1335" s="4" t="s">
        <v>2879</v>
      </c>
      <c r="KGC1335" s="4" t="s">
        <v>2879</v>
      </c>
      <c r="KGD1335" s="4" t="s">
        <v>2879</v>
      </c>
      <c r="KGE1335" s="4" t="s">
        <v>2879</v>
      </c>
      <c r="KGF1335" s="4" t="s">
        <v>2879</v>
      </c>
      <c r="KGG1335" s="4" t="s">
        <v>2879</v>
      </c>
      <c r="KGH1335" s="4" t="s">
        <v>2879</v>
      </c>
      <c r="KGI1335" s="4" t="s">
        <v>2879</v>
      </c>
      <c r="KGJ1335" s="4" t="s">
        <v>2879</v>
      </c>
      <c r="KGK1335" s="4" t="s">
        <v>2879</v>
      </c>
      <c r="KGL1335" s="4" t="s">
        <v>2879</v>
      </c>
      <c r="KGM1335" s="4" t="s">
        <v>2879</v>
      </c>
      <c r="KGN1335" s="4" t="s">
        <v>2879</v>
      </c>
      <c r="KGO1335" s="4" t="s">
        <v>2879</v>
      </c>
      <c r="KGP1335" s="4" t="s">
        <v>2879</v>
      </c>
      <c r="KGQ1335" s="4" t="s">
        <v>2879</v>
      </c>
      <c r="KGR1335" s="4" t="s">
        <v>2879</v>
      </c>
      <c r="KGS1335" s="4" t="s">
        <v>2879</v>
      </c>
      <c r="KGT1335" s="4" t="s">
        <v>2879</v>
      </c>
      <c r="KGU1335" s="4" t="s">
        <v>2879</v>
      </c>
      <c r="KGV1335" s="4" t="s">
        <v>2879</v>
      </c>
      <c r="KGW1335" s="4" t="s">
        <v>2879</v>
      </c>
      <c r="KGX1335" s="4" t="s">
        <v>2879</v>
      </c>
      <c r="KGY1335" s="4" t="s">
        <v>2879</v>
      </c>
      <c r="KGZ1335" s="4" t="s">
        <v>2879</v>
      </c>
      <c r="KHA1335" s="4" t="s">
        <v>2879</v>
      </c>
      <c r="KHB1335" s="4" t="s">
        <v>2879</v>
      </c>
      <c r="KHC1335" s="4" t="s">
        <v>2879</v>
      </c>
      <c r="KHD1335" s="4" t="s">
        <v>2879</v>
      </c>
      <c r="KHE1335" s="4" t="s">
        <v>2879</v>
      </c>
      <c r="KHF1335" s="4" t="s">
        <v>2879</v>
      </c>
      <c r="KHG1335" s="4" t="s">
        <v>2879</v>
      </c>
      <c r="KHH1335" s="4" t="s">
        <v>2879</v>
      </c>
      <c r="KHI1335" s="4" t="s">
        <v>2879</v>
      </c>
      <c r="KHJ1335" s="4" t="s">
        <v>2879</v>
      </c>
      <c r="KHK1335" s="4" t="s">
        <v>2879</v>
      </c>
      <c r="KHL1335" s="4" t="s">
        <v>2879</v>
      </c>
      <c r="KHM1335" s="4" t="s">
        <v>2879</v>
      </c>
      <c r="KHN1335" s="4" t="s">
        <v>2879</v>
      </c>
      <c r="KHO1335" s="4" t="s">
        <v>2879</v>
      </c>
      <c r="KHP1335" s="4" t="s">
        <v>2879</v>
      </c>
      <c r="KHQ1335" s="4" t="s">
        <v>2879</v>
      </c>
      <c r="KHR1335" s="4" t="s">
        <v>2879</v>
      </c>
      <c r="KHS1335" s="4" t="s">
        <v>2879</v>
      </c>
      <c r="KHT1335" s="4" t="s">
        <v>2879</v>
      </c>
      <c r="KHU1335" s="4" t="s">
        <v>2879</v>
      </c>
      <c r="KHV1335" s="4" t="s">
        <v>2879</v>
      </c>
      <c r="KHW1335" s="4" t="s">
        <v>2879</v>
      </c>
      <c r="KHX1335" s="4" t="s">
        <v>2879</v>
      </c>
      <c r="KHY1335" s="4" t="s">
        <v>2879</v>
      </c>
      <c r="KHZ1335" s="4" t="s">
        <v>2879</v>
      </c>
      <c r="KIA1335" s="4" t="s">
        <v>2879</v>
      </c>
      <c r="KIB1335" s="4" t="s">
        <v>2879</v>
      </c>
      <c r="KIC1335" s="4" t="s">
        <v>2879</v>
      </c>
      <c r="KID1335" s="4" t="s">
        <v>2879</v>
      </c>
      <c r="KIE1335" s="4" t="s">
        <v>2879</v>
      </c>
      <c r="KIF1335" s="4" t="s">
        <v>2879</v>
      </c>
      <c r="KIG1335" s="4" t="s">
        <v>2879</v>
      </c>
      <c r="KIH1335" s="4" t="s">
        <v>2879</v>
      </c>
      <c r="KII1335" s="4" t="s">
        <v>2879</v>
      </c>
      <c r="KIJ1335" s="4" t="s">
        <v>2879</v>
      </c>
      <c r="KIK1335" s="4" t="s">
        <v>2879</v>
      </c>
      <c r="KIL1335" s="4" t="s">
        <v>2879</v>
      </c>
      <c r="KIM1335" s="4" t="s">
        <v>2879</v>
      </c>
      <c r="KIN1335" s="4" t="s">
        <v>2879</v>
      </c>
      <c r="KIO1335" s="4" t="s">
        <v>2879</v>
      </c>
      <c r="KIP1335" s="4" t="s">
        <v>2879</v>
      </c>
      <c r="KIQ1335" s="4" t="s">
        <v>2879</v>
      </c>
      <c r="KIR1335" s="4" t="s">
        <v>2879</v>
      </c>
      <c r="KIS1335" s="4" t="s">
        <v>2879</v>
      </c>
      <c r="KIT1335" s="4" t="s">
        <v>2879</v>
      </c>
      <c r="KIU1335" s="4" t="s">
        <v>2879</v>
      </c>
      <c r="KIV1335" s="4" t="s">
        <v>2879</v>
      </c>
      <c r="KIW1335" s="4" t="s">
        <v>2879</v>
      </c>
      <c r="KIX1335" s="4" t="s">
        <v>2879</v>
      </c>
      <c r="KIY1335" s="4" t="s">
        <v>2879</v>
      </c>
      <c r="KIZ1335" s="4" t="s">
        <v>2879</v>
      </c>
      <c r="KJA1335" s="4" t="s">
        <v>2879</v>
      </c>
      <c r="KJB1335" s="4" t="s">
        <v>2879</v>
      </c>
      <c r="KJC1335" s="4" t="s">
        <v>2879</v>
      </c>
      <c r="KJD1335" s="4" t="s">
        <v>2879</v>
      </c>
      <c r="KJE1335" s="4" t="s">
        <v>2879</v>
      </c>
      <c r="KJF1335" s="4" t="s">
        <v>2879</v>
      </c>
      <c r="KJG1335" s="4" t="s">
        <v>2879</v>
      </c>
      <c r="KJH1335" s="4" t="s">
        <v>2879</v>
      </c>
      <c r="KJI1335" s="4" t="s">
        <v>2879</v>
      </c>
      <c r="KJJ1335" s="4" t="s">
        <v>2879</v>
      </c>
      <c r="KJK1335" s="4" t="s">
        <v>2879</v>
      </c>
      <c r="KJL1335" s="4" t="s">
        <v>2879</v>
      </c>
      <c r="KJM1335" s="4" t="s">
        <v>2879</v>
      </c>
      <c r="KJN1335" s="4" t="s">
        <v>2879</v>
      </c>
      <c r="KJO1335" s="4" t="s">
        <v>2879</v>
      </c>
      <c r="KJP1335" s="4" t="s">
        <v>2879</v>
      </c>
      <c r="KJQ1335" s="4" t="s">
        <v>2879</v>
      </c>
      <c r="KJR1335" s="4" t="s">
        <v>2879</v>
      </c>
      <c r="KJS1335" s="4" t="s">
        <v>2879</v>
      </c>
      <c r="KJT1335" s="4" t="s">
        <v>2879</v>
      </c>
      <c r="KJU1335" s="4" t="s">
        <v>2879</v>
      </c>
      <c r="KJV1335" s="4" t="s">
        <v>2879</v>
      </c>
      <c r="KJW1335" s="4" t="s">
        <v>2879</v>
      </c>
      <c r="KJX1335" s="4" t="s">
        <v>2879</v>
      </c>
      <c r="KJY1335" s="4" t="s">
        <v>2879</v>
      </c>
      <c r="KJZ1335" s="4" t="s">
        <v>2879</v>
      </c>
      <c r="KKA1335" s="4" t="s">
        <v>2879</v>
      </c>
      <c r="KKB1335" s="4" t="s">
        <v>2879</v>
      </c>
      <c r="KKC1335" s="4" t="s">
        <v>2879</v>
      </c>
      <c r="KKD1335" s="4" t="s">
        <v>2879</v>
      </c>
      <c r="KKE1335" s="4" t="s">
        <v>2879</v>
      </c>
      <c r="KKF1335" s="4" t="s">
        <v>2879</v>
      </c>
      <c r="KKG1335" s="4" t="s">
        <v>2879</v>
      </c>
      <c r="KKH1335" s="4" t="s">
        <v>2879</v>
      </c>
      <c r="KKI1335" s="4" t="s">
        <v>2879</v>
      </c>
      <c r="KKJ1335" s="4" t="s">
        <v>2879</v>
      </c>
      <c r="KKK1335" s="4" t="s">
        <v>2879</v>
      </c>
      <c r="KKL1335" s="4" t="s">
        <v>2879</v>
      </c>
      <c r="KKM1335" s="4" t="s">
        <v>2879</v>
      </c>
      <c r="KKN1335" s="4" t="s">
        <v>2879</v>
      </c>
      <c r="KKO1335" s="4" t="s">
        <v>2879</v>
      </c>
      <c r="KKP1335" s="4" t="s">
        <v>2879</v>
      </c>
      <c r="KKQ1335" s="4" t="s">
        <v>2879</v>
      </c>
      <c r="KKR1335" s="4" t="s">
        <v>2879</v>
      </c>
      <c r="KKS1335" s="4" t="s">
        <v>2879</v>
      </c>
      <c r="KKT1335" s="4" t="s">
        <v>2879</v>
      </c>
      <c r="KKU1335" s="4" t="s">
        <v>2879</v>
      </c>
      <c r="KKV1335" s="4" t="s">
        <v>2879</v>
      </c>
      <c r="KKW1335" s="4" t="s">
        <v>2879</v>
      </c>
      <c r="KKX1335" s="4" t="s">
        <v>2879</v>
      </c>
      <c r="KKY1335" s="4" t="s">
        <v>2879</v>
      </c>
      <c r="KKZ1335" s="4" t="s">
        <v>2879</v>
      </c>
      <c r="KLA1335" s="4" t="s">
        <v>2879</v>
      </c>
      <c r="KLB1335" s="4" t="s">
        <v>2879</v>
      </c>
      <c r="KLC1335" s="4" t="s">
        <v>2879</v>
      </c>
      <c r="KLD1335" s="4" t="s">
        <v>2879</v>
      </c>
      <c r="KLE1335" s="4" t="s">
        <v>2879</v>
      </c>
      <c r="KLF1335" s="4" t="s">
        <v>2879</v>
      </c>
      <c r="KLG1335" s="4" t="s">
        <v>2879</v>
      </c>
      <c r="KLH1335" s="4" t="s">
        <v>2879</v>
      </c>
      <c r="KLI1335" s="4" t="s">
        <v>2879</v>
      </c>
      <c r="KLJ1335" s="4" t="s">
        <v>2879</v>
      </c>
      <c r="KLK1335" s="4" t="s">
        <v>2879</v>
      </c>
      <c r="KLL1335" s="4" t="s">
        <v>2879</v>
      </c>
      <c r="KLM1335" s="4" t="s">
        <v>2879</v>
      </c>
      <c r="KLN1335" s="4" t="s">
        <v>2879</v>
      </c>
      <c r="KLO1335" s="4" t="s">
        <v>2879</v>
      </c>
      <c r="KLP1335" s="4" t="s">
        <v>2879</v>
      </c>
      <c r="KLQ1335" s="4" t="s">
        <v>2879</v>
      </c>
      <c r="KLR1335" s="4" t="s">
        <v>2879</v>
      </c>
      <c r="KLS1335" s="4" t="s">
        <v>2879</v>
      </c>
      <c r="KLT1335" s="4" t="s">
        <v>2879</v>
      </c>
      <c r="KLU1335" s="4" t="s">
        <v>2879</v>
      </c>
      <c r="KLV1335" s="4" t="s">
        <v>2879</v>
      </c>
      <c r="KLW1335" s="4" t="s">
        <v>2879</v>
      </c>
      <c r="KLX1335" s="4" t="s">
        <v>2879</v>
      </c>
      <c r="KLY1335" s="4" t="s">
        <v>2879</v>
      </c>
      <c r="KLZ1335" s="4" t="s">
        <v>2879</v>
      </c>
      <c r="KMA1335" s="4" t="s">
        <v>2879</v>
      </c>
      <c r="KMB1335" s="4" t="s">
        <v>2879</v>
      </c>
      <c r="KMC1335" s="4" t="s">
        <v>2879</v>
      </c>
      <c r="KMD1335" s="4" t="s">
        <v>2879</v>
      </c>
      <c r="KME1335" s="4" t="s">
        <v>2879</v>
      </c>
      <c r="KMF1335" s="4" t="s">
        <v>2879</v>
      </c>
      <c r="KMG1335" s="4" t="s">
        <v>2879</v>
      </c>
      <c r="KMH1335" s="4" t="s">
        <v>2879</v>
      </c>
      <c r="KMI1335" s="4" t="s">
        <v>2879</v>
      </c>
      <c r="KMJ1335" s="4" t="s">
        <v>2879</v>
      </c>
      <c r="KMK1335" s="4" t="s">
        <v>2879</v>
      </c>
      <c r="KML1335" s="4" t="s">
        <v>2879</v>
      </c>
      <c r="KMM1335" s="4" t="s">
        <v>2879</v>
      </c>
      <c r="KMN1335" s="4" t="s">
        <v>2879</v>
      </c>
      <c r="KMO1335" s="4" t="s">
        <v>2879</v>
      </c>
      <c r="KMP1335" s="4" t="s">
        <v>2879</v>
      </c>
      <c r="KMQ1335" s="4" t="s">
        <v>2879</v>
      </c>
      <c r="KMR1335" s="4" t="s">
        <v>2879</v>
      </c>
      <c r="KMS1335" s="4" t="s">
        <v>2879</v>
      </c>
      <c r="KMT1335" s="4" t="s">
        <v>2879</v>
      </c>
      <c r="KMU1335" s="4" t="s">
        <v>2879</v>
      </c>
      <c r="KMV1335" s="4" t="s">
        <v>2879</v>
      </c>
      <c r="KMW1335" s="4" t="s">
        <v>2879</v>
      </c>
      <c r="KMX1335" s="4" t="s">
        <v>2879</v>
      </c>
      <c r="KMY1335" s="4" t="s">
        <v>2879</v>
      </c>
      <c r="KMZ1335" s="4" t="s">
        <v>2879</v>
      </c>
      <c r="KNA1335" s="4" t="s">
        <v>2879</v>
      </c>
      <c r="KNB1335" s="4" t="s">
        <v>2879</v>
      </c>
      <c r="KNC1335" s="4" t="s">
        <v>2879</v>
      </c>
      <c r="KND1335" s="4" t="s">
        <v>2879</v>
      </c>
      <c r="KNE1335" s="4" t="s">
        <v>2879</v>
      </c>
      <c r="KNF1335" s="4" t="s">
        <v>2879</v>
      </c>
      <c r="KNG1335" s="4" t="s">
        <v>2879</v>
      </c>
      <c r="KNH1335" s="4" t="s">
        <v>2879</v>
      </c>
      <c r="KNI1335" s="4" t="s">
        <v>2879</v>
      </c>
      <c r="KNJ1335" s="4" t="s">
        <v>2879</v>
      </c>
      <c r="KNK1335" s="4" t="s">
        <v>2879</v>
      </c>
      <c r="KNL1335" s="4" t="s">
        <v>2879</v>
      </c>
      <c r="KNM1335" s="4" t="s">
        <v>2879</v>
      </c>
      <c r="KNN1335" s="4" t="s">
        <v>2879</v>
      </c>
      <c r="KNO1335" s="4" t="s">
        <v>2879</v>
      </c>
      <c r="KNP1335" s="4" t="s">
        <v>2879</v>
      </c>
      <c r="KNQ1335" s="4" t="s">
        <v>2879</v>
      </c>
      <c r="KNR1335" s="4" t="s">
        <v>2879</v>
      </c>
      <c r="KNS1335" s="4" t="s">
        <v>2879</v>
      </c>
      <c r="KNT1335" s="4" t="s">
        <v>2879</v>
      </c>
      <c r="KNU1335" s="4" t="s">
        <v>2879</v>
      </c>
      <c r="KNV1335" s="4" t="s">
        <v>2879</v>
      </c>
      <c r="KNW1335" s="4" t="s">
        <v>2879</v>
      </c>
      <c r="KNX1335" s="4" t="s">
        <v>2879</v>
      </c>
      <c r="KNY1335" s="4" t="s">
        <v>2879</v>
      </c>
      <c r="KNZ1335" s="4" t="s">
        <v>2879</v>
      </c>
      <c r="KOA1335" s="4" t="s">
        <v>2879</v>
      </c>
      <c r="KOB1335" s="4" t="s">
        <v>2879</v>
      </c>
      <c r="KOC1335" s="4" t="s">
        <v>2879</v>
      </c>
      <c r="KOD1335" s="4" t="s">
        <v>2879</v>
      </c>
      <c r="KOE1335" s="4" t="s">
        <v>2879</v>
      </c>
      <c r="KOF1335" s="4" t="s">
        <v>2879</v>
      </c>
      <c r="KOG1335" s="4" t="s">
        <v>2879</v>
      </c>
      <c r="KOH1335" s="4" t="s">
        <v>2879</v>
      </c>
      <c r="KOI1335" s="4" t="s">
        <v>2879</v>
      </c>
      <c r="KOJ1335" s="4" t="s">
        <v>2879</v>
      </c>
      <c r="KOK1335" s="4" t="s">
        <v>2879</v>
      </c>
      <c r="KOL1335" s="4" t="s">
        <v>2879</v>
      </c>
      <c r="KOM1335" s="4" t="s">
        <v>2879</v>
      </c>
      <c r="KON1335" s="4" t="s">
        <v>2879</v>
      </c>
      <c r="KOO1335" s="4" t="s">
        <v>2879</v>
      </c>
      <c r="KOP1335" s="4" t="s">
        <v>2879</v>
      </c>
      <c r="KOQ1335" s="4" t="s">
        <v>2879</v>
      </c>
      <c r="KOR1335" s="4" t="s">
        <v>2879</v>
      </c>
      <c r="KOS1335" s="4" t="s">
        <v>2879</v>
      </c>
      <c r="KOT1335" s="4" t="s">
        <v>2879</v>
      </c>
      <c r="KOU1335" s="4" t="s">
        <v>2879</v>
      </c>
      <c r="KOV1335" s="4" t="s">
        <v>2879</v>
      </c>
      <c r="KOW1335" s="4" t="s">
        <v>2879</v>
      </c>
      <c r="KOX1335" s="4" t="s">
        <v>2879</v>
      </c>
      <c r="KOY1335" s="4" t="s">
        <v>2879</v>
      </c>
      <c r="KOZ1335" s="4" t="s">
        <v>2879</v>
      </c>
      <c r="KPA1335" s="4" t="s">
        <v>2879</v>
      </c>
      <c r="KPB1335" s="4" t="s">
        <v>2879</v>
      </c>
      <c r="KPC1335" s="4" t="s">
        <v>2879</v>
      </c>
      <c r="KPD1335" s="4" t="s">
        <v>2879</v>
      </c>
      <c r="KPE1335" s="4" t="s">
        <v>2879</v>
      </c>
      <c r="KPF1335" s="4" t="s">
        <v>2879</v>
      </c>
      <c r="KPG1335" s="4" t="s">
        <v>2879</v>
      </c>
      <c r="KPH1335" s="4" t="s">
        <v>2879</v>
      </c>
      <c r="KPI1335" s="4" t="s">
        <v>2879</v>
      </c>
      <c r="KPJ1335" s="4" t="s">
        <v>2879</v>
      </c>
      <c r="KPK1335" s="4" t="s">
        <v>2879</v>
      </c>
      <c r="KPL1335" s="4" t="s">
        <v>2879</v>
      </c>
      <c r="KPM1335" s="4" t="s">
        <v>2879</v>
      </c>
      <c r="KPN1335" s="4" t="s">
        <v>2879</v>
      </c>
      <c r="KPO1335" s="4" t="s">
        <v>2879</v>
      </c>
      <c r="KPP1335" s="4" t="s">
        <v>2879</v>
      </c>
      <c r="KPQ1335" s="4" t="s">
        <v>2879</v>
      </c>
      <c r="KPR1335" s="4" t="s">
        <v>2879</v>
      </c>
      <c r="KPS1335" s="4" t="s">
        <v>2879</v>
      </c>
      <c r="KPT1335" s="4" t="s">
        <v>2879</v>
      </c>
      <c r="KPU1335" s="4" t="s">
        <v>2879</v>
      </c>
      <c r="KPV1335" s="4" t="s">
        <v>2879</v>
      </c>
      <c r="KPW1335" s="4" t="s">
        <v>2879</v>
      </c>
      <c r="KPX1335" s="4" t="s">
        <v>2879</v>
      </c>
      <c r="KPY1335" s="4" t="s">
        <v>2879</v>
      </c>
      <c r="KPZ1335" s="4" t="s">
        <v>2879</v>
      </c>
      <c r="KQA1335" s="4" t="s">
        <v>2879</v>
      </c>
      <c r="KQB1335" s="4" t="s">
        <v>2879</v>
      </c>
      <c r="KQC1335" s="4" t="s">
        <v>2879</v>
      </c>
      <c r="KQD1335" s="4" t="s">
        <v>2879</v>
      </c>
      <c r="KQE1335" s="4" t="s">
        <v>2879</v>
      </c>
      <c r="KQF1335" s="4" t="s">
        <v>2879</v>
      </c>
      <c r="KQG1335" s="4" t="s">
        <v>2879</v>
      </c>
      <c r="KQH1335" s="4" t="s">
        <v>2879</v>
      </c>
      <c r="KQI1335" s="4" t="s">
        <v>2879</v>
      </c>
      <c r="KQJ1335" s="4" t="s">
        <v>2879</v>
      </c>
      <c r="KQK1335" s="4" t="s">
        <v>2879</v>
      </c>
      <c r="KQL1335" s="4" t="s">
        <v>2879</v>
      </c>
      <c r="KQM1335" s="4" t="s">
        <v>2879</v>
      </c>
      <c r="KQN1335" s="4" t="s">
        <v>2879</v>
      </c>
      <c r="KQO1335" s="4" t="s">
        <v>2879</v>
      </c>
      <c r="KQP1335" s="4" t="s">
        <v>2879</v>
      </c>
      <c r="KQQ1335" s="4" t="s">
        <v>2879</v>
      </c>
      <c r="KQR1335" s="4" t="s">
        <v>2879</v>
      </c>
      <c r="KQS1335" s="4" t="s">
        <v>2879</v>
      </c>
      <c r="KQT1335" s="4" t="s">
        <v>2879</v>
      </c>
      <c r="KQU1335" s="4" t="s">
        <v>2879</v>
      </c>
      <c r="KQV1335" s="4" t="s">
        <v>2879</v>
      </c>
      <c r="KQW1335" s="4" t="s">
        <v>2879</v>
      </c>
      <c r="KQX1335" s="4" t="s">
        <v>2879</v>
      </c>
      <c r="KQY1335" s="4" t="s">
        <v>2879</v>
      </c>
      <c r="KQZ1335" s="4" t="s">
        <v>2879</v>
      </c>
      <c r="KRA1335" s="4" t="s">
        <v>2879</v>
      </c>
      <c r="KRB1335" s="4" t="s">
        <v>2879</v>
      </c>
      <c r="KRC1335" s="4" t="s">
        <v>2879</v>
      </c>
      <c r="KRD1335" s="4" t="s">
        <v>2879</v>
      </c>
      <c r="KRE1335" s="4" t="s">
        <v>2879</v>
      </c>
      <c r="KRF1335" s="4" t="s">
        <v>2879</v>
      </c>
      <c r="KRG1335" s="4" t="s">
        <v>2879</v>
      </c>
      <c r="KRH1335" s="4" t="s">
        <v>2879</v>
      </c>
      <c r="KRI1335" s="4" t="s">
        <v>2879</v>
      </c>
      <c r="KRJ1335" s="4" t="s">
        <v>2879</v>
      </c>
      <c r="KRK1335" s="4" t="s">
        <v>2879</v>
      </c>
      <c r="KRL1335" s="4" t="s">
        <v>2879</v>
      </c>
      <c r="KRM1335" s="4" t="s">
        <v>2879</v>
      </c>
      <c r="KRN1335" s="4" t="s">
        <v>2879</v>
      </c>
      <c r="KRO1335" s="4" t="s">
        <v>2879</v>
      </c>
      <c r="KRP1335" s="4" t="s">
        <v>2879</v>
      </c>
      <c r="KRQ1335" s="4" t="s">
        <v>2879</v>
      </c>
      <c r="KRR1335" s="4" t="s">
        <v>2879</v>
      </c>
      <c r="KRS1335" s="4" t="s">
        <v>2879</v>
      </c>
      <c r="KRT1335" s="4" t="s">
        <v>2879</v>
      </c>
      <c r="KRU1335" s="4" t="s">
        <v>2879</v>
      </c>
      <c r="KRV1335" s="4" t="s">
        <v>2879</v>
      </c>
      <c r="KRW1335" s="4" t="s">
        <v>2879</v>
      </c>
      <c r="KRX1335" s="4" t="s">
        <v>2879</v>
      </c>
      <c r="KRY1335" s="4" t="s">
        <v>2879</v>
      </c>
      <c r="KRZ1335" s="4" t="s">
        <v>2879</v>
      </c>
      <c r="KSA1335" s="4" t="s">
        <v>2879</v>
      </c>
      <c r="KSB1335" s="4" t="s">
        <v>2879</v>
      </c>
      <c r="KSC1335" s="4" t="s">
        <v>2879</v>
      </c>
      <c r="KSD1335" s="4" t="s">
        <v>2879</v>
      </c>
      <c r="KSE1335" s="4" t="s">
        <v>2879</v>
      </c>
      <c r="KSF1335" s="4" t="s">
        <v>2879</v>
      </c>
      <c r="KSG1335" s="4" t="s">
        <v>2879</v>
      </c>
      <c r="KSH1335" s="4" t="s">
        <v>2879</v>
      </c>
      <c r="KSI1335" s="4" t="s">
        <v>2879</v>
      </c>
      <c r="KSJ1335" s="4" t="s">
        <v>2879</v>
      </c>
      <c r="KSK1335" s="4" t="s">
        <v>2879</v>
      </c>
      <c r="KSL1335" s="4" t="s">
        <v>2879</v>
      </c>
      <c r="KSM1335" s="4" t="s">
        <v>2879</v>
      </c>
      <c r="KSN1335" s="4" t="s">
        <v>2879</v>
      </c>
      <c r="KSO1335" s="4" t="s">
        <v>2879</v>
      </c>
      <c r="KSP1335" s="4" t="s">
        <v>2879</v>
      </c>
      <c r="KSQ1335" s="4" t="s">
        <v>2879</v>
      </c>
      <c r="KSR1335" s="4" t="s">
        <v>2879</v>
      </c>
      <c r="KSS1335" s="4" t="s">
        <v>2879</v>
      </c>
      <c r="KST1335" s="4" t="s">
        <v>2879</v>
      </c>
      <c r="KSU1335" s="4" t="s">
        <v>2879</v>
      </c>
      <c r="KSV1335" s="4" t="s">
        <v>2879</v>
      </c>
      <c r="KSW1335" s="4" t="s">
        <v>2879</v>
      </c>
      <c r="KSX1335" s="4" t="s">
        <v>2879</v>
      </c>
      <c r="KSY1335" s="4" t="s">
        <v>2879</v>
      </c>
      <c r="KSZ1335" s="4" t="s">
        <v>2879</v>
      </c>
      <c r="KTA1335" s="4" t="s">
        <v>2879</v>
      </c>
      <c r="KTB1335" s="4" t="s">
        <v>2879</v>
      </c>
      <c r="KTC1335" s="4" t="s">
        <v>2879</v>
      </c>
      <c r="KTD1335" s="4" t="s">
        <v>2879</v>
      </c>
      <c r="KTE1335" s="4" t="s">
        <v>2879</v>
      </c>
      <c r="KTF1335" s="4" t="s">
        <v>2879</v>
      </c>
      <c r="KTG1335" s="4" t="s">
        <v>2879</v>
      </c>
      <c r="KTH1335" s="4" t="s">
        <v>2879</v>
      </c>
      <c r="KTI1335" s="4" t="s">
        <v>2879</v>
      </c>
      <c r="KTJ1335" s="4" t="s">
        <v>2879</v>
      </c>
      <c r="KTK1335" s="4" t="s">
        <v>2879</v>
      </c>
      <c r="KTL1335" s="4" t="s">
        <v>2879</v>
      </c>
      <c r="KTM1335" s="4" t="s">
        <v>2879</v>
      </c>
      <c r="KTN1335" s="4" t="s">
        <v>2879</v>
      </c>
      <c r="KTO1335" s="4" t="s">
        <v>2879</v>
      </c>
      <c r="KTP1335" s="4" t="s">
        <v>2879</v>
      </c>
      <c r="KTQ1335" s="4" t="s">
        <v>2879</v>
      </c>
      <c r="KTR1335" s="4" t="s">
        <v>2879</v>
      </c>
      <c r="KTS1335" s="4" t="s">
        <v>2879</v>
      </c>
      <c r="KTT1335" s="4" t="s">
        <v>2879</v>
      </c>
      <c r="KTU1335" s="4" t="s">
        <v>2879</v>
      </c>
      <c r="KTV1335" s="4" t="s">
        <v>2879</v>
      </c>
      <c r="KTW1335" s="4" t="s">
        <v>2879</v>
      </c>
      <c r="KTX1335" s="4" t="s">
        <v>2879</v>
      </c>
      <c r="KTY1335" s="4" t="s">
        <v>2879</v>
      </c>
      <c r="KTZ1335" s="4" t="s">
        <v>2879</v>
      </c>
      <c r="KUA1335" s="4" t="s">
        <v>2879</v>
      </c>
      <c r="KUB1335" s="4" t="s">
        <v>2879</v>
      </c>
      <c r="KUC1335" s="4" t="s">
        <v>2879</v>
      </c>
      <c r="KUD1335" s="4" t="s">
        <v>2879</v>
      </c>
      <c r="KUE1335" s="4" t="s">
        <v>2879</v>
      </c>
      <c r="KUF1335" s="4" t="s">
        <v>2879</v>
      </c>
      <c r="KUG1335" s="4" t="s">
        <v>2879</v>
      </c>
      <c r="KUH1335" s="4" t="s">
        <v>2879</v>
      </c>
      <c r="KUI1335" s="4" t="s">
        <v>2879</v>
      </c>
      <c r="KUJ1335" s="4" t="s">
        <v>2879</v>
      </c>
      <c r="KUK1335" s="4" t="s">
        <v>2879</v>
      </c>
      <c r="KUL1335" s="4" t="s">
        <v>2879</v>
      </c>
      <c r="KUM1335" s="4" t="s">
        <v>2879</v>
      </c>
      <c r="KUN1335" s="4" t="s">
        <v>2879</v>
      </c>
      <c r="KUO1335" s="4" t="s">
        <v>2879</v>
      </c>
      <c r="KUP1335" s="4" t="s">
        <v>2879</v>
      </c>
      <c r="KUQ1335" s="4" t="s">
        <v>2879</v>
      </c>
      <c r="KUR1335" s="4" t="s">
        <v>2879</v>
      </c>
      <c r="KUS1335" s="4" t="s">
        <v>2879</v>
      </c>
      <c r="KUT1335" s="4" t="s">
        <v>2879</v>
      </c>
      <c r="KUU1335" s="4" t="s">
        <v>2879</v>
      </c>
      <c r="KUV1335" s="4" t="s">
        <v>2879</v>
      </c>
      <c r="KUW1335" s="4" t="s">
        <v>2879</v>
      </c>
      <c r="KUX1335" s="4" t="s">
        <v>2879</v>
      </c>
      <c r="KUY1335" s="4" t="s">
        <v>2879</v>
      </c>
      <c r="KUZ1335" s="4" t="s">
        <v>2879</v>
      </c>
      <c r="KVA1335" s="4" t="s">
        <v>2879</v>
      </c>
      <c r="KVB1335" s="4" t="s">
        <v>2879</v>
      </c>
      <c r="KVC1335" s="4" t="s">
        <v>2879</v>
      </c>
      <c r="KVD1335" s="4" t="s">
        <v>2879</v>
      </c>
      <c r="KVE1335" s="4" t="s">
        <v>2879</v>
      </c>
      <c r="KVF1335" s="4" t="s">
        <v>2879</v>
      </c>
      <c r="KVG1335" s="4" t="s">
        <v>2879</v>
      </c>
      <c r="KVH1335" s="4" t="s">
        <v>2879</v>
      </c>
      <c r="KVI1335" s="4" t="s">
        <v>2879</v>
      </c>
      <c r="KVJ1335" s="4" t="s">
        <v>2879</v>
      </c>
      <c r="KVK1335" s="4" t="s">
        <v>2879</v>
      </c>
      <c r="KVL1335" s="4" t="s">
        <v>2879</v>
      </c>
      <c r="KVM1335" s="4" t="s">
        <v>2879</v>
      </c>
      <c r="KVN1335" s="4" t="s">
        <v>2879</v>
      </c>
      <c r="KVO1335" s="4" t="s">
        <v>2879</v>
      </c>
      <c r="KVP1335" s="4" t="s">
        <v>2879</v>
      </c>
      <c r="KVQ1335" s="4" t="s">
        <v>2879</v>
      </c>
      <c r="KVR1335" s="4" t="s">
        <v>2879</v>
      </c>
      <c r="KVS1335" s="4" t="s">
        <v>2879</v>
      </c>
      <c r="KVT1335" s="4" t="s">
        <v>2879</v>
      </c>
      <c r="KVU1335" s="4" t="s">
        <v>2879</v>
      </c>
      <c r="KVV1335" s="4" t="s">
        <v>2879</v>
      </c>
      <c r="KVW1335" s="4" t="s">
        <v>2879</v>
      </c>
      <c r="KVX1335" s="4" t="s">
        <v>2879</v>
      </c>
      <c r="KVY1335" s="4" t="s">
        <v>2879</v>
      </c>
      <c r="KVZ1335" s="4" t="s">
        <v>2879</v>
      </c>
      <c r="KWA1335" s="4" t="s">
        <v>2879</v>
      </c>
      <c r="KWB1335" s="4" t="s">
        <v>2879</v>
      </c>
      <c r="KWC1335" s="4" t="s">
        <v>2879</v>
      </c>
      <c r="KWD1335" s="4" t="s">
        <v>2879</v>
      </c>
      <c r="KWE1335" s="4" t="s">
        <v>2879</v>
      </c>
      <c r="KWF1335" s="4" t="s">
        <v>2879</v>
      </c>
      <c r="KWG1335" s="4" t="s">
        <v>2879</v>
      </c>
      <c r="KWH1335" s="4" t="s">
        <v>2879</v>
      </c>
      <c r="KWI1335" s="4" t="s">
        <v>2879</v>
      </c>
      <c r="KWJ1335" s="4" t="s">
        <v>2879</v>
      </c>
      <c r="KWK1335" s="4" t="s">
        <v>2879</v>
      </c>
      <c r="KWL1335" s="4" t="s">
        <v>2879</v>
      </c>
      <c r="KWM1335" s="4" t="s">
        <v>2879</v>
      </c>
      <c r="KWN1335" s="4" t="s">
        <v>2879</v>
      </c>
      <c r="KWO1335" s="4" t="s">
        <v>2879</v>
      </c>
      <c r="KWP1335" s="4" t="s">
        <v>2879</v>
      </c>
      <c r="KWQ1335" s="4" t="s">
        <v>2879</v>
      </c>
      <c r="KWR1335" s="4" t="s">
        <v>2879</v>
      </c>
      <c r="KWS1335" s="4" t="s">
        <v>2879</v>
      </c>
      <c r="KWT1335" s="4" t="s">
        <v>2879</v>
      </c>
      <c r="KWU1335" s="4" t="s">
        <v>2879</v>
      </c>
      <c r="KWV1335" s="4" t="s">
        <v>2879</v>
      </c>
      <c r="KWW1335" s="4" t="s">
        <v>2879</v>
      </c>
      <c r="KWX1335" s="4" t="s">
        <v>2879</v>
      </c>
      <c r="KWY1335" s="4" t="s">
        <v>2879</v>
      </c>
      <c r="KWZ1335" s="4" t="s">
        <v>2879</v>
      </c>
      <c r="KXA1335" s="4" t="s">
        <v>2879</v>
      </c>
      <c r="KXB1335" s="4" t="s">
        <v>2879</v>
      </c>
      <c r="KXC1335" s="4" t="s">
        <v>2879</v>
      </c>
      <c r="KXD1335" s="4" t="s">
        <v>2879</v>
      </c>
      <c r="KXE1335" s="4" t="s">
        <v>2879</v>
      </c>
      <c r="KXF1335" s="4" t="s">
        <v>2879</v>
      </c>
      <c r="KXG1335" s="4" t="s">
        <v>2879</v>
      </c>
      <c r="KXH1335" s="4" t="s">
        <v>2879</v>
      </c>
      <c r="KXI1335" s="4" t="s">
        <v>2879</v>
      </c>
      <c r="KXJ1335" s="4" t="s">
        <v>2879</v>
      </c>
      <c r="KXK1335" s="4" t="s">
        <v>2879</v>
      </c>
      <c r="KXL1335" s="4" t="s">
        <v>2879</v>
      </c>
      <c r="KXM1335" s="4" t="s">
        <v>2879</v>
      </c>
      <c r="KXN1335" s="4" t="s">
        <v>2879</v>
      </c>
      <c r="KXO1335" s="4" t="s">
        <v>2879</v>
      </c>
      <c r="KXP1335" s="4" t="s">
        <v>2879</v>
      </c>
      <c r="KXQ1335" s="4" t="s">
        <v>2879</v>
      </c>
      <c r="KXR1335" s="4" t="s">
        <v>2879</v>
      </c>
      <c r="KXS1335" s="4" t="s">
        <v>2879</v>
      </c>
      <c r="KXT1335" s="4" t="s">
        <v>2879</v>
      </c>
      <c r="KXU1335" s="4" t="s">
        <v>2879</v>
      </c>
      <c r="KXV1335" s="4" t="s">
        <v>2879</v>
      </c>
      <c r="KXW1335" s="4" t="s">
        <v>2879</v>
      </c>
      <c r="KXX1335" s="4" t="s">
        <v>2879</v>
      </c>
      <c r="KXY1335" s="4" t="s">
        <v>2879</v>
      </c>
      <c r="KXZ1335" s="4" t="s">
        <v>2879</v>
      </c>
      <c r="KYA1335" s="4" t="s">
        <v>2879</v>
      </c>
      <c r="KYB1335" s="4" t="s">
        <v>2879</v>
      </c>
      <c r="KYC1335" s="4" t="s">
        <v>2879</v>
      </c>
      <c r="KYD1335" s="4" t="s">
        <v>2879</v>
      </c>
      <c r="KYE1335" s="4" t="s">
        <v>2879</v>
      </c>
      <c r="KYF1335" s="4" t="s">
        <v>2879</v>
      </c>
      <c r="KYG1335" s="4" t="s">
        <v>2879</v>
      </c>
      <c r="KYH1335" s="4" t="s">
        <v>2879</v>
      </c>
      <c r="KYI1335" s="4" t="s">
        <v>2879</v>
      </c>
      <c r="KYJ1335" s="4" t="s">
        <v>2879</v>
      </c>
      <c r="KYK1335" s="4" t="s">
        <v>2879</v>
      </c>
      <c r="KYL1335" s="4" t="s">
        <v>2879</v>
      </c>
      <c r="KYM1335" s="4" t="s">
        <v>2879</v>
      </c>
      <c r="KYN1335" s="4" t="s">
        <v>2879</v>
      </c>
      <c r="KYO1335" s="4" t="s">
        <v>2879</v>
      </c>
      <c r="KYP1335" s="4" t="s">
        <v>2879</v>
      </c>
      <c r="KYQ1335" s="4" t="s">
        <v>2879</v>
      </c>
      <c r="KYR1335" s="4" t="s">
        <v>2879</v>
      </c>
      <c r="KYS1335" s="4" t="s">
        <v>2879</v>
      </c>
      <c r="KYT1335" s="4" t="s">
        <v>2879</v>
      </c>
      <c r="KYU1335" s="4" t="s">
        <v>2879</v>
      </c>
      <c r="KYV1335" s="4" t="s">
        <v>2879</v>
      </c>
      <c r="KYW1335" s="4" t="s">
        <v>2879</v>
      </c>
      <c r="KYX1335" s="4" t="s">
        <v>2879</v>
      </c>
      <c r="KYY1335" s="4" t="s">
        <v>2879</v>
      </c>
      <c r="KYZ1335" s="4" t="s">
        <v>2879</v>
      </c>
      <c r="KZA1335" s="4" t="s">
        <v>2879</v>
      </c>
      <c r="KZB1335" s="4" t="s">
        <v>2879</v>
      </c>
      <c r="KZC1335" s="4" t="s">
        <v>2879</v>
      </c>
      <c r="KZD1335" s="4" t="s">
        <v>2879</v>
      </c>
      <c r="KZE1335" s="4" t="s">
        <v>2879</v>
      </c>
      <c r="KZF1335" s="4" t="s">
        <v>2879</v>
      </c>
      <c r="KZG1335" s="4" t="s">
        <v>2879</v>
      </c>
      <c r="KZH1335" s="4" t="s">
        <v>2879</v>
      </c>
      <c r="KZI1335" s="4" t="s">
        <v>2879</v>
      </c>
      <c r="KZJ1335" s="4" t="s">
        <v>2879</v>
      </c>
      <c r="KZK1335" s="4" t="s">
        <v>2879</v>
      </c>
      <c r="KZL1335" s="4" t="s">
        <v>2879</v>
      </c>
      <c r="KZM1335" s="4" t="s">
        <v>2879</v>
      </c>
      <c r="KZN1335" s="4" t="s">
        <v>2879</v>
      </c>
      <c r="KZO1335" s="4" t="s">
        <v>2879</v>
      </c>
      <c r="KZP1335" s="4" t="s">
        <v>2879</v>
      </c>
      <c r="KZQ1335" s="4" t="s">
        <v>2879</v>
      </c>
      <c r="KZR1335" s="4" t="s">
        <v>2879</v>
      </c>
      <c r="KZS1335" s="4" t="s">
        <v>2879</v>
      </c>
      <c r="KZT1335" s="4" t="s">
        <v>2879</v>
      </c>
      <c r="KZU1335" s="4" t="s">
        <v>2879</v>
      </c>
      <c r="KZV1335" s="4" t="s">
        <v>2879</v>
      </c>
      <c r="KZW1335" s="4" t="s">
        <v>2879</v>
      </c>
      <c r="KZX1335" s="4" t="s">
        <v>2879</v>
      </c>
      <c r="KZY1335" s="4" t="s">
        <v>2879</v>
      </c>
      <c r="KZZ1335" s="4" t="s">
        <v>2879</v>
      </c>
      <c r="LAA1335" s="4" t="s">
        <v>2879</v>
      </c>
      <c r="LAB1335" s="4" t="s">
        <v>2879</v>
      </c>
      <c r="LAC1335" s="4" t="s">
        <v>2879</v>
      </c>
      <c r="LAD1335" s="4" t="s">
        <v>2879</v>
      </c>
      <c r="LAE1335" s="4" t="s">
        <v>2879</v>
      </c>
      <c r="LAF1335" s="4" t="s">
        <v>2879</v>
      </c>
      <c r="LAG1335" s="4" t="s">
        <v>2879</v>
      </c>
      <c r="LAH1335" s="4" t="s">
        <v>2879</v>
      </c>
      <c r="LAI1335" s="4" t="s">
        <v>2879</v>
      </c>
      <c r="LAJ1335" s="4" t="s">
        <v>2879</v>
      </c>
      <c r="LAK1335" s="4" t="s">
        <v>2879</v>
      </c>
      <c r="LAL1335" s="4" t="s">
        <v>2879</v>
      </c>
      <c r="LAM1335" s="4" t="s">
        <v>2879</v>
      </c>
      <c r="LAN1335" s="4" t="s">
        <v>2879</v>
      </c>
      <c r="LAO1335" s="4" t="s">
        <v>2879</v>
      </c>
      <c r="LAP1335" s="4" t="s">
        <v>2879</v>
      </c>
      <c r="LAQ1335" s="4" t="s">
        <v>2879</v>
      </c>
      <c r="LAR1335" s="4" t="s">
        <v>2879</v>
      </c>
      <c r="LAS1335" s="4" t="s">
        <v>2879</v>
      </c>
      <c r="LAT1335" s="4" t="s">
        <v>2879</v>
      </c>
      <c r="LAU1335" s="4" t="s">
        <v>2879</v>
      </c>
      <c r="LAV1335" s="4" t="s">
        <v>2879</v>
      </c>
      <c r="LAW1335" s="4" t="s">
        <v>2879</v>
      </c>
      <c r="LAX1335" s="4" t="s">
        <v>2879</v>
      </c>
      <c r="LAY1335" s="4" t="s">
        <v>2879</v>
      </c>
      <c r="LAZ1335" s="4" t="s">
        <v>2879</v>
      </c>
      <c r="LBA1335" s="4" t="s">
        <v>2879</v>
      </c>
      <c r="LBB1335" s="4" t="s">
        <v>2879</v>
      </c>
      <c r="LBC1335" s="4" t="s">
        <v>2879</v>
      </c>
      <c r="LBD1335" s="4" t="s">
        <v>2879</v>
      </c>
      <c r="LBE1335" s="4" t="s">
        <v>2879</v>
      </c>
      <c r="LBF1335" s="4" t="s">
        <v>2879</v>
      </c>
      <c r="LBG1335" s="4" t="s">
        <v>2879</v>
      </c>
      <c r="LBH1335" s="4" t="s">
        <v>2879</v>
      </c>
      <c r="LBI1335" s="4" t="s">
        <v>2879</v>
      </c>
      <c r="LBJ1335" s="4" t="s">
        <v>2879</v>
      </c>
      <c r="LBK1335" s="4" t="s">
        <v>2879</v>
      </c>
      <c r="LBL1335" s="4" t="s">
        <v>2879</v>
      </c>
      <c r="LBM1335" s="4" t="s">
        <v>2879</v>
      </c>
      <c r="LBN1335" s="4" t="s">
        <v>2879</v>
      </c>
      <c r="LBO1335" s="4" t="s">
        <v>2879</v>
      </c>
      <c r="LBP1335" s="4" t="s">
        <v>2879</v>
      </c>
      <c r="LBQ1335" s="4" t="s">
        <v>2879</v>
      </c>
      <c r="LBR1335" s="4" t="s">
        <v>2879</v>
      </c>
      <c r="LBS1335" s="4" t="s">
        <v>2879</v>
      </c>
      <c r="LBT1335" s="4" t="s">
        <v>2879</v>
      </c>
      <c r="LBU1335" s="4" t="s">
        <v>2879</v>
      </c>
      <c r="LBV1335" s="4" t="s">
        <v>2879</v>
      </c>
      <c r="LBW1335" s="4" t="s">
        <v>2879</v>
      </c>
      <c r="LBX1335" s="4" t="s">
        <v>2879</v>
      </c>
      <c r="LBY1335" s="4" t="s">
        <v>2879</v>
      </c>
      <c r="LBZ1335" s="4" t="s">
        <v>2879</v>
      </c>
      <c r="LCA1335" s="4" t="s">
        <v>2879</v>
      </c>
      <c r="LCB1335" s="4" t="s">
        <v>2879</v>
      </c>
      <c r="LCC1335" s="4" t="s">
        <v>2879</v>
      </c>
      <c r="LCD1335" s="4" t="s">
        <v>2879</v>
      </c>
      <c r="LCE1335" s="4" t="s">
        <v>2879</v>
      </c>
      <c r="LCF1335" s="4" t="s">
        <v>2879</v>
      </c>
      <c r="LCG1335" s="4" t="s">
        <v>2879</v>
      </c>
      <c r="LCH1335" s="4" t="s">
        <v>2879</v>
      </c>
      <c r="LCI1335" s="4" t="s">
        <v>2879</v>
      </c>
      <c r="LCJ1335" s="4" t="s">
        <v>2879</v>
      </c>
      <c r="LCK1335" s="4" t="s">
        <v>2879</v>
      </c>
      <c r="LCL1335" s="4" t="s">
        <v>2879</v>
      </c>
      <c r="LCM1335" s="4" t="s">
        <v>2879</v>
      </c>
      <c r="LCN1335" s="4" t="s">
        <v>2879</v>
      </c>
      <c r="LCO1335" s="4" t="s">
        <v>2879</v>
      </c>
      <c r="LCP1335" s="4" t="s">
        <v>2879</v>
      </c>
      <c r="LCQ1335" s="4" t="s">
        <v>2879</v>
      </c>
      <c r="LCR1335" s="4" t="s">
        <v>2879</v>
      </c>
      <c r="LCS1335" s="4" t="s">
        <v>2879</v>
      </c>
      <c r="LCT1335" s="4" t="s">
        <v>2879</v>
      </c>
      <c r="LCU1335" s="4" t="s">
        <v>2879</v>
      </c>
      <c r="LCV1335" s="4" t="s">
        <v>2879</v>
      </c>
      <c r="LCW1335" s="4" t="s">
        <v>2879</v>
      </c>
      <c r="LCX1335" s="4" t="s">
        <v>2879</v>
      </c>
      <c r="LCY1335" s="4" t="s">
        <v>2879</v>
      </c>
      <c r="LCZ1335" s="4" t="s">
        <v>2879</v>
      </c>
      <c r="LDA1335" s="4" t="s">
        <v>2879</v>
      </c>
      <c r="LDB1335" s="4" t="s">
        <v>2879</v>
      </c>
      <c r="LDC1335" s="4" t="s">
        <v>2879</v>
      </c>
      <c r="LDD1335" s="4" t="s">
        <v>2879</v>
      </c>
      <c r="LDE1335" s="4" t="s">
        <v>2879</v>
      </c>
      <c r="LDF1335" s="4" t="s">
        <v>2879</v>
      </c>
      <c r="LDG1335" s="4" t="s">
        <v>2879</v>
      </c>
      <c r="LDH1335" s="4" t="s">
        <v>2879</v>
      </c>
      <c r="LDI1335" s="4" t="s">
        <v>2879</v>
      </c>
      <c r="LDJ1335" s="4" t="s">
        <v>2879</v>
      </c>
      <c r="LDK1335" s="4" t="s">
        <v>2879</v>
      </c>
      <c r="LDL1335" s="4" t="s">
        <v>2879</v>
      </c>
      <c r="LDM1335" s="4" t="s">
        <v>2879</v>
      </c>
      <c r="LDN1335" s="4" t="s">
        <v>2879</v>
      </c>
      <c r="LDO1335" s="4" t="s">
        <v>2879</v>
      </c>
      <c r="LDP1335" s="4" t="s">
        <v>2879</v>
      </c>
      <c r="LDQ1335" s="4" t="s">
        <v>2879</v>
      </c>
      <c r="LDR1335" s="4" t="s">
        <v>2879</v>
      </c>
      <c r="LDS1335" s="4" t="s">
        <v>2879</v>
      </c>
      <c r="LDT1335" s="4" t="s">
        <v>2879</v>
      </c>
      <c r="LDU1335" s="4" t="s">
        <v>2879</v>
      </c>
      <c r="LDV1335" s="4" t="s">
        <v>2879</v>
      </c>
      <c r="LDW1335" s="4" t="s">
        <v>2879</v>
      </c>
      <c r="LDX1335" s="4" t="s">
        <v>2879</v>
      </c>
      <c r="LDY1335" s="4" t="s">
        <v>2879</v>
      </c>
      <c r="LDZ1335" s="4" t="s">
        <v>2879</v>
      </c>
      <c r="LEA1335" s="4" t="s">
        <v>2879</v>
      </c>
      <c r="LEB1335" s="4" t="s">
        <v>2879</v>
      </c>
      <c r="LEC1335" s="4" t="s">
        <v>2879</v>
      </c>
      <c r="LED1335" s="4" t="s">
        <v>2879</v>
      </c>
      <c r="LEE1335" s="4" t="s">
        <v>2879</v>
      </c>
      <c r="LEF1335" s="4" t="s">
        <v>2879</v>
      </c>
      <c r="LEG1335" s="4" t="s">
        <v>2879</v>
      </c>
      <c r="LEH1335" s="4" t="s">
        <v>2879</v>
      </c>
      <c r="LEI1335" s="4" t="s">
        <v>2879</v>
      </c>
      <c r="LEJ1335" s="4" t="s">
        <v>2879</v>
      </c>
      <c r="LEK1335" s="4" t="s">
        <v>2879</v>
      </c>
      <c r="LEL1335" s="4" t="s">
        <v>2879</v>
      </c>
      <c r="LEM1335" s="4" t="s">
        <v>2879</v>
      </c>
      <c r="LEN1335" s="4" t="s">
        <v>2879</v>
      </c>
      <c r="LEO1335" s="4" t="s">
        <v>2879</v>
      </c>
      <c r="LEP1335" s="4" t="s">
        <v>2879</v>
      </c>
      <c r="LEQ1335" s="4" t="s">
        <v>2879</v>
      </c>
      <c r="LER1335" s="4" t="s">
        <v>2879</v>
      </c>
      <c r="LES1335" s="4" t="s">
        <v>2879</v>
      </c>
      <c r="LET1335" s="4" t="s">
        <v>2879</v>
      </c>
      <c r="LEU1335" s="4" t="s">
        <v>2879</v>
      </c>
      <c r="LEV1335" s="4" t="s">
        <v>2879</v>
      </c>
      <c r="LEW1335" s="4" t="s">
        <v>2879</v>
      </c>
      <c r="LEX1335" s="4" t="s">
        <v>2879</v>
      </c>
      <c r="LEY1335" s="4" t="s">
        <v>2879</v>
      </c>
      <c r="LEZ1335" s="4" t="s">
        <v>2879</v>
      </c>
      <c r="LFA1335" s="4" t="s">
        <v>2879</v>
      </c>
      <c r="LFB1335" s="4" t="s">
        <v>2879</v>
      </c>
      <c r="LFC1335" s="4" t="s">
        <v>2879</v>
      </c>
      <c r="LFD1335" s="4" t="s">
        <v>2879</v>
      </c>
      <c r="LFE1335" s="4" t="s">
        <v>2879</v>
      </c>
      <c r="LFF1335" s="4" t="s">
        <v>2879</v>
      </c>
      <c r="LFG1335" s="4" t="s">
        <v>2879</v>
      </c>
      <c r="LFH1335" s="4" t="s">
        <v>2879</v>
      </c>
      <c r="LFI1335" s="4" t="s">
        <v>2879</v>
      </c>
      <c r="LFJ1335" s="4" t="s">
        <v>2879</v>
      </c>
      <c r="LFK1335" s="4" t="s">
        <v>2879</v>
      </c>
      <c r="LFL1335" s="4" t="s">
        <v>2879</v>
      </c>
      <c r="LFM1335" s="4" t="s">
        <v>2879</v>
      </c>
      <c r="LFN1335" s="4" t="s">
        <v>2879</v>
      </c>
      <c r="LFO1335" s="4" t="s">
        <v>2879</v>
      </c>
      <c r="LFP1335" s="4" t="s">
        <v>2879</v>
      </c>
      <c r="LFQ1335" s="4" t="s">
        <v>2879</v>
      </c>
      <c r="LFR1335" s="4" t="s">
        <v>2879</v>
      </c>
      <c r="LFS1335" s="4" t="s">
        <v>2879</v>
      </c>
      <c r="LFT1335" s="4" t="s">
        <v>2879</v>
      </c>
      <c r="LFU1335" s="4" t="s">
        <v>2879</v>
      </c>
      <c r="LFV1335" s="4" t="s">
        <v>2879</v>
      </c>
      <c r="LFW1335" s="4" t="s">
        <v>2879</v>
      </c>
      <c r="LFX1335" s="4" t="s">
        <v>2879</v>
      </c>
      <c r="LFY1335" s="4" t="s">
        <v>2879</v>
      </c>
      <c r="LFZ1335" s="4" t="s">
        <v>2879</v>
      </c>
      <c r="LGA1335" s="4" t="s">
        <v>2879</v>
      </c>
      <c r="LGB1335" s="4" t="s">
        <v>2879</v>
      </c>
      <c r="LGC1335" s="4" t="s">
        <v>2879</v>
      </c>
      <c r="LGD1335" s="4" t="s">
        <v>2879</v>
      </c>
      <c r="LGE1335" s="4" t="s">
        <v>2879</v>
      </c>
      <c r="LGF1335" s="4" t="s">
        <v>2879</v>
      </c>
      <c r="LGG1335" s="4" t="s">
        <v>2879</v>
      </c>
      <c r="LGH1335" s="4" t="s">
        <v>2879</v>
      </c>
      <c r="LGI1335" s="4" t="s">
        <v>2879</v>
      </c>
      <c r="LGJ1335" s="4" t="s">
        <v>2879</v>
      </c>
      <c r="LGK1335" s="4" t="s">
        <v>2879</v>
      </c>
      <c r="LGL1335" s="4" t="s">
        <v>2879</v>
      </c>
      <c r="LGM1335" s="4" t="s">
        <v>2879</v>
      </c>
      <c r="LGN1335" s="4" t="s">
        <v>2879</v>
      </c>
      <c r="LGO1335" s="4" t="s">
        <v>2879</v>
      </c>
      <c r="LGP1335" s="4" t="s">
        <v>2879</v>
      </c>
      <c r="LGQ1335" s="4" t="s">
        <v>2879</v>
      </c>
      <c r="LGR1335" s="4" t="s">
        <v>2879</v>
      </c>
      <c r="LGS1335" s="4" t="s">
        <v>2879</v>
      </c>
      <c r="LGT1335" s="4" t="s">
        <v>2879</v>
      </c>
      <c r="LGU1335" s="4" t="s">
        <v>2879</v>
      </c>
      <c r="LGV1335" s="4" t="s">
        <v>2879</v>
      </c>
      <c r="LGW1335" s="4" t="s">
        <v>2879</v>
      </c>
      <c r="LGX1335" s="4" t="s">
        <v>2879</v>
      </c>
      <c r="LGY1335" s="4" t="s">
        <v>2879</v>
      </c>
      <c r="LGZ1335" s="4" t="s">
        <v>2879</v>
      </c>
      <c r="LHA1335" s="4" t="s">
        <v>2879</v>
      </c>
      <c r="LHB1335" s="4" t="s">
        <v>2879</v>
      </c>
      <c r="LHC1335" s="4" t="s">
        <v>2879</v>
      </c>
      <c r="LHD1335" s="4" t="s">
        <v>2879</v>
      </c>
      <c r="LHE1335" s="4" t="s">
        <v>2879</v>
      </c>
      <c r="LHF1335" s="4" t="s">
        <v>2879</v>
      </c>
      <c r="LHG1335" s="4" t="s">
        <v>2879</v>
      </c>
      <c r="LHH1335" s="4" t="s">
        <v>2879</v>
      </c>
      <c r="LHI1335" s="4" t="s">
        <v>2879</v>
      </c>
      <c r="LHJ1335" s="4" t="s">
        <v>2879</v>
      </c>
      <c r="LHK1335" s="4" t="s">
        <v>2879</v>
      </c>
      <c r="LHL1335" s="4" t="s">
        <v>2879</v>
      </c>
      <c r="LHM1335" s="4" t="s">
        <v>2879</v>
      </c>
      <c r="LHN1335" s="4" t="s">
        <v>2879</v>
      </c>
      <c r="LHO1335" s="4" t="s">
        <v>2879</v>
      </c>
      <c r="LHP1335" s="4" t="s">
        <v>2879</v>
      </c>
      <c r="LHQ1335" s="4" t="s">
        <v>2879</v>
      </c>
      <c r="LHR1335" s="4" t="s">
        <v>2879</v>
      </c>
      <c r="LHS1335" s="4" t="s">
        <v>2879</v>
      </c>
      <c r="LHT1335" s="4" t="s">
        <v>2879</v>
      </c>
      <c r="LHU1335" s="4" t="s">
        <v>2879</v>
      </c>
      <c r="LHV1335" s="4" t="s">
        <v>2879</v>
      </c>
      <c r="LHW1335" s="4" t="s">
        <v>2879</v>
      </c>
      <c r="LHX1335" s="4" t="s">
        <v>2879</v>
      </c>
      <c r="LHY1335" s="4" t="s">
        <v>2879</v>
      </c>
      <c r="LHZ1335" s="4" t="s">
        <v>2879</v>
      </c>
      <c r="LIA1335" s="4" t="s">
        <v>2879</v>
      </c>
      <c r="LIB1335" s="4" t="s">
        <v>2879</v>
      </c>
      <c r="LIC1335" s="4" t="s">
        <v>2879</v>
      </c>
      <c r="LID1335" s="4" t="s">
        <v>2879</v>
      </c>
      <c r="LIE1335" s="4" t="s">
        <v>2879</v>
      </c>
      <c r="LIF1335" s="4" t="s">
        <v>2879</v>
      </c>
      <c r="LIG1335" s="4" t="s">
        <v>2879</v>
      </c>
      <c r="LIH1335" s="4" t="s">
        <v>2879</v>
      </c>
      <c r="LII1335" s="4" t="s">
        <v>2879</v>
      </c>
      <c r="LIJ1335" s="4" t="s">
        <v>2879</v>
      </c>
      <c r="LIK1335" s="4" t="s">
        <v>2879</v>
      </c>
      <c r="LIL1335" s="4" t="s">
        <v>2879</v>
      </c>
      <c r="LIM1335" s="4" t="s">
        <v>2879</v>
      </c>
      <c r="LIN1335" s="4" t="s">
        <v>2879</v>
      </c>
      <c r="LIO1335" s="4" t="s">
        <v>2879</v>
      </c>
      <c r="LIP1335" s="4" t="s">
        <v>2879</v>
      </c>
      <c r="LIQ1335" s="4" t="s">
        <v>2879</v>
      </c>
      <c r="LIR1335" s="4" t="s">
        <v>2879</v>
      </c>
      <c r="LIS1335" s="4" t="s">
        <v>2879</v>
      </c>
      <c r="LIT1335" s="4" t="s">
        <v>2879</v>
      </c>
      <c r="LIU1335" s="4" t="s">
        <v>2879</v>
      </c>
      <c r="LIV1335" s="4" t="s">
        <v>2879</v>
      </c>
      <c r="LIW1335" s="4" t="s">
        <v>2879</v>
      </c>
      <c r="LIX1335" s="4" t="s">
        <v>2879</v>
      </c>
      <c r="LIY1335" s="4" t="s">
        <v>2879</v>
      </c>
      <c r="LIZ1335" s="4" t="s">
        <v>2879</v>
      </c>
      <c r="LJA1335" s="4" t="s">
        <v>2879</v>
      </c>
      <c r="LJB1335" s="4" t="s">
        <v>2879</v>
      </c>
      <c r="LJC1335" s="4" t="s">
        <v>2879</v>
      </c>
      <c r="LJD1335" s="4" t="s">
        <v>2879</v>
      </c>
      <c r="LJE1335" s="4" t="s">
        <v>2879</v>
      </c>
      <c r="LJF1335" s="4" t="s">
        <v>2879</v>
      </c>
      <c r="LJG1335" s="4" t="s">
        <v>2879</v>
      </c>
      <c r="LJH1335" s="4" t="s">
        <v>2879</v>
      </c>
      <c r="LJI1335" s="4" t="s">
        <v>2879</v>
      </c>
      <c r="LJJ1335" s="4" t="s">
        <v>2879</v>
      </c>
      <c r="LJK1335" s="4" t="s">
        <v>2879</v>
      </c>
      <c r="LJL1335" s="4" t="s">
        <v>2879</v>
      </c>
      <c r="LJM1335" s="4" t="s">
        <v>2879</v>
      </c>
      <c r="LJN1335" s="4" t="s">
        <v>2879</v>
      </c>
      <c r="LJO1335" s="4" t="s">
        <v>2879</v>
      </c>
      <c r="LJP1335" s="4" t="s">
        <v>2879</v>
      </c>
      <c r="LJQ1335" s="4" t="s">
        <v>2879</v>
      </c>
      <c r="LJR1335" s="4" t="s">
        <v>2879</v>
      </c>
      <c r="LJS1335" s="4" t="s">
        <v>2879</v>
      </c>
      <c r="LJT1335" s="4" t="s">
        <v>2879</v>
      </c>
      <c r="LJU1335" s="4" t="s">
        <v>2879</v>
      </c>
      <c r="LJV1335" s="4" t="s">
        <v>2879</v>
      </c>
      <c r="LJW1335" s="4" t="s">
        <v>2879</v>
      </c>
      <c r="LJX1335" s="4" t="s">
        <v>2879</v>
      </c>
      <c r="LJY1335" s="4" t="s">
        <v>2879</v>
      </c>
      <c r="LJZ1335" s="4" t="s">
        <v>2879</v>
      </c>
      <c r="LKA1335" s="4" t="s">
        <v>2879</v>
      </c>
      <c r="LKB1335" s="4" t="s">
        <v>2879</v>
      </c>
      <c r="LKC1335" s="4" t="s">
        <v>2879</v>
      </c>
      <c r="LKD1335" s="4" t="s">
        <v>2879</v>
      </c>
      <c r="LKE1335" s="4" t="s">
        <v>2879</v>
      </c>
      <c r="LKF1335" s="4" t="s">
        <v>2879</v>
      </c>
      <c r="LKG1335" s="4" t="s">
        <v>2879</v>
      </c>
      <c r="LKH1335" s="4" t="s">
        <v>2879</v>
      </c>
      <c r="LKI1335" s="4" t="s">
        <v>2879</v>
      </c>
      <c r="LKJ1335" s="4" t="s">
        <v>2879</v>
      </c>
      <c r="LKK1335" s="4" t="s">
        <v>2879</v>
      </c>
      <c r="LKL1335" s="4" t="s">
        <v>2879</v>
      </c>
      <c r="LKM1335" s="4" t="s">
        <v>2879</v>
      </c>
      <c r="LKN1335" s="4" t="s">
        <v>2879</v>
      </c>
      <c r="LKO1335" s="4" t="s">
        <v>2879</v>
      </c>
      <c r="LKP1335" s="4" t="s">
        <v>2879</v>
      </c>
      <c r="LKQ1335" s="4" t="s">
        <v>2879</v>
      </c>
      <c r="LKR1335" s="4" t="s">
        <v>2879</v>
      </c>
      <c r="LKS1335" s="4" t="s">
        <v>2879</v>
      </c>
      <c r="LKT1335" s="4" t="s">
        <v>2879</v>
      </c>
      <c r="LKU1335" s="4" t="s">
        <v>2879</v>
      </c>
      <c r="LKV1335" s="4" t="s">
        <v>2879</v>
      </c>
      <c r="LKW1335" s="4" t="s">
        <v>2879</v>
      </c>
      <c r="LKX1335" s="4" t="s">
        <v>2879</v>
      </c>
      <c r="LKY1335" s="4" t="s">
        <v>2879</v>
      </c>
      <c r="LKZ1335" s="4" t="s">
        <v>2879</v>
      </c>
      <c r="LLA1335" s="4" t="s">
        <v>2879</v>
      </c>
      <c r="LLB1335" s="4" t="s">
        <v>2879</v>
      </c>
      <c r="LLC1335" s="4" t="s">
        <v>2879</v>
      </c>
      <c r="LLD1335" s="4" t="s">
        <v>2879</v>
      </c>
      <c r="LLE1335" s="4" t="s">
        <v>2879</v>
      </c>
      <c r="LLF1335" s="4" t="s">
        <v>2879</v>
      </c>
      <c r="LLG1335" s="4" t="s">
        <v>2879</v>
      </c>
      <c r="LLH1335" s="4" t="s">
        <v>2879</v>
      </c>
      <c r="LLI1335" s="4" t="s">
        <v>2879</v>
      </c>
      <c r="LLJ1335" s="4" t="s">
        <v>2879</v>
      </c>
      <c r="LLK1335" s="4" t="s">
        <v>2879</v>
      </c>
      <c r="LLL1335" s="4" t="s">
        <v>2879</v>
      </c>
      <c r="LLM1335" s="4" t="s">
        <v>2879</v>
      </c>
      <c r="LLN1335" s="4" t="s">
        <v>2879</v>
      </c>
      <c r="LLO1335" s="4" t="s">
        <v>2879</v>
      </c>
      <c r="LLP1335" s="4" t="s">
        <v>2879</v>
      </c>
      <c r="LLQ1335" s="4" t="s">
        <v>2879</v>
      </c>
      <c r="LLR1335" s="4" t="s">
        <v>2879</v>
      </c>
      <c r="LLS1335" s="4" t="s">
        <v>2879</v>
      </c>
      <c r="LLT1335" s="4" t="s">
        <v>2879</v>
      </c>
      <c r="LLU1335" s="4" t="s">
        <v>2879</v>
      </c>
      <c r="LLV1335" s="4" t="s">
        <v>2879</v>
      </c>
      <c r="LLW1335" s="4" t="s">
        <v>2879</v>
      </c>
      <c r="LLX1335" s="4" t="s">
        <v>2879</v>
      </c>
      <c r="LLY1335" s="4" t="s">
        <v>2879</v>
      </c>
      <c r="LLZ1335" s="4" t="s">
        <v>2879</v>
      </c>
      <c r="LMA1335" s="4" t="s">
        <v>2879</v>
      </c>
      <c r="LMB1335" s="4" t="s">
        <v>2879</v>
      </c>
      <c r="LMC1335" s="4" t="s">
        <v>2879</v>
      </c>
      <c r="LMD1335" s="4" t="s">
        <v>2879</v>
      </c>
      <c r="LME1335" s="4" t="s">
        <v>2879</v>
      </c>
      <c r="LMF1335" s="4" t="s">
        <v>2879</v>
      </c>
      <c r="LMG1335" s="4" t="s">
        <v>2879</v>
      </c>
      <c r="LMH1335" s="4" t="s">
        <v>2879</v>
      </c>
      <c r="LMI1335" s="4" t="s">
        <v>2879</v>
      </c>
      <c r="LMJ1335" s="4" t="s">
        <v>2879</v>
      </c>
      <c r="LMK1335" s="4" t="s">
        <v>2879</v>
      </c>
      <c r="LML1335" s="4" t="s">
        <v>2879</v>
      </c>
      <c r="LMM1335" s="4" t="s">
        <v>2879</v>
      </c>
      <c r="LMN1335" s="4" t="s">
        <v>2879</v>
      </c>
      <c r="LMO1335" s="4" t="s">
        <v>2879</v>
      </c>
      <c r="LMP1335" s="4" t="s">
        <v>2879</v>
      </c>
      <c r="LMQ1335" s="4" t="s">
        <v>2879</v>
      </c>
      <c r="LMR1335" s="4" t="s">
        <v>2879</v>
      </c>
      <c r="LMS1335" s="4" t="s">
        <v>2879</v>
      </c>
      <c r="LMT1335" s="4" t="s">
        <v>2879</v>
      </c>
      <c r="LMU1335" s="4" t="s">
        <v>2879</v>
      </c>
      <c r="LMV1335" s="4" t="s">
        <v>2879</v>
      </c>
      <c r="LMW1335" s="4" t="s">
        <v>2879</v>
      </c>
      <c r="LMX1335" s="4" t="s">
        <v>2879</v>
      </c>
      <c r="LMY1335" s="4" t="s">
        <v>2879</v>
      </c>
      <c r="LMZ1335" s="4" t="s">
        <v>2879</v>
      </c>
      <c r="LNA1335" s="4" t="s">
        <v>2879</v>
      </c>
      <c r="LNB1335" s="4" t="s">
        <v>2879</v>
      </c>
      <c r="LNC1335" s="4" t="s">
        <v>2879</v>
      </c>
      <c r="LND1335" s="4" t="s">
        <v>2879</v>
      </c>
      <c r="LNE1335" s="4" t="s">
        <v>2879</v>
      </c>
      <c r="LNF1335" s="4" t="s">
        <v>2879</v>
      </c>
      <c r="LNG1335" s="4" t="s">
        <v>2879</v>
      </c>
      <c r="LNH1335" s="4" t="s">
        <v>2879</v>
      </c>
      <c r="LNI1335" s="4" t="s">
        <v>2879</v>
      </c>
      <c r="LNJ1335" s="4" t="s">
        <v>2879</v>
      </c>
      <c r="LNK1335" s="4" t="s">
        <v>2879</v>
      </c>
      <c r="LNL1335" s="4" t="s">
        <v>2879</v>
      </c>
      <c r="LNM1335" s="4" t="s">
        <v>2879</v>
      </c>
      <c r="LNN1335" s="4" t="s">
        <v>2879</v>
      </c>
      <c r="LNO1335" s="4" t="s">
        <v>2879</v>
      </c>
      <c r="LNP1335" s="4" t="s">
        <v>2879</v>
      </c>
      <c r="LNQ1335" s="4" t="s">
        <v>2879</v>
      </c>
      <c r="LNR1335" s="4" t="s">
        <v>2879</v>
      </c>
      <c r="LNS1335" s="4" t="s">
        <v>2879</v>
      </c>
      <c r="LNT1335" s="4" t="s">
        <v>2879</v>
      </c>
      <c r="LNU1335" s="4" t="s">
        <v>2879</v>
      </c>
      <c r="LNV1335" s="4" t="s">
        <v>2879</v>
      </c>
      <c r="LNW1335" s="4" t="s">
        <v>2879</v>
      </c>
      <c r="LNX1335" s="4" t="s">
        <v>2879</v>
      </c>
      <c r="LNY1335" s="4" t="s">
        <v>2879</v>
      </c>
      <c r="LNZ1335" s="4" t="s">
        <v>2879</v>
      </c>
      <c r="LOA1335" s="4" t="s">
        <v>2879</v>
      </c>
      <c r="LOB1335" s="4" t="s">
        <v>2879</v>
      </c>
      <c r="LOC1335" s="4" t="s">
        <v>2879</v>
      </c>
      <c r="LOD1335" s="4" t="s">
        <v>2879</v>
      </c>
      <c r="LOE1335" s="4" t="s">
        <v>2879</v>
      </c>
      <c r="LOF1335" s="4" t="s">
        <v>2879</v>
      </c>
      <c r="LOG1335" s="4" t="s">
        <v>2879</v>
      </c>
      <c r="LOH1335" s="4" t="s">
        <v>2879</v>
      </c>
      <c r="LOI1335" s="4" t="s">
        <v>2879</v>
      </c>
      <c r="LOJ1335" s="4" t="s">
        <v>2879</v>
      </c>
      <c r="LOK1335" s="4" t="s">
        <v>2879</v>
      </c>
      <c r="LOL1335" s="4" t="s">
        <v>2879</v>
      </c>
      <c r="LOM1335" s="4" t="s">
        <v>2879</v>
      </c>
      <c r="LON1335" s="4" t="s">
        <v>2879</v>
      </c>
      <c r="LOO1335" s="4" t="s">
        <v>2879</v>
      </c>
      <c r="LOP1335" s="4" t="s">
        <v>2879</v>
      </c>
      <c r="LOQ1335" s="4" t="s">
        <v>2879</v>
      </c>
      <c r="LOR1335" s="4" t="s">
        <v>2879</v>
      </c>
      <c r="LOS1335" s="4" t="s">
        <v>2879</v>
      </c>
      <c r="LOT1335" s="4" t="s">
        <v>2879</v>
      </c>
      <c r="LOU1335" s="4" t="s">
        <v>2879</v>
      </c>
      <c r="LOV1335" s="4" t="s">
        <v>2879</v>
      </c>
      <c r="LOW1335" s="4" t="s">
        <v>2879</v>
      </c>
      <c r="LOX1335" s="4" t="s">
        <v>2879</v>
      </c>
      <c r="LOY1335" s="4" t="s">
        <v>2879</v>
      </c>
      <c r="LOZ1335" s="4" t="s">
        <v>2879</v>
      </c>
      <c r="LPA1335" s="4" t="s">
        <v>2879</v>
      </c>
      <c r="LPB1335" s="4" t="s">
        <v>2879</v>
      </c>
      <c r="LPC1335" s="4" t="s">
        <v>2879</v>
      </c>
      <c r="LPD1335" s="4" t="s">
        <v>2879</v>
      </c>
      <c r="LPE1335" s="4" t="s">
        <v>2879</v>
      </c>
      <c r="LPF1335" s="4" t="s">
        <v>2879</v>
      </c>
      <c r="LPG1335" s="4" t="s">
        <v>2879</v>
      </c>
      <c r="LPH1335" s="4" t="s">
        <v>2879</v>
      </c>
      <c r="LPI1335" s="4" t="s">
        <v>2879</v>
      </c>
      <c r="LPJ1335" s="4" t="s">
        <v>2879</v>
      </c>
      <c r="LPK1335" s="4" t="s">
        <v>2879</v>
      </c>
      <c r="LPL1335" s="4" t="s">
        <v>2879</v>
      </c>
      <c r="LPM1335" s="4" t="s">
        <v>2879</v>
      </c>
      <c r="LPN1335" s="4" t="s">
        <v>2879</v>
      </c>
      <c r="LPO1335" s="4" t="s">
        <v>2879</v>
      </c>
      <c r="LPP1335" s="4" t="s">
        <v>2879</v>
      </c>
      <c r="LPQ1335" s="4" t="s">
        <v>2879</v>
      </c>
      <c r="LPR1335" s="4" t="s">
        <v>2879</v>
      </c>
      <c r="LPS1335" s="4" t="s">
        <v>2879</v>
      </c>
      <c r="LPT1335" s="4" t="s">
        <v>2879</v>
      </c>
      <c r="LPU1335" s="4" t="s">
        <v>2879</v>
      </c>
      <c r="LPV1335" s="4" t="s">
        <v>2879</v>
      </c>
      <c r="LPW1335" s="4" t="s">
        <v>2879</v>
      </c>
      <c r="LPX1335" s="4" t="s">
        <v>2879</v>
      </c>
      <c r="LPY1335" s="4" t="s">
        <v>2879</v>
      </c>
      <c r="LPZ1335" s="4" t="s">
        <v>2879</v>
      </c>
      <c r="LQA1335" s="4" t="s">
        <v>2879</v>
      </c>
      <c r="LQB1335" s="4" t="s">
        <v>2879</v>
      </c>
      <c r="LQC1335" s="4" t="s">
        <v>2879</v>
      </c>
      <c r="LQD1335" s="4" t="s">
        <v>2879</v>
      </c>
      <c r="LQE1335" s="4" t="s">
        <v>2879</v>
      </c>
      <c r="LQF1335" s="4" t="s">
        <v>2879</v>
      </c>
      <c r="LQG1335" s="4" t="s">
        <v>2879</v>
      </c>
      <c r="LQH1335" s="4" t="s">
        <v>2879</v>
      </c>
      <c r="LQI1335" s="4" t="s">
        <v>2879</v>
      </c>
      <c r="LQJ1335" s="4" t="s">
        <v>2879</v>
      </c>
      <c r="LQK1335" s="4" t="s">
        <v>2879</v>
      </c>
      <c r="LQL1335" s="4" t="s">
        <v>2879</v>
      </c>
      <c r="LQM1335" s="4" t="s">
        <v>2879</v>
      </c>
      <c r="LQN1335" s="4" t="s">
        <v>2879</v>
      </c>
      <c r="LQO1335" s="4" t="s">
        <v>2879</v>
      </c>
      <c r="LQP1335" s="4" t="s">
        <v>2879</v>
      </c>
      <c r="LQQ1335" s="4" t="s">
        <v>2879</v>
      </c>
      <c r="LQR1335" s="4" t="s">
        <v>2879</v>
      </c>
      <c r="LQS1335" s="4" t="s">
        <v>2879</v>
      </c>
      <c r="LQT1335" s="4" t="s">
        <v>2879</v>
      </c>
      <c r="LQU1335" s="4" t="s">
        <v>2879</v>
      </c>
      <c r="LQV1335" s="4" t="s">
        <v>2879</v>
      </c>
      <c r="LQW1335" s="4" t="s">
        <v>2879</v>
      </c>
      <c r="LQX1335" s="4" t="s">
        <v>2879</v>
      </c>
      <c r="LQY1335" s="4" t="s">
        <v>2879</v>
      </c>
      <c r="LQZ1335" s="4" t="s">
        <v>2879</v>
      </c>
      <c r="LRA1335" s="4" t="s">
        <v>2879</v>
      </c>
      <c r="LRB1335" s="4" t="s">
        <v>2879</v>
      </c>
      <c r="LRC1335" s="4" t="s">
        <v>2879</v>
      </c>
      <c r="LRD1335" s="4" t="s">
        <v>2879</v>
      </c>
      <c r="LRE1335" s="4" t="s">
        <v>2879</v>
      </c>
      <c r="LRF1335" s="4" t="s">
        <v>2879</v>
      </c>
      <c r="LRG1335" s="4" t="s">
        <v>2879</v>
      </c>
      <c r="LRH1335" s="4" t="s">
        <v>2879</v>
      </c>
      <c r="LRI1335" s="4" t="s">
        <v>2879</v>
      </c>
      <c r="LRJ1335" s="4" t="s">
        <v>2879</v>
      </c>
      <c r="LRK1335" s="4" t="s">
        <v>2879</v>
      </c>
      <c r="LRL1335" s="4" t="s">
        <v>2879</v>
      </c>
      <c r="LRM1335" s="4" t="s">
        <v>2879</v>
      </c>
      <c r="LRN1335" s="4" t="s">
        <v>2879</v>
      </c>
      <c r="LRO1335" s="4" t="s">
        <v>2879</v>
      </c>
      <c r="LRP1335" s="4" t="s">
        <v>2879</v>
      </c>
      <c r="LRQ1335" s="4" t="s">
        <v>2879</v>
      </c>
      <c r="LRR1335" s="4" t="s">
        <v>2879</v>
      </c>
      <c r="LRS1335" s="4" t="s">
        <v>2879</v>
      </c>
      <c r="LRT1335" s="4" t="s">
        <v>2879</v>
      </c>
      <c r="LRU1335" s="4" t="s">
        <v>2879</v>
      </c>
      <c r="LRV1335" s="4" t="s">
        <v>2879</v>
      </c>
      <c r="LRW1335" s="4" t="s">
        <v>2879</v>
      </c>
      <c r="LRX1335" s="4" t="s">
        <v>2879</v>
      </c>
      <c r="LRY1335" s="4" t="s">
        <v>2879</v>
      </c>
      <c r="LRZ1335" s="4" t="s">
        <v>2879</v>
      </c>
      <c r="LSA1335" s="4" t="s">
        <v>2879</v>
      </c>
      <c r="LSB1335" s="4" t="s">
        <v>2879</v>
      </c>
      <c r="LSC1335" s="4" t="s">
        <v>2879</v>
      </c>
      <c r="LSD1335" s="4" t="s">
        <v>2879</v>
      </c>
      <c r="LSE1335" s="4" t="s">
        <v>2879</v>
      </c>
      <c r="LSF1335" s="4" t="s">
        <v>2879</v>
      </c>
      <c r="LSG1335" s="4" t="s">
        <v>2879</v>
      </c>
      <c r="LSH1335" s="4" t="s">
        <v>2879</v>
      </c>
      <c r="LSI1335" s="4" t="s">
        <v>2879</v>
      </c>
      <c r="LSJ1335" s="4" t="s">
        <v>2879</v>
      </c>
      <c r="LSK1335" s="4" t="s">
        <v>2879</v>
      </c>
      <c r="LSL1335" s="4" t="s">
        <v>2879</v>
      </c>
      <c r="LSM1335" s="4" t="s">
        <v>2879</v>
      </c>
      <c r="LSN1335" s="4" t="s">
        <v>2879</v>
      </c>
      <c r="LSO1335" s="4" t="s">
        <v>2879</v>
      </c>
      <c r="LSP1335" s="4" t="s">
        <v>2879</v>
      </c>
      <c r="LSQ1335" s="4" t="s">
        <v>2879</v>
      </c>
      <c r="LSR1335" s="4" t="s">
        <v>2879</v>
      </c>
      <c r="LSS1335" s="4" t="s">
        <v>2879</v>
      </c>
      <c r="LST1335" s="4" t="s">
        <v>2879</v>
      </c>
      <c r="LSU1335" s="4" t="s">
        <v>2879</v>
      </c>
      <c r="LSV1335" s="4" t="s">
        <v>2879</v>
      </c>
      <c r="LSW1335" s="4" t="s">
        <v>2879</v>
      </c>
      <c r="LSX1335" s="4" t="s">
        <v>2879</v>
      </c>
      <c r="LSY1335" s="4" t="s">
        <v>2879</v>
      </c>
      <c r="LSZ1335" s="4" t="s">
        <v>2879</v>
      </c>
      <c r="LTA1335" s="4" t="s">
        <v>2879</v>
      </c>
      <c r="LTB1335" s="4" t="s">
        <v>2879</v>
      </c>
      <c r="LTC1335" s="4" t="s">
        <v>2879</v>
      </c>
      <c r="LTD1335" s="4" t="s">
        <v>2879</v>
      </c>
      <c r="LTE1335" s="4" t="s">
        <v>2879</v>
      </c>
      <c r="LTF1335" s="4" t="s">
        <v>2879</v>
      </c>
      <c r="LTG1335" s="4" t="s">
        <v>2879</v>
      </c>
      <c r="LTH1335" s="4" t="s">
        <v>2879</v>
      </c>
      <c r="LTI1335" s="4" t="s">
        <v>2879</v>
      </c>
      <c r="LTJ1335" s="4" t="s">
        <v>2879</v>
      </c>
      <c r="LTK1335" s="4" t="s">
        <v>2879</v>
      </c>
      <c r="LTL1335" s="4" t="s">
        <v>2879</v>
      </c>
      <c r="LTM1335" s="4" t="s">
        <v>2879</v>
      </c>
      <c r="LTN1335" s="4" t="s">
        <v>2879</v>
      </c>
      <c r="LTO1335" s="4" t="s">
        <v>2879</v>
      </c>
      <c r="LTP1335" s="4" t="s">
        <v>2879</v>
      </c>
      <c r="LTQ1335" s="4" t="s">
        <v>2879</v>
      </c>
      <c r="LTR1335" s="4" t="s">
        <v>2879</v>
      </c>
      <c r="LTS1335" s="4" t="s">
        <v>2879</v>
      </c>
      <c r="LTT1335" s="4" t="s">
        <v>2879</v>
      </c>
      <c r="LTU1335" s="4" t="s">
        <v>2879</v>
      </c>
      <c r="LTV1335" s="4" t="s">
        <v>2879</v>
      </c>
      <c r="LTW1335" s="4" t="s">
        <v>2879</v>
      </c>
      <c r="LTX1335" s="4" t="s">
        <v>2879</v>
      </c>
      <c r="LTY1335" s="4" t="s">
        <v>2879</v>
      </c>
      <c r="LTZ1335" s="4" t="s">
        <v>2879</v>
      </c>
      <c r="LUA1335" s="4" t="s">
        <v>2879</v>
      </c>
      <c r="LUB1335" s="4" t="s">
        <v>2879</v>
      </c>
      <c r="LUC1335" s="4" t="s">
        <v>2879</v>
      </c>
      <c r="LUD1335" s="4" t="s">
        <v>2879</v>
      </c>
      <c r="LUE1335" s="4" t="s">
        <v>2879</v>
      </c>
      <c r="LUF1335" s="4" t="s">
        <v>2879</v>
      </c>
      <c r="LUG1335" s="4" t="s">
        <v>2879</v>
      </c>
      <c r="LUH1335" s="4" t="s">
        <v>2879</v>
      </c>
      <c r="LUI1335" s="4" t="s">
        <v>2879</v>
      </c>
      <c r="LUJ1335" s="4" t="s">
        <v>2879</v>
      </c>
      <c r="LUK1335" s="4" t="s">
        <v>2879</v>
      </c>
      <c r="LUL1335" s="4" t="s">
        <v>2879</v>
      </c>
      <c r="LUM1335" s="4" t="s">
        <v>2879</v>
      </c>
      <c r="LUN1335" s="4" t="s">
        <v>2879</v>
      </c>
      <c r="LUO1335" s="4" t="s">
        <v>2879</v>
      </c>
      <c r="LUP1335" s="4" t="s">
        <v>2879</v>
      </c>
      <c r="LUQ1335" s="4" t="s">
        <v>2879</v>
      </c>
      <c r="LUR1335" s="4" t="s">
        <v>2879</v>
      </c>
      <c r="LUS1335" s="4" t="s">
        <v>2879</v>
      </c>
      <c r="LUT1335" s="4" t="s">
        <v>2879</v>
      </c>
      <c r="LUU1335" s="4" t="s">
        <v>2879</v>
      </c>
      <c r="LUV1335" s="4" t="s">
        <v>2879</v>
      </c>
      <c r="LUW1335" s="4" t="s">
        <v>2879</v>
      </c>
      <c r="LUX1335" s="4" t="s">
        <v>2879</v>
      </c>
      <c r="LUY1335" s="4" t="s">
        <v>2879</v>
      </c>
      <c r="LUZ1335" s="4" t="s">
        <v>2879</v>
      </c>
      <c r="LVA1335" s="4" t="s">
        <v>2879</v>
      </c>
      <c r="LVB1335" s="4" t="s">
        <v>2879</v>
      </c>
      <c r="LVC1335" s="4" t="s">
        <v>2879</v>
      </c>
      <c r="LVD1335" s="4" t="s">
        <v>2879</v>
      </c>
      <c r="LVE1335" s="4" t="s">
        <v>2879</v>
      </c>
      <c r="LVF1335" s="4" t="s">
        <v>2879</v>
      </c>
      <c r="LVG1335" s="4" t="s">
        <v>2879</v>
      </c>
      <c r="LVH1335" s="4" t="s">
        <v>2879</v>
      </c>
      <c r="LVI1335" s="4" t="s">
        <v>2879</v>
      </c>
      <c r="LVJ1335" s="4" t="s">
        <v>2879</v>
      </c>
      <c r="LVK1335" s="4" t="s">
        <v>2879</v>
      </c>
      <c r="LVL1335" s="4" t="s">
        <v>2879</v>
      </c>
      <c r="LVM1335" s="4" t="s">
        <v>2879</v>
      </c>
      <c r="LVN1335" s="4" t="s">
        <v>2879</v>
      </c>
      <c r="LVO1335" s="4" t="s">
        <v>2879</v>
      </c>
      <c r="LVP1335" s="4" t="s">
        <v>2879</v>
      </c>
      <c r="LVQ1335" s="4" t="s">
        <v>2879</v>
      </c>
      <c r="LVR1335" s="4" t="s">
        <v>2879</v>
      </c>
      <c r="LVS1335" s="4" t="s">
        <v>2879</v>
      </c>
      <c r="LVT1335" s="4" t="s">
        <v>2879</v>
      </c>
      <c r="LVU1335" s="4" t="s">
        <v>2879</v>
      </c>
      <c r="LVV1335" s="4" t="s">
        <v>2879</v>
      </c>
      <c r="LVW1335" s="4" t="s">
        <v>2879</v>
      </c>
      <c r="LVX1335" s="4" t="s">
        <v>2879</v>
      </c>
      <c r="LVY1335" s="4" t="s">
        <v>2879</v>
      </c>
      <c r="LVZ1335" s="4" t="s">
        <v>2879</v>
      </c>
      <c r="LWA1335" s="4" t="s">
        <v>2879</v>
      </c>
      <c r="LWB1335" s="4" t="s">
        <v>2879</v>
      </c>
      <c r="LWC1335" s="4" t="s">
        <v>2879</v>
      </c>
      <c r="LWD1335" s="4" t="s">
        <v>2879</v>
      </c>
      <c r="LWE1335" s="4" t="s">
        <v>2879</v>
      </c>
      <c r="LWF1335" s="4" t="s">
        <v>2879</v>
      </c>
      <c r="LWG1335" s="4" t="s">
        <v>2879</v>
      </c>
      <c r="LWH1335" s="4" t="s">
        <v>2879</v>
      </c>
      <c r="LWI1335" s="4" t="s">
        <v>2879</v>
      </c>
      <c r="LWJ1335" s="4" t="s">
        <v>2879</v>
      </c>
      <c r="LWK1335" s="4" t="s">
        <v>2879</v>
      </c>
      <c r="LWL1335" s="4" t="s">
        <v>2879</v>
      </c>
      <c r="LWM1335" s="4" t="s">
        <v>2879</v>
      </c>
      <c r="LWN1335" s="4" t="s">
        <v>2879</v>
      </c>
      <c r="LWO1335" s="4" t="s">
        <v>2879</v>
      </c>
      <c r="LWP1335" s="4" t="s">
        <v>2879</v>
      </c>
      <c r="LWQ1335" s="4" t="s">
        <v>2879</v>
      </c>
      <c r="LWR1335" s="4" t="s">
        <v>2879</v>
      </c>
      <c r="LWS1335" s="4" t="s">
        <v>2879</v>
      </c>
      <c r="LWT1335" s="4" t="s">
        <v>2879</v>
      </c>
      <c r="LWU1335" s="4" t="s">
        <v>2879</v>
      </c>
      <c r="LWV1335" s="4" t="s">
        <v>2879</v>
      </c>
      <c r="LWW1335" s="4" t="s">
        <v>2879</v>
      </c>
      <c r="LWX1335" s="4" t="s">
        <v>2879</v>
      </c>
      <c r="LWY1335" s="4" t="s">
        <v>2879</v>
      </c>
      <c r="LWZ1335" s="4" t="s">
        <v>2879</v>
      </c>
      <c r="LXA1335" s="4" t="s">
        <v>2879</v>
      </c>
      <c r="LXB1335" s="4" t="s">
        <v>2879</v>
      </c>
      <c r="LXC1335" s="4" t="s">
        <v>2879</v>
      </c>
      <c r="LXD1335" s="4" t="s">
        <v>2879</v>
      </c>
      <c r="LXE1335" s="4" t="s">
        <v>2879</v>
      </c>
      <c r="LXF1335" s="4" t="s">
        <v>2879</v>
      </c>
      <c r="LXG1335" s="4" t="s">
        <v>2879</v>
      </c>
      <c r="LXH1335" s="4" t="s">
        <v>2879</v>
      </c>
      <c r="LXI1335" s="4" t="s">
        <v>2879</v>
      </c>
      <c r="LXJ1335" s="4" t="s">
        <v>2879</v>
      </c>
      <c r="LXK1335" s="4" t="s">
        <v>2879</v>
      </c>
      <c r="LXL1335" s="4" t="s">
        <v>2879</v>
      </c>
      <c r="LXM1335" s="4" t="s">
        <v>2879</v>
      </c>
      <c r="LXN1335" s="4" t="s">
        <v>2879</v>
      </c>
      <c r="LXO1335" s="4" t="s">
        <v>2879</v>
      </c>
      <c r="LXP1335" s="4" t="s">
        <v>2879</v>
      </c>
      <c r="LXQ1335" s="4" t="s">
        <v>2879</v>
      </c>
      <c r="LXR1335" s="4" t="s">
        <v>2879</v>
      </c>
      <c r="LXS1335" s="4" t="s">
        <v>2879</v>
      </c>
      <c r="LXT1335" s="4" t="s">
        <v>2879</v>
      </c>
      <c r="LXU1335" s="4" t="s">
        <v>2879</v>
      </c>
      <c r="LXV1335" s="4" t="s">
        <v>2879</v>
      </c>
      <c r="LXW1335" s="4" t="s">
        <v>2879</v>
      </c>
      <c r="LXX1335" s="4" t="s">
        <v>2879</v>
      </c>
      <c r="LXY1335" s="4" t="s">
        <v>2879</v>
      </c>
      <c r="LXZ1335" s="4" t="s">
        <v>2879</v>
      </c>
      <c r="LYA1335" s="4" t="s">
        <v>2879</v>
      </c>
      <c r="LYB1335" s="4" t="s">
        <v>2879</v>
      </c>
      <c r="LYC1335" s="4" t="s">
        <v>2879</v>
      </c>
      <c r="LYD1335" s="4" t="s">
        <v>2879</v>
      </c>
      <c r="LYE1335" s="4" t="s">
        <v>2879</v>
      </c>
      <c r="LYF1335" s="4" t="s">
        <v>2879</v>
      </c>
      <c r="LYG1335" s="4" t="s">
        <v>2879</v>
      </c>
      <c r="LYH1335" s="4" t="s">
        <v>2879</v>
      </c>
      <c r="LYI1335" s="4" t="s">
        <v>2879</v>
      </c>
      <c r="LYJ1335" s="4" t="s">
        <v>2879</v>
      </c>
      <c r="LYK1335" s="4" t="s">
        <v>2879</v>
      </c>
      <c r="LYL1335" s="4" t="s">
        <v>2879</v>
      </c>
      <c r="LYM1335" s="4" t="s">
        <v>2879</v>
      </c>
      <c r="LYN1335" s="4" t="s">
        <v>2879</v>
      </c>
      <c r="LYO1335" s="4" t="s">
        <v>2879</v>
      </c>
      <c r="LYP1335" s="4" t="s">
        <v>2879</v>
      </c>
      <c r="LYQ1335" s="4" t="s">
        <v>2879</v>
      </c>
      <c r="LYR1335" s="4" t="s">
        <v>2879</v>
      </c>
      <c r="LYS1335" s="4" t="s">
        <v>2879</v>
      </c>
      <c r="LYT1335" s="4" t="s">
        <v>2879</v>
      </c>
      <c r="LYU1335" s="4" t="s">
        <v>2879</v>
      </c>
      <c r="LYV1335" s="4" t="s">
        <v>2879</v>
      </c>
      <c r="LYW1335" s="4" t="s">
        <v>2879</v>
      </c>
      <c r="LYX1335" s="4" t="s">
        <v>2879</v>
      </c>
      <c r="LYY1335" s="4" t="s">
        <v>2879</v>
      </c>
      <c r="LYZ1335" s="4" t="s">
        <v>2879</v>
      </c>
      <c r="LZA1335" s="4" t="s">
        <v>2879</v>
      </c>
      <c r="LZB1335" s="4" t="s">
        <v>2879</v>
      </c>
      <c r="LZC1335" s="4" t="s">
        <v>2879</v>
      </c>
      <c r="LZD1335" s="4" t="s">
        <v>2879</v>
      </c>
      <c r="LZE1335" s="4" t="s">
        <v>2879</v>
      </c>
      <c r="LZF1335" s="4" t="s">
        <v>2879</v>
      </c>
      <c r="LZG1335" s="4" t="s">
        <v>2879</v>
      </c>
      <c r="LZH1335" s="4" t="s">
        <v>2879</v>
      </c>
      <c r="LZI1335" s="4" t="s">
        <v>2879</v>
      </c>
      <c r="LZJ1335" s="4" t="s">
        <v>2879</v>
      </c>
      <c r="LZK1335" s="4" t="s">
        <v>2879</v>
      </c>
      <c r="LZL1335" s="4" t="s">
        <v>2879</v>
      </c>
      <c r="LZM1335" s="4" t="s">
        <v>2879</v>
      </c>
      <c r="LZN1335" s="4" t="s">
        <v>2879</v>
      </c>
      <c r="LZO1335" s="4" t="s">
        <v>2879</v>
      </c>
      <c r="LZP1335" s="4" t="s">
        <v>2879</v>
      </c>
      <c r="LZQ1335" s="4" t="s">
        <v>2879</v>
      </c>
      <c r="LZR1335" s="4" t="s">
        <v>2879</v>
      </c>
      <c r="LZS1335" s="4" t="s">
        <v>2879</v>
      </c>
      <c r="LZT1335" s="4" t="s">
        <v>2879</v>
      </c>
      <c r="LZU1335" s="4" t="s">
        <v>2879</v>
      </c>
      <c r="LZV1335" s="4" t="s">
        <v>2879</v>
      </c>
      <c r="LZW1335" s="4" t="s">
        <v>2879</v>
      </c>
      <c r="LZX1335" s="4" t="s">
        <v>2879</v>
      </c>
      <c r="LZY1335" s="4" t="s">
        <v>2879</v>
      </c>
      <c r="LZZ1335" s="4" t="s">
        <v>2879</v>
      </c>
      <c r="MAA1335" s="4" t="s">
        <v>2879</v>
      </c>
      <c r="MAB1335" s="4" t="s">
        <v>2879</v>
      </c>
      <c r="MAC1335" s="4" t="s">
        <v>2879</v>
      </c>
      <c r="MAD1335" s="4" t="s">
        <v>2879</v>
      </c>
      <c r="MAE1335" s="4" t="s">
        <v>2879</v>
      </c>
      <c r="MAF1335" s="4" t="s">
        <v>2879</v>
      </c>
      <c r="MAG1335" s="4" t="s">
        <v>2879</v>
      </c>
      <c r="MAH1335" s="4" t="s">
        <v>2879</v>
      </c>
      <c r="MAI1335" s="4" t="s">
        <v>2879</v>
      </c>
      <c r="MAJ1335" s="4" t="s">
        <v>2879</v>
      </c>
      <c r="MAK1335" s="4" t="s">
        <v>2879</v>
      </c>
      <c r="MAL1335" s="4" t="s">
        <v>2879</v>
      </c>
      <c r="MAM1335" s="4" t="s">
        <v>2879</v>
      </c>
      <c r="MAN1335" s="4" t="s">
        <v>2879</v>
      </c>
      <c r="MAO1335" s="4" t="s">
        <v>2879</v>
      </c>
      <c r="MAP1335" s="4" t="s">
        <v>2879</v>
      </c>
      <c r="MAQ1335" s="4" t="s">
        <v>2879</v>
      </c>
      <c r="MAR1335" s="4" t="s">
        <v>2879</v>
      </c>
      <c r="MAS1335" s="4" t="s">
        <v>2879</v>
      </c>
      <c r="MAT1335" s="4" t="s">
        <v>2879</v>
      </c>
      <c r="MAU1335" s="4" t="s">
        <v>2879</v>
      </c>
      <c r="MAV1335" s="4" t="s">
        <v>2879</v>
      </c>
      <c r="MAW1335" s="4" t="s">
        <v>2879</v>
      </c>
      <c r="MAX1335" s="4" t="s">
        <v>2879</v>
      </c>
      <c r="MAY1335" s="4" t="s">
        <v>2879</v>
      </c>
      <c r="MAZ1335" s="4" t="s">
        <v>2879</v>
      </c>
      <c r="MBA1335" s="4" t="s">
        <v>2879</v>
      </c>
      <c r="MBB1335" s="4" t="s">
        <v>2879</v>
      </c>
      <c r="MBC1335" s="4" t="s">
        <v>2879</v>
      </c>
      <c r="MBD1335" s="4" t="s">
        <v>2879</v>
      </c>
      <c r="MBE1335" s="4" t="s">
        <v>2879</v>
      </c>
      <c r="MBF1335" s="4" t="s">
        <v>2879</v>
      </c>
      <c r="MBG1335" s="4" t="s">
        <v>2879</v>
      </c>
      <c r="MBH1335" s="4" t="s">
        <v>2879</v>
      </c>
      <c r="MBI1335" s="4" t="s">
        <v>2879</v>
      </c>
      <c r="MBJ1335" s="4" t="s">
        <v>2879</v>
      </c>
      <c r="MBK1335" s="4" t="s">
        <v>2879</v>
      </c>
      <c r="MBL1335" s="4" t="s">
        <v>2879</v>
      </c>
      <c r="MBM1335" s="4" t="s">
        <v>2879</v>
      </c>
      <c r="MBN1335" s="4" t="s">
        <v>2879</v>
      </c>
      <c r="MBO1335" s="4" t="s">
        <v>2879</v>
      </c>
      <c r="MBP1335" s="4" t="s">
        <v>2879</v>
      </c>
      <c r="MBQ1335" s="4" t="s">
        <v>2879</v>
      </c>
      <c r="MBR1335" s="4" t="s">
        <v>2879</v>
      </c>
      <c r="MBS1335" s="4" t="s">
        <v>2879</v>
      </c>
      <c r="MBT1335" s="4" t="s">
        <v>2879</v>
      </c>
      <c r="MBU1335" s="4" t="s">
        <v>2879</v>
      </c>
      <c r="MBV1335" s="4" t="s">
        <v>2879</v>
      </c>
      <c r="MBW1335" s="4" t="s">
        <v>2879</v>
      </c>
      <c r="MBX1335" s="4" t="s">
        <v>2879</v>
      </c>
      <c r="MBY1335" s="4" t="s">
        <v>2879</v>
      </c>
      <c r="MBZ1335" s="4" t="s">
        <v>2879</v>
      </c>
      <c r="MCA1335" s="4" t="s">
        <v>2879</v>
      </c>
      <c r="MCB1335" s="4" t="s">
        <v>2879</v>
      </c>
      <c r="MCC1335" s="4" t="s">
        <v>2879</v>
      </c>
      <c r="MCD1335" s="4" t="s">
        <v>2879</v>
      </c>
      <c r="MCE1335" s="4" t="s">
        <v>2879</v>
      </c>
      <c r="MCF1335" s="4" t="s">
        <v>2879</v>
      </c>
      <c r="MCG1335" s="4" t="s">
        <v>2879</v>
      </c>
      <c r="MCH1335" s="4" t="s">
        <v>2879</v>
      </c>
      <c r="MCI1335" s="4" t="s">
        <v>2879</v>
      </c>
      <c r="MCJ1335" s="4" t="s">
        <v>2879</v>
      </c>
      <c r="MCK1335" s="4" t="s">
        <v>2879</v>
      </c>
      <c r="MCL1335" s="4" t="s">
        <v>2879</v>
      </c>
      <c r="MCM1335" s="4" t="s">
        <v>2879</v>
      </c>
      <c r="MCN1335" s="4" t="s">
        <v>2879</v>
      </c>
      <c r="MCO1335" s="4" t="s">
        <v>2879</v>
      </c>
      <c r="MCP1335" s="4" t="s">
        <v>2879</v>
      </c>
      <c r="MCQ1335" s="4" t="s">
        <v>2879</v>
      </c>
      <c r="MCR1335" s="4" t="s">
        <v>2879</v>
      </c>
      <c r="MCS1335" s="4" t="s">
        <v>2879</v>
      </c>
      <c r="MCT1335" s="4" t="s">
        <v>2879</v>
      </c>
      <c r="MCU1335" s="4" t="s">
        <v>2879</v>
      </c>
      <c r="MCV1335" s="4" t="s">
        <v>2879</v>
      </c>
      <c r="MCW1335" s="4" t="s">
        <v>2879</v>
      </c>
      <c r="MCX1335" s="4" t="s">
        <v>2879</v>
      </c>
      <c r="MCY1335" s="4" t="s">
        <v>2879</v>
      </c>
      <c r="MCZ1335" s="4" t="s">
        <v>2879</v>
      </c>
      <c r="MDA1335" s="4" t="s">
        <v>2879</v>
      </c>
      <c r="MDB1335" s="4" t="s">
        <v>2879</v>
      </c>
      <c r="MDC1335" s="4" t="s">
        <v>2879</v>
      </c>
      <c r="MDD1335" s="4" t="s">
        <v>2879</v>
      </c>
      <c r="MDE1335" s="4" t="s">
        <v>2879</v>
      </c>
      <c r="MDF1335" s="4" t="s">
        <v>2879</v>
      </c>
      <c r="MDG1335" s="4" t="s">
        <v>2879</v>
      </c>
      <c r="MDH1335" s="4" t="s">
        <v>2879</v>
      </c>
      <c r="MDI1335" s="4" t="s">
        <v>2879</v>
      </c>
      <c r="MDJ1335" s="4" t="s">
        <v>2879</v>
      </c>
      <c r="MDK1335" s="4" t="s">
        <v>2879</v>
      </c>
      <c r="MDL1335" s="4" t="s">
        <v>2879</v>
      </c>
      <c r="MDM1335" s="4" t="s">
        <v>2879</v>
      </c>
      <c r="MDN1335" s="4" t="s">
        <v>2879</v>
      </c>
      <c r="MDO1335" s="4" t="s">
        <v>2879</v>
      </c>
      <c r="MDP1335" s="4" t="s">
        <v>2879</v>
      </c>
      <c r="MDQ1335" s="4" t="s">
        <v>2879</v>
      </c>
      <c r="MDR1335" s="4" t="s">
        <v>2879</v>
      </c>
      <c r="MDS1335" s="4" t="s">
        <v>2879</v>
      </c>
      <c r="MDT1335" s="4" t="s">
        <v>2879</v>
      </c>
      <c r="MDU1335" s="4" t="s">
        <v>2879</v>
      </c>
      <c r="MDV1335" s="4" t="s">
        <v>2879</v>
      </c>
      <c r="MDW1335" s="4" t="s">
        <v>2879</v>
      </c>
      <c r="MDX1335" s="4" t="s">
        <v>2879</v>
      </c>
      <c r="MDY1335" s="4" t="s">
        <v>2879</v>
      </c>
      <c r="MDZ1335" s="4" t="s">
        <v>2879</v>
      </c>
      <c r="MEA1335" s="4" t="s">
        <v>2879</v>
      </c>
      <c r="MEB1335" s="4" t="s">
        <v>2879</v>
      </c>
      <c r="MEC1335" s="4" t="s">
        <v>2879</v>
      </c>
      <c r="MED1335" s="4" t="s">
        <v>2879</v>
      </c>
      <c r="MEE1335" s="4" t="s">
        <v>2879</v>
      </c>
      <c r="MEF1335" s="4" t="s">
        <v>2879</v>
      </c>
      <c r="MEG1335" s="4" t="s">
        <v>2879</v>
      </c>
      <c r="MEH1335" s="4" t="s">
        <v>2879</v>
      </c>
      <c r="MEI1335" s="4" t="s">
        <v>2879</v>
      </c>
      <c r="MEJ1335" s="4" t="s">
        <v>2879</v>
      </c>
      <c r="MEK1335" s="4" t="s">
        <v>2879</v>
      </c>
      <c r="MEL1335" s="4" t="s">
        <v>2879</v>
      </c>
      <c r="MEM1335" s="4" t="s">
        <v>2879</v>
      </c>
      <c r="MEN1335" s="4" t="s">
        <v>2879</v>
      </c>
      <c r="MEO1335" s="4" t="s">
        <v>2879</v>
      </c>
      <c r="MEP1335" s="4" t="s">
        <v>2879</v>
      </c>
      <c r="MEQ1335" s="4" t="s">
        <v>2879</v>
      </c>
      <c r="MER1335" s="4" t="s">
        <v>2879</v>
      </c>
      <c r="MES1335" s="4" t="s">
        <v>2879</v>
      </c>
      <c r="MET1335" s="4" t="s">
        <v>2879</v>
      </c>
      <c r="MEU1335" s="4" t="s">
        <v>2879</v>
      </c>
      <c r="MEV1335" s="4" t="s">
        <v>2879</v>
      </c>
      <c r="MEW1335" s="4" t="s">
        <v>2879</v>
      </c>
      <c r="MEX1335" s="4" t="s">
        <v>2879</v>
      </c>
      <c r="MEY1335" s="4" t="s">
        <v>2879</v>
      </c>
      <c r="MEZ1335" s="4" t="s">
        <v>2879</v>
      </c>
      <c r="MFA1335" s="4" t="s">
        <v>2879</v>
      </c>
      <c r="MFB1335" s="4" t="s">
        <v>2879</v>
      </c>
      <c r="MFC1335" s="4" t="s">
        <v>2879</v>
      </c>
      <c r="MFD1335" s="4" t="s">
        <v>2879</v>
      </c>
      <c r="MFE1335" s="4" t="s">
        <v>2879</v>
      </c>
      <c r="MFF1335" s="4" t="s">
        <v>2879</v>
      </c>
      <c r="MFG1335" s="4" t="s">
        <v>2879</v>
      </c>
      <c r="MFH1335" s="4" t="s">
        <v>2879</v>
      </c>
      <c r="MFI1335" s="4" t="s">
        <v>2879</v>
      </c>
      <c r="MFJ1335" s="4" t="s">
        <v>2879</v>
      </c>
      <c r="MFK1335" s="4" t="s">
        <v>2879</v>
      </c>
      <c r="MFL1335" s="4" t="s">
        <v>2879</v>
      </c>
      <c r="MFM1335" s="4" t="s">
        <v>2879</v>
      </c>
      <c r="MFN1335" s="4" t="s">
        <v>2879</v>
      </c>
      <c r="MFO1335" s="4" t="s">
        <v>2879</v>
      </c>
      <c r="MFP1335" s="4" t="s">
        <v>2879</v>
      </c>
      <c r="MFQ1335" s="4" t="s">
        <v>2879</v>
      </c>
      <c r="MFR1335" s="4" t="s">
        <v>2879</v>
      </c>
      <c r="MFS1335" s="4" t="s">
        <v>2879</v>
      </c>
      <c r="MFT1335" s="4" t="s">
        <v>2879</v>
      </c>
      <c r="MFU1335" s="4" t="s">
        <v>2879</v>
      </c>
      <c r="MFV1335" s="4" t="s">
        <v>2879</v>
      </c>
      <c r="MFW1335" s="4" t="s">
        <v>2879</v>
      </c>
      <c r="MFX1335" s="4" t="s">
        <v>2879</v>
      </c>
      <c r="MFY1335" s="4" t="s">
        <v>2879</v>
      </c>
      <c r="MFZ1335" s="4" t="s">
        <v>2879</v>
      </c>
      <c r="MGA1335" s="4" t="s">
        <v>2879</v>
      </c>
      <c r="MGB1335" s="4" t="s">
        <v>2879</v>
      </c>
      <c r="MGC1335" s="4" t="s">
        <v>2879</v>
      </c>
      <c r="MGD1335" s="4" t="s">
        <v>2879</v>
      </c>
      <c r="MGE1335" s="4" t="s">
        <v>2879</v>
      </c>
      <c r="MGF1335" s="4" t="s">
        <v>2879</v>
      </c>
      <c r="MGG1335" s="4" t="s">
        <v>2879</v>
      </c>
      <c r="MGH1335" s="4" t="s">
        <v>2879</v>
      </c>
      <c r="MGI1335" s="4" t="s">
        <v>2879</v>
      </c>
      <c r="MGJ1335" s="4" t="s">
        <v>2879</v>
      </c>
      <c r="MGK1335" s="4" t="s">
        <v>2879</v>
      </c>
      <c r="MGL1335" s="4" t="s">
        <v>2879</v>
      </c>
      <c r="MGM1335" s="4" t="s">
        <v>2879</v>
      </c>
      <c r="MGN1335" s="4" t="s">
        <v>2879</v>
      </c>
      <c r="MGO1335" s="4" t="s">
        <v>2879</v>
      </c>
      <c r="MGP1335" s="4" t="s">
        <v>2879</v>
      </c>
      <c r="MGQ1335" s="4" t="s">
        <v>2879</v>
      </c>
      <c r="MGR1335" s="4" t="s">
        <v>2879</v>
      </c>
      <c r="MGS1335" s="4" t="s">
        <v>2879</v>
      </c>
      <c r="MGT1335" s="4" t="s">
        <v>2879</v>
      </c>
      <c r="MGU1335" s="4" t="s">
        <v>2879</v>
      </c>
      <c r="MGV1335" s="4" t="s">
        <v>2879</v>
      </c>
      <c r="MGW1335" s="4" t="s">
        <v>2879</v>
      </c>
      <c r="MGX1335" s="4" t="s">
        <v>2879</v>
      </c>
      <c r="MGY1335" s="4" t="s">
        <v>2879</v>
      </c>
      <c r="MGZ1335" s="4" t="s">
        <v>2879</v>
      </c>
      <c r="MHA1335" s="4" t="s">
        <v>2879</v>
      </c>
      <c r="MHB1335" s="4" t="s">
        <v>2879</v>
      </c>
      <c r="MHC1335" s="4" t="s">
        <v>2879</v>
      </c>
      <c r="MHD1335" s="4" t="s">
        <v>2879</v>
      </c>
      <c r="MHE1335" s="4" t="s">
        <v>2879</v>
      </c>
      <c r="MHF1335" s="4" t="s">
        <v>2879</v>
      </c>
      <c r="MHG1335" s="4" t="s">
        <v>2879</v>
      </c>
      <c r="MHH1335" s="4" t="s">
        <v>2879</v>
      </c>
      <c r="MHI1335" s="4" t="s">
        <v>2879</v>
      </c>
      <c r="MHJ1335" s="4" t="s">
        <v>2879</v>
      </c>
      <c r="MHK1335" s="4" t="s">
        <v>2879</v>
      </c>
      <c r="MHL1335" s="4" t="s">
        <v>2879</v>
      </c>
      <c r="MHM1335" s="4" t="s">
        <v>2879</v>
      </c>
      <c r="MHN1335" s="4" t="s">
        <v>2879</v>
      </c>
      <c r="MHO1335" s="4" t="s">
        <v>2879</v>
      </c>
      <c r="MHP1335" s="4" t="s">
        <v>2879</v>
      </c>
      <c r="MHQ1335" s="4" t="s">
        <v>2879</v>
      </c>
      <c r="MHR1335" s="4" t="s">
        <v>2879</v>
      </c>
      <c r="MHS1335" s="4" t="s">
        <v>2879</v>
      </c>
      <c r="MHT1335" s="4" t="s">
        <v>2879</v>
      </c>
      <c r="MHU1335" s="4" t="s">
        <v>2879</v>
      </c>
      <c r="MHV1335" s="4" t="s">
        <v>2879</v>
      </c>
      <c r="MHW1335" s="4" t="s">
        <v>2879</v>
      </c>
      <c r="MHX1335" s="4" t="s">
        <v>2879</v>
      </c>
      <c r="MHY1335" s="4" t="s">
        <v>2879</v>
      </c>
      <c r="MHZ1335" s="4" t="s">
        <v>2879</v>
      </c>
      <c r="MIA1335" s="4" t="s">
        <v>2879</v>
      </c>
      <c r="MIB1335" s="4" t="s">
        <v>2879</v>
      </c>
      <c r="MIC1335" s="4" t="s">
        <v>2879</v>
      </c>
      <c r="MID1335" s="4" t="s">
        <v>2879</v>
      </c>
      <c r="MIE1335" s="4" t="s">
        <v>2879</v>
      </c>
      <c r="MIF1335" s="4" t="s">
        <v>2879</v>
      </c>
      <c r="MIG1335" s="4" t="s">
        <v>2879</v>
      </c>
      <c r="MIH1335" s="4" t="s">
        <v>2879</v>
      </c>
      <c r="MII1335" s="4" t="s">
        <v>2879</v>
      </c>
      <c r="MIJ1335" s="4" t="s">
        <v>2879</v>
      </c>
      <c r="MIK1335" s="4" t="s">
        <v>2879</v>
      </c>
      <c r="MIL1335" s="4" t="s">
        <v>2879</v>
      </c>
      <c r="MIM1335" s="4" t="s">
        <v>2879</v>
      </c>
      <c r="MIN1335" s="4" t="s">
        <v>2879</v>
      </c>
      <c r="MIO1335" s="4" t="s">
        <v>2879</v>
      </c>
      <c r="MIP1335" s="4" t="s">
        <v>2879</v>
      </c>
      <c r="MIQ1335" s="4" t="s">
        <v>2879</v>
      </c>
      <c r="MIR1335" s="4" t="s">
        <v>2879</v>
      </c>
      <c r="MIS1335" s="4" t="s">
        <v>2879</v>
      </c>
      <c r="MIT1335" s="4" t="s">
        <v>2879</v>
      </c>
      <c r="MIU1335" s="4" t="s">
        <v>2879</v>
      </c>
      <c r="MIV1335" s="4" t="s">
        <v>2879</v>
      </c>
      <c r="MIW1335" s="4" t="s">
        <v>2879</v>
      </c>
      <c r="MIX1335" s="4" t="s">
        <v>2879</v>
      </c>
      <c r="MIY1335" s="4" t="s">
        <v>2879</v>
      </c>
      <c r="MIZ1335" s="4" t="s">
        <v>2879</v>
      </c>
      <c r="MJA1335" s="4" t="s">
        <v>2879</v>
      </c>
      <c r="MJB1335" s="4" t="s">
        <v>2879</v>
      </c>
      <c r="MJC1335" s="4" t="s">
        <v>2879</v>
      </c>
      <c r="MJD1335" s="4" t="s">
        <v>2879</v>
      </c>
      <c r="MJE1335" s="4" t="s">
        <v>2879</v>
      </c>
      <c r="MJF1335" s="4" t="s">
        <v>2879</v>
      </c>
      <c r="MJG1335" s="4" t="s">
        <v>2879</v>
      </c>
      <c r="MJH1335" s="4" t="s">
        <v>2879</v>
      </c>
      <c r="MJI1335" s="4" t="s">
        <v>2879</v>
      </c>
      <c r="MJJ1335" s="4" t="s">
        <v>2879</v>
      </c>
      <c r="MJK1335" s="4" t="s">
        <v>2879</v>
      </c>
      <c r="MJL1335" s="4" t="s">
        <v>2879</v>
      </c>
      <c r="MJM1335" s="4" t="s">
        <v>2879</v>
      </c>
      <c r="MJN1335" s="4" t="s">
        <v>2879</v>
      </c>
      <c r="MJO1335" s="4" t="s">
        <v>2879</v>
      </c>
      <c r="MJP1335" s="4" t="s">
        <v>2879</v>
      </c>
      <c r="MJQ1335" s="4" t="s">
        <v>2879</v>
      </c>
      <c r="MJR1335" s="4" t="s">
        <v>2879</v>
      </c>
      <c r="MJS1335" s="4" t="s">
        <v>2879</v>
      </c>
      <c r="MJT1335" s="4" t="s">
        <v>2879</v>
      </c>
      <c r="MJU1335" s="4" t="s">
        <v>2879</v>
      </c>
      <c r="MJV1335" s="4" t="s">
        <v>2879</v>
      </c>
      <c r="MJW1335" s="4" t="s">
        <v>2879</v>
      </c>
      <c r="MJX1335" s="4" t="s">
        <v>2879</v>
      </c>
      <c r="MJY1335" s="4" t="s">
        <v>2879</v>
      </c>
      <c r="MJZ1335" s="4" t="s">
        <v>2879</v>
      </c>
      <c r="MKA1335" s="4" t="s">
        <v>2879</v>
      </c>
      <c r="MKB1335" s="4" t="s">
        <v>2879</v>
      </c>
      <c r="MKC1335" s="4" t="s">
        <v>2879</v>
      </c>
      <c r="MKD1335" s="4" t="s">
        <v>2879</v>
      </c>
      <c r="MKE1335" s="4" t="s">
        <v>2879</v>
      </c>
      <c r="MKF1335" s="4" t="s">
        <v>2879</v>
      </c>
      <c r="MKG1335" s="4" t="s">
        <v>2879</v>
      </c>
      <c r="MKH1335" s="4" t="s">
        <v>2879</v>
      </c>
      <c r="MKI1335" s="4" t="s">
        <v>2879</v>
      </c>
      <c r="MKJ1335" s="4" t="s">
        <v>2879</v>
      </c>
      <c r="MKK1335" s="4" t="s">
        <v>2879</v>
      </c>
      <c r="MKL1335" s="4" t="s">
        <v>2879</v>
      </c>
      <c r="MKM1335" s="4" t="s">
        <v>2879</v>
      </c>
      <c r="MKN1335" s="4" t="s">
        <v>2879</v>
      </c>
      <c r="MKO1335" s="4" t="s">
        <v>2879</v>
      </c>
      <c r="MKP1335" s="4" t="s">
        <v>2879</v>
      </c>
      <c r="MKQ1335" s="4" t="s">
        <v>2879</v>
      </c>
      <c r="MKR1335" s="4" t="s">
        <v>2879</v>
      </c>
      <c r="MKS1335" s="4" t="s">
        <v>2879</v>
      </c>
      <c r="MKT1335" s="4" t="s">
        <v>2879</v>
      </c>
      <c r="MKU1335" s="4" t="s">
        <v>2879</v>
      </c>
      <c r="MKV1335" s="4" t="s">
        <v>2879</v>
      </c>
      <c r="MKW1335" s="4" t="s">
        <v>2879</v>
      </c>
      <c r="MKX1335" s="4" t="s">
        <v>2879</v>
      </c>
      <c r="MKY1335" s="4" t="s">
        <v>2879</v>
      </c>
      <c r="MKZ1335" s="4" t="s">
        <v>2879</v>
      </c>
      <c r="MLA1335" s="4" t="s">
        <v>2879</v>
      </c>
      <c r="MLB1335" s="4" t="s">
        <v>2879</v>
      </c>
      <c r="MLC1335" s="4" t="s">
        <v>2879</v>
      </c>
      <c r="MLD1335" s="4" t="s">
        <v>2879</v>
      </c>
      <c r="MLE1335" s="4" t="s">
        <v>2879</v>
      </c>
      <c r="MLF1335" s="4" t="s">
        <v>2879</v>
      </c>
      <c r="MLG1335" s="4" t="s">
        <v>2879</v>
      </c>
      <c r="MLH1335" s="4" t="s">
        <v>2879</v>
      </c>
      <c r="MLI1335" s="4" t="s">
        <v>2879</v>
      </c>
      <c r="MLJ1335" s="4" t="s">
        <v>2879</v>
      </c>
      <c r="MLK1335" s="4" t="s">
        <v>2879</v>
      </c>
      <c r="MLL1335" s="4" t="s">
        <v>2879</v>
      </c>
      <c r="MLM1335" s="4" t="s">
        <v>2879</v>
      </c>
      <c r="MLN1335" s="4" t="s">
        <v>2879</v>
      </c>
      <c r="MLO1335" s="4" t="s">
        <v>2879</v>
      </c>
      <c r="MLP1335" s="4" t="s">
        <v>2879</v>
      </c>
      <c r="MLQ1335" s="4" t="s">
        <v>2879</v>
      </c>
      <c r="MLR1335" s="4" t="s">
        <v>2879</v>
      </c>
      <c r="MLS1335" s="4" t="s">
        <v>2879</v>
      </c>
      <c r="MLT1335" s="4" t="s">
        <v>2879</v>
      </c>
      <c r="MLU1335" s="4" t="s">
        <v>2879</v>
      </c>
      <c r="MLV1335" s="4" t="s">
        <v>2879</v>
      </c>
      <c r="MLW1335" s="4" t="s">
        <v>2879</v>
      </c>
      <c r="MLX1335" s="4" t="s">
        <v>2879</v>
      </c>
      <c r="MLY1335" s="4" t="s">
        <v>2879</v>
      </c>
      <c r="MLZ1335" s="4" t="s">
        <v>2879</v>
      </c>
      <c r="MMA1335" s="4" t="s">
        <v>2879</v>
      </c>
      <c r="MMB1335" s="4" t="s">
        <v>2879</v>
      </c>
      <c r="MMC1335" s="4" t="s">
        <v>2879</v>
      </c>
      <c r="MMD1335" s="4" t="s">
        <v>2879</v>
      </c>
      <c r="MME1335" s="4" t="s">
        <v>2879</v>
      </c>
      <c r="MMF1335" s="4" t="s">
        <v>2879</v>
      </c>
      <c r="MMG1335" s="4" t="s">
        <v>2879</v>
      </c>
      <c r="MMH1335" s="4" t="s">
        <v>2879</v>
      </c>
      <c r="MMI1335" s="4" t="s">
        <v>2879</v>
      </c>
      <c r="MMJ1335" s="4" t="s">
        <v>2879</v>
      </c>
      <c r="MMK1335" s="4" t="s">
        <v>2879</v>
      </c>
      <c r="MML1335" s="4" t="s">
        <v>2879</v>
      </c>
      <c r="MMM1335" s="4" t="s">
        <v>2879</v>
      </c>
      <c r="MMN1335" s="4" t="s">
        <v>2879</v>
      </c>
      <c r="MMO1335" s="4" t="s">
        <v>2879</v>
      </c>
      <c r="MMP1335" s="4" t="s">
        <v>2879</v>
      </c>
      <c r="MMQ1335" s="4" t="s">
        <v>2879</v>
      </c>
      <c r="MMR1335" s="4" t="s">
        <v>2879</v>
      </c>
      <c r="MMS1335" s="4" t="s">
        <v>2879</v>
      </c>
      <c r="MMT1335" s="4" t="s">
        <v>2879</v>
      </c>
      <c r="MMU1335" s="4" t="s">
        <v>2879</v>
      </c>
      <c r="MMV1335" s="4" t="s">
        <v>2879</v>
      </c>
      <c r="MMW1335" s="4" t="s">
        <v>2879</v>
      </c>
      <c r="MMX1335" s="4" t="s">
        <v>2879</v>
      </c>
      <c r="MMY1335" s="4" t="s">
        <v>2879</v>
      </c>
      <c r="MMZ1335" s="4" t="s">
        <v>2879</v>
      </c>
      <c r="MNA1335" s="4" t="s">
        <v>2879</v>
      </c>
      <c r="MNB1335" s="4" t="s">
        <v>2879</v>
      </c>
      <c r="MNC1335" s="4" t="s">
        <v>2879</v>
      </c>
      <c r="MND1335" s="4" t="s">
        <v>2879</v>
      </c>
      <c r="MNE1335" s="4" t="s">
        <v>2879</v>
      </c>
      <c r="MNF1335" s="4" t="s">
        <v>2879</v>
      </c>
      <c r="MNG1335" s="4" t="s">
        <v>2879</v>
      </c>
      <c r="MNH1335" s="4" t="s">
        <v>2879</v>
      </c>
      <c r="MNI1335" s="4" t="s">
        <v>2879</v>
      </c>
      <c r="MNJ1335" s="4" t="s">
        <v>2879</v>
      </c>
      <c r="MNK1335" s="4" t="s">
        <v>2879</v>
      </c>
      <c r="MNL1335" s="4" t="s">
        <v>2879</v>
      </c>
      <c r="MNM1335" s="4" t="s">
        <v>2879</v>
      </c>
      <c r="MNN1335" s="4" t="s">
        <v>2879</v>
      </c>
      <c r="MNO1335" s="4" t="s">
        <v>2879</v>
      </c>
      <c r="MNP1335" s="4" t="s">
        <v>2879</v>
      </c>
      <c r="MNQ1335" s="4" t="s">
        <v>2879</v>
      </c>
      <c r="MNR1335" s="4" t="s">
        <v>2879</v>
      </c>
      <c r="MNS1335" s="4" t="s">
        <v>2879</v>
      </c>
      <c r="MNT1335" s="4" t="s">
        <v>2879</v>
      </c>
      <c r="MNU1335" s="4" t="s">
        <v>2879</v>
      </c>
      <c r="MNV1335" s="4" t="s">
        <v>2879</v>
      </c>
      <c r="MNW1335" s="4" t="s">
        <v>2879</v>
      </c>
      <c r="MNX1335" s="4" t="s">
        <v>2879</v>
      </c>
      <c r="MNY1335" s="4" t="s">
        <v>2879</v>
      </c>
      <c r="MNZ1335" s="4" t="s">
        <v>2879</v>
      </c>
      <c r="MOA1335" s="4" t="s">
        <v>2879</v>
      </c>
      <c r="MOB1335" s="4" t="s">
        <v>2879</v>
      </c>
      <c r="MOC1335" s="4" t="s">
        <v>2879</v>
      </c>
      <c r="MOD1335" s="4" t="s">
        <v>2879</v>
      </c>
      <c r="MOE1335" s="4" t="s">
        <v>2879</v>
      </c>
      <c r="MOF1335" s="4" t="s">
        <v>2879</v>
      </c>
      <c r="MOG1335" s="4" t="s">
        <v>2879</v>
      </c>
      <c r="MOH1335" s="4" t="s">
        <v>2879</v>
      </c>
      <c r="MOI1335" s="4" t="s">
        <v>2879</v>
      </c>
      <c r="MOJ1335" s="4" t="s">
        <v>2879</v>
      </c>
      <c r="MOK1335" s="4" t="s">
        <v>2879</v>
      </c>
      <c r="MOL1335" s="4" t="s">
        <v>2879</v>
      </c>
      <c r="MOM1335" s="4" t="s">
        <v>2879</v>
      </c>
      <c r="MON1335" s="4" t="s">
        <v>2879</v>
      </c>
      <c r="MOO1335" s="4" t="s">
        <v>2879</v>
      </c>
      <c r="MOP1335" s="4" t="s">
        <v>2879</v>
      </c>
      <c r="MOQ1335" s="4" t="s">
        <v>2879</v>
      </c>
      <c r="MOR1335" s="4" t="s">
        <v>2879</v>
      </c>
      <c r="MOS1335" s="4" t="s">
        <v>2879</v>
      </c>
      <c r="MOT1335" s="4" t="s">
        <v>2879</v>
      </c>
      <c r="MOU1335" s="4" t="s">
        <v>2879</v>
      </c>
      <c r="MOV1335" s="4" t="s">
        <v>2879</v>
      </c>
      <c r="MOW1335" s="4" t="s">
        <v>2879</v>
      </c>
      <c r="MOX1335" s="4" t="s">
        <v>2879</v>
      </c>
      <c r="MOY1335" s="4" t="s">
        <v>2879</v>
      </c>
      <c r="MOZ1335" s="4" t="s">
        <v>2879</v>
      </c>
      <c r="MPA1335" s="4" t="s">
        <v>2879</v>
      </c>
      <c r="MPB1335" s="4" t="s">
        <v>2879</v>
      </c>
      <c r="MPC1335" s="4" t="s">
        <v>2879</v>
      </c>
      <c r="MPD1335" s="4" t="s">
        <v>2879</v>
      </c>
      <c r="MPE1335" s="4" t="s">
        <v>2879</v>
      </c>
      <c r="MPF1335" s="4" t="s">
        <v>2879</v>
      </c>
      <c r="MPG1335" s="4" t="s">
        <v>2879</v>
      </c>
      <c r="MPH1335" s="4" t="s">
        <v>2879</v>
      </c>
      <c r="MPI1335" s="4" t="s">
        <v>2879</v>
      </c>
      <c r="MPJ1335" s="4" t="s">
        <v>2879</v>
      </c>
      <c r="MPK1335" s="4" t="s">
        <v>2879</v>
      </c>
      <c r="MPL1335" s="4" t="s">
        <v>2879</v>
      </c>
      <c r="MPM1335" s="4" t="s">
        <v>2879</v>
      </c>
      <c r="MPN1335" s="4" t="s">
        <v>2879</v>
      </c>
      <c r="MPO1335" s="4" t="s">
        <v>2879</v>
      </c>
      <c r="MPP1335" s="4" t="s">
        <v>2879</v>
      </c>
      <c r="MPQ1335" s="4" t="s">
        <v>2879</v>
      </c>
      <c r="MPR1335" s="4" t="s">
        <v>2879</v>
      </c>
      <c r="MPS1335" s="4" t="s">
        <v>2879</v>
      </c>
      <c r="MPT1335" s="4" t="s">
        <v>2879</v>
      </c>
      <c r="MPU1335" s="4" t="s">
        <v>2879</v>
      </c>
      <c r="MPV1335" s="4" t="s">
        <v>2879</v>
      </c>
      <c r="MPW1335" s="4" t="s">
        <v>2879</v>
      </c>
      <c r="MPX1335" s="4" t="s">
        <v>2879</v>
      </c>
      <c r="MPY1335" s="4" t="s">
        <v>2879</v>
      </c>
      <c r="MPZ1335" s="4" t="s">
        <v>2879</v>
      </c>
      <c r="MQA1335" s="4" t="s">
        <v>2879</v>
      </c>
      <c r="MQB1335" s="4" t="s">
        <v>2879</v>
      </c>
      <c r="MQC1335" s="4" t="s">
        <v>2879</v>
      </c>
      <c r="MQD1335" s="4" t="s">
        <v>2879</v>
      </c>
      <c r="MQE1335" s="4" t="s">
        <v>2879</v>
      </c>
      <c r="MQF1335" s="4" t="s">
        <v>2879</v>
      </c>
      <c r="MQG1335" s="4" t="s">
        <v>2879</v>
      </c>
      <c r="MQH1335" s="4" t="s">
        <v>2879</v>
      </c>
      <c r="MQI1335" s="4" t="s">
        <v>2879</v>
      </c>
      <c r="MQJ1335" s="4" t="s">
        <v>2879</v>
      </c>
      <c r="MQK1335" s="4" t="s">
        <v>2879</v>
      </c>
      <c r="MQL1335" s="4" t="s">
        <v>2879</v>
      </c>
      <c r="MQM1335" s="4" t="s">
        <v>2879</v>
      </c>
      <c r="MQN1335" s="4" t="s">
        <v>2879</v>
      </c>
      <c r="MQO1335" s="4" t="s">
        <v>2879</v>
      </c>
      <c r="MQP1335" s="4" t="s">
        <v>2879</v>
      </c>
      <c r="MQQ1335" s="4" t="s">
        <v>2879</v>
      </c>
      <c r="MQR1335" s="4" t="s">
        <v>2879</v>
      </c>
      <c r="MQS1335" s="4" t="s">
        <v>2879</v>
      </c>
      <c r="MQT1335" s="4" t="s">
        <v>2879</v>
      </c>
      <c r="MQU1335" s="4" t="s">
        <v>2879</v>
      </c>
      <c r="MQV1335" s="4" t="s">
        <v>2879</v>
      </c>
      <c r="MQW1335" s="4" t="s">
        <v>2879</v>
      </c>
      <c r="MQX1335" s="4" t="s">
        <v>2879</v>
      </c>
      <c r="MQY1335" s="4" t="s">
        <v>2879</v>
      </c>
      <c r="MQZ1335" s="4" t="s">
        <v>2879</v>
      </c>
      <c r="MRA1335" s="4" t="s">
        <v>2879</v>
      </c>
      <c r="MRB1335" s="4" t="s">
        <v>2879</v>
      </c>
      <c r="MRC1335" s="4" t="s">
        <v>2879</v>
      </c>
      <c r="MRD1335" s="4" t="s">
        <v>2879</v>
      </c>
      <c r="MRE1335" s="4" t="s">
        <v>2879</v>
      </c>
      <c r="MRF1335" s="4" t="s">
        <v>2879</v>
      </c>
      <c r="MRG1335" s="4" t="s">
        <v>2879</v>
      </c>
      <c r="MRH1335" s="4" t="s">
        <v>2879</v>
      </c>
      <c r="MRI1335" s="4" t="s">
        <v>2879</v>
      </c>
      <c r="MRJ1335" s="4" t="s">
        <v>2879</v>
      </c>
      <c r="MRK1335" s="4" t="s">
        <v>2879</v>
      </c>
      <c r="MRL1335" s="4" t="s">
        <v>2879</v>
      </c>
      <c r="MRM1335" s="4" t="s">
        <v>2879</v>
      </c>
      <c r="MRN1335" s="4" t="s">
        <v>2879</v>
      </c>
      <c r="MRO1335" s="4" t="s">
        <v>2879</v>
      </c>
      <c r="MRP1335" s="4" t="s">
        <v>2879</v>
      </c>
      <c r="MRQ1335" s="4" t="s">
        <v>2879</v>
      </c>
      <c r="MRR1335" s="4" t="s">
        <v>2879</v>
      </c>
      <c r="MRS1335" s="4" t="s">
        <v>2879</v>
      </c>
      <c r="MRT1335" s="4" t="s">
        <v>2879</v>
      </c>
      <c r="MRU1335" s="4" t="s">
        <v>2879</v>
      </c>
      <c r="MRV1335" s="4" t="s">
        <v>2879</v>
      </c>
      <c r="MRW1335" s="4" t="s">
        <v>2879</v>
      </c>
      <c r="MRX1335" s="4" t="s">
        <v>2879</v>
      </c>
      <c r="MRY1335" s="4" t="s">
        <v>2879</v>
      </c>
      <c r="MRZ1335" s="4" t="s">
        <v>2879</v>
      </c>
      <c r="MSA1335" s="4" t="s">
        <v>2879</v>
      </c>
      <c r="MSB1335" s="4" t="s">
        <v>2879</v>
      </c>
      <c r="MSC1335" s="4" t="s">
        <v>2879</v>
      </c>
      <c r="MSD1335" s="4" t="s">
        <v>2879</v>
      </c>
      <c r="MSE1335" s="4" t="s">
        <v>2879</v>
      </c>
      <c r="MSF1335" s="4" t="s">
        <v>2879</v>
      </c>
      <c r="MSG1335" s="4" t="s">
        <v>2879</v>
      </c>
      <c r="MSH1335" s="4" t="s">
        <v>2879</v>
      </c>
      <c r="MSI1335" s="4" t="s">
        <v>2879</v>
      </c>
      <c r="MSJ1335" s="4" t="s">
        <v>2879</v>
      </c>
      <c r="MSK1335" s="4" t="s">
        <v>2879</v>
      </c>
      <c r="MSL1335" s="4" t="s">
        <v>2879</v>
      </c>
      <c r="MSM1335" s="4" t="s">
        <v>2879</v>
      </c>
      <c r="MSN1335" s="4" t="s">
        <v>2879</v>
      </c>
      <c r="MSO1335" s="4" t="s">
        <v>2879</v>
      </c>
      <c r="MSP1335" s="4" t="s">
        <v>2879</v>
      </c>
      <c r="MSQ1335" s="4" t="s">
        <v>2879</v>
      </c>
      <c r="MSR1335" s="4" t="s">
        <v>2879</v>
      </c>
      <c r="MSS1335" s="4" t="s">
        <v>2879</v>
      </c>
      <c r="MST1335" s="4" t="s">
        <v>2879</v>
      </c>
      <c r="MSU1335" s="4" t="s">
        <v>2879</v>
      </c>
      <c r="MSV1335" s="4" t="s">
        <v>2879</v>
      </c>
      <c r="MSW1335" s="4" t="s">
        <v>2879</v>
      </c>
      <c r="MSX1335" s="4" t="s">
        <v>2879</v>
      </c>
      <c r="MSY1335" s="4" t="s">
        <v>2879</v>
      </c>
      <c r="MSZ1335" s="4" t="s">
        <v>2879</v>
      </c>
      <c r="MTA1335" s="4" t="s">
        <v>2879</v>
      </c>
      <c r="MTB1335" s="4" t="s">
        <v>2879</v>
      </c>
      <c r="MTC1335" s="4" t="s">
        <v>2879</v>
      </c>
      <c r="MTD1335" s="4" t="s">
        <v>2879</v>
      </c>
      <c r="MTE1335" s="4" t="s">
        <v>2879</v>
      </c>
      <c r="MTF1335" s="4" t="s">
        <v>2879</v>
      </c>
      <c r="MTG1335" s="4" t="s">
        <v>2879</v>
      </c>
      <c r="MTH1335" s="4" t="s">
        <v>2879</v>
      </c>
      <c r="MTI1335" s="4" t="s">
        <v>2879</v>
      </c>
      <c r="MTJ1335" s="4" t="s">
        <v>2879</v>
      </c>
      <c r="MTK1335" s="4" t="s">
        <v>2879</v>
      </c>
      <c r="MTL1335" s="4" t="s">
        <v>2879</v>
      </c>
      <c r="MTM1335" s="4" t="s">
        <v>2879</v>
      </c>
      <c r="MTN1335" s="4" t="s">
        <v>2879</v>
      </c>
      <c r="MTO1335" s="4" t="s">
        <v>2879</v>
      </c>
      <c r="MTP1335" s="4" t="s">
        <v>2879</v>
      </c>
      <c r="MTQ1335" s="4" t="s">
        <v>2879</v>
      </c>
      <c r="MTR1335" s="4" t="s">
        <v>2879</v>
      </c>
      <c r="MTS1335" s="4" t="s">
        <v>2879</v>
      </c>
      <c r="MTT1335" s="4" t="s">
        <v>2879</v>
      </c>
      <c r="MTU1335" s="4" t="s">
        <v>2879</v>
      </c>
      <c r="MTV1335" s="4" t="s">
        <v>2879</v>
      </c>
      <c r="MTW1335" s="4" t="s">
        <v>2879</v>
      </c>
      <c r="MTX1335" s="4" t="s">
        <v>2879</v>
      </c>
      <c r="MTY1335" s="4" t="s">
        <v>2879</v>
      </c>
      <c r="MTZ1335" s="4" t="s">
        <v>2879</v>
      </c>
      <c r="MUA1335" s="4" t="s">
        <v>2879</v>
      </c>
      <c r="MUB1335" s="4" t="s">
        <v>2879</v>
      </c>
      <c r="MUC1335" s="4" t="s">
        <v>2879</v>
      </c>
      <c r="MUD1335" s="4" t="s">
        <v>2879</v>
      </c>
      <c r="MUE1335" s="4" t="s">
        <v>2879</v>
      </c>
      <c r="MUF1335" s="4" t="s">
        <v>2879</v>
      </c>
      <c r="MUG1335" s="4" t="s">
        <v>2879</v>
      </c>
      <c r="MUH1335" s="4" t="s">
        <v>2879</v>
      </c>
      <c r="MUI1335" s="4" t="s">
        <v>2879</v>
      </c>
      <c r="MUJ1335" s="4" t="s">
        <v>2879</v>
      </c>
      <c r="MUK1335" s="4" t="s">
        <v>2879</v>
      </c>
      <c r="MUL1335" s="4" t="s">
        <v>2879</v>
      </c>
      <c r="MUM1335" s="4" t="s">
        <v>2879</v>
      </c>
      <c r="MUN1335" s="4" t="s">
        <v>2879</v>
      </c>
      <c r="MUO1335" s="4" t="s">
        <v>2879</v>
      </c>
      <c r="MUP1335" s="4" t="s">
        <v>2879</v>
      </c>
      <c r="MUQ1335" s="4" t="s">
        <v>2879</v>
      </c>
      <c r="MUR1335" s="4" t="s">
        <v>2879</v>
      </c>
      <c r="MUS1335" s="4" t="s">
        <v>2879</v>
      </c>
      <c r="MUT1335" s="4" t="s">
        <v>2879</v>
      </c>
      <c r="MUU1335" s="4" t="s">
        <v>2879</v>
      </c>
      <c r="MUV1335" s="4" t="s">
        <v>2879</v>
      </c>
      <c r="MUW1335" s="4" t="s">
        <v>2879</v>
      </c>
      <c r="MUX1335" s="4" t="s">
        <v>2879</v>
      </c>
      <c r="MUY1335" s="4" t="s">
        <v>2879</v>
      </c>
      <c r="MUZ1335" s="4" t="s">
        <v>2879</v>
      </c>
      <c r="MVA1335" s="4" t="s">
        <v>2879</v>
      </c>
      <c r="MVB1335" s="4" t="s">
        <v>2879</v>
      </c>
      <c r="MVC1335" s="4" t="s">
        <v>2879</v>
      </c>
      <c r="MVD1335" s="4" t="s">
        <v>2879</v>
      </c>
      <c r="MVE1335" s="4" t="s">
        <v>2879</v>
      </c>
      <c r="MVF1335" s="4" t="s">
        <v>2879</v>
      </c>
      <c r="MVG1335" s="4" t="s">
        <v>2879</v>
      </c>
      <c r="MVH1335" s="4" t="s">
        <v>2879</v>
      </c>
      <c r="MVI1335" s="4" t="s">
        <v>2879</v>
      </c>
      <c r="MVJ1335" s="4" t="s">
        <v>2879</v>
      </c>
      <c r="MVK1335" s="4" t="s">
        <v>2879</v>
      </c>
      <c r="MVL1335" s="4" t="s">
        <v>2879</v>
      </c>
      <c r="MVM1335" s="4" t="s">
        <v>2879</v>
      </c>
      <c r="MVN1335" s="4" t="s">
        <v>2879</v>
      </c>
      <c r="MVO1335" s="4" t="s">
        <v>2879</v>
      </c>
      <c r="MVP1335" s="4" t="s">
        <v>2879</v>
      </c>
      <c r="MVQ1335" s="4" t="s">
        <v>2879</v>
      </c>
      <c r="MVR1335" s="4" t="s">
        <v>2879</v>
      </c>
      <c r="MVS1335" s="4" t="s">
        <v>2879</v>
      </c>
      <c r="MVT1335" s="4" t="s">
        <v>2879</v>
      </c>
      <c r="MVU1335" s="4" t="s">
        <v>2879</v>
      </c>
      <c r="MVV1335" s="4" t="s">
        <v>2879</v>
      </c>
      <c r="MVW1335" s="4" t="s">
        <v>2879</v>
      </c>
      <c r="MVX1335" s="4" t="s">
        <v>2879</v>
      </c>
      <c r="MVY1335" s="4" t="s">
        <v>2879</v>
      </c>
      <c r="MVZ1335" s="4" t="s">
        <v>2879</v>
      </c>
      <c r="MWA1335" s="4" t="s">
        <v>2879</v>
      </c>
      <c r="MWB1335" s="4" t="s">
        <v>2879</v>
      </c>
      <c r="MWC1335" s="4" t="s">
        <v>2879</v>
      </c>
      <c r="MWD1335" s="4" t="s">
        <v>2879</v>
      </c>
      <c r="MWE1335" s="4" t="s">
        <v>2879</v>
      </c>
      <c r="MWF1335" s="4" t="s">
        <v>2879</v>
      </c>
      <c r="MWG1335" s="4" t="s">
        <v>2879</v>
      </c>
      <c r="MWH1335" s="4" t="s">
        <v>2879</v>
      </c>
      <c r="MWI1335" s="4" t="s">
        <v>2879</v>
      </c>
      <c r="MWJ1335" s="4" t="s">
        <v>2879</v>
      </c>
      <c r="MWK1335" s="4" t="s">
        <v>2879</v>
      </c>
      <c r="MWL1335" s="4" t="s">
        <v>2879</v>
      </c>
      <c r="MWM1335" s="4" t="s">
        <v>2879</v>
      </c>
      <c r="MWN1335" s="4" t="s">
        <v>2879</v>
      </c>
      <c r="MWO1335" s="4" t="s">
        <v>2879</v>
      </c>
      <c r="MWP1335" s="4" t="s">
        <v>2879</v>
      </c>
      <c r="MWQ1335" s="4" t="s">
        <v>2879</v>
      </c>
      <c r="MWR1335" s="4" t="s">
        <v>2879</v>
      </c>
      <c r="MWS1335" s="4" t="s">
        <v>2879</v>
      </c>
      <c r="MWT1335" s="4" t="s">
        <v>2879</v>
      </c>
      <c r="MWU1335" s="4" t="s">
        <v>2879</v>
      </c>
      <c r="MWV1335" s="4" t="s">
        <v>2879</v>
      </c>
      <c r="MWW1335" s="4" t="s">
        <v>2879</v>
      </c>
      <c r="MWX1335" s="4" t="s">
        <v>2879</v>
      </c>
      <c r="MWY1335" s="4" t="s">
        <v>2879</v>
      </c>
      <c r="MWZ1335" s="4" t="s">
        <v>2879</v>
      </c>
      <c r="MXA1335" s="4" t="s">
        <v>2879</v>
      </c>
      <c r="MXB1335" s="4" t="s">
        <v>2879</v>
      </c>
      <c r="MXC1335" s="4" t="s">
        <v>2879</v>
      </c>
      <c r="MXD1335" s="4" t="s">
        <v>2879</v>
      </c>
      <c r="MXE1335" s="4" t="s">
        <v>2879</v>
      </c>
      <c r="MXF1335" s="4" t="s">
        <v>2879</v>
      </c>
      <c r="MXG1335" s="4" t="s">
        <v>2879</v>
      </c>
      <c r="MXH1335" s="4" t="s">
        <v>2879</v>
      </c>
      <c r="MXI1335" s="4" t="s">
        <v>2879</v>
      </c>
      <c r="MXJ1335" s="4" t="s">
        <v>2879</v>
      </c>
      <c r="MXK1335" s="4" t="s">
        <v>2879</v>
      </c>
      <c r="MXL1335" s="4" t="s">
        <v>2879</v>
      </c>
      <c r="MXM1335" s="4" t="s">
        <v>2879</v>
      </c>
      <c r="MXN1335" s="4" t="s">
        <v>2879</v>
      </c>
      <c r="MXO1335" s="4" t="s">
        <v>2879</v>
      </c>
      <c r="MXP1335" s="4" t="s">
        <v>2879</v>
      </c>
      <c r="MXQ1335" s="4" t="s">
        <v>2879</v>
      </c>
      <c r="MXR1335" s="4" t="s">
        <v>2879</v>
      </c>
      <c r="MXS1335" s="4" t="s">
        <v>2879</v>
      </c>
      <c r="MXT1335" s="4" t="s">
        <v>2879</v>
      </c>
      <c r="MXU1335" s="4" t="s">
        <v>2879</v>
      </c>
      <c r="MXV1335" s="4" t="s">
        <v>2879</v>
      </c>
      <c r="MXW1335" s="4" t="s">
        <v>2879</v>
      </c>
      <c r="MXX1335" s="4" t="s">
        <v>2879</v>
      </c>
      <c r="MXY1335" s="4" t="s">
        <v>2879</v>
      </c>
      <c r="MXZ1335" s="4" t="s">
        <v>2879</v>
      </c>
      <c r="MYA1335" s="4" t="s">
        <v>2879</v>
      </c>
      <c r="MYB1335" s="4" t="s">
        <v>2879</v>
      </c>
      <c r="MYC1335" s="4" t="s">
        <v>2879</v>
      </c>
      <c r="MYD1335" s="4" t="s">
        <v>2879</v>
      </c>
      <c r="MYE1335" s="4" t="s">
        <v>2879</v>
      </c>
      <c r="MYF1335" s="4" t="s">
        <v>2879</v>
      </c>
      <c r="MYG1335" s="4" t="s">
        <v>2879</v>
      </c>
      <c r="MYH1335" s="4" t="s">
        <v>2879</v>
      </c>
      <c r="MYI1335" s="4" t="s">
        <v>2879</v>
      </c>
      <c r="MYJ1335" s="4" t="s">
        <v>2879</v>
      </c>
      <c r="MYK1335" s="4" t="s">
        <v>2879</v>
      </c>
      <c r="MYL1335" s="4" t="s">
        <v>2879</v>
      </c>
      <c r="MYM1335" s="4" t="s">
        <v>2879</v>
      </c>
      <c r="MYN1335" s="4" t="s">
        <v>2879</v>
      </c>
      <c r="MYO1335" s="4" t="s">
        <v>2879</v>
      </c>
      <c r="MYP1335" s="4" t="s">
        <v>2879</v>
      </c>
      <c r="MYQ1335" s="4" t="s">
        <v>2879</v>
      </c>
      <c r="MYR1335" s="4" t="s">
        <v>2879</v>
      </c>
      <c r="MYS1335" s="4" t="s">
        <v>2879</v>
      </c>
      <c r="MYT1335" s="4" t="s">
        <v>2879</v>
      </c>
      <c r="MYU1335" s="4" t="s">
        <v>2879</v>
      </c>
      <c r="MYV1335" s="4" t="s">
        <v>2879</v>
      </c>
      <c r="MYW1335" s="4" t="s">
        <v>2879</v>
      </c>
      <c r="MYX1335" s="4" t="s">
        <v>2879</v>
      </c>
      <c r="MYY1335" s="4" t="s">
        <v>2879</v>
      </c>
      <c r="MYZ1335" s="4" t="s">
        <v>2879</v>
      </c>
      <c r="MZA1335" s="4" t="s">
        <v>2879</v>
      </c>
      <c r="MZB1335" s="4" t="s">
        <v>2879</v>
      </c>
      <c r="MZC1335" s="4" t="s">
        <v>2879</v>
      </c>
      <c r="MZD1335" s="4" t="s">
        <v>2879</v>
      </c>
      <c r="MZE1335" s="4" t="s">
        <v>2879</v>
      </c>
      <c r="MZF1335" s="4" t="s">
        <v>2879</v>
      </c>
      <c r="MZG1335" s="4" t="s">
        <v>2879</v>
      </c>
      <c r="MZH1335" s="4" t="s">
        <v>2879</v>
      </c>
      <c r="MZI1335" s="4" t="s">
        <v>2879</v>
      </c>
      <c r="MZJ1335" s="4" t="s">
        <v>2879</v>
      </c>
      <c r="MZK1335" s="4" t="s">
        <v>2879</v>
      </c>
      <c r="MZL1335" s="4" t="s">
        <v>2879</v>
      </c>
      <c r="MZM1335" s="4" t="s">
        <v>2879</v>
      </c>
      <c r="MZN1335" s="4" t="s">
        <v>2879</v>
      </c>
      <c r="MZO1335" s="4" t="s">
        <v>2879</v>
      </c>
      <c r="MZP1335" s="4" t="s">
        <v>2879</v>
      </c>
      <c r="MZQ1335" s="4" t="s">
        <v>2879</v>
      </c>
      <c r="MZR1335" s="4" t="s">
        <v>2879</v>
      </c>
      <c r="MZS1335" s="4" t="s">
        <v>2879</v>
      </c>
      <c r="MZT1335" s="4" t="s">
        <v>2879</v>
      </c>
      <c r="MZU1335" s="4" t="s">
        <v>2879</v>
      </c>
      <c r="MZV1335" s="4" t="s">
        <v>2879</v>
      </c>
      <c r="MZW1335" s="4" t="s">
        <v>2879</v>
      </c>
      <c r="MZX1335" s="4" t="s">
        <v>2879</v>
      </c>
      <c r="MZY1335" s="4" t="s">
        <v>2879</v>
      </c>
      <c r="MZZ1335" s="4" t="s">
        <v>2879</v>
      </c>
      <c r="NAA1335" s="4" t="s">
        <v>2879</v>
      </c>
      <c r="NAB1335" s="4" t="s">
        <v>2879</v>
      </c>
      <c r="NAC1335" s="4" t="s">
        <v>2879</v>
      </c>
      <c r="NAD1335" s="4" t="s">
        <v>2879</v>
      </c>
      <c r="NAE1335" s="4" t="s">
        <v>2879</v>
      </c>
      <c r="NAF1335" s="4" t="s">
        <v>2879</v>
      </c>
      <c r="NAG1335" s="4" t="s">
        <v>2879</v>
      </c>
      <c r="NAH1335" s="4" t="s">
        <v>2879</v>
      </c>
      <c r="NAI1335" s="4" t="s">
        <v>2879</v>
      </c>
      <c r="NAJ1335" s="4" t="s">
        <v>2879</v>
      </c>
      <c r="NAK1335" s="4" t="s">
        <v>2879</v>
      </c>
      <c r="NAL1335" s="4" t="s">
        <v>2879</v>
      </c>
      <c r="NAM1335" s="4" t="s">
        <v>2879</v>
      </c>
      <c r="NAN1335" s="4" t="s">
        <v>2879</v>
      </c>
      <c r="NAO1335" s="4" t="s">
        <v>2879</v>
      </c>
      <c r="NAP1335" s="4" t="s">
        <v>2879</v>
      </c>
      <c r="NAQ1335" s="4" t="s">
        <v>2879</v>
      </c>
      <c r="NAR1335" s="4" t="s">
        <v>2879</v>
      </c>
      <c r="NAS1335" s="4" t="s">
        <v>2879</v>
      </c>
      <c r="NAT1335" s="4" t="s">
        <v>2879</v>
      </c>
      <c r="NAU1335" s="4" t="s">
        <v>2879</v>
      </c>
      <c r="NAV1335" s="4" t="s">
        <v>2879</v>
      </c>
      <c r="NAW1335" s="4" t="s">
        <v>2879</v>
      </c>
      <c r="NAX1335" s="4" t="s">
        <v>2879</v>
      </c>
      <c r="NAY1335" s="4" t="s">
        <v>2879</v>
      </c>
      <c r="NAZ1335" s="4" t="s">
        <v>2879</v>
      </c>
      <c r="NBA1335" s="4" t="s">
        <v>2879</v>
      </c>
      <c r="NBB1335" s="4" t="s">
        <v>2879</v>
      </c>
      <c r="NBC1335" s="4" t="s">
        <v>2879</v>
      </c>
      <c r="NBD1335" s="4" t="s">
        <v>2879</v>
      </c>
      <c r="NBE1335" s="4" t="s">
        <v>2879</v>
      </c>
      <c r="NBF1335" s="4" t="s">
        <v>2879</v>
      </c>
      <c r="NBG1335" s="4" t="s">
        <v>2879</v>
      </c>
      <c r="NBH1335" s="4" t="s">
        <v>2879</v>
      </c>
      <c r="NBI1335" s="4" t="s">
        <v>2879</v>
      </c>
      <c r="NBJ1335" s="4" t="s">
        <v>2879</v>
      </c>
      <c r="NBK1335" s="4" t="s">
        <v>2879</v>
      </c>
      <c r="NBL1335" s="4" t="s">
        <v>2879</v>
      </c>
      <c r="NBM1335" s="4" t="s">
        <v>2879</v>
      </c>
      <c r="NBN1335" s="4" t="s">
        <v>2879</v>
      </c>
      <c r="NBO1335" s="4" t="s">
        <v>2879</v>
      </c>
      <c r="NBP1335" s="4" t="s">
        <v>2879</v>
      </c>
      <c r="NBQ1335" s="4" t="s">
        <v>2879</v>
      </c>
      <c r="NBR1335" s="4" t="s">
        <v>2879</v>
      </c>
      <c r="NBS1335" s="4" t="s">
        <v>2879</v>
      </c>
      <c r="NBT1335" s="4" t="s">
        <v>2879</v>
      </c>
      <c r="NBU1335" s="4" t="s">
        <v>2879</v>
      </c>
      <c r="NBV1335" s="4" t="s">
        <v>2879</v>
      </c>
      <c r="NBW1335" s="4" t="s">
        <v>2879</v>
      </c>
      <c r="NBX1335" s="4" t="s">
        <v>2879</v>
      </c>
      <c r="NBY1335" s="4" t="s">
        <v>2879</v>
      </c>
      <c r="NBZ1335" s="4" t="s">
        <v>2879</v>
      </c>
      <c r="NCA1335" s="4" t="s">
        <v>2879</v>
      </c>
      <c r="NCB1335" s="4" t="s">
        <v>2879</v>
      </c>
      <c r="NCC1335" s="4" t="s">
        <v>2879</v>
      </c>
      <c r="NCD1335" s="4" t="s">
        <v>2879</v>
      </c>
      <c r="NCE1335" s="4" t="s">
        <v>2879</v>
      </c>
      <c r="NCF1335" s="4" t="s">
        <v>2879</v>
      </c>
      <c r="NCG1335" s="4" t="s">
        <v>2879</v>
      </c>
      <c r="NCH1335" s="4" t="s">
        <v>2879</v>
      </c>
      <c r="NCI1335" s="4" t="s">
        <v>2879</v>
      </c>
      <c r="NCJ1335" s="4" t="s">
        <v>2879</v>
      </c>
      <c r="NCK1335" s="4" t="s">
        <v>2879</v>
      </c>
      <c r="NCL1335" s="4" t="s">
        <v>2879</v>
      </c>
      <c r="NCM1335" s="4" t="s">
        <v>2879</v>
      </c>
      <c r="NCN1335" s="4" t="s">
        <v>2879</v>
      </c>
      <c r="NCO1335" s="4" t="s">
        <v>2879</v>
      </c>
      <c r="NCP1335" s="4" t="s">
        <v>2879</v>
      </c>
      <c r="NCQ1335" s="4" t="s">
        <v>2879</v>
      </c>
      <c r="NCR1335" s="4" t="s">
        <v>2879</v>
      </c>
      <c r="NCS1335" s="4" t="s">
        <v>2879</v>
      </c>
      <c r="NCT1335" s="4" t="s">
        <v>2879</v>
      </c>
      <c r="NCU1335" s="4" t="s">
        <v>2879</v>
      </c>
      <c r="NCV1335" s="4" t="s">
        <v>2879</v>
      </c>
      <c r="NCW1335" s="4" t="s">
        <v>2879</v>
      </c>
      <c r="NCX1335" s="4" t="s">
        <v>2879</v>
      </c>
      <c r="NCY1335" s="4" t="s">
        <v>2879</v>
      </c>
      <c r="NCZ1335" s="4" t="s">
        <v>2879</v>
      </c>
      <c r="NDA1335" s="4" t="s">
        <v>2879</v>
      </c>
      <c r="NDB1335" s="4" t="s">
        <v>2879</v>
      </c>
      <c r="NDC1335" s="4" t="s">
        <v>2879</v>
      </c>
      <c r="NDD1335" s="4" t="s">
        <v>2879</v>
      </c>
      <c r="NDE1335" s="4" t="s">
        <v>2879</v>
      </c>
      <c r="NDF1335" s="4" t="s">
        <v>2879</v>
      </c>
      <c r="NDG1335" s="4" t="s">
        <v>2879</v>
      </c>
      <c r="NDH1335" s="4" t="s">
        <v>2879</v>
      </c>
      <c r="NDI1335" s="4" t="s">
        <v>2879</v>
      </c>
      <c r="NDJ1335" s="4" t="s">
        <v>2879</v>
      </c>
      <c r="NDK1335" s="4" t="s">
        <v>2879</v>
      </c>
      <c r="NDL1335" s="4" t="s">
        <v>2879</v>
      </c>
      <c r="NDM1335" s="4" t="s">
        <v>2879</v>
      </c>
      <c r="NDN1335" s="4" t="s">
        <v>2879</v>
      </c>
      <c r="NDO1335" s="4" t="s">
        <v>2879</v>
      </c>
      <c r="NDP1335" s="4" t="s">
        <v>2879</v>
      </c>
      <c r="NDQ1335" s="4" t="s">
        <v>2879</v>
      </c>
      <c r="NDR1335" s="4" t="s">
        <v>2879</v>
      </c>
      <c r="NDS1335" s="4" t="s">
        <v>2879</v>
      </c>
      <c r="NDT1335" s="4" t="s">
        <v>2879</v>
      </c>
      <c r="NDU1335" s="4" t="s">
        <v>2879</v>
      </c>
      <c r="NDV1335" s="4" t="s">
        <v>2879</v>
      </c>
      <c r="NDW1335" s="4" t="s">
        <v>2879</v>
      </c>
      <c r="NDX1335" s="4" t="s">
        <v>2879</v>
      </c>
      <c r="NDY1335" s="4" t="s">
        <v>2879</v>
      </c>
      <c r="NDZ1335" s="4" t="s">
        <v>2879</v>
      </c>
      <c r="NEA1335" s="4" t="s">
        <v>2879</v>
      </c>
      <c r="NEB1335" s="4" t="s">
        <v>2879</v>
      </c>
      <c r="NEC1335" s="4" t="s">
        <v>2879</v>
      </c>
      <c r="NED1335" s="4" t="s">
        <v>2879</v>
      </c>
      <c r="NEE1335" s="4" t="s">
        <v>2879</v>
      </c>
      <c r="NEF1335" s="4" t="s">
        <v>2879</v>
      </c>
      <c r="NEG1335" s="4" t="s">
        <v>2879</v>
      </c>
      <c r="NEH1335" s="4" t="s">
        <v>2879</v>
      </c>
      <c r="NEI1335" s="4" t="s">
        <v>2879</v>
      </c>
      <c r="NEJ1335" s="4" t="s">
        <v>2879</v>
      </c>
      <c r="NEK1335" s="4" t="s">
        <v>2879</v>
      </c>
      <c r="NEL1335" s="4" t="s">
        <v>2879</v>
      </c>
      <c r="NEM1335" s="4" t="s">
        <v>2879</v>
      </c>
      <c r="NEN1335" s="4" t="s">
        <v>2879</v>
      </c>
      <c r="NEO1335" s="4" t="s">
        <v>2879</v>
      </c>
      <c r="NEP1335" s="4" t="s">
        <v>2879</v>
      </c>
      <c r="NEQ1335" s="4" t="s">
        <v>2879</v>
      </c>
      <c r="NER1335" s="4" t="s">
        <v>2879</v>
      </c>
      <c r="NES1335" s="4" t="s">
        <v>2879</v>
      </c>
      <c r="NET1335" s="4" t="s">
        <v>2879</v>
      </c>
      <c r="NEU1335" s="4" t="s">
        <v>2879</v>
      </c>
      <c r="NEV1335" s="4" t="s">
        <v>2879</v>
      </c>
      <c r="NEW1335" s="4" t="s">
        <v>2879</v>
      </c>
      <c r="NEX1335" s="4" t="s">
        <v>2879</v>
      </c>
      <c r="NEY1335" s="4" t="s">
        <v>2879</v>
      </c>
      <c r="NEZ1335" s="4" t="s">
        <v>2879</v>
      </c>
      <c r="NFA1335" s="4" t="s">
        <v>2879</v>
      </c>
      <c r="NFB1335" s="4" t="s">
        <v>2879</v>
      </c>
      <c r="NFC1335" s="4" t="s">
        <v>2879</v>
      </c>
      <c r="NFD1335" s="4" t="s">
        <v>2879</v>
      </c>
      <c r="NFE1335" s="4" t="s">
        <v>2879</v>
      </c>
      <c r="NFF1335" s="4" t="s">
        <v>2879</v>
      </c>
      <c r="NFG1335" s="4" t="s">
        <v>2879</v>
      </c>
      <c r="NFH1335" s="4" t="s">
        <v>2879</v>
      </c>
      <c r="NFI1335" s="4" t="s">
        <v>2879</v>
      </c>
      <c r="NFJ1335" s="4" t="s">
        <v>2879</v>
      </c>
      <c r="NFK1335" s="4" t="s">
        <v>2879</v>
      </c>
      <c r="NFL1335" s="4" t="s">
        <v>2879</v>
      </c>
      <c r="NFM1335" s="4" t="s">
        <v>2879</v>
      </c>
      <c r="NFN1335" s="4" t="s">
        <v>2879</v>
      </c>
      <c r="NFO1335" s="4" t="s">
        <v>2879</v>
      </c>
      <c r="NFP1335" s="4" t="s">
        <v>2879</v>
      </c>
      <c r="NFQ1335" s="4" t="s">
        <v>2879</v>
      </c>
      <c r="NFR1335" s="4" t="s">
        <v>2879</v>
      </c>
      <c r="NFS1335" s="4" t="s">
        <v>2879</v>
      </c>
      <c r="NFT1335" s="4" t="s">
        <v>2879</v>
      </c>
      <c r="NFU1335" s="4" t="s">
        <v>2879</v>
      </c>
      <c r="NFV1335" s="4" t="s">
        <v>2879</v>
      </c>
      <c r="NFW1335" s="4" t="s">
        <v>2879</v>
      </c>
      <c r="NFX1335" s="4" t="s">
        <v>2879</v>
      </c>
      <c r="NFY1335" s="4" t="s">
        <v>2879</v>
      </c>
      <c r="NFZ1335" s="4" t="s">
        <v>2879</v>
      </c>
      <c r="NGA1335" s="4" t="s">
        <v>2879</v>
      </c>
      <c r="NGB1335" s="4" t="s">
        <v>2879</v>
      </c>
      <c r="NGC1335" s="4" t="s">
        <v>2879</v>
      </c>
      <c r="NGD1335" s="4" t="s">
        <v>2879</v>
      </c>
      <c r="NGE1335" s="4" t="s">
        <v>2879</v>
      </c>
      <c r="NGF1335" s="4" t="s">
        <v>2879</v>
      </c>
      <c r="NGG1335" s="4" t="s">
        <v>2879</v>
      </c>
      <c r="NGH1335" s="4" t="s">
        <v>2879</v>
      </c>
      <c r="NGI1335" s="4" t="s">
        <v>2879</v>
      </c>
      <c r="NGJ1335" s="4" t="s">
        <v>2879</v>
      </c>
      <c r="NGK1335" s="4" t="s">
        <v>2879</v>
      </c>
      <c r="NGL1335" s="4" t="s">
        <v>2879</v>
      </c>
      <c r="NGM1335" s="4" t="s">
        <v>2879</v>
      </c>
      <c r="NGN1335" s="4" t="s">
        <v>2879</v>
      </c>
      <c r="NGO1335" s="4" t="s">
        <v>2879</v>
      </c>
      <c r="NGP1335" s="4" t="s">
        <v>2879</v>
      </c>
      <c r="NGQ1335" s="4" t="s">
        <v>2879</v>
      </c>
      <c r="NGR1335" s="4" t="s">
        <v>2879</v>
      </c>
      <c r="NGS1335" s="4" t="s">
        <v>2879</v>
      </c>
      <c r="NGT1335" s="4" t="s">
        <v>2879</v>
      </c>
      <c r="NGU1335" s="4" t="s">
        <v>2879</v>
      </c>
      <c r="NGV1335" s="4" t="s">
        <v>2879</v>
      </c>
      <c r="NGW1335" s="4" t="s">
        <v>2879</v>
      </c>
      <c r="NGX1335" s="4" t="s">
        <v>2879</v>
      </c>
      <c r="NGY1335" s="4" t="s">
        <v>2879</v>
      </c>
      <c r="NGZ1335" s="4" t="s">
        <v>2879</v>
      </c>
      <c r="NHA1335" s="4" t="s">
        <v>2879</v>
      </c>
      <c r="NHB1335" s="4" t="s">
        <v>2879</v>
      </c>
      <c r="NHC1335" s="4" t="s">
        <v>2879</v>
      </c>
      <c r="NHD1335" s="4" t="s">
        <v>2879</v>
      </c>
      <c r="NHE1335" s="4" t="s">
        <v>2879</v>
      </c>
      <c r="NHF1335" s="4" t="s">
        <v>2879</v>
      </c>
      <c r="NHG1335" s="4" t="s">
        <v>2879</v>
      </c>
      <c r="NHH1335" s="4" t="s">
        <v>2879</v>
      </c>
      <c r="NHI1335" s="4" t="s">
        <v>2879</v>
      </c>
      <c r="NHJ1335" s="4" t="s">
        <v>2879</v>
      </c>
      <c r="NHK1335" s="4" t="s">
        <v>2879</v>
      </c>
      <c r="NHL1335" s="4" t="s">
        <v>2879</v>
      </c>
      <c r="NHM1335" s="4" t="s">
        <v>2879</v>
      </c>
      <c r="NHN1335" s="4" t="s">
        <v>2879</v>
      </c>
      <c r="NHO1335" s="4" t="s">
        <v>2879</v>
      </c>
      <c r="NHP1335" s="4" t="s">
        <v>2879</v>
      </c>
      <c r="NHQ1335" s="4" t="s">
        <v>2879</v>
      </c>
      <c r="NHR1335" s="4" t="s">
        <v>2879</v>
      </c>
      <c r="NHS1335" s="4" t="s">
        <v>2879</v>
      </c>
      <c r="NHT1335" s="4" t="s">
        <v>2879</v>
      </c>
      <c r="NHU1335" s="4" t="s">
        <v>2879</v>
      </c>
      <c r="NHV1335" s="4" t="s">
        <v>2879</v>
      </c>
      <c r="NHW1335" s="4" t="s">
        <v>2879</v>
      </c>
      <c r="NHX1335" s="4" t="s">
        <v>2879</v>
      </c>
      <c r="NHY1335" s="4" t="s">
        <v>2879</v>
      </c>
      <c r="NHZ1335" s="4" t="s">
        <v>2879</v>
      </c>
      <c r="NIA1335" s="4" t="s">
        <v>2879</v>
      </c>
      <c r="NIB1335" s="4" t="s">
        <v>2879</v>
      </c>
      <c r="NIC1335" s="4" t="s">
        <v>2879</v>
      </c>
      <c r="NID1335" s="4" t="s">
        <v>2879</v>
      </c>
      <c r="NIE1335" s="4" t="s">
        <v>2879</v>
      </c>
      <c r="NIF1335" s="4" t="s">
        <v>2879</v>
      </c>
      <c r="NIG1335" s="4" t="s">
        <v>2879</v>
      </c>
      <c r="NIH1335" s="4" t="s">
        <v>2879</v>
      </c>
      <c r="NII1335" s="4" t="s">
        <v>2879</v>
      </c>
      <c r="NIJ1335" s="4" t="s">
        <v>2879</v>
      </c>
      <c r="NIK1335" s="4" t="s">
        <v>2879</v>
      </c>
      <c r="NIL1335" s="4" t="s">
        <v>2879</v>
      </c>
      <c r="NIM1335" s="4" t="s">
        <v>2879</v>
      </c>
      <c r="NIN1335" s="4" t="s">
        <v>2879</v>
      </c>
      <c r="NIO1335" s="4" t="s">
        <v>2879</v>
      </c>
      <c r="NIP1335" s="4" t="s">
        <v>2879</v>
      </c>
      <c r="NIQ1335" s="4" t="s">
        <v>2879</v>
      </c>
      <c r="NIR1335" s="4" t="s">
        <v>2879</v>
      </c>
      <c r="NIS1335" s="4" t="s">
        <v>2879</v>
      </c>
      <c r="NIT1335" s="4" t="s">
        <v>2879</v>
      </c>
      <c r="NIU1335" s="4" t="s">
        <v>2879</v>
      </c>
      <c r="NIV1335" s="4" t="s">
        <v>2879</v>
      </c>
      <c r="NIW1335" s="4" t="s">
        <v>2879</v>
      </c>
      <c r="NIX1335" s="4" t="s">
        <v>2879</v>
      </c>
      <c r="NIY1335" s="4" t="s">
        <v>2879</v>
      </c>
      <c r="NIZ1335" s="4" t="s">
        <v>2879</v>
      </c>
      <c r="NJA1335" s="4" t="s">
        <v>2879</v>
      </c>
      <c r="NJB1335" s="4" t="s">
        <v>2879</v>
      </c>
      <c r="NJC1335" s="4" t="s">
        <v>2879</v>
      </c>
      <c r="NJD1335" s="4" t="s">
        <v>2879</v>
      </c>
      <c r="NJE1335" s="4" t="s">
        <v>2879</v>
      </c>
      <c r="NJF1335" s="4" t="s">
        <v>2879</v>
      </c>
      <c r="NJG1335" s="4" t="s">
        <v>2879</v>
      </c>
      <c r="NJH1335" s="4" t="s">
        <v>2879</v>
      </c>
      <c r="NJI1335" s="4" t="s">
        <v>2879</v>
      </c>
      <c r="NJJ1335" s="4" t="s">
        <v>2879</v>
      </c>
      <c r="NJK1335" s="4" t="s">
        <v>2879</v>
      </c>
      <c r="NJL1335" s="4" t="s">
        <v>2879</v>
      </c>
      <c r="NJM1335" s="4" t="s">
        <v>2879</v>
      </c>
      <c r="NJN1335" s="4" t="s">
        <v>2879</v>
      </c>
      <c r="NJO1335" s="4" t="s">
        <v>2879</v>
      </c>
      <c r="NJP1335" s="4" t="s">
        <v>2879</v>
      </c>
      <c r="NJQ1335" s="4" t="s">
        <v>2879</v>
      </c>
      <c r="NJR1335" s="4" t="s">
        <v>2879</v>
      </c>
      <c r="NJS1335" s="4" t="s">
        <v>2879</v>
      </c>
      <c r="NJT1335" s="4" t="s">
        <v>2879</v>
      </c>
      <c r="NJU1335" s="4" t="s">
        <v>2879</v>
      </c>
      <c r="NJV1335" s="4" t="s">
        <v>2879</v>
      </c>
      <c r="NJW1335" s="4" t="s">
        <v>2879</v>
      </c>
      <c r="NJX1335" s="4" t="s">
        <v>2879</v>
      </c>
      <c r="NJY1335" s="4" t="s">
        <v>2879</v>
      </c>
      <c r="NJZ1335" s="4" t="s">
        <v>2879</v>
      </c>
      <c r="NKA1335" s="4" t="s">
        <v>2879</v>
      </c>
      <c r="NKB1335" s="4" t="s">
        <v>2879</v>
      </c>
      <c r="NKC1335" s="4" t="s">
        <v>2879</v>
      </c>
      <c r="NKD1335" s="4" t="s">
        <v>2879</v>
      </c>
      <c r="NKE1335" s="4" t="s">
        <v>2879</v>
      </c>
      <c r="NKF1335" s="4" t="s">
        <v>2879</v>
      </c>
      <c r="NKG1335" s="4" t="s">
        <v>2879</v>
      </c>
      <c r="NKH1335" s="4" t="s">
        <v>2879</v>
      </c>
      <c r="NKI1335" s="4" t="s">
        <v>2879</v>
      </c>
      <c r="NKJ1335" s="4" t="s">
        <v>2879</v>
      </c>
      <c r="NKK1335" s="4" t="s">
        <v>2879</v>
      </c>
      <c r="NKL1335" s="4" t="s">
        <v>2879</v>
      </c>
      <c r="NKM1335" s="4" t="s">
        <v>2879</v>
      </c>
      <c r="NKN1335" s="4" t="s">
        <v>2879</v>
      </c>
      <c r="NKO1335" s="4" t="s">
        <v>2879</v>
      </c>
      <c r="NKP1335" s="4" t="s">
        <v>2879</v>
      </c>
      <c r="NKQ1335" s="4" t="s">
        <v>2879</v>
      </c>
      <c r="NKR1335" s="4" t="s">
        <v>2879</v>
      </c>
      <c r="NKS1335" s="4" t="s">
        <v>2879</v>
      </c>
      <c r="NKT1335" s="4" t="s">
        <v>2879</v>
      </c>
      <c r="NKU1335" s="4" t="s">
        <v>2879</v>
      </c>
      <c r="NKV1335" s="4" t="s">
        <v>2879</v>
      </c>
      <c r="NKW1335" s="4" t="s">
        <v>2879</v>
      </c>
      <c r="NKX1335" s="4" t="s">
        <v>2879</v>
      </c>
      <c r="NKY1335" s="4" t="s">
        <v>2879</v>
      </c>
      <c r="NKZ1335" s="4" t="s">
        <v>2879</v>
      </c>
      <c r="NLA1335" s="4" t="s">
        <v>2879</v>
      </c>
      <c r="NLB1335" s="4" t="s">
        <v>2879</v>
      </c>
      <c r="NLC1335" s="4" t="s">
        <v>2879</v>
      </c>
      <c r="NLD1335" s="4" t="s">
        <v>2879</v>
      </c>
      <c r="NLE1335" s="4" t="s">
        <v>2879</v>
      </c>
      <c r="NLF1335" s="4" t="s">
        <v>2879</v>
      </c>
      <c r="NLG1335" s="4" t="s">
        <v>2879</v>
      </c>
      <c r="NLH1335" s="4" t="s">
        <v>2879</v>
      </c>
      <c r="NLI1335" s="4" t="s">
        <v>2879</v>
      </c>
      <c r="NLJ1335" s="4" t="s">
        <v>2879</v>
      </c>
      <c r="NLK1335" s="4" t="s">
        <v>2879</v>
      </c>
      <c r="NLL1335" s="4" t="s">
        <v>2879</v>
      </c>
      <c r="NLM1335" s="4" t="s">
        <v>2879</v>
      </c>
      <c r="NLN1335" s="4" t="s">
        <v>2879</v>
      </c>
      <c r="NLO1335" s="4" t="s">
        <v>2879</v>
      </c>
      <c r="NLP1335" s="4" t="s">
        <v>2879</v>
      </c>
      <c r="NLQ1335" s="4" t="s">
        <v>2879</v>
      </c>
      <c r="NLR1335" s="4" t="s">
        <v>2879</v>
      </c>
      <c r="NLS1335" s="4" t="s">
        <v>2879</v>
      </c>
      <c r="NLT1335" s="4" t="s">
        <v>2879</v>
      </c>
      <c r="NLU1335" s="4" t="s">
        <v>2879</v>
      </c>
      <c r="NLV1335" s="4" t="s">
        <v>2879</v>
      </c>
      <c r="NLW1335" s="4" t="s">
        <v>2879</v>
      </c>
      <c r="NLX1335" s="4" t="s">
        <v>2879</v>
      </c>
      <c r="NLY1335" s="4" t="s">
        <v>2879</v>
      </c>
      <c r="NLZ1335" s="4" t="s">
        <v>2879</v>
      </c>
      <c r="NMA1335" s="4" t="s">
        <v>2879</v>
      </c>
      <c r="NMB1335" s="4" t="s">
        <v>2879</v>
      </c>
      <c r="NMC1335" s="4" t="s">
        <v>2879</v>
      </c>
      <c r="NMD1335" s="4" t="s">
        <v>2879</v>
      </c>
      <c r="NME1335" s="4" t="s">
        <v>2879</v>
      </c>
      <c r="NMF1335" s="4" t="s">
        <v>2879</v>
      </c>
      <c r="NMG1335" s="4" t="s">
        <v>2879</v>
      </c>
      <c r="NMH1335" s="4" t="s">
        <v>2879</v>
      </c>
      <c r="NMI1335" s="4" t="s">
        <v>2879</v>
      </c>
      <c r="NMJ1335" s="4" t="s">
        <v>2879</v>
      </c>
      <c r="NMK1335" s="4" t="s">
        <v>2879</v>
      </c>
      <c r="NML1335" s="4" t="s">
        <v>2879</v>
      </c>
      <c r="NMM1335" s="4" t="s">
        <v>2879</v>
      </c>
      <c r="NMN1335" s="4" t="s">
        <v>2879</v>
      </c>
      <c r="NMO1335" s="4" t="s">
        <v>2879</v>
      </c>
      <c r="NMP1335" s="4" t="s">
        <v>2879</v>
      </c>
      <c r="NMQ1335" s="4" t="s">
        <v>2879</v>
      </c>
      <c r="NMR1335" s="4" t="s">
        <v>2879</v>
      </c>
      <c r="NMS1335" s="4" t="s">
        <v>2879</v>
      </c>
      <c r="NMT1335" s="4" t="s">
        <v>2879</v>
      </c>
      <c r="NMU1335" s="4" t="s">
        <v>2879</v>
      </c>
      <c r="NMV1335" s="4" t="s">
        <v>2879</v>
      </c>
      <c r="NMW1335" s="4" t="s">
        <v>2879</v>
      </c>
      <c r="NMX1335" s="4" t="s">
        <v>2879</v>
      </c>
      <c r="NMY1335" s="4" t="s">
        <v>2879</v>
      </c>
      <c r="NMZ1335" s="4" t="s">
        <v>2879</v>
      </c>
      <c r="NNA1335" s="4" t="s">
        <v>2879</v>
      </c>
      <c r="NNB1335" s="4" t="s">
        <v>2879</v>
      </c>
      <c r="NNC1335" s="4" t="s">
        <v>2879</v>
      </c>
      <c r="NND1335" s="4" t="s">
        <v>2879</v>
      </c>
      <c r="NNE1335" s="4" t="s">
        <v>2879</v>
      </c>
      <c r="NNF1335" s="4" t="s">
        <v>2879</v>
      </c>
      <c r="NNG1335" s="4" t="s">
        <v>2879</v>
      </c>
      <c r="NNH1335" s="4" t="s">
        <v>2879</v>
      </c>
      <c r="NNI1335" s="4" t="s">
        <v>2879</v>
      </c>
      <c r="NNJ1335" s="4" t="s">
        <v>2879</v>
      </c>
      <c r="NNK1335" s="4" t="s">
        <v>2879</v>
      </c>
      <c r="NNL1335" s="4" t="s">
        <v>2879</v>
      </c>
      <c r="NNM1335" s="4" t="s">
        <v>2879</v>
      </c>
      <c r="NNN1335" s="4" t="s">
        <v>2879</v>
      </c>
      <c r="NNO1335" s="4" t="s">
        <v>2879</v>
      </c>
      <c r="NNP1335" s="4" t="s">
        <v>2879</v>
      </c>
      <c r="NNQ1335" s="4" t="s">
        <v>2879</v>
      </c>
      <c r="NNR1335" s="4" t="s">
        <v>2879</v>
      </c>
      <c r="NNS1335" s="4" t="s">
        <v>2879</v>
      </c>
      <c r="NNT1335" s="4" t="s">
        <v>2879</v>
      </c>
      <c r="NNU1335" s="4" t="s">
        <v>2879</v>
      </c>
      <c r="NNV1335" s="4" t="s">
        <v>2879</v>
      </c>
      <c r="NNW1335" s="4" t="s">
        <v>2879</v>
      </c>
      <c r="NNX1335" s="4" t="s">
        <v>2879</v>
      </c>
      <c r="NNY1335" s="4" t="s">
        <v>2879</v>
      </c>
      <c r="NNZ1335" s="4" t="s">
        <v>2879</v>
      </c>
      <c r="NOA1335" s="4" t="s">
        <v>2879</v>
      </c>
      <c r="NOB1335" s="4" t="s">
        <v>2879</v>
      </c>
      <c r="NOC1335" s="4" t="s">
        <v>2879</v>
      </c>
      <c r="NOD1335" s="4" t="s">
        <v>2879</v>
      </c>
      <c r="NOE1335" s="4" t="s">
        <v>2879</v>
      </c>
      <c r="NOF1335" s="4" t="s">
        <v>2879</v>
      </c>
      <c r="NOG1335" s="4" t="s">
        <v>2879</v>
      </c>
      <c r="NOH1335" s="4" t="s">
        <v>2879</v>
      </c>
      <c r="NOI1335" s="4" t="s">
        <v>2879</v>
      </c>
      <c r="NOJ1335" s="4" t="s">
        <v>2879</v>
      </c>
      <c r="NOK1335" s="4" t="s">
        <v>2879</v>
      </c>
      <c r="NOL1335" s="4" t="s">
        <v>2879</v>
      </c>
      <c r="NOM1335" s="4" t="s">
        <v>2879</v>
      </c>
      <c r="NON1335" s="4" t="s">
        <v>2879</v>
      </c>
      <c r="NOO1335" s="4" t="s">
        <v>2879</v>
      </c>
      <c r="NOP1335" s="4" t="s">
        <v>2879</v>
      </c>
      <c r="NOQ1335" s="4" t="s">
        <v>2879</v>
      </c>
      <c r="NOR1335" s="4" t="s">
        <v>2879</v>
      </c>
      <c r="NOS1335" s="4" t="s">
        <v>2879</v>
      </c>
      <c r="NOT1335" s="4" t="s">
        <v>2879</v>
      </c>
      <c r="NOU1335" s="4" t="s">
        <v>2879</v>
      </c>
      <c r="NOV1335" s="4" t="s">
        <v>2879</v>
      </c>
      <c r="NOW1335" s="4" t="s">
        <v>2879</v>
      </c>
      <c r="NOX1335" s="4" t="s">
        <v>2879</v>
      </c>
      <c r="NOY1335" s="4" t="s">
        <v>2879</v>
      </c>
      <c r="NOZ1335" s="4" t="s">
        <v>2879</v>
      </c>
      <c r="NPA1335" s="4" t="s">
        <v>2879</v>
      </c>
      <c r="NPB1335" s="4" t="s">
        <v>2879</v>
      </c>
      <c r="NPC1335" s="4" t="s">
        <v>2879</v>
      </c>
      <c r="NPD1335" s="4" t="s">
        <v>2879</v>
      </c>
      <c r="NPE1335" s="4" t="s">
        <v>2879</v>
      </c>
      <c r="NPF1335" s="4" t="s">
        <v>2879</v>
      </c>
      <c r="NPG1335" s="4" t="s">
        <v>2879</v>
      </c>
      <c r="NPH1335" s="4" t="s">
        <v>2879</v>
      </c>
      <c r="NPI1335" s="4" t="s">
        <v>2879</v>
      </c>
      <c r="NPJ1335" s="4" t="s">
        <v>2879</v>
      </c>
      <c r="NPK1335" s="4" t="s">
        <v>2879</v>
      </c>
      <c r="NPL1335" s="4" t="s">
        <v>2879</v>
      </c>
      <c r="NPM1335" s="4" t="s">
        <v>2879</v>
      </c>
      <c r="NPN1335" s="4" t="s">
        <v>2879</v>
      </c>
      <c r="NPO1335" s="4" t="s">
        <v>2879</v>
      </c>
      <c r="NPP1335" s="4" t="s">
        <v>2879</v>
      </c>
      <c r="NPQ1335" s="4" t="s">
        <v>2879</v>
      </c>
      <c r="NPR1335" s="4" t="s">
        <v>2879</v>
      </c>
      <c r="NPS1335" s="4" t="s">
        <v>2879</v>
      </c>
      <c r="NPT1335" s="4" t="s">
        <v>2879</v>
      </c>
      <c r="NPU1335" s="4" t="s">
        <v>2879</v>
      </c>
      <c r="NPV1335" s="4" t="s">
        <v>2879</v>
      </c>
      <c r="NPW1335" s="4" t="s">
        <v>2879</v>
      </c>
      <c r="NPX1335" s="4" t="s">
        <v>2879</v>
      </c>
      <c r="NPY1335" s="4" t="s">
        <v>2879</v>
      </c>
      <c r="NPZ1335" s="4" t="s">
        <v>2879</v>
      </c>
      <c r="NQA1335" s="4" t="s">
        <v>2879</v>
      </c>
      <c r="NQB1335" s="4" t="s">
        <v>2879</v>
      </c>
      <c r="NQC1335" s="4" t="s">
        <v>2879</v>
      </c>
      <c r="NQD1335" s="4" t="s">
        <v>2879</v>
      </c>
      <c r="NQE1335" s="4" t="s">
        <v>2879</v>
      </c>
      <c r="NQF1335" s="4" t="s">
        <v>2879</v>
      </c>
      <c r="NQG1335" s="4" t="s">
        <v>2879</v>
      </c>
      <c r="NQH1335" s="4" t="s">
        <v>2879</v>
      </c>
      <c r="NQI1335" s="4" t="s">
        <v>2879</v>
      </c>
      <c r="NQJ1335" s="4" t="s">
        <v>2879</v>
      </c>
      <c r="NQK1335" s="4" t="s">
        <v>2879</v>
      </c>
      <c r="NQL1335" s="4" t="s">
        <v>2879</v>
      </c>
      <c r="NQM1335" s="4" t="s">
        <v>2879</v>
      </c>
      <c r="NQN1335" s="4" t="s">
        <v>2879</v>
      </c>
      <c r="NQO1335" s="4" t="s">
        <v>2879</v>
      </c>
      <c r="NQP1335" s="4" t="s">
        <v>2879</v>
      </c>
      <c r="NQQ1335" s="4" t="s">
        <v>2879</v>
      </c>
      <c r="NQR1335" s="4" t="s">
        <v>2879</v>
      </c>
      <c r="NQS1335" s="4" t="s">
        <v>2879</v>
      </c>
      <c r="NQT1335" s="4" t="s">
        <v>2879</v>
      </c>
      <c r="NQU1335" s="4" t="s">
        <v>2879</v>
      </c>
      <c r="NQV1335" s="4" t="s">
        <v>2879</v>
      </c>
      <c r="NQW1335" s="4" t="s">
        <v>2879</v>
      </c>
      <c r="NQX1335" s="4" t="s">
        <v>2879</v>
      </c>
      <c r="NQY1335" s="4" t="s">
        <v>2879</v>
      </c>
      <c r="NQZ1335" s="4" t="s">
        <v>2879</v>
      </c>
      <c r="NRA1335" s="4" t="s">
        <v>2879</v>
      </c>
      <c r="NRB1335" s="4" t="s">
        <v>2879</v>
      </c>
      <c r="NRC1335" s="4" t="s">
        <v>2879</v>
      </c>
      <c r="NRD1335" s="4" t="s">
        <v>2879</v>
      </c>
      <c r="NRE1335" s="4" t="s">
        <v>2879</v>
      </c>
      <c r="NRF1335" s="4" t="s">
        <v>2879</v>
      </c>
      <c r="NRG1335" s="4" t="s">
        <v>2879</v>
      </c>
      <c r="NRH1335" s="4" t="s">
        <v>2879</v>
      </c>
      <c r="NRI1335" s="4" t="s">
        <v>2879</v>
      </c>
      <c r="NRJ1335" s="4" t="s">
        <v>2879</v>
      </c>
      <c r="NRK1335" s="4" t="s">
        <v>2879</v>
      </c>
      <c r="NRL1335" s="4" t="s">
        <v>2879</v>
      </c>
      <c r="NRM1335" s="4" t="s">
        <v>2879</v>
      </c>
      <c r="NRN1335" s="4" t="s">
        <v>2879</v>
      </c>
      <c r="NRO1335" s="4" t="s">
        <v>2879</v>
      </c>
      <c r="NRP1335" s="4" t="s">
        <v>2879</v>
      </c>
      <c r="NRQ1335" s="4" t="s">
        <v>2879</v>
      </c>
      <c r="NRR1335" s="4" t="s">
        <v>2879</v>
      </c>
      <c r="NRS1335" s="4" t="s">
        <v>2879</v>
      </c>
      <c r="NRT1335" s="4" t="s">
        <v>2879</v>
      </c>
      <c r="NRU1335" s="4" t="s">
        <v>2879</v>
      </c>
      <c r="NRV1335" s="4" t="s">
        <v>2879</v>
      </c>
      <c r="NRW1335" s="4" t="s">
        <v>2879</v>
      </c>
      <c r="NRX1335" s="4" t="s">
        <v>2879</v>
      </c>
      <c r="NRY1335" s="4" t="s">
        <v>2879</v>
      </c>
      <c r="NRZ1335" s="4" t="s">
        <v>2879</v>
      </c>
      <c r="NSA1335" s="4" t="s">
        <v>2879</v>
      </c>
      <c r="NSB1335" s="4" t="s">
        <v>2879</v>
      </c>
      <c r="NSC1335" s="4" t="s">
        <v>2879</v>
      </c>
      <c r="NSD1335" s="4" t="s">
        <v>2879</v>
      </c>
      <c r="NSE1335" s="4" t="s">
        <v>2879</v>
      </c>
      <c r="NSF1335" s="4" t="s">
        <v>2879</v>
      </c>
      <c r="NSG1335" s="4" t="s">
        <v>2879</v>
      </c>
      <c r="NSH1335" s="4" t="s">
        <v>2879</v>
      </c>
      <c r="NSI1335" s="4" t="s">
        <v>2879</v>
      </c>
      <c r="NSJ1335" s="4" t="s">
        <v>2879</v>
      </c>
      <c r="NSK1335" s="4" t="s">
        <v>2879</v>
      </c>
      <c r="NSL1335" s="4" t="s">
        <v>2879</v>
      </c>
      <c r="NSM1335" s="4" t="s">
        <v>2879</v>
      </c>
      <c r="NSN1335" s="4" t="s">
        <v>2879</v>
      </c>
      <c r="NSO1335" s="4" t="s">
        <v>2879</v>
      </c>
      <c r="NSP1335" s="4" t="s">
        <v>2879</v>
      </c>
      <c r="NSQ1335" s="4" t="s">
        <v>2879</v>
      </c>
      <c r="NSR1335" s="4" t="s">
        <v>2879</v>
      </c>
      <c r="NSS1335" s="4" t="s">
        <v>2879</v>
      </c>
      <c r="NST1335" s="4" t="s">
        <v>2879</v>
      </c>
      <c r="NSU1335" s="4" t="s">
        <v>2879</v>
      </c>
      <c r="NSV1335" s="4" t="s">
        <v>2879</v>
      </c>
      <c r="NSW1335" s="4" t="s">
        <v>2879</v>
      </c>
      <c r="NSX1335" s="4" t="s">
        <v>2879</v>
      </c>
      <c r="NSY1335" s="4" t="s">
        <v>2879</v>
      </c>
      <c r="NSZ1335" s="4" t="s">
        <v>2879</v>
      </c>
      <c r="NTA1335" s="4" t="s">
        <v>2879</v>
      </c>
      <c r="NTB1335" s="4" t="s">
        <v>2879</v>
      </c>
      <c r="NTC1335" s="4" t="s">
        <v>2879</v>
      </c>
      <c r="NTD1335" s="4" t="s">
        <v>2879</v>
      </c>
      <c r="NTE1335" s="4" t="s">
        <v>2879</v>
      </c>
      <c r="NTF1335" s="4" t="s">
        <v>2879</v>
      </c>
      <c r="NTG1335" s="4" t="s">
        <v>2879</v>
      </c>
      <c r="NTH1335" s="4" t="s">
        <v>2879</v>
      </c>
      <c r="NTI1335" s="4" t="s">
        <v>2879</v>
      </c>
      <c r="NTJ1335" s="4" t="s">
        <v>2879</v>
      </c>
      <c r="NTK1335" s="4" t="s">
        <v>2879</v>
      </c>
      <c r="NTL1335" s="4" t="s">
        <v>2879</v>
      </c>
      <c r="NTM1335" s="4" t="s">
        <v>2879</v>
      </c>
      <c r="NTN1335" s="4" t="s">
        <v>2879</v>
      </c>
      <c r="NTO1335" s="4" t="s">
        <v>2879</v>
      </c>
      <c r="NTP1335" s="4" t="s">
        <v>2879</v>
      </c>
      <c r="NTQ1335" s="4" t="s">
        <v>2879</v>
      </c>
      <c r="NTR1335" s="4" t="s">
        <v>2879</v>
      </c>
      <c r="NTS1335" s="4" t="s">
        <v>2879</v>
      </c>
      <c r="NTT1335" s="4" t="s">
        <v>2879</v>
      </c>
      <c r="NTU1335" s="4" t="s">
        <v>2879</v>
      </c>
      <c r="NTV1335" s="4" t="s">
        <v>2879</v>
      </c>
      <c r="NTW1335" s="4" t="s">
        <v>2879</v>
      </c>
      <c r="NTX1335" s="4" t="s">
        <v>2879</v>
      </c>
      <c r="NTY1335" s="4" t="s">
        <v>2879</v>
      </c>
      <c r="NTZ1335" s="4" t="s">
        <v>2879</v>
      </c>
      <c r="NUA1335" s="4" t="s">
        <v>2879</v>
      </c>
      <c r="NUB1335" s="4" t="s">
        <v>2879</v>
      </c>
      <c r="NUC1335" s="4" t="s">
        <v>2879</v>
      </c>
      <c r="NUD1335" s="4" t="s">
        <v>2879</v>
      </c>
      <c r="NUE1335" s="4" t="s">
        <v>2879</v>
      </c>
      <c r="NUF1335" s="4" t="s">
        <v>2879</v>
      </c>
      <c r="NUG1335" s="4" t="s">
        <v>2879</v>
      </c>
      <c r="NUH1335" s="4" t="s">
        <v>2879</v>
      </c>
      <c r="NUI1335" s="4" t="s">
        <v>2879</v>
      </c>
      <c r="NUJ1335" s="4" t="s">
        <v>2879</v>
      </c>
      <c r="NUK1335" s="4" t="s">
        <v>2879</v>
      </c>
      <c r="NUL1335" s="4" t="s">
        <v>2879</v>
      </c>
      <c r="NUM1335" s="4" t="s">
        <v>2879</v>
      </c>
      <c r="NUN1335" s="4" t="s">
        <v>2879</v>
      </c>
      <c r="NUO1335" s="4" t="s">
        <v>2879</v>
      </c>
      <c r="NUP1335" s="4" t="s">
        <v>2879</v>
      </c>
      <c r="NUQ1335" s="4" t="s">
        <v>2879</v>
      </c>
      <c r="NUR1335" s="4" t="s">
        <v>2879</v>
      </c>
      <c r="NUS1335" s="4" t="s">
        <v>2879</v>
      </c>
      <c r="NUT1335" s="4" t="s">
        <v>2879</v>
      </c>
      <c r="NUU1335" s="4" t="s">
        <v>2879</v>
      </c>
      <c r="NUV1335" s="4" t="s">
        <v>2879</v>
      </c>
      <c r="NUW1335" s="4" t="s">
        <v>2879</v>
      </c>
      <c r="NUX1335" s="4" t="s">
        <v>2879</v>
      </c>
      <c r="NUY1335" s="4" t="s">
        <v>2879</v>
      </c>
      <c r="NUZ1335" s="4" t="s">
        <v>2879</v>
      </c>
      <c r="NVA1335" s="4" t="s">
        <v>2879</v>
      </c>
      <c r="NVB1335" s="4" t="s">
        <v>2879</v>
      </c>
      <c r="NVC1335" s="4" t="s">
        <v>2879</v>
      </c>
      <c r="NVD1335" s="4" t="s">
        <v>2879</v>
      </c>
      <c r="NVE1335" s="4" t="s">
        <v>2879</v>
      </c>
      <c r="NVF1335" s="4" t="s">
        <v>2879</v>
      </c>
      <c r="NVG1335" s="4" t="s">
        <v>2879</v>
      </c>
      <c r="NVH1335" s="4" t="s">
        <v>2879</v>
      </c>
      <c r="NVI1335" s="4" t="s">
        <v>2879</v>
      </c>
      <c r="NVJ1335" s="4" t="s">
        <v>2879</v>
      </c>
      <c r="NVK1335" s="4" t="s">
        <v>2879</v>
      </c>
      <c r="NVL1335" s="4" t="s">
        <v>2879</v>
      </c>
      <c r="NVM1335" s="4" t="s">
        <v>2879</v>
      </c>
      <c r="NVN1335" s="4" t="s">
        <v>2879</v>
      </c>
      <c r="NVO1335" s="4" t="s">
        <v>2879</v>
      </c>
      <c r="NVP1335" s="4" t="s">
        <v>2879</v>
      </c>
      <c r="NVQ1335" s="4" t="s">
        <v>2879</v>
      </c>
      <c r="NVR1335" s="4" t="s">
        <v>2879</v>
      </c>
      <c r="NVS1335" s="4" t="s">
        <v>2879</v>
      </c>
      <c r="NVT1335" s="4" t="s">
        <v>2879</v>
      </c>
      <c r="NVU1335" s="4" t="s">
        <v>2879</v>
      </c>
      <c r="NVV1335" s="4" t="s">
        <v>2879</v>
      </c>
      <c r="NVW1335" s="4" t="s">
        <v>2879</v>
      </c>
      <c r="NVX1335" s="4" t="s">
        <v>2879</v>
      </c>
      <c r="NVY1335" s="4" t="s">
        <v>2879</v>
      </c>
      <c r="NVZ1335" s="4" t="s">
        <v>2879</v>
      </c>
      <c r="NWA1335" s="4" t="s">
        <v>2879</v>
      </c>
      <c r="NWB1335" s="4" t="s">
        <v>2879</v>
      </c>
      <c r="NWC1335" s="4" t="s">
        <v>2879</v>
      </c>
      <c r="NWD1335" s="4" t="s">
        <v>2879</v>
      </c>
      <c r="NWE1335" s="4" t="s">
        <v>2879</v>
      </c>
      <c r="NWF1335" s="4" t="s">
        <v>2879</v>
      </c>
      <c r="NWG1335" s="4" t="s">
        <v>2879</v>
      </c>
      <c r="NWH1335" s="4" t="s">
        <v>2879</v>
      </c>
      <c r="NWI1335" s="4" t="s">
        <v>2879</v>
      </c>
      <c r="NWJ1335" s="4" t="s">
        <v>2879</v>
      </c>
      <c r="NWK1335" s="4" t="s">
        <v>2879</v>
      </c>
      <c r="NWL1335" s="4" t="s">
        <v>2879</v>
      </c>
      <c r="NWM1335" s="4" t="s">
        <v>2879</v>
      </c>
      <c r="NWN1335" s="4" t="s">
        <v>2879</v>
      </c>
      <c r="NWO1335" s="4" t="s">
        <v>2879</v>
      </c>
      <c r="NWP1335" s="4" t="s">
        <v>2879</v>
      </c>
      <c r="NWQ1335" s="4" t="s">
        <v>2879</v>
      </c>
      <c r="NWR1335" s="4" t="s">
        <v>2879</v>
      </c>
      <c r="NWS1335" s="4" t="s">
        <v>2879</v>
      </c>
      <c r="NWT1335" s="4" t="s">
        <v>2879</v>
      </c>
      <c r="NWU1335" s="4" t="s">
        <v>2879</v>
      </c>
      <c r="NWV1335" s="4" t="s">
        <v>2879</v>
      </c>
      <c r="NWW1335" s="4" t="s">
        <v>2879</v>
      </c>
      <c r="NWX1335" s="4" t="s">
        <v>2879</v>
      </c>
      <c r="NWY1335" s="4" t="s">
        <v>2879</v>
      </c>
      <c r="NWZ1335" s="4" t="s">
        <v>2879</v>
      </c>
      <c r="NXA1335" s="4" t="s">
        <v>2879</v>
      </c>
      <c r="NXB1335" s="4" t="s">
        <v>2879</v>
      </c>
      <c r="NXC1335" s="4" t="s">
        <v>2879</v>
      </c>
      <c r="NXD1335" s="4" t="s">
        <v>2879</v>
      </c>
      <c r="NXE1335" s="4" t="s">
        <v>2879</v>
      </c>
      <c r="NXF1335" s="4" t="s">
        <v>2879</v>
      </c>
      <c r="NXG1335" s="4" t="s">
        <v>2879</v>
      </c>
      <c r="NXH1335" s="4" t="s">
        <v>2879</v>
      </c>
      <c r="NXI1335" s="4" t="s">
        <v>2879</v>
      </c>
      <c r="NXJ1335" s="4" t="s">
        <v>2879</v>
      </c>
      <c r="NXK1335" s="4" t="s">
        <v>2879</v>
      </c>
      <c r="NXL1335" s="4" t="s">
        <v>2879</v>
      </c>
      <c r="NXM1335" s="4" t="s">
        <v>2879</v>
      </c>
      <c r="NXN1335" s="4" t="s">
        <v>2879</v>
      </c>
      <c r="NXO1335" s="4" t="s">
        <v>2879</v>
      </c>
      <c r="NXP1335" s="4" t="s">
        <v>2879</v>
      </c>
      <c r="NXQ1335" s="4" t="s">
        <v>2879</v>
      </c>
      <c r="NXR1335" s="4" t="s">
        <v>2879</v>
      </c>
      <c r="NXS1335" s="4" t="s">
        <v>2879</v>
      </c>
      <c r="NXT1335" s="4" t="s">
        <v>2879</v>
      </c>
      <c r="NXU1335" s="4" t="s">
        <v>2879</v>
      </c>
      <c r="NXV1335" s="4" t="s">
        <v>2879</v>
      </c>
      <c r="NXW1335" s="4" t="s">
        <v>2879</v>
      </c>
      <c r="NXX1335" s="4" t="s">
        <v>2879</v>
      </c>
      <c r="NXY1335" s="4" t="s">
        <v>2879</v>
      </c>
      <c r="NXZ1335" s="4" t="s">
        <v>2879</v>
      </c>
      <c r="NYA1335" s="4" t="s">
        <v>2879</v>
      </c>
      <c r="NYB1335" s="4" t="s">
        <v>2879</v>
      </c>
      <c r="NYC1335" s="4" t="s">
        <v>2879</v>
      </c>
      <c r="NYD1335" s="4" t="s">
        <v>2879</v>
      </c>
      <c r="NYE1335" s="4" t="s">
        <v>2879</v>
      </c>
      <c r="NYF1335" s="4" t="s">
        <v>2879</v>
      </c>
      <c r="NYG1335" s="4" t="s">
        <v>2879</v>
      </c>
      <c r="NYH1335" s="4" t="s">
        <v>2879</v>
      </c>
      <c r="NYI1335" s="4" t="s">
        <v>2879</v>
      </c>
      <c r="NYJ1335" s="4" t="s">
        <v>2879</v>
      </c>
      <c r="NYK1335" s="4" t="s">
        <v>2879</v>
      </c>
      <c r="NYL1335" s="4" t="s">
        <v>2879</v>
      </c>
      <c r="NYM1335" s="4" t="s">
        <v>2879</v>
      </c>
      <c r="NYN1335" s="4" t="s">
        <v>2879</v>
      </c>
      <c r="NYO1335" s="4" t="s">
        <v>2879</v>
      </c>
      <c r="NYP1335" s="4" t="s">
        <v>2879</v>
      </c>
      <c r="NYQ1335" s="4" t="s">
        <v>2879</v>
      </c>
      <c r="NYR1335" s="4" t="s">
        <v>2879</v>
      </c>
      <c r="NYS1335" s="4" t="s">
        <v>2879</v>
      </c>
      <c r="NYT1335" s="4" t="s">
        <v>2879</v>
      </c>
      <c r="NYU1335" s="4" t="s">
        <v>2879</v>
      </c>
      <c r="NYV1335" s="4" t="s">
        <v>2879</v>
      </c>
      <c r="NYW1335" s="4" t="s">
        <v>2879</v>
      </c>
      <c r="NYX1335" s="4" t="s">
        <v>2879</v>
      </c>
      <c r="NYY1335" s="4" t="s">
        <v>2879</v>
      </c>
      <c r="NYZ1335" s="4" t="s">
        <v>2879</v>
      </c>
      <c r="NZA1335" s="4" t="s">
        <v>2879</v>
      </c>
      <c r="NZB1335" s="4" t="s">
        <v>2879</v>
      </c>
      <c r="NZC1335" s="4" t="s">
        <v>2879</v>
      </c>
      <c r="NZD1335" s="4" t="s">
        <v>2879</v>
      </c>
      <c r="NZE1335" s="4" t="s">
        <v>2879</v>
      </c>
      <c r="NZF1335" s="4" t="s">
        <v>2879</v>
      </c>
      <c r="NZG1335" s="4" t="s">
        <v>2879</v>
      </c>
      <c r="NZH1335" s="4" t="s">
        <v>2879</v>
      </c>
      <c r="NZI1335" s="4" t="s">
        <v>2879</v>
      </c>
      <c r="NZJ1335" s="4" t="s">
        <v>2879</v>
      </c>
      <c r="NZK1335" s="4" t="s">
        <v>2879</v>
      </c>
      <c r="NZL1335" s="4" t="s">
        <v>2879</v>
      </c>
      <c r="NZM1335" s="4" t="s">
        <v>2879</v>
      </c>
      <c r="NZN1335" s="4" t="s">
        <v>2879</v>
      </c>
      <c r="NZO1335" s="4" t="s">
        <v>2879</v>
      </c>
      <c r="NZP1335" s="4" t="s">
        <v>2879</v>
      </c>
      <c r="NZQ1335" s="4" t="s">
        <v>2879</v>
      </c>
      <c r="NZR1335" s="4" t="s">
        <v>2879</v>
      </c>
      <c r="NZS1335" s="4" t="s">
        <v>2879</v>
      </c>
      <c r="NZT1335" s="4" t="s">
        <v>2879</v>
      </c>
      <c r="NZU1335" s="4" t="s">
        <v>2879</v>
      </c>
      <c r="NZV1335" s="4" t="s">
        <v>2879</v>
      </c>
      <c r="NZW1335" s="4" t="s">
        <v>2879</v>
      </c>
      <c r="NZX1335" s="4" t="s">
        <v>2879</v>
      </c>
      <c r="NZY1335" s="4" t="s">
        <v>2879</v>
      </c>
      <c r="NZZ1335" s="4" t="s">
        <v>2879</v>
      </c>
      <c r="OAA1335" s="4" t="s">
        <v>2879</v>
      </c>
      <c r="OAB1335" s="4" t="s">
        <v>2879</v>
      </c>
      <c r="OAC1335" s="4" t="s">
        <v>2879</v>
      </c>
      <c r="OAD1335" s="4" t="s">
        <v>2879</v>
      </c>
      <c r="OAE1335" s="4" t="s">
        <v>2879</v>
      </c>
      <c r="OAF1335" s="4" t="s">
        <v>2879</v>
      </c>
      <c r="OAG1335" s="4" t="s">
        <v>2879</v>
      </c>
      <c r="OAH1335" s="4" t="s">
        <v>2879</v>
      </c>
      <c r="OAI1335" s="4" t="s">
        <v>2879</v>
      </c>
      <c r="OAJ1335" s="4" t="s">
        <v>2879</v>
      </c>
      <c r="OAK1335" s="4" t="s">
        <v>2879</v>
      </c>
      <c r="OAL1335" s="4" t="s">
        <v>2879</v>
      </c>
      <c r="OAM1335" s="4" t="s">
        <v>2879</v>
      </c>
      <c r="OAN1335" s="4" t="s">
        <v>2879</v>
      </c>
      <c r="OAO1335" s="4" t="s">
        <v>2879</v>
      </c>
      <c r="OAP1335" s="4" t="s">
        <v>2879</v>
      </c>
      <c r="OAQ1335" s="4" t="s">
        <v>2879</v>
      </c>
      <c r="OAR1335" s="4" t="s">
        <v>2879</v>
      </c>
      <c r="OAS1335" s="4" t="s">
        <v>2879</v>
      </c>
      <c r="OAT1335" s="4" t="s">
        <v>2879</v>
      </c>
      <c r="OAU1335" s="4" t="s">
        <v>2879</v>
      </c>
      <c r="OAV1335" s="4" t="s">
        <v>2879</v>
      </c>
      <c r="OAW1335" s="4" t="s">
        <v>2879</v>
      </c>
      <c r="OAX1335" s="4" t="s">
        <v>2879</v>
      </c>
      <c r="OAY1335" s="4" t="s">
        <v>2879</v>
      </c>
      <c r="OAZ1335" s="4" t="s">
        <v>2879</v>
      </c>
      <c r="OBA1335" s="4" t="s">
        <v>2879</v>
      </c>
      <c r="OBB1335" s="4" t="s">
        <v>2879</v>
      </c>
      <c r="OBC1335" s="4" t="s">
        <v>2879</v>
      </c>
      <c r="OBD1335" s="4" t="s">
        <v>2879</v>
      </c>
      <c r="OBE1335" s="4" t="s">
        <v>2879</v>
      </c>
      <c r="OBF1335" s="4" t="s">
        <v>2879</v>
      </c>
      <c r="OBG1335" s="4" t="s">
        <v>2879</v>
      </c>
      <c r="OBH1335" s="4" t="s">
        <v>2879</v>
      </c>
      <c r="OBI1335" s="4" t="s">
        <v>2879</v>
      </c>
      <c r="OBJ1335" s="4" t="s">
        <v>2879</v>
      </c>
      <c r="OBK1335" s="4" t="s">
        <v>2879</v>
      </c>
      <c r="OBL1335" s="4" t="s">
        <v>2879</v>
      </c>
      <c r="OBM1335" s="4" t="s">
        <v>2879</v>
      </c>
      <c r="OBN1335" s="4" t="s">
        <v>2879</v>
      </c>
      <c r="OBO1335" s="4" t="s">
        <v>2879</v>
      </c>
      <c r="OBP1335" s="4" t="s">
        <v>2879</v>
      </c>
      <c r="OBQ1335" s="4" t="s">
        <v>2879</v>
      </c>
      <c r="OBR1335" s="4" t="s">
        <v>2879</v>
      </c>
      <c r="OBS1335" s="4" t="s">
        <v>2879</v>
      </c>
      <c r="OBT1335" s="4" t="s">
        <v>2879</v>
      </c>
      <c r="OBU1335" s="4" t="s">
        <v>2879</v>
      </c>
      <c r="OBV1335" s="4" t="s">
        <v>2879</v>
      </c>
      <c r="OBW1335" s="4" t="s">
        <v>2879</v>
      </c>
      <c r="OBX1335" s="4" t="s">
        <v>2879</v>
      </c>
      <c r="OBY1335" s="4" t="s">
        <v>2879</v>
      </c>
      <c r="OBZ1335" s="4" t="s">
        <v>2879</v>
      </c>
      <c r="OCA1335" s="4" t="s">
        <v>2879</v>
      </c>
      <c r="OCB1335" s="4" t="s">
        <v>2879</v>
      </c>
      <c r="OCC1335" s="4" t="s">
        <v>2879</v>
      </c>
      <c r="OCD1335" s="4" t="s">
        <v>2879</v>
      </c>
      <c r="OCE1335" s="4" t="s">
        <v>2879</v>
      </c>
      <c r="OCF1335" s="4" t="s">
        <v>2879</v>
      </c>
      <c r="OCG1335" s="4" t="s">
        <v>2879</v>
      </c>
      <c r="OCH1335" s="4" t="s">
        <v>2879</v>
      </c>
      <c r="OCI1335" s="4" t="s">
        <v>2879</v>
      </c>
      <c r="OCJ1335" s="4" t="s">
        <v>2879</v>
      </c>
      <c r="OCK1335" s="4" t="s">
        <v>2879</v>
      </c>
      <c r="OCL1335" s="4" t="s">
        <v>2879</v>
      </c>
      <c r="OCM1335" s="4" t="s">
        <v>2879</v>
      </c>
      <c r="OCN1335" s="4" t="s">
        <v>2879</v>
      </c>
      <c r="OCO1335" s="4" t="s">
        <v>2879</v>
      </c>
      <c r="OCP1335" s="4" t="s">
        <v>2879</v>
      </c>
      <c r="OCQ1335" s="4" t="s">
        <v>2879</v>
      </c>
      <c r="OCR1335" s="4" t="s">
        <v>2879</v>
      </c>
      <c r="OCS1335" s="4" t="s">
        <v>2879</v>
      </c>
      <c r="OCT1335" s="4" t="s">
        <v>2879</v>
      </c>
      <c r="OCU1335" s="4" t="s">
        <v>2879</v>
      </c>
      <c r="OCV1335" s="4" t="s">
        <v>2879</v>
      </c>
      <c r="OCW1335" s="4" t="s">
        <v>2879</v>
      </c>
      <c r="OCX1335" s="4" t="s">
        <v>2879</v>
      </c>
      <c r="OCY1335" s="4" t="s">
        <v>2879</v>
      </c>
      <c r="OCZ1335" s="4" t="s">
        <v>2879</v>
      </c>
      <c r="ODA1335" s="4" t="s">
        <v>2879</v>
      </c>
      <c r="ODB1335" s="4" t="s">
        <v>2879</v>
      </c>
      <c r="ODC1335" s="4" t="s">
        <v>2879</v>
      </c>
      <c r="ODD1335" s="4" t="s">
        <v>2879</v>
      </c>
      <c r="ODE1335" s="4" t="s">
        <v>2879</v>
      </c>
      <c r="ODF1335" s="4" t="s">
        <v>2879</v>
      </c>
      <c r="ODG1335" s="4" t="s">
        <v>2879</v>
      </c>
      <c r="ODH1335" s="4" t="s">
        <v>2879</v>
      </c>
      <c r="ODI1335" s="4" t="s">
        <v>2879</v>
      </c>
      <c r="ODJ1335" s="4" t="s">
        <v>2879</v>
      </c>
      <c r="ODK1335" s="4" t="s">
        <v>2879</v>
      </c>
      <c r="ODL1335" s="4" t="s">
        <v>2879</v>
      </c>
      <c r="ODM1335" s="4" t="s">
        <v>2879</v>
      </c>
      <c r="ODN1335" s="4" t="s">
        <v>2879</v>
      </c>
      <c r="ODO1335" s="4" t="s">
        <v>2879</v>
      </c>
      <c r="ODP1335" s="4" t="s">
        <v>2879</v>
      </c>
      <c r="ODQ1335" s="4" t="s">
        <v>2879</v>
      </c>
      <c r="ODR1335" s="4" t="s">
        <v>2879</v>
      </c>
      <c r="ODS1335" s="4" t="s">
        <v>2879</v>
      </c>
      <c r="ODT1335" s="4" t="s">
        <v>2879</v>
      </c>
      <c r="ODU1335" s="4" t="s">
        <v>2879</v>
      </c>
      <c r="ODV1335" s="4" t="s">
        <v>2879</v>
      </c>
      <c r="ODW1335" s="4" t="s">
        <v>2879</v>
      </c>
      <c r="ODX1335" s="4" t="s">
        <v>2879</v>
      </c>
      <c r="ODY1335" s="4" t="s">
        <v>2879</v>
      </c>
      <c r="ODZ1335" s="4" t="s">
        <v>2879</v>
      </c>
      <c r="OEA1335" s="4" t="s">
        <v>2879</v>
      </c>
      <c r="OEB1335" s="4" t="s">
        <v>2879</v>
      </c>
      <c r="OEC1335" s="4" t="s">
        <v>2879</v>
      </c>
      <c r="OED1335" s="4" t="s">
        <v>2879</v>
      </c>
      <c r="OEE1335" s="4" t="s">
        <v>2879</v>
      </c>
      <c r="OEF1335" s="4" t="s">
        <v>2879</v>
      </c>
      <c r="OEG1335" s="4" t="s">
        <v>2879</v>
      </c>
      <c r="OEH1335" s="4" t="s">
        <v>2879</v>
      </c>
      <c r="OEI1335" s="4" t="s">
        <v>2879</v>
      </c>
      <c r="OEJ1335" s="4" t="s">
        <v>2879</v>
      </c>
      <c r="OEK1335" s="4" t="s">
        <v>2879</v>
      </c>
      <c r="OEL1335" s="4" t="s">
        <v>2879</v>
      </c>
      <c r="OEM1335" s="4" t="s">
        <v>2879</v>
      </c>
      <c r="OEN1335" s="4" t="s">
        <v>2879</v>
      </c>
      <c r="OEO1335" s="4" t="s">
        <v>2879</v>
      </c>
      <c r="OEP1335" s="4" t="s">
        <v>2879</v>
      </c>
      <c r="OEQ1335" s="4" t="s">
        <v>2879</v>
      </c>
      <c r="OER1335" s="4" t="s">
        <v>2879</v>
      </c>
      <c r="OES1335" s="4" t="s">
        <v>2879</v>
      </c>
      <c r="OET1335" s="4" t="s">
        <v>2879</v>
      </c>
      <c r="OEU1335" s="4" t="s">
        <v>2879</v>
      </c>
      <c r="OEV1335" s="4" t="s">
        <v>2879</v>
      </c>
      <c r="OEW1335" s="4" t="s">
        <v>2879</v>
      </c>
      <c r="OEX1335" s="4" t="s">
        <v>2879</v>
      </c>
      <c r="OEY1335" s="4" t="s">
        <v>2879</v>
      </c>
      <c r="OEZ1335" s="4" t="s">
        <v>2879</v>
      </c>
      <c r="OFA1335" s="4" t="s">
        <v>2879</v>
      </c>
      <c r="OFB1335" s="4" t="s">
        <v>2879</v>
      </c>
      <c r="OFC1335" s="4" t="s">
        <v>2879</v>
      </c>
      <c r="OFD1335" s="4" t="s">
        <v>2879</v>
      </c>
      <c r="OFE1335" s="4" t="s">
        <v>2879</v>
      </c>
      <c r="OFF1335" s="4" t="s">
        <v>2879</v>
      </c>
      <c r="OFG1335" s="4" t="s">
        <v>2879</v>
      </c>
      <c r="OFH1335" s="4" t="s">
        <v>2879</v>
      </c>
      <c r="OFI1335" s="4" t="s">
        <v>2879</v>
      </c>
      <c r="OFJ1335" s="4" t="s">
        <v>2879</v>
      </c>
      <c r="OFK1335" s="4" t="s">
        <v>2879</v>
      </c>
      <c r="OFL1335" s="4" t="s">
        <v>2879</v>
      </c>
      <c r="OFM1335" s="4" t="s">
        <v>2879</v>
      </c>
      <c r="OFN1335" s="4" t="s">
        <v>2879</v>
      </c>
      <c r="OFO1335" s="4" t="s">
        <v>2879</v>
      </c>
      <c r="OFP1335" s="4" t="s">
        <v>2879</v>
      </c>
      <c r="OFQ1335" s="4" t="s">
        <v>2879</v>
      </c>
      <c r="OFR1335" s="4" t="s">
        <v>2879</v>
      </c>
      <c r="OFS1335" s="4" t="s">
        <v>2879</v>
      </c>
      <c r="OFT1335" s="4" t="s">
        <v>2879</v>
      </c>
      <c r="OFU1335" s="4" t="s">
        <v>2879</v>
      </c>
      <c r="OFV1335" s="4" t="s">
        <v>2879</v>
      </c>
      <c r="OFW1335" s="4" t="s">
        <v>2879</v>
      </c>
      <c r="OFX1335" s="4" t="s">
        <v>2879</v>
      </c>
      <c r="OFY1335" s="4" t="s">
        <v>2879</v>
      </c>
      <c r="OFZ1335" s="4" t="s">
        <v>2879</v>
      </c>
      <c r="OGA1335" s="4" t="s">
        <v>2879</v>
      </c>
      <c r="OGB1335" s="4" t="s">
        <v>2879</v>
      </c>
      <c r="OGC1335" s="4" t="s">
        <v>2879</v>
      </c>
      <c r="OGD1335" s="4" t="s">
        <v>2879</v>
      </c>
      <c r="OGE1335" s="4" t="s">
        <v>2879</v>
      </c>
      <c r="OGF1335" s="4" t="s">
        <v>2879</v>
      </c>
      <c r="OGG1335" s="4" t="s">
        <v>2879</v>
      </c>
      <c r="OGH1335" s="4" t="s">
        <v>2879</v>
      </c>
      <c r="OGI1335" s="4" t="s">
        <v>2879</v>
      </c>
      <c r="OGJ1335" s="4" t="s">
        <v>2879</v>
      </c>
      <c r="OGK1335" s="4" t="s">
        <v>2879</v>
      </c>
      <c r="OGL1335" s="4" t="s">
        <v>2879</v>
      </c>
      <c r="OGM1335" s="4" t="s">
        <v>2879</v>
      </c>
      <c r="OGN1335" s="4" t="s">
        <v>2879</v>
      </c>
      <c r="OGO1335" s="4" t="s">
        <v>2879</v>
      </c>
      <c r="OGP1335" s="4" t="s">
        <v>2879</v>
      </c>
      <c r="OGQ1335" s="4" t="s">
        <v>2879</v>
      </c>
      <c r="OGR1335" s="4" t="s">
        <v>2879</v>
      </c>
      <c r="OGS1335" s="4" t="s">
        <v>2879</v>
      </c>
      <c r="OGT1335" s="4" t="s">
        <v>2879</v>
      </c>
      <c r="OGU1335" s="4" t="s">
        <v>2879</v>
      </c>
      <c r="OGV1335" s="4" t="s">
        <v>2879</v>
      </c>
      <c r="OGW1335" s="4" t="s">
        <v>2879</v>
      </c>
      <c r="OGX1335" s="4" t="s">
        <v>2879</v>
      </c>
      <c r="OGY1335" s="4" t="s">
        <v>2879</v>
      </c>
      <c r="OGZ1335" s="4" t="s">
        <v>2879</v>
      </c>
      <c r="OHA1335" s="4" t="s">
        <v>2879</v>
      </c>
      <c r="OHB1335" s="4" t="s">
        <v>2879</v>
      </c>
      <c r="OHC1335" s="4" t="s">
        <v>2879</v>
      </c>
      <c r="OHD1335" s="4" t="s">
        <v>2879</v>
      </c>
      <c r="OHE1335" s="4" t="s">
        <v>2879</v>
      </c>
      <c r="OHF1335" s="4" t="s">
        <v>2879</v>
      </c>
      <c r="OHG1335" s="4" t="s">
        <v>2879</v>
      </c>
      <c r="OHH1335" s="4" t="s">
        <v>2879</v>
      </c>
      <c r="OHI1335" s="4" t="s">
        <v>2879</v>
      </c>
      <c r="OHJ1335" s="4" t="s">
        <v>2879</v>
      </c>
      <c r="OHK1335" s="4" t="s">
        <v>2879</v>
      </c>
      <c r="OHL1335" s="4" t="s">
        <v>2879</v>
      </c>
      <c r="OHM1335" s="4" t="s">
        <v>2879</v>
      </c>
      <c r="OHN1335" s="4" t="s">
        <v>2879</v>
      </c>
      <c r="OHO1335" s="4" t="s">
        <v>2879</v>
      </c>
      <c r="OHP1335" s="4" t="s">
        <v>2879</v>
      </c>
      <c r="OHQ1335" s="4" t="s">
        <v>2879</v>
      </c>
      <c r="OHR1335" s="4" t="s">
        <v>2879</v>
      </c>
      <c r="OHS1335" s="4" t="s">
        <v>2879</v>
      </c>
      <c r="OHT1335" s="4" t="s">
        <v>2879</v>
      </c>
      <c r="OHU1335" s="4" t="s">
        <v>2879</v>
      </c>
      <c r="OHV1335" s="4" t="s">
        <v>2879</v>
      </c>
      <c r="OHW1335" s="4" t="s">
        <v>2879</v>
      </c>
      <c r="OHX1335" s="4" t="s">
        <v>2879</v>
      </c>
      <c r="OHY1335" s="4" t="s">
        <v>2879</v>
      </c>
      <c r="OHZ1335" s="4" t="s">
        <v>2879</v>
      </c>
      <c r="OIA1335" s="4" t="s">
        <v>2879</v>
      </c>
      <c r="OIB1335" s="4" t="s">
        <v>2879</v>
      </c>
      <c r="OIC1335" s="4" t="s">
        <v>2879</v>
      </c>
      <c r="OID1335" s="4" t="s">
        <v>2879</v>
      </c>
      <c r="OIE1335" s="4" t="s">
        <v>2879</v>
      </c>
      <c r="OIF1335" s="4" t="s">
        <v>2879</v>
      </c>
      <c r="OIG1335" s="4" t="s">
        <v>2879</v>
      </c>
      <c r="OIH1335" s="4" t="s">
        <v>2879</v>
      </c>
      <c r="OII1335" s="4" t="s">
        <v>2879</v>
      </c>
      <c r="OIJ1335" s="4" t="s">
        <v>2879</v>
      </c>
      <c r="OIK1335" s="4" t="s">
        <v>2879</v>
      </c>
      <c r="OIL1335" s="4" t="s">
        <v>2879</v>
      </c>
      <c r="OIM1335" s="4" t="s">
        <v>2879</v>
      </c>
      <c r="OIN1335" s="4" t="s">
        <v>2879</v>
      </c>
      <c r="OIO1335" s="4" t="s">
        <v>2879</v>
      </c>
      <c r="OIP1335" s="4" t="s">
        <v>2879</v>
      </c>
      <c r="OIQ1335" s="4" t="s">
        <v>2879</v>
      </c>
      <c r="OIR1335" s="4" t="s">
        <v>2879</v>
      </c>
      <c r="OIS1335" s="4" t="s">
        <v>2879</v>
      </c>
      <c r="OIT1335" s="4" t="s">
        <v>2879</v>
      </c>
      <c r="OIU1335" s="4" t="s">
        <v>2879</v>
      </c>
      <c r="OIV1335" s="4" t="s">
        <v>2879</v>
      </c>
      <c r="OIW1335" s="4" t="s">
        <v>2879</v>
      </c>
      <c r="OIX1335" s="4" t="s">
        <v>2879</v>
      </c>
      <c r="OIY1335" s="4" t="s">
        <v>2879</v>
      </c>
      <c r="OIZ1335" s="4" t="s">
        <v>2879</v>
      </c>
      <c r="OJA1335" s="4" t="s">
        <v>2879</v>
      </c>
      <c r="OJB1335" s="4" t="s">
        <v>2879</v>
      </c>
      <c r="OJC1335" s="4" t="s">
        <v>2879</v>
      </c>
      <c r="OJD1335" s="4" t="s">
        <v>2879</v>
      </c>
      <c r="OJE1335" s="4" t="s">
        <v>2879</v>
      </c>
      <c r="OJF1335" s="4" t="s">
        <v>2879</v>
      </c>
      <c r="OJG1335" s="4" t="s">
        <v>2879</v>
      </c>
      <c r="OJH1335" s="4" t="s">
        <v>2879</v>
      </c>
      <c r="OJI1335" s="4" t="s">
        <v>2879</v>
      </c>
      <c r="OJJ1335" s="4" t="s">
        <v>2879</v>
      </c>
      <c r="OJK1335" s="4" t="s">
        <v>2879</v>
      </c>
      <c r="OJL1335" s="4" t="s">
        <v>2879</v>
      </c>
      <c r="OJM1335" s="4" t="s">
        <v>2879</v>
      </c>
      <c r="OJN1335" s="4" t="s">
        <v>2879</v>
      </c>
      <c r="OJO1335" s="4" t="s">
        <v>2879</v>
      </c>
      <c r="OJP1335" s="4" t="s">
        <v>2879</v>
      </c>
      <c r="OJQ1335" s="4" t="s">
        <v>2879</v>
      </c>
      <c r="OJR1335" s="4" t="s">
        <v>2879</v>
      </c>
      <c r="OJS1335" s="4" t="s">
        <v>2879</v>
      </c>
      <c r="OJT1335" s="4" t="s">
        <v>2879</v>
      </c>
      <c r="OJU1335" s="4" t="s">
        <v>2879</v>
      </c>
      <c r="OJV1335" s="4" t="s">
        <v>2879</v>
      </c>
      <c r="OJW1335" s="4" t="s">
        <v>2879</v>
      </c>
      <c r="OJX1335" s="4" t="s">
        <v>2879</v>
      </c>
      <c r="OJY1335" s="4" t="s">
        <v>2879</v>
      </c>
      <c r="OJZ1335" s="4" t="s">
        <v>2879</v>
      </c>
      <c r="OKA1335" s="4" t="s">
        <v>2879</v>
      </c>
      <c r="OKB1335" s="4" t="s">
        <v>2879</v>
      </c>
      <c r="OKC1335" s="4" t="s">
        <v>2879</v>
      </c>
      <c r="OKD1335" s="4" t="s">
        <v>2879</v>
      </c>
      <c r="OKE1335" s="4" t="s">
        <v>2879</v>
      </c>
      <c r="OKF1335" s="4" t="s">
        <v>2879</v>
      </c>
      <c r="OKG1335" s="4" t="s">
        <v>2879</v>
      </c>
      <c r="OKH1335" s="4" t="s">
        <v>2879</v>
      </c>
      <c r="OKI1335" s="4" t="s">
        <v>2879</v>
      </c>
      <c r="OKJ1335" s="4" t="s">
        <v>2879</v>
      </c>
      <c r="OKK1335" s="4" t="s">
        <v>2879</v>
      </c>
      <c r="OKL1335" s="4" t="s">
        <v>2879</v>
      </c>
      <c r="OKM1335" s="4" t="s">
        <v>2879</v>
      </c>
      <c r="OKN1335" s="4" t="s">
        <v>2879</v>
      </c>
      <c r="OKO1335" s="4" t="s">
        <v>2879</v>
      </c>
      <c r="OKP1335" s="4" t="s">
        <v>2879</v>
      </c>
      <c r="OKQ1335" s="4" t="s">
        <v>2879</v>
      </c>
      <c r="OKR1335" s="4" t="s">
        <v>2879</v>
      </c>
      <c r="OKS1335" s="4" t="s">
        <v>2879</v>
      </c>
      <c r="OKT1335" s="4" t="s">
        <v>2879</v>
      </c>
      <c r="OKU1335" s="4" t="s">
        <v>2879</v>
      </c>
      <c r="OKV1335" s="4" t="s">
        <v>2879</v>
      </c>
      <c r="OKW1335" s="4" t="s">
        <v>2879</v>
      </c>
      <c r="OKX1335" s="4" t="s">
        <v>2879</v>
      </c>
      <c r="OKY1335" s="4" t="s">
        <v>2879</v>
      </c>
      <c r="OKZ1335" s="4" t="s">
        <v>2879</v>
      </c>
      <c r="OLA1335" s="4" t="s">
        <v>2879</v>
      </c>
      <c r="OLB1335" s="4" t="s">
        <v>2879</v>
      </c>
      <c r="OLC1335" s="4" t="s">
        <v>2879</v>
      </c>
      <c r="OLD1335" s="4" t="s">
        <v>2879</v>
      </c>
      <c r="OLE1335" s="4" t="s">
        <v>2879</v>
      </c>
      <c r="OLF1335" s="4" t="s">
        <v>2879</v>
      </c>
      <c r="OLG1335" s="4" t="s">
        <v>2879</v>
      </c>
      <c r="OLH1335" s="4" t="s">
        <v>2879</v>
      </c>
      <c r="OLI1335" s="4" t="s">
        <v>2879</v>
      </c>
      <c r="OLJ1335" s="4" t="s">
        <v>2879</v>
      </c>
      <c r="OLK1335" s="4" t="s">
        <v>2879</v>
      </c>
      <c r="OLL1335" s="4" t="s">
        <v>2879</v>
      </c>
      <c r="OLM1335" s="4" t="s">
        <v>2879</v>
      </c>
      <c r="OLN1335" s="4" t="s">
        <v>2879</v>
      </c>
      <c r="OLO1335" s="4" t="s">
        <v>2879</v>
      </c>
      <c r="OLP1335" s="4" t="s">
        <v>2879</v>
      </c>
      <c r="OLQ1335" s="4" t="s">
        <v>2879</v>
      </c>
      <c r="OLR1335" s="4" t="s">
        <v>2879</v>
      </c>
      <c r="OLS1335" s="4" t="s">
        <v>2879</v>
      </c>
      <c r="OLT1335" s="4" t="s">
        <v>2879</v>
      </c>
      <c r="OLU1335" s="4" t="s">
        <v>2879</v>
      </c>
      <c r="OLV1335" s="4" t="s">
        <v>2879</v>
      </c>
      <c r="OLW1335" s="4" t="s">
        <v>2879</v>
      </c>
      <c r="OLX1335" s="4" t="s">
        <v>2879</v>
      </c>
      <c r="OLY1335" s="4" t="s">
        <v>2879</v>
      </c>
      <c r="OLZ1335" s="4" t="s">
        <v>2879</v>
      </c>
      <c r="OMA1335" s="4" t="s">
        <v>2879</v>
      </c>
      <c r="OMB1335" s="4" t="s">
        <v>2879</v>
      </c>
      <c r="OMC1335" s="4" t="s">
        <v>2879</v>
      </c>
      <c r="OMD1335" s="4" t="s">
        <v>2879</v>
      </c>
      <c r="OME1335" s="4" t="s">
        <v>2879</v>
      </c>
      <c r="OMF1335" s="4" t="s">
        <v>2879</v>
      </c>
      <c r="OMG1335" s="4" t="s">
        <v>2879</v>
      </c>
      <c r="OMH1335" s="4" t="s">
        <v>2879</v>
      </c>
      <c r="OMI1335" s="4" t="s">
        <v>2879</v>
      </c>
      <c r="OMJ1335" s="4" t="s">
        <v>2879</v>
      </c>
      <c r="OMK1335" s="4" t="s">
        <v>2879</v>
      </c>
      <c r="OML1335" s="4" t="s">
        <v>2879</v>
      </c>
      <c r="OMM1335" s="4" t="s">
        <v>2879</v>
      </c>
      <c r="OMN1335" s="4" t="s">
        <v>2879</v>
      </c>
      <c r="OMO1335" s="4" t="s">
        <v>2879</v>
      </c>
      <c r="OMP1335" s="4" t="s">
        <v>2879</v>
      </c>
      <c r="OMQ1335" s="4" t="s">
        <v>2879</v>
      </c>
      <c r="OMR1335" s="4" t="s">
        <v>2879</v>
      </c>
      <c r="OMS1335" s="4" t="s">
        <v>2879</v>
      </c>
      <c r="OMT1335" s="4" t="s">
        <v>2879</v>
      </c>
      <c r="OMU1335" s="4" t="s">
        <v>2879</v>
      </c>
      <c r="OMV1335" s="4" t="s">
        <v>2879</v>
      </c>
      <c r="OMW1335" s="4" t="s">
        <v>2879</v>
      </c>
      <c r="OMX1335" s="4" t="s">
        <v>2879</v>
      </c>
      <c r="OMY1335" s="4" t="s">
        <v>2879</v>
      </c>
      <c r="OMZ1335" s="4" t="s">
        <v>2879</v>
      </c>
      <c r="ONA1335" s="4" t="s">
        <v>2879</v>
      </c>
      <c r="ONB1335" s="4" t="s">
        <v>2879</v>
      </c>
      <c r="ONC1335" s="4" t="s">
        <v>2879</v>
      </c>
      <c r="OND1335" s="4" t="s">
        <v>2879</v>
      </c>
      <c r="ONE1335" s="4" t="s">
        <v>2879</v>
      </c>
      <c r="ONF1335" s="4" t="s">
        <v>2879</v>
      </c>
      <c r="ONG1335" s="4" t="s">
        <v>2879</v>
      </c>
      <c r="ONH1335" s="4" t="s">
        <v>2879</v>
      </c>
      <c r="ONI1335" s="4" t="s">
        <v>2879</v>
      </c>
      <c r="ONJ1335" s="4" t="s">
        <v>2879</v>
      </c>
      <c r="ONK1335" s="4" t="s">
        <v>2879</v>
      </c>
      <c r="ONL1335" s="4" t="s">
        <v>2879</v>
      </c>
      <c r="ONM1335" s="4" t="s">
        <v>2879</v>
      </c>
      <c r="ONN1335" s="4" t="s">
        <v>2879</v>
      </c>
      <c r="ONO1335" s="4" t="s">
        <v>2879</v>
      </c>
      <c r="ONP1335" s="4" t="s">
        <v>2879</v>
      </c>
      <c r="ONQ1335" s="4" t="s">
        <v>2879</v>
      </c>
      <c r="ONR1335" s="4" t="s">
        <v>2879</v>
      </c>
      <c r="ONS1335" s="4" t="s">
        <v>2879</v>
      </c>
      <c r="ONT1335" s="4" t="s">
        <v>2879</v>
      </c>
      <c r="ONU1335" s="4" t="s">
        <v>2879</v>
      </c>
      <c r="ONV1335" s="4" t="s">
        <v>2879</v>
      </c>
      <c r="ONW1335" s="4" t="s">
        <v>2879</v>
      </c>
      <c r="ONX1335" s="4" t="s">
        <v>2879</v>
      </c>
      <c r="ONY1335" s="4" t="s">
        <v>2879</v>
      </c>
      <c r="ONZ1335" s="4" t="s">
        <v>2879</v>
      </c>
      <c r="OOA1335" s="4" t="s">
        <v>2879</v>
      </c>
      <c r="OOB1335" s="4" t="s">
        <v>2879</v>
      </c>
      <c r="OOC1335" s="4" t="s">
        <v>2879</v>
      </c>
      <c r="OOD1335" s="4" t="s">
        <v>2879</v>
      </c>
      <c r="OOE1335" s="4" t="s">
        <v>2879</v>
      </c>
      <c r="OOF1335" s="4" t="s">
        <v>2879</v>
      </c>
      <c r="OOG1335" s="4" t="s">
        <v>2879</v>
      </c>
      <c r="OOH1335" s="4" t="s">
        <v>2879</v>
      </c>
      <c r="OOI1335" s="4" t="s">
        <v>2879</v>
      </c>
      <c r="OOJ1335" s="4" t="s">
        <v>2879</v>
      </c>
      <c r="OOK1335" s="4" t="s">
        <v>2879</v>
      </c>
      <c r="OOL1335" s="4" t="s">
        <v>2879</v>
      </c>
      <c r="OOM1335" s="4" t="s">
        <v>2879</v>
      </c>
      <c r="OON1335" s="4" t="s">
        <v>2879</v>
      </c>
      <c r="OOO1335" s="4" t="s">
        <v>2879</v>
      </c>
      <c r="OOP1335" s="4" t="s">
        <v>2879</v>
      </c>
      <c r="OOQ1335" s="4" t="s">
        <v>2879</v>
      </c>
      <c r="OOR1335" s="4" t="s">
        <v>2879</v>
      </c>
      <c r="OOS1335" s="4" t="s">
        <v>2879</v>
      </c>
      <c r="OOT1335" s="4" t="s">
        <v>2879</v>
      </c>
      <c r="OOU1335" s="4" t="s">
        <v>2879</v>
      </c>
      <c r="OOV1335" s="4" t="s">
        <v>2879</v>
      </c>
      <c r="OOW1335" s="4" t="s">
        <v>2879</v>
      </c>
      <c r="OOX1335" s="4" t="s">
        <v>2879</v>
      </c>
      <c r="OOY1335" s="4" t="s">
        <v>2879</v>
      </c>
      <c r="OOZ1335" s="4" t="s">
        <v>2879</v>
      </c>
      <c r="OPA1335" s="4" t="s">
        <v>2879</v>
      </c>
      <c r="OPB1335" s="4" t="s">
        <v>2879</v>
      </c>
      <c r="OPC1335" s="4" t="s">
        <v>2879</v>
      </c>
      <c r="OPD1335" s="4" t="s">
        <v>2879</v>
      </c>
      <c r="OPE1335" s="4" t="s">
        <v>2879</v>
      </c>
      <c r="OPF1335" s="4" t="s">
        <v>2879</v>
      </c>
      <c r="OPG1335" s="4" t="s">
        <v>2879</v>
      </c>
      <c r="OPH1335" s="4" t="s">
        <v>2879</v>
      </c>
      <c r="OPI1335" s="4" t="s">
        <v>2879</v>
      </c>
      <c r="OPJ1335" s="4" t="s">
        <v>2879</v>
      </c>
      <c r="OPK1335" s="4" t="s">
        <v>2879</v>
      </c>
      <c r="OPL1335" s="4" t="s">
        <v>2879</v>
      </c>
      <c r="OPM1335" s="4" t="s">
        <v>2879</v>
      </c>
      <c r="OPN1335" s="4" t="s">
        <v>2879</v>
      </c>
      <c r="OPO1335" s="4" t="s">
        <v>2879</v>
      </c>
      <c r="OPP1335" s="4" t="s">
        <v>2879</v>
      </c>
      <c r="OPQ1335" s="4" t="s">
        <v>2879</v>
      </c>
      <c r="OPR1335" s="4" t="s">
        <v>2879</v>
      </c>
      <c r="OPS1335" s="4" t="s">
        <v>2879</v>
      </c>
      <c r="OPT1335" s="4" t="s">
        <v>2879</v>
      </c>
      <c r="OPU1335" s="4" t="s">
        <v>2879</v>
      </c>
      <c r="OPV1335" s="4" t="s">
        <v>2879</v>
      </c>
      <c r="OPW1335" s="4" t="s">
        <v>2879</v>
      </c>
      <c r="OPX1335" s="4" t="s">
        <v>2879</v>
      </c>
      <c r="OPY1335" s="4" t="s">
        <v>2879</v>
      </c>
      <c r="OPZ1335" s="4" t="s">
        <v>2879</v>
      </c>
      <c r="OQA1335" s="4" t="s">
        <v>2879</v>
      </c>
      <c r="OQB1335" s="4" t="s">
        <v>2879</v>
      </c>
      <c r="OQC1335" s="4" t="s">
        <v>2879</v>
      </c>
      <c r="OQD1335" s="4" t="s">
        <v>2879</v>
      </c>
      <c r="OQE1335" s="4" t="s">
        <v>2879</v>
      </c>
      <c r="OQF1335" s="4" t="s">
        <v>2879</v>
      </c>
      <c r="OQG1335" s="4" t="s">
        <v>2879</v>
      </c>
      <c r="OQH1335" s="4" t="s">
        <v>2879</v>
      </c>
      <c r="OQI1335" s="4" t="s">
        <v>2879</v>
      </c>
      <c r="OQJ1335" s="4" t="s">
        <v>2879</v>
      </c>
      <c r="OQK1335" s="4" t="s">
        <v>2879</v>
      </c>
      <c r="OQL1335" s="4" t="s">
        <v>2879</v>
      </c>
      <c r="OQM1335" s="4" t="s">
        <v>2879</v>
      </c>
      <c r="OQN1335" s="4" t="s">
        <v>2879</v>
      </c>
      <c r="OQO1335" s="4" t="s">
        <v>2879</v>
      </c>
      <c r="OQP1335" s="4" t="s">
        <v>2879</v>
      </c>
      <c r="OQQ1335" s="4" t="s">
        <v>2879</v>
      </c>
      <c r="OQR1335" s="4" t="s">
        <v>2879</v>
      </c>
      <c r="OQS1335" s="4" t="s">
        <v>2879</v>
      </c>
      <c r="OQT1335" s="4" t="s">
        <v>2879</v>
      </c>
      <c r="OQU1335" s="4" t="s">
        <v>2879</v>
      </c>
      <c r="OQV1335" s="4" t="s">
        <v>2879</v>
      </c>
      <c r="OQW1335" s="4" t="s">
        <v>2879</v>
      </c>
      <c r="OQX1335" s="4" t="s">
        <v>2879</v>
      </c>
      <c r="OQY1335" s="4" t="s">
        <v>2879</v>
      </c>
      <c r="OQZ1335" s="4" t="s">
        <v>2879</v>
      </c>
      <c r="ORA1335" s="4" t="s">
        <v>2879</v>
      </c>
      <c r="ORB1335" s="4" t="s">
        <v>2879</v>
      </c>
      <c r="ORC1335" s="4" t="s">
        <v>2879</v>
      </c>
      <c r="ORD1335" s="4" t="s">
        <v>2879</v>
      </c>
      <c r="ORE1335" s="4" t="s">
        <v>2879</v>
      </c>
      <c r="ORF1335" s="4" t="s">
        <v>2879</v>
      </c>
      <c r="ORG1335" s="4" t="s">
        <v>2879</v>
      </c>
      <c r="ORH1335" s="4" t="s">
        <v>2879</v>
      </c>
      <c r="ORI1335" s="4" t="s">
        <v>2879</v>
      </c>
      <c r="ORJ1335" s="4" t="s">
        <v>2879</v>
      </c>
      <c r="ORK1335" s="4" t="s">
        <v>2879</v>
      </c>
      <c r="ORL1335" s="4" t="s">
        <v>2879</v>
      </c>
      <c r="ORM1335" s="4" t="s">
        <v>2879</v>
      </c>
      <c r="ORN1335" s="4" t="s">
        <v>2879</v>
      </c>
      <c r="ORO1335" s="4" t="s">
        <v>2879</v>
      </c>
      <c r="ORP1335" s="4" t="s">
        <v>2879</v>
      </c>
      <c r="ORQ1335" s="4" t="s">
        <v>2879</v>
      </c>
      <c r="ORR1335" s="4" t="s">
        <v>2879</v>
      </c>
      <c r="ORS1335" s="4" t="s">
        <v>2879</v>
      </c>
      <c r="ORT1335" s="4" t="s">
        <v>2879</v>
      </c>
      <c r="ORU1335" s="4" t="s">
        <v>2879</v>
      </c>
      <c r="ORV1335" s="4" t="s">
        <v>2879</v>
      </c>
      <c r="ORW1335" s="4" t="s">
        <v>2879</v>
      </c>
      <c r="ORX1335" s="4" t="s">
        <v>2879</v>
      </c>
      <c r="ORY1335" s="4" t="s">
        <v>2879</v>
      </c>
      <c r="ORZ1335" s="4" t="s">
        <v>2879</v>
      </c>
      <c r="OSA1335" s="4" t="s">
        <v>2879</v>
      </c>
      <c r="OSB1335" s="4" t="s">
        <v>2879</v>
      </c>
      <c r="OSC1335" s="4" t="s">
        <v>2879</v>
      </c>
      <c r="OSD1335" s="4" t="s">
        <v>2879</v>
      </c>
      <c r="OSE1335" s="4" t="s">
        <v>2879</v>
      </c>
      <c r="OSF1335" s="4" t="s">
        <v>2879</v>
      </c>
      <c r="OSG1335" s="4" t="s">
        <v>2879</v>
      </c>
      <c r="OSH1335" s="4" t="s">
        <v>2879</v>
      </c>
      <c r="OSI1335" s="4" t="s">
        <v>2879</v>
      </c>
      <c r="OSJ1335" s="4" t="s">
        <v>2879</v>
      </c>
      <c r="OSK1335" s="4" t="s">
        <v>2879</v>
      </c>
      <c r="OSL1335" s="4" t="s">
        <v>2879</v>
      </c>
      <c r="OSM1335" s="4" t="s">
        <v>2879</v>
      </c>
      <c r="OSN1335" s="4" t="s">
        <v>2879</v>
      </c>
      <c r="OSO1335" s="4" t="s">
        <v>2879</v>
      </c>
      <c r="OSP1335" s="4" t="s">
        <v>2879</v>
      </c>
      <c r="OSQ1335" s="4" t="s">
        <v>2879</v>
      </c>
      <c r="OSR1335" s="4" t="s">
        <v>2879</v>
      </c>
      <c r="OSS1335" s="4" t="s">
        <v>2879</v>
      </c>
      <c r="OST1335" s="4" t="s">
        <v>2879</v>
      </c>
      <c r="OSU1335" s="4" t="s">
        <v>2879</v>
      </c>
      <c r="OSV1335" s="4" t="s">
        <v>2879</v>
      </c>
      <c r="OSW1335" s="4" t="s">
        <v>2879</v>
      </c>
      <c r="OSX1335" s="4" t="s">
        <v>2879</v>
      </c>
      <c r="OSY1335" s="4" t="s">
        <v>2879</v>
      </c>
      <c r="OSZ1335" s="4" t="s">
        <v>2879</v>
      </c>
      <c r="OTA1335" s="4" t="s">
        <v>2879</v>
      </c>
      <c r="OTB1335" s="4" t="s">
        <v>2879</v>
      </c>
      <c r="OTC1335" s="4" t="s">
        <v>2879</v>
      </c>
      <c r="OTD1335" s="4" t="s">
        <v>2879</v>
      </c>
      <c r="OTE1335" s="4" t="s">
        <v>2879</v>
      </c>
      <c r="OTF1335" s="4" t="s">
        <v>2879</v>
      </c>
      <c r="OTG1335" s="4" t="s">
        <v>2879</v>
      </c>
      <c r="OTH1335" s="4" t="s">
        <v>2879</v>
      </c>
      <c r="OTI1335" s="4" t="s">
        <v>2879</v>
      </c>
      <c r="OTJ1335" s="4" t="s">
        <v>2879</v>
      </c>
      <c r="OTK1335" s="4" t="s">
        <v>2879</v>
      </c>
      <c r="OTL1335" s="4" t="s">
        <v>2879</v>
      </c>
      <c r="OTM1335" s="4" t="s">
        <v>2879</v>
      </c>
      <c r="OTN1335" s="4" t="s">
        <v>2879</v>
      </c>
      <c r="OTO1335" s="4" t="s">
        <v>2879</v>
      </c>
      <c r="OTP1335" s="4" t="s">
        <v>2879</v>
      </c>
      <c r="OTQ1335" s="4" t="s">
        <v>2879</v>
      </c>
      <c r="OTR1335" s="4" t="s">
        <v>2879</v>
      </c>
      <c r="OTS1335" s="4" t="s">
        <v>2879</v>
      </c>
      <c r="OTT1335" s="4" t="s">
        <v>2879</v>
      </c>
      <c r="OTU1335" s="4" t="s">
        <v>2879</v>
      </c>
      <c r="OTV1335" s="4" t="s">
        <v>2879</v>
      </c>
      <c r="OTW1335" s="4" t="s">
        <v>2879</v>
      </c>
      <c r="OTX1335" s="4" t="s">
        <v>2879</v>
      </c>
      <c r="OTY1335" s="4" t="s">
        <v>2879</v>
      </c>
      <c r="OTZ1335" s="4" t="s">
        <v>2879</v>
      </c>
      <c r="OUA1335" s="4" t="s">
        <v>2879</v>
      </c>
      <c r="OUB1335" s="4" t="s">
        <v>2879</v>
      </c>
      <c r="OUC1335" s="4" t="s">
        <v>2879</v>
      </c>
      <c r="OUD1335" s="4" t="s">
        <v>2879</v>
      </c>
      <c r="OUE1335" s="4" t="s">
        <v>2879</v>
      </c>
      <c r="OUF1335" s="4" t="s">
        <v>2879</v>
      </c>
      <c r="OUG1335" s="4" t="s">
        <v>2879</v>
      </c>
      <c r="OUH1335" s="4" t="s">
        <v>2879</v>
      </c>
      <c r="OUI1335" s="4" t="s">
        <v>2879</v>
      </c>
      <c r="OUJ1335" s="4" t="s">
        <v>2879</v>
      </c>
      <c r="OUK1335" s="4" t="s">
        <v>2879</v>
      </c>
      <c r="OUL1335" s="4" t="s">
        <v>2879</v>
      </c>
      <c r="OUM1335" s="4" t="s">
        <v>2879</v>
      </c>
      <c r="OUN1335" s="4" t="s">
        <v>2879</v>
      </c>
      <c r="OUO1335" s="4" t="s">
        <v>2879</v>
      </c>
      <c r="OUP1335" s="4" t="s">
        <v>2879</v>
      </c>
      <c r="OUQ1335" s="4" t="s">
        <v>2879</v>
      </c>
      <c r="OUR1335" s="4" t="s">
        <v>2879</v>
      </c>
      <c r="OUS1335" s="4" t="s">
        <v>2879</v>
      </c>
      <c r="OUT1335" s="4" t="s">
        <v>2879</v>
      </c>
      <c r="OUU1335" s="4" t="s">
        <v>2879</v>
      </c>
      <c r="OUV1335" s="4" t="s">
        <v>2879</v>
      </c>
      <c r="OUW1335" s="4" t="s">
        <v>2879</v>
      </c>
      <c r="OUX1335" s="4" t="s">
        <v>2879</v>
      </c>
      <c r="OUY1335" s="4" t="s">
        <v>2879</v>
      </c>
      <c r="OUZ1335" s="4" t="s">
        <v>2879</v>
      </c>
      <c r="OVA1335" s="4" t="s">
        <v>2879</v>
      </c>
      <c r="OVB1335" s="4" t="s">
        <v>2879</v>
      </c>
      <c r="OVC1335" s="4" t="s">
        <v>2879</v>
      </c>
      <c r="OVD1335" s="4" t="s">
        <v>2879</v>
      </c>
      <c r="OVE1335" s="4" t="s">
        <v>2879</v>
      </c>
      <c r="OVF1335" s="4" t="s">
        <v>2879</v>
      </c>
      <c r="OVG1335" s="4" t="s">
        <v>2879</v>
      </c>
      <c r="OVH1335" s="4" t="s">
        <v>2879</v>
      </c>
      <c r="OVI1335" s="4" t="s">
        <v>2879</v>
      </c>
      <c r="OVJ1335" s="4" t="s">
        <v>2879</v>
      </c>
      <c r="OVK1335" s="4" t="s">
        <v>2879</v>
      </c>
      <c r="OVL1335" s="4" t="s">
        <v>2879</v>
      </c>
      <c r="OVM1335" s="4" t="s">
        <v>2879</v>
      </c>
      <c r="OVN1335" s="4" t="s">
        <v>2879</v>
      </c>
      <c r="OVO1335" s="4" t="s">
        <v>2879</v>
      </c>
      <c r="OVP1335" s="4" t="s">
        <v>2879</v>
      </c>
      <c r="OVQ1335" s="4" t="s">
        <v>2879</v>
      </c>
      <c r="OVR1335" s="4" t="s">
        <v>2879</v>
      </c>
      <c r="OVS1335" s="4" t="s">
        <v>2879</v>
      </c>
      <c r="OVT1335" s="4" t="s">
        <v>2879</v>
      </c>
      <c r="OVU1335" s="4" t="s">
        <v>2879</v>
      </c>
      <c r="OVV1335" s="4" t="s">
        <v>2879</v>
      </c>
      <c r="OVW1335" s="4" t="s">
        <v>2879</v>
      </c>
      <c r="OVX1335" s="4" t="s">
        <v>2879</v>
      </c>
      <c r="OVY1335" s="4" t="s">
        <v>2879</v>
      </c>
      <c r="OVZ1335" s="4" t="s">
        <v>2879</v>
      </c>
      <c r="OWA1335" s="4" t="s">
        <v>2879</v>
      </c>
      <c r="OWB1335" s="4" t="s">
        <v>2879</v>
      </c>
      <c r="OWC1335" s="4" t="s">
        <v>2879</v>
      </c>
      <c r="OWD1335" s="4" t="s">
        <v>2879</v>
      </c>
      <c r="OWE1335" s="4" t="s">
        <v>2879</v>
      </c>
      <c r="OWF1335" s="4" t="s">
        <v>2879</v>
      </c>
      <c r="OWG1335" s="4" t="s">
        <v>2879</v>
      </c>
      <c r="OWH1335" s="4" t="s">
        <v>2879</v>
      </c>
      <c r="OWI1335" s="4" t="s">
        <v>2879</v>
      </c>
      <c r="OWJ1335" s="4" t="s">
        <v>2879</v>
      </c>
      <c r="OWK1335" s="4" t="s">
        <v>2879</v>
      </c>
      <c r="OWL1335" s="4" t="s">
        <v>2879</v>
      </c>
      <c r="OWM1335" s="4" t="s">
        <v>2879</v>
      </c>
      <c r="OWN1335" s="4" t="s">
        <v>2879</v>
      </c>
      <c r="OWO1335" s="4" t="s">
        <v>2879</v>
      </c>
      <c r="OWP1335" s="4" t="s">
        <v>2879</v>
      </c>
      <c r="OWQ1335" s="4" t="s">
        <v>2879</v>
      </c>
      <c r="OWR1335" s="4" t="s">
        <v>2879</v>
      </c>
      <c r="OWS1335" s="4" t="s">
        <v>2879</v>
      </c>
      <c r="OWT1335" s="4" t="s">
        <v>2879</v>
      </c>
      <c r="OWU1335" s="4" t="s">
        <v>2879</v>
      </c>
      <c r="OWV1335" s="4" t="s">
        <v>2879</v>
      </c>
      <c r="OWW1335" s="4" t="s">
        <v>2879</v>
      </c>
      <c r="OWX1335" s="4" t="s">
        <v>2879</v>
      </c>
      <c r="OWY1335" s="4" t="s">
        <v>2879</v>
      </c>
      <c r="OWZ1335" s="4" t="s">
        <v>2879</v>
      </c>
      <c r="OXA1335" s="4" t="s">
        <v>2879</v>
      </c>
      <c r="OXB1335" s="4" t="s">
        <v>2879</v>
      </c>
      <c r="OXC1335" s="4" t="s">
        <v>2879</v>
      </c>
      <c r="OXD1335" s="4" t="s">
        <v>2879</v>
      </c>
      <c r="OXE1335" s="4" t="s">
        <v>2879</v>
      </c>
      <c r="OXF1335" s="4" t="s">
        <v>2879</v>
      </c>
      <c r="OXG1335" s="4" t="s">
        <v>2879</v>
      </c>
      <c r="OXH1335" s="4" t="s">
        <v>2879</v>
      </c>
      <c r="OXI1335" s="4" t="s">
        <v>2879</v>
      </c>
      <c r="OXJ1335" s="4" t="s">
        <v>2879</v>
      </c>
      <c r="OXK1335" s="4" t="s">
        <v>2879</v>
      </c>
      <c r="OXL1335" s="4" t="s">
        <v>2879</v>
      </c>
      <c r="OXM1335" s="4" t="s">
        <v>2879</v>
      </c>
      <c r="OXN1335" s="4" t="s">
        <v>2879</v>
      </c>
      <c r="OXO1335" s="4" t="s">
        <v>2879</v>
      </c>
      <c r="OXP1335" s="4" t="s">
        <v>2879</v>
      </c>
      <c r="OXQ1335" s="4" t="s">
        <v>2879</v>
      </c>
      <c r="OXR1335" s="4" t="s">
        <v>2879</v>
      </c>
      <c r="OXS1335" s="4" t="s">
        <v>2879</v>
      </c>
      <c r="OXT1335" s="4" t="s">
        <v>2879</v>
      </c>
      <c r="OXU1335" s="4" t="s">
        <v>2879</v>
      </c>
      <c r="OXV1335" s="4" t="s">
        <v>2879</v>
      </c>
      <c r="OXW1335" s="4" t="s">
        <v>2879</v>
      </c>
      <c r="OXX1335" s="4" t="s">
        <v>2879</v>
      </c>
      <c r="OXY1335" s="4" t="s">
        <v>2879</v>
      </c>
      <c r="OXZ1335" s="4" t="s">
        <v>2879</v>
      </c>
      <c r="OYA1335" s="4" t="s">
        <v>2879</v>
      </c>
      <c r="OYB1335" s="4" t="s">
        <v>2879</v>
      </c>
      <c r="OYC1335" s="4" t="s">
        <v>2879</v>
      </c>
      <c r="OYD1335" s="4" t="s">
        <v>2879</v>
      </c>
      <c r="OYE1335" s="4" t="s">
        <v>2879</v>
      </c>
      <c r="OYF1335" s="4" t="s">
        <v>2879</v>
      </c>
      <c r="OYG1335" s="4" t="s">
        <v>2879</v>
      </c>
      <c r="OYH1335" s="4" t="s">
        <v>2879</v>
      </c>
      <c r="OYI1335" s="4" t="s">
        <v>2879</v>
      </c>
      <c r="OYJ1335" s="4" t="s">
        <v>2879</v>
      </c>
      <c r="OYK1335" s="4" t="s">
        <v>2879</v>
      </c>
      <c r="OYL1335" s="4" t="s">
        <v>2879</v>
      </c>
      <c r="OYM1335" s="4" t="s">
        <v>2879</v>
      </c>
      <c r="OYN1335" s="4" t="s">
        <v>2879</v>
      </c>
      <c r="OYO1335" s="4" t="s">
        <v>2879</v>
      </c>
      <c r="OYP1335" s="4" t="s">
        <v>2879</v>
      </c>
      <c r="OYQ1335" s="4" t="s">
        <v>2879</v>
      </c>
      <c r="OYR1335" s="4" t="s">
        <v>2879</v>
      </c>
      <c r="OYS1335" s="4" t="s">
        <v>2879</v>
      </c>
      <c r="OYT1335" s="4" t="s">
        <v>2879</v>
      </c>
      <c r="OYU1335" s="4" t="s">
        <v>2879</v>
      </c>
      <c r="OYV1335" s="4" t="s">
        <v>2879</v>
      </c>
      <c r="OYW1335" s="4" t="s">
        <v>2879</v>
      </c>
      <c r="OYX1335" s="4" t="s">
        <v>2879</v>
      </c>
      <c r="OYY1335" s="4" t="s">
        <v>2879</v>
      </c>
      <c r="OYZ1335" s="4" t="s">
        <v>2879</v>
      </c>
      <c r="OZA1335" s="4" t="s">
        <v>2879</v>
      </c>
      <c r="OZB1335" s="4" t="s">
        <v>2879</v>
      </c>
      <c r="OZC1335" s="4" t="s">
        <v>2879</v>
      </c>
      <c r="OZD1335" s="4" t="s">
        <v>2879</v>
      </c>
      <c r="OZE1335" s="4" t="s">
        <v>2879</v>
      </c>
      <c r="OZF1335" s="4" t="s">
        <v>2879</v>
      </c>
      <c r="OZG1335" s="4" t="s">
        <v>2879</v>
      </c>
      <c r="OZH1335" s="4" t="s">
        <v>2879</v>
      </c>
      <c r="OZI1335" s="4" t="s">
        <v>2879</v>
      </c>
      <c r="OZJ1335" s="4" t="s">
        <v>2879</v>
      </c>
      <c r="OZK1335" s="4" t="s">
        <v>2879</v>
      </c>
      <c r="OZL1335" s="4" t="s">
        <v>2879</v>
      </c>
      <c r="OZM1335" s="4" t="s">
        <v>2879</v>
      </c>
      <c r="OZN1335" s="4" t="s">
        <v>2879</v>
      </c>
      <c r="OZO1335" s="4" t="s">
        <v>2879</v>
      </c>
      <c r="OZP1335" s="4" t="s">
        <v>2879</v>
      </c>
      <c r="OZQ1335" s="4" t="s">
        <v>2879</v>
      </c>
      <c r="OZR1335" s="4" t="s">
        <v>2879</v>
      </c>
      <c r="OZS1335" s="4" t="s">
        <v>2879</v>
      </c>
      <c r="OZT1335" s="4" t="s">
        <v>2879</v>
      </c>
      <c r="OZU1335" s="4" t="s">
        <v>2879</v>
      </c>
      <c r="OZV1335" s="4" t="s">
        <v>2879</v>
      </c>
      <c r="OZW1335" s="4" t="s">
        <v>2879</v>
      </c>
      <c r="OZX1335" s="4" t="s">
        <v>2879</v>
      </c>
      <c r="OZY1335" s="4" t="s">
        <v>2879</v>
      </c>
      <c r="OZZ1335" s="4" t="s">
        <v>2879</v>
      </c>
      <c r="PAA1335" s="4" t="s">
        <v>2879</v>
      </c>
      <c r="PAB1335" s="4" t="s">
        <v>2879</v>
      </c>
      <c r="PAC1335" s="4" t="s">
        <v>2879</v>
      </c>
      <c r="PAD1335" s="4" t="s">
        <v>2879</v>
      </c>
      <c r="PAE1335" s="4" t="s">
        <v>2879</v>
      </c>
      <c r="PAF1335" s="4" t="s">
        <v>2879</v>
      </c>
      <c r="PAG1335" s="4" t="s">
        <v>2879</v>
      </c>
      <c r="PAH1335" s="4" t="s">
        <v>2879</v>
      </c>
      <c r="PAI1335" s="4" t="s">
        <v>2879</v>
      </c>
      <c r="PAJ1335" s="4" t="s">
        <v>2879</v>
      </c>
      <c r="PAK1335" s="4" t="s">
        <v>2879</v>
      </c>
      <c r="PAL1335" s="4" t="s">
        <v>2879</v>
      </c>
      <c r="PAM1335" s="4" t="s">
        <v>2879</v>
      </c>
      <c r="PAN1335" s="4" t="s">
        <v>2879</v>
      </c>
      <c r="PAO1335" s="4" t="s">
        <v>2879</v>
      </c>
      <c r="PAP1335" s="4" t="s">
        <v>2879</v>
      </c>
      <c r="PAQ1335" s="4" t="s">
        <v>2879</v>
      </c>
      <c r="PAR1335" s="4" t="s">
        <v>2879</v>
      </c>
      <c r="PAS1335" s="4" t="s">
        <v>2879</v>
      </c>
      <c r="PAT1335" s="4" t="s">
        <v>2879</v>
      </c>
      <c r="PAU1335" s="4" t="s">
        <v>2879</v>
      </c>
      <c r="PAV1335" s="4" t="s">
        <v>2879</v>
      </c>
      <c r="PAW1335" s="4" t="s">
        <v>2879</v>
      </c>
      <c r="PAX1335" s="4" t="s">
        <v>2879</v>
      </c>
      <c r="PAY1335" s="4" t="s">
        <v>2879</v>
      </c>
      <c r="PAZ1335" s="4" t="s">
        <v>2879</v>
      </c>
      <c r="PBA1335" s="4" t="s">
        <v>2879</v>
      </c>
      <c r="PBB1335" s="4" t="s">
        <v>2879</v>
      </c>
      <c r="PBC1335" s="4" t="s">
        <v>2879</v>
      </c>
      <c r="PBD1335" s="4" t="s">
        <v>2879</v>
      </c>
      <c r="PBE1335" s="4" t="s">
        <v>2879</v>
      </c>
      <c r="PBF1335" s="4" t="s">
        <v>2879</v>
      </c>
      <c r="PBG1335" s="4" t="s">
        <v>2879</v>
      </c>
      <c r="PBH1335" s="4" t="s">
        <v>2879</v>
      </c>
      <c r="PBI1335" s="4" t="s">
        <v>2879</v>
      </c>
      <c r="PBJ1335" s="4" t="s">
        <v>2879</v>
      </c>
      <c r="PBK1335" s="4" t="s">
        <v>2879</v>
      </c>
      <c r="PBL1335" s="4" t="s">
        <v>2879</v>
      </c>
      <c r="PBM1335" s="4" t="s">
        <v>2879</v>
      </c>
      <c r="PBN1335" s="4" t="s">
        <v>2879</v>
      </c>
      <c r="PBO1335" s="4" t="s">
        <v>2879</v>
      </c>
      <c r="PBP1335" s="4" t="s">
        <v>2879</v>
      </c>
      <c r="PBQ1335" s="4" t="s">
        <v>2879</v>
      </c>
      <c r="PBR1335" s="4" t="s">
        <v>2879</v>
      </c>
      <c r="PBS1335" s="4" t="s">
        <v>2879</v>
      </c>
      <c r="PBT1335" s="4" t="s">
        <v>2879</v>
      </c>
      <c r="PBU1335" s="4" t="s">
        <v>2879</v>
      </c>
      <c r="PBV1335" s="4" t="s">
        <v>2879</v>
      </c>
      <c r="PBW1335" s="4" t="s">
        <v>2879</v>
      </c>
      <c r="PBX1335" s="4" t="s">
        <v>2879</v>
      </c>
      <c r="PBY1335" s="4" t="s">
        <v>2879</v>
      </c>
      <c r="PBZ1335" s="4" t="s">
        <v>2879</v>
      </c>
      <c r="PCA1335" s="4" t="s">
        <v>2879</v>
      </c>
      <c r="PCB1335" s="4" t="s">
        <v>2879</v>
      </c>
      <c r="PCC1335" s="4" t="s">
        <v>2879</v>
      </c>
      <c r="PCD1335" s="4" t="s">
        <v>2879</v>
      </c>
      <c r="PCE1335" s="4" t="s">
        <v>2879</v>
      </c>
      <c r="PCF1335" s="4" t="s">
        <v>2879</v>
      </c>
      <c r="PCG1335" s="4" t="s">
        <v>2879</v>
      </c>
      <c r="PCH1335" s="4" t="s">
        <v>2879</v>
      </c>
      <c r="PCI1335" s="4" t="s">
        <v>2879</v>
      </c>
      <c r="PCJ1335" s="4" t="s">
        <v>2879</v>
      </c>
      <c r="PCK1335" s="4" t="s">
        <v>2879</v>
      </c>
      <c r="PCL1335" s="4" t="s">
        <v>2879</v>
      </c>
      <c r="PCM1335" s="4" t="s">
        <v>2879</v>
      </c>
      <c r="PCN1335" s="4" t="s">
        <v>2879</v>
      </c>
      <c r="PCO1335" s="4" t="s">
        <v>2879</v>
      </c>
      <c r="PCP1335" s="4" t="s">
        <v>2879</v>
      </c>
      <c r="PCQ1335" s="4" t="s">
        <v>2879</v>
      </c>
      <c r="PCR1335" s="4" t="s">
        <v>2879</v>
      </c>
      <c r="PCS1335" s="4" t="s">
        <v>2879</v>
      </c>
      <c r="PCT1335" s="4" t="s">
        <v>2879</v>
      </c>
      <c r="PCU1335" s="4" t="s">
        <v>2879</v>
      </c>
      <c r="PCV1335" s="4" t="s">
        <v>2879</v>
      </c>
      <c r="PCW1335" s="4" t="s">
        <v>2879</v>
      </c>
      <c r="PCX1335" s="4" t="s">
        <v>2879</v>
      </c>
      <c r="PCY1335" s="4" t="s">
        <v>2879</v>
      </c>
      <c r="PCZ1335" s="4" t="s">
        <v>2879</v>
      </c>
      <c r="PDA1335" s="4" t="s">
        <v>2879</v>
      </c>
      <c r="PDB1335" s="4" t="s">
        <v>2879</v>
      </c>
      <c r="PDC1335" s="4" t="s">
        <v>2879</v>
      </c>
      <c r="PDD1335" s="4" t="s">
        <v>2879</v>
      </c>
      <c r="PDE1335" s="4" t="s">
        <v>2879</v>
      </c>
      <c r="PDF1335" s="4" t="s">
        <v>2879</v>
      </c>
      <c r="PDG1335" s="4" t="s">
        <v>2879</v>
      </c>
      <c r="PDH1335" s="4" t="s">
        <v>2879</v>
      </c>
      <c r="PDI1335" s="4" t="s">
        <v>2879</v>
      </c>
      <c r="PDJ1335" s="4" t="s">
        <v>2879</v>
      </c>
      <c r="PDK1335" s="4" t="s">
        <v>2879</v>
      </c>
      <c r="PDL1335" s="4" t="s">
        <v>2879</v>
      </c>
      <c r="PDM1335" s="4" t="s">
        <v>2879</v>
      </c>
      <c r="PDN1335" s="4" t="s">
        <v>2879</v>
      </c>
      <c r="PDO1335" s="4" t="s">
        <v>2879</v>
      </c>
      <c r="PDP1335" s="4" t="s">
        <v>2879</v>
      </c>
      <c r="PDQ1335" s="4" t="s">
        <v>2879</v>
      </c>
      <c r="PDR1335" s="4" t="s">
        <v>2879</v>
      </c>
      <c r="PDS1335" s="4" t="s">
        <v>2879</v>
      </c>
      <c r="PDT1335" s="4" t="s">
        <v>2879</v>
      </c>
      <c r="PDU1335" s="4" t="s">
        <v>2879</v>
      </c>
      <c r="PDV1335" s="4" t="s">
        <v>2879</v>
      </c>
      <c r="PDW1335" s="4" t="s">
        <v>2879</v>
      </c>
      <c r="PDX1335" s="4" t="s">
        <v>2879</v>
      </c>
      <c r="PDY1335" s="4" t="s">
        <v>2879</v>
      </c>
      <c r="PDZ1335" s="4" t="s">
        <v>2879</v>
      </c>
      <c r="PEA1335" s="4" t="s">
        <v>2879</v>
      </c>
      <c r="PEB1335" s="4" t="s">
        <v>2879</v>
      </c>
      <c r="PEC1335" s="4" t="s">
        <v>2879</v>
      </c>
      <c r="PED1335" s="4" t="s">
        <v>2879</v>
      </c>
      <c r="PEE1335" s="4" t="s">
        <v>2879</v>
      </c>
      <c r="PEF1335" s="4" t="s">
        <v>2879</v>
      </c>
      <c r="PEG1335" s="4" t="s">
        <v>2879</v>
      </c>
      <c r="PEH1335" s="4" t="s">
        <v>2879</v>
      </c>
      <c r="PEI1335" s="4" t="s">
        <v>2879</v>
      </c>
      <c r="PEJ1335" s="4" t="s">
        <v>2879</v>
      </c>
      <c r="PEK1335" s="4" t="s">
        <v>2879</v>
      </c>
      <c r="PEL1335" s="4" t="s">
        <v>2879</v>
      </c>
      <c r="PEM1335" s="4" t="s">
        <v>2879</v>
      </c>
      <c r="PEN1335" s="4" t="s">
        <v>2879</v>
      </c>
      <c r="PEO1335" s="4" t="s">
        <v>2879</v>
      </c>
      <c r="PEP1335" s="4" t="s">
        <v>2879</v>
      </c>
      <c r="PEQ1335" s="4" t="s">
        <v>2879</v>
      </c>
      <c r="PER1335" s="4" t="s">
        <v>2879</v>
      </c>
      <c r="PES1335" s="4" t="s">
        <v>2879</v>
      </c>
      <c r="PET1335" s="4" t="s">
        <v>2879</v>
      </c>
      <c r="PEU1335" s="4" t="s">
        <v>2879</v>
      </c>
      <c r="PEV1335" s="4" t="s">
        <v>2879</v>
      </c>
      <c r="PEW1335" s="4" t="s">
        <v>2879</v>
      </c>
      <c r="PEX1335" s="4" t="s">
        <v>2879</v>
      </c>
      <c r="PEY1335" s="4" t="s">
        <v>2879</v>
      </c>
      <c r="PEZ1335" s="4" t="s">
        <v>2879</v>
      </c>
      <c r="PFA1335" s="4" t="s">
        <v>2879</v>
      </c>
      <c r="PFB1335" s="4" t="s">
        <v>2879</v>
      </c>
      <c r="PFC1335" s="4" t="s">
        <v>2879</v>
      </c>
      <c r="PFD1335" s="4" t="s">
        <v>2879</v>
      </c>
      <c r="PFE1335" s="4" t="s">
        <v>2879</v>
      </c>
      <c r="PFF1335" s="4" t="s">
        <v>2879</v>
      </c>
      <c r="PFG1335" s="4" t="s">
        <v>2879</v>
      </c>
      <c r="PFH1335" s="4" t="s">
        <v>2879</v>
      </c>
      <c r="PFI1335" s="4" t="s">
        <v>2879</v>
      </c>
      <c r="PFJ1335" s="4" t="s">
        <v>2879</v>
      </c>
      <c r="PFK1335" s="4" t="s">
        <v>2879</v>
      </c>
      <c r="PFL1335" s="4" t="s">
        <v>2879</v>
      </c>
      <c r="PFM1335" s="4" t="s">
        <v>2879</v>
      </c>
      <c r="PFN1335" s="4" t="s">
        <v>2879</v>
      </c>
      <c r="PFO1335" s="4" t="s">
        <v>2879</v>
      </c>
      <c r="PFP1335" s="4" t="s">
        <v>2879</v>
      </c>
      <c r="PFQ1335" s="4" t="s">
        <v>2879</v>
      </c>
      <c r="PFR1335" s="4" t="s">
        <v>2879</v>
      </c>
      <c r="PFS1335" s="4" t="s">
        <v>2879</v>
      </c>
      <c r="PFT1335" s="4" t="s">
        <v>2879</v>
      </c>
      <c r="PFU1335" s="4" t="s">
        <v>2879</v>
      </c>
      <c r="PFV1335" s="4" t="s">
        <v>2879</v>
      </c>
      <c r="PFW1335" s="4" t="s">
        <v>2879</v>
      </c>
      <c r="PFX1335" s="4" t="s">
        <v>2879</v>
      </c>
      <c r="PFY1335" s="4" t="s">
        <v>2879</v>
      </c>
      <c r="PFZ1335" s="4" t="s">
        <v>2879</v>
      </c>
      <c r="PGA1335" s="4" t="s">
        <v>2879</v>
      </c>
      <c r="PGB1335" s="4" t="s">
        <v>2879</v>
      </c>
      <c r="PGC1335" s="4" t="s">
        <v>2879</v>
      </c>
      <c r="PGD1335" s="4" t="s">
        <v>2879</v>
      </c>
      <c r="PGE1335" s="4" t="s">
        <v>2879</v>
      </c>
      <c r="PGF1335" s="4" t="s">
        <v>2879</v>
      </c>
      <c r="PGG1335" s="4" t="s">
        <v>2879</v>
      </c>
      <c r="PGH1335" s="4" t="s">
        <v>2879</v>
      </c>
      <c r="PGI1335" s="4" t="s">
        <v>2879</v>
      </c>
      <c r="PGJ1335" s="4" t="s">
        <v>2879</v>
      </c>
      <c r="PGK1335" s="4" t="s">
        <v>2879</v>
      </c>
      <c r="PGL1335" s="4" t="s">
        <v>2879</v>
      </c>
      <c r="PGM1335" s="4" t="s">
        <v>2879</v>
      </c>
      <c r="PGN1335" s="4" t="s">
        <v>2879</v>
      </c>
      <c r="PGO1335" s="4" t="s">
        <v>2879</v>
      </c>
      <c r="PGP1335" s="4" t="s">
        <v>2879</v>
      </c>
      <c r="PGQ1335" s="4" t="s">
        <v>2879</v>
      </c>
      <c r="PGR1335" s="4" t="s">
        <v>2879</v>
      </c>
      <c r="PGS1335" s="4" t="s">
        <v>2879</v>
      </c>
      <c r="PGT1335" s="4" t="s">
        <v>2879</v>
      </c>
      <c r="PGU1335" s="4" t="s">
        <v>2879</v>
      </c>
      <c r="PGV1335" s="4" t="s">
        <v>2879</v>
      </c>
      <c r="PGW1335" s="4" t="s">
        <v>2879</v>
      </c>
      <c r="PGX1335" s="4" t="s">
        <v>2879</v>
      </c>
      <c r="PGY1335" s="4" t="s">
        <v>2879</v>
      </c>
      <c r="PGZ1335" s="4" t="s">
        <v>2879</v>
      </c>
      <c r="PHA1335" s="4" t="s">
        <v>2879</v>
      </c>
      <c r="PHB1335" s="4" t="s">
        <v>2879</v>
      </c>
      <c r="PHC1335" s="4" t="s">
        <v>2879</v>
      </c>
      <c r="PHD1335" s="4" t="s">
        <v>2879</v>
      </c>
      <c r="PHE1335" s="4" t="s">
        <v>2879</v>
      </c>
      <c r="PHF1335" s="4" t="s">
        <v>2879</v>
      </c>
      <c r="PHG1335" s="4" t="s">
        <v>2879</v>
      </c>
      <c r="PHH1335" s="4" t="s">
        <v>2879</v>
      </c>
      <c r="PHI1335" s="4" t="s">
        <v>2879</v>
      </c>
      <c r="PHJ1335" s="4" t="s">
        <v>2879</v>
      </c>
      <c r="PHK1335" s="4" t="s">
        <v>2879</v>
      </c>
      <c r="PHL1335" s="4" t="s">
        <v>2879</v>
      </c>
      <c r="PHM1335" s="4" t="s">
        <v>2879</v>
      </c>
      <c r="PHN1335" s="4" t="s">
        <v>2879</v>
      </c>
      <c r="PHO1335" s="4" t="s">
        <v>2879</v>
      </c>
      <c r="PHP1335" s="4" t="s">
        <v>2879</v>
      </c>
      <c r="PHQ1335" s="4" t="s">
        <v>2879</v>
      </c>
      <c r="PHR1335" s="4" t="s">
        <v>2879</v>
      </c>
      <c r="PHS1335" s="4" t="s">
        <v>2879</v>
      </c>
      <c r="PHT1335" s="4" t="s">
        <v>2879</v>
      </c>
      <c r="PHU1335" s="4" t="s">
        <v>2879</v>
      </c>
      <c r="PHV1335" s="4" t="s">
        <v>2879</v>
      </c>
      <c r="PHW1335" s="4" t="s">
        <v>2879</v>
      </c>
      <c r="PHX1335" s="4" t="s">
        <v>2879</v>
      </c>
      <c r="PHY1335" s="4" t="s">
        <v>2879</v>
      </c>
      <c r="PHZ1335" s="4" t="s">
        <v>2879</v>
      </c>
      <c r="PIA1335" s="4" t="s">
        <v>2879</v>
      </c>
      <c r="PIB1335" s="4" t="s">
        <v>2879</v>
      </c>
      <c r="PIC1335" s="4" t="s">
        <v>2879</v>
      </c>
      <c r="PID1335" s="4" t="s">
        <v>2879</v>
      </c>
      <c r="PIE1335" s="4" t="s">
        <v>2879</v>
      </c>
      <c r="PIF1335" s="4" t="s">
        <v>2879</v>
      </c>
      <c r="PIG1335" s="4" t="s">
        <v>2879</v>
      </c>
      <c r="PIH1335" s="4" t="s">
        <v>2879</v>
      </c>
      <c r="PII1335" s="4" t="s">
        <v>2879</v>
      </c>
      <c r="PIJ1335" s="4" t="s">
        <v>2879</v>
      </c>
      <c r="PIK1335" s="4" t="s">
        <v>2879</v>
      </c>
      <c r="PIL1335" s="4" t="s">
        <v>2879</v>
      </c>
      <c r="PIM1335" s="4" t="s">
        <v>2879</v>
      </c>
      <c r="PIN1335" s="4" t="s">
        <v>2879</v>
      </c>
      <c r="PIO1335" s="4" t="s">
        <v>2879</v>
      </c>
      <c r="PIP1335" s="4" t="s">
        <v>2879</v>
      </c>
      <c r="PIQ1335" s="4" t="s">
        <v>2879</v>
      </c>
      <c r="PIR1335" s="4" t="s">
        <v>2879</v>
      </c>
      <c r="PIS1335" s="4" t="s">
        <v>2879</v>
      </c>
      <c r="PIT1335" s="4" t="s">
        <v>2879</v>
      </c>
      <c r="PIU1335" s="4" t="s">
        <v>2879</v>
      </c>
      <c r="PIV1335" s="4" t="s">
        <v>2879</v>
      </c>
      <c r="PIW1335" s="4" t="s">
        <v>2879</v>
      </c>
      <c r="PIX1335" s="4" t="s">
        <v>2879</v>
      </c>
      <c r="PIY1335" s="4" t="s">
        <v>2879</v>
      </c>
      <c r="PIZ1335" s="4" t="s">
        <v>2879</v>
      </c>
      <c r="PJA1335" s="4" t="s">
        <v>2879</v>
      </c>
      <c r="PJB1335" s="4" t="s">
        <v>2879</v>
      </c>
      <c r="PJC1335" s="4" t="s">
        <v>2879</v>
      </c>
      <c r="PJD1335" s="4" t="s">
        <v>2879</v>
      </c>
      <c r="PJE1335" s="4" t="s">
        <v>2879</v>
      </c>
      <c r="PJF1335" s="4" t="s">
        <v>2879</v>
      </c>
      <c r="PJG1335" s="4" t="s">
        <v>2879</v>
      </c>
      <c r="PJH1335" s="4" t="s">
        <v>2879</v>
      </c>
      <c r="PJI1335" s="4" t="s">
        <v>2879</v>
      </c>
      <c r="PJJ1335" s="4" t="s">
        <v>2879</v>
      </c>
      <c r="PJK1335" s="4" t="s">
        <v>2879</v>
      </c>
      <c r="PJL1335" s="4" t="s">
        <v>2879</v>
      </c>
      <c r="PJM1335" s="4" t="s">
        <v>2879</v>
      </c>
      <c r="PJN1335" s="4" t="s">
        <v>2879</v>
      </c>
      <c r="PJO1335" s="4" t="s">
        <v>2879</v>
      </c>
      <c r="PJP1335" s="4" t="s">
        <v>2879</v>
      </c>
      <c r="PJQ1335" s="4" t="s">
        <v>2879</v>
      </c>
      <c r="PJR1335" s="4" t="s">
        <v>2879</v>
      </c>
      <c r="PJS1335" s="4" t="s">
        <v>2879</v>
      </c>
      <c r="PJT1335" s="4" t="s">
        <v>2879</v>
      </c>
      <c r="PJU1335" s="4" t="s">
        <v>2879</v>
      </c>
      <c r="PJV1335" s="4" t="s">
        <v>2879</v>
      </c>
      <c r="PJW1335" s="4" t="s">
        <v>2879</v>
      </c>
      <c r="PJX1335" s="4" t="s">
        <v>2879</v>
      </c>
      <c r="PJY1335" s="4" t="s">
        <v>2879</v>
      </c>
      <c r="PJZ1335" s="4" t="s">
        <v>2879</v>
      </c>
      <c r="PKA1335" s="4" t="s">
        <v>2879</v>
      </c>
      <c r="PKB1335" s="4" t="s">
        <v>2879</v>
      </c>
      <c r="PKC1335" s="4" t="s">
        <v>2879</v>
      </c>
      <c r="PKD1335" s="4" t="s">
        <v>2879</v>
      </c>
      <c r="PKE1335" s="4" t="s">
        <v>2879</v>
      </c>
      <c r="PKF1335" s="4" t="s">
        <v>2879</v>
      </c>
      <c r="PKG1335" s="4" t="s">
        <v>2879</v>
      </c>
      <c r="PKH1335" s="4" t="s">
        <v>2879</v>
      </c>
      <c r="PKI1335" s="4" t="s">
        <v>2879</v>
      </c>
      <c r="PKJ1335" s="4" t="s">
        <v>2879</v>
      </c>
      <c r="PKK1335" s="4" t="s">
        <v>2879</v>
      </c>
      <c r="PKL1335" s="4" t="s">
        <v>2879</v>
      </c>
      <c r="PKM1335" s="4" t="s">
        <v>2879</v>
      </c>
      <c r="PKN1335" s="4" t="s">
        <v>2879</v>
      </c>
      <c r="PKO1335" s="4" t="s">
        <v>2879</v>
      </c>
      <c r="PKP1335" s="4" t="s">
        <v>2879</v>
      </c>
      <c r="PKQ1335" s="4" t="s">
        <v>2879</v>
      </c>
      <c r="PKR1335" s="4" t="s">
        <v>2879</v>
      </c>
      <c r="PKS1335" s="4" t="s">
        <v>2879</v>
      </c>
      <c r="PKT1335" s="4" t="s">
        <v>2879</v>
      </c>
      <c r="PKU1335" s="4" t="s">
        <v>2879</v>
      </c>
      <c r="PKV1335" s="4" t="s">
        <v>2879</v>
      </c>
      <c r="PKW1335" s="4" t="s">
        <v>2879</v>
      </c>
      <c r="PKX1335" s="4" t="s">
        <v>2879</v>
      </c>
      <c r="PKY1335" s="4" t="s">
        <v>2879</v>
      </c>
      <c r="PKZ1335" s="4" t="s">
        <v>2879</v>
      </c>
      <c r="PLA1335" s="4" t="s">
        <v>2879</v>
      </c>
      <c r="PLB1335" s="4" t="s">
        <v>2879</v>
      </c>
      <c r="PLC1335" s="4" t="s">
        <v>2879</v>
      </c>
      <c r="PLD1335" s="4" t="s">
        <v>2879</v>
      </c>
      <c r="PLE1335" s="4" t="s">
        <v>2879</v>
      </c>
      <c r="PLF1335" s="4" t="s">
        <v>2879</v>
      </c>
      <c r="PLG1335" s="4" t="s">
        <v>2879</v>
      </c>
      <c r="PLH1335" s="4" t="s">
        <v>2879</v>
      </c>
      <c r="PLI1335" s="4" t="s">
        <v>2879</v>
      </c>
      <c r="PLJ1335" s="4" t="s">
        <v>2879</v>
      </c>
      <c r="PLK1335" s="4" t="s">
        <v>2879</v>
      </c>
      <c r="PLL1335" s="4" t="s">
        <v>2879</v>
      </c>
      <c r="PLM1335" s="4" t="s">
        <v>2879</v>
      </c>
      <c r="PLN1335" s="4" t="s">
        <v>2879</v>
      </c>
      <c r="PLO1335" s="4" t="s">
        <v>2879</v>
      </c>
      <c r="PLP1335" s="4" t="s">
        <v>2879</v>
      </c>
      <c r="PLQ1335" s="4" t="s">
        <v>2879</v>
      </c>
      <c r="PLR1335" s="4" t="s">
        <v>2879</v>
      </c>
      <c r="PLS1335" s="4" t="s">
        <v>2879</v>
      </c>
      <c r="PLT1335" s="4" t="s">
        <v>2879</v>
      </c>
      <c r="PLU1335" s="4" t="s">
        <v>2879</v>
      </c>
      <c r="PLV1335" s="4" t="s">
        <v>2879</v>
      </c>
      <c r="PLW1335" s="4" t="s">
        <v>2879</v>
      </c>
      <c r="PLX1335" s="4" t="s">
        <v>2879</v>
      </c>
      <c r="PLY1335" s="4" t="s">
        <v>2879</v>
      </c>
      <c r="PLZ1335" s="4" t="s">
        <v>2879</v>
      </c>
      <c r="PMA1335" s="4" t="s">
        <v>2879</v>
      </c>
      <c r="PMB1335" s="4" t="s">
        <v>2879</v>
      </c>
      <c r="PMC1335" s="4" t="s">
        <v>2879</v>
      </c>
      <c r="PMD1335" s="4" t="s">
        <v>2879</v>
      </c>
      <c r="PME1335" s="4" t="s">
        <v>2879</v>
      </c>
      <c r="PMF1335" s="4" t="s">
        <v>2879</v>
      </c>
      <c r="PMG1335" s="4" t="s">
        <v>2879</v>
      </c>
      <c r="PMH1335" s="4" t="s">
        <v>2879</v>
      </c>
      <c r="PMI1335" s="4" t="s">
        <v>2879</v>
      </c>
      <c r="PMJ1335" s="4" t="s">
        <v>2879</v>
      </c>
      <c r="PMK1335" s="4" t="s">
        <v>2879</v>
      </c>
      <c r="PML1335" s="4" t="s">
        <v>2879</v>
      </c>
      <c r="PMM1335" s="4" t="s">
        <v>2879</v>
      </c>
      <c r="PMN1335" s="4" t="s">
        <v>2879</v>
      </c>
      <c r="PMO1335" s="4" t="s">
        <v>2879</v>
      </c>
      <c r="PMP1335" s="4" t="s">
        <v>2879</v>
      </c>
      <c r="PMQ1335" s="4" t="s">
        <v>2879</v>
      </c>
      <c r="PMR1335" s="4" t="s">
        <v>2879</v>
      </c>
      <c r="PMS1335" s="4" t="s">
        <v>2879</v>
      </c>
      <c r="PMT1335" s="4" t="s">
        <v>2879</v>
      </c>
      <c r="PMU1335" s="4" t="s">
        <v>2879</v>
      </c>
      <c r="PMV1335" s="4" t="s">
        <v>2879</v>
      </c>
      <c r="PMW1335" s="4" t="s">
        <v>2879</v>
      </c>
      <c r="PMX1335" s="4" t="s">
        <v>2879</v>
      </c>
      <c r="PMY1335" s="4" t="s">
        <v>2879</v>
      </c>
      <c r="PMZ1335" s="4" t="s">
        <v>2879</v>
      </c>
      <c r="PNA1335" s="4" t="s">
        <v>2879</v>
      </c>
      <c r="PNB1335" s="4" t="s">
        <v>2879</v>
      </c>
      <c r="PNC1335" s="4" t="s">
        <v>2879</v>
      </c>
      <c r="PND1335" s="4" t="s">
        <v>2879</v>
      </c>
      <c r="PNE1335" s="4" t="s">
        <v>2879</v>
      </c>
      <c r="PNF1335" s="4" t="s">
        <v>2879</v>
      </c>
      <c r="PNG1335" s="4" t="s">
        <v>2879</v>
      </c>
      <c r="PNH1335" s="4" t="s">
        <v>2879</v>
      </c>
      <c r="PNI1335" s="4" t="s">
        <v>2879</v>
      </c>
      <c r="PNJ1335" s="4" t="s">
        <v>2879</v>
      </c>
      <c r="PNK1335" s="4" t="s">
        <v>2879</v>
      </c>
      <c r="PNL1335" s="4" t="s">
        <v>2879</v>
      </c>
      <c r="PNM1335" s="4" t="s">
        <v>2879</v>
      </c>
      <c r="PNN1335" s="4" t="s">
        <v>2879</v>
      </c>
      <c r="PNO1335" s="4" t="s">
        <v>2879</v>
      </c>
      <c r="PNP1335" s="4" t="s">
        <v>2879</v>
      </c>
      <c r="PNQ1335" s="4" t="s">
        <v>2879</v>
      </c>
      <c r="PNR1335" s="4" t="s">
        <v>2879</v>
      </c>
      <c r="PNS1335" s="4" t="s">
        <v>2879</v>
      </c>
      <c r="PNT1335" s="4" t="s">
        <v>2879</v>
      </c>
      <c r="PNU1335" s="4" t="s">
        <v>2879</v>
      </c>
      <c r="PNV1335" s="4" t="s">
        <v>2879</v>
      </c>
      <c r="PNW1335" s="4" t="s">
        <v>2879</v>
      </c>
      <c r="PNX1335" s="4" t="s">
        <v>2879</v>
      </c>
      <c r="PNY1335" s="4" t="s">
        <v>2879</v>
      </c>
      <c r="PNZ1335" s="4" t="s">
        <v>2879</v>
      </c>
      <c r="POA1335" s="4" t="s">
        <v>2879</v>
      </c>
      <c r="POB1335" s="4" t="s">
        <v>2879</v>
      </c>
      <c r="POC1335" s="4" t="s">
        <v>2879</v>
      </c>
      <c r="POD1335" s="4" t="s">
        <v>2879</v>
      </c>
      <c r="POE1335" s="4" t="s">
        <v>2879</v>
      </c>
      <c r="POF1335" s="4" t="s">
        <v>2879</v>
      </c>
      <c r="POG1335" s="4" t="s">
        <v>2879</v>
      </c>
      <c r="POH1335" s="4" t="s">
        <v>2879</v>
      </c>
      <c r="POI1335" s="4" t="s">
        <v>2879</v>
      </c>
      <c r="POJ1335" s="4" t="s">
        <v>2879</v>
      </c>
      <c r="POK1335" s="4" t="s">
        <v>2879</v>
      </c>
      <c r="POL1335" s="4" t="s">
        <v>2879</v>
      </c>
      <c r="POM1335" s="4" t="s">
        <v>2879</v>
      </c>
      <c r="PON1335" s="4" t="s">
        <v>2879</v>
      </c>
      <c r="POO1335" s="4" t="s">
        <v>2879</v>
      </c>
      <c r="POP1335" s="4" t="s">
        <v>2879</v>
      </c>
      <c r="POQ1335" s="4" t="s">
        <v>2879</v>
      </c>
      <c r="POR1335" s="4" t="s">
        <v>2879</v>
      </c>
      <c r="POS1335" s="4" t="s">
        <v>2879</v>
      </c>
      <c r="POT1335" s="4" t="s">
        <v>2879</v>
      </c>
      <c r="POU1335" s="4" t="s">
        <v>2879</v>
      </c>
      <c r="POV1335" s="4" t="s">
        <v>2879</v>
      </c>
      <c r="POW1335" s="4" t="s">
        <v>2879</v>
      </c>
      <c r="POX1335" s="4" t="s">
        <v>2879</v>
      </c>
      <c r="POY1335" s="4" t="s">
        <v>2879</v>
      </c>
      <c r="POZ1335" s="4" t="s">
        <v>2879</v>
      </c>
      <c r="PPA1335" s="4" t="s">
        <v>2879</v>
      </c>
      <c r="PPB1335" s="4" t="s">
        <v>2879</v>
      </c>
      <c r="PPC1335" s="4" t="s">
        <v>2879</v>
      </c>
      <c r="PPD1335" s="4" t="s">
        <v>2879</v>
      </c>
      <c r="PPE1335" s="4" t="s">
        <v>2879</v>
      </c>
      <c r="PPF1335" s="4" t="s">
        <v>2879</v>
      </c>
      <c r="PPG1335" s="4" t="s">
        <v>2879</v>
      </c>
      <c r="PPH1335" s="4" t="s">
        <v>2879</v>
      </c>
      <c r="PPI1335" s="4" t="s">
        <v>2879</v>
      </c>
      <c r="PPJ1335" s="4" t="s">
        <v>2879</v>
      </c>
      <c r="PPK1335" s="4" t="s">
        <v>2879</v>
      </c>
      <c r="PPL1335" s="4" t="s">
        <v>2879</v>
      </c>
      <c r="PPM1335" s="4" t="s">
        <v>2879</v>
      </c>
      <c r="PPN1335" s="4" t="s">
        <v>2879</v>
      </c>
      <c r="PPO1335" s="4" t="s">
        <v>2879</v>
      </c>
      <c r="PPP1335" s="4" t="s">
        <v>2879</v>
      </c>
      <c r="PPQ1335" s="4" t="s">
        <v>2879</v>
      </c>
      <c r="PPR1335" s="4" t="s">
        <v>2879</v>
      </c>
      <c r="PPS1335" s="4" t="s">
        <v>2879</v>
      </c>
      <c r="PPT1335" s="4" t="s">
        <v>2879</v>
      </c>
      <c r="PPU1335" s="4" t="s">
        <v>2879</v>
      </c>
      <c r="PPV1335" s="4" t="s">
        <v>2879</v>
      </c>
      <c r="PPW1335" s="4" t="s">
        <v>2879</v>
      </c>
      <c r="PPX1335" s="4" t="s">
        <v>2879</v>
      </c>
      <c r="PPY1335" s="4" t="s">
        <v>2879</v>
      </c>
      <c r="PPZ1335" s="4" t="s">
        <v>2879</v>
      </c>
      <c r="PQA1335" s="4" t="s">
        <v>2879</v>
      </c>
      <c r="PQB1335" s="4" t="s">
        <v>2879</v>
      </c>
      <c r="PQC1335" s="4" t="s">
        <v>2879</v>
      </c>
      <c r="PQD1335" s="4" t="s">
        <v>2879</v>
      </c>
      <c r="PQE1335" s="4" t="s">
        <v>2879</v>
      </c>
      <c r="PQF1335" s="4" t="s">
        <v>2879</v>
      </c>
      <c r="PQG1335" s="4" t="s">
        <v>2879</v>
      </c>
      <c r="PQH1335" s="4" t="s">
        <v>2879</v>
      </c>
      <c r="PQI1335" s="4" t="s">
        <v>2879</v>
      </c>
      <c r="PQJ1335" s="4" t="s">
        <v>2879</v>
      </c>
      <c r="PQK1335" s="4" t="s">
        <v>2879</v>
      </c>
      <c r="PQL1335" s="4" t="s">
        <v>2879</v>
      </c>
      <c r="PQM1335" s="4" t="s">
        <v>2879</v>
      </c>
      <c r="PQN1335" s="4" t="s">
        <v>2879</v>
      </c>
      <c r="PQO1335" s="4" t="s">
        <v>2879</v>
      </c>
      <c r="PQP1335" s="4" t="s">
        <v>2879</v>
      </c>
      <c r="PQQ1335" s="4" t="s">
        <v>2879</v>
      </c>
      <c r="PQR1335" s="4" t="s">
        <v>2879</v>
      </c>
      <c r="PQS1335" s="4" t="s">
        <v>2879</v>
      </c>
      <c r="PQT1335" s="4" t="s">
        <v>2879</v>
      </c>
      <c r="PQU1335" s="4" t="s">
        <v>2879</v>
      </c>
      <c r="PQV1335" s="4" t="s">
        <v>2879</v>
      </c>
      <c r="PQW1335" s="4" t="s">
        <v>2879</v>
      </c>
      <c r="PQX1335" s="4" t="s">
        <v>2879</v>
      </c>
      <c r="PQY1335" s="4" t="s">
        <v>2879</v>
      </c>
      <c r="PQZ1335" s="4" t="s">
        <v>2879</v>
      </c>
      <c r="PRA1335" s="4" t="s">
        <v>2879</v>
      </c>
      <c r="PRB1335" s="4" t="s">
        <v>2879</v>
      </c>
      <c r="PRC1335" s="4" t="s">
        <v>2879</v>
      </c>
      <c r="PRD1335" s="4" t="s">
        <v>2879</v>
      </c>
      <c r="PRE1335" s="4" t="s">
        <v>2879</v>
      </c>
      <c r="PRF1335" s="4" t="s">
        <v>2879</v>
      </c>
      <c r="PRG1335" s="4" t="s">
        <v>2879</v>
      </c>
      <c r="PRH1335" s="4" t="s">
        <v>2879</v>
      </c>
      <c r="PRI1335" s="4" t="s">
        <v>2879</v>
      </c>
      <c r="PRJ1335" s="4" t="s">
        <v>2879</v>
      </c>
      <c r="PRK1335" s="4" t="s">
        <v>2879</v>
      </c>
      <c r="PRL1335" s="4" t="s">
        <v>2879</v>
      </c>
      <c r="PRM1335" s="4" t="s">
        <v>2879</v>
      </c>
      <c r="PRN1335" s="4" t="s">
        <v>2879</v>
      </c>
      <c r="PRO1335" s="4" t="s">
        <v>2879</v>
      </c>
      <c r="PRP1335" s="4" t="s">
        <v>2879</v>
      </c>
      <c r="PRQ1335" s="4" t="s">
        <v>2879</v>
      </c>
      <c r="PRR1335" s="4" t="s">
        <v>2879</v>
      </c>
      <c r="PRS1335" s="4" t="s">
        <v>2879</v>
      </c>
      <c r="PRT1335" s="4" t="s">
        <v>2879</v>
      </c>
      <c r="PRU1335" s="4" t="s">
        <v>2879</v>
      </c>
      <c r="PRV1335" s="4" t="s">
        <v>2879</v>
      </c>
      <c r="PRW1335" s="4" t="s">
        <v>2879</v>
      </c>
      <c r="PRX1335" s="4" t="s">
        <v>2879</v>
      </c>
      <c r="PRY1335" s="4" t="s">
        <v>2879</v>
      </c>
      <c r="PRZ1335" s="4" t="s">
        <v>2879</v>
      </c>
      <c r="PSA1335" s="4" t="s">
        <v>2879</v>
      </c>
      <c r="PSB1335" s="4" t="s">
        <v>2879</v>
      </c>
      <c r="PSC1335" s="4" t="s">
        <v>2879</v>
      </c>
      <c r="PSD1335" s="4" t="s">
        <v>2879</v>
      </c>
      <c r="PSE1335" s="4" t="s">
        <v>2879</v>
      </c>
      <c r="PSF1335" s="4" t="s">
        <v>2879</v>
      </c>
      <c r="PSG1335" s="4" t="s">
        <v>2879</v>
      </c>
      <c r="PSH1335" s="4" t="s">
        <v>2879</v>
      </c>
      <c r="PSI1335" s="4" t="s">
        <v>2879</v>
      </c>
      <c r="PSJ1335" s="4" t="s">
        <v>2879</v>
      </c>
      <c r="PSK1335" s="4" t="s">
        <v>2879</v>
      </c>
      <c r="PSL1335" s="4" t="s">
        <v>2879</v>
      </c>
      <c r="PSM1335" s="4" t="s">
        <v>2879</v>
      </c>
      <c r="PSN1335" s="4" t="s">
        <v>2879</v>
      </c>
      <c r="PSO1335" s="4" t="s">
        <v>2879</v>
      </c>
      <c r="PSP1335" s="4" t="s">
        <v>2879</v>
      </c>
      <c r="PSQ1335" s="4" t="s">
        <v>2879</v>
      </c>
      <c r="PSR1335" s="4" t="s">
        <v>2879</v>
      </c>
      <c r="PSS1335" s="4" t="s">
        <v>2879</v>
      </c>
      <c r="PST1335" s="4" t="s">
        <v>2879</v>
      </c>
      <c r="PSU1335" s="4" t="s">
        <v>2879</v>
      </c>
      <c r="PSV1335" s="4" t="s">
        <v>2879</v>
      </c>
      <c r="PSW1335" s="4" t="s">
        <v>2879</v>
      </c>
      <c r="PSX1335" s="4" t="s">
        <v>2879</v>
      </c>
      <c r="PSY1335" s="4" t="s">
        <v>2879</v>
      </c>
      <c r="PSZ1335" s="4" t="s">
        <v>2879</v>
      </c>
      <c r="PTA1335" s="4" t="s">
        <v>2879</v>
      </c>
      <c r="PTB1335" s="4" t="s">
        <v>2879</v>
      </c>
      <c r="PTC1335" s="4" t="s">
        <v>2879</v>
      </c>
      <c r="PTD1335" s="4" t="s">
        <v>2879</v>
      </c>
      <c r="PTE1335" s="4" t="s">
        <v>2879</v>
      </c>
      <c r="PTF1335" s="4" t="s">
        <v>2879</v>
      </c>
      <c r="PTG1335" s="4" t="s">
        <v>2879</v>
      </c>
      <c r="PTH1335" s="4" t="s">
        <v>2879</v>
      </c>
      <c r="PTI1335" s="4" t="s">
        <v>2879</v>
      </c>
      <c r="PTJ1335" s="4" t="s">
        <v>2879</v>
      </c>
      <c r="PTK1335" s="4" t="s">
        <v>2879</v>
      </c>
      <c r="PTL1335" s="4" t="s">
        <v>2879</v>
      </c>
      <c r="PTM1335" s="4" t="s">
        <v>2879</v>
      </c>
      <c r="PTN1335" s="4" t="s">
        <v>2879</v>
      </c>
      <c r="PTO1335" s="4" t="s">
        <v>2879</v>
      </c>
      <c r="PTP1335" s="4" t="s">
        <v>2879</v>
      </c>
      <c r="PTQ1335" s="4" t="s">
        <v>2879</v>
      </c>
      <c r="PTR1335" s="4" t="s">
        <v>2879</v>
      </c>
      <c r="PTS1335" s="4" t="s">
        <v>2879</v>
      </c>
      <c r="PTT1335" s="4" t="s">
        <v>2879</v>
      </c>
      <c r="PTU1335" s="4" t="s">
        <v>2879</v>
      </c>
      <c r="PTV1335" s="4" t="s">
        <v>2879</v>
      </c>
      <c r="PTW1335" s="4" t="s">
        <v>2879</v>
      </c>
      <c r="PTX1335" s="4" t="s">
        <v>2879</v>
      </c>
      <c r="PTY1335" s="4" t="s">
        <v>2879</v>
      </c>
      <c r="PTZ1335" s="4" t="s">
        <v>2879</v>
      </c>
      <c r="PUA1335" s="4" t="s">
        <v>2879</v>
      </c>
      <c r="PUB1335" s="4" t="s">
        <v>2879</v>
      </c>
      <c r="PUC1335" s="4" t="s">
        <v>2879</v>
      </c>
      <c r="PUD1335" s="4" t="s">
        <v>2879</v>
      </c>
      <c r="PUE1335" s="4" t="s">
        <v>2879</v>
      </c>
      <c r="PUF1335" s="4" t="s">
        <v>2879</v>
      </c>
      <c r="PUG1335" s="4" t="s">
        <v>2879</v>
      </c>
      <c r="PUH1335" s="4" t="s">
        <v>2879</v>
      </c>
      <c r="PUI1335" s="4" t="s">
        <v>2879</v>
      </c>
      <c r="PUJ1335" s="4" t="s">
        <v>2879</v>
      </c>
      <c r="PUK1335" s="4" t="s">
        <v>2879</v>
      </c>
      <c r="PUL1335" s="4" t="s">
        <v>2879</v>
      </c>
      <c r="PUM1335" s="4" t="s">
        <v>2879</v>
      </c>
      <c r="PUN1335" s="4" t="s">
        <v>2879</v>
      </c>
      <c r="PUO1335" s="4" t="s">
        <v>2879</v>
      </c>
      <c r="PUP1335" s="4" t="s">
        <v>2879</v>
      </c>
      <c r="PUQ1335" s="4" t="s">
        <v>2879</v>
      </c>
      <c r="PUR1335" s="4" t="s">
        <v>2879</v>
      </c>
      <c r="PUS1335" s="4" t="s">
        <v>2879</v>
      </c>
      <c r="PUT1335" s="4" t="s">
        <v>2879</v>
      </c>
      <c r="PUU1335" s="4" t="s">
        <v>2879</v>
      </c>
      <c r="PUV1335" s="4" t="s">
        <v>2879</v>
      </c>
      <c r="PUW1335" s="4" t="s">
        <v>2879</v>
      </c>
      <c r="PUX1335" s="4" t="s">
        <v>2879</v>
      </c>
      <c r="PUY1335" s="4" t="s">
        <v>2879</v>
      </c>
      <c r="PUZ1335" s="4" t="s">
        <v>2879</v>
      </c>
      <c r="PVA1335" s="4" t="s">
        <v>2879</v>
      </c>
      <c r="PVB1335" s="4" t="s">
        <v>2879</v>
      </c>
      <c r="PVC1335" s="4" t="s">
        <v>2879</v>
      </c>
      <c r="PVD1335" s="4" t="s">
        <v>2879</v>
      </c>
      <c r="PVE1335" s="4" t="s">
        <v>2879</v>
      </c>
      <c r="PVF1335" s="4" t="s">
        <v>2879</v>
      </c>
      <c r="PVG1335" s="4" t="s">
        <v>2879</v>
      </c>
      <c r="PVH1335" s="4" t="s">
        <v>2879</v>
      </c>
      <c r="PVI1335" s="4" t="s">
        <v>2879</v>
      </c>
      <c r="PVJ1335" s="4" t="s">
        <v>2879</v>
      </c>
      <c r="PVK1335" s="4" t="s">
        <v>2879</v>
      </c>
      <c r="PVL1335" s="4" t="s">
        <v>2879</v>
      </c>
      <c r="PVM1335" s="4" t="s">
        <v>2879</v>
      </c>
      <c r="PVN1335" s="4" t="s">
        <v>2879</v>
      </c>
      <c r="PVO1335" s="4" t="s">
        <v>2879</v>
      </c>
      <c r="PVP1335" s="4" t="s">
        <v>2879</v>
      </c>
      <c r="PVQ1335" s="4" t="s">
        <v>2879</v>
      </c>
      <c r="PVR1335" s="4" t="s">
        <v>2879</v>
      </c>
      <c r="PVS1335" s="4" t="s">
        <v>2879</v>
      </c>
      <c r="PVT1335" s="4" t="s">
        <v>2879</v>
      </c>
      <c r="PVU1335" s="4" t="s">
        <v>2879</v>
      </c>
      <c r="PVV1335" s="4" t="s">
        <v>2879</v>
      </c>
      <c r="PVW1335" s="4" t="s">
        <v>2879</v>
      </c>
      <c r="PVX1335" s="4" t="s">
        <v>2879</v>
      </c>
      <c r="PVY1335" s="4" t="s">
        <v>2879</v>
      </c>
      <c r="PVZ1335" s="4" t="s">
        <v>2879</v>
      </c>
      <c r="PWA1335" s="4" t="s">
        <v>2879</v>
      </c>
      <c r="PWB1335" s="4" t="s">
        <v>2879</v>
      </c>
      <c r="PWC1335" s="4" t="s">
        <v>2879</v>
      </c>
      <c r="PWD1335" s="4" t="s">
        <v>2879</v>
      </c>
      <c r="PWE1335" s="4" t="s">
        <v>2879</v>
      </c>
      <c r="PWF1335" s="4" t="s">
        <v>2879</v>
      </c>
      <c r="PWG1335" s="4" t="s">
        <v>2879</v>
      </c>
      <c r="PWH1335" s="4" t="s">
        <v>2879</v>
      </c>
      <c r="PWI1335" s="4" t="s">
        <v>2879</v>
      </c>
      <c r="PWJ1335" s="4" t="s">
        <v>2879</v>
      </c>
      <c r="PWK1335" s="4" t="s">
        <v>2879</v>
      </c>
      <c r="PWL1335" s="4" t="s">
        <v>2879</v>
      </c>
      <c r="PWM1335" s="4" t="s">
        <v>2879</v>
      </c>
      <c r="PWN1335" s="4" t="s">
        <v>2879</v>
      </c>
      <c r="PWO1335" s="4" t="s">
        <v>2879</v>
      </c>
      <c r="PWP1335" s="4" t="s">
        <v>2879</v>
      </c>
      <c r="PWQ1335" s="4" t="s">
        <v>2879</v>
      </c>
      <c r="PWR1335" s="4" t="s">
        <v>2879</v>
      </c>
      <c r="PWS1335" s="4" t="s">
        <v>2879</v>
      </c>
      <c r="PWT1335" s="4" t="s">
        <v>2879</v>
      </c>
      <c r="PWU1335" s="4" t="s">
        <v>2879</v>
      </c>
      <c r="PWV1335" s="4" t="s">
        <v>2879</v>
      </c>
      <c r="PWW1335" s="4" t="s">
        <v>2879</v>
      </c>
      <c r="PWX1335" s="4" t="s">
        <v>2879</v>
      </c>
      <c r="PWY1335" s="4" t="s">
        <v>2879</v>
      </c>
      <c r="PWZ1335" s="4" t="s">
        <v>2879</v>
      </c>
      <c r="PXA1335" s="4" t="s">
        <v>2879</v>
      </c>
      <c r="PXB1335" s="4" t="s">
        <v>2879</v>
      </c>
      <c r="PXC1335" s="4" t="s">
        <v>2879</v>
      </c>
      <c r="PXD1335" s="4" t="s">
        <v>2879</v>
      </c>
      <c r="PXE1335" s="4" t="s">
        <v>2879</v>
      </c>
      <c r="PXF1335" s="4" t="s">
        <v>2879</v>
      </c>
      <c r="PXG1335" s="4" t="s">
        <v>2879</v>
      </c>
      <c r="PXH1335" s="4" t="s">
        <v>2879</v>
      </c>
      <c r="PXI1335" s="4" t="s">
        <v>2879</v>
      </c>
      <c r="PXJ1335" s="4" t="s">
        <v>2879</v>
      </c>
      <c r="PXK1335" s="4" t="s">
        <v>2879</v>
      </c>
      <c r="PXL1335" s="4" t="s">
        <v>2879</v>
      </c>
      <c r="PXM1335" s="4" t="s">
        <v>2879</v>
      </c>
      <c r="PXN1335" s="4" t="s">
        <v>2879</v>
      </c>
      <c r="PXO1335" s="4" t="s">
        <v>2879</v>
      </c>
      <c r="PXP1335" s="4" t="s">
        <v>2879</v>
      </c>
      <c r="PXQ1335" s="4" t="s">
        <v>2879</v>
      </c>
      <c r="PXR1335" s="4" t="s">
        <v>2879</v>
      </c>
      <c r="PXS1335" s="4" t="s">
        <v>2879</v>
      </c>
      <c r="PXT1335" s="4" t="s">
        <v>2879</v>
      </c>
      <c r="PXU1335" s="4" t="s">
        <v>2879</v>
      </c>
      <c r="PXV1335" s="4" t="s">
        <v>2879</v>
      </c>
      <c r="PXW1335" s="4" t="s">
        <v>2879</v>
      </c>
      <c r="PXX1335" s="4" t="s">
        <v>2879</v>
      </c>
      <c r="PXY1335" s="4" t="s">
        <v>2879</v>
      </c>
      <c r="PXZ1335" s="4" t="s">
        <v>2879</v>
      </c>
      <c r="PYA1335" s="4" t="s">
        <v>2879</v>
      </c>
      <c r="PYB1335" s="4" t="s">
        <v>2879</v>
      </c>
      <c r="PYC1335" s="4" t="s">
        <v>2879</v>
      </c>
      <c r="PYD1335" s="4" t="s">
        <v>2879</v>
      </c>
      <c r="PYE1335" s="4" t="s">
        <v>2879</v>
      </c>
      <c r="PYF1335" s="4" t="s">
        <v>2879</v>
      </c>
      <c r="PYG1335" s="4" t="s">
        <v>2879</v>
      </c>
      <c r="PYH1335" s="4" t="s">
        <v>2879</v>
      </c>
      <c r="PYI1335" s="4" t="s">
        <v>2879</v>
      </c>
      <c r="PYJ1335" s="4" t="s">
        <v>2879</v>
      </c>
      <c r="PYK1335" s="4" t="s">
        <v>2879</v>
      </c>
      <c r="PYL1335" s="4" t="s">
        <v>2879</v>
      </c>
      <c r="PYM1335" s="4" t="s">
        <v>2879</v>
      </c>
      <c r="PYN1335" s="4" t="s">
        <v>2879</v>
      </c>
      <c r="PYO1335" s="4" t="s">
        <v>2879</v>
      </c>
      <c r="PYP1335" s="4" t="s">
        <v>2879</v>
      </c>
      <c r="PYQ1335" s="4" t="s">
        <v>2879</v>
      </c>
      <c r="PYR1335" s="4" t="s">
        <v>2879</v>
      </c>
      <c r="PYS1335" s="4" t="s">
        <v>2879</v>
      </c>
      <c r="PYT1335" s="4" t="s">
        <v>2879</v>
      </c>
      <c r="PYU1335" s="4" t="s">
        <v>2879</v>
      </c>
      <c r="PYV1335" s="4" t="s">
        <v>2879</v>
      </c>
      <c r="PYW1335" s="4" t="s">
        <v>2879</v>
      </c>
      <c r="PYX1335" s="4" t="s">
        <v>2879</v>
      </c>
      <c r="PYY1335" s="4" t="s">
        <v>2879</v>
      </c>
      <c r="PYZ1335" s="4" t="s">
        <v>2879</v>
      </c>
      <c r="PZA1335" s="4" t="s">
        <v>2879</v>
      </c>
      <c r="PZB1335" s="4" t="s">
        <v>2879</v>
      </c>
      <c r="PZC1335" s="4" t="s">
        <v>2879</v>
      </c>
      <c r="PZD1335" s="4" t="s">
        <v>2879</v>
      </c>
      <c r="PZE1335" s="4" t="s">
        <v>2879</v>
      </c>
      <c r="PZF1335" s="4" t="s">
        <v>2879</v>
      </c>
      <c r="PZG1335" s="4" t="s">
        <v>2879</v>
      </c>
      <c r="PZH1335" s="4" t="s">
        <v>2879</v>
      </c>
      <c r="PZI1335" s="4" t="s">
        <v>2879</v>
      </c>
      <c r="PZJ1335" s="4" t="s">
        <v>2879</v>
      </c>
      <c r="PZK1335" s="4" t="s">
        <v>2879</v>
      </c>
      <c r="PZL1335" s="4" t="s">
        <v>2879</v>
      </c>
      <c r="PZM1335" s="4" t="s">
        <v>2879</v>
      </c>
      <c r="PZN1335" s="4" t="s">
        <v>2879</v>
      </c>
      <c r="PZO1335" s="4" t="s">
        <v>2879</v>
      </c>
      <c r="PZP1335" s="4" t="s">
        <v>2879</v>
      </c>
      <c r="PZQ1335" s="4" t="s">
        <v>2879</v>
      </c>
      <c r="PZR1335" s="4" t="s">
        <v>2879</v>
      </c>
      <c r="PZS1335" s="4" t="s">
        <v>2879</v>
      </c>
      <c r="PZT1335" s="4" t="s">
        <v>2879</v>
      </c>
      <c r="PZU1335" s="4" t="s">
        <v>2879</v>
      </c>
      <c r="PZV1335" s="4" t="s">
        <v>2879</v>
      </c>
      <c r="PZW1335" s="4" t="s">
        <v>2879</v>
      </c>
      <c r="PZX1335" s="4" t="s">
        <v>2879</v>
      </c>
      <c r="PZY1335" s="4" t="s">
        <v>2879</v>
      </c>
      <c r="PZZ1335" s="4" t="s">
        <v>2879</v>
      </c>
      <c r="QAA1335" s="4" t="s">
        <v>2879</v>
      </c>
      <c r="QAB1335" s="4" t="s">
        <v>2879</v>
      </c>
      <c r="QAC1335" s="4" t="s">
        <v>2879</v>
      </c>
      <c r="QAD1335" s="4" t="s">
        <v>2879</v>
      </c>
      <c r="QAE1335" s="4" t="s">
        <v>2879</v>
      </c>
      <c r="QAF1335" s="4" t="s">
        <v>2879</v>
      </c>
      <c r="QAG1335" s="4" t="s">
        <v>2879</v>
      </c>
      <c r="QAH1335" s="4" t="s">
        <v>2879</v>
      </c>
      <c r="QAI1335" s="4" t="s">
        <v>2879</v>
      </c>
      <c r="QAJ1335" s="4" t="s">
        <v>2879</v>
      </c>
      <c r="QAK1335" s="4" t="s">
        <v>2879</v>
      </c>
      <c r="QAL1335" s="4" t="s">
        <v>2879</v>
      </c>
      <c r="QAM1335" s="4" t="s">
        <v>2879</v>
      </c>
      <c r="QAN1335" s="4" t="s">
        <v>2879</v>
      </c>
      <c r="QAO1335" s="4" t="s">
        <v>2879</v>
      </c>
      <c r="QAP1335" s="4" t="s">
        <v>2879</v>
      </c>
      <c r="QAQ1335" s="4" t="s">
        <v>2879</v>
      </c>
      <c r="QAR1335" s="4" t="s">
        <v>2879</v>
      </c>
      <c r="QAS1335" s="4" t="s">
        <v>2879</v>
      </c>
      <c r="QAT1335" s="4" t="s">
        <v>2879</v>
      </c>
      <c r="QAU1335" s="4" t="s">
        <v>2879</v>
      </c>
      <c r="QAV1335" s="4" t="s">
        <v>2879</v>
      </c>
      <c r="QAW1335" s="4" t="s">
        <v>2879</v>
      </c>
      <c r="QAX1335" s="4" t="s">
        <v>2879</v>
      </c>
      <c r="QAY1335" s="4" t="s">
        <v>2879</v>
      </c>
      <c r="QAZ1335" s="4" t="s">
        <v>2879</v>
      </c>
      <c r="QBA1335" s="4" t="s">
        <v>2879</v>
      </c>
      <c r="QBB1335" s="4" t="s">
        <v>2879</v>
      </c>
      <c r="QBC1335" s="4" t="s">
        <v>2879</v>
      </c>
      <c r="QBD1335" s="4" t="s">
        <v>2879</v>
      </c>
      <c r="QBE1335" s="4" t="s">
        <v>2879</v>
      </c>
      <c r="QBF1335" s="4" t="s">
        <v>2879</v>
      </c>
      <c r="QBG1335" s="4" t="s">
        <v>2879</v>
      </c>
      <c r="QBH1335" s="4" t="s">
        <v>2879</v>
      </c>
      <c r="QBI1335" s="4" t="s">
        <v>2879</v>
      </c>
      <c r="QBJ1335" s="4" t="s">
        <v>2879</v>
      </c>
      <c r="QBK1335" s="4" t="s">
        <v>2879</v>
      </c>
      <c r="QBL1335" s="4" t="s">
        <v>2879</v>
      </c>
      <c r="QBM1335" s="4" t="s">
        <v>2879</v>
      </c>
      <c r="QBN1335" s="4" t="s">
        <v>2879</v>
      </c>
      <c r="QBO1335" s="4" t="s">
        <v>2879</v>
      </c>
      <c r="QBP1335" s="4" t="s">
        <v>2879</v>
      </c>
      <c r="QBQ1335" s="4" t="s">
        <v>2879</v>
      </c>
      <c r="QBR1335" s="4" t="s">
        <v>2879</v>
      </c>
      <c r="QBS1335" s="4" t="s">
        <v>2879</v>
      </c>
      <c r="QBT1335" s="4" t="s">
        <v>2879</v>
      </c>
      <c r="QBU1335" s="4" t="s">
        <v>2879</v>
      </c>
      <c r="QBV1335" s="4" t="s">
        <v>2879</v>
      </c>
      <c r="QBW1335" s="4" t="s">
        <v>2879</v>
      </c>
      <c r="QBX1335" s="4" t="s">
        <v>2879</v>
      </c>
      <c r="QBY1335" s="4" t="s">
        <v>2879</v>
      </c>
      <c r="QBZ1335" s="4" t="s">
        <v>2879</v>
      </c>
      <c r="QCA1335" s="4" t="s">
        <v>2879</v>
      </c>
      <c r="QCB1335" s="4" t="s">
        <v>2879</v>
      </c>
      <c r="QCC1335" s="4" t="s">
        <v>2879</v>
      </c>
      <c r="QCD1335" s="4" t="s">
        <v>2879</v>
      </c>
      <c r="QCE1335" s="4" t="s">
        <v>2879</v>
      </c>
      <c r="QCF1335" s="4" t="s">
        <v>2879</v>
      </c>
      <c r="QCG1335" s="4" t="s">
        <v>2879</v>
      </c>
      <c r="QCH1335" s="4" t="s">
        <v>2879</v>
      </c>
      <c r="QCI1335" s="4" t="s">
        <v>2879</v>
      </c>
      <c r="QCJ1335" s="4" t="s">
        <v>2879</v>
      </c>
      <c r="QCK1335" s="4" t="s">
        <v>2879</v>
      </c>
      <c r="QCL1335" s="4" t="s">
        <v>2879</v>
      </c>
      <c r="QCM1335" s="4" t="s">
        <v>2879</v>
      </c>
      <c r="QCN1335" s="4" t="s">
        <v>2879</v>
      </c>
      <c r="QCO1335" s="4" t="s">
        <v>2879</v>
      </c>
      <c r="QCP1335" s="4" t="s">
        <v>2879</v>
      </c>
      <c r="QCQ1335" s="4" t="s">
        <v>2879</v>
      </c>
      <c r="QCR1335" s="4" t="s">
        <v>2879</v>
      </c>
      <c r="QCS1335" s="4" t="s">
        <v>2879</v>
      </c>
      <c r="QCT1335" s="4" t="s">
        <v>2879</v>
      </c>
      <c r="QCU1335" s="4" t="s">
        <v>2879</v>
      </c>
      <c r="QCV1335" s="4" t="s">
        <v>2879</v>
      </c>
      <c r="QCW1335" s="4" t="s">
        <v>2879</v>
      </c>
      <c r="QCX1335" s="4" t="s">
        <v>2879</v>
      </c>
      <c r="QCY1335" s="4" t="s">
        <v>2879</v>
      </c>
      <c r="QCZ1335" s="4" t="s">
        <v>2879</v>
      </c>
      <c r="QDA1335" s="4" t="s">
        <v>2879</v>
      </c>
      <c r="QDB1335" s="4" t="s">
        <v>2879</v>
      </c>
      <c r="QDC1335" s="4" t="s">
        <v>2879</v>
      </c>
      <c r="QDD1335" s="4" t="s">
        <v>2879</v>
      </c>
      <c r="QDE1335" s="4" t="s">
        <v>2879</v>
      </c>
      <c r="QDF1335" s="4" t="s">
        <v>2879</v>
      </c>
      <c r="QDG1335" s="4" t="s">
        <v>2879</v>
      </c>
      <c r="QDH1335" s="4" t="s">
        <v>2879</v>
      </c>
      <c r="QDI1335" s="4" t="s">
        <v>2879</v>
      </c>
      <c r="QDJ1335" s="4" t="s">
        <v>2879</v>
      </c>
      <c r="QDK1335" s="4" t="s">
        <v>2879</v>
      </c>
      <c r="QDL1335" s="4" t="s">
        <v>2879</v>
      </c>
      <c r="QDM1335" s="4" t="s">
        <v>2879</v>
      </c>
      <c r="QDN1335" s="4" t="s">
        <v>2879</v>
      </c>
      <c r="QDO1335" s="4" t="s">
        <v>2879</v>
      </c>
      <c r="QDP1335" s="4" t="s">
        <v>2879</v>
      </c>
      <c r="QDQ1335" s="4" t="s">
        <v>2879</v>
      </c>
      <c r="QDR1335" s="4" t="s">
        <v>2879</v>
      </c>
      <c r="QDS1335" s="4" t="s">
        <v>2879</v>
      </c>
      <c r="QDT1335" s="4" t="s">
        <v>2879</v>
      </c>
      <c r="QDU1335" s="4" t="s">
        <v>2879</v>
      </c>
      <c r="QDV1335" s="4" t="s">
        <v>2879</v>
      </c>
      <c r="QDW1335" s="4" t="s">
        <v>2879</v>
      </c>
      <c r="QDX1335" s="4" t="s">
        <v>2879</v>
      </c>
      <c r="QDY1335" s="4" t="s">
        <v>2879</v>
      </c>
      <c r="QDZ1335" s="4" t="s">
        <v>2879</v>
      </c>
      <c r="QEA1335" s="4" t="s">
        <v>2879</v>
      </c>
      <c r="QEB1335" s="4" t="s">
        <v>2879</v>
      </c>
      <c r="QEC1335" s="4" t="s">
        <v>2879</v>
      </c>
      <c r="QED1335" s="4" t="s">
        <v>2879</v>
      </c>
      <c r="QEE1335" s="4" t="s">
        <v>2879</v>
      </c>
      <c r="QEF1335" s="4" t="s">
        <v>2879</v>
      </c>
      <c r="QEG1335" s="4" t="s">
        <v>2879</v>
      </c>
      <c r="QEH1335" s="4" t="s">
        <v>2879</v>
      </c>
      <c r="QEI1335" s="4" t="s">
        <v>2879</v>
      </c>
      <c r="QEJ1335" s="4" t="s">
        <v>2879</v>
      </c>
      <c r="QEK1335" s="4" t="s">
        <v>2879</v>
      </c>
      <c r="QEL1335" s="4" t="s">
        <v>2879</v>
      </c>
      <c r="QEM1335" s="4" t="s">
        <v>2879</v>
      </c>
      <c r="QEN1335" s="4" t="s">
        <v>2879</v>
      </c>
      <c r="QEO1335" s="4" t="s">
        <v>2879</v>
      </c>
      <c r="QEP1335" s="4" t="s">
        <v>2879</v>
      </c>
      <c r="QEQ1335" s="4" t="s">
        <v>2879</v>
      </c>
      <c r="QER1335" s="4" t="s">
        <v>2879</v>
      </c>
      <c r="QES1335" s="4" t="s">
        <v>2879</v>
      </c>
      <c r="QET1335" s="4" t="s">
        <v>2879</v>
      </c>
      <c r="QEU1335" s="4" t="s">
        <v>2879</v>
      </c>
      <c r="QEV1335" s="4" t="s">
        <v>2879</v>
      </c>
      <c r="QEW1335" s="4" t="s">
        <v>2879</v>
      </c>
      <c r="QEX1335" s="4" t="s">
        <v>2879</v>
      </c>
      <c r="QEY1335" s="4" t="s">
        <v>2879</v>
      </c>
      <c r="QEZ1335" s="4" t="s">
        <v>2879</v>
      </c>
      <c r="QFA1335" s="4" t="s">
        <v>2879</v>
      </c>
      <c r="QFB1335" s="4" t="s">
        <v>2879</v>
      </c>
      <c r="QFC1335" s="4" t="s">
        <v>2879</v>
      </c>
      <c r="QFD1335" s="4" t="s">
        <v>2879</v>
      </c>
      <c r="QFE1335" s="4" t="s">
        <v>2879</v>
      </c>
      <c r="QFF1335" s="4" t="s">
        <v>2879</v>
      </c>
      <c r="QFG1335" s="4" t="s">
        <v>2879</v>
      </c>
      <c r="QFH1335" s="4" t="s">
        <v>2879</v>
      </c>
      <c r="QFI1335" s="4" t="s">
        <v>2879</v>
      </c>
      <c r="QFJ1335" s="4" t="s">
        <v>2879</v>
      </c>
      <c r="QFK1335" s="4" t="s">
        <v>2879</v>
      </c>
      <c r="QFL1335" s="4" t="s">
        <v>2879</v>
      </c>
      <c r="QFM1335" s="4" t="s">
        <v>2879</v>
      </c>
      <c r="QFN1335" s="4" t="s">
        <v>2879</v>
      </c>
      <c r="QFO1335" s="4" t="s">
        <v>2879</v>
      </c>
      <c r="QFP1335" s="4" t="s">
        <v>2879</v>
      </c>
      <c r="QFQ1335" s="4" t="s">
        <v>2879</v>
      </c>
      <c r="QFR1335" s="4" t="s">
        <v>2879</v>
      </c>
      <c r="QFS1335" s="4" t="s">
        <v>2879</v>
      </c>
      <c r="QFT1335" s="4" t="s">
        <v>2879</v>
      </c>
      <c r="QFU1335" s="4" t="s">
        <v>2879</v>
      </c>
      <c r="QFV1335" s="4" t="s">
        <v>2879</v>
      </c>
      <c r="QFW1335" s="4" t="s">
        <v>2879</v>
      </c>
      <c r="QFX1335" s="4" t="s">
        <v>2879</v>
      </c>
      <c r="QFY1335" s="4" t="s">
        <v>2879</v>
      </c>
      <c r="QFZ1335" s="4" t="s">
        <v>2879</v>
      </c>
      <c r="QGA1335" s="4" t="s">
        <v>2879</v>
      </c>
      <c r="QGB1335" s="4" t="s">
        <v>2879</v>
      </c>
      <c r="QGC1335" s="4" t="s">
        <v>2879</v>
      </c>
      <c r="QGD1335" s="4" t="s">
        <v>2879</v>
      </c>
      <c r="QGE1335" s="4" t="s">
        <v>2879</v>
      </c>
      <c r="QGF1335" s="4" t="s">
        <v>2879</v>
      </c>
      <c r="QGG1335" s="4" t="s">
        <v>2879</v>
      </c>
      <c r="QGH1335" s="4" t="s">
        <v>2879</v>
      </c>
      <c r="QGI1335" s="4" t="s">
        <v>2879</v>
      </c>
      <c r="QGJ1335" s="4" t="s">
        <v>2879</v>
      </c>
      <c r="QGK1335" s="4" t="s">
        <v>2879</v>
      </c>
      <c r="QGL1335" s="4" t="s">
        <v>2879</v>
      </c>
      <c r="QGM1335" s="4" t="s">
        <v>2879</v>
      </c>
      <c r="QGN1335" s="4" t="s">
        <v>2879</v>
      </c>
      <c r="QGO1335" s="4" t="s">
        <v>2879</v>
      </c>
      <c r="QGP1335" s="4" t="s">
        <v>2879</v>
      </c>
      <c r="QGQ1335" s="4" t="s">
        <v>2879</v>
      </c>
      <c r="QGR1335" s="4" t="s">
        <v>2879</v>
      </c>
      <c r="QGS1335" s="4" t="s">
        <v>2879</v>
      </c>
      <c r="QGT1335" s="4" t="s">
        <v>2879</v>
      </c>
      <c r="QGU1335" s="4" t="s">
        <v>2879</v>
      </c>
      <c r="QGV1335" s="4" t="s">
        <v>2879</v>
      </c>
      <c r="QGW1335" s="4" t="s">
        <v>2879</v>
      </c>
      <c r="QGX1335" s="4" t="s">
        <v>2879</v>
      </c>
      <c r="QGY1335" s="4" t="s">
        <v>2879</v>
      </c>
      <c r="QGZ1335" s="4" t="s">
        <v>2879</v>
      </c>
      <c r="QHA1335" s="4" t="s">
        <v>2879</v>
      </c>
      <c r="QHB1335" s="4" t="s">
        <v>2879</v>
      </c>
      <c r="QHC1335" s="4" t="s">
        <v>2879</v>
      </c>
      <c r="QHD1335" s="4" t="s">
        <v>2879</v>
      </c>
      <c r="QHE1335" s="4" t="s">
        <v>2879</v>
      </c>
      <c r="QHF1335" s="4" t="s">
        <v>2879</v>
      </c>
      <c r="QHG1335" s="4" t="s">
        <v>2879</v>
      </c>
      <c r="QHH1335" s="4" t="s">
        <v>2879</v>
      </c>
      <c r="QHI1335" s="4" t="s">
        <v>2879</v>
      </c>
      <c r="QHJ1335" s="4" t="s">
        <v>2879</v>
      </c>
      <c r="QHK1335" s="4" t="s">
        <v>2879</v>
      </c>
      <c r="QHL1335" s="4" t="s">
        <v>2879</v>
      </c>
      <c r="QHM1335" s="4" t="s">
        <v>2879</v>
      </c>
      <c r="QHN1335" s="4" t="s">
        <v>2879</v>
      </c>
      <c r="QHO1335" s="4" t="s">
        <v>2879</v>
      </c>
      <c r="QHP1335" s="4" t="s">
        <v>2879</v>
      </c>
      <c r="QHQ1335" s="4" t="s">
        <v>2879</v>
      </c>
      <c r="QHR1335" s="4" t="s">
        <v>2879</v>
      </c>
      <c r="QHS1335" s="4" t="s">
        <v>2879</v>
      </c>
      <c r="QHT1335" s="4" t="s">
        <v>2879</v>
      </c>
      <c r="QHU1335" s="4" t="s">
        <v>2879</v>
      </c>
      <c r="QHV1335" s="4" t="s">
        <v>2879</v>
      </c>
      <c r="QHW1335" s="4" t="s">
        <v>2879</v>
      </c>
      <c r="QHX1335" s="4" t="s">
        <v>2879</v>
      </c>
      <c r="QHY1335" s="4" t="s">
        <v>2879</v>
      </c>
      <c r="QHZ1335" s="4" t="s">
        <v>2879</v>
      </c>
      <c r="QIA1335" s="4" t="s">
        <v>2879</v>
      </c>
      <c r="QIB1335" s="4" t="s">
        <v>2879</v>
      </c>
      <c r="QIC1335" s="4" t="s">
        <v>2879</v>
      </c>
      <c r="QID1335" s="4" t="s">
        <v>2879</v>
      </c>
      <c r="QIE1335" s="4" t="s">
        <v>2879</v>
      </c>
      <c r="QIF1335" s="4" t="s">
        <v>2879</v>
      </c>
      <c r="QIG1335" s="4" t="s">
        <v>2879</v>
      </c>
      <c r="QIH1335" s="4" t="s">
        <v>2879</v>
      </c>
      <c r="QII1335" s="4" t="s">
        <v>2879</v>
      </c>
      <c r="QIJ1335" s="4" t="s">
        <v>2879</v>
      </c>
      <c r="QIK1335" s="4" t="s">
        <v>2879</v>
      </c>
      <c r="QIL1335" s="4" t="s">
        <v>2879</v>
      </c>
      <c r="QIM1335" s="4" t="s">
        <v>2879</v>
      </c>
      <c r="QIN1335" s="4" t="s">
        <v>2879</v>
      </c>
      <c r="QIO1335" s="4" t="s">
        <v>2879</v>
      </c>
      <c r="QIP1335" s="4" t="s">
        <v>2879</v>
      </c>
      <c r="QIQ1335" s="4" t="s">
        <v>2879</v>
      </c>
      <c r="QIR1335" s="4" t="s">
        <v>2879</v>
      </c>
      <c r="QIS1335" s="4" t="s">
        <v>2879</v>
      </c>
      <c r="QIT1335" s="4" t="s">
        <v>2879</v>
      </c>
      <c r="QIU1335" s="4" t="s">
        <v>2879</v>
      </c>
      <c r="QIV1335" s="4" t="s">
        <v>2879</v>
      </c>
      <c r="QIW1335" s="4" t="s">
        <v>2879</v>
      </c>
      <c r="QIX1335" s="4" t="s">
        <v>2879</v>
      </c>
      <c r="QIY1335" s="4" t="s">
        <v>2879</v>
      </c>
      <c r="QIZ1335" s="4" t="s">
        <v>2879</v>
      </c>
      <c r="QJA1335" s="4" t="s">
        <v>2879</v>
      </c>
      <c r="QJB1335" s="4" t="s">
        <v>2879</v>
      </c>
      <c r="QJC1335" s="4" t="s">
        <v>2879</v>
      </c>
      <c r="QJD1335" s="4" t="s">
        <v>2879</v>
      </c>
      <c r="QJE1335" s="4" t="s">
        <v>2879</v>
      </c>
      <c r="QJF1335" s="4" t="s">
        <v>2879</v>
      </c>
      <c r="QJG1335" s="4" t="s">
        <v>2879</v>
      </c>
      <c r="QJH1335" s="4" t="s">
        <v>2879</v>
      </c>
      <c r="QJI1335" s="4" t="s">
        <v>2879</v>
      </c>
      <c r="QJJ1335" s="4" t="s">
        <v>2879</v>
      </c>
      <c r="QJK1335" s="4" t="s">
        <v>2879</v>
      </c>
      <c r="QJL1335" s="4" t="s">
        <v>2879</v>
      </c>
      <c r="QJM1335" s="4" t="s">
        <v>2879</v>
      </c>
      <c r="QJN1335" s="4" t="s">
        <v>2879</v>
      </c>
      <c r="QJO1335" s="4" t="s">
        <v>2879</v>
      </c>
      <c r="QJP1335" s="4" t="s">
        <v>2879</v>
      </c>
      <c r="QJQ1335" s="4" t="s">
        <v>2879</v>
      </c>
      <c r="QJR1335" s="4" t="s">
        <v>2879</v>
      </c>
      <c r="QJS1335" s="4" t="s">
        <v>2879</v>
      </c>
      <c r="QJT1335" s="4" t="s">
        <v>2879</v>
      </c>
      <c r="QJU1335" s="4" t="s">
        <v>2879</v>
      </c>
      <c r="QJV1335" s="4" t="s">
        <v>2879</v>
      </c>
      <c r="QJW1335" s="4" t="s">
        <v>2879</v>
      </c>
      <c r="QJX1335" s="4" t="s">
        <v>2879</v>
      </c>
      <c r="QJY1335" s="4" t="s">
        <v>2879</v>
      </c>
      <c r="QJZ1335" s="4" t="s">
        <v>2879</v>
      </c>
      <c r="QKA1335" s="4" t="s">
        <v>2879</v>
      </c>
      <c r="QKB1335" s="4" t="s">
        <v>2879</v>
      </c>
      <c r="QKC1335" s="4" t="s">
        <v>2879</v>
      </c>
      <c r="QKD1335" s="4" t="s">
        <v>2879</v>
      </c>
      <c r="QKE1335" s="4" t="s">
        <v>2879</v>
      </c>
      <c r="QKF1335" s="4" t="s">
        <v>2879</v>
      </c>
      <c r="QKG1335" s="4" t="s">
        <v>2879</v>
      </c>
      <c r="QKH1335" s="4" t="s">
        <v>2879</v>
      </c>
      <c r="QKI1335" s="4" t="s">
        <v>2879</v>
      </c>
      <c r="QKJ1335" s="4" t="s">
        <v>2879</v>
      </c>
      <c r="QKK1335" s="4" t="s">
        <v>2879</v>
      </c>
      <c r="QKL1335" s="4" t="s">
        <v>2879</v>
      </c>
      <c r="QKM1335" s="4" t="s">
        <v>2879</v>
      </c>
      <c r="QKN1335" s="4" t="s">
        <v>2879</v>
      </c>
      <c r="QKO1335" s="4" t="s">
        <v>2879</v>
      </c>
      <c r="QKP1335" s="4" t="s">
        <v>2879</v>
      </c>
      <c r="QKQ1335" s="4" t="s">
        <v>2879</v>
      </c>
      <c r="QKR1335" s="4" t="s">
        <v>2879</v>
      </c>
      <c r="QKS1335" s="4" t="s">
        <v>2879</v>
      </c>
      <c r="QKT1335" s="4" t="s">
        <v>2879</v>
      </c>
      <c r="QKU1335" s="4" t="s">
        <v>2879</v>
      </c>
      <c r="QKV1335" s="4" t="s">
        <v>2879</v>
      </c>
      <c r="QKW1335" s="4" t="s">
        <v>2879</v>
      </c>
      <c r="QKX1335" s="4" t="s">
        <v>2879</v>
      </c>
      <c r="QKY1335" s="4" t="s">
        <v>2879</v>
      </c>
      <c r="QKZ1335" s="4" t="s">
        <v>2879</v>
      </c>
      <c r="QLA1335" s="4" t="s">
        <v>2879</v>
      </c>
      <c r="QLB1335" s="4" t="s">
        <v>2879</v>
      </c>
      <c r="QLC1335" s="4" t="s">
        <v>2879</v>
      </c>
      <c r="QLD1335" s="4" t="s">
        <v>2879</v>
      </c>
      <c r="QLE1335" s="4" t="s">
        <v>2879</v>
      </c>
      <c r="QLF1335" s="4" t="s">
        <v>2879</v>
      </c>
      <c r="QLG1335" s="4" t="s">
        <v>2879</v>
      </c>
      <c r="QLH1335" s="4" t="s">
        <v>2879</v>
      </c>
      <c r="QLI1335" s="4" t="s">
        <v>2879</v>
      </c>
      <c r="QLJ1335" s="4" t="s">
        <v>2879</v>
      </c>
      <c r="QLK1335" s="4" t="s">
        <v>2879</v>
      </c>
      <c r="QLL1335" s="4" t="s">
        <v>2879</v>
      </c>
      <c r="QLM1335" s="4" t="s">
        <v>2879</v>
      </c>
      <c r="QLN1335" s="4" t="s">
        <v>2879</v>
      </c>
      <c r="QLO1335" s="4" t="s">
        <v>2879</v>
      </c>
      <c r="QLP1335" s="4" t="s">
        <v>2879</v>
      </c>
      <c r="QLQ1335" s="4" t="s">
        <v>2879</v>
      </c>
      <c r="QLR1335" s="4" t="s">
        <v>2879</v>
      </c>
      <c r="QLS1335" s="4" t="s">
        <v>2879</v>
      </c>
      <c r="QLT1335" s="4" t="s">
        <v>2879</v>
      </c>
      <c r="QLU1335" s="4" t="s">
        <v>2879</v>
      </c>
      <c r="QLV1335" s="4" t="s">
        <v>2879</v>
      </c>
      <c r="QLW1335" s="4" t="s">
        <v>2879</v>
      </c>
      <c r="QLX1335" s="4" t="s">
        <v>2879</v>
      </c>
      <c r="QLY1335" s="4" t="s">
        <v>2879</v>
      </c>
      <c r="QLZ1335" s="4" t="s">
        <v>2879</v>
      </c>
      <c r="QMA1335" s="4" t="s">
        <v>2879</v>
      </c>
      <c r="QMB1335" s="4" t="s">
        <v>2879</v>
      </c>
      <c r="QMC1335" s="4" t="s">
        <v>2879</v>
      </c>
      <c r="QMD1335" s="4" t="s">
        <v>2879</v>
      </c>
      <c r="QME1335" s="4" t="s">
        <v>2879</v>
      </c>
      <c r="QMF1335" s="4" t="s">
        <v>2879</v>
      </c>
      <c r="QMG1335" s="4" t="s">
        <v>2879</v>
      </c>
      <c r="QMH1335" s="4" t="s">
        <v>2879</v>
      </c>
      <c r="QMI1335" s="4" t="s">
        <v>2879</v>
      </c>
      <c r="QMJ1335" s="4" t="s">
        <v>2879</v>
      </c>
      <c r="QMK1335" s="4" t="s">
        <v>2879</v>
      </c>
      <c r="QML1335" s="4" t="s">
        <v>2879</v>
      </c>
      <c r="QMM1335" s="4" t="s">
        <v>2879</v>
      </c>
      <c r="QMN1335" s="4" t="s">
        <v>2879</v>
      </c>
      <c r="QMO1335" s="4" t="s">
        <v>2879</v>
      </c>
      <c r="QMP1335" s="4" t="s">
        <v>2879</v>
      </c>
      <c r="QMQ1335" s="4" t="s">
        <v>2879</v>
      </c>
      <c r="QMR1335" s="4" t="s">
        <v>2879</v>
      </c>
      <c r="QMS1335" s="4" t="s">
        <v>2879</v>
      </c>
      <c r="QMT1335" s="4" t="s">
        <v>2879</v>
      </c>
      <c r="QMU1335" s="4" t="s">
        <v>2879</v>
      </c>
      <c r="QMV1335" s="4" t="s">
        <v>2879</v>
      </c>
      <c r="QMW1335" s="4" t="s">
        <v>2879</v>
      </c>
      <c r="QMX1335" s="4" t="s">
        <v>2879</v>
      </c>
      <c r="QMY1335" s="4" t="s">
        <v>2879</v>
      </c>
      <c r="QMZ1335" s="4" t="s">
        <v>2879</v>
      </c>
      <c r="QNA1335" s="4" t="s">
        <v>2879</v>
      </c>
      <c r="QNB1335" s="4" t="s">
        <v>2879</v>
      </c>
      <c r="QNC1335" s="4" t="s">
        <v>2879</v>
      </c>
      <c r="QND1335" s="4" t="s">
        <v>2879</v>
      </c>
      <c r="QNE1335" s="4" t="s">
        <v>2879</v>
      </c>
      <c r="QNF1335" s="4" t="s">
        <v>2879</v>
      </c>
      <c r="QNG1335" s="4" t="s">
        <v>2879</v>
      </c>
      <c r="QNH1335" s="4" t="s">
        <v>2879</v>
      </c>
      <c r="QNI1335" s="4" t="s">
        <v>2879</v>
      </c>
      <c r="QNJ1335" s="4" t="s">
        <v>2879</v>
      </c>
      <c r="QNK1335" s="4" t="s">
        <v>2879</v>
      </c>
      <c r="QNL1335" s="4" t="s">
        <v>2879</v>
      </c>
      <c r="QNM1335" s="4" t="s">
        <v>2879</v>
      </c>
      <c r="QNN1335" s="4" t="s">
        <v>2879</v>
      </c>
      <c r="QNO1335" s="4" t="s">
        <v>2879</v>
      </c>
      <c r="QNP1335" s="4" t="s">
        <v>2879</v>
      </c>
      <c r="QNQ1335" s="4" t="s">
        <v>2879</v>
      </c>
      <c r="QNR1335" s="4" t="s">
        <v>2879</v>
      </c>
      <c r="QNS1335" s="4" t="s">
        <v>2879</v>
      </c>
      <c r="QNT1335" s="4" t="s">
        <v>2879</v>
      </c>
      <c r="QNU1335" s="4" t="s">
        <v>2879</v>
      </c>
      <c r="QNV1335" s="4" t="s">
        <v>2879</v>
      </c>
      <c r="QNW1335" s="4" t="s">
        <v>2879</v>
      </c>
      <c r="QNX1335" s="4" t="s">
        <v>2879</v>
      </c>
      <c r="QNY1335" s="4" t="s">
        <v>2879</v>
      </c>
      <c r="QNZ1335" s="4" t="s">
        <v>2879</v>
      </c>
      <c r="QOA1335" s="4" t="s">
        <v>2879</v>
      </c>
      <c r="QOB1335" s="4" t="s">
        <v>2879</v>
      </c>
      <c r="QOC1335" s="4" t="s">
        <v>2879</v>
      </c>
      <c r="QOD1335" s="4" t="s">
        <v>2879</v>
      </c>
      <c r="QOE1335" s="4" t="s">
        <v>2879</v>
      </c>
      <c r="QOF1335" s="4" t="s">
        <v>2879</v>
      </c>
      <c r="QOG1335" s="4" t="s">
        <v>2879</v>
      </c>
      <c r="QOH1335" s="4" t="s">
        <v>2879</v>
      </c>
      <c r="QOI1335" s="4" t="s">
        <v>2879</v>
      </c>
      <c r="QOJ1335" s="4" t="s">
        <v>2879</v>
      </c>
      <c r="QOK1335" s="4" t="s">
        <v>2879</v>
      </c>
      <c r="QOL1335" s="4" t="s">
        <v>2879</v>
      </c>
      <c r="QOM1335" s="4" t="s">
        <v>2879</v>
      </c>
      <c r="QON1335" s="4" t="s">
        <v>2879</v>
      </c>
      <c r="QOO1335" s="4" t="s">
        <v>2879</v>
      </c>
      <c r="QOP1335" s="4" t="s">
        <v>2879</v>
      </c>
      <c r="QOQ1335" s="4" t="s">
        <v>2879</v>
      </c>
      <c r="QOR1335" s="4" t="s">
        <v>2879</v>
      </c>
      <c r="QOS1335" s="4" t="s">
        <v>2879</v>
      </c>
      <c r="QOT1335" s="4" t="s">
        <v>2879</v>
      </c>
      <c r="QOU1335" s="4" t="s">
        <v>2879</v>
      </c>
      <c r="QOV1335" s="4" t="s">
        <v>2879</v>
      </c>
      <c r="QOW1335" s="4" t="s">
        <v>2879</v>
      </c>
      <c r="QOX1335" s="4" t="s">
        <v>2879</v>
      </c>
      <c r="QOY1335" s="4" t="s">
        <v>2879</v>
      </c>
      <c r="QOZ1335" s="4" t="s">
        <v>2879</v>
      </c>
      <c r="QPA1335" s="4" t="s">
        <v>2879</v>
      </c>
      <c r="QPB1335" s="4" t="s">
        <v>2879</v>
      </c>
      <c r="QPC1335" s="4" t="s">
        <v>2879</v>
      </c>
      <c r="QPD1335" s="4" t="s">
        <v>2879</v>
      </c>
      <c r="QPE1335" s="4" t="s">
        <v>2879</v>
      </c>
      <c r="QPF1335" s="4" t="s">
        <v>2879</v>
      </c>
      <c r="QPG1335" s="4" t="s">
        <v>2879</v>
      </c>
      <c r="QPH1335" s="4" t="s">
        <v>2879</v>
      </c>
      <c r="QPI1335" s="4" t="s">
        <v>2879</v>
      </c>
      <c r="QPJ1335" s="4" t="s">
        <v>2879</v>
      </c>
      <c r="QPK1335" s="4" t="s">
        <v>2879</v>
      </c>
      <c r="QPL1335" s="4" t="s">
        <v>2879</v>
      </c>
      <c r="QPM1335" s="4" t="s">
        <v>2879</v>
      </c>
      <c r="QPN1335" s="4" t="s">
        <v>2879</v>
      </c>
      <c r="QPO1335" s="4" t="s">
        <v>2879</v>
      </c>
      <c r="QPP1335" s="4" t="s">
        <v>2879</v>
      </c>
      <c r="QPQ1335" s="4" t="s">
        <v>2879</v>
      </c>
      <c r="QPR1335" s="4" t="s">
        <v>2879</v>
      </c>
      <c r="QPS1335" s="4" t="s">
        <v>2879</v>
      </c>
      <c r="QPT1335" s="4" t="s">
        <v>2879</v>
      </c>
      <c r="QPU1335" s="4" t="s">
        <v>2879</v>
      </c>
      <c r="QPV1335" s="4" t="s">
        <v>2879</v>
      </c>
      <c r="QPW1335" s="4" t="s">
        <v>2879</v>
      </c>
      <c r="QPX1335" s="4" t="s">
        <v>2879</v>
      </c>
      <c r="QPY1335" s="4" t="s">
        <v>2879</v>
      </c>
      <c r="QPZ1335" s="4" t="s">
        <v>2879</v>
      </c>
      <c r="QQA1335" s="4" t="s">
        <v>2879</v>
      </c>
      <c r="QQB1335" s="4" t="s">
        <v>2879</v>
      </c>
      <c r="QQC1335" s="4" t="s">
        <v>2879</v>
      </c>
      <c r="QQD1335" s="4" t="s">
        <v>2879</v>
      </c>
      <c r="QQE1335" s="4" t="s">
        <v>2879</v>
      </c>
      <c r="QQF1335" s="4" t="s">
        <v>2879</v>
      </c>
      <c r="QQG1335" s="4" t="s">
        <v>2879</v>
      </c>
      <c r="QQH1335" s="4" t="s">
        <v>2879</v>
      </c>
      <c r="QQI1335" s="4" t="s">
        <v>2879</v>
      </c>
      <c r="QQJ1335" s="4" t="s">
        <v>2879</v>
      </c>
      <c r="QQK1335" s="4" t="s">
        <v>2879</v>
      </c>
      <c r="QQL1335" s="4" t="s">
        <v>2879</v>
      </c>
      <c r="QQM1335" s="4" t="s">
        <v>2879</v>
      </c>
      <c r="QQN1335" s="4" t="s">
        <v>2879</v>
      </c>
      <c r="QQO1335" s="4" t="s">
        <v>2879</v>
      </c>
      <c r="QQP1335" s="4" t="s">
        <v>2879</v>
      </c>
      <c r="QQQ1335" s="4" t="s">
        <v>2879</v>
      </c>
      <c r="QQR1335" s="4" t="s">
        <v>2879</v>
      </c>
      <c r="QQS1335" s="4" t="s">
        <v>2879</v>
      </c>
      <c r="QQT1335" s="4" t="s">
        <v>2879</v>
      </c>
      <c r="QQU1335" s="4" t="s">
        <v>2879</v>
      </c>
      <c r="QQV1335" s="4" t="s">
        <v>2879</v>
      </c>
      <c r="QQW1335" s="4" t="s">
        <v>2879</v>
      </c>
      <c r="QQX1335" s="4" t="s">
        <v>2879</v>
      </c>
      <c r="QQY1335" s="4" t="s">
        <v>2879</v>
      </c>
      <c r="QQZ1335" s="4" t="s">
        <v>2879</v>
      </c>
      <c r="QRA1335" s="4" t="s">
        <v>2879</v>
      </c>
      <c r="QRB1335" s="4" t="s">
        <v>2879</v>
      </c>
      <c r="QRC1335" s="4" t="s">
        <v>2879</v>
      </c>
      <c r="QRD1335" s="4" t="s">
        <v>2879</v>
      </c>
      <c r="QRE1335" s="4" t="s">
        <v>2879</v>
      </c>
      <c r="QRF1335" s="4" t="s">
        <v>2879</v>
      </c>
      <c r="QRG1335" s="4" t="s">
        <v>2879</v>
      </c>
      <c r="QRH1335" s="4" t="s">
        <v>2879</v>
      </c>
      <c r="QRI1335" s="4" t="s">
        <v>2879</v>
      </c>
      <c r="QRJ1335" s="4" t="s">
        <v>2879</v>
      </c>
      <c r="QRK1335" s="4" t="s">
        <v>2879</v>
      </c>
      <c r="QRL1335" s="4" t="s">
        <v>2879</v>
      </c>
      <c r="QRM1335" s="4" t="s">
        <v>2879</v>
      </c>
      <c r="QRN1335" s="4" t="s">
        <v>2879</v>
      </c>
      <c r="QRO1335" s="4" t="s">
        <v>2879</v>
      </c>
      <c r="QRP1335" s="4" t="s">
        <v>2879</v>
      </c>
      <c r="QRQ1335" s="4" t="s">
        <v>2879</v>
      </c>
      <c r="QRR1335" s="4" t="s">
        <v>2879</v>
      </c>
      <c r="QRS1335" s="4" t="s">
        <v>2879</v>
      </c>
      <c r="QRT1335" s="4" t="s">
        <v>2879</v>
      </c>
      <c r="QRU1335" s="4" t="s">
        <v>2879</v>
      </c>
      <c r="QRV1335" s="4" t="s">
        <v>2879</v>
      </c>
      <c r="QRW1335" s="4" t="s">
        <v>2879</v>
      </c>
      <c r="QRX1335" s="4" t="s">
        <v>2879</v>
      </c>
      <c r="QRY1335" s="4" t="s">
        <v>2879</v>
      </c>
      <c r="QRZ1335" s="4" t="s">
        <v>2879</v>
      </c>
      <c r="QSA1335" s="4" t="s">
        <v>2879</v>
      </c>
      <c r="QSB1335" s="4" t="s">
        <v>2879</v>
      </c>
      <c r="QSC1335" s="4" t="s">
        <v>2879</v>
      </c>
      <c r="QSD1335" s="4" t="s">
        <v>2879</v>
      </c>
      <c r="QSE1335" s="4" t="s">
        <v>2879</v>
      </c>
      <c r="QSF1335" s="4" t="s">
        <v>2879</v>
      </c>
      <c r="QSG1335" s="4" t="s">
        <v>2879</v>
      </c>
      <c r="QSH1335" s="4" t="s">
        <v>2879</v>
      </c>
      <c r="QSI1335" s="4" t="s">
        <v>2879</v>
      </c>
      <c r="QSJ1335" s="4" t="s">
        <v>2879</v>
      </c>
      <c r="QSK1335" s="4" t="s">
        <v>2879</v>
      </c>
      <c r="QSL1335" s="4" t="s">
        <v>2879</v>
      </c>
      <c r="QSM1335" s="4" t="s">
        <v>2879</v>
      </c>
      <c r="QSN1335" s="4" t="s">
        <v>2879</v>
      </c>
      <c r="QSO1335" s="4" t="s">
        <v>2879</v>
      </c>
      <c r="QSP1335" s="4" t="s">
        <v>2879</v>
      </c>
      <c r="QSQ1335" s="4" t="s">
        <v>2879</v>
      </c>
      <c r="QSR1335" s="4" t="s">
        <v>2879</v>
      </c>
      <c r="QSS1335" s="4" t="s">
        <v>2879</v>
      </c>
      <c r="QST1335" s="4" t="s">
        <v>2879</v>
      </c>
      <c r="QSU1335" s="4" t="s">
        <v>2879</v>
      </c>
      <c r="QSV1335" s="4" t="s">
        <v>2879</v>
      </c>
      <c r="QSW1335" s="4" t="s">
        <v>2879</v>
      </c>
      <c r="QSX1335" s="4" t="s">
        <v>2879</v>
      </c>
      <c r="QSY1335" s="4" t="s">
        <v>2879</v>
      </c>
      <c r="QSZ1335" s="4" t="s">
        <v>2879</v>
      </c>
      <c r="QTA1335" s="4" t="s">
        <v>2879</v>
      </c>
      <c r="QTB1335" s="4" t="s">
        <v>2879</v>
      </c>
      <c r="QTC1335" s="4" t="s">
        <v>2879</v>
      </c>
      <c r="QTD1335" s="4" t="s">
        <v>2879</v>
      </c>
      <c r="QTE1335" s="4" t="s">
        <v>2879</v>
      </c>
      <c r="QTF1335" s="4" t="s">
        <v>2879</v>
      </c>
      <c r="QTG1335" s="4" t="s">
        <v>2879</v>
      </c>
      <c r="QTH1335" s="4" t="s">
        <v>2879</v>
      </c>
      <c r="QTI1335" s="4" t="s">
        <v>2879</v>
      </c>
      <c r="QTJ1335" s="4" t="s">
        <v>2879</v>
      </c>
      <c r="QTK1335" s="4" t="s">
        <v>2879</v>
      </c>
      <c r="QTL1335" s="4" t="s">
        <v>2879</v>
      </c>
      <c r="QTM1335" s="4" t="s">
        <v>2879</v>
      </c>
      <c r="QTN1335" s="4" t="s">
        <v>2879</v>
      </c>
      <c r="QTO1335" s="4" t="s">
        <v>2879</v>
      </c>
      <c r="QTP1335" s="4" t="s">
        <v>2879</v>
      </c>
      <c r="QTQ1335" s="4" t="s">
        <v>2879</v>
      </c>
      <c r="QTR1335" s="4" t="s">
        <v>2879</v>
      </c>
      <c r="QTS1335" s="4" t="s">
        <v>2879</v>
      </c>
      <c r="QTT1335" s="4" t="s">
        <v>2879</v>
      </c>
      <c r="QTU1335" s="4" t="s">
        <v>2879</v>
      </c>
      <c r="QTV1335" s="4" t="s">
        <v>2879</v>
      </c>
      <c r="QTW1335" s="4" t="s">
        <v>2879</v>
      </c>
      <c r="QTX1335" s="4" t="s">
        <v>2879</v>
      </c>
      <c r="QTY1335" s="4" t="s">
        <v>2879</v>
      </c>
      <c r="QTZ1335" s="4" t="s">
        <v>2879</v>
      </c>
      <c r="QUA1335" s="4" t="s">
        <v>2879</v>
      </c>
      <c r="QUB1335" s="4" t="s">
        <v>2879</v>
      </c>
      <c r="QUC1335" s="4" t="s">
        <v>2879</v>
      </c>
      <c r="QUD1335" s="4" t="s">
        <v>2879</v>
      </c>
      <c r="QUE1335" s="4" t="s">
        <v>2879</v>
      </c>
      <c r="QUF1335" s="4" t="s">
        <v>2879</v>
      </c>
      <c r="QUG1335" s="4" t="s">
        <v>2879</v>
      </c>
      <c r="QUH1335" s="4" t="s">
        <v>2879</v>
      </c>
      <c r="QUI1335" s="4" t="s">
        <v>2879</v>
      </c>
      <c r="QUJ1335" s="4" t="s">
        <v>2879</v>
      </c>
      <c r="QUK1335" s="4" t="s">
        <v>2879</v>
      </c>
      <c r="QUL1335" s="4" t="s">
        <v>2879</v>
      </c>
      <c r="QUM1335" s="4" t="s">
        <v>2879</v>
      </c>
      <c r="QUN1335" s="4" t="s">
        <v>2879</v>
      </c>
      <c r="QUO1335" s="4" t="s">
        <v>2879</v>
      </c>
      <c r="QUP1335" s="4" t="s">
        <v>2879</v>
      </c>
      <c r="QUQ1335" s="4" t="s">
        <v>2879</v>
      </c>
      <c r="QUR1335" s="4" t="s">
        <v>2879</v>
      </c>
      <c r="QUS1335" s="4" t="s">
        <v>2879</v>
      </c>
      <c r="QUT1335" s="4" t="s">
        <v>2879</v>
      </c>
      <c r="QUU1335" s="4" t="s">
        <v>2879</v>
      </c>
      <c r="QUV1335" s="4" t="s">
        <v>2879</v>
      </c>
      <c r="QUW1335" s="4" t="s">
        <v>2879</v>
      </c>
      <c r="QUX1335" s="4" t="s">
        <v>2879</v>
      </c>
      <c r="QUY1335" s="4" t="s">
        <v>2879</v>
      </c>
      <c r="QUZ1335" s="4" t="s">
        <v>2879</v>
      </c>
      <c r="QVA1335" s="4" t="s">
        <v>2879</v>
      </c>
      <c r="QVB1335" s="4" t="s">
        <v>2879</v>
      </c>
      <c r="QVC1335" s="4" t="s">
        <v>2879</v>
      </c>
      <c r="QVD1335" s="4" t="s">
        <v>2879</v>
      </c>
      <c r="QVE1335" s="4" t="s">
        <v>2879</v>
      </c>
      <c r="QVF1335" s="4" t="s">
        <v>2879</v>
      </c>
      <c r="QVG1335" s="4" t="s">
        <v>2879</v>
      </c>
      <c r="QVH1335" s="4" t="s">
        <v>2879</v>
      </c>
      <c r="QVI1335" s="4" t="s">
        <v>2879</v>
      </c>
      <c r="QVJ1335" s="4" t="s">
        <v>2879</v>
      </c>
      <c r="QVK1335" s="4" t="s">
        <v>2879</v>
      </c>
      <c r="QVL1335" s="4" t="s">
        <v>2879</v>
      </c>
      <c r="QVM1335" s="4" t="s">
        <v>2879</v>
      </c>
      <c r="QVN1335" s="4" t="s">
        <v>2879</v>
      </c>
      <c r="QVO1335" s="4" t="s">
        <v>2879</v>
      </c>
      <c r="QVP1335" s="4" t="s">
        <v>2879</v>
      </c>
      <c r="QVQ1335" s="4" t="s">
        <v>2879</v>
      </c>
      <c r="QVR1335" s="4" t="s">
        <v>2879</v>
      </c>
      <c r="QVS1335" s="4" t="s">
        <v>2879</v>
      </c>
      <c r="QVT1335" s="4" t="s">
        <v>2879</v>
      </c>
      <c r="QVU1335" s="4" t="s">
        <v>2879</v>
      </c>
      <c r="QVV1335" s="4" t="s">
        <v>2879</v>
      </c>
      <c r="QVW1335" s="4" t="s">
        <v>2879</v>
      </c>
      <c r="QVX1335" s="4" t="s">
        <v>2879</v>
      </c>
      <c r="QVY1335" s="4" t="s">
        <v>2879</v>
      </c>
      <c r="QVZ1335" s="4" t="s">
        <v>2879</v>
      </c>
      <c r="QWA1335" s="4" t="s">
        <v>2879</v>
      </c>
      <c r="QWB1335" s="4" t="s">
        <v>2879</v>
      </c>
      <c r="QWC1335" s="4" t="s">
        <v>2879</v>
      </c>
      <c r="QWD1335" s="4" t="s">
        <v>2879</v>
      </c>
      <c r="QWE1335" s="4" t="s">
        <v>2879</v>
      </c>
      <c r="QWF1335" s="4" t="s">
        <v>2879</v>
      </c>
      <c r="QWG1335" s="4" t="s">
        <v>2879</v>
      </c>
      <c r="QWH1335" s="4" t="s">
        <v>2879</v>
      </c>
      <c r="QWI1335" s="4" t="s">
        <v>2879</v>
      </c>
      <c r="QWJ1335" s="4" t="s">
        <v>2879</v>
      </c>
      <c r="QWK1335" s="4" t="s">
        <v>2879</v>
      </c>
      <c r="QWL1335" s="4" t="s">
        <v>2879</v>
      </c>
      <c r="QWM1335" s="4" t="s">
        <v>2879</v>
      </c>
      <c r="QWN1335" s="4" t="s">
        <v>2879</v>
      </c>
      <c r="QWO1335" s="4" t="s">
        <v>2879</v>
      </c>
      <c r="QWP1335" s="4" t="s">
        <v>2879</v>
      </c>
      <c r="QWQ1335" s="4" t="s">
        <v>2879</v>
      </c>
      <c r="QWR1335" s="4" t="s">
        <v>2879</v>
      </c>
      <c r="QWS1335" s="4" t="s">
        <v>2879</v>
      </c>
      <c r="QWT1335" s="4" t="s">
        <v>2879</v>
      </c>
      <c r="QWU1335" s="4" t="s">
        <v>2879</v>
      </c>
      <c r="QWV1335" s="4" t="s">
        <v>2879</v>
      </c>
      <c r="QWW1335" s="4" t="s">
        <v>2879</v>
      </c>
      <c r="QWX1335" s="4" t="s">
        <v>2879</v>
      </c>
      <c r="QWY1335" s="4" t="s">
        <v>2879</v>
      </c>
      <c r="QWZ1335" s="4" t="s">
        <v>2879</v>
      </c>
      <c r="QXA1335" s="4" t="s">
        <v>2879</v>
      </c>
      <c r="QXB1335" s="4" t="s">
        <v>2879</v>
      </c>
      <c r="QXC1335" s="4" t="s">
        <v>2879</v>
      </c>
      <c r="QXD1335" s="4" t="s">
        <v>2879</v>
      </c>
      <c r="QXE1335" s="4" t="s">
        <v>2879</v>
      </c>
      <c r="QXF1335" s="4" t="s">
        <v>2879</v>
      </c>
      <c r="QXG1335" s="4" t="s">
        <v>2879</v>
      </c>
      <c r="QXH1335" s="4" t="s">
        <v>2879</v>
      </c>
      <c r="QXI1335" s="4" t="s">
        <v>2879</v>
      </c>
      <c r="QXJ1335" s="4" t="s">
        <v>2879</v>
      </c>
      <c r="QXK1335" s="4" t="s">
        <v>2879</v>
      </c>
      <c r="QXL1335" s="4" t="s">
        <v>2879</v>
      </c>
      <c r="QXM1335" s="4" t="s">
        <v>2879</v>
      </c>
      <c r="QXN1335" s="4" t="s">
        <v>2879</v>
      </c>
      <c r="QXO1335" s="4" t="s">
        <v>2879</v>
      </c>
      <c r="QXP1335" s="4" t="s">
        <v>2879</v>
      </c>
      <c r="QXQ1335" s="4" t="s">
        <v>2879</v>
      </c>
      <c r="QXR1335" s="4" t="s">
        <v>2879</v>
      </c>
      <c r="QXS1335" s="4" t="s">
        <v>2879</v>
      </c>
      <c r="QXT1335" s="4" t="s">
        <v>2879</v>
      </c>
      <c r="QXU1335" s="4" t="s">
        <v>2879</v>
      </c>
      <c r="QXV1335" s="4" t="s">
        <v>2879</v>
      </c>
      <c r="QXW1335" s="4" t="s">
        <v>2879</v>
      </c>
      <c r="QXX1335" s="4" t="s">
        <v>2879</v>
      </c>
      <c r="QXY1335" s="4" t="s">
        <v>2879</v>
      </c>
      <c r="QXZ1335" s="4" t="s">
        <v>2879</v>
      </c>
      <c r="QYA1335" s="4" t="s">
        <v>2879</v>
      </c>
      <c r="QYB1335" s="4" t="s">
        <v>2879</v>
      </c>
      <c r="QYC1335" s="4" t="s">
        <v>2879</v>
      </c>
      <c r="QYD1335" s="4" t="s">
        <v>2879</v>
      </c>
      <c r="QYE1335" s="4" t="s">
        <v>2879</v>
      </c>
      <c r="QYF1335" s="4" t="s">
        <v>2879</v>
      </c>
      <c r="QYG1335" s="4" t="s">
        <v>2879</v>
      </c>
      <c r="QYH1335" s="4" t="s">
        <v>2879</v>
      </c>
      <c r="QYI1335" s="4" t="s">
        <v>2879</v>
      </c>
      <c r="QYJ1335" s="4" t="s">
        <v>2879</v>
      </c>
      <c r="QYK1335" s="4" t="s">
        <v>2879</v>
      </c>
      <c r="QYL1335" s="4" t="s">
        <v>2879</v>
      </c>
      <c r="QYM1335" s="4" t="s">
        <v>2879</v>
      </c>
      <c r="QYN1335" s="4" t="s">
        <v>2879</v>
      </c>
      <c r="QYO1335" s="4" t="s">
        <v>2879</v>
      </c>
      <c r="QYP1335" s="4" t="s">
        <v>2879</v>
      </c>
      <c r="QYQ1335" s="4" t="s">
        <v>2879</v>
      </c>
      <c r="QYR1335" s="4" t="s">
        <v>2879</v>
      </c>
      <c r="QYS1335" s="4" t="s">
        <v>2879</v>
      </c>
      <c r="QYT1335" s="4" t="s">
        <v>2879</v>
      </c>
      <c r="QYU1335" s="4" t="s">
        <v>2879</v>
      </c>
      <c r="QYV1335" s="4" t="s">
        <v>2879</v>
      </c>
      <c r="QYW1335" s="4" t="s">
        <v>2879</v>
      </c>
      <c r="QYX1335" s="4" t="s">
        <v>2879</v>
      </c>
      <c r="QYY1335" s="4" t="s">
        <v>2879</v>
      </c>
      <c r="QYZ1335" s="4" t="s">
        <v>2879</v>
      </c>
      <c r="QZA1335" s="4" t="s">
        <v>2879</v>
      </c>
      <c r="QZB1335" s="4" t="s">
        <v>2879</v>
      </c>
      <c r="QZC1335" s="4" t="s">
        <v>2879</v>
      </c>
      <c r="QZD1335" s="4" t="s">
        <v>2879</v>
      </c>
      <c r="QZE1335" s="4" t="s">
        <v>2879</v>
      </c>
      <c r="QZF1335" s="4" t="s">
        <v>2879</v>
      </c>
      <c r="QZG1335" s="4" t="s">
        <v>2879</v>
      </c>
      <c r="QZH1335" s="4" t="s">
        <v>2879</v>
      </c>
      <c r="QZI1335" s="4" t="s">
        <v>2879</v>
      </c>
      <c r="QZJ1335" s="4" t="s">
        <v>2879</v>
      </c>
      <c r="QZK1335" s="4" t="s">
        <v>2879</v>
      </c>
      <c r="QZL1335" s="4" t="s">
        <v>2879</v>
      </c>
      <c r="QZM1335" s="4" t="s">
        <v>2879</v>
      </c>
      <c r="QZN1335" s="4" t="s">
        <v>2879</v>
      </c>
      <c r="QZO1335" s="4" t="s">
        <v>2879</v>
      </c>
      <c r="QZP1335" s="4" t="s">
        <v>2879</v>
      </c>
      <c r="QZQ1335" s="4" t="s">
        <v>2879</v>
      </c>
      <c r="QZR1335" s="4" t="s">
        <v>2879</v>
      </c>
      <c r="QZS1335" s="4" t="s">
        <v>2879</v>
      </c>
      <c r="QZT1335" s="4" t="s">
        <v>2879</v>
      </c>
      <c r="QZU1335" s="4" t="s">
        <v>2879</v>
      </c>
      <c r="QZV1335" s="4" t="s">
        <v>2879</v>
      </c>
      <c r="QZW1335" s="4" t="s">
        <v>2879</v>
      </c>
      <c r="QZX1335" s="4" t="s">
        <v>2879</v>
      </c>
      <c r="QZY1335" s="4" t="s">
        <v>2879</v>
      </c>
      <c r="QZZ1335" s="4" t="s">
        <v>2879</v>
      </c>
      <c r="RAA1335" s="4" t="s">
        <v>2879</v>
      </c>
      <c r="RAB1335" s="4" t="s">
        <v>2879</v>
      </c>
      <c r="RAC1335" s="4" t="s">
        <v>2879</v>
      </c>
      <c r="RAD1335" s="4" t="s">
        <v>2879</v>
      </c>
      <c r="RAE1335" s="4" t="s">
        <v>2879</v>
      </c>
      <c r="RAF1335" s="4" t="s">
        <v>2879</v>
      </c>
      <c r="RAG1335" s="4" t="s">
        <v>2879</v>
      </c>
      <c r="RAH1335" s="4" t="s">
        <v>2879</v>
      </c>
      <c r="RAI1335" s="4" t="s">
        <v>2879</v>
      </c>
      <c r="RAJ1335" s="4" t="s">
        <v>2879</v>
      </c>
      <c r="RAK1335" s="4" t="s">
        <v>2879</v>
      </c>
      <c r="RAL1335" s="4" t="s">
        <v>2879</v>
      </c>
      <c r="RAM1335" s="4" t="s">
        <v>2879</v>
      </c>
      <c r="RAN1335" s="4" t="s">
        <v>2879</v>
      </c>
      <c r="RAO1335" s="4" t="s">
        <v>2879</v>
      </c>
      <c r="RAP1335" s="4" t="s">
        <v>2879</v>
      </c>
      <c r="RAQ1335" s="4" t="s">
        <v>2879</v>
      </c>
      <c r="RAR1335" s="4" t="s">
        <v>2879</v>
      </c>
      <c r="RAS1335" s="4" t="s">
        <v>2879</v>
      </c>
      <c r="RAT1335" s="4" t="s">
        <v>2879</v>
      </c>
      <c r="RAU1335" s="4" t="s">
        <v>2879</v>
      </c>
      <c r="RAV1335" s="4" t="s">
        <v>2879</v>
      </c>
      <c r="RAW1335" s="4" t="s">
        <v>2879</v>
      </c>
      <c r="RAX1335" s="4" t="s">
        <v>2879</v>
      </c>
      <c r="RAY1335" s="4" t="s">
        <v>2879</v>
      </c>
      <c r="RAZ1335" s="4" t="s">
        <v>2879</v>
      </c>
      <c r="RBA1335" s="4" t="s">
        <v>2879</v>
      </c>
      <c r="RBB1335" s="4" t="s">
        <v>2879</v>
      </c>
      <c r="RBC1335" s="4" t="s">
        <v>2879</v>
      </c>
      <c r="RBD1335" s="4" t="s">
        <v>2879</v>
      </c>
      <c r="RBE1335" s="4" t="s">
        <v>2879</v>
      </c>
      <c r="RBF1335" s="4" t="s">
        <v>2879</v>
      </c>
      <c r="RBG1335" s="4" t="s">
        <v>2879</v>
      </c>
      <c r="RBH1335" s="4" t="s">
        <v>2879</v>
      </c>
      <c r="RBI1335" s="4" t="s">
        <v>2879</v>
      </c>
      <c r="RBJ1335" s="4" t="s">
        <v>2879</v>
      </c>
      <c r="RBK1335" s="4" t="s">
        <v>2879</v>
      </c>
      <c r="RBL1335" s="4" t="s">
        <v>2879</v>
      </c>
      <c r="RBM1335" s="4" t="s">
        <v>2879</v>
      </c>
      <c r="RBN1335" s="4" t="s">
        <v>2879</v>
      </c>
      <c r="RBO1335" s="4" t="s">
        <v>2879</v>
      </c>
      <c r="RBP1335" s="4" t="s">
        <v>2879</v>
      </c>
      <c r="RBQ1335" s="4" t="s">
        <v>2879</v>
      </c>
      <c r="RBR1335" s="4" t="s">
        <v>2879</v>
      </c>
      <c r="RBS1335" s="4" t="s">
        <v>2879</v>
      </c>
      <c r="RBT1335" s="4" t="s">
        <v>2879</v>
      </c>
      <c r="RBU1335" s="4" t="s">
        <v>2879</v>
      </c>
      <c r="RBV1335" s="4" t="s">
        <v>2879</v>
      </c>
      <c r="RBW1335" s="4" t="s">
        <v>2879</v>
      </c>
      <c r="RBX1335" s="4" t="s">
        <v>2879</v>
      </c>
      <c r="RBY1335" s="4" t="s">
        <v>2879</v>
      </c>
      <c r="RBZ1335" s="4" t="s">
        <v>2879</v>
      </c>
      <c r="RCA1335" s="4" t="s">
        <v>2879</v>
      </c>
      <c r="RCB1335" s="4" t="s">
        <v>2879</v>
      </c>
      <c r="RCC1335" s="4" t="s">
        <v>2879</v>
      </c>
      <c r="RCD1335" s="4" t="s">
        <v>2879</v>
      </c>
      <c r="RCE1335" s="4" t="s">
        <v>2879</v>
      </c>
      <c r="RCF1335" s="4" t="s">
        <v>2879</v>
      </c>
      <c r="RCG1335" s="4" t="s">
        <v>2879</v>
      </c>
      <c r="RCH1335" s="4" t="s">
        <v>2879</v>
      </c>
      <c r="RCI1335" s="4" t="s">
        <v>2879</v>
      </c>
      <c r="RCJ1335" s="4" t="s">
        <v>2879</v>
      </c>
      <c r="RCK1335" s="4" t="s">
        <v>2879</v>
      </c>
      <c r="RCL1335" s="4" t="s">
        <v>2879</v>
      </c>
      <c r="RCM1335" s="4" t="s">
        <v>2879</v>
      </c>
      <c r="RCN1335" s="4" t="s">
        <v>2879</v>
      </c>
      <c r="RCO1335" s="4" t="s">
        <v>2879</v>
      </c>
      <c r="RCP1335" s="4" t="s">
        <v>2879</v>
      </c>
      <c r="RCQ1335" s="4" t="s">
        <v>2879</v>
      </c>
      <c r="RCR1335" s="4" t="s">
        <v>2879</v>
      </c>
      <c r="RCS1335" s="4" t="s">
        <v>2879</v>
      </c>
      <c r="RCT1335" s="4" t="s">
        <v>2879</v>
      </c>
      <c r="RCU1335" s="4" t="s">
        <v>2879</v>
      </c>
      <c r="RCV1335" s="4" t="s">
        <v>2879</v>
      </c>
      <c r="RCW1335" s="4" t="s">
        <v>2879</v>
      </c>
      <c r="RCX1335" s="4" t="s">
        <v>2879</v>
      </c>
      <c r="RCY1335" s="4" t="s">
        <v>2879</v>
      </c>
      <c r="RCZ1335" s="4" t="s">
        <v>2879</v>
      </c>
      <c r="RDA1335" s="4" t="s">
        <v>2879</v>
      </c>
      <c r="RDB1335" s="4" t="s">
        <v>2879</v>
      </c>
      <c r="RDC1335" s="4" t="s">
        <v>2879</v>
      </c>
      <c r="RDD1335" s="4" t="s">
        <v>2879</v>
      </c>
      <c r="RDE1335" s="4" t="s">
        <v>2879</v>
      </c>
      <c r="RDF1335" s="4" t="s">
        <v>2879</v>
      </c>
      <c r="RDG1335" s="4" t="s">
        <v>2879</v>
      </c>
      <c r="RDH1335" s="4" t="s">
        <v>2879</v>
      </c>
      <c r="RDI1335" s="4" t="s">
        <v>2879</v>
      </c>
      <c r="RDJ1335" s="4" t="s">
        <v>2879</v>
      </c>
      <c r="RDK1335" s="4" t="s">
        <v>2879</v>
      </c>
      <c r="RDL1335" s="4" t="s">
        <v>2879</v>
      </c>
      <c r="RDM1335" s="4" t="s">
        <v>2879</v>
      </c>
      <c r="RDN1335" s="4" t="s">
        <v>2879</v>
      </c>
      <c r="RDO1335" s="4" t="s">
        <v>2879</v>
      </c>
      <c r="RDP1335" s="4" t="s">
        <v>2879</v>
      </c>
      <c r="RDQ1335" s="4" t="s">
        <v>2879</v>
      </c>
      <c r="RDR1335" s="4" t="s">
        <v>2879</v>
      </c>
      <c r="RDS1335" s="4" t="s">
        <v>2879</v>
      </c>
      <c r="RDT1335" s="4" t="s">
        <v>2879</v>
      </c>
      <c r="RDU1335" s="4" t="s">
        <v>2879</v>
      </c>
      <c r="RDV1335" s="4" t="s">
        <v>2879</v>
      </c>
      <c r="RDW1335" s="4" t="s">
        <v>2879</v>
      </c>
      <c r="RDX1335" s="4" t="s">
        <v>2879</v>
      </c>
      <c r="RDY1335" s="4" t="s">
        <v>2879</v>
      </c>
      <c r="RDZ1335" s="4" t="s">
        <v>2879</v>
      </c>
      <c r="REA1335" s="4" t="s">
        <v>2879</v>
      </c>
      <c r="REB1335" s="4" t="s">
        <v>2879</v>
      </c>
      <c r="REC1335" s="4" t="s">
        <v>2879</v>
      </c>
      <c r="RED1335" s="4" t="s">
        <v>2879</v>
      </c>
      <c r="REE1335" s="4" t="s">
        <v>2879</v>
      </c>
      <c r="REF1335" s="4" t="s">
        <v>2879</v>
      </c>
      <c r="REG1335" s="4" t="s">
        <v>2879</v>
      </c>
      <c r="REH1335" s="4" t="s">
        <v>2879</v>
      </c>
      <c r="REI1335" s="4" t="s">
        <v>2879</v>
      </c>
      <c r="REJ1335" s="4" t="s">
        <v>2879</v>
      </c>
      <c r="REK1335" s="4" t="s">
        <v>2879</v>
      </c>
      <c r="REL1335" s="4" t="s">
        <v>2879</v>
      </c>
      <c r="REM1335" s="4" t="s">
        <v>2879</v>
      </c>
      <c r="REN1335" s="4" t="s">
        <v>2879</v>
      </c>
      <c r="REO1335" s="4" t="s">
        <v>2879</v>
      </c>
      <c r="REP1335" s="4" t="s">
        <v>2879</v>
      </c>
      <c r="REQ1335" s="4" t="s">
        <v>2879</v>
      </c>
      <c r="RER1335" s="4" t="s">
        <v>2879</v>
      </c>
      <c r="RES1335" s="4" t="s">
        <v>2879</v>
      </c>
      <c r="RET1335" s="4" t="s">
        <v>2879</v>
      </c>
      <c r="REU1335" s="4" t="s">
        <v>2879</v>
      </c>
      <c r="REV1335" s="4" t="s">
        <v>2879</v>
      </c>
      <c r="REW1335" s="4" t="s">
        <v>2879</v>
      </c>
      <c r="REX1335" s="4" t="s">
        <v>2879</v>
      </c>
      <c r="REY1335" s="4" t="s">
        <v>2879</v>
      </c>
      <c r="REZ1335" s="4" t="s">
        <v>2879</v>
      </c>
      <c r="RFA1335" s="4" t="s">
        <v>2879</v>
      </c>
      <c r="RFB1335" s="4" t="s">
        <v>2879</v>
      </c>
      <c r="RFC1335" s="4" t="s">
        <v>2879</v>
      </c>
      <c r="RFD1335" s="4" t="s">
        <v>2879</v>
      </c>
      <c r="RFE1335" s="4" t="s">
        <v>2879</v>
      </c>
      <c r="RFF1335" s="4" t="s">
        <v>2879</v>
      </c>
      <c r="RFG1335" s="4" t="s">
        <v>2879</v>
      </c>
      <c r="RFH1335" s="4" t="s">
        <v>2879</v>
      </c>
      <c r="RFI1335" s="4" t="s">
        <v>2879</v>
      </c>
      <c r="RFJ1335" s="4" t="s">
        <v>2879</v>
      </c>
      <c r="RFK1335" s="4" t="s">
        <v>2879</v>
      </c>
      <c r="RFL1335" s="4" t="s">
        <v>2879</v>
      </c>
      <c r="RFM1335" s="4" t="s">
        <v>2879</v>
      </c>
      <c r="RFN1335" s="4" t="s">
        <v>2879</v>
      </c>
      <c r="RFO1335" s="4" t="s">
        <v>2879</v>
      </c>
      <c r="RFP1335" s="4" t="s">
        <v>2879</v>
      </c>
      <c r="RFQ1335" s="4" t="s">
        <v>2879</v>
      </c>
      <c r="RFR1335" s="4" t="s">
        <v>2879</v>
      </c>
      <c r="RFS1335" s="4" t="s">
        <v>2879</v>
      </c>
      <c r="RFT1335" s="4" t="s">
        <v>2879</v>
      </c>
      <c r="RFU1335" s="4" t="s">
        <v>2879</v>
      </c>
      <c r="RFV1335" s="4" t="s">
        <v>2879</v>
      </c>
      <c r="RFW1335" s="4" t="s">
        <v>2879</v>
      </c>
      <c r="RFX1335" s="4" t="s">
        <v>2879</v>
      </c>
      <c r="RFY1335" s="4" t="s">
        <v>2879</v>
      </c>
      <c r="RFZ1335" s="4" t="s">
        <v>2879</v>
      </c>
      <c r="RGA1335" s="4" t="s">
        <v>2879</v>
      </c>
      <c r="RGB1335" s="4" t="s">
        <v>2879</v>
      </c>
      <c r="RGC1335" s="4" t="s">
        <v>2879</v>
      </c>
      <c r="RGD1335" s="4" t="s">
        <v>2879</v>
      </c>
      <c r="RGE1335" s="4" t="s">
        <v>2879</v>
      </c>
      <c r="RGF1335" s="4" t="s">
        <v>2879</v>
      </c>
      <c r="RGG1335" s="4" t="s">
        <v>2879</v>
      </c>
      <c r="RGH1335" s="4" t="s">
        <v>2879</v>
      </c>
      <c r="RGI1335" s="4" t="s">
        <v>2879</v>
      </c>
      <c r="RGJ1335" s="4" t="s">
        <v>2879</v>
      </c>
      <c r="RGK1335" s="4" t="s">
        <v>2879</v>
      </c>
      <c r="RGL1335" s="4" t="s">
        <v>2879</v>
      </c>
      <c r="RGM1335" s="4" t="s">
        <v>2879</v>
      </c>
      <c r="RGN1335" s="4" t="s">
        <v>2879</v>
      </c>
      <c r="RGO1335" s="4" t="s">
        <v>2879</v>
      </c>
      <c r="RGP1335" s="4" t="s">
        <v>2879</v>
      </c>
      <c r="RGQ1335" s="4" t="s">
        <v>2879</v>
      </c>
      <c r="RGR1335" s="4" t="s">
        <v>2879</v>
      </c>
      <c r="RGS1335" s="4" t="s">
        <v>2879</v>
      </c>
      <c r="RGT1335" s="4" t="s">
        <v>2879</v>
      </c>
      <c r="RGU1335" s="4" t="s">
        <v>2879</v>
      </c>
      <c r="RGV1335" s="4" t="s">
        <v>2879</v>
      </c>
      <c r="RGW1335" s="4" t="s">
        <v>2879</v>
      </c>
      <c r="RGX1335" s="4" t="s">
        <v>2879</v>
      </c>
      <c r="RGY1335" s="4" t="s">
        <v>2879</v>
      </c>
      <c r="RGZ1335" s="4" t="s">
        <v>2879</v>
      </c>
      <c r="RHA1335" s="4" t="s">
        <v>2879</v>
      </c>
      <c r="RHB1335" s="4" t="s">
        <v>2879</v>
      </c>
      <c r="RHC1335" s="4" t="s">
        <v>2879</v>
      </c>
      <c r="RHD1335" s="4" t="s">
        <v>2879</v>
      </c>
      <c r="RHE1335" s="4" t="s">
        <v>2879</v>
      </c>
      <c r="RHF1335" s="4" t="s">
        <v>2879</v>
      </c>
      <c r="RHG1335" s="4" t="s">
        <v>2879</v>
      </c>
      <c r="RHH1335" s="4" t="s">
        <v>2879</v>
      </c>
      <c r="RHI1335" s="4" t="s">
        <v>2879</v>
      </c>
      <c r="RHJ1335" s="4" t="s">
        <v>2879</v>
      </c>
      <c r="RHK1335" s="4" t="s">
        <v>2879</v>
      </c>
      <c r="RHL1335" s="4" t="s">
        <v>2879</v>
      </c>
      <c r="RHM1335" s="4" t="s">
        <v>2879</v>
      </c>
      <c r="RHN1335" s="4" t="s">
        <v>2879</v>
      </c>
      <c r="RHO1335" s="4" t="s">
        <v>2879</v>
      </c>
      <c r="RHP1335" s="4" t="s">
        <v>2879</v>
      </c>
      <c r="RHQ1335" s="4" t="s">
        <v>2879</v>
      </c>
      <c r="RHR1335" s="4" t="s">
        <v>2879</v>
      </c>
      <c r="RHS1335" s="4" t="s">
        <v>2879</v>
      </c>
      <c r="RHT1335" s="4" t="s">
        <v>2879</v>
      </c>
      <c r="RHU1335" s="4" t="s">
        <v>2879</v>
      </c>
      <c r="RHV1335" s="4" t="s">
        <v>2879</v>
      </c>
      <c r="RHW1335" s="4" t="s">
        <v>2879</v>
      </c>
      <c r="RHX1335" s="4" t="s">
        <v>2879</v>
      </c>
      <c r="RHY1335" s="4" t="s">
        <v>2879</v>
      </c>
      <c r="RHZ1335" s="4" t="s">
        <v>2879</v>
      </c>
      <c r="RIA1335" s="4" t="s">
        <v>2879</v>
      </c>
      <c r="RIB1335" s="4" t="s">
        <v>2879</v>
      </c>
      <c r="RIC1335" s="4" t="s">
        <v>2879</v>
      </c>
      <c r="RID1335" s="4" t="s">
        <v>2879</v>
      </c>
      <c r="RIE1335" s="4" t="s">
        <v>2879</v>
      </c>
      <c r="RIF1335" s="4" t="s">
        <v>2879</v>
      </c>
      <c r="RIG1335" s="4" t="s">
        <v>2879</v>
      </c>
      <c r="RIH1335" s="4" t="s">
        <v>2879</v>
      </c>
      <c r="RII1335" s="4" t="s">
        <v>2879</v>
      </c>
      <c r="RIJ1335" s="4" t="s">
        <v>2879</v>
      </c>
      <c r="RIK1335" s="4" t="s">
        <v>2879</v>
      </c>
      <c r="RIL1335" s="4" t="s">
        <v>2879</v>
      </c>
      <c r="RIM1335" s="4" t="s">
        <v>2879</v>
      </c>
      <c r="RIN1335" s="4" t="s">
        <v>2879</v>
      </c>
      <c r="RIO1335" s="4" t="s">
        <v>2879</v>
      </c>
      <c r="RIP1335" s="4" t="s">
        <v>2879</v>
      </c>
      <c r="RIQ1335" s="4" t="s">
        <v>2879</v>
      </c>
      <c r="RIR1335" s="4" t="s">
        <v>2879</v>
      </c>
      <c r="RIS1335" s="4" t="s">
        <v>2879</v>
      </c>
      <c r="RIT1335" s="4" t="s">
        <v>2879</v>
      </c>
      <c r="RIU1335" s="4" t="s">
        <v>2879</v>
      </c>
      <c r="RIV1335" s="4" t="s">
        <v>2879</v>
      </c>
      <c r="RIW1335" s="4" t="s">
        <v>2879</v>
      </c>
      <c r="RIX1335" s="4" t="s">
        <v>2879</v>
      </c>
      <c r="RIY1335" s="4" t="s">
        <v>2879</v>
      </c>
      <c r="RIZ1335" s="4" t="s">
        <v>2879</v>
      </c>
      <c r="RJA1335" s="4" t="s">
        <v>2879</v>
      </c>
      <c r="RJB1335" s="4" t="s">
        <v>2879</v>
      </c>
      <c r="RJC1335" s="4" t="s">
        <v>2879</v>
      </c>
      <c r="RJD1335" s="4" t="s">
        <v>2879</v>
      </c>
      <c r="RJE1335" s="4" t="s">
        <v>2879</v>
      </c>
      <c r="RJF1335" s="4" t="s">
        <v>2879</v>
      </c>
      <c r="RJG1335" s="4" t="s">
        <v>2879</v>
      </c>
      <c r="RJH1335" s="4" t="s">
        <v>2879</v>
      </c>
      <c r="RJI1335" s="4" t="s">
        <v>2879</v>
      </c>
      <c r="RJJ1335" s="4" t="s">
        <v>2879</v>
      </c>
      <c r="RJK1335" s="4" t="s">
        <v>2879</v>
      </c>
      <c r="RJL1335" s="4" t="s">
        <v>2879</v>
      </c>
      <c r="RJM1335" s="4" t="s">
        <v>2879</v>
      </c>
      <c r="RJN1335" s="4" t="s">
        <v>2879</v>
      </c>
      <c r="RJO1335" s="4" t="s">
        <v>2879</v>
      </c>
      <c r="RJP1335" s="4" t="s">
        <v>2879</v>
      </c>
      <c r="RJQ1335" s="4" t="s">
        <v>2879</v>
      </c>
      <c r="RJR1335" s="4" t="s">
        <v>2879</v>
      </c>
      <c r="RJS1335" s="4" t="s">
        <v>2879</v>
      </c>
      <c r="RJT1335" s="4" t="s">
        <v>2879</v>
      </c>
      <c r="RJU1335" s="4" t="s">
        <v>2879</v>
      </c>
      <c r="RJV1335" s="4" t="s">
        <v>2879</v>
      </c>
      <c r="RJW1335" s="4" t="s">
        <v>2879</v>
      </c>
      <c r="RJX1335" s="4" t="s">
        <v>2879</v>
      </c>
      <c r="RJY1335" s="4" t="s">
        <v>2879</v>
      </c>
      <c r="RJZ1335" s="4" t="s">
        <v>2879</v>
      </c>
      <c r="RKA1335" s="4" t="s">
        <v>2879</v>
      </c>
      <c r="RKB1335" s="4" t="s">
        <v>2879</v>
      </c>
      <c r="RKC1335" s="4" t="s">
        <v>2879</v>
      </c>
      <c r="RKD1335" s="4" t="s">
        <v>2879</v>
      </c>
      <c r="RKE1335" s="4" t="s">
        <v>2879</v>
      </c>
      <c r="RKF1335" s="4" t="s">
        <v>2879</v>
      </c>
      <c r="RKG1335" s="4" t="s">
        <v>2879</v>
      </c>
      <c r="RKH1335" s="4" t="s">
        <v>2879</v>
      </c>
      <c r="RKI1335" s="4" t="s">
        <v>2879</v>
      </c>
      <c r="RKJ1335" s="4" t="s">
        <v>2879</v>
      </c>
      <c r="RKK1335" s="4" t="s">
        <v>2879</v>
      </c>
      <c r="RKL1335" s="4" t="s">
        <v>2879</v>
      </c>
      <c r="RKM1335" s="4" t="s">
        <v>2879</v>
      </c>
      <c r="RKN1335" s="4" t="s">
        <v>2879</v>
      </c>
      <c r="RKO1335" s="4" t="s">
        <v>2879</v>
      </c>
      <c r="RKP1335" s="4" t="s">
        <v>2879</v>
      </c>
      <c r="RKQ1335" s="4" t="s">
        <v>2879</v>
      </c>
      <c r="RKR1335" s="4" t="s">
        <v>2879</v>
      </c>
      <c r="RKS1335" s="4" t="s">
        <v>2879</v>
      </c>
      <c r="RKT1335" s="4" t="s">
        <v>2879</v>
      </c>
      <c r="RKU1335" s="4" t="s">
        <v>2879</v>
      </c>
      <c r="RKV1335" s="4" t="s">
        <v>2879</v>
      </c>
      <c r="RKW1335" s="4" t="s">
        <v>2879</v>
      </c>
      <c r="RKX1335" s="4" t="s">
        <v>2879</v>
      </c>
      <c r="RKY1335" s="4" t="s">
        <v>2879</v>
      </c>
      <c r="RKZ1335" s="4" t="s">
        <v>2879</v>
      </c>
      <c r="RLA1335" s="4" t="s">
        <v>2879</v>
      </c>
      <c r="RLB1335" s="4" t="s">
        <v>2879</v>
      </c>
      <c r="RLC1335" s="4" t="s">
        <v>2879</v>
      </c>
      <c r="RLD1335" s="4" t="s">
        <v>2879</v>
      </c>
      <c r="RLE1335" s="4" t="s">
        <v>2879</v>
      </c>
      <c r="RLF1335" s="4" t="s">
        <v>2879</v>
      </c>
      <c r="RLG1335" s="4" t="s">
        <v>2879</v>
      </c>
      <c r="RLH1335" s="4" t="s">
        <v>2879</v>
      </c>
      <c r="RLI1335" s="4" t="s">
        <v>2879</v>
      </c>
      <c r="RLJ1335" s="4" t="s">
        <v>2879</v>
      </c>
      <c r="RLK1335" s="4" t="s">
        <v>2879</v>
      </c>
      <c r="RLL1335" s="4" t="s">
        <v>2879</v>
      </c>
      <c r="RLM1335" s="4" t="s">
        <v>2879</v>
      </c>
      <c r="RLN1335" s="4" t="s">
        <v>2879</v>
      </c>
      <c r="RLO1335" s="4" t="s">
        <v>2879</v>
      </c>
      <c r="RLP1335" s="4" t="s">
        <v>2879</v>
      </c>
      <c r="RLQ1335" s="4" t="s">
        <v>2879</v>
      </c>
      <c r="RLR1335" s="4" t="s">
        <v>2879</v>
      </c>
      <c r="RLS1335" s="4" t="s">
        <v>2879</v>
      </c>
      <c r="RLT1335" s="4" t="s">
        <v>2879</v>
      </c>
      <c r="RLU1335" s="4" t="s">
        <v>2879</v>
      </c>
      <c r="RLV1335" s="4" t="s">
        <v>2879</v>
      </c>
      <c r="RLW1335" s="4" t="s">
        <v>2879</v>
      </c>
      <c r="RLX1335" s="4" t="s">
        <v>2879</v>
      </c>
      <c r="RLY1335" s="4" t="s">
        <v>2879</v>
      </c>
      <c r="RLZ1335" s="4" t="s">
        <v>2879</v>
      </c>
      <c r="RMA1335" s="4" t="s">
        <v>2879</v>
      </c>
      <c r="RMB1335" s="4" t="s">
        <v>2879</v>
      </c>
      <c r="RMC1335" s="4" t="s">
        <v>2879</v>
      </c>
      <c r="RMD1335" s="4" t="s">
        <v>2879</v>
      </c>
      <c r="RME1335" s="4" t="s">
        <v>2879</v>
      </c>
      <c r="RMF1335" s="4" t="s">
        <v>2879</v>
      </c>
      <c r="RMG1335" s="4" t="s">
        <v>2879</v>
      </c>
      <c r="RMH1335" s="4" t="s">
        <v>2879</v>
      </c>
      <c r="RMI1335" s="4" t="s">
        <v>2879</v>
      </c>
      <c r="RMJ1335" s="4" t="s">
        <v>2879</v>
      </c>
      <c r="RMK1335" s="4" t="s">
        <v>2879</v>
      </c>
      <c r="RML1335" s="4" t="s">
        <v>2879</v>
      </c>
      <c r="RMM1335" s="4" t="s">
        <v>2879</v>
      </c>
      <c r="RMN1335" s="4" t="s">
        <v>2879</v>
      </c>
      <c r="RMO1335" s="4" t="s">
        <v>2879</v>
      </c>
      <c r="RMP1335" s="4" t="s">
        <v>2879</v>
      </c>
      <c r="RMQ1335" s="4" t="s">
        <v>2879</v>
      </c>
      <c r="RMR1335" s="4" t="s">
        <v>2879</v>
      </c>
      <c r="RMS1335" s="4" t="s">
        <v>2879</v>
      </c>
      <c r="RMT1335" s="4" t="s">
        <v>2879</v>
      </c>
      <c r="RMU1335" s="4" t="s">
        <v>2879</v>
      </c>
      <c r="RMV1335" s="4" t="s">
        <v>2879</v>
      </c>
      <c r="RMW1335" s="4" t="s">
        <v>2879</v>
      </c>
      <c r="RMX1335" s="4" t="s">
        <v>2879</v>
      </c>
      <c r="RMY1335" s="4" t="s">
        <v>2879</v>
      </c>
      <c r="RMZ1335" s="4" t="s">
        <v>2879</v>
      </c>
      <c r="RNA1335" s="4" t="s">
        <v>2879</v>
      </c>
      <c r="RNB1335" s="4" t="s">
        <v>2879</v>
      </c>
      <c r="RNC1335" s="4" t="s">
        <v>2879</v>
      </c>
      <c r="RND1335" s="4" t="s">
        <v>2879</v>
      </c>
      <c r="RNE1335" s="4" t="s">
        <v>2879</v>
      </c>
      <c r="RNF1335" s="4" t="s">
        <v>2879</v>
      </c>
      <c r="RNG1335" s="4" t="s">
        <v>2879</v>
      </c>
      <c r="RNH1335" s="4" t="s">
        <v>2879</v>
      </c>
      <c r="RNI1335" s="4" t="s">
        <v>2879</v>
      </c>
      <c r="RNJ1335" s="4" t="s">
        <v>2879</v>
      </c>
      <c r="RNK1335" s="4" t="s">
        <v>2879</v>
      </c>
      <c r="RNL1335" s="4" t="s">
        <v>2879</v>
      </c>
      <c r="RNM1335" s="4" t="s">
        <v>2879</v>
      </c>
      <c r="RNN1335" s="4" t="s">
        <v>2879</v>
      </c>
      <c r="RNO1335" s="4" t="s">
        <v>2879</v>
      </c>
      <c r="RNP1335" s="4" t="s">
        <v>2879</v>
      </c>
      <c r="RNQ1335" s="4" t="s">
        <v>2879</v>
      </c>
      <c r="RNR1335" s="4" t="s">
        <v>2879</v>
      </c>
      <c r="RNS1335" s="4" t="s">
        <v>2879</v>
      </c>
      <c r="RNT1335" s="4" t="s">
        <v>2879</v>
      </c>
      <c r="RNU1335" s="4" t="s">
        <v>2879</v>
      </c>
      <c r="RNV1335" s="4" t="s">
        <v>2879</v>
      </c>
      <c r="RNW1335" s="4" t="s">
        <v>2879</v>
      </c>
      <c r="RNX1335" s="4" t="s">
        <v>2879</v>
      </c>
      <c r="RNY1335" s="4" t="s">
        <v>2879</v>
      </c>
      <c r="RNZ1335" s="4" t="s">
        <v>2879</v>
      </c>
      <c r="ROA1335" s="4" t="s">
        <v>2879</v>
      </c>
      <c r="ROB1335" s="4" t="s">
        <v>2879</v>
      </c>
      <c r="ROC1335" s="4" t="s">
        <v>2879</v>
      </c>
      <c r="ROD1335" s="4" t="s">
        <v>2879</v>
      </c>
      <c r="ROE1335" s="4" t="s">
        <v>2879</v>
      </c>
      <c r="ROF1335" s="4" t="s">
        <v>2879</v>
      </c>
      <c r="ROG1335" s="4" t="s">
        <v>2879</v>
      </c>
      <c r="ROH1335" s="4" t="s">
        <v>2879</v>
      </c>
      <c r="ROI1335" s="4" t="s">
        <v>2879</v>
      </c>
      <c r="ROJ1335" s="4" t="s">
        <v>2879</v>
      </c>
      <c r="ROK1335" s="4" t="s">
        <v>2879</v>
      </c>
      <c r="ROL1335" s="4" t="s">
        <v>2879</v>
      </c>
      <c r="ROM1335" s="4" t="s">
        <v>2879</v>
      </c>
      <c r="RON1335" s="4" t="s">
        <v>2879</v>
      </c>
      <c r="ROO1335" s="4" t="s">
        <v>2879</v>
      </c>
      <c r="ROP1335" s="4" t="s">
        <v>2879</v>
      </c>
      <c r="ROQ1335" s="4" t="s">
        <v>2879</v>
      </c>
      <c r="ROR1335" s="4" t="s">
        <v>2879</v>
      </c>
      <c r="ROS1335" s="4" t="s">
        <v>2879</v>
      </c>
      <c r="ROT1335" s="4" t="s">
        <v>2879</v>
      </c>
      <c r="ROU1335" s="4" t="s">
        <v>2879</v>
      </c>
      <c r="ROV1335" s="4" t="s">
        <v>2879</v>
      </c>
      <c r="ROW1335" s="4" t="s">
        <v>2879</v>
      </c>
      <c r="ROX1335" s="4" t="s">
        <v>2879</v>
      </c>
      <c r="ROY1335" s="4" t="s">
        <v>2879</v>
      </c>
      <c r="ROZ1335" s="4" t="s">
        <v>2879</v>
      </c>
      <c r="RPA1335" s="4" t="s">
        <v>2879</v>
      </c>
      <c r="RPB1335" s="4" t="s">
        <v>2879</v>
      </c>
      <c r="RPC1335" s="4" t="s">
        <v>2879</v>
      </c>
      <c r="RPD1335" s="4" t="s">
        <v>2879</v>
      </c>
      <c r="RPE1335" s="4" t="s">
        <v>2879</v>
      </c>
      <c r="RPF1335" s="4" t="s">
        <v>2879</v>
      </c>
      <c r="RPG1335" s="4" t="s">
        <v>2879</v>
      </c>
      <c r="RPH1335" s="4" t="s">
        <v>2879</v>
      </c>
      <c r="RPI1335" s="4" t="s">
        <v>2879</v>
      </c>
      <c r="RPJ1335" s="4" t="s">
        <v>2879</v>
      </c>
      <c r="RPK1335" s="4" t="s">
        <v>2879</v>
      </c>
      <c r="RPL1335" s="4" t="s">
        <v>2879</v>
      </c>
      <c r="RPM1335" s="4" t="s">
        <v>2879</v>
      </c>
      <c r="RPN1335" s="4" t="s">
        <v>2879</v>
      </c>
      <c r="RPO1335" s="4" t="s">
        <v>2879</v>
      </c>
      <c r="RPP1335" s="4" t="s">
        <v>2879</v>
      </c>
      <c r="RPQ1335" s="4" t="s">
        <v>2879</v>
      </c>
      <c r="RPR1335" s="4" t="s">
        <v>2879</v>
      </c>
      <c r="RPS1335" s="4" t="s">
        <v>2879</v>
      </c>
      <c r="RPT1335" s="4" t="s">
        <v>2879</v>
      </c>
      <c r="RPU1335" s="4" t="s">
        <v>2879</v>
      </c>
      <c r="RPV1335" s="4" t="s">
        <v>2879</v>
      </c>
      <c r="RPW1335" s="4" t="s">
        <v>2879</v>
      </c>
      <c r="RPX1335" s="4" t="s">
        <v>2879</v>
      </c>
      <c r="RPY1335" s="4" t="s">
        <v>2879</v>
      </c>
      <c r="RPZ1335" s="4" t="s">
        <v>2879</v>
      </c>
      <c r="RQA1335" s="4" t="s">
        <v>2879</v>
      </c>
      <c r="RQB1335" s="4" t="s">
        <v>2879</v>
      </c>
      <c r="RQC1335" s="4" t="s">
        <v>2879</v>
      </c>
      <c r="RQD1335" s="4" t="s">
        <v>2879</v>
      </c>
      <c r="RQE1335" s="4" t="s">
        <v>2879</v>
      </c>
      <c r="RQF1335" s="4" t="s">
        <v>2879</v>
      </c>
      <c r="RQG1335" s="4" t="s">
        <v>2879</v>
      </c>
      <c r="RQH1335" s="4" t="s">
        <v>2879</v>
      </c>
      <c r="RQI1335" s="4" t="s">
        <v>2879</v>
      </c>
      <c r="RQJ1335" s="4" t="s">
        <v>2879</v>
      </c>
      <c r="RQK1335" s="4" t="s">
        <v>2879</v>
      </c>
      <c r="RQL1335" s="4" t="s">
        <v>2879</v>
      </c>
      <c r="RQM1335" s="4" t="s">
        <v>2879</v>
      </c>
      <c r="RQN1335" s="4" t="s">
        <v>2879</v>
      </c>
      <c r="RQO1335" s="4" t="s">
        <v>2879</v>
      </c>
      <c r="RQP1335" s="4" t="s">
        <v>2879</v>
      </c>
      <c r="RQQ1335" s="4" t="s">
        <v>2879</v>
      </c>
      <c r="RQR1335" s="4" t="s">
        <v>2879</v>
      </c>
      <c r="RQS1335" s="4" t="s">
        <v>2879</v>
      </c>
      <c r="RQT1335" s="4" t="s">
        <v>2879</v>
      </c>
      <c r="RQU1335" s="4" t="s">
        <v>2879</v>
      </c>
      <c r="RQV1335" s="4" t="s">
        <v>2879</v>
      </c>
      <c r="RQW1335" s="4" t="s">
        <v>2879</v>
      </c>
      <c r="RQX1335" s="4" t="s">
        <v>2879</v>
      </c>
      <c r="RQY1335" s="4" t="s">
        <v>2879</v>
      </c>
      <c r="RQZ1335" s="4" t="s">
        <v>2879</v>
      </c>
      <c r="RRA1335" s="4" t="s">
        <v>2879</v>
      </c>
      <c r="RRB1335" s="4" t="s">
        <v>2879</v>
      </c>
      <c r="RRC1335" s="4" t="s">
        <v>2879</v>
      </c>
      <c r="RRD1335" s="4" t="s">
        <v>2879</v>
      </c>
      <c r="RRE1335" s="4" t="s">
        <v>2879</v>
      </c>
      <c r="RRF1335" s="4" t="s">
        <v>2879</v>
      </c>
      <c r="RRG1335" s="4" t="s">
        <v>2879</v>
      </c>
      <c r="RRH1335" s="4" t="s">
        <v>2879</v>
      </c>
      <c r="RRI1335" s="4" t="s">
        <v>2879</v>
      </c>
      <c r="RRJ1335" s="4" t="s">
        <v>2879</v>
      </c>
      <c r="RRK1335" s="4" t="s">
        <v>2879</v>
      </c>
      <c r="RRL1335" s="4" t="s">
        <v>2879</v>
      </c>
      <c r="RRM1335" s="4" t="s">
        <v>2879</v>
      </c>
      <c r="RRN1335" s="4" t="s">
        <v>2879</v>
      </c>
      <c r="RRO1335" s="4" t="s">
        <v>2879</v>
      </c>
      <c r="RRP1335" s="4" t="s">
        <v>2879</v>
      </c>
      <c r="RRQ1335" s="4" t="s">
        <v>2879</v>
      </c>
      <c r="RRR1335" s="4" t="s">
        <v>2879</v>
      </c>
      <c r="RRS1335" s="4" t="s">
        <v>2879</v>
      </c>
      <c r="RRT1335" s="4" t="s">
        <v>2879</v>
      </c>
      <c r="RRU1335" s="4" t="s">
        <v>2879</v>
      </c>
      <c r="RRV1335" s="4" t="s">
        <v>2879</v>
      </c>
      <c r="RRW1335" s="4" t="s">
        <v>2879</v>
      </c>
      <c r="RRX1335" s="4" t="s">
        <v>2879</v>
      </c>
      <c r="RRY1335" s="4" t="s">
        <v>2879</v>
      </c>
      <c r="RRZ1335" s="4" t="s">
        <v>2879</v>
      </c>
      <c r="RSA1335" s="4" t="s">
        <v>2879</v>
      </c>
      <c r="RSB1335" s="4" t="s">
        <v>2879</v>
      </c>
      <c r="RSC1335" s="4" t="s">
        <v>2879</v>
      </c>
      <c r="RSD1335" s="4" t="s">
        <v>2879</v>
      </c>
      <c r="RSE1335" s="4" t="s">
        <v>2879</v>
      </c>
      <c r="RSF1335" s="4" t="s">
        <v>2879</v>
      </c>
      <c r="RSG1335" s="4" t="s">
        <v>2879</v>
      </c>
      <c r="RSH1335" s="4" t="s">
        <v>2879</v>
      </c>
      <c r="RSI1335" s="4" t="s">
        <v>2879</v>
      </c>
      <c r="RSJ1335" s="4" t="s">
        <v>2879</v>
      </c>
      <c r="RSK1335" s="4" t="s">
        <v>2879</v>
      </c>
      <c r="RSL1335" s="4" t="s">
        <v>2879</v>
      </c>
      <c r="RSM1335" s="4" t="s">
        <v>2879</v>
      </c>
      <c r="RSN1335" s="4" t="s">
        <v>2879</v>
      </c>
      <c r="RSO1335" s="4" t="s">
        <v>2879</v>
      </c>
      <c r="RSP1335" s="4" t="s">
        <v>2879</v>
      </c>
      <c r="RSQ1335" s="4" t="s">
        <v>2879</v>
      </c>
      <c r="RSR1335" s="4" t="s">
        <v>2879</v>
      </c>
      <c r="RSS1335" s="4" t="s">
        <v>2879</v>
      </c>
      <c r="RST1335" s="4" t="s">
        <v>2879</v>
      </c>
      <c r="RSU1335" s="4" t="s">
        <v>2879</v>
      </c>
      <c r="RSV1335" s="4" t="s">
        <v>2879</v>
      </c>
      <c r="RSW1335" s="4" t="s">
        <v>2879</v>
      </c>
      <c r="RSX1335" s="4" t="s">
        <v>2879</v>
      </c>
      <c r="RSY1335" s="4" t="s">
        <v>2879</v>
      </c>
      <c r="RSZ1335" s="4" t="s">
        <v>2879</v>
      </c>
      <c r="RTA1335" s="4" t="s">
        <v>2879</v>
      </c>
      <c r="RTB1335" s="4" t="s">
        <v>2879</v>
      </c>
      <c r="RTC1335" s="4" t="s">
        <v>2879</v>
      </c>
      <c r="RTD1335" s="4" t="s">
        <v>2879</v>
      </c>
      <c r="RTE1335" s="4" t="s">
        <v>2879</v>
      </c>
      <c r="RTF1335" s="4" t="s">
        <v>2879</v>
      </c>
      <c r="RTG1335" s="4" t="s">
        <v>2879</v>
      </c>
      <c r="RTH1335" s="4" t="s">
        <v>2879</v>
      </c>
      <c r="RTI1335" s="4" t="s">
        <v>2879</v>
      </c>
      <c r="RTJ1335" s="4" t="s">
        <v>2879</v>
      </c>
      <c r="RTK1335" s="4" t="s">
        <v>2879</v>
      </c>
      <c r="RTL1335" s="4" t="s">
        <v>2879</v>
      </c>
      <c r="RTM1335" s="4" t="s">
        <v>2879</v>
      </c>
      <c r="RTN1335" s="4" t="s">
        <v>2879</v>
      </c>
      <c r="RTO1335" s="4" t="s">
        <v>2879</v>
      </c>
      <c r="RTP1335" s="4" t="s">
        <v>2879</v>
      </c>
      <c r="RTQ1335" s="4" t="s">
        <v>2879</v>
      </c>
      <c r="RTR1335" s="4" t="s">
        <v>2879</v>
      </c>
      <c r="RTS1335" s="4" t="s">
        <v>2879</v>
      </c>
      <c r="RTT1335" s="4" t="s">
        <v>2879</v>
      </c>
      <c r="RTU1335" s="4" t="s">
        <v>2879</v>
      </c>
      <c r="RTV1335" s="4" t="s">
        <v>2879</v>
      </c>
      <c r="RTW1335" s="4" t="s">
        <v>2879</v>
      </c>
      <c r="RTX1335" s="4" t="s">
        <v>2879</v>
      </c>
      <c r="RTY1335" s="4" t="s">
        <v>2879</v>
      </c>
      <c r="RTZ1335" s="4" t="s">
        <v>2879</v>
      </c>
      <c r="RUA1335" s="4" t="s">
        <v>2879</v>
      </c>
      <c r="RUB1335" s="4" t="s">
        <v>2879</v>
      </c>
      <c r="RUC1335" s="4" t="s">
        <v>2879</v>
      </c>
      <c r="RUD1335" s="4" t="s">
        <v>2879</v>
      </c>
      <c r="RUE1335" s="4" t="s">
        <v>2879</v>
      </c>
      <c r="RUF1335" s="4" t="s">
        <v>2879</v>
      </c>
      <c r="RUG1335" s="4" t="s">
        <v>2879</v>
      </c>
      <c r="RUH1335" s="4" t="s">
        <v>2879</v>
      </c>
      <c r="RUI1335" s="4" t="s">
        <v>2879</v>
      </c>
      <c r="RUJ1335" s="4" t="s">
        <v>2879</v>
      </c>
      <c r="RUK1335" s="4" t="s">
        <v>2879</v>
      </c>
      <c r="RUL1335" s="4" t="s">
        <v>2879</v>
      </c>
      <c r="RUM1335" s="4" t="s">
        <v>2879</v>
      </c>
      <c r="RUN1335" s="4" t="s">
        <v>2879</v>
      </c>
      <c r="RUO1335" s="4" t="s">
        <v>2879</v>
      </c>
      <c r="RUP1335" s="4" t="s">
        <v>2879</v>
      </c>
      <c r="RUQ1335" s="4" t="s">
        <v>2879</v>
      </c>
      <c r="RUR1335" s="4" t="s">
        <v>2879</v>
      </c>
      <c r="RUS1335" s="4" t="s">
        <v>2879</v>
      </c>
      <c r="RUT1335" s="4" t="s">
        <v>2879</v>
      </c>
      <c r="RUU1335" s="4" t="s">
        <v>2879</v>
      </c>
      <c r="RUV1335" s="4" t="s">
        <v>2879</v>
      </c>
      <c r="RUW1335" s="4" t="s">
        <v>2879</v>
      </c>
      <c r="RUX1335" s="4" t="s">
        <v>2879</v>
      </c>
      <c r="RUY1335" s="4" t="s">
        <v>2879</v>
      </c>
      <c r="RUZ1335" s="4" t="s">
        <v>2879</v>
      </c>
      <c r="RVA1335" s="4" t="s">
        <v>2879</v>
      </c>
      <c r="RVB1335" s="4" t="s">
        <v>2879</v>
      </c>
      <c r="RVC1335" s="4" t="s">
        <v>2879</v>
      </c>
      <c r="RVD1335" s="4" t="s">
        <v>2879</v>
      </c>
      <c r="RVE1335" s="4" t="s">
        <v>2879</v>
      </c>
      <c r="RVF1335" s="4" t="s">
        <v>2879</v>
      </c>
      <c r="RVG1335" s="4" t="s">
        <v>2879</v>
      </c>
      <c r="RVH1335" s="4" t="s">
        <v>2879</v>
      </c>
      <c r="RVI1335" s="4" t="s">
        <v>2879</v>
      </c>
      <c r="RVJ1335" s="4" t="s">
        <v>2879</v>
      </c>
      <c r="RVK1335" s="4" t="s">
        <v>2879</v>
      </c>
      <c r="RVL1335" s="4" t="s">
        <v>2879</v>
      </c>
      <c r="RVM1335" s="4" t="s">
        <v>2879</v>
      </c>
      <c r="RVN1335" s="4" t="s">
        <v>2879</v>
      </c>
      <c r="RVO1335" s="4" t="s">
        <v>2879</v>
      </c>
      <c r="RVP1335" s="4" t="s">
        <v>2879</v>
      </c>
      <c r="RVQ1335" s="4" t="s">
        <v>2879</v>
      </c>
      <c r="RVR1335" s="4" t="s">
        <v>2879</v>
      </c>
      <c r="RVS1335" s="4" t="s">
        <v>2879</v>
      </c>
      <c r="RVT1335" s="4" t="s">
        <v>2879</v>
      </c>
      <c r="RVU1335" s="4" t="s">
        <v>2879</v>
      </c>
      <c r="RVV1335" s="4" t="s">
        <v>2879</v>
      </c>
      <c r="RVW1335" s="4" t="s">
        <v>2879</v>
      </c>
      <c r="RVX1335" s="4" t="s">
        <v>2879</v>
      </c>
      <c r="RVY1335" s="4" t="s">
        <v>2879</v>
      </c>
      <c r="RVZ1335" s="4" t="s">
        <v>2879</v>
      </c>
      <c r="RWA1335" s="4" t="s">
        <v>2879</v>
      </c>
      <c r="RWB1335" s="4" t="s">
        <v>2879</v>
      </c>
      <c r="RWC1335" s="4" t="s">
        <v>2879</v>
      </c>
      <c r="RWD1335" s="4" t="s">
        <v>2879</v>
      </c>
      <c r="RWE1335" s="4" t="s">
        <v>2879</v>
      </c>
      <c r="RWF1335" s="4" t="s">
        <v>2879</v>
      </c>
      <c r="RWG1335" s="4" t="s">
        <v>2879</v>
      </c>
      <c r="RWH1335" s="4" t="s">
        <v>2879</v>
      </c>
      <c r="RWI1335" s="4" t="s">
        <v>2879</v>
      </c>
      <c r="RWJ1335" s="4" t="s">
        <v>2879</v>
      </c>
      <c r="RWK1335" s="4" t="s">
        <v>2879</v>
      </c>
      <c r="RWL1335" s="4" t="s">
        <v>2879</v>
      </c>
      <c r="RWM1335" s="4" t="s">
        <v>2879</v>
      </c>
      <c r="RWN1335" s="4" t="s">
        <v>2879</v>
      </c>
      <c r="RWO1335" s="4" t="s">
        <v>2879</v>
      </c>
      <c r="RWP1335" s="4" t="s">
        <v>2879</v>
      </c>
      <c r="RWQ1335" s="4" t="s">
        <v>2879</v>
      </c>
      <c r="RWR1335" s="4" t="s">
        <v>2879</v>
      </c>
      <c r="RWS1335" s="4" t="s">
        <v>2879</v>
      </c>
      <c r="RWT1335" s="4" t="s">
        <v>2879</v>
      </c>
      <c r="RWU1335" s="4" t="s">
        <v>2879</v>
      </c>
      <c r="RWV1335" s="4" t="s">
        <v>2879</v>
      </c>
      <c r="RWW1335" s="4" t="s">
        <v>2879</v>
      </c>
      <c r="RWX1335" s="4" t="s">
        <v>2879</v>
      </c>
      <c r="RWY1335" s="4" t="s">
        <v>2879</v>
      </c>
      <c r="RWZ1335" s="4" t="s">
        <v>2879</v>
      </c>
      <c r="RXA1335" s="4" t="s">
        <v>2879</v>
      </c>
      <c r="RXB1335" s="4" t="s">
        <v>2879</v>
      </c>
      <c r="RXC1335" s="4" t="s">
        <v>2879</v>
      </c>
      <c r="RXD1335" s="4" t="s">
        <v>2879</v>
      </c>
      <c r="RXE1335" s="4" t="s">
        <v>2879</v>
      </c>
      <c r="RXF1335" s="4" t="s">
        <v>2879</v>
      </c>
      <c r="RXG1335" s="4" t="s">
        <v>2879</v>
      </c>
      <c r="RXH1335" s="4" t="s">
        <v>2879</v>
      </c>
      <c r="RXI1335" s="4" t="s">
        <v>2879</v>
      </c>
      <c r="RXJ1335" s="4" t="s">
        <v>2879</v>
      </c>
      <c r="RXK1335" s="4" t="s">
        <v>2879</v>
      </c>
      <c r="RXL1335" s="4" t="s">
        <v>2879</v>
      </c>
      <c r="RXM1335" s="4" t="s">
        <v>2879</v>
      </c>
      <c r="RXN1335" s="4" t="s">
        <v>2879</v>
      </c>
      <c r="RXO1335" s="4" t="s">
        <v>2879</v>
      </c>
      <c r="RXP1335" s="4" t="s">
        <v>2879</v>
      </c>
      <c r="RXQ1335" s="4" t="s">
        <v>2879</v>
      </c>
      <c r="RXR1335" s="4" t="s">
        <v>2879</v>
      </c>
      <c r="RXS1335" s="4" t="s">
        <v>2879</v>
      </c>
      <c r="RXT1335" s="4" t="s">
        <v>2879</v>
      </c>
      <c r="RXU1335" s="4" t="s">
        <v>2879</v>
      </c>
      <c r="RXV1335" s="4" t="s">
        <v>2879</v>
      </c>
      <c r="RXW1335" s="4" t="s">
        <v>2879</v>
      </c>
      <c r="RXX1335" s="4" t="s">
        <v>2879</v>
      </c>
      <c r="RXY1335" s="4" t="s">
        <v>2879</v>
      </c>
      <c r="RXZ1335" s="4" t="s">
        <v>2879</v>
      </c>
      <c r="RYA1335" s="4" t="s">
        <v>2879</v>
      </c>
      <c r="RYB1335" s="4" t="s">
        <v>2879</v>
      </c>
      <c r="RYC1335" s="4" t="s">
        <v>2879</v>
      </c>
      <c r="RYD1335" s="4" t="s">
        <v>2879</v>
      </c>
      <c r="RYE1335" s="4" t="s">
        <v>2879</v>
      </c>
      <c r="RYF1335" s="4" t="s">
        <v>2879</v>
      </c>
      <c r="RYG1335" s="4" t="s">
        <v>2879</v>
      </c>
      <c r="RYH1335" s="4" t="s">
        <v>2879</v>
      </c>
      <c r="RYI1335" s="4" t="s">
        <v>2879</v>
      </c>
      <c r="RYJ1335" s="4" t="s">
        <v>2879</v>
      </c>
      <c r="RYK1335" s="4" t="s">
        <v>2879</v>
      </c>
      <c r="RYL1335" s="4" t="s">
        <v>2879</v>
      </c>
      <c r="RYM1335" s="4" t="s">
        <v>2879</v>
      </c>
      <c r="RYN1335" s="4" t="s">
        <v>2879</v>
      </c>
      <c r="RYO1335" s="4" t="s">
        <v>2879</v>
      </c>
      <c r="RYP1335" s="4" t="s">
        <v>2879</v>
      </c>
      <c r="RYQ1335" s="4" t="s">
        <v>2879</v>
      </c>
      <c r="RYR1335" s="4" t="s">
        <v>2879</v>
      </c>
      <c r="RYS1335" s="4" t="s">
        <v>2879</v>
      </c>
      <c r="RYT1335" s="4" t="s">
        <v>2879</v>
      </c>
      <c r="RYU1335" s="4" t="s">
        <v>2879</v>
      </c>
      <c r="RYV1335" s="4" t="s">
        <v>2879</v>
      </c>
      <c r="RYW1335" s="4" t="s">
        <v>2879</v>
      </c>
      <c r="RYX1335" s="4" t="s">
        <v>2879</v>
      </c>
      <c r="RYY1335" s="4" t="s">
        <v>2879</v>
      </c>
      <c r="RYZ1335" s="4" t="s">
        <v>2879</v>
      </c>
      <c r="RZA1335" s="4" t="s">
        <v>2879</v>
      </c>
      <c r="RZB1335" s="4" t="s">
        <v>2879</v>
      </c>
      <c r="RZC1335" s="4" t="s">
        <v>2879</v>
      </c>
      <c r="RZD1335" s="4" t="s">
        <v>2879</v>
      </c>
      <c r="RZE1335" s="4" t="s">
        <v>2879</v>
      </c>
      <c r="RZF1335" s="4" t="s">
        <v>2879</v>
      </c>
      <c r="RZG1335" s="4" t="s">
        <v>2879</v>
      </c>
      <c r="RZH1335" s="4" t="s">
        <v>2879</v>
      </c>
      <c r="RZI1335" s="4" t="s">
        <v>2879</v>
      </c>
      <c r="RZJ1335" s="4" t="s">
        <v>2879</v>
      </c>
      <c r="RZK1335" s="4" t="s">
        <v>2879</v>
      </c>
      <c r="RZL1335" s="4" t="s">
        <v>2879</v>
      </c>
      <c r="RZM1335" s="4" t="s">
        <v>2879</v>
      </c>
      <c r="RZN1335" s="4" t="s">
        <v>2879</v>
      </c>
      <c r="RZO1335" s="4" t="s">
        <v>2879</v>
      </c>
      <c r="RZP1335" s="4" t="s">
        <v>2879</v>
      </c>
      <c r="RZQ1335" s="4" t="s">
        <v>2879</v>
      </c>
      <c r="RZR1335" s="4" t="s">
        <v>2879</v>
      </c>
      <c r="RZS1335" s="4" t="s">
        <v>2879</v>
      </c>
      <c r="RZT1335" s="4" t="s">
        <v>2879</v>
      </c>
      <c r="RZU1335" s="4" t="s">
        <v>2879</v>
      </c>
      <c r="RZV1335" s="4" t="s">
        <v>2879</v>
      </c>
      <c r="RZW1335" s="4" t="s">
        <v>2879</v>
      </c>
      <c r="RZX1335" s="4" t="s">
        <v>2879</v>
      </c>
      <c r="RZY1335" s="4" t="s">
        <v>2879</v>
      </c>
      <c r="RZZ1335" s="4" t="s">
        <v>2879</v>
      </c>
      <c r="SAA1335" s="4" t="s">
        <v>2879</v>
      </c>
      <c r="SAB1335" s="4" t="s">
        <v>2879</v>
      </c>
      <c r="SAC1335" s="4" t="s">
        <v>2879</v>
      </c>
      <c r="SAD1335" s="4" t="s">
        <v>2879</v>
      </c>
      <c r="SAE1335" s="4" t="s">
        <v>2879</v>
      </c>
      <c r="SAF1335" s="4" t="s">
        <v>2879</v>
      </c>
      <c r="SAG1335" s="4" t="s">
        <v>2879</v>
      </c>
      <c r="SAH1335" s="4" t="s">
        <v>2879</v>
      </c>
      <c r="SAI1335" s="4" t="s">
        <v>2879</v>
      </c>
      <c r="SAJ1335" s="4" t="s">
        <v>2879</v>
      </c>
      <c r="SAK1335" s="4" t="s">
        <v>2879</v>
      </c>
      <c r="SAL1335" s="4" t="s">
        <v>2879</v>
      </c>
      <c r="SAM1335" s="4" t="s">
        <v>2879</v>
      </c>
      <c r="SAN1335" s="4" t="s">
        <v>2879</v>
      </c>
      <c r="SAO1335" s="4" t="s">
        <v>2879</v>
      </c>
      <c r="SAP1335" s="4" t="s">
        <v>2879</v>
      </c>
      <c r="SAQ1335" s="4" t="s">
        <v>2879</v>
      </c>
      <c r="SAR1335" s="4" t="s">
        <v>2879</v>
      </c>
      <c r="SAS1335" s="4" t="s">
        <v>2879</v>
      </c>
      <c r="SAT1335" s="4" t="s">
        <v>2879</v>
      </c>
      <c r="SAU1335" s="4" t="s">
        <v>2879</v>
      </c>
      <c r="SAV1335" s="4" t="s">
        <v>2879</v>
      </c>
      <c r="SAW1335" s="4" t="s">
        <v>2879</v>
      </c>
      <c r="SAX1335" s="4" t="s">
        <v>2879</v>
      </c>
      <c r="SAY1335" s="4" t="s">
        <v>2879</v>
      </c>
      <c r="SAZ1335" s="4" t="s">
        <v>2879</v>
      </c>
      <c r="SBA1335" s="4" t="s">
        <v>2879</v>
      </c>
      <c r="SBB1335" s="4" t="s">
        <v>2879</v>
      </c>
      <c r="SBC1335" s="4" t="s">
        <v>2879</v>
      </c>
      <c r="SBD1335" s="4" t="s">
        <v>2879</v>
      </c>
      <c r="SBE1335" s="4" t="s">
        <v>2879</v>
      </c>
      <c r="SBF1335" s="4" t="s">
        <v>2879</v>
      </c>
      <c r="SBG1335" s="4" t="s">
        <v>2879</v>
      </c>
      <c r="SBH1335" s="4" t="s">
        <v>2879</v>
      </c>
      <c r="SBI1335" s="4" t="s">
        <v>2879</v>
      </c>
      <c r="SBJ1335" s="4" t="s">
        <v>2879</v>
      </c>
      <c r="SBK1335" s="4" t="s">
        <v>2879</v>
      </c>
      <c r="SBL1335" s="4" t="s">
        <v>2879</v>
      </c>
      <c r="SBM1335" s="4" t="s">
        <v>2879</v>
      </c>
      <c r="SBN1335" s="4" t="s">
        <v>2879</v>
      </c>
      <c r="SBO1335" s="4" t="s">
        <v>2879</v>
      </c>
      <c r="SBP1335" s="4" t="s">
        <v>2879</v>
      </c>
      <c r="SBQ1335" s="4" t="s">
        <v>2879</v>
      </c>
      <c r="SBR1335" s="4" t="s">
        <v>2879</v>
      </c>
      <c r="SBS1335" s="4" t="s">
        <v>2879</v>
      </c>
      <c r="SBT1335" s="4" t="s">
        <v>2879</v>
      </c>
      <c r="SBU1335" s="4" t="s">
        <v>2879</v>
      </c>
      <c r="SBV1335" s="4" t="s">
        <v>2879</v>
      </c>
      <c r="SBW1335" s="4" t="s">
        <v>2879</v>
      </c>
      <c r="SBX1335" s="4" t="s">
        <v>2879</v>
      </c>
      <c r="SBY1335" s="4" t="s">
        <v>2879</v>
      </c>
      <c r="SBZ1335" s="4" t="s">
        <v>2879</v>
      </c>
      <c r="SCA1335" s="4" t="s">
        <v>2879</v>
      </c>
      <c r="SCB1335" s="4" t="s">
        <v>2879</v>
      </c>
      <c r="SCC1335" s="4" t="s">
        <v>2879</v>
      </c>
      <c r="SCD1335" s="4" t="s">
        <v>2879</v>
      </c>
      <c r="SCE1335" s="4" t="s">
        <v>2879</v>
      </c>
      <c r="SCF1335" s="4" t="s">
        <v>2879</v>
      </c>
      <c r="SCG1335" s="4" t="s">
        <v>2879</v>
      </c>
      <c r="SCH1335" s="4" t="s">
        <v>2879</v>
      </c>
      <c r="SCI1335" s="4" t="s">
        <v>2879</v>
      </c>
      <c r="SCJ1335" s="4" t="s">
        <v>2879</v>
      </c>
      <c r="SCK1335" s="4" t="s">
        <v>2879</v>
      </c>
      <c r="SCL1335" s="4" t="s">
        <v>2879</v>
      </c>
      <c r="SCM1335" s="4" t="s">
        <v>2879</v>
      </c>
      <c r="SCN1335" s="4" t="s">
        <v>2879</v>
      </c>
      <c r="SCO1335" s="4" t="s">
        <v>2879</v>
      </c>
      <c r="SCP1335" s="4" t="s">
        <v>2879</v>
      </c>
      <c r="SCQ1335" s="4" t="s">
        <v>2879</v>
      </c>
      <c r="SCR1335" s="4" t="s">
        <v>2879</v>
      </c>
      <c r="SCS1335" s="4" t="s">
        <v>2879</v>
      </c>
      <c r="SCT1335" s="4" t="s">
        <v>2879</v>
      </c>
      <c r="SCU1335" s="4" t="s">
        <v>2879</v>
      </c>
      <c r="SCV1335" s="4" t="s">
        <v>2879</v>
      </c>
      <c r="SCW1335" s="4" t="s">
        <v>2879</v>
      </c>
      <c r="SCX1335" s="4" t="s">
        <v>2879</v>
      </c>
      <c r="SCY1335" s="4" t="s">
        <v>2879</v>
      </c>
      <c r="SCZ1335" s="4" t="s">
        <v>2879</v>
      </c>
      <c r="SDA1335" s="4" t="s">
        <v>2879</v>
      </c>
      <c r="SDB1335" s="4" t="s">
        <v>2879</v>
      </c>
      <c r="SDC1335" s="4" t="s">
        <v>2879</v>
      </c>
      <c r="SDD1335" s="4" t="s">
        <v>2879</v>
      </c>
      <c r="SDE1335" s="4" t="s">
        <v>2879</v>
      </c>
      <c r="SDF1335" s="4" t="s">
        <v>2879</v>
      </c>
      <c r="SDG1335" s="4" t="s">
        <v>2879</v>
      </c>
      <c r="SDH1335" s="4" t="s">
        <v>2879</v>
      </c>
      <c r="SDI1335" s="4" t="s">
        <v>2879</v>
      </c>
      <c r="SDJ1335" s="4" t="s">
        <v>2879</v>
      </c>
      <c r="SDK1335" s="4" t="s">
        <v>2879</v>
      </c>
      <c r="SDL1335" s="4" t="s">
        <v>2879</v>
      </c>
      <c r="SDM1335" s="4" t="s">
        <v>2879</v>
      </c>
      <c r="SDN1335" s="4" t="s">
        <v>2879</v>
      </c>
      <c r="SDO1335" s="4" t="s">
        <v>2879</v>
      </c>
      <c r="SDP1335" s="4" t="s">
        <v>2879</v>
      </c>
      <c r="SDQ1335" s="4" t="s">
        <v>2879</v>
      </c>
      <c r="SDR1335" s="4" t="s">
        <v>2879</v>
      </c>
      <c r="SDS1335" s="4" t="s">
        <v>2879</v>
      </c>
      <c r="SDT1335" s="4" t="s">
        <v>2879</v>
      </c>
      <c r="SDU1335" s="4" t="s">
        <v>2879</v>
      </c>
      <c r="SDV1335" s="4" t="s">
        <v>2879</v>
      </c>
      <c r="SDW1335" s="4" t="s">
        <v>2879</v>
      </c>
      <c r="SDX1335" s="4" t="s">
        <v>2879</v>
      </c>
      <c r="SDY1335" s="4" t="s">
        <v>2879</v>
      </c>
      <c r="SDZ1335" s="4" t="s">
        <v>2879</v>
      </c>
      <c r="SEA1335" s="4" t="s">
        <v>2879</v>
      </c>
      <c r="SEB1335" s="4" t="s">
        <v>2879</v>
      </c>
      <c r="SEC1335" s="4" t="s">
        <v>2879</v>
      </c>
      <c r="SED1335" s="4" t="s">
        <v>2879</v>
      </c>
      <c r="SEE1335" s="4" t="s">
        <v>2879</v>
      </c>
      <c r="SEF1335" s="4" t="s">
        <v>2879</v>
      </c>
      <c r="SEG1335" s="4" t="s">
        <v>2879</v>
      </c>
      <c r="SEH1335" s="4" t="s">
        <v>2879</v>
      </c>
      <c r="SEI1335" s="4" t="s">
        <v>2879</v>
      </c>
      <c r="SEJ1335" s="4" t="s">
        <v>2879</v>
      </c>
      <c r="SEK1335" s="4" t="s">
        <v>2879</v>
      </c>
      <c r="SEL1335" s="4" t="s">
        <v>2879</v>
      </c>
      <c r="SEM1335" s="4" t="s">
        <v>2879</v>
      </c>
      <c r="SEN1335" s="4" t="s">
        <v>2879</v>
      </c>
      <c r="SEO1335" s="4" t="s">
        <v>2879</v>
      </c>
      <c r="SEP1335" s="4" t="s">
        <v>2879</v>
      </c>
      <c r="SEQ1335" s="4" t="s">
        <v>2879</v>
      </c>
      <c r="SER1335" s="4" t="s">
        <v>2879</v>
      </c>
      <c r="SES1335" s="4" t="s">
        <v>2879</v>
      </c>
      <c r="SET1335" s="4" t="s">
        <v>2879</v>
      </c>
      <c r="SEU1335" s="4" t="s">
        <v>2879</v>
      </c>
      <c r="SEV1335" s="4" t="s">
        <v>2879</v>
      </c>
      <c r="SEW1335" s="4" t="s">
        <v>2879</v>
      </c>
      <c r="SEX1335" s="4" t="s">
        <v>2879</v>
      </c>
      <c r="SEY1335" s="4" t="s">
        <v>2879</v>
      </c>
      <c r="SEZ1335" s="4" t="s">
        <v>2879</v>
      </c>
      <c r="SFA1335" s="4" t="s">
        <v>2879</v>
      </c>
      <c r="SFB1335" s="4" t="s">
        <v>2879</v>
      </c>
      <c r="SFC1335" s="4" t="s">
        <v>2879</v>
      </c>
      <c r="SFD1335" s="4" t="s">
        <v>2879</v>
      </c>
      <c r="SFE1335" s="4" t="s">
        <v>2879</v>
      </c>
      <c r="SFF1335" s="4" t="s">
        <v>2879</v>
      </c>
      <c r="SFG1335" s="4" t="s">
        <v>2879</v>
      </c>
      <c r="SFH1335" s="4" t="s">
        <v>2879</v>
      </c>
      <c r="SFI1335" s="4" t="s">
        <v>2879</v>
      </c>
      <c r="SFJ1335" s="4" t="s">
        <v>2879</v>
      </c>
      <c r="SFK1335" s="4" t="s">
        <v>2879</v>
      </c>
      <c r="SFL1335" s="4" t="s">
        <v>2879</v>
      </c>
      <c r="SFM1335" s="4" t="s">
        <v>2879</v>
      </c>
      <c r="SFN1335" s="4" t="s">
        <v>2879</v>
      </c>
      <c r="SFO1335" s="4" t="s">
        <v>2879</v>
      </c>
      <c r="SFP1335" s="4" t="s">
        <v>2879</v>
      </c>
      <c r="SFQ1335" s="4" t="s">
        <v>2879</v>
      </c>
      <c r="SFR1335" s="4" t="s">
        <v>2879</v>
      </c>
      <c r="SFS1335" s="4" t="s">
        <v>2879</v>
      </c>
      <c r="SFT1335" s="4" t="s">
        <v>2879</v>
      </c>
      <c r="SFU1335" s="4" t="s">
        <v>2879</v>
      </c>
      <c r="SFV1335" s="4" t="s">
        <v>2879</v>
      </c>
      <c r="SFW1335" s="4" t="s">
        <v>2879</v>
      </c>
      <c r="SFX1335" s="4" t="s">
        <v>2879</v>
      </c>
      <c r="SFY1335" s="4" t="s">
        <v>2879</v>
      </c>
      <c r="SFZ1335" s="4" t="s">
        <v>2879</v>
      </c>
      <c r="SGA1335" s="4" t="s">
        <v>2879</v>
      </c>
      <c r="SGB1335" s="4" t="s">
        <v>2879</v>
      </c>
      <c r="SGC1335" s="4" t="s">
        <v>2879</v>
      </c>
      <c r="SGD1335" s="4" t="s">
        <v>2879</v>
      </c>
      <c r="SGE1335" s="4" t="s">
        <v>2879</v>
      </c>
      <c r="SGF1335" s="4" t="s">
        <v>2879</v>
      </c>
      <c r="SGG1335" s="4" t="s">
        <v>2879</v>
      </c>
      <c r="SGH1335" s="4" t="s">
        <v>2879</v>
      </c>
      <c r="SGI1335" s="4" t="s">
        <v>2879</v>
      </c>
      <c r="SGJ1335" s="4" t="s">
        <v>2879</v>
      </c>
      <c r="SGK1335" s="4" t="s">
        <v>2879</v>
      </c>
      <c r="SGL1335" s="4" t="s">
        <v>2879</v>
      </c>
      <c r="SGM1335" s="4" t="s">
        <v>2879</v>
      </c>
      <c r="SGN1335" s="4" t="s">
        <v>2879</v>
      </c>
      <c r="SGO1335" s="4" t="s">
        <v>2879</v>
      </c>
      <c r="SGP1335" s="4" t="s">
        <v>2879</v>
      </c>
      <c r="SGQ1335" s="4" t="s">
        <v>2879</v>
      </c>
      <c r="SGR1335" s="4" t="s">
        <v>2879</v>
      </c>
      <c r="SGS1335" s="4" t="s">
        <v>2879</v>
      </c>
      <c r="SGT1335" s="4" t="s">
        <v>2879</v>
      </c>
      <c r="SGU1335" s="4" t="s">
        <v>2879</v>
      </c>
      <c r="SGV1335" s="4" t="s">
        <v>2879</v>
      </c>
      <c r="SGW1335" s="4" t="s">
        <v>2879</v>
      </c>
      <c r="SGX1335" s="4" t="s">
        <v>2879</v>
      </c>
      <c r="SGY1335" s="4" t="s">
        <v>2879</v>
      </c>
      <c r="SGZ1335" s="4" t="s">
        <v>2879</v>
      </c>
      <c r="SHA1335" s="4" t="s">
        <v>2879</v>
      </c>
      <c r="SHB1335" s="4" t="s">
        <v>2879</v>
      </c>
      <c r="SHC1335" s="4" t="s">
        <v>2879</v>
      </c>
      <c r="SHD1335" s="4" t="s">
        <v>2879</v>
      </c>
      <c r="SHE1335" s="4" t="s">
        <v>2879</v>
      </c>
      <c r="SHF1335" s="4" t="s">
        <v>2879</v>
      </c>
      <c r="SHG1335" s="4" t="s">
        <v>2879</v>
      </c>
      <c r="SHH1335" s="4" t="s">
        <v>2879</v>
      </c>
      <c r="SHI1335" s="4" t="s">
        <v>2879</v>
      </c>
      <c r="SHJ1335" s="4" t="s">
        <v>2879</v>
      </c>
      <c r="SHK1335" s="4" t="s">
        <v>2879</v>
      </c>
      <c r="SHL1335" s="4" t="s">
        <v>2879</v>
      </c>
      <c r="SHM1335" s="4" t="s">
        <v>2879</v>
      </c>
      <c r="SHN1335" s="4" t="s">
        <v>2879</v>
      </c>
      <c r="SHO1335" s="4" t="s">
        <v>2879</v>
      </c>
      <c r="SHP1335" s="4" t="s">
        <v>2879</v>
      </c>
      <c r="SHQ1335" s="4" t="s">
        <v>2879</v>
      </c>
      <c r="SHR1335" s="4" t="s">
        <v>2879</v>
      </c>
      <c r="SHS1335" s="4" t="s">
        <v>2879</v>
      </c>
      <c r="SHT1335" s="4" t="s">
        <v>2879</v>
      </c>
      <c r="SHU1335" s="4" t="s">
        <v>2879</v>
      </c>
      <c r="SHV1335" s="4" t="s">
        <v>2879</v>
      </c>
      <c r="SHW1335" s="4" t="s">
        <v>2879</v>
      </c>
      <c r="SHX1335" s="4" t="s">
        <v>2879</v>
      </c>
      <c r="SHY1335" s="4" t="s">
        <v>2879</v>
      </c>
      <c r="SHZ1335" s="4" t="s">
        <v>2879</v>
      </c>
      <c r="SIA1335" s="4" t="s">
        <v>2879</v>
      </c>
      <c r="SIB1335" s="4" t="s">
        <v>2879</v>
      </c>
      <c r="SIC1335" s="4" t="s">
        <v>2879</v>
      </c>
      <c r="SID1335" s="4" t="s">
        <v>2879</v>
      </c>
      <c r="SIE1335" s="4" t="s">
        <v>2879</v>
      </c>
      <c r="SIF1335" s="4" t="s">
        <v>2879</v>
      </c>
      <c r="SIG1335" s="4" t="s">
        <v>2879</v>
      </c>
      <c r="SIH1335" s="4" t="s">
        <v>2879</v>
      </c>
      <c r="SII1335" s="4" t="s">
        <v>2879</v>
      </c>
      <c r="SIJ1335" s="4" t="s">
        <v>2879</v>
      </c>
      <c r="SIK1335" s="4" t="s">
        <v>2879</v>
      </c>
      <c r="SIL1335" s="4" t="s">
        <v>2879</v>
      </c>
      <c r="SIM1335" s="4" t="s">
        <v>2879</v>
      </c>
      <c r="SIN1335" s="4" t="s">
        <v>2879</v>
      </c>
      <c r="SIO1335" s="4" t="s">
        <v>2879</v>
      </c>
      <c r="SIP1335" s="4" t="s">
        <v>2879</v>
      </c>
      <c r="SIQ1335" s="4" t="s">
        <v>2879</v>
      </c>
      <c r="SIR1335" s="4" t="s">
        <v>2879</v>
      </c>
      <c r="SIS1335" s="4" t="s">
        <v>2879</v>
      </c>
      <c r="SIT1335" s="4" t="s">
        <v>2879</v>
      </c>
      <c r="SIU1335" s="4" t="s">
        <v>2879</v>
      </c>
      <c r="SIV1335" s="4" t="s">
        <v>2879</v>
      </c>
      <c r="SIW1335" s="4" t="s">
        <v>2879</v>
      </c>
      <c r="SIX1335" s="4" t="s">
        <v>2879</v>
      </c>
      <c r="SIY1335" s="4" t="s">
        <v>2879</v>
      </c>
      <c r="SIZ1335" s="4" t="s">
        <v>2879</v>
      </c>
      <c r="SJA1335" s="4" t="s">
        <v>2879</v>
      </c>
      <c r="SJB1335" s="4" t="s">
        <v>2879</v>
      </c>
      <c r="SJC1335" s="4" t="s">
        <v>2879</v>
      </c>
      <c r="SJD1335" s="4" t="s">
        <v>2879</v>
      </c>
      <c r="SJE1335" s="4" t="s">
        <v>2879</v>
      </c>
      <c r="SJF1335" s="4" t="s">
        <v>2879</v>
      </c>
      <c r="SJG1335" s="4" t="s">
        <v>2879</v>
      </c>
      <c r="SJH1335" s="4" t="s">
        <v>2879</v>
      </c>
      <c r="SJI1335" s="4" t="s">
        <v>2879</v>
      </c>
      <c r="SJJ1335" s="4" t="s">
        <v>2879</v>
      </c>
      <c r="SJK1335" s="4" t="s">
        <v>2879</v>
      </c>
      <c r="SJL1335" s="4" t="s">
        <v>2879</v>
      </c>
      <c r="SJM1335" s="4" t="s">
        <v>2879</v>
      </c>
      <c r="SJN1335" s="4" t="s">
        <v>2879</v>
      </c>
      <c r="SJO1335" s="4" t="s">
        <v>2879</v>
      </c>
      <c r="SJP1335" s="4" t="s">
        <v>2879</v>
      </c>
      <c r="SJQ1335" s="4" t="s">
        <v>2879</v>
      </c>
      <c r="SJR1335" s="4" t="s">
        <v>2879</v>
      </c>
      <c r="SJS1335" s="4" t="s">
        <v>2879</v>
      </c>
      <c r="SJT1335" s="4" t="s">
        <v>2879</v>
      </c>
      <c r="SJU1335" s="4" t="s">
        <v>2879</v>
      </c>
      <c r="SJV1335" s="4" t="s">
        <v>2879</v>
      </c>
      <c r="SJW1335" s="4" t="s">
        <v>2879</v>
      </c>
      <c r="SJX1335" s="4" t="s">
        <v>2879</v>
      </c>
      <c r="SJY1335" s="4" t="s">
        <v>2879</v>
      </c>
      <c r="SJZ1335" s="4" t="s">
        <v>2879</v>
      </c>
      <c r="SKA1335" s="4" t="s">
        <v>2879</v>
      </c>
      <c r="SKB1335" s="4" t="s">
        <v>2879</v>
      </c>
      <c r="SKC1335" s="4" t="s">
        <v>2879</v>
      </c>
      <c r="SKD1335" s="4" t="s">
        <v>2879</v>
      </c>
      <c r="SKE1335" s="4" t="s">
        <v>2879</v>
      </c>
      <c r="SKF1335" s="4" t="s">
        <v>2879</v>
      </c>
      <c r="SKG1335" s="4" t="s">
        <v>2879</v>
      </c>
      <c r="SKH1335" s="4" t="s">
        <v>2879</v>
      </c>
      <c r="SKI1335" s="4" t="s">
        <v>2879</v>
      </c>
      <c r="SKJ1335" s="4" t="s">
        <v>2879</v>
      </c>
      <c r="SKK1335" s="4" t="s">
        <v>2879</v>
      </c>
      <c r="SKL1335" s="4" t="s">
        <v>2879</v>
      </c>
      <c r="SKM1335" s="4" t="s">
        <v>2879</v>
      </c>
      <c r="SKN1335" s="4" t="s">
        <v>2879</v>
      </c>
      <c r="SKO1335" s="4" t="s">
        <v>2879</v>
      </c>
      <c r="SKP1335" s="4" t="s">
        <v>2879</v>
      </c>
      <c r="SKQ1335" s="4" t="s">
        <v>2879</v>
      </c>
      <c r="SKR1335" s="4" t="s">
        <v>2879</v>
      </c>
      <c r="SKS1335" s="4" t="s">
        <v>2879</v>
      </c>
      <c r="SKT1335" s="4" t="s">
        <v>2879</v>
      </c>
      <c r="SKU1335" s="4" t="s">
        <v>2879</v>
      </c>
      <c r="SKV1335" s="4" t="s">
        <v>2879</v>
      </c>
      <c r="SKW1335" s="4" t="s">
        <v>2879</v>
      </c>
      <c r="SKX1335" s="4" t="s">
        <v>2879</v>
      </c>
      <c r="SKY1335" s="4" t="s">
        <v>2879</v>
      </c>
      <c r="SKZ1335" s="4" t="s">
        <v>2879</v>
      </c>
      <c r="SLA1335" s="4" t="s">
        <v>2879</v>
      </c>
      <c r="SLB1335" s="4" t="s">
        <v>2879</v>
      </c>
      <c r="SLC1335" s="4" t="s">
        <v>2879</v>
      </c>
      <c r="SLD1335" s="4" t="s">
        <v>2879</v>
      </c>
      <c r="SLE1335" s="4" t="s">
        <v>2879</v>
      </c>
      <c r="SLF1335" s="4" t="s">
        <v>2879</v>
      </c>
      <c r="SLG1335" s="4" t="s">
        <v>2879</v>
      </c>
      <c r="SLH1335" s="4" t="s">
        <v>2879</v>
      </c>
      <c r="SLI1335" s="4" t="s">
        <v>2879</v>
      </c>
      <c r="SLJ1335" s="4" t="s">
        <v>2879</v>
      </c>
      <c r="SLK1335" s="4" t="s">
        <v>2879</v>
      </c>
      <c r="SLL1335" s="4" t="s">
        <v>2879</v>
      </c>
      <c r="SLM1335" s="4" t="s">
        <v>2879</v>
      </c>
      <c r="SLN1335" s="4" t="s">
        <v>2879</v>
      </c>
      <c r="SLO1335" s="4" t="s">
        <v>2879</v>
      </c>
      <c r="SLP1335" s="4" t="s">
        <v>2879</v>
      </c>
      <c r="SLQ1335" s="4" t="s">
        <v>2879</v>
      </c>
      <c r="SLR1335" s="4" t="s">
        <v>2879</v>
      </c>
      <c r="SLS1335" s="4" t="s">
        <v>2879</v>
      </c>
      <c r="SLT1335" s="4" t="s">
        <v>2879</v>
      </c>
      <c r="SLU1335" s="4" t="s">
        <v>2879</v>
      </c>
      <c r="SLV1335" s="4" t="s">
        <v>2879</v>
      </c>
      <c r="SLW1335" s="4" t="s">
        <v>2879</v>
      </c>
      <c r="SLX1335" s="4" t="s">
        <v>2879</v>
      </c>
      <c r="SLY1335" s="4" t="s">
        <v>2879</v>
      </c>
      <c r="SLZ1335" s="4" t="s">
        <v>2879</v>
      </c>
      <c r="SMA1335" s="4" t="s">
        <v>2879</v>
      </c>
      <c r="SMB1335" s="4" t="s">
        <v>2879</v>
      </c>
      <c r="SMC1335" s="4" t="s">
        <v>2879</v>
      </c>
      <c r="SMD1335" s="4" t="s">
        <v>2879</v>
      </c>
      <c r="SME1335" s="4" t="s">
        <v>2879</v>
      </c>
      <c r="SMF1335" s="4" t="s">
        <v>2879</v>
      </c>
      <c r="SMG1335" s="4" t="s">
        <v>2879</v>
      </c>
      <c r="SMH1335" s="4" t="s">
        <v>2879</v>
      </c>
      <c r="SMI1335" s="4" t="s">
        <v>2879</v>
      </c>
      <c r="SMJ1335" s="4" t="s">
        <v>2879</v>
      </c>
      <c r="SMK1335" s="4" t="s">
        <v>2879</v>
      </c>
      <c r="SML1335" s="4" t="s">
        <v>2879</v>
      </c>
      <c r="SMM1335" s="4" t="s">
        <v>2879</v>
      </c>
      <c r="SMN1335" s="4" t="s">
        <v>2879</v>
      </c>
      <c r="SMO1335" s="4" t="s">
        <v>2879</v>
      </c>
      <c r="SMP1335" s="4" t="s">
        <v>2879</v>
      </c>
      <c r="SMQ1335" s="4" t="s">
        <v>2879</v>
      </c>
      <c r="SMR1335" s="4" t="s">
        <v>2879</v>
      </c>
      <c r="SMS1335" s="4" t="s">
        <v>2879</v>
      </c>
      <c r="SMT1335" s="4" t="s">
        <v>2879</v>
      </c>
      <c r="SMU1335" s="4" t="s">
        <v>2879</v>
      </c>
      <c r="SMV1335" s="4" t="s">
        <v>2879</v>
      </c>
      <c r="SMW1335" s="4" t="s">
        <v>2879</v>
      </c>
      <c r="SMX1335" s="4" t="s">
        <v>2879</v>
      </c>
      <c r="SMY1335" s="4" t="s">
        <v>2879</v>
      </c>
      <c r="SMZ1335" s="4" t="s">
        <v>2879</v>
      </c>
      <c r="SNA1335" s="4" t="s">
        <v>2879</v>
      </c>
      <c r="SNB1335" s="4" t="s">
        <v>2879</v>
      </c>
      <c r="SNC1335" s="4" t="s">
        <v>2879</v>
      </c>
      <c r="SND1335" s="4" t="s">
        <v>2879</v>
      </c>
      <c r="SNE1335" s="4" t="s">
        <v>2879</v>
      </c>
      <c r="SNF1335" s="4" t="s">
        <v>2879</v>
      </c>
      <c r="SNG1335" s="4" t="s">
        <v>2879</v>
      </c>
      <c r="SNH1335" s="4" t="s">
        <v>2879</v>
      </c>
      <c r="SNI1335" s="4" t="s">
        <v>2879</v>
      </c>
      <c r="SNJ1335" s="4" t="s">
        <v>2879</v>
      </c>
      <c r="SNK1335" s="4" t="s">
        <v>2879</v>
      </c>
      <c r="SNL1335" s="4" t="s">
        <v>2879</v>
      </c>
      <c r="SNM1335" s="4" t="s">
        <v>2879</v>
      </c>
      <c r="SNN1335" s="4" t="s">
        <v>2879</v>
      </c>
      <c r="SNO1335" s="4" t="s">
        <v>2879</v>
      </c>
      <c r="SNP1335" s="4" t="s">
        <v>2879</v>
      </c>
      <c r="SNQ1335" s="4" t="s">
        <v>2879</v>
      </c>
      <c r="SNR1335" s="4" t="s">
        <v>2879</v>
      </c>
      <c r="SNS1335" s="4" t="s">
        <v>2879</v>
      </c>
      <c r="SNT1335" s="4" t="s">
        <v>2879</v>
      </c>
      <c r="SNU1335" s="4" t="s">
        <v>2879</v>
      </c>
      <c r="SNV1335" s="4" t="s">
        <v>2879</v>
      </c>
      <c r="SNW1335" s="4" t="s">
        <v>2879</v>
      </c>
      <c r="SNX1335" s="4" t="s">
        <v>2879</v>
      </c>
      <c r="SNY1335" s="4" t="s">
        <v>2879</v>
      </c>
      <c r="SNZ1335" s="4" t="s">
        <v>2879</v>
      </c>
      <c r="SOA1335" s="4" t="s">
        <v>2879</v>
      </c>
      <c r="SOB1335" s="4" t="s">
        <v>2879</v>
      </c>
      <c r="SOC1335" s="4" t="s">
        <v>2879</v>
      </c>
      <c r="SOD1335" s="4" t="s">
        <v>2879</v>
      </c>
      <c r="SOE1335" s="4" t="s">
        <v>2879</v>
      </c>
      <c r="SOF1335" s="4" t="s">
        <v>2879</v>
      </c>
      <c r="SOG1335" s="4" t="s">
        <v>2879</v>
      </c>
      <c r="SOH1335" s="4" t="s">
        <v>2879</v>
      </c>
      <c r="SOI1335" s="4" t="s">
        <v>2879</v>
      </c>
      <c r="SOJ1335" s="4" t="s">
        <v>2879</v>
      </c>
      <c r="SOK1335" s="4" t="s">
        <v>2879</v>
      </c>
      <c r="SOL1335" s="4" t="s">
        <v>2879</v>
      </c>
      <c r="SOM1335" s="4" t="s">
        <v>2879</v>
      </c>
      <c r="SON1335" s="4" t="s">
        <v>2879</v>
      </c>
      <c r="SOO1335" s="4" t="s">
        <v>2879</v>
      </c>
      <c r="SOP1335" s="4" t="s">
        <v>2879</v>
      </c>
      <c r="SOQ1335" s="4" t="s">
        <v>2879</v>
      </c>
      <c r="SOR1335" s="4" t="s">
        <v>2879</v>
      </c>
      <c r="SOS1335" s="4" t="s">
        <v>2879</v>
      </c>
      <c r="SOT1335" s="4" t="s">
        <v>2879</v>
      </c>
      <c r="SOU1335" s="4" t="s">
        <v>2879</v>
      </c>
      <c r="SOV1335" s="4" t="s">
        <v>2879</v>
      </c>
      <c r="SOW1335" s="4" t="s">
        <v>2879</v>
      </c>
      <c r="SOX1335" s="4" t="s">
        <v>2879</v>
      </c>
      <c r="SOY1335" s="4" t="s">
        <v>2879</v>
      </c>
      <c r="SOZ1335" s="4" t="s">
        <v>2879</v>
      </c>
      <c r="SPA1335" s="4" t="s">
        <v>2879</v>
      </c>
      <c r="SPB1335" s="4" t="s">
        <v>2879</v>
      </c>
      <c r="SPC1335" s="4" t="s">
        <v>2879</v>
      </c>
      <c r="SPD1335" s="4" t="s">
        <v>2879</v>
      </c>
      <c r="SPE1335" s="4" t="s">
        <v>2879</v>
      </c>
      <c r="SPF1335" s="4" t="s">
        <v>2879</v>
      </c>
      <c r="SPG1335" s="4" t="s">
        <v>2879</v>
      </c>
      <c r="SPH1335" s="4" t="s">
        <v>2879</v>
      </c>
      <c r="SPI1335" s="4" t="s">
        <v>2879</v>
      </c>
      <c r="SPJ1335" s="4" t="s">
        <v>2879</v>
      </c>
      <c r="SPK1335" s="4" t="s">
        <v>2879</v>
      </c>
      <c r="SPL1335" s="4" t="s">
        <v>2879</v>
      </c>
      <c r="SPM1335" s="4" t="s">
        <v>2879</v>
      </c>
      <c r="SPN1335" s="4" t="s">
        <v>2879</v>
      </c>
      <c r="SPO1335" s="4" t="s">
        <v>2879</v>
      </c>
      <c r="SPP1335" s="4" t="s">
        <v>2879</v>
      </c>
      <c r="SPQ1335" s="4" t="s">
        <v>2879</v>
      </c>
      <c r="SPR1335" s="4" t="s">
        <v>2879</v>
      </c>
      <c r="SPS1335" s="4" t="s">
        <v>2879</v>
      </c>
      <c r="SPT1335" s="4" t="s">
        <v>2879</v>
      </c>
      <c r="SPU1335" s="4" t="s">
        <v>2879</v>
      </c>
      <c r="SPV1335" s="4" t="s">
        <v>2879</v>
      </c>
      <c r="SPW1335" s="4" t="s">
        <v>2879</v>
      </c>
      <c r="SPX1335" s="4" t="s">
        <v>2879</v>
      </c>
      <c r="SPY1335" s="4" t="s">
        <v>2879</v>
      </c>
      <c r="SPZ1335" s="4" t="s">
        <v>2879</v>
      </c>
      <c r="SQA1335" s="4" t="s">
        <v>2879</v>
      </c>
      <c r="SQB1335" s="4" t="s">
        <v>2879</v>
      </c>
      <c r="SQC1335" s="4" t="s">
        <v>2879</v>
      </c>
      <c r="SQD1335" s="4" t="s">
        <v>2879</v>
      </c>
      <c r="SQE1335" s="4" t="s">
        <v>2879</v>
      </c>
      <c r="SQF1335" s="4" t="s">
        <v>2879</v>
      </c>
      <c r="SQG1335" s="4" t="s">
        <v>2879</v>
      </c>
      <c r="SQH1335" s="4" t="s">
        <v>2879</v>
      </c>
      <c r="SQI1335" s="4" t="s">
        <v>2879</v>
      </c>
      <c r="SQJ1335" s="4" t="s">
        <v>2879</v>
      </c>
      <c r="SQK1335" s="4" t="s">
        <v>2879</v>
      </c>
      <c r="SQL1335" s="4" t="s">
        <v>2879</v>
      </c>
      <c r="SQM1335" s="4" t="s">
        <v>2879</v>
      </c>
      <c r="SQN1335" s="4" t="s">
        <v>2879</v>
      </c>
      <c r="SQO1335" s="4" t="s">
        <v>2879</v>
      </c>
      <c r="SQP1335" s="4" t="s">
        <v>2879</v>
      </c>
      <c r="SQQ1335" s="4" t="s">
        <v>2879</v>
      </c>
      <c r="SQR1335" s="4" t="s">
        <v>2879</v>
      </c>
      <c r="SQS1335" s="4" t="s">
        <v>2879</v>
      </c>
      <c r="SQT1335" s="4" t="s">
        <v>2879</v>
      </c>
      <c r="SQU1335" s="4" t="s">
        <v>2879</v>
      </c>
      <c r="SQV1335" s="4" t="s">
        <v>2879</v>
      </c>
      <c r="SQW1335" s="4" t="s">
        <v>2879</v>
      </c>
      <c r="SQX1335" s="4" t="s">
        <v>2879</v>
      </c>
      <c r="SQY1335" s="4" t="s">
        <v>2879</v>
      </c>
      <c r="SQZ1335" s="4" t="s">
        <v>2879</v>
      </c>
      <c r="SRA1335" s="4" t="s">
        <v>2879</v>
      </c>
      <c r="SRB1335" s="4" t="s">
        <v>2879</v>
      </c>
      <c r="SRC1335" s="4" t="s">
        <v>2879</v>
      </c>
      <c r="SRD1335" s="4" t="s">
        <v>2879</v>
      </c>
      <c r="SRE1335" s="4" t="s">
        <v>2879</v>
      </c>
      <c r="SRF1335" s="4" t="s">
        <v>2879</v>
      </c>
      <c r="SRG1335" s="4" t="s">
        <v>2879</v>
      </c>
      <c r="SRH1335" s="4" t="s">
        <v>2879</v>
      </c>
      <c r="SRI1335" s="4" t="s">
        <v>2879</v>
      </c>
      <c r="SRJ1335" s="4" t="s">
        <v>2879</v>
      </c>
      <c r="SRK1335" s="4" t="s">
        <v>2879</v>
      </c>
      <c r="SRL1335" s="4" t="s">
        <v>2879</v>
      </c>
      <c r="SRM1335" s="4" t="s">
        <v>2879</v>
      </c>
      <c r="SRN1335" s="4" t="s">
        <v>2879</v>
      </c>
      <c r="SRO1335" s="4" t="s">
        <v>2879</v>
      </c>
      <c r="SRP1335" s="4" t="s">
        <v>2879</v>
      </c>
      <c r="SRQ1335" s="4" t="s">
        <v>2879</v>
      </c>
      <c r="SRR1335" s="4" t="s">
        <v>2879</v>
      </c>
      <c r="SRS1335" s="4" t="s">
        <v>2879</v>
      </c>
      <c r="SRT1335" s="4" t="s">
        <v>2879</v>
      </c>
      <c r="SRU1335" s="4" t="s">
        <v>2879</v>
      </c>
      <c r="SRV1335" s="4" t="s">
        <v>2879</v>
      </c>
      <c r="SRW1335" s="4" t="s">
        <v>2879</v>
      </c>
      <c r="SRX1335" s="4" t="s">
        <v>2879</v>
      </c>
      <c r="SRY1335" s="4" t="s">
        <v>2879</v>
      </c>
      <c r="SRZ1335" s="4" t="s">
        <v>2879</v>
      </c>
      <c r="SSA1335" s="4" t="s">
        <v>2879</v>
      </c>
      <c r="SSB1335" s="4" t="s">
        <v>2879</v>
      </c>
      <c r="SSC1335" s="4" t="s">
        <v>2879</v>
      </c>
      <c r="SSD1335" s="4" t="s">
        <v>2879</v>
      </c>
      <c r="SSE1335" s="4" t="s">
        <v>2879</v>
      </c>
      <c r="SSF1335" s="4" t="s">
        <v>2879</v>
      </c>
      <c r="SSG1335" s="4" t="s">
        <v>2879</v>
      </c>
      <c r="SSH1335" s="4" t="s">
        <v>2879</v>
      </c>
      <c r="SSI1335" s="4" t="s">
        <v>2879</v>
      </c>
      <c r="SSJ1335" s="4" t="s">
        <v>2879</v>
      </c>
      <c r="SSK1335" s="4" t="s">
        <v>2879</v>
      </c>
      <c r="SSL1335" s="4" t="s">
        <v>2879</v>
      </c>
      <c r="SSM1335" s="4" t="s">
        <v>2879</v>
      </c>
      <c r="SSN1335" s="4" t="s">
        <v>2879</v>
      </c>
      <c r="SSO1335" s="4" t="s">
        <v>2879</v>
      </c>
      <c r="SSP1335" s="4" t="s">
        <v>2879</v>
      </c>
      <c r="SSQ1335" s="4" t="s">
        <v>2879</v>
      </c>
      <c r="SSR1335" s="4" t="s">
        <v>2879</v>
      </c>
      <c r="SSS1335" s="4" t="s">
        <v>2879</v>
      </c>
      <c r="SST1335" s="4" t="s">
        <v>2879</v>
      </c>
      <c r="SSU1335" s="4" t="s">
        <v>2879</v>
      </c>
      <c r="SSV1335" s="4" t="s">
        <v>2879</v>
      </c>
      <c r="SSW1335" s="4" t="s">
        <v>2879</v>
      </c>
      <c r="SSX1335" s="4" t="s">
        <v>2879</v>
      </c>
      <c r="SSY1335" s="4" t="s">
        <v>2879</v>
      </c>
      <c r="SSZ1335" s="4" t="s">
        <v>2879</v>
      </c>
      <c r="STA1335" s="4" t="s">
        <v>2879</v>
      </c>
      <c r="STB1335" s="4" t="s">
        <v>2879</v>
      </c>
      <c r="STC1335" s="4" t="s">
        <v>2879</v>
      </c>
      <c r="STD1335" s="4" t="s">
        <v>2879</v>
      </c>
      <c r="STE1335" s="4" t="s">
        <v>2879</v>
      </c>
      <c r="STF1335" s="4" t="s">
        <v>2879</v>
      </c>
      <c r="STG1335" s="4" t="s">
        <v>2879</v>
      </c>
      <c r="STH1335" s="4" t="s">
        <v>2879</v>
      </c>
      <c r="STI1335" s="4" t="s">
        <v>2879</v>
      </c>
      <c r="STJ1335" s="4" t="s">
        <v>2879</v>
      </c>
      <c r="STK1335" s="4" t="s">
        <v>2879</v>
      </c>
      <c r="STL1335" s="4" t="s">
        <v>2879</v>
      </c>
      <c r="STM1335" s="4" t="s">
        <v>2879</v>
      </c>
      <c r="STN1335" s="4" t="s">
        <v>2879</v>
      </c>
      <c r="STO1335" s="4" t="s">
        <v>2879</v>
      </c>
      <c r="STP1335" s="4" t="s">
        <v>2879</v>
      </c>
      <c r="STQ1335" s="4" t="s">
        <v>2879</v>
      </c>
      <c r="STR1335" s="4" t="s">
        <v>2879</v>
      </c>
      <c r="STS1335" s="4" t="s">
        <v>2879</v>
      </c>
      <c r="STT1335" s="4" t="s">
        <v>2879</v>
      </c>
      <c r="STU1335" s="4" t="s">
        <v>2879</v>
      </c>
      <c r="STV1335" s="4" t="s">
        <v>2879</v>
      </c>
      <c r="STW1335" s="4" t="s">
        <v>2879</v>
      </c>
      <c r="STX1335" s="4" t="s">
        <v>2879</v>
      </c>
      <c r="STY1335" s="4" t="s">
        <v>2879</v>
      </c>
      <c r="STZ1335" s="4" t="s">
        <v>2879</v>
      </c>
      <c r="SUA1335" s="4" t="s">
        <v>2879</v>
      </c>
      <c r="SUB1335" s="4" t="s">
        <v>2879</v>
      </c>
      <c r="SUC1335" s="4" t="s">
        <v>2879</v>
      </c>
      <c r="SUD1335" s="4" t="s">
        <v>2879</v>
      </c>
      <c r="SUE1335" s="4" t="s">
        <v>2879</v>
      </c>
      <c r="SUF1335" s="4" t="s">
        <v>2879</v>
      </c>
      <c r="SUG1335" s="4" t="s">
        <v>2879</v>
      </c>
      <c r="SUH1335" s="4" t="s">
        <v>2879</v>
      </c>
      <c r="SUI1335" s="4" t="s">
        <v>2879</v>
      </c>
      <c r="SUJ1335" s="4" t="s">
        <v>2879</v>
      </c>
      <c r="SUK1335" s="4" t="s">
        <v>2879</v>
      </c>
      <c r="SUL1335" s="4" t="s">
        <v>2879</v>
      </c>
      <c r="SUM1335" s="4" t="s">
        <v>2879</v>
      </c>
      <c r="SUN1335" s="4" t="s">
        <v>2879</v>
      </c>
      <c r="SUO1335" s="4" t="s">
        <v>2879</v>
      </c>
      <c r="SUP1335" s="4" t="s">
        <v>2879</v>
      </c>
      <c r="SUQ1335" s="4" t="s">
        <v>2879</v>
      </c>
      <c r="SUR1335" s="4" t="s">
        <v>2879</v>
      </c>
      <c r="SUS1335" s="4" t="s">
        <v>2879</v>
      </c>
      <c r="SUT1335" s="4" t="s">
        <v>2879</v>
      </c>
      <c r="SUU1335" s="4" t="s">
        <v>2879</v>
      </c>
      <c r="SUV1335" s="4" t="s">
        <v>2879</v>
      </c>
      <c r="SUW1335" s="4" t="s">
        <v>2879</v>
      </c>
      <c r="SUX1335" s="4" t="s">
        <v>2879</v>
      </c>
      <c r="SUY1335" s="4" t="s">
        <v>2879</v>
      </c>
      <c r="SUZ1335" s="4" t="s">
        <v>2879</v>
      </c>
      <c r="SVA1335" s="4" t="s">
        <v>2879</v>
      </c>
      <c r="SVB1335" s="4" t="s">
        <v>2879</v>
      </c>
      <c r="SVC1335" s="4" t="s">
        <v>2879</v>
      </c>
      <c r="SVD1335" s="4" t="s">
        <v>2879</v>
      </c>
      <c r="SVE1335" s="4" t="s">
        <v>2879</v>
      </c>
      <c r="SVF1335" s="4" t="s">
        <v>2879</v>
      </c>
      <c r="SVG1335" s="4" t="s">
        <v>2879</v>
      </c>
      <c r="SVH1335" s="4" t="s">
        <v>2879</v>
      </c>
      <c r="SVI1335" s="4" t="s">
        <v>2879</v>
      </c>
      <c r="SVJ1335" s="4" t="s">
        <v>2879</v>
      </c>
      <c r="SVK1335" s="4" t="s">
        <v>2879</v>
      </c>
      <c r="SVL1335" s="4" t="s">
        <v>2879</v>
      </c>
      <c r="SVM1335" s="4" t="s">
        <v>2879</v>
      </c>
      <c r="SVN1335" s="4" t="s">
        <v>2879</v>
      </c>
      <c r="SVO1335" s="4" t="s">
        <v>2879</v>
      </c>
      <c r="SVP1335" s="4" t="s">
        <v>2879</v>
      </c>
      <c r="SVQ1335" s="4" t="s">
        <v>2879</v>
      </c>
      <c r="SVR1335" s="4" t="s">
        <v>2879</v>
      </c>
      <c r="SVS1335" s="4" t="s">
        <v>2879</v>
      </c>
      <c r="SVT1335" s="4" t="s">
        <v>2879</v>
      </c>
      <c r="SVU1335" s="4" t="s">
        <v>2879</v>
      </c>
      <c r="SVV1335" s="4" t="s">
        <v>2879</v>
      </c>
      <c r="SVW1335" s="4" t="s">
        <v>2879</v>
      </c>
      <c r="SVX1335" s="4" t="s">
        <v>2879</v>
      </c>
      <c r="SVY1335" s="4" t="s">
        <v>2879</v>
      </c>
      <c r="SVZ1335" s="4" t="s">
        <v>2879</v>
      </c>
      <c r="SWA1335" s="4" t="s">
        <v>2879</v>
      </c>
      <c r="SWB1335" s="4" t="s">
        <v>2879</v>
      </c>
      <c r="SWC1335" s="4" t="s">
        <v>2879</v>
      </c>
      <c r="SWD1335" s="4" t="s">
        <v>2879</v>
      </c>
      <c r="SWE1335" s="4" t="s">
        <v>2879</v>
      </c>
      <c r="SWF1335" s="4" t="s">
        <v>2879</v>
      </c>
      <c r="SWG1335" s="4" t="s">
        <v>2879</v>
      </c>
      <c r="SWH1335" s="4" t="s">
        <v>2879</v>
      </c>
      <c r="SWI1335" s="4" t="s">
        <v>2879</v>
      </c>
      <c r="SWJ1335" s="4" t="s">
        <v>2879</v>
      </c>
      <c r="SWK1335" s="4" t="s">
        <v>2879</v>
      </c>
      <c r="SWL1335" s="4" t="s">
        <v>2879</v>
      </c>
      <c r="SWM1335" s="4" t="s">
        <v>2879</v>
      </c>
      <c r="SWN1335" s="4" t="s">
        <v>2879</v>
      </c>
      <c r="SWO1335" s="4" t="s">
        <v>2879</v>
      </c>
      <c r="SWP1335" s="4" t="s">
        <v>2879</v>
      </c>
      <c r="SWQ1335" s="4" t="s">
        <v>2879</v>
      </c>
      <c r="SWR1335" s="4" t="s">
        <v>2879</v>
      </c>
      <c r="SWS1335" s="4" t="s">
        <v>2879</v>
      </c>
      <c r="SWT1335" s="4" t="s">
        <v>2879</v>
      </c>
      <c r="SWU1335" s="4" t="s">
        <v>2879</v>
      </c>
      <c r="SWV1335" s="4" t="s">
        <v>2879</v>
      </c>
      <c r="SWW1335" s="4" t="s">
        <v>2879</v>
      </c>
      <c r="SWX1335" s="4" t="s">
        <v>2879</v>
      </c>
      <c r="SWY1335" s="4" t="s">
        <v>2879</v>
      </c>
      <c r="SWZ1335" s="4" t="s">
        <v>2879</v>
      </c>
      <c r="SXA1335" s="4" t="s">
        <v>2879</v>
      </c>
      <c r="SXB1335" s="4" t="s">
        <v>2879</v>
      </c>
      <c r="SXC1335" s="4" t="s">
        <v>2879</v>
      </c>
      <c r="SXD1335" s="4" t="s">
        <v>2879</v>
      </c>
      <c r="SXE1335" s="4" t="s">
        <v>2879</v>
      </c>
      <c r="SXF1335" s="4" t="s">
        <v>2879</v>
      </c>
      <c r="SXG1335" s="4" t="s">
        <v>2879</v>
      </c>
      <c r="SXH1335" s="4" t="s">
        <v>2879</v>
      </c>
      <c r="SXI1335" s="4" t="s">
        <v>2879</v>
      </c>
      <c r="SXJ1335" s="4" t="s">
        <v>2879</v>
      </c>
      <c r="SXK1335" s="4" t="s">
        <v>2879</v>
      </c>
      <c r="SXL1335" s="4" t="s">
        <v>2879</v>
      </c>
      <c r="SXM1335" s="4" t="s">
        <v>2879</v>
      </c>
      <c r="SXN1335" s="4" t="s">
        <v>2879</v>
      </c>
      <c r="SXO1335" s="4" t="s">
        <v>2879</v>
      </c>
      <c r="SXP1335" s="4" t="s">
        <v>2879</v>
      </c>
      <c r="SXQ1335" s="4" t="s">
        <v>2879</v>
      </c>
      <c r="SXR1335" s="4" t="s">
        <v>2879</v>
      </c>
      <c r="SXS1335" s="4" t="s">
        <v>2879</v>
      </c>
      <c r="SXT1335" s="4" t="s">
        <v>2879</v>
      </c>
      <c r="SXU1335" s="4" t="s">
        <v>2879</v>
      </c>
      <c r="SXV1335" s="4" t="s">
        <v>2879</v>
      </c>
      <c r="SXW1335" s="4" t="s">
        <v>2879</v>
      </c>
      <c r="SXX1335" s="4" t="s">
        <v>2879</v>
      </c>
      <c r="SXY1335" s="4" t="s">
        <v>2879</v>
      </c>
      <c r="SXZ1335" s="4" t="s">
        <v>2879</v>
      </c>
      <c r="SYA1335" s="4" t="s">
        <v>2879</v>
      </c>
      <c r="SYB1335" s="4" t="s">
        <v>2879</v>
      </c>
      <c r="SYC1335" s="4" t="s">
        <v>2879</v>
      </c>
      <c r="SYD1335" s="4" t="s">
        <v>2879</v>
      </c>
      <c r="SYE1335" s="4" t="s">
        <v>2879</v>
      </c>
      <c r="SYF1335" s="4" t="s">
        <v>2879</v>
      </c>
      <c r="SYG1335" s="4" t="s">
        <v>2879</v>
      </c>
      <c r="SYH1335" s="4" t="s">
        <v>2879</v>
      </c>
      <c r="SYI1335" s="4" t="s">
        <v>2879</v>
      </c>
      <c r="SYJ1335" s="4" t="s">
        <v>2879</v>
      </c>
      <c r="SYK1335" s="4" t="s">
        <v>2879</v>
      </c>
      <c r="SYL1335" s="4" t="s">
        <v>2879</v>
      </c>
      <c r="SYM1335" s="4" t="s">
        <v>2879</v>
      </c>
      <c r="SYN1335" s="4" t="s">
        <v>2879</v>
      </c>
      <c r="SYO1335" s="4" t="s">
        <v>2879</v>
      </c>
      <c r="SYP1335" s="4" t="s">
        <v>2879</v>
      </c>
      <c r="SYQ1335" s="4" t="s">
        <v>2879</v>
      </c>
      <c r="SYR1335" s="4" t="s">
        <v>2879</v>
      </c>
      <c r="SYS1335" s="4" t="s">
        <v>2879</v>
      </c>
      <c r="SYT1335" s="4" t="s">
        <v>2879</v>
      </c>
      <c r="SYU1335" s="4" t="s">
        <v>2879</v>
      </c>
      <c r="SYV1335" s="4" t="s">
        <v>2879</v>
      </c>
      <c r="SYW1335" s="4" t="s">
        <v>2879</v>
      </c>
      <c r="SYX1335" s="4" t="s">
        <v>2879</v>
      </c>
      <c r="SYY1335" s="4" t="s">
        <v>2879</v>
      </c>
      <c r="SYZ1335" s="4" t="s">
        <v>2879</v>
      </c>
      <c r="SZA1335" s="4" t="s">
        <v>2879</v>
      </c>
      <c r="SZB1335" s="4" t="s">
        <v>2879</v>
      </c>
      <c r="SZC1335" s="4" t="s">
        <v>2879</v>
      </c>
      <c r="SZD1335" s="4" t="s">
        <v>2879</v>
      </c>
      <c r="SZE1335" s="4" t="s">
        <v>2879</v>
      </c>
      <c r="SZF1335" s="4" t="s">
        <v>2879</v>
      </c>
      <c r="SZG1335" s="4" t="s">
        <v>2879</v>
      </c>
      <c r="SZH1335" s="4" t="s">
        <v>2879</v>
      </c>
      <c r="SZI1335" s="4" t="s">
        <v>2879</v>
      </c>
      <c r="SZJ1335" s="4" t="s">
        <v>2879</v>
      </c>
      <c r="SZK1335" s="4" t="s">
        <v>2879</v>
      </c>
      <c r="SZL1335" s="4" t="s">
        <v>2879</v>
      </c>
      <c r="SZM1335" s="4" t="s">
        <v>2879</v>
      </c>
      <c r="SZN1335" s="4" t="s">
        <v>2879</v>
      </c>
      <c r="SZO1335" s="4" t="s">
        <v>2879</v>
      </c>
      <c r="SZP1335" s="4" t="s">
        <v>2879</v>
      </c>
      <c r="SZQ1335" s="4" t="s">
        <v>2879</v>
      </c>
      <c r="SZR1335" s="4" t="s">
        <v>2879</v>
      </c>
      <c r="SZS1335" s="4" t="s">
        <v>2879</v>
      </c>
      <c r="SZT1335" s="4" t="s">
        <v>2879</v>
      </c>
      <c r="SZU1335" s="4" t="s">
        <v>2879</v>
      </c>
      <c r="SZV1335" s="4" t="s">
        <v>2879</v>
      </c>
      <c r="SZW1335" s="4" t="s">
        <v>2879</v>
      </c>
      <c r="SZX1335" s="4" t="s">
        <v>2879</v>
      </c>
      <c r="SZY1335" s="4" t="s">
        <v>2879</v>
      </c>
      <c r="SZZ1335" s="4" t="s">
        <v>2879</v>
      </c>
      <c r="TAA1335" s="4" t="s">
        <v>2879</v>
      </c>
      <c r="TAB1335" s="4" t="s">
        <v>2879</v>
      </c>
      <c r="TAC1335" s="4" t="s">
        <v>2879</v>
      </c>
      <c r="TAD1335" s="4" t="s">
        <v>2879</v>
      </c>
      <c r="TAE1335" s="4" t="s">
        <v>2879</v>
      </c>
      <c r="TAF1335" s="4" t="s">
        <v>2879</v>
      </c>
      <c r="TAG1335" s="4" t="s">
        <v>2879</v>
      </c>
      <c r="TAH1335" s="4" t="s">
        <v>2879</v>
      </c>
      <c r="TAI1335" s="4" t="s">
        <v>2879</v>
      </c>
      <c r="TAJ1335" s="4" t="s">
        <v>2879</v>
      </c>
      <c r="TAK1335" s="4" t="s">
        <v>2879</v>
      </c>
      <c r="TAL1335" s="4" t="s">
        <v>2879</v>
      </c>
      <c r="TAM1335" s="4" t="s">
        <v>2879</v>
      </c>
      <c r="TAN1335" s="4" t="s">
        <v>2879</v>
      </c>
      <c r="TAO1335" s="4" t="s">
        <v>2879</v>
      </c>
      <c r="TAP1335" s="4" t="s">
        <v>2879</v>
      </c>
      <c r="TAQ1335" s="4" t="s">
        <v>2879</v>
      </c>
      <c r="TAR1335" s="4" t="s">
        <v>2879</v>
      </c>
      <c r="TAS1335" s="4" t="s">
        <v>2879</v>
      </c>
      <c r="TAT1335" s="4" t="s">
        <v>2879</v>
      </c>
      <c r="TAU1335" s="4" t="s">
        <v>2879</v>
      </c>
      <c r="TAV1335" s="4" t="s">
        <v>2879</v>
      </c>
      <c r="TAW1335" s="4" t="s">
        <v>2879</v>
      </c>
      <c r="TAX1335" s="4" t="s">
        <v>2879</v>
      </c>
      <c r="TAY1335" s="4" t="s">
        <v>2879</v>
      </c>
      <c r="TAZ1335" s="4" t="s">
        <v>2879</v>
      </c>
      <c r="TBA1335" s="4" t="s">
        <v>2879</v>
      </c>
      <c r="TBB1335" s="4" t="s">
        <v>2879</v>
      </c>
      <c r="TBC1335" s="4" t="s">
        <v>2879</v>
      </c>
      <c r="TBD1335" s="4" t="s">
        <v>2879</v>
      </c>
      <c r="TBE1335" s="4" t="s">
        <v>2879</v>
      </c>
      <c r="TBF1335" s="4" t="s">
        <v>2879</v>
      </c>
      <c r="TBG1335" s="4" t="s">
        <v>2879</v>
      </c>
      <c r="TBH1335" s="4" t="s">
        <v>2879</v>
      </c>
      <c r="TBI1335" s="4" t="s">
        <v>2879</v>
      </c>
      <c r="TBJ1335" s="4" t="s">
        <v>2879</v>
      </c>
      <c r="TBK1335" s="4" t="s">
        <v>2879</v>
      </c>
      <c r="TBL1335" s="4" t="s">
        <v>2879</v>
      </c>
      <c r="TBM1335" s="4" t="s">
        <v>2879</v>
      </c>
      <c r="TBN1335" s="4" t="s">
        <v>2879</v>
      </c>
      <c r="TBO1335" s="4" t="s">
        <v>2879</v>
      </c>
      <c r="TBP1335" s="4" t="s">
        <v>2879</v>
      </c>
      <c r="TBQ1335" s="4" t="s">
        <v>2879</v>
      </c>
      <c r="TBR1335" s="4" t="s">
        <v>2879</v>
      </c>
      <c r="TBS1335" s="4" t="s">
        <v>2879</v>
      </c>
      <c r="TBT1335" s="4" t="s">
        <v>2879</v>
      </c>
      <c r="TBU1335" s="4" t="s">
        <v>2879</v>
      </c>
      <c r="TBV1335" s="4" t="s">
        <v>2879</v>
      </c>
      <c r="TBW1335" s="4" t="s">
        <v>2879</v>
      </c>
      <c r="TBX1335" s="4" t="s">
        <v>2879</v>
      </c>
      <c r="TBY1335" s="4" t="s">
        <v>2879</v>
      </c>
      <c r="TBZ1335" s="4" t="s">
        <v>2879</v>
      </c>
      <c r="TCA1335" s="4" t="s">
        <v>2879</v>
      </c>
      <c r="TCB1335" s="4" t="s">
        <v>2879</v>
      </c>
      <c r="TCC1335" s="4" t="s">
        <v>2879</v>
      </c>
      <c r="TCD1335" s="4" t="s">
        <v>2879</v>
      </c>
      <c r="TCE1335" s="4" t="s">
        <v>2879</v>
      </c>
      <c r="TCF1335" s="4" t="s">
        <v>2879</v>
      </c>
      <c r="TCG1335" s="4" t="s">
        <v>2879</v>
      </c>
      <c r="TCH1335" s="4" t="s">
        <v>2879</v>
      </c>
      <c r="TCI1335" s="4" t="s">
        <v>2879</v>
      </c>
      <c r="TCJ1335" s="4" t="s">
        <v>2879</v>
      </c>
      <c r="TCK1335" s="4" t="s">
        <v>2879</v>
      </c>
      <c r="TCL1335" s="4" t="s">
        <v>2879</v>
      </c>
      <c r="TCM1335" s="4" t="s">
        <v>2879</v>
      </c>
      <c r="TCN1335" s="4" t="s">
        <v>2879</v>
      </c>
      <c r="TCO1335" s="4" t="s">
        <v>2879</v>
      </c>
      <c r="TCP1335" s="4" t="s">
        <v>2879</v>
      </c>
      <c r="TCQ1335" s="4" t="s">
        <v>2879</v>
      </c>
      <c r="TCR1335" s="4" t="s">
        <v>2879</v>
      </c>
      <c r="TCS1335" s="4" t="s">
        <v>2879</v>
      </c>
      <c r="TCT1335" s="4" t="s">
        <v>2879</v>
      </c>
      <c r="TCU1335" s="4" t="s">
        <v>2879</v>
      </c>
      <c r="TCV1335" s="4" t="s">
        <v>2879</v>
      </c>
      <c r="TCW1335" s="4" t="s">
        <v>2879</v>
      </c>
      <c r="TCX1335" s="4" t="s">
        <v>2879</v>
      </c>
      <c r="TCY1335" s="4" t="s">
        <v>2879</v>
      </c>
      <c r="TCZ1335" s="4" t="s">
        <v>2879</v>
      </c>
      <c r="TDA1335" s="4" t="s">
        <v>2879</v>
      </c>
      <c r="TDB1335" s="4" t="s">
        <v>2879</v>
      </c>
      <c r="TDC1335" s="4" t="s">
        <v>2879</v>
      </c>
      <c r="TDD1335" s="4" t="s">
        <v>2879</v>
      </c>
      <c r="TDE1335" s="4" t="s">
        <v>2879</v>
      </c>
      <c r="TDF1335" s="4" t="s">
        <v>2879</v>
      </c>
      <c r="TDG1335" s="4" t="s">
        <v>2879</v>
      </c>
      <c r="TDH1335" s="4" t="s">
        <v>2879</v>
      </c>
      <c r="TDI1335" s="4" t="s">
        <v>2879</v>
      </c>
      <c r="TDJ1335" s="4" t="s">
        <v>2879</v>
      </c>
      <c r="TDK1335" s="4" t="s">
        <v>2879</v>
      </c>
      <c r="TDL1335" s="4" t="s">
        <v>2879</v>
      </c>
      <c r="TDM1335" s="4" t="s">
        <v>2879</v>
      </c>
      <c r="TDN1335" s="4" t="s">
        <v>2879</v>
      </c>
      <c r="TDO1335" s="4" t="s">
        <v>2879</v>
      </c>
      <c r="TDP1335" s="4" t="s">
        <v>2879</v>
      </c>
      <c r="TDQ1335" s="4" t="s">
        <v>2879</v>
      </c>
      <c r="TDR1335" s="4" t="s">
        <v>2879</v>
      </c>
      <c r="TDS1335" s="4" t="s">
        <v>2879</v>
      </c>
      <c r="TDT1335" s="4" t="s">
        <v>2879</v>
      </c>
      <c r="TDU1335" s="4" t="s">
        <v>2879</v>
      </c>
      <c r="TDV1335" s="4" t="s">
        <v>2879</v>
      </c>
      <c r="TDW1335" s="4" t="s">
        <v>2879</v>
      </c>
      <c r="TDX1335" s="4" t="s">
        <v>2879</v>
      </c>
      <c r="TDY1335" s="4" t="s">
        <v>2879</v>
      </c>
      <c r="TDZ1335" s="4" t="s">
        <v>2879</v>
      </c>
      <c r="TEA1335" s="4" t="s">
        <v>2879</v>
      </c>
      <c r="TEB1335" s="4" t="s">
        <v>2879</v>
      </c>
      <c r="TEC1335" s="4" t="s">
        <v>2879</v>
      </c>
      <c r="TED1335" s="4" t="s">
        <v>2879</v>
      </c>
      <c r="TEE1335" s="4" t="s">
        <v>2879</v>
      </c>
      <c r="TEF1335" s="4" t="s">
        <v>2879</v>
      </c>
      <c r="TEG1335" s="4" t="s">
        <v>2879</v>
      </c>
      <c r="TEH1335" s="4" t="s">
        <v>2879</v>
      </c>
      <c r="TEI1335" s="4" t="s">
        <v>2879</v>
      </c>
      <c r="TEJ1335" s="4" t="s">
        <v>2879</v>
      </c>
      <c r="TEK1335" s="4" t="s">
        <v>2879</v>
      </c>
      <c r="TEL1335" s="4" t="s">
        <v>2879</v>
      </c>
      <c r="TEM1335" s="4" t="s">
        <v>2879</v>
      </c>
      <c r="TEN1335" s="4" t="s">
        <v>2879</v>
      </c>
      <c r="TEO1335" s="4" t="s">
        <v>2879</v>
      </c>
      <c r="TEP1335" s="4" t="s">
        <v>2879</v>
      </c>
      <c r="TEQ1335" s="4" t="s">
        <v>2879</v>
      </c>
      <c r="TER1335" s="4" t="s">
        <v>2879</v>
      </c>
      <c r="TES1335" s="4" t="s">
        <v>2879</v>
      </c>
      <c r="TET1335" s="4" t="s">
        <v>2879</v>
      </c>
      <c r="TEU1335" s="4" t="s">
        <v>2879</v>
      </c>
      <c r="TEV1335" s="4" t="s">
        <v>2879</v>
      </c>
      <c r="TEW1335" s="4" t="s">
        <v>2879</v>
      </c>
      <c r="TEX1335" s="4" t="s">
        <v>2879</v>
      </c>
      <c r="TEY1335" s="4" t="s">
        <v>2879</v>
      </c>
      <c r="TEZ1335" s="4" t="s">
        <v>2879</v>
      </c>
      <c r="TFA1335" s="4" t="s">
        <v>2879</v>
      </c>
      <c r="TFB1335" s="4" t="s">
        <v>2879</v>
      </c>
      <c r="TFC1335" s="4" t="s">
        <v>2879</v>
      </c>
      <c r="TFD1335" s="4" t="s">
        <v>2879</v>
      </c>
      <c r="TFE1335" s="4" t="s">
        <v>2879</v>
      </c>
      <c r="TFF1335" s="4" t="s">
        <v>2879</v>
      </c>
      <c r="TFG1335" s="4" t="s">
        <v>2879</v>
      </c>
      <c r="TFH1335" s="4" t="s">
        <v>2879</v>
      </c>
      <c r="TFI1335" s="4" t="s">
        <v>2879</v>
      </c>
      <c r="TFJ1335" s="4" t="s">
        <v>2879</v>
      </c>
      <c r="TFK1335" s="4" t="s">
        <v>2879</v>
      </c>
      <c r="TFL1335" s="4" t="s">
        <v>2879</v>
      </c>
      <c r="TFM1335" s="4" t="s">
        <v>2879</v>
      </c>
      <c r="TFN1335" s="4" t="s">
        <v>2879</v>
      </c>
      <c r="TFO1335" s="4" t="s">
        <v>2879</v>
      </c>
      <c r="TFP1335" s="4" t="s">
        <v>2879</v>
      </c>
      <c r="TFQ1335" s="4" t="s">
        <v>2879</v>
      </c>
      <c r="TFR1335" s="4" t="s">
        <v>2879</v>
      </c>
      <c r="TFS1335" s="4" t="s">
        <v>2879</v>
      </c>
      <c r="TFT1335" s="4" t="s">
        <v>2879</v>
      </c>
      <c r="TFU1335" s="4" t="s">
        <v>2879</v>
      </c>
      <c r="TFV1335" s="4" t="s">
        <v>2879</v>
      </c>
      <c r="TFW1335" s="4" t="s">
        <v>2879</v>
      </c>
      <c r="TFX1335" s="4" t="s">
        <v>2879</v>
      </c>
      <c r="TFY1335" s="4" t="s">
        <v>2879</v>
      </c>
      <c r="TFZ1335" s="4" t="s">
        <v>2879</v>
      </c>
      <c r="TGA1335" s="4" t="s">
        <v>2879</v>
      </c>
      <c r="TGB1335" s="4" t="s">
        <v>2879</v>
      </c>
      <c r="TGC1335" s="4" t="s">
        <v>2879</v>
      </c>
      <c r="TGD1335" s="4" t="s">
        <v>2879</v>
      </c>
      <c r="TGE1335" s="4" t="s">
        <v>2879</v>
      </c>
      <c r="TGF1335" s="4" t="s">
        <v>2879</v>
      </c>
      <c r="TGG1335" s="4" t="s">
        <v>2879</v>
      </c>
      <c r="TGH1335" s="4" t="s">
        <v>2879</v>
      </c>
      <c r="TGI1335" s="4" t="s">
        <v>2879</v>
      </c>
      <c r="TGJ1335" s="4" t="s">
        <v>2879</v>
      </c>
      <c r="TGK1335" s="4" t="s">
        <v>2879</v>
      </c>
      <c r="TGL1335" s="4" t="s">
        <v>2879</v>
      </c>
      <c r="TGM1335" s="4" t="s">
        <v>2879</v>
      </c>
      <c r="TGN1335" s="4" t="s">
        <v>2879</v>
      </c>
      <c r="TGO1335" s="4" t="s">
        <v>2879</v>
      </c>
      <c r="TGP1335" s="4" t="s">
        <v>2879</v>
      </c>
      <c r="TGQ1335" s="4" t="s">
        <v>2879</v>
      </c>
      <c r="TGR1335" s="4" t="s">
        <v>2879</v>
      </c>
      <c r="TGS1335" s="4" t="s">
        <v>2879</v>
      </c>
      <c r="TGT1335" s="4" t="s">
        <v>2879</v>
      </c>
      <c r="TGU1335" s="4" t="s">
        <v>2879</v>
      </c>
      <c r="TGV1335" s="4" t="s">
        <v>2879</v>
      </c>
      <c r="TGW1335" s="4" t="s">
        <v>2879</v>
      </c>
      <c r="TGX1335" s="4" t="s">
        <v>2879</v>
      </c>
      <c r="TGY1335" s="4" t="s">
        <v>2879</v>
      </c>
      <c r="TGZ1335" s="4" t="s">
        <v>2879</v>
      </c>
      <c r="THA1335" s="4" t="s">
        <v>2879</v>
      </c>
      <c r="THB1335" s="4" t="s">
        <v>2879</v>
      </c>
      <c r="THC1335" s="4" t="s">
        <v>2879</v>
      </c>
      <c r="THD1335" s="4" t="s">
        <v>2879</v>
      </c>
      <c r="THE1335" s="4" t="s">
        <v>2879</v>
      </c>
      <c r="THF1335" s="4" t="s">
        <v>2879</v>
      </c>
      <c r="THG1335" s="4" t="s">
        <v>2879</v>
      </c>
      <c r="THH1335" s="4" t="s">
        <v>2879</v>
      </c>
      <c r="THI1335" s="4" t="s">
        <v>2879</v>
      </c>
      <c r="THJ1335" s="4" t="s">
        <v>2879</v>
      </c>
      <c r="THK1335" s="4" t="s">
        <v>2879</v>
      </c>
      <c r="THL1335" s="4" t="s">
        <v>2879</v>
      </c>
      <c r="THM1335" s="4" t="s">
        <v>2879</v>
      </c>
      <c r="THN1335" s="4" t="s">
        <v>2879</v>
      </c>
      <c r="THO1335" s="4" t="s">
        <v>2879</v>
      </c>
      <c r="THP1335" s="4" t="s">
        <v>2879</v>
      </c>
      <c r="THQ1335" s="4" t="s">
        <v>2879</v>
      </c>
      <c r="THR1335" s="4" t="s">
        <v>2879</v>
      </c>
      <c r="THS1335" s="4" t="s">
        <v>2879</v>
      </c>
      <c r="THT1335" s="4" t="s">
        <v>2879</v>
      </c>
      <c r="THU1335" s="4" t="s">
        <v>2879</v>
      </c>
      <c r="THV1335" s="4" t="s">
        <v>2879</v>
      </c>
      <c r="THW1335" s="4" t="s">
        <v>2879</v>
      </c>
      <c r="THX1335" s="4" t="s">
        <v>2879</v>
      </c>
      <c r="THY1335" s="4" t="s">
        <v>2879</v>
      </c>
      <c r="THZ1335" s="4" t="s">
        <v>2879</v>
      </c>
      <c r="TIA1335" s="4" t="s">
        <v>2879</v>
      </c>
      <c r="TIB1335" s="4" t="s">
        <v>2879</v>
      </c>
      <c r="TIC1335" s="4" t="s">
        <v>2879</v>
      </c>
      <c r="TID1335" s="4" t="s">
        <v>2879</v>
      </c>
      <c r="TIE1335" s="4" t="s">
        <v>2879</v>
      </c>
      <c r="TIF1335" s="4" t="s">
        <v>2879</v>
      </c>
      <c r="TIG1335" s="4" t="s">
        <v>2879</v>
      </c>
      <c r="TIH1335" s="4" t="s">
        <v>2879</v>
      </c>
      <c r="TII1335" s="4" t="s">
        <v>2879</v>
      </c>
      <c r="TIJ1335" s="4" t="s">
        <v>2879</v>
      </c>
      <c r="TIK1335" s="4" t="s">
        <v>2879</v>
      </c>
      <c r="TIL1335" s="4" t="s">
        <v>2879</v>
      </c>
      <c r="TIM1335" s="4" t="s">
        <v>2879</v>
      </c>
      <c r="TIN1335" s="4" t="s">
        <v>2879</v>
      </c>
      <c r="TIO1335" s="4" t="s">
        <v>2879</v>
      </c>
      <c r="TIP1335" s="4" t="s">
        <v>2879</v>
      </c>
      <c r="TIQ1335" s="4" t="s">
        <v>2879</v>
      </c>
      <c r="TIR1335" s="4" t="s">
        <v>2879</v>
      </c>
      <c r="TIS1335" s="4" t="s">
        <v>2879</v>
      </c>
      <c r="TIT1335" s="4" t="s">
        <v>2879</v>
      </c>
      <c r="TIU1335" s="4" t="s">
        <v>2879</v>
      </c>
      <c r="TIV1335" s="4" t="s">
        <v>2879</v>
      </c>
      <c r="TIW1335" s="4" t="s">
        <v>2879</v>
      </c>
      <c r="TIX1335" s="4" t="s">
        <v>2879</v>
      </c>
      <c r="TIY1335" s="4" t="s">
        <v>2879</v>
      </c>
      <c r="TIZ1335" s="4" t="s">
        <v>2879</v>
      </c>
      <c r="TJA1335" s="4" t="s">
        <v>2879</v>
      </c>
      <c r="TJB1335" s="4" t="s">
        <v>2879</v>
      </c>
      <c r="TJC1335" s="4" t="s">
        <v>2879</v>
      </c>
      <c r="TJD1335" s="4" t="s">
        <v>2879</v>
      </c>
      <c r="TJE1335" s="4" t="s">
        <v>2879</v>
      </c>
      <c r="TJF1335" s="4" t="s">
        <v>2879</v>
      </c>
      <c r="TJG1335" s="4" t="s">
        <v>2879</v>
      </c>
      <c r="TJH1335" s="4" t="s">
        <v>2879</v>
      </c>
      <c r="TJI1335" s="4" t="s">
        <v>2879</v>
      </c>
      <c r="TJJ1335" s="4" t="s">
        <v>2879</v>
      </c>
      <c r="TJK1335" s="4" t="s">
        <v>2879</v>
      </c>
      <c r="TJL1335" s="4" t="s">
        <v>2879</v>
      </c>
      <c r="TJM1335" s="4" t="s">
        <v>2879</v>
      </c>
      <c r="TJN1335" s="4" t="s">
        <v>2879</v>
      </c>
      <c r="TJO1335" s="4" t="s">
        <v>2879</v>
      </c>
      <c r="TJP1335" s="4" t="s">
        <v>2879</v>
      </c>
      <c r="TJQ1335" s="4" t="s">
        <v>2879</v>
      </c>
      <c r="TJR1335" s="4" t="s">
        <v>2879</v>
      </c>
      <c r="TJS1335" s="4" t="s">
        <v>2879</v>
      </c>
      <c r="TJT1335" s="4" t="s">
        <v>2879</v>
      </c>
      <c r="TJU1335" s="4" t="s">
        <v>2879</v>
      </c>
      <c r="TJV1335" s="4" t="s">
        <v>2879</v>
      </c>
      <c r="TJW1335" s="4" t="s">
        <v>2879</v>
      </c>
      <c r="TJX1335" s="4" t="s">
        <v>2879</v>
      </c>
      <c r="TJY1335" s="4" t="s">
        <v>2879</v>
      </c>
      <c r="TJZ1335" s="4" t="s">
        <v>2879</v>
      </c>
      <c r="TKA1335" s="4" t="s">
        <v>2879</v>
      </c>
      <c r="TKB1335" s="4" t="s">
        <v>2879</v>
      </c>
      <c r="TKC1335" s="4" t="s">
        <v>2879</v>
      </c>
      <c r="TKD1335" s="4" t="s">
        <v>2879</v>
      </c>
      <c r="TKE1335" s="4" t="s">
        <v>2879</v>
      </c>
      <c r="TKF1335" s="4" t="s">
        <v>2879</v>
      </c>
      <c r="TKG1335" s="4" t="s">
        <v>2879</v>
      </c>
      <c r="TKH1335" s="4" t="s">
        <v>2879</v>
      </c>
      <c r="TKI1335" s="4" t="s">
        <v>2879</v>
      </c>
      <c r="TKJ1335" s="4" t="s">
        <v>2879</v>
      </c>
      <c r="TKK1335" s="4" t="s">
        <v>2879</v>
      </c>
      <c r="TKL1335" s="4" t="s">
        <v>2879</v>
      </c>
      <c r="TKM1335" s="4" t="s">
        <v>2879</v>
      </c>
      <c r="TKN1335" s="4" t="s">
        <v>2879</v>
      </c>
      <c r="TKO1335" s="4" t="s">
        <v>2879</v>
      </c>
      <c r="TKP1335" s="4" t="s">
        <v>2879</v>
      </c>
      <c r="TKQ1335" s="4" t="s">
        <v>2879</v>
      </c>
      <c r="TKR1335" s="4" t="s">
        <v>2879</v>
      </c>
      <c r="TKS1335" s="4" t="s">
        <v>2879</v>
      </c>
      <c r="TKT1335" s="4" t="s">
        <v>2879</v>
      </c>
      <c r="TKU1335" s="4" t="s">
        <v>2879</v>
      </c>
      <c r="TKV1335" s="4" t="s">
        <v>2879</v>
      </c>
      <c r="TKW1335" s="4" t="s">
        <v>2879</v>
      </c>
      <c r="TKX1335" s="4" t="s">
        <v>2879</v>
      </c>
      <c r="TKY1335" s="4" t="s">
        <v>2879</v>
      </c>
      <c r="TKZ1335" s="4" t="s">
        <v>2879</v>
      </c>
      <c r="TLA1335" s="4" t="s">
        <v>2879</v>
      </c>
      <c r="TLB1335" s="4" t="s">
        <v>2879</v>
      </c>
      <c r="TLC1335" s="4" t="s">
        <v>2879</v>
      </c>
      <c r="TLD1335" s="4" t="s">
        <v>2879</v>
      </c>
      <c r="TLE1335" s="4" t="s">
        <v>2879</v>
      </c>
      <c r="TLF1335" s="4" t="s">
        <v>2879</v>
      </c>
      <c r="TLG1335" s="4" t="s">
        <v>2879</v>
      </c>
      <c r="TLH1335" s="4" t="s">
        <v>2879</v>
      </c>
      <c r="TLI1335" s="4" t="s">
        <v>2879</v>
      </c>
      <c r="TLJ1335" s="4" t="s">
        <v>2879</v>
      </c>
      <c r="TLK1335" s="4" t="s">
        <v>2879</v>
      </c>
      <c r="TLL1335" s="4" t="s">
        <v>2879</v>
      </c>
      <c r="TLM1335" s="4" t="s">
        <v>2879</v>
      </c>
      <c r="TLN1335" s="4" t="s">
        <v>2879</v>
      </c>
      <c r="TLO1335" s="4" t="s">
        <v>2879</v>
      </c>
      <c r="TLP1335" s="4" t="s">
        <v>2879</v>
      </c>
      <c r="TLQ1335" s="4" t="s">
        <v>2879</v>
      </c>
      <c r="TLR1335" s="4" t="s">
        <v>2879</v>
      </c>
      <c r="TLS1335" s="4" t="s">
        <v>2879</v>
      </c>
      <c r="TLT1335" s="4" t="s">
        <v>2879</v>
      </c>
      <c r="TLU1335" s="4" t="s">
        <v>2879</v>
      </c>
      <c r="TLV1335" s="4" t="s">
        <v>2879</v>
      </c>
      <c r="TLW1335" s="4" t="s">
        <v>2879</v>
      </c>
      <c r="TLX1335" s="4" t="s">
        <v>2879</v>
      </c>
      <c r="TLY1335" s="4" t="s">
        <v>2879</v>
      </c>
      <c r="TLZ1335" s="4" t="s">
        <v>2879</v>
      </c>
      <c r="TMA1335" s="4" t="s">
        <v>2879</v>
      </c>
      <c r="TMB1335" s="4" t="s">
        <v>2879</v>
      </c>
      <c r="TMC1335" s="4" t="s">
        <v>2879</v>
      </c>
      <c r="TMD1335" s="4" t="s">
        <v>2879</v>
      </c>
      <c r="TME1335" s="4" t="s">
        <v>2879</v>
      </c>
      <c r="TMF1335" s="4" t="s">
        <v>2879</v>
      </c>
      <c r="TMG1335" s="4" t="s">
        <v>2879</v>
      </c>
      <c r="TMH1335" s="4" t="s">
        <v>2879</v>
      </c>
      <c r="TMI1335" s="4" t="s">
        <v>2879</v>
      </c>
      <c r="TMJ1335" s="4" t="s">
        <v>2879</v>
      </c>
      <c r="TMK1335" s="4" t="s">
        <v>2879</v>
      </c>
      <c r="TML1335" s="4" t="s">
        <v>2879</v>
      </c>
      <c r="TMM1335" s="4" t="s">
        <v>2879</v>
      </c>
      <c r="TMN1335" s="4" t="s">
        <v>2879</v>
      </c>
      <c r="TMO1335" s="4" t="s">
        <v>2879</v>
      </c>
      <c r="TMP1335" s="4" t="s">
        <v>2879</v>
      </c>
      <c r="TMQ1335" s="4" t="s">
        <v>2879</v>
      </c>
      <c r="TMR1335" s="4" t="s">
        <v>2879</v>
      </c>
      <c r="TMS1335" s="4" t="s">
        <v>2879</v>
      </c>
      <c r="TMT1335" s="4" t="s">
        <v>2879</v>
      </c>
      <c r="TMU1335" s="4" t="s">
        <v>2879</v>
      </c>
      <c r="TMV1335" s="4" t="s">
        <v>2879</v>
      </c>
      <c r="TMW1335" s="4" t="s">
        <v>2879</v>
      </c>
      <c r="TMX1335" s="4" t="s">
        <v>2879</v>
      </c>
      <c r="TMY1335" s="4" t="s">
        <v>2879</v>
      </c>
      <c r="TMZ1335" s="4" t="s">
        <v>2879</v>
      </c>
      <c r="TNA1335" s="4" t="s">
        <v>2879</v>
      </c>
      <c r="TNB1335" s="4" t="s">
        <v>2879</v>
      </c>
      <c r="TNC1335" s="4" t="s">
        <v>2879</v>
      </c>
      <c r="TND1335" s="4" t="s">
        <v>2879</v>
      </c>
      <c r="TNE1335" s="4" t="s">
        <v>2879</v>
      </c>
      <c r="TNF1335" s="4" t="s">
        <v>2879</v>
      </c>
      <c r="TNG1335" s="4" t="s">
        <v>2879</v>
      </c>
      <c r="TNH1335" s="4" t="s">
        <v>2879</v>
      </c>
      <c r="TNI1335" s="4" t="s">
        <v>2879</v>
      </c>
      <c r="TNJ1335" s="4" t="s">
        <v>2879</v>
      </c>
      <c r="TNK1335" s="4" t="s">
        <v>2879</v>
      </c>
      <c r="TNL1335" s="4" t="s">
        <v>2879</v>
      </c>
      <c r="TNM1335" s="4" t="s">
        <v>2879</v>
      </c>
      <c r="TNN1335" s="4" t="s">
        <v>2879</v>
      </c>
      <c r="TNO1335" s="4" t="s">
        <v>2879</v>
      </c>
      <c r="TNP1335" s="4" t="s">
        <v>2879</v>
      </c>
      <c r="TNQ1335" s="4" t="s">
        <v>2879</v>
      </c>
      <c r="TNR1335" s="4" t="s">
        <v>2879</v>
      </c>
      <c r="TNS1335" s="4" t="s">
        <v>2879</v>
      </c>
      <c r="TNT1335" s="4" t="s">
        <v>2879</v>
      </c>
      <c r="TNU1335" s="4" t="s">
        <v>2879</v>
      </c>
      <c r="TNV1335" s="4" t="s">
        <v>2879</v>
      </c>
      <c r="TNW1335" s="4" t="s">
        <v>2879</v>
      </c>
      <c r="TNX1335" s="4" t="s">
        <v>2879</v>
      </c>
      <c r="TNY1335" s="4" t="s">
        <v>2879</v>
      </c>
      <c r="TNZ1335" s="4" t="s">
        <v>2879</v>
      </c>
      <c r="TOA1335" s="4" t="s">
        <v>2879</v>
      </c>
      <c r="TOB1335" s="4" t="s">
        <v>2879</v>
      </c>
      <c r="TOC1335" s="4" t="s">
        <v>2879</v>
      </c>
      <c r="TOD1335" s="4" t="s">
        <v>2879</v>
      </c>
      <c r="TOE1335" s="4" t="s">
        <v>2879</v>
      </c>
      <c r="TOF1335" s="4" t="s">
        <v>2879</v>
      </c>
      <c r="TOG1335" s="4" t="s">
        <v>2879</v>
      </c>
      <c r="TOH1335" s="4" t="s">
        <v>2879</v>
      </c>
      <c r="TOI1335" s="4" t="s">
        <v>2879</v>
      </c>
      <c r="TOJ1335" s="4" t="s">
        <v>2879</v>
      </c>
      <c r="TOK1335" s="4" t="s">
        <v>2879</v>
      </c>
      <c r="TOL1335" s="4" t="s">
        <v>2879</v>
      </c>
      <c r="TOM1335" s="4" t="s">
        <v>2879</v>
      </c>
      <c r="TON1335" s="4" t="s">
        <v>2879</v>
      </c>
      <c r="TOO1335" s="4" t="s">
        <v>2879</v>
      </c>
      <c r="TOP1335" s="4" t="s">
        <v>2879</v>
      </c>
      <c r="TOQ1335" s="4" t="s">
        <v>2879</v>
      </c>
      <c r="TOR1335" s="4" t="s">
        <v>2879</v>
      </c>
      <c r="TOS1335" s="4" t="s">
        <v>2879</v>
      </c>
      <c r="TOT1335" s="4" t="s">
        <v>2879</v>
      </c>
      <c r="TOU1335" s="4" t="s">
        <v>2879</v>
      </c>
      <c r="TOV1335" s="4" t="s">
        <v>2879</v>
      </c>
      <c r="TOW1335" s="4" t="s">
        <v>2879</v>
      </c>
      <c r="TOX1335" s="4" t="s">
        <v>2879</v>
      </c>
      <c r="TOY1335" s="4" t="s">
        <v>2879</v>
      </c>
      <c r="TOZ1335" s="4" t="s">
        <v>2879</v>
      </c>
      <c r="TPA1335" s="4" t="s">
        <v>2879</v>
      </c>
      <c r="TPB1335" s="4" t="s">
        <v>2879</v>
      </c>
      <c r="TPC1335" s="4" t="s">
        <v>2879</v>
      </c>
      <c r="TPD1335" s="4" t="s">
        <v>2879</v>
      </c>
      <c r="TPE1335" s="4" t="s">
        <v>2879</v>
      </c>
      <c r="TPF1335" s="4" t="s">
        <v>2879</v>
      </c>
      <c r="TPG1335" s="4" t="s">
        <v>2879</v>
      </c>
      <c r="TPH1335" s="4" t="s">
        <v>2879</v>
      </c>
      <c r="TPI1335" s="4" t="s">
        <v>2879</v>
      </c>
      <c r="TPJ1335" s="4" t="s">
        <v>2879</v>
      </c>
      <c r="TPK1335" s="4" t="s">
        <v>2879</v>
      </c>
      <c r="TPL1335" s="4" t="s">
        <v>2879</v>
      </c>
      <c r="TPM1335" s="4" t="s">
        <v>2879</v>
      </c>
      <c r="TPN1335" s="4" t="s">
        <v>2879</v>
      </c>
      <c r="TPO1335" s="4" t="s">
        <v>2879</v>
      </c>
      <c r="TPP1335" s="4" t="s">
        <v>2879</v>
      </c>
      <c r="TPQ1335" s="4" t="s">
        <v>2879</v>
      </c>
      <c r="TPR1335" s="4" t="s">
        <v>2879</v>
      </c>
      <c r="TPS1335" s="4" t="s">
        <v>2879</v>
      </c>
      <c r="TPT1335" s="4" t="s">
        <v>2879</v>
      </c>
      <c r="TPU1335" s="4" t="s">
        <v>2879</v>
      </c>
      <c r="TPV1335" s="4" t="s">
        <v>2879</v>
      </c>
      <c r="TPW1335" s="4" t="s">
        <v>2879</v>
      </c>
      <c r="TPX1335" s="4" t="s">
        <v>2879</v>
      </c>
      <c r="TPY1335" s="4" t="s">
        <v>2879</v>
      </c>
      <c r="TPZ1335" s="4" t="s">
        <v>2879</v>
      </c>
      <c r="TQA1335" s="4" t="s">
        <v>2879</v>
      </c>
      <c r="TQB1335" s="4" t="s">
        <v>2879</v>
      </c>
      <c r="TQC1335" s="4" t="s">
        <v>2879</v>
      </c>
      <c r="TQD1335" s="4" t="s">
        <v>2879</v>
      </c>
      <c r="TQE1335" s="4" t="s">
        <v>2879</v>
      </c>
      <c r="TQF1335" s="4" t="s">
        <v>2879</v>
      </c>
      <c r="TQG1335" s="4" t="s">
        <v>2879</v>
      </c>
      <c r="TQH1335" s="4" t="s">
        <v>2879</v>
      </c>
      <c r="TQI1335" s="4" t="s">
        <v>2879</v>
      </c>
      <c r="TQJ1335" s="4" t="s">
        <v>2879</v>
      </c>
      <c r="TQK1335" s="4" t="s">
        <v>2879</v>
      </c>
      <c r="TQL1335" s="4" t="s">
        <v>2879</v>
      </c>
      <c r="TQM1335" s="4" t="s">
        <v>2879</v>
      </c>
      <c r="TQN1335" s="4" t="s">
        <v>2879</v>
      </c>
      <c r="TQO1335" s="4" t="s">
        <v>2879</v>
      </c>
      <c r="TQP1335" s="4" t="s">
        <v>2879</v>
      </c>
      <c r="TQQ1335" s="4" t="s">
        <v>2879</v>
      </c>
      <c r="TQR1335" s="4" t="s">
        <v>2879</v>
      </c>
      <c r="TQS1335" s="4" t="s">
        <v>2879</v>
      </c>
      <c r="TQT1335" s="4" t="s">
        <v>2879</v>
      </c>
      <c r="TQU1335" s="4" t="s">
        <v>2879</v>
      </c>
      <c r="TQV1335" s="4" t="s">
        <v>2879</v>
      </c>
      <c r="TQW1335" s="4" t="s">
        <v>2879</v>
      </c>
      <c r="TQX1335" s="4" t="s">
        <v>2879</v>
      </c>
      <c r="TQY1335" s="4" t="s">
        <v>2879</v>
      </c>
      <c r="TQZ1335" s="4" t="s">
        <v>2879</v>
      </c>
      <c r="TRA1335" s="4" t="s">
        <v>2879</v>
      </c>
      <c r="TRB1335" s="4" t="s">
        <v>2879</v>
      </c>
      <c r="TRC1335" s="4" t="s">
        <v>2879</v>
      </c>
      <c r="TRD1335" s="4" t="s">
        <v>2879</v>
      </c>
      <c r="TRE1335" s="4" t="s">
        <v>2879</v>
      </c>
      <c r="TRF1335" s="4" t="s">
        <v>2879</v>
      </c>
      <c r="TRG1335" s="4" t="s">
        <v>2879</v>
      </c>
      <c r="TRH1335" s="4" t="s">
        <v>2879</v>
      </c>
      <c r="TRI1335" s="4" t="s">
        <v>2879</v>
      </c>
      <c r="TRJ1335" s="4" t="s">
        <v>2879</v>
      </c>
      <c r="TRK1335" s="4" t="s">
        <v>2879</v>
      </c>
      <c r="TRL1335" s="4" t="s">
        <v>2879</v>
      </c>
      <c r="TRM1335" s="4" t="s">
        <v>2879</v>
      </c>
      <c r="TRN1335" s="4" t="s">
        <v>2879</v>
      </c>
      <c r="TRO1335" s="4" t="s">
        <v>2879</v>
      </c>
      <c r="TRP1335" s="4" t="s">
        <v>2879</v>
      </c>
      <c r="TRQ1335" s="4" t="s">
        <v>2879</v>
      </c>
      <c r="TRR1335" s="4" t="s">
        <v>2879</v>
      </c>
      <c r="TRS1335" s="4" t="s">
        <v>2879</v>
      </c>
      <c r="TRT1335" s="4" t="s">
        <v>2879</v>
      </c>
      <c r="TRU1335" s="4" t="s">
        <v>2879</v>
      </c>
      <c r="TRV1335" s="4" t="s">
        <v>2879</v>
      </c>
      <c r="TRW1335" s="4" t="s">
        <v>2879</v>
      </c>
      <c r="TRX1335" s="4" t="s">
        <v>2879</v>
      </c>
      <c r="TRY1335" s="4" t="s">
        <v>2879</v>
      </c>
      <c r="TRZ1335" s="4" t="s">
        <v>2879</v>
      </c>
      <c r="TSA1335" s="4" t="s">
        <v>2879</v>
      </c>
      <c r="TSB1335" s="4" t="s">
        <v>2879</v>
      </c>
      <c r="TSC1335" s="4" t="s">
        <v>2879</v>
      </c>
      <c r="TSD1335" s="4" t="s">
        <v>2879</v>
      </c>
      <c r="TSE1335" s="4" t="s">
        <v>2879</v>
      </c>
      <c r="TSF1335" s="4" t="s">
        <v>2879</v>
      </c>
      <c r="TSG1335" s="4" t="s">
        <v>2879</v>
      </c>
      <c r="TSH1335" s="4" t="s">
        <v>2879</v>
      </c>
      <c r="TSI1335" s="4" t="s">
        <v>2879</v>
      </c>
      <c r="TSJ1335" s="4" t="s">
        <v>2879</v>
      </c>
      <c r="TSK1335" s="4" t="s">
        <v>2879</v>
      </c>
      <c r="TSL1335" s="4" t="s">
        <v>2879</v>
      </c>
      <c r="TSM1335" s="4" t="s">
        <v>2879</v>
      </c>
      <c r="TSN1335" s="4" t="s">
        <v>2879</v>
      </c>
      <c r="TSO1335" s="4" t="s">
        <v>2879</v>
      </c>
      <c r="TSP1335" s="4" t="s">
        <v>2879</v>
      </c>
      <c r="TSQ1335" s="4" t="s">
        <v>2879</v>
      </c>
      <c r="TSR1335" s="4" t="s">
        <v>2879</v>
      </c>
      <c r="TSS1335" s="4" t="s">
        <v>2879</v>
      </c>
      <c r="TST1335" s="4" t="s">
        <v>2879</v>
      </c>
      <c r="TSU1335" s="4" t="s">
        <v>2879</v>
      </c>
      <c r="TSV1335" s="4" t="s">
        <v>2879</v>
      </c>
      <c r="TSW1335" s="4" t="s">
        <v>2879</v>
      </c>
      <c r="TSX1335" s="4" t="s">
        <v>2879</v>
      </c>
      <c r="TSY1335" s="4" t="s">
        <v>2879</v>
      </c>
      <c r="TSZ1335" s="4" t="s">
        <v>2879</v>
      </c>
      <c r="TTA1335" s="4" t="s">
        <v>2879</v>
      </c>
      <c r="TTB1335" s="4" t="s">
        <v>2879</v>
      </c>
      <c r="TTC1335" s="4" t="s">
        <v>2879</v>
      </c>
      <c r="TTD1335" s="4" t="s">
        <v>2879</v>
      </c>
      <c r="TTE1335" s="4" t="s">
        <v>2879</v>
      </c>
      <c r="TTF1335" s="4" t="s">
        <v>2879</v>
      </c>
      <c r="TTG1335" s="4" t="s">
        <v>2879</v>
      </c>
      <c r="TTH1335" s="4" t="s">
        <v>2879</v>
      </c>
      <c r="TTI1335" s="4" t="s">
        <v>2879</v>
      </c>
      <c r="TTJ1335" s="4" t="s">
        <v>2879</v>
      </c>
      <c r="TTK1335" s="4" t="s">
        <v>2879</v>
      </c>
      <c r="TTL1335" s="4" t="s">
        <v>2879</v>
      </c>
      <c r="TTM1335" s="4" t="s">
        <v>2879</v>
      </c>
      <c r="TTN1335" s="4" t="s">
        <v>2879</v>
      </c>
      <c r="TTO1335" s="4" t="s">
        <v>2879</v>
      </c>
      <c r="TTP1335" s="4" t="s">
        <v>2879</v>
      </c>
      <c r="TTQ1335" s="4" t="s">
        <v>2879</v>
      </c>
      <c r="TTR1335" s="4" t="s">
        <v>2879</v>
      </c>
      <c r="TTS1335" s="4" t="s">
        <v>2879</v>
      </c>
      <c r="TTT1335" s="4" t="s">
        <v>2879</v>
      </c>
      <c r="TTU1335" s="4" t="s">
        <v>2879</v>
      </c>
      <c r="TTV1335" s="4" t="s">
        <v>2879</v>
      </c>
      <c r="TTW1335" s="4" t="s">
        <v>2879</v>
      </c>
      <c r="TTX1335" s="4" t="s">
        <v>2879</v>
      </c>
      <c r="TTY1335" s="4" t="s">
        <v>2879</v>
      </c>
      <c r="TTZ1335" s="4" t="s">
        <v>2879</v>
      </c>
      <c r="TUA1335" s="4" t="s">
        <v>2879</v>
      </c>
      <c r="TUB1335" s="4" t="s">
        <v>2879</v>
      </c>
      <c r="TUC1335" s="4" t="s">
        <v>2879</v>
      </c>
      <c r="TUD1335" s="4" t="s">
        <v>2879</v>
      </c>
      <c r="TUE1335" s="4" t="s">
        <v>2879</v>
      </c>
      <c r="TUF1335" s="4" t="s">
        <v>2879</v>
      </c>
      <c r="TUG1335" s="4" t="s">
        <v>2879</v>
      </c>
      <c r="TUH1335" s="4" t="s">
        <v>2879</v>
      </c>
      <c r="TUI1335" s="4" t="s">
        <v>2879</v>
      </c>
      <c r="TUJ1335" s="4" t="s">
        <v>2879</v>
      </c>
      <c r="TUK1335" s="4" t="s">
        <v>2879</v>
      </c>
      <c r="TUL1335" s="4" t="s">
        <v>2879</v>
      </c>
      <c r="TUM1335" s="4" t="s">
        <v>2879</v>
      </c>
      <c r="TUN1335" s="4" t="s">
        <v>2879</v>
      </c>
      <c r="TUO1335" s="4" t="s">
        <v>2879</v>
      </c>
      <c r="TUP1335" s="4" t="s">
        <v>2879</v>
      </c>
      <c r="TUQ1335" s="4" t="s">
        <v>2879</v>
      </c>
      <c r="TUR1335" s="4" t="s">
        <v>2879</v>
      </c>
      <c r="TUS1335" s="4" t="s">
        <v>2879</v>
      </c>
      <c r="TUT1335" s="4" t="s">
        <v>2879</v>
      </c>
      <c r="TUU1335" s="4" t="s">
        <v>2879</v>
      </c>
      <c r="TUV1335" s="4" t="s">
        <v>2879</v>
      </c>
      <c r="TUW1335" s="4" t="s">
        <v>2879</v>
      </c>
      <c r="TUX1335" s="4" t="s">
        <v>2879</v>
      </c>
      <c r="TUY1335" s="4" t="s">
        <v>2879</v>
      </c>
      <c r="TUZ1335" s="4" t="s">
        <v>2879</v>
      </c>
      <c r="TVA1335" s="4" t="s">
        <v>2879</v>
      </c>
      <c r="TVB1335" s="4" t="s">
        <v>2879</v>
      </c>
      <c r="TVC1335" s="4" t="s">
        <v>2879</v>
      </c>
      <c r="TVD1335" s="4" t="s">
        <v>2879</v>
      </c>
      <c r="TVE1335" s="4" t="s">
        <v>2879</v>
      </c>
      <c r="TVF1335" s="4" t="s">
        <v>2879</v>
      </c>
      <c r="TVG1335" s="4" t="s">
        <v>2879</v>
      </c>
      <c r="TVH1335" s="4" t="s">
        <v>2879</v>
      </c>
      <c r="TVI1335" s="4" t="s">
        <v>2879</v>
      </c>
      <c r="TVJ1335" s="4" t="s">
        <v>2879</v>
      </c>
      <c r="TVK1335" s="4" t="s">
        <v>2879</v>
      </c>
      <c r="TVL1335" s="4" t="s">
        <v>2879</v>
      </c>
      <c r="TVM1335" s="4" t="s">
        <v>2879</v>
      </c>
      <c r="TVN1335" s="4" t="s">
        <v>2879</v>
      </c>
      <c r="TVO1335" s="4" t="s">
        <v>2879</v>
      </c>
      <c r="TVP1335" s="4" t="s">
        <v>2879</v>
      </c>
      <c r="TVQ1335" s="4" t="s">
        <v>2879</v>
      </c>
      <c r="TVR1335" s="4" t="s">
        <v>2879</v>
      </c>
      <c r="TVS1335" s="4" t="s">
        <v>2879</v>
      </c>
      <c r="TVT1335" s="4" t="s">
        <v>2879</v>
      </c>
      <c r="TVU1335" s="4" t="s">
        <v>2879</v>
      </c>
      <c r="TVV1335" s="4" t="s">
        <v>2879</v>
      </c>
      <c r="TVW1335" s="4" t="s">
        <v>2879</v>
      </c>
      <c r="TVX1335" s="4" t="s">
        <v>2879</v>
      </c>
      <c r="TVY1335" s="4" t="s">
        <v>2879</v>
      </c>
      <c r="TVZ1335" s="4" t="s">
        <v>2879</v>
      </c>
      <c r="TWA1335" s="4" t="s">
        <v>2879</v>
      </c>
      <c r="TWB1335" s="4" t="s">
        <v>2879</v>
      </c>
      <c r="TWC1335" s="4" t="s">
        <v>2879</v>
      </c>
      <c r="TWD1335" s="4" t="s">
        <v>2879</v>
      </c>
      <c r="TWE1335" s="4" t="s">
        <v>2879</v>
      </c>
      <c r="TWF1335" s="4" t="s">
        <v>2879</v>
      </c>
      <c r="TWG1335" s="4" t="s">
        <v>2879</v>
      </c>
      <c r="TWH1335" s="4" t="s">
        <v>2879</v>
      </c>
      <c r="TWI1335" s="4" t="s">
        <v>2879</v>
      </c>
      <c r="TWJ1335" s="4" t="s">
        <v>2879</v>
      </c>
      <c r="TWK1335" s="4" t="s">
        <v>2879</v>
      </c>
      <c r="TWL1335" s="4" t="s">
        <v>2879</v>
      </c>
      <c r="TWM1335" s="4" t="s">
        <v>2879</v>
      </c>
      <c r="TWN1335" s="4" t="s">
        <v>2879</v>
      </c>
      <c r="TWO1335" s="4" t="s">
        <v>2879</v>
      </c>
      <c r="TWP1335" s="4" t="s">
        <v>2879</v>
      </c>
      <c r="TWQ1335" s="4" t="s">
        <v>2879</v>
      </c>
      <c r="TWR1335" s="4" t="s">
        <v>2879</v>
      </c>
      <c r="TWS1335" s="4" t="s">
        <v>2879</v>
      </c>
      <c r="TWT1335" s="4" t="s">
        <v>2879</v>
      </c>
      <c r="TWU1335" s="4" t="s">
        <v>2879</v>
      </c>
      <c r="TWV1335" s="4" t="s">
        <v>2879</v>
      </c>
      <c r="TWW1335" s="4" t="s">
        <v>2879</v>
      </c>
      <c r="TWX1335" s="4" t="s">
        <v>2879</v>
      </c>
      <c r="TWY1335" s="4" t="s">
        <v>2879</v>
      </c>
      <c r="TWZ1335" s="4" t="s">
        <v>2879</v>
      </c>
      <c r="TXA1335" s="4" t="s">
        <v>2879</v>
      </c>
      <c r="TXB1335" s="4" t="s">
        <v>2879</v>
      </c>
      <c r="TXC1335" s="4" t="s">
        <v>2879</v>
      </c>
      <c r="TXD1335" s="4" t="s">
        <v>2879</v>
      </c>
      <c r="TXE1335" s="4" t="s">
        <v>2879</v>
      </c>
      <c r="TXF1335" s="4" t="s">
        <v>2879</v>
      </c>
      <c r="TXG1335" s="4" t="s">
        <v>2879</v>
      </c>
      <c r="TXH1335" s="4" t="s">
        <v>2879</v>
      </c>
      <c r="TXI1335" s="4" t="s">
        <v>2879</v>
      </c>
      <c r="TXJ1335" s="4" t="s">
        <v>2879</v>
      </c>
      <c r="TXK1335" s="4" t="s">
        <v>2879</v>
      </c>
      <c r="TXL1335" s="4" t="s">
        <v>2879</v>
      </c>
      <c r="TXM1335" s="4" t="s">
        <v>2879</v>
      </c>
      <c r="TXN1335" s="4" t="s">
        <v>2879</v>
      </c>
      <c r="TXO1335" s="4" t="s">
        <v>2879</v>
      </c>
      <c r="TXP1335" s="4" t="s">
        <v>2879</v>
      </c>
      <c r="TXQ1335" s="4" t="s">
        <v>2879</v>
      </c>
      <c r="TXR1335" s="4" t="s">
        <v>2879</v>
      </c>
      <c r="TXS1335" s="4" t="s">
        <v>2879</v>
      </c>
      <c r="TXT1335" s="4" t="s">
        <v>2879</v>
      </c>
      <c r="TXU1335" s="4" t="s">
        <v>2879</v>
      </c>
      <c r="TXV1335" s="4" t="s">
        <v>2879</v>
      </c>
      <c r="TXW1335" s="4" t="s">
        <v>2879</v>
      </c>
      <c r="TXX1335" s="4" t="s">
        <v>2879</v>
      </c>
      <c r="TXY1335" s="4" t="s">
        <v>2879</v>
      </c>
      <c r="TXZ1335" s="4" t="s">
        <v>2879</v>
      </c>
      <c r="TYA1335" s="4" t="s">
        <v>2879</v>
      </c>
      <c r="TYB1335" s="4" t="s">
        <v>2879</v>
      </c>
      <c r="TYC1335" s="4" t="s">
        <v>2879</v>
      </c>
      <c r="TYD1335" s="4" t="s">
        <v>2879</v>
      </c>
      <c r="TYE1335" s="4" t="s">
        <v>2879</v>
      </c>
      <c r="TYF1335" s="4" t="s">
        <v>2879</v>
      </c>
      <c r="TYG1335" s="4" t="s">
        <v>2879</v>
      </c>
      <c r="TYH1335" s="4" t="s">
        <v>2879</v>
      </c>
      <c r="TYI1335" s="4" t="s">
        <v>2879</v>
      </c>
      <c r="TYJ1335" s="4" t="s">
        <v>2879</v>
      </c>
      <c r="TYK1335" s="4" t="s">
        <v>2879</v>
      </c>
      <c r="TYL1335" s="4" t="s">
        <v>2879</v>
      </c>
      <c r="TYM1335" s="4" t="s">
        <v>2879</v>
      </c>
      <c r="TYN1335" s="4" t="s">
        <v>2879</v>
      </c>
      <c r="TYO1335" s="4" t="s">
        <v>2879</v>
      </c>
      <c r="TYP1335" s="4" t="s">
        <v>2879</v>
      </c>
      <c r="TYQ1335" s="4" t="s">
        <v>2879</v>
      </c>
      <c r="TYR1335" s="4" t="s">
        <v>2879</v>
      </c>
      <c r="TYS1335" s="4" t="s">
        <v>2879</v>
      </c>
      <c r="TYT1335" s="4" t="s">
        <v>2879</v>
      </c>
      <c r="TYU1335" s="4" t="s">
        <v>2879</v>
      </c>
      <c r="TYV1335" s="4" t="s">
        <v>2879</v>
      </c>
      <c r="TYW1335" s="4" t="s">
        <v>2879</v>
      </c>
      <c r="TYX1335" s="4" t="s">
        <v>2879</v>
      </c>
      <c r="TYY1335" s="4" t="s">
        <v>2879</v>
      </c>
      <c r="TYZ1335" s="4" t="s">
        <v>2879</v>
      </c>
      <c r="TZA1335" s="4" t="s">
        <v>2879</v>
      </c>
      <c r="TZB1335" s="4" t="s">
        <v>2879</v>
      </c>
      <c r="TZC1335" s="4" t="s">
        <v>2879</v>
      </c>
      <c r="TZD1335" s="4" t="s">
        <v>2879</v>
      </c>
      <c r="TZE1335" s="4" t="s">
        <v>2879</v>
      </c>
      <c r="TZF1335" s="4" t="s">
        <v>2879</v>
      </c>
      <c r="TZG1335" s="4" t="s">
        <v>2879</v>
      </c>
      <c r="TZH1335" s="4" t="s">
        <v>2879</v>
      </c>
      <c r="TZI1335" s="4" t="s">
        <v>2879</v>
      </c>
      <c r="TZJ1335" s="4" t="s">
        <v>2879</v>
      </c>
      <c r="TZK1335" s="4" t="s">
        <v>2879</v>
      </c>
      <c r="TZL1335" s="4" t="s">
        <v>2879</v>
      </c>
      <c r="TZM1335" s="4" t="s">
        <v>2879</v>
      </c>
      <c r="TZN1335" s="4" t="s">
        <v>2879</v>
      </c>
      <c r="TZO1335" s="4" t="s">
        <v>2879</v>
      </c>
      <c r="TZP1335" s="4" t="s">
        <v>2879</v>
      </c>
      <c r="TZQ1335" s="4" t="s">
        <v>2879</v>
      </c>
      <c r="TZR1335" s="4" t="s">
        <v>2879</v>
      </c>
      <c r="TZS1335" s="4" t="s">
        <v>2879</v>
      </c>
      <c r="TZT1335" s="4" t="s">
        <v>2879</v>
      </c>
      <c r="TZU1335" s="4" t="s">
        <v>2879</v>
      </c>
      <c r="TZV1335" s="4" t="s">
        <v>2879</v>
      </c>
      <c r="TZW1335" s="4" t="s">
        <v>2879</v>
      </c>
      <c r="TZX1335" s="4" t="s">
        <v>2879</v>
      </c>
      <c r="TZY1335" s="4" t="s">
        <v>2879</v>
      </c>
      <c r="TZZ1335" s="4" t="s">
        <v>2879</v>
      </c>
      <c r="UAA1335" s="4" t="s">
        <v>2879</v>
      </c>
      <c r="UAB1335" s="4" t="s">
        <v>2879</v>
      </c>
      <c r="UAC1335" s="4" t="s">
        <v>2879</v>
      </c>
      <c r="UAD1335" s="4" t="s">
        <v>2879</v>
      </c>
      <c r="UAE1335" s="4" t="s">
        <v>2879</v>
      </c>
      <c r="UAF1335" s="4" t="s">
        <v>2879</v>
      </c>
      <c r="UAG1335" s="4" t="s">
        <v>2879</v>
      </c>
      <c r="UAH1335" s="4" t="s">
        <v>2879</v>
      </c>
      <c r="UAI1335" s="4" t="s">
        <v>2879</v>
      </c>
      <c r="UAJ1335" s="4" t="s">
        <v>2879</v>
      </c>
      <c r="UAK1335" s="4" t="s">
        <v>2879</v>
      </c>
      <c r="UAL1335" s="4" t="s">
        <v>2879</v>
      </c>
      <c r="UAM1335" s="4" t="s">
        <v>2879</v>
      </c>
      <c r="UAN1335" s="4" t="s">
        <v>2879</v>
      </c>
      <c r="UAO1335" s="4" t="s">
        <v>2879</v>
      </c>
      <c r="UAP1335" s="4" t="s">
        <v>2879</v>
      </c>
      <c r="UAQ1335" s="4" t="s">
        <v>2879</v>
      </c>
      <c r="UAR1335" s="4" t="s">
        <v>2879</v>
      </c>
      <c r="UAS1335" s="4" t="s">
        <v>2879</v>
      </c>
      <c r="UAT1335" s="4" t="s">
        <v>2879</v>
      </c>
      <c r="UAU1335" s="4" t="s">
        <v>2879</v>
      </c>
      <c r="UAV1335" s="4" t="s">
        <v>2879</v>
      </c>
      <c r="UAW1335" s="4" t="s">
        <v>2879</v>
      </c>
      <c r="UAX1335" s="4" t="s">
        <v>2879</v>
      </c>
      <c r="UAY1335" s="4" t="s">
        <v>2879</v>
      </c>
      <c r="UAZ1335" s="4" t="s">
        <v>2879</v>
      </c>
      <c r="UBA1335" s="4" t="s">
        <v>2879</v>
      </c>
      <c r="UBB1335" s="4" t="s">
        <v>2879</v>
      </c>
      <c r="UBC1335" s="4" t="s">
        <v>2879</v>
      </c>
      <c r="UBD1335" s="4" t="s">
        <v>2879</v>
      </c>
      <c r="UBE1335" s="4" t="s">
        <v>2879</v>
      </c>
      <c r="UBF1335" s="4" t="s">
        <v>2879</v>
      </c>
      <c r="UBG1335" s="4" t="s">
        <v>2879</v>
      </c>
      <c r="UBH1335" s="4" t="s">
        <v>2879</v>
      </c>
      <c r="UBI1335" s="4" t="s">
        <v>2879</v>
      </c>
      <c r="UBJ1335" s="4" t="s">
        <v>2879</v>
      </c>
      <c r="UBK1335" s="4" t="s">
        <v>2879</v>
      </c>
      <c r="UBL1335" s="4" t="s">
        <v>2879</v>
      </c>
      <c r="UBM1335" s="4" t="s">
        <v>2879</v>
      </c>
      <c r="UBN1335" s="4" t="s">
        <v>2879</v>
      </c>
      <c r="UBO1335" s="4" t="s">
        <v>2879</v>
      </c>
      <c r="UBP1335" s="4" t="s">
        <v>2879</v>
      </c>
      <c r="UBQ1335" s="4" t="s">
        <v>2879</v>
      </c>
      <c r="UBR1335" s="4" t="s">
        <v>2879</v>
      </c>
      <c r="UBS1335" s="4" t="s">
        <v>2879</v>
      </c>
      <c r="UBT1335" s="4" t="s">
        <v>2879</v>
      </c>
      <c r="UBU1335" s="4" t="s">
        <v>2879</v>
      </c>
      <c r="UBV1335" s="4" t="s">
        <v>2879</v>
      </c>
      <c r="UBW1335" s="4" t="s">
        <v>2879</v>
      </c>
      <c r="UBX1335" s="4" t="s">
        <v>2879</v>
      </c>
      <c r="UBY1335" s="4" t="s">
        <v>2879</v>
      </c>
      <c r="UBZ1335" s="4" t="s">
        <v>2879</v>
      </c>
      <c r="UCA1335" s="4" t="s">
        <v>2879</v>
      </c>
      <c r="UCB1335" s="4" t="s">
        <v>2879</v>
      </c>
      <c r="UCC1335" s="4" t="s">
        <v>2879</v>
      </c>
      <c r="UCD1335" s="4" t="s">
        <v>2879</v>
      </c>
      <c r="UCE1335" s="4" t="s">
        <v>2879</v>
      </c>
      <c r="UCF1335" s="4" t="s">
        <v>2879</v>
      </c>
      <c r="UCG1335" s="4" t="s">
        <v>2879</v>
      </c>
      <c r="UCH1335" s="4" t="s">
        <v>2879</v>
      </c>
      <c r="UCI1335" s="4" t="s">
        <v>2879</v>
      </c>
      <c r="UCJ1335" s="4" t="s">
        <v>2879</v>
      </c>
      <c r="UCK1335" s="4" t="s">
        <v>2879</v>
      </c>
      <c r="UCL1335" s="4" t="s">
        <v>2879</v>
      </c>
      <c r="UCM1335" s="4" t="s">
        <v>2879</v>
      </c>
      <c r="UCN1335" s="4" t="s">
        <v>2879</v>
      </c>
      <c r="UCO1335" s="4" t="s">
        <v>2879</v>
      </c>
      <c r="UCP1335" s="4" t="s">
        <v>2879</v>
      </c>
      <c r="UCQ1335" s="4" t="s">
        <v>2879</v>
      </c>
      <c r="UCR1335" s="4" t="s">
        <v>2879</v>
      </c>
      <c r="UCS1335" s="4" t="s">
        <v>2879</v>
      </c>
      <c r="UCT1335" s="4" t="s">
        <v>2879</v>
      </c>
      <c r="UCU1335" s="4" t="s">
        <v>2879</v>
      </c>
      <c r="UCV1335" s="4" t="s">
        <v>2879</v>
      </c>
      <c r="UCW1335" s="4" t="s">
        <v>2879</v>
      </c>
      <c r="UCX1335" s="4" t="s">
        <v>2879</v>
      </c>
      <c r="UCY1335" s="4" t="s">
        <v>2879</v>
      </c>
      <c r="UCZ1335" s="4" t="s">
        <v>2879</v>
      </c>
      <c r="UDA1335" s="4" t="s">
        <v>2879</v>
      </c>
      <c r="UDB1335" s="4" t="s">
        <v>2879</v>
      </c>
      <c r="UDC1335" s="4" t="s">
        <v>2879</v>
      </c>
      <c r="UDD1335" s="4" t="s">
        <v>2879</v>
      </c>
      <c r="UDE1335" s="4" t="s">
        <v>2879</v>
      </c>
      <c r="UDF1335" s="4" t="s">
        <v>2879</v>
      </c>
      <c r="UDG1335" s="4" t="s">
        <v>2879</v>
      </c>
      <c r="UDH1335" s="4" t="s">
        <v>2879</v>
      </c>
      <c r="UDI1335" s="4" t="s">
        <v>2879</v>
      </c>
      <c r="UDJ1335" s="4" t="s">
        <v>2879</v>
      </c>
      <c r="UDK1335" s="4" t="s">
        <v>2879</v>
      </c>
      <c r="UDL1335" s="4" t="s">
        <v>2879</v>
      </c>
      <c r="UDM1335" s="4" t="s">
        <v>2879</v>
      </c>
      <c r="UDN1335" s="4" t="s">
        <v>2879</v>
      </c>
      <c r="UDO1335" s="4" t="s">
        <v>2879</v>
      </c>
      <c r="UDP1335" s="4" t="s">
        <v>2879</v>
      </c>
      <c r="UDQ1335" s="4" t="s">
        <v>2879</v>
      </c>
      <c r="UDR1335" s="4" t="s">
        <v>2879</v>
      </c>
      <c r="UDS1335" s="4" t="s">
        <v>2879</v>
      </c>
      <c r="UDT1335" s="4" t="s">
        <v>2879</v>
      </c>
      <c r="UDU1335" s="4" t="s">
        <v>2879</v>
      </c>
      <c r="UDV1335" s="4" t="s">
        <v>2879</v>
      </c>
      <c r="UDW1335" s="4" t="s">
        <v>2879</v>
      </c>
      <c r="UDX1335" s="4" t="s">
        <v>2879</v>
      </c>
      <c r="UDY1335" s="4" t="s">
        <v>2879</v>
      </c>
      <c r="UDZ1335" s="4" t="s">
        <v>2879</v>
      </c>
      <c r="UEA1335" s="4" t="s">
        <v>2879</v>
      </c>
      <c r="UEB1335" s="4" t="s">
        <v>2879</v>
      </c>
      <c r="UEC1335" s="4" t="s">
        <v>2879</v>
      </c>
      <c r="UED1335" s="4" t="s">
        <v>2879</v>
      </c>
      <c r="UEE1335" s="4" t="s">
        <v>2879</v>
      </c>
      <c r="UEF1335" s="4" t="s">
        <v>2879</v>
      </c>
      <c r="UEG1335" s="4" t="s">
        <v>2879</v>
      </c>
      <c r="UEH1335" s="4" t="s">
        <v>2879</v>
      </c>
      <c r="UEI1335" s="4" t="s">
        <v>2879</v>
      </c>
      <c r="UEJ1335" s="4" t="s">
        <v>2879</v>
      </c>
      <c r="UEK1335" s="4" t="s">
        <v>2879</v>
      </c>
      <c r="UEL1335" s="4" t="s">
        <v>2879</v>
      </c>
      <c r="UEM1335" s="4" t="s">
        <v>2879</v>
      </c>
      <c r="UEN1335" s="4" t="s">
        <v>2879</v>
      </c>
      <c r="UEO1335" s="4" t="s">
        <v>2879</v>
      </c>
      <c r="UEP1335" s="4" t="s">
        <v>2879</v>
      </c>
      <c r="UEQ1335" s="4" t="s">
        <v>2879</v>
      </c>
      <c r="UER1335" s="4" t="s">
        <v>2879</v>
      </c>
      <c r="UES1335" s="4" t="s">
        <v>2879</v>
      </c>
      <c r="UET1335" s="4" t="s">
        <v>2879</v>
      </c>
      <c r="UEU1335" s="4" t="s">
        <v>2879</v>
      </c>
      <c r="UEV1335" s="4" t="s">
        <v>2879</v>
      </c>
      <c r="UEW1335" s="4" t="s">
        <v>2879</v>
      </c>
      <c r="UEX1335" s="4" t="s">
        <v>2879</v>
      </c>
      <c r="UEY1335" s="4" t="s">
        <v>2879</v>
      </c>
      <c r="UEZ1335" s="4" t="s">
        <v>2879</v>
      </c>
      <c r="UFA1335" s="4" t="s">
        <v>2879</v>
      </c>
      <c r="UFB1335" s="4" t="s">
        <v>2879</v>
      </c>
      <c r="UFC1335" s="4" t="s">
        <v>2879</v>
      </c>
      <c r="UFD1335" s="4" t="s">
        <v>2879</v>
      </c>
      <c r="UFE1335" s="4" t="s">
        <v>2879</v>
      </c>
      <c r="UFF1335" s="4" t="s">
        <v>2879</v>
      </c>
      <c r="UFG1335" s="4" t="s">
        <v>2879</v>
      </c>
      <c r="UFH1335" s="4" t="s">
        <v>2879</v>
      </c>
      <c r="UFI1335" s="4" t="s">
        <v>2879</v>
      </c>
      <c r="UFJ1335" s="4" t="s">
        <v>2879</v>
      </c>
      <c r="UFK1335" s="4" t="s">
        <v>2879</v>
      </c>
      <c r="UFL1335" s="4" t="s">
        <v>2879</v>
      </c>
      <c r="UFM1335" s="4" t="s">
        <v>2879</v>
      </c>
      <c r="UFN1335" s="4" t="s">
        <v>2879</v>
      </c>
      <c r="UFO1335" s="4" t="s">
        <v>2879</v>
      </c>
      <c r="UFP1335" s="4" t="s">
        <v>2879</v>
      </c>
      <c r="UFQ1335" s="4" t="s">
        <v>2879</v>
      </c>
      <c r="UFR1335" s="4" t="s">
        <v>2879</v>
      </c>
      <c r="UFS1335" s="4" t="s">
        <v>2879</v>
      </c>
      <c r="UFT1335" s="4" t="s">
        <v>2879</v>
      </c>
      <c r="UFU1335" s="4" t="s">
        <v>2879</v>
      </c>
      <c r="UFV1335" s="4" t="s">
        <v>2879</v>
      </c>
      <c r="UFW1335" s="4" t="s">
        <v>2879</v>
      </c>
      <c r="UFX1335" s="4" t="s">
        <v>2879</v>
      </c>
      <c r="UFY1335" s="4" t="s">
        <v>2879</v>
      </c>
      <c r="UFZ1335" s="4" t="s">
        <v>2879</v>
      </c>
      <c r="UGA1335" s="4" t="s">
        <v>2879</v>
      </c>
      <c r="UGB1335" s="4" t="s">
        <v>2879</v>
      </c>
      <c r="UGC1335" s="4" t="s">
        <v>2879</v>
      </c>
      <c r="UGD1335" s="4" t="s">
        <v>2879</v>
      </c>
      <c r="UGE1335" s="4" t="s">
        <v>2879</v>
      </c>
      <c r="UGF1335" s="4" t="s">
        <v>2879</v>
      </c>
      <c r="UGG1335" s="4" t="s">
        <v>2879</v>
      </c>
      <c r="UGH1335" s="4" t="s">
        <v>2879</v>
      </c>
      <c r="UGI1335" s="4" t="s">
        <v>2879</v>
      </c>
      <c r="UGJ1335" s="4" t="s">
        <v>2879</v>
      </c>
      <c r="UGK1335" s="4" t="s">
        <v>2879</v>
      </c>
      <c r="UGL1335" s="4" t="s">
        <v>2879</v>
      </c>
      <c r="UGM1335" s="4" t="s">
        <v>2879</v>
      </c>
      <c r="UGN1335" s="4" t="s">
        <v>2879</v>
      </c>
      <c r="UGO1335" s="4" t="s">
        <v>2879</v>
      </c>
      <c r="UGP1335" s="4" t="s">
        <v>2879</v>
      </c>
      <c r="UGQ1335" s="4" t="s">
        <v>2879</v>
      </c>
      <c r="UGR1335" s="4" t="s">
        <v>2879</v>
      </c>
      <c r="UGS1335" s="4" t="s">
        <v>2879</v>
      </c>
      <c r="UGT1335" s="4" t="s">
        <v>2879</v>
      </c>
      <c r="UGU1335" s="4" t="s">
        <v>2879</v>
      </c>
      <c r="UGV1335" s="4" t="s">
        <v>2879</v>
      </c>
      <c r="UGW1335" s="4" t="s">
        <v>2879</v>
      </c>
      <c r="UGX1335" s="4" t="s">
        <v>2879</v>
      </c>
      <c r="UGY1335" s="4" t="s">
        <v>2879</v>
      </c>
      <c r="UGZ1335" s="4" t="s">
        <v>2879</v>
      </c>
      <c r="UHA1335" s="4" t="s">
        <v>2879</v>
      </c>
      <c r="UHB1335" s="4" t="s">
        <v>2879</v>
      </c>
      <c r="UHC1335" s="4" t="s">
        <v>2879</v>
      </c>
      <c r="UHD1335" s="4" t="s">
        <v>2879</v>
      </c>
      <c r="UHE1335" s="4" t="s">
        <v>2879</v>
      </c>
      <c r="UHF1335" s="4" t="s">
        <v>2879</v>
      </c>
      <c r="UHG1335" s="4" t="s">
        <v>2879</v>
      </c>
      <c r="UHH1335" s="4" t="s">
        <v>2879</v>
      </c>
      <c r="UHI1335" s="4" t="s">
        <v>2879</v>
      </c>
      <c r="UHJ1335" s="4" t="s">
        <v>2879</v>
      </c>
      <c r="UHK1335" s="4" t="s">
        <v>2879</v>
      </c>
      <c r="UHL1335" s="4" t="s">
        <v>2879</v>
      </c>
      <c r="UHM1335" s="4" t="s">
        <v>2879</v>
      </c>
      <c r="UHN1335" s="4" t="s">
        <v>2879</v>
      </c>
      <c r="UHO1335" s="4" t="s">
        <v>2879</v>
      </c>
      <c r="UHP1335" s="4" t="s">
        <v>2879</v>
      </c>
      <c r="UHQ1335" s="4" t="s">
        <v>2879</v>
      </c>
      <c r="UHR1335" s="4" t="s">
        <v>2879</v>
      </c>
      <c r="UHS1335" s="4" t="s">
        <v>2879</v>
      </c>
      <c r="UHT1335" s="4" t="s">
        <v>2879</v>
      </c>
      <c r="UHU1335" s="4" t="s">
        <v>2879</v>
      </c>
      <c r="UHV1335" s="4" t="s">
        <v>2879</v>
      </c>
      <c r="UHW1335" s="4" t="s">
        <v>2879</v>
      </c>
      <c r="UHX1335" s="4" t="s">
        <v>2879</v>
      </c>
      <c r="UHY1335" s="4" t="s">
        <v>2879</v>
      </c>
      <c r="UHZ1335" s="4" t="s">
        <v>2879</v>
      </c>
      <c r="UIA1335" s="4" t="s">
        <v>2879</v>
      </c>
      <c r="UIB1335" s="4" t="s">
        <v>2879</v>
      </c>
      <c r="UIC1335" s="4" t="s">
        <v>2879</v>
      </c>
      <c r="UID1335" s="4" t="s">
        <v>2879</v>
      </c>
      <c r="UIE1335" s="4" t="s">
        <v>2879</v>
      </c>
      <c r="UIF1335" s="4" t="s">
        <v>2879</v>
      </c>
      <c r="UIG1335" s="4" t="s">
        <v>2879</v>
      </c>
      <c r="UIH1335" s="4" t="s">
        <v>2879</v>
      </c>
      <c r="UII1335" s="4" t="s">
        <v>2879</v>
      </c>
      <c r="UIJ1335" s="4" t="s">
        <v>2879</v>
      </c>
      <c r="UIK1335" s="4" t="s">
        <v>2879</v>
      </c>
      <c r="UIL1335" s="4" t="s">
        <v>2879</v>
      </c>
      <c r="UIM1335" s="4" t="s">
        <v>2879</v>
      </c>
      <c r="UIN1335" s="4" t="s">
        <v>2879</v>
      </c>
      <c r="UIO1335" s="4" t="s">
        <v>2879</v>
      </c>
      <c r="UIP1335" s="4" t="s">
        <v>2879</v>
      </c>
      <c r="UIQ1335" s="4" t="s">
        <v>2879</v>
      </c>
      <c r="UIR1335" s="4" t="s">
        <v>2879</v>
      </c>
      <c r="UIS1335" s="4" t="s">
        <v>2879</v>
      </c>
      <c r="UIT1335" s="4" t="s">
        <v>2879</v>
      </c>
      <c r="UIU1335" s="4" t="s">
        <v>2879</v>
      </c>
      <c r="UIV1335" s="4" t="s">
        <v>2879</v>
      </c>
      <c r="UIW1335" s="4" t="s">
        <v>2879</v>
      </c>
      <c r="UIX1335" s="4" t="s">
        <v>2879</v>
      </c>
      <c r="UIY1335" s="4" t="s">
        <v>2879</v>
      </c>
      <c r="UIZ1335" s="4" t="s">
        <v>2879</v>
      </c>
      <c r="UJA1335" s="4" t="s">
        <v>2879</v>
      </c>
      <c r="UJB1335" s="4" t="s">
        <v>2879</v>
      </c>
      <c r="UJC1335" s="4" t="s">
        <v>2879</v>
      </c>
      <c r="UJD1335" s="4" t="s">
        <v>2879</v>
      </c>
      <c r="UJE1335" s="4" t="s">
        <v>2879</v>
      </c>
      <c r="UJF1335" s="4" t="s">
        <v>2879</v>
      </c>
      <c r="UJG1335" s="4" t="s">
        <v>2879</v>
      </c>
      <c r="UJH1335" s="4" t="s">
        <v>2879</v>
      </c>
      <c r="UJI1335" s="4" t="s">
        <v>2879</v>
      </c>
      <c r="UJJ1335" s="4" t="s">
        <v>2879</v>
      </c>
      <c r="UJK1335" s="4" t="s">
        <v>2879</v>
      </c>
      <c r="UJL1335" s="4" t="s">
        <v>2879</v>
      </c>
      <c r="UJM1335" s="4" t="s">
        <v>2879</v>
      </c>
      <c r="UJN1335" s="4" t="s">
        <v>2879</v>
      </c>
      <c r="UJO1335" s="4" t="s">
        <v>2879</v>
      </c>
      <c r="UJP1335" s="4" t="s">
        <v>2879</v>
      </c>
      <c r="UJQ1335" s="4" t="s">
        <v>2879</v>
      </c>
      <c r="UJR1335" s="4" t="s">
        <v>2879</v>
      </c>
      <c r="UJS1335" s="4" t="s">
        <v>2879</v>
      </c>
      <c r="UJT1335" s="4" t="s">
        <v>2879</v>
      </c>
      <c r="UJU1335" s="4" t="s">
        <v>2879</v>
      </c>
      <c r="UJV1335" s="4" t="s">
        <v>2879</v>
      </c>
      <c r="UJW1335" s="4" t="s">
        <v>2879</v>
      </c>
      <c r="UJX1335" s="4" t="s">
        <v>2879</v>
      </c>
      <c r="UJY1335" s="4" t="s">
        <v>2879</v>
      </c>
      <c r="UJZ1335" s="4" t="s">
        <v>2879</v>
      </c>
      <c r="UKA1335" s="4" t="s">
        <v>2879</v>
      </c>
      <c r="UKB1335" s="4" t="s">
        <v>2879</v>
      </c>
      <c r="UKC1335" s="4" t="s">
        <v>2879</v>
      </c>
      <c r="UKD1335" s="4" t="s">
        <v>2879</v>
      </c>
      <c r="UKE1335" s="4" t="s">
        <v>2879</v>
      </c>
      <c r="UKF1335" s="4" t="s">
        <v>2879</v>
      </c>
      <c r="UKG1335" s="4" t="s">
        <v>2879</v>
      </c>
      <c r="UKH1335" s="4" t="s">
        <v>2879</v>
      </c>
      <c r="UKI1335" s="4" t="s">
        <v>2879</v>
      </c>
      <c r="UKJ1335" s="4" t="s">
        <v>2879</v>
      </c>
      <c r="UKK1335" s="4" t="s">
        <v>2879</v>
      </c>
      <c r="UKL1335" s="4" t="s">
        <v>2879</v>
      </c>
      <c r="UKM1335" s="4" t="s">
        <v>2879</v>
      </c>
      <c r="UKN1335" s="4" t="s">
        <v>2879</v>
      </c>
      <c r="UKO1335" s="4" t="s">
        <v>2879</v>
      </c>
      <c r="UKP1335" s="4" t="s">
        <v>2879</v>
      </c>
      <c r="UKQ1335" s="4" t="s">
        <v>2879</v>
      </c>
      <c r="UKR1335" s="4" t="s">
        <v>2879</v>
      </c>
      <c r="UKS1335" s="4" t="s">
        <v>2879</v>
      </c>
      <c r="UKT1335" s="4" t="s">
        <v>2879</v>
      </c>
      <c r="UKU1335" s="4" t="s">
        <v>2879</v>
      </c>
      <c r="UKV1335" s="4" t="s">
        <v>2879</v>
      </c>
      <c r="UKW1335" s="4" t="s">
        <v>2879</v>
      </c>
      <c r="UKX1335" s="4" t="s">
        <v>2879</v>
      </c>
      <c r="UKY1335" s="4" t="s">
        <v>2879</v>
      </c>
      <c r="UKZ1335" s="4" t="s">
        <v>2879</v>
      </c>
      <c r="ULA1335" s="4" t="s">
        <v>2879</v>
      </c>
      <c r="ULB1335" s="4" t="s">
        <v>2879</v>
      </c>
      <c r="ULC1335" s="4" t="s">
        <v>2879</v>
      </c>
      <c r="ULD1335" s="4" t="s">
        <v>2879</v>
      </c>
      <c r="ULE1335" s="4" t="s">
        <v>2879</v>
      </c>
      <c r="ULF1335" s="4" t="s">
        <v>2879</v>
      </c>
      <c r="ULG1335" s="4" t="s">
        <v>2879</v>
      </c>
      <c r="ULH1335" s="4" t="s">
        <v>2879</v>
      </c>
      <c r="ULI1335" s="4" t="s">
        <v>2879</v>
      </c>
      <c r="ULJ1335" s="4" t="s">
        <v>2879</v>
      </c>
      <c r="ULK1335" s="4" t="s">
        <v>2879</v>
      </c>
      <c r="ULL1335" s="4" t="s">
        <v>2879</v>
      </c>
      <c r="ULM1335" s="4" t="s">
        <v>2879</v>
      </c>
      <c r="ULN1335" s="4" t="s">
        <v>2879</v>
      </c>
      <c r="ULO1335" s="4" t="s">
        <v>2879</v>
      </c>
      <c r="ULP1335" s="4" t="s">
        <v>2879</v>
      </c>
      <c r="ULQ1335" s="4" t="s">
        <v>2879</v>
      </c>
      <c r="ULR1335" s="4" t="s">
        <v>2879</v>
      </c>
      <c r="ULS1335" s="4" t="s">
        <v>2879</v>
      </c>
      <c r="ULT1335" s="4" t="s">
        <v>2879</v>
      </c>
      <c r="ULU1335" s="4" t="s">
        <v>2879</v>
      </c>
      <c r="ULV1335" s="4" t="s">
        <v>2879</v>
      </c>
      <c r="ULW1335" s="4" t="s">
        <v>2879</v>
      </c>
      <c r="ULX1335" s="4" t="s">
        <v>2879</v>
      </c>
      <c r="ULY1335" s="4" t="s">
        <v>2879</v>
      </c>
      <c r="ULZ1335" s="4" t="s">
        <v>2879</v>
      </c>
      <c r="UMA1335" s="4" t="s">
        <v>2879</v>
      </c>
      <c r="UMB1335" s="4" t="s">
        <v>2879</v>
      </c>
      <c r="UMC1335" s="4" t="s">
        <v>2879</v>
      </c>
      <c r="UMD1335" s="4" t="s">
        <v>2879</v>
      </c>
      <c r="UME1335" s="4" t="s">
        <v>2879</v>
      </c>
      <c r="UMF1335" s="4" t="s">
        <v>2879</v>
      </c>
      <c r="UMG1335" s="4" t="s">
        <v>2879</v>
      </c>
      <c r="UMH1335" s="4" t="s">
        <v>2879</v>
      </c>
      <c r="UMI1335" s="4" t="s">
        <v>2879</v>
      </c>
      <c r="UMJ1335" s="4" t="s">
        <v>2879</v>
      </c>
      <c r="UMK1335" s="4" t="s">
        <v>2879</v>
      </c>
      <c r="UML1335" s="4" t="s">
        <v>2879</v>
      </c>
      <c r="UMM1335" s="4" t="s">
        <v>2879</v>
      </c>
      <c r="UMN1335" s="4" t="s">
        <v>2879</v>
      </c>
      <c r="UMO1335" s="4" t="s">
        <v>2879</v>
      </c>
      <c r="UMP1335" s="4" t="s">
        <v>2879</v>
      </c>
      <c r="UMQ1335" s="4" t="s">
        <v>2879</v>
      </c>
      <c r="UMR1335" s="4" t="s">
        <v>2879</v>
      </c>
      <c r="UMS1335" s="4" t="s">
        <v>2879</v>
      </c>
      <c r="UMT1335" s="4" t="s">
        <v>2879</v>
      </c>
      <c r="UMU1335" s="4" t="s">
        <v>2879</v>
      </c>
      <c r="UMV1335" s="4" t="s">
        <v>2879</v>
      </c>
      <c r="UMW1335" s="4" t="s">
        <v>2879</v>
      </c>
      <c r="UMX1335" s="4" t="s">
        <v>2879</v>
      </c>
      <c r="UMY1335" s="4" t="s">
        <v>2879</v>
      </c>
      <c r="UMZ1335" s="4" t="s">
        <v>2879</v>
      </c>
      <c r="UNA1335" s="4" t="s">
        <v>2879</v>
      </c>
      <c r="UNB1335" s="4" t="s">
        <v>2879</v>
      </c>
      <c r="UNC1335" s="4" t="s">
        <v>2879</v>
      </c>
      <c r="UND1335" s="4" t="s">
        <v>2879</v>
      </c>
      <c r="UNE1335" s="4" t="s">
        <v>2879</v>
      </c>
      <c r="UNF1335" s="4" t="s">
        <v>2879</v>
      </c>
      <c r="UNG1335" s="4" t="s">
        <v>2879</v>
      </c>
      <c r="UNH1335" s="4" t="s">
        <v>2879</v>
      </c>
      <c r="UNI1335" s="4" t="s">
        <v>2879</v>
      </c>
      <c r="UNJ1335" s="4" t="s">
        <v>2879</v>
      </c>
      <c r="UNK1335" s="4" t="s">
        <v>2879</v>
      </c>
      <c r="UNL1335" s="4" t="s">
        <v>2879</v>
      </c>
      <c r="UNM1335" s="4" t="s">
        <v>2879</v>
      </c>
      <c r="UNN1335" s="4" t="s">
        <v>2879</v>
      </c>
      <c r="UNO1335" s="4" t="s">
        <v>2879</v>
      </c>
      <c r="UNP1335" s="4" t="s">
        <v>2879</v>
      </c>
      <c r="UNQ1335" s="4" t="s">
        <v>2879</v>
      </c>
      <c r="UNR1335" s="4" t="s">
        <v>2879</v>
      </c>
      <c r="UNS1335" s="4" t="s">
        <v>2879</v>
      </c>
      <c r="UNT1335" s="4" t="s">
        <v>2879</v>
      </c>
      <c r="UNU1335" s="4" t="s">
        <v>2879</v>
      </c>
      <c r="UNV1335" s="4" t="s">
        <v>2879</v>
      </c>
      <c r="UNW1335" s="4" t="s">
        <v>2879</v>
      </c>
      <c r="UNX1335" s="4" t="s">
        <v>2879</v>
      </c>
      <c r="UNY1335" s="4" t="s">
        <v>2879</v>
      </c>
      <c r="UNZ1335" s="4" t="s">
        <v>2879</v>
      </c>
      <c r="UOA1335" s="4" t="s">
        <v>2879</v>
      </c>
      <c r="UOB1335" s="4" t="s">
        <v>2879</v>
      </c>
      <c r="UOC1335" s="4" t="s">
        <v>2879</v>
      </c>
      <c r="UOD1335" s="4" t="s">
        <v>2879</v>
      </c>
      <c r="UOE1335" s="4" t="s">
        <v>2879</v>
      </c>
      <c r="UOF1335" s="4" t="s">
        <v>2879</v>
      </c>
      <c r="UOG1335" s="4" t="s">
        <v>2879</v>
      </c>
      <c r="UOH1335" s="4" t="s">
        <v>2879</v>
      </c>
      <c r="UOI1335" s="4" t="s">
        <v>2879</v>
      </c>
      <c r="UOJ1335" s="4" t="s">
        <v>2879</v>
      </c>
      <c r="UOK1335" s="4" t="s">
        <v>2879</v>
      </c>
      <c r="UOL1335" s="4" t="s">
        <v>2879</v>
      </c>
      <c r="UOM1335" s="4" t="s">
        <v>2879</v>
      </c>
      <c r="UON1335" s="4" t="s">
        <v>2879</v>
      </c>
      <c r="UOO1335" s="4" t="s">
        <v>2879</v>
      </c>
      <c r="UOP1335" s="4" t="s">
        <v>2879</v>
      </c>
      <c r="UOQ1335" s="4" t="s">
        <v>2879</v>
      </c>
      <c r="UOR1335" s="4" t="s">
        <v>2879</v>
      </c>
      <c r="UOS1335" s="4" t="s">
        <v>2879</v>
      </c>
      <c r="UOT1335" s="4" t="s">
        <v>2879</v>
      </c>
      <c r="UOU1335" s="4" t="s">
        <v>2879</v>
      </c>
      <c r="UOV1335" s="4" t="s">
        <v>2879</v>
      </c>
      <c r="UOW1335" s="4" t="s">
        <v>2879</v>
      </c>
      <c r="UOX1335" s="4" t="s">
        <v>2879</v>
      </c>
      <c r="UOY1335" s="4" t="s">
        <v>2879</v>
      </c>
      <c r="UOZ1335" s="4" t="s">
        <v>2879</v>
      </c>
      <c r="UPA1335" s="4" t="s">
        <v>2879</v>
      </c>
      <c r="UPB1335" s="4" t="s">
        <v>2879</v>
      </c>
      <c r="UPC1335" s="4" t="s">
        <v>2879</v>
      </c>
      <c r="UPD1335" s="4" t="s">
        <v>2879</v>
      </c>
      <c r="UPE1335" s="4" t="s">
        <v>2879</v>
      </c>
      <c r="UPF1335" s="4" t="s">
        <v>2879</v>
      </c>
      <c r="UPG1335" s="4" t="s">
        <v>2879</v>
      </c>
      <c r="UPH1335" s="4" t="s">
        <v>2879</v>
      </c>
      <c r="UPI1335" s="4" t="s">
        <v>2879</v>
      </c>
      <c r="UPJ1335" s="4" t="s">
        <v>2879</v>
      </c>
      <c r="UPK1335" s="4" t="s">
        <v>2879</v>
      </c>
      <c r="UPL1335" s="4" t="s">
        <v>2879</v>
      </c>
      <c r="UPM1335" s="4" t="s">
        <v>2879</v>
      </c>
      <c r="UPN1335" s="4" t="s">
        <v>2879</v>
      </c>
      <c r="UPO1335" s="4" t="s">
        <v>2879</v>
      </c>
      <c r="UPP1335" s="4" t="s">
        <v>2879</v>
      </c>
      <c r="UPQ1335" s="4" t="s">
        <v>2879</v>
      </c>
      <c r="UPR1335" s="4" t="s">
        <v>2879</v>
      </c>
      <c r="UPS1335" s="4" t="s">
        <v>2879</v>
      </c>
      <c r="UPT1335" s="4" t="s">
        <v>2879</v>
      </c>
      <c r="UPU1335" s="4" t="s">
        <v>2879</v>
      </c>
      <c r="UPV1335" s="4" t="s">
        <v>2879</v>
      </c>
      <c r="UPW1335" s="4" t="s">
        <v>2879</v>
      </c>
      <c r="UPX1335" s="4" t="s">
        <v>2879</v>
      </c>
      <c r="UPY1335" s="4" t="s">
        <v>2879</v>
      </c>
      <c r="UPZ1335" s="4" t="s">
        <v>2879</v>
      </c>
      <c r="UQA1335" s="4" t="s">
        <v>2879</v>
      </c>
      <c r="UQB1335" s="4" t="s">
        <v>2879</v>
      </c>
      <c r="UQC1335" s="4" t="s">
        <v>2879</v>
      </c>
      <c r="UQD1335" s="4" t="s">
        <v>2879</v>
      </c>
      <c r="UQE1335" s="4" t="s">
        <v>2879</v>
      </c>
      <c r="UQF1335" s="4" t="s">
        <v>2879</v>
      </c>
      <c r="UQG1335" s="4" t="s">
        <v>2879</v>
      </c>
      <c r="UQH1335" s="4" t="s">
        <v>2879</v>
      </c>
      <c r="UQI1335" s="4" t="s">
        <v>2879</v>
      </c>
      <c r="UQJ1335" s="4" t="s">
        <v>2879</v>
      </c>
      <c r="UQK1335" s="4" t="s">
        <v>2879</v>
      </c>
      <c r="UQL1335" s="4" t="s">
        <v>2879</v>
      </c>
      <c r="UQM1335" s="4" t="s">
        <v>2879</v>
      </c>
      <c r="UQN1335" s="4" t="s">
        <v>2879</v>
      </c>
      <c r="UQO1335" s="4" t="s">
        <v>2879</v>
      </c>
      <c r="UQP1335" s="4" t="s">
        <v>2879</v>
      </c>
      <c r="UQQ1335" s="4" t="s">
        <v>2879</v>
      </c>
      <c r="UQR1335" s="4" t="s">
        <v>2879</v>
      </c>
      <c r="UQS1335" s="4" t="s">
        <v>2879</v>
      </c>
      <c r="UQT1335" s="4" t="s">
        <v>2879</v>
      </c>
      <c r="UQU1335" s="4" t="s">
        <v>2879</v>
      </c>
      <c r="UQV1335" s="4" t="s">
        <v>2879</v>
      </c>
      <c r="UQW1335" s="4" t="s">
        <v>2879</v>
      </c>
      <c r="UQX1335" s="4" t="s">
        <v>2879</v>
      </c>
      <c r="UQY1335" s="4" t="s">
        <v>2879</v>
      </c>
      <c r="UQZ1335" s="4" t="s">
        <v>2879</v>
      </c>
      <c r="URA1335" s="4" t="s">
        <v>2879</v>
      </c>
      <c r="URB1335" s="4" t="s">
        <v>2879</v>
      </c>
      <c r="URC1335" s="4" t="s">
        <v>2879</v>
      </c>
      <c r="URD1335" s="4" t="s">
        <v>2879</v>
      </c>
      <c r="URE1335" s="4" t="s">
        <v>2879</v>
      </c>
      <c r="URF1335" s="4" t="s">
        <v>2879</v>
      </c>
      <c r="URG1335" s="4" t="s">
        <v>2879</v>
      </c>
      <c r="URH1335" s="4" t="s">
        <v>2879</v>
      </c>
      <c r="URI1335" s="4" t="s">
        <v>2879</v>
      </c>
      <c r="URJ1335" s="4" t="s">
        <v>2879</v>
      </c>
      <c r="URK1335" s="4" t="s">
        <v>2879</v>
      </c>
      <c r="URL1335" s="4" t="s">
        <v>2879</v>
      </c>
      <c r="URM1335" s="4" t="s">
        <v>2879</v>
      </c>
      <c r="URN1335" s="4" t="s">
        <v>2879</v>
      </c>
      <c r="URO1335" s="4" t="s">
        <v>2879</v>
      </c>
      <c r="URP1335" s="4" t="s">
        <v>2879</v>
      </c>
      <c r="URQ1335" s="4" t="s">
        <v>2879</v>
      </c>
      <c r="URR1335" s="4" t="s">
        <v>2879</v>
      </c>
      <c r="URS1335" s="4" t="s">
        <v>2879</v>
      </c>
      <c r="URT1335" s="4" t="s">
        <v>2879</v>
      </c>
      <c r="URU1335" s="4" t="s">
        <v>2879</v>
      </c>
      <c r="URV1335" s="4" t="s">
        <v>2879</v>
      </c>
      <c r="URW1335" s="4" t="s">
        <v>2879</v>
      </c>
      <c r="URX1335" s="4" t="s">
        <v>2879</v>
      </c>
      <c r="URY1335" s="4" t="s">
        <v>2879</v>
      </c>
      <c r="URZ1335" s="4" t="s">
        <v>2879</v>
      </c>
      <c r="USA1335" s="4" t="s">
        <v>2879</v>
      </c>
      <c r="USB1335" s="4" t="s">
        <v>2879</v>
      </c>
      <c r="USC1335" s="4" t="s">
        <v>2879</v>
      </c>
      <c r="USD1335" s="4" t="s">
        <v>2879</v>
      </c>
      <c r="USE1335" s="4" t="s">
        <v>2879</v>
      </c>
      <c r="USF1335" s="4" t="s">
        <v>2879</v>
      </c>
      <c r="USG1335" s="4" t="s">
        <v>2879</v>
      </c>
      <c r="USH1335" s="4" t="s">
        <v>2879</v>
      </c>
      <c r="USI1335" s="4" t="s">
        <v>2879</v>
      </c>
      <c r="USJ1335" s="4" t="s">
        <v>2879</v>
      </c>
      <c r="USK1335" s="4" t="s">
        <v>2879</v>
      </c>
      <c r="USL1335" s="4" t="s">
        <v>2879</v>
      </c>
      <c r="USM1335" s="4" t="s">
        <v>2879</v>
      </c>
      <c r="USN1335" s="4" t="s">
        <v>2879</v>
      </c>
      <c r="USO1335" s="4" t="s">
        <v>2879</v>
      </c>
      <c r="USP1335" s="4" t="s">
        <v>2879</v>
      </c>
      <c r="USQ1335" s="4" t="s">
        <v>2879</v>
      </c>
      <c r="USR1335" s="4" t="s">
        <v>2879</v>
      </c>
      <c r="USS1335" s="4" t="s">
        <v>2879</v>
      </c>
      <c r="UST1335" s="4" t="s">
        <v>2879</v>
      </c>
      <c r="USU1335" s="4" t="s">
        <v>2879</v>
      </c>
      <c r="USV1335" s="4" t="s">
        <v>2879</v>
      </c>
      <c r="USW1335" s="4" t="s">
        <v>2879</v>
      </c>
      <c r="USX1335" s="4" t="s">
        <v>2879</v>
      </c>
      <c r="USY1335" s="4" t="s">
        <v>2879</v>
      </c>
      <c r="USZ1335" s="4" t="s">
        <v>2879</v>
      </c>
      <c r="UTA1335" s="4" t="s">
        <v>2879</v>
      </c>
      <c r="UTB1335" s="4" t="s">
        <v>2879</v>
      </c>
      <c r="UTC1335" s="4" t="s">
        <v>2879</v>
      </c>
      <c r="UTD1335" s="4" t="s">
        <v>2879</v>
      </c>
      <c r="UTE1335" s="4" t="s">
        <v>2879</v>
      </c>
      <c r="UTF1335" s="4" t="s">
        <v>2879</v>
      </c>
      <c r="UTG1335" s="4" t="s">
        <v>2879</v>
      </c>
      <c r="UTH1335" s="4" t="s">
        <v>2879</v>
      </c>
      <c r="UTI1335" s="4" t="s">
        <v>2879</v>
      </c>
      <c r="UTJ1335" s="4" t="s">
        <v>2879</v>
      </c>
      <c r="UTK1335" s="4" t="s">
        <v>2879</v>
      </c>
      <c r="UTL1335" s="4" t="s">
        <v>2879</v>
      </c>
      <c r="UTM1335" s="4" t="s">
        <v>2879</v>
      </c>
      <c r="UTN1335" s="4" t="s">
        <v>2879</v>
      </c>
      <c r="UTO1335" s="4" t="s">
        <v>2879</v>
      </c>
      <c r="UTP1335" s="4" t="s">
        <v>2879</v>
      </c>
      <c r="UTQ1335" s="4" t="s">
        <v>2879</v>
      </c>
      <c r="UTR1335" s="4" t="s">
        <v>2879</v>
      </c>
      <c r="UTS1335" s="4" t="s">
        <v>2879</v>
      </c>
      <c r="UTT1335" s="4" t="s">
        <v>2879</v>
      </c>
      <c r="UTU1335" s="4" t="s">
        <v>2879</v>
      </c>
      <c r="UTV1335" s="4" t="s">
        <v>2879</v>
      </c>
      <c r="UTW1335" s="4" t="s">
        <v>2879</v>
      </c>
      <c r="UTX1335" s="4" t="s">
        <v>2879</v>
      </c>
      <c r="UTY1335" s="4" t="s">
        <v>2879</v>
      </c>
      <c r="UTZ1335" s="4" t="s">
        <v>2879</v>
      </c>
      <c r="UUA1335" s="4" t="s">
        <v>2879</v>
      </c>
      <c r="UUB1335" s="4" t="s">
        <v>2879</v>
      </c>
      <c r="UUC1335" s="4" t="s">
        <v>2879</v>
      </c>
      <c r="UUD1335" s="4" t="s">
        <v>2879</v>
      </c>
      <c r="UUE1335" s="4" t="s">
        <v>2879</v>
      </c>
      <c r="UUF1335" s="4" t="s">
        <v>2879</v>
      </c>
      <c r="UUG1335" s="4" t="s">
        <v>2879</v>
      </c>
      <c r="UUH1335" s="4" t="s">
        <v>2879</v>
      </c>
      <c r="UUI1335" s="4" t="s">
        <v>2879</v>
      </c>
      <c r="UUJ1335" s="4" t="s">
        <v>2879</v>
      </c>
      <c r="UUK1335" s="4" t="s">
        <v>2879</v>
      </c>
      <c r="UUL1335" s="4" t="s">
        <v>2879</v>
      </c>
      <c r="UUM1335" s="4" t="s">
        <v>2879</v>
      </c>
      <c r="UUN1335" s="4" t="s">
        <v>2879</v>
      </c>
      <c r="UUO1335" s="4" t="s">
        <v>2879</v>
      </c>
      <c r="UUP1335" s="4" t="s">
        <v>2879</v>
      </c>
      <c r="UUQ1335" s="4" t="s">
        <v>2879</v>
      </c>
      <c r="UUR1335" s="4" t="s">
        <v>2879</v>
      </c>
      <c r="UUS1335" s="4" t="s">
        <v>2879</v>
      </c>
      <c r="UUT1335" s="4" t="s">
        <v>2879</v>
      </c>
      <c r="UUU1335" s="4" t="s">
        <v>2879</v>
      </c>
      <c r="UUV1335" s="4" t="s">
        <v>2879</v>
      </c>
      <c r="UUW1335" s="4" t="s">
        <v>2879</v>
      </c>
      <c r="UUX1335" s="4" t="s">
        <v>2879</v>
      </c>
      <c r="UUY1335" s="4" t="s">
        <v>2879</v>
      </c>
      <c r="UUZ1335" s="4" t="s">
        <v>2879</v>
      </c>
      <c r="UVA1335" s="4" t="s">
        <v>2879</v>
      </c>
      <c r="UVB1335" s="4" t="s">
        <v>2879</v>
      </c>
      <c r="UVC1335" s="4" t="s">
        <v>2879</v>
      </c>
      <c r="UVD1335" s="4" t="s">
        <v>2879</v>
      </c>
      <c r="UVE1335" s="4" t="s">
        <v>2879</v>
      </c>
      <c r="UVF1335" s="4" t="s">
        <v>2879</v>
      </c>
      <c r="UVG1335" s="4" t="s">
        <v>2879</v>
      </c>
      <c r="UVH1335" s="4" t="s">
        <v>2879</v>
      </c>
      <c r="UVI1335" s="4" t="s">
        <v>2879</v>
      </c>
      <c r="UVJ1335" s="4" t="s">
        <v>2879</v>
      </c>
      <c r="UVK1335" s="4" t="s">
        <v>2879</v>
      </c>
      <c r="UVL1335" s="4" t="s">
        <v>2879</v>
      </c>
      <c r="UVM1335" s="4" t="s">
        <v>2879</v>
      </c>
      <c r="UVN1335" s="4" t="s">
        <v>2879</v>
      </c>
      <c r="UVO1335" s="4" t="s">
        <v>2879</v>
      </c>
      <c r="UVP1335" s="4" t="s">
        <v>2879</v>
      </c>
      <c r="UVQ1335" s="4" t="s">
        <v>2879</v>
      </c>
      <c r="UVR1335" s="4" t="s">
        <v>2879</v>
      </c>
      <c r="UVS1335" s="4" t="s">
        <v>2879</v>
      </c>
      <c r="UVT1335" s="4" t="s">
        <v>2879</v>
      </c>
      <c r="UVU1335" s="4" t="s">
        <v>2879</v>
      </c>
      <c r="UVV1335" s="4" t="s">
        <v>2879</v>
      </c>
      <c r="UVW1335" s="4" t="s">
        <v>2879</v>
      </c>
      <c r="UVX1335" s="4" t="s">
        <v>2879</v>
      </c>
      <c r="UVY1335" s="4" t="s">
        <v>2879</v>
      </c>
      <c r="UVZ1335" s="4" t="s">
        <v>2879</v>
      </c>
      <c r="UWA1335" s="4" t="s">
        <v>2879</v>
      </c>
      <c r="UWB1335" s="4" t="s">
        <v>2879</v>
      </c>
      <c r="UWC1335" s="4" t="s">
        <v>2879</v>
      </c>
      <c r="UWD1335" s="4" t="s">
        <v>2879</v>
      </c>
      <c r="UWE1335" s="4" t="s">
        <v>2879</v>
      </c>
      <c r="UWF1335" s="4" t="s">
        <v>2879</v>
      </c>
      <c r="UWG1335" s="4" t="s">
        <v>2879</v>
      </c>
      <c r="UWH1335" s="4" t="s">
        <v>2879</v>
      </c>
      <c r="UWI1335" s="4" t="s">
        <v>2879</v>
      </c>
      <c r="UWJ1335" s="4" t="s">
        <v>2879</v>
      </c>
      <c r="UWK1335" s="4" t="s">
        <v>2879</v>
      </c>
      <c r="UWL1335" s="4" t="s">
        <v>2879</v>
      </c>
      <c r="UWM1335" s="4" t="s">
        <v>2879</v>
      </c>
      <c r="UWN1335" s="4" t="s">
        <v>2879</v>
      </c>
      <c r="UWO1335" s="4" t="s">
        <v>2879</v>
      </c>
      <c r="UWP1335" s="4" t="s">
        <v>2879</v>
      </c>
      <c r="UWQ1335" s="4" t="s">
        <v>2879</v>
      </c>
      <c r="UWR1335" s="4" t="s">
        <v>2879</v>
      </c>
      <c r="UWS1335" s="4" t="s">
        <v>2879</v>
      </c>
      <c r="UWT1335" s="4" t="s">
        <v>2879</v>
      </c>
      <c r="UWU1335" s="4" t="s">
        <v>2879</v>
      </c>
      <c r="UWV1335" s="4" t="s">
        <v>2879</v>
      </c>
      <c r="UWW1335" s="4" t="s">
        <v>2879</v>
      </c>
      <c r="UWX1335" s="4" t="s">
        <v>2879</v>
      </c>
      <c r="UWY1335" s="4" t="s">
        <v>2879</v>
      </c>
      <c r="UWZ1335" s="4" t="s">
        <v>2879</v>
      </c>
      <c r="UXA1335" s="4" t="s">
        <v>2879</v>
      </c>
      <c r="UXB1335" s="4" t="s">
        <v>2879</v>
      </c>
      <c r="UXC1335" s="4" t="s">
        <v>2879</v>
      </c>
      <c r="UXD1335" s="4" t="s">
        <v>2879</v>
      </c>
      <c r="UXE1335" s="4" t="s">
        <v>2879</v>
      </c>
      <c r="UXF1335" s="4" t="s">
        <v>2879</v>
      </c>
      <c r="UXG1335" s="4" t="s">
        <v>2879</v>
      </c>
      <c r="UXH1335" s="4" t="s">
        <v>2879</v>
      </c>
      <c r="UXI1335" s="4" t="s">
        <v>2879</v>
      </c>
      <c r="UXJ1335" s="4" t="s">
        <v>2879</v>
      </c>
      <c r="UXK1335" s="4" t="s">
        <v>2879</v>
      </c>
      <c r="UXL1335" s="4" t="s">
        <v>2879</v>
      </c>
      <c r="UXM1335" s="4" t="s">
        <v>2879</v>
      </c>
      <c r="UXN1335" s="4" t="s">
        <v>2879</v>
      </c>
      <c r="UXO1335" s="4" t="s">
        <v>2879</v>
      </c>
      <c r="UXP1335" s="4" t="s">
        <v>2879</v>
      </c>
      <c r="UXQ1335" s="4" t="s">
        <v>2879</v>
      </c>
      <c r="UXR1335" s="4" t="s">
        <v>2879</v>
      </c>
      <c r="UXS1335" s="4" t="s">
        <v>2879</v>
      </c>
      <c r="UXT1335" s="4" t="s">
        <v>2879</v>
      </c>
      <c r="UXU1335" s="4" t="s">
        <v>2879</v>
      </c>
      <c r="UXV1335" s="4" t="s">
        <v>2879</v>
      </c>
      <c r="UXW1335" s="4" t="s">
        <v>2879</v>
      </c>
      <c r="UXX1335" s="4" t="s">
        <v>2879</v>
      </c>
      <c r="UXY1335" s="4" t="s">
        <v>2879</v>
      </c>
      <c r="UXZ1335" s="4" t="s">
        <v>2879</v>
      </c>
      <c r="UYA1335" s="4" t="s">
        <v>2879</v>
      </c>
      <c r="UYB1335" s="4" t="s">
        <v>2879</v>
      </c>
      <c r="UYC1335" s="4" t="s">
        <v>2879</v>
      </c>
      <c r="UYD1335" s="4" t="s">
        <v>2879</v>
      </c>
      <c r="UYE1335" s="4" t="s">
        <v>2879</v>
      </c>
      <c r="UYF1335" s="4" t="s">
        <v>2879</v>
      </c>
      <c r="UYG1335" s="4" t="s">
        <v>2879</v>
      </c>
      <c r="UYH1335" s="4" t="s">
        <v>2879</v>
      </c>
      <c r="UYI1335" s="4" t="s">
        <v>2879</v>
      </c>
      <c r="UYJ1335" s="4" t="s">
        <v>2879</v>
      </c>
      <c r="UYK1335" s="4" t="s">
        <v>2879</v>
      </c>
      <c r="UYL1335" s="4" t="s">
        <v>2879</v>
      </c>
      <c r="UYM1335" s="4" t="s">
        <v>2879</v>
      </c>
      <c r="UYN1335" s="4" t="s">
        <v>2879</v>
      </c>
      <c r="UYO1335" s="4" t="s">
        <v>2879</v>
      </c>
      <c r="UYP1335" s="4" t="s">
        <v>2879</v>
      </c>
      <c r="UYQ1335" s="4" t="s">
        <v>2879</v>
      </c>
      <c r="UYR1335" s="4" t="s">
        <v>2879</v>
      </c>
      <c r="UYS1335" s="4" t="s">
        <v>2879</v>
      </c>
      <c r="UYT1335" s="4" t="s">
        <v>2879</v>
      </c>
      <c r="UYU1335" s="4" t="s">
        <v>2879</v>
      </c>
      <c r="UYV1335" s="4" t="s">
        <v>2879</v>
      </c>
      <c r="UYW1335" s="4" t="s">
        <v>2879</v>
      </c>
      <c r="UYX1335" s="4" t="s">
        <v>2879</v>
      </c>
      <c r="UYY1335" s="4" t="s">
        <v>2879</v>
      </c>
      <c r="UYZ1335" s="4" t="s">
        <v>2879</v>
      </c>
      <c r="UZA1335" s="4" t="s">
        <v>2879</v>
      </c>
      <c r="UZB1335" s="4" t="s">
        <v>2879</v>
      </c>
      <c r="UZC1335" s="4" t="s">
        <v>2879</v>
      </c>
      <c r="UZD1335" s="4" t="s">
        <v>2879</v>
      </c>
      <c r="UZE1335" s="4" t="s">
        <v>2879</v>
      </c>
      <c r="UZF1335" s="4" t="s">
        <v>2879</v>
      </c>
      <c r="UZG1335" s="4" t="s">
        <v>2879</v>
      </c>
      <c r="UZH1335" s="4" t="s">
        <v>2879</v>
      </c>
      <c r="UZI1335" s="4" t="s">
        <v>2879</v>
      </c>
      <c r="UZJ1335" s="4" t="s">
        <v>2879</v>
      </c>
      <c r="UZK1335" s="4" t="s">
        <v>2879</v>
      </c>
      <c r="UZL1335" s="4" t="s">
        <v>2879</v>
      </c>
      <c r="UZM1335" s="4" t="s">
        <v>2879</v>
      </c>
      <c r="UZN1335" s="4" t="s">
        <v>2879</v>
      </c>
      <c r="UZO1335" s="4" t="s">
        <v>2879</v>
      </c>
      <c r="UZP1335" s="4" t="s">
        <v>2879</v>
      </c>
      <c r="UZQ1335" s="4" t="s">
        <v>2879</v>
      </c>
      <c r="UZR1335" s="4" t="s">
        <v>2879</v>
      </c>
      <c r="UZS1335" s="4" t="s">
        <v>2879</v>
      </c>
      <c r="UZT1335" s="4" t="s">
        <v>2879</v>
      </c>
      <c r="UZU1335" s="4" t="s">
        <v>2879</v>
      </c>
      <c r="UZV1335" s="4" t="s">
        <v>2879</v>
      </c>
      <c r="UZW1335" s="4" t="s">
        <v>2879</v>
      </c>
      <c r="UZX1335" s="4" t="s">
        <v>2879</v>
      </c>
      <c r="UZY1335" s="4" t="s">
        <v>2879</v>
      </c>
      <c r="UZZ1335" s="4" t="s">
        <v>2879</v>
      </c>
      <c r="VAA1335" s="4" t="s">
        <v>2879</v>
      </c>
      <c r="VAB1335" s="4" t="s">
        <v>2879</v>
      </c>
      <c r="VAC1335" s="4" t="s">
        <v>2879</v>
      </c>
      <c r="VAD1335" s="4" t="s">
        <v>2879</v>
      </c>
      <c r="VAE1335" s="4" t="s">
        <v>2879</v>
      </c>
      <c r="VAF1335" s="4" t="s">
        <v>2879</v>
      </c>
      <c r="VAG1335" s="4" t="s">
        <v>2879</v>
      </c>
      <c r="VAH1335" s="4" t="s">
        <v>2879</v>
      </c>
      <c r="VAI1335" s="4" t="s">
        <v>2879</v>
      </c>
      <c r="VAJ1335" s="4" t="s">
        <v>2879</v>
      </c>
      <c r="VAK1335" s="4" t="s">
        <v>2879</v>
      </c>
      <c r="VAL1335" s="4" t="s">
        <v>2879</v>
      </c>
      <c r="VAM1335" s="4" t="s">
        <v>2879</v>
      </c>
      <c r="VAN1335" s="4" t="s">
        <v>2879</v>
      </c>
      <c r="VAO1335" s="4" t="s">
        <v>2879</v>
      </c>
      <c r="VAP1335" s="4" t="s">
        <v>2879</v>
      </c>
      <c r="VAQ1335" s="4" t="s">
        <v>2879</v>
      </c>
      <c r="VAR1335" s="4" t="s">
        <v>2879</v>
      </c>
      <c r="VAS1335" s="4" t="s">
        <v>2879</v>
      </c>
      <c r="VAT1335" s="4" t="s">
        <v>2879</v>
      </c>
      <c r="VAU1335" s="4" t="s">
        <v>2879</v>
      </c>
      <c r="VAV1335" s="4" t="s">
        <v>2879</v>
      </c>
      <c r="VAW1335" s="4" t="s">
        <v>2879</v>
      </c>
      <c r="VAX1335" s="4" t="s">
        <v>2879</v>
      </c>
      <c r="VAY1335" s="4" t="s">
        <v>2879</v>
      </c>
      <c r="VAZ1335" s="4" t="s">
        <v>2879</v>
      </c>
      <c r="VBA1335" s="4" t="s">
        <v>2879</v>
      </c>
      <c r="VBB1335" s="4" t="s">
        <v>2879</v>
      </c>
      <c r="VBC1335" s="4" t="s">
        <v>2879</v>
      </c>
      <c r="VBD1335" s="4" t="s">
        <v>2879</v>
      </c>
      <c r="VBE1335" s="4" t="s">
        <v>2879</v>
      </c>
      <c r="VBF1335" s="4" t="s">
        <v>2879</v>
      </c>
      <c r="VBG1335" s="4" t="s">
        <v>2879</v>
      </c>
      <c r="VBH1335" s="4" t="s">
        <v>2879</v>
      </c>
      <c r="VBI1335" s="4" t="s">
        <v>2879</v>
      </c>
      <c r="VBJ1335" s="4" t="s">
        <v>2879</v>
      </c>
      <c r="VBK1335" s="4" t="s">
        <v>2879</v>
      </c>
      <c r="VBL1335" s="4" t="s">
        <v>2879</v>
      </c>
      <c r="VBM1335" s="4" t="s">
        <v>2879</v>
      </c>
      <c r="VBN1335" s="4" t="s">
        <v>2879</v>
      </c>
      <c r="VBO1335" s="4" t="s">
        <v>2879</v>
      </c>
      <c r="VBP1335" s="4" t="s">
        <v>2879</v>
      </c>
      <c r="VBQ1335" s="4" t="s">
        <v>2879</v>
      </c>
      <c r="VBR1335" s="4" t="s">
        <v>2879</v>
      </c>
      <c r="VBS1335" s="4" t="s">
        <v>2879</v>
      </c>
      <c r="VBT1335" s="4" t="s">
        <v>2879</v>
      </c>
      <c r="VBU1335" s="4" t="s">
        <v>2879</v>
      </c>
      <c r="VBV1335" s="4" t="s">
        <v>2879</v>
      </c>
      <c r="VBW1335" s="4" t="s">
        <v>2879</v>
      </c>
      <c r="VBX1335" s="4" t="s">
        <v>2879</v>
      </c>
      <c r="VBY1335" s="4" t="s">
        <v>2879</v>
      </c>
      <c r="VBZ1335" s="4" t="s">
        <v>2879</v>
      </c>
      <c r="VCA1335" s="4" t="s">
        <v>2879</v>
      </c>
      <c r="VCB1335" s="4" t="s">
        <v>2879</v>
      </c>
      <c r="VCC1335" s="4" t="s">
        <v>2879</v>
      </c>
      <c r="VCD1335" s="4" t="s">
        <v>2879</v>
      </c>
      <c r="VCE1335" s="4" t="s">
        <v>2879</v>
      </c>
      <c r="VCF1335" s="4" t="s">
        <v>2879</v>
      </c>
      <c r="VCG1335" s="4" t="s">
        <v>2879</v>
      </c>
      <c r="VCH1335" s="4" t="s">
        <v>2879</v>
      </c>
      <c r="VCI1335" s="4" t="s">
        <v>2879</v>
      </c>
      <c r="VCJ1335" s="4" t="s">
        <v>2879</v>
      </c>
      <c r="VCK1335" s="4" t="s">
        <v>2879</v>
      </c>
      <c r="VCL1335" s="4" t="s">
        <v>2879</v>
      </c>
      <c r="VCM1335" s="4" t="s">
        <v>2879</v>
      </c>
      <c r="VCN1335" s="4" t="s">
        <v>2879</v>
      </c>
      <c r="VCO1335" s="4" t="s">
        <v>2879</v>
      </c>
      <c r="VCP1335" s="4" t="s">
        <v>2879</v>
      </c>
      <c r="VCQ1335" s="4" t="s">
        <v>2879</v>
      </c>
      <c r="VCR1335" s="4" t="s">
        <v>2879</v>
      </c>
      <c r="VCS1335" s="4" t="s">
        <v>2879</v>
      </c>
      <c r="VCT1335" s="4" t="s">
        <v>2879</v>
      </c>
      <c r="VCU1335" s="4" t="s">
        <v>2879</v>
      </c>
      <c r="VCV1335" s="4" t="s">
        <v>2879</v>
      </c>
      <c r="VCW1335" s="4" t="s">
        <v>2879</v>
      </c>
      <c r="VCX1335" s="4" t="s">
        <v>2879</v>
      </c>
      <c r="VCY1335" s="4" t="s">
        <v>2879</v>
      </c>
      <c r="VCZ1335" s="4" t="s">
        <v>2879</v>
      </c>
      <c r="VDA1335" s="4" t="s">
        <v>2879</v>
      </c>
      <c r="VDB1335" s="4" t="s">
        <v>2879</v>
      </c>
      <c r="VDC1335" s="4" t="s">
        <v>2879</v>
      </c>
      <c r="VDD1335" s="4" t="s">
        <v>2879</v>
      </c>
      <c r="VDE1335" s="4" t="s">
        <v>2879</v>
      </c>
      <c r="VDF1335" s="4" t="s">
        <v>2879</v>
      </c>
      <c r="VDG1335" s="4" t="s">
        <v>2879</v>
      </c>
      <c r="VDH1335" s="4" t="s">
        <v>2879</v>
      </c>
      <c r="VDI1335" s="4" t="s">
        <v>2879</v>
      </c>
      <c r="VDJ1335" s="4" t="s">
        <v>2879</v>
      </c>
      <c r="VDK1335" s="4" t="s">
        <v>2879</v>
      </c>
      <c r="VDL1335" s="4" t="s">
        <v>2879</v>
      </c>
      <c r="VDM1335" s="4" t="s">
        <v>2879</v>
      </c>
      <c r="VDN1335" s="4" t="s">
        <v>2879</v>
      </c>
      <c r="VDO1335" s="4" t="s">
        <v>2879</v>
      </c>
      <c r="VDP1335" s="4" t="s">
        <v>2879</v>
      </c>
      <c r="VDQ1335" s="4" t="s">
        <v>2879</v>
      </c>
      <c r="VDR1335" s="4" t="s">
        <v>2879</v>
      </c>
      <c r="VDS1335" s="4" t="s">
        <v>2879</v>
      </c>
      <c r="VDT1335" s="4" t="s">
        <v>2879</v>
      </c>
      <c r="VDU1335" s="4" t="s">
        <v>2879</v>
      </c>
      <c r="VDV1335" s="4" t="s">
        <v>2879</v>
      </c>
      <c r="VDW1335" s="4" t="s">
        <v>2879</v>
      </c>
      <c r="VDX1335" s="4" t="s">
        <v>2879</v>
      </c>
      <c r="VDY1335" s="4" t="s">
        <v>2879</v>
      </c>
      <c r="VDZ1335" s="4" t="s">
        <v>2879</v>
      </c>
      <c r="VEA1335" s="4" t="s">
        <v>2879</v>
      </c>
      <c r="VEB1335" s="4" t="s">
        <v>2879</v>
      </c>
      <c r="VEC1335" s="4" t="s">
        <v>2879</v>
      </c>
      <c r="VED1335" s="4" t="s">
        <v>2879</v>
      </c>
      <c r="VEE1335" s="4" t="s">
        <v>2879</v>
      </c>
      <c r="VEF1335" s="4" t="s">
        <v>2879</v>
      </c>
      <c r="VEG1335" s="4" t="s">
        <v>2879</v>
      </c>
      <c r="VEH1335" s="4" t="s">
        <v>2879</v>
      </c>
      <c r="VEI1335" s="4" t="s">
        <v>2879</v>
      </c>
      <c r="VEJ1335" s="4" t="s">
        <v>2879</v>
      </c>
      <c r="VEK1335" s="4" t="s">
        <v>2879</v>
      </c>
      <c r="VEL1335" s="4" t="s">
        <v>2879</v>
      </c>
      <c r="VEM1335" s="4" t="s">
        <v>2879</v>
      </c>
      <c r="VEN1335" s="4" t="s">
        <v>2879</v>
      </c>
      <c r="VEO1335" s="4" t="s">
        <v>2879</v>
      </c>
      <c r="VEP1335" s="4" t="s">
        <v>2879</v>
      </c>
      <c r="VEQ1335" s="4" t="s">
        <v>2879</v>
      </c>
      <c r="VER1335" s="4" t="s">
        <v>2879</v>
      </c>
      <c r="VES1335" s="4" t="s">
        <v>2879</v>
      </c>
      <c r="VET1335" s="4" t="s">
        <v>2879</v>
      </c>
      <c r="VEU1335" s="4" t="s">
        <v>2879</v>
      </c>
      <c r="VEV1335" s="4" t="s">
        <v>2879</v>
      </c>
      <c r="VEW1335" s="4" t="s">
        <v>2879</v>
      </c>
      <c r="VEX1335" s="4" t="s">
        <v>2879</v>
      </c>
      <c r="VEY1335" s="4" t="s">
        <v>2879</v>
      </c>
      <c r="VEZ1335" s="4" t="s">
        <v>2879</v>
      </c>
      <c r="VFA1335" s="4" t="s">
        <v>2879</v>
      </c>
      <c r="VFB1335" s="4" t="s">
        <v>2879</v>
      </c>
      <c r="VFC1335" s="4" t="s">
        <v>2879</v>
      </c>
      <c r="VFD1335" s="4" t="s">
        <v>2879</v>
      </c>
      <c r="VFE1335" s="4" t="s">
        <v>2879</v>
      </c>
      <c r="VFF1335" s="4" t="s">
        <v>2879</v>
      </c>
      <c r="VFG1335" s="4" t="s">
        <v>2879</v>
      </c>
      <c r="VFH1335" s="4" t="s">
        <v>2879</v>
      </c>
      <c r="VFI1335" s="4" t="s">
        <v>2879</v>
      </c>
      <c r="VFJ1335" s="4" t="s">
        <v>2879</v>
      </c>
      <c r="VFK1335" s="4" t="s">
        <v>2879</v>
      </c>
      <c r="VFL1335" s="4" t="s">
        <v>2879</v>
      </c>
      <c r="VFM1335" s="4" t="s">
        <v>2879</v>
      </c>
      <c r="VFN1335" s="4" t="s">
        <v>2879</v>
      </c>
      <c r="VFO1335" s="4" t="s">
        <v>2879</v>
      </c>
      <c r="VFP1335" s="4" t="s">
        <v>2879</v>
      </c>
      <c r="VFQ1335" s="4" t="s">
        <v>2879</v>
      </c>
      <c r="VFR1335" s="4" t="s">
        <v>2879</v>
      </c>
      <c r="VFS1335" s="4" t="s">
        <v>2879</v>
      </c>
      <c r="VFT1335" s="4" t="s">
        <v>2879</v>
      </c>
      <c r="VFU1335" s="4" t="s">
        <v>2879</v>
      </c>
      <c r="VFV1335" s="4" t="s">
        <v>2879</v>
      </c>
      <c r="VFW1335" s="4" t="s">
        <v>2879</v>
      </c>
      <c r="VFX1335" s="4" t="s">
        <v>2879</v>
      </c>
      <c r="VFY1335" s="4" t="s">
        <v>2879</v>
      </c>
      <c r="VFZ1335" s="4" t="s">
        <v>2879</v>
      </c>
      <c r="VGA1335" s="4" t="s">
        <v>2879</v>
      </c>
      <c r="VGB1335" s="4" t="s">
        <v>2879</v>
      </c>
      <c r="VGC1335" s="4" t="s">
        <v>2879</v>
      </c>
      <c r="VGD1335" s="4" t="s">
        <v>2879</v>
      </c>
      <c r="VGE1335" s="4" t="s">
        <v>2879</v>
      </c>
      <c r="VGF1335" s="4" t="s">
        <v>2879</v>
      </c>
      <c r="VGG1335" s="4" t="s">
        <v>2879</v>
      </c>
      <c r="VGH1335" s="4" t="s">
        <v>2879</v>
      </c>
      <c r="VGI1335" s="4" t="s">
        <v>2879</v>
      </c>
      <c r="VGJ1335" s="4" t="s">
        <v>2879</v>
      </c>
      <c r="VGK1335" s="4" t="s">
        <v>2879</v>
      </c>
      <c r="VGL1335" s="4" t="s">
        <v>2879</v>
      </c>
      <c r="VGM1335" s="4" t="s">
        <v>2879</v>
      </c>
      <c r="VGN1335" s="4" t="s">
        <v>2879</v>
      </c>
      <c r="VGO1335" s="4" t="s">
        <v>2879</v>
      </c>
      <c r="VGP1335" s="4" t="s">
        <v>2879</v>
      </c>
      <c r="VGQ1335" s="4" t="s">
        <v>2879</v>
      </c>
      <c r="VGR1335" s="4" t="s">
        <v>2879</v>
      </c>
      <c r="VGS1335" s="4" t="s">
        <v>2879</v>
      </c>
      <c r="VGT1335" s="4" t="s">
        <v>2879</v>
      </c>
      <c r="VGU1335" s="4" t="s">
        <v>2879</v>
      </c>
      <c r="VGV1335" s="4" t="s">
        <v>2879</v>
      </c>
      <c r="VGW1335" s="4" t="s">
        <v>2879</v>
      </c>
      <c r="VGX1335" s="4" t="s">
        <v>2879</v>
      </c>
      <c r="VGY1335" s="4" t="s">
        <v>2879</v>
      </c>
      <c r="VGZ1335" s="4" t="s">
        <v>2879</v>
      </c>
      <c r="VHA1335" s="4" t="s">
        <v>2879</v>
      </c>
      <c r="VHB1335" s="4" t="s">
        <v>2879</v>
      </c>
      <c r="VHC1335" s="4" t="s">
        <v>2879</v>
      </c>
      <c r="VHD1335" s="4" t="s">
        <v>2879</v>
      </c>
      <c r="VHE1335" s="4" t="s">
        <v>2879</v>
      </c>
      <c r="VHF1335" s="4" t="s">
        <v>2879</v>
      </c>
      <c r="VHG1335" s="4" t="s">
        <v>2879</v>
      </c>
      <c r="VHH1335" s="4" t="s">
        <v>2879</v>
      </c>
      <c r="VHI1335" s="4" t="s">
        <v>2879</v>
      </c>
      <c r="VHJ1335" s="4" t="s">
        <v>2879</v>
      </c>
      <c r="VHK1335" s="4" t="s">
        <v>2879</v>
      </c>
      <c r="VHL1335" s="4" t="s">
        <v>2879</v>
      </c>
      <c r="VHM1335" s="4" t="s">
        <v>2879</v>
      </c>
      <c r="VHN1335" s="4" t="s">
        <v>2879</v>
      </c>
      <c r="VHO1335" s="4" t="s">
        <v>2879</v>
      </c>
      <c r="VHP1335" s="4" t="s">
        <v>2879</v>
      </c>
      <c r="VHQ1335" s="4" t="s">
        <v>2879</v>
      </c>
      <c r="VHR1335" s="4" t="s">
        <v>2879</v>
      </c>
      <c r="VHS1335" s="4" t="s">
        <v>2879</v>
      </c>
      <c r="VHT1335" s="4" t="s">
        <v>2879</v>
      </c>
      <c r="VHU1335" s="4" t="s">
        <v>2879</v>
      </c>
      <c r="VHV1335" s="4" t="s">
        <v>2879</v>
      </c>
      <c r="VHW1335" s="4" t="s">
        <v>2879</v>
      </c>
      <c r="VHX1335" s="4" t="s">
        <v>2879</v>
      </c>
      <c r="VHY1335" s="4" t="s">
        <v>2879</v>
      </c>
      <c r="VHZ1335" s="4" t="s">
        <v>2879</v>
      </c>
      <c r="VIA1335" s="4" t="s">
        <v>2879</v>
      </c>
      <c r="VIB1335" s="4" t="s">
        <v>2879</v>
      </c>
      <c r="VIC1335" s="4" t="s">
        <v>2879</v>
      </c>
      <c r="VID1335" s="4" t="s">
        <v>2879</v>
      </c>
      <c r="VIE1335" s="4" t="s">
        <v>2879</v>
      </c>
      <c r="VIF1335" s="4" t="s">
        <v>2879</v>
      </c>
      <c r="VIG1335" s="4" t="s">
        <v>2879</v>
      </c>
      <c r="VIH1335" s="4" t="s">
        <v>2879</v>
      </c>
      <c r="VII1335" s="4" t="s">
        <v>2879</v>
      </c>
      <c r="VIJ1335" s="4" t="s">
        <v>2879</v>
      </c>
      <c r="VIK1335" s="4" t="s">
        <v>2879</v>
      </c>
      <c r="VIL1335" s="4" t="s">
        <v>2879</v>
      </c>
      <c r="VIM1335" s="4" t="s">
        <v>2879</v>
      </c>
      <c r="VIN1335" s="4" t="s">
        <v>2879</v>
      </c>
      <c r="VIO1335" s="4" t="s">
        <v>2879</v>
      </c>
      <c r="VIP1335" s="4" t="s">
        <v>2879</v>
      </c>
      <c r="VIQ1335" s="4" t="s">
        <v>2879</v>
      </c>
      <c r="VIR1335" s="4" t="s">
        <v>2879</v>
      </c>
      <c r="VIS1335" s="4" t="s">
        <v>2879</v>
      </c>
      <c r="VIT1335" s="4" t="s">
        <v>2879</v>
      </c>
      <c r="VIU1335" s="4" t="s">
        <v>2879</v>
      </c>
      <c r="VIV1335" s="4" t="s">
        <v>2879</v>
      </c>
      <c r="VIW1335" s="4" t="s">
        <v>2879</v>
      </c>
      <c r="VIX1335" s="4" t="s">
        <v>2879</v>
      </c>
      <c r="VIY1335" s="4" t="s">
        <v>2879</v>
      </c>
      <c r="VIZ1335" s="4" t="s">
        <v>2879</v>
      </c>
      <c r="VJA1335" s="4" t="s">
        <v>2879</v>
      </c>
      <c r="VJB1335" s="4" t="s">
        <v>2879</v>
      </c>
      <c r="VJC1335" s="4" t="s">
        <v>2879</v>
      </c>
      <c r="VJD1335" s="4" t="s">
        <v>2879</v>
      </c>
      <c r="VJE1335" s="4" t="s">
        <v>2879</v>
      </c>
      <c r="VJF1335" s="4" t="s">
        <v>2879</v>
      </c>
      <c r="VJG1335" s="4" t="s">
        <v>2879</v>
      </c>
      <c r="VJH1335" s="4" t="s">
        <v>2879</v>
      </c>
      <c r="VJI1335" s="4" t="s">
        <v>2879</v>
      </c>
      <c r="VJJ1335" s="4" t="s">
        <v>2879</v>
      </c>
      <c r="VJK1335" s="4" t="s">
        <v>2879</v>
      </c>
      <c r="VJL1335" s="4" t="s">
        <v>2879</v>
      </c>
      <c r="VJM1335" s="4" t="s">
        <v>2879</v>
      </c>
      <c r="VJN1335" s="4" t="s">
        <v>2879</v>
      </c>
      <c r="VJO1335" s="4" t="s">
        <v>2879</v>
      </c>
      <c r="VJP1335" s="4" t="s">
        <v>2879</v>
      </c>
      <c r="VJQ1335" s="4" t="s">
        <v>2879</v>
      </c>
      <c r="VJR1335" s="4" t="s">
        <v>2879</v>
      </c>
      <c r="VJS1335" s="4" t="s">
        <v>2879</v>
      </c>
      <c r="VJT1335" s="4" t="s">
        <v>2879</v>
      </c>
      <c r="VJU1335" s="4" t="s">
        <v>2879</v>
      </c>
      <c r="VJV1335" s="4" t="s">
        <v>2879</v>
      </c>
      <c r="VJW1335" s="4" t="s">
        <v>2879</v>
      </c>
      <c r="VJX1335" s="4" t="s">
        <v>2879</v>
      </c>
      <c r="VJY1335" s="4" t="s">
        <v>2879</v>
      </c>
      <c r="VJZ1335" s="4" t="s">
        <v>2879</v>
      </c>
      <c r="VKA1335" s="4" t="s">
        <v>2879</v>
      </c>
      <c r="VKB1335" s="4" t="s">
        <v>2879</v>
      </c>
      <c r="VKC1335" s="4" t="s">
        <v>2879</v>
      </c>
      <c r="VKD1335" s="4" t="s">
        <v>2879</v>
      </c>
      <c r="VKE1335" s="4" t="s">
        <v>2879</v>
      </c>
      <c r="VKF1335" s="4" t="s">
        <v>2879</v>
      </c>
      <c r="VKG1335" s="4" t="s">
        <v>2879</v>
      </c>
      <c r="VKH1335" s="4" t="s">
        <v>2879</v>
      </c>
      <c r="VKI1335" s="4" t="s">
        <v>2879</v>
      </c>
      <c r="VKJ1335" s="4" t="s">
        <v>2879</v>
      </c>
      <c r="VKK1335" s="4" t="s">
        <v>2879</v>
      </c>
      <c r="VKL1335" s="4" t="s">
        <v>2879</v>
      </c>
      <c r="VKM1335" s="4" t="s">
        <v>2879</v>
      </c>
      <c r="VKN1335" s="4" t="s">
        <v>2879</v>
      </c>
      <c r="VKO1335" s="4" t="s">
        <v>2879</v>
      </c>
      <c r="VKP1335" s="4" t="s">
        <v>2879</v>
      </c>
      <c r="VKQ1335" s="4" t="s">
        <v>2879</v>
      </c>
      <c r="VKR1335" s="4" t="s">
        <v>2879</v>
      </c>
      <c r="VKS1335" s="4" t="s">
        <v>2879</v>
      </c>
      <c r="VKT1335" s="4" t="s">
        <v>2879</v>
      </c>
      <c r="VKU1335" s="4" t="s">
        <v>2879</v>
      </c>
      <c r="VKV1335" s="4" t="s">
        <v>2879</v>
      </c>
      <c r="VKW1335" s="4" t="s">
        <v>2879</v>
      </c>
      <c r="VKX1335" s="4" t="s">
        <v>2879</v>
      </c>
      <c r="VKY1335" s="4" t="s">
        <v>2879</v>
      </c>
      <c r="VKZ1335" s="4" t="s">
        <v>2879</v>
      </c>
      <c r="VLA1335" s="4" t="s">
        <v>2879</v>
      </c>
      <c r="VLB1335" s="4" t="s">
        <v>2879</v>
      </c>
      <c r="VLC1335" s="4" t="s">
        <v>2879</v>
      </c>
      <c r="VLD1335" s="4" t="s">
        <v>2879</v>
      </c>
      <c r="VLE1335" s="4" t="s">
        <v>2879</v>
      </c>
      <c r="VLF1335" s="4" t="s">
        <v>2879</v>
      </c>
      <c r="VLG1335" s="4" t="s">
        <v>2879</v>
      </c>
      <c r="VLH1335" s="4" t="s">
        <v>2879</v>
      </c>
      <c r="VLI1335" s="4" t="s">
        <v>2879</v>
      </c>
      <c r="VLJ1335" s="4" t="s">
        <v>2879</v>
      </c>
      <c r="VLK1335" s="4" t="s">
        <v>2879</v>
      </c>
      <c r="VLL1335" s="4" t="s">
        <v>2879</v>
      </c>
      <c r="VLM1335" s="4" t="s">
        <v>2879</v>
      </c>
      <c r="VLN1335" s="4" t="s">
        <v>2879</v>
      </c>
      <c r="VLO1335" s="4" t="s">
        <v>2879</v>
      </c>
      <c r="VLP1335" s="4" t="s">
        <v>2879</v>
      </c>
      <c r="VLQ1335" s="4" t="s">
        <v>2879</v>
      </c>
      <c r="VLR1335" s="4" t="s">
        <v>2879</v>
      </c>
      <c r="VLS1335" s="4" t="s">
        <v>2879</v>
      </c>
      <c r="VLT1335" s="4" t="s">
        <v>2879</v>
      </c>
      <c r="VLU1335" s="4" t="s">
        <v>2879</v>
      </c>
      <c r="VLV1335" s="4" t="s">
        <v>2879</v>
      </c>
      <c r="VLW1335" s="4" t="s">
        <v>2879</v>
      </c>
      <c r="VLX1335" s="4" t="s">
        <v>2879</v>
      </c>
      <c r="VLY1335" s="4" t="s">
        <v>2879</v>
      </c>
      <c r="VLZ1335" s="4" t="s">
        <v>2879</v>
      </c>
      <c r="VMA1335" s="4" t="s">
        <v>2879</v>
      </c>
      <c r="VMB1335" s="4" t="s">
        <v>2879</v>
      </c>
      <c r="VMC1335" s="4" t="s">
        <v>2879</v>
      </c>
      <c r="VMD1335" s="4" t="s">
        <v>2879</v>
      </c>
      <c r="VME1335" s="4" t="s">
        <v>2879</v>
      </c>
      <c r="VMF1335" s="4" t="s">
        <v>2879</v>
      </c>
      <c r="VMG1335" s="4" t="s">
        <v>2879</v>
      </c>
      <c r="VMH1335" s="4" t="s">
        <v>2879</v>
      </c>
      <c r="VMI1335" s="4" t="s">
        <v>2879</v>
      </c>
      <c r="VMJ1335" s="4" t="s">
        <v>2879</v>
      </c>
      <c r="VMK1335" s="4" t="s">
        <v>2879</v>
      </c>
      <c r="VML1335" s="4" t="s">
        <v>2879</v>
      </c>
      <c r="VMM1335" s="4" t="s">
        <v>2879</v>
      </c>
      <c r="VMN1335" s="4" t="s">
        <v>2879</v>
      </c>
      <c r="VMO1335" s="4" t="s">
        <v>2879</v>
      </c>
      <c r="VMP1335" s="4" t="s">
        <v>2879</v>
      </c>
      <c r="VMQ1335" s="4" t="s">
        <v>2879</v>
      </c>
      <c r="VMR1335" s="4" t="s">
        <v>2879</v>
      </c>
      <c r="VMS1335" s="4" t="s">
        <v>2879</v>
      </c>
      <c r="VMT1335" s="4" t="s">
        <v>2879</v>
      </c>
      <c r="VMU1335" s="4" t="s">
        <v>2879</v>
      </c>
      <c r="VMV1335" s="4" t="s">
        <v>2879</v>
      </c>
      <c r="VMW1335" s="4" t="s">
        <v>2879</v>
      </c>
      <c r="VMX1335" s="4" t="s">
        <v>2879</v>
      </c>
      <c r="VMY1335" s="4" t="s">
        <v>2879</v>
      </c>
      <c r="VMZ1335" s="4" t="s">
        <v>2879</v>
      </c>
      <c r="VNA1335" s="4" t="s">
        <v>2879</v>
      </c>
      <c r="VNB1335" s="4" t="s">
        <v>2879</v>
      </c>
      <c r="VNC1335" s="4" t="s">
        <v>2879</v>
      </c>
      <c r="VND1335" s="4" t="s">
        <v>2879</v>
      </c>
      <c r="VNE1335" s="4" t="s">
        <v>2879</v>
      </c>
      <c r="VNF1335" s="4" t="s">
        <v>2879</v>
      </c>
      <c r="VNG1335" s="4" t="s">
        <v>2879</v>
      </c>
      <c r="VNH1335" s="4" t="s">
        <v>2879</v>
      </c>
      <c r="VNI1335" s="4" t="s">
        <v>2879</v>
      </c>
      <c r="VNJ1335" s="4" t="s">
        <v>2879</v>
      </c>
      <c r="VNK1335" s="4" t="s">
        <v>2879</v>
      </c>
      <c r="VNL1335" s="4" t="s">
        <v>2879</v>
      </c>
      <c r="VNM1335" s="4" t="s">
        <v>2879</v>
      </c>
      <c r="VNN1335" s="4" t="s">
        <v>2879</v>
      </c>
      <c r="VNO1335" s="4" t="s">
        <v>2879</v>
      </c>
      <c r="VNP1335" s="4" t="s">
        <v>2879</v>
      </c>
      <c r="VNQ1335" s="4" t="s">
        <v>2879</v>
      </c>
      <c r="VNR1335" s="4" t="s">
        <v>2879</v>
      </c>
      <c r="VNS1335" s="4" t="s">
        <v>2879</v>
      </c>
      <c r="VNT1335" s="4" t="s">
        <v>2879</v>
      </c>
      <c r="VNU1335" s="4" t="s">
        <v>2879</v>
      </c>
      <c r="VNV1335" s="4" t="s">
        <v>2879</v>
      </c>
      <c r="VNW1335" s="4" t="s">
        <v>2879</v>
      </c>
      <c r="VNX1335" s="4" t="s">
        <v>2879</v>
      </c>
      <c r="VNY1335" s="4" t="s">
        <v>2879</v>
      </c>
      <c r="VNZ1335" s="4" t="s">
        <v>2879</v>
      </c>
      <c r="VOA1335" s="4" t="s">
        <v>2879</v>
      </c>
      <c r="VOB1335" s="4" t="s">
        <v>2879</v>
      </c>
      <c r="VOC1335" s="4" t="s">
        <v>2879</v>
      </c>
      <c r="VOD1335" s="4" t="s">
        <v>2879</v>
      </c>
      <c r="VOE1335" s="4" t="s">
        <v>2879</v>
      </c>
      <c r="VOF1335" s="4" t="s">
        <v>2879</v>
      </c>
      <c r="VOG1335" s="4" t="s">
        <v>2879</v>
      </c>
      <c r="VOH1335" s="4" t="s">
        <v>2879</v>
      </c>
      <c r="VOI1335" s="4" t="s">
        <v>2879</v>
      </c>
      <c r="VOJ1335" s="4" t="s">
        <v>2879</v>
      </c>
      <c r="VOK1335" s="4" t="s">
        <v>2879</v>
      </c>
      <c r="VOL1335" s="4" t="s">
        <v>2879</v>
      </c>
      <c r="VOM1335" s="4" t="s">
        <v>2879</v>
      </c>
      <c r="VON1335" s="4" t="s">
        <v>2879</v>
      </c>
      <c r="VOO1335" s="4" t="s">
        <v>2879</v>
      </c>
      <c r="VOP1335" s="4" t="s">
        <v>2879</v>
      </c>
      <c r="VOQ1335" s="4" t="s">
        <v>2879</v>
      </c>
      <c r="VOR1335" s="4" t="s">
        <v>2879</v>
      </c>
      <c r="VOS1335" s="4" t="s">
        <v>2879</v>
      </c>
      <c r="VOT1335" s="4" t="s">
        <v>2879</v>
      </c>
      <c r="VOU1335" s="4" t="s">
        <v>2879</v>
      </c>
      <c r="VOV1335" s="4" t="s">
        <v>2879</v>
      </c>
      <c r="VOW1335" s="4" t="s">
        <v>2879</v>
      </c>
      <c r="VOX1335" s="4" t="s">
        <v>2879</v>
      </c>
      <c r="VOY1335" s="4" t="s">
        <v>2879</v>
      </c>
      <c r="VOZ1335" s="4" t="s">
        <v>2879</v>
      </c>
      <c r="VPA1335" s="4" t="s">
        <v>2879</v>
      </c>
      <c r="VPB1335" s="4" t="s">
        <v>2879</v>
      </c>
      <c r="VPC1335" s="4" t="s">
        <v>2879</v>
      </c>
      <c r="VPD1335" s="4" t="s">
        <v>2879</v>
      </c>
      <c r="VPE1335" s="4" t="s">
        <v>2879</v>
      </c>
      <c r="VPF1335" s="4" t="s">
        <v>2879</v>
      </c>
      <c r="VPG1335" s="4" t="s">
        <v>2879</v>
      </c>
      <c r="VPH1335" s="4" t="s">
        <v>2879</v>
      </c>
      <c r="VPI1335" s="4" t="s">
        <v>2879</v>
      </c>
      <c r="VPJ1335" s="4" t="s">
        <v>2879</v>
      </c>
      <c r="VPK1335" s="4" t="s">
        <v>2879</v>
      </c>
      <c r="VPL1335" s="4" t="s">
        <v>2879</v>
      </c>
      <c r="VPM1335" s="4" t="s">
        <v>2879</v>
      </c>
      <c r="VPN1335" s="4" t="s">
        <v>2879</v>
      </c>
      <c r="VPO1335" s="4" t="s">
        <v>2879</v>
      </c>
      <c r="VPP1335" s="4" t="s">
        <v>2879</v>
      </c>
      <c r="VPQ1335" s="4" t="s">
        <v>2879</v>
      </c>
      <c r="VPR1335" s="4" t="s">
        <v>2879</v>
      </c>
      <c r="VPS1335" s="4" t="s">
        <v>2879</v>
      </c>
      <c r="VPT1335" s="4" t="s">
        <v>2879</v>
      </c>
      <c r="VPU1335" s="4" t="s">
        <v>2879</v>
      </c>
      <c r="VPV1335" s="4" t="s">
        <v>2879</v>
      </c>
      <c r="VPW1335" s="4" t="s">
        <v>2879</v>
      </c>
      <c r="VPX1335" s="4" t="s">
        <v>2879</v>
      </c>
      <c r="VPY1335" s="4" t="s">
        <v>2879</v>
      </c>
      <c r="VPZ1335" s="4" t="s">
        <v>2879</v>
      </c>
      <c r="VQA1335" s="4" t="s">
        <v>2879</v>
      </c>
      <c r="VQB1335" s="4" t="s">
        <v>2879</v>
      </c>
      <c r="VQC1335" s="4" t="s">
        <v>2879</v>
      </c>
      <c r="VQD1335" s="4" t="s">
        <v>2879</v>
      </c>
      <c r="VQE1335" s="4" t="s">
        <v>2879</v>
      </c>
      <c r="VQF1335" s="4" t="s">
        <v>2879</v>
      </c>
      <c r="VQG1335" s="4" t="s">
        <v>2879</v>
      </c>
      <c r="VQH1335" s="4" t="s">
        <v>2879</v>
      </c>
      <c r="VQI1335" s="4" t="s">
        <v>2879</v>
      </c>
      <c r="VQJ1335" s="4" t="s">
        <v>2879</v>
      </c>
      <c r="VQK1335" s="4" t="s">
        <v>2879</v>
      </c>
      <c r="VQL1335" s="4" t="s">
        <v>2879</v>
      </c>
      <c r="VQM1335" s="4" t="s">
        <v>2879</v>
      </c>
      <c r="VQN1335" s="4" t="s">
        <v>2879</v>
      </c>
      <c r="VQO1335" s="4" t="s">
        <v>2879</v>
      </c>
      <c r="VQP1335" s="4" t="s">
        <v>2879</v>
      </c>
      <c r="VQQ1335" s="4" t="s">
        <v>2879</v>
      </c>
      <c r="VQR1335" s="4" t="s">
        <v>2879</v>
      </c>
      <c r="VQS1335" s="4" t="s">
        <v>2879</v>
      </c>
      <c r="VQT1335" s="4" t="s">
        <v>2879</v>
      </c>
      <c r="VQU1335" s="4" t="s">
        <v>2879</v>
      </c>
      <c r="VQV1335" s="4" t="s">
        <v>2879</v>
      </c>
      <c r="VQW1335" s="4" t="s">
        <v>2879</v>
      </c>
      <c r="VQX1335" s="4" t="s">
        <v>2879</v>
      </c>
      <c r="VQY1335" s="4" t="s">
        <v>2879</v>
      </c>
      <c r="VQZ1335" s="4" t="s">
        <v>2879</v>
      </c>
      <c r="VRA1335" s="4" t="s">
        <v>2879</v>
      </c>
      <c r="VRB1335" s="4" t="s">
        <v>2879</v>
      </c>
      <c r="VRC1335" s="4" t="s">
        <v>2879</v>
      </c>
      <c r="VRD1335" s="4" t="s">
        <v>2879</v>
      </c>
      <c r="VRE1335" s="4" t="s">
        <v>2879</v>
      </c>
      <c r="VRF1335" s="4" t="s">
        <v>2879</v>
      </c>
      <c r="VRG1335" s="4" t="s">
        <v>2879</v>
      </c>
      <c r="VRH1335" s="4" t="s">
        <v>2879</v>
      </c>
      <c r="VRI1335" s="4" t="s">
        <v>2879</v>
      </c>
      <c r="VRJ1335" s="4" t="s">
        <v>2879</v>
      </c>
      <c r="VRK1335" s="4" t="s">
        <v>2879</v>
      </c>
      <c r="VRL1335" s="4" t="s">
        <v>2879</v>
      </c>
      <c r="VRM1335" s="4" t="s">
        <v>2879</v>
      </c>
      <c r="VRN1335" s="4" t="s">
        <v>2879</v>
      </c>
      <c r="VRO1335" s="4" t="s">
        <v>2879</v>
      </c>
      <c r="VRP1335" s="4" t="s">
        <v>2879</v>
      </c>
      <c r="VRQ1335" s="4" t="s">
        <v>2879</v>
      </c>
      <c r="VRR1335" s="4" t="s">
        <v>2879</v>
      </c>
      <c r="VRS1335" s="4" t="s">
        <v>2879</v>
      </c>
      <c r="VRT1335" s="4" t="s">
        <v>2879</v>
      </c>
      <c r="VRU1335" s="4" t="s">
        <v>2879</v>
      </c>
      <c r="VRV1335" s="4" t="s">
        <v>2879</v>
      </c>
      <c r="VRW1335" s="4" t="s">
        <v>2879</v>
      </c>
      <c r="VRX1335" s="4" t="s">
        <v>2879</v>
      </c>
      <c r="VRY1335" s="4" t="s">
        <v>2879</v>
      </c>
      <c r="VRZ1335" s="4" t="s">
        <v>2879</v>
      </c>
      <c r="VSA1335" s="4" t="s">
        <v>2879</v>
      </c>
      <c r="VSB1335" s="4" t="s">
        <v>2879</v>
      </c>
      <c r="VSC1335" s="4" t="s">
        <v>2879</v>
      </c>
      <c r="VSD1335" s="4" t="s">
        <v>2879</v>
      </c>
      <c r="VSE1335" s="4" t="s">
        <v>2879</v>
      </c>
      <c r="VSF1335" s="4" t="s">
        <v>2879</v>
      </c>
      <c r="VSG1335" s="4" t="s">
        <v>2879</v>
      </c>
      <c r="VSH1335" s="4" t="s">
        <v>2879</v>
      </c>
      <c r="VSI1335" s="4" t="s">
        <v>2879</v>
      </c>
      <c r="VSJ1335" s="4" t="s">
        <v>2879</v>
      </c>
      <c r="VSK1335" s="4" t="s">
        <v>2879</v>
      </c>
      <c r="VSL1335" s="4" t="s">
        <v>2879</v>
      </c>
      <c r="VSM1335" s="4" t="s">
        <v>2879</v>
      </c>
      <c r="VSN1335" s="4" t="s">
        <v>2879</v>
      </c>
      <c r="VSO1335" s="4" t="s">
        <v>2879</v>
      </c>
      <c r="VSP1335" s="4" t="s">
        <v>2879</v>
      </c>
      <c r="VSQ1335" s="4" t="s">
        <v>2879</v>
      </c>
      <c r="VSR1335" s="4" t="s">
        <v>2879</v>
      </c>
      <c r="VSS1335" s="4" t="s">
        <v>2879</v>
      </c>
      <c r="VST1335" s="4" t="s">
        <v>2879</v>
      </c>
      <c r="VSU1335" s="4" t="s">
        <v>2879</v>
      </c>
      <c r="VSV1335" s="4" t="s">
        <v>2879</v>
      </c>
      <c r="VSW1335" s="4" t="s">
        <v>2879</v>
      </c>
      <c r="VSX1335" s="4" t="s">
        <v>2879</v>
      </c>
      <c r="VSY1335" s="4" t="s">
        <v>2879</v>
      </c>
      <c r="VSZ1335" s="4" t="s">
        <v>2879</v>
      </c>
      <c r="VTA1335" s="4" t="s">
        <v>2879</v>
      </c>
      <c r="VTB1335" s="4" t="s">
        <v>2879</v>
      </c>
      <c r="VTC1335" s="4" t="s">
        <v>2879</v>
      </c>
      <c r="VTD1335" s="4" t="s">
        <v>2879</v>
      </c>
      <c r="VTE1335" s="4" t="s">
        <v>2879</v>
      </c>
      <c r="VTF1335" s="4" t="s">
        <v>2879</v>
      </c>
      <c r="VTG1335" s="4" t="s">
        <v>2879</v>
      </c>
      <c r="VTH1335" s="4" t="s">
        <v>2879</v>
      </c>
      <c r="VTI1335" s="4" t="s">
        <v>2879</v>
      </c>
      <c r="VTJ1335" s="4" t="s">
        <v>2879</v>
      </c>
      <c r="VTK1335" s="4" t="s">
        <v>2879</v>
      </c>
      <c r="VTL1335" s="4" t="s">
        <v>2879</v>
      </c>
      <c r="VTM1335" s="4" t="s">
        <v>2879</v>
      </c>
      <c r="VTN1335" s="4" t="s">
        <v>2879</v>
      </c>
      <c r="VTO1335" s="4" t="s">
        <v>2879</v>
      </c>
      <c r="VTP1335" s="4" t="s">
        <v>2879</v>
      </c>
      <c r="VTQ1335" s="4" t="s">
        <v>2879</v>
      </c>
      <c r="VTR1335" s="4" t="s">
        <v>2879</v>
      </c>
      <c r="VTS1335" s="4" t="s">
        <v>2879</v>
      </c>
      <c r="VTT1335" s="4" t="s">
        <v>2879</v>
      </c>
      <c r="VTU1335" s="4" t="s">
        <v>2879</v>
      </c>
      <c r="VTV1335" s="4" t="s">
        <v>2879</v>
      </c>
      <c r="VTW1335" s="4" t="s">
        <v>2879</v>
      </c>
      <c r="VTX1335" s="4" t="s">
        <v>2879</v>
      </c>
      <c r="VTY1335" s="4" t="s">
        <v>2879</v>
      </c>
      <c r="VTZ1335" s="4" t="s">
        <v>2879</v>
      </c>
      <c r="VUA1335" s="4" t="s">
        <v>2879</v>
      </c>
      <c r="VUB1335" s="4" t="s">
        <v>2879</v>
      </c>
      <c r="VUC1335" s="4" t="s">
        <v>2879</v>
      </c>
      <c r="VUD1335" s="4" t="s">
        <v>2879</v>
      </c>
      <c r="VUE1335" s="4" t="s">
        <v>2879</v>
      </c>
      <c r="VUF1335" s="4" t="s">
        <v>2879</v>
      </c>
      <c r="VUG1335" s="4" t="s">
        <v>2879</v>
      </c>
      <c r="VUH1335" s="4" t="s">
        <v>2879</v>
      </c>
      <c r="VUI1335" s="4" t="s">
        <v>2879</v>
      </c>
      <c r="VUJ1335" s="4" t="s">
        <v>2879</v>
      </c>
      <c r="VUK1335" s="4" t="s">
        <v>2879</v>
      </c>
      <c r="VUL1335" s="4" t="s">
        <v>2879</v>
      </c>
      <c r="VUM1335" s="4" t="s">
        <v>2879</v>
      </c>
      <c r="VUN1335" s="4" t="s">
        <v>2879</v>
      </c>
      <c r="VUO1335" s="4" t="s">
        <v>2879</v>
      </c>
      <c r="VUP1335" s="4" t="s">
        <v>2879</v>
      </c>
      <c r="VUQ1335" s="4" t="s">
        <v>2879</v>
      </c>
      <c r="VUR1335" s="4" t="s">
        <v>2879</v>
      </c>
      <c r="VUS1335" s="4" t="s">
        <v>2879</v>
      </c>
      <c r="VUT1335" s="4" t="s">
        <v>2879</v>
      </c>
      <c r="VUU1335" s="4" t="s">
        <v>2879</v>
      </c>
      <c r="VUV1335" s="4" t="s">
        <v>2879</v>
      </c>
      <c r="VUW1335" s="4" t="s">
        <v>2879</v>
      </c>
      <c r="VUX1335" s="4" t="s">
        <v>2879</v>
      </c>
      <c r="VUY1335" s="4" t="s">
        <v>2879</v>
      </c>
      <c r="VUZ1335" s="4" t="s">
        <v>2879</v>
      </c>
      <c r="VVA1335" s="4" t="s">
        <v>2879</v>
      </c>
      <c r="VVB1335" s="4" t="s">
        <v>2879</v>
      </c>
      <c r="VVC1335" s="4" t="s">
        <v>2879</v>
      </c>
      <c r="VVD1335" s="4" t="s">
        <v>2879</v>
      </c>
      <c r="VVE1335" s="4" t="s">
        <v>2879</v>
      </c>
      <c r="VVF1335" s="4" t="s">
        <v>2879</v>
      </c>
      <c r="VVG1335" s="4" t="s">
        <v>2879</v>
      </c>
      <c r="VVH1335" s="4" t="s">
        <v>2879</v>
      </c>
      <c r="VVI1335" s="4" t="s">
        <v>2879</v>
      </c>
      <c r="VVJ1335" s="4" t="s">
        <v>2879</v>
      </c>
      <c r="VVK1335" s="4" t="s">
        <v>2879</v>
      </c>
      <c r="VVL1335" s="4" t="s">
        <v>2879</v>
      </c>
      <c r="VVM1335" s="4" t="s">
        <v>2879</v>
      </c>
      <c r="VVN1335" s="4" t="s">
        <v>2879</v>
      </c>
      <c r="VVO1335" s="4" t="s">
        <v>2879</v>
      </c>
      <c r="VVP1335" s="4" t="s">
        <v>2879</v>
      </c>
      <c r="VVQ1335" s="4" t="s">
        <v>2879</v>
      </c>
      <c r="VVR1335" s="4" t="s">
        <v>2879</v>
      </c>
      <c r="VVS1335" s="4" t="s">
        <v>2879</v>
      </c>
      <c r="VVT1335" s="4" t="s">
        <v>2879</v>
      </c>
      <c r="VVU1335" s="4" t="s">
        <v>2879</v>
      </c>
      <c r="VVV1335" s="4" t="s">
        <v>2879</v>
      </c>
      <c r="VVW1335" s="4" t="s">
        <v>2879</v>
      </c>
      <c r="VVX1335" s="4" t="s">
        <v>2879</v>
      </c>
      <c r="VVY1335" s="4" t="s">
        <v>2879</v>
      </c>
      <c r="VVZ1335" s="4" t="s">
        <v>2879</v>
      </c>
      <c r="VWA1335" s="4" t="s">
        <v>2879</v>
      </c>
      <c r="VWB1335" s="4" t="s">
        <v>2879</v>
      </c>
      <c r="VWC1335" s="4" t="s">
        <v>2879</v>
      </c>
      <c r="VWD1335" s="4" t="s">
        <v>2879</v>
      </c>
      <c r="VWE1335" s="4" t="s">
        <v>2879</v>
      </c>
      <c r="VWF1335" s="4" t="s">
        <v>2879</v>
      </c>
      <c r="VWG1335" s="4" t="s">
        <v>2879</v>
      </c>
      <c r="VWH1335" s="4" t="s">
        <v>2879</v>
      </c>
      <c r="VWI1335" s="4" t="s">
        <v>2879</v>
      </c>
      <c r="VWJ1335" s="4" t="s">
        <v>2879</v>
      </c>
      <c r="VWK1335" s="4" t="s">
        <v>2879</v>
      </c>
      <c r="VWL1335" s="4" t="s">
        <v>2879</v>
      </c>
      <c r="VWM1335" s="4" t="s">
        <v>2879</v>
      </c>
      <c r="VWN1335" s="4" t="s">
        <v>2879</v>
      </c>
      <c r="VWO1335" s="4" t="s">
        <v>2879</v>
      </c>
      <c r="VWP1335" s="4" t="s">
        <v>2879</v>
      </c>
      <c r="VWQ1335" s="4" t="s">
        <v>2879</v>
      </c>
      <c r="VWR1335" s="4" t="s">
        <v>2879</v>
      </c>
      <c r="VWS1335" s="4" t="s">
        <v>2879</v>
      </c>
      <c r="VWT1335" s="4" t="s">
        <v>2879</v>
      </c>
      <c r="VWU1335" s="4" t="s">
        <v>2879</v>
      </c>
      <c r="VWV1335" s="4" t="s">
        <v>2879</v>
      </c>
      <c r="VWW1335" s="4" t="s">
        <v>2879</v>
      </c>
      <c r="VWX1335" s="4" t="s">
        <v>2879</v>
      </c>
      <c r="VWY1335" s="4" t="s">
        <v>2879</v>
      </c>
      <c r="VWZ1335" s="4" t="s">
        <v>2879</v>
      </c>
      <c r="VXA1335" s="4" t="s">
        <v>2879</v>
      </c>
      <c r="VXB1335" s="4" t="s">
        <v>2879</v>
      </c>
      <c r="VXC1335" s="4" t="s">
        <v>2879</v>
      </c>
      <c r="VXD1335" s="4" t="s">
        <v>2879</v>
      </c>
      <c r="VXE1335" s="4" t="s">
        <v>2879</v>
      </c>
      <c r="VXF1335" s="4" t="s">
        <v>2879</v>
      </c>
      <c r="VXG1335" s="4" t="s">
        <v>2879</v>
      </c>
      <c r="VXH1335" s="4" t="s">
        <v>2879</v>
      </c>
      <c r="VXI1335" s="4" t="s">
        <v>2879</v>
      </c>
      <c r="VXJ1335" s="4" t="s">
        <v>2879</v>
      </c>
      <c r="VXK1335" s="4" t="s">
        <v>2879</v>
      </c>
      <c r="VXL1335" s="4" t="s">
        <v>2879</v>
      </c>
      <c r="VXM1335" s="4" t="s">
        <v>2879</v>
      </c>
      <c r="VXN1335" s="4" t="s">
        <v>2879</v>
      </c>
      <c r="VXO1335" s="4" t="s">
        <v>2879</v>
      </c>
      <c r="VXP1335" s="4" t="s">
        <v>2879</v>
      </c>
      <c r="VXQ1335" s="4" t="s">
        <v>2879</v>
      </c>
      <c r="VXR1335" s="4" t="s">
        <v>2879</v>
      </c>
      <c r="VXS1335" s="4" t="s">
        <v>2879</v>
      </c>
      <c r="VXT1335" s="4" t="s">
        <v>2879</v>
      </c>
      <c r="VXU1335" s="4" t="s">
        <v>2879</v>
      </c>
      <c r="VXV1335" s="4" t="s">
        <v>2879</v>
      </c>
      <c r="VXW1335" s="4" t="s">
        <v>2879</v>
      </c>
      <c r="VXX1335" s="4" t="s">
        <v>2879</v>
      </c>
      <c r="VXY1335" s="4" t="s">
        <v>2879</v>
      </c>
      <c r="VXZ1335" s="4" t="s">
        <v>2879</v>
      </c>
      <c r="VYA1335" s="4" t="s">
        <v>2879</v>
      </c>
      <c r="VYB1335" s="4" t="s">
        <v>2879</v>
      </c>
      <c r="VYC1335" s="4" t="s">
        <v>2879</v>
      </c>
      <c r="VYD1335" s="4" t="s">
        <v>2879</v>
      </c>
      <c r="VYE1335" s="4" t="s">
        <v>2879</v>
      </c>
      <c r="VYF1335" s="4" t="s">
        <v>2879</v>
      </c>
      <c r="VYG1335" s="4" t="s">
        <v>2879</v>
      </c>
      <c r="VYH1335" s="4" t="s">
        <v>2879</v>
      </c>
      <c r="VYI1335" s="4" t="s">
        <v>2879</v>
      </c>
      <c r="VYJ1335" s="4" t="s">
        <v>2879</v>
      </c>
      <c r="VYK1335" s="4" t="s">
        <v>2879</v>
      </c>
      <c r="VYL1335" s="4" t="s">
        <v>2879</v>
      </c>
      <c r="VYM1335" s="4" t="s">
        <v>2879</v>
      </c>
      <c r="VYN1335" s="4" t="s">
        <v>2879</v>
      </c>
      <c r="VYO1335" s="4" t="s">
        <v>2879</v>
      </c>
      <c r="VYP1335" s="4" t="s">
        <v>2879</v>
      </c>
      <c r="VYQ1335" s="4" t="s">
        <v>2879</v>
      </c>
      <c r="VYR1335" s="4" t="s">
        <v>2879</v>
      </c>
      <c r="VYS1335" s="4" t="s">
        <v>2879</v>
      </c>
      <c r="VYT1335" s="4" t="s">
        <v>2879</v>
      </c>
      <c r="VYU1335" s="4" t="s">
        <v>2879</v>
      </c>
      <c r="VYV1335" s="4" t="s">
        <v>2879</v>
      </c>
      <c r="VYW1335" s="4" t="s">
        <v>2879</v>
      </c>
      <c r="VYX1335" s="4" t="s">
        <v>2879</v>
      </c>
      <c r="VYY1335" s="4" t="s">
        <v>2879</v>
      </c>
      <c r="VYZ1335" s="4" t="s">
        <v>2879</v>
      </c>
      <c r="VZA1335" s="4" t="s">
        <v>2879</v>
      </c>
      <c r="VZB1335" s="4" t="s">
        <v>2879</v>
      </c>
      <c r="VZC1335" s="4" t="s">
        <v>2879</v>
      </c>
      <c r="VZD1335" s="4" t="s">
        <v>2879</v>
      </c>
      <c r="VZE1335" s="4" t="s">
        <v>2879</v>
      </c>
      <c r="VZF1335" s="4" t="s">
        <v>2879</v>
      </c>
      <c r="VZG1335" s="4" t="s">
        <v>2879</v>
      </c>
      <c r="VZH1335" s="4" t="s">
        <v>2879</v>
      </c>
      <c r="VZI1335" s="4" t="s">
        <v>2879</v>
      </c>
      <c r="VZJ1335" s="4" t="s">
        <v>2879</v>
      </c>
      <c r="VZK1335" s="4" t="s">
        <v>2879</v>
      </c>
      <c r="VZL1335" s="4" t="s">
        <v>2879</v>
      </c>
      <c r="VZM1335" s="4" t="s">
        <v>2879</v>
      </c>
      <c r="VZN1335" s="4" t="s">
        <v>2879</v>
      </c>
      <c r="VZO1335" s="4" t="s">
        <v>2879</v>
      </c>
      <c r="VZP1335" s="4" t="s">
        <v>2879</v>
      </c>
      <c r="VZQ1335" s="4" t="s">
        <v>2879</v>
      </c>
      <c r="VZR1335" s="4" t="s">
        <v>2879</v>
      </c>
      <c r="VZS1335" s="4" t="s">
        <v>2879</v>
      </c>
      <c r="VZT1335" s="4" t="s">
        <v>2879</v>
      </c>
      <c r="VZU1335" s="4" t="s">
        <v>2879</v>
      </c>
      <c r="VZV1335" s="4" t="s">
        <v>2879</v>
      </c>
      <c r="VZW1335" s="4" t="s">
        <v>2879</v>
      </c>
      <c r="VZX1335" s="4" t="s">
        <v>2879</v>
      </c>
      <c r="VZY1335" s="4" t="s">
        <v>2879</v>
      </c>
      <c r="VZZ1335" s="4" t="s">
        <v>2879</v>
      </c>
      <c r="WAA1335" s="4" t="s">
        <v>2879</v>
      </c>
      <c r="WAB1335" s="4" t="s">
        <v>2879</v>
      </c>
      <c r="WAC1335" s="4" t="s">
        <v>2879</v>
      </c>
      <c r="WAD1335" s="4" t="s">
        <v>2879</v>
      </c>
      <c r="WAE1335" s="4" t="s">
        <v>2879</v>
      </c>
      <c r="WAF1335" s="4" t="s">
        <v>2879</v>
      </c>
      <c r="WAG1335" s="4" t="s">
        <v>2879</v>
      </c>
      <c r="WAH1335" s="4" t="s">
        <v>2879</v>
      </c>
      <c r="WAI1335" s="4" t="s">
        <v>2879</v>
      </c>
      <c r="WAJ1335" s="4" t="s">
        <v>2879</v>
      </c>
      <c r="WAK1335" s="4" t="s">
        <v>2879</v>
      </c>
      <c r="WAL1335" s="4" t="s">
        <v>2879</v>
      </c>
      <c r="WAM1335" s="4" t="s">
        <v>2879</v>
      </c>
      <c r="WAN1335" s="4" t="s">
        <v>2879</v>
      </c>
      <c r="WAO1335" s="4" t="s">
        <v>2879</v>
      </c>
      <c r="WAP1335" s="4" t="s">
        <v>2879</v>
      </c>
      <c r="WAQ1335" s="4" t="s">
        <v>2879</v>
      </c>
      <c r="WAR1335" s="4" t="s">
        <v>2879</v>
      </c>
      <c r="WAS1335" s="4" t="s">
        <v>2879</v>
      </c>
      <c r="WAT1335" s="4" t="s">
        <v>2879</v>
      </c>
      <c r="WAU1335" s="4" t="s">
        <v>2879</v>
      </c>
      <c r="WAV1335" s="4" t="s">
        <v>2879</v>
      </c>
      <c r="WAW1335" s="4" t="s">
        <v>2879</v>
      </c>
      <c r="WAX1335" s="4" t="s">
        <v>2879</v>
      </c>
      <c r="WAY1335" s="4" t="s">
        <v>2879</v>
      </c>
      <c r="WAZ1335" s="4" t="s">
        <v>2879</v>
      </c>
      <c r="WBA1335" s="4" t="s">
        <v>2879</v>
      </c>
      <c r="WBB1335" s="4" t="s">
        <v>2879</v>
      </c>
      <c r="WBC1335" s="4" t="s">
        <v>2879</v>
      </c>
      <c r="WBD1335" s="4" t="s">
        <v>2879</v>
      </c>
      <c r="WBE1335" s="4" t="s">
        <v>2879</v>
      </c>
      <c r="WBF1335" s="4" t="s">
        <v>2879</v>
      </c>
      <c r="WBG1335" s="4" t="s">
        <v>2879</v>
      </c>
      <c r="WBH1335" s="4" t="s">
        <v>2879</v>
      </c>
      <c r="WBI1335" s="4" t="s">
        <v>2879</v>
      </c>
      <c r="WBJ1335" s="4" t="s">
        <v>2879</v>
      </c>
      <c r="WBK1335" s="4" t="s">
        <v>2879</v>
      </c>
      <c r="WBL1335" s="4" t="s">
        <v>2879</v>
      </c>
      <c r="WBM1335" s="4" t="s">
        <v>2879</v>
      </c>
      <c r="WBN1335" s="4" t="s">
        <v>2879</v>
      </c>
      <c r="WBO1335" s="4" t="s">
        <v>2879</v>
      </c>
      <c r="WBP1335" s="4" t="s">
        <v>2879</v>
      </c>
      <c r="WBQ1335" s="4" t="s">
        <v>2879</v>
      </c>
      <c r="WBR1335" s="4" t="s">
        <v>2879</v>
      </c>
      <c r="WBS1335" s="4" t="s">
        <v>2879</v>
      </c>
      <c r="WBT1335" s="4" t="s">
        <v>2879</v>
      </c>
      <c r="WBU1335" s="4" t="s">
        <v>2879</v>
      </c>
      <c r="WBV1335" s="4" t="s">
        <v>2879</v>
      </c>
      <c r="WBW1335" s="4" t="s">
        <v>2879</v>
      </c>
      <c r="WBX1335" s="4" t="s">
        <v>2879</v>
      </c>
      <c r="WBY1335" s="4" t="s">
        <v>2879</v>
      </c>
      <c r="WBZ1335" s="4" t="s">
        <v>2879</v>
      </c>
      <c r="WCA1335" s="4" t="s">
        <v>2879</v>
      </c>
      <c r="WCB1335" s="4" t="s">
        <v>2879</v>
      </c>
      <c r="WCC1335" s="4" t="s">
        <v>2879</v>
      </c>
      <c r="WCD1335" s="4" t="s">
        <v>2879</v>
      </c>
      <c r="WCE1335" s="4" t="s">
        <v>2879</v>
      </c>
      <c r="WCF1335" s="4" t="s">
        <v>2879</v>
      </c>
      <c r="WCG1335" s="4" t="s">
        <v>2879</v>
      </c>
      <c r="WCH1335" s="4" t="s">
        <v>2879</v>
      </c>
      <c r="WCI1335" s="4" t="s">
        <v>2879</v>
      </c>
      <c r="WCJ1335" s="4" t="s">
        <v>2879</v>
      </c>
      <c r="WCK1335" s="4" t="s">
        <v>2879</v>
      </c>
      <c r="WCL1335" s="4" t="s">
        <v>2879</v>
      </c>
      <c r="WCM1335" s="4" t="s">
        <v>2879</v>
      </c>
      <c r="WCN1335" s="4" t="s">
        <v>2879</v>
      </c>
      <c r="WCO1335" s="4" t="s">
        <v>2879</v>
      </c>
      <c r="WCP1335" s="4" t="s">
        <v>2879</v>
      </c>
      <c r="WCQ1335" s="4" t="s">
        <v>2879</v>
      </c>
      <c r="WCR1335" s="4" t="s">
        <v>2879</v>
      </c>
      <c r="WCS1335" s="4" t="s">
        <v>2879</v>
      </c>
      <c r="WCT1335" s="4" t="s">
        <v>2879</v>
      </c>
      <c r="WCU1335" s="4" t="s">
        <v>2879</v>
      </c>
      <c r="WCV1335" s="4" t="s">
        <v>2879</v>
      </c>
      <c r="WCW1335" s="4" t="s">
        <v>2879</v>
      </c>
      <c r="WCX1335" s="4" t="s">
        <v>2879</v>
      </c>
      <c r="WCY1335" s="4" t="s">
        <v>2879</v>
      </c>
      <c r="WCZ1335" s="4" t="s">
        <v>2879</v>
      </c>
      <c r="WDA1335" s="4" t="s">
        <v>2879</v>
      </c>
      <c r="WDB1335" s="4" t="s">
        <v>2879</v>
      </c>
      <c r="WDC1335" s="4" t="s">
        <v>2879</v>
      </c>
      <c r="WDD1335" s="4" t="s">
        <v>2879</v>
      </c>
      <c r="WDE1335" s="4" t="s">
        <v>2879</v>
      </c>
      <c r="WDF1335" s="4" t="s">
        <v>2879</v>
      </c>
      <c r="WDG1335" s="4" t="s">
        <v>2879</v>
      </c>
      <c r="WDH1335" s="4" t="s">
        <v>2879</v>
      </c>
      <c r="WDI1335" s="4" t="s">
        <v>2879</v>
      </c>
      <c r="WDJ1335" s="4" t="s">
        <v>2879</v>
      </c>
      <c r="WDK1335" s="4" t="s">
        <v>2879</v>
      </c>
      <c r="WDL1335" s="4" t="s">
        <v>2879</v>
      </c>
      <c r="WDM1335" s="4" t="s">
        <v>2879</v>
      </c>
      <c r="WDN1335" s="4" t="s">
        <v>2879</v>
      </c>
      <c r="WDO1335" s="4" t="s">
        <v>2879</v>
      </c>
      <c r="WDP1335" s="4" t="s">
        <v>2879</v>
      </c>
      <c r="WDQ1335" s="4" t="s">
        <v>2879</v>
      </c>
      <c r="WDR1335" s="4" t="s">
        <v>2879</v>
      </c>
      <c r="WDS1335" s="4" t="s">
        <v>2879</v>
      </c>
      <c r="WDT1335" s="4" t="s">
        <v>2879</v>
      </c>
      <c r="WDU1335" s="4" t="s">
        <v>2879</v>
      </c>
      <c r="WDV1335" s="4" t="s">
        <v>2879</v>
      </c>
      <c r="WDW1335" s="4" t="s">
        <v>2879</v>
      </c>
      <c r="WDX1335" s="4" t="s">
        <v>2879</v>
      </c>
      <c r="WDY1335" s="4" t="s">
        <v>2879</v>
      </c>
      <c r="WDZ1335" s="4" t="s">
        <v>2879</v>
      </c>
      <c r="WEA1335" s="4" t="s">
        <v>2879</v>
      </c>
      <c r="WEB1335" s="4" t="s">
        <v>2879</v>
      </c>
      <c r="WEC1335" s="4" t="s">
        <v>2879</v>
      </c>
      <c r="WED1335" s="4" t="s">
        <v>2879</v>
      </c>
      <c r="WEE1335" s="4" t="s">
        <v>2879</v>
      </c>
      <c r="WEF1335" s="4" t="s">
        <v>2879</v>
      </c>
      <c r="WEG1335" s="4" t="s">
        <v>2879</v>
      </c>
      <c r="WEH1335" s="4" t="s">
        <v>2879</v>
      </c>
      <c r="WEI1335" s="4" t="s">
        <v>2879</v>
      </c>
      <c r="WEJ1335" s="4" t="s">
        <v>2879</v>
      </c>
      <c r="WEK1335" s="4" t="s">
        <v>2879</v>
      </c>
      <c r="WEL1335" s="4" t="s">
        <v>2879</v>
      </c>
      <c r="WEM1335" s="4" t="s">
        <v>2879</v>
      </c>
      <c r="WEN1335" s="4" t="s">
        <v>2879</v>
      </c>
      <c r="WEO1335" s="4" t="s">
        <v>2879</v>
      </c>
      <c r="WEP1335" s="4" t="s">
        <v>2879</v>
      </c>
      <c r="WEQ1335" s="4" t="s">
        <v>2879</v>
      </c>
      <c r="WER1335" s="4" t="s">
        <v>2879</v>
      </c>
      <c r="WES1335" s="4" t="s">
        <v>2879</v>
      </c>
      <c r="WET1335" s="4" t="s">
        <v>2879</v>
      </c>
      <c r="WEU1335" s="4" t="s">
        <v>2879</v>
      </c>
      <c r="WEV1335" s="4" t="s">
        <v>2879</v>
      </c>
      <c r="WEW1335" s="4" t="s">
        <v>2879</v>
      </c>
      <c r="WEX1335" s="4" t="s">
        <v>2879</v>
      </c>
      <c r="WEY1335" s="4" t="s">
        <v>2879</v>
      </c>
      <c r="WEZ1335" s="4" t="s">
        <v>2879</v>
      </c>
      <c r="WFA1335" s="4" t="s">
        <v>2879</v>
      </c>
      <c r="WFB1335" s="4" t="s">
        <v>2879</v>
      </c>
      <c r="WFC1335" s="4" t="s">
        <v>2879</v>
      </c>
      <c r="WFD1335" s="4" t="s">
        <v>2879</v>
      </c>
      <c r="WFE1335" s="4" t="s">
        <v>2879</v>
      </c>
      <c r="WFF1335" s="4" t="s">
        <v>2879</v>
      </c>
      <c r="WFG1335" s="4" t="s">
        <v>2879</v>
      </c>
      <c r="WFH1335" s="4" t="s">
        <v>2879</v>
      </c>
      <c r="WFI1335" s="4" t="s">
        <v>2879</v>
      </c>
      <c r="WFJ1335" s="4" t="s">
        <v>2879</v>
      </c>
      <c r="WFK1335" s="4" t="s">
        <v>2879</v>
      </c>
      <c r="WFL1335" s="4" t="s">
        <v>2879</v>
      </c>
      <c r="WFM1335" s="4" t="s">
        <v>2879</v>
      </c>
      <c r="WFN1335" s="4" t="s">
        <v>2879</v>
      </c>
      <c r="WFO1335" s="4" t="s">
        <v>2879</v>
      </c>
      <c r="WFP1335" s="4" t="s">
        <v>2879</v>
      </c>
      <c r="WFQ1335" s="4" t="s">
        <v>2879</v>
      </c>
      <c r="WFR1335" s="4" t="s">
        <v>2879</v>
      </c>
      <c r="WFS1335" s="4" t="s">
        <v>2879</v>
      </c>
      <c r="WFT1335" s="4" t="s">
        <v>2879</v>
      </c>
      <c r="WFU1335" s="4" t="s">
        <v>2879</v>
      </c>
      <c r="WFV1335" s="4" t="s">
        <v>2879</v>
      </c>
      <c r="WFW1335" s="4" t="s">
        <v>2879</v>
      </c>
      <c r="WFX1335" s="4" t="s">
        <v>2879</v>
      </c>
      <c r="WFY1335" s="4" t="s">
        <v>2879</v>
      </c>
      <c r="WFZ1335" s="4" t="s">
        <v>2879</v>
      </c>
      <c r="WGA1335" s="4" t="s">
        <v>2879</v>
      </c>
      <c r="WGB1335" s="4" t="s">
        <v>2879</v>
      </c>
      <c r="WGC1335" s="4" t="s">
        <v>2879</v>
      </c>
      <c r="WGD1335" s="4" t="s">
        <v>2879</v>
      </c>
      <c r="WGE1335" s="4" t="s">
        <v>2879</v>
      </c>
      <c r="WGF1335" s="4" t="s">
        <v>2879</v>
      </c>
      <c r="WGG1335" s="4" t="s">
        <v>2879</v>
      </c>
      <c r="WGH1335" s="4" t="s">
        <v>2879</v>
      </c>
      <c r="WGI1335" s="4" t="s">
        <v>2879</v>
      </c>
      <c r="WGJ1335" s="4" t="s">
        <v>2879</v>
      </c>
      <c r="WGK1335" s="4" t="s">
        <v>2879</v>
      </c>
      <c r="WGL1335" s="4" t="s">
        <v>2879</v>
      </c>
      <c r="WGM1335" s="4" t="s">
        <v>2879</v>
      </c>
      <c r="WGN1335" s="4" t="s">
        <v>2879</v>
      </c>
      <c r="WGO1335" s="4" t="s">
        <v>2879</v>
      </c>
      <c r="WGP1335" s="4" t="s">
        <v>2879</v>
      </c>
      <c r="WGQ1335" s="4" t="s">
        <v>2879</v>
      </c>
      <c r="WGR1335" s="4" t="s">
        <v>2879</v>
      </c>
      <c r="WGS1335" s="4" t="s">
        <v>2879</v>
      </c>
      <c r="WGT1335" s="4" t="s">
        <v>2879</v>
      </c>
      <c r="WGU1335" s="4" t="s">
        <v>2879</v>
      </c>
      <c r="WGV1335" s="4" t="s">
        <v>2879</v>
      </c>
      <c r="WGW1335" s="4" t="s">
        <v>2879</v>
      </c>
      <c r="WGX1335" s="4" t="s">
        <v>2879</v>
      </c>
      <c r="WGY1335" s="4" t="s">
        <v>2879</v>
      </c>
      <c r="WGZ1335" s="4" t="s">
        <v>2879</v>
      </c>
      <c r="WHA1335" s="4" t="s">
        <v>2879</v>
      </c>
      <c r="WHB1335" s="4" t="s">
        <v>2879</v>
      </c>
      <c r="WHC1335" s="4" t="s">
        <v>2879</v>
      </c>
      <c r="WHD1335" s="4" t="s">
        <v>2879</v>
      </c>
      <c r="WHE1335" s="4" t="s">
        <v>2879</v>
      </c>
      <c r="WHF1335" s="4" t="s">
        <v>2879</v>
      </c>
      <c r="WHG1335" s="4" t="s">
        <v>2879</v>
      </c>
      <c r="WHH1335" s="4" t="s">
        <v>2879</v>
      </c>
      <c r="WHI1335" s="4" t="s">
        <v>2879</v>
      </c>
      <c r="WHJ1335" s="4" t="s">
        <v>2879</v>
      </c>
      <c r="WHK1335" s="4" t="s">
        <v>2879</v>
      </c>
      <c r="WHL1335" s="4" t="s">
        <v>2879</v>
      </c>
      <c r="WHM1335" s="4" t="s">
        <v>2879</v>
      </c>
      <c r="WHN1335" s="4" t="s">
        <v>2879</v>
      </c>
      <c r="WHO1335" s="4" t="s">
        <v>2879</v>
      </c>
      <c r="WHP1335" s="4" t="s">
        <v>2879</v>
      </c>
      <c r="WHQ1335" s="4" t="s">
        <v>2879</v>
      </c>
      <c r="WHR1335" s="4" t="s">
        <v>2879</v>
      </c>
      <c r="WHS1335" s="4" t="s">
        <v>2879</v>
      </c>
      <c r="WHT1335" s="4" t="s">
        <v>2879</v>
      </c>
      <c r="WHU1335" s="4" t="s">
        <v>2879</v>
      </c>
      <c r="WHV1335" s="4" t="s">
        <v>2879</v>
      </c>
      <c r="WHW1335" s="4" t="s">
        <v>2879</v>
      </c>
      <c r="WHX1335" s="4" t="s">
        <v>2879</v>
      </c>
      <c r="WHY1335" s="4" t="s">
        <v>2879</v>
      </c>
      <c r="WHZ1335" s="4" t="s">
        <v>2879</v>
      </c>
      <c r="WIA1335" s="4" t="s">
        <v>2879</v>
      </c>
      <c r="WIB1335" s="4" t="s">
        <v>2879</v>
      </c>
      <c r="WIC1335" s="4" t="s">
        <v>2879</v>
      </c>
      <c r="WID1335" s="4" t="s">
        <v>2879</v>
      </c>
      <c r="WIE1335" s="4" t="s">
        <v>2879</v>
      </c>
      <c r="WIF1335" s="4" t="s">
        <v>2879</v>
      </c>
      <c r="WIG1335" s="4" t="s">
        <v>2879</v>
      </c>
      <c r="WIH1335" s="4" t="s">
        <v>2879</v>
      </c>
      <c r="WII1335" s="4" t="s">
        <v>2879</v>
      </c>
      <c r="WIJ1335" s="4" t="s">
        <v>2879</v>
      </c>
      <c r="WIK1335" s="4" t="s">
        <v>2879</v>
      </c>
      <c r="WIL1335" s="4" t="s">
        <v>2879</v>
      </c>
      <c r="WIM1335" s="4" t="s">
        <v>2879</v>
      </c>
      <c r="WIN1335" s="4" t="s">
        <v>2879</v>
      </c>
      <c r="WIO1335" s="4" t="s">
        <v>2879</v>
      </c>
      <c r="WIP1335" s="4" t="s">
        <v>2879</v>
      </c>
      <c r="WIQ1335" s="4" t="s">
        <v>2879</v>
      </c>
      <c r="WIR1335" s="4" t="s">
        <v>2879</v>
      </c>
      <c r="WIS1335" s="4" t="s">
        <v>2879</v>
      </c>
      <c r="WIT1335" s="4" t="s">
        <v>2879</v>
      </c>
      <c r="WIU1335" s="4" t="s">
        <v>2879</v>
      </c>
      <c r="WIV1335" s="4" t="s">
        <v>2879</v>
      </c>
      <c r="WIW1335" s="4" t="s">
        <v>2879</v>
      </c>
      <c r="WIX1335" s="4" t="s">
        <v>2879</v>
      </c>
      <c r="WIY1335" s="4" t="s">
        <v>2879</v>
      </c>
      <c r="WIZ1335" s="4" t="s">
        <v>2879</v>
      </c>
      <c r="WJA1335" s="4" t="s">
        <v>2879</v>
      </c>
      <c r="WJB1335" s="4" t="s">
        <v>2879</v>
      </c>
      <c r="WJC1335" s="4" t="s">
        <v>2879</v>
      </c>
      <c r="WJD1335" s="4" t="s">
        <v>2879</v>
      </c>
      <c r="WJE1335" s="4" t="s">
        <v>2879</v>
      </c>
      <c r="WJF1335" s="4" t="s">
        <v>2879</v>
      </c>
      <c r="WJG1335" s="4" t="s">
        <v>2879</v>
      </c>
      <c r="WJH1335" s="4" t="s">
        <v>2879</v>
      </c>
      <c r="WJI1335" s="4" t="s">
        <v>2879</v>
      </c>
      <c r="WJJ1335" s="4" t="s">
        <v>2879</v>
      </c>
      <c r="WJK1335" s="4" t="s">
        <v>2879</v>
      </c>
      <c r="WJL1335" s="4" t="s">
        <v>2879</v>
      </c>
      <c r="WJM1335" s="4" t="s">
        <v>2879</v>
      </c>
      <c r="WJN1335" s="4" t="s">
        <v>2879</v>
      </c>
      <c r="WJO1335" s="4" t="s">
        <v>2879</v>
      </c>
      <c r="WJP1335" s="4" t="s">
        <v>2879</v>
      </c>
      <c r="WJQ1335" s="4" t="s">
        <v>2879</v>
      </c>
      <c r="WJR1335" s="4" t="s">
        <v>2879</v>
      </c>
      <c r="WJS1335" s="4" t="s">
        <v>2879</v>
      </c>
      <c r="WJT1335" s="4" t="s">
        <v>2879</v>
      </c>
      <c r="WJU1335" s="4" t="s">
        <v>2879</v>
      </c>
      <c r="WJV1335" s="4" t="s">
        <v>2879</v>
      </c>
      <c r="WJW1335" s="4" t="s">
        <v>2879</v>
      </c>
      <c r="WJX1335" s="4" t="s">
        <v>2879</v>
      </c>
      <c r="WJY1335" s="4" t="s">
        <v>2879</v>
      </c>
      <c r="WJZ1335" s="4" t="s">
        <v>2879</v>
      </c>
      <c r="WKA1335" s="4" t="s">
        <v>2879</v>
      </c>
      <c r="WKB1335" s="4" t="s">
        <v>2879</v>
      </c>
      <c r="WKC1335" s="4" t="s">
        <v>2879</v>
      </c>
      <c r="WKD1335" s="4" t="s">
        <v>2879</v>
      </c>
      <c r="WKE1335" s="4" t="s">
        <v>2879</v>
      </c>
      <c r="WKF1335" s="4" t="s">
        <v>2879</v>
      </c>
      <c r="WKG1335" s="4" t="s">
        <v>2879</v>
      </c>
      <c r="WKH1335" s="4" t="s">
        <v>2879</v>
      </c>
      <c r="WKI1335" s="4" t="s">
        <v>2879</v>
      </c>
      <c r="WKJ1335" s="4" t="s">
        <v>2879</v>
      </c>
      <c r="WKK1335" s="4" t="s">
        <v>2879</v>
      </c>
      <c r="WKL1335" s="4" t="s">
        <v>2879</v>
      </c>
      <c r="WKM1335" s="4" t="s">
        <v>2879</v>
      </c>
      <c r="WKN1335" s="4" t="s">
        <v>2879</v>
      </c>
      <c r="WKO1335" s="4" t="s">
        <v>2879</v>
      </c>
      <c r="WKP1335" s="4" t="s">
        <v>2879</v>
      </c>
      <c r="WKQ1335" s="4" t="s">
        <v>2879</v>
      </c>
      <c r="WKR1335" s="4" t="s">
        <v>2879</v>
      </c>
      <c r="WKS1335" s="4" t="s">
        <v>2879</v>
      </c>
      <c r="WKT1335" s="4" t="s">
        <v>2879</v>
      </c>
      <c r="WKU1335" s="4" t="s">
        <v>2879</v>
      </c>
      <c r="WKV1335" s="4" t="s">
        <v>2879</v>
      </c>
      <c r="WKW1335" s="4" t="s">
        <v>2879</v>
      </c>
      <c r="WKX1335" s="4" t="s">
        <v>2879</v>
      </c>
      <c r="WKY1335" s="4" t="s">
        <v>2879</v>
      </c>
      <c r="WKZ1335" s="4" t="s">
        <v>2879</v>
      </c>
      <c r="WLA1335" s="4" t="s">
        <v>2879</v>
      </c>
      <c r="WLB1335" s="4" t="s">
        <v>2879</v>
      </c>
      <c r="WLC1335" s="4" t="s">
        <v>2879</v>
      </c>
      <c r="WLD1335" s="4" t="s">
        <v>2879</v>
      </c>
      <c r="WLE1335" s="4" t="s">
        <v>2879</v>
      </c>
      <c r="WLF1335" s="4" t="s">
        <v>2879</v>
      </c>
      <c r="WLG1335" s="4" t="s">
        <v>2879</v>
      </c>
      <c r="WLH1335" s="4" t="s">
        <v>2879</v>
      </c>
      <c r="WLI1335" s="4" t="s">
        <v>2879</v>
      </c>
      <c r="WLJ1335" s="4" t="s">
        <v>2879</v>
      </c>
      <c r="WLK1335" s="4" t="s">
        <v>2879</v>
      </c>
      <c r="WLL1335" s="4" t="s">
        <v>2879</v>
      </c>
      <c r="WLM1335" s="4" t="s">
        <v>2879</v>
      </c>
      <c r="WLN1335" s="4" t="s">
        <v>2879</v>
      </c>
      <c r="WLO1335" s="4" t="s">
        <v>2879</v>
      </c>
      <c r="WLP1335" s="4" t="s">
        <v>2879</v>
      </c>
      <c r="WLQ1335" s="4" t="s">
        <v>2879</v>
      </c>
      <c r="WLR1335" s="4" t="s">
        <v>2879</v>
      </c>
      <c r="WLS1335" s="4" t="s">
        <v>2879</v>
      </c>
      <c r="WLT1335" s="4" t="s">
        <v>2879</v>
      </c>
      <c r="WLU1335" s="4" t="s">
        <v>2879</v>
      </c>
      <c r="WLV1335" s="4" t="s">
        <v>2879</v>
      </c>
      <c r="WLW1335" s="4" t="s">
        <v>2879</v>
      </c>
      <c r="WLX1335" s="4" t="s">
        <v>2879</v>
      </c>
      <c r="WLY1335" s="4" t="s">
        <v>2879</v>
      </c>
      <c r="WLZ1335" s="4" t="s">
        <v>2879</v>
      </c>
      <c r="WMA1335" s="4" t="s">
        <v>2879</v>
      </c>
      <c r="WMB1335" s="4" t="s">
        <v>2879</v>
      </c>
      <c r="WMC1335" s="4" t="s">
        <v>2879</v>
      </c>
      <c r="WMD1335" s="4" t="s">
        <v>2879</v>
      </c>
      <c r="WME1335" s="4" t="s">
        <v>2879</v>
      </c>
      <c r="WMF1335" s="4" t="s">
        <v>2879</v>
      </c>
      <c r="WMG1335" s="4" t="s">
        <v>2879</v>
      </c>
      <c r="WMH1335" s="4" t="s">
        <v>2879</v>
      </c>
      <c r="WMI1335" s="4" t="s">
        <v>2879</v>
      </c>
      <c r="WMJ1335" s="4" t="s">
        <v>2879</v>
      </c>
      <c r="WMK1335" s="4" t="s">
        <v>2879</v>
      </c>
      <c r="WML1335" s="4" t="s">
        <v>2879</v>
      </c>
      <c r="WMM1335" s="4" t="s">
        <v>2879</v>
      </c>
      <c r="WMN1335" s="4" t="s">
        <v>2879</v>
      </c>
      <c r="WMO1335" s="4" t="s">
        <v>2879</v>
      </c>
      <c r="WMP1335" s="4" t="s">
        <v>2879</v>
      </c>
      <c r="WMQ1335" s="4" t="s">
        <v>2879</v>
      </c>
      <c r="WMR1335" s="4" t="s">
        <v>2879</v>
      </c>
      <c r="WMS1335" s="4" t="s">
        <v>2879</v>
      </c>
      <c r="WMT1335" s="4" t="s">
        <v>2879</v>
      </c>
      <c r="WMU1335" s="4" t="s">
        <v>2879</v>
      </c>
      <c r="WMV1335" s="4" t="s">
        <v>2879</v>
      </c>
      <c r="WMW1335" s="4" t="s">
        <v>2879</v>
      </c>
      <c r="WMX1335" s="4" t="s">
        <v>2879</v>
      </c>
      <c r="WMY1335" s="4" t="s">
        <v>2879</v>
      </c>
      <c r="WMZ1335" s="4" t="s">
        <v>2879</v>
      </c>
      <c r="WNA1335" s="4" t="s">
        <v>2879</v>
      </c>
      <c r="WNB1335" s="4" t="s">
        <v>2879</v>
      </c>
      <c r="WNC1335" s="4" t="s">
        <v>2879</v>
      </c>
      <c r="WND1335" s="4" t="s">
        <v>2879</v>
      </c>
      <c r="WNE1335" s="4" t="s">
        <v>2879</v>
      </c>
      <c r="WNF1335" s="4" t="s">
        <v>2879</v>
      </c>
      <c r="WNG1335" s="4" t="s">
        <v>2879</v>
      </c>
      <c r="WNH1335" s="4" t="s">
        <v>2879</v>
      </c>
      <c r="WNI1335" s="4" t="s">
        <v>2879</v>
      </c>
      <c r="WNJ1335" s="4" t="s">
        <v>2879</v>
      </c>
      <c r="WNK1335" s="4" t="s">
        <v>2879</v>
      </c>
      <c r="WNL1335" s="4" t="s">
        <v>2879</v>
      </c>
      <c r="WNM1335" s="4" t="s">
        <v>2879</v>
      </c>
      <c r="WNN1335" s="4" t="s">
        <v>2879</v>
      </c>
      <c r="WNO1335" s="4" t="s">
        <v>2879</v>
      </c>
      <c r="WNP1335" s="4" t="s">
        <v>2879</v>
      </c>
      <c r="WNQ1335" s="4" t="s">
        <v>2879</v>
      </c>
      <c r="WNR1335" s="4" t="s">
        <v>2879</v>
      </c>
      <c r="WNS1335" s="4" t="s">
        <v>2879</v>
      </c>
      <c r="WNT1335" s="4" t="s">
        <v>2879</v>
      </c>
      <c r="WNU1335" s="4" t="s">
        <v>2879</v>
      </c>
      <c r="WNV1335" s="4" t="s">
        <v>2879</v>
      </c>
      <c r="WNW1335" s="4" t="s">
        <v>2879</v>
      </c>
      <c r="WNX1335" s="4" t="s">
        <v>2879</v>
      </c>
      <c r="WNY1335" s="4" t="s">
        <v>2879</v>
      </c>
      <c r="WNZ1335" s="4" t="s">
        <v>2879</v>
      </c>
      <c r="WOA1335" s="4" t="s">
        <v>2879</v>
      </c>
      <c r="WOB1335" s="4" t="s">
        <v>2879</v>
      </c>
      <c r="WOC1335" s="4" t="s">
        <v>2879</v>
      </c>
      <c r="WOD1335" s="4" t="s">
        <v>2879</v>
      </c>
      <c r="WOE1335" s="4" t="s">
        <v>2879</v>
      </c>
      <c r="WOF1335" s="4" t="s">
        <v>2879</v>
      </c>
      <c r="WOG1335" s="4" t="s">
        <v>2879</v>
      </c>
      <c r="WOH1335" s="4" t="s">
        <v>2879</v>
      </c>
      <c r="WOI1335" s="4" t="s">
        <v>2879</v>
      </c>
      <c r="WOJ1335" s="4" t="s">
        <v>2879</v>
      </c>
      <c r="WOK1335" s="4" t="s">
        <v>2879</v>
      </c>
      <c r="WOL1335" s="4" t="s">
        <v>2879</v>
      </c>
      <c r="WOM1335" s="4" t="s">
        <v>2879</v>
      </c>
      <c r="WON1335" s="4" t="s">
        <v>2879</v>
      </c>
      <c r="WOO1335" s="4" t="s">
        <v>2879</v>
      </c>
      <c r="WOP1335" s="4" t="s">
        <v>2879</v>
      </c>
      <c r="WOQ1335" s="4" t="s">
        <v>2879</v>
      </c>
      <c r="WOR1335" s="4" t="s">
        <v>2879</v>
      </c>
      <c r="WOS1335" s="4" t="s">
        <v>2879</v>
      </c>
      <c r="WOT1335" s="4" t="s">
        <v>2879</v>
      </c>
      <c r="WOU1335" s="4" t="s">
        <v>2879</v>
      </c>
      <c r="WOV1335" s="4" t="s">
        <v>2879</v>
      </c>
      <c r="WOW1335" s="4" t="s">
        <v>2879</v>
      </c>
      <c r="WOX1335" s="4" t="s">
        <v>2879</v>
      </c>
      <c r="WOY1335" s="4" t="s">
        <v>2879</v>
      </c>
      <c r="WOZ1335" s="4" t="s">
        <v>2879</v>
      </c>
      <c r="WPA1335" s="4" t="s">
        <v>2879</v>
      </c>
      <c r="WPB1335" s="4" t="s">
        <v>2879</v>
      </c>
      <c r="WPC1335" s="4" t="s">
        <v>2879</v>
      </c>
      <c r="WPD1335" s="4" t="s">
        <v>2879</v>
      </c>
      <c r="WPE1335" s="4" t="s">
        <v>2879</v>
      </c>
      <c r="WPF1335" s="4" t="s">
        <v>2879</v>
      </c>
      <c r="WPG1335" s="4" t="s">
        <v>2879</v>
      </c>
      <c r="WPH1335" s="4" t="s">
        <v>2879</v>
      </c>
      <c r="WPI1335" s="4" t="s">
        <v>2879</v>
      </c>
      <c r="WPJ1335" s="4" t="s">
        <v>2879</v>
      </c>
      <c r="WPK1335" s="4" t="s">
        <v>2879</v>
      </c>
      <c r="WPL1335" s="4" t="s">
        <v>2879</v>
      </c>
      <c r="WPM1335" s="4" t="s">
        <v>2879</v>
      </c>
      <c r="WPN1335" s="4" t="s">
        <v>2879</v>
      </c>
      <c r="WPO1335" s="4" t="s">
        <v>2879</v>
      </c>
      <c r="WPP1335" s="4" t="s">
        <v>2879</v>
      </c>
      <c r="WPQ1335" s="4" t="s">
        <v>2879</v>
      </c>
      <c r="WPR1335" s="4" t="s">
        <v>2879</v>
      </c>
      <c r="WPS1335" s="4" t="s">
        <v>2879</v>
      </c>
      <c r="WPT1335" s="4" t="s">
        <v>2879</v>
      </c>
      <c r="WPU1335" s="4" t="s">
        <v>2879</v>
      </c>
      <c r="WPV1335" s="4" t="s">
        <v>2879</v>
      </c>
      <c r="WPW1335" s="4" t="s">
        <v>2879</v>
      </c>
      <c r="WPX1335" s="4" t="s">
        <v>2879</v>
      </c>
      <c r="WPY1335" s="4" t="s">
        <v>2879</v>
      </c>
      <c r="WPZ1335" s="4" t="s">
        <v>2879</v>
      </c>
      <c r="WQA1335" s="4" t="s">
        <v>2879</v>
      </c>
      <c r="WQB1335" s="4" t="s">
        <v>2879</v>
      </c>
      <c r="WQC1335" s="4" t="s">
        <v>2879</v>
      </c>
      <c r="WQD1335" s="4" t="s">
        <v>2879</v>
      </c>
      <c r="WQE1335" s="4" t="s">
        <v>2879</v>
      </c>
      <c r="WQF1335" s="4" t="s">
        <v>2879</v>
      </c>
      <c r="WQG1335" s="4" t="s">
        <v>2879</v>
      </c>
      <c r="WQH1335" s="4" t="s">
        <v>2879</v>
      </c>
      <c r="WQI1335" s="4" t="s">
        <v>2879</v>
      </c>
      <c r="WQJ1335" s="4" t="s">
        <v>2879</v>
      </c>
      <c r="WQK1335" s="4" t="s">
        <v>2879</v>
      </c>
      <c r="WQL1335" s="4" t="s">
        <v>2879</v>
      </c>
      <c r="WQM1335" s="4" t="s">
        <v>2879</v>
      </c>
      <c r="WQN1335" s="4" t="s">
        <v>2879</v>
      </c>
      <c r="WQO1335" s="4" t="s">
        <v>2879</v>
      </c>
      <c r="WQP1335" s="4" t="s">
        <v>2879</v>
      </c>
      <c r="WQQ1335" s="4" t="s">
        <v>2879</v>
      </c>
      <c r="WQR1335" s="4" t="s">
        <v>2879</v>
      </c>
      <c r="WQS1335" s="4" t="s">
        <v>2879</v>
      </c>
      <c r="WQT1335" s="4" t="s">
        <v>2879</v>
      </c>
      <c r="WQU1335" s="4" t="s">
        <v>2879</v>
      </c>
      <c r="WQV1335" s="4" t="s">
        <v>2879</v>
      </c>
      <c r="WQW1335" s="4" t="s">
        <v>2879</v>
      </c>
      <c r="WQX1335" s="4" t="s">
        <v>2879</v>
      </c>
      <c r="WQY1335" s="4" t="s">
        <v>2879</v>
      </c>
      <c r="WQZ1335" s="4" t="s">
        <v>2879</v>
      </c>
      <c r="WRA1335" s="4" t="s">
        <v>2879</v>
      </c>
      <c r="WRB1335" s="4" t="s">
        <v>2879</v>
      </c>
      <c r="WRC1335" s="4" t="s">
        <v>2879</v>
      </c>
      <c r="WRD1335" s="4" t="s">
        <v>2879</v>
      </c>
      <c r="WRE1335" s="4" t="s">
        <v>2879</v>
      </c>
      <c r="WRF1335" s="4" t="s">
        <v>2879</v>
      </c>
      <c r="WRG1335" s="4" t="s">
        <v>2879</v>
      </c>
      <c r="WRH1335" s="4" t="s">
        <v>2879</v>
      </c>
      <c r="WRI1335" s="4" t="s">
        <v>2879</v>
      </c>
      <c r="WRJ1335" s="4" t="s">
        <v>2879</v>
      </c>
      <c r="WRK1335" s="4" t="s">
        <v>2879</v>
      </c>
      <c r="WRL1335" s="4" t="s">
        <v>2879</v>
      </c>
      <c r="WRM1335" s="4" t="s">
        <v>2879</v>
      </c>
      <c r="WRN1335" s="4" t="s">
        <v>2879</v>
      </c>
      <c r="WRO1335" s="4" t="s">
        <v>2879</v>
      </c>
      <c r="WRP1335" s="4" t="s">
        <v>2879</v>
      </c>
      <c r="WRQ1335" s="4" t="s">
        <v>2879</v>
      </c>
      <c r="WRR1335" s="4" t="s">
        <v>2879</v>
      </c>
      <c r="WRS1335" s="4" t="s">
        <v>2879</v>
      </c>
      <c r="WRT1335" s="4" t="s">
        <v>2879</v>
      </c>
      <c r="WRU1335" s="4" t="s">
        <v>2879</v>
      </c>
      <c r="WRV1335" s="4" t="s">
        <v>2879</v>
      </c>
      <c r="WRW1335" s="4" t="s">
        <v>2879</v>
      </c>
      <c r="WRX1335" s="4" t="s">
        <v>2879</v>
      </c>
      <c r="WRY1335" s="4" t="s">
        <v>2879</v>
      </c>
      <c r="WRZ1335" s="4" t="s">
        <v>2879</v>
      </c>
      <c r="WSA1335" s="4" t="s">
        <v>2879</v>
      </c>
      <c r="WSB1335" s="4" t="s">
        <v>2879</v>
      </c>
      <c r="WSC1335" s="4" t="s">
        <v>2879</v>
      </c>
      <c r="WSD1335" s="4" t="s">
        <v>2879</v>
      </c>
      <c r="WSE1335" s="4" t="s">
        <v>2879</v>
      </c>
      <c r="WSF1335" s="4" t="s">
        <v>2879</v>
      </c>
      <c r="WSG1335" s="4" t="s">
        <v>2879</v>
      </c>
      <c r="WSH1335" s="4" t="s">
        <v>2879</v>
      </c>
      <c r="WSI1335" s="4" t="s">
        <v>2879</v>
      </c>
      <c r="WSJ1335" s="4" t="s">
        <v>2879</v>
      </c>
      <c r="WSK1335" s="4" t="s">
        <v>2879</v>
      </c>
      <c r="WSL1335" s="4" t="s">
        <v>2879</v>
      </c>
      <c r="WSM1335" s="4" t="s">
        <v>2879</v>
      </c>
      <c r="WSN1335" s="4" t="s">
        <v>2879</v>
      </c>
      <c r="WSO1335" s="4" t="s">
        <v>2879</v>
      </c>
      <c r="WSP1335" s="4" t="s">
        <v>2879</v>
      </c>
      <c r="WSQ1335" s="4" t="s">
        <v>2879</v>
      </c>
      <c r="WSR1335" s="4" t="s">
        <v>2879</v>
      </c>
      <c r="WSS1335" s="4" t="s">
        <v>2879</v>
      </c>
      <c r="WST1335" s="4" t="s">
        <v>2879</v>
      </c>
      <c r="WSU1335" s="4" t="s">
        <v>2879</v>
      </c>
      <c r="WSV1335" s="4" t="s">
        <v>2879</v>
      </c>
      <c r="WSW1335" s="4" t="s">
        <v>2879</v>
      </c>
      <c r="WSX1335" s="4" t="s">
        <v>2879</v>
      </c>
      <c r="WSY1335" s="4" t="s">
        <v>2879</v>
      </c>
      <c r="WSZ1335" s="4" t="s">
        <v>2879</v>
      </c>
      <c r="WTA1335" s="4" t="s">
        <v>2879</v>
      </c>
      <c r="WTB1335" s="4" t="s">
        <v>2879</v>
      </c>
      <c r="WTC1335" s="4" t="s">
        <v>2879</v>
      </c>
      <c r="WTD1335" s="4" t="s">
        <v>2879</v>
      </c>
      <c r="WTE1335" s="4" t="s">
        <v>2879</v>
      </c>
      <c r="WTF1335" s="4" t="s">
        <v>2879</v>
      </c>
      <c r="WTG1335" s="4" t="s">
        <v>2879</v>
      </c>
      <c r="WTH1335" s="4" t="s">
        <v>2879</v>
      </c>
      <c r="WTI1335" s="4" t="s">
        <v>2879</v>
      </c>
      <c r="WTJ1335" s="4" t="s">
        <v>2879</v>
      </c>
      <c r="WTK1335" s="4" t="s">
        <v>2879</v>
      </c>
      <c r="WTL1335" s="4" t="s">
        <v>2879</v>
      </c>
      <c r="WTM1335" s="4" t="s">
        <v>2879</v>
      </c>
      <c r="WTN1335" s="4" t="s">
        <v>2879</v>
      </c>
      <c r="WTO1335" s="4" t="s">
        <v>2879</v>
      </c>
      <c r="WTP1335" s="4" t="s">
        <v>2879</v>
      </c>
      <c r="WTQ1335" s="4" t="s">
        <v>2879</v>
      </c>
      <c r="WTR1335" s="4" t="s">
        <v>2879</v>
      </c>
      <c r="WTS1335" s="4" t="s">
        <v>2879</v>
      </c>
      <c r="WTT1335" s="4" t="s">
        <v>2879</v>
      </c>
      <c r="WTU1335" s="4" t="s">
        <v>2879</v>
      </c>
      <c r="WTV1335" s="4" t="s">
        <v>2879</v>
      </c>
      <c r="WTW1335" s="4" t="s">
        <v>2879</v>
      </c>
      <c r="WTX1335" s="4" t="s">
        <v>2879</v>
      </c>
      <c r="WTY1335" s="4" t="s">
        <v>2879</v>
      </c>
      <c r="WTZ1335" s="4" t="s">
        <v>2879</v>
      </c>
      <c r="WUA1335" s="4" t="s">
        <v>2879</v>
      </c>
      <c r="WUB1335" s="4" t="s">
        <v>2879</v>
      </c>
      <c r="WUC1335" s="4" t="s">
        <v>2879</v>
      </c>
      <c r="WUD1335" s="4" t="s">
        <v>2879</v>
      </c>
      <c r="WUE1335" s="4" t="s">
        <v>2879</v>
      </c>
      <c r="WUF1335" s="4" t="s">
        <v>2879</v>
      </c>
      <c r="WUG1335" s="4" t="s">
        <v>2879</v>
      </c>
      <c r="WUH1335" s="4" t="s">
        <v>2879</v>
      </c>
      <c r="WUI1335" s="4" t="s">
        <v>2879</v>
      </c>
      <c r="WUJ1335" s="4" t="s">
        <v>2879</v>
      </c>
      <c r="WUK1335" s="4" t="s">
        <v>2879</v>
      </c>
      <c r="WUL1335" s="4" t="s">
        <v>2879</v>
      </c>
      <c r="WUM1335" s="4" t="s">
        <v>2879</v>
      </c>
      <c r="WUN1335" s="4" t="s">
        <v>2879</v>
      </c>
      <c r="WUO1335" s="4" t="s">
        <v>2879</v>
      </c>
      <c r="WUP1335" s="4" t="s">
        <v>2879</v>
      </c>
      <c r="WUQ1335" s="4" t="s">
        <v>2879</v>
      </c>
      <c r="WUR1335" s="4" t="s">
        <v>2879</v>
      </c>
      <c r="WUS1335" s="4" t="s">
        <v>2879</v>
      </c>
      <c r="WUT1335" s="4" t="s">
        <v>2879</v>
      </c>
      <c r="WUU1335" s="4" t="s">
        <v>2879</v>
      </c>
      <c r="WUV1335" s="4" t="s">
        <v>2879</v>
      </c>
      <c r="WUW1335" s="4" t="s">
        <v>2879</v>
      </c>
      <c r="WUX1335" s="4" t="s">
        <v>2879</v>
      </c>
      <c r="WUY1335" s="4" t="s">
        <v>2879</v>
      </c>
      <c r="WUZ1335" s="4" t="s">
        <v>2879</v>
      </c>
      <c r="WVA1335" s="4" t="s">
        <v>2879</v>
      </c>
      <c r="WVB1335" s="4" t="s">
        <v>2879</v>
      </c>
      <c r="WVC1335" s="4" t="s">
        <v>2879</v>
      </c>
      <c r="WVD1335" s="4" t="s">
        <v>2879</v>
      </c>
      <c r="WVE1335" s="4" t="s">
        <v>2879</v>
      </c>
      <c r="WVF1335" s="4" t="s">
        <v>2879</v>
      </c>
      <c r="WVG1335" s="4" t="s">
        <v>2879</v>
      </c>
      <c r="WVH1335" s="4" t="s">
        <v>2879</v>
      </c>
      <c r="WVI1335" s="4" t="s">
        <v>2879</v>
      </c>
      <c r="WVJ1335" s="4" t="s">
        <v>2879</v>
      </c>
      <c r="WVK1335" s="4" t="s">
        <v>2879</v>
      </c>
      <c r="WVL1335" s="4" t="s">
        <v>2879</v>
      </c>
      <c r="WVM1335" s="4" t="s">
        <v>2879</v>
      </c>
      <c r="WVN1335" s="4" t="s">
        <v>2879</v>
      </c>
      <c r="WVO1335" s="4" t="s">
        <v>2879</v>
      </c>
      <c r="WVP1335" s="4" t="s">
        <v>2879</v>
      </c>
      <c r="WVQ1335" s="4" t="s">
        <v>2879</v>
      </c>
      <c r="WVR1335" s="4" t="s">
        <v>2879</v>
      </c>
      <c r="WVS1335" s="4" t="s">
        <v>2879</v>
      </c>
      <c r="WVT1335" s="4" t="s">
        <v>2879</v>
      </c>
      <c r="WVU1335" s="4" t="s">
        <v>2879</v>
      </c>
      <c r="WVV1335" s="4" t="s">
        <v>2879</v>
      </c>
      <c r="WVW1335" s="4" t="s">
        <v>2879</v>
      </c>
      <c r="WVX1335" s="4" t="s">
        <v>2879</v>
      </c>
      <c r="WVY1335" s="4" t="s">
        <v>2879</v>
      </c>
      <c r="WVZ1335" s="4" t="s">
        <v>2879</v>
      </c>
      <c r="WWA1335" s="4" t="s">
        <v>2879</v>
      </c>
      <c r="WWB1335" s="4" t="s">
        <v>2879</v>
      </c>
      <c r="WWC1335" s="4" t="s">
        <v>2879</v>
      </c>
      <c r="WWD1335" s="4" t="s">
        <v>2879</v>
      </c>
      <c r="WWE1335" s="4" t="s">
        <v>2879</v>
      </c>
      <c r="WWF1335" s="4" t="s">
        <v>2879</v>
      </c>
      <c r="WWG1335" s="4" t="s">
        <v>2879</v>
      </c>
      <c r="WWH1335" s="4" t="s">
        <v>2879</v>
      </c>
      <c r="WWI1335" s="4" t="s">
        <v>2879</v>
      </c>
      <c r="WWJ1335" s="4" t="s">
        <v>2879</v>
      </c>
      <c r="WWK1335" s="4" t="s">
        <v>2879</v>
      </c>
      <c r="WWL1335" s="4" t="s">
        <v>2879</v>
      </c>
      <c r="WWM1335" s="4" t="s">
        <v>2879</v>
      </c>
      <c r="WWN1335" s="4" t="s">
        <v>2879</v>
      </c>
      <c r="WWO1335" s="4" t="s">
        <v>2879</v>
      </c>
      <c r="WWP1335" s="4" t="s">
        <v>2879</v>
      </c>
      <c r="WWQ1335" s="4" t="s">
        <v>2879</v>
      </c>
      <c r="WWR1335" s="4" t="s">
        <v>2879</v>
      </c>
      <c r="WWS1335" s="4" t="s">
        <v>2879</v>
      </c>
      <c r="WWT1335" s="4" t="s">
        <v>2879</v>
      </c>
      <c r="WWU1335" s="4" t="s">
        <v>2879</v>
      </c>
      <c r="WWV1335" s="4" t="s">
        <v>2879</v>
      </c>
      <c r="WWW1335" s="4" t="s">
        <v>2879</v>
      </c>
      <c r="WWX1335" s="4" t="s">
        <v>2879</v>
      </c>
      <c r="WWY1335" s="4" t="s">
        <v>2879</v>
      </c>
      <c r="WWZ1335" s="4" t="s">
        <v>2879</v>
      </c>
      <c r="WXA1335" s="4" t="s">
        <v>2879</v>
      </c>
      <c r="WXB1335" s="4" t="s">
        <v>2879</v>
      </c>
      <c r="WXC1335" s="4" t="s">
        <v>2879</v>
      </c>
      <c r="WXD1335" s="4" t="s">
        <v>2879</v>
      </c>
      <c r="WXE1335" s="4" t="s">
        <v>2879</v>
      </c>
      <c r="WXF1335" s="4" t="s">
        <v>2879</v>
      </c>
      <c r="WXG1335" s="4" t="s">
        <v>2879</v>
      </c>
      <c r="WXH1335" s="4" t="s">
        <v>2879</v>
      </c>
      <c r="WXI1335" s="4" t="s">
        <v>2879</v>
      </c>
      <c r="WXJ1335" s="4" t="s">
        <v>2879</v>
      </c>
      <c r="WXK1335" s="4" t="s">
        <v>2879</v>
      </c>
      <c r="WXL1335" s="4" t="s">
        <v>2879</v>
      </c>
      <c r="WXM1335" s="4" t="s">
        <v>2879</v>
      </c>
      <c r="WXN1335" s="4" t="s">
        <v>2879</v>
      </c>
      <c r="WXO1335" s="4" t="s">
        <v>2879</v>
      </c>
      <c r="WXP1335" s="4" t="s">
        <v>2879</v>
      </c>
      <c r="WXQ1335" s="4" t="s">
        <v>2879</v>
      </c>
      <c r="WXR1335" s="4" t="s">
        <v>2879</v>
      </c>
      <c r="WXS1335" s="4" t="s">
        <v>2879</v>
      </c>
      <c r="WXT1335" s="4" t="s">
        <v>2879</v>
      </c>
      <c r="WXU1335" s="4" t="s">
        <v>2879</v>
      </c>
      <c r="WXV1335" s="4" t="s">
        <v>2879</v>
      </c>
      <c r="WXW1335" s="4" t="s">
        <v>2879</v>
      </c>
      <c r="WXX1335" s="4" t="s">
        <v>2879</v>
      </c>
      <c r="WXY1335" s="4" t="s">
        <v>2879</v>
      </c>
      <c r="WXZ1335" s="4" t="s">
        <v>2879</v>
      </c>
      <c r="WYA1335" s="4" t="s">
        <v>2879</v>
      </c>
      <c r="WYB1335" s="4" t="s">
        <v>2879</v>
      </c>
      <c r="WYC1335" s="4" t="s">
        <v>2879</v>
      </c>
      <c r="WYD1335" s="4" t="s">
        <v>2879</v>
      </c>
      <c r="WYE1335" s="4" t="s">
        <v>2879</v>
      </c>
      <c r="WYF1335" s="4" t="s">
        <v>2879</v>
      </c>
      <c r="WYG1335" s="4" t="s">
        <v>2879</v>
      </c>
      <c r="WYH1335" s="4" t="s">
        <v>2879</v>
      </c>
      <c r="WYI1335" s="4" t="s">
        <v>2879</v>
      </c>
      <c r="WYJ1335" s="4" t="s">
        <v>2879</v>
      </c>
      <c r="WYK1335" s="4" t="s">
        <v>2879</v>
      </c>
      <c r="WYL1335" s="4" t="s">
        <v>2879</v>
      </c>
      <c r="WYM1335" s="4" t="s">
        <v>2879</v>
      </c>
      <c r="WYN1335" s="4" t="s">
        <v>2879</v>
      </c>
      <c r="WYO1335" s="4" t="s">
        <v>2879</v>
      </c>
      <c r="WYP1335" s="4" t="s">
        <v>2879</v>
      </c>
      <c r="WYQ1335" s="4" t="s">
        <v>2879</v>
      </c>
      <c r="WYR1335" s="4" t="s">
        <v>2879</v>
      </c>
      <c r="WYS1335" s="4" t="s">
        <v>2879</v>
      </c>
      <c r="WYT1335" s="4" t="s">
        <v>2879</v>
      </c>
      <c r="WYU1335" s="4" t="s">
        <v>2879</v>
      </c>
      <c r="WYV1335" s="4" t="s">
        <v>2879</v>
      </c>
      <c r="WYW1335" s="4" t="s">
        <v>2879</v>
      </c>
      <c r="WYX1335" s="4" t="s">
        <v>2879</v>
      </c>
      <c r="WYY1335" s="4" t="s">
        <v>2879</v>
      </c>
      <c r="WYZ1335" s="4" t="s">
        <v>2879</v>
      </c>
      <c r="WZA1335" s="4" t="s">
        <v>2879</v>
      </c>
      <c r="WZB1335" s="4" t="s">
        <v>2879</v>
      </c>
      <c r="WZC1335" s="4" t="s">
        <v>2879</v>
      </c>
      <c r="WZD1335" s="4" t="s">
        <v>2879</v>
      </c>
      <c r="WZE1335" s="4" t="s">
        <v>2879</v>
      </c>
      <c r="WZF1335" s="4" t="s">
        <v>2879</v>
      </c>
      <c r="WZG1335" s="4" t="s">
        <v>2879</v>
      </c>
      <c r="WZH1335" s="4" t="s">
        <v>2879</v>
      </c>
      <c r="WZI1335" s="4" t="s">
        <v>2879</v>
      </c>
      <c r="WZJ1335" s="4" t="s">
        <v>2879</v>
      </c>
      <c r="WZK1335" s="4" t="s">
        <v>2879</v>
      </c>
      <c r="WZL1335" s="4" t="s">
        <v>2879</v>
      </c>
      <c r="WZM1335" s="4" t="s">
        <v>2879</v>
      </c>
      <c r="WZN1335" s="4" t="s">
        <v>2879</v>
      </c>
      <c r="WZO1335" s="4" t="s">
        <v>2879</v>
      </c>
      <c r="WZP1335" s="4" t="s">
        <v>2879</v>
      </c>
      <c r="WZQ1335" s="4" t="s">
        <v>2879</v>
      </c>
      <c r="WZR1335" s="4" t="s">
        <v>2879</v>
      </c>
      <c r="WZS1335" s="4" t="s">
        <v>2879</v>
      </c>
      <c r="WZT1335" s="4" t="s">
        <v>2879</v>
      </c>
      <c r="WZU1335" s="4" t="s">
        <v>2879</v>
      </c>
      <c r="WZV1335" s="4" t="s">
        <v>2879</v>
      </c>
      <c r="WZW1335" s="4" t="s">
        <v>2879</v>
      </c>
      <c r="WZX1335" s="4" t="s">
        <v>2879</v>
      </c>
      <c r="WZY1335" s="4" t="s">
        <v>2879</v>
      </c>
      <c r="WZZ1335" s="4" t="s">
        <v>2879</v>
      </c>
      <c r="XAA1335" s="4" t="s">
        <v>2879</v>
      </c>
      <c r="XAB1335" s="4" t="s">
        <v>2879</v>
      </c>
      <c r="XAC1335" s="4" t="s">
        <v>2879</v>
      </c>
      <c r="XAD1335" s="4" t="s">
        <v>2879</v>
      </c>
      <c r="XAE1335" s="4" t="s">
        <v>2879</v>
      </c>
      <c r="XAF1335" s="4" t="s">
        <v>2879</v>
      </c>
      <c r="XAG1335" s="4" t="s">
        <v>2879</v>
      </c>
      <c r="XAH1335" s="4" t="s">
        <v>2879</v>
      </c>
      <c r="XAI1335" s="4" t="s">
        <v>2879</v>
      </c>
      <c r="XAJ1335" s="4" t="s">
        <v>2879</v>
      </c>
      <c r="XAK1335" s="4" t="s">
        <v>2879</v>
      </c>
      <c r="XAL1335" s="4" t="s">
        <v>2879</v>
      </c>
      <c r="XAM1335" s="4" t="s">
        <v>2879</v>
      </c>
      <c r="XAN1335" s="4" t="s">
        <v>2879</v>
      </c>
      <c r="XAO1335" s="4" t="s">
        <v>2879</v>
      </c>
      <c r="XAP1335" s="4" t="s">
        <v>2879</v>
      </c>
      <c r="XAQ1335" s="4" t="s">
        <v>2879</v>
      </c>
      <c r="XAR1335" s="4" t="s">
        <v>2879</v>
      </c>
      <c r="XAS1335" s="4" t="s">
        <v>2879</v>
      </c>
      <c r="XAT1335" s="4" t="s">
        <v>2879</v>
      </c>
      <c r="XAU1335" s="4" t="s">
        <v>2879</v>
      </c>
      <c r="XAV1335" s="4" t="s">
        <v>2879</v>
      </c>
      <c r="XAW1335" s="4" t="s">
        <v>2879</v>
      </c>
      <c r="XAX1335" s="4" t="s">
        <v>2879</v>
      </c>
      <c r="XAY1335" s="4" t="s">
        <v>2879</v>
      </c>
      <c r="XAZ1335" s="4" t="s">
        <v>2879</v>
      </c>
      <c r="XBA1335" s="4" t="s">
        <v>2879</v>
      </c>
      <c r="XBB1335" s="4" t="s">
        <v>2879</v>
      </c>
      <c r="XBC1335" s="4" t="s">
        <v>2879</v>
      </c>
      <c r="XBD1335" s="4" t="s">
        <v>2879</v>
      </c>
      <c r="XBE1335" s="4" t="s">
        <v>2879</v>
      </c>
      <c r="XBF1335" s="4" t="s">
        <v>2879</v>
      </c>
      <c r="XBG1335" s="4" t="s">
        <v>2879</v>
      </c>
      <c r="XBH1335" s="4" t="s">
        <v>2879</v>
      </c>
      <c r="XBI1335" s="4" t="s">
        <v>2879</v>
      </c>
      <c r="XBJ1335" s="4" t="s">
        <v>2879</v>
      </c>
      <c r="XBK1335" s="4" t="s">
        <v>2879</v>
      </c>
      <c r="XBL1335" s="4" t="s">
        <v>2879</v>
      </c>
      <c r="XBM1335" s="4" t="s">
        <v>2879</v>
      </c>
      <c r="XBN1335" s="4" t="s">
        <v>2879</v>
      </c>
      <c r="XBO1335" s="4" t="s">
        <v>2879</v>
      </c>
      <c r="XBP1335" s="4" t="s">
        <v>2879</v>
      </c>
      <c r="XBQ1335" s="4" t="s">
        <v>2879</v>
      </c>
      <c r="XBR1335" s="4" t="s">
        <v>2879</v>
      </c>
      <c r="XBS1335" s="4" t="s">
        <v>2879</v>
      </c>
      <c r="XBT1335" s="4" t="s">
        <v>2879</v>
      </c>
      <c r="XBU1335" s="4" t="s">
        <v>2879</v>
      </c>
      <c r="XBV1335" s="4" t="s">
        <v>2879</v>
      </c>
      <c r="XBW1335" s="4" t="s">
        <v>2879</v>
      </c>
      <c r="XBX1335" s="4" t="s">
        <v>2879</v>
      </c>
      <c r="XBY1335" s="4" t="s">
        <v>2879</v>
      </c>
      <c r="XBZ1335" s="4" t="s">
        <v>2879</v>
      </c>
      <c r="XCA1335" s="4" t="s">
        <v>2879</v>
      </c>
      <c r="XCB1335" s="4" t="s">
        <v>2879</v>
      </c>
      <c r="XCC1335" s="4" t="s">
        <v>2879</v>
      </c>
      <c r="XCD1335" s="4" t="s">
        <v>2879</v>
      </c>
      <c r="XCE1335" s="4" t="s">
        <v>2879</v>
      </c>
      <c r="XCF1335" s="4" t="s">
        <v>2879</v>
      </c>
      <c r="XCG1335" s="4" t="s">
        <v>2879</v>
      </c>
      <c r="XCH1335" s="4" t="s">
        <v>2879</v>
      </c>
      <c r="XCI1335" s="4" t="s">
        <v>2879</v>
      </c>
      <c r="XCJ1335" s="4" t="s">
        <v>2879</v>
      </c>
      <c r="XCK1335" s="4" t="s">
        <v>2879</v>
      </c>
      <c r="XCL1335" s="4" t="s">
        <v>2879</v>
      </c>
      <c r="XCM1335" s="4" t="s">
        <v>2879</v>
      </c>
      <c r="XCN1335" s="4" t="s">
        <v>2879</v>
      </c>
      <c r="XCO1335" s="4" t="s">
        <v>2879</v>
      </c>
      <c r="XCP1335" s="4" t="s">
        <v>2879</v>
      </c>
      <c r="XCQ1335" s="4" t="s">
        <v>2879</v>
      </c>
      <c r="XCR1335" s="4" t="s">
        <v>2879</v>
      </c>
      <c r="XCS1335" s="4" t="s">
        <v>2879</v>
      </c>
      <c r="XCT1335" s="4" t="s">
        <v>2879</v>
      </c>
      <c r="XCU1335" s="4" t="s">
        <v>2879</v>
      </c>
      <c r="XCV1335" s="4" t="s">
        <v>2879</v>
      </c>
      <c r="XCW1335" s="4" t="s">
        <v>2879</v>
      </c>
      <c r="XCX1335" s="4" t="s">
        <v>2879</v>
      </c>
      <c r="XCY1335" s="4" t="s">
        <v>2879</v>
      </c>
      <c r="XCZ1335" s="4" t="s">
        <v>2879</v>
      </c>
      <c r="XDA1335" s="4" t="s">
        <v>2879</v>
      </c>
      <c r="XDB1335" s="4" t="s">
        <v>2879</v>
      </c>
      <c r="XDC1335" s="4" t="s">
        <v>2879</v>
      </c>
      <c r="XDD1335" s="4" t="s">
        <v>2879</v>
      </c>
      <c r="XDE1335" s="4" t="s">
        <v>2879</v>
      </c>
      <c r="XDF1335" s="4" t="s">
        <v>2879</v>
      </c>
      <c r="XDG1335" s="4" t="s">
        <v>2879</v>
      </c>
      <c r="XDH1335" s="4" t="s">
        <v>2879</v>
      </c>
      <c r="XDI1335" s="4" t="s">
        <v>2879</v>
      </c>
      <c r="XDJ1335" s="4" t="s">
        <v>2879</v>
      </c>
      <c r="XDK1335" s="4" t="s">
        <v>2879</v>
      </c>
      <c r="XDL1335" s="4" t="s">
        <v>2879</v>
      </c>
      <c r="XDM1335" s="4" t="s">
        <v>2879</v>
      </c>
      <c r="XDN1335" s="4" t="s">
        <v>2879</v>
      </c>
      <c r="XDO1335" s="4" t="s">
        <v>2879</v>
      </c>
      <c r="XDP1335" s="4" t="s">
        <v>2879</v>
      </c>
      <c r="XDQ1335" s="4" t="s">
        <v>2879</v>
      </c>
      <c r="XDR1335" s="4" t="s">
        <v>2879</v>
      </c>
      <c r="XDS1335" s="4" t="s">
        <v>2879</v>
      </c>
      <c r="XDT1335" s="4" t="s">
        <v>2879</v>
      </c>
      <c r="XDU1335" s="4" t="s">
        <v>2879</v>
      </c>
      <c r="XDV1335" s="4" t="s">
        <v>2879</v>
      </c>
      <c r="XDW1335" s="4" t="s">
        <v>2879</v>
      </c>
      <c r="XDX1335" s="4" t="s">
        <v>2879</v>
      </c>
      <c r="XDY1335" s="4" t="s">
        <v>2879</v>
      </c>
      <c r="XDZ1335" s="4" t="s">
        <v>2879</v>
      </c>
      <c r="XEA1335" s="4" t="s">
        <v>2879</v>
      </c>
      <c r="XEB1335" s="4" t="s">
        <v>2879</v>
      </c>
      <c r="XEC1335" s="4" t="s">
        <v>2879</v>
      </c>
      <c r="XED1335" s="4" t="s">
        <v>2879</v>
      </c>
      <c r="XEE1335" s="4" t="s">
        <v>2879</v>
      </c>
      <c r="XEF1335" s="4" t="s">
        <v>2879</v>
      </c>
      <c r="XEG1335" s="4" t="s">
        <v>2879</v>
      </c>
      <c r="XEH1335" s="4" t="s">
        <v>2879</v>
      </c>
      <c r="XEI1335" s="4" t="s">
        <v>2879</v>
      </c>
      <c r="XEJ1335" s="4" t="s">
        <v>2879</v>
      </c>
      <c r="XEK1335" s="4" t="s">
        <v>2879</v>
      </c>
      <c r="XEL1335" s="4" t="s">
        <v>2879</v>
      </c>
      <c r="XEM1335" s="4" t="s">
        <v>2879</v>
      </c>
      <c r="XEN1335" s="4" t="s">
        <v>2879</v>
      </c>
      <c r="XEO1335" s="4" t="s">
        <v>2879</v>
      </c>
      <c r="XEP1335" s="4" t="s">
        <v>2879</v>
      </c>
      <c r="XEQ1335" s="4" t="s">
        <v>2879</v>
      </c>
      <c r="XER1335" s="4" t="s">
        <v>2879</v>
      </c>
      <c r="XES1335" s="4" t="s">
        <v>2879</v>
      </c>
      <c r="XET1335" s="4" t="s">
        <v>2879</v>
      </c>
      <c r="XEU1335" s="4" t="s">
        <v>2879</v>
      </c>
      <c r="XEV1335" s="4" t="s">
        <v>2879</v>
      </c>
      <c r="XEW1335" s="4" t="s">
        <v>2879</v>
      </c>
      <c r="XEX1335" s="4" t="s">
        <v>2879</v>
      </c>
      <c r="XEY1335" s="4" t="s">
        <v>2879</v>
      </c>
      <c r="XEZ1335" s="4" t="s">
        <v>2879</v>
      </c>
      <c r="XFA1335" s="4" t="s">
        <v>2879</v>
      </c>
      <c r="XFB1335" s="4" t="s">
        <v>2879</v>
      </c>
    </row>
    <row r="1336" spans="1:5 1847:16382" x14ac:dyDescent="0.25">
      <c r="A1336" s="5" t="s">
        <v>3245</v>
      </c>
      <c r="B1336" s="6" t="s">
        <v>4016</v>
      </c>
      <c r="C1336" s="7" t="s">
        <v>24</v>
      </c>
      <c r="D1336" s="7" t="s">
        <v>4456</v>
      </c>
      <c r="E1336" s="8" t="s">
        <v>4454</v>
      </c>
      <c r="BSA1336" s="4" t="s">
        <v>2880</v>
      </c>
      <c r="BSB1336" s="4" t="s">
        <v>2880</v>
      </c>
      <c r="BSC1336" s="4" t="s">
        <v>2880</v>
      </c>
      <c r="BSD1336" s="4" t="s">
        <v>2880</v>
      </c>
      <c r="BSE1336" s="4" t="s">
        <v>2880</v>
      </c>
      <c r="BSF1336" s="4" t="s">
        <v>2880</v>
      </c>
      <c r="BSG1336" s="4" t="s">
        <v>2880</v>
      </c>
      <c r="BSH1336" s="4" t="s">
        <v>2880</v>
      </c>
      <c r="BSI1336" s="4" t="s">
        <v>2880</v>
      </c>
      <c r="BSJ1336" s="4" t="s">
        <v>2880</v>
      </c>
      <c r="BSK1336" s="4" t="s">
        <v>2880</v>
      </c>
      <c r="BSL1336" s="4" t="s">
        <v>2880</v>
      </c>
      <c r="BSM1336" s="4" t="s">
        <v>2880</v>
      </c>
      <c r="BSN1336" s="4" t="s">
        <v>2880</v>
      </c>
      <c r="BSO1336" s="4" t="s">
        <v>2880</v>
      </c>
      <c r="BSP1336" s="4" t="s">
        <v>2880</v>
      </c>
      <c r="BSQ1336" s="4" t="s">
        <v>2880</v>
      </c>
      <c r="BSR1336" s="4" t="s">
        <v>2880</v>
      </c>
      <c r="BSS1336" s="4" t="s">
        <v>2880</v>
      </c>
      <c r="BST1336" s="4" t="s">
        <v>2880</v>
      </c>
      <c r="BSU1336" s="4" t="s">
        <v>2880</v>
      </c>
      <c r="BSV1336" s="4" t="s">
        <v>2880</v>
      </c>
      <c r="BSW1336" s="4" t="s">
        <v>2880</v>
      </c>
      <c r="BSX1336" s="4" t="s">
        <v>2880</v>
      </c>
      <c r="BSY1336" s="4" t="s">
        <v>2880</v>
      </c>
      <c r="BSZ1336" s="4" t="s">
        <v>2880</v>
      </c>
      <c r="BTA1336" s="4" t="s">
        <v>2880</v>
      </c>
      <c r="BTB1336" s="4" t="s">
        <v>2880</v>
      </c>
      <c r="BTC1336" s="4" t="s">
        <v>2880</v>
      </c>
      <c r="BTD1336" s="4" t="s">
        <v>2880</v>
      </c>
      <c r="BTE1336" s="4" t="s">
        <v>2880</v>
      </c>
      <c r="BTF1336" s="4" t="s">
        <v>2880</v>
      </c>
      <c r="BTG1336" s="4" t="s">
        <v>2880</v>
      </c>
      <c r="BTH1336" s="4" t="s">
        <v>2880</v>
      </c>
      <c r="BTI1336" s="4" t="s">
        <v>2880</v>
      </c>
      <c r="BTJ1336" s="4" t="s">
        <v>2880</v>
      </c>
      <c r="BTK1336" s="4" t="s">
        <v>2880</v>
      </c>
      <c r="BTL1336" s="4" t="s">
        <v>2880</v>
      </c>
      <c r="BTM1336" s="4" t="s">
        <v>2880</v>
      </c>
      <c r="BTN1336" s="4" t="s">
        <v>2880</v>
      </c>
      <c r="BTO1336" s="4" t="s">
        <v>2880</v>
      </c>
      <c r="BTP1336" s="4" t="s">
        <v>2880</v>
      </c>
      <c r="BTQ1336" s="4" t="s">
        <v>2880</v>
      </c>
      <c r="BTR1336" s="4" t="s">
        <v>2880</v>
      </c>
      <c r="BTS1336" s="4" t="s">
        <v>2880</v>
      </c>
      <c r="BTT1336" s="4" t="s">
        <v>2880</v>
      </c>
      <c r="BTU1336" s="4" t="s">
        <v>2880</v>
      </c>
      <c r="BTV1336" s="4" t="s">
        <v>2880</v>
      </c>
      <c r="BTW1336" s="4" t="s">
        <v>2880</v>
      </c>
      <c r="BTX1336" s="4" t="s">
        <v>2880</v>
      </c>
      <c r="BTY1336" s="4" t="s">
        <v>2880</v>
      </c>
      <c r="BTZ1336" s="4" t="s">
        <v>2880</v>
      </c>
      <c r="BUA1336" s="4" t="s">
        <v>2880</v>
      </c>
      <c r="BUB1336" s="4" t="s">
        <v>2880</v>
      </c>
      <c r="BUC1336" s="4" t="s">
        <v>2880</v>
      </c>
      <c r="BUD1336" s="4" t="s">
        <v>2880</v>
      </c>
      <c r="BUE1336" s="4" t="s">
        <v>2880</v>
      </c>
      <c r="BUF1336" s="4" t="s">
        <v>2880</v>
      </c>
      <c r="BUG1336" s="4" t="s">
        <v>2880</v>
      </c>
      <c r="BUH1336" s="4" t="s">
        <v>2880</v>
      </c>
      <c r="BUI1336" s="4" t="s">
        <v>2880</v>
      </c>
      <c r="BUJ1336" s="4" t="s">
        <v>2880</v>
      </c>
      <c r="BUK1336" s="4" t="s">
        <v>2880</v>
      </c>
      <c r="BUL1336" s="4" t="s">
        <v>2880</v>
      </c>
      <c r="BUM1336" s="4" t="s">
        <v>2880</v>
      </c>
      <c r="BUN1336" s="4" t="s">
        <v>2880</v>
      </c>
      <c r="BUO1336" s="4" t="s">
        <v>2880</v>
      </c>
      <c r="BUP1336" s="4" t="s">
        <v>2880</v>
      </c>
      <c r="BUQ1336" s="4" t="s">
        <v>2880</v>
      </c>
      <c r="BUR1336" s="4" t="s">
        <v>2880</v>
      </c>
      <c r="BUS1336" s="4" t="s">
        <v>2880</v>
      </c>
      <c r="BUT1336" s="4" t="s">
        <v>2880</v>
      </c>
      <c r="BUU1336" s="4" t="s">
        <v>2880</v>
      </c>
      <c r="BUV1336" s="4" t="s">
        <v>2880</v>
      </c>
      <c r="BUW1336" s="4" t="s">
        <v>2880</v>
      </c>
      <c r="BUX1336" s="4" t="s">
        <v>2880</v>
      </c>
      <c r="BUY1336" s="4" t="s">
        <v>2880</v>
      </c>
      <c r="BUZ1336" s="4" t="s">
        <v>2880</v>
      </c>
      <c r="BVA1336" s="4" t="s">
        <v>2880</v>
      </c>
      <c r="BVB1336" s="4" t="s">
        <v>2880</v>
      </c>
      <c r="BVC1336" s="4" t="s">
        <v>2880</v>
      </c>
      <c r="BVD1336" s="4" t="s">
        <v>2880</v>
      </c>
      <c r="BVE1336" s="4" t="s">
        <v>2880</v>
      </c>
      <c r="BVF1336" s="4" t="s">
        <v>2880</v>
      </c>
      <c r="BVG1336" s="4" t="s">
        <v>2880</v>
      </c>
      <c r="BVH1336" s="4" t="s">
        <v>2880</v>
      </c>
      <c r="BVI1336" s="4" t="s">
        <v>2880</v>
      </c>
      <c r="BVJ1336" s="4" t="s">
        <v>2880</v>
      </c>
      <c r="BVK1336" s="4" t="s">
        <v>2880</v>
      </c>
      <c r="BVL1336" s="4" t="s">
        <v>2880</v>
      </c>
      <c r="BVM1336" s="4" t="s">
        <v>2880</v>
      </c>
      <c r="BVN1336" s="4" t="s">
        <v>2880</v>
      </c>
      <c r="BVO1336" s="4" t="s">
        <v>2880</v>
      </c>
      <c r="BVP1336" s="4" t="s">
        <v>2880</v>
      </c>
      <c r="BVQ1336" s="4" t="s">
        <v>2880</v>
      </c>
      <c r="BVR1336" s="4" t="s">
        <v>2880</v>
      </c>
      <c r="BVS1336" s="4" t="s">
        <v>2880</v>
      </c>
      <c r="BVT1336" s="4" t="s">
        <v>2880</v>
      </c>
      <c r="BVU1336" s="4" t="s">
        <v>2880</v>
      </c>
      <c r="BVV1336" s="4" t="s">
        <v>2880</v>
      </c>
      <c r="BVW1336" s="4" t="s">
        <v>2880</v>
      </c>
      <c r="BVX1336" s="4" t="s">
        <v>2880</v>
      </c>
      <c r="BVY1336" s="4" t="s">
        <v>2880</v>
      </c>
      <c r="BVZ1336" s="4" t="s">
        <v>2880</v>
      </c>
      <c r="BWA1336" s="4" t="s">
        <v>2880</v>
      </c>
      <c r="BWB1336" s="4" t="s">
        <v>2880</v>
      </c>
      <c r="BWC1336" s="4" t="s">
        <v>2880</v>
      </c>
      <c r="BWD1336" s="4" t="s">
        <v>2880</v>
      </c>
      <c r="BWE1336" s="4" t="s">
        <v>2880</v>
      </c>
      <c r="BWF1336" s="4" t="s">
        <v>2880</v>
      </c>
      <c r="BWG1336" s="4" t="s">
        <v>2880</v>
      </c>
      <c r="BWH1336" s="4" t="s">
        <v>2880</v>
      </c>
      <c r="BWI1336" s="4" t="s">
        <v>2880</v>
      </c>
      <c r="BWJ1336" s="4" t="s">
        <v>2880</v>
      </c>
      <c r="BWK1336" s="4" t="s">
        <v>2880</v>
      </c>
      <c r="BWL1336" s="4" t="s">
        <v>2880</v>
      </c>
      <c r="BWM1336" s="4" t="s">
        <v>2880</v>
      </c>
      <c r="BWN1336" s="4" t="s">
        <v>2880</v>
      </c>
      <c r="BWO1336" s="4" t="s">
        <v>2880</v>
      </c>
      <c r="BWP1336" s="4" t="s">
        <v>2880</v>
      </c>
      <c r="BWQ1336" s="4" t="s">
        <v>2880</v>
      </c>
      <c r="BWR1336" s="4" t="s">
        <v>2880</v>
      </c>
      <c r="BWS1336" s="4" t="s">
        <v>2880</v>
      </c>
      <c r="BWT1336" s="4" t="s">
        <v>2880</v>
      </c>
      <c r="BWU1336" s="4" t="s">
        <v>2880</v>
      </c>
      <c r="BWV1336" s="4" t="s">
        <v>2880</v>
      </c>
      <c r="BWW1336" s="4" t="s">
        <v>2880</v>
      </c>
      <c r="BWX1336" s="4" t="s">
        <v>2880</v>
      </c>
      <c r="BWY1336" s="4" t="s">
        <v>2880</v>
      </c>
      <c r="BWZ1336" s="4" t="s">
        <v>2880</v>
      </c>
      <c r="BXA1336" s="4" t="s">
        <v>2880</v>
      </c>
      <c r="BXB1336" s="4" t="s">
        <v>2880</v>
      </c>
      <c r="BXC1336" s="4" t="s">
        <v>2880</v>
      </c>
      <c r="BXD1336" s="4" t="s">
        <v>2880</v>
      </c>
      <c r="BXE1336" s="4" t="s">
        <v>2880</v>
      </c>
      <c r="BXF1336" s="4" t="s">
        <v>2880</v>
      </c>
      <c r="BXG1336" s="4" t="s">
        <v>2880</v>
      </c>
      <c r="BXH1336" s="4" t="s">
        <v>2880</v>
      </c>
      <c r="BXI1336" s="4" t="s">
        <v>2880</v>
      </c>
      <c r="BXJ1336" s="4" t="s">
        <v>2880</v>
      </c>
      <c r="BXK1336" s="4" t="s">
        <v>2880</v>
      </c>
      <c r="BXL1336" s="4" t="s">
        <v>2880</v>
      </c>
      <c r="BXM1336" s="4" t="s">
        <v>2880</v>
      </c>
      <c r="BXN1336" s="4" t="s">
        <v>2880</v>
      </c>
      <c r="BXO1336" s="4" t="s">
        <v>2880</v>
      </c>
      <c r="BXP1336" s="4" t="s">
        <v>2880</v>
      </c>
      <c r="BXQ1336" s="4" t="s">
        <v>2880</v>
      </c>
      <c r="BXR1336" s="4" t="s">
        <v>2880</v>
      </c>
      <c r="BXS1336" s="4" t="s">
        <v>2880</v>
      </c>
      <c r="BXT1336" s="4" t="s">
        <v>2880</v>
      </c>
      <c r="BXU1336" s="4" t="s">
        <v>2880</v>
      </c>
      <c r="BXV1336" s="4" t="s">
        <v>2880</v>
      </c>
      <c r="BXW1336" s="4" t="s">
        <v>2880</v>
      </c>
      <c r="BXX1336" s="4" t="s">
        <v>2880</v>
      </c>
      <c r="BXY1336" s="4" t="s">
        <v>2880</v>
      </c>
      <c r="BXZ1336" s="4" t="s">
        <v>2880</v>
      </c>
      <c r="BYA1336" s="4" t="s">
        <v>2880</v>
      </c>
      <c r="BYB1336" s="4" t="s">
        <v>2880</v>
      </c>
      <c r="BYC1336" s="4" t="s">
        <v>2880</v>
      </c>
      <c r="BYD1336" s="4" t="s">
        <v>2880</v>
      </c>
      <c r="BYE1336" s="4" t="s">
        <v>2880</v>
      </c>
      <c r="BYF1336" s="4" t="s">
        <v>2880</v>
      </c>
      <c r="BYG1336" s="4" t="s">
        <v>2880</v>
      </c>
      <c r="BYH1336" s="4" t="s">
        <v>2880</v>
      </c>
      <c r="BYI1336" s="4" t="s">
        <v>2880</v>
      </c>
      <c r="BYJ1336" s="4" t="s">
        <v>2880</v>
      </c>
      <c r="BYK1336" s="4" t="s">
        <v>2880</v>
      </c>
      <c r="BYL1336" s="4" t="s">
        <v>2880</v>
      </c>
      <c r="BYM1336" s="4" t="s">
        <v>2880</v>
      </c>
      <c r="BYN1336" s="4" t="s">
        <v>2880</v>
      </c>
      <c r="BYO1336" s="4" t="s">
        <v>2880</v>
      </c>
      <c r="BYP1336" s="4" t="s">
        <v>2880</v>
      </c>
      <c r="BYQ1336" s="4" t="s">
        <v>2880</v>
      </c>
      <c r="BYR1336" s="4" t="s">
        <v>2880</v>
      </c>
      <c r="BYS1336" s="4" t="s">
        <v>2880</v>
      </c>
      <c r="BYT1336" s="4" t="s">
        <v>2880</v>
      </c>
      <c r="BYU1336" s="4" t="s">
        <v>2880</v>
      </c>
      <c r="BYV1336" s="4" t="s">
        <v>2880</v>
      </c>
      <c r="BYW1336" s="4" t="s">
        <v>2880</v>
      </c>
      <c r="BYX1336" s="4" t="s">
        <v>2880</v>
      </c>
      <c r="BYY1336" s="4" t="s">
        <v>2880</v>
      </c>
      <c r="BYZ1336" s="4" t="s">
        <v>2880</v>
      </c>
      <c r="BZA1336" s="4" t="s">
        <v>2880</v>
      </c>
      <c r="BZB1336" s="4" t="s">
        <v>2880</v>
      </c>
      <c r="BZC1336" s="4" t="s">
        <v>2880</v>
      </c>
      <c r="BZD1336" s="4" t="s">
        <v>2880</v>
      </c>
      <c r="BZE1336" s="4" t="s">
        <v>2880</v>
      </c>
      <c r="BZF1336" s="4" t="s">
        <v>2880</v>
      </c>
      <c r="BZG1336" s="4" t="s">
        <v>2880</v>
      </c>
      <c r="BZH1336" s="4" t="s">
        <v>2880</v>
      </c>
      <c r="BZI1336" s="4" t="s">
        <v>2880</v>
      </c>
      <c r="BZJ1336" s="4" t="s">
        <v>2880</v>
      </c>
      <c r="BZK1336" s="4" t="s">
        <v>2880</v>
      </c>
      <c r="BZL1336" s="4" t="s">
        <v>2880</v>
      </c>
      <c r="BZM1336" s="4" t="s">
        <v>2880</v>
      </c>
      <c r="BZN1336" s="4" t="s">
        <v>2880</v>
      </c>
      <c r="BZO1336" s="4" t="s">
        <v>2880</v>
      </c>
      <c r="BZP1336" s="4" t="s">
        <v>2880</v>
      </c>
      <c r="BZQ1336" s="4" t="s">
        <v>2880</v>
      </c>
      <c r="BZR1336" s="4" t="s">
        <v>2880</v>
      </c>
      <c r="BZS1336" s="4" t="s">
        <v>2880</v>
      </c>
      <c r="BZT1336" s="4" t="s">
        <v>2880</v>
      </c>
      <c r="BZU1336" s="4" t="s">
        <v>2880</v>
      </c>
      <c r="BZV1336" s="4" t="s">
        <v>2880</v>
      </c>
      <c r="BZW1336" s="4" t="s">
        <v>2880</v>
      </c>
      <c r="BZX1336" s="4" t="s">
        <v>2880</v>
      </c>
      <c r="BZY1336" s="4" t="s">
        <v>2880</v>
      </c>
      <c r="BZZ1336" s="4" t="s">
        <v>2880</v>
      </c>
      <c r="CAA1336" s="4" t="s">
        <v>2880</v>
      </c>
      <c r="CAB1336" s="4" t="s">
        <v>2880</v>
      </c>
      <c r="CAC1336" s="4" t="s">
        <v>2880</v>
      </c>
      <c r="CAD1336" s="4" t="s">
        <v>2880</v>
      </c>
      <c r="CAE1336" s="4" t="s">
        <v>2880</v>
      </c>
      <c r="CAF1336" s="4" t="s">
        <v>2880</v>
      </c>
      <c r="CAG1336" s="4" t="s">
        <v>2880</v>
      </c>
      <c r="CAH1336" s="4" t="s">
        <v>2880</v>
      </c>
      <c r="CAI1336" s="4" t="s">
        <v>2880</v>
      </c>
      <c r="CAJ1336" s="4" t="s">
        <v>2880</v>
      </c>
      <c r="CAK1336" s="4" t="s">
        <v>2880</v>
      </c>
      <c r="CAL1336" s="4" t="s">
        <v>2880</v>
      </c>
      <c r="CAM1336" s="4" t="s">
        <v>2880</v>
      </c>
      <c r="CAN1336" s="4" t="s">
        <v>2880</v>
      </c>
      <c r="CAO1336" s="4" t="s">
        <v>2880</v>
      </c>
      <c r="CAP1336" s="4" t="s">
        <v>2880</v>
      </c>
      <c r="CAQ1336" s="4" t="s">
        <v>2880</v>
      </c>
      <c r="CAR1336" s="4" t="s">
        <v>2880</v>
      </c>
      <c r="CAS1336" s="4" t="s">
        <v>2880</v>
      </c>
      <c r="CAT1336" s="4" t="s">
        <v>2880</v>
      </c>
      <c r="CAU1336" s="4" t="s">
        <v>2880</v>
      </c>
      <c r="CAV1336" s="4" t="s">
        <v>2880</v>
      </c>
      <c r="CAW1336" s="4" t="s">
        <v>2880</v>
      </c>
      <c r="CAX1336" s="4" t="s">
        <v>2880</v>
      </c>
      <c r="CAY1336" s="4" t="s">
        <v>2880</v>
      </c>
      <c r="CAZ1336" s="4" t="s">
        <v>2880</v>
      </c>
      <c r="CBA1336" s="4" t="s">
        <v>2880</v>
      </c>
      <c r="CBB1336" s="4" t="s">
        <v>2880</v>
      </c>
      <c r="CBC1336" s="4" t="s">
        <v>2880</v>
      </c>
      <c r="CBD1336" s="4" t="s">
        <v>2880</v>
      </c>
      <c r="CBE1336" s="4" t="s">
        <v>2880</v>
      </c>
      <c r="CBF1336" s="4" t="s">
        <v>2880</v>
      </c>
      <c r="CBG1336" s="4" t="s">
        <v>2880</v>
      </c>
      <c r="CBH1336" s="4" t="s">
        <v>2880</v>
      </c>
      <c r="CBI1336" s="4" t="s">
        <v>2880</v>
      </c>
      <c r="CBJ1336" s="4" t="s">
        <v>2880</v>
      </c>
      <c r="CBK1336" s="4" t="s">
        <v>2880</v>
      </c>
      <c r="CBL1336" s="4" t="s">
        <v>2880</v>
      </c>
      <c r="CBM1336" s="4" t="s">
        <v>2880</v>
      </c>
      <c r="CBN1336" s="4" t="s">
        <v>2880</v>
      </c>
      <c r="CBO1336" s="4" t="s">
        <v>2880</v>
      </c>
      <c r="CBP1336" s="4" t="s">
        <v>2880</v>
      </c>
      <c r="CBQ1336" s="4" t="s">
        <v>2880</v>
      </c>
      <c r="CBR1336" s="4" t="s">
        <v>2880</v>
      </c>
      <c r="CBS1336" s="4" t="s">
        <v>2880</v>
      </c>
      <c r="CBT1336" s="4" t="s">
        <v>2880</v>
      </c>
      <c r="CBU1336" s="4" t="s">
        <v>2880</v>
      </c>
      <c r="CBV1336" s="4" t="s">
        <v>2880</v>
      </c>
      <c r="CBW1336" s="4" t="s">
        <v>2880</v>
      </c>
      <c r="CBX1336" s="4" t="s">
        <v>2880</v>
      </c>
      <c r="CBY1336" s="4" t="s">
        <v>2880</v>
      </c>
      <c r="CBZ1336" s="4" t="s">
        <v>2880</v>
      </c>
      <c r="CCA1336" s="4" t="s">
        <v>2880</v>
      </c>
      <c r="CCB1336" s="4" t="s">
        <v>2880</v>
      </c>
      <c r="CCC1336" s="4" t="s">
        <v>2880</v>
      </c>
      <c r="CCD1336" s="4" t="s">
        <v>2880</v>
      </c>
      <c r="CCE1336" s="4" t="s">
        <v>2880</v>
      </c>
      <c r="CCF1336" s="4" t="s">
        <v>2880</v>
      </c>
      <c r="CCG1336" s="4" t="s">
        <v>2880</v>
      </c>
      <c r="CCH1336" s="4" t="s">
        <v>2880</v>
      </c>
      <c r="CCI1336" s="4" t="s">
        <v>2880</v>
      </c>
      <c r="CCJ1336" s="4" t="s">
        <v>2880</v>
      </c>
      <c r="CCK1336" s="4" t="s">
        <v>2880</v>
      </c>
      <c r="CCL1336" s="4" t="s">
        <v>2880</v>
      </c>
      <c r="CCM1336" s="4" t="s">
        <v>2880</v>
      </c>
      <c r="CCN1336" s="4" t="s">
        <v>2880</v>
      </c>
      <c r="CCO1336" s="4" t="s">
        <v>2880</v>
      </c>
      <c r="CCP1336" s="4" t="s">
        <v>2880</v>
      </c>
      <c r="CCQ1336" s="4" t="s">
        <v>2880</v>
      </c>
      <c r="CCR1336" s="4" t="s">
        <v>2880</v>
      </c>
      <c r="CCS1336" s="4" t="s">
        <v>2880</v>
      </c>
      <c r="CCT1336" s="4" t="s">
        <v>2880</v>
      </c>
      <c r="CCU1336" s="4" t="s">
        <v>2880</v>
      </c>
      <c r="CCV1336" s="4" t="s">
        <v>2880</v>
      </c>
      <c r="CCW1336" s="4" t="s">
        <v>2880</v>
      </c>
      <c r="CCX1336" s="4" t="s">
        <v>2880</v>
      </c>
      <c r="CCY1336" s="4" t="s">
        <v>2880</v>
      </c>
      <c r="CCZ1336" s="4" t="s">
        <v>2880</v>
      </c>
      <c r="CDA1336" s="4" t="s">
        <v>2880</v>
      </c>
      <c r="CDB1336" s="4" t="s">
        <v>2880</v>
      </c>
      <c r="CDC1336" s="4" t="s">
        <v>2880</v>
      </c>
      <c r="CDD1336" s="4" t="s">
        <v>2880</v>
      </c>
      <c r="CDE1336" s="4" t="s">
        <v>2880</v>
      </c>
      <c r="CDF1336" s="4" t="s">
        <v>2880</v>
      </c>
      <c r="CDG1336" s="4" t="s">
        <v>2880</v>
      </c>
      <c r="CDH1336" s="4" t="s">
        <v>2880</v>
      </c>
      <c r="CDI1336" s="4" t="s">
        <v>2880</v>
      </c>
      <c r="CDJ1336" s="4" t="s">
        <v>2880</v>
      </c>
      <c r="CDK1336" s="4" t="s">
        <v>2880</v>
      </c>
      <c r="CDL1336" s="4" t="s">
        <v>2880</v>
      </c>
      <c r="CDM1336" s="4" t="s">
        <v>2880</v>
      </c>
      <c r="CDN1336" s="4" t="s">
        <v>2880</v>
      </c>
      <c r="CDO1336" s="4" t="s">
        <v>2880</v>
      </c>
      <c r="CDP1336" s="4" t="s">
        <v>2880</v>
      </c>
      <c r="CDQ1336" s="4" t="s">
        <v>2880</v>
      </c>
      <c r="CDR1336" s="4" t="s">
        <v>2880</v>
      </c>
      <c r="CDS1336" s="4" t="s">
        <v>2880</v>
      </c>
      <c r="CDT1336" s="4" t="s">
        <v>2880</v>
      </c>
      <c r="CDU1336" s="4" t="s">
        <v>2880</v>
      </c>
      <c r="CDV1336" s="4" t="s">
        <v>2880</v>
      </c>
      <c r="CDW1336" s="4" t="s">
        <v>2880</v>
      </c>
      <c r="CDX1336" s="4" t="s">
        <v>2880</v>
      </c>
      <c r="CDY1336" s="4" t="s">
        <v>2880</v>
      </c>
      <c r="CDZ1336" s="4" t="s">
        <v>2880</v>
      </c>
      <c r="CEA1336" s="4" t="s">
        <v>2880</v>
      </c>
      <c r="CEB1336" s="4" t="s">
        <v>2880</v>
      </c>
      <c r="CEC1336" s="4" t="s">
        <v>2880</v>
      </c>
      <c r="CED1336" s="4" t="s">
        <v>2880</v>
      </c>
      <c r="CEE1336" s="4" t="s">
        <v>2880</v>
      </c>
      <c r="CEF1336" s="4" t="s">
        <v>2880</v>
      </c>
      <c r="CEG1336" s="4" t="s">
        <v>2880</v>
      </c>
      <c r="CEH1336" s="4" t="s">
        <v>2880</v>
      </c>
      <c r="CEI1336" s="4" t="s">
        <v>2880</v>
      </c>
      <c r="CEJ1336" s="4" t="s">
        <v>2880</v>
      </c>
      <c r="CEK1336" s="4" t="s">
        <v>2880</v>
      </c>
      <c r="CEL1336" s="4" t="s">
        <v>2880</v>
      </c>
      <c r="CEM1336" s="4" t="s">
        <v>2880</v>
      </c>
      <c r="CEN1336" s="4" t="s">
        <v>2880</v>
      </c>
      <c r="CEO1336" s="4" t="s">
        <v>2880</v>
      </c>
      <c r="CEP1336" s="4" t="s">
        <v>2880</v>
      </c>
      <c r="CEQ1336" s="4" t="s">
        <v>2880</v>
      </c>
      <c r="CER1336" s="4" t="s">
        <v>2880</v>
      </c>
      <c r="CES1336" s="4" t="s">
        <v>2880</v>
      </c>
      <c r="CET1336" s="4" t="s">
        <v>2880</v>
      </c>
      <c r="CEU1336" s="4" t="s">
        <v>2880</v>
      </c>
      <c r="CEV1336" s="4" t="s">
        <v>2880</v>
      </c>
      <c r="CEW1336" s="4" t="s">
        <v>2880</v>
      </c>
      <c r="CEX1336" s="4" t="s">
        <v>2880</v>
      </c>
      <c r="CEY1336" s="4" t="s">
        <v>2880</v>
      </c>
      <c r="CEZ1336" s="4" t="s">
        <v>2880</v>
      </c>
      <c r="CFA1336" s="4" t="s">
        <v>2880</v>
      </c>
      <c r="CFB1336" s="4" t="s">
        <v>2880</v>
      </c>
      <c r="CFC1336" s="4" t="s">
        <v>2880</v>
      </c>
      <c r="CFD1336" s="4" t="s">
        <v>2880</v>
      </c>
      <c r="CFE1336" s="4" t="s">
        <v>2880</v>
      </c>
      <c r="CFF1336" s="4" t="s">
        <v>2880</v>
      </c>
      <c r="CFG1336" s="4" t="s">
        <v>2880</v>
      </c>
      <c r="CFH1336" s="4" t="s">
        <v>2880</v>
      </c>
      <c r="CFI1336" s="4" t="s">
        <v>2880</v>
      </c>
      <c r="CFJ1336" s="4" t="s">
        <v>2880</v>
      </c>
      <c r="CFK1336" s="4" t="s">
        <v>2880</v>
      </c>
      <c r="CFL1336" s="4" t="s">
        <v>2880</v>
      </c>
      <c r="CFM1336" s="4" t="s">
        <v>2880</v>
      </c>
      <c r="CFN1336" s="4" t="s">
        <v>2880</v>
      </c>
      <c r="CFO1336" s="4" t="s">
        <v>2880</v>
      </c>
      <c r="CFP1336" s="4" t="s">
        <v>2880</v>
      </c>
      <c r="CFQ1336" s="4" t="s">
        <v>2880</v>
      </c>
      <c r="CFR1336" s="4" t="s">
        <v>2880</v>
      </c>
      <c r="CFS1336" s="4" t="s">
        <v>2880</v>
      </c>
      <c r="CFT1336" s="4" t="s">
        <v>2880</v>
      </c>
      <c r="CFU1336" s="4" t="s">
        <v>2880</v>
      </c>
      <c r="CFV1336" s="4" t="s">
        <v>2880</v>
      </c>
      <c r="CFW1336" s="4" t="s">
        <v>2880</v>
      </c>
      <c r="CFX1336" s="4" t="s">
        <v>2880</v>
      </c>
      <c r="CFY1336" s="4" t="s">
        <v>2880</v>
      </c>
      <c r="CFZ1336" s="4" t="s">
        <v>2880</v>
      </c>
      <c r="CGA1336" s="4" t="s">
        <v>2880</v>
      </c>
      <c r="CGB1336" s="4" t="s">
        <v>2880</v>
      </c>
      <c r="CGC1336" s="4" t="s">
        <v>2880</v>
      </c>
      <c r="CGD1336" s="4" t="s">
        <v>2880</v>
      </c>
      <c r="CGE1336" s="4" t="s">
        <v>2880</v>
      </c>
      <c r="CGF1336" s="4" t="s">
        <v>2880</v>
      </c>
      <c r="CGG1336" s="4" t="s">
        <v>2880</v>
      </c>
      <c r="CGH1336" s="4" t="s">
        <v>2880</v>
      </c>
      <c r="CGI1336" s="4" t="s">
        <v>2880</v>
      </c>
      <c r="CGJ1336" s="4" t="s">
        <v>2880</v>
      </c>
      <c r="CGK1336" s="4" t="s">
        <v>2880</v>
      </c>
      <c r="CGL1336" s="4" t="s">
        <v>2880</v>
      </c>
      <c r="CGM1336" s="4" t="s">
        <v>2880</v>
      </c>
      <c r="CGN1336" s="4" t="s">
        <v>2880</v>
      </c>
      <c r="CGO1336" s="4" t="s">
        <v>2880</v>
      </c>
      <c r="CGP1336" s="4" t="s">
        <v>2880</v>
      </c>
      <c r="CGQ1336" s="4" t="s">
        <v>2880</v>
      </c>
      <c r="CGR1336" s="4" t="s">
        <v>2880</v>
      </c>
      <c r="CGS1336" s="4" t="s">
        <v>2880</v>
      </c>
      <c r="CGT1336" s="4" t="s">
        <v>2880</v>
      </c>
      <c r="CGU1336" s="4" t="s">
        <v>2880</v>
      </c>
      <c r="CGV1336" s="4" t="s">
        <v>2880</v>
      </c>
      <c r="CGW1336" s="4" t="s">
        <v>2880</v>
      </c>
      <c r="CGX1336" s="4" t="s">
        <v>2880</v>
      </c>
      <c r="CGY1336" s="4" t="s">
        <v>2880</v>
      </c>
      <c r="CGZ1336" s="4" t="s">
        <v>2880</v>
      </c>
      <c r="CHA1336" s="4" t="s">
        <v>2880</v>
      </c>
      <c r="CHB1336" s="4" t="s">
        <v>2880</v>
      </c>
      <c r="CHC1336" s="4" t="s">
        <v>2880</v>
      </c>
      <c r="CHD1336" s="4" t="s">
        <v>2880</v>
      </c>
      <c r="CHE1336" s="4" t="s">
        <v>2880</v>
      </c>
      <c r="CHF1336" s="4" t="s">
        <v>2880</v>
      </c>
      <c r="CHG1336" s="4" t="s">
        <v>2880</v>
      </c>
      <c r="CHH1336" s="4" t="s">
        <v>2880</v>
      </c>
      <c r="CHI1336" s="4" t="s">
        <v>2880</v>
      </c>
      <c r="CHJ1336" s="4" t="s">
        <v>2880</v>
      </c>
      <c r="CHK1336" s="4" t="s">
        <v>2880</v>
      </c>
      <c r="CHL1336" s="4" t="s">
        <v>2880</v>
      </c>
      <c r="CHM1336" s="4" t="s">
        <v>2880</v>
      </c>
      <c r="CHN1336" s="4" t="s">
        <v>2880</v>
      </c>
      <c r="CHO1336" s="4" t="s">
        <v>2880</v>
      </c>
      <c r="CHP1336" s="4" t="s">
        <v>2880</v>
      </c>
      <c r="CHQ1336" s="4" t="s">
        <v>2880</v>
      </c>
      <c r="CHR1336" s="4" t="s">
        <v>2880</v>
      </c>
      <c r="CHS1336" s="4" t="s">
        <v>2880</v>
      </c>
      <c r="CHT1336" s="4" t="s">
        <v>2880</v>
      </c>
      <c r="CHU1336" s="4" t="s">
        <v>2880</v>
      </c>
      <c r="CHV1336" s="4" t="s">
        <v>2880</v>
      </c>
      <c r="CHW1336" s="4" t="s">
        <v>2880</v>
      </c>
      <c r="CHX1336" s="4" t="s">
        <v>2880</v>
      </c>
      <c r="CHY1336" s="4" t="s">
        <v>2880</v>
      </c>
      <c r="CHZ1336" s="4" t="s">
        <v>2880</v>
      </c>
      <c r="CIA1336" s="4" t="s">
        <v>2880</v>
      </c>
      <c r="CIB1336" s="4" t="s">
        <v>2880</v>
      </c>
      <c r="CIC1336" s="4" t="s">
        <v>2880</v>
      </c>
      <c r="CID1336" s="4" t="s">
        <v>2880</v>
      </c>
      <c r="CIE1336" s="4" t="s">
        <v>2880</v>
      </c>
      <c r="CIF1336" s="4" t="s">
        <v>2880</v>
      </c>
      <c r="CIG1336" s="4" t="s">
        <v>2880</v>
      </c>
      <c r="CIH1336" s="4" t="s">
        <v>2880</v>
      </c>
      <c r="CII1336" s="4" t="s">
        <v>2880</v>
      </c>
      <c r="CIJ1336" s="4" t="s">
        <v>2880</v>
      </c>
      <c r="CIK1336" s="4" t="s">
        <v>2880</v>
      </c>
      <c r="CIL1336" s="4" t="s">
        <v>2880</v>
      </c>
      <c r="CIM1336" s="4" t="s">
        <v>2880</v>
      </c>
      <c r="CIN1336" s="4" t="s">
        <v>2880</v>
      </c>
      <c r="CIO1336" s="4" t="s">
        <v>2880</v>
      </c>
      <c r="CIP1336" s="4" t="s">
        <v>2880</v>
      </c>
      <c r="CIQ1336" s="4" t="s">
        <v>2880</v>
      </c>
      <c r="CIR1336" s="4" t="s">
        <v>2880</v>
      </c>
      <c r="CIS1336" s="4" t="s">
        <v>2880</v>
      </c>
      <c r="CIT1336" s="4" t="s">
        <v>2880</v>
      </c>
      <c r="CIU1336" s="4" t="s">
        <v>2880</v>
      </c>
      <c r="CIV1336" s="4" t="s">
        <v>2880</v>
      </c>
      <c r="CIW1336" s="4" t="s">
        <v>2880</v>
      </c>
      <c r="CIX1336" s="4" t="s">
        <v>2880</v>
      </c>
      <c r="CIY1336" s="4" t="s">
        <v>2880</v>
      </c>
      <c r="CIZ1336" s="4" t="s">
        <v>2880</v>
      </c>
      <c r="CJA1336" s="4" t="s">
        <v>2880</v>
      </c>
      <c r="CJB1336" s="4" t="s">
        <v>2880</v>
      </c>
      <c r="CJC1336" s="4" t="s">
        <v>2880</v>
      </c>
      <c r="CJD1336" s="4" t="s">
        <v>2880</v>
      </c>
      <c r="CJE1336" s="4" t="s">
        <v>2880</v>
      </c>
      <c r="CJF1336" s="4" t="s">
        <v>2880</v>
      </c>
      <c r="CJG1336" s="4" t="s">
        <v>2880</v>
      </c>
      <c r="CJH1336" s="4" t="s">
        <v>2880</v>
      </c>
      <c r="CJI1336" s="4" t="s">
        <v>2880</v>
      </c>
      <c r="CJJ1336" s="4" t="s">
        <v>2880</v>
      </c>
      <c r="CJK1336" s="4" t="s">
        <v>2880</v>
      </c>
      <c r="CJL1336" s="4" t="s">
        <v>2880</v>
      </c>
      <c r="CJM1336" s="4" t="s">
        <v>2880</v>
      </c>
      <c r="CJN1336" s="4" t="s">
        <v>2880</v>
      </c>
      <c r="CJO1336" s="4" t="s">
        <v>2880</v>
      </c>
      <c r="CJP1336" s="4" t="s">
        <v>2880</v>
      </c>
      <c r="CJQ1336" s="4" t="s">
        <v>2880</v>
      </c>
      <c r="CJR1336" s="4" t="s">
        <v>2880</v>
      </c>
      <c r="CJS1336" s="4" t="s">
        <v>2880</v>
      </c>
      <c r="CJT1336" s="4" t="s">
        <v>2880</v>
      </c>
      <c r="CJU1336" s="4" t="s">
        <v>2880</v>
      </c>
      <c r="CJV1336" s="4" t="s">
        <v>2880</v>
      </c>
      <c r="CJW1336" s="4" t="s">
        <v>2880</v>
      </c>
      <c r="CJX1336" s="4" t="s">
        <v>2880</v>
      </c>
      <c r="CJY1336" s="4" t="s">
        <v>2880</v>
      </c>
      <c r="CJZ1336" s="4" t="s">
        <v>2880</v>
      </c>
      <c r="CKA1336" s="4" t="s">
        <v>2880</v>
      </c>
      <c r="CKB1336" s="4" t="s">
        <v>2880</v>
      </c>
      <c r="CKC1336" s="4" t="s">
        <v>2880</v>
      </c>
      <c r="CKD1336" s="4" t="s">
        <v>2880</v>
      </c>
      <c r="CKE1336" s="4" t="s">
        <v>2880</v>
      </c>
      <c r="CKF1336" s="4" t="s">
        <v>2880</v>
      </c>
      <c r="CKG1336" s="4" t="s">
        <v>2880</v>
      </c>
      <c r="CKH1336" s="4" t="s">
        <v>2880</v>
      </c>
      <c r="CKI1336" s="4" t="s">
        <v>2880</v>
      </c>
      <c r="CKJ1336" s="4" t="s">
        <v>2880</v>
      </c>
      <c r="CKK1336" s="4" t="s">
        <v>2880</v>
      </c>
      <c r="CKL1336" s="4" t="s">
        <v>2880</v>
      </c>
      <c r="CKM1336" s="4" t="s">
        <v>2880</v>
      </c>
      <c r="CKN1336" s="4" t="s">
        <v>2880</v>
      </c>
      <c r="CKO1336" s="4" t="s">
        <v>2880</v>
      </c>
      <c r="CKP1336" s="4" t="s">
        <v>2880</v>
      </c>
      <c r="CKQ1336" s="4" t="s">
        <v>2880</v>
      </c>
      <c r="CKR1336" s="4" t="s">
        <v>2880</v>
      </c>
      <c r="CKS1336" s="4" t="s">
        <v>2880</v>
      </c>
      <c r="CKT1336" s="4" t="s">
        <v>2880</v>
      </c>
      <c r="CKU1336" s="4" t="s">
        <v>2880</v>
      </c>
      <c r="CKV1336" s="4" t="s">
        <v>2880</v>
      </c>
      <c r="CKW1336" s="4" t="s">
        <v>2880</v>
      </c>
      <c r="CKX1336" s="4" t="s">
        <v>2880</v>
      </c>
      <c r="CKY1336" s="4" t="s">
        <v>2880</v>
      </c>
      <c r="CKZ1336" s="4" t="s">
        <v>2880</v>
      </c>
      <c r="CLA1336" s="4" t="s">
        <v>2880</v>
      </c>
      <c r="CLB1336" s="4" t="s">
        <v>2880</v>
      </c>
      <c r="CLC1336" s="4" t="s">
        <v>2880</v>
      </c>
      <c r="CLD1336" s="4" t="s">
        <v>2880</v>
      </c>
      <c r="CLE1336" s="4" t="s">
        <v>2880</v>
      </c>
      <c r="CLF1336" s="4" t="s">
        <v>2880</v>
      </c>
      <c r="CLG1336" s="4" t="s">
        <v>2880</v>
      </c>
      <c r="CLH1336" s="4" t="s">
        <v>2880</v>
      </c>
      <c r="CLI1336" s="4" t="s">
        <v>2880</v>
      </c>
      <c r="CLJ1336" s="4" t="s">
        <v>2880</v>
      </c>
      <c r="CLK1336" s="4" t="s">
        <v>2880</v>
      </c>
      <c r="CLL1336" s="4" t="s">
        <v>2880</v>
      </c>
      <c r="CLM1336" s="4" t="s">
        <v>2880</v>
      </c>
      <c r="CLN1336" s="4" t="s">
        <v>2880</v>
      </c>
      <c r="CLO1336" s="4" t="s">
        <v>2880</v>
      </c>
      <c r="CLP1336" s="4" t="s">
        <v>2880</v>
      </c>
      <c r="CLQ1336" s="4" t="s">
        <v>2880</v>
      </c>
      <c r="CLR1336" s="4" t="s">
        <v>2880</v>
      </c>
      <c r="CLS1336" s="4" t="s">
        <v>2880</v>
      </c>
      <c r="CLT1336" s="4" t="s">
        <v>2880</v>
      </c>
      <c r="CLU1336" s="4" t="s">
        <v>2880</v>
      </c>
      <c r="CLV1336" s="4" t="s">
        <v>2880</v>
      </c>
      <c r="CLW1336" s="4" t="s">
        <v>2880</v>
      </c>
      <c r="CLX1336" s="4" t="s">
        <v>2880</v>
      </c>
      <c r="CLY1336" s="4" t="s">
        <v>2880</v>
      </c>
      <c r="CLZ1336" s="4" t="s">
        <v>2880</v>
      </c>
      <c r="CMA1336" s="4" t="s">
        <v>2880</v>
      </c>
      <c r="CMB1336" s="4" t="s">
        <v>2880</v>
      </c>
      <c r="CMC1336" s="4" t="s">
        <v>2880</v>
      </c>
      <c r="CMD1336" s="4" t="s">
        <v>2880</v>
      </c>
      <c r="CME1336" s="4" t="s">
        <v>2880</v>
      </c>
      <c r="CMF1336" s="4" t="s">
        <v>2880</v>
      </c>
      <c r="CMG1336" s="4" t="s">
        <v>2880</v>
      </c>
      <c r="CMH1336" s="4" t="s">
        <v>2880</v>
      </c>
      <c r="CMI1336" s="4" t="s">
        <v>2880</v>
      </c>
      <c r="CMJ1336" s="4" t="s">
        <v>2880</v>
      </c>
      <c r="CMK1336" s="4" t="s">
        <v>2880</v>
      </c>
      <c r="CML1336" s="4" t="s">
        <v>2880</v>
      </c>
      <c r="CMM1336" s="4" t="s">
        <v>2880</v>
      </c>
      <c r="CMN1336" s="4" t="s">
        <v>2880</v>
      </c>
      <c r="CMO1336" s="4" t="s">
        <v>2880</v>
      </c>
      <c r="CMP1336" s="4" t="s">
        <v>2880</v>
      </c>
      <c r="CMQ1336" s="4" t="s">
        <v>2880</v>
      </c>
      <c r="CMR1336" s="4" t="s">
        <v>2880</v>
      </c>
      <c r="CMS1336" s="4" t="s">
        <v>2880</v>
      </c>
      <c r="CMT1336" s="4" t="s">
        <v>2880</v>
      </c>
      <c r="CMU1336" s="4" t="s">
        <v>2880</v>
      </c>
      <c r="CMV1336" s="4" t="s">
        <v>2880</v>
      </c>
      <c r="CMW1336" s="4" t="s">
        <v>2880</v>
      </c>
      <c r="CMX1336" s="4" t="s">
        <v>2880</v>
      </c>
      <c r="CMY1336" s="4" t="s">
        <v>2880</v>
      </c>
      <c r="CMZ1336" s="4" t="s">
        <v>2880</v>
      </c>
      <c r="CNA1336" s="4" t="s">
        <v>2880</v>
      </c>
      <c r="CNB1336" s="4" t="s">
        <v>2880</v>
      </c>
      <c r="CNC1336" s="4" t="s">
        <v>2880</v>
      </c>
      <c r="CND1336" s="4" t="s">
        <v>2880</v>
      </c>
      <c r="CNE1336" s="4" t="s">
        <v>2880</v>
      </c>
      <c r="CNF1336" s="4" t="s">
        <v>2880</v>
      </c>
      <c r="CNG1336" s="4" t="s">
        <v>2880</v>
      </c>
      <c r="CNH1336" s="4" t="s">
        <v>2880</v>
      </c>
      <c r="CNI1336" s="4" t="s">
        <v>2880</v>
      </c>
      <c r="CNJ1336" s="4" t="s">
        <v>2880</v>
      </c>
      <c r="CNK1336" s="4" t="s">
        <v>2880</v>
      </c>
      <c r="CNL1336" s="4" t="s">
        <v>2880</v>
      </c>
      <c r="CNM1336" s="4" t="s">
        <v>2880</v>
      </c>
      <c r="CNN1336" s="4" t="s">
        <v>2880</v>
      </c>
      <c r="CNO1336" s="4" t="s">
        <v>2880</v>
      </c>
      <c r="CNP1336" s="4" t="s">
        <v>2880</v>
      </c>
      <c r="CNQ1336" s="4" t="s">
        <v>2880</v>
      </c>
      <c r="CNR1336" s="4" t="s">
        <v>2880</v>
      </c>
      <c r="CNS1336" s="4" t="s">
        <v>2880</v>
      </c>
      <c r="CNT1336" s="4" t="s">
        <v>2880</v>
      </c>
      <c r="CNU1336" s="4" t="s">
        <v>2880</v>
      </c>
      <c r="CNV1336" s="4" t="s">
        <v>2880</v>
      </c>
      <c r="CNW1336" s="4" t="s">
        <v>2880</v>
      </c>
      <c r="CNX1336" s="4" t="s">
        <v>2880</v>
      </c>
      <c r="CNY1336" s="4" t="s">
        <v>2880</v>
      </c>
      <c r="CNZ1336" s="4" t="s">
        <v>2880</v>
      </c>
      <c r="COA1336" s="4" t="s">
        <v>2880</v>
      </c>
      <c r="COB1336" s="4" t="s">
        <v>2880</v>
      </c>
      <c r="COC1336" s="4" t="s">
        <v>2880</v>
      </c>
      <c r="COD1336" s="4" t="s">
        <v>2880</v>
      </c>
      <c r="COE1336" s="4" t="s">
        <v>2880</v>
      </c>
      <c r="COF1336" s="4" t="s">
        <v>2880</v>
      </c>
      <c r="COG1336" s="4" t="s">
        <v>2880</v>
      </c>
      <c r="COH1336" s="4" t="s">
        <v>2880</v>
      </c>
      <c r="COI1336" s="4" t="s">
        <v>2880</v>
      </c>
      <c r="COJ1336" s="4" t="s">
        <v>2880</v>
      </c>
      <c r="COK1336" s="4" t="s">
        <v>2880</v>
      </c>
      <c r="COL1336" s="4" t="s">
        <v>2880</v>
      </c>
      <c r="COM1336" s="4" t="s">
        <v>2880</v>
      </c>
      <c r="CON1336" s="4" t="s">
        <v>2880</v>
      </c>
      <c r="COO1336" s="4" t="s">
        <v>2880</v>
      </c>
      <c r="COP1336" s="4" t="s">
        <v>2880</v>
      </c>
      <c r="COQ1336" s="4" t="s">
        <v>2880</v>
      </c>
      <c r="COR1336" s="4" t="s">
        <v>2880</v>
      </c>
      <c r="COS1336" s="4" t="s">
        <v>2880</v>
      </c>
      <c r="COT1336" s="4" t="s">
        <v>2880</v>
      </c>
      <c r="COU1336" s="4" t="s">
        <v>2880</v>
      </c>
      <c r="COV1336" s="4" t="s">
        <v>2880</v>
      </c>
      <c r="COW1336" s="4" t="s">
        <v>2880</v>
      </c>
      <c r="COX1336" s="4" t="s">
        <v>2880</v>
      </c>
      <c r="COY1336" s="4" t="s">
        <v>2880</v>
      </c>
      <c r="COZ1336" s="4" t="s">
        <v>2880</v>
      </c>
      <c r="CPA1336" s="4" t="s">
        <v>2880</v>
      </c>
      <c r="CPB1336" s="4" t="s">
        <v>2880</v>
      </c>
      <c r="CPC1336" s="4" t="s">
        <v>2880</v>
      </c>
      <c r="CPD1336" s="4" t="s">
        <v>2880</v>
      </c>
      <c r="CPE1336" s="4" t="s">
        <v>2880</v>
      </c>
      <c r="CPF1336" s="4" t="s">
        <v>2880</v>
      </c>
      <c r="CPG1336" s="4" t="s">
        <v>2880</v>
      </c>
      <c r="CPH1336" s="4" t="s">
        <v>2880</v>
      </c>
      <c r="CPI1336" s="4" t="s">
        <v>2880</v>
      </c>
      <c r="CPJ1336" s="4" t="s">
        <v>2880</v>
      </c>
      <c r="CPK1336" s="4" t="s">
        <v>2880</v>
      </c>
      <c r="CPL1336" s="4" t="s">
        <v>2880</v>
      </c>
      <c r="CPM1336" s="4" t="s">
        <v>2880</v>
      </c>
      <c r="CPN1336" s="4" t="s">
        <v>2880</v>
      </c>
      <c r="CPO1336" s="4" t="s">
        <v>2880</v>
      </c>
      <c r="CPP1336" s="4" t="s">
        <v>2880</v>
      </c>
      <c r="CPQ1336" s="4" t="s">
        <v>2880</v>
      </c>
      <c r="CPR1336" s="4" t="s">
        <v>2880</v>
      </c>
      <c r="CPS1336" s="4" t="s">
        <v>2880</v>
      </c>
      <c r="CPT1336" s="4" t="s">
        <v>2880</v>
      </c>
      <c r="CPU1336" s="4" t="s">
        <v>2880</v>
      </c>
      <c r="CPV1336" s="4" t="s">
        <v>2880</v>
      </c>
      <c r="CPW1336" s="4" t="s">
        <v>2880</v>
      </c>
      <c r="CPX1336" s="4" t="s">
        <v>2880</v>
      </c>
      <c r="CPY1336" s="4" t="s">
        <v>2880</v>
      </c>
      <c r="CPZ1336" s="4" t="s">
        <v>2880</v>
      </c>
      <c r="CQA1336" s="4" t="s">
        <v>2880</v>
      </c>
      <c r="CQB1336" s="4" t="s">
        <v>2880</v>
      </c>
      <c r="CQC1336" s="4" t="s">
        <v>2880</v>
      </c>
      <c r="CQD1336" s="4" t="s">
        <v>2880</v>
      </c>
      <c r="CQE1336" s="4" t="s">
        <v>2880</v>
      </c>
      <c r="CQF1336" s="4" t="s">
        <v>2880</v>
      </c>
      <c r="CQG1336" s="4" t="s">
        <v>2880</v>
      </c>
      <c r="CQH1336" s="4" t="s">
        <v>2880</v>
      </c>
      <c r="CQI1336" s="4" t="s">
        <v>2880</v>
      </c>
      <c r="CQJ1336" s="4" t="s">
        <v>2880</v>
      </c>
      <c r="CQK1336" s="4" t="s">
        <v>2880</v>
      </c>
      <c r="CQL1336" s="4" t="s">
        <v>2880</v>
      </c>
      <c r="CQM1336" s="4" t="s">
        <v>2880</v>
      </c>
      <c r="CQN1336" s="4" t="s">
        <v>2880</v>
      </c>
      <c r="CQO1336" s="4" t="s">
        <v>2880</v>
      </c>
      <c r="CQP1336" s="4" t="s">
        <v>2880</v>
      </c>
      <c r="CQQ1336" s="4" t="s">
        <v>2880</v>
      </c>
      <c r="CQR1336" s="4" t="s">
        <v>2880</v>
      </c>
      <c r="CQS1336" s="4" t="s">
        <v>2880</v>
      </c>
      <c r="CQT1336" s="4" t="s">
        <v>2880</v>
      </c>
      <c r="CQU1336" s="4" t="s">
        <v>2880</v>
      </c>
      <c r="CQV1336" s="4" t="s">
        <v>2880</v>
      </c>
      <c r="CQW1336" s="4" t="s">
        <v>2880</v>
      </c>
      <c r="CQX1336" s="4" t="s">
        <v>2880</v>
      </c>
      <c r="CQY1336" s="4" t="s">
        <v>2880</v>
      </c>
      <c r="CQZ1336" s="4" t="s">
        <v>2880</v>
      </c>
      <c r="CRA1336" s="4" t="s">
        <v>2880</v>
      </c>
      <c r="CRB1336" s="4" t="s">
        <v>2880</v>
      </c>
      <c r="CRC1336" s="4" t="s">
        <v>2880</v>
      </c>
      <c r="CRD1336" s="4" t="s">
        <v>2880</v>
      </c>
      <c r="CRE1336" s="4" t="s">
        <v>2880</v>
      </c>
      <c r="CRF1336" s="4" t="s">
        <v>2880</v>
      </c>
      <c r="CRG1336" s="4" t="s">
        <v>2880</v>
      </c>
      <c r="CRH1336" s="4" t="s">
        <v>2880</v>
      </c>
      <c r="CRI1336" s="4" t="s">
        <v>2880</v>
      </c>
      <c r="CRJ1336" s="4" t="s">
        <v>2880</v>
      </c>
      <c r="CRK1336" s="4" t="s">
        <v>2880</v>
      </c>
      <c r="CRL1336" s="4" t="s">
        <v>2880</v>
      </c>
      <c r="CRM1336" s="4" t="s">
        <v>2880</v>
      </c>
      <c r="CRN1336" s="4" t="s">
        <v>2880</v>
      </c>
      <c r="CRO1336" s="4" t="s">
        <v>2880</v>
      </c>
      <c r="CRP1336" s="4" t="s">
        <v>2880</v>
      </c>
      <c r="CRQ1336" s="4" t="s">
        <v>2880</v>
      </c>
      <c r="CRR1336" s="4" t="s">
        <v>2880</v>
      </c>
      <c r="CRS1336" s="4" t="s">
        <v>2880</v>
      </c>
      <c r="CRT1336" s="4" t="s">
        <v>2880</v>
      </c>
      <c r="CRU1336" s="4" t="s">
        <v>2880</v>
      </c>
      <c r="CRV1336" s="4" t="s">
        <v>2880</v>
      </c>
      <c r="CRW1336" s="4" t="s">
        <v>2880</v>
      </c>
      <c r="CRX1336" s="4" t="s">
        <v>2880</v>
      </c>
      <c r="CRY1336" s="4" t="s">
        <v>2880</v>
      </c>
      <c r="CRZ1336" s="4" t="s">
        <v>2880</v>
      </c>
      <c r="CSA1336" s="4" t="s">
        <v>2880</v>
      </c>
      <c r="CSB1336" s="4" t="s">
        <v>2880</v>
      </c>
      <c r="CSC1336" s="4" t="s">
        <v>2880</v>
      </c>
      <c r="CSD1336" s="4" t="s">
        <v>2880</v>
      </c>
      <c r="CSE1336" s="4" t="s">
        <v>2880</v>
      </c>
      <c r="CSF1336" s="4" t="s">
        <v>2880</v>
      </c>
      <c r="CSG1336" s="4" t="s">
        <v>2880</v>
      </c>
      <c r="CSH1336" s="4" t="s">
        <v>2880</v>
      </c>
      <c r="CSI1336" s="4" t="s">
        <v>2880</v>
      </c>
      <c r="CSJ1336" s="4" t="s">
        <v>2880</v>
      </c>
      <c r="CSK1336" s="4" t="s">
        <v>2880</v>
      </c>
      <c r="CSL1336" s="4" t="s">
        <v>2880</v>
      </c>
      <c r="CSM1336" s="4" t="s">
        <v>2880</v>
      </c>
      <c r="CSN1336" s="4" t="s">
        <v>2880</v>
      </c>
      <c r="CSO1336" s="4" t="s">
        <v>2880</v>
      </c>
      <c r="CSP1336" s="4" t="s">
        <v>2880</v>
      </c>
      <c r="CSQ1336" s="4" t="s">
        <v>2880</v>
      </c>
      <c r="CSR1336" s="4" t="s">
        <v>2880</v>
      </c>
      <c r="CSS1336" s="4" t="s">
        <v>2880</v>
      </c>
      <c r="CST1336" s="4" t="s">
        <v>2880</v>
      </c>
      <c r="CSU1336" s="4" t="s">
        <v>2880</v>
      </c>
      <c r="CSV1336" s="4" t="s">
        <v>2880</v>
      </c>
      <c r="CSW1336" s="4" t="s">
        <v>2880</v>
      </c>
      <c r="CSX1336" s="4" t="s">
        <v>2880</v>
      </c>
      <c r="CSY1336" s="4" t="s">
        <v>2880</v>
      </c>
      <c r="CSZ1336" s="4" t="s">
        <v>2880</v>
      </c>
      <c r="CTA1336" s="4" t="s">
        <v>2880</v>
      </c>
      <c r="CTB1336" s="4" t="s">
        <v>2880</v>
      </c>
      <c r="CTC1336" s="4" t="s">
        <v>2880</v>
      </c>
      <c r="CTD1336" s="4" t="s">
        <v>2880</v>
      </c>
      <c r="CTE1336" s="4" t="s">
        <v>2880</v>
      </c>
      <c r="CTF1336" s="4" t="s">
        <v>2880</v>
      </c>
      <c r="CTG1336" s="4" t="s">
        <v>2880</v>
      </c>
      <c r="CTH1336" s="4" t="s">
        <v>2880</v>
      </c>
      <c r="CTI1336" s="4" t="s">
        <v>2880</v>
      </c>
      <c r="CTJ1336" s="4" t="s">
        <v>2880</v>
      </c>
      <c r="CTK1336" s="4" t="s">
        <v>2880</v>
      </c>
      <c r="CTL1336" s="4" t="s">
        <v>2880</v>
      </c>
      <c r="CTM1336" s="4" t="s">
        <v>2880</v>
      </c>
      <c r="CTN1336" s="4" t="s">
        <v>2880</v>
      </c>
      <c r="CTO1336" s="4" t="s">
        <v>2880</v>
      </c>
      <c r="CTP1336" s="4" t="s">
        <v>2880</v>
      </c>
      <c r="CTQ1336" s="4" t="s">
        <v>2880</v>
      </c>
      <c r="CTR1336" s="4" t="s">
        <v>2880</v>
      </c>
      <c r="CTS1336" s="4" t="s">
        <v>2880</v>
      </c>
      <c r="CTT1336" s="4" t="s">
        <v>2880</v>
      </c>
      <c r="CTU1336" s="4" t="s">
        <v>2880</v>
      </c>
      <c r="CTV1336" s="4" t="s">
        <v>2880</v>
      </c>
      <c r="CTW1336" s="4" t="s">
        <v>2880</v>
      </c>
      <c r="CTX1336" s="4" t="s">
        <v>2880</v>
      </c>
      <c r="CTY1336" s="4" t="s">
        <v>2880</v>
      </c>
      <c r="CTZ1336" s="4" t="s">
        <v>2880</v>
      </c>
      <c r="CUA1336" s="4" t="s">
        <v>2880</v>
      </c>
      <c r="CUB1336" s="4" t="s">
        <v>2880</v>
      </c>
      <c r="CUC1336" s="4" t="s">
        <v>2880</v>
      </c>
      <c r="CUD1336" s="4" t="s">
        <v>2880</v>
      </c>
      <c r="CUE1336" s="4" t="s">
        <v>2880</v>
      </c>
      <c r="CUF1336" s="4" t="s">
        <v>2880</v>
      </c>
      <c r="CUG1336" s="4" t="s">
        <v>2880</v>
      </c>
      <c r="CUH1336" s="4" t="s">
        <v>2880</v>
      </c>
      <c r="CUI1336" s="4" t="s">
        <v>2880</v>
      </c>
      <c r="CUJ1336" s="4" t="s">
        <v>2880</v>
      </c>
      <c r="CUK1336" s="4" t="s">
        <v>2880</v>
      </c>
      <c r="CUL1336" s="4" t="s">
        <v>2880</v>
      </c>
      <c r="CUM1336" s="4" t="s">
        <v>2880</v>
      </c>
      <c r="CUN1336" s="4" t="s">
        <v>2880</v>
      </c>
      <c r="CUO1336" s="4" t="s">
        <v>2880</v>
      </c>
      <c r="CUP1336" s="4" t="s">
        <v>2880</v>
      </c>
      <c r="CUQ1336" s="4" t="s">
        <v>2880</v>
      </c>
      <c r="CUR1336" s="4" t="s">
        <v>2880</v>
      </c>
      <c r="CUS1336" s="4" t="s">
        <v>2880</v>
      </c>
      <c r="CUT1336" s="4" t="s">
        <v>2880</v>
      </c>
      <c r="CUU1336" s="4" t="s">
        <v>2880</v>
      </c>
      <c r="CUV1336" s="4" t="s">
        <v>2880</v>
      </c>
      <c r="CUW1336" s="4" t="s">
        <v>2880</v>
      </c>
      <c r="CUX1336" s="4" t="s">
        <v>2880</v>
      </c>
      <c r="CUY1336" s="4" t="s">
        <v>2880</v>
      </c>
      <c r="CUZ1336" s="4" t="s">
        <v>2880</v>
      </c>
      <c r="CVA1336" s="4" t="s">
        <v>2880</v>
      </c>
      <c r="CVB1336" s="4" t="s">
        <v>2880</v>
      </c>
      <c r="CVC1336" s="4" t="s">
        <v>2880</v>
      </c>
      <c r="CVD1336" s="4" t="s">
        <v>2880</v>
      </c>
      <c r="CVE1336" s="4" t="s">
        <v>2880</v>
      </c>
      <c r="CVF1336" s="4" t="s">
        <v>2880</v>
      </c>
      <c r="CVG1336" s="4" t="s">
        <v>2880</v>
      </c>
      <c r="CVH1336" s="4" t="s">
        <v>2880</v>
      </c>
      <c r="CVI1336" s="4" t="s">
        <v>2880</v>
      </c>
      <c r="CVJ1336" s="4" t="s">
        <v>2880</v>
      </c>
      <c r="CVK1336" s="4" t="s">
        <v>2880</v>
      </c>
      <c r="CVL1336" s="4" t="s">
        <v>2880</v>
      </c>
      <c r="CVM1336" s="4" t="s">
        <v>2880</v>
      </c>
      <c r="CVN1336" s="4" t="s">
        <v>2880</v>
      </c>
      <c r="CVO1336" s="4" t="s">
        <v>2880</v>
      </c>
      <c r="CVP1336" s="4" t="s">
        <v>2880</v>
      </c>
      <c r="CVQ1336" s="4" t="s">
        <v>2880</v>
      </c>
      <c r="CVR1336" s="4" t="s">
        <v>2880</v>
      </c>
      <c r="CVS1336" s="4" t="s">
        <v>2880</v>
      </c>
      <c r="CVT1336" s="4" t="s">
        <v>2880</v>
      </c>
      <c r="CVU1336" s="4" t="s">
        <v>2880</v>
      </c>
      <c r="CVV1336" s="4" t="s">
        <v>2880</v>
      </c>
      <c r="CVW1336" s="4" t="s">
        <v>2880</v>
      </c>
      <c r="CVX1336" s="4" t="s">
        <v>2880</v>
      </c>
      <c r="CVY1336" s="4" t="s">
        <v>2880</v>
      </c>
      <c r="CVZ1336" s="4" t="s">
        <v>2880</v>
      </c>
      <c r="CWA1336" s="4" t="s">
        <v>2880</v>
      </c>
      <c r="CWB1336" s="4" t="s">
        <v>2880</v>
      </c>
      <c r="CWC1336" s="4" t="s">
        <v>2880</v>
      </c>
      <c r="CWD1336" s="4" t="s">
        <v>2880</v>
      </c>
      <c r="CWE1336" s="4" t="s">
        <v>2880</v>
      </c>
      <c r="CWF1336" s="4" t="s">
        <v>2880</v>
      </c>
      <c r="CWG1336" s="4" t="s">
        <v>2880</v>
      </c>
      <c r="CWH1336" s="4" t="s">
        <v>2880</v>
      </c>
      <c r="CWI1336" s="4" t="s">
        <v>2880</v>
      </c>
      <c r="CWJ1336" s="4" t="s">
        <v>2880</v>
      </c>
      <c r="CWK1336" s="4" t="s">
        <v>2880</v>
      </c>
      <c r="CWL1336" s="4" t="s">
        <v>2880</v>
      </c>
      <c r="CWM1336" s="4" t="s">
        <v>2880</v>
      </c>
      <c r="CWN1336" s="4" t="s">
        <v>2880</v>
      </c>
      <c r="CWO1336" s="4" t="s">
        <v>2880</v>
      </c>
      <c r="CWP1336" s="4" t="s">
        <v>2880</v>
      </c>
      <c r="CWQ1336" s="4" t="s">
        <v>2880</v>
      </c>
      <c r="CWR1336" s="4" t="s">
        <v>2880</v>
      </c>
      <c r="CWS1336" s="4" t="s">
        <v>2880</v>
      </c>
      <c r="CWT1336" s="4" t="s">
        <v>2880</v>
      </c>
      <c r="CWU1336" s="4" t="s">
        <v>2880</v>
      </c>
      <c r="CWV1336" s="4" t="s">
        <v>2880</v>
      </c>
      <c r="CWW1336" s="4" t="s">
        <v>2880</v>
      </c>
      <c r="CWX1336" s="4" t="s">
        <v>2880</v>
      </c>
      <c r="CWY1336" s="4" t="s">
        <v>2880</v>
      </c>
      <c r="CWZ1336" s="4" t="s">
        <v>2880</v>
      </c>
      <c r="CXA1336" s="4" t="s">
        <v>2880</v>
      </c>
      <c r="CXB1336" s="4" t="s">
        <v>2880</v>
      </c>
      <c r="CXC1336" s="4" t="s">
        <v>2880</v>
      </c>
      <c r="CXD1336" s="4" t="s">
        <v>2880</v>
      </c>
      <c r="CXE1336" s="4" t="s">
        <v>2880</v>
      </c>
      <c r="CXF1336" s="4" t="s">
        <v>2880</v>
      </c>
      <c r="CXG1336" s="4" t="s">
        <v>2880</v>
      </c>
      <c r="CXH1336" s="4" t="s">
        <v>2880</v>
      </c>
      <c r="CXI1336" s="4" t="s">
        <v>2880</v>
      </c>
      <c r="CXJ1336" s="4" t="s">
        <v>2880</v>
      </c>
      <c r="CXK1336" s="4" t="s">
        <v>2880</v>
      </c>
      <c r="CXL1336" s="4" t="s">
        <v>2880</v>
      </c>
      <c r="CXM1336" s="4" t="s">
        <v>2880</v>
      </c>
      <c r="CXN1336" s="4" t="s">
        <v>2880</v>
      </c>
      <c r="CXO1336" s="4" t="s">
        <v>2880</v>
      </c>
      <c r="CXP1336" s="4" t="s">
        <v>2880</v>
      </c>
      <c r="CXQ1336" s="4" t="s">
        <v>2880</v>
      </c>
      <c r="CXR1336" s="4" t="s">
        <v>2880</v>
      </c>
      <c r="CXS1336" s="4" t="s">
        <v>2880</v>
      </c>
      <c r="CXT1336" s="4" t="s">
        <v>2880</v>
      </c>
      <c r="CXU1336" s="4" t="s">
        <v>2880</v>
      </c>
      <c r="CXV1336" s="4" t="s">
        <v>2880</v>
      </c>
      <c r="CXW1336" s="4" t="s">
        <v>2880</v>
      </c>
      <c r="CXX1336" s="4" t="s">
        <v>2880</v>
      </c>
      <c r="CXY1336" s="4" t="s">
        <v>2880</v>
      </c>
      <c r="CXZ1336" s="4" t="s">
        <v>2880</v>
      </c>
      <c r="CYA1336" s="4" t="s">
        <v>2880</v>
      </c>
      <c r="CYB1336" s="4" t="s">
        <v>2880</v>
      </c>
      <c r="CYC1336" s="4" t="s">
        <v>2880</v>
      </c>
      <c r="CYD1336" s="4" t="s">
        <v>2880</v>
      </c>
      <c r="CYE1336" s="4" t="s">
        <v>2880</v>
      </c>
      <c r="CYF1336" s="4" t="s">
        <v>2880</v>
      </c>
      <c r="CYG1336" s="4" t="s">
        <v>2880</v>
      </c>
      <c r="CYH1336" s="4" t="s">
        <v>2880</v>
      </c>
      <c r="CYI1336" s="4" t="s">
        <v>2880</v>
      </c>
      <c r="CYJ1336" s="4" t="s">
        <v>2880</v>
      </c>
      <c r="CYK1336" s="4" t="s">
        <v>2880</v>
      </c>
      <c r="CYL1336" s="4" t="s">
        <v>2880</v>
      </c>
      <c r="CYM1336" s="4" t="s">
        <v>2880</v>
      </c>
      <c r="CYN1336" s="4" t="s">
        <v>2880</v>
      </c>
      <c r="CYO1336" s="4" t="s">
        <v>2880</v>
      </c>
      <c r="CYP1336" s="4" t="s">
        <v>2880</v>
      </c>
      <c r="CYQ1336" s="4" t="s">
        <v>2880</v>
      </c>
      <c r="CYR1336" s="4" t="s">
        <v>2880</v>
      </c>
      <c r="CYS1336" s="4" t="s">
        <v>2880</v>
      </c>
      <c r="CYT1336" s="4" t="s">
        <v>2880</v>
      </c>
      <c r="CYU1336" s="4" t="s">
        <v>2880</v>
      </c>
      <c r="CYV1336" s="4" t="s">
        <v>2880</v>
      </c>
      <c r="CYW1336" s="4" t="s">
        <v>2880</v>
      </c>
      <c r="CYX1336" s="4" t="s">
        <v>2880</v>
      </c>
      <c r="CYY1336" s="4" t="s">
        <v>2880</v>
      </c>
      <c r="CYZ1336" s="4" t="s">
        <v>2880</v>
      </c>
      <c r="CZA1336" s="4" t="s">
        <v>2880</v>
      </c>
      <c r="CZB1336" s="4" t="s">
        <v>2880</v>
      </c>
      <c r="CZC1336" s="4" t="s">
        <v>2880</v>
      </c>
      <c r="CZD1336" s="4" t="s">
        <v>2880</v>
      </c>
      <c r="CZE1336" s="4" t="s">
        <v>2880</v>
      </c>
      <c r="CZF1336" s="4" t="s">
        <v>2880</v>
      </c>
      <c r="CZG1336" s="4" t="s">
        <v>2880</v>
      </c>
      <c r="CZH1336" s="4" t="s">
        <v>2880</v>
      </c>
      <c r="CZI1336" s="4" t="s">
        <v>2880</v>
      </c>
      <c r="CZJ1336" s="4" t="s">
        <v>2880</v>
      </c>
      <c r="CZK1336" s="4" t="s">
        <v>2880</v>
      </c>
      <c r="CZL1336" s="4" t="s">
        <v>2880</v>
      </c>
      <c r="CZM1336" s="4" t="s">
        <v>2880</v>
      </c>
      <c r="CZN1336" s="4" t="s">
        <v>2880</v>
      </c>
      <c r="CZO1336" s="4" t="s">
        <v>2880</v>
      </c>
      <c r="CZP1336" s="4" t="s">
        <v>2880</v>
      </c>
      <c r="CZQ1336" s="4" t="s">
        <v>2880</v>
      </c>
      <c r="CZR1336" s="4" t="s">
        <v>2880</v>
      </c>
      <c r="CZS1336" s="4" t="s">
        <v>2880</v>
      </c>
      <c r="CZT1336" s="4" t="s">
        <v>2880</v>
      </c>
      <c r="CZU1336" s="4" t="s">
        <v>2880</v>
      </c>
      <c r="CZV1336" s="4" t="s">
        <v>2880</v>
      </c>
      <c r="CZW1336" s="4" t="s">
        <v>2880</v>
      </c>
      <c r="CZX1336" s="4" t="s">
        <v>2880</v>
      </c>
      <c r="CZY1336" s="4" t="s">
        <v>2880</v>
      </c>
      <c r="CZZ1336" s="4" t="s">
        <v>2880</v>
      </c>
      <c r="DAA1336" s="4" t="s">
        <v>2880</v>
      </c>
      <c r="DAB1336" s="4" t="s">
        <v>2880</v>
      </c>
      <c r="DAC1336" s="4" t="s">
        <v>2880</v>
      </c>
      <c r="DAD1336" s="4" t="s">
        <v>2880</v>
      </c>
      <c r="DAE1336" s="4" t="s">
        <v>2880</v>
      </c>
      <c r="DAF1336" s="4" t="s">
        <v>2880</v>
      </c>
      <c r="DAG1336" s="4" t="s">
        <v>2880</v>
      </c>
      <c r="DAH1336" s="4" t="s">
        <v>2880</v>
      </c>
      <c r="DAI1336" s="4" t="s">
        <v>2880</v>
      </c>
      <c r="DAJ1336" s="4" t="s">
        <v>2880</v>
      </c>
      <c r="DAK1336" s="4" t="s">
        <v>2880</v>
      </c>
      <c r="DAL1336" s="4" t="s">
        <v>2880</v>
      </c>
      <c r="DAM1336" s="4" t="s">
        <v>2880</v>
      </c>
      <c r="DAN1336" s="4" t="s">
        <v>2880</v>
      </c>
      <c r="DAO1336" s="4" t="s">
        <v>2880</v>
      </c>
      <c r="DAP1336" s="4" t="s">
        <v>2880</v>
      </c>
      <c r="DAQ1336" s="4" t="s">
        <v>2880</v>
      </c>
      <c r="DAR1336" s="4" t="s">
        <v>2880</v>
      </c>
      <c r="DAS1336" s="4" t="s">
        <v>2880</v>
      </c>
      <c r="DAT1336" s="4" t="s">
        <v>2880</v>
      </c>
      <c r="DAU1336" s="4" t="s">
        <v>2880</v>
      </c>
      <c r="DAV1336" s="4" t="s">
        <v>2880</v>
      </c>
      <c r="DAW1336" s="4" t="s">
        <v>2880</v>
      </c>
      <c r="DAX1336" s="4" t="s">
        <v>2880</v>
      </c>
      <c r="DAY1336" s="4" t="s">
        <v>2880</v>
      </c>
      <c r="DAZ1336" s="4" t="s">
        <v>2880</v>
      </c>
      <c r="DBA1336" s="4" t="s">
        <v>2880</v>
      </c>
      <c r="DBB1336" s="4" t="s">
        <v>2880</v>
      </c>
      <c r="DBC1336" s="4" t="s">
        <v>2880</v>
      </c>
      <c r="DBD1336" s="4" t="s">
        <v>2880</v>
      </c>
      <c r="DBE1336" s="4" t="s">
        <v>2880</v>
      </c>
      <c r="DBF1336" s="4" t="s">
        <v>2880</v>
      </c>
      <c r="DBG1336" s="4" t="s">
        <v>2880</v>
      </c>
      <c r="DBH1336" s="4" t="s">
        <v>2880</v>
      </c>
      <c r="DBI1336" s="4" t="s">
        <v>2880</v>
      </c>
      <c r="DBJ1336" s="4" t="s">
        <v>2880</v>
      </c>
      <c r="DBK1336" s="4" t="s">
        <v>2880</v>
      </c>
      <c r="DBL1336" s="4" t="s">
        <v>2880</v>
      </c>
      <c r="DBM1336" s="4" t="s">
        <v>2880</v>
      </c>
      <c r="DBN1336" s="4" t="s">
        <v>2880</v>
      </c>
      <c r="DBO1336" s="4" t="s">
        <v>2880</v>
      </c>
      <c r="DBP1336" s="4" t="s">
        <v>2880</v>
      </c>
      <c r="DBQ1336" s="4" t="s">
        <v>2880</v>
      </c>
      <c r="DBR1336" s="4" t="s">
        <v>2880</v>
      </c>
      <c r="DBS1336" s="4" t="s">
        <v>2880</v>
      </c>
      <c r="DBT1336" s="4" t="s">
        <v>2880</v>
      </c>
      <c r="DBU1336" s="4" t="s">
        <v>2880</v>
      </c>
      <c r="DBV1336" s="4" t="s">
        <v>2880</v>
      </c>
      <c r="DBW1336" s="4" t="s">
        <v>2880</v>
      </c>
      <c r="DBX1336" s="4" t="s">
        <v>2880</v>
      </c>
      <c r="DBY1336" s="4" t="s">
        <v>2880</v>
      </c>
      <c r="DBZ1336" s="4" t="s">
        <v>2880</v>
      </c>
      <c r="DCA1336" s="4" t="s">
        <v>2880</v>
      </c>
      <c r="DCB1336" s="4" t="s">
        <v>2880</v>
      </c>
      <c r="DCC1336" s="4" t="s">
        <v>2880</v>
      </c>
      <c r="DCD1336" s="4" t="s">
        <v>2880</v>
      </c>
      <c r="DCE1336" s="4" t="s">
        <v>2880</v>
      </c>
      <c r="DCF1336" s="4" t="s">
        <v>2880</v>
      </c>
      <c r="DCG1336" s="4" t="s">
        <v>2880</v>
      </c>
      <c r="DCH1336" s="4" t="s">
        <v>2880</v>
      </c>
      <c r="DCI1336" s="4" t="s">
        <v>2880</v>
      </c>
      <c r="DCJ1336" s="4" t="s">
        <v>2880</v>
      </c>
      <c r="DCK1336" s="4" t="s">
        <v>2880</v>
      </c>
      <c r="DCL1336" s="4" t="s">
        <v>2880</v>
      </c>
      <c r="DCM1336" s="4" t="s">
        <v>2880</v>
      </c>
      <c r="DCN1336" s="4" t="s">
        <v>2880</v>
      </c>
      <c r="DCO1336" s="4" t="s">
        <v>2880</v>
      </c>
      <c r="DCP1336" s="4" t="s">
        <v>2880</v>
      </c>
      <c r="DCQ1336" s="4" t="s">
        <v>2880</v>
      </c>
      <c r="DCR1336" s="4" t="s">
        <v>2880</v>
      </c>
      <c r="DCS1336" s="4" t="s">
        <v>2880</v>
      </c>
      <c r="DCT1336" s="4" t="s">
        <v>2880</v>
      </c>
      <c r="DCU1336" s="4" t="s">
        <v>2880</v>
      </c>
      <c r="DCV1336" s="4" t="s">
        <v>2880</v>
      </c>
      <c r="DCW1336" s="4" t="s">
        <v>2880</v>
      </c>
      <c r="DCX1336" s="4" t="s">
        <v>2880</v>
      </c>
      <c r="DCY1336" s="4" t="s">
        <v>2880</v>
      </c>
      <c r="DCZ1336" s="4" t="s">
        <v>2880</v>
      </c>
      <c r="DDA1336" s="4" t="s">
        <v>2880</v>
      </c>
      <c r="DDB1336" s="4" t="s">
        <v>2880</v>
      </c>
      <c r="DDC1336" s="4" t="s">
        <v>2880</v>
      </c>
      <c r="DDD1336" s="4" t="s">
        <v>2880</v>
      </c>
      <c r="DDE1336" s="4" t="s">
        <v>2880</v>
      </c>
      <c r="DDF1336" s="4" t="s">
        <v>2880</v>
      </c>
      <c r="DDG1336" s="4" t="s">
        <v>2880</v>
      </c>
      <c r="DDH1336" s="4" t="s">
        <v>2880</v>
      </c>
      <c r="DDI1336" s="4" t="s">
        <v>2880</v>
      </c>
      <c r="DDJ1336" s="4" t="s">
        <v>2880</v>
      </c>
      <c r="DDK1336" s="4" t="s">
        <v>2880</v>
      </c>
      <c r="DDL1336" s="4" t="s">
        <v>2880</v>
      </c>
      <c r="DDM1336" s="4" t="s">
        <v>2880</v>
      </c>
      <c r="DDN1336" s="4" t="s">
        <v>2880</v>
      </c>
      <c r="DDO1336" s="4" t="s">
        <v>2880</v>
      </c>
      <c r="DDP1336" s="4" t="s">
        <v>2880</v>
      </c>
      <c r="DDQ1336" s="4" t="s">
        <v>2880</v>
      </c>
      <c r="DDR1336" s="4" t="s">
        <v>2880</v>
      </c>
      <c r="DDS1336" s="4" t="s">
        <v>2880</v>
      </c>
      <c r="DDT1336" s="4" t="s">
        <v>2880</v>
      </c>
      <c r="DDU1336" s="4" t="s">
        <v>2880</v>
      </c>
      <c r="DDV1336" s="4" t="s">
        <v>2880</v>
      </c>
      <c r="DDW1336" s="4" t="s">
        <v>2880</v>
      </c>
      <c r="DDX1336" s="4" t="s">
        <v>2880</v>
      </c>
      <c r="DDY1336" s="4" t="s">
        <v>2880</v>
      </c>
      <c r="DDZ1336" s="4" t="s">
        <v>2880</v>
      </c>
      <c r="DEA1336" s="4" t="s">
        <v>2880</v>
      </c>
      <c r="DEB1336" s="4" t="s">
        <v>2880</v>
      </c>
      <c r="DEC1336" s="4" t="s">
        <v>2880</v>
      </c>
      <c r="DED1336" s="4" t="s">
        <v>2880</v>
      </c>
      <c r="DEE1336" s="4" t="s">
        <v>2880</v>
      </c>
      <c r="DEF1336" s="4" t="s">
        <v>2880</v>
      </c>
      <c r="DEG1336" s="4" t="s">
        <v>2880</v>
      </c>
      <c r="DEH1336" s="4" t="s">
        <v>2880</v>
      </c>
      <c r="DEI1336" s="4" t="s">
        <v>2880</v>
      </c>
      <c r="DEJ1336" s="4" t="s">
        <v>2880</v>
      </c>
      <c r="DEK1336" s="4" t="s">
        <v>2880</v>
      </c>
      <c r="DEL1336" s="4" t="s">
        <v>2880</v>
      </c>
      <c r="DEM1336" s="4" t="s">
        <v>2880</v>
      </c>
      <c r="DEN1336" s="4" t="s">
        <v>2880</v>
      </c>
      <c r="DEO1336" s="4" t="s">
        <v>2880</v>
      </c>
      <c r="DEP1336" s="4" t="s">
        <v>2880</v>
      </c>
      <c r="DEQ1336" s="4" t="s">
        <v>2880</v>
      </c>
      <c r="DER1336" s="4" t="s">
        <v>2880</v>
      </c>
      <c r="DES1336" s="4" t="s">
        <v>2880</v>
      </c>
      <c r="DET1336" s="4" t="s">
        <v>2880</v>
      </c>
      <c r="DEU1336" s="4" t="s">
        <v>2880</v>
      </c>
      <c r="DEV1336" s="4" t="s">
        <v>2880</v>
      </c>
      <c r="DEW1336" s="4" t="s">
        <v>2880</v>
      </c>
      <c r="DEX1336" s="4" t="s">
        <v>2880</v>
      </c>
      <c r="DEY1336" s="4" t="s">
        <v>2880</v>
      </c>
      <c r="DEZ1336" s="4" t="s">
        <v>2880</v>
      </c>
      <c r="DFA1336" s="4" t="s">
        <v>2880</v>
      </c>
      <c r="DFB1336" s="4" t="s">
        <v>2880</v>
      </c>
      <c r="DFC1336" s="4" t="s">
        <v>2880</v>
      </c>
      <c r="DFD1336" s="4" t="s">
        <v>2880</v>
      </c>
      <c r="DFE1336" s="4" t="s">
        <v>2880</v>
      </c>
      <c r="DFF1336" s="4" t="s">
        <v>2880</v>
      </c>
      <c r="DFG1336" s="4" t="s">
        <v>2880</v>
      </c>
      <c r="DFH1336" s="4" t="s">
        <v>2880</v>
      </c>
      <c r="DFI1336" s="4" t="s">
        <v>2880</v>
      </c>
      <c r="DFJ1336" s="4" t="s">
        <v>2880</v>
      </c>
      <c r="DFK1336" s="4" t="s">
        <v>2880</v>
      </c>
      <c r="DFL1336" s="4" t="s">
        <v>2880</v>
      </c>
      <c r="DFM1336" s="4" t="s">
        <v>2880</v>
      </c>
      <c r="DFN1336" s="4" t="s">
        <v>2880</v>
      </c>
      <c r="DFO1336" s="4" t="s">
        <v>2880</v>
      </c>
      <c r="DFP1336" s="4" t="s">
        <v>2880</v>
      </c>
      <c r="DFQ1336" s="4" t="s">
        <v>2880</v>
      </c>
      <c r="DFR1336" s="4" t="s">
        <v>2880</v>
      </c>
      <c r="DFS1336" s="4" t="s">
        <v>2880</v>
      </c>
      <c r="DFT1336" s="4" t="s">
        <v>2880</v>
      </c>
      <c r="DFU1336" s="4" t="s">
        <v>2880</v>
      </c>
      <c r="DFV1336" s="4" t="s">
        <v>2880</v>
      </c>
      <c r="DFW1336" s="4" t="s">
        <v>2880</v>
      </c>
      <c r="DFX1336" s="4" t="s">
        <v>2880</v>
      </c>
      <c r="DFY1336" s="4" t="s">
        <v>2880</v>
      </c>
      <c r="DFZ1336" s="4" t="s">
        <v>2880</v>
      </c>
      <c r="DGA1336" s="4" t="s">
        <v>2880</v>
      </c>
      <c r="DGB1336" s="4" t="s">
        <v>2880</v>
      </c>
      <c r="DGC1336" s="4" t="s">
        <v>2880</v>
      </c>
      <c r="DGD1336" s="4" t="s">
        <v>2880</v>
      </c>
      <c r="DGE1336" s="4" t="s">
        <v>2880</v>
      </c>
      <c r="DGF1336" s="4" t="s">
        <v>2880</v>
      </c>
      <c r="DGG1336" s="4" t="s">
        <v>2880</v>
      </c>
      <c r="DGH1336" s="4" t="s">
        <v>2880</v>
      </c>
      <c r="DGI1336" s="4" t="s">
        <v>2880</v>
      </c>
      <c r="DGJ1336" s="4" t="s">
        <v>2880</v>
      </c>
      <c r="DGK1336" s="4" t="s">
        <v>2880</v>
      </c>
      <c r="DGL1336" s="4" t="s">
        <v>2880</v>
      </c>
      <c r="DGM1336" s="4" t="s">
        <v>2880</v>
      </c>
      <c r="DGN1336" s="4" t="s">
        <v>2880</v>
      </c>
      <c r="DGO1336" s="4" t="s">
        <v>2880</v>
      </c>
      <c r="DGP1336" s="4" t="s">
        <v>2880</v>
      </c>
      <c r="DGQ1336" s="4" t="s">
        <v>2880</v>
      </c>
      <c r="DGR1336" s="4" t="s">
        <v>2880</v>
      </c>
      <c r="DGS1336" s="4" t="s">
        <v>2880</v>
      </c>
      <c r="DGT1336" s="4" t="s">
        <v>2880</v>
      </c>
      <c r="DGU1336" s="4" t="s">
        <v>2880</v>
      </c>
      <c r="DGV1336" s="4" t="s">
        <v>2880</v>
      </c>
      <c r="DGW1336" s="4" t="s">
        <v>2880</v>
      </c>
      <c r="DGX1336" s="4" t="s">
        <v>2880</v>
      </c>
      <c r="DGY1336" s="4" t="s">
        <v>2880</v>
      </c>
      <c r="DGZ1336" s="4" t="s">
        <v>2880</v>
      </c>
      <c r="DHA1336" s="4" t="s">
        <v>2880</v>
      </c>
      <c r="DHB1336" s="4" t="s">
        <v>2880</v>
      </c>
      <c r="DHC1336" s="4" t="s">
        <v>2880</v>
      </c>
      <c r="DHD1336" s="4" t="s">
        <v>2880</v>
      </c>
      <c r="DHE1336" s="4" t="s">
        <v>2880</v>
      </c>
      <c r="DHF1336" s="4" t="s">
        <v>2880</v>
      </c>
      <c r="DHG1336" s="4" t="s">
        <v>2880</v>
      </c>
      <c r="DHH1336" s="4" t="s">
        <v>2880</v>
      </c>
      <c r="DHI1336" s="4" t="s">
        <v>2880</v>
      </c>
      <c r="DHJ1336" s="4" t="s">
        <v>2880</v>
      </c>
      <c r="DHK1336" s="4" t="s">
        <v>2880</v>
      </c>
      <c r="DHL1336" s="4" t="s">
        <v>2880</v>
      </c>
      <c r="DHM1336" s="4" t="s">
        <v>2880</v>
      </c>
      <c r="DHN1336" s="4" t="s">
        <v>2880</v>
      </c>
      <c r="DHO1336" s="4" t="s">
        <v>2880</v>
      </c>
      <c r="DHP1336" s="4" t="s">
        <v>2880</v>
      </c>
      <c r="DHQ1336" s="4" t="s">
        <v>2880</v>
      </c>
      <c r="DHR1336" s="4" t="s">
        <v>2880</v>
      </c>
      <c r="DHS1336" s="4" t="s">
        <v>2880</v>
      </c>
      <c r="DHT1336" s="4" t="s">
        <v>2880</v>
      </c>
      <c r="DHU1336" s="4" t="s">
        <v>2880</v>
      </c>
      <c r="DHV1336" s="4" t="s">
        <v>2880</v>
      </c>
      <c r="DHW1336" s="4" t="s">
        <v>2880</v>
      </c>
      <c r="DHX1336" s="4" t="s">
        <v>2880</v>
      </c>
      <c r="DHY1336" s="4" t="s">
        <v>2880</v>
      </c>
      <c r="DHZ1336" s="4" t="s">
        <v>2880</v>
      </c>
      <c r="DIA1336" s="4" t="s">
        <v>2880</v>
      </c>
      <c r="DIB1336" s="4" t="s">
        <v>2880</v>
      </c>
      <c r="DIC1336" s="4" t="s">
        <v>2880</v>
      </c>
      <c r="DID1336" s="4" t="s">
        <v>2880</v>
      </c>
      <c r="DIE1336" s="4" t="s">
        <v>2880</v>
      </c>
      <c r="DIF1336" s="4" t="s">
        <v>2880</v>
      </c>
      <c r="DIG1336" s="4" t="s">
        <v>2880</v>
      </c>
      <c r="DIH1336" s="4" t="s">
        <v>2880</v>
      </c>
      <c r="DII1336" s="4" t="s">
        <v>2880</v>
      </c>
      <c r="DIJ1336" s="4" t="s">
        <v>2880</v>
      </c>
      <c r="DIK1336" s="4" t="s">
        <v>2880</v>
      </c>
      <c r="DIL1336" s="4" t="s">
        <v>2880</v>
      </c>
      <c r="DIM1336" s="4" t="s">
        <v>2880</v>
      </c>
      <c r="DIN1336" s="4" t="s">
        <v>2880</v>
      </c>
      <c r="DIO1336" s="4" t="s">
        <v>2880</v>
      </c>
      <c r="DIP1336" s="4" t="s">
        <v>2880</v>
      </c>
      <c r="DIQ1336" s="4" t="s">
        <v>2880</v>
      </c>
      <c r="DIR1336" s="4" t="s">
        <v>2880</v>
      </c>
      <c r="DIS1336" s="4" t="s">
        <v>2880</v>
      </c>
      <c r="DIT1336" s="4" t="s">
        <v>2880</v>
      </c>
      <c r="DIU1336" s="4" t="s">
        <v>2880</v>
      </c>
      <c r="DIV1336" s="4" t="s">
        <v>2880</v>
      </c>
      <c r="DIW1336" s="4" t="s">
        <v>2880</v>
      </c>
      <c r="DIX1336" s="4" t="s">
        <v>2880</v>
      </c>
      <c r="DIY1336" s="4" t="s">
        <v>2880</v>
      </c>
      <c r="DIZ1336" s="4" t="s">
        <v>2880</v>
      </c>
      <c r="DJA1336" s="4" t="s">
        <v>2880</v>
      </c>
      <c r="DJB1336" s="4" t="s">
        <v>2880</v>
      </c>
      <c r="DJC1336" s="4" t="s">
        <v>2880</v>
      </c>
      <c r="DJD1336" s="4" t="s">
        <v>2880</v>
      </c>
      <c r="DJE1336" s="4" t="s">
        <v>2880</v>
      </c>
      <c r="DJF1336" s="4" t="s">
        <v>2880</v>
      </c>
      <c r="DJG1336" s="4" t="s">
        <v>2880</v>
      </c>
      <c r="DJH1336" s="4" t="s">
        <v>2880</v>
      </c>
      <c r="DJI1336" s="4" t="s">
        <v>2880</v>
      </c>
      <c r="DJJ1336" s="4" t="s">
        <v>2880</v>
      </c>
      <c r="DJK1336" s="4" t="s">
        <v>2880</v>
      </c>
      <c r="DJL1336" s="4" t="s">
        <v>2880</v>
      </c>
      <c r="DJM1336" s="4" t="s">
        <v>2880</v>
      </c>
      <c r="DJN1336" s="4" t="s">
        <v>2880</v>
      </c>
      <c r="DJO1336" s="4" t="s">
        <v>2880</v>
      </c>
      <c r="DJP1336" s="4" t="s">
        <v>2880</v>
      </c>
      <c r="DJQ1336" s="4" t="s">
        <v>2880</v>
      </c>
      <c r="DJR1336" s="4" t="s">
        <v>2880</v>
      </c>
      <c r="DJS1336" s="4" t="s">
        <v>2880</v>
      </c>
      <c r="DJT1336" s="4" t="s">
        <v>2880</v>
      </c>
      <c r="DJU1336" s="4" t="s">
        <v>2880</v>
      </c>
      <c r="DJV1336" s="4" t="s">
        <v>2880</v>
      </c>
      <c r="DJW1336" s="4" t="s">
        <v>2880</v>
      </c>
      <c r="DJX1336" s="4" t="s">
        <v>2880</v>
      </c>
      <c r="DJY1336" s="4" t="s">
        <v>2880</v>
      </c>
      <c r="DJZ1336" s="4" t="s">
        <v>2880</v>
      </c>
      <c r="DKA1336" s="4" t="s">
        <v>2880</v>
      </c>
      <c r="DKB1336" s="4" t="s">
        <v>2880</v>
      </c>
      <c r="DKC1336" s="4" t="s">
        <v>2880</v>
      </c>
      <c r="DKD1336" s="4" t="s">
        <v>2880</v>
      </c>
      <c r="DKE1336" s="4" t="s">
        <v>2880</v>
      </c>
      <c r="DKF1336" s="4" t="s">
        <v>2880</v>
      </c>
      <c r="DKG1336" s="4" t="s">
        <v>2880</v>
      </c>
      <c r="DKH1336" s="4" t="s">
        <v>2880</v>
      </c>
      <c r="DKI1336" s="4" t="s">
        <v>2880</v>
      </c>
      <c r="DKJ1336" s="4" t="s">
        <v>2880</v>
      </c>
      <c r="DKK1336" s="4" t="s">
        <v>2880</v>
      </c>
      <c r="DKL1336" s="4" t="s">
        <v>2880</v>
      </c>
      <c r="DKM1336" s="4" t="s">
        <v>2880</v>
      </c>
      <c r="DKN1336" s="4" t="s">
        <v>2880</v>
      </c>
      <c r="DKO1336" s="4" t="s">
        <v>2880</v>
      </c>
      <c r="DKP1336" s="4" t="s">
        <v>2880</v>
      </c>
      <c r="DKQ1336" s="4" t="s">
        <v>2880</v>
      </c>
      <c r="DKR1336" s="4" t="s">
        <v>2880</v>
      </c>
      <c r="DKS1336" s="4" t="s">
        <v>2880</v>
      </c>
      <c r="DKT1336" s="4" t="s">
        <v>2880</v>
      </c>
      <c r="DKU1336" s="4" t="s">
        <v>2880</v>
      </c>
      <c r="DKV1336" s="4" t="s">
        <v>2880</v>
      </c>
      <c r="DKW1336" s="4" t="s">
        <v>2880</v>
      </c>
      <c r="DKX1336" s="4" t="s">
        <v>2880</v>
      </c>
      <c r="DKY1336" s="4" t="s">
        <v>2880</v>
      </c>
      <c r="DKZ1336" s="4" t="s">
        <v>2880</v>
      </c>
      <c r="DLA1336" s="4" t="s">
        <v>2880</v>
      </c>
      <c r="DLB1336" s="4" t="s">
        <v>2880</v>
      </c>
      <c r="DLC1336" s="4" t="s">
        <v>2880</v>
      </c>
      <c r="DLD1336" s="4" t="s">
        <v>2880</v>
      </c>
      <c r="DLE1336" s="4" t="s">
        <v>2880</v>
      </c>
      <c r="DLF1336" s="4" t="s">
        <v>2880</v>
      </c>
      <c r="DLG1336" s="4" t="s">
        <v>2880</v>
      </c>
      <c r="DLH1336" s="4" t="s">
        <v>2880</v>
      </c>
      <c r="DLI1336" s="4" t="s">
        <v>2880</v>
      </c>
      <c r="DLJ1336" s="4" t="s">
        <v>2880</v>
      </c>
      <c r="DLK1336" s="4" t="s">
        <v>2880</v>
      </c>
      <c r="DLL1336" s="4" t="s">
        <v>2880</v>
      </c>
      <c r="DLM1336" s="4" t="s">
        <v>2880</v>
      </c>
      <c r="DLN1336" s="4" t="s">
        <v>2880</v>
      </c>
      <c r="DLO1336" s="4" t="s">
        <v>2880</v>
      </c>
      <c r="DLP1336" s="4" t="s">
        <v>2880</v>
      </c>
      <c r="DLQ1336" s="4" t="s">
        <v>2880</v>
      </c>
      <c r="DLR1336" s="4" t="s">
        <v>2880</v>
      </c>
      <c r="DLS1336" s="4" t="s">
        <v>2880</v>
      </c>
      <c r="DLT1336" s="4" t="s">
        <v>2880</v>
      </c>
      <c r="DLU1336" s="4" t="s">
        <v>2880</v>
      </c>
      <c r="DLV1336" s="4" t="s">
        <v>2880</v>
      </c>
      <c r="DLW1336" s="4" t="s">
        <v>2880</v>
      </c>
      <c r="DLX1336" s="4" t="s">
        <v>2880</v>
      </c>
      <c r="DLY1336" s="4" t="s">
        <v>2880</v>
      </c>
      <c r="DLZ1336" s="4" t="s">
        <v>2880</v>
      </c>
      <c r="DMA1336" s="4" t="s">
        <v>2880</v>
      </c>
      <c r="DMB1336" s="4" t="s">
        <v>2880</v>
      </c>
      <c r="DMC1336" s="4" t="s">
        <v>2880</v>
      </c>
      <c r="DMD1336" s="4" t="s">
        <v>2880</v>
      </c>
      <c r="DME1336" s="4" t="s">
        <v>2880</v>
      </c>
      <c r="DMF1336" s="4" t="s">
        <v>2880</v>
      </c>
      <c r="DMG1336" s="4" t="s">
        <v>2880</v>
      </c>
      <c r="DMH1336" s="4" t="s">
        <v>2880</v>
      </c>
      <c r="DMI1336" s="4" t="s">
        <v>2880</v>
      </c>
      <c r="DMJ1336" s="4" t="s">
        <v>2880</v>
      </c>
      <c r="DMK1336" s="4" t="s">
        <v>2880</v>
      </c>
      <c r="DML1336" s="4" t="s">
        <v>2880</v>
      </c>
      <c r="DMM1336" s="4" t="s">
        <v>2880</v>
      </c>
      <c r="DMN1336" s="4" t="s">
        <v>2880</v>
      </c>
      <c r="DMO1336" s="4" t="s">
        <v>2880</v>
      </c>
      <c r="DMP1336" s="4" t="s">
        <v>2880</v>
      </c>
      <c r="DMQ1336" s="4" t="s">
        <v>2880</v>
      </c>
      <c r="DMR1336" s="4" t="s">
        <v>2880</v>
      </c>
      <c r="DMS1336" s="4" t="s">
        <v>2880</v>
      </c>
      <c r="DMT1336" s="4" t="s">
        <v>2880</v>
      </c>
      <c r="DMU1336" s="4" t="s">
        <v>2880</v>
      </c>
      <c r="DMV1336" s="4" t="s">
        <v>2880</v>
      </c>
      <c r="DMW1336" s="4" t="s">
        <v>2880</v>
      </c>
      <c r="DMX1336" s="4" t="s">
        <v>2880</v>
      </c>
      <c r="DMY1336" s="4" t="s">
        <v>2880</v>
      </c>
      <c r="DMZ1336" s="4" t="s">
        <v>2880</v>
      </c>
      <c r="DNA1336" s="4" t="s">
        <v>2880</v>
      </c>
      <c r="DNB1336" s="4" t="s">
        <v>2880</v>
      </c>
      <c r="DNC1336" s="4" t="s">
        <v>2880</v>
      </c>
      <c r="DND1336" s="4" t="s">
        <v>2880</v>
      </c>
      <c r="DNE1336" s="4" t="s">
        <v>2880</v>
      </c>
      <c r="DNF1336" s="4" t="s">
        <v>2880</v>
      </c>
      <c r="DNG1336" s="4" t="s">
        <v>2880</v>
      </c>
      <c r="DNH1336" s="4" t="s">
        <v>2880</v>
      </c>
      <c r="DNI1336" s="4" t="s">
        <v>2880</v>
      </c>
      <c r="DNJ1336" s="4" t="s">
        <v>2880</v>
      </c>
      <c r="DNK1336" s="4" t="s">
        <v>2880</v>
      </c>
      <c r="DNL1336" s="4" t="s">
        <v>2880</v>
      </c>
      <c r="DNM1336" s="4" t="s">
        <v>2880</v>
      </c>
      <c r="DNN1336" s="4" t="s">
        <v>2880</v>
      </c>
      <c r="DNO1336" s="4" t="s">
        <v>2880</v>
      </c>
      <c r="DNP1336" s="4" t="s">
        <v>2880</v>
      </c>
      <c r="DNQ1336" s="4" t="s">
        <v>2880</v>
      </c>
      <c r="DNR1336" s="4" t="s">
        <v>2880</v>
      </c>
      <c r="DNS1336" s="4" t="s">
        <v>2880</v>
      </c>
      <c r="DNT1336" s="4" t="s">
        <v>2880</v>
      </c>
      <c r="DNU1336" s="4" t="s">
        <v>2880</v>
      </c>
      <c r="DNV1336" s="4" t="s">
        <v>2880</v>
      </c>
      <c r="DNW1336" s="4" t="s">
        <v>2880</v>
      </c>
      <c r="DNX1336" s="4" t="s">
        <v>2880</v>
      </c>
      <c r="DNY1336" s="4" t="s">
        <v>2880</v>
      </c>
      <c r="DNZ1336" s="4" t="s">
        <v>2880</v>
      </c>
      <c r="DOA1336" s="4" t="s">
        <v>2880</v>
      </c>
      <c r="DOB1336" s="4" t="s">
        <v>2880</v>
      </c>
      <c r="DOC1336" s="4" t="s">
        <v>2880</v>
      </c>
      <c r="DOD1336" s="4" t="s">
        <v>2880</v>
      </c>
      <c r="DOE1336" s="4" t="s">
        <v>2880</v>
      </c>
      <c r="DOF1336" s="4" t="s">
        <v>2880</v>
      </c>
      <c r="DOG1336" s="4" t="s">
        <v>2880</v>
      </c>
      <c r="DOH1336" s="4" t="s">
        <v>2880</v>
      </c>
      <c r="DOI1336" s="4" t="s">
        <v>2880</v>
      </c>
      <c r="DOJ1336" s="4" t="s">
        <v>2880</v>
      </c>
      <c r="DOK1336" s="4" t="s">
        <v>2880</v>
      </c>
      <c r="DOL1336" s="4" t="s">
        <v>2880</v>
      </c>
      <c r="DOM1336" s="4" t="s">
        <v>2880</v>
      </c>
      <c r="DON1336" s="4" t="s">
        <v>2880</v>
      </c>
      <c r="DOO1336" s="4" t="s">
        <v>2880</v>
      </c>
      <c r="DOP1336" s="4" t="s">
        <v>2880</v>
      </c>
      <c r="DOQ1336" s="4" t="s">
        <v>2880</v>
      </c>
      <c r="DOR1336" s="4" t="s">
        <v>2880</v>
      </c>
      <c r="DOS1336" s="4" t="s">
        <v>2880</v>
      </c>
      <c r="DOT1336" s="4" t="s">
        <v>2880</v>
      </c>
      <c r="DOU1336" s="4" t="s">
        <v>2880</v>
      </c>
      <c r="DOV1336" s="4" t="s">
        <v>2880</v>
      </c>
      <c r="DOW1336" s="4" t="s">
        <v>2880</v>
      </c>
      <c r="DOX1336" s="4" t="s">
        <v>2880</v>
      </c>
      <c r="DOY1336" s="4" t="s">
        <v>2880</v>
      </c>
      <c r="DOZ1336" s="4" t="s">
        <v>2880</v>
      </c>
      <c r="DPA1336" s="4" t="s">
        <v>2880</v>
      </c>
      <c r="DPB1336" s="4" t="s">
        <v>2880</v>
      </c>
      <c r="DPC1336" s="4" t="s">
        <v>2880</v>
      </c>
      <c r="DPD1336" s="4" t="s">
        <v>2880</v>
      </c>
      <c r="DPE1336" s="4" t="s">
        <v>2880</v>
      </c>
      <c r="DPF1336" s="4" t="s">
        <v>2880</v>
      </c>
      <c r="DPG1336" s="4" t="s">
        <v>2880</v>
      </c>
      <c r="DPH1336" s="4" t="s">
        <v>2880</v>
      </c>
      <c r="DPI1336" s="4" t="s">
        <v>2880</v>
      </c>
      <c r="DPJ1336" s="4" t="s">
        <v>2880</v>
      </c>
      <c r="DPK1336" s="4" t="s">
        <v>2880</v>
      </c>
      <c r="DPL1336" s="4" t="s">
        <v>2880</v>
      </c>
      <c r="DPM1336" s="4" t="s">
        <v>2880</v>
      </c>
      <c r="DPN1336" s="4" t="s">
        <v>2880</v>
      </c>
      <c r="DPO1336" s="4" t="s">
        <v>2880</v>
      </c>
      <c r="DPP1336" s="4" t="s">
        <v>2880</v>
      </c>
      <c r="DPQ1336" s="4" t="s">
        <v>2880</v>
      </c>
      <c r="DPR1336" s="4" t="s">
        <v>2880</v>
      </c>
      <c r="DPS1336" s="4" t="s">
        <v>2880</v>
      </c>
      <c r="DPT1336" s="4" t="s">
        <v>2880</v>
      </c>
      <c r="DPU1336" s="4" t="s">
        <v>2880</v>
      </c>
      <c r="DPV1336" s="4" t="s">
        <v>2880</v>
      </c>
      <c r="DPW1336" s="4" t="s">
        <v>2880</v>
      </c>
      <c r="DPX1336" s="4" t="s">
        <v>2880</v>
      </c>
      <c r="DPY1336" s="4" t="s">
        <v>2880</v>
      </c>
      <c r="DPZ1336" s="4" t="s">
        <v>2880</v>
      </c>
      <c r="DQA1336" s="4" t="s">
        <v>2880</v>
      </c>
      <c r="DQB1336" s="4" t="s">
        <v>2880</v>
      </c>
      <c r="DQC1336" s="4" t="s">
        <v>2880</v>
      </c>
      <c r="DQD1336" s="4" t="s">
        <v>2880</v>
      </c>
      <c r="DQE1336" s="4" t="s">
        <v>2880</v>
      </c>
      <c r="DQF1336" s="4" t="s">
        <v>2880</v>
      </c>
      <c r="DQG1336" s="4" t="s">
        <v>2880</v>
      </c>
      <c r="DQH1336" s="4" t="s">
        <v>2880</v>
      </c>
      <c r="DQI1336" s="4" t="s">
        <v>2880</v>
      </c>
      <c r="DQJ1336" s="4" t="s">
        <v>2880</v>
      </c>
      <c r="DQK1336" s="4" t="s">
        <v>2880</v>
      </c>
      <c r="DQL1336" s="4" t="s">
        <v>2880</v>
      </c>
      <c r="DQM1336" s="4" t="s">
        <v>2880</v>
      </c>
      <c r="DQN1336" s="4" t="s">
        <v>2880</v>
      </c>
      <c r="DQO1336" s="4" t="s">
        <v>2880</v>
      </c>
      <c r="DQP1336" s="4" t="s">
        <v>2880</v>
      </c>
      <c r="DQQ1336" s="4" t="s">
        <v>2880</v>
      </c>
      <c r="DQR1336" s="4" t="s">
        <v>2880</v>
      </c>
      <c r="DQS1336" s="4" t="s">
        <v>2880</v>
      </c>
      <c r="DQT1336" s="4" t="s">
        <v>2880</v>
      </c>
      <c r="DQU1336" s="4" t="s">
        <v>2880</v>
      </c>
      <c r="DQV1336" s="4" t="s">
        <v>2880</v>
      </c>
      <c r="DQW1336" s="4" t="s">
        <v>2880</v>
      </c>
      <c r="DQX1336" s="4" t="s">
        <v>2880</v>
      </c>
      <c r="DQY1336" s="4" t="s">
        <v>2880</v>
      </c>
      <c r="DQZ1336" s="4" t="s">
        <v>2880</v>
      </c>
      <c r="DRA1336" s="4" t="s">
        <v>2880</v>
      </c>
      <c r="DRB1336" s="4" t="s">
        <v>2880</v>
      </c>
      <c r="DRC1336" s="4" t="s">
        <v>2880</v>
      </c>
      <c r="DRD1336" s="4" t="s">
        <v>2880</v>
      </c>
      <c r="DRE1336" s="4" t="s">
        <v>2880</v>
      </c>
      <c r="DRF1336" s="4" t="s">
        <v>2880</v>
      </c>
      <c r="DRG1336" s="4" t="s">
        <v>2880</v>
      </c>
      <c r="DRH1336" s="4" t="s">
        <v>2880</v>
      </c>
      <c r="DRI1336" s="4" t="s">
        <v>2880</v>
      </c>
      <c r="DRJ1336" s="4" t="s">
        <v>2880</v>
      </c>
      <c r="DRK1336" s="4" t="s">
        <v>2880</v>
      </c>
      <c r="DRL1336" s="4" t="s">
        <v>2880</v>
      </c>
      <c r="DRM1336" s="4" t="s">
        <v>2880</v>
      </c>
      <c r="DRN1336" s="4" t="s">
        <v>2880</v>
      </c>
      <c r="DRO1336" s="4" t="s">
        <v>2880</v>
      </c>
      <c r="DRP1336" s="4" t="s">
        <v>2880</v>
      </c>
      <c r="DRQ1336" s="4" t="s">
        <v>2880</v>
      </c>
      <c r="DRR1336" s="4" t="s">
        <v>2880</v>
      </c>
      <c r="DRS1336" s="4" t="s">
        <v>2880</v>
      </c>
      <c r="DRT1336" s="4" t="s">
        <v>2880</v>
      </c>
      <c r="DRU1336" s="4" t="s">
        <v>2880</v>
      </c>
      <c r="DRV1336" s="4" t="s">
        <v>2880</v>
      </c>
      <c r="DRW1336" s="4" t="s">
        <v>2880</v>
      </c>
      <c r="DRX1336" s="4" t="s">
        <v>2880</v>
      </c>
      <c r="DRY1336" s="4" t="s">
        <v>2880</v>
      </c>
      <c r="DRZ1336" s="4" t="s">
        <v>2880</v>
      </c>
      <c r="DSA1336" s="4" t="s">
        <v>2880</v>
      </c>
      <c r="DSB1336" s="4" t="s">
        <v>2880</v>
      </c>
      <c r="DSC1336" s="4" t="s">
        <v>2880</v>
      </c>
      <c r="DSD1336" s="4" t="s">
        <v>2880</v>
      </c>
      <c r="DSE1336" s="4" t="s">
        <v>2880</v>
      </c>
      <c r="DSF1336" s="4" t="s">
        <v>2880</v>
      </c>
      <c r="DSG1336" s="4" t="s">
        <v>2880</v>
      </c>
      <c r="DSH1336" s="4" t="s">
        <v>2880</v>
      </c>
      <c r="DSI1336" s="4" t="s">
        <v>2880</v>
      </c>
      <c r="DSJ1336" s="4" t="s">
        <v>2880</v>
      </c>
      <c r="DSK1336" s="4" t="s">
        <v>2880</v>
      </c>
      <c r="DSL1336" s="4" t="s">
        <v>2880</v>
      </c>
      <c r="DSM1336" s="4" t="s">
        <v>2880</v>
      </c>
      <c r="DSN1336" s="4" t="s">
        <v>2880</v>
      </c>
      <c r="DSO1336" s="4" t="s">
        <v>2880</v>
      </c>
      <c r="DSP1336" s="4" t="s">
        <v>2880</v>
      </c>
      <c r="DSQ1336" s="4" t="s">
        <v>2880</v>
      </c>
      <c r="DSR1336" s="4" t="s">
        <v>2880</v>
      </c>
      <c r="DSS1336" s="4" t="s">
        <v>2880</v>
      </c>
      <c r="DST1336" s="4" t="s">
        <v>2880</v>
      </c>
      <c r="DSU1336" s="4" t="s">
        <v>2880</v>
      </c>
      <c r="DSV1336" s="4" t="s">
        <v>2880</v>
      </c>
      <c r="DSW1336" s="4" t="s">
        <v>2880</v>
      </c>
      <c r="DSX1336" s="4" t="s">
        <v>2880</v>
      </c>
      <c r="DSY1336" s="4" t="s">
        <v>2880</v>
      </c>
      <c r="DSZ1336" s="4" t="s">
        <v>2880</v>
      </c>
      <c r="DTA1336" s="4" t="s">
        <v>2880</v>
      </c>
      <c r="DTB1336" s="4" t="s">
        <v>2880</v>
      </c>
      <c r="DTC1336" s="4" t="s">
        <v>2880</v>
      </c>
      <c r="DTD1336" s="4" t="s">
        <v>2880</v>
      </c>
      <c r="DTE1336" s="4" t="s">
        <v>2880</v>
      </c>
      <c r="DTF1336" s="4" t="s">
        <v>2880</v>
      </c>
      <c r="DTG1336" s="4" t="s">
        <v>2880</v>
      </c>
      <c r="DTH1336" s="4" t="s">
        <v>2880</v>
      </c>
      <c r="DTI1336" s="4" t="s">
        <v>2880</v>
      </c>
      <c r="DTJ1336" s="4" t="s">
        <v>2880</v>
      </c>
      <c r="DTK1336" s="4" t="s">
        <v>2880</v>
      </c>
      <c r="DTL1336" s="4" t="s">
        <v>2880</v>
      </c>
      <c r="DTM1336" s="4" t="s">
        <v>2880</v>
      </c>
      <c r="DTN1336" s="4" t="s">
        <v>2880</v>
      </c>
      <c r="DTO1336" s="4" t="s">
        <v>2880</v>
      </c>
      <c r="DTP1336" s="4" t="s">
        <v>2880</v>
      </c>
      <c r="DTQ1336" s="4" t="s">
        <v>2880</v>
      </c>
      <c r="DTR1336" s="4" t="s">
        <v>2880</v>
      </c>
      <c r="DTS1336" s="4" t="s">
        <v>2880</v>
      </c>
      <c r="DTT1336" s="4" t="s">
        <v>2880</v>
      </c>
      <c r="DTU1336" s="4" t="s">
        <v>2880</v>
      </c>
      <c r="DTV1336" s="4" t="s">
        <v>2880</v>
      </c>
      <c r="DTW1336" s="4" t="s">
        <v>2880</v>
      </c>
      <c r="DTX1336" s="4" t="s">
        <v>2880</v>
      </c>
      <c r="DTY1336" s="4" t="s">
        <v>2880</v>
      </c>
      <c r="DTZ1336" s="4" t="s">
        <v>2880</v>
      </c>
      <c r="DUA1336" s="4" t="s">
        <v>2880</v>
      </c>
      <c r="DUB1336" s="4" t="s">
        <v>2880</v>
      </c>
      <c r="DUC1336" s="4" t="s">
        <v>2880</v>
      </c>
      <c r="DUD1336" s="4" t="s">
        <v>2880</v>
      </c>
      <c r="DUE1336" s="4" t="s">
        <v>2880</v>
      </c>
      <c r="DUF1336" s="4" t="s">
        <v>2880</v>
      </c>
      <c r="DUG1336" s="4" t="s">
        <v>2880</v>
      </c>
      <c r="DUH1336" s="4" t="s">
        <v>2880</v>
      </c>
      <c r="DUI1336" s="4" t="s">
        <v>2880</v>
      </c>
      <c r="DUJ1336" s="4" t="s">
        <v>2880</v>
      </c>
      <c r="DUK1336" s="4" t="s">
        <v>2880</v>
      </c>
      <c r="DUL1336" s="4" t="s">
        <v>2880</v>
      </c>
      <c r="DUM1336" s="4" t="s">
        <v>2880</v>
      </c>
      <c r="DUN1336" s="4" t="s">
        <v>2880</v>
      </c>
      <c r="DUO1336" s="4" t="s">
        <v>2880</v>
      </c>
      <c r="DUP1336" s="4" t="s">
        <v>2880</v>
      </c>
      <c r="DUQ1336" s="4" t="s">
        <v>2880</v>
      </c>
      <c r="DUR1336" s="4" t="s">
        <v>2880</v>
      </c>
      <c r="DUS1336" s="4" t="s">
        <v>2880</v>
      </c>
      <c r="DUT1336" s="4" t="s">
        <v>2880</v>
      </c>
      <c r="DUU1336" s="4" t="s">
        <v>2880</v>
      </c>
      <c r="DUV1336" s="4" t="s">
        <v>2880</v>
      </c>
      <c r="DUW1336" s="4" t="s">
        <v>2880</v>
      </c>
      <c r="DUX1336" s="4" t="s">
        <v>2880</v>
      </c>
      <c r="DUY1336" s="4" t="s">
        <v>2880</v>
      </c>
      <c r="DUZ1336" s="4" t="s">
        <v>2880</v>
      </c>
      <c r="DVA1336" s="4" t="s">
        <v>2880</v>
      </c>
      <c r="DVB1336" s="4" t="s">
        <v>2880</v>
      </c>
      <c r="DVC1336" s="4" t="s">
        <v>2880</v>
      </c>
      <c r="DVD1336" s="4" t="s">
        <v>2880</v>
      </c>
      <c r="DVE1336" s="4" t="s">
        <v>2880</v>
      </c>
      <c r="DVF1336" s="4" t="s">
        <v>2880</v>
      </c>
      <c r="DVG1336" s="4" t="s">
        <v>2880</v>
      </c>
      <c r="DVH1336" s="4" t="s">
        <v>2880</v>
      </c>
      <c r="DVI1336" s="4" t="s">
        <v>2880</v>
      </c>
      <c r="DVJ1336" s="4" t="s">
        <v>2880</v>
      </c>
      <c r="DVK1336" s="4" t="s">
        <v>2880</v>
      </c>
      <c r="DVL1336" s="4" t="s">
        <v>2880</v>
      </c>
      <c r="DVM1336" s="4" t="s">
        <v>2880</v>
      </c>
      <c r="DVN1336" s="4" t="s">
        <v>2880</v>
      </c>
      <c r="DVO1336" s="4" t="s">
        <v>2880</v>
      </c>
      <c r="DVP1336" s="4" t="s">
        <v>2880</v>
      </c>
      <c r="DVQ1336" s="4" t="s">
        <v>2880</v>
      </c>
      <c r="DVR1336" s="4" t="s">
        <v>2880</v>
      </c>
      <c r="DVS1336" s="4" t="s">
        <v>2880</v>
      </c>
      <c r="DVT1336" s="4" t="s">
        <v>2880</v>
      </c>
      <c r="DVU1336" s="4" t="s">
        <v>2880</v>
      </c>
      <c r="DVV1336" s="4" t="s">
        <v>2880</v>
      </c>
      <c r="DVW1336" s="4" t="s">
        <v>2880</v>
      </c>
      <c r="DVX1336" s="4" t="s">
        <v>2880</v>
      </c>
      <c r="DVY1336" s="4" t="s">
        <v>2880</v>
      </c>
      <c r="DVZ1336" s="4" t="s">
        <v>2880</v>
      </c>
      <c r="DWA1336" s="4" t="s">
        <v>2880</v>
      </c>
      <c r="DWB1336" s="4" t="s">
        <v>2880</v>
      </c>
      <c r="DWC1336" s="4" t="s">
        <v>2880</v>
      </c>
      <c r="DWD1336" s="4" t="s">
        <v>2880</v>
      </c>
      <c r="DWE1336" s="4" t="s">
        <v>2880</v>
      </c>
      <c r="DWF1336" s="4" t="s">
        <v>2880</v>
      </c>
      <c r="DWG1336" s="4" t="s">
        <v>2880</v>
      </c>
      <c r="DWH1336" s="4" t="s">
        <v>2880</v>
      </c>
      <c r="DWI1336" s="4" t="s">
        <v>2880</v>
      </c>
      <c r="DWJ1336" s="4" t="s">
        <v>2880</v>
      </c>
      <c r="DWK1336" s="4" t="s">
        <v>2880</v>
      </c>
      <c r="DWL1336" s="4" t="s">
        <v>2880</v>
      </c>
      <c r="DWM1336" s="4" t="s">
        <v>2880</v>
      </c>
      <c r="DWN1336" s="4" t="s">
        <v>2880</v>
      </c>
      <c r="DWO1336" s="4" t="s">
        <v>2880</v>
      </c>
      <c r="DWP1336" s="4" t="s">
        <v>2880</v>
      </c>
      <c r="DWQ1336" s="4" t="s">
        <v>2880</v>
      </c>
      <c r="DWR1336" s="4" t="s">
        <v>2880</v>
      </c>
      <c r="DWS1336" s="4" t="s">
        <v>2880</v>
      </c>
      <c r="DWT1336" s="4" t="s">
        <v>2880</v>
      </c>
      <c r="DWU1336" s="4" t="s">
        <v>2880</v>
      </c>
      <c r="DWV1336" s="4" t="s">
        <v>2880</v>
      </c>
      <c r="DWW1336" s="4" t="s">
        <v>2880</v>
      </c>
      <c r="DWX1336" s="4" t="s">
        <v>2880</v>
      </c>
      <c r="DWY1336" s="4" t="s">
        <v>2880</v>
      </c>
      <c r="DWZ1336" s="4" t="s">
        <v>2880</v>
      </c>
      <c r="DXA1336" s="4" t="s">
        <v>2880</v>
      </c>
      <c r="DXB1336" s="4" t="s">
        <v>2880</v>
      </c>
      <c r="DXC1336" s="4" t="s">
        <v>2880</v>
      </c>
      <c r="DXD1336" s="4" t="s">
        <v>2880</v>
      </c>
      <c r="DXE1336" s="4" t="s">
        <v>2880</v>
      </c>
      <c r="DXF1336" s="4" t="s">
        <v>2880</v>
      </c>
      <c r="DXG1336" s="4" t="s">
        <v>2880</v>
      </c>
      <c r="DXH1336" s="4" t="s">
        <v>2880</v>
      </c>
      <c r="DXI1336" s="4" t="s">
        <v>2880</v>
      </c>
      <c r="DXJ1336" s="4" t="s">
        <v>2880</v>
      </c>
      <c r="DXK1336" s="4" t="s">
        <v>2880</v>
      </c>
      <c r="DXL1336" s="4" t="s">
        <v>2880</v>
      </c>
      <c r="DXM1336" s="4" t="s">
        <v>2880</v>
      </c>
      <c r="DXN1336" s="4" t="s">
        <v>2880</v>
      </c>
      <c r="DXO1336" s="4" t="s">
        <v>2880</v>
      </c>
      <c r="DXP1336" s="4" t="s">
        <v>2880</v>
      </c>
      <c r="DXQ1336" s="4" t="s">
        <v>2880</v>
      </c>
      <c r="DXR1336" s="4" t="s">
        <v>2880</v>
      </c>
      <c r="DXS1336" s="4" t="s">
        <v>2880</v>
      </c>
      <c r="DXT1336" s="4" t="s">
        <v>2880</v>
      </c>
      <c r="DXU1336" s="4" t="s">
        <v>2880</v>
      </c>
      <c r="DXV1336" s="4" t="s">
        <v>2880</v>
      </c>
      <c r="DXW1336" s="4" t="s">
        <v>2880</v>
      </c>
      <c r="DXX1336" s="4" t="s">
        <v>2880</v>
      </c>
      <c r="DXY1336" s="4" t="s">
        <v>2880</v>
      </c>
      <c r="DXZ1336" s="4" t="s">
        <v>2880</v>
      </c>
      <c r="DYA1336" s="4" t="s">
        <v>2880</v>
      </c>
      <c r="DYB1336" s="4" t="s">
        <v>2880</v>
      </c>
      <c r="DYC1336" s="4" t="s">
        <v>2880</v>
      </c>
      <c r="DYD1336" s="4" t="s">
        <v>2880</v>
      </c>
      <c r="DYE1336" s="4" t="s">
        <v>2880</v>
      </c>
      <c r="DYF1336" s="4" t="s">
        <v>2880</v>
      </c>
      <c r="DYG1336" s="4" t="s">
        <v>2880</v>
      </c>
      <c r="DYH1336" s="4" t="s">
        <v>2880</v>
      </c>
      <c r="DYI1336" s="4" t="s">
        <v>2880</v>
      </c>
      <c r="DYJ1336" s="4" t="s">
        <v>2880</v>
      </c>
      <c r="DYK1336" s="4" t="s">
        <v>2880</v>
      </c>
      <c r="DYL1336" s="4" t="s">
        <v>2880</v>
      </c>
      <c r="DYM1336" s="4" t="s">
        <v>2880</v>
      </c>
      <c r="DYN1336" s="4" t="s">
        <v>2880</v>
      </c>
      <c r="DYO1336" s="4" t="s">
        <v>2880</v>
      </c>
      <c r="DYP1336" s="4" t="s">
        <v>2880</v>
      </c>
      <c r="DYQ1336" s="4" t="s">
        <v>2880</v>
      </c>
      <c r="DYR1336" s="4" t="s">
        <v>2880</v>
      </c>
      <c r="DYS1336" s="4" t="s">
        <v>2880</v>
      </c>
      <c r="DYT1336" s="4" t="s">
        <v>2880</v>
      </c>
      <c r="DYU1336" s="4" t="s">
        <v>2880</v>
      </c>
      <c r="DYV1336" s="4" t="s">
        <v>2880</v>
      </c>
      <c r="DYW1336" s="4" t="s">
        <v>2880</v>
      </c>
      <c r="DYX1336" s="4" t="s">
        <v>2880</v>
      </c>
      <c r="DYY1336" s="4" t="s">
        <v>2880</v>
      </c>
      <c r="DYZ1336" s="4" t="s">
        <v>2880</v>
      </c>
      <c r="DZA1336" s="4" t="s">
        <v>2880</v>
      </c>
      <c r="DZB1336" s="4" t="s">
        <v>2880</v>
      </c>
      <c r="DZC1336" s="4" t="s">
        <v>2880</v>
      </c>
      <c r="DZD1336" s="4" t="s">
        <v>2880</v>
      </c>
      <c r="DZE1336" s="4" t="s">
        <v>2880</v>
      </c>
      <c r="DZF1336" s="4" t="s">
        <v>2880</v>
      </c>
      <c r="DZG1336" s="4" t="s">
        <v>2880</v>
      </c>
      <c r="DZH1336" s="4" t="s">
        <v>2880</v>
      </c>
      <c r="DZI1336" s="4" t="s">
        <v>2880</v>
      </c>
      <c r="DZJ1336" s="4" t="s">
        <v>2880</v>
      </c>
      <c r="DZK1336" s="4" t="s">
        <v>2880</v>
      </c>
      <c r="DZL1336" s="4" t="s">
        <v>2880</v>
      </c>
      <c r="DZM1336" s="4" t="s">
        <v>2880</v>
      </c>
      <c r="DZN1336" s="4" t="s">
        <v>2880</v>
      </c>
      <c r="DZO1336" s="4" t="s">
        <v>2880</v>
      </c>
      <c r="DZP1336" s="4" t="s">
        <v>2880</v>
      </c>
      <c r="DZQ1336" s="4" t="s">
        <v>2880</v>
      </c>
      <c r="DZR1336" s="4" t="s">
        <v>2880</v>
      </c>
      <c r="DZS1336" s="4" t="s">
        <v>2880</v>
      </c>
      <c r="DZT1336" s="4" t="s">
        <v>2880</v>
      </c>
      <c r="DZU1336" s="4" t="s">
        <v>2880</v>
      </c>
      <c r="DZV1336" s="4" t="s">
        <v>2880</v>
      </c>
      <c r="DZW1336" s="4" t="s">
        <v>2880</v>
      </c>
      <c r="DZX1336" s="4" t="s">
        <v>2880</v>
      </c>
      <c r="DZY1336" s="4" t="s">
        <v>2880</v>
      </c>
      <c r="DZZ1336" s="4" t="s">
        <v>2880</v>
      </c>
      <c r="EAA1336" s="4" t="s">
        <v>2880</v>
      </c>
      <c r="EAB1336" s="4" t="s">
        <v>2880</v>
      </c>
      <c r="EAC1336" s="4" t="s">
        <v>2880</v>
      </c>
      <c r="EAD1336" s="4" t="s">
        <v>2880</v>
      </c>
      <c r="EAE1336" s="4" t="s">
        <v>2880</v>
      </c>
      <c r="EAF1336" s="4" t="s">
        <v>2880</v>
      </c>
      <c r="EAG1336" s="4" t="s">
        <v>2880</v>
      </c>
      <c r="EAH1336" s="4" t="s">
        <v>2880</v>
      </c>
      <c r="EAI1336" s="4" t="s">
        <v>2880</v>
      </c>
      <c r="EAJ1336" s="4" t="s">
        <v>2880</v>
      </c>
      <c r="EAK1336" s="4" t="s">
        <v>2880</v>
      </c>
      <c r="EAL1336" s="4" t="s">
        <v>2880</v>
      </c>
      <c r="EAM1336" s="4" t="s">
        <v>2880</v>
      </c>
      <c r="EAN1336" s="4" t="s">
        <v>2880</v>
      </c>
      <c r="EAO1336" s="4" t="s">
        <v>2880</v>
      </c>
      <c r="EAP1336" s="4" t="s">
        <v>2880</v>
      </c>
      <c r="EAQ1336" s="4" t="s">
        <v>2880</v>
      </c>
      <c r="EAR1336" s="4" t="s">
        <v>2880</v>
      </c>
      <c r="EAS1336" s="4" t="s">
        <v>2880</v>
      </c>
      <c r="EAT1336" s="4" t="s">
        <v>2880</v>
      </c>
      <c r="EAU1336" s="4" t="s">
        <v>2880</v>
      </c>
      <c r="EAV1336" s="4" t="s">
        <v>2880</v>
      </c>
      <c r="EAW1336" s="4" t="s">
        <v>2880</v>
      </c>
      <c r="EAX1336" s="4" t="s">
        <v>2880</v>
      </c>
      <c r="EAY1336" s="4" t="s">
        <v>2880</v>
      </c>
      <c r="EAZ1336" s="4" t="s">
        <v>2880</v>
      </c>
      <c r="EBA1336" s="4" t="s">
        <v>2880</v>
      </c>
      <c r="EBB1336" s="4" t="s">
        <v>2880</v>
      </c>
      <c r="EBC1336" s="4" t="s">
        <v>2880</v>
      </c>
      <c r="EBD1336" s="4" t="s">
        <v>2880</v>
      </c>
      <c r="EBE1336" s="4" t="s">
        <v>2880</v>
      </c>
      <c r="EBF1336" s="4" t="s">
        <v>2880</v>
      </c>
      <c r="EBG1336" s="4" t="s">
        <v>2880</v>
      </c>
      <c r="EBH1336" s="4" t="s">
        <v>2880</v>
      </c>
      <c r="EBI1336" s="4" t="s">
        <v>2880</v>
      </c>
      <c r="EBJ1336" s="4" t="s">
        <v>2880</v>
      </c>
      <c r="EBK1336" s="4" t="s">
        <v>2880</v>
      </c>
      <c r="EBL1336" s="4" t="s">
        <v>2880</v>
      </c>
      <c r="EBM1336" s="4" t="s">
        <v>2880</v>
      </c>
      <c r="EBN1336" s="4" t="s">
        <v>2880</v>
      </c>
      <c r="EBO1336" s="4" t="s">
        <v>2880</v>
      </c>
      <c r="EBP1336" s="4" t="s">
        <v>2880</v>
      </c>
      <c r="EBQ1336" s="4" t="s">
        <v>2880</v>
      </c>
      <c r="EBR1336" s="4" t="s">
        <v>2880</v>
      </c>
      <c r="EBS1336" s="4" t="s">
        <v>2880</v>
      </c>
      <c r="EBT1336" s="4" t="s">
        <v>2880</v>
      </c>
      <c r="EBU1336" s="4" t="s">
        <v>2880</v>
      </c>
      <c r="EBV1336" s="4" t="s">
        <v>2880</v>
      </c>
      <c r="EBW1336" s="4" t="s">
        <v>2880</v>
      </c>
      <c r="EBX1336" s="4" t="s">
        <v>2880</v>
      </c>
      <c r="EBY1336" s="4" t="s">
        <v>2880</v>
      </c>
      <c r="EBZ1336" s="4" t="s">
        <v>2880</v>
      </c>
      <c r="ECA1336" s="4" t="s">
        <v>2880</v>
      </c>
      <c r="ECB1336" s="4" t="s">
        <v>2880</v>
      </c>
      <c r="ECC1336" s="4" t="s">
        <v>2880</v>
      </c>
      <c r="ECD1336" s="4" t="s">
        <v>2880</v>
      </c>
      <c r="ECE1336" s="4" t="s">
        <v>2880</v>
      </c>
      <c r="ECF1336" s="4" t="s">
        <v>2880</v>
      </c>
      <c r="ECG1336" s="4" t="s">
        <v>2880</v>
      </c>
      <c r="ECH1336" s="4" t="s">
        <v>2880</v>
      </c>
      <c r="ECI1336" s="4" t="s">
        <v>2880</v>
      </c>
      <c r="ECJ1336" s="4" t="s">
        <v>2880</v>
      </c>
      <c r="ECK1336" s="4" t="s">
        <v>2880</v>
      </c>
      <c r="ECL1336" s="4" t="s">
        <v>2880</v>
      </c>
      <c r="ECM1336" s="4" t="s">
        <v>2880</v>
      </c>
      <c r="ECN1336" s="4" t="s">
        <v>2880</v>
      </c>
      <c r="ECO1336" s="4" t="s">
        <v>2880</v>
      </c>
      <c r="ECP1336" s="4" t="s">
        <v>2880</v>
      </c>
      <c r="ECQ1336" s="4" t="s">
        <v>2880</v>
      </c>
      <c r="ECR1336" s="4" t="s">
        <v>2880</v>
      </c>
      <c r="ECS1336" s="4" t="s">
        <v>2880</v>
      </c>
      <c r="ECT1336" s="4" t="s">
        <v>2880</v>
      </c>
      <c r="ECU1336" s="4" t="s">
        <v>2880</v>
      </c>
      <c r="ECV1336" s="4" t="s">
        <v>2880</v>
      </c>
      <c r="ECW1336" s="4" t="s">
        <v>2880</v>
      </c>
      <c r="ECX1336" s="4" t="s">
        <v>2880</v>
      </c>
      <c r="ECY1336" s="4" t="s">
        <v>2880</v>
      </c>
      <c r="ECZ1336" s="4" t="s">
        <v>2880</v>
      </c>
      <c r="EDA1336" s="4" t="s">
        <v>2880</v>
      </c>
      <c r="EDB1336" s="4" t="s">
        <v>2880</v>
      </c>
      <c r="EDC1336" s="4" t="s">
        <v>2880</v>
      </c>
      <c r="EDD1336" s="4" t="s">
        <v>2880</v>
      </c>
      <c r="EDE1336" s="4" t="s">
        <v>2880</v>
      </c>
      <c r="EDF1336" s="4" t="s">
        <v>2880</v>
      </c>
      <c r="EDG1336" s="4" t="s">
        <v>2880</v>
      </c>
      <c r="EDH1336" s="4" t="s">
        <v>2880</v>
      </c>
      <c r="EDI1336" s="4" t="s">
        <v>2880</v>
      </c>
      <c r="EDJ1336" s="4" t="s">
        <v>2880</v>
      </c>
      <c r="EDK1336" s="4" t="s">
        <v>2880</v>
      </c>
      <c r="EDL1336" s="4" t="s">
        <v>2880</v>
      </c>
      <c r="EDM1336" s="4" t="s">
        <v>2880</v>
      </c>
      <c r="EDN1336" s="4" t="s">
        <v>2880</v>
      </c>
      <c r="EDO1336" s="4" t="s">
        <v>2880</v>
      </c>
      <c r="EDP1336" s="4" t="s">
        <v>2880</v>
      </c>
      <c r="EDQ1336" s="4" t="s">
        <v>2880</v>
      </c>
      <c r="EDR1336" s="4" t="s">
        <v>2880</v>
      </c>
      <c r="EDS1336" s="4" t="s">
        <v>2880</v>
      </c>
      <c r="EDT1336" s="4" t="s">
        <v>2880</v>
      </c>
      <c r="EDU1336" s="4" t="s">
        <v>2880</v>
      </c>
      <c r="EDV1336" s="4" t="s">
        <v>2880</v>
      </c>
      <c r="EDW1336" s="4" t="s">
        <v>2880</v>
      </c>
      <c r="EDX1336" s="4" t="s">
        <v>2880</v>
      </c>
      <c r="EDY1336" s="4" t="s">
        <v>2880</v>
      </c>
      <c r="EDZ1336" s="4" t="s">
        <v>2880</v>
      </c>
      <c r="EEA1336" s="4" t="s">
        <v>2880</v>
      </c>
      <c r="EEB1336" s="4" t="s">
        <v>2880</v>
      </c>
      <c r="EEC1336" s="4" t="s">
        <v>2880</v>
      </c>
      <c r="EED1336" s="4" t="s">
        <v>2880</v>
      </c>
      <c r="EEE1336" s="4" t="s">
        <v>2880</v>
      </c>
      <c r="EEF1336" s="4" t="s">
        <v>2880</v>
      </c>
      <c r="EEG1336" s="4" t="s">
        <v>2880</v>
      </c>
      <c r="EEH1336" s="4" t="s">
        <v>2880</v>
      </c>
      <c r="EEI1336" s="4" t="s">
        <v>2880</v>
      </c>
      <c r="EEJ1336" s="4" t="s">
        <v>2880</v>
      </c>
      <c r="EEK1336" s="4" t="s">
        <v>2880</v>
      </c>
      <c r="EEL1336" s="4" t="s">
        <v>2880</v>
      </c>
      <c r="EEM1336" s="4" t="s">
        <v>2880</v>
      </c>
      <c r="EEN1336" s="4" t="s">
        <v>2880</v>
      </c>
      <c r="EEO1336" s="4" t="s">
        <v>2880</v>
      </c>
      <c r="EEP1336" s="4" t="s">
        <v>2880</v>
      </c>
      <c r="EEQ1336" s="4" t="s">
        <v>2880</v>
      </c>
      <c r="EER1336" s="4" t="s">
        <v>2880</v>
      </c>
      <c r="EES1336" s="4" t="s">
        <v>2880</v>
      </c>
      <c r="EET1336" s="4" t="s">
        <v>2880</v>
      </c>
      <c r="EEU1336" s="4" t="s">
        <v>2880</v>
      </c>
      <c r="EEV1336" s="4" t="s">
        <v>2880</v>
      </c>
      <c r="EEW1336" s="4" t="s">
        <v>2880</v>
      </c>
      <c r="EEX1336" s="4" t="s">
        <v>2880</v>
      </c>
      <c r="EEY1336" s="4" t="s">
        <v>2880</v>
      </c>
      <c r="EEZ1336" s="4" t="s">
        <v>2880</v>
      </c>
      <c r="EFA1336" s="4" t="s">
        <v>2880</v>
      </c>
      <c r="EFB1336" s="4" t="s">
        <v>2880</v>
      </c>
      <c r="EFC1336" s="4" t="s">
        <v>2880</v>
      </c>
      <c r="EFD1336" s="4" t="s">
        <v>2880</v>
      </c>
      <c r="EFE1336" s="4" t="s">
        <v>2880</v>
      </c>
      <c r="EFF1336" s="4" t="s">
        <v>2880</v>
      </c>
      <c r="EFG1336" s="4" t="s">
        <v>2880</v>
      </c>
      <c r="EFH1336" s="4" t="s">
        <v>2880</v>
      </c>
      <c r="EFI1336" s="4" t="s">
        <v>2880</v>
      </c>
      <c r="EFJ1336" s="4" t="s">
        <v>2880</v>
      </c>
      <c r="EFK1336" s="4" t="s">
        <v>2880</v>
      </c>
      <c r="EFL1336" s="4" t="s">
        <v>2880</v>
      </c>
      <c r="EFM1336" s="4" t="s">
        <v>2880</v>
      </c>
      <c r="EFN1336" s="4" t="s">
        <v>2880</v>
      </c>
      <c r="EFO1336" s="4" t="s">
        <v>2880</v>
      </c>
      <c r="EFP1336" s="4" t="s">
        <v>2880</v>
      </c>
      <c r="EFQ1336" s="4" t="s">
        <v>2880</v>
      </c>
      <c r="EFR1336" s="4" t="s">
        <v>2880</v>
      </c>
      <c r="EFS1336" s="4" t="s">
        <v>2880</v>
      </c>
      <c r="EFT1336" s="4" t="s">
        <v>2880</v>
      </c>
      <c r="EFU1336" s="4" t="s">
        <v>2880</v>
      </c>
      <c r="EFV1336" s="4" t="s">
        <v>2880</v>
      </c>
      <c r="EFW1336" s="4" t="s">
        <v>2880</v>
      </c>
      <c r="EFX1336" s="4" t="s">
        <v>2880</v>
      </c>
      <c r="EFY1336" s="4" t="s">
        <v>2880</v>
      </c>
      <c r="EFZ1336" s="4" t="s">
        <v>2880</v>
      </c>
      <c r="EGA1336" s="4" t="s">
        <v>2880</v>
      </c>
      <c r="EGB1336" s="4" t="s">
        <v>2880</v>
      </c>
      <c r="EGC1336" s="4" t="s">
        <v>2880</v>
      </c>
      <c r="EGD1336" s="4" t="s">
        <v>2880</v>
      </c>
      <c r="EGE1336" s="4" t="s">
        <v>2880</v>
      </c>
      <c r="EGF1336" s="4" t="s">
        <v>2880</v>
      </c>
      <c r="EGG1336" s="4" t="s">
        <v>2880</v>
      </c>
      <c r="EGH1336" s="4" t="s">
        <v>2880</v>
      </c>
      <c r="EGI1336" s="4" t="s">
        <v>2880</v>
      </c>
      <c r="EGJ1336" s="4" t="s">
        <v>2880</v>
      </c>
      <c r="EGK1336" s="4" t="s">
        <v>2880</v>
      </c>
      <c r="EGL1336" s="4" t="s">
        <v>2880</v>
      </c>
      <c r="EGM1336" s="4" t="s">
        <v>2880</v>
      </c>
      <c r="EGN1336" s="4" t="s">
        <v>2880</v>
      </c>
      <c r="EGO1336" s="4" t="s">
        <v>2880</v>
      </c>
      <c r="EGP1336" s="4" t="s">
        <v>2880</v>
      </c>
      <c r="EGQ1336" s="4" t="s">
        <v>2880</v>
      </c>
      <c r="EGR1336" s="4" t="s">
        <v>2880</v>
      </c>
      <c r="EGS1336" s="4" t="s">
        <v>2880</v>
      </c>
      <c r="EGT1336" s="4" t="s">
        <v>2880</v>
      </c>
      <c r="EGU1336" s="4" t="s">
        <v>2880</v>
      </c>
      <c r="EGV1336" s="4" t="s">
        <v>2880</v>
      </c>
      <c r="EGW1336" s="4" t="s">
        <v>2880</v>
      </c>
      <c r="EGX1336" s="4" t="s">
        <v>2880</v>
      </c>
      <c r="EGY1336" s="4" t="s">
        <v>2880</v>
      </c>
      <c r="EGZ1336" s="4" t="s">
        <v>2880</v>
      </c>
      <c r="EHA1336" s="4" t="s">
        <v>2880</v>
      </c>
      <c r="EHB1336" s="4" t="s">
        <v>2880</v>
      </c>
      <c r="EHC1336" s="4" t="s">
        <v>2880</v>
      </c>
      <c r="EHD1336" s="4" t="s">
        <v>2880</v>
      </c>
      <c r="EHE1336" s="4" t="s">
        <v>2880</v>
      </c>
      <c r="EHF1336" s="4" t="s">
        <v>2880</v>
      </c>
      <c r="EHG1336" s="4" t="s">
        <v>2880</v>
      </c>
      <c r="EHH1336" s="4" t="s">
        <v>2880</v>
      </c>
      <c r="EHI1336" s="4" t="s">
        <v>2880</v>
      </c>
      <c r="EHJ1336" s="4" t="s">
        <v>2880</v>
      </c>
      <c r="EHK1336" s="4" t="s">
        <v>2880</v>
      </c>
      <c r="EHL1336" s="4" t="s">
        <v>2880</v>
      </c>
      <c r="EHM1336" s="4" t="s">
        <v>2880</v>
      </c>
      <c r="EHN1336" s="4" t="s">
        <v>2880</v>
      </c>
      <c r="EHO1336" s="4" t="s">
        <v>2880</v>
      </c>
      <c r="EHP1336" s="4" t="s">
        <v>2880</v>
      </c>
      <c r="EHQ1336" s="4" t="s">
        <v>2880</v>
      </c>
      <c r="EHR1336" s="4" t="s">
        <v>2880</v>
      </c>
      <c r="EHS1336" s="4" t="s">
        <v>2880</v>
      </c>
      <c r="EHT1336" s="4" t="s">
        <v>2880</v>
      </c>
      <c r="EHU1336" s="4" t="s">
        <v>2880</v>
      </c>
      <c r="EHV1336" s="4" t="s">
        <v>2880</v>
      </c>
      <c r="EHW1336" s="4" t="s">
        <v>2880</v>
      </c>
      <c r="EHX1336" s="4" t="s">
        <v>2880</v>
      </c>
      <c r="EHY1336" s="4" t="s">
        <v>2880</v>
      </c>
      <c r="EHZ1336" s="4" t="s">
        <v>2880</v>
      </c>
      <c r="EIA1336" s="4" t="s">
        <v>2880</v>
      </c>
      <c r="EIB1336" s="4" t="s">
        <v>2880</v>
      </c>
      <c r="EIC1336" s="4" t="s">
        <v>2880</v>
      </c>
      <c r="EID1336" s="4" t="s">
        <v>2880</v>
      </c>
      <c r="EIE1336" s="4" t="s">
        <v>2880</v>
      </c>
      <c r="EIF1336" s="4" t="s">
        <v>2880</v>
      </c>
      <c r="EIG1336" s="4" t="s">
        <v>2880</v>
      </c>
      <c r="EIH1336" s="4" t="s">
        <v>2880</v>
      </c>
      <c r="EII1336" s="4" t="s">
        <v>2880</v>
      </c>
      <c r="EIJ1336" s="4" t="s">
        <v>2880</v>
      </c>
      <c r="EIK1336" s="4" t="s">
        <v>2880</v>
      </c>
      <c r="EIL1336" s="4" t="s">
        <v>2880</v>
      </c>
      <c r="EIM1336" s="4" t="s">
        <v>2880</v>
      </c>
      <c r="EIN1336" s="4" t="s">
        <v>2880</v>
      </c>
      <c r="EIO1336" s="4" t="s">
        <v>2880</v>
      </c>
      <c r="EIP1336" s="4" t="s">
        <v>2880</v>
      </c>
      <c r="EIQ1336" s="4" t="s">
        <v>2880</v>
      </c>
      <c r="EIR1336" s="4" t="s">
        <v>2880</v>
      </c>
      <c r="EIS1336" s="4" t="s">
        <v>2880</v>
      </c>
      <c r="EIT1336" s="4" t="s">
        <v>2880</v>
      </c>
      <c r="EIU1336" s="4" t="s">
        <v>2880</v>
      </c>
      <c r="EIV1336" s="4" t="s">
        <v>2880</v>
      </c>
      <c r="EIW1336" s="4" t="s">
        <v>2880</v>
      </c>
      <c r="EIX1336" s="4" t="s">
        <v>2880</v>
      </c>
      <c r="EIY1336" s="4" t="s">
        <v>2880</v>
      </c>
      <c r="EIZ1336" s="4" t="s">
        <v>2880</v>
      </c>
      <c r="EJA1336" s="4" t="s">
        <v>2880</v>
      </c>
      <c r="EJB1336" s="4" t="s">
        <v>2880</v>
      </c>
      <c r="EJC1336" s="4" t="s">
        <v>2880</v>
      </c>
      <c r="EJD1336" s="4" t="s">
        <v>2880</v>
      </c>
      <c r="EJE1336" s="4" t="s">
        <v>2880</v>
      </c>
      <c r="EJF1336" s="4" t="s">
        <v>2880</v>
      </c>
      <c r="EJG1336" s="4" t="s">
        <v>2880</v>
      </c>
      <c r="EJH1336" s="4" t="s">
        <v>2880</v>
      </c>
      <c r="EJI1336" s="4" t="s">
        <v>2880</v>
      </c>
      <c r="EJJ1336" s="4" t="s">
        <v>2880</v>
      </c>
      <c r="EJK1336" s="4" t="s">
        <v>2880</v>
      </c>
      <c r="EJL1336" s="4" t="s">
        <v>2880</v>
      </c>
      <c r="EJM1336" s="4" t="s">
        <v>2880</v>
      </c>
      <c r="EJN1336" s="4" t="s">
        <v>2880</v>
      </c>
      <c r="EJO1336" s="4" t="s">
        <v>2880</v>
      </c>
      <c r="EJP1336" s="4" t="s">
        <v>2880</v>
      </c>
      <c r="EJQ1336" s="4" t="s">
        <v>2880</v>
      </c>
      <c r="EJR1336" s="4" t="s">
        <v>2880</v>
      </c>
      <c r="EJS1336" s="4" t="s">
        <v>2880</v>
      </c>
      <c r="EJT1336" s="4" t="s">
        <v>2880</v>
      </c>
      <c r="EJU1336" s="4" t="s">
        <v>2880</v>
      </c>
      <c r="EJV1336" s="4" t="s">
        <v>2880</v>
      </c>
      <c r="EJW1336" s="4" t="s">
        <v>2880</v>
      </c>
      <c r="EJX1336" s="4" t="s">
        <v>2880</v>
      </c>
      <c r="EJY1336" s="4" t="s">
        <v>2880</v>
      </c>
      <c r="EJZ1336" s="4" t="s">
        <v>2880</v>
      </c>
      <c r="EKA1336" s="4" t="s">
        <v>2880</v>
      </c>
      <c r="EKB1336" s="4" t="s">
        <v>2880</v>
      </c>
      <c r="EKC1336" s="4" t="s">
        <v>2880</v>
      </c>
      <c r="EKD1336" s="4" t="s">
        <v>2880</v>
      </c>
      <c r="EKE1336" s="4" t="s">
        <v>2880</v>
      </c>
      <c r="EKF1336" s="4" t="s">
        <v>2880</v>
      </c>
      <c r="EKG1336" s="4" t="s">
        <v>2880</v>
      </c>
      <c r="EKH1336" s="4" t="s">
        <v>2880</v>
      </c>
      <c r="EKI1336" s="4" t="s">
        <v>2880</v>
      </c>
      <c r="EKJ1336" s="4" t="s">
        <v>2880</v>
      </c>
      <c r="EKK1336" s="4" t="s">
        <v>2880</v>
      </c>
      <c r="EKL1336" s="4" t="s">
        <v>2880</v>
      </c>
      <c r="EKM1336" s="4" t="s">
        <v>2880</v>
      </c>
      <c r="EKN1336" s="4" t="s">
        <v>2880</v>
      </c>
      <c r="EKO1336" s="4" t="s">
        <v>2880</v>
      </c>
      <c r="EKP1336" s="4" t="s">
        <v>2880</v>
      </c>
      <c r="EKQ1336" s="4" t="s">
        <v>2880</v>
      </c>
      <c r="EKR1336" s="4" t="s">
        <v>2880</v>
      </c>
      <c r="EKS1336" s="4" t="s">
        <v>2880</v>
      </c>
      <c r="EKT1336" s="4" t="s">
        <v>2880</v>
      </c>
      <c r="EKU1336" s="4" t="s">
        <v>2880</v>
      </c>
      <c r="EKV1336" s="4" t="s">
        <v>2880</v>
      </c>
      <c r="EKW1336" s="4" t="s">
        <v>2880</v>
      </c>
      <c r="EKX1336" s="4" t="s">
        <v>2880</v>
      </c>
      <c r="EKY1336" s="4" t="s">
        <v>2880</v>
      </c>
      <c r="EKZ1336" s="4" t="s">
        <v>2880</v>
      </c>
      <c r="ELA1336" s="4" t="s">
        <v>2880</v>
      </c>
      <c r="ELB1336" s="4" t="s">
        <v>2880</v>
      </c>
      <c r="ELC1336" s="4" t="s">
        <v>2880</v>
      </c>
      <c r="ELD1336" s="4" t="s">
        <v>2880</v>
      </c>
      <c r="ELE1336" s="4" t="s">
        <v>2880</v>
      </c>
      <c r="ELF1336" s="4" t="s">
        <v>2880</v>
      </c>
      <c r="ELG1336" s="4" t="s">
        <v>2880</v>
      </c>
      <c r="ELH1336" s="4" t="s">
        <v>2880</v>
      </c>
      <c r="ELI1336" s="4" t="s">
        <v>2880</v>
      </c>
      <c r="ELJ1336" s="4" t="s">
        <v>2880</v>
      </c>
      <c r="ELK1336" s="4" t="s">
        <v>2880</v>
      </c>
      <c r="ELL1336" s="4" t="s">
        <v>2880</v>
      </c>
      <c r="ELM1336" s="4" t="s">
        <v>2880</v>
      </c>
      <c r="ELN1336" s="4" t="s">
        <v>2880</v>
      </c>
      <c r="ELO1336" s="4" t="s">
        <v>2880</v>
      </c>
      <c r="ELP1336" s="4" t="s">
        <v>2880</v>
      </c>
      <c r="ELQ1336" s="4" t="s">
        <v>2880</v>
      </c>
      <c r="ELR1336" s="4" t="s">
        <v>2880</v>
      </c>
      <c r="ELS1336" s="4" t="s">
        <v>2880</v>
      </c>
      <c r="ELT1336" s="4" t="s">
        <v>2880</v>
      </c>
      <c r="ELU1336" s="4" t="s">
        <v>2880</v>
      </c>
      <c r="ELV1336" s="4" t="s">
        <v>2880</v>
      </c>
      <c r="ELW1336" s="4" t="s">
        <v>2880</v>
      </c>
      <c r="ELX1336" s="4" t="s">
        <v>2880</v>
      </c>
      <c r="ELY1336" s="4" t="s">
        <v>2880</v>
      </c>
      <c r="ELZ1336" s="4" t="s">
        <v>2880</v>
      </c>
      <c r="EMA1336" s="4" t="s">
        <v>2880</v>
      </c>
      <c r="EMB1336" s="4" t="s">
        <v>2880</v>
      </c>
      <c r="EMC1336" s="4" t="s">
        <v>2880</v>
      </c>
      <c r="EMD1336" s="4" t="s">
        <v>2880</v>
      </c>
      <c r="EME1336" s="4" t="s">
        <v>2880</v>
      </c>
      <c r="EMF1336" s="4" t="s">
        <v>2880</v>
      </c>
      <c r="EMG1336" s="4" t="s">
        <v>2880</v>
      </c>
      <c r="EMH1336" s="4" t="s">
        <v>2880</v>
      </c>
      <c r="EMI1336" s="4" t="s">
        <v>2880</v>
      </c>
      <c r="EMJ1336" s="4" t="s">
        <v>2880</v>
      </c>
      <c r="EMK1336" s="4" t="s">
        <v>2880</v>
      </c>
      <c r="EML1336" s="4" t="s">
        <v>2880</v>
      </c>
      <c r="EMM1336" s="4" t="s">
        <v>2880</v>
      </c>
      <c r="EMN1336" s="4" t="s">
        <v>2880</v>
      </c>
      <c r="EMO1336" s="4" t="s">
        <v>2880</v>
      </c>
      <c r="EMP1336" s="4" t="s">
        <v>2880</v>
      </c>
      <c r="EMQ1336" s="4" t="s">
        <v>2880</v>
      </c>
      <c r="EMR1336" s="4" t="s">
        <v>2880</v>
      </c>
      <c r="EMS1336" s="4" t="s">
        <v>2880</v>
      </c>
      <c r="EMT1336" s="4" t="s">
        <v>2880</v>
      </c>
      <c r="EMU1336" s="4" t="s">
        <v>2880</v>
      </c>
      <c r="EMV1336" s="4" t="s">
        <v>2880</v>
      </c>
      <c r="EMW1336" s="4" t="s">
        <v>2880</v>
      </c>
      <c r="EMX1336" s="4" t="s">
        <v>2880</v>
      </c>
      <c r="EMY1336" s="4" t="s">
        <v>2880</v>
      </c>
      <c r="EMZ1336" s="4" t="s">
        <v>2880</v>
      </c>
      <c r="ENA1336" s="4" t="s">
        <v>2880</v>
      </c>
      <c r="ENB1336" s="4" t="s">
        <v>2880</v>
      </c>
      <c r="ENC1336" s="4" t="s">
        <v>2880</v>
      </c>
      <c r="END1336" s="4" t="s">
        <v>2880</v>
      </c>
      <c r="ENE1336" s="4" t="s">
        <v>2880</v>
      </c>
      <c r="ENF1336" s="4" t="s">
        <v>2880</v>
      </c>
      <c r="ENG1336" s="4" t="s">
        <v>2880</v>
      </c>
      <c r="ENH1336" s="4" t="s">
        <v>2880</v>
      </c>
      <c r="ENI1336" s="4" t="s">
        <v>2880</v>
      </c>
      <c r="ENJ1336" s="4" t="s">
        <v>2880</v>
      </c>
      <c r="ENK1336" s="4" t="s">
        <v>2880</v>
      </c>
      <c r="ENL1336" s="4" t="s">
        <v>2880</v>
      </c>
      <c r="ENM1336" s="4" t="s">
        <v>2880</v>
      </c>
      <c r="ENN1336" s="4" t="s">
        <v>2880</v>
      </c>
      <c r="ENO1336" s="4" t="s">
        <v>2880</v>
      </c>
      <c r="ENP1336" s="4" t="s">
        <v>2880</v>
      </c>
      <c r="ENQ1336" s="4" t="s">
        <v>2880</v>
      </c>
      <c r="ENR1336" s="4" t="s">
        <v>2880</v>
      </c>
      <c r="ENS1336" s="4" t="s">
        <v>2880</v>
      </c>
      <c r="ENT1336" s="4" t="s">
        <v>2880</v>
      </c>
      <c r="ENU1336" s="4" t="s">
        <v>2880</v>
      </c>
      <c r="ENV1336" s="4" t="s">
        <v>2880</v>
      </c>
      <c r="ENW1336" s="4" t="s">
        <v>2880</v>
      </c>
      <c r="ENX1336" s="4" t="s">
        <v>2880</v>
      </c>
      <c r="ENY1336" s="4" t="s">
        <v>2880</v>
      </c>
      <c r="ENZ1336" s="4" t="s">
        <v>2880</v>
      </c>
      <c r="EOA1336" s="4" t="s">
        <v>2880</v>
      </c>
      <c r="EOB1336" s="4" t="s">
        <v>2880</v>
      </c>
      <c r="EOC1336" s="4" t="s">
        <v>2880</v>
      </c>
      <c r="EOD1336" s="4" t="s">
        <v>2880</v>
      </c>
      <c r="EOE1336" s="4" t="s">
        <v>2880</v>
      </c>
      <c r="EOF1336" s="4" t="s">
        <v>2880</v>
      </c>
      <c r="EOG1336" s="4" t="s">
        <v>2880</v>
      </c>
      <c r="EOH1336" s="4" t="s">
        <v>2880</v>
      </c>
      <c r="EOI1336" s="4" t="s">
        <v>2880</v>
      </c>
      <c r="EOJ1336" s="4" t="s">
        <v>2880</v>
      </c>
      <c r="EOK1336" s="4" t="s">
        <v>2880</v>
      </c>
      <c r="EOL1336" s="4" t="s">
        <v>2880</v>
      </c>
      <c r="EOM1336" s="4" t="s">
        <v>2880</v>
      </c>
      <c r="EON1336" s="4" t="s">
        <v>2880</v>
      </c>
      <c r="EOO1336" s="4" t="s">
        <v>2880</v>
      </c>
      <c r="EOP1336" s="4" t="s">
        <v>2880</v>
      </c>
      <c r="EOQ1336" s="4" t="s">
        <v>2880</v>
      </c>
      <c r="EOR1336" s="4" t="s">
        <v>2880</v>
      </c>
      <c r="EOS1336" s="4" t="s">
        <v>2880</v>
      </c>
      <c r="EOT1336" s="4" t="s">
        <v>2880</v>
      </c>
      <c r="EOU1336" s="4" t="s">
        <v>2880</v>
      </c>
      <c r="EOV1336" s="4" t="s">
        <v>2880</v>
      </c>
      <c r="EOW1336" s="4" t="s">
        <v>2880</v>
      </c>
      <c r="EOX1336" s="4" t="s">
        <v>2880</v>
      </c>
      <c r="EOY1336" s="4" t="s">
        <v>2880</v>
      </c>
      <c r="EOZ1336" s="4" t="s">
        <v>2880</v>
      </c>
      <c r="EPA1336" s="4" t="s">
        <v>2880</v>
      </c>
      <c r="EPB1336" s="4" t="s">
        <v>2880</v>
      </c>
      <c r="EPC1336" s="4" t="s">
        <v>2880</v>
      </c>
      <c r="EPD1336" s="4" t="s">
        <v>2880</v>
      </c>
      <c r="EPE1336" s="4" t="s">
        <v>2880</v>
      </c>
      <c r="EPF1336" s="4" t="s">
        <v>2880</v>
      </c>
      <c r="EPG1336" s="4" t="s">
        <v>2880</v>
      </c>
      <c r="EPH1336" s="4" t="s">
        <v>2880</v>
      </c>
      <c r="EPI1336" s="4" t="s">
        <v>2880</v>
      </c>
      <c r="EPJ1336" s="4" t="s">
        <v>2880</v>
      </c>
      <c r="EPK1336" s="4" t="s">
        <v>2880</v>
      </c>
      <c r="EPL1336" s="4" t="s">
        <v>2880</v>
      </c>
      <c r="EPM1336" s="4" t="s">
        <v>2880</v>
      </c>
      <c r="EPN1336" s="4" t="s">
        <v>2880</v>
      </c>
      <c r="EPO1336" s="4" t="s">
        <v>2880</v>
      </c>
      <c r="EPP1336" s="4" t="s">
        <v>2880</v>
      </c>
      <c r="EPQ1336" s="4" t="s">
        <v>2880</v>
      </c>
      <c r="EPR1336" s="4" t="s">
        <v>2880</v>
      </c>
      <c r="EPS1336" s="4" t="s">
        <v>2880</v>
      </c>
      <c r="EPT1336" s="4" t="s">
        <v>2880</v>
      </c>
      <c r="EPU1336" s="4" t="s">
        <v>2880</v>
      </c>
      <c r="EPV1336" s="4" t="s">
        <v>2880</v>
      </c>
      <c r="EPW1336" s="4" t="s">
        <v>2880</v>
      </c>
      <c r="EPX1336" s="4" t="s">
        <v>2880</v>
      </c>
      <c r="EPY1336" s="4" t="s">
        <v>2880</v>
      </c>
      <c r="EPZ1336" s="4" t="s">
        <v>2880</v>
      </c>
      <c r="EQA1336" s="4" t="s">
        <v>2880</v>
      </c>
      <c r="EQB1336" s="4" t="s">
        <v>2880</v>
      </c>
      <c r="EQC1336" s="4" t="s">
        <v>2880</v>
      </c>
      <c r="EQD1336" s="4" t="s">
        <v>2880</v>
      </c>
      <c r="EQE1336" s="4" t="s">
        <v>2880</v>
      </c>
      <c r="EQF1336" s="4" t="s">
        <v>2880</v>
      </c>
      <c r="EQG1336" s="4" t="s">
        <v>2880</v>
      </c>
      <c r="EQH1336" s="4" t="s">
        <v>2880</v>
      </c>
      <c r="EQI1336" s="4" t="s">
        <v>2880</v>
      </c>
      <c r="EQJ1336" s="4" t="s">
        <v>2880</v>
      </c>
      <c r="EQK1336" s="4" t="s">
        <v>2880</v>
      </c>
      <c r="EQL1336" s="4" t="s">
        <v>2880</v>
      </c>
      <c r="EQM1336" s="4" t="s">
        <v>2880</v>
      </c>
      <c r="EQN1336" s="4" t="s">
        <v>2880</v>
      </c>
      <c r="EQO1336" s="4" t="s">
        <v>2880</v>
      </c>
      <c r="EQP1336" s="4" t="s">
        <v>2880</v>
      </c>
      <c r="EQQ1336" s="4" t="s">
        <v>2880</v>
      </c>
      <c r="EQR1336" s="4" t="s">
        <v>2880</v>
      </c>
      <c r="EQS1336" s="4" t="s">
        <v>2880</v>
      </c>
      <c r="EQT1336" s="4" t="s">
        <v>2880</v>
      </c>
      <c r="EQU1336" s="4" t="s">
        <v>2880</v>
      </c>
      <c r="EQV1336" s="4" t="s">
        <v>2880</v>
      </c>
      <c r="EQW1336" s="4" t="s">
        <v>2880</v>
      </c>
      <c r="EQX1336" s="4" t="s">
        <v>2880</v>
      </c>
      <c r="EQY1336" s="4" t="s">
        <v>2880</v>
      </c>
      <c r="EQZ1336" s="4" t="s">
        <v>2880</v>
      </c>
      <c r="ERA1336" s="4" t="s">
        <v>2880</v>
      </c>
      <c r="ERB1336" s="4" t="s">
        <v>2880</v>
      </c>
      <c r="ERC1336" s="4" t="s">
        <v>2880</v>
      </c>
      <c r="ERD1336" s="4" t="s">
        <v>2880</v>
      </c>
      <c r="ERE1336" s="4" t="s">
        <v>2880</v>
      </c>
      <c r="ERF1336" s="4" t="s">
        <v>2880</v>
      </c>
      <c r="ERG1336" s="4" t="s">
        <v>2880</v>
      </c>
      <c r="ERH1336" s="4" t="s">
        <v>2880</v>
      </c>
      <c r="ERI1336" s="4" t="s">
        <v>2880</v>
      </c>
      <c r="ERJ1336" s="4" t="s">
        <v>2880</v>
      </c>
      <c r="ERK1336" s="4" t="s">
        <v>2880</v>
      </c>
      <c r="ERL1336" s="4" t="s">
        <v>2880</v>
      </c>
      <c r="ERM1336" s="4" t="s">
        <v>2880</v>
      </c>
      <c r="ERN1336" s="4" t="s">
        <v>2880</v>
      </c>
      <c r="ERO1336" s="4" t="s">
        <v>2880</v>
      </c>
      <c r="ERP1336" s="4" t="s">
        <v>2880</v>
      </c>
      <c r="ERQ1336" s="4" t="s">
        <v>2880</v>
      </c>
      <c r="ERR1336" s="4" t="s">
        <v>2880</v>
      </c>
      <c r="ERS1336" s="4" t="s">
        <v>2880</v>
      </c>
      <c r="ERT1336" s="4" t="s">
        <v>2880</v>
      </c>
      <c r="ERU1336" s="4" t="s">
        <v>2880</v>
      </c>
      <c r="ERV1336" s="4" t="s">
        <v>2880</v>
      </c>
      <c r="ERW1336" s="4" t="s">
        <v>2880</v>
      </c>
      <c r="ERX1336" s="4" t="s">
        <v>2880</v>
      </c>
      <c r="ERY1336" s="4" t="s">
        <v>2880</v>
      </c>
      <c r="ERZ1336" s="4" t="s">
        <v>2880</v>
      </c>
      <c r="ESA1336" s="4" t="s">
        <v>2880</v>
      </c>
      <c r="ESB1336" s="4" t="s">
        <v>2880</v>
      </c>
      <c r="ESC1336" s="4" t="s">
        <v>2880</v>
      </c>
      <c r="ESD1336" s="4" t="s">
        <v>2880</v>
      </c>
      <c r="ESE1336" s="4" t="s">
        <v>2880</v>
      </c>
      <c r="ESF1336" s="4" t="s">
        <v>2880</v>
      </c>
      <c r="ESG1336" s="4" t="s">
        <v>2880</v>
      </c>
      <c r="ESH1336" s="4" t="s">
        <v>2880</v>
      </c>
      <c r="ESI1336" s="4" t="s">
        <v>2880</v>
      </c>
      <c r="ESJ1336" s="4" t="s">
        <v>2880</v>
      </c>
      <c r="ESK1336" s="4" t="s">
        <v>2880</v>
      </c>
      <c r="ESL1336" s="4" t="s">
        <v>2880</v>
      </c>
      <c r="ESM1336" s="4" t="s">
        <v>2880</v>
      </c>
      <c r="ESN1336" s="4" t="s">
        <v>2880</v>
      </c>
      <c r="ESO1336" s="4" t="s">
        <v>2880</v>
      </c>
      <c r="ESP1336" s="4" t="s">
        <v>2880</v>
      </c>
      <c r="ESQ1336" s="4" t="s">
        <v>2880</v>
      </c>
      <c r="ESR1336" s="4" t="s">
        <v>2880</v>
      </c>
      <c r="ESS1336" s="4" t="s">
        <v>2880</v>
      </c>
      <c r="EST1336" s="4" t="s">
        <v>2880</v>
      </c>
      <c r="ESU1336" s="4" t="s">
        <v>2880</v>
      </c>
      <c r="ESV1336" s="4" t="s">
        <v>2880</v>
      </c>
      <c r="ESW1336" s="4" t="s">
        <v>2880</v>
      </c>
      <c r="ESX1336" s="4" t="s">
        <v>2880</v>
      </c>
      <c r="ESY1336" s="4" t="s">
        <v>2880</v>
      </c>
      <c r="ESZ1336" s="4" t="s">
        <v>2880</v>
      </c>
      <c r="ETA1336" s="4" t="s">
        <v>2880</v>
      </c>
      <c r="ETB1336" s="4" t="s">
        <v>2880</v>
      </c>
      <c r="ETC1336" s="4" t="s">
        <v>2880</v>
      </c>
      <c r="ETD1336" s="4" t="s">
        <v>2880</v>
      </c>
      <c r="ETE1336" s="4" t="s">
        <v>2880</v>
      </c>
      <c r="ETF1336" s="4" t="s">
        <v>2880</v>
      </c>
      <c r="ETG1336" s="4" t="s">
        <v>2880</v>
      </c>
      <c r="ETH1336" s="4" t="s">
        <v>2880</v>
      </c>
      <c r="ETI1336" s="4" t="s">
        <v>2880</v>
      </c>
      <c r="ETJ1336" s="4" t="s">
        <v>2880</v>
      </c>
      <c r="ETK1336" s="4" t="s">
        <v>2880</v>
      </c>
      <c r="ETL1336" s="4" t="s">
        <v>2880</v>
      </c>
      <c r="ETM1336" s="4" t="s">
        <v>2880</v>
      </c>
      <c r="ETN1336" s="4" t="s">
        <v>2880</v>
      </c>
      <c r="ETO1336" s="4" t="s">
        <v>2880</v>
      </c>
      <c r="ETP1336" s="4" t="s">
        <v>2880</v>
      </c>
      <c r="ETQ1336" s="4" t="s">
        <v>2880</v>
      </c>
      <c r="ETR1336" s="4" t="s">
        <v>2880</v>
      </c>
      <c r="ETS1336" s="4" t="s">
        <v>2880</v>
      </c>
      <c r="ETT1336" s="4" t="s">
        <v>2880</v>
      </c>
      <c r="ETU1336" s="4" t="s">
        <v>2880</v>
      </c>
      <c r="ETV1336" s="4" t="s">
        <v>2880</v>
      </c>
      <c r="ETW1336" s="4" t="s">
        <v>2880</v>
      </c>
      <c r="ETX1336" s="4" t="s">
        <v>2880</v>
      </c>
      <c r="ETY1336" s="4" t="s">
        <v>2880</v>
      </c>
      <c r="ETZ1336" s="4" t="s">
        <v>2880</v>
      </c>
      <c r="EUA1336" s="4" t="s">
        <v>2880</v>
      </c>
      <c r="EUB1336" s="4" t="s">
        <v>2880</v>
      </c>
      <c r="EUC1336" s="4" t="s">
        <v>2880</v>
      </c>
      <c r="EUD1336" s="4" t="s">
        <v>2880</v>
      </c>
      <c r="EUE1336" s="4" t="s">
        <v>2880</v>
      </c>
      <c r="EUF1336" s="4" t="s">
        <v>2880</v>
      </c>
      <c r="EUG1336" s="4" t="s">
        <v>2880</v>
      </c>
      <c r="EUH1336" s="4" t="s">
        <v>2880</v>
      </c>
      <c r="EUI1336" s="4" t="s">
        <v>2880</v>
      </c>
      <c r="EUJ1336" s="4" t="s">
        <v>2880</v>
      </c>
      <c r="EUK1336" s="4" t="s">
        <v>2880</v>
      </c>
      <c r="EUL1336" s="4" t="s">
        <v>2880</v>
      </c>
      <c r="EUM1336" s="4" t="s">
        <v>2880</v>
      </c>
      <c r="EUN1336" s="4" t="s">
        <v>2880</v>
      </c>
      <c r="EUO1336" s="4" t="s">
        <v>2880</v>
      </c>
      <c r="EUP1336" s="4" t="s">
        <v>2880</v>
      </c>
      <c r="EUQ1336" s="4" t="s">
        <v>2880</v>
      </c>
      <c r="EUR1336" s="4" t="s">
        <v>2880</v>
      </c>
      <c r="EUS1336" s="4" t="s">
        <v>2880</v>
      </c>
      <c r="EUT1336" s="4" t="s">
        <v>2880</v>
      </c>
      <c r="EUU1336" s="4" t="s">
        <v>2880</v>
      </c>
      <c r="EUV1336" s="4" t="s">
        <v>2880</v>
      </c>
      <c r="EUW1336" s="4" t="s">
        <v>2880</v>
      </c>
      <c r="EUX1336" s="4" t="s">
        <v>2880</v>
      </c>
      <c r="EUY1336" s="4" t="s">
        <v>2880</v>
      </c>
      <c r="EUZ1336" s="4" t="s">
        <v>2880</v>
      </c>
      <c r="EVA1336" s="4" t="s">
        <v>2880</v>
      </c>
      <c r="EVB1336" s="4" t="s">
        <v>2880</v>
      </c>
      <c r="EVC1336" s="4" t="s">
        <v>2880</v>
      </c>
      <c r="EVD1336" s="4" t="s">
        <v>2880</v>
      </c>
      <c r="EVE1336" s="4" t="s">
        <v>2880</v>
      </c>
      <c r="EVF1336" s="4" t="s">
        <v>2880</v>
      </c>
      <c r="EVG1336" s="4" t="s">
        <v>2880</v>
      </c>
      <c r="EVH1336" s="4" t="s">
        <v>2880</v>
      </c>
      <c r="EVI1336" s="4" t="s">
        <v>2880</v>
      </c>
      <c r="EVJ1336" s="4" t="s">
        <v>2880</v>
      </c>
      <c r="EVK1336" s="4" t="s">
        <v>2880</v>
      </c>
      <c r="EVL1336" s="4" t="s">
        <v>2880</v>
      </c>
      <c r="EVM1336" s="4" t="s">
        <v>2880</v>
      </c>
      <c r="EVN1336" s="4" t="s">
        <v>2880</v>
      </c>
      <c r="EVO1336" s="4" t="s">
        <v>2880</v>
      </c>
      <c r="EVP1336" s="4" t="s">
        <v>2880</v>
      </c>
      <c r="EVQ1336" s="4" t="s">
        <v>2880</v>
      </c>
      <c r="EVR1336" s="4" t="s">
        <v>2880</v>
      </c>
      <c r="EVS1336" s="4" t="s">
        <v>2880</v>
      </c>
      <c r="EVT1336" s="4" t="s">
        <v>2880</v>
      </c>
      <c r="EVU1336" s="4" t="s">
        <v>2880</v>
      </c>
      <c r="EVV1336" s="4" t="s">
        <v>2880</v>
      </c>
      <c r="EVW1336" s="4" t="s">
        <v>2880</v>
      </c>
      <c r="EVX1336" s="4" t="s">
        <v>2880</v>
      </c>
      <c r="EVY1336" s="4" t="s">
        <v>2880</v>
      </c>
      <c r="EVZ1336" s="4" t="s">
        <v>2880</v>
      </c>
      <c r="EWA1336" s="4" t="s">
        <v>2880</v>
      </c>
      <c r="EWB1336" s="4" t="s">
        <v>2880</v>
      </c>
      <c r="EWC1336" s="4" t="s">
        <v>2880</v>
      </c>
      <c r="EWD1336" s="4" t="s">
        <v>2880</v>
      </c>
      <c r="EWE1336" s="4" t="s">
        <v>2880</v>
      </c>
      <c r="EWF1336" s="4" t="s">
        <v>2880</v>
      </c>
      <c r="EWG1336" s="4" t="s">
        <v>2880</v>
      </c>
      <c r="EWH1336" s="4" t="s">
        <v>2880</v>
      </c>
      <c r="EWI1336" s="4" t="s">
        <v>2880</v>
      </c>
      <c r="EWJ1336" s="4" t="s">
        <v>2880</v>
      </c>
      <c r="EWK1336" s="4" t="s">
        <v>2880</v>
      </c>
      <c r="EWL1336" s="4" t="s">
        <v>2880</v>
      </c>
      <c r="EWM1336" s="4" t="s">
        <v>2880</v>
      </c>
      <c r="EWN1336" s="4" t="s">
        <v>2880</v>
      </c>
      <c r="EWO1336" s="4" t="s">
        <v>2880</v>
      </c>
      <c r="EWP1336" s="4" t="s">
        <v>2880</v>
      </c>
      <c r="EWQ1336" s="4" t="s">
        <v>2880</v>
      </c>
      <c r="EWR1336" s="4" t="s">
        <v>2880</v>
      </c>
      <c r="EWS1336" s="4" t="s">
        <v>2880</v>
      </c>
      <c r="EWT1336" s="4" t="s">
        <v>2880</v>
      </c>
      <c r="EWU1336" s="4" t="s">
        <v>2880</v>
      </c>
      <c r="EWV1336" s="4" t="s">
        <v>2880</v>
      </c>
      <c r="EWW1336" s="4" t="s">
        <v>2880</v>
      </c>
      <c r="EWX1336" s="4" t="s">
        <v>2880</v>
      </c>
      <c r="EWY1336" s="4" t="s">
        <v>2880</v>
      </c>
      <c r="EWZ1336" s="4" t="s">
        <v>2880</v>
      </c>
      <c r="EXA1336" s="4" t="s">
        <v>2880</v>
      </c>
      <c r="EXB1336" s="4" t="s">
        <v>2880</v>
      </c>
      <c r="EXC1336" s="4" t="s">
        <v>2880</v>
      </c>
      <c r="EXD1336" s="4" t="s">
        <v>2880</v>
      </c>
      <c r="EXE1336" s="4" t="s">
        <v>2880</v>
      </c>
      <c r="EXF1336" s="4" t="s">
        <v>2880</v>
      </c>
      <c r="EXG1336" s="4" t="s">
        <v>2880</v>
      </c>
      <c r="EXH1336" s="4" t="s">
        <v>2880</v>
      </c>
      <c r="EXI1336" s="4" t="s">
        <v>2880</v>
      </c>
      <c r="EXJ1336" s="4" t="s">
        <v>2880</v>
      </c>
      <c r="EXK1336" s="4" t="s">
        <v>2880</v>
      </c>
      <c r="EXL1336" s="4" t="s">
        <v>2880</v>
      </c>
      <c r="EXM1336" s="4" t="s">
        <v>2880</v>
      </c>
      <c r="EXN1336" s="4" t="s">
        <v>2880</v>
      </c>
      <c r="EXO1336" s="4" t="s">
        <v>2880</v>
      </c>
      <c r="EXP1336" s="4" t="s">
        <v>2880</v>
      </c>
      <c r="EXQ1336" s="4" t="s">
        <v>2880</v>
      </c>
      <c r="EXR1336" s="4" t="s">
        <v>2880</v>
      </c>
      <c r="EXS1336" s="4" t="s">
        <v>2880</v>
      </c>
      <c r="EXT1336" s="4" t="s">
        <v>2880</v>
      </c>
      <c r="EXU1336" s="4" t="s">
        <v>2880</v>
      </c>
      <c r="EXV1336" s="4" t="s">
        <v>2880</v>
      </c>
      <c r="EXW1336" s="4" t="s">
        <v>2880</v>
      </c>
      <c r="EXX1336" s="4" t="s">
        <v>2880</v>
      </c>
      <c r="EXY1336" s="4" t="s">
        <v>2880</v>
      </c>
      <c r="EXZ1336" s="4" t="s">
        <v>2880</v>
      </c>
      <c r="EYA1336" s="4" t="s">
        <v>2880</v>
      </c>
      <c r="EYB1336" s="4" t="s">
        <v>2880</v>
      </c>
      <c r="EYC1336" s="4" t="s">
        <v>2880</v>
      </c>
      <c r="EYD1336" s="4" t="s">
        <v>2880</v>
      </c>
      <c r="EYE1336" s="4" t="s">
        <v>2880</v>
      </c>
      <c r="EYF1336" s="4" t="s">
        <v>2880</v>
      </c>
      <c r="EYG1336" s="4" t="s">
        <v>2880</v>
      </c>
      <c r="EYH1336" s="4" t="s">
        <v>2880</v>
      </c>
      <c r="EYI1336" s="4" t="s">
        <v>2880</v>
      </c>
      <c r="EYJ1336" s="4" t="s">
        <v>2880</v>
      </c>
      <c r="EYK1336" s="4" t="s">
        <v>2880</v>
      </c>
      <c r="EYL1336" s="4" t="s">
        <v>2880</v>
      </c>
      <c r="EYM1336" s="4" t="s">
        <v>2880</v>
      </c>
      <c r="EYN1336" s="4" t="s">
        <v>2880</v>
      </c>
      <c r="EYO1336" s="4" t="s">
        <v>2880</v>
      </c>
      <c r="EYP1336" s="4" t="s">
        <v>2880</v>
      </c>
      <c r="EYQ1336" s="4" t="s">
        <v>2880</v>
      </c>
      <c r="EYR1336" s="4" t="s">
        <v>2880</v>
      </c>
      <c r="EYS1336" s="4" t="s">
        <v>2880</v>
      </c>
      <c r="EYT1336" s="4" t="s">
        <v>2880</v>
      </c>
      <c r="EYU1336" s="4" t="s">
        <v>2880</v>
      </c>
      <c r="EYV1336" s="4" t="s">
        <v>2880</v>
      </c>
      <c r="EYW1336" s="4" t="s">
        <v>2880</v>
      </c>
      <c r="EYX1336" s="4" t="s">
        <v>2880</v>
      </c>
      <c r="EYY1336" s="4" t="s">
        <v>2880</v>
      </c>
      <c r="EYZ1336" s="4" t="s">
        <v>2880</v>
      </c>
      <c r="EZA1336" s="4" t="s">
        <v>2880</v>
      </c>
      <c r="EZB1336" s="4" t="s">
        <v>2880</v>
      </c>
      <c r="EZC1336" s="4" t="s">
        <v>2880</v>
      </c>
      <c r="EZD1336" s="4" t="s">
        <v>2880</v>
      </c>
      <c r="EZE1336" s="4" t="s">
        <v>2880</v>
      </c>
      <c r="EZF1336" s="4" t="s">
        <v>2880</v>
      </c>
      <c r="EZG1336" s="4" t="s">
        <v>2880</v>
      </c>
      <c r="EZH1336" s="4" t="s">
        <v>2880</v>
      </c>
      <c r="EZI1336" s="4" t="s">
        <v>2880</v>
      </c>
      <c r="EZJ1336" s="4" t="s">
        <v>2880</v>
      </c>
      <c r="EZK1336" s="4" t="s">
        <v>2880</v>
      </c>
      <c r="EZL1336" s="4" t="s">
        <v>2880</v>
      </c>
      <c r="EZM1336" s="4" t="s">
        <v>2880</v>
      </c>
      <c r="EZN1336" s="4" t="s">
        <v>2880</v>
      </c>
      <c r="EZO1336" s="4" t="s">
        <v>2880</v>
      </c>
      <c r="EZP1336" s="4" t="s">
        <v>2880</v>
      </c>
      <c r="EZQ1336" s="4" t="s">
        <v>2880</v>
      </c>
      <c r="EZR1336" s="4" t="s">
        <v>2880</v>
      </c>
      <c r="EZS1336" s="4" t="s">
        <v>2880</v>
      </c>
      <c r="EZT1336" s="4" t="s">
        <v>2880</v>
      </c>
      <c r="EZU1336" s="4" t="s">
        <v>2880</v>
      </c>
      <c r="EZV1336" s="4" t="s">
        <v>2880</v>
      </c>
      <c r="EZW1336" s="4" t="s">
        <v>2880</v>
      </c>
      <c r="EZX1336" s="4" t="s">
        <v>2880</v>
      </c>
      <c r="EZY1336" s="4" t="s">
        <v>2880</v>
      </c>
      <c r="EZZ1336" s="4" t="s">
        <v>2880</v>
      </c>
      <c r="FAA1336" s="4" t="s">
        <v>2880</v>
      </c>
      <c r="FAB1336" s="4" t="s">
        <v>2880</v>
      </c>
      <c r="FAC1336" s="4" t="s">
        <v>2880</v>
      </c>
      <c r="FAD1336" s="4" t="s">
        <v>2880</v>
      </c>
      <c r="FAE1336" s="4" t="s">
        <v>2880</v>
      </c>
      <c r="FAF1336" s="4" t="s">
        <v>2880</v>
      </c>
      <c r="FAG1336" s="4" t="s">
        <v>2880</v>
      </c>
      <c r="FAH1336" s="4" t="s">
        <v>2880</v>
      </c>
      <c r="FAI1336" s="4" t="s">
        <v>2880</v>
      </c>
      <c r="FAJ1336" s="4" t="s">
        <v>2880</v>
      </c>
      <c r="FAK1336" s="4" t="s">
        <v>2880</v>
      </c>
      <c r="FAL1336" s="4" t="s">
        <v>2880</v>
      </c>
      <c r="FAM1336" s="4" t="s">
        <v>2880</v>
      </c>
      <c r="FAN1336" s="4" t="s">
        <v>2880</v>
      </c>
      <c r="FAO1336" s="4" t="s">
        <v>2880</v>
      </c>
      <c r="FAP1336" s="4" t="s">
        <v>2880</v>
      </c>
      <c r="FAQ1336" s="4" t="s">
        <v>2880</v>
      </c>
      <c r="FAR1336" s="4" t="s">
        <v>2880</v>
      </c>
      <c r="FAS1336" s="4" t="s">
        <v>2880</v>
      </c>
      <c r="FAT1336" s="4" t="s">
        <v>2880</v>
      </c>
      <c r="FAU1336" s="4" t="s">
        <v>2880</v>
      </c>
      <c r="FAV1336" s="4" t="s">
        <v>2880</v>
      </c>
      <c r="FAW1336" s="4" t="s">
        <v>2880</v>
      </c>
      <c r="FAX1336" s="4" t="s">
        <v>2880</v>
      </c>
      <c r="FAY1336" s="4" t="s">
        <v>2880</v>
      </c>
      <c r="FAZ1336" s="4" t="s">
        <v>2880</v>
      </c>
      <c r="FBA1336" s="4" t="s">
        <v>2880</v>
      </c>
      <c r="FBB1336" s="4" t="s">
        <v>2880</v>
      </c>
      <c r="FBC1336" s="4" t="s">
        <v>2880</v>
      </c>
      <c r="FBD1336" s="4" t="s">
        <v>2880</v>
      </c>
      <c r="FBE1336" s="4" t="s">
        <v>2880</v>
      </c>
      <c r="FBF1336" s="4" t="s">
        <v>2880</v>
      </c>
      <c r="FBG1336" s="4" t="s">
        <v>2880</v>
      </c>
      <c r="FBH1336" s="4" t="s">
        <v>2880</v>
      </c>
      <c r="FBI1336" s="4" t="s">
        <v>2880</v>
      </c>
      <c r="FBJ1336" s="4" t="s">
        <v>2880</v>
      </c>
      <c r="FBK1336" s="4" t="s">
        <v>2880</v>
      </c>
      <c r="FBL1336" s="4" t="s">
        <v>2880</v>
      </c>
      <c r="FBM1336" s="4" t="s">
        <v>2880</v>
      </c>
      <c r="FBN1336" s="4" t="s">
        <v>2880</v>
      </c>
      <c r="FBO1336" s="4" t="s">
        <v>2880</v>
      </c>
      <c r="FBP1336" s="4" t="s">
        <v>2880</v>
      </c>
      <c r="FBQ1336" s="4" t="s">
        <v>2880</v>
      </c>
      <c r="FBR1336" s="4" t="s">
        <v>2880</v>
      </c>
      <c r="FBS1336" s="4" t="s">
        <v>2880</v>
      </c>
      <c r="FBT1336" s="4" t="s">
        <v>2880</v>
      </c>
      <c r="FBU1336" s="4" t="s">
        <v>2880</v>
      </c>
      <c r="FBV1336" s="4" t="s">
        <v>2880</v>
      </c>
      <c r="FBW1336" s="4" t="s">
        <v>2880</v>
      </c>
      <c r="FBX1336" s="4" t="s">
        <v>2880</v>
      </c>
      <c r="FBY1336" s="4" t="s">
        <v>2880</v>
      </c>
      <c r="FBZ1336" s="4" t="s">
        <v>2880</v>
      </c>
      <c r="FCA1336" s="4" t="s">
        <v>2880</v>
      </c>
      <c r="FCB1336" s="4" t="s">
        <v>2880</v>
      </c>
      <c r="FCC1336" s="4" t="s">
        <v>2880</v>
      </c>
      <c r="FCD1336" s="4" t="s">
        <v>2880</v>
      </c>
      <c r="FCE1336" s="4" t="s">
        <v>2880</v>
      </c>
      <c r="FCF1336" s="4" t="s">
        <v>2880</v>
      </c>
      <c r="FCG1336" s="4" t="s">
        <v>2880</v>
      </c>
      <c r="FCH1336" s="4" t="s">
        <v>2880</v>
      </c>
      <c r="FCI1336" s="4" t="s">
        <v>2880</v>
      </c>
      <c r="FCJ1336" s="4" t="s">
        <v>2880</v>
      </c>
      <c r="FCK1336" s="4" t="s">
        <v>2880</v>
      </c>
      <c r="FCL1336" s="4" t="s">
        <v>2880</v>
      </c>
      <c r="FCM1336" s="4" t="s">
        <v>2880</v>
      </c>
      <c r="FCN1336" s="4" t="s">
        <v>2880</v>
      </c>
      <c r="FCO1336" s="4" t="s">
        <v>2880</v>
      </c>
      <c r="FCP1336" s="4" t="s">
        <v>2880</v>
      </c>
      <c r="FCQ1336" s="4" t="s">
        <v>2880</v>
      </c>
      <c r="FCR1336" s="4" t="s">
        <v>2880</v>
      </c>
      <c r="FCS1336" s="4" t="s">
        <v>2880</v>
      </c>
      <c r="FCT1336" s="4" t="s">
        <v>2880</v>
      </c>
      <c r="FCU1336" s="4" t="s">
        <v>2880</v>
      </c>
      <c r="FCV1336" s="4" t="s">
        <v>2880</v>
      </c>
      <c r="FCW1336" s="4" t="s">
        <v>2880</v>
      </c>
      <c r="FCX1336" s="4" t="s">
        <v>2880</v>
      </c>
      <c r="FCY1336" s="4" t="s">
        <v>2880</v>
      </c>
      <c r="FCZ1336" s="4" t="s">
        <v>2880</v>
      </c>
      <c r="FDA1336" s="4" t="s">
        <v>2880</v>
      </c>
      <c r="FDB1336" s="4" t="s">
        <v>2880</v>
      </c>
      <c r="FDC1336" s="4" t="s">
        <v>2880</v>
      </c>
      <c r="FDD1336" s="4" t="s">
        <v>2880</v>
      </c>
      <c r="FDE1336" s="4" t="s">
        <v>2880</v>
      </c>
      <c r="FDF1336" s="4" t="s">
        <v>2880</v>
      </c>
      <c r="FDG1336" s="4" t="s">
        <v>2880</v>
      </c>
      <c r="FDH1336" s="4" t="s">
        <v>2880</v>
      </c>
      <c r="FDI1336" s="4" t="s">
        <v>2880</v>
      </c>
      <c r="FDJ1336" s="4" t="s">
        <v>2880</v>
      </c>
      <c r="FDK1336" s="4" t="s">
        <v>2880</v>
      </c>
      <c r="FDL1336" s="4" t="s">
        <v>2880</v>
      </c>
      <c r="FDM1336" s="4" t="s">
        <v>2880</v>
      </c>
      <c r="FDN1336" s="4" t="s">
        <v>2880</v>
      </c>
      <c r="FDO1336" s="4" t="s">
        <v>2880</v>
      </c>
      <c r="FDP1336" s="4" t="s">
        <v>2880</v>
      </c>
      <c r="FDQ1336" s="4" t="s">
        <v>2880</v>
      </c>
      <c r="FDR1336" s="4" t="s">
        <v>2880</v>
      </c>
      <c r="FDS1336" s="4" t="s">
        <v>2880</v>
      </c>
      <c r="FDT1336" s="4" t="s">
        <v>2880</v>
      </c>
      <c r="FDU1336" s="4" t="s">
        <v>2880</v>
      </c>
      <c r="FDV1336" s="4" t="s">
        <v>2880</v>
      </c>
      <c r="FDW1336" s="4" t="s">
        <v>2880</v>
      </c>
      <c r="FDX1336" s="4" t="s">
        <v>2880</v>
      </c>
      <c r="FDY1336" s="4" t="s">
        <v>2880</v>
      </c>
      <c r="FDZ1336" s="4" t="s">
        <v>2880</v>
      </c>
      <c r="FEA1336" s="4" t="s">
        <v>2880</v>
      </c>
      <c r="FEB1336" s="4" t="s">
        <v>2880</v>
      </c>
      <c r="FEC1336" s="4" t="s">
        <v>2880</v>
      </c>
      <c r="FED1336" s="4" t="s">
        <v>2880</v>
      </c>
      <c r="FEE1336" s="4" t="s">
        <v>2880</v>
      </c>
      <c r="FEF1336" s="4" t="s">
        <v>2880</v>
      </c>
      <c r="FEG1336" s="4" t="s">
        <v>2880</v>
      </c>
      <c r="FEH1336" s="4" t="s">
        <v>2880</v>
      </c>
      <c r="FEI1336" s="4" t="s">
        <v>2880</v>
      </c>
      <c r="FEJ1336" s="4" t="s">
        <v>2880</v>
      </c>
      <c r="FEK1336" s="4" t="s">
        <v>2880</v>
      </c>
      <c r="FEL1336" s="4" t="s">
        <v>2880</v>
      </c>
      <c r="FEM1336" s="4" t="s">
        <v>2880</v>
      </c>
      <c r="FEN1336" s="4" t="s">
        <v>2880</v>
      </c>
      <c r="FEO1336" s="4" t="s">
        <v>2880</v>
      </c>
      <c r="FEP1336" s="4" t="s">
        <v>2880</v>
      </c>
      <c r="FEQ1336" s="4" t="s">
        <v>2880</v>
      </c>
      <c r="FER1336" s="4" t="s">
        <v>2880</v>
      </c>
      <c r="FES1336" s="4" t="s">
        <v>2880</v>
      </c>
      <c r="FET1336" s="4" t="s">
        <v>2880</v>
      </c>
      <c r="FEU1336" s="4" t="s">
        <v>2880</v>
      </c>
      <c r="FEV1336" s="4" t="s">
        <v>2880</v>
      </c>
      <c r="FEW1336" s="4" t="s">
        <v>2880</v>
      </c>
      <c r="FEX1336" s="4" t="s">
        <v>2880</v>
      </c>
      <c r="FEY1336" s="4" t="s">
        <v>2880</v>
      </c>
      <c r="FEZ1336" s="4" t="s">
        <v>2880</v>
      </c>
      <c r="FFA1336" s="4" t="s">
        <v>2880</v>
      </c>
      <c r="FFB1336" s="4" t="s">
        <v>2880</v>
      </c>
      <c r="FFC1336" s="4" t="s">
        <v>2880</v>
      </c>
      <c r="FFD1336" s="4" t="s">
        <v>2880</v>
      </c>
      <c r="FFE1336" s="4" t="s">
        <v>2880</v>
      </c>
      <c r="FFF1336" s="4" t="s">
        <v>2880</v>
      </c>
      <c r="FFG1336" s="4" t="s">
        <v>2880</v>
      </c>
      <c r="FFH1336" s="4" t="s">
        <v>2880</v>
      </c>
      <c r="FFI1336" s="4" t="s">
        <v>2880</v>
      </c>
      <c r="FFJ1336" s="4" t="s">
        <v>2880</v>
      </c>
      <c r="FFK1336" s="4" t="s">
        <v>2880</v>
      </c>
      <c r="FFL1336" s="4" t="s">
        <v>2880</v>
      </c>
      <c r="FFM1336" s="4" t="s">
        <v>2880</v>
      </c>
      <c r="FFN1336" s="4" t="s">
        <v>2880</v>
      </c>
      <c r="FFO1336" s="4" t="s">
        <v>2880</v>
      </c>
      <c r="FFP1336" s="4" t="s">
        <v>2880</v>
      </c>
      <c r="FFQ1336" s="4" t="s">
        <v>2880</v>
      </c>
      <c r="FFR1336" s="4" t="s">
        <v>2880</v>
      </c>
      <c r="FFS1336" s="4" t="s">
        <v>2880</v>
      </c>
      <c r="FFT1336" s="4" t="s">
        <v>2880</v>
      </c>
      <c r="FFU1336" s="4" t="s">
        <v>2880</v>
      </c>
      <c r="FFV1336" s="4" t="s">
        <v>2880</v>
      </c>
      <c r="FFW1336" s="4" t="s">
        <v>2880</v>
      </c>
      <c r="FFX1336" s="4" t="s">
        <v>2880</v>
      </c>
      <c r="FFY1336" s="4" t="s">
        <v>2880</v>
      </c>
      <c r="FFZ1336" s="4" t="s">
        <v>2880</v>
      </c>
      <c r="FGA1336" s="4" t="s">
        <v>2880</v>
      </c>
      <c r="FGB1336" s="4" t="s">
        <v>2880</v>
      </c>
      <c r="FGC1336" s="4" t="s">
        <v>2880</v>
      </c>
      <c r="FGD1336" s="4" t="s">
        <v>2880</v>
      </c>
      <c r="FGE1336" s="4" t="s">
        <v>2880</v>
      </c>
      <c r="FGF1336" s="4" t="s">
        <v>2880</v>
      </c>
      <c r="FGG1336" s="4" t="s">
        <v>2880</v>
      </c>
      <c r="FGH1336" s="4" t="s">
        <v>2880</v>
      </c>
      <c r="FGI1336" s="4" t="s">
        <v>2880</v>
      </c>
      <c r="FGJ1336" s="4" t="s">
        <v>2880</v>
      </c>
      <c r="FGK1336" s="4" t="s">
        <v>2880</v>
      </c>
      <c r="FGL1336" s="4" t="s">
        <v>2880</v>
      </c>
      <c r="FGM1336" s="4" t="s">
        <v>2880</v>
      </c>
      <c r="FGN1336" s="4" t="s">
        <v>2880</v>
      </c>
      <c r="FGO1336" s="4" t="s">
        <v>2880</v>
      </c>
      <c r="FGP1336" s="4" t="s">
        <v>2880</v>
      </c>
      <c r="FGQ1336" s="4" t="s">
        <v>2880</v>
      </c>
      <c r="FGR1336" s="4" t="s">
        <v>2880</v>
      </c>
      <c r="FGS1336" s="4" t="s">
        <v>2880</v>
      </c>
      <c r="FGT1336" s="4" t="s">
        <v>2880</v>
      </c>
      <c r="FGU1336" s="4" t="s">
        <v>2880</v>
      </c>
      <c r="FGV1336" s="4" t="s">
        <v>2880</v>
      </c>
      <c r="FGW1336" s="4" t="s">
        <v>2880</v>
      </c>
      <c r="FGX1336" s="4" t="s">
        <v>2880</v>
      </c>
      <c r="FGY1336" s="4" t="s">
        <v>2880</v>
      </c>
      <c r="FGZ1336" s="4" t="s">
        <v>2880</v>
      </c>
      <c r="FHA1336" s="4" t="s">
        <v>2880</v>
      </c>
      <c r="FHB1336" s="4" t="s">
        <v>2880</v>
      </c>
      <c r="FHC1336" s="4" t="s">
        <v>2880</v>
      </c>
      <c r="FHD1336" s="4" t="s">
        <v>2880</v>
      </c>
      <c r="FHE1336" s="4" t="s">
        <v>2880</v>
      </c>
      <c r="FHF1336" s="4" t="s">
        <v>2880</v>
      </c>
      <c r="FHG1336" s="4" t="s">
        <v>2880</v>
      </c>
      <c r="FHH1336" s="4" t="s">
        <v>2880</v>
      </c>
      <c r="FHI1336" s="4" t="s">
        <v>2880</v>
      </c>
      <c r="FHJ1336" s="4" t="s">
        <v>2880</v>
      </c>
      <c r="FHK1336" s="4" t="s">
        <v>2880</v>
      </c>
      <c r="FHL1336" s="4" t="s">
        <v>2880</v>
      </c>
      <c r="FHM1336" s="4" t="s">
        <v>2880</v>
      </c>
      <c r="FHN1336" s="4" t="s">
        <v>2880</v>
      </c>
      <c r="FHO1336" s="4" t="s">
        <v>2880</v>
      </c>
      <c r="FHP1336" s="4" t="s">
        <v>2880</v>
      </c>
      <c r="FHQ1336" s="4" t="s">
        <v>2880</v>
      </c>
      <c r="FHR1336" s="4" t="s">
        <v>2880</v>
      </c>
      <c r="FHS1336" s="4" t="s">
        <v>2880</v>
      </c>
      <c r="FHT1336" s="4" t="s">
        <v>2880</v>
      </c>
      <c r="FHU1336" s="4" t="s">
        <v>2880</v>
      </c>
      <c r="FHV1336" s="4" t="s">
        <v>2880</v>
      </c>
      <c r="FHW1336" s="4" t="s">
        <v>2880</v>
      </c>
      <c r="FHX1336" s="4" t="s">
        <v>2880</v>
      </c>
      <c r="FHY1336" s="4" t="s">
        <v>2880</v>
      </c>
      <c r="FHZ1336" s="4" t="s">
        <v>2880</v>
      </c>
      <c r="FIA1336" s="4" t="s">
        <v>2880</v>
      </c>
      <c r="FIB1336" s="4" t="s">
        <v>2880</v>
      </c>
      <c r="FIC1336" s="4" t="s">
        <v>2880</v>
      </c>
      <c r="FID1336" s="4" t="s">
        <v>2880</v>
      </c>
      <c r="FIE1336" s="4" t="s">
        <v>2880</v>
      </c>
      <c r="FIF1336" s="4" t="s">
        <v>2880</v>
      </c>
      <c r="FIG1336" s="4" t="s">
        <v>2880</v>
      </c>
      <c r="FIH1336" s="4" t="s">
        <v>2880</v>
      </c>
      <c r="FII1336" s="4" t="s">
        <v>2880</v>
      </c>
      <c r="FIJ1336" s="4" t="s">
        <v>2880</v>
      </c>
      <c r="FIK1336" s="4" t="s">
        <v>2880</v>
      </c>
      <c r="FIL1336" s="4" t="s">
        <v>2880</v>
      </c>
      <c r="FIM1336" s="4" t="s">
        <v>2880</v>
      </c>
      <c r="FIN1336" s="4" t="s">
        <v>2880</v>
      </c>
      <c r="FIO1336" s="4" t="s">
        <v>2880</v>
      </c>
      <c r="FIP1336" s="4" t="s">
        <v>2880</v>
      </c>
      <c r="FIQ1336" s="4" t="s">
        <v>2880</v>
      </c>
      <c r="FIR1336" s="4" t="s">
        <v>2880</v>
      </c>
      <c r="FIS1336" s="4" t="s">
        <v>2880</v>
      </c>
      <c r="FIT1336" s="4" t="s">
        <v>2880</v>
      </c>
      <c r="FIU1336" s="4" t="s">
        <v>2880</v>
      </c>
      <c r="FIV1336" s="4" t="s">
        <v>2880</v>
      </c>
      <c r="FIW1336" s="4" t="s">
        <v>2880</v>
      </c>
      <c r="FIX1336" s="4" t="s">
        <v>2880</v>
      </c>
      <c r="FIY1336" s="4" t="s">
        <v>2880</v>
      </c>
      <c r="FIZ1336" s="4" t="s">
        <v>2880</v>
      </c>
      <c r="FJA1336" s="4" t="s">
        <v>2880</v>
      </c>
      <c r="FJB1336" s="4" t="s">
        <v>2880</v>
      </c>
      <c r="FJC1336" s="4" t="s">
        <v>2880</v>
      </c>
      <c r="FJD1336" s="4" t="s">
        <v>2880</v>
      </c>
      <c r="FJE1336" s="4" t="s">
        <v>2880</v>
      </c>
      <c r="FJF1336" s="4" t="s">
        <v>2880</v>
      </c>
      <c r="FJG1336" s="4" t="s">
        <v>2880</v>
      </c>
      <c r="FJH1336" s="4" t="s">
        <v>2880</v>
      </c>
      <c r="FJI1336" s="4" t="s">
        <v>2880</v>
      </c>
      <c r="FJJ1336" s="4" t="s">
        <v>2880</v>
      </c>
      <c r="FJK1336" s="4" t="s">
        <v>2880</v>
      </c>
      <c r="FJL1336" s="4" t="s">
        <v>2880</v>
      </c>
      <c r="FJM1336" s="4" t="s">
        <v>2880</v>
      </c>
      <c r="FJN1336" s="4" t="s">
        <v>2880</v>
      </c>
      <c r="FJO1336" s="4" t="s">
        <v>2880</v>
      </c>
      <c r="FJP1336" s="4" t="s">
        <v>2880</v>
      </c>
      <c r="FJQ1336" s="4" t="s">
        <v>2880</v>
      </c>
      <c r="FJR1336" s="4" t="s">
        <v>2880</v>
      </c>
      <c r="FJS1336" s="4" t="s">
        <v>2880</v>
      </c>
      <c r="FJT1336" s="4" t="s">
        <v>2880</v>
      </c>
      <c r="FJU1336" s="4" t="s">
        <v>2880</v>
      </c>
      <c r="FJV1336" s="4" t="s">
        <v>2880</v>
      </c>
      <c r="FJW1336" s="4" t="s">
        <v>2880</v>
      </c>
      <c r="FJX1336" s="4" t="s">
        <v>2880</v>
      </c>
      <c r="FJY1336" s="4" t="s">
        <v>2880</v>
      </c>
      <c r="FJZ1336" s="4" t="s">
        <v>2880</v>
      </c>
      <c r="FKA1336" s="4" t="s">
        <v>2880</v>
      </c>
      <c r="FKB1336" s="4" t="s">
        <v>2880</v>
      </c>
      <c r="FKC1336" s="4" t="s">
        <v>2880</v>
      </c>
      <c r="FKD1336" s="4" t="s">
        <v>2880</v>
      </c>
      <c r="FKE1336" s="4" t="s">
        <v>2880</v>
      </c>
      <c r="FKF1336" s="4" t="s">
        <v>2880</v>
      </c>
      <c r="FKG1336" s="4" t="s">
        <v>2880</v>
      </c>
      <c r="FKH1336" s="4" t="s">
        <v>2880</v>
      </c>
      <c r="FKI1336" s="4" t="s">
        <v>2880</v>
      </c>
      <c r="FKJ1336" s="4" t="s">
        <v>2880</v>
      </c>
      <c r="FKK1336" s="4" t="s">
        <v>2880</v>
      </c>
      <c r="FKL1336" s="4" t="s">
        <v>2880</v>
      </c>
      <c r="FKM1336" s="4" t="s">
        <v>2880</v>
      </c>
      <c r="FKN1336" s="4" t="s">
        <v>2880</v>
      </c>
      <c r="FKO1336" s="4" t="s">
        <v>2880</v>
      </c>
      <c r="FKP1336" s="4" t="s">
        <v>2880</v>
      </c>
      <c r="FKQ1336" s="4" t="s">
        <v>2880</v>
      </c>
      <c r="FKR1336" s="4" t="s">
        <v>2880</v>
      </c>
      <c r="FKS1336" s="4" t="s">
        <v>2880</v>
      </c>
      <c r="FKT1336" s="4" t="s">
        <v>2880</v>
      </c>
      <c r="FKU1336" s="4" t="s">
        <v>2880</v>
      </c>
      <c r="FKV1336" s="4" t="s">
        <v>2880</v>
      </c>
      <c r="FKW1336" s="4" t="s">
        <v>2880</v>
      </c>
      <c r="FKX1336" s="4" t="s">
        <v>2880</v>
      </c>
      <c r="FKY1336" s="4" t="s">
        <v>2880</v>
      </c>
      <c r="FKZ1336" s="4" t="s">
        <v>2880</v>
      </c>
      <c r="FLA1336" s="4" t="s">
        <v>2880</v>
      </c>
      <c r="FLB1336" s="4" t="s">
        <v>2880</v>
      </c>
      <c r="FLC1336" s="4" t="s">
        <v>2880</v>
      </c>
      <c r="FLD1336" s="4" t="s">
        <v>2880</v>
      </c>
      <c r="FLE1336" s="4" t="s">
        <v>2880</v>
      </c>
      <c r="FLF1336" s="4" t="s">
        <v>2880</v>
      </c>
      <c r="FLG1336" s="4" t="s">
        <v>2880</v>
      </c>
      <c r="FLH1336" s="4" t="s">
        <v>2880</v>
      </c>
      <c r="FLI1336" s="4" t="s">
        <v>2880</v>
      </c>
      <c r="FLJ1336" s="4" t="s">
        <v>2880</v>
      </c>
      <c r="FLK1336" s="4" t="s">
        <v>2880</v>
      </c>
      <c r="FLL1336" s="4" t="s">
        <v>2880</v>
      </c>
      <c r="FLM1336" s="4" t="s">
        <v>2880</v>
      </c>
      <c r="FLN1336" s="4" t="s">
        <v>2880</v>
      </c>
      <c r="FLO1336" s="4" t="s">
        <v>2880</v>
      </c>
      <c r="FLP1336" s="4" t="s">
        <v>2880</v>
      </c>
      <c r="FLQ1336" s="4" t="s">
        <v>2880</v>
      </c>
      <c r="FLR1336" s="4" t="s">
        <v>2880</v>
      </c>
      <c r="FLS1336" s="4" t="s">
        <v>2880</v>
      </c>
      <c r="FLT1336" s="4" t="s">
        <v>2880</v>
      </c>
      <c r="FLU1336" s="4" t="s">
        <v>2880</v>
      </c>
      <c r="FLV1336" s="4" t="s">
        <v>2880</v>
      </c>
      <c r="FLW1336" s="4" t="s">
        <v>2880</v>
      </c>
      <c r="FLX1336" s="4" t="s">
        <v>2880</v>
      </c>
      <c r="FLY1336" s="4" t="s">
        <v>2880</v>
      </c>
      <c r="FLZ1336" s="4" t="s">
        <v>2880</v>
      </c>
      <c r="FMA1336" s="4" t="s">
        <v>2880</v>
      </c>
      <c r="FMB1336" s="4" t="s">
        <v>2880</v>
      </c>
      <c r="FMC1336" s="4" t="s">
        <v>2880</v>
      </c>
      <c r="FMD1336" s="4" t="s">
        <v>2880</v>
      </c>
      <c r="FME1336" s="4" t="s">
        <v>2880</v>
      </c>
      <c r="FMF1336" s="4" t="s">
        <v>2880</v>
      </c>
      <c r="FMG1336" s="4" t="s">
        <v>2880</v>
      </c>
      <c r="FMH1336" s="4" t="s">
        <v>2880</v>
      </c>
      <c r="FMI1336" s="4" t="s">
        <v>2880</v>
      </c>
      <c r="FMJ1336" s="4" t="s">
        <v>2880</v>
      </c>
      <c r="FMK1336" s="4" t="s">
        <v>2880</v>
      </c>
      <c r="FML1336" s="4" t="s">
        <v>2880</v>
      </c>
      <c r="FMM1336" s="4" t="s">
        <v>2880</v>
      </c>
      <c r="FMN1336" s="4" t="s">
        <v>2880</v>
      </c>
      <c r="FMO1336" s="4" t="s">
        <v>2880</v>
      </c>
      <c r="FMP1336" s="4" t="s">
        <v>2880</v>
      </c>
      <c r="FMQ1336" s="4" t="s">
        <v>2880</v>
      </c>
      <c r="FMR1336" s="4" t="s">
        <v>2880</v>
      </c>
      <c r="FMS1336" s="4" t="s">
        <v>2880</v>
      </c>
      <c r="FMT1336" s="4" t="s">
        <v>2880</v>
      </c>
      <c r="FMU1336" s="4" t="s">
        <v>2880</v>
      </c>
      <c r="FMV1336" s="4" t="s">
        <v>2880</v>
      </c>
      <c r="FMW1336" s="4" t="s">
        <v>2880</v>
      </c>
      <c r="FMX1336" s="4" t="s">
        <v>2880</v>
      </c>
      <c r="FMY1336" s="4" t="s">
        <v>2880</v>
      </c>
      <c r="FMZ1336" s="4" t="s">
        <v>2880</v>
      </c>
      <c r="FNA1336" s="4" t="s">
        <v>2880</v>
      </c>
      <c r="FNB1336" s="4" t="s">
        <v>2880</v>
      </c>
      <c r="FNC1336" s="4" t="s">
        <v>2880</v>
      </c>
      <c r="FND1336" s="4" t="s">
        <v>2880</v>
      </c>
      <c r="FNE1336" s="4" t="s">
        <v>2880</v>
      </c>
      <c r="FNF1336" s="4" t="s">
        <v>2880</v>
      </c>
      <c r="FNG1336" s="4" t="s">
        <v>2880</v>
      </c>
      <c r="FNH1336" s="4" t="s">
        <v>2880</v>
      </c>
      <c r="FNI1336" s="4" t="s">
        <v>2880</v>
      </c>
      <c r="FNJ1336" s="4" t="s">
        <v>2880</v>
      </c>
      <c r="FNK1336" s="4" t="s">
        <v>2880</v>
      </c>
      <c r="FNL1336" s="4" t="s">
        <v>2880</v>
      </c>
      <c r="FNM1336" s="4" t="s">
        <v>2880</v>
      </c>
      <c r="FNN1336" s="4" t="s">
        <v>2880</v>
      </c>
      <c r="FNO1336" s="4" t="s">
        <v>2880</v>
      </c>
      <c r="FNP1336" s="4" t="s">
        <v>2880</v>
      </c>
      <c r="FNQ1336" s="4" t="s">
        <v>2880</v>
      </c>
      <c r="FNR1336" s="4" t="s">
        <v>2880</v>
      </c>
      <c r="FNS1336" s="4" t="s">
        <v>2880</v>
      </c>
      <c r="FNT1336" s="4" t="s">
        <v>2880</v>
      </c>
      <c r="FNU1336" s="4" t="s">
        <v>2880</v>
      </c>
      <c r="FNV1336" s="4" t="s">
        <v>2880</v>
      </c>
      <c r="FNW1336" s="4" t="s">
        <v>2880</v>
      </c>
      <c r="FNX1336" s="4" t="s">
        <v>2880</v>
      </c>
      <c r="FNY1336" s="4" t="s">
        <v>2880</v>
      </c>
      <c r="FNZ1336" s="4" t="s">
        <v>2880</v>
      </c>
      <c r="FOA1336" s="4" t="s">
        <v>2880</v>
      </c>
      <c r="FOB1336" s="4" t="s">
        <v>2880</v>
      </c>
      <c r="FOC1336" s="4" t="s">
        <v>2880</v>
      </c>
      <c r="FOD1336" s="4" t="s">
        <v>2880</v>
      </c>
      <c r="FOE1336" s="4" t="s">
        <v>2880</v>
      </c>
      <c r="FOF1336" s="4" t="s">
        <v>2880</v>
      </c>
      <c r="FOG1336" s="4" t="s">
        <v>2880</v>
      </c>
      <c r="FOH1336" s="4" t="s">
        <v>2880</v>
      </c>
      <c r="FOI1336" s="4" t="s">
        <v>2880</v>
      </c>
      <c r="FOJ1336" s="4" t="s">
        <v>2880</v>
      </c>
      <c r="FOK1336" s="4" t="s">
        <v>2880</v>
      </c>
      <c r="FOL1336" s="4" t="s">
        <v>2880</v>
      </c>
      <c r="FOM1336" s="4" t="s">
        <v>2880</v>
      </c>
      <c r="FON1336" s="4" t="s">
        <v>2880</v>
      </c>
      <c r="FOO1336" s="4" t="s">
        <v>2880</v>
      </c>
      <c r="FOP1336" s="4" t="s">
        <v>2880</v>
      </c>
      <c r="FOQ1336" s="4" t="s">
        <v>2880</v>
      </c>
      <c r="FOR1336" s="4" t="s">
        <v>2880</v>
      </c>
      <c r="FOS1336" s="4" t="s">
        <v>2880</v>
      </c>
      <c r="FOT1336" s="4" t="s">
        <v>2880</v>
      </c>
      <c r="FOU1336" s="4" t="s">
        <v>2880</v>
      </c>
      <c r="FOV1336" s="4" t="s">
        <v>2880</v>
      </c>
      <c r="FOW1336" s="4" t="s">
        <v>2880</v>
      </c>
      <c r="FOX1336" s="4" t="s">
        <v>2880</v>
      </c>
      <c r="FOY1336" s="4" t="s">
        <v>2880</v>
      </c>
      <c r="FOZ1336" s="4" t="s">
        <v>2880</v>
      </c>
      <c r="FPA1336" s="4" t="s">
        <v>2880</v>
      </c>
      <c r="FPB1336" s="4" t="s">
        <v>2880</v>
      </c>
      <c r="FPC1336" s="4" t="s">
        <v>2880</v>
      </c>
      <c r="FPD1336" s="4" t="s">
        <v>2880</v>
      </c>
      <c r="FPE1336" s="4" t="s">
        <v>2880</v>
      </c>
      <c r="FPF1336" s="4" t="s">
        <v>2880</v>
      </c>
      <c r="FPG1336" s="4" t="s">
        <v>2880</v>
      </c>
      <c r="FPH1336" s="4" t="s">
        <v>2880</v>
      </c>
      <c r="FPI1336" s="4" t="s">
        <v>2880</v>
      </c>
      <c r="FPJ1336" s="4" t="s">
        <v>2880</v>
      </c>
      <c r="FPK1336" s="4" t="s">
        <v>2880</v>
      </c>
      <c r="FPL1336" s="4" t="s">
        <v>2880</v>
      </c>
      <c r="FPM1336" s="4" t="s">
        <v>2880</v>
      </c>
      <c r="FPN1336" s="4" t="s">
        <v>2880</v>
      </c>
      <c r="FPO1336" s="4" t="s">
        <v>2880</v>
      </c>
      <c r="FPP1336" s="4" t="s">
        <v>2880</v>
      </c>
      <c r="FPQ1336" s="4" t="s">
        <v>2880</v>
      </c>
      <c r="FPR1336" s="4" t="s">
        <v>2880</v>
      </c>
      <c r="FPS1336" s="4" t="s">
        <v>2880</v>
      </c>
      <c r="FPT1336" s="4" t="s">
        <v>2880</v>
      </c>
      <c r="FPU1336" s="4" t="s">
        <v>2880</v>
      </c>
      <c r="FPV1336" s="4" t="s">
        <v>2880</v>
      </c>
      <c r="FPW1336" s="4" t="s">
        <v>2880</v>
      </c>
      <c r="FPX1336" s="4" t="s">
        <v>2880</v>
      </c>
      <c r="FPY1336" s="4" t="s">
        <v>2880</v>
      </c>
      <c r="FPZ1336" s="4" t="s">
        <v>2880</v>
      </c>
      <c r="FQA1336" s="4" t="s">
        <v>2880</v>
      </c>
      <c r="FQB1336" s="4" t="s">
        <v>2880</v>
      </c>
      <c r="FQC1336" s="4" t="s">
        <v>2880</v>
      </c>
      <c r="FQD1336" s="4" t="s">
        <v>2880</v>
      </c>
      <c r="FQE1336" s="4" t="s">
        <v>2880</v>
      </c>
      <c r="FQF1336" s="4" t="s">
        <v>2880</v>
      </c>
      <c r="FQG1336" s="4" t="s">
        <v>2880</v>
      </c>
      <c r="FQH1336" s="4" t="s">
        <v>2880</v>
      </c>
      <c r="FQI1336" s="4" t="s">
        <v>2880</v>
      </c>
      <c r="FQJ1336" s="4" t="s">
        <v>2880</v>
      </c>
      <c r="FQK1336" s="4" t="s">
        <v>2880</v>
      </c>
      <c r="FQL1336" s="4" t="s">
        <v>2880</v>
      </c>
      <c r="FQM1336" s="4" t="s">
        <v>2880</v>
      </c>
      <c r="FQN1336" s="4" t="s">
        <v>2880</v>
      </c>
      <c r="FQO1336" s="4" t="s">
        <v>2880</v>
      </c>
      <c r="FQP1336" s="4" t="s">
        <v>2880</v>
      </c>
      <c r="FQQ1336" s="4" t="s">
        <v>2880</v>
      </c>
      <c r="FQR1336" s="4" t="s">
        <v>2880</v>
      </c>
      <c r="FQS1336" s="4" t="s">
        <v>2880</v>
      </c>
      <c r="FQT1336" s="4" t="s">
        <v>2880</v>
      </c>
      <c r="FQU1336" s="4" t="s">
        <v>2880</v>
      </c>
      <c r="FQV1336" s="4" t="s">
        <v>2880</v>
      </c>
      <c r="FQW1336" s="4" t="s">
        <v>2880</v>
      </c>
      <c r="FQX1336" s="4" t="s">
        <v>2880</v>
      </c>
      <c r="FQY1336" s="4" t="s">
        <v>2880</v>
      </c>
      <c r="FQZ1336" s="4" t="s">
        <v>2880</v>
      </c>
      <c r="FRA1336" s="4" t="s">
        <v>2880</v>
      </c>
      <c r="FRB1336" s="4" t="s">
        <v>2880</v>
      </c>
      <c r="FRC1336" s="4" t="s">
        <v>2880</v>
      </c>
      <c r="FRD1336" s="4" t="s">
        <v>2880</v>
      </c>
      <c r="FRE1336" s="4" t="s">
        <v>2880</v>
      </c>
      <c r="FRF1336" s="4" t="s">
        <v>2880</v>
      </c>
      <c r="FRG1336" s="4" t="s">
        <v>2880</v>
      </c>
      <c r="FRH1336" s="4" t="s">
        <v>2880</v>
      </c>
      <c r="FRI1336" s="4" t="s">
        <v>2880</v>
      </c>
      <c r="FRJ1336" s="4" t="s">
        <v>2880</v>
      </c>
      <c r="FRK1336" s="4" t="s">
        <v>2880</v>
      </c>
      <c r="FRL1336" s="4" t="s">
        <v>2880</v>
      </c>
      <c r="FRM1336" s="4" t="s">
        <v>2880</v>
      </c>
      <c r="FRN1336" s="4" t="s">
        <v>2880</v>
      </c>
      <c r="FRO1336" s="4" t="s">
        <v>2880</v>
      </c>
      <c r="FRP1336" s="4" t="s">
        <v>2880</v>
      </c>
      <c r="FRQ1336" s="4" t="s">
        <v>2880</v>
      </c>
      <c r="FRR1336" s="4" t="s">
        <v>2880</v>
      </c>
      <c r="FRS1336" s="4" t="s">
        <v>2880</v>
      </c>
      <c r="FRT1336" s="4" t="s">
        <v>2880</v>
      </c>
      <c r="FRU1336" s="4" t="s">
        <v>2880</v>
      </c>
      <c r="FRV1336" s="4" t="s">
        <v>2880</v>
      </c>
      <c r="FRW1336" s="4" t="s">
        <v>2880</v>
      </c>
      <c r="FRX1336" s="4" t="s">
        <v>2880</v>
      </c>
      <c r="FRY1336" s="4" t="s">
        <v>2880</v>
      </c>
      <c r="FRZ1336" s="4" t="s">
        <v>2880</v>
      </c>
      <c r="FSA1336" s="4" t="s">
        <v>2880</v>
      </c>
      <c r="FSB1336" s="4" t="s">
        <v>2880</v>
      </c>
      <c r="FSC1336" s="4" t="s">
        <v>2880</v>
      </c>
      <c r="FSD1336" s="4" t="s">
        <v>2880</v>
      </c>
      <c r="FSE1336" s="4" t="s">
        <v>2880</v>
      </c>
      <c r="FSF1336" s="4" t="s">
        <v>2880</v>
      </c>
      <c r="FSG1336" s="4" t="s">
        <v>2880</v>
      </c>
      <c r="FSH1336" s="4" t="s">
        <v>2880</v>
      </c>
      <c r="FSI1336" s="4" t="s">
        <v>2880</v>
      </c>
      <c r="FSJ1336" s="4" t="s">
        <v>2880</v>
      </c>
      <c r="FSK1336" s="4" t="s">
        <v>2880</v>
      </c>
      <c r="FSL1336" s="4" t="s">
        <v>2880</v>
      </c>
      <c r="FSM1336" s="4" t="s">
        <v>2880</v>
      </c>
      <c r="FSN1336" s="4" t="s">
        <v>2880</v>
      </c>
      <c r="FSO1336" s="4" t="s">
        <v>2880</v>
      </c>
      <c r="FSP1336" s="4" t="s">
        <v>2880</v>
      </c>
      <c r="FSQ1336" s="4" t="s">
        <v>2880</v>
      </c>
      <c r="FSR1336" s="4" t="s">
        <v>2880</v>
      </c>
      <c r="FSS1336" s="4" t="s">
        <v>2880</v>
      </c>
      <c r="FST1336" s="4" t="s">
        <v>2880</v>
      </c>
      <c r="FSU1336" s="4" t="s">
        <v>2880</v>
      </c>
      <c r="FSV1336" s="4" t="s">
        <v>2880</v>
      </c>
      <c r="FSW1336" s="4" t="s">
        <v>2880</v>
      </c>
      <c r="FSX1336" s="4" t="s">
        <v>2880</v>
      </c>
      <c r="FSY1336" s="4" t="s">
        <v>2880</v>
      </c>
      <c r="FSZ1336" s="4" t="s">
        <v>2880</v>
      </c>
      <c r="FTA1336" s="4" t="s">
        <v>2880</v>
      </c>
      <c r="FTB1336" s="4" t="s">
        <v>2880</v>
      </c>
      <c r="FTC1336" s="4" t="s">
        <v>2880</v>
      </c>
      <c r="FTD1336" s="4" t="s">
        <v>2880</v>
      </c>
      <c r="FTE1336" s="4" t="s">
        <v>2880</v>
      </c>
      <c r="FTF1336" s="4" t="s">
        <v>2880</v>
      </c>
      <c r="FTG1336" s="4" t="s">
        <v>2880</v>
      </c>
      <c r="FTH1336" s="4" t="s">
        <v>2880</v>
      </c>
      <c r="FTI1336" s="4" t="s">
        <v>2880</v>
      </c>
      <c r="FTJ1336" s="4" t="s">
        <v>2880</v>
      </c>
      <c r="FTK1336" s="4" t="s">
        <v>2880</v>
      </c>
      <c r="FTL1336" s="4" t="s">
        <v>2880</v>
      </c>
      <c r="FTM1336" s="4" t="s">
        <v>2880</v>
      </c>
      <c r="FTN1336" s="4" t="s">
        <v>2880</v>
      </c>
      <c r="FTO1336" s="4" t="s">
        <v>2880</v>
      </c>
      <c r="FTP1336" s="4" t="s">
        <v>2880</v>
      </c>
      <c r="FTQ1336" s="4" t="s">
        <v>2880</v>
      </c>
      <c r="FTR1336" s="4" t="s">
        <v>2880</v>
      </c>
      <c r="FTS1336" s="4" t="s">
        <v>2880</v>
      </c>
      <c r="FTT1336" s="4" t="s">
        <v>2880</v>
      </c>
      <c r="FTU1336" s="4" t="s">
        <v>2880</v>
      </c>
      <c r="FTV1336" s="4" t="s">
        <v>2880</v>
      </c>
      <c r="FTW1336" s="4" t="s">
        <v>2880</v>
      </c>
      <c r="FTX1336" s="4" t="s">
        <v>2880</v>
      </c>
      <c r="FTY1336" s="4" t="s">
        <v>2880</v>
      </c>
      <c r="FTZ1336" s="4" t="s">
        <v>2880</v>
      </c>
      <c r="FUA1336" s="4" t="s">
        <v>2880</v>
      </c>
      <c r="FUB1336" s="4" t="s">
        <v>2880</v>
      </c>
      <c r="FUC1336" s="4" t="s">
        <v>2880</v>
      </c>
      <c r="FUD1336" s="4" t="s">
        <v>2880</v>
      </c>
      <c r="FUE1336" s="4" t="s">
        <v>2880</v>
      </c>
      <c r="FUF1336" s="4" t="s">
        <v>2880</v>
      </c>
      <c r="FUG1336" s="4" t="s">
        <v>2880</v>
      </c>
      <c r="FUH1336" s="4" t="s">
        <v>2880</v>
      </c>
      <c r="FUI1336" s="4" t="s">
        <v>2880</v>
      </c>
      <c r="FUJ1336" s="4" t="s">
        <v>2880</v>
      </c>
      <c r="FUK1336" s="4" t="s">
        <v>2880</v>
      </c>
      <c r="FUL1336" s="4" t="s">
        <v>2880</v>
      </c>
      <c r="FUM1336" s="4" t="s">
        <v>2880</v>
      </c>
      <c r="FUN1336" s="4" t="s">
        <v>2880</v>
      </c>
      <c r="FUO1336" s="4" t="s">
        <v>2880</v>
      </c>
      <c r="FUP1336" s="4" t="s">
        <v>2880</v>
      </c>
      <c r="FUQ1336" s="4" t="s">
        <v>2880</v>
      </c>
      <c r="FUR1336" s="4" t="s">
        <v>2880</v>
      </c>
      <c r="FUS1336" s="4" t="s">
        <v>2880</v>
      </c>
      <c r="FUT1336" s="4" t="s">
        <v>2880</v>
      </c>
      <c r="FUU1336" s="4" t="s">
        <v>2880</v>
      </c>
      <c r="FUV1336" s="4" t="s">
        <v>2880</v>
      </c>
      <c r="FUW1336" s="4" t="s">
        <v>2880</v>
      </c>
      <c r="FUX1336" s="4" t="s">
        <v>2880</v>
      </c>
      <c r="FUY1336" s="4" t="s">
        <v>2880</v>
      </c>
      <c r="FUZ1336" s="4" t="s">
        <v>2880</v>
      </c>
      <c r="FVA1336" s="4" t="s">
        <v>2880</v>
      </c>
      <c r="FVB1336" s="4" t="s">
        <v>2880</v>
      </c>
      <c r="FVC1336" s="4" t="s">
        <v>2880</v>
      </c>
      <c r="FVD1336" s="4" t="s">
        <v>2880</v>
      </c>
      <c r="FVE1336" s="4" t="s">
        <v>2880</v>
      </c>
      <c r="FVF1336" s="4" t="s">
        <v>2880</v>
      </c>
      <c r="FVG1336" s="4" t="s">
        <v>2880</v>
      </c>
      <c r="FVH1336" s="4" t="s">
        <v>2880</v>
      </c>
      <c r="FVI1336" s="4" t="s">
        <v>2880</v>
      </c>
      <c r="FVJ1336" s="4" t="s">
        <v>2880</v>
      </c>
      <c r="FVK1336" s="4" t="s">
        <v>2880</v>
      </c>
      <c r="FVL1336" s="4" t="s">
        <v>2880</v>
      </c>
      <c r="FVM1336" s="4" t="s">
        <v>2880</v>
      </c>
      <c r="FVN1336" s="4" t="s">
        <v>2880</v>
      </c>
      <c r="FVO1336" s="4" t="s">
        <v>2880</v>
      </c>
      <c r="FVP1336" s="4" t="s">
        <v>2880</v>
      </c>
      <c r="FVQ1336" s="4" t="s">
        <v>2880</v>
      </c>
      <c r="FVR1336" s="4" t="s">
        <v>2880</v>
      </c>
      <c r="FVS1336" s="4" t="s">
        <v>2880</v>
      </c>
      <c r="FVT1336" s="4" t="s">
        <v>2880</v>
      </c>
      <c r="FVU1336" s="4" t="s">
        <v>2880</v>
      </c>
      <c r="FVV1336" s="4" t="s">
        <v>2880</v>
      </c>
      <c r="FVW1336" s="4" t="s">
        <v>2880</v>
      </c>
      <c r="FVX1336" s="4" t="s">
        <v>2880</v>
      </c>
      <c r="FVY1336" s="4" t="s">
        <v>2880</v>
      </c>
      <c r="FVZ1336" s="4" t="s">
        <v>2880</v>
      </c>
      <c r="FWA1336" s="4" t="s">
        <v>2880</v>
      </c>
      <c r="FWB1336" s="4" t="s">
        <v>2880</v>
      </c>
      <c r="FWC1336" s="4" t="s">
        <v>2880</v>
      </c>
      <c r="FWD1336" s="4" t="s">
        <v>2880</v>
      </c>
      <c r="FWE1336" s="4" t="s">
        <v>2880</v>
      </c>
      <c r="FWF1336" s="4" t="s">
        <v>2880</v>
      </c>
      <c r="FWG1336" s="4" t="s">
        <v>2880</v>
      </c>
      <c r="FWH1336" s="4" t="s">
        <v>2880</v>
      </c>
      <c r="FWI1336" s="4" t="s">
        <v>2880</v>
      </c>
      <c r="FWJ1336" s="4" t="s">
        <v>2880</v>
      </c>
      <c r="FWK1336" s="4" t="s">
        <v>2880</v>
      </c>
      <c r="FWL1336" s="4" t="s">
        <v>2880</v>
      </c>
      <c r="FWM1336" s="4" t="s">
        <v>2880</v>
      </c>
      <c r="FWN1336" s="4" t="s">
        <v>2880</v>
      </c>
      <c r="FWO1336" s="4" t="s">
        <v>2880</v>
      </c>
      <c r="FWP1336" s="4" t="s">
        <v>2880</v>
      </c>
      <c r="FWQ1336" s="4" t="s">
        <v>2880</v>
      </c>
      <c r="FWR1336" s="4" t="s">
        <v>2880</v>
      </c>
      <c r="FWS1336" s="4" t="s">
        <v>2880</v>
      </c>
      <c r="FWT1336" s="4" t="s">
        <v>2880</v>
      </c>
      <c r="FWU1336" s="4" t="s">
        <v>2880</v>
      </c>
      <c r="FWV1336" s="4" t="s">
        <v>2880</v>
      </c>
      <c r="FWW1336" s="4" t="s">
        <v>2880</v>
      </c>
      <c r="FWX1336" s="4" t="s">
        <v>2880</v>
      </c>
      <c r="FWY1336" s="4" t="s">
        <v>2880</v>
      </c>
      <c r="FWZ1336" s="4" t="s">
        <v>2880</v>
      </c>
      <c r="FXA1336" s="4" t="s">
        <v>2880</v>
      </c>
      <c r="FXB1336" s="4" t="s">
        <v>2880</v>
      </c>
      <c r="FXC1336" s="4" t="s">
        <v>2880</v>
      </c>
      <c r="FXD1336" s="4" t="s">
        <v>2880</v>
      </c>
      <c r="FXE1336" s="4" t="s">
        <v>2880</v>
      </c>
      <c r="FXF1336" s="4" t="s">
        <v>2880</v>
      </c>
      <c r="FXG1336" s="4" t="s">
        <v>2880</v>
      </c>
      <c r="FXH1336" s="4" t="s">
        <v>2880</v>
      </c>
      <c r="FXI1336" s="4" t="s">
        <v>2880</v>
      </c>
      <c r="FXJ1336" s="4" t="s">
        <v>2880</v>
      </c>
      <c r="FXK1336" s="4" t="s">
        <v>2880</v>
      </c>
      <c r="FXL1336" s="4" t="s">
        <v>2880</v>
      </c>
      <c r="FXM1336" s="4" t="s">
        <v>2880</v>
      </c>
      <c r="FXN1336" s="4" t="s">
        <v>2880</v>
      </c>
      <c r="FXO1336" s="4" t="s">
        <v>2880</v>
      </c>
      <c r="FXP1336" s="4" t="s">
        <v>2880</v>
      </c>
      <c r="FXQ1336" s="4" t="s">
        <v>2880</v>
      </c>
      <c r="FXR1336" s="4" t="s">
        <v>2880</v>
      </c>
      <c r="FXS1336" s="4" t="s">
        <v>2880</v>
      </c>
      <c r="FXT1336" s="4" t="s">
        <v>2880</v>
      </c>
      <c r="FXU1336" s="4" t="s">
        <v>2880</v>
      </c>
      <c r="FXV1336" s="4" t="s">
        <v>2880</v>
      </c>
      <c r="FXW1336" s="4" t="s">
        <v>2880</v>
      </c>
      <c r="FXX1336" s="4" t="s">
        <v>2880</v>
      </c>
      <c r="FXY1336" s="4" t="s">
        <v>2880</v>
      </c>
      <c r="FXZ1336" s="4" t="s">
        <v>2880</v>
      </c>
      <c r="FYA1336" s="4" t="s">
        <v>2880</v>
      </c>
      <c r="FYB1336" s="4" t="s">
        <v>2880</v>
      </c>
      <c r="FYC1336" s="4" t="s">
        <v>2880</v>
      </c>
      <c r="FYD1336" s="4" t="s">
        <v>2880</v>
      </c>
      <c r="FYE1336" s="4" t="s">
        <v>2880</v>
      </c>
      <c r="FYF1336" s="4" t="s">
        <v>2880</v>
      </c>
      <c r="FYG1336" s="4" t="s">
        <v>2880</v>
      </c>
      <c r="FYH1336" s="4" t="s">
        <v>2880</v>
      </c>
      <c r="FYI1336" s="4" t="s">
        <v>2880</v>
      </c>
      <c r="FYJ1336" s="4" t="s">
        <v>2880</v>
      </c>
      <c r="FYK1336" s="4" t="s">
        <v>2880</v>
      </c>
      <c r="FYL1336" s="4" t="s">
        <v>2880</v>
      </c>
      <c r="FYM1336" s="4" t="s">
        <v>2880</v>
      </c>
      <c r="FYN1336" s="4" t="s">
        <v>2880</v>
      </c>
      <c r="FYO1336" s="4" t="s">
        <v>2880</v>
      </c>
      <c r="FYP1336" s="4" t="s">
        <v>2880</v>
      </c>
      <c r="FYQ1336" s="4" t="s">
        <v>2880</v>
      </c>
      <c r="FYR1336" s="4" t="s">
        <v>2880</v>
      </c>
      <c r="FYS1336" s="4" t="s">
        <v>2880</v>
      </c>
      <c r="FYT1336" s="4" t="s">
        <v>2880</v>
      </c>
      <c r="FYU1336" s="4" t="s">
        <v>2880</v>
      </c>
      <c r="FYV1336" s="4" t="s">
        <v>2880</v>
      </c>
      <c r="FYW1336" s="4" t="s">
        <v>2880</v>
      </c>
      <c r="FYX1336" s="4" t="s">
        <v>2880</v>
      </c>
      <c r="FYY1336" s="4" t="s">
        <v>2880</v>
      </c>
      <c r="FYZ1336" s="4" t="s">
        <v>2880</v>
      </c>
      <c r="FZA1336" s="4" t="s">
        <v>2880</v>
      </c>
      <c r="FZB1336" s="4" t="s">
        <v>2880</v>
      </c>
      <c r="FZC1336" s="4" t="s">
        <v>2880</v>
      </c>
      <c r="FZD1336" s="4" t="s">
        <v>2880</v>
      </c>
      <c r="FZE1336" s="4" t="s">
        <v>2880</v>
      </c>
      <c r="FZF1336" s="4" t="s">
        <v>2880</v>
      </c>
      <c r="FZG1336" s="4" t="s">
        <v>2880</v>
      </c>
      <c r="FZH1336" s="4" t="s">
        <v>2880</v>
      </c>
      <c r="FZI1336" s="4" t="s">
        <v>2880</v>
      </c>
      <c r="FZJ1336" s="4" t="s">
        <v>2880</v>
      </c>
      <c r="FZK1336" s="4" t="s">
        <v>2880</v>
      </c>
      <c r="FZL1336" s="4" t="s">
        <v>2880</v>
      </c>
      <c r="FZM1336" s="4" t="s">
        <v>2880</v>
      </c>
      <c r="FZN1336" s="4" t="s">
        <v>2880</v>
      </c>
      <c r="FZO1336" s="4" t="s">
        <v>2880</v>
      </c>
      <c r="FZP1336" s="4" t="s">
        <v>2880</v>
      </c>
      <c r="FZQ1336" s="4" t="s">
        <v>2880</v>
      </c>
      <c r="FZR1336" s="4" t="s">
        <v>2880</v>
      </c>
      <c r="FZS1336" s="4" t="s">
        <v>2880</v>
      </c>
      <c r="FZT1336" s="4" t="s">
        <v>2880</v>
      </c>
      <c r="FZU1336" s="4" t="s">
        <v>2880</v>
      </c>
      <c r="FZV1336" s="4" t="s">
        <v>2880</v>
      </c>
      <c r="FZW1336" s="4" t="s">
        <v>2880</v>
      </c>
      <c r="FZX1336" s="4" t="s">
        <v>2880</v>
      </c>
      <c r="FZY1336" s="4" t="s">
        <v>2880</v>
      </c>
      <c r="FZZ1336" s="4" t="s">
        <v>2880</v>
      </c>
      <c r="GAA1336" s="4" t="s">
        <v>2880</v>
      </c>
      <c r="GAB1336" s="4" t="s">
        <v>2880</v>
      </c>
      <c r="GAC1336" s="4" t="s">
        <v>2880</v>
      </c>
      <c r="GAD1336" s="4" t="s">
        <v>2880</v>
      </c>
      <c r="GAE1336" s="4" t="s">
        <v>2880</v>
      </c>
      <c r="GAF1336" s="4" t="s">
        <v>2880</v>
      </c>
      <c r="GAG1336" s="4" t="s">
        <v>2880</v>
      </c>
      <c r="GAH1336" s="4" t="s">
        <v>2880</v>
      </c>
      <c r="GAI1336" s="4" t="s">
        <v>2880</v>
      </c>
      <c r="GAJ1336" s="4" t="s">
        <v>2880</v>
      </c>
      <c r="GAK1336" s="4" t="s">
        <v>2880</v>
      </c>
      <c r="GAL1336" s="4" t="s">
        <v>2880</v>
      </c>
      <c r="GAM1336" s="4" t="s">
        <v>2880</v>
      </c>
      <c r="GAN1336" s="4" t="s">
        <v>2880</v>
      </c>
      <c r="GAO1336" s="4" t="s">
        <v>2880</v>
      </c>
      <c r="GAP1336" s="4" t="s">
        <v>2880</v>
      </c>
      <c r="GAQ1336" s="4" t="s">
        <v>2880</v>
      </c>
      <c r="GAR1336" s="4" t="s">
        <v>2880</v>
      </c>
      <c r="GAS1336" s="4" t="s">
        <v>2880</v>
      </c>
      <c r="GAT1336" s="4" t="s">
        <v>2880</v>
      </c>
      <c r="GAU1336" s="4" t="s">
        <v>2880</v>
      </c>
      <c r="GAV1336" s="4" t="s">
        <v>2880</v>
      </c>
      <c r="GAW1336" s="4" t="s">
        <v>2880</v>
      </c>
      <c r="GAX1336" s="4" t="s">
        <v>2880</v>
      </c>
      <c r="GAY1336" s="4" t="s">
        <v>2880</v>
      </c>
      <c r="GAZ1336" s="4" t="s">
        <v>2880</v>
      </c>
      <c r="GBA1336" s="4" t="s">
        <v>2880</v>
      </c>
      <c r="GBB1336" s="4" t="s">
        <v>2880</v>
      </c>
      <c r="GBC1336" s="4" t="s">
        <v>2880</v>
      </c>
      <c r="GBD1336" s="4" t="s">
        <v>2880</v>
      </c>
      <c r="GBE1336" s="4" t="s">
        <v>2880</v>
      </c>
      <c r="GBF1336" s="4" t="s">
        <v>2880</v>
      </c>
      <c r="GBG1336" s="4" t="s">
        <v>2880</v>
      </c>
      <c r="GBH1336" s="4" t="s">
        <v>2880</v>
      </c>
      <c r="GBI1336" s="4" t="s">
        <v>2880</v>
      </c>
      <c r="GBJ1336" s="4" t="s">
        <v>2880</v>
      </c>
      <c r="GBK1336" s="4" t="s">
        <v>2880</v>
      </c>
      <c r="GBL1336" s="4" t="s">
        <v>2880</v>
      </c>
      <c r="GBM1336" s="4" t="s">
        <v>2880</v>
      </c>
      <c r="GBN1336" s="4" t="s">
        <v>2880</v>
      </c>
      <c r="GBO1336" s="4" t="s">
        <v>2880</v>
      </c>
      <c r="GBP1336" s="4" t="s">
        <v>2880</v>
      </c>
      <c r="GBQ1336" s="4" t="s">
        <v>2880</v>
      </c>
      <c r="GBR1336" s="4" t="s">
        <v>2880</v>
      </c>
      <c r="GBS1336" s="4" t="s">
        <v>2880</v>
      </c>
      <c r="GBT1336" s="4" t="s">
        <v>2880</v>
      </c>
      <c r="GBU1336" s="4" t="s">
        <v>2880</v>
      </c>
      <c r="GBV1336" s="4" t="s">
        <v>2880</v>
      </c>
      <c r="GBW1336" s="4" t="s">
        <v>2880</v>
      </c>
      <c r="GBX1336" s="4" t="s">
        <v>2880</v>
      </c>
      <c r="GBY1336" s="4" t="s">
        <v>2880</v>
      </c>
      <c r="GBZ1336" s="4" t="s">
        <v>2880</v>
      </c>
      <c r="GCA1336" s="4" t="s">
        <v>2880</v>
      </c>
      <c r="GCB1336" s="4" t="s">
        <v>2880</v>
      </c>
      <c r="GCC1336" s="4" t="s">
        <v>2880</v>
      </c>
      <c r="GCD1336" s="4" t="s">
        <v>2880</v>
      </c>
      <c r="GCE1336" s="4" t="s">
        <v>2880</v>
      </c>
      <c r="GCF1336" s="4" t="s">
        <v>2880</v>
      </c>
      <c r="GCG1336" s="4" t="s">
        <v>2880</v>
      </c>
      <c r="GCH1336" s="4" t="s">
        <v>2880</v>
      </c>
      <c r="GCI1336" s="4" t="s">
        <v>2880</v>
      </c>
      <c r="GCJ1336" s="4" t="s">
        <v>2880</v>
      </c>
      <c r="GCK1336" s="4" t="s">
        <v>2880</v>
      </c>
      <c r="GCL1336" s="4" t="s">
        <v>2880</v>
      </c>
      <c r="GCM1336" s="4" t="s">
        <v>2880</v>
      </c>
      <c r="GCN1336" s="4" t="s">
        <v>2880</v>
      </c>
      <c r="GCO1336" s="4" t="s">
        <v>2880</v>
      </c>
      <c r="GCP1336" s="4" t="s">
        <v>2880</v>
      </c>
      <c r="GCQ1336" s="4" t="s">
        <v>2880</v>
      </c>
      <c r="GCR1336" s="4" t="s">
        <v>2880</v>
      </c>
      <c r="GCS1336" s="4" t="s">
        <v>2880</v>
      </c>
      <c r="GCT1336" s="4" t="s">
        <v>2880</v>
      </c>
      <c r="GCU1336" s="4" t="s">
        <v>2880</v>
      </c>
      <c r="GCV1336" s="4" t="s">
        <v>2880</v>
      </c>
      <c r="GCW1336" s="4" t="s">
        <v>2880</v>
      </c>
      <c r="GCX1336" s="4" t="s">
        <v>2880</v>
      </c>
      <c r="GCY1336" s="4" t="s">
        <v>2880</v>
      </c>
      <c r="GCZ1336" s="4" t="s">
        <v>2880</v>
      </c>
      <c r="GDA1336" s="4" t="s">
        <v>2880</v>
      </c>
      <c r="GDB1336" s="4" t="s">
        <v>2880</v>
      </c>
      <c r="GDC1336" s="4" t="s">
        <v>2880</v>
      </c>
      <c r="GDD1336" s="4" t="s">
        <v>2880</v>
      </c>
      <c r="GDE1336" s="4" t="s">
        <v>2880</v>
      </c>
      <c r="GDF1336" s="4" t="s">
        <v>2880</v>
      </c>
      <c r="GDG1336" s="4" t="s">
        <v>2880</v>
      </c>
      <c r="GDH1336" s="4" t="s">
        <v>2880</v>
      </c>
      <c r="GDI1336" s="4" t="s">
        <v>2880</v>
      </c>
      <c r="GDJ1336" s="4" t="s">
        <v>2880</v>
      </c>
      <c r="GDK1336" s="4" t="s">
        <v>2880</v>
      </c>
      <c r="GDL1336" s="4" t="s">
        <v>2880</v>
      </c>
      <c r="GDM1336" s="4" t="s">
        <v>2880</v>
      </c>
      <c r="GDN1336" s="4" t="s">
        <v>2880</v>
      </c>
      <c r="GDO1336" s="4" t="s">
        <v>2880</v>
      </c>
      <c r="GDP1336" s="4" t="s">
        <v>2880</v>
      </c>
      <c r="GDQ1336" s="4" t="s">
        <v>2880</v>
      </c>
      <c r="GDR1336" s="4" t="s">
        <v>2880</v>
      </c>
      <c r="GDS1336" s="4" t="s">
        <v>2880</v>
      </c>
      <c r="GDT1336" s="4" t="s">
        <v>2880</v>
      </c>
      <c r="GDU1336" s="4" t="s">
        <v>2880</v>
      </c>
      <c r="GDV1336" s="4" t="s">
        <v>2880</v>
      </c>
      <c r="GDW1336" s="4" t="s">
        <v>2880</v>
      </c>
      <c r="GDX1336" s="4" t="s">
        <v>2880</v>
      </c>
      <c r="GDY1336" s="4" t="s">
        <v>2880</v>
      </c>
      <c r="GDZ1336" s="4" t="s">
        <v>2880</v>
      </c>
      <c r="GEA1336" s="4" t="s">
        <v>2880</v>
      </c>
      <c r="GEB1336" s="4" t="s">
        <v>2880</v>
      </c>
      <c r="GEC1336" s="4" t="s">
        <v>2880</v>
      </c>
      <c r="GED1336" s="4" t="s">
        <v>2880</v>
      </c>
      <c r="GEE1336" s="4" t="s">
        <v>2880</v>
      </c>
      <c r="GEF1336" s="4" t="s">
        <v>2880</v>
      </c>
      <c r="GEG1336" s="4" t="s">
        <v>2880</v>
      </c>
      <c r="GEH1336" s="4" t="s">
        <v>2880</v>
      </c>
      <c r="GEI1336" s="4" t="s">
        <v>2880</v>
      </c>
      <c r="GEJ1336" s="4" t="s">
        <v>2880</v>
      </c>
      <c r="GEK1336" s="4" t="s">
        <v>2880</v>
      </c>
      <c r="GEL1336" s="4" t="s">
        <v>2880</v>
      </c>
      <c r="GEM1336" s="4" t="s">
        <v>2880</v>
      </c>
      <c r="GEN1336" s="4" t="s">
        <v>2880</v>
      </c>
      <c r="GEO1336" s="4" t="s">
        <v>2880</v>
      </c>
      <c r="GEP1336" s="4" t="s">
        <v>2880</v>
      </c>
      <c r="GEQ1336" s="4" t="s">
        <v>2880</v>
      </c>
      <c r="GER1336" s="4" t="s">
        <v>2880</v>
      </c>
      <c r="GES1336" s="4" t="s">
        <v>2880</v>
      </c>
      <c r="GET1336" s="4" t="s">
        <v>2880</v>
      </c>
      <c r="GEU1336" s="4" t="s">
        <v>2880</v>
      </c>
      <c r="GEV1336" s="4" t="s">
        <v>2880</v>
      </c>
      <c r="GEW1336" s="4" t="s">
        <v>2880</v>
      </c>
      <c r="GEX1336" s="4" t="s">
        <v>2880</v>
      </c>
      <c r="GEY1336" s="4" t="s">
        <v>2880</v>
      </c>
      <c r="GEZ1336" s="4" t="s">
        <v>2880</v>
      </c>
      <c r="GFA1336" s="4" t="s">
        <v>2880</v>
      </c>
      <c r="GFB1336" s="4" t="s">
        <v>2880</v>
      </c>
      <c r="GFC1336" s="4" t="s">
        <v>2880</v>
      </c>
      <c r="GFD1336" s="4" t="s">
        <v>2880</v>
      </c>
      <c r="GFE1336" s="4" t="s">
        <v>2880</v>
      </c>
      <c r="GFF1336" s="4" t="s">
        <v>2880</v>
      </c>
      <c r="GFG1336" s="4" t="s">
        <v>2880</v>
      </c>
      <c r="GFH1336" s="4" t="s">
        <v>2880</v>
      </c>
      <c r="GFI1336" s="4" t="s">
        <v>2880</v>
      </c>
      <c r="GFJ1336" s="4" t="s">
        <v>2880</v>
      </c>
      <c r="GFK1336" s="4" t="s">
        <v>2880</v>
      </c>
      <c r="GFL1336" s="4" t="s">
        <v>2880</v>
      </c>
      <c r="GFM1336" s="4" t="s">
        <v>2880</v>
      </c>
      <c r="GFN1336" s="4" t="s">
        <v>2880</v>
      </c>
      <c r="GFO1336" s="4" t="s">
        <v>2880</v>
      </c>
      <c r="GFP1336" s="4" t="s">
        <v>2880</v>
      </c>
      <c r="GFQ1336" s="4" t="s">
        <v>2880</v>
      </c>
      <c r="GFR1336" s="4" t="s">
        <v>2880</v>
      </c>
      <c r="GFS1336" s="4" t="s">
        <v>2880</v>
      </c>
      <c r="GFT1336" s="4" t="s">
        <v>2880</v>
      </c>
      <c r="GFU1336" s="4" t="s">
        <v>2880</v>
      </c>
      <c r="GFV1336" s="4" t="s">
        <v>2880</v>
      </c>
      <c r="GFW1336" s="4" t="s">
        <v>2880</v>
      </c>
      <c r="GFX1336" s="4" t="s">
        <v>2880</v>
      </c>
      <c r="GFY1336" s="4" t="s">
        <v>2880</v>
      </c>
      <c r="GFZ1336" s="4" t="s">
        <v>2880</v>
      </c>
      <c r="GGA1336" s="4" t="s">
        <v>2880</v>
      </c>
      <c r="GGB1336" s="4" t="s">
        <v>2880</v>
      </c>
      <c r="GGC1336" s="4" t="s">
        <v>2880</v>
      </c>
      <c r="GGD1336" s="4" t="s">
        <v>2880</v>
      </c>
      <c r="GGE1336" s="4" t="s">
        <v>2880</v>
      </c>
      <c r="GGF1336" s="4" t="s">
        <v>2880</v>
      </c>
      <c r="GGG1336" s="4" t="s">
        <v>2880</v>
      </c>
      <c r="GGH1336" s="4" t="s">
        <v>2880</v>
      </c>
      <c r="GGI1336" s="4" t="s">
        <v>2880</v>
      </c>
      <c r="GGJ1336" s="4" t="s">
        <v>2880</v>
      </c>
      <c r="GGK1336" s="4" t="s">
        <v>2880</v>
      </c>
      <c r="GGL1336" s="4" t="s">
        <v>2880</v>
      </c>
      <c r="GGM1336" s="4" t="s">
        <v>2880</v>
      </c>
      <c r="GGN1336" s="4" t="s">
        <v>2880</v>
      </c>
      <c r="GGO1336" s="4" t="s">
        <v>2880</v>
      </c>
      <c r="GGP1336" s="4" t="s">
        <v>2880</v>
      </c>
      <c r="GGQ1336" s="4" t="s">
        <v>2880</v>
      </c>
      <c r="GGR1336" s="4" t="s">
        <v>2880</v>
      </c>
      <c r="GGS1336" s="4" t="s">
        <v>2880</v>
      </c>
      <c r="GGT1336" s="4" t="s">
        <v>2880</v>
      </c>
      <c r="GGU1336" s="4" t="s">
        <v>2880</v>
      </c>
      <c r="GGV1336" s="4" t="s">
        <v>2880</v>
      </c>
      <c r="GGW1336" s="4" t="s">
        <v>2880</v>
      </c>
      <c r="GGX1336" s="4" t="s">
        <v>2880</v>
      </c>
      <c r="GGY1336" s="4" t="s">
        <v>2880</v>
      </c>
      <c r="GGZ1336" s="4" t="s">
        <v>2880</v>
      </c>
      <c r="GHA1336" s="4" t="s">
        <v>2880</v>
      </c>
      <c r="GHB1336" s="4" t="s">
        <v>2880</v>
      </c>
      <c r="GHC1336" s="4" t="s">
        <v>2880</v>
      </c>
      <c r="GHD1336" s="4" t="s">
        <v>2880</v>
      </c>
      <c r="GHE1336" s="4" t="s">
        <v>2880</v>
      </c>
      <c r="GHF1336" s="4" t="s">
        <v>2880</v>
      </c>
      <c r="GHG1336" s="4" t="s">
        <v>2880</v>
      </c>
      <c r="GHH1336" s="4" t="s">
        <v>2880</v>
      </c>
      <c r="GHI1336" s="4" t="s">
        <v>2880</v>
      </c>
      <c r="GHJ1336" s="4" t="s">
        <v>2880</v>
      </c>
      <c r="GHK1336" s="4" t="s">
        <v>2880</v>
      </c>
      <c r="GHL1336" s="4" t="s">
        <v>2880</v>
      </c>
      <c r="GHM1336" s="4" t="s">
        <v>2880</v>
      </c>
      <c r="GHN1336" s="4" t="s">
        <v>2880</v>
      </c>
      <c r="GHO1336" s="4" t="s">
        <v>2880</v>
      </c>
      <c r="GHP1336" s="4" t="s">
        <v>2880</v>
      </c>
      <c r="GHQ1336" s="4" t="s">
        <v>2880</v>
      </c>
      <c r="GHR1336" s="4" t="s">
        <v>2880</v>
      </c>
      <c r="GHS1336" s="4" t="s">
        <v>2880</v>
      </c>
      <c r="GHT1336" s="4" t="s">
        <v>2880</v>
      </c>
      <c r="GHU1336" s="4" t="s">
        <v>2880</v>
      </c>
      <c r="GHV1336" s="4" t="s">
        <v>2880</v>
      </c>
      <c r="GHW1336" s="4" t="s">
        <v>2880</v>
      </c>
      <c r="GHX1336" s="4" t="s">
        <v>2880</v>
      </c>
      <c r="GHY1336" s="4" t="s">
        <v>2880</v>
      </c>
      <c r="GHZ1336" s="4" t="s">
        <v>2880</v>
      </c>
      <c r="GIA1336" s="4" t="s">
        <v>2880</v>
      </c>
      <c r="GIB1336" s="4" t="s">
        <v>2880</v>
      </c>
      <c r="GIC1336" s="4" t="s">
        <v>2880</v>
      </c>
      <c r="GID1336" s="4" t="s">
        <v>2880</v>
      </c>
      <c r="GIE1336" s="4" t="s">
        <v>2880</v>
      </c>
      <c r="GIF1336" s="4" t="s">
        <v>2880</v>
      </c>
      <c r="GIG1336" s="4" t="s">
        <v>2880</v>
      </c>
      <c r="GIH1336" s="4" t="s">
        <v>2880</v>
      </c>
      <c r="GII1336" s="4" t="s">
        <v>2880</v>
      </c>
      <c r="GIJ1336" s="4" t="s">
        <v>2880</v>
      </c>
      <c r="GIK1336" s="4" t="s">
        <v>2880</v>
      </c>
      <c r="GIL1336" s="4" t="s">
        <v>2880</v>
      </c>
      <c r="GIM1336" s="4" t="s">
        <v>2880</v>
      </c>
      <c r="GIN1336" s="4" t="s">
        <v>2880</v>
      </c>
      <c r="GIO1336" s="4" t="s">
        <v>2880</v>
      </c>
      <c r="GIP1336" s="4" t="s">
        <v>2880</v>
      </c>
      <c r="GIQ1336" s="4" t="s">
        <v>2880</v>
      </c>
      <c r="GIR1336" s="4" t="s">
        <v>2880</v>
      </c>
      <c r="GIS1336" s="4" t="s">
        <v>2880</v>
      </c>
      <c r="GIT1336" s="4" t="s">
        <v>2880</v>
      </c>
      <c r="GIU1336" s="4" t="s">
        <v>2880</v>
      </c>
      <c r="GIV1336" s="4" t="s">
        <v>2880</v>
      </c>
      <c r="GIW1336" s="4" t="s">
        <v>2880</v>
      </c>
      <c r="GIX1336" s="4" t="s">
        <v>2880</v>
      </c>
      <c r="GIY1336" s="4" t="s">
        <v>2880</v>
      </c>
      <c r="GIZ1336" s="4" t="s">
        <v>2880</v>
      </c>
      <c r="GJA1336" s="4" t="s">
        <v>2880</v>
      </c>
      <c r="GJB1336" s="4" t="s">
        <v>2880</v>
      </c>
      <c r="GJC1336" s="4" t="s">
        <v>2880</v>
      </c>
      <c r="GJD1336" s="4" t="s">
        <v>2880</v>
      </c>
      <c r="GJE1336" s="4" t="s">
        <v>2880</v>
      </c>
      <c r="GJF1336" s="4" t="s">
        <v>2880</v>
      </c>
      <c r="GJG1336" s="4" t="s">
        <v>2880</v>
      </c>
      <c r="GJH1336" s="4" t="s">
        <v>2880</v>
      </c>
      <c r="GJI1336" s="4" t="s">
        <v>2880</v>
      </c>
      <c r="GJJ1336" s="4" t="s">
        <v>2880</v>
      </c>
      <c r="GJK1336" s="4" t="s">
        <v>2880</v>
      </c>
      <c r="GJL1336" s="4" t="s">
        <v>2880</v>
      </c>
      <c r="GJM1336" s="4" t="s">
        <v>2880</v>
      </c>
      <c r="GJN1336" s="4" t="s">
        <v>2880</v>
      </c>
      <c r="GJO1336" s="4" t="s">
        <v>2880</v>
      </c>
      <c r="GJP1336" s="4" t="s">
        <v>2880</v>
      </c>
      <c r="GJQ1336" s="4" t="s">
        <v>2880</v>
      </c>
      <c r="GJR1336" s="4" t="s">
        <v>2880</v>
      </c>
      <c r="GJS1336" s="4" t="s">
        <v>2880</v>
      </c>
      <c r="GJT1336" s="4" t="s">
        <v>2880</v>
      </c>
      <c r="GJU1336" s="4" t="s">
        <v>2880</v>
      </c>
      <c r="GJV1336" s="4" t="s">
        <v>2880</v>
      </c>
      <c r="GJW1336" s="4" t="s">
        <v>2880</v>
      </c>
      <c r="GJX1336" s="4" t="s">
        <v>2880</v>
      </c>
      <c r="GJY1336" s="4" t="s">
        <v>2880</v>
      </c>
      <c r="GJZ1336" s="4" t="s">
        <v>2880</v>
      </c>
      <c r="GKA1336" s="4" t="s">
        <v>2880</v>
      </c>
      <c r="GKB1336" s="4" t="s">
        <v>2880</v>
      </c>
      <c r="GKC1336" s="4" t="s">
        <v>2880</v>
      </c>
      <c r="GKD1336" s="4" t="s">
        <v>2880</v>
      </c>
      <c r="GKE1336" s="4" t="s">
        <v>2880</v>
      </c>
      <c r="GKF1336" s="4" t="s">
        <v>2880</v>
      </c>
      <c r="GKG1336" s="4" t="s">
        <v>2880</v>
      </c>
      <c r="GKH1336" s="4" t="s">
        <v>2880</v>
      </c>
      <c r="GKI1336" s="4" t="s">
        <v>2880</v>
      </c>
      <c r="GKJ1336" s="4" t="s">
        <v>2880</v>
      </c>
      <c r="GKK1336" s="4" t="s">
        <v>2880</v>
      </c>
      <c r="GKL1336" s="4" t="s">
        <v>2880</v>
      </c>
      <c r="GKM1336" s="4" t="s">
        <v>2880</v>
      </c>
      <c r="GKN1336" s="4" t="s">
        <v>2880</v>
      </c>
      <c r="GKO1336" s="4" t="s">
        <v>2880</v>
      </c>
      <c r="GKP1336" s="4" t="s">
        <v>2880</v>
      </c>
      <c r="GKQ1336" s="4" t="s">
        <v>2880</v>
      </c>
      <c r="GKR1336" s="4" t="s">
        <v>2880</v>
      </c>
      <c r="GKS1336" s="4" t="s">
        <v>2880</v>
      </c>
      <c r="GKT1336" s="4" t="s">
        <v>2880</v>
      </c>
      <c r="GKU1336" s="4" t="s">
        <v>2880</v>
      </c>
      <c r="GKV1336" s="4" t="s">
        <v>2880</v>
      </c>
      <c r="GKW1336" s="4" t="s">
        <v>2880</v>
      </c>
      <c r="GKX1336" s="4" t="s">
        <v>2880</v>
      </c>
      <c r="GKY1336" s="4" t="s">
        <v>2880</v>
      </c>
      <c r="GKZ1336" s="4" t="s">
        <v>2880</v>
      </c>
      <c r="GLA1336" s="4" t="s">
        <v>2880</v>
      </c>
      <c r="GLB1336" s="4" t="s">
        <v>2880</v>
      </c>
      <c r="GLC1336" s="4" t="s">
        <v>2880</v>
      </c>
      <c r="GLD1336" s="4" t="s">
        <v>2880</v>
      </c>
      <c r="GLE1336" s="4" t="s">
        <v>2880</v>
      </c>
      <c r="GLF1336" s="4" t="s">
        <v>2880</v>
      </c>
      <c r="GLG1336" s="4" t="s">
        <v>2880</v>
      </c>
      <c r="GLH1336" s="4" t="s">
        <v>2880</v>
      </c>
      <c r="GLI1336" s="4" t="s">
        <v>2880</v>
      </c>
      <c r="GLJ1336" s="4" t="s">
        <v>2880</v>
      </c>
      <c r="GLK1336" s="4" t="s">
        <v>2880</v>
      </c>
      <c r="GLL1336" s="4" t="s">
        <v>2880</v>
      </c>
      <c r="GLM1336" s="4" t="s">
        <v>2880</v>
      </c>
      <c r="GLN1336" s="4" t="s">
        <v>2880</v>
      </c>
      <c r="GLO1336" s="4" t="s">
        <v>2880</v>
      </c>
      <c r="GLP1336" s="4" t="s">
        <v>2880</v>
      </c>
      <c r="GLQ1336" s="4" t="s">
        <v>2880</v>
      </c>
      <c r="GLR1336" s="4" t="s">
        <v>2880</v>
      </c>
      <c r="GLS1336" s="4" t="s">
        <v>2880</v>
      </c>
      <c r="GLT1336" s="4" t="s">
        <v>2880</v>
      </c>
      <c r="GLU1336" s="4" t="s">
        <v>2880</v>
      </c>
      <c r="GLV1336" s="4" t="s">
        <v>2880</v>
      </c>
      <c r="GLW1336" s="4" t="s">
        <v>2880</v>
      </c>
      <c r="GLX1336" s="4" t="s">
        <v>2880</v>
      </c>
      <c r="GLY1336" s="4" t="s">
        <v>2880</v>
      </c>
      <c r="GLZ1336" s="4" t="s">
        <v>2880</v>
      </c>
      <c r="GMA1336" s="4" t="s">
        <v>2880</v>
      </c>
      <c r="GMB1336" s="4" t="s">
        <v>2880</v>
      </c>
      <c r="GMC1336" s="4" t="s">
        <v>2880</v>
      </c>
      <c r="GMD1336" s="4" t="s">
        <v>2880</v>
      </c>
      <c r="GME1336" s="4" t="s">
        <v>2880</v>
      </c>
      <c r="GMF1336" s="4" t="s">
        <v>2880</v>
      </c>
      <c r="GMG1336" s="4" t="s">
        <v>2880</v>
      </c>
      <c r="GMH1336" s="4" t="s">
        <v>2880</v>
      </c>
      <c r="GMI1336" s="4" t="s">
        <v>2880</v>
      </c>
      <c r="GMJ1336" s="4" t="s">
        <v>2880</v>
      </c>
      <c r="GMK1336" s="4" t="s">
        <v>2880</v>
      </c>
      <c r="GML1336" s="4" t="s">
        <v>2880</v>
      </c>
      <c r="GMM1336" s="4" t="s">
        <v>2880</v>
      </c>
      <c r="GMN1336" s="4" t="s">
        <v>2880</v>
      </c>
      <c r="GMO1336" s="4" t="s">
        <v>2880</v>
      </c>
      <c r="GMP1336" s="4" t="s">
        <v>2880</v>
      </c>
      <c r="GMQ1336" s="4" t="s">
        <v>2880</v>
      </c>
      <c r="GMR1336" s="4" t="s">
        <v>2880</v>
      </c>
      <c r="GMS1336" s="4" t="s">
        <v>2880</v>
      </c>
      <c r="GMT1336" s="4" t="s">
        <v>2880</v>
      </c>
      <c r="GMU1336" s="4" t="s">
        <v>2880</v>
      </c>
      <c r="GMV1336" s="4" t="s">
        <v>2880</v>
      </c>
      <c r="GMW1336" s="4" t="s">
        <v>2880</v>
      </c>
      <c r="GMX1336" s="4" t="s">
        <v>2880</v>
      </c>
      <c r="GMY1336" s="4" t="s">
        <v>2880</v>
      </c>
      <c r="GMZ1336" s="4" t="s">
        <v>2880</v>
      </c>
      <c r="GNA1336" s="4" t="s">
        <v>2880</v>
      </c>
      <c r="GNB1336" s="4" t="s">
        <v>2880</v>
      </c>
      <c r="GNC1336" s="4" t="s">
        <v>2880</v>
      </c>
      <c r="GND1336" s="4" t="s">
        <v>2880</v>
      </c>
      <c r="GNE1336" s="4" t="s">
        <v>2880</v>
      </c>
      <c r="GNF1336" s="4" t="s">
        <v>2880</v>
      </c>
      <c r="GNG1336" s="4" t="s">
        <v>2880</v>
      </c>
      <c r="GNH1336" s="4" t="s">
        <v>2880</v>
      </c>
      <c r="GNI1336" s="4" t="s">
        <v>2880</v>
      </c>
      <c r="GNJ1336" s="4" t="s">
        <v>2880</v>
      </c>
      <c r="GNK1336" s="4" t="s">
        <v>2880</v>
      </c>
      <c r="GNL1336" s="4" t="s">
        <v>2880</v>
      </c>
      <c r="GNM1336" s="4" t="s">
        <v>2880</v>
      </c>
      <c r="GNN1336" s="4" t="s">
        <v>2880</v>
      </c>
      <c r="GNO1336" s="4" t="s">
        <v>2880</v>
      </c>
      <c r="GNP1336" s="4" t="s">
        <v>2880</v>
      </c>
      <c r="GNQ1336" s="4" t="s">
        <v>2880</v>
      </c>
      <c r="GNR1336" s="4" t="s">
        <v>2880</v>
      </c>
      <c r="GNS1336" s="4" t="s">
        <v>2880</v>
      </c>
      <c r="GNT1336" s="4" t="s">
        <v>2880</v>
      </c>
      <c r="GNU1336" s="4" t="s">
        <v>2880</v>
      </c>
      <c r="GNV1336" s="4" t="s">
        <v>2880</v>
      </c>
      <c r="GNW1336" s="4" t="s">
        <v>2880</v>
      </c>
      <c r="GNX1336" s="4" t="s">
        <v>2880</v>
      </c>
      <c r="GNY1336" s="4" t="s">
        <v>2880</v>
      </c>
      <c r="GNZ1336" s="4" t="s">
        <v>2880</v>
      </c>
      <c r="GOA1336" s="4" t="s">
        <v>2880</v>
      </c>
      <c r="GOB1336" s="4" t="s">
        <v>2880</v>
      </c>
      <c r="GOC1336" s="4" t="s">
        <v>2880</v>
      </c>
      <c r="GOD1336" s="4" t="s">
        <v>2880</v>
      </c>
      <c r="GOE1336" s="4" t="s">
        <v>2880</v>
      </c>
      <c r="GOF1336" s="4" t="s">
        <v>2880</v>
      </c>
      <c r="GOG1336" s="4" t="s">
        <v>2880</v>
      </c>
      <c r="GOH1336" s="4" t="s">
        <v>2880</v>
      </c>
      <c r="GOI1336" s="4" t="s">
        <v>2880</v>
      </c>
      <c r="GOJ1336" s="4" t="s">
        <v>2880</v>
      </c>
      <c r="GOK1336" s="4" t="s">
        <v>2880</v>
      </c>
      <c r="GOL1336" s="4" t="s">
        <v>2880</v>
      </c>
      <c r="GOM1336" s="4" t="s">
        <v>2880</v>
      </c>
      <c r="GON1336" s="4" t="s">
        <v>2880</v>
      </c>
      <c r="GOO1336" s="4" t="s">
        <v>2880</v>
      </c>
      <c r="GOP1336" s="4" t="s">
        <v>2880</v>
      </c>
      <c r="GOQ1336" s="4" t="s">
        <v>2880</v>
      </c>
      <c r="GOR1336" s="4" t="s">
        <v>2880</v>
      </c>
      <c r="GOS1336" s="4" t="s">
        <v>2880</v>
      </c>
      <c r="GOT1336" s="4" t="s">
        <v>2880</v>
      </c>
      <c r="GOU1336" s="4" t="s">
        <v>2880</v>
      </c>
      <c r="GOV1336" s="4" t="s">
        <v>2880</v>
      </c>
      <c r="GOW1336" s="4" t="s">
        <v>2880</v>
      </c>
      <c r="GOX1336" s="4" t="s">
        <v>2880</v>
      </c>
      <c r="GOY1336" s="4" t="s">
        <v>2880</v>
      </c>
      <c r="GOZ1336" s="4" t="s">
        <v>2880</v>
      </c>
      <c r="GPA1336" s="4" t="s">
        <v>2880</v>
      </c>
      <c r="GPB1336" s="4" t="s">
        <v>2880</v>
      </c>
      <c r="GPC1336" s="4" t="s">
        <v>2880</v>
      </c>
      <c r="GPD1336" s="4" t="s">
        <v>2880</v>
      </c>
      <c r="GPE1336" s="4" t="s">
        <v>2880</v>
      </c>
      <c r="GPF1336" s="4" t="s">
        <v>2880</v>
      </c>
      <c r="GPG1336" s="4" t="s">
        <v>2880</v>
      </c>
      <c r="GPH1336" s="4" t="s">
        <v>2880</v>
      </c>
      <c r="GPI1336" s="4" t="s">
        <v>2880</v>
      </c>
      <c r="GPJ1336" s="4" t="s">
        <v>2880</v>
      </c>
      <c r="GPK1336" s="4" t="s">
        <v>2880</v>
      </c>
      <c r="GPL1336" s="4" t="s">
        <v>2880</v>
      </c>
      <c r="GPM1336" s="4" t="s">
        <v>2880</v>
      </c>
      <c r="GPN1336" s="4" t="s">
        <v>2880</v>
      </c>
      <c r="GPO1336" s="4" t="s">
        <v>2880</v>
      </c>
      <c r="GPP1336" s="4" t="s">
        <v>2880</v>
      </c>
      <c r="GPQ1336" s="4" t="s">
        <v>2880</v>
      </c>
      <c r="GPR1336" s="4" t="s">
        <v>2880</v>
      </c>
      <c r="GPS1336" s="4" t="s">
        <v>2880</v>
      </c>
      <c r="GPT1336" s="4" t="s">
        <v>2880</v>
      </c>
      <c r="GPU1336" s="4" t="s">
        <v>2880</v>
      </c>
      <c r="GPV1336" s="4" t="s">
        <v>2880</v>
      </c>
      <c r="GPW1336" s="4" t="s">
        <v>2880</v>
      </c>
      <c r="GPX1336" s="4" t="s">
        <v>2880</v>
      </c>
      <c r="GPY1336" s="4" t="s">
        <v>2880</v>
      </c>
      <c r="GPZ1336" s="4" t="s">
        <v>2880</v>
      </c>
      <c r="GQA1336" s="4" t="s">
        <v>2880</v>
      </c>
      <c r="GQB1336" s="4" t="s">
        <v>2880</v>
      </c>
      <c r="GQC1336" s="4" t="s">
        <v>2880</v>
      </c>
      <c r="GQD1336" s="4" t="s">
        <v>2880</v>
      </c>
      <c r="GQE1336" s="4" t="s">
        <v>2880</v>
      </c>
      <c r="GQF1336" s="4" t="s">
        <v>2880</v>
      </c>
      <c r="GQG1336" s="4" t="s">
        <v>2880</v>
      </c>
      <c r="GQH1336" s="4" t="s">
        <v>2880</v>
      </c>
      <c r="GQI1336" s="4" t="s">
        <v>2880</v>
      </c>
      <c r="GQJ1336" s="4" t="s">
        <v>2880</v>
      </c>
      <c r="GQK1336" s="4" t="s">
        <v>2880</v>
      </c>
      <c r="GQL1336" s="4" t="s">
        <v>2880</v>
      </c>
      <c r="GQM1336" s="4" t="s">
        <v>2880</v>
      </c>
      <c r="GQN1336" s="4" t="s">
        <v>2880</v>
      </c>
      <c r="GQO1336" s="4" t="s">
        <v>2880</v>
      </c>
      <c r="GQP1336" s="4" t="s">
        <v>2880</v>
      </c>
      <c r="GQQ1336" s="4" t="s">
        <v>2880</v>
      </c>
      <c r="GQR1336" s="4" t="s">
        <v>2880</v>
      </c>
      <c r="GQS1336" s="4" t="s">
        <v>2880</v>
      </c>
      <c r="GQT1336" s="4" t="s">
        <v>2880</v>
      </c>
      <c r="GQU1336" s="4" t="s">
        <v>2880</v>
      </c>
      <c r="GQV1336" s="4" t="s">
        <v>2880</v>
      </c>
      <c r="GQW1336" s="4" t="s">
        <v>2880</v>
      </c>
      <c r="GQX1336" s="4" t="s">
        <v>2880</v>
      </c>
      <c r="GQY1336" s="4" t="s">
        <v>2880</v>
      </c>
      <c r="GQZ1336" s="4" t="s">
        <v>2880</v>
      </c>
      <c r="GRA1336" s="4" t="s">
        <v>2880</v>
      </c>
      <c r="GRB1336" s="4" t="s">
        <v>2880</v>
      </c>
      <c r="GRC1336" s="4" t="s">
        <v>2880</v>
      </c>
      <c r="GRD1336" s="4" t="s">
        <v>2880</v>
      </c>
      <c r="GRE1336" s="4" t="s">
        <v>2880</v>
      </c>
      <c r="GRF1336" s="4" t="s">
        <v>2880</v>
      </c>
      <c r="GRG1336" s="4" t="s">
        <v>2880</v>
      </c>
      <c r="GRH1336" s="4" t="s">
        <v>2880</v>
      </c>
      <c r="GRI1336" s="4" t="s">
        <v>2880</v>
      </c>
      <c r="GRJ1336" s="4" t="s">
        <v>2880</v>
      </c>
      <c r="GRK1336" s="4" t="s">
        <v>2880</v>
      </c>
      <c r="GRL1336" s="4" t="s">
        <v>2880</v>
      </c>
      <c r="GRM1336" s="4" t="s">
        <v>2880</v>
      </c>
      <c r="GRN1336" s="4" t="s">
        <v>2880</v>
      </c>
      <c r="GRO1336" s="4" t="s">
        <v>2880</v>
      </c>
      <c r="GRP1336" s="4" t="s">
        <v>2880</v>
      </c>
      <c r="GRQ1336" s="4" t="s">
        <v>2880</v>
      </c>
      <c r="GRR1336" s="4" t="s">
        <v>2880</v>
      </c>
      <c r="GRS1336" s="4" t="s">
        <v>2880</v>
      </c>
      <c r="GRT1336" s="4" t="s">
        <v>2880</v>
      </c>
      <c r="GRU1336" s="4" t="s">
        <v>2880</v>
      </c>
      <c r="GRV1336" s="4" t="s">
        <v>2880</v>
      </c>
      <c r="GRW1336" s="4" t="s">
        <v>2880</v>
      </c>
      <c r="GRX1336" s="4" t="s">
        <v>2880</v>
      </c>
      <c r="GRY1336" s="4" t="s">
        <v>2880</v>
      </c>
      <c r="GRZ1336" s="4" t="s">
        <v>2880</v>
      </c>
      <c r="GSA1336" s="4" t="s">
        <v>2880</v>
      </c>
      <c r="GSB1336" s="4" t="s">
        <v>2880</v>
      </c>
      <c r="GSC1336" s="4" t="s">
        <v>2880</v>
      </c>
      <c r="GSD1336" s="4" t="s">
        <v>2880</v>
      </c>
      <c r="GSE1336" s="4" t="s">
        <v>2880</v>
      </c>
      <c r="GSF1336" s="4" t="s">
        <v>2880</v>
      </c>
      <c r="GSG1336" s="4" t="s">
        <v>2880</v>
      </c>
      <c r="GSH1336" s="4" t="s">
        <v>2880</v>
      </c>
      <c r="GSI1336" s="4" t="s">
        <v>2880</v>
      </c>
      <c r="GSJ1336" s="4" t="s">
        <v>2880</v>
      </c>
      <c r="GSK1336" s="4" t="s">
        <v>2880</v>
      </c>
      <c r="GSL1336" s="4" t="s">
        <v>2880</v>
      </c>
      <c r="GSM1336" s="4" t="s">
        <v>2880</v>
      </c>
      <c r="GSN1336" s="4" t="s">
        <v>2880</v>
      </c>
      <c r="GSO1336" s="4" t="s">
        <v>2880</v>
      </c>
      <c r="GSP1336" s="4" t="s">
        <v>2880</v>
      </c>
      <c r="GSQ1336" s="4" t="s">
        <v>2880</v>
      </c>
      <c r="GSR1336" s="4" t="s">
        <v>2880</v>
      </c>
      <c r="GSS1336" s="4" t="s">
        <v>2880</v>
      </c>
      <c r="GST1336" s="4" t="s">
        <v>2880</v>
      </c>
      <c r="GSU1336" s="4" t="s">
        <v>2880</v>
      </c>
      <c r="GSV1336" s="4" t="s">
        <v>2880</v>
      </c>
      <c r="GSW1336" s="4" t="s">
        <v>2880</v>
      </c>
      <c r="GSX1336" s="4" t="s">
        <v>2880</v>
      </c>
      <c r="GSY1336" s="4" t="s">
        <v>2880</v>
      </c>
      <c r="GSZ1336" s="4" t="s">
        <v>2880</v>
      </c>
      <c r="GTA1336" s="4" t="s">
        <v>2880</v>
      </c>
      <c r="GTB1336" s="4" t="s">
        <v>2880</v>
      </c>
      <c r="GTC1336" s="4" t="s">
        <v>2880</v>
      </c>
      <c r="GTD1336" s="4" t="s">
        <v>2880</v>
      </c>
      <c r="GTE1336" s="4" t="s">
        <v>2880</v>
      </c>
      <c r="GTF1336" s="4" t="s">
        <v>2880</v>
      </c>
      <c r="GTG1336" s="4" t="s">
        <v>2880</v>
      </c>
      <c r="GTH1336" s="4" t="s">
        <v>2880</v>
      </c>
      <c r="GTI1336" s="4" t="s">
        <v>2880</v>
      </c>
      <c r="GTJ1336" s="4" t="s">
        <v>2880</v>
      </c>
      <c r="GTK1336" s="4" t="s">
        <v>2880</v>
      </c>
      <c r="GTL1336" s="4" t="s">
        <v>2880</v>
      </c>
      <c r="GTM1336" s="4" t="s">
        <v>2880</v>
      </c>
      <c r="GTN1336" s="4" t="s">
        <v>2880</v>
      </c>
      <c r="GTO1336" s="4" t="s">
        <v>2880</v>
      </c>
      <c r="GTP1336" s="4" t="s">
        <v>2880</v>
      </c>
      <c r="GTQ1336" s="4" t="s">
        <v>2880</v>
      </c>
      <c r="GTR1336" s="4" t="s">
        <v>2880</v>
      </c>
      <c r="GTS1336" s="4" t="s">
        <v>2880</v>
      </c>
      <c r="GTT1336" s="4" t="s">
        <v>2880</v>
      </c>
      <c r="GTU1336" s="4" t="s">
        <v>2880</v>
      </c>
      <c r="GTV1336" s="4" t="s">
        <v>2880</v>
      </c>
      <c r="GTW1336" s="4" t="s">
        <v>2880</v>
      </c>
      <c r="GTX1336" s="4" t="s">
        <v>2880</v>
      </c>
      <c r="GTY1336" s="4" t="s">
        <v>2880</v>
      </c>
      <c r="GTZ1336" s="4" t="s">
        <v>2880</v>
      </c>
      <c r="GUA1336" s="4" t="s">
        <v>2880</v>
      </c>
      <c r="GUB1336" s="4" t="s">
        <v>2880</v>
      </c>
      <c r="GUC1336" s="4" t="s">
        <v>2880</v>
      </c>
      <c r="GUD1336" s="4" t="s">
        <v>2880</v>
      </c>
      <c r="GUE1336" s="4" t="s">
        <v>2880</v>
      </c>
      <c r="GUF1336" s="4" t="s">
        <v>2880</v>
      </c>
      <c r="GUG1336" s="4" t="s">
        <v>2880</v>
      </c>
      <c r="GUH1336" s="4" t="s">
        <v>2880</v>
      </c>
      <c r="GUI1336" s="4" t="s">
        <v>2880</v>
      </c>
      <c r="GUJ1336" s="4" t="s">
        <v>2880</v>
      </c>
      <c r="GUK1336" s="4" t="s">
        <v>2880</v>
      </c>
      <c r="GUL1336" s="4" t="s">
        <v>2880</v>
      </c>
      <c r="GUM1336" s="4" t="s">
        <v>2880</v>
      </c>
      <c r="GUN1336" s="4" t="s">
        <v>2880</v>
      </c>
      <c r="GUO1336" s="4" t="s">
        <v>2880</v>
      </c>
      <c r="GUP1336" s="4" t="s">
        <v>2880</v>
      </c>
      <c r="GUQ1336" s="4" t="s">
        <v>2880</v>
      </c>
      <c r="GUR1336" s="4" t="s">
        <v>2880</v>
      </c>
      <c r="GUS1336" s="4" t="s">
        <v>2880</v>
      </c>
      <c r="GUT1336" s="4" t="s">
        <v>2880</v>
      </c>
      <c r="GUU1336" s="4" t="s">
        <v>2880</v>
      </c>
      <c r="GUV1336" s="4" t="s">
        <v>2880</v>
      </c>
      <c r="GUW1336" s="4" t="s">
        <v>2880</v>
      </c>
      <c r="GUX1336" s="4" t="s">
        <v>2880</v>
      </c>
      <c r="GUY1336" s="4" t="s">
        <v>2880</v>
      </c>
      <c r="GUZ1336" s="4" t="s">
        <v>2880</v>
      </c>
      <c r="GVA1336" s="4" t="s">
        <v>2880</v>
      </c>
      <c r="GVB1336" s="4" t="s">
        <v>2880</v>
      </c>
      <c r="GVC1336" s="4" t="s">
        <v>2880</v>
      </c>
      <c r="GVD1336" s="4" t="s">
        <v>2880</v>
      </c>
      <c r="GVE1336" s="4" t="s">
        <v>2880</v>
      </c>
      <c r="GVF1336" s="4" t="s">
        <v>2880</v>
      </c>
      <c r="GVG1336" s="4" t="s">
        <v>2880</v>
      </c>
      <c r="GVH1336" s="4" t="s">
        <v>2880</v>
      </c>
      <c r="GVI1336" s="4" t="s">
        <v>2880</v>
      </c>
      <c r="GVJ1336" s="4" t="s">
        <v>2880</v>
      </c>
      <c r="GVK1336" s="4" t="s">
        <v>2880</v>
      </c>
      <c r="GVL1336" s="4" t="s">
        <v>2880</v>
      </c>
      <c r="GVM1336" s="4" t="s">
        <v>2880</v>
      </c>
      <c r="GVN1336" s="4" t="s">
        <v>2880</v>
      </c>
      <c r="GVO1336" s="4" t="s">
        <v>2880</v>
      </c>
      <c r="GVP1336" s="4" t="s">
        <v>2880</v>
      </c>
      <c r="GVQ1336" s="4" t="s">
        <v>2880</v>
      </c>
      <c r="GVR1336" s="4" t="s">
        <v>2880</v>
      </c>
      <c r="GVS1336" s="4" t="s">
        <v>2880</v>
      </c>
      <c r="GVT1336" s="4" t="s">
        <v>2880</v>
      </c>
      <c r="GVU1336" s="4" t="s">
        <v>2880</v>
      </c>
      <c r="GVV1336" s="4" t="s">
        <v>2880</v>
      </c>
      <c r="GVW1336" s="4" t="s">
        <v>2880</v>
      </c>
      <c r="GVX1336" s="4" t="s">
        <v>2880</v>
      </c>
      <c r="GVY1336" s="4" t="s">
        <v>2880</v>
      </c>
      <c r="GVZ1336" s="4" t="s">
        <v>2880</v>
      </c>
      <c r="GWA1336" s="4" t="s">
        <v>2880</v>
      </c>
      <c r="GWB1336" s="4" t="s">
        <v>2880</v>
      </c>
      <c r="GWC1336" s="4" t="s">
        <v>2880</v>
      </c>
      <c r="GWD1336" s="4" t="s">
        <v>2880</v>
      </c>
      <c r="GWE1336" s="4" t="s">
        <v>2880</v>
      </c>
      <c r="GWF1336" s="4" t="s">
        <v>2880</v>
      </c>
      <c r="GWG1336" s="4" t="s">
        <v>2880</v>
      </c>
      <c r="GWH1336" s="4" t="s">
        <v>2880</v>
      </c>
      <c r="GWI1336" s="4" t="s">
        <v>2880</v>
      </c>
      <c r="GWJ1336" s="4" t="s">
        <v>2880</v>
      </c>
      <c r="GWK1336" s="4" t="s">
        <v>2880</v>
      </c>
      <c r="GWL1336" s="4" t="s">
        <v>2880</v>
      </c>
      <c r="GWM1336" s="4" t="s">
        <v>2880</v>
      </c>
      <c r="GWN1336" s="4" t="s">
        <v>2880</v>
      </c>
      <c r="GWO1336" s="4" t="s">
        <v>2880</v>
      </c>
      <c r="GWP1336" s="4" t="s">
        <v>2880</v>
      </c>
      <c r="GWQ1336" s="4" t="s">
        <v>2880</v>
      </c>
      <c r="GWR1336" s="4" t="s">
        <v>2880</v>
      </c>
      <c r="GWS1336" s="4" t="s">
        <v>2880</v>
      </c>
      <c r="GWT1336" s="4" t="s">
        <v>2880</v>
      </c>
      <c r="GWU1336" s="4" t="s">
        <v>2880</v>
      </c>
      <c r="GWV1336" s="4" t="s">
        <v>2880</v>
      </c>
      <c r="GWW1336" s="4" t="s">
        <v>2880</v>
      </c>
      <c r="GWX1336" s="4" t="s">
        <v>2880</v>
      </c>
      <c r="GWY1336" s="4" t="s">
        <v>2880</v>
      </c>
      <c r="GWZ1336" s="4" t="s">
        <v>2880</v>
      </c>
      <c r="GXA1336" s="4" t="s">
        <v>2880</v>
      </c>
      <c r="GXB1336" s="4" t="s">
        <v>2880</v>
      </c>
      <c r="GXC1336" s="4" t="s">
        <v>2880</v>
      </c>
      <c r="GXD1336" s="4" t="s">
        <v>2880</v>
      </c>
      <c r="GXE1336" s="4" t="s">
        <v>2880</v>
      </c>
      <c r="GXF1336" s="4" t="s">
        <v>2880</v>
      </c>
      <c r="GXG1336" s="4" t="s">
        <v>2880</v>
      </c>
      <c r="GXH1336" s="4" t="s">
        <v>2880</v>
      </c>
      <c r="GXI1336" s="4" t="s">
        <v>2880</v>
      </c>
      <c r="GXJ1336" s="4" t="s">
        <v>2880</v>
      </c>
      <c r="GXK1336" s="4" t="s">
        <v>2880</v>
      </c>
      <c r="GXL1336" s="4" t="s">
        <v>2880</v>
      </c>
      <c r="GXM1336" s="4" t="s">
        <v>2880</v>
      </c>
      <c r="GXN1336" s="4" t="s">
        <v>2880</v>
      </c>
      <c r="GXO1336" s="4" t="s">
        <v>2880</v>
      </c>
      <c r="GXP1336" s="4" t="s">
        <v>2880</v>
      </c>
      <c r="GXQ1336" s="4" t="s">
        <v>2880</v>
      </c>
      <c r="GXR1336" s="4" t="s">
        <v>2880</v>
      </c>
      <c r="GXS1336" s="4" t="s">
        <v>2880</v>
      </c>
      <c r="GXT1336" s="4" t="s">
        <v>2880</v>
      </c>
      <c r="GXU1336" s="4" t="s">
        <v>2880</v>
      </c>
      <c r="GXV1336" s="4" t="s">
        <v>2880</v>
      </c>
      <c r="GXW1336" s="4" t="s">
        <v>2880</v>
      </c>
      <c r="GXX1336" s="4" t="s">
        <v>2880</v>
      </c>
      <c r="GXY1336" s="4" t="s">
        <v>2880</v>
      </c>
      <c r="GXZ1336" s="4" t="s">
        <v>2880</v>
      </c>
      <c r="GYA1336" s="4" t="s">
        <v>2880</v>
      </c>
      <c r="GYB1336" s="4" t="s">
        <v>2880</v>
      </c>
      <c r="GYC1336" s="4" t="s">
        <v>2880</v>
      </c>
      <c r="GYD1336" s="4" t="s">
        <v>2880</v>
      </c>
      <c r="GYE1336" s="4" t="s">
        <v>2880</v>
      </c>
      <c r="GYF1336" s="4" t="s">
        <v>2880</v>
      </c>
      <c r="GYG1336" s="4" t="s">
        <v>2880</v>
      </c>
      <c r="GYH1336" s="4" t="s">
        <v>2880</v>
      </c>
      <c r="GYI1336" s="4" t="s">
        <v>2880</v>
      </c>
      <c r="GYJ1336" s="4" t="s">
        <v>2880</v>
      </c>
      <c r="GYK1336" s="4" t="s">
        <v>2880</v>
      </c>
      <c r="GYL1336" s="4" t="s">
        <v>2880</v>
      </c>
      <c r="GYM1336" s="4" t="s">
        <v>2880</v>
      </c>
      <c r="GYN1336" s="4" t="s">
        <v>2880</v>
      </c>
      <c r="GYO1336" s="4" t="s">
        <v>2880</v>
      </c>
      <c r="GYP1336" s="4" t="s">
        <v>2880</v>
      </c>
      <c r="GYQ1336" s="4" t="s">
        <v>2880</v>
      </c>
      <c r="GYR1336" s="4" t="s">
        <v>2880</v>
      </c>
      <c r="GYS1336" s="4" t="s">
        <v>2880</v>
      </c>
      <c r="GYT1336" s="4" t="s">
        <v>2880</v>
      </c>
      <c r="GYU1336" s="4" t="s">
        <v>2880</v>
      </c>
      <c r="GYV1336" s="4" t="s">
        <v>2880</v>
      </c>
      <c r="GYW1336" s="4" t="s">
        <v>2880</v>
      </c>
      <c r="GYX1336" s="4" t="s">
        <v>2880</v>
      </c>
      <c r="GYY1336" s="4" t="s">
        <v>2880</v>
      </c>
      <c r="GYZ1336" s="4" t="s">
        <v>2880</v>
      </c>
      <c r="GZA1336" s="4" t="s">
        <v>2880</v>
      </c>
      <c r="GZB1336" s="4" t="s">
        <v>2880</v>
      </c>
      <c r="GZC1336" s="4" t="s">
        <v>2880</v>
      </c>
      <c r="GZD1336" s="4" t="s">
        <v>2880</v>
      </c>
      <c r="GZE1336" s="4" t="s">
        <v>2880</v>
      </c>
      <c r="GZF1336" s="4" t="s">
        <v>2880</v>
      </c>
      <c r="GZG1336" s="4" t="s">
        <v>2880</v>
      </c>
      <c r="GZH1336" s="4" t="s">
        <v>2880</v>
      </c>
      <c r="GZI1336" s="4" t="s">
        <v>2880</v>
      </c>
      <c r="GZJ1336" s="4" t="s">
        <v>2880</v>
      </c>
      <c r="GZK1336" s="4" t="s">
        <v>2880</v>
      </c>
      <c r="GZL1336" s="4" t="s">
        <v>2880</v>
      </c>
      <c r="GZM1336" s="4" t="s">
        <v>2880</v>
      </c>
      <c r="GZN1336" s="4" t="s">
        <v>2880</v>
      </c>
      <c r="GZO1336" s="4" t="s">
        <v>2880</v>
      </c>
      <c r="GZP1336" s="4" t="s">
        <v>2880</v>
      </c>
      <c r="GZQ1336" s="4" t="s">
        <v>2880</v>
      </c>
      <c r="GZR1336" s="4" t="s">
        <v>2880</v>
      </c>
      <c r="GZS1336" s="4" t="s">
        <v>2880</v>
      </c>
      <c r="GZT1336" s="4" t="s">
        <v>2880</v>
      </c>
      <c r="GZU1336" s="4" t="s">
        <v>2880</v>
      </c>
      <c r="GZV1336" s="4" t="s">
        <v>2880</v>
      </c>
      <c r="GZW1336" s="4" t="s">
        <v>2880</v>
      </c>
      <c r="GZX1336" s="4" t="s">
        <v>2880</v>
      </c>
      <c r="GZY1336" s="4" t="s">
        <v>2880</v>
      </c>
      <c r="GZZ1336" s="4" t="s">
        <v>2880</v>
      </c>
      <c r="HAA1336" s="4" t="s">
        <v>2880</v>
      </c>
      <c r="HAB1336" s="4" t="s">
        <v>2880</v>
      </c>
      <c r="HAC1336" s="4" t="s">
        <v>2880</v>
      </c>
      <c r="HAD1336" s="4" t="s">
        <v>2880</v>
      </c>
      <c r="HAE1336" s="4" t="s">
        <v>2880</v>
      </c>
      <c r="HAF1336" s="4" t="s">
        <v>2880</v>
      </c>
      <c r="HAG1336" s="4" t="s">
        <v>2880</v>
      </c>
      <c r="HAH1336" s="4" t="s">
        <v>2880</v>
      </c>
      <c r="HAI1336" s="4" t="s">
        <v>2880</v>
      </c>
      <c r="HAJ1336" s="4" t="s">
        <v>2880</v>
      </c>
      <c r="HAK1336" s="4" t="s">
        <v>2880</v>
      </c>
      <c r="HAL1336" s="4" t="s">
        <v>2880</v>
      </c>
      <c r="HAM1336" s="4" t="s">
        <v>2880</v>
      </c>
      <c r="HAN1336" s="4" t="s">
        <v>2880</v>
      </c>
      <c r="HAO1336" s="4" t="s">
        <v>2880</v>
      </c>
      <c r="HAP1336" s="4" t="s">
        <v>2880</v>
      </c>
      <c r="HAQ1336" s="4" t="s">
        <v>2880</v>
      </c>
      <c r="HAR1336" s="4" t="s">
        <v>2880</v>
      </c>
      <c r="HAS1336" s="4" t="s">
        <v>2880</v>
      </c>
      <c r="HAT1336" s="4" t="s">
        <v>2880</v>
      </c>
      <c r="HAU1336" s="4" t="s">
        <v>2880</v>
      </c>
      <c r="HAV1336" s="4" t="s">
        <v>2880</v>
      </c>
      <c r="HAW1336" s="4" t="s">
        <v>2880</v>
      </c>
      <c r="HAX1336" s="4" t="s">
        <v>2880</v>
      </c>
      <c r="HAY1336" s="4" t="s">
        <v>2880</v>
      </c>
      <c r="HAZ1336" s="4" t="s">
        <v>2880</v>
      </c>
      <c r="HBA1336" s="4" t="s">
        <v>2880</v>
      </c>
      <c r="HBB1336" s="4" t="s">
        <v>2880</v>
      </c>
      <c r="HBC1336" s="4" t="s">
        <v>2880</v>
      </c>
      <c r="HBD1336" s="4" t="s">
        <v>2880</v>
      </c>
      <c r="HBE1336" s="4" t="s">
        <v>2880</v>
      </c>
      <c r="HBF1336" s="4" t="s">
        <v>2880</v>
      </c>
      <c r="HBG1336" s="4" t="s">
        <v>2880</v>
      </c>
      <c r="HBH1336" s="4" t="s">
        <v>2880</v>
      </c>
      <c r="HBI1336" s="4" t="s">
        <v>2880</v>
      </c>
      <c r="HBJ1336" s="4" t="s">
        <v>2880</v>
      </c>
      <c r="HBK1336" s="4" t="s">
        <v>2880</v>
      </c>
      <c r="HBL1336" s="4" t="s">
        <v>2880</v>
      </c>
      <c r="HBM1336" s="4" t="s">
        <v>2880</v>
      </c>
      <c r="HBN1336" s="4" t="s">
        <v>2880</v>
      </c>
      <c r="HBO1336" s="4" t="s">
        <v>2880</v>
      </c>
      <c r="HBP1336" s="4" t="s">
        <v>2880</v>
      </c>
      <c r="HBQ1336" s="4" t="s">
        <v>2880</v>
      </c>
      <c r="HBR1336" s="4" t="s">
        <v>2880</v>
      </c>
      <c r="HBS1336" s="4" t="s">
        <v>2880</v>
      </c>
      <c r="HBT1336" s="4" t="s">
        <v>2880</v>
      </c>
      <c r="HBU1336" s="4" t="s">
        <v>2880</v>
      </c>
      <c r="HBV1336" s="4" t="s">
        <v>2880</v>
      </c>
      <c r="HBW1336" s="4" t="s">
        <v>2880</v>
      </c>
      <c r="HBX1336" s="4" t="s">
        <v>2880</v>
      </c>
      <c r="HBY1336" s="4" t="s">
        <v>2880</v>
      </c>
      <c r="HBZ1336" s="4" t="s">
        <v>2880</v>
      </c>
      <c r="HCA1336" s="4" t="s">
        <v>2880</v>
      </c>
      <c r="HCB1336" s="4" t="s">
        <v>2880</v>
      </c>
      <c r="HCC1336" s="4" t="s">
        <v>2880</v>
      </c>
      <c r="HCD1336" s="4" t="s">
        <v>2880</v>
      </c>
      <c r="HCE1336" s="4" t="s">
        <v>2880</v>
      </c>
      <c r="HCF1336" s="4" t="s">
        <v>2880</v>
      </c>
      <c r="HCG1336" s="4" t="s">
        <v>2880</v>
      </c>
      <c r="HCH1336" s="4" t="s">
        <v>2880</v>
      </c>
      <c r="HCI1336" s="4" t="s">
        <v>2880</v>
      </c>
      <c r="HCJ1336" s="4" t="s">
        <v>2880</v>
      </c>
      <c r="HCK1336" s="4" t="s">
        <v>2880</v>
      </c>
      <c r="HCL1336" s="4" t="s">
        <v>2880</v>
      </c>
      <c r="HCM1336" s="4" t="s">
        <v>2880</v>
      </c>
      <c r="HCN1336" s="4" t="s">
        <v>2880</v>
      </c>
      <c r="HCO1336" s="4" t="s">
        <v>2880</v>
      </c>
      <c r="HCP1336" s="4" t="s">
        <v>2880</v>
      </c>
      <c r="HCQ1336" s="4" t="s">
        <v>2880</v>
      </c>
      <c r="HCR1336" s="4" t="s">
        <v>2880</v>
      </c>
      <c r="HCS1336" s="4" t="s">
        <v>2880</v>
      </c>
      <c r="HCT1336" s="4" t="s">
        <v>2880</v>
      </c>
      <c r="HCU1336" s="4" t="s">
        <v>2880</v>
      </c>
      <c r="HCV1336" s="4" t="s">
        <v>2880</v>
      </c>
      <c r="HCW1336" s="4" t="s">
        <v>2880</v>
      </c>
      <c r="HCX1336" s="4" t="s">
        <v>2880</v>
      </c>
      <c r="HCY1336" s="4" t="s">
        <v>2880</v>
      </c>
      <c r="HCZ1336" s="4" t="s">
        <v>2880</v>
      </c>
      <c r="HDA1336" s="4" t="s">
        <v>2880</v>
      </c>
      <c r="HDB1336" s="4" t="s">
        <v>2880</v>
      </c>
      <c r="HDC1336" s="4" t="s">
        <v>2880</v>
      </c>
      <c r="HDD1336" s="4" t="s">
        <v>2880</v>
      </c>
      <c r="HDE1336" s="4" t="s">
        <v>2880</v>
      </c>
      <c r="HDF1336" s="4" t="s">
        <v>2880</v>
      </c>
      <c r="HDG1336" s="4" t="s">
        <v>2880</v>
      </c>
      <c r="HDH1336" s="4" t="s">
        <v>2880</v>
      </c>
      <c r="HDI1336" s="4" t="s">
        <v>2880</v>
      </c>
      <c r="HDJ1336" s="4" t="s">
        <v>2880</v>
      </c>
      <c r="HDK1336" s="4" t="s">
        <v>2880</v>
      </c>
      <c r="HDL1336" s="4" t="s">
        <v>2880</v>
      </c>
      <c r="HDM1336" s="4" t="s">
        <v>2880</v>
      </c>
      <c r="HDN1336" s="4" t="s">
        <v>2880</v>
      </c>
      <c r="HDO1336" s="4" t="s">
        <v>2880</v>
      </c>
      <c r="HDP1336" s="4" t="s">
        <v>2880</v>
      </c>
      <c r="HDQ1336" s="4" t="s">
        <v>2880</v>
      </c>
      <c r="HDR1336" s="4" t="s">
        <v>2880</v>
      </c>
      <c r="HDS1336" s="4" t="s">
        <v>2880</v>
      </c>
      <c r="HDT1336" s="4" t="s">
        <v>2880</v>
      </c>
      <c r="HDU1336" s="4" t="s">
        <v>2880</v>
      </c>
      <c r="HDV1336" s="4" t="s">
        <v>2880</v>
      </c>
      <c r="HDW1336" s="4" t="s">
        <v>2880</v>
      </c>
      <c r="HDX1336" s="4" t="s">
        <v>2880</v>
      </c>
      <c r="HDY1336" s="4" t="s">
        <v>2880</v>
      </c>
      <c r="HDZ1336" s="4" t="s">
        <v>2880</v>
      </c>
      <c r="HEA1336" s="4" t="s">
        <v>2880</v>
      </c>
      <c r="HEB1336" s="4" t="s">
        <v>2880</v>
      </c>
      <c r="HEC1336" s="4" t="s">
        <v>2880</v>
      </c>
      <c r="HED1336" s="4" t="s">
        <v>2880</v>
      </c>
      <c r="HEE1336" s="4" t="s">
        <v>2880</v>
      </c>
      <c r="HEF1336" s="4" t="s">
        <v>2880</v>
      </c>
      <c r="HEG1336" s="4" t="s">
        <v>2880</v>
      </c>
      <c r="HEH1336" s="4" t="s">
        <v>2880</v>
      </c>
      <c r="HEI1336" s="4" t="s">
        <v>2880</v>
      </c>
      <c r="HEJ1336" s="4" t="s">
        <v>2880</v>
      </c>
      <c r="HEK1336" s="4" t="s">
        <v>2880</v>
      </c>
      <c r="HEL1336" s="4" t="s">
        <v>2880</v>
      </c>
      <c r="HEM1336" s="4" t="s">
        <v>2880</v>
      </c>
      <c r="HEN1336" s="4" t="s">
        <v>2880</v>
      </c>
      <c r="HEO1336" s="4" t="s">
        <v>2880</v>
      </c>
      <c r="HEP1336" s="4" t="s">
        <v>2880</v>
      </c>
      <c r="HEQ1336" s="4" t="s">
        <v>2880</v>
      </c>
      <c r="HER1336" s="4" t="s">
        <v>2880</v>
      </c>
      <c r="HES1336" s="4" t="s">
        <v>2880</v>
      </c>
      <c r="HET1336" s="4" t="s">
        <v>2880</v>
      </c>
      <c r="HEU1336" s="4" t="s">
        <v>2880</v>
      </c>
      <c r="HEV1336" s="4" t="s">
        <v>2880</v>
      </c>
      <c r="HEW1336" s="4" t="s">
        <v>2880</v>
      </c>
      <c r="HEX1336" s="4" t="s">
        <v>2880</v>
      </c>
      <c r="HEY1336" s="4" t="s">
        <v>2880</v>
      </c>
      <c r="HEZ1336" s="4" t="s">
        <v>2880</v>
      </c>
      <c r="HFA1336" s="4" t="s">
        <v>2880</v>
      </c>
      <c r="HFB1336" s="4" t="s">
        <v>2880</v>
      </c>
      <c r="HFC1336" s="4" t="s">
        <v>2880</v>
      </c>
      <c r="HFD1336" s="4" t="s">
        <v>2880</v>
      </c>
      <c r="HFE1336" s="4" t="s">
        <v>2880</v>
      </c>
      <c r="HFF1336" s="4" t="s">
        <v>2880</v>
      </c>
      <c r="HFG1336" s="4" t="s">
        <v>2880</v>
      </c>
      <c r="HFH1336" s="4" t="s">
        <v>2880</v>
      </c>
      <c r="HFI1336" s="4" t="s">
        <v>2880</v>
      </c>
      <c r="HFJ1336" s="4" t="s">
        <v>2880</v>
      </c>
      <c r="HFK1336" s="4" t="s">
        <v>2880</v>
      </c>
      <c r="HFL1336" s="4" t="s">
        <v>2880</v>
      </c>
      <c r="HFM1336" s="4" t="s">
        <v>2880</v>
      </c>
      <c r="HFN1336" s="4" t="s">
        <v>2880</v>
      </c>
      <c r="HFO1336" s="4" t="s">
        <v>2880</v>
      </c>
      <c r="HFP1336" s="4" t="s">
        <v>2880</v>
      </c>
      <c r="HFQ1336" s="4" t="s">
        <v>2880</v>
      </c>
      <c r="HFR1336" s="4" t="s">
        <v>2880</v>
      </c>
      <c r="HFS1336" s="4" t="s">
        <v>2880</v>
      </c>
      <c r="HFT1336" s="4" t="s">
        <v>2880</v>
      </c>
      <c r="HFU1336" s="4" t="s">
        <v>2880</v>
      </c>
      <c r="HFV1336" s="4" t="s">
        <v>2880</v>
      </c>
      <c r="HFW1336" s="4" t="s">
        <v>2880</v>
      </c>
      <c r="HFX1336" s="4" t="s">
        <v>2880</v>
      </c>
      <c r="HFY1336" s="4" t="s">
        <v>2880</v>
      </c>
      <c r="HFZ1336" s="4" t="s">
        <v>2880</v>
      </c>
      <c r="HGA1336" s="4" t="s">
        <v>2880</v>
      </c>
      <c r="HGB1336" s="4" t="s">
        <v>2880</v>
      </c>
      <c r="HGC1336" s="4" t="s">
        <v>2880</v>
      </c>
      <c r="HGD1336" s="4" t="s">
        <v>2880</v>
      </c>
      <c r="HGE1336" s="4" t="s">
        <v>2880</v>
      </c>
      <c r="HGF1336" s="4" t="s">
        <v>2880</v>
      </c>
      <c r="HGG1336" s="4" t="s">
        <v>2880</v>
      </c>
      <c r="HGH1336" s="4" t="s">
        <v>2880</v>
      </c>
      <c r="HGI1336" s="4" t="s">
        <v>2880</v>
      </c>
      <c r="HGJ1336" s="4" t="s">
        <v>2880</v>
      </c>
      <c r="HGK1336" s="4" t="s">
        <v>2880</v>
      </c>
      <c r="HGL1336" s="4" t="s">
        <v>2880</v>
      </c>
      <c r="HGM1336" s="4" t="s">
        <v>2880</v>
      </c>
      <c r="HGN1336" s="4" t="s">
        <v>2880</v>
      </c>
      <c r="HGO1336" s="4" t="s">
        <v>2880</v>
      </c>
      <c r="HGP1336" s="4" t="s">
        <v>2880</v>
      </c>
      <c r="HGQ1336" s="4" t="s">
        <v>2880</v>
      </c>
      <c r="HGR1336" s="4" t="s">
        <v>2880</v>
      </c>
      <c r="HGS1336" s="4" t="s">
        <v>2880</v>
      </c>
      <c r="HGT1336" s="4" t="s">
        <v>2880</v>
      </c>
      <c r="HGU1336" s="4" t="s">
        <v>2880</v>
      </c>
      <c r="HGV1336" s="4" t="s">
        <v>2880</v>
      </c>
      <c r="HGW1336" s="4" t="s">
        <v>2880</v>
      </c>
      <c r="HGX1336" s="4" t="s">
        <v>2880</v>
      </c>
      <c r="HGY1336" s="4" t="s">
        <v>2880</v>
      </c>
      <c r="HGZ1336" s="4" t="s">
        <v>2880</v>
      </c>
      <c r="HHA1336" s="4" t="s">
        <v>2880</v>
      </c>
      <c r="HHB1336" s="4" t="s">
        <v>2880</v>
      </c>
      <c r="HHC1336" s="4" t="s">
        <v>2880</v>
      </c>
      <c r="HHD1336" s="4" t="s">
        <v>2880</v>
      </c>
      <c r="HHE1336" s="4" t="s">
        <v>2880</v>
      </c>
      <c r="HHF1336" s="4" t="s">
        <v>2880</v>
      </c>
      <c r="HHG1336" s="4" t="s">
        <v>2880</v>
      </c>
      <c r="HHH1336" s="4" t="s">
        <v>2880</v>
      </c>
      <c r="HHI1336" s="4" t="s">
        <v>2880</v>
      </c>
      <c r="HHJ1336" s="4" t="s">
        <v>2880</v>
      </c>
      <c r="HHK1336" s="4" t="s">
        <v>2880</v>
      </c>
      <c r="HHL1336" s="4" t="s">
        <v>2880</v>
      </c>
      <c r="HHM1336" s="4" t="s">
        <v>2880</v>
      </c>
      <c r="HHN1336" s="4" t="s">
        <v>2880</v>
      </c>
      <c r="HHO1336" s="4" t="s">
        <v>2880</v>
      </c>
      <c r="HHP1336" s="4" t="s">
        <v>2880</v>
      </c>
      <c r="HHQ1336" s="4" t="s">
        <v>2880</v>
      </c>
      <c r="HHR1336" s="4" t="s">
        <v>2880</v>
      </c>
      <c r="HHS1336" s="4" t="s">
        <v>2880</v>
      </c>
      <c r="HHT1336" s="4" t="s">
        <v>2880</v>
      </c>
      <c r="HHU1336" s="4" t="s">
        <v>2880</v>
      </c>
      <c r="HHV1336" s="4" t="s">
        <v>2880</v>
      </c>
      <c r="HHW1336" s="4" t="s">
        <v>2880</v>
      </c>
      <c r="HHX1336" s="4" t="s">
        <v>2880</v>
      </c>
      <c r="HHY1336" s="4" t="s">
        <v>2880</v>
      </c>
      <c r="HHZ1336" s="4" t="s">
        <v>2880</v>
      </c>
      <c r="HIA1336" s="4" t="s">
        <v>2880</v>
      </c>
      <c r="HIB1336" s="4" t="s">
        <v>2880</v>
      </c>
      <c r="HIC1336" s="4" t="s">
        <v>2880</v>
      </c>
      <c r="HID1336" s="4" t="s">
        <v>2880</v>
      </c>
      <c r="HIE1336" s="4" t="s">
        <v>2880</v>
      </c>
      <c r="HIF1336" s="4" t="s">
        <v>2880</v>
      </c>
      <c r="HIG1336" s="4" t="s">
        <v>2880</v>
      </c>
      <c r="HIH1336" s="4" t="s">
        <v>2880</v>
      </c>
      <c r="HII1336" s="4" t="s">
        <v>2880</v>
      </c>
      <c r="HIJ1336" s="4" t="s">
        <v>2880</v>
      </c>
      <c r="HIK1336" s="4" t="s">
        <v>2880</v>
      </c>
      <c r="HIL1336" s="4" t="s">
        <v>2880</v>
      </c>
      <c r="HIM1336" s="4" t="s">
        <v>2880</v>
      </c>
      <c r="HIN1336" s="4" t="s">
        <v>2880</v>
      </c>
      <c r="HIO1336" s="4" t="s">
        <v>2880</v>
      </c>
      <c r="HIP1336" s="4" t="s">
        <v>2880</v>
      </c>
      <c r="HIQ1336" s="4" t="s">
        <v>2880</v>
      </c>
      <c r="HIR1336" s="4" t="s">
        <v>2880</v>
      </c>
      <c r="HIS1336" s="4" t="s">
        <v>2880</v>
      </c>
      <c r="HIT1336" s="4" t="s">
        <v>2880</v>
      </c>
      <c r="HIU1336" s="4" t="s">
        <v>2880</v>
      </c>
      <c r="HIV1336" s="4" t="s">
        <v>2880</v>
      </c>
      <c r="HIW1336" s="4" t="s">
        <v>2880</v>
      </c>
      <c r="HIX1336" s="4" t="s">
        <v>2880</v>
      </c>
      <c r="HIY1336" s="4" t="s">
        <v>2880</v>
      </c>
      <c r="HIZ1336" s="4" t="s">
        <v>2880</v>
      </c>
      <c r="HJA1336" s="4" t="s">
        <v>2880</v>
      </c>
      <c r="HJB1336" s="4" t="s">
        <v>2880</v>
      </c>
      <c r="HJC1336" s="4" t="s">
        <v>2880</v>
      </c>
      <c r="HJD1336" s="4" t="s">
        <v>2880</v>
      </c>
      <c r="HJE1336" s="4" t="s">
        <v>2880</v>
      </c>
      <c r="HJF1336" s="4" t="s">
        <v>2880</v>
      </c>
      <c r="HJG1336" s="4" t="s">
        <v>2880</v>
      </c>
      <c r="HJH1336" s="4" t="s">
        <v>2880</v>
      </c>
      <c r="HJI1336" s="4" t="s">
        <v>2880</v>
      </c>
      <c r="HJJ1336" s="4" t="s">
        <v>2880</v>
      </c>
      <c r="HJK1336" s="4" t="s">
        <v>2880</v>
      </c>
      <c r="HJL1336" s="4" t="s">
        <v>2880</v>
      </c>
      <c r="HJM1336" s="4" t="s">
        <v>2880</v>
      </c>
      <c r="HJN1336" s="4" t="s">
        <v>2880</v>
      </c>
      <c r="HJO1336" s="4" t="s">
        <v>2880</v>
      </c>
      <c r="HJP1336" s="4" t="s">
        <v>2880</v>
      </c>
      <c r="HJQ1336" s="4" t="s">
        <v>2880</v>
      </c>
      <c r="HJR1336" s="4" t="s">
        <v>2880</v>
      </c>
      <c r="HJS1336" s="4" t="s">
        <v>2880</v>
      </c>
      <c r="HJT1336" s="4" t="s">
        <v>2880</v>
      </c>
      <c r="HJU1336" s="4" t="s">
        <v>2880</v>
      </c>
      <c r="HJV1336" s="4" t="s">
        <v>2880</v>
      </c>
      <c r="HJW1336" s="4" t="s">
        <v>2880</v>
      </c>
      <c r="HJX1336" s="4" t="s">
        <v>2880</v>
      </c>
      <c r="HJY1336" s="4" t="s">
        <v>2880</v>
      </c>
      <c r="HJZ1336" s="4" t="s">
        <v>2880</v>
      </c>
      <c r="HKA1336" s="4" t="s">
        <v>2880</v>
      </c>
      <c r="HKB1336" s="4" t="s">
        <v>2880</v>
      </c>
      <c r="HKC1336" s="4" t="s">
        <v>2880</v>
      </c>
      <c r="HKD1336" s="4" t="s">
        <v>2880</v>
      </c>
      <c r="HKE1336" s="4" t="s">
        <v>2880</v>
      </c>
      <c r="HKF1336" s="4" t="s">
        <v>2880</v>
      </c>
      <c r="HKG1336" s="4" t="s">
        <v>2880</v>
      </c>
      <c r="HKH1336" s="4" t="s">
        <v>2880</v>
      </c>
      <c r="HKI1336" s="4" t="s">
        <v>2880</v>
      </c>
      <c r="HKJ1336" s="4" t="s">
        <v>2880</v>
      </c>
      <c r="HKK1336" s="4" t="s">
        <v>2880</v>
      </c>
      <c r="HKL1336" s="4" t="s">
        <v>2880</v>
      </c>
      <c r="HKM1336" s="4" t="s">
        <v>2880</v>
      </c>
      <c r="HKN1336" s="4" t="s">
        <v>2880</v>
      </c>
      <c r="HKO1336" s="4" t="s">
        <v>2880</v>
      </c>
      <c r="HKP1336" s="4" t="s">
        <v>2880</v>
      </c>
      <c r="HKQ1336" s="4" t="s">
        <v>2880</v>
      </c>
      <c r="HKR1336" s="4" t="s">
        <v>2880</v>
      </c>
      <c r="HKS1336" s="4" t="s">
        <v>2880</v>
      </c>
      <c r="HKT1336" s="4" t="s">
        <v>2880</v>
      </c>
      <c r="HKU1336" s="4" t="s">
        <v>2880</v>
      </c>
      <c r="HKV1336" s="4" t="s">
        <v>2880</v>
      </c>
      <c r="HKW1336" s="4" t="s">
        <v>2880</v>
      </c>
      <c r="HKX1336" s="4" t="s">
        <v>2880</v>
      </c>
      <c r="HKY1336" s="4" t="s">
        <v>2880</v>
      </c>
      <c r="HKZ1336" s="4" t="s">
        <v>2880</v>
      </c>
      <c r="HLA1336" s="4" t="s">
        <v>2880</v>
      </c>
      <c r="HLB1336" s="4" t="s">
        <v>2880</v>
      </c>
      <c r="HLC1336" s="4" t="s">
        <v>2880</v>
      </c>
      <c r="HLD1336" s="4" t="s">
        <v>2880</v>
      </c>
      <c r="HLE1336" s="4" t="s">
        <v>2880</v>
      </c>
      <c r="HLF1336" s="4" t="s">
        <v>2880</v>
      </c>
      <c r="HLG1336" s="4" t="s">
        <v>2880</v>
      </c>
      <c r="HLH1336" s="4" t="s">
        <v>2880</v>
      </c>
      <c r="HLI1336" s="4" t="s">
        <v>2880</v>
      </c>
      <c r="HLJ1336" s="4" t="s">
        <v>2880</v>
      </c>
      <c r="HLK1336" s="4" t="s">
        <v>2880</v>
      </c>
      <c r="HLL1336" s="4" t="s">
        <v>2880</v>
      </c>
      <c r="HLM1336" s="4" t="s">
        <v>2880</v>
      </c>
      <c r="HLN1336" s="4" t="s">
        <v>2880</v>
      </c>
      <c r="HLO1336" s="4" t="s">
        <v>2880</v>
      </c>
      <c r="HLP1336" s="4" t="s">
        <v>2880</v>
      </c>
      <c r="HLQ1336" s="4" t="s">
        <v>2880</v>
      </c>
      <c r="HLR1336" s="4" t="s">
        <v>2880</v>
      </c>
      <c r="HLS1336" s="4" t="s">
        <v>2880</v>
      </c>
      <c r="HLT1336" s="4" t="s">
        <v>2880</v>
      </c>
      <c r="HLU1336" s="4" t="s">
        <v>2880</v>
      </c>
      <c r="HLV1336" s="4" t="s">
        <v>2880</v>
      </c>
      <c r="HLW1336" s="4" t="s">
        <v>2880</v>
      </c>
      <c r="HLX1336" s="4" t="s">
        <v>2880</v>
      </c>
      <c r="HLY1336" s="4" t="s">
        <v>2880</v>
      </c>
      <c r="HLZ1336" s="4" t="s">
        <v>2880</v>
      </c>
      <c r="HMA1336" s="4" t="s">
        <v>2880</v>
      </c>
      <c r="HMB1336" s="4" t="s">
        <v>2880</v>
      </c>
      <c r="HMC1336" s="4" t="s">
        <v>2880</v>
      </c>
      <c r="HMD1336" s="4" t="s">
        <v>2880</v>
      </c>
      <c r="HME1336" s="4" t="s">
        <v>2880</v>
      </c>
      <c r="HMF1336" s="4" t="s">
        <v>2880</v>
      </c>
      <c r="HMG1336" s="4" t="s">
        <v>2880</v>
      </c>
      <c r="HMH1336" s="4" t="s">
        <v>2880</v>
      </c>
      <c r="HMI1336" s="4" t="s">
        <v>2880</v>
      </c>
      <c r="HMJ1336" s="4" t="s">
        <v>2880</v>
      </c>
      <c r="HMK1336" s="4" t="s">
        <v>2880</v>
      </c>
      <c r="HML1336" s="4" t="s">
        <v>2880</v>
      </c>
      <c r="HMM1336" s="4" t="s">
        <v>2880</v>
      </c>
      <c r="HMN1336" s="4" t="s">
        <v>2880</v>
      </c>
      <c r="HMO1336" s="4" t="s">
        <v>2880</v>
      </c>
      <c r="HMP1336" s="4" t="s">
        <v>2880</v>
      </c>
      <c r="HMQ1336" s="4" t="s">
        <v>2880</v>
      </c>
      <c r="HMR1336" s="4" t="s">
        <v>2880</v>
      </c>
      <c r="HMS1336" s="4" t="s">
        <v>2880</v>
      </c>
      <c r="HMT1336" s="4" t="s">
        <v>2880</v>
      </c>
      <c r="HMU1336" s="4" t="s">
        <v>2880</v>
      </c>
      <c r="HMV1336" s="4" t="s">
        <v>2880</v>
      </c>
      <c r="HMW1336" s="4" t="s">
        <v>2880</v>
      </c>
      <c r="HMX1336" s="4" t="s">
        <v>2880</v>
      </c>
      <c r="HMY1336" s="4" t="s">
        <v>2880</v>
      </c>
      <c r="HMZ1336" s="4" t="s">
        <v>2880</v>
      </c>
      <c r="HNA1336" s="4" t="s">
        <v>2880</v>
      </c>
      <c r="HNB1336" s="4" t="s">
        <v>2880</v>
      </c>
      <c r="HNC1336" s="4" t="s">
        <v>2880</v>
      </c>
      <c r="HND1336" s="4" t="s">
        <v>2880</v>
      </c>
      <c r="HNE1336" s="4" t="s">
        <v>2880</v>
      </c>
      <c r="HNF1336" s="4" t="s">
        <v>2880</v>
      </c>
      <c r="HNG1336" s="4" t="s">
        <v>2880</v>
      </c>
      <c r="HNH1336" s="4" t="s">
        <v>2880</v>
      </c>
      <c r="HNI1336" s="4" t="s">
        <v>2880</v>
      </c>
      <c r="HNJ1336" s="4" t="s">
        <v>2880</v>
      </c>
      <c r="HNK1336" s="4" t="s">
        <v>2880</v>
      </c>
      <c r="HNL1336" s="4" t="s">
        <v>2880</v>
      </c>
      <c r="HNM1336" s="4" t="s">
        <v>2880</v>
      </c>
      <c r="HNN1336" s="4" t="s">
        <v>2880</v>
      </c>
      <c r="HNO1336" s="4" t="s">
        <v>2880</v>
      </c>
      <c r="HNP1336" s="4" t="s">
        <v>2880</v>
      </c>
      <c r="HNQ1336" s="4" t="s">
        <v>2880</v>
      </c>
      <c r="HNR1336" s="4" t="s">
        <v>2880</v>
      </c>
      <c r="HNS1336" s="4" t="s">
        <v>2880</v>
      </c>
      <c r="HNT1336" s="4" t="s">
        <v>2880</v>
      </c>
      <c r="HNU1336" s="4" t="s">
        <v>2880</v>
      </c>
      <c r="HNV1336" s="4" t="s">
        <v>2880</v>
      </c>
      <c r="HNW1336" s="4" t="s">
        <v>2880</v>
      </c>
      <c r="HNX1336" s="4" t="s">
        <v>2880</v>
      </c>
      <c r="HNY1336" s="4" t="s">
        <v>2880</v>
      </c>
      <c r="HNZ1336" s="4" t="s">
        <v>2880</v>
      </c>
      <c r="HOA1336" s="4" t="s">
        <v>2880</v>
      </c>
      <c r="HOB1336" s="4" t="s">
        <v>2880</v>
      </c>
      <c r="HOC1336" s="4" t="s">
        <v>2880</v>
      </c>
      <c r="HOD1336" s="4" t="s">
        <v>2880</v>
      </c>
      <c r="HOE1336" s="4" t="s">
        <v>2880</v>
      </c>
      <c r="HOF1336" s="4" t="s">
        <v>2880</v>
      </c>
      <c r="HOG1336" s="4" t="s">
        <v>2880</v>
      </c>
      <c r="HOH1336" s="4" t="s">
        <v>2880</v>
      </c>
      <c r="HOI1336" s="4" t="s">
        <v>2880</v>
      </c>
      <c r="HOJ1336" s="4" t="s">
        <v>2880</v>
      </c>
      <c r="HOK1336" s="4" t="s">
        <v>2880</v>
      </c>
      <c r="HOL1336" s="4" t="s">
        <v>2880</v>
      </c>
      <c r="HOM1336" s="4" t="s">
        <v>2880</v>
      </c>
      <c r="HON1336" s="4" t="s">
        <v>2880</v>
      </c>
      <c r="HOO1336" s="4" t="s">
        <v>2880</v>
      </c>
      <c r="HOP1336" s="4" t="s">
        <v>2880</v>
      </c>
      <c r="HOQ1336" s="4" t="s">
        <v>2880</v>
      </c>
      <c r="HOR1336" s="4" t="s">
        <v>2880</v>
      </c>
      <c r="HOS1336" s="4" t="s">
        <v>2880</v>
      </c>
      <c r="HOT1336" s="4" t="s">
        <v>2880</v>
      </c>
      <c r="HOU1336" s="4" t="s">
        <v>2880</v>
      </c>
      <c r="HOV1336" s="4" t="s">
        <v>2880</v>
      </c>
      <c r="HOW1336" s="4" t="s">
        <v>2880</v>
      </c>
      <c r="HOX1336" s="4" t="s">
        <v>2880</v>
      </c>
      <c r="HOY1336" s="4" t="s">
        <v>2880</v>
      </c>
      <c r="HOZ1336" s="4" t="s">
        <v>2880</v>
      </c>
      <c r="HPA1336" s="4" t="s">
        <v>2880</v>
      </c>
      <c r="HPB1336" s="4" t="s">
        <v>2880</v>
      </c>
      <c r="HPC1336" s="4" t="s">
        <v>2880</v>
      </c>
      <c r="HPD1336" s="4" t="s">
        <v>2880</v>
      </c>
      <c r="HPE1336" s="4" t="s">
        <v>2880</v>
      </c>
      <c r="HPF1336" s="4" t="s">
        <v>2880</v>
      </c>
      <c r="HPG1336" s="4" t="s">
        <v>2880</v>
      </c>
      <c r="HPH1336" s="4" t="s">
        <v>2880</v>
      </c>
      <c r="HPI1336" s="4" t="s">
        <v>2880</v>
      </c>
      <c r="HPJ1336" s="4" t="s">
        <v>2880</v>
      </c>
      <c r="HPK1336" s="4" t="s">
        <v>2880</v>
      </c>
      <c r="HPL1336" s="4" t="s">
        <v>2880</v>
      </c>
      <c r="HPM1336" s="4" t="s">
        <v>2880</v>
      </c>
      <c r="HPN1336" s="4" t="s">
        <v>2880</v>
      </c>
      <c r="HPO1336" s="4" t="s">
        <v>2880</v>
      </c>
      <c r="HPP1336" s="4" t="s">
        <v>2880</v>
      </c>
      <c r="HPQ1336" s="4" t="s">
        <v>2880</v>
      </c>
      <c r="HPR1336" s="4" t="s">
        <v>2880</v>
      </c>
      <c r="HPS1336" s="4" t="s">
        <v>2880</v>
      </c>
      <c r="HPT1336" s="4" t="s">
        <v>2880</v>
      </c>
      <c r="HPU1336" s="4" t="s">
        <v>2880</v>
      </c>
      <c r="HPV1336" s="4" t="s">
        <v>2880</v>
      </c>
      <c r="HPW1336" s="4" t="s">
        <v>2880</v>
      </c>
      <c r="HPX1336" s="4" t="s">
        <v>2880</v>
      </c>
      <c r="HPY1336" s="4" t="s">
        <v>2880</v>
      </c>
      <c r="HPZ1336" s="4" t="s">
        <v>2880</v>
      </c>
      <c r="HQA1336" s="4" t="s">
        <v>2880</v>
      </c>
      <c r="HQB1336" s="4" t="s">
        <v>2880</v>
      </c>
      <c r="HQC1336" s="4" t="s">
        <v>2880</v>
      </c>
      <c r="HQD1336" s="4" t="s">
        <v>2880</v>
      </c>
      <c r="HQE1336" s="4" t="s">
        <v>2880</v>
      </c>
      <c r="HQF1336" s="4" t="s">
        <v>2880</v>
      </c>
      <c r="HQG1336" s="4" t="s">
        <v>2880</v>
      </c>
      <c r="HQH1336" s="4" t="s">
        <v>2880</v>
      </c>
      <c r="HQI1336" s="4" t="s">
        <v>2880</v>
      </c>
      <c r="HQJ1336" s="4" t="s">
        <v>2880</v>
      </c>
      <c r="HQK1336" s="4" t="s">
        <v>2880</v>
      </c>
      <c r="HQL1336" s="4" t="s">
        <v>2880</v>
      </c>
      <c r="HQM1336" s="4" t="s">
        <v>2880</v>
      </c>
      <c r="HQN1336" s="4" t="s">
        <v>2880</v>
      </c>
      <c r="HQO1336" s="4" t="s">
        <v>2880</v>
      </c>
      <c r="HQP1336" s="4" t="s">
        <v>2880</v>
      </c>
      <c r="HQQ1336" s="4" t="s">
        <v>2880</v>
      </c>
      <c r="HQR1336" s="4" t="s">
        <v>2880</v>
      </c>
      <c r="HQS1336" s="4" t="s">
        <v>2880</v>
      </c>
      <c r="HQT1336" s="4" t="s">
        <v>2880</v>
      </c>
      <c r="HQU1336" s="4" t="s">
        <v>2880</v>
      </c>
      <c r="HQV1336" s="4" t="s">
        <v>2880</v>
      </c>
      <c r="HQW1336" s="4" t="s">
        <v>2880</v>
      </c>
      <c r="HQX1336" s="4" t="s">
        <v>2880</v>
      </c>
      <c r="HQY1336" s="4" t="s">
        <v>2880</v>
      </c>
      <c r="HQZ1336" s="4" t="s">
        <v>2880</v>
      </c>
      <c r="HRA1336" s="4" t="s">
        <v>2880</v>
      </c>
      <c r="HRB1336" s="4" t="s">
        <v>2880</v>
      </c>
      <c r="HRC1336" s="4" t="s">
        <v>2880</v>
      </c>
      <c r="HRD1336" s="4" t="s">
        <v>2880</v>
      </c>
      <c r="HRE1336" s="4" t="s">
        <v>2880</v>
      </c>
      <c r="HRF1336" s="4" t="s">
        <v>2880</v>
      </c>
      <c r="HRG1336" s="4" t="s">
        <v>2880</v>
      </c>
      <c r="HRH1336" s="4" t="s">
        <v>2880</v>
      </c>
      <c r="HRI1336" s="4" t="s">
        <v>2880</v>
      </c>
      <c r="HRJ1336" s="4" t="s">
        <v>2880</v>
      </c>
      <c r="HRK1336" s="4" t="s">
        <v>2880</v>
      </c>
      <c r="HRL1336" s="4" t="s">
        <v>2880</v>
      </c>
      <c r="HRM1336" s="4" t="s">
        <v>2880</v>
      </c>
      <c r="HRN1336" s="4" t="s">
        <v>2880</v>
      </c>
      <c r="HRO1336" s="4" t="s">
        <v>2880</v>
      </c>
      <c r="HRP1336" s="4" t="s">
        <v>2880</v>
      </c>
      <c r="HRQ1336" s="4" t="s">
        <v>2880</v>
      </c>
      <c r="HRR1336" s="4" t="s">
        <v>2880</v>
      </c>
      <c r="HRS1336" s="4" t="s">
        <v>2880</v>
      </c>
      <c r="HRT1336" s="4" t="s">
        <v>2880</v>
      </c>
      <c r="HRU1336" s="4" t="s">
        <v>2880</v>
      </c>
      <c r="HRV1336" s="4" t="s">
        <v>2880</v>
      </c>
      <c r="HRW1336" s="4" t="s">
        <v>2880</v>
      </c>
      <c r="HRX1336" s="4" t="s">
        <v>2880</v>
      </c>
      <c r="HRY1336" s="4" t="s">
        <v>2880</v>
      </c>
      <c r="HRZ1336" s="4" t="s">
        <v>2880</v>
      </c>
      <c r="HSA1336" s="4" t="s">
        <v>2880</v>
      </c>
      <c r="HSB1336" s="4" t="s">
        <v>2880</v>
      </c>
      <c r="HSC1336" s="4" t="s">
        <v>2880</v>
      </c>
      <c r="HSD1336" s="4" t="s">
        <v>2880</v>
      </c>
      <c r="HSE1336" s="4" t="s">
        <v>2880</v>
      </c>
      <c r="HSF1336" s="4" t="s">
        <v>2880</v>
      </c>
      <c r="HSG1336" s="4" t="s">
        <v>2880</v>
      </c>
      <c r="HSH1336" s="4" t="s">
        <v>2880</v>
      </c>
      <c r="HSI1336" s="4" t="s">
        <v>2880</v>
      </c>
      <c r="HSJ1336" s="4" t="s">
        <v>2880</v>
      </c>
      <c r="HSK1336" s="4" t="s">
        <v>2880</v>
      </c>
      <c r="HSL1336" s="4" t="s">
        <v>2880</v>
      </c>
      <c r="HSM1336" s="4" t="s">
        <v>2880</v>
      </c>
      <c r="HSN1336" s="4" t="s">
        <v>2880</v>
      </c>
      <c r="HSO1336" s="4" t="s">
        <v>2880</v>
      </c>
      <c r="HSP1336" s="4" t="s">
        <v>2880</v>
      </c>
      <c r="HSQ1336" s="4" t="s">
        <v>2880</v>
      </c>
      <c r="HSR1336" s="4" t="s">
        <v>2880</v>
      </c>
      <c r="HSS1336" s="4" t="s">
        <v>2880</v>
      </c>
      <c r="HST1336" s="4" t="s">
        <v>2880</v>
      </c>
      <c r="HSU1336" s="4" t="s">
        <v>2880</v>
      </c>
      <c r="HSV1336" s="4" t="s">
        <v>2880</v>
      </c>
      <c r="HSW1336" s="4" t="s">
        <v>2880</v>
      </c>
      <c r="HSX1336" s="4" t="s">
        <v>2880</v>
      </c>
      <c r="HSY1336" s="4" t="s">
        <v>2880</v>
      </c>
      <c r="HSZ1336" s="4" t="s">
        <v>2880</v>
      </c>
      <c r="HTA1336" s="4" t="s">
        <v>2880</v>
      </c>
      <c r="HTB1336" s="4" t="s">
        <v>2880</v>
      </c>
      <c r="HTC1336" s="4" t="s">
        <v>2880</v>
      </c>
      <c r="HTD1336" s="4" t="s">
        <v>2880</v>
      </c>
      <c r="HTE1336" s="4" t="s">
        <v>2880</v>
      </c>
      <c r="HTF1336" s="4" t="s">
        <v>2880</v>
      </c>
      <c r="HTG1336" s="4" t="s">
        <v>2880</v>
      </c>
      <c r="HTH1336" s="4" t="s">
        <v>2880</v>
      </c>
      <c r="HTI1336" s="4" t="s">
        <v>2880</v>
      </c>
      <c r="HTJ1336" s="4" t="s">
        <v>2880</v>
      </c>
      <c r="HTK1336" s="4" t="s">
        <v>2880</v>
      </c>
      <c r="HTL1336" s="4" t="s">
        <v>2880</v>
      </c>
      <c r="HTM1336" s="4" t="s">
        <v>2880</v>
      </c>
      <c r="HTN1336" s="4" t="s">
        <v>2880</v>
      </c>
      <c r="HTO1336" s="4" t="s">
        <v>2880</v>
      </c>
      <c r="HTP1336" s="4" t="s">
        <v>2880</v>
      </c>
      <c r="HTQ1336" s="4" t="s">
        <v>2880</v>
      </c>
      <c r="HTR1336" s="4" t="s">
        <v>2880</v>
      </c>
      <c r="HTS1336" s="4" t="s">
        <v>2880</v>
      </c>
      <c r="HTT1336" s="4" t="s">
        <v>2880</v>
      </c>
      <c r="HTU1336" s="4" t="s">
        <v>2880</v>
      </c>
      <c r="HTV1336" s="4" t="s">
        <v>2880</v>
      </c>
      <c r="HTW1336" s="4" t="s">
        <v>2880</v>
      </c>
      <c r="HTX1336" s="4" t="s">
        <v>2880</v>
      </c>
      <c r="HTY1336" s="4" t="s">
        <v>2880</v>
      </c>
      <c r="HTZ1336" s="4" t="s">
        <v>2880</v>
      </c>
      <c r="HUA1336" s="4" t="s">
        <v>2880</v>
      </c>
      <c r="HUB1336" s="4" t="s">
        <v>2880</v>
      </c>
      <c r="HUC1336" s="4" t="s">
        <v>2880</v>
      </c>
      <c r="HUD1336" s="4" t="s">
        <v>2880</v>
      </c>
      <c r="HUE1336" s="4" t="s">
        <v>2880</v>
      </c>
      <c r="HUF1336" s="4" t="s">
        <v>2880</v>
      </c>
      <c r="HUG1336" s="4" t="s">
        <v>2880</v>
      </c>
      <c r="HUH1336" s="4" t="s">
        <v>2880</v>
      </c>
      <c r="HUI1336" s="4" t="s">
        <v>2880</v>
      </c>
      <c r="HUJ1336" s="4" t="s">
        <v>2880</v>
      </c>
      <c r="HUK1336" s="4" t="s">
        <v>2880</v>
      </c>
      <c r="HUL1336" s="4" t="s">
        <v>2880</v>
      </c>
      <c r="HUM1336" s="4" t="s">
        <v>2880</v>
      </c>
      <c r="HUN1336" s="4" t="s">
        <v>2880</v>
      </c>
      <c r="HUO1336" s="4" t="s">
        <v>2880</v>
      </c>
      <c r="HUP1336" s="4" t="s">
        <v>2880</v>
      </c>
      <c r="HUQ1336" s="4" t="s">
        <v>2880</v>
      </c>
      <c r="HUR1336" s="4" t="s">
        <v>2880</v>
      </c>
      <c r="HUS1336" s="4" t="s">
        <v>2880</v>
      </c>
      <c r="HUT1336" s="4" t="s">
        <v>2880</v>
      </c>
      <c r="HUU1336" s="4" t="s">
        <v>2880</v>
      </c>
      <c r="HUV1336" s="4" t="s">
        <v>2880</v>
      </c>
      <c r="HUW1336" s="4" t="s">
        <v>2880</v>
      </c>
      <c r="HUX1336" s="4" t="s">
        <v>2880</v>
      </c>
      <c r="HUY1336" s="4" t="s">
        <v>2880</v>
      </c>
      <c r="HUZ1336" s="4" t="s">
        <v>2880</v>
      </c>
      <c r="HVA1336" s="4" t="s">
        <v>2880</v>
      </c>
      <c r="HVB1336" s="4" t="s">
        <v>2880</v>
      </c>
      <c r="HVC1336" s="4" t="s">
        <v>2880</v>
      </c>
      <c r="HVD1336" s="4" t="s">
        <v>2880</v>
      </c>
      <c r="HVE1336" s="4" t="s">
        <v>2880</v>
      </c>
      <c r="HVF1336" s="4" t="s">
        <v>2880</v>
      </c>
      <c r="HVG1336" s="4" t="s">
        <v>2880</v>
      </c>
      <c r="HVH1336" s="4" t="s">
        <v>2880</v>
      </c>
      <c r="HVI1336" s="4" t="s">
        <v>2880</v>
      </c>
      <c r="HVJ1336" s="4" t="s">
        <v>2880</v>
      </c>
      <c r="HVK1336" s="4" t="s">
        <v>2880</v>
      </c>
      <c r="HVL1336" s="4" t="s">
        <v>2880</v>
      </c>
      <c r="HVM1336" s="4" t="s">
        <v>2880</v>
      </c>
      <c r="HVN1336" s="4" t="s">
        <v>2880</v>
      </c>
      <c r="HVO1336" s="4" t="s">
        <v>2880</v>
      </c>
      <c r="HVP1336" s="4" t="s">
        <v>2880</v>
      </c>
      <c r="HVQ1336" s="4" t="s">
        <v>2880</v>
      </c>
      <c r="HVR1336" s="4" t="s">
        <v>2880</v>
      </c>
      <c r="HVS1336" s="4" t="s">
        <v>2880</v>
      </c>
      <c r="HVT1336" s="4" t="s">
        <v>2880</v>
      </c>
      <c r="HVU1336" s="4" t="s">
        <v>2880</v>
      </c>
      <c r="HVV1336" s="4" t="s">
        <v>2880</v>
      </c>
      <c r="HVW1336" s="4" t="s">
        <v>2880</v>
      </c>
      <c r="HVX1336" s="4" t="s">
        <v>2880</v>
      </c>
      <c r="HVY1336" s="4" t="s">
        <v>2880</v>
      </c>
      <c r="HVZ1336" s="4" t="s">
        <v>2880</v>
      </c>
      <c r="HWA1336" s="4" t="s">
        <v>2880</v>
      </c>
      <c r="HWB1336" s="4" t="s">
        <v>2880</v>
      </c>
      <c r="HWC1336" s="4" t="s">
        <v>2880</v>
      </c>
      <c r="HWD1336" s="4" t="s">
        <v>2880</v>
      </c>
      <c r="HWE1336" s="4" t="s">
        <v>2880</v>
      </c>
      <c r="HWF1336" s="4" t="s">
        <v>2880</v>
      </c>
      <c r="HWG1336" s="4" t="s">
        <v>2880</v>
      </c>
      <c r="HWH1336" s="4" t="s">
        <v>2880</v>
      </c>
      <c r="HWI1336" s="4" t="s">
        <v>2880</v>
      </c>
      <c r="HWJ1336" s="4" t="s">
        <v>2880</v>
      </c>
      <c r="HWK1336" s="4" t="s">
        <v>2880</v>
      </c>
      <c r="HWL1336" s="4" t="s">
        <v>2880</v>
      </c>
      <c r="HWM1336" s="4" t="s">
        <v>2880</v>
      </c>
      <c r="HWN1336" s="4" t="s">
        <v>2880</v>
      </c>
      <c r="HWO1336" s="4" t="s">
        <v>2880</v>
      </c>
      <c r="HWP1336" s="4" t="s">
        <v>2880</v>
      </c>
      <c r="HWQ1336" s="4" t="s">
        <v>2880</v>
      </c>
      <c r="HWR1336" s="4" t="s">
        <v>2880</v>
      </c>
      <c r="HWS1336" s="4" t="s">
        <v>2880</v>
      </c>
      <c r="HWT1336" s="4" t="s">
        <v>2880</v>
      </c>
      <c r="HWU1336" s="4" t="s">
        <v>2880</v>
      </c>
      <c r="HWV1336" s="4" t="s">
        <v>2880</v>
      </c>
      <c r="HWW1336" s="4" t="s">
        <v>2880</v>
      </c>
      <c r="HWX1336" s="4" t="s">
        <v>2880</v>
      </c>
      <c r="HWY1336" s="4" t="s">
        <v>2880</v>
      </c>
      <c r="HWZ1336" s="4" t="s">
        <v>2880</v>
      </c>
      <c r="HXA1336" s="4" t="s">
        <v>2880</v>
      </c>
      <c r="HXB1336" s="4" t="s">
        <v>2880</v>
      </c>
      <c r="HXC1336" s="4" t="s">
        <v>2880</v>
      </c>
      <c r="HXD1336" s="4" t="s">
        <v>2880</v>
      </c>
      <c r="HXE1336" s="4" t="s">
        <v>2880</v>
      </c>
      <c r="HXF1336" s="4" t="s">
        <v>2880</v>
      </c>
      <c r="HXG1336" s="4" t="s">
        <v>2880</v>
      </c>
      <c r="HXH1336" s="4" t="s">
        <v>2880</v>
      </c>
      <c r="HXI1336" s="4" t="s">
        <v>2880</v>
      </c>
      <c r="HXJ1336" s="4" t="s">
        <v>2880</v>
      </c>
      <c r="HXK1336" s="4" t="s">
        <v>2880</v>
      </c>
      <c r="HXL1336" s="4" t="s">
        <v>2880</v>
      </c>
      <c r="HXM1336" s="4" t="s">
        <v>2880</v>
      </c>
      <c r="HXN1336" s="4" t="s">
        <v>2880</v>
      </c>
      <c r="HXO1336" s="4" t="s">
        <v>2880</v>
      </c>
      <c r="HXP1336" s="4" t="s">
        <v>2880</v>
      </c>
      <c r="HXQ1336" s="4" t="s">
        <v>2880</v>
      </c>
      <c r="HXR1336" s="4" t="s">
        <v>2880</v>
      </c>
      <c r="HXS1336" s="4" t="s">
        <v>2880</v>
      </c>
      <c r="HXT1336" s="4" t="s">
        <v>2880</v>
      </c>
      <c r="HXU1336" s="4" t="s">
        <v>2880</v>
      </c>
      <c r="HXV1336" s="4" t="s">
        <v>2880</v>
      </c>
      <c r="HXW1336" s="4" t="s">
        <v>2880</v>
      </c>
      <c r="HXX1336" s="4" t="s">
        <v>2880</v>
      </c>
      <c r="HXY1336" s="4" t="s">
        <v>2880</v>
      </c>
      <c r="HXZ1336" s="4" t="s">
        <v>2880</v>
      </c>
      <c r="HYA1336" s="4" t="s">
        <v>2880</v>
      </c>
      <c r="HYB1336" s="4" t="s">
        <v>2880</v>
      </c>
      <c r="HYC1336" s="4" t="s">
        <v>2880</v>
      </c>
      <c r="HYD1336" s="4" t="s">
        <v>2880</v>
      </c>
      <c r="HYE1336" s="4" t="s">
        <v>2880</v>
      </c>
      <c r="HYF1336" s="4" t="s">
        <v>2880</v>
      </c>
      <c r="HYG1336" s="4" t="s">
        <v>2880</v>
      </c>
      <c r="HYH1336" s="4" t="s">
        <v>2880</v>
      </c>
      <c r="HYI1336" s="4" t="s">
        <v>2880</v>
      </c>
      <c r="HYJ1336" s="4" t="s">
        <v>2880</v>
      </c>
      <c r="HYK1336" s="4" t="s">
        <v>2880</v>
      </c>
      <c r="HYL1336" s="4" t="s">
        <v>2880</v>
      </c>
      <c r="HYM1336" s="4" t="s">
        <v>2880</v>
      </c>
      <c r="HYN1336" s="4" t="s">
        <v>2880</v>
      </c>
      <c r="HYO1336" s="4" t="s">
        <v>2880</v>
      </c>
      <c r="HYP1336" s="4" t="s">
        <v>2880</v>
      </c>
      <c r="HYQ1336" s="4" t="s">
        <v>2880</v>
      </c>
      <c r="HYR1336" s="4" t="s">
        <v>2880</v>
      </c>
      <c r="HYS1336" s="4" t="s">
        <v>2880</v>
      </c>
      <c r="HYT1336" s="4" t="s">
        <v>2880</v>
      </c>
      <c r="HYU1336" s="4" t="s">
        <v>2880</v>
      </c>
      <c r="HYV1336" s="4" t="s">
        <v>2880</v>
      </c>
      <c r="HYW1336" s="4" t="s">
        <v>2880</v>
      </c>
      <c r="HYX1336" s="4" t="s">
        <v>2880</v>
      </c>
      <c r="HYY1336" s="4" t="s">
        <v>2880</v>
      </c>
      <c r="HYZ1336" s="4" t="s">
        <v>2880</v>
      </c>
      <c r="HZA1336" s="4" t="s">
        <v>2880</v>
      </c>
      <c r="HZB1336" s="4" t="s">
        <v>2880</v>
      </c>
      <c r="HZC1336" s="4" t="s">
        <v>2880</v>
      </c>
      <c r="HZD1336" s="4" t="s">
        <v>2880</v>
      </c>
      <c r="HZE1336" s="4" t="s">
        <v>2880</v>
      </c>
      <c r="HZF1336" s="4" t="s">
        <v>2880</v>
      </c>
      <c r="HZG1336" s="4" t="s">
        <v>2880</v>
      </c>
      <c r="HZH1336" s="4" t="s">
        <v>2880</v>
      </c>
      <c r="HZI1336" s="4" t="s">
        <v>2880</v>
      </c>
      <c r="HZJ1336" s="4" t="s">
        <v>2880</v>
      </c>
      <c r="HZK1336" s="4" t="s">
        <v>2880</v>
      </c>
      <c r="HZL1336" s="4" t="s">
        <v>2880</v>
      </c>
      <c r="HZM1336" s="4" t="s">
        <v>2880</v>
      </c>
      <c r="HZN1336" s="4" t="s">
        <v>2880</v>
      </c>
      <c r="HZO1336" s="4" t="s">
        <v>2880</v>
      </c>
      <c r="HZP1336" s="4" t="s">
        <v>2880</v>
      </c>
      <c r="HZQ1336" s="4" t="s">
        <v>2880</v>
      </c>
      <c r="HZR1336" s="4" t="s">
        <v>2880</v>
      </c>
      <c r="HZS1336" s="4" t="s">
        <v>2880</v>
      </c>
      <c r="HZT1336" s="4" t="s">
        <v>2880</v>
      </c>
      <c r="HZU1336" s="4" t="s">
        <v>2880</v>
      </c>
      <c r="HZV1336" s="4" t="s">
        <v>2880</v>
      </c>
      <c r="HZW1336" s="4" t="s">
        <v>2880</v>
      </c>
      <c r="HZX1336" s="4" t="s">
        <v>2880</v>
      </c>
      <c r="HZY1336" s="4" t="s">
        <v>2880</v>
      </c>
      <c r="HZZ1336" s="4" t="s">
        <v>2880</v>
      </c>
      <c r="IAA1336" s="4" t="s">
        <v>2880</v>
      </c>
      <c r="IAB1336" s="4" t="s">
        <v>2880</v>
      </c>
      <c r="IAC1336" s="4" t="s">
        <v>2880</v>
      </c>
      <c r="IAD1336" s="4" t="s">
        <v>2880</v>
      </c>
      <c r="IAE1336" s="4" t="s">
        <v>2880</v>
      </c>
      <c r="IAF1336" s="4" t="s">
        <v>2880</v>
      </c>
      <c r="IAG1336" s="4" t="s">
        <v>2880</v>
      </c>
      <c r="IAH1336" s="4" t="s">
        <v>2880</v>
      </c>
      <c r="IAI1336" s="4" t="s">
        <v>2880</v>
      </c>
      <c r="IAJ1336" s="4" t="s">
        <v>2880</v>
      </c>
      <c r="IAK1336" s="4" t="s">
        <v>2880</v>
      </c>
      <c r="IAL1336" s="4" t="s">
        <v>2880</v>
      </c>
      <c r="IAM1336" s="4" t="s">
        <v>2880</v>
      </c>
      <c r="IAN1336" s="4" t="s">
        <v>2880</v>
      </c>
      <c r="IAO1336" s="4" t="s">
        <v>2880</v>
      </c>
      <c r="IAP1336" s="4" t="s">
        <v>2880</v>
      </c>
      <c r="IAQ1336" s="4" t="s">
        <v>2880</v>
      </c>
      <c r="IAR1336" s="4" t="s">
        <v>2880</v>
      </c>
      <c r="IAS1336" s="4" t="s">
        <v>2880</v>
      </c>
      <c r="IAT1336" s="4" t="s">
        <v>2880</v>
      </c>
      <c r="IAU1336" s="4" t="s">
        <v>2880</v>
      </c>
      <c r="IAV1336" s="4" t="s">
        <v>2880</v>
      </c>
      <c r="IAW1336" s="4" t="s">
        <v>2880</v>
      </c>
      <c r="IAX1336" s="4" t="s">
        <v>2880</v>
      </c>
      <c r="IAY1336" s="4" t="s">
        <v>2880</v>
      </c>
      <c r="IAZ1336" s="4" t="s">
        <v>2880</v>
      </c>
      <c r="IBA1336" s="4" t="s">
        <v>2880</v>
      </c>
      <c r="IBB1336" s="4" t="s">
        <v>2880</v>
      </c>
      <c r="IBC1336" s="4" t="s">
        <v>2880</v>
      </c>
      <c r="IBD1336" s="4" t="s">
        <v>2880</v>
      </c>
      <c r="IBE1336" s="4" t="s">
        <v>2880</v>
      </c>
      <c r="IBF1336" s="4" t="s">
        <v>2880</v>
      </c>
      <c r="IBG1336" s="4" t="s">
        <v>2880</v>
      </c>
      <c r="IBH1336" s="4" t="s">
        <v>2880</v>
      </c>
      <c r="IBI1336" s="4" t="s">
        <v>2880</v>
      </c>
      <c r="IBJ1336" s="4" t="s">
        <v>2880</v>
      </c>
      <c r="IBK1336" s="4" t="s">
        <v>2880</v>
      </c>
      <c r="IBL1336" s="4" t="s">
        <v>2880</v>
      </c>
      <c r="IBM1336" s="4" t="s">
        <v>2880</v>
      </c>
      <c r="IBN1336" s="4" t="s">
        <v>2880</v>
      </c>
      <c r="IBO1336" s="4" t="s">
        <v>2880</v>
      </c>
      <c r="IBP1336" s="4" t="s">
        <v>2880</v>
      </c>
      <c r="IBQ1336" s="4" t="s">
        <v>2880</v>
      </c>
      <c r="IBR1336" s="4" t="s">
        <v>2880</v>
      </c>
      <c r="IBS1336" s="4" t="s">
        <v>2880</v>
      </c>
      <c r="IBT1336" s="4" t="s">
        <v>2880</v>
      </c>
      <c r="IBU1336" s="4" t="s">
        <v>2880</v>
      </c>
      <c r="IBV1336" s="4" t="s">
        <v>2880</v>
      </c>
      <c r="IBW1336" s="4" t="s">
        <v>2880</v>
      </c>
      <c r="IBX1336" s="4" t="s">
        <v>2880</v>
      </c>
      <c r="IBY1336" s="4" t="s">
        <v>2880</v>
      </c>
      <c r="IBZ1336" s="4" t="s">
        <v>2880</v>
      </c>
      <c r="ICA1336" s="4" t="s">
        <v>2880</v>
      </c>
      <c r="ICB1336" s="4" t="s">
        <v>2880</v>
      </c>
      <c r="ICC1336" s="4" t="s">
        <v>2880</v>
      </c>
      <c r="ICD1336" s="4" t="s">
        <v>2880</v>
      </c>
      <c r="ICE1336" s="4" t="s">
        <v>2880</v>
      </c>
      <c r="ICF1336" s="4" t="s">
        <v>2880</v>
      </c>
      <c r="ICG1336" s="4" t="s">
        <v>2880</v>
      </c>
      <c r="ICH1336" s="4" t="s">
        <v>2880</v>
      </c>
      <c r="ICI1336" s="4" t="s">
        <v>2880</v>
      </c>
      <c r="ICJ1336" s="4" t="s">
        <v>2880</v>
      </c>
      <c r="ICK1336" s="4" t="s">
        <v>2880</v>
      </c>
      <c r="ICL1336" s="4" t="s">
        <v>2880</v>
      </c>
      <c r="ICM1336" s="4" t="s">
        <v>2880</v>
      </c>
      <c r="ICN1336" s="4" t="s">
        <v>2880</v>
      </c>
      <c r="ICO1336" s="4" t="s">
        <v>2880</v>
      </c>
      <c r="ICP1336" s="4" t="s">
        <v>2880</v>
      </c>
      <c r="ICQ1336" s="4" t="s">
        <v>2880</v>
      </c>
      <c r="ICR1336" s="4" t="s">
        <v>2880</v>
      </c>
      <c r="ICS1336" s="4" t="s">
        <v>2880</v>
      </c>
      <c r="ICT1336" s="4" t="s">
        <v>2880</v>
      </c>
      <c r="ICU1336" s="4" t="s">
        <v>2880</v>
      </c>
      <c r="ICV1336" s="4" t="s">
        <v>2880</v>
      </c>
      <c r="ICW1336" s="4" t="s">
        <v>2880</v>
      </c>
      <c r="ICX1336" s="4" t="s">
        <v>2880</v>
      </c>
      <c r="ICY1336" s="4" t="s">
        <v>2880</v>
      </c>
      <c r="ICZ1336" s="4" t="s">
        <v>2880</v>
      </c>
      <c r="IDA1336" s="4" t="s">
        <v>2880</v>
      </c>
      <c r="IDB1336" s="4" t="s">
        <v>2880</v>
      </c>
      <c r="IDC1336" s="4" t="s">
        <v>2880</v>
      </c>
      <c r="IDD1336" s="4" t="s">
        <v>2880</v>
      </c>
      <c r="IDE1336" s="4" t="s">
        <v>2880</v>
      </c>
      <c r="IDF1336" s="4" t="s">
        <v>2880</v>
      </c>
      <c r="IDG1336" s="4" t="s">
        <v>2880</v>
      </c>
      <c r="IDH1336" s="4" t="s">
        <v>2880</v>
      </c>
      <c r="IDI1336" s="4" t="s">
        <v>2880</v>
      </c>
      <c r="IDJ1336" s="4" t="s">
        <v>2880</v>
      </c>
      <c r="IDK1336" s="4" t="s">
        <v>2880</v>
      </c>
      <c r="IDL1336" s="4" t="s">
        <v>2880</v>
      </c>
      <c r="IDM1336" s="4" t="s">
        <v>2880</v>
      </c>
      <c r="IDN1336" s="4" t="s">
        <v>2880</v>
      </c>
      <c r="IDO1336" s="4" t="s">
        <v>2880</v>
      </c>
      <c r="IDP1336" s="4" t="s">
        <v>2880</v>
      </c>
      <c r="IDQ1336" s="4" t="s">
        <v>2880</v>
      </c>
      <c r="IDR1336" s="4" t="s">
        <v>2880</v>
      </c>
      <c r="IDS1336" s="4" t="s">
        <v>2880</v>
      </c>
      <c r="IDT1336" s="4" t="s">
        <v>2880</v>
      </c>
      <c r="IDU1336" s="4" t="s">
        <v>2880</v>
      </c>
      <c r="IDV1336" s="4" t="s">
        <v>2880</v>
      </c>
      <c r="IDW1336" s="4" t="s">
        <v>2880</v>
      </c>
      <c r="IDX1336" s="4" t="s">
        <v>2880</v>
      </c>
      <c r="IDY1336" s="4" t="s">
        <v>2880</v>
      </c>
      <c r="IDZ1336" s="4" t="s">
        <v>2880</v>
      </c>
      <c r="IEA1336" s="4" t="s">
        <v>2880</v>
      </c>
      <c r="IEB1336" s="4" t="s">
        <v>2880</v>
      </c>
      <c r="IEC1336" s="4" t="s">
        <v>2880</v>
      </c>
      <c r="IED1336" s="4" t="s">
        <v>2880</v>
      </c>
      <c r="IEE1336" s="4" t="s">
        <v>2880</v>
      </c>
      <c r="IEF1336" s="4" t="s">
        <v>2880</v>
      </c>
      <c r="IEG1336" s="4" t="s">
        <v>2880</v>
      </c>
      <c r="IEH1336" s="4" t="s">
        <v>2880</v>
      </c>
      <c r="IEI1336" s="4" t="s">
        <v>2880</v>
      </c>
      <c r="IEJ1336" s="4" t="s">
        <v>2880</v>
      </c>
      <c r="IEK1336" s="4" t="s">
        <v>2880</v>
      </c>
      <c r="IEL1336" s="4" t="s">
        <v>2880</v>
      </c>
      <c r="IEM1336" s="4" t="s">
        <v>2880</v>
      </c>
      <c r="IEN1336" s="4" t="s">
        <v>2880</v>
      </c>
      <c r="IEO1336" s="4" t="s">
        <v>2880</v>
      </c>
      <c r="IEP1336" s="4" t="s">
        <v>2880</v>
      </c>
      <c r="IEQ1336" s="4" t="s">
        <v>2880</v>
      </c>
      <c r="IER1336" s="4" t="s">
        <v>2880</v>
      </c>
      <c r="IES1336" s="4" t="s">
        <v>2880</v>
      </c>
      <c r="IET1336" s="4" t="s">
        <v>2880</v>
      </c>
      <c r="IEU1336" s="4" t="s">
        <v>2880</v>
      </c>
      <c r="IEV1336" s="4" t="s">
        <v>2880</v>
      </c>
      <c r="IEW1336" s="4" t="s">
        <v>2880</v>
      </c>
      <c r="IEX1336" s="4" t="s">
        <v>2880</v>
      </c>
      <c r="IEY1336" s="4" t="s">
        <v>2880</v>
      </c>
      <c r="IEZ1336" s="4" t="s">
        <v>2880</v>
      </c>
      <c r="IFA1336" s="4" t="s">
        <v>2880</v>
      </c>
      <c r="IFB1336" s="4" t="s">
        <v>2880</v>
      </c>
      <c r="IFC1336" s="4" t="s">
        <v>2880</v>
      </c>
      <c r="IFD1336" s="4" t="s">
        <v>2880</v>
      </c>
      <c r="IFE1336" s="4" t="s">
        <v>2880</v>
      </c>
      <c r="IFF1336" s="4" t="s">
        <v>2880</v>
      </c>
      <c r="IFG1336" s="4" t="s">
        <v>2880</v>
      </c>
      <c r="IFH1336" s="4" t="s">
        <v>2880</v>
      </c>
      <c r="IFI1336" s="4" t="s">
        <v>2880</v>
      </c>
      <c r="IFJ1336" s="4" t="s">
        <v>2880</v>
      </c>
      <c r="IFK1336" s="4" t="s">
        <v>2880</v>
      </c>
      <c r="IFL1336" s="4" t="s">
        <v>2880</v>
      </c>
      <c r="IFM1336" s="4" t="s">
        <v>2880</v>
      </c>
      <c r="IFN1336" s="4" t="s">
        <v>2880</v>
      </c>
      <c r="IFO1336" s="4" t="s">
        <v>2880</v>
      </c>
      <c r="IFP1336" s="4" t="s">
        <v>2880</v>
      </c>
      <c r="IFQ1336" s="4" t="s">
        <v>2880</v>
      </c>
      <c r="IFR1336" s="4" t="s">
        <v>2880</v>
      </c>
      <c r="IFS1336" s="4" t="s">
        <v>2880</v>
      </c>
      <c r="IFT1336" s="4" t="s">
        <v>2880</v>
      </c>
      <c r="IFU1336" s="4" t="s">
        <v>2880</v>
      </c>
      <c r="IFV1336" s="4" t="s">
        <v>2880</v>
      </c>
      <c r="IFW1336" s="4" t="s">
        <v>2880</v>
      </c>
      <c r="IFX1336" s="4" t="s">
        <v>2880</v>
      </c>
      <c r="IFY1336" s="4" t="s">
        <v>2880</v>
      </c>
      <c r="IFZ1336" s="4" t="s">
        <v>2880</v>
      </c>
      <c r="IGA1336" s="4" t="s">
        <v>2880</v>
      </c>
      <c r="IGB1336" s="4" t="s">
        <v>2880</v>
      </c>
      <c r="IGC1336" s="4" t="s">
        <v>2880</v>
      </c>
      <c r="IGD1336" s="4" t="s">
        <v>2880</v>
      </c>
      <c r="IGE1336" s="4" t="s">
        <v>2880</v>
      </c>
      <c r="IGF1336" s="4" t="s">
        <v>2880</v>
      </c>
      <c r="IGG1336" s="4" t="s">
        <v>2880</v>
      </c>
      <c r="IGH1336" s="4" t="s">
        <v>2880</v>
      </c>
      <c r="IGI1336" s="4" t="s">
        <v>2880</v>
      </c>
      <c r="IGJ1336" s="4" t="s">
        <v>2880</v>
      </c>
      <c r="IGK1336" s="4" t="s">
        <v>2880</v>
      </c>
      <c r="IGL1336" s="4" t="s">
        <v>2880</v>
      </c>
      <c r="IGM1336" s="4" t="s">
        <v>2880</v>
      </c>
      <c r="IGN1336" s="4" t="s">
        <v>2880</v>
      </c>
      <c r="IGO1336" s="4" t="s">
        <v>2880</v>
      </c>
      <c r="IGP1336" s="4" t="s">
        <v>2880</v>
      </c>
      <c r="IGQ1336" s="4" t="s">
        <v>2880</v>
      </c>
      <c r="IGR1336" s="4" t="s">
        <v>2880</v>
      </c>
      <c r="IGS1336" s="4" t="s">
        <v>2880</v>
      </c>
      <c r="IGT1336" s="4" t="s">
        <v>2880</v>
      </c>
      <c r="IGU1336" s="4" t="s">
        <v>2880</v>
      </c>
      <c r="IGV1336" s="4" t="s">
        <v>2880</v>
      </c>
      <c r="IGW1336" s="4" t="s">
        <v>2880</v>
      </c>
      <c r="IGX1336" s="4" t="s">
        <v>2880</v>
      </c>
      <c r="IGY1336" s="4" t="s">
        <v>2880</v>
      </c>
      <c r="IGZ1336" s="4" t="s">
        <v>2880</v>
      </c>
      <c r="IHA1336" s="4" t="s">
        <v>2880</v>
      </c>
      <c r="IHB1336" s="4" t="s">
        <v>2880</v>
      </c>
      <c r="IHC1336" s="4" t="s">
        <v>2880</v>
      </c>
      <c r="IHD1336" s="4" t="s">
        <v>2880</v>
      </c>
      <c r="IHE1336" s="4" t="s">
        <v>2880</v>
      </c>
      <c r="IHF1336" s="4" t="s">
        <v>2880</v>
      </c>
      <c r="IHG1336" s="4" t="s">
        <v>2880</v>
      </c>
      <c r="IHH1336" s="4" t="s">
        <v>2880</v>
      </c>
      <c r="IHI1336" s="4" t="s">
        <v>2880</v>
      </c>
      <c r="IHJ1336" s="4" t="s">
        <v>2880</v>
      </c>
      <c r="IHK1336" s="4" t="s">
        <v>2880</v>
      </c>
      <c r="IHL1336" s="4" t="s">
        <v>2880</v>
      </c>
      <c r="IHM1336" s="4" t="s">
        <v>2880</v>
      </c>
      <c r="IHN1336" s="4" t="s">
        <v>2880</v>
      </c>
      <c r="IHO1336" s="4" t="s">
        <v>2880</v>
      </c>
      <c r="IHP1336" s="4" t="s">
        <v>2880</v>
      </c>
      <c r="IHQ1336" s="4" t="s">
        <v>2880</v>
      </c>
      <c r="IHR1336" s="4" t="s">
        <v>2880</v>
      </c>
      <c r="IHS1336" s="4" t="s">
        <v>2880</v>
      </c>
      <c r="IHT1336" s="4" t="s">
        <v>2880</v>
      </c>
      <c r="IHU1336" s="4" t="s">
        <v>2880</v>
      </c>
      <c r="IHV1336" s="4" t="s">
        <v>2880</v>
      </c>
      <c r="IHW1336" s="4" t="s">
        <v>2880</v>
      </c>
      <c r="IHX1336" s="4" t="s">
        <v>2880</v>
      </c>
      <c r="IHY1336" s="4" t="s">
        <v>2880</v>
      </c>
      <c r="IHZ1336" s="4" t="s">
        <v>2880</v>
      </c>
      <c r="IIA1336" s="4" t="s">
        <v>2880</v>
      </c>
      <c r="IIB1336" s="4" t="s">
        <v>2880</v>
      </c>
      <c r="IIC1336" s="4" t="s">
        <v>2880</v>
      </c>
      <c r="IID1336" s="4" t="s">
        <v>2880</v>
      </c>
      <c r="IIE1336" s="4" t="s">
        <v>2880</v>
      </c>
      <c r="IIF1336" s="4" t="s">
        <v>2880</v>
      </c>
      <c r="IIG1336" s="4" t="s">
        <v>2880</v>
      </c>
      <c r="IIH1336" s="4" t="s">
        <v>2880</v>
      </c>
      <c r="III1336" s="4" t="s">
        <v>2880</v>
      </c>
      <c r="IIJ1336" s="4" t="s">
        <v>2880</v>
      </c>
      <c r="IIK1336" s="4" t="s">
        <v>2880</v>
      </c>
      <c r="IIL1336" s="4" t="s">
        <v>2880</v>
      </c>
      <c r="IIM1336" s="4" t="s">
        <v>2880</v>
      </c>
      <c r="IIN1336" s="4" t="s">
        <v>2880</v>
      </c>
      <c r="IIO1336" s="4" t="s">
        <v>2880</v>
      </c>
      <c r="IIP1336" s="4" t="s">
        <v>2880</v>
      </c>
      <c r="IIQ1336" s="4" t="s">
        <v>2880</v>
      </c>
      <c r="IIR1336" s="4" t="s">
        <v>2880</v>
      </c>
      <c r="IIS1336" s="4" t="s">
        <v>2880</v>
      </c>
      <c r="IIT1336" s="4" t="s">
        <v>2880</v>
      </c>
      <c r="IIU1336" s="4" t="s">
        <v>2880</v>
      </c>
      <c r="IIV1336" s="4" t="s">
        <v>2880</v>
      </c>
      <c r="IIW1336" s="4" t="s">
        <v>2880</v>
      </c>
      <c r="IIX1336" s="4" t="s">
        <v>2880</v>
      </c>
      <c r="IIY1336" s="4" t="s">
        <v>2880</v>
      </c>
      <c r="IIZ1336" s="4" t="s">
        <v>2880</v>
      </c>
      <c r="IJA1336" s="4" t="s">
        <v>2880</v>
      </c>
      <c r="IJB1336" s="4" t="s">
        <v>2880</v>
      </c>
      <c r="IJC1336" s="4" t="s">
        <v>2880</v>
      </c>
      <c r="IJD1336" s="4" t="s">
        <v>2880</v>
      </c>
      <c r="IJE1336" s="4" t="s">
        <v>2880</v>
      </c>
      <c r="IJF1336" s="4" t="s">
        <v>2880</v>
      </c>
      <c r="IJG1336" s="4" t="s">
        <v>2880</v>
      </c>
      <c r="IJH1336" s="4" t="s">
        <v>2880</v>
      </c>
      <c r="IJI1336" s="4" t="s">
        <v>2880</v>
      </c>
      <c r="IJJ1336" s="4" t="s">
        <v>2880</v>
      </c>
      <c r="IJK1336" s="4" t="s">
        <v>2880</v>
      </c>
      <c r="IJL1336" s="4" t="s">
        <v>2880</v>
      </c>
      <c r="IJM1336" s="4" t="s">
        <v>2880</v>
      </c>
      <c r="IJN1336" s="4" t="s">
        <v>2880</v>
      </c>
      <c r="IJO1336" s="4" t="s">
        <v>2880</v>
      </c>
      <c r="IJP1336" s="4" t="s">
        <v>2880</v>
      </c>
      <c r="IJQ1336" s="4" t="s">
        <v>2880</v>
      </c>
      <c r="IJR1336" s="4" t="s">
        <v>2880</v>
      </c>
      <c r="IJS1336" s="4" t="s">
        <v>2880</v>
      </c>
      <c r="IJT1336" s="4" t="s">
        <v>2880</v>
      </c>
      <c r="IJU1336" s="4" t="s">
        <v>2880</v>
      </c>
      <c r="IJV1336" s="4" t="s">
        <v>2880</v>
      </c>
      <c r="IJW1336" s="4" t="s">
        <v>2880</v>
      </c>
      <c r="IJX1336" s="4" t="s">
        <v>2880</v>
      </c>
      <c r="IJY1336" s="4" t="s">
        <v>2880</v>
      </c>
      <c r="IJZ1336" s="4" t="s">
        <v>2880</v>
      </c>
      <c r="IKA1336" s="4" t="s">
        <v>2880</v>
      </c>
      <c r="IKB1336" s="4" t="s">
        <v>2880</v>
      </c>
      <c r="IKC1336" s="4" t="s">
        <v>2880</v>
      </c>
      <c r="IKD1336" s="4" t="s">
        <v>2880</v>
      </c>
      <c r="IKE1336" s="4" t="s">
        <v>2880</v>
      </c>
      <c r="IKF1336" s="4" t="s">
        <v>2880</v>
      </c>
      <c r="IKG1336" s="4" t="s">
        <v>2880</v>
      </c>
      <c r="IKH1336" s="4" t="s">
        <v>2880</v>
      </c>
      <c r="IKI1336" s="4" t="s">
        <v>2880</v>
      </c>
      <c r="IKJ1336" s="4" t="s">
        <v>2880</v>
      </c>
      <c r="IKK1336" s="4" t="s">
        <v>2880</v>
      </c>
      <c r="IKL1336" s="4" t="s">
        <v>2880</v>
      </c>
      <c r="IKM1336" s="4" t="s">
        <v>2880</v>
      </c>
      <c r="IKN1336" s="4" t="s">
        <v>2880</v>
      </c>
      <c r="IKO1336" s="4" t="s">
        <v>2880</v>
      </c>
      <c r="IKP1336" s="4" t="s">
        <v>2880</v>
      </c>
      <c r="IKQ1336" s="4" t="s">
        <v>2880</v>
      </c>
      <c r="IKR1336" s="4" t="s">
        <v>2880</v>
      </c>
      <c r="IKS1336" s="4" t="s">
        <v>2880</v>
      </c>
      <c r="IKT1336" s="4" t="s">
        <v>2880</v>
      </c>
      <c r="IKU1336" s="4" t="s">
        <v>2880</v>
      </c>
      <c r="IKV1336" s="4" t="s">
        <v>2880</v>
      </c>
      <c r="IKW1336" s="4" t="s">
        <v>2880</v>
      </c>
      <c r="IKX1336" s="4" t="s">
        <v>2880</v>
      </c>
      <c r="IKY1336" s="4" t="s">
        <v>2880</v>
      </c>
      <c r="IKZ1336" s="4" t="s">
        <v>2880</v>
      </c>
      <c r="ILA1336" s="4" t="s">
        <v>2880</v>
      </c>
      <c r="ILB1336" s="4" t="s">
        <v>2880</v>
      </c>
      <c r="ILC1336" s="4" t="s">
        <v>2880</v>
      </c>
      <c r="ILD1336" s="4" t="s">
        <v>2880</v>
      </c>
      <c r="ILE1336" s="4" t="s">
        <v>2880</v>
      </c>
      <c r="ILF1336" s="4" t="s">
        <v>2880</v>
      </c>
      <c r="ILG1336" s="4" t="s">
        <v>2880</v>
      </c>
      <c r="ILH1336" s="4" t="s">
        <v>2880</v>
      </c>
      <c r="ILI1336" s="4" t="s">
        <v>2880</v>
      </c>
      <c r="ILJ1336" s="4" t="s">
        <v>2880</v>
      </c>
      <c r="ILK1336" s="4" t="s">
        <v>2880</v>
      </c>
      <c r="ILL1336" s="4" t="s">
        <v>2880</v>
      </c>
      <c r="ILM1336" s="4" t="s">
        <v>2880</v>
      </c>
      <c r="ILN1336" s="4" t="s">
        <v>2880</v>
      </c>
      <c r="ILO1336" s="4" t="s">
        <v>2880</v>
      </c>
      <c r="ILP1336" s="4" t="s">
        <v>2880</v>
      </c>
      <c r="ILQ1336" s="4" t="s">
        <v>2880</v>
      </c>
      <c r="ILR1336" s="4" t="s">
        <v>2880</v>
      </c>
      <c r="ILS1336" s="4" t="s">
        <v>2880</v>
      </c>
      <c r="ILT1336" s="4" t="s">
        <v>2880</v>
      </c>
      <c r="ILU1336" s="4" t="s">
        <v>2880</v>
      </c>
      <c r="ILV1336" s="4" t="s">
        <v>2880</v>
      </c>
      <c r="ILW1336" s="4" t="s">
        <v>2880</v>
      </c>
      <c r="ILX1336" s="4" t="s">
        <v>2880</v>
      </c>
      <c r="ILY1336" s="4" t="s">
        <v>2880</v>
      </c>
      <c r="ILZ1336" s="4" t="s">
        <v>2880</v>
      </c>
      <c r="IMA1336" s="4" t="s">
        <v>2880</v>
      </c>
      <c r="IMB1336" s="4" t="s">
        <v>2880</v>
      </c>
      <c r="IMC1336" s="4" t="s">
        <v>2880</v>
      </c>
      <c r="IMD1336" s="4" t="s">
        <v>2880</v>
      </c>
      <c r="IME1336" s="4" t="s">
        <v>2880</v>
      </c>
      <c r="IMF1336" s="4" t="s">
        <v>2880</v>
      </c>
      <c r="IMG1336" s="4" t="s">
        <v>2880</v>
      </c>
      <c r="IMH1336" s="4" t="s">
        <v>2880</v>
      </c>
      <c r="IMI1336" s="4" t="s">
        <v>2880</v>
      </c>
      <c r="IMJ1336" s="4" t="s">
        <v>2880</v>
      </c>
      <c r="IMK1336" s="4" t="s">
        <v>2880</v>
      </c>
      <c r="IML1336" s="4" t="s">
        <v>2880</v>
      </c>
      <c r="IMM1336" s="4" t="s">
        <v>2880</v>
      </c>
      <c r="IMN1336" s="4" t="s">
        <v>2880</v>
      </c>
      <c r="IMO1336" s="4" t="s">
        <v>2880</v>
      </c>
      <c r="IMP1336" s="4" t="s">
        <v>2880</v>
      </c>
      <c r="IMQ1336" s="4" t="s">
        <v>2880</v>
      </c>
      <c r="IMR1336" s="4" t="s">
        <v>2880</v>
      </c>
      <c r="IMS1336" s="4" t="s">
        <v>2880</v>
      </c>
      <c r="IMT1336" s="4" t="s">
        <v>2880</v>
      </c>
      <c r="IMU1336" s="4" t="s">
        <v>2880</v>
      </c>
      <c r="IMV1336" s="4" t="s">
        <v>2880</v>
      </c>
      <c r="IMW1336" s="4" t="s">
        <v>2880</v>
      </c>
      <c r="IMX1336" s="4" t="s">
        <v>2880</v>
      </c>
      <c r="IMY1336" s="4" t="s">
        <v>2880</v>
      </c>
      <c r="IMZ1336" s="4" t="s">
        <v>2880</v>
      </c>
      <c r="INA1336" s="4" t="s">
        <v>2880</v>
      </c>
      <c r="INB1336" s="4" t="s">
        <v>2880</v>
      </c>
      <c r="INC1336" s="4" t="s">
        <v>2880</v>
      </c>
      <c r="IND1336" s="4" t="s">
        <v>2880</v>
      </c>
      <c r="INE1336" s="4" t="s">
        <v>2880</v>
      </c>
      <c r="INF1336" s="4" t="s">
        <v>2880</v>
      </c>
      <c r="ING1336" s="4" t="s">
        <v>2880</v>
      </c>
      <c r="INH1336" s="4" t="s">
        <v>2880</v>
      </c>
      <c r="INI1336" s="4" t="s">
        <v>2880</v>
      </c>
      <c r="INJ1336" s="4" t="s">
        <v>2880</v>
      </c>
      <c r="INK1336" s="4" t="s">
        <v>2880</v>
      </c>
      <c r="INL1336" s="4" t="s">
        <v>2880</v>
      </c>
      <c r="INM1336" s="4" t="s">
        <v>2880</v>
      </c>
      <c r="INN1336" s="4" t="s">
        <v>2880</v>
      </c>
      <c r="INO1336" s="4" t="s">
        <v>2880</v>
      </c>
      <c r="INP1336" s="4" t="s">
        <v>2880</v>
      </c>
      <c r="INQ1336" s="4" t="s">
        <v>2880</v>
      </c>
      <c r="INR1336" s="4" t="s">
        <v>2880</v>
      </c>
      <c r="INS1336" s="4" t="s">
        <v>2880</v>
      </c>
      <c r="INT1336" s="4" t="s">
        <v>2880</v>
      </c>
      <c r="INU1336" s="4" t="s">
        <v>2880</v>
      </c>
      <c r="INV1336" s="4" t="s">
        <v>2880</v>
      </c>
      <c r="INW1336" s="4" t="s">
        <v>2880</v>
      </c>
      <c r="INX1336" s="4" t="s">
        <v>2880</v>
      </c>
      <c r="INY1336" s="4" t="s">
        <v>2880</v>
      </c>
      <c r="INZ1336" s="4" t="s">
        <v>2880</v>
      </c>
      <c r="IOA1336" s="4" t="s">
        <v>2880</v>
      </c>
      <c r="IOB1336" s="4" t="s">
        <v>2880</v>
      </c>
      <c r="IOC1336" s="4" t="s">
        <v>2880</v>
      </c>
      <c r="IOD1336" s="4" t="s">
        <v>2880</v>
      </c>
      <c r="IOE1336" s="4" t="s">
        <v>2880</v>
      </c>
      <c r="IOF1336" s="4" t="s">
        <v>2880</v>
      </c>
      <c r="IOG1336" s="4" t="s">
        <v>2880</v>
      </c>
      <c r="IOH1336" s="4" t="s">
        <v>2880</v>
      </c>
      <c r="IOI1336" s="4" t="s">
        <v>2880</v>
      </c>
      <c r="IOJ1336" s="4" t="s">
        <v>2880</v>
      </c>
      <c r="IOK1336" s="4" t="s">
        <v>2880</v>
      </c>
      <c r="IOL1336" s="4" t="s">
        <v>2880</v>
      </c>
      <c r="IOM1336" s="4" t="s">
        <v>2880</v>
      </c>
      <c r="ION1336" s="4" t="s">
        <v>2880</v>
      </c>
      <c r="IOO1336" s="4" t="s">
        <v>2880</v>
      </c>
      <c r="IOP1336" s="4" t="s">
        <v>2880</v>
      </c>
      <c r="IOQ1336" s="4" t="s">
        <v>2880</v>
      </c>
      <c r="IOR1336" s="4" t="s">
        <v>2880</v>
      </c>
      <c r="IOS1336" s="4" t="s">
        <v>2880</v>
      </c>
      <c r="IOT1336" s="4" t="s">
        <v>2880</v>
      </c>
      <c r="IOU1336" s="4" t="s">
        <v>2880</v>
      </c>
      <c r="IOV1336" s="4" t="s">
        <v>2880</v>
      </c>
      <c r="IOW1336" s="4" t="s">
        <v>2880</v>
      </c>
      <c r="IOX1336" s="4" t="s">
        <v>2880</v>
      </c>
      <c r="IOY1336" s="4" t="s">
        <v>2880</v>
      </c>
      <c r="IOZ1336" s="4" t="s">
        <v>2880</v>
      </c>
      <c r="IPA1336" s="4" t="s">
        <v>2880</v>
      </c>
      <c r="IPB1336" s="4" t="s">
        <v>2880</v>
      </c>
      <c r="IPC1336" s="4" t="s">
        <v>2880</v>
      </c>
      <c r="IPD1336" s="4" t="s">
        <v>2880</v>
      </c>
      <c r="IPE1336" s="4" t="s">
        <v>2880</v>
      </c>
      <c r="IPF1336" s="4" t="s">
        <v>2880</v>
      </c>
      <c r="IPG1336" s="4" t="s">
        <v>2880</v>
      </c>
      <c r="IPH1336" s="4" t="s">
        <v>2880</v>
      </c>
      <c r="IPI1336" s="4" t="s">
        <v>2880</v>
      </c>
      <c r="IPJ1336" s="4" t="s">
        <v>2880</v>
      </c>
      <c r="IPK1336" s="4" t="s">
        <v>2880</v>
      </c>
      <c r="IPL1336" s="4" t="s">
        <v>2880</v>
      </c>
      <c r="IPM1336" s="4" t="s">
        <v>2880</v>
      </c>
      <c r="IPN1336" s="4" t="s">
        <v>2880</v>
      </c>
      <c r="IPO1336" s="4" t="s">
        <v>2880</v>
      </c>
      <c r="IPP1336" s="4" t="s">
        <v>2880</v>
      </c>
      <c r="IPQ1336" s="4" t="s">
        <v>2880</v>
      </c>
      <c r="IPR1336" s="4" t="s">
        <v>2880</v>
      </c>
      <c r="IPS1336" s="4" t="s">
        <v>2880</v>
      </c>
      <c r="IPT1336" s="4" t="s">
        <v>2880</v>
      </c>
      <c r="IPU1336" s="4" t="s">
        <v>2880</v>
      </c>
      <c r="IPV1336" s="4" t="s">
        <v>2880</v>
      </c>
      <c r="IPW1336" s="4" t="s">
        <v>2880</v>
      </c>
      <c r="IPX1336" s="4" t="s">
        <v>2880</v>
      </c>
      <c r="IPY1336" s="4" t="s">
        <v>2880</v>
      </c>
      <c r="IPZ1336" s="4" t="s">
        <v>2880</v>
      </c>
      <c r="IQA1336" s="4" t="s">
        <v>2880</v>
      </c>
      <c r="IQB1336" s="4" t="s">
        <v>2880</v>
      </c>
      <c r="IQC1336" s="4" t="s">
        <v>2880</v>
      </c>
      <c r="IQD1336" s="4" t="s">
        <v>2880</v>
      </c>
      <c r="IQE1336" s="4" t="s">
        <v>2880</v>
      </c>
      <c r="IQF1336" s="4" t="s">
        <v>2880</v>
      </c>
      <c r="IQG1336" s="4" t="s">
        <v>2880</v>
      </c>
      <c r="IQH1336" s="4" t="s">
        <v>2880</v>
      </c>
      <c r="IQI1336" s="4" t="s">
        <v>2880</v>
      </c>
      <c r="IQJ1336" s="4" t="s">
        <v>2880</v>
      </c>
      <c r="IQK1336" s="4" t="s">
        <v>2880</v>
      </c>
      <c r="IQL1336" s="4" t="s">
        <v>2880</v>
      </c>
      <c r="IQM1336" s="4" t="s">
        <v>2880</v>
      </c>
      <c r="IQN1336" s="4" t="s">
        <v>2880</v>
      </c>
      <c r="IQO1336" s="4" t="s">
        <v>2880</v>
      </c>
      <c r="IQP1336" s="4" t="s">
        <v>2880</v>
      </c>
      <c r="IQQ1336" s="4" t="s">
        <v>2880</v>
      </c>
      <c r="IQR1336" s="4" t="s">
        <v>2880</v>
      </c>
      <c r="IQS1336" s="4" t="s">
        <v>2880</v>
      </c>
      <c r="IQT1336" s="4" t="s">
        <v>2880</v>
      </c>
      <c r="IQU1336" s="4" t="s">
        <v>2880</v>
      </c>
      <c r="IQV1336" s="4" t="s">
        <v>2880</v>
      </c>
      <c r="IQW1336" s="4" t="s">
        <v>2880</v>
      </c>
      <c r="IQX1336" s="4" t="s">
        <v>2880</v>
      </c>
      <c r="IQY1336" s="4" t="s">
        <v>2880</v>
      </c>
      <c r="IQZ1336" s="4" t="s">
        <v>2880</v>
      </c>
      <c r="IRA1336" s="4" t="s">
        <v>2880</v>
      </c>
      <c r="IRB1336" s="4" t="s">
        <v>2880</v>
      </c>
      <c r="IRC1336" s="4" t="s">
        <v>2880</v>
      </c>
      <c r="IRD1336" s="4" t="s">
        <v>2880</v>
      </c>
      <c r="IRE1336" s="4" t="s">
        <v>2880</v>
      </c>
      <c r="IRF1336" s="4" t="s">
        <v>2880</v>
      </c>
      <c r="IRG1336" s="4" t="s">
        <v>2880</v>
      </c>
      <c r="IRH1336" s="4" t="s">
        <v>2880</v>
      </c>
      <c r="IRI1336" s="4" t="s">
        <v>2880</v>
      </c>
      <c r="IRJ1336" s="4" t="s">
        <v>2880</v>
      </c>
      <c r="IRK1336" s="4" t="s">
        <v>2880</v>
      </c>
      <c r="IRL1336" s="4" t="s">
        <v>2880</v>
      </c>
      <c r="IRM1336" s="4" t="s">
        <v>2880</v>
      </c>
      <c r="IRN1336" s="4" t="s">
        <v>2880</v>
      </c>
      <c r="IRO1336" s="4" t="s">
        <v>2880</v>
      </c>
      <c r="IRP1336" s="4" t="s">
        <v>2880</v>
      </c>
      <c r="IRQ1336" s="4" t="s">
        <v>2880</v>
      </c>
      <c r="IRR1336" s="4" t="s">
        <v>2880</v>
      </c>
      <c r="IRS1336" s="4" t="s">
        <v>2880</v>
      </c>
      <c r="IRT1336" s="4" t="s">
        <v>2880</v>
      </c>
      <c r="IRU1336" s="4" t="s">
        <v>2880</v>
      </c>
      <c r="IRV1336" s="4" t="s">
        <v>2880</v>
      </c>
      <c r="IRW1336" s="4" t="s">
        <v>2880</v>
      </c>
      <c r="IRX1336" s="4" t="s">
        <v>2880</v>
      </c>
      <c r="IRY1336" s="4" t="s">
        <v>2880</v>
      </c>
      <c r="IRZ1336" s="4" t="s">
        <v>2880</v>
      </c>
      <c r="ISA1336" s="4" t="s">
        <v>2880</v>
      </c>
      <c r="ISB1336" s="4" t="s">
        <v>2880</v>
      </c>
      <c r="ISC1336" s="4" t="s">
        <v>2880</v>
      </c>
      <c r="ISD1336" s="4" t="s">
        <v>2880</v>
      </c>
      <c r="ISE1336" s="4" t="s">
        <v>2880</v>
      </c>
      <c r="ISF1336" s="4" t="s">
        <v>2880</v>
      </c>
      <c r="ISG1336" s="4" t="s">
        <v>2880</v>
      </c>
      <c r="ISH1336" s="4" t="s">
        <v>2880</v>
      </c>
      <c r="ISI1336" s="4" t="s">
        <v>2880</v>
      </c>
      <c r="ISJ1336" s="4" t="s">
        <v>2880</v>
      </c>
      <c r="ISK1336" s="4" t="s">
        <v>2880</v>
      </c>
      <c r="ISL1336" s="4" t="s">
        <v>2880</v>
      </c>
      <c r="ISM1336" s="4" t="s">
        <v>2880</v>
      </c>
      <c r="ISN1336" s="4" t="s">
        <v>2880</v>
      </c>
      <c r="ISO1336" s="4" t="s">
        <v>2880</v>
      </c>
      <c r="ISP1336" s="4" t="s">
        <v>2880</v>
      </c>
      <c r="ISQ1336" s="4" t="s">
        <v>2880</v>
      </c>
      <c r="ISR1336" s="4" t="s">
        <v>2880</v>
      </c>
      <c r="ISS1336" s="4" t="s">
        <v>2880</v>
      </c>
      <c r="IST1336" s="4" t="s">
        <v>2880</v>
      </c>
      <c r="ISU1336" s="4" t="s">
        <v>2880</v>
      </c>
      <c r="ISV1336" s="4" t="s">
        <v>2880</v>
      </c>
      <c r="ISW1336" s="4" t="s">
        <v>2880</v>
      </c>
      <c r="ISX1336" s="4" t="s">
        <v>2880</v>
      </c>
      <c r="ISY1336" s="4" t="s">
        <v>2880</v>
      </c>
      <c r="ISZ1336" s="4" t="s">
        <v>2880</v>
      </c>
      <c r="ITA1336" s="4" t="s">
        <v>2880</v>
      </c>
      <c r="ITB1336" s="4" t="s">
        <v>2880</v>
      </c>
      <c r="ITC1336" s="4" t="s">
        <v>2880</v>
      </c>
      <c r="ITD1336" s="4" t="s">
        <v>2880</v>
      </c>
      <c r="ITE1336" s="4" t="s">
        <v>2880</v>
      </c>
      <c r="ITF1336" s="4" t="s">
        <v>2880</v>
      </c>
      <c r="ITG1336" s="4" t="s">
        <v>2880</v>
      </c>
      <c r="ITH1336" s="4" t="s">
        <v>2880</v>
      </c>
      <c r="ITI1336" s="4" t="s">
        <v>2880</v>
      </c>
      <c r="ITJ1336" s="4" t="s">
        <v>2880</v>
      </c>
      <c r="ITK1336" s="4" t="s">
        <v>2880</v>
      </c>
      <c r="ITL1336" s="4" t="s">
        <v>2880</v>
      </c>
      <c r="ITM1336" s="4" t="s">
        <v>2880</v>
      </c>
      <c r="ITN1336" s="4" t="s">
        <v>2880</v>
      </c>
      <c r="ITO1336" s="4" t="s">
        <v>2880</v>
      </c>
      <c r="ITP1336" s="4" t="s">
        <v>2880</v>
      </c>
      <c r="ITQ1336" s="4" t="s">
        <v>2880</v>
      </c>
      <c r="ITR1336" s="4" t="s">
        <v>2880</v>
      </c>
      <c r="ITS1336" s="4" t="s">
        <v>2880</v>
      </c>
      <c r="ITT1336" s="4" t="s">
        <v>2880</v>
      </c>
      <c r="ITU1336" s="4" t="s">
        <v>2880</v>
      </c>
      <c r="ITV1336" s="4" t="s">
        <v>2880</v>
      </c>
      <c r="ITW1336" s="4" t="s">
        <v>2880</v>
      </c>
      <c r="ITX1336" s="4" t="s">
        <v>2880</v>
      </c>
      <c r="ITY1336" s="4" t="s">
        <v>2880</v>
      </c>
      <c r="ITZ1336" s="4" t="s">
        <v>2880</v>
      </c>
      <c r="IUA1336" s="4" t="s">
        <v>2880</v>
      </c>
      <c r="IUB1336" s="4" t="s">
        <v>2880</v>
      </c>
      <c r="IUC1336" s="4" t="s">
        <v>2880</v>
      </c>
      <c r="IUD1336" s="4" t="s">
        <v>2880</v>
      </c>
      <c r="IUE1336" s="4" t="s">
        <v>2880</v>
      </c>
      <c r="IUF1336" s="4" t="s">
        <v>2880</v>
      </c>
      <c r="IUG1336" s="4" t="s">
        <v>2880</v>
      </c>
      <c r="IUH1336" s="4" t="s">
        <v>2880</v>
      </c>
      <c r="IUI1336" s="4" t="s">
        <v>2880</v>
      </c>
      <c r="IUJ1336" s="4" t="s">
        <v>2880</v>
      </c>
      <c r="IUK1336" s="4" t="s">
        <v>2880</v>
      </c>
      <c r="IUL1336" s="4" t="s">
        <v>2880</v>
      </c>
      <c r="IUM1336" s="4" t="s">
        <v>2880</v>
      </c>
      <c r="IUN1336" s="4" t="s">
        <v>2880</v>
      </c>
      <c r="IUO1336" s="4" t="s">
        <v>2880</v>
      </c>
      <c r="IUP1336" s="4" t="s">
        <v>2880</v>
      </c>
      <c r="IUQ1336" s="4" t="s">
        <v>2880</v>
      </c>
      <c r="IUR1336" s="4" t="s">
        <v>2880</v>
      </c>
      <c r="IUS1336" s="4" t="s">
        <v>2880</v>
      </c>
      <c r="IUT1336" s="4" t="s">
        <v>2880</v>
      </c>
      <c r="IUU1336" s="4" t="s">
        <v>2880</v>
      </c>
      <c r="IUV1336" s="4" t="s">
        <v>2880</v>
      </c>
      <c r="IUW1336" s="4" t="s">
        <v>2880</v>
      </c>
      <c r="IUX1336" s="4" t="s">
        <v>2880</v>
      </c>
      <c r="IUY1336" s="4" t="s">
        <v>2880</v>
      </c>
      <c r="IUZ1336" s="4" t="s">
        <v>2880</v>
      </c>
      <c r="IVA1336" s="4" t="s">
        <v>2880</v>
      </c>
      <c r="IVB1336" s="4" t="s">
        <v>2880</v>
      </c>
      <c r="IVC1336" s="4" t="s">
        <v>2880</v>
      </c>
      <c r="IVD1336" s="4" t="s">
        <v>2880</v>
      </c>
      <c r="IVE1336" s="4" t="s">
        <v>2880</v>
      </c>
      <c r="IVF1336" s="4" t="s">
        <v>2880</v>
      </c>
      <c r="IVG1336" s="4" t="s">
        <v>2880</v>
      </c>
      <c r="IVH1336" s="4" t="s">
        <v>2880</v>
      </c>
      <c r="IVI1336" s="4" t="s">
        <v>2880</v>
      </c>
      <c r="IVJ1336" s="4" t="s">
        <v>2880</v>
      </c>
      <c r="IVK1336" s="4" t="s">
        <v>2880</v>
      </c>
      <c r="IVL1336" s="4" t="s">
        <v>2880</v>
      </c>
      <c r="IVM1336" s="4" t="s">
        <v>2880</v>
      </c>
      <c r="IVN1336" s="4" t="s">
        <v>2880</v>
      </c>
      <c r="IVO1336" s="4" t="s">
        <v>2880</v>
      </c>
      <c r="IVP1336" s="4" t="s">
        <v>2880</v>
      </c>
      <c r="IVQ1336" s="4" t="s">
        <v>2880</v>
      </c>
      <c r="IVR1336" s="4" t="s">
        <v>2880</v>
      </c>
      <c r="IVS1336" s="4" t="s">
        <v>2880</v>
      </c>
      <c r="IVT1336" s="4" t="s">
        <v>2880</v>
      </c>
      <c r="IVU1336" s="4" t="s">
        <v>2880</v>
      </c>
      <c r="IVV1336" s="4" t="s">
        <v>2880</v>
      </c>
      <c r="IVW1336" s="4" t="s">
        <v>2880</v>
      </c>
      <c r="IVX1336" s="4" t="s">
        <v>2880</v>
      </c>
      <c r="IVY1336" s="4" t="s">
        <v>2880</v>
      </c>
      <c r="IVZ1336" s="4" t="s">
        <v>2880</v>
      </c>
      <c r="IWA1336" s="4" t="s">
        <v>2880</v>
      </c>
      <c r="IWB1336" s="4" t="s">
        <v>2880</v>
      </c>
      <c r="IWC1336" s="4" t="s">
        <v>2880</v>
      </c>
      <c r="IWD1336" s="4" t="s">
        <v>2880</v>
      </c>
      <c r="IWE1336" s="4" t="s">
        <v>2880</v>
      </c>
      <c r="IWF1336" s="4" t="s">
        <v>2880</v>
      </c>
      <c r="IWG1336" s="4" t="s">
        <v>2880</v>
      </c>
      <c r="IWH1336" s="4" t="s">
        <v>2880</v>
      </c>
      <c r="IWI1336" s="4" t="s">
        <v>2880</v>
      </c>
      <c r="IWJ1336" s="4" t="s">
        <v>2880</v>
      </c>
      <c r="IWK1336" s="4" t="s">
        <v>2880</v>
      </c>
      <c r="IWL1336" s="4" t="s">
        <v>2880</v>
      </c>
      <c r="IWM1336" s="4" t="s">
        <v>2880</v>
      </c>
      <c r="IWN1336" s="4" t="s">
        <v>2880</v>
      </c>
      <c r="IWO1336" s="4" t="s">
        <v>2880</v>
      </c>
      <c r="IWP1336" s="4" t="s">
        <v>2880</v>
      </c>
      <c r="IWQ1336" s="4" t="s">
        <v>2880</v>
      </c>
      <c r="IWR1336" s="4" t="s">
        <v>2880</v>
      </c>
      <c r="IWS1336" s="4" t="s">
        <v>2880</v>
      </c>
      <c r="IWT1336" s="4" t="s">
        <v>2880</v>
      </c>
      <c r="IWU1336" s="4" t="s">
        <v>2880</v>
      </c>
      <c r="IWV1336" s="4" t="s">
        <v>2880</v>
      </c>
      <c r="IWW1336" s="4" t="s">
        <v>2880</v>
      </c>
      <c r="IWX1336" s="4" t="s">
        <v>2880</v>
      </c>
      <c r="IWY1336" s="4" t="s">
        <v>2880</v>
      </c>
      <c r="IWZ1336" s="4" t="s">
        <v>2880</v>
      </c>
      <c r="IXA1336" s="4" t="s">
        <v>2880</v>
      </c>
      <c r="IXB1336" s="4" t="s">
        <v>2880</v>
      </c>
      <c r="IXC1336" s="4" t="s">
        <v>2880</v>
      </c>
      <c r="IXD1336" s="4" t="s">
        <v>2880</v>
      </c>
      <c r="IXE1336" s="4" t="s">
        <v>2880</v>
      </c>
      <c r="IXF1336" s="4" t="s">
        <v>2880</v>
      </c>
      <c r="IXG1336" s="4" t="s">
        <v>2880</v>
      </c>
      <c r="IXH1336" s="4" t="s">
        <v>2880</v>
      </c>
      <c r="IXI1336" s="4" t="s">
        <v>2880</v>
      </c>
      <c r="IXJ1336" s="4" t="s">
        <v>2880</v>
      </c>
      <c r="IXK1336" s="4" t="s">
        <v>2880</v>
      </c>
      <c r="IXL1336" s="4" t="s">
        <v>2880</v>
      </c>
      <c r="IXM1336" s="4" t="s">
        <v>2880</v>
      </c>
      <c r="IXN1336" s="4" t="s">
        <v>2880</v>
      </c>
      <c r="IXO1336" s="4" t="s">
        <v>2880</v>
      </c>
      <c r="IXP1336" s="4" t="s">
        <v>2880</v>
      </c>
      <c r="IXQ1336" s="4" t="s">
        <v>2880</v>
      </c>
      <c r="IXR1336" s="4" t="s">
        <v>2880</v>
      </c>
      <c r="IXS1336" s="4" t="s">
        <v>2880</v>
      </c>
      <c r="IXT1336" s="4" t="s">
        <v>2880</v>
      </c>
      <c r="IXU1336" s="4" t="s">
        <v>2880</v>
      </c>
      <c r="IXV1336" s="4" t="s">
        <v>2880</v>
      </c>
      <c r="IXW1336" s="4" t="s">
        <v>2880</v>
      </c>
      <c r="IXX1336" s="4" t="s">
        <v>2880</v>
      </c>
      <c r="IXY1336" s="4" t="s">
        <v>2880</v>
      </c>
      <c r="IXZ1336" s="4" t="s">
        <v>2880</v>
      </c>
      <c r="IYA1336" s="4" t="s">
        <v>2880</v>
      </c>
      <c r="IYB1336" s="4" t="s">
        <v>2880</v>
      </c>
      <c r="IYC1336" s="4" t="s">
        <v>2880</v>
      </c>
      <c r="IYD1336" s="4" t="s">
        <v>2880</v>
      </c>
      <c r="IYE1336" s="4" t="s">
        <v>2880</v>
      </c>
      <c r="IYF1336" s="4" t="s">
        <v>2880</v>
      </c>
      <c r="IYG1336" s="4" t="s">
        <v>2880</v>
      </c>
      <c r="IYH1336" s="4" t="s">
        <v>2880</v>
      </c>
      <c r="IYI1336" s="4" t="s">
        <v>2880</v>
      </c>
      <c r="IYJ1336" s="4" t="s">
        <v>2880</v>
      </c>
      <c r="IYK1336" s="4" t="s">
        <v>2880</v>
      </c>
      <c r="IYL1336" s="4" t="s">
        <v>2880</v>
      </c>
      <c r="IYM1336" s="4" t="s">
        <v>2880</v>
      </c>
      <c r="IYN1336" s="4" t="s">
        <v>2880</v>
      </c>
      <c r="IYO1336" s="4" t="s">
        <v>2880</v>
      </c>
      <c r="IYP1336" s="4" t="s">
        <v>2880</v>
      </c>
      <c r="IYQ1336" s="4" t="s">
        <v>2880</v>
      </c>
      <c r="IYR1336" s="4" t="s">
        <v>2880</v>
      </c>
      <c r="IYS1336" s="4" t="s">
        <v>2880</v>
      </c>
      <c r="IYT1336" s="4" t="s">
        <v>2880</v>
      </c>
      <c r="IYU1336" s="4" t="s">
        <v>2880</v>
      </c>
      <c r="IYV1336" s="4" t="s">
        <v>2880</v>
      </c>
      <c r="IYW1336" s="4" t="s">
        <v>2880</v>
      </c>
      <c r="IYX1336" s="4" t="s">
        <v>2880</v>
      </c>
      <c r="IYY1336" s="4" t="s">
        <v>2880</v>
      </c>
      <c r="IYZ1336" s="4" t="s">
        <v>2880</v>
      </c>
      <c r="IZA1336" s="4" t="s">
        <v>2880</v>
      </c>
      <c r="IZB1336" s="4" t="s">
        <v>2880</v>
      </c>
      <c r="IZC1336" s="4" t="s">
        <v>2880</v>
      </c>
      <c r="IZD1336" s="4" t="s">
        <v>2880</v>
      </c>
      <c r="IZE1336" s="4" t="s">
        <v>2880</v>
      </c>
      <c r="IZF1336" s="4" t="s">
        <v>2880</v>
      </c>
      <c r="IZG1336" s="4" t="s">
        <v>2880</v>
      </c>
      <c r="IZH1336" s="4" t="s">
        <v>2880</v>
      </c>
      <c r="IZI1336" s="4" t="s">
        <v>2880</v>
      </c>
      <c r="IZJ1336" s="4" t="s">
        <v>2880</v>
      </c>
      <c r="IZK1336" s="4" t="s">
        <v>2880</v>
      </c>
      <c r="IZL1336" s="4" t="s">
        <v>2880</v>
      </c>
      <c r="IZM1336" s="4" t="s">
        <v>2880</v>
      </c>
      <c r="IZN1336" s="4" t="s">
        <v>2880</v>
      </c>
      <c r="IZO1336" s="4" t="s">
        <v>2880</v>
      </c>
      <c r="IZP1336" s="4" t="s">
        <v>2880</v>
      </c>
      <c r="IZQ1336" s="4" t="s">
        <v>2880</v>
      </c>
      <c r="IZR1336" s="4" t="s">
        <v>2880</v>
      </c>
      <c r="IZS1336" s="4" t="s">
        <v>2880</v>
      </c>
      <c r="IZT1336" s="4" t="s">
        <v>2880</v>
      </c>
      <c r="IZU1336" s="4" t="s">
        <v>2880</v>
      </c>
      <c r="IZV1336" s="4" t="s">
        <v>2880</v>
      </c>
      <c r="IZW1336" s="4" t="s">
        <v>2880</v>
      </c>
      <c r="IZX1336" s="4" t="s">
        <v>2880</v>
      </c>
      <c r="IZY1336" s="4" t="s">
        <v>2880</v>
      </c>
      <c r="IZZ1336" s="4" t="s">
        <v>2880</v>
      </c>
      <c r="JAA1336" s="4" t="s">
        <v>2880</v>
      </c>
      <c r="JAB1336" s="4" t="s">
        <v>2880</v>
      </c>
      <c r="JAC1336" s="4" t="s">
        <v>2880</v>
      </c>
      <c r="JAD1336" s="4" t="s">
        <v>2880</v>
      </c>
      <c r="JAE1336" s="4" t="s">
        <v>2880</v>
      </c>
      <c r="JAF1336" s="4" t="s">
        <v>2880</v>
      </c>
      <c r="JAG1336" s="4" t="s">
        <v>2880</v>
      </c>
      <c r="JAH1336" s="4" t="s">
        <v>2880</v>
      </c>
      <c r="JAI1336" s="4" t="s">
        <v>2880</v>
      </c>
      <c r="JAJ1336" s="4" t="s">
        <v>2880</v>
      </c>
      <c r="JAK1336" s="4" t="s">
        <v>2880</v>
      </c>
      <c r="JAL1336" s="4" t="s">
        <v>2880</v>
      </c>
      <c r="JAM1336" s="4" t="s">
        <v>2880</v>
      </c>
      <c r="JAN1336" s="4" t="s">
        <v>2880</v>
      </c>
      <c r="JAO1336" s="4" t="s">
        <v>2880</v>
      </c>
      <c r="JAP1336" s="4" t="s">
        <v>2880</v>
      </c>
      <c r="JAQ1336" s="4" t="s">
        <v>2880</v>
      </c>
      <c r="JAR1336" s="4" t="s">
        <v>2880</v>
      </c>
      <c r="JAS1336" s="4" t="s">
        <v>2880</v>
      </c>
      <c r="JAT1336" s="4" t="s">
        <v>2880</v>
      </c>
      <c r="JAU1336" s="4" t="s">
        <v>2880</v>
      </c>
      <c r="JAV1336" s="4" t="s">
        <v>2880</v>
      </c>
      <c r="JAW1336" s="4" t="s">
        <v>2880</v>
      </c>
      <c r="JAX1336" s="4" t="s">
        <v>2880</v>
      </c>
      <c r="JAY1336" s="4" t="s">
        <v>2880</v>
      </c>
      <c r="JAZ1336" s="4" t="s">
        <v>2880</v>
      </c>
      <c r="JBA1336" s="4" t="s">
        <v>2880</v>
      </c>
      <c r="JBB1336" s="4" t="s">
        <v>2880</v>
      </c>
      <c r="JBC1336" s="4" t="s">
        <v>2880</v>
      </c>
      <c r="JBD1336" s="4" t="s">
        <v>2880</v>
      </c>
      <c r="JBE1336" s="4" t="s">
        <v>2880</v>
      </c>
      <c r="JBF1336" s="4" t="s">
        <v>2880</v>
      </c>
      <c r="JBG1336" s="4" t="s">
        <v>2880</v>
      </c>
      <c r="JBH1336" s="4" t="s">
        <v>2880</v>
      </c>
      <c r="JBI1336" s="4" t="s">
        <v>2880</v>
      </c>
      <c r="JBJ1336" s="4" t="s">
        <v>2880</v>
      </c>
      <c r="JBK1336" s="4" t="s">
        <v>2880</v>
      </c>
      <c r="JBL1336" s="4" t="s">
        <v>2880</v>
      </c>
      <c r="JBM1336" s="4" t="s">
        <v>2880</v>
      </c>
      <c r="JBN1336" s="4" t="s">
        <v>2880</v>
      </c>
      <c r="JBO1336" s="4" t="s">
        <v>2880</v>
      </c>
      <c r="JBP1336" s="4" t="s">
        <v>2880</v>
      </c>
      <c r="JBQ1336" s="4" t="s">
        <v>2880</v>
      </c>
      <c r="JBR1336" s="4" t="s">
        <v>2880</v>
      </c>
      <c r="JBS1336" s="4" t="s">
        <v>2880</v>
      </c>
      <c r="JBT1336" s="4" t="s">
        <v>2880</v>
      </c>
      <c r="JBU1336" s="4" t="s">
        <v>2880</v>
      </c>
      <c r="JBV1336" s="4" t="s">
        <v>2880</v>
      </c>
      <c r="JBW1336" s="4" t="s">
        <v>2880</v>
      </c>
      <c r="JBX1336" s="4" t="s">
        <v>2880</v>
      </c>
      <c r="JBY1336" s="4" t="s">
        <v>2880</v>
      </c>
      <c r="JBZ1336" s="4" t="s">
        <v>2880</v>
      </c>
      <c r="JCA1336" s="4" t="s">
        <v>2880</v>
      </c>
      <c r="JCB1336" s="4" t="s">
        <v>2880</v>
      </c>
      <c r="JCC1336" s="4" t="s">
        <v>2880</v>
      </c>
      <c r="JCD1336" s="4" t="s">
        <v>2880</v>
      </c>
      <c r="JCE1336" s="4" t="s">
        <v>2880</v>
      </c>
      <c r="JCF1336" s="4" t="s">
        <v>2880</v>
      </c>
      <c r="JCG1336" s="4" t="s">
        <v>2880</v>
      </c>
      <c r="JCH1336" s="4" t="s">
        <v>2880</v>
      </c>
      <c r="JCI1336" s="4" t="s">
        <v>2880</v>
      </c>
      <c r="JCJ1336" s="4" t="s">
        <v>2880</v>
      </c>
      <c r="JCK1336" s="4" t="s">
        <v>2880</v>
      </c>
      <c r="JCL1336" s="4" t="s">
        <v>2880</v>
      </c>
      <c r="JCM1336" s="4" t="s">
        <v>2880</v>
      </c>
      <c r="JCN1336" s="4" t="s">
        <v>2880</v>
      </c>
      <c r="JCO1336" s="4" t="s">
        <v>2880</v>
      </c>
      <c r="JCP1336" s="4" t="s">
        <v>2880</v>
      </c>
      <c r="JCQ1336" s="4" t="s">
        <v>2880</v>
      </c>
      <c r="JCR1336" s="4" t="s">
        <v>2880</v>
      </c>
      <c r="JCS1336" s="4" t="s">
        <v>2880</v>
      </c>
      <c r="JCT1336" s="4" t="s">
        <v>2880</v>
      </c>
      <c r="JCU1336" s="4" t="s">
        <v>2880</v>
      </c>
      <c r="JCV1336" s="4" t="s">
        <v>2880</v>
      </c>
      <c r="JCW1336" s="4" t="s">
        <v>2880</v>
      </c>
      <c r="JCX1336" s="4" t="s">
        <v>2880</v>
      </c>
      <c r="JCY1336" s="4" t="s">
        <v>2880</v>
      </c>
      <c r="JCZ1336" s="4" t="s">
        <v>2880</v>
      </c>
      <c r="JDA1336" s="4" t="s">
        <v>2880</v>
      </c>
      <c r="JDB1336" s="4" t="s">
        <v>2880</v>
      </c>
      <c r="JDC1336" s="4" t="s">
        <v>2880</v>
      </c>
      <c r="JDD1336" s="4" t="s">
        <v>2880</v>
      </c>
      <c r="JDE1336" s="4" t="s">
        <v>2880</v>
      </c>
      <c r="JDF1336" s="4" t="s">
        <v>2880</v>
      </c>
      <c r="JDG1336" s="4" t="s">
        <v>2880</v>
      </c>
      <c r="JDH1336" s="4" t="s">
        <v>2880</v>
      </c>
      <c r="JDI1336" s="4" t="s">
        <v>2880</v>
      </c>
      <c r="JDJ1336" s="4" t="s">
        <v>2880</v>
      </c>
      <c r="JDK1336" s="4" t="s">
        <v>2880</v>
      </c>
      <c r="JDL1336" s="4" t="s">
        <v>2880</v>
      </c>
      <c r="JDM1336" s="4" t="s">
        <v>2880</v>
      </c>
      <c r="JDN1336" s="4" t="s">
        <v>2880</v>
      </c>
      <c r="JDO1336" s="4" t="s">
        <v>2880</v>
      </c>
      <c r="JDP1336" s="4" t="s">
        <v>2880</v>
      </c>
      <c r="JDQ1336" s="4" t="s">
        <v>2880</v>
      </c>
      <c r="JDR1336" s="4" t="s">
        <v>2880</v>
      </c>
      <c r="JDS1336" s="4" t="s">
        <v>2880</v>
      </c>
      <c r="JDT1336" s="4" t="s">
        <v>2880</v>
      </c>
      <c r="JDU1336" s="4" t="s">
        <v>2880</v>
      </c>
      <c r="JDV1336" s="4" t="s">
        <v>2880</v>
      </c>
      <c r="JDW1336" s="4" t="s">
        <v>2880</v>
      </c>
      <c r="JDX1336" s="4" t="s">
        <v>2880</v>
      </c>
      <c r="JDY1336" s="4" t="s">
        <v>2880</v>
      </c>
      <c r="JDZ1336" s="4" t="s">
        <v>2880</v>
      </c>
      <c r="JEA1336" s="4" t="s">
        <v>2880</v>
      </c>
      <c r="JEB1336" s="4" t="s">
        <v>2880</v>
      </c>
      <c r="JEC1336" s="4" t="s">
        <v>2880</v>
      </c>
      <c r="JED1336" s="4" t="s">
        <v>2880</v>
      </c>
      <c r="JEE1336" s="4" t="s">
        <v>2880</v>
      </c>
      <c r="JEF1336" s="4" t="s">
        <v>2880</v>
      </c>
      <c r="JEG1336" s="4" t="s">
        <v>2880</v>
      </c>
      <c r="JEH1336" s="4" t="s">
        <v>2880</v>
      </c>
      <c r="JEI1336" s="4" t="s">
        <v>2880</v>
      </c>
      <c r="JEJ1336" s="4" t="s">
        <v>2880</v>
      </c>
      <c r="JEK1336" s="4" t="s">
        <v>2880</v>
      </c>
      <c r="JEL1336" s="4" t="s">
        <v>2880</v>
      </c>
      <c r="JEM1336" s="4" t="s">
        <v>2880</v>
      </c>
      <c r="JEN1336" s="4" t="s">
        <v>2880</v>
      </c>
      <c r="JEO1336" s="4" t="s">
        <v>2880</v>
      </c>
      <c r="JEP1336" s="4" t="s">
        <v>2880</v>
      </c>
      <c r="JEQ1336" s="4" t="s">
        <v>2880</v>
      </c>
      <c r="JER1336" s="4" t="s">
        <v>2880</v>
      </c>
      <c r="JES1336" s="4" t="s">
        <v>2880</v>
      </c>
      <c r="JET1336" s="4" t="s">
        <v>2880</v>
      </c>
      <c r="JEU1336" s="4" t="s">
        <v>2880</v>
      </c>
      <c r="JEV1336" s="4" t="s">
        <v>2880</v>
      </c>
      <c r="JEW1336" s="4" t="s">
        <v>2880</v>
      </c>
      <c r="JEX1336" s="4" t="s">
        <v>2880</v>
      </c>
      <c r="JEY1336" s="4" t="s">
        <v>2880</v>
      </c>
      <c r="JEZ1336" s="4" t="s">
        <v>2880</v>
      </c>
      <c r="JFA1336" s="4" t="s">
        <v>2880</v>
      </c>
      <c r="JFB1336" s="4" t="s">
        <v>2880</v>
      </c>
      <c r="JFC1336" s="4" t="s">
        <v>2880</v>
      </c>
      <c r="JFD1336" s="4" t="s">
        <v>2880</v>
      </c>
      <c r="JFE1336" s="4" t="s">
        <v>2880</v>
      </c>
      <c r="JFF1336" s="4" t="s">
        <v>2880</v>
      </c>
      <c r="JFG1336" s="4" t="s">
        <v>2880</v>
      </c>
      <c r="JFH1336" s="4" t="s">
        <v>2880</v>
      </c>
      <c r="JFI1336" s="4" t="s">
        <v>2880</v>
      </c>
      <c r="JFJ1336" s="4" t="s">
        <v>2880</v>
      </c>
      <c r="JFK1336" s="4" t="s">
        <v>2880</v>
      </c>
      <c r="JFL1336" s="4" t="s">
        <v>2880</v>
      </c>
      <c r="JFM1336" s="4" t="s">
        <v>2880</v>
      </c>
      <c r="JFN1336" s="4" t="s">
        <v>2880</v>
      </c>
      <c r="JFO1336" s="4" t="s">
        <v>2880</v>
      </c>
      <c r="JFP1336" s="4" t="s">
        <v>2880</v>
      </c>
      <c r="JFQ1336" s="4" t="s">
        <v>2880</v>
      </c>
      <c r="JFR1336" s="4" t="s">
        <v>2880</v>
      </c>
      <c r="JFS1336" s="4" t="s">
        <v>2880</v>
      </c>
      <c r="JFT1336" s="4" t="s">
        <v>2880</v>
      </c>
      <c r="JFU1336" s="4" t="s">
        <v>2880</v>
      </c>
      <c r="JFV1336" s="4" t="s">
        <v>2880</v>
      </c>
      <c r="JFW1336" s="4" t="s">
        <v>2880</v>
      </c>
      <c r="JFX1336" s="4" t="s">
        <v>2880</v>
      </c>
      <c r="JFY1336" s="4" t="s">
        <v>2880</v>
      </c>
      <c r="JFZ1336" s="4" t="s">
        <v>2880</v>
      </c>
      <c r="JGA1336" s="4" t="s">
        <v>2880</v>
      </c>
      <c r="JGB1336" s="4" t="s">
        <v>2880</v>
      </c>
      <c r="JGC1336" s="4" t="s">
        <v>2880</v>
      </c>
      <c r="JGD1336" s="4" t="s">
        <v>2880</v>
      </c>
      <c r="JGE1336" s="4" t="s">
        <v>2880</v>
      </c>
      <c r="JGF1336" s="4" t="s">
        <v>2880</v>
      </c>
      <c r="JGG1336" s="4" t="s">
        <v>2880</v>
      </c>
      <c r="JGH1336" s="4" t="s">
        <v>2880</v>
      </c>
      <c r="JGI1336" s="4" t="s">
        <v>2880</v>
      </c>
      <c r="JGJ1336" s="4" t="s">
        <v>2880</v>
      </c>
      <c r="JGK1336" s="4" t="s">
        <v>2880</v>
      </c>
      <c r="JGL1336" s="4" t="s">
        <v>2880</v>
      </c>
      <c r="JGM1336" s="4" t="s">
        <v>2880</v>
      </c>
      <c r="JGN1336" s="4" t="s">
        <v>2880</v>
      </c>
      <c r="JGO1336" s="4" t="s">
        <v>2880</v>
      </c>
      <c r="JGP1336" s="4" t="s">
        <v>2880</v>
      </c>
      <c r="JGQ1336" s="4" t="s">
        <v>2880</v>
      </c>
      <c r="JGR1336" s="4" t="s">
        <v>2880</v>
      </c>
      <c r="JGS1336" s="4" t="s">
        <v>2880</v>
      </c>
      <c r="JGT1336" s="4" t="s">
        <v>2880</v>
      </c>
      <c r="JGU1336" s="4" t="s">
        <v>2880</v>
      </c>
      <c r="JGV1336" s="4" t="s">
        <v>2880</v>
      </c>
      <c r="JGW1336" s="4" t="s">
        <v>2880</v>
      </c>
      <c r="JGX1336" s="4" t="s">
        <v>2880</v>
      </c>
      <c r="JGY1336" s="4" t="s">
        <v>2880</v>
      </c>
      <c r="JGZ1336" s="4" t="s">
        <v>2880</v>
      </c>
      <c r="JHA1336" s="4" t="s">
        <v>2880</v>
      </c>
      <c r="JHB1336" s="4" t="s">
        <v>2880</v>
      </c>
      <c r="JHC1336" s="4" t="s">
        <v>2880</v>
      </c>
      <c r="JHD1336" s="4" t="s">
        <v>2880</v>
      </c>
      <c r="JHE1336" s="4" t="s">
        <v>2880</v>
      </c>
      <c r="JHF1336" s="4" t="s">
        <v>2880</v>
      </c>
      <c r="JHG1336" s="4" t="s">
        <v>2880</v>
      </c>
      <c r="JHH1336" s="4" t="s">
        <v>2880</v>
      </c>
      <c r="JHI1336" s="4" t="s">
        <v>2880</v>
      </c>
      <c r="JHJ1336" s="4" t="s">
        <v>2880</v>
      </c>
      <c r="JHK1336" s="4" t="s">
        <v>2880</v>
      </c>
      <c r="JHL1336" s="4" t="s">
        <v>2880</v>
      </c>
      <c r="JHM1336" s="4" t="s">
        <v>2880</v>
      </c>
      <c r="JHN1336" s="4" t="s">
        <v>2880</v>
      </c>
      <c r="JHO1336" s="4" t="s">
        <v>2880</v>
      </c>
      <c r="JHP1336" s="4" t="s">
        <v>2880</v>
      </c>
      <c r="JHQ1336" s="4" t="s">
        <v>2880</v>
      </c>
      <c r="JHR1336" s="4" t="s">
        <v>2880</v>
      </c>
      <c r="JHS1336" s="4" t="s">
        <v>2880</v>
      </c>
      <c r="JHT1336" s="4" t="s">
        <v>2880</v>
      </c>
      <c r="JHU1336" s="4" t="s">
        <v>2880</v>
      </c>
      <c r="JHV1336" s="4" t="s">
        <v>2880</v>
      </c>
      <c r="JHW1336" s="4" t="s">
        <v>2880</v>
      </c>
      <c r="JHX1336" s="4" t="s">
        <v>2880</v>
      </c>
      <c r="JHY1336" s="4" t="s">
        <v>2880</v>
      </c>
      <c r="JHZ1336" s="4" t="s">
        <v>2880</v>
      </c>
      <c r="JIA1336" s="4" t="s">
        <v>2880</v>
      </c>
      <c r="JIB1336" s="4" t="s">
        <v>2880</v>
      </c>
      <c r="JIC1336" s="4" t="s">
        <v>2880</v>
      </c>
      <c r="JID1336" s="4" t="s">
        <v>2880</v>
      </c>
      <c r="JIE1336" s="4" t="s">
        <v>2880</v>
      </c>
      <c r="JIF1336" s="4" t="s">
        <v>2880</v>
      </c>
      <c r="JIG1336" s="4" t="s">
        <v>2880</v>
      </c>
      <c r="JIH1336" s="4" t="s">
        <v>2880</v>
      </c>
      <c r="JII1336" s="4" t="s">
        <v>2880</v>
      </c>
      <c r="JIJ1336" s="4" t="s">
        <v>2880</v>
      </c>
      <c r="JIK1336" s="4" t="s">
        <v>2880</v>
      </c>
      <c r="JIL1336" s="4" t="s">
        <v>2880</v>
      </c>
      <c r="JIM1336" s="4" t="s">
        <v>2880</v>
      </c>
      <c r="JIN1336" s="4" t="s">
        <v>2880</v>
      </c>
      <c r="JIO1336" s="4" t="s">
        <v>2880</v>
      </c>
      <c r="JIP1336" s="4" t="s">
        <v>2880</v>
      </c>
      <c r="JIQ1336" s="4" t="s">
        <v>2880</v>
      </c>
      <c r="JIR1336" s="4" t="s">
        <v>2880</v>
      </c>
      <c r="JIS1336" s="4" t="s">
        <v>2880</v>
      </c>
      <c r="JIT1336" s="4" t="s">
        <v>2880</v>
      </c>
      <c r="JIU1336" s="4" t="s">
        <v>2880</v>
      </c>
      <c r="JIV1336" s="4" t="s">
        <v>2880</v>
      </c>
      <c r="JIW1336" s="4" t="s">
        <v>2880</v>
      </c>
      <c r="JIX1336" s="4" t="s">
        <v>2880</v>
      </c>
      <c r="JIY1336" s="4" t="s">
        <v>2880</v>
      </c>
      <c r="JIZ1336" s="4" t="s">
        <v>2880</v>
      </c>
      <c r="JJA1336" s="4" t="s">
        <v>2880</v>
      </c>
      <c r="JJB1336" s="4" t="s">
        <v>2880</v>
      </c>
      <c r="JJC1336" s="4" t="s">
        <v>2880</v>
      </c>
      <c r="JJD1336" s="4" t="s">
        <v>2880</v>
      </c>
      <c r="JJE1336" s="4" t="s">
        <v>2880</v>
      </c>
      <c r="JJF1336" s="4" t="s">
        <v>2880</v>
      </c>
      <c r="JJG1336" s="4" t="s">
        <v>2880</v>
      </c>
      <c r="JJH1336" s="4" t="s">
        <v>2880</v>
      </c>
      <c r="JJI1336" s="4" t="s">
        <v>2880</v>
      </c>
      <c r="JJJ1336" s="4" t="s">
        <v>2880</v>
      </c>
      <c r="JJK1336" s="4" t="s">
        <v>2880</v>
      </c>
      <c r="JJL1336" s="4" t="s">
        <v>2880</v>
      </c>
      <c r="JJM1336" s="4" t="s">
        <v>2880</v>
      </c>
      <c r="JJN1336" s="4" t="s">
        <v>2880</v>
      </c>
      <c r="JJO1336" s="4" t="s">
        <v>2880</v>
      </c>
      <c r="JJP1336" s="4" t="s">
        <v>2880</v>
      </c>
      <c r="JJQ1336" s="4" t="s">
        <v>2880</v>
      </c>
      <c r="JJR1336" s="4" t="s">
        <v>2880</v>
      </c>
      <c r="JJS1336" s="4" t="s">
        <v>2880</v>
      </c>
      <c r="JJT1336" s="4" t="s">
        <v>2880</v>
      </c>
      <c r="JJU1336" s="4" t="s">
        <v>2880</v>
      </c>
      <c r="JJV1336" s="4" t="s">
        <v>2880</v>
      </c>
      <c r="JJW1336" s="4" t="s">
        <v>2880</v>
      </c>
      <c r="JJX1336" s="4" t="s">
        <v>2880</v>
      </c>
      <c r="JJY1336" s="4" t="s">
        <v>2880</v>
      </c>
      <c r="JJZ1336" s="4" t="s">
        <v>2880</v>
      </c>
      <c r="JKA1336" s="4" t="s">
        <v>2880</v>
      </c>
      <c r="JKB1336" s="4" t="s">
        <v>2880</v>
      </c>
      <c r="JKC1336" s="4" t="s">
        <v>2880</v>
      </c>
      <c r="JKD1336" s="4" t="s">
        <v>2880</v>
      </c>
      <c r="JKE1336" s="4" t="s">
        <v>2880</v>
      </c>
      <c r="JKF1336" s="4" t="s">
        <v>2880</v>
      </c>
      <c r="JKG1336" s="4" t="s">
        <v>2880</v>
      </c>
      <c r="JKH1336" s="4" t="s">
        <v>2880</v>
      </c>
      <c r="JKI1336" s="4" t="s">
        <v>2880</v>
      </c>
      <c r="JKJ1336" s="4" t="s">
        <v>2880</v>
      </c>
      <c r="JKK1336" s="4" t="s">
        <v>2880</v>
      </c>
      <c r="JKL1336" s="4" t="s">
        <v>2880</v>
      </c>
      <c r="JKM1336" s="4" t="s">
        <v>2880</v>
      </c>
      <c r="JKN1336" s="4" t="s">
        <v>2880</v>
      </c>
      <c r="JKO1336" s="4" t="s">
        <v>2880</v>
      </c>
      <c r="JKP1336" s="4" t="s">
        <v>2880</v>
      </c>
      <c r="JKQ1336" s="4" t="s">
        <v>2880</v>
      </c>
      <c r="JKR1336" s="4" t="s">
        <v>2880</v>
      </c>
      <c r="JKS1336" s="4" t="s">
        <v>2880</v>
      </c>
      <c r="JKT1336" s="4" t="s">
        <v>2880</v>
      </c>
      <c r="JKU1336" s="4" t="s">
        <v>2880</v>
      </c>
      <c r="JKV1336" s="4" t="s">
        <v>2880</v>
      </c>
      <c r="JKW1336" s="4" t="s">
        <v>2880</v>
      </c>
      <c r="JKX1336" s="4" t="s">
        <v>2880</v>
      </c>
      <c r="JKY1336" s="4" t="s">
        <v>2880</v>
      </c>
      <c r="JKZ1336" s="4" t="s">
        <v>2880</v>
      </c>
      <c r="JLA1336" s="4" t="s">
        <v>2880</v>
      </c>
      <c r="JLB1336" s="4" t="s">
        <v>2880</v>
      </c>
      <c r="JLC1336" s="4" t="s">
        <v>2880</v>
      </c>
      <c r="JLD1336" s="4" t="s">
        <v>2880</v>
      </c>
      <c r="JLE1336" s="4" t="s">
        <v>2880</v>
      </c>
      <c r="JLF1336" s="4" t="s">
        <v>2880</v>
      </c>
      <c r="JLG1336" s="4" t="s">
        <v>2880</v>
      </c>
      <c r="JLH1336" s="4" t="s">
        <v>2880</v>
      </c>
      <c r="JLI1336" s="4" t="s">
        <v>2880</v>
      </c>
      <c r="JLJ1336" s="4" t="s">
        <v>2880</v>
      </c>
      <c r="JLK1336" s="4" t="s">
        <v>2880</v>
      </c>
      <c r="JLL1336" s="4" t="s">
        <v>2880</v>
      </c>
      <c r="JLM1336" s="4" t="s">
        <v>2880</v>
      </c>
      <c r="JLN1336" s="4" t="s">
        <v>2880</v>
      </c>
      <c r="JLO1336" s="4" t="s">
        <v>2880</v>
      </c>
      <c r="JLP1336" s="4" t="s">
        <v>2880</v>
      </c>
      <c r="JLQ1336" s="4" t="s">
        <v>2880</v>
      </c>
      <c r="JLR1336" s="4" t="s">
        <v>2880</v>
      </c>
      <c r="JLS1336" s="4" t="s">
        <v>2880</v>
      </c>
      <c r="JLT1336" s="4" t="s">
        <v>2880</v>
      </c>
      <c r="JLU1336" s="4" t="s">
        <v>2880</v>
      </c>
      <c r="JLV1336" s="4" t="s">
        <v>2880</v>
      </c>
      <c r="JLW1336" s="4" t="s">
        <v>2880</v>
      </c>
      <c r="JLX1336" s="4" t="s">
        <v>2880</v>
      </c>
      <c r="JLY1336" s="4" t="s">
        <v>2880</v>
      </c>
      <c r="JLZ1336" s="4" t="s">
        <v>2880</v>
      </c>
      <c r="JMA1336" s="4" t="s">
        <v>2880</v>
      </c>
      <c r="JMB1336" s="4" t="s">
        <v>2880</v>
      </c>
      <c r="JMC1336" s="4" t="s">
        <v>2880</v>
      </c>
      <c r="JMD1336" s="4" t="s">
        <v>2880</v>
      </c>
      <c r="JME1336" s="4" t="s">
        <v>2880</v>
      </c>
      <c r="JMF1336" s="4" t="s">
        <v>2880</v>
      </c>
      <c r="JMG1336" s="4" t="s">
        <v>2880</v>
      </c>
      <c r="JMH1336" s="4" t="s">
        <v>2880</v>
      </c>
      <c r="JMI1336" s="4" t="s">
        <v>2880</v>
      </c>
      <c r="JMJ1336" s="4" t="s">
        <v>2880</v>
      </c>
      <c r="JMK1336" s="4" t="s">
        <v>2880</v>
      </c>
      <c r="JML1336" s="4" t="s">
        <v>2880</v>
      </c>
      <c r="JMM1336" s="4" t="s">
        <v>2880</v>
      </c>
      <c r="JMN1336" s="4" t="s">
        <v>2880</v>
      </c>
      <c r="JMO1336" s="4" t="s">
        <v>2880</v>
      </c>
      <c r="JMP1336" s="4" t="s">
        <v>2880</v>
      </c>
      <c r="JMQ1336" s="4" t="s">
        <v>2880</v>
      </c>
      <c r="JMR1336" s="4" t="s">
        <v>2880</v>
      </c>
      <c r="JMS1336" s="4" t="s">
        <v>2880</v>
      </c>
      <c r="JMT1336" s="4" t="s">
        <v>2880</v>
      </c>
      <c r="JMU1336" s="4" t="s">
        <v>2880</v>
      </c>
      <c r="JMV1336" s="4" t="s">
        <v>2880</v>
      </c>
      <c r="JMW1336" s="4" t="s">
        <v>2880</v>
      </c>
      <c r="JMX1336" s="4" t="s">
        <v>2880</v>
      </c>
      <c r="JMY1336" s="4" t="s">
        <v>2880</v>
      </c>
      <c r="JMZ1336" s="4" t="s">
        <v>2880</v>
      </c>
      <c r="JNA1336" s="4" t="s">
        <v>2880</v>
      </c>
      <c r="JNB1336" s="4" t="s">
        <v>2880</v>
      </c>
      <c r="JNC1336" s="4" t="s">
        <v>2880</v>
      </c>
      <c r="JND1336" s="4" t="s">
        <v>2880</v>
      </c>
      <c r="JNE1336" s="4" t="s">
        <v>2880</v>
      </c>
      <c r="JNF1336" s="4" t="s">
        <v>2880</v>
      </c>
      <c r="JNG1336" s="4" t="s">
        <v>2880</v>
      </c>
      <c r="JNH1336" s="4" t="s">
        <v>2880</v>
      </c>
      <c r="JNI1336" s="4" t="s">
        <v>2880</v>
      </c>
      <c r="JNJ1336" s="4" t="s">
        <v>2880</v>
      </c>
      <c r="JNK1336" s="4" t="s">
        <v>2880</v>
      </c>
      <c r="JNL1336" s="4" t="s">
        <v>2880</v>
      </c>
      <c r="JNM1336" s="4" t="s">
        <v>2880</v>
      </c>
      <c r="JNN1336" s="4" t="s">
        <v>2880</v>
      </c>
      <c r="JNO1336" s="4" t="s">
        <v>2880</v>
      </c>
      <c r="JNP1336" s="4" t="s">
        <v>2880</v>
      </c>
      <c r="JNQ1336" s="4" t="s">
        <v>2880</v>
      </c>
      <c r="JNR1336" s="4" t="s">
        <v>2880</v>
      </c>
      <c r="JNS1336" s="4" t="s">
        <v>2880</v>
      </c>
      <c r="JNT1336" s="4" t="s">
        <v>2880</v>
      </c>
      <c r="JNU1336" s="4" t="s">
        <v>2880</v>
      </c>
      <c r="JNV1336" s="4" t="s">
        <v>2880</v>
      </c>
      <c r="JNW1336" s="4" t="s">
        <v>2880</v>
      </c>
      <c r="JNX1336" s="4" t="s">
        <v>2880</v>
      </c>
      <c r="JNY1336" s="4" t="s">
        <v>2880</v>
      </c>
      <c r="JNZ1336" s="4" t="s">
        <v>2880</v>
      </c>
      <c r="JOA1336" s="4" t="s">
        <v>2880</v>
      </c>
      <c r="JOB1336" s="4" t="s">
        <v>2880</v>
      </c>
      <c r="JOC1336" s="4" t="s">
        <v>2880</v>
      </c>
      <c r="JOD1336" s="4" t="s">
        <v>2880</v>
      </c>
      <c r="JOE1336" s="4" t="s">
        <v>2880</v>
      </c>
      <c r="JOF1336" s="4" t="s">
        <v>2880</v>
      </c>
      <c r="JOG1336" s="4" t="s">
        <v>2880</v>
      </c>
      <c r="JOH1336" s="4" t="s">
        <v>2880</v>
      </c>
      <c r="JOI1336" s="4" t="s">
        <v>2880</v>
      </c>
      <c r="JOJ1336" s="4" t="s">
        <v>2880</v>
      </c>
      <c r="JOK1336" s="4" t="s">
        <v>2880</v>
      </c>
      <c r="JOL1336" s="4" t="s">
        <v>2880</v>
      </c>
      <c r="JOM1336" s="4" t="s">
        <v>2880</v>
      </c>
      <c r="JON1336" s="4" t="s">
        <v>2880</v>
      </c>
      <c r="JOO1336" s="4" t="s">
        <v>2880</v>
      </c>
      <c r="JOP1336" s="4" t="s">
        <v>2880</v>
      </c>
      <c r="JOQ1336" s="4" t="s">
        <v>2880</v>
      </c>
      <c r="JOR1336" s="4" t="s">
        <v>2880</v>
      </c>
      <c r="JOS1336" s="4" t="s">
        <v>2880</v>
      </c>
      <c r="JOT1336" s="4" t="s">
        <v>2880</v>
      </c>
      <c r="JOU1336" s="4" t="s">
        <v>2880</v>
      </c>
      <c r="JOV1336" s="4" t="s">
        <v>2880</v>
      </c>
      <c r="JOW1336" s="4" t="s">
        <v>2880</v>
      </c>
      <c r="JOX1336" s="4" t="s">
        <v>2880</v>
      </c>
      <c r="JOY1336" s="4" t="s">
        <v>2880</v>
      </c>
      <c r="JOZ1336" s="4" t="s">
        <v>2880</v>
      </c>
      <c r="JPA1336" s="4" t="s">
        <v>2880</v>
      </c>
      <c r="JPB1336" s="4" t="s">
        <v>2880</v>
      </c>
      <c r="JPC1336" s="4" t="s">
        <v>2880</v>
      </c>
      <c r="JPD1336" s="4" t="s">
        <v>2880</v>
      </c>
      <c r="JPE1336" s="4" t="s">
        <v>2880</v>
      </c>
      <c r="JPF1336" s="4" t="s">
        <v>2880</v>
      </c>
      <c r="JPG1336" s="4" t="s">
        <v>2880</v>
      </c>
      <c r="JPH1336" s="4" t="s">
        <v>2880</v>
      </c>
      <c r="JPI1336" s="4" t="s">
        <v>2880</v>
      </c>
      <c r="JPJ1336" s="4" t="s">
        <v>2880</v>
      </c>
      <c r="JPK1336" s="4" t="s">
        <v>2880</v>
      </c>
      <c r="JPL1336" s="4" t="s">
        <v>2880</v>
      </c>
      <c r="JPM1336" s="4" t="s">
        <v>2880</v>
      </c>
      <c r="JPN1336" s="4" t="s">
        <v>2880</v>
      </c>
      <c r="JPO1336" s="4" t="s">
        <v>2880</v>
      </c>
      <c r="JPP1336" s="4" t="s">
        <v>2880</v>
      </c>
      <c r="JPQ1336" s="4" t="s">
        <v>2880</v>
      </c>
      <c r="JPR1336" s="4" t="s">
        <v>2880</v>
      </c>
      <c r="JPS1336" s="4" t="s">
        <v>2880</v>
      </c>
      <c r="JPT1336" s="4" t="s">
        <v>2880</v>
      </c>
      <c r="JPU1336" s="4" t="s">
        <v>2880</v>
      </c>
      <c r="JPV1336" s="4" t="s">
        <v>2880</v>
      </c>
      <c r="JPW1336" s="4" t="s">
        <v>2880</v>
      </c>
      <c r="JPX1336" s="4" t="s">
        <v>2880</v>
      </c>
      <c r="JPY1336" s="4" t="s">
        <v>2880</v>
      </c>
      <c r="JPZ1336" s="4" t="s">
        <v>2880</v>
      </c>
      <c r="JQA1336" s="4" t="s">
        <v>2880</v>
      </c>
      <c r="JQB1336" s="4" t="s">
        <v>2880</v>
      </c>
      <c r="JQC1336" s="4" t="s">
        <v>2880</v>
      </c>
      <c r="JQD1336" s="4" t="s">
        <v>2880</v>
      </c>
      <c r="JQE1336" s="4" t="s">
        <v>2880</v>
      </c>
      <c r="JQF1336" s="4" t="s">
        <v>2880</v>
      </c>
      <c r="JQG1336" s="4" t="s">
        <v>2880</v>
      </c>
      <c r="JQH1336" s="4" t="s">
        <v>2880</v>
      </c>
      <c r="JQI1336" s="4" t="s">
        <v>2880</v>
      </c>
      <c r="JQJ1336" s="4" t="s">
        <v>2880</v>
      </c>
      <c r="JQK1336" s="4" t="s">
        <v>2880</v>
      </c>
      <c r="JQL1336" s="4" t="s">
        <v>2880</v>
      </c>
      <c r="JQM1336" s="4" t="s">
        <v>2880</v>
      </c>
      <c r="JQN1336" s="4" t="s">
        <v>2880</v>
      </c>
      <c r="JQO1336" s="4" t="s">
        <v>2880</v>
      </c>
      <c r="JQP1336" s="4" t="s">
        <v>2880</v>
      </c>
      <c r="JQQ1336" s="4" t="s">
        <v>2880</v>
      </c>
      <c r="JQR1336" s="4" t="s">
        <v>2880</v>
      </c>
      <c r="JQS1336" s="4" t="s">
        <v>2880</v>
      </c>
      <c r="JQT1336" s="4" t="s">
        <v>2880</v>
      </c>
      <c r="JQU1336" s="4" t="s">
        <v>2880</v>
      </c>
      <c r="JQV1336" s="4" t="s">
        <v>2880</v>
      </c>
      <c r="JQW1336" s="4" t="s">
        <v>2880</v>
      </c>
      <c r="JQX1336" s="4" t="s">
        <v>2880</v>
      </c>
      <c r="JQY1336" s="4" t="s">
        <v>2880</v>
      </c>
      <c r="JQZ1336" s="4" t="s">
        <v>2880</v>
      </c>
      <c r="JRA1336" s="4" t="s">
        <v>2880</v>
      </c>
      <c r="JRB1336" s="4" t="s">
        <v>2880</v>
      </c>
      <c r="JRC1336" s="4" t="s">
        <v>2880</v>
      </c>
      <c r="JRD1336" s="4" t="s">
        <v>2880</v>
      </c>
      <c r="JRE1336" s="4" t="s">
        <v>2880</v>
      </c>
      <c r="JRF1336" s="4" t="s">
        <v>2880</v>
      </c>
      <c r="JRG1336" s="4" t="s">
        <v>2880</v>
      </c>
      <c r="JRH1336" s="4" t="s">
        <v>2880</v>
      </c>
      <c r="JRI1336" s="4" t="s">
        <v>2880</v>
      </c>
      <c r="JRJ1336" s="4" t="s">
        <v>2880</v>
      </c>
      <c r="JRK1336" s="4" t="s">
        <v>2880</v>
      </c>
      <c r="JRL1336" s="4" t="s">
        <v>2880</v>
      </c>
      <c r="JRM1336" s="4" t="s">
        <v>2880</v>
      </c>
      <c r="JRN1336" s="4" t="s">
        <v>2880</v>
      </c>
      <c r="JRO1336" s="4" t="s">
        <v>2880</v>
      </c>
      <c r="JRP1336" s="4" t="s">
        <v>2880</v>
      </c>
      <c r="JRQ1336" s="4" t="s">
        <v>2880</v>
      </c>
      <c r="JRR1336" s="4" t="s">
        <v>2880</v>
      </c>
      <c r="JRS1336" s="4" t="s">
        <v>2880</v>
      </c>
      <c r="JRT1336" s="4" t="s">
        <v>2880</v>
      </c>
      <c r="JRU1336" s="4" t="s">
        <v>2880</v>
      </c>
      <c r="JRV1336" s="4" t="s">
        <v>2880</v>
      </c>
      <c r="JRW1336" s="4" t="s">
        <v>2880</v>
      </c>
      <c r="JRX1336" s="4" t="s">
        <v>2880</v>
      </c>
      <c r="JRY1336" s="4" t="s">
        <v>2880</v>
      </c>
      <c r="JRZ1336" s="4" t="s">
        <v>2880</v>
      </c>
      <c r="JSA1336" s="4" t="s">
        <v>2880</v>
      </c>
      <c r="JSB1336" s="4" t="s">
        <v>2880</v>
      </c>
      <c r="JSC1336" s="4" t="s">
        <v>2880</v>
      </c>
      <c r="JSD1336" s="4" t="s">
        <v>2880</v>
      </c>
      <c r="JSE1336" s="4" t="s">
        <v>2880</v>
      </c>
      <c r="JSF1336" s="4" t="s">
        <v>2880</v>
      </c>
      <c r="JSG1336" s="4" t="s">
        <v>2880</v>
      </c>
      <c r="JSH1336" s="4" t="s">
        <v>2880</v>
      </c>
      <c r="JSI1336" s="4" t="s">
        <v>2880</v>
      </c>
      <c r="JSJ1336" s="4" t="s">
        <v>2880</v>
      </c>
      <c r="JSK1336" s="4" t="s">
        <v>2880</v>
      </c>
      <c r="JSL1336" s="4" t="s">
        <v>2880</v>
      </c>
      <c r="JSM1336" s="4" t="s">
        <v>2880</v>
      </c>
      <c r="JSN1336" s="4" t="s">
        <v>2880</v>
      </c>
      <c r="JSO1336" s="4" t="s">
        <v>2880</v>
      </c>
      <c r="JSP1336" s="4" t="s">
        <v>2880</v>
      </c>
      <c r="JSQ1336" s="4" t="s">
        <v>2880</v>
      </c>
      <c r="JSR1336" s="4" t="s">
        <v>2880</v>
      </c>
      <c r="JSS1336" s="4" t="s">
        <v>2880</v>
      </c>
      <c r="JST1336" s="4" t="s">
        <v>2880</v>
      </c>
      <c r="JSU1336" s="4" t="s">
        <v>2880</v>
      </c>
      <c r="JSV1336" s="4" t="s">
        <v>2880</v>
      </c>
      <c r="JSW1336" s="4" t="s">
        <v>2880</v>
      </c>
      <c r="JSX1336" s="4" t="s">
        <v>2880</v>
      </c>
      <c r="JSY1336" s="4" t="s">
        <v>2880</v>
      </c>
      <c r="JSZ1336" s="4" t="s">
        <v>2880</v>
      </c>
      <c r="JTA1336" s="4" t="s">
        <v>2880</v>
      </c>
      <c r="JTB1336" s="4" t="s">
        <v>2880</v>
      </c>
      <c r="JTC1336" s="4" t="s">
        <v>2880</v>
      </c>
      <c r="JTD1336" s="4" t="s">
        <v>2880</v>
      </c>
      <c r="JTE1336" s="4" t="s">
        <v>2880</v>
      </c>
      <c r="JTF1336" s="4" t="s">
        <v>2880</v>
      </c>
      <c r="JTG1336" s="4" t="s">
        <v>2880</v>
      </c>
      <c r="JTH1336" s="4" t="s">
        <v>2880</v>
      </c>
      <c r="JTI1336" s="4" t="s">
        <v>2880</v>
      </c>
      <c r="JTJ1336" s="4" t="s">
        <v>2880</v>
      </c>
      <c r="JTK1336" s="4" t="s">
        <v>2880</v>
      </c>
      <c r="JTL1336" s="4" t="s">
        <v>2880</v>
      </c>
      <c r="JTM1336" s="4" t="s">
        <v>2880</v>
      </c>
      <c r="JTN1336" s="4" t="s">
        <v>2880</v>
      </c>
      <c r="JTO1336" s="4" t="s">
        <v>2880</v>
      </c>
      <c r="JTP1336" s="4" t="s">
        <v>2880</v>
      </c>
      <c r="JTQ1336" s="4" t="s">
        <v>2880</v>
      </c>
      <c r="JTR1336" s="4" t="s">
        <v>2880</v>
      </c>
      <c r="JTS1336" s="4" t="s">
        <v>2880</v>
      </c>
      <c r="JTT1336" s="4" t="s">
        <v>2880</v>
      </c>
      <c r="JTU1336" s="4" t="s">
        <v>2880</v>
      </c>
      <c r="JTV1336" s="4" t="s">
        <v>2880</v>
      </c>
      <c r="JTW1336" s="4" t="s">
        <v>2880</v>
      </c>
      <c r="JTX1336" s="4" t="s">
        <v>2880</v>
      </c>
      <c r="JTY1336" s="4" t="s">
        <v>2880</v>
      </c>
      <c r="JTZ1336" s="4" t="s">
        <v>2880</v>
      </c>
      <c r="JUA1336" s="4" t="s">
        <v>2880</v>
      </c>
      <c r="JUB1336" s="4" t="s">
        <v>2880</v>
      </c>
      <c r="JUC1336" s="4" t="s">
        <v>2880</v>
      </c>
      <c r="JUD1336" s="4" t="s">
        <v>2880</v>
      </c>
      <c r="JUE1336" s="4" t="s">
        <v>2880</v>
      </c>
      <c r="JUF1336" s="4" t="s">
        <v>2880</v>
      </c>
      <c r="JUG1336" s="4" t="s">
        <v>2880</v>
      </c>
      <c r="JUH1336" s="4" t="s">
        <v>2880</v>
      </c>
      <c r="JUI1336" s="4" t="s">
        <v>2880</v>
      </c>
      <c r="JUJ1336" s="4" t="s">
        <v>2880</v>
      </c>
      <c r="JUK1336" s="4" t="s">
        <v>2880</v>
      </c>
      <c r="JUL1336" s="4" t="s">
        <v>2880</v>
      </c>
      <c r="JUM1336" s="4" t="s">
        <v>2880</v>
      </c>
      <c r="JUN1336" s="4" t="s">
        <v>2880</v>
      </c>
      <c r="JUO1336" s="4" t="s">
        <v>2880</v>
      </c>
      <c r="JUP1336" s="4" t="s">
        <v>2880</v>
      </c>
      <c r="JUQ1336" s="4" t="s">
        <v>2880</v>
      </c>
      <c r="JUR1336" s="4" t="s">
        <v>2880</v>
      </c>
      <c r="JUS1336" s="4" t="s">
        <v>2880</v>
      </c>
      <c r="JUT1336" s="4" t="s">
        <v>2880</v>
      </c>
      <c r="JUU1336" s="4" t="s">
        <v>2880</v>
      </c>
      <c r="JUV1336" s="4" t="s">
        <v>2880</v>
      </c>
      <c r="JUW1336" s="4" t="s">
        <v>2880</v>
      </c>
      <c r="JUX1336" s="4" t="s">
        <v>2880</v>
      </c>
      <c r="JUY1336" s="4" t="s">
        <v>2880</v>
      </c>
      <c r="JUZ1336" s="4" t="s">
        <v>2880</v>
      </c>
      <c r="JVA1336" s="4" t="s">
        <v>2880</v>
      </c>
      <c r="JVB1336" s="4" t="s">
        <v>2880</v>
      </c>
      <c r="JVC1336" s="4" t="s">
        <v>2880</v>
      </c>
      <c r="JVD1336" s="4" t="s">
        <v>2880</v>
      </c>
      <c r="JVE1336" s="4" t="s">
        <v>2880</v>
      </c>
      <c r="JVF1336" s="4" t="s">
        <v>2880</v>
      </c>
      <c r="JVG1336" s="4" t="s">
        <v>2880</v>
      </c>
      <c r="JVH1336" s="4" t="s">
        <v>2880</v>
      </c>
      <c r="JVI1336" s="4" t="s">
        <v>2880</v>
      </c>
      <c r="JVJ1336" s="4" t="s">
        <v>2880</v>
      </c>
      <c r="JVK1336" s="4" t="s">
        <v>2880</v>
      </c>
      <c r="JVL1336" s="4" t="s">
        <v>2880</v>
      </c>
      <c r="JVM1336" s="4" t="s">
        <v>2880</v>
      </c>
      <c r="JVN1336" s="4" t="s">
        <v>2880</v>
      </c>
      <c r="JVO1336" s="4" t="s">
        <v>2880</v>
      </c>
      <c r="JVP1336" s="4" t="s">
        <v>2880</v>
      </c>
      <c r="JVQ1336" s="4" t="s">
        <v>2880</v>
      </c>
      <c r="JVR1336" s="4" t="s">
        <v>2880</v>
      </c>
      <c r="JVS1336" s="4" t="s">
        <v>2880</v>
      </c>
      <c r="JVT1336" s="4" t="s">
        <v>2880</v>
      </c>
      <c r="JVU1336" s="4" t="s">
        <v>2880</v>
      </c>
      <c r="JVV1336" s="4" t="s">
        <v>2880</v>
      </c>
      <c r="JVW1336" s="4" t="s">
        <v>2880</v>
      </c>
      <c r="JVX1336" s="4" t="s">
        <v>2880</v>
      </c>
      <c r="JVY1336" s="4" t="s">
        <v>2880</v>
      </c>
      <c r="JVZ1336" s="4" t="s">
        <v>2880</v>
      </c>
      <c r="JWA1336" s="4" t="s">
        <v>2880</v>
      </c>
      <c r="JWB1336" s="4" t="s">
        <v>2880</v>
      </c>
      <c r="JWC1336" s="4" t="s">
        <v>2880</v>
      </c>
      <c r="JWD1336" s="4" t="s">
        <v>2880</v>
      </c>
      <c r="JWE1336" s="4" t="s">
        <v>2880</v>
      </c>
      <c r="JWF1336" s="4" t="s">
        <v>2880</v>
      </c>
      <c r="JWG1336" s="4" t="s">
        <v>2880</v>
      </c>
      <c r="JWH1336" s="4" t="s">
        <v>2880</v>
      </c>
      <c r="JWI1336" s="4" t="s">
        <v>2880</v>
      </c>
      <c r="JWJ1336" s="4" t="s">
        <v>2880</v>
      </c>
      <c r="JWK1336" s="4" t="s">
        <v>2880</v>
      </c>
      <c r="JWL1336" s="4" t="s">
        <v>2880</v>
      </c>
      <c r="JWM1336" s="4" t="s">
        <v>2880</v>
      </c>
      <c r="JWN1336" s="4" t="s">
        <v>2880</v>
      </c>
      <c r="JWO1336" s="4" t="s">
        <v>2880</v>
      </c>
      <c r="JWP1336" s="4" t="s">
        <v>2880</v>
      </c>
      <c r="JWQ1336" s="4" t="s">
        <v>2880</v>
      </c>
      <c r="JWR1336" s="4" t="s">
        <v>2880</v>
      </c>
      <c r="JWS1336" s="4" t="s">
        <v>2880</v>
      </c>
      <c r="JWT1336" s="4" t="s">
        <v>2880</v>
      </c>
      <c r="JWU1336" s="4" t="s">
        <v>2880</v>
      </c>
      <c r="JWV1336" s="4" t="s">
        <v>2880</v>
      </c>
      <c r="JWW1336" s="4" t="s">
        <v>2880</v>
      </c>
      <c r="JWX1336" s="4" t="s">
        <v>2880</v>
      </c>
      <c r="JWY1336" s="4" t="s">
        <v>2880</v>
      </c>
      <c r="JWZ1336" s="4" t="s">
        <v>2880</v>
      </c>
      <c r="JXA1336" s="4" t="s">
        <v>2880</v>
      </c>
      <c r="JXB1336" s="4" t="s">
        <v>2880</v>
      </c>
      <c r="JXC1336" s="4" t="s">
        <v>2880</v>
      </c>
      <c r="JXD1336" s="4" t="s">
        <v>2880</v>
      </c>
      <c r="JXE1336" s="4" t="s">
        <v>2880</v>
      </c>
      <c r="JXF1336" s="4" t="s">
        <v>2880</v>
      </c>
      <c r="JXG1336" s="4" t="s">
        <v>2880</v>
      </c>
      <c r="JXH1336" s="4" t="s">
        <v>2880</v>
      </c>
      <c r="JXI1336" s="4" t="s">
        <v>2880</v>
      </c>
      <c r="JXJ1336" s="4" t="s">
        <v>2880</v>
      </c>
      <c r="JXK1336" s="4" t="s">
        <v>2880</v>
      </c>
      <c r="JXL1336" s="4" t="s">
        <v>2880</v>
      </c>
      <c r="JXM1336" s="4" t="s">
        <v>2880</v>
      </c>
      <c r="JXN1336" s="4" t="s">
        <v>2880</v>
      </c>
      <c r="JXO1336" s="4" t="s">
        <v>2880</v>
      </c>
      <c r="JXP1336" s="4" t="s">
        <v>2880</v>
      </c>
      <c r="JXQ1336" s="4" t="s">
        <v>2880</v>
      </c>
      <c r="JXR1336" s="4" t="s">
        <v>2880</v>
      </c>
      <c r="JXS1336" s="4" t="s">
        <v>2880</v>
      </c>
      <c r="JXT1336" s="4" t="s">
        <v>2880</v>
      </c>
      <c r="JXU1336" s="4" t="s">
        <v>2880</v>
      </c>
      <c r="JXV1336" s="4" t="s">
        <v>2880</v>
      </c>
      <c r="JXW1336" s="4" t="s">
        <v>2880</v>
      </c>
      <c r="JXX1336" s="4" t="s">
        <v>2880</v>
      </c>
      <c r="JXY1336" s="4" t="s">
        <v>2880</v>
      </c>
      <c r="JXZ1336" s="4" t="s">
        <v>2880</v>
      </c>
      <c r="JYA1336" s="4" t="s">
        <v>2880</v>
      </c>
      <c r="JYB1336" s="4" t="s">
        <v>2880</v>
      </c>
      <c r="JYC1336" s="4" t="s">
        <v>2880</v>
      </c>
      <c r="JYD1336" s="4" t="s">
        <v>2880</v>
      </c>
      <c r="JYE1336" s="4" t="s">
        <v>2880</v>
      </c>
      <c r="JYF1336" s="4" t="s">
        <v>2880</v>
      </c>
      <c r="JYG1336" s="4" t="s">
        <v>2880</v>
      </c>
      <c r="JYH1336" s="4" t="s">
        <v>2880</v>
      </c>
      <c r="JYI1336" s="4" t="s">
        <v>2880</v>
      </c>
      <c r="JYJ1336" s="4" t="s">
        <v>2880</v>
      </c>
      <c r="JYK1336" s="4" t="s">
        <v>2880</v>
      </c>
      <c r="JYL1336" s="4" t="s">
        <v>2880</v>
      </c>
      <c r="JYM1336" s="4" t="s">
        <v>2880</v>
      </c>
      <c r="JYN1336" s="4" t="s">
        <v>2880</v>
      </c>
      <c r="JYO1336" s="4" t="s">
        <v>2880</v>
      </c>
      <c r="JYP1336" s="4" t="s">
        <v>2880</v>
      </c>
      <c r="JYQ1336" s="4" t="s">
        <v>2880</v>
      </c>
      <c r="JYR1336" s="4" t="s">
        <v>2880</v>
      </c>
      <c r="JYS1336" s="4" t="s">
        <v>2880</v>
      </c>
      <c r="JYT1336" s="4" t="s">
        <v>2880</v>
      </c>
      <c r="JYU1336" s="4" t="s">
        <v>2880</v>
      </c>
      <c r="JYV1336" s="4" t="s">
        <v>2880</v>
      </c>
      <c r="JYW1336" s="4" t="s">
        <v>2880</v>
      </c>
      <c r="JYX1336" s="4" t="s">
        <v>2880</v>
      </c>
      <c r="JYY1336" s="4" t="s">
        <v>2880</v>
      </c>
      <c r="JYZ1336" s="4" t="s">
        <v>2880</v>
      </c>
      <c r="JZA1336" s="4" t="s">
        <v>2880</v>
      </c>
      <c r="JZB1336" s="4" t="s">
        <v>2880</v>
      </c>
      <c r="JZC1336" s="4" t="s">
        <v>2880</v>
      </c>
      <c r="JZD1336" s="4" t="s">
        <v>2880</v>
      </c>
      <c r="JZE1336" s="4" t="s">
        <v>2880</v>
      </c>
      <c r="JZF1336" s="4" t="s">
        <v>2880</v>
      </c>
      <c r="JZG1336" s="4" t="s">
        <v>2880</v>
      </c>
      <c r="JZH1336" s="4" t="s">
        <v>2880</v>
      </c>
      <c r="JZI1336" s="4" t="s">
        <v>2880</v>
      </c>
      <c r="JZJ1336" s="4" t="s">
        <v>2880</v>
      </c>
      <c r="JZK1336" s="4" t="s">
        <v>2880</v>
      </c>
      <c r="JZL1336" s="4" t="s">
        <v>2880</v>
      </c>
      <c r="JZM1336" s="4" t="s">
        <v>2880</v>
      </c>
      <c r="JZN1336" s="4" t="s">
        <v>2880</v>
      </c>
      <c r="JZO1336" s="4" t="s">
        <v>2880</v>
      </c>
      <c r="JZP1336" s="4" t="s">
        <v>2880</v>
      </c>
      <c r="JZQ1336" s="4" t="s">
        <v>2880</v>
      </c>
      <c r="JZR1336" s="4" t="s">
        <v>2880</v>
      </c>
      <c r="JZS1336" s="4" t="s">
        <v>2880</v>
      </c>
      <c r="JZT1336" s="4" t="s">
        <v>2880</v>
      </c>
      <c r="JZU1336" s="4" t="s">
        <v>2880</v>
      </c>
      <c r="JZV1336" s="4" t="s">
        <v>2880</v>
      </c>
      <c r="JZW1336" s="4" t="s">
        <v>2880</v>
      </c>
      <c r="JZX1336" s="4" t="s">
        <v>2880</v>
      </c>
      <c r="JZY1336" s="4" t="s">
        <v>2880</v>
      </c>
      <c r="JZZ1336" s="4" t="s">
        <v>2880</v>
      </c>
      <c r="KAA1336" s="4" t="s">
        <v>2880</v>
      </c>
      <c r="KAB1336" s="4" t="s">
        <v>2880</v>
      </c>
      <c r="KAC1336" s="4" t="s">
        <v>2880</v>
      </c>
      <c r="KAD1336" s="4" t="s">
        <v>2880</v>
      </c>
      <c r="KAE1336" s="4" t="s">
        <v>2880</v>
      </c>
      <c r="KAF1336" s="4" t="s">
        <v>2880</v>
      </c>
      <c r="KAG1336" s="4" t="s">
        <v>2880</v>
      </c>
      <c r="KAH1336" s="4" t="s">
        <v>2880</v>
      </c>
      <c r="KAI1336" s="4" t="s">
        <v>2880</v>
      </c>
      <c r="KAJ1336" s="4" t="s">
        <v>2880</v>
      </c>
      <c r="KAK1336" s="4" t="s">
        <v>2880</v>
      </c>
      <c r="KAL1336" s="4" t="s">
        <v>2880</v>
      </c>
      <c r="KAM1336" s="4" t="s">
        <v>2880</v>
      </c>
      <c r="KAN1336" s="4" t="s">
        <v>2880</v>
      </c>
      <c r="KAO1336" s="4" t="s">
        <v>2880</v>
      </c>
      <c r="KAP1336" s="4" t="s">
        <v>2880</v>
      </c>
      <c r="KAQ1336" s="4" t="s">
        <v>2880</v>
      </c>
      <c r="KAR1336" s="4" t="s">
        <v>2880</v>
      </c>
      <c r="KAS1336" s="4" t="s">
        <v>2880</v>
      </c>
      <c r="KAT1336" s="4" t="s">
        <v>2880</v>
      </c>
      <c r="KAU1336" s="4" t="s">
        <v>2880</v>
      </c>
      <c r="KAV1336" s="4" t="s">
        <v>2880</v>
      </c>
      <c r="KAW1336" s="4" t="s">
        <v>2880</v>
      </c>
      <c r="KAX1336" s="4" t="s">
        <v>2880</v>
      </c>
      <c r="KAY1336" s="4" t="s">
        <v>2880</v>
      </c>
      <c r="KAZ1336" s="4" t="s">
        <v>2880</v>
      </c>
      <c r="KBA1336" s="4" t="s">
        <v>2880</v>
      </c>
      <c r="KBB1336" s="4" t="s">
        <v>2880</v>
      </c>
      <c r="KBC1336" s="4" t="s">
        <v>2880</v>
      </c>
      <c r="KBD1336" s="4" t="s">
        <v>2880</v>
      </c>
      <c r="KBE1336" s="4" t="s">
        <v>2880</v>
      </c>
      <c r="KBF1336" s="4" t="s">
        <v>2880</v>
      </c>
      <c r="KBG1336" s="4" t="s">
        <v>2880</v>
      </c>
      <c r="KBH1336" s="4" t="s">
        <v>2880</v>
      </c>
      <c r="KBI1336" s="4" t="s">
        <v>2880</v>
      </c>
      <c r="KBJ1336" s="4" t="s">
        <v>2880</v>
      </c>
      <c r="KBK1336" s="4" t="s">
        <v>2880</v>
      </c>
      <c r="KBL1336" s="4" t="s">
        <v>2880</v>
      </c>
      <c r="KBM1336" s="4" t="s">
        <v>2880</v>
      </c>
      <c r="KBN1336" s="4" t="s">
        <v>2880</v>
      </c>
      <c r="KBO1336" s="4" t="s">
        <v>2880</v>
      </c>
      <c r="KBP1336" s="4" t="s">
        <v>2880</v>
      </c>
      <c r="KBQ1336" s="4" t="s">
        <v>2880</v>
      </c>
      <c r="KBR1336" s="4" t="s">
        <v>2880</v>
      </c>
      <c r="KBS1336" s="4" t="s">
        <v>2880</v>
      </c>
      <c r="KBT1336" s="4" t="s">
        <v>2880</v>
      </c>
      <c r="KBU1336" s="4" t="s">
        <v>2880</v>
      </c>
      <c r="KBV1336" s="4" t="s">
        <v>2880</v>
      </c>
      <c r="KBW1336" s="4" t="s">
        <v>2880</v>
      </c>
      <c r="KBX1336" s="4" t="s">
        <v>2880</v>
      </c>
      <c r="KBY1336" s="4" t="s">
        <v>2880</v>
      </c>
      <c r="KBZ1336" s="4" t="s">
        <v>2880</v>
      </c>
      <c r="KCA1336" s="4" t="s">
        <v>2880</v>
      </c>
      <c r="KCB1336" s="4" t="s">
        <v>2880</v>
      </c>
      <c r="KCC1336" s="4" t="s">
        <v>2880</v>
      </c>
      <c r="KCD1336" s="4" t="s">
        <v>2880</v>
      </c>
      <c r="KCE1336" s="4" t="s">
        <v>2880</v>
      </c>
      <c r="KCF1336" s="4" t="s">
        <v>2880</v>
      </c>
      <c r="KCG1336" s="4" t="s">
        <v>2880</v>
      </c>
      <c r="KCH1336" s="4" t="s">
        <v>2880</v>
      </c>
      <c r="KCI1336" s="4" t="s">
        <v>2880</v>
      </c>
      <c r="KCJ1336" s="4" t="s">
        <v>2880</v>
      </c>
      <c r="KCK1336" s="4" t="s">
        <v>2880</v>
      </c>
      <c r="KCL1336" s="4" t="s">
        <v>2880</v>
      </c>
      <c r="KCM1336" s="4" t="s">
        <v>2880</v>
      </c>
      <c r="KCN1336" s="4" t="s">
        <v>2880</v>
      </c>
      <c r="KCO1336" s="4" t="s">
        <v>2880</v>
      </c>
      <c r="KCP1336" s="4" t="s">
        <v>2880</v>
      </c>
      <c r="KCQ1336" s="4" t="s">
        <v>2880</v>
      </c>
      <c r="KCR1336" s="4" t="s">
        <v>2880</v>
      </c>
      <c r="KCS1336" s="4" t="s">
        <v>2880</v>
      </c>
      <c r="KCT1336" s="4" t="s">
        <v>2880</v>
      </c>
      <c r="KCU1336" s="4" t="s">
        <v>2880</v>
      </c>
      <c r="KCV1336" s="4" t="s">
        <v>2880</v>
      </c>
      <c r="KCW1336" s="4" t="s">
        <v>2880</v>
      </c>
      <c r="KCX1336" s="4" t="s">
        <v>2880</v>
      </c>
      <c r="KCY1336" s="4" t="s">
        <v>2880</v>
      </c>
      <c r="KCZ1336" s="4" t="s">
        <v>2880</v>
      </c>
      <c r="KDA1336" s="4" t="s">
        <v>2880</v>
      </c>
      <c r="KDB1336" s="4" t="s">
        <v>2880</v>
      </c>
      <c r="KDC1336" s="4" t="s">
        <v>2880</v>
      </c>
      <c r="KDD1336" s="4" t="s">
        <v>2880</v>
      </c>
      <c r="KDE1336" s="4" t="s">
        <v>2880</v>
      </c>
      <c r="KDF1336" s="4" t="s">
        <v>2880</v>
      </c>
      <c r="KDG1336" s="4" t="s">
        <v>2880</v>
      </c>
      <c r="KDH1336" s="4" t="s">
        <v>2880</v>
      </c>
      <c r="KDI1336" s="4" t="s">
        <v>2880</v>
      </c>
      <c r="KDJ1336" s="4" t="s">
        <v>2880</v>
      </c>
      <c r="KDK1336" s="4" t="s">
        <v>2880</v>
      </c>
      <c r="KDL1336" s="4" t="s">
        <v>2880</v>
      </c>
      <c r="KDM1336" s="4" t="s">
        <v>2880</v>
      </c>
      <c r="KDN1336" s="4" t="s">
        <v>2880</v>
      </c>
      <c r="KDO1336" s="4" t="s">
        <v>2880</v>
      </c>
      <c r="KDP1336" s="4" t="s">
        <v>2880</v>
      </c>
      <c r="KDQ1336" s="4" t="s">
        <v>2880</v>
      </c>
      <c r="KDR1336" s="4" t="s">
        <v>2880</v>
      </c>
      <c r="KDS1336" s="4" t="s">
        <v>2880</v>
      </c>
      <c r="KDT1336" s="4" t="s">
        <v>2880</v>
      </c>
      <c r="KDU1336" s="4" t="s">
        <v>2880</v>
      </c>
      <c r="KDV1336" s="4" t="s">
        <v>2880</v>
      </c>
      <c r="KDW1336" s="4" t="s">
        <v>2880</v>
      </c>
      <c r="KDX1336" s="4" t="s">
        <v>2880</v>
      </c>
      <c r="KDY1336" s="4" t="s">
        <v>2880</v>
      </c>
      <c r="KDZ1336" s="4" t="s">
        <v>2880</v>
      </c>
      <c r="KEA1336" s="4" t="s">
        <v>2880</v>
      </c>
      <c r="KEB1336" s="4" t="s">
        <v>2880</v>
      </c>
      <c r="KEC1336" s="4" t="s">
        <v>2880</v>
      </c>
      <c r="KED1336" s="4" t="s">
        <v>2880</v>
      </c>
      <c r="KEE1336" s="4" t="s">
        <v>2880</v>
      </c>
      <c r="KEF1336" s="4" t="s">
        <v>2880</v>
      </c>
      <c r="KEG1336" s="4" t="s">
        <v>2880</v>
      </c>
      <c r="KEH1336" s="4" t="s">
        <v>2880</v>
      </c>
      <c r="KEI1336" s="4" t="s">
        <v>2880</v>
      </c>
      <c r="KEJ1336" s="4" t="s">
        <v>2880</v>
      </c>
      <c r="KEK1336" s="4" t="s">
        <v>2880</v>
      </c>
      <c r="KEL1336" s="4" t="s">
        <v>2880</v>
      </c>
      <c r="KEM1336" s="4" t="s">
        <v>2880</v>
      </c>
      <c r="KEN1336" s="4" t="s">
        <v>2880</v>
      </c>
      <c r="KEO1336" s="4" t="s">
        <v>2880</v>
      </c>
      <c r="KEP1336" s="4" t="s">
        <v>2880</v>
      </c>
      <c r="KEQ1336" s="4" t="s">
        <v>2880</v>
      </c>
      <c r="KER1336" s="4" t="s">
        <v>2880</v>
      </c>
      <c r="KES1336" s="4" t="s">
        <v>2880</v>
      </c>
      <c r="KET1336" s="4" t="s">
        <v>2880</v>
      </c>
      <c r="KEU1336" s="4" t="s">
        <v>2880</v>
      </c>
      <c r="KEV1336" s="4" t="s">
        <v>2880</v>
      </c>
      <c r="KEW1336" s="4" t="s">
        <v>2880</v>
      </c>
      <c r="KEX1336" s="4" t="s">
        <v>2880</v>
      </c>
      <c r="KEY1336" s="4" t="s">
        <v>2880</v>
      </c>
      <c r="KEZ1336" s="4" t="s">
        <v>2880</v>
      </c>
      <c r="KFA1336" s="4" t="s">
        <v>2880</v>
      </c>
      <c r="KFB1336" s="4" t="s">
        <v>2880</v>
      </c>
      <c r="KFC1336" s="4" t="s">
        <v>2880</v>
      </c>
      <c r="KFD1336" s="4" t="s">
        <v>2880</v>
      </c>
      <c r="KFE1336" s="4" t="s">
        <v>2880</v>
      </c>
      <c r="KFF1336" s="4" t="s">
        <v>2880</v>
      </c>
      <c r="KFG1336" s="4" t="s">
        <v>2880</v>
      </c>
      <c r="KFH1336" s="4" t="s">
        <v>2880</v>
      </c>
      <c r="KFI1336" s="4" t="s">
        <v>2880</v>
      </c>
      <c r="KFJ1336" s="4" t="s">
        <v>2880</v>
      </c>
      <c r="KFK1336" s="4" t="s">
        <v>2880</v>
      </c>
      <c r="KFL1336" s="4" t="s">
        <v>2880</v>
      </c>
      <c r="KFM1336" s="4" t="s">
        <v>2880</v>
      </c>
      <c r="KFN1336" s="4" t="s">
        <v>2880</v>
      </c>
      <c r="KFO1336" s="4" t="s">
        <v>2880</v>
      </c>
      <c r="KFP1336" s="4" t="s">
        <v>2880</v>
      </c>
      <c r="KFQ1336" s="4" t="s">
        <v>2880</v>
      </c>
      <c r="KFR1336" s="4" t="s">
        <v>2880</v>
      </c>
      <c r="KFS1336" s="4" t="s">
        <v>2880</v>
      </c>
      <c r="KFT1336" s="4" t="s">
        <v>2880</v>
      </c>
      <c r="KFU1336" s="4" t="s">
        <v>2880</v>
      </c>
      <c r="KFV1336" s="4" t="s">
        <v>2880</v>
      </c>
      <c r="KFW1336" s="4" t="s">
        <v>2880</v>
      </c>
      <c r="KFX1336" s="4" t="s">
        <v>2880</v>
      </c>
      <c r="KFY1336" s="4" t="s">
        <v>2880</v>
      </c>
      <c r="KFZ1336" s="4" t="s">
        <v>2880</v>
      </c>
      <c r="KGA1336" s="4" t="s">
        <v>2880</v>
      </c>
      <c r="KGB1336" s="4" t="s">
        <v>2880</v>
      </c>
      <c r="KGC1336" s="4" t="s">
        <v>2880</v>
      </c>
      <c r="KGD1336" s="4" t="s">
        <v>2880</v>
      </c>
      <c r="KGE1336" s="4" t="s">
        <v>2880</v>
      </c>
      <c r="KGF1336" s="4" t="s">
        <v>2880</v>
      </c>
      <c r="KGG1336" s="4" t="s">
        <v>2880</v>
      </c>
      <c r="KGH1336" s="4" t="s">
        <v>2880</v>
      </c>
      <c r="KGI1336" s="4" t="s">
        <v>2880</v>
      </c>
      <c r="KGJ1336" s="4" t="s">
        <v>2880</v>
      </c>
      <c r="KGK1336" s="4" t="s">
        <v>2880</v>
      </c>
      <c r="KGL1336" s="4" t="s">
        <v>2880</v>
      </c>
      <c r="KGM1336" s="4" t="s">
        <v>2880</v>
      </c>
      <c r="KGN1336" s="4" t="s">
        <v>2880</v>
      </c>
      <c r="KGO1336" s="4" t="s">
        <v>2880</v>
      </c>
      <c r="KGP1336" s="4" t="s">
        <v>2880</v>
      </c>
      <c r="KGQ1336" s="4" t="s">
        <v>2880</v>
      </c>
      <c r="KGR1336" s="4" t="s">
        <v>2880</v>
      </c>
      <c r="KGS1336" s="4" t="s">
        <v>2880</v>
      </c>
      <c r="KGT1336" s="4" t="s">
        <v>2880</v>
      </c>
      <c r="KGU1336" s="4" t="s">
        <v>2880</v>
      </c>
      <c r="KGV1336" s="4" t="s">
        <v>2880</v>
      </c>
      <c r="KGW1336" s="4" t="s">
        <v>2880</v>
      </c>
      <c r="KGX1336" s="4" t="s">
        <v>2880</v>
      </c>
      <c r="KGY1336" s="4" t="s">
        <v>2880</v>
      </c>
      <c r="KGZ1336" s="4" t="s">
        <v>2880</v>
      </c>
      <c r="KHA1336" s="4" t="s">
        <v>2880</v>
      </c>
      <c r="KHB1336" s="4" t="s">
        <v>2880</v>
      </c>
      <c r="KHC1336" s="4" t="s">
        <v>2880</v>
      </c>
      <c r="KHD1336" s="4" t="s">
        <v>2880</v>
      </c>
      <c r="KHE1336" s="4" t="s">
        <v>2880</v>
      </c>
      <c r="KHF1336" s="4" t="s">
        <v>2880</v>
      </c>
      <c r="KHG1336" s="4" t="s">
        <v>2880</v>
      </c>
      <c r="KHH1336" s="4" t="s">
        <v>2880</v>
      </c>
      <c r="KHI1336" s="4" t="s">
        <v>2880</v>
      </c>
      <c r="KHJ1336" s="4" t="s">
        <v>2880</v>
      </c>
      <c r="KHK1336" s="4" t="s">
        <v>2880</v>
      </c>
      <c r="KHL1336" s="4" t="s">
        <v>2880</v>
      </c>
      <c r="KHM1336" s="4" t="s">
        <v>2880</v>
      </c>
      <c r="KHN1336" s="4" t="s">
        <v>2880</v>
      </c>
      <c r="KHO1336" s="4" t="s">
        <v>2880</v>
      </c>
      <c r="KHP1336" s="4" t="s">
        <v>2880</v>
      </c>
      <c r="KHQ1336" s="4" t="s">
        <v>2880</v>
      </c>
      <c r="KHR1336" s="4" t="s">
        <v>2880</v>
      </c>
      <c r="KHS1336" s="4" t="s">
        <v>2880</v>
      </c>
      <c r="KHT1336" s="4" t="s">
        <v>2880</v>
      </c>
      <c r="KHU1336" s="4" t="s">
        <v>2880</v>
      </c>
      <c r="KHV1336" s="4" t="s">
        <v>2880</v>
      </c>
      <c r="KHW1336" s="4" t="s">
        <v>2880</v>
      </c>
      <c r="KHX1336" s="4" t="s">
        <v>2880</v>
      </c>
      <c r="KHY1336" s="4" t="s">
        <v>2880</v>
      </c>
      <c r="KHZ1336" s="4" t="s">
        <v>2880</v>
      </c>
      <c r="KIA1336" s="4" t="s">
        <v>2880</v>
      </c>
      <c r="KIB1336" s="4" t="s">
        <v>2880</v>
      </c>
      <c r="KIC1336" s="4" t="s">
        <v>2880</v>
      </c>
      <c r="KID1336" s="4" t="s">
        <v>2880</v>
      </c>
      <c r="KIE1336" s="4" t="s">
        <v>2880</v>
      </c>
      <c r="KIF1336" s="4" t="s">
        <v>2880</v>
      </c>
      <c r="KIG1336" s="4" t="s">
        <v>2880</v>
      </c>
      <c r="KIH1336" s="4" t="s">
        <v>2880</v>
      </c>
      <c r="KII1336" s="4" t="s">
        <v>2880</v>
      </c>
      <c r="KIJ1336" s="4" t="s">
        <v>2880</v>
      </c>
      <c r="KIK1336" s="4" t="s">
        <v>2880</v>
      </c>
      <c r="KIL1336" s="4" t="s">
        <v>2880</v>
      </c>
      <c r="KIM1336" s="4" t="s">
        <v>2880</v>
      </c>
      <c r="KIN1336" s="4" t="s">
        <v>2880</v>
      </c>
      <c r="KIO1336" s="4" t="s">
        <v>2880</v>
      </c>
      <c r="KIP1336" s="4" t="s">
        <v>2880</v>
      </c>
      <c r="KIQ1336" s="4" t="s">
        <v>2880</v>
      </c>
      <c r="KIR1336" s="4" t="s">
        <v>2880</v>
      </c>
      <c r="KIS1336" s="4" t="s">
        <v>2880</v>
      </c>
      <c r="KIT1336" s="4" t="s">
        <v>2880</v>
      </c>
      <c r="KIU1336" s="4" t="s">
        <v>2880</v>
      </c>
      <c r="KIV1336" s="4" t="s">
        <v>2880</v>
      </c>
      <c r="KIW1336" s="4" t="s">
        <v>2880</v>
      </c>
      <c r="KIX1336" s="4" t="s">
        <v>2880</v>
      </c>
      <c r="KIY1336" s="4" t="s">
        <v>2880</v>
      </c>
      <c r="KIZ1336" s="4" t="s">
        <v>2880</v>
      </c>
      <c r="KJA1336" s="4" t="s">
        <v>2880</v>
      </c>
      <c r="KJB1336" s="4" t="s">
        <v>2880</v>
      </c>
      <c r="KJC1336" s="4" t="s">
        <v>2880</v>
      </c>
      <c r="KJD1336" s="4" t="s">
        <v>2880</v>
      </c>
      <c r="KJE1336" s="4" t="s">
        <v>2880</v>
      </c>
      <c r="KJF1336" s="4" t="s">
        <v>2880</v>
      </c>
      <c r="KJG1336" s="4" t="s">
        <v>2880</v>
      </c>
      <c r="KJH1336" s="4" t="s">
        <v>2880</v>
      </c>
      <c r="KJI1336" s="4" t="s">
        <v>2880</v>
      </c>
      <c r="KJJ1336" s="4" t="s">
        <v>2880</v>
      </c>
      <c r="KJK1336" s="4" t="s">
        <v>2880</v>
      </c>
      <c r="KJL1336" s="4" t="s">
        <v>2880</v>
      </c>
      <c r="KJM1336" s="4" t="s">
        <v>2880</v>
      </c>
      <c r="KJN1336" s="4" t="s">
        <v>2880</v>
      </c>
      <c r="KJO1336" s="4" t="s">
        <v>2880</v>
      </c>
      <c r="KJP1336" s="4" t="s">
        <v>2880</v>
      </c>
      <c r="KJQ1336" s="4" t="s">
        <v>2880</v>
      </c>
      <c r="KJR1336" s="4" t="s">
        <v>2880</v>
      </c>
      <c r="KJS1336" s="4" t="s">
        <v>2880</v>
      </c>
      <c r="KJT1336" s="4" t="s">
        <v>2880</v>
      </c>
      <c r="KJU1336" s="4" t="s">
        <v>2880</v>
      </c>
      <c r="KJV1336" s="4" t="s">
        <v>2880</v>
      </c>
      <c r="KJW1336" s="4" t="s">
        <v>2880</v>
      </c>
      <c r="KJX1336" s="4" t="s">
        <v>2880</v>
      </c>
      <c r="KJY1336" s="4" t="s">
        <v>2880</v>
      </c>
      <c r="KJZ1336" s="4" t="s">
        <v>2880</v>
      </c>
      <c r="KKA1336" s="4" t="s">
        <v>2880</v>
      </c>
      <c r="KKB1336" s="4" t="s">
        <v>2880</v>
      </c>
      <c r="KKC1336" s="4" t="s">
        <v>2880</v>
      </c>
      <c r="KKD1336" s="4" t="s">
        <v>2880</v>
      </c>
      <c r="KKE1336" s="4" t="s">
        <v>2880</v>
      </c>
      <c r="KKF1336" s="4" t="s">
        <v>2880</v>
      </c>
      <c r="KKG1336" s="4" t="s">
        <v>2880</v>
      </c>
      <c r="KKH1336" s="4" t="s">
        <v>2880</v>
      </c>
      <c r="KKI1336" s="4" t="s">
        <v>2880</v>
      </c>
      <c r="KKJ1336" s="4" t="s">
        <v>2880</v>
      </c>
      <c r="KKK1336" s="4" t="s">
        <v>2880</v>
      </c>
      <c r="KKL1336" s="4" t="s">
        <v>2880</v>
      </c>
      <c r="KKM1336" s="4" t="s">
        <v>2880</v>
      </c>
      <c r="KKN1336" s="4" t="s">
        <v>2880</v>
      </c>
      <c r="KKO1336" s="4" t="s">
        <v>2880</v>
      </c>
      <c r="KKP1336" s="4" t="s">
        <v>2880</v>
      </c>
      <c r="KKQ1336" s="4" t="s">
        <v>2880</v>
      </c>
      <c r="KKR1336" s="4" t="s">
        <v>2880</v>
      </c>
      <c r="KKS1336" s="4" t="s">
        <v>2880</v>
      </c>
      <c r="KKT1336" s="4" t="s">
        <v>2880</v>
      </c>
      <c r="KKU1336" s="4" t="s">
        <v>2880</v>
      </c>
      <c r="KKV1336" s="4" t="s">
        <v>2880</v>
      </c>
      <c r="KKW1336" s="4" t="s">
        <v>2880</v>
      </c>
      <c r="KKX1336" s="4" t="s">
        <v>2880</v>
      </c>
      <c r="KKY1336" s="4" t="s">
        <v>2880</v>
      </c>
      <c r="KKZ1336" s="4" t="s">
        <v>2880</v>
      </c>
      <c r="KLA1336" s="4" t="s">
        <v>2880</v>
      </c>
      <c r="KLB1336" s="4" t="s">
        <v>2880</v>
      </c>
      <c r="KLC1336" s="4" t="s">
        <v>2880</v>
      </c>
      <c r="KLD1336" s="4" t="s">
        <v>2880</v>
      </c>
      <c r="KLE1336" s="4" t="s">
        <v>2880</v>
      </c>
      <c r="KLF1336" s="4" t="s">
        <v>2880</v>
      </c>
      <c r="KLG1336" s="4" t="s">
        <v>2880</v>
      </c>
      <c r="KLH1336" s="4" t="s">
        <v>2880</v>
      </c>
      <c r="KLI1336" s="4" t="s">
        <v>2880</v>
      </c>
      <c r="KLJ1336" s="4" t="s">
        <v>2880</v>
      </c>
      <c r="KLK1336" s="4" t="s">
        <v>2880</v>
      </c>
      <c r="KLL1336" s="4" t="s">
        <v>2880</v>
      </c>
      <c r="KLM1336" s="4" t="s">
        <v>2880</v>
      </c>
      <c r="KLN1336" s="4" t="s">
        <v>2880</v>
      </c>
      <c r="KLO1336" s="4" t="s">
        <v>2880</v>
      </c>
      <c r="KLP1336" s="4" t="s">
        <v>2880</v>
      </c>
      <c r="KLQ1336" s="4" t="s">
        <v>2880</v>
      </c>
      <c r="KLR1336" s="4" t="s">
        <v>2880</v>
      </c>
      <c r="KLS1336" s="4" t="s">
        <v>2880</v>
      </c>
      <c r="KLT1336" s="4" t="s">
        <v>2880</v>
      </c>
      <c r="KLU1336" s="4" t="s">
        <v>2880</v>
      </c>
      <c r="KLV1336" s="4" t="s">
        <v>2880</v>
      </c>
      <c r="KLW1336" s="4" t="s">
        <v>2880</v>
      </c>
      <c r="KLX1336" s="4" t="s">
        <v>2880</v>
      </c>
      <c r="KLY1336" s="4" t="s">
        <v>2880</v>
      </c>
      <c r="KLZ1336" s="4" t="s">
        <v>2880</v>
      </c>
      <c r="KMA1336" s="4" t="s">
        <v>2880</v>
      </c>
      <c r="KMB1336" s="4" t="s">
        <v>2880</v>
      </c>
      <c r="KMC1336" s="4" t="s">
        <v>2880</v>
      </c>
      <c r="KMD1336" s="4" t="s">
        <v>2880</v>
      </c>
      <c r="KME1336" s="4" t="s">
        <v>2880</v>
      </c>
      <c r="KMF1336" s="4" t="s">
        <v>2880</v>
      </c>
      <c r="KMG1336" s="4" t="s">
        <v>2880</v>
      </c>
      <c r="KMH1336" s="4" t="s">
        <v>2880</v>
      </c>
      <c r="KMI1336" s="4" t="s">
        <v>2880</v>
      </c>
      <c r="KMJ1336" s="4" t="s">
        <v>2880</v>
      </c>
      <c r="KMK1336" s="4" t="s">
        <v>2880</v>
      </c>
      <c r="KML1336" s="4" t="s">
        <v>2880</v>
      </c>
      <c r="KMM1336" s="4" t="s">
        <v>2880</v>
      </c>
      <c r="KMN1336" s="4" t="s">
        <v>2880</v>
      </c>
      <c r="KMO1336" s="4" t="s">
        <v>2880</v>
      </c>
      <c r="KMP1336" s="4" t="s">
        <v>2880</v>
      </c>
      <c r="KMQ1336" s="4" t="s">
        <v>2880</v>
      </c>
      <c r="KMR1336" s="4" t="s">
        <v>2880</v>
      </c>
      <c r="KMS1336" s="4" t="s">
        <v>2880</v>
      </c>
      <c r="KMT1336" s="4" t="s">
        <v>2880</v>
      </c>
      <c r="KMU1336" s="4" t="s">
        <v>2880</v>
      </c>
      <c r="KMV1336" s="4" t="s">
        <v>2880</v>
      </c>
      <c r="KMW1336" s="4" t="s">
        <v>2880</v>
      </c>
      <c r="KMX1336" s="4" t="s">
        <v>2880</v>
      </c>
      <c r="KMY1336" s="4" t="s">
        <v>2880</v>
      </c>
      <c r="KMZ1336" s="4" t="s">
        <v>2880</v>
      </c>
      <c r="KNA1336" s="4" t="s">
        <v>2880</v>
      </c>
      <c r="KNB1336" s="4" t="s">
        <v>2880</v>
      </c>
      <c r="KNC1336" s="4" t="s">
        <v>2880</v>
      </c>
      <c r="KND1336" s="4" t="s">
        <v>2880</v>
      </c>
      <c r="KNE1336" s="4" t="s">
        <v>2880</v>
      </c>
      <c r="KNF1336" s="4" t="s">
        <v>2880</v>
      </c>
      <c r="KNG1336" s="4" t="s">
        <v>2880</v>
      </c>
      <c r="KNH1336" s="4" t="s">
        <v>2880</v>
      </c>
      <c r="KNI1336" s="4" t="s">
        <v>2880</v>
      </c>
      <c r="KNJ1336" s="4" t="s">
        <v>2880</v>
      </c>
      <c r="KNK1336" s="4" t="s">
        <v>2880</v>
      </c>
      <c r="KNL1336" s="4" t="s">
        <v>2880</v>
      </c>
      <c r="KNM1336" s="4" t="s">
        <v>2880</v>
      </c>
      <c r="KNN1336" s="4" t="s">
        <v>2880</v>
      </c>
      <c r="KNO1336" s="4" t="s">
        <v>2880</v>
      </c>
      <c r="KNP1336" s="4" t="s">
        <v>2880</v>
      </c>
      <c r="KNQ1336" s="4" t="s">
        <v>2880</v>
      </c>
      <c r="KNR1336" s="4" t="s">
        <v>2880</v>
      </c>
      <c r="KNS1336" s="4" t="s">
        <v>2880</v>
      </c>
      <c r="KNT1336" s="4" t="s">
        <v>2880</v>
      </c>
      <c r="KNU1336" s="4" t="s">
        <v>2880</v>
      </c>
      <c r="KNV1336" s="4" t="s">
        <v>2880</v>
      </c>
      <c r="KNW1336" s="4" t="s">
        <v>2880</v>
      </c>
      <c r="KNX1336" s="4" t="s">
        <v>2880</v>
      </c>
      <c r="KNY1336" s="4" t="s">
        <v>2880</v>
      </c>
      <c r="KNZ1336" s="4" t="s">
        <v>2880</v>
      </c>
      <c r="KOA1336" s="4" t="s">
        <v>2880</v>
      </c>
      <c r="KOB1336" s="4" t="s">
        <v>2880</v>
      </c>
      <c r="KOC1336" s="4" t="s">
        <v>2880</v>
      </c>
      <c r="KOD1336" s="4" t="s">
        <v>2880</v>
      </c>
      <c r="KOE1336" s="4" t="s">
        <v>2880</v>
      </c>
      <c r="KOF1336" s="4" t="s">
        <v>2880</v>
      </c>
      <c r="KOG1336" s="4" t="s">
        <v>2880</v>
      </c>
      <c r="KOH1336" s="4" t="s">
        <v>2880</v>
      </c>
      <c r="KOI1336" s="4" t="s">
        <v>2880</v>
      </c>
      <c r="KOJ1336" s="4" t="s">
        <v>2880</v>
      </c>
      <c r="KOK1336" s="4" t="s">
        <v>2880</v>
      </c>
      <c r="KOL1336" s="4" t="s">
        <v>2880</v>
      </c>
      <c r="KOM1336" s="4" t="s">
        <v>2880</v>
      </c>
      <c r="KON1336" s="4" t="s">
        <v>2880</v>
      </c>
      <c r="KOO1336" s="4" t="s">
        <v>2880</v>
      </c>
      <c r="KOP1336" s="4" t="s">
        <v>2880</v>
      </c>
      <c r="KOQ1336" s="4" t="s">
        <v>2880</v>
      </c>
      <c r="KOR1336" s="4" t="s">
        <v>2880</v>
      </c>
      <c r="KOS1336" s="4" t="s">
        <v>2880</v>
      </c>
      <c r="KOT1336" s="4" t="s">
        <v>2880</v>
      </c>
      <c r="KOU1336" s="4" t="s">
        <v>2880</v>
      </c>
      <c r="KOV1336" s="4" t="s">
        <v>2880</v>
      </c>
      <c r="KOW1336" s="4" t="s">
        <v>2880</v>
      </c>
      <c r="KOX1336" s="4" t="s">
        <v>2880</v>
      </c>
      <c r="KOY1336" s="4" t="s">
        <v>2880</v>
      </c>
      <c r="KOZ1336" s="4" t="s">
        <v>2880</v>
      </c>
      <c r="KPA1336" s="4" t="s">
        <v>2880</v>
      </c>
      <c r="KPB1336" s="4" t="s">
        <v>2880</v>
      </c>
      <c r="KPC1336" s="4" t="s">
        <v>2880</v>
      </c>
      <c r="KPD1336" s="4" t="s">
        <v>2880</v>
      </c>
      <c r="KPE1336" s="4" t="s">
        <v>2880</v>
      </c>
      <c r="KPF1336" s="4" t="s">
        <v>2880</v>
      </c>
      <c r="KPG1336" s="4" t="s">
        <v>2880</v>
      </c>
      <c r="KPH1336" s="4" t="s">
        <v>2880</v>
      </c>
      <c r="KPI1336" s="4" t="s">
        <v>2880</v>
      </c>
      <c r="KPJ1336" s="4" t="s">
        <v>2880</v>
      </c>
      <c r="KPK1336" s="4" t="s">
        <v>2880</v>
      </c>
      <c r="KPL1336" s="4" t="s">
        <v>2880</v>
      </c>
      <c r="KPM1336" s="4" t="s">
        <v>2880</v>
      </c>
      <c r="KPN1336" s="4" t="s">
        <v>2880</v>
      </c>
      <c r="KPO1336" s="4" t="s">
        <v>2880</v>
      </c>
      <c r="KPP1336" s="4" t="s">
        <v>2880</v>
      </c>
      <c r="KPQ1336" s="4" t="s">
        <v>2880</v>
      </c>
      <c r="KPR1336" s="4" t="s">
        <v>2880</v>
      </c>
      <c r="KPS1336" s="4" t="s">
        <v>2880</v>
      </c>
      <c r="KPT1336" s="4" t="s">
        <v>2880</v>
      </c>
      <c r="KPU1336" s="4" t="s">
        <v>2880</v>
      </c>
      <c r="KPV1336" s="4" t="s">
        <v>2880</v>
      </c>
      <c r="KPW1336" s="4" t="s">
        <v>2880</v>
      </c>
      <c r="KPX1336" s="4" t="s">
        <v>2880</v>
      </c>
      <c r="KPY1336" s="4" t="s">
        <v>2880</v>
      </c>
      <c r="KPZ1336" s="4" t="s">
        <v>2880</v>
      </c>
      <c r="KQA1336" s="4" t="s">
        <v>2880</v>
      </c>
      <c r="KQB1336" s="4" t="s">
        <v>2880</v>
      </c>
      <c r="KQC1336" s="4" t="s">
        <v>2880</v>
      </c>
      <c r="KQD1336" s="4" t="s">
        <v>2880</v>
      </c>
      <c r="KQE1336" s="4" t="s">
        <v>2880</v>
      </c>
      <c r="KQF1336" s="4" t="s">
        <v>2880</v>
      </c>
      <c r="KQG1336" s="4" t="s">
        <v>2880</v>
      </c>
      <c r="KQH1336" s="4" t="s">
        <v>2880</v>
      </c>
      <c r="KQI1336" s="4" t="s">
        <v>2880</v>
      </c>
      <c r="KQJ1336" s="4" t="s">
        <v>2880</v>
      </c>
      <c r="KQK1336" s="4" t="s">
        <v>2880</v>
      </c>
      <c r="KQL1336" s="4" t="s">
        <v>2880</v>
      </c>
      <c r="KQM1336" s="4" t="s">
        <v>2880</v>
      </c>
      <c r="KQN1336" s="4" t="s">
        <v>2880</v>
      </c>
      <c r="KQO1336" s="4" t="s">
        <v>2880</v>
      </c>
      <c r="KQP1336" s="4" t="s">
        <v>2880</v>
      </c>
      <c r="KQQ1336" s="4" t="s">
        <v>2880</v>
      </c>
      <c r="KQR1336" s="4" t="s">
        <v>2880</v>
      </c>
      <c r="KQS1336" s="4" t="s">
        <v>2880</v>
      </c>
      <c r="KQT1336" s="4" t="s">
        <v>2880</v>
      </c>
      <c r="KQU1336" s="4" t="s">
        <v>2880</v>
      </c>
      <c r="KQV1336" s="4" t="s">
        <v>2880</v>
      </c>
      <c r="KQW1336" s="4" t="s">
        <v>2880</v>
      </c>
      <c r="KQX1336" s="4" t="s">
        <v>2880</v>
      </c>
      <c r="KQY1336" s="4" t="s">
        <v>2880</v>
      </c>
      <c r="KQZ1336" s="4" t="s">
        <v>2880</v>
      </c>
      <c r="KRA1336" s="4" t="s">
        <v>2880</v>
      </c>
      <c r="KRB1336" s="4" t="s">
        <v>2880</v>
      </c>
      <c r="KRC1336" s="4" t="s">
        <v>2880</v>
      </c>
      <c r="KRD1336" s="4" t="s">
        <v>2880</v>
      </c>
      <c r="KRE1336" s="4" t="s">
        <v>2880</v>
      </c>
      <c r="KRF1336" s="4" t="s">
        <v>2880</v>
      </c>
      <c r="KRG1336" s="4" t="s">
        <v>2880</v>
      </c>
      <c r="KRH1336" s="4" t="s">
        <v>2880</v>
      </c>
      <c r="KRI1336" s="4" t="s">
        <v>2880</v>
      </c>
      <c r="KRJ1336" s="4" t="s">
        <v>2880</v>
      </c>
      <c r="KRK1336" s="4" t="s">
        <v>2880</v>
      </c>
      <c r="KRL1336" s="4" t="s">
        <v>2880</v>
      </c>
      <c r="KRM1336" s="4" t="s">
        <v>2880</v>
      </c>
      <c r="KRN1336" s="4" t="s">
        <v>2880</v>
      </c>
      <c r="KRO1336" s="4" t="s">
        <v>2880</v>
      </c>
      <c r="KRP1336" s="4" t="s">
        <v>2880</v>
      </c>
      <c r="KRQ1336" s="4" t="s">
        <v>2880</v>
      </c>
      <c r="KRR1336" s="4" t="s">
        <v>2880</v>
      </c>
      <c r="KRS1336" s="4" t="s">
        <v>2880</v>
      </c>
      <c r="KRT1336" s="4" t="s">
        <v>2880</v>
      </c>
      <c r="KRU1336" s="4" t="s">
        <v>2880</v>
      </c>
      <c r="KRV1336" s="4" t="s">
        <v>2880</v>
      </c>
      <c r="KRW1336" s="4" t="s">
        <v>2880</v>
      </c>
      <c r="KRX1336" s="4" t="s">
        <v>2880</v>
      </c>
      <c r="KRY1336" s="4" t="s">
        <v>2880</v>
      </c>
      <c r="KRZ1336" s="4" t="s">
        <v>2880</v>
      </c>
      <c r="KSA1336" s="4" t="s">
        <v>2880</v>
      </c>
      <c r="KSB1336" s="4" t="s">
        <v>2880</v>
      </c>
      <c r="KSC1336" s="4" t="s">
        <v>2880</v>
      </c>
      <c r="KSD1336" s="4" t="s">
        <v>2880</v>
      </c>
      <c r="KSE1336" s="4" t="s">
        <v>2880</v>
      </c>
      <c r="KSF1336" s="4" t="s">
        <v>2880</v>
      </c>
      <c r="KSG1336" s="4" t="s">
        <v>2880</v>
      </c>
      <c r="KSH1336" s="4" t="s">
        <v>2880</v>
      </c>
      <c r="KSI1336" s="4" t="s">
        <v>2880</v>
      </c>
      <c r="KSJ1336" s="4" t="s">
        <v>2880</v>
      </c>
      <c r="KSK1336" s="4" t="s">
        <v>2880</v>
      </c>
      <c r="KSL1336" s="4" t="s">
        <v>2880</v>
      </c>
      <c r="KSM1336" s="4" t="s">
        <v>2880</v>
      </c>
      <c r="KSN1336" s="4" t="s">
        <v>2880</v>
      </c>
      <c r="KSO1336" s="4" t="s">
        <v>2880</v>
      </c>
      <c r="KSP1336" s="4" t="s">
        <v>2880</v>
      </c>
      <c r="KSQ1336" s="4" t="s">
        <v>2880</v>
      </c>
      <c r="KSR1336" s="4" t="s">
        <v>2880</v>
      </c>
      <c r="KSS1336" s="4" t="s">
        <v>2880</v>
      </c>
      <c r="KST1336" s="4" t="s">
        <v>2880</v>
      </c>
      <c r="KSU1336" s="4" t="s">
        <v>2880</v>
      </c>
      <c r="KSV1336" s="4" t="s">
        <v>2880</v>
      </c>
      <c r="KSW1336" s="4" t="s">
        <v>2880</v>
      </c>
      <c r="KSX1336" s="4" t="s">
        <v>2880</v>
      </c>
      <c r="KSY1336" s="4" t="s">
        <v>2880</v>
      </c>
      <c r="KSZ1336" s="4" t="s">
        <v>2880</v>
      </c>
      <c r="KTA1336" s="4" t="s">
        <v>2880</v>
      </c>
      <c r="KTB1336" s="4" t="s">
        <v>2880</v>
      </c>
      <c r="KTC1336" s="4" t="s">
        <v>2880</v>
      </c>
      <c r="KTD1336" s="4" t="s">
        <v>2880</v>
      </c>
      <c r="KTE1336" s="4" t="s">
        <v>2880</v>
      </c>
      <c r="KTF1336" s="4" t="s">
        <v>2880</v>
      </c>
      <c r="KTG1336" s="4" t="s">
        <v>2880</v>
      </c>
      <c r="KTH1336" s="4" t="s">
        <v>2880</v>
      </c>
      <c r="KTI1336" s="4" t="s">
        <v>2880</v>
      </c>
      <c r="KTJ1336" s="4" t="s">
        <v>2880</v>
      </c>
      <c r="KTK1336" s="4" t="s">
        <v>2880</v>
      </c>
      <c r="KTL1336" s="4" t="s">
        <v>2880</v>
      </c>
      <c r="KTM1336" s="4" t="s">
        <v>2880</v>
      </c>
      <c r="KTN1336" s="4" t="s">
        <v>2880</v>
      </c>
      <c r="KTO1336" s="4" t="s">
        <v>2880</v>
      </c>
      <c r="KTP1336" s="4" t="s">
        <v>2880</v>
      </c>
      <c r="KTQ1336" s="4" t="s">
        <v>2880</v>
      </c>
      <c r="KTR1336" s="4" t="s">
        <v>2880</v>
      </c>
      <c r="KTS1336" s="4" t="s">
        <v>2880</v>
      </c>
      <c r="KTT1336" s="4" t="s">
        <v>2880</v>
      </c>
      <c r="KTU1336" s="4" t="s">
        <v>2880</v>
      </c>
      <c r="KTV1336" s="4" t="s">
        <v>2880</v>
      </c>
      <c r="KTW1336" s="4" t="s">
        <v>2880</v>
      </c>
      <c r="KTX1336" s="4" t="s">
        <v>2880</v>
      </c>
      <c r="KTY1336" s="4" t="s">
        <v>2880</v>
      </c>
      <c r="KTZ1336" s="4" t="s">
        <v>2880</v>
      </c>
      <c r="KUA1336" s="4" t="s">
        <v>2880</v>
      </c>
      <c r="KUB1336" s="4" t="s">
        <v>2880</v>
      </c>
      <c r="KUC1336" s="4" t="s">
        <v>2880</v>
      </c>
      <c r="KUD1336" s="4" t="s">
        <v>2880</v>
      </c>
      <c r="KUE1336" s="4" t="s">
        <v>2880</v>
      </c>
      <c r="KUF1336" s="4" t="s">
        <v>2880</v>
      </c>
      <c r="KUG1336" s="4" t="s">
        <v>2880</v>
      </c>
      <c r="KUH1336" s="4" t="s">
        <v>2880</v>
      </c>
      <c r="KUI1336" s="4" t="s">
        <v>2880</v>
      </c>
      <c r="KUJ1336" s="4" t="s">
        <v>2880</v>
      </c>
      <c r="KUK1336" s="4" t="s">
        <v>2880</v>
      </c>
      <c r="KUL1336" s="4" t="s">
        <v>2880</v>
      </c>
      <c r="KUM1336" s="4" t="s">
        <v>2880</v>
      </c>
      <c r="KUN1336" s="4" t="s">
        <v>2880</v>
      </c>
      <c r="KUO1336" s="4" t="s">
        <v>2880</v>
      </c>
      <c r="KUP1336" s="4" t="s">
        <v>2880</v>
      </c>
      <c r="KUQ1336" s="4" t="s">
        <v>2880</v>
      </c>
      <c r="KUR1336" s="4" t="s">
        <v>2880</v>
      </c>
      <c r="KUS1336" s="4" t="s">
        <v>2880</v>
      </c>
      <c r="KUT1336" s="4" t="s">
        <v>2880</v>
      </c>
      <c r="KUU1336" s="4" t="s">
        <v>2880</v>
      </c>
      <c r="KUV1336" s="4" t="s">
        <v>2880</v>
      </c>
      <c r="KUW1336" s="4" t="s">
        <v>2880</v>
      </c>
      <c r="KUX1336" s="4" t="s">
        <v>2880</v>
      </c>
      <c r="KUY1336" s="4" t="s">
        <v>2880</v>
      </c>
      <c r="KUZ1336" s="4" t="s">
        <v>2880</v>
      </c>
      <c r="KVA1336" s="4" t="s">
        <v>2880</v>
      </c>
      <c r="KVB1336" s="4" t="s">
        <v>2880</v>
      </c>
      <c r="KVC1336" s="4" t="s">
        <v>2880</v>
      </c>
      <c r="KVD1336" s="4" t="s">
        <v>2880</v>
      </c>
      <c r="KVE1336" s="4" t="s">
        <v>2880</v>
      </c>
      <c r="KVF1336" s="4" t="s">
        <v>2880</v>
      </c>
      <c r="KVG1336" s="4" t="s">
        <v>2880</v>
      </c>
      <c r="KVH1336" s="4" t="s">
        <v>2880</v>
      </c>
      <c r="KVI1336" s="4" t="s">
        <v>2880</v>
      </c>
      <c r="KVJ1336" s="4" t="s">
        <v>2880</v>
      </c>
      <c r="KVK1336" s="4" t="s">
        <v>2880</v>
      </c>
      <c r="KVL1336" s="4" t="s">
        <v>2880</v>
      </c>
      <c r="KVM1336" s="4" t="s">
        <v>2880</v>
      </c>
      <c r="KVN1336" s="4" t="s">
        <v>2880</v>
      </c>
      <c r="KVO1336" s="4" t="s">
        <v>2880</v>
      </c>
      <c r="KVP1336" s="4" t="s">
        <v>2880</v>
      </c>
      <c r="KVQ1336" s="4" t="s">
        <v>2880</v>
      </c>
      <c r="KVR1336" s="4" t="s">
        <v>2880</v>
      </c>
      <c r="KVS1336" s="4" t="s">
        <v>2880</v>
      </c>
      <c r="KVT1336" s="4" t="s">
        <v>2880</v>
      </c>
      <c r="KVU1336" s="4" t="s">
        <v>2880</v>
      </c>
      <c r="KVV1336" s="4" t="s">
        <v>2880</v>
      </c>
      <c r="KVW1336" s="4" t="s">
        <v>2880</v>
      </c>
      <c r="KVX1336" s="4" t="s">
        <v>2880</v>
      </c>
      <c r="KVY1336" s="4" t="s">
        <v>2880</v>
      </c>
      <c r="KVZ1336" s="4" t="s">
        <v>2880</v>
      </c>
      <c r="KWA1336" s="4" t="s">
        <v>2880</v>
      </c>
      <c r="KWB1336" s="4" t="s">
        <v>2880</v>
      </c>
      <c r="KWC1336" s="4" t="s">
        <v>2880</v>
      </c>
      <c r="KWD1336" s="4" t="s">
        <v>2880</v>
      </c>
      <c r="KWE1336" s="4" t="s">
        <v>2880</v>
      </c>
      <c r="KWF1336" s="4" t="s">
        <v>2880</v>
      </c>
      <c r="KWG1336" s="4" t="s">
        <v>2880</v>
      </c>
      <c r="KWH1336" s="4" t="s">
        <v>2880</v>
      </c>
      <c r="KWI1336" s="4" t="s">
        <v>2880</v>
      </c>
      <c r="KWJ1336" s="4" t="s">
        <v>2880</v>
      </c>
      <c r="KWK1336" s="4" t="s">
        <v>2880</v>
      </c>
      <c r="KWL1336" s="4" t="s">
        <v>2880</v>
      </c>
      <c r="KWM1336" s="4" t="s">
        <v>2880</v>
      </c>
      <c r="KWN1336" s="4" t="s">
        <v>2880</v>
      </c>
      <c r="KWO1336" s="4" t="s">
        <v>2880</v>
      </c>
      <c r="KWP1336" s="4" t="s">
        <v>2880</v>
      </c>
      <c r="KWQ1336" s="4" t="s">
        <v>2880</v>
      </c>
      <c r="KWR1336" s="4" t="s">
        <v>2880</v>
      </c>
      <c r="KWS1336" s="4" t="s">
        <v>2880</v>
      </c>
      <c r="KWT1336" s="4" t="s">
        <v>2880</v>
      </c>
      <c r="KWU1336" s="4" t="s">
        <v>2880</v>
      </c>
      <c r="KWV1336" s="4" t="s">
        <v>2880</v>
      </c>
      <c r="KWW1336" s="4" t="s">
        <v>2880</v>
      </c>
      <c r="KWX1336" s="4" t="s">
        <v>2880</v>
      </c>
      <c r="KWY1336" s="4" t="s">
        <v>2880</v>
      </c>
      <c r="KWZ1336" s="4" t="s">
        <v>2880</v>
      </c>
      <c r="KXA1336" s="4" t="s">
        <v>2880</v>
      </c>
      <c r="KXB1336" s="4" t="s">
        <v>2880</v>
      </c>
      <c r="KXC1336" s="4" t="s">
        <v>2880</v>
      </c>
      <c r="KXD1336" s="4" t="s">
        <v>2880</v>
      </c>
      <c r="KXE1336" s="4" t="s">
        <v>2880</v>
      </c>
      <c r="KXF1336" s="4" t="s">
        <v>2880</v>
      </c>
      <c r="KXG1336" s="4" t="s">
        <v>2880</v>
      </c>
      <c r="KXH1336" s="4" t="s">
        <v>2880</v>
      </c>
      <c r="KXI1336" s="4" t="s">
        <v>2880</v>
      </c>
      <c r="KXJ1336" s="4" t="s">
        <v>2880</v>
      </c>
      <c r="KXK1336" s="4" t="s">
        <v>2880</v>
      </c>
      <c r="KXL1336" s="4" t="s">
        <v>2880</v>
      </c>
      <c r="KXM1336" s="4" t="s">
        <v>2880</v>
      </c>
      <c r="KXN1336" s="4" t="s">
        <v>2880</v>
      </c>
      <c r="KXO1336" s="4" t="s">
        <v>2880</v>
      </c>
      <c r="KXP1336" s="4" t="s">
        <v>2880</v>
      </c>
      <c r="KXQ1336" s="4" t="s">
        <v>2880</v>
      </c>
      <c r="KXR1336" s="4" t="s">
        <v>2880</v>
      </c>
      <c r="KXS1336" s="4" t="s">
        <v>2880</v>
      </c>
      <c r="KXT1336" s="4" t="s">
        <v>2880</v>
      </c>
      <c r="KXU1336" s="4" t="s">
        <v>2880</v>
      </c>
      <c r="KXV1336" s="4" t="s">
        <v>2880</v>
      </c>
      <c r="KXW1336" s="4" t="s">
        <v>2880</v>
      </c>
      <c r="KXX1336" s="4" t="s">
        <v>2880</v>
      </c>
      <c r="KXY1336" s="4" t="s">
        <v>2880</v>
      </c>
      <c r="KXZ1336" s="4" t="s">
        <v>2880</v>
      </c>
      <c r="KYA1336" s="4" t="s">
        <v>2880</v>
      </c>
      <c r="KYB1336" s="4" t="s">
        <v>2880</v>
      </c>
      <c r="KYC1336" s="4" t="s">
        <v>2880</v>
      </c>
      <c r="KYD1336" s="4" t="s">
        <v>2880</v>
      </c>
      <c r="KYE1336" s="4" t="s">
        <v>2880</v>
      </c>
      <c r="KYF1336" s="4" t="s">
        <v>2880</v>
      </c>
      <c r="KYG1336" s="4" t="s">
        <v>2880</v>
      </c>
      <c r="KYH1336" s="4" t="s">
        <v>2880</v>
      </c>
      <c r="KYI1336" s="4" t="s">
        <v>2880</v>
      </c>
      <c r="KYJ1336" s="4" t="s">
        <v>2880</v>
      </c>
      <c r="KYK1336" s="4" t="s">
        <v>2880</v>
      </c>
      <c r="KYL1336" s="4" t="s">
        <v>2880</v>
      </c>
      <c r="KYM1336" s="4" t="s">
        <v>2880</v>
      </c>
      <c r="KYN1336" s="4" t="s">
        <v>2880</v>
      </c>
      <c r="KYO1336" s="4" t="s">
        <v>2880</v>
      </c>
      <c r="KYP1336" s="4" t="s">
        <v>2880</v>
      </c>
      <c r="KYQ1336" s="4" t="s">
        <v>2880</v>
      </c>
      <c r="KYR1336" s="4" t="s">
        <v>2880</v>
      </c>
      <c r="KYS1336" s="4" t="s">
        <v>2880</v>
      </c>
      <c r="KYT1336" s="4" t="s">
        <v>2880</v>
      </c>
      <c r="KYU1336" s="4" t="s">
        <v>2880</v>
      </c>
      <c r="KYV1336" s="4" t="s">
        <v>2880</v>
      </c>
      <c r="KYW1336" s="4" t="s">
        <v>2880</v>
      </c>
      <c r="KYX1336" s="4" t="s">
        <v>2880</v>
      </c>
      <c r="KYY1336" s="4" t="s">
        <v>2880</v>
      </c>
      <c r="KYZ1336" s="4" t="s">
        <v>2880</v>
      </c>
      <c r="KZA1336" s="4" t="s">
        <v>2880</v>
      </c>
      <c r="KZB1336" s="4" t="s">
        <v>2880</v>
      </c>
      <c r="KZC1336" s="4" t="s">
        <v>2880</v>
      </c>
      <c r="KZD1336" s="4" t="s">
        <v>2880</v>
      </c>
      <c r="KZE1336" s="4" t="s">
        <v>2880</v>
      </c>
      <c r="KZF1336" s="4" t="s">
        <v>2880</v>
      </c>
      <c r="KZG1336" s="4" t="s">
        <v>2880</v>
      </c>
      <c r="KZH1336" s="4" t="s">
        <v>2880</v>
      </c>
      <c r="KZI1336" s="4" t="s">
        <v>2880</v>
      </c>
      <c r="KZJ1336" s="4" t="s">
        <v>2880</v>
      </c>
      <c r="KZK1336" s="4" t="s">
        <v>2880</v>
      </c>
      <c r="KZL1336" s="4" t="s">
        <v>2880</v>
      </c>
      <c r="KZM1336" s="4" t="s">
        <v>2880</v>
      </c>
      <c r="KZN1336" s="4" t="s">
        <v>2880</v>
      </c>
      <c r="KZO1336" s="4" t="s">
        <v>2880</v>
      </c>
      <c r="KZP1336" s="4" t="s">
        <v>2880</v>
      </c>
      <c r="KZQ1336" s="4" t="s">
        <v>2880</v>
      </c>
      <c r="KZR1336" s="4" t="s">
        <v>2880</v>
      </c>
      <c r="KZS1336" s="4" t="s">
        <v>2880</v>
      </c>
      <c r="KZT1336" s="4" t="s">
        <v>2880</v>
      </c>
      <c r="KZU1336" s="4" t="s">
        <v>2880</v>
      </c>
      <c r="KZV1336" s="4" t="s">
        <v>2880</v>
      </c>
      <c r="KZW1336" s="4" t="s">
        <v>2880</v>
      </c>
      <c r="KZX1336" s="4" t="s">
        <v>2880</v>
      </c>
      <c r="KZY1336" s="4" t="s">
        <v>2880</v>
      </c>
      <c r="KZZ1336" s="4" t="s">
        <v>2880</v>
      </c>
      <c r="LAA1336" s="4" t="s">
        <v>2880</v>
      </c>
      <c r="LAB1336" s="4" t="s">
        <v>2880</v>
      </c>
      <c r="LAC1336" s="4" t="s">
        <v>2880</v>
      </c>
      <c r="LAD1336" s="4" t="s">
        <v>2880</v>
      </c>
      <c r="LAE1336" s="4" t="s">
        <v>2880</v>
      </c>
      <c r="LAF1336" s="4" t="s">
        <v>2880</v>
      </c>
      <c r="LAG1336" s="4" t="s">
        <v>2880</v>
      </c>
      <c r="LAH1336" s="4" t="s">
        <v>2880</v>
      </c>
      <c r="LAI1336" s="4" t="s">
        <v>2880</v>
      </c>
      <c r="LAJ1336" s="4" t="s">
        <v>2880</v>
      </c>
      <c r="LAK1336" s="4" t="s">
        <v>2880</v>
      </c>
      <c r="LAL1336" s="4" t="s">
        <v>2880</v>
      </c>
      <c r="LAM1336" s="4" t="s">
        <v>2880</v>
      </c>
      <c r="LAN1336" s="4" t="s">
        <v>2880</v>
      </c>
      <c r="LAO1336" s="4" t="s">
        <v>2880</v>
      </c>
      <c r="LAP1336" s="4" t="s">
        <v>2880</v>
      </c>
      <c r="LAQ1336" s="4" t="s">
        <v>2880</v>
      </c>
      <c r="LAR1336" s="4" t="s">
        <v>2880</v>
      </c>
      <c r="LAS1336" s="4" t="s">
        <v>2880</v>
      </c>
      <c r="LAT1336" s="4" t="s">
        <v>2880</v>
      </c>
      <c r="LAU1336" s="4" t="s">
        <v>2880</v>
      </c>
      <c r="LAV1336" s="4" t="s">
        <v>2880</v>
      </c>
      <c r="LAW1336" s="4" t="s">
        <v>2880</v>
      </c>
      <c r="LAX1336" s="4" t="s">
        <v>2880</v>
      </c>
      <c r="LAY1336" s="4" t="s">
        <v>2880</v>
      </c>
      <c r="LAZ1336" s="4" t="s">
        <v>2880</v>
      </c>
      <c r="LBA1336" s="4" t="s">
        <v>2880</v>
      </c>
      <c r="LBB1336" s="4" t="s">
        <v>2880</v>
      </c>
      <c r="LBC1336" s="4" t="s">
        <v>2880</v>
      </c>
      <c r="LBD1336" s="4" t="s">
        <v>2880</v>
      </c>
      <c r="LBE1336" s="4" t="s">
        <v>2880</v>
      </c>
      <c r="LBF1336" s="4" t="s">
        <v>2880</v>
      </c>
      <c r="LBG1336" s="4" t="s">
        <v>2880</v>
      </c>
      <c r="LBH1336" s="4" t="s">
        <v>2880</v>
      </c>
      <c r="LBI1336" s="4" t="s">
        <v>2880</v>
      </c>
      <c r="LBJ1336" s="4" t="s">
        <v>2880</v>
      </c>
      <c r="LBK1336" s="4" t="s">
        <v>2880</v>
      </c>
      <c r="LBL1336" s="4" t="s">
        <v>2880</v>
      </c>
      <c r="LBM1336" s="4" t="s">
        <v>2880</v>
      </c>
      <c r="LBN1336" s="4" t="s">
        <v>2880</v>
      </c>
      <c r="LBO1336" s="4" t="s">
        <v>2880</v>
      </c>
      <c r="LBP1336" s="4" t="s">
        <v>2880</v>
      </c>
      <c r="LBQ1336" s="4" t="s">
        <v>2880</v>
      </c>
      <c r="LBR1336" s="4" t="s">
        <v>2880</v>
      </c>
      <c r="LBS1336" s="4" t="s">
        <v>2880</v>
      </c>
      <c r="LBT1336" s="4" t="s">
        <v>2880</v>
      </c>
      <c r="LBU1336" s="4" t="s">
        <v>2880</v>
      </c>
      <c r="LBV1336" s="4" t="s">
        <v>2880</v>
      </c>
      <c r="LBW1336" s="4" t="s">
        <v>2880</v>
      </c>
      <c r="LBX1336" s="4" t="s">
        <v>2880</v>
      </c>
      <c r="LBY1336" s="4" t="s">
        <v>2880</v>
      </c>
      <c r="LBZ1336" s="4" t="s">
        <v>2880</v>
      </c>
      <c r="LCA1336" s="4" t="s">
        <v>2880</v>
      </c>
      <c r="LCB1336" s="4" t="s">
        <v>2880</v>
      </c>
      <c r="LCC1336" s="4" t="s">
        <v>2880</v>
      </c>
      <c r="LCD1336" s="4" t="s">
        <v>2880</v>
      </c>
      <c r="LCE1336" s="4" t="s">
        <v>2880</v>
      </c>
      <c r="LCF1336" s="4" t="s">
        <v>2880</v>
      </c>
      <c r="LCG1336" s="4" t="s">
        <v>2880</v>
      </c>
      <c r="LCH1336" s="4" t="s">
        <v>2880</v>
      </c>
      <c r="LCI1336" s="4" t="s">
        <v>2880</v>
      </c>
      <c r="LCJ1336" s="4" t="s">
        <v>2880</v>
      </c>
      <c r="LCK1336" s="4" t="s">
        <v>2880</v>
      </c>
      <c r="LCL1336" s="4" t="s">
        <v>2880</v>
      </c>
      <c r="LCM1336" s="4" t="s">
        <v>2880</v>
      </c>
      <c r="LCN1336" s="4" t="s">
        <v>2880</v>
      </c>
      <c r="LCO1336" s="4" t="s">
        <v>2880</v>
      </c>
      <c r="LCP1336" s="4" t="s">
        <v>2880</v>
      </c>
      <c r="LCQ1336" s="4" t="s">
        <v>2880</v>
      </c>
      <c r="LCR1336" s="4" t="s">
        <v>2880</v>
      </c>
      <c r="LCS1336" s="4" t="s">
        <v>2880</v>
      </c>
      <c r="LCT1336" s="4" t="s">
        <v>2880</v>
      </c>
      <c r="LCU1336" s="4" t="s">
        <v>2880</v>
      </c>
      <c r="LCV1336" s="4" t="s">
        <v>2880</v>
      </c>
      <c r="LCW1336" s="4" t="s">
        <v>2880</v>
      </c>
      <c r="LCX1336" s="4" t="s">
        <v>2880</v>
      </c>
      <c r="LCY1336" s="4" t="s">
        <v>2880</v>
      </c>
      <c r="LCZ1336" s="4" t="s">
        <v>2880</v>
      </c>
      <c r="LDA1336" s="4" t="s">
        <v>2880</v>
      </c>
      <c r="LDB1336" s="4" t="s">
        <v>2880</v>
      </c>
      <c r="LDC1336" s="4" t="s">
        <v>2880</v>
      </c>
      <c r="LDD1336" s="4" t="s">
        <v>2880</v>
      </c>
      <c r="LDE1336" s="4" t="s">
        <v>2880</v>
      </c>
      <c r="LDF1336" s="4" t="s">
        <v>2880</v>
      </c>
      <c r="LDG1336" s="4" t="s">
        <v>2880</v>
      </c>
      <c r="LDH1336" s="4" t="s">
        <v>2880</v>
      </c>
      <c r="LDI1336" s="4" t="s">
        <v>2880</v>
      </c>
      <c r="LDJ1336" s="4" t="s">
        <v>2880</v>
      </c>
      <c r="LDK1336" s="4" t="s">
        <v>2880</v>
      </c>
      <c r="LDL1336" s="4" t="s">
        <v>2880</v>
      </c>
      <c r="LDM1336" s="4" t="s">
        <v>2880</v>
      </c>
      <c r="LDN1336" s="4" t="s">
        <v>2880</v>
      </c>
      <c r="LDO1336" s="4" t="s">
        <v>2880</v>
      </c>
      <c r="LDP1336" s="4" t="s">
        <v>2880</v>
      </c>
      <c r="LDQ1336" s="4" t="s">
        <v>2880</v>
      </c>
      <c r="LDR1336" s="4" t="s">
        <v>2880</v>
      </c>
      <c r="LDS1336" s="4" t="s">
        <v>2880</v>
      </c>
      <c r="LDT1336" s="4" t="s">
        <v>2880</v>
      </c>
      <c r="LDU1336" s="4" t="s">
        <v>2880</v>
      </c>
      <c r="LDV1336" s="4" t="s">
        <v>2880</v>
      </c>
      <c r="LDW1336" s="4" t="s">
        <v>2880</v>
      </c>
      <c r="LDX1336" s="4" t="s">
        <v>2880</v>
      </c>
      <c r="LDY1336" s="4" t="s">
        <v>2880</v>
      </c>
      <c r="LDZ1336" s="4" t="s">
        <v>2880</v>
      </c>
      <c r="LEA1336" s="4" t="s">
        <v>2880</v>
      </c>
      <c r="LEB1336" s="4" t="s">
        <v>2880</v>
      </c>
      <c r="LEC1336" s="4" t="s">
        <v>2880</v>
      </c>
      <c r="LED1336" s="4" t="s">
        <v>2880</v>
      </c>
      <c r="LEE1336" s="4" t="s">
        <v>2880</v>
      </c>
      <c r="LEF1336" s="4" t="s">
        <v>2880</v>
      </c>
      <c r="LEG1336" s="4" t="s">
        <v>2880</v>
      </c>
      <c r="LEH1336" s="4" t="s">
        <v>2880</v>
      </c>
      <c r="LEI1336" s="4" t="s">
        <v>2880</v>
      </c>
      <c r="LEJ1336" s="4" t="s">
        <v>2880</v>
      </c>
      <c r="LEK1336" s="4" t="s">
        <v>2880</v>
      </c>
      <c r="LEL1336" s="4" t="s">
        <v>2880</v>
      </c>
      <c r="LEM1336" s="4" t="s">
        <v>2880</v>
      </c>
      <c r="LEN1336" s="4" t="s">
        <v>2880</v>
      </c>
      <c r="LEO1336" s="4" t="s">
        <v>2880</v>
      </c>
      <c r="LEP1336" s="4" t="s">
        <v>2880</v>
      </c>
      <c r="LEQ1336" s="4" t="s">
        <v>2880</v>
      </c>
      <c r="LER1336" s="4" t="s">
        <v>2880</v>
      </c>
      <c r="LES1336" s="4" t="s">
        <v>2880</v>
      </c>
      <c r="LET1336" s="4" t="s">
        <v>2880</v>
      </c>
      <c r="LEU1336" s="4" t="s">
        <v>2880</v>
      </c>
      <c r="LEV1336" s="4" t="s">
        <v>2880</v>
      </c>
      <c r="LEW1336" s="4" t="s">
        <v>2880</v>
      </c>
      <c r="LEX1336" s="4" t="s">
        <v>2880</v>
      </c>
      <c r="LEY1336" s="4" t="s">
        <v>2880</v>
      </c>
      <c r="LEZ1336" s="4" t="s">
        <v>2880</v>
      </c>
      <c r="LFA1336" s="4" t="s">
        <v>2880</v>
      </c>
      <c r="LFB1336" s="4" t="s">
        <v>2880</v>
      </c>
      <c r="LFC1336" s="4" t="s">
        <v>2880</v>
      </c>
      <c r="LFD1336" s="4" t="s">
        <v>2880</v>
      </c>
      <c r="LFE1336" s="4" t="s">
        <v>2880</v>
      </c>
      <c r="LFF1336" s="4" t="s">
        <v>2880</v>
      </c>
      <c r="LFG1336" s="4" t="s">
        <v>2880</v>
      </c>
      <c r="LFH1336" s="4" t="s">
        <v>2880</v>
      </c>
      <c r="LFI1336" s="4" t="s">
        <v>2880</v>
      </c>
      <c r="LFJ1336" s="4" t="s">
        <v>2880</v>
      </c>
      <c r="LFK1336" s="4" t="s">
        <v>2880</v>
      </c>
      <c r="LFL1336" s="4" t="s">
        <v>2880</v>
      </c>
      <c r="LFM1336" s="4" t="s">
        <v>2880</v>
      </c>
      <c r="LFN1336" s="4" t="s">
        <v>2880</v>
      </c>
      <c r="LFO1336" s="4" t="s">
        <v>2880</v>
      </c>
      <c r="LFP1336" s="4" t="s">
        <v>2880</v>
      </c>
      <c r="LFQ1336" s="4" t="s">
        <v>2880</v>
      </c>
      <c r="LFR1336" s="4" t="s">
        <v>2880</v>
      </c>
      <c r="LFS1336" s="4" t="s">
        <v>2880</v>
      </c>
      <c r="LFT1336" s="4" t="s">
        <v>2880</v>
      </c>
      <c r="LFU1336" s="4" t="s">
        <v>2880</v>
      </c>
      <c r="LFV1336" s="4" t="s">
        <v>2880</v>
      </c>
      <c r="LFW1336" s="4" t="s">
        <v>2880</v>
      </c>
      <c r="LFX1336" s="4" t="s">
        <v>2880</v>
      </c>
      <c r="LFY1336" s="4" t="s">
        <v>2880</v>
      </c>
      <c r="LFZ1336" s="4" t="s">
        <v>2880</v>
      </c>
      <c r="LGA1336" s="4" t="s">
        <v>2880</v>
      </c>
      <c r="LGB1336" s="4" t="s">
        <v>2880</v>
      </c>
      <c r="LGC1336" s="4" t="s">
        <v>2880</v>
      </c>
      <c r="LGD1336" s="4" t="s">
        <v>2880</v>
      </c>
      <c r="LGE1336" s="4" t="s">
        <v>2880</v>
      </c>
      <c r="LGF1336" s="4" t="s">
        <v>2880</v>
      </c>
      <c r="LGG1336" s="4" t="s">
        <v>2880</v>
      </c>
      <c r="LGH1336" s="4" t="s">
        <v>2880</v>
      </c>
      <c r="LGI1336" s="4" t="s">
        <v>2880</v>
      </c>
      <c r="LGJ1336" s="4" t="s">
        <v>2880</v>
      </c>
      <c r="LGK1336" s="4" t="s">
        <v>2880</v>
      </c>
      <c r="LGL1336" s="4" t="s">
        <v>2880</v>
      </c>
      <c r="LGM1336" s="4" t="s">
        <v>2880</v>
      </c>
      <c r="LGN1336" s="4" t="s">
        <v>2880</v>
      </c>
      <c r="LGO1336" s="4" t="s">
        <v>2880</v>
      </c>
      <c r="LGP1336" s="4" t="s">
        <v>2880</v>
      </c>
      <c r="LGQ1336" s="4" t="s">
        <v>2880</v>
      </c>
      <c r="LGR1336" s="4" t="s">
        <v>2880</v>
      </c>
      <c r="LGS1336" s="4" t="s">
        <v>2880</v>
      </c>
      <c r="LGT1336" s="4" t="s">
        <v>2880</v>
      </c>
      <c r="LGU1336" s="4" t="s">
        <v>2880</v>
      </c>
      <c r="LGV1336" s="4" t="s">
        <v>2880</v>
      </c>
      <c r="LGW1336" s="4" t="s">
        <v>2880</v>
      </c>
      <c r="LGX1336" s="4" t="s">
        <v>2880</v>
      </c>
      <c r="LGY1336" s="4" t="s">
        <v>2880</v>
      </c>
      <c r="LGZ1336" s="4" t="s">
        <v>2880</v>
      </c>
      <c r="LHA1336" s="4" t="s">
        <v>2880</v>
      </c>
      <c r="LHB1336" s="4" t="s">
        <v>2880</v>
      </c>
      <c r="LHC1336" s="4" t="s">
        <v>2880</v>
      </c>
      <c r="LHD1336" s="4" t="s">
        <v>2880</v>
      </c>
      <c r="LHE1336" s="4" t="s">
        <v>2880</v>
      </c>
      <c r="LHF1336" s="4" t="s">
        <v>2880</v>
      </c>
      <c r="LHG1336" s="4" t="s">
        <v>2880</v>
      </c>
      <c r="LHH1336" s="4" t="s">
        <v>2880</v>
      </c>
      <c r="LHI1336" s="4" t="s">
        <v>2880</v>
      </c>
      <c r="LHJ1336" s="4" t="s">
        <v>2880</v>
      </c>
      <c r="LHK1336" s="4" t="s">
        <v>2880</v>
      </c>
      <c r="LHL1336" s="4" t="s">
        <v>2880</v>
      </c>
      <c r="LHM1336" s="4" t="s">
        <v>2880</v>
      </c>
      <c r="LHN1336" s="4" t="s">
        <v>2880</v>
      </c>
      <c r="LHO1336" s="4" t="s">
        <v>2880</v>
      </c>
      <c r="LHP1336" s="4" t="s">
        <v>2880</v>
      </c>
      <c r="LHQ1336" s="4" t="s">
        <v>2880</v>
      </c>
      <c r="LHR1336" s="4" t="s">
        <v>2880</v>
      </c>
      <c r="LHS1336" s="4" t="s">
        <v>2880</v>
      </c>
      <c r="LHT1336" s="4" t="s">
        <v>2880</v>
      </c>
      <c r="LHU1336" s="4" t="s">
        <v>2880</v>
      </c>
      <c r="LHV1336" s="4" t="s">
        <v>2880</v>
      </c>
      <c r="LHW1336" s="4" t="s">
        <v>2880</v>
      </c>
      <c r="LHX1336" s="4" t="s">
        <v>2880</v>
      </c>
      <c r="LHY1336" s="4" t="s">
        <v>2880</v>
      </c>
      <c r="LHZ1336" s="4" t="s">
        <v>2880</v>
      </c>
      <c r="LIA1336" s="4" t="s">
        <v>2880</v>
      </c>
      <c r="LIB1336" s="4" t="s">
        <v>2880</v>
      </c>
      <c r="LIC1336" s="4" t="s">
        <v>2880</v>
      </c>
      <c r="LID1336" s="4" t="s">
        <v>2880</v>
      </c>
      <c r="LIE1336" s="4" t="s">
        <v>2880</v>
      </c>
      <c r="LIF1336" s="4" t="s">
        <v>2880</v>
      </c>
      <c r="LIG1336" s="4" t="s">
        <v>2880</v>
      </c>
      <c r="LIH1336" s="4" t="s">
        <v>2880</v>
      </c>
      <c r="LII1336" s="4" t="s">
        <v>2880</v>
      </c>
      <c r="LIJ1336" s="4" t="s">
        <v>2880</v>
      </c>
      <c r="LIK1336" s="4" t="s">
        <v>2880</v>
      </c>
      <c r="LIL1336" s="4" t="s">
        <v>2880</v>
      </c>
      <c r="LIM1336" s="4" t="s">
        <v>2880</v>
      </c>
      <c r="LIN1336" s="4" t="s">
        <v>2880</v>
      </c>
      <c r="LIO1336" s="4" t="s">
        <v>2880</v>
      </c>
      <c r="LIP1336" s="4" t="s">
        <v>2880</v>
      </c>
      <c r="LIQ1336" s="4" t="s">
        <v>2880</v>
      </c>
      <c r="LIR1336" s="4" t="s">
        <v>2880</v>
      </c>
      <c r="LIS1336" s="4" t="s">
        <v>2880</v>
      </c>
      <c r="LIT1336" s="4" t="s">
        <v>2880</v>
      </c>
      <c r="LIU1336" s="4" t="s">
        <v>2880</v>
      </c>
      <c r="LIV1336" s="4" t="s">
        <v>2880</v>
      </c>
      <c r="LIW1336" s="4" t="s">
        <v>2880</v>
      </c>
      <c r="LIX1336" s="4" t="s">
        <v>2880</v>
      </c>
      <c r="LIY1336" s="4" t="s">
        <v>2880</v>
      </c>
      <c r="LIZ1336" s="4" t="s">
        <v>2880</v>
      </c>
      <c r="LJA1336" s="4" t="s">
        <v>2880</v>
      </c>
      <c r="LJB1336" s="4" t="s">
        <v>2880</v>
      </c>
      <c r="LJC1336" s="4" t="s">
        <v>2880</v>
      </c>
      <c r="LJD1336" s="4" t="s">
        <v>2880</v>
      </c>
      <c r="LJE1336" s="4" t="s">
        <v>2880</v>
      </c>
      <c r="LJF1336" s="4" t="s">
        <v>2880</v>
      </c>
      <c r="LJG1336" s="4" t="s">
        <v>2880</v>
      </c>
      <c r="LJH1336" s="4" t="s">
        <v>2880</v>
      </c>
      <c r="LJI1336" s="4" t="s">
        <v>2880</v>
      </c>
      <c r="LJJ1336" s="4" t="s">
        <v>2880</v>
      </c>
      <c r="LJK1336" s="4" t="s">
        <v>2880</v>
      </c>
      <c r="LJL1336" s="4" t="s">
        <v>2880</v>
      </c>
      <c r="LJM1336" s="4" t="s">
        <v>2880</v>
      </c>
      <c r="LJN1336" s="4" t="s">
        <v>2880</v>
      </c>
      <c r="LJO1336" s="4" t="s">
        <v>2880</v>
      </c>
      <c r="LJP1336" s="4" t="s">
        <v>2880</v>
      </c>
      <c r="LJQ1336" s="4" t="s">
        <v>2880</v>
      </c>
      <c r="LJR1336" s="4" t="s">
        <v>2880</v>
      </c>
      <c r="LJS1336" s="4" t="s">
        <v>2880</v>
      </c>
      <c r="LJT1336" s="4" t="s">
        <v>2880</v>
      </c>
      <c r="LJU1336" s="4" t="s">
        <v>2880</v>
      </c>
      <c r="LJV1336" s="4" t="s">
        <v>2880</v>
      </c>
      <c r="LJW1336" s="4" t="s">
        <v>2880</v>
      </c>
      <c r="LJX1336" s="4" t="s">
        <v>2880</v>
      </c>
      <c r="LJY1336" s="4" t="s">
        <v>2880</v>
      </c>
      <c r="LJZ1336" s="4" t="s">
        <v>2880</v>
      </c>
      <c r="LKA1336" s="4" t="s">
        <v>2880</v>
      </c>
      <c r="LKB1336" s="4" t="s">
        <v>2880</v>
      </c>
      <c r="LKC1336" s="4" t="s">
        <v>2880</v>
      </c>
      <c r="LKD1336" s="4" t="s">
        <v>2880</v>
      </c>
      <c r="LKE1336" s="4" t="s">
        <v>2880</v>
      </c>
      <c r="LKF1336" s="4" t="s">
        <v>2880</v>
      </c>
      <c r="LKG1336" s="4" t="s">
        <v>2880</v>
      </c>
      <c r="LKH1336" s="4" t="s">
        <v>2880</v>
      </c>
      <c r="LKI1336" s="4" t="s">
        <v>2880</v>
      </c>
      <c r="LKJ1336" s="4" t="s">
        <v>2880</v>
      </c>
      <c r="LKK1336" s="4" t="s">
        <v>2880</v>
      </c>
      <c r="LKL1336" s="4" t="s">
        <v>2880</v>
      </c>
      <c r="LKM1336" s="4" t="s">
        <v>2880</v>
      </c>
      <c r="LKN1336" s="4" t="s">
        <v>2880</v>
      </c>
      <c r="LKO1336" s="4" t="s">
        <v>2880</v>
      </c>
      <c r="LKP1336" s="4" t="s">
        <v>2880</v>
      </c>
      <c r="LKQ1336" s="4" t="s">
        <v>2880</v>
      </c>
      <c r="LKR1336" s="4" t="s">
        <v>2880</v>
      </c>
      <c r="LKS1336" s="4" t="s">
        <v>2880</v>
      </c>
      <c r="LKT1336" s="4" t="s">
        <v>2880</v>
      </c>
      <c r="LKU1336" s="4" t="s">
        <v>2880</v>
      </c>
      <c r="LKV1336" s="4" t="s">
        <v>2880</v>
      </c>
      <c r="LKW1336" s="4" t="s">
        <v>2880</v>
      </c>
      <c r="LKX1336" s="4" t="s">
        <v>2880</v>
      </c>
      <c r="LKY1336" s="4" t="s">
        <v>2880</v>
      </c>
      <c r="LKZ1336" s="4" t="s">
        <v>2880</v>
      </c>
      <c r="LLA1336" s="4" t="s">
        <v>2880</v>
      </c>
      <c r="LLB1336" s="4" t="s">
        <v>2880</v>
      </c>
      <c r="LLC1336" s="4" t="s">
        <v>2880</v>
      </c>
      <c r="LLD1336" s="4" t="s">
        <v>2880</v>
      </c>
      <c r="LLE1336" s="4" t="s">
        <v>2880</v>
      </c>
      <c r="LLF1336" s="4" t="s">
        <v>2880</v>
      </c>
      <c r="LLG1336" s="4" t="s">
        <v>2880</v>
      </c>
      <c r="LLH1336" s="4" t="s">
        <v>2880</v>
      </c>
      <c r="LLI1336" s="4" t="s">
        <v>2880</v>
      </c>
      <c r="LLJ1336" s="4" t="s">
        <v>2880</v>
      </c>
      <c r="LLK1336" s="4" t="s">
        <v>2880</v>
      </c>
      <c r="LLL1336" s="4" t="s">
        <v>2880</v>
      </c>
      <c r="LLM1336" s="4" t="s">
        <v>2880</v>
      </c>
      <c r="LLN1336" s="4" t="s">
        <v>2880</v>
      </c>
      <c r="LLO1336" s="4" t="s">
        <v>2880</v>
      </c>
      <c r="LLP1336" s="4" t="s">
        <v>2880</v>
      </c>
      <c r="LLQ1336" s="4" t="s">
        <v>2880</v>
      </c>
      <c r="LLR1336" s="4" t="s">
        <v>2880</v>
      </c>
      <c r="LLS1336" s="4" t="s">
        <v>2880</v>
      </c>
      <c r="LLT1336" s="4" t="s">
        <v>2880</v>
      </c>
      <c r="LLU1336" s="4" t="s">
        <v>2880</v>
      </c>
      <c r="LLV1336" s="4" t="s">
        <v>2880</v>
      </c>
      <c r="LLW1336" s="4" t="s">
        <v>2880</v>
      </c>
      <c r="LLX1336" s="4" t="s">
        <v>2880</v>
      </c>
      <c r="LLY1336" s="4" t="s">
        <v>2880</v>
      </c>
      <c r="LLZ1336" s="4" t="s">
        <v>2880</v>
      </c>
      <c r="LMA1336" s="4" t="s">
        <v>2880</v>
      </c>
      <c r="LMB1336" s="4" t="s">
        <v>2880</v>
      </c>
      <c r="LMC1336" s="4" t="s">
        <v>2880</v>
      </c>
      <c r="LMD1336" s="4" t="s">
        <v>2880</v>
      </c>
      <c r="LME1336" s="4" t="s">
        <v>2880</v>
      </c>
      <c r="LMF1336" s="4" t="s">
        <v>2880</v>
      </c>
      <c r="LMG1336" s="4" t="s">
        <v>2880</v>
      </c>
      <c r="LMH1336" s="4" t="s">
        <v>2880</v>
      </c>
      <c r="LMI1336" s="4" t="s">
        <v>2880</v>
      </c>
      <c r="LMJ1336" s="4" t="s">
        <v>2880</v>
      </c>
      <c r="LMK1336" s="4" t="s">
        <v>2880</v>
      </c>
      <c r="LML1336" s="4" t="s">
        <v>2880</v>
      </c>
      <c r="LMM1336" s="4" t="s">
        <v>2880</v>
      </c>
      <c r="LMN1336" s="4" t="s">
        <v>2880</v>
      </c>
      <c r="LMO1336" s="4" t="s">
        <v>2880</v>
      </c>
      <c r="LMP1336" s="4" t="s">
        <v>2880</v>
      </c>
      <c r="LMQ1336" s="4" t="s">
        <v>2880</v>
      </c>
      <c r="LMR1336" s="4" t="s">
        <v>2880</v>
      </c>
      <c r="LMS1336" s="4" t="s">
        <v>2880</v>
      </c>
      <c r="LMT1336" s="4" t="s">
        <v>2880</v>
      </c>
      <c r="LMU1336" s="4" t="s">
        <v>2880</v>
      </c>
      <c r="LMV1336" s="4" t="s">
        <v>2880</v>
      </c>
      <c r="LMW1336" s="4" t="s">
        <v>2880</v>
      </c>
      <c r="LMX1336" s="4" t="s">
        <v>2880</v>
      </c>
      <c r="LMY1336" s="4" t="s">
        <v>2880</v>
      </c>
      <c r="LMZ1336" s="4" t="s">
        <v>2880</v>
      </c>
      <c r="LNA1336" s="4" t="s">
        <v>2880</v>
      </c>
      <c r="LNB1336" s="4" t="s">
        <v>2880</v>
      </c>
      <c r="LNC1336" s="4" t="s">
        <v>2880</v>
      </c>
      <c r="LND1336" s="4" t="s">
        <v>2880</v>
      </c>
      <c r="LNE1336" s="4" t="s">
        <v>2880</v>
      </c>
      <c r="LNF1336" s="4" t="s">
        <v>2880</v>
      </c>
      <c r="LNG1336" s="4" t="s">
        <v>2880</v>
      </c>
      <c r="LNH1336" s="4" t="s">
        <v>2880</v>
      </c>
      <c r="LNI1336" s="4" t="s">
        <v>2880</v>
      </c>
      <c r="LNJ1336" s="4" t="s">
        <v>2880</v>
      </c>
      <c r="LNK1336" s="4" t="s">
        <v>2880</v>
      </c>
      <c r="LNL1336" s="4" t="s">
        <v>2880</v>
      </c>
      <c r="LNM1336" s="4" t="s">
        <v>2880</v>
      </c>
      <c r="LNN1336" s="4" t="s">
        <v>2880</v>
      </c>
      <c r="LNO1336" s="4" t="s">
        <v>2880</v>
      </c>
      <c r="LNP1336" s="4" t="s">
        <v>2880</v>
      </c>
      <c r="LNQ1336" s="4" t="s">
        <v>2880</v>
      </c>
      <c r="LNR1336" s="4" t="s">
        <v>2880</v>
      </c>
      <c r="LNS1336" s="4" t="s">
        <v>2880</v>
      </c>
      <c r="LNT1336" s="4" t="s">
        <v>2880</v>
      </c>
      <c r="LNU1336" s="4" t="s">
        <v>2880</v>
      </c>
      <c r="LNV1336" s="4" t="s">
        <v>2880</v>
      </c>
      <c r="LNW1336" s="4" t="s">
        <v>2880</v>
      </c>
      <c r="LNX1336" s="4" t="s">
        <v>2880</v>
      </c>
      <c r="LNY1336" s="4" t="s">
        <v>2880</v>
      </c>
      <c r="LNZ1336" s="4" t="s">
        <v>2880</v>
      </c>
      <c r="LOA1336" s="4" t="s">
        <v>2880</v>
      </c>
      <c r="LOB1336" s="4" t="s">
        <v>2880</v>
      </c>
      <c r="LOC1336" s="4" t="s">
        <v>2880</v>
      </c>
      <c r="LOD1336" s="4" t="s">
        <v>2880</v>
      </c>
      <c r="LOE1336" s="4" t="s">
        <v>2880</v>
      </c>
      <c r="LOF1336" s="4" t="s">
        <v>2880</v>
      </c>
      <c r="LOG1336" s="4" t="s">
        <v>2880</v>
      </c>
      <c r="LOH1336" s="4" t="s">
        <v>2880</v>
      </c>
      <c r="LOI1336" s="4" t="s">
        <v>2880</v>
      </c>
      <c r="LOJ1336" s="4" t="s">
        <v>2880</v>
      </c>
      <c r="LOK1336" s="4" t="s">
        <v>2880</v>
      </c>
      <c r="LOL1336" s="4" t="s">
        <v>2880</v>
      </c>
      <c r="LOM1336" s="4" t="s">
        <v>2880</v>
      </c>
      <c r="LON1336" s="4" t="s">
        <v>2880</v>
      </c>
      <c r="LOO1336" s="4" t="s">
        <v>2880</v>
      </c>
      <c r="LOP1336" s="4" t="s">
        <v>2880</v>
      </c>
      <c r="LOQ1336" s="4" t="s">
        <v>2880</v>
      </c>
      <c r="LOR1336" s="4" t="s">
        <v>2880</v>
      </c>
      <c r="LOS1336" s="4" t="s">
        <v>2880</v>
      </c>
      <c r="LOT1336" s="4" t="s">
        <v>2880</v>
      </c>
      <c r="LOU1336" s="4" t="s">
        <v>2880</v>
      </c>
      <c r="LOV1336" s="4" t="s">
        <v>2880</v>
      </c>
      <c r="LOW1336" s="4" t="s">
        <v>2880</v>
      </c>
      <c r="LOX1336" s="4" t="s">
        <v>2880</v>
      </c>
      <c r="LOY1336" s="4" t="s">
        <v>2880</v>
      </c>
      <c r="LOZ1336" s="4" t="s">
        <v>2880</v>
      </c>
      <c r="LPA1336" s="4" t="s">
        <v>2880</v>
      </c>
      <c r="LPB1336" s="4" t="s">
        <v>2880</v>
      </c>
      <c r="LPC1336" s="4" t="s">
        <v>2880</v>
      </c>
      <c r="LPD1336" s="4" t="s">
        <v>2880</v>
      </c>
      <c r="LPE1336" s="4" t="s">
        <v>2880</v>
      </c>
      <c r="LPF1336" s="4" t="s">
        <v>2880</v>
      </c>
      <c r="LPG1336" s="4" t="s">
        <v>2880</v>
      </c>
      <c r="LPH1336" s="4" t="s">
        <v>2880</v>
      </c>
      <c r="LPI1336" s="4" t="s">
        <v>2880</v>
      </c>
      <c r="LPJ1336" s="4" t="s">
        <v>2880</v>
      </c>
      <c r="LPK1336" s="4" t="s">
        <v>2880</v>
      </c>
      <c r="LPL1336" s="4" t="s">
        <v>2880</v>
      </c>
      <c r="LPM1336" s="4" t="s">
        <v>2880</v>
      </c>
      <c r="LPN1336" s="4" t="s">
        <v>2880</v>
      </c>
      <c r="LPO1336" s="4" t="s">
        <v>2880</v>
      </c>
      <c r="LPP1336" s="4" t="s">
        <v>2880</v>
      </c>
      <c r="LPQ1336" s="4" t="s">
        <v>2880</v>
      </c>
      <c r="LPR1336" s="4" t="s">
        <v>2880</v>
      </c>
      <c r="LPS1336" s="4" t="s">
        <v>2880</v>
      </c>
      <c r="LPT1336" s="4" t="s">
        <v>2880</v>
      </c>
      <c r="LPU1336" s="4" t="s">
        <v>2880</v>
      </c>
      <c r="LPV1336" s="4" t="s">
        <v>2880</v>
      </c>
      <c r="LPW1336" s="4" t="s">
        <v>2880</v>
      </c>
      <c r="LPX1336" s="4" t="s">
        <v>2880</v>
      </c>
      <c r="LPY1336" s="4" t="s">
        <v>2880</v>
      </c>
      <c r="LPZ1336" s="4" t="s">
        <v>2880</v>
      </c>
      <c r="LQA1336" s="4" t="s">
        <v>2880</v>
      </c>
      <c r="LQB1336" s="4" t="s">
        <v>2880</v>
      </c>
      <c r="LQC1336" s="4" t="s">
        <v>2880</v>
      </c>
      <c r="LQD1336" s="4" t="s">
        <v>2880</v>
      </c>
      <c r="LQE1336" s="4" t="s">
        <v>2880</v>
      </c>
      <c r="LQF1336" s="4" t="s">
        <v>2880</v>
      </c>
      <c r="LQG1336" s="4" t="s">
        <v>2880</v>
      </c>
      <c r="LQH1336" s="4" t="s">
        <v>2880</v>
      </c>
      <c r="LQI1336" s="4" t="s">
        <v>2880</v>
      </c>
      <c r="LQJ1336" s="4" t="s">
        <v>2880</v>
      </c>
      <c r="LQK1336" s="4" t="s">
        <v>2880</v>
      </c>
      <c r="LQL1336" s="4" t="s">
        <v>2880</v>
      </c>
      <c r="LQM1336" s="4" t="s">
        <v>2880</v>
      </c>
      <c r="LQN1336" s="4" t="s">
        <v>2880</v>
      </c>
      <c r="LQO1336" s="4" t="s">
        <v>2880</v>
      </c>
      <c r="LQP1336" s="4" t="s">
        <v>2880</v>
      </c>
      <c r="LQQ1336" s="4" t="s">
        <v>2880</v>
      </c>
      <c r="LQR1336" s="4" t="s">
        <v>2880</v>
      </c>
      <c r="LQS1336" s="4" t="s">
        <v>2880</v>
      </c>
      <c r="LQT1336" s="4" t="s">
        <v>2880</v>
      </c>
      <c r="LQU1336" s="4" t="s">
        <v>2880</v>
      </c>
      <c r="LQV1336" s="4" t="s">
        <v>2880</v>
      </c>
      <c r="LQW1336" s="4" t="s">
        <v>2880</v>
      </c>
      <c r="LQX1336" s="4" t="s">
        <v>2880</v>
      </c>
      <c r="LQY1336" s="4" t="s">
        <v>2880</v>
      </c>
      <c r="LQZ1336" s="4" t="s">
        <v>2880</v>
      </c>
      <c r="LRA1336" s="4" t="s">
        <v>2880</v>
      </c>
      <c r="LRB1336" s="4" t="s">
        <v>2880</v>
      </c>
      <c r="LRC1336" s="4" t="s">
        <v>2880</v>
      </c>
      <c r="LRD1336" s="4" t="s">
        <v>2880</v>
      </c>
      <c r="LRE1336" s="4" t="s">
        <v>2880</v>
      </c>
      <c r="LRF1336" s="4" t="s">
        <v>2880</v>
      </c>
      <c r="LRG1336" s="4" t="s">
        <v>2880</v>
      </c>
      <c r="LRH1336" s="4" t="s">
        <v>2880</v>
      </c>
      <c r="LRI1336" s="4" t="s">
        <v>2880</v>
      </c>
      <c r="LRJ1336" s="4" t="s">
        <v>2880</v>
      </c>
      <c r="LRK1336" s="4" t="s">
        <v>2880</v>
      </c>
      <c r="LRL1336" s="4" t="s">
        <v>2880</v>
      </c>
      <c r="LRM1336" s="4" t="s">
        <v>2880</v>
      </c>
      <c r="LRN1336" s="4" t="s">
        <v>2880</v>
      </c>
      <c r="LRO1336" s="4" t="s">
        <v>2880</v>
      </c>
      <c r="LRP1336" s="4" t="s">
        <v>2880</v>
      </c>
      <c r="LRQ1336" s="4" t="s">
        <v>2880</v>
      </c>
      <c r="LRR1336" s="4" t="s">
        <v>2880</v>
      </c>
      <c r="LRS1336" s="4" t="s">
        <v>2880</v>
      </c>
      <c r="LRT1336" s="4" t="s">
        <v>2880</v>
      </c>
      <c r="LRU1336" s="4" t="s">
        <v>2880</v>
      </c>
      <c r="LRV1336" s="4" t="s">
        <v>2880</v>
      </c>
      <c r="LRW1336" s="4" t="s">
        <v>2880</v>
      </c>
      <c r="LRX1336" s="4" t="s">
        <v>2880</v>
      </c>
      <c r="LRY1336" s="4" t="s">
        <v>2880</v>
      </c>
      <c r="LRZ1336" s="4" t="s">
        <v>2880</v>
      </c>
      <c r="LSA1336" s="4" t="s">
        <v>2880</v>
      </c>
      <c r="LSB1336" s="4" t="s">
        <v>2880</v>
      </c>
      <c r="LSC1336" s="4" t="s">
        <v>2880</v>
      </c>
      <c r="LSD1336" s="4" t="s">
        <v>2880</v>
      </c>
      <c r="LSE1336" s="4" t="s">
        <v>2880</v>
      </c>
      <c r="LSF1336" s="4" t="s">
        <v>2880</v>
      </c>
      <c r="LSG1336" s="4" t="s">
        <v>2880</v>
      </c>
      <c r="LSH1336" s="4" t="s">
        <v>2880</v>
      </c>
      <c r="LSI1336" s="4" t="s">
        <v>2880</v>
      </c>
      <c r="LSJ1336" s="4" t="s">
        <v>2880</v>
      </c>
      <c r="LSK1336" s="4" t="s">
        <v>2880</v>
      </c>
      <c r="LSL1336" s="4" t="s">
        <v>2880</v>
      </c>
      <c r="LSM1336" s="4" t="s">
        <v>2880</v>
      </c>
      <c r="LSN1336" s="4" t="s">
        <v>2880</v>
      </c>
      <c r="LSO1336" s="4" t="s">
        <v>2880</v>
      </c>
      <c r="LSP1336" s="4" t="s">
        <v>2880</v>
      </c>
      <c r="LSQ1336" s="4" t="s">
        <v>2880</v>
      </c>
      <c r="LSR1336" s="4" t="s">
        <v>2880</v>
      </c>
      <c r="LSS1336" s="4" t="s">
        <v>2880</v>
      </c>
      <c r="LST1336" s="4" t="s">
        <v>2880</v>
      </c>
      <c r="LSU1336" s="4" t="s">
        <v>2880</v>
      </c>
      <c r="LSV1336" s="4" t="s">
        <v>2880</v>
      </c>
      <c r="LSW1336" s="4" t="s">
        <v>2880</v>
      </c>
      <c r="LSX1336" s="4" t="s">
        <v>2880</v>
      </c>
      <c r="LSY1336" s="4" t="s">
        <v>2880</v>
      </c>
      <c r="LSZ1336" s="4" t="s">
        <v>2880</v>
      </c>
      <c r="LTA1336" s="4" t="s">
        <v>2880</v>
      </c>
      <c r="LTB1336" s="4" t="s">
        <v>2880</v>
      </c>
      <c r="LTC1336" s="4" t="s">
        <v>2880</v>
      </c>
      <c r="LTD1336" s="4" t="s">
        <v>2880</v>
      </c>
      <c r="LTE1336" s="4" t="s">
        <v>2880</v>
      </c>
      <c r="LTF1336" s="4" t="s">
        <v>2880</v>
      </c>
      <c r="LTG1336" s="4" t="s">
        <v>2880</v>
      </c>
      <c r="LTH1336" s="4" t="s">
        <v>2880</v>
      </c>
      <c r="LTI1336" s="4" t="s">
        <v>2880</v>
      </c>
      <c r="LTJ1336" s="4" t="s">
        <v>2880</v>
      </c>
      <c r="LTK1336" s="4" t="s">
        <v>2880</v>
      </c>
      <c r="LTL1336" s="4" t="s">
        <v>2880</v>
      </c>
      <c r="LTM1336" s="4" t="s">
        <v>2880</v>
      </c>
      <c r="LTN1336" s="4" t="s">
        <v>2880</v>
      </c>
      <c r="LTO1336" s="4" t="s">
        <v>2880</v>
      </c>
      <c r="LTP1336" s="4" t="s">
        <v>2880</v>
      </c>
      <c r="LTQ1336" s="4" t="s">
        <v>2880</v>
      </c>
      <c r="LTR1336" s="4" t="s">
        <v>2880</v>
      </c>
      <c r="LTS1336" s="4" t="s">
        <v>2880</v>
      </c>
      <c r="LTT1336" s="4" t="s">
        <v>2880</v>
      </c>
      <c r="LTU1336" s="4" t="s">
        <v>2880</v>
      </c>
      <c r="LTV1336" s="4" t="s">
        <v>2880</v>
      </c>
      <c r="LTW1336" s="4" t="s">
        <v>2880</v>
      </c>
      <c r="LTX1336" s="4" t="s">
        <v>2880</v>
      </c>
      <c r="LTY1336" s="4" t="s">
        <v>2880</v>
      </c>
      <c r="LTZ1336" s="4" t="s">
        <v>2880</v>
      </c>
      <c r="LUA1336" s="4" t="s">
        <v>2880</v>
      </c>
      <c r="LUB1336" s="4" t="s">
        <v>2880</v>
      </c>
      <c r="LUC1336" s="4" t="s">
        <v>2880</v>
      </c>
      <c r="LUD1336" s="4" t="s">
        <v>2880</v>
      </c>
      <c r="LUE1336" s="4" t="s">
        <v>2880</v>
      </c>
      <c r="LUF1336" s="4" t="s">
        <v>2880</v>
      </c>
      <c r="LUG1336" s="4" t="s">
        <v>2880</v>
      </c>
      <c r="LUH1336" s="4" t="s">
        <v>2880</v>
      </c>
      <c r="LUI1336" s="4" t="s">
        <v>2880</v>
      </c>
      <c r="LUJ1336" s="4" t="s">
        <v>2880</v>
      </c>
      <c r="LUK1336" s="4" t="s">
        <v>2880</v>
      </c>
      <c r="LUL1336" s="4" t="s">
        <v>2880</v>
      </c>
      <c r="LUM1336" s="4" t="s">
        <v>2880</v>
      </c>
      <c r="LUN1336" s="4" t="s">
        <v>2880</v>
      </c>
      <c r="LUO1336" s="4" t="s">
        <v>2880</v>
      </c>
      <c r="LUP1336" s="4" t="s">
        <v>2880</v>
      </c>
      <c r="LUQ1336" s="4" t="s">
        <v>2880</v>
      </c>
      <c r="LUR1336" s="4" t="s">
        <v>2880</v>
      </c>
      <c r="LUS1336" s="4" t="s">
        <v>2880</v>
      </c>
      <c r="LUT1336" s="4" t="s">
        <v>2880</v>
      </c>
      <c r="LUU1336" s="4" t="s">
        <v>2880</v>
      </c>
      <c r="LUV1336" s="4" t="s">
        <v>2880</v>
      </c>
      <c r="LUW1336" s="4" t="s">
        <v>2880</v>
      </c>
      <c r="LUX1336" s="4" t="s">
        <v>2880</v>
      </c>
      <c r="LUY1336" s="4" t="s">
        <v>2880</v>
      </c>
      <c r="LUZ1336" s="4" t="s">
        <v>2880</v>
      </c>
      <c r="LVA1336" s="4" t="s">
        <v>2880</v>
      </c>
      <c r="LVB1336" s="4" t="s">
        <v>2880</v>
      </c>
      <c r="LVC1336" s="4" t="s">
        <v>2880</v>
      </c>
      <c r="LVD1336" s="4" t="s">
        <v>2880</v>
      </c>
      <c r="LVE1336" s="4" t="s">
        <v>2880</v>
      </c>
      <c r="LVF1336" s="4" t="s">
        <v>2880</v>
      </c>
      <c r="LVG1336" s="4" t="s">
        <v>2880</v>
      </c>
      <c r="LVH1336" s="4" t="s">
        <v>2880</v>
      </c>
      <c r="LVI1336" s="4" t="s">
        <v>2880</v>
      </c>
      <c r="LVJ1336" s="4" t="s">
        <v>2880</v>
      </c>
      <c r="LVK1336" s="4" t="s">
        <v>2880</v>
      </c>
      <c r="LVL1336" s="4" t="s">
        <v>2880</v>
      </c>
      <c r="LVM1336" s="4" t="s">
        <v>2880</v>
      </c>
      <c r="LVN1336" s="4" t="s">
        <v>2880</v>
      </c>
      <c r="LVO1336" s="4" t="s">
        <v>2880</v>
      </c>
      <c r="LVP1336" s="4" t="s">
        <v>2880</v>
      </c>
      <c r="LVQ1336" s="4" t="s">
        <v>2880</v>
      </c>
      <c r="LVR1336" s="4" t="s">
        <v>2880</v>
      </c>
      <c r="LVS1336" s="4" t="s">
        <v>2880</v>
      </c>
      <c r="LVT1336" s="4" t="s">
        <v>2880</v>
      </c>
      <c r="LVU1336" s="4" t="s">
        <v>2880</v>
      </c>
      <c r="LVV1336" s="4" t="s">
        <v>2880</v>
      </c>
      <c r="LVW1336" s="4" t="s">
        <v>2880</v>
      </c>
      <c r="LVX1336" s="4" t="s">
        <v>2880</v>
      </c>
      <c r="LVY1336" s="4" t="s">
        <v>2880</v>
      </c>
      <c r="LVZ1336" s="4" t="s">
        <v>2880</v>
      </c>
      <c r="LWA1336" s="4" t="s">
        <v>2880</v>
      </c>
      <c r="LWB1336" s="4" t="s">
        <v>2880</v>
      </c>
      <c r="LWC1336" s="4" t="s">
        <v>2880</v>
      </c>
      <c r="LWD1336" s="4" t="s">
        <v>2880</v>
      </c>
      <c r="LWE1336" s="4" t="s">
        <v>2880</v>
      </c>
      <c r="LWF1336" s="4" t="s">
        <v>2880</v>
      </c>
      <c r="LWG1336" s="4" t="s">
        <v>2880</v>
      </c>
      <c r="LWH1336" s="4" t="s">
        <v>2880</v>
      </c>
      <c r="LWI1336" s="4" t="s">
        <v>2880</v>
      </c>
      <c r="LWJ1336" s="4" t="s">
        <v>2880</v>
      </c>
      <c r="LWK1336" s="4" t="s">
        <v>2880</v>
      </c>
      <c r="LWL1336" s="4" t="s">
        <v>2880</v>
      </c>
      <c r="LWM1336" s="4" t="s">
        <v>2880</v>
      </c>
      <c r="LWN1336" s="4" t="s">
        <v>2880</v>
      </c>
      <c r="LWO1336" s="4" t="s">
        <v>2880</v>
      </c>
      <c r="LWP1336" s="4" t="s">
        <v>2880</v>
      </c>
      <c r="LWQ1336" s="4" t="s">
        <v>2880</v>
      </c>
      <c r="LWR1336" s="4" t="s">
        <v>2880</v>
      </c>
      <c r="LWS1336" s="4" t="s">
        <v>2880</v>
      </c>
      <c r="LWT1336" s="4" t="s">
        <v>2880</v>
      </c>
      <c r="LWU1336" s="4" t="s">
        <v>2880</v>
      </c>
      <c r="LWV1336" s="4" t="s">
        <v>2880</v>
      </c>
      <c r="LWW1336" s="4" t="s">
        <v>2880</v>
      </c>
      <c r="LWX1336" s="4" t="s">
        <v>2880</v>
      </c>
      <c r="LWY1336" s="4" t="s">
        <v>2880</v>
      </c>
      <c r="LWZ1336" s="4" t="s">
        <v>2880</v>
      </c>
      <c r="LXA1336" s="4" t="s">
        <v>2880</v>
      </c>
      <c r="LXB1336" s="4" t="s">
        <v>2880</v>
      </c>
      <c r="LXC1336" s="4" t="s">
        <v>2880</v>
      </c>
      <c r="LXD1336" s="4" t="s">
        <v>2880</v>
      </c>
      <c r="LXE1336" s="4" t="s">
        <v>2880</v>
      </c>
      <c r="LXF1336" s="4" t="s">
        <v>2880</v>
      </c>
      <c r="LXG1336" s="4" t="s">
        <v>2880</v>
      </c>
      <c r="LXH1336" s="4" t="s">
        <v>2880</v>
      </c>
      <c r="LXI1336" s="4" t="s">
        <v>2880</v>
      </c>
      <c r="LXJ1336" s="4" t="s">
        <v>2880</v>
      </c>
      <c r="LXK1336" s="4" t="s">
        <v>2880</v>
      </c>
      <c r="LXL1336" s="4" t="s">
        <v>2880</v>
      </c>
      <c r="LXM1336" s="4" t="s">
        <v>2880</v>
      </c>
      <c r="LXN1336" s="4" t="s">
        <v>2880</v>
      </c>
      <c r="LXO1336" s="4" t="s">
        <v>2880</v>
      </c>
      <c r="LXP1336" s="4" t="s">
        <v>2880</v>
      </c>
      <c r="LXQ1336" s="4" t="s">
        <v>2880</v>
      </c>
      <c r="LXR1336" s="4" t="s">
        <v>2880</v>
      </c>
      <c r="LXS1336" s="4" t="s">
        <v>2880</v>
      </c>
      <c r="LXT1336" s="4" t="s">
        <v>2880</v>
      </c>
      <c r="LXU1336" s="4" t="s">
        <v>2880</v>
      </c>
      <c r="LXV1336" s="4" t="s">
        <v>2880</v>
      </c>
      <c r="LXW1336" s="4" t="s">
        <v>2880</v>
      </c>
      <c r="LXX1336" s="4" t="s">
        <v>2880</v>
      </c>
      <c r="LXY1336" s="4" t="s">
        <v>2880</v>
      </c>
      <c r="LXZ1336" s="4" t="s">
        <v>2880</v>
      </c>
      <c r="LYA1336" s="4" t="s">
        <v>2880</v>
      </c>
      <c r="LYB1336" s="4" t="s">
        <v>2880</v>
      </c>
      <c r="LYC1336" s="4" t="s">
        <v>2880</v>
      </c>
      <c r="LYD1336" s="4" t="s">
        <v>2880</v>
      </c>
      <c r="LYE1336" s="4" t="s">
        <v>2880</v>
      </c>
      <c r="LYF1336" s="4" t="s">
        <v>2880</v>
      </c>
      <c r="LYG1336" s="4" t="s">
        <v>2880</v>
      </c>
      <c r="LYH1336" s="4" t="s">
        <v>2880</v>
      </c>
      <c r="LYI1336" s="4" t="s">
        <v>2880</v>
      </c>
      <c r="LYJ1336" s="4" t="s">
        <v>2880</v>
      </c>
      <c r="LYK1336" s="4" t="s">
        <v>2880</v>
      </c>
      <c r="LYL1336" s="4" t="s">
        <v>2880</v>
      </c>
      <c r="LYM1336" s="4" t="s">
        <v>2880</v>
      </c>
      <c r="LYN1336" s="4" t="s">
        <v>2880</v>
      </c>
      <c r="LYO1336" s="4" t="s">
        <v>2880</v>
      </c>
      <c r="LYP1336" s="4" t="s">
        <v>2880</v>
      </c>
      <c r="LYQ1336" s="4" t="s">
        <v>2880</v>
      </c>
      <c r="LYR1336" s="4" t="s">
        <v>2880</v>
      </c>
      <c r="LYS1336" s="4" t="s">
        <v>2880</v>
      </c>
      <c r="LYT1336" s="4" t="s">
        <v>2880</v>
      </c>
      <c r="LYU1336" s="4" t="s">
        <v>2880</v>
      </c>
      <c r="LYV1336" s="4" t="s">
        <v>2880</v>
      </c>
      <c r="LYW1336" s="4" t="s">
        <v>2880</v>
      </c>
      <c r="LYX1336" s="4" t="s">
        <v>2880</v>
      </c>
      <c r="LYY1336" s="4" t="s">
        <v>2880</v>
      </c>
      <c r="LYZ1336" s="4" t="s">
        <v>2880</v>
      </c>
      <c r="LZA1336" s="4" t="s">
        <v>2880</v>
      </c>
      <c r="LZB1336" s="4" t="s">
        <v>2880</v>
      </c>
      <c r="LZC1336" s="4" t="s">
        <v>2880</v>
      </c>
      <c r="LZD1336" s="4" t="s">
        <v>2880</v>
      </c>
      <c r="LZE1336" s="4" t="s">
        <v>2880</v>
      </c>
      <c r="LZF1336" s="4" t="s">
        <v>2880</v>
      </c>
      <c r="LZG1336" s="4" t="s">
        <v>2880</v>
      </c>
      <c r="LZH1336" s="4" t="s">
        <v>2880</v>
      </c>
      <c r="LZI1336" s="4" t="s">
        <v>2880</v>
      </c>
      <c r="LZJ1336" s="4" t="s">
        <v>2880</v>
      </c>
      <c r="LZK1336" s="4" t="s">
        <v>2880</v>
      </c>
      <c r="LZL1336" s="4" t="s">
        <v>2880</v>
      </c>
      <c r="LZM1336" s="4" t="s">
        <v>2880</v>
      </c>
      <c r="LZN1336" s="4" t="s">
        <v>2880</v>
      </c>
      <c r="LZO1336" s="4" t="s">
        <v>2880</v>
      </c>
      <c r="LZP1336" s="4" t="s">
        <v>2880</v>
      </c>
      <c r="LZQ1336" s="4" t="s">
        <v>2880</v>
      </c>
      <c r="LZR1336" s="4" t="s">
        <v>2880</v>
      </c>
      <c r="LZS1336" s="4" t="s">
        <v>2880</v>
      </c>
      <c r="LZT1336" s="4" t="s">
        <v>2880</v>
      </c>
      <c r="LZU1336" s="4" t="s">
        <v>2880</v>
      </c>
      <c r="LZV1336" s="4" t="s">
        <v>2880</v>
      </c>
      <c r="LZW1336" s="4" t="s">
        <v>2880</v>
      </c>
      <c r="LZX1336" s="4" t="s">
        <v>2880</v>
      </c>
      <c r="LZY1336" s="4" t="s">
        <v>2880</v>
      </c>
      <c r="LZZ1336" s="4" t="s">
        <v>2880</v>
      </c>
      <c r="MAA1336" s="4" t="s">
        <v>2880</v>
      </c>
      <c r="MAB1336" s="4" t="s">
        <v>2880</v>
      </c>
      <c r="MAC1336" s="4" t="s">
        <v>2880</v>
      </c>
      <c r="MAD1336" s="4" t="s">
        <v>2880</v>
      </c>
      <c r="MAE1336" s="4" t="s">
        <v>2880</v>
      </c>
      <c r="MAF1336" s="4" t="s">
        <v>2880</v>
      </c>
      <c r="MAG1336" s="4" t="s">
        <v>2880</v>
      </c>
      <c r="MAH1336" s="4" t="s">
        <v>2880</v>
      </c>
      <c r="MAI1336" s="4" t="s">
        <v>2880</v>
      </c>
      <c r="MAJ1336" s="4" t="s">
        <v>2880</v>
      </c>
      <c r="MAK1336" s="4" t="s">
        <v>2880</v>
      </c>
      <c r="MAL1336" s="4" t="s">
        <v>2880</v>
      </c>
      <c r="MAM1336" s="4" t="s">
        <v>2880</v>
      </c>
      <c r="MAN1336" s="4" t="s">
        <v>2880</v>
      </c>
      <c r="MAO1336" s="4" t="s">
        <v>2880</v>
      </c>
      <c r="MAP1336" s="4" t="s">
        <v>2880</v>
      </c>
      <c r="MAQ1336" s="4" t="s">
        <v>2880</v>
      </c>
      <c r="MAR1336" s="4" t="s">
        <v>2880</v>
      </c>
      <c r="MAS1336" s="4" t="s">
        <v>2880</v>
      </c>
      <c r="MAT1336" s="4" t="s">
        <v>2880</v>
      </c>
      <c r="MAU1336" s="4" t="s">
        <v>2880</v>
      </c>
      <c r="MAV1336" s="4" t="s">
        <v>2880</v>
      </c>
      <c r="MAW1336" s="4" t="s">
        <v>2880</v>
      </c>
      <c r="MAX1336" s="4" t="s">
        <v>2880</v>
      </c>
      <c r="MAY1336" s="4" t="s">
        <v>2880</v>
      </c>
      <c r="MAZ1336" s="4" t="s">
        <v>2880</v>
      </c>
      <c r="MBA1336" s="4" t="s">
        <v>2880</v>
      </c>
      <c r="MBB1336" s="4" t="s">
        <v>2880</v>
      </c>
      <c r="MBC1336" s="4" t="s">
        <v>2880</v>
      </c>
      <c r="MBD1336" s="4" t="s">
        <v>2880</v>
      </c>
      <c r="MBE1336" s="4" t="s">
        <v>2880</v>
      </c>
      <c r="MBF1336" s="4" t="s">
        <v>2880</v>
      </c>
      <c r="MBG1336" s="4" t="s">
        <v>2880</v>
      </c>
      <c r="MBH1336" s="4" t="s">
        <v>2880</v>
      </c>
      <c r="MBI1336" s="4" t="s">
        <v>2880</v>
      </c>
      <c r="MBJ1336" s="4" t="s">
        <v>2880</v>
      </c>
      <c r="MBK1336" s="4" t="s">
        <v>2880</v>
      </c>
      <c r="MBL1336" s="4" t="s">
        <v>2880</v>
      </c>
      <c r="MBM1336" s="4" t="s">
        <v>2880</v>
      </c>
      <c r="MBN1336" s="4" t="s">
        <v>2880</v>
      </c>
      <c r="MBO1336" s="4" t="s">
        <v>2880</v>
      </c>
      <c r="MBP1336" s="4" t="s">
        <v>2880</v>
      </c>
      <c r="MBQ1336" s="4" t="s">
        <v>2880</v>
      </c>
      <c r="MBR1336" s="4" t="s">
        <v>2880</v>
      </c>
      <c r="MBS1336" s="4" t="s">
        <v>2880</v>
      </c>
      <c r="MBT1336" s="4" t="s">
        <v>2880</v>
      </c>
      <c r="MBU1336" s="4" t="s">
        <v>2880</v>
      </c>
      <c r="MBV1336" s="4" t="s">
        <v>2880</v>
      </c>
      <c r="MBW1336" s="4" t="s">
        <v>2880</v>
      </c>
      <c r="MBX1336" s="4" t="s">
        <v>2880</v>
      </c>
      <c r="MBY1336" s="4" t="s">
        <v>2880</v>
      </c>
      <c r="MBZ1336" s="4" t="s">
        <v>2880</v>
      </c>
      <c r="MCA1336" s="4" t="s">
        <v>2880</v>
      </c>
      <c r="MCB1336" s="4" t="s">
        <v>2880</v>
      </c>
      <c r="MCC1336" s="4" t="s">
        <v>2880</v>
      </c>
      <c r="MCD1336" s="4" t="s">
        <v>2880</v>
      </c>
      <c r="MCE1336" s="4" t="s">
        <v>2880</v>
      </c>
      <c r="MCF1336" s="4" t="s">
        <v>2880</v>
      </c>
      <c r="MCG1336" s="4" t="s">
        <v>2880</v>
      </c>
      <c r="MCH1336" s="4" t="s">
        <v>2880</v>
      </c>
      <c r="MCI1336" s="4" t="s">
        <v>2880</v>
      </c>
      <c r="MCJ1336" s="4" t="s">
        <v>2880</v>
      </c>
      <c r="MCK1336" s="4" t="s">
        <v>2880</v>
      </c>
      <c r="MCL1336" s="4" t="s">
        <v>2880</v>
      </c>
      <c r="MCM1336" s="4" t="s">
        <v>2880</v>
      </c>
      <c r="MCN1336" s="4" t="s">
        <v>2880</v>
      </c>
      <c r="MCO1336" s="4" t="s">
        <v>2880</v>
      </c>
      <c r="MCP1336" s="4" t="s">
        <v>2880</v>
      </c>
      <c r="MCQ1336" s="4" t="s">
        <v>2880</v>
      </c>
      <c r="MCR1336" s="4" t="s">
        <v>2880</v>
      </c>
      <c r="MCS1336" s="4" t="s">
        <v>2880</v>
      </c>
      <c r="MCT1336" s="4" t="s">
        <v>2880</v>
      </c>
      <c r="MCU1336" s="4" t="s">
        <v>2880</v>
      </c>
      <c r="MCV1336" s="4" t="s">
        <v>2880</v>
      </c>
      <c r="MCW1336" s="4" t="s">
        <v>2880</v>
      </c>
      <c r="MCX1336" s="4" t="s">
        <v>2880</v>
      </c>
      <c r="MCY1336" s="4" t="s">
        <v>2880</v>
      </c>
      <c r="MCZ1336" s="4" t="s">
        <v>2880</v>
      </c>
      <c r="MDA1336" s="4" t="s">
        <v>2880</v>
      </c>
      <c r="MDB1336" s="4" t="s">
        <v>2880</v>
      </c>
      <c r="MDC1336" s="4" t="s">
        <v>2880</v>
      </c>
      <c r="MDD1336" s="4" t="s">
        <v>2880</v>
      </c>
      <c r="MDE1336" s="4" t="s">
        <v>2880</v>
      </c>
      <c r="MDF1336" s="4" t="s">
        <v>2880</v>
      </c>
      <c r="MDG1336" s="4" t="s">
        <v>2880</v>
      </c>
      <c r="MDH1336" s="4" t="s">
        <v>2880</v>
      </c>
      <c r="MDI1336" s="4" t="s">
        <v>2880</v>
      </c>
      <c r="MDJ1336" s="4" t="s">
        <v>2880</v>
      </c>
      <c r="MDK1336" s="4" t="s">
        <v>2880</v>
      </c>
      <c r="MDL1336" s="4" t="s">
        <v>2880</v>
      </c>
      <c r="MDM1336" s="4" t="s">
        <v>2880</v>
      </c>
      <c r="MDN1336" s="4" t="s">
        <v>2880</v>
      </c>
      <c r="MDO1336" s="4" t="s">
        <v>2880</v>
      </c>
      <c r="MDP1336" s="4" t="s">
        <v>2880</v>
      </c>
      <c r="MDQ1336" s="4" t="s">
        <v>2880</v>
      </c>
      <c r="MDR1336" s="4" t="s">
        <v>2880</v>
      </c>
      <c r="MDS1336" s="4" t="s">
        <v>2880</v>
      </c>
      <c r="MDT1336" s="4" t="s">
        <v>2880</v>
      </c>
      <c r="MDU1336" s="4" t="s">
        <v>2880</v>
      </c>
      <c r="MDV1336" s="4" t="s">
        <v>2880</v>
      </c>
      <c r="MDW1336" s="4" t="s">
        <v>2880</v>
      </c>
      <c r="MDX1336" s="4" t="s">
        <v>2880</v>
      </c>
      <c r="MDY1336" s="4" t="s">
        <v>2880</v>
      </c>
      <c r="MDZ1336" s="4" t="s">
        <v>2880</v>
      </c>
      <c r="MEA1336" s="4" t="s">
        <v>2880</v>
      </c>
      <c r="MEB1336" s="4" t="s">
        <v>2880</v>
      </c>
      <c r="MEC1336" s="4" t="s">
        <v>2880</v>
      </c>
      <c r="MED1336" s="4" t="s">
        <v>2880</v>
      </c>
      <c r="MEE1336" s="4" t="s">
        <v>2880</v>
      </c>
      <c r="MEF1336" s="4" t="s">
        <v>2880</v>
      </c>
      <c r="MEG1336" s="4" t="s">
        <v>2880</v>
      </c>
      <c r="MEH1336" s="4" t="s">
        <v>2880</v>
      </c>
      <c r="MEI1336" s="4" t="s">
        <v>2880</v>
      </c>
      <c r="MEJ1336" s="4" t="s">
        <v>2880</v>
      </c>
      <c r="MEK1336" s="4" t="s">
        <v>2880</v>
      </c>
      <c r="MEL1336" s="4" t="s">
        <v>2880</v>
      </c>
      <c r="MEM1336" s="4" t="s">
        <v>2880</v>
      </c>
      <c r="MEN1336" s="4" t="s">
        <v>2880</v>
      </c>
      <c r="MEO1336" s="4" t="s">
        <v>2880</v>
      </c>
      <c r="MEP1336" s="4" t="s">
        <v>2880</v>
      </c>
      <c r="MEQ1336" s="4" t="s">
        <v>2880</v>
      </c>
      <c r="MER1336" s="4" t="s">
        <v>2880</v>
      </c>
      <c r="MES1336" s="4" t="s">
        <v>2880</v>
      </c>
      <c r="MET1336" s="4" t="s">
        <v>2880</v>
      </c>
      <c r="MEU1336" s="4" t="s">
        <v>2880</v>
      </c>
      <c r="MEV1336" s="4" t="s">
        <v>2880</v>
      </c>
      <c r="MEW1336" s="4" t="s">
        <v>2880</v>
      </c>
      <c r="MEX1336" s="4" t="s">
        <v>2880</v>
      </c>
      <c r="MEY1336" s="4" t="s">
        <v>2880</v>
      </c>
      <c r="MEZ1336" s="4" t="s">
        <v>2880</v>
      </c>
      <c r="MFA1336" s="4" t="s">
        <v>2880</v>
      </c>
      <c r="MFB1336" s="4" t="s">
        <v>2880</v>
      </c>
      <c r="MFC1336" s="4" t="s">
        <v>2880</v>
      </c>
      <c r="MFD1336" s="4" t="s">
        <v>2880</v>
      </c>
      <c r="MFE1336" s="4" t="s">
        <v>2880</v>
      </c>
      <c r="MFF1336" s="4" t="s">
        <v>2880</v>
      </c>
      <c r="MFG1336" s="4" t="s">
        <v>2880</v>
      </c>
      <c r="MFH1336" s="4" t="s">
        <v>2880</v>
      </c>
      <c r="MFI1336" s="4" t="s">
        <v>2880</v>
      </c>
      <c r="MFJ1336" s="4" t="s">
        <v>2880</v>
      </c>
      <c r="MFK1336" s="4" t="s">
        <v>2880</v>
      </c>
      <c r="MFL1336" s="4" t="s">
        <v>2880</v>
      </c>
      <c r="MFM1336" s="4" t="s">
        <v>2880</v>
      </c>
      <c r="MFN1336" s="4" t="s">
        <v>2880</v>
      </c>
      <c r="MFO1336" s="4" t="s">
        <v>2880</v>
      </c>
      <c r="MFP1336" s="4" t="s">
        <v>2880</v>
      </c>
      <c r="MFQ1336" s="4" t="s">
        <v>2880</v>
      </c>
      <c r="MFR1336" s="4" t="s">
        <v>2880</v>
      </c>
      <c r="MFS1336" s="4" t="s">
        <v>2880</v>
      </c>
      <c r="MFT1336" s="4" t="s">
        <v>2880</v>
      </c>
      <c r="MFU1336" s="4" t="s">
        <v>2880</v>
      </c>
      <c r="MFV1336" s="4" t="s">
        <v>2880</v>
      </c>
      <c r="MFW1336" s="4" t="s">
        <v>2880</v>
      </c>
      <c r="MFX1336" s="4" t="s">
        <v>2880</v>
      </c>
      <c r="MFY1336" s="4" t="s">
        <v>2880</v>
      </c>
      <c r="MFZ1336" s="4" t="s">
        <v>2880</v>
      </c>
      <c r="MGA1336" s="4" t="s">
        <v>2880</v>
      </c>
      <c r="MGB1336" s="4" t="s">
        <v>2880</v>
      </c>
      <c r="MGC1336" s="4" t="s">
        <v>2880</v>
      </c>
      <c r="MGD1336" s="4" t="s">
        <v>2880</v>
      </c>
      <c r="MGE1336" s="4" t="s">
        <v>2880</v>
      </c>
      <c r="MGF1336" s="4" t="s">
        <v>2880</v>
      </c>
      <c r="MGG1336" s="4" t="s">
        <v>2880</v>
      </c>
      <c r="MGH1336" s="4" t="s">
        <v>2880</v>
      </c>
      <c r="MGI1336" s="4" t="s">
        <v>2880</v>
      </c>
      <c r="MGJ1336" s="4" t="s">
        <v>2880</v>
      </c>
      <c r="MGK1336" s="4" t="s">
        <v>2880</v>
      </c>
      <c r="MGL1336" s="4" t="s">
        <v>2880</v>
      </c>
      <c r="MGM1336" s="4" t="s">
        <v>2880</v>
      </c>
      <c r="MGN1336" s="4" t="s">
        <v>2880</v>
      </c>
      <c r="MGO1336" s="4" t="s">
        <v>2880</v>
      </c>
      <c r="MGP1336" s="4" t="s">
        <v>2880</v>
      </c>
      <c r="MGQ1336" s="4" t="s">
        <v>2880</v>
      </c>
      <c r="MGR1336" s="4" t="s">
        <v>2880</v>
      </c>
      <c r="MGS1336" s="4" t="s">
        <v>2880</v>
      </c>
      <c r="MGT1336" s="4" t="s">
        <v>2880</v>
      </c>
      <c r="MGU1336" s="4" t="s">
        <v>2880</v>
      </c>
      <c r="MGV1336" s="4" t="s">
        <v>2880</v>
      </c>
      <c r="MGW1336" s="4" t="s">
        <v>2880</v>
      </c>
      <c r="MGX1336" s="4" t="s">
        <v>2880</v>
      </c>
      <c r="MGY1336" s="4" t="s">
        <v>2880</v>
      </c>
      <c r="MGZ1336" s="4" t="s">
        <v>2880</v>
      </c>
      <c r="MHA1336" s="4" t="s">
        <v>2880</v>
      </c>
      <c r="MHB1336" s="4" t="s">
        <v>2880</v>
      </c>
      <c r="MHC1336" s="4" t="s">
        <v>2880</v>
      </c>
      <c r="MHD1336" s="4" t="s">
        <v>2880</v>
      </c>
      <c r="MHE1336" s="4" t="s">
        <v>2880</v>
      </c>
      <c r="MHF1336" s="4" t="s">
        <v>2880</v>
      </c>
      <c r="MHG1336" s="4" t="s">
        <v>2880</v>
      </c>
      <c r="MHH1336" s="4" t="s">
        <v>2880</v>
      </c>
      <c r="MHI1336" s="4" t="s">
        <v>2880</v>
      </c>
      <c r="MHJ1336" s="4" t="s">
        <v>2880</v>
      </c>
      <c r="MHK1336" s="4" t="s">
        <v>2880</v>
      </c>
      <c r="MHL1336" s="4" t="s">
        <v>2880</v>
      </c>
      <c r="MHM1336" s="4" t="s">
        <v>2880</v>
      </c>
      <c r="MHN1336" s="4" t="s">
        <v>2880</v>
      </c>
      <c r="MHO1336" s="4" t="s">
        <v>2880</v>
      </c>
      <c r="MHP1336" s="4" t="s">
        <v>2880</v>
      </c>
      <c r="MHQ1336" s="4" t="s">
        <v>2880</v>
      </c>
      <c r="MHR1336" s="4" t="s">
        <v>2880</v>
      </c>
      <c r="MHS1336" s="4" t="s">
        <v>2880</v>
      </c>
      <c r="MHT1336" s="4" t="s">
        <v>2880</v>
      </c>
      <c r="MHU1336" s="4" t="s">
        <v>2880</v>
      </c>
      <c r="MHV1336" s="4" t="s">
        <v>2880</v>
      </c>
      <c r="MHW1336" s="4" t="s">
        <v>2880</v>
      </c>
      <c r="MHX1336" s="4" t="s">
        <v>2880</v>
      </c>
      <c r="MHY1336" s="4" t="s">
        <v>2880</v>
      </c>
      <c r="MHZ1336" s="4" t="s">
        <v>2880</v>
      </c>
      <c r="MIA1336" s="4" t="s">
        <v>2880</v>
      </c>
      <c r="MIB1336" s="4" t="s">
        <v>2880</v>
      </c>
      <c r="MIC1336" s="4" t="s">
        <v>2880</v>
      </c>
      <c r="MID1336" s="4" t="s">
        <v>2880</v>
      </c>
      <c r="MIE1336" s="4" t="s">
        <v>2880</v>
      </c>
      <c r="MIF1336" s="4" t="s">
        <v>2880</v>
      </c>
      <c r="MIG1336" s="4" t="s">
        <v>2880</v>
      </c>
      <c r="MIH1336" s="4" t="s">
        <v>2880</v>
      </c>
      <c r="MII1336" s="4" t="s">
        <v>2880</v>
      </c>
      <c r="MIJ1336" s="4" t="s">
        <v>2880</v>
      </c>
      <c r="MIK1336" s="4" t="s">
        <v>2880</v>
      </c>
      <c r="MIL1336" s="4" t="s">
        <v>2880</v>
      </c>
      <c r="MIM1336" s="4" t="s">
        <v>2880</v>
      </c>
      <c r="MIN1336" s="4" t="s">
        <v>2880</v>
      </c>
      <c r="MIO1336" s="4" t="s">
        <v>2880</v>
      </c>
      <c r="MIP1336" s="4" t="s">
        <v>2880</v>
      </c>
      <c r="MIQ1336" s="4" t="s">
        <v>2880</v>
      </c>
      <c r="MIR1336" s="4" t="s">
        <v>2880</v>
      </c>
      <c r="MIS1336" s="4" t="s">
        <v>2880</v>
      </c>
      <c r="MIT1336" s="4" t="s">
        <v>2880</v>
      </c>
      <c r="MIU1336" s="4" t="s">
        <v>2880</v>
      </c>
      <c r="MIV1336" s="4" t="s">
        <v>2880</v>
      </c>
      <c r="MIW1336" s="4" t="s">
        <v>2880</v>
      </c>
      <c r="MIX1336" s="4" t="s">
        <v>2880</v>
      </c>
      <c r="MIY1336" s="4" t="s">
        <v>2880</v>
      </c>
      <c r="MIZ1336" s="4" t="s">
        <v>2880</v>
      </c>
      <c r="MJA1336" s="4" t="s">
        <v>2880</v>
      </c>
      <c r="MJB1336" s="4" t="s">
        <v>2880</v>
      </c>
      <c r="MJC1336" s="4" t="s">
        <v>2880</v>
      </c>
      <c r="MJD1336" s="4" t="s">
        <v>2880</v>
      </c>
      <c r="MJE1336" s="4" t="s">
        <v>2880</v>
      </c>
      <c r="MJF1336" s="4" t="s">
        <v>2880</v>
      </c>
      <c r="MJG1336" s="4" t="s">
        <v>2880</v>
      </c>
      <c r="MJH1336" s="4" t="s">
        <v>2880</v>
      </c>
      <c r="MJI1336" s="4" t="s">
        <v>2880</v>
      </c>
      <c r="MJJ1336" s="4" t="s">
        <v>2880</v>
      </c>
      <c r="MJK1336" s="4" t="s">
        <v>2880</v>
      </c>
      <c r="MJL1336" s="4" t="s">
        <v>2880</v>
      </c>
      <c r="MJM1336" s="4" t="s">
        <v>2880</v>
      </c>
      <c r="MJN1336" s="4" t="s">
        <v>2880</v>
      </c>
      <c r="MJO1336" s="4" t="s">
        <v>2880</v>
      </c>
      <c r="MJP1336" s="4" t="s">
        <v>2880</v>
      </c>
      <c r="MJQ1336" s="4" t="s">
        <v>2880</v>
      </c>
      <c r="MJR1336" s="4" t="s">
        <v>2880</v>
      </c>
      <c r="MJS1336" s="4" t="s">
        <v>2880</v>
      </c>
      <c r="MJT1336" s="4" t="s">
        <v>2880</v>
      </c>
      <c r="MJU1336" s="4" t="s">
        <v>2880</v>
      </c>
      <c r="MJV1336" s="4" t="s">
        <v>2880</v>
      </c>
      <c r="MJW1336" s="4" t="s">
        <v>2880</v>
      </c>
      <c r="MJX1336" s="4" t="s">
        <v>2880</v>
      </c>
      <c r="MJY1336" s="4" t="s">
        <v>2880</v>
      </c>
      <c r="MJZ1336" s="4" t="s">
        <v>2880</v>
      </c>
      <c r="MKA1336" s="4" t="s">
        <v>2880</v>
      </c>
      <c r="MKB1336" s="4" t="s">
        <v>2880</v>
      </c>
      <c r="MKC1336" s="4" t="s">
        <v>2880</v>
      </c>
      <c r="MKD1336" s="4" t="s">
        <v>2880</v>
      </c>
      <c r="MKE1336" s="4" t="s">
        <v>2880</v>
      </c>
      <c r="MKF1336" s="4" t="s">
        <v>2880</v>
      </c>
      <c r="MKG1336" s="4" t="s">
        <v>2880</v>
      </c>
      <c r="MKH1336" s="4" t="s">
        <v>2880</v>
      </c>
      <c r="MKI1336" s="4" t="s">
        <v>2880</v>
      </c>
      <c r="MKJ1336" s="4" t="s">
        <v>2880</v>
      </c>
      <c r="MKK1336" s="4" t="s">
        <v>2880</v>
      </c>
      <c r="MKL1336" s="4" t="s">
        <v>2880</v>
      </c>
      <c r="MKM1336" s="4" t="s">
        <v>2880</v>
      </c>
      <c r="MKN1336" s="4" t="s">
        <v>2880</v>
      </c>
      <c r="MKO1336" s="4" t="s">
        <v>2880</v>
      </c>
      <c r="MKP1336" s="4" t="s">
        <v>2880</v>
      </c>
      <c r="MKQ1336" s="4" t="s">
        <v>2880</v>
      </c>
      <c r="MKR1336" s="4" t="s">
        <v>2880</v>
      </c>
      <c r="MKS1336" s="4" t="s">
        <v>2880</v>
      </c>
      <c r="MKT1336" s="4" t="s">
        <v>2880</v>
      </c>
      <c r="MKU1336" s="4" t="s">
        <v>2880</v>
      </c>
      <c r="MKV1336" s="4" t="s">
        <v>2880</v>
      </c>
      <c r="MKW1336" s="4" t="s">
        <v>2880</v>
      </c>
      <c r="MKX1336" s="4" t="s">
        <v>2880</v>
      </c>
      <c r="MKY1336" s="4" t="s">
        <v>2880</v>
      </c>
      <c r="MKZ1336" s="4" t="s">
        <v>2880</v>
      </c>
      <c r="MLA1336" s="4" t="s">
        <v>2880</v>
      </c>
      <c r="MLB1336" s="4" t="s">
        <v>2880</v>
      </c>
      <c r="MLC1336" s="4" t="s">
        <v>2880</v>
      </c>
      <c r="MLD1336" s="4" t="s">
        <v>2880</v>
      </c>
      <c r="MLE1336" s="4" t="s">
        <v>2880</v>
      </c>
      <c r="MLF1336" s="4" t="s">
        <v>2880</v>
      </c>
      <c r="MLG1336" s="4" t="s">
        <v>2880</v>
      </c>
      <c r="MLH1336" s="4" t="s">
        <v>2880</v>
      </c>
      <c r="MLI1336" s="4" t="s">
        <v>2880</v>
      </c>
      <c r="MLJ1336" s="4" t="s">
        <v>2880</v>
      </c>
      <c r="MLK1336" s="4" t="s">
        <v>2880</v>
      </c>
      <c r="MLL1336" s="4" t="s">
        <v>2880</v>
      </c>
      <c r="MLM1336" s="4" t="s">
        <v>2880</v>
      </c>
      <c r="MLN1336" s="4" t="s">
        <v>2880</v>
      </c>
      <c r="MLO1336" s="4" t="s">
        <v>2880</v>
      </c>
      <c r="MLP1336" s="4" t="s">
        <v>2880</v>
      </c>
      <c r="MLQ1336" s="4" t="s">
        <v>2880</v>
      </c>
      <c r="MLR1336" s="4" t="s">
        <v>2880</v>
      </c>
      <c r="MLS1336" s="4" t="s">
        <v>2880</v>
      </c>
      <c r="MLT1336" s="4" t="s">
        <v>2880</v>
      </c>
      <c r="MLU1336" s="4" t="s">
        <v>2880</v>
      </c>
      <c r="MLV1336" s="4" t="s">
        <v>2880</v>
      </c>
      <c r="MLW1336" s="4" t="s">
        <v>2880</v>
      </c>
      <c r="MLX1336" s="4" t="s">
        <v>2880</v>
      </c>
      <c r="MLY1336" s="4" t="s">
        <v>2880</v>
      </c>
      <c r="MLZ1336" s="4" t="s">
        <v>2880</v>
      </c>
      <c r="MMA1336" s="4" t="s">
        <v>2880</v>
      </c>
      <c r="MMB1336" s="4" t="s">
        <v>2880</v>
      </c>
      <c r="MMC1336" s="4" t="s">
        <v>2880</v>
      </c>
      <c r="MMD1336" s="4" t="s">
        <v>2880</v>
      </c>
      <c r="MME1336" s="4" t="s">
        <v>2880</v>
      </c>
      <c r="MMF1336" s="4" t="s">
        <v>2880</v>
      </c>
      <c r="MMG1336" s="4" t="s">
        <v>2880</v>
      </c>
      <c r="MMH1336" s="4" t="s">
        <v>2880</v>
      </c>
      <c r="MMI1336" s="4" t="s">
        <v>2880</v>
      </c>
      <c r="MMJ1336" s="4" t="s">
        <v>2880</v>
      </c>
      <c r="MMK1336" s="4" t="s">
        <v>2880</v>
      </c>
      <c r="MML1336" s="4" t="s">
        <v>2880</v>
      </c>
      <c r="MMM1336" s="4" t="s">
        <v>2880</v>
      </c>
      <c r="MMN1336" s="4" t="s">
        <v>2880</v>
      </c>
      <c r="MMO1336" s="4" t="s">
        <v>2880</v>
      </c>
      <c r="MMP1336" s="4" t="s">
        <v>2880</v>
      </c>
      <c r="MMQ1336" s="4" t="s">
        <v>2880</v>
      </c>
      <c r="MMR1336" s="4" t="s">
        <v>2880</v>
      </c>
      <c r="MMS1336" s="4" t="s">
        <v>2880</v>
      </c>
      <c r="MMT1336" s="4" t="s">
        <v>2880</v>
      </c>
      <c r="MMU1336" s="4" t="s">
        <v>2880</v>
      </c>
      <c r="MMV1336" s="4" t="s">
        <v>2880</v>
      </c>
      <c r="MMW1336" s="4" t="s">
        <v>2880</v>
      </c>
      <c r="MMX1336" s="4" t="s">
        <v>2880</v>
      </c>
      <c r="MMY1336" s="4" t="s">
        <v>2880</v>
      </c>
      <c r="MMZ1336" s="4" t="s">
        <v>2880</v>
      </c>
      <c r="MNA1336" s="4" t="s">
        <v>2880</v>
      </c>
      <c r="MNB1336" s="4" t="s">
        <v>2880</v>
      </c>
      <c r="MNC1336" s="4" t="s">
        <v>2880</v>
      </c>
      <c r="MND1336" s="4" t="s">
        <v>2880</v>
      </c>
      <c r="MNE1336" s="4" t="s">
        <v>2880</v>
      </c>
      <c r="MNF1336" s="4" t="s">
        <v>2880</v>
      </c>
      <c r="MNG1336" s="4" t="s">
        <v>2880</v>
      </c>
      <c r="MNH1336" s="4" t="s">
        <v>2880</v>
      </c>
      <c r="MNI1336" s="4" t="s">
        <v>2880</v>
      </c>
      <c r="MNJ1336" s="4" t="s">
        <v>2880</v>
      </c>
      <c r="MNK1336" s="4" t="s">
        <v>2880</v>
      </c>
      <c r="MNL1336" s="4" t="s">
        <v>2880</v>
      </c>
      <c r="MNM1336" s="4" t="s">
        <v>2880</v>
      </c>
      <c r="MNN1336" s="4" t="s">
        <v>2880</v>
      </c>
      <c r="MNO1336" s="4" t="s">
        <v>2880</v>
      </c>
      <c r="MNP1336" s="4" t="s">
        <v>2880</v>
      </c>
      <c r="MNQ1336" s="4" t="s">
        <v>2880</v>
      </c>
      <c r="MNR1336" s="4" t="s">
        <v>2880</v>
      </c>
      <c r="MNS1336" s="4" t="s">
        <v>2880</v>
      </c>
      <c r="MNT1336" s="4" t="s">
        <v>2880</v>
      </c>
      <c r="MNU1336" s="4" t="s">
        <v>2880</v>
      </c>
      <c r="MNV1336" s="4" t="s">
        <v>2880</v>
      </c>
      <c r="MNW1336" s="4" t="s">
        <v>2880</v>
      </c>
      <c r="MNX1336" s="4" t="s">
        <v>2880</v>
      </c>
      <c r="MNY1336" s="4" t="s">
        <v>2880</v>
      </c>
      <c r="MNZ1336" s="4" t="s">
        <v>2880</v>
      </c>
      <c r="MOA1336" s="4" t="s">
        <v>2880</v>
      </c>
      <c r="MOB1336" s="4" t="s">
        <v>2880</v>
      </c>
      <c r="MOC1336" s="4" t="s">
        <v>2880</v>
      </c>
      <c r="MOD1336" s="4" t="s">
        <v>2880</v>
      </c>
      <c r="MOE1336" s="4" t="s">
        <v>2880</v>
      </c>
      <c r="MOF1336" s="4" t="s">
        <v>2880</v>
      </c>
      <c r="MOG1336" s="4" t="s">
        <v>2880</v>
      </c>
      <c r="MOH1336" s="4" t="s">
        <v>2880</v>
      </c>
      <c r="MOI1336" s="4" t="s">
        <v>2880</v>
      </c>
      <c r="MOJ1336" s="4" t="s">
        <v>2880</v>
      </c>
      <c r="MOK1336" s="4" t="s">
        <v>2880</v>
      </c>
      <c r="MOL1336" s="4" t="s">
        <v>2880</v>
      </c>
      <c r="MOM1336" s="4" t="s">
        <v>2880</v>
      </c>
      <c r="MON1336" s="4" t="s">
        <v>2880</v>
      </c>
      <c r="MOO1336" s="4" t="s">
        <v>2880</v>
      </c>
      <c r="MOP1336" s="4" t="s">
        <v>2880</v>
      </c>
      <c r="MOQ1336" s="4" t="s">
        <v>2880</v>
      </c>
      <c r="MOR1336" s="4" t="s">
        <v>2880</v>
      </c>
      <c r="MOS1336" s="4" t="s">
        <v>2880</v>
      </c>
      <c r="MOT1336" s="4" t="s">
        <v>2880</v>
      </c>
      <c r="MOU1336" s="4" t="s">
        <v>2880</v>
      </c>
      <c r="MOV1336" s="4" t="s">
        <v>2880</v>
      </c>
      <c r="MOW1336" s="4" t="s">
        <v>2880</v>
      </c>
      <c r="MOX1336" s="4" t="s">
        <v>2880</v>
      </c>
      <c r="MOY1336" s="4" t="s">
        <v>2880</v>
      </c>
      <c r="MOZ1336" s="4" t="s">
        <v>2880</v>
      </c>
      <c r="MPA1336" s="4" t="s">
        <v>2880</v>
      </c>
      <c r="MPB1336" s="4" t="s">
        <v>2880</v>
      </c>
      <c r="MPC1336" s="4" t="s">
        <v>2880</v>
      </c>
      <c r="MPD1336" s="4" t="s">
        <v>2880</v>
      </c>
      <c r="MPE1336" s="4" t="s">
        <v>2880</v>
      </c>
      <c r="MPF1336" s="4" t="s">
        <v>2880</v>
      </c>
      <c r="MPG1336" s="4" t="s">
        <v>2880</v>
      </c>
      <c r="MPH1336" s="4" t="s">
        <v>2880</v>
      </c>
      <c r="MPI1336" s="4" t="s">
        <v>2880</v>
      </c>
      <c r="MPJ1336" s="4" t="s">
        <v>2880</v>
      </c>
      <c r="MPK1336" s="4" t="s">
        <v>2880</v>
      </c>
      <c r="MPL1336" s="4" t="s">
        <v>2880</v>
      </c>
      <c r="MPM1336" s="4" t="s">
        <v>2880</v>
      </c>
      <c r="MPN1336" s="4" t="s">
        <v>2880</v>
      </c>
      <c r="MPO1336" s="4" t="s">
        <v>2880</v>
      </c>
      <c r="MPP1336" s="4" t="s">
        <v>2880</v>
      </c>
      <c r="MPQ1336" s="4" t="s">
        <v>2880</v>
      </c>
      <c r="MPR1336" s="4" t="s">
        <v>2880</v>
      </c>
      <c r="MPS1336" s="4" t="s">
        <v>2880</v>
      </c>
      <c r="MPT1336" s="4" t="s">
        <v>2880</v>
      </c>
      <c r="MPU1336" s="4" t="s">
        <v>2880</v>
      </c>
      <c r="MPV1336" s="4" t="s">
        <v>2880</v>
      </c>
      <c r="MPW1336" s="4" t="s">
        <v>2880</v>
      </c>
      <c r="MPX1336" s="4" t="s">
        <v>2880</v>
      </c>
      <c r="MPY1336" s="4" t="s">
        <v>2880</v>
      </c>
      <c r="MPZ1336" s="4" t="s">
        <v>2880</v>
      </c>
      <c r="MQA1336" s="4" t="s">
        <v>2880</v>
      </c>
      <c r="MQB1336" s="4" t="s">
        <v>2880</v>
      </c>
      <c r="MQC1336" s="4" t="s">
        <v>2880</v>
      </c>
      <c r="MQD1336" s="4" t="s">
        <v>2880</v>
      </c>
      <c r="MQE1336" s="4" t="s">
        <v>2880</v>
      </c>
      <c r="MQF1336" s="4" t="s">
        <v>2880</v>
      </c>
      <c r="MQG1336" s="4" t="s">
        <v>2880</v>
      </c>
      <c r="MQH1336" s="4" t="s">
        <v>2880</v>
      </c>
      <c r="MQI1336" s="4" t="s">
        <v>2880</v>
      </c>
      <c r="MQJ1336" s="4" t="s">
        <v>2880</v>
      </c>
      <c r="MQK1336" s="4" t="s">
        <v>2880</v>
      </c>
      <c r="MQL1336" s="4" t="s">
        <v>2880</v>
      </c>
      <c r="MQM1336" s="4" t="s">
        <v>2880</v>
      </c>
      <c r="MQN1336" s="4" t="s">
        <v>2880</v>
      </c>
      <c r="MQO1336" s="4" t="s">
        <v>2880</v>
      </c>
      <c r="MQP1336" s="4" t="s">
        <v>2880</v>
      </c>
      <c r="MQQ1336" s="4" t="s">
        <v>2880</v>
      </c>
      <c r="MQR1336" s="4" t="s">
        <v>2880</v>
      </c>
      <c r="MQS1336" s="4" t="s">
        <v>2880</v>
      </c>
      <c r="MQT1336" s="4" t="s">
        <v>2880</v>
      </c>
      <c r="MQU1336" s="4" t="s">
        <v>2880</v>
      </c>
      <c r="MQV1336" s="4" t="s">
        <v>2880</v>
      </c>
      <c r="MQW1336" s="4" t="s">
        <v>2880</v>
      </c>
      <c r="MQX1336" s="4" t="s">
        <v>2880</v>
      </c>
      <c r="MQY1336" s="4" t="s">
        <v>2880</v>
      </c>
      <c r="MQZ1336" s="4" t="s">
        <v>2880</v>
      </c>
      <c r="MRA1336" s="4" t="s">
        <v>2880</v>
      </c>
      <c r="MRB1336" s="4" t="s">
        <v>2880</v>
      </c>
      <c r="MRC1336" s="4" t="s">
        <v>2880</v>
      </c>
      <c r="MRD1336" s="4" t="s">
        <v>2880</v>
      </c>
      <c r="MRE1336" s="4" t="s">
        <v>2880</v>
      </c>
      <c r="MRF1336" s="4" t="s">
        <v>2880</v>
      </c>
      <c r="MRG1336" s="4" t="s">
        <v>2880</v>
      </c>
      <c r="MRH1336" s="4" t="s">
        <v>2880</v>
      </c>
      <c r="MRI1336" s="4" t="s">
        <v>2880</v>
      </c>
      <c r="MRJ1336" s="4" t="s">
        <v>2880</v>
      </c>
      <c r="MRK1336" s="4" t="s">
        <v>2880</v>
      </c>
      <c r="MRL1336" s="4" t="s">
        <v>2880</v>
      </c>
      <c r="MRM1336" s="4" t="s">
        <v>2880</v>
      </c>
      <c r="MRN1336" s="4" t="s">
        <v>2880</v>
      </c>
      <c r="MRO1336" s="4" t="s">
        <v>2880</v>
      </c>
      <c r="MRP1336" s="4" t="s">
        <v>2880</v>
      </c>
      <c r="MRQ1336" s="4" t="s">
        <v>2880</v>
      </c>
      <c r="MRR1336" s="4" t="s">
        <v>2880</v>
      </c>
      <c r="MRS1336" s="4" t="s">
        <v>2880</v>
      </c>
      <c r="MRT1336" s="4" t="s">
        <v>2880</v>
      </c>
      <c r="MRU1336" s="4" t="s">
        <v>2880</v>
      </c>
      <c r="MRV1336" s="4" t="s">
        <v>2880</v>
      </c>
      <c r="MRW1336" s="4" t="s">
        <v>2880</v>
      </c>
      <c r="MRX1336" s="4" t="s">
        <v>2880</v>
      </c>
      <c r="MRY1336" s="4" t="s">
        <v>2880</v>
      </c>
      <c r="MRZ1336" s="4" t="s">
        <v>2880</v>
      </c>
      <c r="MSA1336" s="4" t="s">
        <v>2880</v>
      </c>
      <c r="MSB1336" s="4" t="s">
        <v>2880</v>
      </c>
      <c r="MSC1336" s="4" t="s">
        <v>2880</v>
      </c>
      <c r="MSD1336" s="4" t="s">
        <v>2880</v>
      </c>
      <c r="MSE1336" s="4" t="s">
        <v>2880</v>
      </c>
      <c r="MSF1336" s="4" t="s">
        <v>2880</v>
      </c>
      <c r="MSG1336" s="4" t="s">
        <v>2880</v>
      </c>
      <c r="MSH1336" s="4" t="s">
        <v>2880</v>
      </c>
      <c r="MSI1336" s="4" t="s">
        <v>2880</v>
      </c>
      <c r="MSJ1336" s="4" t="s">
        <v>2880</v>
      </c>
      <c r="MSK1336" s="4" t="s">
        <v>2880</v>
      </c>
      <c r="MSL1336" s="4" t="s">
        <v>2880</v>
      </c>
      <c r="MSM1336" s="4" t="s">
        <v>2880</v>
      </c>
      <c r="MSN1336" s="4" t="s">
        <v>2880</v>
      </c>
      <c r="MSO1336" s="4" t="s">
        <v>2880</v>
      </c>
      <c r="MSP1336" s="4" t="s">
        <v>2880</v>
      </c>
      <c r="MSQ1336" s="4" t="s">
        <v>2880</v>
      </c>
      <c r="MSR1336" s="4" t="s">
        <v>2880</v>
      </c>
      <c r="MSS1336" s="4" t="s">
        <v>2880</v>
      </c>
      <c r="MST1336" s="4" t="s">
        <v>2880</v>
      </c>
      <c r="MSU1336" s="4" t="s">
        <v>2880</v>
      </c>
      <c r="MSV1336" s="4" t="s">
        <v>2880</v>
      </c>
      <c r="MSW1336" s="4" t="s">
        <v>2880</v>
      </c>
      <c r="MSX1336" s="4" t="s">
        <v>2880</v>
      </c>
      <c r="MSY1336" s="4" t="s">
        <v>2880</v>
      </c>
      <c r="MSZ1336" s="4" t="s">
        <v>2880</v>
      </c>
      <c r="MTA1336" s="4" t="s">
        <v>2880</v>
      </c>
      <c r="MTB1336" s="4" t="s">
        <v>2880</v>
      </c>
      <c r="MTC1336" s="4" t="s">
        <v>2880</v>
      </c>
      <c r="MTD1336" s="4" t="s">
        <v>2880</v>
      </c>
      <c r="MTE1336" s="4" t="s">
        <v>2880</v>
      </c>
      <c r="MTF1336" s="4" t="s">
        <v>2880</v>
      </c>
      <c r="MTG1336" s="4" t="s">
        <v>2880</v>
      </c>
      <c r="MTH1336" s="4" t="s">
        <v>2880</v>
      </c>
      <c r="MTI1336" s="4" t="s">
        <v>2880</v>
      </c>
      <c r="MTJ1336" s="4" t="s">
        <v>2880</v>
      </c>
      <c r="MTK1336" s="4" t="s">
        <v>2880</v>
      </c>
      <c r="MTL1336" s="4" t="s">
        <v>2880</v>
      </c>
      <c r="MTM1336" s="4" t="s">
        <v>2880</v>
      </c>
      <c r="MTN1336" s="4" t="s">
        <v>2880</v>
      </c>
      <c r="MTO1336" s="4" t="s">
        <v>2880</v>
      </c>
      <c r="MTP1336" s="4" t="s">
        <v>2880</v>
      </c>
      <c r="MTQ1336" s="4" t="s">
        <v>2880</v>
      </c>
      <c r="MTR1336" s="4" t="s">
        <v>2880</v>
      </c>
      <c r="MTS1336" s="4" t="s">
        <v>2880</v>
      </c>
      <c r="MTT1336" s="4" t="s">
        <v>2880</v>
      </c>
      <c r="MTU1336" s="4" t="s">
        <v>2880</v>
      </c>
      <c r="MTV1336" s="4" t="s">
        <v>2880</v>
      </c>
      <c r="MTW1336" s="4" t="s">
        <v>2880</v>
      </c>
      <c r="MTX1336" s="4" t="s">
        <v>2880</v>
      </c>
      <c r="MTY1336" s="4" t="s">
        <v>2880</v>
      </c>
      <c r="MTZ1336" s="4" t="s">
        <v>2880</v>
      </c>
      <c r="MUA1336" s="4" t="s">
        <v>2880</v>
      </c>
      <c r="MUB1336" s="4" t="s">
        <v>2880</v>
      </c>
      <c r="MUC1336" s="4" t="s">
        <v>2880</v>
      </c>
      <c r="MUD1336" s="4" t="s">
        <v>2880</v>
      </c>
      <c r="MUE1336" s="4" t="s">
        <v>2880</v>
      </c>
      <c r="MUF1336" s="4" t="s">
        <v>2880</v>
      </c>
      <c r="MUG1336" s="4" t="s">
        <v>2880</v>
      </c>
      <c r="MUH1336" s="4" t="s">
        <v>2880</v>
      </c>
      <c r="MUI1336" s="4" t="s">
        <v>2880</v>
      </c>
      <c r="MUJ1336" s="4" t="s">
        <v>2880</v>
      </c>
      <c r="MUK1336" s="4" t="s">
        <v>2880</v>
      </c>
      <c r="MUL1336" s="4" t="s">
        <v>2880</v>
      </c>
      <c r="MUM1336" s="4" t="s">
        <v>2880</v>
      </c>
      <c r="MUN1336" s="4" t="s">
        <v>2880</v>
      </c>
      <c r="MUO1336" s="4" t="s">
        <v>2880</v>
      </c>
      <c r="MUP1336" s="4" t="s">
        <v>2880</v>
      </c>
      <c r="MUQ1336" s="4" t="s">
        <v>2880</v>
      </c>
      <c r="MUR1336" s="4" t="s">
        <v>2880</v>
      </c>
      <c r="MUS1336" s="4" t="s">
        <v>2880</v>
      </c>
      <c r="MUT1336" s="4" t="s">
        <v>2880</v>
      </c>
      <c r="MUU1336" s="4" t="s">
        <v>2880</v>
      </c>
      <c r="MUV1336" s="4" t="s">
        <v>2880</v>
      </c>
      <c r="MUW1336" s="4" t="s">
        <v>2880</v>
      </c>
      <c r="MUX1336" s="4" t="s">
        <v>2880</v>
      </c>
      <c r="MUY1336" s="4" t="s">
        <v>2880</v>
      </c>
      <c r="MUZ1336" s="4" t="s">
        <v>2880</v>
      </c>
      <c r="MVA1336" s="4" t="s">
        <v>2880</v>
      </c>
      <c r="MVB1336" s="4" t="s">
        <v>2880</v>
      </c>
      <c r="MVC1336" s="4" t="s">
        <v>2880</v>
      </c>
      <c r="MVD1336" s="4" t="s">
        <v>2880</v>
      </c>
      <c r="MVE1336" s="4" t="s">
        <v>2880</v>
      </c>
      <c r="MVF1336" s="4" t="s">
        <v>2880</v>
      </c>
      <c r="MVG1336" s="4" t="s">
        <v>2880</v>
      </c>
      <c r="MVH1336" s="4" t="s">
        <v>2880</v>
      </c>
      <c r="MVI1336" s="4" t="s">
        <v>2880</v>
      </c>
      <c r="MVJ1336" s="4" t="s">
        <v>2880</v>
      </c>
      <c r="MVK1336" s="4" t="s">
        <v>2880</v>
      </c>
      <c r="MVL1336" s="4" t="s">
        <v>2880</v>
      </c>
      <c r="MVM1336" s="4" t="s">
        <v>2880</v>
      </c>
      <c r="MVN1336" s="4" t="s">
        <v>2880</v>
      </c>
      <c r="MVO1336" s="4" t="s">
        <v>2880</v>
      </c>
      <c r="MVP1336" s="4" t="s">
        <v>2880</v>
      </c>
      <c r="MVQ1336" s="4" t="s">
        <v>2880</v>
      </c>
      <c r="MVR1336" s="4" t="s">
        <v>2880</v>
      </c>
      <c r="MVS1336" s="4" t="s">
        <v>2880</v>
      </c>
      <c r="MVT1336" s="4" t="s">
        <v>2880</v>
      </c>
      <c r="MVU1336" s="4" t="s">
        <v>2880</v>
      </c>
      <c r="MVV1336" s="4" t="s">
        <v>2880</v>
      </c>
      <c r="MVW1336" s="4" t="s">
        <v>2880</v>
      </c>
      <c r="MVX1336" s="4" t="s">
        <v>2880</v>
      </c>
      <c r="MVY1336" s="4" t="s">
        <v>2880</v>
      </c>
      <c r="MVZ1336" s="4" t="s">
        <v>2880</v>
      </c>
      <c r="MWA1336" s="4" t="s">
        <v>2880</v>
      </c>
      <c r="MWB1336" s="4" t="s">
        <v>2880</v>
      </c>
      <c r="MWC1336" s="4" t="s">
        <v>2880</v>
      </c>
      <c r="MWD1336" s="4" t="s">
        <v>2880</v>
      </c>
      <c r="MWE1336" s="4" t="s">
        <v>2880</v>
      </c>
      <c r="MWF1336" s="4" t="s">
        <v>2880</v>
      </c>
      <c r="MWG1336" s="4" t="s">
        <v>2880</v>
      </c>
      <c r="MWH1336" s="4" t="s">
        <v>2880</v>
      </c>
      <c r="MWI1336" s="4" t="s">
        <v>2880</v>
      </c>
      <c r="MWJ1336" s="4" t="s">
        <v>2880</v>
      </c>
      <c r="MWK1336" s="4" t="s">
        <v>2880</v>
      </c>
      <c r="MWL1336" s="4" t="s">
        <v>2880</v>
      </c>
      <c r="MWM1336" s="4" t="s">
        <v>2880</v>
      </c>
      <c r="MWN1336" s="4" t="s">
        <v>2880</v>
      </c>
      <c r="MWO1336" s="4" t="s">
        <v>2880</v>
      </c>
      <c r="MWP1336" s="4" t="s">
        <v>2880</v>
      </c>
      <c r="MWQ1336" s="4" t="s">
        <v>2880</v>
      </c>
      <c r="MWR1336" s="4" t="s">
        <v>2880</v>
      </c>
      <c r="MWS1336" s="4" t="s">
        <v>2880</v>
      </c>
      <c r="MWT1336" s="4" t="s">
        <v>2880</v>
      </c>
      <c r="MWU1336" s="4" t="s">
        <v>2880</v>
      </c>
      <c r="MWV1336" s="4" t="s">
        <v>2880</v>
      </c>
      <c r="MWW1336" s="4" t="s">
        <v>2880</v>
      </c>
      <c r="MWX1336" s="4" t="s">
        <v>2880</v>
      </c>
      <c r="MWY1336" s="4" t="s">
        <v>2880</v>
      </c>
      <c r="MWZ1336" s="4" t="s">
        <v>2880</v>
      </c>
      <c r="MXA1336" s="4" t="s">
        <v>2880</v>
      </c>
      <c r="MXB1336" s="4" t="s">
        <v>2880</v>
      </c>
      <c r="MXC1336" s="4" t="s">
        <v>2880</v>
      </c>
      <c r="MXD1336" s="4" t="s">
        <v>2880</v>
      </c>
      <c r="MXE1336" s="4" t="s">
        <v>2880</v>
      </c>
      <c r="MXF1336" s="4" t="s">
        <v>2880</v>
      </c>
      <c r="MXG1336" s="4" t="s">
        <v>2880</v>
      </c>
      <c r="MXH1336" s="4" t="s">
        <v>2880</v>
      </c>
      <c r="MXI1336" s="4" t="s">
        <v>2880</v>
      </c>
      <c r="MXJ1336" s="4" t="s">
        <v>2880</v>
      </c>
      <c r="MXK1336" s="4" t="s">
        <v>2880</v>
      </c>
      <c r="MXL1336" s="4" t="s">
        <v>2880</v>
      </c>
      <c r="MXM1336" s="4" t="s">
        <v>2880</v>
      </c>
      <c r="MXN1336" s="4" t="s">
        <v>2880</v>
      </c>
      <c r="MXO1336" s="4" t="s">
        <v>2880</v>
      </c>
      <c r="MXP1336" s="4" t="s">
        <v>2880</v>
      </c>
      <c r="MXQ1336" s="4" t="s">
        <v>2880</v>
      </c>
      <c r="MXR1336" s="4" t="s">
        <v>2880</v>
      </c>
      <c r="MXS1336" s="4" t="s">
        <v>2880</v>
      </c>
      <c r="MXT1336" s="4" t="s">
        <v>2880</v>
      </c>
      <c r="MXU1336" s="4" t="s">
        <v>2880</v>
      </c>
      <c r="MXV1336" s="4" t="s">
        <v>2880</v>
      </c>
      <c r="MXW1336" s="4" t="s">
        <v>2880</v>
      </c>
      <c r="MXX1336" s="4" t="s">
        <v>2880</v>
      </c>
      <c r="MXY1336" s="4" t="s">
        <v>2880</v>
      </c>
      <c r="MXZ1336" s="4" t="s">
        <v>2880</v>
      </c>
      <c r="MYA1336" s="4" t="s">
        <v>2880</v>
      </c>
      <c r="MYB1336" s="4" t="s">
        <v>2880</v>
      </c>
      <c r="MYC1336" s="4" t="s">
        <v>2880</v>
      </c>
      <c r="MYD1336" s="4" t="s">
        <v>2880</v>
      </c>
      <c r="MYE1336" s="4" t="s">
        <v>2880</v>
      </c>
      <c r="MYF1336" s="4" t="s">
        <v>2880</v>
      </c>
      <c r="MYG1336" s="4" t="s">
        <v>2880</v>
      </c>
      <c r="MYH1336" s="4" t="s">
        <v>2880</v>
      </c>
      <c r="MYI1336" s="4" t="s">
        <v>2880</v>
      </c>
      <c r="MYJ1336" s="4" t="s">
        <v>2880</v>
      </c>
      <c r="MYK1336" s="4" t="s">
        <v>2880</v>
      </c>
      <c r="MYL1336" s="4" t="s">
        <v>2880</v>
      </c>
      <c r="MYM1336" s="4" t="s">
        <v>2880</v>
      </c>
      <c r="MYN1336" s="4" t="s">
        <v>2880</v>
      </c>
      <c r="MYO1336" s="4" t="s">
        <v>2880</v>
      </c>
      <c r="MYP1336" s="4" t="s">
        <v>2880</v>
      </c>
      <c r="MYQ1336" s="4" t="s">
        <v>2880</v>
      </c>
      <c r="MYR1336" s="4" t="s">
        <v>2880</v>
      </c>
      <c r="MYS1336" s="4" t="s">
        <v>2880</v>
      </c>
      <c r="MYT1336" s="4" t="s">
        <v>2880</v>
      </c>
      <c r="MYU1336" s="4" t="s">
        <v>2880</v>
      </c>
      <c r="MYV1336" s="4" t="s">
        <v>2880</v>
      </c>
      <c r="MYW1336" s="4" t="s">
        <v>2880</v>
      </c>
      <c r="MYX1336" s="4" t="s">
        <v>2880</v>
      </c>
      <c r="MYY1336" s="4" t="s">
        <v>2880</v>
      </c>
      <c r="MYZ1336" s="4" t="s">
        <v>2880</v>
      </c>
      <c r="MZA1336" s="4" t="s">
        <v>2880</v>
      </c>
      <c r="MZB1336" s="4" t="s">
        <v>2880</v>
      </c>
      <c r="MZC1336" s="4" t="s">
        <v>2880</v>
      </c>
      <c r="MZD1336" s="4" t="s">
        <v>2880</v>
      </c>
      <c r="MZE1336" s="4" t="s">
        <v>2880</v>
      </c>
      <c r="MZF1336" s="4" t="s">
        <v>2880</v>
      </c>
      <c r="MZG1336" s="4" t="s">
        <v>2880</v>
      </c>
      <c r="MZH1336" s="4" t="s">
        <v>2880</v>
      </c>
      <c r="MZI1336" s="4" t="s">
        <v>2880</v>
      </c>
      <c r="MZJ1336" s="4" t="s">
        <v>2880</v>
      </c>
      <c r="MZK1336" s="4" t="s">
        <v>2880</v>
      </c>
      <c r="MZL1336" s="4" t="s">
        <v>2880</v>
      </c>
      <c r="MZM1336" s="4" t="s">
        <v>2880</v>
      </c>
      <c r="MZN1336" s="4" t="s">
        <v>2880</v>
      </c>
      <c r="MZO1336" s="4" t="s">
        <v>2880</v>
      </c>
      <c r="MZP1336" s="4" t="s">
        <v>2880</v>
      </c>
      <c r="MZQ1336" s="4" t="s">
        <v>2880</v>
      </c>
      <c r="MZR1336" s="4" t="s">
        <v>2880</v>
      </c>
      <c r="MZS1336" s="4" t="s">
        <v>2880</v>
      </c>
      <c r="MZT1336" s="4" t="s">
        <v>2880</v>
      </c>
      <c r="MZU1336" s="4" t="s">
        <v>2880</v>
      </c>
      <c r="MZV1336" s="4" t="s">
        <v>2880</v>
      </c>
      <c r="MZW1336" s="4" t="s">
        <v>2880</v>
      </c>
      <c r="MZX1336" s="4" t="s">
        <v>2880</v>
      </c>
      <c r="MZY1336" s="4" t="s">
        <v>2880</v>
      </c>
      <c r="MZZ1336" s="4" t="s">
        <v>2880</v>
      </c>
      <c r="NAA1336" s="4" t="s">
        <v>2880</v>
      </c>
      <c r="NAB1336" s="4" t="s">
        <v>2880</v>
      </c>
      <c r="NAC1336" s="4" t="s">
        <v>2880</v>
      </c>
      <c r="NAD1336" s="4" t="s">
        <v>2880</v>
      </c>
      <c r="NAE1336" s="4" t="s">
        <v>2880</v>
      </c>
      <c r="NAF1336" s="4" t="s">
        <v>2880</v>
      </c>
      <c r="NAG1336" s="4" t="s">
        <v>2880</v>
      </c>
      <c r="NAH1336" s="4" t="s">
        <v>2880</v>
      </c>
      <c r="NAI1336" s="4" t="s">
        <v>2880</v>
      </c>
      <c r="NAJ1336" s="4" t="s">
        <v>2880</v>
      </c>
      <c r="NAK1336" s="4" t="s">
        <v>2880</v>
      </c>
      <c r="NAL1336" s="4" t="s">
        <v>2880</v>
      </c>
      <c r="NAM1336" s="4" t="s">
        <v>2880</v>
      </c>
      <c r="NAN1336" s="4" t="s">
        <v>2880</v>
      </c>
      <c r="NAO1336" s="4" t="s">
        <v>2880</v>
      </c>
      <c r="NAP1336" s="4" t="s">
        <v>2880</v>
      </c>
      <c r="NAQ1336" s="4" t="s">
        <v>2880</v>
      </c>
      <c r="NAR1336" s="4" t="s">
        <v>2880</v>
      </c>
      <c r="NAS1336" s="4" t="s">
        <v>2880</v>
      </c>
      <c r="NAT1336" s="4" t="s">
        <v>2880</v>
      </c>
      <c r="NAU1336" s="4" t="s">
        <v>2880</v>
      </c>
      <c r="NAV1336" s="4" t="s">
        <v>2880</v>
      </c>
      <c r="NAW1336" s="4" t="s">
        <v>2880</v>
      </c>
      <c r="NAX1336" s="4" t="s">
        <v>2880</v>
      </c>
      <c r="NAY1336" s="4" t="s">
        <v>2880</v>
      </c>
      <c r="NAZ1336" s="4" t="s">
        <v>2880</v>
      </c>
      <c r="NBA1336" s="4" t="s">
        <v>2880</v>
      </c>
      <c r="NBB1336" s="4" t="s">
        <v>2880</v>
      </c>
      <c r="NBC1336" s="4" t="s">
        <v>2880</v>
      </c>
      <c r="NBD1336" s="4" t="s">
        <v>2880</v>
      </c>
      <c r="NBE1336" s="4" t="s">
        <v>2880</v>
      </c>
      <c r="NBF1336" s="4" t="s">
        <v>2880</v>
      </c>
      <c r="NBG1336" s="4" t="s">
        <v>2880</v>
      </c>
      <c r="NBH1336" s="4" t="s">
        <v>2880</v>
      </c>
      <c r="NBI1336" s="4" t="s">
        <v>2880</v>
      </c>
      <c r="NBJ1336" s="4" t="s">
        <v>2880</v>
      </c>
      <c r="NBK1336" s="4" t="s">
        <v>2880</v>
      </c>
      <c r="NBL1336" s="4" t="s">
        <v>2880</v>
      </c>
      <c r="NBM1336" s="4" t="s">
        <v>2880</v>
      </c>
      <c r="NBN1336" s="4" t="s">
        <v>2880</v>
      </c>
      <c r="NBO1336" s="4" t="s">
        <v>2880</v>
      </c>
      <c r="NBP1336" s="4" t="s">
        <v>2880</v>
      </c>
      <c r="NBQ1336" s="4" t="s">
        <v>2880</v>
      </c>
      <c r="NBR1336" s="4" t="s">
        <v>2880</v>
      </c>
      <c r="NBS1336" s="4" t="s">
        <v>2880</v>
      </c>
      <c r="NBT1336" s="4" t="s">
        <v>2880</v>
      </c>
      <c r="NBU1336" s="4" t="s">
        <v>2880</v>
      </c>
      <c r="NBV1336" s="4" t="s">
        <v>2880</v>
      </c>
      <c r="NBW1336" s="4" t="s">
        <v>2880</v>
      </c>
      <c r="NBX1336" s="4" t="s">
        <v>2880</v>
      </c>
      <c r="NBY1336" s="4" t="s">
        <v>2880</v>
      </c>
      <c r="NBZ1336" s="4" t="s">
        <v>2880</v>
      </c>
      <c r="NCA1336" s="4" t="s">
        <v>2880</v>
      </c>
      <c r="NCB1336" s="4" t="s">
        <v>2880</v>
      </c>
      <c r="NCC1336" s="4" t="s">
        <v>2880</v>
      </c>
      <c r="NCD1336" s="4" t="s">
        <v>2880</v>
      </c>
      <c r="NCE1336" s="4" t="s">
        <v>2880</v>
      </c>
      <c r="NCF1336" s="4" t="s">
        <v>2880</v>
      </c>
      <c r="NCG1336" s="4" t="s">
        <v>2880</v>
      </c>
      <c r="NCH1336" s="4" t="s">
        <v>2880</v>
      </c>
      <c r="NCI1336" s="4" t="s">
        <v>2880</v>
      </c>
      <c r="NCJ1336" s="4" t="s">
        <v>2880</v>
      </c>
      <c r="NCK1336" s="4" t="s">
        <v>2880</v>
      </c>
      <c r="NCL1336" s="4" t="s">
        <v>2880</v>
      </c>
      <c r="NCM1336" s="4" t="s">
        <v>2880</v>
      </c>
      <c r="NCN1336" s="4" t="s">
        <v>2880</v>
      </c>
      <c r="NCO1336" s="4" t="s">
        <v>2880</v>
      </c>
      <c r="NCP1336" s="4" t="s">
        <v>2880</v>
      </c>
      <c r="NCQ1336" s="4" t="s">
        <v>2880</v>
      </c>
      <c r="NCR1336" s="4" t="s">
        <v>2880</v>
      </c>
      <c r="NCS1336" s="4" t="s">
        <v>2880</v>
      </c>
      <c r="NCT1336" s="4" t="s">
        <v>2880</v>
      </c>
      <c r="NCU1336" s="4" t="s">
        <v>2880</v>
      </c>
      <c r="NCV1336" s="4" t="s">
        <v>2880</v>
      </c>
      <c r="NCW1336" s="4" t="s">
        <v>2880</v>
      </c>
      <c r="NCX1336" s="4" t="s">
        <v>2880</v>
      </c>
      <c r="NCY1336" s="4" t="s">
        <v>2880</v>
      </c>
      <c r="NCZ1336" s="4" t="s">
        <v>2880</v>
      </c>
      <c r="NDA1336" s="4" t="s">
        <v>2880</v>
      </c>
      <c r="NDB1336" s="4" t="s">
        <v>2880</v>
      </c>
      <c r="NDC1336" s="4" t="s">
        <v>2880</v>
      </c>
      <c r="NDD1336" s="4" t="s">
        <v>2880</v>
      </c>
      <c r="NDE1336" s="4" t="s">
        <v>2880</v>
      </c>
      <c r="NDF1336" s="4" t="s">
        <v>2880</v>
      </c>
      <c r="NDG1336" s="4" t="s">
        <v>2880</v>
      </c>
      <c r="NDH1336" s="4" t="s">
        <v>2880</v>
      </c>
      <c r="NDI1336" s="4" t="s">
        <v>2880</v>
      </c>
      <c r="NDJ1336" s="4" t="s">
        <v>2880</v>
      </c>
      <c r="NDK1336" s="4" t="s">
        <v>2880</v>
      </c>
      <c r="NDL1336" s="4" t="s">
        <v>2880</v>
      </c>
      <c r="NDM1336" s="4" t="s">
        <v>2880</v>
      </c>
      <c r="NDN1336" s="4" t="s">
        <v>2880</v>
      </c>
      <c r="NDO1336" s="4" t="s">
        <v>2880</v>
      </c>
      <c r="NDP1336" s="4" t="s">
        <v>2880</v>
      </c>
      <c r="NDQ1336" s="4" t="s">
        <v>2880</v>
      </c>
      <c r="NDR1336" s="4" t="s">
        <v>2880</v>
      </c>
      <c r="NDS1336" s="4" t="s">
        <v>2880</v>
      </c>
      <c r="NDT1336" s="4" t="s">
        <v>2880</v>
      </c>
      <c r="NDU1336" s="4" t="s">
        <v>2880</v>
      </c>
      <c r="NDV1336" s="4" t="s">
        <v>2880</v>
      </c>
      <c r="NDW1336" s="4" t="s">
        <v>2880</v>
      </c>
      <c r="NDX1336" s="4" t="s">
        <v>2880</v>
      </c>
      <c r="NDY1336" s="4" t="s">
        <v>2880</v>
      </c>
      <c r="NDZ1336" s="4" t="s">
        <v>2880</v>
      </c>
      <c r="NEA1336" s="4" t="s">
        <v>2880</v>
      </c>
      <c r="NEB1336" s="4" t="s">
        <v>2880</v>
      </c>
      <c r="NEC1336" s="4" t="s">
        <v>2880</v>
      </c>
      <c r="NED1336" s="4" t="s">
        <v>2880</v>
      </c>
      <c r="NEE1336" s="4" t="s">
        <v>2880</v>
      </c>
      <c r="NEF1336" s="4" t="s">
        <v>2880</v>
      </c>
      <c r="NEG1336" s="4" t="s">
        <v>2880</v>
      </c>
      <c r="NEH1336" s="4" t="s">
        <v>2880</v>
      </c>
      <c r="NEI1336" s="4" t="s">
        <v>2880</v>
      </c>
      <c r="NEJ1336" s="4" t="s">
        <v>2880</v>
      </c>
      <c r="NEK1336" s="4" t="s">
        <v>2880</v>
      </c>
      <c r="NEL1336" s="4" t="s">
        <v>2880</v>
      </c>
      <c r="NEM1336" s="4" t="s">
        <v>2880</v>
      </c>
      <c r="NEN1336" s="4" t="s">
        <v>2880</v>
      </c>
      <c r="NEO1336" s="4" t="s">
        <v>2880</v>
      </c>
      <c r="NEP1336" s="4" t="s">
        <v>2880</v>
      </c>
      <c r="NEQ1336" s="4" t="s">
        <v>2880</v>
      </c>
      <c r="NER1336" s="4" t="s">
        <v>2880</v>
      </c>
      <c r="NES1336" s="4" t="s">
        <v>2880</v>
      </c>
      <c r="NET1336" s="4" t="s">
        <v>2880</v>
      </c>
      <c r="NEU1336" s="4" t="s">
        <v>2880</v>
      </c>
      <c r="NEV1336" s="4" t="s">
        <v>2880</v>
      </c>
      <c r="NEW1336" s="4" t="s">
        <v>2880</v>
      </c>
      <c r="NEX1336" s="4" t="s">
        <v>2880</v>
      </c>
      <c r="NEY1336" s="4" t="s">
        <v>2880</v>
      </c>
      <c r="NEZ1336" s="4" t="s">
        <v>2880</v>
      </c>
      <c r="NFA1336" s="4" t="s">
        <v>2880</v>
      </c>
      <c r="NFB1336" s="4" t="s">
        <v>2880</v>
      </c>
      <c r="NFC1336" s="4" t="s">
        <v>2880</v>
      </c>
      <c r="NFD1336" s="4" t="s">
        <v>2880</v>
      </c>
      <c r="NFE1336" s="4" t="s">
        <v>2880</v>
      </c>
      <c r="NFF1336" s="4" t="s">
        <v>2880</v>
      </c>
      <c r="NFG1336" s="4" t="s">
        <v>2880</v>
      </c>
      <c r="NFH1336" s="4" t="s">
        <v>2880</v>
      </c>
      <c r="NFI1336" s="4" t="s">
        <v>2880</v>
      </c>
      <c r="NFJ1336" s="4" t="s">
        <v>2880</v>
      </c>
      <c r="NFK1336" s="4" t="s">
        <v>2880</v>
      </c>
      <c r="NFL1336" s="4" t="s">
        <v>2880</v>
      </c>
      <c r="NFM1336" s="4" t="s">
        <v>2880</v>
      </c>
      <c r="NFN1336" s="4" t="s">
        <v>2880</v>
      </c>
      <c r="NFO1336" s="4" t="s">
        <v>2880</v>
      </c>
      <c r="NFP1336" s="4" t="s">
        <v>2880</v>
      </c>
      <c r="NFQ1336" s="4" t="s">
        <v>2880</v>
      </c>
      <c r="NFR1336" s="4" t="s">
        <v>2880</v>
      </c>
      <c r="NFS1336" s="4" t="s">
        <v>2880</v>
      </c>
      <c r="NFT1336" s="4" t="s">
        <v>2880</v>
      </c>
      <c r="NFU1336" s="4" t="s">
        <v>2880</v>
      </c>
      <c r="NFV1336" s="4" t="s">
        <v>2880</v>
      </c>
      <c r="NFW1336" s="4" t="s">
        <v>2880</v>
      </c>
      <c r="NFX1336" s="4" t="s">
        <v>2880</v>
      </c>
      <c r="NFY1336" s="4" t="s">
        <v>2880</v>
      </c>
      <c r="NFZ1336" s="4" t="s">
        <v>2880</v>
      </c>
      <c r="NGA1336" s="4" t="s">
        <v>2880</v>
      </c>
      <c r="NGB1336" s="4" t="s">
        <v>2880</v>
      </c>
      <c r="NGC1336" s="4" t="s">
        <v>2880</v>
      </c>
      <c r="NGD1336" s="4" t="s">
        <v>2880</v>
      </c>
      <c r="NGE1336" s="4" t="s">
        <v>2880</v>
      </c>
      <c r="NGF1336" s="4" t="s">
        <v>2880</v>
      </c>
      <c r="NGG1336" s="4" t="s">
        <v>2880</v>
      </c>
      <c r="NGH1336" s="4" t="s">
        <v>2880</v>
      </c>
      <c r="NGI1336" s="4" t="s">
        <v>2880</v>
      </c>
      <c r="NGJ1336" s="4" t="s">
        <v>2880</v>
      </c>
      <c r="NGK1336" s="4" t="s">
        <v>2880</v>
      </c>
      <c r="NGL1336" s="4" t="s">
        <v>2880</v>
      </c>
      <c r="NGM1336" s="4" t="s">
        <v>2880</v>
      </c>
      <c r="NGN1336" s="4" t="s">
        <v>2880</v>
      </c>
      <c r="NGO1336" s="4" t="s">
        <v>2880</v>
      </c>
      <c r="NGP1336" s="4" t="s">
        <v>2880</v>
      </c>
      <c r="NGQ1336" s="4" t="s">
        <v>2880</v>
      </c>
      <c r="NGR1336" s="4" t="s">
        <v>2880</v>
      </c>
      <c r="NGS1336" s="4" t="s">
        <v>2880</v>
      </c>
      <c r="NGT1336" s="4" t="s">
        <v>2880</v>
      </c>
      <c r="NGU1336" s="4" t="s">
        <v>2880</v>
      </c>
      <c r="NGV1336" s="4" t="s">
        <v>2880</v>
      </c>
      <c r="NGW1336" s="4" t="s">
        <v>2880</v>
      </c>
      <c r="NGX1336" s="4" t="s">
        <v>2880</v>
      </c>
      <c r="NGY1336" s="4" t="s">
        <v>2880</v>
      </c>
      <c r="NGZ1336" s="4" t="s">
        <v>2880</v>
      </c>
      <c r="NHA1336" s="4" t="s">
        <v>2880</v>
      </c>
      <c r="NHB1336" s="4" t="s">
        <v>2880</v>
      </c>
      <c r="NHC1336" s="4" t="s">
        <v>2880</v>
      </c>
      <c r="NHD1336" s="4" t="s">
        <v>2880</v>
      </c>
      <c r="NHE1336" s="4" t="s">
        <v>2880</v>
      </c>
      <c r="NHF1336" s="4" t="s">
        <v>2880</v>
      </c>
      <c r="NHG1336" s="4" t="s">
        <v>2880</v>
      </c>
      <c r="NHH1336" s="4" t="s">
        <v>2880</v>
      </c>
      <c r="NHI1336" s="4" t="s">
        <v>2880</v>
      </c>
      <c r="NHJ1336" s="4" t="s">
        <v>2880</v>
      </c>
      <c r="NHK1336" s="4" t="s">
        <v>2880</v>
      </c>
      <c r="NHL1336" s="4" t="s">
        <v>2880</v>
      </c>
      <c r="NHM1336" s="4" t="s">
        <v>2880</v>
      </c>
      <c r="NHN1336" s="4" t="s">
        <v>2880</v>
      </c>
      <c r="NHO1336" s="4" t="s">
        <v>2880</v>
      </c>
      <c r="NHP1336" s="4" t="s">
        <v>2880</v>
      </c>
      <c r="NHQ1336" s="4" t="s">
        <v>2880</v>
      </c>
      <c r="NHR1336" s="4" t="s">
        <v>2880</v>
      </c>
      <c r="NHS1336" s="4" t="s">
        <v>2880</v>
      </c>
      <c r="NHT1336" s="4" t="s">
        <v>2880</v>
      </c>
      <c r="NHU1336" s="4" t="s">
        <v>2880</v>
      </c>
      <c r="NHV1336" s="4" t="s">
        <v>2880</v>
      </c>
      <c r="NHW1336" s="4" t="s">
        <v>2880</v>
      </c>
      <c r="NHX1336" s="4" t="s">
        <v>2880</v>
      </c>
      <c r="NHY1336" s="4" t="s">
        <v>2880</v>
      </c>
      <c r="NHZ1336" s="4" t="s">
        <v>2880</v>
      </c>
      <c r="NIA1336" s="4" t="s">
        <v>2880</v>
      </c>
      <c r="NIB1336" s="4" t="s">
        <v>2880</v>
      </c>
      <c r="NIC1336" s="4" t="s">
        <v>2880</v>
      </c>
      <c r="NID1336" s="4" t="s">
        <v>2880</v>
      </c>
      <c r="NIE1336" s="4" t="s">
        <v>2880</v>
      </c>
      <c r="NIF1336" s="4" t="s">
        <v>2880</v>
      </c>
      <c r="NIG1336" s="4" t="s">
        <v>2880</v>
      </c>
      <c r="NIH1336" s="4" t="s">
        <v>2880</v>
      </c>
      <c r="NII1336" s="4" t="s">
        <v>2880</v>
      </c>
      <c r="NIJ1336" s="4" t="s">
        <v>2880</v>
      </c>
      <c r="NIK1336" s="4" t="s">
        <v>2880</v>
      </c>
      <c r="NIL1336" s="4" t="s">
        <v>2880</v>
      </c>
      <c r="NIM1336" s="4" t="s">
        <v>2880</v>
      </c>
      <c r="NIN1336" s="4" t="s">
        <v>2880</v>
      </c>
      <c r="NIO1336" s="4" t="s">
        <v>2880</v>
      </c>
      <c r="NIP1336" s="4" t="s">
        <v>2880</v>
      </c>
      <c r="NIQ1336" s="4" t="s">
        <v>2880</v>
      </c>
      <c r="NIR1336" s="4" t="s">
        <v>2880</v>
      </c>
      <c r="NIS1336" s="4" t="s">
        <v>2880</v>
      </c>
      <c r="NIT1336" s="4" t="s">
        <v>2880</v>
      </c>
      <c r="NIU1336" s="4" t="s">
        <v>2880</v>
      </c>
      <c r="NIV1336" s="4" t="s">
        <v>2880</v>
      </c>
      <c r="NIW1336" s="4" t="s">
        <v>2880</v>
      </c>
      <c r="NIX1336" s="4" t="s">
        <v>2880</v>
      </c>
      <c r="NIY1336" s="4" t="s">
        <v>2880</v>
      </c>
      <c r="NIZ1336" s="4" t="s">
        <v>2880</v>
      </c>
      <c r="NJA1336" s="4" t="s">
        <v>2880</v>
      </c>
      <c r="NJB1336" s="4" t="s">
        <v>2880</v>
      </c>
      <c r="NJC1336" s="4" t="s">
        <v>2880</v>
      </c>
      <c r="NJD1336" s="4" t="s">
        <v>2880</v>
      </c>
      <c r="NJE1336" s="4" t="s">
        <v>2880</v>
      </c>
      <c r="NJF1336" s="4" t="s">
        <v>2880</v>
      </c>
      <c r="NJG1336" s="4" t="s">
        <v>2880</v>
      </c>
      <c r="NJH1336" s="4" t="s">
        <v>2880</v>
      </c>
      <c r="NJI1336" s="4" t="s">
        <v>2880</v>
      </c>
      <c r="NJJ1336" s="4" t="s">
        <v>2880</v>
      </c>
      <c r="NJK1336" s="4" t="s">
        <v>2880</v>
      </c>
      <c r="NJL1336" s="4" t="s">
        <v>2880</v>
      </c>
      <c r="NJM1336" s="4" t="s">
        <v>2880</v>
      </c>
      <c r="NJN1336" s="4" t="s">
        <v>2880</v>
      </c>
      <c r="NJO1336" s="4" t="s">
        <v>2880</v>
      </c>
      <c r="NJP1336" s="4" t="s">
        <v>2880</v>
      </c>
      <c r="NJQ1336" s="4" t="s">
        <v>2880</v>
      </c>
      <c r="NJR1336" s="4" t="s">
        <v>2880</v>
      </c>
      <c r="NJS1336" s="4" t="s">
        <v>2880</v>
      </c>
      <c r="NJT1336" s="4" t="s">
        <v>2880</v>
      </c>
      <c r="NJU1336" s="4" t="s">
        <v>2880</v>
      </c>
      <c r="NJV1336" s="4" t="s">
        <v>2880</v>
      </c>
      <c r="NJW1336" s="4" t="s">
        <v>2880</v>
      </c>
      <c r="NJX1336" s="4" t="s">
        <v>2880</v>
      </c>
      <c r="NJY1336" s="4" t="s">
        <v>2880</v>
      </c>
      <c r="NJZ1336" s="4" t="s">
        <v>2880</v>
      </c>
      <c r="NKA1336" s="4" t="s">
        <v>2880</v>
      </c>
      <c r="NKB1336" s="4" t="s">
        <v>2880</v>
      </c>
      <c r="NKC1336" s="4" t="s">
        <v>2880</v>
      </c>
      <c r="NKD1336" s="4" t="s">
        <v>2880</v>
      </c>
      <c r="NKE1336" s="4" t="s">
        <v>2880</v>
      </c>
      <c r="NKF1336" s="4" t="s">
        <v>2880</v>
      </c>
      <c r="NKG1336" s="4" t="s">
        <v>2880</v>
      </c>
      <c r="NKH1336" s="4" t="s">
        <v>2880</v>
      </c>
      <c r="NKI1336" s="4" t="s">
        <v>2880</v>
      </c>
      <c r="NKJ1336" s="4" t="s">
        <v>2880</v>
      </c>
      <c r="NKK1336" s="4" t="s">
        <v>2880</v>
      </c>
      <c r="NKL1336" s="4" t="s">
        <v>2880</v>
      </c>
      <c r="NKM1336" s="4" t="s">
        <v>2880</v>
      </c>
      <c r="NKN1336" s="4" t="s">
        <v>2880</v>
      </c>
      <c r="NKO1336" s="4" t="s">
        <v>2880</v>
      </c>
      <c r="NKP1336" s="4" t="s">
        <v>2880</v>
      </c>
      <c r="NKQ1336" s="4" t="s">
        <v>2880</v>
      </c>
      <c r="NKR1336" s="4" t="s">
        <v>2880</v>
      </c>
      <c r="NKS1336" s="4" t="s">
        <v>2880</v>
      </c>
      <c r="NKT1336" s="4" t="s">
        <v>2880</v>
      </c>
      <c r="NKU1336" s="4" t="s">
        <v>2880</v>
      </c>
      <c r="NKV1336" s="4" t="s">
        <v>2880</v>
      </c>
      <c r="NKW1336" s="4" t="s">
        <v>2880</v>
      </c>
      <c r="NKX1336" s="4" t="s">
        <v>2880</v>
      </c>
      <c r="NKY1336" s="4" t="s">
        <v>2880</v>
      </c>
      <c r="NKZ1336" s="4" t="s">
        <v>2880</v>
      </c>
      <c r="NLA1336" s="4" t="s">
        <v>2880</v>
      </c>
      <c r="NLB1336" s="4" t="s">
        <v>2880</v>
      </c>
      <c r="NLC1336" s="4" t="s">
        <v>2880</v>
      </c>
      <c r="NLD1336" s="4" t="s">
        <v>2880</v>
      </c>
      <c r="NLE1336" s="4" t="s">
        <v>2880</v>
      </c>
      <c r="NLF1336" s="4" t="s">
        <v>2880</v>
      </c>
      <c r="NLG1336" s="4" t="s">
        <v>2880</v>
      </c>
      <c r="NLH1336" s="4" t="s">
        <v>2880</v>
      </c>
      <c r="NLI1336" s="4" t="s">
        <v>2880</v>
      </c>
      <c r="NLJ1336" s="4" t="s">
        <v>2880</v>
      </c>
      <c r="NLK1336" s="4" t="s">
        <v>2880</v>
      </c>
      <c r="NLL1336" s="4" t="s">
        <v>2880</v>
      </c>
      <c r="NLM1336" s="4" t="s">
        <v>2880</v>
      </c>
      <c r="NLN1336" s="4" t="s">
        <v>2880</v>
      </c>
      <c r="NLO1336" s="4" t="s">
        <v>2880</v>
      </c>
      <c r="NLP1336" s="4" t="s">
        <v>2880</v>
      </c>
      <c r="NLQ1336" s="4" t="s">
        <v>2880</v>
      </c>
      <c r="NLR1336" s="4" t="s">
        <v>2880</v>
      </c>
      <c r="NLS1336" s="4" t="s">
        <v>2880</v>
      </c>
      <c r="NLT1336" s="4" t="s">
        <v>2880</v>
      </c>
      <c r="NLU1336" s="4" t="s">
        <v>2880</v>
      </c>
      <c r="NLV1336" s="4" t="s">
        <v>2880</v>
      </c>
      <c r="NLW1336" s="4" t="s">
        <v>2880</v>
      </c>
      <c r="NLX1336" s="4" t="s">
        <v>2880</v>
      </c>
      <c r="NLY1336" s="4" t="s">
        <v>2880</v>
      </c>
      <c r="NLZ1336" s="4" t="s">
        <v>2880</v>
      </c>
      <c r="NMA1336" s="4" t="s">
        <v>2880</v>
      </c>
      <c r="NMB1336" s="4" t="s">
        <v>2880</v>
      </c>
      <c r="NMC1336" s="4" t="s">
        <v>2880</v>
      </c>
      <c r="NMD1336" s="4" t="s">
        <v>2880</v>
      </c>
      <c r="NME1336" s="4" t="s">
        <v>2880</v>
      </c>
      <c r="NMF1336" s="4" t="s">
        <v>2880</v>
      </c>
      <c r="NMG1336" s="4" t="s">
        <v>2880</v>
      </c>
      <c r="NMH1336" s="4" t="s">
        <v>2880</v>
      </c>
      <c r="NMI1336" s="4" t="s">
        <v>2880</v>
      </c>
      <c r="NMJ1336" s="4" t="s">
        <v>2880</v>
      </c>
      <c r="NMK1336" s="4" t="s">
        <v>2880</v>
      </c>
      <c r="NML1336" s="4" t="s">
        <v>2880</v>
      </c>
      <c r="NMM1336" s="4" t="s">
        <v>2880</v>
      </c>
      <c r="NMN1336" s="4" t="s">
        <v>2880</v>
      </c>
      <c r="NMO1336" s="4" t="s">
        <v>2880</v>
      </c>
      <c r="NMP1336" s="4" t="s">
        <v>2880</v>
      </c>
      <c r="NMQ1336" s="4" t="s">
        <v>2880</v>
      </c>
      <c r="NMR1336" s="4" t="s">
        <v>2880</v>
      </c>
      <c r="NMS1336" s="4" t="s">
        <v>2880</v>
      </c>
      <c r="NMT1336" s="4" t="s">
        <v>2880</v>
      </c>
      <c r="NMU1336" s="4" t="s">
        <v>2880</v>
      </c>
      <c r="NMV1336" s="4" t="s">
        <v>2880</v>
      </c>
      <c r="NMW1336" s="4" t="s">
        <v>2880</v>
      </c>
      <c r="NMX1336" s="4" t="s">
        <v>2880</v>
      </c>
      <c r="NMY1336" s="4" t="s">
        <v>2880</v>
      </c>
      <c r="NMZ1336" s="4" t="s">
        <v>2880</v>
      </c>
      <c r="NNA1336" s="4" t="s">
        <v>2880</v>
      </c>
      <c r="NNB1336" s="4" t="s">
        <v>2880</v>
      </c>
      <c r="NNC1336" s="4" t="s">
        <v>2880</v>
      </c>
      <c r="NND1336" s="4" t="s">
        <v>2880</v>
      </c>
      <c r="NNE1336" s="4" t="s">
        <v>2880</v>
      </c>
      <c r="NNF1336" s="4" t="s">
        <v>2880</v>
      </c>
      <c r="NNG1336" s="4" t="s">
        <v>2880</v>
      </c>
      <c r="NNH1336" s="4" t="s">
        <v>2880</v>
      </c>
      <c r="NNI1336" s="4" t="s">
        <v>2880</v>
      </c>
      <c r="NNJ1336" s="4" t="s">
        <v>2880</v>
      </c>
      <c r="NNK1336" s="4" t="s">
        <v>2880</v>
      </c>
      <c r="NNL1336" s="4" t="s">
        <v>2880</v>
      </c>
      <c r="NNM1336" s="4" t="s">
        <v>2880</v>
      </c>
      <c r="NNN1336" s="4" t="s">
        <v>2880</v>
      </c>
      <c r="NNO1336" s="4" t="s">
        <v>2880</v>
      </c>
      <c r="NNP1336" s="4" t="s">
        <v>2880</v>
      </c>
      <c r="NNQ1336" s="4" t="s">
        <v>2880</v>
      </c>
      <c r="NNR1336" s="4" t="s">
        <v>2880</v>
      </c>
      <c r="NNS1336" s="4" t="s">
        <v>2880</v>
      </c>
      <c r="NNT1336" s="4" t="s">
        <v>2880</v>
      </c>
      <c r="NNU1336" s="4" t="s">
        <v>2880</v>
      </c>
      <c r="NNV1336" s="4" t="s">
        <v>2880</v>
      </c>
      <c r="NNW1336" s="4" t="s">
        <v>2880</v>
      </c>
      <c r="NNX1336" s="4" t="s">
        <v>2880</v>
      </c>
      <c r="NNY1336" s="4" t="s">
        <v>2880</v>
      </c>
      <c r="NNZ1336" s="4" t="s">
        <v>2880</v>
      </c>
      <c r="NOA1336" s="4" t="s">
        <v>2880</v>
      </c>
      <c r="NOB1336" s="4" t="s">
        <v>2880</v>
      </c>
      <c r="NOC1336" s="4" t="s">
        <v>2880</v>
      </c>
      <c r="NOD1336" s="4" t="s">
        <v>2880</v>
      </c>
      <c r="NOE1336" s="4" t="s">
        <v>2880</v>
      </c>
      <c r="NOF1336" s="4" t="s">
        <v>2880</v>
      </c>
      <c r="NOG1336" s="4" t="s">
        <v>2880</v>
      </c>
      <c r="NOH1336" s="4" t="s">
        <v>2880</v>
      </c>
      <c r="NOI1336" s="4" t="s">
        <v>2880</v>
      </c>
      <c r="NOJ1336" s="4" t="s">
        <v>2880</v>
      </c>
      <c r="NOK1336" s="4" t="s">
        <v>2880</v>
      </c>
      <c r="NOL1336" s="4" t="s">
        <v>2880</v>
      </c>
      <c r="NOM1336" s="4" t="s">
        <v>2880</v>
      </c>
      <c r="NON1336" s="4" t="s">
        <v>2880</v>
      </c>
      <c r="NOO1336" s="4" t="s">
        <v>2880</v>
      </c>
      <c r="NOP1336" s="4" t="s">
        <v>2880</v>
      </c>
      <c r="NOQ1336" s="4" t="s">
        <v>2880</v>
      </c>
      <c r="NOR1336" s="4" t="s">
        <v>2880</v>
      </c>
      <c r="NOS1336" s="4" t="s">
        <v>2880</v>
      </c>
      <c r="NOT1336" s="4" t="s">
        <v>2880</v>
      </c>
      <c r="NOU1336" s="4" t="s">
        <v>2880</v>
      </c>
      <c r="NOV1336" s="4" t="s">
        <v>2880</v>
      </c>
      <c r="NOW1336" s="4" t="s">
        <v>2880</v>
      </c>
      <c r="NOX1336" s="4" t="s">
        <v>2880</v>
      </c>
      <c r="NOY1336" s="4" t="s">
        <v>2880</v>
      </c>
      <c r="NOZ1336" s="4" t="s">
        <v>2880</v>
      </c>
      <c r="NPA1336" s="4" t="s">
        <v>2880</v>
      </c>
      <c r="NPB1336" s="4" t="s">
        <v>2880</v>
      </c>
      <c r="NPC1336" s="4" t="s">
        <v>2880</v>
      </c>
      <c r="NPD1336" s="4" t="s">
        <v>2880</v>
      </c>
      <c r="NPE1336" s="4" t="s">
        <v>2880</v>
      </c>
      <c r="NPF1336" s="4" t="s">
        <v>2880</v>
      </c>
      <c r="NPG1336" s="4" t="s">
        <v>2880</v>
      </c>
      <c r="NPH1336" s="4" t="s">
        <v>2880</v>
      </c>
      <c r="NPI1336" s="4" t="s">
        <v>2880</v>
      </c>
      <c r="NPJ1336" s="4" t="s">
        <v>2880</v>
      </c>
      <c r="NPK1336" s="4" t="s">
        <v>2880</v>
      </c>
      <c r="NPL1336" s="4" t="s">
        <v>2880</v>
      </c>
      <c r="NPM1336" s="4" t="s">
        <v>2880</v>
      </c>
      <c r="NPN1336" s="4" t="s">
        <v>2880</v>
      </c>
      <c r="NPO1336" s="4" t="s">
        <v>2880</v>
      </c>
      <c r="NPP1336" s="4" t="s">
        <v>2880</v>
      </c>
      <c r="NPQ1336" s="4" t="s">
        <v>2880</v>
      </c>
      <c r="NPR1336" s="4" t="s">
        <v>2880</v>
      </c>
      <c r="NPS1336" s="4" t="s">
        <v>2880</v>
      </c>
      <c r="NPT1336" s="4" t="s">
        <v>2880</v>
      </c>
      <c r="NPU1336" s="4" t="s">
        <v>2880</v>
      </c>
      <c r="NPV1336" s="4" t="s">
        <v>2880</v>
      </c>
      <c r="NPW1336" s="4" t="s">
        <v>2880</v>
      </c>
      <c r="NPX1336" s="4" t="s">
        <v>2880</v>
      </c>
      <c r="NPY1336" s="4" t="s">
        <v>2880</v>
      </c>
      <c r="NPZ1336" s="4" t="s">
        <v>2880</v>
      </c>
      <c r="NQA1336" s="4" t="s">
        <v>2880</v>
      </c>
      <c r="NQB1336" s="4" t="s">
        <v>2880</v>
      </c>
      <c r="NQC1336" s="4" t="s">
        <v>2880</v>
      </c>
      <c r="NQD1336" s="4" t="s">
        <v>2880</v>
      </c>
      <c r="NQE1336" s="4" t="s">
        <v>2880</v>
      </c>
      <c r="NQF1336" s="4" t="s">
        <v>2880</v>
      </c>
      <c r="NQG1336" s="4" t="s">
        <v>2880</v>
      </c>
      <c r="NQH1336" s="4" t="s">
        <v>2880</v>
      </c>
      <c r="NQI1336" s="4" t="s">
        <v>2880</v>
      </c>
      <c r="NQJ1336" s="4" t="s">
        <v>2880</v>
      </c>
      <c r="NQK1336" s="4" t="s">
        <v>2880</v>
      </c>
      <c r="NQL1336" s="4" t="s">
        <v>2880</v>
      </c>
      <c r="NQM1336" s="4" t="s">
        <v>2880</v>
      </c>
      <c r="NQN1336" s="4" t="s">
        <v>2880</v>
      </c>
      <c r="NQO1336" s="4" t="s">
        <v>2880</v>
      </c>
      <c r="NQP1336" s="4" t="s">
        <v>2880</v>
      </c>
      <c r="NQQ1336" s="4" t="s">
        <v>2880</v>
      </c>
      <c r="NQR1336" s="4" t="s">
        <v>2880</v>
      </c>
      <c r="NQS1336" s="4" t="s">
        <v>2880</v>
      </c>
      <c r="NQT1336" s="4" t="s">
        <v>2880</v>
      </c>
      <c r="NQU1336" s="4" t="s">
        <v>2880</v>
      </c>
      <c r="NQV1336" s="4" t="s">
        <v>2880</v>
      </c>
      <c r="NQW1336" s="4" t="s">
        <v>2880</v>
      </c>
      <c r="NQX1336" s="4" t="s">
        <v>2880</v>
      </c>
      <c r="NQY1336" s="4" t="s">
        <v>2880</v>
      </c>
      <c r="NQZ1336" s="4" t="s">
        <v>2880</v>
      </c>
      <c r="NRA1336" s="4" t="s">
        <v>2880</v>
      </c>
      <c r="NRB1336" s="4" t="s">
        <v>2880</v>
      </c>
      <c r="NRC1336" s="4" t="s">
        <v>2880</v>
      </c>
      <c r="NRD1336" s="4" t="s">
        <v>2880</v>
      </c>
      <c r="NRE1336" s="4" t="s">
        <v>2880</v>
      </c>
      <c r="NRF1336" s="4" t="s">
        <v>2880</v>
      </c>
      <c r="NRG1336" s="4" t="s">
        <v>2880</v>
      </c>
      <c r="NRH1336" s="4" t="s">
        <v>2880</v>
      </c>
      <c r="NRI1336" s="4" t="s">
        <v>2880</v>
      </c>
      <c r="NRJ1336" s="4" t="s">
        <v>2880</v>
      </c>
      <c r="NRK1336" s="4" t="s">
        <v>2880</v>
      </c>
      <c r="NRL1336" s="4" t="s">
        <v>2880</v>
      </c>
      <c r="NRM1336" s="4" t="s">
        <v>2880</v>
      </c>
      <c r="NRN1336" s="4" t="s">
        <v>2880</v>
      </c>
      <c r="NRO1336" s="4" t="s">
        <v>2880</v>
      </c>
      <c r="NRP1336" s="4" t="s">
        <v>2880</v>
      </c>
      <c r="NRQ1336" s="4" t="s">
        <v>2880</v>
      </c>
      <c r="NRR1336" s="4" t="s">
        <v>2880</v>
      </c>
      <c r="NRS1336" s="4" t="s">
        <v>2880</v>
      </c>
      <c r="NRT1336" s="4" t="s">
        <v>2880</v>
      </c>
      <c r="NRU1336" s="4" t="s">
        <v>2880</v>
      </c>
      <c r="NRV1336" s="4" t="s">
        <v>2880</v>
      </c>
      <c r="NRW1336" s="4" t="s">
        <v>2880</v>
      </c>
      <c r="NRX1336" s="4" t="s">
        <v>2880</v>
      </c>
      <c r="NRY1336" s="4" t="s">
        <v>2880</v>
      </c>
      <c r="NRZ1336" s="4" t="s">
        <v>2880</v>
      </c>
      <c r="NSA1336" s="4" t="s">
        <v>2880</v>
      </c>
      <c r="NSB1336" s="4" t="s">
        <v>2880</v>
      </c>
      <c r="NSC1336" s="4" t="s">
        <v>2880</v>
      </c>
      <c r="NSD1336" s="4" t="s">
        <v>2880</v>
      </c>
      <c r="NSE1336" s="4" t="s">
        <v>2880</v>
      </c>
      <c r="NSF1336" s="4" t="s">
        <v>2880</v>
      </c>
      <c r="NSG1336" s="4" t="s">
        <v>2880</v>
      </c>
      <c r="NSH1336" s="4" t="s">
        <v>2880</v>
      </c>
      <c r="NSI1336" s="4" t="s">
        <v>2880</v>
      </c>
      <c r="NSJ1336" s="4" t="s">
        <v>2880</v>
      </c>
      <c r="NSK1336" s="4" t="s">
        <v>2880</v>
      </c>
      <c r="NSL1336" s="4" t="s">
        <v>2880</v>
      </c>
      <c r="NSM1336" s="4" t="s">
        <v>2880</v>
      </c>
      <c r="NSN1336" s="4" t="s">
        <v>2880</v>
      </c>
      <c r="NSO1336" s="4" t="s">
        <v>2880</v>
      </c>
      <c r="NSP1336" s="4" t="s">
        <v>2880</v>
      </c>
      <c r="NSQ1336" s="4" t="s">
        <v>2880</v>
      </c>
      <c r="NSR1336" s="4" t="s">
        <v>2880</v>
      </c>
      <c r="NSS1336" s="4" t="s">
        <v>2880</v>
      </c>
      <c r="NST1336" s="4" t="s">
        <v>2880</v>
      </c>
      <c r="NSU1336" s="4" t="s">
        <v>2880</v>
      </c>
      <c r="NSV1336" s="4" t="s">
        <v>2880</v>
      </c>
      <c r="NSW1336" s="4" t="s">
        <v>2880</v>
      </c>
      <c r="NSX1336" s="4" t="s">
        <v>2880</v>
      </c>
      <c r="NSY1336" s="4" t="s">
        <v>2880</v>
      </c>
      <c r="NSZ1336" s="4" t="s">
        <v>2880</v>
      </c>
      <c r="NTA1336" s="4" t="s">
        <v>2880</v>
      </c>
      <c r="NTB1336" s="4" t="s">
        <v>2880</v>
      </c>
      <c r="NTC1336" s="4" t="s">
        <v>2880</v>
      </c>
      <c r="NTD1336" s="4" t="s">
        <v>2880</v>
      </c>
      <c r="NTE1336" s="4" t="s">
        <v>2880</v>
      </c>
      <c r="NTF1336" s="4" t="s">
        <v>2880</v>
      </c>
      <c r="NTG1336" s="4" t="s">
        <v>2880</v>
      </c>
      <c r="NTH1336" s="4" t="s">
        <v>2880</v>
      </c>
      <c r="NTI1336" s="4" t="s">
        <v>2880</v>
      </c>
      <c r="NTJ1336" s="4" t="s">
        <v>2880</v>
      </c>
      <c r="NTK1336" s="4" t="s">
        <v>2880</v>
      </c>
      <c r="NTL1336" s="4" t="s">
        <v>2880</v>
      </c>
      <c r="NTM1336" s="4" t="s">
        <v>2880</v>
      </c>
      <c r="NTN1336" s="4" t="s">
        <v>2880</v>
      </c>
      <c r="NTO1336" s="4" t="s">
        <v>2880</v>
      </c>
      <c r="NTP1336" s="4" t="s">
        <v>2880</v>
      </c>
      <c r="NTQ1336" s="4" t="s">
        <v>2880</v>
      </c>
      <c r="NTR1336" s="4" t="s">
        <v>2880</v>
      </c>
      <c r="NTS1336" s="4" t="s">
        <v>2880</v>
      </c>
      <c r="NTT1336" s="4" t="s">
        <v>2880</v>
      </c>
      <c r="NTU1336" s="4" t="s">
        <v>2880</v>
      </c>
      <c r="NTV1336" s="4" t="s">
        <v>2880</v>
      </c>
      <c r="NTW1336" s="4" t="s">
        <v>2880</v>
      </c>
      <c r="NTX1336" s="4" t="s">
        <v>2880</v>
      </c>
      <c r="NTY1336" s="4" t="s">
        <v>2880</v>
      </c>
      <c r="NTZ1336" s="4" t="s">
        <v>2880</v>
      </c>
      <c r="NUA1336" s="4" t="s">
        <v>2880</v>
      </c>
      <c r="NUB1336" s="4" t="s">
        <v>2880</v>
      </c>
      <c r="NUC1336" s="4" t="s">
        <v>2880</v>
      </c>
      <c r="NUD1336" s="4" t="s">
        <v>2880</v>
      </c>
      <c r="NUE1336" s="4" t="s">
        <v>2880</v>
      </c>
      <c r="NUF1336" s="4" t="s">
        <v>2880</v>
      </c>
      <c r="NUG1336" s="4" t="s">
        <v>2880</v>
      </c>
      <c r="NUH1336" s="4" t="s">
        <v>2880</v>
      </c>
      <c r="NUI1336" s="4" t="s">
        <v>2880</v>
      </c>
      <c r="NUJ1336" s="4" t="s">
        <v>2880</v>
      </c>
      <c r="NUK1336" s="4" t="s">
        <v>2880</v>
      </c>
      <c r="NUL1336" s="4" t="s">
        <v>2880</v>
      </c>
      <c r="NUM1336" s="4" t="s">
        <v>2880</v>
      </c>
      <c r="NUN1336" s="4" t="s">
        <v>2880</v>
      </c>
      <c r="NUO1336" s="4" t="s">
        <v>2880</v>
      </c>
      <c r="NUP1336" s="4" t="s">
        <v>2880</v>
      </c>
      <c r="NUQ1336" s="4" t="s">
        <v>2880</v>
      </c>
      <c r="NUR1336" s="4" t="s">
        <v>2880</v>
      </c>
      <c r="NUS1336" s="4" t="s">
        <v>2880</v>
      </c>
      <c r="NUT1336" s="4" t="s">
        <v>2880</v>
      </c>
      <c r="NUU1336" s="4" t="s">
        <v>2880</v>
      </c>
      <c r="NUV1336" s="4" t="s">
        <v>2880</v>
      </c>
      <c r="NUW1336" s="4" t="s">
        <v>2880</v>
      </c>
      <c r="NUX1336" s="4" t="s">
        <v>2880</v>
      </c>
      <c r="NUY1336" s="4" t="s">
        <v>2880</v>
      </c>
      <c r="NUZ1336" s="4" t="s">
        <v>2880</v>
      </c>
      <c r="NVA1336" s="4" t="s">
        <v>2880</v>
      </c>
      <c r="NVB1336" s="4" t="s">
        <v>2880</v>
      </c>
      <c r="NVC1336" s="4" t="s">
        <v>2880</v>
      </c>
      <c r="NVD1336" s="4" t="s">
        <v>2880</v>
      </c>
      <c r="NVE1336" s="4" t="s">
        <v>2880</v>
      </c>
      <c r="NVF1336" s="4" t="s">
        <v>2880</v>
      </c>
      <c r="NVG1336" s="4" t="s">
        <v>2880</v>
      </c>
      <c r="NVH1336" s="4" t="s">
        <v>2880</v>
      </c>
      <c r="NVI1336" s="4" t="s">
        <v>2880</v>
      </c>
      <c r="NVJ1336" s="4" t="s">
        <v>2880</v>
      </c>
      <c r="NVK1336" s="4" t="s">
        <v>2880</v>
      </c>
      <c r="NVL1336" s="4" t="s">
        <v>2880</v>
      </c>
      <c r="NVM1336" s="4" t="s">
        <v>2880</v>
      </c>
      <c r="NVN1336" s="4" t="s">
        <v>2880</v>
      </c>
      <c r="NVO1336" s="4" t="s">
        <v>2880</v>
      </c>
      <c r="NVP1336" s="4" t="s">
        <v>2880</v>
      </c>
      <c r="NVQ1336" s="4" t="s">
        <v>2880</v>
      </c>
      <c r="NVR1336" s="4" t="s">
        <v>2880</v>
      </c>
      <c r="NVS1336" s="4" t="s">
        <v>2880</v>
      </c>
      <c r="NVT1336" s="4" t="s">
        <v>2880</v>
      </c>
      <c r="NVU1336" s="4" t="s">
        <v>2880</v>
      </c>
      <c r="NVV1336" s="4" t="s">
        <v>2880</v>
      </c>
      <c r="NVW1336" s="4" t="s">
        <v>2880</v>
      </c>
      <c r="NVX1336" s="4" t="s">
        <v>2880</v>
      </c>
      <c r="NVY1336" s="4" t="s">
        <v>2880</v>
      </c>
      <c r="NVZ1336" s="4" t="s">
        <v>2880</v>
      </c>
      <c r="NWA1336" s="4" t="s">
        <v>2880</v>
      </c>
      <c r="NWB1336" s="4" t="s">
        <v>2880</v>
      </c>
      <c r="NWC1336" s="4" t="s">
        <v>2880</v>
      </c>
      <c r="NWD1336" s="4" t="s">
        <v>2880</v>
      </c>
      <c r="NWE1336" s="4" t="s">
        <v>2880</v>
      </c>
      <c r="NWF1336" s="4" t="s">
        <v>2880</v>
      </c>
      <c r="NWG1336" s="4" t="s">
        <v>2880</v>
      </c>
      <c r="NWH1336" s="4" t="s">
        <v>2880</v>
      </c>
      <c r="NWI1336" s="4" t="s">
        <v>2880</v>
      </c>
      <c r="NWJ1336" s="4" t="s">
        <v>2880</v>
      </c>
      <c r="NWK1336" s="4" t="s">
        <v>2880</v>
      </c>
      <c r="NWL1336" s="4" t="s">
        <v>2880</v>
      </c>
      <c r="NWM1336" s="4" t="s">
        <v>2880</v>
      </c>
      <c r="NWN1336" s="4" t="s">
        <v>2880</v>
      </c>
      <c r="NWO1336" s="4" t="s">
        <v>2880</v>
      </c>
      <c r="NWP1336" s="4" t="s">
        <v>2880</v>
      </c>
      <c r="NWQ1336" s="4" t="s">
        <v>2880</v>
      </c>
      <c r="NWR1336" s="4" t="s">
        <v>2880</v>
      </c>
      <c r="NWS1336" s="4" t="s">
        <v>2880</v>
      </c>
      <c r="NWT1336" s="4" t="s">
        <v>2880</v>
      </c>
      <c r="NWU1336" s="4" t="s">
        <v>2880</v>
      </c>
      <c r="NWV1336" s="4" t="s">
        <v>2880</v>
      </c>
      <c r="NWW1336" s="4" t="s">
        <v>2880</v>
      </c>
      <c r="NWX1336" s="4" t="s">
        <v>2880</v>
      </c>
      <c r="NWY1336" s="4" t="s">
        <v>2880</v>
      </c>
      <c r="NWZ1336" s="4" t="s">
        <v>2880</v>
      </c>
      <c r="NXA1336" s="4" t="s">
        <v>2880</v>
      </c>
      <c r="NXB1336" s="4" t="s">
        <v>2880</v>
      </c>
      <c r="NXC1336" s="4" t="s">
        <v>2880</v>
      </c>
      <c r="NXD1336" s="4" t="s">
        <v>2880</v>
      </c>
      <c r="NXE1336" s="4" t="s">
        <v>2880</v>
      </c>
      <c r="NXF1336" s="4" t="s">
        <v>2880</v>
      </c>
      <c r="NXG1336" s="4" t="s">
        <v>2880</v>
      </c>
      <c r="NXH1336" s="4" t="s">
        <v>2880</v>
      </c>
      <c r="NXI1336" s="4" t="s">
        <v>2880</v>
      </c>
      <c r="NXJ1336" s="4" t="s">
        <v>2880</v>
      </c>
      <c r="NXK1336" s="4" t="s">
        <v>2880</v>
      </c>
      <c r="NXL1336" s="4" t="s">
        <v>2880</v>
      </c>
      <c r="NXM1336" s="4" t="s">
        <v>2880</v>
      </c>
      <c r="NXN1336" s="4" t="s">
        <v>2880</v>
      </c>
      <c r="NXO1336" s="4" t="s">
        <v>2880</v>
      </c>
      <c r="NXP1336" s="4" t="s">
        <v>2880</v>
      </c>
      <c r="NXQ1336" s="4" t="s">
        <v>2880</v>
      </c>
      <c r="NXR1336" s="4" t="s">
        <v>2880</v>
      </c>
      <c r="NXS1336" s="4" t="s">
        <v>2880</v>
      </c>
      <c r="NXT1336" s="4" t="s">
        <v>2880</v>
      </c>
      <c r="NXU1336" s="4" t="s">
        <v>2880</v>
      </c>
      <c r="NXV1336" s="4" t="s">
        <v>2880</v>
      </c>
      <c r="NXW1336" s="4" t="s">
        <v>2880</v>
      </c>
      <c r="NXX1336" s="4" t="s">
        <v>2880</v>
      </c>
      <c r="NXY1336" s="4" t="s">
        <v>2880</v>
      </c>
      <c r="NXZ1336" s="4" t="s">
        <v>2880</v>
      </c>
      <c r="NYA1336" s="4" t="s">
        <v>2880</v>
      </c>
      <c r="NYB1336" s="4" t="s">
        <v>2880</v>
      </c>
      <c r="NYC1336" s="4" t="s">
        <v>2880</v>
      </c>
      <c r="NYD1336" s="4" t="s">
        <v>2880</v>
      </c>
      <c r="NYE1336" s="4" t="s">
        <v>2880</v>
      </c>
      <c r="NYF1336" s="4" t="s">
        <v>2880</v>
      </c>
      <c r="NYG1336" s="4" t="s">
        <v>2880</v>
      </c>
      <c r="NYH1336" s="4" t="s">
        <v>2880</v>
      </c>
      <c r="NYI1336" s="4" t="s">
        <v>2880</v>
      </c>
      <c r="NYJ1336" s="4" t="s">
        <v>2880</v>
      </c>
      <c r="NYK1336" s="4" t="s">
        <v>2880</v>
      </c>
      <c r="NYL1336" s="4" t="s">
        <v>2880</v>
      </c>
      <c r="NYM1336" s="4" t="s">
        <v>2880</v>
      </c>
      <c r="NYN1336" s="4" t="s">
        <v>2880</v>
      </c>
      <c r="NYO1336" s="4" t="s">
        <v>2880</v>
      </c>
      <c r="NYP1336" s="4" t="s">
        <v>2880</v>
      </c>
      <c r="NYQ1336" s="4" t="s">
        <v>2880</v>
      </c>
      <c r="NYR1336" s="4" t="s">
        <v>2880</v>
      </c>
      <c r="NYS1336" s="4" t="s">
        <v>2880</v>
      </c>
      <c r="NYT1336" s="4" t="s">
        <v>2880</v>
      </c>
      <c r="NYU1336" s="4" t="s">
        <v>2880</v>
      </c>
      <c r="NYV1336" s="4" t="s">
        <v>2880</v>
      </c>
      <c r="NYW1336" s="4" t="s">
        <v>2880</v>
      </c>
      <c r="NYX1336" s="4" t="s">
        <v>2880</v>
      </c>
      <c r="NYY1336" s="4" t="s">
        <v>2880</v>
      </c>
      <c r="NYZ1336" s="4" t="s">
        <v>2880</v>
      </c>
      <c r="NZA1336" s="4" t="s">
        <v>2880</v>
      </c>
      <c r="NZB1336" s="4" t="s">
        <v>2880</v>
      </c>
      <c r="NZC1336" s="4" t="s">
        <v>2880</v>
      </c>
      <c r="NZD1336" s="4" t="s">
        <v>2880</v>
      </c>
      <c r="NZE1336" s="4" t="s">
        <v>2880</v>
      </c>
      <c r="NZF1336" s="4" t="s">
        <v>2880</v>
      </c>
      <c r="NZG1336" s="4" t="s">
        <v>2880</v>
      </c>
      <c r="NZH1336" s="4" t="s">
        <v>2880</v>
      </c>
      <c r="NZI1336" s="4" t="s">
        <v>2880</v>
      </c>
      <c r="NZJ1336" s="4" t="s">
        <v>2880</v>
      </c>
      <c r="NZK1336" s="4" t="s">
        <v>2880</v>
      </c>
      <c r="NZL1336" s="4" t="s">
        <v>2880</v>
      </c>
      <c r="NZM1336" s="4" t="s">
        <v>2880</v>
      </c>
      <c r="NZN1336" s="4" t="s">
        <v>2880</v>
      </c>
      <c r="NZO1336" s="4" t="s">
        <v>2880</v>
      </c>
      <c r="NZP1336" s="4" t="s">
        <v>2880</v>
      </c>
      <c r="NZQ1336" s="4" t="s">
        <v>2880</v>
      </c>
      <c r="NZR1336" s="4" t="s">
        <v>2880</v>
      </c>
      <c r="NZS1336" s="4" t="s">
        <v>2880</v>
      </c>
      <c r="NZT1336" s="4" t="s">
        <v>2880</v>
      </c>
      <c r="NZU1336" s="4" t="s">
        <v>2880</v>
      </c>
      <c r="NZV1336" s="4" t="s">
        <v>2880</v>
      </c>
      <c r="NZW1336" s="4" t="s">
        <v>2880</v>
      </c>
      <c r="NZX1336" s="4" t="s">
        <v>2880</v>
      </c>
      <c r="NZY1336" s="4" t="s">
        <v>2880</v>
      </c>
      <c r="NZZ1336" s="4" t="s">
        <v>2880</v>
      </c>
      <c r="OAA1336" s="4" t="s">
        <v>2880</v>
      </c>
      <c r="OAB1336" s="4" t="s">
        <v>2880</v>
      </c>
      <c r="OAC1336" s="4" t="s">
        <v>2880</v>
      </c>
      <c r="OAD1336" s="4" t="s">
        <v>2880</v>
      </c>
      <c r="OAE1336" s="4" t="s">
        <v>2880</v>
      </c>
      <c r="OAF1336" s="4" t="s">
        <v>2880</v>
      </c>
      <c r="OAG1336" s="4" t="s">
        <v>2880</v>
      </c>
      <c r="OAH1336" s="4" t="s">
        <v>2880</v>
      </c>
      <c r="OAI1336" s="4" t="s">
        <v>2880</v>
      </c>
      <c r="OAJ1336" s="4" t="s">
        <v>2880</v>
      </c>
      <c r="OAK1336" s="4" t="s">
        <v>2880</v>
      </c>
      <c r="OAL1336" s="4" t="s">
        <v>2880</v>
      </c>
      <c r="OAM1336" s="4" t="s">
        <v>2880</v>
      </c>
      <c r="OAN1336" s="4" t="s">
        <v>2880</v>
      </c>
      <c r="OAO1336" s="4" t="s">
        <v>2880</v>
      </c>
      <c r="OAP1336" s="4" t="s">
        <v>2880</v>
      </c>
      <c r="OAQ1336" s="4" t="s">
        <v>2880</v>
      </c>
      <c r="OAR1336" s="4" t="s">
        <v>2880</v>
      </c>
      <c r="OAS1336" s="4" t="s">
        <v>2880</v>
      </c>
      <c r="OAT1336" s="4" t="s">
        <v>2880</v>
      </c>
      <c r="OAU1336" s="4" t="s">
        <v>2880</v>
      </c>
      <c r="OAV1336" s="4" t="s">
        <v>2880</v>
      </c>
      <c r="OAW1336" s="4" t="s">
        <v>2880</v>
      </c>
      <c r="OAX1336" s="4" t="s">
        <v>2880</v>
      </c>
      <c r="OAY1336" s="4" t="s">
        <v>2880</v>
      </c>
      <c r="OAZ1336" s="4" t="s">
        <v>2880</v>
      </c>
      <c r="OBA1336" s="4" t="s">
        <v>2880</v>
      </c>
      <c r="OBB1336" s="4" t="s">
        <v>2880</v>
      </c>
      <c r="OBC1336" s="4" t="s">
        <v>2880</v>
      </c>
      <c r="OBD1336" s="4" t="s">
        <v>2880</v>
      </c>
      <c r="OBE1336" s="4" t="s">
        <v>2880</v>
      </c>
      <c r="OBF1336" s="4" t="s">
        <v>2880</v>
      </c>
      <c r="OBG1336" s="4" t="s">
        <v>2880</v>
      </c>
      <c r="OBH1336" s="4" t="s">
        <v>2880</v>
      </c>
      <c r="OBI1336" s="4" t="s">
        <v>2880</v>
      </c>
      <c r="OBJ1336" s="4" t="s">
        <v>2880</v>
      </c>
      <c r="OBK1336" s="4" t="s">
        <v>2880</v>
      </c>
      <c r="OBL1336" s="4" t="s">
        <v>2880</v>
      </c>
      <c r="OBM1336" s="4" t="s">
        <v>2880</v>
      </c>
      <c r="OBN1336" s="4" t="s">
        <v>2880</v>
      </c>
      <c r="OBO1336" s="4" t="s">
        <v>2880</v>
      </c>
      <c r="OBP1336" s="4" t="s">
        <v>2880</v>
      </c>
      <c r="OBQ1336" s="4" t="s">
        <v>2880</v>
      </c>
      <c r="OBR1336" s="4" t="s">
        <v>2880</v>
      </c>
      <c r="OBS1336" s="4" t="s">
        <v>2880</v>
      </c>
      <c r="OBT1336" s="4" t="s">
        <v>2880</v>
      </c>
      <c r="OBU1336" s="4" t="s">
        <v>2880</v>
      </c>
      <c r="OBV1336" s="4" t="s">
        <v>2880</v>
      </c>
      <c r="OBW1336" s="4" t="s">
        <v>2880</v>
      </c>
      <c r="OBX1336" s="4" t="s">
        <v>2880</v>
      </c>
      <c r="OBY1336" s="4" t="s">
        <v>2880</v>
      </c>
      <c r="OBZ1336" s="4" t="s">
        <v>2880</v>
      </c>
      <c r="OCA1336" s="4" t="s">
        <v>2880</v>
      </c>
      <c r="OCB1336" s="4" t="s">
        <v>2880</v>
      </c>
      <c r="OCC1336" s="4" t="s">
        <v>2880</v>
      </c>
      <c r="OCD1336" s="4" t="s">
        <v>2880</v>
      </c>
      <c r="OCE1336" s="4" t="s">
        <v>2880</v>
      </c>
      <c r="OCF1336" s="4" t="s">
        <v>2880</v>
      </c>
      <c r="OCG1336" s="4" t="s">
        <v>2880</v>
      </c>
      <c r="OCH1336" s="4" t="s">
        <v>2880</v>
      </c>
      <c r="OCI1336" s="4" t="s">
        <v>2880</v>
      </c>
      <c r="OCJ1336" s="4" t="s">
        <v>2880</v>
      </c>
      <c r="OCK1336" s="4" t="s">
        <v>2880</v>
      </c>
      <c r="OCL1336" s="4" t="s">
        <v>2880</v>
      </c>
      <c r="OCM1336" s="4" t="s">
        <v>2880</v>
      </c>
      <c r="OCN1336" s="4" t="s">
        <v>2880</v>
      </c>
      <c r="OCO1336" s="4" t="s">
        <v>2880</v>
      </c>
      <c r="OCP1336" s="4" t="s">
        <v>2880</v>
      </c>
      <c r="OCQ1336" s="4" t="s">
        <v>2880</v>
      </c>
      <c r="OCR1336" s="4" t="s">
        <v>2880</v>
      </c>
      <c r="OCS1336" s="4" t="s">
        <v>2880</v>
      </c>
      <c r="OCT1336" s="4" t="s">
        <v>2880</v>
      </c>
      <c r="OCU1336" s="4" t="s">
        <v>2880</v>
      </c>
      <c r="OCV1336" s="4" t="s">
        <v>2880</v>
      </c>
      <c r="OCW1336" s="4" t="s">
        <v>2880</v>
      </c>
      <c r="OCX1336" s="4" t="s">
        <v>2880</v>
      </c>
      <c r="OCY1336" s="4" t="s">
        <v>2880</v>
      </c>
      <c r="OCZ1336" s="4" t="s">
        <v>2880</v>
      </c>
      <c r="ODA1336" s="4" t="s">
        <v>2880</v>
      </c>
      <c r="ODB1336" s="4" t="s">
        <v>2880</v>
      </c>
      <c r="ODC1336" s="4" t="s">
        <v>2880</v>
      </c>
      <c r="ODD1336" s="4" t="s">
        <v>2880</v>
      </c>
      <c r="ODE1336" s="4" t="s">
        <v>2880</v>
      </c>
      <c r="ODF1336" s="4" t="s">
        <v>2880</v>
      </c>
      <c r="ODG1336" s="4" t="s">
        <v>2880</v>
      </c>
      <c r="ODH1336" s="4" t="s">
        <v>2880</v>
      </c>
      <c r="ODI1336" s="4" t="s">
        <v>2880</v>
      </c>
      <c r="ODJ1336" s="4" t="s">
        <v>2880</v>
      </c>
      <c r="ODK1336" s="4" t="s">
        <v>2880</v>
      </c>
      <c r="ODL1336" s="4" t="s">
        <v>2880</v>
      </c>
      <c r="ODM1336" s="4" t="s">
        <v>2880</v>
      </c>
      <c r="ODN1336" s="4" t="s">
        <v>2880</v>
      </c>
      <c r="ODO1336" s="4" t="s">
        <v>2880</v>
      </c>
      <c r="ODP1336" s="4" t="s">
        <v>2880</v>
      </c>
      <c r="ODQ1336" s="4" t="s">
        <v>2880</v>
      </c>
      <c r="ODR1336" s="4" t="s">
        <v>2880</v>
      </c>
      <c r="ODS1336" s="4" t="s">
        <v>2880</v>
      </c>
      <c r="ODT1336" s="4" t="s">
        <v>2880</v>
      </c>
      <c r="ODU1336" s="4" t="s">
        <v>2880</v>
      </c>
      <c r="ODV1336" s="4" t="s">
        <v>2880</v>
      </c>
      <c r="ODW1336" s="4" t="s">
        <v>2880</v>
      </c>
      <c r="ODX1336" s="4" t="s">
        <v>2880</v>
      </c>
      <c r="ODY1336" s="4" t="s">
        <v>2880</v>
      </c>
      <c r="ODZ1336" s="4" t="s">
        <v>2880</v>
      </c>
      <c r="OEA1336" s="4" t="s">
        <v>2880</v>
      </c>
      <c r="OEB1336" s="4" t="s">
        <v>2880</v>
      </c>
      <c r="OEC1336" s="4" t="s">
        <v>2880</v>
      </c>
      <c r="OED1336" s="4" t="s">
        <v>2880</v>
      </c>
      <c r="OEE1336" s="4" t="s">
        <v>2880</v>
      </c>
      <c r="OEF1336" s="4" t="s">
        <v>2880</v>
      </c>
      <c r="OEG1336" s="4" t="s">
        <v>2880</v>
      </c>
      <c r="OEH1336" s="4" t="s">
        <v>2880</v>
      </c>
      <c r="OEI1336" s="4" t="s">
        <v>2880</v>
      </c>
      <c r="OEJ1336" s="4" t="s">
        <v>2880</v>
      </c>
      <c r="OEK1336" s="4" t="s">
        <v>2880</v>
      </c>
      <c r="OEL1336" s="4" t="s">
        <v>2880</v>
      </c>
      <c r="OEM1336" s="4" t="s">
        <v>2880</v>
      </c>
      <c r="OEN1336" s="4" t="s">
        <v>2880</v>
      </c>
      <c r="OEO1336" s="4" t="s">
        <v>2880</v>
      </c>
      <c r="OEP1336" s="4" t="s">
        <v>2880</v>
      </c>
      <c r="OEQ1336" s="4" t="s">
        <v>2880</v>
      </c>
      <c r="OER1336" s="4" t="s">
        <v>2880</v>
      </c>
      <c r="OES1336" s="4" t="s">
        <v>2880</v>
      </c>
      <c r="OET1336" s="4" t="s">
        <v>2880</v>
      </c>
      <c r="OEU1336" s="4" t="s">
        <v>2880</v>
      </c>
      <c r="OEV1336" s="4" t="s">
        <v>2880</v>
      </c>
      <c r="OEW1336" s="4" t="s">
        <v>2880</v>
      </c>
      <c r="OEX1336" s="4" t="s">
        <v>2880</v>
      </c>
      <c r="OEY1336" s="4" t="s">
        <v>2880</v>
      </c>
      <c r="OEZ1336" s="4" t="s">
        <v>2880</v>
      </c>
      <c r="OFA1336" s="4" t="s">
        <v>2880</v>
      </c>
      <c r="OFB1336" s="4" t="s">
        <v>2880</v>
      </c>
      <c r="OFC1336" s="4" t="s">
        <v>2880</v>
      </c>
      <c r="OFD1336" s="4" t="s">
        <v>2880</v>
      </c>
      <c r="OFE1336" s="4" t="s">
        <v>2880</v>
      </c>
      <c r="OFF1336" s="4" t="s">
        <v>2880</v>
      </c>
      <c r="OFG1336" s="4" t="s">
        <v>2880</v>
      </c>
      <c r="OFH1336" s="4" t="s">
        <v>2880</v>
      </c>
      <c r="OFI1336" s="4" t="s">
        <v>2880</v>
      </c>
      <c r="OFJ1336" s="4" t="s">
        <v>2880</v>
      </c>
      <c r="OFK1336" s="4" t="s">
        <v>2880</v>
      </c>
      <c r="OFL1336" s="4" t="s">
        <v>2880</v>
      </c>
      <c r="OFM1336" s="4" t="s">
        <v>2880</v>
      </c>
      <c r="OFN1336" s="4" t="s">
        <v>2880</v>
      </c>
      <c r="OFO1336" s="4" t="s">
        <v>2880</v>
      </c>
      <c r="OFP1336" s="4" t="s">
        <v>2880</v>
      </c>
      <c r="OFQ1336" s="4" t="s">
        <v>2880</v>
      </c>
      <c r="OFR1336" s="4" t="s">
        <v>2880</v>
      </c>
      <c r="OFS1336" s="4" t="s">
        <v>2880</v>
      </c>
      <c r="OFT1336" s="4" t="s">
        <v>2880</v>
      </c>
      <c r="OFU1336" s="4" t="s">
        <v>2880</v>
      </c>
      <c r="OFV1336" s="4" t="s">
        <v>2880</v>
      </c>
      <c r="OFW1336" s="4" t="s">
        <v>2880</v>
      </c>
      <c r="OFX1336" s="4" t="s">
        <v>2880</v>
      </c>
      <c r="OFY1336" s="4" t="s">
        <v>2880</v>
      </c>
      <c r="OFZ1336" s="4" t="s">
        <v>2880</v>
      </c>
      <c r="OGA1336" s="4" t="s">
        <v>2880</v>
      </c>
      <c r="OGB1336" s="4" t="s">
        <v>2880</v>
      </c>
      <c r="OGC1336" s="4" t="s">
        <v>2880</v>
      </c>
      <c r="OGD1336" s="4" t="s">
        <v>2880</v>
      </c>
      <c r="OGE1336" s="4" t="s">
        <v>2880</v>
      </c>
      <c r="OGF1336" s="4" t="s">
        <v>2880</v>
      </c>
      <c r="OGG1336" s="4" t="s">
        <v>2880</v>
      </c>
      <c r="OGH1336" s="4" t="s">
        <v>2880</v>
      </c>
      <c r="OGI1336" s="4" t="s">
        <v>2880</v>
      </c>
      <c r="OGJ1336" s="4" t="s">
        <v>2880</v>
      </c>
      <c r="OGK1336" s="4" t="s">
        <v>2880</v>
      </c>
      <c r="OGL1336" s="4" t="s">
        <v>2880</v>
      </c>
      <c r="OGM1336" s="4" t="s">
        <v>2880</v>
      </c>
      <c r="OGN1336" s="4" t="s">
        <v>2880</v>
      </c>
      <c r="OGO1336" s="4" t="s">
        <v>2880</v>
      </c>
      <c r="OGP1336" s="4" t="s">
        <v>2880</v>
      </c>
      <c r="OGQ1336" s="4" t="s">
        <v>2880</v>
      </c>
      <c r="OGR1336" s="4" t="s">
        <v>2880</v>
      </c>
      <c r="OGS1336" s="4" t="s">
        <v>2880</v>
      </c>
      <c r="OGT1336" s="4" t="s">
        <v>2880</v>
      </c>
      <c r="OGU1336" s="4" t="s">
        <v>2880</v>
      </c>
      <c r="OGV1336" s="4" t="s">
        <v>2880</v>
      </c>
      <c r="OGW1336" s="4" t="s">
        <v>2880</v>
      </c>
      <c r="OGX1336" s="4" t="s">
        <v>2880</v>
      </c>
      <c r="OGY1336" s="4" t="s">
        <v>2880</v>
      </c>
      <c r="OGZ1336" s="4" t="s">
        <v>2880</v>
      </c>
      <c r="OHA1336" s="4" t="s">
        <v>2880</v>
      </c>
      <c r="OHB1336" s="4" t="s">
        <v>2880</v>
      </c>
      <c r="OHC1336" s="4" t="s">
        <v>2880</v>
      </c>
      <c r="OHD1336" s="4" t="s">
        <v>2880</v>
      </c>
      <c r="OHE1336" s="4" t="s">
        <v>2880</v>
      </c>
      <c r="OHF1336" s="4" t="s">
        <v>2880</v>
      </c>
      <c r="OHG1336" s="4" t="s">
        <v>2880</v>
      </c>
      <c r="OHH1336" s="4" t="s">
        <v>2880</v>
      </c>
      <c r="OHI1336" s="4" t="s">
        <v>2880</v>
      </c>
      <c r="OHJ1336" s="4" t="s">
        <v>2880</v>
      </c>
      <c r="OHK1336" s="4" t="s">
        <v>2880</v>
      </c>
      <c r="OHL1336" s="4" t="s">
        <v>2880</v>
      </c>
      <c r="OHM1336" s="4" t="s">
        <v>2880</v>
      </c>
      <c r="OHN1336" s="4" t="s">
        <v>2880</v>
      </c>
      <c r="OHO1336" s="4" t="s">
        <v>2880</v>
      </c>
      <c r="OHP1336" s="4" t="s">
        <v>2880</v>
      </c>
      <c r="OHQ1336" s="4" t="s">
        <v>2880</v>
      </c>
      <c r="OHR1336" s="4" t="s">
        <v>2880</v>
      </c>
      <c r="OHS1336" s="4" t="s">
        <v>2880</v>
      </c>
      <c r="OHT1336" s="4" t="s">
        <v>2880</v>
      </c>
      <c r="OHU1336" s="4" t="s">
        <v>2880</v>
      </c>
      <c r="OHV1336" s="4" t="s">
        <v>2880</v>
      </c>
      <c r="OHW1336" s="4" t="s">
        <v>2880</v>
      </c>
      <c r="OHX1336" s="4" t="s">
        <v>2880</v>
      </c>
      <c r="OHY1336" s="4" t="s">
        <v>2880</v>
      </c>
      <c r="OHZ1336" s="4" t="s">
        <v>2880</v>
      </c>
      <c r="OIA1336" s="4" t="s">
        <v>2880</v>
      </c>
      <c r="OIB1336" s="4" t="s">
        <v>2880</v>
      </c>
      <c r="OIC1336" s="4" t="s">
        <v>2880</v>
      </c>
      <c r="OID1336" s="4" t="s">
        <v>2880</v>
      </c>
      <c r="OIE1336" s="4" t="s">
        <v>2880</v>
      </c>
      <c r="OIF1336" s="4" t="s">
        <v>2880</v>
      </c>
      <c r="OIG1336" s="4" t="s">
        <v>2880</v>
      </c>
      <c r="OIH1336" s="4" t="s">
        <v>2880</v>
      </c>
      <c r="OII1336" s="4" t="s">
        <v>2880</v>
      </c>
      <c r="OIJ1336" s="4" t="s">
        <v>2880</v>
      </c>
      <c r="OIK1336" s="4" t="s">
        <v>2880</v>
      </c>
      <c r="OIL1336" s="4" t="s">
        <v>2880</v>
      </c>
      <c r="OIM1336" s="4" t="s">
        <v>2880</v>
      </c>
      <c r="OIN1336" s="4" t="s">
        <v>2880</v>
      </c>
      <c r="OIO1336" s="4" t="s">
        <v>2880</v>
      </c>
      <c r="OIP1336" s="4" t="s">
        <v>2880</v>
      </c>
      <c r="OIQ1336" s="4" t="s">
        <v>2880</v>
      </c>
      <c r="OIR1336" s="4" t="s">
        <v>2880</v>
      </c>
      <c r="OIS1336" s="4" t="s">
        <v>2880</v>
      </c>
      <c r="OIT1336" s="4" t="s">
        <v>2880</v>
      </c>
      <c r="OIU1336" s="4" t="s">
        <v>2880</v>
      </c>
      <c r="OIV1336" s="4" t="s">
        <v>2880</v>
      </c>
      <c r="OIW1336" s="4" t="s">
        <v>2880</v>
      </c>
      <c r="OIX1336" s="4" t="s">
        <v>2880</v>
      </c>
      <c r="OIY1336" s="4" t="s">
        <v>2880</v>
      </c>
      <c r="OIZ1336" s="4" t="s">
        <v>2880</v>
      </c>
      <c r="OJA1336" s="4" t="s">
        <v>2880</v>
      </c>
      <c r="OJB1336" s="4" t="s">
        <v>2880</v>
      </c>
      <c r="OJC1336" s="4" t="s">
        <v>2880</v>
      </c>
      <c r="OJD1336" s="4" t="s">
        <v>2880</v>
      </c>
      <c r="OJE1336" s="4" t="s">
        <v>2880</v>
      </c>
      <c r="OJF1336" s="4" t="s">
        <v>2880</v>
      </c>
      <c r="OJG1336" s="4" t="s">
        <v>2880</v>
      </c>
      <c r="OJH1336" s="4" t="s">
        <v>2880</v>
      </c>
      <c r="OJI1336" s="4" t="s">
        <v>2880</v>
      </c>
      <c r="OJJ1336" s="4" t="s">
        <v>2880</v>
      </c>
      <c r="OJK1336" s="4" t="s">
        <v>2880</v>
      </c>
      <c r="OJL1336" s="4" t="s">
        <v>2880</v>
      </c>
      <c r="OJM1336" s="4" t="s">
        <v>2880</v>
      </c>
      <c r="OJN1336" s="4" t="s">
        <v>2880</v>
      </c>
      <c r="OJO1336" s="4" t="s">
        <v>2880</v>
      </c>
      <c r="OJP1336" s="4" t="s">
        <v>2880</v>
      </c>
      <c r="OJQ1336" s="4" t="s">
        <v>2880</v>
      </c>
      <c r="OJR1336" s="4" t="s">
        <v>2880</v>
      </c>
      <c r="OJS1336" s="4" t="s">
        <v>2880</v>
      </c>
      <c r="OJT1336" s="4" t="s">
        <v>2880</v>
      </c>
      <c r="OJU1336" s="4" t="s">
        <v>2880</v>
      </c>
      <c r="OJV1336" s="4" t="s">
        <v>2880</v>
      </c>
      <c r="OJW1336" s="4" t="s">
        <v>2880</v>
      </c>
      <c r="OJX1336" s="4" t="s">
        <v>2880</v>
      </c>
      <c r="OJY1336" s="4" t="s">
        <v>2880</v>
      </c>
      <c r="OJZ1336" s="4" t="s">
        <v>2880</v>
      </c>
      <c r="OKA1336" s="4" t="s">
        <v>2880</v>
      </c>
      <c r="OKB1336" s="4" t="s">
        <v>2880</v>
      </c>
      <c r="OKC1336" s="4" t="s">
        <v>2880</v>
      </c>
      <c r="OKD1336" s="4" t="s">
        <v>2880</v>
      </c>
      <c r="OKE1336" s="4" t="s">
        <v>2880</v>
      </c>
      <c r="OKF1336" s="4" t="s">
        <v>2880</v>
      </c>
      <c r="OKG1336" s="4" t="s">
        <v>2880</v>
      </c>
      <c r="OKH1336" s="4" t="s">
        <v>2880</v>
      </c>
      <c r="OKI1336" s="4" t="s">
        <v>2880</v>
      </c>
      <c r="OKJ1336" s="4" t="s">
        <v>2880</v>
      </c>
      <c r="OKK1336" s="4" t="s">
        <v>2880</v>
      </c>
      <c r="OKL1336" s="4" t="s">
        <v>2880</v>
      </c>
      <c r="OKM1336" s="4" t="s">
        <v>2880</v>
      </c>
      <c r="OKN1336" s="4" t="s">
        <v>2880</v>
      </c>
      <c r="OKO1336" s="4" t="s">
        <v>2880</v>
      </c>
      <c r="OKP1336" s="4" t="s">
        <v>2880</v>
      </c>
      <c r="OKQ1336" s="4" t="s">
        <v>2880</v>
      </c>
      <c r="OKR1336" s="4" t="s">
        <v>2880</v>
      </c>
      <c r="OKS1336" s="4" t="s">
        <v>2880</v>
      </c>
      <c r="OKT1336" s="4" t="s">
        <v>2880</v>
      </c>
      <c r="OKU1336" s="4" t="s">
        <v>2880</v>
      </c>
      <c r="OKV1336" s="4" t="s">
        <v>2880</v>
      </c>
      <c r="OKW1336" s="4" t="s">
        <v>2880</v>
      </c>
      <c r="OKX1336" s="4" t="s">
        <v>2880</v>
      </c>
      <c r="OKY1336" s="4" t="s">
        <v>2880</v>
      </c>
      <c r="OKZ1336" s="4" t="s">
        <v>2880</v>
      </c>
      <c r="OLA1336" s="4" t="s">
        <v>2880</v>
      </c>
      <c r="OLB1336" s="4" t="s">
        <v>2880</v>
      </c>
      <c r="OLC1336" s="4" t="s">
        <v>2880</v>
      </c>
      <c r="OLD1336" s="4" t="s">
        <v>2880</v>
      </c>
      <c r="OLE1336" s="4" t="s">
        <v>2880</v>
      </c>
      <c r="OLF1336" s="4" t="s">
        <v>2880</v>
      </c>
      <c r="OLG1336" s="4" t="s">
        <v>2880</v>
      </c>
      <c r="OLH1336" s="4" t="s">
        <v>2880</v>
      </c>
      <c r="OLI1336" s="4" t="s">
        <v>2880</v>
      </c>
      <c r="OLJ1336" s="4" t="s">
        <v>2880</v>
      </c>
      <c r="OLK1336" s="4" t="s">
        <v>2880</v>
      </c>
      <c r="OLL1336" s="4" t="s">
        <v>2880</v>
      </c>
      <c r="OLM1336" s="4" t="s">
        <v>2880</v>
      </c>
      <c r="OLN1336" s="4" t="s">
        <v>2880</v>
      </c>
      <c r="OLO1336" s="4" t="s">
        <v>2880</v>
      </c>
      <c r="OLP1336" s="4" t="s">
        <v>2880</v>
      </c>
      <c r="OLQ1336" s="4" t="s">
        <v>2880</v>
      </c>
      <c r="OLR1336" s="4" t="s">
        <v>2880</v>
      </c>
      <c r="OLS1336" s="4" t="s">
        <v>2880</v>
      </c>
      <c r="OLT1336" s="4" t="s">
        <v>2880</v>
      </c>
      <c r="OLU1336" s="4" t="s">
        <v>2880</v>
      </c>
      <c r="OLV1336" s="4" t="s">
        <v>2880</v>
      </c>
      <c r="OLW1336" s="4" t="s">
        <v>2880</v>
      </c>
      <c r="OLX1336" s="4" t="s">
        <v>2880</v>
      </c>
      <c r="OLY1336" s="4" t="s">
        <v>2880</v>
      </c>
      <c r="OLZ1336" s="4" t="s">
        <v>2880</v>
      </c>
      <c r="OMA1336" s="4" t="s">
        <v>2880</v>
      </c>
      <c r="OMB1336" s="4" t="s">
        <v>2880</v>
      </c>
      <c r="OMC1336" s="4" t="s">
        <v>2880</v>
      </c>
      <c r="OMD1336" s="4" t="s">
        <v>2880</v>
      </c>
      <c r="OME1336" s="4" t="s">
        <v>2880</v>
      </c>
      <c r="OMF1336" s="4" t="s">
        <v>2880</v>
      </c>
      <c r="OMG1336" s="4" t="s">
        <v>2880</v>
      </c>
      <c r="OMH1336" s="4" t="s">
        <v>2880</v>
      </c>
      <c r="OMI1336" s="4" t="s">
        <v>2880</v>
      </c>
      <c r="OMJ1336" s="4" t="s">
        <v>2880</v>
      </c>
      <c r="OMK1336" s="4" t="s">
        <v>2880</v>
      </c>
      <c r="OML1336" s="4" t="s">
        <v>2880</v>
      </c>
      <c r="OMM1336" s="4" t="s">
        <v>2880</v>
      </c>
      <c r="OMN1336" s="4" t="s">
        <v>2880</v>
      </c>
      <c r="OMO1336" s="4" t="s">
        <v>2880</v>
      </c>
      <c r="OMP1336" s="4" t="s">
        <v>2880</v>
      </c>
      <c r="OMQ1336" s="4" t="s">
        <v>2880</v>
      </c>
      <c r="OMR1336" s="4" t="s">
        <v>2880</v>
      </c>
      <c r="OMS1336" s="4" t="s">
        <v>2880</v>
      </c>
      <c r="OMT1336" s="4" t="s">
        <v>2880</v>
      </c>
      <c r="OMU1336" s="4" t="s">
        <v>2880</v>
      </c>
      <c r="OMV1336" s="4" t="s">
        <v>2880</v>
      </c>
      <c r="OMW1336" s="4" t="s">
        <v>2880</v>
      </c>
      <c r="OMX1336" s="4" t="s">
        <v>2880</v>
      </c>
      <c r="OMY1336" s="4" t="s">
        <v>2880</v>
      </c>
      <c r="OMZ1336" s="4" t="s">
        <v>2880</v>
      </c>
      <c r="ONA1336" s="4" t="s">
        <v>2880</v>
      </c>
      <c r="ONB1336" s="4" t="s">
        <v>2880</v>
      </c>
      <c r="ONC1336" s="4" t="s">
        <v>2880</v>
      </c>
      <c r="OND1336" s="4" t="s">
        <v>2880</v>
      </c>
      <c r="ONE1336" s="4" t="s">
        <v>2880</v>
      </c>
      <c r="ONF1336" s="4" t="s">
        <v>2880</v>
      </c>
      <c r="ONG1336" s="4" t="s">
        <v>2880</v>
      </c>
      <c r="ONH1336" s="4" t="s">
        <v>2880</v>
      </c>
      <c r="ONI1336" s="4" t="s">
        <v>2880</v>
      </c>
      <c r="ONJ1336" s="4" t="s">
        <v>2880</v>
      </c>
      <c r="ONK1336" s="4" t="s">
        <v>2880</v>
      </c>
      <c r="ONL1336" s="4" t="s">
        <v>2880</v>
      </c>
      <c r="ONM1336" s="4" t="s">
        <v>2880</v>
      </c>
      <c r="ONN1336" s="4" t="s">
        <v>2880</v>
      </c>
      <c r="ONO1336" s="4" t="s">
        <v>2880</v>
      </c>
      <c r="ONP1336" s="4" t="s">
        <v>2880</v>
      </c>
      <c r="ONQ1336" s="4" t="s">
        <v>2880</v>
      </c>
      <c r="ONR1336" s="4" t="s">
        <v>2880</v>
      </c>
      <c r="ONS1336" s="4" t="s">
        <v>2880</v>
      </c>
      <c r="ONT1336" s="4" t="s">
        <v>2880</v>
      </c>
      <c r="ONU1336" s="4" t="s">
        <v>2880</v>
      </c>
      <c r="ONV1336" s="4" t="s">
        <v>2880</v>
      </c>
      <c r="ONW1336" s="4" t="s">
        <v>2880</v>
      </c>
      <c r="ONX1336" s="4" t="s">
        <v>2880</v>
      </c>
      <c r="ONY1336" s="4" t="s">
        <v>2880</v>
      </c>
      <c r="ONZ1336" s="4" t="s">
        <v>2880</v>
      </c>
      <c r="OOA1336" s="4" t="s">
        <v>2880</v>
      </c>
      <c r="OOB1336" s="4" t="s">
        <v>2880</v>
      </c>
      <c r="OOC1336" s="4" t="s">
        <v>2880</v>
      </c>
      <c r="OOD1336" s="4" t="s">
        <v>2880</v>
      </c>
      <c r="OOE1336" s="4" t="s">
        <v>2880</v>
      </c>
      <c r="OOF1336" s="4" t="s">
        <v>2880</v>
      </c>
      <c r="OOG1336" s="4" t="s">
        <v>2880</v>
      </c>
      <c r="OOH1336" s="4" t="s">
        <v>2880</v>
      </c>
      <c r="OOI1336" s="4" t="s">
        <v>2880</v>
      </c>
      <c r="OOJ1336" s="4" t="s">
        <v>2880</v>
      </c>
      <c r="OOK1336" s="4" t="s">
        <v>2880</v>
      </c>
      <c r="OOL1336" s="4" t="s">
        <v>2880</v>
      </c>
      <c r="OOM1336" s="4" t="s">
        <v>2880</v>
      </c>
      <c r="OON1336" s="4" t="s">
        <v>2880</v>
      </c>
      <c r="OOO1336" s="4" t="s">
        <v>2880</v>
      </c>
      <c r="OOP1336" s="4" t="s">
        <v>2880</v>
      </c>
      <c r="OOQ1336" s="4" t="s">
        <v>2880</v>
      </c>
      <c r="OOR1336" s="4" t="s">
        <v>2880</v>
      </c>
      <c r="OOS1336" s="4" t="s">
        <v>2880</v>
      </c>
      <c r="OOT1336" s="4" t="s">
        <v>2880</v>
      </c>
      <c r="OOU1336" s="4" t="s">
        <v>2880</v>
      </c>
      <c r="OOV1336" s="4" t="s">
        <v>2880</v>
      </c>
      <c r="OOW1336" s="4" t="s">
        <v>2880</v>
      </c>
      <c r="OOX1336" s="4" t="s">
        <v>2880</v>
      </c>
      <c r="OOY1336" s="4" t="s">
        <v>2880</v>
      </c>
      <c r="OOZ1336" s="4" t="s">
        <v>2880</v>
      </c>
      <c r="OPA1336" s="4" t="s">
        <v>2880</v>
      </c>
      <c r="OPB1336" s="4" t="s">
        <v>2880</v>
      </c>
      <c r="OPC1336" s="4" t="s">
        <v>2880</v>
      </c>
      <c r="OPD1336" s="4" t="s">
        <v>2880</v>
      </c>
      <c r="OPE1336" s="4" t="s">
        <v>2880</v>
      </c>
      <c r="OPF1336" s="4" t="s">
        <v>2880</v>
      </c>
      <c r="OPG1336" s="4" t="s">
        <v>2880</v>
      </c>
      <c r="OPH1336" s="4" t="s">
        <v>2880</v>
      </c>
      <c r="OPI1336" s="4" t="s">
        <v>2880</v>
      </c>
      <c r="OPJ1336" s="4" t="s">
        <v>2880</v>
      </c>
      <c r="OPK1336" s="4" t="s">
        <v>2880</v>
      </c>
      <c r="OPL1336" s="4" t="s">
        <v>2880</v>
      </c>
      <c r="OPM1336" s="4" t="s">
        <v>2880</v>
      </c>
      <c r="OPN1336" s="4" t="s">
        <v>2880</v>
      </c>
      <c r="OPO1336" s="4" t="s">
        <v>2880</v>
      </c>
      <c r="OPP1336" s="4" t="s">
        <v>2880</v>
      </c>
      <c r="OPQ1336" s="4" t="s">
        <v>2880</v>
      </c>
      <c r="OPR1336" s="4" t="s">
        <v>2880</v>
      </c>
      <c r="OPS1336" s="4" t="s">
        <v>2880</v>
      </c>
      <c r="OPT1336" s="4" t="s">
        <v>2880</v>
      </c>
      <c r="OPU1336" s="4" t="s">
        <v>2880</v>
      </c>
      <c r="OPV1336" s="4" t="s">
        <v>2880</v>
      </c>
      <c r="OPW1336" s="4" t="s">
        <v>2880</v>
      </c>
      <c r="OPX1336" s="4" t="s">
        <v>2880</v>
      </c>
      <c r="OPY1336" s="4" t="s">
        <v>2880</v>
      </c>
      <c r="OPZ1336" s="4" t="s">
        <v>2880</v>
      </c>
      <c r="OQA1336" s="4" t="s">
        <v>2880</v>
      </c>
      <c r="OQB1336" s="4" t="s">
        <v>2880</v>
      </c>
      <c r="OQC1336" s="4" t="s">
        <v>2880</v>
      </c>
      <c r="OQD1336" s="4" t="s">
        <v>2880</v>
      </c>
      <c r="OQE1336" s="4" t="s">
        <v>2880</v>
      </c>
      <c r="OQF1336" s="4" t="s">
        <v>2880</v>
      </c>
      <c r="OQG1336" s="4" t="s">
        <v>2880</v>
      </c>
      <c r="OQH1336" s="4" t="s">
        <v>2880</v>
      </c>
      <c r="OQI1336" s="4" t="s">
        <v>2880</v>
      </c>
      <c r="OQJ1336" s="4" t="s">
        <v>2880</v>
      </c>
      <c r="OQK1336" s="4" t="s">
        <v>2880</v>
      </c>
      <c r="OQL1336" s="4" t="s">
        <v>2880</v>
      </c>
      <c r="OQM1336" s="4" t="s">
        <v>2880</v>
      </c>
      <c r="OQN1336" s="4" t="s">
        <v>2880</v>
      </c>
      <c r="OQO1336" s="4" t="s">
        <v>2880</v>
      </c>
      <c r="OQP1336" s="4" t="s">
        <v>2880</v>
      </c>
      <c r="OQQ1336" s="4" t="s">
        <v>2880</v>
      </c>
      <c r="OQR1336" s="4" t="s">
        <v>2880</v>
      </c>
      <c r="OQS1336" s="4" t="s">
        <v>2880</v>
      </c>
      <c r="OQT1336" s="4" t="s">
        <v>2880</v>
      </c>
      <c r="OQU1336" s="4" t="s">
        <v>2880</v>
      </c>
      <c r="OQV1336" s="4" t="s">
        <v>2880</v>
      </c>
      <c r="OQW1336" s="4" t="s">
        <v>2880</v>
      </c>
      <c r="OQX1336" s="4" t="s">
        <v>2880</v>
      </c>
      <c r="OQY1336" s="4" t="s">
        <v>2880</v>
      </c>
      <c r="OQZ1336" s="4" t="s">
        <v>2880</v>
      </c>
      <c r="ORA1336" s="4" t="s">
        <v>2880</v>
      </c>
      <c r="ORB1336" s="4" t="s">
        <v>2880</v>
      </c>
      <c r="ORC1336" s="4" t="s">
        <v>2880</v>
      </c>
      <c r="ORD1336" s="4" t="s">
        <v>2880</v>
      </c>
      <c r="ORE1336" s="4" t="s">
        <v>2880</v>
      </c>
      <c r="ORF1336" s="4" t="s">
        <v>2880</v>
      </c>
      <c r="ORG1336" s="4" t="s">
        <v>2880</v>
      </c>
      <c r="ORH1336" s="4" t="s">
        <v>2880</v>
      </c>
      <c r="ORI1336" s="4" t="s">
        <v>2880</v>
      </c>
      <c r="ORJ1336" s="4" t="s">
        <v>2880</v>
      </c>
      <c r="ORK1336" s="4" t="s">
        <v>2880</v>
      </c>
      <c r="ORL1336" s="4" t="s">
        <v>2880</v>
      </c>
      <c r="ORM1336" s="4" t="s">
        <v>2880</v>
      </c>
      <c r="ORN1336" s="4" t="s">
        <v>2880</v>
      </c>
      <c r="ORO1336" s="4" t="s">
        <v>2880</v>
      </c>
      <c r="ORP1336" s="4" t="s">
        <v>2880</v>
      </c>
      <c r="ORQ1336" s="4" t="s">
        <v>2880</v>
      </c>
      <c r="ORR1336" s="4" t="s">
        <v>2880</v>
      </c>
      <c r="ORS1336" s="4" t="s">
        <v>2880</v>
      </c>
      <c r="ORT1336" s="4" t="s">
        <v>2880</v>
      </c>
      <c r="ORU1336" s="4" t="s">
        <v>2880</v>
      </c>
      <c r="ORV1336" s="4" t="s">
        <v>2880</v>
      </c>
      <c r="ORW1336" s="4" t="s">
        <v>2880</v>
      </c>
      <c r="ORX1336" s="4" t="s">
        <v>2880</v>
      </c>
      <c r="ORY1336" s="4" t="s">
        <v>2880</v>
      </c>
      <c r="ORZ1336" s="4" t="s">
        <v>2880</v>
      </c>
      <c r="OSA1336" s="4" t="s">
        <v>2880</v>
      </c>
      <c r="OSB1336" s="4" t="s">
        <v>2880</v>
      </c>
      <c r="OSC1336" s="4" t="s">
        <v>2880</v>
      </c>
      <c r="OSD1336" s="4" t="s">
        <v>2880</v>
      </c>
      <c r="OSE1336" s="4" t="s">
        <v>2880</v>
      </c>
      <c r="OSF1336" s="4" t="s">
        <v>2880</v>
      </c>
      <c r="OSG1336" s="4" t="s">
        <v>2880</v>
      </c>
      <c r="OSH1336" s="4" t="s">
        <v>2880</v>
      </c>
      <c r="OSI1336" s="4" t="s">
        <v>2880</v>
      </c>
      <c r="OSJ1336" s="4" t="s">
        <v>2880</v>
      </c>
      <c r="OSK1336" s="4" t="s">
        <v>2880</v>
      </c>
      <c r="OSL1336" s="4" t="s">
        <v>2880</v>
      </c>
      <c r="OSM1336" s="4" t="s">
        <v>2880</v>
      </c>
      <c r="OSN1336" s="4" t="s">
        <v>2880</v>
      </c>
      <c r="OSO1336" s="4" t="s">
        <v>2880</v>
      </c>
      <c r="OSP1336" s="4" t="s">
        <v>2880</v>
      </c>
      <c r="OSQ1336" s="4" t="s">
        <v>2880</v>
      </c>
      <c r="OSR1336" s="4" t="s">
        <v>2880</v>
      </c>
      <c r="OSS1336" s="4" t="s">
        <v>2880</v>
      </c>
      <c r="OST1336" s="4" t="s">
        <v>2880</v>
      </c>
      <c r="OSU1336" s="4" t="s">
        <v>2880</v>
      </c>
      <c r="OSV1336" s="4" t="s">
        <v>2880</v>
      </c>
      <c r="OSW1336" s="4" t="s">
        <v>2880</v>
      </c>
      <c r="OSX1336" s="4" t="s">
        <v>2880</v>
      </c>
      <c r="OSY1336" s="4" t="s">
        <v>2880</v>
      </c>
      <c r="OSZ1336" s="4" t="s">
        <v>2880</v>
      </c>
      <c r="OTA1336" s="4" t="s">
        <v>2880</v>
      </c>
      <c r="OTB1336" s="4" t="s">
        <v>2880</v>
      </c>
      <c r="OTC1336" s="4" t="s">
        <v>2880</v>
      </c>
      <c r="OTD1336" s="4" t="s">
        <v>2880</v>
      </c>
      <c r="OTE1336" s="4" t="s">
        <v>2880</v>
      </c>
      <c r="OTF1336" s="4" t="s">
        <v>2880</v>
      </c>
      <c r="OTG1336" s="4" t="s">
        <v>2880</v>
      </c>
      <c r="OTH1336" s="4" t="s">
        <v>2880</v>
      </c>
      <c r="OTI1336" s="4" t="s">
        <v>2880</v>
      </c>
      <c r="OTJ1336" s="4" t="s">
        <v>2880</v>
      </c>
      <c r="OTK1336" s="4" t="s">
        <v>2880</v>
      </c>
      <c r="OTL1336" s="4" t="s">
        <v>2880</v>
      </c>
      <c r="OTM1336" s="4" t="s">
        <v>2880</v>
      </c>
      <c r="OTN1336" s="4" t="s">
        <v>2880</v>
      </c>
      <c r="OTO1336" s="4" t="s">
        <v>2880</v>
      </c>
      <c r="OTP1336" s="4" t="s">
        <v>2880</v>
      </c>
      <c r="OTQ1336" s="4" t="s">
        <v>2880</v>
      </c>
      <c r="OTR1336" s="4" t="s">
        <v>2880</v>
      </c>
      <c r="OTS1336" s="4" t="s">
        <v>2880</v>
      </c>
      <c r="OTT1336" s="4" t="s">
        <v>2880</v>
      </c>
      <c r="OTU1336" s="4" t="s">
        <v>2880</v>
      </c>
      <c r="OTV1336" s="4" t="s">
        <v>2880</v>
      </c>
      <c r="OTW1336" s="4" t="s">
        <v>2880</v>
      </c>
      <c r="OTX1336" s="4" t="s">
        <v>2880</v>
      </c>
      <c r="OTY1336" s="4" t="s">
        <v>2880</v>
      </c>
      <c r="OTZ1336" s="4" t="s">
        <v>2880</v>
      </c>
      <c r="OUA1336" s="4" t="s">
        <v>2880</v>
      </c>
      <c r="OUB1336" s="4" t="s">
        <v>2880</v>
      </c>
      <c r="OUC1336" s="4" t="s">
        <v>2880</v>
      </c>
      <c r="OUD1336" s="4" t="s">
        <v>2880</v>
      </c>
      <c r="OUE1336" s="4" t="s">
        <v>2880</v>
      </c>
      <c r="OUF1336" s="4" t="s">
        <v>2880</v>
      </c>
      <c r="OUG1336" s="4" t="s">
        <v>2880</v>
      </c>
      <c r="OUH1336" s="4" t="s">
        <v>2880</v>
      </c>
      <c r="OUI1336" s="4" t="s">
        <v>2880</v>
      </c>
      <c r="OUJ1336" s="4" t="s">
        <v>2880</v>
      </c>
      <c r="OUK1336" s="4" t="s">
        <v>2880</v>
      </c>
      <c r="OUL1336" s="4" t="s">
        <v>2880</v>
      </c>
      <c r="OUM1336" s="4" t="s">
        <v>2880</v>
      </c>
      <c r="OUN1336" s="4" t="s">
        <v>2880</v>
      </c>
      <c r="OUO1336" s="4" t="s">
        <v>2880</v>
      </c>
      <c r="OUP1336" s="4" t="s">
        <v>2880</v>
      </c>
      <c r="OUQ1336" s="4" t="s">
        <v>2880</v>
      </c>
      <c r="OUR1336" s="4" t="s">
        <v>2880</v>
      </c>
      <c r="OUS1336" s="4" t="s">
        <v>2880</v>
      </c>
      <c r="OUT1336" s="4" t="s">
        <v>2880</v>
      </c>
      <c r="OUU1336" s="4" t="s">
        <v>2880</v>
      </c>
      <c r="OUV1336" s="4" t="s">
        <v>2880</v>
      </c>
      <c r="OUW1336" s="4" t="s">
        <v>2880</v>
      </c>
      <c r="OUX1336" s="4" t="s">
        <v>2880</v>
      </c>
      <c r="OUY1336" s="4" t="s">
        <v>2880</v>
      </c>
      <c r="OUZ1336" s="4" t="s">
        <v>2880</v>
      </c>
      <c r="OVA1336" s="4" t="s">
        <v>2880</v>
      </c>
      <c r="OVB1336" s="4" t="s">
        <v>2880</v>
      </c>
      <c r="OVC1336" s="4" t="s">
        <v>2880</v>
      </c>
      <c r="OVD1336" s="4" t="s">
        <v>2880</v>
      </c>
      <c r="OVE1336" s="4" t="s">
        <v>2880</v>
      </c>
      <c r="OVF1336" s="4" t="s">
        <v>2880</v>
      </c>
      <c r="OVG1336" s="4" t="s">
        <v>2880</v>
      </c>
      <c r="OVH1336" s="4" t="s">
        <v>2880</v>
      </c>
      <c r="OVI1336" s="4" t="s">
        <v>2880</v>
      </c>
      <c r="OVJ1336" s="4" t="s">
        <v>2880</v>
      </c>
      <c r="OVK1336" s="4" t="s">
        <v>2880</v>
      </c>
      <c r="OVL1336" s="4" t="s">
        <v>2880</v>
      </c>
      <c r="OVM1336" s="4" t="s">
        <v>2880</v>
      </c>
      <c r="OVN1336" s="4" t="s">
        <v>2880</v>
      </c>
      <c r="OVO1336" s="4" t="s">
        <v>2880</v>
      </c>
      <c r="OVP1336" s="4" t="s">
        <v>2880</v>
      </c>
      <c r="OVQ1336" s="4" t="s">
        <v>2880</v>
      </c>
      <c r="OVR1336" s="4" t="s">
        <v>2880</v>
      </c>
      <c r="OVS1336" s="4" t="s">
        <v>2880</v>
      </c>
      <c r="OVT1336" s="4" t="s">
        <v>2880</v>
      </c>
      <c r="OVU1336" s="4" t="s">
        <v>2880</v>
      </c>
      <c r="OVV1336" s="4" t="s">
        <v>2880</v>
      </c>
      <c r="OVW1336" s="4" t="s">
        <v>2880</v>
      </c>
      <c r="OVX1336" s="4" t="s">
        <v>2880</v>
      </c>
      <c r="OVY1336" s="4" t="s">
        <v>2880</v>
      </c>
      <c r="OVZ1336" s="4" t="s">
        <v>2880</v>
      </c>
      <c r="OWA1336" s="4" t="s">
        <v>2880</v>
      </c>
      <c r="OWB1336" s="4" t="s">
        <v>2880</v>
      </c>
      <c r="OWC1336" s="4" t="s">
        <v>2880</v>
      </c>
      <c r="OWD1336" s="4" t="s">
        <v>2880</v>
      </c>
      <c r="OWE1336" s="4" t="s">
        <v>2880</v>
      </c>
      <c r="OWF1336" s="4" t="s">
        <v>2880</v>
      </c>
      <c r="OWG1336" s="4" t="s">
        <v>2880</v>
      </c>
      <c r="OWH1336" s="4" t="s">
        <v>2880</v>
      </c>
      <c r="OWI1336" s="4" t="s">
        <v>2880</v>
      </c>
      <c r="OWJ1336" s="4" t="s">
        <v>2880</v>
      </c>
      <c r="OWK1336" s="4" t="s">
        <v>2880</v>
      </c>
      <c r="OWL1336" s="4" t="s">
        <v>2880</v>
      </c>
      <c r="OWM1336" s="4" t="s">
        <v>2880</v>
      </c>
      <c r="OWN1336" s="4" t="s">
        <v>2880</v>
      </c>
      <c r="OWO1336" s="4" t="s">
        <v>2880</v>
      </c>
      <c r="OWP1336" s="4" t="s">
        <v>2880</v>
      </c>
      <c r="OWQ1336" s="4" t="s">
        <v>2880</v>
      </c>
      <c r="OWR1336" s="4" t="s">
        <v>2880</v>
      </c>
      <c r="OWS1336" s="4" t="s">
        <v>2880</v>
      </c>
      <c r="OWT1336" s="4" t="s">
        <v>2880</v>
      </c>
      <c r="OWU1336" s="4" t="s">
        <v>2880</v>
      </c>
      <c r="OWV1336" s="4" t="s">
        <v>2880</v>
      </c>
      <c r="OWW1336" s="4" t="s">
        <v>2880</v>
      </c>
      <c r="OWX1336" s="4" t="s">
        <v>2880</v>
      </c>
      <c r="OWY1336" s="4" t="s">
        <v>2880</v>
      </c>
      <c r="OWZ1336" s="4" t="s">
        <v>2880</v>
      </c>
      <c r="OXA1336" s="4" t="s">
        <v>2880</v>
      </c>
      <c r="OXB1336" s="4" t="s">
        <v>2880</v>
      </c>
      <c r="OXC1336" s="4" t="s">
        <v>2880</v>
      </c>
      <c r="OXD1336" s="4" t="s">
        <v>2880</v>
      </c>
      <c r="OXE1336" s="4" t="s">
        <v>2880</v>
      </c>
      <c r="OXF1336" s="4" t="s">
        <v>2880</v>
      </c>
      <c r="OXG1336" s="4" t="s">
        <v>2880</v>
      </c>
      <c r="OXH1336" s="4" t="s">
        <v>2880</v>
      </c>
      <c r="OXI1336" s="4" t="s">
        <v>2880</v>
      </c>
      <c r="OXJ1336" s="4" t="s">
        <v>2880</v>
      </c>
      <c r="OXK1336" s="4" t="s">
        <v>2880</v>
      </c>
      <c r="OXL1336" s="4" t="s">
        <v>2880</v>
      </c>
      <c r="OXM1336" s="4" t="s">
        <v>2880</v>
      </c>
      <c r="OXN1336" s="4" t="s">
        <v>2880</v>
      </c>
      <c r="OXO1336" s="4" t="s">
        <v>2880</v>
      </c>
      <c r="OXP1336" s="4" t="s">
        <v>2880</v>
      </c>
      <c r="OXQ1336" s="4" t="s">
        <v>2880</v>
      </c>
      <c r="OXR1336" s="4" t="s">
        <v>2880</v>
      </c>
      <c r="OXS1336" s="4" t="s">
        <v>2880</v>
      </c>
      <c r="OXT1336" s="4" t="s">
        <v>2880</v>
      </c>
      <c r="OXU1336" s="4" t="s">
        <v>2880</v>
      </c>
      <c r="OXV1336" s="4" t="s">
        <v>2880</v>
      </c>
      <c r="OXW1336" s="4" t="s">
        <v>2880</v>
      </c>
      <c r="OXX1336" s="4" t="s">
        <v>2880</v>
      </c>
      <c r="OXY1336" s="4" t="s">
        <v>2880</v>
      </c>
      <c r="OXZ1336" s="4" t="s">
        <v>2880</v>
      </c>
      <c r="OYA1336" s="4" t="s">
        <v>2880</v>
      </c>
      <c r="OYB1336" s="4" t="s">
        <v>2880</v>
      </c>
      <c r="OYC1336" s="4" t="s">
        <v>2880</v>
      </c>
      <c r="OYD1336" s="4" t="s">
        <v>2880</v>
      </c>
      <c r="OYE1336" s="4" t="s">
        <v>2880</v>
      </c>
      <c r="OYF1336" s="4" t="s">
        <v>2880</v>
      </c>
      <c r="OYG1336" s="4" t="s">
        <v>2880</v>
      </c>
      <c r="OYH1336" s="4" t="s">
        <v>2880</v>
      </c>
      <c r="OYI1336" s="4" t="s">
        <v>2880</v>
      </c>
      <c r="OYJ1336" s="4" t="s">
        <v>2880</v>
      </c>
      <c r="OYK1336" s="4" t="s">
        <v>2880</v>
      </c>
      <c r="OYL1336" s="4" t="s">
        <v>2880</v>
      </c>
      <c r="OYM1336" s="4" t="s">
        <v>2880</v>
      </c>
      <c r="OYN1336" s="4" t="s">
        <v>2880</v>
      </c>
      <c r="OYO1336" s="4" t="s">
        <v>2880</v>
      </c>
      <c r="OYP1336" s="4" t="s">
        <v>2880</v>
      </c>
      <c r="OYQ1336" s="4" t="s">
        <v>2880</v>
      </c>
      <c r="OYR1336" s="4" t="s">
        <v>2880</v>
      </c>
      <c r="OYS1336" s="4" t="s">
        <v>2880</v>
      </c>
      <c r="OYT1336" s="4" t="s">
        <v>2880</v>
      </c>
      <c r="OYU1336" s="4" t="s">
        <v>2880</v>
      </c>
      <c r="OYV1336" s="4" t="s">
        <v>2880</v>
      </c>
      <c r="OYW1336" s="4" t="s">
        <v>2880</v>
      </c>
      <c r="OYX1336" s="4" t="s">
        <v>2880</v>
      </c>
      <c r="OYY1336" s="4" t="s">
        <v>2880</v>
      </c>
      <c r="OYZ1336" s="4" t="s">
        <v>2880</v>
      </c>
      <c r="OZA1336" s="4" t="s">
        <v>2880</v>
      </c>
      <c r="OZB1336" s="4" t="s">
        <v>2880</v>
      </c>
      <c r="OZC1336" s="4" t="s">
        <v>2880</v>
      </c>
      <c r="OZD1336" s="4" t="s">
        <v>2880</v>
      </c>
      <c r="OZE1336" s="4" t="s">
        <v>2880</v>
      </c>
      <c r="OZF1336" s="4" t="s">
        <v>2880</v>
      </c>
      <c r="OZG1336" s="4" t="s">
        <v>2880</v>
      </c>
      <c r="OZH1336" s="4" t="s">
        <v>2880</v>
      </c>
      <c r="OZI1336" s="4" t="s">
        <v>2880</v>
      </c>
      <c r="OZJ1336" s="4" t="s">
        <v>2880</v>
      </c>
      <c r="OZK1336" s="4" t="s">
        <v>2880</v>
      </c>
      <c r="OZL1336" s="4" t="s">
        <v>2880</v>
      </c>
      <c r="OZM1336" s="4" t="s">
        <v>2880</v>
      </c>
      <c r="OZN1336" s="4" t="s">
        <v>2880</v>
      </c>
      <c r="OZO1336" s="4" t="s">
        <v>2880</v>
      </c>
      <c r="OZP1336" s="4" t="s">
        <v>2880</v>
      </c>
      <c r="OZQ1336" s="4" t="s">
        <v>2880</v>
      </c>
      <c r="OZR1336" s="4" t="s">
        <v>2880</v>
      </c>
      <c r="OZS1336" s="4" t="s">
        <v>2880</v>
      </c>
      <c r="OZT1336" s="4" t="s">
        <v>2880</v>
      </c>
      <c r="OZU1336" s="4" t="s">
        <v>2880</v>
      </c>
      <c r="OZV1336" s="4" t="s">
        <v>2880</v>
      </c>
      <c r="OZW1336" s="4" t="s">
        <v>2880</v>
      </c>
      <c r="OZX1336" s="4" t="s">
        <v>2880</v>
      </c>
      <c r="OZY1336" s="4" t="s">
        <v>2880</v>
      </c>
      <c r="OZZ1336" s="4" t="s">
        <v>2880</v>
      </c>
      <c r="PAA1336" s="4" t="s">
        <v>2880</v>
      </c>
      <c r="PAB1336" s="4" t="s">
        <v>2880</v>
      </c>
      <c r="PAC1336" s="4" t="s">
        <v>2880</v>
      </c>
      <c r="PAD1336" s="4" t="s">
        <v>2880</v>
      </c>
      <c r="PAE1336" s="4" t="s">
        <v>2880</v>
      </c>
      <c r="PAF1336" s="4" t="s">
        <v>2880</v>
      </c>
      <c r="PAG1336" s="4" t="s">
        <v>2880</v>
      </c>
      <c r="PAH1336" s="4" t="s">
        <v>2880</v>
      </c>
      <c r="PAI1336" s="4" t="s">
        <v>2880</v>
      </c>
      <c r="PAJ1336" s="4" t="s">
        <v>2880</v>
      </c>
      <c r="PAK1336" s="4" t="s">
        <v>2880</v>
      </c>
      <c r="PAL1336" s="4" t="s">
        <v>2880</v>
      </c>
      <c r="PAM1336" s="4" t="s">
        <v>2880</v>
      </c>
      <c r="PAN1336" s="4" t="s">
        <v>2880</v>
      </c>
      <c r="PAO1336" s="4" t="s">
        <v>2880</v>
      </c>
      <c r="PAP1336" s="4" t="s">
        <v>2880</v>
      </c>
      <c r="PAQ1336" s="4" t="s">
        <v>2880</v>
      </c>
      <c r="PAR1336" s="4" t="s">
        <v>2880</v>
      </c>
      <c r="PAS1336" s="4" t="s">
        <v>2880</v>
      </c>
      <c r="PAT1336" s="4" t="s">
        <v>2880</v>
      </c>
      <c r="PAU1336" s="4" t="s">
        <v>2880</v>
      </c>
      <c r="PAV1336" s="4" t="s">
        <v>2880</v>
      </c>
      <c r="PAW1336" s="4" t="s">
        <v>2880</v>
      </c>
      <c r="PAX1336" s="4" t="s">
        <v>2880</v>
      </c>
      <c r="PAY1336" s="4" t="s">
        <v>2880</v>
      </c>
      <c r="PAZ1336" s="4" t="s">
        <v>2880</v>
      </c>
      <c r="PBA1336" s="4" t="s">
        <v>2880</v>
      </c>
      <c r="PBB1336" s="4" t="s">
        <v>2880</v>
      </c>
      <c r="PBC1336" s="4" t="s">
        <v>2880</v>
      </c>
      <c r="PBD1336" s="4" t="s">
        <v>2880</v>
      </c>
      <c r="PBE1336" s="4" t="s">
        <v>2880</v>
      </c>
      <c r="PBF1336" s="4" t="s">
        <v>2880</v>
      </c>
      <c r="PBG1336" s="4" t="s">
        <v>2880</v>
      </c>
      <c r="PBH1336" s="4" t="s">
        <v>2880</v>
      </c>
      <c r="PBI1336" s="4" t="s">
        <v>2880</v>
      </c>
      <c r="PBJ1336" s="4" t="s">
        <v>2880</v>
      </c>
      <c r="PBK1336" s="4" t="s">
        <v>2880</v>
      </c>
      <c r="PBL1336" s="4" t="s">
        <v>2880</v>
      </c>
      <c r="PBM1336" s="4" t="s">
        <v>2880</v>
      </c>
      <c r="PBN1336" s="4" t="s">
        <v>2880</v>
      </c>
      <c r="PBO1336" s="4" t="s">
        <v>2880</v>
      </c>
      <c r="PBP1336" s="4" t="s">
        <v>2880</v>
      </c>
      <c r="PBQ1336" s="4" t="s">
        <v>2880</v>
      </c>
      <c r="PBR1336" s="4" t="s">
        <v>2880</v>
      </c>
      <c r="PBS1336" s="4" t="s">
        <v>2880</v>
      </c>
      <c r="PBT1336" s="4" t="s">
        <v>2880</v>
      </c>
      <c r="PBU1336" s="4" t="s">
        <v>2880</v>
      </c>
      <c r="PBV1336" s="4" t="s">
        <v>2880</v>
      </c>
      <c r="PBW1336" s="4" t="s">
        <v>2880</v>
      </c>
      <c r="PBX1336" s="4" t="s">
        <v>2880</v>
      </c>
      <c r="PBY1336" s="4" t="s">
        <v>2880</v>
      </c>
      <c r="PBZ1336" s="4" t="s">
        <v>2880</v>
      </c>
      <c r="PCA1336" s="4" t="s">
        <v>2880</v>
      </c>
      <c r="PCB1336" s="4" t="s">
        <v>2880</v>
      </c>
      <c r="PCC1336" s="4" t="s">
        <v>2880</v>
      </c>
      <c r="PCD1336" s="4" t="s">
        <v>2880</v>
      </c>
      <c r="PCE1336" s="4" t="s">
        <v>2880</v>
      </c>
      <c r="PCF1336" s="4" t="s">
        <v>2880</v>
      </c>
      <c r="PCG1336" s="4" t="s">
        <v>2880</v>
      </c>
      <c r="PCH1336" s="4" t="s">
        <v>2880</v>
      </c>
      <c r="PCI1336" s="4" t="s">
        <v>2880</v>
      </c>
      <c r="PCJ1336" s="4" t="s">
        <v>2880</v>
      </c>
      <c r="PCK1336" s="4" t="s">
        <v>2880</v>
      </c>
      <c r="PCL1336" s="4" t="s">
        <v>2880</v>
      </c>
      <c r="PCM1336" s="4" t="s">
        <v>2880</v>
      </c>
      <c r="PCN1336" s="4" t="s">
        <v>2880</v>
      </c>
      <c r="PCO1336" s="4" t="s">
        <v>2880</v>
      </c>
      <c r="PCP1336" s="4" t="s">
        <v>2880</v>
      </c>
      <c r="PCQ1336" s="4" t="s">
        <v>2880</v>
      </c>
      <c r="PCR1336" s="4" t="s">
        <v>2880</v>
      </c>
      <c r="PCS1336" s="4" t="s">
        <v>2880</v>
      </c>
      <c r="PCT1336" s="4" t="s">
        <v>2880</v>
      </c>
      <c r="PCU1336" s="4" t="s">
        <v>2880</v>
      </c>
      <c r="PCV1336" s="4" t="s">
        <v>2880</v>
      </c>
      <c r="PCW1336" s="4" t="s">
        <v>2880</v>
      </c>
      <c r="PCX1336" s="4" t="s">
        <v>2880</v>
      </c>
      <c r="PCY1336" s="4" t="s">
        <v>2880</v>
      </c>
      <c r="PCZ1336" s="4" t="s">
        <v>2880</v>
      </c>
      <c r="PDA1336" s="4" t="s">
        <v>2880</v>
      </c>
      <c r="PDB1336" s="4" t="s">
        <v>2880</v>
      </c>
      <c r="PDC1336" s="4" t="s">
        <v>2880</v>
      </c>
      <c r="PDD1336" s="4" t="s">
        <v>2880</v>
      </c>
      <c r="PDE1336" s="4" t="s">
        <v>2880</v>
      </c>
      <c r="PDF1336" s="4" t="s">
        <v>2880</v>
      </c>
      <c r="PDG1336" s="4" t="s">
        <v>2880</v>
      </c>
      <c r="PDH1336" s="4" t="s">
        <v>2880</v>
      </c>
      <c r="PDI1336" s="4" t="s">
        <v>2880</v>
      </c>
      <c r="PDJ1336" s="4" t="s">
        <v>2880</v>
      </c>
      <c r="PDK1336" s="4" t="s">
        <v>2880</v>
      </c>
      <c r="PDL1336" s="4" t="s">
        <v>2880</v>
      </c>
      <c r="PDM1336" s="4" t="s">
        <v>2880</v>
      </c>
      <c r="PDN1336" s="4" t="s">
        <v>2880</v>
      </c>
      <c r="PDO1336" s="4" t="s">
        <v>2880</v>
      </c>
      <c r="PDP1336" s="4" t="s">
        <v>2880</v>
      </c>
      <c r="PDQ1336" s="4" t="s">
        <v>2880</v>
      </c>
      <c r="PDR1336" s="4" t="s">
        <v>2880</v>
      </c>
      <c r="PDS1336" s="4" t="s">
        <v>2880</v>
      </c>
      <c r="PDT1336" s="4" t="s">
        <v>2880</v>
      </c>
      <c r="PDU1336" s="4" t="s">
        <v>2880</v>
      </c>
      <c r="PDV1336" s="4" t="s">
        <v>2880</v>
      </c>
      <c r="PDW1336" s="4" t="s">
        <v>2880</v>
      </c>
      <c r="PDX1336" s="4" t="s">
        <v>2880</v>
      </c>
      <c r="PDY1336" s="4" t="s">
        <v>2880</v>
      </c>
      <c r="PDZ1336" s="4" t="s">
        <v>2880</v>
      </c>
      <c r="PEA1336" s="4" t="s">
        <v>2880</v>
      </c>
      <c r="PEB1336" s="4" t="s">
        <v>2880</v>
      </c>
      <c r="PEC1336" s="4" t="s">
        <v>2880</v>
      </c>
      <c r="PED1336" s="4" t="s">
        <v>2880</v>
      </c>
      <c r="PEE1336" s="4" t="s">
        <v>2880</v>
      </c>
      <c r="PEF1336" s="4" t="s">
        <v>2880</v>
      </c>
      <c r="PEG1336" s="4" t="s">
        <v>2880</v>
      </c>
      <c r="PEH1336" s="4" t="s">
        <v>2880</v>
      </c>
      <c r="PEI1336" s="4" t="s">
        <v>2880</v>
      </c>
      <c r="PEJ1336" s="4" t="s">
        <v>2880</v>
      </c>
      <c r="PEK1336" s="4" t="s">
        <v>2880</v>
      </c>
      <c r="PEL1336" s="4" t="s">
        <v>2880</v>
      </c>
      <c r="PEM1336" s="4" t="s">
        <v>2880</v>
      </c>
      <c r="PEN1336" s="4" t="s">
        <v>2880</v>
      </c>
      <c r="PEO1336" s="4" t="s">
        <v>2880</v>
      </c>
      <c r="PEP1336" s="4" t="s">
        <v>2880</v>
      </c>
      <c r="PEQ1336" s="4" t="s">
        <v>2880</v>
      </c>
      <c r="PER1336" s="4" t="s">
        <v>2880</v>
      </c>
      <c r="PES1336" s="4" t="s">
        <v>2880</v>
      </c>
      <c r="PET1336" s="4" t="s">
        <v>2880</v>
      </c>
      <c r="PEU1336" s="4" t="s">
        <v>2880</v>
      </c>
      <c r="PEV1336" s="4" t="s">
        <v>2880</v>
      </c>
      <c r="PEW1336" s="4" t="s">
        <v>2880</v>
      </c>
      <c r="PEX1336" s="4" t="s">
        <v>2880</v>
      </c>
      <c r="PEY1336" s="4" t="s">
        <v>2880</v>
      </c>
      <c r="PEZ1336" s="4" t="s">
        <v>2880</v>
      </c>
      <c r="PFA1336" s="4" t="s">
        <v>2880</v>
      </c>
      <c r="PFB1336" s="4" t="s">
        <v>2880</v>
      </c>
      <c r="PFC1336" s="4" t="s">
        <v>2880</v>
      </c>
      <c r="PFD1336" s="4" t="s">
        <v>2880</v>
      </c>
      <c r="PFE1336" s="4" t="s">
        <v>2880</v>
      </c>
      <c r="PFF1336" s="4" t="s">
        <v>2880</v>
      </c>
      <c r="PFG1336" s="4" t="s">
        <v>2880</v>
      </c>
      <c r="PFH1336" s="4" t="s">
        <v>2880</v>
      </c>
      <c r="PFI1336" s="4" t="s">
        <v>2880</v>
      </c>
      <c r="PFJ1336" s="4" t="s">
        <v>2880</v>
      </c>
      <c r="PFK1336" s="4" t="s">
        <v>2880</v>
      </c>
      <c r="PFL1336" s="4" t="s">
        <v>2880</v>
      </c>
      <c r="PFM1336" s="4" t="s">
        <v>2880</v>
      </c>
      <c r="PFN1336" s="4" t="s">
        <v>2880</v>
      </c>
      <c r="PFO1336" s="4" t="s">
        <v>2880</v>
      </c>
      <c r="PFP1336" s="4" t="s">
        <v>2880</v>
      </c>
      <c r="PFQ1336" s="4" t="s">
        <v>2880</v>
      </c>
      <c r="PFR1336" s="4" t="s">
        <v>2880</v>
      </c>
      <c r="PFS1336" s="4" t="s">
        <v>2880</v>
      </c>
      <c r="PFT1336" s="4" t="s">
        <v>2880</v>
      </c>
      <c r="PFU1336" s="4" t="s">
        <v>2880</v>
      </c>
      <c r="PFV1336" s="4" t="s">
        <v>2880</v>
      </c>
      <c r="PFW1336" s="4" t="s">
        <v>2880</v>
      </c>
      <c r="PFX1336" s="4" t="s">
        <v>2880</v>
      </c>
      <c r="PFY1336" s="4" t="s">
        <v>2880</v>
      </c>
      <c r="PFZ1336" s="4" t="s">
        <v>2880</v>
      </c>
      <c r="PGA1336" s="4" t="s">
        <v>2880</v>
      </c>
      <c r="PGB1336" s="4" t="s">
        <v>2880</v>
      </c>
      <c r="PGC1336" s="4" t="s">
        <v>2880</v>
      </c>
      <c r="PGD1336" s="4" t="s">
        <v>2880</v>
      </c>
      <c r="PGE1336" s="4" t="s">
        <v>2880</v>
      </c>
      <c r="PGF1336" s="4" t="s">
        <v>2880</v>
      </c>
      <c r="PGG1336" s="4" t="s">
        <v>2880</v>
      </c>
      <c r="PGH1336" s="4" t="s">
        <v>2880</v>
      </c>
      <c r="PGI1336" s="4" t="s">
        <v>2880</v>
      </c>
      <c r="PGJ1336" s="4" t="s">
        <v>2880</v>
      </c>
      <c r="PGK1336" s="4" t="s">
        <v>2880</v>
      </c>
      <c r="PGL1336" s="4" t="s">
        <v>2880</v>
      </c>
      <c r="PGM1336" s="4" t="s">
        <v>2880</v>
      </c>
      <c r="PGN1336" s="4" t="s">
        <v>2880</v>
      </c>
      <c r="PGO1336" s="4" t="s">
        <v>2880</v>
      </c>
      <c r="PGP1336" s="4" t="s">
        <v>2880</v>
      </c>
      <c r="PGQ1336" s="4" t="s">
        <v>2880</v>
      </c>
      <c r="PGR1336" s="4" t="s">
        <v>2880</v>
      </c>
      <c r="PGS1336" s="4" t="s">
        <v>2880</v>
      </c>
      <c r="PGT1336" s="4" t="s">
        <v>2880</v>
      </c>
      <c r="PGU1336" s="4" t="s">
        <v>2880</v>
      </c>
      <c r="PGV1336" s="4" t="s">
        <v>2880</v>
      </c>
      <c r="PGW1336" s="4" t="s">
        <v>2880</v>
      </c>
      <c r="PGX1336" s="4" t="s">
        <v>2880</v>
      </c>
      <c r="PGY1336" s="4" t="s">
        <v>2880</v>
      </c>
      <c r="PGZ1336" s="4" t="s">
        <v>2880</v>
      </c>
      <c r="PHA1336" s="4" t="s">
        <v>2880</v>
      </c>
      <c r="PHB1336" s="4" t="s">
        <v>2880</v>
      </c>
      <c r="PHC1336" s="4" t="s">
        <v>2880</v>
      </c>
      <c r="PHD1336" s="4" t="s">
        <v>2880</v>
      </c>
      <c r="PHE1336" s="4" t="s">
        <v>2880</v>
      </c>
      <c r="PHF1336" s="4" t="s">
        <v>2880</v>
      </c>
      <c r="PHG1336" s="4" t="s">
        <v>2880</v>
      </c>
      <c r="PHH1336" s="4" t="s">
        <v>2880</v>
      </c>
      <c r="PHI1336" s="4" t="s">
        <v>2880</v>
      </c>
      <c r="PHJ1336" s="4" t="s">
        <v>2880</v>
      </c>
      <c r="PHK1336" s="4" t="s">
        <v>2880</v>
      </c>
      <c r="PHL1336" s="4" t="s">
        <v>2880</v>
      </c>
      <c r="PHM1336" s="4" t="s">
        <v>2880</v>
      </c>
      <c r="PHN1336" s="4" t="s">
        <v>2880</v>
      </c>
      <c r="PHO1336" s="4" t="s">
        <v>2880</v>
      </c>
      <c r="PHP1336" s="4" t="s">
        <v>2880</v>
      </c>
      <c r="PHQ1336" s="4" t="s">
        <v>2880</v>
      </c>
      <c r="PHR1336" s="4" t="s">
        <v>2880</v>
      </c>
      <c r="PHS1336" s="4" t="s">
        <v>2880</v>
      </c>
      <c r="PHT1336" s="4" t="s">
        <v>2880</v>
      </c>
      <c r="PHU1336" s="4" t="s">
        <v>2880</v>
      </c>
      <c r="PHV1336" s="4" t="s">
        <v>2880</v>
      </c>
      <c r="PHW1336" s="4" t="s">
        <v>2880</v>
      </c>
      <c r="PHX1336" s="4" t="s">
        <v>2880</v>
      </c>
      <c r="PHY1336" s="4" t="s">
        <v>2880</v>
      </c>
      <c r="PHZ1336" s="4" t="s">
        <v>2880</v>
      </c>
      <c r="PIA1336" s="4" t="s">
        <v>2880</v>
      </c>
      <c r="PIB1336" s="4" t="s">
        <v>2880</v>
      </c>
      <c r="PIC1336" s="4" t="s">
        <v>2880</v>
      </c>
      <c r="PID1336" s="4" t="s">
        <v>2880</v>
      </c>
      <c r="PIE1336" s="4" t="s">
        <v>2880</v>
      </c>
      <c r="PIF1336" s="4" t="s">
        <v>2880</v>
      </c>
      <c r="PIG1336" s="4" t="s">
        <v>2880</v>
      </c>
      <c r="PIH1336" s="4" t="s">
        <v>2880</v>
      </c>
      <c r="PII1336" s="4" t="s">
        <v>2880</v>
      </c>
      <c r="PIJ1336" s="4" t="s">
        <v>2880</v>
      </c>
      <c r="PIK1336" s="4" t="s">
        <v>2880</v>
      </c>
      <c r="PIL1336" s="4" t="s">
        <v>2880</v>
      </c>
      <c r="PIM1336" s="4" t="s">
        <v>2880</v>
      </c>
      <c r="PIN1336" s="4" t="s">
        <v>2880</v>
      </c>
      <c r="PIO1336" s="4" t="s">
        <v>2880</v>
      </c>
      <c r="PIP1336" s="4" t="s">
        <v>2880</v>
      </c>
      <c r="PIQ1336" s="4" t="s">
        <v>2880</v>
      </c>
      <c r="PIR1336" s="4" t="s">
        <v>2880</v>
      </c>
      <c r="PIS1336" s="4" t="s">
        <v>2880</v>
      </c>
      <c r="PIT1336" s="4" t="s">
        <v>2880</v>
      </c>
      <c r="PIU1336" s="4" t="s">
        <v>2880</v>
      </c>
      <c r="PIV1336" s="4" t="s">
        <v>2880</v>
      </c>
      <c r="PIW1336" s="4" t="s">
        <v>2880</v>
      </c>
      <c r="PIX1336" s="4" t="s">
        <v>2880</v>
      </c>
      <c r="PIY1336" s="4" t="s">
        <v>2880</v>
      </c>
      <c r="PIZ1336" s="4" t="s">
        <v>2880</v>
      </c>
      <c r="PJA1336" s="4" t="s">
        <v>2880</v>
      </c>
      <c r="PJB1336" s="4" t="s">
        <v>2880</v>
      </c>
      <c r="PJC1336" s="4" t="s">
        <v>2880</v>
      </c>
      <c r="PJD1336" s="4" t="s">
        <v>2880</v>
      </c>
      <c r="PJE1336" s="4" t="s">
        <v>2880</v>
      </c>
      <c r="PJF1336" s="4" t="s">
        <v>2880</v>
      </c>
      <c r="PJG1336" s="4" t="s">
        <v>2880</v>
      </c>
      <c r="PJH1336" s="4" t="s">
        <v>2880</v>
      </c>
      <c r="PJI1336" s="4" t="s">
        <v>2880</v>
      </c>
      <c r="PJJ1336" s="4" t="s">
        <v>2880</v>
      </c>
      <c r="PJK1336" s="4" t="s">
        <v>2880</v>
      </c>
      <c r="PJL1336" s="4" t="s">
        <v>2880</v>
      </c>
      <c r="PJM1336" s="4" t="s">
        <v>2880</v>
      </c>
      <c r="PJN1336" s="4" t="s">
        <v>2880</v>
      </c>
      <c r="PJO1336" s="4" t="s">
        <v>2880</v>
      </c>
      <c r="PJP1336" s="4" t="s">
        <v>2880</v>
      </c>
      <c r="PJQ1336" s="4" t="s">
        <v>2880</v>
      </c>
      <c r="PJR1336" s="4" t="s">
        <v>2880</v>
      </c>
      <c r="PJS1336" s="4" t="s">
        <v>2880</v>
      </c>
      <c r="PJT1336" s="4" t="s">
        <v>2880</v>
      </c>
      <c r="PJU1336" s="4" t="s">
        <v>2880</v>
      </c>
      <c r="PJV1336" s="4" t="s">
        <v>2880</v>
      </c>
      <c r="PJW1336" s="4" t="s">
        <v>2880</v>
      </c>
      <c r="PJX1336" s="4" t="s">
        <v>2880</v>
      </c>
      <c r="PJY1336" s="4" t="s">
        <v>2880</v>
      </c>
      <c r="PJZ1336" s="4" t="s">
        <v>2880</v>
      </c>
      <c r="PKA1336" s="4" t="s">
        <v>2880</v>
      </c>
      <c r="PKB1336" s="4" t="s">
        <v>2880</v>
      </c>
      <c r="PKC1336" s="4" t="s">
        <v>2880</v>
      </c>
      <c r="PKD1336" s="4" t="s">
        <v>2880</v>
      </c>
      <c r="PKE1336" s="4" t="s">
        <v>2880</v>
      </c>
      <c r="PKF1336" s="4" t="s">
        <v>2880</v>
      </c>
      <c r="PKG1336" s="4" t="s">
        <v>2880</v>
      </c>
      <c r="PKH1336" s="4" t="s">
        <v>2880</v>
      </c>
      <c r="PKI1336" s="4" t="s">
        <v>2880</v>
      </c>
      <c r="PKJ1336" s="4" t="s">
        <v>2880</v>
      </c>
      <c r="PKK1336" s="4" t="s">
        <v>2880</v>
      </c>
      <c r="PKL1336" s="4" t="s">
        <v>2880</v>
      </c>
      <c r="PKM1336" s="4" t="s">
        <v>2880</v>
      </c>
      <c r="PKN1336" s="4" t="s">
        <v>2880</v>
      </c>
      <c r="PKO1336" s="4" t="s">
        <v>2880</v>
      </c>
      <c r="PKP1336" s="4" t="s">
        <v>2880</v>
      </c>
      <c r="PKQ1336" s="4" t="s">
        <v>2880</v>
      </c>
      <c r="PKR1336" s="4" t="s">
        <v>2880</v>
      </c>
      <c r="PKS1336" s="4" t="s">
        <v>2880</v>
      </c>
      <c r="PKT1336" s="4" t="s">
        <v>2880</v>
      </c>
      <c r="PKU1336" s="4" t="s">
        <v>2880</v>
      </c>
      <c r="PKV1336" s="4" t="s">
        <v>2880</v>
      </c>
      <c r="PKW1336" s="4" t="s">
        <v>2880</v>
      </c>
      <c r="PKX1336" s="4" t="s">
        <v>2880</v>
      </c>
      <c r="PKY1336" s="4" t="s">
        <v>2880</v>
      </c>
      <c r="PKZ1336" s="4" t="s">
        <v>2880</v>
      </c>
      <c r="PLA1336" s="4" t="s">
        <v>2880</v>
      </c>
      <c r="PLB1336" s="4" t="s">
        <v>2880</v>
      </c>
      <c r="PLC1336" s="4" t="s">
        <v>2880</v>
      </c>
      <c r="PLD1336" s="4" t="s">
        <v>2880</v>
      </c>
      <c r="PLE1336" s="4" t="s">
        <v>2880</v>
      </c>
      <c r="PLF1336" s="4" t="s">
        <v>2880</v>
      </c>
      <c r="PLG1336" s="4" t="s">
        <v>2880</v>
      </c>
      <c r="PLH1336" s="4" t="s">
        <v>2880</v>
      </c>
      <c r="PLI1336" s="4" t="s">
        <v>2880</v>
      </c>
      <c r="PLJ1336" s="4" t="s">
        <v>2880</v>
      </c>
      <c r="PLK1336" s="4" t="s">
        <v>2880</v>
      </c>
      <c r="PLL1336" s="4" t="s">
        <v>2880</v>
      </c>
      <c r="PLM1336" s="4" t="s">
        <v>2880</v>
      </c>
      <c r="PLN1336" s="4" t="s">
        <v>2880</v>
      </c>
      <c r="PLO1336" s="4" t="s">
        <v>2880</v>
      </c>
      <c r="PLP1336" s="4" t="s">
        <v>2880</v>
      </c>
      <c r="PLQ1336" s="4" t="s">
        <v>2880</v>
      </c>
      <c r="PLR1336" s="4" t="s">
        <v>2880</v>
      </c>
      <c r="PLS1336" s="4" t="s">
        <v>2880</v>
      </c>
      <c r="PLT1336" s="4" t="s">
        <v>2880</v>
      </c>
      <c r="PLU1336" s="4" t="s">
        <v>2880</v>
      </c>
      <c r="PLV1336" s="4" t="s">
        <v>2880</v>
      </c>
      <c r="PLW1336" s="4" t="s">
        <v>2880</v>
      </c>
      <c r="PLX1336" s="4" t="s">
        <v>2880</v>
      </c>
      <c r="PLY1336" s="4" t="s">
        <v>2880</v>
      </c>
      <c r="PLZ1336" s="4" t="s">
        <v>2880</v>
      </c>
      <c r="PMA1336" s="4" t="s">
        <v>2880</v>
      </c>
      <c r="PMB1336" s="4" t="s">
        <v>2880</v>
      </c>
      <c r="PMC1336" s="4" t="s">
        <v>2880</v>
      </c>
      <c r="PMD1336" s="4" t="s">
        <v>2880</v>
      </c>
      <c r="PME1336" s="4" t="s">
        <v>2880</v>
      </c>
      <c r="PMF1336" s="4" t="s">
        <v>2880</v>
      </c>
      <c r="PMG1336" s="4" t="s">
        <v>2880</v>
      </c>
      <c r="PMH1336" s="4" t="s">
        <v>2880</v>
      </c>
      <c r="PMI1336" s="4" t="s">
        <v>2880</v>
      </c>
      <c r="PMJ1336" s="4" t="s">
        <v>2880</v>
      </c>
      <c r="PMK1336" s="4" t="s">
        <v>2880</v>
      </c>
      <c r="PML1336" s="4" t="s">
        <v>2880</v>
      </c>
      <c r="PMM1336" s="4" t="s">
        <v>2880</v>
      </c>
      <c r="PMN1336" s="4" t="s">
        <v>2880</v>
      </c>
      <c r="PMO1336" s="4" t="s">
        <v>2880</v>
      </c>
      <c r="PMP1336" s="4" t="s">
        <v>2880</v>
      </c>
      <c r="PMQ1336" s="4" t="s">
        <v>2880</v>
      </c>
      <c r="PMR1336" s="4" t="s">
        <v>2880</v>
      </c>
      <c r="PMS1336" s="4" t="s">
        <v>2880</v>
      </c>
      <c r="PMT1336" s="4" t="s">
        <v>2880</v>
      </c>
      <c r="PMU1336" s="4" t="s">
        <v>2880</v>
      </c>
      <c r="PMV1336" s="4" t="s">
        <v>2880</v>
      </c>
      <c r="PMW1336" s="4" t="s">
        <v>2880</v>
      </c>
      <c r="PMX1336" s="4" t="s">
        <v>2880</v>
      </c>
      <c r="PMY1336" s="4" t="s">
        <v>2880</v>
      </c>
      <c r="PMZ1336" s="4" t="s">
        <v>2880</v>
      </c>
      <c r="PNA1336" s="4" t="s">
        <v>2880</v>
      </c>
      <c r="PNB1336" s="4" t="s">
        <v>2880</v>
      </c>
      <c r="PNC1336" s="4" t="s">
        <v>2880</v>
      </c>
      <c r="PND1336" s="4" t="s">
        <v>2880</v>
      </c>
      <c r="PNE1336" s="4" t="s">
        <v>2880</v>
      </c>
      <c r="PNF1336" s="4" t="s">
        <v>2880</v>
      </c>
      <c r="PNG1336" s="4" t="s">
        <v>2880</v>
      </c>
      <c r="PNH1336" s="4" t="s">
        <v>2880</v>
      </c>
      <c r="PNI1336" s="4" t="s">
        <v>2880</v>
      </c>
      <c r="PNJ1336" s="4" t="s">
        <v>2880</v>
      </c>
      <c r="PNK1336" s="4" t="s">
        <v>2880</v>
      </c>
      <c r="PNL1336" s="4" t="s">
        <v>2880</v>
      </c>
      <c r="PNM1336" s="4" t="s">
        <v>2880</v>
      </c>
      <c r="PNN1336" s="4" t="s">
        <v>2880</v>
      </c>
      <c r="PNO1336" s="4" t="s">
        <v>2880</v>
      </c>
      <c r="PNP1336" s="4" t="s">
        <v>2880</v>
      </c>
      <c r="PNQ1336" s="4" t="s">
        <v>2880</v>
      </c>
      <c r="PNR1336" s="4" t="s">
        <v>2880</v>
      </c>
      <c r="PNS1336" s="4" t="s">
        <v>2880</v>
      </c>
      <c r="PNT1336" s="4" t="s">
        <v>2880</v>
      </c>
      <c r="PNU1336" s="4" t="s">
        <v>2880</v>
      </c>
      <c r="PNV1336" s="4" t="s">
        <v>2880</v>
      </c>
      <c r="PNW1336" s="4" t="s">
        <v>2880</v>
      </c>
      <c r="PNX1336" s="4" t="s">
        <v>2880</v>
      </c>
      <c r="PNY1336" s="4" t="s">
        <v>2880</v>
      </c>
      <c r="PNZ1336" s="4" t="s">
        <v>2880</v>
      </c>
      <c r="POA1336" s="4" t="s">
        <v>2880</v>
      </c>
      <c r="POB1336" s="4" t="s">
        <v>2880</v>
      </c>
      <c r="POC1336" s="4" t="s">
        <v>2880</v>
      </c>
      <c r="POD1336" s="4" t="s">
        <v>2880</v>
      </c>
      <c r="POE1336" s="4" t="s">
        <v>2880</v>
      </c>
      <c r="POF1336" s="4" t="s">
        <v>2880</v>
      </c>
      <c r="POG1336" s="4" t="s">
        <v>2880</v>
      </c>
      <c r="POH1336" s="4" t="s">
        <v>2880</v>
      </c>
      <c r="POI1336" s="4" t="s">
        <v>2880</v>
      </c>
      <c r="POJ1336" s="4" t="s">
        <v>2880</v>
      </c>
      <c r="POK1336" s="4" t="s">
        <v>2880</v>
      </c>
      <c r="POL1336" s="4" t="s">
        <v>2880</v>
      </c>
      <c r="POM1336" s="4" t="s">
        <v>2880</v>
      </c>
      <c r="PON1336" s="4" t="s">
        <v>2880</v>
      </c>
      <c r="POO1336" s="4" t="s">
        <v>2880</v>
      </c>
      <c r="POP1336" s="4" t="s">
        <v>2880</v>
      </c>
      <c r="POQ1336" s="4" t="s">
        <v>2880</v>
      </c>
      <c r="POR1336" s="4" t="s">
        <v>2880</v>
      </c>
      <c r="POS1336" s="4" t="s">
        <v>2880</v>
      </c>
      <c r="POT1336" s="4" t="s">
        <v>2880</v>
      </c>
      <c r="POU1336" s="4" t="s">
        <v>2880</v>
      </c>
      <c r="POV1336" s="4" t="s">
        <v>2880</v>
      </c>
      <c r="POW1336" s="4" t="s">
        <v>2880</v>
      </c>
      <c r="POX1336" s="4" t="s">
        <v>2880</v>
      </c>
      <c r="POY1336" s="4" t="s">
        <v>2880</v>
      </c>
      <c r="POZ1336" s="4" t="s">
        <v>2880</v>
      </c>
      <c r="PPA1336" s="4" t="s">
        <v>2880</v>
      </c>
      <c r="PPB1336" s="4" t="s">
        <v>2880</v>
      </c>
      <c r="PPC1336" s="4" t="s">
        <v>2880</v>
      </c>
      <c r="PPD1336" s="4" t="s">
        <v>2880</v>
      </c>
      <c r="PPE1336" s="4" t="s">
        <v>2880</v>
      </c>
      <c r="PPF1336" s="4" t="s">
        <v>2880</v>
      </c>
      <c r="PPG1336" s="4" t="s">
        <v>2880</v>
      </c>
      <c r="PPH1336" s="4" t="s">
        <v>2880</v>
      </c>
      <c r="PPI1336" s="4" t="s">
        <v>2880</v>
      </c>
      <c r="PPJ1336" s="4" t="s">
        <v>2880</v>
      </c>
      <c r="PPK1336" s="4" t="s">
        <v>2880</v>
      </c>
      <c r="PPL1336" s="4" t="s">
        <v>2880</v>
      </c>
      <c r="PPM1336" s="4" t="s">
        <v>2880</v>
      </c>
      <c r="PPN1336" s="4" t="s">
        <v>2880</v>
      </c>
      <c r="PPO1336" s="4" t="s">
        <v>2880</v>
      </c>
      <c r="PPP1336" s="4" t="s">
        <v>2880</v>
      </c>
      <c r="PPQ1336" s="4" t="s">
        <v>2880</v>
      </c>
      <c r="PPR1336" s="4" t="s">
        <v>2880</v>
      </c>
      <c r="PPS1336" s="4" t="s">
        <v>2880</v>
      </c>
      <c r="PPT1336" s="4" t="s">
        <v>2880</v>
      </c>
      <c r="PPU1336" s="4" t="s">
        <v>2880</v>
      </c>
      <c r="PPV1336" s="4" t="s">
        <v>2880</v>
      </c>
      <c r="PPW1336" s="4" t="s">
        <v>2880</v>
      </c>
      <c r="PPX1336" s="4" t="s">
        <v>2880</v>
      </c>
      <c r="PPY1336" s="4" t="s">
        <v>2880</v>
      </c>
      <c r="PPZ1336" s="4" t="s">
        <v>2880</v>
      </c>
      <c r="PQA1336" s="4" t="s">
        <v>2880</v>
      </c>
      <c r="PQB1336" s="4" t="s">
        <v>2880</v>
      </c>
      <c r="PQC1336" s="4" t="s">
        <v>2880</v>
      </c>
      <c r="PQD1336" s="4" t="s">
        <v>2880</v>
      </c>
      <c r="PQE1336" s="4" t="s">
        <v>2880</v>
      </c>
      <c r="PQF1336" s="4" t="s">
        <v>2880</v>
      </c>
      <c r="PQG1336" s="4" t="s">
        <v>2880</v>
      </c>
      <c r="PQH1336" s="4" t="s">
        <v>2880</v>
      </c>
      <c r="PQI1336" s="4" t="s">
        <v>2880</v>
      </c>
      <c r="PQJ1336" s="4" t="s">
        <v>2880</v>
      </c>
      <c r="PQK1336" s="4" t="s">
        <v>2880</v>
      </c>
      <c r="PQL1336" s="4" t="s">
        <v>2880</v>
      </c>
      <c r="PQM1336" s="4" t="s">
        <v>2880</v>
      </c>
      <c r="PQN1336" s="4" t="s">
        <v>2880</v>
      </c>
      <c r="PQO1336" s="4" t="s">
        <v>2880</v>
      </c>
      <c r="PQP1336" s="4" t="s">
        <v>2880</v>
      </c>
      <c r="PQQ1336" s="4" t="s">
        <v>2880</v>
      </c>
      <c r="PQR1336" s="4" t="s">
        <v>2880</v>
      </c>
      <c r="PQS1336" s="4" t="s">
        <v>2880</v>
      </c>
      <c r="PQT1336" s="4" t="s">
        <v>2880</v>
      </c>
      <c r="PQU1336" s="4" t="s">
        <v>2880</v>
      </c>
      <c r="PQV1336" s="4" t="s">
        <v>2880</v>
      </c>
      <c r="PQW1336" s="4" t="s">
        <v>2880</v>
      </c>
      <c r="PQX1336" s="4" t="s">
        <v>2880</v>
      </c>
      <c r="PQY1336" s="4" t="s">
        <v>2880</v>
      </c>
      <c r="PQZ1336" s="4" t="s">
        <v>2880</v>
      </c>
      <c r="PRA1336" s="4" t="s">
        <v>2880</v>
      </c>
      <c r="PRB1336" s="4" t="s">
        <v>2880</v>
      </c>
      <c r="PRC1336" s="4" t="s">
        <v>2880</v>
      </c>
      <c r="PRD1336" s="4" t="s">
        <v>2880</v>
      </c>
      <c r="PRE1336" s="4" t="s">
        <v>2880</v>
      </c>
      <c r="PRF1336" s="4" t="s">
        <v>2880</v>
      </c>
      <c r="PRG1336" s="4" t="s">
        <v>2880</v>
      </c>
      <c r="PRH1336" s="4" t="s">
        <v>2880</v>
      </c>
      <c r="PRI1336" s="4" t="s">
        <v>2880</v>
      </c>
      <c r="PRJ1336" s="4" t="s">
        <v>2880</v>
      </c>
      <c r="PRK1336" s="4" t="s">
        <v>2880</v>
      </c>
      <c r="PRL1336" s="4" t="s">
        <v>2880</v>
      </c>
      <c r="PRM1336" s="4" t="s">
        <v>2880</v>
      </c>
      <c r="PRN1336" s="4" t="s">
        <v>2880</v>
      </c>
      <c r="PRO1336" s="4" t="s">
        <v>2880</v>
      </c>
      <c r="PRP1336" s="4" t="s">
        <v>2880</v>
      </c>
      <c r="PRQ1336" s="4" t="s">
        <v>2880</v>
      </c>
      <c r="PRR1336" s="4" t="s">
        <v>2880</v>
      </c>
      <c r="PRS1336" s="4" t="s">
        <v>2880</v>
      </c>
      <c r="PRT1336" s="4" t="s">
        <v>2880</v>
      </c>
      <c r="PRU1336" s="4" t="s">
        <v>2880</v>
      </c>
      <c r="PRV1336" s="4" t="s">
        <v>2880</v>
      </c>
      <c r="PRW1336" s="4" t="s">
        <v>2880</v>
      </c>
      <c r="PRX1336" s="4" t="s">
        <v>2880</v>
      </c>
      <c r="PRY1336" s="4" t="s">
        <v>2880</v>
      </c>
      <c r="PRZ1336" s="4" t="s">
        <v>2880</v>
      </c>
      <c r="PSA1336" s="4" t="s">
        <v>2880</v>
      </c>
      <c r="PSB1336" s="4" t="s">
        <v>2880</v>
      </c>
      <c r="PSC1336" s="4" t="s">
        <v>2880</v>
      </c>
      <c r="PSD1336" s="4" t="s">
        <v>2880</v>
      </c>
      <c r="PSE1336" s="4" t="s">
        <v>2880</v>
      </c>
      <c r="PSF1336" s="4" t="s">
        <v>2880</v>
      </c>
      <c r="PSG1336" s="4" t="s">
        <v>2880</v>
      </c>
      <c r="PSH1336" s="4" t="s">
        <v>2880</v>
      </c>
      <c r="PSI1336" s="4" t="s">
        <v>2880</v>
      </c>
      <c r="PSJ1336" s="4" t="s">
        <v>2880</v>
      </c>
      <c r="PSK1336" s="4" t="s">
        <v>2880</v>
      </c>
      <c r="PSL1336" s="4" t="s">
        <v>2880</v>
      </c>
      <c r="PSM1336" s="4" t="s">
        <v>2880</v>
      </c>
      <c r="PSN1336" s="4" t="s">
        <v>2880</v>
      </c>
      <c r="PSO1336" s="4" t="s">
        <v>2880</v>
      </c>
      <c r="PSP1336" s="4" t="s">
        <v>2880</v>
      </c>
      <c r="PSQ1336" s="4" t="s">
        <v>2880</v>
      </c>
      <c r="PSR1336" s="4" t="s">
        <v>2880</v>
      </c>
      <c r="PSS1336" s="4" t="s">
        <v>2880</v>
      </c>
      <c r="PST1336" s="4" t="s">
        <v>2880</v>
      </c>
      <c r="PSU1336" s="4" t="s">
        <v>2880</v>
      </c>
      <c r="PSV1336" s="4" t="s">
        <v>2880</v>
      </c>
      <c r="PSW1336" s="4" t="s">
        <v>2880</v>
      </c>
      <c r="PSX1336" s="4" t="s">
        <v>2880</v>
      </c>
      <c r="PSY1336" s="4" t="s">
        <v>2880</v>
      </c>
      <c r="PSZ1336" s="4" t="s">
        <v>2880</v>
      </c>
      <c r="PTA1336" s="4" t="s">
        <v>2880</v>
      </c>
      <c r="PTB1336" s="4" t="s">
        <v>2880</v>
      </c>
      <c r="PTC1336" s="4" t="s">
        <v>2880</v>
      </c>
      <c r="PTD1336" s="4" t="s">
        <v>2880</v>
      </c>
      <c r="PTE1336" s="4" t="s">
        <v>2880</v>
      </c>
      <c r="PTF1336" s="4" t="s">
        <v>2880</v>
      </c>
      <c r="PTG1336" s="4" t="s">
        <v>2880</v>
      </c>
      <c r="PTH1336" s="4" t="s">
        <v>2880</v>
      </c>
      <c r="PTI1336" s="4" t="s">
        <v>2880</v>
      </c>
      <c r="PTJ1336" s="4" t="s">
        <v>2880</v>
      </c>
      <c r="PTK1336" s="4" t="s">
        <v>2880</v>
      </c>
      <c r="PTL1336" s="4" t="s">
        <v>2880</v>
      </c>
      <c r="PTM1336" s="4" t="s">
        <v>2880</v>
      </c>
      <c r="PTN1336" s="4" t="s">
        <v>2880</v>
      </c>
      <c r="PTO1336" s="4" t="s">
        <v>2880</v>
      </c>
      <c r="PTP1336" s="4" t="s">
        <v>2880</v>
      </c>
      <c r="PTQ1336" s="4" t="s">
        <v>2880</v>
      </c>
      <c r="PTR1336" s="4" t="s">
        <v>2880</v>
      </c>
      <c r="PTS1336" s="4" t="s">
        <v>2880</v>
      </c>
      <c r="PTT1336" s="4" t="s">
        <v>2880</v>
      </c>
      <c r="PTU1336" s="4" t="s">
        <v>2880</v>
      </c>
      <c r="PTV1336" s="4" t="s">
        <v>2880</v>
      </c>
      <c r="PTW1336" s="4" t="s">
        <v>2880</v>
      </c>
      <c r="PTX1336" s="4" t="s">
        <v>2880</v>
      </c>
      <c r="PTY1336" s="4" t="s">
        <v>2880</v>
      </c>
      <c r="PTZ1336" s="4" t="s">
        <v>2880</v>
      </c>
      <c r="PUA1336" s="4" t="s">
        <v>2880</v>
      </c>
      <c r="PUB1336" s="4" t="s">
        <v>2880</v>
      </c>
      <c r="PUC1336" s="4" t="s">
        <v>2880</v>
      </c>
      <c r="PUD1336" s="4" t="s">
        <v>2880</v>
      </c>
      <c r="PUE1336" s="4" t="s">
        <v>2880</v>
      </c>
      <c r="PUF1336" s="4" t="s">
        <v>2880</v>
      </c>
      <c r="PUG1336" s="4" t="s">
        <v>2880</v>
      </c>
      <c r="PUH1336" s="4" t="s">
        <v>2880</v>
      </c>
      <c r="PUI1336" s="4" t="s">
        <v>2880</v>
      </c>
      <c r="PUJ1336" s="4" t="s">
        <v>2880</v>
      </c>
      <c r="PUK1336" s="4" t="s">
        <v>2880</v>
      </c>
      <c r="PUL1336" s="4" t="s">
        <v>2880</v>
      </c>
      <c r="PUM1336" s="4" t="s">
        <v>2880</v>
      </c>
      <c r="PUN1336" s="4" t="s">
        <v>2880</v>
      </c>
      <c r="PUO1336" s="4" t="s">
        <v>2880</v>
      </c>
      <c r="PUP1336" s="4" t="s">
        <v>2880</v>
      </c>
      <c r="PUQ1336" s="4" t="s">
        <v>2880</v>
      </c>
      <c r="PUR1336" s="4" t="s">
        <v>2880</v>
      </c>
      <c r="PUS1336" s="4" t="s">
        <v>2880</v>
      </c>
      <c r="PUT1336" s="4" t="s">
        <v>2880</v>
      </c>
      <c r="PUU1336" s="4" t="s">
        <v>2880</v>
      </c>
      <c r="PUV1336" s="4" t="s">
        <v>2880</v>
      </c>
      <c r="PUW1336" s="4" t="s">
        <v>2880</v>
      </c>
      <c r="PUX1336" s="4" t="s">
        <v>2880</v>
      </c>
      <c r="PUY1336" s="4" t="s">
        <v>2880</v>
      </c>
      <c r="PUZ1336" s="4" t="s">
        <v>2880</v>
      </c>
      <c r="PVA1336" s="4" t="s">
        <v>2880</v>
      </c>
      <c r="PVB1336" s="4" t="s">
        <v>2880</v>
      </c>
      <c r="PVC1336" s="4" t="s">
        <v>2880</v>
      </c>
      <c r="PVD1336" s="4" t="s">
        <v>2880</v>
      </c>
      <c r="PVE1336" s="4" t="s">
        <v>2880</v>
      </c>
      <c r="PVF1336" s="4" t="s">
        <v>2880</v>
      </c>
      <c r="PVG1336" s="4" t="s">
        <v>2880</v>
      </c>
      <c r="PVH1336" s="4" t="s">
        <v>2880</v>
      </c>
      <c r="PVI1336" s="4" t="s">
        <v>2880</v>
      </c>
      <c r="PVJ1336" s="4" t="s">
        <v>2880</v>
      </c>
      <c r="PVK1336" s="4" t="s">
        <v>2880</v>
      </c>
      <c r="PVL1336" s="4" t="s">
        <v>2880</v>
      </c>
      <c r="PVM1336" s="4" t="s">
        <v>2880</v>
      </c>
      <c r="PVN1336" s="4" t="s">
        <v>2880</v>
      </c>
      <c r="PVO1336" s="4" t="s">
        <v>2880</v>
      </c>
      <c r="PVP1336" s="4" t="s">
        <v>2880</v>
      </c>
      <c r="PVQ1336" s="4" t="s">
        <v>2880</v>
      </c>
      <c r="PVR1336" s="4" t="s">
        <v>2880</v>
      </c>
      <c r="PVS1336" s="4" t="s">
        <v>2880</v>
      </c>
      <c r="PVT1336" s="4" t="s">
        <v>2880</v>
      </c>
      <c r="PVU1336" s="4" t="s">
        <v>2880</v>
      </c>
      <c r="PVV1336" s="4" t="s">
        <v>2880</v>
      </c>
      <c r="PVW1336" s="4" t="s">
        <v>2880</v>
      </c>
      <c r="PVX1336" s="4" t="s">
        <v>2880</v>
      </c>
      <c r="PVY1336" s="4" t="s">
        <v>2880</v>
      </c>
      <c r="PVZ1336" s="4" t="s">
        <v>2880</v>
      </c>
      <c r="PWA1336" s="4" t="s">
        <v>2880</v>
      </c>
      <c r="PWB1336" s="4" t="s">
        <v>2880</v>
      </c>
      <c r="PWC1336" s="4" t="s">
        <v>2880</v>
      </c>
      <c r="PWD1336" s="4" t="s">
        <v>2880</v>
      </c>
      <c r="PWE1336" s="4" t="s">
        <v>2880</v>
      </c>
      <c r="PWF1336" s="4" t="s">
        <v>2880</v>
      </c>
      <c r="PWG1336" s="4" t="s">
        <v>2880</v>
      </c>
      <c r="PWH1336" s="4" t="s">
        <v>2880</v>
      </c>
      <c r="PWI1336" s="4" t="s">
        <v>2880</v>
      </c>
      <c r="PWJ1336" s="4" t="s">
        <v>2880</v>
      </c>
      <c r="PWK1336" s="4" t="s">
        <v>2880</v>
      </c>
      <c r="PWL1336" s="4" t="s">
        <v>2880</v>
      </c>
      <c r="PWM1336" s="4" t="s">
        <v>2880</v>
      </c>
      <c r="PWN1336" s="4" t="s">
        <v>2880</v>
      </c>
      <c r="PWO1336" s="4" t="s">
        <v>2880</v>
      </c>
      <c r="PWP1336" s="4" t="s">
        <v>2880</v>
      </c>
      <c r="PWQ1336" s="4" t="s">
        <v>2880</v>
      </c>
      <c r="PWR1336" s="4" t="s">
        <v>2880</v>
      </c>
      <c r="PWS1336" s="4" t="s">
        <v>2880</v>
      </c>
      <c r="PWT1336" s="4" t="s">
        <v>2880</v>
      </c>
      <c r="PWU1336" s="4" t="s">
        <v>2880</v>
      </c>
      <c r="PWV1336" s="4" t="s">
        <v>2880</v>
      </c>
      <c r="PWW1336" s="4" t="s">
        <v>2880</v>
      </c>
      <c r="PWX1336" s="4" t="s">
        <v>2880</v>
      </c>
      <c r="PWY1336" s="4" t="s">
        <v>2880</v>
      </c>
      <c r="PWZ1336" s="4" t="s">
        <v>2880</v>
      </c>
      <c r="PXA1336" s="4" t="s">
        <v>2880</v>
      </c>
      <c r="PXB1336" s="4" t="s">
        <v>2880</v>
      </c>
      <c r="PXC1336" s="4" t="s">
        <v>2880</v>
      </c>
      <c r="PXD1336" s="4" t="s">
        <v>2880</v>
      </c>
      <c r="PXE1336" s="4" t="s">
        <v>2880</v>
      </c>
      <c r="PXF1336" s="4" t="s">
        <v>2880</v>
      </c>
      <c r="PXG1336" s="4" t="s">
        <v>2880</v>
      </c>
      <c r="PXH1336" s="4" t="s">
        <v>2880</v>
      </c>
      <c r="PXI1336" s="4" t="s">
        <v>2880</v>
      </c>
      <c r="PXJ1336" s="4" t="s">
        <v>2880</v>
      </c>
      <c r="PXK1336" s="4" t="s">
        <v>2880</v>
      </c>
      <c r="PXL1336" s="4" t="s">
        <v>2880</v>
      </c>
      <c r="PXM1336" s="4" t="s">
        <v>2880</v>
      </c>
      <c r="PXN1336" s="4" t="s">
        <v>2880</v>
      </c>
      <c r="PXO1336" s="4" t="s">
        <v>2880</v>
      </c>
      <c r="PXP1336" s="4" t="s">
        <v>2880</v>
      </c>
      <c r="PXQ1336" s="4" t="s">
        <v>2880</v>
      </c>
      <c r="PXR1336" s="4" t="s">
        <v>2880</v>
      </c>
      <c r="PXS1336" s="4" t="s">
        <v>2880</v>
      </c>
      <c r="PXT1336" s="4" t="s">
        <v>2880</v>
      </c>
      <c r="PXU1336" s="4" t="s">
        <v>2880</v>
      </c>
      <c r="PXV1336" s="4" t="s">
        <v>2880</v>
      </c>
      <c r="PXW1336" s="4" t="s">
        <v>2880</v>
      </c>
      <c r="PXX1336" s="4" t="s">
        <v>2880</v>
      </c>
      <c r="PXY1336" s="4" t="s">
        <v>2880</v>
      </c>
      <c r="PXZ1336" s="4" t="s">
        <v>2880</v>
      </c>
      <c r="PYA1336" s="4" t="s">
        <v>2880</v>
      </c>
      <c r="PYB1336" s="4" t="s">
        <v>2880</v>
      </c>
      <c r="PYC1336" s="4" t="s">
        <v>2880</v>
      </c>
      <c r="PYD1336" s="4" t="s">
        <v>2880</v>
      </c>
      <c r="PYE1336" s="4" t="s">
        <v>2880</v>
      </c>
      <c r="PYF1336" s="4" t="s">
        <v>2880</v>
      </c>
      <c r="PYG1336" s="4" t="s">
        <v>2880</v>
      </c>
      <c r="PYH1336" s="4" t="s">
        <v>2880</v>
      </c>
      <c r="PYI1336" s="4" t="s">
        <v>2880</v>
      </c>
      <c r="PYJ1336" s="4" t="s">
        <v>2880</v>
      </c>
      <c r="PYK1336" s="4" t="s">
        <v>2880</v>
      </c>
      <c r="PYL1336" s="4" t="s">
        <v>2880</v>
      </c>
      <c r="PYM1336" s="4" t="s">
        <v>2880</v>
      </c>
      <c r="PYN1336" s="4" t="s">
        <v>2880</v>
      </c>
      <c r="PYO1336" s="4" t="s">
        <v>2880</v>
      </c>
      <c r="PYP1336" s="4" t="s">
        <v>2880</v>
      </c>
      <c r="PYQ1336" s="4" t="s">
        <v>2880</v>
      </c>
      <c r="PYR1336" s="4" t="s">
        <v>2880</v>
      </c>
      <c r="PYS1336" s="4" t="s">
        <v>2880</v>
      </c>
      <c r="PYT1336" s="4" t="s">
        <v>2880</v>
      </c>
      <c r="PYU1336" s="4" t="s">
        <v>2880</v>
      </c>
      <c r="PYV1336" s="4" t="s">
        <v>2880</v>
      </c>
      <c r="PYW1336" s="4" t="s">
        <v>2880</v>
      </c>
      <c r="PYX1336" s="4" t="s">
        <v>2880</v>
      </c>
      <c r="PYY1336" s="4" t="s">
        <v>2880</v>
      </c>
      <c r="PYZ1336" s="4" t="s">
        <v>2880</v>
      </c>
      <c r="PZA1336" s="4" t="s">
        <v>2880</v>
      </c>
      <c r="PZB1336" s="4" t="s">
        <v>2880</v>
      </c>
      <c r="PZC1336" s="4" t="s">
        <v>2880</v>
      </c>
      <c r="PZD1336" s="4" t="s">
        <v>2880</v>
      </c>
      <c r="PZE1336" s="4" t="s">
        <v>2880</v>
      </c>
      <c r="PZF1336" s="4" t="s">
        <v>2880</v>
      </c>
      <c r="PZG1336" s="4" t="s">
        <v>2880</v>
      </c>
      <c r="PZH1336" s="4" t="s">
        <v>2880</v>
      </c>
      <c r="PZI1336" s="4" t="s">
        <v>2880</v>
      </c>
      <c r="PZJ1336" s="4" t="s">
        <v>2880</v>
      </c>
      <c r="PZK1336" s="4" t="s">
        <v>2880</v>
      </c>
      <c r="PZL1336" s="4" t="s">
        <v>2880</v>
      </c>
      <c r="PZM1336" s="4" t="s">
        <v>2880</v>
      </c>
      <c r="PZN1336" s="4" t="s">
        <v>2880</v>
      </c>
      <c r="PZO1336" s="4" t="s">
        <v>2880</v>
      </c>
      <c r="PZP1336" s="4" t="s">
        <v>2880</v>
      </c>
      <c r="PZQ1336" s="4" t="s">
        <v>2880</v>
      </c>
      <c r="PZR1336" s="4" t="s">
        <v>2880</v>
      </c>
      <c r="PZS1336" s="4" t="s">
        <v>2880</v>
      </c>
      <c r="PZT1336" s="4" t="s">
        <v>2880</v>
      </c>
      <c r="PZU1336" s="4" t="s">
        <v>2880</v>
      </c>
      <c r="PZV1336" s="4" t="s">
        <v>2880</v>
      </c>
      <c r="PZW1336" s="4" t="s">
        <v>2880</v>
      </c>
      <c r="PZX1336" s="4" t="s">
        <v>2880</v>
      </c>
      <c r="PZY1336" s="4" t="s">
        <v>2880</v>
      </c>
      <c r="PZZ1336" s="4" t="s">
        <v>2880</v>
      </c>
      <c r="QAA1336" s="4" t="s">
        <v>2880</v>
      </c>
      <c r="QAB1336" s="4" t="s">
        <v>2880</v>
      </c>
      <c r="QAC1336" s="4" t="s">
        <v>2880</v>
      </c>
      <c r="QAD1336" s="4" t="s">
        <v>2880</v>
      </c>
      <c r="QAE1336" s="4" t="s">
        <v>2880</v>
      </c>
      <c r="QAF1336" s="4" t="s">
        <v>2880</v>
      </c>
      <c r="QAG1336" s="4" t="s">
        <v>2880</v>
      </c>
      <c r="QAH1336" s="4" t="s">
        <v>2880</v>
      </c>
      <c r="QAI1336" s="4" t="s">
        <v>2880</v>
      </c>
      <c r="QAJ1336" s="4" t="s">
        <v>2880</v>
      </c>
      <c r="QAK1336" s="4" t="s">
        <v>2880</v>
      </c>
      <c r="QAL1336" s="4" t="s">
        <v>2880</v>
      </c>
      <c r="QAM1336" s="4" t="s">
        <v>2880</v>
      </c>
      <c r="QAN1336" s="4" t="s">
        <v>2880</v>
      </c>
      <c r="QAO1336" s="4" t="s">
        <v>2880</v>
      </c>
      <c r="QAP1336" s="4" t="s">
        <v>2880</v>
      </c>
      <c r="QAQ1336" s="4" t="s">
        <v>2880</v>
      </c>
      <c r="QAR1336" s="4" t="s">
        <v>2880</v>
      </c>
      <c r="QAS1336" s="4" t="s">
        <v>2880</v>
      </c>
      <c r="QAT1336" s="4" t="s">
        <v>2880</v>
      </c>
      <c r="QAU1336" s="4" t="s">
        <v>2880</v>
      </c>
      <c r="QAV1336" s="4" t="s">
        <v>2880</v>
      </c>
      <c r="QAW1336" s="4" t="s">
        <v>2880</v>
      </c>
      <c r="QAX1336" s="4" t="s">
        <v>2880</v>
      </c>
      <c r="QAY1336" s="4" t="s">
        <v>2880</v>
      </c>
      <c r="QAZ1336" s="4" t="s">
        <v>2880</v>
      </c>
      <c r="QBA1336" s="4" t="s">
        <v>2880</v>
      </c>
      <c r="QBB1336" s="4" t="s">
        <v>2880</v>
      </c>
      <c r="QBC1336" s="4" t="s">
        <v>2880</v>
      </c>
      <c r="QBD1336" s="4" t="s">
        <v>2880</v>
      </c>
      <c r="QBE1336" s="4" t="s">
        <v>2880</v>
      </c>
      <c r="QBF1336" s="4" t="s">
        <v>2880</v>
      </c>
      <c r="QBG1336" s="4" t="s">
        <v>2880</v>
      </c>
      <c r="QBH1336" s="4" t="s">
        <v>2880</v>
      </c>
      <c r="QBI1336" s="4" t="s">
        <v>2880</v>
      </c>
      <c r="QBJ1336" s="4" t="s">
        <v>2880</v>
      </c>
      <c r="QBK1336" s="4" t="s">
        <v>2880</v>
      </c>
      <c r="QBL1336" s="4" t="s">
        <v>2880</v>
      </c>
      <c r="QBM1336" s="4" t="s">
        <v>2880</v>
      </c>
      <c r="QBN1336" s="4" t="s">
        <v>2880</v>
      </c>
      <c r="QBO1336" s="4" t="s">
        <v>2880</v>
      </c>
      <c r="QBP1336" s="4" t="s">
        <v>2880</v>
      </c>
      <c r="QBQ1336" s="4" t="s">
        <v>2880</v>
      </c>
      <c r="QBR1336" s="4" t="s">
        <v>2880</v>
      </c>
      <c r="QBS1336" s="4" t="s">
        <v>2880</v>
      </c>
      <c r="QBT1336" s="4" t="s">
        <v>2880</v>
      </c>
      <c r="QBU1336" s="4" t="s">
        <v>2880</v>
      </c>
      <c r="QBV1336" s="4" t="s">
        <v>2880</v>
      </c>
      <c r="QBW1336" s="4" t="s">
        <v>2880</v>
      </c>
      <c r="QBX1336" s="4" t="s">
        <v>2880</v>
      </c>
      <c r="QBY1336" s="4" t="s">
        <v>2880</v>
      </c>
      <c r="QBZ1336" s="4" t="s">
        <v>2880</v>
      </c>
      <c r="QCA1336" s="4" t="s">
        <v>2880</v>
      </c>
      <c r="QCB1336" s="4" t="s">
        <v>2880</v>
      </c>
      <c r="QCC1336" s="4" t="s">
        <v>2880</v>
      </c>
      <c r="QCD1336" s="4" t="s">
        <v>2880</v>
      </c>
      <c r="QCE1336" s="4" t="s">
        <v>2880</v>
      </c>
      <c r="QCF1336" s="4" t="s">
        <v>2880</v>
      </c>
      <c r="QCG1336" s="4" t="s">
        <v>2880</v>
      </c>
      <c r="QCH1336" s="4" t="s">
        <v>2880</v>
      </c>
      <c r="QCI1336" s="4" t="s">
        <v>2880</v>
      </c>
      <c r="QCJ1336" s="4" t="s">
        <v>2880</v>
      </c>
      <c r="QCK1336" s="4" t="s">
        <v>2880</v>
      </c>
      <c r="QCL1336" s="4" t="s">
        <v>2880</v>
      </c>
      <c r="QCM1336" s="4" t="s">
        <v>2880</v>
      </c>
      <c r="QCN1336" s="4" t="s">
        <v>2880</v>
      </c>
      <c r="QCO1336" s="4" t="s">
        <v>2880</v>
      </c>
      <c r="QCP1336" s="4" t="s">
        <v>2880</v>
      </c>
      <c r="QCQ1336" s="4" t="s">
        <v>2880</v>
      </c>
      <c r="QCR1336" s="4" t="s">
        <v>2880</v>
      </c>
      <c r="QCS1336" s="4" t="s">
        <v>2880</v>
      </c>
      <c r="QCT1336" s="4" t="s">
        <v>2880</v>
      </c>
      <c r="QCU1336" s="4" t="s">
        <v>2880</v>
      </c>
      <c r="QCV1336" s="4" t="s">
        <v>2880</v>
      </c>
      <c r="QCW1336" s="4" t="s">
        <v>2880</v>
      </c>
      <c r="QCX1336" s="4" t="s">
        <v>2880</v>
      </c>
      <c r="QCY1336" s="4" t="s">
        <v>2880</v>
      </c>
      <c r="QCZ1336" s="4" t="s">
        <v>2880</v>
      </c>
      <c r="QDA1336" s="4" t="s">
        <v>2880</v>
      </c>
      <c r="QDB1336" s="4" t="s">
        <v>2880</v>
      </c>
      <c r="QDC1336" s="4" t="s">
        <v>2880</v>
      </c>
      <c r="QDD1336" s="4" t="s">
        <v>2880</v>
      </c>
      <c r="QDE1336" s="4" t="s">
        <v>2880</v>
      </c>
      <c r="QDF1336" s="4" t="s">
        <v>2880</v>
      </c>
      <c r="QDG1336" s="4" t="s">
        <v>2880</v>
      </c>
      <c r="QDH1336" s="4" t="s">
        <v>2880</v>
      </c>
      <c r="QDI1336" s="4" t="s">
        <v>2880</v>
      </c>
      <c r="QDJ1336" s="4" t="s">
        <v>2880</v>
      </c>
      <c r="QDK1336" s="4" t="s">
        <v>2880</v>
      </c>
      <c r="QDL1336" s="4" t="s">
        <v>2880</v>
      </c>
      <c r="QDM1336" s="4" t="s">
        <v>2880</v>
      </c>
      <c r="QDN1336" s="4" t="s">
        <v>2880</v>
      </c>
      <c r="QDO1336" s="4" t="s">
        <v>2880</v>
      </c>
      <c r="QDP1336" s="4" t="s">
        <v>2880</v>
      </c>
      <c r="QDQ1336" s="4" t="s">
        <v>2880</v>
      </c>
      <c r="QDR1336" s="4" t="s">
        <v>2880</v>
      </c>
      <c r="QDS1336" s="4" t="s">
        <v>2880</v>
      </c>
      <c r="QDT1336" s="4" t="s">
        <v>2880</v>
      </c>
      <c r="QDU1336" s="4" t="s">
        <v>2880</v>
      </c>
      <c r="QDV1336" s="4" t="s">
        <v>2880</v>
      </c>
      <c r="QDW1336" s="4" t="s">
        <v>2880</v>
      </c>
      <c r="QDX1336" s="4" t="s">
        <v>2880</v>
      </c>
      <c r="QDY1336" s="4" t="s">
        <v>2880</v>
      </c>
      <c r="QDZ1336" s="4" t="s">
        <v>2880</v>
      </c>
      <c r="QEA1336" s="4" t="s">
        <v>2880</v>
      </c>
      <c r="QEB1336" s="4" t="s">
        <v>2880</v>
      </c>
      <c r="QEC1336" s="4" t="s">
        <v>2880</v>
      </c>
      <c r="QED1336" s="4" t="s">
        <v>2880</v>
      </c>
      <c r="QEE1336" s="4" t="s">
        <v>2880</v>
      </c>
      <c r="QEF1336" s="4" t="s">
        <v>2880</v>
      </c>
      <c r="QEG1336" s="4" t="s">
        <v>2880</v>
      </c>
      <c r="QEH1336" s="4" t="s">
        <v>2880</v>
      </c>
      <c r="QEI1336" s="4" t="s">
        <v>2880</v>
      </c>
      <c r="QEJ1336" s="4" t="s">
        <v>2880</v>
      </c>
      <c r="QEK1336" s="4" t="s">
        <v>2880</v>
      </c>
      <c r="QEL1336" s="4" t="s">
        <v>2880</v>
      </c>
      <c r="QEM1336" s="4" t="s">
        <v>2880</v>
      </c>
      <c r="QEN1336" s="4" t="s">
        <v>2880</v>
      </c>
      <c r="QEO1336" s="4" t="s">
        <v>2880</v>
      </c>
      <c r="QEP1336" s="4" t="s">
        <v>2880</v>
      </c>
      <c r="QEQ1336" s="4" t="s">
        <v>2880</v>
      </c>
      <c r="QER1336" s="4" t="s">
        <v>2880</v>
      </c>
      <c r="QES1336" s="4" t="s">
        <v>2880</v>
      </c>
      <c r="QET1336" s="4" t="s">
        <v>2880</v>
      </c>
      <c r="QEU1336" s="4" t="s">
        <v>2880</v>
      </c>
      <c r="QEV1336" s="4" t="s">
        <v>2880</v>
      </c>
      <c r="QEW1336" s="4" t="s">
        <v>2880</v>
      </c>
      <c r="QEX1336" s="4" t="s">
        <v>2880</v>
      </c>
      <c r="QEY1336" s="4" t="s">
        <v>2880</v>
      </c>
      <c r="QEZ1336" s="4" t="s">
        <v>2880</v>
      </c>
      <c r="QFA1336" s="4" t="s">
        <v>2880</v>
      </c>
      <c r="QFB1336" s="4" t="s">
        <v>2880</v>
      </c>
      <c r="QFC1336" s="4" t="s">
        <v>2880</v>
      </c>
      <c r="QFD1336" s="4" t="s">
        <v>2880</v>
      </c>
      <c r="QFE1336" s="4" t="s">
        <v>2880</v>
      </c>
      <c r="QFF1336" s="4" t="s">
        <v>2880</v>
      </c>
      <c r="QFG1336" s="4" t="s">
        <v>2880</v>
      </c>
      <c r="QFH1336" s="4" t="s">
        <v>2880</v>
      </c>
      <c r="QFI1336" s="4" t="s">
        <v>2880</v>
      </c>
      <c r="QFJ1336" s="4" t="s">
        <v>2880</v>
      </c>
      <c r="QFK1336" s="4" t="s">
        <v>2880</v>
      </c>
      <c r="QFL1336" s="4" t="s">
        <v>2880</v>
      </c>
      <c r="QFM1336" s="4" t="s">
        <v>2880</v>
      </c>
      <c r="QFN1336" s="4" t="s">
        <v>2880</v>
      </c>
      <c r="QFO1336" s="4" t="s">
        <v>2880</v>
      </c>
      <c r="QFP1336" s="4" t="s">
        <v>2880</v>
      </c>
      <c r="QFQ1336" s="4" t="s">
        <v>2880</v>
      </c>
      <c r="QFR1336" s="4" t="s">
        <v>2880</v>
      </c>
      <c r="QFS1336" s="4" t="s">
        <v>2880</v>
      </c>
      <c r="QFT1336" s="4" t="s">
        <v>2880</v>
      </c>
      <c r="QFU1336" s="4" t="s">
        <v>2880</v>
      </c>
      <c r="QFV1336" s="4" t="s">
        <v>2880</v>
      </c>
      <c r="QFW1336" s="4" t="s">
        <v>2880</v>
      </c>
      <c r="QFX1336" s="4" t="s">
        <v>2880</v>
      </c>
      <c r="QFY1336" s="4" t="s">
        <v>2880</v>
      </c>
      <c r="QFZ1336" s="4" t="s">
        <v>2880</v>
      </c>
      <c r="QGA1336" s="4" t="s">
        <v>2880</v>
      </c>
      <c r="QGB1336" s="4" t="s">
        <v>2880</v>
      </c>
      <c r="QGC1336" s="4" t="s">
        <v>2880</v>
      </c>
      <c r="QGD1336" s="4" t="s">
        <v>2880</v>
      </c>
      <c r="QGE1336" s="4" t="s">
        <v>2880</v>
      </c>
      <c r="QGF1336" s="4" t="s">
        <v>2880</v>
      </c>
      <c r="QGG1336" s="4" t="s">
        <v>2880</v>
      </c>
      <c r="QGH1336" s="4" t="s">
        <v>2880</v>
      </c>
      <c r="QGI1336" s="4" t="s">
        <v>2880</v>
      </c>
      <c r="QGJ1336" s="4" t="s">
        <v>2880</v>
      </c>
      <c r="QGK1336" s="4" t="s">
        <v>2880</v>
      </c>
      <c r="QGL1336" s="4" t="s">
        <v>2880</v>
      </c>
      <c r="QGM1336" s="4" t="s">
        <v>2880</v>
      </c>
      <c r="QGN1336" s="4" t="s">
        <v>2880</v>
      </c>
      <c r="QGO1336" s="4" t="s">
        <v>2880</v>
      </c>
      <c r="QGP1336" s="4" t="s">
        <v>2880</v>
      </c>
      <c r="QGQ1336" s="4" t="s">
        <v>2880</v>
      </c>
      <c r="QGR1336" s="4" t="s">
        <v>2880</v>
      </c>
      <c r="QGS1336" s="4" t="s">
        <v>2880</v>
      </c>
      <c r="QGT1336" s="4" t="s">
        <v>2880</v>
      </c>
      <c r="QGU1336" s="4" t="s">
        <v>2880</v>
      </c>
      <c r="QGV1336" s="4" t="s">
        <v>2880</v>
      </c>
      <c r="QGW1336" s="4" t="s">
        <v>2880</v>
      </c>
      <c r="QGX1336" s="4" t="s">
        <v>2880</v>
      </c>
      <c r="QGY1336" s="4" t="s">
        <v>2880</v>
      </c>
      <c r="QGZ1336" s="4" t="s">
        <v>2880</v>
      </c>
      <c r="QHA1336" s="4" t="s">
        <v>2880</v>
      </c>
      <c r="QHB1336" s="4" t="s">
        <v>2880</v>
      </c>
      <c r="QHC1336" s="4" t="s">
        <v>2880</v>
      </c>
      <c r="QHD1336" s="4" t="s">
        <v>2880</v>
      </c>
      <c r="QHE1336" s="4" t="s">
        <v>2880</v>
      </c>
      <c r="QHF1336" s="4" t="s">
        <v>2880</v>
      </c>
      <c r="QHG1336" s="4" t="s">
        <v>2880</v>
      </c>
      <c r="QHH1336" s="4" t="s">
        <v>2880</v>
      </c>
      <c r="QHI1336" s="4" t="s">
        <v>2880</v>
      </c>
      <c r="QHJ1336" s="4" t="s">
        <v>2880</v>
      </c>
      <c r="QHK1336" s="4" t="s">
        <v>2880</v>
      </c>
      <c r="QHL1336" s="4" t="s">
        <v>2880</v>
      </c>
      <c r="QHM1336" s="4" t="s">
        <v>2880</v>
      </c>
      <c r="QHN1336" s="4" t="s">
        <v>2880</v>
      </c>
      <c r="QHO1336" s="4" t="s">
        <v>2880</v>
      </c>
      <c r="QHP1336" s="4" t="s">
        <v>2880</v>
      </c>
      <c r="QHQ1336" s="4" t="s">
        <v>2880</v>
      </c>
      <c r="QHR1336" s="4" t="s">
        <v>2880</v>
      </c>
      <c r="QHS1336" s="4" t="s">
        <v>2880</v>
      </c>
      <c r="QHT1336" s="4" t="s">
        <v>2880</v>
      </c>
      <c r="QHU1336" s="4" t="s">
        <v>2880</v>
      </c>
      <c r="QHV1336" s="4" t="s">
        <v>2880</v>
      </c>
      <c r="QHW1336" s="4" t="s">
        <v>2880</v>
      </c>
      <c r="QHX1336" s="4" t="s">
        <v>2880</v>
      </c>
      <c r="QHY1336" s="4" t="s">
        <v>2880</v>
      </c>
      <c r="QHZ1336" s="4" t="s">
        <v>2880</v>
      </c>
      <c r="QIA1336" s="4" t="s">
        <v>2880</v>
      </c>
      <c r="QIB1336" s="4" t="s">
        <v>2880</v>
      </c>
      <c r="QIC1336" s="4" t="s">
        <v>2880</v>
      </c>
      <c r="QID1336" s="4" t="s">
        <v>2880</v>
      </c>
      <c r="QIE1336" s="4" t="s">
        <v>2880</v>
      </c>
      <c r="QIF1336" s="4" t="s">
        <v>2880</v>
      </c>
      <c r="QIG1336" s="4" t="s">
        <v>2880</v>
      </c>
      <c r="QIH1336" s="4" t="s">
        <v>2880</v>
      </c>
      <c r="QII1336" s="4" t="s">
        <v>2880</v>
      </c>
      <c r="QIJ1336" s="4" t="s">
        <v>2880</v>
      </c>
      <c r="QIK1336" s="4" t="s">
        <v>2880</v>
      </c>
      <c r="QIL1336" s="4" t="s">
        <v>2880</v>
      </c>
      <c r="QIM1336" s="4" t="s">
        <v>2880</v>
      </c>
      <c r="QIN1336" s="4" t="s">
        <v>2880</v>
      </c>
      <c r="QIO1336" s="4" t="s">
        <v>2880</v>
      </c>
      <c r="QIP1336" s="4" t="s">
        <v>2880</v>
      </c>
      <c r="QIQ1336" s="4" t="s">
        <v>2880</v>
      </c>
      <c r="QIR1336" s="4" t="s">
        <v>2880</v>
      </c>
      <c r="QIS1336" s="4" t="s">
        <v>2880</v>
      </c>
      <c r="QIT1336" s="4" t="s">
        <v>2880</v>
      </c>
      <c r="QIU1336" s="4" t="s">
        <v>2880</v>
      </c>
      <c r="QIV1336" s="4" t="s">
        <v>2880</v>
      </c>
      <c r="QIW1336" s="4" t="s">
        <v>2880</v>
      </c>
      <c r="QIX1336" s="4" t="s">
        <v>2880</v>
      </c>
      <c r="QIY1336" s="4" t="s">
        <v>2880</v>
      </c>
      <c r="QIZ1336" s="4" t="s">
        <v>2880</v>
      </c>
      <c r="QJA1336" s="4" t="s">
        <v>2880</v>
      </c>
      <c r="QJB1336" s="4" t="s">
        <v>2880</v>
      </c>
      <c r="QJC1336" s="4" t="s">
        <v>2880</v>
      </c>
      <c r="QJD1336" s="4" t="s">
        <v>2880</v>
      </c>
      <c r="QJE1336" s="4" t="s">
        <v>2880</v>
      </c>
      <c r="QJF1336" s="4" t="s">
        <v>2880</v>
      </c>
      <c r="QJG1336" s="4" t="s">
        <v>2880</v>
      </c>
      <c r="QJH1336" s="4" t="s">
        <v>2880</v>
      </c>
      <c r="QJI1336" s="4" t="s">
        <v>2880</v>
      </c>
      <c r="QJJ1336" s="4" t="s">
        <v>2880</v>
      </c>
      <c r="QJK1336" s="4" t="s">
        <v>2880</v>
      </c>
      <c r="QJL1336" s="4" t="s">
        <v>2880</v>
      </c>
      <c r="QJM1336" s="4" t="s">
        <v>2880</v>
      </c>
      <c r="QJN1336" s="4" t="s">
        <v>2880</v>
      </c>
      <c r="QJO1336" s="4" t="s">
        <v>2880</v>
      </c>
      <c r="QJP1336" s="4" t="s">
        <v>2880</v>
      </c>
      <c r="QJQ1336" s="4" t="s">
        <v>2880</v>
      </c>
      <c r="QJR1336" s="4" t="s">
        <v>2880</v>
      </c>
      <c r="QJS1336" s="4" t="s">
        <v>2880</v>
      </c>
      <c r="QJT1336" s="4" t="s">
        <v>2880</v>
      </c>
      <c r="QJU1336" s="4" t="s">
        <v>2880</v>
      </c>
      <c r="QJV1336" s="4" t="s">
        <v>2880</v>
      </c>
      <c r="QJW1336" s="4" t="s">
        <v>2880</v>
      </c>
      <c r="QJX1336" s="4" t="s">
        <v>2880</v>
      </c>
      <c r="QJY1336" s="4" t="s">
        <v>2880</v>
      </c>
      <c r="QJZ1336" s="4" t="s">
        <v>2880</v>
      </c>
      <c r="QKA1336" s="4" t="s">
        <v>2880</v>
      </c>
      <c r="QKB1336" s="4" t="s">
        <v>2880</v>
      </c>
      <c r="QKC1336" s="4" t="s">
        <v>2880</v>
      </c>
      <c r="QKD1336" s="4" t="s">
        <v>2880</v>
      </c>
      <c r="QKE1336" s="4" t="s">
        <v>2880</v>
      </c>
      <c r="QKF1336" s="4" t="s">
        <v>2880</v>
      </c>
      <c r="QKG1336" s="4" t="s">
        <v>2880</v>
      </c>
      <c r="QKH1336" s="4" t="s">
        <v>2880</v>
      </c>
      <c r="QKI1336" s="4" t="s">
        <v>2880</v>
      </c>
      <c r="QKJ1336" s="4" t="s">
        <v>2880</v>
      </c>
      <c r="QKK1336" s="4" t="s">
        <v>2880</v>
      </c>
      <c r="QKL1336" s="4" t="s">
        <v>2880</v>
      </c>
      <c r="QKM1336" s="4" t="s">
        <v>2880</v>
      </c>
      <c r="QKN1336" s="4" t="s">
        <v>2880</v>
      </c>
      <c r="QKO1336" s="4" t="s">
        <v>2880</v>
      </c>
      <c r="QKP1336" s="4" t="s">
        <v>2880</v>
      </c>
      <c r="QKQ1336" s="4" t="s">
        <v>2880</v>
      </c>
      <c r="QKR1336" s="4" t="s">
        <v>2880</v>
      </c>
      <c r="QKS1336" s="4" t="s">
        <v>2880</v>
      </c>
      <c r="QKT1336" s="4" t="s">
        <v>2880</v>
      </c>
      <c r="QKU1336" s="4" t="s">
        <v>2880</v>
      </c>
      <c r="QKV1336" s="4" t="s">
        <v>2880</v>
      </c>
      <c r="QKW1336" s="4" t="s">
        <v>2880</v>
      </c>
      <c r="QKX1336" s="4" t="s">
        <v>2880</v>
      </c>
      <c r="QKY1336" s="4" t="s">
        <v>2880</v>
      </c>
      <c r="QKZ1336" s="4" t="s">
        <v>2880</v>
      </c>
      <c r="QLA1336" s="4" t="s">
        <v>2880</v>
      </c>
      <c r="QLB1336" s="4" t="s">
        <v>2880</v>
      </c>
      <c r="QLC1336" s="4" t="s">
        <v>2880</v>
      </c>
      <c r="QLD1336" s="4" t="s">
        <v>2880</v>
      </c>
      <c r="QLE1336" s="4" t="s">
        <v>2880</v>
      </c>
      <c r="QLF1336" s="4" t="s">
        <v>2880</v>
      </c>
      <c r="QLG1336" s="4" t="s">
        <v>2880</v>
      </c>
      <c r="QLH1336" s="4" t="s">
        <v>2880</v>
      </c>
      <c r="QLI1336" s="4" t="s">
        <v>2880</v>
      </c>
      <c r="QLJ1336" s="4" t="s">
        <v>2880</v>
      </c>
      <c r="QLK1336" s="4" t="s">
        <v>2880</v>
      </c>
      <c r="QLL1336" s="4" t="s">
        <v>2880</v>
      </c>
      <c r="QLM1336" s="4" t="s">
        <v>2880</v>
      </c>
      <c r="QLN1336" s="4" t="s">
        <v>2880</v>
      </c>
      <c r="QLO1336" s="4" t="s">
        <v>2880</v>
      </c>
      <c r="QLP1336" s="4" t="s">
        <v>2880</v>
      </c>
      <c r="QLQ1336" s="4" t="s">
        <v>2880</v>
      </c>
      <c r="QLR1336" s="4" t="s">
        <v>2880</v>
      </c>
      <c r="QLS1336" s="4" t="s">
        <v>2880</v>
      </c>
      <c r="QLT1336" s="4" t="s">
        <v>2880</v>
      </c>
      <c r="QLU1336" s="4" t="s">
        <v>2880</v>
      </c>
      <c r="QLV1336" s="4" t="s">
        <v>2880</v>
      </c>
      <c r="QLW1336" s="4" t="s">
        <v>2880</v>
      </c>
      <c r="QLX1336" s="4" t="s">
        <v>2880</v>
      </c>
      <c r="QLY1336" s="4" t="s">
        <v>2880</v>
      </c>
      <c r="QLZ1336" s="4" t="s">
        <v>2880</v>
      </c>
      <c r="QMA1336" s="4" t="s">
        <v>2880</v>
      </c>
      <c r="QMB1336" s="4" t="s">
        <v>2880</v>
      </c>
      <c r="QMC1336" s="4" t="s">
        <v>2880</v>
      </c>
      <c r="QMD1336" s="4" t="s">
        <v>2880</v>
      </c>
      <c r="QME1336" s="4" t="s">
        <v>2880</v>
      </c>
      <c r="QMF1336" s="4" t="s">
        <v>2880</v>
      </c>
      <c r="QMG1336" s="4" t="s">
        <v>2880</v>
      </c>
      <c r="QMH1336" s="4" t="s">
        <v>2880</v>
      </c>
      <c r="QMI1336" s="4" t="s">
        <v>2880</v>
      </c>
      <c r="QMJ1336" s="4" t="s">
        <v>2880</v>
      </c>
      <c r="QMK1336" s="4" t="s">
        <v>2880</v>
      </c>
      <c r="QML1336" s="4" t="s">
        <v>2880</v>
      </c>
      <c r="QMM1336" s="4" t="s">
        <v>2880</v>
      </c>
      <c r="QMN1336" s="4" t="s">
        <v>2880</v>
      </c>
      <c r="QMO1336" s="4" t="s">
        <v>2880</v>
      </c>
      <c r="QMP1336" s="4" t="s">
        <v>2880</v>
      </c>
      <c r="QMQ1336" s="4" t="s">
        <v>2880</v>
      </c>
      <c r="QMR1336" s="4" t="s">
        <v>2880</v>
      </c>
      <c r="QMS1336" s="4" t="s">
        <v>2880</v>
      </c>
      <c r="QMT1336" s="4" t="s">
        <v>2880</v>
      </c>
      <c r="QMU1336" s="4" t="s">
        <v>2880</v>
      </c>
      <c r="QMV1336" s="4" t="s">
        <v>2880</v>
      </c>
      <c r="QMW1336" s="4" t="s">
        <v>2880</v>
      </c>
      <c r="QMX1336" s="4" t="s">
        <v>2880</v>
      </c>
      <c r="QMY1336" s="4" t="s">
        <v>2880</v>
      </c>
      <c r="QMZ1336" s="4" t="s">
        <v>2880</v>
      </c>
      <c r="QNA1336" s="4" t="s">
        <v>2880</v>
      </c>
      <c r="QNB1336" s="4" t="s">
        <v>2880</v>
      </c>
      <c r="QNC1336" s="4" t="s">
        <v>2880</v>
      </c>
      <c r="QND1336" s="4" t="s">
        <v>2880</v>
      </c>
      <c r="QNE1336" s="4" t="s">
        <v>2880</v>
      </c>
      <c r="QNF1336" s="4" t="s">
        <v>2880</v>
      </c>
      <c r="QNG1336" s="4" t="s">
        <v>2880</v>
      </c>
      <c r="QNH1336" s="4" t="s">
        <v>2880</v>
      </c>
      <c r="QNI1336" s="4" t="s">
        <v>2880</v>
      </c>
      <c r="QNJ1336" s="4" t="s">
        <v>2880</v>
      </c>
      <c r="QNK1336" s="4" t="s">
        <v>2880</v>
      </c>
      <c r="QNL1336" s="4" t="s">
        <v>2880</v>
      </c>
      <c r="QNM1336" s="4" t="s">
        <v>2880</v>
      </c>
      <c r="QNN1336" s="4" t="s">
        <v>2880</v>
      </c>
      <c r="QNO1336" s="4" t="s">
        <v>2880</v>
      </c>
      <c r="QNP1336" s="4" t="s">
        <v>2880</v>
      </c>
      <c r="QNQ1336" s="4" t="s">
        <v>2880</v>
      </c>
      <c r="QNR1336" s="4" t="s">
        <v>2880</v>
      </c>
      <c r="QNS1336" s="4" t="s">
        <v>2880</v>
      </c>
      <c r="QNT1336" s="4" t="s">
        <v>2880</v>
      </c>
      <c r="QNU1336" s="4" t="s">
        <v>2880</v>
      </c>
      <c r="QNV1336" s="4" t="s">
        <v>2880</v>
      </c>
      <c r="QNW1336" s="4" t="s">
        <v>2880</v>
      </c>
      <c r="QNX1336" s="4" t="s">
        <v>2880</v>
      </c>
      <c r="QNY1336" s="4" t="s">
        <v>2880</v>
      </c>
      <c r="QNZ1336" s="4" t="s">
        <v>2880</v>
      </c>
      <c r="QOA1336" s="4" t="s">
        <v>2880</v>
      </c>
      <c r="QOB1336" s="4" t="s">
        <v>2880</v>
      </c>
      <c r="QOC1336" s="4" t="s">
        <v>2880</v>
      </c>
      <c r="QOD1336" s="4" t="s">
        <v>2880</v>
      </c>
      <c r="QOE1336" s="4" t="s">
        <v>2880</v>
      </c>
      <c r="QOF1336" s="4" t="s">
        <v>2880</v>
      </c>
      <c r="QOG1336" s="4" t="s">
        <v>2880</v>
      </c>
      <c r="QOH1336" s="4" t="s">
        <v>2880</v>
      </c>
      <c r="QOI1336" s="4" t="s">
        <v>2880</v>
      </c>
      <c r="QOJ1336" s="4" t="s">
        <v>2880</v>
      </c>
      <c r="QOK1336" s="4" t="s">
        <v>2880</v>
      </c>
      <c r="QOL1336" s="4" t="s">
        <v>2880</v>
      </c>
      <c r="QOM1336" s="4" t="s">
        <v>2880</v>
      </c>
      <c r="QON1336" s="4" t="s">
        <v>2880</v>
      </c>
      <c r="QOO1336" s="4" t="s">
        <v>2880</v>
      </c>
      <c r="QOP1336" s="4" t="s">
        <v>2880</v>
      </c>
      <c r="QOQ1336" s="4" t="s">
        <v>2880</v>
      </c>
      <c r="QOR1336" s="4" t="s">
        <v>2880</v>
      </c>
      <c r="QOS1336" s="4" t="s">
        <v>2880</v>
      </c>
      <c r="QOT1336" s="4" t="s">
        <v>2880</v>
      </c>
      <c r="QOU1336" s="4" t="s">
        <v>2880</v>
      </c>
      <c r="QOV1336" s="4" t="s">
        <v>2880</v>
      </c>
      <c r="QOW1336" s="4" t="s">
        <v>2880</v>
      </c>
      <c r="QOX1336" s="4" t="s">
        <v>2880</v>
      </c>
      <c r="QOY1336" s="4" t="s">
        <v>2880</v>
      </c>
      <c r="QOZ1336" s="4" t="s">
        <v>2880</v>
      </c>
      <c r="QPA1336" s="4" t="s">
        <v>2880</v>
      </c>
      <c r="QPB1336" s="4" t="s">
        <v>2880</v>
      </c>
      <c r="QPC1336" s="4" t="s">
        <v>2880</v>
      </c>
      <c r="QPD1336" s="4" t="s">
        <v>2880</v>
      </c>
      <c r="QPE1336" s="4" t="s">
        <v>2880</v>
      </c>
      <c r="QPF1336" s="4" t="s">
        <v>2880</v>
      </c>
      <c r="QPG1336" s="4" t="s">
        <v>2880</v>
      </c>
      <c r="QPH1336" s="4" t="s">
        <v>2880</v>
      </c>
      <c r="QPI1336" s="4" t="s">
        <v>2880</v>
      </c>
      <c r="QPJ1336" s="4" t="s">
        <v>2880</v>
      </c>
      <c r="QPK1336" s="4" t="s">
        <v>2880</v>
      </c>
      <c r="QPL1336" s="4" t="s">
        <v>2880</v>
      </c>
      <c r="QPM1336" s="4" t="s">
        <v>2880</v>
      </c>
      <c r="QPN1336" s="4" t="s">
        <v>2880</v>
      </c>
      <c r="QPO1336" s="4" t="s">
        <v>2880</v>
      </c>
      <c r="QPP1336" s="4" t="s">
        <v>2880</v>
      </c>
      <c r="QPQ1336" s="4" t="s">
        <v>2880</v>
      </c>
      <c r="QPR1336" s="4" t="s">
        <v>2880</v>
      </c>
      <c r="QPS1336" s="4" t="s">
        <v>2880</v>
      </c>
      <c r="QPT1336" s="4" t="s">
        <v>2880</v>
      </c>
      <c r="QPU1336" s="4" t="s">
        <v>2880</v>
      </c>
      <c r="QPV1336" s="4" t="s">
        <v>2880</v>
      </c>
      <c r="QPW1336" s="4" t="s">
        <v>2880</v>
      </c>
      <c r="QPX1336" s="4" t="s">
        <v>2880</v>
      </c>
      <c r="QPY1336" s="4" t="s">
        <v>2880</v>
      </c>
      <c r="QPZ1336" s="4" t="s">
        <v>2880</v>
      </c>
      <c r="QQA1336" s="4" t="s">
        <v>2880</v>
      </c>
      <c r="QQB1336" s="4" t="s">
        <v>2880</v>
      </c>
      <c r="QQC1336" s="4" t="s">
        <v>2880</v>
      </c>
      <c r="QQD1336" s="4" t="s">
        <v>2880</v>
      </c>
      <c r="QQE1336" s="4" t="s">
        <v>2880</v>
      </c>
      <c r="QQF1336" s="4" t="s">
        <v>2880</v>
      </c>
      <c r="QQG1336" s="4" t="s">
        <v>2880</v>
      </c>
      <c r="QQH1336" s="4" t="s">
        <v>2880</v>
      </c>
      <c r="QQI1336" s="4" t="s">
        <v>2880</v>
      </c>
      <c r="QQJ1336" s="4" t="s">
        <v>2880</v>
      </c>
      <c r="QQK1336" s="4" t="s">
        <v>2880</v>
      </c>
      <c r="QQL1336" s="4" t="s">
        <v>2880</v>
      </c>
      <c r="QQM1336" s="4" t="s">
        <v>2880</v>
      </c>
      <c r="QQN1336" s="4" t="s">
        <v>2880</v>
      </c>
      <c r="QQO1336" s="4" t="s">
        <v>2880</v>
      </c>
      <c r="QQP1336" s="4" t="s">
        <v>2880</v>
      </c>
      <c r="QQQ1336" s="4" t="s">
        <v>2880</v>
      </c>
      <c r="QQR1336" s="4" t="s">
        <v>2880</v>
      </c>
      <c r="QQS1336" s="4" t="s">
        <v>2880</v>
      </c>
      <c r="QQT1336" s="4" t="s">
        <v>2880</v>
      </c>
      <c r="QQU1336" s="4" t="s">
        <v>2880</v>
      </c>
      <c r="QQV1336" s="4" t="s">
        <v>2880</v>
      </c>
      <c r="QQW1336" s="4" t="s">
        <v>2880</v>
      </c>
      <c r="QQX1336" s="4" t="s">
        <v>2880</v>
      </c>
      <c r="QQY1336" s="4" t="s">
        <v>2880</v>
      </c>
      <c r="QQZ1336" s="4" t="s">
        <v>2880</v>
      </c>
      <c r="QRA1336" s="4" t="s">
        <v>2880</v>
      </c>
      <c r="QRB1336" s="4" t="s">
        <v>2880</v>
      </c>
      <c r="QRC1336" s="4" t="s">
        <v>2880</v>
      </c>
      <c r="QRD1336" s="4" t="s">
        <v>2880</v>
      </c>
      <c r="QRE1336" s="4" t="s">
        <v>2880</v>
      </c>
      <c r="QRF1336" s="4" t="s">
        <v>2880</v>
      </c>
      <c r="QRG1336" s="4" t="s">
        <v>2880</v>
      </c>
      <c r="QRH1336" s="4" t="s">
        <v>2880</v>
      </c>
      <c r="QRI1336" s="4" t="s">
        <v>2880</v>
      </c>
      <c r="QRJ1336" s="4" t="s">
        <v>2880</v>
      </c>
      <c r="QRK1336" s="4" t="s">
        <v>2880</v>
      </c>
      <c r="QRL1336" s="4" t="s">
        <v>2880</v>
      </c>
      <c r="QRM1336" s="4" t="s">
        <v>2880</v>
      </c>
      <c r="QRN1336" s="4" t="s">
        <v>2880</v>
      </c>
      <c r="QRO1336" s="4" t="s">
        <v>2880</v>
      </c>
      <c r="QRP1336" s="4" t="s">
        <v>2880</v>
      </c>
      <c r="QRQ1336" s="4" t="s">
        <v>2880</v>
      </c>
      <c r="QRR1336" s="4" t="s">
        <v>2880</v>
      </c>
      <c r="QRS1336" s="4" t="s">
        <v>2880</v>
      </c>
      <c r="QRT1336" s="4" t="s">
        <v>2880</v>
      </c>
      <c r="QRU1336" s="4" t="s">
        <v>2880</v>
      </c>
      <c r="QRV1336" s="4" t="s">
        <v>2880</v>
      </c>
      <c r="QRW1336" s="4" t="s">
        <v>2880</v>
      </c>
      <c r="QRX1336" s="4" t="s">
        <v>2880</v>
      </c>
      <c r="QRY1336" s="4" t="s">
        <v>2880</v>
      </c>
      <c r="QRZ1336" s="4" t="s">
        <v>2880</v>
      </c>
      <c r="QSA1336" s="4" t="s">
        <v>2880</v>
      </c>
      <c r="QSB1336" s="4" t="s">
        <v>2880</v>
      </c>
      <c r="QSC1336" s="4" t="s">
        <v>2880</v>
      </c>
      <c r="QSD1336" s="4" t="s">
        <v>2880</v>
      </c>
      <c r="QSE1336" s="4" t="s">
        <v>2880</v>
      </c>
      <c r="QSF1336" s="4" t="s">
        <v>2880</v>
      </c>
      <c r="QSG1336" s="4" t="s">
        <v>2880</v>
      </c>
      <c r="QSH1336" s="4" t="s">
        <v>2880</v>
      </c>
      <c r="QSI1336" s="4" t="s">
        <v>2880</v>
      </c>
      <c r="QSJ1336" s="4" t="s">
        <v>2880</v>
      </c>
      <c r="QSK1336" s="4" t="s">
        <v>2880</v>
      </c>
      <c r="QSL1336" s="4" t="s">
        <v>2880</v>
      </c>
      <c r="QSM1336" s="4" t="s">
        <v>2880</v>
      </c>
      <c r="QSN1336" s="4" t="s">
        <v>2880</v>
      </c>
      <c r="QSO1336" s="4" t="s">
        <v>2880</v>
      </c>
      <c r="QSP1336" s="4" t="s">
        <v>2880</v>
      </c>
      <c r="QSQ1336" s="4" t="s">
        <v>2880</v>
      </c>
      <c r="QSR1336" s="4" t="s">
        <v>2880</v>
      </c>
      <c r="QSS1336" s="4" t="s">
        <v>2880</v>
      </c>
      <c r="QST1336" s="4" t="s">
        <v>2880</v>
      </c>
      <c r="QSU1336" s="4" t="s">
        <v>2880</v>
      </c>
      <c r="QSV1336" s="4" t="s">
        <v>2880</v>
      </c>
      <c r="QSW1336" s="4" t="s">
        <v>2880</v>
      </c>
      <c r="QSX1336" s="4" t="s">
        <v>2880</v>
      </c>
      <c r="QSY1336" s="4" t="s">
        <v>2880</v>
      </c>
      <c r="QSZ1336" s="4" t="s">
        <v>2880</v>
      </c>
      <c r="QTA1336" s="4" t="s">
        <v>2880</v>
      </c>
      <c r="QTB1336" s="4" t="s">
        <v>2880</v>
      </c>
      <c r="QTC1336" s="4" t="s">
        <v>2880</v>
      </c>
      <c r="QTD1336" s="4" t="s">
        <v>2880</v>
      </c>
      <c r="QTE1336" s="4" t="s">
        <v>2880</v>
      </c>
      <c r="QTF1336" s="4" t="s">
        <v>2880</v>
      </c>
      <c r="QTG1336" s="4" t="s">
        <v>2880</v>
      </c>
      <c r="QTH1336" s="4" t="s">
        <v>2880</v>
      </c>
      <c r="QTI1336" s="4" t="s">
        <v>2880</v>
      </c>
      <c r="QTJ1336" s="4" t="s">
        <v>2880</v>
      </c>
      <c r="QTK1336" s="4" t="s">
        <v>2880</v>
      </c>
      <c r="QTL1336" s="4" t="s">
        <v>2880</v>
      </c>
      <c r="QTM1336" s="4" t="s">
        <v>2880</v>
      </c>
      <c r="QTN1336" s="4" t="s">
        <v>2880</v>
      </c>
      <c r="QTO1336" s="4" t="s">
        <v>2880</v>
      </c>
      <c r="QTP1336" s="4" t="s">
        <v>2880</v>
      </c>
      <c r="QTQ1336" s="4" t="s">
        <v>2880</v>
      </c>
      <c r="QTR1336" s="4" t="s">
        <v>2880</v>
      </c>
      <c r="QTS1336" s="4" t="s">
        <v>2880</v>
      </c>
      <c r="QTT1336" s="4" t="s">
        <v>2880</v>
      </c>
      <c r="QTU1336" s="4" t="s">
        <v>2880</v>
      </c>
      <c r="QTV1336" s="4" t="s">
        <v>2880</v>
      </c>
      <c r="QTW1336" s="4" t="s">
        <v>2880</v>
      </c>
      <c r="QTX1336" s="4" t="s">
        <v>2880</v>
      </c>
      <c r="QTY1336" s="4" t="s">
        <v>2880</v>
      </c>
      <c r="QTZ1336" s="4" t="s">
        <v>2880</v>
      </c>
      <c r="QUA1336" s="4" t="s">
        <v>2880</v>
      </c>
      <c r="QUB1336" s="4" t="s">
        <v>2880</v>
      </c>
      <c r="QUC1336" s="4" t="s">
        <v>2880</v>
      </c>
      <c r="QUD1336" s="4" t="s">
        <v>2880</v>
      </c>
      <c r="QUE1336" s="4" t="s">
        <v>2880</v>
      </c>
      <c r="QUF1336" s="4" t="s">
        <v>2880</v>
      </c>
      <c r="QUG1336" s="4" t="s">
        <v>2880</v>
      </c>
      <c r="QUH1336" s="4" t="s">
        <v>2880</v>
      </c>
      <c r="QUI1336" s="4" t="s">
        <v>2880</v>
      </c>
      <c r="QUJ1336" s="4" t="s">
        <v>2880</v>
      </c>
      <c r="QUK1336" s="4" t="s">
        <v>2880</v>
      </c>
      <c r="QUL1336" s="4" t="s">
        <v>2880</v>
      </c>
      <c r="QUM1336" s="4" t="s">
        <v>2880</v>
      </c>
      <c r="QUN1336" s="4" t="s">
        <v>2880</v>
      </c>
      <c r="QUO1336" s="4" t="s">
        <v>2880</v>
      </c>
      <c r="QUP1336" s="4" t="s">
        <v>2880</v>
      </c>
      <c r="QUQ1336" s="4" t="s">
        <v>2880</v>
      </c>
      <c r="QUR1336" s="4" t="s">
        <v>2880</v>
      </c>
      <c r="QUS1336" s="4" t="s">
        <v>2880</v>
      </c>
      <c r="QUT1336" s="4" t="s">
        <v>2880</v>
      </c>
      <c r="QUU1336" s="4" t="s">
        <v>2880</v>
      </c>
      <c r="QUV1336" s="4" t="s">
        <v>2880</v>
      </c>
      <c r="QUW1336" s="4" t="s">
        <v>2880</v>
      </c>
      <c r="QUX1336" s="4" t="s">
        <v>2880</v>
      </c>
      <c r="QUY1336" s="4" t="s">
        <v>2880</v>
      </c>
      <c r="QUZ1336" s="4" t="s">
        <v>2880</v>
      </c>
      <c r="QVA1336" s="4" t="s">
        <v>2880</v>
      </c>
      <c r="QVB1336" s="4" t="s">
        <v>2880</v>
      </c>
      <c r="QVC1336" s="4" t="s">
        <v>2880</v>
      </c>
      <c r="QVD1336" s="4" t="s">
        <v>2880</v>
      </c>
      <c r="QVE1336" s="4" t="s">
        <v>2880</v>
      </c>
      <c r="QVF1336" s="4" t="s">
        <v>2880</v>
      </c>
      <c r="QVG1336" s="4" t="s">
        <v>2880</v>
      </c>
      <c r="QVH1336" s="4" t="s">
        <v>2880</v>
      </c>
      <c r="QVI1336" s="4" t="s">
        <v>2880</v>
      </c>
      <c r="QVJ1336" s="4" t="s">
        <v>2880</v>
      </c>
      <c r="QVK1336" s="4" t="s">
        <v>2880</v>
      </c>
      <c r="QVL1336" s="4" t="s">
        <v>2880</v>
      </c>
      <c r="QVM1336" s="4" t="s">
        <v>2880</v>
      </c>
      <c r="QVN1336" s="4" t="s">
        <v>2880</v>
      </c>
      <c r="QVO1336" s="4" t="s">
        <v>2880</v>
      </c>
      <c r="QVP1336" s="4" t="s">
        <v>2880</v>
      </c>
      <c r="QVQ1336" s="4" t="s">
        <v>2880</v>
      </c>
      <c r="QVR1336" s="4" t="s">
        <v>2880</v>
      </c>
      <c r="QVS1336" s="4" t="s">
        <v>2880</v>
      </c>
      <c r="QVT1336" s="4" t="s">
        <v>2880</v>
      </c>
      <c r="QVU1336" s="4" t="s">
        <v>2880</v>
      </c>
      <c r="QVV1336" s="4" t="s">
        <v>2880</v>
      </c>
      <c r="QVW1336" s="4" t="s">
        <v>2880</v>
      </c>
      <c r="QVX1336" s="4" t="s">
        <v>2880</v>
      </c>
      <c r="QVY1336" s="4" t="s">
        <v>2880</v>
      </c>
      <c r="QVZ1336" s="4" t="s">
        <v>2880</v>
      </c>
      <c r="QWA1336" s="4" t="s">
        <v>2880</v>
      </c>
      <c r="QWB1336" s="4" t="s">
        <v>2880</v>
      </c>
      <c r="QWC1336" s="4" t="s">
        <v>2880</v>
      </c>
      <c r="QWD1336" s="4" t="s">
        <v>2880</v>
      </c>
      <c r="QWE1336" s="4" t="s">
        <v>2880</v>
      </c>
      <c r="QWF1336" s="4" t="s">
        <v>2880</v>
      </c>
      <c r="QWG1336" s="4" t="s">
        <v>2880</v>
      </c>
      <c r="QWH1336" s="4" t="s">
        <v>2880</v>
      </c>
      <c r="QWI1336" s="4" t="s">
        <v>2880</v>
      </c>
      <c r="QWJ1336" s="4" t="s">
        <v>2880</v>
      </c>
      <c r="QWK1336" s="4" t="s">
        <v>2880</v>
      </c>
      <c r="QWL1336" s="4" t="s">
        <v>2880</v>
      </c>
      <c r="QWM1336" s="4" t="s">
        <v>2880</v>
      </c>
      <c r="QWN1336" s="4" t="s">
        <v>2880</v>
      </c>
      <c r="QWO1336" s="4" t="s">
        <v>2880</v>
      </c>
      <c r="QWP1336" s="4" t="s">
        <v>2880</v>
      </c>
      <c r="QWQ1336" s="4" t="s">
        <v>2880</v>
      </c>
      <c r="QWR1336" s="4" t="s">
        <v>2880</v>
      </c>
      <c r="QWS1336" s="4" t="s">
        <v>2880</v>
      </c>
      <c r="QWT1336" s="4" t="s">
        <v>2880</v>
      </c>
      <c r="QWU1336" s="4" t="s">
        <v>2880</v>
      </c>
      <c r="QWV1336" s="4" t="s">
        <v>2880</v>
      </c>
      <c r="QWW1336" s="4" t="s">
        <v>2880</v>
      </c>
      <c r="QWX1336" s="4" t="s">
        <v>2880</v>
      </c>
      <c r="QWY1336" s="4" t="s">
        <v>2880</v>
      </c>
      <c r="QWZ1336" s="4" t="s">
        <v>2880</v>
      </c>
      <c r="QXA1336" s="4" t="s">
        <v>2880</v>
      </c>
      <c r="QXB1336" s="4" t="s">
        <v>2880</v>
      </c>
      <c r="QXC1336" s="4" t="s">
        <v>2880</v>
      </c>
      <c r="QXD1336" s="4" t="s">
        <v>2880</v>
      </c>
      <c r="QXE1336" s="4" t="s">
        <v>2880</v>
      </c>
      <c r="QXF1336" s="4" t="s">
        <v>2880</v>
      </c>
      <c r="QXG1336" s="4" t="s">
        <v>2880</v>
      </c>
      <c r="QXH1336" s="4" t="s">
        <v>2880</v>
      </c>
      <c r="QXI1336" s="4" t="s">
        <v>2880</v>
      </c>
      <c r="QXJ1336" s="4" t="s">
        <v>2880</v>
      </c>
      <c r="QXK1336" s="4" t="s">
        <v>2880</v>
      </c>
      <c r="QXL1336" s="4" t="s">
        <v>2880</v>
      </c>
      <c r="QXM1336" s="4" t="s">
        <v>2880</v>
      </c>
      <c r="QXN1336" s="4" t="s">
        <v>2880</v>
      </c>
      <c r="QXO1336" s="4" t="s">
        <v>2880</v>
      </c>
      <c r="QXP1336" s="4" t="s">
        <v>2880</v>
      </c>
      <c r="QXQ1336" s="4" t="s">
        <v>2880</v>
      </c>
      <c r="QXR1336" s="4" t="s">
        <v>2880</v>
      </c>
      <c r="QXS1336" s="4" t="s">
        <v>2880</v>
      </c>
      <c r="QXT1336" s="4" t="s">
        <v>2880</v>
      </c>
      <c r="QXU1336" s="4" t="s">
        <v>2880</v>
      </c>
      <c r="QXV1336" s="4" t="s">
        <v>2880</v>
      </c>
      <c r="QXW1336" s="4" t="s">
        <v>2880</v>
      </c>
      <c r="QXX1336" s="4" t="s">
        <v>2880</v>
      </c>
      <c r="QXY1336" s="4" t="s">
        <v>2880</v>
      </c>
      <c r="QXZ1336" s="4" t="s">
        <v>2880</v>
      </c>
      <c r="QYA1336" s="4" t="s">
        <v>2880</v>
      </c>
      <c r="QYB1336" s="4" t="s">
        <v>2880</v>
      </c>
      <c r="QYC1336" s="4" t="s">
        <v>2880</v>
      </c>
      <c r="QYD1336" s="4" t="s">
        <v>2880</v>
      </c>
      <c r="QYE1336" s="4" t="s">
        <v>2880</v>
      </c>
      <c r="QYF1336" s="4" t="s">
        <v>2880</v>
      </c>
      <c r="QYG1336" s="4" t="s">
        <v>2880</v>
      </c>
      <c r="QYH1336" s="4" t="s">
        <v>2880</v>
      </c>
      <c r="QYI1336" s="4" t="s">
        <v>2880</v>
      </c>
      <c r="QYJ1336" s="4" t="s">
        <v>2880</v>
      </c>
      <c r="QYK1336" s="4" t="s">
        <v>2880</v>
      </c>
      <c r="QYL1336" s="4" t="s">
        <v>2880</v>
      </c>
      <c r="QYM1336" s="4" t="s">
        <v>2880</v>
      </c>
      <c r="QYN1336" s="4" t="s">
        <v>2880</v>
      </c>
      <c r="QYO1336" s="4" t="s">
        <v>2880</v>
      </c>
      <c r="QYP1336" s="4" t="s">
        <v>2880</v>
      </c>
      <c r="QYQ1336" s="4" t="s">
        <v>2880</v>
      </c>
      <c r="QYR1336" s="4" t="s">
        <v>2880</v>
      </c>
      <c r="QYS1336" s="4" t="s">
        <v>2880</v>
      </c>
      <c r="QYT1336" s="4" t="s">
        <v>2880</v>
      </c>
      <c r="QYU1336" s="4" t="s">
        <v>2880</v>
      </c>
      <c r="QYV1336" s="4" t="s">
        <v>2880</v>
      </c>
      <c r="QYW1336" s="4" t="s">
        <v>2880</v>
      </c>
      <c r="QYX1336" s="4" t="s">
        <v>2880</v>
      </c>
      <c r="QYY1336" s="4" t="s">
        <v>2880</v>
      </c>
      <c r="QYZ1336" s="4" t="s">
        <v>2880</v>
      </c>
      <c r="QZA1336" s="4" t="s">
        <v>2880</v>
      </c>
      <c r="QZB1336" s="4" t="s">
        <v>2880</v>
      </c>
      <c r="QZC1336" s="4" t="s">
        <v>2880</v>
      </c>
      <c r="QZD1336" s="4" t="s">
        <v>2880</v>
      </c>
      <c r="QZE1336" s="4" t="s">
        <v>2880</v>
      </c>
      <c r="QZF1336" s="4" t="s">
        <v>2880</v>
      </c>
      <c r="QZG1336" s="4" t="s">
        <v>2880</v>
      </c>
      <c r="QZH1336" s="4" t="s">
        <v>2880</v>
      </c>
      <c r="QZI1336" s="4" t="s">
        <v>2880</v>
      </c>
      <c r="QZJ1336" s="4" t="s">
        <v>2880</v>
      </c>
      <c r="QZK1336" s="4" t="s">
        <v>2880</v>
      </c>
      <c r="QZL1336" s="4" t="s">
        <v>2880</v>
      </c>
      <c r="QZM1336" s="4" t="s">
        <v>2880</v>
      </c>
      <c r="QZN1336" s="4" t="s">
        <v>2880</v>
      </c>
      <c r="QZO1336" s="4" t="s">
        <v>2880</v>
      </c>
      <c r="QZP1336" s="4" t="s">
        <v>2880</v>
      </c>
      <c r="QZQ1336" s="4" t="s">
        <v>2880</v>
      </c>
      <c r="QZR1336" s="4" t="s">
        <v>2880</v>
      </c>
      <c r="QZS1336" s="4" t="s">
        <v>2880</v>
      </c>
      <c r="QZT1336" s="4" t="s">
        <v>2880</v>
      </c>
      <c r="QZU1336" s="4" t="s">
        <v>2880</v>
      </c>
      <c r="QZV1336" s="4" t="s">
        <v>2880</v>
      </c>
      <c r="QZW1336" s="4" t="s">
        <v>2880</v>
      </c>
      <c r="QZX1336" s="4" t="s">
        <v>2880</v>
      </c>
      <c r="QZY1336" s="4" t="s">
        <v>2880</v>
      </c>
      <c r="QZZ1336" s="4" t="s">
        <v>2880</v>
      </c>
      <c r="RAA1336" s="4" t="s">
        <v>2880</v>
      </c>
      <c r="RAB1336" s="4" t="s">
        <v>2880</v>
      </c>
      <c r="RAC1336" s="4" t="s">
        <v>2880</v>
      </c>
      <c r="RAD1336" s="4" t="s">
        <v>2880</v>
      </c>
      <c r="RAE1336" s="4" t="s">
        <v>2880</v>
      </c>
      <c r="RAF1336" s="4" t="s">
        <v>2880</v>
      </c>
      <c r="RAG1336" s="4" t="s">
        <v>2880</v>
      </c>
      <c r="RAH1336" s="4" t="s">
        <v>2880</v>
      </c>
      <c r="RAI1336" s="4" t="s">
        <v>2880</v>
      </c>
      <c r="RAJ1336" s="4" t="s">
        <v>2880</v>
      </c>
      <c r="RAK1336" s="4" t="s">
        <v>2880</v>
      </c>
      <c r="RAL1336" s="4" t="s">
        <v>2880</v>
      </c>
      <c r="RAM1336" s="4" t="s">
        <v>2880</v>
      </c>
      <c r="RAN1336" s="4" t="s">
        <v>2880</v>
      </c>
      <c r="RAO1336" s="4" t="s">
        <v>2880</v>
      </c>
      <c r="RAP1336" s="4" t="s">
        <v>2880</v>
      </c>
      <c r="RAQ1336" s="4" t="s">
        <v>2880</v>
      </c>
      <c r="RAR1336" s="4" t="s">
        <v>2880</v>
      </c>
      <c r="RAS1336" s="4" t="s">
        <v>2880</v>
      </c>
      <c r="RAT1336" s="4" t="s">
        <v>2880</v>
      </c>
      <c r="RAU1336" s="4" t="s">
        <v>2880</v>
      </c>
      <c r="RAV1336" s="4" t="s">
        <v>2880</v>
      </c>
      <c r="RAW1336" s="4" t="s">
        <v>2880</v>
      </c>
      <c r="RAX1336" s="4" t="s">
        <v>2880</v>
      </c>
      <c r="RAY1336" s="4" t="s">
        <v>2880</v>
      </c>
      <c r="RAZ1336" s="4" t="s">
        <v>2880</v>
      </c>
      <c r="RBA1336" s="4" t="s">
        <v>2880</v>
      </c>
      <c r="RBB1336" s="4" t="s">
        <v>2880</v>
      </c>
      <c r="RBC1336" s="4" t="s">
        <v>2880</v>
      </c>
      <c r="RBD1336" s="4" t="s">
        <v>2880</v>
      </c>
      <c r="RBE1336" s="4" t="s">
        <v>2880</v>
      </c>
      <c r="RBF1336" s="4" t="s">
        <v>2880</v>
      </c>
      <c r="RBG1336" s="4" t="s">
        <v>2880</v>
      </c>
      <c r="RBH1336" s="4" t="s">
        <v>2880</v>
      </c>
      <c r="RBI1336" s="4" t="s">
        <v>2880</v>
      </c>
      <c r="RBJ1336" s="4" t="s">
        <v>2880</v>
      </c>
      <c r="RBK1336" s="4" t="s">
        <v>2880</v>
      </c>
      <c r="RBL1336" s="4" t="s">
        <v>2880</v>
      </c>
      <c r="RBM1336" s="4" t="s">
        <v>2880</v>
      </c>
      <c r="RBN1336" s="4" t="s">
        <v>2880</v>
      </c>
      <c r="RBO1336" s="4" t="s">
        <v>2880</v>
      </c>
      <c r="RBP1336" s="4" t="s">
        <v>2880</v>
      </c>
      <c r="RBQ1336" s="4" t="s">
        <v>2880</v>
      </c>
      <c r="RBR1336" s="4" t="s">
        <v>2880</v>
      </c>
      <c r="RBS1336" s="4" t="s">
        <v>2880</v>
      </c>
      <c r="RBT1336" s="4" t="s">
        <v>2880</v>
      </c>
      <c r="RBU1336" s="4" t="s">
        <v>2880</v>
      </c>
      <c r="RBV1336" s="4" t="s">
        <v>2880</v>
      </c>
      <c r="RBW1336" s="4" t="s">
        <v>2880</v>
      </c>
      <c r="RBX1336" s="4" t="s">
        <v>2880</v>
      </c>
      <c r="RBY1336" s="4" t="s">
        <v>2880</v>
      </c>
      <c r="RBZ1336" s="4" t="s">
        <v>2880</v>
      </c>
      <c r="RCA1336" s="4" t="s">
        <v>2880</v>
      </c>
      <c r="RCB1336" s="4" t="s">
        <v>2880</v>
      </c>
      <c r="RCC1336" s="4" t="s">
        <v>2880</v>
      </c>
      <c r="RCD1336" s="4" t="s">
        <v>2880</v>
      </c>
      <c r="RCE1336" s="4" t="s">
        <v>2880</v>
      </c>
      <c r="RCF1336" s="4" t="s">
        <v>2880</v>
      </c>
      <c r="RCG1336" s="4" t="s">
        <v>2880</v>
      </c>
      <c r="RCH1336" s="4" t="s">
        <v>2880</v>
      </c>
      <c r="RCI1336" s="4" t="s">
        <v>2880</v>
      </c>
      <c r="RCJ1336" s="4" t="s">
        <v>2880</v>
      </c>
      <c r="RCK1336" s="4" t="s">
        <v>2880</v>
      </c>
      <c r="RCL1336" s="4" t="s">
        <v>2880</v>
      </c>
      <c r="RCM1336" s="4" t="s">
        <v>2880</v>
      </c>
      <c r="RCN1336" s="4" t="s">
        <v>2880</v>
      </c>
      <c r="RCO1336" s="4" t="s">
        <v>2880</v>
      </c>
      <c r="RCP1336" s="4" t="s">
        <v>2880</v>
      </c>
      <c r="RCQ1336" s="4" t="s">
        <v>2880</v>
      </c>
      <c r="RCR1336" s="4" t="s">
        <v>2880</v>
      </c>
      <c r="RCS1336" s="4" t="s">
        <v>2880</v>
      </c>
      <c r="RCT1336" s="4" t="s">
        <v>2880</v>
      </c>
      <c r="RCU1336" s="4" t="s">
        <v>2880</v>
      </c>
      <c r="RCV1336" s="4" t="s">
        <v>2880</v>
      </c>
      <c r="RCW1336" s="4" t="s">
        <v>2880</v>
      </c>
      <c r="RCX1336" s="4" t="s">
        <v>2880</v>
      </c>
      <c r="RCY1336" s="4" t="s">
        <v>2880</v>
      </c>
      <c r="RCZ1336" s="4" t="s">
        <v>2880</v>
      </c>
      <c r="RDA1336" s="4" t="s">
        <v>2880</v>
      </c>
      <c r="RDB1336" s="4" t="s">
        <v>2880</v>
      </c>
      <c r="RDC1336" s="4" t="s">
        <v>2880</v>
      </c>
      <c r="RDD1336" s="4" t="s">
        <v>2880</v>
      </c>
      <c r="RDE1336" s="4" t="s">
        <v>2880</v>
      </c>
      <c r="RDF1336" s="4" t="s">
        <v>2880</v>
      </c>
      <c r="RDG1336" s="4" t="s">
        <v>2880</v>
      </c>
      <c r="RDH1336" s="4" t="s">
        <v>2880</v>
      </c>
      <c r="RDI1336" s="4" t="s">
        <v>2880</v>
      </c>
      <c r="RDJ1336" s="4" t="s">
        <v>2880</v>
      </c>
      <c r="RDK1336" s="4" t="s">
        <v>2880</v>
      </c>
      <c r="RDL1336" s="4" t="s">
        <v>2880</v>
      </c>
      <c r="RDM1336" s="4" t="s">
        <v>2880</v>
      </c>
      <c r="RDN1336" s="4" t="s">
        <v>2880</v>
      </c>
      <c r="RDO1336" s="4" t="s">
        <v>2880</v>
      </c>
      <c r="RDP1336" s="4" t="s">
        <v>2880</v>
      </c>
      <c r="RDQ1336" s="4" t="s">
        <v>2880</v>
      </c>
      <c r="RDR1336" s="4" t="s">
        <v>2880</v>
      </c>
      <c r="RDS1336" s="4" t="s">
        <v>2880</v>
      </c>
      <c r="RDT1336" s="4" t="s">
        <v>2880</v>
      </c>
      <c r="RDU1336" s="4" t="s">
        <v>2880</v>
      </c>
      <c r="RDV1336" s="4" t="s">
        <v>2880</v>
      </c>
      <c r="RDW1336" s="4" t="s">
        <v>2880</v>
      </c>
      <c r="RDX1336" s="4" t="s">
        <v>2880</v>
      </c>
      <c r="RDY1336" s="4" t="s">
        <v>2880</v>
      </c>
      <c r="RDZ1336" s="4" t="s">
        <v>2880</v>
      </c>
      <c r="REA1336" s="4" t="s">
        <v>2880</v>
      </c>
      <c r="REB1336" s="4" t="s">
        <v>2880</v>
      </c>
      <c r="REC1336" s="4" t="s">
        <v>2880</v>
      </c>
      <c r="RED1336" s="4" t="s">
        <v>2880</v>
      </c>
      <c r="REE1336" s="4" t="s">
        <v>2880</v>
      </c>
      <c r="REF1336" s="4" t="s">
        <v>2880</v>
      </c>
      <c r="REG1336" s="4" t="s">
        <v>2880</v>
      </c>
      <c r="REH1336" s="4" t="s">
        <v>2880</v>
      </c>
      <c r="REI1336" s="4" t="s">
        <v>2880</v>
      </c>
      <c r="REJ1336" s="4" t="s">
        <v>2880</v>
      </c>
      <c r="REK1336" s="4" t="s">
        <v>2880</v>
      </c>
      <c r="REL1336" s="4" t="s">
        <v>2880</v>
      </c>
      <c r="REM1336" s="4" t="s">
        <v>2880</v>
      </c>
      <c r="REN1336" s="4" t="s">
        <v>2880</v>
      </c>
      <c r="REO1336" s="4" t="s">
        <v>2880</v>
      </c>
      <c r="REP1336" s="4" t="s">
        <v>2880</v>
      </c>
      <c r="REQ1336" s="4" t="s">
        <v>2880</v>
      </c>
      <c r="RER1336" s="4" t="s">
        <v>2880</v>
      </c>
      <c r="RES1336" s="4" t="s">
        <v>2880</v>
      </c>
      <c r="RET1336" s="4" t="s">
        <v>2880</v>
      </c>
      <c r="REU1336" s="4" t="s">
        <v>2880</v>
      </c>
      <c r="REV1336" s="4" t="s">
        <v>2880</v>
      </c>
      <c r="REW1336" s="4" t="s">
        <v>2880</v>
      </c>
      <c r="REX1336" s="4" t="s">
        <v>2880</v>
      </c>
      <c r="REY1336" s="4" t="s">
        <v>2880</v>
      </c>
      <c r="REZ1336" s="4" t="s">
        <v>2880</v>
      </c>
      <c r="RFA1336" s="4" t="s">
        <v>2880</v>
      </c>
      <c r="RFB1336" s="4" t="s">
        <v>2880</v>
      </c>
      <c r="RFC1336" s="4" t="s">
        <v>2880</v>
      </c>
      <c r="RFD1336" s="4" t="s">
        <v>2880</v>
      </c>
      <c r="RFE1336" s="4" t="s">
        <v>2880</v>
      </c>
      <c r="RFF1336" s="4" t="s">
        <v>2880</v>
      </c>
      <c r="RFG1336" s="4" t="s">
        <v>2880</v>
      </c>
      <c r="RFH1336" s="4" t="s">
        <v>2880</v>
      </c>
      <c r="RFI1336" s="4" t="s">
        <v>2880</v>
      </c>
      <c r="RFJ1336" s="4" t="s">
        <v>2880</v>
      </c>
      <c r="RFK1336" s="4" t="s">
        <v>2880</v>
      </c>
      <c r="RFL1336" s="4" t="s">
        <v>2880</v>
      </c>
      <c r="RFM1336" s="4" t="s">
        <v>2880</v>
      </c>
      <c r="RFN1336" s="4" t="s">
        <v>2880</v>
      </c>
      <c r="RFO1336" s="4" t="s">
        <v>2880</v>
      </c>
      <c r="RFP1336" s="4" t="s">
        <v>2880</v>
      </c>
      <c r="RFQ1336" s="4" t="s">
        <v>2880</v>
      </c>
      <c r="RFR1336" s="4" t="s">
        <v>2880</v>
      </c>
      <c r="RFS1336" s="4" t="s">
        <v>2880</v>
      </c>
      <c r="RFT1336" s="4" t="s">
        <v>2880</v>
      </c>
      <c r="RFU1336" s="4" t="s">
        <v>2880</v>
      </c>
      <c r="RFV1336" s="4" t="s">
        <v>2880</v>
      </c>
      <c r="RFW1336" s="4" t="s">
        <v>2880</v>
      </c>
      <c r="RFX1336" s="4" t="s">
        <v>2880</v>
      </c>
      <c r="RFY1336" s="4" t="s">
        <v>2880</v>
      </c>
      <c r="RFZ1336" s="4" t="s">
        <v>2880</v>
      </c>
      <c r="RGA1336" s="4" t="s">
        <v>2880</v>
      </c>
      <c r="RGB1336" s="4" t="s">
        <v>2880</v>
      </c>
      <c r="RGC1336" s="4" t="s">
        <v>2880</v>
      </c>
      <c r="RGD1336" s="4" t="s">
        <v>2880</v>
      </c>
      <c r="RGE1336" s="4" t="s">
        <v>2880</v>
      </c>
      <c r="RGF1336" s="4" t="s">
        <v>2880</v>
      </c>
      <c r="RGG1336" s="4" t="s">
        <v>2880</v>
      </c>
      <c r="RGH1336" s="4" t="s">
        <v>2880</v>
      </c>
      <c r="RGI1336" s="4" t="s">
        <v>2880</v>
      </c>
      <c r="RGJ1336" s="4" t="s">
        <v>2880</v>
      </c>
      <c r="RGK1336" s="4" t="s">
        <v>2880</v>
      </c>
      <c r="RGL1336" s="4" t="s">
        <v>2880</v>
      </c>
      <c r="RGM1336" s="4" t="s">
        <v>2880</v>
      </c>
      <c r="RGN1336" s="4" t="s">
        <v>2880</v>
      </c>
      <c r="RGO1336" s="4" t="s">
        <v>2880</v>
      </c>
      <c r="RGP1336" s="4" t="s">
        <v>2880</v>
      </c>
      <c r="RGQ1336" s="4" t="s">
        <v>2880</v>
      </c>
      <c r="RGR1336" s="4" t="s">
        <v>2880</v>
      </c>
      <c r="RGS1336" s="4" t="s">
        <v>2880</v>
      </c>
      <c r="RGT1336" s="4" t="s">
        <v>2880</v>
      </c>
      <c r="RGU1336" s="4" t="s">
        <v>2880</v>
      </c>
      <c r="RGV1336" s="4" t="s">
        <v>2880</v>
      </c>
      <c r="RGW1336" s="4" t="s">
        <v>2880</v>
      </c>
      <c r="RGX1336" s="4" t="s">
        <v>2880</v>
      </c>
      <c r="RGY1336" s="4" t="s">
        <v>2880</v>
      </c>
      <c r="RGZ1336" s="4" t="s">
        <v>2880</v>
      </c>
      <c r="RHA1336" s="4" t="s">
        <v>2880</v>
      </c>
      <c r="RHB1336" s="4" t="s">
        <v>2880</v>
      </c>
      <c r="RHC1336" s="4" t="s">
        <v>2880</v>
      </c>
      <c r="RHD1336" s="4" t="s">
        <v>2880</v>
      </c>
      <c r="RHE1336" s="4" t="s">
        <v>2880</v>
      </c>
      <c r="RHF1336" s="4" t="s">
        <v>2880</v>
      </c>
      <c r="RHG1336" s="4" t="s">
        <v>2880</v>
      </c>
      <c r="RHH1336" s="4" t="s">
        <v>2880</v>
      </c>
      <c r="RHI1336" s="4" t="s">
        <v>2880</v>
      </c>
      <c r="RHJ1336" s="4" t="s">
        <v>2880</v>
      </c>
      <c r="RHK1336" s="4" t="s">
        <v>2880</v>
      </c>
      <c r="RHL1336" s="4" t="s">
        <v>2880</v>
      </c>
      <c r="RHM1336" s="4" t="s">
        <v>2880</v>
      </c>
      <c r="RHN1336" s="4" t="s">
        <v>2880</v>
      </c>
      <c r="RHO1336" s="4" t="s">
        <v>2880</v>
      </c>
      <c r="RHP1336" s="4" t="s">
        <v>2880</v>
      </c>
      <c r="RHQ1336" s="4" t="s">
        <v>2880</v>
      </c>
      <c r="RHR1336" s="4" t="s">
        <v>2880</v>
      </c>
      <c r="RHS1336" s="4" t="s">
        <v>2880</v>
      </c>
      <c r="RHT1336" s="4" t="s">
        <v>2880</v>
      </c>
      <c r="RHU1336" s="4" t="s">
        <v>2880</v>
      </c>
      <c r="RHV1336" s="4" t="s">
        <v>2880</v>
      </c>
      <c r="RHW1336" s="4" t="s">
        <v>2880</v>
      </c>
      <c r="RHX1336" s="4" t="s">
        <v>2880</v>
      </c>
      <c r="RHY1336" s="4" t="s">
        <v>2880</v>
      </c>
      <c r="RHZ1336" s="4" t="s">
        <v>2880</v>
      </c>
      <c r="RIA1336" s="4" t="s">
        <v>2880</v>
      </c>
      <c r="RIB1336" s="4" t="s">
        <v>2880</v>
      </c>
      <c r="RIC1336" s="4" t="s">
        <v>2880</v>
      </c>
      <c r="RID1336" s="4" t="s">
        <v>2880</v>
      </c>
      <c r="RIE1336" s="4" t="s">
        <v>2880</v>
      </c>
      <c r="RIF1336" s="4" t="s">
        <v>2880</v>
      </c>
      <c r="RIG1336" s="4" t="s">
        <v>2880</v>
      </c>
      <c r="RIH1336" s="4" t="s">
        <v>2880</v>
      </c>
      <c r="RII1336" s="4" t="s">
        <v>2880</v>
      </c>
      <c r="RIJ1336" s="4" t="s">
        <v>2880</v>
      </c>
      <c r="RIK1336" s="4" t="s">
        <v>2880</v>
      </c>
      <c r="RIL1336" s="4" t="s">
        <v>2880</v>
      </c>
      <c r="RIM1336" s="4" t="s">
        <v>2880</v>
      </c>
      <c r="RIN1336" s="4" t="s">
        <v>2880</v>
      </c>
      <c r="RIO1336" s="4" t="s">
        <v>2880</v>
      </c>
      <c r="RIP1336" s="4" t="s">
        <v>2880</v>
      </c>
      <c r="RIQ1336" s="4" t="s">
        <v>2880</v>
      </c>
      <c r="RIR1336" s="4" t="s">
        <v>2880</v>
      </c>
      <c r="RIS1336" s="4" t="s">
        <v>2880</v>
      </c>
      <c r="RIT1336" s="4" t="s">
        <v>2880</v>
      </c>
      <c r="RIU1336" s="4" t="s">
        <v>2880</v>
      </c>
      <c r="RIV1336" s="4" t="s">
        <v>2880</v>
      </c>
      <c r="RIW1336" s="4" t="s">
        <v>2880</v>
      </c>
      <c r="RIX1336" s="4" t="s">
        <v>2880</v>
      </c>
      <c r="RIY1336" s="4" t="s">
        <v>2880</v>
      </c>
      <c r="RIZ1336" s="4" t="s">
        <v>2880</v>
      </c>
      <c r="RJA1336" s="4" t="s">
        <v>2880</v>
      </c>
      <c r="RJB1336" s="4" t="s">
        <v>2880</v>
      </c>
      <c r="RJC1336" s="4" t="s">
        <v>2880</v>
      </c>
      <c r="RJD1336" s="4" t="s">
        <v>2880</v>
      </c>
      <c r="RJE1336" s="4" t="s">
        <v>2880</v>
      </c>
      <c r="RJF1336" s="4" t="s">
        <v>2880</v>
      </c>
      <c r="RJG1336" s="4" t="s">
        <v>2880</v>
      </c>
      <c r="RJH1336" s="4" t="s">
        <v>2880</v>
      </c>
      <c r="RJI1336" s="4" t="s">
        <v>2880</v>
      </c>
      <c r="RJJ1336" s="4" t="s">
        <v>2880</v>
      </c>
      <c r="RJK1336" s="4" t="s">
        <v>2880</v>
      </c>
      <c r="RJL1336" s="4" t="s">
        <v>2880</v>
      </c>
      <c r="RJM1336" s="4" t="s">
        <v>2880</v>
      </c>
      <c r="RJN1336" s="4" t="s">
        <v>2880</v>
      </c>
      <c r="RJO1336" s="4" t="s">
        <v>2880</v>
      </c>
      <c r="RJP1336" s="4" t="s">
        <v>2880</v>
      </c>
      <c r="RJQ1336" s="4" t="s">
        <v>2880</v>
      </c>
      <c r="RJR1336" s="4" t="s">
        <v>2880</v>
      </c>
      <c r="RJS1336" s="4" t="s">
        <v>2880</v>
      </c>
      <c r="RJT1336" s="4" t="s">
        <v>2880</v>
      </c>
      <c r="RJU1336" s="4" t="s">
        <v>2880</v>
      </c>
      <c r="RJV1336" s="4" t="s">
        <v>2880</v>
      </c>
      <c r="RJW1336" s="4" t="s">
        <v>2880</v>
      </c>
      <c r="RJX1336" s="4" t="s">
        <v>2880</v>
      </c>
      <c r="RJY1336" s="4" t="s">
        <v>2880</v>
      </c>
      <c r="RJZ1336" s="4" t="s">
        <v>2880</v>
      </c>
      <c r="RKA1336" s="4" t="s">
        <v>2880</v>
      </c>
      <c r="RKB1336" s="4" t="s">
        <v>2880</v>
      </c>
      <c r="RKC1336" s="4" t="s">
        <v>2880</v>
      </c>
      <c r="RKD1336" s="4" t="s">
        <v>2880</v>
      </c>
      <c r="RKE1336" s="4" t="s">
        <v>2880</v>
      </c>
      <c r="RKF1336" s="4" t="s">
        <v>2880</v>
      </c>
      <c r="RKG1336" s="4" t="s">
        <v>2880</v>
      </c>
      <c r="RKH1336" s="4" t="s">
        <v>2880</v>
      </c>
      <c r="RKI1336" s="4" t="s">
        <v>2880</v>
      </c>
      <c r="RKJ1336" s="4" t="s">
        <v>2880</v>
      </c>
      <c r="RKK1336" s="4" t="s">
        <v>2880</v>
      </c>
      <c r="RKL1336" s="4" t="s">
        <v>2880</v>
      </c>
      <c r="RKM1336" s="4" t="s">
        <v>2880</v>
      </c>
      <c r="RKN1336" s="4" t="s">
        <v>2880</v>
      </c>
      <c r="RKO1336" s="4" t="s">
        <v>2880</v>
      </c>
      <c r="RKP1336" s="4" t="s">
        <v>2880</v>
      </c>
      <c r="RKQ1336" s="4" t="s">
        <v>2880</v>
      </c>
      <c r="RKR1336" s="4" t="s">
        <v>2880</v>
      </c>
      <c r="RKS1336" s="4" t="s">
        <v>2880</v>
      </c>
      <c r="RKT1336" s="4" t="s">
        <v>2880</v>
      </c>
      <c r="RKU1336" s="4" t="s">
        <v>2880</v>
      </c>
      <c r="RKV1336" s="4" t="s">
        <v>2880</v>
      </c>
      <c r="RKW1336" s="4" t="s">
        <v>2880</v>
      </c>
      <c r="RKX1336" s="4" t="s">
        <v>2880</v>
      </c>
      <c r="RKY1336" s="4" t="s">
        <v>2880</v>
      </c>
      <c r="RKZ1336" s="4" t="s">
        <v>2880</v>
      </c>
      <c r="RLA1336" s="4" t="s">
        <v>2880</v>
      </c>
      <c r="RLB1336" s="4" t="s">
        <v>2880</v>
      </c>
      <c r="RLC1336" s="4" t="s">
        <v>2880</v>
      </c>
      <c r="RLD1336" s="4" t="s">
        <v>2880</v>
      </c>
      <c r="RLE1336" s="4" t="s">
        <v>2880</v>
      </c>
      <c r="RLF1336" s="4" t="s">
        <v>2880</v>
      </c>
      <c r="RLG1336" s="4" t="s">
        <v>2880</v>
      </c>
      <c r="RLH1336" s="4" t="s">
        <v>2880</v>
      </c>
      <c r="RLI1336" s="4" t="s">
        <v>2880</v>
      </c>
      <c r="RLJ1336" s="4" t="s">
        <v>2880</v>
      </c>
      <c r="RLK1336" s="4" t="s">
        <v>2880</v>
      </c>
      <c r="RLL1336" s="4" t="s">
        <v>2880</v>
      </c>
      <c r="RLM1336" s="4" t="s">
        <v>2880</v>
      </c>
      <c r="RLN1336" s="4" t="s">
        <v>2880</v>
      </c>
      <c r="RLO1336" s="4" t="s">
        <v>2880</v>
      </c>
      <c r="RLP1336" s="4" t="s">
        <v>2880</v>
      </c>
      <c r="RLQ1336" s="4" t="s">
        <v>2880</v>
      </c>
      <c r="RLR1336" s="4" t="s">
        <v>2880</v>
      </c>
      <c r="RLS1336" s="4" t="s">
        <v>2880</v>
      </c>
      <c r="RLT1336" s="4" t="s">
        <v>2880</v>
      </c>
      <c r="RLU1336" s="4" t="s">
        <v>2880</v>
      </c>
      <c r="RLV1336" s="4" t="s">
        <v>2880</v>
      </c>
      <c r="RLW1336" s="4" t="s">
        <v>2880</v>
      </c>
      <c r="RLX1336" s="4" t="s">
        <v>2880</v>
      </c>
      <c r="RLY1336" s="4" t="s">
        <v>2880</v>
      </c>
      <c r="RLZ1336" s="4" t="s">
        <v>2880</v>
      </c>
      <c r="RMA1336" s="4" t="s">
        <v>2880</v>
      </c>
      <c r="RMB1336" s="4" t="s">
        <v>2880</v>
      </c>
      <c r="RMC1336" s="4" t="s">
        <v>2880</v>
      </c>
      <c r="RMD1336" s="4" t="s">
        <v>2880</v>
      </c>
      <c r="RME1336" s="4" t="s">
        <v>2880</v>
      </c>
      <c r="RMF1336" s="4" t="s">
        <v>2880</v>
      </c>
      <c r="RMG1336" s="4" t="s">
        <v>2880</v>
      </c>
      <c r="RMH1336" s="4" t="s">
        <v>2880</v>
      </c>
      <c r="RMI1336" s="4" t="s">
        <v>2880</v>
      </c>
      <c r="RMJ1336" s="4" t="s">
        <v>2880</v>
      </c>
      <c r="RMK1336" s="4" t="s">
        <v>2880</v>
      </c>
      <c r="RML1336" s="4" t="s">
        <v>2880</v>
      </c>
      <c r="RMM1336" s="4" t="s">
        <v>2880</v>
      </c>
      <c r="RMN1336" s="4" t="s">
        <v>2880</v>
      </c>
      <c r="RMO1336" s="4" t="s">
        <v>2880</v>
      </c>
      <c r="RMP1336" s="4" t="s">
        <v>2880</v>
      </c>
      <c r="RMQ1336" s="4" t="s">
        <v>2880</v>
      </c>
      <c r="RMR1336" s="4" t="s">
        <v>2880</v>
      </c>
      <c r="RMS1336" s="4" t="s">
        <v>2880</v>
      </c>
      <c r="RMT1336" s="4" t="s">
        <v>2880</v>
      </c>
      <c r="RMU1336" s="4" t="s">
        <v>2880</v>
      </c>
      <c r="RMV1336" s="4" t="s">
        <v>2880</v>
      </c>
      <c r="RMW1336" s="4" t="s">
        <v>2880</v>
      </c>
      <c r="RMX1336" s="4" t="s">
        <v>2880</v>
      </c>
      <c r="RMY1336" s="4" t="s">
        <v>2880</v>
      </c>
      <c r="RMZ1336" s="4" t="s">
        <v>2880</v>
      </c>
      <c r="RNA1336" s="4" t="s">
        <v>2880</v>
      </c>
      <c r="RNB1336" s="4" t="s">
        <v>2880</v>
      </c>
      <c r="RNC1336" s="4" t="s">
        <v>2880</v>
      </c>
      <c r="RND1336" s="4" t="s">
        <v>2880</v>
      </c>
      <c r="RNE1336" s="4" t="s">
        <v>2880</v>
      </c>
      <c r="RNF1336" s="4" t="s">
        <v>2880</v>
      </c>
      <c r="RNG1336" s="4" t="s">
        <v>2880</v>
      </c>
      <c r="RNH1336" s="4" t="s">
        <v>2880</v>
      </c>
      <c r="RNI1336" s="4" t="s">
        <v>2880</v>
      </c>
      <c r="RNJ1336" s="4" t="s">
        <v>2880</v>
      </c>
      <c r="RNK1336" s="4" t="s">
        <v>2880</v>
      </c>
      <c r="RNL1336" s="4" t="s">
        <v>2880</v>
      </c>
      <c r="RNM1336" s="4" t="s">
        <v>2880</v>
      </c>
      <c r="RNN1336" s="4" t="s">
        <v>2880</v>
      </c>
      <c r="RNO1336" s="4" t="s">
        <v>2880</v>
      </c>
      <c r="RNP1336" s="4" t="s">
        <v>2880</v>
      </c>
      <c r="RNQ1336" s="4" t="s">
        <v>2880</v>
      </c>
      <c r="RNR1336" s="4" t="s">
        <v>2880</v>
      </c>
      <c r="RNS1336" s="4" t="s">
        <v>2880</v>
      </c>
      <c r="RNT1336" s="4" t="s">
        <v>2880</v>
      </c>
      <c r="RNU1336" s="4" t="s">
        <v>2880</v>
      </c>
      <c r="RNV1336" s="4" t="s">
        <v>2880</v>
      </c>
      <c r="RNW1336" s="4" t="s">
        <v>2880</v>
      </c>
      <c r="RNX1336" s="4" t="s">
        <v>2880</v>
      </c>
      <c r="RNY1336" s="4" t="s">
        <v>2880</v>
      </c>
      <c r="RNZ1336" s="4" t="s">
        <v>2880</v>
      </c>
      <c r="ROA1336" s="4" t="s">
        <v>2880</v>
      </c>
      <c r="ROB1336" s="4" t="s">
        <v>2880</v>
      </c>
      <c r="ROC1336" s="4" t="s">
        <v>2880</v>
      </c>
      <c r="ROD1336" s="4" t="s">
        <v>2880</v>
      </c>
      <c r="ROE1336" s="4" t="s">
        <v>2880</v>
      </c>
      <c r="ROF1336" s="4" t="s">
        <v>2880</v>
      </c>
      <c r="ROG1336" s="4" t="s">
        <v>2880</v>
      </c>
      <c r="ROH1336" s="4" t="s">
        <v>2880</v>
      </c>
      <c r="ROI1336" s="4" t="s">
        <v>2880</v>
      </c>
      <c r="ROJ1336" s="4" t="s">
        <v>2880</v>
      </c>
      <c r="ROK1336" s="4" t="s">
        <v>2880</v>
      </c>
      <c r="ROL1336" s="4" t="s">
        <v>2880</v>
      </c>
      <c r="ROM1336" s="4" t="s">
        <v>2880</v>
      </c>
      <c r="RON1336" s="4" t="s">
        <v>2880</v>
      </c>
      <c r="ROO1336" s="4" t="s">
        <v>2880</v>
      </c>
      <c r="ROP1336" s="4" t="s">
        <v>2880</v>
      </c>
      <c r="ROQ1336" s="4" t="s">
        <v>2880</v>
      </c>
      <c r="ROR1336" s="4" t="s">
        <v>2880</v>
      </c>
      <c r="ROS1336" s="4" t="s">
        <v>2880</v>
      </c>
      <c r="ROT1336" s="4" t="s">
        <v>2880</v>
      </c>
      <c r="ROU1336" s="4" t="s">
        <v>2880</v>
      </c>
      <c r="ROV1336" s="4" t="s">
        <v>2880</v>
      </c>
      <c r="ROW1336" s="4" t="s">
        <v>2880</v>
      </c>
      <c r="ROX1336" s="4" t="s">
        <v>2880</v>
      </c>
      <c r="ROY1336" s="4" t="s">
        <v>2880</v>
      </c>
      <c r="ROZ1336" s="4" t="s">
        <v>2880</v>
      </c>
      <c r="RPA1336" s="4" t="s">
        <v>2880</v>
      </c>
      <c r="RPB1336" s="4" t="s">
        <v>2880</v>
      </c>
      <c r="RPC1336" s="4" t="s">
        <v>2880</v>
      </c>
      <c r="RPD1336" s="4" t="s">
        <v>2880</v>
      </c>
      <c r="RPE1336" s="4" t="s">
        <v>2880</v>
      </c>
      <c r="RPF1336" s="4" t="s">
        <v>2880</v>
      </c>
      <c r="RPG1336" s="4" t="s">
        <v>2880</v>
      </c>
      <c r="RPH1336" s="4" t="s">
        <v>2880</v>
      </c>
      <c r="RPI1336" s="4" t="s">
        <v>2880</v>
      </c>
      <c r="RPJ1336" s="4" t="s">
        <v>2880</v>
      </c>
      <c r="RPK1336" s="4" t="s">
        <v>2880</v>
      </c>
      <c r="RPL1336" s="4" t="s">
        <v>2880</v>
      </c>
      <c r="RPM1336" s="4" t="s">
        <v>2880</v>
      </c>
      <c r="RPN1336" s="4" t="s">
        <v>2880</v>
      </c>
      <c r="RPO1336" s="4" t="s">
        <v>2880</v>
      </c>
      <c r="RPP1336" s="4" t="s">
        <v>2880</v>
      </c>
      <c r="RPQ1336" s="4" t="s">
        <v>2880</v>
      </c>
      <c r="RPR1336" s="4" t="s">
        <v>2880</v>
      </c>
      <c r="RPS1336" s="4" t="s">
        <v>2880</v>
      </c>
      <c r="RPT1336" s="4" t="s">
        <v>2880</v>
      </c>
      <c r="RPU1336" s="4" t="s">
        <v>2880</v>
      </c>
      <c r="RPV1336" s="4" t="s">
        <v>2880</v>
      </c>
      <c r="RPW1336" s="4" t="s">
        <v>2880</v>
      </c>
      <c r="RPX1336" s="4" t="s">
        <v>2880</v>
      </c>
      <c r="RPY1336" s="4" t="s">
        <v>2880</v>
      </c>
      <c r="RPZ1336" s="4" t="s">
        <v>2880</v>
      </c>
      <c r="RQA1336" s="4" t="s">
        <v>2880</v>
      </c>
      <c r="RQB1336" s="4" t="s">
        <v>2880</v>
      </c>
      <c r="RQC1336" s="4" t="s">
        <v>2880</v>
      </c>
      <c r="RQD1336" s="4" t="s">
        <v>2880</v>
      </c>
      <c r="RQE1336" s="4" t="s">
        <v>2880</v>
      </c>
      <c r="RQF1336" s="4" t="s">
        <v>2880</v>
      </c>
      <c r="RQG1336" s="4" t="s">
        <v>2880</v>
      </c>
      <c r="RQH1336" s="4" t="s">
        <v>2880</v>
      </c>
      <c r="RQI1336" s="4" t="s">
        <v>2880</v>
      </c>
      <c r="RQJ1336" s="4" t="s">
        <v>2880</v>
      </c>
      <c r="RQK1336" s="4" t="s">
        <v>2880</v>
      </c>
      <c r="RQL1336" s="4" t="s">
        <v>2880</v>
      </c>
      <c r="RQM1336" s="4" t="s">
        <v>2880</v>
      </c>
      <c r="RQN1336" s="4" t="s">
        <v>2880</v>
      </c>
      <c r="RQO1336" s="4" t="s">
        <v>2880</v>
      </c>
      <c r="RQP1336" s="4" t="s">
        <v>2880</v>
      </c>
      <c r="RQQ1336" s="4" t="s">
        <v>2880</v>
      </c>
      <c r="RQR1336" s="4" t="s">
        <v>2880</v>
      </c>
      <c r="RQS1336" s="4" t="s">
        <v>2880</v>
      </c>
      <c r="RQT1336" s="4" t="s">
        <v>2880</v>
      </c>
      <c r="RQU1336" s="4" t="s">
        <v>2880</v>
      </c>
      <c r="RQV1336" s="4" t="s">
        <v>2880</v>
      </c>
      <c r="RQW1336" s="4" t="s">
        <v>2880</v>
      </c>
      <c r="RQX1336" s="4" t="s">
        <v>2880</v>
      </c>
      <c r="RQY1336" s="4" t="s">
        <v>2880</v>
      </c>
      <c r="RQZ1336" s="4" t="s">
        <v>2880</v>
      </c>
      <c r="RRA1336" s="4" t="s">
        <v>2880</v>
      </c>
      <c r="RRB1336" s="4" t="s">
        <v>2880</v>
      </c>
      <c r="RRC1336" s="4" t="s">
        <v>2880</v>
      </c>
      <c r="RRD1336" s="4" t="s">
        <v>2880</v>
      </c>
      <c r="RRE1336" s="4" t="s">
        <v>2880</v>
      </c>
      <c r="RRF1336" s="4" t="s">
        <v>2880</v>
      </c>
      <c r="RRG1336" s="4" t="s">
        <v>2880</v>
      </c>
      <c r="RRH1336" s="4" t="s">
        <v>2880</v>
      </c>
      <c r="RRI1336" s="4" t="s">
        <v>2880</v>
      </c>
      <c r="RRJ1336" s="4" t="s">
        <v>2880</v>
      </c>
      <c r="RRK1336" s="4" t="s">
        <v>2880</v>
      </c>
      <c r="RRL1336" s="4" t="s">
        <v>2880</v>
      </c>
      <c r="RRM1336" s="4" t="s">
        <v>2880</v>
      </c>
      <c r="RRN1336" s="4" t="s">
        <v>2880</v>
      </c>
      <c r="RRO1336" s="4" t="s">
        <v>2880</v>
      </c>
      <c r="RRP1336" s="4" t="s">
        <v>2880</v>
      </c>
      <c r="RRQ1336" s="4" t="s">
        <v>2880</v>
      </c>
      <c r="RRR1336" s="4" t="s">
        <v>2880</v>
      </c>
      <c r="RRS1336" s="4" t="s">
        <v>2880</v>
      </c>
      <c r="RRT1336" s="4" t="s">
        <v>2880</v>
      </c>
      <c r="RRU1336" s="4" t="s">
        <v>2880</v>
      </c>
      <c r="RRV1336" s="4" t="s">
        <v>2880</v>
      </c>
      <c r="RRW1336" s="4" t="s">
        <v>2880</v>
      </c>
      <c r="RRX1336" s="4" t="s">
        <v>2880</v>
      </c>
      <c r="RRY1336" s="4" t="s">
        <v>2880</v>
      </c>
      <c r="RRZ1336" s="4" t="s">
        <v>2880</v>
      </c>
      <c r="RSA1336" s="4" t="s">
        <v>2880</v>
      </c>
      <c r="RSB1336" s="4" t="s">
        <v>2880</v>
      </c>
      <c r="RSC1336" s="4" t="s">
        <v>2880</v>
      </c>
      <c r="RSD1336" s="4" t="s">
        <v>2880</v>
      </c>
      <c r="RSE1336" s="4" t="s">
        <v>2880</v>
      </c>
      <c r="RSF1336" s="4" t="s">
        <v>2880</v>
      </c>
      <c r="RSG1336" s="4" t="s">
        <v>2880</v>
      </c>
      <c r="RSH1336" s="4" t="s">
        <v>2880</v>
      </c>
      <c r="RSI1336" s="4" t="s">
        <v>2880</v>
      </c>
      <c r="RSJ1336" s="4" t="s">
        <v>2880</v>
      </c>
      <c r="RSK1336" s="4" t="s">
        <v>2880</v>
      </c>
      <c r="RSL1336" s="4" t="s">
        <v>2880</v>
      </c>
      <c r="RSM1336" s="4" t="s">
        <v>2880</v>
      </c>
      <c r="RSN1336" s="4" t="s">
        <v>2880</v>
      </c>
      <c r="RSO1336" s="4" t="s">
        <v>2880</v>
      </c>
      <c r="RSP1336" s="4" t="s">
        <v>2880</v>
      </c>
      <c r="RSQ1336" s="4" t="s">
        <v>2880</v>
      </c>
      <c r="RSR1336" s="4" t="s">
        <v>2880</v>
      </c>
      <c r="RSS1336" s="4" t="s">
        <v>2880</v>
      </c>
      <c r="RST1336" s="4" t="s">
        <v>2880</v>
      </c>
      <c r="RSU1336" s="4" t="s">
        <v>2880</v>
      </c>
      <c r="RSV1336" s="4" t="s">
        <v>2880</v>
      </c>
      <c r="RSW1336" s="4" t="s">
        <v>2880</v>
      </c>
      <c r="RSX1336" s="4" t="s">
        <v>2880</v>
      </c>
      <c r="RSY1336" s="4" t="s">
        <v>2880</v>
      </c>
      <c r="RSZ1336" s="4" t="s">
        <v>2880</v>
      </c>
      <c r="RTA1336" s="4" t="s">
        <v>2880</v>
      </c>
      <c r="RTB1336" s="4" t="s">
        <v>2880</v>
      </c>
      <c r="RTC1336" s="4" t="s">
        <v>2880</v>
      </c>
      <c r="RTD1336" s="4" t="s">
        <v>2880</v>
      </c>
      <c r="RTE1336" s="4" t="s">
        <v>2880</v>
      </c>
      <c r="RTF1336" s="4" t="s">
        <v>2880</v>
      </c>
      <c r="RTG1336" s="4" t="s">
        <v>2880</v>
      </c>
      <c r="RTH1336" s="4" t="s">
        <v>2880</v>
      </c>
      <c r="RTI1336" s="4" t="s">
        <v>2880</v>
      </c>
      <c r="RTJ1336" s="4" t="s">
        <v>2880</v>
      </c>
      <c r="RTK1336" s="4" t="s">
        <v>2880</v>
      </c>
      <c r="RTL1336" s="4" t="s">
        <v>2880</v>
      </c>
      <c r="RTM1336" s="4" t="s">
        <v>2880</v>
      </c>
      <c r="RTN1336" s="4" t="s">
        <v>2880</v>
      </c>
      <c r="RTO1336" s="4" t="s">
        <v>2880</v>
      </c>
      <c r="RTP1336" s="4" t="s">
        <v>2880</v>
      </c>
      <c r="RTQ1336" s="4" t="s">
        <v>2880</v>
      </c>
      <c r="RTR1336" s="4" t="s">
        <v>2880</v>
      </c>
      <c r="RTS1336" s="4" t="s">
        <v>2880</v>
      </c>
      <c r="RTT1336" s="4" t="s">
        <v>2880</v>
      </c>
      <c r="RTU1336" s="4" t="s">
        <v>2880</v>
      </c>
      <c r="RTV1336" s="4" t="s">
        <v>2880</v>
      </c>
      <c r="RTW1336" s="4" t="s">
        <v>2880</v>
      </c>
      <c r="RTX1336" s="4" t="s">
        <v>2880</v>
      </c>
      <c r="RTY1336" s="4" t="s">
        <v>2880</v>
      </c>
      <c r="RTZ1336" s="4" t="s">
        <v>2880</v>
      </c>
      <c r="RUA1336" s="4" t="s">
        <v>2880</v>
      </c>
      <c r="RUB1336" s="4" t="s">
        <v>2880</v>
      </c>
      <c r="RUC1336" s="4" t="s">
        <v>2880</v>
      </c>
      <c r="RUD1336" s="4" t="s">
        <v>2880</v>
      </c>
      <c r="RUE1336" s="4" t="s">
        <v>2880</v>
      </c>
      <c r="RUF1336" s="4" t="s">
        <v>2880</v>
      </c>
      <c r="RUG1336" s="4" t="s">
        <v>2880</v>
      </c>
      <c r="RUH1336" s="4" t="s">
        <v>2880</v>
      </c>
      <c r="RUI1336" s="4" t="s">
        <v>2880</v>
      </c>
      <c r="RUJ1336" s="4" t="s">
        <v>2880</v>
      </c>
      <c r="RUK1336" s="4" t="s">
        <v>2880</v>
      </c>
      <c r="RUL1336" s="4" t="s">
        <v>2880</v>
      </c>
      <c r="RUM1336" s="4" t="s">
        <v>2880</v>
      </c>
      <c r="RUN1336" s="4" t="s">
        <v>2880</v>
      </c>
      <c r="RUO1336" s="4" t="s">
        <v>2880</v>
      </c>
      <c r="RUP1336" s="4" t="s">
        <v>2880</v>
      </c>
      <c r="RUQ1336" s="4" t="s">
        <v>2880</v>
      </c>
      <c r="RUR1336" s="4" t="s">
        <v>2880</v>
      </c>
      <c r="RUS1336" s="4" t="s">
        <v>2880</v>
      </c>
      <c r="RUT1336" s="4" t="s">
        <v>2880</v>
      </c>
      <c r="RUU1336" s="4" t="s">
        <v>2880</v>
      </c>
      <c r="RUV1336" s="4" t="s">
        <v>2880</v>
      </c>
      <c r="RUW1336" s="4" t="s">
        <v>2880</v>
      </c>
      <c r="RUX1336" s="4" t="s">
        <v>2880</v>
      </c>
      <c r="RUY1336" s="4" t="s">
        <v>2880</v>
      </c>
      <c r="RUZ1336" s="4" t="s">
        <v>2880</v>
      </c>
      <c r="RVA1336" s="4" t="s">
        <v>2880</v>
      </c>
      <c r="RVB1336" s="4" t="s">
        <v>2880</v>
      </c>
      <c r="RVC1336" s="4" t="s">
        <v>2880</v>
      </c>
      <c r="RVD1336" s="4" t="s">
        <v>2880</v>
      </c>
      <c r="RVE1336" s="4" t="s">
        <v>2880</v>
      </c>
      <c r="RVF1336" s="4" t="s">
        <v>2880</v>
      </c>
      <c r="RVG1336" s="4" t="s">
        <v>2880</v>
      </c>
      <c r="RVH1336" s="4" t="s">
        <v>2880</v>
      </c>
      <c r="RVI1336" s="4" t="s">
        <v>2880</v>
      </c>
      <c r="RVJ1336" s="4" t="s">
        <v>2880</v>
      </c>
      <c r="RVK1336" s="4" t="s">
        <v>2880</v>
      </c>
      <c r="RVL1336" s="4" t="s">
        <v>2880</v>
      </c>
      <c r="RVM1336" s="4" t="s">
        <v>2880</v>
      </c>
      <c r="RVN1336" s="4" t="s">
        <v>2880</v>
      </c>
      <c r="RVO1336" s="4" t="s">
        <v>2880</v>
      </c>
      <c r="RVP1336" s="4" t="s">
        <v>2880</v>
      </c>
      <c r="RVQ1336" s="4" t="s">
        <v>2880</v>
      </c>
      <c r="RVR1336" s="4" t="s">
        <v>2880</v>
      </c>
      <c r="RVS1336" s="4" t="s">
        <v>2880</v>
      </c>
      <c r="RVT1336" s="4" t="s">
        <v>2880</v>
      </c>
      <c r="RVU1336" s="4" t="s">
        <v>2880</v>
      </c>
      <c r="RVV1336" s="4" t="s">
        <v>2880</v>
      </c>
      <c r="RVW1336" s="4" t="s">
        <v>2880</v>
      </c>
      <c r="RVX1336" s="4" t="s">
        <v>2880</v>
      </c>
      <c r="RVY1336" s="4" t="s">
        <v>2880</v>
      </c>
      <c r="RVZ1336" s="4" t="s">
        <v>2880</v>
      </c>
      <c r="RWA1336" s="4" t="s">
        <v>2880</v>
      </c>
      <c r="RWB1336" s="4" t="s">
        <v>2880</v>
      </c>
      <c r="RWC1336" s="4" t="s">
        <v>2880</v>
      </c>
      <c r="RWD1336" s="4" t="s">
        <v>2880</v>
      </c>
      <c r="RWE1336" s="4" t="s">
        <v>2880</v>
      </c>
      <c r="RWF1336" s="4" t="s">
        <v>2880</v>
      </c>
      <c r="RWG1336" s="4" t="s">
        <v>2880</v>
      </c>
      <c r="RWH1336" s="4" t="s">
        <v>2880</v>
      </c>
      <c r="RWI1336" s="4" t="s">
        <v>2880</v>
      </c>
      <c r="RWJ1336" s="4" t="s">
        <v>2880</v>
      </c>
      <c r="RWK1336" s="4" t="s">
        <v>2880</v>
      </c>
      <c r="RWL1336" s="4" t="s">
        <v>2880</v>
      </c>
      <c r="RWM1336" s="4" t="s">
        <v>2880</v>
      </c>
      <c r="RWN1336" s="4" t="s">
        <v>2880</v>
      </c>
      <c r="RWO1336" s="4" t="s">
        <v>2880</v>
      </c>
      <c r="RWP1336" s="4" t="s">
        <v>2880</v>
      </c>
      <c r="RWQ1336" s="4" t="s">
        <v>2880</v>
      </c>
      <c r="RWR1336" s="4" t="s">
        <v>2880</v>
      </c>
      <c r="RWS1336" s="4" t="s">
        <v>2880</v>
      </c>
      <c r="RWT1336" s="4" t="s">
        <v>2880</v>
      </c>
      <c r="RWU1336" s="4" t="s">
        <v>2880</v>
      </c>
      <c r="RWV1336" s="4" t="s">
        <v>2880</v>
      </c>
      <c r="RWW1336" s="4" t="s">
        <v>2880</v>
      </c>
      <c r="RWX1336" s="4" t="s">
        <v>2880</v>
      </c>
      <c r="RWY1336" s="4" t="s">
        <v>2880</v>
      </c>
      <c r="RWZ1336" s="4" t="s">
        <v>2880</v>
      </c>
      <c r="RXA1336" s="4" t="s">
        <v>2880</v>
      </c>
      <c r="RXB1336" s="4" t="s">
        <v>2880</v>
      </c>
      <c r="RXC1336" s="4" t="s">
        <v>2880</v>
      </c>
      <c r="RXD1336" s="4" t="s">
        <v>2880</v>
      </c>
      <c r="RXE1336" s="4" t="s">
        <v>2880</v>
      </c>
      <c r="RXF1336" s="4" t="s">
        <v>2880</v>
      </c>
      <c r="RXG1336" s="4" t="s">
        <v>2880</v>
      </c>
      <c r="RXH1336" s="4" t="s">
        <v>2880</v>
      </c>
      <c r="RXI1336" s="4" t="s">
        <v>2880</v>
      </c>
      <c r="RXJ1336" s="4" t="s">
        <v>2880</v>
      </c>
      <c r="RXK1336" s="4" t="s">
        <v>2880</v>
      </c>
      <c r="RXL1336" s="4" t="s">
        <v>2880</v>
      </c>
      <c r="RXM1336" s="4" t="s">
        <v>2880</v>
      </c>
      <c r="RXN1336" s="4" t="s">
        <v>2880</v>
      </c>
      <c r="RXO1336" s="4" t="s">
        <v>2880</v>
      </c>
      <c r="RXP1336" s="4" t="s">
        <v>2880</v>
      </c>
      <c r="RXQ1336" s="4" t="s">
        <v>2880</v>
      </c>
      <c r="RXR1336" s="4" t="s">
        <v>2880</v>
      </c>
      <c r="RXS1336" s="4" t="s">
        <v>2880</v>
      </c>
      <c r="RXT1336" s="4" t="s">
        <v>2880</v>
      </c>
      <c r="RXU1336" s="4" t="s">
        <v>2880</v>
      </c>
      <c r="RXV1336" s="4" t="s">
        <v>2880</v>
      </c>
      <c r="RXW1336" s="4" t="s">
        <v>2880</v>
      </c>
      <c r="RXX1336" s="4" t="s">
        <v>2880</v>
      </c>
      <c r="RXY1336" s="4" t="s">
        <v>2880</v>
      </c>
      <c r="RXZ1336" s="4" t="s">
        <v>2880</v>
      </c>
      <c r="RYA1336" s="4" t="s">
        <v>2880</v>
      </c>
      <c r="RYB1336" s="4" t="s">
        <v>2880</v>
      </c>
      <c r="RYC1336" s="4" t="s">
        <v>2880</v>
      </c>
      <c r="RYD1336" s="4" t="s">
        <v>2880</v>
      </c>
      <c r="RYE1336" s="4" t="s">
        <v>2880</v>
      </c>
      <c r="RYF1336" s="4" t="s">
        <v>2880</v>
      </c>
      <c r="RYG1336" s="4" t="s">
        <v>2880</v>
      </c>
      <c r="RYH1336" s="4" t="s">
        <v>2880</v>
      </c>
      <c r="RYI1336" s="4" t="s">
        <v>2880</v>
      </c>
      <c r="RYJ1336" s="4" t="s">
        <v>2880</v>
      </c>
      <c r="RYK1336" s="4" t="s">
        <v>2880</v>
      </c>
      <c r="RYL1336" s="4" t="s">
        <v>2880</v>
      </c>
      <c r="RYM1336" s="4" t="s">
        <v>2880</v>
      </c>
      <c r="RYN1336" s="4" t="s">
        <v>2880</v>
      </c>
      <c r="RYO1336" s="4" t="s">
        <v>2880</v>
      </c>
      <c r="RYP1336" s="4" t="s">
        <v>2880</v>
      </c>
      <c r="RYQ1336" s="4" t="s">
        <v>2880</v>
      </c>
      <c r="RYR1336" s="4" t="s">
        <v>2880</v>
      </c>
      <c r="RYS1336" s="4" t="s">
        <v>2880</v>
      </c>
      <c r="RYT1336" s="4" t="s">
        <v>2880</v>
      </c>
      <c r="RYU1336" s="4" t="s">
        <v>2880</v>
      </c>
      <c r="RYV1336" s="4" t="s">
        <v>2880</v>
      </c>
      <c r="RYW1336" s="4" t="s">
        <v>2880</v>
      </c>
      <c r="RYX1336" s="4" t="s">
        <v>2880</v>
      </c>
      <c r="RYY1336" s="4" t="s">
        <v>2880</v>
      </c>
      <c r="RYZ1336" s="4" t="s">
        <v>2880</v>
      </c>
      <c r="RZA1336" s="4" t="s">
        <v>2880</v>
      </c>
      <c r="RZB1336" s="4" t="s">
        <v>2880</v>
      </c>
      <c r="RZC1336" s="4" t="s">
        <v>2880</v>
      </c>
      <c r="RZD1336" s="4" t="s">
        <v>2880</v>
      </c>
      <c r="RZE1336" s="4" t="s">
        <v>2880</v>
      </c>
      <c r="RZF1336" s="4" t="s">
        <v>2880</v>
      </c>
      <c r="RZG1336" s="4" t="s">
        <v>2880</v>
      </c>
      <c r="RZH1336" s="4" t="s">
        <v>2880</v>
      </c>
      <c r="RZI1336" s="4" t="s">
        <v>2880</v>
      </c>
      <c r="RZJ1336" s="4" t="s">
        <v>2880</v>
      </c>
      <c r="RZK1336" s="4" t="s">
        <v>2880</v>
      </c>
      <c r="RZL1336" s="4" t="s">
        <v>2880</v>
      </c>
      <c r="RZM1336" s="4" t="s">
        <v>2880</v>
      </c>
      <c r="RZN1336" s="4" t="s">
        <v>2880</v>
      </c>
      <c r="RZO1336" s="4" t="s">
        <v>2880</v>
      </c>
      <c r="RZP1336" s="4" t="s">
        <v>2880</v>
      </c>
      <c r="RZQ1336" s="4" t="s">
        <v>2880</v>
      </c>
      <c r="RZR1336" s="4" t="s">
        <v>2880</v>
      </c>
      <c r="RZS1336" s="4" t="s">
        <v>2880</v>
      </c>
      <c r="RZT1336" s="4" t="s">
        <v>2880</v>
      </c>
      <c r="RZU1336" s="4" t="s">
        <v>2880</v>
      </c>
      <c r="RZV1336" s="4" t="s">
        <v>2880</v>
      </c>
      <c r="RZW1336" s="4" t="s">
        <v>2880</v>
      </c>
      <c r="RZX1336" s="4" t="s">
        <v>2880</v>
      </c>
      <c r="RZY1336" s="4" t="s">
        <v>2880</v>
      </c>
      <c r="RZZ1336" s="4" t="s">
        <v>2880</v>
      </c>
      <c r="SAA1336" s="4" t="s">
        <v>2880</v>
      </c>
      <c r="SAB1336" s="4" t="s">
        <v>2880</v>
      </c>
      <c r="SAC1336" s="4" t="s">
        <v>2880</v>
      </c>
      <c r="SAD1336" s="4" t="s">
        <v>2880</v>
      </c>
      <c r="SAE1336" s="4" t="s">
        <v>2880</v>
      </c>
      <c r="SAF1336" s="4" t="s">
        <v>2880</v>
      </c>
      <c r="SAG1336" s="4" t="s">
        <v>2880</v>
      </c>
      <c r="SAH1336" s="4" t="s">
        <v>2880</v>
      </c>
      <c r="SAI1336" s="4" t="s">
        <v>2880</v>
      </c>
      <c r="SAJ1336" s="4" t="s">
        <v>2880</v>
      </c>
      <c r="SAK1336" s="4" t="s">
        <v>2880</v>
      </c>
      <c r="SAL1336" s="4" t="s">
        <v>2880</v>
      </c>
      <c r="SAM1336" s="4" t="s">
        <v>2880</v>
      </c>
      <c r="SAN1336" s="4" t="s">
        <v>2880</v>
      </c>
      <c r="SAO1336" s="4" t="s">
        <v>2880</v>
      </c>
      <c r="SAP1336" s="4" t="s">
        <v>2880</v>
      </c>
      <c r="SAQ1336" s="4" t="s">
        <v>2880</v>
      </c>
      <c r="SAR1336" s="4" t="s">
        <v>2880</v>
      </c>
      <c r="SAS1336" s="4" t="s">
        <v>2880</v>
      </c>
      <c r="SAT1336" s="4" t="s">
        <v>2880</v>
      </c>
      <c r="SAU1336" s="4" t="s">
        <v>2880</v>
      </c>
      <c r="SAV1336" s="4" t="s">
        <v>2880</v>
      </c>
      <c r="SAW1336" s="4" t="s">
        <v>2880</v>
      </c>
      <c r="SAX1336" s="4" t="s">
        <v>2880</v>
      </c>
      <c r="SAY1336" s="4" t="s">
        <v>2880</v>
      </c>
      <c r="SAZ1336" s="4" t="s">
        <v>2880</v>
      </c>
      <c r="SBA1336" s="4" t="s">
        <v>2880</v>
      </c>
      <c r="SBB1336" s="4" t="s">
        <v>2880</v>
      </c>
      <c r="SBC1336" s="4" t="s">
        <v>2880</v>
      </c>
      <c r="SBD1336" s="4" t="s">
        <v>2880</v>
      </c>
      <c r="SBE1336" s="4" t="s">
        <v>2880</v>
      </c>
      <c r="SBF1336" s="4" t="s">
        <v>2880</v>
      </c>
      <c r="SBG1336" s="4" t="s">
        <v>2880</v>
      </c>
      <c r="SBH1336" s="4" t="s">
        <v>2880</v>
      </c>
      <c r="SBI1336" s="4" t="s">
        <v>2880</v>
      </c>
      <c r="SBJ1336" s="4" t="s">
        <v>2880</v>
      </c>
      <c r="SBK1336" s="4" t="s">
        <v>2880</v>
      </c>
      <c r="SBL1336" s="4" t="s">
        <v>2880</v>
      </c>
      <c r="SBM1336" s="4" t="s">
        <v>2880</v>
      </c>
      <c r="SBN1336" s="4" t="s">
        <v>2880</v>
      </c>
      <c r="SBO1336" s="4" t="s">
        <v>2880</v>
      </c>
      <c r="SBP1336" s="4" t="s">
        <v>2880</v>
      </c>
      <c r="SBQ1336" s="4" t="s">
        <v>2880</v>
      </c>
      <c r="SBR1336" s="4" t="s">
        <v>2880</v>
      </c>
      <c r="SBS1336" s="4" t="s">
        <v>2880</v>
      </c>
      <c r="SBT1336" s="4" t="s">
        <v>2880</v>
      </c>
      <c r="SBU1336" s="4" t="s">
        <v>2880</v>
      </c>
      <c r="SBV1336" s="4" t="s">
        <v>2880</v>
      </c>
      <c r="SBW1336" s="4" t="s">
        <v>2880</v>
      </c>
      <c r="SBX1336" s="4" t="s">
        <v>2880</v>
      </c>
      <c r="SBY1336" s="4" t="s">
        <v>2880</v>
      </c>
      <c r="SBZ1336" s="4" t="s">
        <v>2880</v>
      </c>
      <c r="SCA1336" s="4" t="s">
        <v>2880</v>
      </c>
      <c r="SCB1336" s="4" t="s">
        <v>2880</v>
      </c>
      <c r="SCC1336" s="4" t="s">
        <v>2880</v>
      </c>
      <c r="SCD1336" s="4" t="s">
        <v>2880</v>
      </c>
      <c r="SCE1336" s="4" t="s">
        <v>2880</v>
      </c>
      <c r="SCF1336" s="4" t="s">
        <v>2880</v>
      </c>
      <c r="SCG1336" s="4" t="s">
        <v>2880</v>
      </c>
      <c r="SCH1336" s="4" t="s">
        <v>2880</v>
      </c>
      <c r="SCI1336" s="4" t="s">
        <v>2880</v>
      </c>
      <c r="SCJ1336" s="4" t="s">
        <v>2880</v>
      </c>
      <c r="SCK1336" s="4" t="s">
        <v>2880</v>
      </c>
      <c r="SCL1336" s="4" t="s">
        <v>2880</v>
      </c>
      <c r="SCM1336" s="4" t="s">
        <v>2880</v>
      </c>
      <c r="SCN1336" s="4" t="s">
        <v>2880</v>
      </c>
      <c r="SCO1336" s="4" t="s">
        <v>2880</v>
      </c>
      <c r="SCP1336" s="4" t="s">
        <v>2880</v>
      </c>
      <c r="SCQ1336" s="4" t="s">
        <v>2880</v>
      </c>
      <c r="SCR1336" s="4" t="s">
        <v>2880</v>
      </c>
      <c r="SCS1336" s="4" t="s">
        <v>2880</v>
      </c>
      <c r="SCT1336" s="4" t="s">
        <v>2880</v>
      </c>
      <c r="SCU1336" s="4" t="s">
        <v>2880</v>
      </c>
      <c r="SCV1336" s="4" t="s">
        <v>2880</v>
      </c>
      <c r="SCW1336" s="4" t="s">
        <v>2880</v>
      </c>
      <c r="SCX1336" s="4" t="s">
        <v>2880</v>
      </c>
      <c r="SCY1336" s="4" t="s">
        <v>2880</v>
      </c>
      <c r="SCZ1336" s="4" t="s">
        <v>2880</v>
      </c>
      <c r="SDA1336" s="4" t="s">
        <v>2880</v>
      </c>
      <c r="SDB1336" s="4" t="s">
        <v>2880</v>
      </c>
      <c r="SDC1336" s="4" t="s">
        <v>2880</v>
      </c>
      <c r="SDD1336" s="4" t="s">
        <v>2880</v>
      </c>
      <c r="SDE1336" s="4" t="s">
        <v>2880</v>
      </c>
      <c r="SDF1336" s="4" t="s">
        <v>2880</v>
      </c>
      <c r="SDG1336" s="4" t="s">
        <v>2880</v>
      </c>
      <c r="SDH1336" s="4" t="s">
        <v>2880</v>
      </c>
      <c r="SDI1336" s="4" t="s">
        <v>2880</v>
      </c>
      <c r="SDJ1336" s="4" t="s">
        <v>2880</v>
      </c>
      <c r="SDK1336" s="4" t="s">
        <v>2880</v>
      </c>
      <c r="SDL1336" s="4" t="s">
        <v>2880</v>
      </c>
      <c r="SDM1336" s="4" t="s">
        <v>2880</v>
      </c>
      <c r="SDN1336" s="4" t="s">
        <v>2880</v>
      </c>
      <c r="SDO1336" s="4" t="s">
        <v>2880</v>
      </c>
      <c r="SDP1336" s="4" t="s">
        <v>2880</v>
      </c>
      <c r="SDQ1336" s="4" t="s">
        <v>2880</v>
      </c>
      <c r="SDR1336" s="4" t="s">
        <v>2880</v>
      </c>
      <c r="SDS1336" s="4" t="s">
        <v>2880</v>
      </c>
      <c r="SDT1336" s="4" t="s">
        <v>2880</v>
      </c>
      <c r="SDU1336" s="4" t="s">
        <v>2880</v>
      </c>
      <c r="SDV1336" s="4" t="s">
        <v>2880</v>
      </c>
      <c r="SDW1336" s="4" t="s">
        <v>2880</v>
      </c>
      <c r="SDX1336" s="4" t="s">
        <v>2880</v>
      </c>
      <c r="SDY1336" s="4" t="s">
        <v>2880</v>
      </c>
      <c r="SDZ1336" s="4" t="s">
        <v>2880</v>
      </c>
      <c r="SEA1336" s="4" t="s">
        <v>2880</v>
      </c>
      <c r="SEB1336" s="4" t="s">
        <v>2880</v>
      </c>
      <c r="SEC1336" s="4" t="s">
        <v>2880</v>
      </c>
      <c r="SED1336" s="4" t="s">
        <v>2880</v>
      </c>
      <c r="SEE1336" s="4" t="s">
        <v>2880</v>
      </c>
      <c r="SEF1336" s="4" t="s">
        <v>2880</v>
      </c>
      <c r="SEG1336" s="4" t="s">
        <v>2880</v>
      </c>
      <c r="SEH1336" s="4" t="s">
        <v>2880</v>
      </c>
      <c r="SEI1336" s="4" t="s">
        <v>2880</v>
      </c>
      <c r="SEJ1336" s="4" t="s">
        <v>2880</v>
      </c>
      <c r="SEK1336" s="4" t="s">
        <v>2880</v>
      </c>
      <c r="SEL1336" s="4" t="s">
        <v>2880</v>
      </c>
      <c r="SEM1336" s="4" t="s">
        <v>2880</v>
      </c>
      <c r="SEN1336" s="4" t="s">
        <v>2880</v>
      </c>
      <c r="SEO1336" s="4" t="s">
        <v>2880</v>
      </c>
      <c r="SEP1336" s="4" t="s">
        <v>2880</v>
      </c>
      <c r="SEQ1336" s="4" t="s">
        <v>2880</v>
      </c>
      <c r="SER1336" s="4" t="s">
        <v>2880</v>
      </c>
      <c r="SES1336" s="4" t="s">
        <v>2880</v>
      </c>
      <c r="SET1336" s="4" t="s">
        <v>2880</v>
      </c>
      <c r="SEU1336" s="4" t="s">
        <v>2880</v>
      </c>
      <c r="SEV1336" s="4" t="s">
        <v>2880</v>
      </c>
      <c r="SEW1336" s="4" t="s">
        <v>2880</v>
      </c>
      <c r="SEX1336" s="4" t="s">
        <v>2880</v>
      </c>
      <c r="SEY1336" s="4" t="s">
        <v>2880</v>
      </c>
      <c r="SEZ1336" s="4" t="s">
        <v>2880</v>
      </c>
      <c r="SFA1336" s="4" t="s">
        <v>2880</v>
      </c>
      <c r="SFB1336" s="4" t="s">
        <v>2880</v>
      </c>
      <c r="SFC1336" s="4" t="s">
        <v>2880</v>
      </c>
      <c r="SFD1336" s="4" t="s">
        <v>2880</v>
      </c>
      <c r="SFE1336" s="4" t="s">
        <v>2880</v>
      </c>
      <c r="SFF1336" s="4" t="s">
        <v>2880</v>
      </c>
      <c r="SFG1336" s="4" t="s">
        <v>2880</v>
      </c>
      <c r="SFH1336" s="4" t="s">
        <v>2880</v>
      </c>
      <c r="SFI1336" s="4" t="s">
        <v>2880</v>
      </c>
      <c r="SFJ1336" s="4" t="s">
        <v>2880</v>
      </c>
      <c r="SFK1336" s="4" t="s">
        <v>2880</v>
      </c>
      <c r="SFL1336" s="4" t="s">
        <v>2880</v>
      </c>
      <c r="SFM1336" s="4" t="s">
        <v>2880</v>
      </c>
      <c r="SFN1336" s="4" t="s">
        <v>2880</v>
      </c>
      <c r="SFO1336" s="4" t="s">
        <v>2880</v>
      </c>
      <c r="SFP1336" s="4" t="s">
        <v>2880</v>
      </c>
      <c r="SFQ1336" s="4" t="s">
        <v>2880</v>
      </c>
      <c r="SFR1336" s="4" t="s">
        <v>2880</v>
      </c>
      <c r="SFS1336" s="4" t="s">
        <v>2880</v>
      </c>
      <c r="SFT1336" s="4" t="s">
        <v>2880</v>
      </c>
      <c r="SFU1336" s="4" t="s">
        <v>2880</v>
      </c>
      <c r="SFV1336" s="4" t="s">
        <v>2880</v>
      </c>
      <c r="SFW1336" s="4" t="s">
        <v>2880</v>
      </c>
      <c r="SFX1336" s="4" t="s">
        <v>2880</v>
      </c>
      <c r="SFY1336" s="4" t="s">
        <v>2880</v>
      </c>
      <c r="SFZ1336" s="4" t="s">
        <v>2880</v>
      </c>
      <c r="SGA1336" s="4" t="s">
        <v>2880</v>
      </c>
      <c r="SGB1336" s="4" t="s">
        <v>2880</v>
      </c>
      <c r="SGC1336" s="4" t="s">
        <v>2880</v>
      </c>
      <c r="SGD1336" s="4" t="s">
        <v>2880</v>
      </c>
      <c r="SGE1336" s="4" t="s">
        <v>2880</v>
      </c>
      <c r="SGF1336" s="4" t="s">
        <v>2880</v>
      </c>
      <c r="SGG1336" s="4" t="s">
        <v>2880</v>
      </c>
      <c r="SGH1336" s="4" t="s">
        <v>2880</v>
      </c>
      <c r="SGI1336" s="4" t="s">
        <v>2880</v>
      </c>
      <c r="SGJ1336" s="4" t="s">
        <v>2880</v>
      </c>
      <c r="SGK1336" s="4" t="s">
        <v>2880</v>
      </c>
      <c r="SGL1336" s="4" t="s">
        <v>2880</v>
      </c>
      <c r="SGM1336" s="4" t="s">
        <v>2880</v>
      </c>
      <c r="SGN1336" s="4" t="s">
        <v>2880</v>
      </c>
      <c r="SGO1336" s="4" t="s">
        <v>2880</v>
      </c>
      <c r="SGP1336" s="4" t="s">
        <v>2880</v>
      </c>
      <c r="SGQ1336" s="4" t="s">
        <v>2880</v>
      </c>
      <c r="SGR1336" s="4" t="s">
        <v>2880</v>
      </c>
      <c r="SGS1336" s="4" t="s">
        <v>2880</v>
      </c>
      <c r="SGT1336" s="4" t="s">
        <v>2880</v>
      </c>
      <c r="SGU1336" s="4" t="s">
        <v>2880</v>
      </c>
      <c r="SGV1336" s="4" t="s">
        <v>2880</v>
      </c>
      <c r="SGW1336" s="4" t="s">
        <v>2880</v>
      </c>
      <c r="SGX1336" s="4" t="s">
        <v>2880</v>
      </c>
      <c r="SGY1336" s="4" t="s">
        <v>2880</v>
      </c>
      <c r="SGZ1336" s="4" t="s">
        <v>2880</v>
      </c>
      <c r="SHA1336" s="4" t="s">
        <v>2880</v>
      </c>
      <c r="SHB1336" s="4" t="s">
        <v>2880</v>
      </c>
      <c r="SHC1336" s="4" t="s">
        <v>2880</v>
      </c>
      <c r="SHD1336" s="4" t="s">
        <v>2880</v>
      </c>
      <c r="SHE1336" s="4" t="s">
        <v>2880</v>
      </c>
      <c r="SHF1336" s="4" t="s">
        <v>2880</v>
      </c>
      <c r="SHG1336" s="4" t="s">
        <v>2880</v>
      </c>
      <c r="SHH1336" s="4" t="s">
        <v>2880</v>
      </c>
      <c r="SHI1336" s="4" t="s">
        <v>2880</v>
      </c>
      <c r="SHJ1336" s="4" t="s">
        <v>2880</v>
      </c>
      <c r="SHK1336" s="4" t="s">
        <v>2880</v>
      </c>
      <c r="SHL1336" s="4" t="s">
        <v>2880</v>
      </c>
      <c r="SHM1336" s="4" t="s">
        <v>2880</v>
      </c>
      <c r="SHN1336" s="4" t="s">
        <v>2880</v>
      </c>
      <c r="SHO1336" s="4" t="s">
        <v>2880</v>
      </c>
      <c r="SHP1336" s="4" t="s">
        <v>2880</v>
      </c>
      <c r="SHQ1336" s="4" t="s">
        <v>2880</v>
      </c>
      <c r="SHR1336" s="4" t="s">
        <v>2880</v>
      </c>
      <c r="SHS1336" s="4" t="s">
        <v>2880</v>
      </c>
      <c r="SHT1336" s="4" t="s">
        <v>2880</v>
      </c>
      <c r="SHU1336" s="4" t="s">
        <v>2880</v>
      </c>
      <c r="SHV1336" s="4" t="s">
        <v>2880</v>
      </c>
      <c r="SHW1336" s="4" t="s">
        <v>2880</v>
      </c>
      <c r="SHX1336" s="4" t="s">
        <v>2880</v>
      </c>
      <c r="SHY1336" s="4" t="s">
        <v>2880</v>
      </c>
      <c r="SHZ1336" s="4" t="s">
        <v>2880</v>
      </c>
      <c r="SIA1336" s="4" t="s">
        <v>2880</v>
      </c>
      <c r="SIB1336" s="4" t="s">
        <v>2880</v>
      </c>
      <c r="SIC1336" s="4" t="s">
        <v>2880</v>
      </c>
      <c r="SID1336" s="4" t="s">
        <v>2880</v>
      </c>
      <c r="SIE1336" s="4" t="s">
        <v>2880</v>
      </c>
      <c r="SIF1336" s="4" t="s">
        <v>2880</v>
      </c>
      <c r="SIG1336" s="4" t="s">
        <v>2880</v>
      </c>
      <c r="SIH1336" s="4" t="s">
        <v>2880</v>
      </c>
      <c r="SII1336" s="4" t="s">
        <v>2880</v>
      </c>
      <c r="SIJ1336" s="4" t="s">
        <v>2880</v>
      </c>
      <c r="SIK1336" s="4" t="s">
        <v>2880</v>
      </c>
      <c r="SIL1336" s="4" t="s">
        <v>2880</v>
      </c>
      <c r="SIM1336" s="4" t="s">
        <v>2880</v>
      </c>
      <c r="SIN1336" s="4" t="s">
        <v>2880</v>
      </c>
      <c r="SIO1336" s="4" t="s">
        <v>2880</v>
      </c>
      <c r="SIP1336" s="4" t="s">
        <v>2880</v>
      </c>
      <c r="SIQ1336" s="4" t="s">
        <v>2880</v>
      </c>
      <c r="SIR1336" s="4" t="s">
        <v>2880</v>
      </c>
      <c r="SIS1336" s="4" t="s">
        <v>2880</v>
      </c>
      <c r="SIT1336" s="4" t="s">
        <v>2880</v>
      </c>
      <c r="SIU1336" s="4" t="s">
        <v>2880</v>
      </c>
      <c r="SIV1336" s="4" t="s">
        <v>2880</v>
      </c>
      <c r="SIW1336" s="4" t="s">
        <v>2880</v>
      </c>
      <c r="SIX1336" s="4" t="s">
        <v>2880</v>
      </c>
      <c r="SIY1336" s="4" t="s">
        <v>2880</v>
      </c>
      <c r="SIZ1336" s="4" t="s">
        <v>2880</v>
      </c>
      <c r="SJA1336" s="4" t="s">
        <v>2880</v>
      </c>
      <c r="SJB1336" s="4" t="s">
        <v>2880</v>
      </c>
      <c r="SJC1336" s="4" t="s">
        <v>2880</v>
      </c>
      <c r="SJD1336" s="4" t="s">
        <v>2880</v>
      </c>
      <c r="SJE1336" s="4" t="s">
        <v>2880</v>
      </c>
      <c r="SJF1336" s="4" t="s">
        <v>2880</v>
      </c>
      <c r="SJG1336" s="4" t="s">
        <v>2880</v>
      </c>
      <c r="SJH1336" s="4" t="s">
        <v>2880</v>
      </c>
      <c r="SJI1336" s="4" t="s">
        <v>2880</v>
      </c>
      <c r="SJJ1336" s="4" t="s">
        <v>2880</v>
      </c>
      <c r="SJK1336" s="4" t="s">
        <v>2880</v>
      </c>
      <c r="SJL1336" s="4" t="s">
        <v>2880</v>
      </c>
      <c r="SJM1336" s="4" t="s">
        <v>2880</v>
      </c>
      <c r="SJN1336" s="4" t="s">
        <v>2880</v>
      </c>
      <c r="SJO1336" s="4" t="s">
        <v>2880</v>
      </c>
      <c r="SJP1336" s="4" t="s">
        <v>2880</v>
      </c>
      <c r="SJQ1336" s="4" t="s">
        <v>2880</v>
      </c>
      <c r="SJR1336" s="4" t="s">
        <v>2880</v>
      </c>
      <c r="SJS1336" s="4" t="s">
        <v>2880</v>
      </c>
      <c r="SJT1336" s="4" t="s">
        <v>2880</v>
      </c>
      <c r="SJU1336" s="4" t="s">
        <v>2880</v>
      </c>
      <c r="SJV1336" s="4" t="s">
        <v>2880</v>
      </c>
      <c r="SJW1336" s="4" t="s">
        <v>2880</v>
      </c>
      <c r="SJX1336" s="4" t="s">
        <v>2880</v>
      </c>
      <c r="SJY1336" s="4" t="s">
        <v>2880</v>
      </c>
      <c r="SJZ1336" s="4" t="s">
        <v>2880</v>
      </c>
      <c r="SKA1336" s="4" t="s">
        <v>2880</v>
      </c>
      <c r="SKB1336" s="4" t="s">
        <v>2880</v>
      </c>
      <c r="SKC1336" s="4" t="s">
        <v>2880</v>
      </c>
      <c r="SKD1336" s="4" t="s">
        <v>2880</v>
      </c>
      <c r="SKE1336" s="4" t="s">
        <v>2880</v>
      </c>
      <c r="SKF1336" s="4" t="s">
        <v>2880</v>
      </c>
      <c r="SKG1336" s="4" t="s">
        <v>2880</v>
      </c>
      <c r="SKH1336" s="4" t="s">
        <v>2880</v>
      </c>
      <c r="SKI1336" s="4" t="s">
        <v>2880</v>
      </c>
      <c r="SKJ1336" s="4" t="s">
        <v>2880</v>
      </c>
      <c r="SKK1336" s="4" t="s">
        <v>2880</v>
      </c>
      <c r="SKL1336" s="4" t="s">
        <v>2880</v>
      </c>
      <c r="SKM1336" s="4" t="s">
        <v>2880</v>
      </c>
      <c r="SKN1336" s="4" t="s">
        <v>2880</v>
      </c>
      <c r="SKO1336" s="4" t="s">
        <v>2880</v>
      </c>
      <c r="SKP1336" s="4" t="s">
        <v>2880</v>
      </c>
      <c r="SKQ1336" s="4" t="s">
        <v>2880</v>
      </c>
      <c r="SKR1336" s="4" t="s">
        <v>2880</v>
      </c>
      <c r="SKS1336" s="4" t="s">
        <v>2880</v>
      </c>
      <c r="SKT1336" s="4" t="s">
        <v>2880</v>
      </c>
      <c r="SKU1336" s="4" t="s">
        <v>2880</v>
      </c>
      <c r="SKV1336" s="4" t="s">
        <v>2880</v>
      </c>
      <c r="SKW1336" s="4" t="s">
        <v>2880</v>
      </c>
      <c r="SKX1336" s="4" t="s">
        <v>2880</v>
      </c>
      <c r="SKY1336" s="4" t="s">
        <v>2880</v>
      </c>
      <c r="SKZ1336" s="4" t="s">
        <v>2880</v>
      </c>
      <c r="SLA1336" s="4" t="s">
        <v>2880</v>
      </c>
      <c r="SLB1336" s="4" t="s">
        <v>2880</v>
      </c>
      <c r="SLC1336" s="4" t="s">
        <v>2880</v>
      </c>
      <c r="SLD1336" s="4" t="s">
        <v>2880</v>
      </c>
      <c r="SLE1336" s="4" t="s">
        <v>2880</v>
      </c>
      <c r="SLF1336" s="4" t="s">
        <v>2880</v>
      </c>
      <c r="SLG1336" s="4" t="s">
        <v>2880</v>
      </c>
      <c r="SLH1336" s="4" t="s">
        <v>2880</v>
      </c>
      <c r="SLI1336" s="4" t="s">
        <v>2880</v>
      </c>
      <c r="SLJ1336" s="4" t="s">
        <v>2880</v>
      </c>
      <c r="SLK1336" s="4" t="s">
        <v>2880</v>
      </c>
      <c r="SLL1336" s="4" t="s">
        <v>2880</v>
      </c>
      <c r="SLM1336" s="4" t="s">
        <v>2880</v>
      </c>
      <c r="SLN1336" s="4" t="s">
        <v>2880</v>
      </c>
      <c r="SLO1336" s="4" t="s">
        <v>2880</v>
      </c>
      <c r="SLP1336" s="4" t="s">
        <v>2880</v>
      </c>
      <c r="SLQ1336" s="4" t="s">
        <v>2880</v>
      </c>
      <c r="SLR1336" s="4" t="s">
        <v>2880</v>
      </c>
      <c r="SLS1336" s="4" t="s">
        <v>2880</v>
      </c>
      <c r="SLT1336" s="4" t="s">
        <v>2880</v>
      </c>
      <c r="SLU1336" s="4" t="s">
        <v>2880</v>
      </c>
      <c r="SLV1336" s="4" t="s">
        <v>2880</v>
      </c>
      <c r="SLW1336" s="4" t="s">
        <v>2880</v>
      </c>
      <c r="SLX1336" s="4" t="s">
        <v>2880</v>
      </c>
      <c r="SLY1336" s="4" t="s">
        <v>2880</v>
      </c>
      <c r="SLZ1336" s="4" t="s">
        <v>2880</v>
      </c>
      <c r="SMA1336" s="4" t="s">
        <v>2880</v>
      </c>
      <c r="SMB1336" s="4" t="s">
        <v>2880</v>
      </c>
      <c r="SMC1336" s="4" t="s">
        <v>2880</v>
      </c>
      <c r="SMD1336" s="4" t="s">
        <v>2880</v>
      </c>
      <c r="SME1336" s="4" t="s">
        <v>2880</v>
      </c>
      <c r="SMF1336" s="4" t="s">
        <v>2880</v>
      </c>
      <c r="SMG1336" s="4" t="s">
        <v>2880</v>
      </c>
      <c r="SMH1336" s="4" t="s">
        <v>2880</v>
      </c>
      <c r="SMI1336" s="4" t="s">
        <v>2880</v>
      </c>
      <c r="SMJ1336" s="4" t="s">
        <v>2880</v>
      </c>
      <c r="SMK1336" s="4" t="s">
        <v>2880</v>
      </c>
      <c r="SML1336" s="4" t="s">
        <v>2880</v>
      </c>
      <c r="SMM1336" s="4" t="s">
        <v>2880</v>
      </c>
      <c r="SMN1336" s="4" t="s">
        <v>2880</v>
      </c>
      <c r="SMO1336" s="4" t="s">
        <v>2880</v>
      </c>
      <c r="SMP1336" s="4" t="s">
        <v>2880</v>
      </c>
      <c r="SMQ1336" s="4" t="s">
        <v>2880</v>
      </c>
      <c r="SMR1336" s="4" t="s">
        <v>2880</v>
      </c>
      <c r="SMS1336" s="4" t="s">
        <v>2880</v>
      </c>
      <c r="SMT1336" s="4" t="s">
        <v>2880</v>
      </c>
      <c r="SMU1336" s="4" t="s">
        <v>2880</v>
      </c>
      <c r="SMV1336" s="4" t="s">
        <v>2880</v>
      </c>
      <c r="SMW1336" s="4" t="s">
        <v>2880</v>
      </c>
      <c r="SMX1336" s="4" t="s">
        <v>2880</v>
      </c>
      <c r="SMY1336" s="4" t="s">
        <v>2880</v>
      </c>
      <c r="SMZ1336" s="4" t="s">
        <v>2880</v>
      </c>
      <c r="SNA1336" s="4" t="s">
        <v>2880</v>
      </c>
      <c r="SNB1336" s="4" t="s">
        <v>2880</v>
      </c>
      <c r="SNC1336" s="4" t="s">
        <v>2880</v>
      </c>
      <c r="SND1336" s="4" t="s">
        <v>2880</v>
      </c>
      <c r="SNE1336" s="4" t="s">
        <v>2880</v>
      </c>
      <c r="SNF1336" s="4" t="s">
        <v>2880</v>
      </c>
      <c r="SNG1336" s="4" t="s">
        <v>2880</v>
      </c>
      <c r="SNH1336" s="4" t="s">
        <v>2880</v>
      </c>
      <c r="SNI1336" s="4" t="s">
        <v>2880</v>
      </c>
      <c r="SNJ1336" s="4" t="s">
        <v>2880</v>
      </c>
      <c r="SNK1336" s="4" t="s">
        <v>2880</v>
      </c>
      <c r="SNL1336" s="4" t="s">
        <v>2880</v>
      </c>
      <c r="SNM1336" s="4" t="s">
        <v>2880</v>
      </c>
      <c r="SNN1336" s="4" t="s">
        <v>2880</v>
      </c>
      <c r="SNO1336" s="4" t="s">
        <v>2880</v>
      </c>
      <c r="SNP1336" s="4" t="s">
        <v>2880</v>
      </c>
      <c r="SNQ1336" s="4" t="s">
        <v>2880</v>
      </c>
      <c r="SNR1336" s="4" t="s">
        <v>2880</v>
      </c>
      <c r="SNS1336" s="4" t="s">
        <v>2880</v>
      </c>
      <c r="SNT1336" s="4" t="s">
        <v>2880</v>
      </c>
      <c r="SNU1336" s="4" t="s">
        <v>2880</v>
      </c>
      <c r="SNV1336" s="4" t="s">
        <v>2880</v>
      </c>
      <c r="SNW1336" s="4" t="s">
        <v>2880</v>
      </c>
      <c r="SNX1336" s="4" t="s">
        <v>2880</v>
      </c>
      <c r="SNY1336" s="4" t="s">
        <v>2880</v>
      </c>
      <c r="SNZ1336" s="4" t="s">
        <v>2880</v>
      </c>
      <c r="SOA1336" s="4" t="s">
        <v>2880</v>
      </c>
      <c r="SOB1336" s="4" t="s">
        <v>2880</v>
      </c>
      <c r="SOC1336" s="4" t="s">
        <v>2880</v>
      </c>
      <c r="SOD1336" s="4" t="s">
        <v>2880</v>
      </c>
      <c r="SOE1336" s="4" t="s">
        <v>2880</v>
      </c>
      <c r="SOF1336" s="4" t="s">
        <v>2880</v>
      </c>
      <c r="SOG1336" s="4" t="s">
        <v>2880</v>
      </c>
      <c r="SOH1336" s="4" t="s">
        <v>2880</v>
      </c>
      <c r="SOI1336" s="4" t="s">
        <v>2880</v>
      </c>
      <c r="SOJ1336" s="4" t="s">
        <v>2880</v>
      </c>
      <c r="SOK1336" s="4" t="s">
        <v>2880</v>
      </c>
      <c r="SOL1336" s="4" t="s">
        <v>2880</v>
      </c>
      <c r="SOM1336" s="4" t="s">
        <v>2880</v>
      </c>
      <c r="SON1336" s="4" t="s">
        <v>2880</v>
      </c>
      <c r="SOO1336" s="4" t="s">
        <v>2880</v>
      </c>
      <c r="SOP1336" s="4" t="s">
        <v>2880</v>
      </c>
      <c r="SOQ1336" s="4" t="s">
        <v>2880</v>
      </c>
      <c r="SOR1336" s="4" t="s">
        <v>2880</v>
      </c>
      <c r="SOS1336" s="4" t="s">
        <v>2880</v>
      </c>
      <c r="SOT1336" s="4" t="s">
        <v>2880</v>
      </c>
      <c r="SOU1336" s="4" t="s">
        <v>2880</v>
      </c>
      <c r="SOV1336" s="4" t="s">
        <v>2880</v>
      </c>
      <c r="SOW1336" s="4" t="s">
        <v>2880</v>
      </c>
      <c r="SOX1336" s="4" t="s">
        <v>2880</v>
      </c>
      <c r="SOY1336" s="4" t="s">
        <v>2880</v>
      </c>
      <c r="SOZ1336" s="4" t="s">
        <v>2880</v>
      </c>
      <c r="SPA1336" s="4" t="s">
        <v>2880</v>
      </c>
      <c r="SPB1336" s="4" t="s">
        <v>2880</v>
      </c>
      <c r="SPC1336" s="4" t="s">
        <v>2880</v>
      </c>
      <c r="SPD1336" s="4" t="s">
        <v>2880</v>
      </c>
      <c r="SPE1336" s="4" t="s">
        <v>2880</v>
      </c>
      <c r="SPF1336" s="4" t="s">
        <v>2880</v>
      </c>
      <c r="SPG1336" s="4" t="s">
        <v>2880</v>
      </c>
      <c r="SPH1336" s="4" t="s">
        <v>2880</v>
      </c>
      <c r="SPI1336" s="4" t="s">
        <v>2880</v>
      </c>
      <c r="SPJ1336" s="4" t="s">
        <v>2880</v>
      </c>
      <c r="SPK1336" s="4" t="s">
        <v>2880</v>
      </c>
      <c r="SPL1336" s="4" t="s">
        <v>2880</v>
      </c>
      <c r="SPM1336" s="4" t="s">
        <v>2880</v>
      </c>
      <c r="SPN1336" s="4" t="s">
        <v>2880</v>
      </c>
      <c r="SPO1336" s="4" t="s">
        <v>2880</v>
      </c>
      <c r="SPP1336" s="4" t="s">
        <v>2880</v>
      </c>
      <c r="SPQ1336" s="4" t="s">
        <v>2880</v>
      </c>
      <c r="SPR1336" s="4" t="s">
        <v>2880</v>
      </c>
      <c r="SPS1336" s="4" t="s">
        <v>2880</v>
      </c>
      <c r="SPT1336" s="4" t="s">
        <v>2880</v>
      </c>
      <c r="SPU1336" s="4" t="s">
        <v>2880</v>
      </c>
      <c r="SPV1336" s="4" t="s">
        <v>2880</v>
      </c>
      <c r="SPW1336" s="4" t="s">
        <v>2880</v>
      </c>
      <c r="SPX1336" s="4" t="s">
        <v>2880</v>
      </c>
      <c r="SPY1336" s="4" t="s">
        <v>2880</v>
      </c>
      <c r="SPZ1336" s="4" t="s">
        <v>2880</v>
      </c>
      <c r="SQA1336" s="4" t="s">
        <v>2880</v>
      </c>
      <c r="SQB1336" s="4" t="s">
        <v>2880</v>
      </c>
      <c r="SQC1336" s="4" t="s">
        <v>2880</v>
      </c>
      <c r="SQD1336" s="4" t="s">
        <v>2880</v>
      </c>
      <c r="SQE1336" s="4" t="s">
        <v>2880</v>
      </c>
      <c r="SQF1336" s="4" t="s">
        <v>2880</v>
      </c>
      <c r="SQG1336" s="4" t="s">
        <v>2880</v>
      </c>
      <c r="SQH1336" s="4" t="s">
        <v>2880</v>
      </c>
      <c r="SQI1336" s="4" t="s">
        <v>2880</v>
      </c>
      <c r="SQJ1336" s="4" t="s">
        <v>2880</v>
      </c>
      <c r="SQK1336" s="4" t="s">
        <v>2880</v>
      </c>
      <c r="SQL1336" s="4" t="s">
        <v>2880</v>
      </c>
      <c r="SQM1336" s="4" t="s">
        <v>2880</v>
      </c>
      <c r="SQN1336" s="4" t="s">
        <v>2880</v>
      </c>
      <c r="SQO1336" s="4" t="s">
        <v>2880</v>
      </c>
      <c r="SQP1336" s="4" t="s">
        <v>2880</v>
      </c>
      <c r="SQQ1336" s="4" t="s">
        <v>2880</v>
      </c>
      <c r="SQR1336" s="4" t="s">
        <v>2880</v>
      </c>
      <c r="SQS1336" s="4" t="s">
        <v>2880</v>
      </c>
      <c r="SQT1336" s="4" t="s">
        <v>2880</v>
      </c>
      <c r="SQU1336" s="4" t="s">
        <v>2880</v>
      </c>
      <c r="SQV1336" s="4" t="s">
        <v>2880</v>
      </c>
      <c r="SQW1336" s="4" t="s">
        <v>2880</v>
      </c>
      <c r="SQX1336" s="4" t="s">
        <v>2880</v>
      </c>
      <c r="SQY1336" s="4" t="s">
        <v>2880</v>
      </c>
      <c r="SQZ1336" s="4" t="s">
        <v>2880</v>
      </c>
      <c r="SRA1336" s="4" t="s">
        <v>2880</v>
      </c>
      <c r="SRB1336" s="4" t="s">
        <v>2880</v>
      </c>
      <c r="SRC1336" s="4" t="s">
        <v>2880</v>
      </c>
      <c r="SRD1336" s="4" t="s">
        <v>2880</v>
      </c>
      <c r="SRE1336" s="4" t="s">
        <v>2880</v>
      </c>
      <c r="SRF1336" s="4" t="s">
        <v>2880</v>
      </c>
      <c r="SRG1336" s="4" t="s">
        <v>2880</v>
      </c>
      <c r="SRH1336" s="4" t="s">
        <v>2880</v>
      </c>
      <c r="SRI1336" s="4" t="s">
        <v>2880</v>
      </c>
      <c r="SRJ1336" s="4" t="s">
        <v>2880</v>
      </c>
      <c r="SRK1336" s="4" t="s">
        <v>2880</v>
      </c>
      <c r="SRL1336" s="4" t="s">
        <v>2880</v>
      </c>
      <c r="SRM1336" s="4" t="s">
        <v>2880</v>
      </c>
      <c r="SRN1336" s="4" t="s">
        <v>2880</v>
      </c>
      <c r="SRO1336" s="4" t="s">
        <v>2880</v>
      </c>
      <c r="SRP1336" s="4" t="s">
        <v>2880</v>
      </c>
      <c r="SRQ1336" s="4" t="s">
        <v>2880</v>
      </c>
      <c r="SRR1336" s="4" t="s">
        <v>2880</v>
      </c>
      <c r="SRS1336" s="4" t="s">
        <v>2880</v>
      </c>
      <c r="SRT1336" s="4" t="s">
        <v>2880</v>
      </c>
      <c r="SRU1336" s="4" t="s">
        <v>2880</v>
      </c>
      <c r="SRV1336" s="4" t="s">
        <v>2880</v>
      </c>
      <c r="SRW1336" s="4" t="s">
        <v>2880</v>
      </c>
      <c r="SRX1336" s="4" t="s">
        <v>2880</v>
      </c>
      <c r="SRY1336" s="4" t="s">
        <v>2880</v>
      </c>
      <c r="SRZ1336" s="4" t="s">
        <v>2880</v>
      </c>
      <c r="SSA1336" s="4" t="s">
        <v>2880</v>
      </c>
      <c r="SSB1336" s="4" t="s">
        <v>2880</v>
      </c>
      <c r="SSC1336" s="4" t="s">
        <v>2880</v>
      </c>
      <c r="SSD1336" s="4" t="s">
        <v>2880</v>
      </c>
      <c r="SSE1336" s="4" t="s">
        <v>2880</v>
      </c>
      <c r="SSF1336" s="4" t="s">
        <v>2880</v>
      </c>
      <c r="SSG1336" s="4" t="s">
        <v>2880</v>
      </c>
      <c r="SSH1336" s="4" t="s">
        <v>2880</v>
      </c>
      <c r="SSI1336" s="4" t="s">
        <v>2880</v>
      </c>
      <c r="SSJ1336" s="4" t="s">
        <v>2880</v>
      </c>
      <c r="SSK1336" s="4" t="s">
        <v>2880</v>
      </c>
      <c r="SSL1336" s="4" t="s">
        <v>2880</v>
      </c>
      <c r="SSM1336" s="4" t="s">
        <v>2880</v>
      </c>
      <c r="SSN1336" s="4" t="s">
        <v>2880</v>
      </c>
      <c r="SSO1336" s="4" t="s">
        <v>2880</v>
      </c>
      <c r="SSP1336" s="4" t="s">
        <v>2880</v>
      </c>
      <c r="SSQ1336" s="4" t="s">
        <v>2880</v>
      </c>
      <c r="SSR1336" s="4" t="s">
        <v>2880</v>
      </c>
      <c r="SSS1336" s="4" t="s">
        <v>2880</v>
      </c>
      <c r="SST1336" s="4" t="s">
        <v>2880</v>
      </c>
      <c r="SSU1336" s="4" t="s">
        <v>2880</v>
      </c>
      <c r="SSV1336" s="4" t="s">
        <v>2880</v>
      </c>
      <c r="SSW1336" s="4" t="s">
        <v>2880</v>
      </c>
      <c r="SSX1336" s="4" t="s">
        <v>2880</v>
      </c>
      <c r="SSY1336" s="4" t="s">
        <v>2880</v>
      </c>
      <c r="SSZ1336" s="4" t="s">
        <v>2880</v>
      </c>
      <c r="STA1336" s="4" t="s">
        <v>2880</v>
      </c>
      <c r="STB1336" s="4" t="s">
        <v>2880</v>
      </c>
      <c r="STC1336" s="4" t="s">
        <v>2880</v>
      </c>
      <c r="STD1336" s="4" t="s">
        <v>2880</v>
      </c>
      <c r="STE1336" s="4" t="s">
        <v>2880</v>
      </c>
      <c r="STF1336" s="4" t="s">
        <v>2880</v>
      </c>
      <c r="STG1336" s="4" t="s">
        <v>2880</v>
      </c>
      <c r="STH1336" s="4" t="s">
        <v>2880</v>
      </c>
      <c r="STI1336" s="4" t="s">
        <v>2880</v>
      </c>
      <c r="STJ1336" s="4" t="s">
        <v>2880</v>
      </c>
      <c r="STK1336" s="4" t="s">
        <v>2880</v>
      </c>
      <c r="STL1336" s="4" t="s">
        <v>2880</v>
      </c>
      <c r="STM1336" s="4" t="s">
        <v>2880</v>
      </c>
      <c r="STN1336" s="4" t="s">
        <v>2880</v>
      </c>
      <c r="STO1336" s="4" t="s">
        <v>2880</v>
      </c>
      <c r="STP1336" s="4" t="s">
        <v>2880</v>
      </c>
      <c r="STQ1336" s="4" t="s">
        <v>2880</v>
      </c>
      <c r="STR1336" s="4" t="s">
        <v>2880</v>
      </c>
      <c r="STS1336" s="4" t="s">
        <v>2880</v>
      </c>
      <c r="STT1336" s="4" t="s">
        <v>2880</v>
      </c>
      <c r="STU1336" s="4" t="s">
        <v>2880</v>
      </c>
      <c r="STV1336" s="4" t="s">
        <v>2880</v>
      </c>
      <c r="STW1336" s="4" t="s">
        <v>2880</v>
      </c>
      <c r="STX1336" s="4" t="s">
        <v>2880</v>
      </c>
      <c r="STY1336" s="4" t="s">
        <v>2880</v>
      </c>
      <c r="STZ1336" s="4" t="s">
        <v>2880</v>
      </c>
      <c r="SUA1336" s="4" t="s">
        <v>2880</v>
      </c>
      <c r="SUB1336" s="4" t="s">
        <v>2880</v>
      </c>
      <c r="SUC1336" s="4" t="s">
        <v>2880</v>
      </c>
      <c r="SUD1336" s="4" t="s">
        <v>2880</v>
      </c>
      <c r="SUE1336" s="4" t="s">
        <v>2880</v>
      </c>
      <c r="SUF1336" s="4" t="s">
        <v>2880</v>
      </c>
      <c r="SUG1336" s="4" t="s">
        <v>2880</v>
      </c>
      <c r="SUH1336" s="4" t="s">
        <v>2880</v>
      </c>
      <c r="SUI1336" s="4" t="s">
        <v>2880</v>
      </c>
      <c r="SUJ1336" s="4" t="s">
        <v>2880</v>
      </c>
      <c r="SUK1336" s="4" t="s">
        <v>2880</v>
      </c>
      <c r="SUL1336" s="4" t="s">
        <v>2880</v>
      </c>
      <c r="SUM1336" s="4" t="s">
        <v>2880</v>
      </c>
      <c r="SUN1336" s="4" t="s">
        <v>2880</v>
      </c>
      <c r="SUO1336" s="4" t="s">
        <v>2880</v>
      </c>
      <c r="SUP1336" s="4" t="s">
        <v>2880</v>
      </c>
      <c r="SUQ1336" s="4" t="s">
        <v>2880</v>
      </c>
      <c r="SUR1336" s="4" t="s">
        <v>2880</v>
      </c>
      <c r="SUS1336" s="4" t="s">
        <v>2880</v>
      </c>
      <c r="SUT1336" s="4" t="s">
        <v>2880</v>
      </c>
      <c r="SUU1336" s="4" t="s">
        <v>2880</v>
      </c>
      <c r="SUV1336" s="4" t="s">
        <v>2880</v>
      </c>
      <c r="SUW1336" s="4" t="s">
        <v>2880</v>
      </c>
      <c r="SUX1336" s="4" t="s">
        <v>2880</v>
      </c>
      <c r="SUY1336" s="4" t="s">
        <v>2880</v>
      </c>
      <c r="SUZ1336" s="4" t="s">
        <v>2880</v>
      </c>
      <c r="SVA1336" s="4" t="s">
        <v>2880</v>
      </c>
      <c r="SVB1336" s="4" t="s">
        <v>2880</v>
      </c>
      <c r="SVC1336" s="4" t="s">
        <v>2880</v>
      </c>
      <c r="SVD1336" s="4" t="s">
        <v>2880</v>
      </c>
      <c r="SVE1336" s="4" t="s">
        <v>2880</v>
      </c>
      <c r="SVF1336" s="4" t="s">
        <v>2880</v>
      </c>
      <c r="SVG1336" s="4" t="s">
        <v>2880</v>
      </c>
      <c r="SVH1336" s="4" t="s">
        <v>2880</v>
      </c>
      <c r="SVI1336" s="4" t="s">
        <v>2880</v>
      </c>
      <c r="SVJ1336" s="4" t="s">
        <v>2880</v>
      </c>
      <c r="SVK1336" s="4" t="s">
        <v>2880</v>
      </c>
      <c r="SVL1336" s="4" t="s">
        <v>2880</v>
      </c>
      <c r="SVM1336" s="4" t="s">
        <v>2880</v>
      </c>
      <c r="SVN1336" s="4" t="s">
        <v>2880</v>
      </c>
      <c r="SVO1336" s="4" t="s">
        <v>2880</v>
      </c>
      <c r="SVP1336" s="4" t="s">
        <v>2880</v>
      </c>
      <c r="SVQ1336" s="4" t="s">
        <v>2880</v>
      </c>
      <c r="SVR1336" s="4" t="s">
        <v>2880</v>
      </c>
      <c r="SVS1336" s="4" t="s">
        <v>2880</v>
      </c>
      <c r="SVT1336" s="4" t="s">
        <v>2880</v>
      </c>
      <c r="SVU1336" s="4" t="s">
        <v>2880</v>
      </c>
      <c r="SVV1336" s="4" t="s">
        <v>2880</v>
      </c>
      <c r="SVW1336" s="4" t="s">
        <v>2880</v>
      </c>
      <c r="SVX1336" s="4" t="s">
        <v>2880</v>
      </c>
      <c r="SVY1336" s="4" t="s">
        <v>2880</v>
      </c>
      <c r="SVZ1336" s="4" t="s">
        <v>2880</v>
      </c>
      <c r="SWA1336" s="4" t="s">
        <v>2880</v>
      </c>
      <c r="SWB1336" s="4" t="s">
        <v>2880</v>
      </c>
      <c r="SWC1336" s="4" t="s">
        <v>2880</v>
      </c>
      <c r="SWD1336" s="4" t="s">
        <v>2880</v>
      </c>
      <c r="SWE1336" s="4" t="s">
        <v>2880</v>
      </c>
      <c r="SWF1336" s="4" t="s">
        <v>2880</v>
      </c>
      <c r="SWG1336" s="4" t="s">
        <v>2880</v>
      </c>
      <c r="SWH1336" s="4" t="s">
        <v>2880</v>
      </c>
      <c r="SWI1336" s="4" t="s">
        <v>2880</v>
      </c>
      <c r="SWJ1336" s="4" t="s">
        <v>2880</v>
      </c>
      <c r="SWK1336" s="4" t="s">
        <v>2880</v>
      </c>
      <c r="SWL1336" s="4" t="s">
        <v>2880</v>
      </c>
      <c r="SWM1336" s="4" t="s">
        <v>2880</v>
      </c>
      <c r="SWN1336" s="4" t="s">
        <v>2880</v>
      </c>
      <c r="SWO1336" s="4" t="s">
        <v>2880</v>
      </c>
      <c r="SWP1336" s="4" t="s">
        <v>2880</v>
      </c>
      <c r="SWQ1336" s="4" t="s">
        <v>2880</v>
      </c>
      <c r="SWR1336" s="4" t="s">
        <v>2880</v>
      </c>
      <c r="SWS1336" s="4" t="s">
        <v>2880</v>
      </c>
      <c r="SWT1336" s="4" t="s">
        <v>2880</v>
      </c>
      <c r="SWU1336" s="4" t="s">
        <v>2880</v>
      </c>
      <c r="SWV1336" s="4" t="s">
        <v>2880</v>
      </c>
      <c r="SWW1336" s="4" t="s">
        <v>2880</v>
      </c>
      <c r="SWX1336" s="4" t="s">
        <v>2880</v>
      </c>
      <c r="SWY1336" s="4" t="s">
        <v>2880</v>
      </c>
      <c r="SWZ1336" s="4" t="s">
        <v>2880</v>
      </c>
      <c r="SXA1336" s="4" t="s">
        <v>2880</v>
      </c>
      <c r="SXB1336" s="4" t="s">
        <v>2880</v>
      </c>
      <c r="SXC1336" s="4" t="s">
        <v>2880</v>
      </c>
      <c r="SXD1336" s="4" t="s">
        <v>2880</v>
      </c>
      <c r="SXE1336" s="4" t="s">
        <v>2880</v>
      </c>
      <c r="SXF1336" s="4" t="s">
        <v>2880</v>
      </c>
      <c r="SXG1336" s="4" t="s">
        <v>2880</v>
      </c>
      <c r="SXH1336" s="4" t="s">
        <v>2880</v>
      </c>
      <c r="SXI1336" s="4" t="s">
        <v>2880</v>
      </c>
      <c r="SXJ1336" s="4" t="s">
        <v>2880</v>
      </c>
      <c r="SXK1336" s="4" t="s">
        <v>2880</v>
      </c>
      <c r="SXL1336" s="4" t="s">
        <v>2880</v>
      </c>
      <c r="SXM1336" s="4" t="s">
        <v>2880</v>
      </c>
      <c r="SXN1336" s="4" t="s">
        <v>2880</v>
      </c>
      <c r="SXO1336" s="4" t="s">
        <v>2880</v>
      </c>
      <c r="SXP1336" s="4" t="s">
        <v>2880</v>
      </c>
      <c r="SXQ1336" s="4" t="s">
        <v>2880</v>
      </c>
      <c r="SXR1336" s="4" t="s">
        <v>2880</v>
      </c>
      <c r="SXS1336" s="4" t="s">
        <v>2880</v>
      </c>
      <c r="SXT1336" s="4" t="s">
        <v>2880</v>
      </c>
      <c r="SXU1336" s="4" t="s">
        <v>2880</v>
      </c>
      <c r="SXV1336" s="4" t="s">
        <v>2880</v>
      </c>
      <c r="SXW1336" s="4" t="s">
        <v>2880</v>
      </c>
      <c r="SXX1336" s="4" t="s">
        <v>2880</v>
      </c>
      <c r="SXY1336" s="4" t="s">
        <v>2880</v>
      </c>
      <c r="SXZ1336" s="4" t="s">
        <v>2880</v>
      </c>
      <c r="SYA1336" s="4" t="s">
        <v>2880</v>
      </c>
      <c r="SYB1336" s="4" t="s">
        <v>2880</v>
      </c>
      <c r="SYC1336" s="4" t="s">
        <v>2880</v>
      </c>
      <c r="SYD1336" s="4" t="s">
        <v>2880</v>
      </c>
      <c r="SYE1336" s="4" t="s">
        <v>2880</v>
      </c>
      <c r="SYF1336" s="4" t="s">
        <v>2880</v>
      </c>
      <c r="SYG1336" s="4" t="s">
        <v>2880</v>
      </c>
      <c r="SYH1336" s="4" t="s">
        <v>2880</v>
      </c>
      <c r="SYI1336" s="4" t="s">
        <v>2880</v>
      </c>
      <c r="SYJ1336" s="4" t="s">
        <v>2880</v>
      </c>
      <c r="SYK1336" s="4" t="s">
        <v>2880</v>
      </c>
      <c r="SYL1336" s="4" t="s">
        <v>2880</v>
      </c>
      <c r="SYM1336" s="4" t="s">
        <v>2880</v>
      </c>
      <c r="SYN1336" s="4" t="s">
        <v>2880</v>
      </c>
      <c r="SYO1336" s="4" t="s">
        <v>2880</v>
      </c>
      <c r="SYP1336" s="4" t="s">
        <v>2880</v>
      </c>
      <c r="SYQ1336" s="4" t="s">
        <v>2880</v>
      </c>
      <c r="SYR1336" s="4" t="s">
        <v>2880</v>
      </c>
      <c r="SYS1336" s="4" t="s">
        <v>2880</v>
      </c>
      <c r="SYT1336" s="4" t="s">
        <v>2880</v>
      </c>
      <c r="SYU1336" s="4" t="s">
        <v>2880</v>
      </c>
      <c r="SYV1336" s="4" t="s">
        <v>2880</v>
      </c>
      <c r="SYW1336" s="4" t="s">
        <v>2880</v>
      </c>
      <c r="SYX1336" s="4" t="s">
        <v>2880</v>
      </c>
      <c r="SYY1336" s="4" t="s">
        <v>2880</v>
      </c>
      <c r="SYZ1336" s="4" t="s">
        <v>2880</v>
      </c>
      <c r="SZA1336" s="4" t="s">
        <v>2880</v>
      </c>
      <c r="SZB1336" s="4" t="s">
        <v>2880</v>
      </c>
      <c r="SZC1336" s="4" t="s">
        <v>2880</v>
      </c>
      <c r="SZD1336" s="4" t="s">
        <v>2880</v>
      </c>
      <c r="SZE1336" s="4" t="s">
        <v>2880</v>
      </c>
      <c r="SZF1336" s="4" t="s">
        <v>2880</v>
      </c>
      <c r="SZG1336" s="4" t="s">
        <v>2880</v>
      </c>
      <c r="SZH1336" s="4" t="s">
        <v>2880</v>
      </c>
      <c r="SZI1336" s="4" t="s">
        <v>2880</v>
      </c>
      <c r="SZJ1336" s="4" t="s">
        <v>2880</v>
      </c>
      <c r="SZK1336" s="4" t="s">
        <v>2880</v>
      </c>
      <c r="SZL1336" s="4" t="s">
        <v>2880</v>
      </c>
      <c r="SZM1336" s="4" t="s">
        <v>2880</v>
      </c>
      <c r="SZN1336" s="4" t="s">
        <v>2880</v>
      </c>
      <c r="SZO1336" s="4" t="s">
        <v>2880</v>
      </c>
      <c r="SZP1336" s="4" t="s">
        <v>2880</v>
      </c>
      <c r="SZQ1336" s="4" t="s">
        <v>2880</v>
      </c>
      <c r="SZR1336" s="4" t="s">
        <v>2880</v>
      </c>
      <c r="SZS1336" s="4" t="s">
        <v>2880</v>
      </c>
      <c r="SZT1336" s="4" t="s">
        <v>2880</v>
      </c>
      <c r="SZU1336" s="4" t="s">
        <v>2880</v>
      </c>
      <c r="SZV1336" s="4" t="s">
        <v>2880</v>
      </c>
      <c r="SZW1336" s="4" t="s">
        <v>2880</v>
      </c>
      <c r="SZX1336" s="4" t="s">
        <v>2880</v>
      </c>
      <c r="SZY1336" s="4" t="s">
        <v>2880</v>
      </c>
      <c r="SZZ1336" s="4" t="s">
        <v>2880</v>
      </c>
      <c r="TAA1336" s="4" t="s">
        <v>2880</v>
      </c>
      <c r="TAB1336" s="4" t="s">
        <v>2880</v>
      </c>
      <c r="TAC1336" s="4" t="s">
        <v>2880</v>
      </c>
      <c r="TAD1336" s="4" t="s">
        <v>2880</v>
      </c>
      <c r="TAE1336" s="4" t="s">
        <v>2880</v>
      </c>
      <c r="TAF1336" s="4" t="s">
        <v>2880</v>
      </c>
      <c r="TAG1336" s="4" t="s">
        <v>2880</v>
      </c>
      <c r="TAH1336" s="4" t="s">
        <v>2880</v>
      </c>
      <c r="TAI1336" s="4" t="s">
        <v>2880</v>
      </c>
      <c r="TAJ1336" s="4" t="s">
        <v>2880</v>
      </c>
      <c r="TAK1336" s="4" t="s">
        <v>2880</v>
      </c>
      <c r="TAL1336" s="4" t="s">
        <v>2880</v>
      </c>
      <c r="TAM1336" s="4" t="s">
        <v>2880</v>
      </c>
      <c r="TAN1336" s="4" t="s">
        <v>2880</v>
      </c>
      <c r="TAO1336" s="4" t="s">
        <v>2880</v>
      </c>
      <c r="TAP1336" s="4" t="s">
        <v>2880</v>
      </c>
      <c r="TAQ1336" s="4" t="s">
        <v>2880</v>
      </c>
      <c r="TAR1336" s="4" t="s">
        <v>2880</v>
      </c>
      <c r="TAS1336" s="4" t="s">
        <v>2880</v>
      </c>
      <c r="TAT1336" s="4" t="s">
        <v>2880</v>
      </c>
      <c r="TAU1336" s="4" t="s">
        <v>2880</v>
      </c>
      <c r="TAV1336" s="4" t="s">
        <v>2880</v>
      </c>
      <c r="TAW1336" s="4" t="s">
        <v>2880</v>
      </c>
      <c r="TAX1336" s="4" t="s">
        <v>2880</v>
      </c>
      <c r="TAY1336" s="4" t="s">
        <v>2880</v>
      </c>
      <c r="TAZ1336" s="4" t="s">
        <v>2880</v>
      </c>
      <c r="TBA1336" s="4" t="s">
        <v>2880</v>
      </c>
      <c r="TBB1336" s="4" t="s">
        <v>2880</v>
      </c>
      <c r="TBC1336" s="4" t="s">
        <v>2880</v>
      </c>
      <c r="TBD1336" s="4" t="s">
        <v>2880</v>
      </c>
      <c r="TBE1336" s="4" t="s">
        <v>2880</v>
      </c>
      <c r="TBF1336" s="4" t="s">
        <v>2880</v>
      </c>
      <c r="TBG1336" s="4" t="s">
        <v>2880</v>
      </c>
      <c r="TBH1336" s="4" t="s">
        <v>2880</v>
      </c>
      <c r="TBI1336" s="4" t="s">
        <v>2880</v>
      </c>
      <c r="TBJ1336" s="4" t="s">
        <v>2880</v>
      </c>
      <c r="TBK1336" s="4" t="s">
        <v>2880</v>
      </c>
      <c r="TBL1336" s="4" t="s">
        <v>2880</v>
      </c>
      <c r="TBM1336" s="4" t="s">
        <v>2880</v>
      </c>
      <c r="TBN1336" s="4" t="s">
        <v>2880</v>
      </c>
      <c r="TBO1336" s="4" t="s">
        <v>2880</v>
      </c>
      <c r="TBP1336" s="4" t="s">
        <v>2880</v>
      </c>
      <c r="TBQ1336" s="4" t="s">
        <v>2880</v>
      </c>
      <c r="TBR1336" s="4" t="s">
        <v>2880</v>
      </c>
      <c r="TBS1336" s="4" t="s">
        <v>2880</v>
      </c>
      <c r="TBT1336" s="4" t="s">
        <v>2880</v>
      </c>
      <c r="TBU1336" s="4" t="s">
        <v>2880</v>
      </c>
      <c r="TBV1336" s="4" t="s">
        <v>2880</v>
      </c>
      <c r="TBW1336" s="4" t="s">
        <v>2880</v>
      </c>
      <c r="TBX1336" s="4" t="s">
        <v>2880</v>
      </c>
      <c r="TBY1336" s="4" t="s">
        <v>2880</v>
      </c>
      <c r="TBZ1336" s="4" t="s">
        <v>2880</v>
      </c>
      <c r="TCA1336" s="4" t="s">
        <v>2880</v>
      </c>
      <c r="TCB1336" s="4" t="s">
        <v>2880</v>
      </c>
      <c r="TCC1336" s="4" t="s">
        <v>2880</v>
      </c>
      <c r="TCD1336" s="4" t="s">
        <v>2880</v>
      </c>
      <c r="TCE1336" s="4" t="s">
        <v>2880</v>
      </c>
      <c r="TCF1336" s="4" t="s">
        <v>2880</v>
      </c>
      <c r="TCG1336" s="4" t="s">
        <v>2880</v>
      </c>
      <c r="TCH1336" s="4" t="s">
        <v>2880</v>
      </c>
      <c r="TCI1336" s="4" t="s">
        <v>2880</v>
      </c>
      <c r="TCJ1336" s="4" t="s">
        <v>2880</v>
      </c>
      <c r="TCK1336" s="4" t="s">
        <v>2880</v>
      </c>
      <c r="TCL1336" s="4" t="s">
        <v>2880</v>
      </c>
      <c r="TCM1336" s="4" t="s">
        <v>2880</v>
      </c>
      <c r="TCN1336" s="4" t="s">
        <v>2880</v>
      </c>
      <c r="TCO1336" s="4" t="s">
        <v>2880</v>
      </c>
      <c r="TCP1336" s="4" t="s">
        <v>2880</v>
      </c>
      <c r="TCQ1336" s="4" t="s">
        <v>2880</v>
      </c>
      <c r="TCR1336" s="4" t="s">
        <v>2880</v>
      </c>
      <c r="TCS1336" s="4" t="s">
        <v>2880</v>
      </c>
      <c r="TCT1336" s="4" t="s">
        <v>2880</v>
      </c>
      <c r="TCU1336" s="4" t="s">
        <v>2880</v>
      </c>
      <c r="TCV1336" s="4" t="s">
        <v>2880</v>
      </c>
      <c r="TCW1336" s="4" t="s">
        <v>2880</v>
      </c>
      <c r="TCX1336" s="4" t="s">
        <v>2880</v>
      </c>
      <c r="TCY1336" s="4" t="s">
        <v>2880</v>
      </c>
      <c r="TCZ1336" s="4" t="s">
        <v>2880</v>
      </c>
      <c r="TDA1336" s="4" t="s">
        <v>2880</v>
      </c>
      <c r="TDB1336" s="4" t="s">
        <v>2880</v>
      </c>
      <c r="TDC1336" s="4" t="s">
        <v>2880</v>
      </c>
      <c r="TDD1336" s="4" t="s">
        <v>2880</v>
      </c>
      <c r="TDE1336" s="4" t="s">
        <v>2880</v>
      </c>
      <c r="TDF1336" s="4" t="s">
        <v>2880</v>
      </c>
      <c r="TDG1336" s="4" t="s">
        <v>2880</v>
      </c>
      <c r="TDH1336" s="4" t="s">
        <v>2880</v>
      </c>
      <c r="TDI1336" s="4" t="s">
        <v>2880</v>
      </c>
      <c r="TDJ1336" s="4" t="s">
        <v>2880</v>
      </c>
      <c r="TDK1336" s="4" t="s">
        <v>2880</v>
      </c>
      <c r="TDL1336" s="4" t="s">
        <v>2880</v>
      </c>
      <c r="TDM1336" s="4" t="s">
        <v>2880</v>
      </c>
      <c r="TDN1336" s="4" t="s">
        <v>2880</v>
      </c>
      <c r="TDO1336" s="4" t="s">
        <v>2880</v>
      </c>
      <c r="TDP1336" s="4" t="s">
        <v>2880</v>
      </c>
      <c r="TDQ1336" s="4" t="s">
        <v>2880</v>
      </c>
      <c r="TDR1336" s="4" t="s">
        <v>2880</v>
      </c>
      <c r="TDS1336" s="4" t="s">
        <v>2880</v>
      </c>
      <c r="TDT1336" s="4" t="s">
        <v>2880</v>
      </c>
      <c r="TDU1336" s="4" t="s">
        <v>2880</v>
      </c>
      <c r="TDV1336" s="4" t="s">
        <v>2880</v>
      </c>
      <c r="TDW1336" s="4" t="s">
        <v>2880</v>
      </c>
      <c r="TDX1336" s="4" t="s">
        <v>2880</v>
      </c>
      <c r="TDY1336" s="4" t="s">
        <v>2880</v>
      </c>
      <c r="TDZ1336" s="4" t="s">
        <v>2880</v>
      </c>
      <c r="TEA1336" s="4" t="s">
        <v>2880</v>
      </c>
      <c r="TEB1336" s="4" t="s">
        <v>2880</v>
      </c>
      <c r="TEC1336" s="4" t="s">
        <v>2880</v>
      </c>
      <c r="TED1336" s="4" t="s">
        <v>2880</v>
      </c>
      <c r="TEE1336" s="4" t="s">
        <v>2880</v>
      </c>
      <c r="TEF1336" s="4" t="s">
        <v>2880</v>
      </c>
      <c r="TEG1336" s="4" t="s">
        <v>2880</v>
      </c>
      <c r="TEH1336" s="4" t="s">
        <v>2880</v>
      </c>
      <c r="TEI1336" s="4" t="s">
        <v>2880</v>
      </c>
      <c r="TEJ1336" s="4" t="s">
        <v>2880</v>
      </c>
      <c r="TEK1336" s="4" t="s">
        <v>2880</v>
      </c>
      <c r="TEL1336" s="4" t="s">
        <v>2880</v>
      </c>
      <c r="TEM1336" s="4" t="s">
        <v>2880</v>
      </c>
      <c r="TEN1336" s="4" t="s">
        <v>2880</v>
      </c>
      <c r="TEO1336" s="4" t="s">
        <v>2880</v>
      </c>
      <c r="TEP1336" s="4" t="s">
        <v>2880</v>
      </c>
      <c r="TEQ1336" s="4" t="s">
        <v>2880</v>
      </c>
      <c r="TER1336" s="4" t="s">
        <v>2880</v>
      </c>
      <c r="TES1336" s="4" t="s">
        <v>2880</v>
      </c>
      <c r="TET1336" s="4" t="s">
        <v>2880</v>
      </c>
      <c r="TEU1336" s="4" t="s">
        <v>2880</v>
      </c>
      <c r="TEV1336" s="4" t="s">
        <v>2880</v>
      </c>
      <c r="TEW1336" s="4" t="s">
        <v>2880</v>
      </c>
      <c r="TEX1336" s="4" t="s">
        <v>2880</v>
      </c>
      <c r="TEY1336" s="4" t="s">
        <v>2880</v>
      </c>
      <c r="TEZ1336" s="4" t="s">
        <v>2880</v>
      </c>
      <c r="TFA1336" s="4" t="s">
        <v>2880</v>
      </c>
      <c r="TFB1336" s="4" t="s">
        <v>2880</v>
      </c>
      <c r="TFC1336" s="4" t="s">
        <v>2880</v>
      </c>
      <c r="TFD1336" s="4" t="s">
        <v>2880</v>
      </c>
      <c r="TFE1336" s="4" t="s">
        <v>2880</v>
      </c>
      <c r="TFF1336" s="4" t="s">
        <v>2880</v>
      </c>
      <c r="TFG1336" s="4" t="s">
        <v>2880</v>
      </c>
      <c r="TFH1336" s="4" t="s">
        <v>2880</v>
      </c>
      <c r="TFI1336" s="4" t="s">
        <v>2880</v>
      </c>
      <c r="TFJ1336" s="4" t="s">
        <v>2880</v>
      </c>
      <c r="TFK1336" s="4" t="s">
        <v>2880</v>
      </c>
      <c r="TFL1336" s="4" t="s">
        <v>2880</v>
      </c>
      <c r="TFM1336" s="4" t="s">
        <v>2880</v>
      </c>
      <c r="TFN1336" s="4" t="s">
        <v>2880</v>
      </c>
      <c r="TFO1336" s="4" t="s">
        <v>2880</v>
      </c>
      <c r="TFP1336" s="4" t="s">
        <v>2880</v>
      </c>
      <c r="TFQ1336" s="4" t="s">
        <v>2880</v>
      </c>
      <c r="TFR1336" s="4" t="s">
        <v>2880</v>
      </c>
      <c r="TFS1336" s="4" t="s">
        <v>2880</v>
      </c>
      <c r="TFT1336" s="4" t="s">
        <v>2880</v>
      </c>
      <c r="TFU1336" s="4" t="s">
        <v>2880</v>
      </c>
      <c r="TFV1336" s="4" t="s">
        <v>2880</v>
      </c>
      <c r="TFW1336" s="4" t="s">
        <v>2880</v>
      </c>
      <c r="TFX1336" s="4" t="s">
        <v>2880</v>
      </c>
      <c r="TFY1336" s="4" t="s">
        <v>2880</v>
      </c>
      <c r="TFZ1336" s="4" t="s">
        <v>2880</v>
      </c>
      <c r="TGA1336" s="4" t="s">
        <v>2880</v>
      </c>
      <c r="TGB1336" s="4" t="s">
        <v>2880</v>
      </c>
      <c r="TGC1336" s="4" t="s">
        <v>2880</v>
      </c>
      <c r="TGD1336" s="4" t="s">
        <v>2880</v>
      </c>
      <c r="TGE1336" s="4" t="s">
        <v>2880</v>
      </c>
      <c r="TGF1336" s="4" t="s">
        <v>2880</v>
      </c>
      <c r="TGG1336" s="4" t="s">
        <v>2880</v>
      </c>
      <c r="TGH1336" s="4" t="s">
        <v>2880</v>
      </c>
      <c r="TGI1336" s="4" t="s">
        <v>2880</v>
      </c>
      <c r="TGJ1336" s="4" t="s">
        <v>2880</v>
      </c>
      <c r="TGK1336" s="4" t="s">
        <v>2880</v>
      </c>
      <c r="TGL1336" s="4" t="s">
        <v>2880</v>
      </c>
      <c r="TGM1336" s="4" t="s">
        <v>2880</v>
      </c>
      <c r="TGN1336" s="4" t="s">
        <v>2880</v>
      </c>
      <c r="TGO1336" s="4" t="s">
        <v>2880</v>
      </c>
      <c r="TGP1336" s="4" t="s">
        <v>2880</v>
      </c>
      <c r="TGQ1336" s="4" t="s">
        <v>2880</v>
      </c>
      <c r="TGR1336" s="4" t="s">
        <v>2880</v>
      </c>
      <c r="TGS1336" s="4" t="s">
        <v>2880</v>
      </c>
      <c r="TGT1336" s="4" t="s">
        <v>2880</v>
      </c>
      <c r="TGU1336" s="4" t="s">
        <v>2880</v>
      </c>
      <c r="TGV1336" s="4" t="s">
        <v>2880</v>
      </c>
      <c r="TGW1336" s="4" t="s">
        <v>2880</v>
      </c>
      <c r="TGX1336" s="4" t="s">
        <v>2880</v>
      </c>
      <c r="TGY1336" s="4" t="s">
        <v>2880</v>
      </c>
      <c r="TGZ1336" s="4" t="s">
        <v>2880</v>
      </c>
      <c r="THA1336" s="4" t="s">
        <v>2880</v>
      </c>
      <c r="THB1336" s="4" t="s">
        <v>2880</v>
      </c>
      <c r="THC1336" s="4" t="s">
        <v>2880</v>
      </c>
      <c r="THD1336" s="4" t="s">
        <v>2880</v>
      </c>
      <c r="THE1336" s="4" t="s">
        <v>2880</v>
      </c>
      <c r="THF1336" s="4" t="s">
        <v>2880</v>
      </c>
      <c r="THG1336" s="4" t="s">
        <v>2880</v>
      </c>
      <c r="THH1336" s="4" t="s">
        <v>2880</v>
      </c>
      <c r="THI1336" s="4" t="s">
        <v>2880</v>
      </c>
      <c r="THJ1336" s="4" t="s">
        <v>2880</v>
      </c>
      <c r="THK1336" s="4" t="s">
        <v>2880</v>
      </c>
      <c r="THL1336" s="4" t="s">
        <v>2880</v>
      </c>
      <c r="THM1336" s="4" t="s">
        <v>2880</v>
      </c>
      <c r="THN1336" s="4" t="s">
        <v>2880</v>
      </c>
      <c r="THO1336" s="4" t="s">
        <v>2880</v>
      </c>
      <c r="THP1336" s="4" t="s">
        <v>2880</v>
      </c>
      <c r="THQ1336" s="4" t="s">
        <v>2880</v>
      </c>
      <c r="THR1336" s="4" t="s">
        <v>2880</v>
      </c>
      <c r="THS1336" s="4" t="s">
        <v>2880</v>
      </c>
      <c r="THT1336" s="4" t="s">
        <v>2880</v>
      </c>
      <c r="THU1336" s="4" t="s">
        <v>2880</v>
      </c>
      <c r="THV1336" s="4" t="s">
        <v>2880</v>
      </c>
      <c r="THW1336" s="4" t="s">
        <v>2880</v>
      </c>
      <c r="THX1336" s="4" t="s">
        <v>2880</v>
      </c>
      <c r="THY1336" s="4" t="s">
        <v>2880</v>
      </c>
      <c r="THZ1336" s="4" t="s">
        <v>2880</v>
      </c>
      <c r="TIA1336" s="4" t="s">
        <v>2880</v>
      </c>
      <c r="TIB1336" s="4" t="s">
        <v>2880</v>
      </c>
      <c r="TIC1336" s="4" t="s">
        <v>2880</v>
      </c>
      <c r="TID1336" s="4" t="s">
        <v>2880</v>
      </c>
      <c r="TIE1336" s="4" t="s">
        <v>2880</v>
      </c>
      <c r="TIF1336" s="4" t="s">
        <v>2880</v>
      </c>
      <c r="TIG1336" s="4" t="s">
        <v>2880</v>
      </c>
      <c r="TIH1336" s="4" t="s">
        <v>2880</v>
      </c>
      <c r="TII1336" s="4" t="s">
        <v>2880</v>
      </c>
      <c r="TIJ1336" s="4" t="s">
        <v>2880</v>
      </c>
      <c r="TIK1336" s="4" t="s">
        <v>2880</v>
      </c>
      <c r="TIL1336" s="4" t="s">
        <v>2880</v>
      </c>
      <c r="TIM1336" s="4" t="s">
        <v>2880</v>
      </c>
      <c r="TIN1336" s="4" t="s">
        <v>2880</v>
      </c>
      <c r="TIO1336" s="4" t="s">
        <v>2880</v>
      </c>
      <c r="TIP1336" s="4" t="s">
        <v>2880</v>
      </c>
      <c r="TIQ1336" s="4" t="s">
        <v>2880</v>
      </c>
      <c r="TIR1336" s="4" t="s">
        <v>2880</v>
      </c>
      <c r="TIS1336" s="4" t="s">
        <v>2880</v>
      </c>
      <c r="TIT1336" s="4" t="s">
        <v>2880</v>
      </c>
      <c r="TIU1336" s="4" t="s">
        <v>2880</v>
      </c>
      <c r="TIV1336" s="4" t="s">
        <v>2880</v>
      </c>
      <c r="TIW1336" s="4" t="s">
        <v>2880</v>
      </c>
      <c r="TIX1336" s="4" t="s">
        <v>2880</v>
      </c>
      <c r="TIY1336" s="4" t="s">
        <v>2880</v>
      </c>
      <c r="TIZ1336" s="4" t="s">
        <v>2880</v>
      </c>
      <c r="TJA1336" s="4" t="s">
        <v>2880</v>
      </c>
      <c r="TJB1336" s="4" t="s">
        <v>2880</v>
      </c>
      <c r="TJC1336" s="4" t="s">
        <v>2880</v>
      </c>
      <c r="TJD1336" s="4" t="s">
        <v>2880</v>
      </c>
      <c r="TJE1336" s="4" t="s">
        <v>2880</v>
      </c>
      <c r="TJF1336" s="4" t="s">
        <v>2880</v>
      </c>
      <c r="TJG1336" s="4" t="s">
        <v>2880</v>
      </c>
      <c r="TJH1336" s="4" t="s">
        <v>2880</v>
      </c>
      <c r="TJI1336" s="4" t="s">
        <v>2880</v>
      </c>
      <c r="TJJ1336" s="4" t="s">
        <v>2880</v>
      </c>
      <c r="TJK1336" s="4" t="s">
        <v>2880</v>
      </c>
      <c r="TJL1336" s="4" t="s">
        <v>2880</v>
      </c>
      <c r="TJM1336" s="4" t="s">
        <v>2880</v>
      </c>
      <c r="TJN1336" s="4" t="s">
        <v>2880</v>
      </c>
      <c r="TJO1336" s="4" t="s">
        <v>2880</v>
      </c>
      <c r="TJP1336" s="4" t="s">
        <v>2880</v>
      </c>
      <c r="TJQ1336" s="4" t="s">
        <v>2880</v>
      </c>
      <c r="TJR1336" s="4" t="s">
        <v>2880</v>
      </c>
      <c r="TJS1336" s="4" t="s">
        <v>2880</v>
      </c>
      <c r="TJT1336" s="4" t="s">
        <v>2880</v>
      </c>
      <c r="TJU1336" s="4" t="s">
        <v>2880</v>
      </c>
      <c r="TJV1336" s="4" t="s">
        <v>2880</v>
      </c>
      <c r="TJW1336" s="4" t="s">
        <v>2880</v>
      </c>
      <c r="TJX1336" s="4" t="s">
        <v>2880</v>
      </c>
      <c r="TJY1336" s="4" t="s">
        <v>2880</v>
      </c>
      <c r="TJZ1336" s="4" t="s">
        <v>2880</v>
      </c>
      <c r="TKA1336" s="4" t="s">
        <v>2880</v>
      </c>
      <c r="TKB1336" s="4" t="s">
        <v>2880</v>
      </c>
      <c r="TKC1336" s="4" t="s">
        <v>2880</v>
      </c>
      <c r="TKD1336" s="4" t="s">
        <v>2880</v>
      </c>
      <c r="TKE1336" s="4" t="s">
        <v>2880</v>
      </c>
      <c r="TKF1336" s="4" t="s">
        <v>2880</v>
      </c>
      <c r="TKG1336" s="4" t="s">
        <v>2880</v>
      </c>
      <c r="TKH1336" s="4" t="s">
        <v>2880</v>
      </c>
      <c r="TKI1336" s="4" t="s">
        <v>2880</v>
      </c>
      <c r="TKJ1336" s="4" t="s">
        <v>2880</v>
      </c>
      <c r="TKK1336" s="4" t="s">
        <v>2880</v>
      </c>
      <c r="TKL1336" s="4" t="s">
        <v>2880</v>
      </c>
      <c r="TKM1336" s="4" t="s">
        <v>2880</v>
      </c>
      <c r="TKN1336" s="4" t="s">
        <v>2880</v>
      </c>
      <c r="TKO1336" s="4" t="s">
        <v>2880</v>
      </c>
      <c r="TKP1336" s="4" t="s">
        <v>2880</v>
      </c>
      <c r="TKQ1336" s="4" t="s">
        <v>2880</v>
      </c>
      <c r="TKR1336" s="4" t="s">
        <v>2880</v>
      </c>
      <c r="TKS1336" s="4" t="s">
        <v>2880</v>
      </c>
      <c r="TKT1336" s="4" t="s">
        <v>2880</v>
      </c>
      <c r="TKU1336" s="4" t="s">
        <v>2880</v>
      </c>
      <c r="TKV1336" s="4" t="s">
        <v>2880</v>
      </c>
      <c r="TKW1336" s="4" t="s">
        <v>2880</v>
      </c>
      <c r="TKX1336" s="4" t="s">
        <v>2880</v>
      </c>
      <c r="TKY1336" s="4" t="s">
        <v>2880</v>
      </c>
      <c r="TKZ1336" s="4" t="s">
        <v>2880</v>
      </c>
      <c r="TLA1336" s="4" t="s">
        <v>2880</v>
      </c>
      <c r="TLB1336" s="4" t="s">
        <v>2880</v>
      </c>
      <c r="TLC1336" s="4" t="s">
        <v>2880</v>
      </c>
      <c r="TLD1336" s="4" t="s">
        <v>2880</v>
      </c>
      <c r="TLE1336" s="4" t="s">
        <v>2880</v>
      </c>
      <c r="TLF1336" s="4" t="s">
        <v>2880</v>
      </c>
      <c r="TLG1336" s="4" t="s">
        <v>2880</v>
      </c>
      <c r="TLH1336" s="4" t="s">
        <v>2880</v>
      </c>
      <c r="TLI1336" s="4" t="s">
        <v>2880</v>
      </c>
      <c r="TLJ1336" s="4" t="s">
        <v>2880</v>
      </c>
      <c r="TLK1336" s="4" t="s">
        <v>2880</v>
      </c>
      <c r="TLL1336" s="4" t="s">
        <v>2880</v>
      </c>
      <c r="TLM1336" s="4" t="s">
        <v>2880</v>
      </c>
      <c r="TLN1336" s="4" t="s">
        <v>2880</v>
      </c>
      <c r="TLO1336" s="4" t="s">
        <v>2880</v>
      </c>
      <c r="TLP1336" s="4" t="s">
        <v>2880</v>
      </c>
      <c r="TLQ1336" s="4" t="s">
        <v>2880</v>
      </c>
      <c r="TLR1336" s="4" t="s">
        <v>2880</v>
      </c>
      <c r="TLS1336" s="4" t="s">
        <v>2880</v>
      </c>
      <c r="TLT1336" s="4" t="s">
        <v>2880</v>
      </c>
      <c r="TLU1336" s="4" t="s">
        <v>2880</v>
      </c>
      <c r="TLV1336" s="4" t="s">
        <v>2880</v>
      </c>
      <c r="TLW1336" s="4" t="s">
        <v>2880</v>
      </c>
      <c r="TLX1336" s="4" t="s">
        <v>2880</v>
      </c>
      <c r="TLY1336" s="4" t="s">
        <v>2880</v>
      </c>
      <c r="TLZ1336" s="4" t="s">
        <v>2880</v>
      </c>
      <c r="TMA1336" s="4" t="s">
        <v>2880</v>
      </c>
      <c r="TMB1336" s="4" t="s">
        <v>2880</v>
      </c>
      <c r="TMC1336" s="4" t="s">
        <v>2880</v>
      </c>
      <c r="TMD1336" s="4" t="s">
        <v>2880</v>
      </c>
      <c r="TME1336" s="4" t="s">
        <v>2880</v>
      </c>
      <c r="TMF1336" s="4" t="s">
        <v>2880</v>
      </c>
      <c r="TMG1336" s="4" t="s">
        <v>2880</v>
      </c>
      <c r="TMH1336" s="4" t="s">
        <v>2880</v>
      </c>
      <c r="TMI1336" s="4" t="s">
        <v>2880</v>
      </c>
      <c r="TMJ1336" s="4" t="s">
        <v>2880</v>
      </c>
      <c r="TMK1336" s="4" t="s">
        <v>2880</v>
      </c>
      <c r="TML1336" s="4" t="s">
        <v>2880</v>
      </c>
      <c r="TMM1336" s="4" t="s">
        <v>2880</v>
      </c>
      <c r="TMN1336" s="4" t="s">
        <v>2880</v>
      </c>
      <c r="TMO1336" s="4" t="s">
        <v>2880</v>
      </c>
      <c r="TMP1336" s="4" t="s">
        <v>2880</v>
      </c>
      <c r="TMQ1336" s="4" t="s">
        <v>2880</v>
      </c>
      <c r="TMR1336" s="4" t="s">
        <v>2880</v>
      </c>
      <c r="TMS1336" s="4" t="s">
        <v>2880</v>
      </c>
      <c r="TMT1336" s="4" t="s">
        <v>2880</v>
      </c>
      <c r="TMU1336" s="4" t="s">
        <v>2880</v>
      </c>
      <c r="TMV1336" s="4" t="s">
        <v>2880</v>
      </c>
      <c r="TMW1336" s="4" t="s">
        <v>2880</v>
      </c>
      <c r="TMX1336" s="4" t="s">
        <v>2880</v>
      </c>
      <c r="TMY1336" s="4" t="s">
        <v>2880</v>
      </c>
      <c r="TMZ1336" s="4" t="s">
        <v>2880</v>
      </c>
      <c r="TNA1336" s="4" t="s">
        <v>2880</v>
      </c>
      <c r="TNB1336" s="4" t="s">
        <v>2880</v>
      </c>
      <c r="TNC1336" s="4" t="s">
        <v>2880</v>
      </c>
      <c r="TND1336" s="4" t="s">
        <v>2880</v>
      </c>
      <c r="TNE1336" s="4" t="s">
        <v>2880</v>
      </c>
      <c r="TNF1336" s="4" t="s">
        <v>2880</v>
      </c>
      <c r="TNG1336" s="4" t="s">
        <v>2880</v>
      </c>
      <c r="TNH1336" s="4" t="s">
        <v>2880</v>
      </c>
      <c r="TNI1336" s="4" t="s">
        <v>2880</v>
      </c>
      <c r="TNJ1336" s="4" t="s">
        <v>2880</v>
      </c>
      <c r="TNK1336" s="4" t="s">
        <v>2880</v>
      </c>
      <c r="TNL1336" s="4" t="s">
        <v>2880</v>
      </c>
      <c r="TNM1336" s="4" t="s">
        <v>2880</v>
      </c>
      <c r="TNN1336" s="4" t="s">
        <v>2880</v>
      </c>
      <c r="TNO1336" s="4" t="s">
        <v>2880</v>
      </c>
      <c r="TNP1336" s="4" t="s">
        <v>2880</v>
      </c>
      <c r="TNQ1336" s="4" t="s">
        <v>2880</v>
      </c>
      <c r="TNR1336" s="4" t="s">
        <v>2880</v>
      </c>
      <c r="TNS1336" s="4" t="s">
        <v>2880</v>
      </c>
      <c r="TNT1336" s="4" t="s">
        <v>2880</v>
      </c>
      <c r="TNU1336" s="4" t="s">
        <v>2880</v>
      </c>
      <c r="TNV1336" s="4" t="s">
        <v>2880</v>
      </c>
      <c r="TNW1336" s="4" t="s">
        <v>2880</v>
      </c>
      <c r="TNX1336" s="4" t="s">
        <v>2880</v>
      </c>
      <c r="TNY1336" s="4" t="s">
        <v>2880</v>
      </c>
      <c r="TNZ1336" s="4" t="s">
        <v>2880</v>
      </c>
      <c r="TOA1336" s="4" t="s">
        <v>2880</v>
      </c>
      <c r="TOB1336" s="4" t="s">
        <v>2880</v>
      </c>
      <c r="TOC1336" s="4" t="s">
        <v>2880</v>
      </c>
      <c r="TOD1336" s="4" t="s">
        <v>2880</v>
      </c>
      <c r="TOE1336" s="4" t="s">
        <v>2880</v>
      </c>
      <c r="TOF1336" s="4" t="s">
        <v>2880</v>
      </c>
      <c r="TOG1336" s="4" t="s">
        <v>2880</v>
      </c>
      <c r="TOH1336" s="4" t="s">
        <v>2880</v>
      </c>
      <c r="TOI1336" s="4" t="s">
        <v>2880</v>
      </c>
      <c r="TOJ1336" s="4" t="s">
        <v>2880</v>
      </c>
      <c r="TOK1336" s="4" t="s">
        <v>2880</v>
      </c>
      <c r="TOL1336" s="4" t="s">
        <v>2880</v>
      </c>
      <c r="TOM1336" s="4" t="s">
        <v>2880</v>
      </c>
      <c r="TON1336" s="4" t="s">
        <v>2880</v>
      </c>
      <c r="TOO1336" s="4" t="s">
        <v>2880</v>
      </c>
      <c r="TOP1336" s="4" t="s">
        <v>2880</v>
      </c>
      <c r="TOQ1336" s="4" t="s">
        <v>2880</v>
      </c>
      <c r="TOR1336" s="4" t="s">
        <v>2880</v>
      </c>
      <c r="TOS1336" s="4" t="s">
        <v>2880</v>
      </c>
      <c r="TOT1336" s="4" t="s">
        <v>2880</v>
      </c>
      <c r="TOU1336" s="4" t="s">
        <v>2880</v>
      </c>
      <c r="TOV1336" s="4" t="s">
        <v>2880</v>
      </c>
      <c r="TOW1336" s="4" t="s">
        <v>2880</v>
      </c>
      <c r="TOX1336" s="4" t="s">
        <v>2880</v>
      </c>
      <c r="TOY1336" s="4" t="s">
        <v>2880</v>
      </c>
      <c r="TOZ1336" s="4" t="s">
        <v>2880</v>
      </c>
      <c r="TPA1336" s="4" t="s">
        <v>2880</v>
      </c>
      <c r="TPB1336" s="4" t="s">
        <v>2880</v>
      </c>
      <c r="TPC1336" s="4" t="s">
        <v>2880</v>
      </c>
      <c r="TPD1336" s="4" t="s">
        <v>2880</v>
      </c>
      <c r="TPE1336" s="4" t="s">
        <v>2880</v>
      </c>
      <c r="TPF1336" s="4" t="s">
        <v>2880</v>
      </c>
      <c r="TPG1336" s="4" t="s">
        <v>2880</v>
      </c>
      <c r="TPH1336" s="4" t="s">
        <v>2880</v>
      </c>
      <c r="TPI1336" s="4" t="s">
        <v>2880</v>
      </c>
      <c r="TPJ1336" s="4" t="s">
        <v>2880</v>
      </c>
      <c r="TPK1336" s="4" t="s">
        <v>2880</v>
      </c>
      <c r="TPL1336" s="4" t="s">
        <v>2880</v>
      </c>
      <c r="TPM1336" s="4" t="s">
        <v>2880</v>
      </c>
      <c r="TPN1336" s="4" t="s">
        <v>2880</v>
      </c>
      <c r="TPO1336" s="4" t="s">
        <v>2880</v>
      </c>
      <c r="TPP1336" s="4" t="s">
        <v>2880</v>
      </c>
      <c r="TPQ1336" s="4" t="s">
        <v>2880</v>
      </c>
      <c r="TPR1336" s="4" t="s">
        <v>2880</v>
      </c>
      <c r="TPS1336" s="4" t="s">
        <v>2880</v>
      </c>
      <c r="TPT1336" s="4" t="s">
        <v>2880</v>
      </c>
      <c r="TPU1336" s="4" t="s">
        <v>2880</v>
      </c>
      <c r="TPV1336" s="4" t="s">
        <v>2880</v>
      </c>
      <c r="TPW1336" s="4" t="s">
        <v>2880</v>
      </c>
      <c r="TPX1336" s="4" t="s">
        <v>2880</v>
      </c>
      <c r="TPY1336" s="4" t="s">
        <v>2880</v>
      </c>
      <c r="TPZ1336" s="4" t="s">
        <v>2880</v>
      </c>
      <c r="TQA1336" s="4" t="s">
        <v>2880</v>
      </c>
      <c r="TQB1336" s="4" t="s">
        <v>2880</v>
      </c>
      <c r="TQC1336" s="4" t="s">
        <v>2880</v>
      </c>
      <c r="TQD1336" s="4" t="s">
        <v>2880</v>
      </c>
      <c r="TQE1336" s="4" t="s">
        <v>2880</v>
      </c>
      <c r="TQF1336" s="4" t="s">
        <v>2880</v>
      </c>
      <c r="TQG1336" s="4" t="s">
        <v>2880</v>
      </c>
      <c r="TQH1336" s="4" t="s">
        <v>2880</v>
      </c>
      <c r="TQI1336" s="4" t="s">
        <v>2880</v>
      </c>
      <c r="TQJ1336" s="4" t="s">
        <v>2880</v>
      </c>
      <c r="TQK1336" s="4" t="s">
        <v>2880</v>
      </c>
      <c r="TQL1336" s="4" t="s">
        <v>2880</v>
      </c>
      <c r="TQM1336" s="4" t="s">
        <v>2880</v>
      </c>
      <c r="TQN1336" s="4" t="s">
        <v>2880</v>
      </c>
      <c r="TQO1336" s="4" t="s">
        <v>2880</v>
      </c>
      <c r="TQP1336" s="4" t="s">
        <v>2880</v>
      </c>
      <c r="TQQ1336" s="4" t="s">
        <v>2880</v>
      </c>
      <c r="TQR1336" s="4" t="s">
        <v>2880</v>
      </c>
      <c r="TQS1336" s="4" t="s">
        <v>2880</v>
      </c>
      <c r="TQT1336" s="4" t="s">
        <v>2880</v>
      </c>
      <c r="TQU1336" s="4" t="s">
        <v>2880</v>
      </c>
      <c r="TQV1336" s="4" t="s">
        <v>2880</v>
      </c>
      <c r="TQW1336" s="4" t="s">
        <v>2880</v>
      </c>
      <c r="TQX1336" s="4" t="s">
        <v>2880</v>
      </c>
      <c r="TQY1336" s="4" t="s">
        <v>2880</v>
      </c>
      <c r="TQZ1336" s="4" t="s">
        <v>2880</v>
      </c>
      <c r="TRA1336" s="4" t="s">
        <v>2880</v>
      </c>
      <c r="TRB1336" s="4" t="s">
        <v>2880</v>
      </c>
      <c r="TRC1336" s="4" t="s">
        <v>2880</v>
      </c>
      <c r="TRD1336" s="4" t="s">
        <v>2880</v>
      </c>
      <c r="TRE1336" s="4" t="s">
        <v>2880</v>
      </c>
      <c r="TRF1336" s="4" t="s">
        <v>2880</v>
      </c>
      <c r="TRG1336" s="4" t="s">
        <v>2880</v>
      </c>
      <c r="TRH1336" s="4" t="s">
        <v>2880</v>
      </c>
      <c r="TRI1336" s="4" t="s">
        <v>2880</v>
      </c>
      <c r="TRJ1336" s="4" t="s">
        <v>2880</v>
      </c>
      <c r="TRK1336" s="4" t="s">
        <v>2880</v>
      </c>
      <c r="TRL1336" s="4" t="s">
        <v>2880</v>
      </c>
      <c r="TRM1336" s="4" t="s">
        <v>2880</v>
      </c>
      <c r="TRN1336" s="4" t="s">
        <v>2880</v>
      </c>
      <c r="TRO1336" s="4" t="s">
        <v>2880</v>
      </c>
      <c r="TRP1336" s="4" t="s">
        <v>2880</v>
      </c>
      <c r="TRQ1336" s="4" t="s">
        <v>2880</v>
      </c>
      <c r="TRR1336" s="4" t="s">
        <v>2880</v>
      </c>
      <c r="TRS1336" s="4" t="s">
        <v>2880</v>
      </c>
      <c r="TRT1336" s="4" t="s">
        <v>2880</v>
      </c>
      <c r="TRU1336" s="4" t="s">
        <v>2880</v>
      </c>
      <c r="TRV1336" s="4" t="s">
        <v>2880</v>
      </c>
      <c r="TRW1336" s="4" t="s">
        <v>2880</v>
      </c>
      <c r="TRX1336" s="4" t="s">
        <v>2880</v>
      </c>
      <c r="TRY1336" s="4" t="s">
        <v>2880</v>
      </c>
      <c r="TRZ1336" s="4" t="s">
        <v>2880</v>
      </c>
      <c r="TSA1336" s="4" t="s">
        <v>2880</v>
      </c>
      <c r="TSB1336" s="4" t="s">
        <v>2880</v>
      </c>
      <c r="TSC1336" s="4" t="s">
        <v>2880</v>
      </c>
      <c r="TSD1336" s="4" t="s">
        <v>2880</v>
      </c>
      <c r="TSE1336" s="4" t="s">
        <v>2880</v>
      </c>
      <c r="TSF1336" s="4" t="s">
        <v>2880</v>
      </c>
      <c r="TSG1336" s="4" t="s">
        <v>2880</v>
      </c>
      <c r="TSH1336" s="4" t="s">
        <v>2880</v>
      </c>
      <c r="TSI1336" s="4" t="s">
        <v>2880</v>
      </c>
      <c r="TSJ1336" s="4" t="s">
        <v>2880</v>
      </c>
      <c r="TSK1336" s="4" t="s">
        <v>2880</v>
      </c>
      <c r="TSL1336" s="4" t="s">
        <v>2880</v>
      </c>
      <c r="TSM1336" s="4" t="s">
        <v>2880</v>
      </c>
      <c r="TSN1336" s="4" t="s">
        <v>2880</v>
      </c>
      <c r="TSO1336" s="4" t="s">
        <v>2880</v>
      </c>
      <c r="TSP1336" s="4" t="s">
        <v>2880</v>
      </c>
      <c r="TSQ1336" s="4" t="s">
        <v>2880</v>
      </c>
      <c r="TSR1336" s="4" t="s">
        <v>2880</v>
      </c>
      <c r="TSS1336" s="4" t="s">
        <v>2880</v>
      </c>
      <c r="TST1336" s="4" t="s">
        <v>2880</v>
      </c>
      <c r="TSU1336" s="4" t="s">
        <v>2880</v>
      </c>
      <c r="TSV1336" s="4" t="s">
        <v>2880</v>
      </c>
      <c r="TSW1336" s="4" t="s">
        <v>2880</v>
      </c>
      <c r="TSX1336" s="4" t="s">
        <v>2880</v>
      </c>
      <c r="TSY1336" s="4" t="s">
        <v>2880</v>
      </c>
      <c r="TSZ1336" s="4" t="s">
        <v>2880</v>
      </c>
      <c r="TTA1336" s="4" t="s">
        <v>2880</v>
      </c>
      <c r="TTB1336" s="4" t="s">
        <v>2880</v>
      </c>
      <c r="TTC1336" s="4" t="s">
        <v>2880</v>
      </c>
      <c r="TTD1336" s="4" t="s">
        <v>2880</v>
      </c>
      <c r="TTE1336" s="4" t="s">
        <v>2880</v>
      </c>
      <c r="TTF1336" s="4" t="s">
        <v>2880</v>
      </c>
      <c r="TTG1336" s="4" t="s">
        <v>2880</v>
      </c>
      <c r="TTH1336" s="4" t="s">
        <v>2880</v>
      </c>
      <c r="TTI1336" s="4" t="s">
        <v>2880</v>
      </c>
      <c r="TTJ1336" s="4" t="s">
        <v>2880</v>
      </c>
      <c r="TTK1336" s="4" t="s">
        <v>2880</v>
      </c>
      <c r="TTL1336" s="4" t="s">
        <v>2880</v>
      </c>
      <c r="TTM1336" s="4" t="s">
        <v>2880</v>
      </c>
      <c r="TTN1336" s="4" t="s">
        <v>2880</v>
      </c>
      <c r="TTO1336" s="4" t="s">
        <v>2880</v>
      </c>
      <c r="TTP1336" s="4" t="s">
        <v>2880</v>
      </c>
      <c r="TTQ1336" s="4" t="s">
        <v>2880</v>
      </c>
      <c r="TTR1336" s="4" t="s">
        <v>2880</v>
      </c>
      <c r="TTS1336" s="4" t="s">
        <v>2880</v>
      </c>
      <c r="TTT1336" s="4" t="s">
        <v>2880</v>
      </c>
      <c r="TTU1336" s="4" t="s">
        <v>2880</v>
      </c>
      <c r="TTV1336" s="4" t="s">
        <v>2880</v>
      </c>
      <c r="TTW1336" s="4" t="s">
        <v>2880</v>
      </c>
      <c r="TTX1336" s="4" t="s">
        <v>2880</v>
      </c>
      <c r="TTY1336" s="4" t="s">
        <v>2880</v>
      </c>
      <c r="TTZ1336" s="4" t="s">
        <v>2880</v>
      </c>
      <c r="TUA1336" s="4" t="s">
        <v>2880</v>
      </c>
      <c r="TUB1336" s="4" t="s">
        <v>2880</v>
      </c>
      <c r="TUC1336" s="4" t="s">
        <v>2880</v>
      </c>
      <c r="TUD1336" s="4" t="s">
        <v>2880</v>
      </c>
      <c r="TUE1336" s="4" t="s">
        <v>2880</v>
      </c>
      <c r="TUF1336" s="4" t="s">
        <v>2880</v>
      </c>
      <c r="TUG1336" s="4" t="s">
        <v>2880</v>
      </c>
      <c r="TUH1336" s="4" t="s">
        <v>2880</v>
      </c>
      <c r="TUI1336" s="4" t="s">
        <v>2880</v>
      </c>
      <c r="TUJ1336" s="4" t="s">
        <v>2880</v>
      </c>
      <c r="TUK1336" s="4" t="s">
        <v>2880</v>
      </c>
      <c r="TUL1336" s="4" t="s">
        <v>2880</v>
      </c>
      <c r="TUM1336" s="4" t="s">
        <v>2880</v>
      </c>
      <c r="TUN1336" s="4" t="s">
        <v>2880</v>
      </c>
      <c r="TUO1336" s="4" t="s">
        <v>2880</v>
      </c>
      <c r="TUP1336" s="4" t="s">
        <v>2880</v>
      </c>
      <c r="TUQ1336" s="4" t="s">
        <v>2880</v>
      </c>
      <c r="TUR1336" s="4" t="s">
        <v>2880</v>
      </c>
      <c r="TUS1336" s="4" t="s">
        <v>2880</v>
      </c>
      <c r="TUT1336" s="4" t="s">
        <v>2880</v>
      </c>
      <c r="TUU1336" s="4" t="s">
        <v>2880</v>
      </c>
      <c r="TUV1336" s="4" t="s">
        <v>2880</v>
      </c>
      <c r="TUW1336" s="4" t="s">
        <v>2880</v>
      </c>
      <c r="TUX1336" s="4" t="s">
        <v>2880</v>
      </c>
      <c r="TUY1336" s="4" t="s">
        <v>2880</v>
      </c>
      <c r="TUZ1336" s="4" t="s">
        <v>2880</v>
      </c>
      <c r="TVA1336" s="4" t="s">
        <v>2880</v>
      </c>
      <c r="TVB1336" s="4" t="s">
        <v>2880</v>
      </c>
      <c r="TVC1336" s="4" t="s">
        <v>2880</v>
      </c>
      <c r="TVD1336" s="4" t="s">
        <v>2880</v>
      </c>
      <c r="TVE1336" s="4" t="s">
        <v>2880</v>
      </c>
      <c r="TVF1336" s="4" t="s">
        <v>2880</v>
      </c>
      <c r="TVG1336" s="4" t="s">
        <v>2880</v>
      </c>
      <c r="TVH1336" s="4" t="s">
        <v>2880</v>
      </c>
      <c r="TVI1336" s="4" t="s">
        <v>2880</v>
      </c>
      <c r="TVJ1336" s="4" t="s">
        <v>2880</v>
      </c>
      <c r="TVK1336" s="4" t="s">
        <v>2880</v>
      </c>
      <c r="TVL1336" s="4" t="s">
        <v>2880</v>
      </c>
      <c r="TVM1336" s="4" t="s">
        <v>2880</v>
      </c>
      <c r="TVN1336" s="4" t="s">
        <v>2880</v>
      </c>
      <c r="TVO1336" s="4" t="s">
        <v>2880</v>
      </c>
      <c r="TVP1336" s="4" t="s">
        <v>2880</v>
      </c>
      <c r="TVQ1336" s="4" t="s">
        <v>2880</v>
      </c>
      <c r="TVR1336" s="4" t="s">
        <v>2880</v>
      </c>
      <c r="TVS1336" s="4" t="s">
        <v>2880</v>
      </c>
      <c r="TVT1336" s="4" t="s">
        <v>2880</v>
      </c>
      <c r="TVU1336" s="4" t="s">
        <v>2880</v>
      </c>
      <c r="TVV1336" s="4" t="s">
        <v>2880</v>
      </c>
      <c r="TVW1336" s="4" t="s">
        <v>2880</v>
      </c>
      <c r="TVX1336" s="4" t="s">
        <v>2880</v>
      </c>
      <c r="TVY1336" s="4" t="s">
        <v>2880</v>
      </c>
      <c r="TVZ1336" s="4" t="s">
        <v>2880</v>
      </c>
      <c r="TWA1336" s="4" t="s">
        <v>2880</v>
      </c>
      <c r="TWB1336" s="4" t="s">
        <v>2880</v>
      </c>
      <c r="TWC1336" s="4" t="s">
        <v>2880</v>
      </c>
      <c r="TWD1336" s="4" t="s">
        <v>2880</v>
      </c>
      <c r="TWE1336" s="4" t="s">
        <v>2880</v>
      </c>
      <c r="TWF1336" s="4" t="s">
        <v>2880</v>
      </c>
      <c r="TWG1336" s="4" t="s">
        <v>2880</v>
      </c>
      <c r="TWH1336" s="4" t="s">
        <v>2880</v>
      </c>
      <c r="TWI1336" s="4" t="s">
        <v>2880</v>
      </c>
      <c r="TWJ1336" s="4" t="s">
        <v>2880</v>
      </c>
      <c r="TWK1336" s="4" t="s">
        <v>2880</v>
      </c>
      <c r="TWL1336" s="4" t="s">
        <v>2880</v>
      </c>
      <c r="TWM1336" s="4" t="s">
        <v>2880</v>
      </c>
      <c r="TWN1336" s="4" t="s">
        <v>2880</v>
      </c>
      <c r="TWO1336" s="4" t="s">
        <v>2880</v>
      </c>
      <c r="TWP1336" s="4" t="s">
        <v>2880</v>
      </c>
      <c r="TWQ1336" s="4" t="s">
        <v>2880</v>
      </c>
      <c r="TWR1336" s="4" t="s">
        <v>2880</v>
      </c>
      <c r="TWS1336" s="4" t="s">
        <v>2880</v>
      </c>
      <c r="TWT1336" s="4" t="s">
        <v>2880</v>
      </c>
      <c r="TWU1336" s="4" t="s">
        <v>2880</v>
      </c>
      <c r="TWV1336" s="4" t="s">
        <v>2880</v>
      </c>
      <c r="TWW1336" s="4" t="s">
        <v>2880</v>
      </c>
      <c r="TWX1336" s="4" t="s">
        <v>2880</v>
      </c>
      <c r="TWY1336" s="4" t="s">
        <v>2880</v>
      </c>
      <c r="TWZ1336" s="4" t="s">
        <v>2880</v>
      </c>
      <c r="TXA1336" s="4" t="s">
        <v>2880</v>
      </c>
      <c r="TXB1336" s="4" t="s">
        <v>2880</v>
      </c>
      <c r="TXC1336" s="4" t="s">
        <v>2880</v>
      </c>
      <c r="TXD1336" s="4" t="s">
        <v>2880</v>
      </c>
      <c r="TXE1336" s="4" t="s">
        <v>2880</v>
      </c>
      <c r="TXF1336" s="4" t="s">
        <v>2880</v>
      </c>
      <c r="TXG1336" s="4" t="s">
        <v>2880</v>
      </c>
      <c r="TXH1336" s="4" t="s">
        <v>2880</v>
      </c>
      <c r="TXI1336" s="4" t="s">
        <v>2880</v>
      </c>
      <c r="TXJ1336" s="4" t="s">
        <v>2880</v>
      </c>
      <c r="TXK1336" s="4" t="s">
        <v>2880</v>
      </c>
      <c r="TXL1336" s="4" t="s">
        <v>2880</v>
      </c>
      <c r="TXM1336" s="4" t="s">
        <v>2880</v>
      </c>
      <c r="TXN1336" s="4" t="s">
        <v>2880</v>
      </c>
      <c r="TXO1336" s="4" t="s">
        <v>2880</v>
      </c>
      <c r="TXP1336" s="4" t="s">
        <v>2880</v>
      </c>
      <c r="TXQ1336" s="4" t="s">
        <v>2880</v>
      </c>
      <c r="TXR1336" s="4" t="s">
        <v>2880</v>
      </c>
      <c r="TXS1336" s="4" t="s">
        <v>2880</v>
      </c>
      <c r="TXT1336" s="4" t="s">
        <v>2880</v>
      </c>
      <c r="TXU1336" s="4" t="s">
        <v>2880</v>
      </c>
      <c r="TXV1336" s="4" t="s">
        <v>2880</v>
      </c>
      <c r="TXW1336" s="4" t="s">
        <v>2880</v>
      </c>
      <c r="TXX1336" s="4" t="s">
        <v>2880</v>
      </c>
      <c r="TXY1336" s="4" t="s">
        <v>2880</v>
      </c>
      <c r="TXZ1336" s="4" t="s">
        <v>2880</v>
      </c>
      <c r="TYA1336" s="4" t="s">
        <v>2880</v>
      </c>
      <c r="TYB1336" s="4" t="s">
        <v>2880</v>
      </c>
      <c r="TYC1336" s="4" t="s">
        <v>2880</v>
      </c>
      <c r="TYD1336" s="4" t="s">
        <v>2880</v>
      </c>
      <c r="TYE1336" s="4" t="s">
        <v>2880</v>
      </c>
      <c r="TYF1336" s="4" t="s">
        <v>2880</v>
      </c>
      <c r="TYG1336" s="4" t="s">
        <v>2880</v>
      </c>
      <c r="TYH1336" s="4" t="s">
        <v>2880</v>
      </c>
      <c r="TYI1336" s="4" t="s">
        <v>2880</v>
      </c>
      <c r="TYJ1336" s="4" t="s">
        <v>2880</v>
      </c>
      <c r="TYK1336" s="4" t="s">
        <v>2880</v>
      </c>
      <c r="TYL1336" s="4" t="s">
        <v>2880</v>
      </c>
      <c r="TYM1336" s="4" t="s">
        <v>2880</v>
      </c>
      <c r="TYN1336" s="4" t="s">
        <v>2880</v>
      </c>
      <c r="TYO1336" s="4" t="s">
        <v>2880</v>
      </c>
      <c r="TYP1336" s="4" t="s">
        <v>2880</v>
      </c>
      <c r="TYQ1336" s="4" t="s">
        <v>2880</v>
      </c>
      <c r="TYR1336" s="4" t="s">
        <v>2880</v>
      </c>
      <c r="TYS1336" s="4" t="s">
        <v>2880</v>
      </c>
      <c r="TYT1336" s="4" t="s">
        <v>2880</v>
      </c>
      <c r="TYU1336" s="4" t="s">
        <v>2880</v>
      </c>
      <c r="TYV1336" s="4" t="s">
        <v>2880</v>
      </c>
      <c r="TYW1336" s="4" t="s">
        <v>2880</v>
      </c>
      <c r="TYX1336" s="4" t="s">
        <v>2880</v>
      </c>
      <c r="TYY1336" s="4" t="s">
        <v>2880</v>
      </c>
      <c r="TYZ1336" s="4" t="s">
        <v>2880</v>
      </c>
      <c r="TZA1336" s="4" t="s">
        <v>2880</v>
      </c>
      <c r="TZB1336" s="4" t="s">
        <v>2880</v>
      </c>
      <c r="TZC1336" s="4" t="s">
        <v>2880</v>
      </c>
      <c r="TZD1336" s="4" t="s">
        <v>2880</v>
      </c>
      <c r="TZE1336" s="4" t="s">
        <v>2880</v>
      </c>
      <c r="TZF1336" s="4" t="s">
        <v>2880</v>
      </c>
      <c r="TZG1336" s="4" t="s">
        <v>2880</v>
      </c>
      <c r="TZH1336" s="4" t="s">
        <v>2880</v>
      </c>
      <c r="TZI1336" s="4" t="s">
        <v>2880</v>
      </c>
      <c r="TZJ1336" s="4" t="s">
        <v>2880</v>
      </c>
      <c r="TZK1336" s="4" t="s">
        <v>2880</v>
      </c>
      <c r="TZL1336" s="4" t="s">
        <v>2880</v>
      </c>
      <c r="TZM1336" s="4" t="s">
        <v>2880</v>
      </c>
      <c r="TZN1336" s="4" t="s">
        <v>2880</v>
      </c>
      <c r="TZO1336" s="4" t="s">
        <v>2880</v>
      </c>
      <c r="TZP1336" s="4" t="s">
        <v>2880</v>
      </c>
      <c r="TZQ1336" s="4" t="s">
        <v>2880</v>
      </c>
      <c r="TZR1336" s="4" t="s">
        <v>2880</v>
      </c>
      <c r="TZS1336" s="4" t="s">
        <v>2880</v>
      </c>
      <c r="TZT1336" s="4" t="s">
        <v>2880</v>
      </c>
      <c r="TZU1336" s="4" t="s">
        <v>2880</v>
      </c>
      <c r="TZV1336" s="4" t="s">
        <v>2880</v>
      </c>
      <c r="TZW1336" s="4" t="s">
        <v>2880</v>
      </c>
      <c r="TZX1336" s="4" t="s">
        <v>2880</v>
      </c>
      <c r="TZY1336" s="4" t="s">
        <v>2880</v>
      </c>
      <c r="TZZ1336" s="4" t="s">
        <v>2880</v>
      </c>
      <c r="UAA1336" s="4" t="s">
        <v>2880</v>
      </c>
      <c r="UAB1336" s="4" t="s">
        <v>2880</v>
      </c>
      <c r="UAC1336" s="4" t="s">
        <v>2880</v>
      </c>
      <c r="UAD1336" s="4" t="s">
        <v>2880</v>
      </c>
      <c r="UAE1336" s="4" t="s">
        <v>2880</v>
      </c>
      <c r="UAF1336" s="4" t="s">
        <v>2880</v>
      </c>
      <c r="UAG1336" s="4" t="s">
        <v>2880</v>
      </c>
      <c r="UAH1336" s="4" t="s">
        <v>2880</v>
      </c>
      <c r="UAI1336" s="4" t="s">
        <v>2880</v>
      </c>
      <c r="UAJ1336" s="4" t="s">
        <v>2880</v>
      </c>
      <c r="UAK1336" s="4" t="s">
        <v>2880</v>
      </c>
      <c r="UAL1336" s="4" t="s">
        <v>2880</v>
      </c>
      <c r="UAM1336" s="4" t="s">
        <v>2880</v>
      </c>
      <c r="UAN1336" s="4" t="s">
        <v>2880</v>
      </c>
      <c r="UAO1336" s="4" t="s">
        <v>2880</v>
      </c>
      <c r="UAP1336" s="4" t="s">
        <v>2880</v>
      </c>
      <c r="UAQ1336" s="4" t="s">
        <v>2880</v>
      </c>
      <c r="UAR1336" s="4" t="s">
        <v>2880</v>
      </c>
      <c r="UAS1336" s="4" t="s">
        <v>2880</v>
      </c>
      <c r="UAT1336" s="4" t="s">
        <v>2880</v>
      </c>
      <c r="UAU1336" s="4" t="s">
        <v>2880</v>
      </c>
      <c r="UAV1336" s="4" t="s">
        <v>2880</v>
      </c>
      <c r="UAW1336" s="4" t="s">
        <v>2880</v>
      </c>
      <c r="UAX1336" s="4" t="s">
        <v>2880</v>
      </c>
      <c r="UAY1336" s="4" t="s">
        <v>2880</v>
      </c>
      <c r="UAZ1336" s="4" t="s">
        <v>2880</v>
      </c>
      <c r="UBA1336" s="4" t="s">
        <v>2880</v>
      </c>
      <c r="UBB1336" s="4" t="s">
        <v>2880</v>
      </c>
      <c r="UBC1336" s="4" t="s">
        <v>2880</v>
      </c>
      <c r="UBD1336" s="4" t="s">
        <v>2880</v>
      </c>
      <c r="UBE1336" s="4" t="s">
        <v>2880</v>
      </c>
      <c r="UBF1336" s="4" t="s">
        <v>2880</v>
      </c>
      <c r="UBG1336" s="4" t="s">
        <v>2880</v>
      </c>
      <c r="UBH1336" s="4" t="s">
        <v>2880</v>
      </c>
      <c r="UBI1336" s="4" t="s">
        <v>2880</v>
      </c>
      <c r="UBJ1336" s="4" t="s">
        <v>2880</v>
      </c>
      <c r="UBK1336" s="4" t="s">
        <v>2880</v>
      </c>
      <c r="UBL1336" s="4" t="s">
        <v>2880</v>
      </c>
      <c r="UBM1336" s="4" t="s">
        <v>2880</v>
      </c>
      <c r="UBN1336" s="4" t="s">
        <v>2880</v>
      </c>
      <c r="UBO1336" s="4" t="s">
        <v>2880</v>
      </c>
      <c r="UBP1336" s="4" t="s">
        <v>2880</v>
      </c>
      <c r="UBQ1336" s="4" t="s">
        <v>2880</v>
      </c>
      <c r="UBR1336" s="4" t="s">
        <v>2880</v>
      </c>
      <c r="UBS1336" s="4" t="s">
        <v>2880</v>
      </c>
      <c r="UBT1336" s="4" t="s">
        <v>2880</v>
      </c>
      <c r="UBU1336" s="4" t="s">
        <v>2880</v>
      </c>
      <c r="UBV1336" s="4" t="s">
        <v>2880</v>
      </c>
      <c r="UBW1336" s="4" t="s">
        <v>2880</v>
      </c>
      <c r="UBX1336" s="4" t="s">
        <v>2880</v>
      </c>
      <c r="UBY1336" s="4" t="s">
        <v>2880</v>
      </c>
      <c r="UBZ1336" s="4" t="s">
        <v>2880</v>
      </c>
      <c r="UCA1336" s="4" t="s">
        <v>2880</v>
      </c>
      <c r="UCB1336" s="4" t="s">
        <v>2880</v>
      </c>
      <c r="UCC1336" s="4" t="s">
        <v>2880</v>
      </c>
      <c r="UCD1336" s="4" t="s">
        <v>2880</v>
      </c>
      <c r="UCE1336" s="4" t="s">
        <v>2880</v>
      </c>
      <c r="UCF1336" s="4" t="s">
        <v>2880</v>
      </c>
      <c r="UCG1336" s="4" t="s">
        <v>2880</v>
      </c>
      <c r="UCH1336" s="4" t="s">
        <v>2880</v>
      </c>
      <c r="UCI1336" s="4" t="s">
        <v>2880</v>
      </c>
      <c r="UCJ1336" s="4" t="s">
        <v>2880</v>
      </c>
      <c r="UCK1336" s="4" t="s">
        <v>2880</v>
      </c>
      <c r="UCL1336" s="4" t="s">
        <v>2880</v>
      </c>
      <c r="UCM1336" s="4" t="s">
        <v>2880</v>
      </c>
      <c r="UCN1336" s="4" t="s">
        <v>2880</v>
      </c>
      <c r="UCO1336" s="4" t="s">
        <v>2880</v>
      </c>
      <c r="UCP1336" s="4" t="s">
        <v>2880</v>
      </c>
      <c r="UCQ1336" s="4" t="s">
        <v>2880</v>
      </c>
      <c r="UCR1336" s="4" t="s">
        <v>2880</v>
      </c>
      <c r="UCS1336" s="4" t="s">
        <v>2880</v>
      </c>
      <c r="UCT1336" s="4" t="s">
        <v>2880</v>
      </c>
      <c r="UCU1336" s="4" t="s">
        <v>2880</v>
      </c>
      <c r="UCV1336" s="4" t="s">
        <v>2880</v>
      </c>
      <c r="UCW1336" s="4" t="s">
        <v>2880</v>
      </c>
      <c r="UCX1336" s="4" t="s">
        <v>2880</v>
      </c>
      <c r="UCY1336" s="4" t="s">
        <v>2880</v>
      </c>
      <c r="UCZ1336" s="4" t="s">
        <v>2880</v>
      </c>
      <c r="UDA1336" s="4" t="s">
        <v>2880</v>
      </c>
      <c r="UDB1336" s="4" t="s">
        <v>2880</v>
      </c>
      <c r="UDC1336" s="4" t="s">
        <v>2880</v>
      </c>
      <c r="UDD1336" s="4" t="s">
        <v>2880</v>
      </c>
      <c r="UDE1336" s="4" t="s">
        <v>2880</v>
      </c>
      <c r="UDF1336" s="4" t="s">
        <v>2880</v>
      </c>
      <c r="UDG1336" s="4" t="s">
        <v>2880</v>
      </c>
      <c r="UDH1336" s="4" t="s">
        <v>2880</v>
      </c>
      <c r="UDI1336" s="4" t="s">
        <v>2880</v>
      </c>
      <c r="UDJ1336" s="4" t="s">
        <v>2880</v>
      </c>
      <c r="UDK1336" s="4" t="s">
        <v>2880</v>
      </c>
      <c r="UDL1336" s="4" t="s">
        <v>2880</v>
      </c>
      <c r="UDM1336" s="4" t="s">
        <v>2880</v>
      </c>
      <c r="UDN1336" s="4" t="s">
        <v>2880</v>
      </c>
      <c r="UDO1336" s="4" t="s">
        <v>2880</v>
      </c>
      <c r="UDP1336" s="4" t="s">
        <v>2880</v>
      </c>
      <c r="UDQ1336" s="4" t="s">
        <v>2880</v>
      </c>
      <c r="UDR1336" s="4" t="s">
        <v>2880</v>
      </c>
      <c r="UDS1336" s="4" t="s">
        <v>2880</v>
      </c>
      <c r="UDT1336" s="4" t="s">
        <v>2880</v>
      </c>
      <c r="UDU1336" s="4" t="s">
        <v>2880</v>
      </c>
      <c r="UDV1336" s="4" t="s">
        <v>2880</v>
      </c>
      <c r="UDW1336" s="4" t="s">
        <v>2880</v>
      </c>
      <c r="UDX1336" s="4" t="s">
        <v>2880</v>
      </c>
      <c r="UDY1336" s="4" t="s">
        <v>2880</v>
      </c>
      <c r="UDZ1336" s="4" t="s">
        <v>2880</v>
      </c>
      <c r="UEA1336" s="4" t="s">
        <v>2880</v>
      </c>
      <c r="UEB1336" s="4" t="s">
        <v>2880</v>
      </c>
      <c r="UEC1336" s="4" t="s">
        <v>2880</v>
      </c>
      <c r="UED1336" s="4" t="s">
        <v>2880</v>
      </c>
      <c r="UEE1336" s="4" t="s">
        <v>2880</v>
      </c>
      <c r="UEF1336" s="4" t="s">
        <v>2880</v>
      </c>
      <c r="UEG1336" s="4" t="s">
        <v>2880</v>
      </c>
      <c r="UEH1336" s="4" t="s">
        <v>2880</v>
      </c>
      <c r="UEI1336" s="4" t="s">
        <v>2880</v>
      </c>
      <c r="UEJ1336" s="4" t="s">
        <v>2880</v>
      </c>
      <c r="UEK1336" s="4" t="s">
        <v>2880</v>
      </c>
      <c r="UEL1336" s="4" t="s">
        <v>2880</v>
      </c>
      <c r="UEM1336" s="4" t="s">
        <v>2880</v>
      </c>
      <c r="UEN1336" s="4" t="s">
        <v>2880</v>
      </c>
      <c r="UEO1336" s="4" t="s">
        <v>2880</v>
      </c>
      <c r="UEP1336" s="4" t="s">
        <v>2880</v>
      </c>
      <c r="UEQ1336" s="4" t="s">
        <v>2880</v>
      </c>
      <c r="UER1336" s="4" t="s">
        <v>2880</v>
      </c>
      <c r="UES1336" s="4" t="s">
        <v>2880</v>
      </c>
      <c r="UET1336" s="4" t="s">
        <v>2880</v>
      </c>
      <c r="UEU1336" s="4" t="s">
        <v>2880</v>
      </c>
      <c r="UEV1336" s="4" t="s">
        <v>2880</v>
      </c>
      <c r="UEW1336" s="4" t="s">
        <v>2880</v>
      </c>
      <c r="UEX1336" s="4" t="s">
        <v>2880</v>
      </c>
      <c r="UEY1336" s="4" t="s">
        <v>2880</v>
      </c>
      <c r="UEZ1336" s="4" t="s">
        <v>2880</v>
      </c>
      <c r="UFA1336" s="4" t="s">
        <v>2880</v>
      </c>
      <c r="UFB1336" s="4" t="s">
        <v>2880</v>
      </c>
      <c r="UFC1336" s="4" t="s">
        <v>2880</v>
      </c>
      <c r="UFD1336" s="4" t="s">
        <v>2880</v>
      </c>
      <c r="UFE1336" s="4" t="s">
        <v>2880</v>
      </c>
      <c r="UFF1336" s="4" t="s">
        <v>2880</v>
      </c>
      <c r="UFG1336" s="4" t="s">
        <v>2880</v>
      </c>
      <c r="UFH1336" s="4" t="s">
        <v>2880</v>
      </c>
      <c r="UFI1336" s="4" t="s">
        <v>2880</v>
      </c>
      <c r="UFJ1336" s="4" t="s">
        <v>2880</v>
      </c>
      <c r="UFK1336" s="4" t="s">
        <v>2880</v>
      </c>
      <c r="UFL1336" s="4" t="s">
        <v>2880</v>
      </c>
      <c r="UFM1336" s="4" t="s">
        <v>2880</v>
      </c>
      <c r="UFN1336" s="4" t="s">
        <v>2880</v>
      </c>
      <c r="UFO1336" s="4" t="s">
        <v>2880</v>
      </c>
      <c r="UFP1336" s="4" t="s">
        <v>2880</v>
      </c>
      <c r="UFQ1336" s="4" t="s">
        <v>2880</v>
      </c>
      <c r="UFR1336" s="4" t="s">
        <v>2880</v>
      </c>
      <c r="UFS1336" s="4" t="s">
        <v>2880</v>
      </c>
      <c r="UFT1336" s="4" t="s">
        <v>2880</v>
      </c>
      <c r="UFU1336" s="4" t="s">
        <v>2880</v>
      </c>
      <c r="UFV1336" s="4" t="s">
        <v>2880</v>
      </c>
      <c r="UFW1336" s="4" t="s">
        <v>2880</v>
      </c>
      <c r="UFX1336" s="4" t="s">
        <v>2880</v>
      </c>
      <c r="UFY1336" s="4" t="s">
        <v>2880</v>
      </c>
      <c r="UFZ1336" s="4" t="s">
        <v>2880</v>
      </c>
      <c r="UGA1336" s="4" t="s">
        <v>2880</v>
      </c>
      <c r="UGB1336" s="4" t="s">
        <v>2880</v>
      </c>
      <c r="UGC1336" s="4" t="s">
        <v>2880</v>
      </c>
      <c r="UGD1336" s="4" t="s">
        <v>2880</v>
      </c>
      <c r="UGE1336" s="4" t="s">
        <v>2880</v>
      </c>
      <c r="UGF1336" s="4" t="s">
        <v>2880</v>
      </c>
      <c r="UGG1336" s="4" t="s">
        <v>2880</v>
      </c>
      <c r="UGH1336" s="4" t="s">
        <v>2880</v>
      </c>
      <c r="UGI1336" s="4" t="s">
        <v>2880</v>
      </c>
      <c r="UGJ1336" s="4" t="s">
        <v>2880</v>
      </c>
      <c r="UGK1336" s="4" t="s">
        <v>2880</v>
      </c>
      <c r="UGL1336" s="4" t="s">
        <v>2880</v>
      </c>
      <c r="UGM1336" s="4" t="s">
        <v>2880</v>
      </c>
      <c r="UGN1336" s="4" t="s">
        <v>2880</v>
      </c>
      <c r="UGO1336" s="4" t="s">
        <v>2880</v>
      </c>
      <c r="UGP1336" s="4" t="s">
        <v>2880</v>
      </c>
      <c r="UGQ1336" s="4" t="s">
        <v>2880</v>
      </c>
      <c r="UGR1336" s="4" t="s">
        <v>2880</v>
      </c>
      <c r="UGS1336" s="4" t="s">
        <v>2880</v>
      </c>
      <c r="UGT1336" s="4" t="s">
        <v>2880</v>
      </c>
      <c r="UGU1336" s="4" t="s">
        <v>2880</v>
      </c>
      <c r="UGV1336" s="4" t="s">
        <v>2880</v>
      </c>
      <c r="UGW1336" s="4" t="s">
        <v>2880</v>
      </c>
      <c r="UGX1336" s="4" t="s">
        <v>2880</v>
      </c>
      <c r="UGY1336" s="4" t="s">
        <v>2880</v>
      </c>
      <c r="UGZ1336" s="4" t="s">
        <v>2880</v>
      </c>
      <c r="UHA1336" s="4" t="s">
        <v>2880</v>
      </c>
      <c r="UHB1336" s="4" t="s">
        <v>2880</v>
      </c>
      <c r="UHC1336" s="4" t="s">
        <v>2880</v>
      </c>
      <c r="UHD1336" s="4" t="s">
        <v>2880</v>
      </c>
      <c r="UHE1336" s="4" t="s">
        <v>2880</v>
      </c>
      <c r="UHF1336" s="4" t="s">
        <v>2880</v>
      </c>
      <c r="UHG1336" s="4" t="s">
        <v>2880</v>
      </c>
      <c r="UHH1336" s="4" t="s">
        <v>2880</v>
      </c>
      <c r="UHI1336" s="4" t="s">
        <v>2880</v>
      </c>
      <c r="UHJ1336" s="4" t="s">
        <v>2880</v>
      </c>
      <c r="UHK1336" s="4" t="s">
        <v>2880</v>
      </c>
      <c r="UHL1336" s="4" t="s">
        <v>2880</v>
      </c>
      <c r="UHM1336" s="4" t="s">
        <v>2880</v>
      </c>
      <c r="UHN1336" s="4" t="s">
        <v>2880</v>
      </c>
      <c r="UHO1336" s="4" t="s">
        <v>2880</v>
      </c>
      <c r="UHP1336" s="4" t="s">
        <v>2880</v>
      </c>
      <c r="UHQ1336" s="4" t="s">
        <v>2880</v>
      </c>
      <c r="UHR1336" s="4" t="s">
        <v>2880</v>
      </c>
      <c r="UHS1336" s="4" t="s">
        <v>2880</v>
      </c>
      <c r="UHT1336" s="4" t="s">
        <v>2880</v>
      </c>
      <c r="UHU1336" s="4" t="s">
        <v>2880</v>
      </c>
      <c r="UHV1336" s="4" t="s">
        <v>2880</v>
      </c>
      <c r="UHW1336" s="4" t="s">
        <v>2880</v>
      </c>
      <c r="UHX1336" s="4" t="s">
        <v>2880</v>
      </c>
      <c r="UHY1336" s="4" t="s">
        <v>2880</v>
      </c>
      <c r="UHZ1336" s="4" t="s">
        <v>2880</v>
      </c>
      <c r="UIA1336" s="4" t="s">
        <v>2880</v>
      </c>
      <c r="UIB1336" s="4" t="s">
        <v>2880</v>
      </c>
      <c r="UIC1336" s="4" t="s">
        <v>2880</v>
      </c>
      <c r="UID1336" s="4" t="s">
        <v>2880</v>
      </c>
      <c r="UIE1336" s="4" t="s">
        <v>2880</v>
      </c>
      <c r="UIF1336" s="4" t="s">
        <v>2880</v>
      </c>
      <c r="UIG1336" s="4" t="s">
        <v>2880</v>
      </c>
      <c r="UIH1336" s="4" t="s">
        <v>2880</v>
      </c>
      <c r="UII1336" s="4" t="s">
        <v>2880</v>
      </c>
      <c r="UIJ1336" s="4" t="s">
        <v>2880</v>
      </c>
      <c r="UIK1336" s="4" t="s">
        <v>2880</v>
      </c>
      <c r="UIL1336" s="4" t="s">
        <v>2880</v>
      </c>
      <c r="UIM1336" s="4" t="s">
        <v>2880</v>
      </c>
      <c r="UIN1336" s="4" t="s">
        <v>2880</v>
      </c>
      <c r="UIO1336" s="4" t="s">
        <v>2880</v>
      </c>
      <c r="UIP1336" s="4" t="s">
        <v>2880</v>
      </c>
      <c r="UIQ1336" s="4" t="s">
        <v>2880</v>
      </c>
      <c r="UIR1336" s="4" t="s">
        <v>2880</v>
      </c>
      <c r="UIS1336" s="4" t="s">
        <v>2880</v>
      </c>
      <c r="UIT1336" s="4" t="s">
        <v>2880</v>
      </c>
      <c r="UIU1336" s="4" t="s">
        <v>2880</v>
      </c>
      <c r="UIV1336" s="4" t="s">
        <v>2880</v>
      </c>
      <c r="UIW1336" s="4" t="s">
        <v>2880</v>
      </c>
      <c r="UIX1336" s="4" t="s">
        <v>2880</v>
      </c>
      <c r="UIY1336" s="4" t="s">
        <v>2880</v>
      </c>
      <c r="UIZ1336" s="4" t="s">
        <v>2880</v>
      </c>
      <c r="UJA1336" s="4" t="s">
        <v>2880</v>
      </c>
      <c r="UJB1336" s="4" t="s">
        <v>2880</v>
      </c>
      <c r="UJC1336" s="4" t="s">
        <v>2880</v>
      </c>
      <c r="UJD1336" s="4" t="s">
        <v>2880</v>
      </c>
      <c r="UJE1336" s="4" t="s">
        <v>2880</v>
      </c>
      <c r="UJF1336" s="4" t="s">
        <v>2880</v>
      </c>
      <c r="UJG1336" s="4" t="s">
        <v>2880</v>
      </c>
      <c r="UJH1336" s="4" t="s">
        <v>2880</v>
      </c>
      <c r="UJI1336" s="4" t="s">
        <v>2880</v>
      </c>
      <c r="UJJ1336" s="4" t="s">
        <v>2880</v>
      </c>
      <c r="UJK1336" s="4" t="s">
        <v>2880</v>
      </c>
      <c r="UJL1336" s="4" t="s">
        <v>2880</v>
      </c>
      <c r="UJM1336" s="4" t="s">
        <v>2880</v>
      </c>
      <c r="UJN1336" s="4" t="s">
        <v>2880</v>
      </c>
      <c r="UJO1336" s="4" t="s">
        <v>2880</v>
      </c>
      <c r="UJP1336" s="4" t="s">
        <v>2880</v>
      </c>
      <c r="UJQ1336" s="4" t="s">
        <v>2880</v>
      </c>
      <c r="UJR1336" s="4" t="s">
        <v>2880</v>
      </c>
      <c r="UJS1336" s="4" t="s">
        <v>2880</v>
      </c>
      <c r="UJT1336" s="4" t="s">
        <v>2880</v>
      </c>
      <c r="UJU1336" s="4" t="s">
        <v>2880</v>
      </c>
      <c r="UJV1336" s="4" t="s">
        <v>2880</v>
      </c>
      <c r="UJW1336" s="4" t="s">
        <v>2880</v>
      </c>
      <c r="UJX1336" s="4" t="s">
        <v>2880</v>
      </c>
      <c r="UJY1336" s="4" t="s">
        <v>2880</v>
      </c>
      <c r="UJZ1336" s="4" t="s">
        <v>2880</v>
      </c>
      <c r="UKA1336" s="4" t="s">
        <v>2880</v>
      </c>
      <c r="UKB1336" s="4" t="s">
        <v>2880</v>
      </c>
      <c r="UKC1336" s="4" t="s">
        <v>2880</v>
      </c>
      <c r="UKD1336" s="4" t="s">
        <v>2880</v>
      </c>
      <c r="UKE1336" s="4" t="s">
        <v>2880</v>
      </c>
      <c r="UKF1336" s="4" t="s">
        <v>2880</v>
      </c>
      <c r="UKG1336" s="4" t="s">
        <v>2880</v>
      </c>
      <c r="UKH1336" s="4" t="s">
        <v>2880</v>
      </c>
      <c r="UKI1336" s="4" t="s">
        <v>2880</v>
      </c>
      <c r="UKJ1336" s="4" t="s">
        <v>2880</v>
      </c>
      <c r="UKK1336" s="4" t="s">
        <v>2880</v>
      </c>
      <c r="UKL1336" s="4" t="s">
        <v>2880</v>
      </c>
      <c r="UKM1336" s="4" t="s">
        <v>2880</v>
      </c>
      <c r="UKN1336" s="4" t="s">
        <v>2880</v>
      </c>
      <c r="UKO1336" s="4" t="s">
        <v>2880</v>
      </c>
      <c r="UKP1336" s="4" t="s">
        <v>2880</v>
      </c>
      <c r="UKQ1336" s="4" t="s">
        <v>2880</v>
      </c>
      <c r="UKR1336" s="4" t="s">
        <v>2880</v>
      </c>
      <c r="UKS1336" s="4" t="s">
        <v>2880</v>
      </c>
      <c r="UKT1336" s="4" t="s">
        <v>2880</v>
      </c>
      <c r="UKU1336" s="4" t="s">
        <v>2880</v>
      </c>
      <c r="UKV1336" s="4" t="s">
        <v>2880</v>
      </c>
      <c r="UKW1336" s="4" t="s">
        <v>2880</v>
      </c>
      <c r="UKX1336" s="4" t="s">
        <v>2880</v>
      </c>
      <c r="UKY1336" s="4" t="s">
        <v>2880</v>
      </c>
      <c r="UKZ1336" s="4" t="s">
        <v>2880</v>
      </c>
      <c r="ULA1336" s="4" t="s">
        <v>2880</v>
      </c>
      <c r="ULB1336" s="4" t="s">
        <v>2880</v>
      </c>
      <c r="ULC1336" s="4" t="s">
        <v>2880</v>
      </c>
      <c r="ULD1336" s="4" t="s">
        <v>2880</v>
      </c>
      <c r="ULE1336" s="4" t="s">
        <v>2880</v>
      </c>
      <c r="ULF1336" s="4" t="s">
        <v>2880</v>
      </c>
      <c r="ULG1336" s="4" t="s">
        <v>2880</v>
      </c>
      <c r="ULH1336" s="4" t="s">
        <v>2880</v>
      </c>
      <c r="ULI1336" s="4" t="s">
        <v>2880</v>
      </c>
      <c r="ULJ1336" s="4" t="s">
        <v>2880</v>
      </c>
      <c r="ULK1336" s="4" t="s">
        <v>2880</v>
      </c>
      <c r="ULL1336" s="4" t="s">
        <v>2880</v>
      </c>
      <c r="ULM1336" s="4" t="s">
        <v>2880</v>
      </c>
      <c r="ULN1336" s="4" t="s">
        <v>2880</v>
      </c>
      <c r="ULO1336" s="4" t="s">
        <v>2880</v>
      </c>
      <c r="ULP1336" s="4" t="s">
        <v>2880</v>
      </c>
      <c r="ULQ1336" s="4" t="s">
        <v>2880</v>
      </c>
      <c r="ULR1336" s="4" t="s">
        <v>2880</v>
      </c>
      <c r="ULS1336" s="4" t="s">
        <v>2880</v>
      </c>
      <c r="ULT1336" s="4" t="s">
        <v>2880</v>
      </c>
      <c r="ULU1336" s="4" t="s">
        <v>2880</v>
      </c>
      <c r="ULV1336" s="4" t="s">
        <v>2880</v>
      </c>
      <c r="ULW1336" s="4" t="s">
        <v>2880</v>
      </c>
      <c r="ULX1336" s="4" t="s">
        <v>2880</v>
      </c>
      <c r="ULY1336" s="4" t="s">
        <v>2880</v>
      </c>
      <c r="ULZ1336" s="4" t="s">
        <v>2880</v>
      </c>
      <c r="UMA1336" s="4" t="s">
        <v>2880</v>
      </c>
      <c r="UMB1336" s="4" t="s">
        <v>2880</v>
      </c>
      <c r="UMC1336" s="4" t="s">
        <v>2880</v>
      </c>
      <c r="UMD1336" s="4" t="s">
        <v>2880</v>
      </c>
      <c r="UME1336" s="4" t="s">
        <v>2880</v>
      </c>
      <c r="UMF1336" s="4" t="s">
        <v>2880</v>
      </c>
      <c r="UMG1336" s="4" t="s">
        <v>2880</v>
      </c>
      <c r="UMH1336" s="4" t="s">
        <v>2880</v>
      </c>
      <c r="UMI1336" s="4" t="s">
        <v>2880</v>
      </c>
      <c r="UMJ1336" s="4" t="s">
        <v>2880</v>
      </c>
      <c r="UMK1336" s="4" t="s">
        <v>2880</v>
      </c>
      <c r="UML1336" s="4" t="s">
        <v>2880</v>
      </c>
      <c r="UMM1336" s="4" t="s">
        <v>2880</v>
      </c>
      <c r="UMN1336" s="4" t="s">
        <v>2880</v>
      </c>
      <c r="UMO1336" s="4" t="s">
        <v>2880</v>
      </c>
      <c r="UMP1336" s="4" t="s">
        <v>2880</v>
      </c>
      <c r="UMQ1336" s="4" t="s">
        <v>2880</v>
      </c>
      <c r="UMR1336" s="4" t="s">
        <v>2880</v>
      </c>
      <c r="UMS1336" s="4" t="s">
        <v>2880</v>
      </c>
      <c r="UMT1336" s="4" t="s">
        <v>2880</v>
      </c>
      <c r="UMU1336" s="4" t="s">
        <v>2880</v>
      </c>
      <c r="UMV1336" s="4" t="s">
        <v>2880</v>
      </c>
      <c r="UMW1336" s="4" t="s">
        <v>2880</v>
      </c>
      <c r="UMX1336" s="4" t="s">
        <v>2880</v>
      </c>
      <c r="UMY1336" s="4" t="s">
        <v>2880</v>
      </c>
      <c r="UMZ1336" s="4" t="s">
        <v>2880</v>
      </c>
      <c r="UNA1336" s="4" t="s">
        <v>2880</v>
      </c>
      <c r="UNB1336" s="4" t="s">
        <v>2880</v>
      </c>
      <c r="UNC1336" s="4" t="s">
        <v>2880</v>
      </c>
      <c r="UND1336" s="4" t="s">
        <v>2880</v>
      </c>
      <c r="UNE1336" s="4" t="s">
        <v>2880</v>
      </c>
      <c r="UNF1336" s="4" t="s">
        <v>2880</v>
      </c>
      <c r="UNG1336" s="4" t="s">
        <v>2880</v>
      </c>
      <c r="UNH1336" s="4" t="s">
        <v>2880</v>
      </c>
      <c r="UNI1336" s="4" t="s">
        <v>2880</v>
      </c>
      <c r="UNJ1336" s="4" t="s">
        <v>2880</v>
      </c>
      <c r="UNK1336" s="4" t="s">
        <v>2880</v>
      </c>
      <c r="UNL1336" s="4" t="s">
        <v>2880</v>
      </c>
      <c r="UNM1336" s="4" t="s">
        <v>2880</v>
      </c>
      <c r="UNN1336" s="4" t="s">
        <v>2880</v>
      </c>
      <c r="UNO1336" s="4" t="s">
        <v>2880</v>
      </c>
      <c r="UNP1336" s="4" t="s">
        <v>2880</v>
      </c>
      <c r="UNQ1336" s="4" t="s">
        <v>2880</v>
      </c>
      <c r="UNR1336" s="4" t="s">
        <v>2880</v>
      </c>
      <c r="UNS1336" s="4" t="s">
        <v>2880</v>
      </c>
      <c r="UNT1336" s="4" t="s">
        <v>2880</v>
      </c>
      <c r="UNU1336" s="4" t="s">
        <v>2880</v>
      </c>
      <c r="UNV1336" s="4" t="s">
        <v>2880</v>
      </c>
      <c r="UNW1336" s="4" t="s">
        <v>2880</v>
      </c>
      <c r="UNX1336" s="4" t="s">
        <v>2880</v>
      </c>
      <c r="UNY1336" s="4" t="s">
        <v>2880</v>
      </c>
      <c r="UNZ1336" s="4" t="s">
        <v>2880</v>
      </c>
      <c r="UOA1336" s="4" t="s">
        <v>2880</v>
      </c>
      <c r="UOB1336" s="4" t="s">
        <v>2880</v>
      </c>
      <c r="UOC1336" s="4" t="s">
        <v>2880</v>
      </c>
      <c r="UOD1336" s="4" t="s">
        <v>2880</v>
      </c>
      <c r="UOE1336" s="4" t="s">
        <v>2880</v>
      </c>
      <c r="UOF1336" s="4" t="s">
        <v>2880</v>
      </c>
      <c r="UOG1336" s="4" t="s">
        <v>2880</v>
      </c>
      <c r="UOH1336" s="4" t="s">
        <v>2880</v>
      </c>
      <c r="UOI1336" s="4" t="s">
        <v>2880</v>
      </c>
      <c r="UOJ1336" s="4" t="s">
        <v>2880</v>
      </c>
      <c r="UOK1336" s="4" t="s">
        <v>2880</v>
      </c>
      <c r="UOL1336" s="4" t="s">
        <v>2880</v>
      </c>
      <c r="UOM1336" s="4" t="s">
        <v>2880</v>
      </c>
      <c r="UON1336" s="4" t="s">
        <v>2880</v>
      </c>
      <c r="UOO1336" s="4" t="s">
        <v>2880</v>
      </c>
      <c r="UOP1336" s="4" t="s">
        <v>2880</v>
      </c>
      <c r="UOQ1336" s="4" t="s">
        <v>2880</v>
      </c>
      <c r="UOR1336" s="4" t="s">
        <v>2880</v>
      </c>
      <c r="UOS1336" s="4" t="s">
        <v>2880</v>
      </c>
      <c r="UOT1336" s="4" t="s">
        <v>2880</v>
      </c>
      <c r="UOU1336" s="4" t="s">
        <v>2880</v>
      </c>
      <c r="UOV1336" s="4" t="s">
        <v>2880</v>
      </c>
      <c r="UOW1336" s="4" t="s">
        <v>2880</v>
      </c>
      <c r="UOX1336" s="4" t="s">
        <v>2880</v>
      </c>
      <c r="UOY1336" s="4" t="s">
        <v>2880</v>
      </c>
      <c r="UOZ1336" s="4" t="s">
        <v>2880</v>
      </c>
      <c r="UPA1336" s="4" t="s">
        <v>2880</v>
      </c>
      <c r="UPB1336" s="4" t="s">
        <v>2880</v>
      </c>
      <c r="UPC1336" s="4" t="s">
        <v>2880</v>
      </c>
      <c r="UPD1336" s="4" t="s">
        <v>2880</v>
      </c>
      <c r="UPE1336" s="4" t="s">
        <v>2880</v>
      </c>
      <c r="UPF1336" s="4" t="s">
        <v>2880</v>
      </c>
      <c r="UPG1336" s="4" t="s">
        <v>2880</v>
      </c>
      <c r="UPH1336" s="4" t="s">
        <v>2880</v>
      </c>
      <c r="UPI1336" s="4" t="s">
        <v>2880</v>
      </c>
      <c r="UPJ1336" s="4" t="s">
        <v>2880</v>
      </c>
      <c r="UPK1336" s="4" t="s">
        <v>2880</v>
      </c>
      <c r="UPL1336" s="4" t="s">
        <v>2880</v>
      </c>
      <c r="UPM1336" s="4" t="s">
        <v>2880</v>
      </c>
      <c r="UPN1336" s="4" t="s">
        <v>2880</v>
      </c>
      <c r="UPO1336" s="4" t="s">
        <v>2880</v>
      </c>
      <c r="UPP1336" s="4" t="s">
        <v>2880</v>
      </c>
      <c r="UPQ1336" s="4" t="s">
        <v>2880</v>
      </c>
      <c r="UPR1336" s="4" t="s">
        <v>2880</v>
      </c>
      <c r="UPS1336" s="4" t="s">
        <v>2880</v>
      </c>
      <c r="UPT1336" s="4" t="s">
        <v>2880</v>
      </c>
      <c r="UPU1336" s="4" t="s">
        <v>2880</v>
      </c>
      <c r="UPV1336" s="4" t="s">
        <v>2880</v>
      </c>
      <c r="UPW1336" s="4" t="s">
        <v>2880</v>
      </c>
      <c r="UPX1336" s="4" t="s">
        <v>2880</v>
      </c>
      <c r="UPY1336" s="4" t="s">
        <v>2880</v>
      </c>
      <c r="UPZ1336" s="4" t="s">
        <v>2880</v>
      </c>
      <c r="UQA1336" s="4" t="s">
        <v>2880</v>
      </c>
      <c r="UQB1336" s="4" t="s">
        <v>2880</v>
      </c>
      <c r="UQC1336" s="4" t="s">
        <v>2880</v>
      </c>
      <c r="UQD1336" s="4" t="s">
        <v>2880</v>
      </c>
      <c r="UQE1336" s="4" t="s">
        <v>2880</v>
      </c>
      <c r="UQF1336" s="4" t="s">
        <v>2880</v>
      </c>
      <c r="UQG1336" s="4" t="s">
        <v>2880</v>
      </c>
      <c r="UQH1336" s="4" t="s">
        <v>2880</v>
      </c>
      <c r="UQI1336" s="4" t="s">
        <v>2880</v>
      </c>
      <c r="UQJ1336" s="4" t="s">
        <v>2880</v>
      </c>
      <c r="UQK1336" s="4" t="s">
        <v>2880</v>
      </c>
      <c r="UQL1336" s="4" t="s">
        <v>2880</v>
      </c>
      <c r="UQM1336" s="4" t="s">
        <v>2880</v>
      </c>
      <c r="UQN1336" s="4" t="s">
        <v>2880</v>
      </c>
      <c r="UQO1336" s="4" t="s">
        <v>2880</v>
      </c>
      <c r="UQP1336" s="4" t="s">
        <v>2880</v>
      </c>
      <c r="UQQ1336" s="4" t="s">
        <v>2880</v>
      </c>
      <c r="UQR1336" s="4" t="s">
        <v>2880</v>
      </c>
      <c r="UQS1336" s="4" t="s">
        <v>2880</v>
      </c>
      <c r="UQT1336" s="4" t="s">
        <v>2880</v>
      </c>
      <c r="UQU1336" s="4" t="s">
        <v>2880</v>
      </c>
      <c r="UQV1336" s="4" t="s">
        <v>2880</v>
      </c>
      <c r="UQW1336" s="4" t="s">
        <v>2880</v>
      </c>
      <c r="UQX1336" s="4" t="s">
        <v>2880</v>
      </c>
      <c r="UQY1336" s="4" t="s">
        <v>2880</v>
      </c>
      <c r="UQZ1336" s="4" t="s">
        <v>2880</v>
      </c>
      <c r="URA1336" s="4" t="s">
        <v>2880</v>
      </c>
      <c r="URB1336" s="4" t="s">
        <v>2880</v>
      </c>
      <c r="URC1336" s="4" t="s">
        <v>2880</v>
      </c>
      <c r="URD1336" s="4" t="s">
        <v>2880</v>
      </c>
      <c r="URE1336" s="4" t="s">
        <v>2880</v>
      </c>
      <c r="URF1336" s="4" t="s">
        <v>2880</v>
      </c>
      <c r="URG1336" s="4" t="s">
        <v>2880</v>
      </c>
      <c r="URH1336" s="4" t="s">
        <v>2880</v>
      </c>
      <c r="URI1336" s="4" t="s">
        <v>2880</v>
      </c>
      <c r="URJ1336" s="4" t="s">
        <v>2880</v>
      </c>
      <c r="URK1336" s="4" t="s">
        <v>2880</v>
      </c>
      <c r="URL1336" s="4" t="s">
        <v>2880</v>
      </c>
      <c r="URM1336" s="4" t="s">
        <v>2880</v>
      </c>
      <c r="URN1336" s="4" t="s">
        <v>2880</v>
      </c>
      <c r="URO1336" s="4" t="s">
        <v>2880</v>
      </c>
      <c r="URP1336" s="4" t="s">
        <v>2880</v>
      </c>
      <c r="URQ1336" s="4" t="s">
        <v>2880</v>
      </c>
      <c r="URR1336" s="4" t="s">
        <v>2880</v>
      </c>
      <c r="URS1336" s="4" t="s">
        <v>2880</v>
      </c>
      <c r="URT1336" s="4" t="s">
        <v>2880</v>
      </c>
      <c r="URU1336" s="4" t="s">
        <v>2880</v>
      </c>
      <c r="URV1336" s="4" t="s">
        <v>2880</v>
      </c>
      <c r="URW1336" s="4" t="s">
        <v>2880</v>
      </c>
      <c r="URX1336" s="4" t="s">
        <v>2880</v>
      </c>
      <c r="URY1336" s="4" t="s">
        <v>2880</v>
      </c>
      <c r="URZ1336" s="4" t="s">
        <v>2880</v>
      </c>
      <c r="USA1336" s="4" t="s">
        <v>2880</v>
      </c>
      <c r="USB1336" s="4" t="s">
        <v>2880</v>
      </c>
      <c r="USC1336" s="4" t="s">
        <v>2880</v>
      </c>
      <c r="USD1336" s="4" t="s">
        <v>2880</v>
      </c>
      <c r="USE1336" s="4" t="s">
        <v>2880</v>
      </c>
      <c r="USF1336" s="4" t="s">
        <v>2880</v>
      </c>
      <c r="USG1336" s="4" t="s">
        <v>2880</v>
      </c>
      <c r="USH1336" s="4" t="s">
        <v>2880</v>
      </c>
      <c r="USI1336" s="4" t="s">
        <v>2880</v>
      </c>
      <c r="USJ1336" s="4" t="s">
        <v>2880</v>
      </c>
      <c r="USK1336" s="4" t="s">
        <v>2880</v>
      </c>
      <c r="USL1336" s="4" t="s">
        <v>2880</v>
      </c>
      <c r="USM1336" s="4" t="s">
        <v>2880</v>
      </c>
      <c r="USN1336" s="4" t="s">
        <v>2880</v>
      </c>
      <c r="USO1336" s="4" t="s">
        <v>2880</v>
      </c>
      <c r="USP1336" s="4" t="s">
        <v>2880</v>
      </c>
      <c r="USQ1336" s="4" t="s">
        <v>2880</v>
      </c>
      <c r="USR1336" s="4" t="s">
        <v>2880</v>
      </c>
      <c r="USS1336" s="4" t="s">
        <v>2880</v>
      </c>
      <c r="UST1336" s="4" t="s">
        <v>2880</v>
      </c>
      <c r="USU1336" s="4" t="s">
        <v>2880</v>
      </c>
      <c r="USV1336" s="4" t="s">
        <v>2880</v>
      </c>
      <c r="USW1336" s="4" t="s">
        <v>2880</v>
      </c>
      <c r="USX1336" s="4" t="s">
        <v>2880</v>
      </c>
      <c r="USY1336" s="4" t="s">
        <v>2880</v>
      </c>
      <c r="USZ1336" s="4" t="s">
        <v>2880</v>
      </c>
      <c r="UTA1336" s="4" t="s">
        <v>2880</v>
      </c>
      <c r="UTB1336" s="4" t="s">
        <v>2880</v>
      </c>
      <c r="UTC1336" s="4" t="s">
        <v>2880</v>
      </c>
      <c r="UTD1336" s="4" t="s">
        <v>2880</v>
      </c>
      <c r="UTE1336" s="4" t="s">
        <v>2880</v>
      </c>
      <c r="UTF1336" s="4" t="s">
        <v>2880</v>
      </c>
      <c r="UTG1336" s="4" t="s">
        <v>2880</v>
      </c>
      <c r="UTH1336" s="4" t="s">
        <v>2880</v>
      </c>
      <c r="UTI1336" s="4" t="s">
        <v>2880</v>
      </c>
      <c r="UTJ1336" s="4" t="s">
        <v>2880</v>
      </c>
      <c r="UTK1336" s="4" t="s">
        <v>2880</v>
      </c>
      <c r="UTL1336" s="4" t="s">
        <v>2880</v>
      </c>
      <c r="UTM1336" s="4" t="s">
        <v>2880</v>
      </c>
      <c r="UTN1336" s="4" t="s">
        <v>2880</v>
      </c>
      <c r="UTO1336" s="4" t="s">
        <v>2880</v>
      </c>
      <c r="UTP1336" s="4" t="s">
        <v>2880</v>
      </c>
      <c r="UTQ1336" s="4" t="s">
        <v>2880</v>
      </c>
      <c r="UTR1336" s="4" t="s">
        <v>2880</v>
      </c>
      <c r="UTS1336" s="4" t="s">
        <v>2880</v>
      </c>
      <c r="UTT1336" s="4" t="s">
        <v>2880</v>
      </c>
      <c r="UTU1336" s="4" t="s">
        <v>2880</v>
      </c>
      <c r="UTV1336" s="4" t="s">
        <v>2880</v>
      </c>
      <c r="UTW1336" s="4" t="s">
        <v>2880</v>
      </c>
      <c r="UTX1336" s="4" t="s">
        <v>2880</v>
      </c>
      <c r="UTY1336" s="4" t="s">
        <v>2880</v>
      </c>
      <c r="UTZ1336" s="4" t="s">
        <v>2880</v>
      </c>
      <c r="UUA1336" s="4" t="s">
        <v>2880</v>
      </c>
      <c r="UUB1336" s="4" t="s">
        <v>2880</v>
      </c>
      <c r="UUC1336" s="4" t="s">
        <v>2880</v>
      </c>
      <c r="UUD1336" s="4" t="s">
        <v>2880</v>
      </c>
      <c r="UUE1336" s="4" t="s">
        <v>2880</v>
      </c>
      <c r="UUF1336" s="4" t="s">
        <v>2880</v>
      </c>
      <c r="UUG1336" s="4" t="s">
        <v>2880</v>
      </c>
      <c r="UUH1336" s="4" t="s">
        <v>2880</v>
      </c>
      <c r="UUI1336" s="4" t="s">
        <v>2880</v>
      </c>
      <c r="UUJ1336" s="4" t="s">
        <v>2880</v>
      </c>
      <c r="UUK1336" s="4" t="s">
        <v>2880</v>
      </c>
      <c r="UUL1336" s="4" t="s">
        <v>2880</v>
      </c>
      <c r="UUM1336" s="4" t="s">
        <v>2880</v>
      </c>
      <c r="UUN1336" s="4" t="s">
        <v>2880</v>
      </c>
      <c r="UUO1336" s="4" t="s">
        <v>2880</v>
      </c>
      <c r="UUP1336" s="4" t="s">
        <v>2880</v>
      </c>
      <c r="UUQ1336" s="4" t="s">
        <v>2880</v>
      </c>
      <c r="UUR1336" s="4" t="s">
        <v>2880</v>
      </c>
      <c r="UUS1336" s="4" t="s">
        <v>2880</v>
      </c>
      <c r="UUT1336" s="4" t="s">
        <v>2880</v>
      </c>
      <c r="UUU1336" s="4" t="s">
        <v>2880</v>
      </c>
      <c r="UUV1336" s="4" t="s">
        <v>2880</v>
      </c>
      <c r="UUW1336" s="4" t="s">
        <v>2880</v>
      </c>
      <c r="UUX1336" s="4" t="s">
        <v>2880</v>
      </c>
      <c r="UUY1336" s="4" t="s">
        <v>2880</v>
      </c>
      <c r="UUZ1336" s="4" t="s">
        <v>2880</v>
      </c>
      <c r="UVA1336" s="4" t="s">
        <v>2880</v>
      </c>
      <c r="UVB1336" s="4" t="s">
        <v>2880</v>
      </c>
      <c r="UVC1336" s="4" t="s">
        <v>2880</v>
      </c>
      <c r="UVD1336" s="4" t="s">
        <v>2880</v>
      </c>
      <c r="UVE1336" s="4" t="s">
        <v>2880</v>
      </c>
      <c r="UVF1336" s="4" t="s">
        <v>2880</v>
      </c>
      <c r="UVG1336" s="4" t="s">
        <v>2880</v>
      </c>
      <c r="UVH1336" s="4" t="s">
        <v>2880</v>
      </c>
      <c r="UVI1336" s="4" t="s">
        <v>2880</v>
      </c>
      <c r="UVJ1336" s="4" t="s">
        <v>2880</v>
      </c>
      <c r="UVK1336" s="4" t="s">
        <v>2880</v>
      </c>
      <c r="UVL1336" s="4" t="s">
        <v>2880</v>
      </c>
      <c r="UVM1336" s="4" t="s">
        <v>2880</v>
      </c>
      <c r="UVN1336" s="4" t="s">
        <v>2880</v>
      </c>
      <c r="UVO1336" s="4" t="s">
        <v>2880</v>
      </c>
      <c r="UVP1336" s="4" t="s">
        <v>2880</v>
      </c>
      <c r="UVQ1336" s="4" t="s">
        <v>2880</v>
      </c>
      <c r="UVR1336" s="4" t="s">
        <v>2880</v>
      </c>
      <c r="UVS1336" s="4" t="s">
        <v>2880</v>
      </c>
      <c r="UVT1336" s="4" t="s">
        <v>2880</v>
      </c>
      <c r="UVU1336" s="4" t="s">
        <v>2880</v>
      </c>
      <c r="UVV1336" s="4" t="s">
        <v>2880</v>
      </c>
      <c r="UVW1336" s="4" t="s">
        <v>2880</v>
      </c>
      <c r="UVX1336" s="4" t="s">
        <v>2880</v>
      </c>
      <c r="UVY1336" s="4" t="s">
        <v>2880</v>
      </c>
      <c r="UVZ1336" s="4" t="s">
        <v>2880</v>
      </c>
      <c r="UWA1336" s="4" t="s">
        <v>2880</v>
      </c>
      <c r="UWB1336" s="4" t="s">
        <v>2880</v>
      </c>
      <c r="UWC1336" s="4" t="s">
        <v>2880</v>
      </c>
      <c r="UWD1336" s="4" t="s">
        <v>2880</v>
      </c>
      <c r="UWE1336" s="4" t="s">
        <v>2880</v>
      </c>
      <c r="UWF1336" s="4" t="s">
        <v>2880</v>
      </c>
      <c r="UWG1336" s="4" t="s">
        <v>2880</v>
      </c>
      <c r="UWH1336" s="4" t="s">
        <v>2880</v>
      </c>
      <c r="UWI1336" s="4" t="s">
        <v>2880</v>
      </c>
      <c r="UWJ1336" s="4" t="s">
        <v>2880</v>
      </c>
      <c r="UWK1336" s="4" t="s">
        <v>2880</v>
      </c>
      <c r="UWL1336" s="4" t="s">
        <v>2880</v>
      </c>
      <c r="UWM1336" s="4" t="s">
        <v>2880</v>
      </c>
      <c r="UWN1336" s="4" t="s">
        <v>2880</v>
      </c>
      <c r="UWO1336" s="4" t="s">
        <v>2880</v>
      </c>
      <c r="UWP1336" s="4" t="s">
        <v>2880</v>
      </c>
      <c r="UWQ1336" s="4" t="s">
        <v>2880</v>
      </c>
      <c r="UWR1336" s="4" t="s">
        <v>2880</v>
      </c>
      <c r="UWS1336" s="4" t="s">
        <v>2880</v>
      </c>
      <c r="UWT1336" s="4" t="s">
        <v>2880</v>
      </c>
      <c r="UWU1336" s="4" t="s">
        <v>2880</v>
      </c>
      <c r="UWV1336" s="4" t="s">
        <v>2880</v>
      </c>
      <c r="UWW1336" s="4" t="s">
        <v>2880</v>
      </c>
      <c r="UWX1336" s="4" t="s">
        <v>2880</v>
      </c>
      <c r="UWY1336" s="4" t="s">
        <v>2880</v>
      </c>
      <c r="UWZ1336" s="4" t="s">
        <v>2880</v>
      </c>
      <c r="UXA1336" s="4" t="s">
        <v>2880</v>
      </c>
      <c r="UXB1336" s="4" t="s">
        <v>2880</v>
      </c>
      <c r="UXC1336" s="4" t="s">
        <v>2880</v>
      </c>
      <c r="UXD1336" s="4" t="s">
        <v>2880</v>
      </c>
      <c r="UXE1336" s="4" t="s">
        <v>2880</v>
      </c>
      <c r="UXF1336" s="4" t="s">
        <v>2880</v>
      </c>
      <c r="UXG1336" s="4" t="s">
        <v>2880</v>
      </c>
      <c r="UXH1336" s="4" t="s">
        <v>2880</v>
      </c>
      <c r="UXI1336" s="4" t="s">
        <v>2880</v>
      </c>
      <c r="UXJ1336" s="4" t="s">
        <v>2880</v>
      </c>
      <c r="UXK1336" s="4" t="s">
        <v>2880</v>
      </c>
      <c r="UXL1336" s="4" t="s">
        <v>2880</v>
      </c>
      <c r="UXM1336" s="4" t="s">
        <v>2880</v>
      </c>
      <c r="UXN1336" s="4" t="s">
        <v>2880</v>
      </c>
      <c r="UXO1336" s="4" t="s">
        <v>2880</v>
      </c>
      <c r="UXP1336" s="4" t="s">
        <v>2880</v>
      </c>
      <c r="UXQ1336" s="4" t="s">
        <v>2880</v>
      </c>
      <c r="UXR1336" s="4" t="s">
        <v>2880</v>
      </c>
      <c r="UXS1336" s="4" t="s">
        <v>2880</v>
      </c>
      <c r="UXT1336" s="4" t="s">
        <v>2880</v>
      </c>
      <c r="UXU1336" s="4" t="s">
        <v>2880</v>
      </c>
      <c r="UXV1336" s="4" t="s">
        <v>2880</v>
      </c>
      <c r="UXW1336" s="4" t="s">
        <v>2880</v>
      </c>
      <c r="UXX1336" s="4" t="s">
        <v>2880</v>
      </c>
      <c r="UXY1336" s="4" t="s">
        <v>2880</v>
      </c>
      <c r="UXZ1336" s="4" t="s">
        <v>2880</v>
      </c>
      <c r="UYA1336" s="4" t="s">
        <v>2880</v>
      </c>
      <c r="UYB1336" s="4" t="s">
        <v>2880</v>
      </c>
      <c r="UYC1336" s="4" t="s">
        <v>2880</v>
      </c>
      <c r="UYD1336" s="4" t="s">
        <v>2880</v>
      </c>
      <c r="UYE1336" s="4" t="s">
        <v>2880</v>
      </c>
      <c r="UYF1336" s="4" t="s">
        <v>2880</v>
      </c>
      <c r="UYG1336" s="4" t="s">
        <v>2880</v>
      </c>
      <c r="UYH1336" s="4" t="s">
        <v>2880</v>
      </c>
      <c r="UYI1336" s="4" t="s">
        <v>2880</v>
      </c>
      <c r="UYJ1336" s="4" t="s">
        <v>2880</v>
      </c>
      <c r="UYK1336" s="4" t="s">
        <v>2880</v>
      </c>
      <c r="UYL1336" s="4" t="s">
        <v>2880</v>
      </c>
      <c r="UYM1336" s="4" t="s">
        <v>2880</v>
      </c>
      <c r="UYN1336" s="4" t="s">
        <v>2880</v>
      </c>
      <c r="UYO1336" s="4" t="s">
        <v>2880</v>
      </c>
      <c r="UYP1336" s="4" t="s">
        <v>2880</v>
      </c>
      <c r="UYQ1336" s="4" t="s">
        <v>2880</v>
      </c>
      <c r="UYR1336" s="4" t="s">
        <v>2880</v>
      </c>
      <c r="UYS1336" s="4" t="s">
        <v>2880</v>
      </c>
      <c r="UYT1336" s="4" t="s">
        <v>2880</v>
      </c>
      <c r="UYU1336" s="4" t="s">
        <v>2880</v>
      </c>
      <c r="UYV1336" s="4" t="s">
        <v>2880</v>
      </c>
      <c r="UYW1336" s="4" t="s">
        <v>2880</v>
      </c>
      <c r="UYX1336" s="4" t="s">
        <v>2880</v>
      </c>
      <c r="UYY1336" s="4" t="s">
        <v>2880</v>
      </c>
      <c r="UYZ1336" s="4" t="s">
        <v>2880</v>
      </c>
      <c r="UZA1336" s="4" t="s">
        <v>2880</v>
      </c>
      <c r="UZB1336" s="4" t="s">
        <v>2880</v>
      </c>
      <c r="UZC1336" s="4" t="s">
        <v>2880</v>
      </c>
      <c r="UZD1336" s="4" t="s">
        <v>2880</v>
      </c>
      <c r="UZE1336" s="4" t="s">
        <v>2880</v>
      </c>
      <c r="UZF1336" s="4" t="s">
        <v>2880</v>
      </c>
      <c r="UZG1336" s="4" t="s">
        <v>2880</v>
      </c>
      <c r="UZH1336" s="4" t="s">
        <v>2880</v>
      </c>
      <c r="UZI1336" s="4" t="s">
        <v>2880</v>
      </c>
      <c r="UZJ1336" s="4" t="s">
        <v>2880</v>
      </c>
      <c r="UZK1336" s="4" t="s">
        <v>2880</v>
      </c>
      <c r="UZL1336" s="4" t="s">
        <v>2880</v>
      </c>
      <c r="UZM1336" s="4" t="s">
        <v>2880</v>
      </c>
      <c r="UZN1336" s="4" t="s">
        <v>2880</v>
      </c>
      <c r="UZO1336" s="4" t="s">
        <v>2880</v>
      </c>
      <c r="UZP1336" s="4" t="s">
        <v>2880</v>
      </c>
      <c r="UZQ1336" s="4" t="s">
        <v>2880</v>
      </c>
      <c r="UZR1336" s="4" t="s">
        <v>2880</v>
      </c>
      <c r="UZS1336" s="4" t="s">
        <v>2880</v>
      </c>
      <c r="UZT1336" s="4" t="s">
        <v>2880</v>
      </c>
      <c r="UZU1336" s="4" t="s">
        <v>2880</v>
      </c>
      <c r="UZV1336" s="4" t="s">
        <v>2880</v>
      </c>
      <c r="UZW1336" s="4" t="s">
        <v>2880</v>
      </c>
      <c r="UZX1336" s="4" t="s">
        <v>2880</v>
      </c>
      <c r="UZY1336" s="4" t="s">
        <v>2880</v>
      </c>
      <c r="UZZ1336" s="4" t="s">
        <v>2880</v>
      </c>
      <c r="VAA1336" s="4" t="s">
        <v>2880</v>
      </c>
      <c r="VAB1336" s="4" t="s">
        <v>2880</v>
      </c>
      <c r="VAC1336" s="4" t="s">
        <v>2880</v>
      </c>
      <c r="VAD1336" s="4" t="s">
        <v>2880</v>
      </c>
      <c r="VAE1336" s="4" t="s">
        <v>2880</v>
      </c>
      <c r="VAF1336" s="4" t="s">
        <v>2880</v>
      </c>
      <c r="VAG1336" s="4" t="s">
        <v>2880</v>
      </c>
      <c r="VAH1336" s="4" t="s">
        <v>2880</v>
      </c>
      <c r="VAI1336" s="4" t="s">
        <v>2880</v>
      </c>
      <c r="VAJ1336" s="4" t="s">
        <v>2880</v>
      </c>
      <c r="VAK1336" s="4" t="s">
        <v>2880</v>
      </c>
      <c r="VAL1336" s="4" t="s">
        <v>2880</v>
      </c>
      <c r="VAM1336" s="4" t="s">
        <v>2880</v>
      </c>
      <c r="VAN1336" s="4" t="s">
        <v>2880</v>
      </c>
      <c r="VAO1336" s="4" t="s">
        <v>2880</v>
      </c>
      <c r="VAP1336" s="4" t="s">
        <v>2880</v>
      </c>
      <c r="VAQ1336" s="4" t="s">
        <v>2880</v>
      </c>
      <c r="VAR1336" s="4" t="s">
        <v>2880</v>
      </c>
      <c r="VAS1336" s="4" t="s">
        <v>2880</v>
      </c>
      <c r="VAT1336" s="4" t="s">
        <v>2880</v>
      </c>
      <c r="VAU1336" s="4" t="s">
        <v>2880</v>
      </c>
      <c r="VAV1336" s="4" t="s">
        <v>2880</v>
      </c>
      <c r="VAW1336" s="4" t="s">
        <v>2880</v>
      </c>
      <c r="VAX1336" s="4" t="s">
        <v>2880</v>
      </c>
      <c r="VAY1336" s="4" t="s">
        <v>2880</v>
      </c>
      <c r="VAZ1336" s="4" t="s">
        <v>2880</v>
      </c>
      <c r="VBA1336" s="4" t="s">
        <v>2880</v>
      </c>
      <c r="VBB1336" s="4" t="s">
        <v>2880</v>
      </c>
      <c r="VBC1336" s="4" t="s">
        <v>2880</v>
      </c>
      <c r="VBD1336" s="4" t="s">
        <v>2880</v>
      </c>
      <c r="VBE1336" s="4" t="s">
        <v>2880</v>
      </c>
      <c r="VBF1336" s="4" t="s">
        <v>2880</v>
      </c>
      <c r="VBG1336" s="4" t="s">
        <v>2880</v>
      </c>
      <c r="VBH1336" s="4" t="s">
        <v>2880</v>
      </c>
      <c r="VBI1336" s="4" t="s">
        <v>2880</v>
      </c>
      <c r="VBJ1336" s="4" t="s">
        <v>2880</v>
      </c>
      <c r="VBK1336" s="4" t="s">
        <v>2880</v>
      </c>
      <c r="VBL1336" s="4" t="s">
        <v>2880</v>
      </c>
      <c r="VBM1336" s="4" t="s">
        <v>2880</v>
      </c>
      <c r="VBN1336" s="4" t="s">
        <v>2880</v>
      </c>
      <c r="VBO1336" s="4" t="s">
        <v>2880</v>
      </c>
      <c r="VBP1336" s="4" t="s">
        <v>2880</v>
      </c>
      <c r="VBQ1336" s="4" t="s">
        <v>2880</v>
      </c>
      <c r="VBR1336" s="4" t="s">
        <v>2880</v>
      </c>
      <c r="VBS1336" s="4" t="s">
        <v>2880</v>
      </c>
      <c r="VBT1336" s="4" t="s">
        <v>2880</v>
      </c>
      <c r="VBU1336" s="4" t="s">
        <v>2880</v>
      </c>
      <c r="VBV1336" s="4" t="s">
        <v>2880</v>
      </c>
      <c r="VBW1336" s="4" t="s">
        <v>2880</v>
      </c>
      <c r="VBX1336" s="4" t="s">
        <v>2880</v>
      </c>
      <c r="VBY1336" s="4" t="s">
        <v>2880</v>
      </c>
      <c r="VBZ1336" s="4" t="s">
        <v>2880</v>
      </c>
      <c r="VCA1336" s="4" t="s">
        <v>2880</v>
      </c>
      <c r="VCB1336" s="4" t="s">
        <v>2880</v>
      </c>
      <c r="VCC1336" s="4" t="s">
        <v>2880</v>
      </c>
      <c r="VCD1336" s="4" t="s">
        <v>2880</v>
      </c>
      <c r="VCE1336" s="4" t="s">
        <v>2880</v>
      </c>
      <c r="VCF1336" s="4" t="s">
        <v>2880</v>
      </c>
      <c r="VCG1336" s="4" t="s">
        <v>2880</v>
      </c>
      <c r="VCH1336" s="4" t="s">
        <v>2880</v>
      </c>
      <c r="VCI1336" s="4" t="s">
        <v>2880</v>
      </c>
      <c r="VCJ1336" s="4" t="s">
        <v>2880</v>
      </c>
      <c r="VCK1336" s="4" t="s">
        <v>2880</v>
      </c>
      <c r="VCL1336" s="4" t="s">
        <v>2880</v>
      </c>
      <c r="VCM1336" s="4" t="s">
        <v>2880</v>
      </c>
      <c r="VCN1336" s="4" t="s">
        <v>2880</v>
      </c>
      <c r="VCO1336" s="4" t="s">
        <v>2880</v>
      </c>
      <c r="VCP1336" s="4" t="s">
        <v>2880</v>
      </c>
      <c r="VCQ1336" s="4" t="s">
        <v>2880</v>
      </c>
      <c r="VCR1336" s="4" t="s">
        <v>2880</v>
      </c>
      <c r="VCS1336" s="4" t="s">
        <v>2880</v>
      </c>
      <c r="VCT1336" s="4" t="s">
        <v>2880</v>
      </c>
      <c r="VCU1336" s="4" t="s">
        <v>2880</v>
      </c>
      <c r="VCV1336" s="4" t="s">
        <v>2880</v>
      </c>
      <c r="VCW1336" s="4" t="s">
        <v>2880</v>
      </c>
      <c r="VCX1336" s="4" t="s">
        <v>2880</v>
      </c>
      <c r="VCY1336" s="4" t="s">
        <v>2880</v>
      </c>
      <c r="VCZ1336" s="4" t="s">
        <v>2880</v>
      </c>
      <c r="VDA1336" s="4" t="s">
        <v>2880</v>
      </c>
      <c r="VDB1336" s="4" t="s">
        <v>2880</v>
      </c>
      <c r="VDC1336" s="4" t="s">
        <v>2880</v>
      </c>
      <c r="VDD1336" s="4" t="s">
        <v>2880</v>
      </c>
      <c r="VDE1336" s="4" t="s">
        <v>2880</v>
      </c>
      <c r="VDF1336" s="4" t="s">
        <v>2880</v>
      </c>
      <c r="VDG1336" s="4" t="s">
        <v>2880</v>
      </c>
      <c r="VDH1336" s="4" t="s">
        <v>2880</v>
      </c>
      <c r="VDI1336" s="4" t="s">
        <v>2880</v>
      </c>
      <c r="VDJ1336" s="4" t="s">
        <v>2880</v>
      </c>
      <c r="VDK1336" s="4" t="s">
        <v>2880</v>
      </c>
      <c r="VDL1336" s="4" t="s">
        <v>2880</v>
      </c>
      <c r="VDM1336" s="4" t="s">
        <v>2880</v>
      </c>
      <c r="VDN1336" s="4" t="s">
        <v>2880</v>
      </c>
      <c r="VDO1336" s="4" t="s">
        <v>2880</v>
      </c>
      <c r="VDP1336" s="4" t="s">
        <v>2880</v>
      </c>
      <c r="VDQ1336" s="4" t="s">
        <v>2880</v>
      </c>
      <c r="VDR1336" s="4" t="s">
        <v>2880</v>
      </c>
      <c r="VDS1336" s="4" t="s">
        <v>2880</v>
      </c>
      <c r="VDT1336" s="4" t="s">
        <v>2880</v>
      </c>
      <c r="VDU1336" s="4" t="s">
        <v>2880</v>
      </c>
      <c r="VDV1336" s="4" t="s">
        <v>2880</v>
      </c>
      <c r="VDW1336" s="4" t="s">
        <v>2880</v>
      </c>
      <c r="VDX1336" s="4" t="s">
        <v>2880</v>
      </c>
      <c r="VDY1336" s="4" t="s">
        <v>2880</v>
      </c>
      <c r="VDZ1336" s="4" t="s">
        <v>2880</v>
      </c>
      <c r="VEA1336" s="4" t="s">
        <v>2880</v>
      </c>
      <c r="VEB1336" s="4" t="s">
        <v>2880</v>
      </c>
      <c r="VEC1336" s="4" t="s">
        <v>2880</v>
      </c>
      <c r="VED1336" s="4" t="s">
        <v>2880</v>
      </c>
      <c r="VEE1336" s="4" t="s">
        <v>2880</v>
      </c>
      <c r="VEF1336" s="4" t="s">
        <v>2880</v>
      </c>
      <c r="VEG1336" s="4" t="s">
        <v>2880</v>
      </c>
      <c r="VEH1336" s="4" t="s">
        <v>2880</v>
      </c>
      <c r="VEI1336" s="4" t="s">
        <v>2880</v>
      </c>
      <c r="VEJ1336" s="4" t="s">
        <v>2880</v>
      </c>
      <c r="VEK1336" s="4" t="s">
        <v>2880</v>
      </c>
      <c r="VEL1336" s="4" t="s">
        <v>2880</v>
      </c>
      <c r="VEM1336" s="4" t="s">
        <v>2880</v>
      </c>
      <c r="VEN1336" s="4" t="s">
        <v>2880</v>
      </c>
      <c r="VEO1336" s="4" t="s">
        <v>2880</v>
      </c>
      <c r="VEP1336" s="4" t="s">
        <v>2880</v>
      </c>
      <c r="VEQ1336" s="4" t="s">
        <v>2880</v>
      </c>
      <c r="VER1336" s="4" t="s">
        <v>2880</v>
      </c>
      <c r="VES1336" s="4" t="s">
        <v>2880</v>
      </c>
      <c r="VET1336" s="4" t="s">
        <v>2880</v>
      </c>
      <c r="VEU1336" s="4" t="s">
        <v>2880</v>
      </c>
      <c r="VEV1336" s="4" t="s">
        <v>2880</v>
      </c>
      <c r="VEW1336" s="4" t="s">
        <v>2880</v>
      </c>
      <c r="VEX1336" s="4" t="s">
        <v>2880</v>
      </c>
      <c r="VEY1336" s="4" t="s">
        <v>2880</v>
      </c>
      <c r="VEZ1336" s="4" t="s">
        <v>2880</v>
      </c>
      <c r="VFA1336" s="4" t="s">
        <v>2880</v>
      </c>
      <c r="VFB1336" s="4" t="s">
        <v>2880</v>
      </c>
      <c r="VFC1336" s="4" t="s">
        <v>2880</v>
      </c>
      <c r="VFD1336" s="4" t="s">
        <v>2880</v>
      </c>
      <c r="VFE1336" s="4" t="s">
        <v>2880</v>
      </c>
      <c r="VFF1336" s="4" t="s">
        <v>2880</v>
      </c>
      <c r="VFG1336" s="4" t="s">
        <v>2880</v>
      </c>
      <c r="VFH1336" s="4" t="s">
        <v>2880</v>
      </c>
      <c r="VFI1336" s="4" t="s">
        <v>2880</v>
      </c>
      <c r="VFJ1336" s="4" t="s">
        <v>2880</v>
      </c>
      <c r="VFK1336" s="4" t="s">
        <v>2880</v>
      </c>
      <c r="VFL1336" s="4" t="s">
        <v>2880</v>
      </c>
      <c r="VFM1336" s="4" t="s">
        <v>2880</v>
      </c>
      <c r="VFN1336" s="4" t="s">
        <v>2880</v>
      </c>
      <c r="VFO1336" s="4" t="s">
        <v>2880</v>
      </c>
      <c r="VFP1336" s="4" t="s">
        <v>2880</v>
      </c>
      <c r="VFQ1336" s="4" t="s">
        <v>2880</v>
      </c>
      <c r="VFR1336" s="4" t="s">
        <v>2880</v>
      </c>
      <c r="VFS1336" s="4" t="s">
        <v>2880</v>
      </c>
      <c r="VFT1336" s="4" t="s">
        <v>2880</v>
      </c>
      <c r="VFU1336" s="4" t="s">
        <v>2880</v>
      </c>
      <c r="VFV1336" s="4" t="s">
        <v>2880</v>
      </c>
      <c r="VFW1336" s="4" t="s">
        <v>2880</v>
      </c>
      <c r="VFX1336" s="4" t="s">
        <v>2880</v>
      </c>
      <c r="VFY1336" s="4" t="s">
        <v>2880</v>
      </c>
      <c r="VFZ1336" s="4" t="s">
        <v>2880</v>
      </c>
      <c r="VGA1336" s="4" t="s">
        <v>2880</v>
      </c>
      <c r="VGB1336" s="4" t="s">
        <v>2880</v>
      </c>
      <c r="VGC1336" s="4" t="s">
        <v>2880</v>
      </c>
      <c r="VGD1336" s="4" t="s">
        <v>2880</v>
      </c>
      <c r="VGE1336" s="4" t="s">
        <v>2880</v>
      </c>
      <c r="VGF1336" s="4" t="s">
        <v>2880</v>
      </c>
      <c r="VGG1336" s="4" t="s">
        <v>2880</v>
      </c>
      <c r="VGH1336" s="4" t="s">
        <v>2880</v>
      </c>
      <c r="VGI1336" s="4" t="s">
        <v>2880</v>
      </c>
      <c r="VGJ1336" s="4" t="s">
        <v>2880</v>
      </c>
      <c r="VGK1336" s="4" t="s">
        <v>2880</v>
      </c>
      <c r="VGL1336" s="4" t="s">
        <v>2880</v>
      </c>
      <c r="VGM1336" s="4" t="s">
        <v>2880</v>
      </c>
      <c r="VGN1336" s="4" t="s">
        <v>2880</v>
      </c>
      <c r="VGO1336" s="4" t="s">
        <v>2880</v>
      </c>
      <c r="VGP1336" s="4" t="s">
        <v>2880</v>
      </c>
      <c r="VGQ1336" s="4" t="s">
        <v>2880</v>
      </c>
      <c r="VGR1336" s="4" t="s">
        <v>2880</v>
      </c>
      <c r="VGS1336" s="4" t="s">
        <v>2880</v>
      </c>
      <c r="VGT1336" s="4" t="s">
        <v>2880</v>
      </c>
      <c r="VGU1336" s="4" t="s">
        <v>2880</v>
      </c>
      <c r="VGV1336" s="4" t="s">
        <v>2880</v>
      </c>
      <c r="VGW1336" s="4" t="s">
        <v>2880</v>
      </c>
      <c r="VGX1336" s="4" t="s">
        <v>2880</v>
      </c>
      <c r="VGY1336" s="4" t="s">
        <v>2880</v>
      </c>
      <c r="VGZ1336" s="4" t="s">
        <v>2880</v>
      </c>
      <c r="VHA1336" s="4" t="s">
        <v>2880</v>
      </c>
      <c r="VHB1336" s="4" t="s">
        <v>2880</v>
      </c>
      <c r="VHC1336" s="4" t="s">
        <v>2880</v>
      </c>
      <c r="VHD1336" s="4" t="s">
        <v>2880</v>
      </c>
      <c r="VHE1336" s="4" t="s">
        <v>2880</v>
      </c>
      <c r="VHF1336" s="4" t="s">
        <v>2880</v>
      </c>
      <c r="VHG1336" s="4" t="s">
        <v>2880</v>
      </c>
      <c r="VHH1336" s="4" t="s">
        <v>2880</v>
      </c>
      <c r="VHI1336" s="4" t="s">
        <v>2880</v>
      </c>
      <c r="VHJ1336" s="4" t="s">
        <v>2880</v>
      </c>
      <c r="VHK1336" s="4" t="s">
        <v>2880</v>
      </c>
      <c r="VHL1336" s="4" t="s">
        <v>2880</v>
      </c>
      <c r="VHM1336" s="4" t="s">
        <v>2880</v>
      </c>
      <c r="VHN1336" s="4" t="s">
        <v>2880</v>
      </c>
      <c r="VHO1336" s="4" t="s">
        <v>2880</v>
      </c>
      <c r="VHP1336" s="4" t="s">
        <v>2880</v>
      </c>
      <c r="VHQ1336" s="4" t="s">
        <v>2880</v>
      </c>
      <c r="VHR1336" s="4" t="s">
        <v>2880</v>
      </c>
      <c r="VHS1336" s="4" t="s">
        <v>2880</v>
      </c>
      <c r="VHT1336" s="4" t="s">
        <v>2880</v>
      </c>
      <c r="VHU1336" s="4" t="s">
        <v>2880</v>
      </c>
      <c r="VHV1336" s="4" t="s">
        <v>2880</v>
      </c>
      <c r="VHW1336" s="4" t="s">
        <v>2880</v>
      </c>
      <c r="VHX1336" s="4" t="s">
        <v>2880</v>
      </c>
      <c r="VHY1336" s="4" t="s">
        <v>2880</v>
      </c>
      <c r="VHZ1336" s="4" t="s">
        <v>2880</v>
      </c>
      <c r="VIA1336" s="4" t="s">
        <v>2880</v>
      </c>
      <c r="VIB1336" s="4" t="s">
        <v>2880</v>
      </c>
      <c r="VIC1336" s="4" t="s">
        <v>2880</v>
      </c>
      <c r="VID1336" s="4" t="s">
        <v>2880</v>
      </c>
      <c r="VIE1336" s="4" t="s">
        <v>2880</v>
      </c>
      <c r="VIF1336" s="4" t="s">
        <v>2880</v>
      </c>
      <c r="VIG1336" s="4" t="s">
        <v>2880</v>
      </c>
      <c r="VIH1336" s="4" t="s">
        <v>2880</v>
      </c>
      <c r="VII1336" s="4" t="s">
        <v>2880</v>
      </c>
      <c r="VIJ1336" s="4" t="s">
        <v>2880</v>
      </c>
      <c r="VIK1336" s="4" t="s">
        <v>2880</v>
      </c>
      <c r="VIL1336" s="4" t="s">
        <v>2880</v>
      </c>
      <c r="VIM1336" s="4" t="s">
        <v>2880</v>
      </c>
      <c r="VIN1336" s="4" t="s">
        <v>2880</v>
      </c>
      <c r="VIO1336" s="4" t="s">
        <v>2880</v>
      </c>
      <c r="VIP1336" s="4" t="s">
        <v>2880</v>
      </c>
      <c r="VIQ1336" s="4" t="s">
        <v>2880</v>
      </c>
      <c r="VIR1336" s="4" t="s">
        <v>2880</v>
      </c>
      <c r="VIS1336" s="4" t="s">
        <v>2880</v>
      </c>
      <c r="VIT1336" s="4" t="s">
        <v>2880</v>
      </c>
      <c r="VIU1336" s="4" t="s">
        <v>2880</v>
      </c>
      <c r="VIV1336" s="4" t="s">
        <v>2880</v>
      </c>
      <c r="VIW1336" s="4" t="s">
        <v>2880</v>
      </c>
      <c r="VIX1336" s="4" t="s">
        <v>2880</v>
      </c>
      <c r="VIY1336" s="4" t="s">
        <v>2880</v>
      </c>
      <c r="VIZ1336" s="4" t="s">
        <v>2880</v>
      </c>
      <c r="VJA1336" s="4" t="s">
        <v>2880</v>
      </c>
      <c r="VJB1336" s="4" t="s">
        <v>2880</v>
      </c>
      <c r="VJC1336" s="4" t="s">
        <v>2880</v>
      </c>
      <c r="VJD1336" s="4" t="s">
        <v>2880</v>
      </c>
      <c r="VJE1336" s="4" t="s">
        <v>2880</v>
      </c>
      <c r="VJF1336" s="4" t="s">
        <v>2880</v>
      </c>
      <c r="VJG1336" s="4" t="s">
        <v>2880</v>
      </c>
      <c r="VJH1336" s="4" t="s">
        <v>2880</v>
      </c>
      <c r="VJI1336" s="4" t="s">
        <v>2880</v>
      </c>
      <c r="VJJ1336" s="4" t="s">
        <v>2880</v>
      </c>
      <c r="VJK1336" s="4" t="s">
        <v>2880</v>
      </c>
      <c r="VJL1336" s="4" t="s">
        <v>2880</v>
      </c>
      <c r="VJM1336" s="4" t="s">
        <v>2880</v>
      </c>
      <c r="VJN1336" s="4" t="s">
        <v>2880</v>
      </c>
      <c r="VJO1336" s="4" t="s">
        <v>2880</v>
      </c>
      <c r="VJP1336" s="4" t="s">
        <v>2880</v>
      </c>
      <c r="VJQ1336" s="4" t="s">
        <v>2880</v>
      </c>
      <c r="VJR1336" s="4" t="s">
        <v>2880</v>
      </c>
      <c r="VJS1336" s="4" t="s">
        <v>2880</v>
      </c>
      <c r="VJT1336" s="4" t="s">
        <v>2880</v>
      </c>
      <c r="VJU1336" s="4" t="s">
        <v>2880</v>
      </c>
      <c r="VJV1336" s="4" t="s">
        <v>2880</v>
      </c>
      <c r="VJW1336" s="4" t="s">
        <v>2880</v>
      </c>
      <c r="VJX1336" s="4" t="s">
        <v>2880</v>
      </c>
      <c r="VJY1336" s="4" t="s">
        <v>2880</v>
      </c>
      <c r="VJZ1336" s="4" t="s">
        <v>2880</v>
      </c>
      <c r="VKA1336" s="4" t="s">
        <v>2880</v>
      </c>
      <c r="VKB1336" s="4" t="s">
        <v>2880</v>
      </c>
      <c r="VKC1336" s="4" t="s">
        <v>2880</v>
      </c>
      <c r="VKD1336" s="4" t="s">
        <v>2880</v>
      </c>
      <c r="VKE1336" s="4" t="s">
        <v>2880</v>
      </c>
      <c r="VKF1336" s="4" t="s">
        <v>2880</v>
      </c>
      <c r="VKG1336" s="4" t="s">
        <v>2880</v>
      </c>
      <c r="VKH1336" s="4" t="s">
        <v>2880</v>
      </c>
      <c r="VKI1336" s="4" t="s">
        <v>2880</v>
      </c>
      <c r="VKJ1336" s="4" t="s">
        <v>2880</v>
      </c>
      <c r="VKK1336" s="4" t="s">
        <v>2880</v>
      </c>
      <c r="VKL1336" s="4" t="s">
        <v>2880</v>
      </c>
      <c r="VKM1336" s="4" t="s">
        <v>2880</v>
      </c>
      <c r="VKN1336" s="4" t="s">
        <v>2880</v>
      </c>
      <c r="VKO1336" s="4" t="s">
        <v>2880</v>
      </c>
      <c r="VKP1336" s="4" t="s">
        <v>2880</v>
      </c>
      <c r="VKQ1336" s="4" t="s">
        <v>2880</v>
      </c>
      <c r="VKR1336" s="4" t="s">
        <v>2880</v>
      </c>
      <c r="VKS1336" s="4" t="s">
        <v>2880</v>
      </c>
      <c r="VKT1336" s="4" t="s">
        <v>2880</v>
      </c>
      <c r="VKU1336" s="4" t="s">
        <v>2880</v>
      </c>
      <c r="VKV1336" s="4" t="s">
        <v>2880</v>
      </c>
      <c r="VKW1336" s="4" t="s">
        <v>2880</v>
      </c>
      <c r="VKX1336" s="4" t="s">
        <v>2880</v>
      </c>
      <c r="VKY1336" s="4" t="s">
        <v>2880</v>
      </c>
      <c r="VKZ1336" s="4" t="s">
        <v>2880</v>
      </c>
      <c r="VLA1336" s="4" t="s">
        <v>2880</v>
      </c>
      <c r="VLB1336" s="4" t="s">
        <v>2880</v>
      </c>
      <c r="VLC1336" s="4" t="s">
        <v>2880</v>
      </c>
      <c r="VLD1336" s="4" t="s">
        <v>2880</v>
      </c>
      <c r="VLE1336" s="4" t="s">
        <v>2880</v>
      </c>
      <c r="VLF1336" s="4" t="s">
        <v>2880</v>
      </c>
      <c r="VLG1336" s="4" t="s">
        <v>2880</v>
      </c>
      <c r="VLH1336" s="4" t="s">
        <v>2880</v>
      </c>
      <c r="VLI1336" s="4" t="s">
        <v>2880</v>
      </c>
      <c r="VLJ1336" s="4" t="s">
        <v>2880</v>
      </c>
      <c r="VLK1336" s="4" t="s">
        <v>2880</v>
      </c>
      <c r="VLL1336" s="4" t="s">
        <v>2880</v>
      </c>
      <c r="VLM1336" s="4" t="s">
        <v>2880</v>
      </c>
      <c r="VLN1336" s="4" t="s">
        <v>2880</v>
      </c>
      <c r="VLO1336" s="4" t="s">
        <v>2880</v>
      </c>
      <c r="VLP1336" s="4" t="s">
        <v>2880</v>
      </c>
      <c r="VLQ1336" s="4" t="s">
        <v>2880</v>
      </c>
      <c r="VLR1336" s="4" t="s">
        <v>2880</v>
      </c>
      <c r="VLS1336" s="4" t="s">
        <v>2880</v>
      </c>
      <c r="VLT1336" s="4" t="s">
        <v>2880</v>
      </c>
      <c r="VLU1336" s="4" t="s">
        <v>2880</v>
      </c>
      <c r="VLV1336" s="4" t="s">
        <v>2880</v>
      </c>
      <c r="VLW1336" s="4" t="s">
        <v>2880</v>
      </c>
      <c r="VLX1336" s="4" t="s">
        <v>2880</v>
      </c>
      <c r="VLY1336" s="4" t="s">
        <v>2880</v>
      </c>
      <c r="VLZ1336" s="4" t="s">
        <v>2880</v>
      </c>
      <c r="VMA1336" s="4" t="s">
        <v>2880</v>
      </c>
      <c r="VMB1336" s="4" t="s">
        <v>2880</v>
      </c>
      <c r="VMC1336" s="4" t="s">
        <v>2880</v>
      </c>
      <c r="VMD1336" s="4" t="s">
        <v>2880</v>
      </c>
      <c r="VME1336" s="4" t="s">
        <v>2880</v>
      </c>
      <c r="VMF1336" s="4" t="s">
        <v>2880</v>
      </c>
      <c r="VMG1336" s="4" t="s">
        <v>2880</v>
      </c>
      <c r="VMH1336" s="4" t="s">
        <v>2880</v>
      </c>
      <c r="VMI1336" s="4" t="s">
        <v>2880</v>
      </c>
      <c r="VMJ1336" s="4" t="s">
        <v>2880</v>
      </c>
      <c r="VMK1336" s="4" t="s">
        <v>2880</v>
      </c>
      <c r="VML1336" s="4" t="s">
        <v>2880</v>
      </c>
      <c r="VMM1336" s="4" t="s">
        <v>2880</v>
      </c>
      <c r="VMN1336" s="4" t="s">
        <v>2880</v>
      </c>
      <c r="VMO1336" s="4" t="s">
        <v>2880</v>
      </c>
      <c r="VMP1336" s="4" t="s">
        <v>2880</v>
      </c>
      <c r="VMQ1336" s="4" t="s">
        <v>2880</v>
      </c>
      <c r="VMR1336" s="4" t="s">
        <v>2880</v>
      </c>
      <c r="VMS1336" s="4" t="s">
        <v>2880</v>
      </c>
      <c r="VMT1336" s="4" t="s">
        <v>2880</v>
      </c>
      <c r="VMU1336" s="4" t="s">
        <v>2880</v>
      </c>
      <c r="VMV1336" s="4" t="s">
        <v>2880</v>
      </c>
      <c r="VMW1336" s="4" t="s">
        <v>2880</v>
      </c>
      <c r="VMX1336" s="4" t="s">
        <v>2880</v>
      </c>
      <c r="VMY1336" s="4" t="s">
        <v>2880</v>
      </c>
      <c r="VMZ1336" s="4" t="s">
        <v>2880</v>
      </c>
      <c r="VNA1336" s="4" t="s">
        <v>2880</v>
      </c>
      <c r="VNB1336" s="4" t="s">
        <v>2880</v>
      </c>
      <c r="VNC1336" s="4" t="s">
        <v>2880</v>
      </c>
      <c r="VND1336" s="4" t="s">
        <v>2880</v>
      </c>
      <c r="VNE1336" s="4" t="s">
        <v>2880</v>
      </c>
      <c r="VNF1336" s="4" t="s">
        <v>2880</v>
      </c>
      <c r="VNG1336" s="4" t="s">
        <v>2880</v>
      </c>
      <c r="VNH1336" s="4" t="s">
        <v>2880</v>
      </c>
      <c r="VNI1336" s="4" t="s">
        <v>2880</v>
      </c>
      <c r="VNJ1336" s="4" t="s">
        <v>2880</v>
      </c>
      <c r="VNK1336" s="4" t="s">
        <v>2880</v>
      </c>
      <c r="VNL1336" s="4" t="s">
        <v>2880</v>
      </c>
      <c r="VNM1336" s="4" t="s">
        <v>2880</v>
      </c>
      <c r="VNN1336" s="4" t="s">
        <v>2880</v>
      </c>
      <c r="VNO1336" s="4" t="s">
        <v>2880</v>
      </c>
      <c r="VNP1336" s="4" t="s">
        <v>2880</v>
      </c>
      <c r="VNQ1336" s="4" t="s">
        <v>2880</v>
      </c>
      <c r="VNR1336" s="4" t="s">
        <v>2880</v>
      </c>
      <c r="VNS1336" s="4" t="s">
        <v>2880</v>
      </c>
      <c r="VNT1336" s="4" t="s">
        <v>2880</v>
      </c>
      <c r="VNU1336" s="4" t="s">
        <v>2880</v>
      </c>
      <c r="VNV1336" s="4" t="s">
        <v>2880</v>
      </c>
      <c r="VNW1336" s="4" t="s">
        <v>2880</v>
      </c>
      <c r="VNX1336" s="4" t="s">
        <v>2880</v>
      </c>
      <c r="VNY1336" s="4" t="s">
        <v>2880</v>
      </c>
      <c r="VNZ1336" s="4" t="s">
        <v>2880</v>
      </c>
      <c r="VOA1336" s="4" t="s">
        <v>2880</v>
      </c>
      <c r="VOB1336" s="4" t="s">
        <v>2880</v>
      </c>
      <c r="VOC1336" s="4" t="s">
        <v>2880</v>
      </c>
      <c r="VOD1336" s="4" t="s">
        <v>2880</v>
      </c>
      <c r="VOE1336" s="4" t="s">
        <v>2880</v>
      </c>
      <c r="VOF1336" s="4" t="s">
        <v>2880</v>
      </c>
      <c r="VOG1336" s="4" t="s">
        <v>2880</v>
      </c>
      <c r="VOH1336" s="4" t="s">
        <v>2880</v>
      </c>
      <c r="VOI1336" s="4" t="s">
        <v>2880</v>
      </c>
      <c r="VOJ1336" s="4" t="s">
        <v>2880</v>
      </c>
      <c r="VOK1336" s="4" t="s">
        <v>2880</v>
      </c>
      <c r="VOL1336" s="4" t="s">
        <v>2880</v>
      </c>
      <c r="VOM1336" s="4" t="s">
        <v>2880</v>
      </c>
      <c r="VON1336" s="4" t="s">
        <v>2880</v>
      </c>
      <c r="VOO1336" s="4" t="s">
        <v>2880</v>
      </c>
      <c r="VOP1336" s="4" t="s">
        <v>2880</v>
      </c>
      <c r="VOQ1336" s="4" t="s">
        <v>2880</v>
      </c>
      <c r="VOR1336" s="4" t="s">
        <v>2880</v>
      </c>
      <c r="VOS1336" s="4" t="s">
        <v>2880</v>
      </c>
      <c r="VOT1336" s="4" t="s">
        <v>2880</v>
      </c>
      <c r="VOU1336" s="4" t="s">
        <v>2880</v>
      </c>
      <c r="VOV1336" s="4" t="s">
        <v>2880</v>
      </c>
      <c r="VOW1336" s="4" t="s">
        <v>2880</v>
      </c>
      <c r="VOX1336" s="4" t="s">
        <v>2880</v>
      </c>
      <c r="VOY1336" s="4" t="s">
        <v>2880</v>
      </c>
      <c r="VOZ1336" s="4" t="s">
        <v>2880</v>
      </c>
      <c r="VPA1336" s="4" t="s">
        <v>2880</v>
      </c>
      <c r="VPB1336" s="4" t="s">
        <v>2880</v>
      </c>
      <c r="VPC1336" s="4" t="s">
        <v>2880</v>
      </c>
      <c r="VPD1336" s="4" t="s">
        <v>2880</v>
      </c>
      <c r="VPE1336" s="4" t="s">
        <v>2880</v>
      </c>
      <c r="VPF1336" s="4" t="s">
        <v>2880</v>
      </c>
      <c r="VPG1336" s="4" t="s">
        <v>2880</v>
      </c>
      <c r="VPH1336" s="4" t="s">
        <v>2880</v>
      </c>
      <c r="VPI1336" s="4" t="s">
        <v>2880</v>
      </c>
      <c r="VPJ1336" s="4" t="s">
        <v>2880</v>
      </c>
      <c r="VPK1336" s="4" t="s">
        <v>2880</v>
      </c>
      <c r="VPL1336" s="4" t="s">
        <v>2880</v>
      </c>
      <c r="VPM1336" s="4" t="s">
        <v>2880</v>
      </c>
      <c r="VPN1336" s="4" t="s">
        <v>2880</v>
      </c>
      <c r="VPO1336" s="4" t="s">
        <v>2880</v>
      </c>
      <c r="VPP1336" s="4" t="s">
        <v>2880</v>
      </c>
      <c r="VPQ1336" s="4" t="s">
        <v>2880</v>
      </c>
      <c r="VPR1336" s="4" t="s">
        <v>2880</v>
      </c>
      <c r="VPS1336" s="4" t="s">
        <v>2880</v>
      </c>
      <c r="VPT1336" s="4" t="s">
        <v>2880</v>
      </c>
      <c r="VPU1336" s="4" t="s">
        <v>2880</v>
      </c>
      <c r="VPV1336" s="4" t="s">
        <v>2880</v>
      </c>
      <c r="VPW1336" s="4" t="s">
        <v>2880</v>
      </c>
      <c r="VPX1336" s="4" t="s">
        <v>2880</v>
      </c>
      <c r="VPY1336" s="4" t="s">
        <v>2880</v>
      </c>
      <c r="VPZ1336" s="4" t="s">
        <v>2880</v>
      </c>
      <c r="VQA1336" s="4" t="s">
        <v>2880</v>
      </c>
      <c r="VQB1336" s="4" t="s">
        <v>2880</v>
      </c>
      <c r="VQC1336" s="4" t="s">
        <v>2880</v>
      </c>
      <c r="VQD1336" s="4" t="s">
        <v>2880</v>
      </c>
      <c r="VQE1336" s="4" t="s">
        <v>2880</v>
      </c>
      <c r="VQF1336" s="4" t="s">
        <v>2880</v>
      </c>
      <c r="VQG1336" s="4" t="s">
        <v>2880</v>
      </c>
      <c r="VQH1336" s="4" t="s">
        <v>2880</v>
      </c>
      <c r="VQI1336" s="4" t="s">
        <v>2880</v>
      </c>
      <c r="VQJ1336" s="4" t="s">
        <v>2880</v>
      </c>
      <c r="VQK1336" s="4" t="s">
        <v>2880</v>
      </c>
      <c r="VQL1336" s="4" t="s">
        <v>2880</v>
      </c>
      <c r="VQM1336" s="4" t="s">
        <v>2880</v>
      </c>
      <c r="VQN1336" s="4" t="s">
        <v>2880</v>
      </c>
      <c r="VQO1336" s="4" t="s">
        <v>2880</v>
      </c>
      <c r="VQP1336" s="4" t="s">
        <v>2880</v>
      </c>
      <c r="VQQ1336" s="4" t="s">
        <v>2880</v>
      </c>
      <c r="VQR1336" s="4" t="s">
        <v>2880</v>
      </c>
      <c r="VQS1336" s="4" t="s">
        <v>2880</v>
      </c>
      <c r="VQT1336" s="4" t="s">
        <v>2880</v>
      </c>
      <c r="VQU1336" s="4" t="s">
        <v>2880</v>
      </c>
      <c r="VQV1336" s="4" t="s">
        <v>2880</v>
      </c>
      <c r="VQW1336" s="4" t="s">
        <v>2880</v>
      </c>
      <c r="VQX1336" s="4" t="s">
        <v>2880</v>
      </c>
      <c r="VQY1336" s="4" t="s">
        <v>2880</v>
      </c>
      <c r="VQZ1336" s="4" t="s">
        <v>2880</v>
      </c>
      <c r="VRA1336" s="4" t="s">
        <v>2880</v>
      </c>
      <c r="VRB1336" s="4" t="s">
        <v>2880</v>
      </c>
      <c r="VRC1336" s="4" t="s">
        <v>2880</v>
      </c>
      <c r="VRD1336" s="4" t="s">
        <v>2880</v>
      </c>
      <c r="VRE1336" s="4" t="s">
        <v>2880</v>
      </c>
      <c r="VRF1336" s="4" t="s">
        <v>2880</v>
      </c>
      <c r="VRG1336" s="4" t="s">
        <v>2880</v>
      </c>
      <c r="VRH1336" s="4" t="s">
        <v>2880</v>
      </c>
      <c r="VRI1336" s="4" t="s">
        <v>2880</v>
      </c>
      <c r="VRJ1336" s="4" t="s">
        <v>2880</v>
      </c>
      <c r="VRK1336" s="4" t="s">
        <v>2880</v>
      </c>
      <c r="VRL1336" s="4" t="s">
        <v>2880</v>
      </c>
      <c r="VRM1336" s="4" t="s">
        <v>2880</v>
      </c>
      <c r="VRN1336" s="4" t="s">
        <v>2880</v>
      </c>
      <c r="VRO1336" s="4" t="s">
        <v>2880</v>
      </c>
      <c r="VRP1336" s="4" t="s">
        <v>2880</v>
      </c>
      <c r="VRQ1336" s="4" t="s">
        <v>2880</v>
      </c>
      <c r="VRR1336" s="4" t="s">
        <v>2880</v>
      </c>
      <c r="VRS1336" s="4" t="s">
        <v>2880</v>
      </c>
      <c r="VRT1336" s="4" t="s">
        <v>2880</v>
      </c>
      <c r="VRU1336" s="4" t="s">
        <v>2880</v>
      </c>
      <c r="VRV1336" s="4" t="s">
        <v>2880</v>
      </c>
      <c r="VRW1336" s="4" t="s">
        <v>2880</v>
      </c>
      <c r="VRX1336" s="4" t="s">
        <v>2880</v>
      </c>
      <c r="VRY1336" s="4" t="s">
        <v>2880</v>
      </c>
      <c r="VRZ1336" s="4" t="s">
        <v>2880</v>
      </c>
      <c r="VSA1336" s="4" t="s">
        <v>2880</v>
      </c>
      <c r="VSB1336" s="4" t="s">
        <v>2880</v>
      </c>
      <c r="VSC1336" s="4" t="s">
        <v>2880</v>
      </c>
      <c r="VSD1336" s="4" t="s">
        <v>2880</v>
      </c>
      <c r="VSE1336" s="4" t="s">
        <v>2880</v>
      </c>
      <c r="VSF1336" s="4" t="s">
        <v>2880</v>
      </c>
      <c r="VSG1336" s="4" t="s">
        <v>2880</v>
      </c>
      <c r="VSH1336" s="4" t="s">
        <v>2880</v>
      </c>
      <c r="VSI1336" s="4" t="s">
        <v>2880</v>
      </c>
      <c r="VSJ1336" s="4" t="s">
        <v>2880</v>
      </c>
      <c r="VSK1336" s="4" t="s">
        <v>2880</v>
      </c>
      <c r="VSL1336" s="4" t="s">
        <v>2880</v>
      </c>
      <c r="VSM1336" s="4" t="s">
        <v>2880</v>
      </c>
      <c r="VSN1336" s="4" t="s">
        <v>2880</v>
      </c>
      <c r="VSO1336" s="4" t="s">
        <v>2880</v>
      </c>
      <c r="VSP1336" s="4" t="s">
        <v>2880</v>
      </c>
      <c r="VSQ1336" s="4" t="s">
        <v>2880</v>
      </c>
      <c r="VSR1336" s="4" t="s">
        <v>2880</v>
      </c>
      <c r="VSS1336" s="4" t="s">
        <v>2880</v>
      </c>
      <c r="VST1336" s="4" t="s">
        <v>2880</v>
      </c>
      <c r="VSU1336" s="4" t="s">
        <v>2880</v>
      </c>
      <c r="VSV1336" s="4" t="s">
        <v>2880</v>
      </c>
      <c r="VSW1336" s="4" t="s">
        <v>2880</v>
      </c>
      <c r="VSX1336" s="4" t="s">
        <v>2880</v>
      </c>
      <c r="VSY1336" s="4" t="s">
        <v>2880</v>
      </c>
      <c r="VSZ1336" s="4" t="s">
        <v>2880</v>
      </c>
      <c r="VTA1336" s="4" t="s">
        <v>2880</v>
      </c>
      <c r="VTB1336" s="4" t="s">
        <v>2880</v>
      </c>
      <c r="VTC1336" s="4" t="s">
        <v>2880</v>
      </c>
      <c r="VTD1336" s="4" t="s">
        <v>2880</v>
      </c>
      <c r="VTE1336" s="4" t="s">
        <v>2880</v>
      </c>
      <c r="VTF1336" s="4" t="s">
        <v>2880</v>
      </c>
      <c r="VTG1336" s="4" t="s">
        <v>2880</v>
      </c>
      <c r="VTH1336" s="4" t="s">
        <v>2880</v>
      </c>
      <c r="VTI1336" s="4" t="s">
        <v>2880</v>
      </c>
      <c r="VTJ1336" s="4" t="s">
        <v>2880</v>
      </c>
      <c r="VTK1336" s="4" t="s">
        <v>2880</v>
      </c>
      <c r="VTL1336" s="4" t="s">
        <v>2880</v>
      </c>
      <c r="VTM1336" s="4" t="s">
        <v>2880</v>
      </c>
      <c r="VTN1336" s="4" t="s">
        <v>2880</v>
      </c>
      <c r="VTO1336" s="4" t="s">
        <v>2880</v>
      </c>
      <c r="VTP1336" s="4" t="s">
        <v>2880</v>
      </c>
      <c r="VTQ1336" s="4" t="s">
        <v>2880</v>
      </c>
      <c r="VTR1336" s="4" t="s">
        <v>2880</v>
      </c>
      <c r="VTS1336" s="4" t="s">
        <v>2880</v>
      </c>
      <c r="VTT1336" s="4" t="s">
        <v>2880</v>
      </c>
      <c r="VTU1336" s="4" t="s">
        <v>2880</v>
      </c>
      <c r="VTV1336" s="4" t="s">
        <v>2880</v>
      </c>
      <c r="VTW1336" s="4" t="s">
        <v>2880</v>
      </c>
      <c r="VTX1336" s="4" t="s">
        <v>2880</v>
      </c>
      <c r="VTY1336" s="4" t="s">
        <v>2880</v>
      </c>
      <c r="VTZ1336" s="4" t="s">
        <v>2880</v>
      </c>
      <c r="VUA1336" s="4" t="s">
        <v>2880</v>
      </c>
      <c r="VUB1336" s="4" t="s">
        <v>2880</v>
      </c>
      <c r="VUC1336" s="4" t="s">
        <v>2880</v>
      </c>
      <c r="VUD1336" s="4" t="s">
        <v>2880</v>
      </c>
      <c r="VUE1336" s="4" t="s">
        <v>2880</v>
      </c>
      <c r="VUF1336" s="4" t="s">
        <v>2880</v>
      </c>
      <c r="VUG1336" s="4" t="s">
        <v>2880</v>
      </c>
      <c r="VUH1336" s="4" t="s">
        <v>2880</v>
      </c>
      <c r="VUI1336" s="4" t="s">
        <v>2880</v>
      </c>
      <c r="VUJ1336" s="4" t="s">
        <v>2880</v>
      </c>
      <c r="VUK1336" s="4" t="s">
        <v>2880</v>
      </c>
      <c r="VUL1336" s="4" t="s">
        <v>2880</v>
      </c>
      <c r="VUM1336" s="4" t="s">
        <v>2880</v>
      </c>
      <c r="VUN1336" s="4" t="s">
        <v>2880</v>
      </c>
      <c r="VUO1336" s="4" t="s">
        <v>2880</v>
      </c>
      <c r="VUP1336" s="4" t="s">
        <v>2880</v>
      </c>
      <c r="VUQ1336" s="4" t="s">
        <v>2880</v>
      </c>
      <c r="VUR1336" s="4" t="s">
        <v>2880</v>
      </c>
      <c r="VUS1336" s="4" t="s">
        <v>2880</v>
      </c>
      <c r="VUT1336" s="4" t="s">
        <v>2880</v>
      </c>
      <c r="VUU1336" s="4" t="s">
        <v>2880</v>
      </c>
      <c r="VUV1336" s="4" t="s">
        <v>2880</v>
      </c>
      <c r="VUW1336" s="4" t="s">
        <v>2880</v>
      </c>
      <c r="VUX1336" s="4" t="s">
        <v>2880</v>
      </c>
      <c r="VUY1336" s="4" t="s">
        <v>2880</v>
      </c>
      <c r="VUZ1336" s="4" t="s">
        <v>2880</v>
      </c>
      <c r="VVA1336" s="4" t="s">
        <v>2880</v>
      </c>
      <c r="VVB1336" s="4" t="s">
        <v>2880</v>
      </c>
      <c r="VVC1336" s="4" t="s">
        <v>2880</v>
      </c>
      <c r="VVD1336" s="4" t="s">
        <v>2880</v>
      </c>
      <c r="VVE1336" s="4" t="s">
        <v>2880</v>
      </c>
      <c r="VVF1336" s="4" t="s">
        <v>2880</v>
      </c>
      <c r="VVG1336" s="4" t="s">
        <v>2880</v>
      </c>
      <c r="VVH1336" s="4" t="s">
        <v>2880</v>
      </c>
      <c r="VVI1336" s="4" t="s">
        <v>2880</v>
      </c>
      <c r="VVJ1336" s="4" t="s">
        <v>2880</v>
      </c>
      <c r="VVK1336" s="4" t="s">
        <v>2880</v>
      </c>
      <c r="VVL1336" s="4" t="s">
        <v>2880</v>
      </c>
      <c r="VVM1336" s="4" t="s">
        <v>2880</v>
      </c>
      <c r="VVN1336" s="4" t="s">
        <v>2880</v>
      </c>
      <c r="VVO1336" s="4" t="s">
        <v>2880</v>
      </c>
      <c r="VVP1336" s="4" t="s">
        <v>2880</v>
      </c>
      <c r="VVQ1336" s="4" t="s">
        <v>2880</v>
      </c>
      <c r="VVR1336" s="4" t="s">
        <v>2880</v>
      </c>
      <c r="VVS1336" s="4" t="s">
        <v>2880</v>
      </c>
      <c r="VVT1336" s="4" t="s">
        <v>2880</v>
      </c>
      <c r="VVU1336" s="4" t="s">
        <v>2880</v>
      </c>
      <c r="VVV1336" s="4" t="s">
        <v>2880</v>
      </c>
      <c r="VVW1336" s="4" t="s">
        <v>2880</v>
      </c>
      <c r="VVX1336" s="4" t="s">
        <v>2880</v>
      </c>
      <c r="VVY1336" s="4" t="s">
        <v>2880</v>
      </c>
      <c r="VVZ1336" s="4" t="s">
        <v>2880</v>
      </c>
      <c r="VWA1336" s="4" t="s">
        <v>2880</v>
      </c>
      <c r="VWB1336" s="4" t="s">
        <v>2880</v>
      </c>
      <c r="VWC1336" s="4" t="s">
        <v>2880</v>
      </c>
      <c r="VWD1336" s="4" t="s">
        <v>2880</v>
      </c>
      <c r="VWE1336" s="4" t="s">
        <v>2880</v>
      </c>
      <c r="VWF1336" s="4" t="s">
        <v>2880</v>
      </c>
      <c r="VWG1336" s="4" t="s">
        <v>2880</v>
      </c>
      <c r="VWH1336" s="4" t="s">
        <v>2880</v>
      </c>
      <c r="VWI1336" s="4" t="s">
        <v>2880</v>
      </c>
      <c r="VWJ1336" s="4" t="s">
        <v>2880</v>
      </c>
      <c r="VWK1336" s="4" t="s">
        <v>2880</v>
      </c>
      <c r="VWL1336" s="4" t="s">
        <v>2880</v>
      </c>
      <c r="VWM1336" s="4" t="s">
        <v>2880</v>
      </c>
      <c r="VWN1336" s="4" t="s">
        <v>2880</v>
      </c>
      <c r="VWO1336" s="4" t="s">
        <v>2880</v>
      </c>
      <c r="VWP1336" s="4" t="s">
        <v>2880</v>
      </c>
      <c r="VWQ1336" s="4" t="s">
        <v>2880</v>
      </c>
      <c r="VWR1336" s="4" t="s">
        <v>2880</v>
      </c>
      <c r="VWS1336" s="4" t="s">
        <v>2880</v>
      </c>
      <c r="VWT1336" s="4" t="s">
        <v>2880</v>
      </c>
      <c r="VWU1336" s="4" t="s">
        <v>2880</v>
      </c>
      <c r="VWV1336" s="4" t="s">
        <v>2880</v>
      </c>
      <c r="VWW1336" s="4" t="s">
        <v>2880</v>
      </c>
      <c r="VWX1336" s="4" t="s">
        <v>2880</v>
      </c>
      <c r="VWY1336" s="4" t="s">
        <v>2880</v>
      </c>
      <c r="VWZ1336" s="4" t="s">
        <v>2880</v>
      </c>
      <c r="VXA1336" s="4" t="s">
        <v>2880</v>
      </c>
      <c r="VXB1336" s="4" t="s">
        <v>2880</v>
      </c>
      <c r="VXC1336" s="4" t="s">
        <v>2880</v>
      </c>
      <c r="VXD1336" s="4" t="s">
        <v>2880</v>
      </c>
      <c r="VXE1336" s="4" t="s">
        <v>2880</v>
      </c>
      <c r="VXF1336" s="4" t="s">
        <v>2880</v>
      </c>
      <c r="VXG1336" s="4" t="s">
        <v>2880</v>
      </c>
      <c r="VXH1336" s="4" t="s">
        <v>2880</v>
      </c>
      <c r="VXI1336" s="4" t="s">
        <v>2880</v>
      </c>
      <c r="VXJ1336" s="4" t="s">
        <v>2880</v>
      </c>
      <c r="VXK1336" s="4" t="s">
        <v>2880</v>
      </c>
      <c r="VXL1336" s="4" t="s">
        <v>2880</v>
      </c>
      <c r="VXM1336" s="4" t="s">
        <v>2880</v>
      </c>
      <c r="VXN1336" s="4" t="s">
        <v>2880</v>
      </c>
      <c r="VXO1336" s="4" t="s">
        <v>2880</v>
      </c>
      <c r="VXP1336" s="4" t="s">
        <v>2880</v>
      </c>
      <c r="VXQ1336" s="4" t="s">
        <v>2880</v>
      </c>
      <c r="VXR1336" s="4" t="s">
        <v>2880</v>
      </c>
      <c r="VXS1336" s="4" t="s">
        <v>2880</v>
      </c>
      <c r="VXT1336" s="4" t="s">
        <v>2880</v>
      </c>
      <c r="VXU1336" s="4" t="s">
        <v>2880</v>
      </c>
      <c r="VXV1336" s="4" t="s">
        <v>2880</v>
      </c>
      <c r="VXW1336" s="4" t="s">
        <v>2880</v>
      </c>
      <c r="VXX1336" s="4" t="s">
        <v>2880</v>
      </c>
      <c r="VXY1336" s="4" t="s">
        <v>2880</v>
      </c>
      <c r="VXZ1336" s="4" t="s">
        <v>2880</v>
      </c>
      <c r="VYA1336" s="4" t="s">
        <v>2880</v>
      </c>
      <c r="VYB1336" s="4" t="s">
        <v>2880</v>
      </c>
      <c r="VYC1336" s="4" t="s">
        <v>2880</v>
      </c>
      <c r="VYD1336" s="4" t="s">
        <v>2880</v>
      </c>
      <c r="VYE1336" s="4" t="s">
        <v>2880</v>
      </c>
      <c r="VYF1336" s="4" t="s">
        <v>2880</v>
      </c>
      <c r="VYG1336" s="4" t="s">
        <v>2880</v>
      </c>
      <c r="VYH1336" s="4" t="s">
        <v>2880</v>
      </c>
      <c r="VYI1336" s="4" t="s">
        <v>2880</v>
      </c>
      <c r="VYJ1336" s="4" t="s">
        <v>2880</v>
      </c>
      <c r="VYK1336" s="4" t="s">
        <v>2880</v>
      </c>
      <c r="VYL1336" s="4" t="s">
        <v>2880</v>
      </c>
      <c r="VYM1336" s="4" t="s">
        <v>2880</v>
      </c>
      <c r="VYN1336" s="4" t="s">
        <v>2880</v>
      </c>
      <c r="VYO1336" s="4" t="s">
        <v>2880</v>
      </c>
      <c r="VYP1336" s="4" t="s">
        <v>2880</v>
      </c>
      <c r="VYQ1336" s="4" t="s">
        <v>2880</v>
      </c>
      <c r="VYR1336" s="4" t="s">
        <v>2880</v>
      </c>
      <c r="VYS1336" s="4" t="s">
        <v>2880</v>
      </c>
      <c r="VYT1336" s="4" t="s">
        <v>2880</v>
      </c>
      <c r="VYU1336" s="4" t="s">
        <v>2880</v>
      </c>
      <c r="VYV1336" s="4" t="s">
        <v>2880</v>
      </c>
      <c r="VYW1336" s="4" t="s">
        <v>2880</v>
      </c>
      <c r="VYX1336" s="4" t="s">
        <v>2880</v>
      </c>
      <c r="VYY1336" s="4" t="s">
        <v>2880</v>
      </c>
      <c r="VYZ1336" s="4" t="s">
        <v>2880</v>
      </c>
      <c r="VZA1336" s="4" t="s">
        <v>2880</v>
      </c>
      <c r="VZB1336" s="4" t="s">
        <v>2880</v>
      </c>
      <c r="VZC1336" s="4" t="s">
        <v>2880</v>
      </c>
      <c r="VZD1336" s="4" t="s">
        <v>2880</v>
      </c>
      <c r="VZE1336" s="4" t="s">
        <v>2880</v>
      </c>
      <c r="VZF1336" s="4" t="s">
        <v>2880</v>
      </c>
      <c r="VZG1336" s="4" t="s">
        <v>2880</v>
      </c>
      <c r="VZH1336" s="4" t="s">
        <v>2880</v>
      </c>
      <c r="VZI1336" s="4" t="s">
        <v>2880</v>
      </c>
      <c r="VZJ1336" s="4" t="s">
        <v>2880</v>
      </c>
      <c r="VZK1336" s="4" t="s">
        <v>2880</v>
      </c>
      <c r="VZL1336" s="4" t="s">
        <v>2880</v>
      </c>
      <c r="VZM1336" s="4" t="s">
        <v>2880</v>
      </c>
      <c r="VZN1336" s="4" t="s">
        <v>2880</v>
      </c>
      <c r="VZO1336" s="4" t="s">
        <v>2880</v>
      </c>
      <c r="VZP1336" s="4" t="s">
        <v>2880</v>
      </c>
      <c r="VZQ1336" s="4" t="s">
        <v>2880</v>
      </c>
      <c r="VZR1336" s="4" t="s">
        <v>2880</v>
      </c>
      <c r="VZS1336" s="4" t="s">
        <v>2880</v>
      </c>
      <c r="VZT1336" s="4" t="s">
        <v>2880</v>
      </c>
      <c r="VZU1336" s="4" t="s">
        <v>2880</v>
      </c>
      <c r="VZV1336" s="4" t="s">
        <v>2880</v>
      </c>
      <c r="VZW1336" s="4" t="s">
        <v>2880</v>
      </c>
      <c r="VZX1336" s="4" t="s">
        <v>2880</v>
      </c>
      <c r="VZY1336" s="4" t="s">
        <v>2880</v>
      </c>
      <c r="VZZ1336" s="4" t="s">
        <v>2880</v>
      </c>
      <c r="WAA1336" s="4" t="s">
        <v>2880</v>
      </c>
      <c r="WAB1336" s="4" t="s">
        <v>2880</v>
      </c>
      <c r="WAC1336" s="4" t="s">
        <v>2880</v>
      </c>
      <c r="WAD1336" s="4" t="s">
        <v>2880</v>
      </c>
      <c r="WAE1336" s="4" t="s">
        <v>2880</v>
      </c>
      <c r="WAF1336" s="4" t="s">
        <v>2880</v>
      </c>
      <c r="WAG1336" s="4" t="s">
        <v>2880</v>
      </c>
      <c r="WAH1336" s="4" t="s">
        <v>2880</v>
      </c>
      <c r="WAI1336" s="4" t="s">
        <v>2880</v>
      </c>
      <c r="WAJ1336" s="4" t="s">
        <v>2880</v>
      </c>
      <c r="WAK1336" s="4" t="s">
        <v>2880</v>
      </c>
      <c r="WAL1336" s="4" t="s">
        <v>2880</v>
      </c>
      <c r="WAM1336" s="4" t="s">
        <v>2880</v>
      </c>
      <c r="WAN1336" s="4" t="s">
        <v>2880</v>
      </c>
      <c r="WAO1336" s="4" t="s">
        <v>2880</v>
      </c>
      <c r="WAP1336" s="4" t="s">
        <v>2880</v>
      </c>
      <c r="WAQ1336" s="4" t="s">
        <v>2880</v>
      </c>
      <c r="WAR1336" s="4" t="s">
        <v>2880</v>
      </c>
      <c r="WAS1336" s="4" t="s">
        <v>2880</v>
      </c>
      <c r="WAT1336" s="4" t="s">
        <v>2880</v>
      </c>
      <c r="WAU1336" s="4" t="s">
        <v>2880</v>
      </c>
      <c r="WAV1336" s="4" t="s">
        <v>2880</v>
      </c>
      <c r="WAW1336" s="4" t="s">
        <v>2880</v>
      </c>
      <c r="WAX1336" s="4" t="s">
        <v>2880</v>
      </c>
      <c r="WAY1336" s="4" t="s">
        <v>2880</v>
      </c>
      <c r="WAZ1336" s="4" t="s">
        <v>2880</v>
      </c>
      <c r="WBA1336" s="4" t="s">
        <v>2880</v>
      </c>
      <c r="WBB1336" s="4" t="s">
        <v>2880</v>
      </c>
      <c r="WBC1336" s="4" t="s">
        <v>2880</v>
      </c>
      <c r="WBD1336" s="4" t="s">
        <v>2880</v>
      </c>
      <c r="WBE1336" s="4" t="s">
        <v>2880</v>
      </c>
      <c r="WBF1336" s="4" t="s">
        <v>2880</v>
      </c>
      <c r="WBG1336" s="4" t="s">
        <v>2880</v>
      </c>
      <c r="WBH1336" s="4" t="s">
        <v>2880</v>
      </c>
      <c r="WBI1336" s="4" t="s">
        <v>2880</v>
      </c>
      <c r="WBJ1336" s="4" t="s">
        <v>2880</v>
      </c>
      <c r="WBK1336" s="4" t="s">
        <v>2880</v>
      </c>
      <c r="WBL1336" s="4" t="s">
        <v>2880</v>
      </c>
      <c r="WBM1336" s="4" t="s">
        <v>2880</v>
      </c>
      <c r="WBN1336" s="4" t="s">
        <v>2880</v>
      </c>
      <c r="WBO1336" s="4" t="s">
        <v>2880</v>
      </c>
      <c r="WBP1336" s="4" t="s">
        <v>2880</v>
      </c>
      <c r="WBQ1336" s="4" t="s">
        <v>2880</v>
      </c>
      <c r="WBR1336" s="4" t="s">
        <v>2880</v>
      </c>
      <c r="WBS1336" s="4" t="s">
        <v>2880</v>
      </c>
      <c r="WBT1336" s="4" t="s">
        <v>2880</v>
      </c>
      <c r="WBU1336" s="4" t="s">
        <v>2880</v>
      </c>
      <c r="WBV1336" s="4" t="s">
        <v>2880</v>
      </c>
      <c r="WBW1336" s="4" t="s">
        <v>2880</v>
      </c>
      <c r="WBX1336" s="4" t="s">
        <v>2880</v>
      </c>
      <c r="WBY1336" s="4" t="s">
        <v>2880</v>
      </c>
      <c r="WBZ1336" s="4" t="s">
        <v>2880</v>
      </c>
      <c r="WCA1336" s="4" t="s">
        <v>2880</v>
      </c>
      <c r="WCB1336" s="4" t="s">
        <v>2880</v>
      </c>
      <c r="WCC1336" s="4" t="s">
        <v>2880</v>
      </c>
      <c r="WCD1336" s="4" t="s">
        <v>2880</v>
      </c>
      <c r="WCE1336" s="4" t="s">
        <v>2880</v>
      </c>
      <c r="WCF1336" s="4" t="s">
        <v>2880</v>
      </c>
      <c r="WCG1336" s="4" t="s">
        <v>2880</v>
      </c>
      <c r="WCH1336" s="4" t="s">
        <v>2880</v>
      </c>
      <c r="WCI1336" s="4" t="s">
        <v>2880</v>
      </c>
      <c r="WCJ1336" s="4" t="s">
        <v>2880</v>
      </c>
      <c r="WCK1336" s="4" t="s">
        <v>2880</v>
      </c>
      <c r="WCL1336" s="4" t="s">
        <v>2880</v>
      </c>
      <c r="WCM1336" s="4" t="s">
        <v>2880</v>
      </c>
      <c r="WCN1336" s="4" t="s">
        <v>2880</v>
      </c>
      <c r="WCO1336" s="4" t="s">
        <v>2880</v>
      </c>
      <c r="WCP1336" s="4" t="s">
        <v>2880</v>
      </c>
      <c r="WCQ1336" s="4" t="s">
        <v>2880</v>
      </c>
      <c r="WCR1336" s="4" t="s">
        <v>2880</v>
      </c>
      <c r="WCS1336" s="4" t="s">
        <v>2880</v>
      </c>
      <c r="WCT1336" s="4" t="s">
        <v>2880</v>
      </c>
      <c r="WCU1336" s="4" t="s">
        <v>2880</v>
      </c>
      <c r="WCV1336" s="4" t="s">
        <v>2880</v>
      </c>
      <c r="WCW1336" s="4" t="s">
        <v>2880</v>
      </c>
      <c r="WCX1336" s="4" t="s">
        <v>2880</v>
      </c>
      <c r="WCY1336" s="4" t="s">
        <v>2880</v>
      </c>
      <c r="WCZ1336" s="4" t="s">
        <v>2880</v>
      </c>
      <c r="WDA1336" s="4" t="s">
        <v>2880</v>
      </c>
      <c r="WDB1336" s="4" t="s">
        <v>2880</v>
      </c>
      <c r="WDC1336" s="4" t="s">
        <v>2880</v>
      </c>
      <c r="WDD1336" s="4" t="s">
        <v>2880</v>
      </c>
      <c r="WDE1336" s="4" t="s">
        <v>2880</v>
      </c>
      <c r="WDF1336" s="4" t="s">
        <v>2880</v>
      </c>
      <c r="WDG1336" s="4" t="s">
        <v>2880</v>
      </c>
      <c r="WDH1336" s="4" t="s">
        <v>2880</v>
      </c>
      <c r="WDI1336" s="4" t="s">
        <v>2880</v>
      </c>
      <c r="WDJ1336" s="4" t="s">
        <v>2880</v>
      </c>
      <c r="WDK1336" s="4" t="s">
        <v>2880</v>
      </c>
      <c r="WDL1336" s="4" t="s">
        <v>2880</v>
      </c>
      <c r="WDM1336" s="4" t="s">
        <v>2880</v>
      </c>
      <c r="WDN1336" s="4" t="s">
        <v>2880</v>
      </c>
      <c r="WDO1336" s="4" t="s">
        <v>2880</v>
      </c>
      <c r="WDP1336" s="4" t="s">
        <v>2880</v>
      </c>
      <c r="WDQ1336" s="4" t="s">
        <v>2880</v>
      </c>
      <c r="WDR1336" s="4" t="s">
        <v>2880</v>
      </c>
      <c r="WDS1336" s="4" t="s">
        <v>2880</v>
      </c>
      <c r="WDT1336" s="4" t="s">
        <v>2880</v>
      </c>
      <c r="WDU1336" s="4" t="s">
        <v>2880</v>
      </c>
      <c r="WDV1336" s="4" t="s">
        <v>2880</v>
      </c>
      <c r="WDW1336" s="4" t="s">
        <v>2880</v>
      </c>
      <c r="WDX1336" s="4" t="s">
        <v>2880</v>
      </c>
      <c r="WDY1336" s="4" t="s">
        <v>2880</v>
      </c>
      <c r="WDZ1336" s="4" t="s">
        <v>2880</v>
      </c>
      <c r="WEA1336" s="4" t="s">
        <v>2880</v>
      </c>
      <c r="WEB1336" s="4" t="s">
        <v>2880</v>
      </c>
      <c r="WEC1336" s="4" t="s">
        <v>2880</v>
      </c>
      <c r="WED1336" s="4" t="s">
        <v>2880</v>
      </c>
      <c r="WEE1336" s="4" t="s">
        <v>2880</v>
      </c>
      <c r="WEF1336" s="4" t="s">
        <v>2880</v>
      </c>
      <c r="WEG1336" s="4" t="s">
        <v>2880</v>
      </c>
      <c r="WEH1336" s="4" t="s">
        <v>2880</v>
      </c>
      <c r="WEI1336" s="4" t="s">
        <v>2880</v>
      </c>
      <c r="WEJ1336" s="4" t="s">
        <v>2880</v>
      </c>
      <c r="WEK1336" s="4" t="s">
        <v>2880</v>
      </c>
      <c r="WEL1336" s="4" t="s">
        <v>2880</v>
      </c>
      <c r="WEM1336" s="4" t="s">
        <v>2880</v>
      </c>
      <c r="WEN1336" s="4" t="s">
        <v>2880</v>
      </c>
      <c r="WEO1336" s="4" t="s">
        <v>2880</v>
      </c>
      <c r="WEP1336" s="4" t="s">
        <v>2880</v>
      </c>
      <c r="WEQ1336" s="4" t="s">
        <v>2880</v>
      </c>
      <c r="WER1336" s="4" t="s">
        <v>2880</v>
      </c>
      <c r="WES1336" s="4" t="s">
        <v>2880</v>
      </c>
      <c r="WET1336" s="4" t="s">
        <v>2880</v>
      </c>
      <c r="WEU1336" s="4" t="s">
        <v>2880</v>
      </c>
      <c r="WEV1336" s="4" t="s">
        <v>2880</v>
      </c>
      <c r="WEW1336" s="4" t="s">
        <v>2880</v>
      </c>
      <c r="WEX1336" s="4" t="s">
        <v>2880</v>
      </c>
      <c r="WEY1336" s="4" t="s">
        <v>2880</v>
      </c>
      <c r="WEZ1336" s="4" t="s">
        <v>2880</v>
      </c>
      <c r="WFA1336" s="4" t="s">
        <v>2880</v>
      </c>
      <c r="WFB1336" s="4" t="s">
        <v>2880</v>
      </c>
      <c r="WFC1336" s="4" t="s">
        <v>2880</v>
      </c>
      <c r="WFD1336" s="4" t="s">
        <v>2880</v>
      </c>
      <c r="WFE1336" s="4" t="s">
        <v>2880</v>
      </c>
      <c r="WFF1336" s="4" t="s">
        <v>2880</v>
      </c>
      <c r="WFG1336" s="4" t="s">
        <v>2880</v>
      </c>
      <c r="WFH1336" s="4" t="s">
        <v>2880</v>
      </c>
      <c r="WFI1336" s="4" t="s">
        <v>2880</v>
      </c>
      <c r="WFJ1336" s="4" t="s">
        <v>2880</v>
      </c>
      <c r="WFK1336" s="4" t="s">
        <v>2880</v>
      </c>
      <c r="WFL1336" s="4" t="s">
        <v>2880</v>
      </c>
      <c r="WFM1336" s="4" t="s">
        <v>2880</v>
      </c>
      <c r="WFN1336" s="4" t="s">
        <v>2880</v>
      </c>
      <c r="WFO1336" s="4" t="s">
        <v>2880</v>
      </c>
      <c r="WFP1336" s="4" t="s">
        <v>2880</v>
      </c>
      <c r="WFQ1336" s="4" t="s">
        <v>2880</v>
      </c>
      <c r="WFR1336" s="4" t="s">
        <v>2880</v>
      </c>
      <c r="WFS1336" s="4" t="s">
        <v>2880</v>
      </c>
      <c r="WFT1336" s="4" t="s">
        <v>2880</v>
      </c>
      <c r="WFU1336" s="4" t="s">
        <v>2880</v>
      </c>
      <c r="WFV1336" s="4" t="s">
        <v>2880</v>
      </c>
      <c r="WFW1336" s="4" t="s">
        <v>2880</v>
      </c>
      <c r="WFX1336" s="4" t="s">
        <v>2880</v>
      </c>
      <c r="WFY1336" s="4" t="s">
        <v>2880</v>
      </c>
      <c r="WFZ1336" s="4" t="s">
        <v>2880</v>
      </c>
      <c r="WGA1336" s="4" t="s">
        <v>2880</v>
      </c>
      <c r="WGB1336" s="4" t="s">
        <v>2880</v>
      </c>
      <c r="WGC1336" s="4" t="s">
        <v>2880</v>
      </c>
      <c r="WGD1336" s="4" t="s">
        <v>2880</v>
      </c>
      <c r="WGE1336" s="4" t="s">
        <v>2880</v>
      </c>
      <c r="WGF1336" s="4" t="s">
        <v>2880</v>
      </c>
      <c r="WGG1336" s="4" t="s">
        <v>2880</v>
      </c>
      <c r="WGH1336" s="4" t="s">
        <v>2880</v>
      </c>
      <c r="WGI1336" s="4" t="s">
        <v>2880</v>
      </c>
      <c r="WGJ1336" s="4" t="s">
        <v>2880</v>
      </c>
      <c r="WGK1336" s="4" t="s">
        <v>2880</v>
      </c>
      <c r="WGL1336" s="4" t="s">
        <v>2880</v>
      </c>
      <c r="WGM1336" s="4" t="s">
        <v>2880</v>
      </c>
      <c r="WGN1336" s="4" t="s">
        <v>2880</v>
      </c>
      <c r="WGO1336" s="4" t="s">
        <v>2880</v>
      </c>
      <c r="WGP1336" s="4" t="s">
        <v>2880</v>
      </c>
      <c r="WGQ1336" s="4" t="s">
        <v>2880</v>
      </c>
      <c r="WGR1336" s="4" t="s">
        <v>2880</v>
      </c>
      <c r="WGS1336" s="4" t="s">
        <v>2880</v>
      </c>
      <c r="WGT1336" s="4" t="s">
        <v>2880</v>
      </c>
      <c r="WGU1336" s="4" t="s">
        <v>2880</v>
      </c>
      <c r="WGV1336" s="4" t="s">
        <v>2880</v>
      </c>
      <c r="WGW1336" s="4" t="s">
        <v>2880</v>
      </c>
      <c r="WGX1336" s="4" t="s">
        <v>2880</v>
      </c>
      <c r="WGY1336" s="4" t="s">
        <v>2880</v>
      </c>
      <c r="WGZ1336" s="4" t="s">
        <v>2880</v>
      </c>
      <c r="WHA1336" s="4" t="s">
        <v>2880</v>
      </c>
      <c r="WHB1336" s="4" t="s">
        <v>2880</v>
      </c>
      <c r="WHC1336" s="4" t="s">
        <v>2880</v>
      </c>
      <c r="WHD1336" s="4" t="s">
        <v>2880</v>
      </c>
      <c r="WHE1336" s="4" t="s">
        <v>2880</v>
      </c>
      <c r="WHF1336" s="4" t="s">
        <v>2880</v>
      </c>
      <c r="WHG1336" s="4" t="s">
        <v>2880</v>
      </c>
      <c r="WHH1336" s="4" t="s">
        <v>2880</v>
      </c>
      <c r="WHI1336" s="4" t="s">
        <v>2880</v>
      </c>
      <c r="WHJ1336" s="4" t="s">
        <v>2880</v>
      </c>
      <c r="WHK1336" s="4" t="s">
        <v>2880</v>
      </c>
      <c r="WHL1336" s="4" t="s">
        <v>2880</v>
      </c>
      <c r="WHM1336" s="4" t="s">
        <v>2880</v>
      </c>
      <c r="WHN1336" s="4" t="s">
        <v>2880</v>
      </c>
      <c r="WHO1336" s="4" t="s">
        <v>2880</v>
      </c>
      <c r="WHP1336" s="4" t="s">
        <v>2880</v>
      </c>
      <c r="WHQ1336" s="4" t="s">
        <v>2880</v>
      </c>
      <c r="WHR1336" s="4" t="s">
        <v>2880</v>
      </c>
      <c r="WHS1336" s="4" t="s">
        <v>2880</v>
      </c>
      <c r="WHT1336" s="4" t="s">
        <v>2880</v>
      </c>
      <c r="WHU1336" s="4" t="s">
        <v>2880</v>
      </c>
      <c r="WHV1336" s="4" t="s">
        <v>2880</v>
      </c>
      <c r="WHW1336" s="4" t="s">
        <v>2880</v>
      </c>
      <c r="WHX1336" s="4" t="s">
        <v>2880</v>
      </c>
      <c r="WHY1336" s="4" t="s">
        <v>2880</v>
      </c>
      <c r="WHZ1336" s="4" t="s">
        <v>2880</v>
      </c>
      <c r="WIA1336" s="4" t="s">
        <v>2880</v>
      </c>
      <c r="WIB1336" s="4" t="s">
        <v>2880</v>
      </c>
      <c r="WIC1336" s="4" t="s">
        <v>2880</v>
      </c>
      <c r="WID1336" s="4" t="s">
        <v>2880</v>
      </c>
      <c r="WIE1336" s="4" t="s">
        <v>2880</v>
      </c>
      <c r="WIF1336" s="4" t="s">
        <v>2880</v>
      </c>
      <c r="WIG1336" s="4" t="s">
        <v>2880</v>
      </c>
      <c r="WIH1336" s="4" t="s">
        <v>2880</v>
      </c>
      <c r="WII1336" s="4" t="s">
        <v>2880</v>
      </c>
      <c r="WIJ1336" s="4" t="s">
        <v>2880</v>
      </c>
      <c r="WIK1336" s="4" t="s">
        <v>2880</v>
      </c>
      <c r="WIL1336" s="4" t="s">
        <v>2880</v>
      </c>
      <c r="WIM1336" s="4" t="s">
        <v>2880</v>
      </c>
      <c r="WIN1336" s="4" t="s">
        <v>2880</v>
      </c>
      <c r="WIO1336" s="4" t="s">
        <v>2880</v>
      </c>
      <c r="WIP1336" s="4" t="s">
        <v>2880</v>
      </c>
      <c r="WIQ1336" s="4" t="s">
        <v>2880</v>
      </c>
      <c r="WIR1336" s="4" t="s">
        <v>2880</v>
      </c>
      <c r="WIS1336" s="4" t="s">
        <v>2880</v>
      </c>
      <c r="WIT1336" s="4" t="s">
        <v>2880</v>
      </c>
      <c r="WIU1336" s="4" t="s">
        <v>2880</v>
      </c>
      <c r="WIV1336" s="4" t="s">
        <v>2880</v>
      </c>
      <c r="WIW1336" s="4" t="s">
        <v>2880</v>
      </c>
      <c r="WIX1336" s="4" t="s">
        <v>2880</v>
      </c>
      <c r="WIY1336" s="4" t="s">
        <v>2880</v>
      </c>
      <c r="WIZ1336" s="4" t="s">
        <v>2880</v>
      </c>
      <c r="WJA1336" s="4" t="s">
        <v>2880</v>
      </c>
      <c r="WJB1336" s="4" t="s">
        <v>2880</v>
      </c>
      <c r="WJC1336" s="4" t="s">
        <v>2880</v>
      </c>
      <c r="WJD1336" s="4" t="s">
        <v>2880</v>
      </c>
      <c r="WJE1336" s="4" t="s">
        <v>2880</v>
      </c>
      <c r="WJF1336" s="4" t="s">
        <v>2880</v>
      </c>
      <c r="WJG1336" s="4" t="s">
        <v>2880</v>
      </c>
      <c r="WJH1336" s="4" t="s">
        <v>2880</v>
      </c>
      <c r="WJI1336" s="4" t="s">
        <v>2880</v>
      </c>
      <c r="WJJ1336" s="4" t="s">
        <v>2880</v>
      </c>
      <c r="WJK1336" s="4" t="s">
        <v>2880</v>
      </c>
      <c r="WJL1336" s="4" t="s">
        <v>2880</v>
      </c>
      <c r="WJM1336" s="4" t="s">
        <v>2880</v>
      </c>
      <c r="WJN1336" s="4" t="s">
        <v>2880</v>
      </c>
      <c r="WJO1336" s="4" t="s">
        <v>2880</v>
      </c>
      <c r="WJP1336" s="4" t="s">
        <v>2880</v>
      </c>
      <c r="WJQ1336" s="4" t="s">
        <v>2880</v>
      </c>
      <c r="WJR1336" s="4" t="s">
        <v>2880</v>
      </c>
      <c r="WJS1336" s="4" t="s">
        <v>2880</v>
      </c>
      <c r="WJT1336" s="4" t="s">
        <v>2880</v>
      </c>
      <c r="WJU1336" s="4" t="s">
        <v>2880</v>
      </c>
      <c r="WJV1336" s="4" t="s">
        <v>2880</v>
      </c>
      <c r="WJW1336" s="4" t="s">
        <v>2880</v>
      </c>
      <c r="WJX1336" s="4" t="s">
        <v>2880</v>
      </c>
      <c r="WJY1336" s="4" t="s">
        <v>2880</v>
      </c>
      <c r="WJZ1336" s="4" t="s">
        <v>2880</v>
      </c>
      <c r="WKA1336" s="4" t="s">
        <v>2880</v>
      </c>
      <c r="WKB1336" s="4" t="s">
        <v>2880</v>
      </c>
      <c r="WKC1336" s="4" t="s">
        <v>2880</v>
      </c>
      <c r="WKD1336" s="4" t="s">
        <v>2880</v>
      </c>
      <c r="WKE1336" s="4" t="s">
        <v>2880</v>
      </c>
      <c r="WKF1336" s="4" t="s">
        <v>2880</v>
      </c>
      <c r="WKG1336" s="4" t="s">
        <v>2880</v>
      </c>
      <c r="WKH1336" s="4" t="s">
        <v>2880</v>
      </c>
      <c r="WKI1336" s="4" t="s">
        <v>2880</v>
      </c>
      <c r="WKJ1336" s="4" t="s">
        <v>2880</v>
      </c>
      <c r="WKK1336" s="4" t="s">
        <v>2880</v>
      </c>
      <c r="WKL1336" s="4" t="s">
        <v>2880</v>
      </c>
      <c r="WKM1336" s="4" t="s">
        <v>2880</v>
      </c>
      <c r="WKN1336" s="4" t="s">
        <v>2880</v>
      </c>
      <c r="WKO1336" s="4" t="s">
        <v>2880</v>
      </c>
      <c r="WKP1336" s="4" t="s">
        <v>2880</v>
      </c>
      <c r="WKQ1336" s="4" t="s">
        <v>2880</v>
      </c>
      <c r="WKR1336" s="4" t="s">
        <v>2880</v>
      </c>
      <c r="WKS1336" s="4" t="s">
        <v>2880</v>
      </c>
      <c r="WKT1336" s="4" t="s">
        <v>2880</v>
      </c>
      <c r="WKU1336" s="4" t="s">
        <v>2880</v>
      </c>
      <c r="WKV1336" s="4" t="s">
        <v>2880</v>
      </c>
      <c r="WKW1336" s="4" t="s">
        <v>2880</v>
      </c>
      <c r="WKX1336" s="4" t="s">
        <v>2880</v>
      </c>
      <c r="WKY1336" s="4" t="s">
        <v>2880</v>
      </c>
      <c r="WKZ1336" s="4" t="s">
        <v>2880</v>
      </c>
      <c r="WLA1336" s="4" t="s">
        <v>2880</v>
      </c>
      <c r="WLB1336" s="4" t="s">
        <v>2880</v>
      </c>
      <c r="WLC1336" s="4" t="s">
        <v>2880</v>
      </c>
      <c r="WLD1336" s="4" t="s">
        <v>2880</v>
      </c>
      <c r="WLE1336" s="4" t="s">
        <v>2880</v>
      </c>
      <c r="WLF1336" s="4" t="s">
        <v>2880</v>
      </c>
      <c r="WLG1336" s="4" t="s">
        <v>2880</v>
      </c>
      <c r="WLH1336" s="4" t="s">
        <v>2880</v>
      </c>
      <c r="WLI1336" s="4" t="s">
        <v>2880</v>
      </c>
      <c r="WLJ1336" s="4" t="s">
        <v>2880</v>
      </c>
      <c r="WLK1336" s="4" t="s">
        <v>2880</v>
      </c>
      <c r="WLL1336" s="4" t="s">
        <v>2880</v>
      </c>
      <c r="WLM1336" s="4" t="s">
        <v>2880</v>
      </c>
      <c r="WLN1336" s="4" t="s">
        <v>2880</v>
      </c>
      <c r="WLO1336" s="4" t="s">
        <v>2880</v>
      </c>
      <c r="WLP1336" s="4" t="s">
        <v>2880</v>
      </c>
      <c r="WLQ1336" s="4" t="s">
        <v>2880</v>
      </c>
      <c r="WLR1336" s="4" t="s">
        <v>2880</v>
      </c>
      <c r="WLS1336" s="4" t="s">
        <v>2880</v>
      </c>
      <c r="WLT1336" s="4" t="s">
        <v>2880</v>
      </c>
      <c r="WLU1336" s="4" t="s">
        <v>2880</v>
      </c>
      <c r="WLV1336" s="4" t="s">
        <v>2880</v>
      </c>
      <c r="WLW1336" s="4" t="s">
        <v>2880</v>
      </c>
      <c r="WLX1336" s="4" t="s">
        <v>2880</v>
      </c>
      <c r="WLY1336" s="4" t="s">
        <v>2880</v>
      </c>
      <c r="WLZ1336" s="4" t="s">
        <v>2880</v>
      </c>
      <c r="WMA1336" s="4" t="s">
        <v>2880</v>
      </c>
      <c r="WMB1336" s="4" t="s">
        <v>2880</v>
      </c>
      <c r="WMC1336" s="4" t="s">
        <v>2880</v>
      </c>
      <c r="WMD1336" s="4" t="s">
        <v>2880</v>
      </c>
      <c r="WME1336" s="4" t="s">
        <v>2880</v>
      </c>
      <c r="WMF1336" s="4" t="s">
        <v>2880</v>
      </c>
      <c r="WMG1336" s="4" t="s">
        <v>2880</v>
      </c>
      <c r="WMH1336" s="4" t="s">
        <v>2880</v>
      </c>
      <c r="WMI1336" s="4" t="s">
        <v>2880</v>
      </c>
      <c r="WMJ1336" s="4" t="s">
        <v>2880</v>
      </c>
      <c r="WMK1336" s="4" t="s">
        <v>2880</v>
      </c>
      <c r="WML1336" s="4" t="s">
        <v>2880</v>
      </c>
      <c r="WMM1336" s="4" t="s">
        <v>2880</v>
      </c>
      <c r="WMN1336" s="4" t="s">
        <v>2880</v>
      </c>
      <c r="WMO1336" s="4" t="s">
        <v>2880</v>
      </c>
      <c r="WMP1336" s="4" t="s">
        <v>2880</v>
      </c>
      <c r="WMQ1336" s="4" t="s">
        <v>2880</v>
      </c>
      <c r="WMR1336" s="4" t="s">
        <v>2880</v>
      </c>
      <c r="WMS1336" s="4" t="s">
        <v>2880</v>
      </c>
      <c r="WMT1336" s="4" t="s">
        <v>2880</v>
      </c>
      <c r="WMU1336" s="4" t="s">
        <v>2880</v>
      </c>
      <c r="WMV1336" s="4" t="s">
        <v>2880</v>
      </c>
      <c r="WMW1336" s="4" t="s">
        <v>2880</v>
      </c>
      <c r="WMX1336" s="4" t="s">
        <v>2880</v>
      </c>
      <c r="WMY1336" s="4" t="s">
        <v>2880</v>
      </c>
      <c r="WMZ1336" s="4" t="s">
        <v>2880</v>
      </c>
      <c r="WNA1336" s="4" t="s">
        <v>2880</v>
      </c>
      <c r="WNB1336" s="4" t="s">
        <v>2880</v>
      </c>
      <c r="WNC1336" s="4" t="s">
        <v>2880</v>
      </c>
      <c r="WND1336" s="4" t="s">
        <v>2880</v>
      </c>
      <c r="WNE1336" s="4" t="s">
        <v>2880</v>
      </c>
      <c r="WNF1336" s="4" t="s">
        <v>2880</v>
      </c>
      <c r="WNG1336" s="4" t="s">
        <v>2880</v>
      </c>
      <c r="WNH1336" s="4" t="s">
        <v>2880</v>
      </c>
      <c r="WNI1336" s="4" t="s">
        <v>2880</v>
      </c>
      <c r="WNJ1336" s="4" t="s">
        <v>2880</v>
      </c>
      <c r="WNK1336" s="4" t="s">
        <v>2880</v>
      </c>
      <c r="WNL1336" s="4" t="s">
        <v>2880</v>
      </c>
      <c r="WNM1336" s="4" t="s">
        <v>2880</v>
      </c>
      <c r="WNN1336" s="4" t="s">
        <v>2880</v>
      </c>
      <c r="WNO1336" s="4" t="s">
        <v>2880</v>
      </c>
      <c r="WNP1336" s="4" t="s">
        <v>2880</v>
      </c>
      <c r="WNQ1336" s="4" t="s">
        <v>2880</v>
      </c>
      <c r="WNR1336" s="4" t="s">
        <v>2880</v>
      </c>
      <c r="WNS1336" s="4" t="s">
        <v>2880</v>
      </c>
      <c r="WNT1336" s="4" t="s">
        <v>2880</v>
      </c>
      <c r="WNU1336" s="4" t="s">
        <v>2880</v>
      </c>
      <c r="WNV1336" s="4" t="s">
        <v>2880</v>
      </c>
      <c r="WNW1336" s="4" t="s">
        <v>2880</v>
      </c>
      <c r="WNX1336" s="4" t="s">
        <v>2880</v>
      </c>
      <c r="WNY1336" s="4" t="s">
        <v>2880</v>
      </c>
      <c r="WNZ1336" s="4" t="s">
        <v>2880</v>
      </c>
      <c r="WOA1336" s="4" t="s">
        <v>2880</v>
      </c>
      <c r="WOB1336" s="4" t="s">
        <v>2880</v>
      </c>
      <c r="WOC1336" s="4" t="s">
        <v>2880</v>
      </c>
      <c r="WOD1336" s="4" t="s">
        <v>2880</v>
      </c>
      <c r="WOE1336" s="4" t="s">
        <v>2880</v>
      </c>
      <c r="WOF1336" s="4" t="s">
        <v>2880</v>
      </c>
      <c r="WOG1336" s="4" t="s">
        <v>2880</v>
      </c>
      <c r="WOH1336" s="4" t="s">
        <v>2880</v>
      </c>
      <c r="WOI1336" s="4" t="s">
        <v>2880</v>
      </c>
      <c r="WOJ1336" s="4" t="s">
        <v>2880</v>
      </c>
      <c r="WOK1336" s="4" t="s">
        <v>2880</v>
      </c>
      <c r="WOL1336" s="4" t="s">
        <v>2880</v>
      </c>
      <c r="WOM1336" s="4" t="s">
        <v>2880</v>
      </c>
      <c r="WON1336" s="4" t="s">
        <v>2880</v>
      </c>
      <c r="WOO1336" s="4" t="s">
        <v>2880</v>
      </c>
      <c r="WOP1336" s="4" t="s">
        <v>2880</v>
      </c>
      <c r="WOQ1336" s="4" t="s">
        <v>2880</v>
      </c>
      <c r="WOR1336" s="4" t="s">
        <v>2880</v>
      </c>
      <c r="WOS1336" s="4" t="s">
        <v>2880</v>
      </c>
      <c r="WOT1336" s="4" t="s">
        <v>2880</v>
      </c>
      <c r="WOU1336" s="4" t="s">
        <v>2880</v>
      </c>
      <c r="WOV1336" s="4" t="s">
        <v>2880</v>
      </c>
      <c r="WOW1336" s="4" t="s">
        <v>2880</v>
      </c>
      <c r="WOX1336" s="4" t="s">
        <v>2880</v>
      </c>
      <c r="WOY1336" s="4" t="s">
        <v>2880</v>
      </c>
      <c r="WOZ1336" s="4" t="s">
        <v>2880</v>
      </c>
      <c r="WPA1336" s="4" t="s">
        <v>2880</v>
      </c>
      <c r="WPB1336" s="4" t="s">
        <v>2880</v>
      </c>
      <c r="WPC1336" s="4" t="s">
        <v>2880</v>
      </c>
      <c r="WPD1336" s="4" t="s">
        <v>2880</v>
      </c>
      <c r="WPE1336" s="4" t="s">
        <v>2880</v>
      </c>
      <c r="WPF1336" s="4" t="s">
        <v>2880</v>
      </c>
      <c r="WPG1336" s="4" t="s">
        <v>2880</v>
      </c>
      <c r="WPH1336" s="4" t="s">
        <v>2880</v>
      </c>
      <c r="WPI1336" s="4" t="s">
        <v>2880</v>
      </c>
      <c r="WPJ1336" s="4" t="s">
        <v>2880</v>
      </c>
      <c r="WPK1336" s="4" t="s">
        <v>2880</v>
      </c>
      <c r="WPL1336" s="4" t="s">
        <v>2880</v>
      </c>
      <c r="WPM1336" s="4" t="s">
        <v>2880</v>
      </c>
      <c r="WPN1336" s="4" t="s">
        <v>2880</v>
      </c>
      <c r="WPO1336" s="4" t="s">
        <v>2880</v>
      </c>
      <c r="WPP1336" s="4" t="s">
        <v>2880</v>
      </c>
      <c r="WPQ1336" s="4" t="s">
        <v>2880</v>
      </c>
      <c r="WPR1336" s="4" t="s">
        <v>2880</v>
      </c>
      <c r="WPS1336" s="4" t="s">
        <v>2880</v>
      </c>
      <c r="WPT1336" s="4" t="s">
        <v>2880</v>
      </c>
      <c r="WPU1336" s="4" t="s">
        <v>2880</v>
      </c>
      <c r="WPV1336" s="4" t="s">
        <v>2880</v>
      </c>
      <c r="WPW1336" s="4" t="s">
        <v>2880</v>
      </c>
      <c r="WPX1336" s="4" t="s">
        <v>2880</v>
      </c>
      <c r="WPY1336" s="4" t="s">
        <v>2880</v>
      </c>
      <c r="WPZ1336" s="4" t="s">
        <v>2880</v>
      </c>
      <c r="WQA1336" s="4" t="s">
        <v>2880</v>
      </c>
      <c r="WQB1336" s="4" t="s">
        <v>2880</v>
      </c>
      <c r="WQC1336" s="4" t="s">
        <v>2880</v>
      </c>
      <c r="WQD1336" s="4" t="s">
        <v>2880</v>
      </c>
      <c r="WQE1336" s="4" t="s">
        <v>2880</v>
      </c>
      <c r="WQF1336" s="4" t="s">
        <v>2880</v>
      </c>
      <c r="WQG1336" s="4" t="s">
        <v>2880</v>
      </c>
      <c r="WQH1336" s="4" t="s">
        <v>2880</v>
      </c>
      <c r="WQI1336" s="4" t="s">
        <v>2880</v>
      </c>
      <c r="WQJ1336" s="4" t="s">
        <v>2880</v>
      </c>
      <c r="WQK1336" s="4" t="s">
        <v>2880</v>
      </c>
      <c r="WQL1336" s="4" t="s">
        <v>2880</v>
      </c>
      <c r="WQM1336" s="4" t="s">
        <v>2880</v>
      </c>
      <c r="WQN1336" s="4" t="s">
        <v>2880</v>
      </c>
      <c r="WQO1336" s="4" t="s">
        <v>2880</v>
      </c>
      <c r="WQP1336" s="4" t="s">
        <v>2880</v>
      </c>
      <c r="WQQ1336" s="4" t="s">
        <v>2880</v>
      </c>
      <c r="WQR1336" s="4" t="s">
        <v>2880</v>
      </c>
      <c r="WQS1336" s="4" t="s">
        <v>2880</v>
      </c>
      <c r="WQT1336" s="4" t="s">
        <v>2880</v>
      </c>
      <c r="WQU1336" s="4" t="s">
        <v>2880</v>
      </c>
      <c r="WQV1336" s="4" t="s">
        <v>2880</v>
      </c>
      <c r="WQW1336" s="4" t="s">
        <v>2880</v>
      </c>
      <c r="WQX1336" s="4" t="s">
        <v>2880</v>
      </c>
      <c r="WQY1336" s="4" t="s">
        <v>2880</v>
      </c>
      <c r="WQZ1336" s="4" t="s">
        <v>2880</v>
      </c>
      <c r="WRA1336" s="4" t="s">
        <v>2880</v>
      </c>
      <c r="WRB1336" s="4" t="s">
        <v>2880</v>
      </c>
      <c r="WRC1336" s="4" t="s">
        <v>2880</v>
      </c>
      <c r="WRD1336" s="4" t="s">
        <v>2880</v>
      </c>
      <c r="WRE1336" s="4" t="s">
        <v>2880</v>
      </c>
      <c r="WRF1336" s="4" t="s">
        <v>2880</v>
      </c>
      <c r="WRG1336" s="4" t="s">
        <v>2880</v>
      </c>
      <c r="WRH1336" s="4" t="s">
        <v>2880</v>
      </c>
      <c r="WRI1336" s="4" t="s">
        <v>2880</v>
      </c>
      <c r="WRJ1336" s="4" t="s">
        <v>2880</v>
      </c>
      <c r="WRK1336" s="4" t="s">
        <v>2880</v>
      </c>
      <c r="WRL1336" s="4" t="s">
        <v>2880</v>
      </c>
      <c r="WRM1336" s="4" t="s">
        <v>2880</v>
      </c>
      <c r="WRN1336" s="4" t="s">
        <v>2880</v>
      </c>
      <c r="WRO1336" s="4" t="s">
        <v>2880</v>
      </c>
      <c r="WRP1336" s="4" t="s">
        <v>2880</v>
      </c>
      <c r="WRQ1336" s="4" t="s">
        <v>2880</v>
      </c>
      <c r="WRR1336" s="4" t="s">
        <v>2880</v>
      </c>
      <c r="WRS1336" s="4" t="s">
        <v>2880</v>
      </c>
      <c r="WRT1336" s="4" t="s">
        <v>2880</v>
      </c>
      <c r="WRU1336" s="4" t="s">
        <v>2880</v>
      </c>
      <c r="WRV1336" s="4" t="s">
        <v>2880</v>
      </c>
      <c r="WRW1336" s="4" t="s">
        <v>2880</v>
      </c>
      <c r="WRX1336" s="4" t="s">
        <v>2880</v>
      </c>
      <c r="WRY1336" s="4" t="s">
        <v>2880</v>
      </c>
      <c r="WRZ1336" s="4" t="s">
        <v>2880</v>
      </c>
      <c r="WSA1336" s="4" t="s">
        <v>2880</v>
      </c>
      <c r="WSB1336" s="4" t="s">
        <v>2880</v>
      </c>
      <c r="WSC1336" s="4" t="s">
        <v>2880</v>
      </c>
      <c r="WSD1336" s="4" t="s">
        <v>2880</v>
      </c>
      <c r="WSE1336" s="4" t="s">
        <v>2880</v>
      </c>
      <c r="WSF1336" s="4" t="s">
        <v>2880</v>
      </c>
      <c r="WSG1336" s="4" t="s">
        <v>2880</v>
      </c>
      <c r="WSH1336" s="4" t="s">
        <v>2880</v>
      </c>
      <c r="WSI1336" s="4" t="s">
        <v>2880</v>
      </c>
      <c r="WSJ1336" s="4" t="s">
        <v>2880</v>
      </c>
      <c r="WSK1336" s="4" t="s">
        <v>2880</v>
      </c>
      <c r="WSL1336" s="4" t="s">
        <v>2880</v>
      </c>
      <c r="WSM1336" s="4" t="s">
        <v>2880</v>
      </c>
      <c r="WSN1336" s="4" t="s">
        <v>2880</v>
      </c>
      <c r="WSO1336" s="4" t="s">
        <v>2880</v>
      </c>
      <c r="WSP1336" s="4" t="s">
        <v>2880</v>
      </c>
      <c r="WSQ1336" s="4" t="s">
        <v>2880</v>
      </c>
      <c r="WSR1336" s="4" t="s">
        <v>2880</v>
      </c>
      <c r="WSS1336" s="4" t="s">
        <v>2880</v>
      </c>
      <c r="WST1336" s="4" t="s">
        <v>2880</v>
      </c>
      <c r="WSU1336" s="4" t="s">
        <v>2880</v>
      </c>
      <c r="WSV1336" s="4" t="s">
        <v>2880</v>
      </c>
      <c r="WSW1336" s="4" t="s">
        <v>2880</v>
      </c>
      <c r="WSX1336" s="4" t="s">
        <v>2880</v>
      </c>
      <c r="WSY1336" s="4" t="s">
        <v>2880</v>
      </c>
      <c r="WSZ1336" s="4" t="s">
        <v>2880</v>
      </c>
      <c r="WTA1336" s="4" t="s">
        <v>2880</v>
      </c>
      <c r="WTB1336" s="4" t="s">
        <v>2880</v>
      </c>
      <c r="WTC1336" s="4" t="s">
        <v>2880</v>
      </c>
      <c r="WTD1336" s="4" t="s">
        <v>2880</v>
      </c>
      <c r="WTE1336" s="4" t="s">
        <v>2880</v>
      </c>
      <c r="WTF1336" s="4" t="s">
        <v>2880</v>
      </c>
      <c r="WTG1336" s="4" t="s">
        <v>2880</v>
      </c>
      <c r="WTH1336" s="4" t="s">
        <v>2880</v>
      </c>
      <c r="WTI1336" s="4" t="s">
        <v>2880</v>
      </c>
      <c r="WTJ1336" s="4" t="s">
        <v>2880</v>
      </c>
      <c r="WTK1336" s="4" t="s">
        <v>2880</v>
      </c>
      <c r="WTL1336" s="4" t="s">
        <v>2880</v>
      </c>
      <c r="WTM1336" s="4" t="s">
        <v>2880</v>
      </c>
      <c r="WTN1336" s="4" t="s">
        <v>2880</v>
      </c>
      <c r="WTO1336" s="4" t="s">
        <v>2880</v>
      </c>
      <c r="WTP1336" s="4" t="s">
        <v>2880</v>
      </c>
      <c r="WTQ1336" s="4" t="s">
        <v>2880</v>
      </c>
      <c r="WTR1336" s="4" t="s">
        <v>2880</v>
      </c>
      <c r="WTS1336" s="4" t="s">
        <v>2880</v>
      </c>
      <c r="WTT1336" s="4" t="s">
        <v>2880</v>
      </c>
      <c r="WTU1336" s="4" t="s">
        <v>2880</v>
      </c>
      <c r="WTV1336" s="4" t="s">
        <v>2880</v>
      </c>
      <c r="WTW1336" s="4" t="s">
        <v>2880</v>
      </c>
      <c r="WTX1336" s="4" t="s">
        <v>2880</v>
      </c>
      <c r="WTY1336" s="4" t="s">
        <v>2880</v>
      </c>
      <c r="WTZ1336" s="4" t="s">
        <v>2880</v>
      </c>
      <c r="WUA1336" s="4" t="s">
        <v>2880</v>
      </c>
      <c r="WUB1336" s="4" t="s">
        <v>2880</v>
      </c>
      <c r="WUC1336" s="4" t="s">
        <v>2880</v>
      </c>
      <c r="WUD1336" s="4" t="s">
        <v>2880</v>
      </c>
      <c r="WUE1336" s="4" t="s">
        <v>2880</v>
      </c>
      <c r="WUF1336" s="4" t="s">
        <v>2880</v>
      </c>
      <c r="WUG1336" s="4" t="s">
        <v>2880</v>
      </c>
      <c r="WUH1336" s="4" t="s">
        <v>2880</v>
      </c>
      <c r="WUI1336" s="4" t="s">
        <v>2880</v>
      </c>
      <c r="WUJ1336" s="4" t="s">
        <v>2880</v>
      </c>
      <c r="WUK1336" s="4" t="s">
        <v>2880</v>
      </c>
      <c r="WUL1336" s="4" t="s">
        <v>2880</v>
      </c>
      <c r="WUM1336" s="4" t="s">
        <v>2880</v>
      </c>
      <c r="WUN1336" s="4" t="s">
        <v>2880</v>
      </c>
      <c r="WUO1336" s="4" t="s">
        <v>2880</v>
      </c>
      <c r="WUP1336" s="4" t="s">
        <v>2880</v>
      </c>
      <c r="WUQ1336" s="4" t="s">
        <v>2880</v>
      </c>
      <c r="WUR1336" s="4" t="s">
        <v>2880</v>
      </c>
      <c r="WUS1336" s="4" t="s">
        <v>2880</v>
      </c>
      <c r="WUT1336" s="4" t="s">
        <v>2880</v>
      </c>
      <c r="WUU1336" s="4" t="s">
        <v>2880</v>
      </c>
      <c r="WUV1336" s="4" t="s">
        <v>2880</v>
      </c>
      <c r="WUW1336" s="4" t="s">
        <v>2880</v>
      </c>
      <c r="WUX1336" s="4" t="s">
        <v>2880</v>
      </c>
      <c r="WUY1336" s="4" t="s">
        <v>2880</v>
      </c>
      <c r="WUZ1336" s="4" t="s">
        <v>2880</v>
      </c>
      <c r="WVA1336" s="4" t="s">
        <v>2880</v>
      </c>
      <c r="WVB1336" s="4" t="s">
        <v>2880</v>
      </c>
      <c r="WVC1336" s="4" t="s">
        <v>2880</v>
      </c>
      <c r="WVD1336" s="4" t="s">
        <v>2880</v>
      </c>
      <c r="WVE1336" s="4" t="s">
        <v>2880</v>
      </c>
      <c r="WVF1336" s="4" t="s">
        <v>2880</v>
      </c>
      <c r="WVG1336" s="4" t="s">
        <v>2880</v>
      </c>
      <c r="WVH1336" s="4" t="s">
        <v>2880</v>
      </c>
      <c r="WVI1336" s="4" t="s">
        <v>2880</v>
      </c>
      <c r="WVJ1336" s="4" t="s">
        <v>2880</v>
      </c>
      <c r="WVK1336" s="4" t="s">
        <v>2880</v>
      </c>
      <c r="WVL1336" s="4" t="s">
        <v>2880</v>
      </c>
      <c r="WVM1336" s="4" t="s">
        <v>2880</v>
      </c>
      <c r="WVN1336" s="4" t="s">
        <v>2880</v>
      </c>
      <c r="WVO1336" s="4" t="s">
        <v>2880</v>
      </c>
      <c r="WVP1336" s="4" t="s">
        <v>2880</v>
      </c>
      <c r="WVQ1336" s="4" t="s">
        <v>2880</v>
      </c>
      <c r="WVR1336" s="4" t="s">
        <v>2880</v>
      </c>
      <c r="WVS1336" s="4" t="s">
        <v>2880</v>
      </c>
      <c r="WVT1336" s="4" t="s">
        <v>2880</v>
      </c>
      <c r="WVU1336" s="4" t="s">
        <v>2880</v>
      </c>
      <c r="WVV1336" s="4" t="s">
        <v>2880</v>
      </c>
      <c r="WVW1336" s="4" t="s">
        <v>2880</v>
      </c>
      <c r="WVX1336" s="4" t="s">
        <v>2880</v>
      </c>
      <c r="WVY1336" s="4" t="s">
        <v>2880</v>
      </c>
      <c r="WVZ1336" s="4" t="s">
        <v>2880</v>
      </c>
      <c r="WWA1336" s="4" t="s">
        <v>2880</v>
      </c>
      <c r="WWB1336" s="4" t="s">
        <v>2880</v>
      </c>
      <c r="WWC1336" s="4" t="s">
        <v>2880</v>
      </c>
      <c r="WWD1336" s="4" t="s">
        <v>2880</v>
      </c>
      <c r="WWE1336" s="4" t="s">
        <v>2880</v>
      </c>
      <c r="WWF1336" s="4" t="s">
        <v>2880</v>
      </c>
      <c r="WWG1336" s="4" t="s">
        <v>2880</v>
      </c>
      <c r="WWH1336" s="4" t="s">
        <v>2880</v>
      </c>
      <c r="WWI1336" s="4" t="s">
        <v>2880</v>
      </c>
      <c r="WWJ1336" s="4" t="s">
        <v>2880</v>
      </c>
      <c r="WWK1336" s="4" t="s">
        <v>2880</v>
      </c>
      <c r="WWL1336" s="4" t="s">
        <v>2880</v>
      </c>
      <c r="WWM1336" s="4" t="s">
        <v>2880</v>
      </c>
      <c r="WWN1336" s="4" t="s">
        <v>2880</v>
      </c>
      <c r="WWO1336" s="4" t="s">
        <v>2880</v>
      </c>
      <c r="WWP1336" s="4" t="s">
        <v>2880</v>
      </c>
      <c r="WWQ1336" s="4" t="s">
        <v>2880</v>
      </c>
      <c r="WWR1336" s="4" t="s">
        <v>2880</v>
      </c>
      <c r="WWS1336" s="4" t="s">
        <v>2880</v>
      </c>
      <c r="WWT1336" s="4" t="s">
        <v>2880</v>
      </c>
      <c r="WWU1336" s="4" t="s">
        <v>2880</v>
      </c>
      <c r="WWV1336" s="4" t="s">
        <v>2880</v>
      </c>
      <c r="WWW1336" s="4" t="s">
        <v>2880</v>
      </c>
      <c r="WWX1336" s="4" t="s">
        <v>2880</v>
      </c>
      <c r="WWY1336" s="4" t="s">
        <v>2880</v>
      </c>
      <c r="WWZ1336" s="4" t="s">
        <v>2880</v>
      </c>
      <c r="WXA1336" s="4" t="s">
        <v>2880</v>
      </c>
      <c r="WXB1336" s="4" t="s">
        <v>2880</v>
      </c>
      <c r="WXC1336" s="4" t="s">
        <v>2880</v>
      </c>
      <c r="WXD1336" s="4" t="s">
        <v>2880</v>
      </c>
      <c r="WXE1336" s="4" t="s">
        <v>2880</v>
      </c>
      <c r="WXF1336" s="4" t="s">
        <v>2880</v>
      </c>
      <c r="WXG1336" s="4" t="s">
        <v>2880</v>
      </c>
      <c r="WXH1336" s="4" t="s">
        <v>2880</v>
      </c>
      <c r="WXI1336" s="4" t="s">
        <v>2880</v>
      </c>
      <c r="WXJ1336" s="4" t="s">
        <v>2880</v>
      </c>
      <c r="WXK1336" s="4" t="s">
        <v>2880</v>
      </c>
      <c r="WXL1336" s="4" t="s">
        <v>2880</v>
      </c>
      <c r="WXM1336" s="4" t="s">
        <v>2880</v>
      </c>
      <c r="WXN1336" s="4" t="s">
        <v>2880</v>
      </c>
      <c r="WXO1336" s="4" t="s">
        <v>2880</v>
      </c>
      <c r="WXP1336" s="4" t="s">
        <v>2880</v>
      </c>
      <c r="WXQ1336" s="4" t="s">
        <v>2880</v>
      </c>
      <c r="WXR1336" s="4" t="s">
        <v>2880</v>
      </c>
      <c r="WXS1336" s="4" t="s">
        <v>2880</v>
      </c>
      <c r="WXT1336" s="4" t="s">
        <v>2880</v>
      </c>
      <c r="WXU1336" s="4" t="s">
        <v>2880</v>
      </c>
      <c r="WXV1336" s="4" t="s">
        <v>2880</v>
      </c>
      <c r="WXW1336" s="4" t="s">
        <v>2880</v>
      </c>
      <c r="WXX1336" s="4" t="s">
        <v>2880</v>
      </c>
      <c r="WXY1336" s="4" t="s">
        <v>2880</v>
      </c>
      <c r="WXZ1336" s="4" t="s">
        <v>2880</v>
      </c>
      <c r="WYA1336" s="4" t="s">
        <v>2880</v>
      </c>
      <c r="WYB1336" s="4" t="s">
        <v>2880</v>
      </c>
      <c r="WYC1336" s="4" t="s">
        <v>2880</v>
      </c>
      <c r="WYD1336" s="4" t="s">
        <v>2880</v>
      </c>
      <c r="WYE1336" s="4" t="s">
        <v>2880</v>
      </c>
      <c r="WYF1336" s="4" t="s">
        <v>2880</v>
      </c>
      <c r="WYG1336" s="4" t="s">
        <v>2880</v>
      </c>
      <c r="WYH1336" s="4" t="s">
        <v>2880</v>
      </c>
      <c r="WYI1336" s="4" t="s">
        <v>2880</v>
      </c>
      <c r="WYJ1336" s="4" t="s">
        <v>2880</v>
      </c>
      <c r="WYK1336" s="4" t="s">
        <v>2880</v>
      </c>
      <c r="WYL1336" s="4" t="s">
        <v>2880</v>
      </c>
      <c r="WYM1336" s="4" t="s">
        <v>2880</v>
      </c>
      <c r="WYN1336" s="4" t="s">
        <v>2880</v>
      </c>
      <c r="WYO1336" s="4" t="s">
        <v>2880</v>
      </c>
      <c r="WYP1336" s="4" t="s">
        <v>2880</v>
      </c>
      <c r="WYQ1336" s="4" t="s">
        <v>2880</v>
      </c>
      <c r="WYR1336" s="4" t="s">
        <v>2880</v>
      </c>
      <c r="WYS1336" s="4" t="s">
        <v>2880</v>
      </c>
      <c r="WYT1336" s="4" t="s">
        <v>2880</v>
      </c>
      <c r="WYU1336" s="4" t="s">
        <v>2880</v>
      </c>
      <c r="WYV1336" s="4" t="s">
        <v>2880</v>
      </c>
      <c r="WYW1336" s="4" t="s">
        <v>2880</v>
      </c>
      <c r="WYX1336" s="4" t="s">
        <v>2880</v>
      </c>
      <c r="WYY1336" s="4" t="s">
        <v>2880</v>
      </c>
      <c r="WYZ1336" s="4" t="s">
        <v>2880</v>
      </c>
      <c r="WZA1336" s="4" t="s">
        <v>2880</v>
      </c>
      <c r="WZB1336" s="4" t="s">
        <v>2880</v>
      </c>
      <c r="WZC1336" s="4" t="s">
        <v>2880</v>
      </c>
      <c r="WZD1336" s="4" t="s">
        <v>2880</v>
      </c>
      <c r="WZE1336" s="4" t="s">
        <v>2880</v>
      </c>
      <c r="WZF1336" s="4" t="s">
        <v>2880</v>
      </c>
      <c r="WZG1336" s="4" t="s">
        <v>2880</v>
      </c>
      <c r="WZH1336" s="4" t="s">
        <v>2880</v>
      </c>
      <c r="WZI1336" s="4" t="s">
        <v>2880</v>
      </c>
      <c r="WZJ1336" s="4" t="s">
        <v>2880</v>
      </c>
      <c r="WZK1336" s="4" t="s">
        <v>2880</v>
      </c>
      <c r="WZL1336" s="4" t="s">
        <v>2880</v>
      </c>
      <c r="WZM1336" s="4" t="s">
        <v>2880</v>
      </c>
      <c r="WZN1336" s="4" t="s">
        <v>2880</v>
      </c>
      <c r="WZO1336" s="4" t="s">
        <v>2880</v>
      </c>
      <c r="WZP1336" s="4" t="s">
        <v>2880</v>
      </c>
      <c r="WZQ1336" s="4" t="s">
        <v>2880</v>
      </c>
      <c r="WZR1336" s="4" t="s">
        <v>2880</v>
      </c>
      <c r="WZS1336" s="4" t="s">
        <v>2880</v>
      </c>
      <c r="WZT1336" s="4" t="s">
        <v>2880</v>
      </c>
      <c r="WZU1336" s="4" t="s">
        <v>2880</v>
      </c>
      <c r="WZV1336" s="4" t="s">
        <v>2880</v>
      </c>
      <c r="WZW1336" s="4" t="s">
        <v>2880</v>
      </c>
      <c r="WZX1336" s="4" t="s">
        <v>2880</v>
      </c>
      <c r="WZY1336" s="4" t="s">
        <v>2880</v>
      </c>
      <c r="WZZ1336" s="4" t="s">
        <v>2880</v>
      </c>
      <c r="XAA1336" s="4" t="s">
        <v>2880</v>
      </c>
      <c r="XAB1336" s="4" t="s">
        <v>2880</v>
      </c>
      <c r="XAC1336" s="4" t="s">
        <v>2880</v>
      </c>
      <c r="XAD1336" s="4" t="s">
        <v>2880</v>
      </c>
      <c r="XAE1336" s="4" t="s">
        <v>2880</v>
      </c>
      <c r="XAF1336" s="4" t="s">
        <v>2880</v>
      </c>
      <c r="XAG1336" s="4" t="s">
        <v>2880</v>
      </c>
      <c r="XAH1336" s="4" t="s">
        <v>2880</v>
      </c>
      <c r="XAI1336" s="4" t="s">
        <v>2880</v>
      </c>
      <c r="XAJ1336" s="4" t="s">
        <v>2880</v>
      </c>
      <c r="XAK1336" s="4" t="s">
        <v>2880</v>
      </c>
      <c r="XAL1336" s="4" t="s">
        <v>2880</v>
      </c>
      <c r="XAM1336" s="4" t="s">
        <v>2880</v>
      </c>
      <c r="XAN1336" s="4" t="s">
        <v>2880</v>
      </c>
      <c r="XAO1336" s="4" t="s">
        <v>2880</v>
      </c>
      <c r="XAP1336" s="4" t="s">
        <v>2880</v>
      </c>
      <c r="XAQ1336" s="4" t="s">
        <v>2880</v>
      </c>
      <c r="XAR1336" s="4" t="s">
        <v>2880</v>
      </c>
      <c r="XAS1336" s="4" t="s">
        <v>2880</v>
      </c>
      <c r="XAT1336" s="4" t="s">
        <v>2880</v>
      </c>
      <c r="XAU1336" s="4" t="s">
        <v>2880</v>
      </c>
      <c r="XAV1336" s="4" t="s">
        <v>2880</v>
      </c>
      <c r="XAW1336" s="4" t="s">
        <v>2880</v>
      </c>
      <c r="XAX1336" s="4" t="s">
        <v>2880</v>
      </c>
      <c r="XAY1336" s="4" t="s">
        <v>2880</v>
      </c>
      <c r="XAZ1336" s="4" t="s">
        <v>2880</v>
      </c>
      <c r="XBA1336" s="4" t="s">
        <v>2880</v>
      </c>
      <c r="XBB1336" s="4" t="s">
        <v>2880</v>
      </c>
      <c r="XBC1336" s="4" t="s">
        <v>2880</v>
      </c>
      <c r="XBD1336" s="4" t="s">
        <v>2880</v>
      </c>
      <c r="XBE1336" s="4" t="s">
        <v>2880</v>
      </c>
      <c r="XBF1336" s="4" t="s">
        <v>2880</v>
      </c>
      <c r="XBG1336" s="4" t="s">
        <v>2880</v>
      </c>
      <c r="XBH1336" s="4" t="s">
        <v>2880</v>
      </c>
      <c r="XBI1336" s="4" t="s">
        <v>2880</v>
      </c>
      <c r="XBJ1336" s="4" t="s">
        <v>2880</v>
      </c>
      <c r="XBK1336" s="4" t="s">
        <v>2880</v>
      </c>
      <c r="XBL1336" s="4" t="s">
        <v>2880</v>
      </c>
      <c r="XBM1336" s="4" t="s">
        <v>2880</v>
      </c>
      <c r="XBN1336" s="4" t="s">
        <v>2880</v>
      </c>
      <c r="XBO1336" s="4" t="s">
        <v>2880</v>
      </c>
      <c r="XBP1336" s="4" t="s">
        <v>2880</v>
      </c>
      <c r="XBQ1336" s="4" t="s">
        <v>2880</v>
      </c>
      <c r="XBR1336" s="4" t="s">
        <v>2880</v>
      </c>
      <c r="XBS1336" s="4" t="s">
        <v>2880</v>
      </c>
      <c r="XBT1336" s="4" t="s">
        <v>2880</v>
      </c>
      <c r="XBU1336" s="4" t="s">
        <v>2880</v>
      </c>
      <c r="XBV1336" s="4" t="s">
        <v>2880</v>
      </c>
      <c r="XBW1336" s="4" t="s">
        <v>2880</v>
      </c>
      <c r="XBX1336" s="4" t="s">
        <v>2880</v>
      </c>
      <c r="XBY1336" s="4" t="s">
        <v>2880</v>
      </c>
      <c r="XBZ1336" s="4" t="s">
        <v>2880</v>
      </c>
      <c r="XCA1336" s="4" t="s">
        <v>2880</v>
      </c>
      <c r="XCB1336" s="4" t="s">
        <v>2880</v>
      </c>
      <c r="XCC1336" s="4" t="s">
        <v>2880</v>
      </c>
      <c r="XCD1336" s="4" t="s">
        <v>2880</v>
      </c>
      <c r="XCE1336" s="4" t="s">
        <v>2880</v>
      </c>
      <c r="XCF1336" s="4" t="s">
        <v>2880</v>
      </c>
      <c r="XCG1336" s="4" t="s">
        <v>2880</v>
      </c>
      <c r="XCH1336" s="4" t="s">
        <v>2880</v>
      </c>
      <c r="XCI1336" s="4" t="s">
        <v>2880</v>
      </c>
      <c r="XCJ1336" s="4" t="s">
        <v>2880</v>
      </c>
      <c r="XCK1336" s="4" t="s">
        <v>2880</v>
      </c>
      <c r="XCL1336" s="4" t="s">
        <v>2880</v>
      </c>
      <c r="XCM1336" s="4" t="s">
        <v>2880</v>
      </c>
      <c r="XCN1336" s="4" t="s">
        <v>2880</v>
      </c>
      <c r="XCO1336" s="4" t="s">
        <v>2880</v>
      </c>
      <c r="XCP1336" s="4" t="s">
        <v>2880</v>
      </c>
      <c r="XCQ1336" s="4" t="s">
        <v>2880</v>
      </c>
      <c r="XCR1336" s="4" t="s">
        <v>2880</v>
      </c>
      <c r="XCS1336" s="4" t="s">
        <v>2880</v>
      </c>
      <c r="XCT1336" s="4" t="s">
        <v>2880</v>
      </c>
      <c r="XCU1336" s="4" t="s">
        <v>2880</v>
      </c>
      <c r="XCV1336" s="4" t="s">
        <v>2880</v>
      </c>
      <c r="XCW1336" s="4" t="s">
        <v>2880</v>
      </c>
      <c r="XCX1336" s="4" t="s">
        <v>2880</v>
      </c>
      <c r="XCY1336" s="4" t="s">
        <v>2880</v>
      </c>
      <c r="XCZ1336" s="4" t="s">
        <v>2880</v>
      </c>
      <c r="XDA1336" s="4" t="s">
        <v>2880</v>
      </c>
      <c r="XDB1336" s="4" t="s">
        <v>2880</v>
      </c>
      <c r="XDC1336" s="4" t="s">
        <v>2880</v>
      </c>
      <c r="XDD1336" s="4" t="s">
        <v>2880</v>
      </c>
      <c r="XDE1336" s="4" t="s">
        <v>2880</v>
      </c>
      <c r="XDF1336" s="4" t="s">
        <v>2880</v>
      </c>
      <c r="XDG1336" s="4" t="s">
        <v>2880</v>
      </c>
      <c r="XDH1336" s="4" t="s">
        <v>2880</v>
      </c>
      <c r="XDI1336" s="4" t="s">
        <v>2880</v>
      </c>
      <c r="XDJ1336" s="4" t="s">
        <v>2880</v>
      </c>
      <c r="XDK1336" s="4" t="s">
        <v>2880</v>
      </c>
      <c r="XDL1336" s="4" t="s">
        <v>2880</v>
      </c>
      <c r="XDM1336" s="4" t="s">
        <v>2880</v>
      </c>
      <c r="XDN1336" s="4" t="s">
        <v>2880</v>
      </c>
      <c r="XDO1336" s="4" t="s">
        <v>2880</v>
      </c>
      <c r="XDP1336" s="4" t="s">
        <v>2880</v>
      </c>
      <c r="XDQ1336" s="4" t="s">
        <v>2880</v>
      </c>
      <c r="XDR1336" s="4" t="s">
        <v>2880</v>
      </c>
      <c r="XDS1336" s="4" t="s">
        <v>2880</v>
      </c>
      <c r="XDT1336" s="4" t="s">
        <v>2880</v>
      </c>
      <c r="XDU1336" s="4" t="s">
        <v>2880</v>
      </c>
      <c r="XDV1336" s="4" t="s">
        <v>2880</v>
      </c>
      <c r="XDW1336" s="4" t="s">
        <v>2880</v>
      </c>
      <c r="XDX1336" s="4" t="s">
        <v>2880</v>
      </c>
      <c r="XDY1336" s="4" t="s">
        <v>2880</v>
      </c>
      <c r="XDZ1336" s="4" t="s">
        <v>2880</v>
      </c>
      <c r="XEA1336" s="4" t="s">
        <v>2880</v>
      </c>
      <c r="XEB1336" s="4" t="s">
        <v>2880</v>
      </c>
      <c r="XEC1336" s="4" t="s">
        <v>2880</v>
      </c>
      <c r="XED1336" s="4" t="s">
        <v>2880</v>
      </c>
      <c r="XEE1336" s="4" t="s">
        <v>2880</v>
      </c>
      <c r="XEF1336" s="4" t="s">
        <v>2880</v>
      </c>
      <c r="XEG1336" s="4" t="s">
        <v>2880</v>
      </c>
      <c r="XEH1336" s="4" t="s">
        <v>2880</v>
      </c>
      <c r="XEI1336" s="4" t="s">
        <v>2880</v>
      </c>
      <c r="XEJ1336" s="4" t="s">
        <v>2880</v>
      </c>
      <c r="XEK1336" s="4" t="s">
        <v>2880</v>
      </c>
      <c r="XEL1336" s="4" t="s">
        <v>2880</v>
      </c>
      <c r="XEM1336" s="4" t="s">
        <v>2880</v>
      </c>
      <c r="XEN1336" s="4" t="s">
        <v>2880</v>
      </c>
      <c r="XEO1336" s="4" t="s">
        <v>2880</v>
      </c>
      <c r="XEP1336" s="4" t="s">
        <v>2880</v>
      </c>
      <c r="XEQ1336" s="4" t="s">
        <v>2880</v>
      </c>
      <c r="XER1336" s="4" t="s">
        <v>2880</v>
      </c>
      <c r="XES1336" s="4" t="s">
        <v>2880</v>
      </c>
      <c r="XET1336" s="4" t="s">
        <v>2880</v>
      </c>
      <c r="XEU1336" s="4" t="s">
        <v>2880</v>
      </c>
      <c r="XEV1336" s="4" t="s">
        <v>2880</v>
      </c>
      <c r="XEW1336" s="4" t="s">
        <v>2880</v>
      </c>
      <c r="XEX1336" s="4" t="s">
        <v>2880</v>
      </c>
      <c r="XEY1336" s="4" t="s">
        <v>2880</v>
      </c>
      <c r="XEZ1336" s="4" t="s">
        <v>2880</v>
      </c>
      <c r="XFA1336" s="4" t="s">
        <v>2880</v>
      </c>
      <c r="XFB1336" s="4" t="s">
        <v>2880</v>
      </c>
    </row>
    <row r="1337" spans="1:5 1847:16382" x14ac:dyDescent="0.25">
      <c r="A1337" s="5" t="s">
        <v>1481</v>
      </c>
      <c r="B1337" s="6" t="s">
        <v>1480</v>
      </c>
      <c r="C1337" s="7" t="s">
        <v>24</v>
      </c>
      <c r="D1337" s="7" t="s">
        <v>64</v>
      </c>
      <c r="E1337" s="8" t="s">
        <v>65</v>
      </c>
      <c r="BSA1337" s="4" t="s">
        <v>2881</v>
      </c>
      <c r="BSB1337" s="4" t="s">
        <v>2881</v>
      </c>
      <c r="BSC1337" s="4" t="s">
        <v>2881</v>
      </c>
      <c r="BSD1337" s="4" t="s">
        <v>2881</v>
      </c>
      <c r="BSE1337" s="4" t="s">
        <v>2881</v>
      </c>
      <c r="BSF1337" s="4" t="s">
        <v>2881</v>
      </c>
      <c r="BSG1337" s="4" t="s">
        <v>2881</v>
      </c>
      <c r="BSH1337" s="4" t="s">
        <v>2881</v>
      </c>
      <c r="BSI1337" s="4" t="s">
        <v>2881</v>
      </c>
      <c r="BSJ1337" s="4" t="s">
        <v>2881</v>
      </c>
      <c r="BSK1337" s="4" t="s">
        <v>2881</v>
      </c>
      <c r="BSL1337" s="4" t="s">
        <v>2881</v>
      </c>
      <c r="BSM1337" s="4" t="s">
        <v>2881</v>
      </c>
      <c r="BSN1337" s="4" t="s">
        <v>2881</v>
      </c>
      <c r="BSO1337" s="4" t="s">
        <v>2881</v>
      </c>
      <c r="BSP1337" s="4" t="s">
        <v>2881</v>
      </c>
      <c r="BSQ1337" s="4" t="s">
        <v>2881</v>
      </c>
      <c r="BSR1337" s="4" t="s">
        <v>2881</v>
      </c>
      <c r="BSS1337" s="4" t="s">
        <v>2881</v>
      </c>
      <c r="BST1337" s="4" t="s">
        <v>2881</v>
      </c>
      <c r="BSU1337" s="4" t="s">
        <v>2881</v>
      </c>
      <c r="BSV1337" s="4" t="s">
        <v>2881</v>
      </c>
      <c r="BSW1337" s="4" t="s">
        <v>2881</v>
      </c>
      <c r="BSX1337" s="4" t="s">
        <v>2881</v>
      </c>
      <c r="BSY1337" s="4" t="s">
        <v>2881</v>
      </c>
      <c r="BSZ1337" s="4" t="s">
        <v>2881</v>
      </c>
      <c r="BTA1337" s="4" t="s">
        <v>2881</v>
      </c>
      <c r="BTB1337" s="4" t="s">
        <v>2881</v>
      </c>
      <c r="BTC1337" s="4" t="s">
        <v>2881</v>
      </c>
      <c r="BTD1337" s="4" t="s">
        <v>2881</v>
      </c>
      <c r="BTE1337" s="4" t="s">
        <v>2881</v>
      </c>
      <c r="BTF1337" s="4" t="s">
        <v>2881</v>
      </c>
      <c r="BTG1337" s="4" t="s">
        <v>2881</v>
      </c>
      <c r="BTH1337" s="4" t="s">
        <v>2881</v>
      </c>
      <c r="BTI1337" s="4" t="s">
        <v>2881</v>
      </c>
      <c r="BTJ1337" s="4" t="s">
        <v>2881</v>
      </c>
      <c r="BTK1337" s="4" t="s">
        <v>2881</v>
      </c>
      <c r="BTL1337" s="4" t="s">
        <v>2881</v>
      </c>
      <c r="BTM1337" s="4" t="s">
        <v>2881</v>
      </c>
      <c r="BTN1337" s="4" t="s">
        <v>2881</v>
      </c>
      <c r="BTO1337" s="4" t="s">
        <v>2881</v>
      </c>
      <c r="BTP1337" s="4" t="s">
        <v>2881</v>
      </c>
      <c r="BTQ1337" s="4" t="s">
        <v>2881</v>
      </c>
      <c r="BTR1337" s="4" t="s">
        <v>2881</v>
      </c>
      <c r="BTS1337" s="4" t="s">
        <v>2881</v>
      </c>
      <c r="BTT1337" s="4" t="s">
        <v>2881</v>
      </c>
      <c r="BTU1337" s="4" t="s">
        <v>2881</v>
      </c>
      <c r="BTV1337" s="4" t="s">
        <v>2881</v>
      </c>
      <c r="BTW1337" s="4" t="s">
        <v>2881</v>
      </c>
      <c r="BTX1337" s="4" t="s">
        <v>2881</v>
      </c>
      <c r="BTY1337" s="4" t="s">
        <v>2881</v>
      </c>
      <c r="BTZ1337" s="4" t="s">
        <v>2881</v>
      </c>
      <c r="BUA1337" s="4" t="s">
        <v>2881</v>
      </c>
      <c r="BUB1337" s="4" t="s">
        <v>2881</v>
      </c>
      <c r="BUC1337" s="4" t="s">
        <v>2881</v>
      </c>
      <c r="BUD1337" s="4" t="s">
        <v>2881</v>
      </c>
      <c r="BUE1337" s="4" t="s">
        <v>2881</v>
      </c>
      <c r="BUF1337" s="4" t="s">
        <v>2881</v>
      </c>
      <c r="BUG1337" s="4" t="s">
        <v>2881</v>
      </c>
      <c r="BUH1337" s="4" t="s">
        <v>2881</v>
      </c>
      <c r="BUI1337" s="4" t="s">
        <v>2881</v>
      </c>
      <c r="BUJ1337" s="4" t="s">
        <v>2881</v>
      </c>
      <c r="BUK1337" s="4" t="s">
        <v>2881</v>
      </c>
      <c r="BUL1337" s="4" t="s">
        <v>2881</v>
      </c>
      <c r="BUM1337" s="4" t="s">
        <v>2881</v>
      </c>
      <c r="BUN1337" s="4" t="s">
        <v>2881</v>
      </c>
      <c r="BUO1337" s="4" t="s">
        <v>2881</v>
      </c>
      <c r="BUP1337" s="4" t="s">
        <v>2881</v>
      </c>
      <c r="BUQ1337" s="4" t="s">
        <v>2881</v>
      </c>
      <c r="BUR1337" s="4" t="s">
        <v>2881</v>
      </c>
      <c r="BUS1337" s="4" t="s">
        <v>2881</v>
      </c>
      <c r="BUT1337" s="4" t="s">
        <v>2881</v>
      </c>
      <c r="BUU1337" s="4" t="s">
        <v>2881</v>
      </c>
      <c r="BUV1337" s="4" t="s">
        <v>2881</v>
      </c>
      <c r="BUW1337" s="4" t="s">
        <v>2881</v>
      </c>
      <c r="BUX1337" s="4" t="s">
        <v>2881</v>
      </c>
      <c r="BUY1337" s="4" t="s">
        <v>2881</v>
      </c>
      <c r="BUZ1337" s="4" t="s">
        <v>2881</v>
      </c>
      <c r="BVA1337" s="4" t="s">
        <v>2881</v>
      </c>
      <c r="BVB1337" s="4" t="s">
        <v>2881</v>
      </c>
      <c r="BVC1337" s="4" t="s">
        <v>2881</v>
      </c>
      <c r="BVD1337" s="4" t="s">
        <v>2881</v>
      </c>
      <c r="BVE1337" s="4" t="s">
        <v>2881</v>
      </c>
      <c r="BVF1337" s="4" t="s">
        <v>2881</v>
      </c>
      <c r="BVG1337" s="4" t="s">
        <v>2881</v>
      </c>
      <c r="BVH1337" s="4" t="s">
        <v>2881</v>
      </c>
      <c r="BVI1337" s="4" t="s">
        <v>2881</v>
      </c>
      <c r="BVJ1337" s="4" t="s">
        <v>2881</v>
      </c>
      <c r="BVK1337" s="4" t="s">
        <v>2881</v>
      </c>
      <c r="BVL1337" s="4" t="s">
        <v>2881</v>
      </c>
      <c r="BVM1337" s="4" t="s">
        <v>2881</v>
      </c>
      <c r="BVN1337" s="4" t="s">
        <v>2881</v>
      </c>
      <c r="BVO1337" s="4" t="s">
        <v>2881</v>
      </c>
      <c r="BVP1337" s="4" t="s">
        <v>2881</v>
      </c>
      <c r="BVQ1337" s="4" t="s">
        <v>2881</v>
      </c>
      <c r="BVR1337" s="4" t="s">
        <v>2881</v>
      </c>
      <c r="BVS1337" s="4" t="s">
        <v>2881</v>
      </c>
      <c r="BVT1337" s="4" t="s">
        <v>2881</v>
      </c>
      <c r="BVU1337" s="4" t="s">
        <v>2881</v>
      </c>
      <c r="BVV1337" s="4" t="s">
        <v>2881</v>
      </c>
      <c r="BVW1337" s="4" t="s">
        <v>2881</v>
      </c>
      <c r="BVX1337" s="4" t="s">
        <v>2881</v>
      </c>
      <c r="BVY1337" s="4" t="s">
        <v>2881</v>
      </c>
      <c r="BVZ1337" s="4" t="s">
        <v>2881</v>
      </c>
      <c r="BWA1337" s="4" t="s">
        <v>2881</v>
      </c>
      <c r="BWB1337" s="4" t="s">
        <v>2881</v>
      </c>
      <c r="BWC1337" s="4" t="s">
        <v>2881</v>
      </c>
      <c r="BWD1337" s="4" t="s">
        <v>2881</v>
      </c>
      <c r="BWE1337" s="4" t="s">
        <v>2881</v>
      </c>
      <c r="BWF1337" s="4" t="s">
        <v>2881</v>
      </c>
      <c r="BWG1337" s="4" t="s">
        <v>2881</v>
      </c>
      <c r="BWH1337" s="4" t="s">
        <v>2881</v>
      </c>
      <c r="BWI1337" s="4" t="s">
        <v>2881</v>
      </c>
      <c r="BWJ1337" s="4" t="s">
        <v>2881</v>
      </c>
      <c r="BWK1337" s="4" t="s">
        <v>2881</v>
      </c>
      <c r="BWL1337" s="4" t="s">
        <v>2881</v>
      </c>
      <c r="BWM1337" s="4" t="s">
        <v>2881</v>
      </c>
      <c r="BWN1337" s="4" t="s">
        <v>2881</v>
      </c>
      <c r="BWO1337" s="4" t="s">
        <v>2881</v>
      </c>
      <c r="BWP1337" s="4" t="s">
        <v>2881</v>
      </c>
      <c r="BWQ1337" s="4" t="s">
        <v>2881</v>
      </c>
      <c r="BWR1337" s="4" t="s">
        <v>2881</v>
      </c>
      <c r="BWS1337" s="4" t="s">
        <v>2881</v>
      </c>
      <c r="BWT1337" s="4" t="s">
        <v>2881</v>
      </c>
      <c r="BWU1337" s="4" t="s">
        <v>2881</v>
      </c>
      <c r="BWV1337" s="4" t="s">
        <v>2881</v>
      </c>
      <c r="BWW1337" s="4" t="s">
        <v>2881</v>
      </c>
      <c r="BWX1337" s="4" t="s">
        <v>2881</v>
      </c>
      <c r="BWY1337" s="4" t="s">
        <v>2881</v>
      </c>
      <c r="BWZ1337" s="4" t="s">
        <v>2881</v>
      </c>
      <c r="BXA1337" s="4" t="s">
        <v>2881</v>
      </c>
      <c r="BXB1337" s="4" t="s">
        <v>2881</v>
      </c>
      <c r="BXC1337" s="4" t="s">
        <v>2881</v>
      </c>
      <c r="BXD1337" s="4" t="s">
        <v>2881</v>
      </c>
      <c r="BXE1337" s="4" t="s">
        <v>2881</v>
      </c>
      <c r="BXF1337" s="4" t="s">
        <v>2881</v>
      </c>
      <c r="BXG1337" s="4" t="s">
        <v>2881</v>
      </c>
      <c r="BXH1337" s="4" t="s">
        <v>2881</v>
      </c>
      <c r="BXI1337" s="4" t="s">
        <v>2881</v>
      </c>
      <c r="BXJ1337" s="4" t="s">
        <v>2881</v>
      </c>
      <c r="BXK1337" s="4" t="s">
        <v>2881</v>
      </c>
      <c r="BXL1337" s="4" t="s">
        <v>2881</v>
      </c>
      <c r="BXM1337" s="4" t="s">
        <v>2881</v>
      </c>
      <c r="BXN1337" s="4" t="s">
        <v>2881</v>
      </c>
      <c r="BXO1337" s="4" t="s">
        <v>2881</v>
      </c>
      <c r="BXP1337" s="4" t="s">
        <v>2881</v>
      </c>
      <c r="BXQ1337" s="4" t="s">
        <v>2881</v>
      </c>
      <c r="BXR1337" s="4" t="s">
        <v>2881</v>
      </c>
      <c r="BXS1337" s="4" t="s">
        <v>2881</v>
      </c>
      <c r="BXT1337" s="4" t="s">
        <v>2881</v>
      </c>
      <c r="BXU1337" s="4" t="s">
        <v>2881</v>
      </c>
      <c r="BXV1337" s="4" t="s">
        <v>2881</v>
      </c>
      <c r="BXW1337" s="4" t="s">
        <v>2881</v>
      </c>
      <c r="BXX1337" s="4" t="s">
        <v>2881</v>
      </c>
      <c r="BXY1337" s="4" t="s">
        <v>2881</v>
      </c>
      <c r="BXZ1337" s="4" t="s">
        <v>2881</v>
      </c>
      <c r="BYA1337" s="4" t="s">
        <v>2881</v>
      </c>
      <c r="BYB1337" s="4" t="s">
        <v>2881</v>
      </c>
      <c r="BYC1337" s="4" t="s">
        <v>2881</v>
      </c>
      <c r="BYD1337" s="4" t="s">
        <v>2881</v>
      </c>
      <c r="BYE1337" s="4" t="s">
        <v>2881</v>
      </c>
      <c r="BYF1337" s="4" t="s">
        <v>2881</v>
      </c>
      <c r="BYG1337" s="4" t="s">
        <v>2881</v>
      </c>
      <c r="BYH1337" s="4" t="s">
        <v>2881</v>
      </c>
      <c r="BYI1337" s="4" t="s">
        <v>2881</v>
      </c>
      <c r="BYJ1337" s="4" t="s">
        <v>2881</v>
      </c>
      <c r="BYK1337" s="4" t="s">
        <v>2881</v>
      </c>
      <c r="BYL1337" s="4" t="s">
        <v>2881</v>
      </c>
      <c r="BYM1337" s="4" t="s">
        <v>2881</v>
      </c>
      <c r="BYN1337" s="4" t="s">
        <v>2881</v>
      </c>
      <c r="BYO1337" s="4" t="s">
        <v>2881</v>
      </c>
      <c r="BYP1337" s="4" t="s">
        <v>2881</v>
      </c>
      <c r="BYQ1337" s="4" t="s">
        <v>2881</v>
      </c>
      <c r="BYR1337" s="4" t="s">
        <v>2881</v>
      </c>
      <c r="BYS1337" s="4" t="s">
        <v>2881</v>
      </c>
      <c r="BYT1337" s="4" t="s">
        <v>2881</v>
      </c>
      <c r="BYU1337" s="4" t="s">
        <v>2881</v>
      </c>
      <c r="BYV1337" s="4" t="s">
        <v>2881</v>
      </c>
      <c r="BYW1337" s="4" t="s">
        <v>2881</v>
      </c>
      <c r="BYX1337" s="4" t="s">
        <v>2881</v>
      </c>
      <c r="BYY1337" s="4" t="s">
        <v>2881</v>
      </c>
      <c r="BYZ1337" s="4" t="s">
        <v>2881</v>
      </c>
      <c r="BZA1337" s="4" t="s">
        <v>2881</v>
      </c>
      <c r="BZB1337" s="4" t="s">
        <v>2881</v>
      </c>
      <c r="BZC1337" s="4" t="s">
        <v>2881</v>
      </c>
      <c r="BZD1337" s="4" t="s">
        <v>2881</v>
      </c>
      <c r="BZE1337" s="4" t="s">
        <v>2881</v>
      </c>
      <c r="BZF1337" s="4" t="s">
        <v>2881</v>
      </c>
      <c r="BZG1337" s="4" t="s">
        <v>2881</v>
      </c>
      <c r="BZH1337" s="4" t="s">
        <v>2881</v>
      </c>
      <c r="BZI1337" s="4" t="s">
        <v>2881</v>
      </c>
      <c r="BZJ1337" s="4" t="s">
        <v>2881</v>
      </c>
      <c r="BZK1337" s="4" t="s">
        <v>2881</v>
      </c>
      <c r="BZL1337" s="4" t="s">
        <v>2881</v>
      </c>
      <c r="BZM1337" s="4" t="s">
        <v>2881</v>
      </c>
      <c r="BZN1337" s="4" t="s">
        <v>2881</v>
      </c>
      <c r="BZO1337" s="4" t="s">
        <v>2881</v>
      </c>
      <c r="BZP1337" s="4" t="s">
        <v>2881</v>
      </c>
      <c r="BZQ1337" s="4" t="s">
        <v>2881</v>
      </c>
      <c r="BZR1337" s="4" t="s">
        <v>2881</v>
      </c>
      <c r="BZS1337" s="4" t="s">
        <v>2881</v>
      </c>
      <c r="BZT1337" s="4" t="s">
        <v>2881</v>
      </c>
      <c r="BZU1337" s="4" t="s">
        <v>2881</v>
      </c>
      <c r="BZV1337" s="4" t="s">
        <v>2881</v>
      </c>
      <c r="BZW1337" s="4" t="s">
        <v>2881</v>
      </c>
      <c r="BZX1337" s="4" t="s">
        <v>2881</v>
      </c>
      <c r="BZY1337" s="4" t="s">
        <v>2881</v>
      </c>
      <c r="BZZ1337" s="4" t="s">
        <v>2881</v>
      </c>
      <c r="CAA1337" s="4" t="s">
        <v>2881</v>
      </c>
      <c r="CAB1337" s="4" t="s">
        <v>2881</v>
      </c>
      <c r="CAC1337" s="4" t="s">
        <v>2881</v>
      </c>
      <c r="CAD1337" s="4" t="s">
        <v>2881</v>
      </c>
      <c r="CAE1337" s="4" t="s">
        <v>2881</v>
      </c>
      <c r="CAF1337" s="4" t="s">
        <v>2881</v>
      </c>
      <c r="CAG1337" s="4" t="s">
        <v>2881</v>
      </c>
      <c r="CAH1337" s="4" t="s">
        <v>2881</v>
      </c>
      <c r="CAI1337" s="4" t="s">
        <v>2881</v>
      </c>
      <c r="CAJ1337" s="4" t="s">
        <v>2881</v>
      </c>
      <c r="CAK1337" s="4" t="s">
        <v>2881</v>
      </c>
      <c r="CAL1337" s="4" t="s">
        <v>2881</v>
      </c>
      <c r="CAM1337" s="4" t="s">
        <v>2881</v>
      </c>
      <c r="CAN1337" s="4" t="s">
        <v>2881</v>
      </c>
      <c r="CAO1337" s="4" t="s">
        <v>2881</v>
      </c>
      <c r="CAP1337" s="4" t="s">
        <v>2881</v>
      </c>
      <c r="CAQ1337" s="4" t="s">
        <v>2881</v>
      </c>
      <c r="CAR1337" s="4" t="s">
        <v>2881</v>
      </c>
      <c r="CAS1337" s="4" t="s">
        <v>2881</v>
      </c>
      <c r="CAT1337" s="4" t="s">
        <v>2881</v>
      </c>
      <c r="CAU1337" s="4" t="s">
        <v>2881</v>
      </c>
      <c r="CAV1337" s="4" t="s">
        <v>2881</v>
      </c>
      <c r="CAW1337" s="4" t="s">
        <v>2881</v>
      </c>
      <c r="CAX1337" s="4" t="s">
        <v>2881</v>
      </c>
      <c r="CAY1337" s="4" t="s">
        <v>2881</v>
      </c>
      <c r="CAZ1337" s="4" t="s">
        <v>2881</v>
      </c>
      <c r="CBA1337" s="4" t="s">
        <v>2881</v>
      </c>
      <c r="CBB1337" s="4" t="s">
        <v>2881</v>
      </c>
      <c r="CBC1337" s="4" t="s">
        <v>2881</v>
      </c>
      <c r="CBD1337" s="4" t="s">
        <v>2881</v>
      </c>
      <c r="CBE1337" s="4" t="s">
        <v>2881</v>
      </c>
      <c r="CBF1337" s="4" t="s">
        <v>2881</v>
      </c>
      <c r="CBG1337" s="4" t="s">
        <v>2881</v>
      </c>
      <c r="CBH1337" s="4" t="s">
        <v>2881</v>
      </c>
      <c r="CBI1337" s="4" t="s">
        <v>2881</v>
      </c>
      <c r="CBJ1337" s="4" t="s">
        <v>2881</v>
      </c>
      <c r="CBK1337" s="4" t="s">
        <v>2881</v>
      </c>
      <c r="CBL1337" s="4" t="s">
        <v>2881</v>
      </c>
      <c r="CBM1337" s="4" t="s">
        <v>2881</v>
      </c>
      <c r="CBN1337" s="4" t="s">
        <v>2881</v>
      </c>
      <c r="CBO1337" s="4" t="s">
        <v>2881</v>
      </c>
      <c r="CBP1337" s="4" t="s">
        <v>2881</v>
      </c>
      <c r="CBQ1337" s="4" t="s">
        <v>2881</v>
      </c>
      <c r="CBR1337" s="4" t="s">
        <v>2881</v>
      </c>
      <c r="CBS1337" s="4" t="s">
        <v>2881</v>
      </c>
      <c r="CBT1337" s="4" t="s">
        <v>2881</v>
      </c>
      <c r="CBU1337" s="4" t="s">
        <v>2881</v>
      </c>
      <c r="CBV1337" s="4" t="s">
        <v>2881</v>
      </c>
      <c r="CBW1337" s="4" t="s">
        <v>2881</v>
      </c>
      <c r="CBX1337" s="4" t="s">
        <v>2881</v>
      </c>
      <c r="CBY1337" s="4" t="s">
        <v>2881</v>
      </c>
      <c r="CBZ1337" s="4" t="s">
        <v>2881</v>
      </c>
      <c r="CCA1337" s="4" t="s">
        <v>2881</v>
      </c>
      <c r="CCB1337" s="4" t="s">
        <v>2881</v>
      </c>
      <c r="CCC1337" s="4" t="s">
        <v>2881</v>
      </c>
      <c r="CCD1337" s="4" t="s">
        <v>2881</v>
      </c>
      <c r="CCE1337" s="4" t="s">
        <v>2881</v>
      </c>
      <c r="CCF1337" s="4" t="s">
        <v>2881</v>
      </c>
      <c r="CCG1337" s="4" t="s">
        <v>2881</v>
      </c>
      <c r="CCH1337" s="4" t="s">
        <v>2881</v>
      </c>
      <c r="CCI1337" s="4" t="s">
        <v>2881</v>
      </c>
      <c r="CCJ1337" s="4" t="s">
        <v>2881</v>
      </c>
      <c r="CCK1337" s="4" t="s">
        <v>2881</v>
      </c>
      <c r="CCL1337" s="4" t="s">
        <v>2881</v>
      </c>
      <c r="CCM1337" s="4" t="s">
        <v>2881</v>
      </c>
      <c r="CCN1337" s="4" t="s">
        <v>2881</v>
      </c>
      <c r="CCO1337" s="4" t="s">
        <v>2881</v>
      </c>
      <c r="CCP1337" s="4" t="s">
        <v>2881</v>
      </c>
      <c r="CCQ1337" s="4" t="s">
        <v>2881</v>
      </c>
      <c r="CCR1337" s="4" t="s">
        <v>2881</v>
      </c>
      <c r="CCS1337" s="4" t="s">
        <v>2881</v>
      </c>
      <c r="CCT1337" s="4" t="s">
        <v>2881</v>
      </c>
      <c r="CCU1337" s="4" t="s">
        <v>2881</v>
      </c>
      <c r="CCV1337" s="4" t="s">
        <v>2881</v>
      </c>
      <c r="CCW1337" s="4" t="s">
        <v>2881</v>
      </c>
      <c r="CCX1337" s="4" t="s">
        <v>2881</v>
      </c>
      <c r="CCY1337" s="4" t="s">
        <v>2881</v>
      </c>
      <c r="CCZ1337" s="4" t="s">
        <v>2881</v>
      </c>
      <c r="CDA1337" s="4" t="s">
        <v>2881</v>
      </c>
      <c r="CDB1337" s="4" t="s">
        <v>2881</v>
      </c>
      <c r="CDC1337" s="4" t="s">
        <v>2881</v>
      </c>
      <c r="CDD1337" s="4" t="s">
        <v>2881</v>
      </c>
      <c r="CDE1337" s="4" t="s">
        <v>2881</v>
      </c>
      <c r="CDF1337" s="4" t="s">
        <v>2881</v>
      </c>
      <c r="CDG1337" s="4" t="s">
        <v>2881</v>
      </c>
      <c r="CDH1337" s="4" t="s">
        <v>2881</v>
      </c>
      <c r="CDI1337" s="4" t="s">
        <v>2881</v>
      </c>
      <c r="CDJ1337" s="4" t="s">
        <v>2881</v>
      </c>
      <c r="CDK1337" s="4" t="s">
        <v>2881</v>
      </c>
      <c r="CDL1337" s="4" t="s">
        <v>2881</v>
      </c>
      <c r="CDM1337" s="4" t="s">
        <v>2881</v>
      </c>
      <c r="CDN1337" s="4" t="s">
        <v>2881</v>
      </c>
      <c r="CDO1337" s="4" t="s">
        <v>2881</v>
      </c>
      <c r="CDP1337" s="4" t="s">
        <v>2881</v>
      </c>
      <c r="CDQ1337" s="4" t="s">
        <v>2881</v>
      </c>
      <c r="CDR1337" s="4" t="s">
        <v>2881</v>
      </c>
      <c r="CDS1337" s="4" t="s">
        <v>2881</v>
      </c>
      <c r="CDT1337" s="4" t="s">
        <v>2881</v>
      </c>
      <c r="CDU1337" s="4" t="s">
        <v>2881</v>
      </c>
      <c r="CDV1337" s="4" t="s">
        <v>2881</v>
      </c>
      <c r="CDW1337" s="4" t="s">
        <v>2881</v>
      </c>
      <c r="CDX1337" s="4" t="s">
        <v>2881</v>
      </c>
      <c r="CDY1337" s="4" t="s">
        <v>2881</v>
      </c>
      <c r="CDZ1337" s="4" t="s">
        <v>2881</v>
      </c>
      <c r="CEA1337" s="4" t="s">
        <v>2881</v>
      </c>
      <c r="CEB1337" s="4" t="s">
        <v>2881</v>
      </c>
      <c r="CEC1337" s="4" t="s">
        <v>2881</v>
      </c>
      <c r="CED1337" s="4" t="s">
        <v>2881</v>
      </c>
      <c r="CEE1337" s="4" t="s">
        <v>2881</v>
      </c>
      <c r="CEF1337" s="4" t="s">
        <v>2881</v>
      </c>
      <c r="CEG1337" s="4" t="s">
        <v>2881</v>
      </c>
      <c r="CEH1337" s="4" t="s">
        <v>2881</v>
      </c>
      <c r="CEI1337" s="4" t="s">
        <v>2881</v>
      </c>
      <c r="CEJ1337" s="4" t="s">
        <v>2881</v>
      </c>
      <c r="CEK1337" s="4" t="s">
        <v>2881</v>
      </c>
      <c r="CEL1337" s="4" t="s">
        <v>2881</v>
      </c>
      <c r="CEM1337" s="4" t="s">
        <v>2881</v>
      </c>
      <c r="CEN1337" s="4" t="s">
        <v>2881</v>
      </c>
      <c r="CEO1337" s="4" t="s">
        <v>2881</v>
      </c>
      <c r="CEP1337" s="4" t="s">
        <v>2881</v>
      </c>
      <c r="CEQ1337" s="4" t="s">
        <v>2881</v>
      </c>
      <c r="CER1337" s="4" t="s">
        <v>2881</v>
      </c>
      <c r="CES1337" s="4" t="s">
        <v>2881</v>
      </c>
      <c r="CET1337" s="4" t="s">
        <v>2881</v>
      </c>
      <c r="CEU1337" s="4" t="s">
        <v>2881</v>
      </c>
      <c r="CEV1337" s="4" t="s">
        <v>2881</v>
      </c>
      <c r="CEW1337" s="4" t="s">
        <v>2881</v>
      </c>
      <c r="CEX1337" s="4" t="s">
        <v>2881</v>
      </c>
      <c r="CEY1337" s="4" t="s">
        <v>2881</v>
      </c>
      <c r="CEZ1337" s="4" t="s">
        <v>2881</v>
      </c>
      <c r="CFA1337" s="4" t="s">
        <v>2881</v>
      </c>
      <c r="CFB1337" s="4" t="s">
        <v>2881</v>
      </c>
      <c r="CFC1337" s="4" t="s">
        <v>2881</v>
      </c>
      <c r="CFD1337" s="4" t="s">
        <v>2881</v>
      </c>
      <c r="CFE1337" s="4" t="s">
        <v>2881</v>
      </c>
      <c r="CFF1337" s="4" t="s">
        <v>2881</v>
      </c>
      <c r="CFG1337" s="4" t="s">
        <v>2881</v>
      </c>
      <c r="CFH1337" s="4" t="s">
        <v>2881</v>
      </c>
      <c r="CFI1337" s="4" t="s">
        <v>2881</v>
      </c>
      <c r="CFJ1337" s="4" t="s">
        <v>2881</v>
      </c>
      <c r="CFK1337" s="4" t="s">
        <v>2881</v>
      </c>
      <c r="CFL1337" s="4" t="s">
        <v>2881</v>
      </c>
      <c r="CFM1337" s="4" t="s">
        <v>2881</v>
      </c>
      <c r="CFN1337" s="4" t="s">
        <v>2881</v>
      </c>
      <c r="CFO1337" s="4" t="s">
        <v>2881</v>
      </c>
      <c r="CFP1337" s="4" t="s">
        <v>2881</v>
      </c>
      <c r="CFQ1337" s="4" t="s">
        <v>2881</v>
      </c>
      <c r="CFR1337" s="4" t="s">
        <v>2881</v>
      </c>
      <c r="CFS1337" s="4" t="s">
        <v>2881</v>
      </c>
      <c r="CFT1337" s="4" t="s">
        <v>2881</v>
      </c>
      <c r="CFU1337" s="4" t="s">
        <v>2881</v>
      </c>
      <c r="CFV1337" s="4" t="s">
        <v>2881</v>
      </c>
      <c r="CFW1337" s="4" t="s">
        <v>2881</v>
      </c>
      <c r="CFX1337" s="4" t="s">
        <v>2881</v>
      </c>
      <c r="CFY1337" s="4" t="s">
        <v>2881</v>
      </c>
      <c r="CFZ1337" s="4" t="s">
        <v>2881</v>
      </c>
      <c r="CGA1337" s="4" t="s">
        <v>2881</v>
      </c>
      <c r="CGB1337" s="4" t="s">
        <v>2881</v>
      </c>
      <c r="CGC1337" s="4" t="s">
        <v>2881</v>
      </c>
      <c r="CGD1337" s="4" t="s">
        <v>2881</v>
      </c>
      <c r="CGE1337" s="4" t="s">
        <v>2881</v>
      </c>
      <c r="CGF1337" s="4" t="s">
        <v>2881</v>
      </c>
      <c r="CGG1337" s="4" t="s">
        <v>2881</v>
      </c>
      <c r="CGH1337" s="4" t="s">
        <v>2881</v>
      </c>
      <c r="CGI1337" s="4" t="s">
        <v>2881</v>
      </c>
      <c r="CGJ1337" s="4" t="s">
        <v>2881</v>
      </c>
      <c r="CGK1337" s="4" t="s">
        <v>2881</v>
      </c>
      <c r="CGL1337" s="4" t="s">
        <v>2881</v>
      </c>
      <c r="CGM1337" s="4" t="s">
        <v>2881</v>
      </c>
      <c r="CGN1337" s="4" t="s">
        <v>2881</v>
      </c>
      <c r="CGO1337" s="4" t="s">
        <v>2881</v>
      </c>
      <c r="CGP1337" s="4" t="s">
        <v>2881</v>
      </c>
      <c r="CGQ1337" s="4" t="s">
        <v>2881</v>
      </c>
      <c r="CGR1337" s="4" t="s">
        <v>2881</v>
      </c>
      <c r="CGS1337" s="4" t="s">
        <v>2881</v>
      </c>
      <c r="CGT1337" s="4" t="s">
        <v>2881</v>
      </c>
      <c r="CGU1337" s="4" t="s">
        <v>2881</v>
      </c>
      <c r="CGV1337" s="4" t="s">
        <v>2881</v>
      </c>
      <c r="CGW1337" s="4" t="s">
        <v>2881</v>
      </c>
      <c r="CGX1337" s="4" t="s">
        <v>2881</v>
      </c>
      <c r="CGY1337" s="4" t="s">
        <v>2881</v>
      </c>
      <c r="CGZ1337" s="4" t="s">
        <v>2881</v>
      </c>
      <c r="CHA1337" s="4" t="s">
        <v>2881</v>
      </c>
      <c r="CHB1337" s="4" t="s">
        <v>2881</v>
      </c>
      <c r="CHC1337" s="4" t="s">
        <v>2881</v>
      </c>
      <c r="CHD1337" s="4" t="s">
        <v>2881</v>
      </c>
      <c r="CHE1337" s="4" t="s">
        <v>2881</v>
      </c>
      <c r="CHF1337" s="4" t="s">
        <v>2881</v>
      </c>
      <c r="CHG1337" s="4" t="s">
        <v>2881</v>
      </c>
      <c r="CHH1337" s="4" t="s">
        <v>2881</v>
      </c>
      <c r="CHI1337" s="4" t="s">
        <v>2881</v>
      </c>
      <c r="CHJ1337" s="4" t="s">
        <v>2881</v>
      </c>
      <c r="CHK1337" s="4" t="s">
        <v>2881</v>
      </c>
      <c r="CHL1337" s="4" t="s">
        <v>2881</v>
      </c>
      <c r="CHM1337" s="4" t="s">
        <v>2881</v>
      </c>
      <c r="CHN1337" s="4" t="s">
        <v>2881</v>
      </c>
      <c r="CHO1337" s="4" t="s">
        <v>2881</v>
      </c>
      <c r="CHP1337" s="4" t="s">
        <v>2881</v>
      </c>
      <c r="CHQ1337" s="4" t="s">
        <v>2881</v>
      </c>
      <c r="CHR1337" s="4" t="s">
        <v>2881</v>
      </c>
      <c r="CHS1337" s="4" t="s">
        <v>2881</v>
      </c>
      <c r="CHT1337" s="4" t="s">
        <v>2881</v>
      </c>
      <c r="CHU1337" s="4" t="s">
        <v>2881</v>
      </c>
      <c r="CHV1337" s="4" t="s">
        <v>2881</v>
      </c>
      <c r="CHW1337" s="4" t="s">
        <v>2881</v>
      </c>
      <c r="CHX1337" s="4" t="s">
        <v>2881</v>
      </c>
      <c r="CHY1337" s="4" t="s">
        <v>2881</v>
      </c>
      <c r="CHZ1337" s="4" t="s">
        <v>2881</v>
      </c>
      <c r="CIA1337" s="4" t="s">
        <v>2881</v>
      </c>
      <c r="CIB1337" s="4" t="s">
        <v>2881</v>
      </c>
      <c r="CIC1337" s="4" t="s">
        <v>2881</v>
      </c>
      <c r="CID1337" s="4" t="s">
        <v>2881</v>
      </c>
      <c r="CIE1337" s="4" t="s">
        <v>2881</v>
      </c>
      <c r="CIF1337" s="4" t="s">
        <v>2881</v>
      </c>
      <c r="CIG1337" s="4" t="s">
        <v>2881</v>
      </c>
      <c r="CIH1337" s="4" t="s">
        <v>2881</v>
      </c>
      <c r="CII1337" s="4" t="s">
        <v>2881</v>
      </c>
      <c r="CIJ1337" s="4" t="s">
        <v>2881</v>
      </c>
      <c r="CIK1337" s="4" t="s">
        <v>2881</v>
      </c>
      <c r="CIL1337" s="4" t="s">
        <v>2881</v>
      </c>
      <c r="CIM1337" s="4" t="s">
        <v>2881</v>
      </c>
      <c r="CIN1337" s="4" t="s">
        <v>2881</v>
      </c>
      <c r="CIO1337" s="4" t="s">
        <v>2881</v>
      </c>
      <c r="CIP1337" s="4" t="s">
        <v>2881</v>
      </c>
      <c r="CIQ1337" s="4" t="s">
        <v>2881</v>
      </c>
      <c r="CIR1337" s="4" t="s">
        <v>2881</v>
      </c>
      <c r="CIS1337" s="4" t="s">
        <v>2881</v>
      </c>
      <c r="CIT1337" s="4" t="s">
        <v>2881</v>
      </c>
      <c r="CIU1337" s="4" t="s">
        <v>2881</v>
      </c>
      <c r="CIV1337" s="4" t="s">
        <v>2881</v>
      </c>
      <c r="CIW1337" s="4" t="s">
        <v>2881</v>
      </c>
      <c r="CIX1337" s="4" t="s">
        <v>2881</v>
      </c>
      <c r="CIY1337" s="4" t="s">
        <v>2881</v>
      </c>
      <c r="CIZ1337" s="4" t="s">
        <v>2881</v>
      </c>
      <c r="CJA1337" s="4" t="s">
        <v>2881</v>
      </c>
      <c r="CJB1337" s="4" t="s">
        <v>2881</v>
      </c>
      <c r="CJC1337" s="4" t="s">
        <v>2881</v>
      </c>
      <c r="CJD1337" s="4" t="s">
        <v>2881</v>
      </c>
      <c r="CJE1337" s="4" t="s">
        <v>2881</v>
      </c>
      <c r="CJF1337" s="4" t="s">
        <v>2881</v>
      </c>
      <c r="CJG1337" s="4" t="s">
        <v>2881</v>
      </c>
      <c r="CJH1337" s="4" t="s">
        <v>2881</v>
      </c>
      <c r="CJI1337" s="4" t="s">
        <v>2881</v>
      </c>
      <c r="CJJ1337" s="4" t="s">
        <v>2881</v>
      </c>
      <c r="CJK1337" s="4" t="s">
        <v>2881</v>
      </c>
      <c r="CJL1337" s="4" t="s">
        <v>2881</v>
      </c>
      <c r="CJM1337" s="4" t="s">
        <v>2881</v>
      </c>
      <c r="CJN1337" s="4" t="s">
        <v>2881</v>
      </c>
      <c r="CJO1337" s="4" t="s">
        <v>2881</v>
      </c>
      <c r="CJP1337" s="4" t="s">
        <v>2881</v>
      </c>
      <c r="CJQ1337" s="4" t="s">
        <v>2881</v>
      </c>
      <c r="CJR1337" s="4" t="s">
        <v>2881</v>
      </c>
      <c r="CJS1337" s="4" t="s">
        <v>2881</v>
      </c>
      <c r="CJT1337" s="4" t="s">
        <v>2881</v>
      </c>
      <c r="CJU1337" s="4" t="s">
        <v>2881</v>
      </c>
      <c r="CJV1337" s="4" t="s">
        <v>2881</v>
      </c>
      <c r="CJW1337" s="4" t="s">
        <v>2881</v>
      </c>
      <c r="CJX1337" s="4" t="s">
        <v>2881</v>
      </c>
      <c r="CJY1337" s="4" t="s">
        <v>2881</v>
      </c>
      <c r="CJZ1337" s="4" t="s">
        <v>2881</v>
      </c>
      <c r="CKA1337" s="4" t="s">
        <v>2881</v>
      </c>
      <c r="CKB1337" s="4" t="s">
        <v>2881</v>
      </c>
      <c r="CKC1337" s="4" t="s">
        <v>2881</v>
      </c>
      <c r="CKD1337" s="4" t="s">
        <v>2881</v>
      </c>
      <c r="CKE1337" s="4" t="s">
        <v>2881</v>
      </c>
      <c r="CKF1337" s="4" t="s">
        <v>2881</v>
      </c>
      <c r="CKG1337" s="4" t="s">
        <v>2881</v>
      </c>
      <c r="CKH1337" s="4" t="s">
        <v>2881</v>
      </c>
      <c r="CKI1337" s="4" t="s">
        <v>2881</v>
      </c>
      <c r="CKJ1337" s="4" t="s">
        <v>2881</v>
      </c>
      <c r="CKK1337" s="4" t="s">
        <v>2881</v>
      </c>
      <c r="CKL1337" s="4" t="s">
        <v>2881</v>
      </c>
      <c r="CKM1337" s="4" t="s">
        <v>2881</v>
      </c>
      <c r="CKN1337" s="4" t="s">
        <v>2881</v>
      </c>
      <c r="CKO1337" s="4" t="s">
        <v>2881</v>
      </c>
      <c r="CKP1337" s="4" t="s">
        <v>2881</v>
      </c>
      <c r="CKQ1337" s="4" t="s">
        <v>2881</v>
      </c>
      <c r="CKR1337" s="4" t="s">
        <v>2881</v>
      </c>
      <c r="CKS1337" s="4" t="s">
        <v>2881</v>
      </c>
      <c r="CKT1337" s="4" t="s">
        <v>2881</v>
      </c>
      <c r="CKU1337" s="4" t="s">
        <v>2881</v>
      </c>
      <c r="CKV1337" s="4" t="s">
        <v>2881</v>
      </c>
      <c r="CKW1337" s="4" t="s">
        <v>2881</v>
      </c>
      <c r="CKX1337" s="4" t="s">
        <v>2881</v>
      </c>
      <c r="CKY1337" s="4" t="s">
        <v>2881</v>
      </c>
      <c r="CKZ1337" s="4" t="s">
        <v>2881</v>
      </c>
      <c r="CLA1337" s="4" t="s">
        <v>2881</v>
      </c>
      <c r="CLB1337" s="4" t="s">
        <v>2881</v>
      </c>
      <c r="CLC1337" s="4" t="s">
        <v>2881</v>
      </c>
      <c r="CLD1337" s="4" t="s">
        <v>2881</v>
      </c>
      <c r="CLE1337" s="4" t="s">
        <v>2881</v>
      </c>
      <c r="CLF1337" s="4" t="s">
        <v>2881</v>
      </c>
      <c r="CLG1337" s="4" t="s">
        <v>2881</v>
      </c>
      <c r="CLH1337" s="4" t="s">
        <v>2881</v>
      </c>
      <c r="CLI1337" s="4" t="s">
        <v>2881</v>
      </c>
      <c r="CLJ1337" s="4" t="s">
        <v>2881</v>
      </c>
      <c r="CLK1337" s="4" t="s">
        <v>2881</v>
      </c>
      <c r="CLL1337" s="4" t="s">
        <v>2881</v>
      </c>
      <c r="CLM1337" s="4" t="s">
        <v>2881</v>
      </c>
      <c r="CLN1337" s="4" t="s">
        <v>2881</v>
      </c>
      <c r="CLO1337" s="4" t="s">
        <v>2881</v>
      </c>
      <c r="CLP1337" s="4" t="s">
        <v>2881</v>
      </c>
      <c r="CLQ1337" s="4" t="s">
        <v>2881</v>
      </c>
      <c r="CLR1337" s="4" t="s">
        <v>2881</v>
      </c>
      <c r="CLS1337" s="4" t="s">
        <v>2881</v>
      </c>
      <c r="CLT1337" s="4" t="s">
        <v>2881</v>
      </c>
      <c r="CLU1337" s="4" t="s">
        <v>2881</v>
      </c>
      <c r="CLV1337" s="4" t="s">
        <v>2881</v>
      </c>
      <c r="CLW1337" s="4" t="s">
        <v>2881</v>
      </c>
      <c r="CLX1337" s="4" t="s">
        <v>2881</v>
      </c>
      <c r="CLY1337" s="4" t="s">
        <v>2881</v>
      </c>
      <c r="CLZ1337" s="4" t="s">
        <v>2881</v>
      </c>
      <c r="CMA1337" s="4" t="s">
        <v>2881</v>
      </c>
      <c r="CMB1337" s="4" t="s">
        <v>2881</v>
      </c>
      <c r="CMC1337" s="4" t="s">
        <v>2881</v>
      </c>
      <c r="CMD1337" s="4" t="s">
        <v>2881</v>
      </c>
      <c r="CME1337" s="4" t="s">
        <v>2881</v>
      </c>
      <c r="CMF1337" s="4" t="s">
        <v>2881</v>
      </c>
      <c r="CMG1337" s="4" t="s">
        <v>2881</v>
      </c>
      <c r="CMH1337" s="4" t="s">
        <v>2881</v>
      </c>
      <c r="CMI1337" s="4" t="s">
        <v>2881</v>
      </c>
      <c r="CMJ1337" s="4" t="s">
        <v>2881</v>
      </c>
      <c r="CMK1337" s="4" t="s">
        <v>2881</v>
      </c>
      <c r="CML1337" s="4" t="s">
        <v>2881</v>
      </c>
      <c r="CMM1337" s="4" t="s">
        <v>2881</v>
      </c>
      <c r="CMN1337" s="4" t="s">
        <v>2881</v>
      </c>
      <c r="CMO1337" s="4" t="s">
        <v>2881</v>
      </c>
      <c r="CMP1337" s="4" t="s">
        <v>2881</v>
      </c>
      <c r="CMQ1337" s="4" t="s">
        <v>2881</v>
      </c>
      <c r="CMR1337" s="4" t="s">
        <v>2881</v>
      </c>
      <c r="CMS1337" s="4" t="s">
        <v>2881</v>
      </c>
      <c r="CMT1337" s="4" t="s">
        <v>2881</v>
      </c>
      <c r="CMU1337" s="4" t="s">
        <v>2881</v>
      </c>
      <c r="CMV1337" s="4" t="s">
        <v>2881</v>
      </c>
      <c r="CMW1337" s="4" t="s">
        <v>2881</v>
      </c>
      <c r="CMX1337" s="4" t="s">
        <v>2881</v>
      </c>
      <c r="CMY1337" s="4" t="s">
        <v>2881</v>
      </c>
      <c r="CMZ1337" s="4" t="s">
        <v>2881</v>
      </c>
      <c r="CNA1337" s="4" t="s">
        <v>2881</v>
      </c>
      <c r="CNB1337" s="4" t="s">
        <v>2881</v>
      </c>
      <c r="CNC1337" s="4" t="s">
        <v>2881</v>
      </c>
      <c r="CND1337" s="4" t="s">
        <v>2881</v>
      </c>
      <c r="CNE1337" s="4" t="s">
        <v>2881</v>
      </c>
      <c r="CNF1337" s="4" t="s">
        <v>2881</v>
      </c>
      <c r="CNG1337" s="4" t="s">
        <v>2881</v>
      </c>
      <c r="CNH1337" s="4" t="s">
        <v>2881</v>
      </c>
      <c r="CNI1337" s="4" t="s">
        <v>2881</v>
      </c>
      <c r="CNJ1337" s="4" t="s">
        <v>2881</v>
      </c>
      <c r="CNK1337" s="4" t="s">
        <v>2881</v>
      </c>
      <c r="CNL1337" s="4" t="s">
        <v>2881</v>
      </c>
      <c r="CNM1337" s="4" t="s">
        <v>2881</v>
      </c>
      <c r="CNN1337" s="4" t="s">
        <v>2881</v>
      </c>
      <c r="CNO1337" s="4" t="s">
        <v>2881</v>
      </c>
      <c r="CNP1337" s="4" t="s">
        <v>2881</v>
      </c>
      <c r="CNQ1337" s="4" t="s">
        <v>2881</v>
      </c>
      <c r="CNR1337" s="4" t="s">
        <v>2881</v>
      </c>
      <c r="CNS1337" s="4" t="s">
        <v>2881</v>
      </c>
      <c r="CNT1337" s="4" t="s">
        <v>2881</v>
      </c>
      <c r="CNU1337" s="4" t="s">
        <v>2881</v>
      </c>
      <c r="CNV1337" s="4" t="s">
        <v>2881</v>
      </c>
      <c r="CNW1337" s="4" t="s">
        <v>2881</v>
      </c>
      <c r="CNX1337" s="4" t="s">
        <v>2881</v>
      </c>
      <c r="CNY1337" s="4" t="s">
        <v>2881</v>
      </c>
      <c r="CNZ1337" s="4" t="s">
        <v>2881</v>
      </c>
      <c r="COA1337" s="4" t="s">
        <v>2881</v>
      </c>
      <c r="COB1337" s="4" t="s">
        <v>2881</v>
      </c>
      <c r="COC1337" s="4" t="s">
        <v>2881</v>
      </c>
      <c r="COD1337" s="4" t="s">
        <v>2881</v>
      </c>
      <c r="COE1337" s="4" t="s">
        <v>2881</v>
      </c>
      <c r="COF1337" s="4" t="s">
        <v>2881</v>
      </c>
      <c r="COG1337" s="4" t="s">
        <v>2881</v>
      </c>
      <c r="COH1337" s="4" t="s">
        <v>2881</v>
      </c>
      <c r="COI1337" s="4" t="s">
        <v>2881</v>
      </c>
      <c r="COJ1337" s="4" t="s">
        <v>2881</v>
      </c>
      <c r="COK1337" s="4" t="s">
        <v>2881</v>
      </c>
      <c r="COL1337" s="4" t="s">
        <v>2881</v>
      </c>
      <c r="COM1337" s="4" t="s">
        <v>2881</v>
      </c>
      <c r="CON1337" s="4" t="s">
        <v>2881</v>
      </c>
      <c r="COO1337" s="4" t="s">
        <v>2881</v>
      </c>
      <c r="COP1337" s="4" t="s">
        <v>2881</v>
      </c>
      <c r="COQ1337" s="4" t="s">
        <v>2881</v>
      </c>
      <c r="COR1337" s="4" t="s">
        <v>2881</v>
      </c>
      <c r="COS1337" s="4" t="s">
        <v>2881</v>
      </c>
      <c r="COT1337" s="4" t="s">
        <v>2881</v>
      </c>
      <c r="COU1337" s="4" t="s">
        <v>2881</v>
      </c>
      <c r="COV1337" s="4" t="s">
        <v>2881</v>
      </c>
      <c r="COW1337" s="4" t="s">
        <v>2881</v>
      </c>
      <c r="COX1337" s="4" t="s">
        <v>2881</v>
      </c>
      <c r="COY1337" s="4" t="s">
        <v>2881</v>
      </c>
      <c r="COZ1337" s="4" t="s">
        <v>2881</v>
      </c>
      <c r="CPA1337" s="4" t="s">
        <v>2881</v>
      </c>
      <c r="CPB1337" s="4" t="s">
        <v>2881</v>
      </c>
      <c r="CPC1337" s="4" t="s">
        <v>2881</v>
      </c>
      <c r="CPD1337" s="4" t="s">
        <v>2881</v>
      </c>
      <c r="CPE1337" s="4" t="s">
        <v>2881</v>
      </c>
      <c r="CPF1337" s="4" t="s">
        <v>2881</v>
      </c>
      <c r="CPG1337" s="4" t="s">
        <v>2881</v>
      </c>
      <c r="CPH1337" s="4" t="s">
        <v>2881</v>
      </c>
      <c r="CPI1337" s="4" t="s">
        <v>2881</v>
      </c>
      <c r="CPJ1337" s="4" t="s">
        <v>2881</v>
      </c>
      <c r="CPK1337" s="4" t="s">
        <v>2881</v>
      </c>
      <c r="CPL1337" s="4" t="s">
        <v>2881</v>
      </c>
      <c r="CPM1337" s="4" t="s">
        <v>2881</v>
      </c>
      <c r="CPN1337" s="4" t="s">
        <v>2881</v>
      </c>
      <c r="CPO1337" s="4" t="s">
        <v>2881</v>
      </c>
      <c r="CPP1337" s="4" t="s">
        <v>2881</v>
      </c>
      <c r="CPQ1337" s="4" t="s">
        <v>2881</v>
      </c>
      <c r="CPR1337" s="4" t="s">
        <v>2881</v>
      </c>
      <c r="CPS1337" s="4" t="s">
        <v>2881</v>
      </c>
      <c r="CPT1337" s="4" t="s">
        <v>2881</v>
      </c>
      <c r="CPU1337" s="4" t="s">
        <v>2881</v>
      </c>
      <c r="CPV1337" s="4" t="s">
        <v>2881</v>
      </c>
      <c r="CPW1337" s="4" t="s">
        <v>2881</v>
      </c>
      <c r="CPX1337" s="4" t="s">
        <v>2881</v>
      </c>
      <c r="CPY1337" s="4" t="s">
        <v>2881</v>
      </c>
      <c r="CPZ1337" s="4" t="s">
        <v>2881</v>
      </c>
      <c r="CQA1337" s="4" t="s">
        <v>2881</v>
      </c>
      <c r="CQB1337" s="4" t="s">
        <v>2881</v>
      </c>
      <c r="CQC1337" s="4" t="s">
        <v>2881</v>
      </c>
      <c r="CQD1337" s="4" t="s">
        <v>2881</v>
      </c>
      <c r="CQE1337" s="4" t="s">
        <v>2881</v>
      </c>
      <c r="CQF1337" s="4" t="s">
        <v>2881</v>
      </c>
      <c r="CQG1337" s="4" t="s">
        <v>2881</v>
      </c>
      <c r="CQH1337" s="4" t="s">
        <v>2881</v>
      </c>
      <c r="CQI1337" s="4" t="s">
        <v>2881</v>
      </c>
      <c r="CQJ1337" s="4" t="s">
        <v>2881</v>
      </c>
      <c r="CQK1337" s="4" t="s">
        <v>2881</v>
      </c>
      <c r="CQL1337" s="4" t="s">
        <v>2881</v>
      </c>
      <c r="CQM1337" s="4" t="s">
        <v>2881</v>
      </c>
      <c r="CQN1337" s="4" t="s">
        <v>2881</v>
      </c>
      <c r="CQO1337" s="4" t="s">
        <v>2881</v>
      </c>
      <c r="CQP1337" s="4" t="s">
        <v>2881</v>
      </c>
      <c r="CQQ1337" s="4" t="s">
        <v>2881</v>
      </c>
      <c r="CQR1337" s="4" t="s">
        <v>2881</v>
      </c>
      <c r="CQS1337" s="4" t="s">
        <v>2881</v>
      </c>
      <c r="CQT1337" s="4" t="s">
        <v>2881</v>
      </c>
      <c r="CQU1337" s="4" t="s">
        <v>2881</v>
      </c>
      <c r="CQV1337" s="4" t="s">
        <v>2881</v>
      </c>
      <c r="CQW1337" s="4" t="s">
        <v>2881</v>
      </c>
      <c r="CQX1337" s="4" t="s">
        <v>2881</v>
      </c>
      <c r="CQY1337" s="4" t="s">
        <v>2881</v>
      </c>
      <c r="CQZ1337" s="4" t="s">
        <v>2881</v>
      </c>
      <c r="CRA1337" s="4" t="s">
        <v>2881</v>
      </c>
      <c r="CRB1337" s="4" t="s">
        <v>2881</v>
      </c>
      <c r="CRC1337" s="4" t="s">
        <v>2881</v>
      </c>
      <c r="CRD1337" s="4" t="s">
        <v>2881</v>
      </c>
      <c r="CRE1337" s="4" t="s">
        <v>2881</v>
      </c>
      <c r="CRF1337" s="4" t="s">
        <v>2881</v>
      </c>
      <c r="CRG1337" s="4" t="s">
        <v>2881</v>
      </c>
      <c r="CRH1337" s="4" t="s">
        <v>2881</v>
      </c>
      <c r="CRI1337" s="4" t="s">
        <v>2881</v>
      </c>
      <c r="CRJ1337" s="4" t="s">
        <v>2881</v>
      </c>
      <c r="CRK1337" s="4" t="s">
        <v>2881</v>
      </c>
      <c r="CRL1337" s="4" t="s">
        <v>2881</v>
      </c>
      <c r="CRM1337" s="4" t="s">
        <v>2881</v>
      </c>
      <c r="CRN1337" s="4" t="s">
        <v>2881</v>
      </c>
      <c r="CRO1337" s="4" t="s">
        <v>2881</v>
      </c>
      <c r="CRP1337" s="4" t="s">
        <v>2881</v>
      </c>
      <c r="CRQ1337" s="4" t="s">
        <v>2881</v>
      </c>
      <c r="CRR1337" s="4" t="s">
        <v>2881</v>
      </c>
      <c r="CRS1337" s="4" t="s">
        <v>2881</v>
      </c>
      <c r="CRT1337" s="4" t="s">
        <v>2881</v>
      </c>
      <c r="CRU1337" s="4" t="s">
        <v>2881</v>
      </c>
      <c r="CRV1337" s="4" t="s">
        <v>2881</v>
      </c>
      <c r="CRW1337" s="4" t="s">
        <v>2881</v>
      </c>
      <c r="CRX1337" s="4" t="s">
        <v>2881</v>
      </c>
      <c r="CRY1337" s="4" t="s">
        <v>2881</v>
      </c>
      <c r="CRZ1337" s="4" t="s">
        <v>2881</v>
      </c>
      <c r="CSA1337" s="4" t="s">
        <v>2881</v>
      </c>
      <c r="CSB1337" s="4" t="s">
        <v>2881</v>
      </c>
      <c r="CSC1337" s="4" t="s">
        <v>2881</v>
      </c>
      <c r="CSD1337" s="4" t="s">
        <v>2881</v>
      </c>
      <c r="CSE1337" s="4" t="s">
        <v>2881</v>
      </c>
      <c r="CSF1337" s="4" t="s">
        <v>2881</v>
      </c>
      <c r="CSG1337" s="4" t="s">
        <v>2881</v>
      </c>
      <c r="CSH1337" s="4" t="s">
        <v>2881</v>
      </c>
      <c r="CSI1337" s="4" t="s">
        <v>2881</v>
      </c>
      <c r="CSJ1337" s="4" t="s">
        <v>2881</v>
      </c>
      <c r="CSK1337" s="4" t="s">
        <v>2881</v>
      </c>
      <c r="CSL1337" s="4" t="s">
        <v>2881</v>
      </c>
      <c r="CSM1337" s="4" t="s">
        <v>2881</v>
      </c>
      <c r="CSN1337" s="4" t="s">
        <v>2881</v>
      </c>
      <c r="CSO1337" s="4" t="s">
        <v>2881</v>
      </c>
      <c r="CSP1337" s="4" t="s">
        <v>2881</v>
      </c>
      <c r="CSQ1337" s="4" t="s">
        <v>2881</v>
      </c>
      <c r="CSR1337" s="4" t="s">
        <v>2881</v>
      </c>
      <c r="CSS1337" s="4" t="s">
        <v>2881</v>
      </c>
      <c r="CST1337" s="4" t="s">
        <v>2881</v>
      </c>
      <c r="CSU1337" s="4" t="s">
        <v>2881</v>
      </c>
      <c r="CSV1337" s="4" t="s">
        <v>2881</v>
      </c>
      <c r="CSW1337" s="4" t="s">
        <v>2881</v>
      </c>
      <c r="CSX1337" s="4" t="s">
        <v>2881</v>
      </c>
      <c r="CSY1337" s="4" t="s">
        <v>2881</v>
      </c>
      <c r="CSZ1337" s="4" t="s">
        <v>2881</v>
      </c>
      <c r="CTA1337" s="4" t="s">
        <v>2881</v>
      </c>
      <c r="CTB1337" s="4" t="s">
        <v>2881</v>
      </c>
      <c r="CTC1337" s="4" t="s">
        <v>2881</v>
      </c>
      <c r="CTD1337" s="4" t="s">
        <v>2881</v>
      </c>
      <c r="CTE1337" s="4" t="s">
        <v>2881</v>
      </c>
      <c r="CTF1337" s="4" t="s">
        <v>2881</v>
      </c>
      <c r="CTG1337" s="4" t="s">
        <v>2881</v>
      </c>
      <c r="CTH1337" s="4" t="s">
        <v>2881</v>
      </c>
      <c r="CTI1337" s="4" t="s">
        <v>2881</v>
      </c>
      <c r="CTJ1337" s="4" t="s">
        <v>2881</v>
      </c>
      <c r="CTK1337" s="4" t="s">
        <v>2881</v>
      </c>
      <c r="CTL1337" s="4" t="s">
        <v>2881</v>
      </c>
      <c r="CTM1337" s="4" t="s">
        <v>2881</v>
      </c>
      <c r="CTN1337" s="4" t="s">
        <v>2881</v>
      </c>
      <c r="CTO1337" s="4" t="s">
        <v>2881</v>
      </c>
      <c r="CTP1337" s="4" t="s">
        <v>2881</v>
      </c>
      <c r="CTQ1337" s="4" t="s">
        <v>2881</v>
      </c>
      <c r="CTR1337" s="4" t="s">
        <v>2881</v>
      </c>
      <c r="CTS1337" s="4" t="s">
        <v>2881</v>
      </c>
      <c r="CTT1337" s="4" t="s">
        <v>2881</v>
      </c>
      <c r="CTU1337" s="4" t="s">
        <v>2881</v>
      </c>
      <c r="CTV1337" s="4" t="s">
        <v>2881</v>
      </c>
      <c r="CTW1337" s="4" t="s">
        <v>2881</v>
      </c>
      <c r="CTX1337" s="4" t="s">
        <v>2881</v>
      </c>
      <c r="CTY1337" s="4" t="s">
        <v>2881</v>
      </c>
      <c r="CTZ1337" s="4" t="s">
        <v>2881</v>
      </c>
      <c r="CUA1337" s="4" t="s">
        <v>2881</v>
      </c>
      <c r="CUB1337" s="4" t="s">
        <v>2881</v>
      </c>
      <c r="CUC1337" s="4" t="s">
        <v>2881</v>
      </c>
      <c r="CUD1337" s="4" t="s">
        <v>2881</v>
      </c>
      <c r="CUE1337" s="4" t="s">
        <v>2881</v>
      </c>
      <c r="CUF1337" s="4" t="s">
        <v>2881</v>
      </c>
      <c r="CUG1337" s="4" t="s">
        <v>2881</v>
      </c>
      <c r="CUH1337" s="4" t="s">
        <v>2881</v>
      </c>
      <c r="CUI1337" s="4" t="s">
        <v>2881</v>
      </c>
      <c r="CUJ1337" s="4" t="s">
        <v>2881</v>
      </c>
      <c r="CUK1337" s="4" t="s">
        <v>2881</v>
      </c>
      <c r="CUL1337" s="4" t="s">
        <v>2881</v>
      </c>
      <c r="CUM1337" s="4" t="s">
        <v>2881</v>
      </c>
      <c r="CUN1337" s="4" t="s">
        <v>2881</v>
      </c>
      <c r="CUO1337" s="4" t="s">
        <v>2881</v>
      </c>
      <c r="CUP1337" s="4" t="s">
        <v>2881</v>
      </c>
      <c r="CUQ1337" s="4" t="s">
        <v>2881</v>
      </c>
      <c r="CUR1337" s="4" t="s">
        <v>2881</v>
      </c>
      <c r="CUS1337" s="4" t="s">
        <v>2881</v>
      </c>
      <c r="CUT1337" s="4" t="s">
        <v>2881</v>
      </c>
      <c r="CUU1337" s="4" t="s">
        <v>2881</v>
      </c>
      <c r="CUV1337" s="4" t="s">
        <v>2881</v>
      </c>
      <c r="CUW1337" s="4" t="s">
        <v>2881</v>
      </c>
      <c r="CUX1337" s="4" t="s">
        <v>2881</v>
      </c>
      <c r="CUY1337" s="4" t="s">
        <v>2881</v>
      </c>
      <c r="CUZ1337" s="4" t="s">
        <v>2881</v>
      </c>
      <c r="CVA1337" s="4" t="s">
        <v>2881</v>
      </c>
      <c r="CVB1337" s="4" t="s">
        <v>2881</v>
      </c>
      <c r="CVC1337" s="4" t="s">
        <v>2881</v>
      </c>
      <c r="CVD1337" s="4" t="s">
        <v>2881</v>
      </c>
      <c r="CVE1337" s="4" t="s">
        <v>2881</v>
      </c>
      <c r="CVF1337" s="4" t="s">
        <v>2881</v>
      </c>
      <c r="CVG1337" s="4" t="s">
        <v>2881</v>
      </c>
      <c r="CVH1337" s="4" t="s">
        <v>2881</v>
      </c>
      <c r="CVI1337" s="4" t="s">
        <v>2881</v>
      </c>
      <c r="CVJ1337" s="4" t="s">
        <v>2881</v>
      </c>
      <c r="CVK1337" s="4" t="s">
        <v>2881</v>
      </c>
      <c r="CVL1337" s="4" t="s">
        <v>2881</v>
      </c>
      <c r="CVM1337" s="4" t="s">
        <v>2881</v>
      </c>
      <c r="CVN1337" s="4" t="s">
        <v>2881</v>
      </c>
      <c r="CVO1337" s="4" t="s">
        <v>2881</v>
      </c>
      <c r="CVP1337" s="4" t="s">
        <v>2881</v>
      </c>
      <c r="CVQ1337" s="4" t="s">
        <v>2881</v>
      </c>
      <c r="CVR1337" s="4" t="s">
        <v>2881</v>
      </c>
      <c r="CVS1337" s="4" t="s">
        <v>2881</v>
      </c>
      <c r="CVT1337" s="4" t="s">
        <v>2881</v>
      </c>
      <c r="CVU1337" s="4" t="s">
        <v>2881</v>
      </c>
      <c r="CVV1337" s="4" t="s">
        <v>2881</v>
      </c>
      <c r="CVW1337" s="4" t="s">
        <v>2881</v>
      </c>
      <c r="CVX1337" s="4" t="s">
        <v>2881</v>
      </c>
      <c r="CVY1337" s="4" t="s">
        <v>2881</v>
      </c>
      <c r="CVZ1337" s="4" t="s">
        <v>2881</v>
      </c>
      <c r="CWA1337" s="4" t="s">
        <v>2881</v>
      </c>
      <c r="CWB1337" s="4" t="s">
        <v>2881</v>
      </c>
      <c r="CWC1337" s="4" t="s">
        <v>2881</v>
      </c>
      <c r="CWD1337" s="4" t="s">
        <v>2881</v>
      </c>
      <c r="CWE1337" s="4" t="s">
        <v>2881</v>
      </c>
      <c r="CWF1337" s="4" t="s">
        <v>2881</v>
      </c>
      <c r="CWG1337" s="4" t="s">
        <v>2881</v>
      </c>
      <c r="CWH1337" s="4" t="s">
        <v>2881</v>
      </c>
      <c r="CWI1337" s="4" t="s">
        <v>2881</v>
      </c>
      <c r="CWJ1337" s="4" t="s">
        <v>2881</v>
      </c>
      <c r="CWK1337" s="4" t="s">
        <v>2881</v>
      </c>
      <c r="CWL1337" s="4" t="s">
        <v>2881</v>
      </c>
      <c r="CWM1337" s="4" t="s">
        <v>2881</v>
      </c>
      <c r="CWN1337" s="4" t="s">
        <v>2881</v>
      </c>
      <c r="CWO1337" s="4" t="s">
        <v>2881</v>
      </c>
      <c r="CWP1337" s="4" t="s">
        <v>2881</v>
      </c>
      <c r="CWQ1337" s="4" t="s">
        <v>2881</v>
      </c>
      <c r="CWR1337" s="4" t="s">
        <v>2881</v>
      </c>
      <c r="CWS1337" s="4" t="s">
        <v>2881</v>
      </c>
      <c r="CWT1337" s="4" t="s">
        <v>2881</v>
      </c>
      <c r="CWU1337" s="4" t="s">
        <v>2881</v>
      </c>
      <c r="CWV1337" s="4" t="s">
        <v>2881</v>
      </c>
      <c r="CWW1337" s="4" t="s">
        <v>2881</v>
      </c>
      <c r="CWX1337" s="4" t="s">
        <v>2881</v>
      </c>
      <c r="CWY1337" s="4" t="s">
        <v>2881</v>
      </c>
      <c r="CWZ1337" s="4" t="s">
        <v>2881</v>
      </c>
      <c r="CXA1337" s="4" t="s">
        <v>2881</v>
      </c>
      <c r="CXB1337" s="4" t="s">
        <v>2881</v>
      </c>
      <c r="CXC1337" s="4" t="s">
        <v>2881</v>
      </c>
      <c r="CXD1337" s="4" t="s">
        <v>2881</v>
      </c>
      <c r="CXE1337" s="4" t="s">
        <v>2881</v>
      </c>
      <c r="CXF1337" s="4" t="s">
        <v>2881</v>
      </c>
      <c r="CXG1337" s="4" t="s">
        <v>2881</v>
      </c>
      <c r="CXH1337" s="4" t="s">
        <v>2881</v>
      </c>
      <c r="CXI1337" s="4" t="s">
        <v>2881</v>
      </c>
      <c r="CXJ1337" s="4" t="s">
        <v>2881</v>
      </c>
      <c r="CXK1337" s="4" t="s">
        <v>2881</v>
      </c>
      <c r="CXL1337" s="4" t="s">
        <v>2881</v>
      </c>
      <c r="CXM1337" s="4" t="s">
        <v>2881</v>
      </c>
      <c r="CXN1337" s="4" t="s">
        <v>2881</v>
      </c>
      <c r="CXO1337" s="4" t="s">
        <v>2881</v>
      </c>
      <c r="CXP1337" s="4" t="s">
        <v>2881</v>
      </c>
      <c r="CXQ1337" s="4" t="s">
        <v>2881</v>
      </c>
      <c r="CXR1337" s="4" t="s">
        <v>2881</v>
      </c>
      <c r="CXS1337" s="4" t="s">
        <v>2881</v>
      </c>
      <c r="CXT1337" s="4" t="s">
        <v>2881</v>
      </c>
      <c r="CXU1337" s="4" t="s">
        <v>2881</v>
      </c>
      <c r="CXV1337" s="4" t="s">
        <v>2881</v>
      </c>
      <c r="CXW1337" s="4" t="s">
        <v>2881</v>
      </c>
      <c r="CXX1337" s="4" t="s">
        <v>2881</v>
      </c>
      <c r="CXY1337" s="4" t="s">
        <v>2881</v>
      </c>
      <c r="CXZ1337" s="4" t="s">
        <v>2881</v>
      </c>
      <c r="CYA1337" s="4" t="s">
        <v>2881</v>
      </c>
      <c r="CYB1337" s="4" t="s">
        <v>2881</v>
      </c>
      <c r="CYC1337" s="4" t="s">
        <v>2881</v>
      </c>
      <c r="CYD1337" s="4" t="s">
        <v>2881</v>
      </c>
      <c r="CYE1337" s="4" t="s">
        <v>2881</v>
      </c>
      <c r="CYF1337" s="4" t="s">
        <v>2881</v>
      </c>
      <c r="CYG1337" s="4" t="s">
        <v>2881</v>
      </c>
      <c r="CYH1337" s="4" t="s">
        <v>2881</v>
      </c>
      <c r="CYI1337" s="4" t="s">
        <v>2881</v>
      </c>
      <c r="CYJ1337" s="4" t="s">
        <v>2881</v>
      </c>
      <c r="CYK1337" s="4" t="s">
        <v>2881</v>
      </c>
      <c r="CYL1337" s="4" t="s">
        <v>2881</v>
      </c>
      <c r="CYM1337" s="4" t="s">
        <v>2881</v>
      </c>
      <c r="CYN1337" s="4" t="s">
        <v>2881</v>
      </c>
      <c r="CYO1337" s="4" t="s">
        <v>2881</v>
      </c>
      <c r="CYP1337" s="4" t="s">
        <v>2881</v>
      </c>
      <c r="CYQ1337" s="4" t="s">
        <v>2881</v>
      </c>
      <c r="CYR1337" s="4" t="s">
        <v>2881</v>
      </c>
      <c r="CYS1337" s="4" t="s">
        <v>2881</v>
      </c>
      <c r="CYT1337" s="4" t="s">
        <v>2881</v>
      </c>
      <c r="CYU1337" s="4" t="s">
        <v>2881</v>
      </c>
      <c r="CYV1337" s="4" t="s">
        <v>2881</v>
      </c>
      <c r="CYW1337" s="4" t="s">
        <v>2881</v>
      </c>
      <c r="CYX1337" s="4" t="s">
        <v>2881</v>
      </c>
      <c r="CYY1337" s="4" t="s">
        <v>2881</v>
      </c>
      <c r="CYZ1337" s="4" t="s">
        <v>2881</v>
      </c>
      <c r="CZA1337" s="4" t="s">
        <v>2881</v>
      </c>
      <c r="CZB1337" s="4" t="s">
        <v>2881</v>
      </c>
      <c r="CZC1337" s="4" t="s">
        <v>2881</v>
      </c>
      <c r="CZD1337" s="4" t="s">
        <v>2881</v>
      </c>
      <c r="CZE1337" s="4" t="s">
        <v>2881</v>
      </c>
      <c r="CZF1337" s="4" t="s">
        <v>2881</v>
      </c>
      <c r="CZG1337" s="4" t="s">
        <v>2881</v>
      </c>
      <c r="CZH1337" s="4" t="s">
        <v>2881</v>
      </c>
      <c r="CZI1337" s="4" t="s">
        <v>2881</v>
      </c>
      <c r="CZJ1337" s="4" t="s">
        <v>2881</v>
      </c>
      <c r="CZK1337" s="4" t="s">
        <v>2881</v>
      </c>
      <c r="CZL1337" s="4" t="s">
        <v>2881</v>
      </c>
      <c r="CZM1337" s="4" t="s">
        <v>2881</v>
      </c>
      <c r="CZN1337" s="4" t="s">
        <v>2881</v>
      </c>
      <c r="CZO1337" s="4" t="s">
        <v>2881</v>
      </c>
      <c r="CZP1337" s="4" t="s">
        <v>2881</v>
      </c>
      <c r="CZQ1337" s="4" t="s">
        <v>2881</v>
      </c>
      <c r="CZR1337" s="4" t="s">
        <v>2881</v>
      </c>
      <c r="CZS1337" s="4" t="s">
        <v>2881</v>
      </c>
      <c r="CZT1337" s="4" t="s">
        <v>2881</v>
      </c>
      <c r="CZU1337" s="4" t="s">
        <v>2881</v>
      </c>
      <c r="CZV1337" s="4" t="s">
        <v>2881</v>
      </c>
      <c r="CZW1337" s="4" t="s">
        <v>2881</v>
      </c>
      <c r="CZX1337" s="4" t="s">
        <v>2881</v>
      </c>
      <c r="CZY1337" s="4" t="s">
        <v>2881</v>
      </c>
      <c r="CZZ1337" s="4" t="s">
        <v>2881</v>
      </c>
      <c r="DAA1337" s="4" t="s">
        <v>2881</v>
      </c>
      <c r="DAB1337" s="4" t="s">
        <v>2881</v>
      </c>
      <c r="DAC1337" s="4" t="s">
        <v>2881</v>
      </c>
      <c r="DAD1337" s="4" t="s">
        <v>2881</v>
      </c>
      <c r="DAE1337" s="4" t="s">
        <v>2881</v>
      </c>
      <c r="DAF1337" s="4" t="s">
        <v>2881</v>
      </c>
      <c r="DAG1337" s="4" t="s">
        <v>2881</v>
      </c>
      <c r="DAH1337" s="4" t="s">
        <v>2881</v>
      </c>
      <c r="DAI1337" s="4" t="s">
        <v>2881</v>
      </c>
      <c r="DAJ1337" s="4" t="s">
        <v>2881</v>
      </c>
      <c r="DAK1337" s="4" t="s">
        <v>2881</v>
      </c>
      <c r="DAL1337" s="4" t="s">
        <v>2881</v>
      </c>
      <c r="DAM1337" s="4" t="s">
        <v>2881</v>
      </c>
      <c r="DAN1337" s="4" t="s">
        <v>2881</v>
      </c>
      <c r="DAO1337" s="4" t="s">
        <v>2881</v>
      </c>
      <c r="DAP1337" s="4" t="s">
        <v>2881</v>
      </c>
      <c r="DAQ1337" s="4" t="s">
        <v>2881</v>
      </c>
      <c r="DAR1337" s="4" t="s">
        <v>2881</v>
      </c>
      <c r="DAS1337" s="4" t="s">
        <v>2881</v>
      </c>
      <c r="DAT1337" s="4" t="s">
        <v>2881</v>
      </c>
      <c r="DAU1337" s="4" t="s">
        <v>2881</v>
      </c>
      <c r="DAV1337" s="4" t="s">
        <v>2881</v>
      </c>
      <c r="DAW1337" s="4" t="s">
        <v>2881</v>
      </c>
      <c r="DAX1337" s="4" t="s">
        <v>2881</v>
      </c>
      <c r="DAY1337" s="4" t="s">
        <v>2881</v>
      </c>
      <c r="DAZ1337" s="4" t="s">
        <v>2881</v>
      </c>
      <c r="DBA1337" s="4" t="s">
        <v>2881</v>
      </c>
      <c r="DBB1337" s="4" t="s">
        <v>2881</v>
      </c>
      <c r="DBC1337" s="4" t="s">
        <v>2881</v>
      </c>
      <c r="DBD1337" s="4" t="s">
        <v>2881</v>
      </c>
      <c r="DBE1337" s="4" t="s">
        <v>2881</v>
      </c>
      <c r="DBF1337" s="4" t="s">
        <v>2881</v>
      </c>
      <c r="DBG1337" s="4" t="s">
        <v>2881</v>
      </c>
      <c r="DBH1337" s="4" t="s">
        <v>2881</v>
      </c>
      <c r="DBI1337" s="4" t="s">
        <v>2881</v>
      </c>
      <c r="DBJ1337" s="4" t="s">
        <v>2881</v>
      </c>
      <c r="DBK1337" s="4" t="s">
        <v>2881</v>
      </c>
      <c r="DBL1337" s="4" t="s">
        <v>2881</v>
      </c>
      <c r="DBM1337" s="4" t="s">
        <v>2881</v>
      </c>
      <c r="DBN1337" s="4" t="s">
        <v>2881</v>
      </c>
      <c r="DBO1337" s="4" t="s">
        <v>2881</v>
      </c>
      <c r="DBP1337" s="4" t="s">
        <v>2881</v>
      </c>
      <c r="DBQ1337" s="4" t="s">
        <v>2881</v>
      </c>
      <c r="DBR1337" s="4" t="s">
        <v>2881</v>
      </c>
      <c r="DBS1337" s="4" t="s">
        <v>2881</v>
      </c>
      <c r="DBT1337" s="4" t="s">
        <v>2881</v>
      </c>
      <c r="DBU1337" s="4" t="s">
        <v>2881</v>
      </c>
      <c r="DBV1337" s="4" t="s">
        <v>2881</v>
      </c>
      <c r="DBW1337" s="4" t="s">
        <v>2881</v>
      </c>
      <c r="DBX1337" s="4" t="s">
        <v>2881</v>
      </c>
      <c r="DBY1337" s="4" t="s">
        <v>2881</v>
      </c>
      <c r="DBZ1337" s="4" t="s">
        <v>2881</v>
      </c>
      <c r="DCA1337" s="4" t="s">
        <v>2881</v>
      </c>
      <c r="DCB1337" s="4" t="s">
        <v>2881</v>
      </c>
      <c r="DCC1337" s="4" t="s">
        <v>2881</v>
      </c>
      <c r="DCD1337" s="4" t="s">
        <v>2881</v>
      </c>
      <c r="DCE1337" s="4" t="s">
        <v>2881</v>
      </c>
      <c r="DCF1337" s="4" t="s">
        <v>2881</v>
      </c>
      <c r="DCG1337" s="4" t="s">
        <v>2881</v>
      </c>
      <c r="DCH1337" s="4" t="s">
        <v>2881</v>
      </c>
      <c r="DCI1337" s="4" t="s">
        <v>2881</v>
      </c>
      <c r="DCJ1337" s="4" t="s">
        <v>2881</v>
      </c>
      <c r="DCK1337" s="4" t="s">
        <v>2881</v>
      </c>
      <c r="DCL1337" s="4" t="s">
        <v>2881</v>
      </c>
      <c r="DCM1337" s="4" t="s">
        <v>2881</v>
      </c>
      <c r="DCN1337" s="4" t="s">
        <v>2881</v>
      </c>
      <c r="DCO1337" s="4" t="s">
        <v>2881</v>
      </c>
      <c r="DCP1337" s="4" t="s">
        <v>2881</v>
      </c>
      <c r="DCQ1337" s="4" t="s">
        <v>2881</v>
      </c>
      <c r="DCR1337" s="4" t="s">
        <v>2881</v>
      </c>
      <c r="DCS1337" s="4" t="s">
        <v>2881</v>
      </c>
      <c r="DCT1337" s="4" t="s">
        <v>2881</v>
      </c>
      <c r="DCU1337" s="4" t="s">
        <v>2881</v>
      </c>
      <c r="DCV1337" s="4" t="s">
        <v>2881</v>
      </c>
      <c r="DCW1337" s="4" t="s">
        <v>2881</v>
      </c>
      <c r="DCX1337" s="4" t="s">
        <v>2881</v>
      </c>
      <c r="DCY1337" s="4" t="s">
        <v>2881</v>
      </c>
      <c r="DCZ1337" s="4" t="s">
        <v>2881</v>
      </c>
      <c r="DDA1337" s="4" t="s">
        <v>2881</v>
      </c>
      <c r="DDB1337" s="4" t="s">
        <v>2881</v>
      </c>
      <c r="DDC1337" s="4" t="s">
        <v>2881</v>
      </c>
      <c r="DDD1337" s="4" t="s">
        <v>2881</v>
      </c>
      <c r="DDE1337" s="4" t="s">
        <v>2881</v>
      </c>
      <c r="DDF1337" s="4" t="s">
        <v>2881</v>
      </c>
      <c r="DDG1337" s="4" t="s">
        <v>2881</v>
      </c>
      <c r="DDH1337" s="4" t="s">
        <v>2881</v>
      </c>
      <c r="DDI1337" s="4" t="s">
        <v>2881</v>
      </c>
      <c r="DDJ1337" s="4" t="s">
        <v>2881</v>
      </c>
      <c r="DDK1337" s="4" t="s">
        <v>2881</v>
      </c>
      <c r="DDL1337" s="4" t="s">
        <v>2881</v>
      </c>
      <c r="DDM1337" s="4" t="s">
        <v>2881</v>
      </c>
      <c r="DDN1337" s="4" t="s">
        <v>2881</v>
      </c>
      <c r="DDO1337" s="4" t="s">
        <v>2881</v>
      </c>
      <c r="DDP1337" s="4" t="s">
        <v>2881</v>
      </c>
      <c r="DDQ1337" s="4" t="s">
        <v>2881</v>
      </c>
      <c r="DDR1337" s="4" t="s">
        <v>2881</v>
      </c>
      <c r="DDS1337" s="4" t="s">
        <v>2881</v>
      </c>
      <c r="DDT1337" s="4" t="s">
        <v>2881</v>
      </c>
      <c r="DDU1337" s="4" t="s">
        <v>2881</v>
      </c>
      <c r="DDV1337" s="4" t="s">
        <v>2881</v>
      </c>
      <c r="DDW1337" s="4" t="s">
        <v>2881</v>
      </c>
      <c r="DDX1337" s="4" t="s">
        <v>2881</v>
      </c>
      <c r="DDY1337" s="4" t="s">
        <v>2881</v>
      </c>
      <c r="DDZ1337" s="4" t="s">
        <v>2881</v>
      </c>
      <c r="DEA1337" s="4" t="s">
        <v>2881</v>
      </c>
      <c r="DEB1337" s="4" t="s">
        <v>2881</v>
      </c>
      <c r="DEC1337" s="4" t="s">
        <v>2881</v>
      </c>
      <c r="DED1337" s="4" t="s">
        <v>2881</v>
      </c>
      <c r="DEE1337" s="4" t="s">
        <v>2881</v>
      </c>
      <c r="DEF1337" s="4" t="s">
        <v>2881</v>
      </c>
      <c r="DEG1337" s="4" t="s">
        <v>2881</v>
      </c>
      <c r="DEH1337" s="4" t="s">
        <v>2881</v>
      </c>
      <c r="DEI1337" s="4" t="s">
        <v>2881</v>
      </c>
      <c r="DEJ1337" s="4" t="s">
        <v>2881</v>
      </c>
      <c r="DEK1337" s="4" t="s">
        <v>2881</v>
      </c>
      <c r="DEL1337" s="4" t="s">
        <v>2881</v>
      </c>
      <c r="DEM1337" s="4" t="s">
        <v>2881</v>
      </c>
      <c r="DEN1337" s="4" t="s">
        <v>2881</v>
      </c>
      <c r="DEO1337" s="4" t="s">
        <v>2881</v>
      </c>
      <c r="DEP1337" s="4" t="s">
        <v>2881</v>
      </c>
      <c r="DEQ1337" s="4" t="s">
        <v>2881</v>
      </c>
      <c r="DER1337" s="4" t="s">
        <v>2881</v>
      </c>
      <c r="DES1337" s="4" t="s">
        <v>2881</v>
      </c>
      <c r="DET1337" s="4" t="s">
        <v>2881</v>
      </c>
      <c r="DEU1337" s="4" t="s">
        <v>2881</v>
      </c>
      <c r="DEV1337" s="4" t="s">
        <v>2881</v>
      </c>
      <c r="DEW1337" s="4" t="s">
        <v>2881</v>
      </c>
      <c r="DEX1337" s="4" t="s">
        <v>2881</v>
      </c>
      <c r="DEY1337" s="4" t="s">
        <v>2881</v>
      </c>
      <c r="DEZ1337" s="4" t="s">
        <v>2881</v>
      </c>
      <c r="DFA1337" s="4" t="s">
        <v>2881</v>
      </c>
      <c r="DFB1337" s="4" t="s">
        <v>2881</v>
      </c>
      <c r="DFC1337" s="4" t="s">
        <v>2881</v>
      </c>
      <c r="DFD1337" s="4" t="s">
        <v>2881</v>
      </c>
      <c r="DFE1337" s="4" t="s">
        <v>2881</v>
      </c>
      <c r="DFF1337" s="4" t="s">
        <v>2881</v>
      </c>
      <c r="DFG1337" s="4" t="s">
        <v>2881</v>
      </c>
      <c r="DFH1337" s="4" t="s">
        <v>2881</v>
      </c>
      <c r="DFI1337" s="4" t="s">
        <v>2881</v>
      </c>
      <c r="DFJ1337" s="4" t="s">
        <v>2881</v>
      </c>
      <c r="DFK1337" s="4" t="s">
        <v>2881</v>
      </c>
      <c r="DFL1337" s="4" t="s">
        <v>2881</v>
      </c>
      <c r="DFM1337" s="4" t="s">
        <v>2881</v>
      </c>
      <c r="DFN1337" s="4" t="s">
        <v>2881</v>
      </c>
      <c r="DFO1337" s="4" t="s">
        <v>2881</v>
      </c>
      <c r="DFP1337" s="4" t="s">
        <v>2881</v>
      </c>
      <c r="DFQ1337" s="4" t="s">
        <v>2881</v>
      </c>
      <c r="DFR1337" s="4" t="s">
        <v>2881</v>
      </c>
      <c r="DFS1337" s="4" t="s">
        <v>2881</v>
      </c>
      <c r="DFT1337" s="4" t="s">
        <v>2881</v>
      </c>
      <c r="DFU1337" s="4" t="s">
        <v>2881</v>
      </c>
      <c r="DFV1337" s="4" t="s">
        <v>2881</v>
      </c>
      <c r="DFW1337" s="4" t="s">
        <v>2881</v>
      </c>
      <c r="DFX1337" s="4" t="s">
        <v>2881</v>
      </c>
      <c r="DFY1337" s="4" t="s">
        <v>2881</v>
      </c>
      <c r="DFZ1337" s="4" t="s">
        <v>2881</v>
      </c>
      <c r="DGA1337" s="4" t="s">
        <v>2881</v>
      </c>
      <c r="DGB1337" s="4" t="s">
        <v>2881</v>
      </c>
      <c r="DGC1337" s="4" t="s">
        <v>2881</v>
      </c>
      <c r="DGD1337" s="4" t="s">
        <v>2881</v>
      </c>
      <c r="DGE1337" s="4" t="s">
        <v>2881</v>
      </c>
      <c r="DGF1337" s="4" t="s">
        <v>2881</v>
      </c>
      <c r="DGG1337" s="4" t="s">
        <v>2881</v>
      </c>
      <c r="DGH1337" s="4" t="s">
        <v>2881</v>
      </c>
      <c r="DGI1337" s="4" t="s">
        <v>2881</v>
      </c>
      <c r="DGJ1337" s="4" t="s">
        <v>2881</v>
      </c>
      <c r="DGK1337" s="4" t="s">
        <v>2881</v>
      </c>
      <c r="DGL1337" s="4" t="s">
        <v>2881</v>
      </c>
      <c r="DGM1337" s="4" t="s">
        <v>2881</v>
      </c>
      <c r="DGN1337" s="4" t="s">
        <v>2881</v>
      </c>
      <c r="DGO1337" s="4" t="s">
        <v>2881</v>
      </c>
      <c r="DGP1337" s="4" t="s">
        <v>2881</v>
      </c>
      <c r="DGQ1337" s="4" t="s">
        <v>2881</v>
      </c>
      <c r="DGR1337" s="4" t="s">
        <v>2881</v>
      </c>
      <c r="DGS1337" s="4" t="s">
        <v>2881</v>
      </c>
      <c r="DGT1337" s="4" t="s">
        <v>2881</v>
      </c>
      <c r="DGU1337" s="4" t="s">
        <v>2881</v>
      </c>
      <c r="DGV1337" s="4" t="s">
        <v>2881</v>
      </c>
      <c r="DGW1337" s="4" t="s">
        <v>2881</v>
      </c>
      <c r="DGX1337" s="4" t="s">
        <v>2881</v>
      </c>
      <c r="DGY1337" s="4" t="s">
        <v>2881</v>
      </c>
      <c r="DGZ1337" s="4" t="s">
        <v>2881</v>
      </c>
      <c r="DHA1337" s="4" t="s">
        <v>2881</v>
      </c>
      <c r="DHB1337" s="4" t="s">
        <v>2881</v>
      </c>
      <c r="DHC1337" s="4" t="s">
        <v>2881</v>
      </c>
      <c r="DHD1337" s="4" t="s">
        <v>2881</v>
      </c>
      <c r="DHE1337" s="4" t="s">
        <v>2881</v>
      </c>
      <c r="DHF1337" s="4" t="s">
        <v>2881</v>
      </c>
      <c r="DHG1337" s="4" t="s">
        <v>2881</v>
      </c>
      <c r="DHH1337" s="4" t="s">
        <v>2881</v>
      </c>
      <c r="DHI1337" s="4" t="s">
        <v>2881</v>
      </c>
      <c r="DHJ1337" s="4" t="s">
        <v>2881</v>
      </c>
      <c r="DHK1337" s="4" t="s">
        <v>2881</v>
      </c>
      <c r="DHL1337" s="4" t="s">
        <v>2881</v>
      </c>
      <c r="DHM1337" s="4" t="s">
        <v>2881</v>
      </c>
      <c r="DHN1337" s="4" t="s">
        <v>2881</v>
      </c>
      <c r="DHO1337" s="4" t="s">
        <v>2881</v>
      </c>
      <c r="DHP1337" s="4" t="s">
        <v>2881</v>
      </c>
      <c r="DHQ1337" s="4" t="s">
        <v>2881</v>
      </c>
      <c r="DHR1337" s="4" t="s">
        <v>2881</v>
      </c>
      <c r="DHS1337" s="4" t="s">
        <v>2881</v>
      </c>
      <c r="DHT1337" s="4" t="s">
        <v>2881</v>
      </c>
      <c r="DHU1337" s="4" t="s">
        <v>2881</v>
      </c>
      <c r="DHV1337" s="4" t="s">
        <v>2881</v>
      </c>
      <c r="DHW1337" s="4" t="s">
        <v>2881</v>
      </c>
      <c r="DHX1337" s="4" t="s">
        <v>2881</v>
      </c>
      <c r="DHY1337" s="4" t="s">
        <v>2881</v>
      </c>
      <c r="DHZ1337" s="4" t="s">
        <v>2881</v>
      </c>
      <c r="DIA1337" s="4" t="s">
        <v>2881</v>
      </c>
      <c r="DIB1337" s="4" t="s">
        <v>2881</v>
      </c>
      <c r="DIC1337" s="4" t="s">
        <v>2881</v>
      </c>
      <c r="DID1337" s="4" t="s">
        <v>2881</v>
      </c>
      <c r="DIE1337" s="4" t="s">
        <v>2881</v>
      </c>
      <c r="DIF1337" s="4" t="s">
        <v>2881</v>
      </c>
      <c r="DIG1337" s="4" t="s">
        <v>2881</v>
      </c>
      <c r="DIH1337" s="4" t="s">
        <v>2881</v>
      </c>
      <c r="DII1337" s="4" t="s">
        <v>2881</v>
      </c>
      <c r="DIJ1337" s="4" t="s">
        <v>2881</v>
      </c>
      <c r="DIK1337" s="4" t="s">
        <v>2881</v>
      </c>
      <c r="DIL1337" s="4" t="s">
        <v>2881</v>
      </c>
      <c r="DIM1337" s="4" t="s">
        <v>2881</v>
      </c>
      <c r="DIN1337" s="4" t="s">
        <v>2881</v>
      </c>
      <c r="DIO1337" s="4" t="s">
        <v>2881</v>
      </c>
      <c r="DIP1337" s="4" t="s">
        <v>2881</v>
      </c>
      <c r="DIQ1337" s="4" t="s">
        <v>2881</v>
      </c>
      <c r="DIR1337" s="4" t="s">
        <v>2881</v>
      </c>
      <c r="DIS1337" s="4" t="s">
        <v>2881</v>
      </c>
      <c r="DIT1337" s="4" t="s">
        <v>2881</v>
      </c>
      <c r="DIU1337" s="4" t="s">
        <v>2881</v>
      </c>
      <c r="DIV1337" s="4" t="s">
        <v>2881</v>
      </c>
      <c r="DIW1337" s="4" t="s">
        <v>2881</v>
      </c>
      <c r="DIX1337" s="4" t="s">
        <v>2881</v>
      </c>
      <c r="DIY1337" s="4" t="s">
        <v>2881</v>
      </c>
      <c r="DIZ1337" s="4" t="s">
        <v>2881</v>
      </c>
      <c r="DJA1337" s="4" t="s">
        <v>2881</v>
      </c>
      <c r="DJB1337" s="4" t="s">
        <v>2881</v>
      </c>
      <c r="DJC1337" s="4" t="s">
        <v>2881</v>
      </c>
      <c r="DJD1337" s="4" t="s">
        <v>2881</v>
      </c>
      <c r="DJE1337" s="4" t="s">
        <v>2881</v>
      </c>
      <c r="DJF1337" s="4" t="s">
        <v>2881</v>
      </c>
      <c r="DJG1337" s="4" t="s">
        <v>2881</v>
      </c>
      <c r="DJH1337" s="4" t="s">
        <v>2881</v>
      </c>
      <c r="DJI1337" s="4" t="s">
        <v>2881</v>
      </c>
      <c r="DJJ1337" s="4" t="s">
        <v>2881</v>
      </c>
      <c r="DJK1337" s="4" t="s">
        <v>2881</v>
      </c>
      <c r="DJL1337" s="4" t="s">
        <v>2881</v>
      </c>
      <c r="DJM1337" s="4" t="s">
        <v>2881</v>
      </c>
      <c r="DJN1337" s="4" t="s">
        <v>2881</v>
      </c>
      <c r="DJO1337" s="4" t="s">
        <v>2881</v>
      </c>
      <c r="DJP1337" s="4" t="s">
        <v>2881</v>
      </c>
      <c r="DJQ1337" s="4" t="s">
        <v>2881</v>
      </c>
      <c r="DJR1337" s="4" t="s">
        <v>2881</v>
      </c>
      <c r="DJS1337" s="4" t="s">
        <v>2881</v>
      </c>
      <c r="DJT1337" s="4" t="s">
        <v>2881</v>
      </c>
      <c r="DJU1337" s="4" t="s">
        <v>2881</v>
      </c>
      <c r="DJV1337" s="4" t="s">
        <v>2881</v>
      </c>
      <c r="DJW1337" s="4" t="s">
        <v>2881</v>
      </c>
      <c r="DJX1337" s="4" t="s">
        <v>2881</v>
      </c>
      <c r="DJY1337" s="4" t="s">
        <v>2881</v>
      </c>
      <c r="DJZ1337" s="4" t="s">
        <v>2881</v>
      </c>
      <c r="DKA1337" s="4" t="s">
        <v>2881</v>
      </c>
      <c r="DKB1337" s="4" t="s">
        <v>2881</v>
      </c>
      <c r="DKC1337" s="4" t="s">
        <v>2881</v>
      </c>
      <c r="DKD1337" s="4" t="s">
        <v>2881</v>
      </c>
      <c r="DKE1337" s="4" t="s">
        <v>2881</v>
      </c>
      <c r="DKF1337" s="4" t="s">
        <v>2881</v>
      </c>
      <c r="DKG1337" s="4" t="s">
        <v>2881</v>
      </c>
      <c r="DKH1337" s="4" t="s">
        <v>2881</v>
      </c>
      <c r="DKI1337" s="4" t="s">
        <v>2881</v>
      </c>
      <c r="DKJ1337" s="4" t="s">
        <v>2881</v>
      </c>
      <c r="DKK1337" s="4" t="s">
        <v>2881</v>
      </c>
      <c r="DKL1337" s="4" t="s">
        <v>2881</v>
      </c>
      <c r="DKM1337" s="4" t="s">
        <v>2881</v>
      </c>
      <c r="DKN1337" s="4" t="s">
        <v>2881</v>
      </c>
      <c r="DKO1337" s="4" t="s">
        <v>2881</v>
      </c>
      <c r="DKP1337" s="4" t="s">
        <v>2881</v>
      </c>
      <c r="DKQ1337" s="4" t="s">
        <v>2881</v>
      </c>
      <c r="DKR1337" s="4" t="s">
        <v>2881</v>
      </c>
      <c r="DKS1337" s="4" t="s">
        <v>2881</v>
      </c>
      <c r="DKT1337" s="4" t="s">
        <v>2881</v>
      </c>
      <c r="DKU1337" s="4" t="s">
        <v>2881</v>
      </c>
      <c r="DKV1337" s="4" t="s">
        <v>2881</v>
      </c>
      <c r="DKW1337" s="4" t="s">
        <v>2881</v>
      </c>
      <c r="DKX1337" s="4" t="s">
        <v>2881</v>
      </c>
      <c r="DKY1337" s="4" t="s">
        <v>2881</v>
      </c>
      <c r="DKZ1337" s="4" t="s">
        <v>2881</v>
      </c>
      <c r="DLA1337" s="4" t="s">
        <v>2881</v>
      </c>
      <c r="DLB1337" s="4" t="s">
        <v>2881</v>
      </c>
      <c r="DLC1337" s="4" t="s">
        <v>2881</v>
      </c>
      <c r="DLD1337" s="4" t="s">
        <v>2881</v>
      </c>
      <c r="DLE1337" s="4" t="s">
        <v>2881</v>
      </c>
      <c r="DLF1337" s="4" t="s">
        <v>2881</v>
      </c>
      <c r="DLG1337" s="4" t="s">
        <v>2881</v>
      </c>
      <c r="DLH1337" s="4" t="s">
        <v>2881</v>
      </c>
      <c r="DLI1337" s="4" t="s">
        <v>2881</v>
      </c>
      <c r="DLJ1337" s="4" t="s">
        <v>2881</v>
      </c>
      <c r="DLK1337" s="4" t="s">
        <v>2881</v>
      </c>
      <c r="DLL1337" s="4" t="s">
        <v>2881</v>
      </c>
      <c r="DLM1337" s="4" t="s">
        <v>2881</v>
      </c>
      <c r="DLN1337" s="4" t="s">
        <v>2881</v>
      </c>
      <c r="DLO1337" s="4" t="s">
        <v>2881</v>
      </c>
      <c r="DLP1337" s="4" t="s">
        <v>2881</v>
      </c>
      <c r="DLQ1337" s="4" t="s">
        <v>2881</v>
      </c>
      <c r="DLR1337" s="4" t="s">
        <v>2881</v>
      </c>
      <c r="DLS1337" s="4" t="s">
        <v>2881</v>
      </c>
      <c r="DLT1337" s="4" t="s">
        <v>2881</v>
      </c>
      <c r="DLU1337" s="4" t="s">
        <v>2881</v>
      </c>
      <c r="DLV1337" s="4" t="s">
        <v>2881</v>
      </c>
      <c r="DLW1337" s="4" t="s">
        <v>2881</v>
      </c>
      <c r="DLX1337" s="4" t="s">
        <v>2881</v>
      </c>
      <c r="DLY1337" s="4" t="s">
        <v>2881</v>
      </c>
      <c r="DLZ1337" s="4" t="s">
        <v>2881</v>
      </c>
      <c r="DMA1337" s="4" t="s">
        <v>2881</v>
      </c>
      <c r="DMB1337" s="4" t="s">
        <v>2881</v>
      </c>
      <c r="DMC1337" s="4" t="s">
        <v>2881</v>
      </c>
      <c r="DMD1337" s="4" t="s">
        <v>2881</v>
      </c>
      <c r="DME1337" s="4" t="s">
        <v>2881</v>
      </c>
      <c r="DMF1337" s="4" t="s">
        <v>2881</v>
      </c>
      <c r="DMG1337" s="4" t="s">
        <v>2881</v>
      </c>
      <c r="DMH1337" s="4" t="s">
        <v>2881</v>
      </c>
      <c r="DMI1337" s="4" t="s">
        <v>2881</v>
      </c>
      <c r="DMJ1337" s="4" t="s">
        <v>2881</v>
      </c>
      <c r="DMK1337" s="4" t="s">
        <v>2881</v>
      </c>
      <c r="DML1337" s="4" t="s">
        <v>2881</v>
      </c>
      <c r="DMM1337" s="4" t="s">
        <v>2881</v>
      </c>
      <c r="DMN1337" s="4" t="s">
        <v>2881</v>
      </c>
      <c r="DMO1337" s="4" t="s">
        <v>2881</v>
      </c>
      <c r="DMP1337" s="4" t="s">
        <v>2881</v>
      </c>
      <c r="DMQ1337" s="4" t="s">
        <v>2881</v>
      </c>
      <c r="DMR1337" s="4" t="s">
        <v>2881</v>
      </c>
      <c r="DMS1337" s="4" t="s">
        <v>2881</v>
      </c>
      <c r="DMT1337" s="4" t="s">
        <v>2881</v>
      </c>
      <c r="DMU1337" s="4" t="s">
        <v>2881</v>
      </c>
      <c r="DMV1337" s="4" t="s">
        <v>2881</v>
      </c>
      <c r="DMW1337" s="4" t="s">
        <v>2881</v>
      </c>
      <c r="DMX1337" s="4" t="s">
        <v>2881</v>
      </c>
      <c r="DMY1337" s="4" t="s">
        <v>2881</v>
      </c>
      <c r="DMZ1337" s="4" t="s">
        <v>2881</v>
      </c>
      <c r="DNA1337" s="4" t="s">
        <v>2881</v>
      </c>
      <c r="DNB1337" s="4" t="s">
        <v>2881</v>
      </c>
      <c r="DNC1337" s="4" t="s">
        <v>2881</v>
      </c>
      <c r="DND1337" s="4" t="s">
        <v>2881</v>
      </c>
      <c r="DNE1337" s="4" t="s">
        <v>2881</v>
      </c>
      <c r="DNF1337" s="4" t="s">
        <v>2881</v>
      </c>
      <c r="DNG1337" s="4" t="s">
        <v>2881</v>
      </c>
      <c r="DNH1337" s="4" t="s">
        <v>2881</v>
      </c>
      <c r="DNI1337" s="4" t="s">
        <v>2881</v>
      </c>
      <c r="DNJ1337" s="4" t="s">
        <v>2881</v>
      </c>
      <c r="DNK1337" s="4" t="s">
        <v>2881</v>
      </c>
      <c r="DNL1337" s="4" t="s">
        <v>2881</v>
      </c>
      <c r="DNM1337" s="4" t="s">
        <v>2881</v>
      </c>
      <c r="DNN1337" s="4" t="s">
        <v>2881</v>
      </c>
      <c r="DNO1337" s="4" t="s">
        <v>2881</v>
      </c>
      <c r="DNP1337" s="4" t="s">
        <v>2881</v>
      </c>
      <c r="DNQ1337" s="4" t="s">
        <v>2881</v>
      </c>
      <c r="DNR1337" s="4" t="s">
        <v>2881</v>
      </c>
      <c r="DNS1337" s="4" t="s">
        <v>2881</v>
      </c>
      <c r="DNT1337" s="4" t="s">
        <v>2881</v>
      </c>
      <c r="DNU1337" s="4" t="s">
        <v>2881</v>
      </c>
      <c r="DNV1337" s="4" t="s">
        <v>2881</v>
      </c>
      <c r="DNW1337" s="4" t="s">
        <v>2881</v>
      </c>
      <c r="DNX1337" s="4" t="s">
        <v>2881</v>
      </c>
      <c r="DNY1337" s="4" t="s">
        <v>2881</v>
      </c>
      <c r="DNZ1337" s="4" t="s">
        <v>2881</v>
      </c>
      <c r="DOA1337" s="4" t="s">
        <v>2881</v>
      </c>
      <c r="DOB1337" s="4" t="s">
        <v>2881</v>
      </c>
      <c r="DOC1337" s="4" t="s">
        <v>2881</v>
      </c>
      <c r="DOD1337" s="4" t="s">
        <v>2881</v>
      </c>
      <c r="DOE1337" s="4" t="s">
        <v>2881</v>
      </c>
      <c r="DOF1337" s="4" t="s">
        <v>2881</v>
      </c>
      <c r="DOG1337" s="4" t="s">
        <v>2881</v>
      </c>
      <c r="DOH1337" s="4" t="s">
        <v>2881</v>
      </c>
      <c r="DOI1337" s="4" t="s">
        <v>2881</v>
      </c>
      <c r="DOJ1337" s="4" t="s">
        <v>2881</v>
      </c>
      <c r="DOK1337" s="4" t="s">
        <v>2881</v>
      </c>
      <c r="DOL1337" s="4" t="s">
        <v>2881</v>
      </c>
      <c r="DOM1337" s="4" t="s">
        <v>2881</v>
      </c>
      <c r="DON1337" s="4" t="s">
        <v>2881</v>
      </c>
      <c r="DOO1337" s="4" t="s">
        <v>2881</v>
      </c>
      <c r="DOP1337" s="4" t="s">
        <v>2881</v>
      </c>
      <c r="DOQ1337" s="4" t="s">
        <v>2881</v>
      </c>
      <c r="DOR1337" s="4" t="s">
        <v>2881</v>
      </c>
      <c r="DOS1337" s="4" t="s">
        <v>2881</v>
      </c>
      <c r="DOT1337" s="4" t="s">
        <v>2881</v>
      </c>
      <c r="DOU1337" s="4" t="s">
        <v>2881</v>
      </c>
      <c r="DOV1337" s="4" t="s">
        <v>2881</v>
      </c>
      <c r="DOW1337" s="4" t="s">
        <v>2881</v>
      </c>
      <c r="DOX1337" s="4" t="s">
        <v>2881</v>
      </c>
      <c r="DOY1337" s="4" t="s">
        <v>2881</v>
      </c>
      <c r="DOZ1337" s="4" t="s">
        <v>2881</v>
      </c>
      <c r="DPA1337" s="4" t="s">
        <v>2881</v>
      </c>
      <c r="DPB1337" s="4" t="s">
        <v>2881</v>
      </c>
      <c r="DPC1337" s="4" t="s">
        <v>2881</v>
      </c>
      <c r="DPD1337" s="4" t="s">
        <v>2881</v>
      </c>
      <c r="DPE1337" s="4" t="s">
        <v>2881</v>
      </c>
      <c r="DPF1337" s="4" t="s">
        <v>2881</v>
      </c>
      <c r="DPG1337" s="4" t="s">
        <v>2881</v>
      </c>
      <c r="DPH1337" s="4" t="s">
        <v>2881</v>
      </c>
      <c r="DPI1337" s="4" t="s">
        <v>2881</v>
      </c>
      <c r="DPJ1337" s="4" t="s">
        <v>2881</v>
      </c>
      <c r="DPK1337" s="4" t="s">
        <v>2881</v>
      </c>
      <c r="DPL1337" s="4" t="s">
        <v>2881</v>
      </c>
      <c r="DPM1337" s="4" t="s">
        <v>2881</v>
      </c>
      <c r="DPN1337" s="4" t="s">
        <v>2881</v>
      </c>
      <c r="DPO1337" s="4" t="s">
        <v>2881</v>
      </c>
      <c r="DPP1337" s="4" t="s">
        <v>2881</v>
      </c>
      <c r="DPQ1337" s="4" t="s">
        <v>2881</v>
      </c>
      <c r="DPR1337" s="4" t="s">
        <v>2881</v>
      </c>
      <c r="DPS1337" s="4" t="s">
        <v>2881</v>
      </c>
      <c r="DPT1337" s="4" t="s">
        <v>2881</v>
      </c>
      <c r="DPU1337" s="4" t="s">
        <v>2881</v>
      </c>
      <c r="DPV1337" s="4" t="s">
        <v>2881</v>
      </c>
      <c r="DPW1337" s="4" t="s">
        <v>2881</v>
      </c>
      <c r="DPX1337" s="4" t="s">
        <v>2881</v>
      </c>
      <c r="DPY1337" s="4" t="s">
        <v>2881</v>
      </c>
      <c r="DPZ1337" s="4" t="s">
        <v>2881</v>
      </c>
      <c r="DQA1337" s="4" t="s">
        <v>2881</v>
      </c>
      <c r="DQB1337" s="4" t="s">
        <v>2881</v>
      </c>
      <c r="DQC1337" s="4" t="s">
        <v>2881</v>
      </c>
      <c r="DQD1337" s="4" t="s">
        <v>2881</v>
      </c>
      <c r="DQE1337" s="4" t="s">
        <v>2881</v>
      </c>
      <c r="DQF1337" s="4" t="s">
        <v>2881</v>
      </c>
      <c r="DQG1337" s="4" t="s">
        <v>2881</v>
      </c>
      <c r="DQH1337" s="4" t="s">
        <v>2881</v>
      </c>
      <c r="DQI1337" s="4" t="s">
        <v>2881</v>
      </c>
      <c r="DQJ1337" s="4" t="s">
        <v>2881</v>
      </c>
      <c r="DQK1337" s="4" t="s">
        <v>2881</v>
      </c>
      <c r="DQL1337" s="4" t="s">
        <v>2881</v>
      </c>
      <c r="DQM1337" s="4" t="s">
        <v>2881</v>
      </c>
      <c r="DQN1337" s="4" t="s">
        <v>2881</v>
      </c>
      <c r="DQO1337" s="4" t="s">
        <v>2881</v>
      </c>
      <c r="DQP1337" s="4" t="s">
        <v>2881</v>
      </c>
      <c r="DQQ1337" s="4" t="s">
        <v>2881</v>
      </c>
      <c r="DQR1337" s="4" t="s">
        <v>2881</v>
      </c>
      <c r="DQS1337" s="4" t="s">
        <v>2881</v>
      </c>
      <c r="DQT1337" s="4" t="s">
        <v>2881</v>
      </c>
      <c r="DQU1337" s="4" t="s">
        <v>2881</v>
      </c>
      <c r="DQV1337" s="4" t="s">
        <v>2881</v>
      </c>
      <c r="DQW1337" s="4" t="s">
        <v>2881</v>
      </c>
      <c r="DQX1337" s="4" t="s">
        <v>2881</v>
      </c>
      <c r="DQY1337" s="4" t="s">
        <v>2881</v>
      </c>
      <c r="DQZ1337" s="4" t="s">
        <v>2881</v>
      </c>
      <c r="DRA1337" s="4" t="s">
        <v>2881</v>
      </c>
      <c r="DRB1337" s="4" t="s">
        <v>2881</v>
      </c>
      <c r="DRC1337" s="4" t="s">
        <v>2881</v>
      </c>
      <c r="DRD1337" s="4" t="s">
        <v>2881</v>
      </c>
      <c r="DRE1337" s="4" t="s">
        <v>2881</v>
      </c>
      <c r="DRF1337" s="4" t="s">
        <v>2881</v>
      </c>
      <c r="DRG1337" s="4" t="s">
        <v>2881</v>
      </c>
      <c r="DRH1337" s="4" t="s">
        <v>2881</v>
      </c>
      <c r="DRI1337" s="4" t="s">
        <v>2881</v>
      </c>
      <c r="DRJ1337" s="4" t="s">
        <v>2881</v>
      </c>
      <c r="DRK1337" s="4" t="s">
        <v>2881</v>
      </c>
      <c r="DRL1337" s="4" t="s">
        <v>2881</v>
      </c>
      <c r="DRM1337" s="4" t="s">
        <v>2881</v>
      </c>
      <c r="DRN1337" s="4" t="s">
        <v>2881</v>
      </c>
      <c r="DRO1337" s="4" t="s">
        <v>2881</v>
      </c>
      <c r="DRP1337" s="4" t="s">
        <v>2881</v>
      </c>
      <c r="DRQ1337" s="4" t="s">
        <v>2881</v>
      </c>
      <c r="DRR1337" s="4" t="s">
        <v>2881</v>
      </c>
      <c r="DRS1337" s="4" t="s">
        <v>2881</v>
      </c>
      <c r="DRT1337" s="4" t="s">
        <v>2881</v>
      </c>
      <c r="DRU1337" s="4" t="s">
        <v>2881</v>
      </c>
      <c r="DRV1337" s="4" t="s">
        <v>2881</v>
      </c>
      <c r="DRW1337" s="4" t="s">
        <v>2881</v>
      </c>
      <c r="DRX1337" s="4" t="s">
        <v>2881</v>
      </c>
      <c r="DRY1337" s="4" t="s">
        <v>2881</v>
      </c>
      <c r="DRZ1337" s="4" t="s">
        <v>2881</v>
      </c>
      <c r="DSA1337" s="4" t="s">
        <v>2881</v>
      </c>
      <c r="DSB1337" s="4" t="s">
        <v>2881</v>
      </c>
      <c r="DSC1337" s="4" t="s">
        <v>2881</v>
      </c>
      <c r="DSD1337" s="4" t="s">
        <v>2881</v>
      </c>
      <c r="DSE1337" s="4" t="s">
        <v>2881</v>
      </c>
      <c r="DSF1337" s="4" t="s">
        <v>2881</v>
      </c>
      <c r="DSG1337" s="4" t="s">
        <v>2881</v>
      </c>
      <c r="DSH1337" s="4" t="s">
        <v>2881</v>
      </c>
      <c r="DSI1337" s="4" t="s">
        <v>2881</v>
      </c>
      <c r="DSJ1337" s="4" t="s">
        <v>2881</v>
      </c>
      <c r="DSK1337" s="4" t="s">
        <v>2881</v>
      </c>
      <c r="DSL1337" s="4" t="s">
        <v>2881</v>
      </c>
      <c r="DSM1337" s="4" t="s">
        <v>2881</v>
      </c>
      <c r="DSN1337" s="4" t="s">
        <v>2881</v>
      </c>
      <c r="DSO1337" s="4" t="s">
        <v>2881</v>
      </c>
      <c r="DSP1337" s="4" t="s">
        <v>2881</v>
      </c>
      <c r="DSQ1337" s="4" t="s">
        <v>2881</v>
      </c>
      <c r="DSR1337" s="4" t="s">
        <v>2881</v>
      </c>
      <c r="DSS1337" s="4" t="s">
        <v>2881</v>
      </c>
      <c r="DST1337" s="4" t="s">
        <v>2881</v>
      </c>
      <c r="DSU1337" s="4" t="s">
        <v>2881</v>
      </c>
      <c r="DSV1337" s="4" t="s">
        <v>2881</v>
      </c>
      <c r="DSW1337" s="4" t="s">
        <v>2881</v>
      </c>
      <c r="DSX1337" s="4" t="s">
        <v>2881</v>
      </c>
      <c r="DSY1337" s="4" t="s">
        <v>2881</v>
      </c>
      <c r="DSZ1337" s="4" t="s">
        <v>2881</v>
      </c>
      <c r="DTA1337" s="4" t="s">
        <v>2881</v>
      </c>
      <c r="DTB1337" s="4" t="s">
        <v>2881</v>
      </c>
      <c r="DTC1337" s="4" t="s">
        <v>2881</v>
      </c>
      <c r="DTD1337" s="4" t="s">
        <v>2881</v>
      </c>
      <c r="DTE1337" s="4" t="s">
        <v>2881</v>
      </c>
      <c r="DTF1337" s="4" t="s">
        <v>2881</v>
      </c>
      <c r="DTG1337" s="4" t="s">
        <v>2881</v>
      </c>
      <c r="DTH1337" s="4" t="s">
        <v>2881</v>
      </c>
      <c r="DTI1337" s="4" t="s">
        <v>2881</v>
      </c>
      <c r="DTJ1337" s="4" t="s">
        <v>2881</v>
      </c>
      <c r="DTK1337" s="4" t="s">
        <v>2881</v>
      </c>
      <c r="DTL1337" s="4" t="s">
        <v>2881</v>
      </c>
      <c r="DTM1337" s="4" t="s">
        <v>2881</v>
      </c>
      <c r="DTN1337" s="4" t="s">
        <v>2881</v>
      </c>
      <c r="DTO1337" s="4" t="s">
        <v>2881</v>
      </c>
      <c r="DTP1337" s="4" t="s">
        <v>2881</v>
      </c>
      <c r="DTQ1337" s="4" t="s">
        <v>2881</v>
      </c>
      <c r="DTR1337" s="4" t="s">
        <v>2881</v>
      </c>
      <c r="DTS1337" s="4" t="s">
        <v>2881</v>
      </c>
      <c r="DTT1337" s="4" t="s">
        <v>2881</v>
      </c>
      <c r="DTU1337" s="4" t="s">
        <v>2881</v>
      </c>
      <c r="DTV1337" s="4" t="s">
        <v>2881</v>
      </c>
      <c r="DTW1337" s="4" t="s">
        <v>2881</v>
      </c>
      <c r="DTX1337" s="4" t="s">
        <v>2881</v>
      </c>
      <c r="DTY1337" s="4" t="s">
        <v>2881</v>
      </c>
      <c r="DTZ1337" s="4" t="s">
        <v>2881</v>
      </c>
      <c r="DUA1337" s="4" t="s">
        <v>2881</v>
      </c>
      <c r="DUB1337" s="4" t="s">
        <v>2881</v>
      </c>
      <c r="DUC1337" s="4" t="s">
        <v>2881</v>
      </c>
      <c r="DUD1337" s="4" t="s">
        <v>2881</v>
      </c>
      <c r="DUE1337" s="4" t="s">
        <v>2881</v>
      </c>
      <c r="DUF1337" s="4" t="s">
        <v>2881</v>
      </c>
      <c r="DUG1337" s="4" t="s">
        <v>2881</v>
      </c>
      <c r="DUH1337" s="4" t="s">
        <v>2881</v>
      </c>
      <c r="DUI1337" s="4" t="s">
        <v>2881</v>
      </c>
      <c r="DUJ1337" s="4" t="s">
        <v>2881</v>
      </c>
      <c r="DUK1337" s="4" t="s">
        <v>2881</v>
      </c>
      <c r="DUL1337" s="4" t="s">
        <v>2881</v>
      </c>
      <c r="DUM1337" s="4" t="s">
        <v>2881</v>
      </c>
      <c r="DUN1337" s="4" t="s">
        <v>2881</v>
      </c>
      <c r="DUO1337" s="4" t="s">
        <v>2881</v>
      </c>
      <c r="DUP1337" s="4" t="s">
        <v>2881</v>
      </c>
      <c r="DUQ1337" s="4" t="s">
        <v>2881</v>
      </c>
      <c r="DUR1337" s="4" t="s">
        <v>2881</v>
      </c>
      <c r="DUS1337" s="4" t="s">
        <v>2881</v>
      </c>
      <c r="DUT1337" s="4" t="s">
        <v>2881</v>
      </c>
      <c r="DUU1337" s="4" t="s">
        <v>2881</v>
      </c>
      <c r="DUV1337" s="4" t="s">
        <v>2881</v>
      </c>
      <c r="DUW1337" s="4" t="s">
        <v>2881</v>
      </c>
      <c r="DUX1337" s="4" t="s">
        <v>2881</v>
      </c>
      <c r="DUY1337" s="4" t="s">
        <v>2881</v>
      </c>
      <c r="DUZ1337" s="4" t="s">
        <v>2881</v>
      </c>
      <c r="DVA1337" s="4" t="s">
        <v>2881</v>
      </c>
      <c r="DVB1337" s="4" t="s">
        <v>2881</v>
      </c>
      <c r="DVC1337" s="4" t="s">
        <v>2881</v>
      </c>
      <c r="DVD1337" s="4" t="s">
        <v>2881</v>
      </c>
      <c r="DVE1337" s="4" t="s">
        <v>2881</v>
      </c>
      <c r="DVF1337" s="4" t="s">
        <v>2881</v>
      </c>
      <c r="DVG1337" s="4" t="s">
        <v>2881</v>
      </c>
      <c r="DVH1337" s="4" t="s">
        <v>2881</v>
      </c>
      <c r="DVI1337" s="4" t="s">
        <v>2881</v>
      </c>
      <c r="DVJ1337" s="4" t="s">
        <v>2881</v>
      </c>
      <c r="DVK1337" s="4" t="s">
        <v>2881</v>
      </c>
      <c r="DVL1337" s="4" t="s">
        <v>2881</v>
      </c>
      <c r="DVM1337" s="4" t="s">
        <v>2881</v>
      </c>
      <c r="DVN1337" s="4" t="s">
        <v>2881</v>
      </c>
      <c r="DVO1337" s="4" t="s">
        <v>2881</v>
      </c>
      <c r="DVP1337" s="4" t="s">
        <v>2881</v>
      </c>
      <c r="DVQ1337" s="4" t="s">
        <v>2881</v>
      </c>
      <c r="DVR1337" s="4" t="s">
        <v>2881</v>
      </c>
      <c r="DVS1337" s="4" t="s">
        <v>2881</v>
      </c>
      <c r="DVT1337" s="4" t="s">
        <v>2881</v>
      </c>
      <c r="DVU1337" s="4" t="s">
        <v>2881</v>
      </c>
      <c r="DVV1337" s="4" t="s">
        <v>2881</v>
      </c>
      <c r="DVW1337" s="4" t="s">
        <v>2881</v>
      </c>
      <c r="DVX1337" s="4" t="s">
        <v>2881</v>
      </c>
      <c r="DVY1337" s="4" t="s">
        <v>2881</v>
      </c>
      <c r="DVZ1337" s="4" t="s">
        <v>2881</v>
      </c>
      <c r="DWA1337" s="4" t="s">
        <v>2881</v>
      </c>
      <c r="DWB1337" s="4" t="s">
        <v>2881</v>
      </c>
      <c r="DWC1337" s="4" t="s">
        <v>2881</v>
      </c>
      <c r="DWD1337" s="4" t="s">
        <v>2881</v>
      </c>
      <c r="DWE1337" s="4" t="s">
        <v>2881</v>
      </c>
      <c r="DWF1337" s="4" t="s">
        <v>2881</v>
      </c>
      <c r="DWG1337" s="4" t="s">
        <v>2881</v>
      </c>
      <c r="DWH1337" s="4" t="s">
        <v>2881</v>
      </c>
      <c r="DWI1337" s="4" t="s">
        <v>2881</v>
      </c>
      <c r="DWJ1337" s="4" t="s">
        <v>2881</v>
      </c>
      <c r="DWK1337" s="4" t="s">
        <v>2881</v>
      </c>
      <c r="DWL1337" s="4" t="s">
        <v>2881</v>
      </c>
      <c r="DWM1337" s="4" t="s">
        <v>2881</v>
      </c>
      <c r="DWN1337" s="4" t="s">
        <v>2881</v>
      </c>
      <c r="DWO1337" s="4" t="s">
        <v>2881</v>
      </c>
      <c r="DWP1337" s="4" t="s">
        <v>2881</v>
      </c>
      <c r="DWQ1337" s="4" t="s">
        <v>2881</v>
      </c>
      <c r="DWR1337" s="4" t="s">
        <v>2881</v>
      </c>
      <c r="DWS1337" s="4" t="s">
        <v>2881</v>
      </c>
      <c r="DWT1337" s="4" t="s">
        <v>2881</v>
      </c>
      <c r="DWU1337" s="4" t="s">
        <v>2881</v>
      </c>
      <c r="DWV1337" s="4" t="s">
        <v>2881</v>
      </c>
      <c r="DWW1337" s="4" t="s">
        <v>2881</v>
      </c>
      <c r="DWX1337" s="4" t="s">
        <v>2881</v>
      </c>
      <c r="DWY1337" s="4" t="s">
        <v>2881</v>
      </c>
      <c r="DWZ1337" s="4" t="s">
        <v>2881</v>
      </c>
      <c r="DXA1337" s="4" t="s">
        <v>2881</v>
      </c>
      <c r="DXB1337" s="4" t="s">
        <v>2881</v>
      </c>
      <c r="DXC1337" s="4" t="s">
        <v>2881</v>
      </c>
      <c r="DXD1337" s="4" t="s">
        <v>2881</v>
      </c>
      <c r="DXE1337" s="4" t="s">
        <v>2881</v>
      </c>
      <c r="DXF1337" s="4" t="s">
        <v>2881</v>
      </c>
      <c r="DXG1337" s="4" t="s">
        <v>2881</v>
      </c>
      <c r="DXH1337" s="4" t="s">
        <v>2881</v>
      </c>
      <c r="DXI1337" s="4" t="s">
        <v>2881</v>
      </c>
      <c r="DXJ1337" s="4" t="s">
        <v>2881</v>
      </c>
      <c r="DXK1337" s="4" t="s">
        <v>2881</v>
      </c>
      <c r="DXL1337" s="4" t="s">
        <v>2881</v>
      </c>
      <c r="DXM1337" s="4" t="s">
        <v>2881</v>
      </c>
      <c r="DXN1337" s="4" t="s">
        <v>2881</v>
      </c>
      <c r="DXO1337" s="4" t="s">
        <v>2881</v>
      </c>
      <c r="DXP1337" s="4" t="s">
        <v>2881</v>
      </c>
      <c r="DXQ1337" s="4" t="s">
        <v>2881</v>
      </c>
      <c r="DXR1337" s="4" t="s">
        <v>2881</v>
      </c>
      <c r="DXS1337" s="4" t="s">
        <v>2881</v>
      </c>
      <c r="DXT1337" s="4" t="s">
        <v>2881</v>
      </c>
      <c r="DXU1337" s="4" t="s">
        <v>2881</v>
      </c>
      <c r="DXV1337" s="4" t="s">
        <v>2881</v>
      </c>
      <c r="DXW1337" s="4" t="s">
        <v>2881</v>
      </c>
      <c r="DXX1337" s="4" t="s">
        <v>2881</v>
      </c>
      <c r="DXY1337" s="4" t="s">
        <v>2881</v>
      </c>
      <c r="DXZ1337" s="4" t="s">
        <v>2881</v>
      </c>
      <c r="DYA1337" s="4" t="s">
        <v>2881</v>
      </c>
      <c r="DYB1337" s="4" t="s">
        <v>2881</v>
      </c>
      <c r="DYC1337" s="4" t="s">
        <v>2881</v>
      </c>
      <c r="DYD1337" s="4" t="s">
        <v>2881</v>
      </c>
      <c r="DYE1337" s="4" t="s">
        <v>2881</v>
      </c>
      <c r="DYF1337" s="4" t="s">
        <v>2881</v>
      </c>
      <c r="DYG1337" s="4" t="s">
        <v>2881</v>
      </c>
      <c r="DYH1337" s="4" t="s">
        <v>2881</v>
      </c>
      <c r="DYI1337" s="4" t="s">
        <v>2881</v>
      </c>
      <c r="DYJ1337" s="4" t="s">
        <v>2881</v>
      </c>
      <c r="DYK1337" s="4" t="s">
        <v>2881</v>
      </c>
      <c r="DYL1337" s="4" t="s">
        <v>2881</v>
      </c>
      <c r="DYM1337" s="4" t="s">
        <v>2881</v>
      </c>
      <c r="DYN1337" s="4" t="s">
        <v>2881</v>
      </c>
      <c r="DYO1337" s="4" t="s">
        <v>2881</v>
      </c>
      <c r="DYP1337" s="4" t="s">
        <v>2881</v>
      </c>
      <c r="DYQ1337" s="4" t="s">
        <v>2881</v>
      </c>
      <c r="DYR1337" s="4" t="s">
        <v>2881</v>
      </c>
      <c r="DYS1337" s="4" t="s">
        <v>2881</v>
      </c>
      <c r="DYT1337" s="4" t="s">
        <v>2881</v>
      </c>
      <c r="DYU1337" s="4" t="s">
        <v>2881</v>
      </c>
      <c r="DYV1337" s="4" t="s">
        <v>2881</v>
      </c>
      <c r="DYW1337" s="4" t="s">
        <v>2881</v>
      </c>
      <c r="DYX1337" s="4" t="s">
        <v>2881</v>
      </c>
      <c r="DYY1337" s="4" t="s">
        <v>2881</v>
      </c>
      <c r="DYZ1337" s="4" t="s">
        <v>2881</v>
      </c>
      <c r="DZA1337" s="4" t="s">
        <v>2881</v>
      </c>
      <c r="DZB1337" s="4" t="s">
        <v>2881</v>
      </c>
      <c r="DZC1337" s="4" t="s">
        <v>2881</v>
      </c>
      <c r="DZD1337" s="4" t="s">
        <v>2881</v>
      </c>
      <c r="DZE1337" s="4" t="s">
        <v>2881</v>
      </c>
      <c r="DZF1337" s="4" t="s">
        <v>2881</v>
      </c>
      <c r="DZG1337" s="4" t="s">
        <v>2881</v>
      </c>
      <c r="DZH1337" s="4" t="s">
        <v>2881</v>
      </c>
      <c r="DZI1337" s="4" t="s">
        <v>2881</v>
      </c>
      <c r="DZJ1337" s="4" t="s">
        <v>2881</v>
      </c>
      <c r="DZK1337" s="4" t="s">
        <v>2881</v>
      </c>
      <c r="DZL1337" s="4" t="s">
        <v>2881</v>
      </c>
      <c r="DZM1337" s="4" t="s">
        <v>2881</v>
      </c>
      <c r="DZN1337" s="4" t="s">
        <v>2881</v>
      </c>
      <c r="DZO1337" s="4" t="s">
        <v>2881</v>
      </c>
      <c r="DZP1337" s="4" t="s">
        <v>2881</v>
      </c>
      <c r="DZQ1337" s="4" t="s">
        <v>2881</v>
      </c>
      <c r="DZR1337" s="4" t="s">
        <v>2881</v>
      </c>
      <c r="DZS1337" s="4" t="s">
        <v>2881</v>
      </c>
      <c r="DZT1337" s="4" t="s">
        <v>2881</v>
      </c>
      <c r="DZU1337" s="4" t="s">
        <v>2881</v>
      </c>
      <c r="DZV1337" s="4" t="s">
        <v>2881</v>
      </c>
      <c r="DZW1337" s="4" t="s">
        <v>2881</v>
      </c>
      <c r="DZX1337" s="4" t="s">
        <v>2881</v>
      </c>
      <c r="DZY1337" s="4" t="s">
        <v>2881</v>
      </c>
      <c r="DZZ1337" s="4" t="s">
        <v>2881</v>
      </c>
      <c r="EAA1337" s="4" t="s">
        <v>2881</v>
      </c>
      <c r="EAB1337" s="4" t="s">
        <v>2881</v>
      </c>
      <c r="EAC1337" s="4" t="s">
        <v>2881</v>
      </c>
      <c r="EAD1337" s="4" t="s">
        <v>2881</v>
      </c>
      <c r="EAE1337" s="4" t="s">
        <v>2881</v>
      </c>
      <c r="EAF1337" s="4" t="s">
        <v>2881</v>
      </c>
      <c r="EAG1337" s="4" t="s">
        <v>2881</v>
      </c>
      <c r="EAH1337" s="4" t="s">
        <v>2881</v>
      </c>
      <c r="EAI1337" s="4" t="s">
        <v>2881</v>
      </c>
      <c r="EAJ1337" s="4" t="s">
        <v>2881</v>
      </c>
      <c r="EAK1337" s="4" t="s">
        <v>2881</v>
      </c>
      <c r="EAL1337" s="4" t="s">
        <v>2881</v>
      </c>
      <c r="EAM1337" s="4" t="s">
        <v>2881</v>
      </c>
      <c r="EAN1337" s="4" t="s">
        <v>2881</v>
      </c>
      <c r="EAO1337" s="4" t="s">
        <v>2881</v>
      </c>
      <c r="EAP1337" s="4" t="s">
        <v>2881</v>
      </c>
      <c r="EAQ1337" s="4" t="s">
        <v>2881</v>
      </c>
      <c r="EAR1337" s="4" t="s">
        <v>2881</v>
      </c>
      <c r="EAS1337" s="4" t="s">
        <v>2881</v>
      </c>
      <c r="EAT1337" s="4" t="s">
        <v>2881</v>
      </c>
      <c r="EAU1337" s="4" t="s">
        <v>2881</v>
      </c>
      <c r="EAV1337" s="4" t="s">
        <v>2881</v>
      </c>
      <c r="EAW1337" s="4" t="s">
        <v>2881</v>
      </c>
      <c r="EAX1337" s="4" t="s">
        <v>2881</v>
      </c>
      <c r="EAY1337" s="4" t="s">
        <v>2881</v>
      </c>
      <c r="EAZ1337" s="4" t="s">
        <v>2881</v>
      </c>
      <c r="EBA1337" s="4" t="s">
        <v>2881</v>
      </c>
      <c r="EBB1337" s="4" t="s">
        <v>2881</v>
      </c>
      <c r="EBC1337" s="4" t="s">
        <v>2881</v>
      </c>
      <c r="EBD1337" s="4" t="s">
        <v>2881</v>
      </c>
      <c r="EBE1337" s="4" t="s">
        <v>2881</v>
      </c>
      <c r="EBF1337" s="4" t="s">
        <v>2881</v>
      </c>
      <c r="EBG1337" s="4" t="s">
        <v>2881</v>
      </c>
      <c r="EBH1337" s="4" t="s">
        <v>2881</v>
      </c>
      <c r="EBI1337" s="4" t="s">
        <v>2881</v>
      </c>
      <c r="EBJ1337" s="4" t="s">
        <v>2881</v>
      </c>
      <c r="EBK1337" s="4" t="s">
        <v>2881</v>
      </c>
      <c r="EBL1337" s="4" t="s">
        <v>2881</v>
      </c>
      <c r="EBM1337" s="4" t="s">
        <v>2881</v>
      </c>
      <c r="EBN1337" s="4" t="s">
        <v>2881</v>
      </c>
      <c r="EBO1337" s="4" t="s">
        <v>2881</v>
      </c>
      <c r="EBP1337" s="4" t="s">
        <v>2881</v>
      </c>
      <c r="EBQ1337" s="4" t="s">
        <v>2881</v>
      </c>
      <c r="EBR1337" s="4" t="s">
        <v>2881</v>
      </c>
      <c r="EBS1337" s="4" t="s">
        <v>2881</v>
      </c>
      <c r="EBT1337" s="4" t="s">
        <v>2881</v>
      </c>
      <c r="EBU1337" s="4" t="s">
        <v>2881</v>
      </c>
      <c r="EBV1337" s="4" t="s">
        <v>2881</v>
      </c>
      <c r="EBW1337" s="4" t="s">
        <v>2881</v>
      </c>
      <c r="EBX1337" s="4" t="s">
        <v>2881</v>
      </c>
      <c r="EBY1337" s="4" t="s">
        <v>2881</v>
      </c>
      <c r="EBZ1337" s="4" t="s">
        <v>2881</v>
      </c>
      <c r="ECA1337" s="4" t="s">
        <v>2881</v>
      </c>
      <c r="ECB1337" s="4" t="s">
        <v>2881</v>
      </c>
      <c r="ECC1337" s="4" t="s">
        <v>2881</v>
      </c>
      <c r="ECD1337" s="4" t="s">
        <v>2881</v>
      </c>
      <c r="ECE1337" s="4" t="s">
        <v>2881</v>
      </c>
      <c r="ECF1337" s="4" t="s">
        <v>2881</v>
      </c>
      <c r="ECG1337" s="4" t="s">
        <v>2881</v>
      </c>
      <c r="ECH1337" s="4" t="s">
        <v>2881</v>
      </c>
      <c r="ECI1337" s="4" t="s">
        <v>2881</v>
      </c>
      <c r="ECJ1337" s="4" t="s">
        <v>2881</v>
      </c>
      <c r="ECK1337" s="4" t="s">
        <v>2881</v>
      </c>
      <c r="ECL1337" s="4" t="s">
        <v>2881</v>
      </c>
      <c r="ECM1337" s="4" t="s">
        <v>2881</v>
      </c>
      <c r="ECN1337" s="4" t="s">
        <v>2881</v>
      </c>
      <c r="ECO1337" s="4" t="s">
        <v>2881</v>
      </c>
      <c r="ECP1337" s="4" t="s">
        <v>2881</v>
      </c>
      <c r="ECQ1337" s="4" t="s">
        <v>2881</v>
      </c>
      <c r="ECR1337" s="4" t="s">
        <v>2881</v>
      </c>
      <c r="ECS1337" s="4" t="s">
        <v>2881</v>
      </c>
      <c r="ECT1337" s="4" t="s">
        <v>2881</v>
      </c>
      <c r="ECU1337" s="4" t="s">
        <v>2881</v>
      </c>
      <c r="ECV1337" s="4" t="s">
        <v>2881</v>
      </c>
      <c r="ECW1337" s="4" t="s">
        <v>2881</v>
      </c>
      <c r="ECX1337" s="4" t="s">
        <v>2881</v>
      </c>
      <c r="ECY1337" s="4" t="s">
        <v>2881</v>
      </c>
      <c r="ECZ1337" s="4" t="s">
        <v>2881</v>
      </c>
      <c r="EDA1337" s="4" t="s">
        <v>2881</v>
      </c>
      <c r="EDB1337" s="4" t="s">
        <v>2881</v>
      </c>
      <c r="EDC1337" s="4" t="s">
        <v>2881</v>
      </c>
      <c r="EDD1337" s="4" t="s">
        <v>2881</v>
      </c>
      <c r="EDE1337" s="4" t="s">
        <v>2881</v>
      </c>
      <c r="EDF1337" s="4" t="s">
        <v>2881</v>
      </c>
      <c r="EDG1337" s="4" t="s">
        <v>2881</v>
      </c>
      <c r="EDH1337" s="4" t="s">
        <v>2881</v>
      </c>
      <c r="EDI1337" s="4" t="s">
        <v>2881</v>
      </c>
      <c r="EDJ1337" s="4" t="s">
        <v>2881</v>
      </c>
      <c r="EDK1337" s="4" t="s">
        <v>2881</v>
      </c>
      <c r="EDL1337" s="4" t="s">
        <v>2881</v>
      </c>
      <c r="EDM1337" s="4" t="s">
        <v>2881</v>
      </c>
      <c r="EDN1337" s="4" t="s">
        <v>2881</v>
      </c>
      <c r="EDO1337" s="4" t="s">
        <v>2881</v>
      </c>
      <c r="EDP1337" s="4" t="s">
        <v>2881</v>
      </c>
      <c r="EDQ1337" s="4" t="s">
        <v>2881</v>
      </c>
      <c r="EDR1337" s="4" t="s">
        <v>2881</v>
      </c>
      <c r="EDS1337" s="4" t="s">
        <v>2881</v>
      </c>
      <c r="EDT1337" s="4" t="s">
        <v>2881</v>
      </c>
      <c r="EDU1337" s="4" t="s">
        <v>2881</v>
      </c>
      <c r="EDV1337" s="4" t="s">
        <v>2881</v>
      </c>
      <c r="EDW1337" s="4" t="s">
        <v>2881</v>
      </c>
      <c r="EDX1337" s="4" t="s">
        <v>2881</v>
      </c>
      <c r="EDY1337" s="4" t="s">
        <v>2881</v>
      </c>
      <c r="EDZ1337" s="4" t="s">
        <v>2881</v>
      </c>
      <c r="EEA1337" s="4" t="s">
        <v>2881</v>
      </c>
      <c r="EEB1337" s="4" t="s">
        <v>2881</v>
      </c>
      <c r="EEC1337" s="4" t="s">
        <v>2881</v>
      </c>
      <c r="EED1337" s="4" t="s">
        <v>2881</v>
      </c>
      <c r="EEE1337" s="4" t="s">
        <v>2881</v>
      </c>
      <c r="EEF1337" s="4" t="s">
        <v>2881</v>
      </c>
      <c r="EEG1337" s="4" t="s">
        <v>2881</v>
      </c>
      <c r="EEH1337" s="4" t="s">
        <v>2881</v>
      </c>
      <c r="EEI1337" s="4" t="s">
        <v>2881</v>
      </c>
      <c r="EEJ1337" s="4" t="s">
        <v>2881</v>
      </c>
      <c r="EEK1337" s="4" t="s">
        <v>2881</v>
      </c>
      <c r="EEL1337" s="4" t="s">
        <v>2881</v>
      </c>
      <c r="EEM1337" s="4" t="s">
        <v>2881</v>
      </c>
      <c r="EEN1337" s="4" t="s">
        <v>2881</v>
      </c>
      <c r="EEO1337" s="4" t="s">
        <v>2881</v>
      </c>
      <c r="EEP1337" s="4" t="s">
        <v>2881</v>
      </c>
      <c r="EEQ1337" s="4" t="s">
        <v>2881</v>
      </c>
      <c r="EER1337" s="4" t="s">
        <v>2881</v>
      </c>
      <c r="EES1337" s="4" t="s">
        <v>2881</v>
      </c>
      <c r="EET1337" s="4" t="s">
        <v>2881</v>
      </c>
      <c r="EEU1337" s="4" t="s">
        <v>2881</v>
      </c>
      <c r="EEV1337" s="4" t="s">
        <v>2881</v>
      </c>
      <c r="EEW1337" s="4" t="s">
        <v>2881</v>
      </c>
      <c r="EEX1337" s="4" t="s">
        <v>2881</v>
      </c>
      <c r="EEY1337" s="4" t="s">
        <v>2881</v>
      </c>
      <c r="EEZ1337" s="4" t="s">
        <v>2881</v>
      </c>
      <c r="EFA1337" s="4" t="s">
        <v>2881</v>
      </c>
      <c r="EFB1337" s="4" t="s">
        <v>2881</v>
      </c>
      <c r="EFC1337" s="4" t="s">
        <v>2881</v>
      </c>
      <c r="EFD1337" s="4" t="s">
        <v>2881</v>
      </c>
      <c r="EFE1337" s="4" t="s">
        <v>2881</v>
      </c>
      <c r="EFF1337" s="4" t="s">
        <v>2881</v>
      </c>
      <c r="EFG1337" s="4" t="s">
        <v>2881</v>
      </c>
      <c r="EFH1337" s="4" t="s">
        <v>2881</v>
      </c>
      <c r="EFI1337" s="4" t="s">
        <v>2881</v>
      </c>
      <c r="EFJ1337" s="4" t="s">
        <v>2881</v>
      </c>
      <c r="EFK1337" s="4" t="s">
        <v>2881</v>
      </c>
      <c r="EFL1337" s="4" t="s">
        <v>2881</v>
      </c>
      <c r="EFM1337" s="4" t="s">
        <v>2881</v>
      </c>
      <c r="EFN1337" s="4" t="s">
        <v>2881</v>
      </c>
      <c r="EFO1337" s="4" t="s">
        <v>2881</v>
      </c>
      <c r="EFP1337" s="4" t="s">
        <v>2881</v>
      </c>
      <c r="EFQ1337" s="4" t="s">
        <v>2881</v>
      </c>
      <c r="EFR1337" s="4" t="s">
        <v>2881</v>
      </c>
      <c r="EFS1337" s="4" t="s">
        <v>2881</v>
      </c>
      <c r="EFT1337" s="4" t="s">
        <v>2881</v>
      </c>
      <c r="EFU1337" s="4" t="s">
        <v>2881</v>
      </c>
      <c r="EFV1337" s="4" t="s">
        <v>2881</v>
      </c>
      <c r="EFW1337" s="4" t="s">
        <v>2881</v>
      </c>
      <c r="EFX1337" s="4" t="s">
        <v>2881</v>
      </c>
      <c r="EFY1337" s="4" t="s">
        <v>2881</v>
      </c>
      <c r="EFZ1337" s="4" t="s">
        <v>2881</v>
      </c>
      <c r="EGA1337" s="4" t="s">
        <v>2881</v>
      </c>
      <c r="EGB1337" s="4" t="s">
        <v>2881</v>
      </c>
      <c r="EGC1337" s="4" t="s">
        <v>2881</v>
      </c>
      <c r="EGD1337" s="4" t="s">
        <v>2881</v>
      </c>
      <c r="EGE1337" s="4" t="s">
        <v>2881</v>
      </c>
      <c r="EGF1337" s="4" t="s">
        <v>2881</v>
      </c>
      <c r="EGG1337" s="4" t="s">
        <v>2881</v>
      </c>
      <c r="EGH1337" s="4" t="s">
        <v>2881</v>
      </c>
      <c r="EGI1337" s="4" t="s">
        <v>2881</v>
      </c>
      <c r="EGJ1337" s="4" t="s">
        <v>2881</v>
      </c>
      <c r="EGK1337" s="4" t="s">
        <v>2881</v>
      </c>
      <c r="EGL1337" s="4" t="s">
        <v>2881</v>
      </c>
      <c r="EGM1337" s="4" t="s">
        <v>2881</v>
      </c>
      <c r="EGN1337" s="4" t="s">
        <v>2881</v>
      </c>
      <c r="EGO1337" s="4" t="s">
        <v>2881</v>
      </c>
      <c r="EGP1337" s="4" t="s">
        <v>2881</v>
      </c>
      <c r="EGQ1337" s="4" t="s">
        <v>2881</v>
      </c>
      <c r="EGR1337" s="4" t="s">
        <v>2881</v>
      </c>
      <c r="EGS1337" s="4" t="s">
        <v>2881</v>
      </c>
      <c r="EGT1337" s="4" t="s">
        <v>2881</v>
      </c>
      <c r="EGU1337" s="4" t="s">
        <v>2881</v>
      </c>
      <c r="EGV1337" s="4" t="s">
        <v>2881</v>
      </c>
      <c r="EGW1337" s="4" t="s">
        <v>2881</v>
      </c>
      <c r="EGX1337" s="4" t="s">
        <v>2881</v>
      </c>
      <c r="EGY1337" s="4" t="s">
        <v>2881</v>
      </c>
      <c r="EGZ1337" s="4" t="s">
        <v>2881</v>
      </c>
      <c r="EHA1337" s="4" t="s">
        <v>2881</v>
      </c>
      <c r="EHB1337" s="4" t="s">
        <v>2881</v>
      </c>
      <c r="EHC1337" s="4" t="s">
        <v>2881</v>
      </c>
      <c r="EHD1337" s="4" t="s">
        <v>2881</v>
      </c>
      <c r="EHE1337" s="4" t="s">
        <v>2881</v>
      </c>
      <c r="EHF1337" s="4" t="s">
        <v>2881</v>
      </c>
      <c r="EHG1337" s="4" t="s">
        <v>2881</v>
      </c>
      <c r="EHH1337" s="4" t="s">
        <v>2881</v>
      </c>
      <c r="EHI1337" s="4" t="s">
        <v>2881</v>
      </c>
      <c r="EHJ1337" s="4" t="s">
        <v>2881</v>
      </c>
      <c r="EHK1337" s="4" t="s">
        <v>2881</v>
      </c>
      <c r="EHL1337" s="4" t="s">
        <v>2881</v>
      </c>
      <c r="EHM1337" s="4" t="s">
        <v>2881</v>
      </c>
      <c r="EHN1337" s="4" t="s">
        <v>2881</v>
      </c>
      <c r="EHO1337" s="4" t="s">
        <v>2881</v>
      </c>
      <c r="EHP1337" s="4" t="s">
        <v>2881</v>
      </c>
      <c r="EHQ1337" s="4" t="s">
        <v>2881</v>
      </c>
      <c r="EHR1337" s="4" t="s">
        <v>2881</v>
      </c>
      <c r="EHS1337" s="4" t="s">
        <v>2881</v>
      </c>
      <c r="EHT1337" s="4" t="s">
        <v>2881</v>
      </c>
      <c r="EHU1337" s="4" t="s">
        <v>2881</v>
      </c>
      <c r="EHV1337" s="4" t="s">
        <v>2881</v>
      </c>
      <c r="EHW1337" s="4" t="s">
        <v>2881</v>
      </c>
      <c r="EHX1337" s="4" t="s">
        <v>2881</v>
      </c>
      <c r="EHY1337" s="4" t="s">
        <v>2881</v>
      </c>
      <c r="EHZ1337" s="4" t="s">
        <v>2881</v>
      </c>
      <c r="EIA1337" s="4" t="s">
        <v>2881</v>
      </c>
      <c r="EIB1337" s="4" t="s">
        <v>2881</v>
      </c>
      <c r="EIC1337" s="4" t="s">
        <v>2881</v>
      </c>
      <c r="EID1337" s="4" t="s">
        <v>2881</v>
      </c>
      <c r="EIE1337" s="4" t="s">
        <v>2881</v>
      </c>
      <c r="EIF1337" s="4" t="s">
        <v>2881</v>
      </c>
      <c r="EIG1337" s="4" t="s">
        <v>2881</v>
      </c>
      <c r="EIH1337" s="4" t="s">
        <v>2881</v>
      </c>
      <c r="EII1337" s="4" t="s">
        <v>2881</v>
      </c>
      <c r="EIJ1337" s="4" t="s">
        <v>2881</v>
      </c>
      <c r="EIK1337" s="4" t="s">
        <v>2881</v>
      </c>
      <c r="EIL1337" s="4" t="s">
        <v>2881</v>
      </c>
      <c r="EIM1337" s="4" t="s">
        <v>2881</v>
      </c>
      <c r="EIN1337" s="4" t="s">
        <v>2881</v>
      </c>
      <c r="EIO1337" s="4" t="s">
        <v>2881</v>
      </c>
      <c r="EIP1337" s="4" t="s">
        <v>2881</v>
      </c>
      <c r="EIQ1337" s="4" t="s">
        <v>2881</v>
      </c>
      <c r="EIR1337" s="4" t="s">
        <v>2881</v>
      </c>
      <c r="EIS1337" s="4" t="s">
        <v>2881</v>
      </c>
      <c r="EIT1337" s="4" t="s">
        <v>2881</v>
      </c>
      <c r="EIU1337" s="4" t="s">
        <v>2881</v>
      </c>
      <c r="EIV1337" s="4" t="s">
        <v>2881</v>
      </c>
      <c r="EIW1337" s="4" t="s">
        <v>2881</v>
      </c>
      <c r="EIX1337" s="4" t="s">
        <v>2881</v>
      </c>
      <c r="EIY1337" s="4" t="s">
        <v>2881</v>
      </c>
      <c r="EIZ1337" s="4" t="s">
        <v>2881</v>
      </c>
      <c r="EJA1337" s="4" t="s">
        <v>2881</v>
      </c>
      <c r="EJB1337" s="4" t="s">
        <v>2881</v>
      </c>
      <c r="EJC1337" s="4" t="s">
        <v>2881</v>
      </c>
      <c r="EJD1337" s="4" t="s">
        <v>2881</v>
      </c>
      <c r="EJE1337" s="4" t="s">
        <v>2881</v>
      </c>
      <c r="EJF1337" s="4" t="s">
        <v>2881</v>
      </c>
      <c r="EJG1337" s="4" t="s">
        <v>2881</v>
      </c>
      <c r="EJH1337" s="4" t="s">
        <v>2881</v>
      </c>
      <c r="EJI1337" s="4" t="s">
        <v>2881</v>
      </c>
      <c r="EJJ1337" s="4" t="s">
        <v>2881</v>
      </c>
      <c r="EJK1337" s="4" t="s">
        <v>2881</v>
      </c>
      <c r="EJL1337" s="4" t="s">
        <v>2881</v>
      </c>
      <c r="EJM1337" s="4" t="s">
        <v>2881</v>
      </c>
      <c r="EJN1337" s="4" t="s">
        <v>2881</v>
      </c>
      <c r="EJO1337" s="4" t="s">
        <v>2881</v>
      </c>
      <c r="EJP1337" s="4" t="s">
        <v>2881</v>
      </c>
      <c r="EJQ1337" s="4" t="s">
        <v>2881</v>
      </c>
      <c r="EJR1337" s="4" t="s">
        <v>2881</v>
      </c>
      <c r="EJS1337" s="4" t="s">
        <v>2881</v>
      </c>
      <c r="EJT1337" s="4" t="s">
        <v>2881</v>
      </c>
      <c r="EJU1337" s="4" t="s">
        <v>2881</v>
      </c>
      <c r="EJV1337" s="4" t="s">
        <v>2881</v>
      </c>
      <c r="EJW1337" s="4" t="s">
        <v>2881</v>
      </c>
      <c r="EJX1337" s="4" t="s">
        <v>2881</v>
      </c>
      <c r="EJY1337" s="4" t="s">
        <v>2881</v>
      </c>
      <c r="EJZ1337" s="4" t="s">
        <v>2881</v>
      </c>
      <c r="EKA1337" s="4" t="s">
        <v>2881</v>
      </c>
      <c r="EKB1337" s="4" t="s">
        <v>2881</v>
      </c>
      <c r="EKC1337" s="4" t="s">
        <v>2881</v>
      </c>
      <c r="EKD1337" s="4" t="s">
        <v>2881</v>
      </c>
      <c r="EKE1337" s="4" t="s">
        <v>2881</v>
      </c>
      <c r="EKF1337" s="4" t="s">
        <v>2881</v>
      </c>
      <c r="EKG1337" s="4" t="s">
        <v>2881</v>
      </c>
      <c r="EKH1337" s="4" t="s">
        <v>2881</v>
      </c>
      <c r="EKI1337" s="4" t="s">
        <v>2881</v>
      </c>
      <c r="EKJ1337" s="4" t="s">
        <v>2881</v>
      </c>
      <c r="EKK1337" s="4" t="s">
        <v>2881</v>
      </c>
      <c r="EKL1337" s="4" t="s">
        <v>2881</v>
      </c>
      <c r="EKM1337" s="4" t="s">
        <v>2881</v>
      </c>
      <c r="EKN1337" s="4" t="s">
        <v>2881</v>
      </c>
      <c r="EKO1337" s="4" t="s">
        <v>2881</v>
      </c>
      <c r="EKP1337" s="4" t="s">
        <v>2881</v>
      </c>
      <c r="EKQ1337" s="4" t="s">
        <v>2881</v>
      </c>
      <c r="EKR1337" s="4" t="s">
        <v>2881</v>
      </c>
      <c r="EKS1337" s="4" t="s">
        <v>2881</v>
      </c>
      <c r="EKT1337" s="4" t="s">
        <v>2881</v>
      </c>
      <c r="EKU1337" s="4" t="s">
        <v>2881</v>
      </c>
      <c r="EKV1337" s="4" t="s">
        <v>2881</v>
      </c>
      <c r="EKW1337" s="4" t="s">
        <v>2881</v>
      </c>
      <c r="EKX1337" s="4" t="s">
        <v>2881</v>
      </c>
      <c r="EKY1337" s="4" t="s">
        <v>2881</v>
      </c>
      <c r="EKZ1337" s="4" t="s">
        <v>2881</v>
      </c>
      <c r="ELA1337" s="4" t="s">
        <v>2881</v>
      </c>
      <c r="ELB1337" s="4" t="s">
        <v>2881</v>
      </c>
      <c r="ELC1337" s="4" t="s">
        <v>2881</v>
      </c>
      <c r="ELD1337" s="4" t="s">
        <v>2881</v>
      </c>
      <c r="ELE1337" s="4" t="s">
        <v>2881</v>
      </c>
      <c r="ELF1337" s="4" t="s">
        <v>2881</v>
      </c>
      <c r="ELG1337" s="4" t="s">
        <v>2881</v>
      </c>
      <c r="ELH1337" s="4" t="s">
        <v>2881</v>
      </c>
      <c r="ELI1337" s="4" t="s">
        <v>2881</v>
      </c>
      <c r="ELJ1337" s="4" t="s">
        <v>2881</v>
      </c>
      <c r="ELK1337" s="4" t="s">
        <v>2881</v>
      </c>
      <c r="ELL1337" s="4" t="s">
        <v>2881</v>
      </c>
      <c r="ELM1337" s="4" t="s">
        <v>2881</v>
      </c>
      <c r="ELN1337" s="4" t="s">
        <v>2881</v>
      </c>
      <c r="ELO1337" s="4" t="s">
        <v>2881</v>
      </c>
      <c r="ELP1337" s="4" t="s">
        <v>2881</v>
      </c>
      <c r="ELQ1337" s="4" t="s">
        <v>2881</v>
      </c>
      <c r="ELR1337" s="4" t="s">
        <v>2881</v>
      </c>
      <c r="ELS1337" s="4" t="s">
        <v>2881</v>
      </c>
      <c r="ELT1337" s="4" t="s">
        <v>2881</v>
      </c>
      <c r="ELU1337" s="4" t="s">
        <v>2881</v>
      </c>
      <c r="ELV1337" s="4" t="s">
        <v>2881</v>
      </c>
      <c r="ELW1337" s="4" t="s">
        <v>2881</v>
      </c>
      <c r="ELX1337" s="4" t="s">
        <v>2881</v>
      </c>
      <c r="ELY1337" s="4" t="s">
        <v>2881</v>
      </c>
      <c r="ELZ1337" s="4" t="s">
        <v>2881</v>
      </c>
      <c r="EMA1337" s="4" t="s">
        <v>2881</v>
      </c>
      <c r="EMB1337" s="4" t="s">
        <v>2881</v>
      </c>
      <c r="EMC1337" s="4" t="s">
        <v>2881</v>
      </c>
      <c r="EMD1337" s="4" t="s">
        <v>2881</v>
      </c>
      <c r="EME1337" s="4" t="s">
        <v>2881</v>
      </c>
      <c r="EMF1337" s="4" t="s">
        <v>2881</v>
      </c>
      <c r="EMG1337" s="4" t="s">
        <v>2881</v>
      </c>
      <c r="EMH1337" s="4" t="s">
        <v>2881</v>
      </c>
      <c r="EMI1337" s="4" t="s">
        <v>2881</v>
      </c>
      <c r="EMJ1337" s="4" t="s">
        <v>2881</v>
      </c>
      <c r="EMK1337" s="4" t="s">
        <v>2881</v>
      </c>
      <c r="EML1337" s="4" t="s">
        <v>2881</v>
      </c>
      <c r="EMM1337" s="4" t="s">
        <v>2881</v>
      </c>
      <c r="EMN1337" s="4" t="s">
        <v>2881</v>
      </c>
      <c r="EMO1337" s="4" t="s">
        <v>2881</v>
      </c>
      <c r="EMP1337" s="4" t="s">
        <v>2881</v>
      </c>
      <c r="EMQ1337" s="4" t="s">
        <v>2881</v>
      </c>
      <c r="EMR1337" s="4" t="s">
        <v>2881</v>
      </c>
      <c r="EMS1337" s="4" t="s">
        <v>2881</v>
      </c>
      <c r="EMT1337" s="4" t="s">
        <v>2881</v>
      </c>
      <c r="EMU1337" s="4" t="s">
        <v>2881</v>
      </c>
      <c r="EMV1337" s="4" t="s">
        <v>2881</v>
      </c>
      <c r="EMW1337" s="4" t="s">
        <v>2881</v>
      </c>
      <c r="EMX1337" s="4" t="s">
        <v>2881</v>
      </c>
      <c r="EMY1337" s="4" t="s">
        <v>2881</v>
      </c>
      <c r="EMZ1337" s="4" t="s">
        <v>2881</v>
      </c>
      <c r="ENA1337" s="4" t="s">
        <v>2881</v>
      </c>
      <c r="ENB1337" s="4" t="s">
        <v>2881</v>
      </c>
      <c r="ENC1337" s="4" t="s">
        <v>2881</v>
      </c>
      <c r="END1337" s="4" t="s">
        <v>2881</v>
      </c>
      <c r="ENE1337" s="4" t="s">
        <v>2881</v>
      </c>
      <c r="ENF1337" s="4" t="s">
        <v>2881</v>
      </c>
      <c r="ENG1337" s="4" t="s">
        <v>2881</v>
      </c>
      <c r="ENH1337" s="4" t="s">
        <v>2881</v>
      </c>
      <c r="ENI1337" s="4" t="s">
        <v>2881</v>
      </c>
      <c r="ENJ1337" s="4" t="s">
        <v>2881</v>
      </c>
      <c r="ENK1337" s="4" t="s">
        <v>2881</v>
      </c>
      <c r="ENL1337" s="4" t="s">
        <v>2881</v>
      </c>
      <c r="ENM1337" s="4" t="s">
        <v>2881</v>
      </c>
      <c r="ENN1337" s="4" t="s">
        <v>2881</v>
      </c>
      <c r="ENO1337" s="4" t="s">
        <v>2881</v>
      </c>
      <c r="ENP1337" s="4" t="s">
        <v>2881</v>
      </c>
      <c r="ENQ1337" s="4" t="s">
        <v>2881</v>
      </c>
      <c r="ENR1337" s="4" t="s">
        <v>2881</v>
      </c>
      <c r="ENS1337" s="4" t="s">
        <v>2881</v>
      </c>
      <c r="ENT1337" s="4" t="s">
        <v>2881</v>
      </c>
      <c r="ENU1337" s="4" t="s">
        <v>2881</v>
      </c>
      <c r="ENV1337" s="4" t="s">
        <v>2881</v>
      </c>
      <c r="ENW1337" s="4" t="s">
        <v>2881</v>
      </c>
      <c r="ENX1337" s="4" t="s">
        <v>2881</v>
      </c>
      <c r="ENY1337" s="4" t="s">
        <v>2881</v>
      </c>
      <c r="ENZ1337" s="4" t="s">
        <v>2881</v>
      </c>
      <c r="EOA1337" s="4" t="s">
        <v>2881</v>
      </c>
      <c r="EOB1337" s="4" t="s">
        <v>2881</v>
      </c>
      <c r="EOC1337" s="4" t="s">
        <v>2881</v>
      </c>
      <c r="EOD1337" s="4" t="s">
        <v>2881</v>
      </c>
      <c r="EOE1337" s="4" t="s">
        <v>2881</v>
      </c>
      <c r="EOF1337" s="4" t="s">
        <v>2881</v>
      </c>
      <c r="EOG1337" s="4" t="s">
        <v>2881</v>
      </c>
      <c r="EOH1337" s="4" t="s">
        <v>2881</v>
      </c>
      <c r="EOI1337" s="4" t="s">
        <v>2881</v>
      </c>
      <c r="EOJ1337" s="4" t="s">
        <v>2881</v>
      </c>
      <c r="EOK1337" s="4" t="s">
        <v>2881</v>
      </c>
      <c r="EOL1337" s="4" t="s">
        <v>2881</v>
      </c>
      <c r="EOM1337" s="4" t="s">
        <v>2881</v>
      </c>
      <c r="EON1337" s="4" t="s">
        <v>2881</v>
      </c>
      <c r="EOO1337" s="4" t="s">
        <v>2881</v>
      </c>
      <c r="EOP1337" s="4" t="s">
        <v>2881</v>
      </c>
      <c r="EOQ1337" s="4" t="s">
        <v>2881</v>
      </c>
      <c r="EOR1337" s="4" t="s">
        <v>2881</v>
      </c>
      <c r="EOS1337" s="4" t="s">
        <v>2881</v>
      </c>
      <c r="EOT1337" s="4" t="s">
        <v>2881</v>
      </c>
      <c r="EOU1337" s="4" t="s">
        <v>2881</v>
      </c>
      <c r="EOV1337" s="4" t="s">
        <v>2881</v>
      </c>
      <c r="EOW1337" s="4" t="s">
        <v>2881</v>
      </c>
      <c r="EOX1337" s="4" t="s">
        <v>2881</v>
      </c>
      <c r="EOY1337" s="4" t="s">
        <v>2881</v>
      </c>
      <c r="EOZ1337" s="4" t="s">
        <v>2881</v>
      </c>
      <c r="EPA1337" s="4" t="s">
        <v>2881</v>
      </c>
      <c r="EPB1337" s="4" t="s">
        <v>2881</v>
      </c>
      <c r="EPC1337" s="4" t="s">
        <v>2881</v>
      </c>
      <c r="EPD1337" s="4" t="s">
        <v>2881</v>
      </c>
      <c r="EPE1337" s="4" t="s">
        <v>2881</v>
      </c>
      <c r="EPF1337" s="4" t="s">
        <v>2881</v>
      </c>
      <c r="EPG1337" s="4" t="s">
        <v>2881</v>
      </c>
      <c r="EPH1337" s="4" t="s">
        <v>2881</v>
      </c>
      <c r="EPI1337" s="4" t="s">
        <v>2881</v>
      </c>
      <c r="EPJ1337" s="4" t="s">
        <v>2881</v>
      </c>
      <c r="EPK1337" s="4" t="s">
        <v>2881</v>
      </c>
      <c r="EPL1337" s="4" t="s">
        <v>2881</v>
      </c>
      <c r="EPM1337" s="4" t="s">
        <v>2881</v>
      </c>
      <c r="EPN1337" s="4" t="s">
        <v>2881</v>
      </c>
      <c r="EPO1337" s="4" t="s">
        <v>2881</v>
      </c>
      <c r="EPP1337" s="4" t="s">
        <v>2881</v>
      </c>
      <c r="EPQ1337" s="4" t="s">
        <v>2881</v>
      </c>
      <c r="EPR1337" s="4" t="s">
        <v>2881</v>
      </c>
      <c r="EPS1337" s="4" t="s">
        <v>2881</v>
      </c>
      <c r="EPT1337" s="4" t="s">
        <v>2881</v>
      </c>
      <c r="EPU1337" s="4" t="s">
        <v>2881</v>
      </c>
      <c r="EPV1337" s="4" t="s">
        <v>2881</v>
      </c>
      <c r="EPW1337" s="4" t="s">
        <v>2881</v>
      </c>
      <c r="EPX1337" s="4" t="s">
        <v>2881</v>
      </c>
      <c r="EPY1337" s="4" t="s">
        <v>2881</v>
      </c>
      <c r="EPZ1337" s="4" t="s">
        <v>2881</v>
      </c>
      <c r="EQA1337" s="4" t="s">
        <v>2881</v>
      </c>
      <c r="EQB1337" s="4" t="s">
        <v>2881</v>
      </c>
      <c r="EQC1337" s="4" t="s">
        <v>2881</v>
      </c>
      <c r="EQD1337" s="4" t="s">
        <v>2881</v>
      </c>
      <c r="EQE1337" s="4" t="s">
        <v>2881</v>
      </c>
      <c r="EQF1337" s="4" t="s">
        <v>2881</v>
      </c>
      <c r="EQG1337" s="4" t="s">
        <v>2881</v>
      </c>
      <c r="EQH1337" s="4" t="s">
        <v>2881</v>
      </c>
      <c r="EQI1337" s="4" t="s">
        <v>2881</v>
      </c>
      <c r="EQJ1337" s="4" t="s">
        <v>2881</v>
      </c>
      <c r="EQK1337" s="4" t="s">
        <v>2881</v>
      </c>
      <c r="EQL1337" s="4" t="s">
        <v>2881</v>
      </c>
      <c r="EQM1337" s="4" t="s">
        <v>2881</v>
      </c>
      <c r="EQN1337" s="4" t="s">
        <v>2881</v>
      </c>
      <c r="EQO1337" s="4" t="s">
        <v>2881</v>
      </c>
      <c r="EQP1337" s="4" t="s">
        <v>2881</v>
      </c>
      <c r="EQQ1337" s="4" t="s">
        <v>2881</v>
      </c>
      <c r="EQR1337" s="4" t="s">
        <v>2881</v>
      </c>
      <c r="EQS1337" s="4" t="s">
        <v>2881</v>
      </c>
      <c r="EQT1337" s="4" t="s">
        <v>2881</v>
      </c>
      <c r="EQU1337" s="4" t="s">
        <v>2881</v>
      </c>
      <c r="EQV1337" s="4" t="s">
        <v>2881</v>
      </c>
      <c r="EQW1337" s="4" t="s">
        <v>2881</v>
      </c>
      <c r="EQX1337" s="4" t="s">
        <v>2881</v>
      </c>
      <c r="EQY1337" s="4" t="s">
        <v>2881</v>
      </c>
      <c r="EQZ1337" s="4" t="s">
        <v>2881</v>
      </c>
      <c r="ERA1337" s="4" t="s">
        <v>2881</v>
      </c>
      <c r="ERB1337" s="4" t="s">
        <v>2881</v>
      </c>
      <c r="ERC1337" s="4" t="s">
        <v>2881</v>
      </c>
      <c r="ERD1337" s="4" t="s">
        <v>2881</v>
      </c>
      <c r="ERE1337" s="4" t="s">
        <v>2881</v>
      </c>
      <c r="ERF1337" s="4" t="s">
        <v>2881</v>
      </c>
      <c r="ERG1337" s="4" t="s">
        <v>2881</v>
      </c>
      <c r="ERH1337" s="4" t="s">
        <v>2881</v>
      </c>
      <c r="ERI1337" s="4" t="s">
        <v>2881</v>
      </c>
      <c r="ERJ1337" s="4" t="s">
        <v>2881</v>
      </c>
      <c r="ERK1337" s="4" t="s">
        <v>2881</v>
      </c>
      <c r="ERL1337" s="4" t="s">
        <v>2881</v>
      </c>
      <c r="ERM1337" s="4" t="s">
        <v>2881</v>
      </c>
      <c r="ERN1337" s="4" t="s">
        <v>2881</v>
      </c>
      <c r="ERO1337" s="4" t="s">
        <v>2881</v>
      </c>
      <c r="ERP1337" s="4" t="s">
        <v>2881</v>
      </c>
      <c r="ERQ1337" s="4" t="s">
        <v>2881</v>
      </c>
      <c r="ERR1337" s="4" t="s">
        <v>2881</v>
      </c>
      <c r="ERS1337" s="4" t="s">
        <v>2881</v>
      </c>
      <c r="ERT1337" s="4" t="s">
        <v>2881</v>
      </c>
      <c r="ERU1337" s="4" t="s">
        <v>2881</v>
      </c>
      <c r="ERV1337" s="4" t="s">
        <v>2881</v>
      </c>
      <c r="ERW1337" s="4" t="s">
        <v>2881</v>
      </c>
      <c r="ERX1337" s="4" t="s">
        <v>2881</v>
      </c>
      <c r="ERY1337" s="4" t="s">
        <v>2881</v>
      </c>
      <c r="ERZ1337" s="4" t="s">
        <v>2881</v>
      </c>
      <c r="ESA1337" s="4" t="s">
        <v>2881</v>
      </c>
      <c r="ESB1337" s="4" t="s">
        <v>2881</v>
      </c>
      <c r="ESC1337" s="4" t="s">
        <v>2881</v>
      </c>
      <c r="ESD1337" s="4" t="s">
        <v>2881</v>
      </c>
      <c r="ESE1337" s="4" t="s">
        <v>2881</v>
      </c>
      <c r="ESF1337" s="4" t="s">
        <v>2881</v>
      </c>
      <c r="ESG1337" s="4" t="s">
        <v>2881</v>
      </c>
      <c r="ESH1337" s="4" t="s">
        <v>2881</v>
      </c>
      <c r="ESI1337" s="4" t="s">
        <v>2881</v>
      </c>
      <c r="ESJ1337" s="4" t="s">
        <v>2881</v>
      </c>
      <c r="ESK1337" s="4" t="s">
        <v>2881</v>
      </c>
      <c r="ESL1337" s="4" t="s">
        <v>2881</v>
      </c>
      <c r="ESM1337" s="4" t="s">
        <v>2881</v>
      </c>
      <c r="ESN1337" s="4" t="s">
        <v>2881</v>
      </c>
      <c r="ESO1337" s="4" t="s">
        <v>2881</v>
      </c>
      <c r="ESP1337" s="4" t="s">
        <v>2881</v>
      </c>
      <c r="ESQ1337" s="4" t="s">
        <v>2881</v>
      </c>
      <c r="ESR1337" s="4" t="s">
        <v>2881</v>
      </c>
      <c r="ESS1337" s="4" t="s">
        <v>2881</v>
      </c>
      <c r="EST1337" s="4" t="s">
        <v>2881</v>
      </c>
      <c r="ESU1337" s="4" t="s">
        <v>2881</v>
      </c>
      <c r="ESV1337" s="4" t="s">
        <v>2881</v>
      </c>
      <c r="ESW1337" s="4" t="s">
        <v>2881</v>
      </c>
      <c r="ESX1337" s="4" t="s">
        <v>2881</v>
      </c>
      <c r="ESY1337" s="4" t="s">
        <v>2881</v>
      </c>
      <c r="ESZ1337" s="4" t="s">
        <v>2881</v>
      </c>
      <c r="ETA1337" s="4" t="s">
        <v>2881</v>
      </c>
      <c r="ETB1337" s="4" t="s">
        <v>2881</v>
      </c>
      <c r="ETC1337" s="4" t="s">
        <v>2881</v>
      </c>
      <c r="ETD1337" s="4" t="s">
        <v>2881</v>
      </c>
      <c r="ETE1337" s="4" t="s">
        <v>2881</v>
      </c>
      <c r="ETF1337" s="4" t="s">
        <v>2881</v>
      </c>
      <c r="ETG1337" s="4" t="s">
        <v>2881</v>
      </c>
      <c r="ETH1337" s="4" t="s">
        <v>2881</v>
      </c>
      <c r="ETI1337" s="4" t="s">
        <v>2881</v>
      </c>
      <c r="ETJ1337" s="4" t="s">
        <v>2881</v>
      </c>
      <c r="ETK1337" s="4" t="s">
        <v>2881</v>
      </c>
      <c r="ETL1337" s="4" t="s">
        <v>2881</v>
      </c>
      <c r="ETM1337" s="4" t="s">
        <v>2881</v>
      </c>
      <c r="ETN1337" s="4" t="s">
        <v>2881</v>
      </c>
      <c r="ETO1337" s="4" t="s">
        <v>2881</v>
      </c>
      <c r="ETP1337" s="4" t="s">
        <v>2881</v>
      </c>
      <c r="ETQ1337" s="4" t="s">
        <v>2881</v>
      </c>
      <c r="ETR1337" s="4" t="s">
        <v>2881</v>
      </c>
      <c r="ETS1337" s="4" t="s">
        <v>2881</v>
      </c>
      <c r="ETT1337" s="4" t="s">
        <v>2881</v>
      </c>
      <c r="ETU1337" s="4" t="s">
        <v>2881</v>
      </c>
      <c r="ETV1337" s="4" t="s">
        <v>2881</v>
      </c>
      <c r="ETW1337" s="4" t="s">
        <v>2881</v>
      </c>
      <c r="ETX1337" s="4" t="s">
        <v>2881</v>
      </c>
      <c r="ETY1337" s="4" t="s">
        <v>2881</v>
      </c>
      <c r="ETZ1337" s="4" t="s">
        <v>2881</v>
      </c>
      <c r="EUA1337" s="4" t="s">
        <v>2881</v>
      </c>
      <c r="EUB1337" s="4" t="s">
        <v>2881</v>
      </c>
      <c r="EUC1337" s="4" t="s">
        <v>2881</v>
      </c>
      <c r="EUD1337" s="4" t="s">
        <v>2881</v>
      </c>
      <c r="EUE1337" s="4" t="s">
        <v>2881</v>
      </c>
      <c r="EUF1337" s="4" t="s">
        <v>2881</v>
      </c>
      <c r="EUG1337" s="4" t="s">
        <v>2881</v>
      </c>
      <c r="EUH1337" s="4" t="s">
        <v>2881</v>
      </c>
      <c r="EUI1337" s="4" t="s">
        <v>2881</v>
      </c>
      <c r="EUJ1337" s="4" t="s">
        <v>2881</v>
      </c>
      <c r="EUK1337" s="4" t="s">
        <v>2881</v>
      </c>
      <c r="EUL1337" s="4" t="s">
        <v>2881</v>
      </c>
      <c r="EUM1337" s="4" t="s">
        <v>2881</v>
      </c>
      <c r="EUN1337" s="4" t="s">
        <v>2881</v>
      </c>
      <c r="EUO1337" s="4" t="s">
        <v>2881</v>
      </c>
      <c r="EUP1337" s="4" t="s">
        <v>2881</v>
      </c>
      <c r="EUQ1337" s="4" t="s">
        <v>2881</v>
      </c>
      <c r="EUR1337" s="4" t="s">
        <v>2881</v>
      </c>
      <c r="EUS1337" s="4" t="s">
        <v>2881</v>
      </c>
      <c r="EUT1337" s="4" t="s">
        <v>2881</v>
      </c>
      <c r="EUU1337" s="4" t="s">
        <v>2881</v>
      </c>
      <c r="EUV1337" s="4" t="s">
        <v>2881</v>
      </c>
      <c r="EUW1337" s="4" t="s">
        <v>2881</v>
      </c>
      <c r="EUX1337" s="4" t="s">
        <v>2881</v>
      </c>
      <c r="EUY1337" s="4" t="s">
        <v>2881</v>
      </c>
      <c r="EUZ1337" s="4" t="s">
        <v>2881</v>
      </c>
      <c r="EVA1337" s="4" t="s">
        <v>2881</v>
      </c>
      <c r="EVB1337" s="4" t="s">
        <v>2881</v>
      </c>
      <c r="EVC1337" s="4" t="s">
        <v>2881</v>
      </c>
      <c r="EVD1337" s="4" t="s">
        <v>2881</v>
      </c>
      <c r="EVE1337" s="4" t="s">
        <v>2881</v>
      </c>
      <c r="EVF1337" s="4" t="s">
        <v>2881</v>
      </c>
      <c r="EVG1337" s="4" t="s">
        <v>2881</v>
      </c>
      <c r="EVH1337" s="4" t="s">
        <v>2881</v>
      </c>
      <c r="EVI1337" s="4" t="s">
        <v>2881</v>
      </c>
      <c r="EVJ1337" s="4" t="s">
        <v>2881</v>
      </c>
      <c r="EVK1337" s="4" t="s">
        <v>2881</v>
      </c>
      <c r="EVL1337" s="4" t="s">
        <v>2881</v>
      </c>
      <c r="EVM1337" s="4" t="s">
        <v>2881</v>
      </c>
      <c r="EVN1337" s="4" t="s">
        <v>2881</v>
      </c>
      <c r="EVO1337" s="4" t="s">
        <v>2881</v>
      </c>
      <c r="EVP1337" s="4" t="s">
        <v>2881</v>
      </c>
      <c r="EVQ1337" s="4" t="s">
        <v>2881</v>
      </c>
      <c r="EVR1337" s="4" t="s">
        <v>2881</v>
      </c>
      <c r="EVS1337" s="4" t="s">
        <v>2881</v>
      </c>
      <c r="EVT1337" s="4" t="s">
        <v>2881</v>
      </c>
      <c r="EVU1337" s="4" t="s">
        <v>2881</v>
      </c>
      <c r="EVV1337" s="4" t="s">
        <v>2881</v>
      </c>
      <c r="EVW1337" s="4" t="s">
        <v>2881</v>
      </c>
      <c r="EVX1337" s="4" t="s">
        <v>2881</v>
      </c>
      <c r="EVY1337" s="4" t="s">
        <v>2881</v>
      </c>
      <c r="EVZ1337" s="4" t="s">
        <v>2881</v>
      </c>
      <c r="EWA1337" s="4" t="s">
        <v>2881</v>
      </c>
      <c r="EWB1337" s="4" t="s">
        <v>2881</v>
      </c>
      <c r="EWC1337" s="4" t="s">
        <v>2881</v>
      </c>
      <c r="EWD1337" s="4" t="s">
        <v>2881</v>
      </c>
      <c r="EWE1337" s="4" t="s">
        <v>2881</v>
      </c>
      <c r="EWF1337" s="4" t="s">
        <v>2881</v>
      </c>
      <c r="EWG1337" s="4" t="s">
        <v>2881</v>
      </c>
      <c r="EWH1337" s="4" t="s">
        <v>2881</v>
      </c>
      <c r="EWI1337" s="4" t="s">
        <v>2881</v>
      </c>
      <c r="EWJ1337" s="4" t="s">
        <v>2881</v>
      </c>
      <c r="EWK1337" s="4" t="s">
        <v>2881</v>
      </c>
      <c r="EWL1337" s="4" t="s">
        <v>2881</v>
      </c>
      <c r="EWM1337" s="4" t="s">
        <v>2881</v>
      </c>
      <c r="EWN1337" s="4" t="s">
        <v>2881</v>
      </c>
      <c r="EWO1337" s="4" t="s">
        <v>2881</v>
      </c>
      <c r="EWP1337" s="4" t="s">
        <v>2881</v>
      </c>
      <c r="EWQ1337" s="4" t="s">
        <v>2881</v>
      </c>
      <c r="EWR1337" s="4" t="s">
        <v>2881</v>
      </c>
      <c r="EWS1337" s="4" t="s">
        <v>2881</v>
      </c>
      <c r="EWT1337" s="4" t="s">
        <v>2881</v>
      </c>
      <c r="EWU1337" s="4" t="s">
        <v>2881</v>
      </c>
      <c r="EWV1337" s="4" t="s">
        <v>2881</v>
      </c>
      <c r="EWW1337" s="4" t="s">
        <v>2881</v>
      </c>
      <c r="EWX1337" s="4" t="s">
        <v>2881</v>
      </c>
      <c r="EWY1337" s="4" t="s">
        <v>2881</v>
      </c>
      <c r="EWZ1337" s="4" t="s">
        <v>2881</v>
      </c>
      <c r="EXA1337" s="4" t="s">
        <v>2881</v>
      </c>
      <c r="EXB1337" s="4" t="s">
        <v>2881</v>
      </c>
      <c r="EXC1337" s="4" t="s">
        <v>2881</v>
      </c>
      <c r="EXD1337" s="4" t="s">
        <v>2881</v>
      </c>
      <c r="EXE1337" s="4" t="s">
        <v>2881</v>
      </c>
      <c r="EXF1337" s="4" t="s">
        <v>2881</v>
      </c>
      <c r="EXG1337" s="4" t="s">
        <v>2881</v>
      </c>
      <c r="EXH1337" s="4" t="s">
        <v>2881</v>
      </c>
      <c r="EXI1337" s="4" t="s">
        <v>2881</v>
      </c>
      <c r="EXJ1337" s="4" t="s">
        <v>2881</v>
      </c>
      <c r="EXK1337" s="4" t="s">
        <v>2881</v>
      </c>
      <c r="EXL1337" s="4" t="s">
        <v>2881</v>
      </c>
      <c r="EXM1337" s="4" t="s">
        <v>2881</v>
      </c>
      <c r="EXN1337" s="4" t="s">
        <v>2881</v>
      </c>
      <c r="EXO1337" s="4" t="s">
        <v>2881</v>
      </c>
      <c r="EXP1337" s="4" t="s">
        <v>2881</v>
      </c>
      <c r="EXQ1337" s="4" t="s">
        <v>2881</v>
      </c>
      <c r="EXR1337" s="4" t="s">
        <v>2881</v>
      </c>
      <c r="EXS1337" s="4" t="s">
        <v>2881</v>
      </c>
      <c r="EXT1337" s="4" t="s">
        <v>2881</v>
      </c>
      <c r="EXU1337" s="4" t="s">
        <v>2881</v>
      </c>
      <c r="EXV1337" s="4" t="s">
        <v>2881</v>
      </c>
      <c r="EXW1337" s="4" t="s">
        <v>2881</v>
      </c>
      <c r="EXX1337" s="4" t="s">
        <v>2881</v>
      </c>
      <c r="EXY1337" s="4" t="s">
        <v>2881</v>
      </c>
      <c r="EXZ1337" s="4" t="s">
        <v>2881</v>
      </c>
      <c r="EYA1337" s="4" t="s">
        <v>2881</v>
      </c>
      <c r="EYB1337" s="4" t="s">
        <v>2881</v>
      </c>
      <c r="EYC1337" s="4" t="s">
        <v>2881</v>
      </c>
      <c r="EYD1337" s="4" t="s">
        <v>2881</v>
      </c>
      <c r="EYE1337" s="4" t="s">
        <v>2881</v>
      </c>
      <c r="EYF1337" s="4" t="s">
        <v>2881</v>
      </c>
      <c r="EYG1337" s="4" t="s">
        <v>2881</v>
      </c>
      <c r="EYH1337" s="4" t="s">
        <v>2881</v>
      </c>
      <c r="EYI1337" s="4" t="s">
        <v>2881</v>
      </c>
      <c r="EYJ1337" s="4" t="s">
        <v>2881</v>
      </c>
      <c r="EYK1337" s="4" t="s">
        <v>2881</v>
      </c>
      <c r="EYL1337" s="4" t="s">
        <v>2881</v>
      </c>
      <c r="EYM1337" s="4" t="s">
        <v>2881</v>
      </c>
      <c r="EYN1337" s="4" t="s">
        <v>2881</v>
      </c>
      <c r="EYO1337" s="4" t="s">
        <v>2881</v>
      </c>
      <c r="EYP1337" s="4" t="s">
        <v>2881</v>
      </c>
      <c r="EYQ1337" s="4" t="s">
        <v>2881</v>
      </c>
      <c r="EYR1337" s="4" t="s">
        <v>2881</v>
      </c>
      <c r="EYS1337" s="4" t="s">
        <v>2881</v>
      </c>
      <c r="EYT1337" s="4" t="s">
        <v>2881</v>
      </c>
      <c r="EYU1337" s="4" t="s">
        <v>2881</v>
      </c>
      <c r="EYV1337" s="4" t="s">
        <v>2881</v>
      </c>
      <c r="EYW1337" s="4" t="s">
        <v>2881</v>
      </c>
      <c r="EYX1337" s="4" t="s">
        <v>2881</v>
      </c>
      <c r="EYY1337" s="4" t="s">
        <v>2881</v>
      </c>
      <c r="EYZ1337" s="4" t="s">
        <v>2881</v>
      </c>
      <c r="EZA1337" s="4" t="s">
        <v>2881</v>
      </c>
      <c r="EZB1337" s="4" t="s">
        <v>2881</v>
      </c>
      <c r="EZC1337" s="4" t="s">
        <v>2881</v>
      </c>
      <c r="EZD1337" s="4" t="s">
        <v>2881</v>
      </c>
      <c r="EZE1337" s="4" t="s">
        <v>2881</v>
      </c>
      <c r="EZF1337" s="4" t="s">
        <v>2881</v>
      </c>
      <c r="EZG1337" s="4" t="s">
        <v>2881</v>
      </c>
      <c r="EZH1337" s="4" t="s">
        <v>2881</v>
      </c>
      <c r="EZI1337" s="4" t="s">
        <v>2881</v>
      </c>
      <c r="EZJ1337" s="4" t="s">
        <v>2881</v>
      </c>
      <c r="EZK1337" s="4" t="s">
        <v>2881</v>
      </c>
      <c r="EZL1337" s="4" t="s">
        <v>2881</v>
      </c>
      <c r="EZM1337" s="4" t="s">
        <v>2881</v>
      </c>
      <c r="EZN1337" s="4" t="s">
        <v>2881</v>
      </c>
      <c r="EZO1337" s="4" t="s">
        <v>2881</v>
      </c>
      <c r="EZP1337" s="4" t="s">
        <v>2881</v>
      </c>
      <c r="EZQ1337" s="4" t="s">
        <v>2881</v>
      </c>
      <c r="EZR1337" s="4" t="s">
        <v>2881</v>
      </c>
      <c r="EZS1337" s="4" t="s">
        <v>2881</v>
      </c>
      <c r="EZT1337" s="4" t="s">
        <v>2881</v>
      </c>
      <c r="EZU1337" s="4" t="s">
        <v>2881</v>
      </c>
      <c r="EZV1337" s="4" t="s">
        <v>2881</v>
      </c>
      <c r="EZW1337" s="4" t="s">
        <v>2881</v>
      </c>
      <c r="EZX1337" s="4" t="s">
        <v>2881</v>
      </c>
      <c r="EZY1337" s="4" t="s">
        <v>2881</v>
      </c>
      <c r="EZZ1337" s="4" t="s">
        <v>2881</v>
      </c>
      <c r="FAA1337" s="4" t="s">
        <v>2881</v>
      </c>
      <c r="FAB1337" s="4" t="s">
        <v>2881</v>
      </c>
      <c r="FAC1337" s="4" t="s">
        <v>2881</v>
      </c>
      <c r="FAD1337" s="4" t="s">
        <v>2881</v>
      </c>
      <c r="FAE1337" s="4" t="s">
        <v>2881</v>
      </c>
      <c r="FAF1337" s="4" t="s">
        <v>2881</v>
      </c>
      <c r="FAG1337" s="4" t="s">
        <v>2881</v>
      </c>
      <c r="FAH1337" s="4" t="s">
        <v>2881</v>
      </c>
      <c r="FAI1337" s="4" t="s">
        <v>2881</v>
      </c>
      <c r="FAJ1337" s="4" t="s">
        <v>2881</v>
      </c>
      <c r="FAK1337" s="4" t="s">
        <v>2881</v>
      </c>
      <c r="FAL1337" s="4" t="s">
        <v>2881</v>
      </c>
      <c r="FAM1337" s="4" t="s">
        <v>2881</v>
      </c>
      <c r="FAN1337" s="4" t="s">
        <v>2881</v>
      </c>
      <c r="FAO1337" s="4" t="s">
        <v>2881</v>
      </c>
      <c r="FAP1337" s="4" t="s">
        <v>2881</v>
      </c>
      <c r="FAQ1337" s="4" t="s">
        <v>2881</v>
      </c>
      <c r="FAR1337" s="4" t="s">
        <v>2881</v>
      </c>
      <c r="FAS1337" s="4" t="s">
        <v>2881</v>
      </c>
      <c r="FAT1337" s="4" t="s">
        <v>2881</v>
      </c>
      <c r="FAU1337" s="4" t="s">
        <v>2881</v>
      </c>
      <c r="FAV1337" s="4" t="s">
        <v>2881</v>
      </c>
      <c r="FAW1337" s="4" t="s">
        <v>2881</v>
      </c>
      <c r="FAX1337" s="4" t="s">
        <v>2881</v>
      </c>
      <c r="FAY1337" s="4" t="s">
        <v>2881</v>
      </c>
      <c r="FAZ1337" s="4" t="s">
        <v>2881</v>
      </c>
      <c r="FBA1337" s="4" t="s">
        <v>2881</v>
      </c>
      <c r="FBB1337" s="4" t="s">
        <v>2881</v>
      </c>
      <c r="FBC1337" s="4" t="s">
        <v>2881</v>
      </c>
      <c r="FBD1337" s="4" t="s">
        <v>2881</v>
      </c>
      <c r="FBE1337" s="4" t="s">
        <v>2881</v>
      </c>
      <c r="FBF1337" s="4" t="s">
        <v>2881</v>
      </c>
      <c r="FBG1337" s="4" t="s">
        <v>2881</v>
      </c>
      <c r="FBH1337" s="4" t="s">
        <v>2881</v>
      </c>
      <c r="FBI1337" s="4" t="s">
        <v>2881</v>
      </c>
      <c r="FBJ1337" s="4" t="s">
        <v>2881</v>
      </c>
      <c r="FBK1337" s="4" t="s">
        <v>2881</v>
      </c>
      <c r="FBL1337" s="4" t="s">
        <v>2881</v>
      </c>
      <c r="FBM1337" s="4" t="s">
        <v>2881</v>
      </c>
      <c r="FBN1337" s="4" t="s">
        <v>2881</v>
      </c>
      <c r="FBO1337" s="4" t="s">
        <v>2881</v>
      </c>
      <c r="FBP1337" s="4" t="s">
        <v>2881</v>
      </c>
      <c r="FBQ1337" s="4" t="s">
        <v>2881</v>
      </c>
      <c r="FBR1337" s="4" t="s">
        <v>2881</v>
      </c>
      <c r="FBS1337" s="4" t="s">
        <v>2881</v>
      </c>
      <c r="FBT1337" s="4" t="s">
        <v>2881</v>
      </c>
      <c r="FBU1337" s="4" t="s">
        <v>2881</v>
      </c>
      <c r="FBV1337" s="4" t="s">
        <v>2881</v>
      </c>
      <c r="FBW1337" s="4" t="s">
        <v>2881</v>
      </c>
      <c r="FBX1337" s="4" t="s">
        <v>2881</v>
      </c>
      <c r="FBY1337" s="4" t="s">
        <v>2881</v>
      </c>
      <c r="FBZ1337" s="4" t="s">
        <v>2881</v>
      </c>
      <c r="FCA1337" s="4" t="s">
        <v>2881</v>
      </c>
      <c r="FCB1337" s="4" t="s">
        <v>2881</v>
      </c>
      <c r="FCC1337" s="4" t="s">
        <v>2881</v>
      </c>
      <c r="FCD1337" s="4" t="s">
        <v>2881</v>
      </c>
      <c r="FCE1337" s="4" t="s">
        <v>2881</v>
      </c>
      <c r="FCF1337" s="4" t="s">
        <v>2881</v>
      </c>
      <c r="FCG1337" s="4" t="s">
        <v>2881</v>
      </c>
      <c r="FCH1337" s="4" t="s">
        <v>2881</v>
      </c>
      <c r="FCI1337" s="4" t="s">
        <v>2881</v>
      </c>
      <c r="FCJ1337" s="4" t="s">
        <v>2881</v>
      </c>
      <c r="FCK1337" s="4" t="s">
        <v>2881</v>
      </c>
      <c r="FCL1337" s="4" t="s">
        <v>2881</v>
      </c>
      <c r="FCM1337" s="4" t="s">
        <v>2881</v>
      </c>
      <c r="FCN1337" s="4" t="s">
        <v>2881</v>
      </c>
      <c r="FCO1337" s="4" t="s">
        <v>2881</v>
      </c>
      <c r="FCP1337" s="4" t="s">
        <v>2881</v>
      </c>
      <c r="FCQ1337" s="4" t="s">
        <v>2881</v>
      </c>
      <c r="FCR1337" s="4" t="s">
        <v>2881</v>
      </c>
      <c r="FCS1337" s="4" t="s">
        <v>2881</v>
      </c>
      <c r="FCT1337" s="4" t="s">
        <v>2881</v>
      </c>
      <c r="FCU1337" s="4" t="s">
        <v>2881</v>
      </c>
      <c r="FCV1337" s="4" t="s">
        <v>2881</v>
      </c>
      <c r="FCW1337" s="4" t="s">
        <v>2881</v>
      </c>
      <c r="FCX1337" s="4" t="s">
        <v>2881</v>
      </c>
      <c r="FCY1337" s="4" t="s">
        <v>2881</v>
      </c>
      <c r="FCZ1337" s="4" t="s">
        <v>2881</v>
      </c>
      <c r="FDA1337" s="4" t="s">
        <v>2881</v>
      </c>
      <c r="FDB1337" s="4" t="s">
        <v>2881</v>
      </c>
      <c r="FDC1337" s="4" t="s">
        <v>2881</v>
      </c>
      <c r="FDD1337" s="4" t="s">
        <v>2881</v>
      </c>
      <c r="FDE1337" s="4" t="s">
        <v>2881</v>
      </c>
      <c r="FDF1337" s="4" t="s">
        <v>2881</v>
      </c>
      <c r="FDG1337" s="4" t="s">
        <v>2881</v>
      </c>
      <c r="FDH1337" s="4" t="s">
        <v>2881</v>
      </c>
      <c r="FDI1337" s="4" t="s">
        <v>2881</v>
      </c>
      <c r="FDJ1337" s="4" t="s">
        <v>2881</v>
      </c>
      <c r="FDK1337" s="4" t="s">
        <v>2881</v>
      </c>
      <c r="FDL1337" s="4" t="s">
        <v>2881</v>
      </c>
      <c r="FDM1337" s="4" t="s">
        <v>2881</v>
      </c>
      <c r="FDN1337" s="4" t="s">
        <v>2881</v>
      </c>
      <c r="FDO1337" s="4" t="s">
        <v>2881</v>
      </c>
      <c r="FDP1337" s="4" t="s">
        <v>2881</v>
      </c>
      <c r="FDQ1337" s="4" t="s">
        <v>2881</v>
      </c>
      <c r="FDR1337" s="4" t="s">
        <v>2881</v>
      </c>
      <c r="FDS1337" s="4" t="s">
        <v>2881</v>
      </c>
      <c r="FDT1337" s="4" t="s">
        <v>2881</v>
      </c>
      <c r="FDU1337" s="4" t="s">
        <v>2881</v>
      </c>
      <c r="FDV1337" s="4" t="s">
        <v>2881</v>
      </c>
      <c r="FDW1337" s="4" t="s">
        <v>2881</v>
      </c>
      <c r="FDX1337" s="4" t="s">
        <v>2881</v>
      </c>
      <c r="FDY1337" s="4" t="s">
        <v>2881</v>
      </c>
      <c r="FDZ1337" s="4" t="s">
        <v>2881</v>
      </c>
      <c r="FEA1337" s="4" t="s">
        <v>2881</v>
      </c>
      <c r="FEB1337" s="4" t="s">
        <v>2881</v>
      </c>
      <c r="FEC1337" s="4" t="s">
        <v>2881</v>
      </c>
      <c r="FED1337" s="4" t="s">
        <v>2881</v>
      </c>
      <c r="FEE1337" s="4" t="s">
        <v>2881</v>
      </c>
      <c r="FEF1337" s="4" t="s">
        <v>2881</v>
      </c>
      <c r="FEG1337" s="4" t="s">
        <v>2881</v>
      </c>
      <c r="FEH1337" s="4" t="s">
        <v>2881</v>
      </c>
      <c r="FEI1337" s="4" t="s">
        <v>2881</v>
      </c>
      <c r="FEJ1337" s="4" t="s">
        <v>2881</v>
      </c>
      <c r="FEK1337" s="4" t="s">
        <v>2881</v>
      </c>
      <c r="FEL1337" s="4" t="s">
        <v>2881</v>
      </c>
      <c r="FEM1337" s="4" t="s">
        <v>2881</v>
      </c>
      <c r="FEN1337" s="4" t="s">
        <v>2881</v>
      </c>
      <c r="FEO1337" s="4" t="s">
        <v>2881</v>
      </c>
      <c r="FEP1337" s="4" t="s">
        <v>2881</v>
      </c>
      <c r="FEQ1337" s="4" t="s">
        <v>2881</v>
      </c>
      <c r="FER1337" s="4" t="s">
        <v>2881</v>
      </c>
      <c r="FES1337" s="4" t="s">
        <v>2881</v>
      </c>
      <c r="FET1337" s="4" t="s">
        <v>2881</v>
      </c>
      <c r="FEU1337" s="4" t="s">
        <v>2881</v>
      </c>
      <c r="FEV1337" s="4" t="s">
        <v>2881</v>
      </c>
      <c r="FEW1337" s="4" t="s">
        <v>2881</v>
      </c>
      <c r="FEX1337" s="4" t="s">
        <v>2881</v>
      </c>
      <c r="FEY1337" s="4" t="s">
        <v>2881</v>
      </c>
      <c r="FEZ1337" s="4" t="s">
        <v>2881</v>
      </c>
      <c r="FFA1337" s="4" t="s">
        <v>2881</v>
      </c>
      <c r="FFB1337" s="4" t="s">
        <v>2881</v>
      </c>
      <c r="FFC1337" s="4" t="s">
        <v>2881</v>
      </c>
      <c r="FFD1337" s="4" t="s">
        <v>2881</v>
      </c>
      <c r="FFE1337" s="4" t="s">
        <v>2881</v>
      </c>
      <c r="FFF1337" s="4" t="s">
        <v>2881</v>
      </c>
      <c r="FFG1337" s="4" t="s">
        <v>2881</v>
      </c>
      <c r="FFH1337" s="4" t="s">
        <v>2881</v>
      </c>
      <c r="FFI1337" s="4" t="s">
        <v>2881</v>
      </c>
      <c r="FFJ1337" s="4" t="s">
        <v>2881</v>
      </c>
      <c r="FFK1337" s="4" t="s">
        <v>2881</v>
      </c>
      <c r="FFL1337" s="4" t="s">
        <v>2881</v>
      </c>
      <c r="FFM1337" s="4" t="s">
        <v>2881</v>
      </c>
      <c r="FFN1337" s="4" t="s">
        <v>2881</v>
      </c>
      <c r="FFO1337" s="4" t="s">
        <v>2881</v>
      </c>
      <c r="FFP1337" s="4" t="s">
        <v>2881</v>
      </c>
      <c r="FFQ1337" s="4" t="s">
        <v>2881</v>
      </c>
      <c r="FFR1337" s="4" t="s">
        <v>2881</v>
      </c>
      <c r="FFS1337" s="4" t="s">
        <v>2881</v>
      </c>
      <c r="FFT1337" s="4" t="s">
        <v>2881</v>
      </c>
      <c r="FFU1337" s="4" t="s">
        <v>2881</v>
      </c>
      <c r="FFV1337" s="4" t="s">
        <v>2881</v>
      </c>
      <c r="FFW1337" s="4" t="s">
        <v>2881</v>
      </c>
      <c r="FFX1337" s="4" t="s">
        <v>2881</v>
      </c>
      <c r="FFY1337" s="4" t="s">
        <v>2881</v>
      </c>
      <c r="FFZ1337" s="4" t="s">
        <v>2881</v>
      </c>
      <c r="FGA1337" s="4" t="s">
        <v>2881</v>
      </c>
      <c r="FGB1337" s="4" t="s">
        <v>2881</v>
      </c>
      <c r="FGC1337" s="4" t="s">
        <v>2881</v>
      </c>
      <c r="FGD1337" s="4" t="s">
        <v>2881</v>
      </c>
      <c r="FGE1337" s="4" t="s">
        <v>2881</v>
      </c>
      <c r="FGF1337" s="4" t="s">
        <v>2881</v>
      </c>
      <c r="FGG1337" s="4" t="s">
        <v>2881</v>
      </c>
      <c r="FGH1337" s="4" t="s">
        <v>2881</v>
      </c>
      <c r="FGI1337" s="4" t="s">
        <v>2881</v>
      </c>
      <c r="FGJ1337" s="4" t="s">
        <v>2881</v>
      </c>
      <c r="FGK1337" s="4" t="s">
        <v>2881</v>
      </c>
      <c r="FGL1337" s="4" t="s">
        <v>2881</v>
      </c>
      <c r="FGM1337" s="4" t="s">
        <v>2881</v>
      </c>
      <c r="FGN1337" s="4" t="s">
        <v>2881</v>
      </c>
      <c r="FGO1337" s="4" t="s">
        <v>2881</v>
      </c>
      <c r="FGP1337" s="4" t="s">
        <v>2881</v>
      </c>
      <c r="FGQ1337" s="4" t="s">
        <v>2881</v>
      </c>
      <c r="FGR1337" s="4" t="s">
        <v>2881</v>
      </c>
      <c r="FGS1337" s="4" t="s">
        <v>2881</v>
      </c>
      <c r="FGT1337" s="4" t="s">
        <v>2881</v>
      </c>
      <c r="FGU1337" s="4" t="s">
        <v>2881</v>
      </c>
      <c r="FGV1337" s="4" t="s">
        <v>2881</v>
      </c>
      <c r="FGW1337" s="4" t="s">
        <v>2881</v>
      </c>
      <c r="FGX1337" s="4" t="s">
        <v>2881</v>
      </c>
      <c r="FGY1337" s="4" t="s">
        <v>2881</v>
      </c>
      <c r="FGZ1337" s="4" t="s">
        <v>2881</v>
      </c>
      <c r="FHA1337" s="4" t="s">
        <v>2881</v>
      </c>
      <c r="FHB1337" s="4" t="s">
        <v>2881</v>
      </c>
      <c r="FHC1337" s="4" t="s">
        <v>2881</v>
      </c>
      <c r="FHD1337" s="4" t="s">
        <v>2881</v>
      </c>
      <c r="FHE1337" s="4" t="s">
        <v>2881</v>
      </c>
      <c r="FHF1337" s="4" t="s">
        <v>2881</v>
      </c>
      <c r="FHG1337" s="4" t="s">
        <v>2881</v>
      </c>
      <c r="FHH1337" s="4" t="s">
        <v>2881</v>
      </c>
      <c r="FHI1337" s="4" t="s">
        <v>2881</v>
      </c>
      <c r="FHJ1337" s="4" t="s">
        <v>2881</v>
      </c>
      <c r="FHK1337" s="4" t="s">
        <v>2881</v>
      </c>
      <c r="FHL1337" s="4" t="s">
        <v>2881</v>
      </c>
      <c r="FHM1337" s="4" t="s">
        <v>2881</v>
      </c>
      <c r="FHN1337" s="4" t="s">
        <v>2881</v>
      </c>
      <c r="FHO1337" s="4" t="s">
        <v>2881</v>
      </c>
      <c r="FHP1337" s="4" t="s">
        <v>2881</v>
      </c>
      <c r="FHQ1337" s="4" t="s">
        <v>2881</v>
      </c>
      <c r="FHR1337" s="4" t="s">
        <v>2881</v>
      </c>
      <c r="FHS1337" s="4" t="s">
        <v>2881</v>
      </c>
      <c r="FHT1337" s="4" t="s">
        <v>2881</v>
      </c>
      <c r="FHU1337" s="4" t="s">
        <v>2881</v>
      </c>
      <c r="FHV1337" s="4" t="s">
        <v>2881</v>
      </c>
      <c r="FHW1337" s="4" t="s">
        <v>2881</v>
      </c>
      <c r="FHX1337" s="4" t="s">
        <v>2881</v>
      </c>
      <c r="FHY1337" s="4" t="s">
        <v>2881</v>
      </c>
      <c r="FHZ1337" s="4" t="s">
        <v>2881</v>
      </c>
      <c r="FIA1337" s="4" t="s">
        <v>2881</v>
      </c>
      <c r="FIB1337" s="4" t="s">
        <v>2881</v>
      </c>
      <c r="FIC1337" s="4" t="s">
        <v>2881</v>
      </c>
      <c r="FID1337" s="4" t="s">
        <v>2881</v>
      </c>
      <c r="FIE1337" s="4" t="s">
        <v>2881</v>
      </c>
      <c r="FIF1337" s="4" t="s">
        <v>2881</v>
      </c>
      <c r="FIG1337" s="4" t="s">
        <v>2881</v>
      </c>
      <c r="FIH1337" s="4" t="s">
        <v>2881</v>
      </c>
      <c r="FII1337" s="4" t="s">
        <v>2881</v>
      </c>
      <c r="FIJ1337" s="4" t="s">
        <v>2881</v>
      </c>
      <c r="FIK1337" s="4" t="s">
        <v>2881</v>
      </c>
      <c r="FIL1337" s="4" t="s">
        <v>2881</v>
      </c>
      <c r="FIM1337" s="4" t="s">
        <v>2881</v>
      </c>
      <c r="FIN1337" s="4" t="s">
        <v>2881</v>
      </c>
      <c r="FIO1337" s="4" t="s">
        <v>2881</v>
      </c>
      <c r="FIP1337" s="4" t="s">
        <v>2881</v>
      </c>
      <c r="FIQ1337" s="4" t="s">
        <v>2881</v>
      </c>
      <c r="FIR1337" s="4" t="s">
        <v>2881</v>
      </c>
      <c r="FIS1337" s="4" t="s">
        <v>2881</v>
      </c>
      <c r="FIT1337" s="4" t="s">
        <v>2881</v>
      </c>
      <c r="FIU1337" s="4" t="s">
        <v>2881</v>
      </c>
      <c r="FIV1337" s="4" t="s">
        <v>2881</v>
      </c>
      <c r="FIW1337" s="4" t="s">
        <v>2881</v>
      </c>
      <c r="FIX1337" s="4" t="s">
        <v>2881</v>
      </c>
      <c r="FIY1337" s="4" t="s">
        <v>2881</v>
      </c>
      <c r="FIZ1337" s="4" t="s">
        <v>2881</v>
      </c>
      <c r="FJA1337" s="4" t="s">
        <v>2881</v>
      </c>
      <c r="FJB1337" s="4" t="s">
        <v>2881</v>
      </c>
      <c r="FJC1337" s="4" t="s">
        <v>2881</v>
      </c>
      <c r="FJD1337" s="4" t="s">
        <v>2881</v>
      </c>
      <c r="FJE1337" s="4" t="s">
        <v>2881</v>
      </c>
      <c r="FJF1337" s="4" t="s">
        <v>2881</v>
      </c>
      <c r="FJG1337" s="4" t="s">
        <v>2881</v>
      </c>
      <c r="FJH1337" s="4" t="s">
        <v>2881</v>
      </c>
      <c r="FJI1337" s="4" t="s">
        <v>2881</v>
      </c>
      <c r="FJJ1337" s="4" t="s">
        <v>2881</v>
      </c>
      <c r="FJK1337" s="4" t="s">
        <v>2881</v>
      </c>
      <c r="FJL1337" s="4" t="s">
        <v>2881</v>
      </c>
      <c r="FJM1337" s="4" t="s">
        <v>2881</v>
      </c>
      <c r="FJN1337" s="4" t="s">
        <v>2881</v>
      </c>
      <c r="FJO1337" s="4" t="s">
        <v>2881</v>
      </c>
      <c r="FJP1337" s="4" t="s">
        <v>2881</v>
      </c>
      <c r="FJQ1337" s="4" t="s">
        <v>2881</v>
      </c>
      <c r="FJR1337" s="4" t="s">
        <v>2881</v>
      </c>
      <c r="FJS1337" s="4" t="s">
        <v>2881</v>
      </c>
      <c r="FJT1337" s="4" t="s">
        <v>2881</v>
      </c>
      <c r="FJU1337" s="4" t="s">
        <v>2881</v>
      </c>
      <c r="FJV1337" s="4" t="s">
        <v>2881</v>
      </c>
      <c r="FJW1337" s="4" t="s">
        <v>2881</v>
      </c>
      <c r="FJX1337" s="4" t="s">
        <v>2881</v>
      </c>
      <c r="FJY1337" s="4" t="s">
        <v>2881</v>
      </c>
      <c r="FJZ1337" s="4" t="s">
        <v>2881</v>
      </c>
      <c r="FKA1337" s="4" t="s">
        <v>2881</v>
      </c>
      <c r="FKB1337" s="4" t="s">
        <v>2881</v>
      </c>
      <c r="FKC1337" s="4" t="s">
        <v>2881</v>
      </c>
      <c r="FKD1337" s="4" t="s">
        <v>2881</v>
      </c>
      <c r="FKE1337" s="4" t="s">
        <v>2881</v>
      </c>
      <c r="FKF1337" s="4" t="s">
        <v>2881</v>
      </c>
      <c r="FKG1337" s="4" t="s">
        <v>2881</v>
      </c>
      <c r="FKH1337" s="4" t="s">
        <v>2881</v>
      </c>
      <c r="FKI1337" s="4" t="s">
        <v>2881</v>
      </c>
      <c r="FKJ1337" s="4" t="s">
        <v>2881</v>
      </c>
      <c r="FKK1337" s="4" t="s">
        <v>2881</v>
      </c>
      <c r="FKL1337" s="4" t="s">
        <v>2881</v>
      </c>
      <c r="FKM1337" s="4" t="s">
        <v>2881</v>
      </c>
      <c r="FKN1337" s="4" t="s">
        <v>2881</v>
      </c>
      <c r="FKO1337" s="4" t="s">
        <v>2881</v>
      </c>
      <c r="FKP1337" s="4" t="s">
        <v>2881</v>
      </c>
      <c r="FKQ1337" s="4" t="s">
        <v>2881</v>
      </c>
      <c r="FKR1337" s="4" t="s">
        <v>2881</v>
      </c>
      <c r="FKS1337" s="4" t="s">
        <v>2881</v>
      </c>
      <c r="FKT1337" s="4" t="s">
        <v>2881</v>
      </c>
      <c r="FKU1337" s="4" t="s">
        <v>2881</v>
      </c>
      <c r="FKV1337" s="4" t="s">
        <v>2881</v>
      </c>
      <c r="FKW1337" s="4" t="s">
        <v>2881</v>
      </c>
      <c r="FKX1337" s="4" t="s">
        <v>2881</v>
      </c>
      <c r="FKY1337" s="4" t="s">
        <v>2881</v>
      </c>
      <c r="FKZ1337" s="4" t="s">
        <v>2881</v>
      </c>
      <c r="FLA1337" s="4" t="s">
        <v>2881</v>
      </c>
      <c r="FLB1337" s="4" t="s">
        <v>2881</v>
      </c>
      <c r="FLC1337" s="4" t="s">
        <v>2881</v>
      </c>
      <c r="FLD1337" s="4" t="s">
        <v>2881</v>
      </c>
      <c r="FLE1337" s="4" t="s">
        <v>2881</v>
      </c>
      <c r="FLF1337" s="4" t="s">
        <v>2881</v>
      </c>
      <c r="FLG1337" s="4" t="s">
        <v>2881</v>
      </c>
      <c r="FLH1337" s="4" t="s">
        <v>2881</v>
      </c>
      <c r="FLI1337" s="4" t="s">
        <v>2881</v>
      </c>
      <c r="FLJ1337" s="4" t="s">
        <v>2881</v>
      </c>
      <c r="FLK1337" s="4" t="s">
        <v>2881</v>
      </c>
      <c r="FLL1337" s="4" t="s">
        <v>2881</v>
      </c>
      <c r="FLM1337" s="4" t="s">
        <v>2881</v>
      </c>
      <c r="FLN1337" s="4" t="s">
        <v>2881</v>
      </c>
      <c r="FLO1337" s="4" t="s">
        <v>2881</v>
      </c>
      <c r="FLP1337" s="4" t="s">
        <v>2881</v>
      </c>
      <c r="FLQ1337" s="4" t="s">
        <v>2881</v>
      </c>
      <c r="FLR1337" s="4" t="s">
        <v>2881</v>
      </c>
      <c r="FLS1337" s="4" t="s">
        <v>2881</v>
      </c>
      <c r="FLT1337" s="4" t="s">
        <v>2881</v>
      </c>
      <c r="FLU1337" s="4" t="s">
        <v>2881</v>
      </c>
      <c r="FLV1337" s="4" t="s">
        <v>2881</v>
      </c>
      <c r="FLW1337" s="4" t="s">
        <v>2881</v>
      </c>
      <c r="FLX1337" s="4" t="s">
        <v>2881</v>
      </c>
      <c r="FLY1337" s="4" t="s">
        <v>2881</v>
      </c>
      <c r="FLZ1337" s="4" t="s">
        <v>2881</v>
      </c>
      <c r="FMA1337" s="4" t="s">
        <v>2881</v>
      </c>
      <c r="FMB1337" s="4" t="s">
        <v>2881</v>
      </c>
      <c r="FMC1337" s="4" t="s">
        <v>2881</v>
      </c>
      <c r="FMD1337" s="4" t="s">
        <v>2881</v>
      </c>
      <c r="FME1337" s="4" t="s">
        <v>2881</v>
      </c>
      <c r="FMF1337" s="4" t="s">
        <v>2881</v>
      </c>
      <c r="FMG1337" s="4" t="s">
        <v>2881</v>
      </c>
      <c r="FMH1337" s="4" t="s">
        <v>2881</v>
      </c>
      <c r="FMI1337" s="4" t="s">
        <v>2881</v>
      </c>
      <c r="FMJ1337" s="4" t="s">
        <v>2881</v>
      </c>
      <c r="FMK1337" s="4" t="s">
        <v>2881</v>
      </c>
      <c r="FML1337" s="4" t="s">
        <v>2881</v>
      </c>
      <c r="FMM1337" s="4" t="s">
        <v>2881</v>
      </c>
      <c r="FMN1337" s="4" t="s">
        <v>2881</v>
      </c>
      <c r="FMO1337" s="4" t="s">
        <v>2881</v>
      </c>
      <c r="FMP1337" s="4" t="s">
        <v>2881</v>
      </c>
      <c r="FMQ1337" s="4" t="s">
        <v>2881</v>
      </c>
      <c r="FMR1337" s="4" t="s">
        <v>2881</v>
      </c>
      <c r="FMS1337" s="4" t="s">
        <v>2881</v>
      </c>
      <c r="FMT1337" s="4" t="s">
        <v>2881</v>
      </c>
      <c r="FMU1337" s="4" t="s">
        <v>2881</v>
      </c>
      <c r="FMV1337" s="4" t="s">
        <v>2881</v>
      </c>
      <c r="FMW1337" s="4" t="s">
        <v>2881</v>
      </c>
      <c r="FMX1337" s="4" t="s">
        <v>2881</v>
      </c>
      <c r="FMY1337" s="4" t="s">
        <v>2881</v>
      </c>
      <c r="FMZ1337" s="4" t="s">
        <v>2881</v>
      </c>
      <c r="FNA1337" s="4" t="s">
        <v>2881</v>
      </c>
      <c r="FNB1337" s="4" t="s">
        <v>2881</v>
      </c>
      <c r="FNC1337" s="4" t="s">
        <v>2881</v>
      </c>
      <c r="FND1337" s="4" t="s">
        <v>2881</v>
      </c>
      <c r="FNE1337" s="4" t="s">
        <v>2881</v>
      </c>
      <c r="FNF1337" s="4" t="s">
        <v>2881</v>
      </c>
      <c r="FNG1337" s="4" t="s">
        <v>2881</v>
      </c>
      <c r="FNH1337" s="4" t="s">
        <v>2881</v>
      </c>
      <c r="FNI1337" s="4" t="s">
        <v>2881</v>
      </c>
      <c r="FNJ1337" s="4" t="s">
        <v>2881</v>
      </c>
      <c r="FNK1337" s="4" t="s">
        <v>2881</v>
      </c>
      <c r="FNL1337" s="4" t="s">
        <v>2881</v>
      </c>
      <c r="FNM1337" s="4" t="s">
        <v>2881</v>
      </c>
      <c r="FNN1337" s="4" t="s">
        <v>2881</v>
      </c>
      <c r="FNO1337" s="4" t="s">
        <v>2881</v>
      </c>
      <c r="FNP1337" s="4" t="s">
        <v>2881</v>
      </c>
      <c r="FNQ1337" s="4" t="s">
        <v>2881</v>
      </c>
      <c r="FNR1337" s="4" t="s">
        <v>2881</v>
      </c>
      <c r="FNS1337" s="4" t="s">
        <v>2881</v>
      </c>
      <c r="FNT1337" s="4" t="s">
        <v>2881</v>
      </c>
      <c r="FNU1337" s="4" t="s">
        <v>2881</v>
      </c>
      <c r="FNV1337" s="4" t="s">
        <v>2881</v>
      </c>
      <c r="FNW1337" s="4" t="s">
        <v>2881</v>
      </c>
      <c r="FNX1337" s="4" t="s">
        <v>2881</v>
      </c>
      <c r="FNY1337" s="4" t="s">
        <v>2881</v>
      </c>
      <c r="FNZ1337" s="4" t="s">
        <v>2881</v>
      </c>
      <c r="FOA1337" s="4" t="s">
        <v>2881</v>
      </c>
      <c r="FOB1337" s="4" t="s">
        <v>2881</v>
      </c>
      <c r="FOC1337" s="4" t="s">
        <v>2881</v>
      </c>
      <c r="FOD1337" s="4" t="s">
        <v>2881</v>
      </c>
      <c r="FOE1337" s="4" t="s">
        <v>2881</v>
      </c>
      <c r="FOF1337" s="4" t="s">
        <v>2881</v>
      </c>
      <c r="FOG1337" s="4" t="s">
        <v>2881</v>
      </c>
      <c r="FOH1337" s="4" t="s">
        <v>2881</v>
      </c>
      <c r="FOI1337" s="4" t="s">
        <v>2881</v>
      </c>
      <c r="FOJ1337" s="4" t="s">
        <v>2881</v>
      </c>
      <c r="FOK1337" s="4" t="s">
        <v>2881</v>
      </c>
      <c r="FOL1337" s="4" t="s">
        <v>2881</v>
      </c>
      <c r="FOM1337" s="4" t="s">
        <v>2881</v>
      </c>
      <c r="FON1337" s="4" t="s">
        <v>2881</v>
      </c>
      <c r="FOO1337" s="4" t="s">
        <v>2881</v>
      </c>
      <c r="FOP1337" s="4" t="s">
        <v>2881</v>
      </c>
      <c r="FOQ1337" s="4" t="s">
        <v>2881</v>
      </c>
      <c r="FOR1337" s="4" t="s">
        <v>2881</v>
      </c>
      <c r="FOS1337" s="4" t="s">
        <v>2881</v>
      </c>
      <c r="FOT1337" s="4" t="s">
        <v>2881</v>
      </c>
      <c r="FOU1337" s="4" t="s">
        <v>2881</v>
      </c>
      <c r="FOV1337" s="4" t="s">
        <v>2881</v>
      </c>
      <c r="FOW1337" s="4" t="s">
        <v>2881</v>
      </c>
      <c r="FOX1337" s="4" t="s">
        <v>2881</v>
      </c>
      <c r="FOY1337" s="4" t="s">
        <v>2881</v>
      </c>
      <c r="FOZ1337" s="4" t="s">
        <v>2881</v>
      </c>
      <c r="FPA1337" s="4" t="s">
        <v>2881</v>
      </c>
      <c r="FPB1337" s="4" t="s">
        <v>2881</v>
      </c>
      <c r="FPC1337" s="4" t="s">
        <v>2881</v>
      </c>
      <c r="FPD1337" s="4" t="s">
        <v>2881</v>
      </c>
      <c r="FPE1337" s="4" t="s">
        <v>2881</v>
      </c>
      <c r="FPF1337" s="4" t="s">
        <v>2881</v>
      </c>
      <c r="FPG1337" s="4" t="s">
        <v>2881</v>
      </c>
      <c r="FPH1337" s="4" t="s">
        <v>2881</v>
      </c>
      <c r="FPI1337" s="4" t="s">
        <v>2881</v>
      </c>
      <c r="FPJ1337" s="4" t="s">
        <v>2881</v>
      </c>
      <c r="FPK1337" s="4" t="s">
        <v>2881</v>
      </c>
      <c r="FPL1337" s="4" t="s">
        <v>2881</v>
      </c>
      <c r="FPM1337" s="4" t="s">
        <v>2881</v>
      </c>
      <c r="FPN1337" s="4" t="s">
        <v>2881</v>
      </c>
      <c r="FPO1337" s="4" t="s">
        <v>2881</v>
      </c>
      <c r="FPP1337" s="4" t="s">
        <v>2881</v>
      </c>
      <c r="FPQ1337" s="4" t="s">
        <v>2881</v>
      </c>
      <c r="FPR1337" s="4" t="s">
        <v>2881</v>
      </c>
      <c r="FPS1337" s="4" t="s">
        <v>2881</v>
      </c>
      <c r="FPT1337" s="4" t="s">
        <v>2881</v>
      </c>
      <c r="FPU1337" s="4" t="s">
        <v>2881</v>
      </c>
      <c r="FPV1337" s="4" t="s">
        <v>2881</v>
      </c>
      <c r="FPW1337" s="4" t="s">
        <v>2881</v>
      </c>
      <c r="FPX1337" s="4" t="s">
        <v>2881</v>
      </c>
      <c r="FPY1337" s="4" t="s">
        <v>2881</v>
      </c>
      <c r="FPZ1337" s="4" t="s">
        <v>2881</v>
      </c>
      <c r="FQA1337" s="4" t="s">
        <v>2881</v>
      </c>
      <c r="FQB1337" s="4" t="s">
        <v>2881</v>
      </c>
      <c r="FQC1337" s="4" t="s">
        <v>2881</v>
      </c>
      <c r="FQD1337" s="4" t="s">
        <v>2881</v>
      </c>
      <c r="FQE1337" s="4" t="s">
        <v>2881</v>
      </c>
      <c r="FQF1337" s="4" t="s">
        <v>2881</v>
      </c>
      <c r="FQG1337" s="4" t="s">
        <v>2881</v>
      </c>
      <c r="FQH1337" s="4" t="s">
        <v>2881</v>
      </c>
      <c r="FQI1337" s="4" t="s">
        <v>2881</v>
      </c>
      <c r="FQJ1337" s="4" t="s">
        <v>2881</v>
      </c>
      <c r="FQK1337" s="4" t="s">
        <v>2881</v>
      </c>
      <c r="FQL1337" s="4" t="s">
        <v>2881</v>
      </c>
      <c r="FQM1337" s="4" t="s">
        <v>2881</v>
      </c>
      <c r="FQN1337" s="4" t="s">
        <v>2881</v>
      </c>
      <c r="FQO1337" s="4" t="s">
        <v>2881</v>
      </c>
      <c r="FQP1337" s="4" t="s">
        <v>2881</v>
      </c>
      <c r="FQQ1337" s="4" t="s">
        <v>2881</v>
      </c>
      <c r="FQR1337" s="4" t="s">
        <v>2881</v>
      </c>
      <c r="FQS1337" s="4" t="s">
        <v>2881</v>
      </c>
      <c r="FQT1337" s="4" t="s">
        <v>2881</v>
      </c>
      <c r="FQU1337" s="4" t="s">
        <v>2881</v>
      </c>
      <c r="FQV1337" s="4" t="s">
        <v>2881</v>
      </c>
      <c r="FQW1337" s="4" t="s">
        <v>2881</v>
      </c>
      <c r="FQX1337" s="4" t="s">
        <v>2881</v>
      </c>
      <c r="FQY1337" s="4" t="s">
        <v>2881</v>
      </c>
      <c r="FQZ1337" s="4" t="s">
        <v>2881</v>
      </c>
      <c r="FRA1337" s="4" t="s">
        <v>2881</v>
      </c>
      <c r="FRB1337" s="4" t="s">
        <v>2881</v>
      </c>
      <c r="FRC1337" s="4" t="s">
        <v>2881</v>
      </c>
      <c r="FRD1337" s="4" t="s">
        <v>2881</v>
      </c>
      <c r="FRE1337" s="4" t="s">
        <v>2881</v>
      </c>
      <c r="FRF1337" s="4" t="s">
        <v>2881</v>
      </c>
      <c r="FRG1337" s="4" t="s">
        <v>2881</v>
      </c>
      <c r="FRH1337" s="4" t="s">
        <v>2881</v>
      </c>
      <c r="FRI1337" s="4" t="s">
        <v>2881</v>
      </c>
      <c r="FRJ1337" s="4" t="s">
        <v>2881</v>
      </c>
      <c r="FRK1337" s="4" t="s">
        <v>2881</v>
      </c>
      <c r="FRL1337" s="4" t="s">
        <v>2881</v>
      </c>
      <c r="FRM1337" s="4" t="s">
        <v>2881</v>
      </c>
      <c r="FRN1337" s="4" t="s">
        <v>2881</v>
      </c>
      <c r="FRO1337" s="4" t="s">
        <v>2881</v>
      </c>
      <c r="FRP1337" s="4" t="s">
        <v>2881</v>
      </c>
      <c r="FRQ1337" s="4" t="s">
        <v>2881</v>
      </c>
      <c r="FRR1337" s="4" t="s">
        <v>2881</v>
      </c>
      <c r="FRS1337" s="4" t="s">
        <v>2881</v>
      </c>
      <c r="FRT1337" s="4" t="s">
        <v>2881</v>
      </c>
      <c r="FRU1337" s="4" t="s">
        <v>2881</v>
      </c>
      <c r="FRV1337" s="4" t="s">
        <v>2881</v>
      </c>
      <c r="FRW1337" s="4" t="s">
        <v>2881</v>
      </c>
      <c r="FRX1337" s="4" t="s">
        <v>2881</v>
      </c>
      <c r="FRY1337" s="4" t="s">
        <v>2881</v>
      </c>
      <c r="FRZ1337" s="4" t="s">
        <v>2881</v>
      </c>
      <c r="FSA1337" s="4" t="s">
        <v>2881</v>
      </c>
      <c r="FSB1337" s="4" t="s">
        <v>2881</v>
      </c>
      <c r="FSC1337" s="4" t="s">
        <v>2881</v>
      </c>
      <c r="FSD1337" s="4" t="s">
        <v>2881</v>
      </c>
      <c r="FSE1337" s="4" t="s">
        <v>2881</v>
      </c>
      <c r="FSF1337" s="4" t="s">
        <v>2881</v>
      </c>
      <c r="FSG1337" s="4" t="s">
        <v>2881</v>
      </c>
      <c r="FSH1337" s="4" t="s">
        <v>2881</v>
      </c>
      <c r="FSI1337" s="4" t="s">
        <v>2881</v>
      </c>
      <c r="FSJ1337" s="4" t="s">
        <v>2881</v>
      </c>
      <c r="FSK1337" s="4" t="s">
        <v>2881</v>
      </c>
      <c r="FSL1337" s="4" t="s">
        <v>2881</v>
      </c>
      <c r="FSM1337" s="4" t="s">
        <v>2881</v>
      </c>
      <c r="FSN1337" s="4" t="s">
        <v>2881</v>
      </c>
      <c r="FSO1337" s="4" t="s">
        <v>2881</v>
      </c>
      <c r="FSP1337" s="4" t="s">
        <v>2881</v>
      </c>
      <c r="FSQ1337" s="4" t="s">
        <v>2881</v>
      </c>
      <c r="FSR1337" s="4" t="s">
        <v>2881</v>
      </c>
      <c r="FSS1337" s="4" t="s">
        <v>2881</v>
      </c>
      <c r="FST1337" s="4" t="s">
        <v>2881</v>
      </c>
      <c r="FSU1337" s="4" t="s">
        <v>2881</v>
      </c>
      <c r="FSV1337" s="4" t="s">
        <v>2881</v>
      </c>
      <c r="FSW1337" s="4" t="s">
        <v>2881</v>
      </c>
      <c r="FSX1337" s="4" t="s">
        <v>2881</v>
      </c>
      <c r="FSY1337" s="4" t="s">
        <v>2881</v>
      </c>
      <c r="FSZ1337" s="4" t="s">
        <v>2881</v>
      </c>
      <c r="FTA1337" s="4" t="s">
        <v>2881</v>
      </c>
      <c r="FTB1337" s="4" t="s">
        <v>2881</v>
      </c>
      <c r="FTC1337" s="4" t="s">
        <v>2881</v>
      </c>
      <c r="FTD1337" s="4" t="s">
        <v>2881</v>
      </c>
      <c r="FTE1337" s="4" t="s">
        <v>2881</v>
      </c>
      <c r="FTF1337" s="4" t="s">
        <v>2881</v>
      </c>
      <c r="FTG1337" s="4" t="s">
        <v>2881</v>
      </c>
      <c r="FTH1337" s="4" t="s">
        <v>2881</v>
      </c>
      <c r="FTI1337" s="4" t="s">
        <v>2881</v>
      </c>
      <c r="FTJ1337" s="4" t="s">
        <v>2881</v>
      </c>
      <c r="FTK1337" s="4" t="s">
        <v>2881</v>
      </c>
      <c r="FTL1337" s="4" t="s">
        <v>2881</v>
      </c>
      <c r="FTM1337" s="4" t="s">
        <v>2881</v>
      </c>
      <c r="FTN1337" s="4" t="s">
        <v>2881</v>
      </c>
      <c r="FTO1337" s="4" t="s">
        <v>2881</v>
      </c>
      <c r="FTP1337" s="4" t="s">
        <v>2881</v>
      </c>
      <c r="FTQ1337" s="4" t="s">
        <v>2881</v>
      </c>
      <c r="FTR1337" s="4" t="s">
        <v>2881</v>
      </c>
      <c r="FTS1337" s="4" t="s">
        <v>2881</v>
      </c>
      <c r="FTT1337" s="4" t="s">
        <v>2881</v>
      </c>
      <c r="FTU1337" s="4" t="s">
        <v>2881</v>
      </c>
      <c r="FTV1337" s="4" t="s">
        <v>2881</v>
      </c>
      <c r="FTW1337" s="4" t="s">
        <v>2881</v>
      </c>
      <c r="FTX1337" s="4" t="s">
        <v>2881</v>
      </c>
      <c r="FTY1337" s="4" t="s">
        <v>2881</v>
      </c>
      <c r="FTZ1337" s="4" t="s">
        <v>2881</v>
      </c>
      <c r="FUA1337" s="4" t="s">
        <v>2881</v>
      </c>
      <c r="FUB1337" s="4" t="s">
        <v>2881</v>
      </c>
      <c r="FUC1337" s="4" t="s">
        <v>2881</v>
      </c>
      <c r="FUD1337" s="4" t="s">
        <v>2881</v>
      </c>
      <c r="FUE1337" s="4" t="s">
        <v>2881</v>
      </c>
      <c r="FUF1337" s="4" t="s">
        <v>2881</v>
      </c>
      <c r="FUG1337" s="4" t="s">
        <v>2881</v>
      </c>
      <c r="FUH1337" s="4" t="s">
        <v>2881</v>
      </c>
      <c r="FUI1337" s="4" t="s">
        <v>2881</v>
      </c>
      <c r="FUJ1337" s="4" t="s">
        <v>2881</v>
      </c>
      <c r="FUK1337" s="4" t="s">
        <v>2881</v>
      </c>
      <c r="FUL1337" s="4" t="s">
        <v>2881</v>
      </c>
      <c r="FUM1337" s="4" t="s">
        <v>2881</v>
      </c>
      <c r="FUN1337" s="4" t="s">
        <v>2881</v>
      </c>
      <c r="FUO1337" s="4" t="s">
        <v>2881</v>
      </c>
      <c r="FUP1337" s="4" t="s">
        <v>2881</v>
      </c>
      <c r="FUQ1337" s="4" t="s">
        <v>2881</v>
      </c>
      <c r="FUR1337" s="4" t="s">
        <v>2881</v>
      </c>
      <c r="FUS1337" s="4" t="s">
        <v>2881</v>
      </c>
      <c r="FUT1337" s="4" t="s">
        <v>2881</v>
      </c>
      <c r="FUU1337" s="4" t="s">
        <v>2881</v>
      </c>
      <c r="FUV1337" s="4" t="s">
        <v>2881</v>
      </c>
      <c r="FUW1337" s="4" t="s">
        <v>2881</v>
      </c>
      <c r="FUX1337" s="4" t="s">
        <v>2881</v>
      </c>
      <c r="FUY1337" s="4" t="s">
        <v>2881</v>
      </c>
      <c r="FUZ1337" s="4" t="s">
        <v>2881</v>
      </c>
      <c r="FVA1337" s="4" t="s">
        <v>2881</v>
      </c>
      <c r="FVB1337" s="4" t="s">
        <v>2881</v>
      </c>
      <c r="FVC1337" s="4" t="s">
        <v>2881</v>
      </c>
      <c r="FVD1337" s="4" t="s">
        <v>2881</v>
      </c>
      <c r="FVE1337" s="4" t="s">
        <v>2881</v>
      </c>
      <c r="FVF1337" s="4" t="s">
        <v>2881</v>
      </c>
      <c r="FVG1337" s="4" t="s">
        <v>2881</v>
      </c>
      <c r="FVH1337" s="4" t="s">
        <v>2881</v>
      </c>
      <c r="FVI1337" s="4" t="s">
        <v>2881</v>
      </c>
      <c r="FVJ1337" s="4" t="s">
        <v>2881</v>
      </c>
      <c r="FVK1337" s="4" t="s">
        <v>2881</v>
      </c>
      <c r="FVL1337" s="4" t="s">
        <v>2881</v>
      </c>
      <c r="FVM1337" s="4" t="s">
        <v>2881</v>
      </c>
      <c r="FVN1337" s="4" t="s">
        <v>2881</v>
      </c>
      <c r="FVO1337" s="4" t="s">
        <v>2881</v>
      </c>
      <c r="FVP1337" s="4" t="s">
        <v>2881</v>
      </c>
      <c r="FVQ1337" s="4" t="s">
        <v>2881</v>
      </c>
      <c r="FVR1337" s="4" t="s">
        <v>2881</v>
      </c>
      <c r="FVS1337" s="4" t="s">
        <v>2881</v>
      </c>
      <c r="FVT1337" s="4" t="s">
        <v>2881</v>
      </c>
      <c r="FVU1337" s="4" t="s">
        <v>2881</v>
      </c>
      <c r="FVV1337" s="4" t="s">
        <v>2881</v>
      </c>
      <c r="FVW1337" s="4" t="s">
        <v>2881</v>
      </c>
      <c r="FVX1337" s="4" t="s">
        <v>2881</v>
      </c>
      <c r="FVY1337" s="4" t="s">
        <v>2881</v>
      </c>
      <c r="FVZ1337" s="4" t="s">
        <v>2881</v>
      </c>
      <c r="FWA1337" s="4" t="s">
        <v>2881</v>
      </c>
      <c r="FWB1337" s="4" t="s">
        <v>2881</v>
      </c>
      <c r="FWC1337" s="4" t="s">
        <v>2881</v>
      </c>
      <c r="FWD1337" s="4" t="s">
        <v>2881</v>
      </c>
      <c r="FWE1337" s="4" t="s">
        <v>2881</v>
      </c>
      <c r="FWF1337" s="4" t="s">
        <v>2881</v>
      </c>
      <c r="FWG1337" s="4" t="s">
        <v>2881</v>
      </c>
      <c r="FWH1337" s="4" t="s">
        <v>2881</v>
      </c>
      <c r="FWI1337" s="4" t="s">
        <v>2881</v>
      </c>
      <c r="FWJ1337" s="4" t="s">
        <v>2881</v>
      </c>
      <c r="FWK1337" s="4" t="s">
        <v>2881</v>
      </c>
      <c r="FWL1337" s="4" t="s">
        <v>2881</v>
      </c>
      <c r="FWM1337" s="4" t="s">
        <v>2881</v>
      </c>
      <c r="FWN1337" s="4" t="s">
        <v>2881</v>
      </c>
      <c r="FWO1337" s="4" t="s">
        <v>2881</v>
      </c>
      <c r="FWP1337" s="4" t="s">
        <v>2881</v>
      </c>
      <c r="FWQ1337" s="4" t="s">
        <v>2881</v>
      </c>
      <c r="FWR1337" s="4" t="s">
        <v>2881</v>
      </c>
      <c r="FWS1337" s="4" t="s">
        <v>2881</v>
      </c>
      <c r="FWT1337" s="4" t="s">
        <v>2881</v>
      </c>
      <c r="FWU1337" s="4" t="s">
        <v>2881</v>
      </c>
      <c r="FWV1337" s="4" t="s">
        <v>2881</v>
      </c>
      <c r="FWW1337" s="4" t="s">
        <v>2881</v>
      </c>
      <c r="FWX1337" s="4" t="s">
        <v>2881</v>
      </c>
      <c r="FWY1337" s="4" t="s">
        <v>2881</v>
      </c>
      <c r="FWZ1337" s="4" t="s">
        <v>2881</v>
      </c>
      <c r="FXA1337" s="4" t="s">
        <v>2881</v>
      </c>
      <c r="FXB1337" s="4" t="s">
        <v>2881</v>
      </c>
      <c r="FXC1337" s="4" t="s">
        <v>2881</v>
      </c>
      <c r="FXD1337" s="4" t="s">
        <v>2881</v>
      </c>
      <c r="FXE1337" s="4" t="s">
        <v>2881</v>
      </c>
      <c r="FXF1337" s="4" t="s">
        <v>2881</v>
      </c>
      <c r="FXG1337" s="4" t="s">
        <v>2881</v>
      </c>
      <c r="FXH1337" s="4" t="s">
        <v>2881</v>
      </c>
      <c r="FXI1337" s="4" t="s">
        <v>2881</v>
      </c>
      <c r="FXJ1337" s="4" t="s">
        <v>2881</v>
      </c>
      <c r="FXK1337" s="4" t="s">
        <v>2881</v>
      </c>
      <c r="FXL1337" s="4" t="s">
        <v>2881</v>
      </c>
      <c r="FXM1337" s="4" t="s">
        <v>2881</v>
      </c>
      <c r="FXN1337" s="4" t="s">
        <v>2881</v>
      </c>
      <c r="FXO1337" s="4" t="s">
        <v>2881</v>
      </c>
      <c r="FXP1337" s="4" t="s">
        <v>2881</v>
      </c>
      <c r="FXQ1337" s="4" t="s">
        <v>2881</v>
      </c>
      <c r="FXR1337" s="4" t="s">
        <v>2881</v>
      </c>
      <c r="FXS1337" s="4" t="s">
        <v>2881</v>
      </c>
      <c r="FXT1337" s="4" t="s">
        <v>2881</v>
      </c>
      <c r="FXU1337" s="4" t="s">
        <v>2881</v>
      </c>
      <c r="FXV1337" s="4" t="s">
        <v>2881</v>
      </c>
      <c r="FXW1337" s="4" t="s">
        <v>2881</v>
      </c>
      <c r="FXX1337" s="4" t="s">
        <v>2881</v>
      </c>
      <c r="FXY1337" s="4" t="s">
        <v>2881</v>
      </c>
      <c r="FXZ1337" s="4" t="s">
        <v>2881</v>
      </c>
      <c r="FYA1337" s="4" t="s">
        <v>2881</v>
      </c>
      <c r="FYB1337" s="4" t="s">
        <v>2881</v>
      </c>
      <c r="FYC1337" s="4" t="s">
        <v>2881</v>
      </c>
      <c r="FYD1337" s="4" t="s">
        <v>2881</v>
      </c>
      <c r="FYE1337" s="4" t="s">
        <v>2881</v>
      </c>
      <c r="FYF1337" s="4" t="s">
        <v>2881</v>
      </c>
      <c r="FYG1337" s="4" t="s">
        <v>2881</v>
      </c>
      <c r="FYH1337" s="4" t="s">
        <v>2881</v>
      </c>
      <c r="FYI1337" s="4" t="s">
        <v>2881</v>
      </c>
      <c r="FYJ1337" s="4" t="s">
        <v>2881</v>
      </c>
      <c r="FYK1337" s="4" t="s">
        <v>2881</v>
      </c>
      <c r="FYL1337" s="4" t="s">
        <v>2881</v>
      </c>
      <c r="FYM1337" s="4" t="s">
        <v>2881</v>
      </c>
      <c r="FYN1337" s="4" t="s">
        <v>2881</v>
      </c>
      <c r="FYO1337" s="4" t="s">
        <v>2881</v>
      </c>
      <c r="FYP1337" s="4" t="s">
        <v>2881</v>
      </c>
      <c r="FYQ1337" s="4" t="s">
        <v>2881</v>
      </c>
      <c r="FYR1337" s="4" t="s">
        <v>2881</v>
      </c>
      <c r="FYS1337" s="4" t="s">
        <v>2881</v>
      </c>
      <c r="FYT1337" s="4" t="s">
        <v>2881</v>
      </c>
      <c r="FYU1337" s="4" t="s">
        <v>2881</v>
      </c>
      <c r="FYV1337" s="4" t="s">
        <v>2881</v>
      </c>
      <c r="FYW1337" s="4" t="s">
        <v>2881</v>
      </c>
      <c r="FYX1337" s="4" t="s">
        <v>2881</v>
      </c>
      <c r="FYY1337" s="4" t="s">
        <v>2881</v>
      </c>
      <c r="FYZ1337" s="4" t="s">
        <v>2881</v>
      </c>
      <c r="FZA1337" s="4" t="s">
        <v>2881</v>
      </c>
      <c r="FZB1337" s="4" t="s">
        <v>2881</v>
      </c>
      <c r="FZC1337" s="4" t="s">
        <v>2881</v>
      </c>
      <c r="FZD1337" s="4" t="s">
        <v>2881</v>
      </c>
      <c r="FZE1337" s="4" t="s">
        <v>2881</v>
      </c>
      <c r="FZF1337" s="4" t="s">
        <v>2881</v>
      </c>
      <c r="FZG1337" s="4" t="s">
        <v>2881</v>
      </c>
      <c r="FZH1337" s="4" t="s">
        <v>2881</v>
      </c>
      <c r="FZI1337" s="4" t="s">
        <v>2881</v>
      </c>
      <c r="FZJ1337" s="4" t="s">
        <v>2881</v>
      </c>
      <c r="FZK1337" s="4" t="s">
        <v>2881</v>
      </c>
      <c r="FZL1337" s="4" t="s">
        <v>2881</v>
      </c>
      <c r="FZM1337" s="4" t="s">
        <v>2881</v>
      </c>
      <c r="FZN1337" s="4" t="s">
        <v>2881</v>
      </c>
      <c r="FZO1337" s="4" t="s">
        <v>2881</v>
      </c>
      <c r="FZP1337" s="4" t="s">
        <v>2881</v>
      </c>
      <c r="FZQ1337" s="4" t="s">
        <v>2881</v>
      </c>
      <c r="FZR1337" s="4" t="s">
        <v>2881</v>
      </c>
      <c r="FZS1337" s="4" t="s">
        <v>2881</v>
      </c>
      <c r="FZT1337" s="4" t="s">
        <v>2881</v>
      </c>
      <c r="FZU1337" s="4" t="s">
        <v>2881</v>
      </c>
      <c r="FZV1337" s="4" t="s">
        <v>2881</v>
      </c>
      <c r="FZW1337" s="4" t="s">
        <v>2881</v>
      </c>
      <c r="FZX1337" s="4" t="s">
        <v>2881</v>
      </c>
      <c r="FZY1337" s="4" t="s">
        <v>2881</v>
      </c>
      <c r="FZZ1337" s="4" t="s">
        <v>2881</v>
      </c>
      <c r="GAA1337" s="4" t="s">
        <v>2881</v>
      </c>
      <c r="GAB1337" s="4" t="s">
        <v>2881</v>
      </c>
      <c r="GAC1337" s="4" t="s">
        <v>2881</v>
      </c>
      <c r="GAD1337" s="4" t="s">
        <v>2881</v>
      </c>
      <c r="GAE1337" s="4" t="s">
        <v>2881</v>
      </c>
      <c r="GAF1337" s="4" t="s">
        <v>2881</v>
      </c>
      <c r="GAG1337" s="4" t="s">
        <v>2881</v>
      </c>
      <c r="GAH1337" s="4" t="s">
        <v>2881</v>
      </c>
      <c r="GAI1337" s="4" t="s">
        <v>2881</v>
      </c>
      <c r="GAJ1337" s="4" t="s">
        <v>2881</v>
      </c>
      <c r="GAK1337" s="4" t="s">
        <v>2881</v>
      </c>
      <c r="GAL1337" s="4" t="s">
        <v>2881</v>
      </c>
      <c r="GAM1337" s="4" t="s">
        <v>2881</v>
      </c>
      <c r="GAN1337" s="4" t="s">
        <v>2881</v>
      </c>
      <c r="GAO1337" s="4" t="s">
        <v>2881</v>
      </c>
      <c r="GAP1337" s="4" t="s">
        <v>2881</v>
      </c>
      <c r="GAQ1337" s="4" t="s">
        <v>2881</v>
      </c>
      <c r="GAR1337" s="4" t="s">
        <v>2881</v>
      </c>
      <c r="GAS1337" s="4" t="s">
        <v>2881</v>
      </c>
      <c r="GAT1337" s="4" t="s">
        <v>2881</v>
      </c>
      <c r="GAU1337" s="4" t="s">
        <v>2881</v>
      </c>
      <c r="GAV1337" s="4" t="s">
        <v>2881</v>
      </c>
      <c r="GAW1337" s="4" t="s">
        <v>2881</v>
      </c>
      <c r="GAX1337" s="4" t="s">
        <v>2881</v>
      </c>
      <c r="GAY1337" s="4" t="s">
        <v>2881</v>
      </c>
      <c r="GAZ1337" s="4" t="s">
        <v>2881</v>
      </c>
      <c r="GBA1337" s="4" t="s">
        <v>2881</v>
      </c>
      <c r="GBB1337" s="4" t="s">
        <v>2881</v>
      </c>
      <c r="GBC1337" s="4" t="s">
        <v>2881</v>
      </c>
      <c r="GBD1337" s="4" t="s">
        <v>2881</v>
      </c>
      <c r="GBE1337" s="4" t="s">
        <v>2881</v>
      </c>
      <c r="GBF1337" s="4" t="s">
        <v>2881</v>
      </c>
      <c r="GBG1337" s="4" t="s">
        <v>2881</v>
      </c>
      <c r="GBH1337" s="4" t="s">
        <v>2881</v>
      </c>
      <c r="GBI1337" s="4" t="s">
        <v>2881</v>
      </c>
      <c r="GBJ1337" s="4" t="s">
        <v>2881</v>
      </c>
      <c r="GBK1337" s="4" t="s">
        <v>2881</v>
      </c>
      <c r="GBL1337" s="4" t="s">
        <v>2881</v>
      </c>
      <c r="GBM1337" s="4" t="s">
        <v>2881</v>
      </c>
      <c r="GBN1337" s="4" t="s">
        <v>2881</v>
      </c>
      <c r="GBO1337" s="4" t="s">
        <v>2881</v>
      </c>
      <c r="GBP1337" s="4" t="s">
        <v>2881</v>
      </c>
      <c r="GBQ1337" s="4" t="s">
        <v>2881</v>
      </c>
      <c r="GBR1337" s="4" t="s">
        <v>2881</v>
      </c>
      <c r="GBS1337" s="4" t="s">
        <v>2881</v>
      </c>
      <c r="GBT1337" s="4" t="s">
        <v>2881</v>
      </c>
      <c r="GBU1337" s="4" t="s">
        <v>2881</v>
      </c>
      <c r="GBV1337" s="4" t="s">
        <v>2881</v>
      </c>
      <c r="GBW1337" s="4" t="s">
        <v>2881</v>
      </c>
      <c r="GBX1337" s="4" t="s">
        <v>2881</v>
      </c>
      <c r="GBY1337" s="4" t="s">
        <v>2881</v>
      </c>
      <c r="GBZ1337" s="4" t="s">
        <v>2881</v>
      </c>
      <c r="GCA1337" s="4" t="s">
        <v>2881</v>
      </c>
      <c r="GCB1337" s="4" t="s">
        <v>2881</v>
      </c>
      <c r="GCC1337" s="4" t="s">
        <v>2881</v>
      </c>
      <c r="GCD1337" s="4" t="s">
        <v>2881</v>
      </c>
      <c r="GCE1337" s="4" t="s">
        <v>2881</v>
      </c>
      <c r="GCF1337" s="4" t="s">
        <v>2881</v>
      </c>
      <c r="GCG1337" s="4" t="s">
        <v>2881</v>
      </c>
      <c r="GCH1337" s="4" t="s">
        <v>2881</v>
      </c>
      <c r="GCI1337" s="4" t="s">
        <v>2881</v>
      </c>
      <c r="GCJ1337" s="4" t="s">
        <v>2881</v>
      </c>
      <c r="GCK1337" s="4" t="s">
        <v>2881</v>
      </c>
      <c r="GCL1337" s="4" t="s">
        <v>2881</v>
      </c>
      <c r="GCM1337" s="4" t="s">
        <v>2881</v>
      </c>
      <c r="GCN1337" s="4" t="s">
        <v>2881</v>
      </c>
      <c r="GCO1337" s="4" t="s">
        <v>2881</v>
      </c>
      <c r="GCP1337" s="4" t="s">
        <v>2881</v>
      </c>
      <c r="GCQ1337" s="4" t="s">
        <v>2881</v>
      </c>
      <c r="GCR1337" s="4" t="s">
        <v>2881</v>
      </c>
      <c r="GCS1337" s="4" t="s">
        <v>2881</v>
      </c>
      <c r="GCT1337" s="4" t="s">
        <v>2881</v>
      </c>
      <c r="GCU1337" s="4" t="s">
        <v>2881</v>
      </c>
      <c r="GCV1337" s="4" t="s">
        <v>2881</v>
      </c>
      <c r="GCW1337" s="4" t="s">
        <v>2881</v>
      </c>
      <c r="GCX1337" s="4" t="s">
        <v>2881</v>
      </c>
      <c r="GCY1337" s="4" t="s">
        <v>2881</v>
      </c>
      <c r="GCZ1337" s="4" t="s">
        <v>2881</v>
      </c>
      <c r="GDA1337" s="4" t="s">
        <v>2881</v>
      </c>
      <c r="GDB1337" s="4" t="s">
        <v>2881</v>
      </c>
      <c r="GDC1337" s="4" t="s">
        <v>2881</v>
      </c>
      <c r="GDD1337" s="4" t="s">
        <v>2881</v>
      </c>
      <c r="GDE1337" s="4" t="s">
        <v>2881</v>
      </c>
      <c r="GDF1337" s="4" t="s">
        <v>2881</v>
      </c>
      <c r="GDG1337" s="4" t="s">
        <v>2881</v>
      </c>
      <c r="GDH1337" s="4" t="s">
        <v>2881</v>
      </c>
      <c r="GDI1337" s="4" t="s">
        <v>2881</v>
      </c>
      <c r="GDJ1337" s="4" t="s">
        <v>2881</v>
      </c>
      <c r="GDK1337" s="4" t="s">
        <v>2881</v>
      </c>
      <c r="GDL1337" s="4" t="s">
        <v>2881</v>
      </c>
      <c r="GDM1337" s="4" t="s">
        <v>2881</v>
      </c>
      <c r="GDN1337" s="4" t="s">
        <v>2881</v>
      </c>
      <c r="GDO1337" s="4" t="s">
        <v>2881</v>
      </c>
      <c r="GDP1337" s="4" t="s">
        <v>2881</v>
      </c>
      <c r="GDQ1337" s="4" t="s">
        <v>2881</v>
      </c>
      <c r="GDR1337" s="4" t="s">
        <v>2881</v>
      </c>
      <c r="GDS1337" s="4" t="s">
        <v>2881</v>
      </c>
      <c r="GDT1337" s="4" t="s">
        <v>2881</v>
      </c>
      <c r="GDU1337" s="4" t="s">
        <v>2881</v>
      </c>
      <c r="GDV1337" s="4" t="s">
        <v>2881</v>
      </c>
      <c r="GDW1337" s="4" t="s">
        <v>2881</v>
      </c>
      <c r="GDX1337" s="4" t="s">
        <v>2881</v>
      </c>
      <c r="GDY1337" s="4" t="s">
        <v>2881</v>
      </c>
      <c r="GDZ1337" s="4" t="s">
        <v>2881</v>
      </c>
      <c r="GEA1337" s="4" t="s">
        <v>2881</v>
      </c>
      <c r="GEB1337" s="4" t="s">
        <v>2881</v>
      </c>
      <c r="GEC1337" s="4" t="s">
        <v>2881</v>
      </c>
      <c r="GED1337" s="4" t="s">
        <v>2881</v>
      </c>
      <c r="GEE1337" s="4" t="s">
        <v>2881</v>
      </c>
      <c r="GEF1337" s="4" t="s">
        <v>2881</v>
      </c>
      <c r="GEG1337" s="4" t="s">
        <v>2881</v>
      </c>
      <c r="GEH1337" s="4" t="s">
        <v>2881</v>
      </c>
      <c r="GEI1337" s="4" t="s">
        <v>2881</v>
      </c>
      <c r="GEJ1337" s="4" t="s">
        <v>2881</v>
      </c>
      <c r="GEK1337" s="4" t="s">
        <v>2881</v>
      </c>
      <c r="GEL1337" s="4" t="s">
        <v>2881</v>
      </c>
      <c r="GEM1337" s="4" t="s">
        <v>2881</v>
      </c>
      <c r="GEN1337" s="4" t="s">
        <v>2881</v>
      </c>
      <c r="GEO1337" s="4" t="s">
        <v>2881</v>
      </c>
      <c r="GEP1337" s="4" t="s">
        <v>2881</v>
      </c>
      <c r="GEQ1337" s="4" t="s">
        <v>2881</v>
      </c>
      <c r="GER1337" s="4" t="s">
        <v>2881</v>
      </c>
      <c r="GES1337" s="4" t="s">
        <v>2881</v>
      </c>
      <c r="GET1337" s="4" t="s">
        <v>2881</v>
      </c>
      <c r="GEU1337" s="4" t="s">
        <v>2881</v>
      </c>
      <c r="GEV1337" s="4" t="s">
        <v>2881</v>
      </c>
      <c r="GEW1337" s="4" t="s">
        <v>2881</v>
      </c>
      <c r="GEX1337" s="4" t="s">
        <v>2881</v>
      </c>
      <c r="GEY1337" s="4" t="s">
        <v>2881</v>
      </c>
      <c r="GEZ1337" s="4" t="s">
        <v>2881</v>
      </c>
      <c r="GFA1337" s="4" t="s">
        <v>2881</v>
      </c>
      <c r="GFB1337" s="4" t="s">
        <v>2881</v>
      </c>
      <c r="GFC1337" s="4" t="s">
        <v>2881</v>
      </c>
      <c r="GFD1337" s="4" t="s">
        <v>2881</v>
      </c>
      <c r="GFE1337" s="4" t="s">
        <v>2881</v>
      </c>
      <c r="GFF1337" s="4" t="s">
        <v>2881</v>
      </c>
      <c r="GFG1337" s="4" t="s">
        <v>2881</v>
      </c>
      <c r="GFH1337" s="4" t="s">
        <v>2881</v>
      </c>
      <c r="GFI1337" s="4" t="s">
        <v>2881</v>
      </c>
      <c r="GFJ1337" s="4" t="s">
        <v>2881</v>
      </c>
      <c r="GFK1337" s="4" t="s">
        <v>2881</v>
      </c>
      <c r="GFL1337" s="4" t="s">
        <v>2881</v>
      </c>
      <c r="GFM1337" s="4" t="s">
        <v>2881</v>
      </c>
      <c r="GFN1337" s="4" t="s">
        <v>2881</v>
      </c>
      <c r="GFO1337" s="4" t="s">
        <v>2881</v>
      </c>
      <c r="GFP1337" s="4" t="s">
        <v>2881</v>
      </c>
      <c r="GFQ1337" s="4" t="s">
        <v>2881</v>
      </c>
      <c r="GFR1337" s="4" t="s">
        <v>2881</v>
      </c>
      <c r="GFS1337" s="4" t="s">
        <v>2881</v>
      </c>
      <c r="GFT1337" s="4" t="s">
        <v>2881</v>
      </c>
      <c r="GFU1337" s="4" t="s">
        <v>2881</v>
      </c>
      <c r="GFV1337" s="4" t="s">
        <v>2881</v>
      </c>
      <c r="GFW1337" s="4" t="s">
        <v>2881</v>
      </c>
      <c r="GFX1337" s="4" t="s">
        <v>2881</v>
      </c>
      <c r="GFY1337" s="4" t="s">
        <v>2881</v>
      </c>
      <c r="GFZ1337" s="4" t="s">
        <v>2881</v>
      </c>
      <c r="GGA1337" s="4" t="s">
        <v>2881</v>
      </c>
      <c r="GGB1337" s="4" t="s">
        <v>2881</v>
      </c>
      <c r="GGC1337" s="4" t="s">
        <v>2881</v>
      </c>
      <c r="GGD1337" s="4" t="s">
        <v>2881</v>
      </c>
      <c r="GGE1337" s="4" t="s">
        <v>2881</v>
      </c>
      <c r="GGF1337" s="4" t="s">
        <v>2881</v>
      </c>
      <c r="GGG1337" s="4" t="s">
        <v>2881</v>
      </c>
      <c r="GGH1337" s="4" t="s">
        <v>2881</v>
      </c>
      <c r="GGI1337" s="4" t="s">
        <v>2881</v>
      </c>
      <c r="GGJ1337" s="4" t="s">
        <v>2881</v>
      </c>
      <c r="GGK1337" s="4" t="s">
        <v>2881</v>
      </c>
      <c r="GGL1337" s="4" t="s">
        <v>2881</v>
      </c>
      <c r="GGM1337" s="4" t="s">
        <v>2881</v>
      </c>
      <c r="GGN1337" s="4" t="s">
        <v>2881</v>
      </c>
      <c r="GGO1337" s="4" t="s">
        <v>2881</v>
      </c>
      <c r="GGP1337" s="4" t="s">
        <v>2881</v>
      </c>
      <c r="GGQ1337" s="4" t="s">
        <v>2881</v>
      </c>
      <c r="GGR1337" s="4" t="s">
        <v>2881</v>
      </c>
      <c r="GGS1337" s="4" t="s">
        <v>2881</v>
      </c>
      <c r="GGT1337" s="4" t="s">
        <v>2881</v>
      </c>
      <c r="GGU1337" s="4" t="s">
        <v>2881</v>
      </c>
      <c r="GGV1337" s="4" t="s">
        <v>2881</v>
      </c>
      <c r="GGW1337" s="4" t="s">
        <v>2881</v>
      </c>
      <c r="GGX1337" s="4" t="s">
        <v>2881</v>
      </c>
      <c r="GGY1337" s="4" t="s">
        <v>2881</v>
      </c>
      <c r="GGZ1337" s="4" t="s">
        <v>2881</v>
      </c>
      <c r="GHA1337" s="4" t="s">
        <v>2881</v>
      </c>
      <c r="GHB1337" s="4" t="s">
        <v>2881</v>
      </c>
      <c r="GHC1337" s="4" t="s">
        <v>2881</v>
      </c>
      <c r="GHD1337" s="4" t="s">
        <v>2881</v>
      </c>
      <c r="GHE1337" s="4" t="s">
        <v>2881</v>
      </c>
      <c r="GHF1337" s="4" t="s">
        <v>2881</v>
      </c>
      <c r="GHG1337" s="4" t="s">
        <v>2881</v>
      </c>
      <c r="GHH1337" s="4" t="s">
        <v>2881</v>
      </c>
      <c r="GHI1337" s="4" t="s">
        <v>2881</v>
      </c>
      <c r="GHJ1337" s="4" t="s">
        <v>2881</v>
      </c>
      <c r="GHK1337" s="4" t="s">
        <v>2881</v>
      </c>
      <c r="GHL1337" s="4" t="s">
        <v>2881</v>
      </c>
      <c r="GHM1337" s="4" t="s">
        <v>2881</v>
      </c>
      <c r="GHN1337" s="4" t="s">
        <v>2881</v>
      </c>
      <c r="GHO1337" s="4" t="s">
        <v>2881</v>
      </c>
      <c r="GHP1337" s="4" t="s">
        <v>2881</v>
      </c>
      <c r="GHQ1337" s="4" t="s">
        <v>2881</v>
      </c>
      <c r="GHR1337" s="4" t="s">
        <v>2881</v>
      </c>
      <c r="GHS1337" s="4" t="s">
        <v>2881</v>
      </c>
      <c r="GHT1337" s="4" t="s">
        <v>2881</v>
      </c>
      <c r="GHU1337" s="4" t="s">
        <v>2881</v>
      </c>
      <c r="GHV1337" s="4" t="s">
        <v>2881</v>
      </c>
      <c r="GHW1337" s="4" t="s">
        <v>2881</v>
      </c>
      <c r="GHX1337" s="4" t="s">
        <v>2881</v>
      </c>
      <c r="GHY1337" s="4" t="s">
        <v>2881</v>
      </c>
      <c r="GHZ1337" s="4" t="s">
        <v>2881</v>
      </c>
      <c r="GIA1337" s="4" t="s">
        <v>2881</v>
      </c>
      <c r="GIB1337" s="4" t="s">
        <v>2881</v>
      </c>
      <c r="GIC1337" s="4" t="s">
        <v>2881</v>
      </c>
      <c r="GID1337" s="4" t="s">
        <v>2881</v>
      </c>
      <c r="GIE1337" s="4" t="s">
        <v>2881</v>
      </c>
      <c r="GIF1337" s="4" t="s">
        <v>2881</v>
      </c>
      <c r="GIG1337" s="4" t="s">
        <v>2881</v>
      </c>
      <c r="GIH1337" s="4" t="s">
        <v>2881</v>
      </c>
      <c r="GII1337" s="4" t="s">
        <v>2881</v>
      </c>
      <c r="GIJ1337" s="4" t="s">
        <v>2881</v>
      </c>
      <c r="GIK1337" s="4" t="s">
        <v>2881</v>
      </c>
      <c r="GIL1337" s="4" t="s">
        <v>2881</v>
      </c>
      <c r="GIM1337" s="4" t="s">
        <v>2881</v>
      </c>
      <c r="GIN1337" s="4" t="s">
        <v>2881</v>
      </c>
      <c r="GIO1337" s="4" t="s">
        <v>2881</v>
      </c>
      <c r="GIP1337" s="4" t="s">
        <v>2881</v>
      </c>
      <c r="GIQ1337" s="4" t="s">
        <v>2881</v>
      </c>
      <c r="GIR1337" s="4" t="s">
        <v>2881</v>
      </c>
      <c r="GIS1337" s="4" t="s">
        <v>2881</v>
      </c>
      <c r="GIT1337" s="4" t="s">
        <v>2881</v>
      </c>
      <c r="GIU1337" s="4" t="s">
        <v>2881</v>
      </c>
      <c r="GIV1337" s="4" t="s">
        <v>2881</v>
      </c>
      <c r="GIW1337" s="4" t="s">
        <v>2881</v>
      </c>
      <c r="GIX1337" s="4" t="s">
        <v>2881</v>
      </c>
      <c r="GIY1337" s="4" t="s">
        <v>2881</v>
      </c>
      <c r="GIZ1337" s="4" t="s">
        <v>2881</v>
      </c>
      <c r="GJA1337" s="4" t="s">
        <v>2881</v>
      </c>
      <c r="GJB1337" s="4" t="s">
        <v>2881</v>
      </c>
      <c r="GJC1337" s="4" t="s">
        <v>2881</v>
      </c>
      <c r="GJD1337" s="4" t="s">
        <v>2881</v>
      </c>
      <c r="GJE1337" s="4" t="s">
        <v>2881</v>
      </c>
      <c r="GJF1337" s="4" t="s">
        <v>2881</v>
      </c>
      <c r="GJG1337" s="4" t="s">
        <v>2881</v>
      </c>
      <c r="GJH1337" s="4" t="s">
        <v>2881</v>
      </c>
      <c r="GJI1337" s="4" t="s">
        <v>2881</v>
      </c>
      <c r="GJJ1337" s="4" t="s">
        <v>2881</v>
      </c>
      <c r="GJK1337" s="4" t="s">
        <v>2881</v>
      </c>
      <c r="GJL1337" s="4" t="s">
        <v>2881</v>
      </c>
      <c r="GJM1337" s="4" t="s">
        <v>2881</v>
      </c>
      <c r="GJN1337" s="4" t="s">
        <v>2881</v>
      </c>
      <c r="GJO1337" s="4" t="s">
        <v>2881</v>
      </c>
      <c r="GJP1337" s="4" t="s">
        <v>2881</v>
      </c>
      <c r="GJQ1337" s="4" t="s">
        <v>2881</v>
      </c>
      <c r="GJR1337" s="4" t="s">
        <v>2881</v>
      </c>
      <c r="GJS1337" s="4" t="s">
        <v>2881</v>
      </c>
      <c r="GJT1337" s="4" t="s">
        <v>2881</v>
      </c>
      <c r="GJU1337" s="4" t="s">
        <v>2881</v>
      </c>
      <c r="GJV1337" s="4" t="s">
        <v>2881</v>
      </c>
      <c r="GJW1337" s="4" t="s">
        <v>2881</v>
      </c>
      <c r="GJX1337" s="4" t="s">
        <v>2881</v>
      </c>
      <c r="GJY1337" s="4" t="s">
        <v>2881</v>
      </c>
      <c r="GJZ1337" s="4" t="s">
        <v>2881</v>
      </c>
      <c r="GKA1337" s="4" t="s">
        <v>2881</v>
      </c>
      <c r="GKB1337" s="4" t="s">
        <v>2881</v>
      </c>
      <c r="GKC1337" s="4" t="s">
        <v>2881</v>
      </c>
      <c r="GKD1337" s="4" t="s">
        <v>2881</v>
      </c>
      <c r="GKE1337" s="4" t="s">
        <v>2881</v>
      </c>
      <c r="GKF1337" s="4" t="s">
        <v>2881</v>
      </c>
      <c r="GKG1337" s="4" t="s">
        <v>2881</v>
      </c>
      <c r="GKH1337" s="4" t="s">
        <v>2881</v>
      </c>
      <c r="GKI1337" s="4" t="s">
        <v>2881</v>
      </c>
      <c r="GKJ1337" s="4" t="s">
        <v>2881</v>
      </c>
      <c r="GKK1337" s="4" t="s">
        <v>2881</v>
      </c>
      <c r="GKL1337" s="4" t="s">
        <v>2881</v>
      </c>
      <c r="GKM1337" s="4" t="s">
        <v>2881</v>
      </c>
      <c r="GKN1337" s="4" t="s">
        <v>2881</v>
      </c>
      <c r="GKO1337" s="4" t="s">
        <v>2881</v>
      </c>
      <c r="GKP1337" s="4" t="s">
        <v>2881</v>
      </c>
      <c r="GKQ1337" s="4" t="s">
        <v>2881</v>
      </c>
      <c r="GKR1337" s="4" t="s">
        <v>2881</v>
      </c>
      <c r="GKS1337" s="4" t="s">
        <v>2881</v>
      </c>
      <c r="GKT1337" s="4" t="s">
        <v>2881</v>
      </c>
      <c r="GKU1337" s="4" t="s">
        <v>2881</v>
      </c>
      <c r="GKV1337" s="4" t="s">
        <v>2881</v>
      </c>
      <c r="GKW1337" s="4" t="s">
        <v>2881</v>
      </c>
      <c r="GKX1337" s="4" t="s">
        <v>2881</v>
      </c>
      <c r="GKY1337" s="4" t="s">
        <v>2881</v>
      </c>
      <c r="GKZ1337" s="4" t="s">
        <v>2881</v>
      </c>
      <c r="GLA1337" s="4" t="s">
        <v>2881</v>
      </c>
      <c r="GLB1337" s="4" t="s">
        <v>2881</v>
      </c>
      <c r="GLC1337" s="4" t="s">
        <v>2881</v>
      </c>
      <c r="GLD1337" s="4" t="s">
        <v>2881</v>
      </c>
      <c r="GLE1337" s="4" t="s">
        <v>2881</v>
      </c>
      <c r="GLF1337" s="4" t="s">
        <v>2881</v>
      </c>
      <c r="GLG1337" s="4" t="s">
        <v>2881</v>
      </c>
      <c r="GLH1337" s="4" t="s">
        <v>2881</v>
      </c>
      <c r="GLI1337" s="4" t="s">
        <v>2881</v>
      </c>
      <c r="GLJ1337" s="4" t="s">
        <v>2881</v>
      </c>
      <c r="GLK1337" s="4" t="s">
        <v>2881</v>
      </c>
      <c r="GLL1337" s="4" t="s">
        <v>2881</v>
      </c>
      <c r="GLM1337" s="4" t="s">
        <v>2881</v>
      </c>
      <c r="GLN1337" s="4" t="s">
        <v>2881</v>
      </c>
      <c r="GLO1337" s="4" t="s">
        <v>2881</v>
      </c>
      <c r="GLP1337" s="4" t="s">
        <v>2881</v>
      </c>
      <c r="GLQ1337" s="4" t="s">
        <v>2881</v>
      </c>
      <c r="GLR1337" s="4" t="s">
        <v>2881</v>
      </c>
      <c r="GLS1337" s="4" t="s">
        <v>2881</v>
      </c>
      <c r="GLT1337" s="4" t="s">
        <v>2881</v>
      </c>
      <c r="GLU1337" s="4" t="s">
        <v>2881</v>
      </c>
      <c r="GLV1337" s="4" t="s">
        <v>2881</v>
      </c>
      <c r="GLW1337" s="4" t="s">
        <v>2881</v>
      </c>
      <c r="GLX1337" s="4" t="s">
        <v>2881</v>
      </c>
      <c r="GLY1337" s="4" t="s">
        <v>2881</v>
      </c>
      <c r="GLZ1337" s="4" t="s">
        <v>2881</v>
      </c>
      <c r="GMA1337" s="4" t="s">
        <v>2881</v>
      </c>
      <c r="GMB1337" s="4" t="s">
        <v>2881</v>
      </c>
      <c r="GMC1337" s="4" t="s">
        <v>2881</v>
      </c>
      <c r="GMD1337" s="4" t="s">
        <v>2881</v>
      </c>
      <c r="GME1337" s="4" t="s">
        <v>2881</v>
      </c>
      <c r="GMF1337" s="4" t="s">
        <v>2881</v>
      </c>
      <c r="GMG1337" s="4" t="s">
        <v>2881</v>
      </c>
      <c r="GMH1337" s="4" t="s">
        <v>2881</v>
      </c>
      <c r="GMI1337" s="4" t="s">
        <v>2881</v>
      </c>
      <c r="GMJ1337" s="4" t="s">
        <v>2881</v>
      </c>
      <c r="GMK1337" s="4" t="s">
        <v>2881</v>
      </c>
      <c r="GML1337" s="4" t="s">
        <v>2881</v>
      </c>
      <c r="GMM1337" s="4" t="s">
        <v>2881</v>
      </c>
      <c r="GMN1337" s="4" t="s">
        <v>2881</v>
      </c>
      <c r="GMO1337" s="4" t="s">
        <v>2881</v>
      </c>
      <c r="GMP1337" s="4" t="s">
        <v>2881</v>
      </c>
      <c r="GMQ1337" s="4" t="s">
        <v>2881</v>
      </c>
      <c r="GMR1337" s="4" t="s">
        <v>2881</v>
      </c>
      <c r="GMS1337" s="4" t="s">
        <v>2881</v>
      </c>
      <c r="GMT1337" s="4" t="s">
        <v>2881</v>
      </c>
      <c r="GMU1337" s="4" t="s">
        <v>2881</v>
      </c>
      <c r="GMV1337" s="4" t="s">
        <v>2881</v>
      </c>
      <c r="GMW1337" s="4" t="s">
        <v>2881</v>
      </c>
      <c r="GMX1337" s="4" t="s">
        <v>2881</v>
      </c>
      <c r="GMY1337" s="4" t="s">
        <v>2881</v>
      </c>
      <c r="GMZ1337" s="4" t="s">
        <v>2881</v>
      </c>
      <c r="GNA1337" s="4" t="s">
        <v>2881</v>
      </c>
      <c r="GNB1337" s="4" t="s">
        <v>2881</v>
      </c>
      <c r="GNC1337" s="4" t="s">
        <v>2881</v>
      </c>
      <c r="GND1337" s="4" t="s">
        <v>2881</v>
      </c>
      <c r="GNE1337" s="4" t="s">
        <v>2881</v>
      </c>
      <c r="GNF1337" s="4" t="s">
        <v>2881</v>
      </c>
      <c r="GNG1337" s="4" t="s">
        <v>2881</v>
      </c>
      <c r="GNH1337" s="4" t="s">
        <v>2881</v>
      </c>
      <c r="GNI1337" s="4" t="s">
        <v>2881</v>
      </c>
      <c r="GNJ1337" s="4" t="s">
        <v>2881</v>
      </c>
      <c r="GNK1337" s="4" t="s">
        <v>2881</v>
      </c>
      <c r="GNL1337" s="4" t="s">
        <v>2881</v>
      </c>
      <c r="GNM1337" s="4" t="s">
        <v>2881</v>
      </c>
      <c r="GNN1337" s="4" t="s">
        <v>2881</v>
      </c>
      <c r="GNO1337" s="4" t="s">
        <v>2881</v>
      </c>
      <c r="GNP1337" s="4" t="s">
        <v>2881</v>
      </c>
      <c r="GNQ1337" s="4" t="s">
        <v>2881</v>
      </c>
      <c r="GNR1337" s="4" t="s">
        <v>2881</v>
      </c>
      <c r="GNS1337" s="4" t="s">
        <v>2881</v>
      </c>
      <c r="GNT1337" s="4" t="s">
        <v>2881</v>
      </c>
      <c r="GNU1337" s="4" t="s">
        <v>2881</v>
      </c>
      <c r="GNV1337" s="4" t="s">
        <v>2881</v>
      </c>
      <c r="GNW1337" s="4" t="s">
        <v>2881</v>
      </c>
      <c r="GNX1337" s="4" t="s">
        <v>2881</v>
      </c>
      <c r="GNY1337" s="4" t="s">
        <v>2881</v>
      </c>
      <c r="GNZ1337" s="4" t="s">
        <v>2881</v>
      </c>
      <c r="GOA1337" s="4" t="s">
        <v>2881</v>
      </c>
      <c r="GOB1337" s="4" t="s">
        <v>2881</v>
      </c>
      <c r="GOC1337" s="4" t="s">
        <v>2881</v>
      </c>
      <c r="GOD1337" s="4" t="s">
        <v>2881</v>
      </c>
      <c r="GOE1337" s="4" t="s">
        <v>2881</v>
      </c>
      <c r="GOF1337" s="4" t="s">
        <v>2881</v>
      </c>
      <c r="GOG1337" s="4" t="s">
        <v>2881</v>
      </c>
      <c r="GOH1337" s="4" t="s">
        <v>2881</v>
      </c>
      <c r="GOI1337" s="4" t="s">
        <v>2881</v>
      </c>
      <c r="GOJ1337" s="4" t="s">
        <v>2881</v>
      </c>
      <c r="GOK1337" s="4" t="s">
        <v>2881</v>
      </c>
      <c r="GOL1337" s="4" t="s">
        <v>2881</v>
      </c>
      <c r="GOM1337" s="4" t="s">
        <v>2881</v>
      </c>
      <c r="GON1337" s="4" t="s">
        <v>2881</v>
      </c>
      <c r="GOO1337" s="4" t="s">
        <v>2881</v>
      </c>
      <c r="GOP1337" s="4" t="s">
        <v>2881</v>
      </c>
      <c r="GOQ1337" s="4" t="s">
        <v>2881</v>
      </c>
      <c r="GOR1337" s="4" t="s">
        <v>2881</v>
      </c>
      <c r="GOS1337" s="4" t="s">
        <v>2881</v>
      </c>
      <c r="GOT1337" s="4" t="s">
        <v>2881</v>
      </c>
      <c r="GOU1337" s="4" t="s">
        <v>2881</v>
      </c>
      <c r="GOV1337" s="4" t="s">
        <v>2881</v>
      </c>
      <c r="GOW1337" s="4" t="s">
        <v>2881</v>
      </c>
      <c r="GOX1337" s="4" t="s">
        <v>2881</v>
      </c>
      <c r="GOY1337" s="4" t="s">
        <v>2881</v>
      </c>
      <c r="GOZ1337" s="4" t="s">
        <v>2881</v>
      </c>
      <c r="GPA1337" s="4" t="s">
        <v>2881</v>
      </c>
      <c r="GPB1337" s="4" t="s">
        <v>2881</v>
      </c>
      <c r="GPC1337" s="4" t="s">
        <v>2881</v>
      </c>
      <c r="GPD1337" s="4" t="s">
        <v>2881</v>
      </c>
      <c r="GPE1337" s="4" t="s">
        <v>2881</v>
      </c>
      <c r="GPF1337" s="4" t="s">
        <v>2881</v>
      </c>
      <c r="GPG1337" s="4" t="s">
        <v>2881</v>
      </c>
      <c r="GPH1337" s="4" t="s">
        <v>2881</v>
      </c>
      <c r="GPI1337" s="4" t="s">
        <v>2881</v>
      </c>
      <c r="GPJ1337" s="4" t="s">
        <v>2881</v>
      </c>
      <c r="GPK1337" s="4" t="s">
        <v>2881</v>
      </c>
      <c r="GPL1337" s="4" t="s">
        <v>2881</v>
      </c>
      <c r="GPM1337" s="4" t="s">
        <v>2881</v>
      </c>
      <c r="GPN1337" s="4" t="s">
        <v>2881</v>
      </c>
      <c r="GPO1337" s="4" t="s">
        <v>2881</v>
      </c>
      <c r="GPP1337" s="4" t="s">
        <v>2881</v>
      </c>
      <c r="GPQ1337" s="4" t="s">
        <v>2881</v>
      </c>
      <c r="GPR1337" s="4" t="s">
        <v>2881</v>
      </c>
      <c r="GPS1337" s="4" t="s">
        <v>2881</v>
      </c>
      <c r="GPT1337" s="4" t="s">
        <v>2881</v>
      </c>
      <c r="GPU1337" s="4" t="s">
        <v>2881</v>
      </c>
      <c r="GPV1337" s="4" t="s">
        <v>2881</v>
      </c>
      <c r="GPW1337" s="4" t="s">
        <v>2881</v>
      </c>
      <c r="GPX1337" s="4" t="s">
        <v>2881</v>
      </c>
      <c r="GPY1337" s="4" t="s">
        <v>2881</v>
      </c>
      <c r="GPZ1337" s="4" t="s">
        <v>2881</v>
      </c>
      <c r="GQA1337" s="4" t="s">
        <v>2881</v>
      </c>
      <c r="GQB1337" s="4" t="s">
        <v>2881</v>
      </c>
      <c r="GQC1337" s="4" t="s">
        <v>2881</v>
      </c>
      <c r="GQD1337" s="4" t="s">
        <v>2881</v>
      </c>
      <c r="GQE1337" s="4" t="s">
        <v>2881</v>
      </c>
      <c r="GQF1337" s="4" t="s">
        <v>2881</v>
      </c>
      <c r="GQG1337" s="4" t="s">
        <v>2881</v>
      </c>
      <c r="GQH1337" s="4" t="s">
        <v>2881</v>
      </c>
      <c r="GQI1337" s="4" t="s">
        <v>2881</v>
      </c>
      <c r="GQJ1337" s="4" t="s">
        <v>2881</v>
      </c>
      <c r="GQK1337" s="4" t="s">
        <v>2881</v>
      </c>
      <c r="GQL1337" s="4" t="s">
        <v>2881</v>
      </c>
      <c r="GQM1337" s="4" t="s">
        <v>2881</v>
      </c>
      <c r="GQN1337" s="4" t="s">
        <v>2881</v>
      </c>
      <c r="GQO1337" s="4" t="s">
        <v>2881</v>
      </c>
      <c r="GQP1337" s="4" t="s">
        <v>2881</v>
      </c>
      <c r="GQQ1337" s="4" t="s">
        <v>2881</v>
      </c>
      <c r="GQR1337" s="4" t="s">
        <v>2881</v>
      </c>
      <c r="GQS1337" s="4" t="s">
        <v>2881</v>
      </c>
      <c r="GQT1337" s="4" t="s">
        <v>2881</v>
      </c>
      <c r="GQU1337" s="4" t="s">
        <v>2881</v>
      </c>
      <c r="GQV1337" s="4" t="s">
        <v>2881</v>
      </c>
      <c r="GQW1337" s="4" t="s">
        <v>2881</v>
      </c>
      <c r="GQX1337" s="4" t="s">
        <v>2881</v>
      </c>
      <c r="GQY1337" s="4" t="s">
        <v>2881</v>
      </c>
      <c r="GQZ1337" s="4" t="s">
        <v>2881</v>
      </c>
      <c r="GRA1337" s="4" t="s">
        <v>2881</v>
      </c>
      <c r="GRB1337" s="4" t="s">
        <v>2881</v>
      </c>
      <c r="GRC1337" s="4" t="s">
        <v>2881</v>
      </c>
      <c r="GRD1337" s="4" t="s">
        <v>2881</v>
      </c>
      <c r="GRE1337" s="4" t="s">
        <v>2881</v>
      </c>
      <c r="GRF1337" s="4" t="s">
        <v>2881</v>
      </c>
      <c r="GRG1337" s="4" t="s">
        <v>2881</v>
      </c>
      <c r="GRH1337" s="4" t="s">
        <v>2881</v>
      </c>
      <c r="GRI1337" s="4" t="s">
        <v>2881</v>
      </c>
      <c r="GRJ1337" s="4" t="s">
        <v>2881</v>
      </c>
      <c r="GRK1337" s="4" t="s">
        <v>2881</v>
      </c>
      <c r="GRL1337" s="4" t="s">
        <v>2881</v>
      </c>
      <c r="GRM1337" s="4" t="s">
        <v>2881</v>
      </c>
      <c r="GRN1337" s="4" t="s">
        <v>2881</v>
      </c>
      <c r="GRO1337" s="4" t="s">
        <v>2881</v>
      </c>
      <c r="GRP1337" s="4" t="s">
        <v>2881</v>
      </c>
      <c r="GRQ1337" s="4" t="s">
        <v>2881</v>
      </c>
      <c r="GRR1337" s="4" t="s">
        <v>2881</v>
      </c>
      <c r="GRS1337" s="4" t="s">
        <v>2881</v>
      </c>
      <c r="GRT1337" s="4" t="s">
        <v>2881</v>
      </c>
      <c r="GRU1337" s="4" t="s">
        <v>2881</v>
      </c>
      <c r="GRV1337" s="4" t="s">
        <v>2881</v>
      </c>
      <c r="GRW1337" s="4" t="s">
        <v>2881</v>
      </c>
      <c r="GRX1337" s="4" t="s">
        <v>2881</v>
      </c>
      <c r="GRY1337" s="4" t="s">
        <v>2881</v>
      </c>
      <c r="GRZ1337" s="4" t="s">
        <v>2881</v>
      </c>
      <c r="GSA1337" s="4" t="s">
        <v>2881</v>
      </c>
      <c r="GSB1337" s="4" t="s">
        <v>2881</v>
      </c>
      <c r="GSC1337" s="4" t="s">
        <v>2881</v>
      </c>
      <c r="GSD1337" s="4" t="s">
        <v>2881</v>
      </c>
      <c r="GSE1337" s="4" t="s">
        <v>2881</v>
      </c>
      <c r="GSF1337" s="4" t="s">
        <v>2881</v>
      </c>
      <c r="GSG1337" s="4" t="s">
        <v>2881</v>
      </c>
      <c r="GSH1337" s="4" t="s">
        <v>2881</v>
      </c>
      <c r="GSI1337" s="4" t="s">
        <v>2881</v>
      </c>
      <c r="GSJ1337" s="4" t="s">
        <v>2881</v>
      </c>
      <c r="GSK1337" s="4" t="s">
        <v>2881</v>
      </c>
      <c r="GSL1337" s="4" t="s">
        <v>2881</v>
      </c>
      <c r="GSM1337" s="4" t="s">
        <v>2881</v>
      </c>
      <c r="GSN1337" s="4" t="s">
        <v>2881</v>
      </c>
      <c r="GSO1337" s="4" t="s">
        <v>2881</v>
      </c>
      <c r="GSP1337" s="4" t="s">
        <v>2881</v>
      </c>
      <c r="GSQ1337" s="4" t="s">
        <v>2881</v>
      </c>
      <c r="GSR1337" s="4" t="s">
        <v>2881</v>
      </c>
      <c r="GSS1337" s="4" t="s">
        <v>2881</v>
      </c>
      <c r="GST1337" s="4" t="s">
        <v>2881</v>
      </c>
      <c r="GSU1337" s="4" t="s">
        <v>2881</v>
      </c>
      <c r="GSV1337" s="4" t="s">
        <v>2881</v>
      </c>
      <c r="GSW1337" s="4" t="s">
        <v>2881</v>
      </c>
      <c r="GSX1337" s="4" t="s">
        <v>2881</v>
      </c>
      <c r="GSY1337" s="4" t="s">
        <v>2881</v>
      </c>
      <c r="GSZ1337" s="4" t="s">
        <v>2881</v>
      </c>
      <c r="GTA1337" s="4" t="s">
        <v>2881</v>
      </c>
      <c r="GTB1337" s="4" t="s">
        <v>2881</v>
      </c>
      <c r="GTC1337" s="4" t="s">
        <v>2881</v>
      </c>
      <c r="GTD1337" s="4" t="s">
        <v>2881</v>
      </c>
      <c r="GTE1337" s="4" t="s">
        <v>2881</v>
      </c>
      <c r="GTF1337" s="4" t="s">
        <v>2881</v>
      </c>
      <c r="GTG1337" s="4" t="s">
        <v>2881</v>
      </c>
      <c r="GTH1337" s="4" t="s">
        <v>2881</v>
      </c>
      <c r="GTI1337" s="4" t="s">
        <v>2881</v>
      </c>
      <c r="GTJ1337" s="4" t="s">
        <v>2881</v>
      </c>
      <c r="GTK1337" s="4" t="s">
        <v>2881</v>
      </c>
      <c r="GTL1337" s="4" t="s">
        <v>2881</v>
      </c>
      <c r="GTM1337" s="4" t="s">
        <v>2881</v>
      </c>
      <c r="GTN1337" s="4" t="s">
        <v>2881</v>
      </c>
      <c r="GTO1337" s="4" t="s">
        <v>2881</v>
      </c>
      <c r="GTP1337" s="4" t="s">
        <v>2881</v>
      </c>
      <c r="GTQ1337" s="4" t="s">
        <v>2881</v>
      </c>
      <c r="GTR1337" s="4" t="s">
        <v>2881</v>
      </c>
      <c r="GTS1337" s="4" t="s">
        <v>2881</v>
      </c>
      <c r="GTT1337" s="4" t="s">
        <v>2881</v>
      </c>
      <c r="GTU1337" s="4" t="s">
        <v>2881</v>
      </c>
      <c r="GTV1337" s="4" t="s">
        <v>2881</v>
      </c>
      <c r="GTW1337" s="4" t="s">
        <v>2881</v>
      </c>
      <c r="GTX1337" s="4" t="s">
        <v>2881</v>
      </c>
      <c r="GTY1337" s="4" t="s">
        <v>2881</v>
      </c>
      <c r="GTZ1337" s="4" t="s">
        <v>2881</v>
      </c>
      <c r="GUA1337" s="4" t="s">
        <v>2881</v>
      </c>
      <c r="GUB1337" s="4" t="s">
        <v>2881</v>
      </c>
      <c r="GUC1337" s="4" t="s">
        <v>2881</v>
      </c>
      <c r="GUD1337" s="4" t="s">
        <v>2881</v>
      </c>
      <c r="GUE1337" s="4" t="s">
        <v>2881</v>
      </c>
      <c r="GUF1337" s="4" t="s">
        <v>2881</v>
      </c>
      <c r="GUG1337" s="4" t="s">
        <v>2881</v>
      </c>
      <c r="GUH1337" s="4" t="s">
        <v>2881</v>
      </c>
      <c r="GUI1337" s="4" t="s">
        <v>2881</v>
      </c>
      <c r="GUJ1337" s="4" t="s">
        <v>2881</v>
      </c>
      <c r="GUK1337" s="4" t="s">
        <v>2881</v>
      </c>
      <c r="GUL1337" s="4" t="s">
        <v>2881</v>
      </c>
      <c r="GUM1337" s="4" t="s">
        <v>2881</v>
      </c>
      <c r="GUN1337" s="4" t="s">
        <v>2881</v>
      </c>
      <c r="GUO1337" s="4" t="s">
        <v>2881</v>
      </c>
      <c r="GUP1337" s="4" t="s">
        <v>2881</v>
      </c>
      <c r="GUQ1337" s="4" t="s">
        <v>2881</v>
      </c>
      <c r="GUR1337" s="4" t="s">
        <v>2881</v>
      </c>
      <c r="GUS1337" s="4" t="s">
        <v>2881</v>
      </c>
      <c r="GUT1337" s="4" t="s">
        <v>2881</v>
      </c>
      <c r="GUU1337" s="4" t="s">
        <v>2881</v>
      </c>
      <c r="GUV1337" s="4" t="s">
        <v>2881</v>
      </c>
      <c r="GUW1337" s="4" t="s">
        <v>2881</v>
      </c>
      <c r="GUX1337" s="4" t="s">
        <v>2881</v>
      </c>
      <c r="GUY1337" s="4" t="s">
        <v>2881</v>
      </c>
      <c r="GUZ1337" s="4" t="s">
        <v>2881</v>
      </c>
      <c r="GVA1337" s="4" t="s">
        <v>2881</v>
      </c>
      <c r="GVB1337" s="4" t="s">
        <v>2881</v>
      </c>
      <c r="GVC1337" s="4" t="s">
        <v>2881</v>
      </c>
      <c r="GVD1337" s="4" t="s">
        <v>2881</v>
      </c>
      <c r="GVE1337" s="4" t="s">
        <v>2881</v>
      </c>
      <c r="GVF1337" s="4" t="s">
        <v>2881</v>
      </c>
      <c r="GVG1337" s="4" t="s">
        <v>2881</v>
      </c>
      <c r="GVH1337" s="4" t="s">
        <v>2881</v>
      </c>
      <c r="GVI1337" s="4" t="s">
        <v>2881</v>
      </c>
      <c r="GVJ1337" s="4" t="s">
        <v>2881</v>
      </c>
      <c r="GVK1337" s="4" t="s">
        <v>2881</v>
      </c>
      <c r="GVL1337" s="4" t="s">
        <v>2881</v>
      </c>
      <c r="GVM1337" s="4" t="s">
        <v>2881</v>
      </c>
      <c r="GVN1337" s="4" t="s">
        <v>2881</v>
      </c>
      <c r="GVO1337" s="4" t="s">
        <v>2881</v>
      </c>
      <c r="GVP1337" s="4" t="s">
        <v>2881</v>
      </c>
      <c r="GVQ1337" s="4" t="s">
        <v>2881</v>
      </c>
      <c r="GVR1337" s="4" t="s">
        <v>2881</v>
      </c>
      <c r="GVS1337" s="4" t="s">
        <v>2881</v>
      </c>
      <c r="GVT1337" s="4" t="s">
        <v>2881</v>
      </c>
      <c r="GVU1337" s="4" t="s">
        <v>2881</v>
      </c>
      <c r="GVV1337" s="4" t="s">
        <v>2881</v>
      </c>
      <c r="GVW1337" s="4" t="s">
        <v>2881</v>
      </c>
      <c r="GVX1337" s="4" t="s">
        <v>2881</v>
      </c>
      <c r="GVY1337" s="4" t="s">
        <v>2881</v>
      </c>
      <c r="GVZ1337" s="4" t="s">
        <v>2881</v>
      </c>
      <c r="GWA1337" s="4" t="s">
        <v>2881</v>
      </c>
      <c r="GWB1337" s="4" t="s">
        <v>2881</v>
      </c>
      <c r="GWC1337" s="4" t="s">
        <v>2881</v>
      </c>
      <c r="GWD1337" s="4" t="s">
        <v>2881</v>
      </c>
      <c r="GWE1337" s="4" t="s">
        <v>2881</v>
      </c>
      <c r="GWF1337" s="4" t="s">
        <v>2881</v>
      </c>
      <c r="GWG1337" s="4" t="s">
        <v>2881</v>
      </c>
      <c r="GWH1337" s="4" t="s">
        <v>2881</v>
      </c>
      <c r="GWI1337" s="4" t="s">
        <v>2881</v>
      </c>
      <c r="GWJ1337" s="4" t="s">
        <v>2881</v>
      </c>
      <c r="GWK1337" s="4" t="s">
        <v>2881</v>
      </c>
      <c r="GWL1337" s="4" t="s">
        <v>2881</v>
      </c>
      <c r="GWM1337" s="4" t="s">
        <v>2881</v>
      </c>
      <c r="GWN1337" s="4" t="s">
        <v>2881</v>
      </c>
      <c r="GWO1337" s="4" t="s">
        <v>2881</v>
      </c>
      <c r="GWP1337" s="4" t="s">
        <v>2881</v>
      </c>
      <c r="GWQ1337" s="4" t="s">
        <v>2881</v>
      </c>
      <c r="GWR1337" s="4" t="s">
        <v>2881</v>
      </c>
      <c r="GWS1337" s="4" t="s">
        <v>2881</v>
      </c>
      <c r="GWT1337" s="4" t="s">
        <v>2881</v>
      </c>
      <c r="GWU1337" s="4" t="s">
        <v>2881</v>
      </c>
      <c r="GWV1337" s="4" t="s">
        <v>2881</v>
      </c>
      <c r="GWW1337" s="4" t="s">
        <v>2881</v>
      </c>
      <c r="GWX1337" s="4" t="s">
        <v>2881</v>
      </c>
      <c r="GWY1337" s="4" t="s">
        <v>2881</v>
      </c>
      <c r="GWZ1337" s="4" t="s">
        <v>2881</v>
      </c>
      <c r="GXA1337" s="4" t="s">
        <v>2881</v>
      </c>
      <c r="GXB1337" s="4" t="s">
        <v>2881</v>
      </c>
      <c r="GXC1337" s="4" t="s">
        <v>2881</v>
      </c>
      <c r="GXD1337" s="4" t="s">
        <v>2881</v>
      </c>
      <c r="GXE1337" s="4" t="s">
        <v>2881</v>
      </c>
      <c r="GXF1337" s="4" t="s">
        <v>2881</v>
      </c>
      <c r="GXG1337" s="4" t="s">
        <v>2881</v>
      </c>
      <c r="GXH1337" s="4" t="s">
        <v>2881</v>
      </c>
      <c r="GXI1337" s="4" t="s">
        <v>2881</v>
      </c>
      <c r="GXJ1337" s="4" t="s">
        <v>2881</v>
      </c>
      <c r="GXK1337" s="4" t="s">
        <v>2881</v>
      </c>
      <c r="GXL1337" s="4" t="s">
        <v>2881</v>
      </c>
      <c r="GXM1337" s="4" t="s">
        <v>2881</v>
      </c>
      <c r="GXN1337" s="4" t="s">
        <v>2881</v>
      </c>
      <c r="GXO1337" s="4" t="s">
        <v>2881</v>
      </c>
      <c r="GXP1337" s="4" t="s">
        <v>2881</v>
      </c>
      <c r="GXQ1337" s="4" t="s">
        <v>2881</v>
      </c>
      <c r="GXR1337" s="4" t="s">
        <v>2881</v>
      </c>
      <c r="GXS1337" s="4" t="s">
        <v>2881</v>
      </c>
      <c r="GXT1337" s="4" t="s">
        <v>2881</v>
      </c>
      <c r="GXU1337" s="4" t="s">
        <v>2881</v>
      </c>
      <c r="GXV1337" s="4" t="s">
        <v>2881</v>
      </c>
      <c r="GXW1337" s="4" t="s">
        <v>2881</v>
      </c>
      <c r="GXX1337" s="4" t="s">
        <v>2881</v>
      </c>
      <c r="GXY1337" s="4" t="s">
        <v>2881</v>
      </c>
      <c r="GXZ1337" s="4" t="s">
        <v>2881</v>
      </c>
      <c r="GYA1337" s="4" t="s">
        <v>2881</v>
      </c>
      <c r="GYB1337" s="4" t="s">
        <v>2881</v>
      </c>
      <c r="GYC1337" s="4" t="s">
        <v>2881</v>
      </c>
      <c r="GYD1337" s="4" t="s">
        <v>2881</v>
      </c>
      <c r="GYE1337" s="4" t="s">
        <v>2881</v>
      </c>
      <c r="GYF1337" s="4" t="s">
        <v>2881</v>
      </c>
      <c r="GYG1337" s="4" t="s">
        <v>2881</v>
      </c>
      <c r="GYH1337" s="4" t="s">
        <v>2881</v>
      </c>
      <c r="GYI1337" s="4" t="s">
        <v>2881</v>
      </c>
      <c r="GYJ1337" s="4" t="s">
        <v>2881</v>
      </c>
      <c r="GYK1337" s="4" t="s">
        <v>2881</v>
      </c>
      <c r="GYL1337" s="4" t="s">
        <v>2881</v>
      </c>
      <c r="GYM1337" s="4" t="s">
        <v>2881</v>
      </c>
      <c r="GYN1337" s="4" t="s">
        <v>2881</v>
      </c>
      <c r="GYO1337" s="4" t="s">
        <v>2881</v>
      </c>
      <c r="GYP1337" s="4" t="s">
        <v>2881</v>
      </c>
      <c r="GYQ1337" s="4" t="s">
        <v>2881</v>
      </c>
      <c r="GYR1337" s="4" t="s">
        <v>2881</v>
      </c>
      <c r="GYS1337" s="4" t="s">
        <v>2881</v>
      </c>
      <c r="GYT1337" s="4" t="s">
        <v>2881</v>
      </c>
      <c r="GYU1337" s="4" t="s">
        <v>2881</v>
      </c>
      <c r="GYV1337" s="4" t="s">
        <v>2881</v>
      </c>
      <c r="GYW1337" s="4" t="s">
        <v>2881</v>
      </c>
      <c r="GYX1337" s="4" t="s">
        <v>2881</v>
      </c>
      <c r="GYY1337" s="4" t="s">
        <v>2881</v>
      </c>
      <c r="GYZ1337" s="4" t="s">
        <v>2881</v>
      </c>
      <c r="GZA1337" s="4" t="s">
        <v>2881</v>
      </c>
      <c r="GZB1337" s="4" t="s">
        <v>2881</v>
      </c>
      <c r="GZC1337" s="4" t="s">
        <v>2881</v>
      </c>
      <c r="GZD1337" s="4" t="s">
        <v>2881</v>
      </c>
      <c r="GZE1337" s="4" t="s">
        <v>2881</v>
      </c>
      <c r="GZF1337" s="4" t="s">
        <v>2881</v>
      </c>
      <c r="GZG1337" s="4" t="s">
        <v>2881</v>
      </c>
      <c r="GZH1337" s="4" t="s">
        <v>2881</v>
      </c>
      <c r="GZI1337" s="4" t="s">
        <v>2881</v>
      </c>
      <c r="GZJ1337" s="4" t="s">
        <v>2881</v>
      </c>
      <c r="GZK1337" s="4" t="s">
        <v>2881</v>
      </c>
      <c r="GZL1337" s="4" t="s">
        <v>2881</v>
      </c>
      <c r="GZM1337" s="4" t="s">
        <v>2881</v>
      </c>
      <c r="GZN1337" s="4" t="s">
        <v>2881</v>
      </c>
      <c r="GZO1337" s="4" t="s">
        <v>2881</v>
      </c>
      <c r="GZP1337" s="4" t="s">
        <v>2881</v>
      </c>
      <c r="GZQ1337" s="4" t="s">
        <v>2881</v>
      </c>
      <c r="GZR1337" s="4" t="s">
        <v>2881</v>
      </c>
      <c r="GZS1337" s="4" t="s">
        <v>2881</v>
      </c>
      <c r="GZT1337" s="4" t="s">
        <v>2881</v>
      </c>
      <c r="GZU1337" s="4" t="s">
        <v>2881</v>
      </c>
      <c r="GZV1337" s="4" t="s">
        <v>2881</v>
      </c>
      <c r="GZW1337" s="4" t="s">
        <v>2881</v>
      </c>
      <c r="GZX1337" s="4" t="s">
        <v>2881</v>
      </c>
      <c r="GZY1337" s="4" t="s">
        <v>2881</v>
      </c>
      <c r="GZZ1337" s="4" t="s">
        <v>2881</v>
      </c>
      <c r="HAA1337" s="4" t="s">
        <v>2881</v>
      </c>
      <c r="HAB1337" s="4" t="s">
        <v>2881</v>
      </c>
      <c r="HAC1337" s="4" t="s">
        <v>2881</v>
      </c>
      <c r="HAD1337" s="4" t="s">
        <v>2881</v>
      </c>
      <c r="HAE1337" s="4" t="s">
        <v>2881</v>
      </c>
      <c r="HAF1337" s="4" t="s">
        <v>2881</v>
      </c>
      <c r="HAG1337" s="4" t="s">
        <v>2881</v>
      </c>
      <c r="HAH1337" s="4" t="s">
        <v>2881</v>
      </c>
      <c r="HAI1337" s="4" t="s">
        <v>2881</v>
      </c>
      <c r="HAJ1337" s="4" t="s">
        <v>2881</v>
      </c>
      <c r="HAK1337" s="4" t="s">
        <v>2881</v>
      </c>
      <c r="HAL1337" s="4" t="s">
        <v>2881</v>
      </c>
      <c r="HAM1337" s="4" t="s">
        <v>2881</v>
      </c>
      <c r="HAN1337" s="4" t="s">
        <v>2881</v>
      </c>
      <c r="HAO1337" s="4" t="s">
        <v>2881</v>
      </c>
      <c r="HAP1337" s="4" t="s">
        <v>2881</v>
      </c>
      <c r="HAQ1337" s="4" t="s">
        <v>2881</v>
      </c>
      <c r="HAR1337" s="4" t="s">
        <v>2881</v>
      </c>
      <c r="HAS1337" s="4" t="s">
        <v>2881</v>
      </c>
      <c r="HAT1337" s="4" t="s">
        <v>2881</v>
      </c>
      <c r="HAU1337" s="4" t="s">
        <v>2881</v>
      </c>
      <c r="HAV1337" s="4" t="s">
        <v>2881</v>
      </c>
      <c r="HAW1337" s="4" t="s">
        <v>2881</v>
      </c>
      <c r="HAX1337" s="4" t="s">
        <v>2881</v>
      </c>
      <c r="HAY1337" s="4" t="s">
        <v>2881</v>
      </c>
      <c r="HAZ1337" s="4" t="s">
        <v>2881</v>
      </c>
      <c r="HBA1337" s="4" t="s">
        <v>2881</v>
      </c>
      <c r="HBB1337" s="4" t="s">
        <v>2881</v>
      </c>
      <c r="HBC1337" s="4" t="s">
        <v>2881</v>
      </c>
      <c r="HBD1337" s="4" t="s">
        <v>2881</v>
      </c>
      <c r="HBE1337" s="4" t="s">
        <v>2881</v>
      </c>
      <c r="HBF1337" s="4" t="s">
        <v>2881</v>
      </c>
      <c r="HBG1337" s="4" t="s">
        <v>2881</v>
      </c>
      <c r="HBH1337" s="4" t="s">
        <v>2881</v>
      </c>
      <c r="HBI1337" s="4" t="s">
        <v>2881</v>
      </c>
      <c r="HBJ1337" s="4" t="s">
        <v>2881</v>
      </c>
      <c r="HBK1337" s="4" t="s">
        <v>2881</v>
      </c>
      <c r="HBL1337" s="4" t="s">
        <v>2881</v>
      </c>
      <c r="HBM1337" s="4" t="s">
        <v>2881</v>
      </c>
      <c r="HBN1337" s="4" t="s">
        <v>2881</v>
      </c>
      <c r="HBO1337" s="4" t="s">
        <v>2881</v>
      </c>
      <c r="HBP1337" s="4" t="s">
        <v>2881</v>
      </c>
      <c r="HBQ1337" s="4" t="s">
        <v>2881</v>
      </c>
      <c r="HBR1337" s="4" t="s">
        <v>2881</v>
      </c>
      <c r="HBS1337" s="4" t="s">
        <v>2881</v>
      </c>
      <c r="HBT1337" s="4" t="s">
        <v>2881</v>
      </c>
      <c r="HBU1337" s="4" t="s">
        <v>2881</v>
      </c>
      <c r="HBV1337" s="4" t="s">
        <v>2881</v>
      </c>
      <c r="HBW1337" s="4" t="s">
        <v>2881</v>
      </c>
      <c r="HBX1337" s="4" t="s">
        <v>2881</v>
      </c>
      <c r="HBY1337" s="4" t="s">
        <v>2881</v>
      </c>
      <c r="HBZ1337" s="4" t="s">
        <v>2881</v>
      </c>
      <c r="HCA1337" s="4" t="s">
        <v>2881</v>
      </c>
      <c r="HCB1337" s="4" t="s">
        <v>2881</v>
      </c>
      <c r="HCC1337" s="4" t="s">
        <v>2881</v>
      </c>
      <c r="HCD1337" s="4" t="s">
        <v>2881</v>
      </c>
      <c r="HCE1337" s="4" t="s">
        <v>2881</v>
      </c>
      <c r="HCF1337" s="4" t="s">
        <v>2881</v>
      </c>
      <c r="HCG1337" s="4" t="s">
        <v>2881</v>
      </c>
      <c r="HCH1337" s="4" t="s">
        <v>2881</v>
      </c>
      <c r="HCI1337" s="4" t="s">
        <v>2881</v>
      </c>
      <c r="HCJ1337" s="4" t="s">
        <v>2881</v>
      </c>
      <c r="HCK1337" s="4" t="s">
        <v>2881</v>
      </c>
      <c r="HCL1337" s="4" t="s">
        <v>2881</v>
      </c>
      <c r="HCM1337" s="4" t="s">
        <v>2881</v>
      </c>
      <c r="HCN1337" s="4" t="s">
        <v>2881</v>
      </c>
      <c r="HCO1337" s="4" t="s">
        <v>2881</v>
      </c>
      <c r="HCP1337" s="4" t="s">
        <v>2881</v>
      </c>
      <c r="HCQ1337" s="4" t="s">
        <v>2881</v>
      </c>
      <c r="HCR1337" s="4" t="s">
        <v>2881</v>
      </c>
      <c r="HCS1337" s="4" t="s">
        <v>2881</v>
      </c>
      <c r="HCT1337" s="4" t="s">
        <v>2881</v>
      </c>
      <c r="HCU1337" s="4" t="s">
        <v>2881</v>
      </c>
      <c r="HCV1337" s="4" t="s">
        <v>2881</v>
      </c>
      <c r="HCW1337" s="4" t="s">
        <v>2881</v>
      </c>
      <c r="HCX1337" s="4" t="s">
        <v>2881</v>
      </c>
      <c r="HCY1337" s="4" t="s">
        <v>2881</v>
      </c>
      <c r="HCZ1337" s="4" t="s">
        <v>2881</v>
      </c>
      <c r="HDA1337" s="4" t="s">
        <v>2881</v>
      </c>
      <c r="HDB1337" s="4" t="s">
        <v>2881</v>
      </c>
      <c r="HDC1337" s="4" t="s">
        <v>2881</v>
      </c>
      <c r="HDD1337" s="4" t="s">
        <v>2881</v>
      </c>
      <c r="HDE1337" s="4" t="s">
        <v>2881</v>
      </c>
      <c r="HDF1337" s="4" t="s">
        <v>2881</v>
      </c>
      <c r="HDG1337" s="4" t="s">
        <v>2881</v>
      </c>
      <c r="HDH1337" s="4" t="s">
        <v>2881</v>
      </c>
      <c r="HDI1337" s="4" t="s">
        <v>2881</v>
      </c>
      <c r="HDJ1337" s="4" t="s">
        <v>2881</v>
      </c>
      <c r="HDK1337" s="4" t="s">
        <v>2881</v>
      </c>
      <c r="HDL1337" s="4" t="s">
        <v>2881</v>
      </c>
      <c r="HDM1337" s="4" t="s">
        <v>2881</v>
      </c>
      <c r="HDN1337" s="4" t="s">
        <v>2881</v>
      </c>
      <c r="HDO1337" s="4" t="s">
        <v>2881</v>
      </c>
      <c r="HDP1337" s="4" t="s">
        <v>2881</v>
      </c>
      <c r="HDQ1337" s="4" t="s">
        <v>2881</v>
      </c>
      <c r="HDR1337" s="4" t="s">
        <v>2881</v>
      </c>
      <c r="HDS1337" s="4" t="s">
        <v>2881</v>
      </c>
      <c r="HDT1337" s="4" t="s">
        <v>2881</v>
      </c>
      <c r="HDU1337" s="4" t="s">
        <v>2881</v>
      </c>
      <c r="HDV1337" s="4" t="s">
        <v>2881</v>
      </c>
      <c r="HDW1337" s="4" t="s">
        <v>2881</v>
      </c>
      <c r="HDX1337" s="4" t="s">
        <v>2881</v>
      </c>
      <c r="HDY1337" s="4" t="s">
        <v>2881</v>
      </c>
      <c r="HDZ1337" s="4" t="s">
        <v>2881</v>
      </c>
      <c r="HEA1337" s="4" t="s">
        <v>2881</v>
      </c>
      <c r="HEB1337" s="4" t="s">
        <v>2881</v>
      </c>
      <c r="HEC1337" s="4" t="s">
        <v>2881</v>
      </c>
      <c r="HED1337" s="4" t="s">
        <v>2881</v>
      </c>
      <c r="HEE1337" s="4" t="s">
        <v>2881</v>
      </c>
      <c r="HEF1337" s="4" t="s">
        <v>2881</v>
      </c>
      <c r="HEG1337" s="4" t="s">
        <v>2881</v>
      </c>
      <c r="HEH1337" s="4" t="s">
        <v>2881</v>
      </c>
      <c r="HEI1337" s="4" t="s">
        <v>2881</v>
      </c>
      <c r="HEJ1337" s="4" t="s">
        <v>2881</v>
      </c>
      <c r="HEK1337" s="4" t="s">
        <v>2881</v>
      </c>
      <c r="HEL1337" s="4" t="s">
        <v>2881</v>
      </c>
      <c r="HEM1337" s="4" t="s">
        <v>2881</v>
      </c>
      <c r="HEN1337" s="4" t="s">
        <v>2881</v>
      </c>
      <c r="HEO1337" s="4" t="s">
        <v>2881</v>
      </c>
      <c r="HEP1337" s="4" t="s">
        <v>2881</v>
      </c>
      <c r="HEQ1337" s="4" t="s">
        <v>2881</v>
      </c>
      <c r="HER1337" s="4" t="s">
        <v>2881</v>
      </c>
      <c r="HES1337" s="4" t="s">
        <v>2881</v>
      </c>
      <c r="HET1337" s="4" t="s">
        <v>2881</v>
      </c>
      <c r="HEU1337" s="4" t="s">
        <v>2881</v>
      </c>
      <c r="HEV1337" s="4" t="s">
        <v>2881</v>
      </c>
      <c r="HEW1337" s="4" t="s">
        <v>2881</v>
      </c>
      <c r="HEX1337" s="4" t="s">
        <v>2881</v>
      </c>
      <c r="HEY1337" s="4" t="s">
        <v>2881</v>
      </c>
      <c r="HEZ1337" s="4" t="s">
        <v>2881</v>
      </c>
      <c r="HFA1337" s="4" t="s">
        <v>2881</v>
      </c>
      <c r="HFB1337" s="4" t="s">
        <v>2881</v>
      </c>
      <c r="HFC1337" s="4" t="s">
        <v>2881</v>
      </c>
      <c r="HFD1337" s="4" t="s">
        <v>2881</v>
      </c>
      <c r="HFE1337" s="4" t="s">
        <v>2881</v>
      </c>
      <c r="HFF1337" s="4" t="s">
        <v>2881</v>
      </c>
      <c r="HFG1337" s="4" t="s">
        <v>2881</v>
      </c>
      <c r="HFH1337" s="4" t="s">
        <v>2881</v>
      </c>
      <c r="HFI1337" s="4" t="s">
        <v>2881</v>
      </c>
      <c r="HFJ1337" s="4" t="s">
        <v>2881</v>
      </c>
      <c r="HFK1337" s="4" t="s">
        <v>2881</v>
      </c>
      <c r="HFL1337" s="4" t="s">
        <v>2881</v>
      </c>
      <c r="HFM1337" s="4" t="s">
        <v>2881</v>
      </c>
      <c r="HFN1337" s="4" t="s">
        <v>2881</v>
      </c>
      <c r="HFO1337" s="4" t="s">
        <v>2881</v>
      </c>
      <c r="HFP1337" s="4" t="s">
        <v>2881</v>
      </c>
      <c r="HFQ1337" s="4" t="s">
        <v>2881</v>
      </c>
      <c r="HFR1337" s="4" t="s">
        <v>2881</v>
      </c>
      <c r="HFS1337" s="4" t="s">
        <v>2881</v>
      </c>
      <c r="HFT1337" s="4" t="s">
        <v>2881</v>
      </c>
      <c r="HFU1337" s="4" t="s">
        <v>2881</v>
      </c>
      <c r="HFV1337" s="4" t="s">
        <v>2881</v>
      </c>
      <c r="HFW1337" s="4" t="s">
        <v>2881</v>
      </c>
      <c r="HFX1337" s="4" t="s">
        <v>2881</v>
      </c>
      <c r="HFY1337" s="4" t="s">
        <v>2881</v>
      </c>
      <c r="HFZ1337" s="4" t="s">
        <v>2881</v>
      </c>
      <c r="HGA1337" s="4" t="s">
        <v>2881</v>
      </c>
      <c r="HGB1337" s="4" t="s">
        <v>2881</v>
      </c>
      <c r="HGC1337" s="4" t="s">
        <v>2881</v>
      </c>
      <c r="HGD1337" s="4" t="s">
        <v>2881</v>
      </c>
      <c r="HGE1337" s="4" t="s">
        <v>2881</v>
      </c>
      <c r="HGF1337" s="4" t="s">
        <v>2881</v>
      </c>
      <c r="HGG1337" s="4" t="s">
        <v>2881</v>
      </c>
      <c r="HGH1337" s="4" t="s">
        <v>2881</v>
      </c>
      <c r="HGI1337" s="4" t="s">
        <v>2881</v>
      </c>
      <c r="HGJ1337" s="4" t="s">
        <v>2881</v>
      </c>
      <c r="HGK1337" s="4" t="s">
        <v>2881</v>
      </c>
      <c r="HGL1337" s="4" t="s">
        <v>2881</v>
      </c>
      <c r="HGM1337" s="4" t="s">
        <v>2881</v>
      </c>
      <c r="HGN1337" s="4" t="s">
        <v>2881</v>
      </c>
      <c r="HGO1337" s="4" t="s">
        <v>2881</v>
      </c>
      <c r="HGP1337" s="4" t="s">
        <v>2881</v>
      </c>
      <c r="HGQ1337" s="4" t="s">
        <v>2881</v>
      </c>
      <c r="HGR1337" s="4" t="s">
        <v>2881</v>
      </c>
      <c r="HGS1337" s="4" t="s">
        <v>2881</v>
      </c>
      <c r="HGT1337" s="4" t="s">
        <v>2881</v>
      </c>
      <c r="HGU1337" s="4" t="s">
        <v>2881</v>
      </c>
      <c r="HGV1337" s="4" t="s">
        <v>2881</v>
      </c>
      <c r="HGW1337" s="4" t="s">
        <v>2881</v>
      </c>
      <c r="HGX1337" s="4" t="s">
        <v>2881</v>
      </c>
      <c r="HGY1337" s="4" t="s">
        <v>2881</v>
      </c>
      <c r="HGZ1337" s="4" t="s">
        <v>2881</v>
      </c>
      <c r="HHA1337" s="4" t="s">
        <v>2881</v>
      </c>
      <c r="HHB1337" s="4" t="s">
        <v>2881</v>
      </c>
      <c r="HHC1337" s="4" t="s">
        <v>2881</v>
      </c>
      <c r="HHD1337" s="4" t="s">
        <v>2881</v>
      </c>
      <c r="HHE1337" s="4" t="s">
        <v>2881</v>
      </c>
      <c r="HHF1337" s="4" t="s">
        <v>2881</v>
      </c>
      <c r="HHG1337" s="4" t="s">
        <v>2881</v>
      </c>
      <c r="HHH1337" s="4" t="s">
        <v>2881</v>
      </c>
      <c r="HHI1337" s="4" t="s">
        <v>2881</v>
      </c>
      <c r="HHJ1337" s="4" t="s">
        <v>2881</v>
      </c>
      <c r="HHK1337" s="4" t="s">
        <v>2881</v>
      </c>
      <c r="HHL1337" s="4" t="s">
        <v>2881</v>
      </c>
      <c r="HHM1337" s="4" t="s">
        <v>2881</v>
      </c>
      <c r="HHN1337" s="4" t="s">
        <v>2881</v>
      </c>
      <c r="HHO1337" s="4" t="s">
        <v>2881</v>
      </c>
      <c r="HHP1337" s="4" t="s">
        <v>2881</v>
      </c>
      <c r="HHQ1337" s="4" t="s">
        <v>2881</v>
      </c>
      <c r="HHR1337" s="4" t="s">
        <v>2881</v>
      </c>
      <c r="HHS1337" s="4" t="s">
        <v>2881</v>
      </c>
      <c r="HHT1337" s="4" t="s">
        <v>2881</v>
      </c>
      <c r="HHU1337" s="4" t="s">
        <v>2881</v>
      </c>
      <c r="HHV1337" s="4" t="s">
        <v>2881</v>
      </c>
      <c r="HHW1337" s="4" t="s">
        <v>2881</v>
      </c>
      <c r="HHX1337" s="4" t="s">
        <v>2881</v>
      </c>
      <c r="HHY1337" s="4" t="s">
        <v>2881</v>
      </c>
      <c r="HHZ1337" s="4" t="s">
        <v>2881</v>
      </c>
      <c r="HIA1337" s="4" t="s">
        <v>2881</v>
      </c>
      <c r="HIB1337" s="4" t="s">
        <v>2881</v>
      </c>
      <c r="HIC1337" s="4" t="s">
        <v>2881</v>
      </c>
      <c r="HID1337" s="4" t="s">
        <v>2881</v>
      </c>
      <c r="HIE1337" s="4" t="s">
        <v>2881</v>
      </c>
      <c r="HIF1337" s="4" t="s">
        <v>2881</v>
      </c>
      <c r="HIG1337" s="4" t="s">
        <v>2881</v>
      </c>
      <c r="HIH1337" s="4" t="s">
        <v>2881</v>
      </c>
      <c r="HII1337" s="4" t="s">
        <v>2881</v>
      </c>
      <c r="HIJ1337" s="4" t="s">
        <v>2881</v>
      </c>
      <c r="HIK1337" s="4" t="s">
        <v>2881</v>
      </c>
      <c r="HIL1337" s="4" t="s">
        <v>2881</v>
      </c>
      <c r="HIM1337" s="4" t="s">
        <v>2881</v>
      </c>
      <c r="HIN1337" s="4" t="s">
        <v>2881</v>
      </c>
      <c r="HIO1337" s="4" t="s">
        <v>2881</v>
      </c>
      <c r="HIP1337" s="4" t="s">
        <v>2881</v>
      </c>
      <c r="HIQ1337" s="4" t="s">
        <v>2881</v>
      </c>
      <c r="HIR1337" s="4" t="s">
        <v>2881</v>
      </c>
      <c r="HIS1337" s="4" t="s">
        <v>2881</v>
      </c>
      <c r="HIT1337" s="4" t="s">
        <v>2881</v>
      </c>
      <c r="HIU1337" s="4" t="s">
        <v>2881</v>
      </c>
      <c r="HIV1337" s="4" t="s">
        <v>2881</v>
      </c>
      <c r="HIW1337" s="4" t="s">
        <v>2881</v>
      </c>
      <c r="HIX1337" s="4" t="s">
        <v>2881</v>
      </c>
      <c r="HIY1337" s="4" t="s">
        <v>2881</v>
      </c>
      <c r="HIZ1337" s="4" t="s">
        <v>2881</v>
      </c>
      <c r="HJA1337" s="4" t="s">
        <v>2881</v>
      </c>
      <c r="HJB1337" s="4" t="s">
        <v>2881</v>
      </c>
      <c r="HJC1337" s="4" t="s">
        <v>2881</v>
      </c>
      <c r="HJD1337" s="4" t="s">
        <v>2881</v>
      </c>
      <c r="HJE1337" s="4" t="s">
        <v>2881</v>
      </c>
      <c r="HJF1337" s="4" t="s">
        <v>2881</v>
      </c>
      <c r="HJG1337" s="4" t="s">
        <v>2881</v>
      </c>
      <c r="HJH1337" s="4" t="s">
        <v>2881</v>
      </c>
      <c r="HJI1337" s="4" t="s">
        <v>2881</v>
      </c>
      <c r="HJJ1337" s="4" t="s">
        <v>2881</v>
      </c>
      <c r="HJK1337" s="4" t="s">
        <v>2881</v>
      </c>
      <c r="HJL1337" s="4" t="s">
        <v>2881</v>
      </c>
      <c r="HJM1337" s="4" t="s">
        <v>2881</v>
      </c>
      <c r="HJN1337" s="4" t="s">
        <v>2881</v>
      </c>
      <c r="HJO1337" s="4" t="s">
        <v>2881</v>
      </c>
      <c r="HJP1337" s="4" t="s">
        <v>2881</v>
      </c>
      <c r="HJQ1337" s="4" t="s">
        <v>2881</v>
      </c>
      <c r="HJR1337" s="4" t="s">
        <v>2881</v>
      </c>
      <c r="HJS1337" s="4" t="s">
        <v>2881</v>
      </c>
      <c r="HJT1337" s="4" t="s">
        <v>2881</v>
      </c>
      <c r="HJU1337" s="4" t="s">
        <v>2881</v>
      </c>
      <c r="HJV1337" s="4" t="s">
        <v>2881</v>
      </c>
      <c r="HJW1337" s="4" t="s">
        <v>2881</v>
      </c>
      <c r="HJX1337" s="4" t="s">
        <v>2881</v>
      </c>
      <c r="HJY1337" s="4" t="s">
        <v>2881</v>
      </c>
      <c r="HJZ1337" s="4" t="s">
        <v>2881</v>
      </c>
      <c r="HKA1337" s="4" t="s">
        <v>2881</v>
      </c>
      <c r="HKB1337" s="4" t="s">
        <v>2881</v>
      </c>
      <c r="HKC1337" s="4" t="s">
        <v>2881</v>
      </c>
      <c r="HKD1337" s="4" t="s">
        <v>2881</v>
      </c>
      <c r="HKE1337" s="4" t="s">
        <v>2881</v>
      </c>
      <c r="HKF1337" s="4" t="s">
        <v>2881</v>
      </c>
      <c r="HKG1337" s="4" t="s">
        <v>2881</v>
      </c>
      <c r="HKH1337" s="4" t="s">
        <v>2881</v>
      </c>
      <c r="HKI1337" s="4" t="s">
        <v>2881</v>
      </c>
      <c r="HKJ1337" s="4" t="s">
        <v>2881</v>
      </c>
      <c r="HKK1337" s="4" t="s">
        <v>2881</v>
      </c>
      <c r="HKL1337" s="4" t="s">
        <v>2881</v>
      </c>
      <c r="HKM1337" s="4" t="s">
        <v>2881</v>
      </c>
      <c r="HKN1337" s="4" t="s">
        <v>2881</v>
      </c>
      <c r="HKO1337" s="4" t="s">
        <v>2881</v>
      </c>
      <c r="HKP1337" s="4" t="s">
        <v>2881</v>
      </c>
      <c r="HKQ1337" s="4" t="s">
        <v>2881</v>
      </c>
      <c r="HKR1337" s="4" t="s">
        <v>2881</v>
      </c>
      <c r="HKS1337" s="4" t="s">
        <v>2881</v>
      </c>
      <c r="HKT1337" s="4" t="s">
        <v>2881</v>
      </c>
      <c r="HKU1337" s="4" t="s">
        <v>2881</v>
      </c>
      <c r="HKV1337" s="4" t="s">
        <v>2881</v>
      </c>
      <c r="HKW1337" s="4" t="s">
        <v>2881</v>
      </c>
      <c r="HKX1337" s="4" t="s">
        <v>2881</v>
      </c>
      <c r="HKY1337" s="4" t="s">
        <v>2881</v>
      </c>
      <c r="HKZ1337" s="4" t="s">
        <v>2881</v>
      </c>
      <c r="HLA1337" s="4" t="s">
        <v>2881</v>
      </c>
      <c r="HLB1337" s="4" t="s">
        <v>2881</v>
      </c>
      <c r="HLC1337" s="4" t="s">
        <v>2881</v>
      </c>
      <c r="HLD1337" s="4" t="s">
        <v>2881</v>
      </c>
      <c r="HLE1337" s="4" t="s">
        <v>2881</v>
      </c>
      <c r="HLF1337" s="4" t="s">
        <v>2881</v>
      </c>
      <c r="HLG1337" s="4" t="s">
        <v>2881</v>
      </c>
      <c r="HLH1337" s="4" t="s">
        <v>2881</v>
      </c>
      <c r="HLI1337" s="4" t="s">
        <v>2881</v>
      </c>
      <c r="HLJ1337" s="4" t="s">
        <v>2881</v>
      </c>
      <c r="HLK1337" s="4" t="s">
        <v>2881</v>
      </c>
      <c r="HLL1337" s="4" t="s">
        <v>2881</v>
      </c>
      <c r="HLM1337" s="4" t="s">
        <v>2881</v>
      </c>
      <c r="HLN1337" s="4" t="s">
        <v>2881</v>
      </c>
      <c r="HLO1337" s="4" t="s">
        <v>2881</v>
      </c>
      <c r="HLP1337" s="4" t="s">
        <v>2881</v>
      </c>
      <c r="HLQ1337" s="4" t="s">
        <v>2881</v>
      </c>
      <c r="HLR1337" s="4" t="s">
        <v>2881</v>
      </c>
      <c r="HLS1337" s="4" t="s">
        <v>2881</v>
      </c>
      <c r="HLT1337" s="4" t="s">
        <v>2881</v>
      </c>
      <c r="HLU1337" s="4" t="s">
        <v>2881</v>
      </c>
      <c r="HLV1337" s="4" t="s">
        <v>2881</v>
      </c>
      <c r="HLW1337" s="4" t="s">
        <v>2881</v>
      </c>
      <c r="HLX1337" s="4" t="s">
        <v>2881</v>
      </c>
      <c r="HLY1337" s="4" t="s">
        <v>2881</v>
      </c>
      <c r="HLZ1337" s="4" t="s">
        <v>2881</v>
      </c>
      <c r="HMA1337" s="4" t="s">
        <v>2881</v>
      </c>
      <c r="HMB1337" s="4" t="s">
        <v>2881</v>
      </c>
      <c r="HMC1337" s="4" t="s">
        <v>2881</v>
      </c>
      <c r="HMD1337" s="4" t="s">
        <v>2881</v>
      </c>
      <c r="HME1337" s="4" t="s">
        <v>2881</v>
      </c>
      <c r="HMF1337" s="4" t="s">
        <v>2881</v>
      </c>
      <c r="HMG1337" s="4" t="s">
        <v>2881</v>
      </c>
      <c r="HMH1337" s="4" t="s">
        <v>2881</v>
      </c>
      <c r="HMI1337" s="4" t="s">
        <v>2881</v>
      </c>
      <c r="HMJ1337" s="4" t="s">
        <v>2881</v>
      </c>
      <c r="HMK1337" s="4" t="s">
        <v>2881</v>
      </c>
      <c r="HML1337" s="4" t="s">
        <v>2881</v>
      </c>
      <c r="HMM1337" s="4" t="s">
        <v>2881</v>
      </c>
      <c r="HMN1337" s="4" t="s">
        <v>2881</v>
      </c>
      <c r="HMO1337" s="4" t="s">
        <v>2881</v>
      </c>
      <c r="HMP1337" s="4" t="s">
        <v>2881</v>
      </c>
      <c r="HMQ1337" s="4" t="s">
        <v>2881</v>
      </c>
      <c r="HMR1337" s="4" t="s">
        <v>2881</v>
      </c>
      <c r="HMS1337" s="4" t="s">
        <v>2881</v>
      </c>
      <c r="HMT1337" s="4" t="s">
        <v>2881</v>
      </c>
      <c r="HMU1337" s="4" t="s">
        <v>2881</v>
      </c>
      <c r="HMV1337" s="4" t="s">
        <v>2881</v>
      </c>
      <c r="HMW1337" s="4" t="s">
        <v>2881</v>
      </c>
      <c r="HMX1337" s="4" t="s">
        <v>2881</v>
      </c>
      <c r="HMY1337" s="4" t="s">
        <v>2881</v>
      </c>
      <c r="HMZ1337" s="4" t="s">
        <v>2881</v>
      </c>
      <c r="HNA1337" s="4" t="s">
        <v>2881</v>
      </c>
      <c r="HNB1337" s="4" t="s">
        <v>2881</v>
      </c>
      <c r="HNC1337" s="4" t="s">
        <v>2881</v>
      </c>
      <c r="HND1337" s="4" t="s">
        <v>2881</v>
      </c>
      <c r="HNE1337" s="4" t="s">
        <v>2881</v>
      </c>
      <c r="HNF1337" s="4" t="s">
        <v>2881</v>
      </c>
      <c r="HNG1337" s="4" t="s">
        <v>2881</v>
      </c>
      <c r="HNH1337" s="4" t="s">
        <v>2881</v>
      </c>
      <c r="HNI1337" s="4" t="s">
        <v>2881</v>
      </c>
      <c r="HNJ1337" s="4" t="s">
        <v>2881</v>
      </c>
      <c r="HNK1337" s="4" t="s">
        <v>2881</v>
      </c>
      <c r="HNL1337" s="4" t="s">
        <v>2881</v>
      </c>
      <c r="HNM1337" s="4" t="s">
        <v>2881</v>
      </c>
      <c r="HNN1337" s="4" t="s">
        <v>2881</v>
      </c>
      <c r="HNO1337" s="4" t="s">
        <v>2881</v>
      </c>
      <c r="HNP1337" s="4" t="s">
        <v>2881</v>
      </c>
      <c r="HNQ1337" s="4" t="s">
        <v>2881</v>
      </c>
      <c r="HNR1337" s="4" t="s">
        <v>2881</v>
      </c>
      <c r="HNS1337" s="4" t="s">
        <v>2881</v>
      </c>
      <c r="HNT1337" s="4" t="s">
        <v>2881</v>
      </c>
      <c r="HNU1337" s="4" t="s">
        <v>2881</v>
      </c>
      <c r="HNV1337" s="4" t="s">
        <v>2881</v>
      </c>
      <c r="HNW1337" s="4" t="s">
        <v>2881</v>
      </c>
      <c r="HNX1337" s="4" t="s">
        <v>2881</v>
      </c>
      <c r="HNY1337" s="4" t="s">
        <v>2881</v>
      </c>
      <c r="HNZ1337" s="4" t="s">
        <v>2881</v>
      </c>
      <c r="HOA1337" s="4" t="s">
        <v>2881</v>
      </c>
      <c r="HOB1337" s="4" t="s">
        <v>2881</v>
      </c>
      <c r="HOC1337" s="4" t="s">
        <v>2881</v>
      </c>
      <c r="HOD1337" s="4" t="s">
        <v>2881</v>
      </c>
      <c r="HOE1337" s="4" t="s">
        <v>2881</v>
      </c>
      <c r="HOF1337" s="4" t="s">
        <v>2881</v>
      </c>
      <c r="HOG1337" s="4" t="s">
        <v>2881</v>
      </c>
      <c r="HOH1337" s="4" t="s">
        <v>2881</v>
      </c>
      <c r="HOI1337" s="4" t="s">
        <v>2881</v>
      </c>
      <c r="HOJ1337" s="4" t="s">
        <v>2881</v>
      </c>
      <c r="HOK1337" s="4" t="s">
        <v>2881</v>
      </c>
      <c r="HOL1337" s="4" t="s">
        <v>2881</v>
      </c>
      <c r="HOM1337" s="4" t="s">
        <v>2881</v>
      </c>
      <c r="HON1337" s="4" t="s">
        <v>2881</v>
      </c>
      <c r="HOO1337" s="4" t="s">
        <v>2881</v>
      </c>
      <c r="HOP1337" s="4" t="s">
        <v>2881</v>
      </c>
      <c r="HOQ1337" s="4" t="s">
        <v>2881</v>
      </c>
      <c r="HOR1337" s="4" t="s">
        <v>2881</v>
      </c>
      <c r="HOS1337" s="4" t="s">
        <v>2881</v>
      </c>
      <c r="HOT1337" s="4" t="s">
        <v>2881</v>
      </c>
      <c r="HOU1337" s="4" t="s">
        <v>2881</v>
      </c>
      <c r="HOV1337" s="4" t="s">
        <v>2881</v>
      </c>
      <c r="HOW1337" s="4" t="s">
        <v>2881</v>
      </c>
      <c r="HOX1337" s="4" t="s">
        <v>2881</v>
      </c>
      <c r="HOY1337" s="4" t="s">
        <v>2881</v>
      </c>
      <c r="HOZ1337" s="4" t="s">
        <v>2881</v>
      </c>
      <c r="HPA1337" s="4" t="s">
        <v>2881</v>
      </c>
      <c r="HPB1337" s="4" t="s">
        <v>2881</v>
      </c>
      <c r="HPC1337" s="4" t="s">
        <v>2881</v>
      </c>
      <c r="HPD1337" s="4" t="s">
        <v>2881</v>
      </c>
      <c r="HPE1337" s="4" t="s">
        <v>2881</v>
      </c>
      <c r="HPF1337" s="4" t="s">
        <v>2881</v>
      </c>
      <c r="HPG1337" s="4" t="s">
        <v>2881</v>
      </c>
      <c r="HPH1337" s="4" t="s">
        <v>2881</v>
      </c>
      <c r="HPI1337" s="4" t="s">
        <v>2881</v>
      </c>
      <c r="HPJ1337" s="4" t="s">
        <v>2881</v>
      </c>
      <c r="HPK1337" s="4" t="s">
        <v>2881</v>
      </c>
      <c r="HPL1337" s="4" t="s">
        <v>2881</v>
      </c>
      <c r="HPM1337" s="4" t="s">
        <v>2881</v>
      </c>
      <c r="HPN1337" s="4" t="s">
        <v>2881</v>
      </c>
      <c r="HPO1337" s="4" t="s">
        <v>2881</v>
      </c>
      <c r="HPP1337" s="4" t="s">
        <v>2881</v>
      </c>
      <c r="HPQ1337" s="4" t="s">
        <v>2881</v>
      </c>
      <c r="HPR1337" s="4" t="s">
        <v>2881</v>
      </c>
      <c r="HPS1337" s="4" t="s">
        <v>2881</v>
      </c>
      <c r="HPT1337" s="4" t="s">
        <v>2881</v>
      </c>
      <c r="HPU1337" s="4" t="s">
        <v>2881</v>
      </c>
      <c r="HPV1337" s="4" t="s">
        <v>2881</v>
      </c>
      <c r="HPW1337" s="4" t="s">
        <v>2881</v>
      </c>
      <c r="HPX1337" s="4" t="s">
        <v>2881</v>
      </c>
      <c r="HPY1337" s="4" t="s">
        <v>2881</v>
      </c>
      <c r="HPZ1337" s="4" t="s">
        <v>2881</v>
      </c>
      <c r="HQA1337" s="4" t="s">
        <v>2881</v>
      </c>
      <c r="HQB1337" s="4" t="s">
        <v>2881</v>
      </c>
      <c r="HQC1337" s="4" t="s">
        <v>2881</v>
      </c>
      <c r="HQD1337" s="4" t="s">
        <v>2881</v>
      </c>
      <c r="HQE1337" s="4" t="s">
        <v>2881</v>
      </c>
      <c r="HQF1337" s="4" t="s">
        <v>2881</v>
      </c>
      <c r="HQG1337" s="4" t="s">
        <v>2881</v>
      </c>
      <c r="HQH1337" s="4" t="s">
        <v>2881</v>
      </c>
      <c r="HQI1337" s="4" t="s">
        <v>2881</v>
      </c>
      <c r="HQJ1337" s="4" t="s">
        <v>2881</v>
      </c>
      <c r="HQK1337" s="4" t="s">
        <v>2881</v>
      </c>
      <c r="HQL1337" s="4" t="s">
        <v>2881</v>
      </c>
      <c r="HQM1337" s="4" t="s">
        <v>2881</v>
      </c>
      <c r="HQN1337" s="4" t="s">
        <v>2881</v>
      </c>
      <c r="HQO1337" s="4" t="s">
        <v>2881</v>
      </c>
      <c r="HQP1337" s="4" t="s">
        <v>2881</v>
      </c>
      <c r="HQQ1337" s="4" t="s">
        <v>2881</v>
      </c>
      <c r="HQR1337" s="4" t="s">
        <v>2881</v>
      </c>
      <c r="HQS1337" s="4" t="s">
        <v>2881</v>
      </c>
      <c r="HQT1337" s="4" t="s">
        <v>2881</v>
      </c>
      <c r="HQU1337" s="4" t="s">
        <v>2881</v>
      </c>
      <c r="HQV1337" s="4" t="s">
        <v>2881</v>
      </c>
      <c r="HQW1337" s="4" t="s">
        <v>2881</v>
      </c>
      <c r="HQX1337" s="4" t="s">
        <v>2881</v>
      </c>
      <c r="HQY1337" s="4" t="s">
        <v>2881</v>
      </c>
      <c r="HQZ1337" s="4" t="s">
        <v>2881</v>
      </c>
      <c r="HRA1337" s="4" t="s">
        <v>2881</v>
      </c>
      <c r="HRB1337" s="4" t="s">
        <v>2881</v>
      </c>
      <c r="HRC1337" s="4" t="s">
        <v>2881</v>
      </c>
      <c r="HRD1337" s="4" t="s">
        <v>2881</v>
      </c>
      <c r="HRE1337" s="4" t="s">
        <v>2881</v>
      </c>
      <c r="HRF1337" s="4" t="s">
        <v>2881</v>
      </c>
      <c r="HRG1337" s="4" t="s">
        <v>2881</v>
      </c>
      <c r="HRH1337" s="4" t="s">
        <v>2881</v>
      </c>
      <c r="HRI1337" s="4" t="s">
        <v>2881</v>
      </c>
      <c r="HRJ1337" s="4" t="s">
        <v>2881</v>
      </c>
      <c r="HRK1337" s="4" t="s">
        <v>2881</v>
      </c>
      <c r="HRL1337" s="4" t="s">
        <v>2881</v>
      </c>
      <c r="HRM1337" s="4" t="s">
        <v>2881</v>
      </c>
      <c r="HRN1337" s="4" t="s">
        <v>2881</v>
      </c>
      <c r="HRO1337" s="4" t="s">
        <v>2881</v>
      </c>
      <c r="HRP1337" s="4" t="s">
        <v>2881</v>
      </c>
      <c r="HRQ1337" s="4" t="s">
        <v>2881</v>
      </c>
      <c r="HRR1337" s="4" t="s">
        <v>2881</v>
      </c>
      <c r="HRS1337" s="4" t="s">
        <v>2881</v>
      </c>
      <c r="HRT1337" s="4" t="s">
        <v>2881</v>
      </c>
      <c r="HRU1337" s="4" t="s">
        <v>2881</v>
      </c>
      <c r="HRV1337" s="4" t="s">
        <v>2881</v>
      </c>
      <c r="HRW1337" s="4" t="s">
        <v>2881</v>
      </c>
      <c r="HRX1337" s="4" t="s">
        <v>2881</v>
      </c>
      <c r="HRY1337" s="4" t="s">
        <v>2881</v>
      </c>
      <c r="HRZ1337" s="4" t="s">
        <v>2881</v>
      </c>
      <c r="HSA1337" s="4" t="s">
        <v>2881</v>
      </c>
      <c r="HSB1337" s="4" t="s">
        <v>2881</v>
      </c>
      <c r="HSC1337" s="4" t="s">
        <v>2881</v>
      </c>
      <c r="HSD1337" s="4" t="s">
        <v>2881</v>
      </c>
      <c r="HSE1337" s="4" t="s">
        <v>2881</v>
      </c>
      <c r="HSF1337" s="4" t="s">
        <v>2881</v>
      </c>
      <c r="HSG1337" s="4" t="s">
        <v>2881</v>
      </c>
      <c r="HSH1337" s="4" t="s">
        <v>2881</v>
      </c>
      <c r="HSI1337" s="4" t="s">
        <v>2881</v>
      </c>
      <c r="HSJ1337" s="4" t="s">
        <v>2881</v>
      </c>
      <c r="HSK1337" s="4" t="s">
        <v>2881</v>
      </c>
      <c r="HSL1337" s="4" t="s">
        <v>2881</v>
      </c>
      <c r="HSM1337" s="4" t="s">
        <v>2881</v>
      </c>
      <c r="HSN1337" s="4" t="s">
        <v>2881</v>
      </c>
      <c r="HSO1337" s="4" t="s">
        <v>2881</v>
      </c>
      <c r="HSP1337" s="4" t="s">
        <v>2881</v>
      </c>
      <c r="HSQ1337" s="4" t="s">
        <v>2881</v>
      </c>
      <c r="HSR1337" s="4" t="s">
        <v>2881</v>
      </c>
      <c r="HSS1337" s="4" t="s">
        <v>2881</v>
      </c>
      <c r="HST1337" s="4" t="s">
        <v>2881</v>
      </c>
      <c r="HSU1337" s="4" t="s">
        <v>2881</v>
      </c>
      <c r="HSV1337" s="4" t="s">
        <v>2881</v>
      </c>
      <c r="HSW1337" s="4" t="s">
        <v>2881</v>
      </c>
      <c r="HSX1337" s="4" t="s">
        <v>2881</v>
      </c>
      <c r="HSY1337" s="4" t="s">
        <v>2881</v>
      </c>
      <c r="HSZ1337" s="4" t="s">
        <v>2881</v>
      </c>
      <c r="HTA1337" s="4" t="s">
        <v>2881</v>
      </c>
      <c r="HTB1337" s="4" t="s">
        <v>2881</v>
      </c>
      <c r="HTC1337" s="4" t="s">
        <v>2881</v>
      </c>
      <c r="HTD1337" s="4" t="s">
        <v>2881</v>
      </c>
      <c r="HTE1337" s="4" t="s">
        <v>2881</v>
      </c>
      <c r="HTF1337" s="4" t="s">
        <v>2881</v>
      </c>
      <c r="HTG1337" s="4" t="s">
        <v>2881</v>
      </c>
      <c r="HTH1337" s="4" t="s">
        <v>2881</v>
      </c>
      <c r="HTI1337" s="4" t="s">
        <v>2881</v>
      </c>
      <c r="HTJ1337" s="4" t="s">
        <v>2881</v>
      </c>
      <c r="HTK1337" s="4" t="s">
        <v>2881</v>
      </c>
      <c r="HTL1337" s="4" t="s">
        <v>2881</v>
      </c>
      <c r="HTM1337" s="4" t="s">
        <v>2881</v>
      </c>
      <c r="HTN1337" s="4" t="s">
        <v>2881</v>
      </c>
      <c r="HTO1337" s="4" t="s">
        <v>2881</v>
      </c>
      <c r="HTP1337" s="4" t="s">
        <v>2881</v>
      </c>
      <c r="HTQ1337" s="4" t="s">
        <v>2881</v>
      </c>
      <c r="HTR1337" s="4" t="s">
        <v>2881</v>
      </c>
      <c r="HTS1337" s="4" t="s">
        <v>2881</v>
      </c>
      <c r="HTT1337" s="4" t="s">
        <v>2881</v>
      </c>
      <c r="HTU1337" s="4" t="s">
        <v>2881</v>
      </c>
      <c r="HTV1337" s="4" t="s">
        <v>2881</v>
      </c>
      <c r="HTW1337" s="4" t="s">
        <v>2881</v>
      </c>
      <c r="HTX1337" s="4" t="s">
        <v>2881</v>
      </c>
      <c r="HTY1337" s="4" t="s">
        <v>2881</v>
      </c>
      <c r="HTZ1337" s="4" t="s">
        <v>2881</v>
      </c>
      <c r="HUA1337" s="4" t="s">
        <v>2881</v>
      </c>
      <c r="HUB1337" s="4" t="s">
        <v>2881</v>
      </c>
      <c r="HUC1337" s="4" t="s">
        <v>2881</v>
      </c>
      <c r="HUD1337" s="4" t="s">
        <v>2881</v>
      </c>
      <c r="HUE1337" s="4" t="s">
        <v>2881</v>
      </c>
      <c r="HUF1337" s="4" t="s">
        <v>2881</v>
      </c>
      <c r="HUG1337" s="4" t="s">
        <v>2881</v>
      </c>
      <c r="HUH1337" s="4" t="s">
        <v>2881</v>
      </c>
      <c r="HUI1337" s="4" t="s">
        <v>2881</v>
      </c>
      <c r="HUJ1337" s="4" t="s">
        <v>2881</v>
      </c>
      <c r="HUK1337" s="4" t="s">
        <v>2881</v>
      </c>
      <c r="HUL1337" s="4" t="s">
        <v>2881</v>
      </c>
      <c r="HUM1337" s="4" t="s">
        <v>2881</v>
      </c>
      <c r="HUN1337" s="4" t="s">
        <v>2881</v>
      </c>
      <c r="HUO1337" s="4" t="s">
        <v>2881</v>
      </c>
      <c r="HUP1337" s="4" t="s">
        <v>2881</v>
      </c>
      <c r="HUQ1337" s="4" t="s">
        <v>2881</v>
      </c>
      <c r="HUR1337" s="4" t="s">
        <v>2881</v>
      </c>
      <c r="HUS1337" s="4" t="s">
        <v>2881</v>
      </c>
      <c r="HUT1337" s="4" t="s">
        <v>2881</v>
      </c>
      <c r="HUU1337" s="4" t="s">
        <v>2881</v>
      </c>
      <c r="HUV1337" s="4" t="s">
        <v>2881</v>
      </c>
      <c r="HUW1337" s="4" t="s">
        <v>2881</v>
      </c>
      <c r="HUX1337" s="4" t="s">
        <v>2881</v>
      </c>
      <c r="HUY1337" s="4" t="s">
        <v>2881</v>
      </c>
      <c r="HUZ1337" s="4" t="s">
        <v>2881</v>
      </c>
      <c r="HVA1337" s="4" t="s">
        <v>2881</v>
      </c>
      <c r="HVB1337" s="4" t="s">
        <v>2881</v>
      </c>
      <c r="HVC1337" s="4" t="s">
        <v>2881</v>
      </c>
      <c r="HVD1337" s="4" t="s">
        <v>2881</v>
      </c>
      <c r="HVE1337" s="4" t="s">
        <v>2881</v>
      </c>
      <c r="HVF1337" s="4" t="s">
        <v>2881</v>
      </c>
      <c r="HVG1337" s="4" t="s">
        <v>2881</v>
      </c>
      <c r="HVH1337" s="4" t="s">
        <v>2881</v>
      </c>
      <c r="HVI1337" s="4" t="s">
        <v>2881</v>
      </c>
      <c r="HVJ1337" s="4" t="s">
        <v>2881</v>
      </c>
      <c r="HVK1337" s="4" t="s">
        <v>2881</v>
      </c>
      <c r="HVL1337" s="4" t="s">
        <v>2881</v>
      </c>
      <c r="HVM1337" s="4" t="s">
        <v>2881</v>
      </c>
      <c r="HVN1337" s="4" t="s">
        <v>2881</v>
      </c>
      <c r="HVO1337" s="4" t="s">
        <v>2881</v>
      </c>
      <c r="HVP1337" s="4" t="s">
        <v>2881</v>
      </c>
      <c r="HVQ1337" s="4" t="s">
        <v>2881</v>
      </c>
      <c r="HVR1337" s="4" t="s">
        <v>2881</v>
      </c>
      <c r="HVS1337" s="4" t="s">
        <v>2881</v>
      </c>
      <c r="HVT1337" s="4" t="s">
        <v>2881</v>
      </c>
      <c r="HVU1337" s="4" t="s">
        <v>2881</v>
      </c>
      <c r="HVV1337" s="4" t="s">
        <v>2881</v>
      </c>
      <c r="HVW1337" s="4" t="s">
        <v>2881</v>
      </c>
      <c r="HVX1337" s="4" t="s">
        <v>2881</v>
      </c>
      <c r="HVY1337" s="4" t="s">
        <v>2881</v>
      </c>
      <c r="HVZ1337" s="4" t="s">
        <v>2881</v>
      </c>
      <c r="HWA1337" s="4" t="s">
        <v>2881</v>
      </c>
      <c r="HWB1337" s="4" t="s">
        <v>2881</v>
      </c>
      <c r="HWC1337" s="4" t="s">
        <v>2881</v>
      </c>
      <c r="HWD1337" s="4" t="s">
        <v>2881</v>
      </c>
      <c r="HWE1337" s="4" t="s">
        <v>2881</v>
      </c>
      <c r="HWF1337" s="4" t="s">
        <v>2881</v>
      </c>
      <c r="HWG1337" s="4" t="s">
        <v>2881</v>
      </c>
      <c r="HWH1337" s="4" t="s">
        <v>2881</v>
      </c>
      <c r="HWI1337" s="4" t="s">
        <v>2881</v>
      </c>
      <c r="HWJ1337" s="4" t="s">
        <v>2881</v>
      </c>
      <c r="HWK1337" s="4" t="s">
        <v>2881</v>
      </c>
      <c r="HWL1337" s="4" t="s">
        <v>2881</v>
      </c>
      <c r="HWM1337" s="4" t="s">
        <v>2881</v>
      </c>
      <c r="HWN1337" s="4" t="s">
        <v>2881</v>
      </c>
      <c r="HWO1337" s="4" t="s">
        <v>2881</v>
      </c>
      <c r="HWP1337" s="4" t="s">
        <v>2881</v>
      </c>
      <c r="HWQ1337" s="4" t="s">
        <v>2881</v>
      </c>
      <c r="HWR1337" s="4" t="s">
        <v>2881</v>
      </c>
      <c r="HWS1337" s="4" t="s">
        <v>2881</v>
      </c>
      <c r="HWT1337" s="4" t="s">
        <v>2881</v>
      </c>
      <c r="HWU1337" s="4" t="s">
        <v>2881</v>
      </c>
      <c r="HWV1337" s="4" t="s">
        <v>2881</v>
      </c>
      <c r="HWW1337" s="4" t="s">
        <v>2881</v>
      </c>
      <c r="HWX1337" s="4" t="s">
        <v>2881</v>
      </c>
      <c r="HWY1337" s="4" t="s">
        <v>2881</v>
      </c>
      <c r="HWZ1337" s="4" t="s">
        <v>2881</v>
      </c>
      <c r="HXA1337" s="4" t="s">
        <v>2881</v>
      </c>
      <c r="HXB1337" s="4" t="s">
        <v>2881</v>
      </c>
      <c r="HXC1337" s="4" t="s">
        <v>2881</v>
      </c>
      <c r="HXD1337" s="4" t="s">
        <v>2881</v>
      </c>
      <c r="HXE1337" s="4" t="s">
        <v>2881</v>
      </c>
      <c r="HXF1337" s="4" t="s">
        <v>2881</v>
      </c>
      <c r="HXG1337" s="4" t="s">
        <v>2881</v>
      </c>
      <c r="HXH1337" s="4" t="s">
        <v>2881</v>
      </c>
      <c r="HXI1337" s="4" t="s">
        <v>2881</v>
      </c>
      <c r="HXJ1337" s="4" t="s">
        <v>2881</v>
      </c>
      <c r="HXK1337" s="4" t="s">
        <v>2881</v>
      </c>
      <c r="HXL1337" s="4" t="s">
        <v>2881</v>
      </c>
      <c r="HXM1337" s="4" t="s">
        <v>2881</v>
      </c>
      <c r="HXN1337" s="4" t="s">
        <v>2881</v>
      </c>
      <c r="HXO1337" s="4" t="s">
        <v>2881</v>
      </c>
      <c r="HXP1337" s="4" t="s">
        <v>2881</v>
      </c>
      <c r="HXQ1337" s="4" t="s">
        <v>2881</v>
      </c>
      <c r="HXR1337" s="4" t="s">
        <v>2881</v>
      </c>
      <c r="HXS1337" s="4" t="s">
        <v>2881</v>
      </c>
      <c r="HXT1337" s="4" t="s">
        <v>2881</v>
      </c>
      <c r="HXU1337" s="4" t="s">
        <v>2881</v>
      </c>
      <c r="HXV1337" s="4" t="s">
        <v>2881</v>
      </c>
      <c r="HXW1337" s="4" t="s">
        <v>2881</v>
      </c>
      <c r="HXX1337" s="4" t="s">
        <v>2881</v>
      </c>
      <c r="HXY1337" s="4" t="s">
        <v>2881</v>
      </c>
      <c r="HXZ1337" s="4" t="s">
        <v>2881</v>
      </c>
      <c r="HYA1337" s="4" t="s">
        <v>2881</v>
      </c>
      <c r="HYB1337" s="4" t="s">
        <v>2881</v>
      </c>
      <c r="HYC1337" s="4" t="s">
        <v>2881</v>
      </c>
      <c r="HYD1337" s="4" t="s">
        <v>2881</v>
      </c>
      <c r="HYE1337" s="4" t="s">
        <v>2881</v>
      </c>
      <c r="HYF1337" s="4" t="s">
        <v>2881</v>
      </c>
      <c r="HYG1337" s="4" t="s">
        <v>2881</v>
      </c>
      <c r="HYH1337" s="4" t="s">
        <v>2881</v>
      </c>
      <c r="HYI1337" s="4" t="s">
        <v>2881</v>
      </c>
      <c r="HYJ1337" s="4" t="s">
        <v>2881</v>
      </c>
      <c r="HYK1337" s="4" t="s">
        <v>2881</v>
      </c>
      <c r="HYL1337" s="4" t="s">
        <v>2881</v>
      </c>
      <c r="HYM1337" s="4" t="s">
        <v>2881</v>
      </c>
      <c r="HYN1337" s="4" t="s">
        <v>2881</v>
      </c>
      <c r="HYO1337" s="4" t="s">
        <v>2881</v>
      </c>
      <c r="HYP1337" s="4" t="s">
        <v>2881</v>
      </c>
      <c r="HYQ1337" s="4" t="s">
        <v>2881</v>
      </c>
      <c r="HYR1337" s="4" t="s">
        <v>2881</v>
      </c>
      <c r="HYS1337" s="4" t="s">
        <v>2881</v>
      </c>
      <c r="HYT1337" s="4" t="s">
        <v>2881</v>
      </c>
      <c r="HYU1337" s="4" t="s">
        <v>2881</v>
      </c>
      <c r="HYV1337" s="4" t="s">
        <v>2881</v>
      </c>
      <c r="HYW1337" s="4" t="s">
        <v>2881</v>
      </c>
      <c r="HYX1337" s="4" t="s">
        <v>2881</v>
      </c>
      <c r="HYY1337" s="4" t="s">
        <v>2881</v>
      </c>
      <c r="HYZ1337" s="4" t="s">
        <v>2881</v>
      </c>
      <c r="HZA1337" s="4" t="s">
        <v>2881</v>
      </c>
      <c r="HZB1337" s="4" t="s">
        <v>2881</v>
      </c>
      <c r="HZC1337" s="4" t="s">
        <v>2881</v>
      </c>
      <c r="HZD1337" s="4" t="s">
        <v>2881</v>
      </c>
      <c r="HZE1337" s="4" t="s">
        <v>2881</v>
      </c>
      <c r="HZF1337" s="4" t="s">
        <v>2881</v>
      </c>
      <c r="HZG1337" s="4" t="s">
        <v>2881</v>
      </c>
      <c r="HZH1337" s="4" t="s">
        <v>2881</v>
      </c>
      <c r="HZI1337" s="4" t="s">
        <v>2881</v>
      </c>
      <c r="HZJ1337" s="4" t="s">
        <v>2881</v>
      </c>
      <c r="HZK1337" s="4" t="s">
        <v>2881</v>
      </c>
      <c r="HZL1337" s="4" t="s">
        <v>2881</v>
      </c>
      <c r="HZM1337" s="4" t="s">
        <v>2881</v>
      </c>
      <c r="HZN1337" s="4" t="s">
        <v>2881</v>
      </c>
      <c r="HZO1337" s="4" t="s">
        <v>2881</v>
      </c>
      <c r="HZP1337" s="4" t="s">
        <v>2881</v>
      </c>
      <c r="HZQ1337" s="4" t="s">
        <v>2881</v>
      </c>
      <c r="HZR1337" s="4" t="s">
        <v>2881</v>
      </c>
      <c r="HZS1337" s="4" t="s">
        <v>2881</v>
      </c>
      <c r="HZT1337" s="4" t="s">
        <v>2881</v>
      </c>
      <c r="HZU1337" s="4" t="s">
        <v>2881</v>
      </c>
      <c r="HZV1337" s="4" t="s">
        <v>2881</v>
      </c>
      <c r="HZW1337" s="4" t="s">
        <v>2881</v>
      </c>
      <c r="HZX1337" s="4" t="s">
        <v>2881</v>
      </c>
      <c r="HZY1337" s="4" t="s">
        <v>2881</v>
      </c>
      <c r="HZZ1337" s="4" t="s">
        <v>2881</v>
      </c>
      <c r="IAA1337" s="4" t="s">
        <v>2881</v>
      </c>
      <c r="IAB1337" s="4" t="s">
        <v>2881</v>
      </c>
      <c r="IAC1337" s="4" t="s">
        <v>2881</v>
      </c>
      <c r="IAD1337" s="4" t="s">
        <v>2881</v>
      </c>
      <c r="IAE1337" s="4" t="s">
        <v>2881</v>
      </c>
      <c r="IAF1337" s="4" t="s">
        <v>2881</v>
      </c>
      <c r="IAG1337" s="4" t="s">
        <v>2881</v>
      </c>
      <c r="IAH1337" s="4" t="s">
        <v>2881</v>
      </c>
      <c r="IAI1337" s="4" t="s">
        <v>2881</v>
      </c>
      <c r="IAJ1337" s="4" t="s">
        <v>2881</v>
      </c>
      <c r="IAK1337" s="4" t="s">
        <v>2881</v>
      </c>
      <c r="IAL1337" s="4" t="s">
        <v>2881</v>
      </c>
      <c r="IAM1337" s="4" t="s">
        <v>2881</v>
      </c>
      <c r="IAN1337" s="4" t="s">
        <v>2881</v>
      </c>
      <c r="IAO1337" s="4" t="s">
        <v>2881</v>
      </c>
      <c r="IAP1337" s="4" t="s">
        <v>2881</v>
      </c>
      <c r="IAQ1337" s="4" t="s">
        <v>2881</v>
      </c>
      <c r="IAR1337" s="4" t="s">
        <v>2881</v>
      </c>
      <c r="IAS1337" s="4" t="s">
        <v>2881</v>
      </c>
      <c r="IAT1337" s="4" t="s">
        <v>2881</v>
      </c>
      <c r="IAU1337" s="4" t="s">
        <v>2881</v>
      </c>
      <c r="IAV1337" s="4" t="s">
        <v>2881</v>
      </c>
      <c r="IAW1337" s="4" t="s">
        <v>2881</v>
      </c>
      <c r="IAX1337" s="4" t="s">
        <v>2881</v>
      </c>
      <c r="IAY1337" s="4" t="s">
        <v>2881</v>
      </c>
      <c r="IAZ1337" s="4" t="s">
        <v>2881</v>
      </c>
      <c r="IBA1337" s="4" t="s">
        <v>2881</v>
      </c>
      <c r="IBB1337" s="4" t="s">
        <v>2881</v>
      </c>
      <c r="IBC1337" s="4" t="s">
        <v>2881</v>
      </c>
      <c r="IBD1337" s="4" t="s">
        <v>2881</v>
      </c>
      <c r="IBE1337" s="4" t="s">
        <v>2881</v>
      </c>
      <c r="IBF1337" s="4" t="s">
        <v>2881</v>
      </c>
      <c r="IBG1337" s="4" t="s">
        <v>2881</v>
      </c>
      <c r="IBH1337" s="4" t="s">
        <v>2881</v>
      </c>
      <c r="IBI1337" s="4" t="s">
        <v>2881</v>
      </c>
      <c r="IBJ1337" s="4" t="s">
        <v>2881</v>
      </c>
      <c r="IBK1337" s="4" t="s">
        <v>2881</v>
      </c>
      <c r="IBL1337" s="4" t="s">
        <v>2881</v>
      </c>
      <c r="IBM1337" s="4" t="s">
        <v>2881</v>
      </c>
      <c r="IBN1337" s="4" t="s">
        <v>2881</v>
      </c>
      <c r="IBO1337" s="4" t="s">
        <v>2881</v>
      </c>
      <c r="IBP1337" s="4" t="s">
        <v>2881</v>
      </c>
      <c r="IBQ1337" s="4" t="s">
        <v>2881</v>
      </c>
      <c r="IBR1337" s="4" t="s">
        <v>2881</v>
      </c>
      <c r="IBS1337" s="4" t="s">
        <v>2881</v>
      </c>
      <c r="IBT1337" s="4" t="s">
        <v>2881</v>
      </c>
      <c r="IBU1337" s="4" t="s">
        <v>2881</v>
      </c>
      <c r="IBV1337" s="4" t="s">
        <v>2881</v>
      </c>
      <c r="IBW1337" s="4" t="s">
        <v>2881</v>
      </c>
      <c r="IBX1337" s="4" t="s">
        <v>2881</v>
      </c>
      <c r="IBY1337" s="4" t="s">
        <v>2881</v>
      </c>
      <c r="IBZ1337" s="4" t="s">
        <v>2881</v>
      </c>
      <c r="ICA1337" s="4" t="s">
        <v>2881</v>
      </c>
      <c r="ICB1337" s="4" t="s">
        <v>2881</v>
      </c>
      <c r="ICC1337" s="4" t="s">
        <v>2881</v>
      </c>
      <c r="ICD1337" s="4" t="s">
        <v>2881</v>
      </c>
      <c r="ICE1337" s="4" t="s">
        <v>2881</v>
      </c>
      <c r="ICF1337" s="4" t="s">
        <v>2881</v>
      </c>
      <c r="ICG1337" s="4" t="s">
        <v>2881</v>
      </c>
      <c r="ICH1337" s="4" t="s">
        <v>2881</v>
      </c>
      <c r="ICI1337" s="4" t="s">
        <v>2881</v>
      </c>
      <c r="ICJ1337" s="4" t="s">
        <v>2881</v>
      </c>
      <c r="ICK1337" s="4" t="s">
        <v>2881</v>
      </c>
      <c r="ICL1337" s="4" t="s">
        <v>2881</v>
      </c>
      <c r="ICM1337" s="4" t="s">
        <v>2881</v>
      </c>
      <c r="ICN1337" s="4" t="s">
        <v>2881</v>
      </c>
      <c r="ICO1337" s="4" t="s">
        <v>2881</v>
      </c>
      <c r="ICP1337" s="4" t="s">
        <v>2881</v>
      </c>
      <c r="ICQ1337" s="4" t="s">
        <v>2881</v>
      </c>
      <c r="ICR1337" s="4" t="s">
        <v>2881</v>
      </c>
      <c r="ICS1337" s="4" t="s">
        <v>2881</v>
      </c>
      <c r="ICT1337" s="4" t="s">
        <v>2881</v>
      </c>
      <c r="ICU1337" s="4" t="s">
        <v>2881</v>
      </c>
      <c r="ICV1337" s="4" t="s">
        <v>2881</v>
      </c>
      <c r="ICW1337" s="4" t="s">
        <v>2881</v>
      </c>
      <c r="ICX1337" s="4" t="s">
        <v>2881</v>
      </c>
      <c r="ICY1337" s="4" t="s">
        <v>2881</v>
      </c>
      <c r="ICZ1337" s="4" t="s">
        <v>2881</v>
      </c>
      <c r="IDA1337" s="4" t="s">
        <v>2881</v>
      </c>
      <c r="IDB1337" s="4" t="s">
        <v>2881</v>
      </c>
      <c r="IDC1337" s="4" t="s">
        <v>2881</v>
      </c>
      <c r="IDD1337" s="4" t="s">
        <v>2881</v>
      </c>
      <c r="IDE1337" s="4" t="s">
        <v>2881</v>
      </c>
      <c r="IDF1337" s="4" t="s">
        <v>2881</v>
      </c>
      <c r="IDG1337" s="4" t="s">
        <v>2881</v>
      </c>
      <c r="IDH1337" s="4" t="s">
        <v>2881</v>
      </c>
      <c r="IDI1337" s="4" t="s">
        <v>2881</v>
      </c>
      <c r="IDJ1337" s="4" t="s">
        <v>2881</v>
      </c>
      <c r="IDK1337" s="4" t="s">
        <v>2881</v>
      </c>
      <c r="IDL1337" s="4" t="s">
        <v>2881</v>
      </c>
      <c r="IDM1337" s="4" t="s">
        <v>2881</v>
      </c>
      <c r="IDN1337" s="4" t="s">
        <v>2881</v>
      </c>
      <c r="IDO1337" s="4" t="s">
        <v>2881</v>
      </c>
      <c r="IDP1337" s="4" t="s">
        <v>2881</v>
      </c>
      <c r="IDQ1337" s="4" t="s">
        <v>2881</v>
      </c>
      <c r="IDR1337" s="4" t="s">
        <v>2881</v>
      </c>
      <c r="IDS1337" s="4" t="s">
        <v>2881</v>
      </c>
      <c r="IDT1337" s="4" t="s">
        <v>2881</v>
      </c>
      <c r="IDU1337" s="4" t="s">
        <v>2881</v>
      </c>
      <c r="IDV1337" s="4" t="s">
        <v>2881</v>
      </c>
      <c r="IDW1337" s="4" t="s">
        <v>2881</v>
      </c>
      <c r="IDX1337" s="4" t="s">
        <v>2881</v>
      </c>
      <c r="IDY1337" s="4" t="s">
        <v>2881</v>
      </c>
      <c r="IDZ1337" s="4" t="s">
        <v>2881</v>
      </c>
      <c r="IEA1337" s="4" t="s">
        <v>2881</v>
      </c>
      <c r="IEB1337" s="4" t="s">
        <v>2881</v>
      </c>
      <c r="IEC1337" s="4" t="s">
        <v>2881</v>
      </c>
      <c r="IED1337" s="4" t="s">
        <v>2881</v>
      </c>
      <c r="IEE1337" s="4" t="s">
        <v>2881</v>
      </c>
      <c r="IEF1337" s="4" t="s">
        <v>2881</v>
      </c>
      <c r="IEG1337" s="4" t="s">
        <v>2881</v>
      </c>
      <c r="IEH1337" s="4" t="s">
        <v>2881</v>
      </c>
      <c r="IEI1337" s="4" t="s">
        <v>2881</v>
      </c>
      <c r="IEJ1337" s="4" t="s">
        <v>2881</v>
      </c>
      <c r="IEK1337" s="4" t="s">
        <v>2881</v>
      </c>
      <c r="IEL1337" s="4" t="s">
        <v>2881</v>
      </c>
      <c r="IEM1337" s="4" t="s">
        <v>2881</v>
      </c>
      <c r="IEN1337" s="4" t="s">
        <v>2881</v>
      </c>
      <c r="IEO1337" s="4" t="s">
        <v>2881</v>
      </c>
      <c r="IEP1337" s="4" t="s">
        <v>2881</v>
      </c>
      <c r="IEQ1337" s="4" t="s">
        <v>2881</v>
      </c>
      <c r="IER1337" s="4" t="s">
        <v>2881</v>
      </c>
      <c r="IES1337" s="4" t="s">
        <v>2881</v>
      </c>
      <c r="IET1337" s="4" t="s">
        <v>2881</v>
      </c>
      <c r="IEU1337" s="4" t="s">
        <v>2881</v>
      </c>
      <c r="IEV1337" s="4" t="s">
        <v>2881</v>
      </c>
      <c r="IEW1337" s="4" t="s">
        <v>2881</v>
      </c>
      <c r="IEX1337" s="4" t="s">
        <v>2881</v>
      </c>
      <c r="IEY1337" s="4" t="s">
        <v>2881</v>
      </c>
      <c r="IEZ1337" s="4" t="s">
        <v>2881</v>
      </c>
      <c r="IFA1337" s="4" t="s">
        <v>2881</v>
      </c>
      <c r="IFB1337" s="4" t="s">
        <v>2881</v>
      </c>
      <c r="IFC1337" s="4" t="s">
        <v>2881</v>
      </c>
      <c r="IFD1337" s="4" t="s">
        <v>2881</v>
      </c>
      <c r="IFE1337" s="4" t="s">
        <v>2881</v>
      </c>
      <c r="IFF1337" s="4" t="s">
        <v>2881</v>
      </c>
      <c r="IFG1337" s="4" t="s">
        <v>2881</v>
      </c>
      <c r="IFH1337" s="4" t="s">
        <v>2881</v>
      </c>
      <c r="IFI1337" s="4" t="s">
        <v>2881</v>
      </c>
      <c r="IFJ1337" s="4" t="s">
        <v>2881</v>
      </c>
      <c r="IFK1337" s="4" t="s">
        <v>2881</v>
      </c>
      <c r="IFL1337" s="4" t="s">
        <v>2881</v>
      </c>
      <c r="IFM1337" s="4" t="s">
        <v>2881</v>
      </c>
      <c r="IFN1337" s="4" t="s">
        <v>2881</v>
      </c>
      <c r="IFO1337" s="4" t="s">
        <v>2881</v>
      </c>
      <c r="IFP1337" s="4" t="s">
        <v>2881</v>
      </c>
      <c r="IFQ1337" s="4" t="s">
        <v>2881</v>
      </c>
      <c r="IFR1337" s="4" t="s">
        <v>2881</v>
      </c>
      <c r="IFS1337" s="4" t="s">
        <v>2881</v>
      </c>
      <c r="IFT1337" s="4" t="s">
        <v>2881</v>
      </c>
      <c r="IFU1337" s="4" t="s">
        <v>2881</v>
      </c>
      <c r="IFV1337" s="4" t="s">
        <v>2881</v>
      </c>
      <c r="IFW1337" s="4" t="s">
        <v>2881</v>
      </c>
      <c r="IFX1337" s="4" t="s">
        <v>2881</v>
      </c>
      <c r="IFY1337" s="4" t="s">
        <v>2881</v>
      </c>
      <c r="IFZ1337" s="4" t="s">
        <v>2881</v>
      </c>
      <c r="IGA1337" s="4" t="s">
        <v>2881</v>
      </c>
      <c r="IGB1337" s="4" t="s">
        <v>2881</v>
      </c>
      <c r="IGC1337" s="4" t="s">
        <v>2881</v>
      </c>
      <c r="IGD1337" s="4" t="s">
        <v>2881</v>
      </c>
      <c r="IGE1337" s="4" t="s">
        <v>2881</v>
      </c>
      <c r="IGF1337" s="4" t="s">
        <v>2881</v>
      </c>
      <c r="IGG1337" s="4" t="s">
        <v>2881</v>
      </c>
      <c r="IGH1337" s="4" t="s">
        <v>2881</v>
      </c>
      <c r="IGI1337" s="4" t="s">
        <v>2881</v>
      </c>
      <c r="IGJ1337" s="4" t="s">
        <v>2881</v>
      </c>
      <c r="IGK1337" s="4" t="s">
        <v>2881</v>
      </c>
      <c r="IGL1337" s="4" t="s">
        <v>2881</v>
      </c>
      <c r="IGM1337" s="4" t="s">
        <v>2881</v>
      </c>
      <c r="IGN1337" s="4" t="s">
        <v>2881</v>
      </c>
      <c r="IGO1337" s="4" t="s">
        <v>2881</v>
      </c>
      <c r="IGP1337" s="4" t="s">
        <v>2881</v>
      </c>
      <c r="IGQ1337" s="4" t="s">
        <v>2881</v>
      </c>
      <c r="IGR1337" s="4" t="s">
        <v>2881</v>
      </c>
      <c r="IGS1337" s="4" t="s">
        <v>2881</v>
      </c>
      <c r="IGT1337" s="4" t="s">
        <v>2881</v>
      </c>
      <c r="IGU1337" s="4" t="s">
        <v>2881</v>
      </c>
      <c r="IGV1337" s="4" t="s">
        <v>2881</v>
      </c>
      <c r="IGW1337" s="4" t="s">
        <v>2881</v>
      </c>
      <c r="IGX1337" s="4" t="s">
        <v>2881</v>
      </c>
      <c r="IGY1337" s="4" t="s">
        <v>2881</v>
      </c>
      <c r="IGZ1337" s="4" t="s">
        <v>2881</v>
      </c>
      <c r="IHA1337" s="4" t="s">
        <v>2881</v>
      </c>
      <c r="IHB1337" s="4" t="s">
        <v>2881</v>
      </c>
      <c r="IHC1337" s="4" t="s">
        <v>2881</v>
      </c>
      <c r="IHD1337" s="4" t="s">
        <v>2881</v>
      </c>
      <c r="IHE1337" s="4" t="s">
        <v>2881</v>
      </c>
      <c r="IHF1337" s="4" t="s">
        <v>2881</v>
      </c>
      <c r="IHG1337" s="4" t="s">
        <v>2881</v>
      </c>
      <c r="IHH1337" s="4" t="s">
        <v>2881</v>
      </c>
      <c r="IHI1337" s="4" t="s">
        <v>2881</v>
      </c>
      <c r="IHJ1337" s="4" t="s">
        <v>2881</v>
      </c>
      <c r="IHK1337" s="4" t="s">
        <v>2881</v>
      </c>
      <c r="IHL1337" s="4" t="s">
        <v>2881</v>
      </c>
      <c r="IHM1337" s="4" t="s">
        <v>2881</v>
      </c>
      <c r="IHN1337" s="4" t="s">
        <v>2881</v>
      </c>
      <c r="IHO1337" s="4" t="s">
        <v>2881</v>
      </c>
      <c r="IHP1337" s="4" t="s">
        <v>2881</v>
      </c>
      <c r="IHQ1337" s="4" t="s">
        <v>2881</v>
      </c>
      <c r="IHR1337" s="4" t="s">
        <v>2881</v>
      </c>
      <c r="IHS1337" s="4" t="s">
        <v>2881</v>
      </c>
      <c r="IHT1337" s="4" t="s">
        <v>2881</v>
      </c>
      <c r="IHU1337" s="4" t="s">
        <v>2881</v>
      </c>
      <c r="IHV1337" s="4" t="s">
        <v>2881</v>
      </c>
      <c r="IHW1337" s="4" t="s">
        <v>2881</v>
      </c>
      <c r="IHX1337" s="4" t="s">
        <v>2881</v>
      </c>
      <c r="IHY1337" s="4" t="s">
        <v>2881</v>
      </c>
      <c r="IHZ1337" s="4" t="s">
        <v>2881</v>
      </c>
      <c r="IIA1337" s="4" t="s">
        <v>2881</v>
      </c>
      <c r="IIB1337" s="4" t="s">
        <v>2881</v>
      </c>
      <c r="IIC1337" s="4" t="s">
        <v>2881</v>
      </c>
      <c r="IID1337" s="4" t="s">
        <v>2881</v>
      </c>
      <c r="IIE1337" s="4" t="s">
        <v>2881</v>
      </c>
      <c r="IIF1337" s="4" t="s">
        <v>2881</v>
      </c>
      <c r="IIG1337" s="4" t="s">
        <v>2881</v>
      </c>
      <c r="IIH1337" s="4" t="s">
        <v>2881</v>
      </c>
      <c r="III1337" s="4" t="s">
        <v>2881</v>
      </c>
      <c r="IIJ1337" s="4" t="s">
        <v>2881</v>
      </c>
      <c r="IIK1337" s="4" t="s">
        <v>2881</v>
      </c>
      <c r="IIL1337" s="4" t="s">
        <v>2881</v>
      </c>
      <c r="IIM1337" s="4" t="s">
        <v>2881</v>
      </c>
      <c r="IIN1337" s="4" t="s">
        <v>2881</v>
      </c>
      <c r="IIO1337" s="4" t="s">
        <v>2881</v>
      </c>
      <c r="IIP1337" s="4" t="s">
        <v>2881</v>
      </c>
      <c r="IIQ1337" s="4" t="s">
        <v>2881</v>
      </c>
      <c r="IIR1337" s="4" t="s">
        <v>2881</v>
      </c>
      <c r="IIS1337" s="4" t="s">
        <v>2881</v>
      </c>
      <c r="IIT1337" s="4" t="s">
        <v>2881</v>
      </c>
      <c r="IIU1337" s="4" t="s">
        <v>2881</v>
      </c>
      <c r="IIV1337" s="4" t="s">
        <v>2881</v>
      </c>
      <c r="IIW1337" s="4" t="s">
        <v>2881</v>
      </c>
      <c r="IIX1337" s="4" t="s">
        <v>2881</v>
      </c>
      <c r="IIY1337" s="4" t="s">
        <v>2881</v>
      </c>
      <c r="IIZ1337" s="4" t="s">
        <v>2881</v>
      </c>
      <c r="IJA1337" s="4" t="s">
        <v>2881</v>
      </c>
      <c r="IJB1337" s="4" t="s">
        <v>2881</v>
      </c>
      <c r="IJC1337" s="4" t="s">
        <v>2881</v>
      </c>
      <c r="IJD1337" s="4" t="s">
        <v>2881</v>
      </c>
      <c r="IJE1337" s="4" t="s">
        <v>2881</v>
      </c>
      <c r="IJF1337" s="4" t="s">
        <v>2881</v>
      </c>
      <c r="IJG1337" s="4" t="s">
        <v>2881</v>
      </c>
      <c r="IJH1337" s="4" t="s">
        <v>2881</v>
      </c>
      <c r="IJI1337" s="4" t="s">
        <v>2881</v>
      </c>
      <c r="IJJ1337" s="4" t="s">
        <v>2881</v>
      </c>
      <c r="IJK1337" s="4" t="s">
        <v>2881</v>
      </c>
      <c r="IJL1337" s="4" t="s">
        <v>2881</v>
      </c>
      <c r="IJM1337" s="4" t="s">
        <v>2881</v>
      </c>
      <c r="IJN1337" s="4" t="s">
        <v>2881</v>
      </c>
      <c r="IJO1337" s="4" t="s">
        <v>2881</v>
      </c>
      <c r="IJP1337" s="4" t="s">
        <v>2881</v>
      </c>
      <c r="IJQ1337" s="4" t="s">
        <v>2881</v>
      </c>
      <c r="IJR1337" s="4" t="s">
        <v>2881</v>
      </c>
      <c r="IJS1337" s="4" t="s">
        <v>2881</v>
      </c>
      <c r="IJT1337" s="4" t="s">
        <v>2881</v>
      </c>
      <c r="IJU1337" s="4" t="s">
        <v>2881</v>
      </c>
      <c r="IJV1337" s="4" t="s">
        <v>2881</v>
      </c>
      <c r="IJW1337" s="4" t="s">
        <v>2881</v>
      </c>
      <c r="IJX1337" s="4" t="s">
        <v>2881</v>
      </c>
      <c r="IJY1337" s="4" t="s">
        <v>2881</v>
      </c>
      <c r="IJZ1337" s="4" t="s">
        <v>2881</v>
      </c>
      <c r="IKA1337" s="4" t="s">
        <v>2881</v>
      </c>
      <c r="IKB1337" s="4" t="s">
        <v>2881</v>
      </c>
      <c r="IKC1337" s="4" t="s">
        <v>2881</v>
      </c>
      <c r="IKD1337" s="4" t="s">
        <v>2881</v>
      </c>
      <c r="IKE1337" s="4" t="s">
        <v>2881</v>
      </c>
      <c r="IKF1337" s="4" t="s">
        <v>2881</v>
      </c>
      <c r="IKG1337" s="4" t="s">
        <v>2881</v>
      </c>
      <c r="IKH1337" s="4" t="s">
        <v>2881</v>
      </c>
      <c r="IKI1337" s="4" t="s">
        <v>2881</v>
      </c>
      <c r="IKJ1337" s="4" t="s">
        <v>2881</v>
      </c>
      <c r="IKK1337" s="4" t="s">
        <v>2881</v>
      </c>
      <c r="IKL1337" s="4" t="s">
        <v>2881</v>
      </c>
      <c r="IKM1337" s="4" t="s">
        <v>2881</v>
      </c>
      <c r="IKN1337" s="4" t="s">
        <v>2881</v>
      </c>
      <c r="IKO1337" s="4" t="s">
        <v>2881</v>
      </c>
      <c r="IKP1337" s="4" t="s">
        <v>2881</v>
      </c>
      <c r="IKQ1337" s="4" t="s">
        <v>2881</v>
      </c>
      <c r="IKR1337" s="4" t="s">
        <v>2881</v>
      </c>
      <c r="IKS1337" s="4" t="s">
        <v>2881</v>
      </c>
      <c r="IKT1337" s="4" t="s">
        <v>2881</v>
      </c>
      <c r="IKU1337" s="4" t="s">
        <v>2881</v>
      </c>
      <c r="IKV1337" s="4" t="s">
        <v>2881</v>
      </c>
      <c r="IKW1337" s="4" t="s">
        <v>2881</v>
      </c>
      <c r="IKX1337" s="4" t="s">
        <v>2881</v>
      </c>
      <c r="IKY1337" s="4" t="s">
        <v>2881</v>
      </c>
      <c r="IKZ1337" s="4" t="s">
        <v>2881</v>
      </c>
      <c r="ILA1337" s="4" t="s">
        <v>2881</v>
      </c>
      <c r="ILB1337" s="4" t="s">
        <v>2881</v>
      </c>
      <c r="ILC1337" s="4" t="s">
        <v>2881</v>
      </c>
      <c r="ILD1337" s="4" t="s">
        <v>2881</v>
      </c>
      <c r="ILE1337" s="4" t="s">
        <v>2881</v>
      </c>
      <c r="ILF1337" s="4" t="s">
        <v>2881</v>
      </c>
      <c r="ILG1337" s="4" t="s">
        <v>2881</v>
      </c>
      <c r="ILH1337" s="4" t="s">
        <v>2881</v>
      </c>
      <c r="ILI1337" s="4" t="s">
        <v>2881</v>
      </c>
      <c r="ILJ1337" s="4" t="s">
        <v>2881</v>
      </c>
      <c r="ILK1337" s="4" t="s">
        <v>2881</v>
      </c>
      <c r="ILL1337" s="4" t="s">
        <v>2881</v>
      </c>
      <c r="ILM1337" s="4" t="s">
        <v>2881</v>
      </c>
      <c r="ILN1337" s="4" t="s">
        <v>2881</v>
      </c>
      <c r="ILO1337" s="4" t="s">
        <v>2881</v>
      </c>
      <c r="ILP1337" s="4" t="s">
        <v>2881</v>
      </c>
      <c r="ILQ1337" s="4" t="s">
        <v>2881</v>
      </c>
      <c r="ILR1337" s="4" t="s">
        <v>2881</v>
      </c>
      <c r="ILS1337" s="4" t="s">
        <v>2881</v>
      </c>
      <c r="ILT1337" s="4" t="s">
        <v>2881</v>
      </c>
      <c r="ILU1337" s="4" t="s">
        <v>2881</v>
      </c>
      <c r="ILV1337" s="4" t="s">
        <v>2881</v>
      </c>
      <c r="ILW1337" s="4" t="s">
        <v>2881</v>
      </c>
      <c r="ILX1337" s="4" t="s">
        <v>2881</v>
      </c>
      <c r="ILY1337" s="4" t="s">
        <v>2881</v>
      </c>
      <c r="ILZ1337" s="4" t="s">
        <v>2881</v>
      </c>
      <c r="IMA1337" s="4" t="s">
        <v>2881</v>
      </c>
      <c r="IMB1337" s="4" t="s">
        <v>2881</v>
      </c>
      <c r="IMC1337" s="4" t="s">
        <v>2881</v>
      </c>
      <c r="IMD1337" s="4" t="s">
        <v>2881</v>
      </c>
      <c r="IME1337" s="4" t="s">
        <v>2881</v>
      </c>
      <c r="IMF1337" s="4" t="s">
        <v>2881</v>
      </c>
      <c r="IMG1337" s="4" t="s">
        <v>2881</v>
      </c>
      <c r="IMH1337" s="4" t="s">
        <v>2881</v>
      </c>
      <c r="IMI1337" s="4" t="s">
        <v>2881</v>
      </c>
      <c r="IMJ1337" s="4" t="s">
        <v>2881</v>
      </c>
      <c r="IMK1337" s="4" t="s">
        <v>2881</v>
      </c>
      <c r="IML1337" s="4" t="s">
        <v>2881</v>
      </c>
      <c r="IMM1337" s="4" t="s">
        <v>2881</v>
      </c>
      <c r="IMN1337" s="4" t="s">
        <v>2881</v>
      </c>
      <c r="IMO1337" s="4" t="s">
        <v>2881</v>
      </c>
      <c r="IMP1337" s="4" t="s">
        <v>2881</v>
      </c>
      <c r="IMQ1337" s="4" t="s">
        <v>2881</v>
      </c>
      <c r="IMR1337" s="4" t="s">
        <v>2881</v>
      </c>
      <c r="IMS1337" s="4" t="s">
        <v>2881</v>
      </c>
      <c r="IMT1337" s="4" t="s">
        <v>2881</v>
      </c>
      <c r="IMU1337" s="4" t="s">
        <v>2881</v>
      </c>
      <c r="IMV1337" s="4" t="s">
        <v>2881</v>
      </c>
      <c r="IMW1337" s="4" t="s">
        <v>2881</v>
      </c>
      <c r="IMX1337" s="4" t="s">
        <v>2881</v>
      </c>
      <c r="IMY1337" s="4" t="s">
        <v>2881</v>
      </c>
      <c r="IMZ1337" s="4" t="s">
        <v>2881</v>
      </c>
      <c r="INA1337" s="4" t="s">
        <v>2881</v>
      </c>
      <c r="INB1337" s="4" t="s">
        <v>2881</v>
      </c>
      <c r="INC1337" s="4" t="s">
        <v>2881</v>
      </c>
      <c r="IND1337" s="4" t="s">
        <v>2881</v>
      </c>
      <c r="INE1337" s="4" t="s">
        <v>2881</v>
      </c>
      <c r="INF1337" s="4" t="s">
        <v>2881</v>
      </c>
      <c r="ING1337" s="4" t="s">
        <v>2881</v>
      </c>
      <c r="INH1337" s="4" t="s">
        <v>2881</v>
      </c>
      <c r="INI1337" s="4" t="s">
        <v>2881</v>
      </c>
      <c r="INJ1337" s="4" t="s">
        <v>2881</v>
      </c>
      <c r="INK1337" s="4" t="s">
        <v>2881</v>
      </c>
      <c r="INL1337" s="4" t="s">
        <v>2881</v>
      </c>
      <c r="INM1337" s="4" t="s">
        <v>2881</v>
      </c>
      <c r="INN1337" s="4" t="s">
        <v>2881</v>
      </c>
      <c r="INO1337" s="4" t="s">
        <v>2881</v>
      </c>
      <c r="INP1337" s="4" t="s">
        <v>2881</v>
      </c>
      <c r="INQ1337" s="4" t="s">
        <v>2881</v>
      </c>
      <c r="INR1337" s="4" t="s">
        <v>2881</v>
      </c>
      <c r="INS1337" s="4" t="s">
        <v>2881</v>
      </c>
      <c r="INT1337" s="4" t="s">
        <v>2881</v>
      </c>
      <c r="INU1337" s="4" t="s">
        <v>2881</v>
      </c>
      <c r="INV1337" s="4" t="s">
        <v>2881</v>
      </c>
      <c r="INW1337" s="4" t="s">
        <v>2881</v>
      </c>
      <c r="INX1337" s="4" t="s">
        <v>2881</v>
      </c>
      <c r="INY1337" s="4" t="s">
        <v>2881</v>
      </c>
      <c r="INZ1337" s="4" t="s">
        <v>2881</v>
      </c>
      <c r="IOA1337" s="4" t="s">
        <v>2881</v>
      </c>
      <c r="IOB1337" s="4" t="s">
        <v>2881</v>
      </c>
      <c r="IOC1337" s="4" t="s">
        <v>2881</v>
      </c>
      <c r="IOD1337" s="4" t="s">
        <v>2881</v>
      </c>
      <c r="IOE1337" s="4" t="s">
        <v>2881</v>
      </c>
      <c r="IOF1337" s="4" t="s">
        <v>2881</v>
      </c>
      <c r="IOG1337" s="4" t="s">
        <v>2881</v>
      </c>
      <c r="IOH1337" s="4" t="s">
        <v>2881</v>
      </c>
      <c r="IOI1337" s="4" t="s">
        <v>2881</v>
      </c>
      <c r="IOJ1337" s="4" t="s">
        <v>2881</v>
      </c>
      <c r="IOK1337" s="4" t="s">
        <v>2881</v>
      </c>
      <c r="IOL1337" s="4" t="s">
        <v>2881</v>
      </c>
      <c r="IOM1337" s="4" t="s">
        <v>2881</v>
      </c>
      <c r="ION1337" s="4" t="s">
        <v>2881</v>
      </c>
      <c r="IOO1337" s="4" t="s">
        <v>2881</v>
      </c>
      <c r="IOP1337" s="4" t="s">
        <v>2881</v>
      </c>
      <c r="IOQ1337" s="4" t="s">
        <v>2881</v>
      </c>
      <c r="IOR1337" s="4" t="s">
        <v>2881</v>
      </c>
      <c r="IOS1337" s="4" t="s">
        <v>2881</v>
      </c>
      <c r="IOT1337" s="4" t="s">
        <v>2881</v>
      </c>
      <c r="IOU1337" s="4" t="s">
        <v>2881</v>
      </c>
      <c r="IOV1337" s="4" t="s">
        <v>2881</v>
      </c>
      <c r="IOW1337" s="4" t="s">
        <v>2881</v>
      </c>
      <c r="IOX1337" s="4" t="s">
        <v>2881</v>
      </c>
      <c r="IOY1337" s="4" t="s">
        <v>2881</v>
      </c>
      <c r="IOZ1337" s="4" t="s">
        <v>2881</v>
      </c>
      <c r="IPA1337" s="4" t="s">
        <v>2881</v>
      </c>
      <c r="IPB1337" s="4" t="s">
        <v>2881</v>
      </c>
      <c r="IPC1337" s="4" t="s">
        <v>2881</v>
      </c>
      <c r="IPD1337" s="4" t="s">
        <v>2881</v>
      </c>
      <c r="IPE1337" s="4" t="s">
        <v>2881</v>
      </c>
      <c r="IPF1337" s="4" t="s">
        <v>2881</v>
      </c>
      <c r="IPG1337" s="4" t="s">
        <v>2881</v>
      </c>
      <c r="IPH1337" s="4" t="s">
        <v>2881</v>
      </c>
      <c r="IPI1337" s="4" t="s">
        <v>2881</v>
      </c>
      <c r="IPJ1337" s="4" t="s">
        <v>2881</v>
      </c>
      <c r="IPK1337" s="4" t="s">
        <v>2881</v>
      </c>
      <c r="IPL1337" s="4" t="s">
        <v>2881</v>
      </c>
      <c r="IPM1337" s="4" t="s">
        <v>2881</v>
      </c>
      <c r="IPN1337" s="4" t="s">
        <v>2881</v>
      </c>
      <c r="IPO1337" s="4" t="s">
        <v>2881</v>
      </c>
      <c r="IPP1337" s="4" t="s">
        <v>2881</v>
      </c>
      <c r="IPQ1337" s="4" t="s">
        <v>2881</v>
      </c>
      <c r="IPR1337" s="4" t="s">
        <v>2881</v>
      </c>
      <c r="IPS1337" s="4" t="s">
        <v>2881</v>
      </c>
      <c r="IPT1337" s="4" t="s">
        <v>2881</v>
      </c>
      <c r="IPU1337" s="4" t="s">
        <v>2881</v>
      </c>
      <c r="IPV1337" s="4" t="s">
        <v>2881</v>
      </c>
      <c r="IPW1337" s="4" t="s">
        <v>2881</v>
      </c>
      <c r="IPX1337" s="4" t="s">
        <v>2881</v>
      </c>
      <c r="IPY1337" s="4" t="s">
        <v>2881</v>
      </c>
      <c r="IPZ1337" s="4" t="s">
        <v>2881</v>
      </c>
      <c r="IQA1337" s="4" t="s">
        <v>2881</v>
      </c>
      <c r="IQB1337" s="4" t="s">
        <v>2881</v>
      </c>
      <c r="IQC1337" s="4" t="s">
        <v>2881</v>
      </c>
      <c r="IQD1337" s="4" t="s">
        <v>2881</v>
      </c>
      <c r="IQE1337" s="4" t="s">
        <v>2881</v>
      </c>
      <c r="IQF1337" s="4" t="s">
        <v>2881</v>
      </c>
      <c r="IQG1337" s="4" t="s">
        <v>2881</v>
      </c>
      <c r="IQH1337" s="4" t="s">
        <v>2881</v>
      </c>
      <c r="IQI1337" s="4" t="s">
        <v>2881</v>
      </c>
      <c r="IQJ1337" s="4" t="s">
        <v>2881</v>
      </c>
      <c r="IQK1337" s="4" t="s">
        <v>2881</v>
      </c>
      <c r="IQL1337" s="4" t="s">
        <v>2881</v>
      </c>
      <c r="IQM1337" s="4" t="s">
        <v>2881</v>
      </c>
      <c r="IQN1337" s="4" t="s">
        <v>2881</v>
      </c>
      <c r="IQO1337" s="4" t="s">
        <v>2881</v>
      </c>
      <c r="IQP1337" s="4" t="s">
        <v>2881</v>
      </c>
      <c r="IQQ1337" s="4" t="s">
        <v>2881</v>
      </c>
      <c r="IQR1337" s="4" t="s">
        <v>2881</v>
      </c>
      <c r="IQS1337" s="4" t="s">
        <v>2881</v>
      </c>
      <c r="IQT1337" s="4" t="s">
        <v>2881</v>
      </c>
      <c r="IQU1337" s="4" t="s">
        <v>2881</v>
      </c>
      <c r="IQV1337" s="4" t="s">
        <v>2881</v>
      </c>
      <c r="IQW1337" s="4" t="s">
        <v>2881</v>
      </c>
      <c r="IQX1337" s="4" t="s">
        <v>2881</v>
      </c>
      <c r="IQY1337" s="4" t="s">
        <v>2881</v>
      </c>
      <c r="IQZ1337" s="4" t="s">
        <v>2881</v>
      </c>
      <c r="IRA1337" s="4" t="s">
        <v>2881</v>
      </c>
      <c r="IRB1337" s="4" t="s">
        <v>2881</v>
      </c>
      <c r="IRC1337" s="4" t="s">
        <v>2881</v>
      </c>
      <c r="IRD1337" s="4" t="s">
        <v>2881</v>
      </c>
      <c r="IRE1337" s="4" t="s">
        <v>2881</v>
      </c>
      <c r="IRF1337" s="4" t="s">
        <v>2881</v>
      </c>
      <c r="IRG1337" s="4" t="s">
        <v>2881</v>
      </c>
      <c r="IRH1337" s="4" t="s">
        <v>2881</v>
      </c>
      <c r="IRI1337" s="4" t="s">
        <v>2881</v>
      </c>
      <c r="IRJ1337" s="4" t="s">
        <v>2881</v>
      </c>
      <c r="IRK1337" s="4" t="s">
        <v>2881</v>
      </c>
      <c r="IRL1337" s="4" t="s">
        <v>2881</v>
      </c>
      <c r="IRM1337" s="4" t="s">
        <v>2881</v>
      </c>
      <c r="IRN1337" s="4" t="s">
        <v>2881</v>
      </c>
      <c r="IRO1337" s="4" t="s">
        <v>2881</v>
      </c>
      <c r="IRP1337" s="4" t="s">
        <v>2881</v>
      </c>
      <c r="IRQ1337" s="4" t="s">
        <v>2881</v>
      </c>
      <c r="IRR1337" s="4" t="s">
        <v>2881</v>
      </c>
      <c r="IRS1337" s="4" t="s">
        <v>2881</v>
      </c>
      <c r="IRT1337" s="4" t="s">
        <v>2881</v>
      </c>
      <c r="IRU1337" s="4" t="s">
        <v>2881</v>
      </c>
      <c r="IRV1337" s="4" t="s">
        <v>2881</v>
      </c>
      <c r="IRW1337" s="4" t="s">
        <v>2881</v>
      </c>
      <c r="IRX1337" s="4" t="s">
        <v>2881</v>
      </c>
      <c r="IRY1337" s="4" t="s">
        <v>2881</v>
      </c>
      <c r="IRZ1337" s="4" t="s">
        <v>2881</v>
      </c>
      <c r="ISA1337" s="4" t="s">
        <v>2881</v>
      </c>
      <c r="ISB1337" s="4" t="s">
        <v>2881</v>
      </c>
      <c r="ISC1337" s="4" t="s">
        <v>2881</v>
      </c>
      <c r="ISD1337" s="4" t="s">
        <v>2881</v>
      </c>
      <c r="ISE1337" s="4" t="s">
        <v>2881</v>
      </c>
      <c r="ISF1337" s="4" t="s">
        <v>2881</v>
      </c>
      <c r="ISG1337" s="4" t="s">
        <v>2881</v>
      </c>
      <c r="ISH1337" s="4" t="s">
        <v>2881</v>
      </c>
      <c r="ISI1337" s="4" t="s">
        <v>2881</v>
      </c>
      <c r="ISJ1337" s="4" t="s">
        <v>2881</v>
      </c>
      <c r="ISK1337" s="4" t="s">
        <v>2881</v>
      </c>
      <c r="ISL1337" s="4" t="s">
        <v>2881</v>
      </c>
      <c r="ISM1337" s="4" t="s">
        <v>2881</v>
      </c>
      <c r="ISN1337" s="4" t="s">
        <v>2881</v>
      </c>
      <c r="ISO1337" s="4" t="s">
        <v>2881</v>
      </c>
      <c r="ISP1337" s="4" t="s">
        <v>2881</v>
      </c>
      <c r="ISQ1337" s="4" t="s">
        <v>2881</v>
      </c>
      <c r="ISR1337" s="4" t="s">
        <v>2881</v>
      </c>
      <c r="ISS1337" s="4" t="s">
        <v>2881</v>
      </c>
      <c r="IST1337" s="4" t="s">
        <v>2881</v>
      </c>
      <c r="ISU1337" s="4" t="s">
        <v>2881</v>
      </c>
      <c r="ISV1337" s="4" t="s">
        <v>2881</v>
      </c>
      <c r="ISW1337" s="4" t="s">
        <v>2881</v>
      </c>
      <c r="ISX1337" s="4" t="s">
        <v>2881</v>
      </c>
      <c r="ISY1337" s="4" t="s">
        <v>2881</v>
      </c>
      <c r="ISZ1337" s="4" t="s">
        <v>2881</v>
      </c>
      <c r="ITA1337" s="4" t="s">
        <v>2881</v>
      </c>
      <c r="ITB1337" s="4" t="s">
        <v>2881</v>
      </c>
      <c r="ITC1337" s="4" t="s">
        <v>2881</v>
      </c>
      <c r="ITD1337" s="4" t="s">
        <v>2881</v>
      </c>
      <c r="ITE1337" s="4" t="s">
        <v>2881</v>
      </c>
      <c r="ITF1337" s="4" t="s">
        <v>2881</v>
      </c>
      <c r="ITG1337" s="4" t="s">
        <v>2881</v>
      </c>
      <c r="ITH1337" s="4" t="s">
        <v>2881</v>
      </c>
      <c r="ITI1337" s="4" t="s">
        <v>2881</v>
      </c>
      <c r="ITJ1337" s="4" t="s">
        <v>2881</v>
      </c>
      <c r="ITK1337" s="4" t="s">
        <v>2881</v>
      </c>
      <c r="ITL1337" s="4" t="s">
        <v>2881</v>
      </c>
      <c r="ITM1337" s="4" t="s">
        <v>2881</v>
      </c>
      <c r="ITN1337" s="4" t="s">
        <v>2881</v>
      </c>
      <c r="ITO1337" s="4" t="s">
        <v>2881</v>
      </c>
      <c r="ITP1337" s="4" t="s">
        <v>2881</v>
      </c>
      <c r="ITQ1337" s="4" t="s">
        <v>2881</v>
      </c>
      <c r="ITR1337" s="4" t="s">
        <v>2881</v>
      </c>
      <c r="ITS1337" s="4" t="s">
        <v>2881</v>
      </c>
      <c r="ITT1337" s="4" t="s">
        <v>2881</v>
      </c>
      <c r="ITU1337" s="4" t="s">
        <v>2881</v>
      </c>
      <c r="ITV1337" s="4" t="s">
        <v>2881</v>
      </c>
      <c r="ITW1337" s="4" t="s">
        <v>2881</v>
      </c>
      <c r="ITX1337" s="4" t="s">
        <v>2881</v>
      </c>
      <c r="ITY1337" s="4" t="s">
        <v>2881</v>
      </c>
      <c r="ITZ1337" s="4" t="s">
        <v>2881</v>
      </c>
      <c r="IUA1337" s="4" t="s">
        <v>2881</v>
      </c>
      <c r="IUB1337" s="4" t="s">
        <v>2881</v>
      </c>
      <c r="IUC1337" s="4" t="s">
        <v>2881</v>
      </c>
      <c r="IUD1337" s="4" t="s">
        <v>2881</v>
      </c>
      <c r="IUE1337" s="4" t="s">
        <v>2881</v>
      </c>
      <c r="IUF1337" s="4" t="s">
        <v>2881</v>
      </c>
      <c r="IUG1337" s="4" t="s">
        <v>2881</v>
      </c>
      <c r="IUH1337" s="4" t="s">
        <v>2881</v>
      </c>
      <c r="IUI1337" s="4" t="s">
        <v>2881</v>
      </c>
      <c r="IUJ1337" s="4" t="s">
        <v>2881</v>
      </c>
      <c r="IUK1337" s="4" t="s">
        <v>2881</v>
      </c>
      <c r="IUL1337" s="4" t="s">
        <v>2881</v>
      </c>
      <c r="IUM1337" s="4" t="s">
        <v>2881</v>
      </c>
      <c r="IUN1337" s="4" t="s">
        <v>2881</v>
      </c>
      <c r="IUO1337" s="4" t="s">
        <v>2881</v>
      </c>
      <c r="IUP1337" s="4" t="s">
        <v>2881</v>
      </c>
      <c r="IUQ1337" s="4" t="s">
        <v>2881</v>
      </c>
      <c r="IUR1337" s="4" t="s">
        <v>2881</v>
      </c>
      <c r="IUS1337" s="4" t="s">
        <v>2881</v>
      </c>
      <c r="IUT1337" s="4" t="s">
        <v>2881</v>
      </c>
      <c r="IUU1337" s="4" t="s">
        <v>2881</v>
      </c>
      <c r="IUV1337" s="4" t="s">
        <v>2881</v>
      </c>
      <c r="IUW1337" s="4" t="s">
        <v>2881</v>
      </c>
      <c r="IUX1337" s="4" t="s">
        <v>2881</v>
      </c>
      <c r="IUY1337" s="4" t="s">
        <v>2881</v>
      </c>
      <c r="IUZ1337" s="4" t="s">
        <v>2881</v>
      </c>
      <c r="IVA1337" s="4" t="s">
        <v>2881</v>
      </c>
      <c r="IVB1337" s="4" t="s">
        <v>2881</v>
      </c>
      <c r="IVC1337" s="4" t="s">
        <v>2881</v>
      </c>
      <c r="IVD1337" s="4" t="s">
        <v>2881</v>
      </c>
      <c r="IVE1337" s="4" t="s">
        <v>2881</v>
      </c>
      <c r="IVF1337" s="4" t="s">
        <v>2881</v>
      </c>
      <c r="IVG1337" s="4" t="s">
        <v>2881</v>
      </c>
      <c r="IVH1337" s="4" t="s">
        <v>2881</v>
      </c>
      <c r="IVI1337" s="4" t="s">
        <v>2881</v>
      </c>
      <c r="IVJ1337" s="4" t="s">
        <v>2881</v>
      </c>
      <c r="IVK1337" s="4" t="s">
        <v>2881</v>
      </c>
      <c r="IVL1337" s="4" t="s">
        <v>2881</v>
      </c>
      <c r="IVM1337" s="4" t="s">
        <v>2881</v>
      </c>
      <c r="IVN1337" s="4" t="s">
        <v>2881</v>
      </c>
      <c r="IVO1337" s="4" t="s">
        <v>2881</v>
      </c>
      <c r="IVP1337" s="4" t="s">
        <v>2881</v>
      </c>
      <c r="IVQ1337" s="4" t="s">
        <v>2881</v>
      </c>
      <c r="IVR1337" s="4" t="s">
        <v>2881</v>
      </c>
      <c r="IVS1337" s="4" t="s">
        <v>2881</v>
      </c>
      <c r="IVT1337" s="4" t="s">
        <v>2881</v>
      </c>
      <c r="IVU1337" s="4" t="s">
        <v>2881</v>
      </c>
      <c r="IVV1337" s="4" t="s">
        <v>2881</v>
      </c>
      <c r="IVW1337" s="4" t="s">
        <v>2881</v>
      </c>
      <c r="IVX1337" s="4" t="s">
        <v>2881</v>
      </c>
      <c r="IVY1337" s="4" t="s">
        <v>2881</v>
      </c>
      <c r="IVZ1337" s="4" t="s">
        <v>2881</v>
      </c>
      <c r="IWA1337" s="4" t="s">
        <v>2881</v>
      </c>
      <c r="IWB1337" s="4" t="s">
        <v>2881</v>
      </c>
      <c r="IWC1337" s="4" t="s">
        <v>2881</v>
      </c>
      <c r="IWD1337" s="4" t="s">
        <v>2881</v>
      </c>
      <c r="IWE1337" s="4" t="s">
        <v>2881</v>
      </c>
      <c r="IWF1337" s="4" t="s">
        <v>2881</v>
      </c>
      <c r="IWG1337" s="4" t="s">
        <v>2881</v>
      </c>
      <c r="IWH1337" s="4" t="s">
        <v>2881</v>
      </c>
      <c r="IWI1337" s="4" t="s">
        <v>2881</v>
      </c>
      <c r="IWJ1337" s="4" t="s">
        <v>2881</v>
      </c>
      <c r="IWK1337" s="4" t="s">
        <v>2881</v>
      </c>
      <c r="IWL1337" s="4" t="s">
        <v>2881</v>
      </c>
      <c r="IWM1337" s="4" t="s">
        <v>2881</v>
      </c>
      <c r="IWN1337" s="4" t="s">
        <v>2881</v>
      </c>
      <c r="IWO1337" s="4" t="s">
        <v>2881</v>
      </c>
      <c r="IWP1337" s="4" t="s">
        <v>2881</v>
      </c>
      <c r="IWQ1337" s="4" t="s">
        <v>2881</v>
      </c>
      <c r="IWR1337" s="4" t="s">
        <v>2881</v>
      </c>
      <c r="IWS1337" s="4" t="s">
        <v>2881</v>
      </c>
      <c r="IWT1337" s="4" t="s">
        <v>2881</v>
      </c>
      <c r="IWU1337" s="4" t="s">
        <v>2881</v>
      </c>
      <c r="IWV1337" s="4" t="s">
        <v>2881</v>
      </c>
      <c r="IWW1337" s="4" t="s">
        <v>2881</v>
      </c>
      <c r="IWX1337" s="4" t="s">
        <v>2881</v>
      </c>
      <c r="IWY1337" s="4" t="s">
        <v>2881</v>
      </c>
      <c r="IWZ1337" s="4" t="s">
        <v>2881</v>
      </c>
      <c r="IXA1337" s="4" t="s">
        <v>2881</v>
      </c>
      <c r="IXB1337" s="4" t="s">
        <v>2881</v>
      </c>
      <c r="IXC1337" s="4" t="s">
        <v>2881</v>
      </c>
      <c r="IXD1337" s="4" t="s">
        <v>2881</v>
      </c>
      <c r="IXE1337" s="4" t="s">
        <v>2881</v>
      </c>
      <c r="IXF1337" s="4" t="s">
        <v>2881</v>
      </c>
      <c r="IXG1337" s="4" t="s">
        <v>2881</v>
      </c>
      <c r="IXH1337" s="4" t="s">
        <v>2881</v>
      </c>
      <c r="IXI1337" s="4" t="s">
        <v>2881</v>
      </c>
      <c r="IXJ1337" s="4" t="s">
        <v>2881</v>
      </c>
      <c r="IXK1337" s="4" t="s">
        <v>2881</v>
      </c>
      <c r="IXL1337" s="4" t="s">
        <v>2881</v>
      </c>
      <c r="IXM1337" s="4" t="s">
        <v>2881</v>
      </c>
      <c r="IXN1337" s="4" t="s">
        <v>2881</v>
      </c>
      <c r="IXO1337" s="4" t="s">
        <v>2881</v>
      </c>
      <c r="IXP1337" s="4" t="s">
        <v>2881</v>
      </c>
      <c r="IXQ1337" s="4" t="s">
        <v>2881</v>
      </c>
      <c r="IXR1337" s="4" t="s">
        <v>2881</v>
      </c>
      <c r="IXS1337" s="4" t="s">
        <v>2881</v>
      </c>
      <c r="IXT1337" s="4" t="s">
        <v>2881</v>
      </c>
      <c r="IXU1337" s="4" t="s">
        <v>2881</v>
      </c>
      <c r="IXV1337" s="4" t="s">
        <v>2881</v>
      </c>
      <c r="IXW1337" s="4" t="s">
        <v>2881</v>
      </c>
      <c r="IXX1337" s="4" t="s">
        <v>2881</v>
      </c>
      <c r="IXY1337" s="4" t="s">
        <v>2881</v>
      </c>
      <c r="IXZ1337" s="4" t="s">
        <v>2881</v>
      </c>
      <c r="IYA1337" s="4" t="s">
        <v>2881</v>
      </c>
      <c r="IYB1337" s="4" t="s">
        <v>2881</v>
      </c>
      <c r="IYC1337" s="4" t="s">
        <v>2881</v>
      </c>
      <c r="IYD1337" s="4" t="s">
        <v>2881</v>
      </c>
      <c r="IYE1337" s="4" t="s">
        <v>2881</v>
      </c>
      <c r="IYF1337" s="4" t="s">
        <v>2881</v>
      </c>
      <c r="IYG1337" s="4" t="s">
        <v>2881</v>
      </c>
      <c r="IYH1337" s="4" t="s">
        <v>2881</v>
      </c>
      <c r="IYI1337" s="4" t="s">
        <v>2881</v>
      </c>
      <c r="IYJ1337" s="4" t="s">
        <v>2881</v>
      </c>
      <c r="IYK1337" s="4" t="s">
        <v>2881</v>
      </c>
      <c r="IYL1337" s="4" t="s">
        <v>2881</v>
      </c>
      <c r="IYM1337" s="4" t="s">
        <v>2881</v>
      </c>
      <c r="IYN1337" s="4" t="s">
        <v>2881</v>
      </c>
      <c r="IYO1337" s="4" t="s">
        <v>2881</v>
      </c>
      <c r="IYP1337" s="4" t="s">
        <v>2881</v>
      </c>
      <c r="IYQ1337" s="4" t="s">
        <v>2881</v>
      </c>
      <c r="IYR1337" s="4" t="s">
        <v>2881</v>
      </c>
      <c r="IYS1337" s="4" t="s">
        <v>2881</v>
      </c>
      <c r="IYT1337" s="4" t="s">
        <v>2881</v>
      </c>
      <c r="IYU1337" s="4" t="s">
        <v>2881</v>
      </c>
      <c r="IYV1337" s="4" t="s">
        <v>2881</v>
      </c>
      <c r="IYW1337" s="4" t="s">
        <v>2881</v>
      </c>
      <c r="IYX1337" s="4" t="s">
        <v>2881</v>
      </c>
      <c r="IYY1337" s="4" t="s">
        <v>2881</v>
      </c>
      <c r="IYZ1337" s="4" t="s">
        <v>2881</v>
      </c>
      <c r="IZA1337" s="4" t="s">
        <v>2881</v>
      </c>
      <c r="IZB1337" s="4" t="s">
        <v>2881</v>
      </c>
      <c r="IZC1337" s="4" t="s">
        <v>2881</v>
      </c>
      <c r="IZD1337" s="4" t="s">
        <v>2881</v>
      </c>
      <c r="IZE1337" s="4" t="s">
        <v>2881</v>
      </c>
      <c r="IZF1337" s="4" t="s">
        <v>2881</v>
      </c>
      <c r="IZG1337" s="4" t="s">
        <v>2881</v>
      </c>
      <c r="IZH1337" s="4" t="s">
        <v>2881</v>
      </c>
      <c r="IZI1337" s="4" t="s">
        <v>2881</v>
      </c>
      <c r="IZJ1337" s="4" t="s">
        <v>2881</v>
      </c>
      <c r="IZK1337" s="4" t="s">
        <v>2881</v>
      </c>
      <c r="IZL1337" s="4" t="s">
        <v>2881</v>
      </c>
      <c r="IZM1337" s="4" t="s">
        <v>2881</v>
      </c>
      <c r="IZN1337" s="4" t="s">
        <v>2881</v>
      </c>
      <c r="IZO1337" s="4" t="s">
        <v>2881</v>
      </c>
      <c r="IZP1337" s="4" t="s">
        <v>2881</v>
      </c>
      <c r="IZQ1337" s="4" t="s">
        <v>2881</v>
      </c>
      <c r="IZR1337" s="4" t="s">
        <v>2881</v>
      </c>
      <c r="IZS1337" s="4" t="s">
        <v>2881</v>
      </c>
      <c r="IZT1337" s="4" t="s">
        <v>2881</v>
      </c>
      <c r="IZU1337" s="4" t="s">
        <v>2881</v>
      </c>
      <c r="IZV1337" s="4" t="s">
        <v>2881</v>
      </c>
      <c r="IZW1337" s="4" t="s">
        <v>2881</v>
      </c>
      <c r="IZX1337" s="4" t="s">
        <v>2881</v>
      </c>
      <c r="IZY1337" s="4" t="s">
        <v>2881</v>
      </c>
      <c r="IZZ1337" s="4" t="s">
        <v>2881</v>
      </c>
      <c r="JAA1337" s="4" t="s">
        <v>2881</v>
      </c>
      <c r="JAB1337" s="4" t="s">
        <v>2881</v>
      </c>
      <c r="JAC1337" s="4" t="s">
        <v>2881</v>
      </c>
      <c r="JAD1337" s="4" t="s">
        <v>2881</v>
      </c>
      <c r="JAE1337" s="4" t="s">
        <v>2881</v>
      </c>
      <c r="JAF1337" s="4" t="s">
        <v>2881</v>
      </c>
      <c r="JAG1337" s="4" t="s">
        <v>2881</v>
      </c>
      <c r="JAH1337" s="4" t="s">
        <v>2881</v>
      </c>
      <c r="JAI1337" s="4" t="s">
        <v>2881</v>
      </c>
      <c r="JAJ1337" s="4" t="s">
        <v>2881</v>
      </c>
      <c r="JAK1337" s="4" t="s">
        <v>2881</v>
      </c>
      <c r="JAL1337" s="4" t="s">
        <v>2881</v>
      </c>
      <c r="JAM1337" s="4" t="s">
        <v>2881</v>
      </c>
      <c r="JAN1337" s="4" t="s">
        <v>2881</v>
      </c>
      <c r="JAO1337" s="4" t="s">
        <v>2881</v>
      </c>
      <c r="JAP1337" s="4" t="s">
        <v>2881</v>
      </c>
      <c r="JAQ1337" s="4" t="s">
        <v>2881</v>
      </c>
      <c r="JAR1337" s="4" t="s">
        <v>2881</v>
      </c>
      <c r="JAS1337" s="4" t="s">
        <v>2881</v>
      </c>
      <c r="JAT1337" s="4" t="s">
        <v>2881</v>
      </c>
      <c r="JAU1337" s="4" t="s">
        <v>2881</v>
      </c>
      <c r="JAV1337" s="4" t="s">
        <v>2881</v>
      </c>
      <c r="JAW1337" s="4" t="s">
        <v>2881</v>
      </c>
      <c r="JAX1337" s="4" t="s">
        <v>2881</v>
      </c>
      <c r="JAY1337" s="4" t="s">
        <v>2881</v>
      </c>
      <c r="JAZ1337" s="4" t="s">
        <v>2881</v>
      </c>
      <c r="JBA1337" s="4" t="s">
        <v>2881</v>
      </c>
      <c r="JBB1337" s="4" t="s">
        <v>2881</v>
      </c>
      <c r="JBC1337" s="4" t="s">
        <v>2881</v>
      </c>
      <c r="JBD1337" s="4" t="s">
        <v>2881</v>
      </c>
      <c r="JBE1337" s="4" t="s">
        <v>2881</v>
      </c>
      <c r="JBF1337" s="4" t="s">
        <v>2881</v>
      </c>
      <c r="JBG1337" s="4" t="s">
        <v>2881</v>
      </c>
      <c r="JBH1337" s="4" t="s">
        <v>2881</v>
      </c>
      <c r="JBI1337" s="4" t="s">
        <v>2881</v>
      </c>
      <c r="JBJ1337" s="4" t="s">
        <v>2881</v>
      </c>
      <c r="JBK1337" s="4" t="s">
        <v>2881</v>
      </c>
      <c r="JBL1337" s="4" t="s">
        <v>2881</v>
      </c>
      <c r="JBM1337" s="4" t="s">
        <v>2881</v>
      </c>
      <c r="JBN1337" s="4" t="s">
        <v>2881</v>
      </c>
      <c r="JBO1337" s="4" t="s">
        <v>2881</v>
      </c>
      <c r="JBP1337" s="4" t="s">
        <v>2881</v>
      </c>
      <c r="JBQ1337" s="4" t="s">
        <v>2881</v>
      </c>
      <c r="JBR1337" s="4" t="s">
        <v>2881</v>
      </c>
      <c r="JBS1337" s="4" t="s">
        <v>2881</v>
      </c>
      <c r="JBT1337" s="4" t="s">
        <v>2881</v>
      </c>
      <c r="JBU1337" s="4" t="s">
        <v>2881</v>
      </c>
      <c r="JBV1337" s="4" t="s">
        <v>2881</v>
      </c>
      <c r="JBW1337" s="4" t="s">
        <v>2881</v>
      </c>
      <c r="JBX1337" s="4" t="s">
        <v>2881</v>
      </c>
      <c r="JBY1337" s="4" t="s">
        <v>2881</v>
      </c>
      <c r="JBZ1337" s="4" t="s">
        <v>2881</v>
      </c>
      <c r="JCA1337" s="4" t="s">
        <v>2881</v>
      </c>
      <c r="JCB1337" s="4" t="s">
        <v>2881</v>
      </c>
      <c r="JCC1337" s="4" t="s">
        <v>2881</v>
      </c>
      <c r="JCD1337" s="4" t="s">
        <v>2881</v>
      </c>
      <c r="JCE1337" s="4" t="s">
        <v>2881</v>
      </c>
      <c r="JCF1337" s="4" t="s">
        <v>2881</v>
      </c>
      <c r="JCG1337" s="4" t="s">
        <v>2881</v>
      </c>
      <c r="JCH1337" s="4" t="s">
        <v>2881</v>
      </c>
      <c r="JCI1337" s="4" t="s">
        <v>2881</v>
      </c>
      <c r="JCJ1337" s="4" t="s">
        <v>2881</v>
      </c>
      <c r="JCK1337" s="4" t="s">
        <v>2881</v>
      </c>
      <c r="JCL1337" s="4" t="s">
        <v>2881</v>
      </c>
      <c r="JCM1337" s="4" t="s">
        <v>2881</v>
      </c>
      <c r="JCN1337" s="4" t="s">
        <v>2881</v>
      </c>
      <c r="JCO1337" s="4" t="s">
        <v>2881</v>
      </c>
      <c r="JCP1337" s="4" t="s">
        <v>2881</v>
      </c>
      <c r="JCQ1337" s="4" t="s">
        <v>2881</v>
      </c>
      <c r="JCR1337" s="4" t="s">
        <v>2881</v>
      </c>
      <c r="JCS1337" s="4" t="s">
        <v>2881</v>
      </c>
      <c r="JCT1337" s="4" t="s">
        <v>2881</v>
      </c>
      <c r="JCU1337" s="4" t="s">
        <v>2881</v>
      </c>
      <c r="JCV1337" s="4" t="s">
        <v>2881</v>
      </c>
      <c r="JCW1337" s="4" t="s">
        <v>2881</v>
      </c>
      <c r="JCX1337" s="4" t="s">
        <v>2881</v>
      </c>
      <c r="JCY1337" s="4" t="s">
        <v>2881</v>
      </c>
      <c r="JCZ1337" s="4" t="s">
        <v>2881</v>
      </c>
      <c r="JDA1337" s="4" t="s">
        <v>2881</v>
      </c>
      <c r="JDB1337" s="4" t="s">
        <v>2881</v>
      </c>
      <c r="JDC1337" s="4" t="s">
        <v>2881</v>
      </c>
      <c r="JDD1337" s="4" t="s">
        <v>2881</v>
      </c>
      <c r="JDE1337" s="4" t="s">
        <v>2881</v>
      </c>
      <c r="JDF1337" s="4" t="s">
        <v>2881</v>
      </c>
      <c r="JDG1337" s="4" t="s">
        <v>2881</v>
      </c>
      <c r="JDH1337" s="4" t="s">
        <v>2881</v>
      </c>
      <c r="JDI1337" s="4" t="s">
        <v>2881</v>
      </c>
      <c r="JDJ1337" s="4" t="s">
        <v>2881</v>
      </c>
      <c r="JDK1337" s="4" t="s">
        <v>2881</v>
      </c>
      <c r="JDL1337" s="4" t="s">
        <v>2881</v>
      </c>
      <c r="JDM1337" s="4" t="s">
        <v>2881</v>
      </c>
      <c r="JDN1337" s="4" t="s">
        <v>2881</v>
      </c>
      <c r="JDO1337" s="4" t="s">
        <v>2881</v>
      </c>
      <c r="JDP1337" s="4" t="s">
        <v>2881</v>
      </c>
      <c r="JDQ1337" s="4" t="s">
        <v>2881</v>
      </c>
      <c r="JDR1337" s="4" t="s">
        <v>2881</v>
      </c>
      <c r="JDS1337" s="4" t="s">
        <v>2881</v>
      </c>
      <c r="JDT1337" s="4" t="s">
        <v>2881</v>
      </c>
      <c r="JDU1337" s="4" t="s">
        <v>2881</v>
      </c>
      <c r="JDV1337" s="4" t="s">
        <v>2881</v>
      </c>
      <c r="JDW1337" s="4" t="s">
        <v>2881</v>
      </c>
      <c r="JDX1337" s="4" t="s">
        <v>2881</v>
      </c>
      <c r="JDY1337" s="4" t="s">
        <v>2881</v>
      </c>
      <c r="JDZ1337" s="4" t="s">
        <v>2881</v>
      </c>
      <c r="JEA1337" s="4" t="s">
        <v>2881</v>
      </c>
      <c r="JEB1337" s="4" t="s">
        <v>2881</v>
      </c>
      <c r="JEC1337" s="4" t="s">
        <v>2881</v>
      </c>
      <c r="JED1337" s="4" t="s">
        <v>2881</v>
      </c>
      <c r="JEE1337" s="4" t="s">
        <v>2881</v>
      </c>
      <c r="JEF1337" s="4" t="s">
        <v>2881</v>
      </c>
      <c r="JEG1337" s="4" t="s">
        <v>2881</v>
      </c>
      <c r="JEH1337" s="4" t="s">
        <v>2881</v>
      </c>
      <c r="JEI1337" s="4" t="s">
        <v>2881</v>
      </c>
      <c r="JEJ1337" s="4" t="s">
        <v>2881</v>
      </c>
      <c r="JEK1337" s="4" t="s">
        <v>2881</v>
      </c>
      <c r="JEL1337" s="4" t="s">
        <v>2881</v>
      </c>
      <c r="JEM1337" s="4" t="s">
        <v>2881</v>
      </c>
      <c r="JEN1337" s="4" t="s">
        <v>2881</v>
      </c>
      <c r="JEO1337" s="4" t="s">
        <v>2881</v>
      </c>
      <c r="JEP1337" s="4" t="s">
        <v>2881</v>
      </c>
      <c r="JEQ1337" s="4" t="s">
        <v>2881</v>
      </c>
      <c r="JER1337" s="4" t="s">
        <v>2881</v>
      </c>
      <c r="JES1337" s="4" t="s">
        <v>2881</v>
      </c>
      <c r="JET1337" s="4" t="s">
        <v>2881</v>
      </c>
      <c r="JEU1337" s="4" t="s">
        <v>2881</v>
      </c>
      <c r="JEV1337" s="4" t="s">
        <v>2881</v>
      </c>
      <c r="JEW1337" s="4" t="s">
        <v>2881</v>
      </c>
      <c r="JEX1337" s="4" t="s">
        <v>2881</v>
      </c>
      <c r="JEY1337" s="4" t="s">
        <v>2881</v>
      </c>
      <c r="JEZ1337" s="4" t="s">
        <v>2881</v>
      </c>
      <c r="JFA1337" s="4" t="s">
        <v>2881</v>
      </c>
      <c r="JFB1337" s="4" t="s">
        <v>2881</v>
      </c>
      <c r="JFC1337" s="4" t="s">
        <v>2881</v>
      </c>
      <c r="JFD1337" s="4" t="s">
        <v>2881</v>
      </c>
      <c r="JFE1337" s="4" t="s">
        <v>2881</v>
      </c>
      <c r="JFF1337" s="4" t="s">
        <v>2881</v>
      </c>
      <c r="JFG1337" s="4" t="s">
        <v>2881</v>
      </c>
      <c r="JFH1337" s="4" t="s">
        <v>2881</v>
      </c>
      <c r="JFI1337" s="4" t="s">
        <v>2881</v>
      </c>
      <c r="JFJ1337" s="4" t="s">
        <v>2881</v>
      </c>
      <c r="JFK1337" s="4" t="s">
        <v>2881</v>
      </c>
      <c r="JFL1337" s="4" t="s">
        <v>2881</v>
      </c>
      <c r="JFM1337" s="4" t="s">
        <v>2881</v>
      </c>
      <c r="JFN1337" s="4" t="s">
        <v>2881</v>
      </c>
      <c r="JFO1337" s="4" t="s">
        <v>2881</v>
      </c>
      <c r="JFP1337" s="4" t="s">
        <v>2881</v>
      </c>
      <c r="JFQ1337" s="4" t="s">
        <v>2881</v>
      </c>
      <c r="JFR1337" s="4" t="s">
        <v>2881</v>
      </c>
      <c r="JFS1337" s="4" t="s">
        <v>2881</v>
      </c>
      <c r="JFT1337" s="4" t="s">
        <v>2881</v>
      </c>
      <c r="JFU1337" s="4" t="s">
        <v>2881</v>
      </c>
      <c r="JFV1337" s="4" t="s">
        <v>2881</v>
      </c>
      <c r="JFW1337" s="4" t="s">
        <v>2881</v>
      </c>
      <c r="JFX1337" s="4" t="s">
        <v>2881</v>
      </c>
      <c r="JFY1337" s="4" t="s">
        <v>2881</v>
      </c>
      <c r="JFZ1337" s="4" t="s">
        <v>2881</v>
      </c>
      <c r="JGA1337" s="4" t="s">
        <v>2881</v>
      </c>
      <c r="JGB1337" s="4" t="s">
        <v>2881</v>
      </c>
      <c r="JGC1337" s="4" t="s">
        <v>2881</v>
      </c>
      <c r="JGD1337" s="4" t="s">
        <v>2881</v>
      </c>
      <c r="JGE1337" s="4" t="s">
        <v>2881</v>
      </c>
      <c r="JGF1337" s="4" t="s">
        <v>2881</v>
      </c>
      <c r="JGG1337" s="4" t="s">
        <v>2881</v>
      </c>
      <c r="JGH1337" s="4" t="s">
        <v>2881</v>
      </c>
      <c r="JGI1337" s="4" t="s">
        <v>2881</v>
      </c>
      <c r="JGJ1337" s="4" t="s">
        <v>2881</v>
      </c>
      <c r="JGK1337" s="4" t="s">
        <v>2881</v>
      </c>
      <c r="JGL1337" s="4" t="s">
        <v>2881</v>
      </c>
      <c r="JGM1337" s="4" t="s">
        <v>2881</v>
      </c>
      <c r="JGN1337" s="4" t="s">
        <v>2881</v>
      </c>
      <c r="JGO1337" s="4" t="s">
        <v>2881</v>
      </c>
      <c r="JGP1337" s="4" t="s">
        <v>2881</v>
      </c>
      <c r="JGQ1337" s="4" t="s">
        <v>2881</v>
      </c>
      <c r="JGR1337" s="4" t="s">
        <v>2881</v>
      </c>
      <c r="JGS1337" s="4" t="s">
        <v>2881</v>
      </c>
      <c r="JGT1337" s="4" t="s">
        <v>2881</v>
      </c>
      <c r="JGU1337" s="4" t="s">
        <v>2881</v>
      </c>
      <c r="JGV1337" s="4" t="s">
        <v>2881</v>
      </c>
      <c r="JGW1337" s="4" t="s">
        <v>2881</v>
      </c>
      <c r="JGX1337" s="4" t="s">
        <v>2881</v>
      </c>
      <c r="JGY1337" s="4" t="s">
        <v>2881</v>
      </c>
      <c r="JGZ1337" s="4" t="s">
        <v>2881</v>
      </c>
      <c r="JHA1337" s="4" t="s">
        <v>2881</v>
      </c>
      <c r="JHB1337" s="4" t="s">
        <v>2881</v>
      </c>
      <c r="JHC1337" s="4" t="s">
        <v>2881</v>
      </c>
      <c r="JHD1337" s="4" t="s">
        <v>2881</v>
      </c>
      <c r="JHE1337" s="4" t="s">
        <v>2881</v>
      </c>
      <c r="JHF1337" s="4" t="s">
        <v>2881</v>
      </c>
      <c r="JHG1337" s="4" t="s">
        <v>2881</v>
      </c>
      <c r="JHH1337" s="4" t="s">
        <v>2881</v>
      </c>
      <c r="JHI1337" s="4" t="s">
        <v>2881</v>
      </c>
      <c r="JHJ1337" s="4" t="s">
        <v>2881</v>
      </c>
      <c r="JHK1337" s="4" t="s">
        <v>2881</v>
      </c>
      <c r="JHL1337" s="4" t="s">
        <v>2881</v>
      </c>
      <c r="JHM1337" s="4" t="s">
        <v>2881</v>
      </c>
      <c r="JHN1337" s="4" t="s">
        <v>2881</v>
      </c>
      <c r="JHO1337" s="4" t="s">
        <v>2881</v>
      </c>
      <c r="JHP1337" s="4" t="s">
        <v>2881</v>
      </c>
      <c r="JHQ1337" s="4" t="s">
        <v>2881</v>
      </c>
      <c r="JHR1337" s="4" t="s">
        <v>2881</v>
      </c>
      <c r="JHS1337" s="4" t="s">
        <v>2881</v>
      </c>
      <c r="JHT1337" s="4" t="s">
        <v>2881</v>
      </c>
      <c r="JHU1337" s="4" t="s">
        <v>2881</v>
      </c>
      <c r="JHV1337" s="4" t="s">
        <v>2881</v>
      </c>
      <c r="JHW1337" s="4" t="s">
        <v>2881</v>
      </c>
      <c r="JHX1337" s="4" t="s">
        <v>2881</v>
      </c>
      <c r="JHY1337" s="4" t="s">
        <v>2881</v>
      </c>
      <c r="JHZ1337" s="4" t="s">
        <v>2881</v>
      </c>
      <c r="JIA1337" s="4" t="s">
        <v>2881</v>
      </c>
      <c r="JIB1337" s="4" t="s">
        <v>2881</v>
      </c>
      <c r="JIC1337" s="4" t="s">
        <v>2881</v>
      </c>
      <c r="JID1337" s="4" t="s">
        <v>2881</v>
      </c>
      <c r="JIE1337" s="4" t="s">
        <v>2881</v>
      </c>
      <c r="JIF1337" s="4" t="s">
        <v>2881</v>
      </c>
      <c r="JIG1337" s="4" t="s">
        <v>2881</v>
      </c>
      <c r="JIH1337" s="4" t="s">
        <v>2881</v>
      </c>
      <c r="JII1337" s="4" t="s">
        <v>2881</v>
      </c>
      <c r="JIJ1337" s="4" t="s">
        <v>2881</v>
      </c>
      <c r="JIK1337" s="4" t="s">
        <v>2881</v>
      </c>
      <c r="JIL1337" s="4" t="s">
        <v>2881</v>
      </c>
      <c r="JIM1337" s="4" t="s">
        <v>2881</v>
      </c>
      <c r="JIN1337" s="4" t="s">
        <v>2881</v>
      </c>
      <c r="JIO1337" s="4" t="s">
        <v>2881</v>
      </c>
      <c r="JIP1337" s="4" t="s">
        <v>2881</v>
      </c>
      <c r="JIQ1337" s="4" t="s">
        <v>2881</v>
      </c>
      <c r="JIR1337" s="4" t="s">
        <v>2881</v>
      </c>
      <c r="JIS1337" s="4" t="s">
        <v>2881</v>
      </c>
      <c r="JIT1337" s="4" t="s">
        <v>2881</v>
      </c>
      <c r="JIU1337" s="4" t="s">
        <v>2881</v>
      </c>
      <c r="JIV1337" s="4" t="s">
        <v>2881</v>
      </c>
      <c r="JIW1337" s="4" t="s">
        <v>2881</v>
      </c>
      <c r="JIX1337" s="4" t="s">
        <v>2881</v>
      </c>
      <c r="JIY1337" s="4" t="s">
        <v>2881</v>
      </c>
      <c r="JIZ1337" s="4" t="s">
        <v>2881</v>
      </c>
      <c r="JJA1337" s="4" t="s">
        <v>2881</v>
      </c>
      <c r="JJB1337" s="4" t="s">
        <v>2881</v>
      </c>
      <c r="JJC1337" s="4" t="s">
        <v>2881</v>
      </c>
      <c r="JJD1337" s="4" t="s">
        <v>2881</v>
      </c>
      <c r="JJE1337" s="4" t="s">
        <v>2881</v>
      </c>
      <c r="JJF1337" s="4" t="s">
        <v>2881</v>
      </c>
      <c r="JJG1337" s="4" t="s">
        <v>2881</v>
      </c>
      <c r="JJH1337" s="4" t="s">
        <v>2881</v>
      </c>
      <c r="JJI1337" s="4" t="s">
        <v>2881</v>
      </c>
      <c r="JJJ1337" s="4" t="s">
        <v>2881</v>
      </c>
      <c r="JJK1337" s="4" t="s">
        <v>2881</v>
      </c>
      <c r="JJL1337" s="4" t="s">
        <v>2881</v>
      </c>
      <c r="JJM1337" s="4" t="s">
        <v>2881</v>
      </c>
      <c r="JJN1337" s="4" t="s">
        <v>2881</v>
      </c>
      <c r="JJO1337" s="4" t="s">
        <v>2881</v>
      </c>
      <c r="JJP1337" s="4" t="s">
        <v>2881</v>
      </c>
      <c r="JJQ1337" s="4" t="s">
        <v>2881</v>
      </c>
      <c r="JJR1337" s="4" t="s">
        <v>2881</v>
      </c>
      <c r="JJS1337" s="4" t="s">
        <v>2881</v>
      </c>
      <c r="JJT1337" s="4" t="s">
        <v>2881</v>
      </c>
      <c r="JJU1337" s="4" t="s">
        <v>2881</v>
      </c>
      <c r="JJV1337" s="4" t="s">
        <v>2881</v>
      </c>
      <c r="JJW1337" s="4" t="s">
        <v>2881</v>
      </c>
      <c r="JJX1337" s="4" t="s">
        <v>2881</v>
      </c>
      <c r="JJY1337" s="4" t="s">
        <v>2881</v>
      </c>
      <c r="JJZ1337" s="4" t="s">
        <v>2881</v>
      </c>
      <c r="JKA1337" s="4" t="s">
        <v>2881</v>
      </c>
      <c r="JKB1337" s="4" t="s">
        <v>2881</v>
      </c>
      <c r="JKC1337" s="4" t="s">
        <v>2881</v>
      </c>
      <c r="JKD1337" s="4" t="s">
        <v>2881</v>
      </c>
      <c r="JKE1337" s="4" t="s">
        <v>2881</v>
      </c>
      <c r="JKF1337" s="4" t="s">
        <v>2881</v>
      </c>
      <c r="JKG1337" s="4" t="s">
        <v>2881</v>
      </c>
      <c r="JKH1337" s="4" t="s">
        <v>2881</v>
      </c>
      <c r="JKI1337" s="4" t="s">
        <v>2881</v>
      </c>
      <c r="JKJ1337" s="4" t="s">
        <v>2881</v>
      </c>
      <c r="JKK1337" s="4" t="s">
        <v>2881</v>
      </c>
      <c r="JKL1337" s="4" t="s">
        <v>2881</v>
      </c>
      <c r="JKM1337" s="4" t="s">
        <v>2881</v>
      </c>
      <c r="JKN1337" s="4" t="s">
        <v>2881</v>
      </c>
      <c r="JKO1337" s="4" t="s">
        <v>2881</v>
      </c>
      <c r="JKP1337" s="4" t="s">
        <v>2881</v>
      </c>
      <c r="JKQ1337" s="4" t="s">
        <v>2881</v>
      </c>
      <c r="JKR1337" s="4" t="s">
        <v>2881</v>
      </c>
      <c r="JKS1337" s="4" t="s">
        <v>2881</v>
      </c>
      <c r="JKT1337" s="4" t="s">
        <v>2881</v>
      </c>
      <c r="JKU1337" s="4" t="s">
        <v>2881</v>
      </c>
      <c r="JKV1337" s="4" t="s">
        <v>2881</v>
      </c>
      <c r="JKW1337" s="4" t="s">
        <v>2881</v>
      </c>
      <c r="JKX1337" s="4" t="s">
        <v>2881</v>
      </c>
      <c r="JKY1337" s="4" t="s">
        <v>2881</v>
      </c>
      <c r="JKZ1337" s="4" t="s">
        <v>2881</v>
      </c>
      <c r="JLA1337" s="4" t="s">
        <v>2881</v>
      </c>
      <c r="JLB1337" s="4" t="s">
        <v>2881</v>
      </c>
      <c r="JLC1337" s="4" t="s">
        <v>2881</v>
      </c>
      <c r="JLD1337" s="4" t="s">
        <v>2881</v>
      </c>
      <c r="JLE1337" s="4" t="s">
        <v>2881</v>
      </c>
      <c r="JLF1337" s="4" t="s">
        <v>2881</v>
      </c>
      <c r="JLG1337" s="4" t="s">
        <v>2881</v>
      </c>
      <c r="JLH1337" s="4" t="s">
        <v>2881</v>
      </c>
      <c r="JLI1337" s="4" t="s">
        <v>2881</v>
      </c>
      <c r="JLJ1337" s="4" t="s">
        <v>2881</v>
      </c>
      <c r="JLK1337" s="4" t="s">
        <v>2881</v>
      </c>
      <c r="JLL1337" s="4" t="s">
        <v>2881</v>
      </c>
      <c r="JLM1337" s="4" t="s">
        <v>2881</v>
      </c>
      <c r="JLN1337" s="4" t="s">
        <v>2881</v>
      </c>
      <c r="JLO1337" s="4" t="s">
        <v>2881</v>
      </c>
      <c r="JLP1337" s="4" t="s">
        <v>2881</v>
      </c>
      <c r="JLQ1337" s="4" t="s">
        <v>2881</v>
      </c>
      <c r="JLR1337" s="4" t="s">
        <v>2881</v>
      </c>
      <c r="JLS1337" s="4" t="s">
        <v>2881</v>
      </c>
      <c r="JLT1337" s="4" t="s">
        <v>2881</v>
      </c>
      <c r="JLU1337" s="4" t="s">
        <v>2881</v>
      </c>
      <c r="JLV1337" s="4" t="s">
        <v>2881</v>
      </c>
      <c r="JLW1337" s="4" t="s">
        <v>2881</v>
      </c>
      <c r="JLX1337" s="4" t="s">
        <v>2881</v>
      </c>
      <c r="JLY1337" s="4" t="s">
        <v>2881</v>
      </c>
      <c r="JLZ1337" s="4" t="s">
        <v>2881</v>
      </c>
      <c r="JMA1337" s="4" t="s">
        <v>2881</v>
      </c>
      <c r="JMB1337" s="4" t="s">
        <v>2881</v>
      </c>
      <c r="JMC1337" s="4" t="s">
        <v>2881</v>
      </c>
      <c r="JMD1337" s="4" t="s">
        <v>2881</v>
      </c>
      <c r="JME1337" s="4" t="s">
        <v>2881</v>
      </c>
      <c r="JMF1337" s="4" t="s">
        <v>2881</v>
      </c>
      <c r="JMG1337" s="4" t="s">
        <v>2881</v>
      </c>
      <c r="JMH1337" s="4" t="s">
        <v>2881</v>
      </c>
      <c r="JMI1337" s="4" t="s">
        <v>2881</v>
      </c>
      <c r="JMJ1337" s="4" t="s">
        <v>2881</v>
      </c>
      <c r="JMK1337" s="4" t="s">
        <v>2881</v>
      </c>
      <c r="JML1337" s="4" t="s">
        <v>2881</v>
      </c>
      <c r="JMM1337" s="4" t="s">
        <v>2881</v>
      </c>
      <c r="JMN1337" s="4" t="s">
        <v>2881</v>
      </c>
      <c r="JMO1337" s="4" t="s">
        <v>2881</v>
      </c>
      <c r="JMP1337" s="4" t="s">
        <v>2881</v>
      </c>
      <c r="JMQ1337" s="4" t="s">
        <v>2881</v>
      </c>
      <c r="JMR1337" s="4" t="s">
        <v>2881</v>
      </c>
      <c r="JMS1337" s="4" t="s">
        <v>2881</v>
      </c>
      <c r="JMT1337" s="4" t="s">
        <v>2881</v>
      </c>
      <c r="JMU1337" s="4" t="s">
        <v>2881</v>
      </c>
      <c r="JMV1337" s="4" t="s">
        <v>2881</v>
      </c>
      <c r="JMW1337" s="4" t="s">
        <v>2881</v>
      </c>
      <c r="JMX1337" s="4" t="s">
        <v>2881</v>
      </c>
      <c r="JMY1337" s="4" t="s">
        <v>2881</v>
      </c>
      <c r="JMZ1337" s="4" t="s">
        <v>2881</v>
      </c>
      <c r="JNA1337" s="4" t="s">
        <v>2881</v>
      </c>
      <c r="JNB1337" s="4" t="s">
        <v>2881</v>
      </c>
      <c r="JNC1337" s="4" t="s">
        <v>2881</v>
      </c>
      <c r="JND1337" s="4" t="s">
        <v>2881</v>
      </c>
      <c r="JNE1337" s="4" t="s">
        <v>2881</v>
      </c>
      <c r="JNF1337" s="4" t="s">
        <v>2881</v>
      </c>
      <c r="JNG1337" s="4" t="s">
        <v>2881</v>
      </c>
      <c r="JNH1337" s="4" t="s">
        <v>2881</v>
      </c>
      <c r="JNI1337" s="4" t="s">
        <v>2881</v>
      </c>
      <c r="JNJ1337" s="4" t="s">
        <v>2881</v>
      </c>
      <c r="JNK1337" s="4" t="s">
        <v>2881</v>
      </c>
      <c r="JNL1337" s="4" t="s">
        <v>2881</v>
      </c>
      <c r="JNM1337" s="4" t="s">
        <v>2881</v>
      </c>
      <c r="JNN1337" s="4" t="s">
        <v>2881</v>
      </c>
      <c r="JNO1337" s="4" t="s">
        <v>2881</v>
      </c>
      <c r="JNP1337" s="4" t="s">
        <v>2881</v>
      </c>
      <c r="JNQ1337" s="4" t="s">
        <v>2881</v>
      </c>
      <c r="JNR1337" s="4" t="s">
        <v>2881</v>
      </c>
      <c r="JNS1337" s="4" t="s">
        <v>2881</v>
      </c>
      <c r="JNT1337" s="4" t="s">
        <v>2881</v>
      </c>
      <c r="JNU1337" s="4" t="s">
        <v>2881</v>
      </c>
      <c r="JNV1337" s="4" t="s">
        <v>2881</v>
      </c>
      <c r="JNW1337" s="4" t="s">
        <v>2881</v>
      </c>
      <c r="JNX1337" s="4" t="s">
        <v>2881</v>
      </c>
      <c r="JNY1337" s="4" t="s">
        <v>2881</v>
      </c>
      <c r="JNZ1337" s="4" t="s">
        <v>2881</v>
      </c>
      <c r="JOA1337" s="4" t="s">
        <v>2881</v>
      </c>
      <c r="JOB1337" s="4" t="s">
        <v>2881</v>
      </c>
      <c r="JOC1337" s="4" t="s">
        <v>2881</v>
      </c>
      <c r="JOD1337" s="4" t="s">
        <v>2881</v>
      </c>
      <c r="JOE1337" s="4" t="s">
        <v>2881</v>
      </c>
      <c r="JOF1337" s="4" t="s">
        <v>2881</v>
      </c>
      <c r="JOG1337" s="4" t="s">
        <v>2881</v>
      </c>
      <c r="JOH1337" s="4" t="s">
        <v>2881</v>
      </c>
      <c r="JOI1337" s="4" t="s">
        <v>2881</v>
      </c>
      <c r="JOJ1337" s="4" t="s">
        <v>2881</v>
      </c>
      <c r="JOK1337" s="4" t="s">
        <v>2881</v>
      </c>
      <c r="JOL1337" s="4" t="s">
        <v>2881</v>
      </c>
      <c r="JOM1337" s="4" t="s">
        <v>2881</v>
      </c>
      <c r="JON1337" s="4" t="s">
        <v>2881</v>
      </c>
      <c r="JOO1337" s="4" t="s">
        <v>2881</v>
      </c>
      <c r="JOP1337" s="4" t="s">
        <v>2881</v>
      </c>
      <c r="JOQ1337" s="4" t="s">
        <v>2881</v>
      </c>
      <c r="JOR1337" s="4" t="s">
        <v>2881</v>
      </c>
      <c r="JOS1337" s="4" t="s">
        <v>2881</v>
      </c>
      <c r="JOT1337" s="4" t="s">
        <v>2881</v>
      </c>
      <c r="JOU1337" s="4" t="s">
        <v>2881</v>
      </c>
      <c r="JOV1337" s="4" t="s">
        <v>2881</v>
      </c>
      <c r="JOW1337" s="4" t="s">
        <v>2881</v>
      </c>
      <c r="JOX1337" s="4" t="s">
        <v>2881</v>
      </c>
      <c r="JOY1337" s="4" t="s">
        <v>2881</v>
      </c>
      <c r="JOZ1337" s="4" t="s">
        <v>2881</v>
      </c>
      <c r="JPA1337" s="4" t="s">
        <v>2881</v>
      </c>
      <c r="JPB1337" s="4" t="s">
        <v>2881</v>
      </c>
      <c r="JPC1337" s="4" t="s">
        <v>2881</v>
      </c>
      <c r="JPD1337" s="4" t="s">
        <v>2881</v>
      </c>
      <c r="JPE1337" s="4" t="s">
        <v>2881</v>
      </c>
      <c r="JPF1337" s="4" t="s">
        <v>2881</v>
      </c>
      <c r="JPG1337" s="4" t="s">
        <v>2881</v>
      </c>
      <c r="JPH1337" s="4" t="s">
        <v>2881</v>
      </c>
      <c r="JPI1337" s="4" t="s">
        <v>2881</v>
      </c>
      <c r="JPJ1337" s="4" t="s">
        <v>2881</v>
      </c>
      <c r="JPK1337" s="4" t="s">
        <v>2881</v>
      </c>
      <c r="JPL1337" s="4" t="s">
        <v>2881</v>
      </c>
      <c r="JPM1337" s="4" t="s">
        <v>2881</v>
      </c>
      <c r="JPN1337" s="4" t="s">
        <v>2881</v>
      </c>
      <c r="JPO1337" s="4" t="s">
        <v>2881</v>
      </c>
      <c r="JPP1337" s="4" t="s">
        <v>2881</v>
      </c>
      <c r="JPQ1337" s="4" t="s">
        <v>2881</v>
      </c>
      <c r="JPR1337" s="4" t="s">
        <v>2881</v>
      </c>
      <c r="JPS1337" s="4" t="s">
        <v>2881</v>
      </c>
      <c r="JPT1337" s="4" t="s">
        <v>2881</v>
      </c>
      <c r="JPU1337" s="4" t="s">
        <v>2881</v>
      </c>
      <c r="JPV1337" s="4" t="s">
        <v>2881</v>
      </c>
      <c r="JPW1337" s="4" t="s">
        <v>2881</v>
      </c>
      <c r="JPX1337" s="4" t="s">
        <v>2881</v>
      </c>
      <c r="JPY1337" s="4" t="s">
        <v>2881</v>
      </c>
      <c r="JPZ1337" s="4" t="s">
        <v>2881</v>
      </c>
      <c r="JQA1337" s="4" t="s">
        <v>2881</v>
      </c>
      <c r="JQB1337" s="4" t="s">
        <v>2881</v>
      </c>
      <c r="JQC1337" s="4" t="s">
        <v>2881</v>
      </c>
      <c r="JQD1337" s="4" t="s">
        <v>2881</v>
      </c>
      <c r="JQE1337" s="4" t="s">
        <v>2881</v>
      </c>
      <c r="JQF1337" s="4" t="s">
        <v>2881</v>
      </c>
      <c r="JQG1337" s="4" t="s">
        <v>2881</v>
      </c>
      <c r="JQH1337" s="4" t="s">
        <v>2881</v>
      </c>
      <c r="JQI1337" s="4" t="s">
        <v>2881</v>
      </c>
      <c r="JQJ1337" s="4" t="s">
        <v>2881</v>
      </c>
      <c r="JQK1337" s="4" t="s">
        <v>2881</v>
      </c>
      <c r="JQL1337" s="4" t="s">
        <v>2881</v>
      </c>
      <c r="JQM1337" s="4" t="s">
        <v>2881</v>
      </c>
      <c r="JQN1337" s="4" t="s">
        <v>2881</v>
      </c>
      <c r="JQO1337" s="4" t="s">
        <v>2881</v>
      </c>
      <c r="JQP1337" s="4" t="s">
        <v>2881</v>
      </c>
      <c r="JQQ1337" s="4" t="s">
        <v>2881</v>
      </c>
      <c r="JQR1337" s="4" t="s">
        <v>2881</v>
      </c>
      <c r="JQS1337" s="4" t="s">
        <v>2881</v>
      </c>
      <c r="JQT1337" s="4" t="s">
        <v>2881</v>
      </c>
      <c r="JQU1337" s="4" t="s">
        <v>2881</v>
      </c>
      <c r="JQV1337" s="4" t="s">
        <v>2881</v>
      </c>
      <c r="JQW1337" s="4" t="s">
        <v>2881</v>
      </c>
      <c r="JQX1337" s="4" t="s">
        <v>2881</v>
      </c>
      <c r="JQY1337" s="4" t="s">
        <v>2881</v>
      </c>
      <c r="JQZ1337" s="4" t="s">
        <v>2881</v>
      </c>
      <c r="JRA1337" s="4" t="s">
        <v>2881</v>
      </c>
      <c r="JRB1337" s="4" t="s">
        <v>2881</v>
      </c>
      <c r="JRC1337" s="4" t="s">
        <v>2881</v>
      </c>
      <c r="JRD1337" s="4" t="s">
        <v>2881</v>
      </c>
      <c r="JRE1337" s="4" t="s">
        <v>2881</v>
      </c>
      <c r="JRF1337" s="4" t="s">
        <v>2881</v>
      </c>
      <c r="JRG1337" s="4" t="s">
        <v>2881</v>
      </c>
      <c r="JRH1337" s="4" t="s">
        <v>2881</v>
      </c>
      <c r="JRI1337" s="4" t="s">
        <v>2881</v>
      </c>
      <c r="JRJ1337" s="4" t="s">
        <v>2881</v>
      </c>
      <c r="JRK1337" s="4" t="s">
        <v>2881</v>
      </c>
      <c r="JRL1337" s="4" t="s">
        <v>2881</v>
      </c>
      <c r="JRM1337" s="4" t="s">
        <v>2881</v>
      </c>
      <c r="JRN1337" s="4" t="s">
        <v>2881</v>
      </c>
      <c r="JRO1337" s="4" t="s">
        <v>2881</v>
      </c>
      <c r="JRP1337" s="4" t="s">
        <v>2881</v>
      </c>
      <c r="JRQ1337" s="4" t="s">
        <v>2881</v>
      </c>
      <c r="JRR1337" s="4" t="s">
        <v>2881</v>
      </c>
      <c r="JRS1337" s="4" t="s">
        <v>2881</v>
      </c>
      <c r="JRT1337" s="4" t="s">
        <v>2881</v>
      </c>
      <c r="JRU1337" s="4" t="s">
        <v>2881</v>
      </c>
      <c r="JRV1337" s="4" t="s">
        <v>2881</v>
      </c>
      <c r="JRW1337" s="4" t="s">
        <v>2881</v>
      </c>
      <c r="JRX1337" s="4" t="s">
        <v>2881</v>
      </c>
      <c r="JRY1337" s="4" t="s">
        <v>2881</v>
      </c>
      <c r="JRZ1337" s="4" t="s">
        <v>2881</v>
      </c>
      <c r="JSA1337" s="4" t="s">
        <v>2881</v>
      </c>
      <c r="JSB1337" s="4" t="s">
        <v>2881</v>
      </c>
      <c r="JSC1337" s="4" t="s">
        <v>2881</v>
      </c>
      <c r="JSD1337" s="4" t="s">
        <v>2881</v>
      </c>
      <c r="JSE1337" s="4" t="s">
        <v>2881</v>
      </c>
      <c r="JSF1337" s="4" t="s">
        <v>2881</v>
      </c>
      <c r="JSG1337" s="4" t="s">
        <v>2881</v>
      </c>
      <c r="JSH1337" s="4" t="s">
        <v>2881</v>
      </c>
      <c r="JSI1337" s="4" t="s">
        <v>2881</v>
      </c>
      <c r="JSJ1337" s="4" t="s">
        <v>2881</v>
      </c>
      <c r="JSK1337" s="4" t="s">
        <v>2881</v>
      </c>
      <c r="JSL1337" s="4" t="s">
        <v>2881</v>
      </c>
      <c r="JSM1337" s="4" t="s">
        <v>2881</v>
      </c>
      <c r="JSN1337" s="4" t="s">
        <v>2881</v>
      </c>
      <c r="JSO1337" s="4" t="s">
        <v>2881</v>
      </c>
      <c r="JSP1337" s="4" t="s">
        <v>2881</v>
      </c>
      <c r="JSQ1337" s="4" t="s">
        <v>2881</v>
      </c>
      <c r="JSR1337" s="4" t="s">
        <v>2881</v>
      </c>
      <c r="JSS1337" s="4" t="s">
        <v>2881</v>
      </c>
      <c r="JST1337" s="4" t="s">
        <v>2881</v>
      </c>
      <c r="JSU1337" s="4" t="s">
        <v>2881</v>
      </c>
      <c r="JSV1337" s="4" t="s">
        <v>2881</v>
      </c>
      <c r="JSW1337" s="4" t="s">
        <v>2881</v>
      </c>
      <c r="JSX1337" s="4" t="s">
        <v>2881</v>
      </c>
      <c r="JSY1337" s="4" t="s">
        <v>2881</v>
      </c>
      <c r="JSZ1337" s="4" t="s">
        <v>2881</v>
      </c>
      <c r="JTA1337" s="4" t="s">
        <v>2881</v>
      </c>
      <c r="JTB1337" s="4" t="s">
        <v>2881</v>
      </c>
      <c r="JTC1337" s="4" t="s">
        <v>2881</v>
      </c>
      <c r="JTD1337" s="4" t="s">
        <v>2881</v>
      </c>
      <c r="JTE1337" s="4" t="s">
        <v>2881</v>
      </c>
      <c r="JTF1337" s="4" t="s">
        <v>2881</v>
      </c>
      <c r="JTG1337" s="4" t="s">
        <v>2881</v>
      </c>
      <c r="JTH1337" s="4" t="s">
        <v>2881</v>
      </c>
      <c r="JTI1337" s="4" t="s">
        <v>2881</v>
      </c>
      <c r="JTJ1337" s="4" t="s">
        <v>2881</v>
      </c>
      <c r="JTK1337" s="4" t="s">
        <v>2881</v>
      </c>
      <c r="JTL1337" s="4" t="s">
        <v>2881</v>
      </c>
      <c r="JTM1337" s="4" t="s">
        <v>2881</v>
      </c>
      <c r="JTN1337" s="4" t="s">
        <v>2881</v>
      </c>
      <c r="JTO1337" s="4" t="s">
        <v>2881</v>
      </c>
      <c r="JTP1337" s="4" t="s">
        <v>2881</v>
      </c>
      <c r="JTQ1337" s="4" t="s">
        <v>2881</v>
      </c>
      <c r="JTR1337" s="4" t="s">
        <v>2881</v>
      </c>
      <c r="JTS1337" s="4" t="s">
        <v>2881</v>
      </c>
      <c r="JTT1337" s="4" t="s">
        <v>2881</v>
      </c>
      <c r="JTU1337" s="4" t="s">
        <v>2881</v>
      </c>
      <c r="JTV1337" s="4" t="s">
        <v>2881</v>
      </c>
      <c r="JTW1337" s="4" t="s">
        <v>2881</v>
      </c>
      <c r="JTX1337" s="4" t="s">
        <v>2881</v>
      </c>
      <c r="JTY1337" s="4" t="s">
        <v>2881</v>
      </c>
      <c r="JTZ1337" s="4" t="s">
        <v>2881</v>
      </c>
      <c r="JUA1337" s="4" t="s">
        <v>2881</v>
      </c>
      <c r="JUB1337" s="4" t="s">
        <v>2881</v>
      </c>
      <c r="JUC1337" s="4" t="s">
        <v>2881</v>
      </c>
      <c r="JUD1337" s="4" t="s">
        <v>2881</v>
      </c>
      <c r="JUE1337" s="4" t="s">
        <v>2881</v>
      </c>
      <c r="JUF1337" s="4" t="s">
        <v>2881</v>
      </c>
      <c r="JUG1337" s="4" t="s">
        <v>2881</v>
      </c>
      <c r="JUH1337" s="4" t="s">
        <v>2881</v>
      </c>
      <c r="JUI1337" s="4" t="s">
        <v>2881</v>
      </c>
      <c r="JUJ1337" s="4" t="s">
        <v>2881</v>
      </c>
      <c r="JUK1337" s="4" t="s">
        <v>2881</v>
      </c>
      <c r="JUL1337" s="4" t="s">
        <v>2881</v>
      </c>
      <c r="JUM1337" s="4" t="s">
        <v>2881</v>
      </c>
      <c r="JUN1337" s="4" t="s">
        <v>2881</v>
      </c>
      <c r="JUO1337" s="4" t="s">
        <v>2881</v>
      </c>
      <c r="JUP1337" s="4" t="s">
        <v>2881</v>
      </c>
      <c r="JUQ1337" s="4" t="s">
        <v>2881</v>
      </c>
      <c r="JUR1337" s="4" t="s">
        <v>2881</v>
      </c>
      <c r="JUS1337" s="4" t="s">
        <v>2881</v>
      </c>
      <c r="JUT1337" s="4" t="s">
        <v>2881</v>
      </c>
      <c r="JUU1337" s="4" t="s">
        <v>2881</v>
      </c>
      <c r="JUV1337" s="4" t="s">
        <v>2881</v>
      </c>
      <c r="JUW1337" s="4" t="s">
        <v>2881</v>
      </c>
      <c r="JUX1337" s="4" t="s">
        <v>2881</v>
      </c>
      <c r="JUY1337" s="4" t="s">
        <v>2881</v>
      </c>
      <c r="JUZ1337" s="4" t="s">
        <v>2881</v>
      </c>
      <c r="JVA1337" s="4" t="s">
        <v>2881</v>
      </c>
      <c r="JVB1337" s="4" t="s">
        <v>2881</v>
      </c>
      <c r="JVC1337" s="4" t="s">
        <v>2881</v>
      </c>
      <c r="JVD1337" s="4" t="s">
        <v>2881</v>
      </c>
      <c r="JVE1337" s="4" t="s">
        <v>2881</v>
      </c>
      <c r="JVF1337" s="4" t="s">
        <v>2881</v>
      </c>
      <c r="JVG1337" s="4" t="s">
        <v>2881</v>
      </c>
      <c r="JVH1337" s="4" t="s">
        <v>2881</v>
      </c>
      <c r="JVI1337" s="4" t="s">
        <v>2881</v>
      </c>
      <c r="JVJ1337" s="4" t="s">
        <v>2881</v>
      </c>
      <c r="JVK1337" s="4" t="s">
        <v>2881</v>
      </c>
      <c r="JVL1337" s="4" t="s">
        <v>2881</v>
      </c>
      <c r="JVM1337" s="4" t="s">
        <v>2881</v>
      </c>
      <c r="JVN1337" s="4" t="s">
        <v>2881</v>
      </c>
      <c r="JVO1337" s="4" t="s">
        <v>2881</v>
      </c>
      <c r="JVP1337" s="4" t="s">
        <v>2881</v>
      </c>
      <c r="JVQ1337" s="4" t="s">
        <v>2881</v>
      </c>
      <c r="JVR1337" s="4" t="s">
        <v>2881</v>
      </c>
      <c r="JVS1337" s="4" t="s">
        <v>2881</v>
      </c>
      <c r="JVT1337" s="4" t="s">
        <v>2881</v>
      </c>
      <c r="JVU1337" s="4" t="s">
        <v>2881</v>
      </c>
      <c r="JVV1337" s="4" t="s">
        <v>2881</v>
      </c>
      <c r="JVW1337" s="4" t="s">
        <v>2881</v>
      </c>
      <c r="JVX1337" s="4" t="s">
        <v>2881</v>
      </c>
      <c r="JVY1337" s="4" t="s">
        <v>2881</v>
      </c>
      <c r="JVZ1337" s="4" t="s">
        <v>2881</v>
      </c>
      <c r="JWA1337" s="4" t="s">
        <v>2881</v>
      </c>
      <c r="JWB1337" s="4" t="s">
        <v>2881</v>
      </c>
      <c r="JWC1337" s="4" t="s">
        <v>2881</v>
      </c>
      <c r="JWD1337" s="4" t="s">
        <v>2881</v>
      </c>
      <c r="JWE1337" s="4" t="s">
        <v>2881</v>
      </c>
      <c r="JWF1337" s="4" t="s">
        <v>2881</v>
      </c>
      <c r="JWG1337" s="4" t="s">
        <v>2881</v>
      </c>
      <c r="JWH1337" s="4" t="s">
        <v>2881</v>
      </c>
      <c r="JWI1337" s="4" t="s">
        <v>2881</v>
      </c>
      <c r="JWJ1337" s="4" t="s">
        <v>2881</v>
      </c>
      <c r="JWK1337" s="4" t="s">
        <v>2881</v>
      </c>
      <c r="JWL1337" s="4" t="s">
        <v>2881</v>
      </c>
      <c r="JWM1337" s="4" t="s">
        <v>2881</v>
      </c>
      <c r="JWN1337" s="4" t="s">
        <v>2881</v>
      </c>
      <c r="JWO1337" s="4" t="s">
        <v>2881</v>
      </c>
      <c r="JWP1337" s="4" t="s">
        <v>2881</v>
      </c>
      <c r="JWQ1337" s="4" t="s">
        <v>2881</v>
      </c>
      <c r="JWR1337" s="4" t="s">
        <v>2881</v>
      </c>
      <c r="JWS1337" s="4" t="s">
        <v>2881</v>
      </c>
      <c r="JWT1337" s="4" t="s">
        <v>2881</v>
      </c>
      <c r="JWU1337" s="4" t="s">
        <v>2881</v>
      </c>
      <c r="JWV1337" s="4" t="s">
        <v>2881</v>
      </c>
      <c r="JWW1337" s="4" t="s">
        <v>2881</v>
      </c>
      <c r="JWX1337" s="4" t="s">
        <v>2881</v>
      </c>
      <c r="JWY1337" s="4" t="s">
        <v>2881</v>
      </c>
      <c r="JWZ1337" s="4" t="s">
        <v>2881</v>
      </c>
      <c r="JXA1337" s="4" t="s">
        <v>2881</v>
      </c>
      <c r="JXB1337" s="4" t="s">
        <v>2881</v>
      </c>
      <c r="JXC1337" s="4" t="s">
        <v>2881</v>
      </c>
      <c r="JXD1337" s="4" t="s">
        <v>2881</v>
      </c>
      <c r="JXE1337" s="4" t="s">
        <v>2881</v>
      </c>
      <c r="JXF1337" s="4" t="s">
        <v>2881</v>
      </c>
      <c r="JXG1337" s="4" t="s">
        <v>2881</v>
      </c>
      <c r="JXH1337" s="4" t="s">
        <v>2881</v>
      </c>
      <c r="JXI1337" s="4" t="s">
        <v>2881</v>
      </c>
      <c r="JXJ1337" s="4" t="s">
        <v>2881</v>
      </c>
      <c r="JXK1337" s="4" t="s">
        <v>2881</v>
      </c>
      <c r="JXL1337" s="4" t="s">
        <v>2881</v>
      </c>
      <c r="JXM1337" s="4" t="s">
        <v>2881</v>
      </c>
      <c r="JXN1337" s="4" t="s">
        <v>2881</v>
      </c>
      <c r="JXO1337" s="4" t="s">
        <v>2881</v>
      </c>
      <c r="JXP1337" s="4" t="s">
        <v>2881</v>
      </c>
      <c r="JXQ1337" s="4" t="s">
        <v>2881</v>
      </c>
      <c r="JXR1337" s="4" t="s">
        <v>2881</v>
      </c>
      <c r="JXS1337" s="4" t="s">
        <v>2881</v>
      </c>
      <c r="JXT1337" s="4" t="s">
        <v>2881</v>
      </c>
      <c r="JXU1337" s="4" t="s">
        <v>2881</v>
      </c>
      <c r="JXV1337" s="4" t="s">
        <v>2881</v>
      </c>
      <c r="JXW1337" s="4" t="s">
        <v>2881</v>
      </c>
      <c r="JXX1337" s="4" t="s">
        <v>2881</v>
      </c>
      <c r="JXY1337" s="4" t="s">
        <v>2881</v>
      </c>
      <c r="JXZ1337" s="4" t="s">
        <v>2881</v>
      </c>
      <c r="JYA1337" s="4" t="s">
        <v>2881</v>
      </c>
      <c r="JYB1337" s="4" t="s">
        <v>2881</v>
      </c>
      <c r="JYC1337" s="4" t="s">
        <v>2881</v>
      </c>
      <c r="JYD1337" s="4" t="s">
        <v>2881</v>
      </c>
      <c r="JYE1337" s="4" t="s">
        <v>2881</v>
      </c>
      <c r="JYF1337" s="4" t="s">
        <v>2881</v>
      </c>
      <c r="JYG1337" s="4" t="s">
        <v>2881</v>
      </c>
      <c r="JYH1337" s="4" t="s">
        <v>2881</v>
      </c>
      <c r="JYI1337" s="4" t="s">
        <v>2881</v>
      </c>
      <c r="JYJ1337" s="4" t="s">
        <v>2881</v>
      </c>
      <c r="JYK1337" s="4" t="s">
        <v>2881</v>
      </c>
      <c r="JYL1337" s="4" t="s">
        <v>2881</v>
      </c>
      <c r="JYM1337" s="4" t="s">
        <v>2881</v>
      </c>
      <c r="JYN1337" s="4" t="s">
        <v>2881</v>
      </c>
      <c r="JYO1337" s="4" t="s">
        <v>2881</v>
      </c>
      <c r="JYP1337" s="4" t="s">
        <v>2881</v>
      </c>
      <c r="JYQ1337" s="4" t="s">
        <v>2881</v>
      </c>
      <c r="JYR1337" s="4" t="s">
        <v>2881</v>
      </c>
      <c r="JYS1337" s="4" t="s">
        <v>2881</v>
      </c>
      <c r="JYT1337" s="4" t="s">
        <v>2881</v>
      </c>
      <c r="JYU1337" s="4" t="s">
        <v>2881</v>
      </c>
      <c r="JYV1337" s="4" t="s">
        <v>2881</v>
      </c>
      <c r="JYW1337" s="4" t="s">
        <v>2881</v>
      </c>
      <c r="JYX1337" s="4" t="s">
        <v>2881</v>
      </c>
      <c r="JYY1337" s="4" t="s">
        <v>2881</v>
      </c>
      <c r="JYZ1337" s="4" t="s">
        <v>2881</v>
      </c>
      <c r="JZA1337" s="4" t="s">
        <v>2881</v>
      </c>
      <c r="JZB1337" s="4" t="s">
        <v>2881</v>
      </c>
      <c r="JZC1337" s="4" t="s">
        <v>2881</v>
      </c>
      <c r="JZD1337" s="4" t="s">
        <v>2881</v>
      </c>
      <c r="JZE1337" s="4" t="s">
        <v>2881</v>
      </c>
      <c r="JZF1337" s="4" t="s">
        <v>2881</v>
      </c>
      <c r="JZG1337" s="4" t="s">
        <v>2881</v>
      </c>
      <c r="JZH1337" s="4" t="s">
        <v>2881</v>
      </c>
      <c r="JZI1337" s="4" t="s">
        <v>2881</v>
      </c>
      <c r="JZJ1337" s="4" t="s">
        <v>2881</v>
      </c>
      <c r="JZK1337" s="4" t="s">
        <v>2881</v>
      </c>
      <c r="JZL1337" s="4" t="s">
        <v>2881</v>
      </c>
      <c r="JZM1337" s="4" t="s">
        <v>2881</v>
      </c>
      <c r="JZN1337" s="4" t="s">
        <v>2881</v>
      </c>
      <c r="JZO1337" s="4" t="s">
        <v>2881</v>
      </c>
      <c r="JZP1337" s="4" t="s">
        <v>2881</v>
      </c>
      <c r="JZQ1337" s="4" t="s">
        <v>2881</v>
      </c>
      <c r="JZR1337" s="4" t="s">
        <v>2881</v>
      </c>
      <c r="JZS1337" s="4" t="s">
        <v>2881</v>
      </c>
      <c r="JZT1337" s="4" t="s">
        <v>2881</v>
      </c>
      <c r="JZU1337" s="4" t="s">
        <v>2881</v>
      </c>
      <c r="JZV1337" s="4" t="s">
        <v>2881</v>
      </c>
      <c r="JZW1337" s="4" t="s">
        <v>2881</v>
      </c>
      <c r="JZX1337" s="4" t="s">
        <v>2881</v>
      </c>
      <c r="JZY1337" s="4" t="s">
        <v>2881</v>
      </c>
      <c r="JZZ1337" s="4" t="s">
        <v>2881</v>
      </c>
      <c r="KAA1337" s="4" t="s">
        <v>2881</v>
      </c>
      <c r="KAB1337" s="4" t="s">
        <v>2881</v>
      </c>
      <c r="KAC1337" s="4" t="s">
        <v>2881</v>
      </c>
      <c r="KAD1337" s="4" t="s">
        <v>2881</v>
      </c>
      <c r="KAE1337" s="4" t="s">
        <v>2881</v>
      </c>
      <c r="KAF1337" s="4" t="s">
        <v>2881</v>
      </c>
      <c r="KAG1337" s="4" t="s">
        <v>2881</v>
      </c>
      <c r="KAH1337" s="4" t="s">
        <v>2881</v>
      </c>
      <c r="KAI1337" s="4" t="s">
        <v>2881</v>
      </c>
      <c r="KAJ1337" s="4" t="s">
        <v>2881</v>
      </c>
      <c r="KAK1337" s="4" t="s">
        <v>2881</v>
      </c>
      <c r="KAL1337" s="4" t="s">
        <v>2881</v>
      </c>
      <c r="KAM1337" s="4" t="s">
        <v>2881</v>
      </c>
      <c r="KAN1337" s="4" t="s">
        <v>2881</v>
      </c>
      <c r="KAO1337" s="4" t="s">
        <v>2881</v>
      </c>
      <c r="KAP1337" s="4" t="s">
        <v>2881</v>
      </c>
      <c r="KAQ1337" s="4" t="s">
        <v>2881</v>
      </c>
      <c r="KAR1337" s="4" t="s">
        <v>2881</v>
      </c>
      <c r="KAS1337" s="4" t="s">
        <v>2881</v>
      </c>
      <c r="KAT1337" s="4" t="s">
        <v>2881</v>
      </c>
      <c r="KAU1337" s="4" t="s">
        <v>2881</v>
      </c>
      <c r="KAV1337" s="4" t="s">
        <v>2881</v>
      </c>
      <c r="KAW1337" s="4" t="s">
        <v>2881</v>
      </c>
      <c r="KAX1337" s="4" t="s">
        <v>2881</v>
      </c>
      <c r="KAY1337" s="4" t="s">
        <v>2881</v>
      </c>
      <c r="KAZ1337" s="4" t="s">
        <v>2881</v>
      </c>
      <c r="KBA1337" s="4" t="s">
        <v>2881</v>
      </c>
      <c r="KBB1337" s="4" t="s">
        <v>2881</v>
      </c>
      <c r="KBC1337" s="4" t="s">
        <v>2881</v>
      </c>
      <c r="KBD1337" s="4" t="s">
        <v>2881</v>
      </c>
      <c r="KBE1337" s="4" t="s">
        <v>2881</v>
      </c>
      <c r="KBF1337" s="4" t="s">
        <v>2881</v>
      </c>
      <c r="KBG1337" s="4" t="s">
        <v>2881</v>
      </c>
      <c r="KBH1337" s="4" t="s">
        <v>2881</v>
      </c>
      <c r="KBI1337" s="4" t="s">
        <v>2881</v>
      </c>
      <c r="KBJ1337" s="4" t="s">
        <v>2881</v>
      </c>
      <c r="KBK1337" s="4" t="s">
        <v>2881</v>
      </c>
      <c r="KBL1337" s="4" t="s">
        <v>2881</v>
      </c>
      <c r="KBM1337" s="4" t="s">
        <v>2881</v>
      </c>
      <c r="KBN1337" s="4" t="s">
        <v>2881</v>
      </c>
      <c r="KBO1337" s="4" t="s">
        <v>2881</v>
      </c>
      <c r="KBP1337" s="4" t="s">
        <v>2881</v>
      </c>
      <c r="KBQ1337" s="4" t="s">
        <v>2881</v>
      </c>
      <c r="KBR1337" s="4" t="s">
        <v>2881</v>
      </c>
      <c r="KBS1337" s="4" t="s">
        <v>2881</v>
      </c>
      <c r="KBT1337" s="4" t="s">
        <v>2881</v>
      </c>
      <c r="KBU1337" s="4" t="s">
        <v>2881</v>
      </c>
      <c r="KBV1337" s="4" t="s">
        <v>2881</v>
      </c>
      <c r="KBW1337" s="4" t="s">
        <v>2881</v>
      </c>
      <c r="KBX1337" s="4" t="s">
        <v>2881</v>
      </c>
      <c r="KBY1337" s="4" t="s">
        <v>2881</v>
      </c>
      <c r="KBZ1337" s="4" t="s">
        <v>2881</v>
      </c>
      <c r="KCA1337" s="4" t="s">
        <v>2881</v>
      </c>
      <c r="KCB1337" s="4" t="s">
        <v>2881</v>
      </c>
      <c r="KCC1337" s="4" t="s">
        <v>2881</v>
      </c>
      <c r="KCD1337" s="4" t="s">
        <v>2881</v>
      </c>
      <c r="KCE1337" s="4" t="s">
        <v>2881</v>
      </c>
      <c r="KCF1337" s="4" t="s">
        <v>2881</v>
      </c>
      <c r="KCG1337" s="4" t="s">
        <v>2881</v>
      </c>
      <c r="KCH1337" s="4" t="s">
        <v>2881</v>
      </c>
      <c r="KCI1337" s="4" t="s">
        <v>2881</v>
      </c>
      <c r="KCJ1337" s="4" t="s">
        <v>2881</v>
      </c>
      <c r="KCK1337" s="4" t="s">
        <v>2881</v>
      </c>
      <c r="KCL1337" s="4" t="s">
        <v>2881</v>
      </c>
      <c r="KCM1337" s="4" t="s">
        <v>2881</v>
      </c>
      <c r="KCN1337" s="4" t="s">
        <v>2881</v>
      </c>
      <c r="KCO1337" s="4" t="s">
        <v>2881</v>
      </c>
      <c r="KCP1337" s="4" t="s">
        <v>2881</v>
      </c>
      <c r="KCQ1337" s="4" t="s">
        <v>2881</v>
      </c>
      <c r="KCR1337" s="4" t="s">
        <v>2881</v>
      </c>
      <c r="KCS1337" s="4" t="s">
        <v>2881</v>
      </c>
      <c r="KCT1337" s="4" t="s">
        <v>2881</v>
      </c>
      <c r="KCU1337" s="4" t="s">
        <v>2881</v>
      </c>
      <c r="KCV1337" s="4" t="s">
        <v>2881</v>
      </c>
      <c r="KCW1337" s="4" t="s">
        <v>2881</v>
      </c>
      <c r="KCX1337" s="4" t="s">
        <v>2881</v>
      </c>
      <c r="KCY1337" s="4" t="s">
        <v>2881</v>
      </c>
      <c r="KCZ1337" s="4" t="s">
        <v>2881</v>
      </c>
      <c r="KDA1337" s="4" t="s">
        <v>2881</v>
      </c>
      <c r="KDB1337" s="4" t="s">
        <v>2881</v>
      </c>
      <c r="KDC1337" s="4" t="s">
        <v>2881</v>
      </c>
      <c r="KDD1337" s="4" t="s">
        <v>2881</v>
      </c>
      <c r="KDE1337" s="4" t="s">
        <v>2881</v>
      </c>
      <c r="KDF1337" s="4" t="s">
        <v>2881</v>
      </c>
      <c r="KDG1337" s="4" t="s">
        <v>2881</v>
      </c>
      <c r="KDH1337" s="4" t="s">
        <v>2881</v>
      </c>
      <c r="KDI1337" s="4" t="s">
        <v>2881</v>
      </c>
      <c r="KDJ1337" s="4" t="s">
        <v>2881</v>
      </c>
      <c r="KDK1337" s="4" t="s">
        <v>2881</v>
      </c>
      <c r="KDL1337" s="4" t="s">
        <v>2881</v>
      </c>
      <c r="KDM1337" s="4" t="s">
        <v>2881</v>
      </c>
      <c r="KDN1337" s="4" t="s">
        <v>2881</v>
      </c>
      <c r="KDO1337" s="4" t="s">
        <v>2881</v>
      </c>
      <c r="KDP1337" s="4" t="s">
        <v>2881</v>
      </c>
      <c r="KDQ1337" s="4" t="s">
        <v>2881</v>
      </c>
      <c r="KDR1337" s="4" t="s">
        <v>2881</v>
      </c>
      <c r="KDS1337" s="4" t="s">
        <v>2881</v>
      </c>
      <c r="KDT1337" s="4" t="s">
        <v>2881</v>
      </c>
      <c r="KDU1337" s="4" t="s">
        <v>2881</v>
      </c>
      <c r="KDV1337" s="4" t="s">
        <v>2881</v>
      </c>
      <c r="KDW1337" s="4" t="s">
        <v>2881</v>
      </c>
      <c r="KDX1337" s="4" t="s">
        <v>2881</v>
      </c>
      <c r="KDY1337" s="4" t="s">
        <v>2881</v>
      </c>
      <c r="KDZ1337" s="4" t="s">
        <v>2881</v>
      </c>
      <c r="KEA1337" s="4" t="s">
        <v>2881</v>
      </c>
      <c r="KEB1337" s="4" t="s">
        <v>2881</v>
      </c>
      <c r="KEC1337" s="4" t="s">
        <v>2881</v>
      </c>
      <c r="KED1337" s="4" t="s">
        <v>2881</v>
      </c>
      <c r="KEE1337" s="4" t="s">
        <v>2881</v>
      </c>
      <c r="KEF1337" s="4" t="s">
        <v>2881</v>
      </c>
      <c r="KEG1337" s="4" t="s">
        <v>2881</v>
      </c>
      <c r="KEH1337" s="4" t="s">
        <v>2881</v>
      </c>
      <c r="KEI1337" s="4" t="s">
        <v>2881</v>
      </c>
      <c r="KEJ1337" s="4" t="s">
        <v>2881</v>
      </c>
      <c r="KEK1337" s="4" t="s">
        <v>2881</v>
      </c>
      <c r="KEL1337" s="4" t="s">
        <v>2881</v>
      </c>
      <c r="KEM1337" s="4" t="s">
        <v>2881</v>
      </c>
      <c r="KEN1337" s="4" t="s">
        <v>2881</v>
      </c>
      <c r="KEO1337" s="4" t="s">
        <v>2881</v>
      </c>
      <c r="KEP1337" s="4" t="s">
        <v>2881</v>
      </c>
      <c r="KEQ1337" s="4" t="s">
        <v>2881</v>
      </c>
      <c r="KER1337" s="4" t="s">
        <v>2881</v>
      </c>
      <c r="KES1337" s="4" t="s">
        <v>2881</v>
      </c>
      <c r="KET1337" s="4" t="s">
        <v>2881</v>
      </c>
      <c r="KEU1337" s="4" t="s">
        <v>2881</v>
      </c>
      <c r="KEV1337" s="4" t="s">
        <v>2881</v>
      </c>
      <c r="KEW1337" s="4" t="s">
        <v>2881</v>
      </c>
      <c r="KEX1337" s="4" t="s">
        <v>2881</v>
      </c>
      <c r="KEY1337" s="4" t="s">
        <v>2881</v>
      </c>
      <c r="KEZ1337" s="4" t="s">
        <v>2881</v>
      </c>
      <c r="KFA1337" s="4" t="s">
        <v>2881</v>
      </c>
      <c r="KFB1337" s="4" t="s">
        <v>2881</v>
      </c>
      <c r="KFC1337" s="4" t="s">
        <v>2881</v>
      </c>
      <c r="KFD1337" s="4" t="s">
        <v>2881</v>
      </c>
      <c r="KFE1337" s="4" t="s">
        <v>2881</v>
      </c>
      <c r="KFF1337" s="4" t="s">
        <v>2881</v>
      </c>
      <c r="KFG1337" s="4" t="s">
        <v>2881</v>
      </c>
      <c r="KFH1337" s="4" t="s">
        <v>2881</v>
      </c>
      <c r="KFI1337" s="4" t="s">
        <v>2881</v>
      </c>
      <c r="KFJ1337" s="4" t="s">
        <v>2881</v>
      </c>
      <c r="KFK1337" s="4" t="s">
        <v>2881</v>
      </c>
      <c r="KFL1337" s="4" t="s">
        <v>2881</v>
      </c>
      <c r="KFM1337" s="4" t="s">
        <v>2881</v>
      </c>
      <c r="KFN1337" s="4" t="s">
        <v>2881</v>
      </c>
      <c r="KFO1337" s="4" t="s">
        <v>2881</v>
      </c>
      <c r="KFP1337" s="4" t="s">
        <v>2881</v>
      </c>
      <c r="KFQ1337" s="4" t="s">
        <v>2881</v>
      </c>
      <c r="KFR1337" s="4" t="s">
        <v>2881</v>
      </c>
      <c r="KFS1337" s="4" t="s">
        <v>2881</v>
      </c>
      <c r="KFT1337" s="4" t="s">
        <v>2881</v>
      </c>
      <c r="KFU1337" s="4" t="s">
        <v>2881</v>
      </c>
      <c r="KFV1337" s="4" t="s">
        <v>2881</v>
      </c>
      <c r="KFW1337" s="4" t="s">
        <v>2881</v>
      </c>
      <c r="KFX1337" s="4" t="s">
        <v>2881</v>
      </c>
      <c r="KFY1337" s="4" t="s">
        <v>2881</v>
      </c>
      <c r="KFZ1337" s="4" t="s">
        <v>2881</v>
      </c>
      <c r="KGA1337" s="4" t="s">
        <v>2881</v>
      </c>
      <c r="KGB1337" s="4" t="s">
        <v>2881</v>
      </c>
      <c r="KGC1337" s="4" t="s">
        <v>2881</v>
      </c>
      <c r="KGD1337" s="4" t="s">
        <v>2881</v>
      </c>
      <c r="KGE1337" s="4" t="s">
        <v>2881</v>
      </c>
      <c r="KGF1337" s="4" t="s">
        <v>2881</v>
      </c>
      <c r="KGG1337" s="4" t="s">
        <v>2881</v>
      </c>
      <c r="KGH1337" s="4" t="s">
        <v>2881</v>
      </c>
      <c r="KGI1337" s="4" t="s">
        <v>2881</v>
      </c>
      <c r="KGJ1337" s="4" t="s">
        <v>2881</v>
      </c>
      <c r="KGK1337" s="4" t="s">
        <v>2881</v>
      </c>
      <c r="KGL1337" s="4" t="s">
        <v>2881</v>
      </c>
      <c r="KGM1337" s="4" t="s">
        <v>2881</v>
      </c>
      <c r="KGN1337" s="4" t="s">
        <v>2881</v>
      </c>
      <c r="KGO1337" s="4" t="s">
        <v>2881</v>
      </c>
      <c r="KGP1337" s="4" t="s">
        <v>2881</v>
      </c>
      <c r="KGQ1337" s="4" t="s">
        <v>2881</v>
      </c>
      <c r="KGR1337" s="4" t="s">
        <v>2881</v>
      </c>
      <c r="KGS1337" s="4" t="s">
        <v>2881</v>
      </c>
      <c r="KGT1337" s="4" t="s">
        <v>2881</v>
      </c>
      <c r="KGU1337" s="4" t="s">
        <v>2881</v>
      </c>
      <c r="KGV1337" s="4" t="s">
        <v>2881</v>
      </c>
      <c r="KGW1337" s="4" t="s">
        <v>2881</v>
      </c>
      <c r="KGX1337" s="4" t="s">
        <v>2881</v>
      </c>
      <c r="KGY1337" s="4" t="s">
        <v>2881</v>
      </c>
      <c r="KGZ1337" s="4" t="s">
        <v>2881</v>
      </c>
      <c r="KHA1337" s="4" t="s">
        <v>2881</v>
      </c>
      <c r="KHB1337" s="4" t="s">
        <v>2881</v>
      </c>
      <c r="KHC1337" s="4" t="s">
        <v>2881</v>
      </c>
      <c r="KHD1337" s="4" t="s">
        <v>2881</v>
      </c>
      <c r="KHE1337" s="4" t="s">
        <v>2881</v>
      </c>
      <c r="KHF1337" s="4" t="s">
        <v>2881</v>
      </c>
      <c r="KHG1337" s="4" t="s">
        <v>2881</v>
      </c>
      <c r="KHH1337" s="4" t="s">
        <v>2881</v>
      </c>
      <c r="KHI1337" s="4" t="s">
        <v>2881</v>
      </c>
      <c r="KHJ1337" s="4" t="s">
        <v>2881</v>
      </c>
      <c r="KHK1337" s="4" t="s">
        <v>2881</v>
      </c>
      <c r="KHL1337" s="4" t="s">
        <v>2881</v>
      </c>
      <c r="KHM1337" s="4" t="s">
        <v>2881</v>
      </c>
      <c r="KHN1337" s="4" t="s">
        <v>2881</v>
      </c>
      <c r="KHO1337" s="4" t="s">
        <v>2881</v>
      </c>
      <c r="KHP1337" s="4" t="s">
        <v>2881</v>
      </c>
      <c r="KHQ1337" s="4" t="s">
        <v>2881</v>
      </c>
      <c r="KHR1337" s="4" t="s">
        <v>2881</v>
      </c>
      <c r="KHS1337" s="4" t="s">
        <v>2881</v>
      </c>
      <c r="KHT1337" s="4" t="s">
        <v>2881</v>
      </c>
      <c r="KHU1337" s="4" t="s">
        <v>2881</v>
      </c>
      <c r="KHV1337" s="4" t="s">
        <v>2881</v>
      </c>
      <c r="KHW1337" s="4" t="s">
        <v>2881</v>
      </c>
      <c r="KHX1337" s="4" t="s">
        <v>2881</v>
      </c>
      <c r="KHY1337" s="4" t="s">
        <v>2881</v>
      </c>
      <c r="KHZ1337" s="4" t="s">
        <v>2881</v>
      </c>
      <c r="KIA1337" s="4" t="s">
        <v>2881</v>
      </c>
      <c r="KIB1337" s="4" t="s">
        <v>2881</v>
      </c>
      <c r="KIC1337" s="4" t="s">
        <v>2881</v>
      </c>
      <c r="KID1337" s="4" t="s">
        <v>2881</v>
      </c>
      <c r="KIE1337" s="4" t="s">
        <v>2881</v>
      </c>
      <c r="KIF1337" s="4" t="s">
        <v>2881</v>
      </c>
      <c r="KIG1337" s="4" t="s">
        <v>2881</v>
      </c>
      <c r="KIH1337" s="4" t="s">
        <v>2881</v>
      </c>
      <c r="KII1337" s="4" t="s">
        <v>2881</v>
      </c>
      <c r="KIJ1337" s="4" t="s">
        <v>2881</v>
      </c>
      <c r="KIK1337" s="4" t="s">
        <v>2881</v>
      </c>
      <c r="KIL1337" s="4" t="s">
        <v>2881</v>
      </c>
      <c r="KIM1337" s="4" t="s">
        <v>2881</v>
      </c>
      <c r="KIN1337" s="4" t="s">
        <v>2881</v>
      </c>
      <c r="KIO1337" s="4" t="s">
        <v>2881</v>
      </c>
      <c r="KIP1337" s="4" t="s">
        <v>2881</v>
      </c>
      <c r="KIQ1337" s="4" t="s">
        <v>2881</v>
      </c>
      <c r="KIR1337" s="4" t="s">
        <v>2881</v>
      </c>
      <c r="KIS1337" s="4" t="s">
        <v>2881</v>
      </c>
      <c r="KIT1337" s="4" t="s">
        <v>2881</v>
      </c>
      <c r="KIU1337" s="4" t="s">
        <v>2881</v>
      </c>
      <c r="KIV1337" s="4" t="s">
        <v>2881</v>
      </c>
      <c r="KIW1337" s="4" t="s">
        <v>2881</v>
      </c>
      <c r="KIX1337" s="4" t="s">
        <v>2881</v>
      </c>
      <c r="KIY1337" s="4" t="s">
        <v>2881</v>
      </c>
      <c r="KIZ1337" s="4" t="s">
        <v>2881</v>
      </c>
      <c r="KJA1337" s="4" t="s">
        <v>2881</v>
      </c>
      <c r="KJB1337" s="4" t="s">
        <v>2881</v>
      </c>
      <c r="KJC1337" s="4" t="s">
        <v>2881</v>
      </c>
      <c r="KJD1337" s="4" t="s">
        <v>2881</v>
      </c>
      <c r="KJE1337" s="4" t="s">
        <v>2881</v>
      </c>
      <c r="KJF1337" s="4" t="s">
        <v>2881</v>
      </c>
      <c r="KJG1337" s="4" t="s">
        <v>2881</v>
      </c>
      <c r="KJH1337" s="4" t="s">
        <v>2881</v>
      </c>
      <c r="KJI1337" s="4" t="s">
        <v>2881</v>
      </c>
      <c r="KJJ1337" s="4" t="s">
        <v>2881</v>
      </c>
      <c r="KJK1337" s="4" t="s">
        <v>2881</v>
      </c>
      <c r="KJL1337" s="4" t="s">
        <v>2881</v>
      </c>
      <c r="KJM1337" s="4" t="s">
        <v>2881</v>
      </c>
      <c r="KJN1337" s="4" t="s">
        <v>2881</v>
      </c>
      <c r="KJO1337" s="4" t="s">
        <v>2881</v>
      </c>
      <c r="KJP1337" s="4" t="s">
        <v>2881</v>
      </c>
      <c r="KJQ1337" s="4" t="s">
        <v>2881</v>
      </c>
      <c r="KJR1337" s="4" t="s">
        <v>2881</v>
      </c>
      <c r="KJS1337" s="4" t="s">
        <v>2881</v>
      </c>
      <c r="KJT1337" s="4" t="s">
        <v>2881</v>
      </c>
      <c r="KJU1337" s="4" t="s">
        <v>2881</v>
      </c>
      <c r="KJV1337" s="4" t="s">
        <v>2881</v>
      </c>
      <c r="KJW1337" s="4" t="s">
        <v>2881</v>
      </c>
      <c r="KJX1337" s="4" t="s">
        <v>2881</v>
      </c>
      <c r="KJY1337" s="4" t="s">
        <v>2881</v>
      </c>
      <c r="KJZ1337" s="4" t="s">
        <v>2881</v>
      </c>
      <c r="KKA1337" s="4" t="s">
        <v>2881</v>
      </c>
      <c r="KKB1337" s="4" t="s">
        <v>2881</v>
      </c>
      <c r="KKC1337" s="4" t="s">
        <v>2881</v>
      </c>
      <c r="KKD1337" s="4" t="s">
        <v>2881</v>
      </c>
      <c r="KKE1337" s="4" t="s">
        <v>2881</v>
      </c>
      <c r="KKF1337" s="4" t="s">
        <v>2881</v>
      </c>
      <c r="KKG1337" s="4" t="s">
        <v>2881</v>
      </c>
      <c r="KKH1337" s="4" t="s">
        <v>2881</v>
      </c>
      <c r="KKI1337" s="4" t="s">
        <v>2881</v>
      </c>
      <c r="KKJ1337" s="4" t="s">
        <v>2881</v>
      </c>
      <c r="KKK1337" s="4" t="s">
        <v>2881</v>
      </c>
      <c r="KKL1337" s="4" t="s">
        <v>2881</v>
      </c>
      <c r="KKM1337" s="4" t="s">
        <v>2881</v>
      </c>
      <c r="KKN1337" s="4" t="s">
        <v>2881</v>
      </c>
      <c r="KKO1337" s="4" t="s">
        <v>2881</v>
      </c>
      <c r="KKP1337" s="4" t="s">
        <v>2881</v>
      </c>
      <c r="KKQ1337" s="4" t="s">
        <v>2881</v>
      </c>
      <c r="KKR1337" s="4" t="s">
        <v>2881</v>
      </c>
      <c r="KKS1337" s="4" t="s">
        <v>2881</v>
      </c>
      <c r="KKT1337" s="4" t="s">
        <v>2881</v>
      </c>
      <c r="KKU1337" s="4" t="s">
        <v>2881</v>
      </c>
      <c r="KKV1337" s="4" t="s">
        <v>2881</v>
      </c>
      <c r="KKW1337" s="4" t="s">
        <v>2881</v>
      </c>
      <c r="KKX1337" s="4" t="s">
        <v>2881</v>
      </c>
      <c r="KKY1337" s="4" t="s">
        <v>2881</v>
      </c>
      <c r="KKZ1337" s="4" t="s">
        <v>2881</v>
      </c>
      <c r="KLA1337" s="4" t="s">
        <v>2881</v>
      </c>
      <c r="KLB1337" s="4" t="s">
        <v>2881</v>
      </c>
      <c r="KLC1337" s="4" t="s">
        <v>2881</v>
      </c>
      <c r="KLD1337" s="4" t="s">
        <v>2881</v>
      </c>
      <c r="KLE1337" s="4" t="s">
        <v>2881</v>
      </c>
      <c r="KLF1337" s="4" t="s">
        <v>2881</v>
      </c>
      <c r="KLG1337" s="4" t="s">
        <v>2881</v>
      </c>
      <c r="KLH1337" s="4" t="s">
        <v>2881</v>
      </c>
      <c r="KLI1337" s="4" t="s">
        <v>2881</v>
      </c>
      <c r="KLJ1337" s="4" t="s">
        <v>2881</v>
      </c>
      <c r="KLK1337" s="4" t="s">
        <v>2881</v>
      </c>
      <c r="KLL1337" s="4" t="s">
        <v>2881</v>
      </c>
      <c r="KLM1337" s="4" t="s">
        <v>2881</v>
      </c>
      <c r="KLN1337" s="4" t="s">
        <v>2881</v>
      </c>
      <c r="KLO1337" s="4" t="s">
        <v>2881</v>
      </c>
      <c r="KLP1337" s="4" t="s">
        <v>2881</v>
      </c>
      <c r="KLQ1337" s="4" t="s">
        <v>2881</v>
      </c>
      <c r="KLR1337" s="4" t="s">
        <v>2881</v>
      </c>
      <c r="KLS1337" s="4" t="s">
        <v>2881</v>
      </c>
      <c r="KLT1337" s="4" t="s">
        <v>2881</v>
      </c>
      <c r="KLU1337" s="4" t="s">
        <v>2881</v>
      </c>
      <c r="KLV1337" s="4" t="s">
        <v>2881</v>
      </c>
      <c r="KLW1337" s="4" t="s">
        <v>2881</v>
      </c>
      <c r="KLX1337" s="4" t="s">
        <v>2881</v>
      </c>
      <c r="KLY1337" s="4" t="s">
        <v>2881</v>
      </c>
      <c r="KLZ1337" s="4" t="s">
        <v>2881</v>
      </c>
      <c r="KMA1337" s="4" t="s">
        <v>2881</v>
      </c>
      <c r="KMB1337" s="4" t="s">
        <v>2881</v>
      </c>
      <c r="KMC1337" s="4" t="s">
        <v>2881</v>
      </c>
      <c r="KMD1337" s="4" t="s">
        <v>2881</v>
      </c>
      <c r="KME1337" s="4" t="s">
        <v>2881</v>
      </c>
      <c r="KMF1337" s="4" t="s">
        <v>2881</v>
      </c>
      <c r="KMG1337" s="4" t="s">
        <v>2881</v>
      </c>
      <c r="KMH1337" s="4" t="s">
        <v>2881</v>
      </c>
      <c r="KMI1337" s="4" t="s">
        <v>2881</v>
      </c>
      <c r="KMJ1337" s="4" t="s">
        <v>2881</v>
      </c>
      <c r="KMK1337" s="4" t="s">
        <v>2881</v>
      </c>
      <c r="KML1337" s="4" t="s">
        <v>2881</v>
      </c>
      <c r="KMM1337" s="4" t="s">
        <v>2881</v>
      </c>
      <c r="KMN1337" s="4" t="s">
        <v>2881</v>
      </c>
      <c r="KMO1337" s="4" t="s">
        <v>2881</v>
      </c>
      <c r="KMP1337" s="4" t="s">
        <v>2881</v>
      </c>
      <c r="KMQ1337" s="4" t="s">
        <v>2881</v>
      </c>
      <c r="KMR1337" s="4" t="s">
        <v>2881</v>
      </c>
      <c r="KMS1337" s="4" t="s">
        <v>2881</v>
      </c>
      <c r="KMT1337" s="4" t="s">
        <v>2881</v>
      </c>
      <c r="KMU1337" s="4" t="s">
        <v>2881</v>
      </c>
      <c r="KMV1337" s="4" t="s">
        <v>2881</v>
      </c>
      <c r="KMW1337" s="4" t="s">
        <v>2881</v>
      </c>
      <c r="KMX1337" s="4" t="s">
        <v>2881</v>
      </c>
      <c r="KMY1337" s="4" t="s">
        <v>2881</v>
      </c>
      <c r="KMZ1337" s="4" t="s">
        <v>2881</v>
      </c>
      <c r="KNA1337" s="4" t="s">
        <v>2881</v>
      </c>
      <c r="KNB1337" s="4" t="s">
        <v>2881</v>
      </c>
      <c r="KNC1337" s="4" t="s">
        <v>2881</v>
      </c>
      <c r="KND1337" s="4" t="s">
        <v>2881</v>
      </c>
      <c r="KNE1337" s="4" t="s">
        <v>2881</v>
      </c>
      <c r="KNF1337" s="4" t="s">
        <v>2881</v>
      </c>
      <c r="KNG1337" s="4" t="s">
        <v>2881</v>
      </c>
      <c r="KNH1337" s="4" t="s">
        <v>2881</v>
      </c>
      <c r="KNI1337" s="4" t="s">
        <v>2881</v>
      </c>
      <c r="KNJ1337" s="4" t="s">
        <v>2881</v>
      </c>
      <c r="KNK1337" s="4" t="s">
        <v>2881</v>
      </c>
      <c r="KNL1337" s="4" t="s">
        <v>2881</v>
      </c>
      <c r="KNM1337" s="4" t="s">
        <v>2881</v>
      </c>
      <c r="KNN1337" s="4" t="s">
        <v>2881</v>
      </c>
      <c r="KNO1337" s="4" t="s">
        <v>2881</v>
      </c>
      <c r="KNP1337" s="4" t="s">
        <v>2881</v>
      </c>
      <c r="KNQ1337" s="4" t="s">
        <v>2881</v>
      </c>
      <c r="KNR1337" s="4" t="s">
        <v>2881</v>
      </c>
      <c r="KNS1337" s="4" t="s">
        <v>2881</v>
      </c>
      <c r="KNT1337" s="4" t="s">
        <v>2881</v>
      </c>
      <c r="KNU1337" s="4" t="s">
        <v>2881</v>
      </c>
      <c r="KNV1337" s="4" t="s">
        <v>2881</v>
      </c>
      <c r="KNW1337" s="4" t="s">
        <v>2881</v>
      </c>
      <c r="KNX1337" s="4" t="s">
        <v>2881</v>
      </c>
      <c r="KNY1337" s="4" t="s">
        <v>2881</v>
      </c>
      <c r="KNZ1337" s="4" t="s">
        <v>2881</v>
      </c>
      <c r="KOA1337" s="4" t="s">
        <v>2881</v>
      </c>
      <c r="KOB1337" s="4" t="s">
        <v>2881</v>
      </c>
      <c r="KOC1337" s="4" t="s">
        <v>2881</v>
      </c>
      <c r="KOD1337" s="4" t="s">
        <v>2881</v>
      </c>
      <c r="KOE1337" s="4" t="s">
        <v>2881</v>
      </c>
      <c r="KOF1337" s="4" t="s">
        <v>2881</v>
      </c>
      <c r="KOG1337" s="4" t="s">
        <v>2881</v>
      </c>
      <c r="KOH1337" s="4" t="s">
        <v>2881</v>
      </c>
      <c r="KOI1337" s="4" t="s">
        <v>2881</v>
      </c>
      <c r="KOJ1337" s="4" t="s">
        <v>2881</v>
      </c>
      <c r="KOK1337" s="4" t="s">
        <v>2881</v>
      </c>
      <c r="KOL1337" s="4" t="s">
        <v>2881</v>
      </c>
      <c r="KOM1337" s="4" t="s">
        <v>2881</v>
      </c>
      <c r="KON1337" s="4" t="s">
        <v>2881</v>
      </c>
      <c r="KOO1337" s="4" t="s">
        <v>2881</v>
      </c>
      <c r="KOP1337" s="4" t="s">
        <v>2881</v>
      </c>
      <c r="KOQ1337" s="4" t="s">
        <v>2881</v>
      </c>
      <c r="KOR1337" s="4" t="s">
        <v>2881</v>
      </c>
      <c r="KOS1337" s="4" t="s">
        <v>2881</v>
      </c>
      <c r="KOT1337" s="4" t="s">
        <v>2881</v>
      </c>
      <c r="KOU1337" s="4" t="s">
        <v>2881</v>
      </c>
      <c r="KOV1337" s="4" t="s">
        <v>2881</v>
      </c>
      <c r="KOW1337" s="4" t="s">
        <v>2881</v>
      </c>
      <c r="KOX1337" s="4" t="s">
        <v>2881</v>
      </c>
      <c r="KOY1337" s="4" t="s">
        <v>2881</v>
      </c>
      <c r="KOZ1337" s="4" t="s">
        <v>2881</v>
      </c>
      <c r="KPA1337" s="4" t="s">
        <v>2881</v>
      </c>
      <c r="KPB1337" s="4" t="s">
        <v>2881</v>
      </c>
      <c r="KPC1337" s="4" t="s">
        <v>2881</v>
      </c>
      <c r="KPD1337" s="4" t="s">
        <v>2881</v>
      </c>
      <c r="KPE1337" s="4" t="s">
        <v>2881</v>
      </c>
      <c r="KPF1337" s="4" t="s">
        <v>2881</v>
      </c>
      <c r="KPG1337" s="4" t="s">
        <v>2881</v>
      </c>
      <c r="KPH1337" s="4" t="s">
        <v>2881</v>
      </c>
      <c r="KPI1337" s="4" t="s">
        <v>2881</v>
      </c>
      <c r="KPJ1337" s="4" t="s">
        <v>2881</v>
      </c>
      <c r="KPK1337" s="4" t="s">
        <v>2881</v>
      </c>
      <c r="KPL1337" s="4" t="s">
        <v>2881</v>
      </c>
      <c r="KPM1337" s="4" t="s">
        <v>2881</v>
      </c>
      <c r="KPN1337" s="4" t="s">
        <v>2881</v>
      </c>
      <c r="KPO1337" s="4" t="s">
        <v>2881</v>
      </c>
      <c r="KPP1337" s="4" t="s">
        <v>2881</v>
      </c>
      <c r="KPQ1337" s="4" t="s">
        <v>2881</v>
      </c>
      <c r="KPR1337" s="4" t="s">
        <v>2881</v>
      </c>
      <c r="KPS1337" s="4" t="s">
        <v>2881</v>
      </c>
      <c r="KPT1337" s="4" t="s">
        <v>2881</v>
      </c>
      <c r="KPU1337" s="4" t="s">
        <v>2881</v>
      </c>
      <c r="KPV1337" s="4" t="s">
        <v>2881</v>
      </c>
      <c r="KPW1337" s="4" t="s">
        <v>2881</v>
      </c>
      <c r="KPX1337" s="4" t="s">
        <v>2881</v>
      </c>
      <c r="KPY1337" s="4" t="s">
        <v>2881</v>
      </c>
      <c r="KPZ1337" s="4" t="s">
        <v>2881</v>
      </c>
      <c r="KQA1337" s="4" t="s">
        <v>2881</v>
      </c>
      <c r="KQB1337" s="4" t="s">
        <v>2881</v>
      </c>
      <c r="KQC1337" s="4" t="s">
        <v>2881</v>
      </c>
      <c r="KQD1337" s="4" t="s">
        <v>2881</v>
      </c>
      <c r="KQE1337" s="4" t="s">
        <v>2881</v>
      </c>
      <c r="KQF1337" s="4" t="s">
        <v>2881</v>
      </c>
      <c r="KQG1337" s="4" t="s">
        <v>2881</v>
      </c>
      <c r="KQH1337" s="4" t="s">
        <v>2881</v>
      </c>
      <c r="KQI1337" s="4" t="s">
        <v>2881</v>
      </c>
      <c r="KQJ1337" s="4" t="s">
        <v>2881</v>
      </c>
      <c r="KQK1337" s="4" t="s">
        <v>2881</v>
      </c>
      <c r="KQL1337" s="4" t="s">
        <v>2881</v>
      </c>
      <c r="KQM1337" s="4" t="s">
        <v>2881</v>
      </c>
      <c r="KQN1337" s="4" t="s">
        <v>2881</v>
      </c>
      <c r="KQO1337" s="4" t="s">
        <v>2881</v>
      </c>
      <c r="KQP1337" s="4" t="s">
        <v>2881</v>
      </c>
      <c r="KQQ1337" s="4" t="s">
        <v>2881</v>
      </c>
      <c r="KQR1337" s="4" t="s">
        <v>2881</v>
      </c>
      <c r="KQS1337" s="4" t="s">
        <v>2881</v>
      </c>
      <c r="KQT1337" s="4" t="s">
        <v>2881</v>
      </c>
      <c r="KQU1337" s="4" t="s">
        <v>2881</v>
      </c>
      <c r="KQV1337" s="4" t="s">
        <v>2881</v>
      </c>
      <c r="KQW1337" s="4" t="s">
        <v>2881</v>
      </c>
      <c r="KQX1337" s="4" t="s">
        <v>2881</v>
      </c>
      <c r="KQY1337" s="4" t="s">
        <v>2881</v>
      </c>
      <c r="KQZ1337" s="4" t="s">
        <v>2881</v>
      </c>
      <c r="KRA1337" s="4" t="s">
        <v>2881</v>
      </c>
      <c r="KRB1337" s="4" t="s">
        <v>2881</v>
      </c>
      <c r="KRC1337" s="4" t="s">
        <v>2881</v>
      </c>
      <c r="KRD1337" s="4" t="s">
        <v>2881</v>
      </c>
      <c r="KRE1337" s="4" t="s">
        <v>2881</v>
      </c>
      <c r="KRF1337" s="4" t="s">
        <v>2881</v>
      </c>
      <c r="KRG1337" s="4" t="s">
        <v>2881</v>
      </c>
      <c r="KRH1337" s="4" t="s">
        <v>2881</v>
      </c>
      <c r="KRI1337" s="4" t="s">
        <v>2881</v>
      </c>
      <c r="KRJ1337" s="4" t="s">
        <v>2881</v>
      </c>
      <c r="KRK1337" s="4" t="s">
        <v>2881</v>
      </c>
      <c r="KRL1337" s="4" t="s">
        <v>2881</v>
      </c>
      <c r="KRM1337" s="4" t="s">
        <v>2881</v>
      </c>
      <c r="KRN1337" s="4" t="s">
        <v>2881</v>
      </c>
      <c r="KRO1337" s="4" t="s">
        <v>2881</v>
      </c>
      <c r="KRP1337" s="4" t="s">
        <v>2881</v>
      </c>
      <c r="KRQ1337" s="4" t="s">
        <v>2881</v>
      </c>
      <c r="KRR1337" s="4" t="s">
        <v>2881</v>
      </c>
      <c r="KRS1337" s="4" t="s">
        <v>2881</v>
      </c>
      <c r="KRT1337" s="4" t="s">
        <v>2881</v>
      </c>
      <c r="KRU1337" s="4" t="s">
        <v>2881</v>
      </c>
      <c r="KRV1337" s="4" t="s">
        <v>2881</v>
      </c>
      <c r="KRW1337" s="4" t="s">
        <v>2881</v>
      </c>
      <c r="KRX1337" s="4" t="s">
        <v>2881</v>
      </c>
      <c r="KRY1337" s="4" t="s">
        <v>2881</v>
      </c>
      <c r="KRZ1337" s="4" t="s">
        <v>2881</v>
      </c>
      <c r="KSA1337" s="4" t="s">
        <v>2881</v>
      </c>
      <c r="KSB1337" s="4" t="s">
        <v>2881</v>
      </c>
      <c r="KSC1337" s="4" t="s">
        <v>2881</v>
      </c>
      <c r="KSD1337" s="4" t="s">
        <v>2881</v>
      </c>
      <c r="KSE1337" s="4" t="s">
        <v>2881</v>
      </c>
      <c r="KSF1337" s="4" t="s">
        <v>2881</v>
      </c>
      <c r="KSG1337" s="4" t="s">
        <v>2881</v>
      </c>
      <c r="KSH1337" s="4" t="s">
        <v>2881</v>
      </c>
      <c r="KSI1337" s="4" t="s">
        <v>2881</v>
      </c>
      <c r="KSJ1337" s="4" t="s">
        <v>2881</v>
      </c>
      <c r="KSK1337" s="4" t="s">
        <v>2881</v>
      </c>
      <c r="KSL1337" s="4" t="s">
        <v>2881</v>
      </c>
      <c r="KSM1337" s="4" t="s">
        <v>2881</v>
      </c>
      <c r="KSN1337" s="4" t="s">
        <v>2881</v>
      </c>
      <c r="KSO1337" s="4" t="s">
        <v>2881</v>
      </c>
      <c r="KSP1337" s="4" t="s">
        <v>2881</v>
      </c>
      <c r="KSQ1337" s="4" t="s">
        <v>2881</v>
      </c>
      <c r="KSR1337" s="4" t="s">
        <v>2881</v>
      </c>
      <c r="KSS1337" s="4" t="s">
        <v>2881</v>
      </c>
      <c r="KST1337" s="4" t="s">
        <v>2881</v>
      </c>
      <c r="KSU1337" s="4" t="s">
        <v>2881</v>
      </c>
      <c r="KSV1337" s="4" t="s">
        <v>2881</v>
      </c>
      <c r="KSW1337" s="4" t="s">
        <v>2881</v>
      </c>
      <c r="KSX1337" s="4" t="s">
        <v>2881</v>
      </c>
      <c r="KSY1337" s="4" t="s">
        <v>2881</v>
      </c>
      <c r="KSZ1337" s="4" t="s">
        <v>2881</v>
      </c>
      <c r="KTA1337" s="4" t="s">
        <v>2881</v>
      </c>
      <c r="KTB1337" s="4" t="s">
        <v>2881</v>
      </c>
      <c r="KTC1337" s="4" t="s">
        <v>2881</v>
      </c>
      <c r="KTD1337" s="4" t="s">
        <v>2881</v>
      </c>
      <c r="KTE1337" s="4" t="s">
        <v>2881</v>
      </c>
      <c r="KTF1337" s="4" t="s">
        <v>2881</v>
      </c>
      <c r="KTG1337" s="4" t="s">
        <v>2881</v>
      </c>
      <c r="KTH1337" s="4" t="s">
        <v>2881</v>
      </c>
      <c r="KTI1337" s="4" t="s">
        <v>2881</v>
      </c>
      <c r="KTJ1337" s="4" t="s">
        <v>2881</v>
      </c>
      <c r="KTK1337" s="4" t="s">
        <v>2881</v>
      </c>
      <c r="KTL1337" s="4" t="s">
        <v>2881</v>
      </c>
      <c r="KTM1337" s="4" t="s">
        <v>2881</v>
      </c>
      <c r="KTN1337" s="4" t="s">
        <v>2881</v>
      </c>
      <c r="KTO1337" s="4" t="s">
        <v>2881</v>
      </c>
      <c r="KTP1337" s="4" t="s">
        <v>2881</v>
      </c>
      <c r="KTQ1337" s="4" t="s">
        <v>2881</v>
      </c>
      <c r="KTR1337" s="4" t="s">
        <v>2881</v>
      </c>
      <c r="KTS1337" s="4" t="s">
        <v>2881</v>
      </c>
      <c r="KTT1337" s="4" t="s">
        <v>2881</v>
      </c>
      <c r="KTU1337" s="4" t="s">
        <v>2881</v>
      </c>
      <c r="KTV1337" s="4" t="s">
        <v>2881</v>
      </c>
      <c r="KTW1337" s="4" t="s">
        <v>2881</v>
      </c>
      <c r="KTX1337" s="4" t="s">
        <v>2881</v>
      </c>
      <c r="KTY1337" s="4" t="s">
        <v>2881</v>
      </c>
      <c r="KTZ1337" s="4" t="s">
        <v>2881</v>
      </c>
      <c r="KUA1337" s="4" t="s">
        <v>2881</v>
      </c>
      <c r="KUB1337" s="4" t="s">
        <v>2881</v>
      </c>
      <c r="KUC1337" s="4" t="s">
        <v>2881</v>
      </c>
      <c r="KUD1337" s="4" t="s">
        <v>2881</v>
      </c>
      <c r="KUE1337" s="4" t="s">
        <v>2881</v>
      </c>
      <c r="KUF1337" s="4" t="s">
        <v>2881</v>
      </c>
      <c r="KUG1337" s="4" t="s">
        <v>2881</v>
      </c>
      <c r="KUH1337" s="4" t="s">
        <v>2881</v>
      </c>
      <c r="KUI1337" s="4" t="s">
        <v>2881</v>
      </c>
      <c r="KUJ1337" s="4" t="s">
        <v>2881</v>
      </c>
      <c r="KUK1337" s="4" t="s">
        <v>2881</v>
      </c>
      <c r="KUL1337" s="4" t="s">
        <v>2881</v>
      </c>
      <c r="KUM1337" s="4" t="s">
        <v>2881</v>
      </c>
      <c r="KUN1337" s="4" t="s">
        <v>2881</v>
      </c>
      <c r="KUO1337" s="4" t="s">
        <v>2881</v>
      </c>
      <c r="KUP1337" s="4" t="s">
        <v>2881</v>
      </c>
      <c r="KUQ1337" s="4" t="s">
        <v>2881</v>
      </c>
      <c r="KUR1337" s="4" t="s">
        <v>2881</v>
      </c>
      <c r="KUS1337" s="4" t="s">
        <v>2881</v>
      </c>
      <c r="KUT1337" s="4" t="s">
        <v>2881</v>
      </c>
      <c r="KUU1337" s="4" t="s">
        <v>2881</v>
      </c>
      <c r="KUV1337" s="4" t="s">
        <v>2881</v>
      </c>
      <c r="KUW1337" s="4" t="s">
        <v>2881</v>
      </c>
      <c r="KUX1337" s="4" t="s">
        <v>2881</v>
      </c>
      <c r="KUY1337" s="4" t="s">
        <v>2881</v>
      </c>
      <c r="KUZ1337" s="4" t="s">
        <v>2881</v>
      </c>
      <c r="KVA1337" s="4" t="s">
        <v>2881</v>
      </c>
      <c r="KVB1337" s="4" t="s">
        <v>2881</v>
      </c>
      <c r="KVC1337" s="4" t="s">
        <v>2881</v>
      </c>
      <c r="KVD1337" s="4" t="s">
        <v>2881</v>
      </c>
      <c r="KVE1337" s="4" t="s">
        <v>2881</v>
      </c>
      <c r="KVF1337" s="4" t="s">
        <v>2881</v>
      </c>
      <c r="KVG1337" s="4" t="s">
        <v>2881</v>
      </c>
      <c r="KVH1337" s="4" t="s">
        <v>2881</v>
      </c>
      <c r="KVI1337" s="4" t="s">
        <v>2881</v>
      </c>
      <c r="KVJ1337" s="4" t="s">
        <v>2881</v>
      </c>
      <c r="KVK1337" s="4" t="s">
        <v>2881</v>
      </c>
      <c r="KVL1337" s="4" t="s">
        <v>2881</v>
      </c>
      <c r="KVM1337" s="4" t="s">
        <v>2881</v>
      </c>
      <c r="KVN1337" s="4" t="s">
        <v>2881</v>
      </c>
      <c r="KVO1337" s="4" t="s">
        <v>2881</v>
      </c>
      <c r="KVP1337" s="4" t="s">
        <v>2881</v>
      </c>
      <c r="KVQ1337" s="4" t="s">
        <v>2881</v>
      </c>
      <c r="KVR1337" s="4" t="s">
        <v>2881</v>
      </c>
      <c r="KVS1337" s="4" t="s">
        <v>2881</v>
      </c>
      <c r="KVT1337" s="4" t="s">
        <v>2881</v>
      </c>
      <c r="KVU1337" s="4" t="s">
        <v>2881</v>
      </c>
      <c r="KVV1337" s="4" t="s">
        <v>2881</v>
      </c>
      <c r="KVW1337" s="4" t="s">
        <v>2881</v>
      </c>
      <c r="KVX1337" s="4" t="s">
        <v>2881</v>
      </c>
      <c r="KVY1337" s="4" t="s">
        <v>2881</v>
      </c>
      <c r="KVZ1337" s="4" t="s">
        <v>2881</v>
      </c>
      <c r="KWA1337" s="4" t="s">
        <v>2881</v>
      </c>
      <c r="KWB1337" s="4" t="s">
        <v>2881</v>
      </c>
      <c r="KWC1337" s="4" t="s">
        <v>2881</v>
      </c>
      <c r="KWD1337" s="4" t="s">
        <v>2881</v>
      </c>
      <c r="KWE1337" s="4" t="s">
        <v>2881</v>
      </c>
      <c r="KWF1337" s="4" t="s">
        <v>2881</v>
      </c>
      <c r="KWG1337" s="4" t="s">
        <v>2881</v>
      </c>
      <c r="KWH1337" s="4" t="s">
        <v>2881</v>
      </c>
      <c r="KWI1337" s="4" t="s">
        <v>2881</v>
      </c>
      <c r="KWJ1337" s="4" t="s">
        <v>2881</v>
      </c>
      <c r="KWK1337" s="4" t="s">
        <v>2881</v>
      </c>
      <c r="KWL1337" s="4" t="s">
        <v>2881</v>
      </c>
      <c r="KWM1337" s="4" t="s">
        <v>2881</v>
      </c>
      <c r="KWN1337" s="4" t="s">
        <v>2881</v>
      </c>
      <c r="KWO1337" s="4" t="s">
        <v>2881</v>
      </c>
      <c r="KWP1337" s="4" t="s">
        <v>2881</v>
      </c>
      <c r="KWQ1337" s="4" t="s">
        <v>2881</v>
      </c>
      <c r="KWR1337" s="4" t="s">
        <v>2881</v>
      </c>
      <c r="KWS1337" s="4" t="s">
        <v>2881</v>
      </c>
      <c r="KWT1337" s="4" t="s">
        <v>2881</v>
      </c>
      <c r="KWU1337" s="4" t="s">
        <v>2881</v>
      </c>
      <c r="KWV1337" s="4" t="s">
        <v>2881</v>
      </c>
      <c r="KWW1337" s="4" t="s">
        <v>2881</v>
      </c>
      <c r="KWX1337" s="4" t="s">
        <v>2881</v>
      </c>
      <c r="KWY1337" s="4" t="s">
        <v>2881</v>
      </c>
      <c r="KWZ1337" s="4" t="s">
        <v>2881</v>
      </c>
      <c r="KXA1337" s="4" t="s">
        <v>2881</v>
      </c>
      <c r="KXB1337" s="4" t="s">
        <v>2881</v>
      </c>
      <c r="KXC1337" s="4" t="s">
        <v>2881</v>
      </c>
      <c r="KXD1337" s="4" t="s">
        <v>2881</v>
      </c>
      <c r="KXE1337" s="4" t="s">
        <v>2881</v>
      </c>
      <c r="KXF1337" s="4" t="s">
        <v>2881</v>
      </c>
      <c r="KXG1337" s="4" t="s">
        <v>2881</v>
      </c>
      <c r="KXH1337" s="4" t="s">
        <v>2881</v>
      </c>
      <c r="KXI1337" s="4" t="s">
        <v>2881</v>
      </c>
      <c r="KXJ1337" s="4" t="s">
        <v>2881</v>
      </c>
      <c r="KXK1337" s="4" t="s">
        <v>2881</v>
      </c>
      <c r="KXL1337" s="4" t="s">
        <v>2881</v>
      </c>
      <c r="KXM1337" s="4" t="s">
        <v>2881</v>
      </c>
      <c r="KXN1337" s="4" t="s">
        <v>2881</v>
      </c>
      <c r="KXO1337" s="4" t="s">
        <v>2881</v>
      </c>
      <c r="KXP1337" s="4" t="s">
        <v>2881</v>
      </c>
      <c r="KXQ1337" s="4" t="s">
        <v>2881</v>
      </c>
      <c r="KXR1337" s="4" t="s">
        <v>2881</v>
      </c>
      <c r="KXS1337" s="4" t="s">
        <v>2881</v>
      </c>
      <c r="KXT1337" s="4" t="s">
        <v>2881</v>
      </c>
      <c r="KXU1337" s="4" t="s">
        <v>2881</v>
      </c>
      <c r="KXV1337" s="4" t="s">
        <v>2881</v>
      </c>
      <c r="KXW1337" s="4" t="s">
        <v>2881</v>
      </c>
      <c r="KXX1337" s="4" t="s">
        <v>2881</v>
      </c>
      <c r="KXY1337" s="4" t="s">
        <v>2881</v>
      </c>
      <c r="KXZ1337" s="4" t="s">
        <v>2881</v>
      </c>
      <c r="KYA1337" s="4" t="s">
        <v>2881</v>
      </c>
      <c r="KYB1337" s="4" t="s">
        <v>2881</v>
      </c>
      <c r="KYC1337" s="4" t="s">
        <v>2881</v>
      </c>
      <c r="KYD1337" s="4" t="s">
        <v>2881</v>
      </c>
      <c r="KYE1337" s="4" t="s">
        <v>2881</v>
      </c>
      <c r="KYF1337" s="4" t="s">
        <v>2881</v>
      </c>
      <c r="KYG1337" s="4" t="s">
        <v>2881</v>
      </c>
      <c r="KYH1337" s="4" t="s">
        <v>2881</v>
      </c>
      <c r="KYI1337" s="4" t="s">
        <v>2881</v>
      </c>
      <c r="KYJ1337" s="4" t="s">
        <v>2881</v>
      </c>
      <c r="KYK1337" s="4" t="s">
        <v>2881</v>
      </c>
      <c r="KYL1337" s="4" t="s">
        <v>2881</v>
      </c>
      <c r="KYM1337" s="4" t="s">
        <v>2881</v>
      </c>
      <c r="KYN1337" s="4" t="s">
        <v>2881</v>
      </c>
      <c r="KYO1337" s="4" t="s">
        <v>2881</v>
      </c>
      <c r="KYP1337" s="4" t="s">
        <v>2881</v>
      </c>
      <c r="KYQ1337" s="4" t="s">
        <v>2881</v>
      </c>
      <c r="KYR1337" s="4" t="s">
        <v>2881</v>
      </c>
      <c r="KYS1337" s="4" t="s">
        <v>2881</v>
      </c>
      <c r="KYT1337" s="4" t="s">
        <v>2881</v>
      </c>
      <c r="KYU1337" s="4" t="s">
        <v>2881</v>
      </c>
      <c r="KYV1337" s="4" t="s">
        <v>2881</v>
      </c>
      <c r="KYW1337" s="4" t="s">
        <v>2881</v>
      </c>
      <c r="KYX1337" s="4" t="s">
        <v>2881</v>
      </c>
      <c r="KYY1337" s="4" t="s">
        <v>2881</v>
      </c>
      <c r="KYZ1337" s="4" t="s">
        <v>2881</v>
      </c>
      <c r="KZA1337" s="4" t="s">
        <v>2881</v>
      </c>
      <c r="KZB1337" s="4" t="s">
        <v>2881</v>
      </c>
      <c r="KZC1337" s="4" t="s">
        <v>2881</v>
      </c>
      <c r="KZD1337" s="4" t="s">
        <v>2881</v>
      </c>
      <c r="KZE1337" s="4" t="s">
        <v>2881</v>
      </c>
      <c r="KZF1337" s="4" t="s">
        <v>2881</v>
      </c>
      <c r="KZG1337" s="4" t="s">
        <v>2881</v>
      </c>
      <c r="KZH1337" s="4" t="s">
        <v>2881</v>
      </c>
      <c r="KZI1337" s="4" t="s">
        <v>2881</v>
      </c>
      <c r="KZJ1337" s="4" t="s">
        <v>2881</v>
      </c>
      <c r="KZK1337" s="4" t="s">
        <v>2881</v>
      </c>
      <c r="KZL1337" s="4" t="s">
        <v>2881</v>
      </c>
      <c r="KZM1337" s="4" t="s">
        <v>2881</v>
      </c>
      <c r="KZN1337" s="4" t="s">
        <v>2881</v>
      </c>
      <c r="KZO1337" s="4" t="s">
        <v>2881</v>
      </c>
      <c r="KZP1337" s="4" t="s">
        <v>2881</v>
      </c>
      <c r="KZQ1337" s="4" t="s">
        <v>2881</v>
      </c>
      <c r="KZR1337" s="4" t="s">
        <v>2881</v>
      </c>
      <c r="KZS1337" s="4" t="s">
        <v>2881</v>
      </c>
      <c r="KZT1337" s="4" t="s">
        <v>2881</v>
      </c>
      <c r="KZU1337" s="4" t="s">
        <v>2881</v>
      </c>
      <c r="KZV1337" s="4" t="s">
        <v>2881</v>
      </c>
      <c r="KZW1337" s="4" t="s">
        <v>2881</v>
      </c>
      <c r="KZX1337" s="4" t="s">
        <v>2881</v>
      </c>
      <c r="KZY1337" s="4" t="s">
        <v>2881</v>
      </c>
      <c r="KZZ1337" s="4" t="s">
        <v>2881</v>
      </c>
      <c r="LAA1337" s="4" t="s">
        <v>2881</v>
      </c>
      <c r="LAB1337" s="4" t="s">
        <v>2881</v>
      </c>
      <c r="LAC1337" s="4" t="s">
        <v>2881</v>
      </c>
      <c r="LAD1337" s="4" t="s">
        <v>2881</v>
      </c>
      <c r="LAE1337" s="4" t="s">
        <v>2881</v>
      </c>
      <c r="LAF1337" s="4" t="s">
        <v>2881</v>
      </c>
      <c r="LAG1337" s="4" t="s">
        <v>2881</v>
      </c>
      <c r="LAH1337" s="4" t="s">
        <v>2881</v>
      </c>
      <c r="LAI1337" s="4" t="s">
        <v>2881</v>
      </c>
      <c r="LAJ1337" s="4" t="s">
        <v>2881</v>
      </c>
      <c r="LAK1337" s="4" t="s">
        <v>2881</v>
      </c>
      <c r="LAL1337" s="4" t="s">
        <v>2881</v>
      </c>
      <c r="LAM1337" s="4" t="s">
        <v>2881</v>
      </c>
      <c r="LAN1337" s="4" t="s">
        <v>2881</v>
      </c>
      <c r="LAO1337" s="4" t="s">
        <v>2881</v>
      </c>
      <c r="LAP1337" s="4" t="s">
        <v>2881</v>
      </c>
      <c r="LAQ1337" s="4" t="s">
        <v>2881</v>
      </c>
      <c r="LAR1337" s="4" t="s">
        <v>2881</v>
      </c>
      <c r="LAS1337" s="4" t="s">
        <v>2881</v>
      </c>
      <c r="LAT1337" s="4" t="s">
        <v>2881</v>
      </c>
      <c r="LAU1337" s="4" t="s">
        <v>2881</v>
      </c>
      <c r="LAV1337" s="4" t="s">
        <v>2881</v>
      </c>
      <c r="LAW1337" s="4" t="s">
        <v>2881</v>
      </c>
      <c r="LAX1337" s="4" t="s">
        <v>2881</v>
      </c>
      <c r="LAY1337" s="4" t="s">
        <v>2881</v>
      </c>
      <c r="LAZ1337" s="4" t="s">
        <v>2881</v>
      </c>
      <c r="LBA1337" s="4" t="s">
        <v>2881</v>
      </c>
      <c r="LBB1337" s="4" t="s">
        <v>2881</v>
      </c>
      <c r="LBC1337" s="4" t="s">
        <v>2881</v>
      </c>
      <c r="LBD1337" s="4" t="s">
        <v>2881</v>
      </c>
      <c r="LBE1337" s="4" t="s">
        <v>2881</v>
      </c>
      <c r="LBF1337" s="4" t="s">
        <v>2881</v>
      </c>
      <c r="LBG1337" s="4" t="s">
        <v>2881</v>
      </c>
      <c r="LBH1337" s="4" t="s">
        <v>2881</v>
      </c>
      <c r="LBI1337" s="4" t="s">
        <v>2881</v>
      </c>
      <c r="LBJ1337" s="4" t="s">
        <v>2881</v>
      </c>
      <c r="LBK1337" s="4" t="s">
        <v>2881</v>
      </c>
      <c r="LBL1337" s="4" t="s">
        <v>2881</v>
      </c>
      <c r="LBM1337" s="4" t="s">
        <v>2881</v>
      </c>
      <c r="LBN1337" s="4" t="s">
        <v>2881</v>
      </c>
      <c r="LBO1337" s="4" t="s">
        <v>2881</v>
      </c>
      <c r="LBP1337" s="4" t="s">
        <v>2881</v>
      </c>
      <c r="LBQ1337" s="4" t="s">
        <v>2881</v>
      </c>
      <c r="LBR1337" s="4" t="s">
        <v>2881</v>
      </c>
      <c r="LBS1337" s="4" t="s">
        <v>2881</v>
      </c>
      <c r="LBT1337" s="4" t="s">
        <v>2881</v>
      </c>
      <c r="LBU1337" s="4" t="s">
        <v>2881</v>
      </c>
      <c r="LBV1337" s="4" t="s">
        <v>2881</v>
      </c>
      <c r="LBW1337" s="4" t="s">
        <v>2881</v>
      </c>
      <c r="LBX1337" s="4" t="s">
        <v>2881</v>
      </c>
      <c r="LBY1337" s="4" t="s">
        <v>2881</v>
      </c>
      <c r="LBZ1337" s="4" t="s">
        <v>2881</v>
      </c>
      <c r="LCA1337" s="4" t="s">
        <v>2881</v>
      </c>
      <c r="LCB1337" s="4" t="s">
        <v>2881</v>
      </c>
      <c r="LCC1337" s="4" t="s">
        <v>2881</v>
      </c>
      <c r="LCD1337" s="4" t="s">
        <v>2881</v>
      </c>
      <c r="LCE1337" s="4" t="s">
        <v>2881</v>
      </c>
      <c r="LCF1337" s="4" t="s">
        <v>2881</v>
      </c>
      <c r="LCG1337" s="4" t="s">
        <v>2881</v>
      </c>
      <c r="LCH1337" s="4" t="s">
        <v>2881</v>
      </c>
      <c r="LCI1337" s="4" t="s">
        <v>2881</v>
      </c>
      <c r="LCJ1337" s="4" t="s">
        <v>2881</v>
      </c>
      <c r="LCK1337" s="4" t="s">
        <v>2881</v>
      </c>
      <c r="LCL1337" s="4" t="s">
        <v>2881</v>
      </c>
      <c r="LCM1337" s="4" t="s">
        <v>2881</v>
      </c>
      <c r="LCN1337" s="4" t="s">
        <v>2881</v>
      </c>
      <c r="LCO1337" s="4" t="s">
        <v>2881</v>
      </c>
      <c r="LCP1337" s="4" t="s">
        <v>2881</v>
      </c>
      <c r="LCQ1337" s="4" t="s">
        <v>2881</v>
      </c>
      <c r="LCR1337" s="4" t="s">
        <v>2881</v>
      </c>
      <c r="LCS1337" s="4" t="s">
        <v>2881</v>
      </c>
      <c r="LCT1337" s="4" t="s">
        <v>2881</v>
      </c>
      <c r="LCU1337" s="4" t="s">
        <v>2881</v>
      </c>
      <c r="LCV1337" s="4" t="s">
        <v>2881</v>
      </c>
      <c r="LCW1337" s="4" t="s">
        <v>2881</v>
      </c>
      <c r="LCX1337" s="4" t="s">
        <v>2881</v>
      </c>
      <c r="LCY1337" s="4" t="s">
        <v>2881</v>
      </c>
      <c r="LCZ1337" s="4" t="s">
        <v>2881</v>
      </c>
      <c r="LDA1337" s="4" t="s">
        <v>2881</v>
      </c>
      <c r="LDB1337" s="4" t="s">
        <v>2881</v>
      </c>
      <c r="LDC1337" s="4" t="s">
        <v>2881</v>
      </c>
      <c r="LDD1337" s="4" t="s">
        <v>2881</v>
      </c>
      <c r="LDE1337" s="4" t="s">
        <v>2881</v>
      </c>
      <c r="LDF1337" s="4" t="s">
        <v>2881</v>
      </c>
      <c r="LDG1337" s="4" t="s">
        <v>2881</v>
      </c>
      <c r="LDH1337" s="4" t="s">
        <v>2881</v>
      </c>
      <c r="LDI1337" s="4" t="s">
        <v>2881</v>
      </c>
      <c r="LDJ1337" s="4" t="s">
        <v>2881</v>
      </c>
      <c r="LDK1337" s="4" t="s">
        <v>2881</v>
      </c>
      <c r="LDL1337" s="4" t="s">
        <v>2881</v>
      </c>
      <c r="LDM1337" s="4" t="s">
        <v>2881</v>
      </c>
      <c r="LDN1337" s="4" t="s">
        <v>2881</v>
      </c>
      <c r="LDO1337" s="4" t="s">
        <v>2881</v>
      </c>
      <c r="LDP1337" s="4" t="s">
        <v>2881</v>
      </c>
      <c r="LDQ1337" s="4" t="s">
        <v>2881</v>
      </c>
      <c r="LDR1337" s="4" t="s">
        <v>2881</v>
      </c>
      <c r="LDS1337" s="4" t="s">
        <v>2881</v>
      </c>
      <c r="LDT1337" s="4" t="s">
        <v>2881</v>
      </c>
      <c r="LDU1337" s="4" t="s">
        <v>2881</v>
      </c>
      <c r="LDV1337" s="4" t="s">
        <v>2881</v>
      </c>
      <c r="LDW1337" s="4" t="s">
        <v>2881</v>
      </c>
      <c r="LDX1337" s="4" t="s">
        <v>2881</v>
      </c>
      <c r="LDY1337" s="4" t="s">
        <v>2881</v>
      </c>
      <c r="LDZ1337" s="4" t="s">
        <v>2881</v>
      </c>
      <c r="LEA1337" s="4" t="s">
        <v>2881</v>
      </c>
      <c r="LEB1337" s="4" t="s">
        <v>2881</v>
      </c>
      <c r="LEC1337" s="4" t="s">
        <v>2881</v>
      </c>
      <c r="LED1337" s="4" t="s">
        <v>2881</v>
      </c>
      <c r="LEE1337" s="4" t="s">
        <v>2881</v>
      </c>
      <c r="LEF1337" s="4" t="s">
        <v>2881</v>
      </c>
      <c r="LEG1337" s="4" t="s">
        <v>2881</v>
      </c>
      <c r="LEH1337" s="4" t="s">
        <v>2881</v>
      </c>
      <c r="LEI1337" s="4" t="s">
        <v>2881</v>
      </c>
      <c r="LEJ1337" s="4" t="s">
        <v>2881</v>
      </c>
      <c r="LEK1337" s="4" t="s">
        <v>2881</v>
      </c>
      <c r="LEL1337" s="4" t="s">
        <v>2881</v>
      </c>
      <c r="LEM1337" s="4" t="s">
        <v>2881</v>
      </c>
      <c r="LEN1337" s="4" t="s">
        <v>2881</v>
      </c>
      <c r="LEO1337" s="4" t="s">
        <v>2881</v>
      </c>
      <c r="LEP1337" s="4" t="s">
        <v>2881</v>
      </c>
      <c r="LEQ1337" s="4" t="s">
        <v>2881</v>
      </c>
      <c r="LER1337" s="4" t="s">
        <v>2881</v>
      </c>
      <c r="LES1337" s="4" t="s">
        <v>2881</v>
      </c>
      <c r="LET1337" s="4" t="s">
        <v>2881</v>
      </c>
      <c r="LEU1337" s="4" t="s">
        <v>2881</v>
      </c>
      <c r="LEV1337" s="4" t="s">
        <v>2881</v>
      </c>
      <c r="LEW1337" s="4" t="s">
        <v>2881</v>
      </c>
      <c r="LEX1337" s="4" t="s">
        <v>2881</v>
      </c>
      <c r="LEY1337" s="4" t="s">
        <v>2881</v>
      </c>
      <c r="LEZ1337" s="4" t="s">
        <v>2881</v>
      </c>
      <c r="LFA1337" s="4" t="s">
        <v>2881</v>
      </c>
      <c r="LFB1337" s="4" t="s">
        <v>2881</v>
      </c>
      <c r="LFC1337" s="4" t="s">
        <v>2881</v>
      </c>
      <c r="LFD1337" s="4" t="s">
        <v>2881</v>
      </c>
      <c r="LFE1337" s="4" t="s">
        <v>2881</v>
      </c>
      <c r="LFF1337" s="4" t="s">
        <v>2881</v>
      </c>
      <c r="LFG1337" s="4" t="s">
        <v>2881</v>
      </c>
      <c r="LFH1337" s="4" t="s">
        <v>2881</v>
      </c>
      <c r="LFI1337" s="4" t="s">
        <v>2881</v>
      </c>
      <c r="LFJ1337" s="4" t="s">
        <v>2881</v>
      </c>
      <c r="LFK1337" s="4" t="s">
        <v>2881</v>
      </c>
      <c r="LFL1337" s="4" t="s">
        <v>2881</v>
      </c>
      <c r="LFM1337" s="4" t="s">
        <v>2881</v>
      </c>
      <c r="LFN1337" s="4" t="s">
        <v>2881</v>
      </c>
      <c r="LFO1337" s="4" t="s">
        <v>2881</v>
      </c>
      <c r="LFP1337" s="4" t="s">
        <v>2881</v>
      </c>
      <c r="LFQ1337" s="4" t="s">
        <v>2881</v>
      </c>
      <c r="LFR1337" s="4" t="s">
        <v>2881</v>
      </c>
      <c r="LFS1337" s="4" t="s">
        <v>2881</v>
      </c>
      <c r="LFT1337" s="4" t="s">
        <v>2881</v>
      </c>
      <c r="LFU1337" s="4" t="s">
        <v>2881</v>
      </c>
      <c r="LFV1337" s="4" t="s">
        <v>2881</v>
      </c>
      <c r="LFW1337" s="4" t="s">
        <v>2881</v>
      </c>
      <c r="LFX1337" s="4" t="s">
        <v>2881</v>
      </c>
      <c r="LFY1337" s="4" t="s">
        <v>2881</v>
      </c>
      <c r="LFZ1337" s="4" t="s">
        <v>2881</v>
      </c>
      <c r="LGA1337" s="4" t="s">
        <v>2881</v>
      </c>
      <c r="LGB1337" s="4" t="s">
        <v>2881</v>
      </c>
      <c r="LGC1337" s="4" t="s">
        <v>2881</v>
      </c>
      <c r="LGD1337" s="4" t="s">
        <v>2881</v>
      </c>
      <c r="LGE1337" s="4" t="s">
        <v>2881</v>
      </c>
      <c r="LGF1337" s="4" t="s">
        <v>2881</v>
      </c>
      <c r="LGG1337" s="4" t="s">
        <v>2881</v>
      </c>
      <c r="LGH1337" s="4" t="s">
        <v>2881</v>
      </c>
      <c r="LGI1337" s="4" t="s">
        <v>2881</v>
      </c>
      <c r="LGJ1337" s="4" t="s">
        <v>2881</v>
      </c>
      <c r="LGK1337" s="4" t="s">
        <v>2881</v>
      </c>
      <c r="LGL1337" s="4" t="s">
        <v>2881</v>
      </c>
      <c r="LGM1337" s="4" t="s">
        <v>2881</v>
      </c>
      <c r="LGN1337" s="4" t="s">
        <v>2881</v>
      </c>
      <c r="LGO1337" s="4" t="s">
        <v>2881</v>
      </c>
      <c r="LGP1337" s="4" t="s">
        <v>2881</v>
      </c>
      <c r="LGQ1337" s="4" t="s">
        <v>2881</v>
      </c>
      <c r="LGR1337" s="4" t="s">
        <v>2881</v>
      </c>
      <c r="LGS1337" s="4" t="s">
        <v>2881</v>
      </c>
      <c r="LGT1337" s="4" t="s">
        <v>2881</v>
      </c>
      <c r="LGU1337" s="4" t="s">
        <v>2881</v>
      </c>
      <c r="LGV1337" s="4" t="s">
        <v>2881</v>
      </c>
      <c r="LGW1337" s="4" t="s">
        <v>2881</v>
      </c>
      <c r="LGX1337" s="4" t="s">
        <v>2881</v>
      </c>
      <c r="LGY1337" s="4" t="s">
        <v>2881</v>
      </c>
      <c r="LGZ1337" s="4" t="s">
        <v>2881</v>
      </c>
      <c r="LHA1337" s="4" t="s">
        <v>2881</v>
      </c>
      <c r="LHB1337" s="4" t="s">
        <v>2881</v>
      </c>
      <c r="LHC1337" s="4" t="s">
        <v>2881</v>
      </c>
      <c r="LHD1337" s="4" t="s">
        <v>2881</v>
      </c>
      <c r="LHE1337" s="4" t="s">
        <v>2881</v>
      </c>
      <c r="LHF1337" s="4" t="s">
        <v>2881</v>
      </c>
      <c r="LHG1337" s="4" t="s">
        <v>2881</v>
      </c>
      <c r="LHH1337" s="4" t="s">
        <v>2881</v>
      </c>
      <c r="LHI1337" s="4" t="s">
        <v>2881</v>
      </c>
      <c r="LHJ1337" s="4" t="s">
        <v>2881</v>
      </c>
      <c r="LHK1337" s="4" t="s">
        <v>2881</v>
      </c>
      <c r="LHL1337" s="4" t="s">
        <v>2881</v>
      </c>
      <c r="LHM1337" s="4" t="s">
        <v>2881</v>
      </c>
      <c r="LHN1337" s="4" t="s">
        <v>2881</v>
      </c>
      <c r="LHO1337" s="4" t="s">
        <v>2881</v>
      </c>
      <c r="LHP1337" s="4" t="s">
        <v>2881</v>
      </c>
      <c r="LHQ1337" s="4" t="s">
        <v>2881</v>
      </c>
      <c r="LHR1337" s="4" t="s">
        <v>2881</v>
      </c>
      <c r="LHS1337" s="4" t="s">
        <v>2881</v>
      </c>
      <c r="LHT1337" s="4" t="s">
        <v>2881</v>
      </c>
      <c r="LHU1337" s="4" t="s">
        <v>2881</v>
      </c>
      <c r="LHV1337" s="4" t="s">
        <v>2881</v>
      </c>
      <c r="LHW1337" s="4" t="s">
        <v>2881</v>
      </c>
      <c r="LHX1337" s="4" t="s">
        <v>2881</v>
      </c>
      <c r="LHY1337" s="4" t="s">
        <v>2881</v>
      </c>
      <c r="LHZ1337" s="4" t="s">
        <v>2881</v>
      </c>
      <c r="LIA1337" s="4" t="s">
        <v>2881</v>
      </c>
      <c r="LIB1337" s="4" t="s">
        <v>2881</v>
      </c>
      <c r="LIC1337" s="4" t="s">
        <v>2881</v>
      </c>
      <c r="LID1337" s="4" t="s">
        <v>2881</v>
      </c>
      <c r="LIE1337" s="4" t="s">
        <v>2881</v>
      </c>
      <c r="LIF1337" s="4" t="s">
        <v>2881</v>
      </c>
      <c r="LIG1337" s="4" t="s">
        <v>2881</v>
      </c>
      <c r="LIH1337" s="4" t="s">
        <v>2881</v>
      </c>
      <c r="LII1337" s="4" t="s">
        <v>2881</v>
      </c>
      <c r="LIJ1337" s="4" t="s">
        <v>2881</v>
      </c>
      <c r="LIK1337" s="4" t="s">
        <v>2881</v>
      </c>
      <c r="LIL1337" s="4" t="s">
        <v>2881</v>
      </c>
      <c r="LIM1337" s="4" t="s">
        <v>2881</v>
      </c>
      <c r="LIN1337" s="4" t="s">
        <v>2881</v>
      </c>
      <c r="LIO1337" s="4" t="s">
        <v>2881</v>
      </c>
      <c r="LIP1337" s="4" t="s">
        <v>2881</v>
      </c>
      <c r="LIQ1337" s="4" t="s">
        <v>2881</v>
      </c>
      <c r="LIR1337" s="4" t="s">
        <v>2881</v>
      </c>
      <c r="LIS1337" s="4" t="s">
        <v>2881</v>
      </c>
      <c r="LIT1337" s="4" t="s">
        <v>2881</v>
      </c>
      <c r="LIU1337" s="4" t="s">
        <v>2881</v>
      </c>
      <c r="LIV1337" s="4" t="s">
        <v>2881</v>
      </c>
      <c r="LIW1337" s="4" t="s">
        <v>2881</v>
      </c>
      <c r="LIX1337" s="4" t="s">
        <v>2881</v>
      </c>
      <c r="LIY1337" s="4" t="s">
        <v>2881</v>
      </c>
      <c r="LIZ1337" s="4" t="s">
        <v>2881</v>
      </c>
      <c r="LJA1337" s="4" t="s">
        <v>2881</v>
      </c>
      <c r="LJB1337" s="4" t="s">
        <v>2881</v>
      </c>
      <c r="LJC1337" s="4" t="s">
        <v>2881</v>
      </c>
      <c r="LJD1337" s="4" t="s">
        <v>2881</v>
      </c>
      <c r="LJE1337" s="4" t="s">
        <v>2881</v>
      </c>
      <c r="LJF1337" s="4" t="s">
        <v>2881</v>
      </c>
      <c r="LJG1337" s="4" t="s">
        <v>2881</v>
      </c>
      <c r="LJH1337" s="4" t="s">
        <v>2881</v>
      </c>
      <c r="LJI1337" s="4" t="s">
        <v>2881</v>
      </c>
      <c r="LJJ1337" s="4" t="s">
        <v>2881</v>
      </c>
      <c r="LJK1337" s="4" t="s">
        <v>2881</v>
      </c>
      <c r="LJL1337" s="4" t="s">
        <v>2881</v>
      </c>
      <c r="LJM1337" s="4" t="s">
        <v>2881</v>
      </c>
      <c r="LJN1337" s="4" t="s">
        <v>2881</v>
      </c>
      <c r="LJO1337" s="4" t="s">
        <v>2881</v>
      </c>
      <c r="LJP1337" s="4" t="s">
        <v>2881</v>
      </c>
      <c r="LJQ1337" s="4" t="s">
        <v>2881</v>
      </c>
      <c r="LJR1337" s="4" t="s">
        <v>2881</v>
      </c>
      <c r="LJS1337" s="4" t="s">
        <v>2881</v>
      </c>
      <c r="LJT1337" s="4" t="s">
        <v>2881</v>
      </c>
      <c r="LJU1337" s="4" t="s">
        <v>2881</v>
      </c>
      <c r="LJV1337" s="4" t="s">
        <v>2881</v>
      </c>
      <c r="LJW1337" s="4" t="s">
        <v>2881</v>
      </c>
      <c r="LJX1337" s="4" t="s">
        <v>2881</v>
      </c>
      <c r="LJY1337" s="4" t="s">
        <v>2881</v>
      </c>
      <c r="LJZ1337" s="4" t="s">
        <v>2881</v>
      </c>
      <c r="LKA1337" s="4" t="s">
        <v>2881</v>
      </c>
      <c r="LKB1337" s="4" t="s">
        <v>2881</v>
      </c>
      <c r="LKC1337" s="4" t="s">
        <v>2881</v>
      </c>
      <c r="LKD1337" s="4" t="s">
        <v>2881</v>
      </c>
      <c r="LKE1337" s="4" t="s">
        <v>2881</v>
      </c>
      <c r="LKF1337" s="4" t="s">
        <v>2881</v>
      </c>
      <c r="LKG1337" s="4" t="s">
        <v>2881</v>
      </c>
      <c r="LKH1337" s="4" t="s">
        <v>2881</v>
      </c>
      <c r="LKI1337" s="4" t="s">
        <v>2881</v>
      </c>
      <c r="LKJ1337" s="4" t="s">
        <v>2881</v>
      </c>
      <c r="LKK1337" s="4" t="s">
        <v>2881</v>
      </c>
      <c r="LKL1337" s="4" t="s">
        <v>2881</v>
      </c>
      <c r="LKM1337" s="4" t="s">
        <v>2881</v>
      </c>
      <c r="LKN1337" s="4" t="s">
        <v>2881</v>
      </c>
      <c r="LKO1337" s="4" t="s">
        <v>2881</v>
      </c>
      <c r="LKP1337" s="4" t="s">
        <v>2881</v>
      </c>
      <c r="LKQ1337" s="4" t="s">
        <v>2881</v>
      </c>
      <c r="LKR1337" s="4" t="s">
        <v>2881</v>
      </c>
      <c r="LKS1337" s="4" t="s">
        <v>2881</v>
      </c>
      <c r="LKT1337" s="4" t="s">
        <v>2881</v>
      </c>
      <c r="LKU1337" s="4" t="s">
        <v>2881</v>
      </c>
      <c r="LKV1337" s="4" t="s">
        <v>2881</v>
      </c>
      <c r="LKW1337" s="4" t="s">
        <v>2881</v>
      </c>
      <c r="LKX1337" s="4" t="s">
        <v>2881</v>
      </c>
      <c r="LKY1337" s="4" t="s">
        <v>2881</v>
      </c>
      <c r="LKZ1337" s="4" t="s">
        <v>2881</v>
      </c>
      <c r="LLA1337" s="4" t="s">
        <v>2881</v>
      </c>
      <c r="LLB1337" s="4" t="s">
        <v>2881</v>
      </c>
      <c r="LLC1337" s="4" t="s">
        <v>2881</v>
      </c>
      <c r="LLD1337" s="4" t="s">
        <v>2881</v>
      </c>
      <c r="LLE1337" s="4" t="s">
        <v>2881</v>
      </c>
      <c r="LLF1337" s="4" t="s">
        <v>2881</v>
      </c>
      <c r="LLG1337" s="4" t="s">
        <v>2881</v>
      </c>
      <c r="LLH1337" s="4" t="s">
        <v>2881</v>
      </c>
      <c r="LLI1337" s="4" t="s">
        <v>2881</v>
      </c>
      <c r="LLJ1337" s="4" t="s">
        <v>2881</v>
      </c>
      <c r="LLK1337" s="4" t="s">
        <v>2881</v>
      </c>
      <c r="LLL1337" s="4" t="s">
        <v>2881</v>
      </c>
      <c r="LLM1337" s="4" t="s">
        <v>2881</v>
      </c>
      <c r="LLN1337" s="4" t="s">
        <v>2881</v>
      </c>
      <c r="LLO1337" s="4" t="s">
        <v>2881</v>
      </c>
      <c r="LLP1337" s="4" t="s">
        <v>2881</v>
      </c>
      <c r="LLQ1337" s="4" t="s">
        <v>2881</v>
      </c>
      <c r="LLR1337" s="4" t="s">
        <v>2881</v>
      </c>
      <c r="LLS1337" s="4" t="s">
        <v>2881</v>
      </c>
      <c r="LLT1337" s="4" t="s">
        <v>2881</v>
      </c>
      <c r="LLU1337" s="4" t="s">
        <v>2881</v>
      </c>
      <c r="LLV1337" s="4" t="s">
        <v>2881</v>
      </c>
      <c r="LLW1337" s="4" t="s">
        <v>2881</v>
      </c>
      <c r="LLX1337" s="4" t="s">
        <v>2881</v>
      </c>
      <c r="LLY1337" s="4" t="s">
        <v>2881</v>
      </c>
      <c r="LLZ1337" s="4" t="s">
        <v>2881</v>
      </c>
      <c r="LMA1337" s="4" t="s">
        <v>2881</v>
      </c>
      <c r="LMB1337" s="4" t="s">
        <v>2881</v>
      </c>
      <c r="LMC1337" s="4" t="s">
        <v>2881</v>
      </c>
      <c r="LMD1337" s="4" t="s">
        <v>2881</v>
      </c>
      <c r="LME1337" s="4" t="s">
        <v>2881</v>
      </c>
      <c r="LMF1337" s="4" t="s">
        <v>2881</v>
      </c>
      <c r="LMG1337" s="4" t="s">
        <v>2881</v>
      </c>
      <c r="LMH1337" s="4" t="s">
        <v>2881</v>
      </c>
      <c r="LMI1337" s="4" t="s">
        <v>2881</v>
      </c>
      <c r="LMJ1337" s="4" t="s">
        <v>2881</v>
      </c>
      <c r="LMK1337" s="4" t="s">
        <v>2881</v>
      </c>
      <c r="LML1337" s="4" t="s">
        <v>2881</v>
      </c>
      <c r="LMM1337" s="4" t="s">
        <v>2881</v>
      </c>
      <c r="LMN1337" s="4" t="s">
        <v>2881</v>
      </c>
      <c r="LMO1337" s="4" t="s">
        <v>2881</v>
      </c>
      <c r="LMP1337" s="4" t="s">
        <v>2881</v>
      </c>
      <c r="LMQ1337" s="4" t="s">
        <v>2881</v>
      </c>
      <c r="LMR1337" s="4" t="s">
        <v>2881</v>
      </c>
      <c r="LMS1337" s="4" t="s">
        <v>2881</v>
      </c>
      <c r="LMT1337" s="4" t="s">
        <v>2881</v>
      </c>
      <c r="LMU1337" s="4" t="s">
        <v>2881</v>
      </c>
      <c r="LMV1337" s="4" t="s">
        <v>2881</v>
      </c>
      <c r="LMW1337" s="4" t="s">
        <v>2881</v>
      </c>
      <c r="LMX1337" s="4" t="s">
        <v>2881</v>
      </c>
      <c r="LMY1337" s="4" t="s">
        <v>2881</v>
      </c>
      <c r="LMZ1337" s="4" t="s">
        <v>2881</v>
      </c>
      <c r="LNA1337" s="4" t="s">
        <v>2881</v>
      </c>
      <c r="LNB1337" s="4" t="s">
        <v>2881</v>
      </c>
      <c r="LNC1337" s="4" t="s">
        <v>2881</v>
      </c>
      <c r="LND1337" s="4" t="s">
        <v>2881</v>
      </c>
      <c r="LNE1337" s="4" t="s">
        <v>2881</v>
      </c>
      <c r="LNF1337" s="4" t="s">
        <v>2881</v>
      </c>
      <c r="LNG1337" s="4" t="s">
        <v>2881</v>
      </c>
      <c r="LNH1337" s="4" t="s">
        <v>2881</v>
      </c>
      <c r="LNI1337" s="4" t="s">
        <v>2881</v>
      </c>
      <c r="LNJ1337" s="4" t="s">
        <v>2881</v>
      </c>
      <c r="LNK1337" s="4" t="s">
        <v>2881</v>
      </c>
      <c r="LNL1337" s="4" t="s">
        <v>2881</v>
      </c>
      <c r="LNM1337" s="4" t="s">
        <v>2881</v>
      </c>
      <c r="LNN1337" s="4" t="s">
        <v>2881</v>
      </c>
      <c r="LNO1337" s="4" t="s">
        <v>2881</v>
      </c>
      <c r="LNP1337" s="4" t="s">
        <v>2881</v>
      </c>
      <c r="LNQ1337" s="4" t="s">
        <v>2881</v>
      </c>
      <c r="LNR1337" s="4" t="s">
        <v>2881</v>
      </c>
      <c r="LNS1337" s="4" t="s">
        <v>2881</v>
      </c>
      <c r="LNT1337" s="4" t="s">
        <v>2881</v>
      </c>
      <c r="LNU1337" s="4" t="s">
        <v>2881</v>
      </c>
      <c r="LNV1337" s="4" t="s">
        <v>2881</v>
      </c>
      <c r="LNW1337" s="4" t="s">
        <v>2881</v>
      </c>
      <c r="LNX1337" s="4" t="s">
        <v>2881</v>
      </c>
      <c r="LNY1337" s="4" t="s">
        <v>2881</v>
      </c>
      <c r="LNZ1337" s="4" t="s">
        <v>2881</v>
      </c>
      <c r="LOA1337" s="4" t="s">
        <v>2881</v>
      </c>
      <c r="LOB1337" s="4" t="s">
        <v>2881</v>
      </c>
      <c r="LOC1337" s="4" t="s">
        <v>2881</v>
      </c>
      <c r="LOD1337" s="4" t="s">
        <v>2881</v>
      </c>
      <c r="LOE1337" s="4" t="s">
        <v>2881</v>
      </c>
      <c r="LOF1337" s="4" t="s">
        <v>2881</v>
      </c>
      <c r="LOG1337" s="4" t="s">
        <v>2881</v>
      </c>
      <c r="LOH1337" s="4" t="s">
        <v>2881</v>
      </c>
      <c r="LOI1337" s="4" t="s">
        <v>2881</v>
      </c>
      <c r="LOJ1337" s="4" t="s">
        <v>2881</v>
      </c>
      <c r="LOK1337" s="4" t="s">
        <v>2881</v>
      </c>
      <c r="LOL1337" s="4" t="s">
        <v>2881</v>
      </c>
      <c r="LOM1337" s="4" t="s">
        <v>2881</v>
      </c>
      <c r="LON1337" s="4" t="s">
        <v>2881</v>
      </c>
      <c r="LOO1337" s="4" t="s">
        <v>2881</v>
      </c>
      <c r="LOP1337" s="4" t="s">
        <v>2881</v>
      </c>
      <c r="LOQ1337" s="4" t="s">
        <v>2881</v>
      </c>
      <c r="LOR1337" s="4" t="s">
        <v>2881</v>
      </c>
      <c r="LOS1337" s="4" t="s">
        <v>2881</v>
      </c>
      <c r="LOT1337" s="4" t="s">
        <v>2881</v>
      </c>
      <c r="LOU1337" s="4" t="s">
        <v>2881</v>
      </c>
      <c r="LOV1337" s="4" t="s">
        <v>2881</v>
      </c>
      <c r="LOW1337" s="4" t="s">
        <v>2881</v>
      </c>
      <c r="LOX1337" s="4" t="s">
        <v>2881</v>
      </c>
      <c r="LOY1337" s="4" t="s">
        <v>2881</v>
      </c>
      <c r="LOZ1337" s="4" t="s">
        <v>2881</v>
      </c>
      <c r="LPA1337" s="4" t="s">
        <v>2881</v>
      </c>
      <c r="LPB1337" s="4" t="s">
        <v>2881</v>
      </c>
      <c r="LPC1337" s="4" t="s">
        <v>2881</v>
      </c>
      <c r="LPD1337" s="4" t="s">
        <v>2881</v>
      </c>
      <c r="LPE1337" s="4" t="s">
        <v>2881</v>
      </c>
      <c r="LPF1337" s="4" t="s">
        <v>2881</v>
      </c>
      <c r="LPG1337" s="4" t="s">
        <v>2881</v>
      </c>
      <c r="LPH1337" s="4" t="s">
        <v>2881</v>
      </c>
      <c r="LPI1337" s="4" t="s">
        <v>2881</v>
      </c>
      <c r="LPJ1337" s="4" t="s">
        <v>2881</v>
      </c>
      <c r="LPK1337" s="4" t="s">
        <v>2881</v>
      </c>
      <c r="LPL1337" s="4" t="s">
        <v>2881</v>
      </c>
      <c r="LPM1337" s="4" t="s">
        <v>2881</v>
      </c>
      <c r="LPN1337" s="4" t="s">
        <v>2881</v>
      </c>
      <c r="LPO1337" s="4" t="s">
        <v>2881</v>
      </c>
      <c r="LPP1337" s="4" t="s">
        <v>2881</v>
      </c>
      <c r="LPQ1337" s="4" t="s">
        <v>2881</v>
      </c>
      <c r="LPR1337" s="4" t="s">
        <v>2881</v>
      </c>
      <c r="LPS1337" s="4" t="s">
        <v>2881</v>
      </c>
      <c r="LPT1337" s="4" t="s">
        <v>2881</v>
      </c>
      <c r="LPU1337" s="4" t="s">
        <v>2881</v>
      </c>
      <c r="LPV1337" s="4" t="s">
        <v>2881</v>
      </c>
      <c r="LPW1337" s="4" t="s">
        <v>2881</v>
      </c>
      <c r="LPX1337" s="4" t="s">
        <v>2881</v>
      </c>
      <c r="LPY1337" s="4" t="s">
        <v>2881</v>
      </c>
      <c r="LPZ1337" s="4" t="s">
        <v>2881</v>
      </c>
      <c r="LQA1337" s="4" t="s">
        <v>2881</v>
      </c>
      <c r="LQB1337" s="4" t="s">
        <v>2881</v>
      </c>
      <c r="LQC1337" s="4" t="s">
        <v>2881</v>
      </c>
      <c r="LQD1337" s="4" t="s">
        <v>2881</v>
      </c>
      <c r="LQE1337" s="4" t="s">
        <v>2881</v>
      </c>
      <c r="LQF1337" s="4" t="s">
        <v>2881</v>
      </c>
      <c r="LQG1337" s="4" t="s">
        <v>2881</v>
      </c>
      <c r="LQH1337" s="4" t="s">
        <v>2881</v>
      </c>
      <c r="LQI1337" s="4" t="s">
        <v>2881</v>
      </c>
      <c r="LQJ1337" s="4" t="s">
        <v>2881</v>
      </c>
      <c r="LQK1337" s="4" t="s">
        <v>2881</v>
      </c>
      <c r="LQL1337" s="4" t="s">
        <v>2881</v>
      </c>
      <c r="LQM1337" s="4" t="s">
        <v>2881</v>
      </c>
      <c r="LQN1337" s="4" t="s">
        <v>2881</v>
      </c>
      <c r="LQO1337" s="4" t="s">
        <v>2881</v>
      </c>
      <c r="LQP1337" s="4" t="s">
        <v>2881</v>
      </c>
      <c r="LQQ1337" s="4" t="s">
        <v>2881</v>
      </c>
      <c r="LQR1337" s="4" t="s">
        <v>2881</v>
      </c>
      <c r="LQS1337" s="4" t="s">
        <v>2881</v>
      </c>
      <c r="LQT1337" s="4" t="s">
        <v>2881</v>
      </c>
      <c r="LQU1337" s="4" t="s">
        <v>2881</v>
      </c>
      <c r="LQV1337" s="4" t="s">
        <v>2881</v>
      </c>
      <c r="LQW1337" s="4" t="s">
        <v>2881</v>
      </c>
      <c r="LQX1337" s="4" t="s">
        <v>2881</v>
      </c>
      <c r="LQY1337" s="4" t="s">
        <v>2881</v>
      </c>
      <c r="LQZ1337" s="4" t="s">
        <v>2881</v>
      </c>
      <c r="LRA1337" s="4" t="s">
        <v>2881</v>
      </c>
      <c r="LRB1337" s="4" t="s">
        <v>2881</v>
      </c>
      <c r="LRC1337" s="4" t="s">
        <v>2881</v>
      </c>
      <c r="LRD1337" s="4" t="s">
        <v>2881</v>
      </c>
      <c r="LRE1337" s="4" t="s">
        <v>2881</v>
      </c>
      <c r="LRF1337" s="4" t="s">
        <v>2881</v>
      </c>
      <c r="LRG1337" s="4" t="s">
        <v>2881</v>
      </c>
      <c r="LRH1337" s="4" t="s">
        <v>2881</v>
      </c>
      <c r="LRI1337" s="4" t="s">
        <v>2881</v>
      </c>
      <c r="LRJ1337" s="4" t="s">
        <v>2881</v>
      </c>
      <c r="LRK1337" s="4" t="s">
        <v>2881</v>
      </c>
      <c r="LRL1337" s="4" t="s">
        <v>2881</v>
      </c>
      <c r="LRM1337" s="4" t="s">
        <v>2881</v>
      </c>
      <c r="LRN1337" s="4" t="s">
        <v>2881</v>
      </c>
      <c r="LRO1337" s="4" t="s">
        <v>2881</v>
      </c>
      <c r="LRP1337" s="4" t="s">
        <v>2881</v>
      </c>
      <c r="LRQ1337" s="4" t="s">
        <v>2881</v>
      </c>
      <c r="LRR1337" s="4" t="s">
        <v>2881</v>
      </c>
      <c r="LRS1337" s="4" t="s">
        <v>2881</v>
      </c>
      <c r="LRT1337" s="4" t="s">
        <v>2881</v>
      </c>
      <c r="LRU1337" s="4" t="s">
        <v>2881</v>
      </c>
      <c r="LRV1337" s="4" t="s">
        <v>2881</v>
      </c>
      <c r="LRW1337" s="4" t="s">
        <v>2881</v>
      </c>
      <c r="LRX1337" s="4" t="s">
        <v>2881</v>
      </c>
      <c r="LRY1337" s="4" t="s">
        <v>2881</v>
      </c>
      <c r="LRZ1337" s="4" t="s">
        <v>2881</v>
      </c>
      <c r="LSA1337" s="4" t="s">
        <v>2881</v>
      </c>
      <c r="LSB1337" s="4" t="s">
        <v>2881</v>
      </c>
      <c r="LSC1337" s="4" t="s">
        <v>2881</v>
      </c>
      <c r="LSD1337" s="4" t="s">
        <v>2881</v>
      </c>
      <c r="LSE1337" s="4" t="s">
        <v>2881</v>
      </c>
      <c r="LSF1337" s="4" t="s">
        <v>2881</v>
      </c>
      <c r="LSG1337" s="4" t="s">
        <v>2881</v>
      </c>
      <c r="LSH1337" s="4" t="s">
        <v>2881</v>
      </c>
      <c r="LSI1337" s="4" t="s">
        <v>2881</v>
      </c>
      <c r="LSJ1337" s="4" t="s">
        <v>2881</v>
      </c>
      <c r="LSK1337" s="4" t="s">
        <v>2881</v>
      </c>
      <c r="LSL1337" s="4" t="s">
        <v>2881</v>
      </c>
      <c r="LSM1337" s="4" t="s">
        <v>2881</v>
      </c>
      <c r="LSN1337" s="4" t="s">
        <v>2881</v>
      </c>
      <c r="LSO1337" s="4" t="s">
        <v>2881</v>
      </c>
      <c r="LSP1337" s="4" t="s">
        <v>2881</v>
      </c>
      <c r="LSQ1337" s="4" t="s">
        <v>2881</v>
      </c>
      <c r="LSR1337" s="4" t="s">
        <v>2881</v>
      </c>
      <c r="LSS1337" s="4" t="s">
        <v>2881</v>
      </c>
      <c r="LST1337" s="4" t="s">
        <v>2881</v>
      </c>
      <c r="LSU1337" s="4" t="s">
        <v>2881</v>
      </c>
      <c r="LSV1337" s="4" t="s">
        <v>2881</v>
      </c>
      <c r="LSW1337" s="4" t="s">
        <v>2881</v>
      </c>
      <c r="LSX1337" s="4" t="s">
        <v>2881</v>
      </c>
      <c r="LSY1337" s="4" t="s">
        <v>2881</v>
      </c>
      <c r="LSZ1337" s="4" t="s">
        <v>2881</v>
      </c>
      <c r="LTA1337" s="4" t="s">
        <v>2881</v>
      </c>
      <c r="LTB1337" s="4" t="s">
        <v>2881</v>
      </c>
      <c r="LTC1337" s="4" t="s">
        <v>2881</v>
      </c>
      <c r="LTD1337" s="4" t="s">
        <v>2881</v>
      </c>
      <c r="LTE1337" s="4" t="s">
        <v>2881</v>
      </c>
      <c r="LTF1337" s="4" t="s">
        <v>2881</v>
      </c>
      <c r="LTG1337" s="4" t="s">
        <v>2881</v>
      </c>
      <c r="LTH1337" s="4" t="s">
        <v>2881</v>
      </c>
      <c r="LTI1337" s="4" t="s">
        <v>2881</v>
      </c>
      <c r="LTJ1337" s="4" t="s">
        <v>2881</v>
      </c>
      <c r="LTK1337" s="4" t="s">
        <v>2881</v>
      </c>
      <c r="LTL1337" s="4" t="s">
        <v>2881</v>
      </c>
      <c r="LTM1337" s="4" t="s">
        <v>2881</v>
      </c>
      <c r="LTN1337" s="4" t="s">
        <v>2881</v>
      </c>
      <c r="LTO1337" s="4" t="s">
        <v>2881</v>
      </c>
      <c r="LTP1337" s="4" t="s">
        <v>2881</v>
      </c>
      <c r="LTQ1337" s="4" t="s">
        <v>2881</v>
      </c>
      <c r="LTR1337" s="4" t="s">
        <v>2881</v>
      </c>
      <c r="LTS1337" s="4" t="s">
        <v>2881</v>
      </c>
      <c r="LTT1337" s="4" t="s">
        <v>2881</v>
      </c>
      <c r="LTU1337" s="4" t="s">
        <v>2881</v>
      </c>
      <c r="LTV1337" s="4" t="s">
        <v>2881</v>
      </c>
      <c r="LTW1337" s="4" t="s">
        <v>2881</v>
      </c>
      <c r="LTX1337" s="4" t="s">
        <v>2881</v>
      </c>
      <c r="LTY1337" s="4" t="s">
        <v>2881</v>
      </c>
      <c r="LTZ1337" s="4" t="s">
        <v>2881</v>
      </c>
      <c r="LUA1337" s="4" t="s">
        <v>2881</v>
      </c>
      <c r="LUB1337" s="4" t="s">
        <v>2881</v>
      </c>
      <c r="LUC1337" s="4" t="s">
        <v>2881</v>
      </c>
      <c r="LUD1337" s="4" t="s">
        <v>2881</v>
      </c>
      <c r="LUE1337" s="4" t="s">
        <v>2881</v>
      </c>
      <c r="LUF1337" s="4" t="s">
        <v>2881</v>
      </c>
      <c r="LUG1337" s="4" t="s">
        <v>2881</v>
      </c>
      <c r="LUH1337" s="4" t="s">
        <v>2881</v>
      </c>
      <c r="LUI1337" s="4" t="s">
        <v>2881</v>
      </c>
      <c r="LUJ1337" s="4" t="s">
        <v>2881</v>
      </c>
      <c r="LUK1337" s="4" t="s">
        <v>2881</v>
      </c>
      <c r="LUL1337" s="4" t="s">
        <v>2881</v>
      </c>
      <c r="LUM1337" s="4" t="s">
        <v>2881</v>
      </c>
      <c r="LUN1337" s="4" t="s">
        <v>2881</v>
      </c>
      <c r="LUO1337" s="4" t="s">
        <v>2881</v>
      </c>
      <c r="LUP1337" s="4" t="s">
        <v>2881</v>
      </c>
      <c r="LUQ1337" s="4" t="s">
        <v>2881</v>
      </c>
      <c r="LUR1337" s="4" t="s">
        <v>2881</v>
      </c>
      <c r="LUS1337" s="4" t="s">
        <v>2881</v>
      </c>
      <c r="LUT1337" s="4" t="s">
        <v>2881</v>
      </c>
      <c r="LUU1337" s="4" t="s">
        <v>2881</v>
      </c>
      <c r="LUV1337" s="4" t="s">
        <v>2881</v>
      </c>
      <c r="LUW1337" s="4" t="s">
        <v>2881</v>
      </c>
      <c r="LUX1337" s="4" t="s">
        <v>2881</v>
      </c>
      <c r="LUY1337" s="4" t="s">
        <v>2881</v>
      </c>
      <c r="LUZ1337" s="4" t="s">
        <v>2881</v>
      </c>
      <c r="LVA1337" s="4" t="s">
        <v>2881</v>
      </c>
      <c r="LVB1337" s="4" t="s">
        <v>2881</v>
      </c>
      <c r="LVC1337" s="4" t="s">
        <v>2881</v>
      </c>
      <c r="LVD1337" s="4" t="s">
        <v>2881</v>
      </c>
      <c r="LVE1337" s="4" t="s">
        <v>2881</v>
      </c>
      <c r="LVF1337" s="4" t="s">
        <v>2881</v>
      </c>
      <c r="LVG1337" s="4" t="s">
        <v>2881</v>
      </c>
      <c r="LVH1337" s="4" t="s">
        <v>2881</v>
      </c>
      <c r="LVI1337" s="4" t="s">
        <v>2881</v>
      </c>
      <c r="LVJ1337" s="4" t="s">
        <v>2881</v>
      </c>
      <c r="LVK1337" s="4" t="s">
        <v>2881</v>
      </c>
      <c r="LVL1337" s="4" t="s">
        <v>2881</v>
      </c>
      <c r="LVM1337" s="4" t="s">
        <v>2881</v>
      </c>
      <c r="LVN1337" s="4" t="s">
        <v>2881</v>
      </c>
      <c r="LVO1337" s="4" t="s">
        <v>2881</v>
      </c>
      <c r="LVP1337" s="4" t="s">
        <v>2881</v>
      </c>
      <c r="LVQ1337" s="4" t="s">
        <v>2881</v>
      </c>
      <c r="LVR1337" s="4" t="s">
        <v>2881</v>
      </c>
      <c r="LVS1337" s="4" t="s">
        <v>2881</v>
      </c>
      <c r="LVT1337" s="4" t="s">
        <v>2881</v>
      </c>
      <c r="LVU1337" s="4" t="s">
        <v>2881</v>
      </c>
      <c r="LVV1337" s="4" t="s">
        <v>2881</v>
      </c>
      <c r="LVW1337" s="4" t="s">
        <v>2881</v>
      </c>
      <c r="LVX1337" s="4" t="s">
        <v>2881</v>
      </c>
      <c r="LVY1337" s="4" t="s">
        <v>2881</v>
      </c>
      <c r="LVZ1337" s="4" t="s">
        <v>2881</v>
      </c>
      <c r="LWA1337" s="4" t="s">
        <v>2881</v>
      </c>
      <c r="LWB1337" s="4" t="s">
        <v>2881</v>
      </c>
      <c r="LWC1337" s="4" t="s">
        <v>2881</v>
      </c>
      <c r="LWD1337" s="4" t="s">
        <v>2881</v>
      </c>
      <c r="LWE1337" s="4" t="s">
        <v>2881</v>
      </c>
      <c r="LWF1337" s="4" t="s">
        <v>2881</v>
      </c>
      <c r="LWG1337" s="4" t="s">
        <v>2881</v>
      </c>
      <c r="LWH1337" s="4" t="s">
        <v>2881</v>
      </c>
      <c r="LWI1337" s="4" t="s">
        <v>2881</v>
      </c>
      <c r="LWJ1337" s="4" t="s">
        <v>2881</v>
      </c>
      <c r="LWK1337" s="4" t="s">
        <v>2881</v>
      </c>
      <c r="LWL1337" s="4" t="s">
        <v>2881</v>
      </c>
      <c r="LWM1337" s="4" t="s">
        <v>2881</v>
      </c>
      <c r="LWN1337" s="4" t="s">
        <v>2881</v>
      </c>
      <c r="LWO1337" s="4" t="s">
        <v>2881</v>
      </c>
      <c r="LWP1337" s="4" t="s">
        <v>2881</v>
      </c>
      <c r="LWQ1337" s="4" t="s">
        <v>2881</v>
      </c>
      <c r="LWR1337" s="4" t="s">
        <v>2881</v>
      </c>
      <c r="LWS1337" s="4" t="s">
        <v>2881</v>
      </c>
      <c r="LWT1337" s="4" t="s">
        <v>2881</v>
      </c>
      <c r="LWU1337" s="4" t="s">
        <v>2881</v>
      </c>
      <c r="LWV1337" s="4" t="s">
        <v>2881</v>
      </c>
      <c r="LWW1337" s="4" t="s">
        <v>2881</v>
      </c>
      <c r="LWX1337" s="4" t="s">
        <v>2881</v>
      </c>
      <c r="LWY1337" s="4" t="s">
        <v>2881</v>
      </c>
      <c r="LWZ1337" s="4" t="s">
        <v>2881</v>
      </c>
      <c r="LXA1337" s="4" t="s">
        <v>2881</v>
      </c>
      <c r="LXB1337" s="4" t="s">
        <v>2881</v>
      </c>
      <c r="LXC1337" s="4" t="s">
        <v>2881</v>
      </c>
      <c r="LXD1337" s="4" t="s">
        <v>2881</v>
      </c>
      <c r="LXE1337" s="4" t="s">
        <v>2881</v>
      </c>
      <c r="LXF1337" s="4" t="s">
        <v>2881</v>
      </c>
      <c r="LXG1337" s="4" t="s">
        <v>2881</v>
      </c>
      <c r="LXH1337" s="4" t="s">
        <v>2881</v>
      </c>
      <c r="LXI1337" s="4" t="s">
        <v>2881</v>
      </c>
      <c r="LXJ1337" s="4" t="s">
        <v>2881</v>
      </c>
      <c r="LXK1337" s="4" t="s">
        <v>2881</v>
      </c>
      <c r="LXL1337" s="4" t="s">
        <v>2881</v>
      </c>
      <c r="LXM1337" s="4" t="s">
        <v>2881</v>
      </c>
      <c r="LXN1337" s="4" t="s">
        <v>2881</v>
      </c>
      <c r="LXO1337" s="4" t="s">
        <v>2881</v>
      </c>
      <c r="LXP1337" s="4" t="s">
        <v>2881</v>
      </c>
      <c r="LXQ1337" s="4" t="s">
        <v>2881</v>
      </c>
      <c r="LXR1337" s="4" t="s">
        <v>2881</v>
      </c>
      <c r="LXS1337" s="4" t="s">
        <v>2881</v>
      </c>
      <c r="LXT1337" s="4" t="s">
        <v>2881</v>
      </c>
      <c r="LXU1337" s="4" t="s">
        <v>2881</v>
      </c>
      <c r="LXV1337" s="4" t="s">
        <v>2881</v>
      </c>
      <c r="LXW1337" s="4" t="s">
        <v>2881</v>
      </c>
      <c r="LXX1337" s="4" t="s">
        <v>2881</v>
      </c>
      <c r="LXY1337" s="4" t="s">
        <v>2881</v>
      </c>
      <c r="LXZ1337" s="4" t="s">
        <v>2881</v>
      </c>
      <c r="LYA1337" s="4" t="s">
        <v>2881</v>
      </c>
      <c r="LYB1337" s="4" t="s">
        <v>2881</v>
      </c>
      <c r="LYC1337" s="4" t="s">
        <v>2881</v>
      </c>
      <c r="LYD1337" s="4" t="s">
        <v>2881</v>
      </c>
      <c r="LYE1337" s="4" t="s">
        <v>2881</v>
      </c>
      <c r="LYF1337" s="4" t="s">
        <v>2881</v>
      </c>
      <c r="LYG1337" s="4" t="s">
        <v>2881</v>
      </c>
      <c r="LYH1337" s="4" t="s">
        <v>2881</v>
      </c>
      <c r="LYI1337" s="4" t="s">
        <v>2881</v>
      </c>
      <c r="LYJ1337" s="4" t="s">
        <v>2881</v>
      </c>
      <c r="LYK1337" s="4" t="s">
        <v>2881</v>
      </c>
      <c r="LYL1337" s="4" t="s">
        <v>2881</v>
      </c>
      <c r="LYM1337" s="4" t="s">
        <v>2881</v>
      </c>
      <c r="LYN1337" s="4" t="s">
        <v>2881</v>
      </c>
      <c r="LYO1337" s="4" t="s">
        <v>2881</v>
      </c>
      <c r="LYP1337" s="4" t="s">
        <v>2881</v>
      </c>
      <c r="LYQ1337" s="4" t="s">
        <v>2881</v>
      </c>
      <c r="LYR1337" s="4" t="s">
        <v>2881</v>
      </c>
      <c r="LYS1337" s="4" t="s">
        <v>2881</v>
      </c>
      <c r="LYT1337" s="4" t="s">
        <v>2881</v>
      </c>
      <c r="LYU1337" s="4" t="s">
        <v>2881</v>
      </c>
      <c r="LYV1337" s="4" t="s">
        <v>2881</v>
      </c>
      <c r="LYW1337" s="4" t="s">
        <v>2881</v>
      </c>
      <c r="LYX1337" s="4" t="s">
        <v>2881</v>
      </c>
      <c r="LYY1337" s="4" t="s">
        <v>2881</v>
      </c>
      <c r="LYZ1337" s="4" t="s">
        <v>2881</v>
      </c>
      <c r="LZA1337" s="4" t="s">
        <v>2881</v>
      </c>
      <c r="LZB1337" s="4" t="s">
        <v>2881</v>
      </c>
      <c r="LZC1337" s="4" t="s">
        <v>2881</v>
      </c>
      <c r="LZD1337" s="4" t="s">
        <v>2881</v>
      </c>
      <c r="LZE1337" s="4" t="s">
        <v>2881</v>
      </c>
      <c r="LZF1337" s="4" t="s">
        <v>2881</v>
      </c>
      <c r="LZG1337" s="4" t="s">
        <v>2881</v>
      </c>
      <c r="LZH1337" s="4" t="s">
        <v>2881</v>
      </c>
      <c r="LZI1337" s="4" t="s">
        <v>2881</v>
      </c>
      <c r="LZJ1337" s="4" t="s">
        <v>2881</v>
      </c>
      <c r="LZK1337" s="4" t="s">
        <v>2881</v>
      </c>
      <c r="LZL1337" s="4" t="s">
        <v>2881</v>
      </c>
      <c r="LZM1337" s="4" t="s">
        <v>2881</v>
      </c>
      <c r="LZN1337" s="4" t="s">
        <v>2881</v>
      </c>
      <c r="LZO1337" s="4" t="s">
        <v>2881</v>
      </c>
      <c r="LZP1337" s="4" t="s">
        <v>2881</v>
      </c>
      <c r="LZQ1337" s="4" t="s">
        <v>2881</v>
      </c>
      <c r="LZR1337" s="4" t="s">
        <v>2881</v>
      </c>
      <c r="LZS1337" s="4" t="s">
        <v>2881</v>
      </c>
      <c r="LZT1337" s="4" t="s">
        <v>2881</v>
      </c>
      <c r="LZU1337" s="4" t="s">
        <v>2881</v>
      </c>
      <c r="LZV1337" s="4" t="s">
        <v>2881</v>
      </c>
      <c r="LZW1337" s="4" t="s">
        <v>2881</v>
      </c>
      <c r="LZX1337" s="4" t="s">
        <v>2881</v>
      </c>
      <c r="LZY1337" s="4" t="s">
        <v>2881</v>
      </c>
      <c r="LZZ1337" s="4" t="s">
        <v>2881</v>
      </c>
      <c r="MAA1337" s="4" t="s">
        <v>2881</v>
      </c>
      <c r="MAB1337" s="4" t="s">
        <v>2881</v>
      </c>
      <c r="MAC1337" s="4" t="s">
        <v>2881</v>
      </c>
      <c r="MAD1337" s="4" t="s">
        <v>2881</v>
      </c>
      <c r="MAE1337" s="4" t="s">
        <v>2881</v>
      </c>
      <c r="MAF1337" s="4" t="s">
        <v>2881</v>
      </c>
      <c r="MAG1337" s="4" t="s">
        <v>2881</v>
      </c>
      <c r="MAH1337" s="4" t="s">
        <v>2881</v>
      </c>
      <c r="MAI1337" s="4" t="s">
        <v>2881</v>
      </c>
      <c r="MAJ1337" s="4" t="s">
        <v>2881</v>
      </c>
      <c r="MAK1337" s="4" t="s">
        <v>2881</v>
      </c>
      <c r="MAL1337" s="4" t="s">
        <v>2881</v>
      </c>
      <c r="MAM1337" s="4" t="s">
        <v>2881</v>
      </c>
      <c r="MAN1337" s="4" t="s">
        <v>2881</v>
      </c>
      <c r="MAO1337" s="4" t="s">
        <v>2881</v>
      </c>
      <c r="MAP1337" s="4" t="s">
        <v>2881</v>
      </c>
      <c r="MAQ1337" s="4" t="s">
        <v>2881</v>
      </c>
      <c r="MAR1337" s="4" t="s">
        <v>2881</v>
      </c>
      <c r="MAS1337" s="4" t="s">
        <v>2881</v>
      </c>
      <c r="MAT1337" s="4" t="s">
        <v>2881</v>
      </c>
      <c r="MAU1337" s="4" t="s">
        <v>2881</v>
      </c>
      <c r="MAV1337" s="4" t="s">
        <v>2881</v>
      </c>
      <c r="MAW1337" s="4" t="s">
        <v>2881</v>
      </c>
      <c r="MAX1337" s="4" t="s">
        <v>2881</v>
      </c>
      <c r="MAY1337" s="4" t="s">
        <v>2881</v>
      </c>
      <c r="MAZ1337" s="4" t="s">
        <v>2881</v>
      </c>
      <c r="MBA1337" s="4" t="s">
        <v>2881</v>
      </c>
      <c r="MBB1337" s="4" t="s">
        <v>2881</v>
      </c>
      <c r="MBC1337" s="4" t="s">
        <v>2881</v>
      </c>
      <c r="MBD1337" s="4" t="s">
        <v>2881</v>
      </c>
      <c r="MBE1337" s="4" t="s">
        <v>2881</v>
      </c>
      <c r="MBF1337" s="4" t="s">
        <v>2881</v>
      </c>
      <c r="MBG1337" s="4" t="s">
        <v>2881</v>
      </c>
      <c r="MBH1337" s="4" t="s">
        <v>2881</v>
      </c>
      <c r="MBI1337" s="4" t="s">
        <v>2881</v>
      </c>
      <c r="MBJ1337" s="4" t="s">
        <v>2881</v>
      </c>
      <c r="MBK1337" s="4" t="s">
        <v>2881</v>
      </c>
      <c r="MBL1337" s="4" t="s">
        <v>2881</v>
      </c>
      <c r="MBM1337" s="4" t="s">
        <v>2881</v>
      </c>
      <c r="MBN1337" s="4" t="s">
        <v>2881</v>
      </c>
      <c r="MBO1337" s="4" t="s">
        <v>2881</v>
      </c>
      <c r="MBP1337" s="4" t="s">
        <v>2881</v>
      </c>
      <c r="MBQ1337" s="4" t="s">
        <v>2881</v>
      </c>
      <c r="MBR1337" s="4" t="s">
        <v>2881</v>
      </c>
      <c r="MBS1337" s="4" t="s">
        <v>2881</v>
      </c>
      <c r="MBT1337" s="4" t="s">
        <v>2881</v>
      </c>
      <c r="MBU1337" s="4" t="s">
        <v>2881</v>
      </c>
      <c r="MBV1337" s="4" t="s">
        <v>2881</v>
      </c>
      <c r="MBW1337" s="4" t="s">
        <v>2881</v>
      </c>
      <c r="MBX1337" s="4" t="s">
        <v>2881</v>
      </c>
      <c r="MBY1337" s="4" t="s">
        <v>2881</v>
      </c>
      <c r="MBZ1337" s="4" t="s">
        <v>2881</v>
      </c>
      <c r="MCA1337" s="4" t="s">
        <v>2881</v>
      </c>
      <c r="MCB1337" s="4" t="s">
        <v>2881</v>
      </c>
      <c r="MCC1337" s="4" t="s">
        <v>2881</v>
      </c>
      <c r="MCD1337" s="4" t="s">
        <v>2881</v>
      </c>
      <c r="MCE1337" s="4" t="s">
        <v>2881</v>
      </c>
      <c r="MCF1337" s="4" t="s">
        <v>2881</v>
      </c>
      <c r="MCG1337" s="4" t="s">
        <v>2881</v>
      </c>
      <c r="MCH1337" s="4" t="s">
        <v>2881</v>
      </c>
      <c r="MCI1337" s="4" t="s">
        <v>2881</v>
      </c>
      <c r="MCJ1337" s="4" t="s">
        <v>2881</v>
      </c>
      <c r="MCK1337" s="4" t="s">
        <v>2881</v>
      </c>
      <c r="MCL1337" s="4" t="s">
        <v>2881</v>
      </c>
      <c r="MCM1337" s="4" t="s">
        <v>2881</v>
      </c>
      <c r="MCN1337" s="4" t="s">
        <v>2881</v>
      </c>
      <c r="MCO1337" s="4" t="s">
        <v>2881</v>
      </c>
      <c r="MCP1337" s="4" t="s">
        <v>2881</v>
      </c>
      <c r="MCQ1337" s="4" t="s">
        <v>2881</v>
      </c>
      <c r="MCR1337" s="4" t="s">
        <v>2881</v>
      </c>
      <c r="MCS1337" s="4" t="s">
        <v>2881</v>
      </c>
      <c r="MCT1337" s="4" t="s">
        <v>2881</v>
      </c>
      <c r="MCU1337" s="4" t="s">
        <v>2881</v>
      </c>
      <c r="MCV1337" s="4" t="s">
        <v>2881</v>
      </c>
      <c r="MCW1337" s="4" t="s">
        <v>2881</v>
      </c>
      <c r="MCX1337" s="4" t="s">
        <v>2881</v>
      </c>
      <c r="MCY1337" s="4" t="s">
        <v>2881</v>
      </c>
      <c r="MCZ1337" s="4" t="s">
        <v>2881</v>
      </c>
      <c r="MDA1337" s="4" t="s">
        <v>2881</v>
      </c>
      <c r="MDB1337" s="4" t="s">
        <v>2881</v>
      </c>
      <c r="MDC1337" s="4" t="s">
        <v>2881</v>
      </c>
      <c r="MDD1337" s="4" t="s">
        <v>2881</v>
      </c>
      <c r="MDE1337" s="4" t="s">
        <v>2881</v>
      </c>
      <c r="MDF1337" s="4" t="s">
        <v>2881</v>
      </c>
      <c r="MDG1337" s="4" t="s">
        <v>2881</v>
      </c>
      <c r="MDH1337" s="4" t="s">
        <v>2881</v>
      </c>
      <c r="MDI1337" s="4" t="s">
        <v>2881</v>
      </c>
      <c r="MDJ1337" s="4" t="s">
        <v>2881</v>
      </c>
      <c r="MDK1337" s="4" t="s">
        <v>2881</v>
      </c>
      <c r="MDL1337" s="4" t="s">
        <v>2881</v>
      </c>
      <c r="MDM1337" s="4" t="s">
        <v>2881</v>
      </c>
      <c r="MDN1337" s="4" t="s">
        <v>2881</v>
      </c>
      <c r="MDO1337" s="4" t="s">
        <v>2881</v>
      </c>
      <c r="MDP1337" s="4" t="s">
        <v>2881</v>
      </c>
      <c r="MDQ1337" s="4" t="s">
        <v>2881</v>
      </c>
      <c r="MDR1337" s="4" t="s">
        <v>2881</v>
      </c>
      <c r="MDS1337" s="4" t="s">
        <v>2881</v>
      </c>
      <c r="MDT1337" s="4" t="s">
        <v>2881</v>
      </c>
      <c r="MDU1337" s="4" t="s">
        <v>2881</v>
      </c>
      <c r="MDV1337" s="4" t="s">
        <v>2881</v>
      </c>
      <c r="MDW1337" s="4" t="s">
        <v>2881</v>
      </c>
      <c r="MDX1337" s="4" t="s">
        <v>2881</v>
      </c>
      <c r="MDY1337" s="4" t="s">
        <v>2881</v>
      </c>
      <c r="MDZ1337" s="4" t="s">
        <v>2881</v>
      </c>
      <c r="MEA1337" s="4" t="s">
        <v>2881</v>
      </c>
      <c r="MEB1337" s="4" t="s">
        <v>2881</v>
      </c>
      <c r="MEC1337" s="4" t="s">
        <v>2881</v>
      </c>
      <c r="MED1337" s="4" t="s">
        <v>2881</v>
      </c>
      <c r="MEE1337" s="4" t="s">
        <v>2881</v>
      </c>
      <c r="MEF1337" s="4" t="s">
        <v>2881</v>
      </c>
      <c r="MEG1337" s="4" t="s">
        <v>2881</v>
      </c>
      <c r="MEH1337" s="4" t="s">
        <v>2881</v>
      </c>
      <c r="MEI1337" s="4" t="s">
        <v>2881</v>
      </c>
      <c r="MEJ1337" s="4" t="s">
        <v>2881</v>
      </c>
      <c r="MEK1337" s="4" t="s">
        <v>2881</v>
      </c>
      <c r="MEL1337" s="4" t="s">
        <v>2881</v>
      </c>
      <c r="MEM1337" s="4" t="s">
        <v>2881</v>
      </c>
      <c r="MEN1337" s="4" t="s">
        <v>2881</v>
      </c>
      <c r="MEO1337" s="4" t="s">
        <v>2881</v>
      </c>
      <c r="MEP1337" s="4" t="s">
        <v>2881</v>
      </c>
      <c r="MEQ1337" s="4" t="s">
        <v>2881</v>
      </c>
      <c r="MER1337" s="4" t="s">
        <v>2881</v>
      </c>
      <c r="MES1337" s="4" t="s">
        <v>2881</v>
      </c>
      <c r="MET1337" s="4" t="s">
        <v>2881</v>
      </c>
      <c r="MEU1337" s="4" t="s">
        <v>2881</v>
      </c>
      <c r="MEV1337" s="4" t="s">
        <v>2881</v>
      </c>
      <c r="MEW1337" s="4" t="s">
        <v>2881</v>
      </c>
      <c r="MEX1337" s="4" t="s">
        <v>2881</v>
      </c>
      <c r="MEY1337" s="4" t="s">
        <v>2881</v>
      </c>
      <c r="MEZ1337" s="4" t="s">
        <v>2881</v>
      </c>
      <c r="MFA1337" s="4" t="s">
        <v>2881</v>
      </c>
      <c r="MFB1337" s="4" t="s">
        <v>2881</v>
      </c>
      <c r="MFC1337" s="4" t="s">
        <v>2881</v>
      </c>
      <c r="MFD1337" s="4" t="s">
        <v>2881</v>
      </c>
      <c r="MFE1337" s="4" t="s">
        <v>2881</v>
      </c>
      <c r="MFF1337" s="4" t="s">
        <v>2881</v>
      </c>
      <c r="MFG1337" s="4" t="s">
        <v>2881</v>
      </c>
      <c r="MFH1337" s="4" t="s">
        <v>2881</v>
      </c>
      <c r="MFI1337" s="4" t="s">
        <v>2881</v>
      </c>
      <c r="MFJ1337" s="4" t="s">
        <v>2881</v>
      </c>
      <c r="MFK1337" s="4" t="s">
        <v>2881</v>
      </c>
      <c r="MFL1337" s="4" t="s">
        <v>2881</v>
      </c>
      <c r="MFM1337" s="4" t="s">
        <v>2881</v>
      </c>
      <c r="MFN1337" s="4" t="s">
        <v>2881</v>
      </c>
      <c r="MFO1337" s="4" t="s">
        <v>2881</v>
      </c>
      <c r="MFP1337" s="4" t="s">
        <v>2881</v>
      </c>
      <c r="MFQ1337" s="4" t="s">
        <v>2881</v>
      </c>
      <c r="MFR1337" s="4" t="s">
        <v>2881</v>
      </c>
      <c r="MFS1337" s="4" t="s">
        <v>2881</v>
      </c>
      <c r="MFT1337" s="4" t="s">
        <v>2881</v>
      </c>
      <c r="MFU1337" s="4" t="s">
        <v>2881</v>
      </c>
      <c r="MFV1337" s="4" t="s">
        <v>2881</v>
      </c>
      <c r="MFW1337" s="4" t="s">
        <v>2881</v>
      </c>
      <c r="MFX1337" s="4" t="s">
        <v>2881</v>
      </c>
      <c r="MFY1337" s="4" t="s">
        <v>2881</v>
      </c>
      <c r="MFZ1337" s="4" t="s">
        <v>2881</v>
      </c>
      <c r="MGA1337" s="4" t="s">
        <v>2881</v>
      </c>
      <c r="MGB1337" s="4" t="s">
        <v>2881</v>
      </c>
      <c r="MGC1337" s="4" t="s">
        <v>2881</v>
      </c>
      <c r="MGD1337" s="4" t="s">
        <v>2881</v>
      </c>
      <c r="MGE1337" s="4" t="s">
        <v>2881</v>
      </c>
      <c r="MGF1337" s="4" t="s">
        <v>2881</v>
      </c>
      <c r="MGG1337" s="4" t="s">
        <v>2881</v>
      </c>
      <c r="MGH1337" s="4" t="s">
        <v>2881</v>
      </c>
      <c r="MGI1337" s="4" t="s">
        <v>2881</v>
      </c>
      <c r="MGJ1337" s="4" t="s">
        <v>2881</v>
      </c>
      <c r="MGK1337" s="4" t="s">
        <v>2881</v>
      </c>
      <c r="MGL1337" s="4" t="s">
        <v>2881</v>
      </c>
      <c r="MGM1337" s="4" t="s">
        <v>2881</v>
      </c>
      <c r="MGN1337" s="4" t="s">
        <v>2881</v>
      </c>
      <c r="MGO1337" s="4" t="s">
        <v>2881</v>
      </c>
      <c r="MGP1337" s="4" t="s">
        <v>2881</v>
      </c>
      <c r="MGQ1337" s="4" t="s">
        <v>2881</v>
      </c>
      <c r="MGR1337" s="4" t="s">
        <v>2881</v>
      </c>
      <c r="MGS1337" s="4" t="s">
        <v>2881</v>
      </c>
      <c r="MGT1337" s="4" t="s">
        <v>2881</v>
      </c>
      <c r="MGU1337" s="4" t="s">
        <v>2881</v>
      </c>
      <c r="MGV1337" s="4" t="s">
        <v>2881</v>
      </c>
      <c r="MGW1337" s="4" t="s">
        <v>2881</v>
      </c>
      <c r="MGX1337" s="4" t="s">
        <v>2881</v>
      </c>
      <c r="MGY1337" s="4" t="s">
        <v>2881</v>
      </c>
      <c r="MGZ1337" s="4" t="s">
        <v>2881</v>
      </c>
      <c r="MHA1337" s="4" t="s">
        <v>2881</v>
      </c>
      <c r="MHB1337" s="4" t="s">
        <v>2881</v>
      </c>
      <c r="MHC1337" s="4" t="s">
        <v>2881</v>
      </c>
      <c r="MHD1337" s="4" t="s">
        <v>2881</v>
      </c>
      <c r="MHE1337" s="4" t="s">
        <v>2881</v>
      </c>
      <c r="MHF1337" s="4" t="s">
        <v>2881</v>
      </c>
      <c r="MHG1337" s="4" t="s">
        <v>2881</v>
      </c>
      <c r="MHH1337" s="4" t="s">
        <v>2881</v>
      </c>
      <c r="MHI1337" s="4" t="s">
        <v>2881</v>
      </c>
      <c r="MHJ1337" s="4" t="s">
        <v>2881</v>
      </c>
      <c r="MHK1337" s="4" t="s">
        <v>2881</v>
      </c>
      <c r="MHL1337" s="4" t="s">
        <v>2881</v>
      </c>
      <c r="MHM1337" s="4" t="s">
        <v>2881</v>
      </c>
      <c r="MHN1337" s="4" t="s">
        <v>2881</v>
      </c>
      <c r="MHO1337" s="4" t="s">
        <v>2881</v>
      </c>
      <c r="MHP1337" s="4" t="s">
        <v>2881</v>
      </c>
      <c r="MHQ1337" s="4" t="s">
        <v>2881</v>
      </c>
      <c r="MHR1337" s="4" t="s">
        <v>2881</v>
      </c>
      <c r="MHS1337" s="4" t="s">
        <v>2881</v>
      </c>
      <c r="MHT1337" s="4" t="s">
        <v>2881</v>
      </c>
      <c r="MHU1337" s="4" t="s">
        <v>2881</v>
      </c>
      <c r="MHV1337" s="4" t="s">
        <v>2881</v>
      </c>
      <c r="MHW1337" s="4" t="s">
        <v>2881</v>
      </c>
      <c r="MHX1337" s="4" t="s">
        <v>2881</v>
      </c>
      <c r="MHY1337" s="4" t="s">
        <v>2881</v>
      </c>
      <c r="MHZ1337" s="4" t="s">
        <v>2881</v>
      </c>
      <c r="MIA1337" s="4" t="s">
        <v>2881</v>
      </c>
      <c r="MIB1337" s="4" t="s">
        <v>2881</v>
      </c>
      <c r="MIC1337" s="4" t="s">
        <v>2881</v>
      </c>
      <c r="MID1337" s="4" t="s">
        <v>2881</v>
      </c>
      <c r="MIE1337" s="4" t="s">
        <v>2881</v>
      </c>
      <c r="MIF1337" s="4" t="s">
        <v>2881</v>
      </c>
      <c r="MIG1337" s="4" t="s">
        <v>2881</v>
      </c>
      <c r="MIH1337" s="4" t="s">
        <v>2881</v>
      </c>
      <c r="MII1337" s="4" t="s">
        <v>2881</v>
      </c>
      <c r="MIJ1337" s="4" t="s">
        <v>2881</v>
      </c>
      <c r="MIK1337" s="4" t="s">
        <v>2881</v>
      </c>
      <c r="MIL1337" s="4" t="s">
        <v>2881</v>
      </c>
      <c r="MIM1337" s="4" t="s">
        <v>2881</v>
      </c>
      <c r="MIN1337" s="4" t="s">
        <v>2881</v>
      </c>
      <c r="MIO1337" s="4" t="s">
        <v>2881</v>
      </c>
      <c r="MIP1337" s="4" t="s">
        <v>2881</v>
      </c>
      <c r="MIQ1337" s="4" t="s">
        <v>2881</v>
      </c>
      <c r="MIR1337" s="4" t="s">
        <v>2881</v>
      </c>
      <c r="MIS1337" s="4" t="s">
        <v>2881</v>
      </c>
      <c r="MIT1337" s="4" t="s">
        <v>2881</v>
      </c>
      <c r="MIU1337" s="4" t="s">
        <v>2881</v>
      </c>
      <c r="MIV1337" s="4" t="s">
        <v>2881</v>
      </c>
      <c r="MIW1337" s="4" t="s">
        <v>2881</v>
      </c>
      <c r="MIX1337" s="4" t="s">
        <v>2881</v>
      </c>
      <c r="MIY1337" s="4" t="s">
        <v>2881</v>
      </c>
      <c r="MIZ1337" s="4" t="s">
        <v>2881</v>
      </c>
      <c r="MJA1337" s="4" t="s">
        <v>2881</v>
      </c>
      <c r="MJB1337" s="4" t="s">
        <v>2881</v>
      </c>
      <c r="MJC1337" s="4" t="s">
        <v>2881</v>
      </c>
      <c r="MJD1337" s="4" t="s">
        <v>2881</v>
      </c>
      <c r="MJE1337" s="4" t="s">
        <v>2881</v>
      </c>
      <c r="MJF1337" s="4" t="s">
        <v>2881</v>
      </c>
      <c r="MJG1337" s="4" t="s">
        <v>2881</v>
      </c>
      <c r="MJH1337" s="4" t="s">
        <v>2881</v>
      </c>
      <c r="MJI1337" s="4" t="s">
        <v>2881</v>
      </c>
      <c r="MJJ1337" s="4" t="s">
        <v>2881</v>
      </c>
      <c r="MJK1337" s="4" t="s">
        <v>2881</v>
      </c>
      <c r="MJL1337" s="4" t="s">
        <v>2881</v>
      </c>
      <c r="MJM1337" s="4" t="s">
        <v>2881</v>
      </c>
      <c r="MJN1337" s="4" t="s">
        <v>2881</v>
      </c>
      <c r="MJO1337" s="4" t="s">
        <v>2881</v>
      </c>
      <c r="MJP1337" s="4" t="s">
        <v>2881</v>
      </c>
      <c r="MJQ1337" s="4" t="s">
        <v>2881</v>
      </c>
      <c r="MJR1337" s="4" t="s">
        <v>2881</v>
      </c>
      <c r="MJS1337" s="4" t="s">
        <v>2881</v>
      </c>
      <c r="MJT1337" s="4" t="s">
        <v>2881</v>
      </c>
      <c r="MJU1337" s="4" t="s">
        <v>2881</v>
      </c>
      <c r="MJV1337" s="4" t="s">
        <v>2881</v>
      </c>
      <c r="MJW1337" s="4" t="s">
        <v>2881</v>
      </c>
      <c r="MJX1337" s="4" t="s">
        <v>2881</v>
      </c>
      <c r="MJY1337" s="4" t="s">
        <v>2881</v>
      </c>
      <c r="MJZ1337" s="4" t="s">
        <v>2881</v>
      </c>
      <c r="MKA1337" s="4" t="s">
        <v>2881</v>
      </c>
      <c r="MKB1337" s="4" t="s">
        <v>2881</v>
      </c>
      <c r="MKC1337" s="4" t="s">
        <v>2881</v>
      </c>
      <c r="MKD1337" s="4" t="s">
        <v>2881</v>
      </c>
      <c r="MKE1337" s="4" t="s">
        <v>2881</v>
      </c>
      <c r="MKF1337" s="4" t="s">
        <v>2881</v>
      </c>
      <c r="MKG1337" s="4" t="s">
        <v>2881</v>
      </c>
      <c r="MKH1337" s="4" t="s">
        <v>2881</v>
      </c>
      <c r="MKI1337" s="4" t="s">
        <v>2881</v>
      </c>
      <c r="MKJ1337" s="4" t="s">
        <v>2881</v>
      </c>
      <c r="MKK1337" s="4" t="s">
        <v>2881</v>
      </c>
      <c r="MKL1337" s="4" t="s">
        <v>2881</v>
      </c>
      <c r="MKM1337" s="4" t="s">
        <v>2881</v>
      </c>
      <c r="MKN1337" s="4" t="s">
        <v>2881</v>
      </c>
      <c r="MKO1337" s="4" t="s">
        <v>2881</v>
      </c>
      <c r="MKP1337" s="4" t="s">
        <v>2881</v>
      </c>
      <c r="MKQ1337" s="4" t="s">
        <v>2881</v>
      </c>
      <c r="MKR1337" s="4" t="s">
        <v>2881</v>
      </c>
      <c r="MKS1337" s="4" t="s">
        <v>2881</v>
      </c>
      <c r="MKT1337" s="4" t="s">
        <v>2881</v>
      </c>
      <c r="MKU1337" s="4" t="s">
        <v>2881</v>
      </c>
      <c r="MKV1337" s="4" t="s">
        <v>2881</v>
      </c>
      <c r="MKW1337" s="4" t="s">
        <v>2881</v>
      </c>
      <c r="MKX1337" s="4" t="s">
        <v>2881</v>
      </c>
      <c r="MKY1337" s="4" t="s">
        <v>2881</v>
      </c>
      <c r="MKZ1337" s="4" t="s">
        <v>2881</v>
      </c>
      <c r="MLA1337" s="4" t="s">
        <v>2881</v>
      </c>
      <c r="MLB1337" s="4" t="s">
        <v>2881</v>
      </c>
      <c r="MLC1337" s="4" t="s">
        <v>2881</v>
      </c>
      <c r="MLD1337" s="4" t="s">
        <v>2881</v>
      </c>
      <c r="MLE1337" s="4" t="s">
        <v>2881</v>
      </c>
      <c r="MLF1337" s="4" t="s">
        <v>2881</v>
      </c>
      <c r="MLG1337" s="4" t="s">
        <v>2881</v>
      </c>
      <c r="MLH1337" s="4" t="s">
        <v>2881</v>
      </c>
      <c r="MLI1337" s="4" t="s">
        <v>2881</v>
      </c>
      <c r="MLJ1337" s="4" t="s">
        <v>2881</v>
      </c>
      <c r="MLK1337" s="4" t="s">
        <v>2881</v>
      </c>
      <c r="MLL1337" s="4" t="s">
        <v>2881</v>
      </c>
      <c r="MLM1337" s="4" t="s">
        <v>2881</v>
      </c>
      <c r="MLN1337" s="4" t="s">
        <v>2881</v>
      </c>
      <c r="MLO1337" s="4" t="s">
        <v>2881</v>
      </c>
      <c r="MLP1337" s="4" t="s">
        <v>2881</v>
      </c>
      <c r="MLQ1337" s="4" t="s">
        <v>2881</v>
      </c>
      <c r="MLR1337" s="4" t="s">
        <v>2881</v>
      </c>
      <c r="MLS1337" s="4" t="s">
        <v>2881</v>
      </c>
      <c r="MLT1337" s="4" t="s">
        <v>2881</v>
      </c>
      <c r="MLU1337" s="4" t="s">
        <v>2881</v>
      </c>
      <c r="MLV1337" s="4" t="s">
        <v>2881</v>
      </c>
      <c r="MLW1337" s="4" t="s">
        <v>2881</v>
      </c>
      <c r="MLX1337" s="4" t="s">
        <v>2881</v>
      </c>
      <c r="MLY1337" s="4" t="s">
        <v>2881</v>
      </c>
      <c r="MLZ1337" s="4" t="s">
        <v>2881</v>
      </c>
      <c r="MMA1337" s="4" t="s">
        <v>2881</v>
      </c>
      <c r="MMB1337" s="4" t="s">
        <v>2881</v>
      </c>
      <c r="MMC1337" s="4" t="s">
        <v>2881</v>
      </c>
      <c r="MMD1337" s="4" t="s">
        <v>2881</v>
      </c>
      <c r="MME1337" s="4" t="s">
        <v>2881</v>
      </c>
      <c r="MMF1337" s="4" t="s">
        <v>2881</v>
      </c>
      <c r="MMG1337" s="4" t="s">
        <v>2881</v>
      </c>
      <c r="MMH1337" s="4" t="s">
        <v>2881</v>
      </c>
      <c r="MMI1337" s="4" t="s">
        <v>2881</v>
      </c>
      <c r="MMJ1337" s="4" t="s">
        <v>2881</v>
      </c>
      <c r="MMK1337" s="4" t="s">
        <v>2881</v>
      </c>
      <c r="MML1337" s="4" t="s">
        <v>2881</v>
      </c>
      <c r="MMM1337" s="4" t="s">
        <v>2881</v>
      </c>
      <c r="MMN1337" s="4" t="s">
        <v>2881</v>
      </c>
      <c r="MMO1337" s="4" t="s">
        <v>2881</v>
      </c>
      <c r="MMP1337" s="4" t="s">
        <v>2881</v>
      </c>
      <c r="MMQ1337" s="4" t="s">
        <v>2881</v>
      </c>
      <c r="MMR1337" s="4" t="s">
        <v>2881</v>
      </c>
      <c r="MMS1337" s="4" t="s">
        <v>2881</v>
      </c>
      <c r="MMT1337" s="4" t="s">
        <v>2881</v>
      </c>
      <c r="MMU1337" s="4" t="s">
        <v>2881</v>
      </c>
      <c r="MMV1337" s="4" t="s">
        <v>2881</v>
      </c>
      <c r="MMW1337" s="4" t="s">
        <v>2881</v>
      </c>
      <c r="MMX1337" s="4" t="s">
        <v>2881</v>
      </c>
      <c r="MMY1337" s="4" t="s">
        <v>2881</v>
      </c>
      <c r="MMZ1337" s="4" t="s">
        <v>2881</v>
      </c>
      <c r="MNA1337" s="4" t="s">
        <v>2881</v>
      </c>
      <c r="MNB1337" s="4" t="s">
        <v>2881</v>
      </c>
      <c r="MNC1337" s="4" t="s">
        <v>2881</v>
      </c>
      <c r="MND1337" s="4" t="s">
        <v>2881</v>
      </c>
      <c r="MNE1337" s="4" t="s">
        <v>2881</v>
      </c>
      <c r="MNF1337" s="4" t="s">
        <v>2881</v>
      </c>
      <c r="MNG1337" s="4" t="s">
        <v>2881</v>
      </c>
      <c r="MNH1337" s="4" t="s">
        <v>2881</v>
      </c>
      <c r="MNI1337" s="4" t="s">
        <v>2881</v>
      </c>
      <c r="MNJ1337" s="4" t="s">
        <v>2881</v>
      </c>
      <c r="MNK1337" s="4" t="s">
        <v>2881</v>
      </c>
      <c r="MNL1337" s="4" t="s">
        <v>2881</v>
      </c>
      <c r="MNM1337" s="4" t="s">
        <v>2881</v>
      </c>
      <c r="MNN1337" s="4" t="s">
        <v>2881</v>
      </c>
      <c r="MNO1337" s="4" t="s">
        <v>2881</v>
      </c>
      <c r="MNP1337" s="4" t="s">
        <v>2881</v>
      </c>
      <c r="MNQ1337" s="4" t="s">
        <v>2881</v>
      </c>
      <c r="MNR1337" s="4" t="s">
        <v>2881</v>
      </c>
      <c r="MNS1337" s="4" t="s">
        <v>2881</v>
      </c>
      <c r="MNT1337" s="4" t="s">
        <v>2881</v>
      </c>
      <c r="MNU1337" s="4" t="s">
        <v>2881</v>
      </c>
      <c r="MNV1337" s="4" t="s">
        <v>2881</v>
      </c>
      <c r="MNW1337" s="4" t="s">
        <v>2881</v>
      </c>
      <c r="MNX1337" s="4" t="s">
        <v>2881</v>
      </c>
      <c r="MNY1337" s="4" t="s">
        <v>2881</v>
      </c>
      <c r="MNZ1337" s="4" t="s">
        <v>2881</v>
      </c>
      <c r="MOA1337" s="4" t="s">
        <v>2881</v>
      </c>
      <c r="MOB1337" s="4" t="s">
        <v>2881</v>
      </c>
      <c r="MOC1337" s="4" t="s">
        <v>2881</v>
      </c>
      <c r="MOD1337" s="4" t="s">
        <v>2881</v>
      </c>
      <c r="MOE1337" s="4" t="s">
        <v>2881</v>
      </c>
      <c r="MOF1337" s="4" t="s">
        <v>2881</v>
      </c>
      <c r="MOG1337" s="4" t="s">
        <v>2881</v>
      </c>
      <c r="MOH1337" s="4" t="s">
        <v>2881</v>
      </c>
      <c r="MOI1337" s="4" t="s">
        <v>2881</v>
      </c>
      <c r="MOJ1337" s="4" t="s">
        <v>2881</v>
      </c>
      <c r="MOK1337" s="4" t="s">
        <v>2881</v>
      </c>
      <c r="MOL1337" s="4" t="s">
        <v>2881</v>
      </c>
      <c r="MOM1337" s="4" t="s">
        <v>2881</v>
      </c>
      <c r="MON1337" s="4" t="s">
        <v>2881</v>
      </c>
      <c r="MOO1337" s="4" t="s">
        <v>2881</v>
      </c>
      <c r="MOP1337" s="4" t="s">
        <v>2881</v>
      </c>
      <c r="MOQ1337" s="4" t="s">
        <v>2881</v>
      </c>
      <c r="MOR1337" s="4" t="s">
        <v>2881</v>
      </c>
      <c r="MOS1337" s="4" t="s">
        <v>2881</v>
      </c>
      <c r="MOT1337" s="4" t="s">
        <v>2881</v>
      </c>
      <c r="MOU1337" s="4" t="s">
        <v>2881</v>
      </c>
      <c r="MOV1337" s="4" t="s">
        <v>2881</v>
      </c>
      <c r="MOW1337" s="4" t="s">
        <v>2881</v>
      </c>
      <c r="MOX1337" s="4" t="s">
        <v>2881</v>
      </c>
      <c r="MOY1337" s="4" t="s">
        <v>2881</v>
      </c>
      <c r="MOZ1337" s="4" t="s">
        <v>2881</v>
      </c>
      <c r="MPA1337" s="4" t="s">
        <v>2881</v>
      </c>
      <c r="MPB1337" s="4" t="s">
        <v>2881</v>
      </c>
      <c r="MPC1337" s="4" t="s">
        <v>2881</v>
      </c>
      <c r="MPD1337" s="4" t="s">
        <v>2881</v>
      </c>
      <c r="MPE1337" s="4" t="s">
        <v>2881</v>
      </c>
      <c r="MPF1337" s="4" t="s">
        <v>2881</v>
      </c>
      <c r="MPG1337" s="4" t="s">
        <v>2881</v>
      </c>
      <c r="MPH1337" s="4" t="s">
        <v>2881</v>
      </c>
      <c r="MPI1337" s="4" t="s">
        <v>2881</v>
      </c>
      <c r="MPJ1337" s="4" t="s">
        <v>2881</v>
      </c>
      <c r="MPK1337" s="4" t="s">
        <v>2881</v>
      </c>
      <c r="MPL1337" s="4" t="s">
        <v>2881</v>
      </c>
      <c r="MPM1337" s="4" t="s">
        <v>2881</v>
      </c>
      <c r="MPN1337" s="4" t="s">
        <v>2881</v>
      </c>
      <c r="MPO1337" s="4" t="s">
        <v>2881</v>
      </c>
      <c r="MPP1337" s="4" t="s">
        <v>2881</v>
      </c>
      <c r="MPQ1337" s="4" t="s">
        <v>2881</v>
      </c>
      <c r="MPR1337" s="4" t="s">
        <v>2881</v>
      </c>
      <c r="MPS1337" s="4" t="s">
        <v>2881</v>
      </c>
      <c r="MPT1337" s="4" t="s">
        <v>2881</v>
      </c>
      <c r="MPU1337" s="4" t="s">
        <v>2881</v>
      </c>
      <c r="MPV1337" s="4" t="s">
        <v>2881</v>
      </c>
      <c r="MPW1337" s="4" t="s">
        <v>2881</v>
      </c>
      <c r="MPX1337" s="4" t="s">
        <v>2881</v>
      </c>
      <c r="MPY1337" s="4" t="s">
        <v>2881</v>
      </c>
      <c r="MPZ1337" s="4" t="s">
        <v>2881</v>
      </c>
      <c r="MQA1337" s="4" t="s">
        <v>2881</v>
      </c>
      <c r="MQB1337" s="4" t="s">
        <v>2881</v>
      </c>
      <c r="MQC1337" s="4" t="s">
        <v>2881</v>
      </c>
      <c r="MQD1337" s="4" t="s">
        <v>2881</v>
      </c>
      <c r="MQE1337" s="4" t="s">
        <v>2881</v>
      </c>
      <c r="MQF1337" s="4" t="s">
        <v>2881</v>
      </c>
      <c r="MQG1337" s="4" t="s">
        <v>2881</v>
      </c>
      <c r="MQH1337" s="4" t="s">
        <v>2881</v>
      </c>
      <c r="MQI1337" s="4" t="s">
        <v>2881</v>
      </c>
      <c r="MQJ1337" s="4" t="s">
        <v>2881</v>
      </c>
      <c r="MQK1337" s="4" t="s">
        <v>2881</v>
      </c>
      <c r="MQL1337" s="4" t="s">
        <v>2881</v>
      </c>
      <c r="MQM1337" s="4" t="s">
        <v>2881</v>
      </c>
      <c r="MQN1337" s="4" t="s">
        <v>2881</v>
      </c>
      <c r="MQO1337" s="4" t="s">
        <v>2881</v>
      </c>
      <c r="MQP1337" s="4" t="s">
        <v>2881</v>
      </c>
      <c r="MQQ1337" s="4" t="s">
        <v>2881</v>
      </c>
      <c r="MQR1337" s="4" t="s">
        <v>2881</v>
      </c>
      <c r="MQS1337" s="4" t="s">
        <v>2881</v>
      </c>
      <c r="MQT1337" s="4" t="s">
        <v>2881</v>
      </c>
      <c r="MQU1337" s="4" t="s">
        <v>2881</v>
      </c>
      <c r="MQV1337" s="4" t="s">
        <v>2881</v>
      </c>
      <c r="MQW1337" s="4" t="s">
        <v>2881</v>
      </c>
      <c r="MQX1337" s="4" t="s">
        <v>2881</v>
      </c>
      <c r="MQY1337" s="4" t="s">
        <v>2881</v>
      </c>
      <c r="MQZ1337" s="4" t="s">
        <v>2881</v>
      </c>
      <c r="MRA1337" s="4" t="s">
        <v>2881</v>
      </c>
      <c r="MRB1337" s="4" t="s">
        <v>2881</v>
      </c>
      <c r="MRC1337" s="4" t="s">
        <v>2881</v>
      </c>
      <c r="MRD1337" s="4" t="s">
        <v>2881</v>
      </c>
      <c r="MRE1337" s="4" t="s">
        <v>2881</v>
      </c>
      <c r="MRF1337" s="4" t="s">
        <v>2881</v>
      </c>
      <c r="MRG1337" s="4" t="s">
        <v>2881</v>
      </c>
      <c r="MRH1337" s="4" t="s">
        <v>2881</v>
      </c>
      <c r="MRI1337" s="4" t="s">
        <v>2881</v>
      </c>
      <c r="MRJ1337" s="4" t="s">
        <v>2881</v>
      </c>
      <c r="MRK1337" s="4" t="s">
        <v>2881</v>
      </c>
      <c r="MRL1337" s="4" t="s">
        <v>2881</v>
      </c>
      <c r="MRM1337" s="4" t="s">
        <v>2881</v>
      </c>
      <c r="MRN1337" s="4" t="s">
        <v>2881</v>
      </c>
      <c r="MRO1337" s="4" t="s">
        <v>2881</v>
      </c>
      <c r="MRP1337" s="4" t="s">
        <v>2881</v>
      </c>
      <c r="MRQ1337" s="4" t="s">
        <v>2881</v>
      </c>
      <c r="MRR1337" s="4" t="s">
        <v>2881</v>
      </c>
      <c r="MRS1337" s="4" t="s">
        <v>2881</v>
      </c>
      <c r="MRT1337" s="4" t="s">
        <v>2881</v>
      </c>
      <c r="MRU1337" s="4" t="s">
        <v>2881</v>
      </c>
      <c r="MRV1337" s="4" t="s">
        <v>2881</v>
      </c>
      <c r="MRW1337" s="4" t="s">
        <v>2881</v>
      </c>
      <c r="MRX1337" s="4" t="s">
        <v>2881</v>
      </c>
      <c r="MRY1337" s="4" t="s">
        <v>2881</v>
      </c>
      <c r="MRZ1337" s="4" t="s">
        <v>2881</v>
      </c>
      <c r="MSA1337" s="4" t="s">
        <v>2881</v>
      </c>
      <c r="MSB1337" s="4" t="s">
        <v>2881</v>
      </c>
      <c r="MSC1337" s="4" t="s">
        <v>2881</v>
      </c>
      <c r="MSD1337" s="4" t="s">
        <v>2881</v>
      </c>
      <c r="MSE1337" s="4" t="s">
        <v>2881</v>
      </c>
      <c r="MSF1337" s="4" t="s">
        <v>2881</v>
      </c>
      <c r="MSG1337" s="4" t="s">
        <v>2881</v>
      </c>
      <c r="MSH1337" s="4" t="s">
        <v>2881</v>
      </c>
      <c r="MSI1337" s="4" t="s">
        <v>2881</v>
      </c>
      <c r="MSJ1337" s="4" t="s">
        <v>2881</v>
      </c>
      <c r="MSK1337" s="4" t="s">
        <v>2881</v>
      </c>
      <c r="MSL1337" s="4" t="s">
        <v>2881</v>
      </c>
      <c r="MSM1337" s="4" t="s">
        <v>2881</v>
      </c>
      <c r="MSN1337" s="4" t="s">
        <v>2881</v>
      </c>
      <c r="MSO1337" s="4" t="s">
        <v>2881</v>
      </c>
      <c r="MSP1337" s="4" t="s">
        <v>2881</v>
      </c>
      <c r="MSQ1337" s="4" t="s">
        <v>2881</v>
      </c>
      <c r="MSR1337" s="4" t="s">
        <v>2881</v>
      </c>
      <c r="MSS1337" s="4" t="s">
        <v>2881</v>
      </c>
      <c r="MST1337" s="4" t="s">
        <v>2881</v>
      </c>
      <c r="MSU1337" s="4" t="s">
        <v>2881</v>
      </c>
      <c r="MSV1337" s="4" t="s">
        <v>2881</v>
      </c>
      <c r="MSW1337" s="4" t="s">
        <v>2881</v>
      </c>
      <c r="MSX1337" s="4" t="s">
        <v>2881</v>
      </c>
      <c r="MSY1337" s="4" t="s">
        <v>2881</v>
      </c>
      <c r="MSZ1337" s="4" t="s">
        <v>2881</v>
      </c>
      <c r="MTA1337" s="4" t="s">
        <v>2881</v>
      </c>
      <c r="MTB1337" s="4" t="s">
        <v>2881</v>
      </c>
      <c r="MTC1337" s="4" t="s">
        <v>2881</v>
      </c>
      <c r="MTD1337" s="4" t="s">
        <v>2881</v>
      </c>
      <c r="MTE1337" s="4" t="s">
        <v>2881</v>
      </c>
      <c r="MTF1337" s="4" t="s">
        <v>2881</v>
      </c>
      <c r="MTG1337" s="4" t="s">
        <v>2881</v>
      </c>
      <c r="MTH1337" s="4" t="s">
        <v>2881</v>
      </c>
      <c r="MTI1337" s="4" t="s">
        <v>2881</v>
      </c>
      <c r="MTJ1337" s="4" t="s">
        <v>2881</v>
      </c>
      <c r="MTK1337" s="4" t="s">
        <v>2881</v>
      </c>
      <c r="MTL1337" s="4" t="s">
        <v>2881</v>
      </c>
      <c r="MTM1337" s="4" t="s">
        <v>2881</v>
      </c>
      <c r="MTN1337" s="4" t="s">
        <v>2881</v>
      </c>
      <c r="MTO1337" s="4" t="s">
        <v>2881</v>
      </c>
      <c r="MTP1337" s="4" t="s">
        <v>2881</v>
      </c>
      <c r="MTQ1337" s="4" t="s">
        <v>2881</v>
      </c>
      <c r="MTR1337" s="4" t="s">
        <v>2881</v>
      </c>
      <c r="MTS1337" s="4" t="s">
        <v>2881</v>
      </c>
      <c r="MTT1337" s="4" t="s">
        <v>2881</v>
      </c>
      <c r="MTU1337" s="4" t="s">
        <v>2881</v>
      </c>
      <c r="MTV1337" s="4" t="s">
        <v>2881</v>
      </c>
      <c r="MTW1337" s="4" t="s">
        <v>2881</v>
      </c>
      <c r="MTX1337" s="4" t="s">
        <v>2881</v>
      </c>
      <c r="MTY1337" s="4" t="s">
        <v>2881</v>
      </c>
      <c r="MTZ1337" s="4" t="s">
        <v>2881</v>
      </c>
      <c r="MUA1337" s="4" t="s">
        <v>2881</v>
      </c>
      <c r="MUB1337" s="4" t="s">
        <v>2881</v>
      </c>
      <c r="MUC1337" s="4" t="s">
        <v>2881</v>
      </c>
      <c r="MUD1337" s="4" t="s">
        <v>2881</v>
      </c>
      <c r="MUE1337" s="4" t="s">
        <v>2881</v>
      </c>
      <c r="MUF1337" s="4" t="s">
        <v>2881</v>
      </c>
      <c r="MUG1337" s="4" t="s">
        <v>2881</v>
      </c>
      <c r="MUH1337" s="4" t="s">
        <v>2881</v>
      </c>
      <c r="MUI1337" s="4" t="s">
        <v>2881</v>
      </c>
      <c r="MUJ1337" s="4" t="s">
        <v>2881</v>
      </c>
      <c r="MUK1337" s="4" t="s">
        <v>2881</v>
      </c>
      <c r="MUL1337" s="4" t="s">
        <v>2881</v>
      </c>
      <c r="MUM1337" s="4" t="s">
        <v>2881</v>
      </c>
      <c r="MUN1337" s="4" t="s">
        <v>2881</v>
      </c>
      <c r="MUO1337" s="4" t="s">
        <v>2881</v>
      </c>
      <c r="MUP1337" s="4" t="s">
        <v>2881</v>
      </c>
      <c r="MUQ1337" s="4" t="s">
        <v>2881</v>
      </c>
      <c r="MUR1337" s="4" t="s">
        <v>2881</v>
      </c>
      <c r="MUS1337" s="4" t="s">
        <v>2881</v>
      </c>
      <c r="MUT1337" s="4" t="s">
        <v>2881</v>
      </c>
      <c r="MUU1337" s="4" t="s">
        <v>2881</v>
      </c>
      <c r="MUV1337" s="4" t="s">
        <v>2881</v>
      </c>
      <c r="MUW1337" s="4" t="s">
        <v>2881</v>
      </c>
      <c r="MUX1337" s="4" t="s">
        <v>2881</v>
      </c>
      <c r="MUY1337" s="4" t="s">
        <v>2881</v>
      </c>
      <c r="MUZ1337" s="4" t="s">
        <v>2881</v>
      </c>
      <c r="MVA1337" s="4" t="s">
        <v>2881</v>
      </c>
      <c r="MVB1337" s="4" t="s">
        <v>2881</v>
      </c>
      <c r="MVC1337" s="4" t="s">
        <v>2881</v>
      </c>
      <c r="MVD1337" s="4" t="s">
        <v>2881</v>
      </c>
      <c r="MVE1337" s="4" t="s">
        <v>2881</v>
      </c>
      <c r="MVF1337" s="4" t="s">
        <v>2881</v>
      </c>
      <c r="MVG1337" s="4" t="s">
        <v>2881</v>
      </c>
      <c r="MVH1337" s="4" t="s">
        <v>2881</v>
      </c>
      <c r="MVI1337" s="4" t="s">
        <v>2881</v>
      </c>
      <c r="MVJ1337" s="4" t="s">
        <v>2881</v>
      </c>
      <c r="MVK1337" s="4" t="s">
        <v>2881</v>
      </c>
      <c r="MVL1337" s="4" t="s">
        <v>2881</v>
      </c>
      <c r="MVM1337" s="4" t="s">
        <v>2881</v>
      </c>
      <c r="MVN1337" s="4" t="s">
        <v>2881</v>
      </c>
      <c r="MVO1337" s="4" t="s">
        <v>2881</v>
      </c>
      <c r="MVP1337" s="4" t="s">
        <v>2881</v>
      </c>
      <c r="MVQ1337" s="4" t="s">
        <v>2881</v>
      </c>
      <c r="MVR1337" s="4" t="s">
        <v>2881</v>
      </c>
      <c r="MVS1337" s="4" t="s">
        <v>2881</v>
      </c>
      <c r="MVT1337" s="4" t="s">
        <v>2881</v>
      </c>
      <c r="MVU1337" s="4" t="s">
        <v>2881</v>
      </c>
      <c r="MVV1337" s="4" t="s">
        <v>2881</v>
      </c>
      <c r="MVW1337" s="4" t="s">
        <v>2881</v>
      </c>
      <c r="MVX1337" s="4" t="s">
        <v>2881</v>
      </c>
      <c r="MVY1337" s="4" t="s">
        <v>2881</v>
      </c>
      <c r="MVZ1337" s="4" t="s">
        <v>2881</v>
      </c>
      <c r="MWA1337" s="4" t="s">
        <v>2881</v>
      </c>
      <c r="MWB1337" s="4" t="s">
        <v>2881</v>
      </c>
      <c r="MWC1337" s="4" t="s">
        <v>2881</v>
      </c>
      <c r="MWD1337" s="4" t="s">
        <v>2881</v>
      </c>
      <c r="MWE1337" s="4" t="s">
        <v>2881</v>
      </c>
      <c r="MWF1337" s="4" t="s">
        <v>2881</v>
      </c>
      <c r="MWG1337" s="4" t="s">
        <v>2881</v>
      </c>
      <c r="MWH1337" s="4" t="s">
        <v>2881</v>
      </c>
      <c r="MWI1337" s="4" t="s">
        <v>2881</v>
      </c>
      <c r="MWJ1337" s="4" t="s">
        <v>2881</v>
      </c>
      <c r="MWK1337" s="4" t="s">
        <v>2881</v>
      </c>
      <c r="MWL1337" s="4" t="s">
        <v>2881</v>
      </c>
      <c r="MWM1337" s="4" t="s">
        <v>2881</v>
      </c>
      <c r="MWN1337" s="4" t="s">
        <v>2881</v>
      </c>
      <c r="MWO1337" s="4" t="s">
        <v>2881</v>
      </c>
      <c r="MWP1337" s="4" t="s">
        <v>2881</v>
      </c>
      <c r="MWQ1337" s="4" t="s">
        <v>2881</v>
      </c>
      <c r="MWR1337" s="4" t="s">
        <v>2881</v>
      </c>
      <c r="MWS1337" s="4" t="s">
        <v>2881</v>
      </c>
      <c r="MWT1337" s="4" t="s">
        <v>2881</v>
      </c>
      <c r="MWU1337" s="4" t="s">
        <v>2881</v>
      </c>
      <c r="MWV1337" s="4" t="s">
        <v>2881</v>
      </c>
      <c r="MWW1337" s="4" t="s">
        <v>2881</v>
      </c>
      <c r="MWX1337" s="4" t="s">
        <v>2881</v>
      </c>
      <c r="MWY1337" s="4" t="s">
        <v>2881</v>
      </c>
      <c r="MWZ1337" s="4" t="s">
        <v>2881</v>
      </c>
      <c r="MXA1337" s="4" t="s">
        <v>2881</v>
      </c>
      <c r="MXB1337" s="4" t="s">
        <v>2881</v>
      </c>
      <c r="MXC1337" s="4" t="s">
        <v>2881</v>
      </c>
      <c r="MXD1337" s="4" t="s">
        <v>2881</v>
      </c>
      <c r="MXE1337" s="4" t="s">
        <v>2881</v>
      </c>
      <c r="MXF1337" s="4" t="s">
        <v>2881</v>
      </c>
      <c r="MXG1337" s="4" t="s">
        <v>2881</v>
      </c>
      <c r="MXH1337" s="4" t="s">
        <v>2881</v>
      </c>
      <c r="MXI1337" s="4" t="s">
        <v>2881</v>
      </c>
      <c r="MXJ1337" s="4" t="s">
        <v>2881</v>
      </c>
      <c r="MXK1337" s="4" t="s">
        <v>2881</v>
      </c>
      <c r="MXL1337" s="4" t="s">
        <v>2881</v>
      </c>
      <c r="MXM1337" s="4" t="s">
        <v>2881</v>
      </c>
      <c r="MXN1337" s="4" t="s">
        <v>2881</v>
      </c>
      <c r="MXO1337" s="4" t="s">
        <v>2881</v>
      </c>
      <c r="MXP1337" s="4" t="s">
        <v>2881</v>
      </c>
      <c r="MXQ1337" s="4" t="s">
        <v>2881</v>
      </c>
      <c r="MXR1337" s="4" t="s">
        <v>2881</v>
      </c>
      <c r="MXS1337" s="4" t="s">
        <v>2881</v>
      </c>
      <c r="MXT1337" s="4" t="s">
        <v>2881</v>
      </c>
      <c r="MXU1337" s="4" t="s">
        <v>2881</v>
      </c>
      <c r="MXV1337" s="4" t="s">
        <v>2881</v>
      </c>
      <c r="MXW1337" s="4" t="s">
        <v>2881</v>
      </c>
      <c r="MXX1337" s="4" t="s">
        <v>2881</v>
      </c>
      <c r="MXY1337" s="4" t="s">
        <v>2881</v>
      </c>
      <c r="MXZ1337" s="4" t="s">
        <v>2881</v>
      </c>
      <c r="MYA1337" s="4" t="s">
        <v>2881</v>
      </c>
      <c r="MYB1337" s="4" t="s">
        <v>2881</v>
      </c>
      <c r="MYC1337" s="4" t="s">
        <v>2881</v>
      </c>
      <c r="MYD1337" s="4" t="s">
        <v>2881</v>
      </c>
      <c r="MYE1337" s="4" t="s">
        <v>2881</v>
      </c>
      <c r="MYF1337" s="4" t="s">
        <v>2881</v>
      </c>
      <c r="MYG1337" s="4" t="s">
        <v>2881</v>
      </c>
      <c r="MYH1337" s="4" t="s">
        <v>2881</v>
      </c>
      <c r="MYI1337" s="4" t="s">
        <v>2881</v>
      </c>
      <c r="MYJ1337" s="4" t="s">
        <v>2881</v>
      </c>
      <c r="MYK1337" s="4" t="s">
        <v>2881</v>
      </c>
      <c r="MYL1337" s="4" t="s">
        <v>2881</v>
      </c>
      <c r="MYM1337" s="4" t="s">
        <v>2881</v>
      </c>
      <c r="MYN1337" s="4" t="s">
        <v>2881</v>
      </c>
      <c r="MYO1337" s="4" t="s">
        <v>2881</v>
      </c>
      <c r="MYP1337" s="4" t="s">
        <v>2881</v>
      </c>
      <c r="MYQ1337" s="4" t="s">
        <v>2881</v>
      </c>
      <c r="MYR1337" s="4" t="s">
        <v>2881</v>
      </c>
      <c r="MYS1337" s="4" t="s">
        <v>2881</v>
      </c>
      <c r="MYT1337" s="4" t="s">
        <v>2881</v>
      </c>
      <c r="MYU1337" s="4" t="s">
        <v>2881</v>
      </c>
      <c r="MYV1337" s="4" t="s">
        <v>2881</v>
      </c>
      <c r="MYW1337" s="4" t="s">
        <v>2881</v>
      </c>
      <c r="MYX1337" s="4" t="s">
        <v>2881</v>
      </c>
      <c r="MYY1337" s="4" t="s">
        <v>2881</v>
      </c>
      <c r="MYZ1337" s="4" t="s">
        <v>2881</v>
      </c>
      <c r="MZA1337" s="4" t="s">
        <v>2881</v>
      </c>
      <c r="MZB1337" s="4" t="s">
        <v>2881</v>
      </c>
      <c r="MZC1337" s="4" t="s">
        <v>2881</v>
      </c>
      <c r="MZD1337" s="4" t="s">
        <v>2881</v>
      </c>
      <c r="MZE1337" s="4" t="s">
        <v>2881</v>
      </c>
      <c r="MZF1337" s="4" t="s">
        <v>2881</v>
      </c>
      <c r="MZG1337" s="4" t="s">
        <v>2881</v>
      </c>
      <c r="MZH1337" s="4" t="s">
        <v>2881</v>
      </c>
      <c r="MZI1337" s="4" t="s">
        <v>2881</v>
      </c>
      <c r="MZJ1337" s="4" t="s">
        <v>2881</v>
      </c>
      <c r="MZK1337" s="4" t="s">
        <v>2881</v>
      </c>
      <c r="MZL1337" s="4" t="s">
        <v>2881</v>
      </c>
      <c r="MZM1337" s="4" t="s">
        <v>2881</v>
      </c>
      <c r="MZN1337" s="4" t="s">
        <v>2881</v>
      </c>
      <c r="MZO1337" s="4" t="s">
        <v>2881</v>
      </c>
      <c r="MZP1337" s="4" t="s">
        <v>2881</v>
      </c>
      <c r="MZQ1337" s="4" t="s">
        <v>2881</v>
      </c>
      <c r="MZR1337" s="4" t="s">
        <v>2881</v>
      </c>
      <c r="MZS1337" s="4" t="s">
        <v>2881</v>
      </c>
      <c r="MZT1337" s="4" t="s">
        <v>2881</v>
      </c>
      <c r="MZU1337" s="4" t="s">
        <v>2881</v>
      </c>
      <c r="MZV1337" s="4" t="s">
        <v>2881</v>
      </c>
      <c r="MZW1337" s="4" t="s">
        <v>2881</v>
      </c>
      <c r="MZX1337" s="4" t="s">
        <v>2881</v>
      </c>
      <c r="MZY1337" s="4" t="s">
        <v>2881</v>
      </c>
      <c r="MZZ1337" s="4" t="s">
        <v>2881</v>
      </c>
      <c r="NAA1337" s="4" t="s">
        <v>2881</v>
      </c>
      <c r="NAB1337" s="4" t="s">
        <v>2881</v>
      </c>
      <c r="NAC1337" s="4" t="s">
        <v>2881</v>
      </c>
      <c r="NAD1337" s="4" t="s">
        <v>2881</v>
      </c>
      <c r="NAE1337" s="4" t="s">
        <v>2881</v>
      </c>
      <c r="NAF1337" s="4" t="s">
        <v>2881</v>
      </c>
      <c r="NAG1337" s="4" t="s">
        <v>2881</v>
      </c>
      <c r="NAH1337" s="4" t="s">
        <v>2881</v>
      </c>
      <c r="NAI1337" s="4" t="s">
        <v>2881</v>
      </c>
      <c r="NAJ1337" s="4" t="s">
        <v>2881</v>
      </c>
      <c r="NAK1337" s="4" t="s">
        <v>2881</v>
      </c>
      <c r="NAL1337" s="4" t="s">
        <v>2881</v>
      </c>
      <c r="NAM1337" s="4" t="s">
        <v>2881</v>
      </c>
      <c r="NAN1337" s="4" t="s">
        <v>2881</v>
      </c>
      <c r="NAO1337" s="4" t="s">
        <v>2881</v>
      </c>
      <c r="NAP1337" s="4" t="s">
        <v>2881</v>
      </c>
      <c r="NAQ1337" s="4" t="s">
        <v>2881</v>
      </c>
      <c r="NAR1337" s="4" t="s">
        <v>2881</v>
      </c>
      <c r="NAS1337" s="4" t="s">
        <v>2881</v>
      </c>
      <c r="NAT1337" s="4" t="s">
        <v>2881</v>
      </c>
      <c r="NAU1337" s="4" t="s">
        <v>2881</v>
      </c>
      <c r="NAV1337" s="4" t="s">
        <v>2881</v>
      </c>
      <c r="NAW1337" s="4" t="s">
        <v>2881</v>
      </c>
      <c r="NAX1337" s="4" t="s">
        <v>2881</v>
      </c>
      <c r="NAY1337" s="4" t="s">
        <v>2881</v>
      </c>
      <c r="NAZ1337" s="4" t="s">
        <v>2881</v>
      </c>
      <c r="NBA1337" s="4" t="s">
        <v>2881</v>
      </c>
      <c r="NBB1337" s="4" t="s">
        <v>2881</v>
      </c>
      <c r="NBC1337" s="4" t="s">
        <v>2881</v>
      </c>
      <c r="NBD1337" s="4" t="s">
        <v>2881</v>
      </c>
      <c r="NBE1337" s="4" t="s">
        <v>2881</v>
      </c>
      <c r="NBF1337" s="4" t="s">
        <v>2881</v>
      </c>
      <c r="NBG1337" s="4" t="s">
        <v>2881</v>
      </c>
      <c r="NBH1337" s="4" t="s">
        <v>2881</v>
      </c>
      <c r="NBI1337" s="4" t="s">
        <v>2881</v>
      </c>
      <c r="NBJ1337" s="4" t="s">
        <v>2881</v>
      </c>
      <c r="NBK1337" s="4" t="s">
        <v>2881</v>
      </c>
      <c r="NBL1337" s="4" t="s">
        <v>2881</v>
      </c>
      <c r="NBM1337" s="4" t="s">
        <v>2881</v>
      </c>
      <c r="NBN1337" s="4" t="s">
        <v>2881</v>
      </c>
      <c r="NBO1337" s="4" t="s">
        <v>2881</v>
      </c>
      <c r="NBP1337" s="4" t="s">
        <v>2881</v>
      </c>
      <c r="NBQ1337" s="4" t="s">
        <v>2881</v>
      </c>
      <c r="NBR1337" s="4" t="s">
        <v>2881</v>
      </c>
      <c r="NBS1337" s="4" t="s">
        <v>2881</v>
      </c>
      <c r="NBT1337" s="4" t="s">
        <v>2881</v>
      </c>
      <c r="NBU1337" s="4" t="s">
        <v>2881</v>
      </c>
      <c r="NBV1337" s="4" t="s">
        <v>2881</v>
      </c>
      <c r="NBW1337" s="4" t="s">
        <v>2881</v>
      </c>
      <c r="NBX1337" s="4" t="s">
        <v>2881</v>
      </c>
      <c r="NBY1337" s="4" t="s">
        <v>2881</v>
      </c>
      <c r="NBZ1337" s="4" t="s">
        <v>2881</v>
      </c>
      <c r="NCA1337" s="4" t="s">
        <v>2881</v>
      </c>
      <c r="NCB1337" s="4" t="s">
        <v>2881</v>
      </c>
      <c r="NCC1337" s="4" t="s">
        <v>2881</v>
      </c>
      <c r="NCD1337" s="4" t="s">
        <v>2881</v>
      </c>
      <c r="NCE1337" s="4" t="s">
        <v>2881</v>
      </c>
      <c r="NCF1337" s="4" t="s">
        <v>2881</v>
      </c>
      <c r="NCG1337" s="4" t="s">
        <v>2881</v>
      </c>
      <c r="NCH1337" s="4" t="s">
        <v>2881</v>
      </c>
      <c r="NCI1337" s="4" t="s">
        <v>2881</v>
      </c>
      <c r="NCJ1337" s="4" t="s">
        <v>2881</v>
      </c>
      <c r="NCK1337" s="4" t="s">
        <v>2881</v>
      </c>
      <c r="NCL1337" s="4" t="s">
        <v>2881</v>
      </c>
      <c r="NCM1337" s="4" t="s">
        <v>2881</v>
      </c>
      <c r="NCN1337" s="4" t="s">
        <v>2881</v>
      </c>
      <c r="NCO1337" s="4" t="s">
        <v>2881</v>
      </c>
      <c r="NCP1337" s="4" t="s">
        <v>2881</v>
      </c>
      <c r="NCQ1337" s="4" t="s">
        <v>2881</v>
      </c>
      <c r="NCR1337" s="4" t="s">
        <v>2881</v>
      </c>
      <c r="NCS1337" s="4" t="s">
        <v>2881</v>
      </c>
      <c r="NCT1337" s="4" t="s">
        <v>2881</v>
      </c>
      <c r="NCU1337" s="4" t="s">
        <v>2881</v>
      </c>
      <c r="NCV1337" s="4" t="s">
        <v>2881</v>
      </c>
      <c r="NCW1337" s="4" t="s">
        <v>2881</v>
      </c>
      <c r="NCX1337" s="4" t="s">
        <v>2881</v>
      </c>
      <c r="NCY1337" s="4" t="s">
        <v>2881</v>
      </c>
      <c r="NCZ1337" s="4" t="s">
        <v>2881</v>
      </c>
      <c r="NDA1337" s="4" t="s">
        <v>2881</v>
      </c>
      <c r="NDB1337" s="4" t="s">
        <v>2881</v>
      </c>
      <c r="NDC1337" s="4" t="s">
        <v>2881</v>
      </c>
      <c r="NDD1337" s="4" t="s">
        <v>2881</v>
      </c>
      <c r="NDE1337" s="4" t="s">
        <v>2881</v>
      </c>
      <c r="NDF1337" s="4" t="s">
        <v>2881</v>
      </c>
      <c r="NDG1337" s="4" t="s">
        <v>2881</v>
      </c>
      <c r="NDH1337" s="4" t="s">
        <v>2881</v>
      </c>
      <c r="NDI1337" s="4" t="s">
        <v>2881</v>
      </c>
      <c r="NDJ1337" s="4" t="s">
        <v>2881</v>
      </c>
      <c r="NDK1337" s="4" t="s">
        <v>2881</v>
      </c>
      <c r="NDL1337" s="4" t="s">
        <v>2881</v>
      </c>
      <c r="NDM1337" s="4" t="s">
        <v>2881</v>
      </c>
      <c r="NDN1337" s="4" t="s">
        <v>2881</v>
      </c>
      <c r="NDO1337" s="4" t="s">
        <v>2881</v>
      </c>
      <c r="NDP1337" s="4" t="s">
        <v>2881</v>
      </c>
      <c r="NDQ1337" s="4" t="s">
        <v>2881</v>
      </c>
      <c r="NDR1337" s="4" t="s">
        <v>2881</v>
      </c>
      <c r="NDS1337" s="4" t="s">
        <v>2881</v>
      </c>
      <c r="NDT1337" s="4" t="s">
        <v>2881</v>
      </c>
      <c r="NDU1337" s="4" t="s">
        <v>2881</v>
      </c>
      <c r="NDV1337" s="4" t="s">
        <v>2881</v>
      </c>
      <c r="NDW1337" s="4" t="s">
        <v>2881</v>
      </c>
      <c r="NDX1337" s="4" t="s">
        <v>2881</v>
      </c>
      <c r="NDY1337" s="4" t="s">
        <v>2881</v>
      </c>
      <c r="NDZ1337" s="4" t="s">
        <v>2881</v>
      </c>
      <c r="NEA1337" s="4" t="s">
        <v>2881</v>
      </c>
      <c r="NEB1337" s="4" t="s">
        <v>2881</v>
      </c>
      <c r="NEC1337" s="4" t="s">
        <v>2881</v>
      </c>
      <c r="NED1337" s="4" t="s">
        <v>2881</v>
      </c>
      <c r="NEE1337" s="4" t="s">
        <v>2881</v>
      </c>
      <c r="NEF1337" s="4" t="s">
        <v>2881</v>
      </c>
      <c r="NEG1337" s="4" t="s">
        <v>2881</v>
      </c>
      <c r="NEH1337" s="4" t="s">
        <v>2881</v>
      </c>
      <c r="NEI1337" s="4" t="s">
        <v>2881</v>
      </c>
      <c r="NEJ1337" s="4" t="s">
        <v>2881</v>
      </c>
      <c r="NEK1337" s="4" t="s">
        <v>2881</v>
      </c>
      <c r="NEL1337" s="4" t="s">
        <v>2881</v>
      </c>
      <c r="NEM1337" s="4" t="s">
        <v>2881</v>
      </c>
      <c r="NEN1337" s="4" t="s">
        <v>2881</v>
      </c>
      <c r="NEO1337" s="4" t="s">
        <v>2881</v>
      </c>
      <c r="NEP1337" s="4" t="s">
        <v>2881</v>
      </c>
      <c r="NEQ1337" s="4" t="s">
        <v>2881</v>
      </c>
      <c r="NER1337" s="4" t="s">
        <v>2881</v>
      </c>
      <c r="NES1337" s="4" t="s">
        <v>2881</v>
      </c>
      <c r="NET1337" s="4" t="s">
        <v>2881</v>
      </c>
      <c r="NEU1337" s="4" t="s">
        <v>2881</v>
      </c>
      <c r="NEV1337" s="4" t="s">
        <v>2881</v>
      </c>
      <c r="NEW1337" s="4" t="s">
        <v>2881</v>
      </c>
      <c r="NEX1337" s="4" t="s">
        <v>2881</v>
      </c>
      <c r="NEY1337" s="4" t="s">
        <v>2881</v>
      </c>
      <c r="NEZ1337" s="4" t="s">
        <v>2881</v>
      </c>
      <c r="NFA1337" s="4" t="s">
        <v>2881</v>
      </c>
      <c r="NFB1337" s="4" t="s">
        <v>2881</v>
      </c>
      <c r="NFC1337" s="4" t="s">
        <v>2881</v>
      </c>
      <c r="NFD1337" s="4" t="s">
        <v>2881</v>
      </c>
      <c r="NFE1337" s="4" t="s">
        <v>2881</v>
      </c>
      <c r="NFF1337" s="4" t="s">
        <v>2881</v>
      </c>
      <c r="NFG1337" s="4" t="s">
        <v>2881</v>
      </c>
      <c r="NFH1337" s="4" t="s">
        <v>2881</v>
      </c>
      <c r="NFI1337" s="4" t="s">
        <v>2881</v>
      </c>
      <c r="NFJ1337" s="4" t="s">
        <v>2881</v>
      </c>
      <c r="NFK1337" s="4" t="s">
        <v>2881</v>
      </c>
      <c r="NFL1337" s="4" t="s">
        <v>2881</v>
      </c>
      <c r="NFM1337" s="4" t="s">
        <v>2881</v>
      </c>
      <c r="NFN1337" s="4" t="s">
        <v>2881</v>
      </c>
      <c r="NFO1337" s="4" t="s">
        <v>2881</v>
      </c>
      <c r="NFP1337" s="4" t="s">
        <v>2881</v>
      </c>
      <c r="NFQ1337" s="4" t="s">
        <v>2881</v>
      </c>
      <c r="NFR1337" s="4" t="s">
        <v>2881</v>
      </c>
      <c r="NFS1337" s="4" t="s">
        <v>2881</v>
      </c>
      <c r="NFT1337" s="4" t="s">
        <v>2881</v>
      </c>
      <c r="NFU1337" s="4" t="s">
        <v>2881</v>
      </c>
      <c r="NFV1337" s="4" t="s">
        <v>2881</v>
      </c>
      <c r="NFW1337" s="4" t="s">
        <v>2881</v>
      </c>
      <c r="NFX1337" s="4" t="s">
        <v>2881</v>
      </c>
      <c r="NFY1337" s="4" t="s">
        <v>2881</v>
      </c>
      <c r="NFZ1337" s="4" t="s">
        <v>2881</v>
      </c>
      <c r="NGA1337" s="4" t="s">
        <v>2881</v>
      </c>
      <c r="NGB1337" s="4" t="s">
        <v>2881</v>
      </c>
      <c r="NGC1337" s="4" t="s">
        <v>2881</v>
      </c>
      <c r="NGD1337" s="4" t="s">
        <v>2881</v>
      </c>
      <c r="NGE1337" s="4" t="s">
        <v>2881</v>
      </c>
      <c r="NGF1337" s="4" t="s">
        <v>2881</v>
      </c>
      <c r="NGG1337" s="4" t="s">
        <v>2881</v>
      </c>
      <c r="NGH1337" s="4" t="s">
        <v>2881</v>
      </c>
      <c r="NGI1337" s="4" t="s">
        <v>2881</v>
      </c>
      <c r="NGJ1337" s="4" t="s">
        <v>2881</v>
      </c>
      <c r="NGK1337" s="4" t="s">
        <v>2881</v>
      </c>
      <c r="NGL1337" s="4" t="s">
        <v>2881</v>
      </c>
      <c r="NGM1337" s="4" t="s">
        <v>2881</v>
      </c>
      <c r="NGN1337" s="4" t="s">
        <v>2881</v>
      </c>
      <c r="NGO1337" s="4" t="s">
        <v>2881</v>
      </c>
      <c r="NGP1337" s="4" t="s">
        <v>2881</v>
      </c>
      <c r="NGQ1337" s="4" t="s">
        <v>2881</v>
      </c>
      <c r="NGR1337" s="4" t="s">
        <v>2881</v>
      </c>
      <c r="NGS1337" s="4" t="s">
        <v>2881</v>
      </c>
      <c r="NGT1337" s="4" t="s">
        <v>2881</v>
      </c>
      <c r="NGU1337" s="4" t="s">
        <v>2881</v>
      </c>
      <c r="NGV1337" s="4" t="s">
        <v>2881</v>
      </c>
      <c r="NGW1337" s="4" t="s">
        <v>2881</v>
      </c>
      <c r="NGX1337" s="4" t="s">
        <v>2881</v>
      </c>
      <c r="NGY1337" s="4" t="s">
        <v>2881</v>
      </c>
      <c r="NGZ1337" s="4" t="s">
        <v>2881</v>
      </c>
      <c r="NHA1337" s="4" t="s">
        <v>2881</v>
      </c>
      <c r="NHB1337" s="4" t="s">
        <v>2881</v>
      </c>
      <c r="NHC1337" s="4" t="s">
        <v>2881</v>
      </c>
      <c r="NHD1337" s="4" t="s">
        <v>2881</v>
      </c>
      <c r="NHE1337" s="4" t="s">
        <v>2881</v>
      </c>
      <c r="NHF1337" s="4" t="s">
        <v>2881</v>
      </c>
      <c r="NHG1337" s="4" t="s">
        <v>2881</v>
      </c>
      <c r="NHH1337" s="4" t="s">
        <v>2881</v>
      </c>
      <c r="NHI1337" s="4" t="s">
        <v>2881</v>
      </c>
      <c r="NHJ1337" s="4" t="s">
        <v>2881</v>
      </c>
      <c r="NHK1337" s="4" t="s">
        <v>2881</v>
      </c>
      <c r="NHL1337" s="4" t="s">
        <v>2881</v>
      </c>
      <c r="NHM1337" s="4" t="s">
        <v>2881</v>
      </c>
      <c r="NHN1337" s="4" t="s">
        <v>2881</v>
      </c>
      <c r="NHO1337" s="4" t="s">
        <v>2881</v>
      </c>
      <c r="NHP1337" s="4" t="s">
        <v>2881</v>
      </c>
      <c r="NHQ1337" s="4" t="s">
        <v>2881</v>
      </c>
      <c r="NHR1337" s="4" t="s">
        <v>2881</v>
      </c>
      <c r="NHS1337" s="4" t="s">
        <v>2881</v>
      </c>
      <c r="NHT1337" s="4" t="s">
        <v>2881</v>
      </c>
      <c r="NHU1337" s="4" t="s">
        <v>2881</v>
      </c>
      <c r="NHV1337" s="4" t="s">
        <v>2881</v>
      </c>
      <c r="NHW1337" s="4" t="s">
        <v>2881</v>
      </c>
      <c r="NHX1337" s="4" t="s">
        <v>2881</v>
      </c>
      <c r="NHY1337" s="4" t="s">
        <v>2881</v>
      </c>
      <c r="NHZ1337" s="4" t="s">
        <v>2881</v>
      </c>
      <c r="NIA1337" s="4" t="s">
        <v>2881</v>
      </c>
      <c r="NIB1337" s="4" t="s">
        <v>2881</v>
      </c>
      <c r="NIC1337" s="4" t="s">
        <v>2881</v>
      </c>
      <c r="NID1337" s="4" t="s">
        <v>2881</v>
      </c>
      <c r="NIE1337" s="4" t="s">
        <v>2881</v>
      </c>
      <c r="NIF1337" s="4" t="s">
        <v>2881</v>
      </c>
      <c r="NIG1337" s="4" t="s">
        <v>2881</v>
      </c>
      <c r="NIH1337" s="4" t="s">
        <v>2881</v>
      </c>
      <c r="NII1337" s="4" t="s">
        <v>2881</v>
      </c>
      <c r="NIJ1337" s="4" t="s">
        <v>2881</v>
      </c>
      <c r="NIK1337" s="4" t="s">
        <v>2881</v>
      </c>
      <c r="NIL1337" s="4" t="s">
        <v>2881</v>
      </c>
      <c r="NIM1337" s="4" t="s">
        <v>2881</v>
      </c>
      <c r="NIN1337" s="4" t="s">
        <v>2881</v>
      </c>
      <c r="NIO1337" s="4" t="s">
        <v>2881</v>
      </c>
      <c r="NIP1337" s="4" t="s">
        <v>2881</v>
      </c>
      <c r="NIQ1337" s="4" t="s">
        <v>2881</v>
      </c>
      <c r="NIR1337" s="4" t="s">
        <v>2881</v>
      </c>
      <c r="NIS1337" s="4" t="s">
        <v>2881</v>
      </c>
      <c r="NIT1337" s="4" t="s">
        <v>2881</v>
      </c>
      <c r="NIU1337" s="4" t="s">
        <v>2881</v>
      </c>
      <c r="NIV1337" s="4" t="s">
        <v>2881</v>
      </c>
      <c r="NIW1337" s="4" t="s">
        <v>2881</v>
      </c>
      <c r="NIX1337" s="4" t="s">
        <v>2881</v>
      </c>
      <c r="NIY1337" s="4" t="s">
        <v>2881</v>
      </c>
      <c r="NIZ1337" s="4" t="s">
        <v>2881</v>
      </c>
      <c r="NJA1337" s="4" t="s">
        <v>2881</v>
      </c>
      <c r="NJB1337" s="4" t="s">
        <v>2881</v>
      </c>
      <c r="NJC1337" s="4" t="s">
        <v>2881</v>
      </c>
      <c r="NJD1337" s="4" t="s">
        <v>2881</v>
      </c>
      <c r="NJE1337" s="4" t="s">
        <v>2881</v>
      </c>
      <c r="NJF1337" s="4" t="s">
        <v>2881</v>
      </c>
      <c r="NJG1337" s="4" t="s">
        <v>2881</v>
      </c>
      <c r="NJH1337" s="4" t="s">
        <v>2881</v>
      </c>
      <c r="NJI1337" s="4" t="s">
        <v>2881</v>
      </c>
      <c r="NJJ1337" s="4" t="s">
        <v>2881</v>
      </c>
      <c r="NJK1337" s="4" t="s">
        <v>2881</v>
      </c>
      <c r="NJL1337" s="4" t="s">
        <v>2881</v>
      </c>
      <c r="NJM1337" s="4" t="s">
        <v>2881</v>
      </c>
      <c r="NJN1337" s="4" t="s">
        <v>2881</v>
      </c>
      <c r="NJO1337" s="4" t="s">
        <v>2881</v>
      </c>
      <c r="NJP1337" s="4" t="s">
        <v>2881</v>
      </c>
      <c r="NJQ1337" s="4" t="s">
        <v>2881</v>
      </c>
      <c r="NJR1337" s="4" t="s">
        <v>2881</v>
      </c>
      <c r="NJS1337" s="4" t="s">
        <v>2881</v>
      </c>
      <c r="NJT1337" s="4" t="s">
        <v>2881</v>
      </c>
      <c r="NJU1337" s="4" t="s">
        <v>2881</v>
      </c>
      <c r="NJV1337" s="4" t="s">
        <v>2881</v>
      </c>
      <c r="NJW1337" s="4" t="s">
        <v>2881</v>
      </c>
      <c r="NJX1337" s="4" t="s">
        <v>2881</v>
      </c>
      <c r="NJY1337" s="4" t="s">
        <v>2881</v>
      </c>
      <c r="NJZ1337" s="4" t="s">
        <v>2881</v>
      </c>
      <c r="NKA1337" s="4" t="s">
        <v>2881</v>
      </c>
      <c r="NKB1337" s="4" t="s">
        <v>2881</v>
      </c>
      <c r="NKC1337" s="4" t="s">
        <v>2881</v>
      </c>
      <c r="NKD1337" s="4" t="s">
        <v>2881</v>
      </c>
      <c r="NKE1337" s="4" t="s">
        <v>2881</v>
      </c>
      <c r="NKF1337" s="4" t="s">
        <v>2881</v>
      </c>
      <c r="NKG1337" s="4" t="s">
        <v>2881</v>
      </c>
      <c r="NKH1337" s="4" t="s">
        <v>2881</v>
      </c>
      <c r="NKI1337" s="4" t="s">
        <v>2881</v>
      </c>
      <c r="NKJ1337" s="4" t="s">
        <v>2881</v>
      </c>
      <c r="NKK1337" s="4" t="s">
        <v>2881</v>
      </c>
      <c r="NKL1337" s="4" t="s">
        <v>2881</v>
      </c>
      <c r="NKM1337" s="4" t="s">
        <v>2881</v>
      </c>
      <c r="NKN1337" s="4" t="s">
        <v>2881</v>
      </c>
      <c r="NKO1337" s="4" t="s">
        <v>2881</v>
      </c>
      <c r="NKP1337" s="4" t="s">
        <v>2881</v>
      </c>
      <c r="NKQ1337" s="4" t="s">
        <v>2881</v>
      </c>
      <c r="NKR1337" s="4" t="s">
        <v>2881</v>
      </c>
      <c r="NKS1337" s="4" t="s">
        <v>2881</v>
      </c>
      <c r="NKT1337" s="4" t="s">
        <v>2881</v>
      </c>
      <c r="NKU1337" s="4" t="s">
        <v>2881</v>
      </c>
      <c r="NKV1337" s="4" t="s">
        <v>2881</v>
      </c>
      <c r="NKW1337" s="4" t="s">
        <v>2881</v>
      </c>
      <c r="NKX1337" s="4" t="s">
        <v>2881</v>
      </c>
      <c r="NKY1337" s="4" t="s">
        <v>2881</v>
      </c>
      <c r="NKZ1337" s="4" t="s">
        <v>2881</v>
      </c>
      <c r="NLA1337" s="4" t="s">
        <v>2881</v>
      </c>
      <c r="NLB1337" s="4" t="s">
        <v>2881</v>
      </c>
      <c r="NLC1337" s="4" t="s">
        <v>2881</v>
      </c>
      <c r="NLD1337" s="4" t="s">
        <v>2881</v>
      </c>
      <c r="NLE1337" s="4" t="s">
        <v>2881</v>
      </c>
      <c r="NLF1337" s="4" t="s">
        <v>2881</v>
      </c>
      <c r="NLG1337" s="4" t="s">
        <v>2881</v>
      </c>
      <c r="NLH1337" s="4" t="s">
        <v>2881</v>
      </c>
      <c r="NLI1337" s="4" t="s">
        <v>2881</v>
      </c>
      <c r="NLJ1337" s="4" t="s">
        <v>2881</v>
      </c>
      <c r="NLK1337" s="4" t="s">
        <v>2881</v>
      </c>
      <c r="NLL1337" s="4" t="s">
        <v>2881</v>
      </c>
      <c r="NLM1337" s="4" t="s">
        <v>2881</v>
      </c>
      <c r="NLN1337" s="4" t="s">
        <v>2881</v>
      </c>
      <c r="NLO1337" s="4" t="s">
        <v>2881</v>
      </c>
      <c r="NLP1337" s="4" t="s">
        <v>2881</v>
      </c>
      <c r="NLQ1337" s="4" t="s">
        <v>2881</v>
      </c>
      <c r="NLR1337" s="4" t="s">
        <v>2881</v>
      </c>
      <c r="NLS1337" s="4" t="s">
        <v>2881</v>
      </c>
      <c r="NLT1337" s="4" t="s">
        <v>2881</v>
      </c>
      <c r="NLU1337" s="4" t="s">
        <v>2881</v>
      </c>
      <c r="NLV1337" s="4" t="s">
        <v>2881</v>
      </c>
      <c r="NLW1337" s="4" t="s">
        <v>2881</v>
      </c>
      <c r="NLX1337" s="4" t="s">
        <v>2881</v>
      </c>
      <c r="NLY1337" s="4" t="s">
        <v>2881</v>
      </c>
      <c r="NLZ1337" s="4" t="s">
        <v>2881</v>
      </c>
      <c r="NMA1337" s="4" t="s">
        <v>2881</v>
      </c>
      <c r="NMB1337" s="4" t="s">
        <v>2881</v>
      </c>
      <c r="NMC1337" s="4" t="s">
        <v>2881</v>
      </c>
      <c r="NMD1337" s="4" t="s">
        <v>2881</v>
      </c>
      <c r="NME1337" s="4" t="s">
        <v>2881</v>
      </c>
      <c r="NMF1337" s="4" t="s">
        <v>2881</v>
      </c>
      <c r="NMG1337" s="4" t="s">
        <v>2881</v>
      </c>
      <c r="NMH1337" s="4" t="s">
        <v>2881</v>
      </c>
      <c r="NMI1337" s="4" t="s">
        <v>2881</v>
      </c>
      <c r="NMJ1337" s="4" t="s">
        <v>2881</v>
      </c>
      <c r="NMK1337" s="4" t="s">
        <v>2881</v>
      </c>
      <c r="NML1337" s="4" t="s">
        <v>2881</v>
      </c>
      <c r="NMM1337" s="4" t="s">
        <v>2881</v>
      </c>
      <c r="NMN1337" s="4" t="s">
        <v>2881</v>
      </c>
      <c r="NMO1337" s="4" t="s">
        <v>2881</v>
      </c>
      <c r="NMP1337" s="4" t="s">
        <v>2881</v>
      </c>
      <c r="NMQ1337" s="4" t="s">
        <v>2881</v>
      </c>
      <c r="NMR1337" s="4" t="s">
        <v>2881</v>
      </c>
      <c r="NMS1337" s="4" t="s">
        <v>2881</v>
      </c>
      <c r="NMT1337" s="4" t="s">
        <v>2881</v>
      </c>
      <c r="NMU1337" s="4" t="s">
        <v>2881</v>
      </c>
      <c r="NMV1337" s="4" t="s">
        <v>2881</v>
      </c>
      <c r="NMW1337" s="4" t="s">
        <v>2881</v>
      </c>
      <c r="NMX1337" s="4" t="s">
        <v>2881</v>
      </c>
      <c r="NMY1337" s="4" t="s">
        <v>2881</v>
      </c>
      <c r="NMZ1337" s="4" t="s">
        <v>2881</v>
      </c>
      <c r="NNA1337" s="4" t="s">
        <v>2881</v>
      </c>
      <c r="NNB1337" s="4" t="s">
        <v>2881</v>
      </c>
      <c r="NNC1337" s="4" t="s">
        <v>2881</v>
      </c>
      <c r="NND1337" s="4" t="s">
        <v>2881</v>
      </c>
      <c r="NNE1337" s="4" t="s">
        <v>2881</v>
      </c>
      <c r="NNF1337" s="4" t="s">
        <v>2881</v>
      </c>
      <c r="NNG1337" s="4" t="s">
        <v>2881</v>
      </c>
      <c r="NNH1337" s="4" t="s">
        <v>2881</v>
      </c>
      <c r="NNI1337" s="4" t="s">
        <v>2881</v>
      </c>
      <c r="NNJ1337" s="4" t="s">
        <v>2881</v>
      </c>
      <c r="NNK1337" s="4" t="s">
        <v>2881</v>
      </c>
      <c r="NNL1337" s="4" t="s">
        <v>2881</v>
      </c>
      <c r="NNM1337" s="4" t="s">
        <v>2881</v>
      </c>
      <c r="NNN1337" s="4" t="s">
        <v>2881</v>
      </c>
      <c r="NNO1337" s="4" t="s">
        <v>2881</v>
      </c>
      <c r="NNP1337" s="4" t="s">
        <v>2881</v>
      </c>
      <c r="NNQ1337" s="4" t="s">
        <v>2881</v>
      </c>
      <c r="NNR1337" s="4" t="s">
        <v>2881</v>
      </c>
      <c r="NNS1337" s="4" t="s">
        <v>2881</v>
      </c>
      <c r="NNT1337" s="4" t="s">
        <v>2881</v>
      </c>
      <c r="NNU1337" s="4" t="s">
        <v>2881</v>
      </c>
      <c r="NNV1337" s="4" t="s">
        <v>2881</v>
      </c>
      <c r="NNW1337" s="4" t="s">
        <v>2881</v>
      </c>
      <c r="NNX1337" s="4" t="s">
        <v>2881</v>
      </c>
      <c r="NNY1337" s="4" t="s">
        <v>2881</v>
      </c>
      <c r="NNZ1337" s="4" t="s">
        <v>2881</v>
      </c>
      <c r="NOA1337" s="4" t="s">
        <v>2881</v>
      </c>
      <c r="NOB1337" s="4" t="s">
        <v>2881</v>
      </c>
      <c r="NOC1337" s="4" t="s">
        <v>2881</v>
      </c>
      <c r="NOD1337" s="4" t="s">
        <v>2881</v>
      </c>
      <c r="NOE1337" s="4" t="s">
        <v>2881</v>
      </c>
      <c r="NOF1337" s="4" t="s">
        <v>2881</v>
      </c>
      <c r="NOG1337" s="4" t="s">
        <v>2881</v>
      </c>
      <c r="NOH1337" s="4" t="s">
        <v>2881</v>
      </c>
      <c r="NOI1337" s="4" t="s">
        <v>2881</v>
      </c>
      <c r="NOJ1337" s="4" t="s">
        <v>2881</v>
      </c>
      <c r="NOK1337" s="4" t="s">
        <v>2881</v>
      </c>
      <c r="NOL1337" s="4" t="s">
        <v>2881</v>
      </c>
      <c r="NOM1337" s="4" t="s">
        <v>2881</v>
      </c>
      <c r="NON1337" s="4" t="s">
        <v>2881</v>
      </c>
      <c r="NOO1337" s="4" t="s">
        <v>2881</v>
      </c>
      <c r="NOP1337" s="4" t="s">
        <v>2881</v>
      </c>
      <c r="NOQ1337" s="4" t="s">
        <v>2881</v>
      </c>
      <c r="NOR1337" s="4" t="s">
        <v>2881</v>
      </c>
      <c r="NOS1337" s="4" t="s">
        <v>2881</v>
      </c>
      <c r="NOT1337" s="4" t="s">
        <v>2881</v>
      </c>
      <c r="NOU1337" s="4" t="s">
        <v>2881</v>
      </c>
      <c r="NOV1337" s="4" t="s">
        <v>2881</v>
      </c>
      <c r="NOW1337" s="4" t="s">
        <v>2881</v>
      </c>
      <c r="NOX1337" s="4" t="s">
        <v>2881</v>
      </c>
      <c r="NOY1337" s="4" t="s">
        <v>2881</v>
      </c>
      <c r="NOZ1337" s="4" t="s">
        <v>2881</v>
      </c>
      <c r="NPA1337" s="4" t="s">
        <v>2881</v>
      </c>
      <c r="NPB1337" s="4" t="s">
        <v>2881</v>
      </c>
      <c r="NPC1337" s="4" t="s">
        <v>2881</v>
      </c>
      <c r="NPD1337" s="4" t="s">
        <v>2881</v>
      </c>
      <c r="NPE1337" s="4" t="s">
        <v>2881</v>
      </c>
      <c r="NPF1337" s="4" t="s">
        <v>2881</v>
      </c>
      <c r="NPG1337" s="4" t="s">
        <v>2881</v>
      </c>
      <c r="NPH1337" s="4" t="s">
        <v>2881</v>
      </c>
      <c r="NPI1337" s="4" t="s">
        <v>2881</v>
      </c>
      <c r="NPJ1337" s="4" t="s">
        <v>2881</v>
      </c>
      <c r="NPK1337" s="4" t="s">
        <v>2881</v>
      </c>
      <c r="NPL1337" s="4" t="s">
        <v>2881</v>
      </c>
      <c r="NPM1337" s="4" t="s">
        <v>2881</v>
      </c>
      <c r="NPN1337" s="4" t="s">
        <v>2881</v>
      </c>
      <c r="NPO1337" s="4" t="s">
        <v>2881</v>
      </c>
      <c r="NPP1337" s="4" t="s">
        <v>2881</v>
      </c>
      <c r="NPQ1337" s="4" t="s">
        <v>2881</v>
      </c>
      <c r="NPR1337" s="4" t="s">
        <v>2881</v>
      </c>
      <c r="NPS1337" s="4" t="s">
        <v>2881</v>
      </c>
      <c r="NPT1337" s="4" t="s">
        <v>2881</v>
      </c>
      <c r="NPU1337" s="4" t="s">
        <v>2881</v>
      </c>
      <c r="NPV1337" s="4" t="s">
        <v>2881</v>
      </c>
      <c r="NPW1337" s="4" t="s">
        <v>2881</v>
      </c>
      <c r="NPX1337" s="4" t="s">
        <v>2881</v>
      </c>
      <c r="NPY1337" s="4" t="s">
        <v>2881</v>
      </c>
      <c r="NPZ1337" s="4" t="s">
        <v>2881</v>
      </c>
      <c r="NQA1337" s="4" t="s">
        <v>2881</v>
      </c>
      <c r="NQB1337" s="4" t="s">
        <v>2881</v>
      </c>
      <c r="NQC1337" s="4" t="s">
        <v>2881</v>
      </c>
      <c r="NQD1337" s="4" t="s">
        <v>2881</v>
      </c>
      <c r="NQE1337" s="4" t="s">
        <v>2881</v>
      </c>
      <c r="NQF1337" s="4" t="s">
        <v>2881</v>
      </c>
      <c r="NQG1337" s="4" t="s">
        <v>2881</v>
      </c>
      <c r="NQH1337" s="4" t="s">
        <v>2881</v>
      </c>
      <c r="NQI1337" s="4" t="s">
        <v>2881</v>
      </c>
      <c r="NQJ1337" s="4" t="s">
        <v>2881</v>
      </c>
      <c r="NQK1337" s="4" t="s">
        <v>2881</v>
      </c>
      <c r="NQL1337" s="4" t="s">
        <v>2881</v>
      </c>
      <c r="NQM1337" s="4" t="s">
        <v>2881</v>
      </c>
      <c r="NQN1337" s="4" t="s">
        <v>2881</v>
      </c>
      <c r="NQO1337" s="4" t="s">
        <v>2881</v>
      </c>
      <c r="NQP1337" s="4" t="s">
        <v>2881</v>
      </c>
      <c r="NQQ1337" s="4" t="s">
        <v>2881</v>
      </c>
      <c r="NQR1337" s="4" t="s">
        <v>2881</v>
      </c>
      <c r="NQS1337" s="4" t="s">
        <v>2881</v>
      </c>
      <c r="NQT1337" s="4" t="s">
        <v>2881</v>
      </c>
      <c r="NQU1337" s="4" t="s">
        <v>2881</v>
      </c>
      <c r="NQV1337" s="4" t="s">
        <v>2881</v>
      </c>
      <c r="NQW1337" s="4" t="s">
        <v>2881</v>
      </c>
      <c r="NQX1337" s="4" t="s">
        <v>2881</v>
      </c>
      <c r="NQY1337" s="4" t="s">
        <v>2881</v>
      </c>
      <c r="NQZ1337" s="4" t="s">
        <v>2881</v>
      </c>
      <c r="NRA1337" s="4" t="s">
        <v>2881</v>
      </c>
      <c r="NRB1337" s="4" t="s">
        <v>2881</v>
      </c>
      <c r="NRC1337" s="4" t="s">
        <v>2881</v>
      </c>
      <c r="NRD1337" s="4" t="s">
        <v>2881</v>
      </c>
      <c r="NRE1337" s="4" t="s">
        <v>2881</v>
      </c>
      <c r="NRF1337" s="4" t="s">
        <v>2881</v>
      </c>
      <c r="NRG1337" s="4" t="s">
        <v>2881</v>
      </c>
      <c r="NRH1337" s="4" t="s">
        <v>2881</v>
      </c>
      <c r="NRI1337" s="4" t="s">
        <v>2881</v>
      </c>
      <c r="NRJ1337" s="4" t="s">
        <v>2881</v>
      </c>
      <c r="NRK1337" s="4" t="s">
        <v>2881</v>
      </c>
      <c r="NRL1337" s="4" t="s">
        <v>2881</v>
      </c>
      <c r="NRM1337" s="4" t="s">
        <v>2881</v>
      </c>
      <c r="NRN1337" s="4" t="s">
        <v>2881</v>
      </c>
      <c r="NRO1337" s="4" t="s">
        <v>2881</v>
      </c>
      <c r="NRP1337" s="4" t="s">
        <v>2881</v>
      </c>
      <c r="NRQ1337" s="4" t="s">
        <v>2881</v>
      </c>
      <c r="NRR1337" s="4" t="s">
        <v>2881</v>
      </c>
      <c r="NRS1337" s="4" t="s">
        <v>2881</v>
      </c>
      <c r="NRT1337" s="4" t="s">
        <v>2881</v>
      </c>
      <c r="NRU1337" s="4" t="s">
        <v>2881</v>
      </c>
      <c r="NRV1337" s="4" t="s">
        <v>2881</v>
      </c>
      <c r="NRW1337" s="4" t="s">
        <v>2881</v>
      </c>
      <c r="NRX1337" s="4" t="s">
        <v>2881</v>
      </c>
      <c r="NRY1337" s="4" t="s">
        <v>2881</v>
      </c>
      <c r="NRZ1337" s="4" t="s">
        <v>2881</v>
      </c>
      <c r="NSA1337" s="4" t="s">
        <v>2881</v>
      </c>
      <c r="NSB1337" s="4" t="s">
        <v>2881</v>
      </c>
      <c r="NSC1337" s="4" t="s">
        <v>2881</v>
      </c>
      <c r="NSD1337" s="4" t="s">
        <v>2881</v>
      </c>
      <c r="NSE1337" s="4" t="s">
        <v>2881</v>
      </c>
      <c r="NSF1337" s="4" t="s">
        <v>2881</v>
      </c>
      <c r="NSG1337" s="4" t="s">
        <v>2881</v>
      </c>
      <c r="NSH1337" s="4" t="s">
        <v>2881</v>
      </c>
      <c r="NSI1337" s="4" t="s">
        <v>2881</v>
      </c>
      <c r="NSJ1337" s="4" t="s">
        <v>2881</v>
      </c>
      <c r="NSK1337" s="4" t="s">
        <v>2881</v>
      </c>
      <c r="NSL1337" s="4" t="s">
        <v>2881</v>
      </c>
      <c r="NSM1337" s="4" t="s">
        <v>2881</v>
      </c>
      <c r="NSN1337" s="4" t="s">
        <v>2881</v>
      </c>
      <c r="NSO1337" s="4" t="s">
        <v>2881</v>
      </c>
      <c r="NSP1337" s="4" t="s">
        <v>2881</v>
      </c>
      <c r="NSQ1337" s="4" t="s">
        <v>2881</v>
      </c>
      <c r="NSR1337" s="4" t="s">
        <v>2881</v>
      </c>
      <c r="NSS1337" s="4" t="s">
        <v>2881</v>
      </c>
      <c r="NST1337" s="4" t="s">
        <v>2881</v>
      </c>
      <c r="NSU1337" s="4" t="s">
        <v>2881</v>
      </c>
      <c r="NSV1337" s="4" t="s">
        <v>2881</v>
      </c>
      <c r="NSW1337" s="4" t="s">
        <v>2881</v>
      </c>
      <c r="NSX1337" s="4" t="s">
        <v>2881</v>
      </c>
      <c r="NSY1337" s="4" t="s">
        <v>2881</v>
      </c>
      <c r="NSZ1337" s="4" t="s">
        <v>2881</v>
      </c>
      <c r="NTA1337" s="4" t="s">
        <v>2881</v>
      </c>
      <c r="NTB1337" s="4" t="s">
        <v>2881</v>
      </c>
      <c r="NTC1337" s="4" t="s">
        <v>2881</v>
      </c>
      <c r="NTD1337" s="4" t="s">
        <v>2881</v>
      </c>
      <c r="NTE1337" s="4" t="s">
        <v>2881</v>
      </c>
      <c r="NTF1337" s="4" t="s">
        <v>2881</v>
      </c>
      <c r="NTG1337" s="4" t="s">
        <v>2881</v>
      </c>
      <c r="NTH1337" s="4" t="s">
        <v>2881</v>
      </c>
      <c r="NTI1337" s="4" t="s">
        <v>2881</v>
      </c>
      <c r="NTJ1337" s="4" t="s">
        <v>2881</v>
      </c>
      <c r="NTK1337" s="4" t="s">
        <v>2881</v>
      </c>
      <c r="NTL1337" s="4" t="s">
        <v>2881</v>
      </c>
      <c r="NTM1337" s="4" t="s">
        <v>2881</v>
      </c>
      <c r="NTN1337" s="4" t="s">
        <v>2881</v>
      </c>
      <c r="NTO1337" s="4" t="s">
        <v>2881</v>
      </c>
      <c r="NTP1337" s="4" t="s">
        <v>2881</v>
      </c>
      <c r="NTQ1337" s="4" t="s">
        <v>2881</v>
      </c>
      <c r="NTR1337" s="4" t="s">
        <v>2881</v>
      </c>
      <c r="NTS1337" s="4" t="s">
        <v>2881</v>
      </c>
      <c r="NTT1337" s="4" t="s">
        <v>2881</v>
      </c>
      <c r="NTU1337" s="4" t="s">
        <v>2881</v>
      </c>
      <c r="NTV1337" s="4" t="s">
        <v>2881</v>
      </c>
      <c r="NTW1337" s="4" t="s">
        <v>2881</v>
      </c>
      <c r="NTX1337" s="4" t="s">
        <v>2881</v>
      </c>
      <c r="NTY1337" s="4" t="s">
        <v>2881</v>
      </c>
      <c r="NTZ1337" s="4" t="s">
        <v>2881</v>
      </c>
      <c r="NUA1337" s="4" t="s">
        <v>2881</v>
      </c>
      <c r="NUB1337" s="4" t="s">
        <v>2881</v>
      </c>
      <c r="NUC1337" s="4" t="s">
        <v>2881</v>
      </c>
      <c r="NUD1337" s="4" t="s">
        <v>2881</v>
      </c>
      <c r="NUE1337" s="4" t="s">
        <v>2881</v>
      </c>
      <c r="NUF1337" s="4" t="s">
        <v>2881</v>
      </c>
      <c r="NUG1337" s="4" t="s">
        <v>2881</v>
      </c>
      <c r="NUH1337" s="4" t="s">
        <v>2881</v>
      </c>
      <c r="NUI1337" s="4" t="s">
        <v>2881</v>
      </c>
      <c r="NUJ1337" s="4" t="s">
        <v>2881</v>
      </c>
      <c r="NUK1337" s="4" t="s">
        <v>2881</v>
      </c>
      <c r="NUL1337" s="4" t="s">
        <v>2881</v>
      </c>
      <c r="NUM1337" s="4" t="s">
        <v>2881</v>
      </c>
      <c r="NUN1337" s="4" t="s">
        <v>2881</v>
      </c>
      <c r="NUO1337" s="4" t="s">
        <v>2881</v>
      </c>
      <c r="NUP1337" s="4" t="s">
        <v>2881</v>
      </c>
      <c r="NUQ1337" s="4" t="s">
        <v>2881</v>
      </c>
      <c r="NUR1337" s="4" t="s">
        <v>2881</v>
      </c>
      <c r="NUS1337" s="4" t="s">
        <v>2881</v>
      </c>
      <c r="NUT1337" s="4" t="s">
        <v>2881</v>
      </c>
      <c r="NUU1337" s="4" t="s">
        <v>2881</v>
      </c>
      <c r="NUV1337" s="4" t="s">
        <v>2881</v>
      </c>
      <c r="NUW1337" s="4" t="s">
        <v>2881</v>
      </c>
      <c r="NUX1337" s="4" t="s">
        <v>2881</v>
      </c>
      <c r="NUY1337" s="4" t="s">
        <v>2881</v>
      </c>
      <c r="NUZ1337" s="4" t="s">
        <v>2881</v>
      </c>
      <c r="NVA1337" s="4" t="s">
        <v>2881</v>
      </c>
      <c r="NVB1337" s="4" t="s">
        <v>2881</v>
      </c>
      <c r="NVC1337" s="4" t="s">
        <v>2881</v>
      </c>
      <c r="NVD1337" s="4" t="s">
        <v>2881</v>
      </c>
      <c r="NVE1337" s="4" t="s">
        <v>2881</v>
      </c>
      <c r="NVF1337" s="4" t="s">
        <v>2881</v>
      </c>
      <c r="NVG1337" s="4" t="s">
        <v>2881</v>
      </c>
      <c r="NVH1337" s="4" t="s">
        <v>2881</v>
      </c>
      <c r="NVI1337" s="4" t="s">
        <v>2881</v>
      </c>
      <c r="NVJ1337" s="4" t="s">
        <v>2881</v>
      </c>
      <c r="NVK1337" s="4" t="s">
        <v>2881</v>
      </c>
      <c r="NVL1337" s="4" t="s">
        <v>2881</v>
      </c>
      <c r="NVM1337" s="4" t="s">
        <v>2881</v>
      </c>
      <c r="NVN1337" s="4" t="s">
        <v>2881</v>
      </c>
      <c r="NVO1337" s="4" t="s">
        <v>2881</v>
      </c>
      <c r="NVP1337" s="4" t="s">
        <v>2881</v>
      </c>
      <c r="NVQ1337" s="4" t="s">
        <v>2881</v>
      </c>
      <c r="NVR1337" s="4" t="s">
        <v>2881</v>
      </c>
      <c r="NVS1337" s="4" t="s">
        <v>2881</v>
      </c>
      <c r="NVT1337" s="4" t="s">
        <v>2881</v>
      </c>
      <c r="NVU1337" s="4" t="s">
        <v>2881</v>
      </c>
      <c r="NVV1337" s="4" t="s">
        <v>2881</v>
      </c>
      <c r="NVW1337" s="4" t="s">
        <v>2881</v>
      </c>
      <c r="NVX1337" s="4" t="s">
        <v>2881</v>
      </c>
      <c r="NVY1337" s="4" t="s">
        <v>2881</v>
      </c>
      <c r="NVZ1337" s="4" t="s">
        <v>2881</v>
      </c>
      <c r="NWA1337" s="4" t="s">
        <v>2881</v>
      </c>
      <c r="NWB1337" s="4" t="s">
        <v>2881</v>
      </c>
      <c r="NWC1337" s="4" t="s">
        <v>2881</v>
      </c>
      <c r="NWD1337" s="4" t="s">
        <v>2881</v>
      </c>
      <c r="NWE1337" s="4" t="s">
        <v>2881</v>
      </c>
      <c r="NWF1337" s="4" t="s">
        <v>2881</v>
      </c>
      <c r="NWG1337" s="4" t="s">
        <v>2881</v>
      </c>
      <c r="NWH1337" s="4" t="s">
        <v>2881</v>
      </c>
      <c r="NWI1337" s="4" t="s">
        <v>2881</v>
      </c>
      <c r="NWJ1337" s="4" t="s">
        <v>2881</v>
      </c>
      <c r="NWK1337" s="4" t="s">
        <v>2881</v>
      </c>
      <c r="NWL1337" s="4" t="s">
        <v>2881</v>
      </c>
      <c r="NWM1337" s="4" t="s">
        <v>2881</v>
      </c>
      <c r="NWN1337" s="4" t="s">
        <v>2881</v>
      </c>
      <c r="NWO1337" s="4" t="s">
        <v>2881</v>
      </c>
      <c r="NWP1337" s="4" t="s">
        <v>2881</v>
      </c>
      <c r="NWQ1337" s="4" t="s">
        <v>2881</v>
      </c>
      <c r="NWR1337" s="4" t="s">
        <v>2881</v>
      </c>
      <c r="NWS1337" s="4" t="s">
        <v>2881</v>
      </c>
      <c r="NWT1337" s="4" t="s">
        <v>2881</v>
      </c>
      <c r="NWU1337" s="4" t="s">
        <v>2881</v>
      </c>
      <c r="NWV1337" s="4" t="s">
        <v>2881</v>
      </c>
      <c r="NWW1337" s="4" t="s">
        <v>2881</v>
      </c>
      <c r="NWX1337" s="4" t="s">
        <v>2881</v>
      </c>
      <c r="NWY1337" s="4" t="s">
        <v>2881</v>
      </c>
      <c r="NWZ1337" s="4" t="s">
        <v>2881</v>
      </c>
      <c r="NXA1337" s="4" t="s">
        <v>2881</v>
      </c>
      <c r="NXB1337" s="4" t="s">
        <v>2881</v>
      </c>
      <c r="NXC1337" s="4" t="s">
        <v>2881</v>
      </c>
      <c r="NXD1337" s="4" t="s">
        <v>2881</v>
      </c>
      <c r="NXE1337" s="4" t="s">
        <v>2881</v>
      </c>
      <c r="NXF1337" s="4" t="s">
        <v>2881</v>
      </c>
      <c r="NXG1337" s="4" t="s">
        <v>2881</v>
      </c>
      <c r="NXH1337" s="4" t="s">
        <v>2881</v>
      </c>
      <c r="NXI1337" s="4" t="s">
        <v>2881</v>
      </c>
      <c r="NXJ1337" s="4" t="s">
        <v>2881</v>
      </c>
      <c r="NXK1337" s="4" t="s">
        <v>2881</v>
      </c>
      <c r="NXL1337" s="4" t="s">
        <v>2881</v>
      </c>
      <c r="NXM1337" s="4" t="s">
        <v>2881</v>
      </c>
      <c r="NXN1337" s="4" t="s">
        <v>2881</v>
      </c>
      <c r="NXO1337" s="4" t="s">
        <v>2881</v>
      </c>
      <c r="NXP1337" s="4" t="s">
        <v>2881</v>
      </c>
      <c r="NXQ1337" s="4" t="s">
        <v>2881</v>
      </c>
      <c r="NXR1337" s="4" t="s">
        <v>2881</v>
      </c>
      <c r="NXS1337" s="4" t="s">
        <v>2881</v>
      </c>
      <c r="NXT1337" s="4" t="s">
        <v>2881</v>
      </c>
      <c r="NXU1337" s="4" t="s">
        <v>2881</v>
      </c>
      <c r="NXV1337" s="4" t="s">
        <v>2881</v>
      </c>
      <c r="NXW1337" s="4" t="s">
        <v>2881</v>
      </c>
      <c r="NXX1337" s="4" t="s">
        <v>2881</v>
      </c>
      <c r="NXY1337" s="4" t="s">
        <v>2881</v>
      </c>
      <c r="NXZ1337" s="4" t="s">
        <v>2881</v>
      </c>
      <c r="NYA1337" s="4" t="s">
        <v>2881</v>
      </c>
      <c r="NYB1337" s="4" t="s">
        <v>2881</v>
      </c>
      <c r="NYC1337" s="4" t="s">
        <v>2881</v>
      </c>
      <c r="NYD1337" s="4" t="s">
        <v>2881</v>
      </c>
      <c r="NYE1337" s="4" t="s">
        <v>2881</v>
      </c>
      <c r="NYF1337" s="4" t="s">
        <v>2881</v>
      </c>
      <c r="NYG1337" s="4" t="s">
        <v>2881</v>
      </c>
      <c r="NYH1337" s="4" t="s">
        <v>2881</v>
      </c>
      <c r="NYI1337" s="4" t="s">
        <v>2881</v>
      </c>
      <c r="NYJ1337" s="4" t="s">
        <v>2881</v>
      </c>
      <c r="NYK1337" s="4" t="s">
        <v>2881</v>
      </c>
      <c r="NYL1337" s="4" t="s">
        <v>2881</v>
      </c>
      <c r="NYM1337" s="4" t="s">
        <v>2881</v>
      </c>
      <c r="NYN1337" s="4" t="s">
        <v>2881</v>
      </c>
      <c r="NYO1337" s="4" t="s">
        <v>2881</v>
      </c>
      <c r="NYP1337" s="4" t="s">
        <v>2881</v>
      </c>
      <c r="NYQ1337" s="4" t="s">
        <v>2881</v>
      </c>
      <c r="NYR1337" s="4" t="s">
        <v>2881</v>
      </c>
      <c r="NYS1337" s="4" t="s">
        <v>2881</v>
      </c>
      <c r="NYT1337" s="4" t="s">
        <v>2881</v>
      </c>
      <c r="NYU1337" s="4" t="s">
        <v>2881</v>
      </c>
      <c r="NYV1337" s="4" t="s">
        <v>2881</v>
      </c>
      <c r="NYW1337" s="4" t="s">
        <v>2881</v>
      </c>
      <c r="NYX1337" s="4" t="s">
        <v>2881</v>
      </c>
      <c r="NYY1337" s="4" t="s">
        <v>2881</v>
      </c>
      <c r="NYZ1337" s="4" t="s">
        <v>2881</v>
      </c>
      <c r="NZA1337" s="4" t="s">
        <v>2881</v>
      </c>
      <c r="NZB1337" s="4" t="s">
        <v>2881</v>
      </c>
      <c r="NZC1337" s="4" t="s">
        <v>2881</v>
      </c>
      <c r="NZD1337" s="4" t="s">
        <v>2881</v>
      </c>
      <c r="NZE1337" s="4" t="s">
        <v>2881</v>
      </c>
      <c r="NZF1337" s="4" t="s">
        <v>2881</v>
      </c>
      <c r="NZG1337" s="4" t="s">
        <v>2881</v>
      </c>
      <c r="NZH1337" s="4" t="s">
        <v>2881</v>
      </c>
      <c r="NZI1337" s="4" t="s">
        <v>2881</v>
      </c>
      <c r="NZJ1337" s="4" t="s">
        <v>2881</v>
      </c>
      <c r="NZK1337" s="4" t="s">
        <v>2881</v>
      </c>
      <c r="NZL1337" s="4" t="s">
        <v>2881</v>
      </c>
      <c r="NZM1337" s="4" t="s">
        <v>2881</v>
      </c>
      <c r="NZN1337" s="4" t="s">
        <v>2881</v>
      </c>
      <c r="NZO1337" s="4" t="s">
        <v>2881</v>
      </c>
      <c r="NZP1337" s="4" t="s">
        <v>2881</v>
      </c>
      <c r="NZQ1337" s="4" t="s">
        <v>2881</v>
      </c>
      <c r="NZR1337" s="4" t="s">
        <v>2881</v>
      </c>
      <c r="NZS1337" s="4" t="s">
        <v>2881</v>
      </c>
      <c r="NZT1337" s="4" t="s">
        <v>2881</v>
      </c>
      <c r="NZU1337" s="4" t="s">
        <v>2881</v>
      </c>
      <c r="NZV1337" s="4" t="s">
        <v>2881</v>
      </c>
      <c r="NZW1337" s="4" t="s">
        <v>2881</v>
      </c>
      <c r="NZX1337" s="4" t="s">
        <v>2881</v>
      </c>
      <c r="NZY1337" s="4" t="s">
        <v>2881</v>
      </c>
      <c r="NZZ1337" s="4" t="s">
        <v>2881</v>
      </c>
      <c r="OAA1337" s="4" t="s">
        <v>2881</v>
      </c>
      <c r="OAB1337" s="4" t="s">
        <v>2881</v>
      </c>
      <c r="OAC1337" s="4" t="s">
        <v>2881</v>
      </c>
      <c r="OAD1337" s="4" t="s">
        <v>2881</v>
      </c>
      <c r="OAE1337" s="4" t="s">
        <v>2881</v>
      </c>
      <c r="OAF1337" s="4" t="s">
        <v>2881</v>
      </c>
      <c r="OAG1337" s="4" t="s">
        <v>2881</v>
      </c>
      <c r="OAH1337" s="4" t="s">
        <v>2881</v>
      </c>
      <c r="OAI1337" s="4" t="s">
        <v>2881</v>
      </c>
      <c r="OAJ1337" s="4" t="s">
        <v>2881</v>
      </c>
      <c r="OAK1337" s="4" t="s">
        <v>2881</v>
      </c>
      <c r="OAL1337" s="4" t="s">
        <v>2881</v>
      </c>
      <c r="OAM1337" s="4" t="s">
        <v>2881</v>
      </c>
      <c r="OAN1337" s="4" t="s">
        <v>2881</v>
      </c>
      <c r="OAO1337" s="4" t="s">
        <v>2881</v>
      </c>
      <c r="OAP1337" s="4" t="s">
        <v>2881</v>
      </c>
      <c r="OAQ1337" s="4" t="s">
        <v>2881</v>
      </c>
      <c r="OAR1337" s="4" t="s">
        <v>2881</v>
      </c>
      <c r="OAS1337" s="4" t="s">
        <v>2881</v>
      </c>
      <c r="OAT1337" s="4" t="s">
        <v>2881</v>
      </c>
      <c r="OAU1337" s="4" t="s">
        <v>2881</v>
      </c>
      <c r="OAV1337" s="4" t="s">
        <v>2881</v>
      </c>
      <c r="OAW1337" s="4" t="s">
        <v>2881</v>
      </c>
      <c r="OAX1337" s="4" t="s">
        <v>2881</v>
      </c>
      <c r="OAY1337" s="4" t="s">
        <v>2881</v>
      </c>
      <c r="OAZ1337" s="4" t="s">
        <v>2881</v>
      </c>
      <c r="OBA1337" s="4" t="s">
        <v>2881</v>
      </c>
      <c r="OBB1337" s="4" t="s">
        <v>2881</v>
      </c>
      <c r="OBC1337" s="4" t="s">
        <v>2881</v>
      </c>
      <c r="OBD1337" s="4" t="s">
        <v>2881</v>
      </c>
      <c r="OBE1337" s="4" t="s">
        <v>2881</v>
      </c>
      <c r="OBF1337" s="4" t="s">
        <v>2881</v>
      </c>
      <c r="OBG1337" s="4" t="s">
        <v>2881</v>
      </c>
      <c r="OBH1337" s="4" t="s">
        <v>2881</v>
      </c>
      <c r="OBI1337" s="4" t="s">
        <v>2881</v>
      </c>
      <c r="OBJ1337" s="4" t="s">
        <v>2881</v>
      </c>
      <c r="OBK1337" s="4" t="s">
        <v>2881</v>
      </c>
      <c r="OBL1337" s="4" t="s">
        <v>2881</v>
      </c>
      <c r="OBM1337" s="4" t="s">
        <v>2881</v>
      </c>
      <c r="OBN1337" s="4" t="s">
        <v>2881</v>
      </c>
      <c r="OBO1337" s="4" t="s">
        <v>2881</v>
      </c>
      <c r="OBP1337" s="4" t="s">
        <v>2881</v>
      </c>
      <c r="OBQ1337" s="4" t="s">
        <v>2881</v>
      </c>
      <c r="OBR1337" s="4" t="s">
        <v>2881</v>
      </c>
      <c r="OBS1337" s="4" t="s">
        <v>2881</v>
      </c>
      <c r="OBT1337" s="4" t="s">
        <v>2881</v>
      </c>
      <c r="OBU1337" s="4" t="s">
        <v>2881</v>
      </c>
      <c r="OBV1337" s="4" t="s">
        <v>2881</v>
      </c>
      <c r="OBW1337" s="4" t="s">
        <v>2881</v>
      </c>
      <c r="OBX1337" s="4" t="s">
        <v>2881</v>
      </c>
      <c r="OBY1337" s="4" t="s">
        <v>2881</v>
      </c>
      <c r="OBZ1337" s="4" t="s">
        <v>2881</v>
      </c>
      <c r="OCA1337" s="4" t="s">
        <v>2881</v>
      </c>
      <c r="OCB1337" s="4" t="s">
        <v>2881</v>
      </c>
      <c r="OCC1337" s="4" t="s">
        <v>2881</v>
      </c>
      <c r="OCD1337" s="4" t="s">
        <v>2881</v>
      </c>
      <c r="OCE1337" s="4" t="s">
        <v>2881</v>
      </c>
      <c r="OCF1337" s="4" t="s">
        <v>2881</v>
      </c>
      <c r="OCG1337" s="4" t="s">
        <v>2881</v>
      </c>
      <c r="OCH1337" s="4" t="s">
        <v>2881</v>
      </c>
      <c r="OCI1337" s="4" t="s">
        <v>2881</v>
      </c>
      <c r="OCJ1337" s="4" t="s">
        <v>2881</v>
      </c>
      <c r="OCK1337" s="4" t="s">
        <v>2881</v>
      </c>
      <c r="OCL1337" s="4" t="s">
        <v>2881</v>
      </c>
      <c r="OCM1337" s="4" t="s">
        <v>2881</v>
      </c>
      <c r="OCN1337" s="4" t="s">
        <v>2881</v>
      </c>
      <c r="OCO1337" s="4" t="s">
        <v>2881</v>
      </c>
      <c r="OCP1337" s="4" t="s">
        <v>2881</v>
      </c>
      <c r="OCQ1337" s="4" t="s">
        <v>2881</v>
      </c>
      <c r="OCR1337" s="4" t="s">
        <v>2881</v>
      </c>
      <c r="OCS1337" s="4" t="s">
        <v>2881</v>
      </c>
      <c r="OCT1337" s="4" t="s">
        <v>2881</v>
      </c>
      <c r="OCU1337" s="4" t="s">
        <v>2881</v>
      </c>
      <c r="OCV1337" s="4" t="s">
        <v>2881</v>
      </c>
      <c r="OCW1337" s="4" t="s">
        <v>2881</v>
      </c>
      <c r="OCX1337" s="4" t="s">
        <v>2881</v>
      </c>
      <c r="OCY1337" s="4" t="s">
        <v>2881</v>
      </c>
      <c r="OCZ1337" s="4" t="s">
        <v>2881</v>
      </c>
      <c r="ODA1337" s="4" t="s">
        <v>2881</v>
      </c>
      <c r="ODB1337" s="4" t="s">
        <v>2881</v>
      </c>
      <c r="ODC1337" s="4" t="s">
        <v>2881</v>
      </c>
      <c r="ODD1337" s="4" t="s">
        <v>2881</v>
      </c>
      <c r="ODE1337" s="4" t="s">
        <v>2881</v>
      </c>
      <c r="ODF1337" s="4" t="s">
        <v>2881</v>
      </c>
      <c r="ODG1337" s="4" t="s">
        <v>2881</v>
      </c>
      <c r="ODH1337" s="4" t="s">
        <v>2881</v>
      </c>
      <c r="ODI1337" s="4" t="s">
        <v>2881</v>
      </c>
      <c r="ODJ1337" s="4" t="s">
        <v>2881</v>
      </c>
      <c r="ODK1337" s="4" t="s">
        <v>2881</v>
      </c>
      <c r="ODL1337" s="4" t="s">
        <v>2881</v>
      </c>
      <c r="ODM1337" s="4" t="s">
        <v>2881</v>
      </c>
      <c r="ODN1337" s="4" t="s">
        <v>2881</v>
      </c>
      <c r="ODO1337" s="4" t="s">
        <v>2881</v>
      </c>
      <c r="ODP1337" s="4" t="s">
        <v>2881</v>
      </c>
      <c r="ODQ1337" s="4" t="s">
        <v>2881</v>
      </c>
      <c r="ODR1337" s="4" t="s">
        <v>2881</v>
      </c>
      <c r="ODS1337" s="4" t="s">
        <v>2881</v>
      </c>
      <c r="ODT1337" s="4" t="s">
        <v>2881</v>
      </c>
      <c r="ODU1337" s="4" t="s">
        <v>2881</v>
      </c>
      <c r="ODV1337" s="4" t="s">
        <v>2881</v>
      </c>
      <c r="ODW1337" s="4" t="s">
        <v>2881</v>
      </c>
      <c r="ODX1337" s="4" t="s">
        <v>2881</v>
      </c>
      <c r="ODY1337" s="4" t="s">
        <v>2881</v>
      </c>
      <c r="ODZ1337" s="4" t="s">
        <v>2881</v>
      </c>
      <c r="OEA1337" s="4" t="s">
        <v>2881</v>
      </c>
      <c r="OEB1337" s="4" t="s">
        <v>2881</v>
      </c>
      <c r="OEC1337" s="4" t="s">
        <v>2881</v>
      </c>
      <c r="OED1337" s="4" t="s">
        <v>2881</v>
      </c>
      <c r="OEE1337" s="4" t="s">
        <v>2881</v>
      </c>
      <c r="OEF1337" s="4" t="s">
        <v>2881</v>
      </c>
      <c r="OEG1337" s="4" t="s">
        <v>2881</v>
      </c>
      <c r="OEH1337" s="4" t="s">
        <v>2881</v>
      </c>
      <c r="OEI1337" s="4" t="s">
        <v>2881</v>
      </c>
      <c r="OEJ1337" s="4" t="s">
        <v>2881</v>
      </c>
      <c r="OEK1337" s="4" t="s">
        <v>2881</v>
      </c>
      <c r="OEL1337" s="4" t="s">
        <v>2881</v>
      </c>
      <c r="OEM1337" s="4" t="s">
        <v>2881</v>
      </c>
      <c r="OEN1337" s="4" t="s">
        <v>2881</v>
      </c>
      <c r="OEO1337" s="4" t="s">
        <v>2881</v>
      </c>
      <c r="OEP1337" s="4" t="s">
        <v>2881</v>
      </c>
      <c r="OEQ1337" s="4" t="s">
        <v>2881</v>
      </c>
      <c r="OER1337" s="4" t="s">
        <v>2881</v>
      </c>
      <c r="OES1337" s="4" t="s">
        <v>2881</v>
      </c>
      <c r="OET1337" s="4" t="s">
        <v>2881</v>
      </c>
      <c r="OEU1337" s="4" t="s">
        <v>2881</v>
      </c>
      <c r="OEV1337" s="4" t="s">
        <v>2881</v>
      </c>
      <c r="OEW1337" s="4" t="s">
        <v>2881</v>
      </c>
      <c r="OEX1337" s="4" t="s">
        <v>2881</v>
      </c>
      <c r="OEY1337" s="4" t="s">
        <v>2881</v>
      </c>
      <c r="OEZ1337" s="4" t="s">
        <v>2881</v>
      </c>
      <c r="OFA1337" s="4" t="s">
        <v>2881</v>
      </c>
      <c r="OFB1337" s="4" t="s">
        <v>2881</v>
      </c>
      <c r="OFC1337" s="4" t="s">
        <v>2881</v>
      </c>
      <c r="OFD1337" s="4" t="s">
        <v>2881</v>
      </c>
      <c r="OFE1337" s="4" t="s">
        <v>2881</v>
      </c>
      <c r="OFF1337" s="4" t="s">
        <v>2881</v>
      </c>
      <c r="OFG1337" s="4" t="s">
        <v>2881</v>
      </c>
      <c r="OFH1337" s="4" t="s">
        <v>2881</v>
      </c>
      <c r="OFI1337" s="4" t="s">
        <v>2881</v>
      </c>
      <c r="OFJ1337" s="4" t="s">
        <v>2881</v>
      </c>
      <c r="OFK1337" s="4" t="s">
        <v>2881</v>
      </c>
      <c r="OFL1337" s="4" t="s">
        <v>2881</v>
      </c>
      <c r="OFM1337" s="4" t="s">
        <v>2881</v>
      </c>
      <c r="OFN1337" s="4" t="s">
        <v>2881</v>
      </c>
      <c r="OFO1337" s="4" t="s">
        <v>2881</v>
      </c>
      <c r="OFP1337" s="4" t="s">
        <v>2881</v>
      </c>
      <c r="OFQ1337" s="4" t="s">
        <v>2881</v>
      </c>
      <c r="OFR1337" s="4" t="s">
        <v>2881</v>
      </c>
      <c r="OFS1337" s="4" t="s">
        <v>2881</v>
      </c>
      <c r="OFT1337" s="4" t="s">
        <v>2881</v>
      </c>
      <c r="OFU1337" s="4" t="s">
        <v>2881</v>
      </c>
      <c r="OFV1337" s="4" t="s">
        <v>2881</v>
      </c>
      <c r="OFW1337" s="4" t="s">
        <v>2881</v>
      </c>
      <c r="OFX1337" s="4" t="s">
        <v>2881</v>
      </c>
      <c r="OFY1337" s="4" t="s">
        <v>2881</v>
      </c>
      <c r="OFZ1337" s="4" t="s">
        <v>2881</v>
      </c>
      <c r="OGA1337" s="4" t="s">
        <v>2881</v>
      </c>
      <c r="OGB1337" s="4" t="s">
        <v>2881</v>
      </c>
      <c r="OGC1337" s="4" t="s">
        <v>2881</v>
      </c>
      <c r="OGD1337" s="4" t="s">
        <v>2881</v>
      </c>
      <c r="OGE1337" s="4" t="s">
        <v>2881</v>
      </c>
      <c r="OGF1337" s="4" t="s">
        <v>2881</v>
      </c>
      <c r="OGG1337" s="4" t="s">
        <v>2881</v>
      </c>
      <c r="OGH1337" s="4" t="s">
        <v>2881</v>
      </c>
      <c r="OGI1337" s="4" t="s">
        <v>2881</v>
      </c>
      <c r="OGJ1337" s="4" t="s">
        <v>2881</v>
      </c>
      <c r="OGK1337" s="4" t="s">
        <v>2881</v>
      </c>
      <c r="OGL1337" s="4" t="s">
        <v>2881</v>
      </c>
      <c r="OGM1337" s="4" t="s">
        <v>2881</v>
      </c>
      <c r="OGN1337" s="4" t="s">
        <v>2881</v>
      </c>
      <c r="OGO1337" s="4" t="s">
        <v>2881</v>
      </c>
      <c r="OGP1337" s="4" t="s">
        <v>2881</v>
      </c>
      <c r="OGQ1337" s="4" t="s">
        <v>2881</v>
      </c>
      <c r="OGR1337" s="4" t="s">
        <v>2881</v>
      </c>
      <c r="OGS1337" s="4" t="s">
        <v>2881</v>
      </c>
      <c r="OGT1337" s="4" t="s">
        <v>2881</v>
      </c>
      <c r="OGU1337" s="4" t="s">
        <v>2881</v>
      </c>
      <c r="OGV1337" s="4" t="s">
        <v>2881</v>
      </c>
      <c r="OGW1337" s="4" t="s">
        <v>2881</v>
      </c>
      <c r="OGX1337" s="4" t="s">
        <v>2881</v>
      </c>
      <c r="OGY1337" s="4" t="s">
        <v>2881</v>
      </c>
      <c r="OGZ1337" s="4" t="s">
        <v>2881</v>
      </c>
      <c r="OHA1337" s="4" t="s">
        <v>2881</v>
      </c>
      <c r="OHB1337" s="4" t="s">
        <v>2881</v>
      </c>
      <c r="OHC1337" s="4" t="s">
        <v>2881</v>
      </c>
      <c r="OHD1337" s="4" t="s">
        <v>2881</v>
      </c>
      <c r="OHE1337" s="4" t="s">
        <v>2881</v>
      </c>
      <c r="OHF1337" s="4" t="s">
        <v>2881</v>
      </c>
      <c r="OHG1337" s="4" t="s">
        <v>2881</v>
      </c>
      <c r="OHH1337" s="4" t="s">
        <v>2881</v>
      </c>
      <c r="OHI1337" s="4" t="s">
        <v>2881</v>
      </c>
      <c r="OHJ1337" s="4" t="s">
        <v>2881</v>
      </c>
      <c r="OHK1337" s="4" t="s">
        <v>2881</v>
      </c>
      <c r="OHL1337" s="4" t="s">
        <v>2881</v>
      </c>
      <c r="OHM1337" s="4" t="s">
        <v>2881</v>
      </c>
      <c r="OHN1337" s="4" t="s">
        <v>2881</v>
      </c>
      <c r="OHO1337" s="4" t="s">
        <v>2881</v>
      </c>
      <c r="OHP1337" s="4" t="s">
        <v>2881</v>
      </c>
      <c r="OHQ1337" s="4" t="s">
        <v>2881</v>
      </c>
      <c r="OHR1337" s="4" t="s">
        <v>2881</v>
      </c>
      <c r="OHS1337" s="4" t="s">
        <v>2881</v>
      </c>
      <c r="OHT1337" s="4" t="s">
        <v>2881</v>
      </c>
      <c r="OHU1337" s="4" t="s">
        <v>2881</v>
      </c>
      <c r="OHV1337" s="4" t="s">
        <v>2881</v>
      </c>
      <c r="OHW1337" s="4" t="s">
        <v>2881</v>
      </c>
      <c r="OHX1337" s="4" t="s">
        <v>2881</v>
      </c>
      <c r="OHY1337" s="4" t="s">
        <v>2881</v>
      </c>
      <c r="OHZ1337" s="4" t="s">
        <v>2881</v>
      </c>
      <c r="OIA1337" s="4" t="s">
        <v>2881</v>
      </c>
      <c r="OIB1337" s="4" t="s">
        <v>2881</v>
      </c>
      <c r="OIC1337" s="4" t="s">
        <v>2881</v>
      </c>
      <c r="OID1337" s="4" t="s">
        <v>2881</v>
      </c>
      <c r="OIE1337" s="4" t="s">
        <v>2881</v>
      </c>
      <c r="OIF1337" s="4" t="s">
        <v>2881</v>
      </c>
      <c r="OIG1337" s="4" t="s">
        <v>2881</v>
      </c>
      <c r="OIH1337" s="4" t="s">
        <v>2881</v>
      </c>
      <c r="OII1337" s="4" t="s">
        <v>2881</v>
      </c>
      <c r="OIJ1337" s="4" t="s">
        <v>2881</v>
      </c>
      <c r="OIK1337" s="4" t="s">
        <v>2881</v>
      </c>
      <c r="OIL1337" s="4" t="s">
        <v>2881</v>
      </c>
      <c r="OIM1337" s="4" t="s">
        <v>2881</v>
      </c>
      <c r="OIN1337" s="4" t="s">
        <v>2881</v>
      </c>
      <c r="OIO1337" s="4" t="s">
        <v>2881</v>
      </c>
      <c r="OIP1337" s="4" t="s">
        <v>2881</v>
      </c>
      <c r="OIQ1337" s="4" t="s">
        <v>2881</v>
      </c>
      <c r="OIR1337" s="4" t="s">
        <v>2881</v>
      </c>
      <c r="OIS1337" s="4" t="s">
        <v>2881</v>
      </c>
      <c r="OIT1337" s="4" t="s">
        <v>2881</v>
      </c>
      <c r="OIU1337" s="4" t="s">
        <v>2881</v>
      </c>
      <c r="OIV1337" s="4" t="s">
        <v>2881</v>
      </c>
      <c r="OIW1337" s="4" t="s">
        <v>2881</v>
      </c>
      <c r="OIX1337" s="4" t="s">
        <v>2881</v>
      </c>
      <c r="OIY1337" s="4" t="s">
        <v>2881</v>
      </c>
      <c r="OIZ1337" s="4" t="s">
        <v>2881</v>
      </c>
      <c r="OJA1337" s="4" t="s">
        <v>2881</v>
      </c>
      <c r="OJB1337" s="4" t="s">
        <v>2881</v>
      </c>
      <c r="OJC1337" s="4" t="s">
        <v>2881</v>
      </c>
      <c r="OJD1337" s="4" t="s">
        <v>2881</v>
      </c>
      <c r="OJE1337" s="4" t="s">
        <v>2881</v>
      </c>
      <c r="OJF1337" s="4" t="s">
        <v>2881</v>
      </c>
      <c r="OJG1337" s="4" t="s">
        <v>2881</v>
      </c>
      <c r="OJH1337" s="4" t="s">
        <v>2881</v>
      </c>
      <c r="OJI1337" s="4" t="s">
        <v>2881</v>
      </c>
      <c r="OJJ1337" s="4" t="s">
        <v>2881</v>
      </c>
      <c r="OJK1337" s="4" t="s">
        <v>2881</v>
      </c>
      <c r="OJL1337" s="4" t="s">
        <v>2881</v>
      </c>
      <c r="OJM1337" s="4" t="s">
        <v>2881</v>
      </c>
      <c r="OJN1337" s="4" t="s">
        <v>2881</v>
      </c>
      <c r="OJO1337" s="4" t="s">
        <v>2881</v>
      </c>
      <c r="OJP1337" s="4" t="s">
        <v>2881</v>
      </c>
      <c r="OJQ1337" s="4" t="s">
        <v>2881</v>
      </c>
      <c r="OJR1337" s="4" t="s">
        <v>2881</v>
      </c>
      <c r="OJS1337" s="4" t="s">
        <v>2881</v>
      </c>
      <c r="OJT1337" s="4" t="s">
        <v>2881</v>
      </c>
      <c r="OJU1337" s="4" t="s">
        <v>2881</v>
      </c>
      <c r="OJV1337" s="4" t="s">
        <v>2881</v>
      </c>
      <c r="OJW1337" s="4" t="s">
        <v>2881</v>
      </c>
      <c r="OJX1337" s="4" t="s">
        <v>2881</v>
      </c>
      <c r="OJY1337" s="4" t="s">
        <v>2881</v>
      </c>
      <c r="OJZ1337" s="4" t="s">
        <v>2881</v>
      </c>
      <c r="OKA1337" s="4" t="s">
        <v>2881</v>
      </c>
      <c r="OKB1337" s="4" t="s">
        <v>2881</v>
      </c>
      <c r="OKC1337" s="4" t="s">
        <v>2881</v>
      </c>
      <c r="OKD1337" s="4" t="s">
        <v>2881</v>
      </c>
      <c r="OKE1337" s="4" t="s">
        <v>2881</v>
      </c>
      <c r="OKF1337" s="4" t="s">
        <v>2881</v>
      </c>
      <c r="OKG1337" s="4" t="s">
        <v>2881</v>
      </c>
      <c r="OKH1337" s="4" t="s">
        <v>2881</v>
      </c>
      <c r="OKI1337" s="4" t="s">
        <v>2881</v>
      </c>
      <c r="OKJ1337" s="4" t="s">
        <v>2881</v>
      </c>
      <c r="OKK1337" s="4" t="s">
        <v>2881</v>
      </c>
      <c r="OKL1337" s="4" t="s">
        <v>2881</v>
      </c>
      <c r="OKM1337" s="4" t="s">
        <v>2881</v>
      </c>
      <c r="OKN1337" s="4" t="s">
        <v>2881</v>
      </c>
      <c r="OKO1337" s="4" t="s">
        <v>2881</v>
      </c>
      <c r="OKP1337" s="4" t="s">
        <v>2881</v>
      </c>
      <c r="OKQ1337" s="4" t="s">
        <v>2881</v>
      </c>
      <c r="OKR1337" s="4" t="s">
        <v>2881</v>
      </c>
      <c r="OKS1337" s="4" t="s">
        <v>2881</v>
      </c>
      <c r="OKT1337" s="4" t="s">
        <v>2881</v>
      </c>
      <c r="OKU1337" s="4" t="s">
        <v>2881</v>
      </c>
      <c r="OKV1337" s="4" t="s">
        <v>2881</v>
      </c>
      <c r="OKW1337" s="4" t="s">
        <v>2881</v>
      </c>
      <c r="OKX1337" s="4" t="s">
        <v>2881</v>
      </c>
      <c r="OKY1337" s="4" t="s">
        <v>2881</v>
      </c>
      <c r="OKZ1337" s="4" t="s">
        <v>2881</v>
      </c>
      <c r="OLA1337" s="4" t="s">
        <v>2881</v>
      </c>
      <c r="OLB1337" s="4" t="s">
        <v>2881</v>
      </c>
      <c r="OLC1337" s="4" t="s">
        <v>2881</v>
      </c>
      <c r="OLD1337" s="4" t="s">
        <v>2881</v>
      </c>
      <c r="OLE1337" s="4" t="s">
        <v>2881</v>
      </c>
      <c r="OLF1337" s="4" t="s">
        <v>2881</v>
      </c>
      <c r="OLG1337" s="4" t="s">
        <v>2881</v>
      </c>
      <c r="OLH1337" s="4" t="s">
        <v>2881</v>
      </c>
      <c r="OLI1337" s="4" t="s">
        <v>2881</v>
      </c>
      <c r="OLJ1337" s="4" t="s">
        <v>2881</v>
      </c>
      <c r="OLK1337" s="4" t="s">
        <v>2881</v>
      </c>
      <c r="OLL1337" s="4" t="s">
        <v>2881</v>
      </c>
      <c r="OLM1337" s="4" t="s">
        <v>2881</v>
      </c>
      <c r="OLN1337" s="4" t="s">
        <v>2881</v>
      </c>
      <c r="OLO1337" s="4" t="s">
        <v>2881</v>
      </c>
      <c r="OLP1337" s="4" t="s">
        <v>2881</v>
      </c>
      <c r="OLQ1337" s="4" t="s">
        <v>2881</v>
      </c>
      <c r="OLR1337" s="4" t="s">
        <v>2881</v>
      </c>
      <c r="OLS1337" s="4" t="s">
        <v>2881</v>
      </c>
      <c r="OLT1337" s="4" t="s">
        <v>2881</v>
      </c>
      <c r="OLU1337" s="4" t="s">
        <v>2881</v>
      </c>
      <c r="OLV1337" s="4" t="s">
        <v>2881</v>
      </c>
      <c r="OLW1337" s="4" t="s">
        <v>2881</v>
      </c>
      <c r="OLX1337" s="4" t="s">
        <v>2881</v>
      </c>
      <c r="OLY1337" s="4" t="s">
        <v>2881</v>
      </c>
      <c r="OLZ1337" s="4" t="s">
        <v>2881</v>
      </c>
      <c r="OMA1337" s="4" t="s">
        <v>2881</v>
      </c>
      <c r="OMB1337" s="4" t="s">
        <v>2881</v>
      </c>
      <c r="OMC1337" s="4" t="s">
        <v>2881</v>
      </c>
      <c r="OMD1337" s="4" t="s">
        <v>2881</v>
      </c>
      <c r="OME1337" s="4" t="s">
        <v>2881</v>
      </c>
      <c r="OMF1337" s="4" t="s">
        <v>2881</v>
      </c>
      <c r="OMG1337" s="4" t="s">
        <v>2881</v>
      </c>
      <c r="OMH1337" s="4" t="s">
        <v>2881</v>
      </c>
      <c r="OMI1337" s="4" t="s">
        <v>2881</v>
      </c>
      <c r="OMJ1337" s="4" t="s">
        <v>2881</v>
      </c>
      <c r="OMK1337" s="4" t="s">
        <v>2881</v>
      </c>
      <c r="OML1337" s="4" t="s">
        <v>2881</v>
      </c>
      <c r="OMM1337" s="4" t="s">
        <v>2881</v>
      </c>
      <c r="OMN1337" s="4" t="s">
        <v>2881</v>
      </c>
      <c r="OMO1337" s="4" t="s">
        <v>2881</v>
      </c>
      <c r="OMP1337" s="4" t="s">
        <v>2881</v>
      </c>
      <c r="OMQ1337" s="4" t="s">
        <v>2881</v>
      </c>
      <c r="OMR1337" s="4" t="s">
        <v>2881</v>
      </c>
      <c r="OMS1337" s="4" t="s">
        <v>2881</v>
      </c>
      <c r="OMT1337" s="4" t="s">
        <v>2881</v>
      </c>
      <c r="OMU1337" s="4" t="s">
        <v>2881</v>
      </c>
      <c r="OMV1337" s="4" t="s">
        <v>2881</v>
      </c>
      <c r="OMW1337" s="4" t="s">
        <v>2881</v>
      </c>
      <c r="OMX1337" s="4" t="s">
        <v>2881</v>
      </c>
      <c r="OMY1337" s="4" t="s">
        <v>2881</v>
      </c>
      <c r="OMZ1337" s="4" t="s">
        <v>2881</v>
      </c>
      <c r="ONA1337" s="4" t="s">
        <v>2881</v>
      </c>
      <c r="ONB1337" s="4" t="s">
        <v>2881</v>
      </c>
      <c r="ONC1337" s="4" t="s">
        <v>2881</v>
      </c>
      <c r="OND1337" s="4" t="s">
        <v>2881</v>
      </c>
      <c r="ONE1337" s="4" t="s">
        <v>2881</v>
      </c>
      <c r="ONF1337" s="4" t="s">
        <v>2881</v>
      </c>
      <c r="ONG1337" s="4" t="s">
        <v>2881</v>
      </c>
      <c r="ONH1337" s="4" t="s">
        <v>2881</v>
      </c>
      <c r="ONI1337" s="4" t="s">
        <v>2881</v>
      </c>
      <c r="ONJ1337" s="4" t="s">
        <v>2881</v>
      </c>
      <c r="ONK1337" s="4" t="s">
        <v>2881</v>
      </c>
      <c r="ONL1337" s="4" t="s">
        <v>2881</v>
      </c>
      <c r="ONM1337" s="4" t="s">
        <v>2881</v>
      </c>
      <c r="ONN1337" s="4" t="s">
        <v>2881</v>
      </c>
      <c r="ONO1337" s="4" t="s">
        <v>2881</v>
      </c>
      <c r="ONP1337" s="4" t="s">
        <v>2881</v>
      </c>
      <c r="ONQ1337" s="4" t="s">
        <v>2881</v>
      </c>
      <c r="ONR1337" s="4" t="s">
        <v>2881</v>
      </c>
      <c r="ONS1337" s="4" t="s">
        <v>2881</v>
      </c>
      <c r="ONT1337" s="4" t="s">
        <v>2881</v>
      </c>
      <c r="ONU1337" s="4" t="s">
        <v>2881</v>
      </c>
      <c r="ONV1337" s="4" t="s">
        <v>2881</v>
      </c>
      <c r="ONW1337" s="4" t="s">
        <v>2881</v>
      </c>
      <c r="ONX1337" s="4" t="s">
        <v>2881</v>
      </c>
      <c r="ONY1337" s="4" t="s">
        <v>2881</v>
      </c>
      <c r="ONZ1337" s="4" t="s">
        <v>2881</v>
      </c>
      <c r="OOA1337" s="4" t="s">
        <v>2881</v>
      </c>
      <c r="OOB1337" s="4" t="s">
        <v>2881</v>
      </c>
      <c r="OOC1337" s="4" t="s">
        <v>2881</v>
      </c>
      <c r="OOD1337" s="4" t="s">
        <v>2881</v>
      </c>
      <c r="OOE1337" s="4" t="s">
        <v>2881</v>
      </c>
      <c r="OOF1337" s="4" t="s">
        <v>2881</v>
      </c>
      <c r="OOG1337" s="4" t="s">
        <v>2881</v>
      </c>
      <c r="OOH1337" s="4" t="s">
        <v>2881</v>
      </c>
      <c r="OOI1337" s="4" t="s">
        <v>2881</v>
      </c>
      <c r="OOJ1337" s="4" t="s">
        <v>2881</v>
      </c>
      <c r="OOK1337" s="4" t="s">
        <v>2881</v>
      </c>
      <c r="OOL1337" s="4" t="s">
        <v>2881</v>
      </c>
      <c r="OOM1337" s="4" t="s">
        <v>2881</v>
      </c>
      <c r="OON1337" s="4" t="s">
        <v>2881</v>
      </c>
      <c r="OOO1337" s="4" t="s">
        <v>2881</v>
      </c>
      <c r="OOP1337" s="4" t="s">
        <v>2881</v>
      </c>
      <c r="OOQ1337" s="4" t="s">
        <v>2881</v>
      </c>
      <c r="OOR1337" s="4" t="s">
        <v>2881</v>
      </c>
      <c r="OOS1337" s="4" t="s">
        <v>2881</v>
      </c>
      <c r="OOT1337" s="4" t="s">
        <v>2881</v>
      </c>
      <c r="OOU1337" s="4" t="s">
        <v>2881</v>
      </c>
      <c r="OOV1337" s="4" t="s">
        <v>2881</v>
      </c>
      <c r="OOW1337" s="4" t="s">
        <v>2881</v>
      </c>
      <c r="OOX1337" s="4" t="s">
        <v>2881</v>
      </c>
      <c r="OOY1337" s="4" t="s">
        <v>2881</v>
      </c>
      <c r="OOZ1337" s="4" t="s">
        <v>2881</v>
      </c>
      <c r="OPA1337" s="4" t="s">
        <v>2881</v>
      </c>
      <c r="OPB1337" s="4" t="s">
        <v>2881</v>
      </c>
      <c r="OPC1337" s="4" t="s">
        <v>2881</v>
      </c>
      <c r="OPD1337" s="4" t="s">
        <v>2881</v>
      </c>
      <c r="OPE1337" s="4" t="s">
        <v>2881</v>
      </c>
      <c r="OPF1337" s="4" t="s">
        <v>2881</v>
      </c>
      <c r="OPG1337" s="4" t="s">
        <v>2881</v>
      </c>
      <c r="OPH1337" s="4" t="s">
        <v>2881</v>
      </c>
      <c r="OPI1337" s="4" t="s">
        <v>2881</v>
      </c>
      <c r="OPJ1337" s="4" t="s">
        <v>2881</v>
      </c>
      <c r="OPK1337" s="4" t="s">
        <v>2881</v>
      </c>
      <c r="OPL1337" s="4" t="s">
        <v>2881</v>
      </c>
      <c r="OPM1337" s="4" t="s">
        <v>2881</v>
      </c>
      <c r="OPN1337" s="4" t="s">
        <v>2881</v>
      </c>
      <c r="OPO1337" s="4" t="s">
        <v>2881</v>
      </c>
      <c r="OPP1337" s="4" t="s">
        <v>2881</v>
      </c>
      <c r="OPQ1337" s="4" t="s">
        <v>2881</v>
      </c>
      <c r="OPR1337" s="4" t="s">
        <v>2881</v>
      </c>
      <c r="OPS1337" s="4" t="s">
        <v>2881</v>
      </c>
      <c r="OPT1337" s="4" t="s">
        <v>2881</v>
      </c>
      <c r="OPU1337" s="4" t="s">
        <v>2881</v>
      </c>
      <c r="OPV1337" s="4" t="s">
        <v>2881</v>
      </c>
      <c r="OPW1337" s="4" t="s">
        <v>2881</v>
      </c>
      <c r="OPX1337" s="4" t="s">
        <v>2881</v>
      </c>
      <c r="OPY1337" s="4" t="s">
        <v>2881</v>
      </c>
      <c r="OPZ1337" s="4" t="s">
        <v>2881</v>
      </c>
      <c r="OQA1337" s="4" t="s">
        <v>2881</v>
      </c>
      <c r="OQB1337" s="4" t="s">
        <v>2881</v>
      </c>
      <c r="OQC1337" s="4" t="s">
        <v>2881</v>
      </c>
      <c r="OQD1337" s="4" t="s">
        <v>2881</v>
      </c>
      <c r="OQE1337" s="4" t="s">
        <v>2881</v>
      </c>
      <c r="OQF1337" s="4" t="s">
        <v>2881</v>
      </c>
      <c r="OQG1337" s="4" t="s">
        <v>2881</v>
      </c>
      <c r="OQH1337" s="4" t="s">
        <v>2881</v>
      </c>
      <c r="OQI1337" s="4" t="s">
        <v>2881</v>
      </c>
      <c r="OQJ1337" s="4" t="s">
        <v>2881</v>
      </c>
      <c r="OQK1337" s="4" t="s">
        <v>2881</v>
      </c>
      <c r="OQL1337" s="4" t="s">
        <v>2881</v>
      </c>
      <c r="OQM1337" s="4" t="s">
        <v>2881</v>
      </c>
      <c r="OQN1337" s="4" t="s">
        <v>2881</v>
      </c>
      <c r="OQO1337" s="4" t="s">
        <v>2881</v>
      </c>
      <c r="OQP1337" s="4" t="s">
        <v>2881</v>
      </c>
      <c r="OQQ1337" s="4" t="s">
        <v>2881</v>
      </c>
      <c r="OQR1337" s="4" t="s">
        <v>2881</v>
      </c>
      <c r="OQS1337" s="4" t="s">
        <v>2881</v>
      </c>
      <c r="OQT1337" s="4" t="s">
        <v>2881</v>
      </c>
      <c r="OQU1337" s="4" t="s">
        <v>2881</v>
      </c>
      <c r="OQV1337" s="4" t="s">
        <v>2881</v>
      </c>
      <c r="OQW1337" s="4" t="s">
        <v>2881</v>
      </c>
      <c r="OQX1337" s="4" t="s">
        <v>2881</v>
      </c>
      <c r="OQY1337" s="4" t="s">
        <v>2881</v>
      </c>
      <c r="OQZ1337" s="4" t="s">
        <v>2881</v>
      </c>
      <c r="ORA1337" s="4" t="s">
        <v>2881</v>
      </c>
      <c r="ORB1337" s="4" t="s">
        <v>2881</v>
      </c>
      <c r="ORC1337" s="4" t="s">
        <v>2881</v>
      </c>
      <c r="ORD1337" s="4" t="s">
        <v>2881</v>
      </c>
      <c r="ORE1337" s="4" t="s">
        <v>2881</v>
      </c>
      <c r="ORF1337" s="4" t="s">
        <v>2881</v>
      </c>
      <c r="ORG1337" s="4" t="s">
        <v>2881</v>
      </c>
      <c r="ORH1337" s="4" t="s">
        <v>2881</v>
      </c>
      <c r="ORI1337" s="4" t="s">
        <v>2881</v>
      </c>
      <c r="ORJ1337" s="4" t="s">
        <v>2881</v>
      </c>
      <c r="ORK1337" s="4" t="s">
        <v>2881</v>
      </c>
      <c r="ORL1337" s="4" t="s">
        <v>2881</v>
      </c>
      <c r="ORM1337" s="4" t="s">
        <v>2881</v>
      </c>
      <c r="ORN1337" s="4" t="s">
        <v>2881</v>
      </c>
      <c r="ORO1337" s="4" t="s">
        <v>2881</v>
      </c>
      <c r="ORP1337" s="4" t="s">
        <v>2881</v>
      </c>
      <c r="ORQ1337" s="4" t="s">
        <v>2881</v>
      </c>
      <c r="ORR1337" s="4" t="s">
        <v>2881</v>
      </c>
      <c r="ORS1337" s="4" t="s">
        <v>2881</v>
      </c>
      <c r="ORT1337" s="4" t="s">
        <v>2881</v>
      </c>
      <c r="ORU1337" s="4" t="s">
        <v>2881</v>
      </c>
      <c r="ORV1337" s="4" t="s">
        <v>2881</v>
      </c>
      <c r="ORW1337" s="4" t="s">
        <v>2881</v>
      </c>
      <c r="ORX1337" s="4" t="s">
        <v>2881</v>
      </c>
      <c r="ORY1337" s="4" t="s">
        <v>2881</v>
      </c>
      <c r="ORZ1337" s="4" t="s">
        <v>2881</v>
      </c>
      <c r="OSA1337" s="4" t="s">
        <v>2881</v>
      </c>
      <c r="OSB1337" s="4" t="s">
        <v>2881</v>
      </c>
      <c r="OSC1337" s="4" t="s">
        <v>2881</v>
      </c>
      <c r="OSD1337" s="4" t="s">
        <v>2881</v>
      </c>
      <c r="OSE1337" s="4" t="s">
        <v>2881</v>
      </c>
      <c r="OSF1337" s="4" t="s">
        <v>2881</v>
      </c>
      <c r="OSG1337" s="4" t="s">
        <v>2881</v>
      </c>
      <c r="OSH1337" s="4" t="s">
        <v>2881</v>
      </c>
      <c r="OSI1337" s="4" t="s">
        <v>2881</v>
      </c>
      <c r="OSJ1337" s="4" t="s">
        <v>2881</v>
      </c>
      <c r="OSK1337" s="4" t="s">
        <v>2881</v>
      </c>
      <c r="OSL1337" s="4" t="s">
        <v>2881</v>
      </c>
      <c r="OSM1337" s="4" t="s">
        <v>2881</v>
      </c>
      <c r="OSN1337" s="4" t="s">
        <v>2881</v>
      </c>
      <c r="OSO1337" s="4" t="s">
        <v>2881</v>
      </c>
      <c r="OSP1337" s="4" t="s">
        <v>2881</v>
      </c>
      <c r="OSQ1337" s="4" t="s">
        <v>2881</v>
      </c>
      <c r="OSR1337" s="4" t="s">
        <v>2881</v>
      </c>
      <c r="OSS1337" s="4" t="s">
        <v>2881</v>
      </c>
      <c r="OST1337" s="4" t="s">
        <v>2881</v>
      </c>
      <c r="OSU1337" s="4" t="s">
        <v>2881</v>
      </c>
      <c r="OSV1337" s="4" t="s">
        <v>2881</v>
      </c>
      <c r="OSW1337" s="4" t="s">
        <v>2881</v>
      </c>
      <c r="OSX1337" s="4" t="s">
        <v>2881</v>
      </c>
      <c r="OSY1337" s="4" t="s">
        <v>2881</v>
      </c>
      <c r="OSZ1337" s="4" t="s">
        <v>2881</v>
      </c>
      <c r="OTA1337" s="4" t="s">
        <v>2881</v>
      </c>
      <c r="OTB1337" s="4" t="s">
        <v>2881</v>
      </c>
      <c r="OTC1337" s="4" t="s">
        <v>2881</v>
      </c>
      <c r="OTD1337" s="4" t="s">
        <v>2881</v>
      </c>
      <c r="OTE1337" s="4" t="s">
        <v>2881</v>
      </c>
      <c r="OTF1337" s="4" t="s">
        <v>2881</v>
      </c>
      <c r="OTG1337" s="4" t="s">
        <v>2881</v>
      </c>
      <c r="OTH1337" s="4" t="s">
        <v>2881</v>
      </c>
      <c r="OTI1337" s="4" t="s">
        <v>2881</v>
      </c>
      <c r="OTJ1337" s="4" t="s">
        <v>2881</v>
      </c>
      <c r="OTK1337" s="4" t="s">
        <v>2881</v>
      </c>
      <c r="OTL1337" s="4" t="s">
        <v>2881</v>
      </c>
      <c r="OTM1337" s="4" t="s">
        <v>2881</v>
      </c>
      <c r="OTN1337" s="4" t="s">
        <v>2881</v>
      </c>
      <c r="OTO1337" s="4" t="s">
        <v>2881</v>
      </c>
      <c r="OTP1337" s="4" t="s">
        <v>2881</v>
      </c>
      <c r="OTQ1337" s="4" t="s">
        <v>2881</v>
      </c>
      <c r="OTR1337" s="4" t="s">
        <v>2881</v>
      </c>
      <c r="OTS1337" s="4" t="s">
        <v>2881</v>
      </c>
      <c r="OTT1337" s="4" t="s">
        <v>2881</v>
      </c>
      <c r="OTU1337" s="4" t="s">
        <v>2881</v>
      </c>
      <c r="OTV1337" s="4" t="s">
        <v>2881</v>
      </c>
      <c r="OTW1337" s="4" t="s">
        <v>2881</v>
      </c>
      <c r="OTX1337" s="4" t="s">
        <v>2881</v>
      </c>
      <c r="OTY1337" s="4" t="s">
        <v>2881</v>
      </c>
      <c r="OTZ1337" s="4" t="s">
        <v>2881</v>
      </c>
      <c r="OUA1337" s="4" t="s">
        <v>2881</v>
      </c>
      <c r="OUB1337" s="4" t="s">
        <v>2881</v>
      </c>
      <c r="OUC1337" s="4" t="s">
        <v>2881</v>
      </c>
      <c r="OUD1337" s="4" t="s">
        <v>2881</v>
      </c>
      <c r="OUE1337" s="4" t="s">
        <v>2881</v>
      </c>
      <c r="OUF1337" s="4" t="s">
        <v>2881</v>
      </c>
      <c r="OUG1337" s="4" t="s">
        <v>2881</v>
      </c>
      <c r="OUH1337" s="4" t="s">
        <v>2881</v>
      </c>
      <c r="OUI1337" s="4" t="s">
        <v>2881</v>
      </c>
      <c r="OUJ1337" s="4" t="s">
        <v>2881</v>
      </c>
      <c r="OUK1337" s="4" t="s">
        <v>2881</v>
      </c>
      <c r="OUL1337" s="4" t="s">
        <v>2881</v>
      </c>
      <c r="OUM1337" s="4" t="s">
        <v>2881</v>
      </c>
      <c r="OUN1337" s="4" t="s">
        <v>2881</v>
      </c>
      <c r="OUO1337" s="4" t="s">
        <v>2881</v>
      </c>
      <c r="OUP1337" s="4" t="s">
        <v>2881</v>
      </c>
      <c r="OUQ1337" s="4" t="s">
        <v>2881</v>
      </c>
      <c r="OUR1337" s="4" t="s">
        <v>2881</v>
      </c>
      <c r="OUS1337" s="4" t="s">
        <v>2881</v>
      </c>
      <c r="OUT1337" s="4" t="s">
        <v>2881</v>
      </c>
      <c r="OUU1337" s="4" t="s">
        <v>2881</v>
      </c>
      <c r="OUV1337" s="4" t="s">
        <v>2881</v>
      </c>
      <c r="OUW1337" s="4" t="s">
        <v>2881</v>
      </c>
      <c r="OUX1337" s="4" t="s">
        <v>2881</v>
      </c>
      <c r="OUY1337" s="4" t="s">
        <v>2881</v>
      </c>
      <c r="OUZ1337" s="4" t="s">
        <v>2881</v>
      </c>
      <c r="OVA1337" s="4" t="s">
        <v>2881</v>
      </c>
      <c r="OVB1337" s="4" t="s">
        <v>2881</v>
      </c>
      <c r="OVC1337" s="4" t="s">
        <v>2881</v>
      </c>
      <c r="OVD1337" s="4" t="s">
        <v>2881</v>
      </c>
      <c r="OVE1337" s="4" t="s">
        <v>2881</v>
      </c>
      <c r="OVF1337" s="4" t="s">
        <v>2881</v>
      </c>
      <c r="OVG1337" s="4" t="s">
        <v>2881</v>
      </c>
      <c r="OVH1337" s="4" t="s">
        <v>2881</v>
      </c>
      <c r="OVI1337" s="4" t="s">
        <v>2881</v>
      </c>
      <c r="OVJ1337" s="4" t="s">
        <v>2881</v>
      </c>
      <c r="OVK1337" s="4" t="s">
        <v>2881</v>
      </c>
      <c r="OVL1337" s="4" t="s">
        <v>2881</v>
      </c>
      <c r="OVM1337" s="4" t="s">
        <v>2881</v>
      </c>
      <c r="OVN1337" s="4" t="s">
        <v>2881</v>
      </c>
      <c r="OVO1337" s="4" t="s">
        <v>2881</v>
      </c>
      <c r="OVP1337" s="4" t="s">
        <v>2881</v>
      </c>
      <c r="OVQ1337" s="4" t="s">
        <v>2881</v>
      </c>
      <c r="OVR1337" s="4" t="s">
        <v>2881</v>
      </c>
      <c r="OVS1337" s="4" t="s">
        <v>2881</v>
      </c>
      <c r="OVT1337" s="4" t="s">
        <v>2881</v>
      </c>
      <c r="OVU1337" s="4" t="s">
        <v>2881</v>
      </c>
      <c r="OVV1337" s="4" t="s">
        <v>2881</v>
      </c>
      <c r="OVW1337" s="4" t="s">
        <v>2881</v>
      </c>
      <c r="OVX1337" s="4" t="s">
        <v>2881</v>
      </c>
      <c r="OVY1337" s="4" t="s">
        <v>2881</v>
      </c>
      <c r="OVZ1337" s="4" t="s">
        <v>2881</v>
      </c>
      <c r="OWA1337" s="4" t="s">
        <v>2881</v>
      </c>
      <c r="OWB1337" s="4" t="s">
        <v>2881</v>
      </c>
      <c r="OWC1337" s="4" t="s">
        <v>2881</v>
      </c>
      <c r="OWD1337" s="4" t="s">
        <v>2881</v>
      </c>
      <c r="OWE1337" s="4" t="s">
        <v>2881</v>
      </c>
      <c r="OWF1337" s="4" t="s">
        <v>2881</v>
      </c>
      <c r="OWG1337" s="4" t="s">
        <v>2881</v>
      </c>
      <c r="OWH1337" s="4" t="s">
        <v>2881</v>
      </c>
      <c r="OWI1337" s="4" t="s">
        <v>2881</v>
      </c>
      <c r="OWJ1337" s="4" t="s">
        <v>2881</v>
      </c>
      <c r="OWK1337" s="4" t="s">
        <v>2881</v>
      </c>
      <c r="OWL1337" s="4" t="s">
        <v>2881</v>
      </c>
      <c r="OWM1337" s="4" t="s">
        <v>2881</v>
      </c>
      <c r="OWN1337" s="4" t="s">
        <v>2881</v>
      </c>
      <c r="OWO1337" s="4" t="s">
        <v>2881</v>
      </c>
      <c r="OWP1337" s="4" t="s">
        <v>2881</v>
      </c>
      <c r="OWQ1337" s="4" t="s">
        <v>2881</v>
      </c>
      <c r="OWR1337" s="4" t="s">
        <v>2881</v>
      </c>
      <c r="OWS1337" s="4" t="s">
        <v>2881</v>
      </c>
      <c r="OWT1337" s="4" t="s">
        <v>2881</v>
      </c>
      <c r="OWU1337" s="4" t="s">
        <v>2881</v>
      </c>
      <c r="OWV1337" s="4" t="s">
        <v>2881</v>
      </c>
      <c r="OWW1337" s="4" t="s">
        <v>2881</v>
      </c>
      <c r="OWX1337" s="4" t="s">
        <v>2881</v>
      </c>
      <c r="OWY1337" s="4" t="s">
        <v>2881</v>
      </c>
      <c r="OWZ1337" s="4" t="s">
        <v>2881</v>
      </c>
      <c r="OXA1337" s="4" t="s">
        <v>2881</v>
      </c>
      <c r="OXB1337" s="4" t="s">
        <v>2881</v>
      </c>
      <c r="OXC1337" s="4" t="s">
        <v>2881</v>
      </c>
      <c r="OXD1337" s="4" t="s">
        <v>2881</v>
      </c>
      <c r="OXE1337" s="4" t="s">
        <v>2881</v>
      </c>
      <c r="OXF1337" s="4" t="s">
        <v>2881</v>
      </c>
      <c r="OXG1337" s="4" t="s">
        <v>2881</v>
      </c>
      <c r="OXH1337" s="4" t="s">
        <v>2881</v>
      </c>
      <c r="OXI1337" s="4" t="s">
        <v>2881</v>
      </c>
      <c r="OXJ1337" s="4" t="s">
        <v>2881</v>
      </c>
      <c r="OXK1337" s="4" t="s">
        <v>2881</v>
      </c>
      <c r="OXL1337" s="4" t="s">
        <v>2881</v>
      </c>
      <c r="OXM1337" s="4" t="s">
        <v>2881</v>
      </c>
      <c r="OXN1337" s="4" t="s">
        <v>2881</v>
      </c>
      <c r="OXO1337" s="4" t="s">
        <v>2881</v>
      </c>
      <c r="OXP1337" s="4" t="s">
        <v>2881</v>
      </c>
      <c r="OXQ1337" s="4" t="s">
        <v>2881</v>
      </c>
      <c r="OXR1337" s="4" t="s">
        <v>2881</v>
      </c>
      <c r="OXS1337" s="4" t="s">
        <v>2881</v>
      </c>
      <c r="OXT1337" s="4" t="s">
        <v>2881</v>
      </c>
      <c r="OXU1337" s="4" t="s">
        <v>2881</v>
      </c>
      <c r="OXV1337" s="4" t="s">
        <v>2881</v>
      </c>
      <c r="OXW1337" s="4" t="s">
        <v>2881</v>
      </c>
      <c r="OXX1337" s="4" t="s">
        <v>2881</v>
      </c>
      <c r="OXY1337" s="4" t="s">
        <v>2881</v>
      </c>
      <c r="OXZ1337" s="4" t="s">
        <v>2881</v>
      </c>
      <c r="OYA1337" s="4" t="s">
        <v>2881</v>
      </c>
      <c r="OYB1337" s="4" t="s">
        <v>2881</v>
      </c>
      <c r="OYC1337" s="4" t="s">
        <v>2881</v>
      </c>
      <c r="OYD1337" s="4" t="s">
        <v>2881</v>
      </c>
      <c r="OYE1337" s="4" t="s">
        <v>2881</v>
      </c>
      <c r="OYF1337" s="4" t="s">
        <v>2881</v>
      </c>
      <c r="OYG1337" s="4" t="s">
        <v>2881</v>
      </c>
      <c r="OYH1337" s="4" t="s">
        <v>2881</v>
      </c>
      <c r="OYI1337" s="4" t="s">
        <v>2881</v>
      </c>
      <c r="OYJ1337" s="4" t="s">
        <v>2881</v>
      </c>
      <c r="OYK1337" s="4" t="s">
        <v>2881</v>
      </c>
      <c r="OYL1337" s="4" t="s">
        <v>2881</v>
      </c>
      <c r="OYM1337" s="4" t="s">
        <v>2881</v>
      </c>
      <c r="OYN1337" s="4" t="s">
        <v>2881</v>
      </c>
      <c r="OYO1337" s="4" t="s">
        <v>2881</v>
      </c>
      <c r="OYP1337" s="4" t="s">
        <v>2881</v>
      </c>
      <c r="OYQ1337" s="4" t="s">
        <v>2881</v>
      </c>
      <c r="OYR1337" s="4" t="s">
        <v>2881</v>
      </c>
      <c r="OYS1337" s="4" t="s">
        <v>2881</v>
      </c>
      <c r="OYT1337" s="4" t="s">
        <v>2881</v>
      </c>
      <c r="OYU1337" s="4" t="s">
        <v>2881</v>
      </c>
      <c r="OYV1337" s="4" t="s">
        <v>2881</v>
      </c>
      <c r="OYW1337" s="4" t="s">
        <v>2881</v>
      </c>
      <c r="OYX1337" s="4" t="s">
        <v>2881</v>
      </c>
      <c r="OYY1337" s="4" t="s">
        <v>2881</v>
      </c>
      <c r="OYZ1337" s="4" t="s">
        <v>2881</v>
      </c>
      <c r="OZA1337" s="4" t="s">
        <v>2881</v>
      </c>
      <c r="OZB1337" s="4" t="s">
        <v>2881</v>
      </c>
      <c r="OZC1337" s="4" t="s">
        <v>2881</v>
      </c>
      <c r="OZD1337" s="4" t="s">
        <v>2881</v>
      </c>
      <c r="OZE1337" s="4" t="s">
        <v>2881</v>
      </c>
      <c r="OZF1337" s="4" t="s">
        <v>2881</v>
      </c>
      <c r="OZG1337" s="4" t="s">
        <v>2881</v>
      </c>
      <c r="OZH1337" s="4" t="s">
        <v>2881</v>
      </c>
      <c r="OZI1337" s="4" t="s">
        <v>2881</v>
      </c>
      <c r="OZJ1337" s="4" t="s">
        <v>2881</v>
      </c>
      <c r="OZK1337" s="4" t="s">
        <v>2881</v>
      </c>
      <c r="OZL1337" s="4" t="s">
        <v>2881</v>
      </c>
      <c r="OZM1337" s="4" t="s">
        <v>2881</v>
      </c>
      <c r="OZN1337" s="4" t="s">
        <v>2881</v>
      </c>
      <c r="OZO1337" s="4" t="s">
        <v>2881</v>
      </c>
      <c r="OZP1337" s="4" t="s">
        <v>2881</v>
      </c>
      <c r="OZQ1337" s="4" t="s">
        <v>2881</v>
      </c>
      <c r="OZR1337" s="4" t="s">
        <v>2881</v>
      </c>
      <c r="OZS1337" s="4" t="s">
        <v>2881</v>
      </c>
      <c r="OZT1337" s="4" t="s">
        <v>2881</v>
      </c>
      <c r="OZU1337" s="4" t="s">
        <v>2881</v>
      </c>
      <c r="OZV1337" s="4" t="s">
        <v>2881</v>
      </c>
      <c r="OZW1337" s="4" t="s">
        <v>2881</v>
      </c>
      <c r="OZX1337" s="4" t="s">
        <v>2881</v>
      </c>
      <c r="OZY1337" s="4" t="s">
        <v>2881</v>
      </c>
      <c r="OZZ1337" s="4" t="s">
        <v>2881</v>
      </c>
      <c r="PAA1337" s="4" t="s">
        <v>2881</v>
      </c>
      <c r="PAB1337" s="4" t="s">
        <v>2881</v>
      </c>
      <c r="PAC1337" s="4" t="s">
        <v>2881</v>
      </c>
      <c r="PAD1337" s="4" t="s">
        <v>2881</v>
      </c>
      <c r="PAE1337" s="4" t="s">
        <v>2881</v>
      </c>
      <c r="PAF1337" s="4" t="s">
        <v>2881</v>
      </c>
      <c r="PAG1337" s="4" t="s">
        <v>2881</v>
      </c>
      <c r="PAH1337" s="4" t="s">
        <v>2881</v>
      </c>
      <c r="PAI1337" s="4" t="s">
        <v>2881</v>
      </c>
      <c r="PAJ1337" s="4" t="s">
        <v>2881</v>
      </c>
      <c r="PAK1337" s="4" t="s">
        <v>2881</v>
      </c>
      <c r="PAL1337" s="4" t="s">
        <v>2881</v>
      </c>
      <c r="PAM1337" s="4" t="s">
        <v>2881</v>
      </c>
      <c r="PAN1337" s="4" t="s">
        <v>2881</v>
      </c>
      <c r="PAO1337" s="4" t="s">
        <v>2881</v>
      </c>
      <c r="PAP1337" s="4" t="s">
        <v>2881</v>
      </c>
      <c r="PAQ1337" s="4" t="s">
        <v>2881</v>
      </c>
      <c r="PAR1337" s="4" t="s">
        <v>2881</v>
      </c>
      <c r="PAS1337" s="4" t="s">
        <v>2881</v>
      </c>
      <c r="PAT1337" s="4" t="s">
        <v>2881</v>
      </c>
      <c r="PAU1337" s="4" t="s">
        <v>2881</v>
      </c>
      <c r="PAV1337" s="4" t="s">
        <v>2881</v>
      </c>
      <c r="PAW1337" s="4" t="s">
        <v>2881</v>
      </c>
      <c r="PAX1337" s="4" t="s">
        <v>2881</v>
      </c>
      <c r="PAY1337" s="4" t="s">
        <v>2881</v>
      </c>
      <c r="PAZ1337" s="4" t="s">
        <v>2881</v>
      </c>
      <c r="PBA1337" s="4" t="s">
        <v>2881</v>
      </c>
      <c r="PBB1337" s="4" t="s">
        <v>2881</v>
      </c>
      <c r="PBC1337" s="4" t="s">
        <v>2881</v>
      </c>
      <c r="PBD1337" s="4" t="s">
        <v>2881</v>
      </c>
      <c r="PBE1337" s="4" t="s">
        <v>2881</v>
      </c>
      <c r="PBF1337" s="4" t="s">
        <v>2881</v>
      </c>
      <c r="PBG1337" s="4" t="s">
        <v>2881</v>
      </c>
      <c r="PBH1337" s="4" t="s">
        <v>2881</v>
      </c>
      <c r="PBI1337" s="4" t="s">
        <v>2881</v>
      </c>
      <c r="PBJ1337" s="4" t="s">
        <v>2881</v>
      </c>
      <c r="PBK1337" s="4" t="s">
        <v>2881</v>
      </c>
      <c r="PBL1337" s="4" t="s">
        <v>2881</v>
      </c>
      <c r="PBM1337" s="4" t="s">
        <v>2881</v>
      </c>
      <c r="PBN1337" s="4" t="s">
        <v>2881</v>
      </c>
      <c r="PBO1337" s="4" t="s">
        <v>2881</v>
      </c>
      <c r="PBP1337" s="4" t="s">
        <v>2881</v>
      </c>
      <c r="PBQ1337" s="4" t="s">
        <v>2881</v>
      </c>
      <c r="PBR1337" s="4" t="s">
        <v>2881</v>
      </c>
      <c r="PBS1337" s="4" t="s">
        <v>2881</v>
      </c>
      <c r="PBT1337" s="4" t="s">
        <v>2881</v>
      </c>
      <c r="PBU1337" s="4" t="s">
        <v>2881</v>
      </c>
      <c r="PBV1337" s="4" t="s">
        <v>2881</v>
      </c>
      <c r="PBW1337" s="4" t="s">
        <v>2881</v>
      </c>
      <c r="PBX1337" s="4" t="s">
        <v>2881</v>
      </c>
      <c r="PBY1337" s="4" t="s">
        <v>2881</v>
      </c>
      <c r="PBZ1337" s="4" t="s">
        <v>2881</v>
      </c>
      <c r="PCA1337" s="4" t="s">
        <v>2881</v>
      </c>
      <c r="PCB1337" s="4" t="s">
        <v>2881</v>
      </c>
      <c r="PCC1337" s="4" t="s">
        <v>2881</v>
      </c>
      <c r="PCD1337" s="4" t="s">
        <v>2881</v>
      </c>
      <c r="PCE1337" s="4" t="s">
        <v>2881</v>
      </c>
      <c r="PCF1337" s="4" t="s">
        <v>2881</v>
      </c>
      <c r="PCG1337" s="4" t="s">
        <v>2881</v>
      </c>
      <c r="PCH1337" s="4" t="s">
        <v>2881</v>
      </c>
      <c r="PCI1337" s="4" t="s">
        <v>2881</v>
      </c>
      <c r="PCJ1337" s="4" t="s">
        <v>2881</v>
      </c>
      <c r="PCK1337" s="4" t="s">
        <v>2881</v>
      </c>
      <c r="PCL1337" s="4" t="s">
        <v>2881</v>
      </c>
      <c r="PCM1337" s="4" t="s">
        <v>2881</v>
      </c>
      <c r="PCN1337" s="4" t="s">
        <v>2881</v>
      </c>
      <c r="PCO1337" s="4" t="s">
        <v>2881</v>
      </c>
      <c r="PCP1337" s="4" t="s">
        <v>2881</v>
      </c>
      <c r="PCQ1337" s="4" t="s">
        <v>2881</v>
      </c>
      <c r="PCR1337" s="4" t="s">
        <v>2881</v>
      </c>
      <c r="PCS1337" s="4" t="s">
        <v>2881</v>
      </c>
      <c r="PCT1337" s="4" t="s">
        <v>2881</v>
      </c>
      <c r="PCU1337" s="4" t="s">
        <v>2881</v>
      </c>
      <c r="PCV1337" s="4" t="s">
        <v>2881</v>
      </c>
      <c r="PCW1337" s="4" t="s">
        <v>2881</v>
      </c>
      <c r="PCX1337" s="4" t="s">
        <v>2881</v>
      </c>
      <c r="PCY1337" s="4" t="s">
        <v>2881</v>
      </c>
      <c r="PCZ1337" s="4" t="s">
        <v>2881</v>
      </c>
      <c r="PDA1337" s="4" t="s">
        <v>2881</v>
      </c>
      <c r="PDB1337" s="4" t="s">
        <v>2881</v>
      </c>
      <c r="PDC1337" s="4" t="s">
        <v>2881</v>
      </c>
      <c r="PDD1337" s="4" t="s">
        <v>2881</v>
      </c>
      <c r="PDE1337" s="4" t="s">
        <v>2881</v>
      </c>
      <c r="PDF1337" s="4" t="s">
        <v>2881</v>
      </c>
      <c r="PDG1337" s="4" t="s">
        <v>2881</v>
      </c>
      <c r="PDH1337" s="4" t="s">
        <v>2881</v>
      </c>
      <c r="PDI1337" s="4" t="s">
        <v>2881</v>
      </c>
      <c r="PDJ1337" s="4" t="s">
        <v>2881</v>
      </c>
      <c r="PDK1337" s="4" t="s">
        <v>2881</v>
      </c>
      <c r="PDL1337" s="4" t="s">
        <v>2881</v>
      </c>
      <c r="PDM1337" s="4" t="s">
        <v>2881</v>
      </c>
      <c r="PDN1337" s="4" t="s">
        <v>2881</v>
      </c>
      <c r="PDO1337" s="4" t="s">
        <v>2881</v>
      </c>
      <c r="PDP1337" s="4" t="s">
        <v>2881</v>
      </c>
      <c r="PDQ1337" s="4" t="s">
        <v>2881</v>
      </c>
      <c r="PDR1337" s="4" t="s">
        <v>2881</v>
      </c>
      <c r="PDS1337" s="4" t="s">
        <v>2881</v>
      </c>
      <c r="PDT1337" s="4" t="s">
        <v>2881</v>
      </c>
      <c r="PDU1337" s="4" t="s">
        <v>2881</v>
      </c>
      <c r="PDV1337" s="4" t="s">
        <v>2881</v>
      </c>
      <c r="PDW1337" s="4" t="s">
        <v>2881</v>
      </c>
      <c r="PDX1337" s="4" t="s">
        <v>2881</v>
      </c>
      <c r="PDY1337" s="4" t="s">
        <v>2881</v>
      </c>
      <c r="PDZ1337" s="4" t="s">
        <v>2881</v>
      </c>
      <c r="PEA1337" s="4" t="s">
        <v>2881</v>
      </c>
      <c r="PEB1337" s="4" t="s">
        <v>2881</v>
      </c>
      <c r="PEC1337" s="4" t="s">
        <v>2881</v>
      </c>
      <c r="PED1337" s="4" t="s">
        <v>2881</v>
      </c>
      <c r="PEE1337" s="4" t="s">
        <v>2881</v>
      </c>
      <c r="PEF1337" s="4" t="s">
        <v>2881</v>
      </c>
      <c r="PEG1337" s="4" t="s">
        <v>2881</v>
      </c>
      <c r="PEH1337" s="4" t="s">
        <v>2881</v>
      </c>
      <c r="PEI1337" s="4" t="s">
        <v>2881</v>
      </c>
      <c r="PEJ1337" s="4" t="s">
        <v>2881</v>
      </c>
      <c r="PEK1337" s="4" t="s">
        <v>2881</v>
      </c>
      <c r="PEL1337" s="4" t="s">
        <v>2881</v>
      </c>
      <c r="PEM1337" s="4" t="s">
        <v>2881</v>
      </c>
      <c r="PEN1337" s="4" t="s">
        <v>2881</v>
      </c>
      <c r="PEO1337" s="4" t="s">
        <v>2881</v>
      </c>
      <c r="PEP1337" s="4" t="s">
        <v>2881</v>
      </c>
      <c r="PEQ1337" s="4" t="s">
        <v>2881</v>
      </c>
      <c r="PER1337" s="4" t="s">
        <v>2881</v>
      </c>
      <c r="PES1337" s="4" t="s">
        <v>2881</v>
      </c>
      <c r="PET1337" s="4" t="s">
        <v>2881</v>
      </c>
      <c r="PEU1337" s="4" t="s">
        <v>2881</v>
      </c>
      <c r="PEV1337" s="4" t="s">
        <v>2881</v>
      </c>
      <c r="PEW1337" s="4" t="s">
        <v>2881</v>
      </c>
      <c r="PEX1337" s="4" t="s">
        <v>2881</v>
      </c>
      <c r="PEY1337" s="4" t="s">
        <v>2881</v>
      </c>
      <c r="PEZ1337" s="4" t="s">
        <v>2881</v>
      </c>
      <c r="PFA1337" s="4" t="s">
        <v>2881</v>
      </c>
      <c r="PFB1337" s="4" t="s">
        <v>2881</v>
      </c>
      <c r="PFC1337" s="4" t="s">
        <v>2881</v>
      </c>
      <c r="PFD1337" s="4" t="s">
        <v>2881</v>
      </c>
      <c r="PFE1337" s="4" t="s">
        <v>2881</v>
      </c>
      <c r="PFF1337" s="4" t="s">
        <v>2881</v>
      </c>
      <c r="PFG1337" s="4" t="s">
        <v>2881</v>
      </c>
      <c r="PFH1337" s="4" t="s">
        <v>2881</v>
      </c>
      <c r="PFI1337" s="4" t="s">
        <v>2881</v>
      </c>
      <c r="PFJ1337" s="4" t="s">
        <v>2881</v>
      </c>
      <c r="PFK1337" s="4" t="s">
        <v>2881</v>
      </c>
      <c r="PFL1337" s="4" t="s">
        <v>2881</v>
      </c>
      <c r="PFM1337" s="4" t="s">
        <v>2881</v>
      </c>
      <c r="PFN1337" s="4" t="s">
        <v>2881</v>
      </c>
      <c r="PFO1337" s="4" t="s">
        <v>2881</v>
      </c>
      <c r="PFP1337" s="4" t="s">
        <v>2881</v>
      </c>
      <c r="PFQ1337" s="4" t="s">
        <v>2881</v>
      </c>
      <c r="PFR1337" s="4" t="s">
        <v>2881</v>
      </c>
      <c r="PFS1337" s="4" t="s">
        <v>2881</v>
      </c>
      <c r="PFT1337" s="4" t="s">
        <v>2881</v>
      </c>
      <c r="PFU1337" s="4" t="s">
        <v>2881</v>
      </c>
      <c r="PFV1337" s="4" t="s">
        <v>2881</v>
      </c>
      <c r="PFW1337" s="4" t="s">
        <v>2881</v>
      </c>
      <c r="PFX1337" s="4" t="s">
        <v>2881</v>
      </c>
      <c r="PFY1337" s="4" t="s">
        <v>2881</v>
      </c>
      <c r="PFZ1337" s="4" t="s">
        <v>2881</v>
      </c>
      <c r="PGA1337" s="4" t="s">
        <v>2881</v>
      </c>
      <c r="PGB1337" s="4" t="s">
        <v>2881</v>
      </c>
      <c r="PGC1337" s="4" t="s">
        <v>2881</v>
      </c>
      <c r="PGD1337" s="4" t="s">
        <v>2881</v>
      </c>
      <c r="PGE1337" s="4" t="s">
        <v>2881</v>
      </c>
      <c r="PGF1337" s="4" t="s">
        <v>2881</v>
      </c>
      <c r="PGG1337" s="4" t="s">
        <v>2881</v>
      </c>
      <c r="PGH1337" s="4" t="s">
        <v>2881</v>
      </c>
      <c r="PGI1337" s="4" t="s">
        <v>2881</v>
      </c>
      <c r="PGJ1337" s="4" t="s">
        <v>2881</v>
      </c>
      <c r="PGK1337" s="4" t="s">
        <v>2881</v>
      </c>
      <c r="PGL1337" s="4" t="s">
        <v>2881</v>
      </c>
      <c r="PGM1337" s="4" t="s">
        <v>2881</v>
      </c>
      <c r="PGN1337" s="4" t="s">
        <v>2881</v>
      </c>
      <c r="PGO1337" s="4" t="s">
        <v>2881</v>
      </c>
      <c r="PGP1337" s="4" t="s">
        <v>2881</v>
      </c>
      <c r="PGQ1337" s="4" t="s">
        <v>2881</v>
      </c>
      <c r="PGR1337" s="4" t="s">
        <v>2881</v>
      </c>
      <c r="PGS1337" s="4" t="s">
        <v>2881</v>
      </c>
      <c r="PGT1337" s="4" t="s">
        <v>2881</v>
      </c>
      <c r="PGU1337" s="4" t="s">
        <v>2881</v>
      </c>
      <c r="PGV1337" s="4" t="s">
        <v>2881</v>
      </c>
      <c r="PGW1337" s="4" t="s">
        <v>2881</v>
      </c>
      <c r="PGX1337" s="4" t="s">
        <v>2881</v>
      </c>
      <c r="PGY1337" s="4" t="s">
        <v>2881</v>
      </c>
      <c r="PGZ1337" s="4" t="s">
        <v>2881</v>
      </c>
      <c r="PHA1337" s="4" t="s">
        <v>2881</v>
      </c>
      <c r="PHB1337" s="4" t="s">
        <v>2881</v>
      </c>
      <c r="PHC1337" s="4" t="s">
        <v>2881</v>
      </c>
      <c r="PHD1337" s="4" t="s">
        <v>2881</v>
      </c>
      <c r="PHE1337" s="4" t="s">
        <v>2881</v>
      </c>
      <c r="PHF1337" s="4" t="s">
        <v>2881</v>
      </c>
      <c r="PHG1337" s="4" t="s">
        <v>2881</v>
      </c>
      <c r="PHH1337" s="4" t="s">
        <v>2881</v>
      </c>
      <c r="PHI1337" s="4" t="s">
        <v>2881</v>
      </c>
      <c r="PHJ1337" s="4" t="s">
        <v>2881</v>
      </c>
      <c r="PHK1337" s="4" t="s">
        <v>2881</v>
      </c>
      <c r="PHL1337" s="4" t="s">
        <v>2881</v>
      </c>
      <c r="PHM1337" s="4" t="s">
        <v>2881</v>
      </c>
      <c r="PHN1337" s="4" t="s">
        <v>2881</v>
      </c>
      <c r="PHO1337" s="4" t="s">
        <v>2881</v>
      </c>
      <c r="PHP1337" s="4" t="s">
        <v>2881</v>
      </c>
      <c r="PHQ1337" s="4" t="s">
        <v>2881</v>
      </c>
      <c r="PHR1337" s="4" t="s">
        <v>2881</v>
      </c>
      <c r="PHS1337" s="4" t="s">
        <v>2881</v>
      </c>
      <c r="PHT1337" s="4" t="s">
        <v>2881</v>
      </c>
      <c r="PHU1337" s="4" t="s">
        <v>2881</v>
      </c>
      <c r="PHV1337" s="4" t="s">
        <v>2881</v>
      </c>
      <c r="PHW1337" s="4" t="s">
        <v>2881</v>
      </c>
      <c r="PHX1337" s="4" t="s">
        <v>2881</v>
      </c>
      <c r="PHY1337" s="4" t="s">
        <v>2881</v>
      </c>
      <c r="PHZ1337" s="4" t="s">
        <v>2881</v>
      </c>
      <c r="PIA1337" s="4" t="s">
        <v>2881</v>
      </c>
      <c r="PIB1337" s="4" t="s">
        <v>2881</v>
      </c>
      <c r="PIC1337" s="4" t="s">
        <v>2881</v>
      </c>
      <c r="PID1337" s="4" t="s">
        <v>2881</v>
      </c>
      <c r="PIE1337" s="4" t="s">
        <v>2881</v>
      </c>
      <c r="PIF1337" s="4" t="s">
        <v>2881</v>
      </c>
      <c r="PIG1337" s="4" t="s">
        <v>2881</v>
      </c>
      <c r="PIH1337" s="4" t="s">
        <v>2881</v>
      </c>
      <c r="PII1337" s="4" t="s">
        <v>2881</v>
      </c>
      <c r="PIJ1337" s="4" t="s">
        <v>2881</v>
      </c>
      <c r="PIK1337" s="4" t="s">
        <v>2881</v>
      </c>
      <c r="PIL1337" s="4" t="s">
        <v>2881</v>
      </c>
      <c r="PIM1337" s="4" t="s">
        <v>2881</v>
      </c>
      <c r="PIN1337" s="4" t="s">
        <v>2881</v>
      </c>
      <c r="PIO1337" s="4" t="s">
        <v>2881</v>
      </c>
      <c r="PIP1337" s="4" t="s">
        <v>2881</v>
      </c>
      <c r="PIQ1337" s="4" t="s">
        <v>2881</v>
      </c>
      <c r="PIR1337" s="4" t="s">
        <v>2881</v>
      </c>
      <c r="PIS1337" s="4" t="s">
        <v>2881</v>
      </c>
      <c r="PIT1337" s="4" t="s">
        <v>2881</v>
      </c>
      <c r="PIU1337" s="4" t="s">
        <v>2881</v>
      </c>
      <c r="PIV1337" s="4" t="s">
        <v>2881</v>
      </c>
      <c r="PIW1337" s="4" t="s">
        <v>2881</v>
      </c>
      <c r="PIX1337" s="4" t="s">
        <v>2881</v>
      </c>
      <c r="PIY1337" s="4" t="s">
        <v>2881</v>
      </c>
      <c r="PIZ1337" s="4" t="s">
        <v>2881</v>
      </c>
      <c r="PJA1337" s="4" t="s">
        <v>2881</v>
      </c>
      <c r="PJB1337" s="4" t="s">
        <v>2881</v>
      </c>
      <c r="PJC1337" s="4" t="s">
        <v>2881</v>
      </c>
      <c r="PJD1337" s="4" t="s">
        <v>2881</v>
      </c>
      <c r="PJE1337" s="4" t="s">
        <v>2881</v>
      </c>
      <c r="PJF1337" s="4" t="s">
        <v>2881</v>
      </c>
      <c r="PJG1337" s="4" t="s">
        <v>2881</v>
      </c>
      <c r="PJH1337" s="4" t="s">
        <v>2881</v>
      </c>
      <c r="PJI1337" s="4" t="s">
        <v>2881</v>
      </c>
      <c r="PJJ1337" s="4" t="s">
        <v>2881</v>
      </c>
      <c r="PJK1337" s="4" t="s">
        <v>2881</v>
      </c>
      <c r="PJL1337" s="4" t="s">
        <v>2881</v>
      </c>
      <c r="PJM1337" s="4" t="s">
        <v>2881</v>
      </c>
      <c r="PJN1337" s="4" t="s">
        <v>2881</v>
      </c>
      <c r="PJO1337" s="4" t="s">
        <v>2881</v>
      </c>
      <c r="PJP1337" s="4" t="s">
        <v>2881</v>
      </c>
      <c r="PJQ1337" s="4" t="s">
        <v>2881</v>
      </c>
      <c r="PJR1337" s="4" t="s">
        <v>2881</v>
      </c>
      <c r="PJS1337" s="4" t="s">
        <v>2881</v>
      </c>
      <c r="PJT1337" s="4" t="s">
        <v>2881</v>
      </c>
      <c r="PJU1337" s="4" t="s">
        <v>2881</v>
      </c>
      <c r="PJV1337" s="4" t="s">
        <v>2881</v>
      </c>
      <c r="PJW1337" s="4" t="s">
        <v>2881</v>
      </c>
      <c r="PJX1337" s="4" t="s">
        <v>2881</v>
      </c>
      <c r="PJY1337" s="4" t="s">
        <v>2881</v>
      </c>
      <c r="PJZ1337" s="4" t="s">
        <v>2881</v>
      </c>
      <c r="PKA1337" s="4" t="s">
        <v>2881</v>
      </c>
      <c r="PKB1337" s="4" t="s">
        <v>2881</v>
      </c>
      <c r="PKC1337" s="4" t="s">
        <v>2881</v>
      </c>
      <c r="PKD1337" s="4" t="s">
        <v>2881</v>
      </c>
      <c r="PKE1337" s="4" t="s">
        <v>2881</v>
      </c>
      <c r="PKF1337" s="4" t="s">
        <v>2881</v>
      </c>
      <c r="PKG1337" s="4" t="s">
        <v>2881</v>
      </c>
      <c r="PKH1337" s="4" t="s">
        <v>2881</v>
      </c>
      <c r="PKI1337" s="4" t="s">
        <v>2881</v>
      </c>
      <c r="PKJ1337" s="4" t="s">
        <v>2881</v>
      </c>
      <c r="PKK1337" s="4" t="s">
        <v>2881</v>
      </c>
      <c r="PKL1337" s="4" t="s">
        <v>2881</v>
      </c>
      <c r="PKM1337" s="4" t="s">
        <v>2881</v>
      </c>
      <c r="PKN1337" s="4" t="s">
        <v>2881</v>
      </c>
      <c r="PKO1337" s="4" t="s">
        <v>2881</v>
      </c>
      <c r="PKP1337" s="4" t="s">
        <v>2881</v>
      </c>
      <c r="PKQ1337" s="4" t="s">
        <v>2881</v>
      </c>
      <c r="PKR1337" s="4" t="s">
        <v>2881</v>
      </c>
      <c r="PKS1337" s="4" t="s">
        <v>2881</v>
      </c>
      <c r="PKT1337" s="4" t="s">
        <v>2881</v>
      </c>
      <c r="PKU1337" s="4" t="s">
        <v>2881</v>
      </c>
      <c r="PKV1337" s="4" t="s">
        <v>2881</v>
      </c>
      <c r="PKW1337" s="4" t="s">
        <v>2881</v>
      </c>
      <c r="PKX1337" s="4" t="s">
        <v>2881</v>
      </c>
      <c r="PKY1337" s="4" t="s">
        <v>2881</v>
      </c>
      <c r="PKZ1337" s="4" t="s">
        <v>2881</v>
      </c>
      <c r="PLA1337" s="4" t="s">
        <v>2881</v>
      </c>
      <c r="PLB1337" s="4" t="s">
        <v>2881</v>
      </c>
      <c r="PLC1337" s="4" t="s">
        <v>2881</v>
      </c>
      <c r="PLD1337" s="4" t="s">
        <v>2881</v>
      </c>
      <c r="PLE1337" s="4" t="s">
        <v>2881</v>
      </c>
      <c r="PLF1337" s="4" t="s">
        <v>2881</v>
      </c>
      <c r="PLG1337" s="4" t="s">
        <v>2881</v>
      </c>
      <c r="PLH1337" s="4" t="s">
        <v>2881</v>
      </c>
      <c r="PLI1337" s="4" t="s">
        <v>2881</v>
      </c>
      <c r="PLJ1337" s="4" t="s">
        <v>2881</v>
      </c>
      <c r="PLK1337" s="4" t="s">
        <v>2881</v>
      </c>
      <c r="PLL1337" s="4" t="s">
        <v>2881</v>
      </c>
      <c r="PLM1337" s="4" t="s">
        <v>2881</v>
      </c>
      <c r="PLN1337" s="4" t="s">
        <v>2881</v>
      </c>
      <c r="PLO1337" s="4" t="s">
        <v>2881</v>
      </c>
      <c r="PLP1337" s="4" t="s">
        <v>2881</v>
      </c>
      <c r="PLQ1337" s="4" t="s">
        <v>2881</v>
      </c>
      <c r="PLR1337" s="4" t="s">
        <v>2881</v>
      </c>
      <c r="PLS1337" s="4" t="s">
        <v>2881</v>
      </c>
      <c r="PLT1337" s="4" t="s">
        <v>2881</v>
      </c>
      <c r="PLU1337" s="4" t="s">
        <v>2881</v>
      </c>
      <c r="PLV1337" s="4" t="s">
        <v>2881</v>
      </c>
      <c r="PLW1337" s="4" t="s">
        <v>2881</v>
      </c>
      <c r="PLX1337" s="4" t="s">
        <v>2881</v>
      </c>
      <c r="PLY1337" s="4" t="s">
        <v>2881</v>
      </c>
      <c r="PLZ1337" s="4" t="s">
        <v>2881</v>
      </c>
      <c r="PMA1337" s="4" t="s">
        <v>2881</v>
      </c>
      <c r="PMB1337" s="4" t="s">
        <v>2881</v>
      </c>
      <c r="PMC1337" s="4" t="s">
        <v>2881</v>
      </c>
      <c r="PMD1337" s="4" t="s">
        <v>2881</v>
      </c>
      <c r="PME1337" s="4" t="s">
        <v>2881</v>
      </c>
      <c r="PMF1337" s="4" t="s">
        <v>2881</v>
      </c>
      <c r="PMG1337" s="4" t="s">
        <v>2881</v>
      </c>
      <c r="PMH1337" s="4" t="s">
        <v>2881</v>
      </c>
      <c r="PMI1337" s="4" t="s">
        <v>2881</v>
      </c>
      <c r="PMJ1337" s="4" t="s">
        <v>2881</v>
      </c>
      <c r="PMK1337" s="4" t="s">
        <v>2881</v>
      </c>
      <c r="PML1337" s="4" t="s">
        <v>2881</v>
      </c>
      <c r="PMM1337" s="4" t="s">
        <v>2881</v>
      </c>
      <c r="PMN1337" s="4" t="s">
        <v>2881</v>
      </c>
      <c r="PMO1337" s="4" t="s">
        <v>2881</v>
      </c>
      <c r="PMP1337" s="4" t="s">
        <v>2881</v>
      </c>
      <c r="PMQ1337" s="4" t="s">
        <v>2881</v>
      </c>
      <c r="PMR1337" s="4" t="s">
        <v>2881</v>
      </c>
      <c r="PMS1337" s="4" t="s">
        <v>2881</v>
      </c>
      <c r="PMT1337" s="4" t="s">
        <v>2881</v>
      </c>
      <c r="PMU1337" s="4" t="s">
        <v>2881</v>
      </c>
      <c r="PMV1337" s="4" t="s">
        <v>2881</v>
      </c>
      <c r="PMW1337" s="4" t="s">
        <v>2881</v>
      </c>
      <c r="PMX1337" s="4" t="s">
        <v>2881</v>
      </c>
      <c r="PMY1337" s="4" t="s">
        <v>2881</v>
      </c>
      <c r="PMZ1337" s="4" t="s">
        <v>2881</v>
      </c>
      <c r="PNA1337" s="4" t="s">
        <v>2881</v>
      </c>
      <c r="PNB1337" s="4" t="s">
        <v>2881</v>
      </c>
      <c r="PNC1337" s="4" t="s">
        <v>2881</v>
      </c>
      <c r="PND1337" s="4" t="s">
        <v>2881</v>
      </c>
      <c r="PNE1337" s="4" t="s">
        <v>2881</v>
      </c>
      <c r="PNF1337" s="4" t="s">
        <v>2881</v>
      </c>
      <c r="PNG1337" s="4" t="s">
        <v>2881</v>
      </c>
      <c r="PNH1337" s="4" t="s">
        <v>2881</v>
      </c>
      <c r="PNI1337" s="4" t="s">
        <v>2881</v>
      </c>
      <c r="PNJ1337" s="4" t="s">
        <v>2881</v>
      </c>
      <c r="PNK1337" s="4" t="s">
        <v>2881</v>
      </c>
      <c r="PNL1337" s="4" t="s">
        <v>2881</v>
      </c>
      <c r="PNM1337" s="4" t="s">
        <v>2881</v>
      </c>
      <c r="PNN1337" s="4" t="s">
        <v>2881</v>
      </c>
      <c r="PNO1337" s="4" t="s">
        <v>2881</v>
      </c>
      <c r="PNP1337" s="4" t="s">
        <v>2881</v>
      </c>
      <c r="PNQ1337" s="4" t="s">
        <v>2881</v>
      </c>
      <c r="PNR1337" s="4" t="s">
        <v>2881</v>
      </c>
      <c r="PNS1337" s="4" t="s">
        <v>2881</v>
      </c>
      <c r="PNT1337" s="4" t="s">
        <v>2881</v>
      </c>
      <c r="PNU1337" s="4" t="s">
        <v>2881</v>
      </c>
      <c r="PNV1337" s="4" t="s">
        <v>2881</v>
      </c>
      <c r="PNW1337" s="4" t="s">
        <v>2881</v>
      </c>
      <c r="PNX1337" s="4" t="s">
        <v>2881</v>
      </c>
      <c r="PNY1337" s="4" t="s">
        <v>2881</v>
      </c>
      <c r="PNZ1337" s="4" t="s">
        <v>2881</v>
      </c>
      <c r="POA1337" s="4" t="s">
        <v>2881</v>
      </c>
      <c r="POB1337" s="4" t="s">
        <v>2881</v>
      </c>
      <c r="POC1337" s="4" t="s">
        <v>2881</v>
      </c>
      <c r="POD1337" s="4" t="s">
        <v>2881</v>
      </c>
      <c r="POE1337" s="4" t="s">
        <v>2881</v>
      </c>
      <c r="POF1337" s="4" t="s">
        <v>2881</v>
      </c>
      <c r="POG1337" s="4" t="s">
        <v>2881</v>
      </c>
      <c r="POH1337" s="4" t="s">
        <v>2881</v>
      </c>
      <c r="POI1337" s="4" t="s">
        <v>2881</v>
      </c>
      <c r="POJ1337" s="4" t="s">
        <v>2881</v>
      </c>
      <c r="POK1337" s="4" t="s">
        <v>2881</v>
      </c>
      <c r="POL1337" s="4" t="s">
        <v>2881</v>
      </c>
      <c r="POM1337" s="4" t="s">
        <v>2881</v>
      </c>
      <c r="PON1337" s="4" t="s">
        <v>2881</v>
      </c>
      <c r="POO1337" s="4" t="s">
        <v>2881</v>
      </c>
      <c r="POP1337" s="4" t="s">
        <v>2881</v>
      </c>
      <c r="POQ1337" s="4" t="s">
        <v>2881</v>
      </c>
      <c r="POR1337" s="4" t="s">
        <v>2881</v>
      </c>
      <c r="POS1337" s="4" t="s">
        <v>2881</v>
      </c>
      <c r="POT1337" s="4" t="s">
        <v>2881</v>
      </c>
      <c r="POU1337" s="4" t="s">
        <v>2881</v>
      </c>
      <c r="POV1337" s="4" t="s">
        <v>2881</v>
      </c>
      <c r="POW1337" s="4" t="s">
        <v>2881</v>
      </c>
      <c r="POX1337" s="4" t="s">
        <v>2881</v>
      </c>
      <c r="POY1337" s="4" t="s">
        <v>2881</v>
      </c>
      <c r="POZ1337" s="4" t="s">
        <v>2881</v>
      </c>
      <c r="PPA1337" s="4" t="s">
        <v>2881</v>
      </c>
      <c r="PPB1337" s="4" t="s">
        <v>2881</v>
      </c>
      <c r="PPC1337" s="4" t="s">
        <v>2881</v>
      </c>
      <c r="PPD1337" s="4" t="s">
        <v>2881</v>
      </c>
      <c r="PPE1337" s="4" t="s">
        <v>2881</v>
      </c>
      <c r="PPF1337" s="4" t="s">
        <v>2881</v>
      </c>
      <c r="PPG1337" s="4" t="s">
        <v>2881</v>
      </c>
      <c r="PPH1337" s="4" t="s">
        <v>2881</v>
      </c>
      <c r="PPI1337" s="4" t="s">
        <v>2881</v>
      </c>
      <c r="PPJ1337" s="4" t="s">
        <v>2881</v>
      </c>
      <c r="PPK1337" s="4" t="s">
        <v>2881</v>
      </c>
      <c r="PPL1337" s="4" t="s">
        <v>2881</v>
      </c>
      <c r="PPM1337" s="4" t="s">
        <v>2881</v>
      </c>
      <c r="PPN1337" s="4" t="s">
        <v>2881</v>
      </c>
      <c r="PPO1337" s="4" t="s">
        <v>2881</v>
      </c>
      <c r="PPP1337" s="4" t="s">
        <v>2881</v>
      </c>
      <c r="PPQ1337" s="4" t="s">
        <v>2881</v>
      </c>
      <c r="PPR1337" s="4" t="s">
        <v>2881</v>
      </c>
      <c r="PPS1337" s="4" t="s">
        <v>2881</v>
      </c>
      <c r="PPT1337" s="4" t="s">
        <v>2881</v>
      </c>
      <c r="PPU1337" s="4" t="s">
        <v>2881</v>
      </c>
      <c r="PPV1337" s="4" t="s">
        <v>2881</v>
      </c>
      <c r="PPW1337" s="4" t="s">
        <v>2881</v>
      </c>
      <c r="PPX1337" s="4" t="s">
        <v>2881</v>
      </c>
      <c r="PPY1337" s="4" t="s">
        <v>2881</v>
      </c>
      <c r="PPZ1337" s="4" t="s">
        <v>2881</v>
      </c>
      <c r="PQA1337" s="4" t="s">
        <v>2881</v>
      </c>
      <c r="PQB1337" s="4" t="s">
        <v>2881</v>
      </c>
      <c r="PQC1337" s="4" t="s">
        <v>2881</v>
      </c>
      <c r="PQD1337" s="4" t="s">
        <v>2881</v>
      </c>
      <c r="PQE1337" s="4" t="s">
        <v>2881</v>
      </c>
      <c r="PQF1337" s="4" t="s">
        <v>2881</v>
      </c>
      <c r="PQG1337" s="4" t="s">
        <v>2881</v>
      </c>
      <c r="PQH1337" s="4" t="s">
        <v>2881</v>
      </c>
      <c r="PQI1337" s="4" t="s">
        <v>2881</v>
      </c>
      <c r="PQJ1337" s="4" t="s">
        <v>2881</v>
      </c>
      <c r="PQK1337" s="4" t="s">
        <v>2881</v>
      </c>
      <c r="PQL1337" s="4" t="s">
        <v>2881</v>
      </c>
      <c r="PQM1337" s="4" t="s">
        <v>2881</v>
      </c>
      <c r="PQN1337" s="4" t="s">
        <v>2881</v>
      </c>
      <c r="PQO1337" s="4" t="s">
        <v>2881</v>
      </c>
      <c r="PQP1337" s="4" t="s">
        <v>2881</v>
      </c>
      <c r="PQQ1337" s="4" t="s">
        <v>2881</v>
      </c>
      <c r="PQR1337" s="4" t="s">
        <v>2881</v>
      </c>
      <c r="PQS1337" s="4" t="s">
        <v>2881</v>
      </c>
      <c r="PQT1337" s="4" t="s">
        <v>2881</v>
      </c>
      <c r="PQU1337" s="4" t="s">
        <v>2881</v>
      </c>
      <c r="PQV1337" s="4" t="s">
        <v>2881</v>
      </c>
      <c r="PQW1337" s="4" t="s">
        <v>2881</v>
      </c>
      <c r="PQX1337" s="4" t="s">
        <v>2881</v>
      </c>
      <c r="PQY1337" s="4" t="s">
        <v>2881</v>
      </c>
      <c r="PQZ1337" s="4" t="s">
        <v>2881</v>
      </c>
      <c r="PRA1337" s="4" t="s">
        <v>2881</v>
      </c>
      <c r="PRB1337" s="4" t="s">
        <v>2881</v>
      </c>
      <c r="PRC1337" s="4" t="s">
        <v>2881</v>
      </c>
      <c r="PRD1337" s="4" t="s">
        <v>2881</v>
      </c>
      <c r="PRE1337" s="4" t="s">
        <v>2881</v>
      </c>
      <c r="PRF1337" s="4" t="s">
        <v>2881</v>
      </c>
      <c r="PRG1337" s="4" t="s">
        <v>2881</v>
      </c>
      <c r="PRH1337" s="4" t="s">
        <v>2881</v>
      </c>
      <c r="PRI1337" s="4" t="s">
        <v>2881</v>
      </c>
      <c r="PRJ1337" s="4" t="s">
        <v>2881</v>
      </c>
      <c r="PRK1337" s="4" t="s">
        <v>2881</v>
      </c>
      <c r="PRL1337" s="4" t="s">
        <v>2881</v>
      </c>
      <c r="PRM1337" s="4" t="s">
        <v>2881</v>
      </c>
      <c r="PRN1337" s="4" t="s">
        <v>2881</v>
      </c>
      <c r="PRO1337" s="4" t="s">
        <v>2881</v>
      </c>
      <c r="PRP1337" s="4" t="s">
        <v>2881</v>
      </c>
      <c r="PRQ1337" s="4" t="s">
        <v>2881</v>
      </c>
      <c r="PRR1337" s="4" t="s">
        <v>2881</v>
      </c>
      <c r="PRS1337" s="4" t="s">
        <v>2881</v>
      </c>
      <c r="PRT1337" s="4" t="s">
        <v>2881</v>
      </c>
      <c r="PRU1337" s="4" t="s">
        <v>2881</v>
      </c>
      <c r="PRV1337" s="4" t="s">
        <v>2881</v>
      </c>
      <c r="PRW1337" s="4" t="s">
        <v>2881</v>
      </c>
      <c r="PRX1337" s="4" t="s">
        <v>2881</v>
      </c>
      <c r="PRY1337" s="4" t="s">
        <v>2881</v>
      </c>
      <c r="PRZ1337" s="4" t="s">
        <v>2881</v>
      </c>
      <c r="PSA1337" s="4" t="s">
        <v>2881</v>
      </c>
      <c r="PSB1337" s="4" t="s">
        <v>2881</v>
      </c>
      <c r="PSC1337" s="4" t="s">
        <v>2881</v>
      </c>
      <c r="PSD1337" s="4" t="s">
        <v>2881</v>
      </c>
      <c r="PSE1337" s="4" t="s">
        <v>2881</v>
      </c>
      <c r="PSF1337" s="4" t="s">
        <v>2881</v>
      </c>
      <c r="PSG1337" s="4" t="s">
        <v>2881</v>
      </c>
      <c r="PSH1337" s="4" t="s">
        <v>2881</v>
      </c>
      <c r="PSI1337" s="4" t="s">
        <v>2881</v>
      </c>
      <c r="PSJ1337" s="4" t="s">
        <v>2881</v>
      </c>
      <c r="PSK1337" s="4" t="s">
        <v>2881</v>
      </c>
      <c r="PSL1337" s="4" t="s">
        <v>2881</v>
      </c>
      <c r="PSM1337" s="4" t="s">
        <v>2881</v>
      </c>
      <c r="PSN1337" s="4" t="s">
        <v>2881</v>
      </c>
      <c r="PSO1337" s="4" t="s">
        <v>2881</v>
      </c>
      <c r="PSP1337" s="4" t="s">
        <v>2881</v>
      </c>
      <c r="PSQ1337" s="4" t="s">
        <v>2881</v>
      </c>
      <c r="PSR1337" s="4" t="s">
        <v>2881</v>
      </c>
      <c r="PSS1337" s="4" t="s">
        <v>2881</v>
      </c>
      <c r="PST1337" s="4" t="s">
        <v>2881</v>
      </c>
      <c r="PSU1337" s="4" t="s">
        <v>2881</v>
      </c>
      <c r="PSV1337" s="4" t="s">
        <v>2881</v>
      </c>
      <c r="PSW1337" s="4" t="s">
        <v>2881</v>
      </c>
      <c r="PSX1337" s="4" t="s">
        <v>2881</v>
      </c>
      <c r="PSY1337" s="4" t="s">
        <v>2881</v>
      </c>
      <c r="PSZ1337" s="4" t="s">
        <v>2881</v>
      </c>
      <c r="PTA1337" s="4" t="s">
        <v>2881</v>
      </c>
      <c r="PTB1337" s="4" t="s">
        <v>2881</v>
      </c>
      <c r="PTC1337" s="4" t="s">
        <v>2881</v>
      </c>
      <c r="PTD1337" s="4" t="s">
        <v>2881</v>
      </c>
      <c r="PTE1337" s="4" t="s">
        <v>2881</v>
      </c>
      <c r="PTF1337" s="4" t="s">
        <v>2881</v>
      </c>
      <c r="PTG1337" s="4" t="s">
        <v>2881</v>
      </c>
      <c r="PTH1337" s="4" t="s">
        <v>2881</v>
      </c>
      <c r="PTI1337" s="4" t="s">
        <v>2881</v>
      </c>
      <c r="PTJ1337" s="4" t="s">
        <v>2881</v>
      </c>
      <c r="PTK1337" s="4" t="s">
        <v>2881</v>
      </c>
      <c r="PTL1337" s="4" t="s">
        <v>2881</v>
      </c>
      <c r="PTM1337" s="4" t="s">
        <v>2881</v>
      </c>
      <c r="PTN1337" s="4" t="s">
        <v>2881</v>
      </c>
      <c r="PTO1337" s="4" t="s">
        <v>2881</v>
      </c>
      <c r="PTP1337" s="4" t="s">
        <v>2881</v>
      </c>
      <c r="PTQ1337" s="4" t="s">
        <v>2881</v>
      </c>
      <c r="PTR1337" s="4" t="s">
        <v>2881</v>
      </c>
      <c r="PTS1337" s="4" t="s">
        <v>2881</v>
      </c>
      <c r="PTT1337" s="4" t="s">
        <v>2881</v>
      </c>
      <c r="PTU1337" s="4" t="s">
        <v>2881</v>
      </c>
      <c r="PTV1337" s="4" t="s">
        <v>2881</v>
      </c>
      <c r="PTW1337" s="4" t="s">
        <v>2881</v>
      </c>
      <c r="PTX1337" s="4" t="s">
        <v>2881</v>
      </c>
      <c r="PTY1337" s="4" t="s">
        <v>2881</v>
      </c>
      <c r="PTZ1337" s="4" t="s">
        <v>2881</v>
      </c>
      <c r="PUA1337" s="4" t="s">
        <v>2881</v>
      </c>
      <c r="PUB1337" s="4" t="s">
        <v>2881</v>
      </c>
      <c r="PUC1337" s="4" t="s">
        <v>2881</v>
      </c>
      <c r="PUD1337" s="4" t="s">
        <v>2881</v>
      </c>
      <c r="PUE1337" s="4" t="s">
        <v>2881</v>
      </c>
      <c r="PUF1337" s="4" t="s">
        <v>2881</v>
      </c>
      <c r="PUG1337" s="4" t="s">
        <v>2881</v>
      </c>
      <c r="PUH1337" s="4" t="s">
        <v>2881</v>
      </c>
      <c r="PUI1337" s="4" t="s">
        <v>2881</v>
      </c>
      <c r="PUJ1337" s="4" t="s">
        <v>2881</v>
      </c>
      <c r="PUK1337" s="4" t="s">
        <v>2881</v>
      </c>
      <c r="PUL1337" s="4" t="s">
        <v>2881</v>
      </c>
      <c r="PUM1337" s="4" t="s">
        <v>2881</v>
      </c>
      <c r="PUN1337" s="4" t="s">
        <v>2881</v>
      </c>
      <c r="PUO1337" s="4" t="s">
        <v>2881</v>
      </c>
      <c r="PUP1337" s="4" t="s">
        <v>2881</v>
      </c>
      <c r="PUQ1337" s="4" t="s">
        <v>2881</v>
      </c>
      <c r="PUR1337" s="4" t="s">
        <v>2881</v>
      </c>
      <c r="PUS1337" s="4" t="s">
        <v>2881</v>
      </c>
      <c r="PUT1337" s="4" t="s">
        <v>2881</v>
      </c>
      <c r="PUU1337" s="4" t="s">
        <v>2881</v>
      </c>
      <c r="PUV1337" s="4" t="s">
        <v>2881</v>
      </c>
      <c r="PUW1337" s="4" t="s">
        <v>2881</v>
      </c>
      <c r="PUX1337" s="4" t="s">
        <v>2881</v>
      </c>
      <c r="PUY1337" s="4" t="s">
        <v>2881</v>
      </c>
      <c r="PUZ1337" s="4" t="s">
        <v>2881</v>
      </c>
      <c r="PVA1337" s="4" t="s">
        <v>2881</v>
      </c>
      <c r="PVB1337" s="4" t="s">
        <v>2881</v>
      </c>
      <c r="PVC1337" s="4" t="s">
        <v>2881</v>
      </c>
      <c r="PVD1337" s="4" t="s">
        <v>2881</v>
      </c>
      <c r="PVE1337" s="4" t="s">
        <v>2881</v>
      </c>
      <c r="PVF1337" s="4" t="s">
        <v>2881</v>
      </c>
      <c r="PVG1337" s="4" t="s">
        <v>2881</v>
      </c>
      <c r="PVH1337" s="4" t="s">
        <v>2881</v>
      </c>
      <c r="PVI1337" s="4" t="s">
        <v>2881</v>
      </c>
      <c r="PVJ1337" s="4" t="s">
        <v>2881</v>
      </c>
      <c r="PVK1337" s="4" t="s">
        <v>2881</v>
      </c>
      <c r="PVL1337" s="4" t="s">
        <v>2881</v>
      </c>
      <c r="PVM1337" s="4" t="s">
        <v>2881</v>
      </c>
      <c r="PVN1337" s="4" t="s">
        <v>2881</v>
      </c>
      <c r="PVO1337" s="4" t="s">
        <v>2881</v>
      </c>
      <c r="PVP1337" s="4" t="s">
        <v>2881</v>
      </c>
      <c r="PVQ1337" s="4" t="s">
        <v>2881</v>
      </c>
      <c r="PVR1337" s="4" t="s">
        <v>2881</v>
      </c>
      <c r="PVS1337" s="4" t="s">
        <v>2881</v>
      </c>
      <c r="PVT1337" s="4" t="s">
        <v>2881</v>
      </c>
      <c r="PVU1337" s="4" t="s">
        <v>2881</v>
      </c>
      <c r="PVV1337" s="4" t="s">
        <v>2881</v>
      </c>
      <c r="PVW1337" s="4" t="s">
        <v>2881</v>
      </c>
      <c r="PVX1337" s="4" t="s">
        <v>2881</v>
      </c>
      <c r="PVY1337" s="4" t="s">
        <v>2881</v>
      </c>
      <c r="PVZ1337" s="4" t="s">
        <v>2881</v>
      </c>
      <c r="PWA1337" s="4" t="s">
        <v>2881</v>
      </c>
      <c r="PWB1337" s="4" t="s">
        <v>2881</v>
      </c>
      <c r="PWC1337" s="4" t="s">
        <v>2881</v>
      </c>
      <c r="PWD1337" s="4" t="s">
        <v>2881</v>
      </c>
      <c r="PWE1337" s="4" t="s">
        <v>2881</v>
      </c>
      <c r="PWF1337" s="4" t="s">
        <v>2881</v>
      </c>
      <c r="PWG1337" s="4" t="s">
        <v>2881</v>
      </c>
      <c r="PWH1337" s="4" t="s">
        <v>2881</v>
      </c>
      <c r="PWI1337" s="4" t="s">
        <v>2881</v>
      </c>
      <c r="PWJ1337" s="4" t="s">
        <v>2881</v>
      </c>
      <c r="PWK1337" s="4" t="s">
        <v>2881</v>
      </c>
      <c r="PWL1337" s="4" t="s">
        <v>2881</v>
      </c>
      <c r="PWM1337" s="4" t="s">
        <v>2881</v>
      </c>
      <c r="PWN1337" s="4" t="s">
        <v>2881</v>
      </c>
      <c r="PWO1337" s="4" t="s">
        <v>2881</v>
      </c>
      <c r="PWP1337" s="4" t="s">
        <v>2881</v>
      </c>
      <c r="PWQ1337" s="4" t="s">
        <v>2881</v>
      </c>
      <c r="PWR1337" s="4" t="s">
        <v>2881</v>
      </c>
      <c r="PWS1337" s="4" t="s">
        <v>2881</v>
      </c>
      <c r="PWT1337" s="4" t="s">
        <v>2881</v>
      </c>
      <c r="PWU1337" s="4" t="s">
        <v>2881</v>
      </c>
      <c r="PWV1337" s="4" t="s">
        <v>2881</v>
      </c>
      <c r="PWW1337" s="4" t="s">
        <v>2881</v>
      </c>
      <c r="PWX1337" s="4" t="s">
        <v>2881</v>
      </c>
      <c r="PWY1337" s="4" t="s">
        <v>2881</v>
      </c>
      <c r="PWZ1337" s="4" t="s">
        <v>2881</v>
      </c>
      <c r="PXA1337" s="4" t="s">
        <v>2881</v>
      </c>
      <c r="PXB1337" s="4" t="s">
        <v>2881</v>
      </c>
      <c r="PXC1337" s="4" t="s">
        <v>2881</v>
      </c>
      <c r="PXD1337" s="4" t="s">
        <v>2881</v>
      </c>
      <c r="PXE1337" s="4" t="s">
        <v>2881</v>
      </c>
      <c r="PXF1337" s="4" t="s">
        <v>2881</v>
      </c>
      <c r="PXG1337" s="4" t="s">
        <v>2881</v>
      </c>
      <c r="PXH1337" s="4" t="s">
        <v>2881</v>
      </c>
      <c r="PXI1337" s="4" t="s">
        <v>2881</v>
      </c>
      <c r="PXJ1337" s="4" t="s">
        <v>2881</v>
      </c>
      <c r="PXK1337" s="4" t="s">
        <v>2881</v>
      </c>
      <c r="PXL1337" s="4" t="s">
        <v>2881</v>
      </c>
      <c r="PXM1337" s="4" t="s">
        <v>2881</v>
      </c>
      <c r="PXN1337" s="4" t="s">
        <v>2881</v>
      </c>
      <c r="PXO1337" s="4" t="s">
        <v>2881</v>
      </c>
      <c r="PXP1337" s="4" t="s">
        <v>2881</v>
      </c>
      <c r="PXQ1337" s="4" t="s">
        <v>2881</v>
      </c>
      <c r="PXR1337" s="4" t="s">
        <v>2881</v>
      </c>
      <c r="PXS1337" s="4" t="s">
        <v>2881</v>
      </c>
      <c r="PXT1337" s="4" t="s">
        <v>2881</v>
      </c>
      <c r="PXU1337" s="4" t="s">
        <v>2881</v>
      </c>
      <c r="PXV1337" s="4" t="s">
        <v>2881</v>
      </c>
      <c r="PXW1337" s="4" t="s">
        <v>2881</v>
      </c>
      <c r="PXX1337" s="4" t="s">
        <v>2881</v>
      </c>
      <c r="PXY1337" s="4" t="s">
        <v>2881</v>
      </c>
      <c r="PXZ1337" s="4" t="s">
        <v>2881</v>
      </c>
      <c r="PYA1337" s="4" t="s">
        <v>2881</v>
      </c>
      <c r="PYB1337" s="4" t="s">
        <v>2881</v>
      </c>
      <c r="PYC1337" s="4" t="s">
        <v>2881</v>
      </c>
      <c r="PYD1337" s="4" t="s">
        <v>2881</v>
      </c>
      <c r="PYE1337" s="4" t="s">
        <v>2881</v>
      </c>
      <c r="PYF1337" s="4" t="s">
        <v>2881</v>
      </c>
      <c r="PYG1337" s="4" t="s">
        <v>2881</v>
      </c>
      <c r="PYH1337" s="4" t="s">
        <v>2881</v>
      </c>
      <c r="PYI1337" s="4" t="s">
        <v>2881</v>
      </c>
      <c r="PYJ1337" s="4" t="s">
        <v>2881</v>
      </c>
      <c r="PYK1337" s="4" t="s">
        <v>2881</v>
      </c>
      <c r="PYL1337" s="4" t="s">
        <v>2881</v>
      </c>
      <c r="PYM1337" s="4" t="s">
        <v>2881</v>
      </c>
      <c r="PYN1337" s="4" t="s">
        <v>2881</v>
      </c>
      <c r="PYO1337" s="4" t="s">
        <v>2881</v>
      </c>
      <c r="PYP1337" s="4" t="s">
        <v>2881</v>
      </c>
      <c r="PYQ1337" s="4" t="s">
        <v>2881</v>
      </c>
      <c r="PYR1337" s="4" t="s">
        <v>2881</v>
      </c>
      <c r="PYS1337" s="4" t="s">
        <v>2881</v>
      </c>
      <c r="PYT1337" s="4" t="s">
        <v>2881</v>
      </c>
      <c r="PYU1337" s="4" t="s">
        <v>2881</v>
      </c>
      <c r="PYV1337" s="4" t="s">
        <v>2881</v>
      </c>
      <c r="PYW1337" s="4" t="s">
        <v>2881</v>
      </c>
      <c r="PYX1337" s="4" t="s">
        <v>2881</v>
      </c>
      <c r="PYY1337" s="4" t="s">
        <v>2881</v>
      </c>
      <c r="PYZ1337" s="4" t="s">
        <v>2881</v>
      </c>
      <c r="PZA1337" s="4" t="s">
        <v>2881</v>
      </c>
      <c r="PZB1337" s="4" t="s">
        <v>2881</v>
      </c>
      <c r="PZC1337" s="4" t="s">
        <v>2881</v>
      </c>
      <c r="PZD1337" s="4" t="s">
        <v>2881</v>
      </c>
      <c r="PZE1337" s="4" t="s">
        <v>2881</v>
      </c>
      <c r="PZF1337" s="4" t="s">
        <v>2881</v>
      </c>
      <c r="PZG1337" s="4" t="s">
        <v>2881</v>
      </c>
      <c r="PZH1337" s="4" t="s">
        <v>2881</v>
      </c>
      <c r="PZI1337" s="4" t="s">
        <v>2881</v>
      </c>
      <c r="PZJ1337" s="4" t="s">
        <v>2881</v>
      </c>
      <c r="PZK1337" s="4" t="s">
        <v>2881</v>
      </c>
      <c r="PZL1337" s="4" t="s">
        <v>2881</v>
      </c>
      <c r="PZM1337" s="4" t="s">
        <v>2881</v>
      </c>
      <c r="PZN1337" s="4" t="s">
        <v>2881</v>
      </c>
      <c r="PZO1337" s="4" t="s">
        <v>2881</v>
      </c>
      <c r="PZP1337" s="4" t="s">
        <v>2881</v>
      </c>
      <c r="PZQ1337" s="4" t="s">
        <v>2881</v>
      </c>
      <c r="PZR1337" s="4" t="s">
        <v>2881</v>
      </c>
      <c r="PZS1337" s="4" t="s">
        <v>2881</v>
      </c>
      <c r="PZT1337" s="4" t="s">
        <v>2881</v>
      </c>
      <c r="PZU1337" s="4" t="s">
        <v>2881</v>
      </c>
      <c r="PZV1337" s="4" t="s">
        <v>2881</v>
      </c>
      <c r="PZW1337" s="4" t="s">
        <v>2881</v>
      </c>
      <c r="PZX1337" s="4" t="s">
        <v>2881</v>
      </c>
      <c r="PZY1337" s="4" t="s">
        <v>2881</v>
      </c>
      <c r="PZZ1337" s="4" t="s">
        <v>2881</v>
      </c>
      <c r="QAA1337" s="4" t="s">
        <v>2881</v>
      </c>
      <c r="QAB1337" s="4" t="s">
        <v>2881</v>
      </c>
      <c r="QAC1337" s="4" t="s">
        <v>2881</v>
      </c>
      <c r="QAD1337" s="4" t="s">
        <v>2881</v>
      </c>
      <c r="QAE1337" s="4" t="s">
        <v>2881</v>
      </c>
      <c r="QAF1337" s="4" t="s">
        <v>2881</v>
      </c>
      <c r="QAG1337" s="4" t="s">
        <v>2881</v>
      </c>
      <c r="QAH1337" s="4" t="s">
        <v>2881</v>
      </c>
      <c r="QAI1337" s="4" t="s">
        <v>2881</v>
      </c>
      <c r="QAJ1337" s="4" t="s">
        <v>2881</v>
      </c>
      <c r="QAK1337" s="4" t="s">
        <v>2881</v>
      </c>
      <c r="QAL1337" s="4" t="s">
        <v>2881</v>
      </c>
      <c r="QAM1337" s="4" t="s">
        <v>2881</v>
      </c>
      <c r="QAN1337" s="4" t="s">
        <v>2881</v>
      </c>
      <c r="QAO1337" s="4" t="s">
        <v>2881</v>
      </c>
      <c r="QAP1337" s="4" t="s">
        <v>2881</v>
      </c>
      <c r="QAQ1337" s="4" t="s">
        <v>2881</v>
      </c>
      <c r="QAR1337" s="4" t="s">
        <v>2881</v>
      </c>
      <c r="QAS1337" s="4" t="s">
        <v>2881</v>
      </c>
      <c r="QAT1337" s="4" t="s">
        <v>2881</v>
      </c>
      <c r="QAU1337" s="4" t="s">
        <v>2881</v>
      </c>
      <c r="QAV1337" s="4" t="s">
        <v>2881</v>
      </c>
      <c r="QAW1337" s="4" t="s">
        <v>2881</v>
      </c>
      <c r="QAX1337" s="4" t="s">
        <v>2881</v>
      </c>
      <c r="QAY1337" s="4" t="s">
        <v>2881</v>
      </c>
      <c r="QAZ1337" s="4" t="s">
        <v>2881</v>
      </c>
      <c r="QBA1337" s="4" t="s">
        <v>2881</v>
      </c>
      <c r="QBB1337" s="4" t="s">
        <v>2881</v>
      </c>
      <c r="QBC1337" s="4" t="s">
        <v>2881</v>
      </c>
      <c r="QBD1337" s="4" t="s">
        <v>2881</v>
      </c>
      <c r="QBE1337" s="4" t="s">
        <v>2881</v>
      </c>
      <c r="QBF1337" s="4" t="s">
        <v>2881</v>
      </c>
      <c r="QBG1337" s="4" t="s">
        <v>2881</v>
      </c>
      <c r="QBH1337" s="4" t="s">
        <v>2881</v>
      </c>
      <c r="QBI1337" s="4" t="s">
        <v>2881</v>
      </c>
      <c r="QBJ1337" s="4" t="s">
        <v>2881</v>
      </c>
      <c r="QBK1337" s="4" t="s">
        <v>2881</v>
      </c>
      <c r="QBL1337" s="4" t="s">
        <v>2881</v>
      </c>
      <c r="QBM1337" s="4" t="s">
        <v>2881</v>
      </c>
      <c r="QBN1337" s="4" t="s">
        <v>2881</v>
      </c>
      <c r="QBO1337" s="4" t="s">
        <v>2881</v>
      </c>
      <c r="QBP1337" s="4" t="s">
        <v>2881</v>
      </c>
      <c r="QBQ1337" s="4" t="s">
        <v>2881</v>
      </c>
      <c r="QBR1337" s="4" t="s">
        <v>2881</v>
      </c>
      <c r="QBS1337" s="4" t="s">
        <v>2881</v>
      </c>
      <c r="QBT1337" s="4" t="s">
        <v>2881</v>
      </c>
      <c r="QBU1337" s="4" t="s">
        <v>2881</v>
      </c>
      <c r="QBV1337" s="4" t="s">
        <v>2881</v>
      </c>
      <c r="QBW1337" s="4" t="s">
        <v>2881</v>
      </c>
      <c r="QBX1337" s="4" t="s">
        <v>2881</v>
      </c>
      <c r="QBY1337" s="4" t="s">
        <v>2881</v>
      </c>
      <c r="QBZ1337" s="4" t="s">
        <v>2881</v>
      </c>
      <c r="QCA1337" s="4" t="s">
        <v>2881</v>
      </c>
      <c r="QCB1337" s="4" t="s">
        <v>2881</v>
      </c>
      <c r="QCC1337" s="4" t="s">
        <v>2881</v>
      </c>
      <c r="QCD1337" s="4" t="s">
        <v>2881</v>
      </c>
      <c r="QCE1337" s="4" t="s">
        <v>2881</v>
      </c>
      <c r="QCF1337" s="4" t="s">
        <v>2881</v>
      </c>
      <c r="QCG1337" s="4" t="s">
        <v>2881</v>
      </c>
      <c r="QCH1337" s="4" t="s">
        <v>2881</v>
      </c>
      <c r="QCI1337" s="4" t="s">
        <v>2881</v>
      </c>
      <c r="QCJ1337" s="4" t="s">
        <v>2881</v>
      </c>
      <c r="QCK1337" s="4" t="s">
        <v>2881</v>
      </c>
      <c r="QCL1337" s="4" t="s">
        <v>2881</v>
      </c>
      <c r="QCM1337" s="4" t="s">
        <v>2881</v>
      </c>
      <c r="QCN1337" s="4" t="s">
        <v>2881</v>
      </c>
      <c r="QCO1337" s="4" t="s">
        <v>2881</v>
      </c>
      <c r="QCP1337" s="4" t="s">
        <v>2881</v>
      </c>
      <c r="QCQ1337" s="4" t="s">
        <v>2881</v>
      </c>
      <c r="QCR1337" s="4" t="s">
        <v>2881</v>
      </c>
      <c r="QCS1337" s="4" t="s">
        <v>2881</v>
      </c>
      <c r="QCT1337" s="4" t="s">
        <v>2881</v>
      </c>
      <c r="QCU1337" s="4" t="s">
        <v>2881</v>
      </c>
      <c r="QCV1337" s="4" t="s">
        <v>2881</v>
      </c>
      <c r="QCW1337" s="4" t="s">
        <v>2881</v>
      </c>
      <c r="QCX1337" s="4" t="s">
        <v>2881</v>
      </c>
      <c r="QCY1337" s="4" t="s">
        <v>2881</v>
      </c>
      <c r="QCZ1337" s="4" t="s">
        <v>2881</v>
      </c>
      <c r="QDA1337" s="4" t="s">
        <v>2881</v>
      </c>
      <c r="QDB1337" s="4" t="s">
        <v>2881</v>
      </c>
      <c r="QDC1337" s="4" t="s">
        <v>2881</v>
      </c>
      <c r="QDD1337" s="4" t="s">
        <v>2881</v>
      </c>
      <c r="QDE1337" s="4" t="s">
        <v>2881</v>
      </c>
      <c r="QDF1337" s="4" t="s">
        <v>2881</v>
      </c>
      <c r="QDG1337" s="4" t="s">
        <v>2881</v>
      </c>
      <c r="QDH1337" s="4" t="s">
        <v>2881</v>
      </c>
      <c r="QDI1337" s="4" t="s">
        <v>2881</v>
      </c>
      <c r="QDJ1337" s="4" t="s">
        <v>2881</v>
      </c>
      <c r="QDK1337" s="4" t="s">
        <v>2881</v>
      </c>
      <c r="QDL1337" s="4" t="s">
        <v>2881</v>
      </c>
      <c r="QDM1337" s="4" t="s">
        <v>2881</v>
      </c>
      <c r="QDN1337" s="4" t="s">
        <v>2881</v>
      </c>
      <c r="QDO1337" s="4" t="s">
        <v>2881</v>
      </c>
      <c r="QDP1337" s="4" t="s">
        <v>2881</v>
      </c>
      <c r="QDQ1337" s="4" t="s">
        <v>2881</v>
      </c>
      <c r="QDR1337" s="4" t="s">
        <v>2881</v>
      </c>
      <c r="QDS1337" s="4" t="s">
        <v>2881</v>
      </c>
      <c r="QDT1337" s="4" t="s">
        <v>2881</v>
      </c>
      <c r="QDU1337" s="4" t="s">
        <v>2881</v>
      </c>
      <c r="QDV1337" s="4" t="s">
        <v>2881</v>
      </c>
      <c r="QDW1337" s="4" t="s">
        <v>2881</v>
      </c>
      <c r="QDX1337" s="4" t="s">
        <v>2881</v>
      </c>
      <c r="QDY1337" s="4" t="s">
        <v>2881</v>
      </c>
      <c r="QDZ1337" s="4" t="s">
        <v>2881</v>
      </c>
      <c r="QEA1337" s="4" t="s">
        <v>2881</v>
      </c>
      <c r="QEB1337" s="4" t="s">
        <v>2881</v>
      </c>
      <c r="QEC1337" s="4" t="s">
        <v>2881</v>
      </c>
      <c r="QED1337" s="4" t="s">
        <v>2881</v>
      </c>
      <c r="QEE1337" s="4" t="s">
        <v>2881</v>
      </c>
      <c r="QEF1337" s="4" t="s">
        <v>2881</v>
      </c>
      <c r="QEG1337" s="4" t="s">
        <v>2881</v>
      </c>
      <c r="QEH1337" s="4" t="s">
        <v>2881</v>
      </c>
      <c r="QEI1337" s="4" t="s">
        <v>2881</v>
      </c>
      <c r="QEJ1337" s="4" t="s">
        <v>2881</v>
      </c>
      <c r="QEK1337" s="4" t="s">
        <v>2881</v>
      </c>
      <c r="QEL1337" s="4" t="s">
        <v>2881</v>
      </c>
      <c r="QEM1337" s="4" t="s">
        <v>2881</v>
      </c>
      <c r="QEN1337" s="4" t="s">
        <v>2881</v>
      </c>
      <c r="QEO1337" s="4" t="s">
        <v>2881</v>
      </c>
      <c r="QEP1337" s="4" t="s">
        <v>2881</v>
      </c>
      <c r="QEQ1337" s="4" t="s">
        <v>2881</v>
      </c>
      <c r="QER1337" s="4" t="s">
        <v>2881</v>
      </c>
      <c r="QES1337" s="4" t="s">
        <v>2881</v>
      </c>
      <c r="QET1337" s="4" t="s">
        <v>2881</v>
      </c>
      <c r="QEU1337" s="4" t="s">
        <v>2881</v>
      </c>
      <c r="QEV1337" s="4" t="s">
        <v>2881</v>
      </c>
      <c r="QEW1337" s="4" t="s">
        <v>2881</v>
      </c>
      <c r="QEX1337" s="4" t="s">
        <v>2881</v>
      </c>
      <c r="QEY1337" s="4" t="s">
        <v>2881</v>
      </c>
      <c r="QEZ1337" s="4" t="s">
        <v>2881</v>
      </c>
      <c r="QFA1337" s="4" t="s">
        <v>2881</v>
      </c>
      <c r="QFB1337" s="4" t="s">
        <v>2881</v>
      </c>
      <c r="QFC1337" s="4" t="s">
        <v>2881</v>
      </c>
      <c r="QFD1337" s="4" t="s">
        <v>2881</v>
      </c>
      <c r="QFE1337" s="4" t="s">
        <v>2881</v>
      </c>
      <c r="QFF1337" s="4" t="s">
        <v>2881</v>
      </c>
      <c r="QFG1337" s="4" t="s">
        <v>2881</v>
      </c>
      <c r="QFH1337" s="4" t="s">
        <v>2881</v>
      </c>
      <c r="QFI1337" s="4" t="s">
        <v>2881</v>
      </c>
      <c r="QFJ1337" s="4" t="s">
        <v>2881</v>
      </c>
      <c r="QFK1337" s="4" t="s">
        <v>2881</v>
      </c>
      <c r="QFL1337" s="4" t="s">
        <v>2881</v>
      </c>
      <c r="QFM1337" s="4" t="s">
        <v>2881</v>
      </c>
      <c r="QFN1337" s="4" t="s">
        <v>2881</v>
      </c>
      <c r="QFO1337" s="4" t="s">
        <v>2881</v>
      </c>
      <c r="QFP1337" s="4" t="s">
        <v>2881</v>
      </c>
      <c r="QFQ1337" s="4" t="s">
        <v>2881</v>
      </c>
      <c r="QFR1337" s="4" t="s">
        <v>2881</v>
      </c>
      <c r="QFS1337" s="4" t="s">
        <v>2881</v>
      </c>
      <c r="QFT1337" s="4" t="s">
        <v>2881</v>
      </c>
      <c r="QFU1337" s="4" t="s">
        <v>2881</v>
      </c>
      <c r="QFV1337" s="4" t="s">
        <v>2881</v>
      </c>
      <c r="QFW1337" s="4" t="s">
        <v>2881</v>
      </c>
      <c r="QFX1337" s="4" t="s">
        <v>2881</v>
      </c>
      <c r="QFY1337" s="4" t="s">
        <v>2881</v>
      </c>
      <c r="QFZ1337" s="4" t="s">
        <v>2881</v>
      </c>
      <c r="QGA1337" s="4" t="s">
        <v>2881</v>
      </c>
      <c r="QGB1337" s="4" t="s">
        <v>2881</v>
      </c>
      <c r="QGC1337" s="4" t="s">
        <v>2881</v>
      </c>
      <c r="QGD1337" s="4" t="s">
        <v>2881</v>
      </c>
      <c r="QGE1337" s="4" t="s">
        <v>2881</v>
      </c>
      <c r="QGF1337" s="4" t="s">
        <v>2881</v>
      </c>
      <c r="QGG1337" s="4" t="s">
        <v>2881</v>
      </c>
      <c r="QGH1337" s="4" t="s">
        <v>2881</v>
      </c>
      <c r="QGI1337" s="4" t="s">
        <v>2881</v>
      </c>
      <c r="QGJ1337" s="4" t="s">
        <v>2881</v>
      </c>
      <c r="QGK1337" s="4" t="s">
        <v>2881</v>
      </c>
      <c r="QGL1337" s="4" t="s">
        <v>2881</v>
      </c>
      <c r="QGM1337" s="4" t="s">
        <v>2881</v>
      </c>
      <c r="QGN1337" s="4" t="s">
        <v>2881</v>
      </c>
      <c r="QGO1337" s="4" t="s">
        <v>2881</v>
      </c>
      <c r="QGP1337" s="4" t="s">
        <v>2881</v>
      </c>
      <c r="QGQ1337" s="4" t="s">
        <v>2881</v>
      </c>
      <c r="QGR1337" s="4" t="s">
        <v>2881</v>
      </c>
      <c r="QGS1337" s="4" t="s">
        <v>2881</v>
      </c>
      <c r="QGT1337" s="4" t="s">
        <v>2881</v>
      </c>
      <c r="QGU1337" s="4" t="s">
        <v>2881</v>
      </c>
      <c r="QGV1337" s="4" t="s">
        <v>2881</v>
      </c>
      <c r="QGW1337" s="4" t="s">
        <v>2881</v>
      </c>
      <c r="QGX1337" s="4" t="s">
        <v>2881</v>
      </c>
      <c r="QGY1337" s="4" t="s">
        <v>2881</v>
      </c>
      <c r="QGZ1337" s="4" t="s">
        <v>2881</v>
      </c>
      <c r="QHA1337" s="4" t="s">
        <v>2881</v>
      </c>
      <c r="QHB1337" s="4" t="s">
        <v>2881</v>
      </c>
      <c r="QHC1337" s="4" t="s">
        <v>2881</v>
      </c>
      <c r="QHD1337" s="4" t="s">
        <v>2881</v>
      </c>
      <c r="QHE1337" s="4" t="s">
        <v>2881</v>
      </c>
      <c r="QHF1337" s="4" t="s">
        <v>2881</v>
      </c>
      <c r="QHG1337" s="4" t="s">
        <v>2881</v>
      </c>
      <c r="QHH1337" s="4" t="s">
        <v>2881</v>
      </c>
      <c r="QHI1337" s="4" t="s">
        <v>2881</v>
      </c>
      <c r="QHJ1337" s="4" t="s">
        <v>2881</v>
      </c>
      <c r="QHK1337" s="4" t="s">
        <v>2881</v>
      </c>
      <c r="QHL1337" s="4" t="s">
        <v>2881</v>
      </c>
      <c r="QHM1337" s="4" t="s">
        <v>2881</v>
      </c>
      <c r="QHN1337" s="4" t="s">
        <v>2881</v>
      </c>
      <c r="QHO1337" s="4" t="s">
        <v>2881</v>
      </c>
      <c r="QHP1337" s="4" t="s">
        <v>2881</v>
      </c>
      <c r="QHQ1337" s="4" t="s">
        <v>2881</v>
      </c>
      <c r="QHR1337" s="4" t="s">
        <v>2881</v>
      </c>
      <c r="QHS1337" s="4" t="s">
        <v>2881</v>
      </c>
      <c r="QHT1337" s="4" t="s">
        <v>2881</v>
      </c>
      <c r="QHU1337" s="4" t="s">
        <v>2881</v>
      </c>
      <c r="QHV1337" s="4" t="s">
        <v>2881</v>
      </c>
      <c r="QHW1337" s="4" t="s">
        <v>2881</v>
      </c>
      <c r="QHX1337" s="4" t="s">
        <v>2881</v>
      </c>
      <c r="QHY1337" s="4" t="s">
        <v>2881</v>
      </c>
      <c r="QHZ1337" s="4" t="s">
        <v>2881</v>
      </c>
      <c r="QIA1337" s="4" t="s">
        <v>2881</v>
      </c>
      <c r="QIB1337" s="4" t="s">
        <v>2881</v>
      </c>
      <c r="QIC1337" s="4" t="s">
        <v>2881</v>
      </c>
      <c r="QID1337" s="4" t="s">
        <v>2881</v>
      </c>
      <c r="QIE1337" s="4" t="s">
        <v>2881</v>
      </c>
      <c r="QIF1337" s="4" t="s">
        <v>2881</v>
      </c>
      <c r="QIG1337" s="4" t="s">
        <v>2881</v>
      </c>
      <c r="QIH1337" s="4" t="s">
        <v>2881</v>
      </c>
      <c r="QII1337" s="4" t="s">
        <v>2881</v>
      </c>
      <c r="QIJ1337" s="4" t="s">
        <v>2881</v>
      </c>
      <c r="QIK1337" s="4" t="s">
        <v>2881</v>
      </c>
      <c r="QIL1337" s="4" t="s">
        <v>2881</v>
      </c>
      <c r="QIM1337" s="4" t="s">
        <v>2881</v>
      </c>
      <c r="QIN1337" s="4" t="s">
        <v>2881</v>
      </c>
      <c r="QIO1337" s="4" t="s">
        <v>2881</v>
      </c>
      <c r="QIP1337" s="4" t="s">
        <v>2881</v>
      </c>
      <c r="QIQ1337" s="4" t="s">
        <v>2881</v>
      </c>
      <c r="QIR1337" s="4" t="s">
        <v>2881</v>
      </c>
      <c r="QIS1337" s="4" t="s">
        <v>2881</v>
      </c>
      <c r="QIT1337" s="4" t="s">
        <v>2881</v>
      </c>
      <c r="QIU1337" s="4" t="s">
        <v>2881</v>
      </c>
      <c r="QIV1337" s="4" t="s">
        <v>2881</v>
      </c>
      <c r="QIW1337" s="4" t="s">
        <v>2881</v>
      </c>
      <c r="QIX1337" s="4" t="s">
        <v>2881</v>
      </c>
      <c r="QIY1337" s="4" t="s">
        <v>2881</v>
      </c>
      <c r="QIZ1337" s="4" t="s">
        <v>2881</v>
      </c>
      <c r="QJA1337" s="4" t="s">
        <v>2881</v>
      </c>
      <c r="QJB1337" s="4" t="s">
        <v>2881</v>
      </c>
      <c r="QJC1337" s="4" t="s">
        <v>2881</v>
      </c>
      <c r="QJD1337" s="4" t="s">
        <v>2881</v>
      </c>
      <c r="QJE1337" s="4" t="s">
        <v>2881</v>
      </c>
      <c r="QJF1337" s="4" t="s">
        <v>2881</v>
      </c>
      <c r="QJG1337" s="4" t="s">
        <v>2881</v>
      </c>
      <c r="QJH1337" s="4" t="s">
        <v>2881</v>
      </c>
      <c r="QJI1337" s="4" t="s">
        <v>2881</v>
      </c>
      <c r="QJJ1337" s="4" t="s">
        <v>2881</v>
      </c>
      <c r="QJK1337" s="4" t="s">
        <v>2881</v>
      </c>
      <c r="QJL1337" s="4" t="s">
        <v>2881</v>
      </c>
      <c r="QJM1337" s="4" t="s">
        <v>2881</v>
      </c>
      <c r="QJN1337" s="4" t="s">
        <v>2881</v>
      </c>
      <c r="QJO1337" s="4" t="s">
        <v>2881</v>
      </c>
      <c r="QJP1337" s="4" t="s">
        <v>2881</v>
      </c>
      <c r="QJQ1337" s="4" t="s">
        <v>2881</v>
      </c>
      <c r="QJR1337" s="4" t="s">
        <v>2881</v>
      </c>
      <c r="QJS1337" s="4" t="s">
        <v>2881</v>
      </c>
      <c r="QJT1337" s="4" t="s">
        <v>2881</v>
      </c>
      <c r="QJU1337" s="4" t="s">
        <v>2881</v>
      </c>
      <c r="QJV1337" s="4" t="s">
        <v>2881</v>
      </c>
      <c r="QJW1337" s="4" t="s">
        <v>2881</v>
      </c>
      <c r="QJX1337" s="4" t="s">
        <v>2881</v>
      </c>
      <c r="QJY1337" s="4" t="s">
        <v>2881</v>
      </c>
      <c r="QJZ1337" s="4" t="s">
        <v>2881</v>
      </c>
      <c r="QKA1337" s="4" t="s">
        <v>2881</v>
      </c>
      <c r="QKB1337" s="4" t="s">
        <v>2881</v>
      </c>
      <c r="QKC1337" s="4" t="s">
        <v>2881</v>
      </c>
      <c r="QKD1337" s="4" t="s">
        <v>2881</v>
      </c>
      <c r="QKE1337" s="4" t="s">
        <v>2881</v>
      </c>
      <c r="QKF1337" s="4" t="s">
        <v>2881</v>
      </c>
      <c r="QKG1337" s="4" t="s">
        <v>2881</v>
      </c>
      <c r="QKH1337" s="4" t="s">
        <v>2881</v>
      </c>
      <c r="QKI1337" s="4" t="s">
        <v>2881</v>
      </c>
      <c r="QKJ1337" s="4" t="s">
        <v>2881</v>
      </c>
      <c r="QKK1337" s="4" t="s">
        <v>2881</v>
      </c>
      <c r="QKL1337" s="4" t="s">
        <v>2881</v>
      </c>
      <c r="QKM1337" s="4" t="s">
        <v>2881</v>
      </c>
      <c r="QKN1337" s="4" t="s">
        <v>2881</v>
      </c>
      <c r="QKO1337" s="4" t="s">
        <v>2881</v>
      </c>
      <c r="QKP1337" s="4" t="s">
        <v>2881</v>
      </c>
      <c r="QKQ1337" s="4" t="s">
        <v>2881</v>
      </c>
      <c r="QKR1337" s="4" t="s">
        <v>2881</v>
      </c>
      <c r="QKS1337" s="4" t="s">
        <v>2881</v>
      </c>
      <c r="QKT1337" s="4" t="s">
        <v>2881</v>
      </c>
      <c r="QKU1337" s="4" t="s">
        <v>2881</v>
      </c>
      <c r="QKV1337" s="4" t="s">
        <v>2881</v>
      </c>
      <c r="QKW1337" s="4" t="s">
        <v>2881</v>
      </c>
      <c r="QKX1337" s="4" t="s">
        <v>2881</v>
      </c>
      <c r="QKY1337" s="4" t="s">
        <v>2881</v>
      </c>
      <c r="QKZ1337" s="4" t="s">
        <v>2881</v>
      </c>
      <c r="QLA1337" s="4" t="s">
        <v>2881</v>
      </c>
      <c r="QLB1337" s="4" t="s">
        <v>2881</v>
      </c>
      <c r="QLC1337" s="4" t="s">
        <v>2881</v>
      </c>
      <c r="QLD1337" s="4" t="s">
        <v>2881</v>
      </c>
      <c r="QLE1337" s="4" t="s">
        <v>2881</v>
      </c>
      <c r="QLF1337" s="4" t="s">
        <v>2881</v>
      </c>
      <c r="QLG1337" s="4" t="s">
        <v>2881</v>
      </c>
      <c r="QLH1337" s="4" t="s">
        <v>2881</v>
      </c>
      <c r="QLI1337" s="4" t="s">
        <v>2881</v>
      </c>
      <c r="QLJ1337" s="4" t="s">
        <v>2881</v>
      </c>
      <c r="QLK1337" s="4" t="s">
        <v>2881</v>
      </c>
      <c r="QLL1337" s="4" t="s">
        <v>2881</v>
      </c>
      <c r="QLM1337" s="4" t="s">
        <v>2881</v>
      </c>
      <c r="QLN1337" s="4" t="s">
        <v>2881</v>
      </c>
      <c r="QLO1337" s="4" t="s">
        <v>2881</v>
      </c>
      <c r="QLP1337" s="4" t="s">
        <v>2881</v>
      </c>
      <c r="QLQ1337" s="4" t="s">
        <v>2881</v>
      </c>
      <c r="QLR1337" s="4" t="s">
        <v>2881</v>
      </c>
      <c r="QLS1337" s="4" t="s">
        <v>2881</v>
      </c>
      <c r="QLT1337" s="4" t="s">
        <v>2881</v>
      </c>
      <c r="QLU1337" s="4" t="s">
        <v>2881</v>
      </c>
      <c r="QLV1337" s="4" t="s">
        <v>2881</v>
      </c>
      <c r="QLW1337" s="4" t="s">
        <v>2881</v>
      </c>
      <c r="QLX1337" s="4" t="s">
        <v>2881</v>
      </c>
      <c r="QLY1337" s="4" t="s">
        <v>2881</v>
      </c>
      <c r="QLZ1337" s="4" t="s">
        <v>2881</v>
      </c>
      <c r="QMA1337" s="4" t="s">
        <v>2881</v>
      </c>
      <c r="QMB1337" s="4" t="s">
        <v>2881</v>
      </c>
      <c r="QMC1337" s="4" t="s">
        <v>2881</v>
      </c>
      <c r="QMD1337" s="4" t="s">
        <v>2881</v>
      </c>
      <c r="QME1337" s="4" t="s">
        <v>2881</v>
      </c>
      <c r="QMF1337" s="4" t="s">
        <v>2881</v>
      </c>
      <c r="QMG1337" s="4" t="s">
        <v>2881</v>
      </c>
      <c r="QMH1337" s="4" t="s">
        <v>2881</v>
      </c>
      <c r="QMI1337" s="4" t="s">
        <v>2881</v>
      </c>
      <c r="QMJ1337" s="4" t="s">
        <v>2881</v>
      </c>
      <c r="QMK1337" s="4" t="s">
        <v>2881</v>
      </c>
      <c r="QML1337" s="4" t="s">
        <v>2881</v>
      </c>
      <c r="QMM1337" s="4" t="s">
        <v>2881</v>
      </c>
      <c r="QMN1337" s="4" t="s">
        <v>2881</v>
      </c>
      <c r="QMO1337" s="4" t="s">
        <v>2881</v>
      </c>
      <c r="QMP1337" s="4" t="s">
        <v>2881</v>
      </c>
      <c r="QMQ1337" s="4" t="s">
        <v>2881</v>
      </c>
      <c r="QMR1337" s="4" t="s">
        <v>2881</v>
      </c>
      <c r="QMS1337" s="4" t="s">
        <v>2881</v>
      </c>
      <c r="QMT1337" s="4" t="s">
        <v>2881</v>
      </c>
      <c r="QMU1337" s="4" t="s">
        <v>2881</v>
      </c>
      <c r="QMV1337" s="4" t="s">
        <v>2881</v>
      </c>
      <c r="QMW1337" s="4" t="s">
        <v>2881</v>
      </c>
      <c r="QMX1337" s="4" t="s">
        <v>2881</v>
      </c>
      <c r="QMY1337" s="4" t="s">
        <v>2881</v>
      </c>
      <c r="QMZ1337" s="4" t="s">
        <v>2881</v>
      </c>
      <c r="QNA1337" s="4" t="s">
        <v>2881</v>
      </c>
      <c r="QNB1337" s="4" t="s">
        <v>2881</v>
      </c>
      <c r="QNC1337" s="4" t="s">
        <v>2881</v>
      </c>
      <c r="QND1337" s="4" t="s">
        <v>2881</v>
      </c>
      <c r="QNE1337" s="4" t="s">
        <v>2881</v>
      </c>
      <c r="QNF1337" s="4" t="s">
        <v>2881</v>
      </c>
      <c r="QNG1337" s="4" t="s">
        <v>2881</v>
      </c>
      <c r="QNH1337" s="4" t="s">
        <v>2881</v>
      </c>
      <c r="QNI1337" s="4" t="s">
        <v>2881</v>
      </c>
      <c r="QNJ1337" s="4" t="s">
        <v>2881</v>
      </c>
      <c r="QNK1337" s="4" t="s">
        <v>2881</v>
      </c>
      <c r="QNL1337" s="4" t="s">
        <v>2881</v>
      </c>
      <c r="QNM1337" s="4" t="s">
        <v>2881</v>
      </c>
      <c r="QNN1337" s="4" t="s">
        <v>2881</v>
      </c>
      <c r="QNO1337" s="4" t="s">
        <v>2881</v>
      </c>
      <c r="QNP1337" s="4" t="s">
        <v>2881</v>
      </c>
      <c r="QNQ1337" s="4" t="s">
        <v>2881</v>
      </c>
      <c r="QNR1337" s="4" t="s">
        <v>2881</v>
      </c>
      <c r="QNS1337" s="4" t="s">
        <v>2881</v>
      </c>
      <c r="QNT1337" s="4" t="s">
        <v>2881</v>
      </c>
      <c r="QNU1337" s="4" t="s">
        <v>2881</v>
      </c>
      <c r="QNV1337" s="4" t="s">
        <v>2881</v>
      </c>
      <c r="QNW1337" s="4" t="s">
        <v>2881</v>
      </c>
      <c r="QNX1337" s="4" t="s">
        <v>2881</v>
      </c>
      <c r="QNY1337" s="4" t="s">
        <v>2881</v>
      </c>
      <c r="QNZ1337" s="4" t="s">
        <v>2881</v>
      </c>
      <c r="QOA1337" s="4" t="s">
        <v>2881</v>
      </c>
      <c r="QOB1337" s="4" t="s">
        <v>2881</v>
      </c>
      <c r="QOC1337" s="4" t="s">
        <v>2881</v>
      </c>
      <c r="QOD1337" s="4" t="s">
        <v>2881</v>
      </c>
      <c r="QOE1337" s="4" t="s">
        <v>2881</v>
      </c>
      <c r="QOF1337" s="4" t="s">
        <v>2881</v>
      </c>
      <c r="QOG1337" s="4" t="s">
        <v>2881</v>
      </c>
      <c r="QOH1337" s="4" t="s">
        <v>2881</v>
      </c>
      <c r="QOI1337" s="4" t="s">
        <v>2881</v>
      </c>
      <c r="QOJ1337" s="4" t="s">
        <v>2881</v>
      </c>
      <c r="QOK1337" s="4" t="s">
        <v>2881</v>
      </c>
      <c r="QOL1337" s="4" t="s">
        <v>2881</v>
      </c>
      <c r="QOM1337" s="4" t="s">
        <v>2881</v>
      </c>
      <c r="QON1337" s="4" t="s">
        <v>2881</v>
      </c>
      <c r="QOO1337" s="4" t="s">
        <v>2881</v>
      </c>
      <c r="QOP1337" s="4" t="s">
        <v>2881</v>
      </c>
      <c r="QOQ1337" s="4" t="s">
        <v>2881</v>
      </c>
      <c r="QOR1337" s="4" t="s">
        <v>2881</v>
      </c>
      <c r="QOS1337" s="4" t="s">
        <v>2881</v>
      </c>
      <c r="QOT1337" s="4" t="s">
        <v>2881</v>
      </c>
      <c r="QOU1337" s="4" t="s">
        <v>2881</v>
      </c>
      <c r="QOV1337" s="4" t="s">
        <v>2881</v>
      </c>
      <c r="QOW1337" s="4" t="s">
        <v>2881</v>
      </c>
      <c r="QOX1337" s="4" t="s">
        <v>2881</v>
      </c>
      <c r="QOY1337" s="4" t="s">
        <v>2881</v>
      </c>
      <c r="QOZ1337" s="4" t="s">
        <v>2881</v>
      </c>
      <c r="QPA1337" s="4" t="s">
        <v>2881</v>
      </c>
      <c r="QPB1337" s="4" t="s">
        <v>2881</v>
      </c>
      <c r="QPC1337" s="4" t="s">
        <v>2881</v>
      </c>
      <c r="QPD1337" s="4" t="s">
        <v>2881</v>
      </c>
      <c r="QPE1337" s="4" t="s">
        <v>2881</v>
      </c>
      <c r="QPF1337" s="4" t="s">
        <v>2881</v>
      </c>
      <c r="QPG1337" s="4" t="s">
        <v>2881</v>
      </c>
      <c r="QPH1337" s="4" t="s">
        <v>2881</v>
      </c>
      <c r="QPI1337" s="4" t="s">
        <v>2881</v>
      </c>
      <c r="QPJ1337" s="4" t="s">
        <v>2881</v>
      </c>
      <c r="QPK1337" s="4" t="s">
        <v>2881</v>
      </c>
      <c r="QPL1337" s="4" t="s">
        <v>2881</v>
      </c>
      <c r="QPM1337" s="4" t="s">
        <v>2881</v>
      </c>
      <c r="QPN1337" s="4" t="s">
        <v>2881</v>
      </c>
      <c r="QPO1337" s="4" t="s">
        <v>2881</v>
      </c>
      <c r="QPP1337" s="4" t="s">
        <v>2881</v>
      </c>
      <c r="QPQ1337" s="4" t="s">
        <v>2881</v>
      </c>
      <c r="QPR1337" s="4" t="s">
        <v>2881</v>
      </c>
      <c r="QPS1337" s="4" t="s">
        <v>2881</v>
      </c>
      <c r="QPT1337" s="4" t="s">
        <v>2881</v>
      </c>
      <c r="QPU1337" s="4" t="s">
        <v>2881</v>
      </c>
      <c r="QPV1337" s="4" t="s">
        <v>2881</v>
      </c>
      <c r="QPW1337" s="4" t="s">
        <v>2881</v>
      </c>
      <c r="QPX1337" s="4" t="s">
        <v>2881</v>
      </c>
      <c r="QPY1337" s="4" t="s">
        <v>2881</v>
      </c>
      <c r="QPZ1337" s="4" t="s">
        <v>2881</v>
      </c>
      <c r="QQA1337" s="4" t="s">
        <v>2881</v>
      </c>
      <c r="QQB1337" s="4" t="s">
        <v>2881</v>
      </c>
      <c r="QQC1337" s="4" t="s">
        <v>2881</v>
      </c>
      <c r="QQD1337" s="4" t="s">
        <v>2881</v>
      </c>
      <c r="QQE1337" s="4" t="s">
        <v>2881</v>
      </c>
      <c r="QQF1337" s="4" t="s">
        <v>2881</v>
      </c>
      <c r="QQG1337" s="4" t="s">
        <v>2881</v>
      </c>
      <c r="QQH1337" s="4" t="s">
        <v>2881</v>
      </c>
      <c r="QQI1337" s="4" t="s">
        <v>2881</v>
      </c>
      <c r="QQJ1337" s="4" t="s">
        <v>2881</v>
      </c>
      <c r="QQK1337" s="4" t="s">
        <v>2881</v>
      </c>
      <c r="QQL1337" s="4" t="s">
        <v>2881</v>
      </c>
      <c r="QQM1337" s="4" t="s">
        <v>2881</v>
      </c>
      <c r="QQN1337" s="4" t="s">
        <v>2881</v>
      </c>
      <c r="QQO1337" s="4" t="s">
        <v>2881</v>
      </c>
      <c r="QQP1337" s="4" t="s">
        <v>2881</v>
      </c>
      <c r="QQQ1337" s="4" t="s">
        <v>2881</v>
      </c>
      <c r="QQR1337" s="4" t="s">
        <v>2881</v>
      </c>
      <c r="QQS1337" s="4" t="s">
        <v>2881</v>
      </c>
      <c r="QQT1337" s="4" t="s">
        <v>2881</v>
      </c>
      <c r="QQU1337" s="4" t="s">
        <v>2881</v>
      </c>
      <c r="QQV1337" s="4" t="s">
        <v>2881</v>
      </c>
      <c r="QQW1337" s="4" t="s">
        <v>2881</v>
      </c>
      <c r="QQX1337" s="4" t="s">
        <v>2881</v>
      </c>
      <c r="QQY1337" s="4" t="s">
        <v>2881</v>
      </c>
      <c r="QQZ1337" s="4" t="s">
        <v>2881</v>
      </c>
      <c r="QRA1337" s="4" t="s">
        <v>2881</v>
      </c>
      <c r="QRB1337" s="4" t="s">
        <v>2881</v>
      </c>
      <c r="QRC1337" s="4" t="s">
        <v>2881</v>
      </c>
      <c r="QRD1337" s="4" t="s">
        <v>2881</v>
      </c>
      <c r="QRE1337" s="4" t="s">
        <v>2881</v>
      </c>
      <c r="QRF1337" s="4" t="s">
        <v>2881</v>
      </c>
      <c r="QRG1337" s="4" t="s">
        <v>2881</v>
      </c>
      <c r="QRH1337" s="4" t="s">
        <v>2881</v>
      </c>
      <c r="QRI1337" s="4" t="s">
        <v>2881</v>
      </c>
      <c r="QRJ1337" s="4" t="s">
        <v>2881</v>
      </c>
      <c r="QRK1337" s="4" t="s">
        <v>2881</v>
      </c>
      <c r="QRL1337" s="4" t="s">
        <v>2881</v>
      </c>
      <c r="QRM1337" s="4" t="s">
        <v>2881</v>
      </c>
      <c r="QRN1337" s="4" t="s">
        <v>2881</v>
      </c>
      <c r="QRO1337" s="4" t="s">
        <v>2881</v>
      </c>
      <c r="QRP1337" s="4" t="s">
        <v>2881</v>
      </c>
      <c r="QRQ1337" s="4" t="s">
        <v>2881</v>
      </c>
      <c r="QRR1337" s="4" t="s">
        <v>2881</v>
      </c>
      <c r="QRS1337" s="4" t="s">
        <v>2881</v>
      </c>
      <c r="QRT1337" s="4" t="s">
        <v>2881</v>
      </c>
      <c r="QRU1337" s="4" t="s">
        <v>2881</v>
      </c>
      <c r="QRV1337" s="4" t="s">
        <v>2881</v>
      </c>
      <c r="QRW1337" s="4" t="s">
        <v>2881</v>
      </c>
      <c r="QRX1337" s="4" t="s">
        <v>2881</v>
      </c>
      <c r="QRY1337" s="4" t="s">
        <v>2881</v>
      </c>
      <c r="QRZ1337" s="4" t="s">
        <v>2881</v>
      </c>
      <c r="QSA1337" s="4" t="s">
        <v>2881</v>
      </c>
      <c r="QSB1337" s="4" t="s">
        <v>2881</v>
      </c>
      <c r="QSC1337" s="4" t="s">
        <v>2881</v>
      </c>
      <c r="QSD1337" s="4" t="s">
        <v>2881</v>
      </c>
      <c r="QSE1337" s="4" t="s">
        <v>2881</v>
      </c>
      <c r="QSF1337" s="4" t="s">
        <v>2881</v>
      </c>
      <c r="QSG1337" s="4" t="s">
        <v>2881</v>
      </c>
      <c r="QSH1337" s="4" t="s">
        <v>2881</v>
      </c>
      <c r="QSI1337" s="4" t="s">
        <v>2881</v>
      </c>
      <c r="QSJ1337" s="4" t="s">
        <v>2881</v>
      </c>
      <c r="QSK1337" s="4" t="s">
        <v>2881</v>
      </c>
      <c r="QSL1337" s="4" t="s">
        <v>2881</v>
      </c>
      <c r="QSM1337" s="4" t="s">
        <v>2881</v>
      </c>
      <c r="QSN1337" s="4" t="s">
        <v>2881</v>
      </c>
      <c r="QSO1337" s="4" t="s">
        <v>2881</v>
      </c>
      <c r="QSP1337" s="4" t="s">
        <v>2881</v>
      </c>
      <c r="QSQ1337" s="4" t="s">
        <v>2881</v>
      </c>
      <c r="QSR1337" s="4" t="s">
        <v>2881</v>
      </c>
      <c r="QSS1337" s="4" t="s">
        <v>2881</v>
      </c>
      <c r="QST1337" s="4" t="s">
        <v>2881</v>
      </c>
      <c r="QSU1337" s="4" t="s">
        <v>2881</v>
      </c>
      <c r="QSV1337" s="4" t="s">
        <v>2881</v>
      </c>
      <c r="QSW1337" s="4" t="s">
        <v>2881</v>
      </c>
      <c r="QSX1337" s="4" t="s">
        <v>2881</v>
      </c>
      <c r="QSY1337" s="4" t="s">
        <v>2881</v>
      </c>
      <c r="QSZ1337" s="4" t="s">
        <v>2881</v>
      </c>
      <c r="QTA1337" s="4" t="s">
        <v>2881</v>
      </c>
      <c r="QTB1337" s="4" t="s">
        <v>2881</v>
      </c>
      <c r="QTC1337" s="4" t="s">
        <v>2881</v>
      </c>
      <c r="QTD1337" s="4" t="s">
        <v>2881</v>
      </c>
      <c r="QTE1337" s="4" t="s">
        <v>2881</v>
      </c>
      <c r="QTF1337" s="4" t="s">
        <v>2881</v>
      </c>
      <c r="QTG1337" s="4" t="s">
        <v>2881</v>
      </c>
      <c r="QTH1337" s="4" t="s">
        <v>2881</v>
      </c>
      <c r="QTI1337" s="4" t="s">
        <v>2881</v>
      </c>
      <c r="QTJ1337" s="4" t="s">
        <v>2881</v>
      </c>
      <c r="QTK1337" s="4" t="s">
        <v>2881</v>
      </c>
      <c r="QTL1337" s="4" t="s">
        <v>2881</v>
      </c>
      <c r="QTM1337" s="4" t="s">
        <v>2881</v>
      </c>
      <c r="QTN1337" s="4" t="s">
        <v>2881</v>
      </c>
      <c r="QTO1337" s="4" t="s">
        <v>2881</v>
      </c>
      <c r="QTP1337" s="4" t="s">
        <v>2881</v>
      </c>
      <c r="QTQ1337" s="4" t="s">
        <v>2881</v>
      </c>
      <c r="QTR1337" s="4" t="s">
        <v>2881</v>
      </c>
      <c r="QTS1337" s="4" t="s">
        <v>2881</v>
      </c>
      <c r="QTT1337" s="4" t="s">
        <v>2881</v>
      </c>
      <c r="QTU1337" s="4" t="s">
        <v>2881</v>
      </c>
      <c r="QTV1337" s="4" t="s">
        <v>2881</v>
      </c>
      <c r="QTW1337" s="4" t="s">
        <v>2881</v>
      </c>
      <c r="QTX1337" s="4" t="s">
        <v>2881</v>
      </c>
      <c r="QTY1337" s="4" t="s">
        <v>2881</v>
      </c>
      <c r="QTZ1337" s="4" t="s">
        <v>2881</v>
      </c>
      <c r="QUA1337" s="4" t="s">
        <v>2881</v>
      </c>
      <c r="QUB1337" s="4" t="s">
        <v>2881</v>
      </c>
      <c r="QUC1337" s="4" t="s">
        <v>2881</v>
      </c>
      <c r="QUD1337" s="4" t="s">
        <v>2881</v>
      </c>
      <c r="QUE1337" s="4" t="s">
        <v>2881</v>
      </c>
      <c r="QUF1337" s="4" t="s">
        <v>2881</v>
      </c>
      <c r="QUG1337" s="4" t="s">
        <v>2881</v>
      </c>
      <c r="QUH1337" s="4" t="s">
        <v>2881</v>
      </c>
      <c r="QUI1337" s="4" t="s">
        <v>2881</v>
      </c>
      <c r="QUJ1337" s="4" t="s">
        <v>2881</v>
      </c>
      <c r="QUK1337" s="4" t="s">
        <v>2881</v>
      </c>
      <c r="QUL1337" s="4" t="s">
        <v>2881</v>
      </c>
      <c r="QUM1337" s="4" t="s">
        <v>2881</v>
      </c>
      <c r="QUN1337" s="4" t="s">
        <v>2881</v>
      </c>
      <c r="QUO1337" s="4" t="s">
        <v>2881</v>
      </c>
      <c r="QUP1337" s="4" t="s">
        <v>2881</v>
      </c>
      <c r="QUQ1337" s="4" t="s">
        <v>2881</v>
      </c>
      <c r="QUR1337" s="4" t="s">
        <v>2881</v>
      </c>
      <c r="QUS1337" s="4" t="s">
        <v>2881</v>
      </c>
      <c r="QUT1337" s="4" t="s">
        <v>2881</v>
      </c>
      <c r="QUU1337" s="4" t="s">
        <v>2881</v>
      </c>
      <c r="QUV1337" s="4" t="s">
        <v>2881</v>
      </c>
      <c r="QUW1337" s="4" t="s">
        <v>2881</v>
      </c>
      <c r="QUX1337" s="4" t="s">
        <v>2881</v>
      </c>
      <c r="QUY1337" s="4" t="s">
        <v>2881</v>
      </c>
      <c r="QUZ1337" s="4" t="s">
        <v>2881</v>
      </c>
      <c r="QVA1337" s="4" t="s">
        <v>2881</v>
      </c>
      <c r="QVB1337" s="4" t="s">
        <v>2881</v>
      </c>
      <c r="QVC1337" s="4" t="s">
        <v>2881</v>
      </c>
      <c r="QVD1337" s="4" t="s">
        <v>2881</v>
      </c>
      <c r="QVE1337" s="4" t="s">
        <v>2881</v>
      </c>
      <c r="QVF1337" s="4" t="s">
        <v>2881</v>
      </c>
      <c r="QVG1337" s="4" t="s">
        <v>2881</v>
      </c>
      <c r="QVH1337" s="4" t="s">
        <v>2881</v>
      </c>
      <c r="QVI1337" s="4" t="s">
        <v>2881</v>
      </c>
      <c r="QVJ1337" s="4" t="s">
        <v>2881</v>
      </c>
      <c r="QVK1337" s="4" t="s">
        <v>2881</v>
      </c>
      <c r="QVL1337" s="4" t="s">
        <v>2881</v>
      </c>
      <c r="QVM1337" s="4" t="s">
        <v>2881</v>
      </c>
      <c r="QVN1337" s="4" t="s">
        <v>2881</v>
      </c>
      <c r="QVO1337" s="4" t="s">
        <v>2881</v>
      </c>
      <c r="QVP1337" s="4" t="s">
        <v>2881</v>
      </c>
      <c r="QVQ1337" s="4" t="s">
        <v>2881</v>
      </c>
      <c r="QVR1337" s="4" t="s">
        <v>2881</v>
      </c>
      <c r="QVS1337" s="4" t="s">
        <v>2881</v>
      </c>
      <c r="QVT1337" s="4" t="s">
        <v>2881</v>
      </c>
      <c r="QVU1337" s="4" t="s">
        <v>2881</v>
      </c>
      <c r="QVV1337" s="4" t="s">
        <v>2881</v>
      </c>
      <c r="QVW1337" s="4" t="s">
        <v>2881</v>
      </c>
      <c r="QVX1337" s="4" t="s">
        <v>2881</v>
      </c>
      <c r="QVY1337" s="4" t="s">
        <v>2881</v>
      </c>
      <c r="QVZ1337" s="4" t="s">
        <v>2881</v>
      </c>
      <c r="QWA1337" s="4" t="s">
        <v>2881</v>
      </c>
      <c r="QWB1337" s="4" t="s">
        <v>2881</v>
      </c>
      <c r="QWC1337" s="4" t="s">
        <v>2881</v>
      </c>
      <c r="QWD1337" s="4" t="s">
        <v>2881</v>
      </c>
      <c r="QWE1337" s="4" t="s">
        <v>2881</v>
      </c>
      <c r="QWF1337" s="4" t="s">
        <v>2881</v>
      </c>
      <c r="QWG1337" s="4" t="s">
        <v>2881</v>
      </c>
      <c r="QWH1337" s="4" t="s">
        <v>2881</v>
      </c>
      <c r="QWI1337" s="4" t="s">
        <v>2881</v>
      </c>
      <c r="QWJ1337" s="4" t="s">
        <v>2881</v>
      </c>
      <c r="QWK1337" s="4" t="s">
        <v>2881</v>
      </c>
      <c r="QWL1337" s="4" t="s">
        <v>2881</v>
      </c>
      <c r="QWM1337" s="4" t="s">
        <v>2881</v>
      </c>
      <c r="QWN1337" s="4" t="s">
        <v>2881</v>
      </c>
      <c r="QWO1337" s="4" t="s">
        <v>2881</v>
      </c>
      <c r="QWP1337" s="4" t="s">
        <v>2881</v>
      </c>
      <c r="QWQ1337" s="4" t="s">
        <v>2881</v>
      </c>
      <c r="QWR1337" s="4" t="s">
        <v>2881</v>
      </c>
      <c r="QWS1337" s="4" t="s">
        <v>2881</v>
      </c>
      <c r="QWT1337" s="4" t="s">
        <v>2881</v>
      </c>
      <c r="QWU1337" s="4" t="s">
        <v>2881</v>
      </c>
      <c r="QWV1337" s="4" t="s">
        <v>2881</v>
      </c>
      <c r="QWW1337" s="4" t="s">
        <v>2881</v>
      </c>
      <c r="QWX1337" s="4" t="s">
        <v>2881</v>
      </c>
      <c r="QWY1337" s="4" t="s">
        <v>2881</v>
      </c>
      <c r="QWZ1337" s="4" t="s">
        <v>2881</v>
      </c>
      <c r="QXA1337" s="4" t="s">
        <v>2881</v>
      </c>
      <c r="QXB1337" s="4" t="s">
        <v>2881</v>
      </c>
      <c r="QXC1337" s="4" t="s">
        <v>2881</v>
      </c>
      <c r="QXD1337" s="4" t="s">
        <v>2881</v>
      </c>
      <c r="QXE1337" s="4" t="s">
        <v>2881</v>
      </c>
      <c r="QXF1337" s="4" t="s">
        <v>2881</v>
      </c>
      <c r="QXG1337" s="4" t="s">
        <v>2881</v>
      </c>
      <c r="QXH1337" s="4" t="s">
        <v>2881</v>
      </c>
      <c r="QXI1337" s="4" t="s">
        <v>2881</v>
      </c>
      <c r="QXJ1337" s="4" t="s">
        <v>2881</v>
      </c>
      <c r="QXK1337" s="4" t="s">
        <v>2881</v>
      </c>
      <c r="QXL1337" s="4" t="s">
        <v>2881</v>
      </c>
      <c r="QXM1337" s="4" t="s">
        <v>2881</v>
      </c>
      <c r="QXN1337" s="4" t="s">
        <v>2881</v>
      </c>
      <c r="QXO1337" s="4" t="s">
        <v>2881</v>
      </c>
      <c r="QXP1337" s="4" t="s">
        <v>2881</v>
      </c>
      <c r="QXQ1337" s="4" t="s">
        <v>2881</v>
      </c>
      <c r="QXR1337" s="4" t="s">
        <v>2881</v>
      </c>
      <c r="QXS1337" s="4" t="s">
        <v>2881</v>
      </c>
      <c r="QXT1337" s="4" t="s">
        <v>2881</v>
      </c>
      <c r="QXU1337" s="4" t="s">
        <v>2881</v>
      </c>
      <c r="QXV1337" s="4" t="s">
        <v>2881</v>
      </c>
      <c r="QXW1337" s="4" t="s">
        <v>2881</v>
      </c>
      <c r="QXX1337" s="4" t="s">
        <v>2881</v>
      </c>
      <c r="QXY1337" s="4" t="s">
        <v>2881</v>
      </c>
      <c r="QXZ1337" s="4" t="s">
        <v>2881</v>
      </c>
      <c r="QYA1337" s="4" t="s">
        <v>2881</v>
      </c>
      <c r="QYB1337" s="4" t="s">
        <v>2881</v>
      </c>
      <c r="QYC1337" s="4" t="s">
        <v>2881</v>
      </c>
      <c r="QYD1337" s="4" t="s">
        <v>2881</v>
      </c>
      <c r="QYE1337" s="4" t="s">
        <v>2881</v>
      </c>
      <c r="QYF1337" s="4" t="s">
        <v>2881</v>
      </c>
      <c r="QYG1337" s="4" t="s">
        <v>2881</v>
      </c>
      <c r="QYH1337" s="4" t="s">
        <v>2881</v>
      </c>
      <c r="QYI1337" s="4" t="s">
        <v>2881</v>
      </c>
      <c r="QYJ1337" s="4" t="s">
        <v>2881</v>
      </c>
      <c r="QYK1337" s="4" t="s">
        <v>2881</v>
      </c>
      <c r="QYL1337" s="4" t="s">
        <v>2881</v>
      </c>
      <c r="QYM1337" s="4" t="s">
        <v>2881</v>
      </c>
      <c r="QYN1337" s="4" t="s">
        <v>2881</v>
      </c>
      <c r="QYO1337" s="4" t="s">
        <v>2881</v>
      </c>
      <c r="QYP1337" s="4" t="s">
        <v>2881</v>
      </c>
      <c r="QYQ1337" s="4" t="s">
        <v>2881</v>
      </c>
      <c r="QYR1337" s="4" t="s">
        <v>2881</v>
      </c>
      <c r="QYS1337" s="4" t="s">
        <v>2881</v>
      </c>
      <c r="QYT1337" s="4" t="s">
        <v>2881</v>
      </c>
      <c r="QYU1337" s="4" t="s">
        <v>2881</v>
      </c>
      <c r="QYV1337" s="4" t="s">
        <v>2881</v>
      </c>
      <c r="QYW1337" s="4" t="s">
        <v>2881</v>
      </c>
      <c r="QYX1337" s="4" t="s">
        <v>2881</v>
      </c>
      <c r="QYY1337" s="4" t="s">
        <v>2881</v>
      </c>
      <c r="QYZ1337" s="4" t="s">
        <v>2881</v>
      </c>
      <c r="QZA1337" s="4" t="s">
        <v>2881</v>
      </c>
      <c r="QZB1337" s="4" t="s">
        <v>2881</v>
      </c>
      <c r="QZC1337" s="4" t="s">
        <v>2881</v>
      </c>
      <c r="QZD1337" s="4" t="s">
        <v>2881</v>
      </c>
      <c r="QZE1337" s="4" t="s">
        <v>2881</v>
      </c>
      <c r="QZF1337" s="4" t="s">
        <v>2881</v>
      </c>
      <c r="QZG1337" s="4" t="s">
        <v>2881</v>
      </c>
      <c r="QZH1337" s="4" t="s">
        <v>2881</v>
      </c>
      <c r="QZI1337" s="4" t="s">
        <v>2881</v>
      </c>
      <c r="QZJ1337" s="4" t="s">
        <v>2881</v>
      </c>
      <c r="QZK1337" s="4" t="s">
        <v>2881</v>
      </c>
      <c r="QZL1337" s="4" t="s">
        <v>2881</v>
      </c>
      <c r="QZM1337" s="4" t="s">
        <v>2881</v>
      </c>
      <c r="QZN1337" s="4" t="s">
        <v>2881</v>
      </c>
      <c r="QZO1337" s="4" t="s">
        <v>2881</v>
      </c>
      <c r="QZP1337" s="4" t="s">
        <v>2881</v>
      </c>
      <c r="QZQ1337" s="4" t="s">
        <v>2881</v>
      </c>
      <c r="QZR1337" s="4" t="s">
        <v>2881</v>
      </c>
      <c r="QZS1337" s="4" t="s">
        <v>2881</v>
      </c>
      <c r="QZT1337" s="4" t="s">
        <v>2881</v>
      </c>
      <c r="QZU1337" s="4" t="s">
        <v>2881</v>
      </c>
      <c r="QZV1337" s="4" t="s">
        <v>2881</v>
      </c>
      <c r="QZW1337" s="4" t="s">
        <v>2881</v>
      </c>
      <c r="QZX1337" s="4" t="s">
        <v>2881</v>
      </c>
      <c r="QZY1337" s="4" t="s">
        <v>2881</v>
      </c>
      <c r="QZZ1337" s="4" t="s">
        <v>2881</v>
      </c>
      <c r="RAA1337" s="4" t="s">
        <v>2881</v>
      </c>
      <c r="RAB1337" s="4" t="s">
        <v>2881</v>
      </c>
      <c r="RAC1337" s="4" t="s">
        <v>2881</v>
      </c>
      <c r="RAD1337" s="4" t="s">
        <v>2881</v>
      </c>
      <c r="RAE1337" s="4" t="s">
        <v>2881</v>
      </c>
      <c r="RAF1337" s="4" t="s">
        <v>2881</v>
      </c>
      <c r="RAG1337" s="4" t="s">
        <v>2881</v>
      </c>
      <c r="RAH1337" s="4" t="s">
        <v>2881</v>
      </c>
      <c r="RAI1337" s="4" t="s">
        <v>2881</v>
      </c>
      <c r="RAJ1337" s="4" t="s">
        <v>2881</v>
      </c>
      <c r="RAK1337" s="4" t="s">
        <v>2881</v>
      </c>
      <c r="RAL1337" s="4" t="s">
        <v>2881</v>
      </c>
      <c r="RAM1337" s="4" t="s">
        <v>2881</v>
      </c>
      <c r="RAN1337" s="4" t="s">
        <v>2881</v>
      </c>
      <c r="RAO1337" s="4" t="s">
        <v>2881</v>
      </c>
      <c r="RAP1337" s="4" t="s">
        <v>2881</v>
      </c>
      <c r="RAQ1337" s="4" t="s">
        <v>2881</v>
      </c>
      <c r="RAR1337" s="4" t="s">
        <v>2881</v>
      </c>
      <c r="RAS1337" s="4" t="s">
        <v>2881</v>
      </c>
      <c r="RAT1337" s="4" t="s">
        <v>2881</v>
      </c>
      <c r="RAU1337" s="4" t="s">
        <v>2881</v>
      </c>
      <c r="RAV1337" s="4" t="s">
        <v>2881</v>
      </c>
      <c r="RAW1337" s="4" t="s">
        <v>2881</v>
      </c>
      <c r="RAX1337" s="4" t="s">
        <v>2881</v>
      </c>
      <c r="RAY1337" s="4" t="s">
        <v>2881</v>
      </c>
      <c r="RAZ1337" s="4" t="s">
        <v>2881</v>
      </c>
      <c r="RBA1337" s="4" t="s">
        <v>2881</v>
      </c>
      <c r="RBB1337" s="4" t="s">
        <v>2881</v>
      </c>
      <c r="RBC1337" s="4" t="s">
        <v>2881</v>
      </c>
      <c r="RBD1337" s="4" t="s">
        <v>2881</v>
      </c>
      <c r="RBE1337" s="4" t="s">
        <v>2881</v>
      </c>
      <c r="RBF1337" s="4" t="s">
        <v>2881</v>
      </c>
      <c r="RBG1337" s="4" t="s">
        <v>2881</v>
      </c>
      <c r="RBH1337" s="4" t="s">
        <v>2881</v>
      </c>
      <c r="RBI1337" s="4" t="s">
        <v>2881</v>
      </c>
      <c r="RBJ1337" s="4" t="s">
        <v>2881</v>
      </c>
      <c r="RBK1337" s="4" t="s">
        <v>2881</v>
      </c>
      <c r="RBL1337" s="4" t="s">
        <v>2881</v>
      </c>
      <c r="RBM1337" s="4" t="s">
        <v>2881</v>
      </c>
      <c r="RBN1337" s="4" t="s">
        <v>2881</v>
      </c>
      <c r="RBO1337" s="4" t="s">
        <v>2881</v>
      </c>
      <c r="RBP1337" s="4" t="s">
        <v>2881</v>
      </c>
      <c r="RBQ1337" s="4" t="s">
        <v>2881</v>
      </c>
      <c r="RBR1337" s="4" t="s">
        <v>2881</v>
      </c>
      <c r="RBS1337" s="4" t="s">
        <v>2881</v>
      </c>
      <c r="RBT1337" s="4" t="s">
        <v>2881</v>
      </c>
      <c r="RBU1337" s="4" t="s">
        <v>2881</v>
      </c>
      <c r="RBV1337" s="4" t="s">
        <v>2881</v>
      </c>
      <c r="RBW1337" s="4" t="s">
        <v>2881</v>
      </c>
      <c r="RBX1337" s="4" t="s">
        <v>2881</v>
      </c>
      <c r="RBY1337" s="4" t="s">
        <v>2881</v>
      </c>
      <c r="RBZ1337" s="4" t="s">
        <v>2881</v>
      </c>
      <c r="RCA1337" s="4" t="s">
        <v>2881</v>
      </c>
      <c r="RCB1337" s="4" t="s">
        <v>2881</v>
      </c>
      <c r="RCC1337" s="4" t="s">
        <v>2881</v>
      </c>
      <c r="RCD1337" s="4" t="s">
        <v>2881</v>
      </c>
      <c r="RCE1337" s="4" t="s">
        <v>2881</v>
      </c>
      <c r="RCF1337" s="4" t="s">
        <v>2881</v>
      </c>
      <c r="RCG1337" s="4" t="s">
        <v>2881</v>
      </c>
      <c r="RCH1337" s="4" t="s">
        <v>2881</v>
      </c>
      <c r="RCI1337" s="4" t="s">
        <v>2881</v>
      </c>
      <c r="RCJ1337" s="4" t="s">
        <v>2881</v>
      </c>
      <c r="RCK1337" s="4" t="s">
        <v>2881</v>
      </c>
      <c r="RCL1337" s="4" t="s">
        <v>2881</v>
      </c>
      <c r="RCM1337" s="4" t="s">
        <v>2881</v>
      </c>
      <c r="RCN1337" s="4" t="s">
        <v>2881</v>
      </c>
      <c r="RCO1337" s="4" t="s">
        <v>2881</v>
      </c>
      <c r="RCP1337" s="4" t="s">
        <v>2881</v>
      </c>
      <c r="RCQ1337" s="4" t="s">
        <v>2881</v>
      </c>
      <c r="RCR1337" s="4" t="s">
        <v>2881</v>
      </c>
      <c r="RCS1337" s="4" t="s">
        <v>2881</v>
      </c>
      <c r="RCT1337" s="4" t="s">
        <v>2881</v>
      </c>
      <c r="RCU1337" s="4" t="s">
        <v>2881</v>
      </c>
      <c r="RCV1337" s="4" t="s">
        <v>2881</v>
      </c>
      <c r="RCW1337" s="4" t="s">
        <v>2881</v>
      </c>
      <c r="RCX1337" s="4" t="s">
        <v>2881</v>
      </c>
      <c r="RCY1337" s="4" t="s">
        <v>2881</v>
      </c>
      <c r="RCZ1337" s="4" t="s">
        <v>2881</v>
      </c>
      <c r="RDA1337" s="4" t="s">
        <v>2881</v>
      </c>
      <c r="RDB1337" s="4" t="s">
        <v>2881</v>
      </c>
      <c r="RDC1337" s="4" t="s">
        <v>2881</v>
      </c>
      <c r="RDD1337" s="4" t="s">
        <v>2881</v>
      </c>
      <c r="RDE1337" s="4" t="s">
        <v>2881</v>
      </c>
      <c r="RDF1337" s="4" t="s">
        <v>2881</v>
      </c>
      <c r="RDG1337" s="4" t="s">
        <v>2881</v>
      </c>
      <c r="RDH1337" s="4" t="s">
        <v>2881</v>
      </c>
      <c r="RDI1337" s="4" t="s">
        <v>2881</v>
      </c>
      <c r="RDJ1337" s="4" t="s">
        <v>2881</v>
      </c>
      <c r="RDK1337" s="4" t="s">
        <v>2881</v>
      </c>
      <c r="RDL1337" s="4" t="s">
        <v>2881</v>
      </c>
      <c r="RDM1337" s="4" t="s">
        <v>2881</v>
      </c>
      <c r="RDN1337" s="4" t="s">
        <v>2881</v>
      </c>
      <c r="RDO1337" s="4" t="s">
        <v>2881</v>
      </c>
      <c r="RDP1337" s="4" t="s">
        <v>2881</v>
      </c>
      <c r="RDQ1337" s="4" t="s">
        <v>2881</v>
      </c>
      <c r="RDR1337" s="4" t="s">
        <v>2881</v>
      </c>
      <c r="RDS1337" s="4" t="s">
        <v>2881</v>
      </c>
      <c r="RDT1337" s="4" t="s">
        <v>2881</v>
      </c>
      <c r="RDU1337" s="4" t="s">
        <v>2881</v>
      </c>
      <c r="RDV1337" s="4" t="s">
        <v>2881</v>
      </c>
      <c r="RDW1337" s="4" t="s">
        <v>2881</v>
      </c>
      <c r="RDX1337" s="4" t="s">
        <v>2881</v>
      </c>
      <c r="RDY1337" s="4" t="s">
        <v>2881</v>
      </c>
      <c r="RDZ1337" s="4" t="s">
        <v>2881</v>
      </c>
      <c r="REA1337" s="4" t="s">
        <v>2881</v>
      </c>
      <c r="REB1337" s="4" t="s">
        <v>2881</v>
      </c>
      <c r="REC1337" s="4" t="s">
        <v>2881</v>
      </c>
      <c r="RED1337" s="4" t="s">
        <v>2881</v>
      </c>
      <c r="REE1337" s="4" t="s">
        <v>2881</v>
      </c>
      <c r="REF1337" s="4" t="s">
        <v>2881</v>
      </c>
      <c r="REG1337" s="4" t="s">
        <v>2881</v>
      </c>
      <c r="REH1337" s="4" t="s">
        <v>2881</v>
      </c>
      <c r="REI1337" s="4" t="s">
        <v>2881</v>
      </c>
      <c r="REJ1337" s="4" t="s">
        <v>2881</v>
      </c>
      <c r="REK1337" s="4" t="s">
        <v>2881</v>
      </c>
      <c r="REL1337" s="4" t="s">
        <v>2881</v>
      </c>
      <c r="REM1337" s="4" t="s">
        <v>2881</v>
      </c>
      <c r="REN1337" s="4" t="s">
        <v>2881</v>
      </c>
      <c r="REO1337" s="4" t="s">
        <v>2881</v>
      </c>
      <c r="REP1337" s="4" t="s">
        <v>2881</v>
      </c>
      <c r="REQ1337" s="4" t="s">
        <v>2881</v>
      </c>
      <c r="RER1337" s="4" t="s">
        <v>2881</v>
      </c>
      <c r="RES1337" s="4" t="s">
        <v>2881</v>
      </c>
      <c r="RET1337" s="4" t="s">
        <v>2881</v>
      </c>
      <c r="REU1337" s="4" t="s">
        <v>2881</v>
      </c>
      <c r="REV1337" s="4" t="s">
        <v>2881</v>
      </c>
      <c r="REW1337" s="4" t="s">
        <v>2881</v>
      </c>
      <c r="REX1337" s="4" t="s">
        <v>2881</v>
      </c>
      <c r="REY1337" s="4" t="s">
        <v>2881</v>
      </c>
      <c r="REZ1337" s="4" t="s">
        <v>2881</v>
      </c>
      <c r="RFA1337" s="4" t="s">
        <v>2881</v>
      </c>
      <c r="RFB1337" s="4" t="s">
        <v>2881</v>
      </c>
      <c r="RFC1337" s="4" t="s">
        <v>2881</v>
      </c>
      <c r="RFD1337" s="4" t="s">
        <v>2881</v>
      </c>
      <c r="RFE1337" s="4" t="s">
        <v>2881</v>
      </c>
      <c r="RFF1337" s="4" t="s">
        <v>2881</v>
      </c>
      <c r="RFG1337" s="4" t="s">
        <v>2881</v>
      </c>
      <c r="RFH1337" s="4" t="s">
        <v>2881</v>
      </c>
      <c r="RFI1337" s="4" t="s">
        <v>2881</v>
      </c>
      <c r="RFJ1337" s="4" t="s">
        <v>2881</v>
      </c>
      <c r="RFK1337" s="4" t="s">
        <v>2881</v>
      </c>
      <c r="RFL1337" s="4" t="s">
        <v>2881</v>
      </c>
      <c r="RFM1337" s="4" t="s">
        <v>2881</v>
      </c>
      <c r="RFN1337" s="4" t="s">
        <v>2881</v>
      </c>
      <c r="RFO1337" s="4" t="s">
        <v>2881</v>
      </c>
      <c r="RFP1337" s="4" t="s">
        <v>2881</v>
      </c>
      <c r="RFQ1337" s="4" t="s">
        <v>2881</v>
      </c>
      <c r="RFR1337" s="4" t="s">
        <v>2881</v>
      </c>
      <c r="RFS1337" s="4" t="s">
        <v>2881</v>
      </c>
      <c r="RFT1337" s="4" t="s">
        <v>2881</v>
      </c>
      <c r="RFU1337" s="4" t="s">
        <v>2881</v>
      </c>
      <c r="RFV1337" s="4" t="s">
        <v>2881</v>
      </c>
      <c r="RFW1337" s="4" t="s">
        <v>2881</v>
      </c>
      <c r="RFX1337" s="4" t="s">
        <v>2881</v>
      </c>
      <c r="RFY1337" s="4" t="s">
        <v>2881</v>
      </c>
      <c r="RFZ1337" s="4" t="s">
        <v>2881</v>
      </c>
      <c r="RGA1337" s="4" t="s">
        <v>2881</v>
      </c>
      <c r="RGB1337" s="4" t="s">
        <v>2881</v>
      </c>
      <c r="RGC1337" s="4" t="s">
        <v>2881</v>
      </c>
      <c r="RGD1337" s="4" t="s">
        <v>2881</v>
      </c>
      <c r="RGE1337" s="4" t="s">
        <v>2881</v>
      </c>
      <c r="RGF1337" s="4" t="s">
        <v>2881</v>
      </c>
      <c r="RGG1337" s="4" t="s">
        <v>2881</v>
      </c>
      <c r="RGH1337" s="4" t="s">
        <v>2881</v>
      </c>
      <c r="RGI1337" s="4" t="s">
        <v>2881</v>
      </c>
      <c r="RGJ1337" s="4" t="s">
        <v>2881</v>
      </c>
      <c r="RGK1337" s="4" t="s">
        <v>2881</v>
      </c>
      <c r="RGL1337" s="4" t="s">
        <v>2881</v>
      </c>
      <c r="RGM1337" s="4" t="s">
        <v>2881</v>
      </c>
      <c r="RGN1337" s="4" t="s">
        <v>2881</v>
      </c>
      <c r="RGO1337" s="4" t="s">
        <v>2881</v>
      </c>
      <c r="RGP1337" s="4" t="s">
        <v>2881</v>
      </c>
      <c r="RGQ1337" s="4" t="s">
        <v>2881</v>
      </c>
      <c r="RGR1337" s="4" t="s">
        <v>2881</v>
      </c>
      <c r="RGS1337" s="4" t="s">
        <v>2881</v>
      </c>
      <c r="RGT1337" s="4" t="s">
        <v>2881</v>
      </c>
      <c r="RGU1337" s="4" t="s">
        <v>2881</v>
      </c>
      <c r="RGV1337" s="4" t="s">
        <v>2881</v>
      </c>
      <c r="RGW1337" s="4" t="s">
        <v>2881</v>
      </c>
      <c r="RGX1337" s="4" t="s">
        <v>2881</v>
      </c>
      <c r="RGY1337" s="4" t="s">
        <v>2881</v>
      </c>
      <c r="RGZ1337" s="4" t="s">
        <v>2881</v>
      </c>
      <c r="RHA1337" s="4" t="s">
        <v>2881</v>
      </c>
      <c r="RHB1337" s="4" t="s">
        <v>2881</v>
      </c>
      <c r="RHC1337" s="4" t="s">
        <v>2881</v>
      </c>
      <c r="RHD1337" s="4" t="s">
        <v>2881</v>
      </c>
      <c r="RHE1337" s="4" t="s">
        <v>2881</v>
      </c>
      <c r="RHF1337" s="4" t="s">
        <v>2881</v>
      </c>
      <c r="RHG1337" s="4" t="s">
        <v>2881</v>
      </c>
      <c r="RHH1337" s="4" t="s">
        <v>2881</v>
      </c>
      <c r="RHI1337" s="4" t="s">
        <v>2881</v>
      </c>
      <c r="RHJ1337" s="4" t="s">
        <v>2881</v>
      </c>
      <c r="RHK1337" s="4" t="s">
        <v>2881</v>
      </c>
      <c r="RHL1337" s="4" t="s">
        <v>2881</v>
      </c>
      <c r="RHM1337" s="4" t="s">
        <v>2881</v>
      </c>
      <c r="RHN1337" s="4" t="s">
        <v>2881</v>
      </c>
      <c r="RHO1337" s="4" t="s">
        <v>2881</v>
      </c>
      <c r="RHP1337" s="4" t="s">
        <v>2881</v>
      </c>
      <c r="RHQ1337" s="4" t="s">
        <v>2881</v>
      </c>
      <c r="RHR1337" s="4" t="s">
        <v>2881</v>
      </c>
      <c r="RHS1337" s="4" t="s">
        <v>2881</v>
      </c>
      <c r="RHT1337" s="4" t="s">
        <v>2881</v>
      </c>
      <c r="RHU1337" s="4" t="s">
        <v>2881</v>
      </c>
      <c r="RHV1337" s="4" t="s">
        <v>2881</v>
      </c>
      <c r="RHW1337" s="4" t="s">
        <v>2881</v>
      </c>
      <c r="RHX1337" s="4" t="s">
        <v>2881</v>
      </c>
      <c r="RHY1337" s="4" t="s">
        <v>2881</v>
      </c>
      <c r="RHZ1337" s="4" t="s">
        <v>2881</v>
      </c>
      <c r="RIA1337" s="4" t="s">
        <v>2881</v>
      </c>
      <c r="RIB1337" s="4" t="s">
        <v>2881</v>
      </c>
      <c r="RIC1337" s="4" t="s">
        <v>2881</v>
      </c>
      <c r="RID1337" s="4" t="s">
        <v>2881</v>
      </c>
      <c r="RIE1337" s="4" t="s">
        <v>2881</v>
      </c>
      <c r="RIF1337" s="4" t="s">
        <v>2881</v>
      </c>
      <c r="RIG1337" s="4" t="s">
        <v>2881</v>
      </c>
      <c r="RIH1337" s="4" t="s">
        <v>2881</v>
      </c>
      <c r="RII1337" s="4" t="s">
        <v>2881</v>
      </c>
      <c r="RIJ1337" s="4" t="s">
        <v>2881</v>
      </c>
      <c r="RIK1337" s="4" t="s">
        <v>2881</v>
      </c>
      <c r="RIL1337" s="4" t="s">
        <v>2881</v>
      </c>
      <c r="RIM1337" s="4" t="s">
        <v>2881</v>
      </c>
      <c r="RIN1337" s="4" t="s">
        <v>2881</v>
      </c>
      <c r="RIO1337" s="4" t="s">
        <v>2881</v>
      </c>
      <c r="RIP1337" s="4" t="s">
        <v>2881</v>
      </c>
      <c r="RIQ1337" s="4" t="s">
        <v>2881</v>
      </c>
      <c r="RIR1337" s="4" t="s">
        <v>2881</v>
      </c>
      <c r="RIS1337" s="4" t="s">
        <v>2881</v>
      </c>
      <c r="RIT1337" s="4" t="s">
        <v>2881</v>
      </c>
      <c r="RIU1337" s="4" t="s">
        <v>2881</v>
      </c>
      <c r="RIV1337" s="4" t="s">
        <v>2881</v>
      </c>
      <c r="RIW1337" s="4" t="s">
        <v>2881</v>
      </c>
      <c r="RIX1337" s="4" t="s">
        <v>2881</v>
      </c>
      <c r="RIY1337" s="4" t="s">
        <v>2881</v>
      </c>
      <c r="RIZ1337" s="4" t="s">
        <v>2881</v>
      </c>
      <c r="RJA1337" s="4" t="s">
        <v>2881</v>
      </c>
      <c r="RJB1337" s="4" t="s">
        <v>2881</v>
      </c>
      <c r="RJC1337" s="4" t="s">
        <v>2881</v>
      </c>
      <c r="RJD1337" s="4" t="s">
        <v>2881</v>
      </c>
      <c r="RJE1337" s="4" t="s">
        <v>2881</v>
      </c>
      <c r="RJF1337" s="4" t="s">
        <v>2881</v>
      </c>
      <c r="RJG1337" s="4" t="s">
        <v>2881</v>
      </c>
      <c r="RJH1337" s="4" t="s">
        <v>2881</v>
      </c>
      <c r="RJI1337" s="4" t="s">
        <v>2881</v>
      </c>
      <c r="RJJ1337" s="4" t="s">
        <v>2881</v>
      </c>
      <c r="RJK1337" s="4" t="s">
        <v>2881</v>
      </c>
      <c r="RJL1337" s="4" t="s">
        <v>2881</v>
      </c>
      <c r="RJM1337" s="4" t="s">
        <v>2881</v>
      </c>
      <c r="RJN1337" s="4" t="s">
        <v>2881</v>
      </c>
      <c r="RJO1337" s="4" t="s">
        <v>2881</v>
      </c>
      <c r="RJP1337" s="4" t="s">
        <v>2881</v>
      </c>
      <c r="RJQ1337" s="4" t="s">
        <v>2881</v>
      </c>
      <c r="RJR1337" s="4" t="s">
        <v>2881</v>
      </c>
      <c r="RJS1337" s="4" t="s">
        <v>2881</v>
      </c>
      <c r="RJT1337" s="4" t="s">
        <v>2881</v>
      </c>
      <c r="RJU1337" s="4" t="s">
        <v>2881</v>
      </c>
      <c r="RJV1337" s="4" t="s">
        <v>2881</v>
      </c>
      <c r="RJW1337" s="4" t="s">
        <v>2881</v>
      </c>
      <c r="RJX1337" s="4" t="s">
        <v>2881</v>
      </c>
      <c r="RJY1337" s="4" t="s">
        <v>2881</v>
      </c>
      <c r="RJZ1337" s="4" t="s">
        <v>2881</v>
      </c>
      <c r="RKA1337" s="4" t="s">
        <v>2881</v>
      </c>
      <c r="RKB1337" s="4" t="s">
        <v>2881</v>
      </c>
      <c r="RKC1337" s="4" t="s">
        <v>2881</v>
      </c>
      <c r="RKD1337" s="4" t="s">
        <v>2881</v>
      </c>
      <c r="RKE1337" s="4" t="s">
        <v>2881</v>
      </c>
      <c r="RKF1337" s="4" t="s">
        <v>2881</v>
      </c>
      <c r="RKG1337" s="4" t="s">
        <v>2881</v>
      </c>
      <c r="RKH1337" s="4" t="s">
        <v>2881</v>
      </c>
      <c r="RKI1337" s="4" t="s">
        <v>2881</v>
      </c>
      <c r="RKJ1337" s="4" t="s">
        <v>2881</v>
      </c>
      <c r="RKK1337" s="4" t="s">
        <v>2881</v>
      </c>
      <c r="RKL1337" s="4" t="s">
        <v>2881</v>
      </c>
      <c r="RKM1337" s="4" t="s">
        <v>2881</v>
      </c>
      <c r="RKN1337" s="4" t="s">
        <v>2881</v>
      </c>
      <c r="RKO1337" s="4" t="s">
        <v>2881</v>
      </c>
      <c r="RKP1337" s="4" t="s">
        <v>2881</v>
      </c>
      <c r="RKQ1337" s="4" t="s">
        <v>2881</v>
      </c>
      <c r="RKR1337" s="4" t="s">
        <v>2881</v>
      </c>
      <c r="RKS1337" s="4" t="s">
        <v>2881</v>
      </c>
      <c r="RKT1337" s="4" t="s">
        <v>2881</v>
      </c>
      <c r="RKU1337" s="4" t="s">
        <v>2881</v>
      </c>
      <c r="RKV1337" s="4" t="s">
        <v>2881</v>
      </c>
      <c r="RKW1337" s="4" t="s">
        <v>2881</v>
      </c>
      <c r="RKX1337" s="4" t="s">
        <v>2881</v>
      </c>
      <c r="RKY1337" s="4" t="s">
        <v>2881</v>
      </c>
      <c r="RKZ1337" s="4" t="s">
        <v>2881</v>
      </c>
      <c r="RLA1337" s="4" t="s">
        <v>2881</v>
      </c>
      <c r="RLB1337" s="4" t="s">
        <v>2881</v>
      </c>
      <c r="RLC1337" s="4" t="s">
        <v>2881</v>
      </c>
      <c r="RLD1337" s="4" t="s">
        <v>2881</v>
      </c>
      <c r="RLE1337" s="4" t="s">
        <v>2881</v>
      </c>
      <c r="RLF1337" s="4" t="s">
        <v>2881</v>
      </c>
      <c r="RLG1337" s="4" t="s">
        <v>2881</v>
      </c>
      <c r="RLH1337" s="4" t="s">
        <v>2881</v>
      </c>
      <c r="RLI1337" s="4" t="s">
        <v>2881</v>
      </c>
      <c r="RLJ1337" s="4" t="s">
        <v>2881</v>
      </c>
      <c r="RLK1337" s="4" t="s">
        <v>2881</v>
      </c>
      <c r="RLL1337" s="4" t="s">
        <v>2881</v>
      </c>
      <c r="RLM1337" s="4" t="s">
        <v>2881</v>
      </c>
      <c r="RLN1337" s="4" t="s">
        <v>2881</v>
      </c>
      <c r="RLO1337" s="4" t="s">
        <v>2881</v>
      </c>
      <c r="RLP1337" s="4" t="s">
        <v>2881</v>
      </c>
      <c r="RLQ1337" s="4" t="s">
        <v>2881</v>
      </c>
      <c r="RLR1337" s="4" t="s">
        <v>2881</v>
      </c>
      <c r="RLS1337" s="4" t="s">
        <v>2881</v>
      </c>
      <c r="RLT1337" s="4" t="s">
        <v>2881</v>
      </c>
      <c r="RLU1337" s="4" t="s">
        <v>2881</v>
      </c>
      <c r="RLV1337" s="4" t="s">
        <v>2881</v>
      </c>
      <c r="RLW1337" s="4" t="s">
        <v>2881</v>
      </c>
      <c r="RLX1337" s="4" t="s">
        <v>2881</v>
      </c>
      <c r="RLY1337" s="4" t="s">
        <v>2881</v>
      </c>
      <c r="RLZ1337" s="4" t="s">
        <v>2881</v>
      </c>
      <c r="RMA1337" s="4" t="s">
        <v>2881</v>
      </c>
      <c r="RMB1337" s="4" t="s">
        <v>2881</v>
      </c>
      <c r="RMC1337" s="4" t="s">
        <v>2881</v>
      </c>
      <c r="RMD1337" s="4" t="s">
        <v>2881</v>
      </c>
      <c r="RME1337" s="4" t="s">
        <v>2881</v>
      </c>
      <c r="RMF1337" s="4" t="s">
        <v>2881</v>
      </c>
      <c r="RMG1337" s="4" t="s">
        <v>2881</v>
      </c>
      <c r="RMH1337" s="4" t="s">
        <v>2881</v>
      </c>
      <c r="RMI1337" s="4" t="s">
        <v>2881</v>
      </c>
      <c r="RMJ1337" s="4" t="s">
        <v>2881</v>
      </c>
      <c r="RMK1337" s="4" t="s">
        <v>2881</v>
      </c>
      <c r="RML1337" s="4" t="s">
        <v>2881</v>
      </c>
      <c r="RMM1337" s="4" t="s">
        <v>2881</v>
      </c>
      <c r="RMN1337" s="4" t="s">
        <v>2881</v>
      </c>
      <c r="RMO1337" s="4" t="s">
        <v>2881</v>
      </c>
      <c r="RMP1337" s="4" t="s">
        <v>2881</v>
      </c>
      <c r="RMQ1337" s="4" t="s">
        <v>2881</v>
      </c>
      <c r="RMR1337" s="4" t="s">
        <v>2881</v>
      </c>
      <c r="RMS1337" s="4" t="s">
        <v>2881</v>
      </c>
      <c r="RMT1337" s="4" t="s">
        <v>2881</v>
      </c>
      <c r="RMU1337" s="4" t="s">
        <v>2881</v>
      </c>
      <c r="RMV1337" s="4" t="s">
        <v>2881</v>
      </c>
      <c r="RMW1337" s="4" t="s">
        <v>2881</v>
      </c>
      <c r="RMX1337" s="4" t="s">
        <v>2881</v>
      </c>
      <c r="RMY1337" s="4" t="s">
        <v>2881</v>
      </c>
      <c r="RMZ1337" s="4" t="s">
        <v>2881</v>
      </c>
      <c r="RNA1337" s="4" t="s">
        <v>2881</v>
      </c>
      <c r="RNB1337" s="4" t="s">
        <v>2881</v>
      </c>
      <c r="RNC1337" s="4" t="s">
        <v>2881</v>
      </c>
      <c r="RND1337" s="4" t="s">
        <v>2881</v>
      </c>
      <c r="RNE1337" s="4" t="s">
        <v>2881</v>
      </c>
      <c r="RNF1337" s="4" t="s">
        <v>2881</v>
      </c>
      <c r="RNG1337" s="4" t="s">
        <v>2881</v>
      </c>
      <c r="RNH1337" s="4" t="s">
        <v>2881</v>
      </c>
      <c r="RNI1337" s="4" t="s">
        <v>2881</v>
      </c>
      <c r="RNJ1337" s="4" t="s">
        <v>2881</v>
      </c>
      <c r="RNK1337" s="4" t="s">
        <v>2881</v>
      </c>
      <c r="RNL1337" s="4" t="s">
        <v>2881</v>
      </c>
      <c r="RNM1337" s="4" t="s">
        <v>2881</v>
      </c>
      <c r="RNN1337" s="4" t="s">
        <v>2881</v>
      </c>
      <c r="RNO1337" s="4" t="s">
        <v>2881</v>
      </c>
      <c r="RNP1337" s="4" t="s">
        <v>2881</v>
      </c>
      <c r="RNQ1337" s="4" t="s">
        <v>2881</v>
      </c>
      <c r="RNR1337" s="4" t="s">
        <v>2881</v>
      </c>
      <c r="RNS1337" s="4" t="s">
        <v>2881</v>
      </c>
      <c r="RNT1337" s="4" t="s">
        <v>2881</v>
      </c>
      <c r="RNU1337" s="4" t="s">
        <v>2881</v>
      </c>
      <c r="RNV1337" s="4" t="s">
        <v>2881</v>
      </c>
      <c r="RNW1337" s="4" t="s">
        <v>2881</v>
      </c>
      <c r="RNX1337" s="4" t="s">
        <v>2881</v>
      </c>
      <c r="RNY1337" s="4" t="s">
        <v>2881</v>
      </c>
      <c r="RNZ1337" s="4" t="s">
        <v>2881</v>
      </c>
      <c r="ROA1337" s="4" t="s">
        <v>2881</v>
      </c>
      <c r="ROB1337" s="4" t="s">
        <v>2881</v>
      </c>
      <c r="ROC1337" s="4" t="s">
        <v>2881</v>
      </c>
      <c r="ROD1337" s="4" t="s">
        <v>2881</v>
      </c>
      <c r="ROE1337" s="4" t="s">
        <v>2881</v>
      </c>
      <c r="ROF1337" s="4" t="s">
        <v>2881</v>
      </c>
      <c r="ROG1337" s="4" t="s">
        <v>2881</v>
      </c>
      <c r="ROH1337" s="4" t="s">
        <v>2881</v>
      </c>
      <c r="ROI1337" s="4" t="s">
        <v>2881</v>
      </c>
      <c r="ROJ1337" s="4" t="s">
        <v>2881</v>
      </c>
      <c r="ROK1337" s="4" t="s">
        <v>2881</v>
      </c>
      <c r="ROL1337" s="4" t="s">
        <v>2881</v>
      </c>
      <c r="ROM1337" s="4" t="s">
        <v>2881</v>
      </c>
      <c r="RON1337" s="4" t="s">
        <v>2881</v>
      </c>
      <c r="ROO1337" s="4" t="s">
        <v>2881</v>
      </c>
      <c r="ROP1337" s="4" t="s">
        <v>2881</v>
      </c>
      <c r="ROQ1337" s="4" t="s">
        <v>2881</v>
      </c>
      <c r="ROR1337" s="4" t="s">
        <v>2881</v>
      </c>
      <c r="ROS1337" s="4" t="s">
        <v>2881</v>
      </c>
      <c r="ROT1337" s="4" t="s">
        <v>2881</v>
      </c>
      <c r="ROU1337" s="4" t="s">
        <v>2881</v>
      </c>
      <c r="ROV1337" s="4" t="s">
        <v>2881</v>
      </c>
      <c r="ROW1337" s="4" t="s">
        <v>2881</v>
      </c>
      <c r="ROX1337" s="4" t="s">
        <v>2881</v>
      </c>
      <c r="ROY1337" s="4" t="s">
        <v>2881</v>
      </c>
      <c r="ROZ1337" s="4" t="s">
        <v>2881</v>
      </c>
      <c r="RPA1337" s="4" t="s">
        <v>2881</v>
      </c>
      <c r="RPB1337" s="4" t="s">
        <v>2881</v>
      </c>
      <c r="RPC1337" s="4" t="s">
        <v>2881</v>
      </c>
      <c r="RPD1337" s="4" t="s">
        <v>2881</v>
      </c>
      <c r="RPE1337" s="4" t="s">
        <v>2881</v>
      </c>
      <c r="RPF1337" s="4" t="s">
        <v>2881</v>
      </c>
      <c r="RPG1337" s="4" t="s">
        <v>2881</v>
      </c>
      <c r="RPH1337" s="4" t="s">
        <v>2881</v>
      </c>
      <c r="RPI1337" s="4" t="s">
        <v>2881</v>
      </c>
      <c r="RPJ1337" s="4" t="s">
        <v>2881</v>
      </c>
      <c r="RPK1337" s="4" t="s">
        <v>2881</v>
      </c>
      <c r="RPL1337" s="4" t="s">
        <v>2881</v>
      </c>
      <c r="RPM1337" s="4" t="s">
        <v>2881</v>
      </c>
      <c r="RPN1337" s="4" t="s">
        <v>2881</v>
      </c>
      <c r="RPO1337" s="4" t="s">
        <v>2881</v>
      </c>
      <c r="RPP1337" s="4" t="s">
        <v>2881</v>
      </c>
      <c r="RPQ1337" s="4" t="s">
        <v>2881</v>
      </c>
      <c r="RPR1337" s="4" t="s">
        <v>2881</v>
      </c>
      <c r="RPS1337" s="4" t="s">
        <v>2881</v>
      </c>
      <c r="RPT1337" s="4" t="s">
        <v>2881</v>
      </c>
      <c r="RPU1337" s="4" t="s">
        <v>2881</v>
      </c>
      <c r="RPV1337" s="4" t="s">
        <v>2881</v>
      </c>
      <c r="RPW1337" s="4" t="s">
        <v>2881</v>
      </c>
      <c r="RPX1337" s="4" t="s">
        <v>2881</v>
      </c>
      <c r="RPY1337" s="4" t="s">
        <v>2881</v>
      </c>
      <c r="RPZ1337" s="4" t="s">
        <v>2881</v>
      </c>
      <c r="RQA1337" s="4" t="s">
        <v>2881</v>
      </c>
      <c r="RQB1337" s="4" t="s">
        <v>2881</v>
      </c>
      <c r="RQC1337" s="4" t="s">
        <v>2881</v>
      </c>
      <c r="RQD1337" s="4" t="s">
        <v>2881</v>
      </c>
      <c r="RQE1337" s="4" t="s">
        <v>2881</v>
      </c>
      <c r="RQF1337" s="4" t="s">
        <v>2881</v>
      </c>
      <c r="RQG1337" s="4" t="s">
        <v>2881</v>
      </c>
      <c r="RQH1337" s="4" t="s">
        <v>2881</v>
      </c>
      <c r="RQI1337" s="4" t="s">
        <v>2881</v>
      </c>
      <c r="RQJ1337" s="4" t="s">
        <v>2881</v>
      </c>
      <c r="RQK1337" s="4" t="s">
        <v>2881</v>
      </c>
      <c r="RQL1337" s="4" t="s">
        <v>2881</v>
      </c>
      <c r="RQM1337" s="4" t="s">
        <v>2881</v>
      </c>
      <c r="RQN1337" s="4" t="s">
        <v>2881</v>
      </c>
      <c r="RQO1337" s="4" t="s">
        <v>2881</v>
      </c>
      <c r="RQP1337" s="4" t="s">
        <v>2881</v>
      </c>
      <c r="RQQ1337" s="4" t="s">
        <v>2881</v>
      </c>
      <c r="RQR1337" s="4" t="s">
        <v>2881</v>
      </c>
      <c r="RQS1337" s="4" t="s">
        <v>2881</v>
      </c>
      <c r="RQT1337" s="4" t="s">
        <v>2881</v>
      </c>
      <c r="RQU1337" s="4" t="s">
        <v>2881</v>
      </c>
      <c r="RQV1337" s="4" t="s">
        <v>2881</v>
      </c>
      <c r="RQW1337" s="4" t="s">
        <v>2881</v>
      </c>
      <c r="RQX1337" s="4" t="s">
        <v>2881</v>
      </c>
      <c r="RQY1337" s="4" t="s">
        <v>2881</v>
      </c>
      <c r="RQZ1337" s="4" t="s">
        <v>2881</v>
      </c>
      <c r="RRA1337" s="4" t="s">
        <v>2881</v>
      </c>
      <c r="RRB1337" s="4" t="s">
        <v>2881</v>
      </c>
      <c r="RRC1337" s="4" t="s">
        <v>2881</v>
      </c>
      <c r="RRD1337" s="4" t="s">
        <v>2881</v>
      </c>
      <c r="RRE1337" s="4" t="s">
        <v>2881</v>
      </c>
      <c r="RRF1337" s="4" t="s">
        <v>2881</v>
      </c>
      <c r="RRG1337" s="4" t="s">
        <v>2881</v>
      </c>
      <c r="RRH1337" s="4" t="s">
        <v>2881</v>
      </c>
      <c r="RRI1337" s="4" t="s">
        <v>2881</v>
      </c>
      <c r="RRJ1337" s="4" t="s">
        <v>2881</v>
      </c>
      <c r="RRK1337" s="4" t="s">
        <v>2881</v>
      </c>
      <c r="RRL1337" s="4" t="s">
        <v>2881</v>
      </c>
      <c r="RRM1337" s="4" t="s">
        <v>2881</v>
      </c>
      <c r="RRN1337" s="4" t="s">
        <v>2881</v>
      </c>
      <c r="RRO1337" s="4" t="s">
        <v>2881</v>
      </c>
      <c r="RRP1337" s="4" t="s">
        <v>2881</v>
      </c>
      <c r="RRQ1337" s="4" t="s">
        <v>2881</v>
      </c>
      <c r="RRR1337" s="4" t="s">
        <v>2881</v>
      </c>
      <c r="RRS1337" s="4" t="s">
        <v>2881</v>
      </c>
      <c r="RRT1337" s="4" t="s">
        <v>2881</v>
      </c>
      <c r="RRU1337" s="4" t="s">
        <v>2881</v>
      </c>
      <c r="RRV1337" s="4" t="s">
        <v>2881</v>
      </c>
      <c r="RRW1337" s="4" t="s">
        <v>2881</v>
      </c>
      <c r="RRX1337" s="4" t="s">
        <v>2881</v>
      </c>
      <c r="RRY1337" s="4" t="s">
        <v>2881</v>
      </c>
      <c r="RRZ1337" s="4" t="s">
        <v>2881</v>
      </c>
      <c r="RSA1337" s="4" t="s">
        <v>2881</v>
      </c>
      <c r="RSB1337" s="4" t="s">
        <v>2881</v>
      </c>
      <c r="RSC1337" s="4" t="s">
        <v>2881</v>
      </c>
      <c r="RSD1337" s="4" t="s">
        <v>2881</v>
      </c>
      <c r="RSE1337" s="4" t="s">
        <v>2881</v>
      </c>
      <c r="RSF1337" s="4" t="s">
        <v>2881</v>
      </c>
      <c r="RSG1337" s="4" t="s">
        <v>2881</v>
      </c>
      <c r="RSH1337" s="4" t="s">
        <v>2881</v>
      </c>
      <c r="RSI1337" s="4" t="s">
        <v>2881</v>
      </c>
      <c r="RSJ1337" s="4" t="s">
        <v>2881</v>
      </c>
      <c r="RSK1337" s="4" t="s">
        <v>2881</v>
      </c>
      <c r="RSL1337" s="4" t="s">
        <v>2881</v>
      </c>
      <c r="RSM1337" s="4" t="s">
        <v>2881</v>
      </c>
      <c r="RSN1337" s="4" t="s">
        <v>2881</v>
      </c>
      <c r="RSO1337" s="4" t="s">
        <v>2881</v>
      </c>
      <c r="RSP1337" s="4" t="s">
        <v>2881</v>
      </c>
      <c r="RSQ1337" s="4" t="s">
        <v>2881</v>
      </c>
      <c r="RSR1337" s="4" t="s">
        <v>2881</v>
      </c>
      <c r="RSS1337" s="4" t="s">
        <v>2881</v>
      </c>
      <c r="RST1337" s="4" t="s">
        <v>2881</v>
      </c>
      <c r="RSU1337" s="4" t="s">
        <v>2881</v>
      </c>
      <c r="RSV1337" s="4" t="s">
        <v>2881</v>
      </c>
      <c r="RSW1337" s="4" t="s">
        <v>2881</v>
      </c>
      <c r="RSX1337" s="4" t="s">
        <v>2881</v>
      </c>
      <c r="RSY1337" s="4" t="s">
        <v>2881</v>
      </c>
      <c r="RSZ1337" s="4" t="s">
        <v>2881</v>
      </c>
      <c r="RTA1337" s="4" t="s">
        <v>2881</v>
      </c>
      <c r="RTB1337" s="4" t="s">
        <v>2881</v>
      </c>
      <c r="RTC1337" s="4" t="s">
        <v>2881</v>
      </c>
      <c r="RTD1337" s="4" t="s">
        <v>2881</v>
      </c>
      <c r="RTE1337" s="4" t="s">
        <v>2881</v>
      </c>
      <c r="RTF1337" s="4" t="s">
        <v>2881</v>
      </c>
      <c r="RTG1337" s="4" t="s">
        <v>2881</v>
      </c>
      <c r="RTH1337" s="4" t="s">
        <v>2881</v>
      </c>
      <c r="RTI1337" s="4" t="s">
        <v>2881</v>
      </c>
      <c r="RTJ1337" s="4" t="s">
        <v>2881</v>
      </c>
      <c r="RTK1337" s="4" t="s">
        <v>2881</v>
      </c>
      <c r="RTL1337" s="4" t="s">
        <v>2881</v>
      </c>
      <c r="RTM1337" s="4" t="s">
        <v>2881</v>
      </c>
      <c r="RTN1337" s="4" t="s">
        <v>2881</v>
      </c>
      <c r="RTO1337" s="4" t="s">
        <v>2881</v>
      </c>
      <c r="RTP1337" s="4" t="s">
        <v>2881</v>
      </c>
      <c r="RTQ1337" s="4" t="s">
        <v>2881</v>
      </c>
      <c r="RTR1337" s="4" t="s">
        <v>2881</v>
      </c>
      <c r="RTS1337" s="4" t="s">
        <v>2881</v>
      </c>
      <c r="RTT1337" s="4" t="s">
        <v>2881</v>
      </c>
      <c r="RTU1337" s="4" t="s">
        <v>2881</v>
      </c>
      <c r="RTV1337" s="4" t="s">
        <v>2881</v>
      </c>
      <c r="RTW1337" s="4" t="s">
        <v>2881</v>
      </c>
      <c r="RTX1337" s="4" t="s">
        <v>2881</v>
      </c>
      <c r="RTY1337" s="4" t="s">
        <v>2881</v>
      </c>
      <c r="RTZ1337" s="4" t="s">
        <v>2881</v>
      </c>
      <c r="RUA1337" s="4" t="s">
        <v>2881</v>
      </c>
      <c r="RUB1337" s="4" t="s">
        <v>2881</v>
      </c>
      <c r="RUC1337" s="4" t="s">
        <v>2881</v>
      </c>
      <c r="RUD1337" s="4" t="s">
        <v>2881</v>
      </c>
      <c r="RUE1337" s="4" t="s">
        <v>2881</v>
      </c>
      <c r="RUF1337" s="4" t="s">
        <v>2881</v>
      </c>
      <c r="RUG1337" s="4" t="s">
        <v>2881</v>
      </c>
      <c r="RUH1337" s="4" t="s">
        <v>2881</v>
      </c>
      <c r="RUI1337" s="4" t="s">
        <v>2881</v>
      </c>
      <c r="RUJ1337" s="4" t="s">
        <v>2881</v>
      </c>
      <c r="RUK1337" s="4" t="s">
        <v>2881</v>
      </c>
      <c r="RUL1337" s="4" t="s">
        <v>2881</v>
      </c>
      <c r="RUM1337" s="4" t="s">
        <v>2881</v>
      </c>
      <c r="RUN1337" s="4" t="s">
        <v>2881</v>
      </c>
      <c r="RUO1337" s="4" t="s">
        <v>2881</v>
      </c>
      <c r="RUP1337" s="4" t="s">
        <v>2881</v>
      </c>
      <c r="RUQ1337" s="4" t="s">
        <v>2881</v>
      </c>
      <c r="RUR1337" s="4" t="s">
        <v>2881</v>
      </c>
      <c r="RUS1337" s="4" t="s">
        <v>2881</v>
      </c>
      <c r="RUT1337" s="4" t="s">
        <v>2881</v>
      </c>
      <c r="RUU1337" s="4" t="s">
        <v>2881</v>
      </c>
      <c r="RUV1337" s="4" t="s">
        <v>2881</v>
      </c>
      <c r="RUW1337" s="4" t="s">
        <v>2881</v>
      </c>
      <c r="RUX1337" s="4" t="s">
        <v>2881</v>
      </c>
      <c r="RUY1337" s="4" t="s">
        <v>2881</v>
      </c>
      <c r="RUZ1337" s="4" t="s">
        <v>2881</v>
      </c>
      <c r="RVA1337" s="4" t="s">
        <v>2881</v>
      </c>
      <c r="RVB1337" s="4" t="s">
        <v>2881</v>
      </c>
      <c r="RVC1337" s="4" t="s">
        <v>2881</v>
      </c>
      <c r="RVD1337" s="4" t="s">
        <v>2881</v>
      </c>
      <c r="RVE1337" s="4" t="s">
        <v>2881</v>
      </c>
      <c r="RVF1337" s="4" t="s">
        <v>2881</v>
      </c>
      <c r="RVG1337" s="4" t="s">
        <v>2881</v>
      </c>
      <c r="RVH1337" s="4" t="s">
        <v>2881</v>
      </c>
      <c r="RVI1337" s="4" t="s">
        <v>2881</v>
      </c>
      <c r="RVJ1337" s="4" t="s">
        <v>2881</v>
      </c>
      <c r="RVK1337" s="4" t="s">
        <v>2881</v>
      </c>
      <c r="RVL1337" s="4" t="s">
        <v>2881</v>
      </c>
      <c r="RVM1337" s="4" t="s">
        <v>2881</v>
      </c>
      <c r="RVN1337" s="4" t="s">
        <v>2881</v>
      </c>
      <c r="RVO1337" s="4" t="s">
        <v>2881</v>
      </c>
      <c r="RVP1337" s="4" t="s">
        <v>2881</v>
      </c>
      <c r="RVQ1337" s="4" t="s">
        <v>2881</v>
      </c>
      <c r="RVR1337" s="4" t="s">
        <v>2881</v>
      </c>
      <c r="RVS1337" s="4" t="s">
        <v>2881</v>
      </c>
      <c r="RVT1337" s="4" t="s">
        <v>2881</v>
      </c>
      <c r="RVU1337" s="4" t="s">
        <v>2881</v>
      </c>
      <c r="RVV1337" s="4" t="s">
        <v>2881</v>
      </c>
      <c r="RVW1337" s="4" t="s">
        <v>2881</v>
      </c>
      <c r="RVX1337" s="4" t="s">
        <v>2881</v>
      </c>
      <c r="RVY1337" s="4" t="s">
        <v>2881</v>
      </c>
      <c r="RVZ1337" s="4" t="s">
        <v>2881</v>
      </c>
      <c r="RWA1337" s="4" t="s">
        <v>2881</v>
      </c>
      <c r="RWB1337" s="4" t="s">
        <v>2881</v>
      </c>
      <c r="RWC1337" s="4" t="s">
        <v>2881</v>
      </c>
      <c r="RWD1337" s="4" t="s">
        <v>2881</v>
      </c>
      <c r="RWE1337" s="4" t="s">
        <v>2881</v>
      </c>
      <c r="RWF1337" s="4" t="s">
        <v>2881</v>
      </c>
      <c r="RWG1337" s="4" t="s">
        <v>2881</v>
      </c>
      <c r="RWH1337" s="4" t="s">
        <v>2881</v>
      </c>
      <c r="RWI1337" s="4" t="s">
        <v>2881</v>
      </c>
      <c r="RWJ1337" s="4" t="s">
        <v>2881</v>
      </c>
      <c r="RWK1337" s="4" t="s">
        <v>2881</v>
      </c>
      <c r="RWL1337" s="4" t="s">
        <v>2881</v>
      </c>
      <c r="RWM1337" s="4" t="s">
        <v>2881</v>
      </c>
      <c r="RWN1337" s="4" t="s">
        <v>2881</v>
      </c>
      <c r="RWO1337" s="4" t="s">
        <v>2881</v>
      </c>
      <c r="RWP1337" s="4" t="s">
        <v>2881</v>
      </c>
      <c r="RWQ1337" s="4" t="s">
        <v>2881</v>
      </c>
      <c r="RWR1337" s="4" t="s">
        <v>2881</v>
      </c>
      <c r="RWS1337" s="4" t="s">
        <v>2881</v>
      </c>
      <c r="RWT1337" s="4" t="s">
        <v>2881</v>
      </c>
      <c r="RWU1337" s="4" t="s">
        <v>2881</v>
      </c>
      <c r="RWV1337" s="4" t="s">
        <v>2881</v>
      </c>
      <c r="RWW1337" s="4" t="s">
        <v>2881</v>
      </c>
      <c r="RWX1337" s="4" t="s">
        <v>2881</v>
      </c>
      <c r="RWY1337" s="4" t="s">
        <v>2881</v>
      </c>
      <c r="RWZ1337" s="4" t="s">
        <v>2881</v>
      </c>
      <c r="RXA1337" s="4" t="s">
        <v>2881</v>
      </c>
      <c r="RXB1337" s="4" t="s">
        <v>2881</v>
      </c>
      <c r="RXC1337" s="4" t="s">
        <v>2881</v>
      </c>
      <c r="RXD1337" s="4" t="s">
        <v>2881</v>
      </c>
      <c r="RXE1337" s="4" t="s">
        <v>2881</v>
      </c>
      <c r="RXF1337" s="4" t="s">
        <v>2881</v>
      </c>
      <c r="RXG1337" s="4" t="s">
        <v>2881</v>
      </c>
      <c r="RXH1337" s="4" t="s">
        <v>2881</v>
      </c>
      <c r="RXI1337" s="4" t="s">
        <v>2881</v>
      </c>
      <c r="RXJ1337" s="4" t="s">
        <v>2881</v>
      </c>
      <c r="RXK1337" s="4" t="s">
        <v>2881</v>
      </c>
      <c r="RXL1337" s="4" t="s">
        <v>2881</v>
      </c>
      <c r="RXM1337" s="4" t="s">
        <v>2881</v>
      </c>
      <c r="RXN1337" s="4" t="s">
        <v>2881</v>
      </c>
      <c r="RXO1337" s="4" t="s">
        <v>2881</v>
      </c>
      <c r="RXP1337" s="4" t="s">
        <v>2881</v>
      </c>
      <c r="RXQ1337" s="4" t="s">
        <v>2881</v>
      </c>
      <c r="RXR1337" s="4" t="s">
        <v>2881</v>
      </c>
      <c r="RXS1337" s="4" t="s">
        <v>2881</v>
      </c>
      <c r="RXT1337" s="4" t="s">
        <v>2881</v>
      </c>
      <c r="RXU1337" s="4" t="s">
        <v>2881</v>
      </c>
      <c r="RXV1337" s="4" t="s">
        <v>2881</v>
      </c>
      <c r="RXW1337" s="4" t="s">
        <v>2881</v>
      </c>
      <c r="RXX1337" s="4" t="s">
        <v>2881</v>
      </c>
      <c r="RXY1337" s="4" t="s">
        <v>2881</v>
      </c>
      <c r="RXZ1337" s="4" t="s">
        <v>2881</v>
      </c>
      <c r="RYA1337" s="4" t="s">
        <v>2881</v>
      </c>
      <c r="RYB1337" s="4" t="s">
        <v>2881</v>
      </c>
      <c r="RYC1337" s="4" t="s">
        <v>2881</v>
      </c>
      <c r="RYD1337" s="4" t="s">
        <v>2881</v>
      </c>
      <c r="RYE1337" s="4" t="s">
        <v>2881</v>
      </c>
      <c r="RYF1337" s="4" t="s">
        <v>2881</v>
      </c>
      <c r="RYG1337" s="4" t="s">
        <v>2881</v>
      </c>
      <c r="RYH1337" s="4" t="s">
        <v>2881</v>
      </c>
      <c r="RYI1337" s="4" t="s">
        <v>2881</v>
      </c>
      <c r="RYJ1337" s="4" t="s">
        <v>2881</v>
      </c>
      <c r="RYK1337" s="4" t="s">
        <v>2881</v>
      </c>
      <c r="RYL1337" s="4" t="s">
        <v>2881</v>
      </c>
      <c r="RYM1337" s="4" t="s">
        <v>2881</v>
      </c>
      <c r="RYN1337" s="4" t="s">
        <v>2881</v>
      </c>
      <c r="RYO1337" s="4" t="s">
        <v>2881</v>
      </c>
      <c r="RYP1337" s="4" t="s">
        <v>2881</v>
      </c>
      <c r="RYQ1337" s="4" t="s">
        <v>2881</v>
      </c>
      <c r="RYR1337" s="4" t="s">
        <v>2881</v>
      </c>
      <c r="RYS1337" s="4" t="s">
        <v>2881</v>
      </c>
      <c r="RYT1337" s="4" t="s">
        <v>2881</v>
      </c>
      <c r="RYU1337" s="4" t="s">
        <v>2881</v>
      </c>
      <c r="RYV1337" s="4" t="s">
        <v>2881</v>
      </c>
      <c r="RYW1337" s="4" t="s">
        <v>2881</v>
      </c>
      <c r="RYX1337" s="4" t="s">
        <v>2881</v>
      </c>
      <c r="RYY1337" s="4" t="s">
        <v>2881</v>
      </c>
      <c r="RYZ1337" s="4" t="s">
        <v>2881</v>
      </c>
      <c r="RZA1337" s="4" t="s">
        <v>2881</v>
      </c>
      <c r="RZB1337" s="4" t="s">
        <v>2881</v>
      </c>
      <c r="RZC1337" s="4" t="s">
        <v>2881</v>
      </c>
      <c r="RZD1337" s="4" t="s">
        <v>2881</v>
      </c>
      <c r="RZE1337" s="4" t="s">
        <v>2881</v>
      </c>
      <c r="RZF1337" s="4" t="s">
        <v>2881</v>
      </c>
      <c r="RZG1337" s="4" t="s">
        <v>2881</v>
      </c>
      <c r="RZH1337" s="4" t="s">
        <v>2881</v>
      </c>
      <c r="RZI1337" s="4" t="s">
        <v>2881</v>
      </c>
      <c r="RZJ1337" s="4" t="s">
        <v>2881</v>
      </c>
      <c r="RZK1337" s="4" t="s">
        <v>2881</v>
      </c>
      <c r="RZL1337" s="4" t="s">
        <v>2881</v>
      </c>
      <c r="RZM1337" s="4" t="s">
        <v>2881</v>
      </c>
      <c r="RZN1337" s="4" t="s">
        <v>2881</v>
      </c>
      <c r="RZO1337" s="4" t="s">
        <v>2881</v>
      </c>
      <c r="RZP1337" s="4" t="s">
        <v>2881</v>
      </c>
      <c r="RZQ1337" s="4" t="s">
        <v>2881</v>
      </c>
      <c r="RZR1337" s="4" t="s">
        <v>2881</v>
      </c>
      <c r="RZS1337" s="4" t="s">
        <v>2881</v>
      </c>
      <c r="RZT1337" s="4" t="s">
        <v>2881</v>
      </c>
      <c r="RZU1337" s="4" t="s">
        <v>2881</v>
      </c>
      <c r="RZV1337" s="4" t="s">
        <v>2881</v>
      </c>
      <c r="RZW1337" s="4" t="s">
        <v>2881</v>
      </c>
      <c r="RZX1337" s="4" t="s">
        <v>2881</v>
      </c>
      <c r="RZY1337" s="4" t="s">
        <v>2881</v>
      </c>
      <c r="RZZ1337" s="4" t="s">
        <v>2881</v>
      </c>
      <c r="SAA1337" s="4" t="s">
        <v>2881</v>
      </c>
      <c r="SAB1337" s="4" t="s">
        <v>2881</v>
      </c>
      <c r="SAC1337" s="4" t="s">
        <v>2881</v>
      </c>
      <c r="SAD1337" s="4" t="s">
        <v>2881</v>
      </c>
      <c r="SAE1337" s="4" t="s">
        <v>2881</v>
      </c>
      <c r="SAF1337" s="4" t="s">
        <v>2881</v>
      </c>
      <c r="SAG1337" s="4" t="s">
        <v>2881</v>
      </c>
      <c r="SAH1337" s="4" t="s">
        <v>2881</v>
      </c>
      <c r="SAI1337" s="4" t="s">
        <v>2881</v>
      </c>
      <c r="SAJ1337" s="4" t="s">
        <v>2881</v>
      </c>
      <c r="SAK1337" s="4" t="s">
        <v>2881</v>
      </c>
      <c r="SAL1337" s="4" t="s">
        <v>2881</v>
      </c>
      <c r="SAM1337" s="4" t="s">
        <v>2881</v>
      </c>
      <c r="SAN1337" s="4" t="s">
        <v>2881</v>
      </c>
      <c r="SAO1337" s="4" t="s">
        <v>2881</v>
      </c>
      <c r="SAP1337" s="4" t="s">
        <v>2881</v>
      </c>
      <c r="SAQ1337" s="4" t="s">
        <v>2881</v>
      </c>
      <c r="SAR1337" s="4" t="s">
        <v>2881</v>
      </c>
      <c r="SAS1337" s="4" t="s">
        <v>2881</v>
      </c>
      <c r="SAT1337" s="4" t="s">
        <v>2881</v>
      </c>
      <c r="SAU1337" s="4" t="s">
        <v>2881</v>
      </c>
      <c r="SAV1337" s="4" t="s">
        <v>2881</v>
      </c>
      <c r="SAW1337" s="4" t="s">
        <v>2881</v>
      </c>
      <c r="SAX1337" s="4" t="s">
        <v>2881</v>
      </c>
      <c r="SAY1337" s="4" t="s">
        <v>2881</v>
      </c>
      <c r="SAZ1337" s="4" t="s">
        <v>2881</v>
      </c>
      <c r="SBA1337" s="4" t="s">
        <v>2881</v>
      </c>
      <c r="SBB1337" s="4" t="s">
        <v>2881</v>
      </c>
      <c r="SBC1337" s="4" t="s">
        <v>2881</v>
      </c>
      <c r="SBD1337" s="4" t="s">
        <v>2881</v>
      </c>
      <c r="SBE1337" s="4" t="s">
        <v>2881</v>
      </c>
      <c r="SBF1337" s="4" t="s">
        <v>2881</v>
      </c>
      <c r="SBG1337" s="4" t="s">
        <v>2881</v>
      </c>
      <c r="SBH1337" s="4" t="s">
        <v>2881</v>
      </c>
      <c r="SBI1337" s="4" t="s">
        <v>2881</v>
      </c>
      <c r="SBJ1337" s="4" t="s">
        <v>2881</v>
      </c>
      <c r="SBK1337" s="4" t="s">
        <v>2881</v>
      </c>
      <c r="SBL1337" s="4" t="s">
        <v>2881</v>
      </c>
      <c r="SBM1337" s="4" t="s">
        <v>2881</v>
      </c>
      <c r="SBN1337" s="4" t="s">
        <v>2881</v>
      </c>
      <c r="SBO1337" s="4" t="s">
        <v>2881</v>
      </c>
      <c r="SBP1337" s="4" t="s">
        <v>2881</v>
      </c>
      <c r="SBQ1337" s="4" t="s">
        <v>2881</v>
      </c>
      <c r="SBR1337" s="4" t="s">
        <v>2881</v>
      </c>
      <c r="SBS1337" s="4" t="s">
        <v>2881</v>
      </c>
      <c r="SBT1337" s="4" t="s">
        <v>2881</v>
      </c>
      <c r="SBU1337" s="4" t="s">
        <v>2881</v>
      </c>
      <c r="SBV1337" s="4" t="s">
        <v>2881</v>
      </c>
      <c r="SBW1337" s="4" t="s">
        <v>2881</v>
      </c>
      <c r="SBX1337" s="4" t="s">
        <v>2881</v>
      </c>
      <c r="SBY1337" s="4" t="s">
        <v>2881</v>
      </c>
      <c r="SBZ1337" s="4" t="s">
        <v>2881</v>
      </c>
      <c r="SCA1337" s="4" t="s">
        <v>2881</v>
      </c>
      <c r="SCB1337" s="4" t="s">
        <v>2881</v>
      </c>
      <c r="SCC1337" s="4" t="s">
        <v>2881</v>
      </c>
      <c r="SCD1337" s="4" t="s">
        <v>2881</v>
      </c>
      <c r="SCE1337" s="4" t="s">
        <v>2881</v>
      </c>
      <c r="SCF1337" s="4" t="s">
        <v>2881</v>
      </c>
      <c r="SCG1337" s="4" t="s">
        <v>2881</v>
      </c>
      <c r="SCH1337" s="4" t="s">
        <v>2881</v>
      </c>
      <c r="SCI1337" s="4" t="s">
        <v>2881</v>
      </c>
      <c r="SCJ1337" s="4" t="s">
        <v>2881</v>
      </c>
      <c r="SCK1337" s="4" t="s">
        <v>2881</v>
      </c>
      <c r="SCL1337" s="4" t="s">
        <v>2881</v>
      </c>
      <c r="SCM1337" s="4" t="s">
        <v>2881</v>
      </c>
      <c r="SCN1337" s="4" t="s">
        <v>2881</v>
      </c>
      <c r="SCO1337" s="4" t="s">
        <v>2881</v>
      </c>
      <c r="SCP1337" s="4" t="s">
        <v>2881</v>
      </c>
      <c r="SCQ1337" s="4" t="s">
        <v>2881</v>
      </c>
      <c r="SCR1337" s="4" t="s">
        <v>2881</v>
      </c>
      <c r="SCS1337" s="4" t="s">
        <v>2881</v>
      </c>
      <c r="SCT1337" s="4" t="s">
        <v>2881</v>
      </c>
      <c r="SCU1337" s="4" t="s">
        <v>2881</v>
      </c>
      <c r="SCV1337" s="4" t="s">
        <v>2881</v>
      </c>
      <c r="SCW1337" s="4" t="s">
        <v>2881</v>
      </c>
      <c r="SCX1337" s="4" t="s">
        <v>2881</v>
      </c>
      <c r="SCY1337" s="4" t="s">
        <v>2881</v>
      </c>
      <c r="SCZ1337" s="4" t="s">
        <v>2881</v>
      </c>
      <c r="SDA1337" s="4" t="s">
        <v>2881</v>
      </c>
      <c r="SDB1337" s="4" t="s">
        <v>2881</v>
      </c>
      <c r="SDC1337" s="4" t="s">
        <v>2881</v>
      </c>
      <c r="SDD1337" s="4" t="s">
        <v>2881</v>
      </c>
      <c r="SDE1337" s="4" t="s">
        <v>2881</v>
      </c>
      <c r="SDF1337" s="4" t="s">
        <v>2881</v>
      </c>
      <c r="SDG1337" s="4" t="s">
        <v>2881</v>
      </c>
      <c r="SDH1337" s="4" t="s">
        <v>2881</v>
      </c>
      <c r="SDI1337" s="4" t="s">
        <v>2881</v>
      </c>
      <c r="SDJ1337" s="4" t="s">
        <v>2881</v>
      </c>
      <c r="SDK1337" s="4" t="s">
        <v>2881</v>
      </c>
      <c r="SDL1337" s="4" t="s">
        <v>2881</v>
      </c>
      <c r="SDM1337" s="4" t="s">
        <v>2881</v>
      </c>
      <c r="SDN1337" s="4" t="s">
        <v>2881</v>
      </c>
      <c r="SDO1337" s="4" t="s">
        <v>2881</v>
      </c>
      <c r="SDP1337" s="4" t="s">
        <v>2881</v>
      </c>
      <c r="SDQ1337" s="4" t="s">
        <v>2881</v>
      </c>
      <c r="SDR1337" s="4" t="s">
        <v>2881</v>
      </c>
      <c r="SDS1337" s="4" t="s">
        <v>2881</v>
      </c>
      <c r="SDT1337" s="4" t="s">
        <v>2881</v>
      </c>
      <c r="SDU1337" s="4" t="s">
        <v>2881</v>
      </c>
      <c r="SDV1337" s="4" t="s">
        <v>2881</v>
      </c>
      <c r="SDW1337" s="4" t="s">
        <v>2881</v>
      </c>
      <c r="SDX1337" s="4" t="s">
        <v>2881</v>
      </c>
      <c r="SDY1337" s="4" t="s">
        <v>2881</v>
      </c>
      <c r="SDZ1337" s="4" t="s">
        <v>2881</v>
      </c>
      <c r="SEA1337" s="4" t="s">
        <v>2881</v>
      </c>
      <c r="SEB1337" s="4" t="s">
        <v>2881</v>
      </c>
      <c r="SEC1337" s="4" t="s">
        <v>2881</v>
      </c>
      <c r="SED1337" s="4" t="s">
        <v>2881</v>
      </c>
      <c r="SEE1337" s="4" t="s">
        <v>2881</v>
      </c>
      <c r="SEF1337" s="4" t="s">
        <v>2881</v>
      </c>
      <c r="SEG1337" s="4" t="s">
        <v>2881</v>
      </c>
      <c r="SEH1337" s="4" t="s">
        <v>2881</v>
      </c>
      <c r="SEI1337" s="4" t="s">
        <v>2881</v>
      </c>
      <c r="SEJ1337" s="4" t="s">
        <v>2881</v>
      </c>
      <c r="SEK1337" s="4" t="s">
        <v>2881</v>
      </c>
      <c r="SEL1337" s="4" t="s">
        <v>2881</v>
      </c>
      <c r="SEM1337" s="4" t="s">
        <v>2881</v>
      </c>
      <c r="SEN1337" s="4" t="s">
        <v>2881</v>
      </c>
      <c r="SEO1337" s="4" t="s">
        <v>2881</v>
      </c>
      <c r="SEP1337" s="4" t="s">
        <v>2881</v>
      </c>
      <c r="SEQ1337" s="4" t="s">
        <v>2881</v>
      </c>
      <c r="SER1337" s="4" t="s">
        <v>2881</v>
      </c>
      <c r="SES1337" s="4" t="s">
        <v>2881</v>
      </c>
      <c r="SET1337" s="4" t="s">
        <v>2881</v>
      </c>
      <c r="SEU1337" s="4" t="s">
        <v>2881</v>
      </c>
      <c r="SEV1337" s="4" t="s">
        <v>2881</v>
      </c>
      <c r="SEW1337" s="4" t="s">
        <v>2881</v>
      </c>
      <c r="SEX1337" s="4" t="s">
        <v>2881</v>
      </c>
      <c r="SEY1337" s="4" t="s">
        <v>2881</v>
      </c>
      <c r="SEZ1337" s="4" t="s">
        <v>2881</v>
      </c>
      <c r="SFA1337" s="4" t="s">
        <v>2881</v>
      </c>
      <c r="SFB1337" s="4" t="s">
        <v>2881</v>
      </c>
      <c r="SFC1337" s="4" t="s">
        <v>2881</v>
      </c>
      <c r="SFD1337" s="4" t="s">
        <v>2881</v>
      </c>
      <c r="SFE1337" s="4" t="s">
        <v>2881</v>
      </c>
      <c r="SFF1337" s="4" t="s">
        <v>2881</v>
      </c>
      <c r="SFG1337" s="4" t="s">
        <v>2881</v>
      </c>
      <c r="SFH1337" s="4" t="s">
        <v>2881</v>
      </c>
      <c r="SFI1337" s="4" t="s">
        <v>2881</v>
      </c>
      <c r="SFJ1337" s="4" t="s">
        <v>2881</v>
      </c>
      <c r="SFK1337" s="4" t="s">
        <v>2881</v>
      </c>
      <c r="SFL1337" s="4" t="s">
        <v>2881</v>
      </c>
      <c r="SFM1337" s="4" t="s">
        <v>2881</v>
      </c>
      <c r="SFN1337" s="4" t="s">
        <v>2881</v>
      </c>
      <c r="SFO1337" s="4" t="s">
        <v>2881</v>
      </c>
      <c r="SFP1337" s="4" t="s">
        <v>2881</v>
      </c>
      <c r="SFQ1337" s="4" t="s">
        <v>2881</v>
      </c>
      <c r="SFR1337" s="4" t="s">
        <v>2881</v>
      </c>
      <c r="SFS1337" s="4" t="s">
        <v>2881</v>
      </c>
      <c r="SFT1337" s="4" t="s">
        <v>2881</v>
      </c>
      <c r="SFU1337" s="4" t="s">
        <v>2881</v>
      </c>
      <c r="SFV1337" s="4" t="s">
        <v>2881</v>
      </c>
      <c r="SFW1337" s="4" t="s">
        <v>2881</v>
      </c>
      <c r="SFX1337" s="4" t="s">
        <v>2881</v>
      </c>
      <c r="SFY1337" s="4" t="s">
        <v>2881</v>
      </c>
      <c r="SFZ1337" s="4" t="s">
        <v>2881</v>
      </c>
      <c r="SGA1337" s="4" t="s">
        <v>2881</v>
      </c>
      <c r="SGB1337" s="4" t="s">
        <v>2881</v>
      </c>
      <c r="SGC1337" s="4" t="s">
        <v>2881</v>
      </c>
      <c r="SGD1337" s="4" t="s">
        <v>2881</v>
      </c>
      <c r="SGE1337" s="4" t="s">
        <v>2881</v>
      </c>
      <c r="SGF1337" s="4" t="s">
        <v>2881</v>
      </c>
      <c r="SGG1337" s="4" t="s">
        <v>2881</v>
      </c>
      <c r="SGH1337" s="4" t="s">
        <v>2881</v>
      </c>
      <c r="SGI1337" s="4" t="s">
        <v>2881</v>
      </c>
      <c r="SGJ1337" s="4" t="s">
        <v>2881</v>
      </c>
      <c r="SGK1337" s="4" t="s">
        <v>2881</v>
      </c>
      <c r="SGL1337" s="4" t="s">
        <v>2881</v>
      </c>
      <c r="SGM1337" s="4" t="s">
        <v>2881</v>
      </c>
      <c r="SGN1337" s="4" t="s">
        <v>2881</v>
      </c>
      <c r="SGO1337" s="4" t="s">
        <v>2881</v>
      </c>
      <c r="SGP1337" s="4" t="s">
        <v>2881</v>
      </c>
      <c r="SGQ1337" s="4" t="s">
        <v>2881</v>
      </c>
      <c r="SGR1337" s="4" t="s">
        <v>2881</v>
      </c>
      <c r="SGS1337" s="4" t="s">
        <v>2881</v>
      </c>
      <c r="SGT1337" s="4" t="s">
        <v>2881</v>
      </c>
      <c r="SGU1337" s="4" t="s">
        <v>2881</v>
      </c>
      <c r="SGV1337" s="4" t="s">
        <v>2881</v>
      </c>
      <c r="SGW1337" s="4" t="s">
        <v>2881</v>
      </c>
      <c r="SGX1337" s="4" t="s">
        <v>2881</v>
      </c>
      <c r="SGY1337" s="4" t="s">
        <v>2881</v>
      </c>
      <c r="SGZ1337" s="4" t="s">
        <v>2881</v>
      </c>
      <c r="SHA1337" s="4" t="s">
        <v>2881</v>
      </c>
      <c r="SHB1337" s="4" t="s">
        <v>2881</v>
      </c>
      <c r="SHC1337" s="4" t="s">
        <v>2881</v>
      </c>
      <c r="SHD1337" s="4" t="s">
        <v>2881</v>
      </c>
      <c r="SHE1337" s="4" t="s">
        <v>2881</v>
      </c>
      <c r="SHF1337" s="4" t="s">
        <v>2881</v>
      </c>
      <c r="SHG1337" s="4" t="s">
        <v>2881</v>
      </c>
      <c r="SHH1337" s="4" t="s">
        <v>2881</v>
      </c>
      <c r="SHI1337" s="4" t="s">
        <v>2881</v>
      </c>
      <c r="SHJ1337" s="4" t="s">
        <v>2881</v>
      </c>
      <c r="SHK1337" s="4" t="s">
        <v>2881</v>
      </c>
      <c r="SHL1337" s="4" t="s">
        <v>2881</v>
      </c>
      <c r="SHM1337" s="4" t="s">
        <v>2881</v>
      </c>
      <c r="SHN1337" s="4" t="s">
        <v>2881</v>
      </c>
      <c r="SHO1337" s="4" t="s">
        <v>2881</v>
      </c>
      <c r="SHP1337" s="4" t="s">
        <v>2881</v>
      </c>
      <c r="SHQ1337" s="4" t="s">
        <v>2881</v>
      </c>
      <c r="SHR1337" s="4" t="s">
        <v>2881</v>
      </c>
      <c r="SHS1337" s="4" t="s">
        <v>2881</v>
      </c>
      <c r="SHT1337" s="4" t="s">
        <v>2881</v>
      </c>
      <c r="SHU1337" s="4" t="s">
        <v>2881</v>
      </c>
      <c r="SHV1337" s="4" t="s">
        <v>2881</v>
      </c>
      <c r="SHW1337" s="4" t="s">
        <v>2881</v>
      </c>
      <c r="SHX1337" s="4" t="s">
        <v>2881</v>
      </c>
      <c r="SHY1337" s="4" t="s">
        <v>2881</v>
      </c>
      <c r="SHZ1337" s="4" t="s">
        <v>2881</v>
      </c>
      <c r="SIA1337" s="4" t="s">
        <v>2881</v>
      </c>
      <c r="SIB1337" s="4" t="s">
        <v>2881</v>
      </c>
      <c r="SIC1337" s="4" t="s">
        <v>2881</v>
      </c>
      <c r="SID1337" s="4" t="s">
        <v>2881</v>
      </c>
      <c r="SIE1337" s="4" t="s">
        <v>2881</v>
      </c>
      <c r="SIF1337" s="4" t="s">
        <v>2881</v>
      </c>
      <c r="SIG1337" s="4" t="s">
        <v>2881</v>
      </c>
      <c r="SIH1337" s="4" t="s">
        <v>2881</v>
      </c>
      <c r="SII1337" s="4" t="s">
        <v>2881</v>
      </c>
      <c r="SIJ1337" s="4" t="s">
        <v>2881</v>
      </c>
      <c r="SIK1337" s="4" t="s">
        <v>2881</v>
      </c>
      <c r="SIL1337" s="4" t="s">
        <v>2881</v>
      </c>
      <c r="SIM1337" s="4" t="s">
        <v>2881</v>
      </c>
      <c r="SIN1337" s="4" t="s">
        <v>2881</v>
      </c>
      <c r="SIO1337" s="4" t="s">
        <v>2881</v>
      </c>
      <c r="SIP1337" s="4" t="s">
        <v>2881</v>
      </c>
      <c r="SIQ1337" s="4" t="s">
        <v>2881</v>
      </c>
      <c r="SIR1337" s="4" t="s">
        <v>2881</v>
      </c>
      <c r="SIS1337" s="4" t="s">
        <v>2881</v>
      </c>
      <c r="SIT1337" s="4" t="s">
        <v>2881</v>
      </c>
      <c r="SIU1337" s="4" t="s">
        <v>2881</v>
      </c>
      <c r="SIV1337" s="4" t="s">
        <v>2881</v>
      </c>
      <c r="SIW1337" s="4" t="s">
        <v>2881</v>
      </c>
      <c r="SIX1337" s="4" t="s">
        <v>2881</v>
      </c>
      <c r="SIY1337" s="4" t="s">
        <v>2881</v>
      </c>
      <c r="SIZ1337" s="4" t="s">
        <v>2881</v>
      </c>
      <c r="SJA1337" s="4" t="s">
        <v>2881</v>
      </c>
      <c r="SJB1337" s="4" t="s">
        <v>2881</v>
      </c>
      <c r="SJC1337" s="4" t="s">
        <v>2881</v>
      </c>
      <c r="SJD1337" s="4" t="s">
        <v>2881</v>
      </c>
      <c r="SJE1337" s="4" t="s">
        <v>2881</v>
      </c>
      <c r="SJF1337" s="4" t="s">
        <v>2881</v>
      </c>
      <c r="SJG1337" s="4" t="s">
        <v>2881</v>
      </c>
      <c r="SJH1337" s="4" t="s">
        <v>2881</v>
      </c>
      <c r="SJI1337" s="4" t="s">
        <v>2881</v>
      </c>
      <c r="SJJ1337" s="4" t="s">
        <v>2881</v>
      </c>
      <c r="SJK1337" s="4" t="s">
        <v>2881</v>
      </c>
      <c r="SJL1337" s="4" t="s">
        <v>2881</v>
      </c>
      <c r="SJM1337" s="4" t="s">
        <v>2881</v>
      </c>
      <c r="SJN1337" s="4" t="s">
        <v>2881</v>
      </c>
      <c r="SJO1337" s="4" t="s">
        <v>2881</v>
      </c>
      <c r="SJP1337" s="4" t="s">
        <v>2881</v>
      </c>
      <c r="SJQ1337" s="4" t="s">
        <v>2881</v>
      </c>
      <c r="SJR1337" s="4" t="s">
        <v>2881</v>
      </c>
      <c r="SJS1337" s="4" t="s">
        <v>2881</v>
      </c>
      <c r="SJT1337" s="4" t="s">
        <v>2881</v>
      </c>
      <c r="SJU1337" s="4" t="s">
        <v>2881</v>
      </c>
      <c r="SJV1337" s="4" t="s">
        <v>2881</v>
      </c>
      <c r="SJW1337" s="4" t="s">
        <v>2881</v>
      </c>
      <c r="SJX1337" s="4" t="s">
        <v>2881</v>
      </c>
      <c r="SJY1337" s="4" t="s">
        <v>2881</v>
      </c>
      <c r="SJZ1337" s="4" t="s">
        <v>2881</v>
      </c>
      <c r="SKA1337" s="4" t="s">
        <v>2881</v>
      </c>
      <c r="SKB1337" s="4" t="s">
        <v>2881</v>
      </c>
      <c r="SKC1337" s="4" t="s">
        <v>2881</v>
      </c>
      <c r="SKD1337" s="4" t="s">
        <v>2881</v>
      </c>
      <c r="SKE1337" s="4" t="s">
        <v>2881</v>
      </c>
      <c r="SKF1337" s="4" t="s">
        <v>2881</v>
      </c>
      <c r="SKG1337" s="4" t="s">
        <v>2881</v>
      </c>
      <c r="SKH1337" s="4" t="s">
        <v>2881</v>
      </c>
      <c r="SKI1337" s="4" t="s">
        <v>2881</v>
      </c>
      <c r="SKJ1337" s="4" t="s">
        <v>2881</v>
      </c>
      <c r="SKK1337" s="4" t="s">
        <v>2881</v>
      </c>
      <c r="SKL1337" s="4" t="s">
        <v>2881</v>
      </c>
      <c r="SKM1337" s="4" t="s">
        <v>2881</v>
      </c>
      <c r="SKN1337" s="4" t="s">
        <v>2881</v>
      </c>
      <c r="SKO1337" s="4" t="s">
        <v>2881</v>
      </c>
      <c r="SKP1337" s="4" t="s">
        <v>2881</v>
      </c>
      <c r="SKQ1337" s="4" t="s">
        <v>2881</v>
      </c>
      <c r="SKR1337" s="4" t="s">
        <v>2881</v>
      </c>
      <c r="SKS1337" s="4" t="s">
        <v>2881</v>
      </c>
      <c r="SKT1337" s="4" t="s">
        <v>2881</v>
      </c>
      <c r="SKU1337" s="4" t="s">
        <v>2881</v>
      </c>
      <c r="SKV1337" s="4" t="s">
        <v>2881</v>
      </c>
      <c r="SKW1337" s="4" t="s">
        <v>2881</v>
      </c>
      <c r="SKX1337" s="4" t="s">
        <v>2881</v>
      </c>
      <c r="SKY1337" s="4" t="s">
        <v>2881</v>
      </c>
      <c r="SKZ1337" s="4" t="s">
        <v>2881</v>
      </c>
      <c r="SLA1337" s="4" t="s">
        <v>2881</v>
      </c>
      <c r="SLB1337" s="4" t="s">
        <v>2881</v>
      </c>
      <c r="SLC1337" s="4" t="s">
        <v>2881</v>
      </c>
      <c r="SLD1337" s="4" t="s">
        <v>2881</v>
      </c>
      <c r="SLE1337" s="4" t="s">
        <v>2881</v>
      </c>
      <c r="SLF1337" s="4" t="s">
        <v>2881</v>
      </c>
      <c r="SLG1337" s="4" t="s">
        <v>2881</v>
      </c>
      <c r="SLH1337" s="4" t="s">
        <v>2881</v>
      </c>
      <c r="SLI1337" s="4" t="s">
        <v>2881</v>
      </c>
      <c r="SLJ1337" s="4" t="s">
        <v>2881</v>
      </c>
      <c r="SLK1337" s="4" t="s">
        <v>2881</v>
      </c>
      <c r="SLL1337" s="4" t="s">
        <v>2881</v>
      </c>
      <c r="SLM1337" s="4" t="s">
        <v>2881</v>
      </c>
      <c r="SLN1337" s="4" t="s">
        <v>2881</v>
      </c>
      <c r="SLO1337" s="4" t="s">
        <v>2881</v>
      </c>
      <c r="SLP1337" s="4" t="s">
        <v>2881</v>
      </c>
      <c r="SLQ1337" s="4" t="s">
        <v>2881</v>
      </c>
      <c r="SLR1337" s="4" t="s">
        <v>2881</v>
      </c>
      <c r="SLS1337" s="4" t="s">
        <v>2881</v>
      </c>
      <c r="SLT1337" s="4" t="s">
        <v>2881</v>
      </c>
      <c r="SLU1337" s="4" t="s">
        <v>2881</v>
      </c>
      <c r="SLV1337" s="4" t="s">
        <v>2881</v>
      </c>
      <c r="SLW1337" s="4" t="s">
        <v>2881</v>
      </c>
      <c r="SLX1337" s="4" t="s">
        <v>2881</v>
      </c>
      <c r="SLY1337" s="4" t="s">
        <v>2881</v>
      </c>
      <c r="SLZ1337" s="4" t="s">
        <v>2881</v>
      </c>
      <c r="SMA1337" s="4" t="s">
        <v>2881</v>
      </c>
      <c r="SMB1337" s="4" t="s">
        <v>2881</v>
      </c>
      <c r="SMC1337" s="4" t="s">
        <v>2881</v>
      </c>
      <c r="SMD1337" s="4" t="s">
        <v>2881</v>
      </c>
      <c r="SME1337" s="4" t="s">
        <v>2881</v>
      </c>
      <c r="SMF1337" s="4" t="s">
        <v>2881</v>
      </c>
      <c r="SMG1337" s="4" t="s">
        <v>2881</v>
      </c>
      <c r="SMH1337" s="4" t="s">
        <v>2881</v>
      </c>
      <c r="SMI1337" s="4" t="s">
        <v>2881</v>
      </c>
      <c r="SMJ1337" s="4" t="s">
        <v>2881</v>
      </c>
      <c r="SMK1337" s="4" t="s">
        <v>2881</v>
      </c>
      <c r="SML1337" s="4" t="s">
        <v>2881</v>
      </c>
      <c r="SMM1337" s="4" t="s">
        <v>2881</v>
      </c>
      <c r="SMN1337" s="4" t="s">
        <v>2881</v>
      </c>
      <c r="SMO1337" s="4" t="s">
        <v>2881</v>
      </c>
      <c r="SMP1337" s="4" t="s">
        <v>2881</v>
      </c>
      <c r="SMQ1337" s="4" t="s">
        <v>2881</v>
      </c>
      <c r="SMR1337" s="4" t="s">
        <v>2881</v>
      </c>
      <c r="SMS1337" s="4" t="s">
        <v>2881</v>
      </c>
      <c r="SMT1337" s="4" t="s">
        <v>2881</v>
      </c>
      <c r="SMU1337" s="4" t="s">
        <v>2881</v>
      </c>
      <c r="SMV1337" s="4" t="s">
        <v>2881</v>
      </c>
      <c r="SMW1337" s="4" t="s">
        <v>2881</v>
      </c>
      <c r="SMX1337" s="4" t="s">
        <v>2881</v>
      </c>
      <c r="SMY1337" s="4" t="s">
        <v>2881</v>
      </c>
      <c r="SMZ1337" s="4" t="s">
        <v>2881</v>
      </c>
      <c r="SNA1337" s="4" t="s">
        <v>2881</v>
      </c>
      <c r="SNB1337" s="4" t="s">
        <v>2881</v>
      </c>
      <c r="SNC1337" s="4" t="s">
        <v>2881</v>
      </c>
      <c r="SND1337" s="4" t="s">
        <v>2881</v>
      </c>
      <c r="SNE1337" s="4" t="s">
        <v>2881</v>
      </c>
      <c r="SNF1337" s="4" t="s">
        <v>2881</v>
      </c>
      <c r="SNG1337" s="4" t="s">
        <v>2881</v>
      </c>
      <c r="SNH1337" s="4" t="s">
        <v>2881</v>
      </c>
      <c r="SNI1337" s="4" t="s">
        <v>2881</v>
      </c>
      <c r="SNJ1337" s="4" t="s">
        <v>2881</v>
      </c>
      <c r="SNK1337" s="4" t="s">
        <v>2881</v>
      </c>
      <c r="SNL1337" s="4" t="s">
        <v>2881</v>
      </c>
      <c r="SNM1337" s="4" t="s">
        <v>2881</v>
      </c>
      <c r="SNN1337" s="4" t="s">
        <v>2881</v>
      </c>
      <c r="SNO1337" s="4" t="s">
        <v>2881</v>
      </c>
      <c r="SNP1337" s="4" t="s">
        <v>2881</v>
      </c>
      <c r="SNQ1337" s="4" t="s">
        <v>2881</v>
      </c>
      <c r="SNR1337" s="4" t="s">
        <v>2881</v>
      </c>
      <c r="SNS1337" s="4" t="s">
        <v>2881</v>
      </c>
      <c r="SNT1337" s="4" t="s">
        <v>2881</v>
      </c>
      <c r="SNU1337" s="4" t="s">
        <v>2881</v>
      </c>
      <c r="SNV1337" s="4" t="s">
        <v>2881</v>
      </c>
      <c r="SNW1337" s="4" t="s">
        <v>2881</v>
      </c>
      <c r="SNX1337" s="4" t="s">
        <v>2881</v>
      </c>
      <c r="SNY1337" s="4" t="s">
        <v>2881</v>
      </c>
      <c r="SNZ1337" s="4" t="s">
        <v>2881</v>
      </c>
      <c r="SOA1337" s="4" t="s">
        <v>2881</v>
      </c>
      <c r="SOB1337" s="4" t="s">
        <v>2881</v>
      </c>
      <c r="SOC1337" s="4" t="s">
        <v>2881</v>
      </c>
      <c r="SOD1337" s="4" t="s">
        <v>2881</v>
      </c>
      <c r="SOE1337" s="4" t="s">
        <v>2881</v>
      </c>
      <c r="SOF1337" s="4" t="s">
        <v>2881</v>
      </c>
      <c r="SOG1337" s="4" t="s">
        <v>2881</v>
      </c>
      <c r="SOH1337" s="4" t="s">
        <v>2881</v>
      </c>
      <c r="SOI1337" s="4" t="s">
        <v>2881</v>
      </c>
      <c r="SOJ1337" s="4" t="s">
        <v>2881</v>
      </c>
      <c r="SOK1337" s="4" t="s">
        <v>2881</v>
      </c>
      <c r="SOL1337" s="4" t="s">
        <v>2881</v>
      </c>
      <c r="SOM1337" s="4" t="s">
        <v>2881</v>
      </c>
      <c r="SON1337" s="4" t="s">
        <v>2881</v>
      </c>
      <c r="SOO1337" s="4" t="s">
        <v>2881</v>
      </c>
      <c r="SOP1337" s="4" t="s">
        <v>2881</v>
      </c>
      <c r="SOQ1337" s="4" t="s">
        <v>2881</v>
      </c>
      <c r="SOR1337" s="4" t="s">
        <v>2881</v>
      </c>
      <c r="SOS1337" s="4" t="s">
        <v>2881</v>
      </c>
      <c r="SOT1337" s="4" t="s">
        <v>2881</v>
      </c>
      <c r="SOU1337" s="4" t="s">
        <v>2881</v>
      </c>
      <c r="SOV1337" s="4" t="s">
        <v>2881</v>
      </c>
      <c r="SOW1337" s="4" t="s">
        <v>2881</v>
      </c>
      <c r="SOX1337" s="4" t="s">
        <v>2881</v>
      </c>
      <c r="SOY1337" s="4" t="s">
        <v>2881</v>
      </c>
      <c r="SOZ1337" s="4" t="s">
        <v>2881</v>
      </c>
      <c r="SPA1337" s="4" t="s">
        <v>2881</v>
      </c>
      <c r="SPB1337" s="4" t="s">
        <v>2881</v>
      </c>
      <c r="SPC1337" s="4" t="s">
        <v>2881</v>
      </c>
      <c r="SPD1337" s="4" t="s">
        <v>2881</v>
      </c>
      <c r="SPE1337" s="4" t="s">
        <v>2881</v>
      </c>
      <c r="SPF1337" s="4" t="s">
        <v>2881</v>
      </c>
      <c r="SPG1337" s="4" t="s">
        <v>2881</v>
      </c>
      <c r="SPH1337" s="4" t="s">
        <v>2881</v>
      </c>
      <c r="SPI1337" s="4" t="s">
        <v>2881</v>
      </c>
      <c r="SPJ1337" s="4" t="s">
        <v>2881</v>
      </c>
      <c r="SPK1337" s="4" t="s">
        <v>2881</v>
      </c>
      <c r="SPL1337" s="4" t="s">
        <v>2881</v>
      </c>
      <c r="SPM1337" s="4" t="s">
        <v>2881</v>
      </c>
      <c r="SPN1337" s="4" t="s">
        <v>2881</v>
      </c>
      <c r="SPO1337" s="4" t="s">
        <v>2881</v>
      </c>
      <c r="SPP1337" s="4" t="s">
        <v>2881</v>
      </c>
      <c r="SPQ1337" s="4" t="s">
        <v>2881</v>
      </c>
      <c r="SPR1337" s="4" t="s">
        <v>2881</v>
      </c>
      <c r="SPS1337" s="4" t="s">
        <v>2881</v>
      </c>
      <c r="SPT1337" s="4" t="s">
        <v>2881</v>
      </c>
      <c r="SPU1337" s="4" t="s">
        <v>2881</v>
      </c>
      <c r="SPV1337" s="4" t="s">
        <v>2881</v>
      </c>
      <c r="SPW1337" s="4" t="s">
        <v>2881</v>
      </c>
      <c r="SPX1337" s="4" t="s">
        <v>2881</v>
      </c>
      <c r="SPY1337" s="4" t="s">
        <v>2881</v>
      </c>
      <c r="SPZ1337" s="4" t="s">
        <v>2881</v>
      </c>
      <c r="SQA1337" s="4" t="s">
        <v>2881</v>
      </c>
      <c r="SQB1337" s="4" t="s">
        <v>2881</v>
      </c>
      <c r="SQC1337" s="4" t="s">
        <v>2881</v>
      </c>
      <c r="SQD1337" s="4" t="s">
        <v>2881</v>
      </c>
      <c r="SQE1337" s="4" t="s">
        <v>2881</v>
      </c>
      <c r="SQF1337" s="4" t="s">
        <v>2881</v>
      </c>
      <c r="SQG1337" s="4" t="s">
        <v>2881</v>
      </c>
      <c r="SQH1337" s="4" t="s">
        <v>2881</v>
      </c>
      <c r="SQI1337" s="4" t="s">
        <v>2881</v>
      </c>
      <c r="SQJ1337" s="4" t="s">
        <v>2881</v>
      </c>
      <c r="SQK1337" s="4" t="s">
        <v>2881</v>
      </c>
      <c r="SQL1337" s="4" t="s">
        <v>2881</v>
      </c>
      <c r="SQM1337" s="4" t="s">
        <v>2881</v>
      </c>
      <c r="SQN1337" s="4" t="s">
        <v>2881</v>
      </c>
      <c r="SQO1337" s="4" t="s">
        <v>2881</v>
      </c>
      <c r="SQP1337" s="4" t="s">
        <v>2881</v>
      </c>
      <c r="SQQ1337" s="4" t="s">
        <v>2881</v>
      </c>
      <c r="SQR1337" s="4" t="s">
        <v>2881</v>
      </c>
      <c r="SQS1337" s="4" t="s">
        <v>2881</v>
      </c>
      <c r="SQT1337" s="4" t="s">
        <v>2881</v>
      </c>
      <c r="SQU1337" s="4" t="s">
        <v>2881</v>
      </c>
      <c r="SQV1337" s="4" t="s">
        <v>2881</v>
      </c>
      <c r="SQW1337" s="4" t="s">
        <v>2881</v>
      </c>
      <c r="SQX1337" s="4" t="s">
        <v>2881</v>
      </c>
      <c r="SQY1337" s="4" t="s">
        <v>2881</v>
      </c>
      <c r="SQZ1337" s="4" t="s">
        <v>2881</v>
      </c>
      <c r="SRA1337" s="4" t="s">
        <v>2881</v>
      </c>
      <c r="SRB1337" s="4" t="s">
        <v>2881</v>
      </c>
      <c r="SRC1337" s="4" t="s">
        <v>2881</v>
      </c>
      <c r="SRD1337" s="4" t="s">
        <v>2881</v>
      </c>
      <c r="SRE1337" s="4" t="s">
        <v>2881</v>
      </c>
      <c r="SRF1337" s="4" t="s">
        <v>2881</v>
      </c>
      <c r="SRG1337" s="4" t="s">
        <v>2881</v>
      </c>
      <c r="SRH1337" s="4" t="s">
        <v>2881</v>
      </c>
      <c r="SRI1337" s="4" t="s">
        <v>2881</v>
      </c>
      <c r="SRJ1337" s="4" t="s">
        <v>2881</v>
      </c>
      <c r="SRK1337" s="4" t="s">
        <v>2881</v>
      </c>
      <c r="SRL1337" s="4" t="s">
        <v>2881</v>
      </c>
      <c r="SRM1337" s="4" t="s">
        <v>2881</v>
      </c>
      <c r="SRN1337" s="4" t="s">
        <v>2881</v>
      </c>
      <c r="SRO1337" s="4" t="s">
        <v>2881</v>
      </c>
      <c r="SRP1337" s="4" t="s">
        <v>2881</v>
      </c>
      <c r="SRQ1337" s="4" t="s">
        <v>2881</v>
      </c>
      <c r="SRR1337" s="4" t="s">
        <v>2881</v>
      </c>
      <c r="SRS1337" s="4" t="s">
        <v>2881</v>
      </c>
      <c r="SRT1337" s="4" t="s">
        <v>2881</v>
      </c>
      <c r="SRU1337" s="4" t="s">
        <v>2881</v>
      </c>
      <c r="SRV1337" s="4" t="s">
        <v>2881</v>
      </c>
      <c r="SRW1337" s="4" t="s">
        <v>2881</v>
      </c>
      <c r="SRX1337" s="4" t="s">
        <v>2881</v>
      </c>
      <c r="SRY1337" s="4" t="s">
        <v>2881</v>
      </c>
      <c r="SRZ1337" s="4" t="s">
        <v>2881</v>
      </c>
      <c r="SSA1337" s="4" t="s">
        <v>2881</v>
      </c>
      <c r="SSB1337" s="4" t="s">
        <v>2881</v>
      </c>
      <c r="SSC1337" s="4" t="s">
        <v>2881</v>
      </c>
      <c r="SSD1337" s="4" t="s">
        <v>2881</v>
      </c>
      <c r="SSE1337" s="4" t="s">
        <v>2881</v>
      </c>
      <c r="SSF1337" s="4" t="s">
        <v>2881</v>
      </c>
      <c r="SSG1337" s="4" t="s">
        <v>2881</v>
      </c>
      <c r="SSH1337" s="4" t="s">
        <v>2881</v>
      </c>
      <c r="SSI1337" s="4" t="s">
        <v>2881</v>
      </c>
      <c r="SSJ1337" s="4" t="s">
        <v>2881</v>
      </c>
      <c r="SSK1337" s="4" t="s">
        <v>2881</v>
      </c>
      <c r="SSL1337" s="4" t="s">
        <v>2881</v>
      </c>
      <c r="SSM1337" s="4" t="s">
        <v>2881</v>
      </c>
      <c r="SSN1337" s="4" t="s">
        <v>2881</v>
      </c>
      <c r="SSO1337" s="4" t="s">
        <v>2881</v>
      </c>
      <c r="SSP1337" s="4" t="s">
        <v>2881</v>
      </c>
      <c r="SSQ1337" s="4" t="s">
        <v>2881</v>
      </c>
      <c r="SSR1337" s="4" t="s">
        <v>2881</v>
      </c>
      <c r="SSS1337" s="4" t="s">
        <v>2881</v>
      </c>
      <c r="SST1337" s="4" t="s">
        <v>2881</v>
      </c>
      <c r="SSU1337" s="4" t="s">
        <v>2881</v>
      </c>
      <c r="SSV1337" s="4" t="s">
        <v>2881</v>
      </c>
      <c r="SSW1337" s="4" t="s">
        <v>2881</v>
      </c>
      <c r="SSX1337" s="4" t="s">
        <v>2881</v>
      </c>
      <c r="SSY1337" s="4" t="s">
        <v>2881</v>
      </c>
      <c r="SSZ1337" s="4" t="s">
        <v>2881</v>
      </c>
      <c r="STA1337" s="4" t="s">
        <v>2881</v>
      </c>
      <c r="STB1337" s="4" t="s">
        <v>2881</v>
      </c>
      <c r="STC1337" s="4" t="s">
        <v>2881</v>
      </c>
      <c r="STD1337" s="4" t="s">
        <v>2881</v>
      </c>
      <c r="STE1337" s="4" t="s">
        <v>2881</v>
      </c>
      <c r="STF1337" s="4" t="s">
        <v>2881</v>
      </c>
      <c r="STG1337" s="4" t="s">
        <v>2881</v>
      </c>
      <c r="STH1337" s="4" t="s">
        <v>2881</v>
      </c>
      <c r="STI1337" s="4" t="s">
        <v>2881</v>
      </c>
      <c r="STJ1337" s="4" t="s">
        <v>2881</v>
      </c>
      <c r="STK1337" s="4" t="s">
        <v>2881</v>
      </c>
      <c r="STL1337" s="4" t="s">
        <v>2881</v>
      </c>
      <c r="STM1337" s="4" t="s">
        <v>2881</v>
      </c>
      <c r="STN1337" s="4" t="s">
        <v>2881</v>
      </c>
      <c r="STO1337" s="4" t="s">
        <v>2881</v>
      </c>
      <c r="STP1337" s="4" t="s">
        <v>2881</v>
      </c>
      <c r="STQ1337" s="4" t="s">
        <v>2881</v>
      </c>
      <c r="STR1337" s="4" t="s">
        <v>2881</v>
      </c>
      <c r="STS1337" s="4" t="s">
        <v>2881</v>
      </c>
      <c r="STT1337" s="4" t="s">
        <v>2881</v>
      </c>
      <c r="STU1337" s="4" t="s">
        <v>2881</v>
      </c>
      <c r="STV1337" s="4" t="s">
        <v>2881</v>
      </c>
      <c r="STW1337" s="4" t="s">
        <v>2881</v>
      </c>
      <c r="STX1337" s="4" t="s">
        <v>2881</v>
      </c>
      <c r="STY1337" s="4" t="s">
        <v>2881</v>
      </c>
      <c r="STZ1337" s="4" t="s">
        <v>2881</v>
      </c>
      <c r="SUA1337" s="4" t="s">
        <v>2881</v>
      </c>
      <c r="SUB1337" s="4" t="s">
        <v>2881</v>
      </c>
      <c r="SUC1337" s="4" t="s">
        <v>2881</v>
      </c>
      <c r="SUD1337" s="4" t="s">
        <v>2881</v>
      </c>
      <c r="SUE1337" s="4" t="s">
        <v>2881</v>
      </c>
      <c r="SUF1337" s="4" t="s">
        <v>2881</v>
      </c>
      <c r="SUG1337" s="4" t="s">
        <v>2881</v>
      </c>
      <c r="SUH1337" s="4" t="s">
        <v>2881</v>
      </c>
      <c r="SUI1337" s="4" t="s">
        <v>2881</v>
      </c>
      <c r="SUJ1337" s="4" t="s">
        <v>2881</v>
      </c>
      <c r="SUK1337" s="4" t="s">
        <v>2881</v>
      </c>
      <c r="SUL1337" s="4" t="s">
        <v>2881</v>
      </c>
      <c r="SUM1337" s="4" t="s">
        <v>2881</v>
      </c>
      <c r="SUN1337" s="4" t="s">
        <v>2881</v>
      </c>
      <c r="SUO1337" s="4" t="s">
        <v>2881</v>
      </c>
      <c r="SUP1337" s="4" t="s">
        <v>2881</v>
      </c>
      <c r="SUQ1337" s="4" t="s">
        <v>2881</v>
      </c>
      <c r="SUR1337" s="4" t="s">
        <v>2881</v>
      </c>
      <c r="SUS1337" s="4" t="s">
        <v>2881</v>
      </c>
      <c r="SUT1337" s="4" t="s">
        <v>2881</v>
      </c>
      <c r="SUU1337" s="4" t="s">
        <v>2881</v>
      </c>
      <c r="SUV1337" s="4" t="s">
        <v>2881</v>
      </c>
      <c r="SUW1337" s="4" t="s">
        <v>2881</v>
      </c>
      <c r="SUX1337" s="4" t="s">
        <v>2881</v>
      </c>
      <c r="SUY1337" s="4" t="s">
        <v>2881</v>
      </c>
      <c r="SUZ1337" s="4" t="s">
        <v>2881</v>
      </c>
      <c r="SVA1337" s="4" t="s">
        <v>2881</v>
      </c>
      <c r="SVB1337" s="4" t="s">
        <v>2881</v>
      </c>
      <c r="SVC1337" s="4" t="s">
        <v>2881</v>
      </c>
      <c r="SVD1337" s="4" t="s">
        <v>2881</v>
      </c>
      <c r="SVE1337" s="4" t="s">
        <v>2881</v>
      </c>
      <c r="SVF1337" s="4" t="s">
        <v>2881</v>
      </c>
      <c r="SVG1337" s="4" t="s">
        <v>2881</v>
      </c>
      <c r="SVH1337" s="4" t="s">
        <v>2881</v>
      </c>
      <c r="SVI1337" s="4" t="s">
        <v>2881</v>
      </c>
      <c r="SVJ1337" s="4" t="s">
        <v>2881</v>
      </c>
      <c r="SVK1337" s="4" t="s">
        <v>2881</v>
      </c>
      <c r="SVL1337" s="4" t="s">
        <v>2881</v>
      </c>
      <c r="SVM1337" s="4" t="s">
        <v>2881</v>
      </c>
      <c r="SVN1337" s="4" t="s">
        <v>2881</v>
      </c>
      <c r="SVO1337" s="4" t="s">
        <v>2881</v>
      </c>
      <c r="SVP1337" s="4" t="s">
        <v>2881</v>
      </c>
      <c r="SVQ1337" s="4" t="s">
        <v>2881</v>
      </c>
      <c r="SVR1337" s="4" t="s">
        <v>2881</v>
      </c>
      <c r="SVS1337" s="4" t="s">
        <v>2881</v>
      </c>
      <c r="SVT1337" s="4" t="s">
        <v>2881</v>
      </c>
      <c r="SVU1337" s="4" t="s">
        <v>2881</v>
      </c>
      <c r="SVV1337" s="4" t="s">
        <v>2881</v>
      </c>
      <c r="SVW1337" s="4" t="s">
        <v>2881</v>
      </c>
      <c r="SVX1337" s="4" t="s">
        <v>2881</v>
      </c>
      <c r="SVY1337" s="4" t="s">
        <v>2881</v>
      </c>
      <c r="SVZ1337" s="4" t="s">
        <v>2881</v>
      </c>
      <c r="SWA1337" s="4" t="s">
        <v>2881</v>
      </c>
      <c r="SWB1337" s="4" t="s">
        <v>2881</v>
      </c>
      <c r="SWC1337" s="4" t="s">
        <v>2881</v>
      </c>
      <c r="SWD1337" s="4" t="s">
        <v>2881</v>
      </c>
      <c r="SWE1337" s="4" t="s">
        <v>2881</v>
      </c>
      <c r="SWF1337" s="4" t="s">
        <v>2881</v>
      </c>
      <c r="SWG1337" s="4" t="s">
        <v>2881</v>
      </c>
      <c r="SWH1337" s="4" t="s">
        <v>2881</v>
      </c>
      <c r="SWI1337" s="4" t="s">
        <v>2881</v>
      </c>
      <c r="SWJ1337" s="4" t="s">
        <v>2881</v>
      </c>
      <c r="SWK1337" s="4" t="s">
        <v>2881</v>
      </c>
      <c r="SWL1337" s="4" t="s">
        <v>2881</v>
      </c>
      <c r="SWM1337" s="4" t="s">
        <v>2881</v>
      </c>
      <c r="SWN1337" s="4" t="s">
        <v>2881</v>
      </c>
      <c r="SWO1337" s="4" t="s">
        <v>2881</v>
      </c>
      <c r="SWP1337" s="4" t="s">
        <v>2881</v>
      </c>
      <c r="SWQ1337" s="4" t="s">
        <v>2881</v>
      </c>
      <c r="SWR1337" s="4" t="s">
        <v>2881</v>
      </c>
      <c r="SWS1337" s="4" t="s">
        <v>2881</v>
      </c>
      <c r="SWT1337" s="4" t="s">
        <v>2881</v>
      </c>
      <c r="SWU1337" s="4" t="s">
        <v>2881</v>
      </c>
      <c r="SWV1337" s="4" t="s">
        <v>2881</v>
      </c>
      <c r="SWW1337" s="4" t="s">
        <v>2881</v>
      </c>
      <c r="SWX1337" s="4" t="s">
        <v>2881</v>
      </c>
      <c r="SWY1337" s="4" t="s">
        <v>2881</v>
      </c>
      <c r="SWZ1337" s="4" t="s">
        <v>2881</v>
      </c>
      <c r="SXA1337" s="4" t="s">
        <v>2881</v>
      </c>
      <c r="SXB1337" s="4" t="s">
        <v>2881</v>
      </c>
      <c r="SXC1337" s="4" t="s">
        <v>2881</v>
      </c>
      <c r="SXD1337" s="4" t="s">
        <v>2881</v>
      </c>
      <c r="SXE1337" s="4" t="s">
        <v>2881</v>
      </c>
      <c r="SXF1337" s="4" t="s">
        <v>2881</v>
      </c>
      <c r="SXG1337" s="4" t="s">
        <v>2881</v>
      </c>
      <c r="SXH1337" s="4" t="s">
        <v>2881</v>
      </c>
      <c r="SXI1337" s="4" t="s">
        <v>2881</v>
      </c>
      <c r="SXJ1337" s="4" t="s">
        <v>2881</v>
      </c>
      <c r="SXK1337" s="4" t="s">
        <v>2881</v>
      </c>
      <c r="SXL1337" s="4" t="s">
        <v>2881</v>
      </c>
      <c r="SXM1337" s="4" t="s">
        <v>2881</v>
      </c>
      <c r="SXN1337" s="4" t="s">
        <v>2881</v>
      </c>
      <c r="SXO1337" s="4" t="s">
        <v>2881</v>
      </c>
      <c r="SXP1337" s="4" t="s">
        <v>2881</v>
      </c>
      <c r="SXQ1337" s="4" t="s">
        <v>2881</v>
      </c>
      <c r="SXR1337" s="4" t="s">
        <v>2881</v>
      </c>
      <c r="SXS1337" s="4" t="s">
        <v>2881</v>
      </c>
      <c r="SXT1337" s="4" t="s">
        <v>2881</v>
      </c>
      <c r="SXU1337" s="4" t="s">
        <v>2881</v>
      </c>
      <c r="SXV1337" s="4" t="s">
        <v>2881</v>
      </c>
      <c r="SXW1337" s="4" t="s">
        <v>2881</v>
      </c>
      <c r="SXX1337" s="4" t="s">
        <v>2881</v>
      </c>
      <c r="SXY1337" s="4" t="s">
        <v>2881</v>
      </c>
      <c r="SXZ1337" s="4" t="s">
        <v>2881</v>
      </c>
      <c r="SYA1337" s="4" t="s">
        <v>2881</v>
      </c>
      <c r="SYB1337" s="4" t="s">
        <v>2881</v>
      </c>
      <c r="SYC1337" s="4" t="s">
        <v>2881</v>
      </c>
      <c r="SYD1337" s="4" t="s">
        <v>2881</v>
      </c>
      <c r="SYE1337" s="4" t="s">
        <v>2881</v>
      </c>
      <c r="SYF1337" s="4" t="s">
        <v>2881</v>
      </c>
      <c r="SYG1337" s="4" t="s">
        <v>2881</v>
      </c>
      <c r="SYH1337" s="4" t="s">
        <v>2881</v>
      </c>
      <c r="SYI1337" s="4" t="s">
        <v>2881</v>
      </c>
      <c r="SYJ1337" s="4" t="s">
        <v>2881</v>
      </c>
      <c r="SYK1337" s="4" t="s">
        <v>2881</v>
      </c>
      <c r="SYL1337" s="4" t="s">
        <v>2881</v>
      </c>
      <c r="SYM1337" s="4" t="s">
        <v>2881</v>
      </c>
      <c r="SYN1337" s="4" t="s">
        <v>2881</v>
      </c>
      <c r="SYO1337" s="4" t="s">
        <v>2881</v>
      </c>
      <c r="SYP1337" s="4" t="s">
        <v>2881</v>
      </c>
      <c r="SYQ1337" s="4" t="s">
        <v>2881</v>
      </c>
      <c r="SYR1337" s="4" t="s">
        <v>2881</v>
      </c>
      <c r="SYS1337" s="4" t="s">
        <v>2881</v>
      </c>
      <c r="SYT1337" s="4" t="s">
        <v>2881</v>
      </c>
      <c r="SYU1337" s="4" t="s">
        <v>2881</v>
      </c>
      <c r="SYV1337" s="4" t="s">
        <v>2881</v>
      </c>
      <c r="SYW1337" s="4" t="s">
        <v>2881</v>
      </c>
      <c r="SYX1337" s="4" t="s">
        <v>2881</v>
      </c>
      <c r="SYY1337" s="4" t="s">
        <v>2881</v>
      </c>
      <c r="SYZ1337" s="4" t="s">
        <v>2881</v>
      </c>
      <c r="SZA1337" s="4" t="s">
        <v>2881</v>
      </c>
      <c r="SZB1337" s="4" t="s">
        <v>2881</v>
      </c>
      <c r="SZC1337" s="4" t="s">
        <v>2881</v>
      </c>
      <c r="SZD1337" s="4" t="s">
        <v>2881</v>
      </c>
      <c r="SZE1337" s="4" t="s">
        <v>2881</v>
      </c>
      <c r="SZF1337" s="4" t="s">
        <v>2881</v>
      </c>
      <c r="SZG1337" s="4" t="s">
        <v>2881</v>
      </c>
      <c r="SZH1337" s="4" t="s">
        <v>2881</v>
      </c>
      <c r="SZI1337" s="4" t="s">
        <v>2881</v>
      </c>
      <c r="SZJ1337" s="4" t="s">
        <v>2881</v>
      </c>
      <c r="SZK1337" s="4" t="s">
        <v>2881</v>
      </c>
      <c r="SZL1337" s="4" t="s">
        <v>2881</v>
      </c>
      <c r="SZM1337" s="4" t="s">
        <v>2881</v>
      </c>
      <c r="SZN1337" s="4" t="s">
        <v>2881</v>
      </c>
      <c r="SZO1337" s="4" t="s">
        <v>2881</v>
      </c>
      <c r="SZP1337" s="4" t="s">
        <v>2881</v>
      </c>
      <c r="SZQ1337" s="4" t="s">
        <v>2881</v>
      </c>
      <c r="SZR1337" s="4" t="s">
        <v>2881</v>
      </c>
      <c r="SZS1337" s="4" t="s">
        <v>2881</v>
      </c>
      <c r="SZT1337" s="4" t="s">
        <v>2881</v>
      </c>
      <c r="SZU1337" s="4" t="s">
        <v>2881</v>
      </c>
      <c r="SZV1337" s="4" t="s">
        <v>2881</v>
      </c>
      <c r="SZW1337" s="4" t="s">
        <v>2881</v>
      </c>
      <c r="SZX1337" s="4" t="s">
        <v>2881</v>
      </c>
      <c r="SZY1337" s="4" t="s">
        <v>2881</v>
      </c>
      <c r="SZZ1337" s="4" t="s">
        <v>2881</v>
      </c>
      <c r="TAA1337" s="4" t="s">
        <v>2881</v>
      </c>
      <c r="TAB1337" s="4" t="s">
        <v>2881</v>
      </c>
      <c r="TAC1337" s="4" t="s">
        <v>2881</v>
      </c>
      <c r="TAD1337" s="4" t="s">
        <v>2881</v>
      </c>
      <c r="TAE1337" s="4" t="s">
        <v>2881</v>
      </c>
      <c r="TAF1337" s="4" t="s">
        <v>2881</v>
      </c>
      <c r="TAG1337" s="4" t="s">
        <v>2881</v>
      </c>
      <c r="TAH1337" s="4" t="s">
        <v>2881</v>
      </c>
      <c r="TAI1337" s="4" t="s">
        <v>2881</v>
      </c>
      <c r="TAJ1337" s="4" t="s">
        <v>2881</v>
      </c>
      <c r="TAK1337" s="4" t="s">
        <v>2881</v>
      </c>
      <c r="TAL1337" s="4" t="s">
        <v>2881</v>
      </c>
      <c r="TAM1337" s="4" t="s">
        <v>2881</v>
      </c>
      <c r="TAN1337" s="4" t="s">
        <v>2881</v>
      </c>
      <c r="TAO1337" s="4" t="s">
        <v>2881</v>
      </c>
      <c r="TAP1337" s="4" t="s">
        <v>2881</v>
      </c>
      <c r="TAQ1337" s="4" t="s">
        <v>2881</v>
      </c>
      <c r="TAR1337" s="4" t="s">
        <v>2881</v>
      </c>
      <c r="TAS1337" s="4" t="s">
        <v>2881</v>
      </c>
      <c r="TAT1337" s="4" t="s">
        <v>2881</v>
      </c>
      <c r="TAU1337" s="4" t="s">
        <v>2881</v>
      </c>
      <c r="TAV1337" s="4" t="s">
        <v>2881</v>
      </c>
      <c r="TAW1337" s="4" t="s">
        <v>2881</v>
      </c>
      <c r="TAX1337" s="4" t="s">
        <v>2881</v>
      </c>
      <c r="TAY1337" s="4" t="s">
        <v>2881</v>
      </c>
      <c r="TAZ1337" s="4" t="s">
        <v>2881</v>
      </c>
      <c r="TBA1337" s="4" t="s">
        <v>2881</v>
      </c>
      <c r="TBB1337" s="4" t="s">
        <v>2881</v>
      </c>
      <c r="TBC1337" s="4" t="s">
        <v>2881</v>
      </c>
      <c r="TBD1337" s="4" t="s">
        <v>2881</v>
      </c>
      <c r="TBE1337" s="4" t="s">
        <v>2881</v>
      </c>
      <c r="TBF1337" s="4" t="s">
        <v>2881</v>
      </c>
      <c r="TBG1337" s="4" t="s">
        <v>2881</v>
      </c>
      <c r="TBH1337" s="4" t="s">
        <v>2881</v>
      </c>
      <c r="TBI1337" s="4" t="s">
        <v>2881</v>
      </c>
      <c r="TBJ1337" s="4" t="s">
        <v>2881</v>
      </c>
      <c r="TBK1337" s="4" t="s">
        <v>2881</v>
      </c>
      <c r="TBL1337" s="4" t="s">
        <v>2881</v>
      </c>
      <c r="TBM1337" s="4" t="s">
        <v>2881</v>
      </c>
      <c r="TBN1337" s="4" t="s">
        <v>2881</v>
      </c>
      <c r="TBO1337" s="4" t="s">
        <v>2881</v>
      </c>
      <c r="TBP1337" s="4" t="s">
        <v>2881</v>
      </c>
      <c r="TBQ1337" s="4" t="s">
        <v>2881</v>
      </c>
      <c r="TBR1337" s="4" t="s">
        <v>2881</v>
      </c>
      <c r="TBS1337" s="4" t="s">
        <v>2881</v>
      </c>
      <c r="TBT1337" s="4" t="s">
        <v>2881</v>
      </c>
      <c r="TBU1337" s="4" t="s">
        <v>2881</v>
      </c>
      <c r="TBV1337" s="4" t="s">
        <v>2881</v>
      </c>
      <c r="TBW1337" s="4" t="s">
        <v>2881</v>
      </c>
      <c r="TBX1337" s="4" t="s">
        <v>2881</v>
      </c>
      <c r="TBY1337" s="4" t="s">
        <v>2881</v>
      </c>
      <c r="TBZ1337" s="4" t="s">
        <v>2881</v>
      </c>
      <c r="TCA1337" s="4" t="s">
        <v>2881</v>
      </c>
      <c r="TCB1337" s="4" t="s">
        <v>2881</v>
      </c>
      <c r="TCC1337" s="4" t="s">
        <v>2881</v>
      </c>
      <c r="TCD1337" s="4" t="s">
        <v>2881</v>
      </c>
      <c r="TCE1337" s="4" t="s">
        <v>2881</v>
      </c>
      <c r="TCF1337" s="4" t="s">
        <v>2881</v>
      </c>
      <c r="TCG1337" s="4" t="s">
        <v>2881</v>
      </c>
      <c r="TCH1337" s="4" t="s">
        <v>2881</v>
      </c>
      <c r="TCI1337" s="4" t="s">
        <v>2881</v>
      </c>
      <c r="TCJ1337" s="4" t="s">
        <v>2881</v>
      </c>
      <c r="TCK1337" s="4" t="s">
        <v>2881</v>
      </c>
      <c r="TCL1337" s="4" t="s">
        <v>2881</v>
      </c>
      <c r="TCM1337" s="4" t="s">
        <v>2881</v>
      </c>
      <c r="TCN1337" s="4" t="s">
        <v>2881</v>
      </c>
      <c r="TCO1337" s="4" t="s">
        <v>2881</v>
      </c>
      <c r="TCP1337" s="4" t="s">
        <v>2881</v>
      </c>
      <c r="TCQ1337" s="4" t="s">
        <v>2881</v>
      </c>
      <c r="TCR1337" s="4" t="s">
        <v>2881</v>
      </c>
      <c r="TCS1337" s="4" t="s">
        <v>2881</v>
      </c>
      <c r="TCT1337" s="4" t="s">
        <v>2881</v>
      </c>
      <c r="TCU1337" s="4" t="s">
        <v>2881</v>
      </c>
      <c r="TCV1337" s="4" t="s">
        <v>2881</v>
      </c>
      <c r="TCW1337" s="4" t="s">
        <v>2881</v>
      </c>
      <c r="TCX1337" s="4" t="s">
        <v>2881</v>
      </c>
      <c r="TCY1337" s="4" t="s">
        <v>2881</v>
      </c>
      <c r="TCZ1337" s="4" t="s">
        <v>2881</v>
      </c>
      <c r="TDA1337" s="4" t="s">
        <v>2881</v>
      </c>
      <c r="TDB1337" s="4" t="s">
        <v>2881</v>
      </c>
      <c r="TDC1337" s="4" t="s">
        <v>2881</v>
      </c>
      <c r="TDD1337" s="4" t="s">
        <v>2881</v>
      </c>
      <c r="TDE1337" s="4" t="s">
        <v>2881</v>
      </c>
      <c r="TDF1337" s="4" t="s">
        <v>2881</v>
      </c>
      <c r="TDG1337" s="4" t="s">
        <v>2881</v>
      </c>
      <c r="TDH1337" s="4" t="s">
        <v>2881</v>
      </c>
      <c r="TDI1337" s="4" t="s">
        <v>2881</v>
      </c>
      <c r="TDJ1337" s="4" t="s">
        <v>2881</v>
      </c>
      <c r="TDK1337" s="4" t="s">
        <v>2881</v>
      </c>
      <c r="TDL1337" s="4" t="s">
        <v>2881</v>
      </c>
      <c r="TDM1337" s="4" t="s">
        <v>2881</v>
      </c>
      <c r="TDN1337" s="4" t="s">
        <v>2881</v>
      </c>
      <c r="TDO1337" s="4" t="s">
        <v>2881</v>
      </c>
      <c r="TDP1337" s="4" t="s">
        <v>2881</v>
      </c>
      <c r="TDQ1337" s="4" t="s">
        <v>2881</v>
      </c>
      <c r="TDR1337" s="4" t="s">
        <v>2881</v>
      </c>
      <c r="TDS1337" s="4" t="s">
        <v>2881</v>
      </c>
      <c r="TDT1337" s="4" t="s">
        <v>2881</v>
      </c>
      <c r="TDU1337" s="4" t="s">
        <v>2881</v>
      </c>
      <c r="TDV1337" s="4" t="s">
        <v>2881</v>
      </c>
      <c r="TDW1337" s="4" t="s">
        <v>2881</v>
      </c>
      <c r="TDX1337" s="4" t="s">
        <v>2881</v>
      </c>
      <c r="TDY1337" s="4" t="s">
        <v>2881</v>
      </c>
      <c r="TDZ1337" s="4" t="s">
        <v>2881</v>
      </c>
      <c r="TEA1337" s="4" t="s">
        <v>2881</v>
      </c>
      <c r="TEB1337" s="4" t="s">
        <v>2881</v>
      </c>
      <c r="TEC1337" s="4" t="s">
        <v>2881</v>
      </c>
      <c r="TED1337" s="4" t="s">
        <v>2881</v>
      </c>
      <c r="TEE1337" s="4" t="s">
        <v>2881</v>
      </c>
      <c r="TEF1337" s="4" t="s">
        <v>2881</v>
      </c>
      <c r="TEG1337" s="4" t="s">
        <v>2881</v>
      </c>
      <c r="TEH1337" s="4" t="s">
        <v>2881</v>
      </c>
      <c r="TEI1337" s="4" t="s">
        <v>2881</v>
      </c>
      <c r="TEJ1337" s="4" t="s">
        <v>2881</v>
      </c>
      <c r="TEK1337" s="4" t="s">
        <v>2881</v>
      </c>
      <c r="TEL1337" s="4" t="s">
        <v>2881</v>
      </c>
      <c r="TEM1337" s="4" t="s">
        <v>2881</v>
      </c>
      <c r="TEN1337" s="4" t="s">
        <v>2881</v>
      </c>
      <c r="TEO1337" s="4" t="s">
        <v>2881</v>
      </c>
      <c r="TEP1337" s="4" t="s">
        <v>2881</v>
      </c>
      <c r="TEQ1337" s="4" t="s">
        <v>2881</v>
      </c>
      <c r="TER1337" s="4" t="s">
        <v>2881</v>
      </c>
      <c r="TES1337" s="4" t="s">
        <v>2881</v>
      </c>
      <c r="TET1337" s="4" t="s">
        <v>2881</v>
      </c>
      <c r="TEU1337" s="4" t="s">
        <v>2881</v>
      </c>
      <c r="TEV1337" s="4" t="s">
        <v>2881</v>
      </c>
      <c r="TEW1337" s="4" t="s">
        <v>2881</v>
      </c>
      <c r="TEX1337" s="4" t="s">
        <v>2881</v>
      </c>
      <c r="TEY1337" s="4" t="s">
        <v>2881</v>
      </c>
      <c r="TEZ1337" s="4" t="s">
        <v>2881</v>
      </c>
      <c r="TFA1337" s="4" t="s">
        <v>2881</v>
      </c>
      <c r="TFB1337" s="4" t="s">
        <v>2881</v>
      </c>
      <c r="TFC1337" s="4" t="s">
        <v>2881</v>
      </c>
      <c r="TFD1337" s="4" t="s">
        <v>2881</v>
      </c>
      <c r="TFE1337" s="4" t="s">
        <v>2881</v>
      </c>
      <c r="TFF1337" s="4" t="s">
        <v>2881</v>
      </c>
      <c r="TFG1337" s="4" t="s">
        <v>2881</v>
      </c>
      <c r="TFH1337" s="4" t="s">
        <v>2881</v>
      </c>
      <c r="TFI1337" s="4" t="s">
        <v>2881</v>
      </c>
      <c r="TFJ1337" s="4" t="s">
        <v>2881</v>
      </c>
      <c r="TFK1337" s="4" t="s">
        <v>2881</v>
      </c>
      <c r="TFL1337" s="4" t="s">
        <v>2881</v>
      </c>
      <c r="TFM1337" s="4" t="s">
        <v>2881</v>
      </c>
      <c r="TFN1337" s="4" t="s">
        <v>2881</v>
      </c>
      <c r="TFO1337" s="4" t="s">
        <v>2881</v>
      </c>
      <c r="TFP1337" s="4" t="s">
        <v>2881</v>
      </c>
      <c r="TFQ1337" s="4" t="s">
        <v>2881</v>
      </c>
      <c r="TFR1337" s="4" t="s">
        <v>2881</v>
      </c>
      <c r="TFS1337" s="4" t="s">
        <v>2881</v>
      </c>
      <c r="TFT1337" s="4" t="s">
        <v>2881</v>
      </c>
      <c r="TFU1337" s="4" t="s">
        <v>2881</v>
      </c>
      <c r="TFV1337" s="4" t="s">
        <v>2881</v>
      </c>
      <c r="TFW1337" s="4" t="s">
        <v>2881</v>
      </c>
      <c r="TFX1337" s="4" t="s">
        <v>2881</v>
      </c>
      <c r="TFY1337" s="4" t="s">
        <v>2881</v>
      </c>
      <c r="TFZ1337" s="4" t="s">
        <v>2881</v>
      </c>
      <c r="TGA1337" s="4" t="s">
        <v>2881</v>
      </c>
      <c r="TGB1337" s="4" t="s">
        <v>2881</v>
      </c>
      <c r="TGC1337" s="4" t="s">
        <v>2881</v>
      </c>
      <c r="TGD1337" s="4" t="s">
        <v>2881</v>
      </c>
      <c r="TGE1337" s="4" t="s">
        <v>2881</v>
      </c>
      <c r="TGF1337" s="4" t="s">
        <v>2881</v>
      </c>
      <c r="TGG1337" s="4" t="s">
        <v>2881</v>
      </c>
      <c r="TGH1337" s="4" t="s">
        <v>2881</v>
      </c>
      <c r="TGI1337" s="4" t="s">
        <v>2881</v>
      </c>
      <c r="TGJ1337" s="4" t="s">
        <v>2881</v>
      </c>
      <c r="TGK1337" s="4" t="s">
        <v>2881</v>
      </c>
      <c r="TGL1337" s="4" t="s">
        <v>2881</v>
      </c>
      <c r="TGM1337" s="4" t="s">
        <v>2881</v>
      </c>
      <c r="TGN1337" s="4" t="s">
        <v>2881</v>
      </c>
      <c r="TGO1337" s="4" t="s">
        <v>2881</v>
      </c>
      <c r="TGP1337" s="4" t="s">
        <v>2881</v>
      </c>
      <c r="TGQ1337" s="4" t="s">
        <v>2881</v>
      </c>
      <c r="TGR1337" s="4" t="s">
        <v>2881</v>
      </c>
      <c r="TGS1337" s="4" t="s">
        <v>2881</v>
      </c>
      <c r="TGT1337" s="4" t="s">
        <v>2881</v>
      </c>
      <c r="TGU1337" s="4" t="s">
        <v>2881</v>
      </c>
      <c r="TGV1337" s="4" t="s">
        <v>2881</v>
      </c>
      <c r="TGW1337" s="4" t="s">
        <v>2881</v>
      </c>
      <c r="TGX1337" s="4" t="s">
        <v>2881</v>
      </c>
      <c r="TGY1337" s="4" t="s">
        <v>2881</v>
      </c>
      <c r="TGZ1337" s="4" t="s">
        <v>2881</v>
      </c>
      <c r="THA1337" s="4" t="s">
        <v>2881</v>
      </c>
      <c r="THB1337" s="4" t="s">
        <v>2881</v>
      </c>
      <c r="THC1337" s="4" t="s">
        <v>2881</v>
      </c>
      <c r="THD1337" s="4" t="s">
        <v>2881</v>
      </c>
      <c r="THE1337" s="4" t="s">
        <v>2881</v>
      </c>
      <c r="THF1337" s="4" t="s">
        <v>2881</v>
      </c>
      <c r="THG1337" s="4" t="s">
        <v>2881</v>
      </c>
      <c r="THH1337" s="4" t="s">
        <v>2881</v>
      </c>
      <c r="THI1337" s="4" t="s">
        <v>2881</v>
      </c>
      <c r="THJ1337" s="4" t="s">
        <v>2881</v>
      </c>
      <c r="THK1337" s="4" t="s">
        <v>2881</v>
      </c>
      <c r="THL1337" s="4" t="s">
        <v>2881</v>
      </c>
      <c r="THM1337" s="4" t="s">
        <v>2881</v>
      </c>
      <c r="THN1337" s="4" t="s">
        <v>2881</v>
      </c>
      <c r="THO1337" s="4" t="s">
        <v>2881</v>
      </c>
      <c r="THP1337" s="4" t="s">
        <v>2881</v>
      </c>
      <c r="THQ1337" s="4" t="s">
        <v>2881</v>
      </c>
      <c r="THR1337" s="4" t="s">
        <v>2881</v>
      </c>
      <c r="THS1337" s="4" t="s">
        <v>2881</v>
      </c>
      <c r="THT1337" s="4" t="s">
        <v>2881</v>
      </c>
      <c r="THU1337" s="4" t="s">
        <v>2881</v>
      </c>
      <c r="THV1337" s="4" t="s">
        <v>2881</v>
      </c>
      <c r="THW1337" s="4" t="s">
        <v>2881</v>
      </c>
      <c r="THX1337" s="4" t="s">
        <v>2881</v>
      </c>
      <c r="THY1337" s="4" t="s">
        <v>2881</v>
      </c>
      <c r="THZ1337" s="4" t="s">
        <v>2881</v>
      </c>
      <c r="TIA1337" s="4" t="s">
        <v>2881</v>
      </c>
      <c r="TIB1337" s="4" t="s">
        <v>2881</v>
      </c>
      <c r="TIC1337" s="4" t="s">
        <v>2881</v>
      </c>
      <c r="TID1337" s="4" t="s">
        <v>2881</v>
      </c>
      <c r="TIE1337" s="4" t="s">
        <v>2881</v>
      </c>
      <c r="TIF1337" s="4" t="s">
        <v>2881</v>
      </c>
      <c r="TIG1337" s="4" t="s">
        <v>2881</v>
      </c>
      <c r="TIH1337" s="4" t="s">
        <v>2881</v>
      </c>
      <c r="TII1337" s="4" t="s">
        <v>2881</v>
      </c>
      <c r="TIJ1337" s="4" t="s">
        <v>2881</v>
      </c>
      <c r="TIK1337" s="4" t="s">
        <v>2881</v>
      </c>
      <c r="TIL1337" s="4" t="s">
        <v>2881</v>
      </c>
      <c r="TIM1337" s="4" t="s">
        <v>2881</v>
      </c>
      <c r="TIN1337" s="4" t="s">
        <v>2881</v>
      </c>
      <c r="TIO1337" s="4" t="s">
        <v>2881</v>
      </c>
      <c r="TIP1337" s="4" t="s">
        <v>2881</v>
      </c>
      <c r="TIQ1337" s="4" t="s">
        <v>2881</v>
      </c>
      <c r="TIR1337" s="4" t="s">
        <v>2881</v>
      </c>
      <c r="TIS1337" s="4" t="s">
        <v>2881</v>
      </c>
      <c r="TIT1337" s="4" t="s">
        <v>2881</v>
      </c>
      <c r="TIU1337" s="4" t="s">
        <v>2881</v>
      </c>
      <c r="TIV1337" s="4" t="s">
        <v>2881</v>
      </c>
      <c r="TIW1337" s="4" t="s">
        <v>2881</v>
      </c>
      <c r="TIX1337" s="4" t="s">
        <v>2881</v>
      </c>
      <c r="TIY1337" s="4" t="s">
        <v>2881</v>
      </c>
      <c r="TIZ1337" s="4" t="s">
        <v>2881</v>
      </c>
      <c r="TJA1337" s="4" t="s">
        <v>2881</v>
      </c>
      <c r="TJB1337" s="4" t="s">
        <v>2881</v>
      </c>
      <c r="TJC1337" s="4" t="s">
        <v>2881</v>
      </c>
      <c r="TJD1337" s="4" t="s">
        <v>2881</v>
      </c>
      <c r="TJE1337" s="4" t="s">
        <v>2881</v>
      </c>
      <c r="TJF1337" s="4" t="s">
        <v>2881</v>
      </c>
      <c r="TJG1337" s="4" t="s">
        <v>2881</v>
      </c>
      <c r="TJH1337" s="4" t="s">
        <v>2881</v>
      </c>
      <c r="TJI1337" s="4" t="s">
        <v>2881</v>
      </c>
      <c r="TJJ1337" s="4" t="s">
        <v>2881</v>
      </c>
      <c r="TJK1337" s="4" t="s">
        <v>2881</v>
      </c>
      <c r="TJL1337" s="4" t="s">
        <v>2881</v>
      </c>
      <c r="TJM1337" s="4" t="s">
        <v>2881</v>
      </c>
      <c r="TJN1337" s="4" t="s">
        <v>2881</v>
      </c>
      <c r="TJO1337" s="4" t="s">
        <v>2881</v>
      </c>
      <c r="TJP1337" s="4" t="s">
        <v>2881</v>
      </c>
      <c r="TJQ1337" s="4" t="s">
        <v>2881</v>
      </c>
      <c r="TJR1337" s="4" t="s">
        <v>2881</v>
      </c>
      <c r="TJS1337" s="4" t="s">
        <v>2881</v>
      </c>
      <c r="TJT1337" s="4" t="s">
        <v>2881</v>
      </c>
      <c r="TJU1337" s="4" t="s">
        <v>2881</v>
      </c>
      <c r="TJV1337" s="4" t="s">
        <v>2881</v>
      </c>
      <c r="TJW1337" s="4" t="s">
        <v>2881</v>
      </c>
      <c r="TJX1337" s="4" t="s">
        <v>2881</v>
      </c>
      <c r="TJY1337" s="4" t="s">
        <v>2881</v>
      </c>
      <c r="TJZ1337" s="4" t="s">
        <v>2881</v>
      </c>
      <c r="TKA1337" s="4" t="s">
        <v>2881</v>
      </c>
      <c r="TKB1337" s="4" t="s">
        <v>2881</v>
      </c>
      <c r="TKC1337" s="4" t="s">
        <v>2881</v>
      </c>
      <c r="TKD1337" s="4" t="s">
        <v>2881</v>
      </c>
      <c r="TKE1337" s="4" t="s">
        <v>2881</v>
      </c>
      <c r="TKF1337" s="4" t="s">
        <v>2881</v>
      </c>
      <c r="TKG1337" s="4" t="s">
        <v>2881</v>
      </c>
      <c r="TKH1337" s="4" t="s">
        <v>2881</v>
      </c>
      <c r="TKI1337" s="4" t="s">
        <v>2881</v>
      </c>
      <c r="TKJ1337" s="4" t="s">
        <v>2881</v>
      </c>
      <c r="TKK1337" s="4" t="s">
        <v>2881</v>
      </c>
      <c r="TKL1337" s="4" t="s">
        <v>2881</v>
      </c>
      <c r="TKM1337" s="4" t="s">
        <v>2881</v>
      </c>
      <c r="TKN1337" s="4" t="s">
        <v>2881</v>
      </c>
      <c r="TKO1337" s="4" t="s">
        <v>2881</v>
      </c>
      <c r="TKP1337" s="4" t="s">
        <v>2881</v>
      </c>
      <c r="TKQ1337" s="4" t="s">
        <v>2881</v>
      </c>
      <c r="TKR1337" s="4" t="s">
        <v>2881</v>
      </c>
      <c r="TKS1337" s="4" t="s">
        <v>2881</v>
      </c>
      <c r="TKT1337" s="4" t="s">
        <v>2881</v>
      </c>
      <c r="TKU1337" s="4" t="s">
        <v>2881</v>
      </c>
      <c r="TKV1337" s="4" t="s">
        <v>2881</v>
      </c>
      <c r="TKW1337" s="4" t="s">
        <v>2881</v>
      </c>
      <c r="TKX1337" s="4" t="s">
        <v>2881</v>
      </c>
      <c r="TKY1337" s="4" t="s">
        <v>2881</v>
      </c>
      <c r="TKZ1337" s="4" t="s">
        <v>2881</v>
      </c>
      <c r="TLA1337" s="4" t="s">
        <v>2881</v>
      </c>
      <c r="TLB1337" s="4" t="s">
        <v>2881</v>
      </c>
      <c r="TLC1337" s="4" t="s">
        <v>2881</v>
      </c>
      <c r="TLD1337" s="4" t="s">
        <v>2881</v>
      </c>
      <c r="TLE1337" s="4" t="s">
        <v>2881</v>
      </c>
      <c r="TLF1337" s="4" t="s">
        <v>2881</v>
      </c>
      <c r="TLG1337" s="4" t="s">
        <v>2881</v>
      </c>
      <c r="TLH1337" s="4" t="s">
        <v>2881</v>
      </c>
      <c r="TLI1337" s="4" t="s">
        <v>2881</v>
      </c>
      <c r="TLJ1337" s="4" t="s">
        <v>2881</v>
      </c>
      <c r="TLK1337" s="4" t="s">
        <v>2881</v>
      </c>
      <c r="TLL1337" s="4" t="s">
        <v>2881</v>
      </c>
      <c r="TLM1337" s="4" t="s">
        <v>2881</v>
      </c>
      <c r="TLN1337" s="4" t="s">
        <v>2881</v>
      </c>
      <c r="TLO1337" s="4" t="s">
        <v>2881</v>
      </c>
      <c r="TLP1337" s="4" t="s">
        <v>2881</v>
      </c>
      <c r="TLQ1337" s="4" t="s">
        <v>2881</v>
      </c>
      <c r="TLR1337" s="4" t="s">
        <v>2881</v>
      </c>
      <c r="TLS1337" s="4" t="s">
        <v>2881</v>
      </c>
      <c r="TLT1337" s="4" t="s">
        <v>2881</v>
      </c>
      <c r="TLU1337" s="4" t="s">
        <v>2881</v>
      </c>
      <c r="TLV1337" s="4" t="s">
        <v>2881</v>
      </c>
      <c r="TLW1337" s="4" t="s">
        <v>2881</v>
      </c>
      <c r="TLX1337" s="4" t="s">
        <v>2881</v>
      </c>
      <c r="TLY1337" s="4" t="s">
        <v>2881</v>
      </c>
      <c r="TLZ1337" s="4" t="s">
        <v>2881</v>
      </c>
      <c r="TMA1337" s="4" t="s">
        <v>2881</v>
      </c>
      <c r="TMB1337" s="4" t="s">
        <v>2881</v>
      </c>
      <c r="TMC1337" s="4" t="s">
        <v>2881</v>
      </c>
      <c r="TMD1337" s="4" t="s">
        <v>2881</v>
      </c>
      <c r="TME1337" s="4" t="s">
        <v>2881</v>
      </c>
      <c r="TMF1337" s="4" t="s">
        <v>2881</v>
      </c>
      <c r="TMG1337" s="4" t="s">
        <v>2881</v>
      </c>
      <c r="TMH1337" s="4" t="s">
        <v>2881</v>
      </c>
      <c r="TMI1337" s="4" t="s">
        <v>2881</v>
      </c>
      <c r="TMJ1337" s="4" t="s">
        <v>2881</v>
      </c>
      <c r="TMK1337" s="4" t="s">
        <v>2881</v>
      </c>
      <c r="TML1337" s="4" t="s">
        <v>2881</v>
      </c>
      <c r="TMM1337" s="4" t="s">
        <v>2881</v>
      </c>
      <c r="TMN1337" s="4" t="s">
        <v>2881</v>
      </c>
      <c r="TMO1337" s="4" t="s">
        <v>2881</v>
      </c>
      <c r="TMP1337" s="4" t="s">
        <v>2881</v>
      </c>
      <c r="TMQ1337" s="4" t="s">
        <v>2881</v>
      </c>
      <c r="TMR1337" s="4" t="s">
        <v>2881</v>
      </c>
      <c r="TMS1337" s="4" t="s">
        <v>2881</v>
      </c>
      <c r="TMT1337" s="4" t="s">
        <v>2881</v>
      </c>
      <c r="TMU1337" s="4" t="s">
        <v>2881</v>
      </c>
      <c r="TMV1337" s="4" t="s">
        <v>2881</v>
      </c>
      <c r="TMW1337" s="4" t="s">
        <v>2881</v>
      </c>
      <c r="TMX1337" s="4" t="s">
        <v>2881</v>
      </c>
      <c r="TMY1337" s="4" t="s">
        <v>2881</v>
      </c>
      <c r="TMZ1337" s="4" t="s">
        <v>2881</v>
      </c>
      <c r="TNA1337" s="4" t="s">
        <v>2881</v>
      </c>
      <c r="TNB1337" s="4" t="s">
        <v>2881</v>
      </c>
      <c r="TNC1337" s="4" t="s">
        <v>2881</v>
      </c>
      <c r="TND1337" s="4" t="s">
        <v>2881</v>
      </c>
      <c r="TNE1337" s="4" t="s">
        <v>2881</v>
      </c>
      <c r="TNF1337" s="4" t="s">
        <v>2881</v>
      </c>
      <c r="TNG1337" s="4" t="s">
        <v>2881</v>
      </c>
      <c r="TNH1337" s="4" t="s">
        <v>2881</v>
      </c>
      <c r="TNI1337" s="4" t="s">
        <v>2881</v>
      </c>
      <c r="TNJ1337" s="4" t="s">
        <v>2881</v>
      </c>
      <c r="TNK1337" s="4" t="s">
        <v>2881</v>
      </c>
      <c r="TNL1337" s="4" t="s">
        <v>2881</v>
      </c>
      <c r="TNM1337" s="4" t="s">
        <v>2881</v>
      </c>
      <c r="TNN1337" s="4" t="s">
        <v>2881</v>
      </c>
      <c r="TNO1337" s="4" t="s">
        <v>2881</v>
      </c>
      <c r="TNP1337" s="4" t="s">
        <v>2881</v>
      </c>
      <c r="TNQ1337" s="4" t="s">
        <v>2881</v>
      </c>
      <c r="TNR1337" s="4" t="s">
        <v>2881</v>
      </c>
      <c r="TNS1337" s="4" t="s">
        <v>2881</v>
      </c>
      <c r="TNT1337" s="4" t="s">
        <v>2881</v>
      </c>
      <c r="TNU1337" s="4" t="s">
        <v>2881</v>
      </c>
      <c r="TNV1337" s="4" t="s">
        <v>2881</v>
      </c>
      <c r="TNW1337" s="4" t="s">
        <v>2881</v>
      </c>
      <c r="TNX1337" s="4" t="s">
        <v>2881</v>
      </c>
      <c r="TNY1337" s="4" t="s">
        <v>2881</v>
      </c>
      <c r="TNZ1337" s="4" t="s">
        <v>2881</v>
      </c>
      <c r="TOA1337" s="4" t="s">
        <v>2881</v>
      </c>
      <c r="TOB1337" s="4" t="s">
        <v>2881</v>
      </c>
      <c r="TOC1337" s="4" t="s">
        <v>2881</v>
      </c>
      <c r="TOD1337" s="4" t="s">
        <v>2881</v>
      </c>
      <c r="TOE1337" s="4" t="s">
        <v>2881</v>
      </c>
      <c r="TOF1337" s="4" t="s">
        <v>2881</v>
      </c>
      <c r="TOG1337" s="4" t="s">
        <v>2881</v>
      </c>
      <c r="TOH1337" s="4" t="s">
        <v>2881</v>
      </c>
      <c r="TOI1337" s="4" t="s">
        <v>2881</v>
      </c>
      <c r="TOJ1337" s="4" t="s">
        <v>2881</v>
      </c>
      <c r="TOK1337" s="4" t="s">
        <v>2881</v>
      </c>
      <c r="TOL1337" s="4" t="s">
        <v>2881</v>
      </c>
      <c r="TOM1337" s="4" t="s">
        <v>2881</v>
      </c>
      <c r="TON1337" s="4" t="s">
        <v>2881</v>
      </c>
      <c r="TOO1337" s="4" t="s">
        <v>2881</v>
      </c>
      <c r="TOP1337" s="4" t="s">
        <v>2881</v>
      </c>
      <c r="TOQ1337" s="4" t="s">
        <v>2881</v>
      </c>
      <c r="TOR1337" s="4" t="s">
        <v>2881</v>
      </c>
      <c r="TOS1337" s="4" t="s">
        <v>2881</v>
      </c>
      <c r="TOT1337" s="4" t="s">
        <v>2881</v>
      </c>
      <c r="TOU1337" s="4" t="s">
        <v>2881</v>
      </c>
      <c r="TOV1337" s="4" t="s">
        <v>2881</v>
      </c>
      <c r="TOW1337" s="4" t="s">
        <v>2881</v>
      </c>
      <c r="TOX1337" s="4" t="s">
        <v>2881</v>
      </c>
      <c r="TOY1337" s="4" t="s">
        <v>2881</v>
      </c>
      <c r="TOZ1337" s="4" t="s">
        <v>2881</v>
      </c>
      <c r="TPA1337" s="4" t="s">
        <v>2881</v>
      </c>
      <c r="TPB1337" s="4" t="s">
        <v>2881</v>
      </c>
      <c r="TPC1337" s="4" t="s">
        <v>2881</v>
      </c>
      <c r="TPD1337" s="4" t="s">
        <v>2881</v>
      </c>
      <c r="TPE1337" s="4" t="s">
        <v>2881</v>
      </c>
      <c r="TPF1337" s="4" t="s">
        <v>2881</v>
      </c>
      <c r="TPG1337" s="4" t="s">
        <v>2881</v>
      </c>
      <c r="TPH1337" s="4" t="s">
        <v>2881</v>
      </c>
      <c r="TPI1337" s="4" t="s">
        <v>2881</v>
      </c>
      <c r="TPJ1337" s="4" t="s">
        <v>2881</v>
      </c>
      <c r="TPK1337" s="4" t="s">
        <v>2881</v>
      </c>
      <c r="TPL1337" s="4" t="s">
        <v>2881</v>
      </c>
      <c r="TPM1337" s="4" t="s">
        <v>2881</v>
      </c>
      <c r="TPN1337" s="4" t="s">
        <v>2881</v>
      </c>
      <c r="TPO1337" s="4" t="s">
        <v>2881</v>
      </c>
      <c r="TPP1337" s="4" t="s">
        <v>2881</v>
      </c>
      <c r="TPQ1337" s="4" t="s">
        <v>2881</v>
      </c>
      <c r="TPR1337" s="4" t="s">
        <v>2881</v>
      </c>
      <c r="TPS1337" s="4" t="s">
        <v>2881</v>
      </c>
      <c r="TPT1337" s="4" t="s">
        <v>2881</v>
      </c>
      <c r="TPU1337" s="4" t="s">
        <v>2881</v>
      </c>
      <c r="TPV1337" s="4" t="s">
        <v>2881</v>
      </c>
      <c r="TPW1337" s="4" t="s">
        <v>2881</v>
      </c>
      <c r="TPX1337" s="4" t="s">
        <v>2881</v>
      </c>
      <c r="TPY1337" s="4" t="s">
        <v>2881</v>
      </c>
      <c r="TPZ1337" s="4" t="s">
        <v>2881</v>
      </c>
      <c r="TQA1337" s="4" t="s">
        <v>2881</v>
      </c>
      <c r="TQB1337" s="4" t="s">
        <v>2881</v>
      </c>
      <c r="TQC1337" s="4" t="s">
        <v>2881</v>
      </c>
      <c r="TQD1337" s="4" t="s">
        <v>2881</v>
      </c>
      <c r="TQE1337" s="4" t="s">
        <v>2881</v>
      </c>
      <c r="TQF1337" s="4" t="s">
        <v>2881</v>
      </c>
      <c r="TQG1337" s="4" t="s">
        <v>2881</v>
      </c>
      <c r="TQH1337" s="4" t="s">
        <v>2881</v>
      </c>
      <c r="TQI1337" s="4" t="s">
        <v>2881</v>
      </c>
      <c r="TQJ1337" s="4" t="s">
        <v>2881</v>
      </c>
      <c r="TQK1337" s="4" t="s">
        <v>2881</v>
      </c>
      <c r="TQL1337" s="4" t="s">
        <v>2881</v>
      </c>
      <c r="TQM1337" s="4" t="s">
        <v>2881</v>
      </c>
      <c r="TQN1337" s="4" t="s">
        <v>2881</v>
      </c>
      <c r="TQO1337" s="4" t="s">
        <v>2881</v>
      </c>
      <c r="TQP1337" s="4" t="s">
        <v>2881</v>
      </c>
      <c r="TQQ1337" s="4" t="s">
        <v>2881</v>
      </c>
      <c r="TQR1337" s="4" t="s">
        <v>2881</v>
      </c>
      <c r="TQS1337" s="4" t="s">
        <v>2881</v>
      </c>
      <c r="TQT1337" s="4" t="s">
        <v>2881</v>
      </c>
      <c r="TQU1337" s="4" t="s">
        <v>2881</v>
      </c>
      <c r="TQV1337" s="4" t="s">
        <v>2881</v>
      </c>
      <c r="TQW1337" s="4" t="s">
        <v>2881</v>
      </c>
      <c r="TQX1337" s="4" t="s">
        <v>2881</v>
      </c>
      <c r="TQY1337" s="4" t="s">
        <v>2881</v>
      </c>
      <c r="TQZ1337" s="4" t="s">
        <v>2881</v>
      </c>
      <c r="TRA1337" s="4" t="s">
        <v>2881</v>
      </c>
      <c r="TRB1337" s="4" t="s">
        <v>2881</v>
      </c>
      <c r="TRC1337" s="4" t="s">
        <v>2881</v>
      </c>
      <c r="TRD1337" s="4" t="s">
        <v>2881</v>
      </c>
      <c r="TRE1337" s="4" t="s">
        <v>2881</v>
      </c>
      <c r="TRF1337" s="4" t="s">
        <v>2881</v>
      </c>
      <c r="TRG1337" s="4" t="s">
        <v>2881</v>
      </c>
      <c r="TRH1337" s="4" t="s">
        <v>2881</v>
      </c>
      <c r="TRI1337" s="4" t="s">
        <v>2881</v>
      </c>
      <c r="TRJ1337" s="4" t="s">
        <v>2881</v>
      </c>
      <c r="TRK1337" s="4" t="s">
        <v>2881</v>
      </c>
      <c r="TRL1337" s="4" t="s">
        <v>2881</v>
      </c>
      <c r="TRM1337" s="4" t="s">
        <v>2881</v>
      </c>
      <c r="TRN1337" s="4" t="s">
        <v>2881</v>
      </c>
      <c r="TRO1337" s="4" t="s">
        <v>2881</v>
      </c>
      <c r="TRP1337" s="4" t="s">
        <v>2881</v>
      </c>
      <c r="TRQ1337" s="4" t="s">
        <v>2881</v>
      </c>
      <c r="TRR1337" s="4" t="s">
        <v>2881</v>
      </c>
      <c r="TRS1337" s="4" t="s">
        <v>2881</v>
      </c>
      <c r="TRT1337" s="4" t="s">
        <v>2881</v>
      </c>
      <c r="TRU1337" s="4" t="s">
        <v>2881</v>
      </c>
      <c r="TRV1337" s="4" t="s">
        <v>2881</v>
      </c>
      <c r="TRW1337" s="4" t="s">
        <v>2881</v>
      </c>
      <c r="TRX1337" s="4" t="s">
        <v>2881</v>
      </c>
      <c r="TRY1337" s="4" t="s">
        <v>2881</v>
      </c>
      <c r="TRZ1337" s="4" t="s">
        <v>2881</v>
      </c>
      <c r="TSA1337" s="4" t="s">
        <v>2881</v>
      </c>
      <c r="TSB1337" s="4" t="s">
        <v>2881</v>
      </c>
      <c r="TSC1337" s="4" t="s">
        <v>2881</v>
      </c>
      <c r="TSD1337" s="4" t="s">
        <v>2881</v>
      </c>
      <c r="TSE1337" s="4" t="s">
        <v>2881</v>
      </c>
      <c r="TSF1337" s="4" t="s">
        <v>2881</v>
      </c>
      <c r="TSG1337" s="4" t="s">
        <v>2881</v>
      </c>
      <c r="TSH1337" s="4" t="s">
        <v>2881</v>
      </c>
      <c r="TSI1337" s="4" t="s">
        <v>2881</v>
      </c>
      <c r="TSJ1337" s="4" t="s">
        <v>2881</v>
      </c>
      <c r="TSK1337" s="4" t="s">
        <v>2881</v>
      </c>
      <c r="TSL1337" s="4" t="s">
        <v>2881</v>
      </c>
      <c r="TSM1337" s="4" t="s">
        <v>2881</v>
      </c>
      <c r="TSN1337" s="4" t="s">
        <v>2881</v>
      </c>
      <c r="TSO1337" s="4" t="s">
        <v>2881</v>
      </c>
      <c r="TSP1337" s="4" t="s">
        <v>2881</v>
      </c>
      <c r="TSQ1337" s="4" t="s">
        <v>2881</v>
      </c>
      <c r="TSR1337" s="4" t="s">
        <v>2881</v>
      </c>
      <c r="TSS1337" s="4" t="s">
        <v>2881</v>
      </c>
      <c r="TST1337" s="4" t="s">
        <v>2881</v>
      </c>
      <c r="TSU1337" s="4" t="s">
        <v>2881</v>
      </c>
      <c r="TSV1337" s="4" t="s">
        <v>2881</v>
      </c>
      <c r="TSW1337" s="4" t="s">
        <v>2881</v>
      </c>
      <c r="TSX1337" s="4" t="s">
        <v>2881</v>
      </c>
      <c r="TSY1337" s="4" t="s">
        <v>2881</v>
      </c>
      <c r="TSZ1337" s="4" t="s">
        <v>2881</v>
      </c>
      <c r="TTA1337" s="4" t="s">
        <v>2881</v>
      </c>
      <c r="TTB1337" s="4" t="s">
        <v>2881</v>
      </c>
      <c r="TTC1337" s="4" t="s">
        <v>2881</v>
      </c>
      <c r="TTD1337" s="4" t="s">
        <v>2881</v>
      </c>
      <c r="TTE1337" s="4" t="s">
        <v>2881</v>
      </c>
      <c r="TTF1337" s="4" t="s">
        <v>2881</v>
      </c>
      <c r="TTG1337" s="4" t="s">
        <v>2881</v>
      </c>
      <c r="TTH1337" s="4" t="s">
        <v>2881</v>
      </c>
      <c r="TTI1337" s="4" t="s">
        <v>2881</v>
      </c>
      <c r="TTJ1337" s="4" t="s">
        <v>2881</v>
      </c>
      <c r="TTK1337" s="4" t="s">
        <v>2881</v>
      </c>
      <c r="TTL1337" s="4" t="s">
        <v>2881</v>
      </c>
      <c r="TTM1337" s="4" t="s">
        <v>2881</v>
      </c>
      <c r="TTN1337" s="4" t="s">
        <v>2881</v>
      </c>
      <c r="TTO1337" s="4" t="s">
        <v>2881</v>
      </c>
      <c r="TTP1337" s="4" t="s">
        <v>2881</v>
      </c>
      <c r="TTQ1337" s="4" t="s">
        <v>2881</v>
      </c>
      <c r="TTR1337" s="4" t="s">
        <v>2881</v>
      </c>
      <c r="TTS1337" s="4" t="s">
        <v>2881</v>
      </c>
      <c r="TTT1337" s="4" t="s">
        <v>2881</v>
      </c>
      <c r="TTU1337" s="4" t="s">
        <v>2881</v>
      </c>
      <c r="TTV1337" s="4" t="s">
        <v>2881</v>
      </c>
      <c r="TTW1337" s="4" t="s">
        <v>2881</v>
      </c>
      <c r="TTX1337" s="4" t="s">
        <v>2881</v>
      </c>
      <c r="TTY1337" s="4" t="s">
        <v>2881</v>
      </c>
      <c r="TTZ1337" s="4" t="s">
        <v>2881</v>
      </c>
      <c r="TUA1337" s="4" t="s">
        <v>2881</v>
      </c>
      <c r="TUB1337" s="4" t="s">
        <v>2881</v>
      </c>
      <c r="TUC1337" s="4" t="s">
        <v>2881</v>
      </c>
      <c r="TUD1337" s="4" t="s">
        <v>2881</v>
      </c>
      <c r="TUE1337" s="4" t="s">
        <v>2881</v>
      </c>
      <c r="TUF1337" s="4" t="s">
        <v>2881</v>
      </c>
      <c r="TUG1337" s="4" t="s">
        <v>2881</v>
      </c>
      <c r="TUH1337" s="4" t="s">
        <v>2881</v>
      </c>
      <c r="TUI1337" s="4" t="s">
        <v>2881</v>
      </c>
      <c r="TUJ1337" s="4" t="s">
        <v>2881</v>
      </c>
      <c r="TUK1337" s="4" t="s">
        <v>2881</v>
      </c>
      <c r="TUL1337" s="4" t="s">
        <v>2881</v>
      </c>
      <c r="TUM1337" s="4" t="s">
        <v>2881</v>
      </c>
      <c r="TUN1337" s="4" t="s">
        <v>2881</v>
      </c>
      <c r="TUO1337" s="4" t="s">
        <v>2881</v>
      </c>
      <c r="TUP1337" s="4" t="s">
        <v>2881</v>
      </c>
      <c r="TUQ1337" s="4" t="s">
        <v>2881</v>
      </c>
      <c r="TUR1337" s="4" t="s">
        <v>2881</v>
      </c>
      <c r="TUS1337" s="4" t="s">
        <v>2881</v>
      </c>
      <c r="TUT1337" s="4" t="s">
        <v>2881</v>
      </c>
      <c r="TUU1337" s="4" t="s">
        <v>2881</v>
      </c>
      <c r="TUV1337" s="4" t="s">
        <v>2881</v>
      </c>
      <c r="TUW1337" s="4" t="s">
        <v>2881</v>
      </c>
      <c r="TUX1337" s="4" t="s">
        <v>2881</v>
      </c>
      <c r="TUY1337" s="4" t="s">
        <v>2881</v>
      </c>
      <c r="TUZ1337" s="4" t="s">
        <v>2881</v>
      </c>
      <c r="TVA1337" s="4" t="s">
        <v>2881</v>
      </c>
      <c r="TVB1337" s="4" t="s">
        <v>2881</v>
      </c>
      <c r="TVC1337" s="4" t="s">
        <v>2881</v>
      </c>
      <c r="TVD1337" s="4" t="s">
        <v>2881</v>
      </c>
      <c r="TVE1337" s="4" t="s">
        <v>2881</v>
      </c>
      <c r="TVF1337" s="4" t="s">
        <v>2881</v>
      </c>
      <c r="TVG1337" s="4" t="s">
        <v>2881</v>
      </c>
      <c r="TVH1337" s="4" t="s">
        <v>2881</v>
      </c>
      <c r="TVI1337" s="4" t="s">
        <v>2881</v>
      </c>
      <c r="TVJ1337" s="4" t="s">
        <v>2881</v>
      </c>
      <c r="TVK1337" s="4" t="s">
        <v>2881</v>
      </c>
      <c r="TVL1337" s="4" t="s">
        <v>2881</v>
      </c>
      <c r="TVM1337" s="4" t="s">
        <v>2881</v>
      </c>
      <c r="TVN1337" s="4" t="s">
        <v>2881</v>
      </c>
      <c r="TVO1337" s="4" t="s">
        <v>2881</v>
      </c>
      <c r="TVP1337" s="4" t="s">
        <v>2881</v>
      </c>
      <c r="TVQ1337" s="4" t="s">
        <v>2881</v>
      </c>
      <c r="TVR1337" s="4" t="s">
        <v>2881</v>
      </c>
      <c r="TVS1337" s="4" t="s">
        <v>2881</v>
      </c>
      <c r="TVT1337" s="4" t="s">
        <v>2881</v>
      </c>
      <c r="TVU1337" s="4" t="s">
        <v>2881</v>
      </c>
      <c r="TVV1337" s="4" t="s">
        <v>2881</v>
      </c>
      <c r="TVW1337" s="4" t="s">
        <v>2881</v>
      </c>
      <c r="TVX1337" s="4" t="s">
        <v>2881</v>
      </c>
      <c r="TVY1337" s="4" t="s">
        <v>2881</v>
      </c>
      <c r="TVZ1337" s="4" t="s">
        <v>2881</v>
      </c>
      <c r="TWA1337" s="4" t="s">
        <v>2881</v>
      </c>
      <c r="TWB1337" s="4" t="s">
        <v>2881</v>
      </c>
      <c r="TWC1337" s="4" t="s">
        <v>2881</v>
      </c>
      <c r="TWD1337" s="4" t="s">
        <v>2881</v>
      </c>
      <c r="TWE1337" s="4" t="s">
        <v>2881</v>
      </c>
      <c r="TWF1337" s="4" t="s">
        <v>2881</v>
      </c>
      <c r="TWG1337" s="4" t="s">
        <v>2881</v>
      </c>
      <c r="TWH1337" s="4" t="s">
        <v>2881</v>
      </c>
      <c r="TWI1337" s="4" t="s">
        <v>2881</v>
      </c>
      <c r="TWJ1337" s="4" t="s">
        <v>2881</v>
      </c>
      <c r="TWK1337" s="4" t="s">
        <v>2881</v>
      </c>
      <c r="TWL1337" s="4" t="s">
        <v>2881</v>
      </c>
      <c r="TWM1337" s="4" t="s">
        <v>2881</v>
      </c>
      <c r="TWN1337" s="4" t="s">
        <v>2881</v>
      </c>
      <c r="TWO1337" s="4" t="s">
        <v>2881</v>
      </c>
      <c r="TWP1337" s="4" t="s">
        <v>2881</v>
      </c>
      <c r="TWQ1337" s="4" t="s">
        <v>2881</v>
      </c>
      <c r="TWR1337" s="4" t="s">
        <v>2881</v>
      </c>
      <c r="TWS1337" s="4" t="s">
        <v>2881</v>
      </c>
      <c r="TWT1337" s="4" t="s">
        <v>2881</v>
      </c>
      <c r="TWU1337" s="4" t="s">
        <v>2881</v>
      </c>
      <c r="TWV1337" s="4" t="s">
        <v>2881</v>
      </c>
      <c r="TWW1337" s="4" t="s">
        <v>2881</v>
      </c>
      <c r="TWX1337" s="4" t="s">
        <v>2881</v>
      </c>
      <c r="TWY1337" s="4" t="s">
        <v>2881</v>
      </c>
      <c r="TWZ1337" s="4" t="s">
        <v>2881</v>
      </c>
      <c r="TXA1337" s="4" t="s">
        <v>2881</v>
      </c>
      <c r="TXB1337" s="4" t="s">
        <v>2881</v>
      </c>
      <c r="TXC1337" s="4" t="s">
        <v>2881</v>
      </c>
      <c r="TXD1337" s="4" t="s">
        <v>2881</v>
      </c>
      <c r="TXE1337" s="4" t="s">
        <v>2881</v>
      </c>
      <c r="TXF1337" s="4" t="s">
        <v>2881</v>
      </c>
      <c r="TXG1337" s="4" t="s">
        <v>2881</v>
      </c>
      <c r="TXH1337" s="4" t="s">
        <v>2881</v>
      </c>
      <c r="TXI1337" s="4" t="s">
        <v>2881</v>
      </c>
      <c r="TXJ1337" s="4" t="s">
        <v>2881</v>
      </c>
      <c r="TXK1337" s="4" t="s">
        <v>2881</v>
      </c>
      <c r="TXL1337" s="4" t="s">
        <v>2881</v>
      </c>
      <c r="TXM1337" s="4" t="s">
        <v>2881</v>
      </c>
      <c r="TXN1337" s="4" t="s">
        <v>2881</v>
      </c>
      <c r="TXO1337" s="4" t="s">
        <v>2881</v>
      </c>
      <c r="TXP1337" s="4" t="s">
        <v>2881</v>
      </c>
      <c r="TXQ1337" s="4" t="s">
        <v>2881</v>
      </c>
      <c r="TXR1337" s="4" t="s">
        <v>2881</v>
      </c>
      <c r="TXS1337" s="4" t="s">
        <v>2881</v>
      </c>
      <c r="TXT1337" s="4" t="s">
        <v>2881</v>
      </c>
      <c r="TXU1337" s="4" t="s">
        <v>2881</v>
      </c>
      <c r="TXV1337" s="4" t="s">
        <v>2881</v>
      </c>
      <c r="TXW1337" s="4" t="s">
        <v>2881</v>
      </c>
      <c r="TXX1337" s="4" t="s">
        <v>2881</v>
      </c>
      <c r="TXY1337" s="4" t="s">
        <v>2881</v>
      </c>
      <c r="TXZ1337" s="4" t="s">
        <v>2881</v>
      </c>
      <c r="TYA1337" s="4" t="s">
        <v>2881</v>
      </c>
      <c r="TYB1337" s="4" t="s">
        <v>2881</v>
      </c>
      <c r="TYC1337" s="4" t="s">
        <v>2881</v>
      </c>
      <c r="TYD1337" s="4" t="s">
        <v>2881</v>
      </c>
      <c r="TYE1337" s="4" t="s">
        <v>2881</v>
      </c>
      <c r="TYF1337" s="4" t="s">
        <v>2881</v>
      </c>
      <c r="TYG1337" s="4" t="s">
        <v>2881</v>
      </c>
      <c r="TYH1337" s="4" t="s">
        <v>2881</v>
      </c>
      <c r="TYI1337" s="4" t="s">
        <v>2881</v>
      </c>
      <c r="TYJ1337" s="4" t="s">
        <v>2881</v>
      </c>
      <c r="TYK1337" s="4" t="s">
        <v>2881</v>
      </c>
      <c r="TYL1337" s="4" t="s">
        <v>2881</v>
      </c>
      <c r="TYM1337" s="4" t="s">
        <v>2881</v>
      </c>
      <c r="TYN1337" s="4" t="s">
        <v>2881</v>
      </c>
      <c r="TYO1337" s="4" t="s">
        <v>2881</v>
      </c>
      <c r="TYP1337" s="4" t="s">
        <v>2881</v>
      </c>
      <c r="TYQ1337" s="4" t="s">
        <v>2881</v>
      </c>
      <c r="TYR1337" s="4" t="s">
        <v>2881</v>
      </c>
      <c r="TYS1337" s="4" t="s">
        <v>2881</v>
      </c>
      <c r="TYT1337" s="4" t="s">
        <v>2881</v>
      </c>
      <c r="TYU1337" s="4" t="s">
        <v>2881</v>
      </c>
      <c r="TYV1337" s="4" t="s">
        <v>2881</v>
      </c>
      <c r="TYW1337" s="4" t="s">
        <v>2881</v>
      </c>
      <c r="TYX1337" s="4" t="s">
        <v>2881</v>
      </c>
      <c r="TYY1337" s="4" t="s">
        <v>2881</v>
      </c>
      <c r="TYZ1337" s="4" t="s">
        <v>2881</v>
      </c>
      <c r="TZA1337" s="4" t="s">
        <v>2881</v>
      </c>
      <c r="TZB1337" s="4" t="s">
        <v>2881</v>
      </c>
      <c r="TZC1337" s="4" t="s">
        <v>2881</v>
      </c>
      <c r="TZD1337" s="4" t="s">
        <v>2881</v>
      </c>
      <c r="TZE1337" s="4" t="s">
        <v>2881</v>
      </c>
      <c r="TZF1337" s="4" t="s">
        <v>2881</v>
      </c>
      <c r="TZG1337" s="4" t="s">
        <v>2881</v>
      </c>
      <c r="TZH1337" s="4" t="s">
        <v>2881</v>
      </c>
      <c r="TZI1337" s="4" t="s">
        <v>2881</v>
      </c>
      <c r="TZJ1337" s="4" t="s">
        <v>2881</v>
      </c>
      <c r="TZK1337" s="4" t="s">
        <v>2881</v>
      </c>
      <c r="TZL1337" s="4" t="s">
        <v>2881</v>
      </c>
      <c r="TZM1337" s="4" t="s">
        <v>2881</v>
      </c>
      <c r="TZN1337" s="4" t="s">
        <v>2881</v>
      </c>
      <c r="TZO1337" s="4" t="s">
        <v>2881</v>
      </c>
      <c r="TZP1337" s="4" t="s">
        <v>2881</v>
      </c>
      <c r="TZQ1337" s="4" t="s">
        <v>2881</v>
      </c>
      <c r="TZR1337" s="4" t="s">
        <v>2881</v>
      </c>
      <c r="TZS1337" s="4" t="s">
        <v>2881</v>
      </c>
      <c r="TZT1337" s="4" t="s">
        <v>2881</v>
      </c>
      <c r="TZU1337" s="4" t="s">
        <v>2881</v>
      </c>
      <c r="TZV1337" s="4" t="s">
        <v>2881</v>
      </c>
      <c r="TZW1337" s="4" t="s">
        <v>2881</v>
      </c>
      <c r="TZX1337" s="4" t="s">
        <v>2881</v>
      </c>
      <c r="TZY1337" s="4" t="s">
        <v>2881</v>
      </c>
      <c r="TZZ1337" s="4" t="s">
        <v>2881</v>
      </c>
      <c r="UAA1337" s="4" t="s">
        <v>2881</v>
      </c>
      <c r="UAB1337" s="4" t="s">
        <v>2881</v>
      </c>
      <c r="UAC1337" s="4" t="s">
        <v>2881</v>
      </c>
      <c r="UAD1337" s="4" t="s">
        <v>2881</v>
      </c>
      <c r="UAE1337" s="4" t="s">
        <v>2881</v>
      </c>
      <c r="UAF1337" s="4" t="s">
        <v>2881</v>
      </c>
      <c r="UAG1337" s="4" t="s">
        <v>2881</v>
      </c>
      <c r="UAH1337" s="4" t="s">
        <v>2881</v>
      </c>
      <c r="UAI1337" s="4" t="s">
        <v>2881</v>
      </c>
      <c r="UAJ1337" s="4" t="s">
        <v>2881</v>
      </c>
      <c r="UAK1337" s="4" t="s">
        <v>2881</v>
      </c>
      <c r="UAL1337" s="4" t="s">
        <v>2881</v>
      </c>
      <c r="UAM1337" s="4" t="s">
        <v>2881</v>
      </c>
      <c r="UAN1337" s="4" t="s">
        <v>2881</v>
      </c>
      <c r="UAO1337" s="4" t="s">
        <v>2881</v>
      </c>
      <c r="UAP1337" s="4" t="s">
        <v>2881</v>
      </c>
      <c r="UAQ1337" s="4" t="s">
        <v>2881</v>
      </c>
      <c r="UAR1337" s="4" t="s">
        <v>2881</v>
      </c>
      <c r="UAS1337" s="4" t="s">
        <v>2881</v>
      </c>
      <c r="UAT1337" s="4" t="s">
        <v>2881</v>
      </c>
      <c r="UAU1337" s="4" t="s">
        <v>2881</v>
      </c>
      <c r="UAV1337" s="4" t="s">
        <v>2881</v>
      </c>
      <c r="UAW1337" s="4" t="s">
        <v>2881</v>
      </c>
      <c r="UAX1337" s="4" t="s">
        <v>2881</v>
      </c>
      <c r="UAY1337" s="4" t="s">
        <v>2881</v>
      </c>
      <c r="UAZ1337" s="4" t="s">
        <v>2881</v>
      </c>
      <c r="UBA1337" s="4" t="s">
        <v>2881</v>
      </c>
      <c r="UBB1337" s="4" t="s">
        <v>2881</v>
      </c>
      <c r="UBC1337" s="4" t="s">
        <v>2881</v>
      </c>
      <c r="UBD1337" s="4" t="s">
        <v>2881</v>
      </c>
      <c r="UBE1337" s="4" t="s">
        <v>2881</v>
      </c>
      <c r="UBF1337" s="4" t="s">
        <v>2881</v>
      </c>
      <c r="UBG1337" s="4" t="s">
        <v>2881</v>
      </c>
      <c r="UBH1337" s="4" t="s">
        <v>2881</v>
      </c>
      <c r="UBI1337" s="4" t="s">
        <v>2881</v>
      </c>
      <c r="UBJ1337" s="4" t="s">
        <v>2881</v>
      </c>
      <c r="UBK1337" s="4" t="s">
        <v>2881</v>
      </c>
      <c r="UBL1337" s="4" t="s">
        <v>2881</v>
      </c>
      <c r="UBM1337" s="4" t="s">
        <v>2881</v>
      </c>
      <c r="UBN1337" s="4" t="s">
        <v>2881</v>
      </c>
      <c r="UBO1337" s="4" t="s">
        <v>2881</v>
      </c>
      <c r="UBP1337" s="4" t="s">
        <v>2881</v>
      </c>
      <c r="UBQ1337" s="4" t="s">
        <v>2881</v>
      </c>
      <c r="UBR1337" s="4" t="s">
        <v>2881</v>
      </c>
      <c r="UBS1337" s="4" t="s">
        <v>2881</v>
      </c>
      <c r="UBT1337" s="4" t="s">
        <v>2881</v>
      </c>
      <c r="UBU1337" s="4" t="s">
        <v>2881</v>
      </c>
      <c r="UBV1337" s="4" t="s">
        <v>2881</v>
      </c>
      <c r="UBW1337" s="4" t="s">
        <v>2881</v>
      </c>
      <c r="UBX1337" s="4" t="s">
        <v>2881</v>
      </c>
      <c r="UBY1337" s="4" t="s">
        <v>2881</v>
      </c>
      <c r="UBZ1337" s="4" t="s">
        <v>2881</v>
      </c>
      <c r="UCA1337" s="4" t="s">
        <v>2881</v>
      </c>
      <c r="UCB1337" s="4" t="s">
        <v>2881</v>
      </c>
      <c r="UCC1337" s="4" t="s">
        <v>2881</v>
      </c>
      <c r="UCD1337" s="4" t="s">
        <v>2881</v>
      </c>
      <c r="UCE1337" s="4" t="s">
        <v>2881</v>
      </c>
      <c r="UCF1337" s="4" t="s">
        <v>2881</v>
      </c>
      <c r="UCG1337" s="4" t="s">
        <v>2881</v>
      </c>
      <c r="UCH1337" s="4" t="s">
        <v>2881</v>
      </c>
      <c r="UCI1337" s="4" t="s">
        <v>2881</v>
      </c>
      <c r="UCJ1337" s="4" t="s">
        <v>2881</v>
      </c>
      <c r="UCK1337" s="4" t="s">
        <v>2881</v>
      </c>
      <c r="UCL1337" s="4" t="s">
        <v>2881</v>
      </c>
      <c r="UCM1337" s="4" t="s">
        <v>2881</v>
      </c>
      <c r="UCN1337" s="4" t="s">
        <v>2881</v>
      </c>
      <c r="UCO1337" s="4" t="s">
        <v>2881</v>
      </c>
      <c r="UCP1337" s="4" t="s">
        <v>2881</v>
      </c>
      <c r="UCQ1337" s="4" t="s">
        <v>2881</v>
      </c>
      <c r="UCR1337" s="4" t="s">
        <v>2881</v>
      </c>
      <c r="UCS1337" s="4" t="s">
        <v>2881</v>
      </c>
      <c r="UCT1337" s="4" t="s">
        <v>2881</v>
      </c>
      <c r="UCU1337" s="4" t="s">
        <v>2881</v>
      </c>
      <c r="UCV1337" s="4" t="s">
        <v>2881</v>
      </c>
      <c r="UCW1337" s="4" t="s">
        <v>2881</v>
      </c>
      <c r="UCX1337" s="4" t="s">
        <v>2881</v>
      </c>
      <c r="UCY1337" s="4" t="s">
        <v>2881</v>
      </c>
      <c r="UCZ1337" s="4" t="s">
        <v>2881</v>
      </c>
      <c r="UDA1337" s="4" t="s">
        <v>2881</v>
      </c>
      <c r="UDB1337" s="4" t="s">
        <v>2881</v>
      </c>
      <c r="UDC1337" s="4" t="s">
        <v>2881</v>
      </c>
      <c r="UDD1337" s="4" t="s">
        <v>2881</v>
      </c>
      <c r="UDE1337" s="4" t="s">
        <v>2881</v>
      </c>
      <c r="UDF1337" s="4" t="s">
        <v>2881</v>
      </c>
      <c r="UDG1337" s="4" t="s">
        <v>2881</v>
      </c>
      <c r="UDH1337" s="4" t="s">
        <v>2881</v>
      </c>
      <c r="UDI1337" s="4" t="s">
        <v>2881</v>
      </c>
      <c r="UDJ1337" s="4" t="s">
        <v>2881</v>
      </c>
      <c r="UDK1337" s="4" t="s">
        <v>2881</v>
      </c>
      <c r="UDL1337" s="4" t="s">
        <v>2881</v>
      </c>
      <c r="UDM1337" s="4" t="s">
        <v>2881</v>
      </c>
      <c r="UDN1337" s="4" t="s">
        <v>2881</v>
      </c>
      <c r="UDO1337" s="4" t="s">
        <v>2881</v>
      </c>
      <c r="UDP1337" s="4" t="s">
        <v>2881</v>
      </c>
      <c r="UDQ1337" s="4" t="s">
        <v>2881</v>
      </c>
      <c r="UDR1337" s="4" t="s">
        <v>2881</v>
      </c>
      <c r="UDS1337" s="4" t="s">
        <v>2881</v>
      </c>
      <c r="UDT1337" s="4" t="s">
        <v>2881</v>
      </c>
      <c r="UDU1337" s="4" t="s">
        <v>2881</v>
      </c>
      <c r="UDV1337" s="4" t="s">
        <v>2881</v>
      </c>
      <c r="UDW1337" s="4" t="s">
        <v>2881</v>
      </c>
      <c r="UDX1337" s="4" t="s">
        <v>2881</v>
      </c>
      <c r="UDY1337" s="4" t="s">
        <v>2881</v>
      </c>
      <c r="UDZ1337" s="4" t="s">
        <v>2881</v>
      </c>
      <c r="UEA1337" s="4" t="s">
        <v>2881</v>
      </c>
      <c r="UEB1337" s="4" t="s">
        <v>2881</v>
      </c>
      <c r="UEC1337" s="4" t="s">
        <v>2881</v>
      </c>
      <c r="UED1337" s="4" t="s">
        <v>2881</v>
      </c>
      <c r="UEE1337" s="4" t="s">
        <v>2881</v>
      </c>
      <c r="UEF1337" s="4" t="s">
        <v>2881</v>
      </c>
      <c r="UEG1337" s="4" t="s">
        <v>2881</v>
      </c>
      <c r="UEH1337" s="4" t="s">
        <v>2881</v>
      </c>
      <c r="UEI1337" s="4" t="s">
        <v>2881</v>
      </c>
      <c r="UEJ1337" s="4" t="s">
        <v>2881</v>
      </c>
      <c r="UEK1337" s="4" t="s">
        <v>2881</v>
      </c>
      <c r="UEL1337" s="4" t="s">
        <v>2881</v>
      </c>
      <c r="UEM1337" s="4" t="s">
        <v>2881</v>
      </c>
      <c r="UEN1337" s="4" t="s">
        <v>2881</v>
      </c>
      <c r="UEO1337" s="4" t="s">
        <v>2881</v>
      </c>
      <c r="UEP1337" s="4" t="s">
        <v>2881</v>
      </c>
      <c r="UEQ1337" s="4" t="s">
        <v>2881</v>
      </c>
      <c r="UER1337" s="4" t="s">
        <v>2881</v>
      </c>
      <c r="UES1337" s="4" t="s">
        <v>2881</v>
      </c>
      <c r="UET1337" s="4" t="s">
        <v>2881</v>
      </c>
      <c r="UEU1337" s="4" t="s">
        <v>2881</v>
      </c>
      <c r="UEV1337" s="4" t="s">
        <v>2881</v>
      </c>
      <c r="UEW1337" s="4" t="s">
        <v>2881</v>
      </c>
      <c r="UEX1337" s="4" t="s">
        <v>2881</v>
      </c>
      <c r="UEY1337" s="4" t="s">
        <v>2881</v>
      </c>
      <c r="UEZ1337" s="4" t="s">
        <v>2881</v>
      </c>
      <c r="UFA1337" s="4" t="s">
        <v>2881</v>
      </c>
      <c r="UFB1337" s="4" t="s">
        <v>2881</v>
      </c>
      <c r="UFC1337" s="4" t="s">
        <v>2881</v>
      </c>
      <c r="UFD1337" s="4" t="s">
        <v>2881</v>
      </c>
      <c r="UFE1337" s="4" t="s">
        <v>2881</v>
      </c>
      <c r="UFF1337" s="4" t="s">
        <v>2881</v>
      </c>
      <c r="UFG1337" s="4" t="s">
        <v>2881</v>
      </c>
      <c r="UFH1337" s="4" t="s">
        <v>2881</v>
      </c>
      <c r="UFI1337" s="4" t="s">
        <v>2881</v>
      </c>
      <c r="UFJ1337" s="4" t="s">
        <v>2881</v>
      </c>
      <c r="UFK1337" s="4" t="s">
        <v>2881</v>
      </c>
      <c r="UFL1337" s="4" t="s">
        <v>2881</v>
      </c>
      <c r="UFM1337" s="4" t="s">
        <v>2881</v>
      </c>
      <c r="UFN1337" s="4" t="s">
        <v>2881</v>
      </c>
      <c r="UFO1337" s="4" t="s">
        <v>2881</v>
      </c>
      <c r="UFP1337" s="4" t="s">
        <v>2881</v>
      </c>
      <c r="UFQ1337" s="4" t="s">
        <v>2881</v>
      </c>
      <c r="UFR1337" s="4" t="s">
        <v>2881</v>
      </c>
      <c r="UFS1337" s="4" t="s">
        <v>2881</v>
      </c>
      <c r="UFT1337" s="4" t="s">
        <v>2881</v>
      </c>
      <c r="UFU1337" s="4" t="s">
        <v>2881</v>
      </c>
      <c r="UFV1337" s="4" t="s">
        <v>2881</v>
      </c>
      <c r="UFW1337" s="4" t="s">
        <v>2881</v>
      </c>
      <c r="UFX1337" s="4" t="s">
        <v>2881</v>
      </c>
      <c r="UFY1337" s="4" t="s">
        <v>2881</v>
      </c>
      <c r="UFZ1337" s="4" t="s">
        <v>2881</v>
      </c>
      <c r="UGA1337" s="4" t="s">
        <v>2881</v>
      </c>
      <c r="UGB1337" s="4" t="s">
        <v>2881</v>
      </c>
      <c r="UGC1337" s="4" t="s">
        <v>2881</v>
      </c>
      <c r="UGD1337" s="4" t="s">
        <v>2881</v>
      </c>
      <c r="UGE1337" s="4" t="s">
        <v>2881</v>
      </c>
      <c r="UGF1337" s="4" t="s">
        <v>2881</v>
      </c>
      <c r="UGG1337" s="4" t="s">
        <v>2881</v>
      </c>
      <c r="UGH1337" s="4" t="s">
        <v>2881</v>
      </c>
      <c r="UGI1337" s="4" t="s">
        <v>2881</v>
      </c>
      <c r="UGJ1337" s="4" t="s">
        <v>2881</v>
      </c>
      <c r="UGK1337" s="4" t="s">
        <v>2881</v>
      </c>
      <c r="UGL1337" s="4" t="s">
        <v>2881</v>
      </c>
      <c r="UGM1337" s="4" t="s">
        <v>2881</v>
      </c>
      <c r="UGN1337" s="4" t="s">
        <v>2881</v>
      </c>
      <c r="UGO1337" s="4" t="s">
        <v>2881</v>
      </c>
      <c r="UGP1337" s="4" t="s">
        <v>2881</v>
      </c>
      <c r="UGQ1337" s="4" t="s">
        <v>2881</v>
      </c>
      <c r="UGR1337" s="4" t="s">
        <v>2881</v>
      </c>
      <c r="UGS1337" s="4" t="s">
        <v>2881</v>
      </c>
      <c r="UGT1337" s="4" t="s">
        <v>2881</v>
      </c>
      <c r="UGU1337" s="4" t="s">
        <v>2881</v>
      </c>
      <c r="UGV1337" s="4" t="s">
        <v>2881</v>
      </c>
      <c r="UGW1337" s="4" t="s">
        <v>2881</v>
      </c>
      <c r="UGX1337" s="4" t="s">
        <v>2881</v>
      </c>
      <c r="UGY1337" s="4" t="s">
        <v>2881</v>
      </c>
      <c r="UGZ1337" s="4" t="s">
        <v>2881</v>
      </c>
      <c r="UHA1337" s="4" t="s">
        <v>2881</v>
      </c>
      <c r="UHB1337" s="4" t="s">
        <v>2881</v>
      </c>
      <c r="UHC1337" s="4" t="s">
        <v>2881</v>
      </c>
      <c r="UHD1337" s="4" t="s">
        <v>2881</v>
      </c>
      <c r="UHE1337" s="4" t="s">
        <v>2881</v>
      </c>
      <c r="UHF1337" s="4" t="s">
        <v>2881</v>
      </c>
      <c r="UHG1337" s="4" t="s">
        <v>2881</v>
      </c>
      <c r="UHH1337" s="4" t="s">
        <v>2881</v>
      </c>
      <c r="UHI1337" s="4" t="s">
        <v>2881</v>
      </c>
      <c r="UHJ1337" s="4" t="s">
        <v>2881</v>
      </c>
      <c r="UHK1337" s="4" t="s">
        <v>2881</v>
      </c>
      <c r="UHL1337" s="4" t="s">
        <v>2881</v>
      </c>
      <c r="UHM1337" s="4" t="s">
        <v>2881</v>
      </c>
      <c r="UHN1337" s="4" t="s">
        <v>2881</v>
      </c>
      <c r="UHO1337" s="4" t="s">
        <v>2881</v>
      </c>
      <c r="UHP1337" s="4" t="s">
        <v>2881</v>
      </c>
      <c r="UHQ1337" s="4" t="s">
        <v>2881</v>
      </c>
      <c r="UHR1337" s="4" t="s">
        <v>2881</v>
      </c>
      <c r="UHS1337" s="4" t="s">
        <v>2881</v>
      </c>
      <c r="UHT1337" s="4" t="s">
        <v>2881</v>
      </c>
      <c r="UHU1337" s="4" t="s">
        <v>2881</v>
      </c>
      <c r="UHV1337" s="4" t="s">
        <v>2881</v>
      </c>
      <c r="UHW1337" s="4" t="s">
        <v>2881</v>
      </c>
      <c r="UHX1337" s="4" t="s">
        <v>2881</v>
      </c>
      <c r="UHY1337" s="4" t="s">
        <v>2881</v>
      </c>
      <c r="UHZ1337" s="4" t="s">
        <v>2881</v>
      </c>
      <c r="UIA1337" s="4" t="s">
        <v>2881</v>
      </c>
      <c r="UIB1337" s="4" t="s">
        <v>2881</v>
      </c>
      <c r="UIC1337" s="4" t="s">
        <v>2881</v>
      </c>
      <c r="UID1337" s="4" t="s">
        <v>2881</v>
      </c>
      <c r="UIE1337" s="4" t="s">
        <v>2881</v>
      </c>
      <c r="UIF1337" s="4" t="s">
        <v>2881</v>
      </c>
      <c r="UIG1337" s="4" t="s">
        <v>2881</v>
      </c>
      <c r="UIH1337" s="4" t="s">
        <v>2881</v>
      </c>
      <c r="UII1337" s="4" t="s">
        <v>2881</v>
      </c>
      <c r="UIJ1337" s="4" t="s">
        <v>2881</v>
      </c>
      <c r="UIK1337" s="4" t="s">
        <v>2881</v>
      </c>
      <c r="UIL1337" s="4" t="s">
        <v>2881</v>
      </c>
      <c r="UIM1337" s="4" t="s">
        <v>2881</v>
      </c>
      <c r="UIN1337" s="4" t="s">
        <v>2881</v>
      </c>
      <c r="UIO1337" s="4" t="s">
        <v>2881</v>
      </c>
      <c r="UIP1337" s="4" t="s">
        <v>2881</v>
      </c>
      <c r="UIQ1337" s="4" t="s">
        <v>2881</v>
      </c>
      <c r="UIR1337" s="4" t="s">
        <v>2881</v>
      </c>
      <c r="UIS1337" s="4" t="s">
        <v>2881</v>
      </c>
      <c r="UIT1337" s="4" t="s">
        <v>2881</v>
      </c>
      <c r="UIU1337" s="4" t="s">
        <v>2881</v>
      </c>
      <c r="UIV1337" s="4" t="s">
        <v>2881</v>
      </c>
      <c r="UIW1337" s="4" t="s">
        <v>2881</v>
      </c>
      <c r="UIX1337" s="4" t="s">
        <v>2881</v>
      </c>
      <c r="UIY1337" s="4" t="s">
        <v>2881</v>
      </c>
      <c r="UIZ1337" s="4" t="s">
        <v>2881</v>
      </c>
      <c r="UJA1337" s="4" t="s">
        <v>2881</v>
      </c>
      <c r="UJB1337" s="4" t="s">
        <v>2881</v>
      </c>
      <c r="UJC1337" s="4" t="s">
        <v>2881</v>
      </c>
      <c r="UJD1337" s="4" t="s">
        <v>2881</v>
      </c>
      <c r="UJE1337" s="4" t="s">
        <v>2881</v>
      </c>
      <c r="UJF1337" s="4" t="s">
        <v>2881</v>
      </c>
      <c r="UJG1337" s="4" t="s">
        <v>2881</v>
      </c>
      <c r="UJH1337" s="4" t="s">
        <v>2881</v>
      </c>
      <c r="UJI1337" s="4" t="s">
        <v>2881</v>
      </c>
      <c r="UJJ1337" s="4" t="s">
        <v>2881</v>
      </c>
      <c r="UJK1337" s="4" t="s">
        <v>2881</v>
      </c>
      <c r="UJL1337" s="4" t="s">
        <v>2881</v>
      </c>
      <c r="UJM1337" s="4" t="s">
        <v>2881</v>
      </c>
      <c r="UJN1337" s="4" t="s">
        <v>2881</v>
      </c>
      <c r="UJO1337" s="4" t="s">
        <v>2881</v>
      </c>
      <c r="UJP1337" s="4" t="s">
        <v>2881</v>
      </c>
      <c r="UJQ1337" s="4" t="s">
        <v>2881</v>
      </c>
      <c r="UJR1337" s="4" t="s">
        <v>2881</v>
      </c>
      <c r="UJS1337" s="4" t="s">
        <v>2881</v>
      </c>
      <c r="UJT1337" s="4" t="s">
        <v>2881</v>
      </c>
      <c r="UJU1337" s="4" t="s">
        <v>2881</v>
      </c>
      <c r="UJV1337" s="4" t="s">
        <v>2881</v>
      </c>
      <c r="UJW1337" s="4" t="s">
        <v>2881</v>
      </c>
      <c r="UJX1337" s="4" t="s">
        <v>2881</v>
      </c>
      <c r="UJY1337" s="4" t="s">
        <v>2881</v>
      </c>
      <c r="UJZ1337" s="4" t="s">
        <v>2881</v>
      </c>
      <c r="UKA1337" s="4" t="s">
        <v>2881</v>
      </c>
      <c r="UKB1337" s="4" t="s">
        <v>2881</v>
      </c>
      <c r="UKC1337" s="4" t="s">
        <v>2881</v>
      </c>
      <c r="UKD1337" s="4" t="s">
        <v>2881</v>
      </c>
      <c r="UKE1337" s="4" t="s">
        <v>2881</v>
      </c>
      <c r="UKF1337" s="4" t="s">
        <v>2881</v>
      </c>
      <c r="UKG1337" s="4" t="s">
        <v>2881</v>
      </c>
      <c r="UKH1337" s="4" t="s">
        <v>2881</v>
      </c>
      <c r="UKI1337" s="4" t="s">
        <v>2881</v>
      </c>
      <c r="UKJ1337" s="4" t="s">
        <v>2881</v>
      </c>
      <c r="UKK1337" s="4" t="s">
        <v>2881</v>
      </c>
      <c r="UKL1337" s="4" t="s">
        <v>2881</v>
      </c>
      <c r="UKM1337" s="4" t="s">
        <v>2881</v>
      </c>
      <c r="UKN1337" s="4" t="s">
        <v>2881</v>
      </c>
      <c r="UKO1337" s="4" t="s">
        <v>2881</v>
      </c>
      <c r="UKP1337" s="4" t="s">
        <v>2881</v>
      </c>
      <c r="UKQ1337" s="4" t="s">
        <v>2881</v>
      </c>
      <c r="UKR1337" s="4" t="s">
        <v>2881</v>
      </c>
      <c r="UKS1337" s="4" t="s">
        <v>2881</v>
      </c>
      <c r="UKT1337" s="4" t="s">
        <v>2881</v>
      </c>
      <c r="UKU1337" s="4" t="s">
        <v>2881</v>
      </c>
      <c r="UKV1337" s="4" t="s">
        <v>2881</v>
      </c>
      <c r="UKW1337" s="4" t="s">
        <v>2881</v>
      </c>
      <c r="UKX1337" s="4" t="s">
        <v>2881</v>
      </c>
      <c r="UKY1337" s="4" t="s">
        <v>2881</v>
      </c>
      <c r="UKZ1337" s="4" t="s">
        <v>2881</v>
      </c>
      <c r="ULA1337" s="4" t="s">
        <v>2881</v>
      </c>
      <c r="ULB1337" s="4" t="s">
        <v>2881</v>
      </c>
      <c r="ULC1337" s="4" t="s">
        <v>2881</v>
      </c>
      <c r="ULD1337" s="4" t="s">
        <v>2881</v>
      </c>
      <c r="ULE1337" s="4" t="s">
        <v>2881</v>
      </c>
      <c r="ULF1337" s="4" t="s">
        <v>2881</v>
      </c>
      <c r="ULG1337" s="4" t="s">
        <v>2881</v>
      </c>
      <c r="ULH1337" s="4" t="s">
        <v>2881</v>
      </c>
      <c r="ULI1337" s="4" t="s">
        <v>2881</v>
      </c>
      <c r="ULJ1337" s="4" t="s">
        <v>2881</v>
      </c>
      <c r="ULK1337" s="4" t="s">
        <v>2881</v>
      </c>
      <c r="ULL1337" s="4" t="s">
        <v>2881</v>
      </c>
      <c r="ULM1337" s="4" t="s">
        <v>2881</v>
      </c>
      <c r="ULN1337" s="4" t="s">
        <v>2881</v>
      </c>
      <c r="ULO1337" s="4" t="s">
        <v>2881</v>
      </c>
      <c r="ULP1337" s="4" t="s">
        <v>2881</v>
      </c>
      <c r="ULQ1337" s="4" t="s">
        <v>2881</v>
      </c>
      <c r="ULR1337" s="4" t="s">
        <v>2881</v>
      </c>
      <c r="ULS1337" s="4" t="s">
        <v>2881</v>
      </c>
      <c r="ULT1337" s="4" t="s">
        <v>2881</v>
      </c>
      <c r="ULU1337" s="4" t="s">
        <v>2881</v>
      </c>
      <c r="ULV1337" s="4" t="s">
        <v>2881</v>
      </c>
      <c r="ULW1337" s="4" t="s">
        <v>2881</v>
      </c>
      <c r="ULX1337" s="4" t="s">
        <v>2881</v>
      </c>
      <c r="ULY1337" s="4" t="s">
        <v>2881</v>
      </c>
      <c r="ULZ1337" s="4" t="s">
        <v>2881</v>
      </c>
      <c r="UMA1337" s="4" t="s">
        <v>2881</v>
      </c>
      <c r="UMB1337" s="4" t="s">
        <v>2881</v>
      </c>
      <c r="UMC1337" s="4" t="s">
        <v>2881</v>
      </c>
      <c r="UMD1337" s="4" t="s">
        <v>2881</v>
      </c>
      <c r="UME1337" s="4" t="s">
        <v>2881</v>
      </c>
      <c r="UMF1337" s="4" t="s">
        <v>2881</v>
      </c>
      <c r="UMG1337" s="4" t="s">
        <v>2881</v>
      </c>
      <c r="UMH1337" s="4" t="s">
        <v>2881</v>
      </c>
      <c r="UMI1337" s="4" t="s">
        <v>2881</v>
      </c>
      <c r="UMJ1337" s="4" t="s">
        <v>2881</v>
      </c>
      <c r="UMK1337" s="4" t="s">
        <v>2881</v>
      </c>
      <c r="UML1337" s="4" t="s">
        <v>2881</v>
      </c>
      <c r="UMM1337" s="4" t="s">
        <v>2881</v>
      </c>
      <c r="UMN1337" s="4" t="s">
        <v>2881</v>
      </c>
      <c r="UMO1337" s="4" t="s">
        <v>2881</v>
      </c>
      <c r="UMP1337" s="4" t="s">
        <v>2881</v>
      </c>
      <c r="UMQ1337" s="4" t="s">
        <v>2881</v>
      </c>
      <c r="UMR1337" s="4" t="s">
        <v>2881</v>
      </c>
      <c r="UMS1337" s="4" t="s">
        <v>2881</v>
      </c>
      <c r="UMT1337" s="4" t="s">
        <v>2881</v>
      </c>
      <c r="UMU1337" s="4" t="s">
        <v>2881</v>
      </c>
      <c r="UMV1337" s="4" t="s">
        <v>2881</v>
      </c>
      <c r="UMW1337" s="4" t="s">
        <v>2881</v>
      </c>
      <c r="UMX1337" s="4" t="s">
        <v>2881</v>
      </c>
      <c r="UMY1337" s="4" t="s">
        <v>2881</v>
      </c>
      <c r="UMZ1337" s="4" t="s">
        <v>2881</v>
      </c>
      <c r="UNA1337" s="4" t="s">
        <v>2881</v>
      </c>
      <c r="UNB1337" s="4" t="s">
        <v>2881</v>
      </c>
      <c r="UNC1337" s="4" t="s">
        <v>2881</v>
      </c>
      <c r="UND1337" s="4" t="s">
        <v>2881</v>
      </c>
      <c r="UNE1337" s="4" t="s">
        <v>2881</v>
      </c>
      <c r="UNF1337" s="4" t="s">
        <v>2881</v>
      </c>
      <c r="UNG1337" s="4" t="s">
        <v>2881</v>
      </c>
      <c r="UNH1337" s="4" t="s">
        <v>2881</v>
      </c>
      <c r="UNI1337" s="4" t="s">
        <v>2881</v>
      </c>
      <c r="UNJ1337" s="4" t="s">
        <v>2881</v>
      </c>
      <c r="UNK1337" s="4" t="s">
        <v>2881</v>
      </c>
      <c r="UNL1337" s="4" t="s">
        <v>2881</v>
      </c>
      <c r="UNM1337" s="4" t="s">
        <v>2881</v>
      </c>
      <c r="UNN1337" s="4" t="s">
        <v>2881</v>
      </c>
      <c r="UNO1337" s="4" t="s">
        <v>2881</v>
      </c>
      <c r="UNP1337" s="4" t="s">
        <v>2881</v>
      </c>
      <c r="UNQ1337" s="4" t="s">
        <v>2881</v>
      </c>
      <c r="UNR1337" s="4" t="s">
        <v>2881</v>
      </c>
      <c r="UNS1337" s="4" t="s">
        <v>2881</v>
      </c>
      <c r="UNT1337" s="4" t="s">
        <v>2881</v>
      </c>
      <c r="UNU1337" s="4" t="s">
        <v>2881</v>
      </c>
      <c r="UNV1337" s="4" t="s">
        <v>2881</v>
      </c>
      <c r="UNW1337" s="4" t="s">
        <v>2881</v>
      </c>
      <c r="UNX1337" s="4" t="s">
        <v>2881</v>
      </c>
      <c r="UNY1337" s="4" t="s">
        <v>2881</v>
      </c>
      <c r="UNZ1337" s="4" t="s">
        <v>2881</v>
      </c>
      <c r="UOA1337" s="4" t="s">
        <v>2881</v>
      </c>
      <c r="UOB1337" s="4" t="s">
        <v>2881</v>
      </c>
      <c r="UOC1337" s="4" t="s">
        <v>2881</v>
      </c>
      <c r="UOD1337" s="4" t="s">
        <v>2881</v>
      </c>
      <c r="UOE1337" s="4" t="s">
        <v>2881</v>
      </c>
      <c r="UOF1337" s="4" t="s">
        <v>2881</v>
      </c>
      <c r="UOG1337" s="4" t="s">
        <v>2881</v>
      </c>
      <c r="UOH1337" s="4" t="s">
        <v>2881</v>
      </c>
      <c r="UOI1337" s="4" t="s">
        <v>2881</v>
      </c>
      <c r="UOJ1337" s="4" t="s">
        <v>2881</v>
      </c>
      <c r="UOK1337" s="4" t="s">
        <v>2881</v>
      </c>
      <c r="UOL1337" s="4" t="s">
        <v>2881</v>
      </c>
      <c r="UOM1337" s="4" t="s">
        <v>2881</v>
      </c>
      <c r="UON1337" s="4" t="s">
        <v>2881</v>
      </c>
      <c r="UOO1337" s="4" t="s">
        <v>2881</v>
      </c>
      <c r="UOP1337" s="4" t="s">
        <v>2881</v>
      </c>
      <c r="UOQ1337" s="4" t="s">
        <v>2881</v>
      </c>
      <c r="UOR1337" s="4" t="s">
        <v>2881</v>
      </c>
      <c r="UOS1337" s="4" t="s">
        <v>2881</v>
      </c>
      <c r="UOT1337" s="4" t="s">
        <v>2881</v>
      </c>
      <c r="UOU1337" s="4" t="s">
        <v>2881</v>
      </c>
      <c r="UOV1337" s="4" t="s">
        <v>2881</v>
      </c>
      <c r="UOW1337" s="4" t="s">
        <v>2881</v>
      </c>
      <c r="UOX1337" s="4" t="s">
        <v>2881</v>
      </c>
      <c r="UOY1337" s="4" t="s">
        <v>2881</v>
      </c>
      <c r="UOZ1337" s="4" t="s">
        <v>2881</v>
      </c>
      <c r="UPA1337" s="4" t="s">
        <v>2881</v>
      </c>
      <c r="UPB1337" s="4" t="s">
        <v>2881</v>
      </c>
      <c r="UPC1337" s="4" t="s">
        <v>2881</v>
      </c>
      <c r="UPD1337" s="4" t="s">
        <v>2881</v>
      </c>
      <c r="UPE1337" s="4" t="s">
        <v>2881</v>
      </c>
      <c r="UPF1337" s="4" t="s">
        <v>2881</v>
      </c>
      <c r="UPG1337" s="4" t="s">
        <v>2881</v>
      </c>
      <c r="UPH1337" s="4" t="s">
        <v>2881</v>
      </c>
      <c r="UPI1337" s="4" t="s">
        <v>2881</v>
      </c>
      <c r="UPJ1337" s="4" t="s">
        <v>2881</v>
      </c>
      <c r="UPK1337" s="4" t="s">
        <v>2881</v>
      </c>
      <c r="UPL1337" s="4" t="s">
        <v>2881</v>
      </c>
      <c r="UPM1337" s="4" t="s">
        <v>2881</v>
      </c>
      <c r="UPN1337" s="4" t="s">
        <v>2881</v>
      </c>
      <c r="UPO1337" s="4" t="s">
        <v>2881</v>
      </c>
      <c r="UPP1337" s="4" t="s">
        <v>2881</v>
      </c>
      <c r="UPQ1337" s="4" t="s">
        <v>2881</v>
      </c>
      <c r="UPR1337" s="4" t="s">
        <v>2881</v>
      </c>
      <c r="UPS1337" s="4" t="s">
        <v>2881</v>
      </c>
      <c r="UPT1337" s="4" t="s">
        <v>2881</v>
      </c>
      <c r="UPU1337" s="4" t="s">
        <v>2881</v>
      </c>
      <c r="UPV1337" s="4" t="s">
        <v>2881</v>
      </c>
      <c r="UPW1337" s="4" t="s">
        <v>2881</v>
      </c>
      <c r="UPX1337" s="4" t="s">
        <v>2881</v>
      </c>
      <c r="UPY1337" s="4" t="s">
        <v>2881</v>
      </c>
      <c r="UPZ1337" s="4" t="s">
        <v>2881</v>
      </c>
      <c r="UQA1337" s="4" t="s">
        <v>2881</v>
      </c>
      <c r="UQB1337" s="4" t="s">
        <v>2881</v>
      </c>
      <c r="UQC1337" s="4" t="s">
        <v>2881</v>
      </c>
      <c r="UQD1337" s="4" t="s">
        <v>2881</v>
      </c>
      <c r="UQE1337" s="4" t="s">
        <v>2881</v>
      </c>
      <c r="UQF1337" s="4" t="s">
        <v>2881</v>
      </c>
      <c r="UQG1337" s="4" t="s">
        <v>2881</v>
      </c>
      <c r="UQH1337" s="4" t="s">
        <v>2881</v>
      </c>
      <c r="UQI1337" s="4" t="s">
        <v>2881</v>
      </c>
      <c r="UQJ1337" s="4" t="s">
        <v>2881</v>
      </c>
      <c r="UQK1337" s="4" t="s">
        <v>2881</v>
      </c>
      <c r="UQL1337" s="4" t="s">
        <v>2881</v>
      </c>
      <c r="UQM1337" s="4" t="s">
        <v>2881</v>
      </c>
      <c r="UQN1337" s="4" t="s">
        <v>2881</v>
      </c>
      <c r="UQO1337" s="4" t="s">
        <v>2881</v>
      </c>
      <c r="UQP1337" s="4" t="s">
        <v>2881</v>
      </c>
      <c r="UQQ1337" s="4" t="s">
        <v>2881</v>
      </c>
      <c r="UQR1337" s="4" t="s">
        <v>2881</v>
      </c>
      <c r="UQS1337" s="4" t="s">
        <v>2881</v>
      </c>
      <c r="UQT1337" s="4" t="s">
        <v>2881</v>
      </c>
      <c r="UQU1337" s="4" t="s">
        <v>2881</v>
      </c>
      <c r="UQV1337" s="4" t="s">
        <v>2881</v>
      </c>
      <c r="UQW1337" s="4" t="s">
        <v>2881</v>
      </c>
      <c r="UQX1337" s="4" t="s">
        <v>2881</v>
      </c>
      <c r="UQY1337" s="4" t="s">
        <v>2881</v>
      </c>
      <c r="UQZ1337" s="4" t="s">
        <v>2881</v>
      </c>
      <c r="URA1337" s="4" t="s">
        <v>2881</v>
      </c>
      <c r="URB1337" s="4" t="s">
        <v>2881</v>
      </c>
      <c r="URC1337" s="4" t="s">
        <v>2881</v>
      </c>
      <c r="URD1337" s="4" t="s">
        <v>2881</v>
      </c>
      <c r="URE1337" s="4" t="s">
        <v>2881</v>
      </c>
      <c r="URF1337" s="4" t="s">
        <v>2881</v>
      </c>
      <c r="URG1337" s="4" t="s">
        <v>2881</v>
      </c>
      <c r="URH1337" s="4" t="s">
        <v>2881</v>
      </c>
      <c r="URI1337" s="4" t="s">
        <v>2881</v>
      </c>
      <c r="URJ1337" s="4" t="s">
        <v>2881</v>
      </c>
      <c r="URK1337" s="4" t="s">
        <v>2881</v>
      </c>
      <c r="URL1337" s="4" t="s">
        <v>2881</v>
      </c>
      <c r="URM1337" s="4" t="s">
        <v>2881</v>
      </c>
      <c r="URN1337" s="4" t="s">
        <v>2881</v>
      </c>
      <c r="URO1337" s="4" t="s">
        <v>2881</v>
      </c>
      <c r="URP1337" s="4" t="s">
        <v>2881</v>
      </c>
      <c r="URQ1337" s="4" t="s">
        <v>2881</v>
      </c>
      <c r="URR1337" s="4" t="s">
        <v>2881</v>
      </c>
      <c r="URS1337" s="4" t="s">
        <v>2881</v>
      </c>
      <c r="URT1337" s="4" t="s">
        <v>2881</v>
      </c>
      <c r="URU1337" s="4" t="s">
        <v>2881</v>
      </c>
      <c r="URV1337" s="4" t="s">
        <v>2881</v>
      </c>
      <c r="URW1337" s="4" t="s">
        <v>2881</v>
      </c>
      <c r="URX1337" s="4" t="s">
        <v>2881</v>
      </c>
      <c r="URY1337" s="4" t="s">
        <v>2881</v>
      </c>
      <c r="URZ1337" s="4" t="s">
        <v>2881</v>
      </c>
      <c r="USA1337" s="4" t="s">
        <v>2881</v>
      </c>
      <c r="USB1337" s="4" t="s">
        <v>2881</v>
      </c>
      <c r="USC1337" s="4" t="s">
        <v>2881</v>
      </c>
      <c r="USD1337" s="4" t="s">
        <v>2881</v>
      </c>
      <c r="USE1337" s="4" t="s">
        <v>2881</v>
      </c>
      <c r="USF1337" s="4" t="s">
        <v>2881</v>
      </c>
      <c r="USG1337" s="4" t="s">
        <v>2881</v>
      </c>
      <c r="USH1337" s="4" t="s">
        <v>2881</v>
      </c>
      <c r="USI1337" s="4" t="s">
        <v>2881</v>
      </c>
      <c r="USJ1337" s="4" t="s">
        <v>2881</v>
      </c>
      <c r="USK1337" s="4" t="s">
        <v>2881</v>
      </c>
      <c r="USL1337" s="4" t="s">
        <v>2881</v>
      </c>
      <c r="USM1337" s="4" t="s">
        <v>2881</v>
      </c>
      <c r="USN1337" s="4" t="s">
        <v>2881</v>
      </c>
      <c r="USO1337" s="4" t="s">
        <v>2881</v>
      </c>
      <c r="USP1337" s="4" t="s">
        <v>2881</v>
      </c>
      <c r="USQ1337" s="4" t="s">
        <v>2881</v>
      </c>
      <c r="USR1337" s="4" t="s">
        <v>2881</v>
      </c>
      <c r="USS1337" s="4" t="s">
        <v>2881</v>
      </c>
      <c r="UST1337" s="4" t="s">
        <v>2881</v>
      </c>
      <c r="USU1337" s="4" t="s">
        <v>2881</v>
      </c>
      <c r="USV1337" s="4" t="s">
        <v>2881</v>
      </c>
      <c r="USW1337" s="4" t="s">
        <v>2881</v>
      </c>
      <c r="USX1337" s="4" t="s">
        <v>2881</v>
      </c>
      <c r="USY1337" s="4" t="s">
        <v>2881</v>
      </c>
      <c r="USZ1337" s="4" t="s">
        <v>2881</v>
      </c>
      <c r="UTA1337" s="4" t="s">
        <v>2881</v>
      </c>
      <c r="UTB1337" s="4" t="s">
        <v>2881</v>
      </c>
      <c r="UTC1337" s="4" t="s">
        <v>2881</v>
      </c>
      <c r="UTD1337" s="4" t="s">
        <v>2881</v>
      </c>
      <c r="UTE1337" s="4" t="s">
        <v>2881</v>
      </c>
      <c r="UTF1337" s="4" t="s">
        <v>2881</v>
      </c>
      <c r="UTG1337" s="4" t="s">
        <v>2881</v>
      </c>
      <c r="UTH1337" s="4" t="s">
        <v>2881</v>
      </c>
      <c r="UTI1337" s="4" t="s">
        <v>2881</v>
      </c>
      <c r="UTJ1337" s="4" t="s">
        <v>2881</v>
      </c>
      <c r="UTK1337" s="4" t="s">
        <v>2881</v>
      </c>
      <c r="UTL1337" s="4" t="s">
        <v>2881</v>
      </c>
      <c r="UTM1337" s="4" t="s">
        <v>2881</v>
      </c>
      <c r="UTN1337" s="4" t="s">
        <v>2881</v>
      </c>
      <c r="UTO1337" s="4" t="s">
        <v>2881</v>
      </c>
      <c r="UTP1337" s="4" t="s">
        <v>2881</v>
      </c>
      <c r="UTQ1337" s="4" t="s">
        <v>2881</v>
      </c>
      <c r="UTR1337" s="4" t="s">
        <v>2881</v>
      </c>
      <c r="UTS1337" s="4" t="s">
        <v>2881</v>
      </c>
      <c r="UTT1337" s="4" t="s">
        <v>2881</v>
      </c>
      <c r="UTU1337" s="4" t="s">
        <v>2881</v>
      </c>
      <c r="UTV1337" s="4" t="s">
        <v>2881</v>
      </c>
      <c r="UTW1337" s="4" t="s">
        <v>2881</v>
      </c>
      <c r="UTX1337" s="4" t="s">
        <v>2881</v>
      </c>
      <c r="UTY1337" s="4" t="s">
        <v>2881</v>
      </c>
      <c r="UTZ1337" s="4" t="s">
        <v>2881</v>
      </c>
      <c r="UUA1337" s="4" t="s">
        <v>2881</v>
      </c>
      <c r="UUB1337" s="4" t="s">
        <v>2881</v>
      </c>
      <c r="UUC1337" s="4" t="s">
        <v>2881</v>
      </c>
      <c r="UUD1337" s="4" t="s">
        <v>2881</v>
      </c>
      <c r="UUE1337" s="4" t="s">
        <v>2881</v>
      </c>
      <c r="UUF1337" s="4" t="s">
        <v>2881</v>
      </c>
      <c r="UUG1337" s="4" t="s">
        <v>2881</v>
      </c>
      <c r="UUH1337" s="4" t="s">
        <v>2881</v>
      </c>
      <c r="UUI1337" s="4" t="s">
        <v>2881</v>
      </c>
      <c r="UUJ1337" s="4" t="s">
        <v>2881</v>
      </c>
      <c r="UUK1337" s="4" t="s">
        <v>2881</v>
      </c>
      <c r="UUL1337" s="4" t="s">
        <v>2881</v>
      </c>
      <c r="UUM1337" s="4" t="s">
        <v>2881</v>
      </c>
      <c r="UUN1337" s="4" t="s">
        <v>2881</v>
      </c>
      <c r="UUO1337" s="4" t="s">
        <v>2881</v>
      </c>
      <c r="UUP1337" s="4" t="s">
        <v>2881</v>
      </c>
      <c r="UUQ1337" s="4" t="s">
        <v>2881</v>
      </c>
      <c r="UUR1337" s="4" t="s">
        <v>2881</v>
      </c>
      <c r="UUS1337" s="4" t="s">
        <v>2881</v>
      </c>
      <c r="UUT1337" s="4" t="s">
        <v>2881</v>
      </c>
      <c r="UUU1337" s="4" t="s">
        <v>2881</v>
      </c>
      <c r="UUV1337" s="4" t="s">
        <v>2881</v>
      </c>
      <c r="UUW1337" s="4" t="s">
        <v>2881</v>
      </c>
      <c r="UUX1337" s="4" t="s">
        <v>2881</v>
      </c>
      <c r="UUY1337" s="4" t="s">
        <v>2881</v>
      </c>
      <c r="UUZ1337" s="4" t="s">
        <v>2881</v>
      </c>
      <c r="UVA1337" s="4" t="s">
        <v>2881</v>
      </c>
      <c r="UVB1337" s="4" t="s">
        <v>2881</v>
      </c>
      <c r="UVC1337" s="4" t="s">
        <v>2881</v>
      </c>
      <c r="UVD1337" s="4" t="s">
        <v>2881</v>
      </c>
      <c r="UVE1337" s="4" t="s">
        <v>2881</v>
      </c>
      <c r="UVF1337" s="4" t="s">
        <v>2881</v>
      </c>
      <c r="UVG1337" s="4" t="s">
        <v>2881</v>
      </c>
      <c r="UVH1337" s="4" t="s">
        <v>2881</v>
      </c>
      <c r="UVI1337" s="4" t="s">
        <v>2881</v>
      </c>
      <c r="UVJ1337" s="4" t="s">
        <v>2881</v>
      </c>
      <c r="UVK1337" s="4" t="s">
        <v>2881</v>
      </c>
      <c r="UVL1337" s="4" t="s">
        <v>2881</v>
      </c>
      <c r="UVM1337" s="4" t="s">
        <v>2881</v>
      </c>
      <c r="UVN1337" s="4" t="s">
        <v>2881</v>
      </c>
      <c r="UVO1337" s="4" t="s">
        <v>2881</v>
      </c>
      <c r="UVP1337" s="4" t="s">
        <v>2881</v>
      </c>
      <c r="UVQ1337" s="4" t="s">
        <v>2881</v>
      </c>
      <c r="UVR1337" s="4" t="s">
        <v>2881</v>
      </c>
      <c r="UVS1337" s="4" t="s">
        <v>2881</v>
      </c>
      <c r="UVT1337" s="4" t="s">
        <v>2881</v>
      </c>
      <c r="UVU1337" s="4" t="s">
        <v>2881</v>
      </c>
      <c r="UVV1337" s="4" t="s">
        <v>2881</v>
      </c>
      <c r="UVW1337" s="4" t="s">
        <v>2881</v>
      </c>
      <c r="UVX1337" s="4" t="s">
        <v>2881</v>
      </c>
      <c r="UVY1337" s="4" t="s">
        <v>2881</v>
      </c>
      <c r="UVZ1337" s="4" t="s">
        <v>2881</v>
      </c>
      <c r="UWA1337" s="4" t="s">
        <v>2881</v>
      </c>
      <c r="UWB1337" s="4" t="s">
        <v>2881</v>
      </c>
      <c r="UWC1337" s="4" t="s">
        <v>2881</v>
      </c>
      <c r="UWD1337" s="4" t="s">
        <v>2881</v>
      </c>
      <c r="UWE1337" s="4" t="s">
        <v>2881</v>
      </c>
      <c r="UWF1337" s="4" t="s">
        <v>2881</v>
      </c>
      <c r="UWG1337" s="4" t="s">
        <v>2881</v>
      </c>
      <c r="UWH1337" s="4" t="s">
        <v>2881</v>
      </c>
      <c r="UWI1337" s="4" t="s">
        <v>2881</v>
      </c>
      <c r="UWJ1337" s="4" t="s">
        <v>2881</v>
      </c>
      <c r="UWK1337" s="4" t="s">
        <v>2881</v>
      </c>
      <c r="UWL1337" s="4" t="s">
        <v>2881</v>
      </c>
      <c r="UWM1337" s="4" t="s">
        <v>2881</v>
      </c>
      <c r="UWN1337" s="4" t="s">
        <v>2881</v>
      </c>
      <c r="UWO1337" s="4" t="s">
        <v>2881</v>
      </c>
      <c r="UWP1337" s="4" t="s">
        <v>2881</v>
      </c>
      <c r="UWQ1337" s="4" t="s">
        <v>2881</v>
      </c>
      <c r="UWR1337" s="4" t="s">
        <v>2881</v>
      </c>
      <c r="UWS1337" s="4" t="s">
        <v>2881</v>
      </c>
      <c r="UWT1337" s="4" t="s">
        <v>2881</v>
      </c>
      <c r="UWU1337" s="4" t="s">
        <v>2881</v>
      </c>
      <c r="UWV1337" s="4" t="s">
        <v>2881</v>
      </c>
      <c r="UWW1337" s="4" t="s">
        <v>2881</v>
      </c>
      <c r="UWX1337" s="4" t="s">
        <v>2881</v>
      </c>
      <c r="UWY1337" s="4" t="s">
        <v>2881</v>
      </c>
      <c r="UWZ1337" s="4" t="s">
        <v>2881</v>
      </c>
      <c r="UXA1337" s="4" t="s">
        <v>2881</v>
      </c>
      <c r="UXB1337" s="4" t="s">
        <v>2881</v>
      </c>
      <c r="UXC1337" s="4" t="s">
        <v>2881</v>
      </c>
      <c r="UXD1337" s="4" t="s">
        <v>2881</v>
      </c>
      <c r="UXE1337" s="4" t="s">
        <v>2881</v>
      </c>
      <c r="UXF1337" s="4" t="s">
        <v>2881</v>
      </c>
      <c r="UXG1337" s="4" t="s">
        <v>2881</v>
      </c>
      <c r="UXH1337" s="4" t="s">
        <v>2881</v>
      </c>
      <c r="UXI1337" s="4" t="s">
        <v>2881</v>
      </c>
      <c r="UXJ1337" s="4" t="s">
        <v>2881</v>
      </c>
      <c r="UXK1337" s="4" t="s">
        <v>2881</v>
      </c>
      <c r="UXL1337" s="4" t="s">
        <v>2881</v>
      </c>
      <c r="UXM1337" s="4" t="s">
        <v>2881</v>
      </c>
      <c r="UXN1337" s="4" t="s">
        <v>2881</v>
      </c>
      <c r="UXO1337" s="4" t="s">
        <v>2881</v>
      </c>
      <c r="UXP1337" s="4" t="s">
        <v>2881</v>
      </c>
      <c r="UXQ1337" s="4" t="s">
        <v>2881</v>
      </c>
      <c r="UXR1337" s="4" t="s">
        <v>2881</v>
      </c>
      <c r="UXS1337" s="4" t="s">
        <v>2881</v>
      </c>
      <c r="UXT1337" s="4" t="s">
        <v>2881</v>
      </c>
      <c r="UXU1337" s="4" t="s">
        <v>2881</v>
      </c>
      <c r="UXV1337" s="4" t="s">
        <v>2881</v>
      </c>
      <c r="UXW1337" s="4" t="s">
        <v>2881</v>
      </c>
      <c r="UXX1337" s="4" t="s">
        <v>2881</v>
      </c>
      <c r="UXY1337" s="4" t="s">
        <v>2881</v>
      </c>
      <c r="UXZ1337" s="4" t="s">
        <v>2881</v>
      </c>
      <c r="UYA1337" s="4" t="s">
        <v>2881</v>
      </c>
      <c r="UYB1337" s="4" t="s">
        <v>2881</v>
      </c>
      <c r="UYC1337" s="4" t="s">
        <v>2881</v>
      </c>
      <c r="UYD1337" s="4" t="s">
        <v>2881</v>
      </c>
      <c r="UYE1337" s="4" t="s">
        <v>2881</v>
      </c>
      <c r="UYF1337" s="4" t="s">
        <v>2881</v>
      </c>
      <c r="UYG1337" s="4" t="s">
        <v>2881</v>
      </c>
      <c r="UYH1337" s="4" t="s">
        <v>2881</v>
      </c>
      <c r="UYI1337" s="4" t="s">
        <v>2881</v>
      </c>
      <c r="UYJ1337" s="4" t="s">
        <v>2881</v>
      </c>
      <c r="UYK1337" s="4" t="s">
        <v>2881</v>
      </c>
      <c r="UYL1337" s="4" t="s">
        <v>2881</v>
      </c>
      <c r="UYM1337" s="4" t="s">
        <v>2881</v>
      </c>
      <c r="UYN1337" s="4" t="s">
        <v>2881</v>
      </c>
      <c r="UYO1337" s="4" t="s">
        <v>2881</v>
      </c>
      <c r="UYP1337" s="4" t="s">
        <v>2881</v>
      </c>
      <c r="UYQ1337" s="4" t="s">
        <v>2881</v>
      </c>
      <c r="UYR1337" s="4" t="s">
        <v>2881</v>
      </c>
      <c r="UYS1337" s="4" t="s">
        <v>2881</v>
      </c>
      <c r="UYT1337" s="4" t="s">
        <v>2881</v>
      </c>
      <c r="UYU1337" s="4" t="s">
        <v>2881</v>
      </c>
      <c r="UYV1337" s="4" t="s">
        <v>2881</v>
      </c>
      <c r="UYW1337" s="4" t="s">
        <v>2881</v>
      </c>
      <c r="UYX1337" s="4" t="s">
        <v>2881</v>
      </c>
      <c r="UYY1337" s="4" t="s">
        <v>2881</v>
      </c>
      <c r="UYZ1337" s="4" t="s">
        <v>2881</v>
      </c>
      <c r="UZA1337" s="4" t="s">
        <v>2881</v>
      </c>
      <c r="UZB1337" s="4" t="s">
        <v>2881</v>
      </c>
      <c r="UZC1337" s="4" t="s">
        <v>2881</v>
      </c>
      <c r="UZD1337" s="4" t="s">
        <v>2881</v>
      </c>
      <c r="UZE1337" s="4" t="s">
        <v>2881</v>
      </c>
      <c r="UZF1337" s="4" t="s">
        <v>2881</v>
      </c>
      <c r="UZG1337" s="4" t="s">
        <v>2881</v>
      </c>
      <c r="UZH1337" s="4" t="s">
        <v>2881</v>
      </c>
      <c r="UZI1337" s="4" t="s">
        <v>2881</v>
      </c>
      <c r="UZJ1337" s="4" t="s">
        <v>2881</v>
      </c>
      <c r="UZK1337" s="4" t="s">
        <v>2881</v>
      </c>
      <c r="UZL1337" s="4" t="s">
        <v>2881</v>
      </c>
      <c r="UZM1337" s="4" t="s">
        <v>2881</v>
      </c>
      <c r="UZN1337" s="4" t="s">
        <v>2881</v>
      </c>
      <c r="UZO1337" s="4" t="s">
        <v>2881</v>
      </c>
      <c r="UZP1337" s="4" t="s">
        <v>2881</v>
      </c>
      <c r="UZQ1337" s="4" t="s">
        <v>2881</v>
      </c>
      <c r="UZR1337" s="4" t="s">
        <v>2881</v>
      </c>
      <c r="UZS1337" s="4" t="s">
        <v>2881</v>
      </c>
      <c r="UZT1337" s="4" t="s">
        <v>2881</v>
      </c>
      <c r="UZU1337" s="4" t="s">
        <v>2881</v>
      </c>
      <c r="UZV1337" s="4" t="s">
        <v>2881</v>
      </c>
      <c r="UZW1337" s="4" t="s">
        <v>2881</v>
      </c>
      <c r="UZX1337" s="4" t="s">
        <v>2881</v>
      </c>
      <c r="UZY1337" s="4" t="s">
        <v>2881</v>
      </c>
      <c r="UZZ1337" s="4" t="s">
        <v>2881</v>
      </c>
      <c r="VAA1337" s="4" t="s">
        <v>2881</v>
      </c>
      <c r="VAB1337" s="4" t="s">
        <v>2881</v>
      </c>
      <c r="VAC1337" s="4" t="s">
        <v>2881</v>
      </c>
      <c r="VAD1337" s="4" t="s">
        <v>2881</v>
      </c>
      <c r="VAE1337" s="4" t="s">
        <v>2881</v>
      </c>
      <c r="VAF1337" s="4" t="s">
        <v>2881</v>
      </c>
      <c r="VAG1337" s="4" t="s">
        <v>2881</v>
      </c>
      <c r="VAH1337" s="4" t="s">
        <v>2881</v>
      </c>
      <c r="VAI1337" s="4" t="s">
        <v>2881</v>
      </c>
      <c r="VAJ1337" s="4" t="s">
        <v>2881</v>
      </c>
      <c r="VAK1337" s="4" t="s">
        <v>2881</v>
      </c>
      <c r="VAL1337" s="4" t="s">
        <v>2881</v>
      </c>
      <c r="VAM1337" s="4" t="s">
        <v>2881</v>
      </c>
      <c r="VAN1337" s="4" t="s">
        <v>2881</v>
      </c>
      <c r="VAO1337" s="4" t="s">
        <v>2881</v>
      </c>
      <c r="VAP1337" s="4" t="s">
        <v>2881</v>
      </c>
      <c r="VAQ1337" s="4" t="s">
        <v>2881</v>
      </c>
      <c r="VAR1337" s="4" t="s">
        <v>2881</v>
      </c>
      <c r="VAS1337" s="4" t="s">
        <v>2881</v>
      </c>
      <c r="VAT1337" s="4" t="s">
        <v>2881</v>
      </c>
      <c r="VAU1337" s="4" t="s">
        <v>2881</v>
      </c>
      <c r="VAV1337" s="4" t="s">
        <v>2881</v>
      </c>
      <c r="VAW1337" s="4" t="s">
        <v>2881</v>
      </c>
      <c r="VAX1337" s="4" t="s">
        <v>2881</v>
      </c>
      <c r="VAY1337" s="4" t="s">
        <v>2881</v>
      </c>
      <c r="VAZ1337" s="4" t="s">
        <v>2881</v>
      </c>
      <c r="VBA1337" s="4" t="s">
        <v>2881</v>
      </c>
      <c r="VBB1337" s="4" t="s">
        <v>2881</v>
      </c>
      <c r="VBC1337" s="4" t="s">
        <v>2881</v>
      </c>
      <c r="VBD1337" s="4" t="s">
        <v>2881</v>
      </c>
      <c r="VBE1337" s="4" t="s">
        <v>2881</v>
      </c>
      <c r="VBF1337" s="4" t="s">
        <v>2881</v>
      </c>
      <c r="VBG1337" s="4" t="s">
        <v>2881</v>
      </c>
      <c r="VBH1337" s="4" t="s">
        <v>2881</v>
      </c>
      <c r="VBI1337" s="4" t="s">
        <v>2881</v>
      </c>
      <c r="VBJ1337" s="4" t="s">
        <v>2881</v>
      </c>
      <c r="VBK1337" s="4" t="s">
        <v>2881</v>
      </c>
      <c r="VBL1337" s="4" t="s">
        <v>2881</v>
      </c>
      <c r="VBM1337" s="4" t="s">
        <v>2881</v>
      </c>
      <c r="VBN1337" s="4" t="s">
        <v>2881</v>
      </c>
      <c r="VBO1337" s="4" t="s">
        <v>2881</v>
      </c>
      <c r="VBP1337" s="4" t="s">
        <v>2881</v>
      </c>
      <c r="VBQ1337" s="4" t="s">
        <v>2881</v>
      </c>
      <c r="VBR1337" s="4" t="s">
        <v>2881</v>
      </c>
      <c r="VBS1337" s="4" t="s">
        <v>2881</v>
      </c>
      <c r="VBT1337" s="4" t="s">
        <v>2881</v>
      </c>
      <c r="VBU1337" s="4" t="s">
        <v>2881</v>
      </c>
      <c r="VBV1337" s="4" t="s">
        <v>2881</v>
      </c>
      <c r="VBW1337" s="4" t="s">
        <v>2881</v>
      </c>
      <c r="VBX1337" s="4" t="s">
        <v>2881</v>
      </c>
      <c r="VBY1337" s="4" t="s">
        <v>2881</v>
      </c>
      <c r="VBZ1337" s="4" t="s">
        <v>2881</v>
      </c>
      <c r="VCA1337" s="4" t="s">
        <v>2881</v>
      </c>
      <c r="VCB1337" s="4" t="s">
        <v>2881</v>
      </c>
      <c r="VCC1337" s="4" t="s">
        <v>2881</v>
      </c>
      <c r="VCD1337" s="4" t="s">
        <v>2881</v>
      </c>
      <c r="VCE1337" s="4" t="s">
        <v>2881</v>
      </c>
      <c r="VCF1337" s="4" t="s">
        <v>2881</v>
      </c>
      <c r="VCG1337" s="4" t="s">
        <v>2881</v>
      </c>
      <c r="VCH1337" s="4" t="s">
        <v>2881</v>
      </c>
      <c r="VCI1337" s="4" t="s">
        <v>2881</v>
      </c>
      <c r="VCJ1337" s="4" t="s">
        <v>2881</v>
      </c>
      <c r="VCK1337" s="4" t="s">
        <v>2881</v>
      </c>
      <c r="VCL1337" s="4" t="s">
        <v>2881</v>
      </c>
      <c r="VCM1337" s="4" t="s">
        <v>2881</v>
      </c>
      <c r="VCN1337" s="4" t="s">
        <v>2881</v>
      </c>
      <c r="VCO1337" s="4" t="s">
        <v>2881</v>
      </c>
      <c r="VCP1337" s="4" t="s">
        <v>2881</v>
      </c>
      <c r="VCQ1337" s="4" t="s">
        <v>2881</v>
      </c>
      <c r="VCR1337" s="4" t="s">
        <v>2881</v>
      </c>
      <c r="VCS1337" s="4" t="s">
        <v>2881</v>
      </c>
      <c r="VCT1337" s="4" t="s">
        <v>2881</v>
      </c>
      <c r="VCU1337" s="4" t="s">
        <v>2881</v>
      </c>
      <c r="VCV1337" s="4" t="s">
        <v>2881</v>
      </c>
      <c r="VCW1337" s="4" t="s">
        <v>2881</v>
      </c>
      <c r="VCX1337" s="4" t="s">
        <v>2881</v>
      </c>
      <c r="VCY1337" s="4" t="s">
        <v>2881</v>
      </c>
      <c r="VCZ1337" s="4" t="s">
        <v>2881</v>
      </c>
      <c r="VDA1337" s="4" t="s">
        <v>2881</v>
      </c>
      <c r="VDB1337" s="4" t="s">
        <v>2881</v>
      </c>
      <c r="VDC1337" s="4" t="s">
        <v>2881</v>
      </c>
      <c r="VDD1337" s="4" t="s">
        <v>2881</v>
      </c>
      <c r="VDE1337" s="4" t="s">
        <v>2881</v>
      </c>
      <c r="VDF1337" s="4" t="s">
        <v>2881</v>
      </c>
      <c r="VDG1337" s="4" t="s">
        <v>2881</v>
      </c>
      <c r="VDH1337" s="4" t="s">
        <v>2881</v>
      </c>
      <c r="VDI1337" s="4" t="s">
        <v>2881</v>
      </c>
      <c r="VDJ1337" s="4" t="s">
        <v>2881</v>
      </c>
      <c r="VDK1337" s="4" t="s">
        <v>2881</v>
      </c>
      <c r="VDL1337" s="4" t="s">
        <v>2881</v>
      </c>
      <c r="VDM1337" s="4" t="s">
        <v>2881</v>
      </c>
      <c r="VDN1337" s="4" t="s">
        <v>2881</v>
      </c>
      <c r="VDO1337" s="4" t="s">
        <v>2881</v>
      </c>
      <c r="VDP1337" s="4" t="s">
        <v>2881</v>
      </c>
      <c r="VDQ1337" s="4" t="s">
        <v>2881</v>
      </c>
      <c r="VDR1337" s="4" t="s">
        <v>2881</v>
      </c>
      <c r="VDS1337" s="4" t="s">
        <v>2881</v>
      </c>
      <c r="VDT1337" s="4" t="s">
        <v>2881</v>
      </c>
      <c r="VDU1337" s="4" t="s">
        <v>2881</v>
      </c>
      <c r="VDV1337" s="4" t="s">
        <v>2881</v>
      </c>
      <c r="VDW1337" s="4" t="s">
        <v>2881</v>
      </c>
      <c r="VDX1337" s="4" t="s">
        <v>2881</v>
      </c>
      <c r="VDY1337" s="4" t="s">
        <v>2881</v>
      </c>
      <c r="VDZ1337" s="4" t="s">
        <v>2881</v>
      </c>
      <c r="VEA1337" s="4" t="s">
        <v>2881</v>
      </c>
      <c r="VEB1337" s="4" t="s">
        <v>2881</v>
      </c>
      <c r="VEC1337" s="4" t="s">
        <v>2881</v>
      </c>
      <c r="VED1337" s="4" t="s">
        <v>2881</v>
      </c>
      <c r="VEE1337" s="4" t="s">
        <v>2881</v>
      </c>
      <c r="VEF1337" s="4" t="s">
        <v>2881</v>
      </c>
      <c r="VEG1337" s="4" t="s">
        <v>2881</v>
      </c>
      <c r="VEH1337" s="4" t="s">
        <v>2881</v>
      </c>
      <c r="VEI1337" s="4" t="s">
        <v>2881</v>
      </c>
      <c r="VEJ1337" s="4" t="s">
        <v>2881</v>
      </c>
      <c r="VEK1337" s="4" t="s">
        <v>2881</v>
      </c>
      <c r="VEL1337" s="4" t="s">
        <v>2881</v>
      </c>
      <c r="VEM1337" s="4" t="s">
        <v>2881</v>
      </c>
      <c r="VEN1337" s="4" t="s">
        <v>2881</v>
      </c>
      <c r="VEO1337" s="4" t="s">
        <v>2881</v>
      </c>
      <c r="VEP1337" s="4" t="s">
        <v>2881</v>
      </c>
      <c r="VEQ1337" s="4" t="s">
        <v>2881</v>
      </c>
      <c r="VER1337" s="4" t="s">
        <v>2881</v>
      </c>
      <c r="VES1337" s="4" t="s">
        <v>2881</v>
      </c>
      <c r="VET1337" s="4" t="s">
        <v>2881</v>
      </c>
      <c r="VEU1337" s="4" t="s">
        <v>2881</v>
      </c>
      <c r="VEV1337" s="4" t="s">
        <v>2881</v>
      </c>
      <c r="VEW1337" s="4" t="s">
        <v>2881</v>
      </c>
      <c r="VEX1337" s="4" t="s">
        <v>2881</v>
      </c>
      <c r="VEY1337" s="4" t="s">
        <v>2881</v>
      </c>
      <c r="VEZ1337" s="4" t="s">
        <v>2881</v>
      </c>
      <c r="VFA1337" s="4" t="s">
        <v>2881</v>
      </c>
      <c r="VFB1337" s="4" t="s">
        <v>2881</v>
      </c>
      <c r="VFC1337" s="4" t="s">
        <v>2881</v>
      </c>
      <c r="VFD1337" s="4" t="s">
        <v>2881</v>
      </c>
      <c r="VFE1337" s="4" t="s">
        <v>2881</v>
      </c>
      <c r="VFF1337" s="4" t="s">
        <v>2881</v>
      </c>
      <c r="VFG1337" s="4" t="s">
        <v>2881</v>
      </c>
      <c r="VFH1337" s="4" t="s">
        <v>2881</v>
      </c>
      <c r="VFI1337" s="4" t="s">
        <v>2881</v>
      </c>
      <c r="VFJ1337" s="4" t="s">
        <v>2881</v>
      </c>
      <c r="VFK1337" s="4" t="s">
        <v>2881</v>
      </c>
      <c r="VFL1337" s="4" t="s">
        <v>2881</v>
      </c>
      <c r="VFM1337" s="4" t="s">
        <v>2881</v>
      </c>
      <c r="VFN1337" s="4" t="s">
        <v>2881</v>
      </c>
      <c r="VFO1337" s="4" t="s">
        <v>2881</v>
      </c>
      <c r="VFP1337" s="4" t="s">
        <v>2881</v>
      </c>
      <c r="VFQ1337" s="4" t="s">
        <v>2881</v>
      </c>
      <c r="VFR1337" s="4" t="s">
        <v>2881</v>
      </c>
      <c r="VFS1337" s="4" t="s">
        <v>2881</v>
      </c>
      <c r="VFT1337" s="4" t="s">
        <v>2881</v>
      </c>
      <c r="VFU1337" s="4" t="s">
        <v>2881</v>
      </c>
      <c r="VFV1337" s="4" t="s">
        <v>2881</v>
      </c>
      <c r="VFW1337" s="4" t="s">
        <v>2881</v>
      </c>
      <c r="VFX1337" s="4" t="s">
        <v>2881</v>
      </c>
      <c r="VFY1337" s="4" t="s">
        <v>2881</v>
      </c>
      <c r="VFZ1337" s="4" t="s">
        <v>2881</v>
      </c>
      <c r="VGA1337" s="4" t="s">
        <v>2881</v>
      </c>
      <c r="VGB1337" s="4" t="s">
        <v>2881</v>
      </c>
      <c r="VGC1337" s="4" t="s">
        <v>2881</v>
      </c>
      <c r="VGD1337" s="4" t="s">
        <v>2881</v>
      </c>
      <c r="VGE1337" s="4" t="s">
        <v>2881</v>
      </c>
      <c r="VGF1337" s="4" t="s">
        <v>2881</v>
      </c>
      <c r="VGG1337" s="4" t="s">
        <v>2881</v>
      </c>
      <c r="VGH1337" s="4" t="s">
        <v>2881</v>
      </c>
      <c r="VGI1337" s="4" t="s">
        <v>2881</v>
      </c>
      <c r="VGJ1337" s="4" t="s">
        <v>2881</v>
      </c>
      <c r="VGK1337" s="4" t="s">
        <v>2881</v>
      </c>
      <c r="VGL1337" s="4" t="s">
        <v>2881</v>
      </c>
      <c r="VGM1337" s="4" t="s">
        <v>2881</v>
      </c>
      <c r="VGN1337" s="4" t="s">
        <v>2881</v>
      </c>
      <c r="VGO1337" s="4" t="s">
        <v>2881</v>
      </c>
      <c r="VGP1337" s="4" t="s">
        <v>2881</v>
      </c>
      <c r="VGQ1337" s="4" t="s">
        <v>2881</v>
      </c>
      <c r="VGR1337" s="4" t="s">
        <v>2881</v>
      </c>
      <c r="VGS1337" s="4" t="s">
        <v>2881</v>
      </c>
      <c r="VGT1337" s="4" t="s">
        <v>2881</v>
      </c>
      <c r="VGU1337" s="4" t="s">
        <v>2881</v>
      </c>
      <c r="VGV1337" s="4" t="s">
        <v>2881</v>
      </c>
      <c r="VGW1337" s="4" t="s">
        <v>2881</v>
      </c>
      <c r="VGX1337" s="4" t="s">
        <v>2881</v>
      </c>
      <c r="VGY1337" s="4" t="s">
        <v>2881</v>
      </c>
      <c r="VGZ1337" s="4" t="s">
        <v>2881</v>
      </c>
      <c r="VHA1337" s="4" t="s">
        <v>2881</v>
      </c>
      <c r="VHB1337" s="4" t="s">
        <v>2881</v>
      </c>
      <c r="VHC1337" s="4" t="s">
        <v>2881</v>
      </c>
      <c r="VHD1337" s="4" t="s">
        <v>2881</v>
      </c>
      <c r="VHE1337" s="4" t="s">
        <v>2881</v>
      </c>
      <c r="VHF1337" s="4" t="s">
        <v>2881</v>
      </c>
      <c r="VHG1337" s="4" t="s">
        <v>2881</v>
      </c>
      <c r="VHH1337" s="4" t="s">
        <v>2881</v>
      </c>
      <c r="VHI1337" s="4" t="s">
        <v>2881</v>
      </c>
      <c r="VHJ1337" s="4" t="s">
        <v>2881</v>
      </c>
      <c r="VHK1337" s="4" t="s">
        <v>2881</v>
      </c>
      <c r="VHL1337" s="4" t="s">
        <v>2881</v>
      </c>
      <c r="VHM1337" s="4" t="s">
        <v>2881</v>
      </c>
      <c r="VHN1337" s="4" t="s">
        <v>2881</v>
      </c>
      <c r="VHO1337" s="4" t="s">
        <v>2881</v>
      </c>
      <c r="VHP1337" s="4" t="s">
        <v>2881</v>
      </c>
      <c r="VHQ1337" s="4" t="s">
        <v>2881</v>
      </c>
      <c r="VHR1337" s="4" t="s">
        <v>2881</v>
      </c>
      <c r="VHS1337" s="4" t="s">
        <v>2881</v>
      </c>
      <c r="VHT1337" s="4" t="s">
        <v>2881</v>
      </c>
      <c r="VHU1337" s="4" t="s">
        <v>2881</v>
      </c>
      <c r="VHV1337" s="4" t="s">
        <v>2881</v>
      </c>
      <c r="VHW1337" s="4" t="s">
        <v>2881</v>
      </c>
      <c r="VHX1337" s="4" t="s">
        <v>2881</v>
      </c>
      <c r="VHY1337" s="4" t="s">
        <v>2881</v>
      </c>
      <c r="VHZ1337" s="4" t="s">
        <v>2881</v>
      </c>
      <c r="VIA1337" s="4" t="s">
        <v>2881</v>
      </c>
      <c r="VIB1337" s="4" t="s">
        <v>2881</v>
      </c>
      <c r="VIC1337" s="4" t="s">
        <v>2881</v>
      </c>
      <c r="VID1337" s="4" t="s">
        <v>2881</v>
      </c>
      <c r="VIE1337" s="4" t="s">
        <v>2881</v>
      </c>
      <c r="VIF1337" s="4" t="s">
        <v>2881</v>
      </c>
      <c r="VIG1337" s="4" t="s">
        <v>2881</v>
      </c>
      <c r="VIH1337" s="4" t="s">
        <v>2881</v>
      </c>
      <c r="VII1337" s="4" t="s">
        <v>2881</v>
      </c>
      <c r="VIJ1337" s="4" t="s">
        <v>2881</v>
      </c>
      <c r="VIK1337" s="4" t="s">
        <v>2881</v>
      </c>
      <c r="VIL1337" s="4" t="s">
        <v>2881</v>
      </c>
      <c r="VIM1337" s="4" t="s">
        <v>2881</v>
      </c>
      <c r="VIN1337" s="4" t="s">
        <v>2881</v>
      </c>
      <c r="VIO1337" s="4" t="s">
        <v>2881</v>
      </c>
      <c r="VIP1337" s="4" t="s">
        <v>2881</v>
      </c>
      <c r="VIQ1337" s="4" t="s">
        <v>2881</v>
      </c>
      <c r="VIR1337" s="4" t="s">
        <v>2881</v>
      </c>
      <c r="VIS1337" s="4" t="s">
        <v>2881</v>
      </c>
      <c r="VIT1337" s="4" t="s">
        <v>2881</v>
      </c>
      <c r="VIU1337" s="4" t="s">
        <v>2881</v>
      </c>
      <c r="VIV1337" s="4" t="s">
        <v>2881</v>
      </c>
      <c r="VIW1337" s="4" t="s">
        <v>2881</v>
      </c>
      <c r="VIX1337" s="4" t="s">
        <v>2881</v>
      </c>
      <c r="VIY1337" s="4" t="s">
        <v>2881</v>
      </c>
      <c r="VIZ1337" s="4" t="s">
        <v>2881</v>
      </c>
      <c r="VJA1337" s="4" t="s">
        <v>2881</v>
      </c>
      <c r="VJB1337" s="4" t="s">
        <v>2881</v>
      </c>
      <c r="VJC1337" s="4" t="s">
        <v>2881</v>
      </c>
      <c r="VJD1337" s="4" t="s">
        <v>2881</v>
      </c>
      <c r="VJE1337" s="4" t="s">
        <v>2881</v>
      </c>
      <c r="VJF1337" s="4" t="s">
        <v>2881</v>
      </c>
      <c r="VJG1337" s="4" t="s">
        <v>2881</v>
      </c>
      <c r="VJH1337" s="4" t="s">
        <v>2881</v>
      </c>
      <c r="VJI1337" s="4" t="s">
        <v>2881</v>
      </c>
      <c r="VJJ1337" s="4" t="s">
        <v>2881</v>
      </c>
      <c r="VJK1337" s="4" t="s">
        <v>2881</v>
      </c>
      <c r="VJL1337" s="4" t="s">
        <v>2881</v>
      </c>
      <c r="VJM1337" s="4" t="s">
        <v>2881</v>
      </c>
      <c r="VJN1337" s="4" t="s">
        <v>2881</v>
      </c>
      <c r="VJO1337" s="4" t="s">
        <v>2881</v>
      </c>
      <c r="VJP1337" s="4" t="s">
        <v>2881</v>
      </c>
      <c r="VJQ1337" s="4" t="s">
        <v>2881</v>
      </c>
      <c r="VJR1337" s="4" t="s">
        <v>2881</v>
      </c>
      <c r="VJS1337" s="4" t="s">
        <v>2881</v>
      </c>
      <c r="VJT1337" s="4" t="s">
        <v>2881</v>
      </c>
      <c r="VJU1337" s="4" t="s">
        <v>2881</v>
      </c>
      <c r="VJV1337" s="4" t="s">
        <v>2881</v>
      </c>
      <c r="VJW1337" s="4" t="s">
        <v>2881</v>
      </c>
      <c r="VJX1337" s="4" t="s">
        <v>2881</v>
      </c>
      <c r="VJY1337" s="4" t="s">
        <v>2881</v>
      </c>
      <c r="VJZ1337" s="4" t="s">
        <v>2881</v>
      </c>
      <c r="VKA1337" s="4" t="s">
        <v>2881</v>
      </c>
      <c r="VKB1337" s="4" t="s">
        <v>2881</v>
      </c>
      <c r="VKC1337" s="4" t="s">
        <v>2881</v>
      </c>
      <c r="VKD1337" s="4" t="s">
        <v>2881</v>
      </c>
      <c r="VKE1337" s="4" t="s">
        <v>2881</v>
      </c>
      <c r="VKF1337" s="4" t="s">
        <v>2881</v>
      </c>
      <c r="VKG1337" s="4" t="s">
        <v>2881</v>
      </c>
      <c r="VKH1337" s="4" t="s">
        <v>2881</v>
      </c>
      <c r="VKI1337" s="4" t="s">
        <v>2881</v>
      </c>
      <c r="VKJ1337" s="4" t="s">
        <v>2881</v>
      </c>
      <c r="VKK1337" s="4" t="s">
        <v>2881</v>
      </c>
      <c r="VKL1337" s="4" t="s">
        <v>2881</v>
      </c>
      <c r="VKM1337" s="4" t="s">
        <v>2881</v>
      </c>
      <c r="VKN1337" s="4" t="s">
        <v>2881</v>
      </c>
      <c r="VKO1337" s="4" t="s">
        <v>2881</v>
      </c>
      <c r="VKP1337" s="4" t="s">
        <v>2881</v>
      </c>
      <c r="VKQ1337" s="4" t="s">
        <v>2881</v>
      </c>
      <c r="VKR1337" s="4" t="s">
        <v>2881</v>
      </c>
      <c r="VKS1337" s="4" t="s">
        <v>2881</v>
      </c>
      <c r="VKT1337" s="4" t="s">
        <v>2881</v>
      </c>
      <c r="VKU1337" s="4" t="s">
        <v>2881</v>
      </c>
      <c r="VKV1337" s="4" t="s">
        <v>2881</v>
      </c>
      <c r="VKW1337" s="4" t="s">
        <v>2881</v>
      </c>
      <c r="VKX1337" s="4" t="s">
        <v>2881</v>
      </c>
      <c r="VKY1337" s="4" t="s">
        <v>2881</v>
      </c>
      <c r="VKZ1337" s="4" t="s">
        <v>2881</v>
      </c>
      <c r="VLA1337" s="4" t="s">
        <v>2881</v>
      </c>
      <c r="VLB1337" s="4" t="s">
        <v>2881</v>
      </c>
      <c r="VLC1337" s="4" t="s">
        <v>2881</v>
      </c>
      <c r="VLD1337" s="4" t="s">
        <v>2881</v>
      </c>
      <c r="VLE1337" s="4" t="s">
        <v>2881</v>
      </c>
      <c r="VLF1337" s="4" t="s">
        <v>2881</v>
      </c>
      <c r="VLG1337" s="4" t="s">
        <v>2881</v>
      </c>
      <c r="VLH1337" s="4" t="s">
        <v>2881</v>
      </c>
      <c r="VLI1337" s="4" t="s">
        <v>2881</v>
      </c>
      <c r="VLJ1337" s="4" t="s">
        <v>2881</v>
      </c>
      <c r="VLK1337" s="4" t="s">
        <v>2881</v>
      </c>
      <c r="VLL1337" s="4" t="s">
        <v>2881</v>
      </c>
      <c r="VLM1337" s="4" t="s">
        <v>2881</v>
      </c>
      <c r="VLN1337" s="4" t="s">
        <v>2881</v>
      </c>
      <c r="VLO1337" s="4" t="s">
        <v>2881</v>
      </c>
      <c r="VLP1337" s="4" t="s">
        <v>2881</v>
      </c>
      <c r="VLQ1337" s="4" t="s">
        <v>2881</v>
      </c>
      <c r="VLR1337" s="4" t="s">
        <v>2881</v>
      </c>
      <c r="VLS1337" s="4" t="s">
        <v>2881</v>
      </c>
      <c r="VLT1337" s="4" t="s">
        <v>2881</v>
      </c>
      <c r="VLU1337" s="4" t="s">
        <v>2881</v>
      </c>
      <c r="VLV1337" s="4" t="s">
        <v>2881</v>
      </c>
      <c r="VLW1337" s="4" t="s">
        <v>2881</v>
      </c>
      <c r="VLX1337" s="4" t="s">
        <v>2881</v>
      </c>
      <c r="VLY1337" s="4" t="s">
        <v>2881</v>
      </c>
      <c r="VLZ1337" s="4" t="s">
        <v>2881</v>
      </c>
      <c r="VMA1337" s="4" t="s">
        <v>2881</v>
      </c>
      <c r="VMB1337" s="4" t="s">
        <v>2881</v>
      </c>
      <c r="VMC1337" s="4" t="s">
        <v>2881</v>
      </c>
      <c r="VMD1337" s="4" t="s">
        <v>2881</v>
      </c>
      <c r="VME1337" s="4" t="s">
        <v>2881</v>
      </c>
      <c r="VMF1337" s="4" t="s">
        <v>2881</v>
      </c>
      <c r="VMG1337" s="4" t="s">
        <v>2881</v>
      </c>
      <c r="VMH1337" s="4" t="s">
        <v>2881</v>
      </c>
      <c r="VMI1337" s="4" t="s">
        <v>2881</v>
      </c>
      <c r="VMJ1337" s="4" t="s">
        <v>2881</v>
      </c>
      <c r="VMK1337" s="4" t="s">
        <v>2881</v>
      </c>
      <c r="VML1337" s="4" t="s">
        <v>2881</v>
      </c>
      <c r="VMM1337" s="4" t="s">
        <v>2881</v>
      </c>
      <c r="VMN1337" s="4" t="s">
        <v>2881</v>
      </c>
      <c r="VMO1337" s="4" t="s">
        <v>2881</v>
      </c>
      <c r="VMP1337" s="4" t="s">
        <v>2881</v>
      </c>
      <c r="VMQ1337" s="4" t="s">
        <v>2881</v>
      </c>
      <c r="VMR1337" s="4" t="s">
        <v>2881</v>
      </c>
      <c r="VMS1337" s="4" t="s">
        <v>2881</v>
      </c>
      <c r="VMT1337" s="4" t="s">
        <v>2881</v>
      </c>
      <c r="VMU1337" s="4" t="s">
        <v>2881</v>
      </c>
      <c r="VMV1337" s="4" t="s">
        <v>2881</v>
      </c>
      <c r="VMW1337" s="4" t="s">
        <v>2881</v>
      </c>
      <c r="VMX1337" s="4" t="s">
        <v>2881</v>
      </c>
      <c r="VMY1337" s="4" t="s">
        <v>2881</v>
      </c>
      <c r="VMZ1337" s="4" t="s">
        <v>2881</v>
      </c>
      <c r="VNA1337" s="4" t="s">
        <v>2881</v>
      </c>
      <c r="VNB1337" s="4" t="s">
        <v>2881</v>
      </c>
      <c r="VNC1337" s="4" t="s">
        <v>2881</v>
      </c>
      <c r="VND1337" s="4" t="s">
        <v>2881</v>
      </c>
      <c r="VNE1337" s="4" t="s">
        <v>2881</v>
      </c>
      <c r="VNF1337" s="4" t="s">
        <v>2881</v>
      </c>
      <c r="VNG1337" s="4" t="s">
        <v>2881</v>
      </c>
      <c r="VNH1337" s="4" t="s">
        <v>2881</v>
      </c>
      <c r="VNI1337" s="4" t="s">
        <v>2881</v>
      </c>
      <c r="VNJ1337" s="4" t="s">
        <v>2881</v>
      </c>
      <c r="VNK1337" s="4" t="s">
        <v>2881</v>
      </c>
      <c r="VNL1337" s="4" t="s">
        <v>2881</v>
      </c>
      <c r="VNM1337" s="4" t="s">
        <v>2881</v>
      </c>
      <c r="VNN1337" s="4" t="s">
        <v>2881</v>
      </c>
      <c r="VNO1337" s="4" t="s">
        <v>2881</v>
      </c>
      <c r="VNP1337" s="4" t="s">
        <v>2881</v>
      </c>
      <c r="VNQ1337" s="4" t="s">
        <v>2881</v>
      </c>
      <c r="VNR1337" s="4" t="s">
        <v>2881</v>
      </c>
      <c r="VNS1337" s="4" t="s">
        <v>2881</v>
      </c>
      <c r="VNT1337" s="4" t="s">
        <v>2881</v>
      </c>
      <c r="VNU1337" s="4" t="s">
        <v>2881</v>
      </c>
      <c r="VNV1337" s="4" t="s">
        <v>2881</v>
      </c>
      <c r="VNW1337" s="4" t="s">
        <v>2881</v>
      </c>
      <c r="VNX1337" s="4" t="s">
        <v>2881</v>
      </c>
      <c r="VNY1337" s="4" t="s">
        <v>2881</v>
      </c>
      <c r="VNZ1337" s="4" t="s">
        <v>2881</v>
      </c>
      <c r="VOA1337" s="4" t="s">
        <v>2881</v>
      </c>
      <c r="VOB1337" s="4" t="s">
        <v>2881</v>
      </c>
      <c r="VOC1337" s="4" t="s">
        <v>2881</v>
      </c>
      <c r="VOD1337" s="4" t="s">
        <v>2881</v>
      </c>
      <c r="VOE1337" s="4" t="s">
        <v>2881</v>
      </c>
      <c r="VOF1337" s="4" t="s">
        <v>2881</v>
      </c>
      <c r="VOG1337" s="4" t="s">
        <v>2881</v>
      </c>
      <c r="VOH1337" s="4" t="s">
        <v>2881</v>
      </c>
      <c r="VOI1337" s="4" t="s">
        <v>2881</v>
      </c>
      <c r="VOJ1337" s="4" t="s">
        <v>2881</v>
      </c>
      <c r="VOK1337" s="4" t="s">
        <v>2881</v>
      </c>
      <c r="VOL1337" s="4" t="s">
        <v>2881</v>
      </c>
      <c r="VOM1337" s="4" t="s">
        <v>2881</v>
      </c>
      <c r="VON1337" s="4" t="s">
        <v>2881</v>
      </c>
      <c r="VOO1337" s="4" t="s">
        <v>2881</v>
      </c>
      <c r="VOP1337" s="4" t="s">
        <v>2881</v>
      </c>
      <c r="VOQ1337" s="4" t="s">
        <v>2881</v>
      </c>
      <c r="VOR1337" s="4" t="s">
        <v>2881</v>
      </c>
      <c r="VOS1337" s="4" t="s">
        <v>2881</v>
      </c>
      <c r="VOT1337" s="4" t="s">
        <v>2881</v>
      </c>
      <c r="VOU1337" s="4" t="s">
        <v>2881</v>
      </c>
      <c r="VOV1337" s="4" t="s">
        <v>2881</v>
      </c>
      <c r="VOW1337" s="4" t="s">
        <v>2881</v>
      </c>
      <c r="VOX1337" s="4" t="s">
        <v>2881</v>
      </c>
      <c r="VOY1337" s="4" t="s">
        <v>2881</v>
      </c>
      <c r="VOZ1337" s="4" t="s">
        <v>2881</v>
      </c>
      <c r="VPA1337" s="4" t="s">
        <v>2881</v>
      </c>
      <c r="VPB1337" s="4" t="s">
        <v>2881</v>
      </c>
      <c r="VPC1337" s="4" t="s">
        <v>2881</v>
      </c>
      <c r="VPD1337" s="4" t="s">
        <v>2881</v>
      </c>
      <c r="VPE1337" s="4" t="s">
        <v>2881</v>
      </c>
      <c r="VPF1337" s="4" t="s">
        <v>2881</v>
      </c>
      <c r="VPG1337" s="4" t="s">
        <v>2881</v>
      </c>
      <c r="VPH1337" s="4" t="s">
        <v>2881</v>
      </c>
      <c r="VPI1337" s="4" t="s">
        <v>2881</v>
      </c>
      <c r="VPJ1337" s="4" t="s">
        <v>2881</v>
      </c>
      <c r="VPK1337" s="4" t="s">
        <v>2881</v>
      </c>
      <c r="VPL1337" s="4" t="s">
        <v>2881</v>
      </c>
      <c r="VPM1337" s="4" t="s">
        <v>2881</v>
      </c>
      <c r="VPN1337" s="4" t="s">
        <v>2881</v>
      </c>
      <c r="VPO1337" s="4" t="s">
        <v>2881</v>
      </c>
      <c r="VPP1337" s="4" t="s">
        <v>2881</v>
      </c>
      <c r="VPQ1337" s="4" t="s">
        <v>2881</v>
      </c>
      <c r="VPR1337" s="4" t="s">
        <v>2881</v>
      </c>
      <c r="VPS1337" s="4" t="s">
        <v>2881</v>
      </c>
      <c r="VPT1337" s="4" t="s">
        <v>2881</v>
      </c>
      <c r="VPU1337" s="4" t="s">
        <v>2881</v>
      </c>
      <c r="VPV1337" s="4" t="s">
        <v>2881</v>
      </c>
      <c r="VPW1337" s="4" t="s">
        <v>2881</v>
      </c>
      <c r="VPX1337" s="4" t="s">
        <v>2881</v>
      </c>
      <c r="VPY1337" s="4" t="s">
        <v>2881</v>
      </c>
      <c r="VPZ1337" s="4" t="s">
        <v>2881</v>
      </c>
      <c r="VQA1337" s="4" t="s">
        <v>2881</v>
      </c>
      <c r="VQB1337" s="4" t="s">
        <v>2881</v>
      </c>
      <c r="VQC1337" s="4" t="s">
        <v>2881</v>
      </c>
      <c r="VQD1337" s="4" t="s">
        <v>2881</v>
      </c>
      <c r="VQE1337" s="4" t="s">
        <v>2881</v>
      </c>
      <c r="VQF1337" s="4" t="s">
        <v>2881</v>
      </c>
      <c r="VQG1337" s="4" t="s">
        <v>2881</v>
      </c>
      <c r="VQH1337" s="4" t="s">
        <v>2881</v>
      </c>
      <c r="VQI1337" s="4" t="s">
        <v>2881</v>
      </c>
      <c r="VQJ1337" s="4" t="s">
        <v>2881</v>
      </c>
      <c r="VQK1337" s="4" t="s">
        <v>2881</v>
      </c>
      <c r="VQL1337" s="4" t="s">
        <v>2881</v>
      </c>
      <c r="VQM1337" s="4" t="s">
        <v>2881</v>
      </c>
      <c r="VQN1337" s="4" t="s">
        <v>2881</v>
      </c>
      <c r="VQO1337" s="4" t="s">
        <v>2881</v>
      </c>
      <c r="VQP1337" s="4" t="s">
        <v>2881</v>
      </c>
      <c r="VQQ1337" s="4" t="s">
        <v>2881</v>
      </c>
      <c r="VQR1337" s="4" t="s">
        <v>2881</v>
      </c>
      <c r="VQS1337" s="4" t="s">
        <v>2881</v>
      </c>
      <c r="VQT1337" s="4" t="s">
        <v>2881</v>
      </c>
      <c r="VQU1337" s="4" t="s">
        <v>2881</v>
      </c>
      <c r="VQV1337" s="4" t="s">
        <v>2881</v>
      </c>
      <c r="VQW1337" s="4" t="s">
        <v>2881</v>
      </c>
      <c r="VQX1337" s="4" t="s">
        <v>2881</v>
      </c>
      <c r="VQY1337" s="4" t="s">
        <v>2881</v>
      </c>
      <c r="VQZ1337" s="4" t="s">
        <v>2881</v>
      </c>
      <c r="VRA1337" s="4" t="s">
        <v>2881</v>
      </c>
      <c r="VRB1337" s="4" t="s">
        <v>2881</v>
      </c>
      <c r="VRC1337" s="4" t="s">
        <v>2881</v>
      </c>
      <c r="VRD1337" s="4" t="s">
        <v>2881</v>
      </c>
      <c r="VRE1337" s="4" t="s">
        <v>2881</v>
      </c>
      <c r="VRF1337" s="4" t="s">
        <v>2881</v>
      </c>
      <c r="VRG1337" s="4" t="s">
        <v>2881</v>
      </c>
      <c r="VRH1337" s="4" t="s">
        <v>2881</v>
      </c>
      <c r="VRI1337" s="4" t="s">
        <v>2881</v>
      </c>
      <c r="VRJ1337" s="4" t="s">
        <v>2881</v>
      </c>
      <c r="VRK1337" s="4" t="s">
        <v>2881</v>
      </c>
      <c r="VRL1337" s="4" t="s">
        <v>2881</v>
      </c>
      <c r="VRM1337" s="4" t="s">
        <v>2881</v>
      </c>
      <c r="VRN1337" s="4" t="s">
        <v>2881</v>
      </c>
      <c r="VRO1337" s="4" t="s">
        <v>2881</v>
      </c>
      <c r="VRP1337" s="4" t="s">
        <v>2881</v>
      </c>
      <c r="VRQ1337" s="4" t="s">
        <v>2881</v>
      </c>
      <c r="VRR1337" s="4" t="s">
        <v>2881</v>
      </c>
      <c r="VRS1337" s="4" t="s">
        <v>2881</v>
      </c>
      <c r="VRT1337" s="4" t="s">
        <v>2881</v>
      </c>
      <c r="VRU1337" s="4" t="s">
        <v>2881</v>
      </c>
      <c r="VRV1337" s="4" t="s">
        <v>2881</v>
      </c>
      <c r="VRW1337" s="4" t="s">
        <v>2881</v>
      </c>
      <c r="VRX1337" s="4" t="s">
        <v>2881</v>
      </c>
      <c r="VRY1337" s="4" t="s">
        <v>2881</v>
      </c>
      <c r="VRZ1337" s="4" t="s">
        <v>2881</v>
      </c>
      <c r="VSA1337" s="4" t="s">
        <v>2881</v>
      </c>
      <c r="VSB1337" s="4" t="s">
        <v>2881</v>
      </c>
      <c r="VSC1337" s="4" t="s">
        <v>2881</v>
      </c>
      <c r="VSD1337" s="4" t="s">
        <v>2881</v>
      </c>
      <c r="VSE1337" s="4" t="s">
        <v>2881</v>
      </c>
      <c r="VSF1337" s="4" t="s">
        <v>2881</v>
      </c>
      <c r="VSG1337" s="4" t="s">
        <v>2881</v>
      </c>
      <c r="VSH1337" s="4" t="s">
        <v>2881</v>
      </c>
      <c r="VSI1337" s="4" t="s">
        <v>2881</v>
      </c>
      <c r="VSJ1337" s="4" t="s">
        <v>2881</v>
      </c>
      <c r="VSK1337" s="4" t="s">
        <v>2881</v>
      </c>
      <c r="VSL1337" s="4" t="s">
        <v>2881</v>
      </c>
      <c r="VSM1337" s="4" t="s">
        <v>2881</v>
      </c>
      <c r="VSN1337" s="4" t="s">
        <v>2881</v>
      </c>
      <c r="VSO1337" s="4" t="s">
        <v>2881</v>
      </c>
      <c r="VSP1337" s="4" t="s">
        <v>2881</v>
      </c>
      <c r="VSQ1337" s="4" t="s">
        <v>2881</v>
      </c>
      <c r="VSR1337" s="4" t="s">
        <v>2881</v>
      </c>
      <c r="VSS1337" s="4" t="s">
        <v>2881</v>
      </c>
      <c r="VST1337" s="4" t="s">
        <v>2881</v>
      </c>
      <c r="VSU1337" s="4" t="s">
        <v>2881</v>
      </c>
      <c r="VSV1337" s="4" t="s">
        <v>2881</v>
      </c>
      <c r="VSW1337" s="4" t="s">
        <v>2881</v>
      </c>
      <c r="VSX1337" s="4" t="s">
        <v>2881</v>
      </c>
      <c r="VSY1337" s="4" t="s">
        <v>2881</v>
      </c>
      <c r="VSZ1337" s="4" t="s">
        <v>2881</v>
      </c>
      <c r="VTA1337" s="4" t="s">
        <v>2881</v>
      </c>
      <c r="VTB1337" s="4" t="s">
        <v>2881</v>
      </c>
      <c r="VTC1337" s="4" t="s">
        <v>2881</v>
      </c>
      <c r="VTD1337" s="4" t="s">
        <v>2881</v>
      </c>
      <c r="VTE1337" s="4" t="s">
        <v>2881</v>
      </c>
      <c r="VTF1337" s="4" t="s">
        <v>2881</v>
      </c>
      <c r="VTG1337" s="4" t="s">
        <v>2881</v>
      </c>
      <c r="VTH1337" s="4" t="s">
        <v>2881</v>
      </c>
      <c r="VTI1337" s="4" t="s">
        <v>2881</v>
      </c>
      <c r="VTJ1337" s="4" t="s">
        <v>2881</v>
      </c>
      <c r="VTK1337" s="4" t="s">
        <v>2881</v>
      </c>
      <c r="VTL1337" s="4" t="s">
        <v>2881</v>
      </c>
      <c r="VTM1337" s="4" t="s">
        <v>2881</v>
      </c>
      <c r="VTN1337" s="4" t="s">
        <v>2881</v>
      </c>
      <c r="VTO1337" s="4" t="s">
        <v>2881</v>
      </c>
      <c r="VTP1337" s="4" t="s">
        <v>2881</v>
      </c>
      <c r="VTQ1337" s="4" t="s">
        <v>2881</v>
      </c>
      <c r="VTR1337" s="4" t="s">
        <v>2881</v>
      </c>
      <c r="VTS1337" s="4" t="s">
        <v>2881</v>
      </c>
      <c r="VTT1337" s="4" t="s">
        <v>2881</v>
      </c>
      <c r="VTU1337" s="4" t="s">
        <v>2881</v>
      </c>
      <c r="VTV1337" s="4" t="s">
        <v>2881</v>
      </c>
      <c r="VTW1337" s="4" t="s">
        <v>2881</v>
      </c>
      <c r="VTX1337" s="4" t="s">
        <v>2881</v>
      </c>
      <c r="VTY1337" s="4" t="s">
        <v>2881</v>
      </c>
      <c r="VTZ1337" s="4" t="s">
        <v>2881</v>
      </c>
      <c r="VUA1337" s="4" t="s">
        <v>2881</v>
      </c>
      <c r="VUB1337" s="4" t="s">
        <v>2881</v>
      </c>
      <c r="VUC1337" s="4" t="s">
        <v>2881</v>
      </c>
      <c r="VUD1337" s="4" t="s">
        <v>2881</v>
      </c>
      <c r="VUE1337" s="4" t="s">
        <v>2881</v>
      </c>
      <c r="VUF1337" s="4" t="s">
        <v>2881</v>
      </c>
      <c r="VUG1337" s="4" t="s">
        <v>2881</v>
      </c>
      <c r="VUH1337" s="4" t="s">
        <v>2881</v>
      </c>
      <c r="VUI1337" s="4" t="s">
        <v>2881</v>
      </c>
      <c r="VUJ1337" s="4" t="s">
        <v>2881</v>
      </c>
      <c r="VUK1337" s="4" t="s">
        <v>2881</v>
      </c>
      <c r="VUL1337" s="4" t="s">
        <v>2881</v>
      </c>
      <c r="VUM1337" s="4" t="s">
        <v>2881</v>
      </c>
      <c r="VUN1337" s="4" t="s">
        <v>2881</v>
      </c>
      <c r="VUO1337" s="4" t="s">
        <v>2881</v>
      </c>
      <c r="VUP1337" s="4" t="s">
        <v>2881</v>
      </c>
      <c r="VUQ1337" s="4" t="s">
        <v>2881</v>
      </c>
      <c r="VUR1337" s="4" t="s">
        <v>2881</v>
      </c>
      <c r="VUS1337" s="4" t="s">
        <v>2881</v>
      </c>
      <c r="VUT1337" s="4" t="s">
        <v>2881</v>
      </c>
      <c r="VUU1337" s="4" t="s">
        <v>2881</v>
      </c>
      <c r="VUV1337" s="4" t="s">
        <v>2881</v>
      </c>
      <c r="VUW1337" s="4" t="s">
        <v>2881</v>
      </c>
      <c r="VUX1337" s="4" t="s">
        <v>2881</v>
      </c>
      <c r="VUY1337" s="4" t="s">
        <v>2881</v>
      </c>
      <c r="VUZ1337" s="4" t="s">
        <v>2881</v>
      </c>
      <c r="VVA1337" s="4" t="s">
        <v>2881</v>
      </c>
      <c r="VVB1337" s="4" t="s">
        <v>2881</v>
      </c>
      <c r="VVC1337" s="4" t="s">
        <v>2881</v>
      </c>
      <c r="VVD1337" s="4" t="s">
        <v>2881</v>
      </c>
      <c r="VVE1337" s="4" t="s">
        <v>2881</v>
      </c>
      <c r="VVF1337" s="4" t="s">
        <v>2881</v>
      </c>
      <c r="VVG1337" s="4" t="s">
        <v>2881</v>
      </c>
      <c r="VVH1337" s="4" t="s">
        <v>2881</v>
      </c>
      <c r="VVI1337" s="4" t="s">
        <v>2881</v>
      </c>
      <c r="VVJ1337" s="4" t="s">
        <v>2881</v>
      </c>
      <c r="VVK1337" s="4" t="s">
        <v>2881</v>
      </c>
      <c r="VVL1337" s="4" t="s">
        <v>2881</v>
      </c>
      <c r="VVM1337" s="4" t="s">
        <v>2881</v>
      </c>
      <c r="VVN1337" s="4" t="s">
        <v>2881</v>
      </c>
      <c r="VVO1337" s="4" t="s">
        <v>2881</v>
      </c>
      <c r="VVP1337" s="4" t="s">
        <v>2881</v>
      </c>
      <c r="VVQ1337" s="4" t="s">
        <v>2881</v>
      </c>
      <c r="VVR1337" s="4" t="s">
        <v>2881</v>
      </c>
      <c r="VVS1337" s="4" t="s">
        <v>2881</v>
      </c>
      <c r="VVT1337" s="4" t="s">
        <v>2881</v>
      </c>
      <c r="VVU1337" s="4" t="s">
        <v>2881</v>
      </c>
      <c r="VVV1337" s="4" t="s">
        <v>2881</v>
      </c>
      <c r="VVW1337" s="4" t="s">
        <v>2881</v>
      </c>
      <c r="VVX1337" s="4" t="s">
        <v>2881</v>
      </c>
      <c r="VVY1337" s="4" t="s">
        <v>2881</v>
      </c>
      <c r="VVZ1337" s="4" t="s">
        <v>2881</v>
      </c>
      <c r="VWA1337" s="4" t="s">
        <v>2881</v>
      </c>
      <c r="VWB1337" s="4" t="s">
        <v>2881</v>
      </c>
      <c r="VWC1337" s="4" t="s">
        <v>2881</v>
      </c>
      <c r="VWD1337" s="4" t="s">
        <v>2881</v>
      </c>
      <c r="VWE1337" s="4" t="s">
        <v>2881</v>
      </c>
      <c r="VWF1337" s="4" t="s">
        <v>2881</v>
      </c>
      <c r="VWG1337" s="4" t="s">
        <v>2881</v>
      </c>
      <c r="VWH1337" s="4" t="s">
        <v>2881</v>
      </c>
      <c r="VWI1337" s="4" t="s">
        <v>2881</v>
      </c>
      <c r="VWJ1337" s="4" t="s">
        <v>2881</v>
      </c>
      <c r="VWK1337" s="4" t="s">
        <v>2881</v>
      </c>
      <c r="VWL1337" s="4" t="s">
        <v>2881</v>
      </c>
      <c r="VWM1337" s="4" t="s">
        <v>2881</v>
      </c>
      <c r="VWN1337" s="4" t="s">
        <v>2881</v>
      </c>
      <c r="VWO1337" s="4" t="s">
        <v>2881</v>
      </c>
      <c r="VWP1337" s="4" t="s">
        <v>2881</v>
      </c>
      <c r="VWQ1337" s="4" t="s">
        <v>2881</v>
      </c>
      <c r="VWR1337" s="4" t="s">
        <v>2881</v>
      </c>
      <c r="VWS1337" s="4" t="s">
        <v>2881</v>
      </c>
      <c r="VWT1337" s="4" t="s">
        <v>2881</v>
      </c>
      <c r="VWU1337" s="4" t="s">
        <v>2881</v>
      </c>
      <c r="VWV1337" s="4" t="s">
        <v>2881</v>
      </c>
      <c r="VWW1337" s="4" t="s">
        <v>2881</v>
      </c>
      <c r="VWX1337" s="4" t="s">
        <v>2881</v>
      </c>
      <c r="VWY1337" s="4" t="s">
        <v>2881</v>
      </c>
      <c r="VWZ1337" s="4" t="s">
        <v>2881</v>
      </c>
      <c r="VXA1337" s="4" t="s">
        <v>2881</v>
      </c>
      <c r="VXB1337" s="4" t="s">
        <v>2881</v>
      </c>
      <c r="VXC1337" s="4" t="s">
        <v>2881</v>
      </c>
      <c r="VXD1337" s="4" t="s">
        <v>2881</v>
      </c>
      <c r="VXE1337" s="4" t="s">
        <v>2881</v>
      </c>
      <c r="VXF1337" s="4" t="s">
        <v>2881</v>
      </c>
      <c r="VXG1337" s="4" t="s">
        <v>2881</v>
      </c>
      <c r="VXH1337" s="4" t="s">
        <v>2881</v>
      </c>
      <c r="VXI1337" s="4" t="s">
        <v>2881</v>
      </c>
      <c r="VXJ1337" s="4" t="s">
        <v>2881</v>
      </c>
      <c r="VXK1337" s="4" t="s">
        <v>2881</v>
      </c>
      <c r="VXL1337" s="4" t="s">
        <v>2881</v>
      </c>
      <c r="VXM1337" s="4" t="s">
        <v>2881</v>
      </c>
      <c r="VXN1337" s="4" t="s">
        <v>2881</v>
      </c>
      <c r="VXO1337" s="4" t="s">
        <v>2881</v>
      </c>
      <c r="VXP1337" s="4" t="s">
        <v>2881</v>
      </c>
      <c r="VXQ1337" s="4" t="s">
        <v>2881</v>
      </c>
      <c r="VXR1337" s="4" t="s">
        <v>2881</v>
      </c>
      <c r="VXS1337" s="4" t="s">
        <v>2881</v>
      </c>
      <c r="VXT1337" s="4" t="s">
        <v>2881</v>
      </c>
      <c r="VXU1337" s="4" t="s">
        <v>2881</v>
      </c>
      <c r="VXV1337" s="4" t="s">
        <v>2881</v>
      </c>
      <c r="VXW1337" s="4" t="s">
        <v>2881</v>
      </c>
      <c r="VXX1337" s="4" t="s">
        <v>2881</v>
      </c>
      <c r="VXY1337" s="4" t="s">
        <v>2881</v>
      </c>
      <c r="VXZ1337" s="4" t="s">
        <v>2881</v>
      </c>
      <c r="VYA1337" s="4" t="s">
        <v>2881</v>
      </c>
      <c r="VYB1337" s="4" t="s">
        <v>2881</v>
      </c>
      <c r="VYC1337" s="4" t="s">
        <v>2881</v>
      </c>
      <c r="VYD1337" s="4" t="s">
        <v>2881</v>
      </c>
      <c r="VYE1337" s="4" t="s">
        <v>2881</v>
      </c>
      <c r="VYF1337" s="4" t="s">
        <v>2881</v>
      </c>
      <c r="VYG1337" s="4" t="s">
        <v>2881</v>
      </c>
      <c r="VYH1337" s="4" t="s">
        <v>2881</v>
      </c>
      <c r="VYI1337" s="4" t="s">
        <v>2881</v>
      </c>
      <c r="VYJ1337" s="4" t="s">
        <v>2881</v>
      </c>
      <c r="VYK1337" s="4" t="s">
        <v>2881</v>
      </c>
      <c r="VYL1337" s="4" t="s">
        <v>2881</v>
      </c>
      <c r="VYM1337" s="4" t="s">
        <v>2881</v>
      </c>
      <c r="VYN1337" s="4" t="s">
        <v>2881</v>
      </c>
      <c r="VYO1337" s="4" t="s">
        <v>2881</v>
      </c>
      <c r="VYP1337" s="4" t="s">
        <v>2881</v>
      </c>
      <c r="VYQ1337" s="4" t="s">
        <v>2881</v>
      </c>
      <c r="VYR1337" s="4" t="s">
        <v>2881</v>
      </c>
      <c r="VYS1337" s="4" t="s">
        <v>2881</v>
      </c>
      <c r="VYT1337" s="4" t="s">
        <v>2881</v>
      </c>
      <c r="VYU1337" s="4" t="s">
        <v>2881</v>
      </c>
      <c r="VYV1337" s="4" t="s">
        <v>2881</v>
      </c>
      <c r="VYW1337" s="4" t="s">
        <v>2881</v>
      </c>
      <c r="VYX1337" s="4" t="s">
        <v>2881</v>
      </c>
      <c r="VYY1337" s="4" t="s">
        <v>2881</v>
      </c>
      <c r="VYZ1337" s="4" t="s">
        <v>2881</v>
      </c>
      <c r="VZA1337" s="4" t="s">
        <v>2881</v>
      </c>
      <c r="VZB1337" s="4" t="s">
        <v>2881</v>
      </c>
      <c r="VZC1337" s="4" t="s">
        <v>2881</v>
      </c>
      <c r="VZD1337" s="4" t="s">
        <v>2881</v>
      </c>
      <c r="VZE1337" s="4" t="s">
        <v>2881</v>
      </c>
      <c r="VZF1337" s="4" t="s">
        <v>2881</v>
      </c>
      <c r="VZG1337" s="4" t="s">
        <v>2881</v>
      </c>
      <c r="VZH1337" s="4" t="s">
        <v>2881</v>
      </c>
      <c r="VZI1337" s="4" t="s">
        <v>2881</v>
      </c>
      <c r="VZJ1337" s="4" t="s">
        <v>2881</v>
      </c>
      <c r="VZK1337" s="4" t="s">
        <v>2881</v>
      </c>
      <c r="VZL1337" s="4" t="s">
        <v>2881</v>
      </c>
      <c r="VZM1337" s="4" t="s">
        <v>2881</v>
      </c>
      <c r="VZN1337" s="4" t="s">
        <v>2881</v>
      </c>
      <c r="VZO1337" s="4" t="s">
        <v>2881</v>
      </c>
      <c r="VZP1337" s="4" t="s">
        <v>2881</v>
      </c>
      <c r="VZQ1337" s="4" t="s">
        <v>2881</v>
      </c>
      <c r="VZR1337" s="4" t="s">
        <v>2881</v>
      </c>
      <c r="VZS1337" s="4" t="s">
        <v>2881</v>
      </c>
      <c r="VZT1337" s="4" t="s">
        <v>2881</v>
      </c>
      <c r="VZU1337" s="4" t="s">
        <v>2881</v>
      </c>
      <c r="VZV1337" s="4" t="s">
        <v>2881</v>
      </c>
      <c r="VZW1337" s="4" t="s">
        <v>2881</v>
      </c>
      <c r="VZX1337" s="4" t="s">
        <v>2881</v>
      </c>
      <c r="VZY1337" s="4" t="s">
        <v>2881</v>
      </c>
      <c r="VZZ1337" s="4" t="s">
        <v>2881</v>
      </c>
      <c r="WAA1337" s="4" t="s">
        <v>2881</v>
      </c>
      <c r="WAB1337" s="4" t="s">
        <v>2881</v>
      </c>
      <c r="WAC1337" s="4" t="s">
        <v>2881</v>
      </c>
      <c r="WAD1337" s="4" t="s">
        <v>2881</v>
      </c>
      <c r="WAE1337" s="4" t="s">
        <v>2881</v>
      </c>
      <c r="WAF1337" s="4" t="s">
        <v>2881</v>
      </c>
      <c r="WAG1337" s="4" t="s">
        <v>2881</v>
      </c>
      <c r="WAH1337" s="4" t="s">
        <v>2881</v>
      </c>
      <c r="WAI1337" s="4" t="s">
        <v>2881</v>
      </c>
      <c r="WAJ1337" s="4" t="s">
        <v>2881</v>
      </c>
      <c r="WAK1337" s="4" t="s">
        <v>2881</v>
      </c>
      <c r="WAL1337" s="4" t="s">
        <v>2881</v>
      </c>
      <c r="WAM1337" s="4" t="s">
        <v>2881</v>
      </c>
      <c r="WAN1337" s="4" t="s">
        <v>2881</v>
      </c>
      <c r="WAO1337" s="4" t="s">
        <v>2881</v>
      </c>
      <c r="WAP1337" s="4" t="s">
        <v>2881</v>
      </c>
      <c r="WAQ1337" s="4" t="s">
        <v>2881</v>
      </c>
      <c r="WAR1337" s="4" t="s">
        <v>2881</v>
      </c>
      <c r="WAS1337" s="4" t="s">
        <v>2881</v>
      </c>
      <c r="WAT1337" s="4" t="s">
        <v>2881</v>
      </c>
      <c r="WAU1337" s="4" t="s">
        <v>2881</v>
      </c>
      <c r="WAV1337" s="4" t="s">
        <v>2881</v>
      </c>
      <c r="WAW1337" s="4" t="s">
        <v>2881</v>
      </c>
      <c r="WAX1337" s="4" t="s">
        <v>2881</v>
      </c>
      <c r="WAY1337" s="4" t="s">
        <v>2881</v>
      </c>
      <c r="WAZ1337" s="4" t="s">
        <v>2881</v>
      </c>
      <c r="WBA1337" s="4" t="s">
        <v>2881</v>
      </c>
      <c r="WBB1337" s="4" t="s">
        <v>2881</v>
      </c>
      <c r="WBC1337" s="4" t="s">
        <v>2881</v>
      </c>
      <c r="WBD1337" s="4" t="s">
        <v>2881</v>
      </c>
      <c r="WBE1337" s="4" t="s">
        <v>2881</v>
      </c>
      <c r="WBF1337" s="4" t="s">
        <v>2881</v>
      </c>
      <c r="WBG1337" s="4" t="s">
        <v>2881</v>
      </c>
      <c r="WBH1337" s="4" t="s">
        <v>2881</v>
      </c>
      <c r="WBI1337" s="4" t="s">
        <v>2881</v>
      </c>
      <c r="WBJ1337" s="4" t="s">
        <v>2881</v>
      </c>
      <c r="WBK1337" s="4" t="s">
        <v>2881</v>
      </c>
      <c r="WBL1337" s="4" t="s">
        <v>2881</v>
      </c>
      <c r="WBM1337" s="4" t="s">
        <v>2881</v>
      </c>
      <c r="WBN1337" s="4" t="s">
        <v>2881</v>
      </c>
      <c r="WBO1337" s="4" t="s">
        <v>2881</v>
      </c>
      <c r="WBP1337" s="4" t="s">
        <v>2881</v>
      </c>
      <c r="WBQ1337" s="4" t="s">
        <v>2881</v>
      </c>
      <c r="WBR1337" s="4" t="s">
        <v>2881</v>
      </c>
      <c r="WBS1337" s="4" t="s">
        <v>2881</v>
      </c>
      <c r="WBT1337" s="4" t="s">
        <v>2881</v>
      </c>
      <c r="WBU1337" s="4" t="s">
        <v>2881</v>
      </c>
      <c r="WBV1337" s="4" t="s">
        <v>2881</v>
      </c>
      <c r="WBW1337" s="4" t="s">
        <v>2881</v>
      </c>
      <c r="WBX1337" s="4" t="s">
        <v>2881</v>
      </c>
      <c r="WBY1337" s="4" t="s">
        <v>2881</v>
      </c>
      <c r="WBZ1337" s="4" t="s">
        <v>2881</v>
      </c>
      <c r="WCA1337" s="4" t="s">
        <v>2881</v>
      </c>
      <c r="WCB1337" s="4" t="s">
        <v>2881</v>
      </c>
      <c r="WCC1337" s="4" t="s">
        <v>2881</v>
      </c>
      <c r="WCD1337" s="4" t="s">
        <v>2881</v>
      </c>
      <c r="WCE1337" s="4" t="s">
        <v>2881</v>
      </c>
      <c r="WCF1337" s="4" t="s">
        <v>2881</v>
      </c>
      <c r="WCG1337" s="4" t="s">
        <v>2881</v>
      </c>
      <c r="WCH1337" s="4" t="s">
        <v>2881</v>
      </c>
      <c r="WCI1337" s="4" t="s">
        <v>2881</v>
      </c>
      <c r="WCJ1337" s="4" t="s">
        <v>2881</v>
      </c>
      <c r="WCK1337" s="4" t="s">
        <v>2881</v>
      </c>
      <c r="WCL1337" s="4" t="s">
        <v>2881</v>
      </c>
      <c r="WCM1337" s="4" t="s">
        <v>2881</v>
      </c>
      <c r="WCN1337" s="4" t="s">
        <v>2881</v>
      </c>
      <c r="WCO1337" s="4" t="s">
        <v>2881</v>
      </c>
      <c r="WCP1337" s="4" t="s">
        <v>2881</v>
      </c>
      <c r="WCQ1337" s="4" t="s">
        <v>2881</v>
      </c>
      <c r="WCR1337" s="4" t="s">
        <v>2881</v>
      </c>
      <c r="WCS1337" s="4" t="s">
        <v>2881</v>
      </c>
      <c r="WCT1337" s="4" t="s">
        <v>2881</v>
      </c>
      <c r="WCU1337" s="4" t="s">
        <v>2881</v>
      </c>
      <c r="WCV1337" s="4" t="s">
        <v>2881</v>
      </c>
      <c r="WCW1337" s="4" t="s">
        <v>2881</v>
      </c>
      <c r="WCX1337" s="4" t="s">
        <v>2881</v>
      </c>
      <c r="WCY1337" s="4" t="s">
        <v>2881</v>
      </c>
      <c r="WCZ1337" s="4" t="s">
        <v>2881</v>
      </c>
      <c r="WDA1337" s="4" t="s">
        <v>2881</v>
      </c>
      <c r="WDB1337" s="4" t="s">
        <v>2881</v>
      </c>
      <c r="WDC1337" s="4" t="s">
        <v>2881</v>
      </c>
      <c r="WDD1337" s="4" t="s">
        <v>2881</v>
      </c>
      <c r="WDE1337" s="4" t="s">
        <v>2881</v>
      </c>
      <c r="WDF1337" s="4" t="s">
        <v>2881</v>
      </c>
      <c r="WDG1337" s="4" t="s">
        <v>2881</v>
      </c>
      <c r="WDH1337" s="4" t="s">
        <v>2881</v>
      </c>
      <c r="WDI1337" s="4" t="s">
        <v>2881</v>
      </c>
      <c r="WDJ1337" s="4" t="s">
        <v>2881</v>
      </c>
      <c r="WDK1337" s="4" t="s">
        <v>2881</v>
      </c>
      <c r="WDL1337" s="4" t="s">
        <v>2881</v>
      </c>
      <c r="WDM1337" s="4" t="s">
        <v>2881</v>
      </c>
      <c r="WDN1337" s="4" t="s">
        <v>2881</v>
      </c>
      <c r="WDO1337" s="4" t="s">
        <v>2881</v>
      </c>
      <c r="WDP1337" s="4" t="s">
        <v>2881</v>
      </c>
      <c r="WDQ1337" s="4" t="s">
        <v>2881</v>
      </c>
      <c r="WDR1337" s="4" t="s">
        <v>2881</v>
      </c>
      <c r="WDS1337" s="4" t="s">
        <v>2881</v>
      </c>
      <c r="WDT1337" s="4" t="s">
        <v>2881</v>
      </c>
      <c r="WDU1337" s="4" t="s">
        <v>2881</v>
      </c>
      <c r="WDV1337" s="4" t="s">
        <v>2881</v>
      </c>
      <c r="WDW1337" s="4" t="s">
        <v>2881</v>
      </c>
      <c r="WDX1337" s="4" t="s">
        <v>2881</v>
      </c>
      <c r="WDY1337" s="4" t="s">
        <v>2881</v>
      </c>
      <c r="WDZ1337" s="4" t="s">
        <v>2881</v>
      </c>
      <c r="WEA1337" s="4" t="s">
        <v>2881</v>
      </c>
      <c r="WEB1337" s="4" t="s">
        <v>2881</v>
      </c>
      <c r="WEC1337" s="4" t="s">
        <v>2881</v>
      </c>
      <c r="WED1337" s="4" t="s">
        <v>2881</v>
      </c>
      <c r="WEE1337" s="4" t="s">
        <v>2881</v>
      </c>
      <c r="WEF1337" s="4" t="s">
        <v>2881</v>
      </c>
      <c r="WEG1337" s="4" t="s">
        <v>2881</v>
      </c>
      <c r="WEH1337" s="4" t="s">
        <v>2881</v>
      </c>
      <c r="WEI1337" s="4" t="s">
        <v>2881</v>
      </c>
      <c r="WEJ1337" s="4" t="s">
        <v>2881</v>
      </c>
      <c r="WEK1337" s="4" t="s">
        <v>2881</v>
      </c>
      <c r="WEL1337" s="4" t="s">
        <v>2881</v>
      </c>
      <c r="WEM1337" s="4" t="s">
        <v>2881</v>
      </c>
      <c r="WEN1337" s="4" t="s">
        <v>2881</v>
      </c>
      <c r="WEO1337" s="4" t="s">
        <v>2881</v>
      </c>
      <c r="WEP1337" s="4" t="s">
        <v>2881</v>
      </c>
      <c r="WEQ1337" s="4" t="s">
        <v>2881</v>
      </c>
      <c r="WER1337" s="4" t="s">
        <v>2881</v>
      </c>
      <c r="WES1337" s="4" t="s">
        <v>2881</v>
      </c>
      <c r="WET1337" s="4" t="s">
        <v>2881</v>
      </c>
      <c r="WEU1337" s="4" t="s">
        <v>2881</v>
      </c>
      <c r="WEV1337" s="4" t="s">
        <v>2881</v>
      </c>
      <c r="WEW1337" s="4" t="s">
        <v>2881</v>
      </c>
      <c r="WEX1337" s="4" t="s">
        <v>2881</v>
      </c>
      <c r="WEY1337" s="4" t="s">
        <v>2881</v>
      </c>
      <c r="WEZ1337" s="4" t="s">
        <v>2881</v>
      </c>
      <c r="WFA1337" s="4" t="s">
        <v>2881</v>
      </c>
      <c r="WFB1337" s="4" t="s">
        <v>2881</v>
      </c>
      <c r="WFC1337" s="4" t="s">
        <v>2881</v>
      </c>
      <c r="WFD1337" s="4" t="s">
        <v>2881</v>
      </c>
      <c r="WFE1337" s="4" t="s">
        <v>2881</v>
      </c>
      <c r="WFF1337" s="4" t="s">
        <v>2881</v>
      </c>
      <c r="WFG1337" s="4" t="s">
        <v>2881</v>
      </c>
      <c r="WFH1337" s="4" t="s">
        <v>2881</v>
      </c>
      <c r="WFI1337" s="4" t="s">
        <v>2881</v>
      </c>
      <c r="WFJ1337" s="4" t="s">
        <v>2881</v>
      </c>
      <c r="WFK1337" s="4" t="s">
        <v>2881</v>
      </c>
      <c r="WFL1337" s="4" t="s">
        <v>2881</v>
      </c>
      <c r="WFM1337" s="4" t="s">
        <v>2881</v>
      </c>
      <c r="WFN1337" s="4" t="s">
        <v>2881</v>
      </c>
      <c r="WFO1337" s="4" t="s">
        <v>2881</v>
      </c>
      <c r="WFP1337" s="4" t="s">
        <v>2881</v>
      </c>
      <c r="WFQ1337" s="4" t="s">
        <v>2881</v>
      </c>
      <c r="WFR1337" s="4" t="s">
        <v>2881</v>
      </c>
      <c r="WFS1337" s="4" t="s">
        <v>2881</v>
      </c>
      <c r="WFT1337" s="4" t="s">
        <v>2881</v>
      </c>
      <c r="WFU1337" s="4" t="s">
        <v>2881</v>
      </c>
      <c r="WFV1337" s="4" t="s">
        <v>2881</v>
      </c>
      <c r="WFW1337" s="4" t="s">
        <v>2881</v>
      </c>
      <c r="WFX1337" s="4" t="s">
        <v>2881</v>
      </c>
      <c r="WFY1337" s="4" t="s">
        <v>2881</v>
      </c>
      <c r="WFZ1337" s="4" t="s">
        <v>2881</v>
      </c>
      <c r="WGA1337" s="4" t="s">
        <v>2881</v>
      </c>
      <c r="WGB1337" s="4" t="s">
        <v>2881</v>
      </c>
      <c r="WGC1337" s="4" t="s">
        <v>2881</v>
      </c>
      <c r="WGD1337" s="4" t="s">
        <v>2881</v>
      </c>
      <c r="WGE1337" s="4" t="s">
        <v>2881</v>
      </c>
      <c r="WGF1337" s="4" t="s">
        <v>2881</v>
      </c>
      <c r="WGG1337" s="4" t="s">
        <v>2881</v>
      </c>
      <c r="WGH1337" s="4" t="s">
        <v>2881</v>
      </c>
      <c r="WGI1337" s="4" t="s">
        <v>2881</v>
      </c>
      <c r="WGJ1337" s="4" t="s">
        <v>2881</v>
      </c>
      <c r="WGK1337" s="4" t="s">
        <v>2881</v>
      </c>
      <c r="WGL1337" s="4" t="s">
        <v>2881</v>
      </c>
      <c r="WGM1337" s="4" t="s">
        <v>2881</v>
      </c>
      <c r="WGN1337" s="4" t="s">
        <v>2881</v>
      </c>
      <c r="WGO1337" s="4" t="s">
        <v>2881</v>
      </c>
      <c r="WGP1337" s="4" t="s">
        <v>2881</v>
      </c>
      <c r="WGQ1337" s="4" t="s">
        <v>2881</v>
      </c>
      <c r="WGR1337" s="4" t="s">
        <v>2881</v>
      </c>
      <c r="WGS1337" s="4" t="s">
        <v>2881</v>
      </c>
      <c r="WGT1337" s="4" t="s">
        <v>2881</v>
      </c>
      <c r="WGU1337" s="4" t="s">
        <v>2881</v>
      </c>
      <c r="WGV1337" s="4" t="s">
        <v>2881</v>
      </c>
      <c r="WGW1337" s="4" t="s">
        <v>2881</v>
      </c>
      <c r="WGX1337" s="4" t="s">
        <v>2881</v>
      </c>
      <c r="WGY1337" s="4" t="s">
        <v>2881</v>
      </c>
      <c r="WGZ1337" s="4" t="s">
        <v>2881</v>
      </c>
      <c r="WHA1337" s="4" t="s">
        <v>2881</v>
      </c>
      <c r="WHB1337" s="4" t="s">
        <v>2881</v>
      </c>
      <c r="WHC1337" s="4" t="s">
        <v>2881</v>
      </c>
      <c r="WHD1337" s="4" t="s">
        <v>2881</v>
      </c>
      <c r="WHE1337" s="4" t="s">
        <v>2881</v>
      </c>
      <c r="WHF1337" s="4" t="s">
        <v>2881</v>
      </c>
      <c r="WHG1337" s="4" t="s">
        <v>2881</v>
      </c>
      <c r="WHH1337" s="4" t="s">
        <v>2881</v>
      </c>
      <c r="WHI1337" s="4" t="s">
        <v>2881</v>
      </c>
      <c r="WHJ1337" s="4" t="s">
        <v>2881</v>
      </c>
      <c r="WHK1337" s="4" t="s">
        <v>2881</v>
      </c>
      <c r="WHL1337" s="4" t="s">
        <v>2881</v>
      </c>
      <c r="WHM1337" s="4" t="s">
        <v>2881</v>
      </c>
      <c r="WHN1337" s="4" t="s">
        <v>2881</v>
      </c>
      <c r="WHO1337" s="4" t="s">
        <v>2881</v>
      </c>
      <c r="WHP1337" s="4" t="s">
        <v>2881</v>
      </c>
      <c r="WHQ1337" s="4" t="s">
        <v>2881</v>
      </c>
      <c r="WHR1337" s="4" t="s">
        <v>2881</v>
      </c>
      <c r="WHS1337" s="4" t="s">
        <v>2881</v>
      </c>
      <c r="WHT1337" s="4" t="s">
        <v>2881</v>
      </c>
      <c r="WHU1337" s="4" t="s">
        <v>2881</v>
      </c>
      <c r="WHV1337" s="4" t="s">
        <v>2881</v>
      </c>
      <c r="WHW1337" s="4" t="s">
        <v>2881</v>
      </c>
      <c r="WHX1337" s="4" t="s">
        <v>2881</v>
      </c>
      <c r="WHY1337" s="4" t="s">
        <v>2881</v>
      </c>
      <c r="WHZ1337" s="4" t="s">
        <v>2881</v>
      </c>
      <c r="WIA1337" s="4" t="s">
        <v>2881</v>
      </c>
      <c r="WIB1337" s="4" t="s">
        <v>2881</v>
      </c>
      <c r="WIC1337" s="4" t="s">
        <v>2881</v>
      </c>
      <c r="WID1337" s="4" t="s">
        <v>2881</v>
      </c>
      <c r="WIE1337" s="4" t="s">
        <v>2881</v>
      </c>
      <c r="WIF1337" s="4" t="s">
        <v>2881</v>
      </c>
      <c r="WIG1337" s="4" t="s">
        <v>2881</v>
      </c>
      <c r="WIH1337" s="4" t="s">
        <v>2881</v>
      </c>
      <c r="WII1337" s="4" t="s">
        <v>2881</v>
      </c>
      <c r="WIJ1337" s="4" t="s">
        <v>2881</v>
      </c>
      <c r="WIK1337" s="4" t="s">
        <v>2881</v>
      </c>
      <c r="WIL1337" s="4" t="s">
        <v>2881</v>
      </c>
      <c r="WIM1337" s="4" t="s">
        <v>2881</v>
      </c>
      <c r="WIN1337" s="4" t="s">
        <v>2881</v>
      </c>
      <c r="WIO1337" s="4" t="s">
        <v>2881</v>
      </c>
      <c r="WIP1337" s="4" t="s">
        <v>2881</v>
      </c>
      <c r="WIQ1337" s="4" t="s">
        <v>2881</v>
      </c>
      <c r="WIR1337" s="4" t="s">
        <v>2881</v>
      </c>
      <c r="WIS1337" s="4" t="s">
        <v>2881</v>
      </c>
      <c r="WIT1337" s="4" t="s">
        <v>2881</v>
      </c>
      <c r="WIU1337" s="4" t="s">
        <v>2881</v>
      </c>
      <c r="WIV1337" s="4" t="s">
        <v>2881</v>
      </c>
      <c r="WIW1337" s="4" t="s">
        <v>2881</v>
      </c>
      <c r="WIX1337" s="4" t="s">
        <v>2881</v>
      </c>
      <c r="WIY1337" s="4" t="s">
        <v>2881</v>
      </c>
      <c r="WIZ1337" s="4" t="s">
        <v>2881</v>
      </c>
      <c r="WJA1337" s="4" t="s">
        <v>2881</v>
      </c>
      <c r="WJB1337" s="4" t="s">
        <v>2881</v>
      </c>
      <c r="WJC1337" s="4" t="s">
        <v>2881</v>
      </c>
      <c r="WJD1337" s="4" t="s">
        <v>2881</v>
      </c>
      <c r="WJE1337" s="4" t="s">
        <v>2881</v>
      </c>
      <c r="WJF1337" s="4" t="s">
        <v>2881</v>
      </c>
      <c r="WJG1337" s="4" t="s">
        <v>2881</v>
      </c>
      <c r="WJH1337" s="4" t="s">
        <v>2881</v>
      </c>
      <c r="WJI1337" s="4" t="s">
        <v>2881</v>
      </c>
      <c r="WJJ1337" s="4" t="s">
        <v>2881</v>
      </c>
      <c r="WJK1337" s="4" t="s">
        <v>2881</v>
      </c>
      <c r="WJL1337" s="4" t="s">
        <v>2881</v>
      </c>
      <c r="WJM1337" s="4" t="s">
        <v>2881</v>
      </c>
      <c r="WJN1337" s="4" t="s">
        <v>2881</v>
      </c>
      <c r="WJO1337" s="4" t="s">
        <v>2881</v>
      </c>
      <c r="WJP1337" s="4" t="s">
        <v>2881</v>
      </c>
      <c r="WJQ1337" s="4" t="s">
        <v>2881</v>
      </c>
      <c r="WJR1337" s="4" t="s">
        <v>2881</v>
      </c>
      <c r="WJS1337" s="4" t="s">
        <v>2881</v>
      </c>
      <c r="WJT1337" s="4" t="s">
        <v>2881</v>
      </c>
      <c r="WJU1337" s="4" t="s">
        <v>2881</v>
      </c>
      <c r="WJV1337" s="4" t="s">
        <v>2881</v>
      </c>
      <c r="WJW1337" s="4" t="s">
        <v>2881</v>
      </c>
      <c r="WJX1337" s="4" t="s">
        <v>2881</v>
      </c>
      <c r="WJY1337" s="4" t="s">
        <v>2881</v>
      </c>
      <c r="WJZ1337" s="4" t="s">
        <v>2881</v>
      </c>
      <c r="WKA1337" s="4" t="s">
        <v>2881</v>
      </c>
      <c r="WKB1337" s="4" t="s">
        <v>2881</v>
      </c>
      <c r="WKC1337" s="4" t="s">
        <v>2881</v>
      </c>
      <c r="WKD1337" s="4" t="s">
        <v>2881</v>
      </c>
      <c r="WKE1337" s="4" t="s">
        <v>2881</v>
      </c>
      <c r="WKF1337" s="4" t="s">
        <v>2881</v>
      </c>
      <c r="WKG1337" s="4" t="s">
        <v>2881</v>
      </c>
      <c r="WKH1337" s="4" t="s">
        <v>2881</v>
      </c>
      <c r="WKI1337" s="4" t="s">
        <v>2881</v>
      </c>
      <c r="WKJ1337" s="4" t="s">
        <v>2881</v>
      </c>
      <c r="WKK1337" s="4" t="s">
        <v>2881</v>
      </c>
      <c r="WKL1337" s="4" t="s">
        <v>2881</v>
      </c>
      <c r="WKM1337" s="4" t="s">
        <v>2881</v>
      </c>
      <c r="WKN1337" s="4" t="s">
        <v>2881</v>
      </c>
      <c r="WKO1337" s="4" t="s">
        <v>2881</v>
      </c>
      <c r="WKP1337" s="4" t="s">
        <v>2881</v>
      </c>
      <c r="WKQ1337" s="4" t="s">
        <v>2881</v>
      </c>
      <c r="WKR1337" s="4" t="s">
        <v>2881</v>
      </c>
      <c r="WKS1337" s="4" t="s">
        <v>2881</v>
      </c>
      <c r="WKT1337" s="4" t="s">
        <v>2881</v>
      </c>
      <c r="WKU1337" s="4" t="s">
        <v>2881</v>
      </c>
      <c r="WKV1337" s="4" t="s">
        <v>2881</v>
      </c>
      <c r="WKW1337" s="4" t="s">
        <v>2881</v>
      </c>
      <c r="WKX1337" s="4" t="s">
        <v>2881</v>
      </c>
      <c r="WKY1337" s="4" t="s">
        <v>2881</v>
      </c>
      <c r="WKZ1337" s="4" t="s">
        <v>2881</v>
      </c>
      <c r="WLA1337" s="4" t="s">
        <v>2881</v>
      </c>
      <c r="WLB1337" s="4" t="s">
        <v>2881</v>
      </c>
      <c r="WLC1337" s="4" t="s">
        <v>2881</v>
      </c>
      <c r="WLD1337" s="4" t="s">
        <v>2881</v>
      </c>
      <c r="WLE1337" s="4" t="s">
        <v>2881</v>
      </c>
      <c r="WLF1337" s="4" t="s">
        <v>2881</v>
      </c>
      <c r="WLG1337" s="4" t="s">
        <v>2881</v>
      </c>
      <c r="WLH1337" s="4" t="s">
        <v>2881</v>
      </c>
      <c r="WLI1337" s="4" t="s">
        <v>2881</v>
      </c>
      <c r="WLJ1337" s="4" t="s">
        <v>2881</v>
      </c>
      <c r="WLK1337" s="4" t="s">
        <v>2881</v>
      </c>
      <c r="WLL1337" s="4" t="s">
        <v>2881</v>
      </c>
      <c r="WLM1337" s="4" t="s">
        <v>2881</v>
      </c>
      <c r="WLN1337" s="4" t="s">
        <v>2881</v>
      </c>
      <c r="WLO1337" s="4" t="s">
        <v>2881</v>
      </c>
      <c r="WLP1337" s="4" t="s">
        <v>2881</v>
      </c>
      <c r="WLQ1337" s="4" t="s">
        <v>2881</v>
      </c>
      <c r="WLR1337" s="4" t="s">
        <v>2881</v>
      </c>
      <c r="WLS1337" s="4" t="s">
        <v>2881</v>
      </c>
      <c r="WLT1337" s="4" t="s">
        <v>2881</v>
      </c>
      <c r="WLU1337" s="4" t="s">
        <v>2881</v>
      </c>
      <c r="WLV1337" s="4" t="s">
        <v>2881</v>
      </c>
      <c r="WLW1337" s="4" t="s">
        <v>2881</v>
      </c>
      <c r="WLX1337" s="4" t="s">
        <v>2881</v>
      </c>
      <c r="WLY1337" s="4" t="s">
        <v>2881</v>
      </c>
      <c r="WLZ1337" s="4" t="s">
        <v>2881</v>
      </c>
      <c r="WMA1337" s="4" t="s">
        <v>2881</v>
      </c>
      <c r="WMB1337" s="4" t="s">
        <v>2881</v>
      </c>
      <c r="WMC1337" s="4" t="s">
        <v>2881</v>
      </c>
      <c r="WMD1337" s="4" t="s">
        <v>2881</v>
      </c>
      <c r="WME1337" s="4" t="s">
        <v>2881</v>
      </c>
      <c r="WMF1337" s="4" t="s">
        <v>2881</v>
      </c>
      <c r="WMG1337" s="4" t="s">
        <v>2881</v>
      </c>
      <c r="WMH1337" s="4" t="s">
        <v>2881</v>
      </c>
      <c r="WMI1337" s="4" t="s">
        <v>2881</v>
      </c>
      <c r="WMJ1337" s="4" t="s">
        <v>2881</v>
      </c>
      <c r="WMK1337" s="4" t="s">
        <v>2881</v>
      </c>
      <c r="WML1337" s="4" t="s">
        <v>2881</v>
      </c>
      <c r="WMM1337" s="4" t="s">
        <v>2881</v>
      </c>
      <c r="WMN1337" s="4" t="s">
        <v>2881</v>
      </c>
      <c r="WMO1337" s="4" t="s">
        <v>2881</v>
      </c>
      <c r="WMP1337" s="4" t="s">
        <v>2881</v>
      </c>
      <c r="WMQ1337" s="4" t="s">
        <v>2881</v>
      </c>
      <c r="WMR1337" s="4" t="s">
        <v>2881</v>
      </c>
      <c r="WMS1337" s="4" t="s">
        <v>2881</v>
      </c>
      <c r="WMT1337" s="4" t="s">
        <v>2881</v>
      </c>
      <c r="WMU1337" s="4" t="s">
        <v>2881</v>
      </c>
      <c r="WMV1337" s="4" t="s">
        <v>2881</v>
      </c>
      <c r="WMW1337" s="4" t="s">
        <v>2881</v>
      </c>
      <c r="WMX1337" s="4" t="s">
        <v>2881</v>
      </c>
      <c r="WMY1337" s="4" t="s">
        <v>2881</v>
      </c>
      <c r="WMZ1337" s="4" t="s">
        <v>2881</v>
      </c>
      <c r="WNA1337" s="4" t="s">
        <v>2881</v>
      </c>
      <c r="WNB1337" s="4" t="s">
        <v>2881</v>
      </c>
      <c r="WNC1337" s="4" t="s">
        <v>2881</v>
      </c>
      <c r="WND1337" s="4" t="s">
        <v>2881</v>
      </c>
      <c r="WNE1337" s="4" t="s">
        <v>2881</v>
      </c>
      <c r="WNF1337" s="4" t="s">
        <v>2881</v>
      </c>
      <c r="WNG1337" s="4" t="s">
        <v>2881</v>
      </c>
      <c r="WNH1337" s="4" t="s">
        <v>2881</v>
      </c>
      <c r="WNI1337" s="4" t="s">
        <v>2881</v>
      </c>
      <c r="WNJ1337" s="4" t="s">
        <v>2881</v>
      </c>
      <c r="WNK1337" s="4" t="s">
        <v>2881</v>
      </c>
      <c r="WNL1337" s="4" t="s">
        <v>2881</v>
      </c>
      <c r="WNM1337" s="4" t="s">
        <v>2881</v>
      </c>
      <c r="WNN1337" s="4" t="s">
        <v>2881</v>
      </c>
      <c r="WNO1337" s="4" t="s">
        <v>2881</v>
      </c>
      <c r="WNP1337" s="4" t="s">
        <v>2881</v>
      </c>
      <c r="WNQ1337" s="4" t="s">
        <v>2881</v>
      </c>
      <c r="WNR1337" s="4" t="s">
        <v>2881</v>
      </c>
      <c r="WNS1337" s="4" t="s">
        <v>2881</v>
      </c>
      <c r="WNT1337" s="4" t="s">
        <v>2881</v>
      </c>
      <c r="WNU1337" s="4" t="s">
        <v>2881</v>
      </c>
      <c r="WNV1337" s="4" t="s">
        <v>2881</v>
      </c>
      <c r="WNW1337" s="4" t="s">
        <v>2881</v>
      </c>
      <c r="WNX1337" s="4" t="s">
        <v>2881</v>
      </c>
      <c r="WNY1337" s="4" t="s">
        <v>2881</v>
      </c>
      <c r="WNZ1337" s="4" t="s">
        <v>2881</v>
      </c>
      <c r="WOA1337" s="4" t="s">
        <v>2881</v>
      </c>
      <c r="WOB1337" s="4" t="s">
        <v>2881</v>
      </c>
      <c r="WOC1337" s="4" t="s">
        <v>2881</v>
      </c>
      <c r="WOD1337" s="4" t="s">
        <v>2881</v>
      </c>
      <c r="WOE1337" s="4" t="s">
        <v>2881</v>
      </c>
      <c r="WOF1337" s="4" t="s">
        <v>2881</v>
      </c>
      <c r="WOG1337" s="4" t="s">
        <v>2881</v>
      </c>
      <c r="WOH1337" s="4" t="s">
        <v>2881</v>
      </c>
      <c r="WOI1337" s="4" t="s">
        <v>2881</v>
      </c>
      <c r="WOJ1337" s="4" t="s">
        <v>2881</v>
      </c>
      <c r="WOK1337" s="4" t="s">
        <v>2881</v>
      </c>
      <c r="WOL1337" s="4" t="s">
        <v>2881</v>
      </c>
      <c r="WOM1337" s="4" t="s">
        <v>2881</v>
      </c>
      <c r="WON1337" s="4" t="s">
        <v>2881</v>
      </c>
      <c r="WOO1337" s="4" t="s">
        <v>2881</v>
      </c>
      <c r="WOP1337" s="4" t="s">
        <v>2881</v>
      </c>
      <c r="WOQ1337" s="4" t="s">
        <v>2881</v>
      </c>
      <c r="WOR1337" s="4" t="s">
        <v>2881</v>
      </c>
      <c r="WOS1337" s="4" t="s">
        <v>2881</v>
      </c>
      <c r="WOT1337" s="4" t="s">
        <v>2881</v>
      </c>
      <c r="WOU1337" s="4" t="s">
        <v>2881</v>
      </c>
      <c r="WOV1337" s="4" t="s">
        <v>2881</v>
      </c>
      <c r="WOW1337" s="4" t="s">
        <v>2881</v>
      </c>
      <c r="WOX1337" s="4" t="s">
        <v>2881</v>
      </c>
      <c r="WOY1337" s="4" t="s">
        <v>2881</v>
      </c>
      <c r="WOZ1337" s="4" t="s">
        <v>2881</v>
      </c>
      <c r="WPA1337" s="4" t="s">
        <v>2881</v>
      </c>
      <c r="WPB1337" s="4" t="s">
        <v>2881</v>
      </c>
      <c r="WPC1337" s="4" t="s">
        <v>2881</v>
      </c>
      <c r="WPD1337" s="4" t="s">
        <v>2881</v>
      </c>
      <c r="WPE1337" s="4" t="s">
        <v>2881</v>
      </c>
      <c r="WPF1337" s="4" t="s">
        <v>2881</v>
      </c>
      <c r="WPG1337" s="4" t="s">
        <v>2881</v>
      </c>
      <c r="WPH1337" s="4" t="s">
        <v>2881</v>
      </c>
      <c r="WPI1337" s="4" t="s">
        <v>2881</v>
      </c>
      <c r="WPJ1337" s="4" t="s">
        <v>2881</v>
      </c>
      <c r="WPK1337" s="4" t="s">
        <v>2881</v>
      </c>
      <c r="WPL1337" s="4" t="s">
        <v>2881</v>
      </c>
      <c r="WPM1337" s="4" t="s">
        <v>2881</v>
      </c>
      <c r="WPN1337" s="4" t="s">
        <v>2881</v>
      </c>
      <c r="WPO1337" s="4" t="s">
        <v>2881</v>
      </c>
      <c r="WPP1337" s="4" t="s">
        <v>2881</v>
      </c>
      <c r="WPQ1337" s="4" t="s">
        <v>2881</v>
      </c>
      <c r="WPR1337" s="4" t="s">
        <v>2881</v>
      </c>
      <c r="WPS1337" s="4" t="s">
        <v>2881</v>
      </c>
      <c r="WPT1337" s="4" t="s">
        <v>2881</v>
      </c>
      <c r="WPU1337" s="4" t="s">
        <v>2881</v>
      </c>
      <c r="WPV1337" s="4" t="s">
        <v>2881</v>
      </c>
      <c r="WPW1337" s="4" t="s">
        <v>2881</v>
      </c>
      <c r="WPX1337" s="4" t="s">
        <v>2881</v>
      </c>
      <c r="WPY1337" s="4" t="s">
        <v>2881</v>
      </c>
      <c r="WPZ1337" s="4" t="s">
        <v>2881</v>
      </c>
      <c r="WQA1337" s="4" t="s">
        <v>2881</v>
      </c>
      <c r="WQB1337" s="4" t="s">
        <v>2881</v>
      </c>
      <c r="WQC1337" s="4" t="s">
        <v>2881</v>
      </c>
      <c r="WQD1337" s="4" t="s">
        <v>2881</v>
      </c>
      <c r="WQE1337" s="4" t="s">
        <v>2881</v>
      </c>
      <c r="WQF1337" s="4" t="s">
        <v>2881</v>
      </c>
      <c r="WQG1337" s="4" t="s">
        <v>2881</v>
      </c>
      <c r="WQH1337" s="4" t="s">
        <v>2881</v>
      </c>
      <c r="WQI1337" s="4" t="s">
        <v>2881</v>
      </c>
      <c r="WQJ1337" s="4" t="s">
        <v>2881</v>
      </c>
      <c r="WQK1337" s="4" t="s">
        <v>2881</v>
      </c>
      <c r="WQL1337" s="4" t="s">
        <v>2881</v>
      </c>
      <c r="WQM1337" s="4" t="s">
        <v>2881</v>
      </c>
      <c r="WQN1337" s="4" t="s">
        <v>2881</v>
      </c>
      <c r="WQO1337" s="4" t="s">
        <v>2881</v>
      </c>
      <c r="WQP1337" s="4" t="s">
        <v>2881</v>
      </c>
      <c r="WQQ1337" s="4" t="s">
        <v>2881</v>
      </c>
      <c r="WQR1337" s="4" t="s">
        <v>2881</v>
      </c>
      <c r="WQS1337" s="4" t="s">
        <v>2881</v>
      </c>
      <c r="WQT1337" s="4" t="s">
        <v>2881</v>
      </c>
      <c r="WQU1337" s="4" t="s">
        <v>2881</v>
      </c>
      <c r="WQV1337" s="4" t="s">
        <v>2881</v>
      </c>
      <c r="WQW1337" s="4" t="s">
        <v>2881</v>
      </c>
      <c r="WQX1337" s="4" t="s">
        <v>2881</v>
      </c>
      <c r="WQY1337" s="4" t="s">
        <v>2881</v>
      </c>
      <c r="WQZ1337" s="4" t="s">
        <v>2881</v>
      </c>
      <c r="WRA1337" s="4" t="s">
        <v>2881</v>
      </c>
      <c r="WRB1337" s="4" t="s">
        <v>2881</v>
      </c>
      <c r="WRC1337" s="4" t="s">
        <v>2881</v>
      </c>
      <c r="WRD1337" s="4" t="s">
        <v>2881</v>
      </c>
      <c r="WRE1337" s="4" t="s">
        <v>2881</v>
      </c>
      <c r="WRF1337" s="4" t="s">
        <v>2881</v>
      </c>
      <c r="WRG1337" s="4" t="s">
        <v>2881</v>
      </c>
      <c r="WRH1337" s="4" t="s">
        <v>2881</v>
      </c>
      <c r="WRI1337" s="4" t="s">
        <v>2881</v>
      </c>
      <c r="WRJ1337" s="4" t="s">
        <v>2881</v>
      </c>
      <c r="WRK1337" s="4" t="s">
        <v>2881</v>
      </c>
      <c r="WRL1337" s="4" t="s">
        <v>2881</v>
      </c>
      <c r="WRM1337" s="4" t="s">
        <v>2881</v>
      </c>
      <c r="WRN1337" s="4" t="s">
        <v>2881</v>
      </c>
      <c r="WRO1337" s="4" t="s">
        <v>2881</v>
      </c>
      <c r="WRP1337" s="4" t="s">
        <v>2881</v>
      </c>
      <c r="WRQ1337" s="4" t="s">
        <v>2881</v>
      </c>
      <c r="WRR1337" s="4" t="s">
        <v>2881</v>
      </c>
      <c r="WRS1337" s="4" t="s">
        <v>2881</v>
      </c>
      <c r="WRT1337" s="4" t="s">
        <v>2881</v>
      </c>
      <c r="WRU1337" s="4" t="s">
        <v>2881</v>
      </c>
      <c r="WRV1337" s="4" t="s">
        <v>2881</v>
      </c>
      <c r="WRW1337" s="4" t="s">
        <v>2881</v>
      </c>
      <c r="WRX1337" s="4" t="s">
        <v>2881</v>
      </c>
      <c r="WRY1337" s="4" t="s">
        <v>2881</v>
      </c>
      <c r="WRZ1337" s="4" t="s">
        <v>2881</v>
      </c>
      <c r="WSA1337" s="4" t="s">
        <v>2881</v>
      </c>
      <c r="WSB1337" s="4" t="s">
        <v>2881</v>
      </c>
      <c r="WSC1337" s="4" t="s">
        <v>2881</v>
      </c>
      <c r="WSD1337" s="4" t="s">
        <v>2881</v>
      </c>
      <c r="WSE1337" s="4" t="s">
        <v>2881</v>
      </c>
      <c r="WSF1337" s="4" t="s">
        <v>2881</v>
      </c>
      <c r="WSG1337" s="4" t="s">
        <v>2881</v>
      </c>
      <c r="WSH1337" s="4" t="s">
        <v>2881</v>
      </c>
      <c r="WSI1337" s="4" t="s">
        <v>2881</v>
      </c>
      <c r="WSJ1337" s="4" t="s">
        <v>2881</v>
      </c>
      <c r="WSK1337" s="4" t="s">
        <v>2881</v>
      </c>
      <c r="WSL1337" s="4" t="s">
        <v>2881</v>
      </c>
      <c r="WSM1337" s="4" t="s">
        <v>2881</v>
      </c>
      <c r="WSN1337" s="4" t="s">
        <v>2881</v>
      </c>
      <c r="WSO1337" s="4" t="s">
        <v>2881</v>
      </c>
      <c r="WSP1337" s="4" t="s">
        <v>2881</v>
      </c>
      <c r="WSQ1337" s="4" t="s">
        <v>2881</v>
      </c>
      <c r="WSR1337" s="4" t="s">
        <v>2881</v>
      </c>
      <c r="WSS1337" s="4" t="s">
        <v>2881</v>
      </c>
      <c r="WST1337" s="4" t="s">
        <v>2881</v>
      </c>
      <c r="WSU1337" s="4" t="s">
        <v>2881</v>
      </c>
      <c r="WSV1337" s="4" t="s">
        <v>2881</v>
      </c>
      <c r="WSW1337" s="4" t="s">
        <v>2881</v>
      </c>
      <c r="WSX1337" s="4" t="s">
        <v>2881</v>
      </c>
      <c r="WSY1337" s="4" t="s">
        <v>2881</v>
      </c>
      <c r="WSZ1337" s="4" t="s">
        <v>2881</v>
      </c>
      <c r="WTA1337" s="4" t="s">
        <v>2881</v>
      </c>
      <c r="WTB1337" s="4" t="s">
        <v>2881</v>
      </c>
      <c r="WTC1337" s="4" t="s">
        <v>2881</v>
      </c>
      <c r="WTD1337" s="4" t="s">
        <v>2881</v>
      </c>
      <c r="WTE1337" s="4" t="s">
        <v>2881</v>
      </c>
      <c r="WTF1337" s="4" t="s">
        <v>2881</v>
      </c>
      <c r="WTG1337" s="4" t="s">
        <v>2881</v>
      </c>
      <c r="WTH1337" s="4" t="s">
        <v>2881</v>
      </c>
      <c r="WTI1337" s="4" t="s">
        <v>2881</v>
      </c>
      <c r="WTJ1337" s="4" t="s">
        <v>2881</v>
      </c>
      <c r="WTK1337" s="4" t="s">
        <v>2881</v>
      </c>
      <c r="WTL1337" s="4" t="s">
        <v>2881</v>
      </c>
      <c r="WTM1337" s="4" t="s">
        <v>2881</v>
      </c>
      <c r="WTN1337" s="4" t="s">
        <v>2881</v>
      </c>
      <c r="WTO1337" s="4" t="s">
        <v>2881</v>
      </c>
      <c r="WTP1337" s="4" t="s">
        <v>2881</v>
      </c>
      <c r="WTQ1337" s="4" t="s">
        <v>2881</v>
      </c>
      <c r="WTR1337" s="4" t="s">
        <v>2881</v>
      </c>
      <c r="WTS1337" s="4" t="s">
        <v>2881</v>
      </c>
      <c r="WTT1337" s="4" t="s">
        <v>2881</v>
      </c>
      <c r="WTU1337" s="4" t="s">
        <v>2881</v>
      </c>
      <c r="WTV1337" s="4" t="s">
        <v>2881</v>
      </c>
      <c r="WTW1337" s="4" t="s">
        <v>2881</v>
      </c>
      <c r="WTX1337" s="4" t="s">
        <v>2881</v>
      </c>
      <c r="WTY1337" s="4" t="s">
        <v>2881</v>
      </c>
      <c r="WTZ1337" s="4" t="s">
        <v>2881</v>
      </c>
      <c r="WUA1337" s="4" t="s">
        <v>2881</v>
      </c>
      <c r="WUB1337" s="4" t="s">
        <v>2881</v>
      </c>
      <c r="WUC1337" s="4" t="s">
        <v>2881</v>
      </c>
      <c r="WUD1337" s="4" t="s">
        <v>2881</v>
      </c>
      <c r="WUE1337" s="4" t="s">
        <v>2881</v>
      </c>
      <c r="WUF1337" s="4" t="s">
        <v>2881</v>
      </c>
      <c r="WUG1337" s="4" t="s">
        <v>2881</v>
      </c>
      <c r="WUH1337" s="4" t="s">
        <v>2881</v>
      </c>
      <c r="WUI1337" s="4" t="s">
        <v>2881</v>
      </c>
      <c r="WUJ1337" s="4" t="s">
        <v>2881</v>
      </c>
      <c r="WUK1337" s="4" t="s">
        <v>2881</v>
      </c>
      <c r="WUL1337" s="4" t="s">
        <v>2881</v>
      </c>
      <c r="WUM1337" s="4" t="s">
        <v>2881</v>
      </c>
      <c r="WUN1337" s="4" t="s">
        <v>2881</v>
      </c>
      <c r="WUO1337" s="4" t="s">
        <v>2881</v>
      </c>
      <c r="WUP1337" s="4" t="s">
        <v>2881</v>
      </c>
      <c r="WUQ1337" s="4" t="s">
        <v>2881</v>
      </c>
      <c r="WUR1337" s="4" t="s">
        <v>2881</v>
      </c>
      <c r="WUS1337" s="4" t="s">
        <v>2881</v>
      </c>
      <c r="WUT1337" s="4" t="s">
        <v>2881</v>
      </c>
      <c r="WUU1337" s="4" t="s">
        <v>2881</v>
      </c>
      <c r="WUV1337" s="4" t="s">
        <v>2881</v>
      </c>
      <c r="WUW1337" s="4" t="s">
        <v>2881</v>
      </c>
      <c r="WUX1337" s="4" t="s">
        <v>2881</v>
      </c>
      <c r="WUY1337" s="4" t="s">
        <v>2881</v>
      </c>
      <c r="WUZ1337" s="4" t="s">
        <v>2881</v>
      </c>
      <c r="WVA1337" s="4" t="s">
        <v>2881</v>
      </c>
      <c r="WVB1337" s="4" t="s">
        <v>2881</v>
      </c>
      <c r="WVC1337" s="4" t="s">
        <v>2881</v>
      </c>
      <c r="WVD1337" s="4" t="s">
        <v>2881</v>
      </c>
      <c r="WVE1337" s="4" t="s">
        <v>2881</v>
      </c>
      <c r="WVF1337" s="4" t="s">
        <v>2881</v>
      </c>
      <c r="WVG1337" s="4" t="s">
        <v>2881</v>
      </c>
      <c r="WVH1337" s="4" t="s">
        <v>2881</v>
      </c>
      <c r="WVI1337" s="4" t="s">
        <v>2881</v>
      </c>
      <c r="WVJ1337" s="4" t="s">
        <v>2881</v>
      </c>
      <c r="WVK1337" s="4" t="s">
        <v>2881</v>
      </c>
      <c r="WVL1337" s="4" t="s">
        <v>2881</v>
      </c>
      <c r="WVM1337" s="4" t="s">
        <v>2881</v>
      </c>
      <c r="WVN1337" s="4" t="s">
        <v>2881</v>
      </c>
      <c r="WVO1337" s="4" t="s">
        <v>2881</v>
      </c>
      <c r="WVP1337" s="4" t="s">
        <v>2881</v>
      </c>
      <c r="WVQ1337" s="4" t="s">
        <v>2881</v>
      </c>
      <c r="WVR1337" s="4" t="s">
        <v>2881</v>
      </c>
      <c r="WVS1337" s="4" t="s">
        <v>2881</v>
      </c>
      <c r="WVT1337" s="4" t="s">
        <v>2881</v>
      </c>
      <c r="WVU1337" s="4" t="s">
        <v>2881</v>
      </c>
      <c r="WVV1337" s="4" t="s">
        <v>2881</v>
      </c>
      <c r="WVW1337" s="4" t="s">
        <v>2881</v>
      </c>
      <c r="WVX1337" s="4" t="s">
        <v>2881</v>
      </c>
      <c r="WVY1337" s="4" t="s">
        <v>2881</v>
      </c>
      <c r="WVZ1337" s="4" t="s">
        <v>2881</v>
      </c>
      <c r="WWA1337" s="4" t="s">
        <v>2881</v>
      </c>
      <c r="WWB1337" s="4" t="s">
        <v>2881</v>
      </c>
      <c r="WWC1337" s="4" t="s">
        <v>2881</v>
      </c>
      <c r="WWD1337" s="4" t="s">
        <v>2881</v>
      </c>
      <c r="WWE1337" s="4" t="s">
        <v>2881</v>
      </c>
      <c r="WWF1337" s="4" t="s">
        <v>2881</v>
      </c>
      <c r="WWG1337" s="4" t="s">
        <v>2881</v>
      </c>
      <c r="WWH1337" s="4" t="s">
        <v>2881</v>
      </c>
      <c r="WWI1337" s="4" t="s">
        <v>2881</v>
      </c>
      <c r="WWJ1337" s="4" t="s">
        <v>2881</v>
      </c>
      <c r="WWK1337" s="4" t="s">
        <v>2881</v>
      </c>
      <c r="WWL1337" s="4" t="s">
        <v>2881</v>
      </c>
      <c r="WWM1337" s="4" t="s">
        <v>2881</v>
      </c>
      <c r="WWN1337" s="4" t="s">
        <v>2881</v>
      </c>
      <c r="WWO1337" s="4" t="s">
        <v>2881</v>
      </c>
      <c r="WWP1337" s="4" t="s">
        <v>2881</v>
      </c>
      <c r="WWQ1337" s="4" t="s">
        <v>2881</v>
      </c>
      <c r="WWR1337" s="4" t="s">
        <v>2881</v>
      </c>
      <c r="WWS1337" s="4" t="s">
        <v>2881</v>
      </c>
      <c r="WWT1337" s="4" t="s">
        <v>2881</v>
      </c>
      <c r="WWU1337" s="4" t="s">
        <v>2881</v>
      </c>
      <c r="WWV1337" s="4" t="s">
        <v>2881</v>
      </c>
      <c r="WWW1337" s="4" t="s">
        <v>2881</v>
      </c>
      <c r="WWX1337" s="4" t="s">
        <v>2881</v>
      </c>
      <c r="WWY1337" s="4" t="s">
        <v>2881</v>
      </c>
      <c r="WWZ1337" s="4" t="s">
        <v>2881</v>
      </c>
      <c r="WXA1337" s="4" t="s">
        <v>2881</v>
      </c>
      <c r="WXB1337" s="4" t="s">
        <v>2881</v>
      </c>
      <c r="WXC1337" s="4" t="s">
        <v>2881</v>
      </c>
      <c r="WXD1337" s="4" t="s">
        <v>2881</v>
      </c>
      <c r="WXE1337" s="4" t="s">
        <v>2881</v>
      </c>
      <c r="WXF1337" s="4" t="s">
        <v>2881</v>
      </c>
      <c r="WXG1337" s="4" t="s">
        <v>2881</v>
      </c>
      <c r="WXH1337" s="4" t="s">
        <v>2881</v>
      </c>
      <c r="WXI1337" s="4" t="s">
        <v>2881</v>
      </c>
      <c r="WXJ1337" s="4" t="s">
        <v>2881</v>
      </c>
      <c r="WXK1337" s="4" t="s">
        <v>2881</v>
      </c>
      <c r="WXL1337" s="4" t="s">
        <v>2881</v>
      </c>
      <c r="WXM1337" s="4" t="s">
        <v>2881</v>
      </c>
      <c r="WXN1337" s="4" t="s">
        <v>2881</v>
      </c>
      <c r="WXO1337" s="4" t="s">
        <v>2881</v>
      </c>
      <c r="WXP1337" s="4" t="s">
        <v>2881</v>
      </c>
      <c r="WXQ1337" s="4" t="s">
        <v>2881</v>
      </c>
      <c r="WXR1337" s="4" t="s">
        <v>2881</v>
      </c>
      <c r="WXS1337" s="4" t="s">
        <v>2881</v>
      </c>
      <c r="WXT1337" s="4" t="s">
        <v>2881</v>
      </c>
      <c r="WXU1337" s="4" t="s">
        <v>2881</v>
      </c>
      <c r="WXV1337" s="4" t="s">
        <v>2881</v>
      </c>
      <c r="WXW1337" s="4" t="s">
        <v>2881</v>
      </c>
      <c r="WXX1337" s="4" t="s">
        <v>2881</v>
      </c>
      <c r="WXY1337" s="4" t="s">
        <v>2881</v>
      </c>
      <c r="WXZ1337" s="4" t="s">
        <v>2881</v>
      </c>
      <c r="WYA1337" s="4" t="s">
        <v>2881</v>
      </c>
      <c r="WYB1337" s="4" t="s">
        <v>2881</v>
      </c>
      <c r="WYC1337" s="4" t="s">
        <v>2881</v>
      </c>
      <c r="WYD1337" s="4" t="s">
        <v>2881</v>
      </c>
      <c r="WYE1337" s="4" t="s">
        <v>2881</v>
      </c>
      <c r="WYF1337" s="4" t="s">
        <v>2881</v>
      </c>
      <c r="WYG1337" s="4" t="s">
        <v>2881</v>
      </c>
      <c r="WYH1337" s="4" t="s">
        <v>2881</v>
      </c>
      <c r="WYI1337" s="4" t="s">
        <v>2881</v>
      </c>
      <c r="WYJ1337" s="4" t="s">
        <v>2881</v>
      </c>
      <c r="WYK1337" s="4" t="s">
        <v>2881</v>
      </c>
      <c r="WYL1337" s="4" t="s">
        <v>2881</v>
      </c>
      <c r="WYM1337" s="4" t="s">
        <v>2881</v>
      </c>
      <c r="WYN1337" s="4" t="s">
        <v>2881</v>
      </c>
      <c r="WYO1337" s="4" t="s">
        <v>2881</v>
      </c>
      <c r="WYP1337" s="4" t="s">
        <v>2881</v>
      </c>
      <c r="WYQ1337" s="4" t="s">
        <v>2881</v>
      </c>
      <c r="WYR1337" s="4" t="s">
        <v>2881</v>
      </c>
      <c r="WYS1337" s="4" t="s">
        <v>2881</v>
      </c>
      <c r="WYT1337" s="4" t="s">
        <v>2881</v>
      </c>
      <c r="WYU1337" s="4" t="s">
        <v>2881</v>
      </c>
      <c r="WYV1337" s="4" t="s">
        <v>2881</v>
      </c>
      <c r="WYW1337" s="4" t="s">
        <v>2881</v>
      </c>
      <c r="WYX1337" s="4" t="s">
        <v>2881</v>
      </c>
      <c r="WYY1337" s="4" t="s">
        <v>2881</v>
      </c>
      <c r="WYZ1337" s="4" t="s">
        <v>2881</v>
      </c>
      <c r="WZA1337" s="4" t="s">
        <v>2881</v>
      </c>
      <c r="WZB1337" s="4" t="s">
        <v>2881</v>
      </c>
      <c r="WZC1337" s="4" t="s">
        <v>2881</v>
      </c>
      <c r="WZD1337" s="4" t="s">
        <v>2881</v>
      </c>
      <c r="WZE1337" s="4" t="s">
        <v>2881</v>
      </c>
      <c r="WZF1337" s="4" t="s">
        <v>2881</v>
      </c>
      <c r="WZG1337" s="4" t="s">
        <v>2881</v>
      </c>
      <c r="WZH1337" s="4" t="s">
        <v>2881</v>
      </c>
      <c r="WZI1337" s="4" t="s">
        <v>2881</v>
      </c>
      <c r="WZJ1337" s="4" t="s">
        <v>2881</v>
      </c>
      <c r="WZK1337" s="4" t="s">
        <v>2881</v>
      </c>
      <c r="WZL1337" s="4" t="s">
        <v>2881</v>
      </c>
      <c r="WZM1337" s="4" t="s">
        <v>2881</v>
      </c>
      <c r="WZN1337" s="4" t="s">
        <v>2881</v>
      </c>
      <c r="WZO1337" s="4" t="s">
        <v>2881</v>
      </c>
      <c r="WZP1337" s="4" t="s">
        <v>2881</v>
      </c>
      <c r="WZQ1337" s="4" t="s">
        <v>2881</v>
      </c>
      <c r="WZR1337" s="4" t="s">
        <v>2881</v>
      </c>
      <c r="WZS1337" s="4" t="s">
        <v>2881</v>
      </c>
      <c r="WZT1337" s="4" t="s">
        <v>2881</v>
      </c>
      <c r="WZU1337" s="4" t="s">
        <v>2881</v>
      </c>
      <c r="WZV1337" s="4" t="s">
        <v>2881</v>
      </c>
      <c r="WZW1337" s="4" t="s">
        <v>2881</v>
      </c>
      <c r="WZX1337" s="4" t="s">
        <v>2881</v>
      </c>
      <c r="WZY1337" s="4" t="s">
        <v>2881</v>
      </c>
      <c r="WZZ1337" s="4" t="s">
        <v>2881</v>
      </c>
      <c r="XAA1337" s="4" t="s">
        <v>2881</v>
      </c>
      <c r="XAB1337" s="4" t="s">
        <v>2881</v>
      </c>
      <c r="XAC1337" s="4" t="s">
        <v>2881</v>
      </c>
      <c r="XAD1337" s="4" t="s">
        <v>2881</v>
      </c>
      <c r="XAE1337" s="4" t="s">
        <v>2881</v>
      </c>
      <c r="XAF1337" s="4" t="s">
        <v>2881</v>
      </c>
      <c r="XAG1337" s="4" t="s">
        <v>2881</v>
      </c>
      <c r="XAH1337" s="4" t="s">
        <v>2881</v>
      </c>
      <c r="XAI1337" s="4" t="s">
        <v>2881</v>
      </c>
      <c r="XAJ1337" s="4" t="s">
        <v>2881</v>
      </c>
      <c r="XAK1337" s="4" t="s">
        <v>2881</v>
      </c>
      <c r="XAL1337" s="4" t="s">
        <v>2881</v>
      </c>
      <c r="XAM1337" s="4" t="s">
        <v>2881</v>
      </c>
      <c r="XAN1337" s="4" t="s">
        <v>2881</v>
      </c>
      <c r="XAO1337" s="4" t="s">
        <v>2881</v>
      </c>
      <c r="XAP1337" s="4" t="s">
        <v>2881</v>
      </c>
      <c r="XAQ1337" s="4" t="s">
        <v>2881</v>
      </c>
      <c r="XAR1337" s="4" t="s">
        <v>2881</v>
      </c>
      <c r="XAS1337" s="4" t="s">
        <v>2881</v>
      </c>
      <c r="XAT1337" s="4" t="s">
        <v>2881</v>
      </c>
      <c r="XAU1337" s="4" t="s">
        <v>2881</v>
      </c>
      <c r="XAV1337" s="4" t="s">
        <v>2881</v>
      </c>
      <c r="XAW1337" s="4" t="s">
        <v>2881</v>
      </c>
      <c r="XAX1337" s="4" t="s">
        <v>2881</v>
      </c>
      <c r="XAY1337" s="4" t="s">
        <v>2881</v>
      </c>
      <c r="XAZ1337" s="4" t="s">
        <v>2881</v>
      </c>
      <c r="XBA1337" s="4" t="s">
        <v>2881</v>
      </c>
      <c r="XBB1337" s="4" t="s">
        <v>2881</v>
      </c>
      <c r="XBC1337" s="4" t="s">
        <v>2881</v>
      </c>
      <c r="XBD1337" s="4" t="s">
        <v>2881</v>
      </c>
      <c r="XBE1337" s="4" t="s">
        <v>2881</v>
      </c>
      <c r="XBF1337" s="4" t="s">
        <v>2881</v>
      </c>
      <c r="XBG1337" s="4" t="s">
        <v>2881</v>
      </c>
      <c r="XBH1337" s="4" t="s">
        <v>2881</v>
      </c>
      <c r="XBI1337" s="4" t="s">
        <v>2881</v>
      </c>
      <c r="XBJ1337" s="4" t="s">
        <v>2881</v>
      </c>
      <c r="XBK1337" s="4" t="s">
        <v>2881</v>
      </c>
      <c r="XBL1337" s="4" t="s">
        <v>2881</v>
      </c>
      <c r="XBM1337" s="4" t="s">
        <v>2881</v>
      </c>
      <c r="XBN1337" s="4" t="s">
        <v>2881</v>
      </c>
      <c r="XBO1337" s="4" t="s">
        <v>2881</v>
      </c>
      <c r="XBP1337" s="4" t="s">
        <v>2881</v>
      </c>
      <c r="XBQ1337" s="4" t="s">
        <v>2881</v>
      </c>
      <c r="XBR1337" s="4" t="s">
        <v>2881</v>
      </c>
      <c r="XBS1337" s="4" t="s">
        <v>2881</v>
      </c>
      <c r="XBT1337" s="4" t="s">
        <v>2881</v>
      </c>
      <c r="XBU1337" s="4" t="s">
        <v>2881</v>
      </c>
      <c r="XBV1337" s="4" t="s">
        <v>2881</v>
      </c>
      <c r="XBW1337" s="4" t="s">
        <v>2881</v>
      </c>
      <c r="XBX1337" s="4" t="s">
        <v>2881</v>
      </c>
      <c r="XBY1337" s="4" t="s">
        <v>2881</v>
      </c>
      <c r="XBZ1337" s="4" t="s">
        <v>2881</v>
      </c>
      <c r="XCA1337" s="4" t="s">
        <v>2881</v>
      </c>
      <c r="XCB1337" s="4" t="s">
        <v>2881</v>
      </c>
      <c r="XCC1337" s="4" t="s">
        <v>2881</v>
      </c>
      <c r="XCD1337" s="4" t="s">
        <v>2881</v>
      </c>
      <c r="XCE1337" s="4" t="s">
        <v>2881</v>
      </c>
      <c r="XCF1337" s="4" t="s">
        <v>2881</v>
      </c>
      <c r="XCG1337" s="4" t="s">
        <v>2881</v>
      </c>
      <c r="XCH1337" s="4" t="s">
        <v>2881</v>
      </c>
      <c r="XCI1337" s="4" t="s">
        <v>2881</v>
      </c>
      <c r="XCJ1337" s="4" t="s">
        <v>2881</v>
      </c>
      <c r="XCK1337" s="4" t="s">
        <v>2881</v>
      </c>
      <c r="XCL1337" s="4" t="s">
        <v>2881</v>
      </c>
      <c r="XCM1337" s="4" t="s">
        <v>2881</v>
      </c>
      <c r="XCN1337" s="4" t="s">
        <v>2881</v>
      </c>
      <c r="XCO1337" s="4" t="s">
        <v>2881</v>
      </c>
      <c r="XCP1337" s="4" t="s">
        <v>2881</v>
      </c>
      <c r="XCQ1337" s="4" t="s">
        <v>2881</v>
      </c>
      <c r="XCR1337" s="4" t="s">
        <v>2881</v>
      </c>
      <c r="XCS1337" s="4" t="s">
        <v>2881</v>
      </c>
      <c r="XCT1337" s="4" t="s">
        <v>2881</v>
      </c>
      <c r="XCU1337" s="4" t="s">
        <v>2881</v>
      </c>
      <c r="XCV1337" s="4" t="s">
        <v>2881</v>
      </c>
      <c r="XCW1337" s="4" t="s">
        <v>2881</v>
      </c>
      <c r="XCX1337" s="4" t="s">
        <v>2881</v>
      </c>
      <c r="XCY1337" s="4" t="s">
        <v>2881</v>
      </c>
      <c r="XCZ1337" s="4" t="s">
        <v>2881</v>
      </c>
      <c r="XDA1337" s="4" t="s">
        <v>2881</v>
      </c>
      <c r="XDB1337" s="4" t="s">
        <v>2881</v>
      </c>
      <c r="XDC1337" s="4" t="s">
        <v>2881</v>
      </c>
      <c r="XDD1337" s="4" t="s">
        <v>2881</v>
      </c>
      <c r="XDE1337" s="4" t="s">
        <v>2881</v>
      </c>
      <c r="XDF1337" s="4" t="s">
        <v>2881</v>
      </c>
      <c r="XDG1337" s="4" t="s">
        <v>2881</v>
      </c>
      <c r="XDH1337" s="4" t="s">
        <v>2881</v>
      </c>
      <c r="XDI1337" s="4" t="s">
        <v>2881</v>
      </c>
      <c r="XDJ1337" s="4" t="s">
        <v>2881</v>
      </c>
      <c r="XDK1337" s="4" t="s">
        <v>2881</v>
      </c>
      <c r="XDL1337" s="4" t="s">
        <v>2881</v>
      </c>
      <c r="XDM1337" s="4" t="s">
        <v>2881</v>
      </c>
      <c r="XDN1337" s="4" t="s">
        <v>2881</v>
      </c>
      <c r="XDO1337" s="4" t="s">
        <v>2881</v>
      </c>
      <c r="XDP1337" s="4" t="s">
        <v>2881</v>
      </c>
      <c r="XDQ1337" s="4" t="s">
        <v>2881</v>
      </c>
      <c r="XDR1337" s="4" t="s">
        <v>2881</v>
      </c>
      <c r="XDS1337" s="4" t="s">
        <v>2881</v>
      </c>
      <c r="XDT1337" s="4" t="s">
        <v>2881</v>
      </c>
      <c r="XDU1337" s="4" t="s">
        <v>2881</v>
      </c>
      <c r="XDV1337" s="4" t="s">
        <v>2881</v>
      </c>
      <c r="XDW1337" s="4" t="s">
        <v>2881</v>
      </c>
      <c r="XDX1337" s="4" t="s">
        <v>2881</v>
      </c>
      <c r="XDY1337" s="4" t="s">
        <v>2881</v>
      </c>
      <c r="XDZ1337" s="4" t="s">
        <v>2881</v>
      </c>
      <c r="XEA1337" s="4" t="s">
        <v>2881</v>
      </c>
      <c r="XEB1337" s="4" t="s">
        <v>2881</v>
      </c>
      <c r="XEC1337" s="4" t="s">
        <v>2881</v>
      </c>
      <c r="XED1337" s="4" t="s">
        <v>2881</v>
      </c>
      <c r="XEE1337" s="4" t="s">
        <v>2881</v>
      </c>
      <c r="XEF1337" s="4" t="s">
        <v>2881</v>
      </c>
      <c r="XEG1337" s="4" t="s">
        <v>2881</v>
      </c>
      <c r="XEH1337" s="4" t="s">
        <v>2881</v>
      </c>
      <c r="XEI1337" s="4" t="s">
        <v>2881</v>
      </c>
      <c r="XEJ1337" s="4" t="s">
        <v>2881</v>
      </c>
      <c r="XEK1337" s="4" t="s">
        <v>2881</v>
      </c>
      <c r="XEL1337" s="4" t="s">
        <v>2881</v>
      </c>
      <c r="XEM1337" s="4" t="s">
        <v>2881</v>
      </c>
      <c r="XEN1337" s="4" t="s">
        <v>2881</v>
      </c>
      <c r="XEO1337" s="4" t="s">
        <v>2881</v>
      </c>
      <c r="XEP1337" s="4" t="s">
        <v>2881</v>
      </c>
      <c r="XEQ1337" s="4" t="s">
        <v>2881</v>
      </c>
      <c r="XER1337" s="4" t="s">
        <v>2881</v>
      </c>
      <c r="XES1337" s="4" t="s">
        <v>2881</v>
      </c>
      <c r="XET1337" s="4" t="s">
        <v>2881</v>
      </c>
      <c r="XEU1337" s="4" t="s">
        <v>2881</v>
      </c>
      <c r="XEV1337" s="4" t="s">
        <v>2881</v>
      </c>
      <c r="XEW1337" s="4" t="s">
        <v>2881</v>
      </c>
      <c r="XEX1337" s="4" t="s">
        <v>2881</v>
      </c>
      <c r="XEY1337" s="4" t="s">
        <v>2881</v>
      </c>
      <c r="XEZ1337" s="4" t="s">
        <v>2881</v>
      </c>
      <c r="XFA1337" s="4" t="s">
        <v>2881</v>
      </c>
      <c r="XFB1337" s="4" t="s">
        <v>2881</v>
      </c>
    </row>
    <row r="1338" spans="1:5 1847:16382" x14ac:dyDescent="0.25">
      <c r="A1338" s="5" t="s">
        <v>1483</v>
      </c>
      <c r="B1338" s="6" t="s">
        <v>1482</v>
      </c>
      <c r="C1338" s="7" t="s">
        <v>24</v>
      </c>
      <c r="D1338" s="7" t="s">
        <v>25</v>
      </c>
      <c r="E1338" s="8" t="s">
        <v>4457</v>
      </c>
      <c r="BSA1338" s="4" t="s">
        <v>2882</v>
      </c>
      <c r="BSB1338" s="4" t="s">
        <v>2882</v>
      </c>
      <c r="BSC1338" s="4" t="s">
        <v>2882</v>
      </c>
      <c r="BSD1338" s="4" t="s">
        <v>2882</v>
      </c>
      <c r="BSE1338" s="4" t="s">
        <v>2882</v>
      </c>
      <c r="BSF1338" s="4" t="s">
        <v>2882</v>
      </c>
      <c r="BSG1338" s="4" t="s">
        <v>2882</v>
      </c>
      <c r="BSH1338" s="4" t="s">
        <v>2882</v>
      </c>
      <c r="BSI1338" s="4" t="s">
        <v>2882</v>
      </c>
      <c r="BSJ1338" s="4" t="s">
        <v>2882</v>
      </c>
      <c r="BSK1338" s="4" t="s">
        <v>2882</v>
      </c>
      <c r="BSL1338" s="4" t="s">
        <v>2882</v>
      </c>
      <c r="BSM1338" s="4" t="s">
        <v>2882</v>
      </c>
      <c r="BSN1338" s="4" t="s">
        <v>2882</v>
      </c>
      <c r="BSO1338" s="4" t="s">
        <v>2882</v>
      </c>
      <c r="BSP1338" s="4" t="s">
        <v>2882</v>
      </c>
      <c r="BSQ1338" s="4" t="s">
        <v>2882</v>
      </c>
      <c r="BSR1338" s="4" t="s">
        <v>2882</v>
      </c>
      <c r="BSS1338" s="4" t="s">
        <v>2882</v>
      </c>
      <c r="BST1338" s="4" t="s">
        <v>2882</v>
      </c>
      <c r="BSU1338" s="4" t="s">
        <v>2882</v>
      </c>
      <c r="BSV1338" s="4" t="s">
        <v>2882</v>
      </c>
      <c r="BSW1338" s="4" t="s">
        <v>2882</v>
      </c>
      <c r="BSX1338" s="4" t="s">
        <v>2882</v>
      </c>
      <c r="BSY1338" s="4" t="s">
        <v>2882</v>
      </c>
      <c r="BSZ1338" s="4" t="s">
        <v>2882</v>
      </c>
      <c r="BTA1338" s="4" t="s">
        <v>2882</v>
      </c>
      <c r="BTB1338" s="4" t="s">
        <v>2882</v>
      </c>
      <c r="BTC1338" s="4" t="s">
        <v>2882</v>
      </c>
      <c r="BTD1338" s="4" t="s">
        <v>2882</v>
      </c>
      <c r="BTE1338" s="4" t="s">
        <v>2882</v>
      </c>
      <c r="BTF1338" s="4" t="s">
        <v>2882</v>
      </c>
      <c r="BTG1338" s="4" t="s">
        <v>2882</v>
      </c>
      <c r="BTH1338" s="4" t="s">
        <v>2882</v>
      </c>
      <c r="BTI1338" s="4" t="s">
        <v>2882</v>
      </c>
      <c r="BTJ1338" s="4" t="s">
        <v>2882</v>
      </c>
      <c r="BTK1338" s="4" t="s">
        <v>2882</v>
      </c>
      <c r="BTL1338" s="4" t="s">
        <v>2882</v>
      </c>
      <c r="BTM1338" s="4" t="s">
        <v>2882</v>
      </c>
      <c r="BTN1338" s="4" t="s">
        <v>2882</v>
      </c>
      <c r="BTO1338" s="4" t="s">
        <v>2882</v>
      </c>
      <c r="BTP1338" s="4" t="s">
        <v>2882</v>
      </c>
      <c r="BTQ1338" s="4" t="s">
        <v>2882</v>
      </c>
      <c r="BTR1338" s="4" t="s">
        <v>2882</v>
      </c>
      <c r="BTS1338" s="4" t="s">
        <v>2882</v>
      </c>
      <c r="BTT1338" s="4" t="s">
        <v>2882</v>
      </c>
      <c r="BTU1338" s="4" t="s">
        <v>2882</v>
      </c>
      <c r="BTV1338" s="4" t="s">
        <v>2882</v>
      </c>
      <c r="BTW1338" s="4" t="s">
        <v>2882</v>
      </c>
      <c r="BTX1338" s="4" t="s">
        <v>2882</v>
      </c>
      <c r="BTY1338" s="4" t="s">
        <v>2882</v>
      </c>
      <c r="BTZ1338" s="4" t="s">
        <v>2882</v>
      </c>
      <c r="BUA1338" s="4" t="s">
        <v>2882</v>
      </c>
      <c r="BUB1338" s="4" t="s">
        <v>2882</v>
      </c>
      <c r="BUC1338" s="4" t="s">
        <v>2882</v>
      </c>
      <c r="BUD1338" s="4" t="s">
        <v>2882</v>
      </c>
      <c r="BUE1338" s="4" t="s">
        <v>2882</v>
      </c>
      <c r="BUF1338" s="4" t="s">
        <v>2882</v>
      </c>
      <c r="BUG1338" s="4" t="s">
        <v>2882</v>
      </c>
      <c r="BUH1338" s="4" t="s">
        <v>2882</v>
      </c>
      <c r="BUI1338" s="4" t="s">
        <v>2882</v>
      </c>
      <c r="BUJ1338" s="4" t="s">
        <v>2882</v>
      </c>
      <c r="BUK1338" s="4" t="s">
        <v>2882</v>
      </c>
      <c r="BUL1338" s="4" t="s">
        <v>2882</v>
      </c>
      <c r="BUM1338" s="4" t="s">
        <v>2882</v>
      </c>
      <c r="BUN1338" s="4" t="s">
        <v>2882</v>
      </c>
      <c r="BUO1338" s="4" t="s">
        <v>2882</v>
      </c>
      <c r="BUP1338" s="4" t="s">
        <v>2882</v>
      </c>
      <c r="BUQ1338" s="4" t="s">
        <v>2882</v>
      </c>
      <c r="BUR1338" s="4" t="s">
        <v>2882</v>
      </c>
      <c r="BUS1338" s="4" t="s">
        <v>2882</v>
      </c>
      <c r="BUT1338" s="4" t="s">
        <v>2882</v>
      </c>
      <c r="BUU1338" s="4" t="s">
        <v>2882</v>
      </c>
      <c r="BUV1338" s="4" t="s">
        <v>2882</v>
      </c>
      <c r="BUW1338" s="4" t="s">
        <v>2882</v>
      </c>
      <c r="BUX1338" s="4" t="s">
        <v>2882</v>
      </c>
      <c r="BUY1338" s="4" t="s">
        <v>2882</v>
      </c>
      <c r="BUZ1338" s="4" t="s">
        <v>2882</v>
      </c>
      <c r="BVA1338" s="4" t="s">
        <v>2882</v>
      </c>
      <c r="BVB1338" s="4" t="s">
        <v>2882</v>
      </c>
      <c r="BVC1338" s="4" t="s">
        <v>2882</v>
      </c>
      <c r="BVD1338" s="4" t="s">
        <v>2882</v>
      </c>
      <c r="BVE1338" s="4" t="s">
        <v>2882</v>
      </c>
      <c r="BVF1338" s="4" t="s">
        <v>2882</v>
      </c>
      <c r="BVG1338" s="4" t="s">
        <v>2882</v>
      </c>
      <c r="BVH1338" s="4" t="s">
        <v>2882</v>
      </c>
      <c r="BVI1338" s="4" t="s">
        <v>2882</v>
      </c>
      <c r="BVJ1338" s="4" t="s">
        <v>2882</v>
      </c>
      <c r="BVK1338" s="4" t="s">
        <v>2882</v>
      </c>
      <c r="BVL1338" s="4" t="s">
        <v>2882</v>
      </c>
      <c r="BVM1338" s="4" t="s">
        <v>2882</v>
      </c>
      <c r="BVN1338" s="4" t="s">
        <v>2882</v>
      </c>
      <c r="BVO1338" s="4" t="s">
        <v>2882</v>
      </c>
      <c r="BVP1338" s="4" t="s">
        <v>2882</v>
      </c>
      <c r="BVQ1338" s="4" t="s">
        <v>2882</v>
      </c>
      <c r="BVR1338" s="4" t="s">
        <v>2882</v>
      </c>
      <c r="BVS1338" s="4" t="s">
        <v>2882</v>
      </c>
      <c r="BVT1338" s="4" t="s">
        <v>2882</v>
      </c>
      <c r="BVU1338" s="4" t="s">
        <v>2882</v>
      </c>
      <c r="BVV1338" s="4" t="s">
        <v>2882</v>
      </c>
      <c r="BVW1338" s="4" t="s">
        <v>2882</v>
      </c>
      <c r="BVX1338" s="4" t="s">
        <v>2882</v>
      </c>
      <c r="BVY1338" s="4" t="s">
        <v>2882</v>
      </c>
      <c r="BVZ1338" s="4" t="s">
        <v>2882</v>
      </c>
      <c r="BWA1338" s="4" t="s">
        <v>2882</v>
      </c>
      <c r="BWB1338" s="4" t="s">
        <v>2882</v>
      </c>
      <c r="BWC1338" s="4" t="s">
        <v>2882</v>
      </c>
      <c r="BWD1338" s="4" t="s">
        <v>2882</v>
      </c>
      <c r="BWE1338" s="4" t="s">
        <v>2882</v>
      </c>
      <c r="BWF1338" s="4" t="s">
        <v>2882</v>
      </c>
      <c r="BWG1338" s="4" t="s">
        <v>2882</v>
      </c>
      <c r="BWH1338" s="4" t="s">
        <v>2882</v>
      </c>
      <c r="BWI1338" s="4" t="s">
        <v>2882</v>
      </c>
      <c r="BWJ1338" s="4" t="s">
        <v>2882</v>
      </c>
      <c r="BWK1338" s="4" t="s">
        <v>2882</v>
      </c>
      <c r="BWL1338" s="4" t="s">
        <v>2882</v>
      </c>
      <c r="BWM1338" s="4" t="s">
        <v>2882</v>
      </c>
      <c r="BWN1338" s="4" t="s">
        <v>2882</v>
      </c>
      <c r="BWO1338" s="4" t="s">
        <v>2882</v>
      </c>
      <c r="BWP1338" s="4" t="s">
        <v>2882</v>
      </c>
      <c r="BWQ1338" s="4" t="s">
        <v>2882</v>
      </c>
      <c r="BWR1338" s="4" t="s">
        <v>2882</v>
      </c>
      <c r="BWS1338" s="4" t="s">
        <v>2882</v>
      </c>
      <c r="BWT1338" s="4" t="s">
        <v>2882</v>
      </c>
      <c r="BWU1338" s="4" t="s">
        <v>2882</v>
      </c>
      <c r="BWV1338" s="4" t="s">
        <v>2882</v>
      </c>
      <c r="BWW1338" s="4" t="s">
        <v>2882</v>
      </c>
      <c r="BWX1338" s="4" t="s">
        <v>2882</v>
      </c>
      <c r="BWY1338" s="4" t="s">
        <v>2882</v>
      </c>
      <c r="BWZ1338" s="4" t="s">
        <v>2882</v>
      </c>
      <c r="BXA1338" s="4" t="s">
        <v>2882</v>
      </c>
      <c r="BXB1338" s="4" t="s">
        <v>2882</v>
      </c>
      <c r="BXC1338" s="4" t="s">
        <v>2882</v>
      </c>
      <c r="BXD1338" s="4" t="s">
        <v>2882</v>
      </c>
      <c r="BXE1338" s="4" t="s">
        <v>2882</v>
      </c>
      <c r="BXF1338" s="4" t="s">
        <v>2882</v>
      </c>
      <c r="BXG1338" s="4" t="s">
        <v>2882</v>
      </c>
      <c r="BXH1338" s="4" t="s">
        <v>2882</v>
      </c>
      <c r="BXI1338" s="4" t="s">
        <v>2882</v>
      </c>
      <c r="BXJ1338" s="4" t="s">
        <v>2882</v>
      </c>
      <c r="BXK1338" s="4" t="s">
        <v>2882</v>
      </c>
      <c r="BXL1338" s="4" t="s">
        <v>2882</v>
      </c>
      <c r="BXM1338" s="4" t="s">
        <v>2882</v>
      </c>
      <c r="BXN1338" s="4" t="s">
        <v>2882</v>
      </c>
      <c r="BXO1338" s="4" t="s">
        <v>2882</v>
      </c>
      <c r="BXP1338" s="4" t="s">
        <v>2882</v>
      </c>
      <c r="BXQ1338" s="4" t="s">
        <v>2882</v>
      </c>
      <c r="BXR1338" s="4" t="s">
        <v>2882</v>
      </c>
      <c r="BXS1338" s="4" t="s">
        <v>2882</v>
      </c>
      <c r="BXT1338" s="4" t="s">
        <v>2882</v>
      </c>
      <c r="BXU1338" s="4" t="s">
        <v>2882</v>
      </c>
      <c r="BXV1338" s="4" t="s">
        <v>2882</v>
      </c>
      <c r="BXW1338" s="4" t="s">
        <v>2882</v>
      </c>
      <c r="BXX1338" s="4" t="s">
        <v>2882</v>
      </c>
      <c r="BXY1338" s="4" t="s">
        <v>2882</v>
      </c>
      <c r="BXZ1338" s="4" t="s">
        <v>2882</v>
      </c>
      <c r="BYA1338" s="4" t="s">
        <v>2882</v>
      </c>
      <c r="BYB1338" s="4" t="s">
        <v>2882</v>
      </c>
      <c r="BYC1338" s="4" t="s">
        <v>2882</v>
      </c>
      <c r="BYD1338" s="4" t="s">
        <v>2882</v>
      </c>
      <c r="BYE1338" s="4" t="s">
        <v>2882</v>
      </c>
      <c r="BYF1338" s="4" t="s">
        <v>2882</v>
      </c>
      <c r="BYG1338" s="4" t="s">
        <v>2882</v>
      </c>
      <c r="BYH1338" s="4" t="s">
        <v>2882</v>
      </c>
      <c r="BYI1338" s="4" t="s">
        <v>2882</v>
      </c>
      <c r="BYJ1338" s="4" t="s">
        <v>2882</v>
      </c>
      <c r="BYK1338" s="4" t="s">
        <v>2882</v>
      </c>
      <c r="BYL1338" s="4" t="s">
        <v>2882</v>
      </c>
      <c r="BYM1338" s="4" t="s">
        <v>2882</v>
      </c>
      <c r="BYN1338" s="4" t="s">
        <v>2882</v>
      </c>
      <c r="BYO1338" s="4" t="s">
        <v>2882</v>
      </c>
      <c r="BYP1338" s="4" t="s">
        <v>2882</v>
      </c>
      <c r="BYQ1338" s="4" t="s">
        <v>2882</v>
      </c>
      <c r="BYR1338" s="4" t="s">
        <v>2882</v>
      </c>
      <c r="BYS1338" s="4" t="s">
        <v>2882</v>
      </c>
      <c r="BYT1338" s="4" t="s">
        <v>2882</v>
      </c>
      <c r="BYU1338" s="4" t="s">
        <v>2882</v>
      </c>
      <c r="BYV1338" s="4" t="s">
        <v>2882</v>
      </c>
      <c r="BYW1338" s="4" t="s">
        <v>2882</v>
      </c>
      <c r="BYX1338" s="4" t="s">
        <v>2882</v>
      </c>
      <c r="BYY1338" s="4" t="s">
        <v>2882</v>
      </c>
      <c r="BYZ1338" s="4" t="s">
        <v>2882</v>
      </c>
      <c r="BZA1338" s="4" t="s">
        <v>2882</v>
      </c>
      <c r="BZB1338" s="4" t="s">
        <v>2882</v>
      </c>
      <c r="BZC1338" s="4" t="s">
        <v>2882</v>
      </c>
      <c r="BZD1338" s="4" t="s">
        <v>2882</v>
      </c>
      <c r="BZE1338" s="4" t="s">
        <v>2882</v>
      </c>
      <c r="BZF1338" s="4" t="s">
        <v>2882</v>
      </c>
      <c r="BZG1338" s="4" t="s">
        <v>2882</v>
      </c>
      <c r="BZH1338" s="4" t="s">
        <v>2882</v>
      </c>
      <c r="BZI1338" s="4" t="s">
        <v>2882</v>
      </c>
      <c r="BZJ1338" s="4" t="s">
        <v>2882</v>
      </c>
      <c r="BZK1338" s="4" t="s">
        <v>2882</v>
      </c>
      <c r="BZL1338" s="4" t="s">
        <v>2882</v>
      </c>
      <c r="BZM1338" s="4" t="s">
        <v>2882</v>
      </c>
      <c r="BZN1338" s="4" t="s">
        <v>2882</v>
      </c>
      <c r="BZO1338" s="4" t="s">
        <v>2882</v>
      </c>
      <c r="BZP1338" s="4" t="s">
        <v>2882</v>
      </c>
      <c r="BZQ1338" s="4" t="s">
        <v>2882</v>
      </c>
      <c r="BZR1338" s="4" t="s">
        <v>2882</v>
      </c>
      <c r="BZS1338" s="4" t="s">
        <v>2882</v>
      </c>
      <c r="BZT1338" s="4" t="s">
        <v>2882</v>
      </c>
      <c r="BZU1338" s="4" t="s">
        <v>2882</v>
      </c>
      <c r="BZV1338" s="4" t="s">
        <v>2882</v>
      </c>
      <c r="BZW1338" s="4" t="s">
        <v>2882</v>
      </c>
      <c r="BZX1338" s="4" t="s">
        <v>2882</v>
      </c>
      <c r="BZY1338" s="4" t="s">
        <v>2882</v>
      </c>
      <c r="BZZ1338" s="4" t="s">
        <v>2882</v>
      </c>
      <c r="CAA1338" s="4" t="s">
        <v>2882</v>
      </c>
      <c r="CAB1338" s="4" t="s">
        <v>2882</v>
      </c>
      <c r="CAC1338" s="4" t="s">
        <v>2882</v>
      </c>
      <c r="CAD1338" s="4" t="s">
        <v>2882</v>
      </c>
      <c r="CAE1338" s="4" t="s">
        <v>2882</v>
      </c>
      <c r="CAF1338" s="4" t="s">
        <v>2882</v>
      </c>
      <c r="CAG1338" s="4" t="s">
        <v>2882</v>
      </c>
      <c r="CAH1338" s="4" t="s">
        <v>2882</v>
      </c>
      <c r="CAI1338" s="4" t="s">
        <v>2882</v>
      </c>
      <c r="CAJ1338" s="4" t="s">
        <v>2882</v>
      </c>
      <c r="CAK1338" s="4" t="s">
        <v>2882</v>
      </c>
      <c r="CAL1338" s="4" t="s">
        <v>2882</v>
      </c>
      <c r="CAM1338" s="4" t="s">
        <v>2882</v>
      </c>
      <c r="CAN1338" s="4" t="s">
        <v>2882</v>
      </c>
      <c r="CAO1338" s="4" t="s">
        <v>2882</v>
      </c>
      <c r="CAP1338" s="4" t="s">
        <v>2882</v>
      </c>
      <c r="CAQ1338" s="4" t="s">
        <v>2882</v>
      </c>
      <c r="CAR1338" s="4" t="s">
        <v>2882</v>
      </c>
      <c r="CAS1338" s="4" t="s">
        <v>2882</v>
      </c>
      <c r="CAT1338" s="4" t="s">
        <v>2882</v>
      </c>
      <c r="CAU1338" s="4" t="s">
        <v>2882</v>
      </c>
      <c r="CAV1338" s="4" t="s">
        <v>2882</v>
      </c>
      <c r="CAW1338" s="4" t="s">
        <v>2882</v>
      </c>
      <c r="CAX1338" s="4" t="s">
        <v>2882</v>
      </c>
      <c r="CAY1338" s="4" t="s">
        <v>2882</v>
      </c>
      <c r="CAZ1338" s="4" t="s">
        <v>2882</v>
      </c>
      <c r="CBA1338" s="4" t="s">
        <v>2882</v>
      </c>
      <c r="CBB1338" s="4" t="s">
        <v>2882</v>
      </c>
      <c r="CBC1338" s="4" t="s">
        <v>2882</v>
      </c>
      <c r="CBD1338" s="4" t="s">
        <v>2882</v>
      </c>
      <c r="CBE1338" s="4" t="s">
        <v>2882</v>
      </c>
      <c r="CBF1338" s="4" t="s">
        <v>2882</v>
      </c>
      <c r="CBG1338" s="4" t="s">
        <v>2882</v>
      </c>
      <c r="CBH1338" s="4" t="s">
        <v>2882</v>
      </c>
      <c r="CBI1338" s="4" t="s">
        <v>2882</v>
      </c>
      <c r="CBJ1338" s="4" t="s">
        <v>2882</v>
      </c>
      <c r="CBK1338" s="4" t="s">
        <v>2882</v>
      </c>
      <c r="CBL1338" s="4" t="s">
        <v>2882</v>
      </c>
      <c r="CBM1338" s="4" t="s">
        <v>2882</v>
      </c>
      <c r="CBN1338" s="4" t="s">
        <v>2882</v>
      </c>
      <c r="CBO1338" s="4" t="s">
        <v>2882</v>
      </c>
      <c r="CBP1338" s="4" t="s">
        <v>2882</v>
      </c>
      <c r="CBQ1338" s="4" t="s">
        <v>2882</v>
      </c>
      <c r="CBR1338" s="4" t="s">
        <v>2882</v>
      </c>
      <c r="CBS1338" s="4" t="s">
        <v>2882</v>
      </c>
      <c r="CBT1338" s="4" t="s">
        <v>2882</v>
      </c>
      <c r="CBU1338" s="4" t="s">
        <v>2882</v>
      </c>
      <c r="CBV1338" s="4" t="s">
        <v>2882</v>
      </c>
      <c r="CBW1338" s="4" t="s">
        <v>2882</v>
      </c>
      <c r="CBX1338" s="4" t="s">
        <v>2882</v>
      </c>
      <c r="CBY1338" s="4" t="s">
        <v>2882</v>
      </c>
      <c r="CBZ1338" s="4" t="s">
        <v>2882</v>
      </c>
      <c r="CCA1338" s="4" t="s">
        <v>2882</v>
      </c>
      <c r="CCB1338" s="4" t="s">
        <v>2882</v>
      </c>
      <c r="CCC1338" s="4" t="s">
        <v>2882</v>
      </c>
      <c r="CCD1338" s="4" t="s">
        <v>2882</v>
      </c>
      <c r="CCE1338" s="4" t="s">
        <v>2882</v>
      </c>
      <c r="CCF1338" s="4" t="s">
        <v>2882</v>
      </c>
      <c r="CCG1338" s="4" t="s">
        <v>2882</v>
      </c>
      <c r="CCH1338" s="4" t="s">
        <v>2882</v>
      </c>
      <c r="CCI1338" s="4" t="s">
        <v>2882</v>
      </c>
      <c r="CCJ1338" s="4" t="s">
        <v>2882</v>
      </c>
      <c r="CCK1338" s="4" t="s">
        <v>2882</v>
      </c>
      <c r="CCL1338" s="4" t="s">
        <v>2882</v>
      </c>
      <c r="CCM1338" s="4" t="s">
        <v>2882</v>
      </c>
      <c r="CCN1338" s="4" t="s">
        <v>2882</v>
      </c>
      <c r="CCO1338" s="4" t="s">
        <v>2882</v>
      </c>
      <c r="CCP1338" s="4" t="s">
        <v>2882</v>
      </c>
      <c r="CCQ1338" s="4" t="s">
        <v>2882</v>
      </c>
      <c r="CCR1338" s="4" t="s">
        <v>2882</v>
      </c>
      <c r="CCS1338" s="4" t="s">
        <v>2882</v>
      </c>
      <c r="CCT1338" s="4" t="s">
        <v>2882</v>
      </c>
      <c r="CCU1338" s="4" t="s">
        <v>2882</v>
      </c>
      <c r="CCV1338" s="4" t="s">
        <v>2882</v>
      </c>
      <c r="CCW1338" s="4" t="s">
        <v>2882</v>
      </c>
      <c r="CCX1338" s="4" t="s">
        <v>2882</v>
      </c>
      <c r="CCY1338" s="4" t="s">
        <v>2882</v>
      </c>
      <c r="CCZ1338" s="4" t="s">
        <v>2882</v>
      </c>
      <c r="CDA1338" s="4" t="s">
        <v>2882</v>
      </c>
      <c r="CDB1338" s="4" t="s">
        <v>2882</v>
      </c>
      <c r="CDC1338" s="4" t="s">
        <v>2882</v>
      </c>
      <c r="CDD1338" s="4" t="s">
        <v>2882</v>
      </c>
      <c r="CDE1338" s="4" t="s">
        <v>2882</v>
      </c>
      <c r="CDF1338" s="4" t="s">
        <v>2882</v>
      </c>
      <c r="CDG1338" s="4" t="s">
        <v>2882</v>
      </c>
      <c r="CDH1338" s="4" t="s">
        <v>2882</v>
      </c>
      <c r="CDI1338" s="4" t="s">
        <v>2882</v>
      </c>
      <c r="CDJ1338" s="4" t="s">
        <v>2882</v>
      </c>
      <c r="CDK1338" s="4" t="s">
        <v>2882</v>
      </c>
      <c r="CDL1338" s="4" t="s">
        <v>2882</v>
      </c>
      <c r="CDM1338" s="4" t="s">
        <v>2882</v>
      </c>
      <c r="CDN1338" s="4" t="s">
        <v>2882</v>
      </c>
      <c r="CDO1338" s="4" t="s">
        <v>2882</v>
      </c>
      <c r="CDP1338" s="4" t="s">
        <v>2882</v>
      </c>
      <c r="CDQ1338" s="4" t="s">
        <v>2882</v>
      </c>
      <c r="CDR1338" s="4" t="s">
        <v>2882</v>
      </c>
      <c r="CDS1338" s="4" t="s">
        <v>2882</v>
      </c>
      <c r="CDT1338" s="4" t="s">
        <v>2882</v>
      </c>
      <c r="CDU1338" s="4" t="s">
        <v>2882</v>
      </c>
      <c r="CDV1338" s="4" t="s">
        <v>2882</v>
      </c>
      <c r="CDW1338" s="4" t="s">
        <v>2882</v>
      </c>
      <c r="CDX1338" s="4" t="s">
        <v>2882</v>
      </c>
      <c r="CDY1338" s="4" t="s">
        <v>2882</v>
      </c>
      <c r="CDZ1338" s="4" t="s">
        <v>2882</v>
      </c>
      <c r="CEA1338" s="4" t="s">
        <v>2882</v>
      </c>
      <c r="CEB1338" s="4" t="s">
        <v>2882</v>
      </c>
      <c r="CEC1338" s="4" t="s">
        <v>2882</v>
      </c>
      <c r="CED1338" s="4" t="s">
        <v>2882</v>
      </c>
      <c r="CEE1338" s="4" t="s">
        <v>2882</v>
      </c>
      <c r="CEF1338" s="4" t="s">
        <v>2882</v>
      </c>
      <c r="CEG1338" s="4" t="s">
        <v>2882</v>
      </c>
      <c r="CEH1338" s="4" t="s">
        <v>2882</v>
      </c>
      <c r="CEI1338" s="4" t="s">
        <v>2882</v>
      </c>
      <c r="CEJ1338" s="4" t="s">
        <v>2882</v>
      </c>
      <c r="CEK1338" s="4" t="s">
        <v>2882</v>
      </c>
      <c r="CEL1338" s="4" t="s">
        <v>2882</v>
      </c>
      <c r="CEM1338" s="4" t="s">
        <v>2882</v>
      </c>
      <c r="CEN1338" s="4" t="s">
        <v>2882</v>
      </c>
      <c r="CEO1338" s="4" t="s">
        <v>2882</v>
      </c>
      <c r="CEP1338" s="4" t="s">
        <v>2882</v>
      </c>
      <c r="CEQ1338" s="4" t="s">
        <v>2882</v>
      </c>
      <c r="CER1338" s="4" t="s">
        <v>2882</v>
      </c>
      <c r="CES1338" s="4" t="s">
        <v>2882</v>
      </c>
      <c r="CET1338" s="4" t="s">
        <v>2882</v>
      </c>
      <c r="CEU1338" s="4" t="s">
        <v>2882</v>
      </c>
      <c r="CEV1338" s="4" t="s">
        <v>2882</v>
      </c>
      <c r="CEW1338" s="4" t="s">
        <v>2882</v>
      </c>
      <c r="CEX1338" s="4" t="s">
        <v>2882</v>
      </c>
      <c r="CEY1338" s="4" t="s">
        <v>2882</v>
      </c>
      <c r="CEZ1338" s="4" t="s">
        <v>2882</v>
      </c>
      <c r="CFA1338" s="4" t="s">
        <v>2882</v>
      </c>
      <c r="CFB1338" s="4" t="s">
        <v>2882</v>
      </c>
      <c r="CFC1338" s="4" t="s">
        <v>2882</v>
      </c>
      <c r="CFD1338" s="4" t="s">
        <v>2882</v>
      </c>
      <c r="CFE1338" s="4" t="s">
        <v>2882</v>
      </c>
      <c r="CFF1338" s="4" t="s">
        <v>2882</v>
      </c>
      <c r="CFG1338" s="4" t="s">
        <v>2882</v>
      </c>
      <c r="CFH1338" s="4" t="s">
        <v>2882</v>
      </c>
      <c r="CFI1338" s="4" t="s">
        <v>2882</v>
      </c>
      <c r="CFJ1338" s="4" t="s">
        <v>2882</v>
      </c>
      <c r="CFK1338" s="4" t="s">
        <v>2882</v>
      </c>
      <c r="CFL1338" s="4" t="s">
        <v>2882</v>
      </c>
      <c r="CFM1338" s="4" t="s">
        <v>2882</v>
      </c>
      <c r="CFN1338" s="4" t="s">
        <v>2882</v>
      </c>
      <c r="CFO1338" s="4" t="s">
        <v>2882</v>
      </c>
      <c r="CFP1338" s="4" t="s">
        <v>2882</v>
      </c>
      <c r="CFQ1338" s="4" t="s">
        <v>2882</v>
      </c>
      <c r="CFR1338" s="4" t="s">
        <v>2882</v>
      </c>
      <c r="CFS1338" s="4" t="s">
        <v>2882</v>
      </c>
      <c r="CFT1338" s="4" t="s">
        <v>2882</v>
      </c>
      <c r="CFU1338" s="4" t="s">
        <v>2882</v>
      </c>
      <c r="CFV1338" s="4" t="s">
        <v>2882</v>
      </c>
      <c r="CFW1338" s="4" t="s">
        <v>2882</v>
      </c>
      <c r="CFX1338" s="4" t="s">
        <v>2882</v>
      </c>
      <c r="CFY1338" s="4" t="s">
        <v>2882</v>
      </c>
      <c r="CFZ1338" s="4" t="s">
        <v>2882</v>
      </c>
      <c r="CGA1338" s="4" t="s">
        <v>2882</v>
      </c>
      <c r="CGB1338" s="4" t="s">
        <v>2882</v>
      </c>
      <c r="CGC1338" s="4" t="s">
        <v>2882</v>
      </c>
      <c r="CGD1338" s="4" t="s">
        <v>2882</v>
      </c>
      <c r="CGE1338" s="4" t="s">
        <v>2882</v>
      </c>
      <c r="CGF1338" s="4" t="s">
        <v>2882</v>
      </c>
      <c r="CGG1338" s="4" t="s">
        <v>2882</v>
      </c>
      <c r="CGH1338" s="4" t="s">
        <v>2882</v>
      </c>
      <c r="CGI1338" s="4" t="s">
        <v>2882</v>
      </c>
      <c r="CGJ1338" s="4" t="s">
        <v>2882</v>
      </c>
      <c r="CGK1338" s="4" t="s">
        <v>2882</v>
      </c>
      <c r="CGL1338" s="4" t="s">
        <v>2882</v>
      </c>
      <c r="CGM1338" s="4" t="s">
        <v>2882</v>
      </c>
      <c r="CGN1338" s="4" t="s">
        <v>2882</v>
      </c>
      <c r="CGO1338" s="4" t="s">
        <v>2882</v>
      </c>
      <c r="CGP1338" s="4" t="s">
        <v>2882</v>
      </c>
      <c r="CGQ1338" s="4" t="s">
        <v>2882</v>
      </c>
      <c r="CGR1338" s="4" t="s">
        <v>2882</v>
      </c>
      <c r="CGS1338" s="4" t="s">
        <v>2882</v>
      </c>
      <c r="CGT1338" s="4" t="s">
        <v>2882</v>
      </c>
      <c r="CGU1338" s="4" t="s">
        <v>2882</v>
      </c>
      <c r="CGV1338" s="4" t="s">
        <v>2882</v>
      </c>
      <c r="CGW1338" s="4" t="s">
        <v>2882</v>
      </c>
      <c r="CGX1338" s="4" t="s">
        <v>2882</v>
      </c>
      <c r="CGY1338" s="4" t="s">
        <v>2882</v>
      </c>
      <c r="CGZ1338" s="4" t="s">
        <v>2882</v>
      </c>
      <c r="CHA1338" s="4" t="s">
        <v>2882</v>
      </c>
      <c r="CHB1338" s="4" t="s">
        <v>2882</v>
      </c>
      <c r="CHC1338" s="4" t="s">
        <v>2882</v>
      </c>
      <c r="CHD1338" s="4" t="s">
        <v>2882</v>
      </c>
      <c r="CHE1338" s="4" t="s">
        <v>2882</v>
      </c>
      <c r="CHF1338" s="4" t="s">
        <v>2882</v>
      </c>
      <c r="CHG1338" s="4" t="s">
        <v>2882</v>
      </c>
      <c r="CHH1338" s="4" t="s">
        <v>2882</v>
      </c>
      <c r="CHI1338" s="4" t="s">
        <v>2882</v>
      </c>
      <c r="CHJ1338" s="4" t="s">
        <v>2882</v>
      </c>
      <c r="CHK1338" s="4" t="s">
        <v>2882</v>
      </c>
      <c r="CHL1338" s="4" t="s">
        <v>2882</v>
      </c>
      <c r="CHM1338" s="4" t="s">
        <v>2882</v>
      </c>
      <c r="CHN1338" s="4" t="s">
        <v>2882</v>
      </c>
      <c r="CHO1338" s="4" t="s">
        <v>2882</v>
      </c>
      <c r="CHP1338" s="4" t="s">
        <v>2882</v>
      </c>
      <c r="CHQ1338" s="4" t="s">
        <v>2882</v>
      </c>
      <c r="CHR1338" s="4" t="s">
        <v>2882</v>
      </c>
      <c r="CHS1338" s="4" t="s">
        <v>2882</v>
      </c>
      <c r="CHT1338" s="4" t="s">
        <v>2882</v>
      </c>
      <c r="CHU1338" s="4" t="s">
        <v>2882</v>
      </c>
      <c r="CHV1338" s="4" t="s">
        <v>2882</v>
      </c>
      <c r="CHW1338" s="4" t="s">
        <v>2882</v>
      </c>
      <c r="CHX1338" s="4" t="s">
        <v>2882</v>
      </c>
      <c r="CHY1338" s="4" t="s">
        <v>2882</v>
      </c>
      <c r="CHZ1338" s="4" t="s">
        <v>2882</v>
      </c>
      <c r="CIA1338" s="4" t="s">
        <v>2882</v>
      </c>
      <c r="CIB1338" s="4" t="s">
        <v>2882</v>
      </c>
      <c r="CIC1338" s="4" t="s">
        <v>2882</v>
      </c>
      <c r="CID1338" s="4" t="s">
        <v>2882</v>
      </c>
      <c r="CIE1338" s="4" t="s">
        <v>2882</v>
      </c>
      <c r="CIF1338" s="4" t="s">
        <v>2882</v>
      </c>
      <c r="CIG1338" s="4" t="s">
        <v>2882</v>
      </c>
      <c r="CIH1338" s="4" t="s">
        <v>2882</v>
      </c>
      <c r="CII1338" s="4" t="s">
        <v>2882</v>
      </c>
      <c r="CIJ1338" s="4" t="s">
        <v>2882</v>
      </c>
      <c r="CIK1338" s="4" t="s">
        <v>2882</v>
      </c>
      <c r="CIL1338" s="4" t="s">
        <v>2882</v>
      </c>
      <c r="CIM1338" s="4" t="s">
        <v>2882</v>
      </c>
      <c r="CIN1338" s="4" t="s">
        <v>2882</v>
      </c>
      <c r="CIO1338" s="4" t="s">
        <v>2882</v>
      </c>
      <c r="CIP1338" s="4" t="s">
        <v>2882</v>
      </c>
      <c r="CIQ1338" s="4" t="s">
        <v>2882</v>
      </c>
      <c r="CIR1338" s="4" t="s">
        <v>2882</v>
      </c>
      <c r="CIS1338" s="4" t="s">
        <v>2882</v>
      </c>
      <c r="CIT1338" s="4" t="s">
        <v>2882</v>
      </c>
      <c r="CIU1338" s="4" t="s">
        <v>2882</v>
      </c>
      <c r="CIV1338" s="4" t="s">
        <v>2882</v>
      </c>
      <c r="CIW1338" s="4" t="s">
        <v>2882</v>
      </c>
      <c r="CIX1338" s="4" t="s">
        <v>2882</v>
      </c>
      <c r="CIY1338" s="4" t="s">
        <v>2882</v>
      </c>
      <c r="CIZ1338" s="4" t="s">
        <v>2882</v>
      </c>
      <c r="CJA1338" s="4" t="s">
        <v>2882</v>
      </c>
      <c r="CJB1338" s="4" t="s">
        <v>2882</v>
      </c>
      <c r="CJC1338" s="4" t="s">
        <v>2882</v>
      </c>
      <c r="CJD1338" s="4" t="s">
        <v>2882</v>
      </c>
      <c r="CJE1338" s="4" t="s">
        <v>2882</v>
      </c>
      <c r="CJF1338" s="4" t="s">
        <v>2882</v>
      </c>
      <c r="CJG1338" s="4" t="s">
        <v>2882</v>
      </c>
      <c r="CJH1338" s="4" t="s">
        <v>2882</v>
      </c>
      <c r="CJI1338" s="4" t="s">
        <v>2882</v>
      </c>
      <c r="CJJ1338" s="4" t="s">
        <v>2882</v>
      </c>
      <c r="CJK1338" s="4" t="s">
        <v>2882</v>
      </c>
      <c r="CJL1338" s="4" t="s">
        <v>2882</v>
      </c>
      <c r="CJM1338" s="4" t="s">
        <v>2882</v>
      </c>
      <c r="CJN1338" s="4" t="s">
        <v>2882</v>
      </c>
      <c r="CJO1338" s="4" t="s">
        <v>2882</v>
      </c>
      <c r="CJP1338" s="4" t="s">
        <v>2882</v>
      </c>
      <c r="CJQ1338" s="4" t="s">
        <v>2882</v>
      </c>
      <c r="CJR1338" s="4" t="s">
        <v>2882</v>
      </c>
      <c r="CJS1338" s="4" t="s">
        <v>2882</v>
      </c>
      <c r="CJT1338" s="4" t="s">
        <v>2882</v>
      </c>
      <c r="CJU1338" s="4" t="s">
        <v>2882</v>
      </c>
      <c r="CJV1338" s="4" t="s">
        <v>2882</v>
      </c>
      <c r="CJW1338" s="4" t="s">
        <v>2882</v>
      </c>
      <c r="CJX1338" s="4" t="s">
        <v>2882</v>
      </c>
      <c r="CJY1338" s="4" t="s">
        <v>2882</v>
      </c>
      <c r="CJZ1338" s="4" t="s">
        <v>2882</v>
      </c>
      <c r="CKA1338" s="4" t="s">
        <v>2882</v>
      </c>
      <c r="CKB1338" s="4" t="s">
        <v>2882</v>
      </c>
      <c r="CKC1338" s="4" t="s">
        <v>2882</v>
      </c>
      <c r="CKD1338" s="4" t="s">
        <v>2882</v>
      </c>
      <c r="CKE1338" s="4" t="s">
        <v>2882</v>
      </c>
      <c r="CKF1338" s="4" t="s">
        <v>2882</v>
      </c>
      <c r="CKG1338" s="4" t="s">
        <v>2882</v>
      </c>
      <c r="CKH1338" s="4" t="s">
        <v>2882</v>
      </c>
      <c r="CKI1338" s="4" t="s">
        <v>2882</v>
      </c>
      <c r="CKJ1338" s="4" t="s">
        <v>2882</v>
      </c>
      <c r="CKK1338" s="4" t="s">
        <v>2882</v>
      </c>
      <c r="CKL1338" s="4" t="s">
        <v>2882</v>
      </c>
      <c r="CKM1338" s="4" t="s">
        <v>2882</v>
      </c>
      <c r="CKN1338" s="4" t="s">
        <v>2882</v>
      </c>
      <c r="CKO1338" s="4" t="s">
        <v>2882</v>
      </c>
      <c r="CKP1338" s="4" t="s">
        <v>2882</v>
      </c>
      <c r="CKQ1338" s="4" t="s">
        <v>2882</v>
      </c>
      <c r="CKR1338" s="4" t="s">
        <v>2882</v>
      </c>
      <c r="CKS1338" s="4" t="s">
        <v>2882</v>
      </c>
      <c r="CKT1338" s="4" t="s">
        <v>2882</v>
      </c>
      <c r="CKU1338" s="4" t="s">
        <v>2882</v>
      </c>
      <c r="CKV1338" s="4" t="s">
        <v>2882</v>
      </c>
      <c r="CKW1338" s="4" t="s">
        <v>2882</v>
      </c>
      <c r="CKX1338" s="4" t="s">
        <v>2882</v>
      </c>
      <c r="CKY1338" s="4" t="s">
        <v>2882</v>
      </c>
      <c r="CKZ1338" s="4" t="s">
        <v>2882</v>
      </c>
      <c r="CLA1338" s="4" t="s">
        <v>2882</v>
      </c>
      <c r="CLB1338" s="4" t="s">
        <v>2882</v>
      </c>
      <c r="CLC1338" s="4" t="s">
        <v>2882</v>
      </c>
      <c r="CLD1338" s="4" t="s">
        <v>2882</v>
      </c>
      <c r="CLE1338" s="4" t="s">
        <v>2882</v>
      </c>
      <c r="CLF1338" s="4" t="s">
        <v>2882</v>
      </c>
      <c r="CLG1338" s="4" t="s">
        <v>2882</v>
      </c>
      <c r="CLH1338" s="4" t="s">
        <v>2882</v>
      </c>
      <c r="CLI1338" s="4" t="s">
        <v>2882</v>
      </c>
      <c r="CLJ1338" s="4" t="s">
        <v>2882</v>
      </c>
      <c r="CLK1338" s="4" t="s">
        <v>2882</v>
      </c>
      <c r="CLL1338" s="4" t="s">
        <v>2882</v>
      </c>
      <c r="CLM1338" s="4" t="s">
        <v>2882</v>
      </c>
      <c r="CLN1338" s="4" t="s">
        <v>2882</v>
      </c>
      <c r="CLO1338" s="4" t="s">
        <v>2882</v>
      </c>
      <c r="CLP1338" s="4" t="s">
        <v>2882</v>
      </c>
      <c r="CLQ1338" s="4" t="s">
        <v>2882</v>
      </c>
      <c r="CLR1338" s="4" t="s">
        <v>2882</v>
      </c>
      <c r="CLS1338" s="4" t="s">
        <v>2882</v>
      </c>
      <c r="CLT1338" s="4" t="s">
        <v>2882</v>
      </c>
      <c r="CLU1338" s="4" t="s">
        <v>2882</v>
      </c>
      <c r="CLV1338" s="4" t="s">
        <v>2882</v>
      </c>
      <c r="CLW1338" s="4" t="s">
        <v>2882</v>
      </c>
      <c r="CLX1338" s="4" t="s">
        <v>2882</v>
      </c>
      <c r="CLY1338" s="4" t="s">
        <v>2882</v>
      </c>
      <c r="CLZ1338" s="4" t="s">
        <v>2882</v>
      </c>
      <c r="CMA1338" s="4" t="s">
        <v>2882</v>
      </c>
      <c r="CMB1338" s="4" t="s">
        <v>2882</v>
      </c>
      <c r="CMC1338" s="4" t="s">
        <v>2882</v>
      </c>
      <c r="CMD1338" s="4" t="s">
        <v>2882</v>
      </c>
      <c r="CME1338" s="4" t="s">
        <v>2882</v>
      </c>
      <c r="CMF1338" s="4" t="s">
        <v>2882</v>
      </c>
      <c r="CMG1338" s="4" t="s">
        <v>2882</v>
      </c>
      <c r="CMH1338" s="4" t="s">
        <v>2882</v>
      </c>
      <c r="CMI1338" s="4" t="s">
        <v>2882</v>
      </c>
      <c r="CMJ1338" s="4" t="s">
        <v>2882</v>
      </c>
      <c r="CMK1338" s="4" t="s">
        <v>2882</v>
      </c>
      <c r="CML1338" s="4" t="s">
        <v>2882</v>
      </c>
      <c r="CMM1338" s="4" t="s">
        <v>2882</v>
      </c>
      <c r="CMN1338" s="4" t="s">
        <v>2882</v>
      </c>
      <c r="CMO1338" s="4" t="s">
        <v>2882</v>
      </c>
      <c r="CMP1338" s="4" t="s">
        <v>2882</v>
      </c>
      <c r="CMQ1338" s="4" t="s">
        <v>2882</v>
      </c>
      <c r="CMR1338" s="4" t="s">
        <v>2882</v>
      </c>
      <c r="CMS1338" s="4" t="s">
        <v>2882</v>
      </c>
      <c r="CMT1338" s="4" t="s">
        <v>2882</v>
      </c>
      <c r="CMU1338" s="4" t="s">
        <v>2882</v>
      </c>
      <c r="CMV1338" s="4" t="s">
        <v>2882</v>
      </c>
      <c r="CMW1338" s="4" t="s">
        <v>2882</v>
      </c>
      <c r="CMX1338" s="4" t="s">
        <v>2882</v>
      </c>
      <c r="CMY1338" s="4" t="s">
        <v>2882</v>
      </c>
      <c r="CMZ1338" s="4" t="s">
        <v>2882</v>
      </c>
      <c r="CNA1338" s="4" t="s">
        <v>2882</v>
      </c>
      <c r="CNB1338" s="4" t="s">
        <v>2882</v>
      </c>
      <c r="CNC1338" s="4" t="s">
        <v>2882</v>
      </c>
      <c r="CND1338" s="4" t="s">
        <v>2882</v>
      </c>
      <c r="CNE1338" s="4" t="s">
        <v>2882</v>
      </c>
      <c r="CNF1338" s="4" t="s">
        <v>2882</v>
      </c>
      <c r="CNG1338" s="4" t="s">
        <v>2882</v>
      </c>
      <c r="CNH1338" s="4" t="s">
        <v>2882</v>
      </c>
      <c r="CNI1338" s="4" t="s">
        <v>2882</v>
      </c>
      <c r="CNJ1338" s="4" t="s">
        <v>2882</v>
      </c>
      <c r="CNK1338" s="4" t="s">
        <v>2882</v>
      </c>
      <c r="CNL1338" s="4" t="s">
        <v>2882</v>
      </c>
      <c r="CNM1338" s="4" t="s">
        <v>2882</v>
      </c>
      <c r="CNN1338" s="4" t="s">
        <v>2882</v>
      </c>
      <c r="CNO1338" s="4" t="s">
        <v>2882</v>
      </c>
      <c r="CNP1338" s="4" t="s">
        <v>2882</v>
      </c>
      <c r="CNQ1338" s="4" t="s">
        <v>2882</v>
      </c>
      <c r="CNR1338" s="4" t="s">
        <v>2882</v>
      </c>
      <c r="CNS1338" s="4" t="s">
        <v>2882</v>
      </c>
      <c r="CNT1338" s="4" t="s">
        <v>2882</v>
      </c>
      <c r="CNU1338" s="4" t="s">
        <v>2882</v>
      </c>
      <c r="CNV1338" s="4" t="s">
        <v>2882</v>
      </c>
      <c r="CNW1338" s="4" t="s">
        <v>2882</v>
      </c>
      <c r="CNX1338" s="4" t="s">
        <v>2882</v>
      </c>
      <c r="CNY1338" s="4" t="s">
        <v>2882</v>
      </c>
      <c r="CNZ1338" s="4" t="s">
        <v>2882</v>
      </c>
      <c r="COA1338" s="4" t="s">
        <v>2882</v>
      </c>
      <c r="COB1338" s="4" t="s">
        <v>2882</v>
      </c>
      <c r="COC1338" s="4" t="s">
        <v>2882</v>
      </c>
      <c r="COD1338" s="4" t="s">
        <v>2882</v>
      </c>
      <c r="COE1338" s="4" t="s">
        <v>2882</v>
      </c>
      <c r="COF1338" s="4" t="s">
        <v>2882</v>
      </c>
      <c r="COG1338" s="4" t="s">
        <v>2882</v>
      </c>
      <c r="COH1338" s="4" t="s">
        <v>2882</v>
      </c>
      <c r="COI1338" s="4" t="s">
        <v>2882</v>
      </c>
      <c r="COJ1338" s="4" t="s">
        <v>2882</v>
      </c>
      <c r="COK1338" s="4" t="s">
        <v>2882</v>
      </c>
      <c r="COL1338" s="4" t="s">
        <v>2882</v>
      </c>
      <c r="COM1338" s="4" t="s">
        <v>2882</v>
      </c>
      <c r="CON1338" s="4" t="s">
        <v>2882</v>
      </c>
      <c r="COO1338" s="4" t="s">
        <v>2882</v>
      </c>
      <c r="COP1338" s="4" t="s">
        <v>2882</v>
      </c>
      <c r="COQ1338" s="4" t="s">
        <v>2882</v>
      </c>
      <c r="COR1338" s="4" t="s">
        <v>2882</v>
      </c>
      <c r="COS1338" s="4" t="s">
        <v>2882</v>
      </c>
      <c r="COT1338" s="4" t="s">
        <v>2882</v>
      </c>
      <c r="COU1338" s="4" t="s">
        <v>2882</v>
      </c>
      <c r="COV1338" s="4" t="s">
        <v>2882</v>
      </c>
      <c r="COW1338" s="4" t="s">
        <v>2882</v>
      </c>
      <c r="COX1338" s="4" t="s">
        <v>2882</v>
      </c>
      <c r="COY1338" s="4" t="s">
        <v>2882</v>
      </c>
      <c r="COZ1338" s="4" t="s">
        <v>2882</v>
      </c>
      <c r="CPA1338" s="4" t="s">
        <v>2882</v>
      </c>
      <c r="CPB1338" s="4" t="s">
        <v>2882</v>
      </c>
      <c r="CPC1338" s="4" t="s">
        <v>2882</v>
      </c>
      <c r="CPD1338" s="4" t="s">
        <v>2882</v>
      </c>
      <c r="CPE1338" s="4" t="s">
        <v>2882</v>
      </c>
      <c r="CPF1338" s="4" t="s">
        <v>2882</v>
      </c>
      <c r="CPG1338" s="4" t="s">
        <v>2882</v>
      </c>
      <c r="CPH1338" s="4" t="s">
        <v>2882</v>
      </c>
      <c r="CPI1338" s="4" t="s">
        <v>2882</v>
      </c>
      <c r="CPJ1338" s="4" t="s">
        <v>2882</v>
      </c>
      <c r="CPK1338" s="4" t="s">
        <v>2882</v>
      </c>
      <c r="CPL1338" s="4" t="s">
        <v>2882</v>
      </c>
      <c r="CPM1338" s="4" t="s">
        <v>2882</v>
      </c>
      <c r="CPN1338" s="4" t="s">
        <v>2882</v>
      </c>
      <c r="CPO1338" s="4" t="s">
        <v>2882</v>
      </c>
      <c r="CPP1338" s="4" t="s">
        <v>2882</v>
      </c>
      <c r="CPQ1338" s="4" t="s">
        <v>2882</v>
      </c>
      <c r="CPR1338" s="4" t="s">
        <v>2882</v>
      </c>
      <c r="CPS1338" s="4" t="s">
        <v>2882</v>
      </c>
      <c r="CPT1338" s="4" t="s">
        <v>2882</v>
      </c>
      <c r="CPU1338" s="4" t="s">
        <v>2882</v>
      </c>
      <c r="CPV1338" s="4" t="s">
        <v>2882</v>
      </c>
      <c r="CPW1338" s="4" t="s">
        <v>2882</v>
      </c>
      <c r="CPX1338" s="4" t="s">
        <v>2882</v>
      </c>
      <c r="CPY1338" s="4" t="s">
        <v>2882</v>
      </c>
      <c r="CPZ1338" s="4" t="s">
        <v>2882</v>
      </c>
      <c r="CQA1338" s="4" t="s">
        <v>2882</v>
      </c>
      <c r="CQB1338" s="4" t="s">
        <v>2882</v>
      </c>
      <c r="CQC1338" s="4" t="s">
        <v>2882</v>
      </c>
      <c r="CQD1338" s="4" t="s">
        <v>2882</v>
      </c>
      <c r="CQE1338" s="4" t="s">
        <v>2882</v>
      </c>
      <c r="CQF1338" s="4" t="s">
        <v>2882</v>
      </c>
      <c r="CQG1338" s="4" t="s">
        <v>2882</v>
      </c>
      <c r="CQH1338" s="4" t="s">
        <v>2882</v>
      </c>
      <c r="CQI1338" s="4" t="s">
        <v>2882</v>
      </c>
      <c r="CQJ1338" s="4" t="s">
        <v>2882</v>
      </c>
      <c r="CQK1338" s="4" t="s">
        <v>2882</v>
      </c>
      <c r="CQL1338" s="4" t="s">
        <v>2882</v>
      </c>
      <c r="CQM1338" s="4" t="s">
        <v>2882</v>
      </c>
      <c r="CQN1338" s="4" t="s">
        <v>2882</v>
      </c>
      <c r="CQO1338" s="4" t="s">
        <v>2882</v>
      </c>
      <c r="CQP1338" s="4" t="s">
        <v>2882</v>
      </c>
      <c r="CQQ1338" s="4" t="s">
        <v>2882</v>
      </c>
      <c r="CQR1338" s="4" t="s">
        <v>2882</v>
      </c>
      <c r="CQS1338" s="4" t="s">
        <v>2882</v>
      </c>
      <c r="CQT1338" s="4" t="s">
        <v>2882</v>
      </c>
      <c r="CQU1338" s="4" t="s">
        <v>2882</v>
      </c>
      <c r="CQV1338" s="4" t="s">
        <v>2882</v>
      </c>
      <c r="CQW1338" s="4" t="s">
        <v>2882</v>
      </c>
      <c r="CQX1338" s="4" t="s">
        <v>2882</v>
      </c>
      <c r="CQY1338" s="4" t="s">
        <v>2882</v>
      </c>
      <c r="CQZ1338" s="4" t="s">
        <v>2882</v>
      </c>
      <c r="CRA1338" s="4" t="s">
        <v>2882</v>
      </c>
      <c r="CRB1338" s="4" t="s">
        <v>2882</v>
      </c>
      <c r="CRC1338" s="4" t="s">
        <v>2882</v>
      </c>
      <c r="CRD1338" s="4" t="s">
        <v>2882</v>
      </c>
      <c r="CRE1338" s="4" t="s">
        <v>2882</v>
      </c>
      <c r="CRF1338" s="4" t="s">
        <v>2882</v>
      </c>
      <c r="CRG1338" s="4" t="s">
        <v>2882</v>
      </c>
      <c r="CRH1338" s="4" t="s">
        <v>2882</v>
      </c>
      <c r="CRI1338" s="4" t="s">
        <v>2882</v>
      </c>
      <c r="CRJ1338" s="4" t="s">
        <v>2882</v>
      </c>
      <c r="CRK1338" s="4" t="s">
        <v>2882</v>
      </c>
      <c r="CRL1338" s="4" t="s">
        <v>2882</v>
      </c>
      <c r="CRM1338" s="4" t="s">
        <v>2882</v>
      </c>
      <c r="CRN1338" s="4" t="s">
        <v>2882</v>
      </c>
      <c r="CRO1338" s="4" t="s">
        <v>2882</v>
      </c>
      <c r="CRP1338" s="4" t="s">
        <v>2882</v>
      </c>
      <c r="CRQ1338" s="4" t="s">
        <v>2882</v>
      </c>
      <c r="CRR1338" s="4" t="s">
        <v>2882</v>
      </c>
      <c r="CRS1338" s="4" t="s">
        <v>2882</v>
      </c>
      <c r="CRT1338" s="4" t="s">
        <v>2882</v>
      </c>
      <c r="CRU1338" s="4" t="s">
        <v>2882</v>
      </c>
      <c r="CRV1338" s="4" t="s">
        <v>2882</v>
      </c>
      <c r="CRW1338" s="4" t="s">
        <v>2882</v>
      </c>
      <c r="CRX1338" s="4" t="s">
        <v>2882</v>
      </c>
      <c r="CRY1338" s="4" t="s">
        <v>2882</v>
      </c>
      <c r="CRZ1338" s="4" t="s">
        <v>2882</v>
      </c>
      <c r="CSA1338" s="4" t="s">
        <v>2882</v>
      </c>
      <c r="CSB1338" s="4" t="s">
        <v>2882</v>
      </c>
      <c r="CSC1338" s="4" t="s">
        <v>2882</v>
      </c>
      <c r="CSD1338" s="4" t="s">
        <v>2882</v>
      </c>
      <c r="CSE1338" s="4" t="s">
        <v>2882</v>
      </c>
      <c r="CSF1338" s="4" t="s">
        <v>2882</v>
      </c>
      <c r="CSG1338" s="4" t="s">
        <v>2882</v>
      </c>
      <c r="CSH1338" s="4" t="s">
        <v>2882</v>
      </c>
      <c r="CSI1338" s="4" t="s">
        <v>2882</v>
      </c>
      <c r="CSJ1338" s="4" t="s">
        <v>2882</v>
      </c>
      <c r="CSK1338" s="4" t="s">
        <v>2882</v>
      </c>
      <c r="CSL1338" s="4" t="s">
        <v>2882</v>
      </c>
      <c r="CSM1338" s="4" t="s">
        <v>2882</v>
      </c>
      <c r="CSN1338" s="4" t="s">
        <v>2882</v>
      </c>
      <c r="CSO1338" s="4" t="s">
        <v>2882</v>
      </c>
      <c r="CSP1338" s="4" t="s">
        <v>2882</v>
      </c>
      <c r="CSQ1338" s="4" t="s">
        <v>2882</v>
      </c>
      <c r="CSR1338" s="4" t="s">
        <v>2882</v>
      </c>
      <c r="CSS1338" s="4" t="s">
        <v>2882</v>
      </c>
      <c r="CST1338" s="4" t="s">
        <v>2882</v>
      </c>
      <c r="CSU1338" s="4" t="s">
        <v>2882</v>
      </c>
      <c r="CSV1338" s="4" t="s">
        <v>2882</v>
      </c>
      <c r="CSW1338" s="4" t="s">
        <v>2882</v>
      </c>
      <c r="CSX1338" s="4" t="s">
        <v>2882</v>
      </c>
      <c r="CSY1338" s="4" t="s">
        <v>2882</v>
      </c>
      <c r="CSZ1338" s="4" t="s">
        <v>2882</v>
      </c>
      <c r="CTA1338" s="4" t="s">
        <v>2882</v>
      </c>
      <c r="CTB1338" s="4" t="s">
        <v>2882</v>
      </c>
      <c r="CTC1338" s="4" t="s">
        <v>2882</v>
      </c>
      <c r="CTD1338" s="4" t="s">
        <v>2882</v>
      </c>
      <c r="CTE1338" s="4" t="s">
        <v>2882</v>
      </c>
      <c r="CTF1338" s="4" t="s">
        <v>2882</v>
      </c>
      <c r="CTG1338" s="4" t="s">
        <v>2882</v>
      </c>
      <c r="CTH1338" s="4" t="s">
        <v>2882</v>
      </c>
      <c r="CTI1338" s="4" t="s">
        <v>2882</v>
      </c>
      <c r="CTJ1338" s="4" t="s">
        <v>2882</v>
      </c>
      <c r="CTK1338" s="4" t="s">
        <v>2882</v>
      </c>
      <c r="CTL1338" s="4" t="s">
        <v>2882</v>
      </c>
      <c r="CTM1338" s="4" t="s">
        <v>2882</v>
      </c>
      <c r="CTN1338" s="4" t="s">
        <v>2882</v>
      </c>
      <c r="CTO1338" s="4" t="s">
        <v>2882</v>
      </c>
      <c r="CTP1338" s="4" t="s">
        <v>2882</v>
      </c>
      <c r="CTQ1338" s="4" t="s">
        <v>2882</v>
      </c>
      <c r="CTR1338" s="4" t="s">
        <v>2882</v>
      </c>
      <c r="CTS1338" s="4" t="s">
        <v>2882</v>
      </c>
      <c r="CTT1338" s="4" t="s">
        <v>2882</v>
      </c>
      <c r="CTU1338" s="4" t="s">
        <v>2882</v>
      </c>
      <c r="CTV1338" s="4" t="s">
        <v>2882</v>
      </c>
      <c r="CTW1338" s="4" t="s">
        <v>2882</v>
      </c>
      <c r="CTX1338" s="4" t="s">
        <v>2882</v>
      </c>
      <c r="CTY1338" s="4" t="s">
        <v>2882</v>
      </c>
      <c r="CTZ1338" s="4" t="s">
        <v>2882</v>
      </c>
      <c r="CUA1338" s="4" t="s">
        <v>2882</v>
      </c>
      <c r="CUB1338" s="4" t="s">
        <v>2882</v>
      </c>
      <c r="CUC1338" s="4" t="s">
        <v>2882</v>
      </c>
      <c r="CUD1338" s="4" t="s">
        <v>2882</v>
      </c>
      <c r="CUE1338" s="4" t="s">
        <v>2882</v>
      </c>
      <c r="CUF1338" s="4" t="s">
        <v>2882</v>
      </c>
      <c r="CUG1338" s="4" t="s">
        <v>2882</v>
      </c>
      <c r="CUH1338" s="4" t="s">
        <v>2882</v>
      </c>
      <c r="CUI1338" s="4" t="s">
        <v>2882</v>
      </c>
      <c r="CUJ1338" s="4" t="s">
        <v>2882</v>
      </c>
      <c r="CUK1338" s="4" t="s">
        <v>2882</v>
      </c>
      <c r="CUL1338" s="4" t="s">
        <v>2882</v>
      </c>
      <c r="CUM1338" s="4" t="s">
        <v>2882</v>
      </c>
      <c r="CUN1338" s="4" t="s">
        <v>2882</v>
      </c>
      <c r="CUO1338" s="4" t="s">
        <v>2882</v>
      </c>
      <c r="CUP1338" s="4" t="s">
        <v>2882</v>
      </c>
      <c r="CUQ1338" s="4" t="s">
        <v>2882</v>
      </c>
      <c r="CUR1338" s="4" t="s">
        <v>2882</v>
      </c>
      <c r="CUS1338" s="4" t="s">
        <v>2882</v>
      </c>
      <c r="CUT1338" s="4" t="s">
        <v>2882</v>
      </c>
      <c r="CUU1338" s="4" t="s">
        <v>2882</v>
      </c>
      <c r="CUV1338" s="4" t="s">
        <v>2882</v>
      </c>
      <c r="CUW1338" s="4" t="s">
        <v>2882</v>
      </c>
      <c r="CUX1338" s="4" t="s">
        <v>2882</v>
      </c>
      <c r="CUY1338" s="4" t="s">
        <v>2882</v>
      </c>
      <c r="CUZ1338" s="4" t="s">
        <v>2882</v>
      </c>
      <c r="CVA1338" s="4" t="s">
        <v>2882</v>
      </c>
      <c r="CVB1338" s="4" t="s">
        <v>2882</v>
      </c>
      <c r="CVC1338" s="4" t="s">
        <v>2882</v>
      </c>
      <c r="CVD1338" s="4" t="s">
        <v>2882</v>
      </c>
      <c r="CVE1338" s="4" t="s">
        <v>2882</v>
      </c>
      <c r="CVF1338" s="4" t="s">
        <v>2882</v>
      </c>
      <c r="CVG1338" s="4" t="s">
        <v>2882</v>
      </c>
      <c r="CVH1338" s="4" t="s">
        <v>2882</v>
      </c>
      <c r="CVI1338" s="4" t="s">
        <v>2882</v>
      </c>
      <c r="CVJ1338" s="4" t="s">
        <v>2882</v>
      </c>
      <c r="CVK1338" s="4" t="s">
        <v>2882</v>
      </c>
      <c r="CVL1338" s="4" t="s">
        <v>2882</v>
      </c>
      <c r="CVM1338" s="4" t="s">
        <v>2882</v>
      </c>
      <c r="CVN1338" s="4" t="s">
        <v>2882</v>
      </c>
      <c r="CVO1338" s="4" t="s">
        <v>2882</v>
      </c>
      <c r="CVP1338" s="4" t="s">
        <v>2882</v>
      </c>
      <c r="CVQ1338" s="4" t="s">
        <v>2882</v>
      </c>
      <c r="CVR1338" s="4" t="s">
        <v>2882</v>
      </c>
      <c r="CVS1338" s="4" t="s">
        <v>2882</v>
      </c>
      <c r="CVT1338" s="4" t="s">
        <v>2882</v>
      </c>
      <c r="CVU1338" s="4" t="s">
        <v>2882</v>
      </c>
      <c r="CVV1338" s="4" t="s">
        <v>2882</v>
      </c>
      <c r="CVW1338" s="4" t="s">
        <v>2882</v>
      </c>
      <c r="CVX1338" s="4" t="s">
        <v>2882</v>
      </c>
      <c r="CVY1338" s="4" t="s">
        <v>2882</v>
      </c>
      <c r="CVZ1338" s="4" t="s">
        <v>2882</v>
      </c>
      <c r="CWA1338" s="4" t="s">
        <v>2882</v>
      </c>
      <c r="CWB1338" s="4" t="s">
        <v>2882</v>
      </c>
      <c r="CWC1338" s="4" t="s">
        <v>2882</v>
      </c>
      <c r="CWD1338" s="4" t="s">
        <v>2882</v>
      </c>
      <c r="CWE1338" s="4" t="s">
        <v>2882</v>
      </c>
      <c r="CWF1338" s="4" t="s">
        <v>2882</v>
      </c>
      <c r="CWG1338" s="4" t="s">
        <v>2882</v>
      </c>
      <c r="CWH1338" s="4" t="s">
        <v>2882</v>
      </c>
      <c r="CWI1338" s="4" t="s">
        <v>2882</v>
      </c>
      <c r="CWJ1338" s="4" t="s">
        <v>2882</v>
      </c>
      <c r="CWK1338" s="4" t="s">
        <v>2882</v>
      </c>
      <c r="CWL1338" s="4" t="s">
        <v>2882</v>
      </c>
      <c r="CWM1338" s="4" t="s">
        <v>2882</v>
      </c>
      <c r="CWN1338" s="4" t="s">
        <v>2882</v>
      </c>
      <c r="CWO1338" s="4" t="s">
        <v>2882</v>
      </c>
      <c r="CWP1338" s="4" t="s">
        <v>2882</v>
      </c>
      <c r="CWQ1338" s="4" t="s">
        <v>2882</v>
      </c>
      <c r="CWR1338" s="4" t="s">
        <v>2882</v>
      </c>
      <c r="CWS1338" s="4" t="s">
        <v>2882</v>
      </c>
      <c r="CWT1338" s="4" t="s">
        <v>2882</v>
      </c>
      <c r="CWU1338" s="4" t="s">
        <v>2882</v>
      </c>
      <c r="CWV1338" s="4" t="s">
        <v>2882</v>
      </c>
      <c r="CWW1338" s="4" t="s">
        <v>2882</v>
      </c>
      <c r="CWX1338" s="4" t="s">
        <v>2882</v>
      </c>
      <c r="CWY1338" s="4" t="s">
        <v>2882</v>
      </c>
      <c r="CWZ1338" s="4" t="s">
        <v>2882</v>
      </c>
      <c r="CXA1338" s="4" t="s">
        <v>2882</v>
      </c>
      <c r="CXB1338" s="4" t="s">
        <v>2882</v>
      </c>
      <c r="CXC1338" s="4" t="s">
        <v>2882</v>
      </c>
      <c r="CXD1338" s="4" t="s">
        <v>2882</v>
      </c>
      <c r="CXE1338" s="4" t="s">
        <v>2882</v>
      </c>
      <c r="CXF1338" s="4" t="s">
        <v>2882</v>
      </c>
      <c r="CXG1338" s="4" t="s">
        <v>2882</v>
      </c>
      <c r="CXH1338" s="4" t="s">
        <v>2882</v>
      </c>
      <c r="CXI1338" s="4" t="s">
        <v>2882</v>
      </c>
      <c r="CXJ1338" s="4" t="s">
        <v>2882</v>
      </c>
      <c r="CXK1338" s="4" t="s">
        <v>2882</v>
      </c>
      <c r="CXL1338" s="4" t="s">
        <v>2882</v>
      </c>
      <c r="CXM1338" s="4" t="s">
        <v>2882</v>
      </c>
      <c r="CXN1338" s="4" t="s">
        <v>2882</v>
      </c>
      <c r="CXO1338" s="4" t="s">
        <v>2882</v>
      </c>
      <c r="CXP1338" s="4" t="s">
        <v>2882</v>
      </c>
      <c r="CXQ1338" s="4" t="s">
        <v>2882</v>
      </c>
      <c r="CXR1338" s="4" t="s">
        <v>2882</v>
      </c>
      <c r="CXS1338" s="4" t="s">
        <v>2882</v>
      </c>
      <c r="CXT1338" s="4" t="s">
        <v>2882</v>
      </c>
      <c r="CXU1338" s="4" t="s">
        <v>2882</v>
      </c>
      <c r="CXV1338" s="4" t="s">
        <v>2882</v>
      </c>
      <c r="CXW1338" s="4" t="s">
        <v>2882</v>
      </c>
      <c r="CXX1338" s="4" t="s">
        <v>2882</v>
      </c>
      <c r="CXY1338" s="4" t="s">
        <v>2882</v>
      </c>
      <c r="CXZ1338" s="4" t="s">
        <v>2882</v>
      </c>
      <c r="CYA1338" s="4" t="s">
        <v>2882</v>
      </c>
      <c r="CYB1338" s="4" t="s">
        <v>2882</v>
      </c>
      <c r="CYC1338" s="4" t="s">
        <v>2882</v>
      </c>
      <c r="CYD1338" s="4" t="s">
        <v>2882</v>
      </c>
      <c r="CYE1338" s="4" t="s">
        <v>2882</v>
      </c>
      <c r="CYF1338" s="4" t="s">
        <v>2882</v>
      </c>
      <c r="CYG1338" s="4" t="s">
        <v>2882</v>
      </c>
      <c r="CYH1338" s="4" t="s">
        <v>2882</v>
      </c>
      <c r="CYI1338" s="4" t="s">
        <v>2882</v>
      </c>
      <c r="CYJ1338" s="4" t="s">
        <v>2882</v>
      </c>
      <c r="CYK1338" s="4" t="s">
        <v>2882</v>
      </c>
      <c r="CYL1338" s="4" t="s">
        <v>2882</v>
      </c>
      <c r="CYM1338" s="4" t="s">
        <v>2882</v>
      </c>
      <c r="CYN1338" s="4" t="s">
        <v>2882</v>
      </c>
      <c r="CYO1338" s="4" t="s">
        <v>2882</v>
      </c>
      <c r="CYP1338" s="4" t="s">
        <v>2882</v>
      </c>
      <c r="CYQ1338" s="4" t="s">
        <v>2882</v>
      </c>
      <c r="CYR1338" s="4" t="s">
        <v>2882</v>
      </c>
      <c r="CYS1338" s="4" t="s">
        <v>2882</v>
      </c>
      <c r="CYT1338" s="4" t="s">
        <v>2882</v>
      </c>
      <c r="CYU1338" s="4" t="s">
        <v>2882</v>
      </c>
      <c r="CYV1338" s="4" t="s">
        <v>2882</v>
      </c>
      <c r="CYW1338" s="4" t="s">
        <v>2882</v>
      </c>
      <c r="CYX1338" s="4" t="s">
        <v>2882</v>
      </c>
      <c r="CYY1338" s="4" t="s">
        <v>2882</v>
      </c>
      <c r="CYZ1338" s="4" t="s">
        <v>2882</v>
      </c>
      <c r="CZA1338" s="4" t="s">
        <v>2882</v>
      </c>
      <c r="CZB1338" s="4" t="s">
        <v>2882</v>
      </c>
      <c r="CZC1338" s="4" t="s">
        <v>2882</v>
      </c>
      <c r="CZD1338" s="4" t="s">
        <v>2882</v>
      </c>
      <c r="CZE1338" s="4" t="s">
        <v>2882</v>
      </c>
      <c r="CZF1338" s="4" t="s">
        <v>2882</v>
      </c>
      <c r="CZG1338" s="4" t="s">
        <v>2882</v>
      </c>
      <c r="CZH1338" s="4" t="s">
        <v>2882</v>
      </c>
      <c r="CZI1338" s="4" t="s">
        <v>2882</v>
      </c>
      <c r="CZJ1338" s="4" t="s">
        <v>2882</v>
      </c>
      <c r="CZK1338" s="4" t="s">
        <v>2882</v>
      </c>
      <c r="CZL1338" s="4" t="s">
        <v>2882</v>
      </c>
      <c r="CZM1338" s="4" t="s">
        <v>2882</v>
      </c>
      <c r="CZN1338" s="4" t="s">
        <v>2882</v>
      </c>
      <c r="CZO1338" s="4" t="s">
        <v>2882</v>
      </c>
      <c r="CZP1338" s="4" t="s">
        <v>2882</v>
      </c>
      <c r="CZQ1338" s="4" t="s">
        <v>2882</v>
      </c>
      <c r="CZR1338" s="4" t="s">
        <v>2882</v>
      </c>
      <c r="CZS1338" s="4" t="s">
        <v>2882</v>
      </c>
      <c r="CZT1338" s="4" t="s">
        <v>2882</v>
      </c>
      <c r="CZU1338" s="4" t="s">
        <v>2882</v>
      </c>
      <c r="CZV1338" s="4" t="s">
        <v>2882</v>
      </c>
      <c r="CZW1338" s="4" t="s">
        <v>2882</v>
      </c>
      <c r="CZX1338" s="4" t="s">
        <v>2882</v>
      </c>
      <c r="CZY1338" s="4" t="s">
        <v>2882</v>
      </c>
      <c r="CZZ1338" s="4" t="s">
        <v>2882</v>
      </c>
      <c r="DAA1338" s="4" t="s">
        <v>2882</v>
      </c>
      <c r="DAB1338" s="4" t="s">
        <v>2882</v>
      </c>
      <c r="DAC1338" s="4" t="s">
        <v>2882</v>
      </c>
      <c r="DAD1338" s="4" t="s">
        <v>2882</v>
      </c>
      <c r="DAE1338" s="4" t="s">
        <v>2882</v>
      </c>
      <c r="DAF1338" s="4" t="s">
        <v>2882</v>
      </c>
      <c r="DAG1338" s="4" t="s">
        <v>2882</v>
      </c>
      <c r="DAH1338" s="4" t="s">
        <v>2882</v>
      </c>
      <c r="DAI1338" s="4" t="s">
        <v>2882</v>
      </c>
      <c r="DAJ1338" s="4" t="s">
        <v>2882</v>
      </c>
      <c r="DAK1338" s="4" t="s">
        <v>2882</v>
      </c>
      <c r="DAL1338" s="4" t="s">
        <v>2882</v>
      </c>
      <c r="DAM1338" s="4" t="s">
        <v>2882</v>
      </c>
      <c r="DAN1338" s="4" t="s">
        <v>2882</v>
      </c>
      <c r="DAO1338" s="4" t="s">
        <v>2882</v>
      </c>
      <c r="DAP1338" s="4" t="s">
        <v>2882</v>
      </c>
      <c r="DAQ1338" s="4" t="s">
        <v>2882</v>
      </c>
      <c r="DAR1338" s="4" t="s">
        <v>2882</v>
      </c>
      <c r="DAS1338" s="4" t="s">
        <v>2882</v>
      </c>
      <c r="DAT1338" s="4" t="s">
        <v>2882</v>
      </c>
      <c r="DAU1338" s="4" t="s">
        <v>2882</v>
      </c>
      <c r="DAV1338" s="4" t="s">
        <v>2882</v>
      </c>
      <c r="DAW1338" s="4" t="s">
        <v>2882</v>
      </c>
      <c r="DAX1338" s="4" t="s">
        <v>2882</v>
      </c>
      <c r="DAY1338" s="4" t="s">
        <v>2882</v>
      </c>
      <c r="DAZ1338" s="4" t="s">
        <v>2882</v>
      </c>
      <c r="DBA1338" s="4" t="s">
        <v>2882</v>
      </c>
      <c r="DBB1338" s="4" t="s">
        <v>2882</v>
      </c>
      <c r="DBC1338" s="4" t="s">
        <v>2882</v>
      </c>
      <c r="DBD1338" s="4" t="s">
        <v>2882</v>
      </c>
      <c r="DBE1338" s="4" t="s">
        <v>2882</v>
      </c>
      <c r="DBF1338" s="4" t="s">
        <v>2882</v>
      </c>
      <c r="DBG1338" s="4" t="s">
        <v>2882</v>
      </c>
      <c r="DBH1338" s="4" t="s">
        <v>2882</v>
      </c>
      <c r="DBI1338" s="4" t="s">
        <v>2882</v>
      </c>
      <c r="DBJ1338" s="4" t="s">
        <v>2882</v>
      </c>
      <c r="DBK1338" s="4" t="s">
        <v>2882</v>
      </c>
      <c r="DBL1338" s="4" t="s">
        <v>2882</v>
      </c>
      <c r="DBM1338" s="4" t="s">
        <v>2882</v>
      </c>
      <c r="DBN1338" s="4" t="s">
        <v>2882</v>
      </c>
      <c r="DBO1338" s="4" t="s">
        <v>2882</v>
      </c>
      <c r="DBP1338" s="4" t="s">
        <v>2882</v>
      </c>
      <c r="DBQ1338" s="4" t="s">
        <v>2882</v>
      </c>
      <c r="DBR1338" s="4" t="s">
        <v>2882</v>
      </c>
      <c r="DBS1338" s="4" t="s">
        <v>2882</v>
      </c>
      <c r="DBT1338" s="4" t="s">
        <v>2882</v>
      </c>
      <c r="DBU1338" s="4" t="s">
        <v>2882</v>
      </c>
      <c r="DBV1338" s="4" t="s">
        <v>2882</v>
      </c>
      <c r="DBW1338" s="4" t="s">
        <v>2882</v>
      </c>
      <c r="DBX1338" s="4" t="s">
        <v>2882</v>
      </c>
      <c r="DBY1338" s="4" t="s">
        <v>2882</v>
      </c>
      <c r="DBZ1338" s="4" t="s">
        <v>2882</v>
      </c>
      <c r="DCA1338" s="4" t="s">
        <v>2882</v>
      </c>
      <c r="DCB1338" s="4" t="s">
        <v>2882</v>
      </c>
      <c r="DCC1338" s="4" t="s">
        <v>2882</v>
      </c>
      <c r="DCD1338" s="4" t="s">
        <v>2882</v>
      </c>
      <c r="DCE1338" s="4" t="s">
        <v>2882</v>
      </c>
      <c r="DCF1338" s="4" t="s">
        <v>2882</v>
      </c>
      <c r="DCG1338" s="4" t="s">
        <v>2882</v>
      </c>
      <c r="DCH1338" s="4" t="s">
        <v>2882</v>
      </c>
      <c r="DCI1338" s="4" t="s">
        <v>2882</v>
      </c>
      <c r="DCJ1338" s="4" t="s">
        <v>2882</v>
      </c>
      <c r="DCK1338" s="4" t="s">
        <v>2882</v>
      </c>
      <c r="DCL1338" s="4" t="s">
        <v>2882</v>
      </c>
      <c r="DCM1338" s="4" t="s">
        <v>2882</v>
      </c>
      <c r="DCN1338" s="4" t="s">
        <v>2882</v>
      </c>
      <c r="DCO1338" s="4" t="s">
        <v>2882</v>
      </c>
      <c r="DCP1338" s="4" t="s">
        <v>2882</v>
      </c>
      <c r="DCQ1338" s="4" t="s">
        <v>2882</v>
      </c>
      <c r="DCR1338" s="4" t="s">
        <v>2882</v>
      </c>
      <c r="DCS1338" s="4" t="s">
        <v>2882</v>
      </c>
      <c r="DCT1338" s="4" t="s">
        <v>2882</v>
      </c>
      <c r="DCU1338" s="4" t="s">
        <v>2882</v>
      </c>
      <c r="DCV1338" s="4" t="s">
        <v>2882</v>
      </c>
      <c r="DCW1338" s="4" t="s">
        <v>2882</v>
      </c>
      <c r="DCX1338" s="4" t="s">
        <v>2882</v>
      </c>
      <c r="DCY1338" s="4" t="s">
        <v>2882</v>
      </c>
      <c r="DCZ1338" s="4" t="s">
        <v>2882</v>
      </c>
      <c r="DDA1338" s="4" t="s">
        <v>2882</v>
      </c>
      <c r="DDB1338" s="4" t="s">
        <v>2882</v>
      </c>
      <c r="DDC1338" s="4" t="s">
        <v>2882</v>
      </c>
      <c r="DDD1338" s="4" t="s">
        <v>2882</v>
      </c>
      <c r="DDE1338" s="4" t="s">
        <v>2882</v>
      </c>
      <c r="DDF1338" s="4" t="s">
        <v>2882</v>
      </c>
      <c r="DDG1338" s="4" t="s">
        <v>2882</v>
      </c>
      <c r="DDH1338" s="4" t="s">
        <v>2882</v>
      </c>
      <c r="DDI1338" s="4" t="s">
        <v>2882</v>
      </c>
      <c r="DDJ1338" s="4" t="s">
        <v>2882</v>
      </c>
      <c r="DDK1338" s="4" t="s">
        <v>2882</v>
      </c>
      <c r="DDL1338" s="4" t="s">
        <v>2882</v>
      </c>
      <c r="DDM1338" s="4" t="s">
        <v>2882</v>
      </c>
      <c r="DDN1338" s="4" t="s">
        <v>2882</v>
      </c>
      <c r="DDO1338" s="4" t="s">
        <v>2882</v>
      </c>
      <c r="DDP1338" s="4" t="s">
        <v>2882</v>
      </c>
      <c r="DDQ1338" s="4" t="s">
        <v>2882</v>
      </c>
      <c r="DDR1338" s="4" t="s">
        <v>2882</v>
      </c>
      <c r="DDS1338" s="4" t="s">
        <v>2882</v>
      </c>
      <c r="DDT1338" s="4" t="s">
        <v>2882</v>
      </c>
      <c r="DDU1338" s="4" t="s">
        <v>2882</v>
      </c>
      <c r="DDV1338" s="4" t="s">
        <v>2882</v>
      </c>
      <c r="DDW1338" s="4" t="s">
        <v>2882</v>
      </c>
      <c r="DDX1338" s="4" t="s">
        <v>2882</v>
      </c>
      <c r="DDY1338" s="4" t="s">
        <v>2882</v>
      </c>
      <c r="DDZ1338" s="4" t="s">
        <v>2882</v>
      </c>
      <c r="DEA1338" s="4" t="s">
        <v>2882</v>
      </c>
      <c r="DEB1338" s="4" t="s">
        <v>2882</v>
      </c>
      <c r="DEC1338" s="4" t="s">
        <v>2882</v>
      </c>
      <c r="DED1338" s="4" t="s">
        <v>2882</v>
      </c>
      <c r="DEE1338" s="4" t="s">
        <v>2882</v>
      </c>
      <c r="DEF1338" s="4" t="s">
        <v>2882</v>
      </c>
      <c r="DEG1338" s="4" t="s">
        <v>2882</v>
      </c>
      <c r="DEH1338" s="4" t="s">
        <v>2882</v>
      </c>
      <c r="DEI1338" s="4" t="s">
        <v>2882</v>
      </c>
      <c r="DEJ1338" s="4" t="s">
        <v>2882</v>
      </c>
      <c r="DEK1338" s="4" t="s">
        <v>2882</v>
      </c>
      <c r="DEL1338" s="4" t="s">
        <v>2882</v>
      </c>
      <c r="DEM1338" s="4" t="s">
        <v>2882</v>
      </c>
      <c r="DEN1338" s="4" t="s">
        <v>2882</v>
      </c>
      <c r="DEO1338" s="4" t="s">
        <v>2882</v>
      </c>
      <c r="DEP1338" s="4" t="s">
        <v>2882</v>
      </c>
      <c r="DEQ1338" s="4" t="s">
        <v>2882</v>
      </c>
      <c r="DER1338" s="4" t="s">
        <v>2882</v>
      </c>
      <c r="DES1338" s="4" t="s">
        <v>2882</v>
      </c>
      <c r="DET1338" s="4" t="s">
        <v>2882</v>
      </c>
      <c r="DEU1338" s="4" t="s">
        <v>2882</v>
      </c>
      <c r="DEV1338" s="4" t="s">
        <v>2882</v>
      </c>
      <c r="DEW1338" s="4" t="s">
        <v>2882</v>
      </c>
      <c r="DEX1338" s="4" t="s">
        <v>2882</v>
      </c>
      <c r="DEY1338" s="4" t="s">
        <v>2882</v>
      </c>
      <c r="DEZ1338" s="4" t="s">
        <v>2882</v>
      </c>
      <c r="DFA1338" s="4" t="s">
        <v>2882</v>
      </c>
      <c r="DFB1338" s="4" t="s">
        <v>2882</v>
      </c>
      <c r="DFC1338" s="4" t="s">
        <v>2882</v>
      </c>
      <c r="DFD1338" s="4" t="s">
        <v>2882</v>
      </c>
      <c r="DFE1338" s="4" t="s">
        <v>2882</v>
      </c>
      <c r="DFF1338" s="4" t="s">
        <v>2882</v>
      </c>
      <c r="DFG1338" s="4" t="s">
        <v>2882</v>
      </c>
      <c r="DFH1338" s="4" t="s">
        <v>2882</v>
      </c>
      <c r="DFI1338" s="4" t="s">
        <v>2882</v>
      </c>
      <c r="DFJ1338" s="4" t="s">
        <v>2882</v>
      </c>
      <c r="DFK1338" s="4" t="s">
        <v>2882</v>
      </c>
      <c r="DFL1338" s="4" t="s">
        <v>2882</v>
      </c>
      <c r="DFM1338" s="4" t="s">
        <v>2882</v>
      </c>
      <c r="DFN1338" s="4" t="s">
        <v>2882</v>
      </c>
      <c r="DFO1338" s="4" t="s">
        <v>2882</v>
      </c>
      <c r="DFP1338" s="4" t="s">
        <v>2882</v>
      </c>
      <c r="DFQ1338" s="4" t="s">
        <v>2882</v>
      </c>
      <c r="DFR1338" s="4" t="s">
        <v>2882</v>
      </c>
      <c r="DFS1338" s="4" t="s">
        <v>2882</v>
      </c>
      <c r="DFT1338" s="4" t="s">
        <v>2882</v>
      </c>
      <c r="DFU1338" s="4" t="s">
        <v>2882</v>
      </c>
      <c r="DFV1338" s="4" t="s">
        <v>2882</v>
      </c>
      <c r="DFW1338" s="4" t="s">
        <v>2882</v>
      </c>
      <c r="DFX1338" s="4" t="s">
        <v>2882</v>
      </c>
      <c r="DFY1338" s="4" t="s">
        <v>2882</v>
      </c>
      <c r="DFZ1338" s="4" t="s">
        <v>2882</v>
      </c>
      <c r="DGA1338" s="4" t="s">
        <v>2882</v>
      </c>
      <c r="DGB1338" s="4" t="s">
        <v>2882</v>
      </c>
      <c r="DGC1338" s="4" t="s">
        <v>2882</v>
      </c>
      <c r="DGD1338" s="4" t="s">
        <v>2882</v>
      </c>
      <c r="DGE1338" s="4" t="s">
        <v>2882</v>
      </c>
      <c r="DGF1338" s="4" t="s">
        <v>2882</v>
      </c>
      <c r="DGG1338" s="4" t="s">
        <v>2882</v>
      </c>
      <c r="DGH1338" s="4" t="s">
        <v>2882</v>
      </c>
      <c r="DGI1338" s="4" t="s">
        <v>2882</v>
      </c>
      <c r="DGJ1338" s="4" t="s">
        <v>2882</v>
      </c>
      <c r="DGK1338" s="4" t="s">
        <v>2882</v>
      </c>
      <c r="DGL1338" s="4" t="s">
        <v>2882</v>
      </c>
      <c r="DGM1338" s="4" t="s">
        <v>2882</v>
      </c>
      <c r="DGN1338" s="4" t="s">
        <v>2882</v>
      </c>
      <c r="DGO1338" s="4" t="s">
        <v>2882</v>
      </c>
      <c r="DGP1338" s="4" t="s">
        <v>2882</v>
      </c>
      <c r="DGQ1338" s="4" t="s">
        <v>2882</v>
      </c>
      <c r="DGR1338" s="4" t="s">
        <v>2882</v>
      </c>
      <c r="DGS1338" s="4" t="s">
        <v>2882</v>
      </c>
      <c r="DGT1338" s="4" t="s">
        <v>2882</v>
      </c>
      <c r="DGU1338" s="4" t="s">
        <v>2882</v>
      </c>
      <c r="DGV1338" s="4" t="s">
        <v>2882</v>
      </c>
      <c r="DGW1338" s="4" t="s">
        <v>2882</v>
      </c>
      <c r="DGX1338" s="4" t="s">
        <v>2882</v>
      </c>
      <c r="DGY1338" s="4" t="s">
        <v>2882</v>
      </c>
      <c r="DGZ1338" s="4" t="s">
        <v>2882</v>
      </c>
      <c r="DHA1338" s="4" t="s">
        <v>2882</v>
      </c>
      <c r="DHB1338" s="4" t="s">
        <v>2882</v>
      </c>
      <c r="DHC1338" s="4" t="s">
        <v>2882</v>
      </c>
      <c r="DHD1338" s="4" t="s">
        <v>2882</v>
      </c>
      <c r="DHE1338" s="4" t="s">
        <v>2882</v>
      </c>
      <c r="DHF1338" s="4" t="s">
        <v>2882</v>
      </c>
      <c r="DHG1338" s="4" t="s">
        <v>2882</v>
      </c>
      <c r="DHH1338" s="4" t="s">
        <v>2882</v>
      </c>
      <c r="DHI1338" s="4" t="s">
        <v>2882</v>
      </c>
      <c r="DHJ1338" s="4" t="s">
        <v>2882</v>
      </c>
      <c r="DHK1338" s="4" t="s">
        <v>2882</v>
      </c>
      <c r="DHL1338" s="4" t="s">
        <v>2882</v>
      </c>
      <c r="DHM1338" s="4" t="s">
        <v>2882</v>
      </c>
      <c r="DHN1338" s="4" t="s">
        <v>2882</v>
      </c>
      <c r="DHO1338" s="4" t="s">
        <v>2882</v>
      </c>
      <c r="DHP1338" s="4" t="s">
        <v>2882</v>
      </c>
      <c r="DHQ1338" s="4" t="s">
        <v>2882</v>
      </c>
      <c r="DHR1338" s="4" t="s">
        <v>2882</v>
      </c>
      <c r="DHS1338" s="4" t="s">
        <v>2882</v>
      </c>
      <c r="DHT1338" s="4" t="s">
        <v>2882</v>
      </c>
      <c r="DHU1338" s="4" t="s">
        <v>2882</v>
      </c>
      <c r="DHV1338" s="4" t="s">
        <v>2882</v>
      </c>
      <c r="DHW1338" s="4" t="s">
        <v>2882</v>
      </c>
      <c r="DHX1338" s="4" t="s">
        <v>2882</v>
      </c>
      <c r="DHY1338" s="4" t="s">
        <v>2882</v>
      </c>
      <c r="DHZ1338" s="4" t="s">
        <v>2882</v>
      </c>
      <c r="DIA1338" s="4" t="s">
        <v>2882</v>
      </c>
      <c r="DIB1338" s="4" t="s">
        <v>2882</v>
      </c>
      <c r="DIC1338" s="4" t="s">
        <v>2882</v>
      </c>
      <c r="DID1338" s="4" t="s">
        <v>2882</v>
      </c>
      <c r="DIE1338" s="4" t="s">
        <v>2882</v>
      </c>
      <c r="DIF1338" s="4" t="s">
        <v>2882</v>
      </c>
      <c r="DIG1338" s="4" t="s">
        <v>2882</v>
      </c>
      <c r="DIH1338" s="4" t="s">
        <v>2882</v>
      </c>
      <c r="DII1338" s="4" t="s">
        <v>2882</v>
      </c>
      <c r="DIJ1338" s="4" t="s">
        <v>2882</v>
      </c>
      <c r="DIK1338" s="4" t="s">
        <v>2882</v>
      </c>
      <c r="DIL1338" s="4" t="s">
        <v>2882</v>
      </c>
      <c r="DIM1338" s="4" t="s">
        <v>2882</v>
      </c>
      <c r="DIN1338" s="4" t="s">
        <v>2882</v>
      </c>
      <c r="DIO1338" s="4" t="s">
        <v>2882</v>
      </c>
      <c r="DIP1338" s="4" t="s">
        <v>2882</v>
      </c>
      <c r="DIQ1338" s="4" t="s">
        <v>2882</v>
      </c>
      <c r="DIR1338" s="4" t="s">
        <v>2882</v>
      </c>
      <c r="DIS1338" s="4" t="s">
        <v>2882</v>
      </c>
      <c r="DIT1338" s="4" t="s">
        <v>2882</v>
      </c>
      <c r="DIU1338" s="4" t="s">
        <v>2882</v>
      </c>
      <c r="DIV1338" s="4" t="s">
        <v>2882</v>
      </c>
      <c r="DIW1338" s="4" t="s">
        <v>2882</v>
      </c>
      <c r="DIX1338" s="4" t="s">
        <v>2882</v>
      </c>
      <c r="DIY1338" s="4" t="s">
        <v>2882</v>
      </c>
      <c r="DIZ1338" s="4" t="s">
        <v>2882</v>
      </c>
      <c r="DJA1338" s="4" t="s">
        <v>2882</v>
      </c>
      <c r="DJB1338" s="4" t="s">
        <v>2882</v>
      </c>
      <c r="DJC1338" s="4" t="s">
        <v>2882</v>
      </c>
      <c r="DJD1338" s="4" t="s">
        <v>2882</v>
      </c>
      <c r="DJE1338" s="4" t="s">
        <v>2882</v>
      </c>
      <c r="DJF1338" s="4" t="s">
        <v>2882</v>
      </c>
      <c r="DJG1338" s="4" t="s">
        <v>2882</v>
      </c>
      <c r="DJH1338" s="4" t="s">
        <v>2882</v>
      </c>
      <c r="DJI1338" s="4" t="s">
        <v>2882</v>
      </c>
      <c r="DJJ1338" s="4" t="s">
        <v>2882</v>
      </c>
      <c r="DJK1338" s="4" t="s">
        <v>2882</v>
      </c>
      <c r="DJL1338" s="4" t="s">
        <v>2882</v>
      </c>
      <c r="DJM1338" s="4" t="s">
        <v>2882</v>
      </c>
      <c r="DJN1338" s="4" t="s">
        <v>2882</v>
      </c>
      <c r="DJO1338" s="4" t="s">
        <v>2882</v>
      </c>
      <c r="DJP1338" s="4" t="s">
        <v>2882</v>
      </c>
      <c r="DJQ1338" s="4" t="s">
        <v>2882</v>
      </c>
      <c r="DJR1338" s="4" t="s">
        <v>2882</v>
      </c>
      <c r="DJS1338" s="4" t="s">
        <v>2882</v>
      </c>
      <c r="DJT1338" s="4" t="s">
        <v>2882</v>
      </c>
      <c r="DJU1338" s="4" t="s">
        <v>2882</v>
      </c>
      <c r="DJV1338" s="4" t="s">
        <v>2882</v>
      </c>
      <c r="DJW1338" s="4" t="s">
        <v>2882</v>
      </c>
      <c r="DJX1338" s="4" t="s">
        <v>2882</v>
      </c>
      <c r="DJY1338" s="4" t="s">
        <v>2882</v>
      </c>
      <c r="DJZ1338" s="4" t="s">
        <v>2882</v>
      </c>
      <c r="DKA1338" s="4" t="s">
        <v>2882</v>
      </c>
      <c r="DKB1338" s="4" t="s">
        <v>2882</v>
      </c>
      <c r="DKC1338" s="4" t="s">
        <v>2882</v>
      </c>
      <c r="DKD1338" s="4" t="s">
        <v>2882</v>
      </c>
      <c r="DKE1338" s="4" t="s">
        <v>2882</v>
      </c>
      <c r="DKF1338" s="4" t="s">
        <v>2882</v>
      </c>
      <c r="DKG1338" s="4" t="s">
        <v>2882</v>
      </c>
      <c r="DKH1338" s="4" t="s">
        <v>2882</v>
      </c>
      <c r="DKI1338" s="4" t="s">
        <v>2882</v>
      </c>
      <c r="DKJ1338" s="4" t="s">
        <v>2882</v>
      </c>
      <c r="DKK1338" s="4" t="s">
        <v>2882</v>
      </c>
      <c r="DKL1338" s="4" t="s">
        <v>2882</v>
      </c>
      <c r="DKM1338" s="4" t="s">
        <v>2882</v>
      </c>
      <c r="DKN1338" s="4" t="s">
        <v>2882</v>
      </c>
      <c r="DKO1338" s="4" t="s">
        <v>2882</v>
      </c>
      <c r="DKP1338" s="4" t="s">
        <v>2882</v>
      </c>
      <c r="DKQ1338" s="4" t="s">
        <v>2882</v>
      </c>
      <c r="DKR1338" s="4" t="s">
        <v>2882</v>
      </c>
      <c r="DKS1338" s="4" t="s">
        <v>2882</v>
      </c>
      <c r="DKT1338" s="4" t="s">
        <v>2882</v>
      </c>
      <c r="DKU1338" s="4" t="s">
        <v>2882</v>
      </c>
      <c r="DKV1338" s="4" t="s">
        <v>2882</v>
      </c>
      <c r="DKW1338" s="4" t="s">
        <v>2882</v>
      </c>
      <c r="DKX1338" s="4" t="s">
        <v>2882</v>
      </c>
      <c r="DKY1338" s="4" t="s">
        <v>2882</v>
      </c>
      <c r="DKZ1338" s="4" t="s">
        <v>2882</v>
      </c>
      <c r="DLA1338" s="4" t="s">
        <v>2882</v>
      </c>
      <c r="DLB1338" s="4" t="s">
        <v>2882</v>
      </c>
      <c r="DLC1338" s="4" t="s">
        <v>2882</v>
      </c>
      <c r="DLD1338" s="4" t="s">
        <v>2882</v>
      </c>
      <c r="DLE1338" s="4" t="s">
        <v>2882</v>
      </c>
      <c r="DLF1338" s="4" t="s">
        <v>2882</v>
      </c>
      <c r="DLG1338" s="4" t="s">
        <v>2882</v>
      </c>
      <c r="DLH1338" s="4" t="s">
        <v>2882</v>
      </c>
      <c r="DLI1338" s="4" t="s">
        <v>2882</v>
      </c>
      <c r="DLJ1338" s="4" t="s">
        <v>2882</v>
      </c>
      <c r="DLK1338" s="4" t="s">
        <v>2882</v>
      </c>
      <c r="DLL1338" s="4" t="s">
        <v>2882</v>
      </c>
      <c r="DLM1338" s="4" t="s">
        <v>2882</v>
      </c>
      <c r="DLN1338" s="4" t="s">
        <v>2882</v>
      </c>
      <c r="DLO1338" s="4" t="s">
        <v>2882</v>
      </c>
      <c r="DLP1338" s="4" t="s">
        <v>2882</v>
      </c>
      <c r="DLQ1338" s="4" t="s">
        <v>2882</v>
      </c>
      <c r="DLR1338" s="4" t="s">
        <v>2882</v>
      </c>
      <c r="DLS1338" s="4" t="s">
        <v>2882</v>
      </c>
      <c r="DLT1338" s="4" t="s">
        <v>2882</v>
      </c>
      <c r="DLU1338" s="4" t="s">
        <v>2882</v>
      </c>
      <c r="DLV1338" s="4" t="s">
        <v>2882</v>
      </c>
      <c r="DLW1338" s="4" t="s">
        <v>2882</v>
      </c>
      <c r="DLX1338" s="4" t="s">
        <v>2882</v>
      </c>
      <c r="DLY1338" s="4" t="s">
        <v>2882</v>
      </c>
      <c r="DLZ1338" s="4" t="s">
        <v>2882</v>
      </c>
      <c r="DMA1338" s="4" t="s">
        <v>2882</v>
      </c>
      <c r="DMB1338" s="4" t="s">
        <v>2882</v>
      </c>
      <c r="DMC1338" s="4" t="s">
        <v>2882</v>
      </c>
      <c r="DMD1338" s="4" t="s">
        <v>2882</v>
      </c>
      <c r="DME1338" s="4" t="s">
        <v>2882</v>
      </c>
      <c r="DMF1338" s="4" t="s">
        <v>2882</v>
      </c>
      <c r="DMG1338" s="4" t="s">
        <v>2882</v>
      </c>
      <c r="DMH1338" s="4" t="s">
        <v>2882</v>
      </c>
      <c r="DMI1338" s="4" t="s">
        <v>2882</v>
      </c>
      <c r="DMJ1338" s="4" t="s">
        <v>2882</v>
      </c>
      <c r="DMK1338" s="4" t="s">
        <v>2882</v>
      </c>
      <c r="DML1338" s="4" t="s">
        <v>2882</v>
      </c>
      <c r="DMM1338" s="4" t="s">
        <v>2882</v>
      </c>
      <c r="DMN1338" s="4" t="s">
        <v>2882</v>
      </c>
      <c r="DMO1338" s="4" t="s">
        <v>2882</v>
      </c>
      <c r="DMP1338" s="4" t="s">
        <v>2882</v>
      </c>
      <c r="DMQ1338" s="4" t="s">
        <v>2882</v>
      </c>
      <c r="DMR1338" s="4" t="s">
        <v>2882</v>
      </c>
      <c r="DMS1338" s="4" t="s">
        <v>2882</v>
      </c>
      <c r="DMT1338" s="4" t="s">
        <v>2882</v>
      </c>
      <c r="DMU1338" s="4" t="s">
        <v>2882</v>
      </c>
      <c r="DMV1338" s="4" t="s">
        <v>2882</v>
      </c>
      <c r="DMW1338" s="4" t="s">
        <v>2882</v>
      </c>
      <c r="DMX1338" s="4" t="s">
        <v>2882</v>
      </c>
      <c r="DMY1338" s="4" t="s">
        <v>2882</v>
      </c>
      <c r="DMZ1338" s="4" t="s">
        <v>2882</v>
      </c>
      <c r="DNA1338" s="4" t="s">
        <v>2882</v>
      </c>
      <c r="DNB1338" s="4" t="s">
        <v>2882</v>
      </c>
      <c r="DNC1338" s="4" t="s">
        <v>2882</v>
      </c>
      <c r="DND1338" s="4" t="s">
        <v>2882</v>
      </c>
      <c r="DNE1338" s="4" t="s">
        <v>2882</v>
      </c>
      <c r="DNF1338" s="4" t="s">
        <v>2882</v>
      </c>
      <c r="DNG1338" s="4" t="s">
        <v>2882</v>
      </c>
      <c r="DNH1338" s="4" t="s">
        <v>2882</v>
      </c>
      <c r="DNI1338" s="4" t="s">
        <v>2882</v>
      </c>
      <c r="DNJ1338" s="4" t="s">
        <v>2882</v>
      </c>
      <c r="DNK1338" s="4" t="s">
        <v>2882</v>
      </c>
      <c r="DNL1338" s="4" t="s">
        <v>2882</v>
      </c>
      <c r="DNM1338" s="4" t="s">
        <v>2882</v>
      </c>
      <c r="DNN1338" s="4" t="s">
        <v>2882</v>
      </c>
      <c r="DNO1338" s="4" t="s">
        <v>2882</v>
      </c>
      <c r="DNP1338" s="4" t="s">
        <v>2882</v>
      </c>
      <c r="DNQ1338" s="4" t="s">
        <v>2882</v>
      </c>
      <c r="DNR1338" s="4" t="s">
        <v>2882</v>
      </c>
      <c r="DNS1338" s="4" t="s">
        <v>2882</v>
      </c>
      <c r="DNT1338" s="4" t="s">
        <v>2882</v>
      </c>
      <c r="DNU1338" s="4" t="s">
        <v>2882</v>
      </c>
      <c r="DNV1338" s="4" t="s">
        <v>2882</v>
      </c>
      <c r="DNW1338" s="4" t="s">
        <v>2882</v>
      </c>
      <c r="DNX1338" s="4" t="s">
        <v>2882</v>
      </c>
      <c r="DNY1338" s="4" t="s">
        <v>2882</v>
      </c>
      <c r="DNZ1338" s="4" t="s">
        <v>2882</v>
      </c>
      <c r="DOA1338" s="4" t="s">
        <v>2882</v>
      </c>
      <c r="DOB1338" s="4" t="s">
        <v>2882</v>
      </c>
      <c r="DOC1338" s="4" t="s">
        <v>2882</v>
      </c>
      <c r="DOD1338" s="4" t="s">
        <v>2882</v>
      </c>
      <c r="DOE1338" s="4" t="s">
        <v>2882</v>
      </c>
      <c r="DOF1338" s="4" t="s">
        <v>2882</v>
      </c>
      <c r="DOG1338" s="4" t="s">
        <v>2882</v>
      </c>
      <c r="DOH1338" s="4" t="s">
        <v>2882</v>
      </c>
      <c r="DOI1338" s="4" t="s">
        <v>2882</v>
      </c>
      <c r="DOJ1338" s="4" t="s">
        <v>2882</v>
      </c>
      <c r="DOK1338" s="4" t="s">
        <v>2882</v>
      </c>
      <c r="DOL1338" s="4" t="s">
        <v>2882</v>
      </c>
      <c r="DOM1338" s="4" t="s">
        <v>2882</v>
      </c>
      <c r="DON1338" s="4" t="s">
        <v>2882</v>
      </c>
      <c r="DOO1338" s="4" t="s">
        <v>2882</v>
      </c>
      <c r="DOP1338" s="4" t="s">
        <v>2882</v>
      </c>
      <c r="DOQ1338" s="4" t="s">
        <v>2882</v>
      </c>
      <c r="DOR1338" s="4" t="s">
        <v>2882</v>
      </c>
      <c r="DOS1338" s="4" t="s">
        <v>2882</v>
      </c>
      <c r="DOT1338" s="4" t="s">
        <v>2882</v>
      </c>
      <c r="DOU1338" s="4" t="s">
        <v>2882</v>
      </c>
      <c r="DOV1338" s="4" t="s">
        <v>2882</v>
      </c>
      <c r="DOW1338" s="4" t="s">
        <v>2882</v>
      </c>
      <c r="DOX1338" s="4" t="s">
        <v>2882</v>
      </c>
      <c r="DOY1338" s="4" t="s">
        <v>2882</v>
      </c>
      <c r="DOZ1338" s="4" t="s">
        <v>2882</v>
      </c>
      <c r="DPA1338" s="4" t="s">
        <v>2882</v>
      </c>
      <c r="DPB1338" s="4" t="s">
        <v>2882</v>
      </c>
      <c r="DPC1338" s="4" t="s">
        <v>2882</v>
      </c>
      <c r="DPD1338" s="4" t="s">
        <v>2882</v>
      </c>
      <c r="DPE1338" s="4" t="s">
        <v>2882</v>
      </c>
      <c r="DPF1338" s="4" t="s">
        <v>2882</v>
      </c>
      <c r="DPG1338" s="4" t="s">
        <v>2882</v>
      </c>
      <c r="DPH1338" s="4" t="s">
        <v>2882</v>
      </c>
      <c r="DPI1338" s="4" t="s">
        <v>2882</v>
      </c>
      <c r="DPJ1338" s="4" t="s">
        <v>2882</v>
      </c>
      <c r="DPK1338" s="4" t="s">
        <v>2882</v>
      </c>
      <c r="DPL1338" s="4" t="s">
        <v>2882</v>
      </c>
      <c r="DPM1338" s="4" t="s">
        <v>2882</v>
      </c>
      <c r="DPN1338" s="4" t="s">
        <v>2882</v>
      </c>
      <c r="DPO1338" s="4" t="s">
        <v>2882</v>
      </c>
      <c r="DPP1338" s="4" t="s">
        <v>2882</v>
      </c>
      <c r="DPQ1338" s="4" t="s">
        <v>2882</v>
      </c>
      <c r="DPR1338" s="4" t="s">
        <v>2882</v>
      </c>
      <c r="DPS1338" s="4" t="s">
        <v>2882</v>
      </c>
      <c r="DPT1338" s="4" t="s">
        <v>2882</v>
      </c>
      <c r="DPU1338" s="4" t="s">
        <v>2882</v>
      </c>
      <c r="DPV1338" s="4" t="s">
        <v>2882</v>
      </c>
      <c r="DPW1338" s="4" t="s">
        <v>2882</v>
      </c>
      <c r="DPX1338" s="4" t="s">
        <v>2882</v>
      </c>
      <c r="DPY1338" s="4" t="s">
        <v>2882</v>
      </c>
      <c r="DPZ1338" s="4" t="s">
        <v>2882</v>
      </c>
      <c r="DQA1338" s="4" t="s">
        <v>2882</v>
      </c>
      <c r="DQB1338" s="4" t="s">
        <v>2882</v>
      </c>
      <c r="DQC1338" s="4" t="s">
        <v>2882</v>
      </c>
      <c r="DQD1338" s="4" t="s">
        <v>2882</v>
      </c>
      <c r="DQE1338" s="4" t="s">
        <v>2882</v>
      </c>
      <c r="DQF1338" s="4" t="s">
        <v>2882</v>
      </c>
      <c r="DQG1338" s="4" t="s">
        <v>2882</v>
      </c>
      <c r="DQH1338" s="4" t="s">
        <v>2882</v>
      </c>
      <c r="DQI1338" s="4" t="s">
        <v>2882</v>
      </c>
      <c r="DQJ1338" s="4" t="s">
        <v>2882</v>
      </c>
      <c r="DQK1338" s="4" t="s">
        <v>2882</v>
      </c>
      <c r="DQL1338" s="4" t="s">
        <v>2882</v>
      </c>
      <c r="DQM1338" s="4" t="s">
        <v>2882</v>
      </c>
      <c r="DQN1338" s="4" t="s">
        <v>2882</v>
      </c>
      <c r="DQO1338" s="4" t="s">
        <v>2882</v>
      </c>
      <c r="DQP1338" s="4" t="s">
        <v>2882</v>
      </c>
      <c r="DQQ1338" s="4" t="s">
        <v>2882</v>
      </c>
      <c r="DQR1338" s="4" t="s">
        <v>2882</v>
      </c>
      <c r="DQS1338" s="4" t="s">
        <v>2882</v>
      </c>
      <c r="DQT1338" s="4" t="s">
        <v>2882</v>
      </c>
      <c r="DQU1338" s="4" t="s">
        <v>2882</v>
      </c>
      <c r="DQV1338" s="4" t="s">
        <v>2882</v>
      </c>
      <c r="DQW1338" s="4" t="s">
        <v>2882</v>
      </c>
      <c r="DQX1338" s="4" t="s">
        <v>2882</v>
      </c>
      <c r="DQY1338" s="4" t="s">
        <v>2882</v>
      </c>
      <c r="DQZ1338" s="4" t="s">
        <v>2882</v>
      </c>
      <c r="DRA1338" s="4" t="s">
        <v>2882</v>
      </c>
      <c r="DRB1338" s="4" t="s">
        <v>2882</v>
      </c>
      <c r="DRC1338" s="4" t="s">
        <v>2882</v>
      </c>
      <c r="DRD1338" s="4" t="s">
        <v>2882</v>
      </c>
      <c r="DRE1338" s="4" t="s">
        <v>2882</v>
      </c>
      <c r="DRF1338" s="4" t="s">
        <v>2882</v>
      </c>
      <c r="DRG1338" s="4" t="s">
        <v>2882</v>
      </c>
      <c r="DRH1338" s="4" t="s">
        <v>2882</v>
      </c>
      <c r="DRI1338" s="4" t="s">
        <v>2882</v>
      </c>
      <c r="DRJ1338" s="4" t="s">
        <v>2882</v>
      </c>
      <c r="DRK1338" s="4" t="s">
        <v>2882</v>
      </c>
      <c r="DRL1338" s="4" t="s">
        <v>2882</v>
      </c>
      <c r="DRM1338" s="4" t="s">
        <v>2882</v>
      </c>
      <c r="DRN1338" s="4" t="s">
        <v>2882</v>
      </c>
      <c r="DRO1338" s="4" t="s">
        <v>2882</v>
      </c>
      <c r="DRP1338" s="4" t="s">
        <v>2882</v>
      </c>
      <c r="DRQ1338" s="4" t="s">
        <v>2882</v>
      </c>
      <c r="DRR1338" s="4" t="s">
        <v>2882</v>
      </c>
      <c r="DRS1338" s="4" t="s">
        <v>2882</v>
      </c>
      <c r="DRT1338" s="4" t="s">
        <v>2882</v>
      </c>
      <c r="DRU1338" s="4" t="s">
        <v>2882</v>
      </c>
      <c r="DRV1338" s="4" t="s">
        <v>2882</v>
      </c>
      <c r="DRW1338" s="4" t="s">
        <v>2882</v>
      </c>
      <c r="DRX1338" s="4" t="s">
        <v>2882</v>
      </c>
      <c r="DRY1338" s="4" t="s">
        <v>2882</v>
      </c>
      <c r="DRZ1338" s="4" t="s">
        <v>2882</v>
      </c>
      <c r="DSA1338" s="4" t="s">
        <v>2882</v>
      </c>
      <c r="DSB1338" s="4" t="s">
        <v>2882</v>
      </c>
      <c r="DSC1338" s="4" t="s">
        <v>2882</v>
      </c>
      <c r="DSD1338" s="4" t="s">
        <v>2882</v>
      </c>
      <c r="DSE1338" s="4" t="s">
        <v>2882</v>
      </c>
      <c r="DSF1338" s="4" t="s">
        <v>2882</v>
      </c>
      <c r="DSG1338" s="4" t="s">
        <v>2882</v>
      </c>
      <c r="DSH1338" s="4" t="s">
        <v>2882</v>
      </c>
      <c r="DSI1338" s="4" t="s">
        <v>2882</v>
      </c>
      <c r="DSJ1338" s="4" t="s">
        <v>2882</v>
      </c>
      <c r="DSK1338" s="4" t="s">
        <v>2882</v>
      </c>
      <c r="DSL1338" s="4" t="s">
        <v>2882</v>
      </c>
      <c r="DSM1338" s="4" t="s">
        <v>2882</v>
      </c>
      <c r="DSN1338" s="4" t="s">
        <v>2882</v>
      </c>
      <c r="DSO1338" s="4" t="s">
        <v>2882</v>
      </c>
      <c r="DSP1338" s="4" t="s">
        <v>2882</v>
      </c>
      <c r="DSQ1338" s="4" t="s">
        <v>2882</v>
      </c>
      <c r="DSR1338" s="4" t="s">
        <v>2882</v>
      </c>
      <c r="DSS1338" s="4" t="s">
        <v>2882</v>
      </c>
      <c r="DST1338" s="4" t="s">
        <v>2882</v>
      </c>
      <c r="DSU1338" s="4" t="s">
        <v>2882</v>
      </c>
      <c r="DSV1338" s="4" t="s">
        <v>2882</v>
      </c>
      <c r="DSW1338" s="4" t="s">
        <v>2882</v>
      </c>
      <c r="DSX1338" s="4" t="s">
        <v>2882</v>
      </c>
      <c r="DSY1338" s="4" t="s">
        <v>2882</v>
      </c>
      <c r="DSZ1338" s="4" t="s">
        <v>2882</v>
      </c>
      <c r="DTA1338" s="4" t="s">
        <v>2882</v>
      </c>
      <c r="DTB1338" s="4" t="s">
        <v>2882</v>
      </c>
      <c r="DTC1338" s="4" t="s">
        <v>2882</v>
      </c>
      <c r="DTD1338" s="4" t="s">
        <v>2882</v>
      </c>
      <c r="DTE1338" s="4" t="s">
        <v>2882</v>
      </c>
      <c r="DTF1338" s="4" t="s">
        <v>2882</v>
      </c>
      <c r="DTG1338" s="4" t="s">
        <v>2882</v>
      </c>
      <c r="DTH1338" s="4" t="s">
        <v>2882</v>
      </c>
      <c r="DTI1338" s="4" t="s">
        <v>2882</v>
      </c>
      <c r="DTJ1338" s="4" t="s">
        <v>2882</v>
      </c>
      <c r="DTK1338" s="4" t="s">
        <v>2882</v>
      </c>
      <c r="DTL1338" s="4" t="s">
        <v>2882</v>
      </c>
      <c r="DTM1338" s="4" t="s">
        <v>2882</v>
      </c>
      <c r="DTN1338" s="4" t="s">
        <v>2882</v>
      </c>
      <c r="DTO1338" s="4" t="s">
        <v>2882</v>
      </c>
      <c r="DTP1338" s="4" t="s">
        <v>2882</v>
      </c>
      <c r="DTQ1338" s="4" t="s">
        <v>2882</v>
      </c>
      <c r="DTR1338" s="4" t="s">
        <v>2882</v>
      </c>
      <c r="DTS1338" s="4" t="s">
        <v>2882</v>
      </c>
      <c r="DTT1338" s="4" t="s">
        <v>2882</v>
      </c>
      <c r="DTU1338" s="4" t="s">
        <v>2882</v>
      </c>
      <c r="DTV1338" s="4" t="s">
        <v>2882</v>
      </c>
      <c r="DTW1338" s="4" t="s">
        <v>2882</v>
      </c>
      <c r="DTX1338" s="4" t="s">
        <v>2882</v>
      </c>
      <c r="DTY1338" s="4" t="s">
        <v>2882</v>
      </c>
      <c r="DTZ1338" s="4" t="s">
        <v>2882</v>
      </c>
      <c r="DUA1338" s="4" t="s">
        <v>2882</v>
      </c>
      <c r="DUB1338" s="4" t="s">
        <v>2882</v>
      </c>
      <c r="DUC1338" s="4" t="s">
        <v>2882</v>
      </c>
      <c r="DUD1338" s="4" t="s">
        <v>2882</v>
      </c>
      <c r="DUE1338" s="4" t="s">
        <v>2882</v>
      </c>
      <c r="DUF1338" s="4" t="s">
        <v>2882</v>
      </c>
      <c r="DUG1338" s="4" t="s">
        <v>2882</v>
      </c>
      <c r="DUH1338" s="4" t="s">
        <v>2882</v>
      </c>
      <c r="DUI1338" s="4" t="s">
        <v>2882</v>
      </c>
      <c r="DUJ1338" s="4" t="s">
        <v>2882</v>
      </c>
      <c r="DUK1338" s="4" t="s">
        <v>2882</v>
      </c>
      <c r="DUL1338" s="4" t="s">
        <v>2882</v>
      </c>
      <c r="DUM1338" s="4" t="s">
        <v>2882</v>
      </c>
      <c r="DUN1338" s="4" t="s">
        <v>2882</v>
      </c>
      <c r="DUO1338" s="4" t="s">
        <v>2882</v>
      </c>
      <c r="DUP1338" s="4" t="s">
        <v>2882</v>
      </c>
      <c r="DUQ1338" s="4" t="s">
        <v>2882</v>
      </c>
      <c r="DUR1338" s="4" t="s">
        <v>2882</v>
      </c>
      <c r="DUS1338" s="4" t="s">
        <v>2882</v>
      </c>
      <c r="DUT1338" s="4" t="s">
        <v>2882</v>
      </c>
      <c r="DUU1338" s="4" t="s">
        <v>2882</v>
      </c>
      <c r="DUV1338" s="4" t="s">
        <v>2882</v>
      </c>
      <c r="DUW1338" s="4" t="s">
        <v>2882</v>
      </c>
      <c r="DUX1338" s="4" t="s">
        <v>2882</v>
      </c>
      <c r="DUY1338" s="4" t="s">
        <v>2882</v>
      </c>
      <c r="DUZ1338" s="4" t="s">
        <v>2882</v>
      </c>
      <c r="DVA1338" s="4" t="s">
        <v>2882</v>
      </c>
      <c r="DVB1338" s="4" t="s">
        <v>2882</v>
      </c>
      <c r="DVC1338" s="4" t="s">
        <v>2882</v>
      </c>
      <c r="DVD1338" s="4" t="s">
        <v>2882</v>
      </c>
      <c r="DVE1338" s="4" t="s">
        <v>2882</v>
      </c>
      <c r="DVF1338" s="4" t="s">
        <v>2882</v>
      </c>
      <c r="DVG1338" s="4" t="s">
        <v>2882</v>
      </c>
      <c r="DVH1338" s="4" t="s">
        <v>2882</v>
      </c>
      <c r="DVI1338" s="4" t="s">
        <v>2882</v>
      </c>
      <c r="DVJ1338" s="4" t="s">
        <v>2882</v>
      </c>
      <c r="DVK1338" s="4" t="s">
        <v>2882</v>
      </c>
      <c r="DVL1338" s="4" t="s">
        <v>2882</v>
      </c>
      <c r="DVM1338" s="4" t="s">
        <v>2882</v>
      </c>
      <c r="DVN1338" s="4" t="s">
        <v>2882</v>
      </c>
      <c r="DVO1338" s="4" t="s">
        <v>2882</v>
      </c>
      <c r="DVP1338" s="4" t="s">
        <v>2882</v>
      </c>
      <c r="DVQ1338" s="4" t="s">
        <v>2882</v>
      </c>
      <c r="DVR1338" s="4" t="s">
        <v>2882</v>
      </c>
      <c r="DVS1338" s="4" t="s">
        <v>2882</v>
      </c>
      <c r="DVT1338" s="4" t="s">
        <v>2882</v>
      </c>
      <c r="DVU1338" s="4" t="s">
        <v>2882</v>
      </c>
      <c r="DVV1338" s="4" t="s">
        <v>2882</v>
      </c>
      <c r="DVW1338" s="4" t="s">
        <v>2882</v>
      </c>
      <c r="DVX1338" s="4" t="s">
        <v>2882</v>
      </c>
      <c r="DVY1338" s="4" t="s">
        <v>2882</v>
      </c>
      <c r="DVZ1338" s="4" t="s">
        <v>2882</v>
      </c>
      <c r="DWA1338" s="4" t="s">
        <v>2882</v>
      </c>
      <c r="DWB1338" s="4" t="s">
        <v>2882</v>
      </c>
      <c r="DWC1338" s="4" t="s">
        <v>2882</v>
      </c>
      <c r="DWD1338" s="4" t="s">
        <v>2882</v>
      </c>
      <c r="DWE1338" s="4" t="s">
        <v>2882</v>
      </c>
      <c r="DWF1338" s="4" t="s">
        <v>2882</v>
      </c>
      <c r="DWG1338" s="4" t="s">
        <v>2882</v>
      </c>
      <c r="DWH1338" s="4" t="s">
        <v>2882</v>
      </c>
      <c r="DWI1338" s="4" t="s">
        <v>2882</v>
      </c>
      <c r="DWJ1338" s="4" t="s">
        <v>2882</v>
      </c>
      <c r="DWK1338" s="4" t="s">
        <v>2882</v>
      </c>
      <c r="DWL1338" s="4" t="s">
        <v>2882</v>
      </c>
      <c r="DWM1338" s="4" t="s">
        <v>2882</v>
      </c>
      <c r="DWN1338" s="4" t="s">
        <v>2882</v>
      </c>
      <c r="DWO1338" s="4" t="s">
        <v>2882</v>
      </c>
      <c r="DWP1338" s="4" t="s">
        <v>2882</v>
      </c>
      <c r="DWQ1338" s="4" t="s">
        <v>2882</v>
      </c>
      <c r="DWR1338" s="4" t="s">
        <v>2882</v>
      </c>
      <c r="DWS1338" s="4" t="s">
        <v>2882</v>
      </c>
      <c r="DWT1338" s="4" t="s">
        <v>2882</v>
      </c>
      <c r="DWU1338" s="4" t="s">
        <v>2882</v>
      </c>
      <c r="DWV1338" s="4" t="s">
        <v>2882</v>
      </c>
      <c r="DWW1338" s="4" t="s">
        <v>2882</v>
      </c>
      <c r="DWX1338" s="4" t="s">
        <v>2882</v>
      </c>
      <c r="DWY1338" s="4" t="s">
        <v>2882</v>
      </c>
      <c r="DWZ1338" s="4" t="s">
        <v>2882</v>
      </c>
      <c r="DXA1338" s="4" t="s">
        <v>2882</v>
      </c>
      <c r="DXB1338" s="4" t="s">
        <v>2882</v>
      </c>
      <c r="DXC1338" s="4" t="s">
        <v>2882</v>
      </c>
      <c r="DXD1338" s="4" t="s">
        <v>2882</v>
      </c>
      <c r="DXE1338" s="4" t="s">
        <v>2882</v>
      </c>
      <c r="DXF1338" s="4" t="s">
        <v>2882</v>
      </c>
      <c r="DXG1338" s="4" t="s">
        <v>2882</v>
      </c>
      <c r="DXH1338" s="4" t="s">
        <v>2882</v>
      </c>
      <c r="DXI1338" s="4" t="s">
        <v>2882</v>
      </c>
      <c r="DXJ1338" s="4" t="s">
        <v>2882</v>
      </c>
      <c r="DXK1338" s="4" t="s">
        <v>2882</v>
      </c>
      <c r="DXL1338" s="4" t="s">
        <v>2882</v>
      </c>
      <c r="DXM1338" s="4" t="s">
        <v>2882</v>
      </c>
      <c r="DXN1338" s="4" t="s">
        <v>2882</v>
      </c>
      <c r="DXO1338" s="4" t="s">
        <v>2882</v>
      </c>
      <c r="DXP1338" s="4" t="s">
        <v>2882</v>
      </c>
      <c r="DXQ1338" s="4" t="s">
        <v>2882</v>
      </c>
      <c r="DXR1338" s="4" t="s">
        <v>2882</v>
      </c>
      <c r="DXS1338" s="4" t="s">
        <v>2882</v>
      </c>
      <c r="DXT1338" s="4" t="s">
        <v>2882</v>
      </c>
      <c r="DXU1338" s="4" t="s">
        <v>2882</v>
      </c>
      <c r="DXV1338" s="4" t="s">
        <v>2882</v>
      </c>
      <c r="DXW1338" s="4" t="s">
        <v>2882</v>
      </c>
      <c r="DXX1338" s="4" t="s">
        <v>2882</v>
      </c>
      <c r="DXY1338" s="4" t="s">
        <v>2882</v>
      </c>
      <c r="DXZ1338" s="4" t="s">
        <v>2882</v>
      </c>
      <c r="DYA1338" s="4" t="s">
        <v>2882</v>
      </c>
      <c r="DYB1338" s="4" t="s">
        <v>2882</v>
      </c>
      <c r="DYC1338" s="4" t="s">
        <v>2882</v>
      </c>
      <c r="DYD1338" s="4" t="s">
        <v>2882</v>
      </c>
      <c r="DYE1338" s="4" t="s">
        <v>2882</v>
      </c>
      <c r="DYF1338" s="4" t="s">
        <v>2882</v>
      </c>
      <c r="DYG1338" s="4" t="s">
        <v>2882</v>
      </c>
      <c r="DYH1338" s="4" t="s">
        <v>2882</v>
      </c>
      <c r="DYI1338" s="4" t="s">
        <v>2882</v>
      </c>
      <c r="DYJ1338" s="4" t="s">
        <v>2882</v>
      </c>
      <c r="DYK1338" s="4" t="s">
        <v>2882</v>
      </c>
      <c r="DYL1338" s="4" t="s">
        <v>2882</v>
      </c>
      <c r="DYM1338" s="4" t="s">
        <v>2882</v>
      </c>
      <c r="DYN1338" s="4" t="s">
        <v>2882</v>
      </c>
      <c r="DYO1338" s="4" t="s">
        <v>2882</v>
      </c>
      <c r="DYP1338" s="4" t="s">
        <v>2882</v>
      </c>
      <c r="DYQ1338" s="4" t="s">
        <v>2882</v>
      </c>
      <c r="DYR1338" s="4" t="s">
        <v>2882</v>
      </c>
      <c r="DYS1338" s="4" t="s">
        <v>2882</v>
      </c>
      <c r="DYT1338" s="4" t="s">
        <v>2882</v>
      </c>
      <c r="DYU1338" s="4" t="s">
        <v>2882</v>
      </c>
      <c r="DYV1338" s="4" t="s">
        <v>2882</v>
      </c>
      <c r="DYW1338" s="4" t="s">
        <v>2882</v>
      </c>
      <c r="DYX1338" s="4" t="s">
        <v>2882</v>
      </c>
      <c r="DYY1338" s="4" t="s">
        <v>2882</v>
      </c>
      <c r="DYZ1338" s="4" t="s">
        <v>2882</v>
      </c>
      <c r="DZA1338" s="4" t="s">
        <v>2882</v>
      </c>
      <c r="DZB1338" s="4" t="s">
        <v>2882</v>
      </c>
      <c r="DZC1338" s="4" t="s">
        <v>2882</v>
      </c>
      <c r="DZD1338" s="4" t="s">
        <v>2882</v>
      </c>
      <c r="DZE1338" s="4" t="s">
        <v>2882</v>
      </c>
      <c r="DZF1338" s="4" t="s">
        <v>2882</v>
      </c>
      <c r="DZG1338" s="4" t="s">
        <v>2882</v>
      </c>
      <c r="DZH1338" s="4" t="s">
        <v>2882</v>
      </c>
      <c r="DZI1338" s="4" t="s">
        <v>2882</v>
      </c>
      <c r="DZJ1338" s="4" t="s">
        <v>2882</v>
      </c>
      <c r="DZK1338" s="4" t="s">
        <v>2882</v>
      </c>
      <c r="DZL1338" s="4" t="s">
        <v>2882</v>
      </c>
      <c r="DZM1338" s="4" t="s">
        <v>2882</v>
      </c>
      <c r="DZN1338" s="4" t="s">
        <v>2882</v>
      </c>
      <c r="DZO1338" s="4" t="s">
        <v>2882</v>
      </c>
      <c r="DZP1338" s="4" t="s">
        <v>2882</v>
      </c>
      <c r="DZQ1338" s="4" t="s">
        <v>2882</v>
      </c>
      <c r="DZR1338" s="4" t="s">
        <v>2882</v>
      </c>
      <c r="DZS1338" s="4" t="s">
        <v>2882</v>
      </c>
      <c r="DZT1338" s="4" t="s">
        <v>2882</v>
      </c>
      <c r="DZU1338" s="4" t="s">
        <v>2882</v>
      </c>
      <c r="DZV1338" s="4" t="s">
        <v>2882</v>
      </c>
      <c r="DZW1338" s="4" t="s">
        <v>2882</v>
      </c>
      <c r="DZX1338" s="4" t="s">
        <v>2882</v>
      </c>
      <c r="DZY1338" s="4" t="s">
        <v>2882</v>
      </c>
      <c r="DZZ1338" s="4" t="s">
        <v>2882</v>
      </c>
      <c r="EAA1338" s="4" t="s">
        <v>2882</v>
      </c>
      <c r="EAB1338" s="4" t="s">
        <v>2882</v>
      </c>
      <c r="EAC1338" s="4" t="s">
        <v>2882</v>
      </c>
      <c r="EAD1338" s="4" t="s">
        <v>2882</v>
      </c>
      <c r="EAE1338" s="4" t="s">
        <v>2882</v>
      </c>
      <c r="EAF1338" s="4" t="s">
        <v>2882</v>
      </c>
      <c r="EAG1338" s="4" t="s">
        <v>2882</v>
      </c>
      <c r="EAH1338" s="4" t="s">
        <v>2882</v>
      </c>
      <c r="EAI1338" s="4" t="s">
        <v>2882</v>
      </c>
      <c r="EAJ1338" s="4" t="s">
        <v>2882</v>
      </c>
      <c r="EAK1338" s="4" t="s">
        <v>2882</v>
      </c>
      <c r="EAL1338" s="4" t="s">
        <v>2882</v>
      </c>
      <c r="EAM1338" s="4" t="s">
        <v>2882</v>
      </c>
      <c r="EAN1338" s="4" t="s">
        <v>2882</v>
      </c>
      <c r="EAO1338" s="4" t="s">
        <v>2882</v>
      </c>
      <c r="EAP1338" s="4" t="s">
        <v>2882</v>
      </c>
      <c r="EAQ1338" s="4" t="s">
        <v>2882</v>
      </c>
      <c r="EAR1338" s="4" t="s">
        <v>2882</v>
      </c>
      <c r="EAS1338" s="4" t="s">
        <v>2882</v>
      </c>
      <c r="EAT1338" s="4" t="s">
        <v>2882</v>
      </c>
      <c r="EAU1338" s="4" t="s">
        <v>2882</v>
      </c>
      <c r="EAV1338" s="4" t="s">
        <v>2882</v>
      </c>
      <c r="EAW1338" s="4" t="s">
        <v>2882</v>
      </c>
      <c r="EAX1338" s="4" t="s">
        <v>2882</v>
      </c>
      <c r="EAY1338" s="4" t="s">
        <v>2882</v>
      </c>
      <c r="EAZ1338" s="4" t="s">
        <v>2882</v>
      </c>
      <c r="EBA1338" s="4" t="s">
        <v>2882</v>
      </c>
      <c r="EBB1338" s="4" t="s">
        <v>2882</v>
      </c>
      <c r="EBC1338" s="4" t="s">
        <v>2882</v>
      </c>
      <c r="EBD1338" s="4" t="s">
        <v>2882</v>
      </c>
      <c r="EBE1338" s="4" t="s">
        <v>2882</v>
      </c>
      <c r="EBF1338" s="4" t="s">
        <v>2882</v>
      </c>
      <c r="EBG1338" s="4" t="s">
        <v>2882</v>
      </c>
      <c r="EBH1338" s="4" t="s">
        <v>2882</v>
      </c>
      <c r="EBI1338" s="4" t="s">
        <v>2882</v>
      </c>
      <c r="EBJ1338" s="4" t="s">
        <v>2882</v>
      </c>
      <c r="EBK1338" s="4" t="s">
        <v>2882</v>
      </c>
      <c r="EBL1338" s="4" t="s">
        <v>2882</v>
      </c>
      <c r="EBM1338" s="4" t="s">
        <v>2882</v>
      </c>
      <c r="EBN1338" s="4" t="s">
        <v>2882</v>
      </c>
      <c r="EBO1338" s="4" t="s">
        <v>2882</v>
      </c>
      <c r="EBP1338" s="4" t="s">
        <v>2882</v>
      </c>
      <c r="EBQ1338" s="4" t="s">
        <v>2882</v>
      </c>
      <c r="EBR1338" s="4" t="s">
        <v>2882</v>
      </c>
      <c r="EBS1338" s="4" t="s">
        <v>2882</v>
      </c>
      <c r="EBT1338" s="4" t="s">
        <v>2882</v>
      </c>
      <c r="EBU1338" s="4" t="s">
        <v>2882</v>
      </c>
      <c r="EBV1338" s="4" t="s">
        <v>2882</v>
      </c>
      <c r="EBW1338" s="4" t="s">
        <v>2882</v>
      </c>
      <c r="EBX1338" s="4" t="s">
        <v>2882</v>
      </c>
      <c r="EBY1338" s="4" t="s">
        <v>2882</v>
      </c>
      <c r="EBZ1338" s="4" t="s">
        <v>2882</v>
      </c>
      <c r="ECA1338" s="4" t="s">
        <v>2882</v>
      </c>
      <c r="ECB1338" s="4" t="s">
        <v>2882</v>
      </c>
      <c r="ECC1338" s="4" t="s">
        <v>2882</v>
      </c>
      <c r="ECD1338" s="4" t="s">
        <v>2882</v>
      </c>
      <c r="ECE1338" s="4" t="s">
        <v>2882</v>
      </c>
      <c r="ECF1338" s="4" t="s">
        <v>2882</v>
      </c>
      <c r="ECG1338" s="4" t="s">
        <v>2882</v>
      </c>
      <c r="ECH1338" s="4" t="s">
        <v>2882</v>
      </c>
      <c r="ECI1338" s="4" t="s">
        <v>2882</v>
      </c>
      <c r="ECJ1338" s="4" t="s">
        <v>2882</v>
      </c>
      <c r="ECK1338" s="4" t="s">
        <v>2882</v>
      </c>
      <c r="ECL1338" s="4" t="s">
        <v>2882</v>
      </c>
      <c r="ECM1338" s="4" t="s">
        <v>2882</v>
      </c>
      <c r="ECN1338" s="4" t="s">
        <v>2882</v>
      </c>
      <c r="ECO1338" s="4" t="s">
        <v>2882</v>
      </c>
      <c r="ECP1338" s="4" t="s">
        <v>2882</v>
      </c>
      <c r="ECQ1338" s="4" t="s">
        <v>2882</v>
      </c>
      <c r="ECR1338" s="4" t="s">
        <v>2882</v>
      </c>
      <c r="ECS1338" s="4" t="s">
        <v>2882</v>
      </c>
      <c r="ECT1338" s="4" t="s">
        <v>2882</v>
      </c>
      <c r="ECU1338" s="4" t="s">
        <v>2882</v>
      </c>
      <c r="ECV1338" s="4" t="s">
        <v>2882</v>
      </c>
      <c r="ECW1338" s="4" t="s">
        <v>2882</v>
      </c>
      <c r="ECX1338" s="4" t="s">
        <v>2882</v>
      </c>
      <c r="ECY1338" s="4" t="s">
        <v>2882</v>
      </c>
      <c r="ECZ1338" s="4" t="s">
        <v>2882</v>
      </c>
      <c r="EDA1338" s="4" t="s">
        <v>2882</v>
      </c>
      <c r="EDB1338" s="4" t="s">
        <v>2882</v>
      </c>
      <c r="EDC1338" s="4" t="s">
        <v>2882</v>
      </c>
      <c r="EDD1338" s="4" t="s">
        <v>2882</v>
      </c>
      <c r="EDE1338" s="4" t="s">
        <v>2882</v>
      </c>
      <c r="EDF1338" s="4" t="s">
        <v>2882</v>
      </c>
      <c r="EDG1338" s="4" t="s">
        <v>2882</v>
      </c>
      <c r="EDH1338" s="4" t="s">
        <v>2882</v>
      </c>
      <c r="EDI1338" s="4" t="s">
        <v>2882</v>
      </c>
      <c r="EDJ1338" s="4" t="s">
        <v>2882</v>
      </c>
      <c r="EDK1338" s="4" t="s">
        <v>2882</v>
      </c>
      <c r="EDL1338" s="4" t="s">
        <v>2882</v>
      </c>
      <c r="EDM1338" s="4" t="s">
        <v>2882</v>
      </c>
      <c r="EDN1338" s="4" t="s">
        <v>2882</v>
      </c>
      <c r="EDO1338" s="4" t="s">
        <v>2882</v>
      </c>
      <c r="EDP1338" s="4" t="s">
        <v>2882</v>
      </c>
      <c r="EDQ1338" s="4" t="s">
        <v>2882</v>
      </c>
      <c r="EDR1338" s="4" t="s">
        <v>2882</v>
      </c>
      <c r="EDS1338" s="4" t="s">
        <v>2882</v>
      </c>
      <c r="EDT1338" s="4" t="s">
        <v>2882</v>
      </c>
      <c r="EDU1338" s="4" t="s">
        <v>2882</v>
      </c>
      <c r="EDV1338" s="4" t="s">
        <v>2882</v>
      </c>
      <c r="EDW1338" s="4" t="s">
        <v>2882</v>
      </c>
      <c r="EDX1338" s="4" t="s">
        <v>2882</v>
      </c>
      <c r="EDY1338" s="4" t="s">
        <v>2882</v>
      </c>
      <c r="EDZ1338" s="4" t="s">
        <v>2882</v>
      </c>
      <c r="EEA1338" s="4" t="s">
        <v>2882</v>
      </c>
      <c r="EEB1338" s="4" t="s">
        <v>2882</v>
      </c>
      <c r="EEC1338" s="4" t="s">
        <v>2882</v>
      </c>
      <c r="EED1338" s="4" t="s">
        <v>2882</v>
      </c>
      <c r="EEE1338" s="4" t="s">
        <v>2882</v>
      </c>
      <c r="EEF1338" s="4" t="s">
        <v>2882</v>
      </c>
      <c r="EEG1338" s="4" t="s">
        <v>2882</v>
      </c>
      <c r="EEH1338" s="4" t="s">
        <v>2882</v>
      </c>
      <c r="EEI1338" s="4" t="s">
        <v>2882</v>
      </c>
      <c r="EEJ1338" s="4" t="s">
        <v>2882</v>
      </c>
      <c r="EEK1338" s="4" t="s">
        <v>2882</v>
      </c>
      <c r="EEL1338" s="4" t="s">
        <v>2882</v>
      </c>
      <c r="EEM1338" s="4" t="s">
        <v>2882</v>
      </c>
      <c r="EEN1338" s="4" t="s">
        <v>2882</v>
      </c>
      <c r="EEO1338" s="4" t="s">
        <v>2882</v>
      </c>
      <c r="EEP1338" s="4" t="s">
        <v>2882</v>
      </c>
      <c r="EEQ1338" s="4" t="s">
        <v>2882</v>
      </c>
      <c r="EER1338" s="4" t="s">
        <v>2882</v>
      </c>
      <c r="EES1338" s="4" t="s">
        <v>2882</v>
      </c>
      <c r="EET1338" s="4" t="s">
        <v>2882</v>
      </c>
      <c r="EEU1338" s="4" t="s">
        <v>2882</v>
      </c>
      <c r="EEV1338" s="4" t="s">
        <v>2882</v>
      </c>
      <c r="EEW1338" s="4" t="s">
        <v>2882</v>
      </c>
      <c r="EEX1338" s="4" t="s">
        <v>2882</v>
      </c>
      <c r="EEY1338" s="4" t="s">
        <v>2882</v>
      </c>
      <c r="EEZ1338" s="4" t="s">
        <v>2882</v>
      </c>
      <c r="EFA1338" s="4" t="s">
        <v>2882</v>
      </c>
      <c r="EFB1338" s="4" t="s">
        <v>2882</v>
      </c>
      <c r="EFC1338" s="4" t="s">
        <v>2882</v>
      </c>
      <c r="EFD1338" s="4" t="s">
        <v>2882</v>
      </c>
      <c r="EFE1338" s="4" t="s">
        <v>2882</v>
      </c>
      <c r="EFF1338" s="4" t="s">
        <v>2882</v>
      </c>
      <c r="EFG1338" s="4" t="s">
        <v>2882</v>
      </c>
      <c r="EFH1338" s="4" t="s">
        <v>2882</v>
      </c>
      <c r="EFI1338" s="4" t="s">
        <v>2882</v>
      </c>
      <c r="EFJ1338" s="4" t="s">
        <v>2882</v>
      </c>
      <c r="EFK1338" s="4" t="s">
        <v>2882</v>
      </c>
      <c r="EFL1338" s="4" t="s">
        <v>2882</v>
      </c>
      <c r="EFM1338" s="4" t="s">
        <v>2882</v>
      </c>
      <c r="EFN1338" s="4" t="s">
        <v>2882</v>
      </c>
      <c r="EFO1338" s="4" t="s">
        <v>2882</v>
      </c>
      <c r="EFP1338" s="4" t="s">
        <v>2882</v>
      </c>
      <c r="EFQ1338" s="4" t="s">
        <v>2882</v>
      </c>
      <c r="EFR1338" s="4" t="s">
        <v>2882</v>
      </c>
      <c r="EFS1338" s="4" t="s">
        <v>2882</v>
      </c>
      <c r="EFT1338" s="4" t="s">
        <v>2882</v>
      </c>
      <c r="EFU1338" s="4" t="s">
        <v>2882</v>
      </c>
      <c r="EFV1338" s="4" t="s">
        <v>2882</v>
      </c>
      <c r="EFW1338" s="4" t="s">
        <v>2882</v>
      </c>
      <c r="EFX1338" s="4" t="s">
        <v>2882</v>
      </c>
      <c r="EFY1338" s="4" t="s">
        <v>2882</v>
      </c>
      <c r="EFZ1338" s="4" t="s">
        <v>2882</v>
      </c>
      <c r="EGA1338" s="4" t="s">
        <v>2882</v>
      </c>
      <c r="EGB1338" s="4" t="s">
        <v>2882</v>
      </c>
      <c r="EGC1338" s="4" t="s">
        <v>2882</v>
      </c>
      <c r="EGD1338" s="4" t="s">
        <v>2882</v>
      </c>
      <c r="EGE1338" s="4" t="s">
        <v>2882</v>
      </c>
      <c r="EGF1338" s="4" t="s">
        <v>2882</v>
      </c>
      <c r="EGG1338" s="4" t="s">
        <v>2882</v>
      </c>
      <c r="EGH1338" s="4" t="s">
        <v>2882</v>
      </c>
      <c r="EGI1338" s="4" t="s">
        <v>2882</v>
      </c>
      <c r="EGJ1338" s="4" t="s">
        <v>2882</v>
      </c>
      <c r="EGK1338" s="4" t="s">
        <v>2882</v>
      </c>
      <c r="EGL1338" s="4" t="s">
        <v>2882</v>
      </c>
      <c r="EGM1338" s="4" t="s">
        <v>2882</v>
      </c>
      <c r="EGN1338" s="4" t="s">
        <v>2882</v>
      </c>
      <c r="EGO1338" s="4" t="s">
        <v>2882</v>
      </c>
      <c r="EGP1338" s="4" t="s">
        <v>2882</v>
      </c>
      <c r="EGQ1338" s="4" t="s">
        <v>2882</v>
      </c>
      <c r="EGR1338" s="4" t="s">
        <v>2882</v>
      </c>
      <c r="EGS1338" s="4" t="s">
        <v>2882</v>
      </c>
      <c r="EGT1338" s="4" t="s">
        <v>2882</v>
      </c>
      <c r="EGU1338" s="4" t="s">
        <v>2882</v>
      </c>
      <c r="EGV1338" s="4" t="s">
        <v>2882</v>
      </c>
      <c r="EGW1338" s="4" t="s">
        <v>2882</v>
      </c>
      <c r="EGX1338" s="4" t="s">
        <v>2882</v>
      </c>
      <c r="EGY1338" s="4" t="s">
        <v>2882</v>
      </c>
      <c r="EGZ1338" s="4" t="s">
        <v>2882</v>
      </c>
      <c r="EHA1338" s="4" t="s">
        <v>2882</v>
      </c>
      <c r="EHB1338" s="4" t="s">
        <v>2882</v>
      </c>
      <c r="EHC1338" s="4" t="s">
        <v>2882</v>
      </c>
      <c r="EHD1338" s="4" t="s">
        <v>2882</v>
      </c>
      <c r="EHE1338" s="4" t="s">
        <v>2882</v>
      </c>
      <c r="EHF1338" s="4" t="s">
        <v>2882</v>
      </c>
      <c r="EHG1338" s="4" t="s">
        <v>2882</v>
      </c>
      <c r="EHH1338" s="4" t="s">
        <v>2882</v>
      </c>
      <c r="EHI1338" s="4" t="s">
        <v>2882</v>
      </c>
      <c r="EHJ1338" s="4" t="s">
        <v>2882</v>
      </c>
      <c r="EHK1338" s="4" t="s">
        <v>2882</v>
      </c>
      <c r="EHL1338" s="4" t="s">
        <v>2882</v>
      </c>
      <c r="EHM1338" s="4" t="s">
        <v>2882</v>
      </c>
      <c r="EHN1338" s="4" t="s">
        <v>2882</v>
      </c>
      <c r="EHO1338" s="4" t="s">
        <v>2882</v>
      </c>
      <c r="EHP1338" s="4" t="s">
        <v>2882</v>
      </c>
      <c r="EHQ1338" s="4" t="s">
        <v>2882</v>
      </c>
      <c r="EHR1338" s="4" t="s">
        <v>2882</v>
      </c>
      <c r="EHS1338" s="4" t="s">
        <v>2882</v>
      </c>
      <c r="EHT1338" s="4" t="s">
        <v>2882</v>
      </c>
      <c r="EHU1338" s="4" t="s">
        <v>2882</v>
      </c>
      <c r="EHV1338" s="4" t="s">
        <v>2882</v>
      </c>
      <c r="EHW1338" s="4" t="s">
        <v>2882</v>
      </c>
      <c r="EHX1338" s="4" t="s">
        <v>2882</v>
      </c>
      <c r="EHY1338" s="4" t="s">
        <v>2882</v>
      </c>
      <c r="EHZ1338" s="4" t="s">
        <v>2882</v>
      </c>
      <c r="EIA1338" s="4" t="s">
        <v>2882</v>
      </c>
      <c r="EIB1338" s="4" t="s">
        <v>2882</v>
      </c>
      <c r="EIC1338" s="4" t="s">
        <v>2882</v>
      </c>
      <c r="EID1338" s="4" t="s">
        <v>2882</v>
      </c>
      <c r="EIE1338" s="4" t="s">
        <v>2882</v>
      </c>
      <c r="EIF1338" s="4" t="s">
        <v>2882</v>
      </c>
      <c r="EIG1338" s="4" t="s">
        <v>2882</v>
      </c>
      <c r="EIH1338" s="4" t="s">
        <v>2882</v>
      </c>
      <c r="EII1338" s="4" t="s">
        <v>2882</v>
      </c>
      <c r="EIJ1338" s="4" t="s">
        <v>2882</v>
      </c>
      <c r="EIK1338" s="4" t="s">
        <v>2882</v>
      </c>
      <c r="EIL1338" s="4" t="s">
        <v>2882</v>
      </c>
      <c r="EIM1338" s="4" t="s">
        <v>2882</v>
      </c>
      <c r="EIN1338" s="4" t="s">
        <v>2882</v>
      </c>
      <c r="EIO1338" s="4" t="s">
        <v>2882</v>
      </c>
      <c r="EIP1338" s="4" t="s">
        <v>2882</v>
      </c>
      <c r="EIQ1338" s="4" t="s">
        <v>2882</v>
      </c>
      <c r="EIR1338" s="4" t="s">
        <v>2882</v>
      </c>
      <c r="EIS1338" s="4" t="s">
        <v>2882</v>
      </c>
      <c r="EIT1338" s="4" t="s">
        <v>2882</v>
      </c>
      <c r="EIU1338" s="4" t="s">
        <v>2882</v>
      </c>
      <c r="EIV1338" s="4" t="s">
        <v>2882</v>
      </c>
      <c r="EIW1338" s="4" t="s">
        <v>2882</v>
      </c>
      <c r="EIX1338" s="4" t="s">
        <v>2882</v>
      </c>
      <c r="EIY1338" s="4" t="s">
        <v>2882</v>
      </c>
      <c r="EIZ1338" s="4" t="s">
        <v>2882</v>
      </c>
      <c r="EJA1338" s="4" t="s">
        <v>2882</v>
      </c>
      <c r="EJB1338" s="4" t="s">
        <v>2882</v>
      </c>
      <c r="EJC1338" s="4" t="s">
        <v>2882</v>
      </c>
      <c r="EJD1338" s="4" t="s">
        <v>2882</v>
      </c>
      <c r="EJE1338" s="4" t="s">
        <v>2882</v>
      </c>
      <c r="EJF1338" s="4" t="s">
        <v>2882</v>
      </c>
      <c r="EJG1338" s="4" t="s">
        <v>2882</v>
      </c>
      <c r="EJH1338" s="4" t="s">
        <v>2882</v>
      </c>
      <c r="EJI1338" s="4" t="s">
        <v>2882</v>
      </c>
      <c r="EJJ1338" s="4" t="s">
        <v>2882</v>
      </c>
      <c r="EJK1338" s="4" t="s">
        <v>2882</v>
      </c>
      <c r="EJL1338" s="4" t="s">
        <v>2882</v>
      </c>
      <c r="EJM1338" s="4" t="s">
        <v>2882</v>
      </c>
      <c r="EJN1338" s="4" t="s">
        <v>2882</v>
      </c>
      <c r="EJO1338" s="4" t="s">
        <v>2882</v>
      </c>
      <c r="EJP1338" s="4" t="s">
        <v>2882</v>
      </c>
      <c r="EJQ1338" s="4" t="s">
        <v>2882</v>
      </c>
      <c r="EJR1338" s="4" t="s">
        <v>2882</v>
      </c>
      <c r="EJS1338" s="4" t="s">
        <v>2882</v>
      </c>
      <c r="EJT1338" s="4" t="s">
        <v>2882</v>
      </c>
      <c r="EJU1338" s="4" t="s">
        <v>2882</v>
      </c>
      <c r="EJV1338" s="4" t="s">
        <v>2882</v>
      </c>
      <c r="EJW1338" s="4" t="s">
        <v>2882</v>
      </c>
      <c r="EJX1338" s="4" t="s">
        <v>2882</v>
      </c>
      <c r="EJY1338" s="4" t="s">
        <v>2882</v>
      </c>
      <c r="EJZ1338" s="4" t="s">
        <v>2882</v>
      </c>
      <c r="EKA1338" s="4" t="s">
        <v>2882</v>
      </c>
      <c r="EKB1338" s="4" t="s">
        <v>2882</v>
      </c>
      <c r="EKC1338" s="4" t="s">
        <v>2882</v>
      </c>
      <c r="EKD1338" s="4" t="s">
        <v>2882</v>
      </c>
      <c r="EKE1338" s="4" t="s">
        <v>2882</v>
      </c>
      <c r="EKF1338" s="4" t="s">
        <v>2882</v>
      </c>
      <c r="EKG1338" s="4" t="s">
        <v>2882</v>
      </c>
      <c r="EKH1338" s="4" t="s">
        <v>2882</v>
      </c>
      <c r="EKI1338" s="4" t="s">
        <v>2882</v>
      </c>
      <c r="EKJ1338" s="4" t="s">
        <v>2882</v>
      </c>
      <c r="EKK1338" s="4" t="s">
        <v>2882</v>
      </c>
      <c r="EKL1338" s="4" t="s">
        <v>2882</v>
      </c>
      <c r="EKM1338" s="4" t="s">
        <v>2882</v>
      </c>
      <c r="EKN1338" s="4" t="s">
        <v>2882</v>
      </c>
      <c r="EKO1338" s="4" t="s">
        <v>2882</v>
      </c>
      <c r="EKP1338" s="4" t="s">
        <v>2882</v>
      </c>
      <c r="EKQ1338" s="4" t="s">
        <v>2882</v>
      </c>
      <c r="EKR1338" s="4" t="s">
        <v>2882</v>
      </c>
      <c r="EKS1338" s="4" t="s">
        <v>2882</v>
      </c>
      <c r="EKT1338" s="4" t="s">
        <v>2882</v>
      </c>
      <c r="EKU1338" s="4" t="s">
        <v>2882</v>
      </c>
      <c r="EKV1338" s="4" t="s">
        <v>2882</v>
      </c>
      <c r="EKW1338" s="4" t="s">
        <v>2882</v>
      </c>
      <c r="EKX1338" s="4" t="s">
        <v>2882</v>
      </c>
      <c r="EKY1338" s="4" t="s">
        <v>2882</v>
      </c>
      <c r="EKZ1338" s="4" t="s">
        <v>2882</v>
      </c>
      <c r="ELA1338" s="4" t="s">
        <v>2882</v>
      </c>
      <c r="ELB1338" s="4" t="s">
        <v>2882</v>
      </c>
      <c r="ELC1338" s="4" t="s">
        <v>2882</v>
      </c>
      <c r="ELD1338" s="4" t="s">
        <v>2882</v>
      </c>
      <c r="ELE1338" s="4" t="s">
        <v>2882</v>
      </c>
      <c r="ELF1338" s="4" t="s">
        <v>2882</v>
      </c>
      <c r="ELG1338" s="4" t="s">
        <v>2882</v>
      </c>
      <c r="ELH1338" s="4" t="s">
        <v>2882</v>
      </c>
      <c r="ELI1338" s="4" t="s">
        <v>2882</v>
      </c>
      <c r="ELJ1338" s="4" t="s">
        <v>2882</v>
      </c>
      <c r="ELK1338" s="4" t="s">
        <v>2882</v>
      </c>
      <c r="ELL1338" s="4" t="s">
        <v>2882</v>
      </c>
      <c r="ELM1338" s="4" t="s">
        <v>2882</v>
      </c>
      <c r="ELN1338" s="4" t="s">
        <v>2882</v>
      </c>
      <c r="ELO1338" s="4" t="s">
        <v>2882</v>
      </c>
      <c r="ELP1338" s="4" t="s">
        <v>2882</v>
      </c>
      <c r="ELQ1338" s="4" t="s">
        <v>2882</v>
      </c>
      <c r="ELR1338" s="4" t="s">
        <v>2882</v>
      </c>
      <c r="ELS1338" s="4" t="s">
        <v>2882</v>
      </c>
      <c r="ELT1338" s="4" t="s">
        <v>2882</v>
      </c>
      <c r="ELU1338" s="4" t="s">
        <v>2882</v>
      </c>
      <c r="ELV1338" s="4" t="s">
        <v>2882</v>
      </c>
      <c r="ELW1338" s="4" t="s">
        <v>2882</v>
      </c>
      <c r="ELX1338" s="4" t="s">
        <v>2882</v>
      </c>
      <c r="ELY1338" s="4" t="s">
        <v>2882</v>
      </c>
      <c r="ELZ1338" s="4" t="s">
        <v>2882</v>
      </c>
      <c r="EMA1338" s="4" t="s">
        <v>2882</v>
      </c>
      <c r="EMB1338" s="4" t="s">
        <v>2882</v>
      </c>
      <c r="EMC1338" s="4" t="s">
        <v>2882</v>
      </c>
      <c r="EMD1338" s="4" t="s">
        <v>2882</v>
      </c>
      <c r="EME1338" s="4" t="s">
        <v>2882</v>
      </c>
      <c r="EMF1338" s="4" t="s">
        <v>2882</v>
      </c>
      <c r="EMG1338" s="4" t="s">
        <v>2882</v>
      </c>
      <c r="EMH1338" s="4" t="s">
        <v>2882</v>
      </c>
      <c r="EMI1338" s="4" t="s">
        <v>2882</v>
      </c>
      <c r="EMJ1338" s="4" t="s">
        <v>2882</v>
      </c>
      <c r="EMK1338" s="4" t="s">
        <v>2882</v>
      </c>
      <c r="EML1338" s="4" t="s">
        <v>2882</v>
      </c>
      <c r="EMM1338" s="4" t="s">
        <v>2882</v>
      </c>
      <c r="EMN1338" s="4" t="s">
        <v>2882</v>
      </c>
      <c r="EMO1338" s="4" t="s">
        <v>2882</v>
      </c>
      <c r="EMP1338" s="4" t="s">
        <v>2882</v>
      </c>
      <c r="EMQ1338" s="4" t="s">
        <v>2882</v>
      </c>
      <c r="EMR1338" s="4" t="s">
        <v>2882</v>
      </c>
      <c r="EMS1338" s="4" t="s">
        <v>2882</v>
      </c>
      <c r="EMT1338" s="4" t="s">
        <v>2882</v>
      </c>
      <c r="EMU1338" s="4" t="s">
        <v>2882</v>
      </c>
      <c r="EMV1338" s="4" t="s">
        <v>2882</v>
      </c>
      <c r="EMW1338" s="4" t="s">
        <v>2882</v>
      </c>
      <c r="EMX1338" s="4" t="s">
        <v>2882</v>
      </c>
      <c r="EMY1338" s="4" t="s">
        <v>2882</v>
      </c>
      <c r="EMZ1338" s="4" t="s">
        <v>2882</v>
      </c>
      <c r="ENA1338" s="4" t="s">
        <v>2882</v>
      </c>
      <c r="ENB1338" s="4" t="s">
        <v>2882</v>
      </c>
      <c r="ENC1338" s="4" t="s">
        <v>2882</v>
      </c>
      <c r="END1338" s="4" t="s">
        <v>2882</v>
      </c>
      <c r="ENE1338" s="4" t="s">
        <v>2882</v>
      </c>
      <c r="ENF1338" s="4" t="s">
        <v>2882</v>
      </c>
      <c r="ENG1338" s="4" t="s">
        <v>2882</v>
      </c>
      <c r="ENH1338" s="4" t="s">
        <v>2882</v>
      </c>
      <c r="ENI1338" s="4" t="s">
        <v>2882</v>
      </c>
      <c r="ENJ1338" s="4" t="s">
        <v>2882</v>
      </c>
      <c r="ENK1338" s="4" t="s">
        <v>2882</v>
      </c>
      <c r="ENL1338" s="4" t="s">
        <v>2882</v>
      </c>
      <c r="ENM1338" s="4" t="s">
        <v>2882</v>
      </c>
      <c r="ENN1338" s="4" t="s">
        <v>2882</v>
      </c>
      <c r="ENO1338" s="4" t="s">
        <v>2882</v>
      </c>
      <c r="ENP1338" s="4" t="s">
        <v>2882</v>
      </c>
      <c r="ENQ1338" s="4" t="s">
        <v>2882</v>
      </c>
      <c r="ENR1338" s="4" t="s">
        <v>2882</v>
      </c>
      <c r="ENS1338" s="4" t="s">
        <v>2882</v>
      </c>
      <c r="ENT1338" s="4" t="s">
        <v>2882</v>
      </c>
      <c r="ENU1338" s="4" t="s">
        <v>2882</v>
      </c>
      <c r="ENV1338" s="4" t="s">
        <v>2882</v>
      </c>
      <c r="ENW1338" s="4" t="s">
        <v>2882</v>
      </c>
      <c r="ENX1338" s="4" t="s">
        <v>2882</v>
      </c>
      <c r="ENY1338" s="4" t="s">
        <v>2882</v>
      </c>
      <c r="ENZ1338" s="4" t="s">
        <v>2882</v>
      </c>
      <c r="EOA1338" s="4" t="s">
        <v>2882</v>
      </c>
      <c r="EOB1338" s="4" t="s">
        <v>2882</v>
      </c>
      <c r="EOC1338" s="4" t="s">
        <v>2882</v>
      </c>
      <c r="EOD1338" s="4" t="s">
        <v>2882</v>
      </c>
      <c r="EOE1338" s="4" t="s">
        <v>2882</v>
      </c>
      <c r="EOF1338" s="4" t="s">
        <v>2882</v>
      </c>
      <c r="EOG1338" s="4" t="s">
        <v>2882</v>
      </c>
      <c r="EOH1338" s="4" t="s">
        <v>2882</v>
      </c>
      <c r="EOI1338" s="4" t="s">
        <v>2882</v>
      </c>
      <c r="EOJ1338" s="4" t="s">
        <v>2882</v>
      </c>
      <c r="EOK1338" s="4" t="s">
        <v>2882</v>
      </c>
      <c r="EOL1338" s="4" t="s">
        <v>2882</v>
      </c>
      <c r="EOM1338" s="4" t="s">
        <v>2882</v>
      </c>
      <c r="EON1338" s="4" t="s">
        <v>2882</v>
      </c>
      <c r="EOO1338" s="4" t="s">
        <v>2882</v>
      </c>
      <c r="EOP1338" s="4" t="s">
        <v>2882</v>
      </c>
      <c r="EOQ1338" s="4" t="s">
        <v>2882</v>
      </c>
      <c r="EOR1338" s="4" t="s">
        <v>2882</v>
      </c>
      <c r="EOS1338" s="4" t="s">
        <v>2882</v>
      </c>
      <c r="EOT1338" s="4" t="s">
        <v>2882</v>
      </c>
      <c r="EOU1338" s="4" t="s">
        <v>2882</v>
      </c>
      <c r="EOV1338" s="4" t="s">
        <v>2882</v>
      </c>
      <c r="EOW1338" s="4" t="s">
        <v>2882</v>
      </c>
      <c r="EOX1338" s="4" t="s">
        <v>2882</v>
      </c>
      <c r="EOY1338" s="4" t="s">
        <v>2882</v>
      </c>
      <c r="EOZ1338" s="4" t="s">
        <v>2882</v>
      </c>
      <c r="EPA1338" s="4" t="s">
        <v>2882</v>
      </c>
      <c r="EPB1338" s="4" t="s">
        <v>2882</v>
      </c>
      <c r="EPC1338" s="4" t="s">
        <v>2882</v>
      </c>
      <c r="EPD1338" s="4" t="s">
        <v>2882</v>
      </c>
      <c r="EPE1338" s="4" t="s">
        <v>2882</v>
      </c>
      <c r="EPF1338" s="4" t="s">
        <v>2882</v>
      </c>
      <c r="EPG1338" s="4" t="s">
        <v>2882</v>
      </c>
      <c r="EPH1338" s="4" t="s">
        <v>2882</v>
      </c>
      <c r="EPI1338" s="4" t="s">
        <v>2882</v>
      </c>
      <c r="EPJ1338" s="4" t="s">
        <v>2882</v>
      </c>
      <c r="EPK1338" s="4" t="s">
        <v>2882</v>
      </c>
      <c r="EPL1338" s="4" t="s">
        <v>2882</v>
      </c>
      <c r="EPM1338" s="4" t="s">
        <v>2882</v>
      </c>
      <c r="EPN1338" s="4" t="s">
        <v>2882</v>
      </c>
      <c r="EPO1338" s="4" t="s">
        <v>2882</v>
      </c>
      <c r="EPP1338" s="4" t="s">
        <v>2882</v>
      </c>
      <c r="EPQ1338" s="4" t="s">
        <v>2882</v>
      </c>
      <c r="EPR1338" s="4" t="s">
        <v>2882</v>
      </c>
      <c r="EPS1338" s="4" t="s">
        <v>2882</v>
      </c>
      <c r="EPT1338" s="4" t="s">
        <v>2882</v>
      </c>
      <c r="EPU1338" s="4" t="s">
        <v>2882</v>
      </c>
      <c r="EPV1338" s="4" t="s">
        <v>2882</v>
      </c>
      <c r="EPW1338" s="4" t="s">
        <v>2882</v>
      </c>
      <c r="EPX1338" s="4" t="s">
        <v>2882</v>
      </c>
      <c r="EPY1338" s="4" t="s">
        <v>2882</v>
      </c>
      <c r="EPZ1338" s="4" t="s">
        <v>2882</v>
      </c>
      <c r="EQA1338" s="4" t="s">
        <v>2882</v>
      </c>
      <c r="EQB1338" s="4" t="s">
        <v>2882</v>
      </c>
      <c r="EQC1338" s="4" t="s">
        <v>2882</v>
      </c>
      <c r="EQD1338" s="4" t="s">
        <v>2882</v>
      </c>
      <c r="EQE1338" s="4" t="s">
        <v>2882</v>
      </c>
      <c r="EQF1338" s="4" t="s">
        <v>2882</v>
      </c>
      <c r="EQG1338" s="4" t="s">
        <v>2882</v>
      </c>
      <c r="EQH1338" s="4" t="s">
        <v>2882</v>
      </c>
      <c r="EQI1338" s="4" t="s">
        <v>2882</v>
      </c>
      <c r="EQJ1338" s="4" t="s">
        <v>2882</v>
      </c>
      <c r="EQK1338" s="4" t="s">
        <v>2882</v>
      </c>
      <c r="EQL1338" s="4" t="s">
        <v>2882</v>
      </c>
      <c r="EQM1338" s="4" t="s">
        <v>2882</v>
      </c>
      <c r="EQN1338" s="4" t="s">
        <v>2882</v>
      </c>
      <c r="EQO1338" s="4" t="s">
        <v>2882</v>
      </c>
      <c r="EQP1338" s="4" t="s">
        <v>2882</v>
      </c>
      <c r="EQQ1338" s="4" t="s">
        <v>2882</v>
      </c>
      <c r="EQR1338" s="4" t="s">
        <v>2882</v>
      </c>
      <c r="EQS1338" s="4" t="s">
        <v>2882</v>
      </c>
      <c r="EQT1338" s="4" t="s">
        <v>2882</v>
      </c>
      <c r="EQU1338" s="4" t="s">
        <v>2882</v>
      </c>
      <c r="EQV1338" s="4" t="s">
        <v>2882</v>
      </c>
      <c r="EQW1338" s="4" t="s">
        <v>2882</v>
      </c>
      <c r="EQX1338" s="4" t="s">
        <v>2882</v>
      </c>
      <c r="EQY1338" s="4" t="s">
        <v>2882</v>
      </c>
      <c r="EQZ1338" s="4" t="s">
        <v>2882</v>
      </c>
      <c r="ERA1338" s="4" t="s">
        <v>2882</v>
      </c>
      <c r="ERB1338" s="4" t="s">
        <v>2882</v>
      </c>
      <c r="ERC1338" s="4" t="s">
        <v>2882</v>
      </c>
      <c r="ERD1338" s="4" t="s">
        <v>2882</v>
      </c>
      <c r="ERE1338" s="4" t="s">
        <v>2882</v>
      </c>
      <c r="ERF1338" s="4" t="s">
        <v>2882</v>
      </c>
      <c r="ERG1338" s="4" t="s">
        <v>2882</v>
      </c>
      <c r="ERH1338" s="4" t="s">
        <v>2882</v>
      </c>
      <c r="ERI1338" s="4" t="s">
        <v>2882</v>
      </c>
      <c r="ERJ1338" s="4" t="s">
        <v>2882</v>
      </c>
      <c r="ERK1338" s="4" t="s">
        <v>2882</v>
      </c>
      <c r="ERL1338" s="4" t="s">
        <v>2882</v>
      </c>
      <c r="ERM1338" s="4" t="s">
        <v>2882</v>
      </c>
      <c r="ERN1338" s="4" t="s">
        <v>2882</v>
      </c>
      <c r="ERO1338" s="4" t="s">
        <v>2882</v>
      </c>
      <c r="ERP1338" s="4" t="s">
        <v>2882</v>
      </c>
      <c r="ERQ1338" s="4" t="s">
        <v>2882</v>
      </c>
      <c r="ERR1338" s="4" t="s">
        <v>2882</v>
      </c>
      <c r="ERS1338" s="4" t="s">
        <v>2882</v>
      </c>
      <c r="ERT1338" s="4" t="s">
        <v>2882</v>
      </c>
      <c r="ERU1338" s="4" t="s">
        <v>2882</v>
      </c>
      <c r="ERV1338" s="4" t="s">
        <v>2882</v>
      </c>
      <c r="ERW1338" s="4" t="s">
        <v>2882</v>
      </c>
      <c r="ERX1338" s="4" t="s">
        <v>2882</v>
      </c>
      <c r="ERY1338" s="4" t="s">
        <v>2882</v>
      </c>
      <c r="ERZ1338" s="4" t="s">
        <v>2882</v>
      </c>
      <c r="ESA1338" s="4" t="s">
        <v>2882</v>
      </c>
      <c r="ESB1338" s="4" t="s">
        <v>2882</v>
      </c>
      <c r="ESC1338" s="4" t="s">
        <v>2882</v>
      </c>
      <c r="ESD1338" s="4" t="s">
        <v>2882</v>
      </c>
      <c r="ESE1338" s="4" t="s">
        <v>2882</v>
      </c>
      <c r="ESF1338" s="4" t="s">
        <v>2882</v>
      </c>
      <c r="ESG1338" s="4" t="s">
        <v>2882</v>
      </c>
      <c r="ESH1338" s="4" t="s">
        <v>2882</v>
      </c>
      <c r="ESI1338" s="4" t="s">
        <v>2882</v>
      </c>
      <c r="ESJ1338" s="4" t="s">
        <v>2882</v>
      </c>
      <c r="ESK1338" s="4" t="s">
        <v>2882</v>
      </c>
      <c r="ESL1338" s="4" t="s">
        <v>2882</v>
      </c>
      <c r="ESM1338" s="4" t="s">
        <v>2882</v>
      </c>
      <c r="ESN1338" s="4" t="s">
        <v>2882</v>
      </c>
      <c r="ESO1338" s="4" t="s">
        <v>2882</v>
      </c>
      <c r="ESP1338" s="4" t="s">
        <v>2882</v>
      </c>
      <c r="ESQ1338" s="4" t="s">
        <v>2882</v>
      </c>
      <c r="ESR1338" s="4" t="s">
        <v>2882</v>
      </c>
      <c r="ESS1338" s="4" t="s">
        <v>2882</v>
      </c>
      <c r="EST1338" s="4" t="s">
        <v>2882</v>
      </c>
      <c r="ESU1338" s="4" t="s">
        <v>2882</v>
      </c>
      <c r="ESV1338" s="4" t="s">
        <v>2882</v>
      </c>
      <c r="ESW1338" s="4" t="s">
        <v>2882</v>
      </c>
      <c r="ESX1338" s="4" t="s">
        <v>2882</v>
      </c>
      <c r="ESY1338" s="4" t="s">
        <v>2882</v>
      </c>
      <c r="ESZ1338" s="4" t="s">
        <v>2882</v>
      </c>
      <c r="ETA1338" s="4" t="s">
        <v>2882</v>
      </c>
      <c r="ETB1338" s="4" t="s">
        <v>2882</v>
      </c>
      <c r="ETC1338" s="4" t="s">
        <v>2882</v>
      </c>
      <c r="ETD1338" s="4" t="s">
        <v>2882</v>
      </c>
      <c r="ETE1338" s="4" t="s">
        <v>2882</v>
      </c>
      <c r="ETF1338" s="4" t="s">
        <v>2882</v>
      </c>
      <c r="ETG1338" s="4" t="s">
        <v>2882</v>
      </c>
      <c r="ETH1338" s="4" t="s">
        <v>2882</v>
      </c>
      <c r="ETI1338" s="4" t="s">
        <v>2882</v>
      </c>
      <c r="ETJ1338" s="4" t="s">
        <v>2882</v>
      </c>
      <c r="ETK1338" s="4" t="s">
        <v>2882</v>
      </c>
      <c r="ETL1338" s="4" t="s">
        <v>2882</v>
      </c>
      <c r="ETM1338" s="4" t="s">
        <v>2882</v>
      </c>
      <c r="ETN1338" s="4" t="s">
        <v>2882</v>
      </c>
      <c r="ETO1338" s="4" t="s">
        <v>2882</v>
      </c>
      <c r="ETP1338" s="4" t="s">
        <v>2882</v>
      </c>
      <c r="ETQ1338" s="4" t="s">
        <v>2882</v>
      </c>
      <c r="ETR1338" s="4" t="s">
        <v>2882</v>
      </c>
      <c r="ETS1338" s="4" t="s">
        <v>2882</v>
      </c>
      <c r="ETT1338" s="4" t="s">
        <v>2882</v>
      </c>
      <c r="ETU1338" s="4" t="s">
        <v>2882</v>
      </c>
      <c r="ETV1338" s="4" t="s">
        <v>2882</v>
      </c>
      <c r="ETW1338" s="4" t="s">
        <v>2882</v>
      </c>
      <c r="ETX1338" s="4" t="s">
        <v>2882</v>
      </c>
      <c r="ETY1338" s="4" t="s">
        <v>2882</v>
      </c>
      <c r="ETZ1338" s="4" t="s">
        <v>2882</v>
      </c>
      <c r="EUA1338" s="4" t="s">
        <v>2882</v>
      </c>
      <c r="EUB1338" s="4" t="s">
        <v>2882</v>
      </c>
      <c r="EUC1338" s="4" t="s">
        <v>2882</v>
      </c>
      <c r="EUD1338" s="4" t="s">
        <v>2882</v>
      </c>
      <c r="EUE1338" s="4" t="s">
        <v>2882</v>
      </c>
      <c r="EUF1338" s="4" t="s">
        <v>2882</v>
      </c>
      <c r="EUG1338" s="4" t="s">
        <v>2882</v>
      </c>
      <c r="EUH1338" s="4" t="s">
        <v>2882</v>
      </c>
      <c r="EUI1338" s="4" t="s">
        <v>2882</v>
      </c>
      <c r="EUJ1338" s="4" t="s">
        <v>2882</v>
      </c>
      <c r="EUK1338" s="4" t="s">
        <v>2882</v>
      </c>
      <c r="EUL1338" s="4" t="s">
        <v>2882</v>
      </c>
      <c r="EUM1338" s="4" t="s">
        <v>2882</v>
      </c>
      <c r="EUN1338" s="4" t="s">
        <v>2882</v>
      </c>
      <c r="EUO1338" s="4" t="s">
        <v>2882</v>
      </c>
      <c r="EUP1338" s="4" t="s">
        <v>2882</v>
      </c>
      <c r="EUQ1338" s="4" t="s">
        <v>2882</v>
      </c>
      <c r="EUR1338" s="4" t="s">
        <v>2882</v>
      </c>
      <c r="EUS1338" s="4" t="s">
        <v>2882</v>
      </c>
      <c r="EUT1338" s="4" t="s">
        <v>2882</v>
      </c>
      <c r="EUU1338" s="4" t="s">
        <v>2882</v>
      </c>
      <c r="EUV1338" s="4" t="s">
        <v>2882</v>
      </c>
      <c r="EUW1338" s="4" t="s">
        <v>2882</v>
      </c>
      <c r="EUX1338" s="4" t="s">
        <v>2882</v>
      </c>
      <c r="EUY1338" s="4" t="s">
        <v>2882</v>
      </c>
      <c r="EUZ1338" s="4" t="s">
        <v>2882</v>
      </c>
      <c r="EVA1338" s="4" t="s">
        <v>2882</v>
      </c>
      <c r="EVB1338" s="4" t="s">
        <v>2882</v>
      </c>
      <c r="EVC1338" s="4" t="s">
        <v>2882</v>
      </c>
      <c r="EVD1338" s="4" t="s">
        <v>2882</v>
      </c>
      <c r="EVE1338" s="4" t="s">
        <v>2882</v>
      </c>
      <c r="EVF1338" s="4" t="s">
        <v>2882</v>
      </c>
      <c r="EVG1338" s="4" t="s">
        <v>2882</v>
      </c>
      <c r="EVH1338" s="4" t="s">
        <v>2882</v>
      </c>
      <c r="EVI1338" s="4" t="s">
        <v>2882</v>
      </c>
      <c r="EVJ1338" s="4" t="s">
        <v>2882</v>
      </c>
      <c r="EVK1338" s="4" t="s">
        <v>2882</v>
      </c>
      <c r="EVL1338" s="4" t="s">
        <v>2882</v>
      </c>
      <c r="EVM1338" s="4" t="s">
        <v>2882</v>
      </c>
      <c r="EVN1338" s="4" t="s">
        <v>2882</v>
      </c>
      <c r="EVO1338" s="4" t="s">
        <v>2882</v>
      </c>
      <c r="EVP1338" s="4" t="s">
        <v>2882</v>
      </c>
      <c r="EVQ1338" s="4" t="s">
        <v>2882</v>
      </c>
      <c r="EVR1338" s="4" t="s">
        <v>2882</v>
      </c>
      <c r="EVS1338" s="4" t="s">
        <v>2882</v>
      </c>
      <c r="EVT1338" s="4" t="s">
        <v>2882</v>
      </c>
      <c r="EVU1338" s="4" t="s">
        <v>2882</v>
      </c>
      <c r="EVV1338" s="4" t="s">
        <v>2882</v>
      </c>
      <c r="EVW1338" s="4" t="s">
        <v>2882</v>
      </c>
      <c r="EVX1338" s="4" t="s">
        <v>2882</v>
      </c>
      <c r="EVY1338" s="4" t="s">
        <v>2882</v>
      </c>
      <c r="EVZ1338" s="4" t="s">
        <v>2882</v>
      </c>
      <c r="EWA1338" s="4" t="s">
        <v>2882</v>
      </c>
      <c r="EWB1338" s="4" t="s">
        <v>2882</v>
      </c>
      <c r="EWC1338" s="4" t="s">
        <v>2882</v>
      </c>
      <c r="EWD1338" s="4" t="s">
        <v>2882</v>
      </c>
      <c r="EWE1338" s="4" t="s">
        <v>2882</v>
      </c>
      <c r="EWF1338" s="4" t="s">
        <v>2882</v>
      </c>
      <c r="EWG1338" s="4" t="s">
        <v>2882</v>
      </c>
      <c r="EWH1338" s="4" t="s">
        <v>2882</v>
      </c>
      <c r="EWI1338" s="4" t="s">
        <v>2882</v>
      </c>
      <c r="EWJ1338" s="4" t="s">
        <v>2882</v>
      </c>
      <c r="EWK1338" s="4" t="s">
        <v>2882</v>
      </c>
      <c r="EWL1338" s="4" t="s">
        <v>2882</v>
      </c>
      <c r="EWM1338" s="4" t="s">
        <v>2882</v>
      </c>
      <c r="EWN1338" s="4" t="s">
        <v>2882</v>
      </c>
      <c r="EWO1338" s="4" t="s">
        <v>2882</v>
      </c>
      <c r="EWP1338" s="4" t="s">
        <v>2882</v>
      </c>
      <c r="EWQ1338" s="4" t="s">
        <v>2882</v>
      </c>
      <c r="EWR1338" s="4" t="s">
        <v>2882</v>
      </c>
      <c r="EWS1338" s="4" t="s">
        <v>2882</v>
      </c>
      <c r="EWT1338" s="4" t="s">
        <v>2882</v>
      </c>
      <c r="EWU1338" s="4" t="s">
        <v>2882</v>
      </c>
      <c r="EWV1338" s="4" t="s">
        <v>2882</v>
      </c>
      <c r="EWW1338" s="4" t="s">
        <v>2882</v>
      </c>
      <c r="EWX1338" s="4" t="s">
        <v>2882</v>
      </c>
      <c r="EWY1338" s="4" t="s">
        <v>2882</v>
      </c>
      <c r="EWZ1338" s="4" t="s">
        <v>2882</v>
      </c>
      <c r="EXA1338" s="4" t="s">
        <v>2882</v>
      </c>
      <c r="EXB1338" s="4" t="s">
        <v>2882</v>
      </c>
      <c r="EXC1338" s="4" t="s">
        <v>2882</v>
      </c>
      <c r="EXD1338" s="4" t="s">
        <v>2882</v>
      </c>
      <c r="EXE1338" s="4" t="s">
        <v>2882</v>
      </c>
      <c r="EXF1338" s="4" t="s">
        <v>2882</v>
      </c>
      <c r="EXG1338" s="4" t="s">
        <v>2882</v>
      </c>
      <c r="EXH1338" s="4" t="s">
        <v>2882</v>
      </c>
      <c r="EXI1338" s="4" t="s">
        <v>2882</v>
      </c>
      <c r="EXJ1338" s="4" t="s">
        <v>2882</v>
      </c>
      <c r="EXK1338" s="4" t="s">
        <v>2882</v>
      </c>
      <c r="EXL1338" s="4" t="s">
        <v>2882</v>
      </c>
      <c r="EXM1338" s="4" t="s">
        <v>2882</v>
      </c>
      <c r="EXN1338" s="4" t="s">
        <v>2882</v>
      </c>
      <c r="EXO1338" s="4" t="s">
        <v>2882</v>
      </c>
      <c r="EXP1338" s="4" t="s">
        <v>2882</v>
      </c>
      <c r="EXQ1338" s="4" t="s">
        <v>2882</v>
      </c>
      <c r="EXR1338" s="4" t="s">
        <v>2882</v>
      </c>
      <c r="EXS1338" s="4" t="s">
        <v>2882</v>
      </c>
      <c r="EXT1338" s="4" t="s">
        <v>2882</v>
      </c>
      <c r="EXU1338" s="4" t="s">
        <v>2882</v>
      </c>
      <c r="EXV1338" s="4" t="s">
        <v>2882</v>
      </c>
      <c r="EXW1338" s="4" t="s">
        <v>2882</v>
      </c>
      <c r="EXX1338" s="4" t="s">
        <v>2882</v>
      </c>
      <c r="EXY1338" s="4" t="s">
        <v>2882</v>
      </c>
      <c r="EXZ1338" s="4" t="s">
        <v>2882</v>
      </c>
      <c r="EYA1338" s="4" t="s">
        <v>2882</v>
      </c>
      <c r="EYB1338" s="4" t="s">
        <v>2882</v>
      </c>
      <c r="EYC1338" s="4" t="s">
        <v>2882</v>
      </c>
      <c r="EYD1338" s="4" t="s">
        <v>2882</v>
      </c>
      <c r="EYE1338" s="4" t="s">
        <v>2882</v>
      </c>
      <c r="EYF1338" s="4" t="s">
        <v>2882</v>
      </c>
      <c r="EYG1338" s="4" t="s">
        <v>2882</v>
      </c>
      <c r="EYH1338" s="4" t="s">
        <v>2882</v>
      </c>
      <c r="EYI1338" s="4" t="s">
        <v>2882</v>
      </c>
      <c r="EYJ1338" s="4" t="s">
        <v>2882</v>
      </c>
      <c r="EYK1338" s="4" t="s">
        <v>2882</v>
      </c>
      <c r="EYL1338" s="4" t="s">
        <v>2882</v>
      </c>
      <c r="EYM1338" s="4" t="s">
        <v>2882</v>
      </c>
      <c r="EYN1338" s="4" t="s">
        <v>2882</v>
      </c>
      <c r="EYO1338" s="4" t="s">
        <v>2882</v>
      </c>
      <c r="EYP1338" s="4" t="s">
        <v>2882</v>
      </c>
      <c r="EYQ1338" s="4" t="s">
        <v>2882</v>
      </c>
      <c r="EYR1338" s="4" t="s">
        <v>2882</v>
      </c>
      <c r="EYS1338" s="4" t="s">
        <v>2882</v>
      </c>
      <c r="EYT1338" s="4" t="s">
        <v>2882</v>
      </c>
      <c r="EYU1338" s="4" t="s">
        <v>2882</v>
      </c>
      <c r="EYV1338" s="4" t="s">
        <v>2882</v>
      </c>
      <c r="EYW1338" s="4" t="s">
        <v>2882</v>
      </c>
      <c r="EYX1338" s="4" t="s">
        <v>2882</v>
      </c>
      <c r="EYY1338" s="4" t="s">
        <v>2882</v>
      </c>
      <c r="EYZ1338" s="4" t="s">
        <v>2882</v>
      </c>
      <c r="EZA1338" s="4" t="s">
        <v>2882</v>
      </c>
      <c r="EZB1338" s="4" t="s">
        <v>2882</v>
      </c>
      <c r="EZC1338" s="4" t="s">
        <v>2882</v>
      </c>
      <c r="EZD1338" s="4" t="s">
        <v>2882</v>
      </c>
      <c r="EZE1338" s="4" t="s">
        <v>2882</v>
      </c>
      <c r="EZF1338" s="4" t="s">
        <v>2882</v>
      </c>
      <c r="EZG1338" s="4" t="s">
        <v>2882</v>
      </c>
      <c r="EZH1338" s="4" t="s">
        <v>2882</v>
      </c>
      <c r="EZI1338" s="4" t="s">
        <v>2882</v>
      </c>
      <c r="EZJ1338" s="4" t="s">
        <v>2882</v>
      </c>
      <c r="EZK1338" s="4" t="s">
        <v>2882</v>
      </c>
      <c r="EZL1338" s="4" t="s">
        <v>2882</v>
      </c>
      <c r="EZM1338" s="4" t="s">
        <v>2882</v>
      </c>
      <c r="EZN1338" s="4" t="s">
        <v>2882</v>
      </c>
      <c r="EZO1338" s="4" t="s">
        <v>2882</v>
      </c>
      <c r="EZP1338" s="4" t="s">
        <v>2882</v>
      </c>
      <c r="EZQ1338" s="4" t="s">
        <v>2882</v>
      </c>
      <c r="EZR1338" s="4" t="s">
        <v>2882</v>
      </c>
      <c r="EZS1338" s="4" t="s">
        <v>2882</v>
      </c>
      <c r="EZT1338" s="4" t="s">
        <v>2882</v>
      </c>
      <c r="EZU1338" s="4" t="s">
        <v>2882</v>
      </c>
      <c r="EZV1338" s="4" t="s">
        <v>2882</v>
      </c>
      <c r="EZW1338" s="4" t="s">
        <v>2882</v>
      </c>
      <c r="EZX1338" s="4" t="s">
        <v>2882</v>
      </c>
      <c r="EZY1338" s="4" t="s">
        <v>2882</v>
      </c>
      <c r="EZZ1338" s="4" t="s">
        <v>2882</v>
      </c>
      <c r="FAA1338" s="4" t="s">
        <v>2882</v>
      </c>
      <c r="FAB1338" s="4" t="s">
        <v>2882</v>
      </c>
      <c r="FAC1338" s="4" t="s">
        <v>2882</v>
      </c>
      <c r="FAD1338" s="4" t="s">
        <v>2882</v>
      </c>
      <c r="FAE1338" s="4" t="s">
        <v>2882</v>
      </c>
      <c r="FAF1338" s="4" t="s">
        <v>2882</v>
      </c>
      <c r="FAG1338" s="4" t="s">
        <v>2882</v>
      </c>
      <c r="FAH1338" s="4" t="s">
        <v>2882</v>
      </c>
      <c r="FAI1338" s="4" t="s">
        <v>2882</v>
      </c>
      <c r="FAJ1338" s="4" t="s">
        <v>2882</v>
      </c>
      <c r="FAK1338" s="4" t="s">
        <v>2882</v>
      </c>
      <c r="FAL1338" s="4" t="s">
        <v>2882</v>
      </c>
      <c r="FAM1338" s="4" t="s">
        <v>2882</v>
      </c>
      <c r="FAN1338" s="4" t="s">
        <v>2882</v>
      </c>
      <c r="FAO1338" s="4" t="s">
        <v>2882</v>
      </c>
      <c r="FAP1338" s="4" t="s">
        <v>2882</v>
      </c>
      <c r="FAQ1338" s="4" t="s">
        <v>2882</v>
      </c>
      <c r="FAR1338" s="4" t="s">
        <v>2882</v>
      </c>
      <c r="FAS1338" s="4" t="s">
        <v>2882</v>
      </c>
      <c r="FAT1338" s="4" t="s">
        <v>2882</v>
      </c>
      <c r="FAU1338" s="4" t="s">
        <v>2882</v>
      </c>
      <c r="FAV1338" s="4" t="s">
        <v>2882</v>
      </c>
      <c r="FAW1338" s="4" t="s">
        <v>2882</v>
      </c>
      <c r="FAX1338" s="4" t="s">
        <v>2882</v>
      </c>
      <c r="FAY1338" s="4" t="s">
        <v>2882</v>
      </c>
      <c r="FAZ1338" s="4" t="s">
        <v>2882</v>
      </c>
      <c r="FBA1338" s="4" t="s">
        <v>2882</v>
      </c>
      <c r="FBB1338" s="4" t="s">
        <v>2882</v>
      </c>
      <c r="FBC1338" s="4" t="s">
        <v>2882</v>
      </c>
      <c r="FBD1338" s="4" t="s">
        <v>2882</v>
      </c>
      <c r="FBE1338" s="4" t="s">
        <v>2882</v>
      </c>
      <c r="FBF1338" s="4" t="s">
        <v>2882</v>
      </c>
      <c r="FBG1338" s="4" t="s">
        <v>2882</v>
      </c>
      <c r="FBH1338" s="4" t="s">
        <v>2882</v>
      </c>
      <c r="FBI1338" s="4" t="s">
        <v>2882</v>
      </c>
      <c r="FBJ1338" s="4" t="s">
        <v>2882</v>
      </c>
      <c r="FBK1338" s="4" t="s">
        <v>2882</v>
      </c>
      <c r="FBL1338" s="4" t="s">
        <v>2882</v>
      </c>
      <c r="FBM1338" s="4" t="s">
        <v>2882</v>
      </c>
      <c r="FBN1338" s="4" t="s">
        <v>2882</v>
      </c>
      <c r="FBO1338" s="4" t="s">
        <v>2882</v>
      </c>
      <c r="FBP1338" s="4" t="s">
        <v>2882</v>
      </c>
      <c r="FBQ1338" s="4" t="s">
        <v>2882</v>
      </c>
      <c r="FBR1338" s="4" t="s">
        <v>2882</v>
      </c>
      <c r="FBS1338" s="4" t="s">
        <v>2882</v>
      </c>
      <c r="FBT1338" s="4" t="s">
        <v>2882</v>
      </c>
      <c r="FBU1338" s="4" t="s">
        <v>2882</v>
      </c>
      <c r="FBV1338" s="4" t="s">
        <v>2882</v>
      </c>
      <c r="FBW1338" s="4" t="s">
        <v>2882</v>
      </c>
      <c r="FBX1338" s="4" t="s">
        <v>2882</v>
      </c>
      <c r="FBY1338" s="4" t="s">
        <v>2882</v>
      </c>
      <c r="FBZ1338" s="4" t="s">
        <v>2882</v>
      </c>
      <c r="FCA1338" s="4" t="s">
        <v>2882</v>
      </c>
      <c r="FCB1338" s="4" t="s">
        <v>2882</v>
      </c>
      <c r="FCC1338" s="4" t="s">
        <v>2882</v>
      </c>
      <c r="FCD1338" s="4" t="s">
        <v>2882</v>
      </c>
      <c r="FCE1338" s="4" t="s">
        <v>2882</v>
      </c>
      <c r="FCF1338" s="4" t="s">
        <v>2882</v>
      </c>
      <c r="FCG1338" s="4" t="s">
        <v>2882</v>
      </c>
      <c r="FCH1338" s="4" t="s">
        <v>2882</v>
      </c>
      <c r="FCI1338" s="4" t="s">
        <v>2882</v>
      </c>
      <c r="FCJ1338" s="4" t="s">
        <v>2882</v>
      </c>
      <c r="FCK1338" s="4" t="s">
        <v>2882</v>
      </c>
      <c r="FCL1338" s="4" t="s">
        <v>2882</v>
      </c>
      <c r="FCM1338" s="4" t="s">
        <v>2882</v>
      </c>
      <c r="FCN1338" s="4" t="s">
        <v>2882</v>
      </c>
      <c r="FCO1338" s="4" t="s">
        <v>2882</v>
      </c>
      <c r="FCP1338" s="4" t="s">
        <v>2882</v>
      </c>
      <c r="FCQ1338" s="4" t="s">
        <v>2882</v>
      </c>
      <c r="FCR1338" s="4" t="s">
        <v>2882</v>
      </c>
      <c r="FCS1338" s="4" t="s">
        <v>2882</v>
      </c>
      <c r="FCT1338" s="4" t="s">
        <v>2882</v>
      </c>
      <c r="FCU1338" s="4" t="s">
        <v>2882</v>
      </c>
      <c r="FCV1338" s="4" t="s">
        <v>2882</v>
      </c>
      <c r="FCW1338" s="4" t="s">
        <v>2882</v>
      </c>
      <c r="FCX1338" s="4" t="s">
        <v>2882</v>
      </c>
      <c r="FCY1338" s="4" t="s">
        <v>2882</v>
      </c>
      <c r="FCZ1338" s="4" t="s">
        <v>2882</v>
      </c>
      <c r="FDA1338" s="4" t="s">
        <v>2882</v>
      </c>
      <c r="FDB1338" s="4" t="s">
        <v>2882</v>
      </c>
      <c r="FDC1338" s="4" t="s">
        <v>2882</v>
      </c>
      <c r="FDD1338" s="4" t="s">
        <v>2882</v>
      </c>
      <c r="FDE1338" s="4" t="s">
        <v>2882</v>
      </c>
      <c r="FDF1338" s="4" t="s">
        <v>2882</v>
      </c>
      <c r="FDG1338" s="4" t="s">
        <v>2882</v>
      </c>
      <c r="FDH1338" s="4" t="s">
        <v>2882</v>
      </c>
      <c r="FDI1338" s="4" t="s">
        <v>2882</v>
      </c>
      <c r="FDJ1338" s="4" t="s">
        <v>2882</v>
      </c>
      <c r="FDK1338" s="4" t="s">
        <v>2882</v>
      </c>
      <c r="FDL1338" s="4" t="s">
        <v>2882</v>
      </c>
      <c r="FDM1338" s="4" t="s">
        <v>2882</v>
      </c>
      <c r="FDN1338" s="4" t="s">
        <v>2882</v>
      </c>
      <c r="FDO1338" s="4" t="s">
        <v>2882</v>
      </c>
      <c r="FDP1338" s="4" t="s">
        <v>2882</v>
      </c>
      <c r="FDQ1338" s="4" t="s">
        <v>2882</v>
      </c>
      <c r="FDR1338" s="4" t="s">
        <v>2882</v>
      </c>
      <c r="FDS1338" s="4" t="s">
        <v>2882</v>
      </c>
      <c r="FDT1338" s="4" t="s">
        <v>2882</v>
      </c>
      <c r="FDU1338" s="4" t="s">
        <v>2882</v>
      </c>
      <c r="FDV1338" s="4" t="s">
        <v>2882</v>
      </c>
      <c r="FDW1338" s="4" t="s">
        <v>2882</v>
      </c>
      <c r="FDX1338" s="4" t="s">
        <v>2882</v>
      </c>
      <c r="FDY1338" s="4" t="s">
        <v>2882</v>
      </c>
      <c r="FDZ1338" s="4" t="s">
        <v>2882</v>
      </c>
      <c r="FEA1338" s="4" t="s">
        <v>2882</v>
      </c>
      <c r="FEB1338" s="4" t="s">
        <v>2882</v>
      </c>
      <c r="FEC1338" s="4" t="s">
        <v>2882</v>
      </c>
      <c r="FED1338" s="4" t="s">
        <v>2882</v>
      </c>
      <c r="FEE1338" s="4" t="s">
        <v>2882</v>
      </c>
      <c r="FEF1338" s="4" t="s">
        <v>2882</v>
      </c>
      <c r="FEG1338" s="4" t="s">
        <v>2882</v>
      </c>
      <c r="FEH1338" s="4" t="s">
        <v>2882</v>
      </c>
      <c r="FEI1338" s="4" t="s">
        <v>2882</v>
      </c>
      <c r="FEJ1338" s="4" t="s">
        <v>2882</v>
      </c>
      <c r="FEK1338" s="4" t="s">
        <v>2882</v>
      </c>
      <c r="FEL1338" s="4" t="s">
        <v>2882</v>
      </c>
      <c r="FEM1338" s="4" t="s">
        <v>2882</v>
      </c>
      <c r="FEN1338" s="4" t="s">
        <v>2882</v>
      </c>
      <c r="FEO1338" s="4" t="s">
        <v>2882</v>
      </c>
      <c r="FEP1338" s="4" t="s">
        <v>2882</v>
      </c>
      <c r="FEQ1338" s="4" t="s">
        <v>2882</v>
      </c>
      <c r="FER1338" s="4" t="s">
        <v>2882</v>
      </c>
      <c r="FES1338" s="4" t="s">
        <v>2882</v>
      </c>
      <c r="FET1338" s="4" t="s">
        <v>2882</v>
      </c>
      <c r="FEU1338" s="4" t="s">
        <v>2882</v>
      </c>
      <c r="FEV1338" s="4" t="s">
        <v>2882</v>
      </c>
      <c r="FEW1338" s="4" t="s">
        <v>2882</v>
      </c>
      <c r="FEX1338" s="4" t="s">
        <v>2882</v>
      </c>
      <c r="FEY1338" s="4" t="s">
        <v>2882</v>
      </c>
      <c r="FEZ1338" s="4" t="s">
        <v>2882</v>
      </c>
      <c r="FFA1338" s="4" t="s">
        <v>2882</v>
      </c>
      <c r="FFB1338" s="4" t="s">
        <v>2882</v>
      </c>
      <c r="FFC1338" s="4" t="s">
        <v>2882</v>
      </c>
      <c r="FFD1338" s="4" t="s">
        <v>2882</v>
      </c>
      <c r="FFE1338" s="4" t="s">
        <v>2882</v>
      </c>
      <c r="FFF1338" s="4" t="s">
        <v>2882</v>
      </c>
      <c r="FFG1338" s="4" t="s">
        <v>2882</v>
      </c>
      <c r="FFH1338" s="4" t="s">
        <v>2882</v>
      </c>
      <c r="FFI1338" s="4" t="s">
        <v>2882</v>
      </c>
      <c r="FFJ1338" s="4" t="s">
        <v>2882</v>
      </c>
      <c r="FFK1338" s="4" t="s">
        <v>2882</v>
      </c>
      <c r="FFL1338" s="4" t="s">
        <v>2882</v>
      </c>
      <c r="FFM1338" s="4" t="s">
        <v>2882</v>
      </c>
      <c r="FFN1338" s="4" t="s">
        <v>2882</v>
      </c>
      <c r="FFO1338" s="4" t="s">
        <v>2882</v>
      </c>
      <c r="FFP1338" s="4" t="s">
        <v>2882</v>
      </c>
      <c r="FFQ1338" s="4" t="s">
        <v>2882</v>
      </c>
      <c r="FFR1338" s="4" t="s">
        <v>2882</v>
      </c>
      <c r="FFS1338" s="4" t="s">
        <v>2882</v>
      </c>
      <c r="FFT1338" s="4" t="s">
        <v>2882</v>
      </c>
      <c r="FFU1338" s="4" t="s">
        <v>2882</v>
      </c>
      <c r="FFV1338" s="4" t="s">
        <v>2882</v>
      </c>
      <c r="FFW1338" s="4" t="s">
        <v>2882</v>
      </c>
      <c r="FFX1338" s="4" t="s">
        <v>2882</v>
      </c>
      <c r="FFY1338" s="4" t="s">
        <v>2882</v>
      </c>
      <c r="FFZ1338" s="4" t="s">
        <v>2882</v>
      </c>
      <c r="FGA1338" s="4" t="s">
        <v>2882</v>
      </c>
      <c r="FGB1338" s="4" t="s">
        <v>2882</v>
      </c>
      <c r="FGC1338" s="4" t="s">
        <v>2882</v>
      </c>
      <c r="FGD1338" s="4" t="s">
        <v>2882</v>
      </c>
      <c r="FGE1338" s="4" t="s">
        <v>2882</v>
      </c>
      <c r="FGF1338" s="4" t="s">
        <v>2882</v>
      </c>
      <c r="FGG1338" s="4" t="s">
        <v>2882</v>
      </c>
      <c r="FGH1338" s="4" t="s">
        <v>2882</v>
      </c>
      <c r="FGI1338" s="4" t="s">
        <v>2882</v>
      </c>
      <c r="FGJ1338" s="4" t="s">
        <v>2882</v>
      </c>
      <c r="FGK1338" s="4" t="s">
        <v>2882</v>
      </c>
      <c r="FGL1338" s="4" t="s">
        <v>2882</v>
      </c>
      <c r="FGM1338" s="4" t="s">
        <v>2882</v>
      </c>
      <c r="FGN1338" s="4" t="s">
        <v>2882</v>
      </c>
      <c r="FGO1338" s="4" t="s">
        <v>2882</v>
      </c>
      <c r="FGP1338" s="4" t="s">
        <v>2882</v>
      </c>
      <c r="FGQ1338" s="4" t="s">
        <v>2882</v>
      </c>
      <c r="FGR1338" s="4" t="s">
        <v>2882</v>
      </c>
      <c r="FGS1338" s="4" t="s">
        <v>2882</v>
      </c>
      <c r="FGT1338" s="4" t="s">
        <v>2882</v>
      </c>
      <c r="FGU1338" s="4" t="s">
        <v>2882</v>
      </c>
      <c r="FGV1338" s="4" t="s">
        <v>2882</v>
      </c>
      <c r="FGW1338" s="4" t="s">
        <v>2882</v>
      </c>
      <c r="FGX1338" s="4" t="s">
        <v>2882</v>
      </c>
      <c r="FGY1338" s="4" t="s">
        <v>2882</v>
      </c>
      <c r="FGZ1338" s="4" t="s">
        <v>2882</v>
      </c>
      <c r="FHA1338" s="4" t="s">
        <v>2882</v>
      </c>
      <c r="FHB1338" s="4" t="s">
        <v>2882</v>
      </c>
      <c r="FHC1338" s="4" t="s">
        <v>2882</v>
      </c>
      <c r="FHD1338" s="4" t="s">
        <v>2882</v>
      </c>
      <c r="FHE1338" s="4" t="s">
        <v>2882</v>
      </c>
      <c r="FHF1338" s="4" t="s">
        <v>2882</v>
      </c>
      <c r="FHG1338" s="4" t="s">
        <v>2882</v>
      </c>
      <c r="FHH1338" s="4" t="s">
        <v>2882</v>
      </c>
      <c r="FHI1338" s="4" t="s">
        <v>2882</v>
      </c>
      <c r="FHJ1338" s="4" t="s">
        <v>2882</v>
      </c>
      <c r="FHK1338" s="4" t="s">
        <v>2882</v>
      </c>
      <c r="FHL1338" s="4" t="s">
        <v>2882</v>
      </c>
      <c r="FHM1338" s="4" t="s">
        <v>2882</v>
      </c>
      <c r="FHN1338" s="4" t="s">
        <v>2882</v>
      </c>
      <c r="FHO1338" s="4" t="s">
        <v>2882</v>
      </c>
      <c r="FHP1338" s="4" t="s">
        <v>2882</v>
      </c>
      <c r="FHQ1338" s="4" t="s">
        <v>2882</v>
      </c>
      <c r="FHR1338" s="4" t="s">
        <v>2882</v>
      </c>
      <c r="FHS1338" s="4" t="s">
        <v>2882</v>
      </c>
      <c r="FHT1338" s="4" t="s">
        <v>2882</v>
      </c>
      <c r="FHU1338" s="4" t="s">
        <v>2882</v>
      </c>
      <c r="FHV1338" s="4" t="s">
        <v>2882</v>
      </c>
      <c r="FHW1338" s="4" t="s">
        <v>2882</v>
      </c>
      <c r="FHX1338" s="4" t="s">
        <v>2882</v>
      </c>
      <c r="FHY1338" s="4" t="s">
        <v>2882</v>
      </c>
      <c r="FHZ1338" s="4" t="s">
        <v>2882</v>
      </c>
      <c r="FIA1338" s="4" t="s">
        <v>2882</v>
      </c>
      <c r="FIB1338" s="4" t="s">
        <v>2882</v>
      </c>
      <c r="FIC1338" s="4" t="s">
        <v>2882</v>
      </c>
      <c r="FID1338" s="4" t="s">
        <v>2882</v>
      </c>
      <c r="FIE1338" s="4" t="s">
        <v>2882</v>
      </c>
      <c r="FIF1338" s="4" t="s">
        <v>2882</v>
      </c>
      <c r="FIG1338" s="4" t="s">
        <v>2882</v>
      </c>
      <c r="FIH1338" s="4" t="s">
        <v>2882</v>
      </c>
      <c r="FII1338" s="4" t="s">
        <v>2882</v>
      </c>
      <c r="FIJ1338" s="4" t="s">
        <v>2882</v>
      </c>
      <c r="FIK1338" s="4" t="s">
        <v>2882</v>
      </c>
      <c r="FIL1338" s="4" t="s">
        <v>2882</v>
      </c>
      <c r="FIM1338" s="4" t="s">
        <v>2882</v>
      </c>
      <c r="FIN1338" s="4" t="s">
        <v>2882</v>
      </c>
      <c r="FIO1338" s="4" t="s">
        <v>2882</v>
      </c>
      <c r="FIP1338" s="4" t="s">
        <v>2882</v>
      </c>
      <c r="FIQ1338" s="4" t="s">
        <v>2882</v>
      </c>
      <c r="FIR1338" s="4" t="s">
        <v>2882</v>
      </c>
      <c r="FIS1338" s="4" t="s">
        <v>2882</v>
      </c>
      <c r="FIT1338" s="4" t="s">
        <v>2882</v>
      </c>
      <c r="FIU1338" s="4" t="s">
        <v>2882</v>
      </c>
      <c r="FIV1338" s="4" t="s">
        <v>2882</v>
      </c>
      <c r="FIW1338" s="4" t="s">
        <v>2882</v>
      </c>
      <c r="FIX1338" s="4" t="s">
        <v>2882</v>
      </c>
      <c r="FIY1338" s="4" t="s">
        <v>2882</v>
      </c>
      <c r="FIZ1338" s="4" t="s">
        <v>2882</v>
      </c>
      <c r="FJA1338" s="4" t="s">
        <v>2882</v>
      </c>
      <c r="FJB1338" s="4" t="s">
        <v>2882</v>
      </c>
      <c r="FJC1338" s="4" t="s">
        <v>2882</v>
      </c>
      <c r="FJD1338" s="4" t="s">
        <v>2882</v>
      </c>
      <c r="FJE1338" s="4" t="s">
        <v>2882</v>
      </c>
      <c r="FJF1338" s="4" t="s">
        <v>2882</v>
      </c>
      <c r="FJG1338" s="4" t="s">
        <v>2882</v>
      </c>
      <c r="FJH1338" s="4" t="s">
        <v>2882</v>
      </c>
      <c r="FJI1338" s="4" t="s">
        <v>2882</v>
      </c>
      <c r="FJJ1338" s="4" t="s">
        <v>2882</v>
      </c>
      <c r="FJK1338" s="4" t="s">
        <v>2882</v>
      </c>
      <c r="FJL1338" s="4" t="s">
        <v>2882</v>
      </c>
      <c r="FJM1338" s="4" t="s">
        <v>2882</v>
      </c>
      <c r="FJN1338" s="4" t="s">
        <v>2882</v>
      </c>
      <c r="FJO1338" s="4" t="s">
        <v>2882</v>
      </c>
      <c r="FJP1338" s="4" t="s">
        <v>2882</v>
      </c>
      <c r="FJQ1338" s="4" t="s">
        <v>2882</v>
      </c>
      <c r="FJR1338" s="4" t="s">
        <v>2882</v>
      </c>
      <c r="FJS1338" s="4" t="s">
        <v>2882</v>
      </c>
      <c r="FJT1338" s="4" t="s">
        <v>2882</v>
      </c>
      <c r="FJU1338" s="4" t="s">
        <v>2882</v>
      </c>
      <c r="FJV1338" s="4" t="s">
        <v>2882</v>
      </c>
      <c r="FJW1338" s="4" t="s">
        <v>2882</v>
      </c>
      <c r="FJX1338" s="4" t="s">
        <v>2882</v>
      </c>
      <c r="FJY1338" s="4" t="s">
        <v>2882</v>
      </c>
      <c r="FJZ1338" s="4" t="s">
        <v>2882</v>
      </c>
      <c r="FKA1338" s="4" t="s">
        <v>2882</v>
      </c>
      <c r="FKB1338" s="4" t="s">
        <v>2882</v>
      </c>
      <c r="FKC1338" s="4" t="s">
        <v>2882</v>
      </c>
      <c r="FKD1338" s="4" t="s">
        <v>2882</v>
      </c>
      <c r="FKE1338" s="4" t="s">
        <v>2882</v>
      </c>
      <c r="FKF1338" s="4" t="s">
        <v>2882</v>
      </c>
      <c r="FKG1338" s="4" t="s">
        <v>2882</v>
      </c>
      <c r="FKH1338" s="4" t="s">
        <v>2882</v>
      </c>
      <c r="FKI1338" s="4" t="s">
        <v>2882</v>
      </c>
      <c r="FKJ1338" s="4" t="s">
        <v>2882</v>
      </c>
      <c r="FKK1338" s="4" t="s">
        <v>2882</v>
      </c>
      <c r="FKL1338" s="4" t="s">
        <v>2882</v>
      </c>
      <c r="FKM1338" s="4" t="s">
        <v>2882</v>
      </c>
      <c r="FKN1338" s="4" t="s">
        <v>2882</v>
      </c>
      <c r="FKO1338" s="4" t="s">
        <v>2882</v>
      </c>
      <c r="FKP1338" s="4" t="s">
        <v>2882</v>
      </c>
      <c r="FKQ1338" s="4" t="s">
        <v>2882</v>
      </c>
      <c r="FKR1338" s="4" t="s">
        <v>2882</v>
      </c>
      <c r="FKS1338" s="4" t="s">
        <v>2882</v>
      </c>
      <c r="FKT1338" s="4" t="s">
        <v>2882</v>
      </c>
      <c r="FKU1338" s="4" t="s">
        <v>2882</v>
      </c>
      <c r="FKV1338" s="4" t="s">
        <v>2882</v>
      </c>
      <c r="FKW1338" s="4" t="s">
        <v>2882</v>
      </c>
      <c r="FKX1338" s="4" t="s">
        <v>2882</v>
      </c>
      <c r="FKY1338" s="4" t="s">
        <v>2882</v>
      </c>
      <c r="FKZ1338" s="4" t="s">
        <v>2882</v>
      </c>
      <c r="FLA1338" s="4" t="s">
        <v>2882</v>
      </c>
      <c r="FLB1338" s="4" t="s">
        <v>2882</v>
      </c>
      <c r="FLC1338" s="4" t="s">
        <v>2882</v>
      </c>
      <c r="FLD1338" s="4" t="s">
        <v>2882</v>
      </c>
      <c r="FLE1338" s="4" t="s">
        <v>2882</v>
      </c>
      <c r="FLF1338" s="4" t="s">
        <v>2882</v>
      </c>
      <c r="FLG1338" s="4" t="s">
        <v>2882</v>
      </c>
      <c r="FLH1338" s="4" t="s">
        <v>2882</v>
      </c>
      <c r="FLI1338" s="4" t="s">
        <v>2882</v>
      </c>
      <c r="FLJ1338" s="4" t="s">
        <v>2882</v>
      </c>
      <c r="FLK1338" s="4" t="s">
        <v>2882</v>
      </c>
      <c r="FLL1338" s="4" t="s">
        <v>2882</v>
      </c>
      <c r="FLM1338" s="4" t="s">
        <v>2882</v>
      </c>
      <c r="FLN1338" s="4" t="s">
        <v>2882</v>
      </c>
      <c r="FLO1338" s="4" t="s">
        <v>2882</v>
      </c>
      <c r="FLP1338" s="4" t="s">
        <v>2882</v>
      </c>
      <c r="FLQ1338" s="4" t="s">
        <v>2882</v>
      </c>
      <c r="FLR1338" s="4" t="s">
        <v>2882</v>
      </c>
      <c r="FLS1338" s="4" t="s">
        <v>2882</v>
      </c>
      <c r="FLT1338" s="4" t="s">
        <v>2882</v>
      </c>
      <c r="FLU1338" s="4" t="s">
        <v>2882</v>
      </c>
      <c r="FLV1338" s="4" t="s">
        <v>2882</v>
      </c>
      <c r="FLW1338" s="4" t="s">
        <v>2882</v>
      </c>
      <c r="FLX1338" s="4" t="s">
        <v>2882</v>
      </c>
      <c r="FLY1338" s="4" t="s">
        <v>2882</v>
      </c>
      <c r="FLZ1338" s="4" t="s">
        <v>2882</v>
      </c>
      <c r="FMA1338" s="4" t="s">
        <v>2882</v>
      </c>
      <c r="FMB1338" s="4" t="s">
        <v>2882</v>
      </c>
      <c r="FMC1338" s="4" t="s">
        <v>2882</v>
      </c>
      <c r="FMD1338" s="4" t="s">
        <v>2882</v>
      </c>
      <c r="FME1338" s="4" t="s">
        <v>2882</v>
      </c>
      <c r="FMF1338" s="4" t="s">
        <v>2882</v>
      </c>
      <c r="FMG1338" s="4" t="s">
        <v>2882</v>
      </c>
      <c r="FMH1338" s="4" t="s">
        <v>2882</v>
      </c>
      <c r="FMI1338" s="4" t="s">
        <v>2882</v>
      </c>
      <c r="FMJ1338" s="4" t="s">
        <v>2882</v>
      </c>
      <c r="FMK1338" s="4" t="s">
        <v>2882</v>
      </c>
      <c r="FML1338" s="4" t="s">
        <v>2882</v>
      </c>
      <c r="FMM1338" s="4" t="s">
        <v>2882</v>
      </c>
      <c r="FMN1338" s="4" t="s">
        <v>2882</v>
      </c>
      <c r="FMO1338" s="4" t="s">
        <v>2882</v>
      </c>
      <c r="FMP1338" s="4" t="s">
        <v>2882</v>
      </c>
      <c r="FMQ1338" s="4" t="s">
        <v>2882</v>
      </c>
      <c r="FMR1338" s="4" t="s">
        <v>2882</v>
      </c>
      <c r="FMS1338" s="4" t="s">
        <v>2882</v>
      </c>
      <c r="FMT1338" s="4" t="s">
        <v>2882</v>
      </c>
      <c r="FMU1338" s="4" t="s">
        <v>2882</v>
      </c>
      <c r="FMV1338" s="4" t="s">
        <v>2882</v>
      </c>
      <c r="FMW1338" s="4" t="s">
        <v>2882</v>
      </c>
      <c r="FMX1338" s="4" t="s">
        <v>2882</v>
      </c>
      <c r="FMY1338" s="4" t="s">
        <v>2882</v>
      </c>
      <c r="FMZ1338" s="4" t="s">
        <v>2882</v>
      </c>
      <c r="FNA1338" s="4" t="s">
        <v>2882</v>
      </c>
      <c r="FNB1338" s="4" t="s">
        <v>2882</v>
      </c>
      <c r="FNC1338" s="4" t="s">
        <v>2882</v>
      </c>
      <c r="FND1338" s="4" t="s">
        <v>2882</v>
      </c>
      <c r="FNE1338" s="4" t="s">
        <v>2882</v>
      </c>
      <c r="FNF1338" s="4" t="s">
        <v>2882</v>
      </c>
      <c r="FNG1338" s="4" t="s">
        <v>2882</v>
      </c>
      <c r="FNH1338" s="4" t="s">
        <v>2882</v>
      </c>
      <c r="FNI1338" s="4" t="s">
        <v>2882</v>
      </c>
      <c r="FNJ1338" s="4" t="s">
        <v>2882</v>
      </c>
      <c r="FNK1338" s="4" t="s">
        <v>2882</v>
      </c>
      <c r="FNL1338" s="4" t="s">
        <v>2882</v>
      </c>
      <c r="FNM1338" s="4" t="s">
        <v>2882</v>
      </c>
      <c r="FNN1338" s="4" t="s">
        <v>2882</v>
      </c>
      <c r="FNO1338" s="4" t="s">
        <v>2882</v>
      </c>
      <c r="FNP1338" s="4" t="s">
        <v>2882</v>
      </c>
      <c r="FNQ1338" s="4" t="s">
        <v>2882</v>
      </c>
      <c r="FNR1338" s="4" t="s">
        <v>2882</v>
      </c>
      <c r="FNS1338" s="4" t="s">
        <v>2882</v>
      </c>
      <c r="FNT1338" s="4" t="s">
        <v>2882</v>
      </c>
      <c r="FNU1338" s="4" t="s">
        <v>2882</v>
      </c>
      <c r="FNV1338" s="4" t="s">
        <v>2882</v>
      </c>
      <c r="FNW1338" s="4" t="s">
        <v>2882</v>
      </c>
      <c r="FNX1338" s="4" t="s">
        <v>2882</v>
      </c>
      <c r="FNY1338" s="4" t="s">
        <v>2882</v>
      </c>
      <c r="FNZ1338" s="4" t="s">
        <v>2882</v>
      </c>
      <c r="FOA1338" s="4" t="s">
        <v>2882</v>
      </c>
      <c r="FOB1338" s="4" t="s">
        <v>2882</v>
      </c>
      <c r="FOC1338" s="4" t="s">
        <v>2882</v>
      </c>
      <c r="FOD1338" s="4" t="s">
        <v>2882</v>
      </c>
      <c r="FOE1338" s="4" t="s">
        <v>2882</v>
      </c>
      <c r="FOF1338" s="4" t="s">
        <v>2882</v>
      </c>
      <c r="FOG1338" s="4" t="s">
        <v>2882</v>
      </c>
      <c r="FOH1338" s="4" t="s">
        <v>2882</v>
      </c>
      <c r="FOI1338" s="4" t="s">
        <v>2882</v>
      </c>
      <c r="FOJ1338" s="4" t="s">
        <v>2882</v>
      </c>
      <c r="FOK1338" s="4" t="s">
        <v>2882</v>
      </c>
      <c r="FOL1338" s="4" t="s">
        <v>2882</v>
      </c>
      <c r="FOM1338" s="4" t="s">
        <v>2882</v>
      </c>
      <c r="FON1338" s="4" t="s">
        <v>2882</v>
      </c>
      <c r="FOO1338" s="4" t="s">
        <v>2882</v>
      </c>
      <c r="FOP1338" s="4" t="s">
        <v>2882</v>
      </c>
      <c r="FOQ1338" s="4" t="s">
        <v>2882</v>
      </c>
      <c r="FOR1338" s="4" t="s">
        <v>2882</v>
      </c>
      <c r="FOS1338" s="4" t="s">
        <v>2882</v>
      </c>
      <c r="FOT1338" s="4" t="s">
        <v>2882</v>
      </c>
      <c r="FOU1338" s="4" t="s">
        <v>2882</v>
      </c>
      <c r="FOV1338" s="4" t="s">
        <v>2882</v>
      </c>
      <c r="FOW1338" s="4" t="s">
        <v>2882</v>
      </c>
      <c r="FOX1338" s="4" t="s">
        <v>2882</v>
      </c>
      <c r="FOY1338" s="4" t="s">
        <v>2882</v>
      </c>
      <c r="FOZ1338" s="4" t="s">
        <v>2882</v>
      </c>
      <c r="FPA1338" s="4" t="s">
        <v>2882</v>
      </c>
      <c r="FPB1338" s="4" t="s">
        <v>2882</v>
      </c>
      <c r="FPC1338" s="4" t="s">
        <v>2882</v>
      </c>
      <c r="FPD1338" s="4" t="s">
        <v>2882</v>
      </c>
      <c r="FPE1338" s="4" t="s">
        <v>2882</v>
      </c>
      <c r="FPF1338" s="4" t="s">
        <v>2882</v>
      </c>
      <c r="FPG1338" s="4" t="s">
        <v>2882</v>
      </c>
      <c r="FPH1338" s="4" t="s">
        <v>2882</v>
      </c>
      <c r="FPI1338" s="4" t="s">
        <v>2882</v>
      </c>
      <c r="FPJ1338" s="4" t="s">
        <v>2882</v>
      </c>
      <c r="FPK1338" s="4" t="s">
        <v>2882</v>
      </c>
      <c r="FPL1338" s="4" t="s">
        <v>2882</v>
      </c>
      <c r="FPM1338" s="4" t="s">
        <v>2882</v>
      </c>
      <c r="FPN1338" s="4" t="s">
        <v>2882</v>
      </c>
      <c r="FPO1338" s="4" t="s">
        <v>2882</v>
      </c>
      <c r="FPP1338" s="4" t="s">
        <v>2882</v>
      </c>
      <c r="FPQ1338" s="4" t="s">
        <v>2882</v>
      </c>
      <c r="FPR1338" s="4" t="s">
        <v>2882</v>
      </c>
      <c r="FPS1338" s="4" t="s">
        <v>2882</v>
      </c>
      <c r="FPT1338" s="4" t="s">
        <v>2882</v>
      </c>
      <c r="FPU1338" s="4" t="s">
        <v>2882</v>
      </c>
      <c r="FPV1338" s="4" t="s">
        <v>2882</v>
      </c>
      <c r="FPW1338" s="4" t="s">
        <v>2882</v>
      </c>
      <c r="FPX1338" s="4" t="s">
        <v>2882</v>
      </c>
      <c r="FPY1338" s="4" t="s">
        <v>2882</v>
      </c>
      <c r="FPZ1338" s="4" t="s">
        <v>2882</v>
      </c>
      <c r="FQA1338" s="4" t="s">
        <v>2882</v>
      </c>
      <c r="FQB1338" s="4" t="s">
        <v>2882</v>
      </c>
      <c r="FQC1338" s="4" t="s">
        <v>2882</v>
      </c>
      <c r="FQD1338" s="4" t="s">
        <v>2882</v>
      </c>
      <c r="FQE1338" s="4" t="s">
        <v>2882</v>
      </c>
      <c r="FQF1338" s="4" t="s">
        <v>2882</v>
      </c>
      <c r="FQG1338" s="4" t="s">
        <v>2882</v>
      </c>
      <c r="FQH1338" s="4" t="s">
        <v>2882</v>
      </c>
      <c r="FQI1338" s="4" t="s">
        <v>2882</v>
      </c>
      <c r="FQJ1338" s="4" t="s">
        <v>2882</v>
      </c>
      <c r="FQK1338" s="4" t="s">
        <v>2882</v>
      </c>
      <c r="FQL1338" s="4" t="s">
        <v>2882</v>
      </c>
      <c r="FQM1338" s="4" t="s">
        <v>2882</v>
      </c>
      <c r="FQN1338" s="4" t="s">
        <v>2882</v>
      </c>
      <c r="FQO1338" s="4" t="s">
        <v>2882</v>
      </c>
      <c r="FQP1338" s="4" t="s">
        <v>2882</v>
      </c>
      <c r="FQQ1338" s="4" t="s">
        <v>2882</v>
      </c>
      <c r="FQR1338" s="4" t="s">
        <v>2882</v>
      </c>
      <c r="FQS1338" s="4" t="s">
        <v>2882</v>
      </c>
      <c r="FQT1338" s="4" t="s">
        <v>2882</v>
      </c>
      <c r="FQU1338" s="4" t="s">
        <v>2882</v>
      </c>
      <c r="FQV1338" s="4" t="s">
        <v>2882</v>
      </c>
      <c r="FQW1338" s="4" t="s">
        <v>2882</v>
      </c>
      <c r="FQX1338" s="4" t="s">
        <v>2882</v>
      </c>
      <c r="FQY1338" s="4" t="s">
        <v>2882</v>
      </c>
      <c r="FQZ1338" s="4" t="s">
        <v>2882</v>
      </c>
      <c r="FRA1338" s="4" t="s">
        <v>2882</v>
      </c>
      <c r="FRB1338" s="4" t="s">
        <v>2882</v>
      </c>
      <c r="FRC1338" s="4" t="s">
        <v>2882</v>
      </c>
      <c r="FRD1338" s="4" t="s">
        <v>2882</v>
      </c>
      <c r="FRE1338" s="4" t="s">
        <v>2882</v>
      </c>
      <c r="FRF1338" s="4" t="s">
        <v>2882</v>
      </c>
      <c r="FRG1338" s="4" t="s">
        <v>2882</v>
      </c>
      <c r="FRH1338" s="4" t="s">
        <v>2882</v>
      </c>
      <c r="FRI1338" s="4" t="s">
        <v>2882</v>
      </c>
      <c r="FRJ1338" s="4" t="s">
        <v>2882</v>
      </c>
      <c r="FRK1338" s="4" t="s">
        <v>2882</v>
      </c>
      <c r="FRL1338" s="4" t="s">
        <v>2882</v>
      </c>
      <c r="FRM1338" s="4" t="s">
        <v>2882</v>
      </c>
      <c r="FRN1338" s="4" t="s">
        <v>2882</v>
      </c>
      <c r="FRO1338" s="4" t="s">
        <v>2882</v>
      </c>
      <c r="FRP1338" s="4" t="s">
        <v>2882</v>
      </c>
      <c r="FRQ1338" s="4" t="s">
        <v>2882</v>
      </c>
      <c r="FRR1338" s="4" t="s">
        <v>2882</v>
      </c>
      <c r="FRS1338" s="4" t="s">
        <v>2882</v>
      </c>
      <c r="FRT1338" s="4" t="s">
        <v>2882</v>
      </c>
      <c r="FRU1338" s="4" t="s">
        <v>2882</v>
      </c>
      <c r="FRV1338" s="4" t="s">
        <v>2882</v>
      </c>
      <c r="FRW1338" s="4" t="s">
        <v>2882</v>
      </c>
      <c r="FRX1338" s="4" t="s">
        <v>2882</v>
      </c>
      <c r="FRY1338" s="4" t="s">
        <v>2882</v>
      </c>
      <c r="FRZ1338" s="4" t="s">
        <v>2882</v>
      </c>
      <c r="FSA1338" s="4" t="s">
        <v>2882</v>
      </c>
      <c r="FSB1338" s="4" t="s">
        <v>2882</v>
      </c>
      <c r="FSC1338" s="4" t="s">
        <v>2882</v>
      </c>
      <c r="FSD1338" s="4" t="s">
        <v>2882</v>
      </c>
      <c r="FSE1338" s="4" t="s">
        <v>2882</v>
      </c>
      <c r="FSF1338" s="4" t="s">
        <v>2882</v>
      </c>
      <c r="FSG1338" s="4" t="s">
        <v>2882</v>
      </c>
      <c r="FSH1338" s="4" t="s">
        <v>2882</v>
      </c>
      <c r="FSI1338" s="4" t="s">
        <v>2882</v>
      </c>
      <c r="FSJ1338" s="4" t="s">
        <v>2882</v>
      </c>
      <c r="FSK1338" s="4" t="s">
        <v>2882</v>
      </c>
      <c r="FSL1338" s="4" t="s">
        <v>2882</v>
      </c>
      <c r="FSM1338" s="4" t="s">
        <v>2882</v>
      </c>
      <c r="FSN1338" s="4" t="s">
        <v>2882</v>
      </c>
      <c r="FSO1338" s="4" t="s">
        <v>2882</v>
      </c>
      <c r="FSP1338" s="4" t="s">
        <v>2882</v>
      </c>
      <c r="FSQ1338" s="4" t="s">
        <v>2882</v>
      </c>
      <c r="FSR1338" s="4" t="s">
        <v>2882</v>
      </c>
      <c r="FSS1338" s="4" t="s">
        <v>2882</v>
      </c>
      <c r="FST1338" s="4" t="s">
        <v>2882</v>
      </c>
      <c r="FSU1338" s="4" t="s">
        <v>2882</v>
      </c>
      <c r="FSV1338" s="4" t="s">
        <v>2882</v>
      </c>
      <c r="FSW1338" s="4" t="s">
        <v>2882</v>
      </c>
      <c r="FSX1338" s="4" t="s">
        <v>2882</v>
      </c>
      <c r="FSY1338" s="4" t="s">
        <v>2882</v>
      </c>
      <c r="FSZ1338" s="4" t="s">
        <v>2882</v>
      </c>
      <c r="FTA1338" s="4" t="s">
        <v>2882</v>
      </c>
      <c r="FTB1338" s="4" t="s">
        <v>2882</v>
      </c>
      <c r="FTC1338" s="4" t="s">
        <v>2882</v>
      </c>
      <c r="FTD1338" s="4" t="s">
        <v>2882</v>
      </c>
      <c r="FTE1338" s="4" t="s">
        <v>2882</v>
      </c>
      <c r="FTF1338" s="4" t="s">
        <v>2882</v>
      </c>
      <c r="FTG1338" s="4" t="s">
        <v>2882</v>
      </c>
      <c r="FTH1338" s="4" t="s">
        <v>2882</v>
      </c>
      <c r="FTI1338" s="4" t="s">
        <v>2882</v>
      </c>
      <c r="FTJ1338" s="4" t="s">
        <v>2882</v>
      </c>
      <c r="FTK1338" s="4" t="s">
        <v>2882</v>
      </c>
      <c r="FTL1338" s="4" t="s">
        <v>2882</v>
      </c>
      <c r="FTM1338" s="4" t="s">
        <v>2882</v>
      </c>
      <c r="FTN1338" s="4" t="s">
        <v>2882</v>
      </c>
      <c r="FTO1338" s="4" t="s">
        <v>2882</v>
      </c>
      <c r="FTP1338" s="4" t="s">
        <v>2882</v>
      </c>
      <c r="FTQ1338" s="4" t="s">
        <v>2882</v>
      </c>
      <c r="FTR1338" s="4" t="s">
        <v>2882</v>
      </c>
      <c r="FTS1338" s="4" t="s">
        <v>2882</v>
      </c>
      <c r="FTT1338" s="4" t="s">
        <v>2882</v>
      </c>
      <c r="FTU1338" s="4" t="s">
        <v>2882</v>
      </c>
      <c r="FTV1338" s="4" t="s">
        <v>2882</v>
      </c>
      <c r="FTW1338" s="4" t="s">
        <v>2882</v>
      </c>
      <c r="FTX1338" s="4" t="s">
        <v>2882</v>
      </c>
      <c r="FTY1338" s="4" t="s">
        <v>2882</v>
      </c>
      <c r="FTZ1338" s="4" t="s">
        <v>2882</v>
      </c>
      <c r="FUA1338" s="4" t="s">
        <v>2882</v>
      </c>
      <c r="FUB1338" s="4" t="s">
        <v>2882</v>
      </c>
      <c r="FUC1338" s="4" t="s">
        <v>2882</v>
      </c>
      <c r="FUD1338" s="4" t="s">
        <v>2882</v>
      </c>
      <c r="FUE1338" s="4" t="s">
        <v>2882</v>
      </c>
      <c r="FUF1338" s="4" t="s">
        <v>2882</v>
      </c>
      <c r="FUG1338" s="4" t="s">
        <v>2882</v>
      </c>
      <c r="FUH1338" s="4" t="s">
        <v>2882</v>
      </c>
      <c r="FUI1338" s="4" t="s">
        <v>2882</v>
      </c>
      <c r="FUJ1338" s="4" t="s">
        <v>2882</v>
      </c>
      <c r="FUK1338" s="4" t="s">
        <v>2882</v>
      </c>
      <c r="FUL1338" s="4" t="s">
        <v>2882</v>
      </c>
      <c r="FUM1338" s="4" t="s">
        <v>2882</v>
      </c>
      <c r="FUN1338" s="4" t="s">
        <v>2882</v>
      </c>
      <c r="FUO1338" s="4" t="s">
        <v>2882</v>
      </c>
      <c r="FUP1338" s="4" t="s">
        <v>2882</v>
      </c>
      <c r="FUQ1338" s="4" t="s">
        <v>2882</v>
      </c>
      <c r="FUR1338" s="4" t="s">
        <v>2882</v>
      </c>
      <c r="FUS1338" s="4" t="s">
        <v>2882</v>
      </c>
      <c r="FUT1338" s="4" t="s">
        <v>2882</v>
      </c>
      <c r="FUU1338" s="4" t="s">
        <v>2882</v>
      </c>
      <c r="FUV1338" s="4" t="s">
        <v>2882</v>
      </c>
      <c r="FUW1338" s="4" t="s">
        <v>2882</v>
      </c>
      <c r="FUX1338" s="4" t="s">
        <v>2882</v>
      </c>
      <c r="FUY1338" s="4" t="s">
        <v>2882</v>
      </c>
      <c r="FUZ1338" s="4" t="s">
        <v>2882</v>
      </c>
      <c r="FVA1338" s="4" t="s">
        <v>2882</v>
      </c>
      <c r="FVB1338" s="4" t="s">
        <v>2882</v>
      </c>
      <c r="FVC1338" s="4" t="s">
        <v>2882</v>
      </c>
      <c r="FVD1338" s="4" t="s">
        <v>2882</v>
      </c>
      <c r="FVE1338" s="4" t="s">
        <v>2882</v>
      </c>
      <c r="FVF1338" s="4" t="s">
        <v>2882</v>
      </c>
      <c r="FVG1338" s="4" t="s">
        <v>2882</v>
      </c>
      <c r="FVH1338" s="4" t="s">
        <v>2882</v>
      </c>
      <c r="FVI1338" s="4" t="s">
        <v>2882</v>
      </c>
      <c r="FVJ1338" s="4" t="s">
        <v>2882</v>
      </c>
      <c r="FVK1338" s="4" t="s">
        <v>2882</v>
      </c>
      <c r="FVL1338" s="4" t="s">
        <v>2882</v>
      </c>
      <c r="FVM1338" s="4" t="s">
        <v>2882</v>
      </c>
      <c r="FVN1338" s="4" t="s">
        <v>2882</v>
      </c>
      <c r="FVO1338" s="4" t="s">
        <v>2882</v>
      </c>
      <c r="FVP1338" s="4" t="s">
        <v>2882</v>
      </c>
      <c r="FVQ1338" s="4" t="s">
        <v>2882</v>
      </c>
      <c r="FVR1338" s="4" t="s">
        <v>2882</v>
      </c>
      <c r="FVS1338" s="4" t="s">
        <v>2882</v>
      </c>
      <c r="FVT1338" s="4" t="s">
        <v>2882</v>
      </c>
      <c r="FVU1338" s="4" t="s">
        <v>2882</v>
      </c>
      <c r="FVV1338" s="4" t="s">
        <v>2882</v>
      </c>
      <c r="FVW1338" s="4" t="s">
        <v>2882</v>
      </c>
      <c r="FVX1338" s="4" t="s">
        <v>2882</v>
      </c>
      <c r="FVY1338" s="4" t="s">
        <v>2882</v>
      </c>
      <c r="FVZ1338" s="4" t="s">
        <v>2882</v>
      </c>
      <c r="FWA1338" s="4" t="s">
        <v>2882</v>
      </c>
      <c r="FWB1338" s="4" t="s">
        <v>2882</v>
      </c>
      <c r="FWC1338" s="4" t="s">
        <v>2882</v>
      </c>
      <c r="FWD1338" s="4" t="s">
        <v>2882</v>
      </c>
      <c r="FWE1338" s="4" t="s">
        <v>2882</v>
      </c>
      <c r="FWF1338" s="4" t="s">
        <v>2882</v>
      </c>
      <c r="FWG1338" s="4" t="s">
        <v>2882</v>
      </c>
      <c r="FWH1338" s="4" t="s">
        <v>2882</v>
      </c>
      <c r="FWI1338" s="4" t="s">
        <v>2882</v>
      </c>
      <c r="FWJ1338" s="4" t="s">
        <v>2882</v>
      </c>
      <c r="FWK1338" s="4" t="s">
        <v>2882</v>
      </c>
      <c r="FWL1338" s="4" t="s">
        <v>2882</v>
      </c>
      <c r="FWM1338" s="4" t="s">
        <v>2882</v>
      </c>
      <c r="FWN1338" s="4" t="s">
        <v>2882</v>
      </c>
      <c r="FWO1338" s="4" t="s">
        <v>2882</v>
      </c>
      <c r="FWP1338" s="4" t="s">
        <v>2882</v>
      </c>
      <c r="FWQ1338" s="4" t="s">
        <v>2882</v>
      </c>
      <c r="FWR1338" s="4" t="s">
        <v>2882</v>
      </c>
      <c r="FWS1338" s="4" t="s">
        <v>2882</v>
      </c>
      <c r="FWT1338" s="4" t="s">
        <v>2882</v>
      </c>
      <c r="FWU1338" s="4" t="s">
        <v>2882</v>
      </c>
      <c r="FWV1338" s="4" t="s">
        <v>2882</v>
      </c>
      <c r="FWW1338" s="4" t="s">
        <v>2882</v>
      </c>
      <c r="FWX1338" s="4" t="s">
        <v>2882</v>
      </c>
      <c r="FWY1338" s="4" t="s">
        <v>2882</v>
      </c>
      <c r="FWZ1338" s="4" t="s">
        <v>2882</v>
      </c>
      <c r="FXA1338" s="4" t="s">
        <v>2882</v>
      </c>
      <c r="FXB1338" s="4" t="s">
        <v>2882</v>
      </c>
      <c r="FXC1338" s="4" t="s">
        <v>2882</v>
      </c>
      <c r="FXD1338" s="4" t="s">
        <v>2882</v>
      </c>
      <c r="FXE1338" s="4" t="s">
        <v>2882</v>
      </c>
      <c r="FXF1338" s="4" t="s">
        <v>2882</v>
      </c>
      <c r="FXG1338" s="4" t="s">
        <v>2882</v>
      </c>
      <c r="FXH1338" s="4" t="s">
        <v>2882</v>
      </c>
      <c r="FXI1338" s="4" t="s">
        <v>2882</v>
      </c>
      <c r="FXJ1338" s="4" t="s">
        <v>2882</v>
      </c>
      <c r="FXK1338" s="4" t="s">
        <v>2882</v>
      </c>
      <c r="FXL1338" s="4" t="s">
        <v>2882</v>
      </c>
      <c r="FXM1338" s="4" t="s">
        <v>2882</v>
      </c>
      <c r="FXN1338" s="4" t="s">
        <v>2882</v>
      </c>
      <c r="FXO1338" s="4" t="s">
        <v>2882</v>
      </c>
      <c r="FXP1338" s="4" t="s">
        <v>2882</v>
      </c>
      <c r="FXQ1338" s="4" t="s">
        <v>2882</v>
      </c>
      <c r="FXR1338" s="4" t="s">
        <v>2882</v>
      </c>
      <c r="FXS1338" s="4" t="s">
        <v>2882</v>
      </c>
      <c r="FXT1338" s="4" t="s">
        <v>2882</v>
      </c>
      <c r="FXU1338" s="4" t="s">
        <v>2882</v>
      </c>
      <c r="FXV1338" s="4" t="s">
        <v>2882</v>
      </c>
      <c r="FXW1338" s="4" t="s">
        <v>2882</v>
      </c>
      <c r="FXX1338" s="4" t="s">
        <v>2882</v>
      </c>
      <c r="FXY1338" s="4" t="s">
        <v>2882</v>
      </c>
      <c r="FXZ1338" s="4" t="s">
        <v>2882</v>
      </c>
      <c r="FYA1338" s="4" t="s">
        <v>2882</v>
      </c>
      <c r="FYB1338" s="4" t="s">
        <v>2882</v>
      </c>
      <c r="FYC1338" s="4" t="s">
        <v>2882</v>
      </c>
      <c r="FYD1338" s="4" t="s">
        <v>2882</v>
      </c>
      <c r="FYE1338" s="4" t="s">
        <v>2882</v>
      </c>
      <c r="FYF1338" s="4" t="s">
        <v>2882</v>
      </c>
      <c r="FYG1338" s="4" t="s">
        <v>2882</v>
      </c>
      <c r="FYH1338" s="4" t="s">
        <v>2882</v>
      </c>
      <c r="FYI1338" s="4" t="s">
        <v>2882</v>
      </c>
      <c r="FYJ1338" s="4" t="s">
        <v>2882</v>
      </c>
      <c r="FYK1338" s="4" t="s">
        <v>2882</v>
      </c>
      <c r="FYL1338" s="4" t="s">
        <v>2882</v>
      </c>
      <c r="FYM1338" s="4" t="s">
        <v>2882</v>
      </c>
      <c r="FYN1338" s="4" t="s">
        <v>2882</v>
      </c>
      <c r="FYO1338" s="4" t="s">
        <v>2882</v>
      </c>
      <c r="FYP1338" s="4" t="s">
        <v>2882</v>
      </c>
      <c r="FYQ1338" s="4" t="s">
        <v>2882</v>
      </c>
      <c r="FYR1338" s="4" t="s">
        <v>2882</v>
      </c>
      <c r="FYS1338" s="4" t="s">
        <v>2882</v>
      </c>
      <c r="FYT1338" s="4" t="s">
        <v>2882</v>
      </c>
      <c r="FYU1338" s="4" t="s">
        <v>2882</v>
      </c>
      <c r="FYV1338" s="4" t="s">
        <v>2882</v>
      </c>
      <c r="FYW1338" s="4" t="s">
        <v>2882</v>
      </c>
      <c r="FYX1338" s="4" t="s">
        <v>2882</v>
      </c>
      <c r="FYY1338" s="4" t="s">
        <v>2882</v>
      </c>
      <c r="FYZ1338" s="4" t="s">
        <v>2882</v>
      </c>
      <c r="FZA1338" s="4" t="s">
        <v>2882</v>
      </c>
      <c r="FZB1338" s="4" t="s">
        <v>2882</v>
      </c>
      <c r="FZC1338" s="4" t="s">
        <v>2882</v>
      </c>
      <c r="FZD1338" s="4" t="s">
        <v>2882</v>
      </c>
      <c r="FZE1338" s="4" t="s">
        <v>2882</v>
      </c>
      <c r="FZF1338" s="4" t="s">
        <v>2882</v>
      </c>
      <c r="FZG1338" s="4" t="s">
        <v>2882</v>
      </c>
      <c r="FZH1338" s="4" t="s">
        <v>2882</v>
      </c>
      <c r="FZI1338" s="4" t="s">
        <v>2882</v>
      </c>
      <c r="FZJ1338" s="4" t="s">
        <v>2882</v>
      </c>
      <c r="FZK1338" s="4" t="s">
        <v>2882</v>
      </c>
      <c r="FZL1338" s="4" t="s">
        <v>2882</v>
      </c>
      <c r="FZM1338" s="4" t="s">
        <v>2882</v>
      </c>
      <c r="FZN1338" s="4" t="s">
        <v>2882</v>
      </c>
      <c r="FZO1338" s="4" t="s">
        <v>2882</v>
      </c>
      <c r="FZP1338" s="4" t="s">
        <v>2882</v>
      </c>
      <c r="FZQ1338" s="4" t="s">
        <v>2882</v>
      </c>
      <c r="FZR1338" s="4" t="s">
        <v>2882</v>
      </c>
      <c r="FZS1338" s="4" t="s">
        <v>2882</v>
      </c>
      <c r="FZT1338" s="4" t="s">
        <v>2882</v>
      </c>
      <c r="FZU1338" s="4" t="s">
        <v>2882</v>
      </c>
      <c r="FZV1338" s="4" t="s">
        <v>2882</v>
      </c>
      <c r="FZW1338" s="4" t="s">
        <v>2882</v>
      </c>
      <c r="FZX1338" s="4" t="s">
        <v>2882</v>
      </c>
      <c r="FZY1338" s="4" t="s">
        <v>2882</v>
      </c>
      <c r="FZZ1338" s="4" t="s">
        <v>2882</v>
      </c>
      <c r="GAA1338" s="4" t="s">
        <v>2882</v>
      </c>
      <c r="GAB1338" s="4" t="s">
        <v>2882</v>
      </c>
      <c r="GAC1338" s="4" t="s">
        <v>2882</v>
      </c>
      <c r="GAD1338" s="4" t="s">
        <v>2882</v>
      </c>
      <c r="GAE1338" s="4" t="s">
        <v>2882</v>
      </c>
      <c r="GAF1338" s="4" t="s">
        <v>2882</v>
      </c>
      <c r="GAG1338" s="4" t="s">
        <v>2882</v>
      </c>
      <c r="GAH1338" s="4" t="s">
        <v>2882</v>
      </c>
      <c r="GAI1338" s="4" t="s">
        <v>2882</v>
      </c>
      <c r="GAJ1338" s="4" t="s">
        <v>2882</v>
      </c>
      <c r="GAK1338" s="4" t="s">
        <v>2882</v>
      </c>
      <c r="GAL1338" s="4" t="s">
        <v>2882</v>
      </c>
      <c r="GAM1338" s="4" t="s">
        <v>2882</v>
      </c>
      <c r="GAN1338" s="4" t="s">
        <v>2882</v>
      </c>
      <c r="GAO1338" s="4" t="s">
        <v>2882</v>
      </c>
      <c r="GAP1338" s="4" t="s">
        <v>2882</v>
      </c>
      <c r="GAQ1338" s="4" t="s">
        <v>2882</v>
      </c>
      <c r="GAR1338" s="4" t="s">
        <v>2882</v>
      </c>
      <c r="GAS1338" s="4" t="s">
        <v>2882</v>
      </c>
      <c r="GAT1338" s="4" t="s">
        <v>2882</v>
      </c>
      <c r="GAU1338" s="4" t="s">
        <v>2882</v>
      </c>
      <c r="GAV1338" s="4" t="s">
        <v>2882</v>
      </c>
      <c r="GAW1338" s="4" t="s">
        <v>2882</v>
      </c>
      <c r="GAX1338" s="4" t="s">
        <v>2882</v>
      </c>
      <c r="GAY1338" s="4" t="s">
        <v>2882</v>
      </c>
      <c r="GAZ1338" s="4" t="s">
        <v>2882</v>
      </c>
      <c r="GBA1338" s="4" t="s">
        <v>2882</v>
      </c>
      <c r="GBB1338" s="4" t="s">
        <v>2882</v>
      </c>
      <c r="GBC1338" s="4" t="s">
        <v>2882</v>
      </c>
      <c r="GBD1338" s="4" t="s">
        <v>2882</v>
      </c>
      <c r="GBE1338" s="4" t="s">
        <v>2882</v>
      </c>
      <c r="GBF1338" s="4" t="s">
        <v>2882</v>
      </c>
      <c r="GBG1338" s="4" t="s">
        <v>2882</v>
      </c>
      <c r="GBH1338" s="4" t="s">
        <v>2882</v>
      </c>
      <c r="GBI1338" s="4" t="s">
        <v>2882</v>
      </c>
      <c r="GBJ1338" s="4" t="s">
        <v>2882</v>
      </c>
      <c r="GBK1338" s="4" t="s">
        <v>2882</v>
      </c>
      <c r="GBL1338" s="4" t="s">
        <v>2882</v>
      </c>
      <c r="GBM1338" s="4" t="s">
        <v>2882</v>
      </c>
      <c r="GBN1338" s="4" t="s">
        <v>2882</v>
      </c>
      <c r="GBO1338" s="4" t="s">
        <v>2882</v>
      </c>
      <c r="GBP1338" s="4" t="s">
        <v>2882</v>
      </c>
      <c r="GBQ1338" s="4" t="s">
        <v>2882</v>
      </c>
      <c r="GBR1338" s="4" t="s">
        <v>2882</v>
      </c>
      <c r="GBS1338" s="4" t="s">
        <v>2882</v>
      </c>
      <c r="GBT1338" s="4" t="s">
        <v>2882</v>
      </c>
      <c r="GBU1338" s="4" t="s">
        <v>2882</v>
      </c>
      <c r="GBV1338" s="4" t="s">
        <v>2882</v>
      </c>
      <c r="GBW1338" s="4" t="s">
        <v>2882</v>
      </c>
      <c r="GBX1338" s="4" t="s">
        <v>2882</v>
      </c>
      <c r="GBY1338" s="4" t="s">
        <v>2882</v>
      </c>
      <c r="GBZ1338" s="4" t="s">
        <v>2882</v>
      </c>
      <c r="GCA1338" s="4" t="s">
        <v>2882</v>
      </c>
      <c r="GCB1338" s="4" t="s">
        <v>2882</v>
      </c>
      <c r="GCC1338" s="4" t="s">
        <v>2882</v>
      </c>
      <c r="GCD1338" s="4" t="s">
        <v>2882</v>
      </c>
      <c r="GCE1338" s="4" t="s">
        <v>2882</v>
      </c>
      <c r="GCF1338" s="4" t="s">
        <v>2882</v>
      </c>
      <c r="GCG1338" s="4" t="s">
        <v>2882</v>
      </c>
      <c r="GCH1338" s="4" t="s">
        <v>2882</v>
      </c>
      <c r="GCI1338" s="4" t="s">
        <v>2882</v>
      </c>
      <c r="GCJ1338" s="4" t="s">
        <v>2882</v>
      </c>
      <c r="GCK1338" s="4" t="s">
        <v>2882</v>
      </c>
      <c r="GCL1338" s="4" t="s">
        <v>2882</v>
      </c>
      <c r="GCM1338" s="4" t="s">
        <v>2882</v>
      </c>
      <c r="GCN1338" s="4" t="s">
        <v>2882</v>
      </c>
      <c r="GCO1338" s="4" t="s">
        <v>2882</v>
      </c>
      <c r="GCP1338" s="4" t="s">
        <v>2882</v>
      </c>
      <c r="GCQ1338" s="4" t="s">
        <v>2882</v>
      </c>
      <c r="GCR1338" s="4" t="s">
        <v>2882</v>
      </c>
      <c r="GCS1338" s="4" t="s">
        <v>2882</v>
      </c>
      <c r="GCT1338" s="4" t="s">
        <v>2882</v>
      </c>
      <c r="GCU1338" s="4" t="s">
        <v>2882</v>
      </c>
      <c r="GCV1338" s="4" t="s">
        <v>2882</v>
      </c>
      <c r="GCW1338" s="4" t="s">
        <v>2882</v>
      </c>
      <c r="GCX1338" s="4" t="s">
        <v>2882</v>
      </c>
      <c r="GCY1338" s="4" t="s">
        <v>2882</v>
      </c>
      <c r="GCZ1338" s="4" t="s">
        <v>2882</v>
      </c>
      <c r="GDA1338" s="4" t="s">
        <v>2882</v>
      </c>
      <c r="GDB1338" s="4" t="s">
        <v>2882</v>
      </c>
      <c r="GDC1338" s="4" t="s">
        <v>2882</v>
      </c>
      <c r="GDD1338" s="4" t="s">
        <v>2882</v>
      </c>
      <c r="GDE1338" s="4" t="s">
        <v>2882</v>
      </c>
      <c r="GDF1338" s="4" t="s">
        <v>2882</v>
      </c>
      <c r="GDG1338" s="4" t="s">
        <v>2882</v>
      </c>
      <c r="GDH1338" s="4" t="s">
        <v>2882</v>
      </c>
      <c r="GDI1338" s="4" t="s">
        <v>2882</v>
      </c>
      <c r="GDJ1338" s="4" t="s">
        <v>2882</v>
      </c>
      <c r="GDK1338" s="4" t="s">
        <v>2882</v>
      </c>
      <c r="GDL1338" s="4" t="s">
        <v>2882</v>
      </c>
      <c r="GDM1338" s="4" t="s">
        <v>2882</v>
      </c>
      <c r="GDN1338" s="4" t="s">
        <v>2882</v>
      </c>
      <c r="GDO1338" s="4" t="s">
        <v>2882</v>
      </c>
      <c r="GDP1338" s="4" t="s">
        <v>2882</v>
      </c>
      <c r="GDQ1338" s="4" t="s">
        <v>2882</v>
      </c>
      <c r="GDR1338" s="4" t="s">
        <v>2882</v>
      </c>
      <c r="GDS1338" s="4" t="s">
        <v>2882</v>
      </c>
      <c r="GDT1338" s="4" t="s">
        <v>2882</v>
      </c>
      <c r="GDU1338" s="4" t="s">
        <v>2882</v>
      </c>
      <c r="GDV1338" s="4" t="s">
        <v>2882</v>
      </c>
      <c r="GDW1338" s="4" t="s">
        <v>2882</v>
      </c>
      <c r="GDX1338" s="4" t="s">
        <v>2882</v>
      </c>
      <c r="GDY1338" s="4" t="s">
        <v>2882</v>
      </c>
      <c r="GDZ1338" s="4" t="s">
        <v>2882</v>
      </c>
      <c r="GEA1338" s="4" t="s">
        <v>2882</v>
      </c>
      <c r="GEB1338" s="4" t="s">
        <v>2882</v>
      </c>
      <c r="GEC1338" s="4" t="s">
        <v>2882</v>
      </c>
      <c r="GED1338" s="4" t="s">
        <v>2882</v>
      </c>
      <c r="GEE1338" s="4" t="s">
        <v>2882</v>
      </c>
      <c r="GEF1338" s="4" t="s">
        <v>2882</v>
      </c>
      <c r="GEG1338" s="4" t="s">
        <v>2882</v>
      </c>
      <c r="GEH1338" s="4" t="s">
        <v>2882</v>
      </c>
      <c r="GEI1338" s="4" t="s">
        <v>2882</v>
      </c>
      <c r="GEJ1338" s="4" t="s">
        <v>2882</v>
      </c>
      <c r="GEK1338" s="4" t="s">
        <v>2882</v>
      </c>
      <c r="GEL1338" s="4" t="s">
        <v>2882</v>
      </c>
      <c r="GEM1338" s="4" t="s">
        <v>2882</v>
      </c>
      <c r="GEN1338" s="4" t="s">
        <v>2882</v>
      </c>
      <c r="GEO1338" s="4" t="s">
        <v>2882</v>
      </c>
      <c r="GEP1338" s="4" t="s">
        <v>2882</v>
      </c>
      <c r="GEQ1338" s="4" t="s">
        <v>2882</v>
      </c>
      <c r="GER1338" s="4" t="s">
        <v>2882</v>
      </c>
      <c r="GES1338" s="4" t="s">
        <v>2882</v>
      </c>
      <c r="GET1338" s="4" t="s">
        <v>2882</v>
      </c>
      <c r="GEU1338" s="4" t="s">
        <v>2882</v>
      </c>
      <c r="GEV1338" s="4" t="s">
        <v>2882</v>
      </c>
      <c r="GEW1338" s="4" t="s">
        <v>2882</v>
      </c>
      <c r="GEX1338" s="4" t="s">
        <v>2882</v>
      </c>
      <c r="GEY1338" s="4" t="s">
        <v>2882</v>
      </c>
      <c r="GEZ1338" s="4" t="s">
        <v>2882</v>
      </c>
      <c r="GFA1338" s="4" t="s">
        <v>2882</v>
      </c>
      <c r="GFB1338" s="4" t="s">
        <v>2882</v>
      </c>
      <c r="GFC1338" s="4" t="s">
        <v>2882</v>
      </c>
      <c r="GFD1338" s="4" t="s">
        <v>2882</v>
      </c>
      <c r="GFE1338" s="4" t="s">
        <v>2882</v>
      </c>
      <c r="GFF1338" s="4" t="s">
        <v>2882</v>
      </c>
      <c r="GFG1338" s="4" t="s">
        <v>2882</v>
      </c>
      <c r="GFH1338" s="4" t="s">
        <v>2882</v>
      </c>
      <c r="GFI1338" s="4" t="s">
        <v>2882</v>
      </c>
      <c r="GFJ1338" s="4" t="s">
        <v>2882</v>
      </c>
      <c r="GFK1338" s="4" t="s">
        <v>2882</v>
      </c>
      <c r="GFL1338" s="4" t="s">
        <v>2882</v>
      </c>
      <c r="GFM1338" s="4" t="s">
        <v>2882</v>
      </c>
      <c r="GFN1338" s="4" t="s">
        <v>2882</v>
      </c>
      <c r="GFO1338" s="4" t="s">
        <v>2882</v>
      </c>
      <c r="GFP1338" s="4" t="s">
        <v>2882</v>
      </c>
      <c r="GFQ1338" s="4" t="s">
        <v>2882</v>
      </c>
      <c r="GFR1338" s="4" t="s">
        <v>2882</v>
      </c>
      <c r="GFS1338" s="4" t="s">
        <v>2882</v>
      </c>
      <c r="GFT1338" s="4" t="s">
        <v>2882</v>
      </c>
      <c r="GFU1338" s="4" t="s">
        <v>2882</v>
      </c>
      <c r="GFV1338" s="4" t="s">
        <v>2882</v>
      </c>
      <c r="GFW1338" s="4" t="s">
        <v>2882</v>
      </c>
      <c r="GFX1338" s="4" t="s">
        <v>2882</v>
      </c>
      <c r="GFY1338" s="4" t="s">
        <v>2882</v>
      </c>
      <c r="GFZ1338" s="4" t="s">
        <v>2882</v>
      </c>
      <c r="GGA1338" s="4" t="s">
        <v>2882</v>
      </c>
      <c r="GGB1338" s="4" t="s">
        <v>2882</v>
      </c>
      <c r="GGC1338" s="4" t="s">
        <v>2882</v>
      </c>
      <c r="GGD1338" s="4" t="s">
        <v>2882</v>
      </c>
      <c r="GGE1338" s="4" t="s">
        <v>2882</v>
      </c>
      <c r="GGF1338" s="4" t="s">
        <v>2882</v>
      </c>
      <c r="GGG1338" s="4" t="s">
        <v>2882</v>
      </c>
      <c r="GGH1338" s="4" t="s">
        <v>2882</v>
      </c>
      <c r="GGI1338" s="4" t="s">
        <v>2882</v>
      </c>
      <c r="GGJ1338" s="4" t="s">
        <v>2882</v>
      </c>
      <c r="GGK1338" s="4" t="s">
        <v>2882</v>
      </c>
      <c r="GGL1338" s="4" t="s">
        <v>2882</v>
      </c>
      <c r="GGM1338" s="4" t="s">
        <v>2882</v>
      </c>
      <c r="GGN1338" s="4" t="s">
        <v>2882</v>
      </c>
      <c r="GGO1338" s="4" t="s">
        <v>2882</v>
      </c>
      <c r="GGP1338" s="4" t="s">
        <v>2882</v>
      </c>
      <c r="GGQ1338" s="4" t="s">
        <v>2882</v>
      </c>
      <c r="GGR1338" s="4" t="s">
        <v>2882</v>
      </c>
      <c r="GGS1338" s="4" t="s">
        <v>2882</v>
      </c>
      <c r="GGT1338" s="4" t="s">
        <v>2882</v>
      </c>
      <c r="GGU1338" s="4" t="s">
        <v>2882</v>
      </c>
      <c r="GGV1338" s="4" t="s">
        <v>2882</v>
      </c>
      <c r="GGW1338" s="4" t="s">
        <v>2882</v>
      </c>
      <c r="GGX1338" s="4" t="s">
        <v>2882</v>
      </c>
      <c r="GGY1338" s="4" t="s">
        <v>2882</v>
      </c>
      <c r="GGZ1338" s="4" t="s">
        <v>2882</v>
      </c>
      <c r="GHA1338" s="4" t="s">
        <v>2882</v>
      </c>
      <c r="GHB1338" s="4" t="s">
        <v>2882</v>
      </c>
      <c r="GHC1338" s="4" t="s">
        <v>2882</v>
      </c>
      <c r="GHD1338" s="4" t="s">
        <v>2882</v>
      </c>
      <c r="GHE1338" s="4" t="s">
        <v>2882</v>
      </c>
      <c r="GHF1338" s="4" t="s">
        <v>2882</v>
      </c>
      <c r="GHG1338" s="4" t="s">
        <v>2882</v>
      </c>
      <c r="GHH1338" s="4" t="s">
        <v>2882</v>
      </c>
      <c r="GHI1338" s="4" t="s">
        <v>2882</v>
      </c>
      <c r="GHJ1338" s="4" t="s">
        <v>2882</v>
      </c>
      <c r="GHK1338" s="4" t="s">
        <v>2882</v>
      </c>
      <c r="GHL1338" s="4" t="s">
        <v>2882</v>
      </c>
      <c r="GHM1338" s="4" t="s">
        <v>2882</v>
      </c>
      <c r="GHN1338" s="4" t="s">
        <v>2882</v>
      </c>
      <c r="GHO1338" s="4" t="s">
        <v>2882</v>
      </c>
      <c r="GHP1338" s="4" t="s">
        <v>2882</v>
      </c>
      <c r="GHQ1338" s="4" t="s">
        <v>2882</v>
      </c>
      <c r="GHR1338" s="4" t="s">
        <v>2882</v>
      </c>
      <c r="GHS1338" s="4" t="s">
        <v>2882</v>
      </c>
      <c r="GHT1338" s="4" t="s">
        <v>2882</v>
      </c>
      <c r="GHU1338" s="4" t="s">
        <v>2882</v>
      </c>
      <c r="GHV1338" s="4" t="s">
        <v>2882</v>
      </c>
      <c r="GHW1338" s="4" t="s">
        <v>2882</v>
      </c>
      <c r="GHX1338" s="4" t="s">
        <v>2882</v>
      </c>
      <c r="GHY1338" s="4" t="s">
        <v>2882</v>
      </c>
      <c r="GHZ1338" s="4" t="s">
        <v>2882</v>
      </c>
      <c r="GIA1338" s="4" t="s">
        <v>2882</v>
      </c>
      <c r="GIB1338" s="4" t="s">
        <v>2882</v>
      </c>
      <c r="GIC1338" s="4" t="s">
        <v>2882</v>
      </c>
      <c r="GID1338" s="4" t="s">
        <v>2882</v>
      </c>
      <c r="GIE1338" s="4" t="s">
        <v>2882</v>
      </c>
      <c r="GIF1338" s="4" t="s">
        <v>2882</v>
      </c>
      <c r="GIG1338" s="4" t="s">
        <v>2882</v>
      </c>
      <c r="GIH1338" s="4" t="s">
        <v>2882</v>
      </c>
      <c r="GII1338" s="4" t="s">
        <v>2882</v>
      </c>
      <c r="GIJ1338" s="4" t="s">
        <v>2882</v>
      </c>
      <c r="GIK1338" s="4" t="s">
        <v>2882</v>
      </c>
      <c r="GIL1338" s="4" t="s">
        <v>2882</v>
      </c>
      <c r="GIM1338" s="4" t="s">
        <v>2882</v>
      </c>
      <c r="GIN1338" s="4" t="s">
        <v>2882</v>
      </c>
      <c r="GIO1338" s="4" t="s">
        <v>2882</v>
      </c>
      <c r="GIP1338" s="4" t="s">
        <v>2882</v>
      </c>
      <c r="GIQ1338" s="4" t="s">
        <v>2882</v>
      </c>
      <c r="GIR1338" s="4" t="s">
        <v>2882</v>
      </c>
      <c r="GIS1338" s="4" t="s">
        <v>2882</v>
      </c>
      <c r="GIT1338" s="4" t="s">
        <v>2882</v>
      </c>
      <c r="GIU1338" s="4" t="s">
        <v>2882</v>
      </c>
      <c r="GIV1338" s="4" t="s">
        <v>2882</v>
      </c>
      <c r="GIW1338" s="4" t="s">
        <v>2882</v>
      </c>
      <c r="GIX1338" s="4" t="s">
        <v>2882</v>
      </c>
      <c r="GIY1338" s="4" t="s">
        <v>2882</v>
      </c>
      <c r="GIZ1338" s="4" t="s">
        <v>2882</v>
      </c>
      <c r="GJA1338" s="4" t="s">
        <v>2882</v>
      </c>
      <c r="GJB1338" s="4" t="s">
        <v>2882</v>
      </c>
      <c r="GJC1338" s="4" t="s">
        <v>2882</v>
      </c>
      <c r="GJD1338" s="4" t="s">
        <v>2882</v>
      </c>
      <c r="GJE1338" s="4" t="s">
        <v>2882</v>
      </c>
      <c r="GJF1338" s="4" t="s">
        <v>2882</v>
      </c>
      <c r="GJG1338" s="4" t="s">
        <v>2882</v>
      </c>
      <c r="GJH1338" s="4" t="s">
        <v>2882</v>
      </c>
      <c r="GJI1338" s="4" t="s">
        <v>2882</v>
      </c>
      <c r="GJJ1338" s="4" t="s">
        <v>2882</v>
      </c>
      <c r="GJK1338" s="4" t="s">
        <v>2882</v>
      </c>
      <c r="GJL1338" s="4" t="s">
        <v>2882</v>
      </c>
      <c r="GJM1338" s="4" t="s">
        <v>2882</v>
      </c>
      <c r="GJN1338" s="4" t="s">
        <v>2882</v>
      </c>
      <c r="GJO1338" s="4" t="s">
        <v>2882</v>
      </c>
      <c r="GJP1338" s="4" t="s">
        <v>2882</v>
      </c>
      <c r="GJQ1338" s="4" t="s">
        <v>2882</v>
      </c>
      <c r="GJR1338" s="4" t="s">
        <v>2882</v>
      </c>
      <c r="GJS1338" s="4" t="s">
        <v>2882</v>
      </c>
      <c r="GJT1338" s="4" t="s">
        <v>2882</v>
      </c>
      <c r="GJU1338" s="4" t="s">
        <v>2882</v>
      </c>
      <c r="GJV1338" s="4" t="s">
        <v>2882</v>
      </c>
      <c r="GJW1338" s="4" t="s">
        <v>2882</v>
      </c>
      <c r="GJX1338" s="4" t="s">
        <v>2882</v>
      </c>
      <c r="GJY1338" s="4" t="s">
        <v>2882</v>
      </c>
      <c r="GJZ1338" s="4" t="s">
        <v>2882</v>
      </c>
      <c r="GKA1338" s="4" t="s">
        <v>2882</v>
      </c>
      <c r="GKB1338" s="4" t="s">
        <v>2882</v>
      </c>
      <c r="GKC1338" s="4" t="s">
        <v>2882</v>
      </c>
      <c r="GKD1338" s="4" t="s">
        <v>2882</v>
      </c>
      <c r="GKE1338" s="4" t="s">
        <v>2882</v>
      </c>
      <c r="GKF1338" s="4" t="s">
        <v>2882</v>
      </c>
      <c r="GKG1338" s="4" t="s">
        <v>2882</v>
      </c>
      <c r="GKH1338" s="4" t="s">
        <v>2882</v>
      </c>
      <c r="GKI1338" s="4" t="s">
        <v>2882</v>
      </c>
      <c r="GKJ1338" s="4" t="s">
        <v>2882</v>
      </c>
      <c r="GKK1338" s="4" t="s">
        <v>2882</v>
      </c>
      <c r="GKL1338" s="4" t="s">
        <v>2882</v>
      </c>
      <c r="GKM1338" s="4" t="s">
        <v>2882</v>
      </c>
      <c r="GKN1338" s="4" t="s">
        <v>2882</v>
      </c>
      <c r="GKO1338" s="4" t="s">
        <v>2882</v>
      </c>
      <c r="GKP1338" s="4" t="s">
        <v>2882</v>
      </c>
      <c r="GKQ1338" s="4" t="s">
        <v>2882</v>
      </c>
      <c r="GKR1338" s="4" t="s">
        <v>2882</v>
      </c>
      <c r="GKS1338" s="4" t="s">
        <v>2882</v>
      </c>
      <c r="GKT1338" s="4" t="s">
        <v>2882</v>
      </c>
      <c r="GKU1338" s="4" t="s">
        <v>2882</v>
      </c>
      <c r="GKV1338" s="4" t="s">
        <v>2882</v>
      </c>
      <c r="GKW1338" s="4" t="s">
        <v>2882</v>
      </c>
      <c r="GKX1338" s="4" t="s">
        <v>2882</v>
      </c>
      <c r="GKY1338" s="4" t="s">
        <v>2882</v>
      </c>
      <c r="GKZ1338" s="4" t="s">
        <v>2882</v>
      </c>
      <c r="GLA1338" s="4" t="s">
        <v>2882</v>
      </c>
      <c r="GLB1338" s="4" t="s">
        <v>2882</v>
      </c>
      <c r="GLC1338" s="4" t="s">
        <v>2882</v>
      </c>
      <c r="GLD1338" s="4" t="s">
        <v>2882</v>
      </c>
      <c r="GLE1338" s="4" t="s">
        <v>2882</v>
      </c>
      <c r="GLF1338" s="4" t="s">
        <v>2882</v>
      </c>
      <c r="GLG1338" s="4" t="s">
        <v>2882</v>
      </c>
      <c r="GLH1338" s="4" t="s">
        <v>2882</v>
      </c>
      <c r="GLI1338" s="4" t="s">
        <v>2882</v>
      </c>
      <c r="GLJ1338" s="4" t="s">
        <v>2882</v>
      </c>
      <c r="GLK1338" s="4" t="s">
        <v>2882</v>
      </c>
      <c r="GLL1338" s="4" t="s">
        <v>2882</v>
      </c>
      <c r="GLM1338" s="4" t="s">
        <v>2882</v>
      </c>
      <c r="GLN1338" s="4" t="s">
        <v>2882</v>
      </c>
      <c r="GLO1338" s="4" t="s">
        <v>2882</v>
      </c>
      <c r="GLP1338" s="4" t="s">
        <v>2882</v>
      </c>
      <c r="GLQ1338" s="4" t="s">
        <v>2882</v>
      </c>
      <c r="GLR1338" s="4" t="s">
        <v>2882</v>
      </c>
      <c r="GLS1338" s="4" t="s">
        <v>2882</v>
      </c>
      <c r="GLT1338" s="4" t="s">
        <v>2882</v>
      </c>
      <c r="GLU1338" s="4" t="s">
        <v>2882</v>
      </c>
      <c r="GLV1338" s="4" t="s">
        <v>2882</v>
      </c>
      <c r="GLW1338" s="4" t="s">
        <v>2882</v>
      </c>
      <c r="GLX1338" s="4" t="s">
        <v>2882</v>
      </c>
      <c r="GLY1338" s="4" t="s">
        <v>2882</v>
      </c>
      <c r="GLZ1338" s="4" t="s">
        <v>2882</v>
      </c>
      <c r="GMA1338" s="4" t="s">
        <v>2882</v>
      </c>
      <c r="GMB1338" s="4" t="s">
        <v>2882</v>
      </c>
      <c r="GMC1338" s="4" t="s">
        <v>2882</v>
      </c>
      <c r="GMD1338" s="4" t="s">
        <v>2882</v>
      </c>
      <c r="GME1338" s="4" t="s">
        <v>2882</v>
      </c>
      <c r="GMF1338" s="4" t="s">
        <v>2882</v>
      </c>
      <c r="GMG1338" s="4" t="s">
        <v>2882</v>
      </c>
      <c r="GMH1338" s="4" t="s">
        <v>2882</v>
      </c>
      <c r="GMI1338" s="4" t="s">
        <v>2882</v>
      </c>
      <c r="GMJ1338" s="4" t="s">
        <v>2882</v>
      </c>
      <c r="GMK1338" s="4" t="s">
        <v>2882</v>
      </c>
      <c r="GML1338" s="4" t="s">
        <v>2882</v>
      </c>
      <c r="GMM1338" s="4" t="s">
        <v>2882</v>
      </c>
      <c r="GMN1338" s="4" t="s">
        <v>2882</v>
      </c>
      <c r="GMO1338" s="4" t="s">
        <v>2882</v>
      </c>
      <c r="GMP1338" s="4" t="s">
        <v>2882</v>
      </c>
      <c r="GMQ1338" s="4" t="s">
        <v>2882</v>
      </c>
      <c r="GMR1338" s="4" t="s">
        <v>2882</v>
      </c>
      <c r="GMS1338" s="4" t="s">
        <v>2882</v>
      </c>
      <c r="GMT1338" s="4" t="s">
        <v>2882</v>
      </c>
      <c r="GMU1338" s="4" t="s">
        <v>2882</v>
      </c>
      <c r="GMV1338" s="4" t="s">
        <v>2882</v>
      </c>
      <c r="GMW1338" s="4" t="s">
        <v>2882</v>
      </c>
      <c r="GMX1338" s="4" t="s">
        <v>2882</v>
      </c>
      <c r="GMY1338" s="4" t="s">
        <v>2882</v>
      </c>
      <c r="GMZ1338" s="4" t="s">
        <v>2882</v>
      </c>
      <c r="GNA1338" s="4" t="s">
        <v>2882</v>
      </c>
      <c r="GNB1338" s="4" t="s">
        <v>2882</v>
      </c>
      <c r="GNC1338" s="4" t="s">
        <v>2882</v>
      </c>
      <c r="GND1338" s="4" t="s">
        <v>2882</v>
      </c>
      <c r="GNE1338" s="4" t="s">
        <v>2882</v>
      </c>
      <c r="GNF1338" s="4" t="s">
        <v>2882</v>
      </c>
      <c r="GNG1338" s="4" t="s">
        <v>2882</v>
      </c>
      <c r="GNH1338" s="4" t="s">
        <v>2882</v>
      </c>
      <c r="GNI1338" s="4" t="s">
        <v>2882</v>
      </c>
      <c r="GNJ1338" s="4" t="s">
        <v>2882</v>
      </c>
      <c r="GNK1338" s="4" t="s">
        <v>2882</v>
      </c>
      <c r="GNL1338" s="4" t="s">
        <v>2882</v>
      </c>
      <c r="GNM1338" s="4" t="s">
        <v>2882</v>
      </c>
      <c r="GNN1338" s="4" t="s">
        <v>2882</v>
      </c>
      <c r="GNO1338" s="4" t="s">
        <v>2882</v>
      </c>
      <c r="GNP1338" s="4" t="s">
        <v>2882</v>
      </c>
      <c r="GNQ1338" s="4" t="s">
        <v>2882</v>
      </c>
      <c r="GNR1338" s="4" t="s">
        <v>2882</v>
      </c>
      <c r="GNS1338" s="4" t="s">
        <v>2882</v>
      </c>
      <c r="GNT1338" s="4" t="s">
        <v>2882</v>
      </c>
      <c r="GNU1338" s="4" t="s">
        <v>2882</v>
      </c>
      <c r="GNV1338" s="4" t="s">
        <v>2882</v>
      </c>
      <c r="GNW1338" s="4" t="s">
        <v>2882</v>
      </c>
      <c r="GNX1338" s="4" t="s">
        <v>2882</v>
      </c>
      <c r="GNY1338" s="4" t="s">
        <v>2882</v>
      </c>
      <c r="GNZ1338" s="4" t="s">
        <v>2882</v>
      </c>
      <c r="GOA1338" s="4" t="s">
        <v>2882</v>
      </c>
      <c r="GOB1338" s="4" t="s">
        <v>2882</v>
      </c>
      <c r="GOC1338" s="4" t="s">
        <v>2882</v>
      </c>
      <c r="GOD1338" s="4" t="s">
        <v>2882</v>
      </c>
      <c r="GOE1338" s="4" t="s">
        <v>2882</v>
      </c>
      <c r="GOF1338" s="4" t="s">
        <v>2882</v>
      </c>
      <c r="GOG1338" s="4" t="s">
        <v>2882</v>
      </c>
      <c r="GOH1338" s="4" t="s">
        <v>2882</v>
      </c>
      <c r="GOI1338" s="4" t="s">
        <v>2882</v>
      </c>
      <c r="GOJ1338" s="4" t="s">
        <v>2882</v>
      </c>
      <c r="GOK1338" s="4" t="s">
        <v>2882</v>
      </c>
      <c r="GOL1338" s="4" t="s">
        <v>2882</v>
      </c>
      <c r="GOM1338" s="4" t="s">
        <v>2882</v>
      </c>
      <c r="GON1338" s="4" t="s">
        <v>2882</v>
      </c>
      <c r="GOO1338" s="4" t="s">
        <v>2882</v>
      </c>
      <c r="GOP1338" s="4" t="s">
        <v>2882</v>
      </c>
      <c r="GOQ1338" s="4" t="s">
        <v>2882</v>
      </c>
      <c r="GOR1338" s="4" t="s">
        <v>2882</v>
      </c>
      <c r="GOS1338" s="4" t="s">
        <v>2882</v>
      </c>
      <c r="GOT1338" s="4" t="s">
        <v>2882</v>
      </c>
      <c r="GOU1338" s="4" t="s">
        <v>2882</v>
      </c>
      <c r="GOV1338" s="4" t="s">
        <v>2882</v>
      </c>
      <c r="GOW1338" s="4" t="s">
        <v>2882</v>
      </c>
      <c r="GOX1338" s="4" t="s">
        <v>2882</v>
      </c>
      <c r="GOY1338" s="4" t="s">
        <v>2882</v>
      </c>
      <c r="GOZ1338" s="4" t="s">
        <v>2882</v>
      </c>
      <c r="GPA1338" s="4" t="s">
        <v>2882</v>
      </c>
      <c r="GPB1338" s="4" t="s">
        <v>2882</v>
      </c>
      <c r="GPC1338" s="4" t="s">
        <v>2882</v>
      </c>
      <c r="GPD1338" s="4" t="s">
        <v>2882</v>
      </c>
      <c r="GPE1338" s="4" t="s">
        <v>2882</v>
      </c>
      <c r="GPF1338" s="4" t="s">
        <v>2882</v>
      </c>
      <c r="GPG1338" s="4" t="s">
        <v>2882</v>
      </c>
      <c r="GPH1338" s="4" t="s">
        <v>2882</v>
      </c>
      <c r="GPI1338" s="4" t="s">
        <v>2882</v>
      </c>
      <c r="GPJ1338" s="4" t="s">
        <v>2882</v>
      </c>
      <c r="GPK1338" s="4" t="s">
        <v>2882</v>
      </c>
      <c r="GPL1338" s="4" t="s">
        <v>2882</v>
      </c>
      <c r="GPM1338" s="4" t="s">
        <v>2882</v>
      </c>
      <c r="GPN1338" s="4" t="s">
        <v>2882</v>
      </c>
      <c r="GPO1338" s="4" t="s">
        <v>2882</v>
      </c>
      <c r="GPP1338" s="4" t="s">
        <v>2882</v>
      </c>
      <c r="GPQ1338" s="4" t="s">
        <v>2882</v>
      </c>
      <c r="GPR1338" s="4" t="s">
        <v>2882</v>
      </c>
      <c r="GPS1338" s="4" t="s">
        <v>2882</v>
      </c>
      <c r="GPT1338" s="4" t="s">
        <v>2882</v>
      </c>
      <c r="GPU1338" s="4" t="s">
        <v>2882</v>
      </c>
      <c r="GPV1338" s="4" t="s">
        <v>2882</v>
      </c>
      <c r="GPW1338" s="4" t="s">
        <v>2882</v>
      </c>
      <c r="GPX1338" s="4" t="s">
        <v>2882</v>
      </c>
      <c r="GPY1338" s="4" t="s">
        <v>2882</v>
      </c>
      <c r="GPZ1338" s="4" t="s">
        <v>2882</v>
      </c>
      <c r="GQA1338" s="4" t="s">
        <v>2882</v>
      </c>
      <c r="GQB1338" s="4" t="s">
        <v>2882</v>
      </c>
      <c r="GQC1338" s="4" t="s">
        <v>2882</v>
      </c>
      <c r="GQD1338" s="4" t="s">
        <v>2882</v>
      </c>
      <c r="GQE1338" s="4" t="s">
        <v>2882</v>
      </c>
      <c r="GQF1338" s="4" t="s">
        <v>2882</v>
      </c>
      <c r="GQG1338" s="4" t="s">
        <v>2882</v>
      </c>
      <c r="GQH1338" s="4" t="s">
        <v>2882</v>
      </c>
      <c r="GQI1338" s="4" t="s">
        <v>2882</v>
      </c>
      <c r="GQJ1338" s="4" t="s">
        <v>2882</v>
      </c>
      <c r="GQK1338" s="4" t="s">
        <v>2882</v>
      </c>
      <c r="GQL1338" s="4" t="s">
        <v>2882</v>
      </c>
      <c r="GQM1338" s="4" t="s">
        <v>2882</v>
      </c>
      <c r="GQN1338" s="4" t="s">
        <v>2882</v>
      </c>
      <c r="GQO1338" s="4" t="s">
        <v>2882</v>
      </c>
      <c r="GQP1338" s="4" t="s">
        <v>2882</v>
      </c>
      <c r="GQQ1338" s="4" t="s">
        <v>2882</v>
      </c>
      <c r="GQR1338" s="4" t="s">
        <v>2882</v>
      </c>
      <c r="GQS1338" s="4" t="s">
        <v>2882</v>
      </c>
      <c r="GQT1338" s="4" t="s">
        <v>2882</v>
      </c>
      <c r="GQU1338" s="4" t="s">
        <v>2882</v>
      </c>
      <c r="GQV1338" s="4" t="s">
        <v>2882</v>
      </c>
      <c r="GQW1338" s="4" t="s">
        <v>2882</v>
      </c>
      <c r="GQX1338" s="4" t="s">
        <v>2882</v>
      </c>
      <c r="GQY1338" s="4" t="s">
        <v>2882</v>
      </c>
      <c r="GQZ1338" s="4" t="s">
        <v>2882</v>
      </c>
      <c r="GRA1338" s="4" t="s">
        <v>2882</v>
      </c>
      <c r="GRB1338" s="4" t="s">
        <v>2882</v>
      </c>
      <c r="GRC1338" s="4" t="s">
        <v>2882</v>
      </c>
      <c r="GRD1338" s="4" t="s">
        <v>2882</v>
      </c>
      <c r="GRE1338" s="4" t="s">
        <v>2882</v>
      </c>
      <c r="GRF1338" s="4" t="s">
        <v>2882</v>
      </c>
      <c r="GRG1338" s="4" t="s">
        <v>2882</v>
      </c>
      <c r="GRH1338" s="4" t="s">
        <v>2882</v>
      </c>
      <c r="GRI1338" s="4" t="s">
        <v>2882</v>
      </c>
      <c r="GRJ1338" s="4" t="s">
        <v>2882</v>
      </c>
      <c r="GRK1338" s="4" t="s">
        <v>2882</v>
      </c>
      <c r="GRL1338" s="4" t="s">
        <v>2882</v>
      </c>
      <c r="GRM1338" s="4" t="s">
        <v>2882</v>
      </c>
      <c r="GRN1338" s="4" t="s">
        <v>2882</v>
      </c>
      <c r="GRO1338" s="4" t="s">
        <v>2882</v>
      </c>
      <c r="GRP1338" s="4" t="s">
        <v>2882</v>
      </c>
      <c r="GRQ1338" s="4" t="s">
        <v>2882</v>
      </c>
      <c r="GRR1338" s="4" t="s">
        <v>2882</v>
      </c>
      <c r="GRS1338" s="4" t="s">
        <v>2882</v>
      </c>
      <c r="GRT1338" s="4" t="s">
        <v>2882</v>
      </c>
      <c r="GRU1338" s="4" t="s">
        <v>2882</v>
      </c>
      <c r="GRV1338" s="4" t="s">
        <v>2882</v>
      </c>
      <c r="GRW1338" s="4" t="s">
        <v>2882</v>
      </c>
      <c r="GRX1338" s="4" t="s">
        <v>2882</v>
      </c>
      <c r="GRY1338" s="4" t="s">
        <v>2882</v>
      </c>
      <c r="GRZ1338" s="4" t="s">
        <v>2882</v>
      </c>
      <c r="GSA1338" s="4" t="s">
        <v>2882</v>
      </c>
      <c r="GSB1338" s="4" t="s">
        <v>2882</v>
      </c>
      <c r="GSC1338" s="4" t="s">
        <v>2882</v>
      </c>
      <c r="GSD1338" s="4" t="s">
        <v>2882</v>
      </c>
      <c r="GSE1338" s="4" t="s">
        <v>2882</v>
      </c>
      <c r="GSF1338" s="4" t="s">
        <v>2882</v>
      </c>
      <c r="GSG1338" s="4" t="s">
        <v>2882</v>
      </c>
      <c r="GSH1338" s="4" t="s">
        <v>2882</v>
      </c>
      <c r="GSI1338" s="4" t="s">
        <v>2882</v>
      </c>
      <c r="GSJ1338" s="4" t="s">
        <v>2882</v>
      </c>
      <c r="GSK1338" s="4" t="s">
        <v>2882</v>
      </c>
      <c r="GSL1338" s="4" t="s">
        <v>2882</v>
      </c>
      <c r="GSM1338" s="4" t="s">
        <v>2882</v>
      </c>
      <c r="GSN1338" s="4" t="s">
        <v>2882</v>
      </c>
      <c r="GSO1338" s="4" t="s">
        <v>2882</v>
      </c>
      <c r="GSP1338" s="4" t="s">
        <v>2882</v>
      </c>
      <c r="GSQ1338" s="4" t="s">
        <v>2882</v>
      </c>
      <c r="GSR1338" s="4" t="s">
        <v>2882</v>
      </c>
      <c r="GSS1338" s="4" t="s">
        <v>2882</v>
      </c>
      <c r="GST1338" s="4" t="s">
        <v>2882</v>
      </c>
      <c r="GSU1338" s="4" t="s">
        <v>2882</v>
      </c>
      <c r="GSV1338" s="4" t="s">
        <v>2882</v>
      </c>
      <c r="GSW1338" s="4" t="s">
        <v>2882</v>
      </c>
      <c r="GSX1338" s="4" t="s">
        <v>2882</v>
      </c>
      <c r="GSY1338" s="4" t="s">
        <v>2882</v>
      </c>
      <c r="GSZ1338" s="4" t="s">
        <v>2882</v>
      </c>
      <c r="GTA1338" s="4" t="s">
        <v>2882</v>
      </c>
      <c r="GTB1338" s="4" t="s">
        <v>2882</v>
      </c>
      <c r="GTC1338" s="4" t="s">
        <v>2882</v>
      </c>
      <c r="GTD1338" s="4" t="s">
        <v>2882</v>
      </c>
      <c r="GTE1338" s="4" t="s">
        <v>2882</v>
      </c>
      <c r="GTF1338" s="4" t="s">
        <v>2882</v>
      </c>
      <c r="GTG1338" s="4" t="s">
        <v>2882</v>
      </c>
      <c r="GTH1338" s="4" t="s">
        <v>2882</v>
      </c>
      <c r="GTI1338" s="4" t="s">
        <v>2882</v>
      </c>
      <c r="GTJ1338" s="4" t="s">
        <v>2882</v>
      </c>
      <c r="GTK1338" s="4" t="s">
        <v>2882</v>
      </c>
      <c r="GTL1338" s="4" t="s">
        <v>2882</v>
      </c>
      <c r="GTM1338" s="4" t="s">
        <v>2882</v>
      </c>
      <c r="GTN1338" s="4" t="s">
        <v>2882</v>
      </c>
      <c r="GTO1338" s="4" t="s">
        <v>2882</v>
      </c>
      <c r="GTP1338" s="4" t="s">
        <v>2882</v>
      </c>
      <c r="GTQ1338" s="4" t="s">
        <v>2882</v>
      </c>
      <c r="GTR1338" s="4" t="s">
        <v>2882</v>
      </c>
      <c r="GTS1338" s="4" t="s">
        <v>2882</v>
      </c>
      <c r="GTT1338" s="4" t="s">
        <v>2882</v>
      </c>
      <c r="GTU1338" s="4" t="s">
        <v>2882</v>
      </c>
      <c r="GTV1338" s="4" t="s">
        <v>2882</v>
      </c>
      <c r="GTW1338" s="4" t="s">
        <v>2882</v>
      </c>
      <c r="GTX1338" s="4" t="s">
        <v>2882</v>
      </c>
      <c r="GTY1338" s="4" t="s">
        <v>2882</v>
      </c>
      <c r="GTZ1338" s="4" t="s">
        <v>2882</v>
      </c>
      <c r="GUA1338" s="4" t="s">
        <v>2882</v>
      </c>
      <c r="GUB1338" s="4" t="s">
        <v>2882</v>
      </c>
      <c r="GUC1338" s="4" t="s">
        <v>2882</v>
      </c>
      <c r="GUD1338" s="4" t="s">
        <v>2882</v>
      </c>
      <c r="GUE1338" s="4" t="s">
        <v>2882</v>
      </c>
      <c r="GUF1338" s="4" t="s">
        <v>2882</v>
      </c>
      <c r="GUG1338" s="4" t="s">
        <v>2882</v>
      </c>
      <c r="GUH1338" s="4" t="s">
        <v>2882</v>
      </c>
      <c r="GUI1338" s="4" t="s">
        <v>2882</v>
      </c>
      <c r="GUJ1338" s="4" t="s">
        <v>2882</v>
      </c>
      <c r="GUK1338" s="4" t="s">
        <v>2882</v>
      </c>
      <c r="GUL1338" s="4" t="s">
        <v>2882</v>
      </c>
      <c r="GUM1338" s="4" t="s">
        <v>2882</v>
      </c>
      <c r="GUN1338" s="4" t="s">
        <v>2882</v>
      </c>
      <c r="GUO1338" s="4" t="s">
        <v>2882</v>
      </c>
      <c r="GUP1338" s="4" t="s">
        <v>2882</v>
      </c>
      <c r="GUQ1338" s="4" t="s">
        <v>2882</v>
      </c>
      <c r="GUR1338" s="4" t="s">
        <v>2882</v>
      </c>
      <c r="GUS1338" s="4" t="s">
        <v>2882</v>
      </c>
      <c r="GUT1338" s="4" t="s">
        <v>2882</v>
      </c>
      <c r="GUU1338" s="4" t="s">
        <v>2882</v>
      </c>
      <c r="GUV1338" s="4" t="s">
        <v>2882</v>
      </c>
      <c r="GUW1338" s="4" t="s">
        <v>2882</v>
      </c>
      <c r="GUX1338" s="4" t="s">
        <v>2882</v>
      </c>
      <c r="GUY1338" s="4" t="s">
        <v>2882</v>
      </c>
      <c r="GUZ1338" s="4" t="s">
        <v>2882</v>
      </c>
      <c r="GVA1338" s="4" t="s">
        <v>2882</v>
      </c>
      <c r="GVB1338" s="4" t="s">
        <v>2882</v>
      </c>
      <c r="GVC1338" s="4" t="s">
        <v>2882</v>
      </c>
      <c r="GVD1338" s="4" t="s">
        <v>2882</v>
      </c>
      <c r="GVE1338" s="4" t="s">
        <v>2882</v>
      </c>
      <c r="GVF1338" s="4" t="s">
        <v>2882</v>
      </c>
      <c r="GVG1338" s="4" t="s">
        <v>2882</v>
      </c>
      <c r="GVH1338" s="4" t="s">
        <v>2882</v>
      </c>
      <c r="GVI1338" s="4" t="s">
        <v>2882</v>
      </c>
      <c r="GVJ1338" s="4" t="s">
        <v>2882</v>
      </c>
      <c r="GVK1338" s="4" t="s">
        <v>2882</v>
      </c>
      <c r="GVL1338" s="4" t="s">
        <v>2882</v>
      </c>
      <c r="GVM1338" s="4" t="s">
        <v>2882</v>
      </c>
      <c r="GVN1338" s="4" t="s">
        <v>2882</v>
      </c>
      <c r="GVO1338" s="4" t="s">
        <v>2882</v>
      </c>
      <c r="GVP1338" s="4" t="s">
        <v>2882</v>
      </c>
      <c r="GVQ1338" s="4" t="s">
        <v>2882</v>
      </c>
      <c r="GVR1338" s="4" t="s">
        <v>2882</v>
      </c>
      <c r="GVS1338" s="4" t="s">
        <v>2882</v>
      </c>
      <c r="GVT1338" s="4" t="s">
        <v>2882</v>
      </c>
      <c r="GVU1338" s="4" t="s">
        <v>2882</v>
      </c>
      <c r="GVV1338" s="4" t="s">
        <v>2882</v>
      </c>
      <c r="GVW1338" s="4" t="s">
        <v>2882</v>
      </c>
      <c r="GVX1338" s="4" t="s">
        <v>2882</v>
      </c>
      <c r="GVY1338" s="4" t="s">
        <v>2882</v>
      </c>
      <c r="GVZ1338" s="4" t="s">
        <v>2882</v>
      </c>
      <c r="GWA1338" s="4" t="s">
        <v>2882</v>
      </c>
      <c r="GWB1338" s="4" t="s">
        <v>2882</v>
      </c>
      <c r="GWC1338" s="4" t="s">
        <v>2882</v>
      </c>
      <c r="GWD1338" s="4" t="s">
        <v>2882</v>
      </c>
      <c r="GWE1338" s="4" t="s">
        <v>2882</v>
      </c>
      <c r="GWF1338" s="4" t="s">
        <v>2882</v>
      </c>
      <c r="GWG1338" s="4" t="s">
        <v>2882</v>
      </c>
      <c r="GWH1338" s="4" t="s">
        <v>2882</v>
      </c>
      <c r="GWI1338" s="4" t="s">
        <v>2882</v>
      </c>
      <c r="GWJ1338" s="4" t="s">
        <v>2882</v>
      </c>
      <c r="GWK1338" s="4" t="s">
        <v>2882</v>
      </c>
      <c r="GWL1338" s="4" t="s">
        <v>2882</v>
      </c>
      <c r="GWM1338" s="4" t="s">
        <v>2882</v>
      </c>
      <c r="GWN1338" s="4" t="s">
        <v>2882</v>
      </c>
      <c r="GWO1338" s="4" t="s">
        <v>2882</v>
      </c>
      <c r="GWP1338" s="4" t="s">
        <v>2882</v>
      </c>
      <c r="GWQ1338" s="4" t="s">
        <v>2882</v>
      </c>
      <c r="GWR1338" s="4" t="s">
        <v>2882</v>
      </c>
      <c r="GWS1338" s="4" t="s">
        <v>2882</v>
      </c>
      <c r="GWT1338" s="4" t="s">
        <v>2882</v>
      </c>
      <c r="GWU1338" s="4" t="s">
        <v>2882</v>
      </c>
      <c r="GWV1338" s="4" t="s">
        <v>2882</v>
      </c>
      <c r="GWW1338" s="4" t="s">
        <v>2882</v>
      </c>
      <c r="GWX1338" s="4" t="s">
        <v>2882</v>
      </c>
      <c r="GWY1338" s="4" t="s">
        <v>2882</v>
      </c>
      <c r="GWZ1338" s="4" t="s">
        <v>2882</v>
      </c>
      <c r="GXA1338" s="4" t="s">
        <v>2882</v>
      </c>
      <c r="GXB1338" s="4" t="s">
        <v>2882</v>
      </c>
      <c r="GXC1338" s="4" t="s">
        <v>2882</v>
      </c>
      <c r="GXD1338" s="4" t="s">
        <v>2882</v>
      </c>
      <c r="GXE1338" s="4" t="s">
        <v>2882</v>
      </c>
      <c r="GXF1338" s="4" t="s">
        <v>2882</v>
      </c>
      <c r="GXG1338" s="4" t="s">
        <v>2882</v>
      </c>
      <c r="GXH1338" s="4" t="s">
        <v>2882</v>
      </c>
      <c r="GXI1338" s="4" t="s">
        <v>2882</v>
      </c>
      <c r="GXJ1338" s="4" t="s">
        <v>2882</v>
      </c>
      <c r="GXK1338" s="4" t="s">
        <v>2882</v>
      </c>
      <c r="GXL1338" s="4" t="s">
        <v>2882</v>
      </c>
      <c r="GXM1338" s="4" t="s">
        <v>2882</v>
      </c>
      <c r="GXN1338" s="4" t="s">
        <v>2882</v>
      </c>
      <c r="GXO1338" s="4" t="s">
        <v>2882</v>
      </c>
      <c r="GXP1338" s="4" t="s">
        <v>2882</v>
      </c>
      <c r="GXQ1338" s="4" t="s">
        <v>2882</v>
      </c>
      <c r="GXR1338" s="4" t="s">
        <v>2882</v>
      </c>
      <c r="GXS1338" s="4" t="s">
        <v>2882</v>
      </c>
      <c r="GXT1338" s="4" t="s">
        <v>2882</v>
      </c>
      <c r="GXU1338" s="4" t="s">
        <v>2882</v>
      </c>
      <c r="GXV1338" s="4" t="s">
        <v>2882</v>
      </c>
      <c r="GXW1338" s="4" t="s">
        <v>2882</v>
      </c>
      <c r="GXX1338" s="4" t="s">
        <v>2882</v>
      </c>
      <c r="GXY1338" s="4" t="s">
        <v>2882</v>
      </c>
      <c r="GXZ1338" s="4" t="s">
        <v>2882</v>
      </c>
      <c r="GYA1338" s="4" t="s">
        <v>2882</v>
      </c>
      <c r="GYB1338" s="4" t="s">
        <v>2882</v>
      </c>
      <c r="GYC1338" s="4" t="s">
        <v>2882</v>
      </c>
      <c r="GYD1338" s="4" t="s">
        <v>2882</v>
      </c>
      <c r="GYE1338" s="4" t="s">
        <v>2882</v>
      </c>
      <c r="GYF1338" s="4" t="s">
        <v>2882</v>
      </c>
      <c r="GYG1338" s="4" t="s">
        <v>2882</v>
      </c>
      <c r="GYH1338" s="4" t="s">
        <v>2882</v>
      </c>
      <c r="GYI1338" s="4" t="s">
        <v>2882</v>
      </c>
      <c r="GYJ1338" s="4" t="s">
        <v>2882</v>
      </c>
      <c r="GYK1338" s="4" t="s">
        <v>2882</v>
      </c>
      <c r="GYL1338" s="4" t="s">
        <v>2882</v>
      </c>
      <c r="GYM1338" s="4" t="s">
        <v>2882</v>
      </c>
      <c r="GYN1338" s="4" t="s">
        <v>2882</v>
      </c>
      <c r="GYO1338" s="4" t="s">
        <v>2882</v>
      </c>
      <c r="GYP1338" s="4" t="s">
        <v>2882</v>
      </c>
      <c r="GYQ1338" s="4" t="s">
        <v>2882</v>
      </c>
      <c r="GYR1338" s="4" t="s">
        <v>2882</v>
      </c>
      <c r="GYS1338" s="4" t="s">
        <v>2882</v>
      </c>
      <c r="GYT1338" s="4" t="s">
        <v>2882</v>
      </c>
      <c r="GYU1338" s="4" t="s">
        <v>2882</v>
      </c>
      <c r="GYV1338" s="4" t="s">
        <v>2882</v>
      </c>
      <c r="GYW1338" s="4" t="s">
        <v>2882</v>
      </c>
      <c r="GYX1338" s="4" t="s">
        <v>2882</v>
      </c>
      <c r="GYY1338" s="4" t="s">
        <v>2882</v>
      </c>
      <c r="GYZ1338" s="4" t="s">
        <v>2882</v>
      </c>
      <c r="GZA1338" s="4" t="s">
        <v>2882</v>
      </c>
      <c r="GZB1338" s="4" t="s">
        <v>2882</v>
      </c>
      <c r="GZC1338" s="4" t="s">
        <v>2882</v>
      </c>
      <c r="GZD1338" s="4" t="s">
        <v>2882</v>
      </c>
      <c r="GZE1338" s="4" t="s">
        <v>2882</v>
      </c>
      <c r="GZF1338" s="4" t="s">
        <v>2882</v>
      </c>
      <c r="GZG1338" s="4" t="s">
        <v>2882</v>
      </c>
      <c r="GZH1338" s="4" t="s">
        <v>2882</v>
      </c>
      <c r="GZI1338" s="4" t="s">
        <v>2882</v>
      </c>
      <c r="GZJ1338" s="4" t="s">
        <v>2882</v>
      </c>
      <c r="GZK1338" s="4" t="s">
        <v>2882</v>
      </c>
      <c r="GZL1338" s="4" t="s">
        <v>2882</v>
      </c>
      <c r="GZM1338" s="4" t="s">
        <v>2882</v>
      </c>
      <c r="GZN1338" s="4" t="s">
        <v>2882</v>
      </c>
      <c r="GZO1338" s="4" t="s">
        <v>2882</v>
      </c>
      <c r="GZP1338" s="4" t="s">
        <v>2882</v>
      </c>
      <c r="GZQ1338" s="4" t="s">
        <v>2882</v>
      </c>
      <c r="GZR1338" s="4" t="s">
        <v>2882</v>
      </c>
      <c r="GZS1338" s="4" t="s">
        <v>2882</v>
      </c>
      <c r="GZT1338" s="4" t="s">
        <v>2882</v>
      </c>
      <c r="GZU1338" s="4" t="s">
        <v>2882</v>
      </c>
      <c r="GZV1338" s="4" t="s">
        <v>2882</v>
      </c>
      <c r="GZW1338" s="4" t="s">
        <v>2882</v>
      </c>
      <c r="GZX1338" s="4" t="s">
        <v>2882</v>
      </c>
      <c r="GZY1338" s="4" t="s">
        <v>2882</v>
      </c>
      <c r="GZZ1338" s="4" t="s">
        <v>2882</v>
      </c>
      <c r="HAA1338" s="4" t="s">
        <v>2882</v>
      </c>
      <c r="HAB1338" s="4" t="s">
        <v>2882</v>
      </c>
      <c r="HAC1338" s="4" t="s">
        <v>2882</v>
      </c>
      <c r="HAD1338" s="4" t="s">
        <v>2882</v>
      </c>
      <c r="HAE1338" s="4" t="s">
        <v>2882</v>
      </c>
      <c r="HAF1338" s="4" t="s">
        <v>2882</v>
      </c>
      <c r="HAG1338" s="4" t="s">
        <v>2882</v>
      </c>
      <c r="HAH1338" s="4" t="s">
        <v>2882</v>
      </c>
      <c r="HAI1338" s="4" t="s">
        <v>2882</v>
      </c>
      <c r="HAJ1338" s="4" t="s">
        <v>2882</v>
      </c>
      <c r="HAK1338" s="4" t="s">
        <v>2882</v>
      </c>
      <c r="HAL1338" s="4" t="s">
        <v>2882</v>
      </c>
      <c r="HAM1338" s="4" t="s">
        <v>2882</v>
      </c>
      <c r="HAN1338" s="4" t="s">
        <v>2882</v>
      </c>
      <c r="HAO1338" s="4" t="s">
        <v>2882</v>
      </c>
      <c r="HAP1338" s="4" t="s">
        <v>2882</v>
      </c>
      <c r="HAQ1338" s="4" t="s">
        <v>2882</v>
      </c>
      <c r="HAR1338" s="4" t="s">
        <v>2882</v>
      </c>
      <c r="HAS1338" s="4" t="s">
        <v>2882</v>
      </c>
      <c r="HAT1338" s="4" t="s">
        <v>2882</v>
      </c>
      <c r="HAU1338" s="4" t="s">
        <v>2882</v>
      </c>
      <c r="HAV1338" s="4" t="s">
        <v>2882</v>
      </c>
      <c r="HAW1338" s="4" t="s">
        <v>2882</v>
      </c>
      <c r="HAX1338" s="4" t="s">
        <v>2882</v>
      </c>
      <c r="HAY1338" s="4" t="s">
        <v>2882</v>
      </c>
      <c r="HAZ1338" s="4" t="s">
        <v>2882</v>
      </c>
      <c r="HBA1338" s="4" t="s">
        <v>2882</v>
      </c>
      <c r="HBB1338" s="4" t="s">
        <v>2882</v>
      </c>
      <c r="HBC1338" s="4" t="s">
        <v>2882</v>
      </c>
      <c r="HBD1338" s="4" t="s">
        <v>2882</v>
      </c>
      <c r="HBE1338" s="4" t="s">
        <v>2882</v>
      </c>
      <c r="HBF1338" s="4" t="s">
        <v>2882</v>
      </c>
      <c r="HBG1338" s="4" t="s">
        <v>2882</v>
      </c>
      <c r="HBH1338" s="4" t="s">
        <v>2882</v>
      </c>
      <c r="HBI1338" s="4" t="s">
        <v>2882</v>
      </c>
      <c r="HBJ1338" s="4" t="s">
        <v>2882</v>
      </c>
      <c r="HBK1338" s="4" t="s">
        <v>2882</v>
      </c>
      <c r="HBL1338" s="4" t="s">
        <v>2882</v>
      </c>
      <c r="HBM1338" s="4" t="s">
        <v>2882</v>
      </c>
      <c r="HBN1338" s="4" t="s">
        <v>2882</v>
      </c>
      <c r="HBO1338" s="4" t="s">
        <v>2882</v>
      </c>
      <c r="HBP1338" s="4" t="s">
        <v>2882</v>
      </c>
      <c r="HBQ1338" s="4" t="s">
        <v>2882</v>
      </c>
      <c r="HBR1338" s="4" t="s">
        <v>2882</v>
      </c>
      <c r="HBS1338" s="4" t="s">
        <v>2882</v>
      </c>
      <c r="HBT1338" s="4" t="s">
        <v>2882</v>
      </c>
      <c r="HBU1338" s="4" t="s">
        <v>2882</v>
      </c>
      <c r="HBV1338" s="4" t="s">
        <v>2882</v>
      </c>
      <c r="HBW1338" s="4" t="s">
        <v>2882</v>
      </c>
      <c r="HBX1338" s="4" t="s">
        <v>2882</v>
      </c>
      <c r="HBY1338" s="4" t="s">
        <v>2882</v>
      </c>
      <c r="HBZ1338" s="4" t="s">
        <v>2882</v>
      </c>
      <c r="HCA1338" s="4" t="s">
        <v>2882</v>
      </c>
      <c r="HCB1338" s="4" t="s">
        <v>2882</v>
      </c>
      <c r="HCC1338" s="4" t="s">
        <v>2882</v>
      </c>
      <c r="HCD1338" s="4" t="s">
        <v>2882</v>
      </c>
      <c r="HCE1338" s="4" t="s">
        <v>2882</v>
      </c>
      <c r="HCF1338" s="4" t="s">
        <v>2882</v>
      </c>
      <c r="HCG1338" s="4" t="s">
        <v>2882</v>
      </c>
      <c r="HCH1338" s="4" t="s">
        <v>2882</v>
      </c>
      <c r="HCI1338" s="4" t="s">
        <v>2882</v>
      </c>
      <c r="HCJ1338" s="4" t="s">
        <v>2882</v>
      </c>
      <c r="HCK1338" s="4" t="s">
        <v>2882</v>
      </c>
      <c r="HCL1338" s="4" t="s">
        <v>2882</v>
      </c>
      <c r="HCM1338" s="4" t="s">
        <v>2882</v>
      </c>
      <c r="HCN1338" s="4" t="s">
        <v>2882</v>
      </c>
      <c r="HCO1338" s="4" t="s">
        <v>2882</v>
      </c>
      <c r="HCP1338" s="4" t="s">
        <v>2882</v>
      </c>
      <c r="HCQ1338" s="4" t="s">
        <v>2882</v>
      </c>
      <c r="HCR1338" s="4" t="s">
        <v>2882</v>
      </c>
      <c r="HCS1338" s="4" t="s">
        <v>2882</v>
      </c>
      <c r="HCT1338" s="4" t="s">
        <v>2882</v>
      </c>
      <c r="HCU1338" s="4" t="s">
        <v>2882</v>
      </c>
      <c r="HCV1338" s="4" t="s">
        <v>2882</v>
      </c>
      <c r="HCW1338" s="4" t="s">
        <v>2882</v>
      </c>
      <c r="HCX1338" s="4" t="s">
        <v>2882</v>
      </c>
      <c r="HCY1338" s="4" t="s">
        <v>2882</v>
      </c>
      <c r="HCZ1338" s="4" t="s">
        <v>2882</v>
      </c>
      <c r="HDA1338" s="4" t="s">
        <v>2882</v>
      </c>
      <c r="HDB1338" s="4" t="s">
        <v>2882</v>
      </c>
      <c r="HDC1338" s="4" t="s">
        <v>2882</v>
      </c>
      <c r="HDD1338" s="4" t="s">
        <v>2882</v>
      </c>
      <c r="HDE1338" s="4" t="s">
        <v>2882</v>
      </c>
      <c r="HDF1338" s="4" t="s">
        <v>2882</v>
      </c>
      <c r="HDG1338" s="4" t="s">
        <v>2882</v>
      </c>
      <c r="HDH1338" s="4" t="s">
        <v>2882</v>
      </c>
      <c r="HDI1338" s="4" t="s">
        <v>2882</v>
      </c>
      <c r="HDJ1338" s="4" t="s">
        <v>2882</v>
      </c>
      <c r="HDK1338" s="4" t="s">
        <v>2882</v>
      </c>
      <c r="HDL1338" s="4" t="s">
        <v>2882</v>
      </c>
      <c r="HDM1338" s="4" t="s">
        <v>2882</v>
      </c>
      <c r="HDN1338" s="4" t="s">
        <v>2882</v>
      </c>
      <c r="HDO1338" s="4" t="s">
        <v>2882</v>
      </c>
      <c r="HDP1338" s="4" t="s">
        <v>2882</v>
      </c>
      <c r="HDQ1338" s="4" t="s">
        <v>2882</v>
      </c>
      <c r="HDR1338" s="4" t="s">
        <v>2882</v>
      </c>
      <c r="HDS1338" s="4" t="s">
        <v>2882</v>
      </c>
      <c r="HDT1338" s="4" t="s">
        <v>2882</v>
      </c>
      <c r="HDU1338" s="4" t="s">
        <v>2882</v>
      </c>
      <c r="HDV1338" s="4" t="s">
        <v>2882</v>
      </c>
      <c r="HDW1338" s="4" t="s">
        <v>2882</v>
      </c>
      <c r="HDX1338" s="4" t="s">
        <v>2882</v>
      </c>
      <c r="HDY1338" s="4" t="s">
        <v>2882</v>
      </c>
      <c r="HDZ1338" s="4" t="s">
        <v>2882</v>
      </c>
      <c r="HEA1338" s="4" t="s">
        <v>2882</v>
      </c>
      <c r="HEB1338" s="4" t="s">
        <v>2882</v>
      </c>
      <c r="HEC1338" s="4" t="s">
        <v>2882</v>
      </c>
      <c r="HED1338" s="4" t="s">
        <v>2882</v>
      </c>
      <c r="HEE1338" s="4" t="s">
        <v>2882</v>
      </c>
      <c r="HEF1338" s="4" t="s">
        <v>2882</v>
      </c>
      <c r="HEG1338" s="4" t="s">
        <v>2882</v>
      </c>
      <c r="HEH1338" s="4" t="s">
        <v>2882</v>
      </c>
      <c r="HEI1338" s="4" t="s">
        <v>2882</v>
      </c>
      <c r="HEJ1338" s="4" t="s">
        <v>2882</v>
      </c>
      <c r="HEK1338" s="4" t="s">
        <v>2882</v>
      </c>
      <c r="HEL1338" s="4" t="s">
        <v>2882</v>
      </c>
      <c r="HEM1338" s="4" t="s">
        <v>2882</v>
      </c>
      <c r="HEN1338" s="4" t="s">
        <v>2882</v>
      </c>
      <c r="HEO1338" s="4" t="s">
        <v>2882</v>
      </c>
      <c r="HEP1338" s="4" t="s">
        <v>2882</v>
      </c>
      <c r="HEQ1338" s="4" t="s">
        <v>2882</v>
      </c>
      <c r="HER1338" s="4" t="s">
        <v>2882</v>
      </c>
      <c r="HES1338" s="4" t="s">
        <v>2882</v>
      </c>
      <c r="HET1338" s="4" t="s">
        <v>2882</v>
      </c>
      <c r="HEU1338" s="4" t="s">
        <v>2882</v>
      </c>
      <c r="HEV1338" s="4" t="s">
        <v>2882</v>
      </c>
      <c r="HEW1338" s="4" t="s">
        <v>2882</v>
      </c>
      <c r="HEX1338" s="4" t="s">
        <v>2882</v>
      </c>
      <c r="HEY1338" s="4" t="s">
        <v>2882</v>
      </c>
      <c r="HEZ1338" s="4" t="s">
        <v>2882</v>
      </c>
      <c r="HFA1338" s="4" t="s">
        <v>2882</v>
      </c>
      <c r="HFB1338" s="4" t="s">
        <v>2882</v>
      </c>
      <c r="HFC1338" s="4" t="s">
        <v>2882</v>
      </c>
      <c r="HFD1338" s="4" t="s">
        <v>2882</v>
      </c>
      <c r="HFE1338" s="4" t="s">
        <v>2882</v>
      </c>
      <c r="HFF1338" s="4" t="s">
        <v>2882</v>
      </c>
      <c r="HFG1338" s="4" t="s">
        <v>2882</v>
      </c>
      <c r="HFH1338" s="4" t="s">
        <v>2882</v>
      </c>
      <c r="HFI1338" s="4" t="s">
        <v>2882</v>
      </c>
      <c r="HFJ1338" s="4" t="s">
        <v>2882</v>
      </c>
      <c r="HFK1338" s="4" t="s">
        <v>2882</v>
      </c>
      <c r="HFL1338" s="4" t="s">
        <v>2882</v>
      </c>
      <c r="HFM1338" s="4" t="s">
        <v>2882</v>
      </c>
      <c r="HFN1338" s="4" t="s">
        <v>2882</v>
      </c>
      <c r="HFO1338" s="4" t="s">
        <v>2882</v>
      </c>
      <c r="HFP1338" s="4" t="s">
        <v>2882</v>
      </c>
      <c r="HFQ1338" s="4" t="s">
        <v>2882</v>
      </c>
      <c r="HFR1338" s="4" t="s">
        <v>2882</v>
      </c>
      <c r="HFS1338" s="4" t="s">
        <v>2882</v>
      </c>
      <c r="HFT1338" s="4" t="s">
        <v>2882</v>
      </c>
      <c r="HFU1338" s="4" t="s">
        <v>2882</v>
      </c>
      <c r="HFV1338" s="4" t="s">
        <v>2882</v>
      </c>
      <c r="HFW1338" s="4" t="s">
        <v>2882</v>
      </c>
      <c r="HFX1338" s="4" t="s">
        <v>2882</v>
      </c>
      <c r="HFY1338" s="4" t="s">
        <v>2882</v>
      </c>
      <c r="HFZ1338" s="4" t="s">
        <v>2882</v>
      </c>
      <c r="HGA1338" s="4" t="s">
        <v>2882</v>
      </c>
      <c r="HGB1338" s="4" t="s">
        <v>2882</v>
      </c>
      <c r="HGC1338" s="4" t="s">
        <v>2882</v>
      </c>
      <c r="HGD1338" s="4" t="s">
        <v>2882</v>
      </c>
      <c r="HGE1338" s="4" t="s">
        <v>2882</v>
      </c>
      <c r="HGF1338" s="4" t="s">
        <v>2882</v>
      </c>
      <c r="HGG1338" s="4" t="s">
        <v>2882</v>
      </c>
      <c r="HGH1338" s="4" t="s">
        <v>2882</v>
      </c>
      <c r="HGI1338" s="4" t="s">
        <v>2882</v>
      </c>
      <c r="HGJ1338" s="4" t="s">
        <v>2882</v>
      </c>
      <c r="HGK1338" s="4" t="s">
        <v>2882</v>
      </c>
      <c r="HGL1338" s="4" t="s">
        <v>2882</v>
      </c>
      <c r="HGM1338" s="4" t="s">
        <v>2882</v>
      </c>
      <c r="HGN1338" s="4" t="s">
        <v>2882</v>
      </c>
      <c r="HGO1338" s="4" t="s">
        <v>2882</v>
      </c>
      <c r="HGP1338" s="4" t="s">
        <v>2882</v>
      </c>
      <c r="HGQ1338" s="4" t="s">
        <v>2882</v>
      </c>
      <c r="HGR1338" s="4" t="s">
        <v>2882</v>
      </c>
      <c r="HGS1338" s="4" t="s">
        <v>2882</v>
      </c>
      <c r="HGT1338" s="4" t="s">
        <v>2882</v>
      </c>
      <c r="HGU1338" s="4" t="s">
        <v>2882</v>
      </c>
      <c r="HGV1338" s="4" t="s">
        <v>2882</v>
      </c>
      <c r="HGW1338" s="4" t="s">
        <v>2882</v>
      </c>
      <c r="HGX1338" s="4" t="s">
        <v>2882</v>
      </c>
      <c r="HGY1338" s="4" t="s">
        <v>2882</v>
      </c>
      <c r="HGZ1338" s="4" t="s">
        <v>2882</v>
      </c>
      <c r="HHA1338" s="4" t="s">
        <v>2882</v>
      </c>
      <c r="HHB1338" s="4" t="s">
        <v>2882</v>
      </c>
      <c r="HHC1338" s="4" t="s">
        <v>2882</v>
      </c>
      <c r="HHD1338" s="4" t="s">
        <v>2882</v>
      </c>
      <c r="HHE1338" s="4" t="s">
        <v>2882</v>
      </c>
      <c r="HHF1338" s="4" t="s">
        <v>2882</v>
      </c>
      <c r="HHG1338" s="4" t="s">
        <v>2882</v>
      </c>
      <c r="HHH1338" s="4" t="s">
        <v>2882</v>
      </c>
      <c r="HHI1338" s="4" t="s">
        <v>2882</v>
      </c>
      <c r="HHJ1338" s="4" t="s">
        <v>2882</v>
      </c>
      <c r="HHK1338" s="4" t="s">
        <v>2882</v>
      </c>
      <c r="HHL1338" s="4" t="s">
        <v>2882</v>
      </c>
      <c r="HHM1338" s="4" t="s">
        <v>2882</v>
      </c>
      <c r="HHN1338" s="4" t="s">
        <v>2882</v>
      </c>
      <c r="HHO1338" s="4" t="s">
        <v>2882</v>
      </c>
      <c r="HHP1338" s="4" t="s">
        <v>2882</v>
      </c>
      <c r="HHQ1338" s="4" t="s">
        <v>2882</v>
      </c>
      <c r="HHR1338" s="4" t="s">
        <v>2882</v>
      </c>
      <c r="HHS1338" s="4" t="s">
        <v>2882</v>
      </c>
      <c r="HHT1338" s="4" t="s">
        <v>2882</v>
      </c>
      <c r="HHU1338" s="4" t="s">
        <v>2882</v>
      </c>
      <c r="HHV1338" s="4" t="s">
        <v>2882</v>
      </c>
      <c r="HHW1338" s="4" t="s">
        <v>2882</v>
      </c>
      <c r="HHX1338" s="4" t="s">
        <v>2882</v>
      </c>
      <c r="HHY1338" s="4" t="s">
        <v>2882</v>
      </c>
      <c r="HHZ1338" s="4" t="s">
        <v>2882</v>
      </c>
      <c r="HIA1338" s="4" t="s">
        <v>2882</v>
      </c>
      <c r="HIB1338" s="4" t="s">
        <v>2882</v>
      </c>
      <c r="HIC1338" s="4" t="s">
        <v>2882</v>
      </c>
      <c r="HID1338" s="4" t="s">
        <v>2882</v>
      </c>
      <c r="HIE1338" s="4" t="s">
        <v>2882</v>
      </c>
      <c r="HIF1338" s="4" t="s">
        <v>2882</v>
      </c>
      <c r="HIG1338" s="4" t="s">
        <v>2882</v>
      </c>
      <c r="HIH1338" s="4" t="s">
        <v>2882</v>
      </c>
      <c r="HII1338" s="4" t="s">
        <v>2882</v>
      </c>
      <c r="HIJ1338" s="4" t="s">
        <v>2882</v>
      </c>
      <c r="HIK1338" s="4" t="s">
        <v>2882</v>
      </c>
      <c r="HIL1338" s="4" t="s">
        <v>2882</v>
      </c>
      <c r="HIM1338" s="4" t="s">
        <v>2882</v>
      </c>
      <c r="HIN1338" s="4" t="s">
        <v>2882</v>
      </c>
      <c r="HIO1338" s="4" t="s">
        <v>2882</v>
      </c>
      <c r="HIP1338" s="4" t="s">
        <v>2882</v>
      </c>
      <c r="HIQ1338" s="4" t="s">
        <v>2882</v>
      </c>
      <c r="HIR1338" s="4" t="s">
        <v>2882</v>
      </c>
      <c r="HIS1338" s="4" t="s">
        <v>2882</v>
      </c>
      <c r="HIT1338" s="4" t="s">
        <v>2882</v>
      </c>
      <c r="HIU1338" s="4" t="s">
        <v>2882</v>
      </c>
      <c r="HIV1338" s="4" t="s">
        <v>2882</v>
      </c>
      <c r="HIW1338" s="4" t="s">
        <v>2882</v>
      </c>
      <c r="HIX1338" s="4" t="s">
        <v>2882</v>
      </c>
      <c r="HIY1338" s="4" t="s">
        <v>2882</v>
      </c>
      <c r="HIZ1338" s="4" t="s">
        <v>2882</v>
      </c>
      <c r="HJA1338" s="4" t="s">
        <v>2882</v>
      </c>
      <c r="HJB1338" s="4" t="s">
        <v>2882</v>
      </c>
      <c r="HJC1338" s="4" t="s">
        <v>2882</v>
      </c>
      <c r="HJD1338" s="4" t="s">
        <v>2882</v>
      </c>
      <c r="HJE1338" s="4" t="s">
        <v>2882</v>
      </c>
      <c r="HJF1338" s="4" t="s">
        <v>2882</v>
      </c>
      <c r="HJG1338" s="4" t="s">
        <v>2882</v>
      </c>
      <c r="HJH1338" s="4" t="s">
        <v>2882</v>
      </c>
      <c r="HJI1338" s="4" t="s">
        <v>2882</v>
      </c>
      <c r="HJJ1338" s="4" t="s">
        <v>2882</v>
      </c>
      <c r="HJK1338" s="4" t="s">
        <v>2882</v>
      </c>
      <c r="HJL1338" s="4" t="s">
        <v>2882</v>
      </c>
      <c r="HJM1338" s="4" t="s">
        <v>2882</v>
      </c>
      <c r="HJN1338" s="4" t="s">
        <v>2882</v>
      </c>
      <c r="HJO1338" s="4" t="s">
        <v>2882</v>
      </c>
      <c r="HJP1338" s="4" t="s">
        <v>2882</v>
      </c>
      <c r="HJQ1338" s="4" t="s">
        <v>2882</v>
      </c>
      <c r="HJR1338" s="4" t="s">
        <v>2882</v>
      </c>
      <c r="HJS1338" s="4" t="s">
        <v>2882</v>
      </c>
      <c r="HJT1338" s="4" t="s">
        <v>2882</v>
      </c>
      <c r="HJU1338" s="4" t="s">
        <v>2882</v>
      </c>
      <c r="HJV1338" s="4" t="s">
        <v>2882</v>
      </c>
      <c r="HJW1338" s="4" t="s">
        <v>2882</v>
      </c>
      <c r="HJX1338" s="4" t="s">
        <v>2882</v>
      </c>
      <c r="HJY1338" s="4" t="s">
        <v>2882</v>
      </c>
      <c r="HJZ1338" s="4" t="s">
        <v>2882</v>
      </c>
      <c r="HKA1338" s="4" t="s">
        <v>2882</v>
      </c>
      <c r="HKB1338" s="4" t="s">
        <v>2882</v>
      </c>
      <c r="HKC1338" s="4" t="s">
        <v>2882</v>
      </c>
      <c r="HKD1338" s="4" t="s">
        <v>2882</v>
      </c>
      <c r="HKE1338" s="4" t="s">
        <v>2882</v>
      </c>
      <c r="HKF1338" s="4" t="s">
        <v>2882</v>
      </c>
      <c r="HKG1338" s="4" t="s">
        <v>2882</v>
      </c>
      <c r="HKH1338" s="4" t="s">
        <v>2882</v>
      </c>
      <c r="HKI1338" s="4" t="s">
        <v>2882</v>
      </c>
      <c r="HKJ1338" s="4" t="s">
        <v>2882</v>
      </c>
      <c r="HKK1338" s="4" t="s">
        <v>2882</v>
      </c>
      <c r="HKL1338" s="4" t="s">
        <v>2882</v>
      </c>
      <c r="HKM1338" s="4" t="s">
        <v>2882</v>
      </c>
      <c r="HKN1338" s="4" t="s">
        <v>2882</v>
      </c>
      <c r="HKO1338" s="4" t="s">
        <v>2882</v>
      </c>
      <c r="HKP1338" s="4" t="s">
        <v>2882</v>
      </c>
      <c r="HKQ1338" s="4" t="s">
        <v>2882</v>
      </c>
      <c r="HKR1338" s="4" t="s">
        <v>2882</v>
      </c>
      <c r="HKS1338" s="4" t="s">
        <v>2882</v>
      </c>
      <c r="HKT1338" s="4" t="s">
        <v>2882</v>
      </c>
      <c r="HKU1338" s="4" t="s">
        <v>2882</v>
      </c>
      <c r="HKV1338" s="4" t="s">
        <v>2882</v>
      </c>
      <c r="HKW1338" s="4" t="s">
        <v>2882</v>
      </c>
      <c r="HKX1338" s="4" t="s">
        <v>2882</v>
      </c>
      <c r="HKY1338" s="4" t="s">
        <v>2882</v>
      </c>
      <c r="HKZ1338" s="4" t="s">
        <v>2882</v>
      </c>
      <c r="HLA1338" s="4" t="s">
        <v>2882</v>
      </c>
      <c r="HLB1338" s="4" t="s">
        <v>2882</v>
      </c>
      <c r="HLC1338" s="4" t="s">
        <v>2882</v>
      </c>
      <c r="HLD1338" s="4" t="s">
        <v>2882</v>
      </c>
      <c r="HLE1338" s="4" t="s">
        <v>2882</v>
      </c>
      <c r="HLF1338" s="4" t="s">
        <v>2882</v>
      </c>
      <c r="HLG1338" s="4" t="s">
        <v>2882</v>
      </c>
      <c r="HLH1338" s="4" t="s">
        <v>2882</v>
      </c>
      <c r="HLI1338" s="4" t="s">
        <v>2882</v>
      </c>
      <c r="HLJ1338" s="4" t="s">
        <v>2882</v>
      </c>
      <c r="HLK1338" s="4" t="s">
        <v>2882</v>
      </c>
      <c r="HLL1338" s="4" t="s">
        <v>2882</v>
      </c>
      <c r="HLM1338" s="4" t="s">
        <v>2882</v>
      </c>
      <c r="HLN1338" s="4" t="s">
        <v>2882</v>
      </c>
      <c r="HLO1338" s="4" t="s">
        <v>2882</v>
      </c>
      <c r="HLP1338" s="4" t="s">
        <v>2882</v>
      </c>
      <c r="HLQ1338" s="4" t="s">
        <v>2882</v>
      </c>
      <c r="HLR1338" s="4" t="s">
        <v>2882</v>
      </c>
      <c r="HLS1338" s="4" t="s">
        <v>2882</v>
      </c>
      <c r="HLT1338" s="4" t="s">
        <v>2882</v>
      </c>
      <c r="HLU1338" s="4" t="s">
        <v>2882</v>
      </c>
      <c r="HLV1338" s="4" t="s">
        <v>2882</v>
      </c>
      <c r="HLW1338" s="4" t="s">
        <v>2882</v>
      </c>
      <c r="HLX1338" s="4" t="s">
        <v>2882</v>
      </c>
      <c r="HLY1338" s="4" t="s">
        <v>2882</v>
      </c>
      <c r="HLZ1338" s="4" t="s">
        <v>2882</v>
      </c>
      <c r="HMA1338" s="4" t="s">
        <v>2882</v>
      </c>
      <c r="HMB1338" s="4" t="s">
        <v>2882</v>
      </c>
      <c r="HMC1338" s="4" t="s">
        <v>2882</v>
      </c>
      <c r="HMD1338" s="4" t="s">
        <v>2882</v>
      </c>
      <c r="HME1338" s="4" t="s">
        <v>2882</v>
      </c>
      <c r="HMF1338" s="4" t="s">
        <v>2882</v>
      </c>
      <c r="HMG1338" s="4" t="s">
        <v>2882</v>
      </c>
      <c r="HMH1338" s="4" t="s">
        <v>2882</v>
      </c>
      <c r="HMI1338" s="4" t="s">
        <v>2882</v>
      </c>
      <c r="HMJ1338" s="4" t="s">
        <v>2882</v>
      </c>
      <c r="HMK1338" s="4" t="s">
        <v>2882</v>
      </c>
      <c r="HML1338" s="4" t="s">
        <v>2882</v>
      </c>
      <c r="HMM1338" s="4" t="s">
        <v>2882</v>
      </c>
      <c r="HMN1338" s="4" t="s">
        <v>2882</v>
      </c>
      <c r="HMO1338" s="4" t="s">
        <v>2882</v>
      </c>
      <c r="HMP1338" s="4" t="s">
        <v>2882</v>
      </c>
      <c r="HMQ1338" s="4" t="s">
        <v>2882</v>
      </c>
      <c r="HMR1338" s="4" t="s">
        <v>2882</v>
      </c>
      <c r="HMS1338" s="4" t="s">
        <v>2882</v>
      </c>
      <c r="HMT1338" s="4" t="s">
        <v>2882</v>
      </c>
      <c r="HMU1338" s="4" t="s">
        <v>2882</v>
      </c>
      <c r="HMV1338" s="4" t="s">
        <v>2882</v>
      </c>
      <c r="HMW1338" s="4" t="s">
        <v>2882</v>
      </c>
      <c r="HMX1338" s="4" t="s">
        <v>2882</v>
      </c>
      <c r="HMY1338" s="4" t="s">
        <v>2882</v>
      </c>
      <c r="HMZ1338" s="4" t="s">
        <v>2882</v>
      </c>
      <c r="HNA1338" s="4" t="s">
        <v>2882</v>
      </c>
      <c r="HNB1338" s="4" t="s">
        <v>2882</v>
      </c>
      <c r="HNC1338" s="4" t="s">
        <v>2882</v>
      </c>
      <c r="HND1338" s="4" t="s">
        <v>2882</v>
      </c>
      <c r="HNE1338" s="4" t="s">
        <v>2882</v>
      </c>
      <c r="HNF1338" s="4" t="s">
        <v>2882</v>
      </c>
      <c r="HNG1338" s="4" t="s">
        <v>2882</v>
      </c>
      <c r="HNH1338" s="4" t="s">
        <v>2882</v>
      </c>
      <c r="HNI1338" s="4" t="s">
        <v>2882</v>
      </c>
      <c r="HNJ1338" s="4" t="s">
        <v>2882</v>
      </c>
      <c r="HNK1338" s="4" t="s">
        <v>2882</v>
      </c>
      <c r="HNL1338" s="4" t="s">
        <v>2882</v>
      </c>
      <c r="HNM1338" s="4" t="s">
        <v>2882</v>
      </c>
      <c r="HNN1338" s="4" t="s">
        <v>2882</v>
      </c>
      <c r="HNO1338" s="4" t="s">
        <v>2882</v>
      </c>
      <c r="HNP1338" s="4" t="s">
        <v>2882</v>
      </c>
      <c r="HNQ1338" s="4" t="s">
        <v>2882</v>
      </c>
      <c r="HNR1338" s="4" t="s">
        <v>2882</v>
      </c>
      <c r="HNS1338" s="4" t="s">
        <v>2882</v>
      </c>
      <c r="HNT1338" s="4" t="s">
        <v>2882</v>
      </c>
      <c r="HNU1338" s="4" t="s">
        <v>2882</v>
      </c>
      <c r="HNV1338" s="4" t="s">
        <v>2882</v>
      </c>
      <c r="HNW1338" s="4" t="s">
        <v>2882</v>
      </c>
      <c r="HNX1338" s="4" t="s">
        <v>2882</v>
      </c>
      <c r="HNY1338" s="4" t="s">
        <v>2882</v>
      </c>
      <c r="HNZ1338" s="4" t="s">
        <v>2882</v>
      </c>
      <c r="HOA1338" s="4" t="s">
        <v>2882</v>
      </c>
      <c r="HOB1338" s="4" t="s">
        <v>2882</v>
      </c>
      <c r="HOC1338" s="4" t="s">
        <v>2882</v>
      </c>
      <c r="HOD1338" s="4" t="s">
        <v>2882</v>
      </c>
      <c r="HOE1338" s="4" t="s">
        <v>2882</v>
      </c>
      <c r="HOF1338" s="4" t="s">
        <v>2882</v>
      </c>
      <c r="HOG1338" s="4" t="s">
        <v>2882</v>
      </c>
      <c r="HOH1338" s="4" t="s">
        <v>2882</v>
      </c>
      <c r="HOI1338" s="4" t="s">
        <v>2882</v>
      </c>
      <c r="HOJ1338" s="4" t="s">
        <v>2882</v>
      </c>
      <c r="HOK1338" s="4" t="s">
        <v>2882</v>
      </c>
      <c r="HOL1338" s="4" t="s">
        <v>2882</v>
      </c>
      <c r="HOM1338" s="4" t="s">
        <v>2882</v>
      </c>
      <c r="HON1338" s="4" t="s">
        <v>2882</v>
      </c>
      <c r="HOO1338" s="4" t="s">
        <v>2882</v>
      </c>
      <c r="HOP1338" s="4" t="s">
        <v>2882</v>
      </c>
      <c r="HOQ1338" s="4" t="s">
        <v>2882</v>
      </c>
      <c r="HOR1338" s="4" t="s">
        <v>2882</v>
      </c>
      <c r="HOS1338" s="4" t="s">
        <v>2882</v>
      </c>
      <c r="HOT1338" s="4" t="s">
        <v>2882</v>
      </c>
      <c r="HOU1338" s="4" t="s">
        <v>2882</v>
      </c>
      <c r="HOV1338" s="4" t="s">
        <v>2882</v>
      </c>
      <c r="HOW1338" s="4" t="s">
        <v>2882</v>
      </c>
      <c r="HOX1338" s="4" t="s">
        <v>2882</v>
      </c>
      <c r="HOY1338" s="4" t="s">
        <v>2882</v>
      </c>
      <c r="HOZ1338" s="4" t="s">
        <v>2882</v>
      </c>
      <c r="HPA1338" s="4" t="s">
        <v>2882</v>
      </c>
      <c r="HPB1338" s="4" t="s">
        <v>2882</v>
      </c>
      <c r="HPC1338" s="4" t="s">
        <v>2882</v>
      </c>
      <c r="HPD1338" s="4" t="s">
        <v>2882</v>
      </c>
      <c r="HPE1338" s="4" t="s">
        <v>2882</v>
      </c>
      <c r="HPF1338" s="4" t="s">
        <v>2882</v>
      </c>
      <c r="HPG1338" s="4" t="s">
        <v>2882</v>
      </c>
      <c r="HPH1338" s="4" t="s">
        <v>2882</v>
      </c>
      <c r="HPI1338" s="4" t="s">
        <v>2882</v>
      </c>
      <c r="HPJ1338" s="4" t="s">
        <v>2882</v>
      </c>
      <c r="HPK1338" s="4" t="s">
        <v>2882</v>
      </c>
      <c r="HPL1338" s="4" t="s">
        <v>2882</v>
      </c>
      <c r="HPM1338" s="4" t="s">
        <v>2882</v>
      </c>
      <c r="HPN1338" s="4" t="s">
        <v>2882</v>
      </c>
      <c r="HPO1338" s="4" t="s">
        <v>2882</v>
      </c>
      <c r="HPP1338" s="4" t="s">
        <v>2882</v>
      </c>
      <c r="HPQ1338" s="4" t="s">
        <v>2882</v>
      </c>
      <c r="HPR1338" s="4" t="s">
        <v>2882</v>
      </c>
      <c r="HPS1338" s="4" t="s">
        <v>2882</v>
      </c>
      <c r="HPT1338" s="4" t="s">
        <v>2882</v>
      </c>
      <c r="HPU1338" s="4" t="s">
        <v>2882</v>
      </c>
      <c r="HPV1338" s="4" t="s">
        <v>2882</v>
      </c>
      <c r="HPW1338" s="4" t="s">
        <v>2882</v>
      </c>
      <c r="HPX1338" s="4" t="s">
        <v>2882</v>
      </c>
      <c r="HPY1338" s="4" t="s">
        <v>2882</v>
      </c>
      <c r="HPZ1338" s="4" t="s">
        <v>2882</v>
      </c>
      <c r="HQA1338" s="4" t="s">
        <v>2882</v>
      </c>
      <c r="HQB1338" s="4" t="s">
        <v>2882</v>
      </c>
      <c r="HQC1338" s="4" t="s">
        <v>2882</v>
      </c>
      <c r="HQD1338" s="4" t="s">
        <v>2882</v>
      </c>
      <c r="HQE1338" s="4" t="s">
        <v>2882</v>
      </c>
      <c r="HQF1338" s="4" t="s">
        <v>2882</v>
      </c>
      <c r="HQG1338" s="4" t="s">
        <v>2882</v>
      </c>
      <c r="HQH1338" s="4" t="s">
        <v>2882</v>
      </c>
      <c r="HQI1338" s="4" t="s">
        <v>2882</v>
      </c>
      <c r="HQJ1338" s="4" t="s">
        <v>2882</v>
      </c>
      <c r="HQK1338" s="4" t="s">
        <v>2882</v>
      </c>
      <c r="HQL1338" s="4" t="s">
        <v>2882</v>
      </c>
      <c r="HQM1338" s="4" t="s">
        <v>2882</v>
      </c>
      <c r="HQN1338" s="4" t="s">
        <v>2882</v>
      </c>
      <c r="HQO1338" s="4" t="s">
        <v>2882</v>
      </c>
      <c r="HQP1338" s="4" t="s">
        <v>2882</v>
      </c>
      <c r="HQQ1338" s="4" t="s">
        <v>2882</v>
      </c>
      <c r="HQR1338" s="4" t="s">
        <v>2882</v>
      </c>
      <c r="HQS1338" s="4" t="s">
        <v>2882</v>
      </c>
      <c r="HQT1338" s="4" t="s">
        <v>2882</v>
      </c>
      <c r="HQU1338" s="4" t="s">
        <v>2882</v>
      </c>
      <c r="HQV1338" s="4" t="s">
        <v>2882</v>
      </c>
      <c r="HQW1338" s="4" t="s">
        <v>2882</v>
      </c>
      <c r="HQX1338" s="4" t="s">
        <v>2882</v>
      </c>
      <c r="HQY1338" s="4" t="s">
        <v>2882</v>
      </c>
      <c r="HQZ1338" s="4" t="s">
        <v>2882</v>
      </c>
      <c r="HRA1338" s="4" t="s">
        <v>2882</v>
      </c>
      <c r="HRB1338" s="4" t="s">
        <v>2882</v>
      </c>
      <c r="HRC1338" s="4" t="s">
        <v>2882</v>
      </c>
      <c r="HRD1338" s="4" t="s">
        <v>2882</v>
      </c>
      <c r="HRE1338" s="4" t="s">
        <v>2882</v>
      </c>
      <c r="HRF1338" s="4" t="s">
        <v>2882</v>
      </c>
      <c r="HRG1338" s="4" t="s">
        <v>2882</v>
      </c>
      <c r="HRH1338" s="4" t="s">
        <v>2882</v>
      </c>
      <c r="HRI1338" s="4" t="s">
        <v>2882</v>
      </c>
      <c r="HRJ1338" s="4" t="s">
        <v>2882</v>
      </c>
      <c r="HRK1338" s="4" t="s">
        <v>2882</v>
      </c>
      <c r="HRL1338" s="4" t="s">
        <v>2882</v>
      </c>
      <c r="HRM1338" s="4" t="s">
        <v>2882</v>
      </c>
      <c r="HRN1338" s="4" t="s">
        <v>2882</v>
      </c>
      <c r="HRO1338" s="4" t="s">
        <v>2882</v>
      </c>
      <c r="HRP1338" s="4" t="s">
        <v>2882</v>
      </c>
      <c r="HRQ1338" s="4" t="s">
        <v>2882</v>
      </c>
      <c r="HRR1338" s="4" t="s">
        <v>2882</v>
      </c>
      <c r="HRS1338" s="4" t="s">
        <v>2882</v>
      </c>
      <c r="HRT1338" s="4" t="s">
        <v>2882</v>
      </c>
      <c r="HRU1338" s="4" t="s">
        <v>2882</v>
      </c>
      <c r="HRV1338" s="4" t="s">
        <v>2882</v>
      </c>
      <c r="HRW1338" s="4" t="s">
        <v>2882</v>
      </c>
      <c r="HRX1338" s="4" t="s">
        <v>2882</v>
      </c>
      <c r="HRY1338" s="4" t="s">
        <v>2882</v>
      </c>
      <c r="HRZ1338" s="4" t="s">
        <v>2882</v>
      </c>
      <c r="HSA1338" s="4" t="s">
        <v>2882</v>
      </c>
      <c r="HSB1338" s="4" t="s">
        <v>2882</v>
      </c>
      <c r="HSC1338" s="4" t="s">
        <v>2882</v>
      </c>
      <c r="HSD1338" s="4" t="s">
        <v>2882</v>
      </c>
      <c r="HSE1338" s="4" t="s">
        <v>2882</v>
      </c>
      <c r="HSF1338" s="4" t="s">
        <v>2882</v>
      </c>
      <c r="HSG1338" s="4" t="s">
        <v>2882</v>
      </c>
      <c r="HSH1338" s="4" t="s">
        <v>2882</v>
      </c>
      <c r="HSI1338" s="4" t="s">
        <v>2882</v>
      </c>
      <c r="HSJ1338" s="4" t="s">
        <v>2882</v>
      </c>
      <c r="HSK1338" s="4" t="s">
        <v>2882</v>
      </c>
      <c r="HSL1338" s="4" t="s">
        <v>2882</v>
      </c>
      <c r="HSM1338" s="4" t="s">
        <v>2882</v>
      </c>
      <c r="HSN1338" s="4" t="s">
        <v>2882</v>
      </c>
      <c r="HSO1338" s="4" t="s">
        <v>2882</v>
      </c>
      <c r="HSP1338" s="4" t="s">
        <v>2882</v>
      </c>
      <c r="HSQ1338" s="4" t="s">
        <v>2882</v>
      </c>
      <c r="HSR1338" s="4" t="s">
        <v>2882</v>
      </c>
      <c r="HSS1338" s="4" t="s">
        <v>2882</v>
      </c>
      <c r="HST1338" s="4" t="s">
        <v>2882</v>
      </c>
      <c r="HSU1338" s="4" t="s">
        <v>2882</v>
      </c>
      <c r="HSV1338" s="4" t="s">
        <v>2882</v>
      </c>
      <c r="HSW1338" s="4" t="s">
        <v>2882</v>
      </c>
      <c r="HSX1338" s="4" t="s">
        <v>2882</v>
      </c>
      <c r="HSY1338" s="4" t="s">
        <v>2882</v>
      </c>
      <c r="HSZ1338" s="4" t="s">
        <v>2882</v>
      </c>
      <c r="HTA1338" s="4" t="s">
        <v>2882</v>
      </c>
      <c r="HTB1338" s="4" t="s">
        <v>2882</v>
      </c>
      <c r="HTC1338" s="4" t="s">
        <v>2882</v>
      </c>
      <c r="HTD1338" s="4" t="s">
        <v>2882</v>
      </c>
      <c r="HTE1338" s="4" t="s">
        <v>2882</v>
      </c>
      <c r="HTF1338" s="4" t="s">
        <v>2882</v>
      </c>
      <c r="HTG1338" s="4" t="s">
        <v>2882</v>
      </c>
      <c r="HTH1338" s="4" t="s">
        <v>2882</v>
      </c>
      <c r="HTI1338" s="4" t="s">
        <v>2882</v>
      </c>
      <c r="HTJ1338" s="4" t="s">
        <v>2882</v>
      </c>
      <c r="HTK1338" s="4" t="s">
        <v>2882</v>
      </c>
      <c r="HTL1338" s="4" t="s">
        <v>2882</v>
      </c>
      <c r="HTM1338" s="4" t="s">
        <v>2882</v>
      </c>
      <c r="HTN1338" s="4" t="s">
        <v>2882</v>
      </c>
      <c r="HTO1338" s="4" t="s">
        <v>2882</v>
      </c>
      <c r="HTP1338" s="4" t="s">
        <v>2882</v>
      </c>
      <c r="HTQ1338" s="4" t="s">
        <v>2882</v>
      </c>
      <c r="HTR1338" s="4" t="s">
        <v>2882</v>
      </c>
      <c r="HTS1338" s="4" t="s">
        <v>2882</v>
      </c>
      <c r="HTT1338" s="4" t="s">
        <v>2882</v>
      </c>
      <c r="HTU1338" s="4" t="s">
        <v>2882</v>
      </c>
      <c r="HTV1338" s="4" t="s">
        <v>2882</v>
      </c>
      <c r="HTW1338" s="4" t="s">
        <v>2882</v>
      </c>
      <c r="HTX1338" s="4" t="s">
        <v>2882</v>
      </c>
      <c r="HTY1338" s="4" t="s">
        <v>2882</v>
      </c>
      <c r="HTZ1338" s="4" t="s">
        <v>2882</v>
      </c>
      <c r="HUA1338" s="4" t="s">
        <v>2882</v>
      </c>
      <c r="HUB1338" s="4" t="s">
        <v>2882</v>
      </c>
      <c r="HUC1338" s="4" t="s">
        <v>2882</v>
      </c>
      <c r="HUD1338" s="4" t="s">
        <v>2882</v>
      </c>
      <c r="HUE1338" s="4" t="s">
        <v>2882</v>
      </c>
      <c r="HUF1338" s="4" t="s">
        <v>2882</v>
      </c>
      <c r="HUG1338" s="4" t="s">
        <v>2882</v>
      </c>
      <c r="HUH1338" s="4" t="s">
        <v>2882</v>
      </c>
      <c r="HUI1338" s="4" t="s">
        <v>2882</v>
      </c>
      <c r="HUJ1338" s="4" t="s">
        <v>2882</v>
      </c>
      <c r="HUK1338" s="4" t="s">
        <v>2882</v>
      </c>
      <c r="HUL1338" s="4" t="s">
        <v>2882</v>
      </c>
      <c r="HUM1338" s="4" t="s">
        <v>2882</v>
      </c>
      <c r="HUN1338" s="4" t="s">
        <v>2882</v>
      </c>
      <c r="HUO1338" s="4" t="s">
        <v>2882</v>
      </c>
      <c r="HUP1338" s="4" t="s">
        <v>2882</v>
      </c>
      <c r="HUQ1338" s="4" t="s">
        <v>2882</v>
      </c>
      <c r="HUR1338" s="4" t="s">
        <v>2882</v>
      </c>
      <c r="HUS1338" s="4" t="s">
        <v>2882</v>
      </c>
      <c r="HUT1338" s="4" t="s">
        <v>2882</v>
      </c>
      <c r="HUU1338" s="4" t="s">
        <v>2882</v>
      </c>
      <c r="HUV1338" s="4" t="s">
        <v>2882</v>
      </c>
      <c r="HUW1338" s="4" t="s">
        <v>2882</v>
      </c>
      <c r="HUX1338" s="4" t="s">
        <v>2882</v>
      </c>
      <c r="HUY1338" s="4" t="s">
        <v>2882</v>
      </c>
      <c r="HUZ1338" s="4" t="s">
        <v>2882</v>
      </c>
      <c r="HVA1338" s="4" t="s">
        <v>2882</v>
      </c>
      <c r="HVB1338" s="4" t="s">
        <v>2882</v>
      </c>
      <c r="HVC1338" s="4" t="s">
        <v>2882</v>
      </c>
      <c r="HVD1338" s="4" t="s">
        <v>2882</v>
      </c>
      <c r="HVE1338" s="4" t="s">
        <v>2882</v>
      </c>
      <c r="HVF1338" s="4" t="s">
        <v>2882</v>
      </c>
      <c r="HVG1338" s="4" t="s">
        <v>2882</v>
      </c>
      <c r="HVH1338" s="4" t="s">
        <v>2882</v>
      </c>
      <c r="HVI1338" s="4" t="s">
        <v>2882</v>
      </c>
      <c r="HVJ1338" s="4" t="s">
        <v>2882</v>
      </c>
      <c r="HVK1338" s="4" t="s">
        <v>2882</v>
      </c>
      <c r="HVL1338" s="4" t="s">
        <v>2882</v>
      </c>
      <c r="HVM1338" s="4" t="s">
        <v>2882</v>
      </c>
      <c r="HVN1338" s="4" t="s">
        <v>2882</v>
      </c>
      <c r="HVO1338" s="4" t="s">
        <v>2882</v>
      </c>
      <c r="HVP1338" s="4" t="s">
        <v>2882</v>
      </c>
      <c r="HVQ1338" s="4" t="s">
        <v>2882</v>
      </c>
      <c r="HVR1338" s="4" t="s">
        <v>2882</v>
      </c>
      <c r="HVS1338" s="4" t="s">
        <v>2882</v>
      </c>
      <c r="HVT1338" s="4" t="s">
        <v>2882</v>
      </c>
      <c r="HVU1338" s="4" t="s">
        <v>2882</v>
      </c>
      <c r="HVV1338" s="4" t="s">
        <v>2882</v>
      </c>
      <c r="HVW1338" s="4" t="s">
        <v>2882</v>
      </c>
      <c r="HVX1338" s="4" t="s">
        <v>2882</v>
      </c>
      <c r="HVY1338" s="4" t="s">
        <v>2882</v>
      </c>
      <c r="HVZ1338" s="4" t="s">
        <v>2882</v>
      </c>
      <c r="HWA1338" s="4" t="s">
        <v>2882</v>
      </c>
      <c r="HWB1338" s="4" t="s">
        <v>2882</v>
      </c>
      <c r="HWC1338" s="4" t="s">
        <v>2882</v>
      </c>
      <c r="HWD1338" s="4" t="s">
        <v>2882</v>
      </c>
      <c r="HWE1338" s="4" t="s">
        <v>2882</v>
      </c>
      <c r="HWF1338" s="4" t="s">
        <v>2882</v>
      </c>
      <c r="HWG1338" s="4" t="s">
        <v>2882</v>
      </c>
      <c r="HWH1338" s="4" t="s">
        <v>2882</v>
      </c>
      <c r="HWI1338" s="4" t="s">
        <v>2882</v>
      </c>
      <c r="HWJ1338" s="4" t="s">
        <v>2882</v>
      </c>
      <c r="HWK1338" s="4" t="s">
        <v>2882</v>
      </c>
      <c r="HWL1338" s="4" t="s">
        <v>2882</v>
      </c>
      <c r="HWM1338" s="4" t="s">
        <v>2882</v>
      </c>
      <c r="HWN1338" s="4" t="s">
        <v>2882</v>
      </c>
      <c r="HWO1338" s="4" t="s">
        <v>2882</v>
      </c>
      <c r="HWP1338" s="4" t="s">
        <v>2882</v>
      </c>
      <c r="HWQ1338" s="4" t="s">
        <v>2882</v>
      </c>
      <c r="HWR1338" s="4" t="s">
        <v>2882</v>
      </c>
      <c r="HWS1338" s="4" t="s">
        <v>2882</v>
      </c>
      <c r="HWT1338" s="4" t="s">
        <v>2882</v>
      </c>
      <c r="HWU1338" s="4" t="s">
        <v>2882</v>
      </c>
      <c r="HWV1338" s="4" t="s">
        <v>2882</v>
      </c>
      <c r="HWW1338" s="4" t="s">
        <v>2882</v>
      </c>
      <c r="HWX1338" s="4" t="s">
        <v>2882</v>
      </c>
      <c r="HWY1338" s="4" t="s">
        <v>2882</v>
      </c>
      <c r="HWZ1338" s="4" t="s">
        <v>2882</v>
      </c>
      <c r="HXA1338" s="4" t="s">
        <v>2882</v>
      </c>
      <c r="HXB1338" s="4" t="s">
        <v>2882</v>
      </c>
      <c r="HXC1338" s="4" t="s">
        <v>2882</v>
      </c>
      <c r="HXD1338" s="4" t="s">
        <v>2882</v>
      </c>
      <c r="HXE1338" s="4" t="s">
        <v>2882</v>
      </c>
      <c r="HXF1338" s="4" t="s">
        <v>2882</v>
      </c>
      <c r="HXG1338" s="4" t="s">
        <v>2882</v>
      </c>
      <c r="HXH1338" s="4" t="s">
        <v>2882</v>
      </c>
      <c r="HXI1338" s="4" t="s">
        <v>2882</v>
      </c>
      <c r="HXJ1338" s="4" t="s">
        <v>2882</v>
      </c>
      <c r="HXK1338" s="4" t="s">
        <v>2882</v>
      </c>
      <c r="HXL1338" s="4" t="s">
        <v>2882</v>
      </c>
      <c r="HXM1338" s="4" t="s">
        <v>2882</v>
      </c>
      <c r="HXN1338" s="4" t="s">
        <v>2882</v>
      </c>
      <c r="HXO1338" s="4" t="s">
        <v>2882</v>
      </c>
      <c r="HXP1338" s="4" t="s">
        <v>2882</v>
      </c>
      <c r="HXQ1338" s="4" t="s">
        <v>2882</v>
      </c>
      <c r="HXR1338" s="4" t="s">
        <v>2882</v>
      </c>
      <c r="HXS1338" s="4" t="s">
        <v>2882</v>
      </c>
      <c r="HXT1338" s="4" t="s">
        <v>2882</v>
      </c>
      <c r="HXU1338" s="4" t="s">
        <v>2882</v>
      </c>
      <c r="HXV1338" s="4" t="s">
        <v>2882</v>
      </c>
      <c r="HXW1338" s="4" t="s">
        <v>2882</v>
      </c>
      <c r="HXX1338" s="4" t="s">
        <v>2882</v>
      </c>
      <c r="HXY1338" s="4" t="s">
        <v>2882</v>
      </c>
      <c r="HXZ1338" s="4" t="s">
        <v>2882</v>
      </c>
      <c r="HYA1338" s="4" t="s">
        <v>2882</v>
      </c>
      <c r="HYB1338" s="4" t="s">
        <v>2882</v>
      </c>
      <c r="HYC1338" s="4" t="s">
        <v>2882</v>
      </c>
      <c r="HYD1338" s="4" t="s">
        <v>2882</v>
      </c>
      <c r="HYE1338" s="4" t="s">
        <v>2882</v>
      </c>
      <c r="HYF1338" s="4" t="s">
        <v>2882</v>
      </c>
      <c r="HYG1338" s="4" t="s">
        <v>2882</v>
      </c>
      <c r="HYH1338" s="4" t="s">
        <v>2882</v>
      </c>
      <c r="HYI1338" s="4" t="s">
        <v>2882</v>
      </c>
      <c r="HYJ1338" s="4" t="s">
        <v>2882</v>
      </c>
      <c r="HYK1338" s="4" t="s">
        <v>2882</v>
      </c>
      <c r="HYL1338" s="4" t="s">
        <v>2882</v>
      </c>
      <c r="HYM1338" s="4" t="s">
        <v>2882</v>
      </c>
      <c r="HYN1338" s="4" t="s">
        <v>2882</v>
      </c>
      <c r="HYO1338" s="4" t="s">
        <v>2882</v>
      </c>
      <c r="HYP1338" s="4" t="s">
        <v>2882</v>
      </c>
      <c r="HYQ1338" s="4" t="s">
        <v>2882</v>
      </c>
      <c r="HYR1338" s="4" t="s">
        <v>2882</v>
      </c>
      <c r="HYS1338" s="4" t="s">
        <v>2882</v>
      </c>
      <c r="HYT1338" s="4" t="s">
        <v>2882</v>
      </c>
      <c r="HYU1338" s="4" t="s">
        <v>2882</v>
      </c>
      <c r="HYV1338" s="4" t="s">
        <v>2882</v>
      </c>
      <c r="HYW1338" s="4" t="s">
        <v>2882</v>
      </c>
      <c r="HYX1338" s="4" t="s">
        <v>2882</v>
      </c>
      <c r="HYY1338" s="4" t="s">
        <v>2882</v>
      </c>
      <c r="HYZ1338" s="4" t="s">
        <v>2882</v>
      </c>
      <c r="HZA1338" s="4" t="s">
        <v>2882</v>
      </c>
      <c r="HZB1338" s="4" t="s">
        <v>2882</v>
      </c>
      <c r="HZC1338" s="4" t="s">
        <v>2882</v>
      </c>
      <c r="HZD1338" s="4" t="s">
        <v>2882</v>
      </c>
      <c r="HZE1338" s="4" t="s">
        <v>2882</v>
      </c>
      <c r="HZF1338" s="4" t="s">
        <v>2882</v>
      </c>
      <c r="HZG1338" s="4" t="s">
        <v>2882</v>
      </c>
      <c r="HZH1338" s="4" t="s">
        <v>2882</v>
      </c>
      <c r="HZI1338" s="4" t="s">
        <v>2882</v>
      </c>
      <c r="HZJ1338" s="4" t="s">
        <v>2882</v>
      </c>
      <c r="HZK1338" s="4" t="s">
        <v>2882</v>
      </c>
      <c r="HZL1338" s="4" t="s">
        <v>2882</v>
      </c>
      <c r="HZM1338" s="4" t="s">
        <v>2882</v>
      </c>
      <c r="HZN1338" s="4" t="s">
        <v>2882</v>
      </c>
      <c r="HZO1338" s="4" t="s">
        <v>2882</v>
      </c>
      <c r="HZP1338" s="4" t="s">
        <v>2882</v>
      </c>
      <c r="HZQ1338" s="4" t="s">
        <v>2882</v>
      </c>
      <c r="HZR1338" s="4" t="s">
        <v>2882</v>
      </c>
      <c r="HZS1338" s="4" t="s">
        <v>2882</v>
      </c>
      <c r="HZT1338" s="4" t="s">
        <v>2882</v>
      </c>
      <c r="HZU1338" s="4" t="s">
        <v>2882</v>
      </c>
      <c r="HZV1338" s="4" t="s">
        <v>2882</v>
      </c>
      <c r="HZW1338" s="4" t="s">
        <v>2882</v>
      </c>
      <c r="HZX1338" s="4" t="s">
        <v>2882</v>
      </c>
      <c r="HZY1338" s="4" t="s">
        <v>2882</v>
      </c>
      <c r="HZZ1338" s="4" t="s">
        <v>2882</v>
      </c>
      <c r="IAA1338" s="4" t="s">
        <v>2882</v>
      </c>
      <c r="IAB1338" s="4" t="s">
        <v>2882</v>
      </c>
      <c r="IAC1338" s="4" t="s">
        <v>2882</v>
      </c>
      <c r="IAD1338" s="4" t="s">
        <v>2882</v>
      </c>
      <c r="IAE1338" s="4" t="s">
        <v>2882</v>
      </c>
      <c r="IAF1338" s="4" t="s">
        <v>2882</v>
      </c>
      <c r="IAG1338" s="4" t="s">
        <v>2882</v>
      </c>
      <c r="IAH1338" s="4" t="s">
        <v>2882</v>
      </c>
      <c r="IAI1338" s="4" t="s">
        <v>2882</v>
      </c>
      <c r="IAJ1338" s="4" t="s">
        <v>2882</v>
      </c>
      <c r="IAK1338" s="4" t="s">
        <v>2882</v>
      </c>
      <c r="IAL1338" s="4" t="s">
        <v>2882</v>
      </c>
      <c r="IAM1338" s="4" t="s">
        <v>2882</v>
      </c>
      <c r="IAN1338" s="4" t="s">
        <v>2882</v>
      </c>
      <c r="IAO1338" s="4" t="s">
        <v>2882</v>
      </c>
      <c r="IAP1338" s="4" t="s">
        <v>2882</v>
      </c>
      <c r="IAQ1338" s="4" t="s">
        <v>2882</v>
      </c>
      <c r="IAR1338" s="4" t="s">
        <v>2882</v>
      </c>
      <c r="IAS1338" s="4" t="s">
        <v>2882</v>
      </c>
      <c r="IAT1338" s="4" t="s">
        <v>2882</v>
      </c>
      <c r="IAU1338" s="4" t="s">
        <v>2882</v>
      </c>
      <c r="IAV1338" s="4" t="s">
        <v>2882</v>
      </c>
      <c r="IAW1338" s="4" t="s">
        <v>2882</v>
      </c>
      <c r="IAX1338" s="4" t="s">
        <v>2882</v>
      </c>
      <c r="IAY1338" s="4" t="s">
        <v>2882</v>
      </c>
      <c r="IAZ1338" s="4" t="s">
        <v>2882</v>
      </c>
      <c r="IBA1338" s="4" t="s">
        <v>2882</v>
      </c>
      <c r="IBB1338" s="4" t="s">
        <v>2882</v>
      </c>
      <c r="IBC1338" s="4" t="s">
        <v>2882</v>
      </c>
      <c r="IBD1338" s="4" t="s">
        <v>2882</v>
      </c>
      <c r="IBE1338" s="4" t="s">
        <v>2882</v>
      </c>
      <c r="IBF1338" s="4" t="s">
        <v>2882</v>
      </c>
      <c r="IBG1338" s="4" t="s">
        <v>2882</v>
      </c>
      <c r="IBH1338" s="4" t="s">
        <v>2882</v>
      </c>
      <c r="IBI1338" s="4" t="s">
        <v>2882</v>
      </c>
      <c r="IBJ1338" s="4" t="s">
        <v>2882</v>
      </c>
      <c r="IBK1338" s="4" t="s">
        <v>2882</v>
      </c>
      <c r="IBL1338" s="4" t="s">
        <v>2882</v>
      </c>
      <c r="IBM1338" s="4" t="s">
        <v>2882</v>
      </c>
      <c r="IBN1338" s="4" t="s">
        <v>2882</v>
      </c>
      <c r="IBO1338" s="4" t="s">
        <v>2882</v>
      </c>
      <c r="IBP1338" s="4" t="s">
        <v>2882</v>
      </c>
      <c r="IBQ1338" s="4" t="s">
        <v>2882</v>
      </c>
      <c r="IBR1338" s="4" t="s">
        <v>2882</v>
      </c>
      <c r="IBS1338" s="4" t="s">
        <v>2882</v>
      </c>
      <c r="IBT1338" s="4" t="s">
        <v>2882</v>
      </c>
      <c r="IBU1338" s="4" t="s">
        <v>2882</v>
      </c>
      <c r="IBV1338" s="4" t="s">
        <v>2882</v>
      </c>
      <c r="IBW1338" s="4" t="s">
        <v>2882</v>
      </c>
      <c r="IBX1338" s="4" t="s">
        <v>2882</v>
      </c>
      <c r="IBY1338" s="4" t="s">
        <v>2882</v>
      </c>
      <c r="IBZ1338" s="4" t="s">
        <v>2882</v>
      </c>
      <c r="ICA1338" s="4" t="s">
        <v>2882</v>
      </c>
      <c r="ICB1338" s="4" t="s">
        <v>2882</v>
      </c>
      <c r="ICC1338" s="4" t="s">
        <v>2882</v>
      </c>
      <c r="ICD1338" s="4" t="s">
        <v>2882</v>
      </c>
      <c r="ICE1338" s="4" t="s">
        <v>2882</v>
      </c>
      <c r="ICF1338" s="4" t="s">
        <v>2882</v>
      </c>
      <c r="ICG1338" s="4" t="s">
        <v>2882</v>
      </c>
      <c r="ICH1338" s="4" t="s">
        <v>2882</v>
      </c>
      <c r="ICI1338" s="4" t="s">
        <v>2882</v>
      </c>
      <c r="ICJ1338" s="4" t="s">
        <v>2882</v>
      </c>
      <c r="ICK1338" s="4" t="s">
        <v>2882</v>
      </c>
      <c r="ICL1338" s="4" t="s">
        <v>2882</v>
      </c>
      <c r="ICM1338" s="4" t="s">
        <v>2882</v>
      </c>
      <c r="ICN1338" s="4" t="s">
        <v>2882</v>
      </c>
      <c r="ICO1338" s="4" t="s">
        <v>2882</v>
      </c>
      <c r="ICP1338" s="4" t="s">
        <v>2882</v>
      </c>
      <c r="ICQ1338" s="4" t="s">
        <v>2882</v>
      </c>
      <c r="ICR1338" s="4" t="s">
        <v>2882</v>
      </c>
      <c r="ICS1338" s="4" t="s">
        <v>2882</v>
      </c>
      <c r="ICT1338" s="4" t="s">
        <v>2882</v>
      </c>
      <c r="ICU1338" s="4" t="s">
        <v>2882</v>
      </c>
      <c r="ICV1338" s="4" t="s">
        <v>2882</v>
      </c>
      <c r="ICW1338" s="4" t="s">
        <v>2882</v>
      </c>
      <c r="ICX1338" s="4" t="s">
        <v>2882</v>
      </c>
      <c r="ICY1338" s="4" t="s">
        <v>2882</v>
      </c>
      <c r="ICZ1338" s="4" t="s">
        <v>2882</v>
      </c>
      <c r="IDA1338" s="4" t="s">
        <v>2882</v>
      </c>
      <c r="IDB1338" s="4" t="s">
        <v>2882</v>
      </c>
      <c r="IDC1338" s="4" t="s">
        <v>2882</v>
      </c>
      <c r="IDD1338" s="4" t="s">
        <v>2882</v>
      </c>
      <c r="IDE1338" s="4" t="s">
        <v>2882</v>
      </c>
      <c r="IDF1338" s="4" t="s">
        <v>2882</v>
      </c>
      <c r="IDG1338" s="4" t="s">
        <v>2882</v>
      </c>
      <c r="IDH1338" s="4" t="s">
        <v>2882</v>
      </c>
      <c r="IDI1338" s="4" t="s">
        <v>2882</v>
      </c>
      <c r="IDJ1338" s="4" t="s">
        <v>2882</v>
      </c>
      <c r="IDK1338" s="4" t="s">
        <v>2882</v>
      </c>
      <c r="IDL1338" s="4" t="s">
        <v>2882</v>
      </c>
      <c r="IDM1338" s="4" t="s">
        <v>2882</v>
      </c>
      <c r="IDN1338" s="4" t="s">
        <v>2882</v>
      </c>
      <c r="IDO1338" s="4" t="s">
        <v>2882</v>
      </c>
      <c r="IDP1338" s="4" t="s">
        <v>2882</v>
      </c>
      <c r="IDQ1338" s="4" t="s">
        <v>2882</v>
      </c>
      <c r="IDR1338" s="4" t="s">
        <v>2882</v>
      </c>
      <c r="IDS1338" s="4" t="s">
        <v>2882</v>
      </c>
      <c r="IDT1338" s="4" t="s">
        <v>2882</v>
      </c>
      <c r="IDU1338" s="4" t="s">
        <v>2882</v>
      </c>
      <c r="IDV1338" s="4" t="s">
        <v>2882</v>
      </c>
      <c r="IDW1338" s="4" t="s">
        <v>2882</v>
      </c>
      <c r="IDX1338" s="4" t="s">
        <v>2882</v>
      </c>
      <c r="IDY1338" s="4" t="s">
        <v>2882</v>
      </c>
      <c r="IDZ1338" s="4" t="s">
        <v>2882</v>
      </c>
      <c r="IEA1338" s="4" t="s">
        <v>2882</v>
      </c>
      <c r="IEB1338" s="4" t="s">
        <v>2882</v>
      </c>
      <c r="IEC1338" s="4" t="s">
        <v>2882</v>
      </c>
      <c r="IED1338" s="4" t="s">
        <v>2882</v>
      </c>
      <c r="IEE1338" s="4" t="s">
        <v>2882</v>
      </c>
      <c r="IEF1338" s="4" t="s">
        <v>2882</v>
      </c>
      <c r="IEG1338" s="4" t="s">
        <v>2882</v>
      </c>
      <c r="IEH1338" s="4" t="s">
        <v>2882</v>
      </c>
      <c r="IEI1338" s="4" t="s">
        <v>2882</v>
      </c>
      <c r="IEJ1338" s="4" t="s">
        <v>2882</v>
      </c>
      <c r="IEK1338" s="4" t="s">
        <v>2882</v>
      </c>
      <c r="IEL1338" s="4" t="s">
        <v>2882</v>
      </c>
      <c r="IEM1338" s="4" t="s">
        <v>2882</v>
      </c>
      <c r="IEN1338" s="4" t="s">
        <v>2882</v>
      </c>
      <c r="IEO1338" s="4" t="s">
        <v>2882</v>
      </c>
      <c r="IEP1338" s="4" t="s">
        <v>2882</v>
      </c>
      <c r="IEQ1338" s="4" t="s">
        <v>2882</v>
      </c>
      <c r="IER1338" s="4" t="s">
        <v>2882</v>
      </c>
      <c r="IES1338" s="4" t="s">
        <v>2882</v>
      </c>
      <c r="IET1338" s="4" t="s">
        <v>2882</v>
      </c>
      <c r="IEU1338" s="4" t="s">
        <v>2882</v>
      </c>
      <c r="IEV1338" s="4" t="s">
        <v>2882</v>
      </c>
      <c r="IEW1338" s="4" t="s">
        <v>2882</v>
      </c>
      <c r="IEX1338" s="4" t="s">
        <v>2882</v>
      </c>
      <c r="IEY1338" s="4" t="s">
        <v>2882</v>
      </c>
      <c r="IEZ1338" s="4" t="s">
        <v>2882</v>
      </c>
      <c r="IFA1338" s="4" t="s">
        <v>2882</v>
      </c>
      <c r="IFB1338" s="4" t="s">
        <v>2882</v>
      </c>
      <c r="IFC1338" s="4" t="s">
        <v>2882</v>
      </c>
      <c r="IFD1338" s="4" t="s">
        <v>2882</v>
      </c>
      <c r="IFE1338" s="4" t="s">
        <v>2882</v>
      </c>
      <c r="IFF1338" s="4" t="s">
        <v>2882</v>
      </c>
      <c r="IFG1338" s="4" t="s">
        <v>2882</v>
      </c>
      <c r="IFH1338" s="4" t="s">
        <v>2882</v>
      </c>
      <c r="IFI1338" s="4" t="s">
        <v>2882</v>
      </c>
      <c r="IFJ1338" s="4" t="s">
        <v>2882</v>
      </c>
      <c r="IFK1338" s="4" t="s">
        <v>2882</v>
      </c>
      <c r="IFL1338" s="4" t="s">
        <v>2882</v>
      </c>
      <c r="IFM1338" s="4" t="s">
        <v>2882</v>
      </c>
      <c r="IFN1338" s="4" t="s">
        <v>2882</v>
      </c>
      <c r="IFO1338" s="4" t="s">
        <v>2882</v>
      </c>
      <c r="IFP1338" s="4" t="s">
        <v>2882</v>
      </c>
      <c r="IFQ1338" s="4" t="s">
        <v>2882</v>
      </c>
      <c r="IFR1338" s="4" t="s">
        <v>2882</v>
      </c>
      <c r="IFS1338" s="4" t="s">
        <v>2882</v>
      </c>
      <c r="IFT1338" s="4" t="s">
        <v>2882</v>
      </c>
      <c r="IFU1338" s="4" t="s">
        <v>2882</v>
      </c>
      <c r="IFV1338" s="4" t="s">
        <v>2882</v>
      </c>
      <c r="IFW1338" s="4" t="s">
        <v>2882</v>
      </c>
      <c r="IFX1338" s="4" t="s">
        <v>2882</v>
      </c>
      <c r="IFY1338" s="4" t="s">
        <v>2882</v>
      </c>
      <c r="IFZ1338" s="4" t="s">
        <v>2882</v>
      </c>
      <c r="IGA1338" s="4" t="s">
        <v>2882</v>
      </c>
      <c r="IGB1338" s="4" t="s">
        <v>2882</v>
      </c>
      <c r="IGC1338" s="4" t="s">
        <v>2882</v>
      </c>
      <c r="IGD1338" s="4" t="s">
        <v>2882</v>
      </c>
      <c r="IGE1338" s="4" t="s">
        <v>2882</v>
      </c>
      <c r="IGF1338" s="4" t="s">
        <v>2882</v>
      </c>
      <c r="IGG1338" s="4" t="s">
        <v>2882</v>
      </c>
      <c r="IGH1338" s="4" t="s">
        <v>2882</v>
      </c>
      <c r="IGI1338" s="4" t="s">
        <v>2882</v>
      </c>
      <c r="IGJ1338" s="4" t="s">
        <v>2882</v>
      </c>
      <c r="IGK1338" s="4" t="s">
        <v>2882</v>
      </c>
      <c r="IGL1338" s="4" t="s">
        <v>2882</v>
      </c>
      <c r="IGM1338" s="4" t="s">
        <v>2882</v>
      </c>
      <c r="IGN1338" s="4" t="s">
        <v>2882</v>
      </c>
      <c r="IGO1338" s="4" t="s">
        <v>2882</v>
      </c>
      <c r="IGP1338" s="4" t="s">
        <v>2882</v>
      </c>
      <c r="IGQ1338" s="4" t="s">
        <v>2882</v>
      </c>
      <c r="IGR1338" s="4" t="s">
        <v>2882</v>
      </c>
      <c r="IGS1338" s="4" t="s">
        <v>2882</v>
      </c>
      <c r="IGT1338" s="4" t="s">
        <v>2882</v>
      </c>
      <c r="IGU1338" s="4" t="s">
        <v>2882</v>
      </c>
      <c r="IGV1338" s="4" t="s">
        <v>2882</v>
      </c>
      <c r="IGW1338" s="4" t="s">
        <v>2882</v>
      </c>
      <c r="IGX1338" s="4" t="s">
        <v>2882</v>
      </c>
      <c r="IGY1338" s="4" t="s">
        <v>2882</v>
      </c>
      <c r="IGZ1338" s="4" t="s">
        <v>2882</v>
      </c>
      <c r="IHA1338" s="4" t="s">
        <v>2882</v>
      </c>
      <c r="IHB1338" s="4" t="s">
        <v>2882</v>
      </c>
      <c r="IHC1338" s="4" t="s">
        <v>2882</v>
      </c>
      <c r="IHD1338" s="4" t="s">
        <v>2882</v>
      </c>
      <c r="IHE1338" s="4" t="s">
        <v>2882</v>
      </c>
      <c r="IHF1338" s="4" t="s">
        <v>2882</v>
      </c>
      <c r="IHG1338" s="4" t="s">
        <v>2882</v>
      </c>
      <c r="IHH1338" s="4" t="s">
        <v>2882</v>
      </c>
      <c r="IHI1338" s="4" t="s">
        <v>2882</v>
      </c>
      <c r="IHJ1338" s="4" t="s">
        <v>2882</v>
      </c>
      <c r="IHK1338" s="4" t="s">
        <v>2882</v>
      </c>
      <c r="IHL1338" s="4" t="s">
        <v>2882</v>
      </c>
      <c r="IHM1338" s="4" t="s">
        <v>2882</v>
      </c>
      <c r="IHN1338" s="4" t="s">
        <v>2882</v>
      </c>
      <c r="IHO1338" s="4" t="s">
        <v>2882</v>
      </c>
      <c r="IHP1338" s="4" t="s">
        <v>2882</v>
      </c>
      <c r="IHQ1338" s="4" t="s">
        <v>2882</v>
      </c>
      <c r="IHR1338" s="4" t="s">
        <v>2882</v>
      </c>
      <c r="IHS1338" s="4" t="s">
        <v>2882</v>
      </c>
      <c r="IHT1338" s="4" t="s">
        <v>2882</v>
      </c>
      <c r="IHU1338" s="4" t="s">
        <v>2882</v>
      </c>
      <c r="IHV1338" s="4" t="s">
        <v>2882</v>
      </c>
      <c r="IHW1338" s="4" t="s">
        <v>2882</v>
      </c>
      <c r="IHX1338" s="4" t="s">
        <v>2882</v>
      </c>
      <c r="IHY1338" s="4" t="s">
        <v>2882</v>
      </c>
      <c r="IHZ1338" s="4" t="s">
        <v>2882</v>
      </c>
      <c r="IIA1338" s="4" t="s">
        <v>2882</v>
      </c>
      <c r="IIB1338" s="4" t="s">
        <v>2882</v>
      </c>
      <c r="IIC1338" s="4" t="s">
        <v>2882</v>
      </c>
      <c r="IID1338" s="4" t="s">
        <v>2882</v>
      </c>
      <c r="IIE1338" s="4" t="s">
        <v>2882</v>
      </c>
      <c r="IIF1338" s="4" t="s">
        <v>2882</v>
      </c>
      <c r="IIG1338" s="4" t="s">
        <v>2882</v>
      </c>
      <c r="IIH1338" s="4" t="s">
        <v>2882</v>
      </c>
      <c r="III1338" s="4" t="s">
        <v>2882</v>
      </c>
      <c r="IIJ1338" s="4" t="s">
        <v>2882</v>
      </c>
      <c r="IIK1338" s="4" t="s">
        <v>2882</v>
      </c>
      <c r="IIL1338" s="4" t="s">
        <v>2882</v>
      </c>
      <c r="IIM1338" s="4" t="s">
        <v>2882</v>
      </c>
      <c r="IIN1338" s="4" t="s">
        <v>2882</v>
      </c>
      <c r="IIO1338" s="4" t="s">
        <v>2882</v>
      </c>
      <c r="IIP1338" s="4" t="s">
        <v>2882</v>
      </c>
      <c r="IIQ1338" s="4" t="s">
        <v>2882</v>
      </c>
      <c r="IIR1338" s="4" t="s">
        <v>2882</v>
      </c>
      <c r="IIS1338" s="4" t="s">
        <v>2882</v>
      </c>
      <c r="IIT1338" s="4" t="s">
        <v>2882</v>
      </c>
      <c r="IIU1338" s="4" t="s">
        <v>2882</v>
      </c>
      <c r="IIV1338" s="4" t="s">
        <v>2882</v>
      </c>
      <c r="IIW1338" s="4" t="s">
        <v>2882</v>
      </c>
      <c r="IIX1338" s="4" t="s">
        <v>2882</v>
      </c>
      <c r="IIY1338" s="4" t="s">
        <v>2882</v>
      </c>
      <c r="IIZ1338" s="4" t="s">
        <v>2882</v>
      </c>
      <c r="IJA1338" s="4" t="s">
        <v>2882</v>
      </c>
      <c r="IJB1338" s="4" t="s">
        <v>2882</v>
      </c>
      <c r="IJC1338" s="4" t="s">
        <v>2882</v>
      </c>
      <c r="IJD1338" s="4" t="s">
        <v>2882</v>
      </c>
      <c r="IJE1338" s="4" t="s">
        <v>2882</v>
      </c>
      <c r="IJF1338" s="4" t="s">
        <v>2882</v>
      </c>
      <c r="IJG1338" s="4" t="s">
        <v>2882</v>
      </c>
      <c r="IJH1338" s="4" t="s">
        <v>2882</v>
      </c>
      <c r="IJI1338" s="4" t="s">
        <v>2882</v>
      </c>
      <c r="IJJ1338" s="4" t="s">
        <v>2882</v>
      </c>
      <c r="IJK1338" s="4" t="s">
        <v>2882</v>
      </c>
      <c r="IJL1338" s="4" t="s">
        <v>2882</v>
      </c>
      <c r="IJM1338" s="4" t="s">
        <v>2882</v>
      </c>
      <c r="IJN1338" s="4" t="s">
        <v>2882</v>
      </c>
      <c r="IJO1338" s="4" t="s">
        <v>2882</v>
      </c>
      <c r="IJP1338" s="4" t="s">
        <v>2882</v>
      </c>
      <c r="IJQ1338" s="4" t="s">
        <v>2882</v>
      </c>
      <c r="IJR1338" s="4" t="s">
        <v>2882</v>
      </c>
      <c r="IJS1338" s="4" t="s">
        <v>2882</v>
      </c>
      <c r="IJT1338" s="4" t="s">
        <v>2882</v>
      </c>
      <c r="IJU1338" s="4" t="s">
        <v>2882</v>
      </c>
      <c r="IJV1338" s="4" t="s">
        <v>2882</v>
      </c>
      <c r="IJW1338" s="4" t="s">
        <v>2882</v>
      </c>
      <c r="IJX1338" s="4" t="s">
        <v>2882</v>
      </c>
      <c r="IJY1338" s="4" t="s">
        <v>2882</v>
      </c>
      <c r="IJZ1338" s="4" t="s">
        <v>2882</v>
      </c>
      <c r="IKA1338" s="4" t="s">
        <v>2882</v>
      </c>
      <c r="IKB1338" s="4" t="s">
        <v>2882</v>
      </c>
      <c r="IKC1338" s="4" t="s">
        <v>2882</v>
      </c>
      <c r="IKD1338" s="4" t="s">
        <v>2882</v>
      </c>
      <c r="IKE1338" s="4" t="s">
        <v>2882</v>
      </c>
      <c r="IKF1338" s="4" t="s">
        <v>2882</v>
      </c>
      <c r="IKG1338" s="4" t="s">
        <v>2882</v>
      </c>
      <c r="IKH1338" s="4" t="s">
        <v>2882</v>
      </c>
      <c r="IKI1338" s="4" t="s">
        <v>2882</v>
      </c>
      <c r="IKJ1338" s="4" t="s">
        <v>2882</v>
      </c>
      <c r="IKK1338" s="4" t="s">
        <v>2882</v>
      </c>
      <c r="IKL1338" s="4" t="s">
        <v>2882</v>
      </c>
      <c r="IKM1338" s="4" t="s">
        <v>2882</v>
      </c>
      <c r="IKN1338" s="4" t="s">
        <v>2882</v>
      </c>
      <c r="IKO1338" s="4" t="s">
        <v>2882</v>
      </c>
      <c r="IKP1338" s="4" t="s">
        <v>2882</v>
      </c>
      <c r="IKQ1338" s="4" t="s">
        <v>2882</v>
      </c>
      <c r="IKR1338" s="4" t="s">
        <v>2882</v>
      </c>
      <c r="IKS1338" s="4" t="s">
        <v>2882</v>
      </c>
      <c r="IKT1338" s="4" t="s">
        <v>2882</v>
      </c>
      <c r="IKU1338" s="4" t="s">
        <v>2882</v>
      </c>
      <c r="IKV1338" s="4" t="s">
        <v>2882</v>
      </c>
      <c r="IKW1338" s="4" t="s">
        <v>2882</v>
      </c>
      <c r="IKX1338" s="4" t="s">
        <v>2882</v>
      </c>
      <c r="IKY1338" s="4" t="s">
        <v>2882</v>
      </c>
      <c r="IKZ1338" s="4" t="s">
        <v>2882</v>
      </c>
      <c r="ILA1338" s="4" t="s">
        <v>2882</v>
      </c>
      <c r="ILB1338" s="4" t="s">
        <v>2882</v>
      </c>
      <c r="ILC1338" s="4" t="s">
        <v>2882</v>
      </c>
      <c r="ILD1338" s="4" t="s">
        <v>2882</v>
      </c>
      <c r="ILE1338" s="4" t="s">
        <v>2882</v>
      </c>
      <c r="ILF1338" s="4" t="s">
        <v>2882</v>
      </c>
      <c r="ILG1338" s="4" t="s">
        <v>2882</v>
      </c>
      <c r="ILH1338" s="4" t="s">
        <v>2882</v>
      </c>
      <c r="ILI1338" s="4" t="s">
        <v>2882</v>
      </c>
      <c r="ILJ1338" s="4" t="s">
        <v>2882</v>
      </c>
      <c r="ILK1338" s="4" t="s">
        <v>2882</v>
      </c>
      <c r="ILL1338" s="4" t="s">
        <v>2882</v>
      </c>
      <c r="ILM1338" s="4" t="s">
        <v>2882</v>
      </c>
      <c r="ILN1338" s="4" t="s">
        <v>2882</v>
      </c>
      <c r="ILO1338" s="4" t="s">
        <v>2882</v>
      </c>
      <c r="ILP1338" s="4" t="s">
        <v>2882</v>
      </c>
      <c r="ILQ1338" s="4" t="s">
        <v>2882</v>
      </c>
      <c r="ILR1338" s="4" t="s">
        <v>2882</v>
      </c>
      <c r="ILS1338" s="4" t="s">
        <v>2882</v>
      </c>
      <c r="ILT1338" s="4" t="s">
        <v>2882</v>
      </c>
      <c r="ILU1338" s="4" t="s">
        <v>2882</v>
      </c>
      <c r="ILV1338" s="4" t="s">
        <v>2882</v>
      </c>
      <c r="ILW1338" s="4" t="s">
        <v>2882</v>
      </c>
      <c r="ILX1338" s="4" t="s">
        <v>2882</v>
      </c>
      <c r="ILY1338" s="4" t="s">
        <v>2882</v>
      </c>
      <c r="ILZ1338" s="4" t="s">
        <v>2882</v>
      </c>
      <c r="IMA1338" s="4" t="s">
        <v>2882</v>
      </c>
      <c r="IMB1338" s="4" t="s">
        <v>2882</v>
      </c>
      <c r="IMC1338" s="4" t="s">
        <v>2882</v>
      </c>
      <c r="IMD1338" s="4" t="s">
        <v>2882</v>
      </c>
      <c r="IME1338" s="4" t="s">
        <v>2882</v>
      </c>
      <c r="IMF1338" s="4" t="s">
        <v>2882</v>
      </c>
      <c r="IMG1338" s="4" t="s">
        <v>2882</v>
      </c>
      <c r="IMH1338" s="4" t="s">
        <v>2882</v>
      </c>
      <c r="IMI1338" s="4" t="s">
        <v>2882</v>
      </c>
      <c r="IMJ1338" s="4" t="s">
        <v>2882</v>
      </c>
      <c r="IMK1338" s="4" t="s">
        <v>2882</v>
      </c>
      <c r="IML1338" s="4" t="s">
        <v>2882</v>
      </c>
      <c r="IMM1338" s="4" t="s">
        <v>2882</v>
      </c>
      <c r="IMN1338" s="4" t="s">
        <v>2882</v>
      </c>
      <c r="IMO1338" s="4" t="s">
        <v>2882</v>
      </c>
      <c r="IMP1338" s="4" t="s">
        <v>2882</v>
      </c>
      <c r="IMQ1338" s="4" t="s">
        <v>2882</v>
      </c>
      <c r="IMR1338" s="4" t="s">
        <v>2882</v>
      </c>
      <c r="IMS1338" s="4" t="s">
        <v>2882</v>
      </c>
      <c r="IMT1338" s="4" t="s">
        <v>2882</v>
      </c>
      <c r="IMU1338" s="4" t="s">
        <v>2882</v>
      </c>
      <c r="IMV1338" s="4" t="s">
        <v>2882</v>
      </c>
      <c r="IMW1338" s="4" t="s">
        <v>2882</v>
      </c>
      <c r="IMX1338" s="4" t="s">
        <v>2882</v>
      </c>
      <c r="IMY1338" s="4" t="s">
        <v>2882</v>
      </c>
      <c r="IMZ1338" s="4" t="s">
        <v>2882</v>
      </c>
      <c r="INA1338" s="4" t="s">
        <v>2882</v>
      </c>
      <c r="INB1338" s="4" t="s">
        <v>2882</v>
      </c>
      <c r="INC1338" s="4" t="s">
        <v>2882</v>
      </c>
      <c r="IND1338" s="4" t="s">
        <v>2882</v>
      </c>
      <c r="INE1338" s="4" t="s">
        <v>2882</v>
      </c>
      <c r="INF1338" s="4" t="s">
        <v>2882</v>
      </c>
      <c r="ING1338" s="4" t="s">
        <v>2882</v>
      </c>
      <c r="INH1338" s="4" t="s">
        <v>2882</v>
      </c>
      <c r="INI1338" s="4" t="s">
        <v>2882</v>
      </c>
      <c r="INJ1338" s="4" t="s">
        <v>2882</v>
      </c>
      <c r="INK1338" s="4" t="s">
        <v>2882</v>
      </c>
      <c r="INL1338" s="4" t="s">
        <v>2882</v>
      </c>
      <c r="INM1338" s="4" t="s">
        <v>2882</v>
      </c>
      <c r="INN1338" s="4" t="s">
        <v>2882</v>
      </c>
      <c r="INO1338" s="4" t="s">
        <v>2882</v>
      </c>
      <c r="INP1338" s="4" t="s">
        <v>2882</v>
      </c>
      <c r="INQ1338" s="4" t="s">
        <v>2882</v>
      </c>
      <c r="INR1338" s="4" t="s">
        <v>2882</v>
      </c>
      <c r="INS1338" s="4" t="s">
        <v>2882</v>
      </c>
      <c r="INT1338" s="4" t="s">
        <v>2882</v>
      </c>
      <c r="INU1338" s="4" t="s">
        <v>2882</v>
      </c>
      <c r="INV1338" s="4" t="s">
        <v>2882</v>
      </c>
      <c r="INW1338" s="4" t="s">
        <v>2882</v>
      </c>
      <c r="INX1338" s="4" t="s">
        <v>2882</v>
      </c>
      <c r="INY1338" s="4" t="s">
        <v>2882</v>
      </c>
      <c r="INZ1338" s="4" t="s">
        <v>2882</v>
      </c>
      <c r="IOA1338" s="4" t="s">
        <v>2882</v>
      </c>
      <c r="IOB1338" s="4" t="s">
        <v>2882</v>
      </c>
      <c r="IOC1338" s="4" t="s">
        <v>2882</v>
      </c>
      <c r="IOD1338" s="4" t="s">
        <v>2882</v>
      </c>
      <c r="IOE1338" s="4" t="s">
        <v>2882</v>
      </c>
      <c r="IOF1338" s="4" t="s">
        <v>2882</v>
      </c>
      <c r="IOG1338" s="4" t="s">
        <v>2882</v>
      </c>
      <c r="IOH1338" s="4" t="s">
        <v>2882</v>
      </c>
      <c r="IOI1338" s="4" t="s">
        <v>2882</v>
      </c>
      <c r="IOJ1338" s="4" t="s">
        <v>2882</v>
      </c>
      <c r="IOK1338" s="4" t="s">
        <v>2882</v>
      </c>
      <c r="IOL1338" s="4" t="s">
        <v>2882</v>
      </c>
      <c r="IOM1338" s="4" t="s">
        <v>2882</v>
      </c>
      <c r="ION1338" s="4" t="s">
        <v>2882</v>
      </c>
      <c r="IOO1338" s="4" t="s">
        <v>2882</v>
      </c>
      <c r="IOP1338" s="4" t="s">
        <v>2882</v>
      </c>
      <c r="IOQ1338" s="4" t="s">
        <v>2882</v>
      </c>
      <c r="IOR1338" s="4" t="s">
        <v>2882</v>
      </c>
      <c r="IOS1338" s="4" t="s">
        <v>2882</v>
      </c>
      <c r="IOT1338" s="4" t="s">
        <v>2882</v>
      </c>
      <c r="IOU1338" s="4" t="s">
        <v>2882</v>
      </c>
      <c r="IOV1338" s="4" t="s">
        <v>2882</v>
      </c>
      <c r="IOW1338" s="4" t="s">
        <v>2882</v>
      </c>
      <c r="IOX1338" s="4" t="s">
        <v>2882</v>
      </c>
      <c r="IOY1338" s="4" t="s">
        <v>2882</v>
      </c>
      <c r="IOZ1338" s="4" t="s">
        <v>2882</v>
      </c>
      <c r="IPA1338" s="4" t="s">
        <v>2882</v>
      </c>
      <c r="IPB1338" s="4" t="s">
        <v>2882</v>
      </c>
      <c r="IPC1338" s="4" t="s">
        <v>2882</v>
      </c>
      <c r="IPD1338" s="4" t="s">
        <v>2882</v>
      </c>
      <c r="IPE1338" s="4" t="s">
        <v>2882</v>
      </c>
      <c r="IPF1338" s="4" t="s">
        <v>2882</v>
      </c>
      <c r="IPG1338" s="4" t="s">
        <v>2882</v>
      </c>
      <c r="IPH1338" s="4" t="s">
        <v>2882</v>
      </c>
      <c r="IPI1338" s="4" t="s">
        <v>2882</v>
      </c>
      <c r="IPJ1338" s="4" t="s">
        <v>2882</v>
      </c>
      <c r="IPK1338" s="4" t="s">
        <v>2882</v>
      </c>
      <c r="IPL1338" s="4" t="s">
        <v>2882</v>
      </c>
      <c r="IPM1338" s="4" t="s">
        <v>2882</v>
      </c>
      <c r="IPN1338" s="4" t="s">
        <v>2882</v>
      </c>
      <c r="IPO1338" s="4" t="s">
        <v>2882</v>
      </c>
      <c r="IPP1338" s="4" t="s">
        <v>2882</v>
      </c>
      <c r="IPQ1338" s="4" t="s">
        <v>2882</v>
      </c>
      <c r="IPR1338" s="4" t="s">
        <v>2882</v>
      </c>
      <c r="IPS1338" s="4" t="s">
        <v>2882</v>
      </c>
      <c r="IPT1338" s="4" t="s">
        <v>2882</v>
      </c>
      <c r="IPU1338" s="4" t="s">
        <v>2882</v>
      </c>
      <c r="IPV1338" s="4" t="s">
        <v>2882</v>
      </c>
      <c r="IPW1338" s="4" t="s">
        <v>2882</v>
      </c>
      <c r="IPX1338" s="4" t="s">
        <v>2882</v>
      </c>
      <c r="IPY1338" s="4" t="s">
        <v>2882</v>
      </c>
      <c r="IPZ1338" s="4" t="s">
        <v>2882</v>
      </c>
      <c r="IQA1338" s="4" t="s">
        <v>2882</v>
      </c>
      <c r="IQB1338" s="4" t="s">
        <v>2882</v>
      </c>
      <c r="IQC1338" s="4" t="s">
        <v>2882</v>
      </c>
      <c r="IQD1338" s="4" t="s">
        <v>2882</v>
      </c>
      <c r="IQE1338" s="4" t="s">
        <v>2882</v>
      </c>
      <c r="IQF1338" s="4" t="s">
        <v>2882</v>
      </c>
      <c r="IQG1338" s="4" t="s">
        <v>2882</v>
      </c>
      <c r="IQH1338" s="4" t="s">
        <v>2882</v>
      </c>
      <c r="IQI1338" s="4" t="s">
        <v>2882</v>
      </c>
      <c r="IQJ1338" s="4" t="s">
        <v>2882</v>
      </c>
      <c r="IQK1338" s="4" t="s">
        <v>2882</v>
      </c>
      <c r="IQL1338" s="4" t="s">
        <v>2882</v>
      </c>
      <c r="IQM1338" s="4" t="s">
        <v>2882</v>
      </c>
      <c r="IQN1338" s="4" t="s">
        <v>2882</v>
      </c>
      <c r="IQO1338" s="4" t="s">
        <v>2882</v>
      </c>
      <c r="IQP1338" s="4" t="s">
        <v>2882</v>
      </c>
      <c r="IQQ1338" s="4" t="s">
        <v>2882</v>
      </c>
      <c r="IQR1338" s="4" t="s">
        <v>2882</v>
      </c>
      <c r="IQS1338" s="4" t="s">
        <v>2882</v>
      </c>
      <c r="IQT1338" s="4" t="s">
        <v>2882</v>
      </c>
      <c r="IQU1338" s="4" t="s">
        <v>2882</v>
      </c>
      <c r="IQV1338" s="4" t="s">
        <v>2882</v>
      </c>
      <c r="IQW1338" s="4" t="s">
        <v>2882</v>
      </c>
      <c r="IQX1338" s="4" t="s">
        <v>2882</v>
      </c>
      <c r="IQY1338" s="4" t="s">
        <v>2882</v>
      </c>
      <c r="IQZ1338" s="4" t="s">
        <v>2882</v>
      </c>
      <c r="IRA1338" s="4" t="s">
        <v>2882</v>
      </c>
      <c r="IRB1338" s="4" t="s">
        <v>2882</v>
      </c>
      <c r="IRC1338" s="4" t="s">
        <v>2882</v>
      </c>
      <c r="IRD1338" s="4" t="s">
        <v>2882</v>
      </c>
      <c r="IRE1338" s="4" t="s">
        <v>2882</v>
      </c>
      <c r="IRF1338" s="4" t="s">
        <v>2882</v>
      </c>
      <c r="IRG1338" s="4" t="s">
        <v>2882</v>
      </c>
      <c r="IRH1338" s="4" t="s">
        <v>2882</v>
      </c>
      <c r="IRI1338" s="4" t="s">
        <v>2882</v>
      </c>
      <c r="IRJ1338" s="4" t="s">
        <v>2882</v>
      </c>
      <c r="IRK1338" s="4" t="s">
        <v>2882</v>
      </c>
      <c r="IRL1338" s="4" t="s">
        <v>2882</v>
      </c>
      <c r="IRM1338" s="4" t="s">
        <v>2882</v>
      </c>
      <c r="IRN1338" s="4" t="s">
        <v>2882</v>
      </c>
      <c r="IRO1338" s="4" t="s">
        <v>2882</v>
      </c>
      <c r="IRP1338" s="4" t="s">
        <v>2882</v>
      </c>
      <c r="IRQ1338" s="4" t="s">
        <v>2882</v>
      </c>
      <c r="IRR1338" s="4" t="s">
        <v>2882</v>
      </c>
      <c r="IRS1338" s="4" t="s">
        <v>2882</v>
      </c>
      <c r="IRT1338" s="4" t="s">
        <v>2882</v>
      </c>
      <c r="IRU1338" s="4" t="s">
        <v>2882</v>
      </c>
      <c r="IRV1338" s="4" t="s">
        <v>2882</v>
      </c>
      <c r="IRW1338" s="4" t="s">
        <v>2882</v>
      </c>
      <c r="IRX1338" s="4" t="s">
        <v>2882</v>
      </c>
      <c r="IRY1338" s="4" t="s">
        <v>2882</v>
      </c>
      <c r="IRZ1338" s="4" t="s">
        <v>2882</v>
      </c>
      <c r="ISA1338" s="4" t="s">
        <v>2882</v>
      </c>
      <c r="ISB1338" s="4" t="s">
        <v>2882</v>
      </c>
      <c r="ISC1338" s="4" t="s">
        <v>2882</v>
      </c>
      <c r="ISD1338" s="4" t="s">
        <v>2882</v>
      </c>
      <c r="ISE1338" s="4" t="s">
        <v>2882</v>
      </c>
      <c r="ISF1338" s="4" t="s">
        <v>2882</v>
      </c>
      <c r="ISG1338" s="4" t="s">
        <v>2882</v>
      </c>
      <c r="ISH1338" s="4" t="s">
        <v>2882</v>
      </c>
      <c r="ISI1338" s="4" t="s">
        <v>2882</v>
      </c>
      <c r="ISJ1338" s="4" t="s">
        <v>2882</v>
      </c>
      <c r="ISK1338" s="4" t="s">
        <v>2882</v>
      </c>
      <c r="ISL1338" s="4" t="s">
        <v>2882</v>
      </c>
      <c r="ISM1338" s="4" t="s">
        <v>2882</v>
      </c>
      <c r="ISN1338" s="4" t="s">
        <v>2882</v>
      </c>
      <c r="ISO1338" s="4" t="s">
        <v>2882</v>
      </c>
      <c r="ISP1338" s="4" t="s">
        <v>2882</v>
      </c>
      <c r="ISQ1338" s="4" t="s">
        <v>2882</v>
      </c>
      <c r="ISR1338" s="4" t="s">
        <v>2882</v>
      </c>
      <c r="ISS1338" s="4" t="s">
        <v>2882</v>
      </c>
      <c r="IST1338" s="4" t="s">
        <v>2882</v>
      </c>
      <c r="ISU1338" s="4" t="s">
        <v>2882</v>
      </c>
      <c r="ISV1338" s="4" t="s">
        <v>2882</v>
      </c>
      <c r="ISW1338" s="4" t="s">
        <v>2882</v>
      </c>
      <c r="ISX1338" s="4" t="s">
        <v>2882</v>
      </c>
      <c r="ISY1338" s="4" t="s">
        <v>2882</v>
      </c>
      <c r="ISZ1338" s="4" t="s">
        <v>2882</v>
      </c>
      <c r="ITA1338" s="4" t="s">
        <v>2882</v>
      </c>
      <c r="ITB1338" s="4" t="s">
        <v>2882</v>
      </c>
      <c r="ITC1338" s="4" t="s">
        <v>2882</v>
      </c>
      <c r="ITD1338" s="4" t="s">
        <v>2882</v>
      </c>
      <c r="ITE1338" s="4" t="s">
        <v>2882</v>
      </c>
      <c r="ITF1338" s="4" t="s">
        <v>2882</v>
      </c>
      <c r="ITG1338" s="4" t="s">
        <v>2882</v>
      </c>
      <c r="ITH1338" s="4" t="s">
        <v>2882</v>
      </c>
      <c r="ITI1338" s="4" t="s">
        <v>2882</v>
      </c>
      <c r="ITJ1338" s="4" t="s">
        <v>2882</v>
      </c>
      <c r="ITK1338" s="4" t="s">
        <v>2882</v>
      </c>
      <c r="ITL1338" s="4" t="s">
        <v>2882</v>
      </c>
      <c r="ITM1338" s="4" t="s">
        <v>2882</v>
      </c>
      <c r="ITN1338" s="4" t="s">
        <v>2882</v>
      </c>
      <c r="ITO1338" s="4" t="s">
        <v>2882</v>
      </c>
      <c r="ITP1338" s="4" t="s">
        <v>2882</v>
      </c>
      <c r="ITQ1338" s="4" t="s">
        <v>2882</v>
      </c>
      <c r="ITR1338" s="4" t="s">
        <v>2882</v>
      </c>
      <c r="ITS1338" s="4" t="s">
        <v>2882</v>
      </c>
      <c r="ITT1338" s="4" t="s">
        <v>2882</v>
      </c>
      <c r="ITU1338" s="4" t="s">
        <v>2882</v>
      </c>
      <c r="ITV1338" s="4" t="s">
        <v>2882</v>
      </c>
      <c r="ITW1338" s="4" t="s">
        <v>2882</v>
      </c>
      <c r="ITX1338" s="4" t="s">
        <v>2882</v>
      </c>
      <c r="ITY1338" s="4" t="s">
        <v>2882</v>
      </c>
      <c r="ITZ1338" s="4" t="s">
        <v>2882</v>
      </c>
      <c r="IUA1338" s="4" t="s">
        <v>2882</v>
      </c>
      <c r="IUB1338" s="4" t="s">
        <v>2882</v>
      </c>
      <c r="IUC1338" s="4" t="s">
        <v>2882</v>
      </c>
      <c r="IUD1338" s="4" t="s">
        <v>2882</v>
      </c>
      <c r="IUE1338" s="4" t="s">
        <v>2882</v>
      </c>
      <c r="IUF1338" s="4" t="s">
        <v>2882</v>
      </c>
      <c r="IUG1338" s="4" t="s">
        <v>2882</v>
      </c>
      <c r="IUH1338" s="4" t="s">
        <v>2882</v>
      </c>
      <c r="IUI1338" s="4" t="s">
        <v>2882</v>
      </c>
      <c r="IUJ1338" s="4" t="s">
        <v>2882</v>
      </c>
      <c r="IUK1338" s="4" t="s">
        <v>2882</v>
      </c>
      <c r="IUL1338" s="4" t="s">
        <v>2882</v>
      </c>
      <c r="IUM1338" s="4" t="s">
        <v>2882</v>
      </c>
      <c r="IUN1338" s="4" t="s">
        <v>2882</v>
      </c>
      <c r="IUO1338" s="4" t="s">
        <v>2882</v>
      </c>
      <c r="IUP1338" s="4" t="s">
        <v>2882</v>
      </c>
      <c r="IUQ1338" s="4" t="s">
        <v>2882</v>
      </c>
      <c r="IUR1338" s="4" t="s">
        <v>2882</v>
      </c>
      <c r="IUS1338" s="4" t="s">
        <v>2882</v>
      </c>
      <c r="IUT1338" s="4" t="s">
        <v>2882</v>
      </c>
      <c r="IUU1338" s="4" t="s">
        <v>2882</v>
      </c>
      <c r="IUV1338" s="4" t="s">
        <v>2882</v>
      </c>
      <c r="IUW1338" s="4" t="s">
        <v>2882</v>
      </c>
      <c r="IUX1338" s="4" t="s">
        <v>2882</v>
      </c>
      <c r="IUY1338" s="4" t="s">
        <v>2882</v>
      </c>
      <c r="IUZ1338" s="4" t="s">
        <v>2882</v>
      </c>
      <c r="IVA1338" s="4" t="s">
        <v>2882</v>
      </c>
      <c r="IVB1338" s="4" t="s">
        <v>2882</v>
      </c>
      <c r="IVC1338" s="4" t="s">
        <v>2882</v>
      </c>
      <c r="IVD1338" s="4" t="s">
        <v>2882</v>
      </c>
      <c r="IVE1338" s="4" t="s">
        <v>2882</v>
      </c>
      <c r="IVF1338" s="4" t="s">
        <v>2882</v>
      </c>
      <c r="IVG1338" s="4" t="s">
        <v>2882</v>
      </c>
      <c r="IVH1338" s="4" t="s">
        <v>2882</v>
      </c>
      <c r="IVI1338" s="4" t="s">
        <v>2882</v>
      </c>
      <c r="IVJ1338" s="4" t="s">
        <v>2882</v>
      </c>
      <c r="IVK1338" s="4" t="s">
        <v>2882</v>
      </c>
      <c r="IVL1338" s="4" t="s">
        <v>2882</v>
      </c>
      <c r="IVM1338" s="4" t="s">
        <v>2882</v>
      </c>
      <c r="IVN1338" s="4" t="s">
        <v>2882</v>
      </c>
      <c r="IVO1338" s="4" t="s">
        <v>2882</v>
      </c>
      <c r="IVP1338" s="4" t="s">
        <v>2882</v>
      </c>
      <c r="IVQ1338" s="4" t="s">
        <v>2882</v>
      </c>
      <c r="IVR1338" s="4" t="s">
        <v>2882</v>
      </c>
      <c r="IVS1338" s="4" t="s">
        <v>2882</v>
      </c>
      <c r="IVT1338" s="4" t="s">
        <v>2882</v>
      </c>
      <c r="IVU1338" s="4" t="s">
        <v>2882</v>
      </c>
      <c r="IVV1338" s="4" t="s">
        <v>2882</v>
      </c>
      <c r="IVW1338" s="4" t="s">
        <v>2882</v>
      </c>
      <c r="IVX1338" s="4" t="s">
        <v>2882</v>
      </c>
      <c r="IVY1338" s="4" t="s">
        <v>2882</v>
      </c>
      <c r="IVZ1338" s="4" t="s">
        <v>2882</v>
      </c>
      <c r="IWA1338" s="4" t="s">
        <v>2882</v>
      </c>
      <c r="IWB1338" s="4" t="s">
        <v>2882</v>
      </c>
      <c r="IWC1338" s="4" t="s">
        <v>2882</v>
      </c>
      <c r="IWD1338" s="4" t="s">
        <v>2882</v>
      </c>
      <c r="IWE1338" s="4" t="s">
        <v>2882</v>
      </c>
      <c r="IWF1338" s="4" t="s">
        <v>2882</v>
      </c>
      <c r="IWG1338" s="4" t="s">
        <v>2882</v>
      </c>
      <c r="IWH1338" s="4" t="s">
        <v>2882</v>
      </c>
      <c r="IWI1338" s="4" t="s">
        <v>2882</v>
      </c>
      <c r="IWJ1338" s="4" t="s">
        <v>2882</v>
      </c>
      <c r="IWK1338" s="4" t="s">
        <v>2882</v>
      </c>
      <c r="IWL1338" s="4" t="s">
        <v>2882</v>
      </c>
      <c r="IWM1338" s="4" t="s">
        <v>2882</v>
      </c>
      <c r="IWN1338" s="4" t="s">
        <v>2882</v>
      </c>
      <c r="IWO1338" s="4" t="s">
        <v>2882</v>
      </c>
      <c r="IWP1338" s="4" t="s">
        <v>2882</v>
      </c>
      <c r="IWQ1338" s="4" t="s">
        <v>2882</v>
      </c>
      <c r="IWR1338" s="4" t="s">
        <v>2882</v>
      </c>
      <c r="IWS1338" s="4" t="s">
        <v>2882</v>
      </c>
      <c r="IWT1338" s="4" t="s">
        <v>2882</v>
      </c>
      <c r="IWU1338" s="4" t="s">
        <v>2882</v>
      </c>
      <c r="IWV1338" s="4" t="s">
        <v>2882</v>
      </c>
      <c r="IWW1338" s="4" t="s">
        <v>2882</v>
      </c>
      <c r="IWX1338" s="4" t="s">
        <v>2882</v>
      </c>
      <c r="IWY1338" s="4" t="s">
        <v>2882</v>
      </c>
      <c r="IWZ1338" s="4" t="s">
        <v>2882</v>
      </c>
      <c r="IXA1338" s="4" t="s">
        <v>2882</v>
      </c>
      <c r="IXB1338" s="4" t="s">
        <v>2882</v>
      </c>
      <c r="IXC1338" s="4" t="s">
        <v>2882</v>
      </c>
      <c r="IXD1338" s="4" t="s">
        <v>2882</v>
      </c>
      <c r="IXE1338" s="4" t="s">
        <v>2882</v>
      </c>
      <c r="IXF1338" s="4" t="s">
        <v>2882</v>
      </c>
      <c r="IXG1338" s="4" t="s">
        <v>2882</v>
      </c>
      <c r="IXH1338" s="4" t="s">
        <v>2882</v>
      </c>
      <c r="IXI1338" s="4" t="s">
        <v>2882</v>
      </c>
      <c r="IXJ1338" s="4" t="s">
        <v>2882</v>
      </c>
      <c r="IXK1338" s="4" t="s">
        <v>2882</v>
      </c>
      <c r="IXL1338" s="4" t="s">
        <v>2882</v>
      </c>
      <c r="IXM1338" s="4" t="s">
        <v>2882</v>
      </c>
      <c r="IXN1338" s="4" t="s">
        <v>2882</v>
      </c>
      <c r="IXO1338" s="4" t="s">
        <v>2882</v>
      </c>
      <c r="IXP1338" s="4" t="s">
        <v>2882</v>
      </c>
      <c r="IXQ1338" s="4" t="s">
        <v>2882</v>
      </c>
      <c r="IXR1338" s="4" t="s">
        <v>2882</v>
      </c>
      <c r="IXS1338" s="4" t="s">
        <v>2882</v>
      </c>
      <c r="IXT1338" s="4" t="s">
        <v>2882</v>
      </c>
      <c r="IXU1338" s="4" t="s">
        <v>2882</v>
      </c>
      <c r="IXV1338" s="4" t="s">
        <v>2882</v>
      </c>
      <c r="IXW1338" s="4" t="s">
        <v>2882</v>
      </c>
      <c r="IXX1338" s="4" t="s">
        <v>2882</v>
      </c>
      <c r="IXY1338" s="4" t="s">
        <v>2882</v>
      </c>
      <c r="IXZ1338" s="4" t="s">
        <v>2882</v>
      </c>
      <c r="IYA1338" s="4" t="s">
        <v>2882</v>
      </c>
      <c r="IYB1338" s="4" t="s">
        <v>2882</v>
      </c>
      <c r="IYC1338" s="4" t="s">
        <v>2882</v>
      </c>
      <c r="IYD1338" s="4" t="s">
        <v>2882</v>
      </c>
      <c r="IYE1338" s="4" t="s">
        <v>2882</v>
      </c>
      <c r="IYF1338" s="4" t="s">
        <v>2882</v>
      </c>
      <c r="IYG1338" s="4" t="s">
        <v>2882</v>
      </c>
      <c r="IYH1338" s="4" t="s">
        <v>2882</v>
      </c>
      <c r="IYI1338" s="4" t="s">
        <v>2882</v>
      </c>
      <c r="IYJ1338" s="4" t="s">
        <v>2882</v>
      </c>
      <c r="IYK1338" s="4" t="s">
        <v>2882</v>
      </c>
      <c r="IYL1338" s="4" t="s">
        <v>2882</v>
      </c>
      <c r="IYM1338" s="4" t="s">
        <v>2882</v>
      </c>
      <c r="IYN1338" s="4" t="s">
        <v>2882</v>
      </c>
      <c r="IYO1338" s="4" t="s">
        <v>2882</v>
      </c>
      <c r="IYP1338" s="4" t="s">
        <v>2882</v>
      </c>
      <c r="IYQ1338" s="4" t="s">
        <v>2882</v>
      </c>
      <c r="IYR1338" s="4" t="s">
        <v>2882</v>
      </c>
      <c r="IYS1338" s="4" t="s">
        <v>2882</v>
      </c>
      <c r="IYT1338" s="4" t="s">
        <v>2882</v>
      </c>
      <c r="IYU1338" s="4" t="s">
        <v>2882</v>
      </c>
      <c r="IYV1338" s="4" t="s">
        <v>2882</v>
      </c>
      <c r="IYW1338" s="4" t="s">
        <v>2882</v>
      </c>
      <c r="IYX1338" s="4" t="s">
        <v>2882</v>
      </c>
      <c r="IYY1338" s="4" t="s">
        <v>2882</v>
      </c>
      <c r="IYZ1338" s="4" t="s">
        <v>2882</v>
      </c>
      <c r="IZA1338" s="4" t="s">
        <v>2882</v>
      </c>
      <c r="IZB1338" s="4" t="s">
        <v>2882</v>
      </c>
      <c r="IZC1338" s="4" t="s">
        <v>2882</v>
      </c>
      <c r="IZD1338" s="4" t="s">
        <v>2882</v>
      </c>
      <c r="IZE1338" s="4" t="s">
        <v>2882</v>
      </c>
      <c r="IZF1338" s="4" t="s">
        <v>2882</v>
      </c>
      <c r="IZG1338" s="4" t="s">
        <v>2882</v>
      </c>
      <c r="IZH1338" s="4" t="s">
        <v>2882</v>
      </c>
      <c r="IZI1338" s="4" t="s">
        <v>2882</v>
      </c>
      <c r="IZJ1338" s="4" t="s">
        <v>2882</v>
      </c>
      <c r="IZK1338" s="4" t="s">
        <v>2882</v>
      </c>
      <c r="IZL1338" s="4" t="s">
        <v>2882</v>
      </c>
      <c r="IZM1338" s="4" t="s">
        <v>2882</v>
      </c>
      <c r="IZN1338" s="4" t="s">
        <v>2882</v>
      </c>
      <c r="IZO1338" s="4" t="s">
        <v>2882</v>
      </c>
      <c r="IZP1338" s="4" t="s">
        <v>2882</v>
      </c>
      <c r="IZQ1338" s="4" t="s">
        <v>2882</v>
      </c>
      <c r="IZR1338" s="4" t="s">
        <v>2882</v>
      </c>
      <c r="IZS1338" s="4" t="s">
        <v>2882</v>
      </c>
      <c r="IZT1338" s="4" t="s">
        <v>2882</v>
      </c>
      <c r="IZU1338" s="4" t="s">
        <v>2882</v>
      </c>
      <c r="IZV1338" s="4" t="s">
        <v>2882</v>
      </c>
      <c r="IZW1338" s="4" t="s">
        <v>2882</v>
      </c>
      <c r="IZX1338" s="4" t="s">
        <v>2882</v>
      </c>
      <c r="IZY1338" s="4" t="s">
        <v>2882</v>
      </c>
      <c r="IZZ1338" s="4" t="s">
        <v>2882</v>
      </c>
      <c r="JAA1338" s="4" t="s">
        <v>2882</v>
      </c>
      <c r="JAB1338" s="4" t="s">
        <v>2882</v>
      </c>
      <c r="JAC1338" s="4" t="s">
        <v>2882</v>
      </c>
      <c r="JAD1338" s="4" t="s">
        <v>2882</v>
      </c>
      <c r="JAE1338" s="4" t="s">
        <v>2882</v>
      </c>
      <c r="JAF1338" s="4" t="s">
        <v>2882</v>
      </c>
      <c r="JAG1338" s="4" t="s">
        <v>2882</v>
      </c>
      <c r="JAH1338" s="4" t="s">
        <v>2882</v>
      </c>
      <c r="JAI1338" s="4" t="s">
        <v>2882</v>
      </c>
      <c r="JAJ1338" s="4" t="s">
        <v>2882</v>
      </c>
      <c r="JAK1338" s="4" t="s">
        <v>2882</v>
      </c>
      <c r="JAL1338" s="4" t="s">
        <v>2882</v>
      </c>
      <c r="JAM1338" s="4" t="s">
        <v>2882</v>
      </c>
      <c r="JAN1338" s="4" t="s">
        <v>2882</v>
      </c>
      <c r="JAO1338" s="4" t="s">
        <v>2882</v>
      </c>
      <c r="JAP1338" s="4" t="s">
        <v>2882</v>
      </c>
      <c r="JAQ1338" s="4" t="s">
        <v>2882</v>
      </c>
      <c r="JAR1338" s="4" t="s">
        <v>2882</v>
      </c>
      <c r="JAS1338" s="4" t="s">
        <v>2882</v>
      </c>
      <c r="JAT1338" s="4" t="s">
        <v>2882</v>
      </c>
      <c r="JAU1338" s="4" t="s">
        <v>2882</v>
      </c>
      <c r="JAV1338" s="4" t="s">
        <v>2882</v>
      </c>
      <c r="JAW1338" s="4" t="s">
        <v>2882</v>
      </c>
      <c r="JAX1338" s="4" t="s">
        <v>2882</v>
      </c>
      <c r="JAY1338" s="4" t="s">
        <v>2882</v>
      </c>
      <c r="JAZ1338" s="4" t="s">
        <v>2882</v>
      </c>
      <c r="JBA1338" s="4" t="s">
        <v>2882</v>
      </c>
      <c r="JBB1338" s="4" t="s">
        <v>2882</v>
      </c>
      <c r="JBC1338" s="4" t="s">
        <v>2882</v>
      </c>
      <c r="JBD1338" s="4" t="s">
        <v>2882</v>
      </c>
      <c r="JBE1338" s="4" t="s">
        <v>2882</v>
      </c>
      <c r="JBF1338" s="4" t="s">
        <v>2882</v>
      </c>
      <c r="JBG1338" s="4" t="s">
        <v>2882</v>
      </c>
      <c r="JBH1338" s="4" t="s">
        <v>2882</v>
      </c>
      <c r="JBI1338" s="4" t="s">
        <v>2882</v>
      </c>
      <c r="JBJ1338" s="4" t="s">
        <v>2882</v>
      </c>
      <c r="JBK1338" s="4" t="s">
        <v>2882</v>
      </c>
      <c r="JBL1338" s="4" t="s">
        <v>2882</v>
      </c>
      <c r="JBM1338" s="4" t="s">
        <v>2882</v>
      </c>
      <c r="JBN1338" s="4" t="s">
        <v>2882</v>
      </c>
      <c r="JBO1338" s="4" t="s">
        <v>2882</v>
      </c>
      <c r="JBP1338" s="4" t="s">
        <v>2882</v>
      </c>
      <c r="JBQ1338" s="4" t="s">
        <v>2882</v>
      </c>
      <c r="JBR1338" s="4" t="s">
        <v>2882</v>
      </c>
      <c r="JBS1338" s="4" t="s">
        <v>2882</v>
      </c>
      <c r="JBT1338" s="4" t="s">
        <v>2882</v>
      </c>
      <c r="JBU1338" s="4" t="s">
        <v>2882</v>
      </c>
      <c r="JBV1338" s="4" t="s">
        <v>2882</v>
      </c>
      <c r="JBW1338" s="4" t="s">
        <v>2882</v>
      </c>
      <c r="JBX1338" s="4" t="s">
        <v>2882</v>
      </c>
      <c r="JBY1338" s="4" t="s">
        <v>2882</v>
      </c>
      <c r="JBZ1338" s="4" t="s">
        <v>2882</v>
      </c>
      <c r="JCA1338" s="4" t="s">
        <v>2882</v>
      </c>
      <c r="JCB1338" s="4" t="s">
        <v>2882</v>
      </c>
      <c r="JCC1338" s="4" t="s">
        <v>2882</v>
      </c>
      <c r="JCD1338" s="4" t="s">
        <v>2882</v>
      </c>
      <c r="JCE1338" s="4" t="s">
        <v>2882</v>
      </c>
      <c r="JCF1338" s="4" t="s">
        <v>2882</v>
      </c>
      <c r="JCG1338" s="4" t="s">
        <v>2882</v>
      </c>
      <c r="JCH1338" s="4" t="s">
        <v>2882</v>
      </c>
      <c r="JCI1338" s="4" t="s">
        <v>2882</v>
      </c>
      <c r="JCJ1338" s="4" t="s">
        <v>2882</v>
      </c>
      <c r="JCK1338" s="4" t="s">
        <v>2882</v>
      </c>
      <c r="JCL1338" s="4" t="s">
        <v>2882</v>
      </c>
      <c r="JCM1338" s="4" t="s">
        <v>2882</v>
      </c>
      <c r="JCN1338" s="4" t="s">
        <v>2882</v>
      </c>
      <c r="JCO1338" s="4" t="s">
        <v>2882</v>
      </c>
      <c r="JCP1338" s="4" t="s">
        <v>2882</v>
      </c>
      <c r="JCQ1338" s="4" t="s">
        <v>2882</v>
      </c>
      <c r="JCR1338" s="4" t="s">
        <v>2882</v>
      </c>
      <c r="JCS1338" s="4" t="s">
        <v>2882</v>
      </c>
      <c r="JCT1338" s="4" t="s">
        <v>2882</v>
      </c>
      <c r="JCU1338" s="4" t="s">
        <v>2882</v>
      </c>
      <c r="JCV1338" s="4" t="s">
        <v>2882</v>
      </c>
      <c r="JCW1338" s="4" t="s">
        <v>2882</v>
      </c>
      <c r="JCX1338" s="4" t="s">
        <v>2882</v>
      </c>
      <c r="JCY1338" s="4" t="s">
        <v>2882</v>
      </c>
      <c r="JCZ1338" s="4" t="s">
        <v>2882</v>
      </c>
      <c r="JDA1338" s="4" t="s">
        <v>2882</v>
      </c>
      <c r="JDB1338" s="4" t="s">
        <v>2882</v>
      </c>
      <c r="JDC1338" s="4" t="s">
        <v>2882</v>
      </c>
      <c r="JDD1338" s="4" t="s">
        <v>2882</v>
      </c>
      <c r="JDE1338" s="4" t="s">
        <v>2882</v>
      </c>
      <c r="JDF1338" s="4" t="s">
        <v>2882</v>
      </c>
      <c r="JDG1338" s="4" t="s">
        <v>2882</v>
      </c>
      <c r="JDH1338" s="4" t="s">
        <v>2882</v>
      </c>
      <c r="JDI1338" s="4" t="s">
        <v>2882</v>
      </c>
      <c r="JDJ1338" s="4" t="s">
        <v>2882</v>
      </c>
      <c r="JDK1338" s="4" t="s">
        <v>2882</v>
      </c>
      <c r="JDL1338" s="4" t="s">
        <v>2882</v>
      </c>
      <c r="JDM1338" s="4" t="s">
        <v>2882</v>
      </c>
      <c r="JDN1338" s="4" t="s">
        <v>2882</v>
      </c>
      <c r="JDO1338" s="4" t="s">
        <v>2882</v>
      </c>
      <c r="JDP1338" s="4" t="s">
        <v>2882</v>
      </c>
      <c r="JDQ1338" s="4" t="s">
        <v>2882</v>
      </c>
      <c r="JDR1338" s="4" t="s">
        <v>2882</v>
      </c>
      <c r="JDS1338" s="4" t="s">
        <v>2882</v>
      </c>
      <c r="JDT1338" s="4" t="s">
        <v>2882</v>
      </c>
      <c r="JDU1338" s="4" t="s">
        <v>2882</v>
      </c>
      <c r="JDV1338" s="4" t="s">
        <v>2882</v>
      </c>
      <c r="JDW1338" s="4" t="s">
        <v>2882</v>
      </c>
      <c r="JDX1338" s="4" t="s">
        <v>2882</v>
      </c>
      <c r="JDY1338" s="4" t="s">
        <v>2882</v>
      </c>
      <c r="JDZ1338" s="4" t="s">
        <v>2882</v>
      </c>
      <c r="JEA1338" s="4" t="s">
        <v>2882</v>
      </c>
      <c r="JEB1338" s="4" t="s">
        <v>2882</v>
      </c>
      <c r="JEC1338" s="4" t="s">
        <v>2882</v>
      </c>
      <c r="JED1338" s="4" t="s">
        <v>2882</v>
      </c>
      <c r="JEE1338" s="4" t="s">
        <v>2882</v>
      </c>
      <c r="JEF1338" s="4" t="s">
        <v>2882</v>
      </c>
      <c r="JEG1338" s="4" t="s">
        <v>2882</v>
      </c>
      <c r="JEH1338" s="4" t="s">
        <v>2882</v>
      </c>
      <c r="JEI1338" s="4" t="s">
        <v>2882</v>
      </c>
      <c r="JEJ1338" s="4" t="s">
        <v>2882</v>
      </c>
      <c r="JEK1338" s="4" t="s">
        <v>2882</v>
      </c>
      <c r="JEL1338" s="4" t="s">
        <v>2882</v>
      </c>
      <c r="JEM1338" s="4" t="s">
        <v>2882</v>
      </c>
      <c r="JEN1338" s="4" t="s">
        <v>2882</v>
      </c>
      <c r="JEO1338" s="4" t="s">
        <v>2882</v>
      </c>
      <c r="JEP1338" s="4" t="s">
        <v>2882</v>
      </c>
      <c r="JEQ1338" s="4" t="s">
        <v>2882</v>
      </c>
      <c r="JER1338" s="4" t="s">
        <v>2882</v>
      </c>
      <c r="JES1338" s="4" t="s">
        <v>2882</v>
      </c>
      <c r="JET1338" s="4" t="s">
        <v>2882</v>
      </c>
      <c r="JEU1338" s="4" t="s">
        <v>2882</v>
      </c>
      <c r="JEV1338" s="4" t="s">
        <v>2882</v>
      </c>
      <c r="JEW1338" s="4" t="s">
        <v>2882</v>
      </c>
      <c r="JEX1338" s="4" t="s">
        <v>2882</v>
      </c>
      <c r="JEY1338" s="4" t="s">
        <v>2882</v>
      </c>
      <c r="JEZ1338" s="4" t="s">
        <v>2882</v>
      </c>
      <c r="JFA1338" s="4" t="s">
        <v>2882</v>
      </c>
      <c r="JFB1338" s="4" t="s">
        <v>2882</v>
      </c>
      <c r="JFC1338" s="4" t="s">
        <v>2882</v>
      </c>
      <c r="JFD1338" s="4" t="s">
        <v>2882</v>
      </c>
      <c r="JFE1338" s="4" t="s">
        <v>2882</v>
      </c>
      <c r="JFF1338" s="4" t="s">
        <v>2882</v>
      </c>
      <c r="JFG1338" s="4" t="s">
        <v>2882</v>
      </c>
      <c r="JFH1338" s="4" t="s">
        <v>2882</v>
      </c>
      <c r="JFI1338" s="4" t="s">
        <v>2882</v>
      </c>
      <c r="JFJ1338" s="4" t="s">
        <v>2882</v>
      </c>
      <c r="JFK1338" s="4" t="s">
        <v>2882</v>
      </c>
      <c r="JFL1338" s="4" t="s">
        <v>2882</v>
      </c>
      <c r="JFM1338" s="4" t="s">
        <v>2882</v>
      </c>
      <c r="JFN1338" s="4" t="s">
        <v>2882</v>
      </c>
      <c r="JFO1338" s="4" t="s">
        <v>2882</v>
      </c>
      <c r="JFP1338" s="4" t="s">
        <v>2882</v>
      </c>
      <c r="JFQ1338" s="4" t="s">
        <v>2882</v>
      </c>
      <c r="JFR1338" s="4" t="s">
        <v>2882</v>
      </c>
      <c r="JFS1338" s="4" t="s">
        <v>2882</v>
      </c>
      <c r="JFT1338" s="4" t="s">
        <v>2882</v>
      </c>
      <c r="JFU1338" s="4" t="s">
        <v>2882</v>
      </c>
      <c r="JFV1338" s="4" t="s">
        <v>2882</v>
      </c>
      <c r="JFW1338" s="4" t="s">
        <v>2882</v>
      </c>
      <c r="JFX1338" s="4" t="s">
        <v>2882</v>
      </c>
      <c r="JFY1338" s="4" t="s">
        <v>2882</v>
      </c>
      <c r="JFZ1338" s="4" t="s">
        <v>2882</v>
      </c>
      <c r="JGA1338" s="4" t="s">
        <v>2882</v>
      </c>
      <c r="JGB1338" s="4" t="s">
        <v>2882</v>
      </c>
      <c r="JGC1338" s="4" t="s">
        <v>2882</v>
      </c>
      <c r="JGD1338" s="4" t="s">
        <v>2882</v>
      </c>
      <c r="JGE1338" s="4" t="s">
        <v>2882</v>
      </c>
      <c r="JGF1338" s="4" t="s">
        <v>2882</v>
      </c>
      <c r="JGG1338" s="4" t="s">
        <v>2882</v>
      </c>
      <c r="JGH1338" s="4" t="s">
        <v>2882</v>
      </c>
      <c r="JGI1338" s="4" t="s">
        <v>2882</v>
      </c>
      <c r="JGJ1338" s="4" t="s">
        <v>2882</v>
      </c>
      <c r="JGK1338" s="4" t="s">
        <v>2882</v>
      </c>
      <c r="JGL1338" s="4" t="s">
        <v>2882</v>
      </c>
      <c r="JGM1338" s="4" t="s">
        <v>2882</v>
      </c>
      <c r="JGN1338" s="4" t="s">
        <v>2882</v>
      </c>
      <c r="JGO1338" s="4" t="s">
        <v>2882</v>
      </c>
      <c r="JGP1338" s="4" t="s">
        <v>2882</v>
      </c>
      <c r="JGQ1338" s="4" t="s">
        <v>2882</v>
      </c>
      <c r="JGR1338" s="4" t="s">
        <v>2882</v>
      </c>
      <c r="JGS1338" s="4" t="s">
        <v>2882</v>
      </c>
      <c r="JGT1338" s="4" t="s">
        <v>2882</v>
      </c>
      <c r="JGU1338" s="4" t="s">
        <v>2882</v>
      </c>
      <c r="JGV1338" s="4" t="s">
        <v>2882</v>
      </c>
      <c r="JGW1338" s="4" t="s">
        <v>2882</v>
      </c>
      <c r="JGX1338" s="4" t="s">
        <v>2882</v>
      </c>
      <c r="JGY1338" s="4" t="s">
        <v>2882</v>
      </c>
      <c r="JGZ1338" s="4" t="s">
        <v>2882</v>
      </c>
      <c r="JHA1338" s="4" t="s">
        <v>2882</v>
      </c>
      <c r="JHB1338" s="4" t="s">
        <v>2882</v>
      </c>
      <c r="JHC1338" s="4" t="s">
        <v>2882</v>
      </c>
      <c r="JHD1338" s="4" t="s">
        <v>2882</v>
      </c>
      <c r="JHE1338" s="4" t="s">
        <v>2882</v>
      </c>
      <c r="JHF1338" s="4" t="s">
        <v>2882</v>
      </c>
      <c r="JHG1338" s="4" t="s">
        <v>2882</v>
      </c>
      <c r="JHH1338" s="4" t="s">
        <v>2882</v>
      </c>
      <c r="JHI1338" s="4" t="s">
        <v>2882</v>
      </c>
      <c r="JHJ1338" s="4" t="s">
        <v>2882</v>
      </c>
      <c r="JHK1338" s="4" t="s">
        <v>2882</v>
      </c>
      <c r="JHL1338" s="4" t="s">
        <v>2882</v>
      </c>
      <c r="JHM1338" s="4" t="s">
        <v>2882</v>
      </c>
      <c r="JHN1338" s="4" t="s">
        <v>2882</v>
      </c>
      <c r="JHO1338" s="4" t="s">
        <v>2882</v>
      </c>
      <c r="JHP1338" s="4" t="s">
        <v>2882</v>
      </c>
      <c r="JHQ1338" s="4" t="s">
        <v>2882</v>
      </c>
      <c r="JHR1338" s="4" t="s">
        <v>2882</v>
      </c>
      <c r="JHS1338" s="4" t="s">
        <v>2882</v>
      </c>
      <c r="JHT1338" s="4" t="s">
        <v>2882</v>
      </c>
      <c r="JHU1338" s="4" t="s">
        <v>2882</v>
      </c>
      <c r="JHV1338" s="4" t="s">
        <v>2882</v>
      </c>
      <c r="JHW1338" s="4" t="s">
        <v>2882</v>
      </c>
      <c r="JHX1338" s="4" t="s">
        <v>2882</v>
      </c>
      <c r="JHY1338" s="4" t="s">
        <v>2882</v>
      </c>
      <c r="JHZ1338" s="4" t="s">
        <v>2882</v>
      </c>
      <c r="JIA1338" s="4" t="s">
        <v>2882</v>
      </c>
      <c r="JIB1338" s="4" t="s">
        <v>2882</v>
      </c>
      <c r="JIC1338" s="4" t="s">
        <v>2882</v>
      </c>
      <c r="JID1338" s="4" t="s">
        <v>2882</v>
      </c>
      <c r="JIE1338" s="4" t="s">
        <v>2882</v>
      </c>
      <c r="JIF1338" s="4" t="s">
        <v>2882</v>
      </c>
      <c r="JIG1338" s="4" t="s">
        <v>2882</v>
      </c>
      <c r="JIH1338" s="4" t="s">
        <v>2882</v>
      </c>
      <c r="JII1338" s="4" t="s">
        <v>2882</v>
      </c>
      <c r="JIJ1338" s="4" t="s">
        <v>2882</v>
      </c>
      <c r="JIK1338" s="4" t="s">
        <v>2882</v>
      </c>
      <c r="JIL1338" s="4" t="s">
        <v>2882</v>
      </c>
      <c r="JIM1338" s="4" t="s">
        <v>2882</v>
      </c>
      <c r="JIN1338" s="4" t="s">
        <v>2882</v>
      </c>
      <c r="JIO1338" s="4" t="s">
        <v>2882</v>
      </c>
      <c r="JIP1338" s="4" t="s">
        <v>2882</v>
      </c>
      <c r="JIQ1338" s="4" t="s">
        <v>2882</v>
      </c>
      <c r="JIR1338" s="4" t="s">
        <v>2882</v>
      </c>
      <c r="JIS1338" s="4" t="s">
        <v>2882</v>
      </c>
      <c r="JIT1338" s="4" t="s">
        <v>2882</v>
      </c>
      <c r="JIU1338" s="4" t="s">
        <v>2882</v>
      </c>
      <c r="JIV1338" s="4" t="s">
        <v>2882</v>
      </c>
      <c r="JIW1338" s="4" t="s">
        <v>2882</v>
      </c>
      <c r="JIX1338" s="4" t="s">
        <v>2882</v>
      </c>
      <c r="JIY1338" s="4" t="s">
        <v>2882</v>
      </c>
      <c r="JIZ1338" s="4" t="s">
        <v>2882</v>
      </c>
      <c r="JJA1338" s="4" t="s">
        <v>2882</v>
      </c>
      <c r="JJB1338" s="4" t="s">
        <v>2882</v>
      </c>
      <c r="JJC1338" s="4" t="s">
        <v>2882</v>
      </c>
      <c r="JJD1338" s="4" t="s">
        <v>2882</v>
      </c>
      <c r="JJE1338" s="4" t="s">
        <v>2882</v>
      </c>
      <c r="JJF1338" s="4" t="s">
        <v>2882</v>
      </c>
      <c r="JJG1338" s="4" t="s">
        <v>2882</v>
      </c>
      <c r="JJH1338" s="4" t="s">
        <v>2882</v>
      </c>
      <c r="JJI1338" s="4" t="s">
        <v>2882</v>
      </c>
      <c r="JJJ1338" s="4" t="s">
        <v>2882</v>
      </c>
      <c r="JJK1338" s="4" t="s">
        <v>2882</v>
      </c>
      <c r="JJL1338" s="4" t="s">
        <v>2882</v>
      </c>
      <c r="JJM1338" s="4" t="s">
        <v>2882</v>
      </c>
      <c r="JJN1338" s="4" t="s">
        <v>2882</v>
      </c>
      <c r="JJO1338" s="4" t="s">
        <v>2882</v>
      </c>
      <c r="JJP1338" s="4" t="s">
        <v>2882</v>
      </c>
      <c r="JJQ1338" s="4" t="s">
        <v>2882</v>
      </c>
      <c r="JJR1338" s="4" t="s">
        <v>2882</v>
      </c>
      <c r="JJS1338" s="4" t="s">
        <v>2882</v>
      </c>
      <c r="JJT1338" s="4" t="s">
        <v>2882</v>
      </c>
      <c r="JJU1338" s="4" t="s">
        <v>2882</v>
      </c>
      <c r="JJV1338" s="4" t="s">
        <v>2882</v>
      </c>
      <c r="JJW1338" s="4" t="s">
        <v>2882</v>
      </c>
      <c r="JJX1338" s="4" t="s">
        <v>2882</v>
      </c>
      <c r="JJY1338" s="4" t="s">
        <v>2882</v>
      </c>
      <c r="JJZ1338" s="4" t="s">
        <v>2882</v>
      </c>
      <c r="JKA1338" s="4" t="s">
        <v>2882</v>
      </c>
      <c r="JKB1338" s="4" t="s">
        <v>2882</v>
      </c>
      <c r="JKC1338" s="4" t="s">
        <v>2882</v>
      </c>
      <c r="JKD1338" s="4" t="s">
        <v>2882</v>
      </c>
      <c r="JKE1338" s="4" t="s">
        <v>2882</v>
      </c>
      <c r="JKF1338" s="4" t="s">
        <v>2882</v>
      </c>
      <c r="JKG1338" s="4" t="s">
        <v>2882</v>
      </c>
      <c r="JKH1338" s="4" t="s">
        <v>2882</v>
      </c>
      <c r="JKI1338" s="4" t="s">
        <v>2882</v>
      </c>
      <c r="JKJ1338" s="4" t="s">
        <v>2882</v>
      </c>
      <c r="JKK1338" s="4" t="s">
        <v>2882</v>
      </c>
      <c r="JKL1338" s="4" t="s">
        <v>2882</v>
      </c>
      <c r="JKM1338" s="4" t="s">
        <v>2882</v>
      </c>
      <c r="JKN1338" s="4" t="s">
        <v>2882</v>
      </c>
      <c r="JKO1338" s="4" t="s">
        <v>2882</v>
      </c>
      <c r="JKP1338" s="4" t="s">
        <v>2882</v>
      </c>
      <c r="JKQ1338" s="4" t="s">
        <v>2882</v>
      </c>
      <c r="JKR1338" s="4" t="s">
        <v>2882</v>
      </c>
      <c r="JKS1338" s="4" t="s">
        <v>2882</v>
      </c>
      <c r="JKT1338" s="4" t="s">
        <v>2882</v>
      </c>
      <c r="JKU1338" s="4" t="s">
        <v>2882</v>
      </c>
      <c r="JKV1338" s="4" t="s">
        <v>2882</v>
      </c>
      <c r="JKW1338" s="4" t="s">
        <v>2882</v>
      </c>
      <c r="JKX1338" s="4" t="s">
        <v>2882</v>
      </c>
      <c r="JKY1338" s="4" t="s">
        <v>2882</v>
      </c>
      <c r="JKZ1338" s="4" t="s">
        <v>2882</v>
      </c>
      <c r="JLA1338" s="4" t="s">
        <v>2882</v>
      </c>
      <c r="JLB1338" s="4" t="s">
        <v>2882</v>
      </c>
      <c r="JLC1338" s="4" t="s">
        <v>2882</v>
      </c>
      <c r="JLD1338" s="4" t="s">
        <v>2882</v>
      </c>
      <c r="JLE1338" s="4" t="s">
        <v>2882</v>
      </c>
      <c r="JLF1338" s="4" t="s">
        <v>2882</v>
      </c>
      <c r="JLG1338" s="4" t="s">
        <v>2882</v>
      </c>
      <c r="JLH1338" s="4" t="s">
        <v>2882</v>
      </c>
      <c r="JLI1338" s="4" t="s">
        <v>2882</v>
      </c>
      <c r="JLJ1338" s="4" t="s">
        <v>2882</v>
      </c>
      <c r="JLK1338" s="4" t="s">
        <v>2882</v>
      </c>
      <c r="JLL1338" s="4" t="s">
        <v>2882</v>
      </c>
      <c r="JLM1338" s="4" t="s">
        <v>2882</v>
      </c>
      <c r="JLN1338" s="4" t="s">
        <v>2882</v>
      </c>
      <c r="JLO1338" s="4" t="s">
        <v>2882</v>
      </c>
      <c r="JLP1338" s="4" t="s">
        <v>2882</v>
      </c>
      <c r="JLQ1338" s="4" t="s">
        <v>2882</v>
      </c>
      <c r="JLR1338" s="4" t="s">
        <v>2882</v>
      </c>
      <c r="JLS1338" s="4" t="s">
        <v>2882</v>
      </c>
      <c r="JLT1338" s="4" t="s">
        <v>2882</v>
      </c>
      <c r="JLU1338" s="4" t="s">
        <v>2882</v>
      </c>
      <c r="JLV1338" s="4" t="s">
        <v>2882</v>
      </c>
      <c r="JLW1338" s="4" t="s">
        <v>2882</v>
      </c>
      <c r="JLX1338" s="4" t="s">
        <v>2882</v>
      </c>
      <c r="JLY1338" s="4" t="s">
        <v>2882</v>
      </c>
      <c r="JLZ1338" s="4" t="s">
        <v>2882</v>
      </c>
      <c r="JMA1338" s="4" t="s">
        <v>2882</v>
      </c>
      <c r="JMB1338" s="4" t="s">
        <v>2882</v>
      </c>
      <c r="JMC1338" s="4" t="s">
        <v>2882</v>
      </c>
      <c r="JMD1338" s="4" t="s">
        <v>2882</v>
      </c>
      <c r="JME1338" s="4" t="s">
        <v>2882</v>
      </c>
      <c r="JMF1338" s="4" t="s">
        <v>2882</v>
      </c>
      <c r="JMG1338" s="4" t="s">
        <v>2882</v>
      </c>
      <c r="JMH1338" s="4" t="s">
        <v>2882</v>
      </c>
      <c r="JMI1338" s="4" t="s">
        <v>2882</v>
      </c>
      <c r="JMJ1338" s="4" t="s">
        <v>2882</v>
      </c>
      <c r="JMK1338" s="4" t="s">
        <v>2882</v>
      </c>
      <c r="JML1338" s="4" t="s">
        <v>2882</v>
      </c>
      <c r="JMM1338" s="4" t="s">
        <v>2882</v>
      </c>
      <c r="JMN1338" s="4" t="s">
        <v>2882</v>
      </c>
      <c r="JMO1338" s="4" t="s">
        <v>2882</v>
      </c>
      <c r="JMP1338" s="4" t="s">
        <v>2882</v>
      </c>
      <c r="JMQ1338" s="4" t="s">
        <v>2882</v>
      </c>
      <c r="JMR1338" s="4" t="s">
        <v>2882</v>
      </c>
      <c r="JMS1338" s="4" t="s">
        <v>2882</v>
      </c>
      <c r="JMT1338" s="4" t="s">
        <v>2882</v>
      </c>
      <c r="JMU1338" s="4" t="s">
        <v>2882</v>
      </c>
      <c r="JMV1338" s="4" t="s">
        <v>2882</v>
      </c>
      <c r="JMW1338" s="4" t="s">
        <v>2882</v>
      </c>
      <c r="JMX1338" s="4" t="s">
        <v>2882</v>
      </c>
      <c r="JMY1338" s="4" t="s">
        <v>2882</v>
      </c>
      <c r="JMZ1338" s="4" t="s">
        <v>2882</v>
      </c>
      <c r="JNA1338" s="4" t="s">
        <v>2882</v>
      </c>
      <c r="JNB1338" s="4" t="s">
        <v>2882</v>
      </c>
      <c r="JNC1338" s="4" t="s">
        <v>2882</v>
      </c>
      <c r="JND1338" s="4" t="s">
        <v>2882</v>
      </c>
      <c r="JNE1338" s="4" t="s">
        <v>2882</v>
      </c>
      <c r="JNF1338" s="4" t="s">
        <v>2882</v>
      </c>
      <c r="JNG1338" s="4" t="s">
        <v>2882</v>
      </c>
      <c r="JNH1338" s="4" t="s">
        <v>2882</v>
      </c>
      <c r="JNI1338" s="4" t="s">
        <v>2882</v>
      </c>
      <c r="JNJ1338" s="4" t="s">
        <v>2882</v>
      </c>
      <c r="JNK1338" s="4" t="s">
        <v>2882</v>
      </c>
      <c r="JNL1338" s="4" t="s">
        <v>2882</v>
      </c>
      <c r="JNM1338" s="4" t="s">
        <v>2882</v>
      </c>
      <c r="JNN1338" s="4" t="s">
        <v>2882</v>
      </c>
      <c r="JNO1338" s="4" t="s">
        <v>2882</v>
      </c>
      <c r="JNP1338" s="4" t="s">
        <v>2882</v>
      </c>
      <c r="JNQ1338" s="4" t="s">
        <v>2882</v>
      </c>
      <c r="JNR1338" s="4" t="s">
        <v>2882</v>
      </c>
      <c r="JNS1338" s="4" t="s">
        <v>2882</v>
      </c>
      <c r="JNT1338" s="4" t="s">
        <v>2882</v>
      </c>
      <c r="JNU1338" s="4" t="s">
        <v>2882</v>
      </c>
      <c r="JNV1338" s="4" t="s">
        <v>2882</v>
      </c>
      <c r="JNW1338" s="4" t="s">
        <v>2882</v>
      </c>
      <c r="JNX1338" s="4" t="s">
        <v>2882</v>
      </c>
      <c r="JNY1338" s="4" t="s">
        <v>2882</v>
      </c>
      <c r="JNZ1338" s="4" t="s">
        <v>2882</v>
      </c>
      <c r="JOA1338" s="4" t="s">
        <v>2882</v>
      </c>
      <c r="JOB1338" s="4" t="s">
        <v>2882</v>
      </c>
      <c r="JOC1338" s="4" t="s">
        <v>2882</v>
      </c>
      <c r="JOD1338" s="4" t="s">
        <v>2882</v>
      </c>
      <c r="JOE1338" s="4" t="s">
        <v>2882</v>
      </c>
      <c r="JOF1338" s="4" t="s">
        <v>2882</v>
      </c>
      <c r="JOG1338" s="4" t="s">
        <v>2882</v>
      </c>
      <c r="JOH1338" s="4" t="s">
        <v>2882</v>
      </c>
      <c r="JOI1338" s="4" t="s">
        <v>2882</v>
      </c>
      <c r="JOJ1338" s="4" t="s">
        <v>2882</v>
      </c>
      <c r="JOK1338" s="4" t="s">
        <v>2882</v>
      </c>
      <c r="JOL1338" s="4" t="s">
        <v>2882</v>
      </c>
      <c r="JOM1338" s="4" t="s">
        <v>2882</v>
      </c>
      <c r="JON1338" s="4" t="s">
        <v>2882</v>
      </c>
      <c r="JOO1338" s="4" t="s">
        <v>2882</v>
      </c>
      <c r="JOP1338" s="4" t="s">
        <v>2882</v>
      </c>
      <c r="JOQ1338" s="4" t="s">
        <v>2882</v>
      </c>
      <c r="JOR1338" s="4" t="s">
        <v>2882</v>
      </c>
      <c r="JOS1338" s="4" t="s">
        <v>2882</v>
      </c>
      <c r="JOT1338" s="4" t="s">
        <v>2882</v>
      </c>
      <c r="JOU1338" s="4" t="s">
        <v>2882</v>
      </c>
      <c r="JOV1338" s="4" t="s">
        <v>2882</v>
      </c>
      <c r="JOW1338" s="4" t="s">
        <v>2882</v>
      </c>
      <c r="JOX1338" s="4" t="s">
        <v>2882</v>
      </c>
      <c r="JOY1338" s="4" t="s">
        <v>2882</v>
      </c>
      <c r="JOZ1338" s="4" t="s">
        <v>2882</v>
      </c>
      <c r="JPA1338" s="4" t="s">
        <v>2882</v>
      </c>
      <c r="JPB1338" s="4" t="s">
        <v>2882</v>
      </c>
      <c r="JPC1338" s="4" t="s">
        <v>2882</v>
      </c>
      <c r="JPD1338" s="4" t="s">
        <v>2882</v>
      </c>
      <c r="JPE1338" s="4" t="s">
        <v>2882</v>
      </c>
      <c r="JPF1338" s="4" t="s">
        <v>2882</v>
      </c>
      <c r="JPG1338" s="4" t="s">
        <v>2882</v>
      </c>
      <c r="JPH1338" s="4" t="s">
        <v>2882</v>
      </c>
      <c r="JPI1338" s="4" t="s">
        <v>2882</v>
      </c>
      <c r="JPJ1338" s="4" t="s">
        <v>2882</v>
      </c>
      <c r="JPK1338" s="4" t="s">
        <v>2882</v>
      </c>
      <c r="JPL1338" s="4" t="s">
        <v>2882</v>
      </c>
      <c r="JPM1338" s="4" t="s">
        <v>2882</v>
      </c>
      <c r="JPN1338" s="4" t="s">
        <v>2882</v>
      </c>
      <c r="JPO1338" s="4" t="s">
        <v>2882</v>
      </c>
      <c r="JPP1338" s="4" t="s">
        <v>2882</v>
      </c>
      <c r="JPQ1338" s="4" t="s">
        <v>2882</v>
      </c>
      <c r="JPR1338" s="4" t="s">
        <v>2882</v>
      </c>
      <c r="JPS1338" s="4" t="s">
        <v>2882</v>
      </c>
      <c r="JPT1338" s="4" t="s">
        <v>2882</v>
      </c>
      <c r="JPU1338" s="4" t="s">
        <v>2882</v>
      </c>
      <c r="JPV1338" s="4" t="s">
        <v>2882</v>
      </c>
      <c r="JPW1338" s="4" t="s">
        <v>2882</v>
      </c>
      <c r="JPX1338" s="4" t="s">
        <v>2882</v>
      </c>
      <c r="JPY1338" s="4" t="s">
        <v>2882</v>
      </c>
      <c r="JPZ1338" s="4" t="s">
        <v>2882</v>
      </c>
      <c r="JQA1338" s="4" t="s">
        <v>2882</v>
      </c>
      <c r="JQB1338" s="4" t="s">
        <v>2882</v>
      </c>
      <c r="JQC1338" s="4" t="s">
        <v>2882</v>
      </c>
      <c r="JQD1338" s="4" t="s">
        <v>2882</v>
      </c>
      <c r="JQE1338" s="4" t="s">
        <v>2882</v>
      </c>
      <c r="JQF1338" s="4" t="s">
        <v>2882</v>
      </c>
      <c r="JQG1338" s="4" t="s">
        <v>2882</v>
      </c>
      <c r="JQH1338" s="4" t="s">
        <v>2882</v>
      </c>
      <c r="JQI1338" s="4" t="s">
        <v>2882</v>
      </c>
      <c r="JQJ1338" s="4" t="s">
        <v>2882</v>
      </c>
      <c r="JQK1338" s="4" t="s">
        <v>2882</v>
      </c>
      <c r="JQL1338" s="4" t="s">
        <v>2882</v>
      </c>
      <c r="JQM1338" s="4" t="s">
        <v>2882</v>
      </c>
      <c r="JQN1338" s="4" t="s">
        <v>2882</v>
      </c>
      <c r="JQO1338" s="4" t="s">
        <v>2882</v>
      </c>
      <c r="JQP1338" s="4" t="s">
        <v>2882</v>
      </c>
      <c r="JQQ1338" s="4" t="s">
        <v>2882</v>
      </c>
      <c r="JQR1338" s="4" t="s">
        <v>2882</v>
      </c>
      <c r="JQS1338" s="4" t="s">
        <v>2882</v>
      </c>
      <c r="JQT1338" s="4" t="s">
        <v>2882</v>
      </c>
      <c r="JQU1338" s="4" t="s">
        <v>2882</v>
      </c>
      <c r="JQV1338" s="4" t="s">
        <v>2882</v>
      </c>
      <c r="JQW1338" s="4" t="s">
        <v>2882</v>
      </c>
      <c r="JQX1338" s="4" t="s">
        <v>2882</v>
      </c>
      <c r="JQY1338" s="4" t="s">
        <v>2882</v>
      </c>
      <c r="JQZ1338" s="4" t="s">
        <v>2882</v>
      </c>
      <c r="JRA1338" s="4" t="s">
        <v>2882</v>
      </c>
      <c r="JRB1338" s="4" t="s">
        <v>2882</v>
      </c>
      <c r="JRC1338" s="4" t="s">
        <v>2882</v>
      </c>
      <c r="JRD1338" s="4" t="s">
        <v>2882</v>
      </c>
      <c r="JRE1338" s="4" t="s">
        <v>2882</v>
      </c>
      <c r="JRF1338" s="4" t="s">
        <v>2882</v>
      </c>
      <c r="JRG1338" s="4" t="s">
        <v>2882</v>
      </c>
      <c r="JRH1338" s="4" t="s">
        <v>2882</v>
      </c>
      <c r="JRI1338" s="4" t="s">
        <v>2882</v>
      </c>
      <c r="JRJ1338" s="4" t="s">
        <v>2882</v>
      </c>
      <c r="JRK1338" s="4" t="s">
        <v>2882</v>
      </c>
      <c r="JRL1338" s="4" t="s">
        <v>2882</v>
      </c>
      <c r="JRM1338" s="4" t="s">
        <v>2882</v>
      </c>
      <c r="JRN1338" s="4" t="s">
        <v>2882</v>
      </c>
      <c r="JRO1338" s="4" t="s">
        <v>2882</v>
      </c>
      <c r="JRP1338" s="4" t="s">
        <v>2882</v>
      </c>
      <c r="JRQ1338" s="4" t="s">
        <v>2882</v>
      </c>
      <c r="JRR1338" s="4" t="s">
        <v>2882</v>
      </c>
      <c r="JRS1338" s="4" t="s">
        <v>2882</v>
      </c>
      <c r="JRT1338" s="4" t="s">
        <v>2882</v>
      </c>
      <c r="JRU1338" s="4" t="s">
        <v>2882</v>
      </c>
      <c r="JRV1338" s="4" t="s">
        <v>2882</v>
      </c>
      <c r="JRW1338" s="4" t="s">
        <v>2882</v>
      </c>
      <c r="JRX1338" s="4" t="s">
        <v>2882</v>
      </c>
      <c r="JRY1338" s="4" t="s">
        <v>2882</v>
      </c>
      <c r="JRZ1338" s="4" t="s">
        <v>2882</v>
      </c>
      <c r="JSA1338" s="4" t="s">
        <v>2882</v>
      </c>
      <c r="JSB1338" s="4" t="s">
        <v>2882</v>
      </c>
      <c r="JSC1338" s="4" t="s">
        <v>2882</v>
      </c>
      <c r="JSD1338" s="4" t="s">
        <v>2882</v>
      </c>
      <c r="JSE1338" s="4" t="s">
        <v>2882</v>
      </c>
      <c r="JSF1338" s="4" t="s">
        <v>2882</v>
      </c>
      <c r="JSG1338" s="4" t="s">
        <v>2882</v>
      </c>
      <c r="JSH1338" s="4" t="s">
        <v>2882</v>
      </c>
      <c r="JSI1338" s="4" t="s">
        <v>2882</v>
      </c>
      <c r="JSJ1338" s="4" t="s">
        <v>2882</v>
      </c>
      <c r="JSK1338" s="4" t="s">
        <v>2882</v>
      </c>
      <c r="JSL1338" s="4" t="s">
        <v>2882</v>
      </c>
      <c r="JSM1338" s="4" t="s">
        <v>2882</v>
      </c>
      <c r="JSN1338" s="4" t="s">
        <v>2882</v>
      </c>
      <c r="JSO1338" s="4" t="s">
        <v>2882</v>
      </c>
      <c r="JSP1338" s="4" t="s">
        <v>2882</v>
      </c>
      <c r="JSQ1338" s="4" t="s">
        <v>2882</v>
      </c>
      <c r="JSR1338" s="4" t="s">
        <v>2882</v>
      </c>
      <c r="JSS1338" s="4" t="s">
        <v>2882</v>
      </c>
      <c r="JST1338" s="4" t="s">
        <v>2882</v>
      </c>
      <c r="JSU1338" s="4" t="s">
        <v>2882</v>
      </c>
      <c r="JSV1338" s="4" t="s">
        <v>2882</v>
      </c>
      <c r="JSW1338" s="4" t="s">
        <v>2882</v>
      </c>
      <c r="JSX1338" s="4" t="s">
        <v>2882</v>
      </c>
      <c r="JSY1338" s="4" t="s">
        <v>2882</v>
      </c>
      <c r="JSZ1338" s="4" t="s">
        <v>2882</v>
      </c>
      <c r="JTA1338" s="4" t="s">
        <v>2882</v>
      </c>
      <c r="JTB1338" s="4" t="s">
        <v>2882</v>
      </c>
      <c r="JTC1338" s="4" t="s">
        <v>2882</v>
      </c>
      <c r="JTD1338" s="4" t="s">
        <v>2882</v>
      </c>
      <c r="JTE1338" s="4" t="s">
        <v>2882</v>
      </c>
      <c r="JTF1338" s="4" t="s">
        <v>2882</v>
      </c>
      <c r="JTG1338" s="4" t="s">
        <v>2882</v>
      </c>
      <c r="JTH1338" s="4" t="s">
        <v>2882</v>
      </c>
      <c r="JTI1338" s="4" t="s">
        <v>2882</v>
      </c>
      <c r="JTJ1338" s="4" t="s">
        <v>2882</v>
      </c>
      <c r="JTK1338" s="4" t="s">
        <v>2882</v>
      </c>
      <c r="JTL1338" s="4" t="s">
        <v>2882</v>
      </c>
      <c r="JTM1338" s="4" t="s">
        <v>2882</v>
      </c>
      <c r="JTN1338" s="4" t="s">
        <v>2882</v>
      </c>
      <c r="JTO1338" s="4" t="s">
        <v>2882</v>
      </c>
      <c r="JTP1338" s="4" t="s">
        <v>2882</v>
      </c>
      <c r="JTQ1338" s="4" t="s">
        <v>2882</v>
      </c>
      <c r="JTR1338" s="4" t="s">
        <v>2882</v>
      </c>
      <c r="JTS1338" s="4" t="s">
        <v>2882</v>
      </c>
      <c r="JTT1338" s="4" t="s">
        <v>2882</v>
      </c>
      <c r="JTU1338" s="4" t="s">
        <v>2882</v>
      </c>
      <c r="JTV1338" s="4" t="s">
        <v>2882</v>
      </c>
      <c r="JTW1338" s="4" t="s">
        <v>2882</v>
      </c>
      <c r="JTX1338" s="4" t="s">
        <v>2882</v>
      </c>
      <c r="JTY1338" s="4" t="s">
        <v>2882</v>
      </c>
      <c r="JTZ1338" s="4" t="s">
        <v>2882</v>
      </c>
      <c r="JUA1338" s="4" t="s">
        <v>2882</v>
      </c>
      <c r="JUB1338" s="4" t="s">
        <v>2882</v>
      </c>
      <c r="JUC1338" s="4" t="s">
        <v>2882</v>
      </c>
      <c r="JUD1338" s="4" t="s">
        <v>2882</v>
      </c>
      <c r="JUE1338" s="4" t="s">
        <v>2882</v>
      </c>
      <c r="JUF1338" s="4" t="s">
        <v>2882</v>
      </c>
      <c r="JUG1338" s="4" t="s">
        <v>2882</v>
      </c>
      <c r="JUH1338" s="4" t="s">
        <v>2882</v>
      </c>
      <c r="JUI1338" s="4" t="s">
        <v>2882</v>
      </c>
      <c r="JUJ1338" s="4" t="s">
        <v>2882</v>
      </c>
      <c r="JUK1338" s="4" t="s">
        <v>2882</v>
      </c>
      <c r="JUL1338" s="4" t="s">
        <v>2882</v>
      </c>
      <c r="JUM1338" s="4" t="s">
        <v>2882</v>
      </c>
      <c r="JUN1338" s="4" t="s">
        <v>2882</v>
      </c>
      <c r="JUO1338" s="4" t="s">
        <v>2882</v>
      </c>
      <c r="JUP1338" s="4" t="s">
        <v>2882</v>
      </c>
      <c r="JUQ1338" s="4" t="s">
        <v>2882</v>
      </c>
      <c r="JUR1338" s="4" t="s">
        <v>2882</v>
      </c>
      <c r="JUS1338" s="4" t="s">
        <v>2882</v>
      </c>
      <c r="JUT1338" s="4" t="s">
        <v>2882</v>
      </c>
      <c r="JUU1338" s="4" t="s">
        <v>2882</v>
      </c>
      <c r="JUV1338" s="4" t="s">
        <v>2882</v>
      </c>
      <c r="JUW1338" s="4" t="s">
        <v>2882</v>
      </c>
      <c r="JUX1338" s="4" t="s">
        <v>2882</v>
      </c>
      <c r="JUY1338" s="4" t="s">
        <v>2882</v>
      </c>
      <c r="JUZ1338" s="4" t="s">
        <v>2882</v>
      </c>
      <c r="JVA1338" s="4" t="s">
        <v>2882</v>
      </c>
      <c r="JVB1338" s="4" t="s">
        <v>2882</v>
      </c>
      <c r="JVC1338" s="4" t="s">
        <v>2882</v>
      </c>
      <c r="JVD1338" s="4" t="s">
        <v>2882</v>
      </c>
      <c r="JVE1338" s="4" t="s">
        <v>2882</v>
      </c>
      <c r="JVF1338" s="4" t="s">
        <v>2882</v>
      </c>
      <c r="JVG1338" s="4" t="s">
        <v>2882</v>
      </c>
      <c r="JVH1338" s="4" t="s">
        <v>2882</v>
      </c>
      <c r="JVI1338" s="4" t="s">
        <v>2882</v>
      </c>
      <c r="JVJ1338" s="4" t="s">
        <v>2882</v>
      </c>
      <c r="JVK1338" s="4" t="s">
        <v>2882</v>
      </c>
      <c r="JVL1338" s="4" t="s">
        <v>2882</v>
      </c>
      <c r="JVM1338" s="4" t="s">
        <v>2882</v>
      </c>
      <c r="JVN1338" s="4" t="s">
        <v>2882</v>
      </c>
      <c r="JVO1338" s="4" t="s">
        <v>2882</v>
      </c>
      <c r="JVP1338" s="4" t="s">
        <v>2882</v>
      </c>
      <c r="JVQ1338" s="4" t="s">
        <v>2882</v>
      </c>
      <c r="JVR1338" s="4" t="s">
        <v>2882</v>
      </c>
      <c r="JVS1338" s="4" t="s">
        <v>2882</v>
      </c>
      <c r="JVT1338" s="4" t="s">
        <v>2882</v>
      </c>
      <c r="JVU1338" s="4" t="s">
        <v>2882</v>
      </c>
      <c r="JVV1338" s="4" t="s">
        <v>2882</v>
      </c>
      <c r="JVW1338" s="4" t="s">
        <v>2882</v>
      </c>
      <c r="JVX1338" s="4" t="s">
        <v>2882</v>
      </c>
      <c r="JVY1338" s="4" t="s">
        <v>2882</v>
      </c>
      <c r="JVZ1338" s="4" t="s">
        <v>2882</v>
      </c>
      <c r="JWA1338" s="4" t="s">
        <v>2882</v>
      </c>
      <c r="JWB1338" s="4" t="s">
        <v>2882</v>
      </c>
      <c r="JWC1338" s="4" t="s">
        <v>2882</v>
      </c>
      <c r="JWD1338" s="4" t="s">
        <v>2882</v>
      </c>
      <c r="JWE1338" s="4" t="s">
        <v>2882</v>
      </c>
      <c r="JWF1338" s="4" t="s">
        <v>2882</v>
      </c>
      <c r="JWG1338" s="4" t="s">
        <v>2882</v>
      </c>
      <c r="JWH1338" s="4" t="s">
        <v>2882</v>
      </c>
      <c r="JWI1338" s="4" t="s">
        <v>2882</v>
      </c>
      <c r="JWJ1338" s="4" t="s">
        <v>2882</v>
      </c>
      <c r="JWK1338" s="4" t="s">
        <v>2882</v>
      </c>
      <c r="JWL1338" s="4" t="s">
        <v>2882</v>
      </c>
      <c r="JWM1338" s="4" t="s">
        <v>2882</v>
      </c>
      <c r="JWN1338" s="4" t="s">
        <v>2882</v>
      </c>
      <c r="JWO1338" s="4" t="s">
        <v>2882</v>
      </c>
      <c r="JWP1338" s="4" t="s">
        <v>2882</v>
      </c>
      <c r="JWQ1338" s="4" t="s">
        <v>2882</v>
      </c>
      <c r="JWR1338" s="4" t="s">
        <v>2882</v>
      </c>
      <c r="JWS1338" s="4" t="s">
        <v>2882</v>
      </c>
      <c r="JWT1338" s="4" t="s">
        <v>2882</v>
      </c>
      <c r="JWU1338" s="4" t="s">
        <v>2882</v>
      </c>
      <c r="JWV1338" s="4" t="s">
        <v>2882</v>
      </c>
      <c r="JWW1338" s="4" t="s">
        <v>2882</v>
      </c>
      <c r="JWX1338" s="4" t="s">
        <v>2882</v>
      </c>
      <c r="JWY1338" s="4" t="s">
        <v>2882</v>
      </c>
      <c r="JWZ1338" s="4" t="s">
        <v>2882</v>
      </c>
      <c r="JXA1338" s="4" t="s">
        <v>2882</v>
      </c>
      <c r="JXB1338" s="4" t="s">
        <v>2882</v>
      </c>
      <c r="JXC1338" s="4" t="s">
        <v>2882</v>
      </c>
      <c r="JXD1338" s="4" t="s">
        <v>2882</v>
      </c>
      <c r="JXE1338" s="4" t="s">
        <v>2882</v>
      </c>
      <c r="JXF1338" s="4" t="s">
        <v>2882</v>
      </c>
      <c r="JXG1338" s="4" t="s">
        <v>2882</v>
      </c>
      <c r="JXH1338" s="4" t="s">
        <v>2882</v>
      </c>
      <c r="JXI1338" s="4" t="s">
        <v>2882</v>
      </c>
      <c r="JXJ1338" s="4" t="s">
        <v>2882</v>
      </c>
      <c r="JXK1338" s="4" t="s">
        <v>2882</v>
      </c>
      <c r="JXL1338" s="4" t="s">
        <v>2882</v>
      </c>
      <c r="JXM1338" s="4" t="s">
        <v>2882</v>
      </c>
      <c r="JXN1338" s="4" t="s">
        <v>2882</v>
      </c>
      <c r="JXO1338" s="4" t="s">
        <v>2882</v>
      </c>
      <c r="JXP1338" s="4" t="s">
        <v>2882</v>
      </c>
      <c r="JXQ1338" s="4" t="s">
        <v>2882</v>
      </c>
      <c r="JXR1338" s="4" t="s">
        <v>2882</v>
      </c>
      <c r="JXS1338" s="4" t="s">
        <v>2882</v>
      </c>
      <c r="JXT1338" s="4" t="s">
        <v>2882</v>
      </c>
      <c r="JXU1338" s="4" t="s">
        <v>2882</v>
      </c>
      <c r="JXV1338" s="4" t="s">
        <v>2882</v>
      </c>
      <c r="JXW1338" s="4" t="s">
        <v>2882</v>
      </c>
      <c r="JXX1338" s="4" t="s">
        <v>2882</v>
      </c>
      <c r="JXY1338" s="4" t="s">
        <v>2882</v>
      </c>
      <c r="JXZ1338" s="4" t="s">
        <v>2882</v>
      </c>
      <c r="JYA1338" s="4" t="s">
        <v>2882</v>
      </c>
      <c r="JYB1338" s="4" t="s">
        <v>2882</v>
      </c>
      <c r="JYC1338" s="4" t="s">
        <v>2882</v>
      </c>
      <c r="JYD1338" s="4" t="s">
        <v>2882</v>
      </c>
      <c r="JYE1338" s="4" t="s">
        <v>2882</v>
      </c>
      <c r="JYF1338" s="4" t="s">
        <v>2882</v>
      </c>
      <c r="JYG1338" s="4" t="s">
        <v>2882</v>
      </c>
      <c r="JYH1338" s="4" t="s">
        <v>2882</v>
      </c>
      <c r="JYI1338" s="4" t="s">
        <v>2882</v>
      </c>
      <c r="JYJ1338" s="4" t="s">
        <v>2882</v>
      </c>
      <c r="JYK1338" s="4" t="s">
        <v>2882</v>
      </c>
      <c r="JYL1338" s="4" t="s">
        <v>2882</v>
      </c>
      <c r="JYM1338" s="4" t="s">
        <v>2882</v>
      </c>
      <c r="JYN1338" s="4" t="s">
        <v>2882</v>
      </c>
      <c r="JYO1338" s="4" t="s">
        <v>2882</v>
      </c>
      <c r="JYP1338" s="4" t="s">
        <v>2882</v>
      </c>
      <c r="JYQ1338" s="4" t="s">
        <v>2882</v>
      </c>
      <c r="JYR1338" s="4" t="s">
        <v>2882</v>
      </c>
      <c r="JYS1338" s="4" t="s">
        <v>2882</v>
      </c>
      <c r="JYT1338" s="4" t="s">
        <v>2882</v>
      </c>
      <c r="JYU1338" s="4" t="s">
        <v>2882</v>
      </c>
      <c r="JYV1338" s="4" t="s">
        <v>2882</v>
      </c>
      <c r="JYW1338" s="4" t="s">
        <v>2882</v>
      </c>
      <c r="JYX1338" s="4" t="s">
        <v>2882</v>
      </c>
      <c r="JYY1338" s="4" t="s">
        <v>2882</v>
      </c>
      <c r="JYZ1338" s="4" t="s">
        <v>2882</v>
      </c>
      <c r="JZA1338" s="4" t="s">
        <v>2882</v>
      </c>
      <c r="JZB1338" s="4" t="s">
        <v>2882</v>
      </c>
      <c r="JZC1338" s="4" t="s">
        <v>2882</v>
      </c>
      <c r="JZD1338" s="4" t="s">
        <v>2882</v>
      </c>
      <c r="JZE1338" s="4" t="s">
        <v>2882</v>
      </c>
      <c r="JZF1338" s="4" t="s">
        <v>2882</v>
      </c>
      <c r="JZG1338" s="4" t="s">
        <v>2882</v>
      </c>
      <c r="JZH1338" s="4" t="s">
        <v>2882</v>
      </c>
      <c r="JZI1338" s="4" t="s">
        <v>2882</v>
      </c>
      <c r="JZJ1338" s="4" t="s">
        <v>2882</v>
      </c>
      <c r="JZK1338" s="4" t="s">
        <v>2882</v>
      </c>
      <c r="JZL1338" s="4" t="s">
        <v>2882</v>
      </c>
      <c r="JZM1338" s="4" t="s">
        <v>2882</v>
      </c>
      <c r="JZN1338" s="4" t="s">
        <v>2882</v>
      </c>
      <c r="JZO1338" s="4" t="s">
        <v>2882</v>
      </c>
      <c r="JZP1338" s="4" t="s">
        <v>2882</v>
      </c>
      <c r="JZQ1338" s="4" t="s">
        <v>2882</v>
      </c>
      <c r="JZR1338" s="4" t="s">
        <v>2882</v>
      </c>
      <c r="JZS1338" s="4" t="s">
        <v>2882</v>
      </c>
      <c r="JZT1338" s="4" t="s">
        <v>2882</v>
      </c>
      <c r="JZU1338" s="4" t="s">
        <v>2882</v>
      </c>
      <c r="JZV1338" s="4" t="s">
        <v>2882</v>
      </c>
      <c r="JZW1338" s="4" t="s">
        <v>2882</v>
      </c>
      <c r="JZX1338" s="4" t="s">
        <v>2882</v>
      </c>
      <c r="JZY1338" s="4" t="s">
        <v>2882</v>
      </c>
      <c r="JZZ1338" s="4" t="s">
        <v>2882</v>
      </c>
      <c r="KAA1338" s="4" t="s">
        <v>2882</v>
      </c>
      <c r="KAB1338" s="4" t="s">
        <v>2882</v>
      </c>
      <c r="KAC1338" s="4" t="s">
        <v>2882</v>
      </c>
      <c r="KAD1338" s="4" t="s">
        <v>2882</v>
      </c>
      <c r="KAE1338" s="4" t="s">
        <v>2882</v>
      </c>
      <c r="KAF1338" s="4" t="s">
        <v>2882</v>
      </c>
      <c r="KAG1338" s="4" t="s">
        <v>2882</v>
      </c>
      <c r="KAH1338" s="4" t="s">
        <v>2882</v>
      </c>
      <c r="KAI1338" s="4" t="s">
        <v>2882</v>
      </c>
      <c r="KAJ1338" s="4" t="s">
        <v>2882</v>
      </c>
      <c r="KAK1338" s="4" t="s">
        <v>2882</v>
      </c>
      <c r="KAL1338" s="4" t="s">
        <v>2882</v>
      </c>
      <c r="KAM1338" s="4" t="s">
        <v>2882</v>
      </c>
      <c r="KAN1338" s="4" t="s">
        <v>2882</v>
      </c>
      <c r="KAO1338" s="4" t="s">
        <v>2882</v>
      </c>
      <c r="KAP1338" s="4" t="s">
        <v>2882</v>
      </c>
      <c r="KAQ1338" s="4" t="s">
        <v>2882</v>
      </c>
      <c r="KAR1338" s="4" t="s">
        <v>2882</v>
      </c>
      <c r="KAS1338" s="4" t="s">
        <v>2882</v>
      </c>
      <c r="KAT1338" s="4" t="s">
        <v>2882</v>
      </c>
      <c r="KAU1338" s="4" t="s">
        <v>2882</v>
      </c>
      <c r="KAV1338" s="4" t="s">
        <v>2882</v>
      </c>
      <c r="KAW1338" s="4" t="s">
        <v>2882</v>
      </c>
      <c r="KAX1338" s="4" t="s">
        <v>2882</v>
      </c>
      <c r="KAY1338" s="4" t="s">
        <v>2882</v>
      </c>
      <c r="KAZ1338" s="4" t="s">
        <v>2882</v>
      </c>
      <c r="KBA1338" s="4" t="s">
        <v>2882</v>
      </c>
      <c r="KBB1338" s="4" t="s">
        <v>2882</v>
      </c>
      <c r="KBC1338" s="4" t="s">
        <v>2882</v>
      </c>
      <c r="KBD1338" s="4" t="s">
        <v>2882</v>
      </c>
      <c r="KBE1338" s="4" t="s">
        <v>2882</v>
      </c>
      <c r="KBF1338" s="4" t="s">
        <v>2882</v>
      </c>
      <c r="KBG1338" s="4" t="s">
        <v>2882</v>
      </c>
      <c r="KBH1338" s="4" t="s">
        <v>2882</v>
      </c>
      <c r="KBI1338" s="4" t="s">
        <v>2882</v>
      </c>
      <c r="KBJ1338" s="4" t="s">
        <v>2882</v>
      </c>
      <c r="KBK1338" s="4" t="s">
        <v>2882</v>
      </c>
      <c r="KBL1338" s="4" t="s">
        <v>2882</v>
      </c>
      <c r="KBM1338" s="4" t="s">
        <v>2882</v>
      </c>
      <c r="KBN1338" s="4" t="s">
        <v>2882</v>
      </c>
      <c r="KBO1338" s="4" t="s">
        <v>2882</v>
      </c>
      <c r="KBP1338" s="4" t="s">
        <v>2882</v>
      </c>
      <c r="KBQ1338" s="4" t="s">
        <v>2882</v>
      </c>
      <c r="KBR1338" s="4" t="s">
        <v>2882</v>
      </c>
      <c r="KBS1338" s="4" t="s">
        <v>2882</v>
      </c>
      <c r="KBT1338" s="4" t="s">
        <v>2882</v>
      </c>
      <c r="KBU1338" s="4" t="s">
        <v>2882</v>
      </c>
      <c r="KBV1338" s="4" t="s">
        <v>2882</v>
      </c>
      <c r="KBW1338" s="4" t="s">
        <v>2882</v>
      </c>
      <c r="KBX1338" s="4" t="s">
        <v>2882</v>
      </c>
      <c r="KBY1338" s="4" t="s">
        <v>2882</v>
      </c>
      <c r="KBZ1338" s="4" t="s">
        <v>2882</v>
      </c>
      <c r="KCA1338" s="4" t="s">
        <v>2882</v>
      </c>
      <c r="KCB1338" s="4" t="s">
        <v>2882</v>
      </c>
      <c r="KCC1338" s="4" t="s">
        <v>2882</v>
      </c>
      <c r="KCD1338" s="4" t="s">
        <v>2882</v>
      </c>
      <c r="KCE1338" s="4" t="s">
        <v>2882</v>
      </c>
      <c r="KCF1338" s="4" t="s">
        <v>2882</v>
      </c>
      <c r="KCG1338" s="4" t="s">
        <v>2882</v>
      </c>
      <c r="KCH1338" s="4" t="s">
        <v>2882</v>
      </c>
      <c r="KCI1338" s="4" t="s">
        <v>2882</v>
      </c>
      <c r="KCJ1338" s="4" t="s">
        <v>2882</v>
      </c>
      <c r="KCK1338" s="4" t="s">
        <v>2882</v>
      </c>
      <c r="KCL1338" s="4" t="s">
        <v>2882</v>
      </c>
      <c r="KCM1338" s="4" t="s">
        <v>2882</v>
      </c>
      <c r="KCN1338" s="4" t="s">
        <v>2882</v>
      </c>
      <c r="KCO1338" s="4" t="s">
        <v>2882</v>
      </c>
      <c r="KCP1338" s="4" t="s">
        <v>2882</v>
      </c>
      <c r="KCQ1338" s="4" t="s">
        <v>2882</v>
      </c>
      <c r="KCR1338" s="4" t="s">
        <v>2882</v>
      </c>
      <c r="KCS1338" s="4" t="s">
        <v>2882</v>
      </c>
      <c r="KCT1338" s="4" t="s">
        <v>2882</v>
      </c>
      <c r="KCU1338" s="4" t="s">
        <v>2882</v>
      </c>
      <c r="KCV1338" s="4" t="s">
        <v>2882</v>
      </c>
      <c r="KCW1338" s="4" t="s">
        <v>2882</v>
      </c>
      <c r="KCX1338" s="4" t="s">
        <v>2882</v>
      </c>
      <c r="KCY1338" s="4" t="s">
        <v>2882</v>
      </c>
      <c r="KCZ1338" s="4" t="s">
        <v>2882</v>
      </c>
      <c r="KDA1338" s="4" t="s">
        <v>2882</v>
      </c>
      <c r="KDB1338" s="4" t="s">
        <v>2882</v>
      </c>
      <c r="KDC1338" s="4" t="s">
        <v>2882</v>
      </c>
      <c r="KDD1338" s="4" t="s">
        <v>2882</v>
      </c>
      <c r="KDE1338" s="4" t="s">
        <v>2882</v>
      </c>
      <c r="KDF1338" s="4" t="s">
        <v>2882</v>
      </c>
      <c r="KDG1338" s="4" t="s">
        <v>2882</v>
      </c>
      <c r="KDH1338" s="4" t="s">
        <v>2882</v>
      </c>
      <c r="KDI1338" s="4" t="s">
        <v>2882</v>
      </c>
      <c r="KDJ1338" s="4" t="s">
        <v>2882</v>
      </c>
      <c r="KDK1338" s="4" t="s">
        <v>2882</v>
      </c>
      <c r="KDL1338" s="4" t="s">
        <v>2882</v>
      </c>
      <c r="KDM1338" s="4" t="s">
        <v>2882</v>
      </c>
      <c r="KDN1338" s="4" t="s">
        <v>2882</v>
      </c>
      <c r="KDO1338" s="4" t="s">
        <v>2882</v>
      </c>
      <c r="KDP1338" s="4" t="s">
        <v>2882</v>
      </c>
      <c r="KDQ1338" s="4" t="s">
        <v>2882</v>
      </c>
      <c r="KDR1338" s="4" t="s">
        <v>2882</v>
      </c>
      <c r="KDS1338" s="4" t="s">
        <v>2882</v>
      </c>
      <c r="KDT1338" s="4" t="s">
        <v>2882</v>
      </c>
      <c r="KDU1338" s="4" t="s">
        <v>2882</v>
      </c>
      <c r="KDV1338" s="4" t="s">
        <v>2882</v>
      </c>
      <c r="KDW1338" s="4" t="s">
        <v>2882</v>
      </c>
      <c r="KDX1338" s="4" t="s">
        <v>2882</v>
      </c>
      <c r="KDY1338" s="4" t="s">
        <v>2882</v>
      </c>
      <c r="KDZ1338" s="4" t="s">
        <v>2882</v>
      </c>
      <c r="KEA1338" s="4" t="s">
        <v>2882</v>
      </c>
      <c r="KEB1338" s="4" t="s">
        <v>2882</v>
      </c>
      <c r="KEC1338" s="4" t="s">
        <v>2882</v>
      </c>
      <c r="KED1338" s="4" t="s">
        <v>2882</v>
      </c>
      <c r="KEE1338" s="4" t="s">
        <v>2882</v>
      </c>
      <c r="KEF1338" s="4" t="s">
        <v>2882</v>
      </c>
      <c r="KEG1338" s="4" t="s">
        <v>2882</v>
      </c>
      <c r="KEH1338" s="4" t="s">
        <v>2882</v>
      </c>
      <c r="KEI1338" s="4" t="s">
        <v>2882</v>
      </c>
      <c r="KEJ1338" s="4" t="s">
        <v>2882</v>
      </c>
      <c r="KEK1338" s="4" t="s">
        <v>2882</v>
      </c>
      <c r="KEL1338" s="4" t="s">
        <v>2882</v>
      </c>
      <c r="KEM1338" s="4" t="s">
        <v>2882</v>
      </c>
      <c r="KEN1338" s="4" t="s">
        <v>2882</v>
      </c>
      <c r="KEO1338" s="4" t="s">
        <v>2882</v>
      </c>
      <c r="KEP1338" s="4" t="s">
        <v>2882</v>
      </c>
      <c r="KEQ1338" s="4" t="s">
        <v>2882</v>
      </c>
      <c r="KER1338" s="4" t="s">
        <v>2882</v>
      </c>
      <c r="KES1338" s="4" t="s">
        <v>2882</v>
      </c>
      <c r="KET1338" s="4" t="s">
        <v>2882</v>
      </c>
      <c r="KEU1338" s="4" t="s">
        <v>2882</v>
      </c>
      <c r="KEV1338" s="4" t="s">
        <v>2882</v>
      </c>
      <c r="KEW1338" s="4" t="s">
        <v>2882</v>
      </c>
      <c r="KEX1338" s="4" t="s">
        <v>2882</v>
      </c>
      <c r="KEY1338" s="4" t="s">
        <v>2882</v>
      </c>
      <c r="KEZ1338" s="4" t="s">
        <v>2882</v>
      </c>
      <c r="KFA1338" s="4" t="s">
        <v>2882</v>
      </c>
      <c r="KFB1338" s="4" t="s">
        <v>2882</v>
      </c>
      <c r="KFC1338" s="4" t="s">
        <v>2882</v>
      </c>
      <c r="KFD1338" s="4" t="s">
        <v>2882</v>
      </c>
      <c r="KFE1338" s="4" t="s">
        <v>2882</v>
      </c>
      <c r="KFF1338" s="4" t="s">
        <v>2882</v>
      </c>
      <c r="KFG1338" s="4" t="s">
        <v>2882</v>
      </c>
      <c r="KFH1338" s="4" t="s">
        <v>2882</v>
      </c>
      <c r="KFI1338" s="4" t="s">
        <v>2882</v>
      </c>
      <c r="KFJ1338" s="4" t="s">
        <v>2882</v>
      </c>
      <c r="KFK1338" s="4" t="s">
        <v>2882</v>
      </c>
      <c r="KFL1338" s="4" t="s">
        <v>2882</v>
      </c>
      <c r="KFM1338" s="4" t="s">
        <v>2882</v>
      </c>
      <c r="KFN1338" s="4" t="s">
        <v>2882</v>
      </c>
      <c r="KFO1338" s="4" t="s">
        <v>2882</v>
      </c>
      <c r="KFP1338" s="4" t="s">
        <v>2882</v>
      </c>
      <c r="KFQ1338" s="4" t="s">
        <v>2882</v>
      </c>
      <c r="KFR1338" s="4" t="s">
        <v>2882</v>
      </c>
      <c r="KFS1338" s="4" t="s">
        <v>2882</v>
      </c>
      <c r="KFT1338" s="4" t="s">
        <v>2882</v>
      </c>
      <c r="KFU1338" s="4" t="s">
        <v>2882</v>
      </c>
      <c r="KFV1338" s="4" t="s">
        <v>2882</v>
      </c>
      <c r="KFW1338" s="4" t="s">
        <v>2882</v>
      </c>
      <c r="KFX1338" s="4" t="s">
        <v>2882</v>
      </c>
      <c r="KFY1338" s="4" t="s">
        <v>2882</v>
      </c>
      <c r="KFZ1338" s="4" t="s">
        <v>2882</v>
      </c>
      <c r="KGA1338" s="4" t="s">
        <v>2882</v>
      </c>
      <c r="KGB1338" s="4" t="s">
        <v>2882</v>
      </c>
      <c r="KGC1338" s="4" t="s">
        <v>2882</v>
      </c>
      <c r="KGD1338" s="4" t="s">
        <v>2882</v>
      </c>
      <c r="KGE1338" s="4" t="s">
        <v>2882</v>
      </c>
      <c r="KGF1338" s="4" t="s">
        <v>2882</v>
      </c>
      <c r="KGG1338" s="4" t="s">
        <v>2882</v>
      </c>
      <c r="KGH1338" s="4" t="s">
        <v>2882</v>
      </c>
      <c r="KGI1338" s="4" t="s">
        <v>2882</v>
      </c>
      <c r="KGJ1338" s="4" t="s">
        <v>2882</v>
      </c>
      <c r="KGK1338" s="4" t="s">
        <v>2882</v>
      </c>
      <c r="KGL1338" s="4" t="s">
        <v>2882</v>
      </c>
      <c r="KGM1338" s="4" t="s">
        <v>2882</v>
      </c>
      <c r="KGN1338" s="4" t="s">
        <v>2882</v>
      </c>
      <c r="KGO1338" s="4" t="s">
        <v>2882</v>
      </c>
      <c r="KGP1338" s="4" t="s">
        <v>2882</v>
      </c>
      <c r="KGQ1338" s="4" t="s">
        <v>2882</v>
      </c>
      <c r="KGR1338" s="4" t="s">
        <v>2882</v>
      </c>
      <c r="KGS1338" s="4" t="s">
        <v>2882</v>
      </c>
      <c r="KGT1338" s="4" t="s">
        <v>2882</v>
      </c>
      <c r="KGU1338" s="4" t="s">
        <v>2882</v>
      </c>
      <c r="KGV1338" s="4" t="s">
        <v>2882</v>
      </c>
      <c r="KGW1338" s="4" t="s">
        <v>2882</v>
      </c>
      <c r="KGX1338" s="4" t="s">
        <v>2882</v>
      </c>
      <c r="KGY1338" s="4" t="s">
        <v>2882</v>
      </c>
      <c r="KGZ1338" s="4" t="s">
        <v>2882</v>
      </c>
      <c r="KHA1338" s="4" t="s">
        <v>2882</v>
      </c>
      <c r="KHB1338" s="4" t="s">
        <v>2882</v>
      </c>
      <c r="KHC1338" s="4" t="s">
        <v>2882</v>
      </c>
      <c r="KHD1338" s="4" t="s">
        <v>2882</v>
      </c>
      <c r="KHE1338" s="4" t="s">
        <v>2882</v>
      </c>
      <c r="KHF1338" s="4" t="s">
        <v>2882</v>
      </c>
      <c r="KHG1338" s="4" t="s">
        <v>2882</v>
      </c>
      <c r="KHH1338" s="4" t="s">
        <v>2882</v>
      </c>
      <c r="KHI1338" s="4" t="s">
        <v>2882</v>
      </c>
      <c r="KHJ1338" s="4" t="s">
        <v>2882</v>
      </c>
      <c r="KHK1338" s="4" t="s">
        <v>2882</v>
      </c>
      <c r="KHL1338" s="4" t="s">
        <v>2882</v>
      </c>
      <c r="KHM1338" s="4" t="s">
        <v>2882</v>
      </c>
      <c r="KHN1338" s="4" t="s">
        <v>2882</v>
      </c>
      <c r="KHO1338" s="4" t="s">
        <v>2882</v>
      </c>
      <c r="KHP1338" s="4" t="s">
        <v>2882</v>
      </c>
      <c r="KHQ1338" s="4" t="s">
        <v>2882</v>
      </c>
      <c r="KHR1338" s="4" t="s">
        <v>2882</v>
      </c>
      <c r="KHS1338" s="4" t="s">
        <v>2882</v>
      </c>
      <c r="KHT1338" s="4" t="s">
        <v>2882</v>
      </c>
      <c r="KHU1338" s="4" t="s">
        <v>2882</v>
      </c>
      <c r="KHV1338" s="4" t="s">
        <v>2882</v>
      </c>
      <c r="KHW1338" s="4" t="s">
        <v>2882</v>
      </c>
      <c r="KHX1338" s="4" t="s">
        <v>2882</v>
      </c>
      <c r="KHY1338" s="4" t="s">
        <v>2882</v>
      </c>
      <c r="KHZ1338" s="4" t="s">
        <v>2882</v>
      </c>
      <c r="KIA1338" s="4" t="s">
        <v>2882</v>
      </c>
      <c r="KIB1338" s="4" t="s">
        <v>2882</v>
      </c>
      <c r="KIC1338" s="4" t="s">
        <v>2882</v>
      </c>
      <c r="KID1338" s="4" t="s">
        <v>2882</v>
      </c>
      <c r="KIE1338" s="4" t="s">
        <v>2882</v>
      </c>
      <c r="KIF1338" s="4" t="s">
        <v>2882</v>
      </c>
      <c r="KIG1338" s="4" t="s">
        <v>2882</v>
      </c>
      <c r="KIH1338" s="4" t="s">
        <v>2882</v>
      </c>
      <c r="KII1338" s="4" t="s">
        <v>2882</v>
      </c>
      <c r="KIJ1338" s="4" t="s">
        <v>2882</v>
      </c>
      <c r="KIK1338" s="4" t="s">
        <v>2882</v>
      </c>
      <c r="KIL1338" s="4" t="s">
        <v>2882</v>
      </c>
      <c r="KIM1338" s="4" t="s">
        <v>2882</v>
      </c>
      <c r="KIN1338" s="4" t="s">
        <v>2882</v>
      </c>
      <c r="KIO1338" s="4" t="s">
        <v>2882</v>
      </c>
      <c r="KIP1338" s="4" t="s">
        <v>2882</v>
      </c>
      <c r="KIQ1338" s="4" t="s">
        <v>2882</v>
      </c>
      <c r="KIR1338" s="4" t="s">
        <v>2882</v>
      </c>
      <c r="KIS1338" s="4" t="s">
        <v>2882</v>
      </c>
      <c r="KIT1338" s="4" t="s">
        <v>2882</v>
      </c>
      <c r="KIU1338" s="4" t="s">
        <v>2882</v>
      </c>
      <c r="KIV1338" s="4" t="s">
        <v>2882</v>
      </c>
      <c r="KIW1338" s="4" t="s">
        <v>2882</v>
      </c>
      <c r="KIX1338" s="4" t="s">
        <v>2882</v>
      </c>
      <c r="KIY1338" s="4" t="s">
        <v>2882</v>
      </c>
      <c r="KIZ1338" s="4" t="s">
        <v>2882</v>
      </c>
      <c r="KJA1338" s="4" t="s">
        <v>2882</v>
      </c>
      <c r="KJB1338" s="4" t="s">
        <v>2882</v>
      </c>
      <c r="KJC1338" s="4" t="s">
        <v>2882</v>
      </c>
      <c r="KJD1338" s="4" t="s">
        <v>2882</v>
      </c>
      <c r="KJE1338" s="4" t="s">
        <v>2882</v>
      </c>
      <c r="KJF1338" s="4" t="s">
        <v>2882</v>
      </c>
      <c r="KJG1338" s="4" t="s">
        <v>2882</v>
      </c>
      <c r="KJH1338" s="4" t="s">
        <v>2882</v>
      </c>
      <c r="KJI1338" s="4" t="s">
        <v>2882</v>
      </c>
      <c r="KJJ1338" s="4" t="s">
        <v>2882</v>
      </c>
      <c r="KJK1338" s="4" t="s">
        <v>2882</v>
      </c>
      <c r="KJL1338" s="4" t="s">
        <v>2882</v>
      </c>
      <c r="KJM1338" s="4" t="s">
        <v>2882</v>
      </c>
      <c r="KJN1338" s="4" t="s">
        <v>2882</v>
      </c>
      <c r="KJO1338" s="4" t="s">
        <v>2882</v>
      </c>
      <c r="KJP1338" s="4" t="s">
        <v>2882</v>
      </c>
      <c r="KJQ1338" s="4" t="s">
        <v>2882</v>
      </c>
      <c r="KJR1338" s="4" t="s">
        <v>2882</v>
      </c>
      <c r="KJS1338" s="4" t="s">
        <v>2882</v>
      </c>
      <c r="KJT1338" s="4" t="s">
        <v>2882</v>
      </c>
      <c r="KJU1338" s="4" t="s">
        <v>2882</v>
      </c>
      <c r="KJV1338" s="4" t="s">
        <v>2882</v>
      </c>
      <c r="KJW1338" s="4" t="s">
        <v>2882</v>
      </c>
      <c r="KJX1338" s="4" t="s">
        <v>2882</v>
      </c>
      <c r="KJY1338" s="4" t="s">
        <v>2882</v>
      </c>
      <c r="KJZ1338" s="4" t="s">
        <v>2882</v>
      </c>
      <c r="KKA1338" s="4" t="s">
        <v>2882</v>
      </c>
      <c r="KKB1338" s="4" t="s">
        <v>2882</v>
      </c>
      <c r="KKC1338" s="4" t="s">
        <v>2882</v>
      </c>
      <c r="KKD1338" s="4" t="s">
        <v>2882</v>
      </c>
      <c r="KKE1338" s="4" t="s">
        <v>2882</v>
      </c>
      <c r="KKF1338" s="4" t="s">
        <v>2882</v>
      </c>
      <c r="KKG1338" s="4" t="s">
        <v>2882</v>
      </c>
      <c r="KKH1338" s="4" t="s">
        <v>2882</v>
      </c>
      <c r="KKI1338" s="4" t="s">
        <v>2882</v>
      </c>
      <c r="KKJ1338" s="4" t="s">
        <v>2882</v>
      </c>
      <c r="KKK1338" s="4" t="s">
        <v>2882</v>
      </c>
      <c r="KKL1338" s="4" t="s">
        <v>2882</v>
      </c>
      <c r="KKM1338" s="4" t="s">
        <v>2882</v>
      </c>
      <c r="KKN1338" s="4" t="s">
        <v>2882</v>
      </c>
      <c r="KKO1338" s="4" t="s">
        <v>2882</v>
      </c>
      <c r="KKP1338" s="4" t="s">
        <v>2882</v>
      </c>
      <c r="KKQ1338" s="4" t="s">
        <v>2882</v>
      </c>
      <c r="KKR1338" s="4" t="s">
        <v>2882</v>
      </c>
      <c r="KKS1338" s="4" t="s">
        <v>2882</v>
      </c>
      <c r="KKT1338" s="4" t="s">
        <v>2882</v>
      </c>
      <c r="KKU1338" s="4" t="s">
        <v>2882</v>
      </c>
      <c r="KKV1338" s="4" t="s">
        <v>2882</v>
      </c>
      <c r="KKW1338" s="4" t="s">
        <v>2882</v>
      </c>
      <c r="KKX1338" s="4" t="s">
        <v>2882</v>
      </c>
      <c r="KKY1338" s="4" t="s">
        <v>2882</v>
      </c>
      <c r="KKZ1338" s="4" t="s">
        <v>2882</v>
      </c>
      <c r="KLA1338" s="4" t="s">
        <v>2882</v>
      </c>
      <c r="KLB1338" s="4" t="s">
        <v>2882</v>
      </c>
      <c r="KLC1338" s="4" t="s">
        <v>2882</v>
      </c>
      <c r="KLD1338" s="4" t="s">
        <v>2882</v>
      </c>
      <c r="KLE1338" s="4" t="s">
        <v>2882</v>
      </c>
      <c r="KLF1338" s="4" t="s">
        <v>2882</v>
      </c>
      <c r="KLG1338" s="4" t="s">
        <v>2882</v>
      </c>
      <c r="KLH1338" s="4" t="s">
        <v>2882</v>
      </c>
      <c r="KLI1338" s="4" t="s">
        <v>2882</v>
      </c>
      <c r="KLJ1338" s="4" t="s">
        <v>2882</v>
      </c>
      <c r="KLK1338" s="4" t="s">
        <v>2882</v>
      </c>
      <c r="KLL1338" s="4" t="s">
        <v>2882</v>
      </c>
      <c r="KLM1338" s="4" t="s">
        <v>2882</v>
      </c>
      <c r="KLN1338" s="4" t="s">
        <v>2882</v>
      </c>
      <c r="KLO1338" s="4" t="s">
        <v>2882</v>
      </c>
      <c r="KLP1338" s="4" t="s">
        <v>2882</v>
      </c>
      <c r="KLQ1338" s="4" t="s">
        <v>2882</v>
      </c>
      <c r="KLR1338" s="4" t="s">
        <v>2882</v>
      </c>
      <c r="KLS1338" s="4" t="s">
        <v>2882</v>
      </c>
      <c r="KLT1338" s="4" t="s">
        <v>2882</v>
      </c>
      <c r="KLU1338" s="4" t="s">
        <v>2882</v>
      </c>
      <c r="KLV1338" s="4" t="s">
        <v>2882</v>
      </c>
      <c r="KLW1338" s="4" t="s">
        <v>2882</v>
      </c>
      <c r="KLX1338" s="4" t="s">
        <v>2882</v>
      </c>
      <c r="KLY1338" s="4" t="s">
        <v>2882</v>
      </c>
      <c r="KLZ1338" s="4" t="s">
        <v>2882</v>
      </c>
      <c r="KMA1338" s="4" t="s">
        <v>2882</v>
      </c>
      <c r="KMB1338" s="4" t="s">
        <v>2882</v>
      </c>
      <c r="KMC1338" s="4" t="s">
        <v>2882</v>
      </c>
      <c r="KMD1338" s="4" t="s">
        <v>2882</v>
      </c>
      <c r="KME1338" s="4" t="s">
        <v>2882</v>
      </c>
      <c r="KMF1338" s="4" t="s">
        <v>2882</v>
      </c>
      <c r="KMG1338" s="4" t="s">
        <v>2882</v>
      </c>
      <c r="KMH1338" s="4" t="s">
        <v>2882</v>
      </c>
      <c r="KMI1338" s="4" t="s">
        <v>2882</v>
      </c>
      <c r="KMJ1338" s="4" t="s">
        <v>2882</v>
      </c>
      <c r="KMK1338" s="4" t="s">
        <v>2882</v>
      </c>
      <c r="KML1338" s="4" t="s">
        <v>2882</v>
      </c>
      <c r="KMM1338" s="4" t="s">
        <v>2882</v>
      </c>
      <c r="KMN1338" s="4" t="s">
        <v>2882</v>
      </c>
      <c r="KMO1338" s="4" t="s">
        <v>2882</v>
      </c>
      <c r="KMP1338" s="4" t="s">
        <v>2882</v>
      </c>
      <c r="KMQ1338" s="4" t="s">
        <v>2882</v>
      </c>
      <c r="KMR1338" s="4" t="s">
        <v>2882</v>
      </c>
      <c r="KMS1338" s="4" t="s">
        <v>2882</v>
      </c>
      <c r="KMT1338" s="4" t="s">
        <v>2882</v>
      </c>
      <c r="KMU1338" s="4" t="s">
        <v>2882</v>
      </c>
      <c r="KMV1338" s="4" t="s">
        <v>2882</v>
      </c>
      <c r="KMW1338" s="4" t="s">
        <v>2882</v>
      </c>
      <c r="KMX1338" s="4" t="s">
        <v>2882</v>
      </c>
      <c r="KMY1338" s="4" t="s">
        <v>2882</v>
      </c>
      <c r="KMZ1338" s="4" t="s">
        <v>2882</v>
      </c>
      <c r="KNA1338" s="4" t="s">
        <v>2882</v>
      </c>
      <c r="KNB1338" s="4" t="s">
        <v>2882</v>
      </c>
      <c r="KNC1338" s="4" t="s">
        <v>2882</v>
      </c>
      <c r="KND1338" s="4" t="s">
        <v>2882</v>
      </c>
      <c r="KNE1338" s="4" t="s">
        <v>2882</v>
      </c>
      <c r="KNF1338" s="4" t="s">
        <v>2882</v>
      </c>
      <c r="KNG1338" s="4" t="s">
        <v>2882</v>
      </c>
      <c r="KNH1338" s="4" t="s">
        <v>2882</v>
      </c>
      <c r="KNI1338" s="4" t="s">
        <v>2882</v>
      </c>
      <c r="KNJ1338" s="4" t="s">
        <v>2882</v>
      </c>
      <c r="KNK1338" s="4" t="s">
        <v>2882</v>
      </c>
      <c r="KNL1338" s="4" t="s">
        <v>2882</v>
      </c>
      <c r="KNM1338" s="4" t="s">
        <v>2882</v>
      </c>
      <c r="KNN1338" s="4" t="s">
        <v>2882</v>
      </c>
      <c r="KNO1338" s="4" t="s">
        <v>2882</v>
      </c>
      <c r="KNP1338" s="4" t="s">
        <v>2882</v>
      </c>
      <c r="KNQ1338" s="4" t="s">
        <v>2882</v>
      </c>
      <c r="KNR1338" s="4" t="s">
        <v>2882</v>
      </c>
      <c r="KNS1338" s="4" t="s">
        <v>2882</v>
      </c>
      <c r="KNT1338" s="4" t="s">
        <v>2882</v>
      </c>
      <c r="KNU1338" s="4" t="s">
        <v>2882</v>
      </c>
      <c r="KNV1338" s="4" t="s">
        <v>2882</v>
      </c>
      <c r="KNW1338" s="4" t="s">
        <v>2882</v>
      </c>
      <c r="KNX1338" s="4" t="s">
        <v>2882</v>
      </c>
      <c r="KNY1338" s="4" t="s">
        <v>2882</v>
      </c>
      <c r="KNZ1338" s="4" t="s">
        <v>2882</v>
      </c>
      <c r="KOA1338" s="4" t="s">
        <v>2882</v>
      </c>
      <c r="KOB1338" s="4" t="s">
        <v>2882</v>
      </c>
      <c r="KOC1338" s="4" t="s">
        <v>2882</v>
      </c>
      <c r="KOD1338" s="4" t="s">
        <v>2882</v>
      </c>
      <c r="KOE1338" s="4" t="s">
        <v>2882</v>
      </c>
      <c r="KOF1338" s="4" t="s">
        <v>2882</v>
      </c>
      <c r="KOG1338" s="4" t="s">
        <v>2882</v>
      </c>
      <c r="KOH1338" s="4" t="s">
        <v>2882</v>
      </c>
      <c r="KOI1338" s="4" t="s">
        <v>2882</v>
      </c>
      <c r="KOJ1338" s="4" t="s">
        <v>2882</v>
      </c>
      <c r="KOK1338" s="4" t="s">
        <v>2882</v>
      </c>
      <c r="KOL1338" s="4" t="s">
        <v>2882</v>
      </c>
      <c r="KOM1338" s="4" t="s">
        <v>2882</v>
      </c>
      <c r="KON1338" s="4" t="s">
        <v>2882</v>
      </c>
      <c r="KOO1338" s="4" t="s">
        <v>2882</v>
      </c>
      <c r="KOP1338" s="4" t="s">
        <v>2882</v>
      </c>
      <c r="KOQ1338" s="4" t="s">
        <v>2882</v>
      </c>
      <c r="KOR1338" s="4" t="s">
        <v>2882</v>
      </c>
      <c r="KOS1338" s="4" t="s">
        <v>2882</v>
      </c>
      <c r="KOT1338" s="4" t="s">
        <v>2882</v>
      </c>
      <c r="KOU1338" s="4" t="s">
        <v>2882</v>
      </c>
      <c r="KOV1338" s="4" t="s">
        <v>2882</v>
      </c>
      <c r="KOW1338" s="4" t="s">
        <v>2882</v>
      </c>
      <c r="KOX1338" s="4" t="s">
        <v>2882</v>
      </c>
      <c r="KOY1338" s="4" t="s">
        <v>2882</v>
      </c>
      <c r="KOZ1338" s="4" t="s">
        <v>2882</v>
      </c>
      <c r="KPA1338" s="4" t="s">
        <v>2882</v>
      </c>
      <c r="KPB1338" s="4" t="s">
        <v>2882</v>
      </c>
      <c r="KPC1338" s="4" t="s">
        <v>2882</v>
      </c>
      <c r="KPD1338" s="4" t="s">
        <v>2882</v>
      </c>
      <c r="KPE1338" s="4" t="s">
        <v>2882</v>
      </c>
      <c r="KPF1338" s="4" t="s">
        <v>2882</v>
      </c>
      <c r="KPG1338" s="4" t="s">
        <v>2882</v>
      </c>
      <c r="KPH1338" s="4" t="s">
        <v>2882</v>
      </c>
      <c r="KPI1338" s="4" t="s">
        <v>2882</v>
      </c>
      <c r="KPJ1338" s="4" t="s">
        <v>2882</v>
      </c>
      <c r="KPK1338" s="4" t="s">
        <v>2882</v>
      </c>
      <c r="KPL1338" s="4" t="s">
        <v>2882</v>
      </c>
      <c r="KPM1338" s="4" t="s">
        <v>2882</v>
      </c>
      <c r="KPN1338" s="4" t="s">
        <v>2882</v>
      </c>
      <c r="KPO1338" s="4" t="s">
        <v>2882</v>
      </c>
      <c r="KPP1338" s="4" t="s">
        <v>2882</v>
      </c>
      <c r="KPQ1338" s="4" t="s">
        <v>2882</v>
      </c>
      <c r="KPR1338" s="4" t="s">
        <v>2882</v>
      </c>
      <c r="KPS1338" s="4" t="s">
        <v>2882</v>
      </c>
      <c r="KPT1338" s="4" t="s">
        <v>2882</v>
      </c>
      <c r="KPU1338" s="4" t="s">
        <v>2882</v>
      </c>
      <c r="KPV1338" s="4" t="s">
        <v>2882</v>
      </c>
      <c r="KPW1338" s="4" t="s">
        <v>2882</v>
      </c>
      <c r="KPX1338" s="4" t="s">
        <v>2882</v>
      </c>
      <c r="KPY1338" s="4" t="s">
        <v>2882</v>
      </c>
      <c r="KPZ1338" s="4" t="s">
        <v>2882</v>
      </c>
      <c r="KQA1338" s="4" t="s">
        <v>2882</v>
      </c>
      <c r="KQB1338" s="4" t="s">
        <v>2882</v>
      </c>
      <c r="KQC1338" s="4" t="s">
        <v>2882</v>
      </c>
      <c r="KQD1338" s="4" t="s">
        <v>2882</v>
      </c>
      <c r="KQE1338" s="4" t="s">
        <v>2882</v>
      </c>
      <c r="KQF1338" s="4" t="s">
        <v>2882</v>
      </c>
      <c r="KQG1338" s="4" t="s">
        <v>2882</v>
      </c>
      <c r="KQH1338" s="4" t="s">
        <v>2882</v>
      </c>
      <c r="KQI1338" s="4" t="s">
        <v>2882</v>
      </c>
      <c r="KQJ1338" s="4" t="s">
        <v>2882</v>
      </c>
      <c r="KQK1338" s="4" t="s">
        <v>2882</v>
      </c>
      <c r="KQL1338" s="4" t="s">
        <v>2882</v>
      </c>
      <c r="KQM1338" s="4" t="s">
        <v>2882</v>
      </c>
      <c r="KQN1338" s="4" t="s">
        <v>2882</v>
      </c>
      <c r="KQO1338" s="4" t="s">
        <v>2882</v>
      </c>
      <c r="KQP1338" s="4" t="s">
        <v>2882</v>
      </c>
      <c r="KQQ1338" s="4" t="s">
        <v>2882</v>
      </c>
      <c r="KQR1338" s="4" t="s">
        <v>2882</v>
      </c>
      <c r="KQS1338" s="4" t="s">
        <v>2882</v>
      </c>
      <c r="KQT1338" s="4" t="s">
        <v>2882</v>
      </c>
      <c r="KQU1338" s="4" t="s">
        <v>2882</v>
      </c>
      <c r="KQV1338" s="4" t="s">
        <v>2882</v>
      </c>
      <c r="KQW1338" s="4" t="s">
        <v>2882</v>
      </c>
      <c r="KQX1338" s="4" t="s">
        <v>2882</v>
      </c>
      <c r="KQY1338" s="4" t="s">
        <v>2882</v>
      </c>
      <c r="KQZ1338" s="4" t="s">
        <v>2882</v>
      </c>
      <c r="KRA1338" s="4" t="s">
        <v>2882</v>
      </c>
      <c r="KRB1338" s="4" t="s">
        <v>2882</v>
      </c>
      <c r="KRC1338" s="4" t="s">
        <v>2882</v>
      </c>
      <c r="KRD1338" s="4" t="s">
        <v>2882</v>
      </c>
      <c r="KRE1338" s="4" t="s">
        <v>2882</v>
      </c>
      <c r="KRF1338" s="4" t="s">
        <v>2882</v>
      </c>
      <c r="KRG1338" s="4" t="s">
        <v>2882</v>
      </c>
      <c r="KRH1338" s="4" t="s">
        <v>2882</v>
      </c>
      <c r="KRI1338" s="4" t="s">
        <v>2882</v>
      </c>
      <c r="KRJ1338" s="4" t="s">
        <v>2882</v>
      </c>
      <c r="KRK1338" s="4" t="s">
        <v>2882</v>
      </c>
      <c r="KRL1338" s="4" t="s">
        <v>2882</v>
      </c>
      <c r="KRM1338" s="4" t="s">
        <v>2882</v>
      </c>
      <c r="KRN1338" s="4" t="s">
        <v>2882</v>
      </c>
      <c r="KRO1338" s="4" t="s">
        <v>2882</v>
      </c>
      <c r="KRP1338" s="4" t="s">
        <v>2882</v>
      </c>
      <c r="KRQ1338" s="4" t="s">
        <v>2882</v>
      </c>
      <c r="KRR1338" s="4" t="s">
        <v>2882</v>
      </c>
      <c r="KRS1338" s="4" t="s">
        <v>2882</v>
      </c>
      <c r="KRT1338" s="4" t="s">
        <v>2882</v>
      </c>
      <c r="KRU1338" s="4" t="s">
        <v>2882</v>
      </c>
      <c r="KRV1338" s="4" t="s">
        <v>2882</v>
      </c>
      <c r="KRW1338" s="4" t="s">
        <v>2882</v>
      </c>
      <c r="KRX1338" s="4" t="s">
        <v>2882</v>
      </c>
      <c r="KRY1338" s="4" t="s">
        <v>2882</v>
      </c>
      <c r="KRZ1338" s="4" t="s">
        <v>2882</v>
      </c>
      <c r="KSA1338" s="4" t="s">
        <v>2882</v>
      </c>
      <c r="KSB1338" s="4" t="s">
        <v>2882</v>
      </c>
      <c r="KSC1338" s="4" t="s">
        <v>2882</v>
      </c>
      <c r="KSD1338" s="4" t="s">
        <v>2882</v>
      </c>
      <c r="KSE1338" s="4" t="s">
        <v>2882</v>
      </c>
      <c r="KSF1338" s="4" t="s">
        <v>2882</v>
      </c>
      <c r="KSG1338" s="4" t="s">
        <v>2882</v>
      </c>
      <c r="KSH1338" s="4" t="s">
        <v>2882</v>
      </c>
      <c r="KSI1338" s="4" t="s">
        <v>2882</v>
      </c>
      <c r="KSJ1338" s="4" t="s">
        <v>2882</v>
      </c>
      <c r="KSK1338" s="4" t="s">
        <v>2882</v>
      </c>
      <c r="KSL1338" s="4" t="s">
        <v>2882</v>
      </c>
      <c r="KSM1338" s="4" t="s">
        <v>2882</v>
      </c>
      <c r="KSN1338" s="4" t="s">
        <v>2882</v>
      </c>
      <c r="KSO1338" s="4" t="s">
        <v>2882</v>
      </c>
      <c r="KSP1338" s="4" t="s">
        <v>2882</v>
      </c>
      <c r="KSQ1338" s="4" t="s">
        <v>2882</v>
      </c>
      <c r="KSR1338" s="4" t="s">
        <v>2882</v>
      </c>
      <c r="KSS1338" s="4" t="s">
        <v>2882</v>
      </c>
      <c r="KST1338" s="4" t="s">
        <v>2882</v>
      </c>
      <c r="KSU1338" s="4" t="s">
        <v>2882</v>
      </c>
      <c r="KSV1338" s="4" t="s">
        <v>2882</v>
      </c>
      <c r="KSW1338" s="4" t="s">
        <v>2882</v>
      </c>
      <c r="KSX1338" s="4" t="s">
        <v>2882</v>
      </c>
      <c r="KSY1338" s="4" t="s">
        <v>2882</v>
      </c>
      <c r="KSZ1338" s="4" t="s">
        <v>2882</v>
      </c>
      <c r="KTA1338" s="4" t="s">
        <v>2882</v>
      </c>
      <c r="KTB1338" s="4" t="s">
        <v>2882</v>
      </c>
      <c r="KTC1338" s="4" t="s">
        <v>2882</v>
      </c>
      <c r="KTD1338" s="4" t="s">
        <v>2882</v>
      </c>
      <c r="KTE1338" s="4" t="s">
        <v>2882</v>
      </c>
      <c r="KTF1338" s="4" t="s">
        <v>2882</v>
      </c>
      <c r="KTG1338" s="4" t="s">
        <v>2882</v>
      </c>
      <c r="KTH1338" s="4" t="s">
        <v>2882</v>
      </c>
      <c r="KTI1338" s="4" t="s">
        <v>2882</v>
      </c>
      <c r="KTJ1338" s="4" t="s">
        <v>2882</v>
      </c>
      <c r="KTK1338" s="4" t="s">
        <v>2882</v>
      </c>
      <c r="KTL1338" s="4" t="s">
        <v>2882</v>
      </c>
      <c r="KTM1338" s="4" t="s">
        <v>2882</v>
      </c>
      <c r="KTN1338" s="4" t="s">
        <v>2882</v>
      </c>
      <c r="KTO1338" s="4" t="s">
        <v>2882</v>
      </c>
      <c r="KTP1338" s="4" t="s">
        <v>2882</v>
      </c>
      <c r="KTQ1338" s="4" t="s">
        <v>2882</v>
      </c>
      <c r="KTR1338" s="4" t="s">
        <v>2882</v>
      </c>
      <c r="KTS1338" s="4" t="s">
        <v>2882</v>
      </c>
      <c r="KTT1338" s="4" t="s">
        <v>2882</v>
      </c>
      <c r="KTU1338" s="4" t="s">
        <v>2882</v>
      </c>
      <c r="KTV1338" s="4" t="s">
        <v>2882</v>
      </c>
      <c r="KTW1338" s="4" t="s">
        <v>2882</v>
      </c>
      <c r="KTX1338" s="4" t="s">
        <v>2882</v>
      </c>
      <c r="KTY1338" s="4" t="s">
        <v>2882</v>
      </c>
      <c r="KTZ1338" s="4" t="s">
        <v>2882</v>
      </c>
      <c r="KUA1338" s="4" t="s">
        <v>2882</v>
      </c>
      <c r="KUB1338" s="4" t="s">
        <v>2882</v>
      </c>
      <c r="KUC1338" s="4" t="s">
        <v>2882</v>
      </c>
      <c r="KUD1338" s="4" t="s">
        <v>2882</v>
      </c>
      <c r="KUE1338" s="4" t="s">
        <v>2882</v>
      </c>
      <c r="KUF1338" s="4" t="s">
        <v>2882</v>
      </c>
      <c r="KUG1338" s="4" t="s">
        <v>2882</v>
      </c>
      <c r="KUH1338" s="4" t="s">
        <v>2882</v>
      </c>
      <c r="KUI1338" s="4" t="s">
        <v>2882</v>
      </c>
      <c r="KUJ1338" s="4" t="s">
        <v>2882</v>
      </c>
      <c r="KUK1338" s="4" t="s">
        <v>2882</v>
      </c>
      <c r="KUL1338" s="4" t="s">
        <v>2882</v>
      </c>
      <c r="KUM1338" s="4" t="s">
        <v>2882</v>
      </c>
      <c r="KUN1338" s="4" t="s">
        <v>2882</v>
      </c>
      <c r="KUO1338" s="4" t="s">
        <v>2882</v>
      </c>
      <c r="KUP1338" s="4" t="s">
        <v>2882</v>
      </c>
      <c r="KUQ1338" s="4" t="s">
        <v>2882</v>
      </c>
      <c r="KUR1338" s="4" t="s">
        <v>2882</v>
      </c>
      <c r="KUS1338" s="4" t="s">
        <v>2882</v>
      </c>
      <c r="KUT1338" s="4" t="s">
        <v>2882</v>
      </c>
      <c r="KUU1338" s="4" t="s">
        <v>2882</v>
      </c>
      <c r="KUV1338" s="4" t="s">
        <v>2882</v>
      </c>
      <c r="KUW1338" s="4" t="s">
        <v>2882</v>
      </c>
      <c r="KUX1338" s="4" t="s">
        <v>2882</v>
      </c>
      <c r="KUY1338" s="4" t="s">
        <v>2882</v>
      </c>
      <c r="KUZ1338" s="4" t="s">
        <v>2882</v>
      </c>
      <c r="KVA1338" s="4" t="s">
        <v>2882</v>
      </c>
      <c r="KVB1338" s="4" t="s">
        <v>2882</v>
      </c>
      <c r="KVC1338" s="4" t="s">
        <v>2882</v>
      </c>
      <c r="KVD1338" s="4" t="s">
        <v>2882</v>
      </c>
      <c r="KVE1338" s="4" t="s">
        <v>2882</v>
      </c>
      <c r="KVF1338" s="4" t="s">
        <v>2882</v>
      </c>
      <c r="KVG1338" s="4" t="s">
        <v>2882</v>
      </c>
      <c r="KVH1338" s="4" t="s">
        <v>2882</v>
      </c>
      <c r="KVI1338" s="4" t="s">
        <v>2882</v>
      </c>
      <c r="KVJ1338" s="4" t="s">
        <v>2882</v>
      </c>
      <c r="KVK1338" s="4" t="s">
        <v>2882</v>
      </c>
      <c r="KVL1338" s="4" t="s">
        <v>2882</v>
      </c>
      <c r="KVM1338" s="4" t="s">
        <v>2882</v>
      </c>
      <c r="KVN1338" s="4" t="s">
        <v>2882</v>
      </c>
      <c r="KVO1338" s="4" t="s">
        <v>2882</v>
      </c>
      <c r="KVP1338" s="4" t="s">
        <v>2882</v>
      </c>
      <c r="KVQ1338" s="4" t="s">
        <v>2882</v>
      </c>
      <c r="KVR1338" s="4" t="s">
        <v>2882</v>
      </c>
      <c r="KVS1338" s="4" t="s">
        <v>2882</v>
      </c>
      <c r="KVT1338" s="4" t="s">
        <v>2882</v>
      </c>
      <c r="KVU1338" s="4" t="s">
        <v>2882</v>
      </c>
      <c r="KVV1338" s="4" t="s">
        <v>2882</v>
      </c>
      <c r="KVW1338" s="4" t="s">
        <v>2882</v>
      </c>
      <c r="KVX1338" s="4" t="s">
        <v>2882</v>
      </c>
      <c r="KVY1338" s="4" t="s">
        <v>2882</v>
      </c>
      <c r="KVZ1338" s="4" t="s">
        <v>2882</v>
      </c>
      <c r="KWA1338" s="4" t="s">
        <v>2882</v>
      </c>
      <c r="KWB1338" s="4" t="s">
        <v>2882</v>
      </c>
      <c r="KWC1338" s="4" t="s">
        <v>2882</v>
      </c>
      <c r="KWD1338" s="4" t="s">
        <v>2882</v>
      </c>
      <c r="KWE1338" s="4" t="s">
        <v>2882</v>
      </c>
      <c r="KWF1338" s="4" t="s">
        <v>2882</v>
      </c>
      <c r="KWG1338" s="4" t="s">
        <v>2882</v>
      </c>
      <c r="KWH1338" s="4" t="s">
        <v>2882</v>
      </c>
      <c r="KWI1338" s="4" t="s">
        <v>2882</v>
      </c>
      <c r="KWJ1338" s="4" t="s">
        <v>2882</v>
      </c>
      <c r="KWK1338" s="4" t="s">
        <v>2882</v>
      </c>
      <c r="KWL1338" s="4" t="s">
        <v>2882</v>
      </c>
      <c r="KWM1338" s="4" t="s">
        <v>2882</v>
      </c>
      <c r="KWN1338" s="4" t="s">
        <v>2882</v>
      </c>
      <c r="KWO1338" s="4" t="s">
        <v>2882</v>
      </c>
      <c r="KWP1338" s="4" t="s">
        <v>2882</v>
      </c>
      <c r="KWQ1338" s="4" t="s">
        <v>2882</v>
      </c>
      <c r="KWR1338" s="4" t="s">
        <v>2882</v>
      </c>
      <c r="KWS1338" s="4" t="s">
        <v>2882</v>
      </c>
      <c r="KWT1338" s="4" t="s">
        <v>2882</v>
      </c>
      <c r="KWU1338" s="4" t="s">
        <v>2882</v>
      </c>
      <c r="KWV1338" s="4" t="s">
        <v>2882</v>
      </c>
      <c r="KWW1338" s="4" t="s">
        <v>2882</v>
      </c>
      <c r="KWX1338" s="4" t="s">
        <v>2882</v>
      </c>
      <c r="KWY1338" s="4" t="s">
        <v>2882</v>
      </c>
      <c r="KWZ1338" s="4" t="s">
        <v>2882</v>
      </c>
      <c r="KXA1338" s="4" t="s">
        <v>2882</v>
      </c>
      <c r="KXB1338" s="4" t="s">
        <v>2882</v>
      </c>
      <c r="KXC1338" s="4" t="s">
        <v>2882</v>
      </c>
      <c r="KXD1338" s="4" t="s">
        <v>2882</v>
      </c>
      <c r="KXE1338" s="4" t="s">
        <v>2882</v>
      </c>
      <c r="KXF1338" s="4" t="s">
        <v>2882</v>
      </c>
      <c r="KXG1338" s="4" t="s">
        <v>2882</v>
      </c>
      <c r="KXH1338" s="4" t="s">
        <v>2882</v>
      </c>
      <c r="KXI1338" s="4" t="s">
        <v>2882</v>
      </c>
      <c r="KXJ1338" s="4" t="s">
        <v>2882</v>
      </c>
      <c r="KXK1338" s="4" t="s">
        <v>2882</v>
      </c>
      <c r="KXL1338" s="4" t="s">
        <v>2882</v>
      </c>
      <c r="KXM1338" s="4" t="s">
        <v>2882</v>
      </c>
      <c r="KXN1338" s="4" t="s">
        <v>2882</v>
      </c>
      <c r="KXO1338" s="4" t="s">
        <v>2882</v>
      </c>
      <c r="KXP1338" s="4" t="s">
        <v>2882</v>
      </c>
      <c r="KXQ1338" s="4" t="s">
        <v>2882</v>
      </c>
      <c r="KXR1338" s="4" t="s">
        <v>2882</v>
      </c>
      <c r="KXS1338" s="4" t="s">
        <v>2882</v>
      </c>
      <c r="KXT1338" s="4" t="s">
        <v>2882</v>
      </c>
      <c r="KXU1338" s="4" t="s">
        <v>2882</v>
      </c>
      <c r="KXV1338" s="4" t="s">
        <v>2882</v>
      </c>
      <c r="KXW1338" s="4" t="s">
        <v>2882</v>
      </c>
      <c r="KXX1338" s="4" t="s">
        <v>2882</v>
      </c>
      <c r="KXY1338" s="4" t="s">
        <v>2882</v>
      </c>
      <c r="KXZ1338" s="4" t="s">
        <v>2882</v>
      </c>
      <c r="KYA1338" s="4" t="s">
        <v>2882</v>
      </c>
      <c r="KYB1338" s="4" t="s">
        <v>2882</v>
      </c>
      <c r="KYC1338" s="4" t="s">
        <v>2882</v>
      </c>
      <c r="KYD1338" s="4" t="s">
        <v>2882</v>
      </c>
      <c r="KYE1338" s="4" t="s">
        <v>2882</v>
      </c>
      <c r="KYF1338" s="4" t="s">
        <v>2882</v>
      </c>
      <c r="KYG1338" s="4" t="s">
        <v>2882</v>
      </c>
      <c r="KYH1338" s="4" t="s">
        <v>2882</v>
      </c>
      <c r="KYI1338" s="4" t="s">
        <v>2882</v>
      </c>
      <c r="KYJ1338" s="4" t="s">
        <v>2882</v>
      </c>
      <c r="KYK1338" s="4" t="s">
        <v>2882</v>
      </c>
      <c r="KYL1338" s="4" t="s">
        <v>2882</v>
      </c>
      <c r="KYM1338" s="4" t="s">
        <v>2882</v>
      </c>
      <c r="KYN1338" s="4" t="s">
        <v>2882</v>
      </c>
      <c r="KYO1338" s="4" t="s">
        <v>2882</v>
      </c>
      <c r="KYP1338" s="4" t="s">
        <v>2882</v>
      </c>
      <c r="KYQ1338" s="4" t="s">
        <v>2882</v>
      </c>
      <c r="KYR1338" s="4" t="s">
        <v>2882</v>
      </c>
      <c r="KYS1338" s="4" t="s">
        <v>2882</v>
      </c>
      <c r="KYT1338" s="4" t="s">
        <v>2882</v>
      </c>
      <c r="KYU1338" s="4" t="s">
        <v>2882</v>
      </c>
      <c r="KYV1338" s="4" t="s">
        <v>2882</v>
      </c>
      <c r="KYW1338" s="4" t="s">
        <v>2882</v>
      </c>
      <c r="KYX1338" s="4" t="s">
        <v>2882</v>
      </c>
      <c r="KYY1338" s="4" t="s">
        <v>2882</v>
      </c>
      <c r="KYZ1338" s="4" t="s">
        <v>2882</v>
      </c>
      <c r="KZA1338" s="4" t="s">
        <v>2882</v>
      </c>
      <c r="KZB1338" s="4" t="s">
        <v>2882</v>
      </c>
      <c r="KZC1338" s="4" t="s">
        <v>2882</v>
      </c>
      <c r="KZD1338" s="4" t="s">
        <v>2882</v>
      </c>
      <c r="KZE1338" s="4" t="s">
        <v>2882</v>
      </c>
      <c r="KZF1338" s="4" t="s">
        <v>2882</v>
      </c>
      <c r="KZG1338" s="4" t="s">
        <v>2882</v>
      </c>
      <c r="KZH1338" s="4" t="s">
        <v>2882</v>
      </c>
      <c r="KZI1338" s="4" t="s">
        <v>2882</v>
      </c>
      <c r="KZJ1338" s="4" t="s">
        <v>2882</v>
      </c>
      <c r="KZK1338" s="4" t="s">
        <v>2882</v>
      </c>
      <c r="KZL1338" s="4" t="s">
        <v>2882</v>
      </c>
      <c r="KZM1338" s="4" t="s">
        <v>2882</v>
      </c>
      <c r="KZN1338" s="4" t="s">
        <v>2882</v>
      </c>
      <c r="KZO1338" s="4" t="s">
        <v>2882</v>
      </c>
      <c r="KZP1338" s="4" t="s">
        <v>2882</v>
      </c>
      <c r="KZQ1338" s="4" t="s">
        <v>2882</v>
      </c>
      <c r="KZR1338" s="4" t="s">
        <v>2882</v>
      </c>
      <c r="KZS1338" s="4" t="s">
        <v>2882</v>
      </c>
      <c r="KZT1338" s="4" t="s">
        <v>2882</v>
      </c>
      <c r="KZU1338" s="4" t="s">
        <v>2882</v>
      </c>
      <c r="KZV1338" s="4" t="s">
        <v>2882</v>
      </c>
      <c r="KZW1338" s="4" t="s">
        <v>2882</v>
      </c>
      <c r="KZX1338" s="4" t="s">
        <v>2882</v>
      </c>
      <c r="KZY1338" s="4" t="s">
        <v>2882</v>
      </c>
      <c r="KZZ1338" s="4" t="s">
        <v>2882</v>
      </c>
      <c r="LAA1338" s="4" t="s">
        <v>2882</v>
      </c>
      <c r="LAB1338" s="4" t="s">
        <v>2882</v>
      </c>
      <c r="LAC1338" s="4" t="s">
        <v>2882</v>
      </c>
      <c r="LAD1338" s="4" t="s">
        <v>2882</v>
      </c>
      <c r="LAE1338" s="4" t="s">
        <v>2882</v>
      </c>
      <c r="LAF1338" s="4" t="s">
        <v>2882</v>
      </c>
      <c r="LAG1338" s="4" t="s">
        <v>2882</v>
      </c>
      <c r="LAH1338" s="4" t="s">
        <v>2882</v>
      </c>
      <c r="LAI1338" s="4" t="s">
        <v>2882</v>
      </c>
      <c r="LAJ1338" s="4" t="s">
        <v>2882</v>
      </c>
      <c r="LAK1338" s="4" t="s">
        <v>2882</v>
      </c>
      <c r="LAL1338" s="4" t="s">
        <v>2882</v>
      </c>
      <c r="LAM1338" s="4" t="s">
        <v>2882</v>
      </c>
      <c r="LAN1338" s="4" t="s">
        <v>2882</v>
      </c>
      <c r="LAO1338" s="4" t="s">
        <v>2882</v>
      </c>
      <c r="LAP1338" s="4" t="s">
        <v>2882</v>
      </c>
      <c r="LAQ1338" s="4" t="s">
        <v>2882</v>
      </c>
      <c r="LAR1338" s="4" t="s">
        <v>2882</v>
      </c>
      <c r="LAS1338" s="4" t="s">
        <v>2882</v>
      </c>
      <c r="LAT1338" s="4" t="s">
        <v>2882</v>
      </c>
      <c r="LAU1338" s="4" t="s">
        <v>2882</v>
      </c>
      <c r="LAV1338" s="4" t="s">
        <v>2882</v>
      </c>
      <c r="LAW1338" s="4" t="s">
        <v>2882</v>
      </c>
      <c r="LAX1338" s="4" t="s">
        <v>2882</v>
      </c>
      <c r="LAY1338" s="4" t="s">
        <v>2882</v>
      </c>
      <c r="LAZ1338" s="4" t="s">
        <v>2882</v>
      </c>
      <c r="LBA1338" s="4" t="s">
        <v>2882</v>
      </c>
      <c r="LBB1338" s="4" t="s">
        <v>2882</v>
      </c>
      <c r="LBC1338" s="4" t="s">
        <v>2882</v>
      </c>
      <c r="LBD1338" s="4" t="s">
        <v>2882</v>
      </c>
      <c r="LBE1338" s="4" t="s">
        <v>2882</v>
      </c>
      <c r="LBF1338" s="4" t="s">
        <v>2882</v>
      </c>
      <c r="LBG1338" s="4" t="s">
        <v>2882</v>
      </c>
      <c r="LBH1338" s="4" t="s">
        <v>2882</v>
      </c>
      <c r="LBI1338" s="4" t="s">
        <v>2882</v>
      </c>
      <c r="LBJ1338" s="4" t="s">
        <v>2882</v>
      </c>
      <c r="LBK1338" s="4" t="s">
        <v>2882</v>
      </c>
      <c r="LBL1338" s="4" t="s">
        <v>2882</v>
      </c>
      <c r="LBM1338" s="4" t="s">
        <v>2882</v>
      </c>
      <c r="LBN1338" s="4" t="s">
        <v>2882</v>
      </c>
      <c r="LBO1338" s="4" t="s">
        <v>2882</v>
      </c>
      <c r="LBP1338" s="4" t="s">
        <v>2882</v>
      </c>
      <c r="LBQ1338" s="4" t="s">
        <v>2882</v>
      </c>
      <c r="LBR1338" s="4" t="s">
        <v>2882</v>
      </c>
      <c r="LBS1338" s="4" t="s">
        <v>2882</v>
      </c>
      <c r="LBT1338" s="4" t="s">
        <v>2882</v>
      </c>
      <c r="LBU1338" s="4" t="s">
        <v>2882</v>
      </c>
      <c r="LBV1338" s="4" t="s">
        <v>2882</v>
      </c>
      <c r="LBW1338" s="4" t="s">
        <v>2882</v>
      </c>
      <c r="LBX1338" s="4" t="s">
        <v>2882</v>
      </c>
      <c r="LBY1338" s="4" t="s">
        <v>2882</v>
      </c>
      <c r="LBZ1338" s="4" t="s">
        <v>2882</v>
      </c>
      <c r="LCA1338" s="4" t="s">
        <v>2882</v>
      </c>
      <c r="LCB1338" s="4" t="s">
        <v>2882</v>
      </c>
      <c r="LCC1338" s="4" t="s">
        <v>2882</v>
      </c>
      <c r="LCD1338" s="4" t="s">
        <v>2882</v>
      </c>
      <c r="LCE1338" s="4" t="s">
        <v>2882</v>
      </c>
      <c r="LCF1338" s="4" t="s">
        <v>2882</v>
      </c>
      <c r="LCG1338" s="4" t="s">
        <v>2882</v>
      </c>
      <c r="LCH1338" s="4" t="s">
        <v>2882</v>
      </c>
      <c r="LCI1338" s="4" t="s">
        <v>2882</v>
      </c>
      <c r="LCJ1338" s="4" t="s">
        <v>2882</v>
      </c>
      <c r="LCK1338" s="4" t="s">
        <v>2882</v>
      </c>
      <c r="LCL1338" s="4" t="s">
        <v>2882</v>
      </c>
      <c r="LCM1338" s="4" t="s">
        <v>2882</v>
      </c>
      <c r="LCN1338" s="4" t="s">
        <v>2882</v>
      </c>
      <c r="LCO1338" s="4" t="s">
        <v>2882</v>
      </c>
      <c r="LCP1338" s="4" t="s">
        <v>2882</v>
      </c>
      <c r="LCQ1338" s="4" t="s">
        <v>2882</v>
      </c>
      <c r="LCR1338" s="4" t="s">
        <v>2882</v>
      </c>
      <c r="LCS1338" s="4" t="s">
        <v>2882</v>
      </c>
      <c r="LCT1338" s="4" t="s">
        <v>2882</v>
      </c>
      <c r="LCU1338" s="4" t="s">
        <v>2882</v>
      </c>
      <c r="LCV1338" s="4" t="s">
        <v>2882</v>
      </c>
      <c r="LCW1338" s="4" t="s">
        <v>2882</v>
      </c>
      <c r="LCX1338" s="4" t="s">
        <v>2882</v>
      </c>
      <c r="LCY1338" s="4" t="s">
        <v>2882</v>
      </c>
      <c r="LCZ1338" s="4" t="s">
        <v>2882</v>
      </c>
      <c r="LDA1338" s="4" t="s">
        <v>2882</v>
      </c>
      <c r="LDB1338" s="4" t="s">
        <v>2882</v>
      </c>
      <c r="LDC1338" s="4" t="s">
        <v>2882</v>
      </c>
      <c r="LDD1338" s="4" t="s">
        <v>2882</v>
      </c>
      <c r="LDE1338" s="4" t="s">
        <v>2882</v>
      </c>
      <c r="LDF1338" s="4" t="s">
        <v>2882</v>
      </c>
      <c r="LDG1338" s="4" t="s">
        <v>2882</v>
      </c>
      <c r="LDH1338" s="4" t="s">
        <v>2882</v>
      </c>
      <c r="LDI1338" s="4" t="s">
        <v>2882</v>
      </c>
      <c r="LDJ1338" s="4" t="s">
        <v>2882</v>
      </c>
      <c r="LDK1338" s="4" t="s">
        <v>2882</v>
      </c>
      <c r="LDL1338" s="4" t="s">
        <v>2882</v>
      </c>
      <c r="LDM1338" s="4" t="s">
        <v>2882</v>
      </c>
      <c r="LDN1338" s="4" t="s">
        <v>2882</v>
      </c>
      <c r="LDO1338" s="4" t="s">
        <v>2882</v>
      </c>
      <c r="LDP1338" s="4" t="s">
        <v>2882</v>
      </c>
      <c r="LDQ1338" s="4" t="s">
        <v>2882</v>
      </c>
      <c r="LDR1338" s="4" t="s">
        <v>2882</v>
      </c>
      <c r="LDS1338" s="4" t="s">
        <v>2882</v>
      </c>
      <c r="LDT1338" s="4" t="s">
        <v>2882</v>
      </c>
      <c r="LDU1338" s="4" t="s">
        <v>2882</v>
      </c>
      <c r="LDV1338" s="4" t="s">
        <v>2882</v>
      </c>
      <c r="LDW1338" s="4" t="s">
        <v>2882</v>
      </c>
      <c r="LDX1338" s="4" t="s">
        <v>2882</v>
      </c>
      <c r="LDY1338" s="4" t="s">
        <v>2882</v>
      </c>
      <c r="LDZ1338" s="4" t="s">
        <v>2882</v>
      </c>
      <c r="LEA1338" s="4" t="s">
        <v>2882</v>
      </c>
      <c r="LEB1338" s="4" t="s">
        <v>2882</v>
      </c>
      <c r="LEC1338" s="4" t="s">
        <v>2882</v>
      </c>
      <c r="LED1338" s="4" t="s">
        <v>2882</v>
      </c>
      <c r="LEE1338" s="4" t="s">
        <v>2882</v>
      </c>
      <c r="LEF1338" s="4" t="s">
        <v>2882</v>
      </c>
      <c r="LEG1338" s="4" t="s">
        <v>2882</v>
      </c>
      <c r="LEH1338" s="4" t="s">
        <v>2882</v>
      </c>
      <c r="LEI1338" s="4" t="s">
        <v>2882</v>
      </c>
      <c r="LEJ1338" s="4" t="s">
        <v>2882</v>
      </c>
      <c r="LEK1338" s="4" t="s">
        <v>2882</v>
      </c>
      <c r="LEL1338" s="4" t="s">
        <v>2882</v>
      </c>
      <c r="LEM1338" s="4" t="s">
        <v>2882</v>
      </c>
      <c r="LEN1338" s="4" t="s">
        <v>2882</v>
      </c>
      <c r="LEO1338" s="4" t="s">
        <v>2882</v>
      </c>
      <c r="LEP1338" s="4" t="s">
        <v>2882</v>
      </c>
      <c r="LEQ1338" s="4" t="s">
        <v>2882</v>
      </c>
      <c r="LER1338" s="4" t="s">
        <v>2882</v>
      </c>
      <c r="LES1338" s="4" t="s">
        <v>2882</v>
      </c>
      <c r="LET1338" s="4" t="s">
        <v>2882</v>
      </c>
      <c r="LEU1338" s="4" t="s">
        <v>2882</v>
      </c>
      <c r="LEV1338" s="4" t="s">
        <v>2882</v>
      </c>
      <c r="LEW1338" s="4" t="s">
        <v>2882</v>
      </c>
      <c r="LEX1338" s="4" t="s">
        <v>2882</v>
      </c>
      <c r="LEY1338" s="4" t="s">
        <v>2882</v>
      </c>
      <c r="LEZ1338" s="4" t="s">
        <v>2882</v>
      </c>
      <c r="LFA1338" s="4" t="s">
        <v>2882</v>
      </c>
      <c r="LFB1338" s="4" t="s">
        <v>2882</v>
      </c>
      <c r="LFC1338" s="4" t="s">
        <v>2882</v>
      </c>
      <c r="LFD1338" s="4" t="s">
        <v>2882</v>
      </c>
      <c r="LFE1338" s="4" t="s">
        <v>2882</v>
      </c>
      <c r="LFF1338" s="4" t="s">
        <v>2882</v>
      </c>
      <c r="LFG1338" s="4" t="s">
        <v>2882</v>
      </c>
      <c r="LFH1338" s="4" t="s">
        <v>2882</v>
      </c>
      <c r="LFI1338" s="4" t="s">
        <v>2882</v>
      </c>
      <c r="LFJ1338" s="4" t="s">
        <v>2882</v>
      </c>
      <c r="LFK1338" s="4" t="s">
        <v>2882</v>
      </c>
      <c r="LFL1338" s="4" t="s">
        <v>2882</v>
      </c>
      <c r="LFM1338" s="4" t="s">
        <v>2882</v>
      </c>
      <c r="LFN1338" s="4" t="s">
        <v>2882</v>
      </c>
      <c r="LFO1338" s="4" t="s">
        <v>2882</v>
      </c>
      <c r="LFP1338" s="4" t="s">
        <v>2882</v>
      </c>
      <c r="LFQ1338" s="4" t="s">
        <v>2882</v>
      </c>
      <c r="LFR1338" s="4" t="s">
        <v>2882</v>
      </c>
      <c r="LFS1338" s="4" t="s">
        <v>2882</v>
      </c>
      <c r="LFT1338" s="4" t="s">
        <v>2882</v>
      </c>
      <c r="LFU1338" s="4" t="s">
        <v>2882</v>
      </c>
      <c r="LFV1338" s="4" t="s">
        <v>2882</v>
      </c>
      <c r="LFW1338" s="4" t="s">
        <v>2882</v>
      </c>
      <c r="LFX1338" s="4" t="s">
        <v>2882</v>
      </c>
      <c r="LFY1338" s="4" t="s">
        <v>2882</v>
      </c>
      <c r="LFZ1338" s="4" t="s">
        <v>2882</v>
      </c>
      <c r="LGA1338" s="4" t="s">
        <v>2882</v>
      </c>
      <c r="LGB1338" s="4" t="s">
        <v>2882</v>
      </c>
      <c r="LGC1338" s="4" t="s">
        <v>2882</v>
      </c>
      <c r="LGD1338" s="4" t="s">
        <v>2882</v>
      </c>
      <c r="LGE1338" s="4" t="s">
        <v>2882</v>
      </c>
      <c r="LGF1338" s="4" t="s">
        <v>2882</v>
      </c>
      <c r="LGG1338" s="4" t="s">
        <v>2882</v>
      </c>
      <c r="LGH1338" s="4" t="s">
        <v>2882</v>
      </c>
      <c r="LGI1338" s="4" t="s">
        <v>2882</v>
      </c>
      <c r="LGJ1338" s="4" t="s">
        <v>2882</v>
      </c>
      <c r="LGK1338" s="4" t="s">
        <v>2882</v>
      </c>
      <c r="LGL1338" s="4" t="s">
        <v>2882</v>
      </c>
      <c r="LGM1338" s="4" t="s">
        <v>2882</v>
      </c>
      <c r="LGN1338" s="4" t="s">
        <v>2882</v>
      </c>
      <c r="LGO1338" s="4" t="s">
        <v>2882</v>
      </c>
      <c r="LGP1338" s="4" t="s">
        <v>2882</v>
      </c>
      <c r="LGQ1338" s="4" t="s">
        <v>2882</v>
      </c>
      <c r="LGR1338" s="4" t="s">
        <v>2882</v>
      </c>
      <c r="LGS1338" s="4" t="s">
        <v>2882</v>
      </c>
      <c r="LGT1338" s="4" t="s">
        <v>2882</v>
      </c>
      <c r="LGU1338" s="4" t="s">
        <v>2882</v>
      </c>
      <c r="LGV1338" s="4" t="s">
        <v>2882</v>
      </c>
      <c r="LGW1338" s="4" t="s">
        <v>2882</v>
      </c>
      <c r="LGX1338" s="4" t="s">
        <v>2882</v>
      </c>
      <c r="LGY1338" s="4" t="s">
        <v>2882</v>
      </c>
      <c r="LGZ1338" s="4" t="s">
        <v>2882</v>
      </c>
      <c r="LHA1338" s="4" t="s">
        <v>2882</v>
      </c>
      <c r="LHB1338" s="4" t="s">
        <v>2882</v>
      </c>
      <c r="LHC1338" s="4" t="s">
        <v>2882</v>
      </c>
      <c r="LHD1338" s="4" t="s">
        <v>2882</v>
      </c>
      <c r="LHE1338" s="4" t="s">
        <v>2882</v>
      </c>
      <c r="LHF1338" s="4" t="s">
        <v>2882</v>
      </c>
      <c r="LHG1338" s="4" t="s">
        <v>2882</v>
      </c>
      <c r="LHH1338" s="4" t="s">
        <v>2882</v>
      </c>
      <c r="LHI1338" s="4" t="s">
        <v>2882</v>
      </c>
      <c r="LHJ1338" s="4" t="s">
        <v>2882</v>
      </c>
      <c r="LHK1338" s="4" t="s">
        <v>2882</v>
      </c>
      <c r="LHL1338" s="4" t="s">
        <v>2882</v>
      </c>
      <c r="LHM1338" s="4" t="s">
        <v>2882</v>
      </c>
      <c r="LHN1338" s="4" t="s">
        <v>2882</v>
      </c>
      <c r="LHO1338" s="4" t="s">
        <v>2882</v>
      </c>
      <c r="LHP1338" s="4" t="s">
        <v>2882</v>
      </c>
      <c r="LHQ1338" s="4" t="s">
        <v>2882</v>
      </c>
      <c r="LHR1338" s="4" t="s">
        <v>2882</v>
      </c>
      <c r="LHS1338" s="4" t="s">
        <v>2882</v>
      </c>
      <c r="LHT1338" s="4" t="s">
        <v>2882</v>
      </c>
      <c r="LHU1338" s="4" t="s">
        <v>2882</v>
      </c>
      <c r="LHV1338" s="4" t="s">
        <v>2882</v>
      </c>
      <c r="LHW1338" s="4" t="s">
        <v>2882</v>
      </c>
      <c r="LHX1338" s="4" t="s">
        <v>2882</v>
      </c>
      <c r="LHY1338" s="4" t="s">
        <v>2882</v>
      </c>
      <c r="LHZ1338" s="4" t="s">
        <v>2882</v>
      </c>
      <c r="LIA1338" s="4" t="s">
        <v>2882</v>
      </c>
      <c r="LIB1338" s="4" t="s">
        <v>2882</v>
      </c>
      <c r="LIC1338" s="4" t="s">
        <v>2882</v>
      </c>
      <c r="LID1338" s="4" t="s">
        <v>2882</v>
      </c>
      <c r="LIE1338" s="4" t="s">
        <v>2882</v>
      </c>
      <c r="LIF1338" s="4" t="s">
        <v>2882</v>
      </c>
      <c r="LIG1338" s="4" t="s">
        <v>2882</v>
      </c>
      <c r="LIH1338" s="4" t="s">
        <v>2882</v>
      </c>
      <c r="LII1338" s="4" t="s">
        <v>2882</v>
      </c>
      <c r="LIJ1338" s="4" t="s">
        <v>2882</v>
      </c>
      <c r="LIK1338" s="4" t="s">
        <v>2882</v>
      </c>
      <c r="LIL1338" s="4" t="s">
        <v>2882</v>
      </c>
      <c r="LIM1338" s="4" t="s">
        <v>2882</v>
      </c>
      <c r="LIN1338" s="4" t="s">
        <v>2882</v>
      </c>
      <c r="LIO1338" s="4" t="s">
        <v>2882</v>
      </c>
      <c r="LIP1338" s="4" t="s">
        <v>2882</v>
      </c>
      <c r="LIQ1338" s="4" t="s">
        <v>2882</v>
      </c>
      <c r="LIR1338" s="4" t="s">
        <v>2882</v>
      </c>
      <c r="LIS1338" s="4" t="s">
        <v>2882</v>
      </c>
      <c r="LIT1338" s="4" t="s">
        <v>2882</v>
      </c>
      <c r="LIU1338" s="4" t="s">
        <v>2882</v>
      </c>
      <c r="LIV1338" s="4" t="s">
        <v>2882</v>
      </c>
      <c r="LIW1338" s="4" t="s">
        <v>2882</v>
      </c>
      <c r="LIX1338" s="4" t="s">
        <v>2882</v>
      </c>
      <c r="LIY1338" s="4" t="s">
        <v>2882</v>
      </c>
      <c r="LIZ1338" s="4" t="s">
        <v>2882</v>
      </c>
      <c r="LJA1338" s="4" t="s">
        <v>2882</v>
      </c>
      <c r="LJB1338" s="4" t="s">
        <v>2882</v>
      </c>
      <c r="LJC1338" s="4" t="s">
        <v>2882</v>
      </c>
      <c r="LJD1338" s="4" t="s">
        <v>2882</v>
      </c>
      <c r="LJE1338" s="4" t="s">
        <v>2882</v>
      </c>
      <c r="LJF1338" s="4" t="s">
        <v>2882</v>
      </c>
      <c r="LJG1338" s="4" t="s">
        <v>2882</v>
      </c>
      <c r="LJH1338" s="4" t="s">
        <v>2882</v>
      </c>
      <c r="LJI1338" s="4" t="s">
        <v>2882</v>
      </c>
      <c r="LJJ1338" s="4" t="s">
        <v>2882</v>
      </c>
      <c r="LJK1338" s="4" t="s">
        <v>2882</v>
      </c>
      <c r="LJL1338" s="4" t="s">
        <v>2882</v>
      </c>
      <c r="LJM1338" s="4" t="s">
        <v>2882</v>
      </c>
      <c r="LJN1338" s="4" t="s">
        <v>2882</v>
      </c>
      <c r="LJO1338" s="4" t="s">
        <v>2882</v>
      </c>
      <c r="LJP1338" s="4" t="s">
        <v>2882</v>
      </c>
      <c r="LJQ1338" s="4" t="s">
        <v>2882</v>
      </c>
      <c r="LJR1338" s="4" t="s">
        <v>2882</v>
      </c>
      <c r="LJS1338" s="4" t="s">
        <v>2882</v>
      </c>
      <c r="LJT1338" s="4" t="s">
        <v>2882</v>
      </c>
      <c r="LJU1338" s="4" t="s">
        <v>2882</v>
      </c>
      <c r="LJV1338" s="4" t="s">
        <v>2882</v>
      </c>
      <c r="LJW1338" s="4" t="s">
        <v>2882</v>
      </c>
      <c r="LJX1338" s="4" t="s">
        <v>2882</v>
      </c>
      <c r="LJY1338" s="4" t="s">
        <v>2882</v>
      </c>
      <c r="LJZ1338" s="4" t="s">
        <v>2882</v>
      </c>
      <c r="LKA1338" s="4" t="s">
        <v>2882</v>
      </c>
      <c r="LKB1338" s="4" t="s">
        <v>2882</v>
      </c>
      <c r="LKC1338" s="4" t="s">
        <v>2882</v>
      </c>
      <c r="LKD1338" s="4" t="s">
        <v>2882</v>
      </c>
      <c r="LKE1338" s="4" t="s">
        <v>2882</v>
      </c>
      <c r="LKF1338" s="4" t="s">
        <v>2882</v>
      </c>
      <c r="LKG1338" s="4" t="s">
        <v>2882</v>
      </c>
      <c r="LKH1338" s="4" t="s">
        <v>2882</v>
      </c>
      <c r="LKI1338" s="4" t="s">
        <v>2882</v>
      </c>
      <c r="LKJ1338" s="4" t="s">
        <v>2882</v>
      </c>
      <c r="LKK1338" s="4" t="s">
        <v>2882</v>
      </c>
      <c r="LKL1338" s="4" t="s">
        <v>2882</v>
      </c>
      <c r="LKM1338" s="4" t="s">
        <v>2882</v>
      </c>
      <c r="LKN1338" s="4" t="s">
        <v>2882</v>
      </c>
      <c r="LKO1338" s="4" t="s">
        <v>2882</v>
      </c>
      <c r="LKP1338" s="4" t="s">
        <v>2882</v>
      </c>
      <c r="LKQ1338" s="4" t="s">
        <v>2882</v>
      </c>
      <c r="LKR1338" s="4" t="s">
        <v>2882</v>
      </c>
      <c r="LKS1338" s="4" t="s">
        <v>2882</v>
      </c>
      <c r="LKT1338" s="4" t="s">
        <v>2882</v>
      </c>
      <c r="LKU1338" s="4" t="s">
        <v>2882</v>
      </c>
      <c r="LKV1338" s="4" t="s">
        <v>2882</v>
      </c>
      <c r="LKW1338" s="4" t="s">
        <v>2882</v>
      </c>
      <c r="LKX1338" s="4" t="s">
        <v>2882</v>
      </c>
      <c r="LKY1338" s="4" t="s">
        <v>2882</v>
      </c>
      <c r="LKZ1338" s="4" t="s">
        <v>2882</v>
      </c>
      <c r="LLA1338" s="4" t="s">
        <v>2882</v>
      </c>
      <c r="LLB1338" s="4" t="s">
        <v>2882</v>
      </c>
      <c r="LLC1338" s="4" t="s">
        <v>2882</v>
      </c>
      <c r="LLD1338" s="4" t="s">
        <v>2882</v>
      </c>
      <c r="LLE1338" s="4" t="s">
        <v>2882</v>
      </c>
      <c r="LLF1338" s="4" t="s">
        <v>2882</v>
      </c>
      <c r="LLG1338" s="4" t="s">
        <v>2882</v>
      </c>
      <c r="LLH1338" s="4" t="s">
        <v>2882</v>
      </c>
      <c r="LLI1338" s="4" t="s">
        <v>2882</v>
      </c>
      <c r="LLJ1338" s="4" t="s">
        <v>2882</v>
      </c>
      <c r="LLK1338" s="4" t="s">
        <v>2882</v>
      </c>
      <c r="LLL1338" s="4" t="s">
        <v>2882</v>
      </c>
      <c r="LLM1338" s="4" t="s">
        <v>2882</v>
      </c>
      <c r="LLN1338" s="4" t="s">
        <v>2882</v>
      </c>
      <c r="LLO1338" s="4" t="s">
        <v>2882</v>
      </c>
      <c r="LLP1338" s="4" t="s">
        <v>2882</v>
      </c>
      <c r="LLQ1338" s="4" t="s">
        <v>2882</v>
      </c>
      <c r="LLR1338" s="4" t="s">
        <v>2882</v>
      </c>
      <c r="LLS1338" s="4" t="s">
        <v>2882</v>
      </c>
      <c r="LLT1338" s="4" t="s">
        <v>2882</v>
      </c>
      <c r="LLU1338" s="4" t="s">
        <v>2882</v>
      </c>
      <c r="LLV1338" s="4" t="s">
        <v>2882</v>
      </c>
      <c r="LLW1338" s="4" t="s">
        <v>2882</v>
      </c>
      <c r="LLX1338" s="4" t="s">
        <v>2882</v>
      </c>
      <c r="LLY1338" s="4" t="s">
        <v>2882</v>
      </c>
      <c r="LLZ1338" s="4" t="s">
        <v>2882</v>
      </c>
      <c r="LMA1338" s="4" t="s">
        <v>2882</v>
      </c>
      <c r="LMB1338" s="4" t="s">
        <v>2882</v>
      </c>
      <c r="LMC1338" s="4" t="s">
        <v>2882</v>
      </c>
      <c r="LMD1338" s="4" t="s">
        <v>2882</v>
      </c>
      <c r="LME1338" s="4" t="s">
        <v>2882</v>
      </c>
      <c r="LMF1338" s="4" t="s">
        <v>2882</v>
      </c>
      <c r="LMG1338" s="4" t="s">
        <v>2882</v>
      </c>
      <c r="LMH1338" s="4" t="s">
        <v>2882</v>
      </c>
      <c r="LMI1338" s="4" t="s">
        <v>2882</v>
      </c>
      <c r="LMJ1338" s="4" t="s">
        <v>2882</v>
      </c>
      <c r="LMK1338" s="4" t="s">
        <v>2882</v>
      </c>
      <c r="LML1338" s="4" t="s">
        <v>2882</v>
      </c>
      <c r="LMM1338" s="4" t="s">
        <v>2882</v>
      </c>
      <c r="LMN1338" s="4" t="s">
        <v>2882</v>
      </c>
      <c r="LMO1338" s="4" t="s">
        <v>2882</v>
      </c>
      <c r="LMP1338" s="4" t="s">
        <v>2882</v>
      </c>
      <c r="LMQ1338" s="4" t="s">
        <v>2882</v>
      </c>
      <c r="LMR1338" s="4" t="s">
        <v>2882</v>
      </c>
      <c r="LMS1338" s="4" t="s">
        <v>2882</v>
      </c>
      <c r="LMT1338" s="4" t="s">
        <v>2882</v>
      </c>
      <c r="LMU1338" s="4" t="s">
        <v>2882</v>
      </c>
      <c r="LMV1338" s="4" t="s">
        <v>2882</v>
      </c>
      <c r="LMW1338" s="4" t="s">
        <v>2882</v>
      </c>
      <c r="LMX1338" s="4" t="s">
        <v>2882</v>
      </c>
      <c r="LMY1338" s="4" t="s">
        <v>2882</v>
      </c>
      <c r="LMZ1338" s="4" t="s">
        <v>2882</v>
      </c>
      <c r="LNA1338" s="4" t="s">
        <v>2882</v>
      </c>
      <c r="LNB1338" s="4" t="s">
        <v>2882</v>
      </c>
      <c r="LNC1338" s="4" t="s">
        <v>2882</v>
      </c>
      <c r="LND1338" s="4" t="s">
        <v>2882</v>
      </c>
      <c r="LNE1338" s="4" t="s">
        <v>2882</v>
      </c>
      <c r="LNF1338" s="4" t="s">
        <v>2882</v>
      </c>
      <c r="LNG1338" s="4" t="s">
        <v>2882</v>
      </c>
      <c r="LNH1338" s="4" t="s">
        <v>2882</v>
      </c>
      <c r="LNI1338" s="4" t="s">
        <v>2882</v>
      </c>
      <c r="LNJ1338" s="4" t="s">
        <v>2882</v>
      </c>
      <c r="LNK1338" s="4" t="s">
        <v>2882</v>
      </c>
      <c r="LNL1338" s="4" t="s">
        <v>2882</v>
      </c>
      <c r="LNM1338" s="4" t="s">
        <v>2882</v>
      </c>
      <c r="LNN1338" s="4" t="s">
        <v>2882</v>
      </c>
      <c r="LNO1338" s="4" t="s">
        <v>2882</v>
      </c>
      <c r="LNP1338" s="4" t="s">
        <v>2882</v>
      </c>
      <c r="LNQ1338" s="4" t="s">
        <v>2882</v>
      </c>
      <c r="LNR1338" s="4" t="s">
        <v>2882</v>
      </c>
      <c r="LNS1338" s="4" t="s">
        <v>2882</v>
      </c>
      <c r="LNT1338" s="4" t="s">
        <v>2882</v>
      </c>
      <c r="LNU1338" s="4" t="s">
        <v>2882</v>
      </c>
      <c r="LNV1338" s="4" t="s">
        <v>2882</v>
      </c>
      <c r="LNW1338" s="4" t="s">
        <v>2882</v>
      </c>
      <c r="LNX1338" s="4" t="s">
        <v>2882</v>
      </c>
      <c r="LNY1338" s="4" t="s">
        <v>2882</v>
      </c>
      <c r="LNZ1338" s="4" t="s">
        <v>2882</v>
      </c>
      <c r="LOA1338" s="4" t="s">
        <v>2882</v>
      </c>
      <c r="LOB1338" s="4" t="s">
        <v>2882</v>
      </c>
      <c r="LOC1338" s="4" t="s">
        <v>2882</v>
      </c>
      <c r="LOD1338" s="4" t="s">
        <v>2882</v>
      </c>
      <c r="LOE1338" s="4" t="s">
        <v>2882</v>
      </c>
      <c r="LOF1338" s="4" t="s">
        <v>2882</v>
      </c>
      <c r="LOG1338" s="4" t="s">
        <v>2882</v>
      </c>
      <c r="LOH1338" s="4" t="s">
        <v>2882</v>
      </c>
      <c r="LOI1338" s="4" t="s">
        <v>2882</v>
      </c>
      <c r="LOJ1338" s="4" t="s">
        <v>2882</v>
      </c>
      <c r="LOK1338" s="4" t="s">
        <v>2882</v>
      </c>
      <c r="LOL1338" s="4" t="s">
        <v>2882</v>
      </c>
      <c r="LOM1338" s="4" t="s">
        <v>2882</v>
      </c>
      <c r="LON1338" s="4" t="s">
        <v>2882</v>
      </c>
      <c r="LOO1338" s="4" t="s">
        <v>2882</v>
      </c>
      <c r="LOP1338" s="4" t="s">
        <v>2882</v>
      </c>
      <c r="LOQ1338" s="4" t="s">
        <v>2882</v>
      </c>
      <c r="LOR1338" s="4" t="s">
        <v>2882</v>
      </c>
      <c r="LOS1338" s="4" t="s">
        <v>2882</v>
      </c>
      <c r="LOT1338" s="4" t="s">
        <v>2882</v>
      </c>
      <c r="LOU1338" s="4" t="s">
        <v>2882</v>
      </c>
      <c r="LOV1338" s="4" t="s">
        <v>2882</v>
      </c>
      <c r="LOW1338" s="4" t="s">
        <v>2882</v>
      </c>
      <c r="LOX1338" s="4" t="s">
        <v>2882</v>
      </c>
      <c r="LOY1338" s="4" t="s">
        <v>2882</v>
      </c>
      <c r="LOZ1338" s="4" t="s">
        <v>2882</v>
      </c>
      <c r="LPA1338" s="4" t="s">
        <v>2882</v>
      </c>
      <c r="LPB1338" s="4" t="s">
        <v>2882</v>
      </c>
      <c r="LPC1338" s="4" t="s">
        <v>2882</v>
      </c>
      <c r="LPD1338" s="4" t="s">
        <v>2882</v>
      </c>
      <c r="LPE1338" s="4" t="s">
        <v>2882</v>
      </c>
      <c r="LPF1338" s="4" t="s">
        <v>2882</v>
      </c>
      <c r="LPG1338" s="4" t="s">
        <v>2882</v>
      </c>
      <c r="LPH1338" s="4" t="s">
        <v>2882</v>
      </c>
      <c r="LPI1338" s="4" t="s">
        <v>2882</v>
      </c>
      <c r="LPJ1338" s="4" t="s">
        <v>2882</v>
      </c>
      <c r="LPK1338" s="4" t="s">
        <v>2882</v>
      </c>
      <c r="LPL1338" s="4" t="s">
        <v>2882</v>
      </c>
      <c r="LPM1338" s="4" t="s">
        <v>2882</v>
      </c>
      <c r="LPN1338" s="4" t="s">
        <v>2882</v>
      </c>
      <c r="LPO1338" s="4" t="s">
        <v>2882</v>
      </c>
      <c r="LPP1338" s="4" t="s">
        <v>2882</v>
      </c>
      <c r="LPQ1338" s="4" t="s">
        <v>2882</v>
      </c>
      <c r="LPR1338" s="4" t="s">
        <v>2882</v>
      </c>
      <c r="LPS1338" s="4" t="s">
        <v>2882</v>
      </c>
      <c r="LPT1338" s="4" t="s">
        <v>2882</v>
      </c>
      <c r="LPU1338" s="4" t="s">
        <v>2882</v>
      </c>
      <c r="LPV1338" s="4" t="s">
        <v>2882</v>
      </c>
      <c r="LPW1338" s="4" t="s">
        <v>2882</v>
      </c>
      <c r="LPX1338" s="4" t="s">
        <v>2882</v>
      </c>
      <c r="LPY1338" s="4" t="s">
        <v>2882</v>
      </c>
      <c r="LPZ1338" s="4" t="s">
        <v>2882</v>
      </c>
      <c r="LQA1338" s="4" t="s">
        <v>2882</v>
      </c>
      <c r="LQB1338" s="4" t="s">
        <v>2882</v>
      </c>
      <c r="LQC1338" s="4" t="s">
        <v>2882</v>
      </c>
      <c r="LQD1338" s="4" t="s">
        <v>2882</v>
      </c>
      <c r="LQE1338" s="4" t="s">
        <v>2882</v>
      </c>
      <c r="LQF1338" s="4" t="s">
        <v>2882</v>
      </c>
      <c r="LQG1338" s="4" t="s">
        <v>2882</v>
      </c>
      <c r="LQH1338" s="4" t="s">
        <v>2882</v>
      </c>
      <c r="LQI1338" s="4" t="s">
        <v>2882</v>
      </c>
      <c r="LQJ1338" s="4" t="s">
        <v>2882</v>
      </c>
      <c r="LQK1338" s="4" t="s">
        <v>2882</v>
      </c>
      <c r="LQL1338" s="4" t="s">
        <v>2882</v>
      </c>
      <c r="LQM1338" s="4" t="s">
        <v>2882</v>
      </c>
      <c r="LQN1338" s="4" t="s">
        <v>2882</v>
      </c>
      <c r="LQO1338" s="4" t="s">
        <v>2882</v>
      </c>
      <c r="LQP1338" s="4" t="s">
        <v>2882</v>
      </c>
      <c r="LQQ1338" s="4" t="s">
        <v>2882</v>
      </c>
      <c r="LQR1338" s="4" t="s">
        <v>2882</v>
      </c>
      <c r="LQS1338" s="4" t="s">
        <v>2882</v>
      </c>
      <c r="LQT1338" s="4" t="s">
        <v>2882</v>
      </c>
      <c r="LQU1338" s="4" t="s">
        <v>2882</v>
      </c>
      <c r="LQV1338" s="4" t="s">
        <v>2882</v>
      </c>
      <c r="LQW1338" s="4" t="s">
        <v>2882</v>
      </c>
      <c r="LQX1338" s="4" t="s">
        <v>2882</v>
      </c>
      <c r="LQY1338" s="4" t="s">
        <v>2882</v>
      </c>
      <c r="LQZ1338" s="4" t="s">
        <v>2882</v>
      </c>
      <c r="LRA1338" s="4" t="s">
        <v>2882</v>
      </c>
      <c r="LRB1338" s="4" t="s">
        <v>2882</v>
      </c>
      <c r="LRC1338" s="4" t="s">
        <v>2882</v>
      </c>
      <c r="LRD1338" s="4" t="s">
        <v>2882</v>
      </c>
      <c r="LRE1338" s="4" t="s">
        <v>2882</v>
      </c>
      <c r="LRF1338" s="4" t="s">
        <v>2882</v>
      </c>
      <c r="LRG1338" s="4" t="s">
        <v>2882</v>
      </c>
      <c r="LRH1338" s="4" t="s">
        <v>2882</v>
      </c>
      <c r="LRI1338" s="4" t="s">
        <v>2882</v>
      </c>
      <c r="LRJ1338" s="4" t="s">
        <v>2882</v>
      </c>
      <c r="LRK1338" s="4" t="s">
        <v>2882</v>
      </c>
      <c r="LRL1338" s="4" t="s">
        <v>2882</v>
      </c>
      <c r="LRM1338" s="4" t="s">
        <v>2882</v>
      </c>
      <c r="LRN1338" s="4" t="s">
        <v>2882</v>
      </c>
      <c r="LRO1338" s="4" t="s">
        <v>2882</v>
      </c>
      <c r="LRP1338" s="4" t="s">
        <v>2882</v>
      </c>
      <c r="LRQ1338" s="4" t="s">
        <v>2882</v>
      </c>
      <c r="LRR1338" s="4" t="s">
        <v>2882</v>
      </c>
      <c r="LRS1338" s="4" t="s">
        <v>2882</v>
      </c>
      <c r="LRT1338" s="4" t="s">
        <v>2882</v>
      </c>
      <c r="LRU1338" s="4" t="s">
        <v>2882</v>
      </c>
      <c r="LRV1338" s="4" t="s">
        <v>2882</v>
      </c>
      <c r="LRW1338" s="4" t="s">
        <v>2882</v>
      </c>
      <c r="LRX1338" s="4" t="s">
        <v>2882</v>
      </c>
      <c r="LRY1338" s="4" t="s">
        <v>2882</v>
      </c>
      <c r="LRZ1338" s="4" t="s">
        <v>2882</v>
      </c>
      <c r="LSA1338" s="4" t="s">
        <v>2882</v>
      </c>
      <c r="LSB1338" s="4" t="s">
        <v>2882</v>
      </c>
      <c r="LSC1338" s="4" t="s">
        <v>2882</v>
      </c>
      <c r="LSD1338" s="4" t="s">
        <v>2882</v>
      </c>
      <c r="LSE1338" s="4" t="s">
        <v>2882</v>
      </c>
      <c r="LSF1338" s="4" t="s">
        <v>2882</v>
      </c>
      <c r="LSG1338" s="4" t="s">
        <v>2882</v>
      </c>
      <c r="LSH1338" s="4" t="s">
        <v>2882</v>
      </c>
      <c r="LSI1338" s="4" t="s">
        <v>2882</v>
      </c>
      <c r="LSJ1338" s="4" t="s">
        <v>2882</v>
      </c>
      <c r="LSK1338" s="4" t="s">
        <v>2882</v>
      </c>
      <c r="LSL1338" s="4" t="s">
        <v>2882</v>
      </c>
      <c r="LSM1338" s="4" t="s">
        <v>2882</v>
      </c>
      <c r="LSN1338" s="4" t="s">
        <v>2882</v>
      </c>
      <c r="LSO1338" s="4" t="s">
        <v>2882</v>
      </c>
      <c r="LSP1338" s="4" t="s">
        <v>2882</v>
      </c>
      <c r="LSQ1338" s="4" t="s">
        <v>2882</v>
      </c>
      <c r="LSR1338" s="4" t="s">
        <v>2882</v>
      </c>
      <c r="LSS1338" s="4" t="s">
        <v>2882</v>
      </c>
      <c r="LST1338" s="4" t="s">
        <v>2882</v>
      </c>
      <c r="LSU1338" s="4" t="s">
        <v>2882</v>
      </c>
      <c r="LSV1338" s="4" t="s">
        <v>2882</v>
      </c>
      <c r="LSW1338" s="4" t="s">
        <v>2882</v>
      </c>
      <c r="LSX1338" s="4" t="s">
        <v>2882</v>
      </c>
      <c r="LSY1338" s="4" t="s">
        <v>2882</v>
      </c>
      <c r="LSZ1338" s="4" t="s">
        <v>2882</v>
      </c>
      <c r="LTA1338" s="4" t="s">
        <v>2882</v>
      </c>
      <c r="LTB1338" s="4" t="s">
        <v>2882</v>
      </c>
      <c r="LTC1338" s="4" t="s">
        <v>2882</v>
      </c>
      <c r="LTD1338" s="4" t="s">
        <v>2882</v>
      </c>
      <c r="LTE1338" s="4" t="s">
        <v>2882</v>
      </c>
      <c r="LTF1338" s="4" t="s">
        <v>2882</v>
      </c>
      <c r="LTG1338" s="4" t="s">
        <v>2882</v>
      </c>
      <c r="LTH1338" s="4" t="s">
        <v>2882</v>
      </c>
      <c r="LTI1338" s="4" t="s">
        <v>2882</v>
      </c>
      <c r="LTJ1338" s="4" t="s">
        <v>2882</v>
      </c>
      <c r="LTK1338" s="4" t="s">
        <v>2882</v>
      </c>
      <c r="LTL1338" s="4" t="s">
        <v>2882</v>
      </c>
      <c r="LTM1338" s="4" t="s">
        <v>2882</v>
      </c>
      <c r="LTN1338" s="4" t="s">
        <v>2882</v>
      </c>
      <c r="LTO1338" s="4" t="s">
        <v>2882</v>
      </c>
      <c r="LTP1338" s="4" t="s">
        <v>2882</v>
      </c>
      <c r="LTQ1338" s="4" t="s">
        <v>2882</v>
      </c>
      <c r="LTR1338" s="4" t="s">
        <v>2882</v>
      </c>
      <c r="LTS1338" s="4" t="s">
        <v>2882</v>
      </c>
      <c r="LTT1338" s="4" t="s">
        <v>2882</v>
      </c>
      <c r="LTU1338" s="4" t="s">
        <v>2882</v>
      </c>
      <c r="LTV1338" s="4" t="s">
        <v>2882</v>
      </c>
      <c r="LTW1338" s="4" t="s">
        <v>2882</v>
      </c>
      <c r="LTX1338" s="4" t="s">
        <v>2882</v>
      </c>
      <c r="LTY1338" s="4" t="s">
        <v>2882</v>
      </c>
      <c r="LTZ1338" s="4" t="s">
        <v>2882</v>
      </c>
      <c r="LUA1338" s="4" t="s">
        <v>2882</v>
      </c>
      <c r="LUB1338" s="4" t="s">
        <v>2882</v>
      </c>
      <c r="LUC1338" s="4" t="s">
        <v>2882</v>
      </c>
      <c r="LUD1338" s="4" t="s">
        <v>2882</v>
      </c>
      <c r="LUE1338" s="4" t="s">
        <v>2882</v>
      </c>
      <c r="LUF1338" s="4" t="s">
        <v>2882</v>
      </c>
      <c r="LUG1338" s="4" t="s">
        <v>2882</v>
      </c>
      <c r="LUH1338" s="4" t="s">
        <v>2882</v>
      </c>
      <c r="LUI1338" s="4" t="s">
        <v>2882</v>
      </c>
      <c r="LUJ1338" s="4" t="s">
        <v>2882</v>
      </c>
      <c r="LUK1338" s="4" t="s">
        <v>2882</v>
      </c>
      <c r="LUL1338" s="4" t="s">
        <v>2882</v>
      </c>
      <c r="LUM1338" s="4" t="s">
        <v>2882</v>
      </c>
      <c r="LUN1338" s="4" t="s">
        <v>2882</v>
      </c>
      <c r="LUO1338" s="4" t="s">
        <v>2882</v>
      </c>
      <c r="LUP1338" s="4" t="s">
        <v>2882</v>
      </c>
      <c r="LUQ1338" s="4" t="s">
        <v>2882</v>
      </c>
      <c r="LUR1338" s="4" t="s">
        <v>2882</v>
      </c>
      <c r="LUS1338" s="4" t="s">
        <v>2882</v>
      </c>
      <c r="LUT1338" s="4" t="s">
        <v>2882</v>
      </c>
      <c r="LUU1338" s="4" t="s">
        <v>2882</v>
      </c>
      <c r="LUV1338" s="4" t="s">
        <v>2882</v>
      </c>
      <c r="LUW1338" s="4" t="s">
        <v>2882</v>
      </c>
      <c r="LUX1338" s="4" t="s">
        <v>2882</v>
      </c>
      <c r="LUY1338" s="4" t="s">
        <v>2882</v>
      </c>
      <c r="LUZ1338" s="4" t="s">
        <v>2882</v>
      </c>
      <c r="LVA1338" s="4" t="s">
        <v>2882</v>
      </c>
      <c r="LVB1338" s="4" t="s">
        <v>2882</v>
      </c>
      <c r="LVC1338" s="4" t="s">
        <v>2882</v>
      </c>
      <c r="LVD1338" s="4" t="s">
        <v>2882</v>
      </c>
      <c r="LVE1338" s="4" t="s">
        <v>2882</v>
      </c>
      <c r="LVF1338" s="4" t="s">
        <v>2882</v>
      </c>
      <c r="LVG1338" s="4" t="s">
        <v>2882</v>
      </c>
      <c r="LVH1338" s="4" t="s">
        <v>2882</v>
      </c>
      <c r="LVI1338" s="4" t="s">
        <v>2882</v>
      </c>
      <c r="LVJ1338" s="4" t="s">
        <v>2882</v>
      </c>
      <c r="LVK1338" s="4" t="s">
        <v>2882</v>
      </c>
      <c r="LVL1338" s="4" t="s">
        <v>2882</v>
      </c>
      <c r="LVM1338" s="4" t="s">
        <v>2882</v>
      </c>
      <c r="LVN1338" s="4" t="s">
        <v>2882</v>
      </c>
      <c r="LVO1338" s="4" t="s">
        <v>2882</v>
      </c>
      <c r="LVP1338" s="4" t="s">
        <v>2882</v>
      </c>
      <c r="LVQ1338" s="4" t="s">
        <v>2882</v>
      </c>
      <c r="LVR1338" s="4" t="s">
        <v>2882</v>
      </c>
      <c r="LVS1338" s="4" t="s">
        <v>2882</v>
      </c>
      <c r="LVT1338" s="4" t="s">
        <v>2882</v>
      </c>
      <c r="LVU1338" s="4" t="s">
        <v>2882</v>
      </c>
      <c r="LVV1338" s="4" t="s">
        <v>2882</v>
      </c>
      <c r="LVW1338" s="4" t="s">
        <v>2882</v>
      </c>
      <c r="LVX1338" s="4" t="s">
        <v>2882</v>
      </c>
      <c r="LVY1338" s="4" t="s">
        <v>2882</v>
      </c>
      <c r="LVZ1338" s="4" t="s">
        <v>2882</v>
      </c>
      <c r="LWA1338" s="4" t="s">
        <v>2882</v>
      </c>
      <c r="LWB1338" s="4" t="s">
        <v>2882</v>
      </c>
      <c r="LWC1338" s="4" t="s">
        <v>2882</v>
      </c>
      <c r="LWD1338" s="4" t="s">
        <v>2882</v>
      </c>
      <c r="LWE1338" s="4" t="s">
        <v>2882</v>
      </c>
      <c r="LWF1338" s="4" t="s">
        <v>2882</v>
      </c>
      <c r="LWG1338" s="4" t="s">
        <v>2882</v>
      </c>
      <c r="LWH1338" s="4" t="s">
        <v>2882</v>
      </c>
      <c r="LWI1338" s="4" t="s">
        <v>2882</v>
      </c>
      <c r="LWJ1338" s="4" t="s">
        <v>2882</v>
      </c>
      <c r="LWK1338" s="4" t="s">
        <v>2882</v>
      </c>
      <c r="LWL1338" s="4" t="s">
        <v>2882</v>
      </c>
      <c r="LWM1338" s="4" t="s">
        <v>2882</v>
      </c>
      <c r="LWN1338" s="4" t="s">
        <v>2882</v>
      </c>
      <c r="LWO1338" s="4" t="s">
        <v>2882</v>
      </c>
      <c r="LWP1338" s="4" t="s">
        <v>2882</v>
      </c>
      <c r="LWQ1338" s="4" t="s">
        <v>2882</v>
      </c>
      <c r="LWR1338" s="4" t="s">
        <v>2882</v>
      </c>
      <c r="LWS1338" s="4" t="s">
        <v>2882</v>
      </c>
      <c r="LWT1338" s="4" t="s">
        <v>2882</v>
      </c>
      <c r="LWU1338" s="4" t="s">
        <v>2882</v>
      </c>
      <c r="LWV1338" s="4" t="s">
        <v>2882</v>
      </c>
      <c r="LWW1338" s="4" t="s">
        <v>2882</v>
      </c>
      <c r="LWX1338" s="4" t="s">
        <v>2882</v>
      </c>
      <c r="LWY1338" s="4" t="s">
        <v>2882</v>
      </c>
      <c r="LWZ1338" s="4" t="s">
        <v>2882</v>
      </c>
      <c r="LXA1338" s="4" t="s">
        <v>2882</v>
      </c>
      <c r="LXB1338" s="4" t="s">
        <v>2882</v>
      </c>
      <c r="LXC1338" s="4" t="s">
        <v>2882</v>
      </c>
      <c r="LXD1338" s="4" t="s">
        <v>2882</v>
      </c>
      <c r="LXE1338" s="4" t="s">
        <v>2882</v>
      </c>
      <c r="LXF1338" s="4" t="s">
        <v>2882</v>
      </c>
      <c r="LXG1338" s="4" t="s">
        <v>2882</v>
      </c>
      <c r="LXH1338" s="4" t="s">
        <v>2882</v>
      </c>
      <c r="LXI1338" s="4" t="s">
        <v>2882</v>
      </c>
      <c r="LXJ1338" s="4" t="s">
        <v>2882</v>
      </c>
      <c r="LXK1338" s="4" t="s">
        <v>2882</v>
      </c>
      <c r="LXL1338" s="4" t="s">
        <v>2882</v>
      </c>
      <c r="LXM1338" s="4" t="s">
        <v>2882</v>
      </c>
      <c r="LXN1338" s="4" t="s">
        <v>2882</v>
      </c>
      <c r="LXO1338" s="4" t="s">
        <v>2882</v>
      </c>
      <c r="LXP1338" s="4" t="s">
        <v>2882</v>
      </c>
      <c r="LXQ1338" s="4" t="s">
        <v>2882</v>
      </c>
      <c r="LXR1338" s="4" t="s">
        <v>2882</v>
      </c>
      <c r="LXS1338" s="4" t="s">
        <v>2882</v>
      </c>
      <c r="LXT1338" s="4" t="s">
        <v>2882</v>
      </c>
      <c r="LXU1338" s="4" t="s">
        <v>2882</v>
      </c>
      <c r="LXV1338" s="4" t="s">
        <v>2882</v>
      </c>
      <c r="LXW1338" s="4" t="s">
        <v>2882</v>
      </c>
      <c r="LXX1338" s="4" t="s">
        <v>2882</v>
      </c>
      <c r="LXY1338" s="4" t="s">
        <v>2882</v>
      </c>
      <c r="LXZ1338" s="4" t="s">
        <v>2882</v>
      </c>
      <c r="LYA1338" s="4" t="s">
        <v>2882</v>
      </c>
      <c r="LYB1338" s="4" t="s">
        <v>2882</v>
      </c>
      <c r="LYC1338" s="4" t="s">
        <v>2882</v>
      </c>
      <c r="LYD1338" s="4" t="s">
        <v>2882</v>
      </c>
      <c r="LYE1338" s="4" t="s">
        <v>2882</v>
      </c>
      <c r="LYF1338" s="4" t="s">
        <v>2882</v>
      </c>
      <c r="LYG1338" s="4" t="s">
        <v>2882</v>
      </c>
      <c r="LYH1338" s="4" t="s">
        <v>2882</v>
      </c>
      <c r="LYI1338" s="4" t="s">
        <v>2882</v>
      </c>
      <c r="LYJ1338" s="4" t="s">
        <v>2882</v>
      </c>
      <c r="LYK1338" s="4" t="s">
        <v>2882</v>
      </c>
      <c r="LYL1338" s="4" t="s">
        <v>2882</v>
      </c>
      <c r="LYM1338" s="4" t="s">
        <v>2882</v>
      </c>
      <c r="LYN1338" s="4" t="s">
        <v>2882</v>
      </c>
      <c r="LYO1338" s="4" t="s">
        <v>2882</v>
      </c>
      <c r="LYP1338" s="4" t="s">
        <v>2882</v>
      </c>
      <c r="LYQ1338" s="4" t="s">
        <v>2882</v>
      </c>
      <c r="LYR1338" s="4" t="s">
        <v>2882</v>
      </c>
      <c r="LYS1338" s="4" t="s">
        <v>2882</v>
      </c>
      <c r="LYT1338" s="4" t="s">
        <v>2882</v>
      </c>
      <c r="LYU1338" s="4" t="s">
        <v>2882</v>
      </c>
      <c r="LYV1338" s="4" t="s">
        <v>2882</v>
      </c>
      <c r="LYW1338" s="4" t="s">
        <v>2882</v>
      </c>
      <c r="LYX1338" s="4" t="s">
        <v>2882</v>
      </c>
      <c r="LYY1338" s="4" t="s">
        <v>2882</v>
      </c>
      <c r="LYZ1338" s="4" t="s">
        <v>2882</v>
      </c>
      <c r="LZA1338" s="4" t="s">
        <v>2882</v>
      </c>
      <c r="LZB1338" s="4" t="s">
        <v>2882</v>
      </c>
      <c r="LZC1338" s="4" t="s">
        <v>2882</v>
      </c>
      <c r="LZD1338" s="4" t="s">
        <v>2882</v>
      </c>
      <c r="LZE1338" s="4" t="s">
        <v>2882</v>
      </c>
      <c r="LZF1338" s="4" t="s">
        <v>2882</v>
      </c>
      <c r="LZG1338" s="4" t="s">
        <v>2882</v>
      </c>
      <c r="LZH1338" s="4" t="s">
        <v>2882</v>
      </c>
      <c r="LZI1338" s="4" t="s">
        <v>2882</v>
      </c>
      <c r="LZJ1338" s="4" t="s">
        <v>2882</v>
      </c>
      <c r="LZK1338" s="4" t="s">
        <v>2882</v>
      </c>
      <c r="LZL1338" s="4" t="s">
        <v>2882</v>
      </c>
      <c r="LZM1338" s="4" t="s">
        <v>2882</v>
      </c>
      <c r="LZN1338" s="4" t="s">
        <v>2882</v>
      </c>
      <c r="LZO1338" s="4" t="s">
        <v>2882</v>
      </c>
      <c r="LZP1338" s="4" t="s">
        <v>2882</v>
      </c>
      <c r="LZQ1338" s="4" t="s">
        <v>2882</v>
      </c>
      <c r="LZR1338" s="4" t="s">
        <v>2882</v>
      </c>
      <c r="LZS1338" s="4" t="s">
        <v>2882</v>
      </c>
      <c r="LZT1338" s="4" t="s">
        <v>2882</v>
      </c>
      <c r="LZU1338" s="4" t="s">
        <v>2882</v>
      </c>
      <c r="LZV1338" s="4" t="s">
        <v>2882</v>
      </c>
      <c r="LZW1338" s="4" t="s">
        <v>2882</v>
      </c>
      <c r="LZX1338" s="4" t="s">
        <v>2882</v>
      </c>
      <c r="LZY1338" s="4" t="s">
        <v>2882</v>
      </c>
      <c r="LZZ1338" s="4" t="s">
        <v>2882</v>
      </c>
      <c r="MAA1338" s="4" t="s">
        <v>2882</v>
      </c>
      <c r="MAB1338" s="4" t="s">
        <v>2882</v>
      </c>
      <c r="MAC1338" s="4" t="s">
        <v>2882</v>
      </c>
      <c r="MAD1338" s="4" t="s">
        <v>2882</v>
      </c>
      <c r="MAE1338" s="4" t="s">
        <v>2882</v>
      </c>
      <c r="MAF1338" s="4" t="s">
        <v>2882</v>
      </c>
      <c r="MAG1338" s="4" t="s">
        <v>2882</v>
      </c>
      <c r="MAH1338" s="4" t="s">
        <v>2882</v>
      </c>
      <c r="MAI1338" s="4" t="s">
        <v>2882</v>
      </c>
      <c r="MAJ1338" s="4" t="s">
        <v>2882</v>
      </c>
      <c r="MAK1338" s="4" t="s">
        <v>2882</v>
      </c>
      <c r="MAL1338" s="4" t="s">
        <v>2882</v>
      </c>
      <c r="MAM1338" s="4" t="s">
        <v>2882</v>
      </c>
      <c r="MAN1338" s="4" t="s">
        <v>2882</v>
      </c>
      <c r="MAO1338" s="4" t="s">
        <v>2882</v>
      </c>
      <c r="MAP1338" s="4" t="s">
        <v>2882</v>
      </c>
      <c r="MAQ1338" s="4" t="s">
        <v>2882</v>
      </c>
      <c r="MAR1338" s="4" t="s">
        <v>2882</v>
      </c>
      <c r="MAS1338" s="4" t="s">
        <v>2882</v>
      </c>
      <c r="MAT1338" s="4" t="s">
        <v>2882</v>
      </c>
      <c r="MAU1338" s="4" t="s">
        <v>2882</v>
      </c>
      <c r="MAV1338" s="4" t="s">
        <v>2882</v>
      </c>
      <c r="MAW1338" s="4" t="s">
        <v>2882</v>
      </c>
      <c r="MAX1338" s="4" t="s">
        <v>2882</v>
      </c>
      <c r="MAY1338" s="4" t="s">
        <v>2882</v>
      </c>
      <c r="MAZ1338" s="4" t="s">
        <v>2882</v>
      </c>
      <c r="MBA1338" s="4" t="s">
        <v>2882</v>
      </c>
      <c r="MBB1338" s="4" t="s">
        <v>2882</v>
      </c>
      <c r="MBC1338" s="4" t="s">
        <v>2882</v>
      </c>
      <c r="MBD1338" s="4" t="s">
        <v>2882</v>
      </c>
      <c r="MBE1338" s="4" t="s">
        <v>2882</v>
      </c>
      <c r="MBF1338" s="4" t="s">
        <v>2882</v>
      </c>
      <c r="MBG1338" s="4" t="s">
        <v>2882</v>
      </c>
      <c r="MBH1338" s="4" t="s">
        <v>2882</v>
      </c>
      <c r="MBI1338" s="4" t="s">
        <v>2882</v>
      </c>
      <c r="MBJ1338" s="4" t="s">
        <v>2882</v>
      </c>
      <c r="MBK1338" s="4" t="s">
        <v>2882</v>
      </c>
      <c r="MBL1338" s="4" t="s">
        <v>2882</v>
      </c>
      <c r="MBM1338" s="4" t="s">
        <v>2882</v>
      </c>
      <c r="MBN1338" s="4" t="s">
        <v>2882</v>
      </c>
      <c r="MBO1338" s="4" t="s">
        <v>2882</v>
      </c>
      <c r="MBP1338" s="4" t="s">
        <v>2882</v>
      </c>
      <c r="MBQ1338" s="4" t="s">
        <v>2882</v>
      </c>
      <c r="MBR1338" s="4" t="s">
        <v>2882</v>
      </c>
      <c r="MBS1338" s="4" t="s">
        <v>2882</v>
      </c>
      <c r="MBT1338" s="4" t="s">
        <v>2882</v>
      </c>
      <c r="MBU1338" s="4" t="s">
        <v>2882</v>
      </c>
      <c r="MBV1338" s="4" t="s">
        <v>2882</v>
      </c>
      <c r="MBW1338" s="4" t="s">
        <v>2882</v>
      </c>
      <c r="MBX1338" s="4" t="s">
        <v>2882</v>
      </c>
      <c r="MBY1338" s="4" t="s">
        <v>2882</v>
      </c>
      <c r="MBZ1338" s="4" t="s">
        <v>2882</v>
      </c>
      <c r="MCA1338" s="4" t="s">
        <v>2882</v>
      </c>
      <c r="MCB1338" s="4" t="s">
        <v>2882</v>
      </c>
      <c r="MCC1338" s="4" t="s">
        <v>2882</v>
      </c>
      <c r="MCD1338" s="4" t="s">
        <v>2882</v>
      </c>
      <c r="MCE1338" s="4" t="s">
        <v>2882</v>
      </c>
      <c r="MCF1338" s="4" t="s">
        <v>2882</v>
      </c>
      <c r="MCG1338" s="4" t="s">
        <v>2882</v>
      </c>
      <c r="MCH1338" s="4" t="s">
        <v>2882</v>
      </c>
      <c r="MCI1338" s="4" t="s">
        <v>2882</v>
      </c>
      <c r="MCJ1338" s="4" t="s">
        <v>2882</v>
      </c>
      <c r="MCK1338" s="4" t="s">
        <v>2882</v>
      </c>
      <c r="MCL1338" s="4" t="s">
        <v>2882</v>
      </c>
      <c r="MCM1338" s="4" t="s">
        <v>2882</v>
      </c>
      <c r="MCN1338" s="4" t="s">
        <v>2882</v>
      </c>
      <c r="MCO1338" s="4" t="s">
        <v>2882</v>
      </c>
      <c r="MCP1338" s="4" t="s">
        <v>2882</v>
      </c>
      <c r="MCQ1338" s="4" t="s">
        <v>2882</v>
      </c>
      <c r="MCR1338" s="4" t="s">
        <v>2882</v>
      </c>
      <c r="MCS1338" s="4" t="s">
        <v>2882</v>
      </c>
      <c r="MCT1338" s="4" t="s">
        <v>2882</v>
      </c>
      <c r="MCU1338" s="4" t="s">
        <v>2882</v>
      </c>
      <c r="MCV1338" s="4" t="s">
        <v>2882</v>
      </c>
      <c r="MCW1338" s="4" t="s">
        <v>2882</v>
      </c>
      <c r="MCX1338" s="4" t="s">
        <v>2882</v>
      </c>
      <c r="MCY1338" s="4" t="s">
        <v>2882</v>
      </c>
      <c r="MCZ1338" s="4" t="s">
        <v>2882</v>
      </c>
      <c r="MDA1338" s="4" t="s">
        <v>2882</v>
      </c>
      <c r="MDB1338" s="4" t="s">
        <v>2882</v>
      </c>
      <c r="MDC1338" s="4" t="s">
        <v>2882</v>
      </c>
      <c r="MDD1338" s="4" t="s">
        <v>2882</v>
      </c>
      <c r="MDE1338" s="4" t="s">
        <v>2882</v>
      </c>
      <c r="MDF1338" s="4" t="s">
        <v>2882</v>
      </c>
      <c r="MDG1338" s="4" t="s">
        <v>2882</v>
      </c>
      <c r="MDH1338" s="4" t="s">
        <v>2882</v>
      </c>
      <c r="MDI1338" s="4" t="s">
        <v>2882</v>
      </c>
      <c r="MDJ1338" s="4" t="s">
        <v>2882</v>
      </c>
      <c r="MDK1338" s="4" t="s">
        <v>2882</v>
      </c>
      <c r="MDL1338" s="4" t="s">
        <v>2882</v>
      </c>
      <c r="MDM1338" s="4" t="s">
        <v>2882</v>
      </c>
      <c r="MDN1338" s="4" t="s">
        <v>2882</v>
      </c>
      <c r="MDO1338" s="4" t="s">
        <v>2882</v>
      </c>
      <c r="MDP1338" s="4" t="s">
        <v>2882</v>
      </c>
      <c r="MDQ1338" s="4" t="s">
        <v>2882</v>
      </c>
      <c r="MDR1338" s="4" t="s">
        <v>2882</v>
      </c>
      <c r="MDS1338" s="4" t="s">
        <v>2882</v>
      </c>
      <c r="MDT1338" s="4" t="s">
        <v>2882</v>
      </c>
      <c r="MDU1338" s="4" t="s">
        <v>2882</v>
      </c>
      <c r="MDV1338" s="4" t="s">
        <v>2882</v>
      </c>
      <c r="MDW1338" s="4" t="s">
        <v>2882</v>
      </c>
      <c r="MDX1338" s="4" t="s">
        <v>2882</v>
      </c>
      <c r="MDY1338" s="4" t="s">
        <v>2882</v>
      </c>
      <c r="MDZ1338" s="4" t="s">
        <v>2882</v>
      </c>
      <c r="MEA1338" s="4" t="s">
        <v>2882</v>
      </c>
      <c r="MEB1338" s="4" t="s">
        <v>2882</v>
      </c>
      <c r="MEC1338" s="4" t="s">
        <v>2882</v>
      </c>
      <c r="MED1338" s="4" t="s">
        <v>2882</v>
      </c>
      <c r="MEE1338" s="4" t="s">
        <v>2882</v>
      </c>
      <c r="MEF1338" s="4" t="s">
        <v>2882</v>
      </c>
      <c r="MEG1338" s="4" t="s">
        <v>2882</v>
      </c>
      <c r="MEH1338" s="4" t="s">
        <v>2882</v>
      </c>
      <c r="MEI1338" s="4" t="s">
        <v>2882</v>
      </c>
      <c r="MEJ1338" s="4" t="s">
        <v>2882</v>
      </c>
      <c r="MEK1338" s="4" t="s">
        <v>2882</v>
      </c>
      <c r="MEL1338" s="4" t="s">
        <v>2882</v>
      </c>
      <c r="MEM1338" s="4" t="s">
        <v>2882</v>
      </c>
      <c r="MEN1338" s="4" t="s">
        <v>2882</v>
      </c>
      <c r="MEO1338" s="4" t="s">
        <v>2882</v>
      </c>
      <c r="MEP1338" s="4" t="s">
        <v>2882</v>
      </c>
      <c r="MEQ1338" s="4" t="s">
        <v>2882</v>
      </c>
      <c r="MER1338" s="4" t="s">
        <v>2882</v>
      </c>
      <c r="MES1338" s="4" t="s">
        <v>2882</v>
      </c>
      <c r="MET1338" s="4" t="s">
        <v>2882</v>
      </c>
      <c r="MEU1338" s="4" t="s">
        <v>2882</v>
      </c>
      <c r="MEV1338" s="4" t="s">
        <v>2882</v>
      </c>
      <c r="MEW1338" s="4" t="s">
        <v>2882</v>
      </c>
      <c r="MEX1338" s="4" t="s">
        <v>2882</v>
      </c>
      <c r="MEY1338" s="4" t="s">
        <v>2882</v>
      </c>
      <c r="MEZ1338" s="4" t="s">
        <v>2882</v>
      </c>
      <c r="MFA1338" s="4" t="s">
        <v>2882</v>
      </c>
      <c r="MFB1338" s="4" t="s">
        <v>2882</v>
      </c>
      <c r="MFC1338" s="4" t="s">
        <v>2882</v>
      </c>
      <c r="MFD1338" s="4" t="s">
        <v>2882</v>
      </c>
      <c r="MFE1338" s="4" t="s">
        <v>2882</v>
      </c>
      <c r="MFF1338" s="4" t="s">
        <v>2882</v>
      </c>
      <c r="MFG1338" s="4" t="s">
        <v>2882</v>
      </c>
      <c r="MFH1338" s="4" t="s">
        <v>2882</v>
      </c>
      <c r="MFI1338" s="4" t="s">
        <v>2882</v>
      </c>
      <c r="MFJ1338" s="4" t="s">
        <v>2882</v>
      </c>
      <c r="MFK1338" s="4" t="s">
        <v>2882</v>
      </c>
      <c r="MFL1338" s="4" t="s">
        <v>2882</v>
      </c>
      <c r="MFM1338" s="4" t="s">
        <v>2882</v>
      </c>
      <c r="MFN1338" s="4" t="s">
        <v>2882</v>
      </c>
      <c r="MFO1338" s="4" t="s">
        <v>2882</v>
      </c>
      <c r="MFP1338" s="4" t="s">
        <v>2882</v>
      </c>
      <c r="MFQ1338" s="4" t="s">
        <v>2882</v>
      </c>
      <c r="MFR1338" s="4" t="s">
        <v>2882</v>
      </c>
      <c r="MFS1338" s="4" t="s">
        <v>2882</v>
      </c>
      <c r="MFT1338" s="4" t="s">
        <v>2882</v>
      </c>
      <c r="MFU1338" s="4" t="s">
        <v>2882</v>
      </c>
      <c r="MFV1338" s="4" t="s">
        <v>2882</v>
      </c>
      <c r="MFW1338" s="4" t="s">
        <v>2882</v>
      </c>
      <c r="MFX1338" s="4" t="s">
        <v>2882</v>
      </c>
      <c r="MFY1338" s="4" t="s">
        <v>2882</v>
      </c>
      <c r="MFZ1338" s="4" t="s">
        <v>2882</v>
      </c>
      <c r="MGA1338" s="4" t="s">
        <v>2882</v>
      </c>
      <c r="MGB1338" s="4" t="s">
        <v>2882</v>
      </c>
      <c r="MGC1338" s="4" t="s">
        <v>2882</v>
      </c>
      <c r="MGD1338" s="4" t="s">
        <v>2882</v>
      </c>
      <c r="MGE1338" s="4" t="s">
        <v>2882</v>
      </c>
      <c r="MGF1338" s="4" t="s">
        <v>2882</v>
      </c>
      <c r="MGG1338" s="4" t="s">
        <v>2882</v>
      </c>
      <c r="MGH1338" s="4" t="s">
        <v>2882</v>
      </c>
      <c r="MGI1338" s="4" t="s">
        <v>2882</v>
      </c>
      <c r="MGJ1338" s="4" t="s">
        <v>2882</v>
      </c>
      <c r="MGK1338" s="4" t="s">
        <v>2882</v>
      </c>
      <c r="MGL1338" s="4" t="s">
        <v>2882</v>
      </c>
      <c r="MGM1338" s="4" t="s">
        <v>2882</v>
      </c>
      <c r="MGN1338" s="4" t="s">
        <v>2882</v>
      </c>
      <c r="MGO1338" s="4" t="s">
        <v>2882</v>
      </c>
      <c r="MGP1338" s="4" t="s">
        <v>2882</v>
      </c>
      <c r="MGQ1338" s="4" t="s">
        <v>2882</v>
      </c>
      <c r="MGR1338" s="4" t="s">
        <v>2882</v>
      </c>
      <c r="MGS1338" s="4" t="s">
        <v>2882</v>
      </c>
      <c r="MGT1338" s="4" t="s">
        <v>2882</v>
      </c>
      <c r="MGU1338" s="4" t="s">
        <v>2882</v>
      </c>
      <c r="MGV1338" s="4" t="s">
        <v>2882</v>
      </c>
      <c r="MGW1338" s="4" t="s">
        <v>2882</v>
      </c>
      <c r="MGX1338" s="4" t="s">
        <v>2882</v>
      </c>
      <c r="MGY1338" s="4" t="s">
        <v>2882</v>
      </c>
      <c r="MGZ1338" s="4" t="s">
        <v>2882</v>
      </c>
      <c r="MHA1338" s="4" t="s">
        <v>2882</v>
      </c>
      <c r="MHB1338" s="4" t="s">
        <v>2882</v>
      </c>
      <c r="MHC1338" s="4" t="s">
        <v>2882</v>
      </c>
      <c r="MHD1338" s="4" t="s">
        <v>2882</v>
      </c>
      <c r="MHE1338" s="4" t="s">
        <v>2882</v>
      </c>
      <c r="MHF1338" s="4" t="s">
        <v>2882</v>
      </c>
      <c r="MHG1338" s="4" t="s">
        <v>2882</v>
      </c>
      <c r="MHH1338" s="4" t="s">
        <v>2882</v>
      </c>
      <c r="MHI1338" s="4" t="s">
        <v>2882</v>
      </c>
      <c r="MHJ1338" s="4" t="s">
        <v>2882</v>
      </c>
      <c r="MHK1338" s="4" t="s">
        <v>2882</v>
      </c>
      <c r="MHL1338" s="4" t="s">
        <v>2882</v>
      </c>
      <c r="MHM1338" s="4" t="s">
        <v>2882</v>
      </c>
      <c r="MHN1338" s="4" t="s">
        <v>2882</v>
      </c>
      <c r="MHO1338" s="4" t="s">
        <v>2882</v>
      </c>
      <c r="MHP1338" s="4" t="s">
        <v>2882</v>
      </c>
      <c r="MHQ1338" s="4" t="s">
        <v>2882</v>
      </c>
      <c r="MHR1338" s="4" t="s">
        <v>2882</v>
      </c>
      <c r="MHS1338" s="4" t="s">
        <v>2882</v>
      </c>
      <c r="MHT1338" s="4" t="s">
        <v>2882</v>
      </c>
      <c r="MHU1338" s="4" t="s">
        <v>2882</v>
      </c>
      <c r="MHV1338" s="4" t="s">
        <v>2882</v>
      </c>
      <c r="MHW1338" s="4" t="s">
        <v>2882</v>
      </c>
      <c r="MHX1338" s="4" t="s">
        <v>2882</v>
      </c>
      <c r="MHY1338" s="4" t="s">
        <v>2882</v>
      </c>
      <c r="MHZ1338" s="4" t="s">
        <v>2882</v>
      </c>
      <c r="MIA1338" s="4" t="s">
        <v>2882</v>
      </c>
      <c r="MIB1338" s="4" t="s">
        <v>2882</v>
      </c>
      <c r="MIC1338" s="4" t="s">
        <v>2882</v>
      </c>
      <c r="MID1338" s="4" t="s">
        <v>2882</v>
      </c>
      <c r="MIE1338" s="4" t="s">
        <v>2882</v>
      </c>
      <c r="MIF1338" s="4" t="s">
        <v>2882</v>
      </c>
      <c r="MIG1338" s="4" t="s">
        <v>2882</v>
      </c>
      <c r="MIH1338" s="4" t="s">
        <v>2882</v>
      </c>
      <c r="MII1338" s="4" t="s">
        <v>2882</v>
      </c>
      <c r="MIJ1338" s="4" t="s">
        <v>2882</v>
      </c>
      <c r="MIK1338" s="4" t="s">
        <v>2882</v>
      </c>
      <c r="MIL1338" s="4" t="s">
        <v>2882</v>
      </c>
      <c r="MIM1338" s="4" t="s">
        <v>2882</v>
      </c>
      <c r="MIN1338" s="4" t="s">
        <v>2882</v>
      </c>
      <c r="MIO1338" s="4" t="s">
        <v>2882</v>
      </c>
      <c r="MIP1338" s="4" t="s">
        <v>2882</v>
      </c>
      <c r="MIQ1338" s="4" t="s">
        <v>2882</v>
      </c>
      <c r="MIR1338" s="4" t="s">
        <v>2882</v>
      </c>
      <c r="MIS1338" s="4" t="s">
        <v>2882</v>
      </c>
      <c r="MIT1338" s="4" t="s">
        <v>2882</v>
      </c>
      <c r="MIU1338" s="4" t="s">
        <v>2882</v>
      </c>
      <c r="MIV1338" s="4" t="s">
        <v>2882</v>
      </c>
      <c r="MIW1338" s="4" t="s">
        <v>2882</v>
      </c>
      <c r="MIX1338" s="4" t="s">
        <v>2882</v>
      </c>
      <c r="MIY1338" s="4" t="s">
        <v>2882</v>
      </c>
      <c r="MIZ1338" s="4" t="s">
        <v>2882</v>
      </c>
      <c r="MJA1338" s="4" t="s">
        <v>2882</v>
      </c>
      <c r="MJB1338" s="4" t="s">
        <v>2882</v>
      </c>
      <c r="MJC1338" s="4" t="s">
        <v>2882</v>
      </c>
      <c r="MJD1338" s="4" t="s">
        <v>2882</v>
      </c>
      <c r="MJE1338" s="4" t="s">
        <v>2882</v>
      </c>
      <c r="MJF1338" s="4" t="s">
        <v>2882</v>
      </c>
      <c r="MJG1338" s="4" t="s">
        <v>2882</v>
      </c>
      <c r="MJH1338" s="4" t="s">
        <v>2882</v>
      </c>
      <c r="MJI1338" s="4" t="s">
        <v>2882</v>
      </c>
      <c r="MJJ1338" s="4" t="s">
        <v>2882</v>
      </c>
      <c r="MJK1338" s="4" t="s">
        <v>2882</v>
      </c>
      <c r="MJL1338" s="4" t="s">
        <v>2882</v>
      </c>
      <c r="MJM1338" s="4" t="s">
        <v>2882</v>
      </c>
      <c r="MJN1338" s="4" t="s">
        <v>2882</v>
      </c>
      <c r="MJO1338" s="4" t="s">
        <v>2882</v>
      </c>
      <c r="MJP1338" s="4" t="s">
        <v>2882</v>
      </c>
      <c r="MJQ1338" s="4" t="s">
        <v>2882</v>
      </c>
      <c r="MJR1338" s="4" t="s">
        <v>2882</v>
      </c>
      <c r="MJS1338" s="4" t="s">
        <v>2882</v>
      </c>
      <c r="MJT1338" s="4" t="s">
        <v>2882</v>
      </c>
      <c r="MJU1338" s="4" t="s">
        <v>2882</v>
      </c>
      <c r="MJV1338" s="4" t="s">
        <v>2882</v>
      </c>
      <c r="MJW1338" s="4" t="s">
        <v>2882</v>
      </c>
      <c r="MJX1338" s="4" t="s">
        <v>2882</v>
      </c>
      <c r="MJY1338" s="4" t="s">
        <v>2882</v>
      </c>
      <c r="MJZ1338" s="4" t="s">
        <v>2882</v>
      </c>
      <c r="MKA1338" s="4" t="s">
        <v>2882</v>
      </c>
      <c r="MKB1338" s="4" t="s">
        <v>2882</v>
      </c>
      <c r="MKC1338" s="4" t="s">
        <v>2882</v>
      </c>
      <c r="MKD1338" s="4" t="s">
        <v>2882</v>
      </c>
      <c r="MKE1338" s="4" t="s">
        <v>2882</v>
      </c>
      <c r="MKF1338" s="4" t="s">
        <v>2882</v>
      </c>
      <c r="MKG1338" s="4" t="s">
        <v>2882</v>
      </c>
      <c r="MKH1338" s="4" t="s">
        <v>2882</v>
      </c>
      <c r="MKI1338" s="4" t="s">
        <v>2882</v>
      </c>
      <c r="MKJ1338" s="4" t="s">
        <v>2882</v>
      </c>
      <c r="MKK1338" s="4" t="s">
        <v>2882</v>
      </c>
      <c r="MKL1338" s="4" t="s">
        <v>2882</v>
      </c>
      <c r="MKM1338" s="4" t="s">
        <v>2882</v>
      </c>
      <c r="MKN1338" s="4" t="s">
        <v>2882</v>
      </c>
      <c r="MKO1338" s="4" t="s">
        <v>2882</v>
      </c>
      <c r="MKP1338" s="4" t="s">
        <v>2882</v>
      </c>
      <c r="MKQ1338" s="4" t="s">
        <v>2882</v>
      </c>
      <c r="MKR1338" s="4" t="s">
        <v>2882</v>
      </c>
      <c r="MKS1338" s="4" t="s">
        <v>2882</v>
      </c>
      <c r="MKT1338" s="4" t="s">
        <v>2882</v>
      </c>
      <c r="MKU1338" s="4" t="s">
        <v>2882</v>
      </c>
      <c r="MKV1338" s="4" t="s">
        <v>2882</v>
      </c>
      <c r="MKW1338" s="4" t="s">
        <v>2882</v>
      </c>
      <c r="MKX1338" s="4" t="s">
        <v>2882</v>
      </c>
      <c r="MKY1338" s="4" t="s">
        <v>2882</v>
      </c>
      <c r="MKZ1338" s="4" t="s">
        <v>2882</v>
      </c>
      <c r="MLA1338" s="4" t="s">
        <v>2882</v>
      </c>
      <c r="MLB1338" s="4" t="s">
        <v>2882</v>
      </c>
      <c r="MLC1338" s="4" t="s">
        <v>2882</v>
      </c>
      <c r="MLD1338" s="4" t="s">
        <v>2882</v>
      </c>
      <c r="MLE1338" s="4" t="s">
        <v>2882</v>
      </c>
      <c r="MLF1338" s="4" t="s">
        <v>2882</v>
      </c>
      <c r="MLG1338" s="4" t="s">
        <v>2882</v>
      </c>
      <c r="MLH1338" s="4" t="s">
        <v>2882</v>
      </c>
      <c r="MLI1338" s="4" t="s">
        <v>2882</v>
      </c>
      <c r="MLJ1338" s="4" t="s">
        <v>2882</v>
      </c>
      <c r="MLK1338" s="4" t="s">
        <v>2882</v>
      </c>
      <c r="MLL1338" s="4" t="s">
        <v>2882</v>
      </c>
      <c r="MLM1338" s="4" t="s">
        <v>2882</v>
      </c>
      <c r="MLN1338" s="4" t="s">
        <v>2882</v>
      </c>
      <c r="MLO1338" s="4" t="s">
        <v>2882</v>
      </c>
      <c r="MLP1338" s="4" t="s">
        <v>2882</v>
      </c>
      <c r="MLQ1338" s="4" t="s">
        <v>2882</v>
      </c>
      <c r="MLR1338" s="4" t="s">
        <v>2882</v>
      </c>
      <c r="MLS1338" s="4" t="s">
        <v>2882</v>
      </c>
      <c r="MLT1338" s="4" t="s">
        <v>2882</v>
      </c>
      <c r="MLU1338" s="4" t="s">
        <v>2882</v>
      </c>
      <c r="MLV1338" s="4" t="s">
        <v>2882</v>
      </c>
      <c r="MLW1338" s="4" t="s">
        <v>2882</v>
      </c>
      <c r="MLX1338" s="4" t="s">
        <v>2882</v>
      </c>
      <c r="MLY1338" s="4" t="s">
        <v>2882</v>
      </c>
      <c r="MLZ1338" s="4" t="s">
        <v>2882</v>
      </c>
      <c r="MMA1338" s="4" t="s">
        <v>2882</v>
      </c>
      <c r="MMB1338" s="4" t="s">
        <v>2882</v>
      </c>
      <c r="MMC1338" s="4" t="s">
        <v>2882</v>
      </c>
      <c r="MMD1338" s="4" t="s">
        <v>2882</v>
      </c>
      <c r="MME1338" s="4" t="s">
        <v>2882</v>
      </c>
      <c r="MMF1338" s="4" t="s">
        <v>2882</v>
      </c>
      <c r="MMG1338" s="4" t="s">
        <v>2882</v>
      </c>
      <c r="MMH1338" s="4" t="s">
        <v>2882</v>
      </c>
      <c r="MMI1338" s="4" t="s">
        <v>2882</v>
      </c>
      <c r="MMJ1338" s="4" t="s">
        <v>2882</v>
      </c>
      <c r="MMK1338" s="4" t="s">
        <v>2882</v>
      </c>
      <c r="MML1338" s="4" t="s">
        <v>2882</v>
      </c>
      <c r="MMM1338" s="4" t="s">
        <v>2882</v>
      </c>
      <c r="MMN1338" s="4" t="s">
        <v>2882</v>
      </c>
      <c r="MMO1338" s="4" t="s">
        <v>2882</v>
      </c>
      <c r="MMP1338" s="4" t="s">
        <v>2882</v>
      </c>
      <c r="MMQ1338" s="4" t="s">
        <v>2882</v>
      </c>
      <c r="MMR1338" s="4" t="s">
        <v>2882</v>
      </c>
      <c r="MMS1338" s="4" t="s">
        <v>2882</v>
      </c>
      <c r="MMT1338" s="4" t="s">
        <v>2882</v>
      </c>
      <c r="MMU1338" s="4" t="s">
        <v>2882</v>
      </c>
      <c r="MMV1338" s="4" t="s">
        <v>2882</v>
      </c>
      <c r="MMW1338" s="4" t="s">
        <v>2882</v>
      </c>
      <c r="MMX1338" s="4" t="s">
        <v>2882</v>
      </c>
      <c r="MMY1338" s="4" t="s">
        <v>2882</v>
      </c>
      <c r="MMZ1338" s="4" t="s">
        <v>2882</v>
      </c>
      <c r="MNA1338" s="4" t="s">
        <v>2882</v>
      </c>
      <c r="MNB1338" s="4" t="s">
        <v>2882</v>
      </c>
      <c r="MNC1338" s="4" t="s">
        <v>2882</v>
      </c>
      <c r="MND1338" s="4" t="s">
        <v>2882</v>
      </c>
      <c r="MNE1338" s="4" t="s">
        <v>2882</v>
      </c>
      <c r="MNF1338" s="4" t="s">
        <v>2882</v>
      </c>
      <c r="MNG1338" s="4" t="s">
        <v>2882</v>
      </c>
      <c r="MNH1338" s="4" t="s">
        <v>2882</v>
      </c>
      <c r="MNI1338" s="4" t="s">
        <v>2882</v>
      </c>
      <c r="MNJ1338" s="4" t="s">
        <v>2882</v>
      </c>
      <c r="MNK1338" s="4" t="s">
        <v>2882</v>
      </c>
      <c r="MNL1338" s="4" t="s">
        <v>2882</v>
      </c>
      <c r="MNM1338" s="4" t="s">
        <v>2882</v>
      </c>
      <c r="MNN1338" s="4" t="s">
        <v>2882</v>
      </c>
      <c r="MNO1338" s="4" t="s">
        <v>2882</v>
      </c>
      <c r="MNP1338" s="4" t="s">
        <v>2882</v>
      </c>
      <c r="MNQ1338" s="4" t="s">
        <v>2882</v>
      </c>
      <c r="MNR1338" s="4" t="s">
        <v>2882</v>
      </c>
      <c r="MNS1338" s="4" t="s">
        <v>2882</v>
      </c>
      <c r="MNT1338" s="4" t="s">
        <v>2882</v>
      </c>
      <c r="MNU1338" s="4" t="s">
        <v>2882</v>
      </c>
      <c r="MNV1338" s="4" t="s">
        <v>2882</v>
      </c>
      <c r="MNW1338" s="4" t="s">
        <v>2882</v>
      </c>
      <c r="MNX1338" s="4" t="s">
        <v>2882</v>
      </c>
      <c r="MNY1338" s="4" t="s">
        <v>2882</v>
      </c>
      <c r="MNZ1338" s="4" t="s">
        <v>2882</v>
      </c>
      <c r="MOA1338" s="4" t="s">
        <v>2882</v>
      </c>
      <c r="MOB1338" s="4" t="s">
        <v>2882</v>
      </c>
      <c r="MOC1338" s="4" t="s">
        <v>2882</v>
      </c>
      <c r="MOD1338" s="4" t="s">
        <v>2882</v>
      </c>
      <c r="MOE1338" s="4" t="s">
        <v>2882</v>
      </c>
      <c r="MOF1338" s="4" t="s">
        <v>2882</v>
      </c>
      <c r="MOG1338" s="4" t="s">
        <v>2882</v>
      </c>
      <c r="MOH1338" s="4" t="s">
        <v>2882</v>
      </c>
      <c r="MOI1338" s="4" t="s">
        <v>2882</v>
      </c>
      <c r="MOJ1338" s="4" t="s">
        <v>2882</v>
      </c>
      <c r="MOK1338" s="4" t="s">
        <v>2882</v>
      </c>
      <c r="MOL1338" s="4" t="s">
        <v>2882</v>
      </c>
      <c r="MOM1338" s="4" t="s">
        <v>2882</v>
      </c>
      <c r="MON1338" s="4" t="s">
        <v>2882</v>
      </c>
      <c r="MOO1338" s="4" t="s">
        <v>2882</v>
      </c>
      <c r="MOP1338" s="4" t="s">
        <v>2882</v>
      </c>
      <c r="MOQ1338" s="4" t="s">
        <v>2882</v>
      </c>
      <c r="MOR1338" s="4" t="s">
        <v>2882</v>
      </c>
      <c r="MOS1338" s="4" t="s">
        <v>2882</v>
      </c>
      <c r="MOT1338" s="4" t="s">
        <v>2882</v>
      </c>
      <c r="MOU1338" s="4" t="s">
        <v>2882</v>
      </c>
      <c r="MOV1338" s="4" t="s">
        <v>2882</v>
      </c>
      <c r="MOW1338" s="4" t="s">
        <v>2882</v>
      </c>
      <c r="MOX1338" s="4" t="s">
        <v>2882</v>
      </c>
      <c r="MOY1338" s="4" t="s">
        <v>2882</v>
      </c>
      <c r="MOZ1338" s="4" t="s">
        <v>2882</v>
      </c>
      <c r="MPA1338" s="4" t="s">
        <v>2882</v>
      </c>
      <c r="MPB1338" s="4" t="s">
        <v>2882</v>
      </c>
      <c r="MPC1338" s="4" t="s">
        <v>2882</v>
      </c>
      <c r="MPD1338" s="4" t="s">
        <v>2882</v>
      </c>
      <c r="MPE1338" s="4" t="s">
        <v>2882</v>
      </c>
      <c r="MPF1338" s="4" t="s">
        <v>2882</v>
      </c>
      <c r="MPG1338" s="4" t="s">
        <v>2882</v>
      </c>
      <c r="MPH1338" s="4" t="s">
        <v>2882</v>
      </c>
      <c r="MPI1338" s="4" t="s">
        <v>2882</v>
      </c>
      <c r="MPJ1338" s="4" t="s">
        <v>2882</v>
      </c>
      <c r="MPK1338" s="4" t="s">
        <v>2882</v>
      </c>
      <c r="MPL1338" s="4" t="s">
        <v>2882</v>
      </c>
      <c r="MPM1338" s="4" t="s">
        <v>2882</v>
      </c>
      <c r="MPN1338" s="4" t="s">
        <v>2882</v>
      </c>
      <c r="MPO1338" s="4" t="s">
        <v>2882</v>
      </c>
      <c r="MPP1338" s="4" t="s">
        <v>2882</v>
      </c>
      <c r="MPQ1338" s="4" t="s">
        <v>2882</v>
      </c>
      <c r="MPR1338" s="4" t="s">
        <v>2882</v>
      </c>
      <c r="MPS1338" s="4" t="s">
        <v>2882</v>
      </c>
      <c r="MPT1338" s="4" t="s">
        <v>2882</v>
      </c>
      <c r="MPU1338" s="4" t="s">
        <v>2882</v>
      </c>
      <c r="MPV1338" s="4" t="s">
        <v>2882</v>
      </c>
      <c r="MPW1338" s="4" t="s">
        <v>2882</v>
      </c>
      <c r="MPX1338" s="4" t="s">
        <v>2882</v>
      </c>
      <c r="MPY1338" s="4" t="s">
        <v>2882</v>
      </c>
      <c r="MPZ1338" s="4" t="s">
        <v>2882</v>
      </c>
      <c r="MQA1338" s="4" t="s">
        <v>2882</v>
      </c>
      <c r="MQB1338" s="4" t="s">
        <v>2882</v>
      </c>
      <c r="MQC1338" s="4" t="s">
        <v>2882</v>
      </c>
      <c r="MQD1338" s="4" t="s">
        <v>2882</v>
      </c>
      <c r="MQE1338" s="4" t="s">
        <v>2882</v>
      </c>
      <c r="MQF1338" s="4" t="s">
        <v>2882</v>
      </c>
      <c r="MQG1338" s="4" t="s">
        <v>2882</v>
      </c>
      <c r="MQH1338" s="4" t="s">
        <v>2882</v>
      </c>
      <c r="MQI1338" s="4" t="s">
        <v>2882</v>
      </c>
      <c r="MQJ1338" s="4" t="s">
        <v>2882</v>
      </c>
      <c r="MQK1338" s="4" t="s">
        <v>2882</v>
      </c>
      <c r="MQL1338" s="4" t="s">
        <v>2882</v>
      </c>
      <c r="MQM1338" s="4" t="s">
        <v>2882</v>
      </c>
      <c r="MQN1338" s="4" t="s">
        <v>2882</v>
      </c>
      <c r="MQO1338" s="4" t="s">
        <v>2882</v>
      </c>
      <c r="MQP1338" s="4" t="s">
        <v>2882</v>
      </c>
      <c r="MQQ1338" s="4" t="s">
        <v>2882</v>
      </c>
      <c r="MQR1338" s="4" t="s">
        <v>2882</v>
      </c>
      <c r="MQS1338" s="4" t="s">
        <v>2882</v>
      </c>
      <c r="MQT1338" s="4" t="s">
        <v>2882</v>
      </c>
      <c r="MQU1338" s="4" t="s">
        <v>2882</v>
      </c>
      <c r="MQV1338" s="4" t="s">
        <v>2882</v>
      </c>
      <c r="MQW1338" s="4" t="s">
        <v>2882</v>
      </c>
      <c r="MQX1338" s="4" t="s">
        <v>2882</v>
      </c>
      <c r="MQY1338" s="4" t="s">
        <v>2882</v>
      </c>
      <c r="MQZ1338" s="4" t="s">
        <v>2882</v>
      </c>
      <c r="MRA1338" s="4" t="s">
        <v>2882</v>
      </c>
      <c r="MRB1338" s="4" t="s">
        <v>2882</v>
      </c>
      <c r="MRC1338" s="4" t="s">
        <v>2882</v>
      </c>
      <c r="MRD1338" s="4" t="s">
        <v>2882</v>
      </c>
      <c r="MRE1338" s="4" t="s">
        <v>2882</v>
      </c>
      <c r="MRF1338" s="4" t="s">
        <v>2882</v>
      </c>
      <c r="MRG1338" s="4" t="s">
        <v>2882</v>
      </c>
      <c r="MRH1338" s="4" t="s">
        <v>2882</v>
      </c>
      <c r="MRI1338" s="4" t="s">
        <v>2882</v>
      </c>
      <c r="MRJ1338" s="4" t="s">
        <v>2882</v>
      </c>
      <c r="MRK1338" s="4" t="s">
        <v>2882</v>
      </c>
      <c r="MRL1338" s="4" t="s">
        <v>2882</v>
      </c>
      <c r="MRM1338" s="4" t="s">
        <v>2882</v>
      </c>
      <c r="MRN1338" s="4" t="s">
        <v>2882</v>
      </c>
      <c r="MRO1338" s="4" t="s">
        <v>2882</v>
      </c>
      <c r="MRP1338" s="4" t="s">
        <v>2882</v>
      </c>
      <c r="MRQ1338" s="4" t="s">
        <v>2882</v>
      </c>
      <c r="MRR1338" s="4" t="s">
        <v>2882</v>
      </c>
      <c r="MRS1338" s="4" t="s">
        <v>2882</v>
      </c>
      <c r="MRT1338" s="4" t="s">
        <v>2882</v>
      </c>
      <c r="MRU1338" s="4" t="s">
        <v>2882</v>
      </c>
      <c r="MRV1338" s="4" t="s">
        <v>2882</v>
      </c>
      <c r="MRW1338" s="4" t="s">
        <v>2882</v>
      </c>
      <c r="MRX1338" s="4" t="s">
        <v>2882</v>
      </c>
      <c r="MRY1338" s="4" t="s">
        <v>2882</v>
      </c>
      <c r="MRZ1338" s="4" t="s">
        <v>2882</v>
      </c>
      <c r="MSA1338" s="4" t="s">
        <v>2882</v>
      </c>
      <c r="MSB1338" s="4" t="s">
        <v>2882</v>
      </c>
      <c r="MSC1338" s="4" t="s">
        <v>2882</v>
      </c>
      <c r="MSD1338" s="4" t="s">
        <v>2882</v>
      </c>
      <c r="MSE1338" s="4" t="s">
        <v>2882</v>
      </c>
      <c r="MSF1338" s="4" t="s">
        <v>2882</v>
      </c>
      <c r="MSG1338" s="4" t="s">
        <v>2882</v>
      </c>
      <c r="MSH1338" s="4" t="s">
        <v>2882</v>
      </c>
      <c r="MSI1338" s="4" t="s">
        <v>2882</v>
      </c>
      <c r="MSJ1338" s="4" t="s">
        <v>2882</v>
      </c>
      <c r="MSK1338" s="4" t="s">
        <v>2882</v>
      </c>
      <c r="MSL1338" s="4" t="s">
        <v>2882</v>
      </c>
      <c r="MSM1338" s="4" t="s">
        <v>2882</v>
      </c>
      <c r="MSN1338" s="4" t="s">
        <v>2882</v>
      </c>
      <c r="MSO1338" s="4" t="s">
        <v>2882</v>
      </c>
      <c r="MSP1338" s="4" t="s">
        <v>2882</v>
      </c>
      <c r="MSQ1338" s="4" t="s">
        <v>2882</v>
      </c>
      <c r="MSR1338" s="4" t="s">
        <v>2882</v>
      </c>
      <c r="MSS1338" s="4" t="s">
        <v>2882</v>
      </c>
      <c r="MST1338" s="4" t="s">
        <v>2882</v>
      </c>
      <c r="MSU1338" s="4" t="s">
        <v>2882</v>
      </c>
      <c r="MSV1338" s="4" t="s">
        <v>2882</v>
      </c>
      <c r="MSW1338" s="4" t="s">
        <v>2882</v>
      </c>
      <c r="MSX1338" s="4" t="s">
        <v>2882</v>
      </c>
      <c r="MSY1338" s="4" t="s">
        <v>2882</v>
      </c>
      <c r="MSZ1338" s="4" t="s">
        <v>2882</v>
      </c>
      <c r="MTA1338" s="4" t="s">
        <v>2882</v>
      </c>
      <c r="MTB1338" s="4" t="s">
        <v>2882</v>
      </c>
      <c r="MTC1338" s="4" t="s">
        <v>2882</v>
      </c>
      <c r="MTD1338" s="4" t="s">
        <v>2882</v>
      </c>
      <c r="MTE1338" s="4" t="s">
        <v>2882</v>
      </c>
      <c r="MTF1338" s="4" t="s">
        <v>2882</v>
      </c>
      <c r="MTG1338" s="4" t="s">
        <v>2882</v>
      </c>
      <c r="MTH1338" s="4" t="s">
        <v>2882</v>
      </c>
      <c r="MTI1338" s="4" t="s">
        <v>2882</v>
      </c>
      <c r="MTJ1338" s="4" t="s">
        <v>2882</v>
      </c>
      <c r="MTK1338" s="4" t="s">
        <v>2882</v>
      </c>
      <c r="MTL1338" s="4" t="s">
        <v>2882</v>
      </c>
      <c r="MTM1338" s="4" t="s">
        <v>2882</v>
      </c>
      <c r="MTN1338" s="4" t="s">
        <v>2882</v>
      </c>
      <c r="MTO1338" s="4" t="s">
        <v>2882</v>
      </c>
      <c r="MTP1338" s="4" t="s">
        <v>2882</v>
      </c>
      <c r="MTQ1338" s="4" t="s">
        <v>2882</v>
      </c>
      <c r="MTR1338" s="4" t="s">
        <v>2882</v>
      </c>
      <c r="MTS1338" s="4" t="s">
        <v>2882</v>
      </c>
      <c r="MTT1338" s="4" t="s">
        <v>2882</v>
      </c>
      <c r="MTU1338" s="4" t="s">
        <v>2882</v>
      </c>
      <c r="MTV1338" s="4" t="s">
        <v>2882</v>
      </c>
      <c r="MTW1338" s="4" t="s">
        <v>2882</v>
      </c>
      <c r="MTX1338" s="4" t="s">
        <v>2882</v>
      </c>
      <c r="MTY1338" s="4" t="s">
        <v>2882</v>
      </c>
      <c r="MTZ1338" s="4" t="s">
        <v>2882</v>
      </c>
      <c r="MUA1338" s="4" t="s">
        <v>2882</v>
      </c>
      <c r="MUB1338" s="4" t="s">
        <v>2882</v>
      </c>
      <c r="MUC1338" s="4" t="s">
        <v>2882</v>
      </c>
      <c r="MUD1338" s="4" t="s">
        <v>2882</v>
      </c>
      <c r="MUE1338" s="4" t="s">
        <v>2882</v>
      </c>
      <c r="MUF1338" s="4" t="s">
        <v>2882</v>
      </c>
      <c r="MUG1338" s="4" t="s">
        <v>2882</v>
      </c>
      <c r="MUH1338" s="4" t="s">
        <v>2882</v>
      </c>
      <c r="MUI1338" s="4" t="s">
        <v>2882</v>
      </c>
      <c r="MUJ1338" s="4" t="s">
        <v>2882</v>
      </c>
      <c r="MUK1338" s="4" t="s">
        <v>2882</v>
      </c>
      <c r="MUL1338" s="4" t="s">
        <v>2882</v>
      </c>
      <c r="MUM1338" s="4" t="s">
        <v>2882</v>
      </c>
      <c r="MUN1338" s="4" t="s">
        <v>2882</v>
      </c>
      <c r="MUO1338" s="4" t="s">
        <v>2882</v>
      </c>
      <c r="MUP1338" s="4" t="s">
        <v>2882</v>
      </c>
      <c r="MUQ1338" s="4" t="s">
        <v>2882</v>
      </c>
      <c r="MUR1338" s="4" t="s">
        <v>2882</v>
      </c>
      <c r="MUS1338" s="4" t="s">
        <v>2882</v>
      </c>
      <c r="MUT1338" s="4" t="s">
        <v>2882</v>
      </c>
      <c r="MUU1338" s="4" t="s">
        <v>2882</v>
      </c>
      <c r="MUV1338" s="4" t="s">
        <v>2882</v>
      </c>
      <c r="MUW1338" s="4" t="s">
        <v>2882</v>
      </c>
      <c r="MUX1338" s="4" t="s">
        <v>2882</v>
      </c>
      <c r="MUY1338" s="4" t="s">
        <v>2882</v>
      </c>
      <c r="MUZ1338" s="4" t="s">
        <v>2882</v>
      </c>
      <c r="MVA1338" s="4" t="s">
        <v>2882</v>
      </c>
      <c r="MVB1338" s="4" t="s">
        <v>2882</v>
      </c>
      <c r="MVC1338" s="4" t="s">
        <v>2882</v>
      </c>
      <c r="MVD1338" s="4" t="s">
        <v>2882</v>
      </c>
      <c r="MVE1338" s="4" t="s">
        <v>2882</v>
      </c>
      <c r="MVF1338" s="4" t="s">
        <v>2882</v>
      </c>
      <c r="MVG1338" s="4" t="s">
        <v>2882</v>
      </c>
      <c r="MVH1338" s="4" t="s">
        <v>2882</v>
      </c>
      <c r="MVI1338" s="4" t="s">
        <v>2882</v>
      </c>
      <c r="MVJ1338" s="4" t="s">
        <v>2882</v>
      </c>
      <c r="MVK1338" s="4" t="s">
        <v>2882</v>
      </c>
      <c r="MVL1338" s="4" t="s">
        <v>2882</v>
      </c>
      <c r="MVM1338" s="4" t="s">
        <v>2882</v>
      </c>
      <c r="MVN1338" s="4" t="s">
        <v>2882</v>
      </c>
      <c r="MVO1338" s="4" t="s">
        <v>2882</v>
      </c>
      <c r="MVP1338" s="4" t="s">
        <v>2882</v>
      </c>
      <c r="MVQ1338" s="4" t="s">
        <v>2882</v>
      </c>
      <c r="MVR1338" s="4" t="s">
        <v>2882</v>
      </c>
      <c r="MVS1338" s="4" t="s">
        <v>2882</v>
      </c>
      <c r="MVT1338" s="4" t="s">
        <v>2882</v>
      </c>
      <c r="MVU1338" s="4" t="s">
        <v>2882</v>
      </c>
      <c r="MVV1338" s="4" t="s">
        <v>2882</v>
      </c>
      <c r="MVW1338" s="4" t="s">
        <v>2882</v>
      </c>
      <c r="MVX1338" s="4" t="s">
        <v>2882</v>
      </c>
      <c r="MVY1338" s="4" t="s">
        <v>2882</v>
      </c>
      <c r="MVZ1338" s="4" t="s">
        <v>2882</v>
      </c>
      <c r="MWA1338" s="4" t="s">
        <v>2882</v>
      </c>
      <c r="MWB1338" s="4" t="s">
        <v>2882</v>
      </c>
      <c r="MWC1338" s="4" t="s">
        <v>2882</v>
      </c>
      <c r="MWD1338" s="4" t="s">
        <v>2882</v>
      </c>
      <c r="MWE1338" s="4" t="s">
        <v>2882</v>
      </c>
      <c r="MWF1338" s="4" t="s">
        <v>2882</v>
      </c>
      <c r="MWG1338" s="4" t="s">
        <v>2882</v>
      </c>
      <c r="MWH1338" s="4" t="s">
        <v>2882</v>
      </c>
      <c r="MWI1338" s="4" t="s">
        <v>2882</v>
      </c>
      <c r="MWJ1338" s="4" t="s">
        <v>2882</v>
      </c>
      <c r="MWK1338" s="4" t="s">
        <v>2882</v>
      </c>
      <c r="MWL1338" s="4" t="s">
        <v>2882</v>
      </c>
      <c r="MWM1338" s="4" t="s">
        <v>2882</v>
      </c>
      <c r="MWN1338" s="4" t="s">
        <v>2882</v>
      </c>
      <c r="MWO1338" s="4" t="s">
        <v>2882</v>
      </c>
      <c r="MWP1338" s="4" t="s">
        <v>2882</v>
      </c>
      <c r="MWQ1338" s="4" t="s">
        <v>2882</v>
      </c>
      <c r="MWR1338" s="4" t="s">
        <v>2882</v>
      </c>
      <c r="MWS1338" s="4" t="s">
        <v>2882</v>
      </c>
      <c r="MWT1338" s="4" t="s">
        <v>2882</v>
      </c>
      <c r="MWU1338" s="4" t="s">
        <v>2882</v>
      </c>
      <c r="MWV1338" s="4" t="s">
        <v>2882</v>
      </c>
      <c r="MWW1338" s="4" t="s">
        <v>2882</v>
      </c>
      <c r="MWX1338" s="4" t="s">
        <v>2882</v>
      </c>
      <c r="MWY1338" s="4" t="s">
        <v>2882</v>
      </c>
      <c r="MWZ1338" s="4" t="s">
        <v>2882</v>
      </c>
      <c r="MXA1338" s="4" t="s">
        <v>2882</v>
      </c>
      <c r="MXB1338" s="4" t="s">
        <v>2882</v>
      </c>
      <c r="MXC1338" s="4" t="s">
        <v>2882</v>
      </c>
      <c r="MXD1338" s="4" t="s">
        <v>2882</v>
      </c>
      <c r="MXE1338" s="4" t="s">
        <v>2882</v>
      </c>
      <c r="MXF1338" s="4" t="s">
        <v>2882</v>
      </c>
      <c r="MXG1338" s="4" t="s">
        <v>2882</v>
      </c>
      <c r="MXH1338" s="4" t="s">
        <v>2882</v>
      </c>
      <c r="MXI1338" s="4" t="s">
        <v>2882</v>
      </c>
      <c r="MXJ1338" s="4" t="s">
        <v>2882</v>
      </c>
      <c r="MXK1338" s="4" t="s">
        <v>2882</v>
      </c>
      <c r="MXL1338" s="4" t="s">
        <v>2882</v>
      </c>
      <c r="MXM1338" s="4" t="s">
        <v>2882</v>
      </c>
      <c r="MXN1338" s="4" t="s">
        <v>2882</v>
      </c>
      <c r="MXO1338" s="4" t="s">
        <v>2882</v>
      </c>
      <c r="MXP1338" s="4" t="s">
        <v>2882</v>
      </c>
      <c r="MXQ1338" s="4" t="s">
        <v>2882</v>
      </c>
      <c r="MXR1338" s="4" t="s">
        <v>2882</v>
      </c>
      <c r="MXS1338" s="4" t="s">
        <v>2882</v>
      </c>
      <c r="MXT1338" s="4" t="s">
        <v>2882</v>
      </c>
      <c r="MXU1338" s="4" t="s">
        <v>2882</v>
      </c>
      <c r="MXV1338" s="4" t="s">
        <v>2882</v>
      </c>
      <c r="MXW1338" s="4" t="s">
        <v>2882</v>
      </c>
      <c r="MXX1338" s="4" t="s">
        <v>2882</v>
      </c>
      <c r="MXY1338" s="4" t="s">
        <v>2882</v>
      </c>
      <c r="MXZ1338" s="4" t="s">
        <v>2882</v>
      </c>
      <c r="MYA1338" s="4" t="s">
        <v>2882</v>
      </c>
      <c r="MYB1338" s="4" t="s">
        <v>2882</v>
      </c>
      <c r="MYC1338" s="4" t="s">
        <v>2882</v>
      </c>
      <c r="MYD1338" s="4" t="s">
        <v>2882</v>
      </c>
      <c r="MYE1338" s="4" t="s">
        <v>2882</v>
      </c>
      <c r="MYF1338" s="4" t="s">
        <v>2882</v>
      </c>
      <c r="MYG1338" s="4" t="s">
        <v>2882</v>
      </c>
      <c r="MYH1338" s="4" t="s">
        <v>2882</v>
      </c>
      <c r="MYI1338" s="4" t="s">
        <v>2882</v>
      </c>
      <c r="MYJ1338" s="4" t="s">
        <v>2882</v>
      </c>
      <c r="MYK1338" s="4" t="s">
        <v>2882</v>
      </c>
      <c r="MYL1338" s="4" t="s">
        <v>2882</v>
      </c>
      <c r="MYM1338" s="4" t="s">
        <v>2882</v>
      </c>
      <c r="MYN1338" s="4" t="s">
        <v>2882</v>
      </c>
      <c r="MYO1338" s="4" t="s">
        <v>2882</v>
      </c>
      <c r="MYP1338" s="4" t="s">
        <v>2882</v>
      </c>
      <c r="MYQ1338" s="4" t="s">
        <v>2882</v>
      </c>
      <c r="MYR1338" s="4" t="s">
        <v>2882</v>
      </c>
      <c r="MYS1338" s="4" t="s">
        <v>2882</v>
      </c>
      <c r="MYT1338" s="4" t="s">
        <v>2882</v>
      </c>
      <c r="MYU1338" s="4" t="s">
        <v>2882</v>
      </c>
      <c r="MYV1338" s="4" t="s">
        <v>2882</v>
      </c>
      <c r="MYW1338" s="4" t="s">
        <v>2882</v>
      </c>
      <c r="MYX1338" s="4" t="s">
        <v>2882</v>
      </c>
      <c r="MYY1338" s="4" t="s">
        <v>2882</v>
      </c>
      <c r="MYZ1338" s="4" t="s">
        <v>2882</v>
      </c>
      <c r="MZA1338" s="4" t="s">
        <v>2882</v>
      </c>
      <c r="MZB1338" s="4" t="s">
        <v>2882</v>
      </c>
      <c r="MZC1338" s="4" t="s">
        <v>2882</v>
      </c>
      <c r="MZD1338" s="4" t="s">
        <v>2882</v>
      </c>
      <c r="MZE1338" s="4" t="s">
        <v>2882</v>
      </c>
      <c r="MZF1338" s="4" t="s">
        <v>2882</v>
      </c>
      <c r="MZG1338" s="4" t="s">
        <v>2882</v>
      </c>
      <c r="MZH1338" s="4" t="s">
        <v>2882</v>
      </c>
      <c r="MZI1338" s="4" t="s">
        <v>2882</v>
      </c>
      <c r="MZJ1338" s="4" t="s">
        <v>2882</v>
      </c>
      <c r="MZK1338" s="4" t="s">
        <v>2882</v>
      </c>
      <c r="MZL1338" s="4" t="s">
        <v>2882</v>
      </c>
      <c r="MZM1338" s="4" t="s">
        <v>2882</v>
      </c>
      <c r="MZN1338" s="4" t="s">
        <v>2882</v>
      </c>
      <c r="MZO1338" s="4" t="s">
        <v>2882</v>
      </c>
      <c r="MZP1338" s="4" t="s">
        <v>2882</v>
      </c>
      <c r="MZQ1338" s="4" t="s">
        <v>2882</v>
      </c>
      <c r="MZR1338" s="4" t="s">
        <v>2882</v>
      </c>
      <c r="MZS1338" s="4" t="s">
        <v>2882</v>
      </c>
      <c r="MZT1338" s="4" t="s">
        <v>2882</v>
      </c>
      <c r="MZU1338" s="4" t="s">
        <v>2882</v>
      </c>
      <c r="MZV1338" s="4" t="s">
        <v>2882</v>
      </c>
      <c r="MZW1338" s="4" t="s">
        <v>2882</v>
      </c>
      <c r="MZX1338" s="4" t="s">
        <v>2882</v>
      </c>
      <c r="MZY1338" s="4" t="s">
        <v>2882</v>
      </c>
      <c r="MZZ1338" s="4" t="s">
        <v>2882</v>
      </c>
      <c r="NAA1338" s="4" t="s">
        <v>2882</v>
      </c>
      <c r="NAB1338" s="4" t="s">
        <v>2882</v>
      </c>
      <c r="NAC1338" s="4" t="s">
        <v>2882</v>
      </c>
      <c r="NAD1338" s="4" t="s">
        <v>2882</v>
      </c>
      <c r="NAE1338" s="4" t="s">
        <v>2882</v>
      </c>
      <c r="NAF1338" s="4" t="s">
        <v>2882</v>
      </c>
      <c r="NAG1338" s="4" t="s">
        <v>2882</v>
      </c>
      <c r="NAH1338" s="4" t="s">
        <v>2882</v>
      </c>
      <c r="NAI1338" s="4" t="s">
        <v>2882</v>
      </c>
      <c r="NAJ1338" s="4" t="s">
        <v>2882</v>
      </c>
      <c r="NAK1338" s="4" t="s">
        <v>2882</v>
      </c>
      <c r="NAL1338" s="4" t="s">
        <v>2882</v>
      </c>
      <c r="NAM1338" s="4" t="s">
        <v>2882</v>
      </c>
      <c r="NAN1338" s="4" t="s">
        <v>2882</v>
      </c>
      <c r="NAO1338" s="4" t="s">
        <v>2882</v>
      </c>
      <c r="NAP1338" s="4" t="s">
        <v>2882</v>
      </c>
      <c r="NAQ1338" s="4" t="s">
        <v>2882</v>
      </c>
      <c r="NAR1338" s="4" t="s">
        <v>2882</v>
      </c>
      <c r="NAS1338" s="4" t="s">
        <v>2882</v>
      </c>
      <c r="NAT1338" s="4" t="s">
        <v>2882</v>
      </c>
      <c r="NAU1338" s="4" t="s">
        <v>2882</v>
      </c>
      <c r="NAV1338" s="4" t="s">
        <v>2882</v>
      </c>
      <c r="NAW1338" s="4" t="s">
        <v>2882</v>
      </c>
      <c r="NAX1338" s="4" t="s">
        <v>2882</v>
      </c>
      <c r="NAY1338" s="4" t="s">
        <v>2882</v>
      </c>
      <c r="NAZ1338" s="4" t="s">
        <v>2882</v>
      </c>
      <c r="NBA1338" s="4" t="s">
        <v>2882</v>
      </c>
      <c r="NBB1338" s="4" t="s">
        <v>2882</v>
      </c>
      <c r="NBC1338" s="4" t="s">
        <v>2882</v>
      </c>
      <c r="NBD1338" s="4" t="s">
        <v>2882</v>
      </c>
      <c r="NBE1338" s="4" t="s">
        <v>2882</v>
      </c>
      <c r="NBF1338" s="4" t="s">
        <v>2882</v>
      </c>
      <c r="NBG1338" s="4" t="s">
        <v>2882</v>
      </c>
      <c r="NBH1338" s="4" t="s">
        <v>2882</v>
      </c>
      <c r="NBI1338" s="4" t="s">
        <v>2882</v>
      </c>
      <c r="NBJ1338" s="4" t="s">
        <v>2882</v>
      </c>
      <c r="NBK1338" s="4" t="s">
        <v>2882</v>
      </c>
      <c r="NBL1338" s="4" t="s">
        <v>2882</v>
      </c>
      <c r="NBM1338" s="4" t="s">
        <v>2882</v>
      </c>
      <c r="NBN1338" s="4" t="s">
        <v>2882</v>
      </c>
      <c r="NBO1338" s="4" t="s">
        <v>2882</v>
      </c>
      <c r="NBP1338" s="4" t="s">
        <v>2882</v>
      </c>
      <c r="NBQ1338" s="4" t="s">
        <v>2882</v>
      </c>
      <c r="NBR1338" s="4" t="s">
        <v>2882</v>
      </c>
      <c r="NBS1338" s="4" t="s">
        <v>2882</v>
      </c>
      <c r="NBT1338" s="4" t="s">
        <v>2882</v>
      </c>
      <c r="NBU1338" s="4" t="s">
        <v>2882</v>
      </c>
      <c r="NBV1338" s="4" t="s">
        <v>2882</v>
      </c>
      <c r="NBW1338" s="4" t="s">
        <v>2882</v>
      </c>
      <c r="NBX1338" s="4" t="s">
        <v>2882</v>
      </c>
      <c r="NBY1338" s="4" t="s">
        <v>2882</v>
      </c>
      <c r="NBZ1338" s="4" t="s">
        <v>2882</v>
      </c>
      <c r="NCA1338" s="4" t="s">
        <v>2882</v>
      </c>
      <c r="NCB1338" s="4" t="s">
        <v>2882</v>
      </c>
      <c r="NCC1338" s="4" t="s">
        <v>2882</v>
      </c>
      <c r="NCD1338" s="4" t="s">
        <v>2882</v>
      </c>
      <c r="NCE1338" s="4" t="s">
        <v>2882</v>
      </c>
      <c r="NCF1338" s="4" t="s">
        <v>2882</v>
      </c>
      <c r="NCG1338" s="4" t="s">
        <v>2882</v>
      </c>
      <c r="NCH1338" s="4" t="s">
        <v>2882</v>
      </c>
      <c r="NCI1338" s="4" t="s">
        <v>2882</v>
      </c>
      <c r="NCJ1338" s="4" t="s">
        <v>2882</v>
      </c>
      <c r="NCK1338" s="4" t="s">
        <v>2882</v>
      </c>
      <c r="NCL1338" s="4" t="s">
        <v>2882</v>
      </c>
      <c r="NCM1338" s="4" t="s">
        <v>2882</v>
      </c>
      <c r="NCN1338" s="4" t="s">
        <v>2882</v>
      </c>
      <c r="NCO1338" s="4" t="s">
        <v>2882</v>
      </c>
      <c r="NCP1338" s="4" t="s">
        <v>2882</v>
      </c>
      <c r="NCQ1338" s="4" t="s">
        <v>2882</v>
      </c>
      <c r="NCR1338" s="4" t="s">
        <v>2882</v>
      </c>
      <c r="NCS1338" s="4" t="s">
        <v>2882</v>
      </c>
      <c r="NCT1338" s="4" t="s">
        <v>2882</v>
      </c>
      <c r="NCU1338" s="4" t="s">
        <v>2882</v>
      </c>
      <c r="NCV1338" s="4" t="s">
        <v>2882</v>
      </c>
      <c r="NCW1338" s="4" t="s">
        <v>2882</v>
      </c>
      <c r="NCX1338" s="4" t="s">
        <v>2882</v>
      </c>
      <c r="NCY1338" s="4" t="s">
        <v>2882</v>
      </c>
      <c r="NCZ1338" s="4" t="s">
        <v>2882</v>
      </c>
      <c r="NDA1338" s="4" t="s">
        <v>2882</v>
      </c>
      <c r="NDB1338" s="4" t="s">
        <v>2882</v>
      </c>
      <c r="NDC1338" s="4" t="s">
        <v>2882</v>
      </c>
      <c r="NDD1338" s="4" t="s">
        <v>2882</v>
      </c>
      <c r="NDE1338" s="4" t="s">
        <v>2882</v>
      </c>
      <c r="NDF1338" s="4" t="s">
        <v>2882</v>
      </c>
      <c r="NDG1338" s="4" t="s">
        <v>2882</v>
      </c>
      <c r="NDH1338" s="4" t="s">
        <v>2882</v>
      </c>
      <c r="NDI1338" s="4" t="s">
        <v>2882</v>
      </c>
      <c r="NDJ1338" s="4" t="s">
        <v>2882</v>
      </c>
      <c r="NDK1338" s="4" t="s">
        <v>2882</v>
      </c>
      <c r="NDL1338" s="4" t="s">
        <v>2882</v>
      </c>
      <c r="NDM1338" s="4" t="s">
        <v>2882</v>
      </c>
      <c r="NDN1338" s="4" t="s">
        <v>2882</v>
      </c>
      <c r="NDO1338" s="4" t="s">
        <v>2882</v>
      </c>
      <c r="NDP1338" s="4" t="s">
        <v>2882</v>
      </c>
      <c r="NDQ1338" s="4" t="s">
        <v>2882</v>
      </c>
      <c r="NDR1338" s="4" t="s">
        <v>2882</v>
      </c>
      <c r="NDS1338" s="4" t="s">
        <v>2882</v>
      </c>
      <c r="NDT1338" s="4" t="s">
        <v>2882</v>
      </c>
      <c r="NDU1338" s="4" t="s">
        <v>2882</v>
      </c>
      <c r="NDV1338" s="4" t="s">
        <v>2882</v>
      </c>
      <c r="NDW1338" s="4" t="s">
        <v>2882</v>
      </c>
      <c r="NDX1338" s="4" t="s">
        <v>2882</v>
      </c>
      <c r="NDY1338" s="4" t="s">
        <v>2882</v>
      </c>
      <c r="NDZ1338" s="4" t="s">
        <v>2882</v>
      </c>
      <c r="NEA1338" s="4" t="s">
        <v>2882</v>
      </c>
      <c r="NEB1338" s="4" t="s">
        <v>2882</v>
      </c>
      <c r="NEC1338" s="4" t="s">
        <v>2882</v>
      </c>
      <c r="NED1338" s="4" t="s">
        <v>2882</v>
      </c>
      <c r="NEE1338" s="4" t="s">
        <v>2882</v>
      </c>
      <c r="NEF1338" s="4" t="s">
        <v>2882</v>
      </c>
      <c r="NEG1338" s="4" t="s">
        <v>2882</v>
      </c>
      <c r="NEH1338" s="4" t="s">
        <v>2882</v>
      </c>
      <c r="NEI1338" s="4" t="s">
        <v>2882</v>
      </c>
      <c r="NEJ1338" s="4" t="s">
        <v>2882</v>
      </c>
      <c r="NEK1338" s="4" t="s">
        <v>2882</v>
      </c>
      <c r="NEL1338" s="4" t="s">
        <v>2882</v>
      </c>
      <c r="NEM1338" s="4" t="s">
        <v>2882</v>
      </c>
      <c r="NEN1338" s="4" t="s">
        <v>2882</v>
      </c>
      <c r="NEO1338" s="4" t="s">
        <v>2882</v>
      </c>
      <c r="NEP1338" s="4" t="s">
        <v>2882</v>
      </c>
      <c r="NEQ1338" s="4" t="s">
        <v>2882</v>
      </c>
      <c r="NER1338" s="4" t="s">
        <v>2882</v>
      </c>
      <c r="NES1338" s="4" t="s">
        <v>2882</v>
      </c>
      <c r="NET1338" s="4" t="s">
        <v>2882</v>
      </c>
      <c r="NEU1338" s="4" t="s">
        <v>2882</v>
      </c>
      <c r="NEV1338" s="4" t="s">
        <v>2882</v>
      </c>
      <c r="NEW1338" s="4" t="s">
        <v>2882</v>
      </c>
      <c r="NEX1338" s="4" t="s">
        <v>2882</v>
      </c>
      <c r="NEY1338" s="4" t="s">
        <v>2882</v>
      </c>
      <c r="NEZ1338" s="4" t="s">
        <v>2882</v>
      </c>
      <c r="NFA1338" s="4" t="s">
        <v>2882</v>
      </c>
      <c r="NFB1338" s="4" t="s">
        <v>2882</v>
      </c>
      <c r="NFC1338" s="4" t="s">
        <v>2882</v>
      </c>
      <c r="NFD1338" s="4" t="s">
        <v>2882</v>
      </c>
      <c r="NFE1338" s="4" t="s">
        <v>2882</v>
      </c>
      <c r="NFF1338" s="4" t="s">
        <v>2882</v>
      </c>
      <c r="NFG1338" s="4" t="s">
        <v>2882</v>
      </c>
      <c r="NFH1338" s="4" t="s">
        <v>2882</v>
      </c>
      <c r="NFI1338" s="4" t="s">
        <v>2882</v>
      </c>
      <c r="NFJ1338" s="4" t="s">
        <v>2882</v>
      </c>
      <c r="NFK1338" s="4" t="s">
        <v>2882</v>
      </c>
      <c r="NFL1338" s="4" t="s">
        <v>2882</v>
      </c>
      <c r="NFM1338" s="4" t="s">
        <v>2882</v>
      </c>
      <c r="NFN1338" s="4" t="s">
        <v>2882</v>
      </c>
      <c r="NFO1338" s="4" t="s">
        <v>2882</v>
      </c>
      <c r="NFP1338" s="4" t="s">
        <v>2882</v>
      </c>
      <c r="NFQ1338" s="4" t="s">
        <v>2882</v>
      </c>
      <c r="NFR1338" s="4" t="s">
        <v>2882</v>
      </c>
      <c r="NFS1338" s="4" t="s">
        <v>2882</v>
      </c>
      <c r="NFT1338" s="4" t="s">
        <v>2882</v>
      </c>
      <c r="NFU1338" s="4" t="s">
        <v>2882</v>
      </c>
      <c r="NFV1338" s="4" t="s">
        <v>2882</v>
      </c>
      <c r="NFW1338" s="4" t="s">
        <v>2882</v>
      </c>
      <c r="NFX1338" s="4" t="s">
        <v>2882</v>
      </c>
      <c r="NFY1338" s="4" t="s">
        <v>2882</v>
      </c>
      <c r="NFZ1338" s="4" t="s">
        <v>2882</v>
      </c>
      <c r="NGA1338" s="4" t="s">
        <v>2882</v>
      </c>
      <c r="NGB1338" s="4" t="s">
        <v>2882</v>
      </c>
      <c r="NGC1338" s="4" t="s">
        <v>2882</v>
      </c>
      <c r="NGD1338" s="4" t="s">
        <v>2882</v>
      </c>
      <c r="NGE1338" s="4" t="s">
        <v>2882</v>
      </c>
      <c r="NGF1338" s="4" t="s">
        <v>2882</v>
      </c>
      <c r="NGG1338" s="4" t="s">
        <v>2882</v>
      </c>
      <c r="NGH1338" s="4" t="s">
        <v>2882</v>
      </c>
      <c r="NGI1338" s="4" t="s">
        <v>2882</v>
      </c>
      <c r="NGJ1338" s="4" t="s">
        <v>2882</v>
      </c>
      <c r="NGK1338" s="4" t="s">
        <v>2882</v>
      </c>
      <c r="NGL1338" s="4" t="s">
        <v>2882</v>
      </c>
      <c r="NGM1338" s="4" t="s">
        <v>2882</v>
      </c>
      <c r="NGN1338" s="4" t="s">
        <v>2882</v>
      </c>
      <c r="NGO1338" s="4" t="s">
        <v>2882</v>
      </c>
      <c r="NGP1338" s="4" t="s">
        <v>2882</v>
      </c>
      <c r="NGQ1338" s="4" t="s">
        <v>2882</v>
      </c>
      <c r="NGR1338" s="4" t="s">
        <v>2882</v>
      </c>
      <c r="NGS1338" s="4" t="s">
        <v>2882</v>
      </c>
      <c r="NGT1338" s="4" t="s">
        <v>2882</v>
      </c>
      <c r="NGU1338" s="4" t="s">
        <v>2882</v>
      </c>
      <c r="NGV1338" s="4" t="s">
        <v>2882</v>
      </c>
      <c r="NGW1338" s="4" t="s">
        <v>2882</v>
      </c>
      <c r="NGX1338" s="4" t="s">
        <v>2882</v>
      </c>
      <c r="NGY1338" s="4" t="s">
        <v>2882</v>
      </c>
      <c r="NGZ1338" s="4" t="s">
        <v>2882</v>
      </c>
      <c r="NHA1338" s="4" t="s">
        <v>2882</v>
      </c>
      <c r="NHB1338" s="4" t="s">
        <v>2882</v>
      </c>
      <c r="NHC1338" s="4" t="s">
        <v>2882</v>
      </c>
      <c r="NHD1338" s="4" t="s">
        <v>2882</v>
      </c>
      <c r="NHE1338" s="4" t="s">
        <v>2882</v>
      </c>
      <c r="NHF1338" s="4" t="s">
        <v>2882</v>
      </c>
      <c r="NHG1338" s="4" t="s">
        <v>2882</v>
      </c>
      <c r="NHH1338" s="4" t="s">
        <v>2882</v>
      </c>
      <c r="NHI1338" s="4" t="s">
        <v>2882</v>
      </c>
      <c r="NHJ1338" s="4" t="s">
        <v>2882</v>
      </c>
      <c r="NHK1338" s="4" t="s">
        <v>2882</v>
      </c>
      <c r="NHL1338" s="4" t="s">
        <v>2882</v>
      </c>
      <c r="NHM1338" s="4" t="s">
        <v>2882</v>
      </c>
      <c r="NHN1338" s="4" t="s">
        <v>2882</v>
      </c>
      <c r="NHO1338" s="4" t="s">
        <v>2882</v>
      </c>
      <c r="NHP1338" s="4" t="s">
        <v>2882</v>
      </c>
      <c r="NHQ1338" s="4" t="s">
        <v>2882</v>
      </c>
      <c r="NHR1338" s="4" t="s">
        <v>2882</v>
      </c>
      <c r="NHS1338" s="4" t="s">
        <v>2882</v>
      </c>
      <c r="NHT1338" s="4" t="s">
        <v>2882</v>
      </c>
      <c r="NHU1338" s="4" t="s">
        <v>2882</v>
      </c>
      <c r="NHV1338" s="4" t="s">
        <v>2882</v>
      </c>
      <c r="NHW1338" s="4" t="s">
        <v>2882</v>
      </c>
      <c r="NHX1338" s="4" t="s">
        <v>2882</v>
      </c>
      <c r="NHY1338" s="4" t="s">
        <v>2882</v>
      </c>
      <c r="NHZ1338" s="4" t="s">
        <v>2882</v>
      </c>
      <c r="NIA1338" s="4" t="s">
        <v>2882</v>
      </c>
      <c r="NIB1338" s="4" t="s">
        <v>2882</v>
      </c>
      <c r="NIC1338" s="4" t="s">
        <v>2882</v>
      </c>
      <c r="NID1338" s="4" t="s">
        <v>2882</v>
      </c>
      <c r="NIE1338" s="4" t="s">
        <v>2882</v>
      </c>
      <c r="NIF1338" s="4" t="s">
        <v>2882</v>
      </c>
      <c r="NIG1338" s="4" t="s">
        <v>2882</v>
      </c>
      <c r="NIH1338" s="4" t="s">
        <v>2882</v>
      </c>
      <c r="NII1338" s="4" t="s">
        <v>2882</v>
      </c>
      <c r="NIJ1338" s="4" t="s">
        <v>2882</v>
      </c>
      <c r="NIK1338" s="4" t="s">
        <v>2882</v>
      </c>
      <c r="NIL1338" s="4" t="s">
        <v>2882</v>
      </c>
      <c r="NIM1338" s="4" t="s">
        <v>2882</v>
      </c>
      <c r="NIN1338" s="4" t="s">
        <v>2882</v>
      </c>
      <c r="NIO1338" s="4" t="s">
        <v>2882</v>
      </c>
      <c r="NIP1338" s="4" t="s">
        <v>2882</v>
      </c>
      <c r="NIQ1338" s="4" t="s">
        <v>2882</v>
      </c>
      <c r="NIR1338" s="4" t="s">
        <v>2882</v>
      </c>
      <c r="NIS1338" s="4" t="s">
        <v>2882</v>
      </c>
      <c r="NIT1338" s="4" t="s">
        <v>2882</v>
      </c>
      <c r="NIU1338" s="4" t="s">
        <v>2882</v>
      </c>
      <c r="NIV1338" s="4" t="s">
        <v>2882</v>
      </c>
      <c r="NIW1338" s="4" t="s">
        <v>2882</v>
      </c>
      <c r="NIX1338" s="4" t="s">
        <v>2882</v>
      </c>
      <c r="NIY1338" s="4" t="s">
        <v>2882</v>
      </c>
      <c r="NIZ1338" s="4" t="s">
        <v>2882</v>
      </c>
      <c r="NJA1338" s="4" t="s">
        <v>2882</v>
      </c>
      <c r="NJB1338" s="4" t="s">
        <v>2882</v>
      </c>
      <c r="NJC1338" s="4" t="s">
        <v>2882</v>
      </c>
      <c r="NJD1338" s="4" t="s">
        <v>2882</v>
      </c>
      <c r="NJE1338" s="4" t="s">
        <v>2882</v>
      </c>
      <c r="NJF1338" s="4" t="s">
        <v>2882</v>
      </c>
      <c r="NJG1338" s="4" t="s">
        <v>2882</v>
      </c>
      <c r="NJH1338" s="4" t="s">
        <v>2882</v>
      </c>
      <c r="NJI1338" s="4" t="s">
        <v>2882</v>
      </c>
      <c r="NJJ1338" s="4" t="s">
        <v>2882</v>
      </c>
      <c r="NJK1338" s="4" t="s">
        <v>2882</v>
      </c>
      <c r="NJL1338" s="4" t="s">
        <v>2882</v>
      </c>
      <c r="NJM1338" s="4" t="s">
        <v>2882</v>
      </c>
      <c r="NJN1338" s="4" t="s">
        <v>2882</v>
      </c>
      <c r="NJO1338" s="4" t="s">
        <v>2882</v>
      </c>
      <c r="NJP1338" s="4" t="s">
        <v>2882</v>
      </c>
      <c r="NJQ1338" s="4" t="s">
        <v>2882</v>
      </c>
      <c r="NJR1338" s="4" t="s">
        <v>2882</v>
      </c>
      <c r="NJS1338" s="4" t="s">
        <v>2882</v>
      </c>
      <c r="NJT1338" s="4" t="s">
        <v>2882</v>
      </c>
      <c r="NJU1338" s="4" t="s">
        <v>2882</v>
      </c>
      <c r="NJV1338" s="4" t="s">
        <v>2882</v>
      </c>
      <c r="NJW1338" s="4" t="s">
        <v>2882</v>
      </c>
      <c r="NJX1338" s="4" t="s">
        <v>2882</v>
      </c>
      <c r="NJY1338" s="4" t="s">
        <v>2882</v>
      </c>
      <c r="NJZ1338" s="4" t="s">
        <v>2882</v>
      </c>
      <c r="NKA1338" s="4" t="s">
        <v>2882</v>
      </c>
      <c r="NKB1338" s="4" t="s">
        <v>2882</v>
      </c>
      <c r="NKC1338" s="4" t="s">
        <v>2882</v>
      </c>
      <c r="NKD1338" s="4" t="s">
        <v>2882</v>
      </c>
      <c r="NKE1338" s="4" t="s">
        <v>2882</v>
      </c>
      <c r="NKF1338" s="4" t="s">
        <v>2882</v>
      </c>
      <c r="NKG1338" s="4" t="s">
        <v>2882</v>
      </c>
      <c r="NKH1338" s="4" t="s">
        <v>2882</v>
      </c>
      <c r="NKI1338" s="4" t="s">
        <v>2882</v>
      </c>
      <c r="NKJ1338" s="4" t="s">
        <v>2882</v>
      </c>
      <c r="NKK1338" s="4" t="s">
        <v>2882</v>
      </c>
      <c r="NKL1338" s="4" t="s">
        <v>2882</v>
      </c>
      <c r="NKM1338" s="4" t="s">
        <v>2882</v>
      </c>
      <c r="NKN1338" s="4" t="s">
        <v>2882</v>
      </c>
      <c r="NKO1338" s="4" t="s">
        <v>2882</v>
      </c>
      <c r="NKP1338" s="4" t="s">
        <v>2882</v>
      </c>
      <c r="NKQ1338" s="4" t="s">
        <v>2882</v>
      </c>
      <c r="NKR1338" s="4" t="s">
        <v>2882</v>
      </c>
      <c r="NKS1338" s="4" t="s">
        <v>2882</v>
      </c>
      <c r="NKT1338" s="4" t="s">
        <v>2882</v>
      </c>
      <c r="NKU1338" s="4" t="s">
        <v>2882</v>
      </c>
      <c r="NKV1338" s="4" t="s">
        <v>2882</v>
      </c>
      <c r="NKW1338" s="4" t="s">
        <v>2882</v>
      </c>
      <c r="NKX1338" s="4" t="s">
        <v>2882</v>
      </c>
      <c r="NKY1338" s="4" t="s">
        <v>2882</v>
      </c>
      <c r="NKZ1338" s="4" t="s">
        <v>2882</v>
      </c>
      <c r="NLA1338" s="4" t="s">
        <v>2882</v>
      </c>
      <c r="NLB1338" s="4" t="s">
        <v>2882</v>
      </c>
      <c r="NLC1338" s="4" t="s">
        <v>2882</v>
      </c>
      <c r="NLD1338" s="4" t="s">
        <v>2882</v>
      </c>
      <c r="NLE1338" s="4" t="s">
        <v>2882</v>
      </c>
      <c r="NLF1338" s="4" t="s">
        <v>2882</v>
      </c>
      <c r="NLG1338" s="4" t="s">
        <v>2882</v>
      </c>
      <c r="NLH1338" s="4" t="s">
        <v>2882</v>
      </c>
      <c r="NLI1338" s="4" t="s">
        <v>2882</v>
      </c>
      <c r="NLJ1338" s="4" t="s">
        <v>2882</v>
      </c>
      <c r="NLK1338" s="4" t="s">
        <v>2882</v>
      </c>
      <c r="NLL1338" s="4" t="s">
        <v>2882</v>
      </c>
      <c r="NLM1338" s="4" t="s">
        <v>2882</v>
      </c>
      <c r="NLN1338" s="4" t="s">
        <v>2882</v>
      </c>
      <c r="NLO1338" s="4" t="s">
        <v>2882</v>
      </c>
      <c r="NLP1338" s="4" t="s">
        <v>2882</v>
      </c>
      <c r="NLQ1338" s="4" t="s">
        <v>2882</v>
      </c>
      <c r="NLR1338" s="4" t="s">
        <v>2882</v>
      </c>
      <c r="NLS1338" s="4" t="s">
        <v>2882</v>
      </c>
      <c r="NLT1338" s="4" t="s">
        <v>2882</v>
      </c>
      <c r="NLU1338" s="4" t="s">
        <v>2882</v>
      </c>
      <c r="NLV1338" s="4" t="s">
        <v>2882</v>
      </c>
      <c r="NLW1338" s="4" t="s">
        <v>2882</v>
      </c>
      <c r="NLX1338" s="4" t="s">
        <v>2882</v>
      </c>
      <c r="NLY1338" s="4" t="s">
        <v>2882</v>
      </c>
      <c r="NLZ1338" s="4" t="s">
        <v>2882</v>
      </c>
      <c r="NMA1338" s="4" t="s">
        <v>2882</v>
      </c>
      <c r="NMB1338" s="4" t="s">
        <v>2882</v>
      </c>
      <c r="NMC1338" s="4" t="s">
        <v>2882</v>
      </c>
      <c r="NMD1338" s="4" t="s">
        <v>2882</v>
      </c>
      <c r="NME1338" s="4" t="s">
        <v>2882</v>
      </c>
      <c r="NMF1338" s="4" t="s">
        <v>2882</v>
      </c>
      <c r="NMG1338" s="4" t="s">
        <v>2882</v>
      </c>
      <c r="NMH1338" s="4" t="s">
        <v>2882</v>
      </c>
      <c r="NMI1338" s="4" t="s">
        <v>2882</v>
      </c>
      <c r="NMJ1338" s="4" t="s">
        <v>2882</v>
      </c>
      <c r="NMK1338" s="4" t="s">
        <v>2882</v>
      </c>
      <c r="NML1338" s="4" t="s">
        <v>2882</v>
      </c>
      <c r="NMM1338" s="4" t="s">
        <v>2882</v>
      </c>
      <c r="NMN1338" s="4" t="s">
        <v>2882</v>
      </c>
      <c r="NMO1338" s="4" t="s">
        <v>2882</v>
      </c>
      <c r="NMP1338" s="4" t="s">
        <v>2882</v>
      </c>
      <c r="NMQ1338" s="4" t="s">
        <v>2882</v>
      </c>
      <c r="NMR1338" s="4" t="s">
        <v>2882</v>
      </c>
      <c r="NMS1338" s="4" t="s">
        <v>2882</v>
      </c>
      <c r="NMT1338" s="4" t="s">
        <v>2882</v>
      </c>
      <c r="NMU1338" s="4" t="s">
        <v>2882</v>
      </c>
      <c r="NMV1338" s="4" t="s">
        <v>2882</v>
      </c>
      <c r="NMW1338" s="4" t="s">
        <v>2882</v>
      </c>
      <c r="NMX1338" s="4" t="s">
        <v>2882</v>
      </c>
      <c r="NMY1338" s="4" t="s">
        <v>2882</v>
      </c>
      <c r="NMZ1338" s="4" t="s">
        <v>2882</v>
      </c>
      <c r="NNA1338" s="4" t="s">
        <v>2882</v>
      </c>
      <c r="NNB1338" s="4" t="s">
        <v>2882</v>
      </c>
      <c r="NNC1338" s="4" t="s">
        <v>2882</v>
      </c>
      <c r="NND1338" s="4" t="s">
        <v>2882</v>
      </c>
      <c r="NNE1338" s="4" t="s">
        <v>2882</v>
      </c>
      <c r="NNF1338" s="4" t="s">
        <v>2882</v>
      </c>
      <c r="NNG1338" s="4" t="s">
        <v>2882</v>
      </c>
      <c r="NNH1338" s="4" t="s">
        <v>2882</v>
      </c>
      <c r="NNI1338" s="4" t="s">
        <v>2882</v>
      </c>
      <c r="NNJ1338" s="4" t="s">
        <v>2882</v>
      </c>
      <c r="NNK1338" s="4" t="s">
        <v>2882</v>
      </c>
      <c r="NNL1338" s="4" t="s">
        <v>2882</v>
      </c>
      <c r="NNM1338" s="4" t="s">
        <v>2882</v>
      </c>
      <c r="NNN1338" s="4" t="s">
        <v>2882</v>
      </c>
      <c r="NNO1338" s="4" t="s">
        <v>2882</v>
      </c>
      <c r="NNP1338" s="4" t="s">
        <v>2882</v>
      </c>
      <c r="NNQ1338" s="4" t="s">
        <v>2882</v>
      </c>
      <c r="NNR1338" s="4" t="s">
        <v>2882</v>
      </c>
      <c r="NNS1338" s="4" t="s">
        <v>2882</v>
      </c>
      <c r="NNT1338" s="4" t="s">
        <v>2882</v>
      </c>
      <c r="NNU1338" s="4" t="s">
        <v>2882</v>
      </c>
      <c r="NNV1338" s="4" t="s">
        <v>2882</v>
      </c>
      <c r="NNW1338" s="4" t="s">
        <v>2882</v>
      </c>
      <c r="NNX1338" s="4" t="s">
        <v>2882</v>
      </c>
      <c r="NNY1338" s="4" t="s">
        <v>2882</v>
      </c>
      <c r="NNZ1338" s="4" t="s">
        <v>2882</v>
      </c>
      <c r="NOA1338" s="4" t="s">
        <v>2882</v>
      </c>
      <c r="NOB1338" s="4" t="s">
        <v>2882</v>
      </c>
      <c r="NOC1338" s="4" t="s">
        <v>2882</v>
      </c>
      <c r="NOD1338" s="4" t="s">
        <v>2882</v>
      </c>
      <c r="NOE1338" s="4" t="s">
        <v>2882</v>
      </c>
      <c r="NOF1338" s="4" t="s">
        <v>2882</v>
      </c>
      <c r="NOG1338" s="4" t="s">
        <v>2882</v>
      </c>
      <c r="NOH1338" s="4" t="s">
        <v>2882</v>
      </c>
      <c r="NOI1338" s="4" t="s">
        <v>2882</v>
      </c>
      <c r="NOJ1338" s="4" t="s">
        <v>2882</v>
      </c>
      <c r="NOK1338" s="4" t="s">
        <v>2882</v>
      </c>
      <c r="NOL1338" s="4" t="s">
        <v>2882</v>
      </c>
      <c r="NOM1338" s="4" t="s">
        <v>2882</v>
      </c>
      <c r="NON1338" s="4" t="s">
        <v>2882</v>
      </c>
      <c r="NOO1338" s="4" t="s">
        <v>2882</v>
      </c>
      <c r="NOP1338" s="4" t="s">
        <v>2882</v>
      </c>
      <c r="NOQ1338" s="4" t="s">
        <v>2882</v>
      </c>
      <c r="NOR1338" s="4" t="s">
        <v>2882</v>
      </c>
      <c r="NOS1338" s="4" t="s">
        <v>2882</v>
      </c>
      <c r="NOT1338" s="4" t="s">
        <v>2882</v>
      </c>
      <c r="NOU1338" s="4" t="s">
        <v>2882</v>
      </c>
      <c r="NOV1338" s="4" t="s">
        <v>2882</v>
      </c>
      <c r="NOW1338" s="4" t="s">
        <v>2882</v>
      </c>
      <c r="NOX1338" s="4" t="s">
        <v>2882</v>
      </c>
      <c r="NOY1338" s="4" t="s">
        <v>2882</v>
      </c>
      <c r="NOZ1338" s="4" t="s">
        <v>2882</v>
      </c>
      <c r="NPA1338" s="4" t="s">
        <v>2882</v>
      </c>
      <c r="NPB1338" s="4" t="s">
        <v>2882</v>
      </c>
      <c r="NPC1338" s="4" t="s">
        <v>2882</v>
      </c>
      <c r="NPD1338" s="4" t="s">
        <v>2882</v>
      </c>
      <c r="NPE1338" s="4" t="s">
        <v>2882</v>
      </c>
      <c r="NPF1338" s="4" t="s">
        <v>2882</v>
      </c>
      <c r="NPG1338" s="4" t="s">
        <v>2882</v>
      </c>
      <c r="NPH1338" s="4" t="s">
        <v>2882</v>
      </c>
      <c r="NPI1338" s="4" t="s">
        <v>2882</v>
      </c>
      <c r="NPJ1338" s="4" t="s">
        <v>2882</v>
      </c>
      <c r="NPK1338" s="4" t="s">
        <v>2882</v>
      </c>
      <c r="NPL1338" s="4" t="s">
        <v>2882</v>
      </c>
      <c r="NPM1338" s="4" t="s">
        <v>2882</v>
      </c>
      <c r="NPN1338" s="4" t="s">
        <v>2882</v>
      </c>
      <c r="NPO1338" s="4" t="s">
        <v>2882</v>
      </c>
      <c r="NPP1338" s="4" t="s">
        <v>2882</v>
      </c>
      <c r="NPQ1338" s="4" t="s">
        <v>2882</v>
      </c>
      <c r="NPR1338" s="4" t="s">
        <v>2882</v>
      </c>
      <c r="NPS1338" s="4" t="s">
        <v>2882</v>
      </c>
      <c r="NPT1338" s="4" t="s">
        <v>2882</v>
      </c>
      <c r="NPU1338" s="4" t="s">
        <v>2882</v>
      </c>
      <c r="NPV1338" s="4" t="s">
        <v>2882</v>
      </c>
      <c r="NPW1338" s="4" t="s">
        <v>2882</v>
      </c>
      <c r="NPX1338" s="4" t="s">
        <v>2882</v>
      </c>
      <c r="NPY1338" s="4" t="s">
        <v>2882</v>
      </c>
      <c r="NPZ1338" s="4" t="s">
        <v>2882</v>
      </c>
      <c r="NQA1338" s="4" t="s">
        <v>2882</v>
      </c>
      <c r="NQB1338" s="4" t="s">
        <v>2882</v>
      </c>
      <c r="NQC1338" s="4" t="s">
        <v>2882</v>
      </c>
      <c r="NQD1338" s="4" t="s">
        <v>2882</v>
      </c>
      <c r="NQE1338" s="4" t="s">
        <v>2882</v>
      </c>
      <c r="NQF1338" s="4" t="s">
        <v>2882</v>
      </c>
      <c r="NQG1338" s="4" t="s">
        <v>2882</v>
      </c>
      <c r="NQH1338" s="4" t="s">
        <v>2882</v>
      </c>
      <c r="NQI1338" s="4" t="s">
        <v>2882</v>
      </c>
      <c r="NQJ1338" s="4" t="s">
        <v>2882</v>
      </c>
      <c r="NQK1338" s="4" t="s">
        <v>2882</v>
      </c>
      <c r="NQL1338" s="4" t="s">
        <v>2882</v>
      </c>
      <c r="NQM1338" s="4" t="s">
        <v>2882</v>
      </c>
      <c r="NQN1338" s="4" t="s">
        <v>2882</v>
      </c>
      <c r="NQO1338" s="4" t="s">
        <v>2882</v>
      </c>
      <c r="NQP1338" s="4" t="s">
        <v>2882</v>
      </c>
      <c r="NQQ1338" s="4" t="s">
        <v>2882</v>
      </c>
      <c r="NQR1338" s="4" t="s">
        <v>2882</v>
      </c>
      <c r="NQS1338" s="4" t="s">
        <v>2882</v>
      </c>
      <c r="NQT1338" s="4" t="s">
        <v>2882</v>
      </c>
      <c r="NQU1338" s="4" t="s">
        <v>2882</v>
      </c>
      <c r="NQV1338" s="4" t="s">
        <v>2882</v>
      </c>
      <c r="NQW1338" s="4" t="s">
        <v>2882</v>
      </c>
      <c r="NQX1338" s="4" t="s">
        <v>2882</v>
      </c>
      <c r="NQY1338" s="4" t="s">
        <v>2882</v>
      </c>
      <c r="NQZ1338" s="4" t="s">
        <v>2882</v>
      </c>
      <c r="NRA1338" s="4" t="s">
        <v>2882</v>
      </c>
      <c r="NRB1338" s="4" t="s">
        <v>2882</v>
      </c>
      <c r="NRC1338" s="4" t="s">
        <v>2882</v>
      </c>
      <c r="NRD1338" s="4" t="s">
        <v>2882</v>
      </c>
      <c r="NRE1338" s="4" t="s">
        <v>2882</v>
      </c>
      <c r="NRF1338" s="4" t="s">
        <v>2882</v>
      </c>
      <c r="NRG1338" s="4" t="s">
        <v>2882</v>
      </c>
      <c r="NRH1338" s="4" t="s">
        <v>2882</v>
      </c>
      <c r="NRI1338" s="4" t="s">
        <v>2882</v>
      </c>
      <c r="NRJ1338" s="4" t="s">
        <v>2882</v>
      </c>
      <c r="NRK1338" s="4" t="s">
        <v>2882</v>
      </c>
      <c r="NRL1338" s="4" t="s">
        <v>2882</v>
      </c>
      <c r="NRM1338" s="4" t="s">
        <v>2882</v>
      </c>
      <c r="NRN1338" s="4" t="s">
        <v>2882</v>
      </c>
      <c r="NRO1338" s="4" t="s">
        <v>2882</v>
      </c>
      <c r="NRP1338" s="4" t="s">
        <v>2882</v>
      </c>
      <c r="NRQ1338" s="4" t="s">
        <v>2882</v>
      </c>
      <c r="NRR1338" s="4" t="s">
        <v>2882</v>
      </c>
      <c r="NRS1338" s="4" t="s">
        <v>2882</v>
      </c>
      <c r="NRT1338" s="4" t="s">
        <v>2882</v>
      </c>
      <c r="NRU1338" s="4" t="s">
        <v>2882</v>
      </c>
      <c r="NRV1338" s="4" t="s">
        <v>2882</v>
      </c>
      <c r="NRW1338" s="4" t="s">
        <v>2882</v>
      </c>
      <c r="NRX1338" s="4" t="s">
        <v>2882</v>
      </c>
      <c r="NRY1338" s="4" t="s">
        <v>2882</v>
      </c>
      <c r="NRZ1338" s="4" t="s">
        <v>2882</v>
      </c>
      <c r="NSA1338" s="4" t="s">
        <v>2882</v>
      </c>
      <c r="NSB1338" s="4" t="s">
        <v>2882</v>
      </c>
      <c r="NSC1338" s="4" t="s">
        <v>2882</v>
      </c>
      <c r="NSD1338" s="4" t="s">
        <v>2882</v>
      </c>
      <c r="NSE1338" s="4" t="s">
        <v>2882</v>
      </c>
      <c r="NSF1338" s="4" t="s">
        <v>2882</v>
      </c>
      <c r="NSG1338" s="4" t="s">
        <v>2882</v>
      </c>
      <c r="NSH1338" s="4" t="s">
        <v>2882</v>
      </c>
      <c r="NSI1338" s="4" t="s">
        <v>2882</v>
      </c>
      <c r="NSJ1338" s="4" t="s">
        <v>2882</v>
      </c>
      <c r="NSK1338" s="4" t="s">
        <v>2882</v>
      </c>
      <c r="NSL1338" s="4" t="s">
        <v>2882</v>
      </c>
      <c r="NSM1338" s="4" t="s">
        <v>2882</v>
      </c>
      <c r="NSN1338" s="4" t="s">
        <v>2882</v>
      </c>
      <c r="NSO1338" s="4" t="s">
        <v>2882</v>
      </c>
      <c r="NSP1338" s="4" t="s">
        <v>2882</v>
      </c>
      <c r="NSQ1338" s="4" t="s">
        <v>2882</v>
      </c>
      <c r="NSR1338" s="4" t="s">
        <v>2882</v>
      </c>
      <c r="NSS1338" s="4" t="s">
        <v>2882</v>
      </c>
      <c r="NST1338" s="4" t="s">
        <v>2882</v>
      </c>
      <c r="NSU1338" s="4" t="s">
        <v>2882</v>
      </c>
      <c r="NSV1338" s="4" t="s">
        <v>2882</v>
      </c>
      <c r="NSW1338" s="4" t="s">
        <v>2882</v>
      </c>
      <c r="NSX1338" s="4" t="s">
        <v>2882</v>
      </c>
      <c r="NSY1338" s="4" t="s">
        <v>2882</v>
      </c>
      <c r="NSZ1338" s="4" t="s">
        <v>2882</v>
      </c>
      <c r="NTA1338" s="4" t="s">
        <v>2882</v>
      </c>
      <c r="NTB1338" s="4" t="s">
        <v>2882</v>
      </c>
      <c r="NTC1338" s="4" t="s">
        <v>2882</v>
      </c>
      <c r="NTD1338" s="4" t="s">
        <v>2882</v>
      </c>
      <c r="NTE1338" s="4" t="s">
        <v>2882</v>
      </c>
      <c r="NTF1338" s="4" t="s">
        <v>2882</v>
      </c>
      <c r="NTG1338" s="4" t="s">
        <v>2882</v>
      </c>
      <c r="NTH1338" s="4" t="s">
        <v>2882</v>
      </c>
      <c r="NTI1338" s="4" t="s">
        <v>2882</v>
      </c>
      <c r="NTJ1338" s="4" t="s">
        <v>2882</v>
      </c>
      <c r="NTK1338" s="4" t="s">
        <v>2882</v>
      </c>
      <c r="NTL1338" s="4" t="s">
        <v>2882</v>
      </c>
      <c r="NTM1338" s="4" t="s">
        <v>2882</v>
      </c>
      <c r="NTN1338" s="4" t="s">
        <v>2882</v>
      </c>
      <c r="NTO1338" s="4" t="s">
        <v>2882</v>
      </c>
      <c r="NTP1338" s="4" t="s">
        <v>2882</v>
      </c>
      <c r="NTQ1338" s="4" t="s">
        <v>2882</v>
      </c>
      <c r="NTR1338" s="4" t="s">
        <v>2882</v>
      </c>
      <c r="NTS1338" s="4" t="s">
        <v>2882</v>
      </c>
      <c r="NTT1338" s="4" t="s">
        <v>2882</v>
      </c>
      <c r="NTU1338" s="4" t="s">
        <v>2882</v>
      </c>
      <c r="NTV1338" s="4" t="s">
        <v>2882</v>
      </c>
      <c r="NTW1338" s="4" t="s">
        <v>2882</v>
      </c>
      <c r="NTX1338" s="4" t="s">
        <v>2882</v>
      </c>
      <c r="NTY1338" s="4" t="s">
        <v>2882</v>
      </c>
      <c r="NTZ1338" s="4" t="s">
        <v>2882</v>
      </c>
      <c r="NUA1338" s="4" t="s">
        <v>2882</v>
      </c>
      <c r="NUB1338" s="4" t="s">
        <v>2882</v>
      </c>
      <c r="NUC1338" s="4" t="s">
        <v>2882</v>
      </c>
      <c r="NUD1338" s="4" t="s">
        <v>2882</v>
      </c>
      <c r="NUE1338" s="4" t="s">
        <v>2882</v>
      </c>
      <c r="NUF1338" s="4" t="s">
        <v>2882</v>
      </c>
      <c r="NUG1338" s="4" t="s">
        <v>2882</v>
      </c>
      <c r="NUH1338" s="4" t="s">
        <v>2882</v>
      </c>
      <c r="NUI1338" s="4" t="s">
        <v>2882</v>
      </c>
      <c r="NUJ1338" s="4" t="s">
        <v>2882</v>
      </c>
      <c r="NUK1338" s="4" t="s">
        <v>2882</v>
      </c>
      <c r="NUL1338" s="4" t="s">
        <v>2882</v>
      </c>
      <c r="NUM1338" s="4" t="s">
        <v>2882</v>
      </c>
      <c r="NUN1338" s="4" t="s">
        <v>2882</v>
      </c>
      <c r="NUO1338" s="4" t="s">
        <v>2882</v>
      </c>
      <c r="NUP1338" s="4" t="s">
        <v>2882</v>
      </c>
      <c r="NUQ1338" s="4" t="s">
        <v>2882</v>
      </c>
      <c r="NUR1338" s="4" t="s">
        <v>2882</v>
      </c>
      <c r="NUS1338" s="4" t="s">
        <v>2882</v>
      </c>
      <c r="NUT1338" s="4" t="s">
        <v>2882</v>
      </c>
      <c r="NUU1338" s="4" t="s">
        <v>2882</v>
      </c>
      <c r="NUV1338" s="4" t="s">
        <v>2882</v>
      </c>
      <c r="NUW1338" s="4" t="s">
        <v>2882</v>
      </c>
      <c r="NUX1338" s="4" t="s">
        <v>2882</v>
      </c>
      <c r="NUY1338" s="4" t="s">
        <v>2882</v>
      </c>
      <c r="NUZ1338" s="4" t="s">
        <v>2882</v>
      </c>
      <c r="NVA1338" s="4" t="s">
        <v>2882</v>
      </c>
      <c r="NVB1338" s="4" t="s">
        <v>2882</v>
      </c>
      <c r="NVC1338" s="4" t="s">
        <v>2882</v>
      </c>
      <c r="NVD1338" s="4" t="s">
        <v>2882</v>
      </c>
      <c r="NVE1338" s="4" t="s">
        <v>2882</v>
      </c>
      <c r="NVF1338" s="4" t="s">
        <v>2882</v>
      </c>
      <c r="NVG1338" s="4" t="s">
        <v>2882</v>
      </c>
      <c r="NVH1338" s="4" t="s">
        <v>2882</v>
      </c>
      <c r="NVI1338" s="4" t="s">
        <v>2882</v>
      </c>
      <c r="NVJ1338" s="4" t="s">
        <v>2882</v>
      </c>
      <c r="NVK1338" s="4" t="s">
        <v>2882</v>
      </c>
      <c r="NVL1338" s="4" t="s">
        <v>2882</v>
      </c>
      <c r="NVM1338" s="4" t="s">
        <v>2882</v>
      </c>
      <c r="NVN1338" s="4" t="s">
        <v>2882</v>
      </c>
      <c r="NVO1338" s="4" t="s">
        <v>2882</v>
      </c>
      <c r="NVP1338" s="4" t="s">
        <v>2882</v>
      </c>
      <c r="NVQ1338" s="4" t="s">
        <v>2882</v>
      </c>
      <c r="NVR1338" s="4" t="s">
        <v>2882</v>
      </c>
      <c r="NVS1338" s="4" t="s">
        <v>2882</v>
      </c>
      <c r="NVT1338" s="4" t="s">
        <v>2882</v>
      </c>
      <c r="NVU1338" s="4" t="s">
        <v>2882</v>
      </c>
      <c r="NVV1338" s="4" t="s">
        <v>2882</v>
      </c>
      <c r="NVW1338" s="4" t="s">
        <v>2882</v>
      </c>
      <c r="NVX1338" s="4" t="s">
        <v>2882</v>
      </c>
      <c r="NVY1338" s="4" t="s">
        <v>2882</v>
      </c>
      <c r="NVZ1338" s="4" t="s">
        <v>2882</v>
      </c>
      <c r="NWA1338" s="4" t="s">
        <v>2882</v>
      </c>
      <c r="NWB1338" s="4" t="s">
        <v>2882</v>
      </c>
      <c r="NWC1338" s="4" t="s">
        <v>2882</v>
      </c>
      <c r="NWD1338" s="4" t="s">
        <v>2882</v>
      </c>
      <c r="NWE1338" s="4" t="s">
        <v>2882</v>
      </c>
      <c r="NWF1338" s="4" t="s">
        <v>2882</v>
      </c>
      <c r="NWG1338" s="4" t="s">
        <v>2882</v>
      </c>
      <c r="NWH1338" s="4" t="s">
        <v>2882</v>
      </c>
      <c r="NWI1338" s="4" t="s">
        <v>2882</v>
      </c>
      <c r="NWJ1338" s="4" t="s">
        <v>2882</v>
      </c>
      <c r="NWK1338" s="4" t="s">
        <v>2882</v>
      </c>
      <c r="NWL1338" s="4" t="s">
        <v>2882</v>
      </c>
      <c r="NWM1338" s="4" t="s">
        <v>2882</v>
      </c>
      <c r="NWN1338" s="4" t="s">
        <v>2882</v>
      </c>
      <c r="NWO1338" s="4" t="s">
        <v>2882</v>
      </c>
      <c r="NWP1338" s="4" t="s">
        <v>2882</v>
      </c>
      <c r="NWQ1338" s="4" t="s">
        <v>2882</v>
      </c>
      <c r="NWR1338" s="4" t="s">
        <v>2882</v>
      </c>
      <c r="NWS1338" s="4" t="s">
        <v>2882</v>
      </c>
      <c r="NWT1338" s="4" t="s">
        <v>2882</v>
      </c>
      <c r="NWU1338" s="4" t="s">
        <v>2882</v>
      </c>
      <c r="NWV1338" s="4" t="s">
        <v>2882</v>
      </c>
      <c r="NWW1338" s="4" t="s">
        <v>2882</v>
      </c>
      <c r="NWX1338" s="4" t="s">
        <v>2882</v>
      </c>
      <c r="NWY1338" s="4" t="s">
        <v>2882</v>
      </c>
      <c r="NWZ1338" s="4" t="s">
        <v>2882</v>
      </c>
      <c r="NXA1338" s="4" t="s">
        <v>2882</v>
      </c>
      <c r="NXB1338" s="4" t="s">
        <v>2882</v>
      </c>
      <c r="NXC1338" s="4" t="s">
        <v>2882</v>
      </c>
      <c r="NXD1338" s="4" t="s">
        <v>2882</v>
      </c>
      <c r="NXE1338" s="4" t="s">
        <v>2882</v>
      </c>
      <c r="NXF1338" s="4" t="s">
        <v>2882</v>
      </c>
      <c r="NXG1338" s="4" t="s">
        <v>2882</v>
      </c>
      <c r="NXH1338" s="4" t="s">
        <v>2882</v>
      </c>
      <c r="NXI1338" s="4" t="s">
        <v>2882</v>
      </c>
      <c r="NXJ1338" s="4" t="s">
        <v>2882</v>
      </c>
      <c r="NXK1338" s="4" t="s">
        <v>2882</v>
      </c>
      <c r="NXL1338" s="4" t="s">
        <v>2882</v>
      </c>
      <c r="NXM1338" s="4" t="s">
        <v>2882</v>
      </c>
      <c r="NXN1338" s="4" t="s">
        <v>2882</v>
      </c>
      <c r="NXO1338" s="4" t="s">
        <v>2882</v>
      </c>
      <c r="NXP1338" s="4" t="s">
        <v>2882</v>
      </c>
      <c r="NXQ1338" s="4" t="s">
        <v>2882</v>
      </c>
      <c r="NXR1338" s="4" t="s">
        <v>2882</v>
      </c>
      <c r="NXS1338" s="4" t="s">
        <v>2882</v>
      </c>
      <c r="NXT1338" s="4" t="s">
        <v>2882</v>
      </c>
      <c r="NXU1338" s="4" t="s">
        <v>2882</v>
      </c>
      <c r="NXV1338" s="4" t="s">
        <v>2882</v>
      </c>
      <c r="NXW1338" s="4" t="s">
        <v>2882</v>
      </c>
      <c r="NXX1338" s="4" t="s">
        <v>2882</v>
      </c>
      <c r="NXY1338" s="4" t="s">
        <v>2882</v>
      </c>
      <c r="NXZ1338" s="4" t="s">
        <v>2882</v>
      </c>
      <c r="NYA1338" s="4" t="s">
        <v>2882</v>
      </c>
      <c r="NYB1338" s="4" t="s">
        <v>2882</v>
      </c>
      <c r="NYC1338" s="4" t="s">
        <v>2882</v>
      </c>
      <c r="NYD1338" s="4" t="s">
        <v>2882</v>
      </c>
      <c r="NYE1338" s="4" t="s">
        <v>2882</v>
      </c>
      <c r="NYF1338" s="4" t="s">
        <v>2882</v>
      </c>
      <c r="NYG1338" s="4" t="s">
        <v>2882</v>
      </c>
      <c r="NYH1338" s="4" t="s">
        <v>2882</v>
      </c>
      <c r="NYI1338" s="4" t="s">
        <v>2882</v>
      </c>
      <c r="NYJ1338" s="4" t="s">
        <v>2882</v>
      </c>
      <c r="NYK1338" s="4" t="s">
        <v>2882</v>
      </c>
      <c r="NYL1338" s="4" t="s">
        <v>2882</v>
      </c>
      <c r="NYM1338" s="4" t="s">
        <v>2882</v>
      </c>
      <c r="NYN1338" s="4" t="s">
        <v>2882</v>
      </c>
      <c r="NYO1338" s="4" t="s">
        <v>2882</v>
      </c>
      <c r="NYP1338" s="4" t="s">
        <v>2882</v>
      </c>
      <c r="NYQ1338" s="4" t="s">
        <v>2882</v>
      </c>
      <c r="NYR1338" s="4" t="s">
        <v>2882</v>
      </c>
      <c r="NYS1338" s="4" t="s">
        <v>2882</v>
      </c>
      <c r="NYT1338" s="4" t="s">
        <v>2882</v>
      </c>
      <c r="NYU1338" s="4" t="s">
        <v>2882</v>
      </c>
      <c r="NYV1338" s="4" t="s">
        <v>2882</v>
      </c>
      <c r="NYW1338" s="4" t="s">
        <v>2882</v>
      </c>
      <c r="NYX1338" s="4" t="s">
        <v>2882</v>
      </c>
      <c r="NYY1338" s="4" t="s">
        <v>2882</v>
      </c>
      <c r="NYZ1338" s="4" t="s">
        <v>2882</v>
      </c>
      <c r="NZA1338" s="4" t="s">
        <v>2882</v>
      </c>
      <c r="NZB1338" s="4" t="s">
        <v>2882</v>
      </c>
      <c r="NZC1338" s="4" t="s">
        <v>2882</v>
      </c>
      <c r="NZD1338" s="4" t="s">
        <v>2882</v>
      </c>
      <c r="NZE1338" s="4" t="s">
        <v>2882</v>
      </c>
      <c r="NZF1338" s="4" t="s">
        <v>2882</v>
      </c>
      <c r="NZG1338" s="4" t="s">
        <v>2882</v>
      </c>
      <c r="NZH1338" s="4" t="s">
        <v>2882</v>
      </c>
      <c r="NZI1338" s="4" t="s">
        <v>2882</v>
      </c>
      <c r="NZJ1338" s="4" t="s">
        <v>2882</v>
      </c>
      <c r="NZK1338" s="4" t="s">
        <v>2882</v>
      </c>
      <c r="NZL1338" s="4" t="s">
        <v>2882</v>
      </c>
      <c r="NZM1338" s="4" t="s">
        <v>2882</v>
      </c>
      <c r="NZN1338" s="4" t="s">
        <v>2882</v>
      </c>
      <c r="NZO1338" s="4" t="s">
        <v>2882</v>
      </c>
      <c r="NZP1338" s="4" t="s">
        <v>2882</v>
      </c>
      <c r="NZQ1338" s="4" t="s">
        <v>2882</v>
      </c>
      <c r="NZR1338" s="4" t="s">
        <v>2882</v>
      </c>
      <c r="NZS1338" s="4" t="s">
        <v>2882</v>
      </c>
      <c r="NZT1338" s="4" t="s">
        <v>2882</v>
      </c>
      <c r="NZU1338" s="4" t="s">
        <v>2882</v>
      </c>
      <c r="NZV1338" s="4" t="s">
        <v>2882</v>
      </c>
      <c r="NZW1338" s="4" t="s">
        <v>2882</v>
      </c>
      <c r="NZX1338" s="4" t="s">
        <v>2882</v>
      </c>
      <c r="NZY1338" s="4" t="s">
        <v>2882</v>
      </c>
      <c r="NZZ1338" s="4" t="s">
        <v>2882</v>
      </c>
      <c r="OAA1338" s="4" t="s">
        <v>2882</v>
      </c>
      <c r="OAB1338" s="4" t="s">
        <v>2882</v>
      </c>
      <c r="OAC1338" s="4" t="s">
        <v>2882</v>
      </c>
      <c r="OAD1338" s="4" t="s">
        <v>2882</v>
      </c>
      <c r="OAE1338" s="4" t="s">
        <v>2882</v>
      </c>
      <c r="OAF1338" s="4" t="s">
        <v>2882</v>
      </c>
      <c r="OAG1338" s="4" t="s">
        <v>2882</v>
      </c>
      <c r="OAH1338" s="4" t="s">
        <v>2882</v>
      </c>
      <c r="OAI1338" s="4" t="s">
        <v>2882</v>
      </c>
      <c r="OAJ1338" s="4" t="s">
        <v>2882</v>
      </c>
      <c r="OAK1338" s="4" t="s">
        <v>2882</v>
      </c>
      <c r="OAL1338" s="4" t="s">
        <v>2882</v>
      </c>
      <c r="OAM1338" s="4" t="s">
        <v>2882</v>
      </c>
      <c r="OAN1338" s="4" t="s">
        <v>2882</v>
      </c>
      <c r="OAO1338" s="4" t="s">
        <v>2882</v>
      </c>
      <c r="OAP1338" s="4" t="s">
        <v>2882</v>
      </c>
      <c r="OAQ1338" s="4" t="s">
        <v>2882</v>
      </c>
      <c r="OAR1338" s="4" t="s">
        <v>2882</v>
      </c>
      <c r="OAS1338" s="4" t="s">
        <v>2882</v>
      </c>
      <c r="OAT1338" s="4" t="s">
        <v>2882</v>
      </c>
      <c r="OAU1338" s="4" t="s">
        <v>2882</v>
      </c>
      <c r="OAV1338" s="4" t="s">
        <v>2882</v>
      </c>
      <c r="OAW1338" s="4" t="s">
        <v>2882</v>
      </c>
      <c r="OAX1338" s="4" t="s">
        <v>2882</v>
      </c>
      <c r="OAY1338" s="4" t="s">
        <v>2882</v>
      </c>
      <c r="OAZ1338" s="4" t="s">
        <v>2882</v>
      </c>
      <c r="OBA1338" s="4" t="s">
        <v>2882</v>
      </c>
      <c r="OBB1338" s="4" t="s">
        <v>2882</v>
      </c>
      <c r="OBC1338" s="4" t="s">
        <v>2882</v>
      </c>
      <c r="OBD1338" s="4" t="s">
        <v>2882</v>
      </c>
      <c r="OBE1338" s="4" t="s">
        <v>2882</v>
      </c>
      <c r="OBF1338" s="4" t="s">
        <v>2882</v>
      </c>
      <c r="OBG1338" s="4" t="s">
        <v>2882</v>
      </c>
      <c r="OBH1338" s="4" t="s">
        <v>2882</v>
      </c>
      <c r="OBI1338" s="4" t="s">
        <v>2882</v>
      </c>
      <c r="OBJ1338" s="4" t="s">
        <v>2882</v>
      </c>
      <c r="OBK1338" s="4" t="s">
        <v>2882</v>
      </c>
      <c r="OBL1338" s="4" t="s">
        <v>2882</v>
      </c>
      <c r="OBM1338" s="4" t="s">
        <v>2882</v>
      </c>
      <c r="OBN1338" s="4" t="s">
        <v>2882</v>
      </c>
      <c r="OBO1338" s="4" t="s">
        <v>2882</v>
      </c>
      <c r="OBP1338" s="4" t="s">
        <v>2882</v>
      </c>
      <c r="OBQ1338" s="4" t="s">
        <v>2882</v>
      </c>
      <c r="OBR1338" s="4" t="s">
        <v>2882</v>
      </c>
      <c r="OBS1338" s="4" t="s">
        <v>2882</v>
      </c>
      <c r="OBT1338" s="4" t="s">
        <v>2882</v>
      </c>
      <c r="OBU1338" s="4" t="s">
        <v>2882</v>
      </c>
      <c r="OBV1338" s="4" t="s">
        <v>2882</v>
      </c>
      <c r="OBW1338" s="4" t="s">
        <v>2882</v>
      </c>
      <c r="OBX1338" s="4" t="s">
        <v>2882</v>
      </c>
      <c r="OBY1338" s="4" t="s">
        <v>2882</v>
      </c>
      <c r="OBZ1338" s="4" t="s">
        <v>2882</v>
      </c>
      <c r="OCA1338" s="4" t="s">
        <v>2882</v>
      </c>
      <c r="OCB1338" s="4" t="s">
        <v>2882</v>
      </c>
      <c r="OCC1338" s="4" t="s">
        <v>2882</v>
      </c>
      <c r="OCD1338" s="4" t="s">
        <v>2882</v>
      </c>
      <c r="OCE1338" s="4" t="s">
        <v>2882</v>
      </c>
      <c r="OCF1338" s="4" t="s">
        <v>2882</v>
      </c>
      <c r="OCG1338" s="4" t="s">
        <v>2882</v>
      </c>
      <c r="OCH1338" s="4" t="s">
        <v>2882</v>
      </c>
      <c r="OCI1338" s="4" t="s">
        <v>2882</v>
      </c>
      <c r="OCJ1338" s="4" t="s">
        <v>2882</v>
      </c>
      <c r="OCK1338" s="4" t="s">
        <v>2882</v>
      </c>
      <c r="OCL1338" s="4" t="s">
        <v>2882</v>
      </c>
      <c r="OCM1338" s="4" t="s">
        <v>2882</v>
      </c>
      <c r="OCN1338" s="4" t="s">
        <v>2882</v>
      </c>
      <c r="OCO1338" s="4" t="s">
        <v>2882</v>
      </c>
      <c r="OCP1338" s="4" t="s">
        <v>2882</v>
      </c>
      <c r="OCQ1338" s="4" t="s">
        <v>2882</v>
      </c>
      <c r="OCR1338" s="4" t="s">
        <v>2882</v>
      </c>
      <c r="OCS1338" s="4" t="s">
        <v>2882</v>
      </c>
      <c r="OCT1338" s="4" t="s">
        <v>2882</v>
      </c>
      <c r="OCU1338" s="4" t="s">
        <v>2882</v>
      </c>
      <c r="OCV1338" s="4" t="s">
        <v>2882</v>
      </c>
      <c r="OCW1338" s="4" t="s">
        <v>2882</v>
      </c>
      <c r="OCX1338" s="4" t="s">
        <v>2882</v>
      </c>
      <c r="OCY1338" s="4" t="s">
        <v>2882</v>
      </c>
      <c r="OCZ1338" s="4" t="s">
        <v>2882</v>
      </c>
      <c r="ODA1338" s="4" t="s">
        <v>2882</v>
      </c>
      <c r="ODB1338" s="4" t="s">
        <v>2882</v>
      </c>
      <c r="ODC1338" s="4" t="s">
        <v>2882</v>
      </c>
      <c r="ODD1338" s="4" t="s">
        <v>2882</v>
      </c>
      <c r="ODE1338" s="4" t="s">
        <v>2882</v>
      </c>
      <c r="ODF1338" s="4" t="s">
        <v>2882</v>
      </c>
      <c r="ODG1338" s="4" t="s">
        <v>2882</v>
      </c>
      <c r="ODH1338" s="4" t="s">
        <v>2882</v>
      </c>
      <c r="ODI1338" s="4" t="s">
        <v>2882</v>
      </c>
      <c r="ODJ1338" s="4" t="s">
        <v>2882</v>
      </c>
      <c r="ODK1338" s="4" t="s">
        <v>2882</v>
      </c>
      <c r="ODL1338" s="4" t="s">
        <v>2882</v>
      </c>
      <c r="ODM1338" s="4" t="s">
        <v>2882</v>
      </c>
      <c r="ODN1338" s="4" t="s">
        <v>2882</v>
      </c>
      <c r="ODO1338" s="4" t="s">
        <v>2882</v>
      </c>
      <c r="ODP1338" s="4" t="s">
        <v>2882</v>
      </c>
      <c r="ODQ1338" s="4" t="s">
        <v>2882</v>
      </c>
      <c r="ODR1338" s="4" t="s">
        <v>2882</v>
      </c>
      <c r="ODS1338" s="4" t="s">
        <v>2882</v>
      </c>
      <c r="ODT1338" s="4" t="s">
        <v>2882</v>
      </c>
      <c r="ODU1338" s="4" t="s">
        <v>2882</v>
      </c>
      <c r="ODV1338" s="4" t="s">
        <v>2882</v>
      </c>
      <c r="ODW1338" s="4" t="s">
        <v>2882</v>
      </c>
      <c r="ODX1338" s="4" t="s">
        <v>2882</v>
      </c>
      <c r="ODY1338" s="4" t="s">
        <v>2882</v>
      </c>
      <c r="ODZ1338" s="4" t="s">
        <v>2882</v>
      </c>
      <c r="OEA1338" s="4" t="s">
        <v>2882</v>
      </c>
      <c r="OEB1338" s="4" t="s">
        <v>2882</v>
      </c>
      <c r="OEC1338" s="4" t="s">
        <v>2882</v>
      </c>
      <c r="OED1338" s="4" t="s">
        <v>2882</v>
      </c>
      <c r="OEE1338" s="4" t="s">
        <v>2882</v>
      </c>
      <c r="OEF1338" s="4" t="s">
        <v>2882</v>
      </c>
      <c r="OEG1338" s="4" t="s">
        <v>2882</v>
      </c>
      <c r="OEH1338" s="4" t="s">
        <v>2882</v>
      </c>
      <c r="OEI1338" s="4" t="s">
        <v>2882</v>
      </c>
      <c r="OEJ1338" s="4" t="s">
        <v>2882</v>
      </c>
      <c r="OEK1338" s="4" t="s">
        <v>2882</v>
      </c>
      <c r="OEL1338" s="4" t="s">
        <v>2882</v>
      </c>
      <c r="OEM1338" s="4" t="s">
        <v>2882</v>
      </c>
      <c r="OEN1338" s="4" t="s">
        <v>2882</v>
      </c>
      <c r="OEO1338" s="4" t="s">
        <v>2882</v>
      </c>
      <c r="OEP1338" s="4" t="s">
        <v>2882</v>
      </c>
      <c r="OEQ1338" s="4" t="s">
        <v>2882</v>
      </c>
      <c r="OER1338" s="4" t="s">
        <v>2882</v>
      </c>
      <c r="OES1338" s="4" t="s">
        <v>2882</v>
      </c>
      <c r="OET1338" s="4" t="s">
        <v>2882</v>
      </c>
      <c r="OEU1338" s="4" t="s">
        <v>2882</v>
      </c>
      <c r="OEV1338" s="4" t="s">
        <v>2882</v>
      </c>
      <c r="OEW1338" s="4" t="s">
        <v>2882</v>
      </c>
      <c r="OEX1338" s="4" t="s">
        <v>2882</v>
      </c>
      <c r="OEY1338" s="4" t="s">
        <v>2882</v>
      </c>
      <c r="OEZ1338" s="4" t="s">
        <v>2882</v>
      </c>
      <c r="OFA1338" s="4" t="s">
        <v>2882</v>
      </c>
      <c r="OFB1338" s="4" t="s">
        <v>2882</v>
      </c>
      <c r="OFC1338" s="4" t="s">
        <v>2882</v>
      </c>
      <c r="OFD1338" s="4" t="s">
        <v>2882</v>
      </c>
      <c r="OFE1338" s="4" t="s">
        <v>2882</v>
      </c>
      <c r="OFF1338" s="4" t="s">
        <v>2882</v>
      </c>
      <c r="OFG1338" s="4" t="s">
        <v>2882</v>
      </c>
      <c r="OFH1338" s="4" t="s">
        <v>2882</v>
      </c>
      <c r="OFI1338" s="4" t="s">
        <v>2882</v>
      </c>
      <c r="OFJ1338" s="4" t="s">
        <v>2882</v>
      </c>
      <c r="OFK1338" s="4" t="s">
        <v>2882</v>
      </c>
      <c r="OFL1338" s="4" t="s">
        <v>2882</v>
      </c>
      <c r="OFM1338" s="4" t="s">
        <v>2882</v>
      </c>
      <c r="OFN1338" s="4" t="s">
        <v>2882</v>
      </c>
      <c r="OFO1338" s="4" t="s">
        <v>2882</v>
      </c>
      <c r="OFP1338" s="4" t="s">
        <v>2882</v>
      </c>
      <c r="OFQ1338" s="4" t="s">
        <v>2882</v>
      </c>
      <c r="OFR1338" s="4" t="s">
        <v>2882</v>
      </c>
      <c r="OFS1338" s="4" t="s">
        <v>2882</v>
      </c>
      <c r="OFT1338" s="4" t="s">
        <v>2882</v>
      </c>
      <c r="OFU1338" s="4" t="s">
        <v>2882</v>
      </c>
      <c r="OFV1338" s="4" t="s">
        <v>2882</v>
      </c>
      <c r="OFW1338" s="4" t="s">
        <v>2882</v>
      </c>
      <c r="OFX1338" s="4" t="s">
        <v>2882</v>
      </c>
      <c r="OFY1338" s="4" t="s">
        <v>2882</v>
      </c>
      <c r="OFZ1338" s="4" t="s">
        <v>2882</v>
      </c>
      <c r="OGA1338" s="4" t="s">
        <v>2882</v>
      </c>
      <c r="OGB1338" s="4" t="s">
        <v>2882</v>
      </c>
      <c r="OGC1338" s="4" t="s">
        <v>2882</v>
      </c>
      <c r="OGD1338" s="4" t="s">
        <v>2882</v>
      </c>
      <c r="OGE1338" s="4" t="s">
        <v>2882</v>
      </c>
      <c r="OGF1338" s="4" t="s">
        <v>2882</v>
      </c>
      <c r="OGG1338" s="4" t="s">
        <v>2882</v>
      </c>
      <c r="OGH1338" s="4" t="s">
        <v>2882</v>
      </c>
      <c r="OGI1338" s="4" t="s">
        <v>2882</v>
      </c>
      <c r="OGJ1338" s="4" t="s">
        <v>2882</v>
      </c>
      <c r="OGK1338" s="4" t="s">
        <v>2882</v>
      </c>
      <c r="OGL1338" s="4" t="s">
        <v>2882</v>
      </c>
      <c r="OGM1338" s="4" t="s">
        <v>2882</v>
      </c>
      <c r="OGN1338" s="4" t="s">
        <v>2882</v>
      </c>
      <c r="OGO1338" s="4" t="s">
        <v>2882</v>
      </c>
      <c r="OGP1338" s="4" t="s">
        <v>2882</v>
      </c>
      <c r="OGQ1338" s="4" t="s">
        <v>2882</v>
      </c>
      <c r="OGR1338" s="4" t="s">
        <v>2882</v>
      </c>
      <c r="OGS1338" s="4" t="s">
        <v>2882</v>
      </c>
      <c r="OGT1338" s="4" t="s">
        <v>2882</v>
      </c>
      <c r="OGU1338" s="4" t="s">
        <v>2882</v>
      </c>
      <c r="OGV1338" s="4" t="s">
        <v>2882</v>
      </c>
      <c r="OGW1338" s="4" t="s">
        <v>2882</v>
      </c>
      <c r="OGX1338" s="4" t="s">
        <v>2882</v>
      </c>
      <c r="OGY1338" s="4" t="s">
        <v>2882</v>
      </c>
      <c r="OGZ1338" s="4" t="s">
        <v>2882</v>
      </c>
      <c r="OHA1338" s="4" t="s">
        <v>2882</v>
      </c>
      <c r="OHB1338" s="4" t="s">
        <v>2882</v>
      </c>
      <c r="OHC1338" s="4" t="s">
        <v>2882</v>
      </c>
      <c r="OHD1338" s="4" t="s">
        <v>2882</v>
      </c>
      <c r="OHE1338" s="4" t="s">
        <v>2882</v>
      </c>
      <c r="OHF1338" s="4" t="s">
        <v>2882</v>
      </c>
      <c r="OHG1338" s="4" t="s">
        <v>2882</v>
      </c>
      <c r="OHH1338" s="4" t="s">
        <v>2882</v>
      </c>
      <c r="OHI1338" s="4" t="s">
        <v>2882</v>
      </c>
      <c r="OHJ1338" s="4" t="s">
        <v>2882</v>
      </c>
      <c r="OHK1338" s="4" t="s">
        <v>2882</v>
      </c>
      <c r="OHL1338" s="4" t="s">
        <v>2882</v>
      </c>
      <c r="OHM1338" s="4" t="s">
        <v>2882</v>
      </c>
      <c r="OHN1338" s="4" t="s">
        <v>2882</v>
      </c>
      <c r="OHO1338" s="4" t="s">
        <v>2882</v>
      </c>
      <c r="OHP1338" s="4" t="s">
        <v>2882</v>
      </c>
      <c r="OHQ1338" s="4" t="s">
        <v>2882</v>
      </c>
      <c r="OHR1338" s="4" t="s">
        <v>2882</v>
      </c>
      <c r="OHS1338" s="4" t="s">
        <v>2882</v>
      </c>
      <c r="OHT1338" s="4" t="s">
        <v>2882</v>
      </c>
      <c r="OHU1338" s="4" t="s">
        <v>2882</v>
      </c>
      <c r="OHV1338" s="4" t="s">
        <v>2882</v>
      </c>
      <c r="OHW1338" s="4" t="s">
        <v>2882</v>
      </c>
      <c r="OHX1338" s="4" t="s">
        <v>2882</v>
      </c>
      <c r="OHY1338" s="4" t="s">
        <v>2882</v>
      </c>
      <c r="OHZ1338" s="4" t="s">
        <v>2882</v>
      </c>
      <c r="OIA1338" s="4" t="s">
        <v>2882</v>
      </c>
      <c r="OIB1338" s="4" t="s">
        <v>2882</v>
      </c>
      <c r="OIC1338" s="4" t="s">
        <v>2882</v>
      </c>
      <c r="OID1338" s="4" t="s">
        <v>2882</v>
      </c>
      <c r="OIE1338" s="4" t="s">
        <v>2882</v>
      </c>
      <c r="OIF1338" s="4" t="s">
        <v>2882</v>
      </c>
      <c r="OIG1338" s="4" t="s">
        <v>2882</v>
      </c>
      <c r="OIH1338" s="4" t="s">
        <v>2882</v>
      </c>
      <c r="OII1338" s="4" t="s">
        <v>2882</v>
      </c>
      <c r="OIJ1338" s="4" t="s">
        <v>2882</v>
      </c>
      <c r="OIK1338" s="4" t="s">
        <v>2882</v>
      </c>
      <c r="OIL1338" s="4" t="s">
        <v>2882</v>
      </c>
      <c r="OIM1338" s="4" t="s">
        <v>2882</v>
      </c>
      <c r="OIN1338" s="4" t="s">
        <v>2882</v>
      </c>
      <c r="OIO1338" s="4" t="s">
        <v>2882</v>
      </c>
      <c r="OIP1338" s="4" t="s">
        <v>2882</v>
      </c>
      <c r="OIQ1338" s="4" t="s">
        <v>2882</v>
      </c>
      <c r="OIR1338" s="4" t="s">
        <v>2882</v>
      </c>
      <c r="OIS1338" s="4" t="s">
        <v>2882</v>
      </c>
      <c r="OIT1338" s="4" t="s">
        <v>2882</v>
      </c>
      <c r="OIU1338" s="4" t="s">
        <v>2882</v>
      </c>
      <c r="OIV1338" s="4" t="s">
        <v>2882</v>
      </c>
      <c r="OIW1338" s="4" t="s">
        <v>2882</v>
      </c>
      <c r="OIX1338" s="4" t="s">
        <v>2882</v>
      </c>
      <c r="OIY1338" s="4" t="s">
        <v>2882</v>
      </c>
      <c r="OIZ1338" s="4" t="s">
        <v>2882</v>
      </c>
      <c r="OJA1338" s="4" t="s">
        <v>2882</v>
      </c>
      <c r="OJB1338" s="4" t="s">
        <v>2882</v>
      </c>
      <c r="OJC1338" s="4" t="s">
        <v>2882</v>
      </c>
      <c r="OJD1338" s="4" t="s">
        <v>2882</v>
      </c>
      <c r="OJE1338" s="4" t="s">
        <v>2882</v>
      </c>
      <c r="OJF1338" s="4" t="s">
        <v>2882</v>
      </c>
      <c r="OJG1338" s="4" t="s">
        <v>2882</v>
      </c>
      <c r="OJH1338" s="4" t="s">
        <v>2882</v>
      </c>
      <c r="OJI1338" s="4" t="s">
        <v>2882</v>
      </c>
      <c r="OJJ1338" s="4" t="s">
        <v>2882</v>
      </c>
      <c r="OJK1338" s="4" t="s">
        <v>2882</v>
      </c>
      <c r="OJL1338" s="4" t="s">
        <v>2882</v>
      </c>
      <c r="OJM1338" s="4" t="s">
        <v>2882</v>
      </c>
      <c r="OJN1338" s="4" t="s">
        <v>2882</v>
      </c>
      <c r="OJO1338" s="4" t="s">
        <v>2882</v>
      </c>
      <c r="OJP1338" s="4" t="s">
        <v>2882</v>
      </c>
      <c r="OJQ1338" s="4" t="s">
        <v>2882</v>
      </c>
      <c r="OJR1338" s="4" t="s">
        <v>2882</v>
      </c>
      <c r="OJS1338" s="4" t="s">
        <v>2882</v>
      </c>
      <c r="OJT1338" s="4" t="s">
        <v>2882</v>
      </c>
      <c r="OJU1338" s="4" t="s">
        <v>2882</v>
      </c>
      <c r="OJV1338" s="4" t="s">
        <v>2882</v>
      </c>
      <c r="OJW1338" s="4" t="s">
        <v>2882</v>
      </c>
      <c r="OJX1338" s="4" t="s">
        <v>2882</v>
      </c>
      <c r="OJY1338" s="4" t="s">
        <v>2882</v>
      </c>
      <c r="OJZ1338" s="4" t="s">
        <v>2882</v>
      </c>
      <c r="OKA1338" s="4" t="s">
        <v>2882</v>
      </c>
      <c r="OKB1338" s="4" t="s">
        <v>2882</v>
      </c>
      <c r="OKC1338" s="4" t="s">
        <v>2882</v>
      </c>
      <c r="OKD1338" s="4" t="s">
        <v>2882</v>
      </c>
      <c r="OKE1338" s="4" t="s">
        <v>2882</v>
      </c>
      <c r="OKF1338" s="4" t="s">
        <v>2882</v>
      </c>
      <c r="OKG1338" s="4" t="s">
        <v>2882</v>
      </c>
      <c r="OKH1338" s="4" t="s">
        <v>2882</v>
      </c>
      <c r="OKI1338" s="4" t="s">
        <v>2882</v>
      </c>
      <c r="OKJ1338" s="4" t="s">
        <v>2882</v>
      </c>
      <c r="OKK1338" s="4" t="s">
        <v>2882</v>
      </c>
      <c r="OKL1338" s="4" t="s">
        <v>2882</v>
      </c>
      <c r="OKM1338" s="4" t="s">
        <v>2882</v>
      </c>
      <c r="OKN1338" s="4" t="s">
        <v>2882</v>
      </c>
      <c r="OKO1338" s="4" t="s">
        <v>2882</v>
      </c>
      <c r="OKP1338" s="4" t="s">
        <v>2882</v>
      </c>
      <c r="OKQ1338" s="4" t="s">
        <v>2882</v>
      </c>
      <c r="OKR1338" s="4" t="s">
        <v>2882</v>
      </c>
      <c r="OKS1338" s="4" t="s">
        <v>2882</v>
      </c>
      <c r="OKT1338" s="4" t="s">
        <v>2882</v>
      </c>
      <c r="OKU1338" s="4" t="s">
        <v>2882</v>
      </c>
      <c r="OKV1338" s="4" t="s">
        <v>2882</v>
      </c>
      <c r="OKW1338" s="4" t="s">
        <v>2882</v>
      </c>
      <c r="OKX1338" s="4" t="s">
        <v>2882</v>
      </c>
      <c r="OKY1338" s="4" t="s">
        <v>2882</v>
      </c>
      <c r="OKZ1338" s="4" t="s">
        <v>2882</v>
      </c>
      <c r="OLA1338" s="4" t="s">
        <v>2882</v>
      </c>
      <c r="OLB1338" s="4" t="s">
        <v>2882</v>
      </c>
      <c r="OLC1338" s="4" t="s">
        <v>2882</v>
      </c>
      <c r="OLD1338" s="4" t="s">
        <v>2882</v>
      </c>
      <c r="OLE1338" s="4" t="s">
        <v>2882</v>
      </c>
      <c r="OLF1338" s="4" t="s">
        <v>2882</v>
      </c>
      <c r="OLG1338" s="4" t="s">
        <v>2882</v>
      </c>
      <c r="OLH1338" s="4" t="s">
        <v>2882</v>
      </c>
      <c r="OLI1338" s="4" t="s">
        <v>2882</v>
      </c>
      <c r="OLJ1338" s="4" t="s">
        <v>2882</v>
      </c>
      <c r="OLK1338" s="4" t="s">
        <v>2882</v>
      </c>
      <c r="OLL1338" s="4" t="s">
        <v>2882</v>
      </c>
      <c r="OLM1338" s="4" t="s">
        <v>2882</v>
      </c>
      <c r="OLN1338" s="4" t="s">
        <v>2882</v>
      </c>
      <c r="OLO1338" s="4" t="s">
        <v>2882</v>
      </c>
      <c r="OLP1338" s="4" t="s">
        <v>2882</v>
      </c>
      <c r="OLQ1338" s="4" t="s">
        <v>2882</v>
      </c>
      <c r="OLR1338" s="4" t="s">
        <v>2882</v>
      </c>
      <c r="OLS1338" s="4" t="s">
        <v>2882</v>
      </c>
      <c r="OLT1338" s="4" t="s">
        <v>2882</v>
      </c>
      <c r="OLU1338" s="4" t="s">
        <v>2882</v>
      </c>
      <c r="OLV1338" s="4" t="s">
        <v>2882</v>
      </c>
      <c r="OLW1338" s="4" t="s">
        <v>2882</v>
      </c>
      <c r="OLX1338" s="4" t="s">
        <v>2882</v>
      </c>
      <c r="OLY1338" s="4" t="s">
        <v>2882</v>
      </c>
      <c r="OLZ1338" s="4" t="s">
        <v>2882</v>
      </c>
      <c r="OMA1338" s="4" t="s">
        <v>2882</v>
      </c>
      <c r="OMB1338" s="4" t="s">
        <v>2882</v>
      </c>
      <c r="OMC1338" s="4" t="s">
        <v>2882</v>
      </c>
      <c r="OMD1338" s="4" t="s">
        <v>2882</v>
      </c>
      <c r="OME1338" s="4" t="s">
        <v>2882</v>
      </c>
      <c r="OMF1338" s="4" t="s">
        <v>2882</v>
      </c>
      <c r="OMG1338" s="4" t="s">
        <v>2882</v>
      </c>
      <c r="OMH1338" s="4" t="s">
        <v>2882</v>
      </c>
      <c r="OMI1338" s="4" t="s">
        <v>2882</v>
      </c>
      <c r="OMJ1338" s="4" t="s">
        <v>2882</v>
      </c>
      <c r="OMK1338" s="4" t="s">
        <v>2882</v>
      </c>
      <c r="OML1338" s="4" t="s">
        <v>2882</v>
      </c>
      <c r="OMM1338" s="4" t="s">
        <v>2882</v>
      </c>
      <c r="OMN1338" s="4" t="s">
        <v>2882</v>
      </c>
      <c r="OMO1338" s="4" t="s">
        <v>2882</v>
      </c>
      <c r="OMP1338" s="4" t="s">
        <v>2882</v>
      </c>
      <c r="OMQ1338" s="4" t="s">
        <v>2882</v>
      </c>
      <c r="OMR1338" s="4" t="s">
        <v>2882</v>
      </c>
      <c r="OMS1338" s="4" t="s">
        <v>2882</v>
      </c>
      <c r="OMT1338" s="4" t="s">
        <v>2882</v>
      </c>
      <c r="OMU1338" s="4" t="s">
        <v>2882</v>
      </c>
      <c r="OMV1338" s="4" t="s">
        <v>2882</v>
      </c>
      <c r="OMW1338" s="4" t="s">
        <v>2882</v>
      </c>
      <c r="OMX1338" s="4" t="s">
        <v>2882</v>
      </c>
      <c r="OMY1338" s="4" t="s">
        <v>2882</v>
      </c>
      <c r="OMZ1338" s="4" t="s">
        <v>2882</v>
      </c>
      <c r="ONA1338" s="4" t="s">
        <v>2882</v>
      </c>
      <c r="ONB1338" s="4" t="s">
        <v>2882</v>
      </c>
      <c r="ONC1338" s="4" t="s">
        <v>2882</v>
      </c>
      <c r="OND1338" s="4" t="s">
        <v>2882</v>
      </c>
      <c r="ONE1338" s="4" t="s">
        <v>2882</v>
      </c>
      <c r="ONF1338" s="4" t="s">
        <v>2882</v>
      </c>
      <c r="ONG1338" s="4" t="s">
        <v>2882</v>
      </c>
      <c r="ONH1338" s="4" t="s">
        <v>2882</v>
      </c>
      <c r="ONI1338" s="4" t="s">
        <v>2882</v>
      </c>
      <c r="ONJ1338" s="4" t="s">
        <v>2882</v>
      </c>
      <c r="ONK1338" s="4" t="s">
        <v>2882</v>
      </c>
      <c r="ONL1338" s="4" t="s">
        <v>2882</v>
      </c>
      <c r="ONM1338" s="4" t="s">
        <v>2882</v>
      </c>
      <c r="ONN1338" s="4" t="s">
        <v>2882</v>
      </c>
      <c r="ONO1338" s="4" t="s">
        <v>2882</v>
      </c>
      <c r="ONP1338" s="4" t="s">
        <v>2882</v>
      </c>
      <c r="ONQ1338" s="4" t="s">
        <v>2882</v>
      </c>
      <c r="ONR1338" s="4" t="s">
        <v>2882</v>
      </c>
      <c r="ONS1338" s="4" t="s">
        <v>2882</v>
      </c>
      <c r="ONT1338" s="4" t="s">
        <v>2882</v>
      </c>
      <c r="ONU1338" s="4" t="s">
        <v>2882</v>
      </c>
      <c r="ONV1338" s="4" t="s">
        <v>2882</v>
      </c>
      <c r="ONW1338" s="4" t="s">
        <v>2882</v>
      </c>
      <c r="ONX1338" s="4" t="s">
        <v>2882</v>
      </c>
      <c r="ONY1338" s="4" t="s">
        <v>2882</v>
      </c>
      <c r="ONZ1338" s="4" t="s">
        <v>2882</v>
      </c>
      <c r="OOA1338" s="4" t="s">
        <v>2882</v>
      </c>
      <c r="OOB1338" s="4" t="s">
        <v>2882</v>
      </c>
      <c r="OOC1338" s="4" t="s">
        <v>2882</v>
      </c>
      <c r="OOD1338" s="4" t="s">
        <v>2882</v>
      </c>
      <c r="OOE1338" s="4" t="s">
        <v>2882</v>
      </c>
      <c r="OOF1338" s="4" t="s">
        <v>2882</v>
      </c>
      <c r="OOG1338" s="4" t="s">
        <v>2882</v>
      </c>
      <c r="OOH1338" s="4" t="s">
        <v>2882</v>
      </c>
      <c r="OOI1338" s="4" t="s">
        <v>2882</v>
      </c>
      <c r="OOJ1338" s="4" t="s">
        <v>2882</v>
      </c>
      <c r="OOK1338" s="4" t="s">
        <v>2882</v>
      </c>
      <c r="OOL1338" s="4" t="s">
        <v>2882</v>
      </c>
      <c r="OOM1338" s="4" t="s">
        <v>2882</v>
      </c>
      <c r="OON1338" s="4" t="s">
        <v>2882</v>
      </c>
      <c r="OOO1338" s="4" t="s">
        <v>2882</v>
      </c>
      <c r="OOP1338" s="4" t="s">
        <v>2882</v>
      </c>
      <c r="OOQ1338" s="4" t="s">
        <v>2882</v>
      </c>
      <c r="OOR1338" s="4" t="s">
        <v>2882</v>
      </c>
      <c r="OOS1338" s="4" t="s">
        <v>2882</v>
      </c>
      <c r="OOT1338" s="4" t="s">
        <v>2882</v>
      </c>
      <c r="OOU1338" s="4" t="s">
        <v>2882</v>
      </c>
      <c r="OOV1338" s="4" t="s">
        <v>2882</v>
      </c>
      <c r="OOW1338" s="4" t="s">
        <v>2882</v>
      </c>
      <c r="OOX1338" s="4" t="s">
        <v>2882</v>
      </c>
      <c r="OOY1338" s="4" t="s">
        <v>2882</v>
      </c>
      <c r="OOZ1338" s="4" t="s">
        <v>2882</v>
      </c>
      <c r="OPA1338" s="4" t="s">
        <v>2882</v>
      </c>
      <c r="OPB1338" s="4" t="s">
        <v>2882</v>
      </c>
      <c r="OPC1338" s="4" t="s">
        <v>2882</v>
      </c>
      <c r="OPD1338" s="4" t="s">
        <v>2882</v>
      </c>
      <c r="OPE1338" s="4" t="s">
        <v>2882</v>
      </c>
      <c r="OPF1338" s="4" t="s">
        <v>2882</v>
      </c>
      <c r="OPG1338" s="4" t="s">
        <v>2882</v>
      </c>
      <c r="OPH1338" s="4" t="s">
        <v>2882</v>
      </c>
      <c r="OPI1338" s="4" t="s">
        <v>2882</v>
      </c>
      <c r="OPJ1338" s="4" t="s">
        <v>2882</v>
      </c>
      <c r="OPK1338" s="4" t="s">
        <v>2882</v>
      </c>
      <c r="OPL1338" s="4" t="s">
        <v>2882</v>
      </c>
      <c r="OPM1338" s="4" t="s">
        <v>2882</v>
      </c>
      <c r="OPN1338" s="4" t="s">
        <v>2882</v>
      </c>
      <c r="OPO1338" s="4" t="s">
        <v>2882</v>
      </c>
      <c r="OPP1338" s="4" t="s">
        <v>2882</v>
      </c>
      <c r="OPQ1338" s="4" t="s">
        <v>2882</v>
      </c>
      <c r="OPR1338" s="4" t="s">
        <v>2882</v>
      </c>
      <c r="OPS1338" s="4" t="s">
        <v>2882</v>
      </c>
      <c r="OPT1338" s="4" t="s">
        <v>2882</v>
      </c>
      <c r="OPU1338" s="4" t="s">
        <v>2882</v>
      </c>
      <c r="OPV1338" s="4" t="s">
        <v>2882</v>
      </c>
      <c r="OPW1338" s="4" t="s">
        <v>2882</v>
      </c>
      <c r="OPX1338" s="4" t="s">
        <v>2882</v>
      </c>
      <c r="OPY1338" s="4" t="s">
        <v>2882</v>
      </c>
      <c r="OPZ1338" s="4" t="s">
        <v>2882</v>
      </c>
      <c r="OQA1338" s="4" t="s">
        <v>2882</v>
      </c>
      <c r="OQB1338" s="4" t="s">
        <v>2882</v>
      </c>
      <c r="OQC1338" s="4" t="s">
        <v>2882</v>
      </c>
      <c r="OQD1338" s="4" t="s">
        <v>2882</v>
      </c>
      <c r="OQE1338" s="4" t="s">
        <v>2882</v>
      </c>
      <c r="OQF1338" s="4" t="s">
        <v>2882</v>
      </c>
      <c r="OQG1338" s="4" t="s">
        <v>2882</v>
      </c>
      <c r="OQH1338" s="4" t="s">
        <v>2882</v>
      </c>
      <c r="OQI1338" s="4" t="s">
        <v>2882</v>
      </c>
      <c r="OQJ1338" s="4" t="s">
        <v>2882</v>
      </c>
      <c r="OQK1338" s="4" t="s">
        <v>2882</v>
      </c>
      <c r="OQL1338" s="4" t="s">
        <v>2882</v>
      </c>
      <c r="OQM1338" s="4" t="s">
        <v>2882</v>
      </c>
      <c r="OQN1338" s="4" t="s">
        <v>2882</v>
      </c>
      <c r="OQO1338" s="4" t="s">
        <v>2882</v>
      </c>
      <c r="OQP1338" s="4" t="s">
        <v>2882</v>
      </c>
      <c r="OQQ1338" s="4" t="s">
        <v>2882</v>
      </c>
      <c r="OQR1338" s="4" t="s">
        <v>2882</v>
      </c>
      <c r="OQS1338" s="4" t="s">
        <v>2882</v>
      </c>
      <c r="OQT1338" s="4" t="s">
        <v>2882</v>
      </c>
      <c r="OQU1338" s="4" t="s">
        <v>2882</v>
      </c>
      <c r="OQV1338" s="4" t="s">
        <v>2882</v>
      </c>
      <c r="OQW1338" s="4" t="s">
        <v>2882</v>
      </c>
      <c r="OQX1338" s="4" t="s">
        <v>2882</v>
      </c>
      <c r="OQY1338" s="4" t="s">
        <v>2882</v>
      </c>
      <c r="OQZ1338" s="4" t="s">
        <v>2882</v>
      </c>
      <c r="ORA1338" s="4" t="s">
        <v>2882</v>
      </c>
      <c r="ORB1338" s="4" t="s">
        <v>2882</v>
      </c>
      <c r="ORC1338" s="4" t="s">
        <v>2882</v>
      </c>
      <c r="ORD1338" s="4" t="s">
        <v>2882</v>
      </c>
      <c r="ORE1338" s="4" t="s">
        <v>2882</v>
      </c>
      <c r="ORF1338" s="4" t="s">
        <v>2882</v>
      </c>
      <c r="ORG1338" s="4" t="s">
        <v>2882</v>
      </c>
      <c r="ORH1338" s="4" t="s">
        <v>2882</v>
      </c>
      <c r="ORI1338" s="4" t="s">
        <v>2882</v>
      </c>
      <c r="ORJ1338" s="4" t="s">
        <v>2882</v>
      </c>
      <c r="ORK1338" s="4" t="s">
        <v>2882</v>
      </c>
      <c r="ORL1338" s="4" t="s">
        <v>2882</v>
      </c>
      <c r="ORM1338" s="4" t="s">
        <v>2882</v>
      </c>
      <c r="ORN1338" s="4" t="s">
        <v>2882</v>
      </c>
      <c r="ORO1338" s="4" t="s">
        <v>2882</v>
      </c>
      <c r="ORP1338" s="4" t="s">
        <v>2882</v>
      </c>
      <c r="ORQ1338" s="4" t="s">
        <v>2882</v>
      </c>
      <c r="ORR1338" s="4" t="s">
        <v>2882</v>
      </c>
      <c r="ORS1338" s="4" t="s">
        <v>2882</v>
      </c>
      <c r="ORT1338" s="4" t="s">
        <v>2882</v>
      </c>
      <c r="ORU1338" s="4" t="s">
        <v>2882</v>
      </c>
      <c r="ORV1338" s="4" t="s">
        <v>2882</v>
      </c>
      <c r="ORW1338" s="4" t="s">
        <v>2882</v>
      </c>
      <c r="ORX1338" s="4" t="s">
        <v>2882</v>
      </c>
      <c r="ORY1338" s="4" t="s">
        <v>2882</v>
      </c>
      <c r="ORZ1338" s="4" t="s">
        <v>2882</v>
      </c>
      <c r="OSA1338" s="4" t="s">
        <v>2882</v>
      </c>
      <c r="OSB1338" s="4" t="s">
        <v>2882</v>
      </c>
      <c r="OSC1338" s="4" t="s">
        <v>2882</v>
      </c>
      <c r="OSD1338" s="4" t="s">
        <v>2882</v>
      </c>
      <c r="OSE1338" s="4" t="s">
        <v>2882</v>
      </c>
      <c r="OSF1338" s="4" t="s">
        <v>2882</v>
      </c>
      <c r="OSG1338" s="4" t="s">
        <v>2882</v>
      </c>
      <c r="OSH1338" s="4" t="s">
        <v>2882</v>
      </c>
      <c r="OSI1338" s="4" t="s">
        <v>2882</v>
      </c>
      <c r="OSJ1338" s="4" t="s">
        <v>2882</v>
      </c>
      <c r="OSK1338" s="4" t="s">
        <v>2882</v>
      </c>
      <c r="OSL1338" s="4" t="s">
        <v>2882</v>
      </c>
      <c r="OSM1338" s="4" t="s">
        <v>2882</v>
      </c>
      <c r="OSN1338" s="4" t="s">
        <v>2882</v>
      </c>
      <c r="OSO1338" s="4" t="s">
        <v>2882</v>
      </c>
      <c r="OSP1338" s="4" t="s">
        <v>2882</v>
      </c>
      <c r="OSQ1338" s="4" t="s">
        <v>2882</v>
      </c>
      <c r="OSR1338" s="4" t="s">
        <v>2882</v>
      </c>
      <c r="OSS1338" s="4" t="s">
        <v>2882</v>
      </c>
      <c r="OST1338" s="4" t="s">
        <v>2882</v>
      </c>
      <c r="OSU1338" s="4" t="s">
        <v>2882</v>
      </c>
      <c r="OSV1338" s="4" t="s">
        <v>2882</v>
      </c>
      <c r="OSW1338" s="4" t="s">
        <v>2882</v>
      </c>
      <c r="OSX1338" s="4" t="s">
        <v>2882</v>
      </c>
      <c r="OSY1338" s="4" t="s">
        <v>2882</v>
      </c>
      <c r="OSZ1338" s="4" t="s">
        <v>2882</v>
      </c>
      <c r="OTA1338" s="4" t="s">
        <v>2882</v>
      </c>
      <c r="OTB1338" s="4" t="s">
        <v>2882</v>
      </c>
      <c r="OTC1338" s="4" t="s">
        <v>2882</v>
      </c>
      <c r="OTD1338" s="4" t="s">
        <v>2882</v>
      </c>
      <c r="OTE1338" s="4" t="s">
        <v>2882</v>
      </c>
      <c r="OTF1338" s="4" t="s">
        <v>2882</v>
      </c>
      <c r="OTG1338" s="4" t="s">
        <v>2882</v>
      </c>
      <c r="OTH1338" s="4" t="s">
        <v>2882</v>
      </c>
      <c r="OTI1338" s="4" t="s">
        <v>2882</v>
      </c>
      <c r="OTJ1338" s="4" t="s">
        <v>2882</v>
      </c>
      <c r="OTK1338" s="4" t="s">
        <v>2882</v>
      </c>
      <c r="OTL1338" s="4" t="s">
        <v>2882</v>
      </c>
      <c r="OTM1338" s="4" t="s">
        <v>2882</v>
      </c>
      <c r="OTN1338" s="4" t="s">
        <v>2882</v>
      </c>
      <c r="OTO1338" s="4" t="s">
        <v>2882</v>
      </c>
      <c r="OTP1338" s="4" t="s">
        <v>2882</v>
      </c>
      <c r="OTQ1338" s="4" t="s">
        <v>2882</v>
      </c>
      <c r="OTR1338" s="4" t="s">
        <v>2882</v>
      </c>
      <c r="OTS1338" s="4" t="s">
        <v>2882</v>
      </c>
      <c r="OTT1338" s="4" t="s">
        <v>2882</v>
      </c>
      <c r="OTU1338" s="4" t="s">
        <v>2882</v>
      </c>
      <c r="OTV1338" s="4" t="s">
        <v>2882</v>
      </c>
      <c r="OTW1338" s="4" t="s">
        <v>2882</v>
      </c>
      <c r="OTX1338" s="4" t="s">
        <v>2882</v>
      </c>
      <c r="OTY1338" s="4" t="s">
        <v>2882</v>
      </c>
      <c r="OTZ1338" s="4" t="s">
        <v>2882</v>
      </c>
      <c r="OUA1338" s="4" t="s">
        <v>2882</v>
      </c>
      <c r="OUB1338" s="4" t="s">
        <v>2882</v>
      </c>
      <c r="OUC1338" s="4" t="s">
        <v>2882</v>
      </c>
      <c r="OUD1338" s="4" t="s">
        <v>2882</v>
      </c>
      <c r="OUE1338" s="4" t="s">
        <v>2882</v>
      </c>
      <c r="OUF1338" s="4" t="s">
        <v>2882</v>
      </c>
      <c r="OUG1338" s="4" t="s">
        <v>2882</v>
      </c>
      <c r="OUH1338" s="4" t="s">
        <v>2882</v>
      </c>
      <c r="OUI1338" s="4" t="s">
        <v>2882</v>
      </c>
      <c r="OUJ1338" s="4" t="s">
        <v>2882</v>
      </c>
      <c r="OUK1338" s="4" t="s">
        <v>2882</v>
      </c>
      <c r="OUL1338" s="4" t="s">
        <v>2882</v>
      </c>
      <c r="OUM1338" s="4" t="s">
        <v>2882</v>
      </c>
      <c r="OUN1338" s="4" t="s">
        <v>2882</v>
      </c>
      <c r="OUO1338" s="4" t="s">
        <v>2882</v>
      </c>
      <c r="OUP1338" s="4" t="s">
        <v>2882</v>
      </c>
      <c r="OUQ1338" s="4" t="s">
        <v>2882</v>
      </c>
      <c r="OUR1338" s="4" t="s">
        <v>2882</v>
      </c>
      <c r="OUS1338" s="4" t="s">
        <v>2882</v>
      </c>
      <c r="OUT1338" s="4" t="s">
        <v>2882</v>
      </c>
      <c r="OUU1338" s="4" t="s">
        <v>2882</v>
      </c>
      <c r="OUV1338" s="4" t="s">
        <v>2882</v>
      </c>
      <c r="OUW1338" s="4" t="s">
        <v>2882</v>
      </c>
      <c r="OUX1338" s="4" t="s">
        <v>2882</v>
      </c>
      <c r="OUY1338" s="4" t="s">
        <v>2882</v>
      </c>
      <c r="OUZ1338" s="4" t="s">
        <v>2882</v>
      </c>
      <c r="OVA1338" s="4" t="s">
        <v>2882</v>
      </c>
      <c r="OVB1338" s="4" t="s">
        <v>2882</v>
      </c>
      <c r="OVC1338" s="4" t="s">
        <v>2882</v>
      </c>
      <c r="OVD1338" s="4" t="s">
        <v>2882</v>
      </c>
      <c r="OVE1338" s="4" t="s">
        <v>2882</v>
      </c>
      <c r="OVF1338" s="4" t="s">
        <v>2882</v>
      </c>
      <c r="OVG1338" s="4" t="s">
        <v>2882</v>
      </c>
      <c r="OVH1338" s="4" t="s">
        <v>2882</v>
      </c>
      <c r="OVI1338" s="4" t="s">
        <v>2882</v>
      </c>
      <c r="OVJ1338" s="4" t="s">
        <v>2882</v>
      </c>
      <c r="OVK1338" s="4" t="s">
        <v>2882</v>
      </c>
      <c r="OVL1338" s="4" t="s">
        <v>2882</v>
      </c>
      <c r="OVM1338" s="4" t="s">
        <v>2882</v>
      </c>
      <c r="OVN1338" s="4" t="s">
        <v>2882</v>
      </c>
      <c r="OVO1338" s="4" t="s">
        <v>2882</v>
      </c>
      <c r="OVP1338" s="4" t="s">
        <v>2882</v>
      </c>
      <c r="OVQ1338" s="4" t="s">
        <v>2882</v>
      </c>
      <c r="OVR1338" s="4" t="s">
        <v>2882</v>
      </c>
      <c r="OVS1338" s="4" t="s">
        <v>2882</v>
      </c>
      <c r="OVT1338" s="4" t="s">
        <v>2882</v>
      </c>
      <c r="OVU1338" s="4" t="s">
        <v>2882</v>
      </c>
      <c r="OVV1338" s="4" t="s">
        <v>2882</v>
      </c>
      <c r="OVW1338" s="4" t="s">
        <v>2882</v>
      </c>
      <c r="OVX1338" s="4" t="s">
        <v>2882</v>
      </c>
      <c r="OVY1338" s="4" t="s">
        <v>2882</v>
      </c>
      <c r="OVZ1338" s="4" t="s">
        <v>2882</v>
      </c>
      <c r="OWA1338" s="4" t="s">
        <v>2882</v>
      </c>
      <c r="OWB1338" s="4" t="s">
        <v>2882</v>
      </c>
      <c r="OWC1338" s="4" t="s">
        <v>2882</v>
      </c>
      <c r="OWD1338" s="4" t="s">
        <v>2882</v>
      </c>
      <c r="OWE1338" s="4" t="s">
        <v>2882</v>
      </c>
      <c r="OWF1338" s="4" t="s">
        <v>2882</v>
      </c>
      <c r="OWG1338" s="4" t="s">
        <v>2882</v>
      </c>
      <c r="OWH1338" s="4" t="s">
        <v>2882</v>
      </c>
      <c r="OWI1338" s="4" t="s">
        <v>2882</v>
      </c>
      <c r="OWJ1338" s="4" t="s">
        <v>2882</v>
      </c>
      <c r="OWK1338" s="4" t="s">
        <v>2882</v>
      </c>
      <c r="OWL1338" s="4" t="s">
        <v>2882</v>
      </c>
      <c r="OWM1338" s="4" t="s">
        <v>2882</v>
      </c>
      <c r="OWN1338" s="4" t="s">
        <v>2882</v>
      </c>
      <c r="OWO1338" s="4" t="s">
        <v>2882</v>
      </c>
      <c r="OWP1338" s="4" t="s">
        <v>2882</v>
      </c>
      <c r="OWQ1338" s="4" t="s">
        <v>2882</v>
      </c>
      <c r="OWR1338" s="4" t="s">
        <v>2882</v>
      </c>
      <c r="OWS1338" s="4" t="s">
        <v>2882</v>
      </c>
      <c r="OWT1338" s="4" t="s">
        <v>2882</v>
      </c>
      <c r="OWU1338" s="4" t="s">
        <v>2882</v>
      </c>
      <c r="OWV1338" s="4" t="s">
        <v>2882</v>
      </c>
      <c r="OWW1338" s="4" t="s">
        <v>2882</v>
      </c>
      <c r="OWX1338" s="4" t="s">
        <v>2882</v>
      </c>
      <c r="OWY1338" s="4" t="s">
        <v>2882</v>
      </c>
      <c r="OWZ1338" s="4" t="s">
        <v>2882</v>
      </c>
      <c r="OXA1338" s="4" t="s">
        <v>2882</v>
      </c>
      <c r="OXB1338" s="4" t="s">
        <v>2882</v>
      </c>
      <c r="OXC1338" s="4" t="s">
        <v>2882</v>
      </c>
      <c r="OXD1338" s="4" t="s">
        <v>2882</v>
      </c>
      <c r="OXE1338" s="4" t="s">
        <v>2882</v>
      </c>
      <c r="OXF1338" s="4" t="s">
        <v>2882</v>
      </c>
      <c r="OXG1338" s="4" t="s">
        <v>2882</v>
      </c>
      <c r="OXH1338" s="4" t="s">
        <v>2882</v>
      </c>
      <c r="OXI1338" s="4" t="s">
        <v>2882</v>
      </c>
      <c r="OXJ1338" s="4" t="s">
        <v>2882</v>
      </c>
      <c r="OXK1338" s="4" t="s">
        <v>2882</v>
      </c>
      <c r="OXL1338" s="4" t="s">
        <v>2882</v>
      </c>
      <c r="OXM1338" s="4" t="s">
        <v>2882</v>
      </c>
      <c r="OXN1338" s="4" t="s">
        <v>2882</v>
      </c>
      <c r="OXO1338" s="4" t="s">
        <v>2882</v>
      </c>
      <c r="OXP1338" s="4" t="s">
        <v>2882</v>
      </c>
      <c r="OXQ1338" s="4" t="s">
        <v>2882</v>
      </c>
      <c r="OXR1338" s="4" t="s">
        <v>2882</v>
      </c>
      <c r="OXS1338" s="4" t="s">
        <v>2882</v>
      </c>
      <c r="OXT1338" s="4" t="s">
        <v>2882</v>
      </c>
      <c r="OXU1338" s="4" t="s">
        <v>2882</v>
      </c>
      <c r="OXV1338" s="4" t="s">
        <v>2882</v>
      </c>
      <c r="OXW1338" s="4" t="s">
        <v>2882</v>
      </c>
      <c r="OXX1338" s="4" t="s">
        <v>2882</v>
      </c>
      <c r="OXY1338" s="4" t="s">
        <v>2882</v>
      </c>
      <c r="OXZ1338" s="4" t="s">
        <v>2882</v>
      </c>
      <c r="OYA1338" s="4" t="s">
        <v>2882</v>
      </c>
      <c r="OYB1338" s="4" t="s">
        <v>2882</v>
      </c>
      <c r="OYC1338" s="4" t="s">
        <v>2882</v>
      </c>
      <c r="OYD1338" s="4" t="s">
        <v>2882</v>
      </c>
      <c r="OYE1338" s="4" t="s">
        <v>2882</v>
      </c>
      <c r="OYF1338" s="4" t="s">
        <v>2882</v>
      </c>
      <c r="OYG1338" s="4" t="s">
        <v>2882</v>
      </c>
      <c r="OYH1338" s="4" t="s">
        <v>2882</v>
      </c>
      <c r="OYI1338" s="4" t="s">
        <v>2882</v>
      </c>
      <c r="OYJ1338" s="4" t="s">
        <v>2882</v>
      </c>
      <c r="OYK1338" s="4" t="s">
        <v>2882</v>
      </c>
      <c r="OYL1338" s="4" t="s">
        <v>2882</v>
      </c>
      <c r="OYM1338" s="4" t="s">
        <v>2882</v>
      </c>
      <c r="OYN1338" s="4" t="s">
        <v>2882</v>
      </c>
      <c r="OYO1338" s="4" t="s">
        <v>2882</v>
      </c>
      <c r="OYP1338" s="4" t="s">
        <v>2882</v>
      </c>
      <c r="OYQ1338" s="4" t="s">
        <v>2882</v>
      </c>
      <c r="OYR1338" s="4" t="s">
        <v>2882</v>
      </c>
      <c r="OYS1338" s="4" t="s">
        <v>2882</v>
      </c>
      <c r="OYT1338" s="4" t="s">
        <v>2882</v>
      </c>
      <c r="OYU1338" s="4" t="s">
        <v>2882</v>
      </c>
      <c r="OYV1338" s="4" t="s">
        <v>2882</v>
      </c>
      <c r="OYW1338" s="4" t="s">
        <v>2882</v>
      </c>
      <c r="OYX1338" s="4" t="s">
        <v>2882</v>
      </c>
      <c r="OYY1338" s="4" t="s">
        <v>2882</v>
      </c>
      <c r="OYZ1338" s="4" t="s">
        <v>2882</v>
      </c>
      <c r="OZA1338" s="4" t="s">
        <v>2882</v>
      </c>
      <c r="OZB1338" s="4" t="s">
        <v>2882</v>
      </c>
      <c r="OZC1338" s="4" t="s">
        <v>2882</v>
      </c>
      <c r="OZD1338" s="4" t="s">
        <v>2882</v>
      </c>
      <c r="OZE1338" s="4" t="s">
        <v>2882</v>
      </c>
      <c r="OZF1338" s="4" t="s">
        <v>2882</v>
      </c>
      <c r="OZG1338" s="4" t="s">
        <v>2882</v>
      </c>
      <c r="OZH1338" s="4" t="s">
        <v>2882</v>
      </c>
      <c r="OZI1338" s="4" t="s">
        <v>2882</v>
      </c>
      <c r="OZJ1338" s="4" t="s">
        <v>2882</v>
      </c>
      <c r="OZK1338" s="4" t="s">
        <v>2882</v>
      </c>
      <c r="OZL1338" s="4" t="s">
        <v>2882</v>
      </c>
      <c r="OZM1338" s="4" t="s">
        <v>2882</v>
      </c>
      <c r="OZN1338" s="4" t="s">
        <v>2882</v>
      </c>
      <c r="OZO1338" s="4" t="s">
        <v>2882</v>
      </c>
      <c r="OZP1338" s="4" t="s">
        <v>2882</v>
      </c>
      <c r="OZQ1338" s="4" t="s">
        <v>2882</v>
      </c>
      <c r="OZR1338" s="4" t="s">
        <v>2882</v>
      </c>
      <c r="OZS1338" s="4" t="s">
        <v>2882</v>
      </c>
      <c r="OZT1338" s="4" t="s">
        <v>2882</v>
      </c>
      <c r="OZU1338" s="4" t="s">
        <v>2882</v>
      </c>
      <c r="OZV1338" s="4" t="s">
        <v>2882</v>
      </c>
      <c r="OZW1338" s="4" t="s">
        <v>2882</v>
      </c>
      <c r="OZX1338" s="4" t="s">
        <v>2882</v>
      </c>
      <c r="OZY1338" s="4" t="s">
        <v>2882</v>
      </c>
      <c r="OZZ1338" s="4" t="s">
        <v>2882</v>
      </c>
      <c r="PAA1338" s="4" t="s">
        <v>2882</v>
      </c>
      <c r="PAB1338" s="4" t="s">
        <v>2882</v>
      </c>
      <c r="PAC1338" s="4" t="s">
        <v>2882</v>
      </c>
      <c r="PAD1338" s="4" t="s">
        <v>2882</v>
      </c>
      <c r="PAE1338" s="4" t="s">
        <v>2882</v>
      </c>
      <c r="PAF1338" s="4" t="s">
        <v>2882</v>
      </c>
      <c r="PAG1338" s="4" t="s">
        <v>2882</v>
      </c>
      <c r="PAH1338" s="4" t="s">
        <v>2882</v>
      </c>
      <c r="PAI1338" s="4" t="s">
        <v>2882</v>
      </c>
      <c r="PAJ1338" s="4" t="s">
        <v>2882</v>
      </c>
      <c r="PAK1338" s="4" t="s">
        <v>2882</v>
      </c>
      <c r="PAL1338" s="4" t="s">
        <v>2882</v>
      </c>
      <c r="PAM1338" s="4" t="s">
        <v>2882</v>
      </c>
      <c r="PAN1338" s="4" t="s">
        <v>2882</v>
      </c>
      <c r="PAO1338" s="4" t="s">
        <v>2882</v>
      </c>
      <c r="PAP1338" s="4" t="s">
        <v>2882</v>
      </c>
      <c r="PAQ1338" s="4" t="s">
        <v>2882</v>
      </c>
      <c r="PAR1338" s="4" t="s">
        <v>2882</v>
      </c>
      <c r="PAS1338" s="4" t="s">
        <v>2882</v>
      </c>
      <c r="PAT1338" s="4" t="s">
        <v>2882</v>
      </c>
      <c r="PAU1338" s="4" t="s">
        <v>2882</v>
      </c>
      <c r="PAV1338" s="4" t="s">
        <v>2882</v>
      </c>
      <c r="PAW1338" s="4" t="s">
        <v>2882</v>
      </c>
      <c r="PAX1338" s="4" t="s">
        <v>2882</v>
      </c>
      <c r="PAY1338" s="4" t="s">
        <v>2882</v>
      </c>
      <c r="PAZ1338" s="4" t="s">
        <v>2882</v>
      </c>
      <c r="PBA1338" s="4" t="s">
        <v>2882</v>
      </c>
      <c r="PBB1338" s="4" t="s">
        <v>2882</v>
      </c>
      <c r="PBC1338" s="4" t="s">
        <v>2882</v>
      </c>
      <c r="PBD1338" s="4" t="s">
        <v>2882</v>
      </c>
      <c r="PBE1338" s="4" t="s">
        <v>2882</v>
      </c>
      <c r="PBF1338" s="4" t="s">
        <v>2882</v>
      </c>
      <c r="PBG1338" s="4" t="s">
        <v>2882</v>
      </c>
      <c r="PBH1338" s="4" t="s">
        <v>2882</v>
      </c>
      <c r="PBI1338" s="4" t="s">
        <v>2882</v>
      </c>
      <c r="PBJ1338" s="4" t="s">
        <v>2882</v>
      </c>
      <c r="PBK1338" s="4" t="s">
        <v>2882</v>
      </c>
      <c r="PBL1338" s="4" t="s">
        <v>2882</v>
      </c>
      <c r="PBM1338" s="4" t="s">
        <v>2882</v>
      </c>
      <c r="PBN1338" s="4" t="s">
        <v>2882</v>
      </c>
      <c r="PBO1338" s="4" t="s">
        <v>2882</v>
      </c>
      <c r="PBP1338" s="4" t="s">
        <v>2882</v>
      </c>
      <c r="PBQ1338" s="4" t="s">
        <v>2882</v>
      </c>
      <c r="PBR1338" s="4" t="s">
        <v>2882</v>
      </c>
      <c r="PBS1338" s="4" t="s">
        <v>2882</v>
      </c>
      <c r="PBT1338" s="4" t="s">
        <v>2882</v>
      </c>
      <c r="PBU1338" s="4" t="s">
        <v>2882</v>
      </c>
      <c r="PBV1338" s="4" t="s">
        <v>2882</v>
      </c>
      <c r="PBW1338" s="4" t="s">
        <v>2882</v>
      </c>
      <c r="PBX1338" s="4" t="s">
        <v>2882</v>
      </c>
      <c r="PBY1338" s="4" t="s">
        <v>2882</v>
      </c>
      <c r="PBZ1338" s="4" t="s">
        <v>2882</v>
      </c>
      <c r="PCA1338" s="4" t="s">
        <v>2882</v>
      </c>
      <c r="PCB1338" s="4" t="s">
        <v>2882</v>
      </c>
      <c r="PCC1338" s="4" t="s">
        <v>2882</v>
      </c>
      <c r="PCD1338" s="4" t="s">
        <v>2882</v>
      </c>
      <c r="PCE1338" s="4" t="s">
        <v>2882</v>
      </c>
      <c r="PCF1338" s="4" t="s">
        <v>2882</v>
      </c>
      <c r="PCG1338" s="4" t="s">
        <v>2882</v>
      </c>
      <c r="PCH1338" s="4" t="s">
        <v>2882</v>
      </c>
      <c r="PCI1338" s="4" t="s">
        <v>2882</v>
      </c>
      <c r="PCJ1338" s="4" t="s">
        <v>2882</v>
      </c>
      <c r="PCK1338" s="4" t="s">
        <v>2882</v>
      </c>
      <c r="PCL1338" s="4" t="s">
        <v>2882</v>
      </c>
      <c r="PCM1338" s="4" t="s">
        <v>2882</v>
      </c>
      <c r="PCN1338" s="4" t="s">
        <v>2882</v>
      </c>
      <c r="PCO1338" s="4" t="s">
        <v>2882</v>
      </c>
      <c r="PCP1338" s="4" t="s">
        <v>2882</v>
      </c>
      <c r="PCQ1338" s="4" t="s">
        <v>2882</v>
      </c>
      <c r="PCR1338" s="4" t="s">
        <v>2882</v>
      </c>
      <c r="PCS1338" s="4" t="s">
        <v>2882</v>
      </c>
      <c r="PCT1338" s="4" t="s">
        <v>2882</v>
      </c>
      <c r="PCU1338" s="4" t="s">
        <v>2882</v>
      </c>
      <c r="PCV1338" s="4" t="s">
        <v>2882</v>
      </c>
      <c r="PCW1338" s="4" t="s">
        <v>2882</v>
      </c>
      <c r="PCX1338" s="4" t="s">
        <v>2882</v>
      </c>
      <c r="PCY1338" s="4" t="s">
        <v>2882</v>
      </c>
      <c r="PCZ1338" s="4" t="s">
        <v>2882</v>
      </c>
      <c r="PDA1338" s="4" t="s">
        <v>2882</v>
      </c>
      <c r="PDB1338" s="4" t="s">
        <v>2882</v>
      </c>
      <c r="PDC1338" s="4" t="s">
        <v>2882</v>
      </c>
      <c r="PDD1338" s="4" t="s">
        <v>2882</v>
      </c>
      <c r="PDE1338" s="4" t="s">
        <v>2882</v>
      </c>
      <c r="PDF1338" s="4" t="s">
        <v>2882</v>
      </c>
      <c r="PDG1338" s="4" t="s">
        <v>2882</v>
      </c>
      <c r="PDH1338" s="4" t="s">
        <v>2882</v>
      </c>
      <c r="PDI1338" s="4" t="s">
        <v>2882</v>
      </c>
      <c r="PDJ1338" s="4" t="s">
        <v>2882</v>
      </c>
      <c r="PDK1338" s="4" t="s">
        <v>2882</v>
      </c>
      <c r="PDL1338" s="4" t="s">
        <v>2882</v>
      </c>
      <c r="PDM1338" s="4" t="s">
        <v>2882</v>
      </c>
      <c r="PDN1338" s="4" t="s">
        <v>2882</v>
      </c>
      <c r="PDO1338" s="4" t="s">
        <v>2882</v>
      </c>
      <c r="PDP1338" s="4" t="s">
        <v>2882</v>
      </c>
      <c r="PDQ1338" s="4" t="s">
        <v>2882</v>
      </c>
      <c r="PDR1338" s="4" t="s">
        <v>2882</v>
      </c>
      <c r="PDS1338" s="4" t="s">
        <v>2882</v>
      </c>
      <c r="PDT1338" s="4" t="s">
        <v>2882</v>
      </c>
      <c r="PDU1338" s="4" t="s">
        <v>2882</v>
      </c>
      <c r="PDV1338" s="4" t="s">
        <v>2882</v>
      </c>
      <c r="PDW1338" s="4" t="s">
        <v>2882</v>
      </c>
      <c r="PDX1338" s="4" t="s">
        <v>2882</v>
      </c>
      <c r="PDY1338" s="4" t="s">
        <v>2882</v>
      </c>
      <c r="PDZ1338" s="4" t="s">
        <v>2882</v>
      </c>
      <c r="PEA1338" s="4" t="s">
        <v>2882</v>
      </c>
      <c r="PEB1338" s="4" t="s">
        <v>2882</v>
      </c>
      <c r="PEC1338" s="4" t="s">
        <v>2882</v>
      </c>
      <c r="PED1338" s="4" t="s">
        <v>2882</v>
      </c>
      <c r="PEE1338" s="4" t="s">
        <v>2882</v>
      </c>
      <c r="PEF1338" s="4" t="s">
        <v>2882</v>
      </c>
      <c r="PEG1338" s="4" t="s">
        <v>2882</v>
      </c>
      <c r="PEH1338" s="4" t="s">
        <v>2882</v>
      </c>
      <c r="PEI1338" s="4" t="s">
        <v>2882</v>
      </c>
      <c r="PEJ1338" s="4" t="s">
        <v>2882</v>
      </c>
      <c r="PEK1338" s="4" t="s">
        <v>2882</v>
      </c>
      <c r="PEL1338" s="4" t="s">
        <v>2882</v>
      </c>
      <c r="PEM1338" s="4" t="s">
        <v>2882</v>
      </c>
      <c r="PEN1338" s="4" t="s">
        <v>2882</v>
      </c>
      <c r="PEO1338" s="4" t="s">
        <v>2882</v>
      </c>
      <c r="PEP1338" s="4" t="s">
        <v>2882</v>
      </c>
      <c r="PEQ1338" s="4" t="s">
        <v>2882</v>
      </c>
      <c r="PER1338" s="4" t="s">
        <v>2882</v>
      </c>
      <c r="PES1338" s="4" t="s">
        <v>2882</v>
      </c>
      <c r="PET1338" s="4" t="s">
        <v>2882</v>
      </c>
      <c r="PEU1338" s="4" t="s">
        <v>2882</v>
      </c>
      <c r="PEV1338" s="4" t="s">
        <v>2882</v>
      </c>
      <c r="PEW1338" s="4" t="s">
        <v>2882</v>
      </c>
      <c r="PEX1338" s="4" t="s">
        <v>2882</v>
      </c>
      <c r="PEY1338" s="4" t="s">
        <v>2882</v>
      </c>
      <c r="PEZ1338" s="4" t="s">
        <v>2882</v>
      </c>
      <c r="PFA1338" s="4" t="s">
        <v>2882</v>
      </c>
      <c r="PFB1338" s="4" t="s">
        <v>2882</v>
      </c>
      <c r="PFC1338" s="4" t="s">
        <v>2882</v>
      </c>
      <c r="PFD1338" s="4" t="s">
        <v>2882</v>
      </c>
      <c r="PFE1338" s="4" t="s">
        <v>2882</v>
      </c>
      <c r="PFF1338" s="4" t="s">
        <v>2882</v>
      </c>
      <c r="PFG1338" s="4" t="s">
        <v>2882</v>
      </c>
      <c r="PFH1338" s="4" t="s">
        <v>2882</v>
      </c>
      <c r="PFI1338" s="4" t="s">
        <v>2882</v>
      </c>
      <c r="PFJ1338" s="4" t="s">
        <v>2882</v>
      </c>
      <c r="PFK1338" s="4" t="s">
        <v>2882</v>
      </c>
      <c r="PFL1338" s="4" t="s">
        <v>2882</v>
      </c>
      <c r="PFM1338" s="4" t="s">
        <v>2882</v>
      </c>
      <c r="PFN1338" s="4" t="s">
        <v>2882</v>
      </c>
      <c r="PFO1338" s="4" t="s">
        <v>2882</v>
      </c>
      <c r="PFP1338" s="4" t="s">
        <v>2882</v>
      </c>
      <c r="PFQ1338" s="4" t="s">
        <v>2882</v>
      </c>
      <c r="PFR1338" s="4" t="s">
        <v>2882</v>
      </c>
      <c r="PFS1338" s="4" t="s">
        <v>2882</v>
      </c>
      <c r="PFT1338" s="4" t="s">
        <v>2882</v>
      </c>
      <c r="PFU1338" s="4" t="s">
        <v>2882</v>
      </c>
      <c r="PFV1338" s="4" t="s">
        <v>2882</v>
      </c>
      <c r="PFW1338" s="4" t="s">
        <v>2882</v>
      </c>
      <c r="PFX1338" s="4" t="s">
        <v>2882</v>
      </c>
      <c r="PFY1338" s="4" t="s">
        <v>2882</v>
      </c>
      <c r="PFZ1338" s="4" t="s">
        <v>2882</v>
      </c>
      <c r="PGA1338" s="4" t="s">
        <v>2882</v>
      </c>
      <c r="PGB1338" s="4" t="s">
        <v>2882</v>
      </c>
      <c r="PGC1338" s="4" t="s">
        <v>2882</v>
      </c>
      <c r="PGD1338" s="4" t="s">
        <v>2882</v>
      </c>
      <c r="PGE1338" s="4" t="s">
        <v>2882</v>
      </c>
      <c r="PGF1338" s="4" t="s">
        <v>2882</v>
      </c>
      <c r="PGG1338" s="4" t="s">
        <v>2882</v>
      </c>
      <c r="PGH1338" s="4" t="s">
        <v>2882</v>
      </c>
      <c r="PGI1338" s="4" t="s">
        <v>2882</v>
      </c>
      <c r="PGJ1338" s="4" t="s">
        <v>2882</v>
      </c>
      <c r="PGK1338" s="4" t="s">
        <v>2882</v>
      </c>
      <c r="PGL1338" s="4" t="s">
        <v>2882</v>
      </c>
      <c r="PGM1338" s="4" t="s">
        <v>2882</v>
      </c>
      <c r="PGN1338" s="4" t="s">
        <v>2882</v>
      </c>
      <c r="PGO1338" s="4" t="s">
        <v>2882</v>
      </c>
      <c r="PGP1338" s="4" t="s">
        <v>2882</v>
      </c>
      <c r="PGQ1338" s="4" t="s">
        <v>2882</v>
      </c>
      <c r="PGR1338" s="4" t="s">
        <v>2882</v>
      </c>
      <c r="PGS1338" s="4" t="s">
        <v>2882</v>
      </c>
      <c r="PGT1338" s="4" t="s">
        <v>2882</v>
      </c>
      <c r="PGU1338" s="4" t="s">
        <v>2882</v>
      </c>
      <c r="PGV1338" s="4" t="s">
        <v>2882</v>
      </c>
      <c r="PGW1338" s="4" t="s">
        <v>2882</v>
      </c>
      <c r="PGX1338" s="4" t="s">
        <v>2882</v>
      </c>
      <c r="PGY1338" s="4" t="s">
        <v>2882</v>
      </c>
      <c r="PGZ1338" s="4" t="s">
        <v>2882</v>
      </c>
      <c r="PHA1338" s="4" t="s">
        <v>2882</v>
      </c>
      <c r="PHB1338" s="4" t="s">
        <v>2882</v>
      </c>
      <c r="PHC1338" s="4" t="s">
        <v>2882</v>
      </c>
      <c r="PHD1338" s="4" t="s">
        <v>2882</v>
      </c>
      <c r="PHE1338" s="4" t="s">
        <v>2882</v>
      </c>
      <c r="PHF1338" s="4" t="s">
        <v>2882</v>
      </c>
      <c r="PHG1338" s="4" t="s">
        <v>2882</v>
      </c>
      <c r="PHH1338" s="4" t="s">
        <v>2882</v>
      </c>
      <c r="PHI1338" s="4" t="s">
        <v>2882</v>
      </c>
      <c r="PHJ1338" s="4" t="s">
        <v>2882</v>
      </c>
      <c r="PHK1338" s="4" t="s">
        <v>2882</v>
      </c>
      <c r="PHL1338" s="4" t="s">
        <v>2882</v>
      </c>
      <c r="PHM1338" s="4" t="s">
        <v>2882</v>
      </c>
      <c r="PHN1338" s="4" t="s">
        <v>2882</v>
      </c>
      <c r="PHO1338" s="4" t="s">
        <v>2882</v>
      </c>
      <c r="PHP1338" s="4" t="s">
        <v>2882</v>
      </c>
      <c r="PHQ1338" s="4" t="s">
        <v>2882</v>
      </c>
      <c r="PHR1338" s="4" t="s">
        <v>2882</v>
      </c>
      <c r="PHS1338" s="4" t="s">
        <v>2882</v>
      </c>
      <c r="PHT1338" s="4" t="s">
        <v>2882</v>
      </c>
      <c r="PHU1338" s="4" t="s">
        <v>2882</v>
      </c>
      <c r="PHV1338" s="4" t="s">
        <v>2882</v>
      </c>
      <c r="PHW1338" s="4" t="s">
        <v>2882</v>
      </c>
      <c r="PHX1338" s="4" t="s">
        <v>2882</v>
      </c>
      <c r="PHY1338" s="4" t="s">
        <v>2882</v>
      </c>
      <c r="PHZ1338" s="4" t="s">
        <v>2882</v>
      </c>
      <c r="PIA1338" s="4" t="s">
        <v>2882</v>
      </c>
      <c r="PIB1338" s="4" t="s">
        <v>2882</v>
      </c>
      <c r="PIC1338" s="4" t="s">
        <v>2882</v>
      </c>
      <c r="PID1338" s="4" t="s">
        <v>2882</v>
      </c>
      <c r="PIE1338" s="4" t="s">
        <v>2882</v>
      </c>
      <c r="PIF1338" s="4" t="s">
        <v>2882</v>
      </c>
      <c r="PIG1338" s="4" t="s">
        <v>2882</v>
      </c>
      <c r="PIH1338" s="4" t="s">
        <v>2882</v>
      </c>
      <c r="PII1338" s="4" t="s">
        <v>2882</v>
      </c>
      <c r="PIJ1338" s="4" t="s">
        <v>2882</v>
      </c>
      <c r="PIK1338" s="4" t="s">
        <v>2882</v>
      </c>
      <c r="PIL1338" s="4" t="s">
        <v>2882</v>
      </c>
      <c r="PIM1338" s="4" t="s">
        <v>2882</v>
      </c>
      <c r="PIN1338" s="4" t="s">
        <v>2882</v>
      </c>
      <c r="PIO1338" s="4" t="s">
        <v>2882</v>
      </c>
      <c r="PIP1338" s="4" t="s">
        <v>2882</v>
      </c>
      <c r="PIQ1338" s="4" t="s">
        <v>2882</v>
      </c>
      <c r="PIR1338" s="4" t="s">
        <v>2882</v>
      </c>
      <c r="PIS1338" s="4" t="s">
        <v>2882</v>
      </c>
      <c r="PIT1338" s="4" t="s">
        <v>2882</v>
      </c>
      <c r="PIU1338" s="4" t="s">
        <v>2882</v>
      </c>
      <c r="PIV1338" s="4" t="s">
        <v>2882</v>
      </c>
      <c r="PIW1338" s="4" t="s">
        <v>2882</v>
      </c>
      <c r="PIX1338" s="4" t="s">
        <v>2882</v>
      </c>
      <c r="PIY1338" s="4" t="s">
        <v>2882</v>
      </c>
      <c r="PIZ1338" s="4" t="s">
        <v>2882</v>
      </c>
      <c r="PJA1338" s="4" t="s">
        <v>2882</v>
      </c>
      <c r="PJB1338" s="4" t="s">
        <v>2882</v>
      </c>
      <c r="PJC1338" s="4" t="s">
        <v>2882</v>
      </c>
      <c r="PJD1338" s="4" t="s">
        <v>2882</v>
      </c>
      <c r="PJE1338" s="4" t="s">
        <v>2882</v>
      </c>
      <c r="PJF1338" s="4" t="s">
        <v>2882</v>
      </c>
      <c r="PJG1338" s="4" t="s">
        <v>2882</v>
      </c>
      <c r="PJH1338" s="4" t="s">
        <v>2882</v>
      </c>
      <c r="PJI1338" s="4" t="s">
        <v>2882</v>
      </c>
      <c r="PJJ1338" s="4" t="s">
        <v>2882</v>
      </c>
      <c r="PJK1338" s="4" t="s">
        <v>2882</v>
      </c>
      <c r="PJL1338" s="4" t="s">
        <v>2882</v>
      </c>
      <c r="PJM1338" s="4" t="s">
        <v>2882</v>
      </c>
      <c r="PJN1338" s="4" t="s">
        <v>2882</v>
      </c>
      <c r="PJO1338" s="4" t="s">
        <v>2882</v>
      </c>
      <c r="PJP1338" s="4" t="s">
        <v>2882</v>
      </c>
      <c r="PJQ1338" s="4" t="s">
        <v>2882</v>
      </c>
      <c r="PJR1338" s="4" t="s">
        <v>2882</v>
      </c>
      <c r="PJS1338" s="4" t="s">
        <v>2882</v>
      </c>
      <c r="PJT1338" s="4" t="s">
        <v>2882</v>
      </c>
      <c r="PJU1338" s="4" t="s">
        <v>2882</v>
      </c>
      <c r="PJV1338" s="4" t="s">
        <v>2882</v>
      </c>
      <c r="PJW1338" s="4" t="s">
        <v>2882</v>
      </c>
      <c r="PJX1338" s="4" t="s">
        <v>2882</v>
      </c>
      <c r="PJY1338" s="4" t="s">
        <v>2882</v>
      </c>
      <c r="PJZ1338" s="4" t="s">
        <v>2882</v>
      </c>
      <c r="PKA1338" s="4" t="s">
        <v>2882</v>
      </c>
      <c r="PKB1338" s="4" t="s">
        <v>2882</v>
      </c>
      <c r="PKC1338" s="4" t="s">
        <v>2882</v>
      </c>
      <c r="PKD1338" s="4" t="s">
        <v>2882</v>
      </c>
      <c r="PKE1338" s="4" t="s">
        <v>2882</v>
      </c>
      <c r="PKF1338" s="4" t="s">
        <v>2882</v>
      </c>
      <c r="PKG1338" s="4" t="s">
        <v>2882</v>
      </c>
      <c r="PKH1338" s="4" t="s">
        <v>2882</v>
      </c>
      <c r="PKI1338" s="4" t="s">
        <v>2882</v>
      </c>
      <c r="PKJ1338" s="4" t="s">
        <v>2882</v>
      </c>
      <c r="PKK1338" s="4" t="s">
        <v>2882</v>
      </c>
      <c r="PKL1338" s="4" t="s">
        <v>2882</v>
      </c>
      <c r="PKM1338" s="4" t="s">
        <v>2882</v>
      </c>
      <c r="PKN1338" s="4" t="s">
        <v>2882</v>
      </c>
      <c r="PKO1338" s="4" t="s">
        <v>2882</v>
      </c>
      <c r="PKP1338" s="4" t="s">
        <v>2882</v>
      </c>
      <c r="PKQ1338" s="4" t="s">
        <v>2882</v>
      </c>
      <c r="PKR1338" s="4" t="s">
        <v>2882</v>
      </c>
      <c r="PKS1338" s="4" t="s">
        <v>2882</v>
      </c>
      <c r="PKT1338" s="4" t="s">
        <v>2882</v>
      </c>
      <c r="PKU1338" s="4" t="s">
        <v>2882</v>
      </c>
      <c r="PKV1338" s="4" t="s">
        <v>2882</v>
      </c>
      <c r="PKW1338" s="4" t="s">
        <v>2882</v>
      </c>
      <c r="PKX1338" s="4" t="s">
        <v>2882</v>
      </c>
      <c r="PKY1338" s="4" t="s">
        <v>2882</v>
      </c>
      <c r="PKZ1338" s="4" t="s">
        <v>2882</v>
      </c>
      <c r="PLA1338" s="4" t="s">
        <v>2882</v>
      </c>
      <c r="PLB1338" s="4" t="s">
        <v>2882</v>
      </c>
      <c r="PLC1338" s="4" t="s">
        <v>2882</v>
      </c>
      <c r="PLD1338" s="4" t="s">
        <v>2882</v>
      </c>
      <c r="PLE1338" s="4" t="s">
        <v>2882</v>
      </c>
      <c r="PLF1338" s="4" t="s">
        <v>2882</v>
      </c>
      <c r="PLG1338" s="4" t="s">
        <v>2882</v>
      </c>
      <c r="PLH1338" s="4" t="s">
        <v>2882</v>
      </c>
      <c r="PLI1338" s="4" t="s">
        <v>2882</v>
      </c>
      <c r="PLJ1338" s="4" t="s">
        <v>2882</v>
      </c>
      <c r="PLK1338" s="4" t="s">
        <v>2882</v>
      </c>
      <c r="PLL1338" s="4" t="s">
        <v>2882</v>
      </c>
      <c r="PLM1338" s="4" t="s">
        <v>2882</v>
      </c>
      <c r="PLN1338" s="4" t="s">
        <v>2882</v>
      </c>
      <c r="PLO1338" s="4" t="s">
        <v>2882</v>
      </c>
      <c r="PLP1338" s="4" t="s">
        <v>2882</v>
      </c>
      <c r="PLQ1338" s="4" t="s">
        <v>2882</v>
      </c>
      <c r="PLR1338" s="4" t="s">
        <v>2882</v>
      </c>
      <c r="PLS1338" s="4" t="s">
        <v>2882</v>
      </c>
      <c r="PLT1338" s="4" t="s">
        <v>2882</v>
      </c>
      <c r="PLU1338" s="4" t="s">
        <v>2882</v>
      </c>
      <c r="PLV1338" s="4" t="s">
        <v>2882</v>
      </c>
      <c r="PLW1338" s="4" t="s">
        <v>2882</v>
      </c>
      <c r="PLX1338" s="4" t="s">
        <v>2882</v>
      </c>
      <c r="PLY1338" s="4" t="s">
        <v>2882</v>
      </c>
      <c r="PLZ1338" s="4" t="s">
        <v>2882</v>
      </c>
      <c r="PMA1338" s="4" t="s">
        <v>2882</v>
      </c>
      <c r="PMB1338" s="4" t="s">
        <v>2882</v>
      </c>
      <c r="PMC1338" s="4" t="s">
        <v>2882</v>
      </c>
      <c r="PMD1338" s="4" t="s">
        <v>2882</v>
      </c>
      <c r="PME1338" s="4" t="s">
        <v>2882</v>
      </c>
      <c r="PMF1338" s="4" t="s">
        <v>2882</v>
      </c>
      <c r="PMG1338" s="4" t="s">
        <v>2882</v>
      </c>
      <c r="PMH1338" s="4" t="s">
        <v>2882</v>
      </c>
      <c r="PMI1338" s="4" t="s">
        <v>2882</v>
      </c>
      <c r="PMJ1338" s="4" t="s">
        <v>2882</v>
      </c>
      <c r="PMK1338" s="4" t="s">
        <v>2882</v>
      </c>
      <c r="PML1338" s="4" t="s">
        <v>2882</v>
      </c>
      <c r="PMM1338" s="4" t="s">
        <v>2882</v>
      </c>
      <c r="PMN1338" s="4" t="s">
        <v>2882</v>
      </c>
      <c r="PMO1338" s="4" t="s">
        <v>2882</v>
      </c>
      <c r="PMP1338" s="4" t="s">
        <v>2882</v>
      </c>
      <c r="PMQ1338" s="4" t="s">
        <v>2882</v>
      </c>
      <c r="PMR1338" s="4" t="s">
        <v>2882</v>
      </c>
      <c r="PMS1338" s="4" t="s">
        <v>2882</v>
      </c>
      <c r="PMT1338" s="4" t="s">
        <v>2882</v>
      </c>
      <c r="PMU1338" s="4" t="s">
        <v>2882</v>
      </c>
      <c r="PMV1338" s="4" t="s">
        <v>2882</v>
      </c>
      <c r="PMW1338" s="4" t="s">
        <v>2882</v>
      </c>
      <c r="PMX1338" s="4" t="s">
        <v>2882</v>
      </c>
      <c r="PMY1338" s="4" t="s">
        <v>2882</v>
      </c>
      <c r="PMZ1338" s="4" t="s">
        <v>2882</v>
      </c>
      <c r="PNA1338" s="4" t="s">
        <v>2882</v>
      </c>
      <c r="PNB1338" s="4" t="s">
        <v>2882</v>
      </c>
      <c r="PNC1338" s="4" t="s">
        <v>2882</v>
      </c>
      <c r="PND1338" s="4" t="s">
        <v>2882</v>
      </c>
      <c r="PNE1338" s="4" t="s">
        <v>2882</v>
      </c>
      <c r="PNF1338" s="4" t="s">
        <v>2882</v>
      </c>
      <c r="PNG1338" s="4" t="s">
        <v>2882</v>
      </c>
      <c r="PNH1338" s="4" t="s">
        <v>2882</v>
      </c>
      <c r="PNI1338" s="4" t="s">
        <v>2882</v>
      </c>
      <c r="PNJ1338" s="4" t="s">
        <v>2882</v>
      </c>
      <c r="PNK1338" s="4" t="s">
        <v>2882</v>
      </c>
      <c r="PNL1338" s="4" t="s">
        <v>2882</v>
      </c>
      <c r="PNM1338" s="4" t="s">
        <v>2882</v>
      </c>
      <c r="PNN1338" s="4" t="s">
        <v>2882</v>
      </c>
      <c r="PNO1338" s="4" t="s">
        <v>2882</v>
      </c>
      <c r="PNP1338" s="4" t="s">
        <v>2882</v>
      </c>
      <c r="PNQ1338" s="4" t="s">
        <v>2882</v>
      </c>
      <c r="PNR1338" s="4" t="s">
        <v>2882</v>
      </c>
      <c r="PNS1338" s="4" t="s">
        <v>2882</v>
      </c>
      <c r="PNT1338" s="4" t="s">
        <v>2882</v>
      </c>
      <c r="PNU1338" s="4" t="s">
        <v>2882</v>
      </c>
      <c r="PNV1338" s="4" t="s">
        <v>2882</v>
      </c>
      <c r="PNW1338" s="4" t="s">
        <v>2882</v>
      </c>
      <c r="PNX1338" s="4" t="s">
        <v>2882</v>
      </c>
      <c r="PNY1338" s="4" t="s">
        <v>2882</v>
      </c>
      <c r="PNZ1338" s="4" t="s">
        <v>2882</v>
      </c>
      <c r="POA1338" s="4" t="s">
        <v>2882</v>
      </c>
      <c r="POB1338" s="4" t="s">
        <v>2882</v>
      </c>
      <c r="POC1338" s="4" t="s">
        <v>2882</v>
      </c>
      <c r="POD1338" s="4" t="s">
        <v>2882</v>
      </c>
      <c r="POE1338" s="4" t="s">
        <v>2882</v>
      </c>
      <c r="POF1338" s="4" t="s">
        <v>2882</v>
      </c>
      <c r="POG1338" s="4" t="s">
        <v>2882</v>
      </c>
      <c r="POH1338" s="4" t="s">
        <v>2882</v>
      </c>
      <c r="POI1338" s="4" t="s">
        <v>2882</v>
      </c>
      <c r="POJ1338" s="4" t="s">
        <v>2882</v>
      </c>
      <c r="POK1338" s="4" t="s">
        <v>2882</v>
      </c>
      <c r="POL1338" s="4" t="s">
        <v>2882</v>
      </c>
      <c r="POM1338" s="4" t="s">
        <v>2882</v>
      </c>
      <c r="PON1338" s="4" t="s">
        <v>2882</v>
      </c>
      <c r="POO1338" s="4" t="s">
        <v>2882</v>
      </c>
      <c r="POP1338" s="4" t="s">
        <v>2882</v>
      </c>
      <c r="POQ1338" s="4" t="s">
        <v>2882</v>
      </c>
      <c r="POR1338" s="4" t="s">
        <v>2882</v>
      </c>
      <c r="POS1338" s="4" t="s">
        <v>2882</v>
      </c>
      <c r="POT1338" s="4" t="s">
        <v>2882</v>
      </c>
      <c r="POU1338" s="4" t="s">
        <v>2882</v>
      </c>
      <c r="POV1338" s="4" t="s">
        <v>2882</v>
      </c>
      <c r="POW1338" s="4" t="s">
        <v>2882</v>
      </c>
      <c r="POX1338" s="4" t="s">
        <v>2882</v>
      </c>
      <c r="POY1338" s="4" t="s">
        <v>2882</v>
      </c>
      <c r="POZ1338" s="4" t="s">
        <v>2882</v>
      </c>
      <c r="PPA1338" s="4" t="s">
        <v>2882</v>
      </c>
      <c r="PPB1338" s="4" t="s">
        <v>2882</v>
      </c>
      <c r="PPC1338" s="4" t="s">
        <v>2882</v>
      </c>
      <c r="PPD1338" s="4" t="s">
        <v>2882</v>
      </c>
      <c r="PPE1338" s="4" t="s">
        <v>2882</v>
      </c>
      <c r="PPF1338" s="4" t="s">
        <v>2882</v>
      </c>
      <c r="PPG1338" s="4" t="s">
        <v>2882</v>
      </c>
      <c r="PPH1338" s="4" t="s">
        <v>2882</v>
      </c>
      <c r="PPI1338" s="4" t="s">
        <v>2882</v>
      </c>
      <c r="PPJ1338" s="4" t="s">
        <v>2882</v>
      </c>
      <c r="PPK1338" s="4" t="s">
        <v>2882</v>
      </c>
      <c r="PPL1338" s="4" t="s">
        <v>2882</v>
      </c>
      <c r="PPM1338" s="4" t="s">
        <v>2882</v>
      </c>
      <c r="PPN1338" s="4" t="s">
        <v>2882</v>
      </c>
      <c r="PPO1338" s="4" t="s">
        <v>2882</v>
      </c>
      <c r="PPP1338" s="4" t="s">
        <v>2882</v>
      </c>
      <c r="PPQ1338" s="4" t="s">
        <v>2882</v>
      </c>
      <c r="PPR1338" s="4" t="s">
        <v>2882</v>
      </c>
      <c r="PPS1338" s="4" t="s">
        <v>2882</v>
      </c>
      <c r="PPT1338" s="4" t="s">
        <v>2882</v>
      </c>
      <c r="PPU1338" s="4" t="s">
        <v>2882</v>
      </c>
      <c r="PPV1338" s="4" t="s">
        <v>2882</v>
      </c>
      <c r="PPW1338" s="4" t="s">
        <v>2882</v>
      </c>
      <c r="PPX1338" s="4" t="s">
        <v>2882</v>
      </c>
      <c r="PPY1338" s="4" t="s">
        <v>2882</v>
      </c>
      <c r="PPZ1338" s="4" t="s">
        <v>2882</v>
      </c>
      <c r="PQA1338" s="4" t="s">
        <v>2882</v>
      </c>
      <c r="PQB1338" s="4" t="s">
        <v>2882</v>
      </c>
      <c r="PQC1338" s="4" t="s">
        <v>2882</v>
      </c>
      <c r="PQD1338" s="4" t="s">
        <v>2882</v>
      </c>
      <c r="PQE1338" s="4" t="s">
        <v>2882</v>
      </c>
      <c r="PQF1338" s="4" t="s">
        <v>2882</v>
      </c>
      <c r="PQG1338" s="4" t="s">
        <v>2882</v>
      </c>
      <c r="PQH1338" s="4" t="s">
        <v>2882</v>
      </c>
      <c r="PQI1338" s="4" t="s">
        <v>2882</v>
      </c>
      <c r="PQJ1338" s="4" t="s">
        <v>2882</v>
      </c>
      <c r="PQK1338" s="4" t="s">
        <v>2882</v>
      </c>
      <c r="PQL1338" s="4" t="s">
        <v>2882</v>
      </c>
      <c r="PQM1338" s="4" t="s">
        <v>2882</v>
      </c>
      <c r="PQN1338" s="4" t="s">
        <v>2882</v>
      </c>
      <c r="PQO1338" s="4" t="s">
        <v>2882</v>
      </c>
      <c r="PQP1338" s="4" t="s">
        <v>2882</v>
      </c>
      <c r="PQQ1338" s="4" t="s">
        <v>2882</v>
      </c>
      <c r="PQR1338" s="4" t="s">
        <v>2882</v>
      </c>
      <c r="PQS1338" s="4" t="s">
        <v>2882</v>
      </c>
      <c r="PQT1338" s="4" t="s">
        <v>2882</v>
      </c>
      <c r="PQU1338" s="4" t="s">
        <v>2882</v>
      </c>
      <c r="PQV1338" s="4" t="s">
        <v>2882</v>
      </c>
      <c r="PQW1338" s="4" t="s">
        <v>2882</v>
      </c>
      <c r="PQX1338" s="4" t="s">
        <v>2882</v>
      </c>
      <c r="PQY1338" s="4" t="s">
        <v>2882</v>
      </c>
      <c r="PQZ1338" s="4" t="s">
        <v>2882</v>
      </c>
      <c r="PRA1338" s="4" t="s">
        <v>2882</v>
      </c>
      <c r="PRB1338" s="4" t="s">
        <v>2882</v>
      </c>
      <c r="PRC1338" s="4" t="s">
        <v>2882</v>
      </c>
      <c r="PRD1338" s="4" t="s">
        <v>2882</v>
      </c>
      <c r="PRE1338" s="4" t="s">
        <v>2882</v>
      </c>
      <c r="PRF1338" s="4" t="s">
        <v>2882</v>
      </c>
      <c r="PRG1338" s="4" t="s">
        <v>2882</v>
      </c>
      <c r="PRH1338" s="4" t="s">
        <v>2882</v>
      </c>
      <c r="PRI1338" s="4" t="s">
        <v>2882</v>
      </c>
      <c r="PRJ1338" s="4" t="s">
        <v>2882</v>
      </c>
      <c r="PRK1338" s="4" t="s">
        <v>2882</v>
      </c>
      <c r="PRL1338" s="4" t="s">
        <v>2882</v>
      </c>
      <c r="PRM1338" s="4" t="s">
        <v>2882</v>
      </c>
      <c r="PRN1338" s="4" t="s">
        <v>2882</v>
      </c>
      <c r="PRO1338" s="4" t="s">
        <v>2882</v>
      </c>
      <c r="PRP1338" s="4" t="s">
        <v>2882</v>
      </c>
      <c r="PRQ1338" s="4" t="s">
        <v>2882</v>
      </c>
      <c r="PRR1338" s="4" t="s">
        <v>2882</v>
      </c>
      <c r="PRS1338" s="4" t="s">
        <v>2882</v>
      </c>
      <c r="PRT1338" s="4" t="s">
        <v>2882</v>
      </c>
      <c r="PRU1338" s="4" t="s">
        <v>2882</v>
      </c>
      <c r="PRV1338" s="4" t="s">
        <v>2882</v>
      </c>
      <c r="PRW1338" s="4" t="s">
        <v>2882</v>
      </c>
      <c r="PRX1338" s="4" t="s">
        <v>2882</v>
      </c>
      <c r="PRY1338" s="4" t="s">
        <v>2882</v>
      </c>
      <c r="PRZ1338" s="4" t="s">
        <v>2882</v>
      </c>
      <c r="PSA1338" s="4" t="s">
        <v>2882</v>
      </c>
      <c r="PSB1338" s="4" t="s">
        <v>2882</v>
      </c>
      <c r="PSC1338" s="4" t="s">
        <v>2882</v>
      </c>
      <c r="PSD1338" s="4" t="s">
        <v>2882</v>
      </c>
      <c r="PSE1338" s="4" t="s">
        <v>2882</v>
      </c>
      <c r="PSF1338" s="4" t="s">
        <v>2882</v>
      </c>
      <c r="PSG1338" s="4" t="s">
        <v>2882</v>
      </c>
      <c r="PSH1338" s="4" t="s">
        <v>2882</v>
      </c>
      <c r="PSI1338" s="4" t="s">
        <v>2882</v>
      </c>
      <c r="PSJ1338" s="4" t="s">
        <v>2882</v>
      </c>
      <c r="PSK1338" s="4" t="s">
        <v>2882</v>
      </c>
      <c r="PSL1338" s="4" t="s">
        <v>2882</v>
      </c>
      <c r="PSM1338" s="4" t="s">
        <v>2882</v>
      </c>
      <c r="PSN1338" s="4" t="s">
        <v>2882</v>
      </c>
      <c r="PSO1338" s="4" t="s">
        <v>2882</v>
      </c>
      <c r="PSP1338" s="4" t="s">
        <v>2882</v>
      </c>
      <c r="PSQ1338" s="4" t="s">
        <v>2882</v>
      </c>
      <c r="PSR1338" s="4" t="s">
        <v>2882</v>
      </c>
      <c r="PSS1338" s="4" t="s">
        <v>2882</v>
      </c>
      <c r="PST1338" s="4" t="s">
        <v>2882</v>
      </c>
      <c r="PSU1338" s="4" t="s">
        <v>2882</v>
      </c>
      <c r="PSV1338" s="4" t="s">
        <v>2882</v>
      </c>
      <c r="PSW1338" s="4" t="s">
        <v>2882</v>
      </c>
      <c r="PSX1338" s="4" t="s">
        <v>2882</v>
      </c>
      <c r="PSY1338" s="4" t="s">
        <v>2882</v>
      </c>
      <c r="PSZ1338" s="4" t="s">
        <v>2882</v>
      </c>
      <c r="PTA1338" s="4" t="s">
        <v>2882</v>
      </c>
      <c r="PTB1338" s="4" t="s">
        <v>2882</v>
      </c>
      <c r="PTC1338" s="4" t="s">
        <v>2882</v>
      </c>
      <c r="PTD1338" s="4" t="s">
        <v>2882</v>
      </c>
      <c r="PTE1338" s="4" t="s">
        <v>2882</v>
      </c>
      <c r="PTF1338" s="4" t="s">
        <v>2882</v>
      </c>
      <c r="PTG1338" s="4" t="s">
        <v>2882</v>
      </c>
      <c r="PTH1338" s="4" t="s">
        <v>2882</v>
      </c>
      <c r="PTI1338" s="4" t="s">
        <v>2882</v>
      </c>
      <c r="PTJ1338" s="4" t="s">
        <v>2882</v>
      </c>
      <c r="PTK1338" s="4" t="s">
        <v>2882</v>
      </c>
      <c r="PTL1338" s="4" t="s">
        <v>2882</v>
      </c>
      <c r="PTM1338" s="4" t="s">
        <v>2882</v>
      </c>
      <c r="PTN1338" s="4" t="s">
        <v>2882</v>
      </c>
      <c r="PTO1338" s="4" t="s">
        <v>2882</v>
      </c>
      <c r="PTP1338" s="4" t="s">
        <v>2882</v>
      </c>
      <c r="PTQ1338" s="4" t="s">
        <v>2882</v>
      </c>
      <c r="PTR1338" s="4" t="s">
        <v>2882</v>
      </c>
      <c r="PTS1338" s="4" t="s">
        <v>2882</v>
      </c>
      <c r="PTT1338" s="4" t="s">
        <v>2882</v>
      </c>
      <c r="PTU1338" s="4" t="s">
        <v>2882</v>
      </c>
      <c r="PTV1338" s="4" t="s">
        <v>2882</v>
      </c>
      <c r="PTW1338" s="4" t="s">
        <v>2882</v>
      </c>
      <c r="PTX1338" s="4" t="s">
        <v>2882</v>
      </c>
      <c r="PTY1338" s="4" t="s">
        <v>2882</v>
      </c>
      <c r="PTZ1338" s="4" t="s">
        <v>2882</v>
      </c>
      <c r="PUA1338" s="4" t="s">
        <v>2882</v>
      </c>
      <c r="PUB1338" s="4" t="s">
        <v>2882</v>
      </c>
      <c r="PUC1338" s="4" t="s">
        <v>2882</v>
      </c>
      <c r="PUD1338" s="4" t="s">
        <v>2882</v>
      </c>
      <c r="PUE1338" s="4" t="s">
        <v>2882</v>
      </c>
      <c r="PUF1338" s="4" t="s">
        <v>2882</v>
      </c>
      <c r="PUG1338" s="4" t="s">
        <v>2882</v>
      </c>
      <c r="PUH1338" s="4" t="s">
        <v>2882</v>
      </c>
      <c r="PUI1338" s="4" t="s">
        <v>2882</v>
      </c>
      <c r="PUJ1338" s="4" t="s">
        <v>2882</v>
      </c>
      <c r="PUK1338" s="4" t="s">
        <v>2882</v>
      </c>
      <c r="PUL1338" s="4" t="s">
        <v>2882</v>
      </c>
      <c r="PUM1338" s="4" t="s">
        <v>2882</v>
      </c>
      <c r="PUN1338" s="4" t="s">
        <v>2882</v>
      </c>
      <c r="PUO1338" s="4" t="s">
        <v>2882</v>
      </c>
      <c r="PUP1338" s="4" t="s">
        <v>2882</v>
      </c>
      <c r="PUQ1338" s="4" t="s">
        <v>2882</v>
      </c>
      <c r="PUR1338" s="4" t="s">
        <v>2882</v>
      </c>
      <c r="PUS1338" s="4" t="s">
        <v>2882</v>
      </c>
      <c r="PUT1338" s="4" t="s">
        <v>2882</v>
      </c>
      <c r="PUU1338" s="4" t="s">
        <v>2882</v>
      </c>
      <c r="PUV1338" s="4" t="s">
        <v>2882</v>
      </c>
      <c r="PUW1338" s="4" t="s">
        <v>2882</v>
      </c>
      <c r="PUX1338" s="4" t="s">
        <v>2882</v>
      </c>
      <c r="PUY1338" s="4" t="s">
        <v>2882</v>
      </c>
      <c r="PUZ1338" s="4" t="s">
        <v>2882</v>
      </c>
      <c r="PVA1338" s="4" t="s">
        <v>2882</v>
      </c>
      <c r="PVB1338" s="4" t="s">
        <v>2882</v>
      </c>
      <c r="PVC1338" s="4" t="s">
        <v>2882</v>
      </c>
      <c r="PVD1338" s="4" t="s">
        <v>2882</v>
      </c>
      <c r="PVE1338" s="4" t="s">
        <v>2882</v>
      </c>
      <c r="PVF1338" s="4" t="s">
        <v>2882</v>
      </c>
      <c r="PVG1338" s="4" t="s">
        <v>2882</v>
      </c>
      <c r="PVH1338" s="4" t="s">
        <v>2882</v>
      </c>
      <c r="PVI1338" s="4" t="s">
        <v>2882</v>
      </c>
      <c r="PVJ1338" s="4" t="s">
        <v>2882</v>
      </c>
      <c r="PVK1338" s="4" t="s">
        <v>2882</v>
      </c>
      <c r="PVL1338" s="4" t="s">
        <v>2882</v>
      </c>
      <c r="PVM1338" s="4" t="s">
        <v>2882</v>
      </c>
      <c r="PVN1338" s="4" t="s">
        <v>2882</v>
      </c>
      <c r="PVO1338" s="4" t="s">
        <v>2882</v>
      </c>
      <c r="PVP1338" s="4" t="s">
        <v>2882</v>
      </c>
      <c r="PVQ1338" s="4" t="s">
        <v>2882</v>
      </c>
      <c r="PVR1338" s="4" t="s">
        <v>2882</v>
      </c>
      <c r="PVS1338" s="4" t="s">
        <v>2882</v>
      </c>
      <c r="PVT1338" s="4" t="s">
        <v>2882</v>
      </c>
      <c r="PVU1338" s="4" t="s">
        <v>2882</v>
      </c>
      <c r="PVV1338" s="4" t="s">
        <v>2882</v>
      </c>
      <c r="PVW1338" s="4" t="s">
        <v>2882</v>
      </c>
      <c r="PVX1338" s="4" t="s">
        <v>2882</v>
      </c>
      <c r="PVY1338" s="4" t="s">
        <v>2882</v>
      </c>
      <c r="PVZ1338" s="4" t="s">
        <v>2882</v>
      </c>
      <c r="PWA1338" s="4" t="s">
        <v>2882</v>
      </c>
      <c r="PWB1338" s="4" t="s">
        <v>2882</v>
      </c>
      <c r="PWC1338" s="4" t="s">
        <v>2882</v>
      </c>
      <c r="PWD1338" s="4" t="s">
        <v>2882</v>
      </c>
      <c r="PWE1338" s="4" t="s">
        <v>2882</v>
      </c>
      <c r="PWF1338" s="4" t="s">
        <v>2882</v>
      </c>
      <c r="PWG1338" s="4" t="s">
        <v>2882</v>
      </c>
      <c r="PWH1338" s="4" t="s">
        <v>2882</v>
      </c>
      <c r="PWI1338" s="4" t="s">
        <v>2882</v>
      </c>
      <c r="PWJ1338" s="4" t="s">
        <v>2882</v>
      </c>
      <c r="PWK1338" s="4" t="s">
        <v>2882</v>
      </c>
      <c r="PWL1338" s="4" t="s">
        <v>2882</v>
      </c>
      <c r="PWM1338" s="4" t="s">
        <v>2882</v>
      </c>
      <c r="PWN1338" s="4" t="s">
        <v>2882</v>
      </c>
      <c r="PWO1338" s="4" t="s">
        <v>2882</v>
      </c>
      <c r="PWP1338" s="4" t="s">
        <v>2882</v>
      </c>
      <c r="PWQ1338" s="4" t="s">
        <v>2882</v>
      </c>
      <c r="PWR1338" s="4" t="s">
        <v>2882</v>
      </c>
      <c r="PWS1338" s="4" t="s">
        <v>2882</v>
      </c>
      <c r="PWT1338" s="4" t="s">
        <v>2882</v>
      </c>
      <c r="PWU1338" s="4" t="s">
        <v>2882</v>
      </c>
      <c r="PWV1338" s="4" t="s">
        <v>2882</v>
      </c>
      <c r="PWW1338" s="4" t="s">
        <v>2882</v>
      </c>
      <c r="PWX1338" s="4" t="s">
        <v>2882</v>
      </c>
      <c r="PWY1338" s="4" t="s">
        <v>2882</v>
      </c>
      <c r="PWZ1338" s="4" t="s">
        <v>2882</v>
      </c>
      <c r="PXA1338" s="4" t="s">
        <v>2882</v>
      </c>
      <c r="PXB1338" s="4" t="s">
        <v>2882</v>
      </c>
      <c r="PXC1338" s="4" t="s">
        <v>2882</v>
      </c>
      <c r="PXD1338" s="4" t="s">
        <v>2882</v>
      </c>
      <c r="PXE1338" s="4" t="s">
        <v>2882</v>
      </c>
      <c r="PXF1338" s="4" t="s">
        <v>2882</v>
      </c>
      <c r="PXG1338" s="4" t="s">
        <v>2882</v>
      </c>
      <c r="PXH1338" s="4" t="s">
        <v>2882</v>
      </c>
      <c r="PXI1338" s="4" t="s">
        <v>2882</v>
      </c>
      <c r="PXJ1338" s="4" t="s">
        <v>2882</v>
      </c>
      <c r="PXK1338" s="4" t="s">
        <v>2882</v>
      </c>
      <c r="PXL1338" s="4" t="s">
        <v>2882</v>
      </c>
      <c r="PXM1338" s="4" t="s">
        <v>2882</v>
      </c>
      <c r="PXN1338" s="4" t="s">
        <v>2882</v>
      </c>
      <c r="PXO1338" s="4" t="s">
        <v>2882</v>
      </c>
      <c r="PXP1338" s="4" t="s">
        <v>2882</v>
      </c>
      <c r="PXQ1338" s="4" t="s">
        <v>2882</v>
      </c>
      <c r="PXR1338" s="4" t="s">
        <v>2882</v>
      </c>
      <c r="PXS1338" s="4" t="s">
        <v>2882</v>
      </c>
      <c r="PXT1338" s="4" t="s">
        <v>2882</v>
      </c>
      <c r="PXU1338" s="4" t="s">
        <v>2882</v>
      </c>
      <c r="PXV1338" s="4" t="s">
        <v>2882</v>
      </c>
      <c r="PXW1338" s="4" t="s">
        <v>2882</v>
      </c>
      <c r="PXX1338" s="4" t="s">
        <v>2882</v>
      </c>
      <c r="PXY1338" s="4" t="s">
        <v>2882</v>
      </c>
      <c r="PXZ1338" s="4" t="s">
        <v>2882</v>
      </c>
      <c r="PYA1338" s="4" t="s">
        <v>2882</v>
      </c>
      <c r="PYB1338" s="4" t="s">
        <v>2882</v>
      </c>
      <c r="PYC1338" s="4" t="s">
        <v>2882</v>
      </c>
      <c r="PYD1338" s="4" t="s">
        <v>2882</v>
      </c>
      <c r="PYE1338" s="4" t="s">
        <v>2882</v>
      </c>
      <c r="PYF1338" s="4" t="s">
        <v>2882</v>
      </c>
      <c r="PYG1338" s="4" t="s">
        <v>2882</v>
      </c>
      <c r="PYH1338" s="4" t="s">
        <v>2882</v>
      </c>
      <c r="PYI1338" s="4" t="s">
        <v>2882</v>
      </c>
      <c r="PYJ1338" s="4" t="s">
        <v>2882</v>
      </c>
      <c r="PYK1338" s="4" t="s">
        <v>2882</v>
      </c>
      <c r="PYL1338" s="4" t="s">
        <v>2882</v>
      </c>
      <c r="PYM1338" s="4" t="s">
        <v>2882</v>
      </c>
      <c r="PYN1338" s="4" t="s">
        <v>2882</v>
      </c>
      <c r="PYO1338" s="4" t="s">
        <v>2882</v>
      </c>
      <c r="PYP1338" s="4" t="s">
        <v>2882</v>
      </c>
      <c r="PYQ1338" s="4" t="s">
        <v>2882</v>
      </c>
      <c r="PYR1338" s="4" t="s">
        <v>2882</v>
      </c>
      <c r="PYS1338" s="4" t="s">
        <v>2882</v>
      </c>
      <c r="PYT1338" s="4" t="s">
        <v>2882</v>
      </c>
      <c r="PYU1338" s="4" t="s">
        <v>2882</v>
      </c>
      <c r="PYV1338" s="4" t="s">
        <v>2882</v>
      </c>
      <c r="PYW1338" s="4" t="s">
        <v>2882</v>
      </c>
      <c r="PYX1338" s="4" t="s">
        <v>2882</v>
      </c>
      <c r="PYY1338" s="4" t="s">
        <v>2882</v>
      </c>
      <c r="PYZ1338" s="4" t="s">
        <v>2882</v>
      </c>
      <c r="PZA1338" s="4" t="s">
        <v>2882</v>
      </c>
      <c r="PZB1338" s="4" t="s">
        <v>2882</v>
      </c>
      <c r="PZC1338" s="4" t="s">
        <v>2882</v>
      </c>
      <c r="PZD1338" s="4" t="s">
        <v>2882</v>
      </c>
      <c r="PZE1338" s="4" t="s">
        <v>2882</v>
      </c>
      <c r="PZF1338" s="4" t="s">
        <v>2882</v>
      </c>
      <c r="PZG1338" s="4" t="s">
        <v>2882</v>
      </c>
      <c r="PZH1338" s="4" t="s">
        <v>2882</v>
      </c>
      <c r="PZI1338" s="4" t="s">
        <v>2882</v>
      </c>
      <c r="PZJ1338" s="4" t="s">
        <v>2882</v>
      </c>
      <c r="PZK1338" s="4" t="s">
        <v>2882</v>
      </c>
      <c r="PZL1338" s="4" t="s">
        <v>2882</v>
      </c>
      <c r="PZM1338" s="4" t="s">
        <v>2882</v>
      </c>
      <c r="PZN1338" s="4" t="s">
        <v>2882</v>
      </c>
      <c r="PZO1338" s="4" t="s">
        <v>2882</v>
      </c>
      <c r="PZP1338" s="4" t="s">
        <v>2882</v>
      </c>
      <c r="PZQ1338" s="4" t="s">
        <v>2882</v>
      </c>
      <c r="PZR1338" s="4" t="s">
        <v>2882</v>
      </c>
      <c r="PZS1338" s="4" t="s">
        <v>2882</v>
      </c>
      <c r="PZT1338" s="4" t="s">
        <v>2882</v>
      </c>
      <c r="PZU1338" s="4" t="s">
        <v>2882</v>
      </c>
      <c r="PZV1338" s="4" t="s">
        <v>2882</v>
      </c>
      <c r="PZW1338" s="4" t="s">
        <v>2882</v>
      </c>
      <c r="PZX1338" s="4" t="s">
        <v>2882</v>
      </c>
      <c r="PZY1338" s="4" t="s">
        <v>2882</v>
      </c>
      <c r="PZZ1338" s="4" t="s">
        <v>2882</v>
      </c>
      <c r="QAA1338" s="4" t="s">
        <v>2882</v>
      </c>
      <c r="QAB1338" s="4" t="s">
        <v>2882</v>
      </c>
      <c r="QAC1338" s="4" t="s">
        <v>2882</v>
      </c>
      <c r="QAD1338" s="4" t="s">
        <v>2882</v>
      </c>
      <c r="QAE1338" s="4" t="s">
        <v>2882</v>
      </c>
      <c r="QAF1338" s="4" t="s">
        <v>2882</v>
      </c>
      <c r="QAG1338" s="4" t="s">
        <v>2882</v>
      </c>
      <c r="QAH1338" s="4" t="s">
        <v>2882</v>
      </c>
      <c r="QAI1338" s="4" t="s">
        <v>2882</v>
      </c>
      <c r="QAJ1338" s="4" t="s">
        <v>2882</v>
      </c>
      <c r="QAK1338" s="4" t="s">
        <v>2882</v>
      </c>
      <c r="QAL1338" s="4" t="s">
        <v>2882</v>
      </c>
      <c r="QAM1338" s="4" t="s">
        <v>2882</v>
      </c>
      <c r="QAN1338" s="4" t="s">
        <v>2882</v>
      </c>
      <c r="QAO1338" s="4" t="s">
        <v>2882</v>
      </c>
      <c r="QAP1338" s="4" t="s">
        <v>2882</v>
      </c>
      <c r="QAQ1338" s="4" t="s">
        <v>2882</v>
      </c>
      <c r="QAR1338" s="4" t="s">
        <v>2882</v>
      </c>
      <c r="QAS1338" s="4" t="s">
        <v>2882</v>
      </c>
      <c r="QAT1338" s="4" t="s">
        <v>2882</v>
      </c>
      <c r="QAU1338" s="4" t="s">
        <v>2882</v>
      </c>
      <c r="QAV1338" s="4" t="s">
        <v>2882</v>
      </c>
      <c r="QAW1338" s="4" t="s">
        <v>2882</v>
      </c>
      <c r="QAX1338" s="4" t="s">
        <v>2882</v>
      </c>
      <c r="QAY1338" s="4" t="s">
        <v>2882</v>
      </c>
      <c r="QAZ1338" s="4" t="s">
        <v>2882</v>
      </c>
      <c r="QBA1338" s="4" t="s">
        <v>2882</v>
      </c>
      <c r="QBB1338" s="4" t="s">
        <v>2882</v>
      </c>
      <c r="QBC1338" s="4" t="s">
        <v>2882</v>
      </c>
      <c r="QBD1338" s="4" t="s">
        <v>2882</v>
      </c>
      <c r="QBE1338" s="4" t="s">
        <v>2882</v>
      </c>
      <c r="QBF1338" s="4" t="s">
        <v>2882</v>
      </c>
      <c r="QBG1338" s="4" t="s">
        <v>2882</v>
      </c>
      <c r="QBH1338" s="4" t="s">
        <v>2882</v>
      </c>
      <c r="QBI1338" s="4" t="s">
        <v>2882</v>
      </c>
      <c r="QBJ1338" s="4" t="s">
        <v>2882</v>
      </c>
      <c r="QBK1338" s="4" t="s">
        <v>2882</v>
      </c>
      <c r="QBL1338" s="4" t="s">
        <v>2882</v>
      </c>
      <c r="QBM1338" s="4" t="s">
        <v>2882</v>
      </c>
      <c r="QBN1338" s="4" t="s">
        <v>2882</v>
      </c>
      <c r="QBO1338" s="4" t="s">
        <v>2882</v>
      </c>
      <c r="QBP1338" s="4" t="s">
        <v>2882</v>
      </c>
      <c r="QBQ1338" s="4" t="s">
        <v>2882</v>
      </c>
      <c r="QBR1338" s="4" t="s">
        <v>2882</v>
      </c>
      <c r="QBS1338" s="4" t="s">
        <v>2882</v>
      </c>
      <c r="QBT1338" s="4" t="s">
        <v>2882</v>
      </c>
      <c r="QBU1338" s="4" t="s">
        <v>2882</v>
      </c>
      <c r="QBV1338" s="4" t="s">
        <v>2882</v>
      </c>
      <c r="QBW1338" s="4" t="s">
        <v>2882</v>
      </c>
      <c r="QBX1338" s="4" t="s">
        <v>2882</v>
      </c>
      <c r="QBY1338" s="4" t="s">
        <v>2882</v>
      </c>
      <c r="QBZ1338" s="4" t="s">
        <v>2882</v>
      </c>
      <c r="QCA1338" s="4" t="s">
        <v>2882</v>
      </c>
      <c r="QCB1338" s="4" t="s">
        <v>2882</v>
      </c>
      <c r="QCC1338" s="4" t="s">
        <v>2882</v>
      </c>
      <c r="QCD1338" s="4" t="s">
        <v>2882</v>
      </c>
      <c r="QCE1338" s="4" t="s">
        <v>2882</v>
      </c>
      <c r="QCF1338" s="4" t="s">
        <v>2882</v>
      </c>
      <c r="QCG1338" s="4" t="s">
        <v>2882</v>
      </c>
      <c r="QCH1338" s="4" t="s">
        <v>2882</v>
      </c>
      <c r="QCI1338" s="4" t="s">
        <v>2882</v>
      </c>
      <c r="QCJ1338" s="4" t="s">
        <v>2882</v>
      </c>
      <c r="QCK1338" s="4" t="s">
        <v>2882</v>
      </c>
      <c r="QCL1338" s="4" t="s">
        <v>2882</v>
      </c>
      <c r="QCM1338" s="4" t="s">
        <v>2882</v>
      </c>
      <c r="QCN1338" s="4" t="s">
        <v>2882</v>
      </c>
      <c r="QCO1338" s="4" t="s">
        <v>2882</v>
      </c>
      <c r="QCP1338" s="4" t="s">
        <v>2882</v>
      </c>
      <c r="QCQ1338" s="4" t="s">
        <v>2882</v>
      </c>
      <c r="QCR1338" s="4" t="s">
        <v>2882</v>
      </c>
      <c r="QCS1338" s="4" t="s">
        <v>2882</v>
      </c>
      <c r="QCT1338" s="4" t="s">
        <v>2882</v>
      </c>
      <c r="QCU1338" s="4" t="s">
        <v>2882</v>
      </c>
      <c r="QCV1338" s="4" t="s">
        <v>2882</v>
      </c>
      <c r="QCW1338" s="4" t="s">
        <v>2882</v>
      </c>
      <c r="QCX1338" s="4" t="s">
        <v>2882</v>
      </c>
      <c r="QCY1338" s="4" t="s">
        <v>2882</v>
      </c>
      <c r="QCZ1338" s="4" t="s">
        <v>2882</v>
      </c>
      <c r="QDA1338" s="4" t="s">
        <v>2882</v>
      </c>
      <c r="QDB1338" s="4" t="s">
        <v>2882</v>
      </c>
      <c r="QDC1338" s="4" t="s">
        <v>2882</v>
      </c>
      <c r="QDD1338" s="4" t="s">
        <v>2882</v>
      </c>
      <c r="QDE1338" s="4" t="s">
        <v>2882</v>
      </c>
      <c r="QDF1338" s="4" t="s">
        <v>2882</v>
      </c>
      <c r="QDG1338" s="4" t="s">
        <v>2882</v>
      </c>
      <c r="QDH1338" s="4" t="s">
        <v>2882</v>
      </c>
      <c r="QDI1338" s="4" t="s">
        <v>2882</v>
      </c>
      <c r="QDJ1338" s="4" t="s">
        <v>2882</v>
      </c>
      <c r="QDK1338" s="4" t="s">
        <v>2882</v>
      </c>
      <c r="QDL1338" s="4" t="s">
        <v>2882</v>
      </c>
      <c r="QDM1338" s="4" t="s">
        <v>2882</v>
      </c>
      <c r="QDN1338" s="4" t="s">
        <v>2882</v>
      </c>
      <c r="QDO1338" s="4" t="s">
        <v>2882</v>
      </c>
      <c r="QDP1338" s="4" t="s">
        <v>2882</v>
      </c>
      <c r="QDQ1338" s="4" t="s">
        <v>2882</v>
      </c>
      <c r="QDR1338" s="4" t="s">
        <v>2882</v>
      </c>
      <c r="QDS1338" s="4" t="s">
        <v>2882</v>
      </c>
      <c r="QDT1338" s="4" t="s">
        <v>2882</v>
      </c>
      <c r="QDU1338" s="4" t="s">
        <v>2882</v>
      </c>
      <c r="QDV1338" s="4" t="s">
        <v>2882</v>
      </c>
      <c r="QDW1338" s="4" t="s">
        <v>2882</v>
      </c>
      <c r="QDX1338" s="4" t="s">
        <v>2882</v>
      </c>
      <c r="QDY1338" s="4" t="s">
        <v>2882</v>
      </c>
      <c r="QDZ1338" s="4" t="s">
        <v>2882</v>
      </c>
      <c r="QEA1338" s="4" t="s">
        <v>2882</v>
      </c>
      <c r="QEB1338" s="4" t="s">
        <v>2882</v>
      </c>
      <c r="QEC1338" s="4" t="s">
        <v>2882</v>
      </c>
      <c r="QED1338" s="4" t="s">
        <v>2882</v>
      </c>
      <c r="QEE1338" s="4" t="s">
        <v>2882</v>
      </c>
      <c r="QEF1338" s="4" t="s">
        <v>2882</v>
      </c>
      <c r="QEG1338" s="4" t="s">
        <v>2882</v>
      </c>
      <c r="QEH1338" s="4" t="s">
        <v>2882</v>
      </c>
      <c r="QEI1338" s="4" t="s">
        <v>2882</v>
      </c>
      <c r="QEJ1338" s="4" t="s">
        <v>2882</v>
      </c>
      <c r="QEK1338" s="4" t="s">
        <v>2882</v>
      </c>
      <c r="QEL1338" s="4" t="s">
        <v>2882</v>
      </c>
      <c r="QEM1338" s="4" t="s">
        <v>2882</v>
      </c>
      <c r="QEN1338" s="4" t="s">
        <v>2882</v>
      </c>
      <c r="QEO1338" s="4" t="s">
        <v>2882</v>
      </c>
      <c r="QEP1338" s="4" t="s">
        <v>2882</v>
      </c>
      <c r="QEQ1338" s="4" t="s">
        <v>2882</v>
      </c>
      <c r="QER1338" s="4" t="s">
        <v>2882</v>
      </c>
      <c r="QES1338" s="4" t="s">
        <v>2882</v>
      </c>
      <c r="QET1338" s="4" t="s">
        <v>2882</v>
      </c>
      <c r="QEU1338" s="4" t="s">
        <v>2882</v>
      </c>
      <c r="QEV1338" s="4" t="s">
        <v>2882</v>
      </c>
      <c r="QEW1338" s="4" t="s">
        <v>2882</v>
      </c>
      <c r="QEX1338" s="4" t="s">
        <v>2882</v>
      </c>
      <c r="QEY1338" s="4" t="s">
        <v>2882</v>
      </c>
      <c r="QEZ1338" s="4" t="s">
        <v>2882</v>
      </c>
      <c r="QFA1338" s="4" t="s">
        <v>2882</v>
      </c>
      <c r="QFB1338" s="4" t="s">
        <v>2882</v>
      </c>
      <c r="QFC1338" s="4" t="s">
        <v>2882</v>
      </c>
      <c r="QFD1338" s="4" t="s">
        <v>2882</v>
      </c>
      <c r="QFE1338" s="4" t="s">
        <v>2882</v>
      </c>
      <c r="QFF1338" s="4" t="s">
        <v>2882</v>
      </c>
      <c r="QFG1338" s="4" t="s">
        <v>2882</v>
      </c>
      <c r="QFH1338" s="4" t="s">
        <v>2882</v>
      </c>
      <c r="QFI1338" s="4" t="s">
        <v>2882</v>
      </c>
      <c r="QFJ1338" s="4" t="s">
        <v>2882</v>
      </c>
      <c r="QFK1338" s="4" t="s">
        <v>2882</v>
      </c>
      <c r="QFL1338" s="4" t="s">
        <v>2882</v>
      </c>
      <c r="QFM1338" s="4" t="s">
        <v>2882</v>
      </c>
      <c r="QFN1338" s="4" t="s">
        <v>2882</v>
      </c>
      <c r="QFO1338" s="4" t="s">
        <v>2882</v>
      </c>
      <c r="QFP1338" s="4" t="s">
        <v>2882</v>
      </c>
      <c r="QFQ1338" s="4" t="s">
        <v>2882</v>
      </c>
      <c r="QFR1338" s="4" t="s">
        <v>2882</v>
      </c>
      <c r="QFS1338" s="4" t="s">
        <v>2882</v>
      </c>
      <c r="QFT1338" s="4" t="s">
        <v>2882</v>
      </c>
      <c r="QFU1338" s="4" t="s">
        <v>2882</v>
      </c>
      <c r="QFV1338" s="4" t="s">
        <v>2882</v>
      </c>
      <c r="QFW1338" s="4" t="s">
        <v>2882</v>
      </c>
      <c r="QFX1338" s="4" t="s">
        <v>2882</v>
      </c>
      <c r="QFY1338" s="4" t="s">
        <v>2882</v>
      </c>
      <c r="QFZ1338" s="4" t="s">
        <v>2882</v>
      </c>
      <c r="QGA1338" s="4" t="s">
        <v>2882</v>
      </c>
      <c r="QGB1338" s="4" t="s">
        <v>2882</v>
      </c>
      <c r="QGC1338" s="4" t="s">
        <v>2882</v>
      </c>
      <c r="QGD1338" s="4" t="s">
        <v>2882</v>
      </c>
      <c r="QGE1338" s="4" t="s">
        <v>2882</v>
      </c>
      <c r="QGF1338" s="4" t="s">
        <v>2882</v>
      </c>
      <c r="QGG1338" s="4" t="s">
        <v>2882</v>
      </c>
      <c r="QGH1338" s="4" t="s">
        <v>2882</v>
      </c>
      <c r="QGI1338" s="4" t="s">
        <v>2882</v>
      </c>
      <c r="QGJ1338" s="4" t="s">
        <v>2882</v>
      </c>
      <c r="QGK1338" s="4" t="s">
        <v>2882</v>
      </c>
      <c r="QGL1338" s="4" t="s">
        <v>2882</v>
      </c>
      <c r="QGM1338" s="4" t="s">
        <v>2882</v>
      </c>
      <c r="QGN1338" s="4" t="s">
        <v>2882</v>
      </c>
      <c r="QGO1338" s="4" t="s">
        <v>2882</v>
      </c>
      <c r="QGP1338" s="4" t="s">
        <v>2882</v>
      </c>
      <c r="QGQ1338" s="4" t="s">
        <v>2882</v>
      </c>
      <c r="QGR1338" s="4" t="s">
        <v>2882</v>
      </c>
      <c r="QGS1338" s="4" t="s">
        <v>2882</v>
      </c>
      <c r="QGT1338" s="4" t="s">
        <v>2882</v>
      </c>
      <c r="QGU1338" s="4" t="s">
        <v>2882</v>
      </c>
      <c r="QGV1338" s="4" t="s">
        <v>2882</v>
      </c>
      <c r="QGW1338" s="4" t="s">
        <v>2882</v>
      </c>
      <c r="QGX1338" s="4" t="s">
        <v>2882</v>
      </c>
      <c r="QGY1338" s="4" t="s">
        <v>2882</v>
      </c>
      <c r="QGZ1338" s="4" t="s">
        <v>2882</v>
      </c>
      <c r="QHA1338" s="4" t="s">
        <v>2882</v>
      </c>
      <c r="QHB1338" s="4" t="s">
        <v>2882</v>
      </c>
      <c r="QHC1338" s="4" t="s">
        <v>2882</v>
      </c>
      <c r="QHD1338" s="4" t="s">
        <v>2882</v>
      </c>
      <c r="QHE1338" s="4" t="s">
        <v>2882</v>
      </c>
      <c r="QHF1338" s="4" t="s">
        <v>2882</v>
      </c>
      <c r="QHG1338" s="4" t="s">
        <v>2882</v>
      </c>
      <c r="QHH1338" s="4" t="s">
        <v>2882</v>
      </c>
      <c r="QHI1338" s="4" t="s">
        <v>2882</v>
      </c>
      <c r="QHJ1338" s="4" t="s">
        <v>2882</v>
      </c>
      <c r="QHK1338" s="4" t="s">
        <v>2882</v>
      </c>
      <c r="QHL1338" s="4" t="s">
        <v>2882</v>
      </c>
      <c r="QHM1338" s="4" t="s">
        <v>2882</v>
      </c>
      <c r="QHN1338" s="4" t="s">
        <v>2882</v>
      </c>
      <c r="QHO1338" s="4" t="s">
        <v>2882</v>
      </c>
      <c r="QHP1338" s="4" t="s">
        <v>2882</v>
      </c>
      <c r="QHQ1338" s="4" t="s">
        <v>2882</v>
      </c>
      <c r="QHR1338" s="4" t="s">
        <v>2882</v>
      </c>
      <c r="QHS1338" s="4" t="s">
        <v>2882</v>
      </c>
      <c r="QHT1338" s="4" t="s">
        <v>2882</v>
      </c>
      <c r="QHU1338" s="4" t="s">
        <v>2882</v>
      </c>
      <c r="QHV1338" s="4" t="s">
        <v>2882</v>
      </c>
      <c r="QHW1338" s="4" t="s">
        <v>2882</v>
      </c>
      <c r="QHX1338" s="4" t="s">
        <v>2882</v>
      </c>
      <c r="QHY1338" s="4" t="s">
        <v>2882</v>
      </c>
      <c r="QHZ1338" s="4" t="s">
        <v>2882</v>
      </c>
      <c r="QIA1338" s="4" t="s">
        <v>2882</v>
      </c>
      <c r="QIB1338" s="4" t="s">
        <v>2882</v>
      </c>
      <c r="QIC1338" s="4" t="s">
        <v>2882</v>
      </c>
      <c r="QID1338" s="4" t="s">
        <v>2882</v>
      </c>
      <c r="QIE1338" s="4" t="s">
        <v>2882</v>
      </c>
      <c r="QIF1338" s="4" t="s">
        <v>2882</v>
      </c>
      <c r="QIG1338" s="4" t="s">
        <v>2882</v>
      </c>
      <c r="QIH1338" s="4" t="s">
        <v>2882</v>
      </c>
      <c r="QII1338" s="4" t="s">
        <v>2882</v>
      </c>
      <c r="QIJ1338" s="4" t="s">
        <v>2882</v>
      </c>
      <c r="QIK1338" s="4" t="s">
        <v>2882</v>
      </c>
      <c r="QIL1338" s="4" t="s">
        <v>2882</v>
      </c>
      <c r="QIM1338" s="4" t="s">
        <v>2882</v>
      </c>
      <c r="QIN1338" s="4" t="s">
        <v>2882</v>
      </c>
      <c r="QIO1338" s="4" t="s">
        <v>2882</v>
      </c>
      <c r="QIP1338" s="4" t="s">
        <v>2882</v>
      </c>
      <c r="QIQ1338" s="4" t="s">
        <v>2882</v>
      </c>
      <c r="QIR1338" s="4" t="s">
        <v>2882</v>
      </c>
      <c r="QIS1338" s="4" t="s">
        <v>2882</v>
      </c>
      <c r="QIT1338" s="4" t="s">
        <v>2882</v>
      </c>
      <c r="QIU1338" s="4" t="s">
        <v>2882</v>
      </c>
      <c r="QIV1338" s="4" t="s">
        <v>2882</v>
      </c>
      <c r="QIW1338" s="4" t="s">
        <v>2882</v>
      </c>
      <c r="QIX1338" s="4" t="s">
        <v>2882</v>
      </c>
      <c r="QIY1338" s="4" t="s">
        <v>2882</v>
      </c>
      <c r="QIZ1338" s="4" t="s">
        <v>2882</v>
      </c>
      <c r="QJA1338" s="4" t="s">
        <v>2882</v>
      </c>
      <c r="QJB1338" s="4" t="s">
        <v>2882</v>
      </c>
      <c r="QJC1338" s="4" t="s">
        <v>2882</v>
      </c>
      <c r="QJD1338" s="4" t="s">
        <v>2882</v>
      </c>
      <c r="QJE1338" s="4" t="s">
        <v>2882</v>
      </c>
      <c r="QJF1338" s="4" t="s">
        <v>2882</v>
      </c>
      <c r="QJG1338" s="4" t="s">
        <v>2882</v>
      </c>
      <c r="QJH1338" s="4" t="s">
        <v>2882</v>
      </c>
      <c r="QJI1338" s="4" t="s">
        <v>2882</v>
      </c>
      <c r="QJJ1338" s="4" t="s">
        <v>2882</v>
      </c>
      <c r="QJK1338" s="4" t="s">
        <v>2882</v>
      </c>
      <c r="QJL1338" s="4" t="s">
        <v>2882</v>
      </c>
      <c r="QJM1338" s="4" t="s">
        <v>2882</v>
      </c>
      <c r="QJN1338" s="4" t="s">
        <v>2882</v>
      </c>
      <c r="QJO1338" s="4" t="s">
        <v>2882</v>
      </c>
      <c r="QJP1338" s="4" t="s">
        <v>2882</v>
      </c>
      <c r="QJQ1338" s="4" t="s">
        <v>2882</v>
      </c>
      <c r="QJR1338" s="4" t="s">
        <v>2882</v>
      </c>
      <c r="QJS1338" s="4" t="s">
        <v>2882</v>
      </c>
      <c r="QJT1338" s="4" t="s">
        <v>2882</v>
      </c>
      <c r="QJU1338" s="4" t="s">
        <v>2882</v>
      </c>
      <c r="QJV1338" s="4" t="s">
        <v>2882</v>
      </c>
      <c r="QJW1338" s="4" t="s">
        <v>2882</v>
      </c>
      <c r="QJX1338" s="4" t="s">
        <v>2882</v>
      </c>
      <c r="QJY1338" s="4" t="s">
        <v>2882</v>
      </c>
      <c r="QJZ1338" s="4" t="s">
        <v>2882</v>
      </c>
      <c r="QKA1338" s="4" t="s">
        <v>2882</v>
      </c>
      <c r="QKB1338" s="4" t="s">
        <v>2882</v>
      </c>
      <c r="QKC1338" s="4" t="s">
        <v>2882</v>
      </c>
      <c r="QKD1338" s="4" t="s">
        <v>2882</v>
      </c>
      <c r="QKE1338" s="4" t="s">
        <v>2882</v>
      </c>
      <c r="QKF1338" s="4" t="s">
        <v>2882</v>
      </c>
      <c r="QKG1338" s="4" t="s">
        <v>2882</v>
      </c>
      <c r="QKH1338" s="4" t="s">
        <v>2882</v>
      </c>
      <c r="QKI1338" s="4" t="s">
        <v>2882</v>
      </c>
      <c r="QKJ1338" s="4" t="s">
        <v>2882</v>
      </c>
      <c r="QKK1338" s="4" t="s">
        <v>2882</v>
      </c>
      <c r="QKL1338" s="4" t="s">
        <v>2882</v>
      </c>
      <c r="QKM1338" s="4" t="s">
        <v>2882</v>
      </c>
      <c r="QKN1338" s="4" t="s">
        <v>2882</v>
      </c>
      <c r="QKO1338" s="4" t="s">
        <v>2882</v>
      </c>
      <c r="QKP1338" s="4" t="s">
        <v>2882</v>
      </c>
      <c r="QKQ1338" s="4" t="s">
        <v>2882</v>
      </c>
      <c r="QKR1338" s="4" t="s">
        <v>2882</v>
      </c>
      <c r="QKS1338" s="4" t="s">
        <v>2882</v>
      </c>
      <c r="QKT1338" s="4" t="s">
        <v>2882</v>
      </c>
      <c r="QKU1338" s="4" t="s">
        <v>2882</v>
      </c>
      <c r="QKV1338" s="4" t="s">
        <v>2882</v>
      </c>
      <c r="QKW1338" s="4" t="s">
        <v>2882</v>
      </c>
      <c r="QKX1338" s="4" t="s">
        <v>2882</v>
      </c>
      <c r="QKY1338" s="4" t="s">
        <v>2882</v>
      </c>
      <c r="QKZ1338" s="4" t="s">
        <v>2882</v>
      </c>
      <c r="QLA1338" s="4" t="s">
        <v>2882</v>
      </c>
      <c r="QLB1338" s="4" t="s">
        <v>2882</v>
      </c>
      <c r="QLC1338" s="4" t="s">
        <v>2882</v>
      </c>
      <c r="QLD1338" s="4" t="s">
        <v>2882</v>
      </c>
      <c r="QLE1338" s="4" t="s">
        <v>2882</v>
      </c>
      <c r="QLF1338" s="4" t="s">
        <v>2882</v>
      </c>
      <c r="QLG1338" s="4" t="s">
        <v>2882</v>
      </c>
      <c r="QLH1338" s="4" t="s">
        <v>2882</v>
      </c>
      <c r="QLI1338" s="4" t="s">
        <v>2882</v>
      </c>
      <c r="QLJ1338" s="4" t="s">
        <v>2882</v>
      </c>
      <c r="QLK1338" s="4" t="s">
        <v>2882</v>
      </c>
      <c r="QLL1338" s="4" t="s">
        <v>2882</v>
      </c>
      <c r="QLM1338" s="4" t="s">
        <v>2882</v>
      </c>
      <c r="QLN1338" s="4" t="s">
        <v>2882</v>
      </c>
      <c r="QLO1338" s="4" t="s">
        <v>2882</v>
      </c>
      <c r="QLP1338" s="4" t="s">
        <v>2882</v>
      </c>
      <c r="QLQ1338" s="4" t="s">
        <v>2882</v>
      </c>
      <c r="QLR1338" s="4" t="s">
        <v>2882</v>
      </c>
      <c r="QLS1338" s="4" t="s">
        <v>2882</v>
      </c>
      <c r="QLT1338" s="4" t="s">
        <v>2882</v>
      </c>
      <c r="QLU1338" s="4" t="s">
        <v>2882</v>
      </c>
      <c r="QLV1338" s="4" t="s">
        <v>2882</v>
      </c>
      <c r="QLW1338" s="4" t="s">
        <v>2882</v>
      </c>
      <c r="QLX1338" s="4" t="s">
        <v>2882</v>
      </c>
      <c r="QLY1338" s="4" t="s">
        <v>2882</v>
      </c>
      <c r="QLZ1338" s="4" t="s">
        <v>2882</v>
      </c>
      <c r="QMA1338" s="4" t="s">
        <v>2882</v>
      </c>
      <c r="QMB1338" s="4" t="s">
        <v>2882</v>
      </c>
      <c r="QMC1338" s="4" t="s">
        <v>2882</v>
      </c>
      <c r="QMD1338" s="4" t="s">
        <v>2882</v>
      </c>
      <c r="QME1338" s="4" t="s">
        <v>2882</v>
      </c>
      <c r="QMF1338" s="4" t="s">
        <v>2882</v>
      </c>
      <c r="QMG1338" s="4" t="s">
        <v>2882</v>
      </c>
      <c r="QMH1338" s="4" t="s">
        <v>2882</v>
      </c>
      <c r="QMI1338" s="4" t="s">
        <v>2882</v>
      </c>
      <c r="QMJ1338" s="4" t="s">
        <v>2882</v>
      </c>
      <c r="QMK1338" s="4" t="s">
        <v>2882</v>
      </c>
      <c r="QML1338" s="4" t="s">
        <v>2882</v>
      </c>
      <c r="QMM1338" s="4" t="s">
        <v>2882</v>
      </c>
      <c r="QMN1338" s="4" t="s">
        <v>2882</v>
      </c>
      <c r="QMO1338" s="4" t="s">
        <v>2882</v>
      </c>
      <c r="QMP1338" s="4" t="s">
        <v>2882</v>
      </c>
      <c r="QMQ1338" s="4" t="s">
        <v>2882</v>
      </c>
      <c r="QMR1338" s="4" t="s">
        <v>2882</v>
      </c>
      <c r="QMS1338" s="4" t="s">
        <v>2882</v>
      </c>
      <c r="QMT1338" s="4" t="s">
        <v>2882</v>
      </c>
      <c r="QMU1338" s="4" t="s">
        <v>2882</v>
      </c>
      <c r="QMV1338" s="4" t="s">
        <v>2882</v>
      </c>
      <c r="QMW1338" s="4" t="s">
        <v>2882</v>
      </c>
      <c r="QMX1338" s="4" t="s">
        <v>2882</v>
      </c>
      <c r="QMY1338" s="4" t="s">
        <v>2882</v>
      </c>
      <c r="QMZ1338" s="4" t="s">
        <v>2882</v>
      </c>
      <c r="QNA1338" s="4" t="s">
        <v>2882</v>
      </c>
      <c r="QNB1338" s="4" t="s">
        <v>2882</v>
      </c>
      <c r="QNC1338" s="4" t="s">
        <v>2882</v>
      </c>
      <c r="QND1338" s="4" t="s">
        <v>2882</v>
      </c>
      <c r="QNE1338" s="4" t="s">
        <v>2882</v>
      </c>
      <c r="QNF1338" s="4" t="s">
        <v>2882</v>
      </c>
      <c r="QNG1338" s="4" t="s">
        <v>2882</v>
      </c>
      <c r="QNH1338" s="4" t="s">
        <v>2882</v>
      </c>
      <c r="QNI1338" s="4" t="s">
        <v>2882</v>
      </c>
      <c r="QNJ1338" s="4" t="s">
        <v>2882</v>
      </c>
      <c r="QNK1338" s="4" t="s">
        <v>2882</v>
      </c>
      <c r="QNL1338" s="4" t="s">
        <v>2882</v>
      </c>
      <c r="QNM1338" s="4" t="s">
        <v>2882</v>
      </c>
      <c r="QNN1338" s="4" t="s">
        <v>2882</v>
      </c>
      <c r="QNO1338" s="4" t="s">
        <v>2882</v>
      </c>
      <c r="QNP1338" s="4" t="s">
        <v>2882</v>
      </c>
      <c r="QNQ1338" s="4" t="s">
        <v>2882</v>
      </c>
      <c r="QNR1338" s="4" t="s">
        <v>2882</v>
      </c>
      <c r="QNS1338" s="4" t="s">
        <v>2882</v>
      </c>
      <c r="QNT1338" s="4" t="s">
        <v>2882</v>
      </c>
      <c r="QNU1338" s="4" t="s">
        <v>2882</v>
      </c>
      <c r="QNV1338" s="4" t="s">
        <v>2882</v>
      </c>
      <c r="QNW1338" s="4" t="s">
        <v>2882</v>
      </c>
      <c r="QNX1338" s="4" t="s">
        <v>2882</v>
      </c>
      <c r="QNY1338" s="4" t="s">
        <v>2882</v>
      </c>
      <c r="QNZ1338" s="4" t="s">
        <v>2882</v>
      </c>
      <c r="QOA1338" s="4" t="s">
        <v>2882</v>
      </c>
      <c r="QOB1338" s="4" t="s">
        <v>2882</v>
      </c>
      <c r="QOC1338" s="4" t="s">
        <v>2882</v>
      </c>
      <c r="QOD1338" s="4" t="s">
        <v>2882</v>
      </c>
      <c r="QOE1338" s="4" t="s">
        <v>2882</v>
      </c>
      <c r="QOF1338" s="4" t="s">
        <v>2882</v>
      </c>
      <c r="QOG1338" s="4" t="s">
        <v>2882</v>
      </c>
      <c r="QOH1338" s="4" t="s">
        <v>2882</v>
      </c>
      <c r="QOI1338" s="4" t="s">
        <v>2882</v>
      </c>
      <c r="QOJ1338" s="4" t="s">
        <v>2882</v>
      </c>
      <c r="QOK1338" s="4" t="s">
        <v>2882</v>
      </c>
      <c r="QOL1338" s="4" t="s">
        <v>2882</v>
      </c>
      <c r="QOM1338" s="4" t="s">
        <v>2882</v>
      </c>
      <c r="QON1338" s="4" t="s">
        <v>2882</v>
      </c>
      <c r="QOO1338" s="4" t="s">
        <v>2882</v>
      </c>
      <c r="QOP1338" s="4" t="s">
        <v>2882</v>
      </c>
      <c r="QOQ1338" s="4" t="s">
        <v>2882</v>
      </c>
      <c r="QOR1338" s="4" t="s">
        <v>2882</v>
      </c>
      <c r="QOS1338" s="4" t="s">
        <v>2882</v>
      </c>
      <c r="QOT1338" s="4" t="s">
        <v>2882</v>
      </c>
      <c r="QOU1338" s="4" t="s">
        <v>2882</v>
      </c>
      <c r="QOV1338" s="4" t="s">
        <v>2882</v>
      </c>
      <c r="QOW1338" s="4" t="s">
        <v>2882</v>
      </c>
      <c r="QOX1338" s="4" t="s">
        <v>2882</v>
      </c>
      <c r="QOY1338" s="4" t="s">
        <v>2882</v>
      </c>
      <c r="QOZ1338" s="4" t="s">
        <v>2882</v>
      </c>
      <c r="QPA1338" s="4" t="s">
        <v>2882</v>
      </c>
      <c r="QPB1338" s="4" t="s">
        <v>2882</v>
      </c>
      <c r="QPC1338" s="4" t="s">
        <v>2882</v>
      </c>
      <c r="QPD1338" s="4" t="s">
        <v>2882</v>
      </c>
      <c r="QPE1338" s="4" t="s">
        <v>2882</v>
      </c>
      <c r="QPF1338" s="4" t="s">
        <v>2882</v>
      </c>
      <c r="QPG1338" s="4" t="s">
        <v>2882</v>
      </c>
      <c r="QPH1338" s="4" t="s">
        <v>2882</v>
      </c>
      <c r="QPI1338" s="4" t="s">
        <v>2882</v>
      </c>
      <c r="QPJ1338" s="4" t="s">
        <v>2882</v>
      </c>
      <c r="QPK1338" s="4" t="s">
        <v>2882</v>
      </c>
      <c r="QPL1338" s="4" t="s">
        <v>2882</v>
      </c>
      <c r="QPM1338" s="4" t="s">
        <v>2882</v>
      </c>
      <c r="QPN1338" s="4" t="s">
        <v>2882</v>
      </c>
      <c r="QPO1338" s="4" t="s">
        <v>2882</v>
      </c>
      <c r="QPP1338" s="4" t="s">
        <v>2882</v>
      </c>
      <c r="QPQ1338" s="4" t="s">
        <v>2882</v>
      </c>
      <c r="QPR1338" s="4" t="s">
        <v>2882</v>
      </c>
      <c r="QPS1338" s="4" t="s">
        <v>2882</v>
      </c>
      <c r="QPT1338" s="4" t="s">
        <v>2882</v>
      </c>
      <c r="QPU1338" s="4" t="s">
        <v>2882</v>
      </c>
      <c r="QPV1338" s="4" t="s">
        <v>2882</v>
      </c>
      <c r="QPW1338" s="4" t="s">
        <v>2882</v>
      </c>
      <c r="QPX1338" s="4" t="s">
        <v>2882</v>
      </c>
      <c r="QPY1338" s="4" t="s">
        <v>2882</v>
      </c>
      <c r="QPZ1338" s="4" t="s">
        <v>2882</v>
      </c>
      <c r="QQA1338" s="4" t="s">
        <v>2882</v>
      </c>
      <c r="QQB1338" s="4" t="s">
        <v>2882</v>
      </c>
      <c r="QQC1338" s="4" t="s">
        <v>2882</v>
      </c>
      <c r="QQD1338" s="4" t="s">
        <v>2882</v>
      </c>
      <c r="QQE1338" s="4" t="s">
        <v>2882</v>
      </c>
      <c r="QQF1338" s="4" t="s">
        <v>2882</v>
      </c>
      <c r="QQG1338" s="4" t="s">
        <v>2882</v>
      </c>
      <c r="QQH1338" s="4" t="s">
        <v>2882</v>
      </c>
      <c r="QQI1338" s="4" t="s">
        <v>2882</v>
      </c>
      <c r="QQJ1338" s="4" t="s">
        <v>2882</v>
      </c>
      <c r="QQK1338" s="4" t="s">
        <v>2882</v>
      </c>
      <c r="QQL1338" s="4" t="s">
        <v>2882</v>
      </c>
      <c r="QQM1338" s="4" t="s">
        <v>2882</v>
      </c>
      <c r="QQN1338" s="4" t="s">
        <v>2882</v>
      </c>
      <c r="QQO1338" s="4" t="s">
        <v>2882</v>
      </c>
      <c r="QQP1338" s="4" t="s">
        <v>2882</v>
      </c>
      <c r="QQQ1338" s="4" t="s">
        <v>2882</v>
      </c>
      <c r="QQR1338" s="4" t="s">
        <v>2882</v>
      </c>
      <c r="QQS1338" s="4" t="s">
        <v>2882</v>
      </c>
      <c r="QQT1338" s="4" t="s">
        <v>2882</v>
      </c>
      <c r="QQU1338" s="4" t="s">
        <v>2882</v>
      </c>
      <c r="QQV1338" s="4" t="s">
        <v>2882</v>
      </c>
      <c r="QQW1338" s="4" t="s">
        <v>2882</v>
      </c>
      <c r="QQX1338" s="4" t="s">
        <v>2882</v>
      </c>
      <c r="QQY1338" s="4" t="s">
        <v>2882</v>
      </c>
      <c r="QQZ1338" s="4" t="s">
        <v>2882</v>
      </c>
      <c r="QRA1338" s="4" t="s">
        <v>2882</v>
      </c>
      <c r="QRB1338" s="4" t="s">
        <v>2882</v>
      </c>
      <c r="QRC1338" s="4" t="s">
        <v>2882</v>
      </c>
      <c r="QRD1338" s="4" t="s">
        <v>2882</v>
      </c>
      <c r="QRE1338" s="4" t="s">
        <v>2882</v>
      </c>
      <c r="QRF1338" s="4" t="s">
        <v>2882</v>
      </c>
      <c r="QRG1338" s="4" t="s">
        <v>2882</v>
      </c>
      <c r="QRH1338" s="4" t="s">
        <v>2882</v>
      </c>
      <c r="QRI1338" s="4" t="s">
        <v>2882</v>
      </c>
      <c r="QRJ1338" s="4" t="s">
        <v>2882</v>
      </c>
      <c r="QRK1338" s="4" t="s">
        <v>2882</v>
      </c>
      <c r="QRL1338" s="4" t="s">
        <v>2882</v>
      </c>
      <c r="QRM1338" s="4" t="s">
        <v>2882</v>
      </c>
      <c r="QRN1338" s="4" t="s">
        <v>2882</v>
      </c>
      <c r="QRO1338" s="4" t="s">
        <v>2882</v>
      </c>
      <c r="QRP1338" s="4" t="s">
        <v>2882</v>
      </c>
      <c r="QRQ1338" s="4" t="s">
        <v>2882</v>
      </c>
      <c r="QRR1338" s="4" t="s">
        <v>2882</v>
      </c>
      <c r="QRS1338" s="4" t="s">
        <v>2882</v>
      </c>
      <c r="QRT1338" s="4" t="s">
        <v>2882</v>
      </c>
      <c r="QRU1338" s="4" t="s">
        <v>2882</v>
      </c>
      <c r="QRV1338" s="4" t="s">
        <v>2882</v>
      </c>
      <c r="QRW1338" s="4" t="s">
        <v>2882</v>
      </c>
      <c r="QRX1338" s="4" t="s">
        <v>2882</v>
      </c>
      <c r="QRY1338" s="4" t="s">
        <v>2882</v>
      </c>
      <c r="QRZ1338" s="4" t="s">
        <v>2882</v>
      </c>
      <c r="QSA1338" s="4" t="s">
        <v>2882</v>
      </c>
      <c r="QSB1338" s="4" t="s">
        <v>2882</v>
      </c>
      <c r="QSC1338" s="4" t="s">
        <v>2882</v>
      </c>
      <c r="QSD1338" s="4" t="s">
        <v>2882</v>
      </c>
      <c r="QSE1338" s="4" t="s">
        <v>2882</v>
      </c>
      <c r="QSF1338" s="4" t="s">
        <v>2882</v>
      </c>
      <c r="QSG1338" s="4" t="s">
        <v>2882</v>
      </c>
      <c r="QSH1338" s="4" t="s">
        <v>2882</v>
      </c>
      <c r="QSI1338" s="4" t="s">
        <v>2882</v>
      </c>
      <c r="QSJ1338" s="4" t="s">
        <v>2882</v>
      </c>
      <c r="QSK1338" s="4" t="s">
        <v>2882</v>
      </c>
      <c r="QSL1338" s="4" t="s">
        <v>2882</v>
      </c>
      <c r="QSM1338" s="4" t="s">
        <v>2882</v>
      </c>
      <c r="QSN1338" s="4" t="s">
        <v>2882</v>
      </c>
      <c r="QSO1338" s="4" t="s">
        <v>2882</v>
      </c>
      <c r="QSP1338" s="4" t="s">
        <v>2882</v>
      </c>
      <c r="QSQ1338" s="4" t="s">
        <v>2882</v>
      </c>
      <c r="QSR1338" s="4" t="s">
        <v>2882</v>
      </c>
      <c r="QSS1338" s="4" t="s">
        <v>2882</v>
      </c>
      <c r="QST1338" s="4" t="s">
        <v>2882</v>
      </c>
      <c r="QSU1338" s="4" t="s">
        <v>2882</v>
      </c>
      <c r="QSV1338" s="4" t="s">
        <v>2882</v>
      </c>
      <c r="QSW1338" s="4" t="s">
        <v>2882</v>
      </c>
      <c r="QSX1338" s="4" t="s">
        <v>2882</v>
      </c>
      <c r="QSY1338" s="4" t="s">
        <v>2882</v>
      </c>
      <c r="QSZ1338" s="4" t="s">
        <v>2882</v>
      </c>
      <c r="QTA1338" s="4" t="s">
        <v>2882</v>
      </c>
      <c r="QTB1338" s="4" t="s">
        <v>2882</v>
      </c>
      <c r="QTC1338" s="4" t="s">
        <v>2882</v>
      </c>
      <c r="QTD1338" s="4" t="s">
        <v>2882</v>
      </c>
      <c r="QTE1338" s="4" t="s">
        <v>2882</v>
      </c>
      <c r="QTF1338" s="4" t="s">
        <v>2882</v>
      </c>
      <c r="QTG1338" s="4" t="s">
        <v>2882</v>
      </c>
      <c r="QTH1338" s="4" t="s">
        <v>2882</v>
      </c>
      <c r="QTI1338" s="4" t="s">
        <v>2882</v>
      </c>
      <c r="QTJ1338" s="4" t="s">
        <v>2882</v>
      </c>
      <c r="QTK1338" s="4" t="s">
        <v>2882</v>
      </c>
      <c r="QTL1338" s="4" t="s">
        <v>2882</v>
      </c>
      <c r="QTM1338" s="4" t="s">
        <v>2882</v>
      </c>
      <c r="QTN1338" s="4" t="s">
        <v>2882</v>
      </c>
      <c r="QTO1338" s="4" t="s">
        <v>2882</v>
      </c>
      <c r="QTP1338" s="4" t="s">
        <v>2882</v>
      </c>
      <c r="QTQ1338" s="4" t="s">
        <v>2882</v>
      </c>
      <c r="QTR1338" s="4" t="s">
        <v>2882</v>
      </c>
      <c r="QTS1338" s="4" t="s">
        <v>2882</v>
      </c>
      <c r="QTT1338" s="4" t="s">
        <v>2882</v>
      </c>
      <c r="QTU1338" s="4" t="s">
        <v>2882</v>
      </c>
      <c r="QTV1338" s="4" t="s">
        <v>2882</v>
      </c>
      <c r="QTW1338" s="4" t="s">
        <v>2882</v>
      </c>
      <c r="QTX1338" s="4" t="s">
        <v>2882</v>
      </c>
      <c r="QTY1338" s="4" t="s">
        <v>2882</v>
      </c>
      <c r="QTZ1338" s="4" t="s">
        <v>2882</v>
      </c>
      <c r="QUA1338" s="4" t="s">
        <v>2882</v>
      </c>
      <c r="QUB1338" s="4" t="s">
        <v>2882</v>
      </c>
      <c r="QUC1338" s="4" t="s">
        <v>2882</v>
      </c>
      <c r="QUD1338" s="4" t="s">
        <v>2882</v>
      </c>
      <c r="QUE1338" s="4" t="s">
        <v>2882</v>
      </c>
      <c r="QUF1338" s="4" t="s">
        <v>2882</v>
      </c>
      <c r="QUG1338" s="4" t="s">
        <v>2882</v>
      </c>
      <c r="QUH1338" s="4" t="s">
        <v>2882</v>
      </c>
      <c r="QUI1338" s="4" t="s">
        <v>2882</v>
      </c>
      <c r="QUJ1338" s="4" t="s">
        <v>2882</v>
      </c>
      <c r="QUK1338" s="4" t="s">
        <v>2882</v>
      </c>
      <c r="QUL1338" s="4" t="s">
        <v>2882</v>
      </c>
      <c r="QUM1338" s="4" t="s">
        <v>2882</v>
      </c>
      <c r="QUN1338" s="4" t="s">
        <v>2882</v>
      </c>
      <c r="QUO1338" s="4" t="s">
        <v>2882</v>
      </c>
      <c r="QUP1338" s="4" t="s">
        <v>2882</v>
      </c>
      <c r="QUQ1338" s="4" t="s">
        <v>2882</v>
      </c>
      <c r="QUR1338" s="4" t="s">
        <v>2882</v>
      </c>
      <c r="QUS1338" s="4" t="s">
        <v>2882</v>
      </c>
      <c r="QUT1338" s="4" t="s">
        <v>2882</v>
      </c>
      <c r="QUU1338" s="4" t="s">
        <v>2882</v>
      </c>
      <c r="QUV1338" s="4" t="s">
        <v>2882</v>
      </c>
      <c r="QUW1338" s="4" t="s">
        <v>2882</v>
      </c>
      <c r="QUX1338" s="4" t="s">
        <v>2882</v>
      </c>
      <c r="QUY1338" s="4" t="s">
        <v>2882</v>
      </c>
      <c r="QUZ1338" s="4" t="s">
        <v>2882</v>
      </c>
      <c r="QVA1338" s="4" t="s">
        <v>2882</v>
      </c>
      <c r="QVB1338" s="4" t="s">
        <v>2882</v>
      </c>
      <c r="QVC1338" s="4" t="s">
        <v>2882</v>
      </c>
      <c r="QVD1338" s="4" t="s">
        <v>2882</v>
      </c>
      <c r="QVE1338" s="4" t="s">
        <v>2882</v>
      </c>
      <c r="QVF1338" s="4" t="s">
        <v>2882</v>
      </c>
      <c r="QVG1338" s="4" t="s">
        <v>2882</v>
      </c>
      <c r="QVH1338" s="4" t="s">
        <v>2882</v>
      </c>
      <c r="QVI1338" s="4" t="s">
        <v>2882</v>
      </c>
      <c r="QVJ1338" s="4" t="s">
        <v>2882</v>
      </c>
      <c r="QVK1338" s="4" t="s">
        <v>2882</v>
      </c>
      <c r="QVL1338" s="4" t="s">
        <v>2882</v>
      </c>
      <c r="QVM1338" s="4" t="s">
        <v>2882</v>
      </c>
      <c r="QVN1338" s="4" t="s">
        <v>2882</v>
      </c>
      <c r="QVO1338" s="4" t="s">
        <v>2882</v>
      </c>
      <c r="QVP1338" s="4" t="s">
        <v>2882</v>
      </c>
      <c r="QVQ1338" s="4" t="s">
        <v>2882</v>
      </c>
      <c r="QVR1338" s="4" t="s">
        <v>2882</v>
      </c>
      <c r="QVS1338" s="4" t="s">
        <v>2882</v>
      </c>
      <c r="QVT1338" s="4" t="s">
        <v>2882</v>
      </c>
      <c r="QVU1338" s="4" t="s">
        <v>2882</v>
      </c>
      <c r="QVV1338" s="4" t="s">
        <v>2882</v>
      </c>
      <c r="QVW1338" s="4" t="s">
        <v>2882</v>
      </c>
      <c r="QVX1338" s="4" t="s">
        <v>2882</v>
      </c>
      <c r="QVY1338" s="4" t="s">
        <v>2882</v>
      </c>
      <c r="QVZ1338" s="4" t="s">
        <v>2882</v>
      </c>
      <c r="QWA1338" s="4" t="s">
        <v>2882</v>
      </c>
      <c r="QWB1338" s="4" t="s">
        <v>2882</v>
      </c>
      <c r="QWC1338" s="4" t="s">
        <v>2882</v>
      </c>
      <c r="QWD1338" s="4" t="s">
        <v>2882</v>
      </c>
      <c r="QWE1338" s="4" t="s">
        <v>2882</v>
      </c>
      <c r="QWF1338" s="4" t="s">
        <v>2882</v>
      </c>
      <c r="QWG1338" s="4" t="s">
        <v>2882</v>
      </c>
      <c r="QWH1338" s="4" t="s">
        <v>2882</v>
      </c>
      <c r="QWI1338" s="4" t="s">
        <v>2882</v>
      </c>
      <c r="QWJ1338" s="4" t="s">
        <v>2882</v>
      </c>
      <c r="QWK1338" s="4" t="s">
        <v>2882</v>
      </c>
      <c r="QWL1338" s="4" t="s">
        <v>2882</v>
      </c>
      <c r="QWM1338" s="4" t="s">
        <v>2882</v>
      </c>
      <c r="QWN1338" s="4" t="s">
        <v>2882</v>
      </c>
      <c r="QWO1338" s="4" t="s">
        <v>2882</v>
      </c>
      <c r="QWP1338" s="4" t="s">
        <v>2882</v>
      </c>
      <c r="QWQ1338" s="4" t="s">
        <v>2882</v>
      </c>
      <c r="QWR1338" s="4" t="s">
        <v>2882</v>
      </c>
      <c r="QWS1338" s="4" t="s">
        <v>2882</v>
      </c>
      <c r="QWT1338" s="4" t="s">
        <v>2882</v>
      </c>
      <c r="QWU1338" s="4" t="s">
        <v>2882</v>
      </c>
      <c r="QWV1338" s="4" t="s">
        <v>2882</v>
      </c>
      <c r="QWW1338" s="4" t="s">
        <v>2882</v>
      </c>
      <c r="QWX1338" s="4" t="s">
        <v>2882</v>
      </c>
      <c r="QWY1338" s="4" t="s">
        <v>2882</v>
      </c>
      <c r="QWZ1338" s="4" t="s">
        <v>2882</v>
      </c>
      <c r="QXA1338" s="4" t="s">
        <v>2882</v>
      </c>
      <c r="QXB1338" s="4" t="s">
        <v>2882</v>
      </c>
      <c r="QXC1338" s="4" t="s">
        <v>2882</v>
      </c>
      <c r="QXD1338" s="4" t="s">
        <v>2882</v>
      </c>
      <c r="QXE1338" s="4" t="s">
        <v>2882</v>
      </c>
      <c r="QXF1338" s="4" t="s">
        <v>2882</v>
      </c>
      <c r="QXG1338" s="4" t="s">
        <v>2882</v>
      </c>
      <c r="QXH1338" s="4" t="s">
        <v>2882</v>
      </c>
      <c r="QXI1338" s="4" t="s">
        <v>2882</v>
      </c>
      <c r="QXJ1338" s="4" t="s">
        <v>2882</v>
      </c>
      <c r="QXK1338" s="4" t="s">
        <v>2882</v>
      </c>
      <c r="QXL1338" s="4" t="s">
        <v>2882</v>
      </c>
      <c r="QXM1338" s="4" t="s">
        <v>2882</v>
      </c>
      <c r="QXN1338" s="4" t="s">
        <v>2882</v>
      </c>
      <c r="QXO1338" s="4" t="s">
        <v>2882</v>
      </c>
      <c r="QXP1338" s="4" t="s">
        <v>2882</v>
      </c>
      <c r="QXQ1338" s="4" t="s">
        <v>2882</v>
      </c>
      <c r="QXR1338" s="4" t="s">
        <v>2882</v>
      </c>
      <c r="QXS1338" s="4" t="s">
        <v>2882</v>
      </c>
      <c r="QXT1338" s="4" t="s">
        <v>2882</v>
      </c>
      <c r="QXU1338" s="4" t="s">
        <v>2882</v>
      </c>
      <c r="QXV1338" s="4" t="s">
        <v>2882</v>
      </c>
      <c r="QXW1338" s="4" t="s">
        <v>2882</v>
      </c>
      <c r="QXX1338" s="4" t="s">
        <v>2882</v>
      </c>
      <c r="QXY1338" s="4" t="s">
        <v>2882</v>
      </c>
      <c r="QXZ1338" s="4" t="s">
        <v>2882</v>
      </c>
      <c r="QYA1338" s="4" t="s">
        <v>2882</v>
      </c>
      <c r="QYB1338" s="4" t="s">
        <v>2882</v>
      </c>
      <c r="QYC1338" s="4" t="s">
        <v>2882</v>
      </c>
      <c r="QYD1338" s="4" t="s">
        <v>2882</v>
      </c>
      <c r="QYE1338" s="4" t="s">
        <v>2882</v>
      </c>
      <c r="QYF1338" s="4" t="s">
        <v>2882</v>
      </c>
      <c r="QYG1338" s="4" t="s">
        <v>2882</v>
      </c>
      <c r="QYH1338" s="4" t="s">
        <v>2882</v>
      </c>
      <c r="QYI1338" s="4" t="s">
        <v>2882</v>
      </c>
      <c r="QYJ1338" s="4" t="s">
        <v>2882</v>
      </c>
      <c r="QYK1338" s="4" t="s">
        <v>2882</v>
      </c>
      <c r="QYL1338" s="4" t="s">
        <v>2882</v>
      </c>
      <c r="QYM1338" s="4" t="s">
        <v>2882</v>
      </c>
      <c r="QYN1338" s="4" t="s">
        <v>2882</v>
      </c>
      <c r="QYO1338" s="4" t="s">
        <v>2882</v>
      </c>
      <c r="QYP1338" s="4" t="s">
        <v>2882</v>
      </c>
      <c r="QYQ1338" s="4" t="s">
        <v>2882</v>
      </c>
      <c r="QYR1338" s="4" t="s">
        <v>2882</v>
      </c>
      <c r="QYS1338" s="4" t="s">
        <v>2882</v>
      </c>
      <c r="QYT1338" s="4" t="s">
        <v>2882</v>
      </c>
      <c r="QYU1338" s="4" t="s">
        <v>2882</v>
      </c>
      <c r="QYV1338" s="4" t="s">
        <v>2882</v>
      </c>
      <c r="QYW1338" s="4" t="s">
        <v>2882</v>
      </c>
      <c r="QYX1338" s="4" t="s">
        <v>2882</v>
      </c>
      <c r="QYY1338" s="4" t="s">
        <v>2882</v>
      </c>
      <c r="QYZ1338" s="4" t="s">
        <v>2882</v>
      </c>
      <c r="QZA1338" s="4" t="s">
        <v>2882</v>
      </c>
      <c r="QZB1338" s="4" t="s">
        <v>2882</v>
      </c>
      <c r="QZC1338" s="4" t="s">
        <v>2882</v>
      </c>
      <c r="QZD1338" s="4" t="s">
        <v>2882</v>
      </c>
      <c r="QZE1338" s="4" t="s">
        <v>2882</v>
      </c>
      <c r="QZF1338" s="4" t="s">
        <v>2882</v>
      </c>
      <c r="QZG1338" s="4" t="s">
        <v>2882</v>
      </c>
      <c r="QZH1338" s="4" t="s">
        <v>2882</v>
      </c>
      <c r="QZI1338" s="4" t="s">
        <v>2882</v>
      </c>
      <c r="QZJ1338" s="4" t="s">
        <v>2882</v>
      </c>
      <c r="QZK1338" s="4" t="s">
        <v>2882</v>
      </c>
      <c r="QZL1338" s="4" t="s">
        <v>2882</v>
      </c>
      <c r="QZM1338" s="4" t="s">
        <v>2882</v>
      </c>
      <c r="QZN1338" s="4" t="s">
        <v>2882</v>
      </c>
      <c r="QZO1338" s="4" t="s">
        <v>2882</v>
      </c>
      <c r="QZP1338" s="4" t="s">
        <v>2882</v>
      </c>
      <c r="QZQ1338" s="4" t="s">
        <v>2882</v>
      </c>
      <c r="QZR1338" s="4" t="s">
        <v>2882</v>
      </c>
      <c r="QZS1338" s="4" t="s">
        <v>2882</v>
      </c>
      <c r="QZT1338" s="4" t="s">
        <v>2882</v>
      </c>
      <c r="QZU1338" s="4" t="s">
        <v>2882</v>
      </c>
      <c r="QZV1338" s="4" t="s">
        <v>2882</v>
      </c>
      <c r="QZW1338" s="4" t="s">
        <v>2882</v>
      </c>
      <c r="QZX1338" s="4" t="s">
        <v>2882</v>
      </c>
      <c r="QZY1338" s="4" t="s">
        <v>2882</v>
      </c>
      <c r="QZZ1338" s="4" t="s">
        <v>2882</v>
      </c>
      <c r="RAA1338" s="4" t="s">
        <v>2882</v>
      </c>
      <c r="RAB1338" s="4" t="s">
        <v>2882</v>
      </c>
      <c r="RAC1338" s="4" t="s">
        <v>2882</v>
      </c>
      <c r="RAD1338" s="4" t="s">
        <v>2882</v>
      </c>
      <c r="RAE1338" s="4" t="s">
        <v>2882</v>
      </c>
      <c r="RAF1338" s="4" t="s">
        <v>2882</v>
      </c>
      <c r="RAG1338" s="4" t="s">
        <v>2882</v>
      </c>
      <c r="RAH1338" s="4" t="s">
        <v>2882</v>
      </c>
      <c r="RAI1338" s="4" t="s">
        <v>2882</v>
      </c>
      <c r="RAJ1338" s="4" t="s">
        <v>2882</v>
      </c>
      <c r="RAK1338" s="4" t="s">
        <v>2882</v>
      </c>
      <c r="RAL1338" s="4" t="s">
        <v>2882</v>
      </c>
      <c r="RAM1338" s="4" t="s">
        <v>2882</v>
      </c>
      <c r="RAN1338" s="4" t="s">
        <v>2882</v>
      </c>
      <c r="RAO1338" s="4" t="s">
        <v>2882</v>
      </c>
      <c r="RAP1338" s="4" t="s">
        <v>2882</v>
      </c>
      <c r="RAQ1338" s="4" t="s">
        <v>2882</v>
      </c>
      <c r="RAR1338" s="4" t="s">
        <v>2882</v>
      </c>
      <c r="RAS1338" s="4" t="s">
        <v>2882</v>
      </c>
      <c r="RAT1338" s="4" t="s">
        <v>2882</v>
      </c>
      <c r="RAU1338" s="4" t="s">
        <v>2882</v>
      </c>
      <c r="RAV1338" s="4" t="s">
        <v>2882</v>
      </c>
      <c r="RAW1338" s="4" t="s">
        <v>2882</v>
      </c>
      <c r="RAX1338" s="4" t="s">
        <v>2882</v>
      </c>
      <c r="RAY1338" s="4" t="s">
        <v>2882</v>
      </c>
      <c r="RAZ1338" s="4" t="s">
        <v>2882</v>
      </c>
      <c r="RBA1338" s="4" t="s">
        <v>2882</v>
      </c>
      <c r="RBB1338" s="4" t="s">
        <v>2882</v>
      </c>
      <c r="RBC1338" s="4" t="s">
        <v>2882</v>
      </c>
      <c r="RBD1338" s="4" t="s">
        <v>2882</v>
      </c>
      <c r="RBE1338" s="4" t="s">
        <v>2882</v>
      </c>
      <c r="RBF1338" s="4" t="s">
        <v>2882</v>
      </c>
      <c r="RBG1338" s="4" t="s">
        <v>2882</v>
      </c>
      <c r="RBH1338" s="4" t="s">
        <v>2882</v>
      </c>
      <c r="RBI1338" s="4" t="s">
        <v>2882</v>
      </c>
      <c r="RBJ1338" s="4" t="s">
        <v>2882</v>
      </c>
      <c r="RBK1338" s="4" t="s">
        <v>2882</v>
      </c>
      <c r="RBL1338" s="4" t="s">
        <v>2882</v>
      </c>
      <c r="RBM1338" s="4" t="s">
        <v>2882</v>
      </c>
      <c r="RBN1338" s="4" t="s">
        <v>2882</v>
      </c>
      <c r="RBO1338" s="4" t="s">
        <v>2882</v>
      </c>
      <c r="RBP1338" s="4" t="s">
        <v>2882</v>
      </c>
      <c r="RBQ1338" s="4" t="s">
        <v>2882</v>
      </c>
      <c r="RBR1338" s="4" t="s">
        <v>2882</v>
      </c>
      <c r="RBS1338" s="4" t="s">
        <v>2882</v>
      </c>
      <c r="RBT1338" s="4" t="s">
        <v>2882</v>
      </c>
      <c r="RBU1338" s="4" t="s">
        <v>2882</v>
      </c>
      <c r="RBV1338" s="4" t="s">
        <v>2882</v>
      </c>
      <c r="RBW1338" s="4" t="s">
        <v>2882</v>
      </c>
      <c r="RBX1338" s="4" t="s">
        <v>2882</v>
      </c>
      <c r="RBY1338" s="4" t="s">
        <v>2882</v>
      </c>
      <c r="RBZ1338" s="4" t="s">
        <v>2882</v>
      </c>
      <c r="RCA1338" s="4" t="s">
        <v>2882</v>
      </c>
      <c r="RCB1338" s="4" t="s">
        <v>2882</v>
      </c>
      <c r="RCC1338" s="4" t="s">
        <v>2882</v>
      </c>
      <c r="RCD1338" s="4" t="s">
        <v>2882</v>
      </c>
      <c r="RCE1338" s="4" t="s">
        <v>2882</v>
      </c>
      <c r="RCF1338" s="4" t="s">
        <v>2882</v>
      </c>
      <c r="RCG1338" s="4" t="s">
        <v>2882</v>
      </c>
      <c r="RCH1338" s="4" t="s">
        <v>2882</v>
      </c>
      <c r="RCI1338" s="4" t="s">
        <v>2882</v>
      </c>
      <c r="RCJ1338" s="4" t="s">
        <v>2882</v>
      </c>
      <c r="RCK1338" s="4" t="s">
        <v>2882</v>
      </c>
      <c r="RCL1338" s="4" t="s">
        <v>2882</v>
      </c>
      <c r="RCM1338" s="4" t="s">
        <v>2882</v>
      </c>
      <c r="RCN1338" s="4" t="s">
        <v>2882</v>
      </c>
      <c r="RCO1338" s="4" t="s">
        <v>2882</v>
      </c>
      <c r="RCP1338" s="4" t="s">
        <v>2882</v>
      </c>
      <c r="RCQ1338" s="4" t="s">
        <v>2882</v>
      </c>
      <c r="RCR1338" s="4" t="s">
        <v>2882</v>
      </c>
      <c r="RCS1338" s="4" t="s">
        <v>2882</v>
      </c>
      <c r="RCT1338" s="4" t="s">
        <v>2882</v>
      </c>
      <c r="RCU1338" s="4" t="s">
        <v>2882</v>
      </c>
      <c r="RCV1338" s="4" t="s">
        <v>2882</v>
      </c>
      <c r="RCW1338" s="4" t="s">
        <v>2882</v>
      </c>
      <c r="RCX1338" s="4" t="s">
        <v>2882</v>
      </c>
      <c r="RCY1338" s="4" t="s">
        <v>2882</v>
      </c>
      <c r="RCZ1338" s="4" t="s">
        <v>2882</v>
      </c>
      <c r="RDA1338" s="4" t="s">
        <v>2882</v>
      </c>
      <c r="RDB1338" s="4" t="s">
        <v>2882</v>
      </c>
      <c r="RDC1338" s="4" t="s">
        <v>2882</v>
      </c>
      <c r="RDD1338" s="4" t="s">
        <v>2882</v>
      </c>
      <c r="RDE1338" s="4" t="s">
        <v>2882</v>
      </c>
      <c r="RDF1338" s="4" t="s">
        <v>2882</v>
      </c>
      <c r="RDG1338" s="4" t="s">
        <v>2882</v>
      </c>
      <c r="RDH1338" s="4" t="s">
        <v>2882</v>
      </c>
      <c r="RDI1338" s="4" t="s">
        <v>2882</v>
      </c>
      <c r="RDJ1338" s="4" t="s">
        <v>2882</v>
      </c>
      <c r="RDK1338" s="4" t="s">
        <v>2882</v>
      </c>
      <c r="RDL1338" s="4" t="s">
        <v>2882</v>
      </c>
      <c r="RDM1338" s="4" t="s">
        <v>2882</v>
      </c>
      <c r="RDN1338" s="4" t="s">
        <v>2882</v>
      </c>
      <c r="RDO1338" s="4" t="s">
        <v>2882</v>
      </c>
      <c r="RDP1338" s="4" t="s">
        <v>2882</v>
      </c>
      <c r="RDQ1338" s="4" t="s">
        <v>2882</v>
      </c>
      <c r="RDR1338" s="4" t="s">
        <v>2882</v>
      </c>
      <c r="RDS1338" s="4" t="s">
        <v>2882</v>
      </c>
      <c r="RDT1338" s="4" t="s">
        <v>2882</v>
      </c>
      <c r="RDU1338" s="4" t="s">
        <v>2882</v>
      </c>
      <c r="RDV1338" s="4" t="s">
        <v>2882</v>
      </c>
      <c r="RDW1338" s="4" t="s">
        <v>2882</v>
      </c>
      <c r="RDX1338" s="4" t="s">
        <v>2882</v>
      </c>
      <c r="RDY1338" s="4" t="s">
        <v>2882</v>
      </c>
      <c r="RDZ1338" s="4" t="s">
        <v>2882</v>
      </c>
      <c r="REA1338" s="4" t="s">
        <v>2882</v>
      </c>
      <c r="REB1338" s="4" t="s">
        <v>2882</v>
      </c>
      <c r="REC1338" s="4" t="s">
        <v>2882</v>
      </c>
      <c r="RED1338" s="4" t="s">
        <v>2882</v>
      </c>
      <c r="REE1338" s="4" t="s">
        <v>2882</v>
      </c>
      <c r="REF1338" s="4" t="s">
        <v>2882</v>
      </c>
      <c r="REG1338" s="4" t="s">
        <v>2882</v>
      </c>
      <c r="REH1338" s="4" t="s">
        <v>2882</v>
      </c>
      <c r="REI1338" s="4" t="s">
        <v>2882</v>
      </c>
      <c r="REJ1338" s="4" t="s">
        <v>2882</v>
      </c>
      <c r="REK1338" s="4" t="s">
        <v>2882</v>
      </c>
      <c r="REL1338" s="4" t="s">
        <v>2882</v>
      </c>
      <c r="REM1338" s="4" t="s">
        <v>2882</v>
      </c>
      <c r="REN1338" s="4" t="s">
        <v>2882</v>
      </c>
      <c r="REO1338" s="4" t="s">
        <v>2882</v>
      </c>
      <c r="REP1338" s="4" t="s">
        <v>2882</v>
      </c>
      <c r="REQ1338" s="4" t="s">
        <v>2882</v>
      </c>
      <c r="RER1338" s="4" t="s">
        <v>2882</v>
      </c>
      <c r="RES1338" s="4" t="s">
        <v>2882</v>
      </c>
      <c r="RET1338" s="4" t="s">
        <v>2882</v>
      </c>
      <c r="REU1338" s="4" t="s">
        <v>2882</v>
      </c>
      <c r="REV1338" s="4" t="s">
        <v>2882</v>
      </c>
      <c r="REW1338" s="4" t="s">
        <v>2882</v>
      </c>
      <c r="REX1338" s="4" t="s">
        <v>2882</v>
      </c>
      <c r="REY1338" s="4" t="s">
        <v>2882</v>
      </c>
      <c r="REZ1338" s="4" t="s">
        <v>2882</v>
      </c>
      <c r="RFA1338" s="4" t="s">
        <v>2882</v>
      </c>
      <c r="RFB1338" s="4" t="s">
        <v>2882</v>
      </c>
      <c r="RFC1338" s="4" t="s">
        <v>2882</v>
      </c>
      <c r="RFD1338" s="4" t="s">
        <v>2882</v>
      </c>
      <c r="RFE1338" s="4" t="s">
        <v>2882</v>
      </c>
      <c r="RFF1338" s="4" t="s">
        <v>2882</v>
      </c>
      <c r="RFG1338" s="4" t="s">
        <v>2882</v>
      </c>
      <c r="RFH1338" s="4" t="s">
        <v>2882</v>
      </c>
      <c r="RFI1338" s="4" t="s">
        <v>2882</v>
      </c>
      <c r="RFJ1338" s="4" t="s">
        <v>2882</v>
      </c>
      <c r="RFK1338" s="4" t="s">
        <v>2882</v>
      </c>
      <c r="RFL1338" s="4" t="s">
        <v>2882</v>
      </c>
      <c r="RFM1338" s="4" t="s">
        <v>2882</v>
      </c>
      <c r="RFN1338" s="4" t="s">
        <v>2882</v>
      </c>
      <c r="RFO1338" s="4" t="s">
        <v>2882</v>
      </c>
      <c r="RFP1338" s="4" t="s">
        <v>2882</v>
      </c>
      <c r="RFQ1338" s="4" t="s">
        <v>2882</v>
      </c>
      <c r="RFR1338" s="4" t="s">
        <v>2882</v>
      </c>
      <c r="RFS1338" s="4" t="s">
        <v>2882</v>
      </c>
      <c r="RFT1338" s="4" t="s">
        <v>2882</v>
      </c>
      <c r="RFU1338" s="4" t="s">
        <v>2882</v>
      </c>
      <c r="RFV1338" s="4" t="s">
        <v>2882</v>
      </c>
      <c r="RFW1338" s="4" t="s">
        <v>2882</v>
      </c>
      <c r="RFX1338" s="4" t="s">
        <v>2882</v>
      </c>
      <c r="RFY1338" s="4" t="s">
        <v>2882</v>
      </c>
      <c r="RFZ1338" s="4" t="s">
        <v>2882</v>
      </c>
      <c r="RGA1338" s="4" t="s">
        <v>2882</v>
      </c>
      <c r="RGB1338" s="4" t="s">
        <v>2882</v>
      </c>
      <c r="RGC1338" s="4" t="s">
        <v>2882</v>
      </c>
      <c r="RGD1338" s="4" t="s">
        <v>2882</v>
      </c>
      <c r="RGE1338" s="4" t="s">
        <v>2882</v>
      </c>
      <c r="RGF1338" s="4" t="s">
        <v>2882</v>
      </c>
      <c r="RGG1338" s="4" t="s">
        <v>2882</v>
      </c>
      <c r="RGH1338" s="4" t="s">
        <v>2882</v>
      </c>
      <c r="RGI1338" s="4" t="s">
        <v>2882</v>
      </c>
      <c r="RGJ1338" s="4" t="s">
        <v>2882</v>
      </c>
      <c r="RGK1338" s="4" t="s">
        <v>2882</v>
      </c>
      <c r="RGL1338" s="4" t="s">
        <v>2882</v>
      </c>
      <c r="RGM1338" s="4" t="s">
        <v>2882</v>
      </c>
      <c r="RGN1338" s="4" t="s">
        <v>2882</v>
      </c>
      <c r="RGO1338" s="4" t="s">
        <v>2882</v>
      </c>
      <c r="RGP1338" s="4" t="s">
        <v>2882</v>
      </c>
      <c r="RGQ1338" s="4" t="s">
        <v>2882</v>
      </c>
      <c r="RGR1338" s="4" t="s">
        <v>2882</v>
      </c>
      <c r="RGS1338" s="4" t="s">
        <v>2882</v>
      </c>
      <c r="RGT1338" s="4" t="s">
        <v>2882</v>
      </c>
      <c r="RGU1338" s="4" t="s">
        <v>2882</v>
      </c>
      <c r="RGV1338" s="4" t="s">
        <v>2882</v>
      </c>
      <c r="RGW1338" s="4" t="s">
        <v>2882</v>
      </c>
      <c r="RGX1338" s="4" t="s">
        <v>2882</v>
      </c>
      <c r="RGY1338" s="4" t="s">
        <v>2882</v>
      </c>
      <c r="RGZ1338" s="4" t="s">
        <v>2882</v>
      </c>
      <c r="RHA1338" s="4" t="s">
        <v>2882</v>
      </c>
      <c r="RHB1338" s="4" t="s">
        <v>2882</v>
      </c>
      <c r="RHC1338" s="4" t="s">
        <v>2882</v>
      </c>
      <c r="RHD1338" s="4" t="s">
        <v>2882</v>
      </c>
      <c r="RHE1338" s="4" t="s">
        <v>2882</v>
      </c>
      <c r="RHF1338" s="4" t="s">
        <v>2882</v>
      </c>
      <c r="RHG1338" s="4" t="s">
        <v>2882</v>
      </c>
      <c r="RHH1338" s="4" t="s">
        <v>2882</v>
      </c>
      <c r="RHI1338" s="4" t="s">
        <v>2882</v>
      </c>
      <c r="RHJ1338" s="4" t="s">
        <v>2882</v>
      </c>
      <c r="RHK1338" s="4" t="s">
        <v>2882</v>
      </c>
      <c r="RHL1338" s="4" t="s">
        <v>2882</v>
      </c>
      <c r="RHM1338" s="4" t="s">
        <v>2882</v>
      </c>
      <c r="RHN1338" s="4" t="s">
        <v>2882</v>
      </c>
      <c r="RHO1338" s="4" t="s">
        <v>2882</v>
      </c>
      <c r="RHP1338" s="4" t="s">
        <v>2882</v>
      </c>
      <c r="RHQ1338" s="4" t="s">
        <v>2882</v>
      </c>
      <c r="RHR1338" s="4" t="s">
        <v>2882</v>
      </c>
      <c r="RHS1338" s="4" t="s">
        <v>2882</v>
      </c>
      <c r="RHT1338" s="4" t="s">
        <v>2882</v>
      </c>
      <c r="RHU1338" s="4" t="s">
        <v>2882</v>
      </c>
      <c r="RHV1338" s="4" t="s">
        <v>2882</v>
      </c>
      <c r="RHW1338" s="4" t="s">
        <v>2882</v>
      </c>
      <c r="RHX1338" s="4" t="s">
        <v>2882</v>
      </c>
      <c r="RHY1338" s="4" t="s">
        <v>2882</v>
      </c>
      <c r="RHZ1338" s="4" t="s">
        <v>2882</v>
      </c>
      <c r="RIA1338" s="4" t="s">
        <v>2882</v>
      </c>
      <c r="RIB1338" s="4" t="s">
        <v>2882</v>
      </c>
      <c r="RIC1338" s="4" t="s">
        <v>2882</v>
      </c>
      <c r="RID1338" s="4" t="s">
        <v>2882</v>
      </c>
      <c r="RIE1338" s="4" t="s">
        <v>2882</v>
      </c>
      <c r="RIF1338" s="4" t="s">
        <v>2882</v>
      </c>
      <c r="RIG1338" s="4" t="s">
        <v>2882</v>
      </c>
      <c r="RIH1338" s="4" t="s">
        <v>2882</v>
      </c>
      <c r="RII1338" s="4" t="s">
        <v>2882</v>
      </c>
      <c r="RIJ1338" s="4" t="s">
        <v>2882</v>
      </c>
      <c r="RIK1338" s="4" t="s">
        <v>2882</v>
      </c>
      <c r="RIL1338" s="4" t="s">
        <v>2882</v>
      </c>
      <c r="RIM1338" s="4" t="s">
        <v>2882</v>
      </c>
      <c r="RIN1338" s="4" t="s">
        <v>2882</v>
      </c>
      <c r="RIO1338" s="4" t="s">
        <v>2882</v>
      </c>
      <c r="RIP1338" s="4" t="s">
        <v>2882</v>
      </c>
      <c r="RIQ1338" s="4" t="s">
        <v>2882</v>
      </c>
      <c r="RIR1338" s="4" t="s">
        <v>2882</v>
      </c>
      <c r="RIS1338" s="4" t="s">
        <v>2882</v>
      </c>
      <c r="RIT1338" s="4" t="s">
        <v>2882</v>
      </c>
      <c r="RIU1338" s="4" t="s">
        <v>2882</v>
      </c>
      <c r="RIV1338" s="4" t="s">
        <v>2882</v>
      </c>
      <c r="RIW1338" s="4" t="s">
        <v>2882</v>
      </c>
      <c r="RIX1338" s="4" t="s">
        <v>2882</v>
      </c>
      <c r="RIY1338" s="4" t="s">
        <v>2882</v>
      </c>
      <c r="RIZ1338" s="4" t="s">
        <v>2882</v>
      </c>
      <c r="RJA1338" s="4" t="s">
        <v>2882</v>
      </c>
      <c r="RJB1338" s="4" t="s">
        <v>2882</v>
      </c>
      <c r="RJC1338" s="4" t="s">
        <v>2882</v>
      </c>
      <c r="RJD1338" s="4" t="s">
        <v>2882</v>
      </c>
      <c r="RJE1338" s="4" t="s">
        <v>2882</v>
      </c>
      <c r="RJF1338" s="4" t="s">
        <v>2882</v>
      </c>
      <c r="RJG1338" s="4" t="s">
        <v>2882</v>
      </c>
      <c r="RJH1338" s="4" t="s">
        <v>2882</v>
      </c>
      <c r="RJI1338" s="4" t="s">
        <v>2882</v>
      </c>
      <c r="RJJ1338" s="4" t="s">
        <v>2882</v>
      </c>
      <c r="RJK1338" s="4" t="s">
        <v>2882</v>
      </c>
      <c r="RJL1338" s="4" t="s">
        <v>2882</v>
      </c>
      <c r="RJM1338" s="4" t="s">
        <v>2882</v>
      </c>
      <c r="RJN1338" s="4" t="s">
        <v>2882</v>
      </c>
      <c r="RJO1338" s="4" t="s">
        <v>2882</v>
      </c>
      <c r="RJP1338" s="4" t="s">
        <v>2882</v>
      </c>
      <c r="RJQ1338" s="4" t="s">
        <v>2882</v>
      </c>
      <c r="RJR1338" s="4" t="s">
        <v>2882</v>
      </c>
      <c r="RJS1338" s="4" t="s">
        <v>2882</v>
      </c>
      <c r="RJT1338" s="4" t="s">
        <v>2882</v>
      </c>
      <c r="RJU1338" s="4" t="s">
        <v>2882</v>
      </c>
      <c r="RJV1338" s="4" t="s">
        <v>2882</v>
      </c>
      <c r="RJW1338" s="4" t="s">
        <v>2882</v>
      </c>
      <c r="RJX1338" s="4" t="s">
        <v>2882</v>
      </c>
      <c r="RJY1338" s="4" t="s">
        <v>2882</v>
      </c>
      <c r="RJZ1338" s="4" t="s">
        <v>2882</v>
      </c>
      <c r="RKA1338" s="4" t="s">
        <v>2882</v>
      </c>
      <c r="RKB1338" s="4" t="s">
        <v>2882</v>
      </c>
      <c r="RKC1338" s="4" t="s">
        <v>2882</v>
      </c>
      <c r="RKD1338" s="4" t="s">
        <v>2882</v>
      </c>
      <c r="RKE1338" s="4" t="s">
        <v>2882</v>
      </c>
      <c r="RKF1338" s="4" t="s">
        <v>2882</v>
      </c>
      <c r="RKG1338" s="4" t="s">
        <v>2882</v>
      </c>
      <c r="RKH1338" s="4" t="s">
        <v>2882</v>
      </c>
      <c r="RKI1338" s="4" t="s">
        <v>2882</v>
      </c>
      <c r="RKJ1338" s="4" t="s">
        <v>2882</v>
      </c>
      <c r="RKK1338" s="4" t="s">
        <v>2882</v>
      </c>
      <c r="RKL1338" s="4" t="s">
        <v>2882</v>
      </c>
      <c r="RKM1338" s="4" t="s">
        <v>2882</v>
      </c>
      <c r="RKN1338" s="4" t="s">
        <v>2882</v>
      </c>
      <c r="RKO1338" s="4" t="s">
        <v>2882</v>
      </c>
      <c r="RKP1338" s="4" t="s">
        <v>2882</v>
      </c>
      <c r="RKQ1338" s="4" t="s">
        <v>2882</v>
      </c>
      <c r="RKR1338" s="4" t="s">
        <v>2882</v>
      </c>
      <c r="RKS1338" s="4" t="s">
        <v>2882</v>
      </c>
      <c r="RKT1338" s="4" t="s">
        <v>2882</v>
      </c>
      <c r="RKU1338" s="4" t="s">
        <v>2882</v>
      </c>
      <c r="RKV1338" s="4" t="s">
        <v>2882</v>
      </c>
      <c r="RKW1338" s="4" t="s">
        <v>2882</v>
      </c>
      <c r="RKX1338" s="4" t="s">
        <v>2882</v>
      </c>
      <c r="RKY1338" s="4" t="s">
        <v>2882</v>
      </c>
      <c r="RKZ1338" s="4" t="s">
        <v>2882</v>
      </c>
      <c r="RLA1338" s="4" t="s">
        <v>2882</v>
      </c>
      <c r="RLB1338" s="4" t="s">
        <v>2882</v>
      </c>
      <c r="RLC1338" s="4" t="s">
        <v>2882</v>
      </c>
      <c r="RLD1338" s="4" t="s">
        <v>2882</v>
      </c>
      <c r="RLE1338" s="4" t="s">
        <v>2882</v>
      </c>
      <c r="RLF1338" s="4" t="s">
        <v>2882</v>
      </c>
      <c r="RLG1338" s="4" t="s">
        <v>2882</v>
      </c>
      <c r="RLH1338" s="4" t="s">
        <v>2882</v>
      </c>
      <c r="RLI1338" s="4" t="s">
        <v>2882</v>
      </c>
      <c r="RLJ1338" s="4" t="s">
        <v>2882</v>
      </c>
      <c r="RLK1338" s="4" t="s">
        <v>2882</v>
      </c>
      <c r="RLL1338" s="4" t="s">
        <v>2882</v>
      </c>
      <c r="RLM1338" s="4" t="s">
        <v>2882</v>
      </c>
      <c r="RLN1338" s="4" t="s">
        <v>2882</v>
      </c>
      <c r="RLO1338" s="4" t="s">
        <v>2882</v>
      </c>
      <c r="RLP1338" s="4" t="s">
        <v>2882</v>
      </c>
      <c r="RLQ1338" s="4" t="s">
        <v>2882</v>
      </c>
      <c r="RLR1338" s="4" t="s">
        <v>2882</v>
      </c>
      <c r="RLS1338" s="4" t="s">
        <v>2882</v>
      </c>
      <c r="RLT1338" s="4" t="s">
        <v>2882</v>
      </c>
      <c r="RLU1338" s="4" t="s">
        <v>2882</v>
      </c>
      <c r="RLV1338" s="4" t="s">
        <v>2882</v>
      </c>
      <c r="RLW1338" s="4" t="s">
        <v>2882</v>
      </c>
      <c r="RLX1338" s="4" t="s">
        <v>2882</v>
      </c>
      <c r="RLY1338" s="4" t="s">
        <v>2882</v>
      </c>
      <c r="RLZ1338" s="4" t="s">
        <v>2882</v>
      </c>
      <c r="RMA1338" s="4" t="s">
        <v>2882</v>
      </c>
      <c r="RMB1338" s="4" t="s">
        <v>2882</v>
      </c>
      <c r="RMC1338" s="4" t="s">
        <v>2882</v>
      </c>
      <c r="RMD1338" s="4" t="s">
        <v>2882</v>
      </c>
      <c r="RME1338" s="4" t="s">
        <v>2882</v>
      </c>
      <c r="RMF1338" s="4" t="s">
        <v>2882</v>
      </c>
      <c r="RMG1338" s="4" t="s">
        <v>2882</v>
      </c>
      <c r="RMH1338" s="4" t="s">
        <v>2882</v>
      </c>
      <c r="RMI1338" s="4" t="s">
        <v>2882</v>
      </c>
      <c r="RMJ1338" s="4" t="s">
        <v>2882</v>
      </c>
      <c r="RMK1338" s="4" t="s">
        <v>2882</v>
      </c>
      <c r="RML1338" s="4" t="s">
        <v>2882</v>
      </c>
      <c r="RMM1338" s="4" t="s">
        <v>2882</v>
      </c>
      <c r="RMN1338" s="4" t="s">
        <v>2882</v>
      </c>
      <c r="RMO1338" s="4" t="s">
        <v>2882</v>
      </c>
      <c r="RMP1338" s="4" t="s">
        <v>2882</v>
      </c>
      <c r="RMQ1338" s="4" t="s">
        <v>2882</v>
      </c>
      <c r="RMR1338" s="4" t="s">
        <v>2882</v>
      </c>
      <c r="RMS1338" s="4" t="s">
        <v>2882</v>
      </c>
      <c r="RMT1338" s="4" t="s">
        <v>2882</v>
      </c>
      <c r="RMU1338" s="4" t="s">
        <v>2882</v>
      </c>
      <c r="RMV1338" s="4" t="s">
        <v>2882</v>
      </c>
      <c r="RMW1338" s="4" t="s">
        <v>2882</v>
      </c>
      <c r="RMX1338" s="4" t="s">
        <v>2882</v>
      </c>
      <c r="RMY1338" s="4" t="s">
        <v>2882</v>
      </c>
      <c r="RMZ1338" s="4" t="s">
        <v>2882</v>
      </c>
      <c r="RNA1338" s="4" t="s">
        <v>2882</v>
      </c>
      <c r="RNB1338" s="4" t="s">
        <v>2882</v>
      </c>
      <c r="RNC1338" s="4" t="s">
        <v>2882</v>
      </c>
      <c r="RND1338" s="4" t="s">
        <v>2882</v>
      </c>
      <c r="RNE1338" s="4" t="s">
        <v>2882</v>
      </c>
      <c r="RNF1338" s="4" t="s">
        <v>2882</v>
      </c>
      <c r="RNG1338" s="4" t="s">
        <v>2882</v>
      </c>
      <c r="RNH1338" s="4" t="s">
        <v>2882</v>
      </c>
      <c r="RNI1338" s="4" t="s">
        <v>2882</v>
      </c>
      <c r="RNJ1338" s="4" t="s">
        <v>2882</v>
      </c>
      <c r="RNK1338" s="4" t="s">
        <v>2882</v>
      </c>
      <c r="RNL1338" s="4" t="s">
        <v>2882</v>
      </c>
      <c r="RNM1338" s="4" t="s">
        <v>2882</v>
      </c>
      <c r="RNN1338" s="4" t="s">
        <v>2882</v>
      </c>
      <c r="RNO1338" s="4" t="s">
        <v>2882</v>
      </c>
      <c r="RNP1338" s="4" t="s">
        <v>2882</v>
      </c>
      <c r="RNQ1338" s="4" t="s">
        <v>2882</v>
      </c>
      <c r="RNR1338" s="4" t="s">
        <v>2882</v>
      </c>
      <c r="RNS1338" s="4" t="s">
        <v>2882</v>
      </c>
      <c r="RNT1338" s="4" t="s">
        <v>2882</v>
      </c>
      <c r="RNU1338" s="4" t="s">
        <v>2882</v>
      </c>
      <c r="RNV1338" s="4" t="s">
        <v>2882</v>
      </c>
      <c r="RNW1338" s="4" t="s">
        <v>2882</v>
      </c>
      <c r="RNX1338" s="4" t="s">
        <v>2882</v>
      </c>
      <c r="RNY1338" s="4" t="s">
        <v>2882</v>
      </c>
      <c r="RNZ1338" s="4" t="s">
        <v>2882</v>
      </c>
      <c r="ROA1338" s="4" t="s">
        <v>2882</v>
      </c>
      <c r="ROB1338" s="4" t="s">
        <v>2882</v>
      </c>
      <c r="ROC1338" s="4" t="s">
        <v>2882</v>
      </c>
      <c r="ROD1338" s="4" t="s">
        <v>2882</v>
      </c>
      <c r="ROE1338" s="4" t="s">
        <v>2882</v>
      </c>
      <c r="ROF1338" s="4" t="s">
        <v>2882</v>
      </c>
      <c r="ROG1338" s="4" t="s">
        <v>2882</v>
      </c>
      <c r="ROH1338" s="4" t="s">
        <v>2882</v>
      </c>
      <c r="ROI1338" s="4" t="s">
        <v>2882</v>
      </c>
      <c r="ROJ1338" s="4" t="s">
        <v>2882</v>
      </c>
      <c r="ROK1338" s="4" t="s">
        <v>2882</v>
      </c>
      <c r="ROL1338" s="4" t="s">
        <v>2882</v>
      </c>
      <c r="ROM1338" s="4" t="s">
        <v>2882</v>
      </c>
      <c r="RON1338" s="4" t="s">
        <v>2882</v>
      </c>
      <c r="ROO1338" s="4" t="s">
        <v>2882</v>
      </c>
      <c r="ROP1338" s="4" t="s">
        <v>2882</v>
      </c>
      <c r="ROQ1338" s="4" t="s">
        <v>2882</v>
      </c>
      <c r="ROR1338" s="4" t="s">
        <v>2882</v>
      </c>
      <c r="ROS1338" s="4" t="s">
        <v>2882</v>
      </c>
      <c r="ROT1338" s="4" t="s">
        <v>2882</v>
      </c>
      <c r="ROU1338" s="4" t="s">
        <v>2882</v>
      </c>
      <c r="ROV1338" s="4" t="s">
        <v>2882</v>
      </c>
      <c r="ROW1338" s="4" t="s">
        <v>2882</v>
      </c>
      <c r="ROX1338" s="4" t="s">
        <v>2882</v>
      </c>
      <c r="ROY1338" s="4" t="s">
        <v>2882</v>
      </c>
      <c r="ROZ1338" s="4" t="s">
        <v>2882</v>
      </c>
      <c r="RPA1338" s="4" t="s">
        <v>2882</v>
      </c>
      <c r="RPB1338" s="4" t="s">
        <v>2882</v>
      </c>
      <c r="RPC1338" s="4" t="s">
        <v>2882</v>
      </c>
      <c r="RPD1338" s="4" t="s">
        <v>2882</v>
      </c>
      <c r="RPE1338" s="4" t="s">
        <v>2882</v>
      </c>
      <c r="RPF1338" s="4" t="s">
        <v>2882</v>
      </c>
      <c r="RPG1338" s="4" t="s">
        <v>2882</v>
      </c>
      <c r="RPH1338" s="4" t="s">
        <v>2882</v>
      </c>
      <c r="RPI1338" s="4" t="s">
        <v>2882</v>
      </c>
      <c r="RPJ1338" s="4" t="s">
        <v>2882</v>
      </c>
      <c r="RPK1338" s="4" t="s">
        <v>2882</v>
      </c>
      <c r="RPL1338" s="4" t="s">
        <v>2882</v>
      </c>
      <c r="RPM1338" s="4" t="s">
        <v>2882</v>
      </c>
      <c r="RPN1338" s="4" t="s">
        <v>2882</v>
      </c>
      <c r="RPO1338" s="4" t="s">
        <v>2882</v>
      </c>
      <c r="RPP1338" s="4" t="s">
        <v>2882</v>
      </c>
      <c r="RPQ1338" s="4" t="s">
        <v>2882</v>
      </c>
      <c r="RPR1338" s="4" t="s">
        <v>2882</v>
      </c>
      <c r="RPS1338" s="4" t="s">
        <v>2882</v>
      </c>
      <c r="RPT1338" s="4" t="s">
        <v>2882</v>
      </c>
      <c r="RPU1338" s="4" t="s">
        <v>2882</v>
      </c>
      <c r="RPV1338" s="4" t="s">
        <v>2882</v>
      </c>
      <c r="RPW1338" s="4" t="s">
        <v>2882</v>
      </c>
      <c r="RPX1338" s="4" t="s">
        <v>2882</v>
      </c>
      <c r="RPY1338" s="4" t="s">
        <v>2882</v>
      </c>
      <c r="RPZ1338" s="4" t="s">
        <v>2882</v>
      </c>
      <c r="RQA1338" s="4" t="s">
        <v>2882</v>
      </c>
      <c r="RQB1338" s="4" t="s">
        <v>2882</v>
      </c>
      <c r="RQC1338" s="4" t="s">
        <v>2882</v>
      </c>
      <c r="RQD1338" s="4" t="s">
        <v>2882</v>
      </c>
      <c r="RQE1338" s="4" t="s">
        <v>2882</v>
      </c>
      <c r="RQF1338" s="4" t="s">
        <v>2882</v>
      </c>
      <c r="RQG1338" s="4" t="s">
        <v>2882</v>
      </c>
      <c r="RQH1338" s="4" t="s">
        <v>2882</v>
      </c>
      <c r="RQI1338" s="4" t="s">
        <v>2882</v>
      </c>
      <c r="RQJ1338" s="4" t="s">
        <v>2882</v>
      </c>
      <c r="RQK1338" s="4" t="s">
        <v>2882</v>
      </c>
      <c r="RQL1338" s="4" t="s">
        <v>2882</v>
      </c>
      <c r="RQM1338" s="4" t="s">
        <v>2882</v>
      </c>
      <c r="RQN1338" s="4" t="s">
        <v>2882</v>
      </c>
      <c r="RQO1338" s="4" t="s">
        <v>2882</v>
      </c>
      <c r="RQP1338" s="4" t="s">
        <v>2882</v>
      </c>
      <c r="RQQ1338" s="4" t="s">
        <v>2882</v>
      </c>
      <c r="RQR1338" s="4" t="s">
        <v>2882</v>
      </c>
      <c r="RQS1338" s="4" t="s">
        <v>2882</v>
      </c>
      <c r="RQT1338" s="4" t="s">
        <v>2882</v>
      </c>
      <c r="RQU1338" s="4" t="s">
        <v>2882</v>
      </c>
      <c r="RQV1338" s="4" t="s">
        <v>2882</v>
      </c>
      <c r="RQW1338" s="4" t="s">
        <v>2882</v>
      </c>
      <c r="RQX1338" s="4" t="s">
        <v>2882</v>
      </c>
      <c r="RQY1338" s="4" t="s">
        <v>2882</v>
      </c>
      <c r="RQZ1338" s="4" t="s">
        <v>2882</v>
      </c>
      <c r="RRA1338" s="4" t="s">
        <v>2882</v>
      </c>
      <c r="RRB1338" s="4" t="s">
        <v>2882</v>
      </c>
      <c r="RRC1338" s="4" t="s">
        <v>2882</v>
      </c>
      <c r="RRD1338" s="4" t="s">
        <v>2882</v>
      </c>
      <c r="RRE1338" s="4" t="s">
        <v>2882</v>
      </c>
      <c r="RRF1338" s="4" t="s">
        <v>2882</v>
      </c>
      <c r="RRG1338" s="4" t="s">
        <v>2882</v>
      </c>
      <c r="RRH1338" s="4" t="s">
        <v>2882</v>
      </c>
      <c r="RRI1338" s="4" t="s">
        <v>2882</v>
      </c>
      <c r="RRJ1338" s="4" t="s">
        <v>2882</v>
      </c>
      <c r="RRK1338" s="4" t="s">
        <v>2882</v>
      </c>
      <c r="RRL1338" s="4" t="s">
        <v>2882</v>
      </c>
      <c r="RRM1338" s="4" t="s">
        <v>2882</v>
      </c>
      <c r="RRN1338" s="4" t="s">
        <v>2882</v>
      </c>
      <c r="RRO1338" s="4" t="s">
        <v>2882</v>
      </c>
      <c r="RRP1338" s="4" t="s">
        <v>2882</v>
      </c>
      <c r="RRQ1338" s="4" t="s">
        <v>2882</v>
      </c>
      <c r="RRR1338" s="4" t="s">
        <v>2882</v>
      </c>
      <c r="RRS1338" s="4" t="s">
        <v>2882</v>
      </c>
      <c r="RRT1338" s="4" t="s">
        <v>2882</v>
      </c>
      <c r="RRU1338" s="4" t="s">
        <v>2882</v>
      </c>
      <c r="RRV1338" s="4" t="s">
        <v>2882</v>
      </c>
      <c r="RRW1338" s="4" t="s">
        <v>2882</v>
      </c>
      <c r="RRX1338" s="4" t="s">
        <v>2882</v>
      </c>
      <c r="RRY1338" s="4" t="s">
        <v>2882</v>
      </c>
      <c r="RRZ1338" s="4" t="s">
        <v>2882</v>
      </c>
      <c r="RSA1338" s="4" t="s">
        <v>2882</v>
      </c>
      <c r="RSB1338" s="4" t="s">
        <v>2882</v>
      </c>
      <c r="RSC1338" s="4" t="s">
        <v>2882</v>
      </c>
      <c r="RSD1338" s="4" t="s">
        <v>2882</v>
      </c>
      <c r="RSE1338" s="4" t="s">
        <v>2882</v>
      </c>
      <c r="RSF1338" s="4" t="s">
        <v>2882</v>
      </c>
      <c r="RSG1338" s="4" t="s">
        <v>2882</v>
      </c>
      <c r="RSH1338" s="4" t="s">
        <v>2882</v>
      </c>
      <c r="RSI1338" s="4" t="s">
        <v>2882</v>
      </c>
      <c r="RSJ1338" s="4" t="s">
        <v>2882</v>
      </c>
      <c r="RSK1338" s="4" t="s">
        <v>2882</v>
      </c>
      <c r="RSL1338" s="4" t="s">
        <v>2882</v>
      </c>
      <c r="RSM1338" s="4" t="s">
        <v>2882</v>
      </c>
      <c r="RSN1338" s="4" t="s">
        <v>2882</v>
      </c>
      <c r="RSO1338" s="4" t="s">
        <v>2882</v>
      </c>
      <c r="RSP1338" s="4" t="s">
        <v>2882</v>
      </c>
      <c r="RSQ1338" s="4" t="s">
        <v>2882</v>
      </c>
      <c r="RSR1338" s="4" t="s">
        <v>2882</v>
      </c>
      <c r="RSS1338" s="4" t="s">
        <v>2882</v>
      </c>
      <c r="RST1338" s="4" t="s">
        <v>2882</v>
      </c>
      <c r="RSU1338" s="4" t="s">
        <v>2882</v>
      </c>
      <c r="RSV1338" s="4" t="s">
        <v>2882</v>
      </c>
      <c r="RSW1338" s="4" t="s">
        <v>2882</v>
      </c>
      <c r="RSX1338" s="4" t="s">
        <v>2882</v>
      </c>
      <c r="RSY1338" s="4" t="s">
        <v>2882</v>
      </c>
      <c r="RSZ1338" s="4" t="s">
        <v>2882</v>
      </c>
      <c r="RTA1338" s="4" t="s">
        <v>2882</v>
      </c>
      <c r="RTB1338" s="4" t="s">
        <v>2882</v>
      </c>
      <c r="RTC1338" s="4" t="s">
        <v>2882</v>
      </c>
      <c r="RTD1338" s="4" t="s">
        <v>2882</v>
      </c>
      <c r="RTE1338" s="4" t="s">
        <v>2882</v>
      </c>
      <c r="RTF1338" s="4" t="s">
        <v>2882</v>
      </c>
      <c r="RTG1338" s="4" t="s">
        <v>2882</v>
      </c>
      <c r="RTH1338" s="4" t="s">
        <v>2882</v>
      </c>
      <c r="RTI1338" s="4" t="s">
        <v>2882</v>
      </c>
      <c r="RTJ1338" s="4" t="s">
        <v>2882</v>
      </c>
      <c r="RTK1338" s="4" t="s">
        <v>2882</v>
      </c>
      <c r="RTL1338" s="4" t="s">
        <v>2882</v>
      </c>
      <c r="RTM1338" s="4" t="s">
        <v>2882</v>
      </c>
      <c r="RTN1338" s="4" t="s">
        <v>2882</v>
      </c>
      <c r="RTO1338" s="4" t="s">
        <v>2882</v>
      </c>
      <c r="RTP1338" s="4" t="s">
        <v>2882</v>
      </c>
      <c r="RTQ1338" s="4" t="s">
        <v>2882</v>
      </c>
      <c r="RTR1338" s="4" t="s">
        <v>2882</v>
      </c>
      <c r="RTS1338" s="4" t="s">
        <v>2882</v>
      </c>
      <c r="RTT1338" s="4" t="s">
        <v>2882</v>
      </c>
      <c r="RTU1338" s="4" t="s">
        <v>2882</v>
      </c>
      <c r="RTV1338" s="4" t="s">
        <v>2882</v>
      </c>
      <c r="RTW1338" s="4" t="s">
        <v>2882</v>
      </c>
      <c r="RTX1338" s="4" t="s">
        <v>2882</v>
      </c>
      <c r="RTY1338" s="4" t="s">
        <v>2882</v>
      </c>
      <c r="RTZ1338" s="4" t="s">
        <v>2882</v>
      </c>
      <c r="RUA1338" s="4" t="s">
        <v>2882</v>
      </c>
      <c r="RUB1338" s="4" t="s">
        <v>2882</v>
      </c>
      <c r="RUC1338" s="4" t="s">
        <v>2882</v>
      </c>
      <c r="RUD1338" s="4" t="s">
        <v>2882</v>
      </c>
      <c r="RUE1338" s="4" t="s">
        <v>2882</v>
      </c>
      <c r="RUF1338" s="4" t="s">
        <v>2882</v>
      </c>
      <c r="RUG1338" s="4" t="s">
        <v>2882</v>
      </c>
      <c r="RUH1338" s="4" t="s">
        <v>2882</v>
      </c>
      <c r="RUI1338" s="4" t="s">
        <v>2882</v>
      </c>
      <c r="RUJ1338" s="4" t="s">
        <v>2882</v>
      </c>
      <c r="RUK1338" s="4" t="s">
        <v>2882</v>
      </c>
      <c r="RUL1338" s="4" t="s">
        <v>2882</v>
      </c>
      <c r="RUM1338" s="4" t="s">
        <v>2882</v>
      </c>
      <c r="RUN1338" s="4" t="s">
        <v>2882</v>
      </c>
      <c r="RUO1338" s="4" t="s">
        <v>2882</v>
      </c>
      <c r="RUP1338" s="4" t="s">
        <v>2882</v>
      </c>
      <c r="RUQ1338" s="4" t="s">
        <v>2882</v>
      </c>
      <c r="RUR1338" s="4" t="s">
        <v>2882</v>
      </c>
      <c r="RUS1338" s="4" t="s">
        <v>2882</v>
      </c>
      <c r="RUT1338" s="4" t="s">
        <v>2882</v>
      </c>
      <c r="RUU1338" s="4" t="s">
        <v>2882</v>
      </c>
      <c r="RUV1338" s="4" t="s">
        <v>2882</v>
      </c>
      <c r="RUW1338" s="4" t="s">
        <v>2882</v>
      </c>
      <c r="RUX1338" s="4" t="s">
        <v>2882</v>
      </c>
      <c r="RUY1338" s="4" t="s">
        <v>2882</v>
      </c>
      <c r="RUZ1338" s="4" t="s">
        <v>2882</v>
      </c>
      <c r="RVA1338" s="4" t="s">
        <v>2882</v>
      </c>
      <c r="RVB1338" s="4" t="s">
        <v>2882</v>
      </c>
      <c r="RVC1338" s="4" t="s">
        <v>2882</v>
      </c>
      <c r="RVD1338" s="4" t="s">
        <v>2882</v>
      </c>
      <c r="RVE1338" s="4" t="s">
        <v>2882</v>
      </c>
      <c r="RVF1338" s="4" t="s">
        <v>2882</v>
      </c>
      <c r="RVG1338" s="4" t="s">
        <v>2882</v>
      </c>
      <c r="RVH1338" s="4" t="s">
        <v>2882</v>
      </c>
      <c r="RVI1338" s="4" t="s">
        <v>2882</v>
      </c>
      <c r="RVJ1338" s="4" t="s">
        <v>2882</v>
      </c>
      <c r="RVK1338" s="4" t="s">
        <v>2882</v>
      </c>
      <c r="RVL1338" s="4" t="s">
        <v>2882</v>
      </c>
      <c r="RVM1338" s="4" t="s">
        <v>2882</v>
      </c>
      <c r="RVN1338" s="4" t="s">
        <v>2882</v>
      </c>
      <c r="RVO1338" s="4" t="s">
        <v>2882</v>
      </c>
      <c r="RVP1338" s="4" t="s">
        <v>2882</v>
      </c>
      <c r="RVQ1338" s="4" t="s">
        <v>2882</v>
      </c>
      <c r="RVR1338" s="4" t="s">
        <v>2882</v>
      </c>
      <c r="RVS1338" s="4" t="s">
        <v>2882</v>
      </c>
      <c r="RVT1338" s="4" t="s">
        <v>2882</v>
      </c>
      <c r="RVU1338" s="4" t="s">
        <v>2882</v>
      </c>
      <c r="RVV1338" s="4" t="s">
        <v>2882</v>
      </c>
      <c r="RVW1338" s="4" t="s">
        <v>2882</v>
      </c>
      <c r="RVX1338" s="4" t="s">
        <v>2882</v>
      </c>
      <c r="RVY1338" s="4" t="s">
        <v>2882</v>
      </c>
      <c r="RVZ1338" s="4" t="s">
        <v>2882</v>
      </c>
      <c r="RWA1338" s="4" t="s">
        <v>2882</v>
      </c>
      <c r="RWB1338" s="4" t="s">
        <v>2882</v>
      </c>
      <c r="RWC1338" s="4" t="s">
        <v>2882</v>
      </c>
      <c r="RWD1338" s="4" t="s">
        <v>2882</v>
      </c>
      <c r="RWE1338" s="4" t="s">
        <v>2882</v>
      </c>
      <c r="RWF1338" s="4" t="s">
        <v>2882</v>
      </c>
      <c r="RWG1338" s="4" t="s">
        <v>2882</v>
      </c>
      <c r="RWH1338" s="4" t="s">
        <v>2882</v>
      </c>
      <c r="RWI1338" s="4" t="s">
        <v>2882</v>
      </c>
      <c r="RWJ1338" s="4" t="s">
        <v>2882</v>
      </c>
      <c r="RWK1338" s="4" t="s">
        <v>2882</v>
      </c>
      <c r="RWL1338" s="4" t="s">
        <v>2882</v>
      </c>
      <c r="RWM1338" s="4" t="s">
        <v>2882</v>
      </c>
      <c r="RWN1338" s="4" t="s">
        <v>2882</v>
      </c>
      <c r="RWO1338" s="4" t="s">
        <v>2882</v>
      </c>
      <c r="RWP1338" s="4" t="s">
        <v>2882</v>
      </c>
      <c r="RWQ1338" s="4" t="s">
        <v>2882</v>
      </c>
      <c r="RWR1338" s="4" t="s">
        <v>2882</v>
      </c>
      <c r="RWS1338" s="4" t="s">
        <v>2882</v>
      </c>
      <c r="RWT1338" s="4" t="s">
        <v>2882</v>
      </c>
      <c r="RWU1338" s="4" t="s">
        <v>2882</v>
      </c>
      <c r="RWV1338" s="4" t="s">
        <v>2882</v>
      </c>
      <c r="RWW1338" s="4" t="s">
        <v>2882</v>
      </c>
      <c r="RWX1338" s="4" t="s">
        <v>2882</v>
      </c>
      <c r="RWY1338" s="4" t="s">
        <v>2882</v>
      </c>
      <c r="RWZ1338" s="4" t="s">
        <v>2882</v>
      </c>
      <c r="RXA1338" s="4" t="s">
        <v>2882</v>
      </c>
      <c r="RXB1338" s="4" t="s">
        <v>2882</v>
      </c>
      <c r="RXC1338" s="4" t="s">
        <v>2882</v>
      </c>
      <c r="RXD1338" s="4" t="s">
        <v>2882</v>
      </c>
      <c r="RXE1338" s="4" t="s">
        <v>2882</v>
      </c>
      <c r="RXF1338" s="4" t="s">
        <v>2882</v>
      </c>
      <c r="RXG1338" s="4" t="s">
        <v>2882</v>
      </c>
      <c r="RXH1338" s="4" t="s">
        <v>2882</v>
      </c>
      <c r="RXI1338" s="4" t="s">
        <v>2882</v>
      </c>
      <c r="RXJ1338" s="4" t="s">
        <v>2882</v>
      </c>
      <c r="RXK1338" s="4" t="s">
        <v>2882</v>
      </c>
      <c r="RXL1338" s="4" t="s">
        <v>2882</v>
      </c>
      <c r="RXM1338" s="4" t="s">
        <v>2882</v>
      </c>
      <c r="RXN1338" s="4" t="s">
        <v>2882</v>
      </c>
      <c r="RXO1338" s="4" t="s">
        <v>2882</v>
      </c>
      <c r="RXP1338" s="4" t="s">
        <v>2882</v>
      </c>
      <c r="RXQ1338" s="4" t="s">
        <v>2882</v>
      </c>
      <c r="RXR1338" s="4" t="s">
        <v>2882</v>
      </c>
      <c r="RXS1338" s="4" t="s">
        <v>2882</v>
      </c>
      <c r="RXT1338" s="4" t="s">
        <v>2882</v>
      </c>
      <c r="RXU1338" s="4" t="s">
        <v>2882</v>
      </c>
      <c r="RXV1338" s="4" t="s">
        <v>2882</v>
      </c>
      <c r="RXW1338" s="4" t="s">
        <v>2882</v>
      </c>
      <c r="RXX1338" s="4" t="s">
        <v>2882</v>
      </c>
      <c r="RXY1338" s="4" t="s">
        <v>2882</v>
      </c>
      <c r="RXZ1338" s="4" t="s">
        <v>2882</v>
      </c>
      <c r="RYA1338" s="4" t="s">
        <v>2882</v>
      </c>
      <c r="RYB1338" s="4" t="s">
        <v>2882</v>
      </c>
      <c r="RYC1338" s="4" t="s">
        <v>2882</v>
      </c>
      <c r="RYD1338" s="4" t="s">
        <v>2882</v>
      </c>
      <c r="RYE1338" s="4" t="s">
        <v>2882</v>
      </c>
      <c r="RYF1338" s="4" t="s">
        <v>2882</v>
      </c>
      <c r="RYG1338" s="4" t="s">
        <v>2882</v>
      </c>
      <c r="RYH1338" s="4" t="s">
        <v>2882</v>
      </c>
      <c r="RYI1338" s="4" t="s">
        <v>2882</v>
      </c>
      <c r="RYJ1338" s="4" t="s">
        <v>2882</v>
      </c>
      <c r="RYK1338" s="4" t="s">
        <v>2882</v>
      </c>
      <c r="RYL1338" s="4" t="s">
        <v>2882</v>
      </c>
      <c r="RYM1338" s="4" t="s">
        <v>2882</v>
      </c>
      <c r="RYN1338" s="4" t="s">
        <v>2882</v>
      </c>
      <c r="RYO1338" s="4" t="s">
        <v>2882</v>
      </c>
      <c r="RYP1338" s="4" t="s">
        <v>2882</v>
      </c>
      <c r="RYQ1338" s="4" t="s">
        <v>2882</v>
      </c>
      <c r="RYR1338" s="4" t="s">
        <v>2882</v>
      </c>
      <c r="RYS1338" s="4" t="s">
        <v>2882</v>
      </c>
      <c r="RYT1338" s="4" t="s">
        <v>2882</v>
      </c>
      <c r="RYU1338" s="4" t="s">
        <v>2882</v>
      </c>
      <c r="RYV1338" s="4" t="s">
        <v>2882</v>
      </c>
      <c r="RYW1338" s="4" t="s">
        <v>2882</v>
      </c>
      <c r="RYX1338" s="4" t="s">
        <v>2882</v>
      </c>
      <c r="RYY1338" s="4" t="s">
        <v>2882</v>
      </c>
      <c r="RYZ1338" s="4" t="s">
        <v>2882</v>
      </c>
      <c r="RZA1338" s="4" t="s">
        <v>2882</v>
      </c>
      <c r="RZB1338" s="4" t="s">
        <v>2882</v>
      </c>
      <c r="RZC1338" s="4" t="s">
        <v>2882</v>
      </c>
      <c r="RZD1338" s="4" t="s">
        <v>2882</v>
      </c>
      <c r="RZE1338" s="4" t="s">
        <v>2882</v>
      </c>
      <c r="RZF1338" s="4" t="s">
        <v>2882</v>
      </c>
      <c r="RZG1338" s="4" t="s">
        <v>2882</v>
      </c>
      <c r="RZH1338" s="4" t="s">
        <v>2882</v>
      </c>
      <c r="RZI1338" s="4" t="s">
        <v>2882</v>
      </c>
      <c r="RZJ1338" s="4" t="s">
        <v>2882</v>
      </c>
      <c r="RZK1338" s="4" t="s">
        <v>2882</v>
      </c>
      <c r="RZL1338" s="4" t="s">
        <v>2882</v>
      </c>
      <c r="RZM1338" s="4" t="s">
        <v>2882</v>
      </c>
      <c r="RZN1338" s="4" t="s">
        <v>2882</v>
      </c>
      <c r="RZO1338" s="4" t="s">
        <v>2882</v>
      </c>
      <c r="RZP1338" s="4" t="s">
        <v>2882</v>
      </c>
      <c r="RZQ1338" s="4" t="s">
        <v>2882</v>
      </c>
      <c r="RZR1338" s="4" t="s">
        <v>2882</v>
      </c>
      <c r="RZS1338" s="4" t="s">
        <v>2882</v>
      </c>
      <c r="RZT1338" s="4" t="s">
        <v>2882</v>
      </c>
      <c r="RZU1338" s="4" t="s">
        <v>2882</v>
      </c>
      <c r="RZV1338" s="4" t="s">
        <v>2882</v>
      </c>
      <c r="RZW1338" s="4" t="s">
        <v>2882</v>
      </c>
      <c r="RZX1338" s="4" t="s">
        <v>2882</v>
      </c>
      <c r="RZY1338" s="4" t="s">
        <v>2882</v>
      </c>
      <c r="RZZ1338" s="4" t="s">
        <v>2882</v>
      </c>
      <c r="SAA1338" s="4" t="s">
        <v>2882</v>
      </c>
      <c r="SAB1338" s="4" t="s">
        <v>2882</v>
      </c>
      <c r="SAC1338" s="4" t="s">
        <v>2882</v>
      </c>
      <c r="SAD1338" s="4" t="s">
        <v>2882</v>
      </c>
      <c r="SAE1338" s="4" t="s">
        <v>2882</v>
      </c>
      <c r="SAF1338" s="4" t="s">
        <v>2882</v>
      </c>
      <c r="SAG1338" s="4" t="s">
        <v>2882</v>
      </c>
      <c r="SAH1338" s="4" t="s">
        <v>2882</v>
      </c>
      <c r="SAI1338" s="4" t="s">
        <v>2882</v>
      </c>
      <c r="SAJ1338" s="4" t="s">
        <v>2882</v>
      </c>
      <c r="SAK1338" s="4" t="s">
        <v>2882</v>
      </c>
      <c r="SAL1338" s="4" t="s">
        <v>2882</v>
      </c>
      <c r="SAM1338" s="4" t="s">
        <v>2882</v>
      </c>
      <c r="SAN1338" s="4" t="s">
        <v>2882</v>
      </c>
      <c r="SAO1338" s="4" t="s">
        <v>2882</v>
      </c>
      <c r="SAP1338" s="4" t="s">
        <v>2882</v>
      </c>
      <c r="SAQ1338" s="4" t="s">
        <v>2882</v>
      </c>
      <c r="SAR1338" s="4" t="s">
        <v>2882</v>
      </c>
      <c r="SAS1338" s="4" t="s">
        <v>2882</v>
      </c>
      <c r="SAT1338" s="4" t="s">
        <v>2882</v>
      </c>
      <c r="SAU1338" s="4" t="s">
        <v>2882</v>
      </c>
      <c r="SAV1338" s="4" t="s">
        <v>2882</v>
      </c>
      <c r="SAW1338" s="4" t="s">
        <v>2882</v>
      </c>
      <c r="SAX1338" s="4" t="s">
        <v>2882</v>
      </c>
      <c r="SAY1338" s="4" t="s">
        <v>2882</v>
      </c>
      <c r="SAZ1338" s="4" t="s">
        <v>2882</v>
      </c>
      <c r="SBA1338" s="4" t="s">
        <v>2882</v>
      </c>
      <c r="SBB1338" s="4" t="s">
        <v>2882</v>
      </c>
      <c r="SBC1338" s="4" t="s">
        <v>2882</v>
      </c>
      <c r="SBD1338" s="4" t="s">
        <v>2882</v>
      </c>
      <c r="SBE1338" s="4" t="s">
        <v>2882</v>
      </c>
      <c r="SBF1338" s="4" t="s">
        <v>2882</v>
      </c>
      <c r="SBG1338" s="4" t="s">
        <v>2882</v>
      </c>
      <c r="SBH1338" s="4" t="s">
        <v>2882</v>
      </c>
      <c r="SBI1338" s="4" t="s">
        <v>2882</v>
      </c>
      <c r="SBJ1338" s="4" t="s">
        <v>2882</v>
      </c>
      <c r="SBK1338" s="4" t="s">
        <v>2882</v>
      </c>
      <c r="SBL1338" s="4" t="s">
        <v>2882</v>
      </c>
      <c r="SBM1338" s="4" t="s">
        <v>2882</v>
      </c>
      <c r="SBN1338" s="4" t="s">
        <v>2882</v>
      </c>
      <c r="SBO1338" s="4" t="s">
        <v>2882</v>
      </c>
      <c r="SBP1338" s="4" t="s">
        <v>2882</v>
      </c>
      <c r="SBQ1338" s="4" t="s">
        <v>2882</v>
      </c>
      <c r="SBR1338" s="4" t="s">
        <v>2882</v>
      </c>
      <c r="SBS1338" s="4" t="s">
        <v>2882</v>
      </c>
      <c r="SBT1338" s="4" t="s">
        <v>2882</v>
      </c>
      <c r="SBU1338" s="4" t="s">
        <v>2882</v>
      </c>
      <c r="SBV1338" s="4" t="s">
        <v>2882</v>
      </c>
      <c r="SBW1338" s="4" t="s">
        <v>2882</v>
      </c>
      <c r="SBX1338" s="4" t="s">
        <v>2882</v>
      </c>
      <c r="SBY1338" s="4" t="s">
        <v>2882</v>
      </c>
      <c r="SBZ1338" s="4" t="s">
        <v>2882</v>
      </c>
      <c r="SCA1338" s="4" t="s">
        <v>2882</v>
      </c>
      <c r="SCB1338" s="4" t="s">
        <v>2882</v>
      </c>
      <c r="SCC1338" s="4" t="s">
        <v>2882</v>
      </c>
      <c r="SCD1338" s="4" t="s">
        <v>2882</v>
      </c>
      <c r="SCE1338" s="4" t="s">
        <v>2882</v>
      </c>
      <c r="SCF1338" s="4" t="s">
        <v>2882</v>
      </c>
      <c r="SCG1338" s="4" t="s">
        <v>2882</v>
      </c>
      <c r="SCH1338" s="4" t="s">
        <v>2882</v>
      </c>
      <c r="SCI1338" s="4" t="s">
        <v>2882</v>
      </c>
      <c r="SCJ1338" s="4" t="s">
        <v>2882</v>
      </c>
      <c r="SCK1338" s="4" t="s">
        <v>2882</v>
      </c>
      <c r="SCL1338" s="4" t="s">
        <v>2882</v>
      </c>
      <c r="SCM1338" s="4" t="s">
        <v>2882</v>
      </c>
      <c r="SCN1338" s="4" t="s">
        <v>2882</v>
      </c>
      <c r="SCO1338" s="4" t="s">
        <v>2882</v>
      </c>
      <c r="SCP1338" s="4" t="s">
        <v>2882</v>
      </c>
      <c r="SCQ1338" s="4" t="s">
        <v>2882</v>
      </c>
      <c r="SCR1338" s="4" t="s">
        <v>2882</v>
      </c>
      <c r="SCS1338" s="4" t="s">
        <v>2882</v>
      </c>
      <c r="SCT1338" s="4" t="s">
        <v>2882</v>
      </c>
      <c r="SCU1338" s="4" t="s">
        <v>2882</v>
      </c>
      <c r="SCV1338" s="4" t="s">
        <v>2882</v>
      </c>
      <c r="SCW1338" s="4" t="s">
        <v>2882</v>
      </c>
      <c r="SCX1338" s="4" t="s">
        <v>2882</v>
      </c>
      <c r="SCY1338" s="4" t="s">
        <v>2882</v>
      </c>
      <c r="SCZ1338" s="4" t="s">
        <v>2882</v>
      </c>
      <c r="SDA1338" s="4" t="s">
        <v>2882</v>
      </c>
      <c r="SDB1338" s="4" t="s">
        <v>2882</v>
      </c>
      <c r="SDC1338" s="4" t="s">
        <v>2882</v>
      </c>
      <c r="SDD1338" s="4" t="s">
        <v>2882</v>
      </c>
      <c r="SDE1338" s="4" t="s">
        <v>2882</v>
      </c>
      <c r="SDF1338" s="4" t="s">
        <v>2882</v>
      </c>
      <c r="SDG1338" s="4" t="s">
        <v>2882</v>
      </c>
      <c r="SDH1338" s="4" t="s">
        <v>2882</v>
      </c>
      <c r="SDI1338" s="4" t="s">
        <v>2882</v>
      </c>
      <c r="SDJ1338" s="4" t="s">
        <v>2882</v>
      </c>
      <c r="SDK1338" s="4" t="s">
        <v>2882</v>
      </c>
      <c r="SDL1338" s="4" t="s">
        <v>2882</v>
      </c>
      <c r="SDM1338" s="4" t="s">
        <v>2882</v>
      </c>
      <c r="SDN1338" s="4" t="s">
        <v>2882</v>
      </c>
      <c r="SDO1338" s="4" t="s">
        <v>2882</v>
      </c>
      <c r="SDP1338" s="4" t="s">
        <v>2882</v>
      </c>
      <c r="SDQ1338" s="4" t="s">
        <v>2882</v>
      </c>
      <c r="SDR1338" s="4" t="s">
        <v>2882</v>
      </c>
      <c r="SDS1338" s="4" t="s">
        <v>2882</v>
      </c>
      <c r="SDT1338" s="4" t="s">
        <v>2882</v>
      </c>
      <c r="SDU1338" s="4" t="s">
        <v>2882</v>
      </c>
      <c r="SDV1338" s="4" t="s">
        <v>2882</v>
      </c>
      <c r="SDW1338" s="4" t="s">
        <v>2882</v>
      </c>
      <c r="SDX1338" s="4" t="s">
        <v>2882</v>
      </c>
      <c r="SDY1338" s="4" t="s">
        <v>2882</v>
      </c>
      <c r="SDZ1338" s="4" t="s">
        <v>2882</v>
      </c>
      <c r="SEA1338" s="4" t="s">
        <v>2882</v>
      </c>
      <c r="SEB1338" s="4" t="s">
        <v>2882</v>
      </c>
      <c r="SEC1338" s="4" t="s">
        <v>2882</v>
      </c>
      <c r="SED1338" s="4" t="s">
        <v>2882</v>
      </c>
      <c r="SEE1338" s="4" t="s">
        <v>2882</v>
      </c>
      <c r="SEF1338" s="4" t="s">
        <v>2882</v>
      </c>
      <c r="SEG1338" s="4" t="s">
        <v>2882</v>
      </c>
      <c r="SEH1338" s="4" t="s">
        <v>2882</v>
      </c>
      <c r="SEI1338" s="4" t="s">
        <v>2882</v>
      </c>
      <c r="SEJ1338" s="4" t="s">
        <v>2882</v>
      </c>
      <c r="SEK1338" s="4" t="s">
        <v>2882</v>
      </c>
      <c r="SEL1338" s="4" t="s">
        <v>2882</v>
      </c>
      <c r="SEM1338" s="4" t="s">
        <v>2882</v>
      </c>
      <c r="SEN1338" s="4" t="s">
        <v>2882</v>
      </c>
      <c r="SEO1338" s="4" t="s">
        <v>2882</v>
      </c>
      <c r="SEP1338" s="4" t="s">
        <v>2882</v>
      </c>
      <c r="SEQ1338" s="4" t="s">
        <v>2882</v>
      </c>
      <c r="SER1338" s="4" t="s">
        <v>2882</v>
      </c>
      <c r="SES1338" s="4" t="s">
        <v>2882</v>
      </c>
      <c r="SET1338" s="4" t="s">
        <v>2882</v>
      </c>
      <c r="SEU1338" s="4" t="s">
        <v>2882</v>
      </c>
      <c r="SEV1338" s="4" t="s">
        <v>2882</v>
      </c>
      <c r="SEW1338" s="4" t="s">
        <v>2882</v>
      </c>
      <c r="SEX1338" s="4" t="s">
        <v>2882</v>
      </c>
      <c r="SEY1338" s="4" t="s">
        <v>2882</v>
      </c>
      <c r="SEZ1338" s="4" t="s">
        <v>2882</v>
      </c>
      <c r="SFA1338" s="4" t="s">
        <v>2882</v>
      </c>
      <c r="SFB1338" s="4" t="s">
        <v>2882</v>
      </c>
      <c r="SFC1338" s="4" t="s">
        <v>2882</v>
      </c>
      <c r="SFD1338" s="4" t="s">
        <v>2882</v>
      </c>
      <c r="SFE1338" s="4" t="s">
        <v>2882</v>
      </c>
      <c r="SFF1338" s="4" t="s">
        <v>2882</v>
      </c>
      <c r="SFG1338" s="4" t="s">
        <v>2882</v>
      </c>
      <c r="SFH1338" s="4" t="s">
        <v>2882</v>
      </c>
      <c r="SFI1338" s="4" t="s">
        <v>2882</v>
      </c>
      <c r="SFJ1338" s="4" t="s">
        <v>2882</v>
      </c>
      <c r="SFK1338" s="4" t="s">
        <v>2882</v>
      </c>
      <c r="SFL1338" s="4" t="s">
        <v>2882</v>
      </c>
      <c r="SFM1338" s="4" t="s">
        <v>2882</v>
      </c>
      <c r="SFN1338" s="4" t="s">
        <v>2882</v>
      </c>
      <c r="SFO1338" s="4" t="s">
        <v>2882</v>
      </c>
      <c r="SFP1338" s="4" t="s">
        <v>2882</v>
      </c>
      <c r="SFQ1338" s="4" t="s">
        <v>2882</v>
      </c>
      <c r="SFR1338" s="4" t="s">
        <v>2882</v>
      </c>
      <c r="SFS1338" s="4" t="s">
        <v>2882</v>
      </c>
      <c r="SFT1338" s="4" t="s">
        <v>2882</v>
      </c>
      <c r="SFU1338" s="4" t="s">
        <v>2882</v>
      </c>
      <c r="SFV1338" s="4" t="s">
        <v>2882</v>
      </c>
      <c r="SFW1338" s="4" t="s">
        <v>2882</v>
      </c>
      <c r="SFX1338" s="4" t="s">
        <v>2882</v>
      </c>
      <c r="SFY1338" s="4" t="s">
        <v>2882</v>
      </c>
      <c r="SFZ1338" s="4" t="s">
        <v>2882</v>
      </c>
      <c r="SGA1338" s="4" t="s">
        <v>2882</v>
      </c>
      <c r="SGB1338" s="4" t="s">
        <v>2882</v>
      </c>
      <c r="SGC1338" s="4" t="s">
        <v>2882</v>
      </c>
      <c r="SGD1338" s="4" t="s">
        <v>2882</v>
      </c>
      <c r="SGE1338" s="4" t="s">
        <v>2882</v>
      </c>
      <c r="SGF1338" s="4" t="s">
        <v>2882</v>
      </c>
      <c r="SGG1338" s="4" t="s">
        <v>2882</v>
      </c>
      <c r="SGH1338" s="4" t="s">
        <v>2882</v>
      </c>
      <c r="SGI1338" s="4" t="s">
        <v>2882</v>
      </c>
      <c r="SGJ1338" s="4" t="s">
        <v>2882</v>
      </c>
      <c r="SGK1338" s="4" t="s">
        <v>2882</v>
      </c>
      <c r="SGL1338" s="4" t="s">
        <v>2882</v>
      </c>
      <c r="SGM1338" s="4" t="s">
        <v>2882</v>
      </c>
      <c r="SGN1338" s="4" t="s">
        <v>2882</v>
      </c>
      <c r="SGO1338" s="4" t="s">
        <v>2882</v>
      </c>
      <c r="SGP1338" s="4" t="s">
        <v>2882</v>
      </c>
      <c r="SGQ1338" s="4" t="s">
        <v>2882</v>
      </c>
      <c r="SGR1338" s="4" t="s">
        <v>2882</v>
      </c>
      <c r="SGS1338" s="4" t="s">
        <v>2882</v>
      </c>
      <c r="SGT1338" s="4" t="s">
        <v>2882</v>
      </c>
      <c r="SGU1338" s="4" t="s">
        <v>2882</v>
      </c>
      <c r="SGV1338" s="4" t="s">
        <v>2882</v>
      </c>
      <c r="SGW1338" s="4" t="s">
        <v>2882</v>
      </c>
      <c r="SGX1338" s="4" t="s">
        <v>2882</v>
      </c>
      <c r="SGY1338" s="4" t="s">
        <v>2882</v>
      </c>
      <c r="SGZ1338" s="4" t="s">
        <v>2882</v>
      </c>
      <c r="SHA1338" s="4" t="s">
        <v>2882</v>
      </c>
      <c r="SHB1338" s="4" t="s">
        <v>2882</v>
      </c>
      <c r="SHC1338" s="4" t="s">
        <v>2882</v>
      </c>
      <c r="SHD1338" s="4" t="s">
        <v>2882</v>
      </c>
      <c r="SHE1338" s="4" t="s">
        <v>2882</v>
      </c>
      <c r="SHF1338" s="4" t="s">
        <v>2882</v>
      </c>
      <c r="SHG1338" s="4" t="s">
        <v>2882</v>
      </c>
      <c r="SHH1338" s="4" t="s">
        <v>2882</v>
      </c>
      <c r="SHI1338" s="4" t="s">
        <v>2882</v>
      </c>
      <c r="SHJ1338" s="4" t="s">
        <v>2882</v>
      </c>
      <c r="SHK1338" s="4" t="s">
        <v>2882</v>
      </c>
      <c r="SHL1338" s="4" t="s">
        <v>2882</v>
      </c>
      <c r="SHM1338" s="4" t="s">
        <v>2882</v>
      </c>
      <c r="SHN1338" s="4" t="s">
        <v>2882</v>
      </c>
      <c r="SHO1338" s="4" t="s">
        <v>2882</v>
      </c>
      <c r="SHP1338" s="4" t="s">
        <v>2882</v>
      </c>
      <c r="SHQ1338" s="4" t="s">
        <v>2882</v>
      </c>
      <c r="SHR1338" s="4" t="s">
        <v>2882</v>
      </c>
      <c r="SHS1338" s="4" t="s">
        <v>2882</v>
      </c>
      <c r="SHT1338" s="4" t="s">
        <v>2882</v>
      </c>
      <c r="SHU1338" s="4" t="s">
        <v>2882</v>
      </c>
      <c r="SHV1338" s="4" t="s">
        <v>2882</v>
      </c>
      <c r="SHW1338" s="4" t="s">
        <v>2882</v>
      </c>
      <c r="SHX1338" s="4" t="s">
        <v>2882</v>
      </c>
      <c r="SHY1338" s="4" t="s">
        <v>2882</v>
      </c>
      <c r="SHZ1338" s="4" t="s">
        <v>2882</v>
      </c>
      <c r="SIA1338" s="4" t="s">
        <v>2882</v>
      </c>
      <c r="SIB1338" s="4" t="s">
        <v>2882</v>
      </c>
      <c r="SIC1338" s="4" t="s">
        <v>2882</v>
      </c>
      <c r="SID1338" s="4" t="s">
        <v>2882</v>
      </c>
      <c r="SIE1338" s="4" t="s">
        <v>2882</v>
      </c>
      <c r="SIF1338" s="4" t="s">
        <v>2882</v>
      </c>
      <c r="SIG1338" s="4" t="s">
        <v>2882</v>
      </c>
      <c r="SIH1338" s="4" t="s">
        <v>2882</v>
      </c>
      <c r="SII1338" s="4" t="s">
        <v>2882</v>
      </c>
      <c r="SIJ1338" s="4" t="s">
        <v>2882</v>
      </c>
      <c r="SIK1338" s="4" t="s">
        <v>2882</v>
      </c>
      <c r="SIL1338" s="4" t="s">
        <v>2882</v>
      </c>
      <c r="SIM1338" s="4" t="s">
        <v>2882</v>
      </c>
      <c r="SIN1338" s="4" t="s">
        <v>2882</v>
      </c>
      <c r="SIO1338" s="4" t="s">
        <v>2882</v>
      </c>
      <c r="SIP1338" s="4" t="s">
        <v>2882</v>
      </c>
      <c r="SIQ1338" s="4" t="s">
        <v>2882</v>
      </c>
      <c r="SIR1338" s="4" t="s">
        <v>2882</v>
      </c>
      <c r="SIS1338" s="4" t="s">
        <v>2882</v>
      </c>
      <c r="SIT1338" s="4" t="s">
        <v>2882</v>
      </c>
      <c r="SIU1338" s="4" t="s">
        <v>2882</v>
      </c>
      <c r="SIV1338" s="4" t="s">
        <v>2882</v>
      </c>
      <c r="SIW1338" s="4" t="s">
        <v>2882</v>
      </c>
      <c r="SIX1338" s="4" t="s">
        <v>2882</v>
      </c>
      <c r="SIY1338" s="4" t="s">
        <v>2882</v>
      </c>
      <c r="SIZ1338" s="4" t="s">
        <v>2882</v>
      </c>
      <c r="SJA1338" s="4" t="s">
        <v>2882</v>
      </c>
      <c r="SJB1338" s="4" t="s">
        <v>2882</v>
      </c>
      <c r="SJC1338" s="4" t="s">
        <v>2882</v>
      </c>
      <c r="SJD1338" s="4" t="s">
        <v>2882</v>
      </c>
      <c r="SJE1338" s="4" t="s">
        <v>2882</v>
      </c>
      <c r="SJF1338" s="4" t="s">
        <v>2882</v>
      </c>
      <c r="SJG1338" s="4" t="s">
        <v>2882</v>
      </c>
      <c r="SJH1338" s="4" t="s">
        <v>2882</v>
      </c>
      <c r="SJI1338" s="4" t="s">
        <v>2882</v>
      </c>
      <c r="SJJ1338" s="4" t="s">
        <v>2882</v>
      </c>
      <c r="SJK1338" s="4" t="s">
        <v>2882</v>
      </c>
      <c r="SJL1338" s="4" t="s">
        <v>2882</v>
      </c>
      <c r="SJM1338" s="4" t="s">
        <v>2882</v>
      </c>
      <c r="SJN1338" s="4" t="s">
        <v>2882</v>
      </c>
      <c r="SJO1338" s="4" t="s">
        <v>2882</v>
      </c>
      <c r="SJP1338" s="4" t="s">
        <v>2882</v>
      </c>
      <c r="SJQ1338" s="4" t="s">
        <v>2882</v>
      </c>
      <c r="SJR1338" s="4" t="s">
        <v>2882</v>
      </c>
      <c r="SJS1338" s="4" t="s">
        <v>2882</v>
      </c>
      <c r="SJT1338" s="4" t="s">
        <v>2882</v>
      </c>
      <c r="SJU1338" s="4" t="s">
        <v>2882</v>
      </c>
      <c r="SJV1338" s="4" t="s">
        <v>2882</v>
      </c>
      <c r="SJW1338" s="4" t="s">
        <v>2882</v>
      </c>
      <c r="SJX1338" s="4" t="s">
        <v>2882</v>
      </c>
      <c r="SJY1338" s="4" t="s">
        <v>2882</v>
      </c>
      <c r="SJZ1338" s="4" t="s">
        <v>2882</v>
      </c>
      <c r="SKA1338" s="4" t="s">
        <v>2882</v>
      </c>
      <c r="SKB1338" s="4" t="s">
        <v>2882</v>
      </c>
      <c r="SKC1338" s="4" t="s">
        <v>2882</v>
      </c>
      <c r="SKD1338" s="4" t="s">
        <v>2882</v>
      </c>
      <c r="SKE1338" s="4" t="s">
        <v>2882</v>
      </c>
      <c r="SKF1338" s="4" t="s">
        <v>2882</v>
      </c>
      <c r="SKG1338" s="4" t="s">
        <v>2882</v>
      </c>
      <c r="SKH1338" s="4" t="s">
        <v>2882</v>
      </c>
      <c r="SKI1338" s="4" t="s">
        <v>2882</v>
      </c>
      <c r="SKJ1338" s="4" t="s">
        <v>2882</v>
      </c>
      <c r="SKK1338" s="4" t="s">
        <v>2882</v>
      </c>
      <c r="SKL1338" s="4" t="s">
        <v>2882</v>
      </c>
      <c r="SKM1338" s="4" t="s">
        <v>2882</v>
      </c>
      <c r="SKN1338" s="4" t="s">
        <v>2882</v>
      </c>
      <c r="SKO1338" s="4" t="s">
        <v>2882</v>
      </c>
      <c r="SKP1338" s="4" t="s">
        <v>2882</v>
      </c>
      <c r="SKQ1338" s="4" t="s">
        <v>2882</v>
      </c>
      <c r="SKR1338" s="4" t="s">
        <v>2882</v>
      </c>
      <c r="SKS1338" s="4" t="s">
        <v>2882</v>
      </c>
      <c r="SKT1338" s="4" t="s">
        <v>2882</v>
      </c>
      <c r="SKU1338" s="4" t="s">
        <v>2882</v>
      </c>
      <c r="SKV1338" s="4" t="s">
        <v>2882</v>
      </c>
      <c r="SKW1338" s="4" t="s">
        <v>2882</v>
      </c>
      <c r="SKX1338" s="4" t="s">
        <v>2882</v>
      </c>
      <c r="SKY1338" s="4" t="s">
        <v>2882</v>
      </c>
      <c r="SKZ1338" s="4" t="s">
        <v>2882</v>
      </c>
      <c r="SLA1338" s="4" t="s">
        <v>2882</v>
      </c>
      <c r="SLB1338" s="4" t="s">
        <v>2882</v>
      </c>
      <c r="SLC1338" s="4" t="s">
        <v>2882</v>
      </c>
      <c r="SLD1338" s="4" t="s">
        <v>2882</v>
      </c>
      <c r="SLE1338" s="4" t="s">
        <v>2882</v>
      </c>
      <c r="SLF1338" s="4" t="s">
        <v>2882</v>
      </c>
      <c r="SLG1338" s="4" t="s">
        <v>2882</v>
      </c>
      <c r="SLH1338" s="4" t="s">
        <v>2882</v>
      </c>
      <c r="SLI1338" s="4" t="s">
        <v>2882</v>
      </c>
      <c r="SLJ1338" s="4" t="s">
        <v>2882</v>
      </c>
      <c r="SLK1338" s="4" t="s">
        <v>2882</v>
      </c>
      <c r="SLL1338" s="4" t="s">
        <v>2882</v>
      </c>
      <c r="SLM1338" s="4" t="s">
        <v>2882</v>
      </c>
      <c r="SLN1338" s="4" t="s">
        <v>2882</v>
      </c>
      <c r="SLO1338" s="4" t="s">
        <v>2882</v>
      </c>
      <c r="SLP1338" s="4" t="s">
        <v>2882</v>
      </c>
      <c r="SLQ1338" s="4" t="s">
        <v>2882</v>
      </c>
      <c r="SLR1338" s="4" t="s">
        <v>2882</v>
      </c>
      <c r="SLS1338" s="4" t="s">
        <v>2882</v>
      </c>
      <c r="SLT1338" s="4" t="s">
        <v>2882</v>
      </c>
      <c r="SLU1338" s="4" t="s">
        <v>2882</v>
      </c>
      <c r="SLV1338" s="4" t="s">
        <v>2882</v>
      </c>
      <c r="SLW1338" s="4" t="s">
        <v>2882</v>
      </c>
      <c r="SLX1338" s="4" t="s">
        <v>2882</v>
      </c>
      <c r="SLY1338" s="4" t="s">
        <v>2882</v>
      </c>
      <c r="SLZ1338" s="4" t="s">
        <v>2882</v>
      </c>
      <c r="SMA1338" s="4" t="s">
        <v>2882</v>
      </c>
      <c r="SMB1338" s="4" t="s">
        <v>2882</v>
      </c>
      <c r="SMC1338" s="4" t="s">
        <v>2882</v>
      </c>
      <c r="SMD1338" s="4" t="s">
        <v>2882</v>
      </c>
      <c r="SME1338" s="4" t="s">
        <v>2882</v>
      </c>
      <c r="SMF1338" s="4" t="s">
        <v>2882</v>
      </c>
      <c r="SMG1338" s="4" t="s">
        <v>2882</v>
      </c>
      <c r="SMH1338" s="4" t="s">
        <v>2882</v>
      </c>
      <c r="SMI1338" s="4" t="s">
        <v>2882</v>
      </c>
      <c r="SMJ1338" s="4" t="s">
        <v>2882</v>
      </c>
      <c r="SMK1338" s="4" t="s">
        <v>2882</v>
      </c>
      <c r="SML1338" s="4" t="s">
        <v>2882</v>
      </c>
      <c r="SMM1338" s="4" t="s">
        <v>2882</v>
      </c>
      <c r="SMN1338" s="4" t="s">
        <v>2882</v>
      </c>
      <c r="SMO1338" s="4" t="s">
        <v>2882</v>
      </c>
      <c r="SMP1338" s="4" t="s">
        <v>2882</v>
      </c>
      <c r="SMQ1338" s="4" t="s">
        <v>2882</v>
      </c>
      <c r="SMR1338" s="4" t="s">
        <v>2882</v>
      </c>
      <c r="SMS1338" s="4" t="s">
        <v>2882</v>
      </c>
      <c r="SMT1338" s="4" t="s">
        <v>2882</v>
      </c>
      <c r="SMU1338" s="4" t="s">
        <v>2882</v>
      </c>
      <c r="SMV1338" s="4" t="s">
        <v>2882</v>
      </c>
      <c r="SMW1338" s="4" t="s">
        <v>2882</v>
      </c>
      <c r="SMX1338" s="4" t="s">
        <v>2882</v>
      </c>
      <c r="SMY1338" s="4" t="s">
        <v>2882</v>
      </c>
      <c r="SMZ1338" s="4" t="s">
        <v>2882</v>
      </c>
      <c r="SNA1338" s="4" t="s">
        <v>2882</v>
      </c>
      <c r="SNB1338" s="4" t="s">
        <v>2882</v>
      </c>
      <c r="SNC1338" s="4" t="s">
        <v>2882</v>
      </c>
      <c r="SND1338" s="4" t="s">
        <v>2882</v>
      </c>
      <c r="SNE1338" s="4" t="s">
        <v>2882</v>
      </c>
      <c r="SNF1338" s="4" t="s">
        <v>2882</v>
      </c>
      <c r="SNG1338" s="4" t="s">
        <v>2882</v>
      </c>
      <c r="SNH1338" s="4" t="s">
        <v>2882</v>
      </c>
      <c r="SNI1338" s="4" t="s">
        <v>2882</v>
      </c>
      <c r="SNJ1338" s="4" t="s">
        <v>2882</v>
      </c>
      <c r="SNK1338" s="4" t="s">
        <v>2882</v>
      </c>
      <c r="SNL1338" s="4" t="s">
        <v>2882</v>
      </c>
      <c r="SNM1338" s="4" t="s">
        <v>2882</v>
      </c>
      <c r="SNN1338" s="4" t="s">
        <v>2882</v>
      </c>
      <c r="SNO1338" s="4" t="s">
        <v>2882</v>
      </c>
      <c r="SNP1338" s="4" t="s">
        <v>2882</v>
      </c>
      <c r="SNQ1338" s="4" t="s">
        <v>2882</v>
      </c>
      <c r="SNR1338" s="4" t="s">
        <v>2882</v>
      </c>
      <c r="SNS1338" s="4" t="s">
        <v>2882</v>
      </c>
      <c r="SNT1338" s="4" t="s">
        <v>2882</v>
      </c>
      <c r="SNU1338" s="4" t="s">
        <v>2882</v>
      </c>
      <c r="SNV1338" s="4" t="s">
        <v>2882</v>
      </c>
      <c r="SNW1338" s="4" t="s">
        <v>2882</v>
      </c>
      <c r="SNX1338" s="4" t="s">
        <v>2882</v>
      </c>
      <c r="SNY1338" s="4" t="s">
        <v>2882</v>
      </c>
      <c r="SNZ1338" s="4" t="s">
        <v>2882</v>
      </c>
      <c r="SOA1338" s="4" t="s">
        <v>2882</v>
      </c>
      <c r="SOB1338" s="4" t="s">
        <v>2882</v>
      </c>
      <c r="SOC1338" s="4" t="s">
        <v>2882</v>
      </c>
      <c r="SOD1338" s="4" t="s">
        <v>2882</v>
      </c>
      <c r="SOE1338" s="4" t="s">
        <v>2882</v>
      </c>
      <c r="SOF1338" s="4" t="s">
        <v>2882</v>
      </c>
      <c r="SOG1338" s="4" t="s">
        <v>2882</v>
      </c>
      <c r="SOH1338" s="4" t="s">
        <v>2882</v>
      </c>
      <c r="SOI1338" s="4" t="s">
        <v>2882</v>
      </c>
      <c r="SOJ1338" s="4" t="s">
        <v>2882</v>
      </c>
      <c r="SOK1338" s="4" t="s">
        <v>2882</v>
      </c>
      <c r="SOL1338" s="4" t="s">
        <v>2882</v>
      </c>
      <c r="SOM1338" s="4" t="s">
        <v>2882</v>
      </c>
      <c r="SON1338" s="4" t="s">
        <v>2882</v>
      </c>
      <c r="SOO1338" s="4" t="s">
        <v>2882</v>
      </c>
      <c r="SOP1338" s="4" t="s">
        <v>2882</v>
      </c>
      <c r="SOQ1338" s="4" t="s">
        <v>2882</v>
      </c>
      <c r="SOR1338" s="4" t="s">
        <v>2882</v>
      </c>
      <c r="SOS1338" s="4" t="s">
        <v>2882</v>
      </c>
      <c r="SOT1338" s="4" t="s">
        <v>2882</v>
      </c>
      <c r="SOU1338" s="4" t="s">
        <v>2882</v>
      </c>
      <c r="SOV1338" s="4" t="s">
        <v>2882</v>
      </c>
      <c r="SOW1338" s="4" t="s">
        <v>2882</v>
      </c>
      <c r="SOX1338" s="4" t="s">
        <v>2882</v>
      </c>
      <c r="SOY1338" s="4" t="s">
        <v>2882</v>
      </c>
      <c r="SOZ1338" s="4" t="s">
        <v>2882</v>
      </c>
      <c r="SPA1338" s="4" t="s">
        <v>2882</v>
      </c>
      <c r="SPB1338" s="4" t="s">
        <v>2882</v>
      </c>
      <c r="SPC1338" s="4" t="s">
        <v>2882</v>
      </c>
      <c r="SPD1338" s="4" t="s">
        <v>2882</v>
      </c>
      <c r="SPE1338" s="4" t="s">
        <v>2882</v>
      </c>
      <c r="SPF1338" s="4" t="s">
        <v>2882</v>
      </c>
      <c r="SPG1338" s="4" t="s">
        <v>2882</v>
      </c>
      <c r="SPH1338" s="4" t="s">
        <v>2882</v>
      </c>
      <c r="SPI1338" s="4" t="s">
        <v>2882</v>
      </c>
      <c r="SPJ1338" s="4" t="s">
        <v>2882</v>
      </c>
      <c r="SPK1338" s="4" t="s">
        <v>2882</v>
      </c>
      <c r="SPL1338" s="4" t="s">
        <v>2882</v>
      </c>
      <c r="SPM1338" s="4" t="s">
        <v>2882</v>
      </c>
      <c r="SPN1338" s="4" t="s">
        <v>2882</v>
      </c>
      <c r="SPO1338" s="4" t="s">
        <v>2882</v>
      </c>
      <c r="SPP1338" s="4" t="s">
        <v>2882</v>
      </c>
      <c r="SPQ1338" s="4" t="s">
        <v>2882</v>
      </c>
      <c r="SPR1338" s="4" t="s">
        <v>2882</v>
      </c>
      <c r="SPS1338" s="4" t="s">
        <v>2882</v>
      </c>
      <c r="SPT1338" s="4" t="s">
        <v>2882</v>
      </c>
      <c r="SPU1338" s="4" t="s">
        <v>2882</v>
      </c>
      <c r="SPV1338" s="4" t="s">
        <v>2882</v>
      </c>
      <c r="SPW1338" s="4" t="s">
        <v>2882</v>
      </c>
      <c r="SPX1338" s="4" t="s">
        <v>2882</v>
      </c>
      <c r="SPY1338" s="4" t="s">
        <v>2882</v>
      </c>
      <c r="SPZ1338" s="4" t="s">
        <v>2882</v>
      </c>
      <c r="SQA1338" s="4" t="s">
        <v>2882</v>
      </c>
      <c r="SQB1338" s="4" t="s">
        <v>2882</v>
      </c>
      <c r="SQC1338" s="4" t="s">
        <v>2882</v>
      </c>
      <c r="SQD1338" s="4" t="s">
        <v>2882</v>
      </c>
      <c r="SQE1338" s="4" t="s">
        <v>2882</v>
      </c>
      <c r="SQF1338" s="4" t="s">
        <v>2882</v>
      </c>
      <c r="SQG1338" s="4" t="s">
        <v>2882</v>
      </c>
      <c r="SQH1338" s="4" t="s">
        <v>2882</v>
      </c>
      <c r="SQI1338" s="4" t="s">
        <v>2882</v>
      </c>
      <c r="SQJ1338" s="4" t="s">
        <v>2882</v>
      </c>
      <c r="SQK1338" s="4" t="s">
        <v>2882</v>
      </c>
      <c r="SQL1338" s="4" t="s">
        <v>2882</v>
      </c>
      <c r="SQM1338" s="4" t="s">
        <v>2882</v>
      </c>
      <c r="SQN1338" s="4" t="s">
        <v>2882</v>
      </c>
      <c r="SQO1338" s="4" t="s">
        <v>2882</v>
      </c>
      <c r="SQP1338" s="4" t="s">
        <v>2882</v>
      </c>
      <c r="SQQ1338" s="4" t="s">
        <v>2882</v>
      </c>
      <c r="SQR1338" s="4" t="s">
        <v>2882</v>
      </c>
      <c r="SQS1338" s="4" t="s">
        <v>2882</v>
      </c>
      <c r="SQT1338" s="4" t="s">
        <v>2882</v>
      </c>
      <c r="SQU1338" s="4" t="s">
        <v>2882</v>
      </c>
      <c r="SQV1338" s="4" t="s">
        <v>2882</v>
      </c>
      <c r="SQW1338" s="4" t="s">
        <v>2882</v>
      </c>
      <c r="SQX1338" s="4" t="s">
        <v>2882</v>
      </c>
      <c r="SQY1338" s="4" t="s">
        <v>2882</v>
      </c>
      <c r="SQZ1338" s="4" t="s">
        <v>2882</v>
      </c>
      <c r="SRA1338" s="4" t="s">
        <v>2882</v>
      </c>
      <c r="SRB1338" s="4" t="s">
        <v>2882</v>
      </c>
      <c r="SRC1338" s="4" t="s">
        <v>2882</v>
      </c>
      <c r="SRD1338" s="4" t="s">
        <v>2882</v>
      </c>
      <c r="SRE1338" s="4" t="s">
        <v>2882</v>
      </c>
      <c r="SRF1338" s="4" t="s">
        <v>2882</v>
      </c>
      <c r="SRG1338" s="4" t="s">
        <v>2882</v>
      </c>
      <c r="SRH1338" s="4" t="s">
        <v>2882</v>
      </c>
      <c r="SRI1338" s="4" t="s">
        <v>2882</v>
      </c>
      <c r="SRJ1338" s="4" t="s">
        <v>2882</v>
      </c>
      <c r="SRK1338" s="4" t="s">
        <v>2882</v>
      </c>
      <c r="SRL1338" s="4" t="s">
        <v>2882</v>
      </c>
      <c r="SRM1338" s="4" t="s">
        <v>2882</v>
      </c>
      <c r="SRN1338" s="4" t="s">
        <v>2882</v>
      </c>
      <c r="SRO1338" s="4" t="s">
        <v>2882</v>
      </c>
      <c r="SRP1338" s="4" t="s">
        <v>2882</v>
      </c>
      <c r="SRQ1338" s="4" t="s">
        <v>2882</v>
      </c>
      <c r="SRR1338" s="4" t="s">
        <v>2882</v>
      </c>
      <c r="SRS1338" s="4" t="s">
        <v>2882</v>
      </c>
      <c r="SRT1338" s="4" t="s">
        <v>2882</v>
      </c>
      <c r="SRU1338" s="4" t="s">
        <v>2882</v>
      </c>
      <c r="SRV1338" s="4" t="s">
        <v>2882</v>
      </c>
      <c r="SRW1338" s="4" t="s">
        <v>2882</v>
      </c>
      <c r="SRX1338" s="4" t="s">
        <v>2882</v>
      </c>
      <c r="SRY1338" s="4" t="s">
        <v>2882</v>
      </c>
      <c r="SRZ1338" s="4" t="s">
        <v>2882</v>
      </c>
      <c r="SSA1338" s="4" t="s">
        <v>2882</v>
      </c>
      <c r="SSB1338" s="4" t="s">
        <v>2882</v>
      </c>
      <c r="SSC1338" s="4" t="s">
        <v>2882</v>
      </c>
      <c r="SSD1338" s="4" t="s">
        <v>2882</v>
      </c>
      <c r="SSE1338" s="4" t="s">
        <v>2882</v>
      </c>
      <c r="SSF1338" s="4" t="s">
        <v>2882</v>
      </c>
      <c r="SSG1338" s="4" t="s">
        <v>2882</v>
      </c>
      <c r="SSH1338" s="4" t="s">
        <v>2882</v>
      </c>
      <c r="SSI1338" s="4" t="s">
        <v>2882</v>
      </c>
      <c r="SSJ1338" s="4" t="s">
        <v>2882</v>
      </c>
      <c r="SSK1338" s="4" t="s">
        <v>2882</v>
      </c>
      <c r="SSL1338" s="4" t="s">
        <v>2882</v>
      </c>
      <c r="SSM1338" s="4" t="s">
        <v>2882</v>
      </c>
      <c r="SSN1338" s="4" t="s">
        <v>2882</v>
      </c>
      <c r="SSO1338" s="4" t="s">
        <v>2882</v>
      </c>
      <c r="SSP1338" s="4" t="s">
        <v>2882</v>
      </c>
      <c r="SSQ1338" s="4" t="s">
        <v>2882</v>
      </c>
      <c r="SSR1338" s="4" t="s">
        <v>2882</v>
      </c>
      <c r="SSS1338" s="4" t="s">
        <v>2882</v>
      </c>
      <c r="SST1338" s="4" t="s">
        <v>2882</v>
      </c>
      <c r="SSU1338" s="4" t="s">
        <v>2882</v>
      </c>
      <c r="SSV1338" s="4" t="s">
        <v>2882</v>
      </c>
      <c r="SSW1338" s="4" t="s">
        <v>2882</v>
      </c>
      <c r="SSX1338" s="4" t="s">
        <v>2882</v>
      </c>
      <c r="SSY1338" s="4" t="s">
        <v>2882</v>
      </c>
      <c r="SSZ1338" s="4" t="s">
        <v>2882</v>
      </c>
      <c r="STA1338" s="4" t="s">
        <v>2882</v>
      </c>
      <c r="STB1338" s="4" t="s">
        <v>2882</v>
      </c>
      <c r="STC1338" s="4" t="s">
        <v>2882</v>
      </c>
      <c r="STD1338" s="4" t="s">
        <v>2882</v>
      </c>
      <c r="STE1338" s="4" t="s">
        <v>2882</v>
      </c>
      <c r="STF1338" s="4" t="s">
        <v>2882</v>
      </c>
      <c r="STG1338" s="4" t="s">
        <v>2882</v>
      </c>
      <c r="STH1338" s="4" t="s">
        <v>2882</v>
      </c>
      <c r="STI1338" s="4" t="s">
        <v>2882</v>
      </c>
      <c r="STJ1338" s="4" t="s">
        <v>2882</v>
      </c>
      <c r="STK1338" s="4" t="s">
        <v>2882</v>
      </c>
      <c r="STL1338" s="4" t="s">
        <v>2882</v>
      </c>
      <c r="STM1338" s="4" t="s">
        <v>2882</v>
      </c>
      <c r="STN1338" s="4" t="s">
        <v>2882</v>
      </c>
      <c r="STO1338" s="4" t="s">
        <v>2882</v>
      </c>
      <c r="STP1338" s="4" t="s">
        <v>2882</v>
      </c>
      <c r="STQ1338" s="4" t="s">
        <v>2882</v>
      </c>
      <c r="STR1338" s="4" t="s">
        <v>2882</v>
      </c>
      <c r="STS1338" s="4" t="s">
        <v>2882</v>
      </c>
      <c r="STT1338" s="4" t="s">
        <v>2882</v>
      </c>
      <c r="STU1338" s="4" t="s">
        <v>2882</v>
      </c>
      <c r="STV1338" s="4" t="s">
        <v>2882</v>
      </c>
      <c r="STW1338" s="4" t="s">
        <v>2882</v>
      </c>
      <c r="STX1338" s="4" t="s">
        <v>2882</v>
      </c>
      <c r="STY1338" s="4" t="s">
        <v>2882</v>
      </c>
      <c r="STZ1338" s="4" t="s">
        <v>2882</v>
      </c>
      <c r="SUA1338" s="4" t="s">
        <v>2882</v>
      </c>
      <c r="SUB1338" s="4" t="s">
        <v>2882</v>
      </c>
      <c r="SUC1338" s="4" t="s">
        <v>2882</v>
      </c>
      <c r="SUD1338" s="4" t="s">
        <v>2882</v>
      </c>
      <c r="SUE1338" s="4" t="s">
        <v>2882</v>
      </c>
      <c r="SUF1338" s="4" t="s">
        <v>2882</v>
      </c>
      <c r="SUG1338" s="4" t="s">
        <v>2882</v>
      </c>
      <c r="SUH1338" s="4" t="s">
        <v>2882</v>
      </c>
      <c r="SUI1338" s="4" t="s">
        <v>2882</v>
      </c>
      <c r="SUJ1338" s="4" t="s">
        <v>2882</v>
      </c>
      <c r="SUK1338" s="4" t="s">
        <v>2882</v>
      </c>
      <c r="SUL1338" s="4" t="s">
        <v>2882</v>
      </c>
      <c r="SUM1338" s="4" t="s">
        <v>2882</v>
      </c>
      <c r="SUN1338" s="4" t="s">
        <v>2882</v>
      </c>
      <c r="SUO1338" s="4" t="s">
        <v>2882</v>
      </c>
      <c r="SUP1338" s="4" t="s">
        <v>2882</v>
      </c>
      <c r="SUQ1338" s="4" t="s">
        <v>2882</v>
      </c>
      <c r="SUR1338" s="4" t="s">
        <v>2882</v>
      </c>
      <c r="SUS1338" s="4" t="s">
        <v>2882</v>
      </c>
      <c r="SUT1338" s="4" t="s">
        <v>2882</v>
      </c>
      <c r="SUU1338" s="4" t="s">
        <v>2882</v>
      </c>
      <c r="SUV1338" s="4" t="s">
        <v>2882</v>
      </c>
      <c r="SUW1338" s="4" t="s">
        <v>2882</v>
      </c>
      <c r="SUX1338" s="4" t="s">
        <v>2882</v>
      </c>
      <c r="SUY1338" s="4" t="s">
        <v>2882</v>
      </c>
      <c r="SUZ1338" s="4" t="s">
        <v>2882</v>
      </c>
      <c r="SVA1338" s="4" t="s">
        <v>2882</v>
      </c>
      <c r="SVB1338" s="4" t="s">
        <v>2882</v>
      </c>
      <c r="SVC1338" s="4" t="s">
        <v>2882</v>
      </c>
      <c r="SVD1338" s="4" t="s">
        <v>2882</v>
      </c>
      <c r="SVE1338" s="4" t="s">
        <v>2882</v>
      </c>
      <c r="SVF1338" s="4" t="s">
        <v>2882</v>
      </c>
      <c r="SVG1338" s="4" t="s">
        <v>2882</v>
      </c>
      <c r="SVH1338" s="4" t="s">
        <v>2882</v>
      </c>
      <c r="SVI1338" s="4" t="s">
        <v>2882</v>
      </c>
      <c r="SVJ1338" s="4" t="s">
        <v>2882</v>
      </c>
      <c r="SVK1338" s="4" t="s">
        <v>2882</v>
      </c>
      <c r="SVL1338" s="4" t="s">
        <v>2882</v>
      </c>
      <c r="SVM1338" s="4" t="s">
        <v>2882</v>
      </c>
      <c r="SVN1338" s="4" t="s">
        <v>2882</v>
      </c>
      <c r="SVO1338" s="4" t="s">
        <v>2882</v>
      </c>
      <c r="SVP1338" s="4" t="s">
        <v>2882</v>
      </c>
      <c r="SVQ1338" s="4" t="s">
        <v>2882</v>
      </c>
      <c r="SVR1338" s="4" t="s">
        <v>2882</v>
      </c>
      <c r="SVS1338" s="4" t="s">
        <v>2882</v>
      </c>
      <c r="SVT1338" s="4" t="s">
        <v>2882</v>
      </c>
      <c r="SVU1338" s="4" t="s">
        <v>2882</v>
      </c>
      <c r="SVV1338" s="4" t="s">
        <v>2882</v>
      </c>
      <c r="SVW1338" s="4" t="s">
        <v>2882</v>
      </c>
      <c r="SVX1338" s="4" t="s">
        <v>2882</v>
      </c>
      <c r="SVY1338" s="4" t="s">
        <v>2882</v>
      </c>
      <c r="SVZ1338" s="4" t="s">
        <v>2882</v>
      </c>
      <c r="SWA1338" s="4" t="s">
        <v>2882</v>
      </c>
      <c r="SWB1338" s="4" t="s">
        <v>2882</v>
      </c>
      <c r="SWC1338" s="4" t="s">
        <v>2882</v>
      </c>
      <c r="SWD1338" s="4" t="s">
        <v>2882</v>
      </c>
      <c r="SWE1338" s="4" t="s">
        <v>2882</v>
      </c>
      <c r="SWF1338" s="4" t="s">
        <v>2882</v>
      </c>
      <c r="SWG1338" s="4" t="s">
        <v>2882</v>
      </c>
      <c r="SWH1338" s="4" t="s">
        <v>2882</v>
      </c>
      <c r="SWI1338" s="4" t="s">
        <v>2882</v>
      </c>
      <c r="SWJ1338" s="4" t="s">
        <v>2882</v>
      </c>
      <c r="SWK1338" s="4" t="s">
        <v>2882</v>
      </c>
      <c r="SWL1338" s="4" t="s">
        <v>2882</v>
      </c>
      <c r="SWM1338" s="4" t="s">
        <v>2882</v>
      </c>
      <c r="SWN1338" s="4" t="s">
        <v>2882</v>
      </c>
      <c r="SWO1338" s="4" t="s">
        <v>2882</v>
      </c>
      <c r="SWP1338" s="4" t="s">
        <v>2882</v>
      </c>
      <c r="SWQ1338" s="4" t="s">
        <v>2882</v>
      </c>
      <c r="SWR1338" s="4" t="s">
        <v>2882</v>
      </c>
      <c r="SWS1338" s="4" t="s">
        <v>2882</v>
      </c>
      <c r="SWT1338" s="4" t="s">
        <v>2882</v>
      </c>
      <c r="SWU1338" s="4" t="s">
        <v>2882</v>
      </c>
      <c r="SWV1338" s="4" t="s">
        <v>2882</v>
      </c>
      <c r="SWW1338" s="4" t="s">
        <v>2882</v>
      </c>
      <c r="SWX1338" s="4" t="s">
        <v>2882</v>
      </c>
      <c r="SWY1338" s="4" t="s">
        <v>2882</v>
      </c>
      <c r="SWZ1338" s="4" t="s">
        <v>2882</v>
      </c>
      <c r="SXA1338" s="4" t="s">
        <v>2882</v>
      </c>
      <c r="SXB1338" s="4" t="s">
        <v>2882</v>
      </c>
      <c r="SXC1338" s="4" t="s">
        <v>2882</v>
      </c>
      <c r="SXD1338" s="4" t="s">
        <v>2882</v>
      </c>
      <c r="SXE1338" s="4" t="s">
        <v>2882</v>
      </c>
      <c r="SXF1338" s="4" t="s">
        <v>2882</v>
      </c>
      <c r="SXG1338" s="4" t="s">
        <v>2882</v>
      </c>
      <c r="SXH1338" s="4" t="s">
        <v>2882</v>
      </c>
      <c r="SXI1338" s="4" t="s">
        <v>2882</v>
      </c>
      <c r="SXJ1338" s="4" t="s">
        <v>2882</v>
      </c>
      <c r="SXK1338" s="4" t="s">
        <v>2882</v>
      </c>
      <c r="SXL1338" s="4" t="s">
        <v>2882</v>
      </c>
      <c r="SXM1338" s="4" t="s">
        <v>2882</v>
      </c>
      <c r="SXN1338" s="4" t="s">
        <v>2882</v>
      </c>
      <c r="SXO1338" s="4" t="s">
        <v>2882</v>
      </c>
      <c r="SXP1338" s="4" t="s">
        <v>2882</v>
      </c>
      <c r="SXQ1338" s="4" t="s">
        <v>2882</v>
      </c>
      <c r="SXR1338" s="4" t="s">
        <v>2882</v>
      </c>
      <c r="SXS1338" s="4" t="s">
        <v>2882</v>
      </c>
      <c r="SXT1338" s="4" t="s">
        <v>2882</v>
      </c>
      <c r="SXU1338" s="4" t="s">
        <v>2882</v>
      </c>
      <c r="SXV1338" s="4" t="s">
        <v>2882</v>
      </c>
      <c r="SXW1338" s="4" t="s">
        <v>2882</v>
      </c>
      <c r="SXX1338" s="4" t="s">
        <v>2882</v>
      </c>
      <c r="SXY1338" s="4" t="s">
        <v>2882</v>
      </c>
      <c r="SXZ1338" s="4" t="s">
        <v>2882</v>
      </c>
      <c r="SYA1338" s="4" t="s">
        <v>2882</v>
      </c>
      <c r="SYB1338" s="4" t="s">
        <v>2882</v>
      </c>
      <c r="SYC1338" s="4" t="s">
        <v>2882</v>
      </c>
      <c r="SYD1338" s="4" t="s">
        <v>2882</v>
      </c>
      <c r="SYE1338" s="4" t="s">
        <v>2882</v>
      </c>
      <c r="SYF1338" s="4" t="s">
        <v>2882</v>
      </c>
      <c r="SYG1338" s="4" t="s">
        <v>2882</v>
      </c>
      <c r="SYH1338" s="4" t="s">
        <v>2882</v>
      </c>
      <c r="SYI1338" s="4" t="s">
        <v>2882</v>
      </c>
      <c r="SYJ1338" s="4" t="s">
        <v>2882</v>
      </c>
      <c r="SYK1338" s="4" t="s">
        <v>2882</v>
      </c>
      <c r="SYL1338" s="4" t="s">
        <v>2882</v>
      </c>
      <c r="SYM1338" s="4" t="s">
        <v>2882</v>
      </c>
      <c r="SYN1338" s="4" t="s">
        <v>2882</v>
      </c>
      <c r="SYO1338" s="4" t="s">
        <v>2882</v>
      </c>
      <c r="SYP1338" s="4" t="s">
        <v>2882</v>
      </c>
      <c r="SYQ1338" s="4" t="s">
        <v>2882</v>
      </c>
      <c r="SYR1338" s="4" t="s">
        <v>2882</v>
      </c>
      <c r="SYS1338" s="4" t="s">
        <v>2882</v>
      </c>
      <c r="SYT1338" s="4" t="s">
        <v>2882</v>
      </c>
      <c r="SYU1338" s="4" t="s">
        <v>2882</v>
      </c>
      <c r="SYV1338" s="4" t="s">
        <v>2882</v>
      </c>
      <c r="SYW1338" s="4" t="s">
        <v>2882</v>
      </c>
      <c r="SYX1338" s="4" t="s">
        <v>2882</v>
      </c>
      <c r="SYY1338" s="4" t="s">
        <v>2882</v>
      </c>
      <c r="SYZ1338" s="4" t="s">
        <v>2882</v>
      </c>
      <c r="SZA1338" s="4" t="s">
        <v>2882</v>
      </c>
      <c r="SZB1338" s="4" t="s">
        <v>2882</v>
      </c>
      <c r="SZC1338" s="4" t="s">
        <v>2882</v>
      </c>
      <c r="SZD1338" s="4" t="s">
        <v>2882</v>
      </c>
      <c r="SZE1338" s="4" t="s">
        <v>2882</v>
      </c>
      <c r="SZF1338" s="4" t="s">
        <v>2882</v>
      </c>
      <c r="SZG1338" s="4" t="s">
        <v>2882</v>
      </c>
      <c r="SZH1338" s="4" t="s">
        <v>2882</v>
      </c>
      <c r="SZI1338" s="4" t="s">
        <v>2882</v>
      </c>
      <c r="SZJ1338" s="4" t="s">
        <v>2882</v>
      </c>
      <c r="SZK1338" s="4" t="s">
        <v>2882</v>
      </c>
      <c r="SZL1338" s="4" t="s">
        <v>2882</v>
      </c>
      <c r="SZM1338" s="4" t="s">
        <v>2882</v>
      </c>
      <c r="SZN1338" s="4" t="s">
        <v>2882</v>
      </c>
      <c r="SZO1338" s="4" t="s">
        <v>2882</v>
      </c>
      <c r="SZP1338" s="4" t="s">
        <v>2882</v>
      </c>
      <c r="SZQ1338" s="4" t="s">
        <v>2882</v>
      </c>
      <c r="SZR1338" s="4" t="s">
        <v>2882</v>
      </c>
      <c r="SZS1338" s="4" t="s">
        <v>2882</v>
      </c>
      <c r="SZT1338" s="4" t="s">
        <v>2882</v>
      </c>
      <c r="SZU1338" s="4" t="s">
        <v>2882</v>
      </c>
      <c r="SZV1338" s="4" t="s">
        <v>2882</v>
      </c>
      <c r="SZW1338" s="4" t="s">
        <v>2882</v>
      </c>
      <c r="SZX1338" s="4" t="s">
        <v>2882</v>
      </c>
      <c r="SZY1338" s="4" t="s">
        <v>2882</v>
      </c>
      <c r="SZZ1338" s="4" t="s">
        <v>2882</v>
      </c>
      <c r="TAA1338" s="4" t="s">
        <v>2882</v>
      </c>
      <c r="TAB1338" s="4" t="s">
        <v>2882</v>
      </c>
      <c r="TAC1338" s="4" t="s">
        <v>2882</v>
      </c>
      <c r="TAD1338" s="4" t="s">
        <v>2882</v>
      </c>
      <c r="TAE1338" s="4" t="s">
        <v>2882</v>
      </c>
      <c r="TAF1338" s="4" t="s">
        <v>2882</v>
      </c>
      <c r="TAG1338" s="4" t="s">
        <v>2882</v>
      </c>
      <c r="TAH1338" s="4" t="s">
        <v>2882</v>
      </c>
      <c r="TAI1338" s="4" t="s">
        <v>2882</v>
      </c>
      <c r="TAJ1338" s="4" t="s">
        <v>2882</v>
      </c>
      <c r="TAK1338" s="4" t="s">
        <v>2882</v>
      </c>
      <c r="TAL1338" s="4" t="s">
        <v>2882</v>
      </c>
      <c r="TAM1338" s="4" t="s">
        <v>2882</v>
      </c>
      <c r="TAN1338" s="4" t="s">
        <v>2882</v>
      </c>
      <c r="TAO1338" s="4" t="s">
        <v>2882</v>
      </c>
      <c r="TAP1338" s="4" t="s">
        <v>2882</v>
      </c>
      <c r="TAQ1338" s="4" t="s">
        <v>2882</v>
      </c>
      <c r="TAR1338" s="4" t="s">
        <v>2882</v>
      </c>
      <c r="TAS1338" s="4" t="s">
        <v>2882</v>
      </c>
      <c r="TAT1338" s="4" t="s">
        <v>2882</v>
      </c>
      <c r="TAU1338" s="4" t="s">
        <v>2882</v>
      </c>
      <c r="TAV1338" s="4" t="s">
        <v>2882</v>
      </c>
      <c r="TAW1338" s="4" t="s">
        <v>2882</v>
      </c>
      <c r="TAX1338" s="4" t="s">
        <v>2882</v>
      </c>
      <c r="TAY1338" s="4" t="s">
        <v>2882</v>
      </c>
      <c r="TAZ1338" s="4" t="s">
        <v>2882</v>
      </c>
      <c r="TBA1338" s="4" t="s">
        <v>2882</v>
      </c>
      <c r="TBB1338" s="4" t="s">
        <v>2882</v>
      </c>
      <c r="TBC1338" s="4" t="s">
        <v>2882</v>
      </c>
      <c r="TBD1338" s="4" t="s">
        <v>2882</v>
      </c>
      <c r="TBE1338" s="4" t="s">
        <v>2882</v>
      </c>
      <c r="TBF1338" s="4" t="s">
        <v>2882</v>
      </c>
      <c r="TBG1338" s="4" t="s">
        <v>2882</v>
      </c>
      <c r="TBH1338" s="4" t="s">
        <v>2882</v>
      </c>
      <c r="TBI1338" s="4" t="s">
        <v>2882</v>
      </c>
      <c r="TBJ1338" s="4" t="s">
        <v>2882</v>
      </c>
      <c r="TBK1338" s="4" t="s">
        <v>2882</v>
      </c>
      <c r="TBL1338" s="4" t="s">
        <v>2882</v>
      </c>
      <c r="TBM1338" s="4" t="s">
        <v>2882</v>
      </c>
      <c r="TBN1338" s="4" t="s">
        <v>2882</v>
      </c>
      <c r="TBO1338" s="4" t="s">
        <v>2882</v>
      </c>
      <c r="TBP1338" s="4" t="s">
        <v>2882</v>
      </c>
      <c r="TBQ1338" s="4" t="s">
        <v>2882</v>
      </c>
      <c r="TBR1338" s="4" t="s">
        <v>2882</v>
      </c>
      <c r="TBS1338" s="4" t="s">
        <v>2882</v>
      </c>
      <c r="TBT1338" s="4" t="s">
        <v>2882</v>
      </c>
      <c r="TBU1338" s="4" t="s">
        <v>2882</v>
      </c>
      <c r="TBV1338" s="4" t="s">
        <v>2882</v>
      </c>
      <c r="TBW1338" s="4" t="s">
        <v>2882</v>
      </c>
      <c r="TBX1338" s="4" t="s">
        <v>2882</v>
      </c>
      <c r="TBY1338" s="4" t="s">
        <v>2882</v>
      </c>
      <c r="TBZ1338" s="4" t="s">
        <v>2882</v>
      </c>
      <c r="TCA1338" s="4" t="s">
        <v>2882</v>
      </c>
      <c r="TCB1338" s="4" t="s">
        <v>2882</v>
      </c>
      <c r="TCC1338" s="4" t="s">
        <v>2882</v>
      </c>
      <c r="TCD1338" s="4" t="s">
        <v>2882</v>
      </c>
      <c r="TCE1338" s="4" t="s">
        <v>2882</v>
      </c>
      <c r="TCF1338" s="4" t="s">
        <v>2882</v>
      </c>
      <c r="TCG1338" s="4" t="s">
        <v>2882</v>
      </c>
      <c r="TCH1338" s="4" t="s">
        <v>2882</v>
      </c>
      <c r="TCI1338" s="4" t="s">
        <v>2882</v>
      </c>
      <c r="TCJ1338" s="4" t="s">
        <v>2882</v>
      </c>
      <c r="TCK1338" s="4" t="s">
        <v>2882</v>
      </c>
      <c r="TCL1338" s="4" t="s">
        <v>2882</v>
      </c>
      <c r="TCM1338" s="4" t="s">
        <v>2882</v>
      </c>
      <c r="TCN1338" s="4" t="s">
        <v>2882</v>
      </c>
      <c r="TCO1338" s="4" t="s">
        <v>2882</v>
      </c>
      <c r="TCP1338" s="4" t="s">
        <v>2882</v>
      </c>
      <c r="TCQ1338" s="4" t="s">
        <v>2882</v>
      </c>
      <c r="TCR1338" s="4" t="s">
        <v>2882</v>
      </c>
      <c r="TCS1338" s="4" t="s">
        <v>2882</v>
      </c>
      <c r="TCT1338" s="4" t="s">
        <v>2882</v>
      </c>
      <c r="TCU1338" s="4" t="s">
        <v>2882</v>
      </c>
      <c r="TCV1338" s="4" t="s">
        <v>2882</v>
      </c>
      <c r="TCW1338" s="4" t="s">
        <v>2882</v>
      </c>
      <c r="TCX1338" s="4" t="s">
        <v>2882</v>
      </c>
      <c r="TCY1338" s="4" t="s">
        <v>2882</v>
      </c>
      <c r="TCZ1338" s="4" t="s">
        <v>2882</v>
      </c>
      <c r="TDA1338" s="4" t="s">
        <v>2882</v>
      </c>
      <c r="TDB1338" s="4" t="s">
        <v>2882</v>
      </c>
      <c r="TDC1338" s="4" t="s">
        <v>2882</v>
      </c>
      <c r="TDD1338" s="4" t="s">
        <v>2882</v>
      </c>
      <c r="TDE1338" s="4" t="s">
        <v>2882</v>
      </c>
      <c r="TDF1338" s="4" t="s">
        <v>2882</v>
      </c>
      <c r="TDG1338" s="4" t="s">
        <v>2882</v>
      </c>
      <c r="TDH1338" s="4" t="s">
        <v>2882</v>
      </c>
      <c r="TDI1338" s="4" t="s">
        <v>2882</v>
      </c>
      <c r="TDJ1338" s="4" t="s">
        <v>2882</v>
      </c>
      <c r="TDK1338" s="4" t="s">
        <v>2882</v>
      </c>
      <c r="TDL1338" s="4" t="s">
        <v>2882</v>
      </c>
      <c r="TDM1338" s="4" t="s">
        <v>2882</v>
      </c>
      <c r="TDN1338" s="4" t="s">
        <v>2882</v>
      </c>
      <c r="TDO1338" s="4" t="s">
        <v>2882</v>
      </c>
      <c r="TDP1338" s="4" t="s">
        <v>2882</v>
      </c>
      <c r="TDQ1338" s="4" t="s">
        <v>2882</v>
      </c>
      <c r="TDR1338" s="4" t="s">
        <v>2882</v>
      </c>
      <c r="TDS1338" s="4" t="s">
        <v>2882</v>
      </c>
      <c r="TDT1338" s="4" t="s">
        <v>2882</v>
      </c>
      <c r="TDU1338" s="4" t="s">
        <v>2882</v>
      </c>
      <c r="TDV1338" s="4" t="s">
        <v>2882</v>
      </c>
      <c r="TDW1338" s="4" t="s">
        <v>2882</v>
      </c>
      <c r="TDX1338" s="4" t="s">
        <v>2882</v>
      </c>
      <c r="TDY1338" s="4" t="s">
        <v>2882</v>
      </c>
      <c r="TDZ1338" s="4" t="s">
        <v>2882</v>
      </c>
      <c r="TEA1338" s="4" t="s">
        <v>2882</v>
      </c>
      <c r="TEB1338" s="4" t="s">
        <v>2882</v>
      </c>
      <c r="TEC1338" s="4" t="s">
        <v>2882</v>
      </c>
      <c r="TED1338" s="4" t="s">
        <v>2882</v>
      </c>
      <c r="TEE1338" s="4" t="s">
        <v>2882</v>
      </c>
      <c r="TEF1338" s="4" t="s">
        <v>2882</v>
      </c>
      <c r="TEG1338" s="4" t="s">
        <v>2882</v>
      </c>
      <c r="TEH1338" s="4" t="s">
        <v>2882</v>
      </c>
      <c r="TEI1338" s="4" t="s">
        <v>2882</v>
      </c>
      <c r="TEJ1338" s="4" t="s">
        <v>2882</v>
      </c>
      <c r="TEK1338" s="4" t="s">
        <v>2882</v>
      </c>
      <c r="TEL1338" s="4" t="s">
        <v>2882</v>
      </c>
      <c r="TEM1338" s="4" t="s">
        <v>2882</v>
      </c>
      <c r="TEN1338" s="4" t="s">
        <v>2882</v>
      </c>
      <c r="TEO1338" s="4" t="s">
        <v>2882</v>
      </c>
      <c r="TEP1338" s="4" t="s">
        <v>2882</v>
      </c>
      <c r="TEQ1338" s="4" t="s">
        <v>2882</v>
      </c>
      <c r="TER1338" s="4" t="s">
        <v>2882</v>
      </c>
      <c r="TES1338" s="4" t="s">
        <v>2882</v>
      </c>
      <c r="TET1338" s="4" t="s">
        <v>2882</v>
      </c>
      <c r="TEU1338" s="4" t="s">
        <v>2882</v>
      </c>
      <c r="TEV1338" s="4" t="s">
        <v>2882</v>
      </c>
      <c r="TEW1338" s="4" t="s">
        <v>2882</v>
      </c>
      <c r="TEX1338" s="4" t="s">
        <v>2882</v>
      </c>
      <c r="TEY1338" s="4" t="s">
        <v>2882</v>
      </c>
      <c r="TEZ1338" s="4" t="s">
        <v>2882</v>
      </c>
      <c r="TFA1338" s="4" t="s">
        <v>2882</v>
      </c>
      <c r="TFB1338" s="4" t="s">
        <v>2882</v>
      </c>
      <c r="TFC1338" s="4" t="s">
        <v>2882</v>
      </c>
      <c r="TFD1338" s="4" t="s">
        <v>2882</v>
      </c>
      <c r="TFE1338" s="4" t="s">
        <v>2882</v>
      </c>
      <c r="TFF1338" s="4" t="s">
        <v>2882</v>
      </c>
      <c r="TFG1338" s="4" t="s">
        <v>2882</v>
      </c>
      <c r="TFH1338" s="4" t="s">
        <v>2882</v>
      </c>
      <c r="TFI1338" s="4" t="s">
        <v>2882</v>
      </c>
      <c r="TFJ1338" s="4" t="s">
        <v>2882</v>
      </c>
      <c r="TFK1338" s="4" t="s">
        <v>2882</v>
      </c>
      <c r="TFL1338" s="4" t="s">
        <v>2882</v>
      </c>
      <c r="TFM1338" s="4" t="s">
        <v>2882</v>
      </c>
      <c r="TFN1338" s="4" t="s">
        <v>2882</v>
      </c>
      <c r="TFO1338" s="4" t="s">
        <v>2882</v>
      </c>
      <c r="TFP1338" s="4" t="s">
        <v>2882</v>
      </c>
      <c r="TFQ1338" s="4" t="s">
        <v>2882</v>
      </c>
      <c r="TFR1338" s="4" t="s">
        <v>2882</v>
      </c>
      <c r="TFS1338" s="4" t="s">
        <v>2882</v>
      </c>
      <c r="TFT1338" s="4" t="s">
        <v>2882</v>
      </c>
      <c r="TFU1338" s="4" t="s">
        <v>2882</v>
      </c>
      <c r="TFV1338" s="4" t="s">
        <v>2882</v>
      </c>
      <c r="TFW1338" s="4" t="s">
        <v>2882</v>
      </c>
      <c r="TFX1338" s="4" t="s">
        <v>2882</v>
      </c>
      <c r="TFY1338" s="4" t="s">
        <v>2882</v>
      </c>
      <c r="TFZ1338" s="4" t="s">
        <v>2882</v>
      </c>
      <c r="TGA1338" s="4" t="s">
        <v>2882</v>
      </c>
      <c r="TGB1338" s="4" t="s">
        <v>2882</v>
      </c>
      <c r="TGC1338" s="4" t="s">
        <v>2882</v>
      </c>
      <c r="TGD1338" s="4" t="s">
        <v>2882</v>
      </c>
      <c r="TGE1338" s="4" t="s">
        <v>2882</v>
      </c>
      <c r="TGF1338" s="4" t="s">
        <v>2882</v>
      </c>
      <c r="TGG1338" s="4" t="s">
        <v>2882</v>
      </c>
      <c r="TGH1338" s="4" t="s">
        <v>2882</v>
      </c>
      <c r="TGI1338" s="4" t="s">
        <v>2882</v>
      </c>
      <c r="TGJ1338" s="4" t="s">
        <v>2882</v>
      </c>
      <c r="TGK1338" s="4" t="s">
        <v>2882</v>
      </c>
      <c r="TGL1338" s="4" t="s">
        <v>2882</v>
      </c>
      <c r="TGM1338" s="4" t="s">
        <v>2882</v>
      </c>
      <c r="TGN1338" s="4" t="s">
        <v>2882</v>
      </c>
      <c r="TGO1338" s="4" t="s">
        <v>2882</v>
      </c>
      <c r="TGP1338" s="4" t="s">
        <v>2882</v>
      </c>
      <c r="TGQ1338" s="4" t="s">
        <v>2882</v>
      </c>
      <c r="TGR1338" s="4" t="s">
        <v>2882</v>
      </c>
      <c r="TGS1338" s="4" t="s">
        <v>2882</v>
      </c>
      <c r="TGT1338" s="4" t="s">
        <v>2882</v>
      </c>
      <c r="TGU1338" s="4" t="s">
        <v>2882</v>
      </c>
      <c r="TGV1338" s="4" t="s">
        <v>2882</v>
      </c>
      <c r="TGW1338" s="4" t="s">
        <v>2882</v>
      </c>
      <c r="TGX1338" s="4" t="s">
        <v>2882</v>
      </c>
      <c r="TGY1338" s="4" t="s">
        <v>2882</v>
      </c>
      <c r="TGZ1338" s="4" t="s">
        <v>2882</v>
      </c>
      <c r="THA1338" s="4" t="s">
        <v>2882</v>
      </c>
      <c r="THB1338" s="4" t="s">
        <v>2882</v>
      </c>
      <c r="THC1338" s="4" t="s">
        <v>2882</v>
      </c>
      <c r="THD1338" s="4" t="s">
        <v>2882</v>
      </c>
      <c r="THE1338" s="4" t="s">
        <v>2882</v>
      </c>
      <c r="THF1338" s="4" t="s">
        <v>2882</v>
      </c>
      <c r="THG1338" s="4" t="s">
        <v>2882</v>
      </c>
      <c r="THH1338" s="4" t="s">
        <v>2882</v>
      </c>
      <c r="THI1338" s="4" t="s">
        <v>2882</v>
      </c>
      <c r="THJ1338" s="4" t="s">
        <v>2882</v>
      </c>
      <c r="THK1338" s="4" t="s">
        <v>2882</v>
      </c>
      <c r="THL1338" s="4" t="s">
        <v>2882</v>
      </c>
      <c r="THM1338" s="4" t="s">
        <v>2882</v>
      </c>
      <c r="THN1338" s="4" t="s">
        <v>2882</v>
      </c>
      <c r="THO1338" s="4" t="s">
        <v>2882</v>
      </c>
      <c r="THP1338" s="4" t="s">
        <v>2882</v>
      </c>
      <c r="THQ1338" s="4" t="s">
        <v>2882</v>
      </c>
      <c r="THR1338" s="4" t="s">
        <v>2882</v>
      </c>
      <c r="THS1338" s="4" t="s">
        <v>2882</v>
      </c>
      <c r="THT1338" s="4" t="s">
        <v>2882</v>
      </c>
      <c r="THU1338" s="4" t="s">
        <v>2882</v>
      </c>
      <c r="THV1338" s="4" t="s">
        <v>2882</v>
      </c>
      <c r="THW1338" s="4" t="s">
        <v>2882</v>
      </c>
      <c r="THX1338" s="4" t="s">
        <v>2882</v>
      </c>
      <c r="THY1338" s="4" t="s">
        <v>2882</v>
      </c>
      <c r="THZ1338" s="4" t="s">
        <v>2882</v>
      </c>
      <c r="TIA1338" s="4" t="s">
        <v>2882</v>
      </c>
      <c r="TIB1338" s="4" t="s">
        <v>2882</v>
      </c>
      <c r="TIC1338" s="4" t="s">
        <v>2882</v>
      </c>
      <c r="TID1338" s="4" t="s">
        <v>2882</v>
      </c>
      <c r="TIE1338" s="4" t="s">
        <v>2882</v>
      </c>
      <c r="TIF1338" s="4" t="s">
        <v>2882</v>
      </c>
      <c r="TIG1338" s="4" t="s">
        <v>2882</v>
      </c>
      <c r="TIH1338" s="4" t="s">
        <v>2882</v>
      </c>
      <c r="TII1338" s="4" t="s">
        <v>2882</v>
      </c>
      <c r="TIJ1338" s="4" t="s">
        <v>2882</v>
      </c>
      <c r="TIK1338" s="4" t="s">
        <v>2882</v>
      </c>
      <c r="TIL1338" s="4" t="s">
        <v>2882</v>
      </c>
      <c r="TIM1338" s="4" t="s">
        <v>2882</v>
      </c>
      <c r="TIN1338" s="4" t="s">
        <v>2882</v>
      </c>
      <c r="TIO1338" s="4" t="s">
        <v>2882</v>
      </c>
      <c r="TIP1338" s="4" t="s">
        <v>2882</v>
      </c>
      <c r="TIQ1338" s="4" t="s">
        <v>2882</v>
      </c>
      <c r="TIR1338" s="4" t="s">
        <v>2882</v>
      </c>
      <c r="TIS1338" s="4" t="s">
        <v>2882</v>
      </c>
      <c r="TIT1338" s="4" t="s">
        <v>2882</v>
      </c>
      <c r="TIU1338" s="4" t="s">
        <v>2882</v>
      </c>
      <c r="TIV1338" s="4" t="s">
        <v>2882</v>
      </c>
      <c r="TIW1338" s="4" t="s">
        <v>2882</v>
      </c>
      <c r="TIX1338" s="4" t="s">
        <v>2882</v>
      </c>
      <c r="TIY1338" s="4" t="s">
        <v>2882</v>
      </c>
      <c r="TIZ1338" s="4" t="s">
        <v>2882</v>
      </c>
      <c r="TJA1338" s="4" t="s">
        <v>2882</v>
      </c>
      <c r="TJB1338" s="4" t="s">
        <v>2882</v>
      </c>
      <c r="TJC1338" s="4" t="s">
        <v>2882</v>
      </c>
      <c r="TJD1338" s="4" t="s">
        <v>2882</v>
      </c>
      <c r="TJE1338" s="4" t="s">
        <v>2882</v>
      </c>
      <c r="TJF1338" s="4" t="s">
        <v>2882</v>
      </c>
      <c r="TJG1338" s="4" t="s">
        <v>2882</v>
      </c>
      <c r="TJH1338" s="4" t="s">
        <v>2882</v>
      </c>
      <c r="TJI1338" s="4" t="s">
        <v>2882</v>
      </c>
      <c r="TJJ1338" s="4" t="s">
        <v>2882</v>
      </c>
      <c r="TJK1338" s="4" t="s">
        <v>2882</v>
      </c>
      <c r="TJL1338" s="4" t="s">
        <v>2882</v>
      </c>
      <c r="TJM1338" s="4" t="s">
        <v>2882</v>
      </c>
      <c r="TJN1338" s="4" t="s">
        <v>2882</v>
      </c>
      <c r="TJO1338" s="4" t="s">
        <v>2882</v>
      </c>
      <c r="TJP1338" s="4" t="s">
        <v>2882</v>
      </c>
      <c r="TJQ1338" s="4" t="s">
        <v>2882</v>
      </c>
      <c r="TJR1338" s="4" t="s">
        <v>2882</v>
      </c>
      <c r="TJS1338" s="4" t="s">
        <v>2882</v>
      </c>
      <c r="TJT1338" s="4" t="s">
        <v>2882</v>
      </c>
      <c r="TJU1338" s="4" t="s">
        <v>2882</v>
      </c>
      <c r="TJV1338" s="4" t="s">
        <v>2882</v>
      </c>
      <c r="TJW1338" s="4" t="s">
        <v>2882</v>
      </c>
      <c r="TJX1338" s="4" t="s">
        <v>2882</v>
      </c>
      <c r="TJY1338" s="4" t="s">
        <v>2882</v>
      </c>
      <c r="TJZ1338" s="4" t="s">
        <v>2882</v>
      </c>
      <c r="TKA1338" s="4" t="s">
        <v>2882</v>
      </c>
      <c r="TKB1338" s="4" t="s">
        <v>2882</v>
      </c>
      <c r="TKC1338" s="4" t="s">
        <v>2882</v>
      </c>
      <c r="TKD1338" s="4" t="s">
        <v>2882</v>
      </c>
      <c r="TKE1338" s="4" t="s">
        <v>2882</v>
      </c>
      <c r="TKF1338" s="4" t="s">
        <v>2882</v>
      </c>
      <c r="TKG1338" s="4" t="s">
        <v>2882</v>
      </c>
      <c r="TKH1338" s="4" t="s">
        <v>2882</v>
      </c>
      <c r="TKI1338" s="4" t="s">
        <v>2882</v>
      </c>
      <c r="TKJ1338" s="4" t="s">
        <v>2882</v>
      </c>
      <c r="TKK1338" s="4" t="s">
        <v>2882</v>
      </c>
      <c r="TKL1338" s="4" t="s">
        <v>2882</v>
      </c>
      <c r="TKM1338" s="4" t="s">
        <v>2882</v>
      </c>
      <c r="TKN1338" s="4" t="s">
        <v>2882</v>
      </c>
      <c r="TKO1338" s="4" t="s">
        <v>2882</v>
      </c>
      <c r="TKP1338" s="4" t="s">
        <v>2882</v>
      </c>
      <c r="TKQ1338" s="4" t="s">
        <v>2882</v>
      </c>
      <c r="TKR1338" s="4" t="s">
        <v>2882</v>
      </c>
      <c r="TKS1338" s="4" t="s">
        <v>2882</v>
      </c>
      <c r="TKT1338" s="4" t="s">
        <v>2882</v>
      </c>
      <c r="TKU1338" s="4" t="s">
        <v>2882</v>
      </c>
      <c r="TKV1338" s="4" t="s">
        <v>2882</v>
      </c>
      <c r="TKW1338" s="4" t="s">
        <v>2882</v>
      </c>
      <c r="TKX1338" s="4" t="s">
        <v>2882</v>
      </c>
      <c r="TKY1338" s="4" t="s">
        <v>2882</v>
      </c>
      <c r="TKZ1338" s="4" t="s">
        <v>2882</v>
      </c>
      <c r="TLA1338" s="4" t="s">
        <v>2882</v>
      </c>
      <c r="TLB1338" s="4" t="s">
        <v>2882</v>
      </c>
      <c r="TLC1338" s="4" t="s">
        <v>2882</v>
      </c>
      <c r="TLD1338" s="4" t="s">
        <v>2882</v>
      </c>
      <c r="TLE1338" s="4" t="s">
        <v>2882</v>
      </c>
      <c r="TLF1338" s="4" t="s">
        <v>2882</v>
      </c>
      <c r="TLG1338" s="4" t="s">
        <v>2882</v>
      </c>
      <c r="TLH1338" s="4" t="s">
        <v>2882</v>
      </c>
      <c r="TLI1338" s="4" t="s">
        <v>2882</v>
      </c>
      <c r="TLJ1338" s="4" t="s">
        <v>2882</v>
      </c>
      <c r="TLK1338" s="4" t="s">
        <v>2882</v>
      </c>
      <c r="TLL1338" s="4" t="s">
        <v>2882</v>
      </c>
      <c r="TLM1338" s="4" t="s">
        <v>2882</v>
      </c>
      <c r="TLN1338" s="4" t="s">
        <v>2882</v>
      </c>
      <c r="TLO1338" s="4" t="s">
        <v>2882</v>
      </c>
      <c r="TLP1338" s="4" t="s">
        <v>2882</v>
      </c>
      <c r="TLQ1338" s="4" t="s">
        <v>2882</v>
      </c>
      <c r="TLR1338" s="4" t="s">
        <v>2882</v>
      </c>
      <c r="TLS1338" s="4" t="s">
        <v>2882</v>
      </c>
      <c r="TLT1338" s="4" t="s">
        <v>2882</v>
      </c>
      <c r="TLU1338" s="4" t="s">
        <v>2882</v>
      </c>
      <c r="TLV1338" s="4" t="s">
        <v>2882</v>
      </c>
      <c r="TLW1338" s="4" t="s">
        <v>2882</v>
      </c>
      <c r="TLX1338" s="4" t="s">
        <v>2882</v>
      </c>
      <c r="TLY1338" s="4" t="s">
        <v>2882</v>
      </c>
      <c r="TLZ1338" s="4" t="s">
        <v>2882</v>
      </c>
      <c r="TMA1338" s="4" t="s">
        <v>2882</v>
      </c>
      <c r="TMB1338" s="4" t="s">
        <v>2882</v>
      </c>
      <c r="TMC1338" s="4" t="s">
        <v>2882</v>
      </c>
      <c r="TMD1338" s="4" t="s">
        <v>2882</v>
      </c>
      <c r="TME1338" s="4" t="s">
        <v>2882</v>
      </c>
      <c r="TMF1338" s="4" t="s">
        <v>2882</v>
      </c>
      <c r="TMG1338" s="4" t="s">
        <v>2882</v>
      </c>
      <c r="TMH1338" s="4" t="s">
        <v>2882</v>
      </c>
      <c r="TMI1338" s="4" t="s">
        <v>2882</v>
      </c>
      <c r="TMJ1338" s="4" t="s">
        <v>2882</v>
      </c>
      <c r="TMK1338" s="4" t="s">
        <v>2882</v>
      </c>
      <c r="TML1338" s="4" t="s">
        <v>2882</v>
      </c>
      <c r="TMM1338" s="4" t="s">
        <v>2882</v>
      </c>
      <c r="TMN1338" s="4" t="s">
        <v>2882</v>
      </c>
      <c r="TMO1338" s="4" t="s">
        <v>2882</v>
      </c>
      <c r="TMP1338" s="4" t="s">
        <v>2882</v>
      </c>
      <c r="TMQ1338" s="4" t="s">
        <v>2882</v>
      </c>
      <c r="TMR1338" s="4" t="s">
        <v>2882</v>
      </c>
      <c r="TMS1338" s="4" t="s">
        <v>2882</v>
      </c>
      <c r="TMT1338" s="4" t="s">
        <v>2882</v>
      </c>
      <c r="TMU1338" s="4" t="s">
        <v>2882</v>
      </c>
      <c r="TMV1338" s="4" t="s">
        <v>2882</v>
      </c>
      <c r="TMW1338" s="4" t="s">
        <v>2882</v>
      </c>
      <c r="TMX1338" s="4" t="s">
        <v>2882</v>
      </c>
      <c r="TMY1338" s="4" t="s">
        <v>2882</v>
      </c>
      <c r="TMZ1338" s="4" t="s">
        <v>2882</v>
      </c>
      <c r="TNA1338" s="4" t="s">
        <v>2882</v>
      </c>
      <c r="TNB1338" s="4" t="s">
        <v>2882</v>
      </c>
      <c r="TNC1338" s="4" t="s">
        <v>2882</v>
      </c>
      <c r="TND1338" s="4" t="s">
        <v>2882</v>
      </c>
      <c r="TNE1338" s="4" t="s">
        <v>2882</v>
      </c>
      <c r="TNF1338" s="4" t="s">
        <v>2882</v>
      </c>
      <c r="TNG1338" s="4" t="s">
        <v>2882</v>
      </c>
      <c r="TNH1338" s="4" t="s">
        <v>2882</v>
      </c>
      <c r="TNI1338" s="4" t="s">
        <v>2882</v>
      </c>
      <c r="TNJ1338" s="4" t="s">
        <v>2882</v>
      </c>
      <c r="TNK1338" s="4" t="s">
        <v>2882</v>
      </c>
      <c r="TNL1338" s="4" t="s">
        <v>2882</v>
      </c>
      <c r="TNM1338" s="4" t="s">
        <v>2882</v>
      </c>
      <c r="TNN1338" s="4" t="s">
        <v>2882</v>
      </c>
      <c r="TNO1338" s="4" t="s">
        <v>2882</v>
      </c>
      <c r="TNP1338" s="4" t="s">
        <v>2882</v>
      </c>
      <c r="TNQ1338" s="4" t="s">
        <v>2882</v>
      </c>
      <c r="TNR1338" s="4" t="s">
        <v>2882</v>
      </c>
      <c r="TNS1338" s="4" t="s">
        <v>2882</v>
      </c>
      <c r="TNT1338" s="4" t="s">
        <v>2882</v>
      </c>
      <c r="TNU1338" s="4" t="s">
        <v>2882</v>
      </c>
      <c r="TNV1338" s="4" t="s">
        <v>2882</v>
      </c>
      <c r="TNW1338" s="4" t="s">
        <v>2882</v>
      </c>
      <c r="TNX1338" s="4" t="s">
        <v>2882</v>
      </c>
      <c r="TNY1338" s="4" t="s">
        <v>2882</v>
      </c>
      <c r="TNZ1338" s="4" t="s">
        <v>2882</v>
      </c>
      <c r="TOA1338" s="4" t="s">
        <v>2882</v>
      </c>
      <c r="TOB1338" s="4" t="s">
        <v>2882</v>
      </c>
      <c r="TOC1338" s="4" t="s">
        <v>2882</v>
      </c>
      <c r="TOD1338" s="4" t="s">
        <v>2882</v>
      </c>
      <c r="TOE1338" s="4" t="s">
        <v>2882</v>
      </c>
      <c r="TOF1338" s="4" t="s">
        <v>2882</v>
      </c>
      <c r="TOG1338" s="4" t="s">
        <v>2882</v>
      </c>
      <c r="TOH1338" s="4" t="s">
        <v>2882</v>
      </c>
      <c r="TOI1338" s="4" t="s">
        <v>2882</v>
      </c>
      <c r="TOJ1338" s="4" t="s">
        <v>2882</v>
      </c>
      <c r="TOK1338" s="4" t="s">
        <v>2882</v>
      </c>
      <c r="TOL1338" s="4" t="s">
        <v>2882</v>
      </c>
      <c r="TOM1338" s="4" t="s">
        <v>2882</v>
      </c>
      <c r="TON1338" s="4" t="s">
        <v>2882</v>
      </c>
      <c r="TOO1338" s="4" t="s">
        <v>2882</v>
      </c>
      <c r="TOP1338" s="4" t="s">
        <v>2882</v>
      </c>
      <c r="TOQ1338" s="4" t="s">
        <v>2882</v>
      </c>
      <c r="TOR1338" s="4" t="s">
        <v>2882</v>
      </c>
      <c r="TOS1338" s="4" t="s">
        <v>2882</v>
      </c>
      <c r="TOT1338" s="4" t="s">
        <v>2882</v>
      </c>
      <c r="TOU1338" s="4" t="s">
        <v>2882</v>
      </c>
      <c r="TOV1338" s="4" t="s">
        <v>2882</v>
      </c>
      <c r="TOW1338" s="4" t="s">
        <v>2882</v>
      </c>
      <c r="TOX1338" s="4" t="s">
        <v>2882</v>
      </c>
      <c r="TOY1338" s="4" t="s">
        <v>2882</v>
      </c>
      <c r="TOZ1338" s="4" t="s">
        <v>2882</v>
      </c>
      <c r="TPA1338" s="4" t="s">
        <v>2882</v>
      </c>
      <c r="TPB1338" s="4" t="s">
        <v>2882</v>
      </c>
      <c r="TPC1338" s="4" t="s">
        <v>2882</v>
      </c>
      <c r="TPD1338" s="4" t="s">
        <v>2882</v>
      </c>
      <c r="TPE1338" s="4" t="s">
        <v>2882</v>
      </c>
      <c r="TPF1338" s="4" t="s">
        <v>2882</v>
      </c>
      <c r="TPG1338" s="4" t="s">
        <v>2882</v>
      </c>
      <c r="TPH1338" s="4" t="s">
        <v>2882</v>
      </c>
      <c r="TPI1338" s="4" t="s">
        <v>2882</v>
      </c>
      <c r="TPJ1338" s="4" t="s">
        <v>2882</v>
      </c>
      <c r="TPK1338" s="4" t="s">
        <v>2882</v>
      </c>
      <c r="TPL1338" s="4" t="s">
        <v>2882</v>
      </c>
      <c r="TPM1338" s="4" t="s">
        <v>2882</v>
      </c>
      <c r="TPN1338" s="4" t="s">
        <v>2882</v>
      </c>
      <c r="TPO1338" s="4" t="s">
        <v>2882</v>
      </c>
      <c r="TPP1338" s="4" t="s">
        <v>2882</v>
      </c>
      <c r="TPQ1338" s="4" t="s">
        <v>2882</v>
      </c>
      <c r="TPR1338" s="4" t="s">
        <v>2882</v>
      </c>
      <c r="TPS1338" s="4" t="s">
        <v>2882</v>
      </c>
      <c r="TPT1338" s="4" t="s">
        <v>2882</v>
      </c>
      <c r="TPU1338" s="4" t="s">
        <v>2882</v>
      </c>
      <c r="TPV1338" s="4" t="s">
        <v>2882</v>
      </c>
      <c r="TPW1338" s="4" t="s">
        <v>2882</v>
      </c>
      <c r="TPX1338" s="4" t="s">
        <v>2882</v>
      </c>
      <c r="TPY1338" s="4" t="s">
        <v>2882</v>
      </c>
      <c r="TPZ1338" s="4" t="s">
        <v>2882</v>
      </c>
      <c r="TQA1338" s="4" t="s">
        <v>2882</v>
      </c>
      <c r="TQB1338" s="4" t="s">
        <v>2882</v>
      </c>
      <c r="TQC1338" s="4" t="s">
        <v>2882</v>
      </c>
      <c r="TQD1338" s="4" t="s">
        <v>2882</v>
      </c>
      <c r="TQE1338" s="4" t="s">
        <v>2882</v>
      </c>
      <c r="TQF1338" s="4" t="s">
        <v>2882</v>
      </c>
      <c r="TQG1338" s="4" t="s">
        <v>2882</v>
      </c>
      <c r="TQH1338" s="4" t="s">
        <v>2882</v>
      </c>
      <c r="TQI1338" s="4" t="s">
        <v>2882</v>
      </c>
      <c r="TQJ1338" s="4" t="s">
        <v>2882</v>
      </c>
      <c r="TQK1338" s="4" t="s">
        <v>2882</v>
      </c>
      <c r="TQL1338" s="4" t="s">
        <v>2882</v>
      </c>
      <c r="TQM1338" s="4" t="s">
        <v>2882</v>
      </c>
      <c r="TQN1338" s="4" t="s">
        <v>2882</v>
      </c>
      <c r="TQO1338" s="4" t="s">
        <v>2882</v>
      </c>
      <c r="TQP1338" s="4" t="s">
        <v>2882</v>
      </c>
      <c r="TQQ1338" s="4" t="s">
        <v>2882</v>
      </c>
      <c r="TQR1338" s="4" t="s">
        <v>2882</v>
      </c>
      <c r="TQS1338" s="4" t="s">
        <v>2882</v>
      </c>
      <c r="TQT1338" s="4" t="s">
        <v>2882</v>
      </c>
      <c r="TQU1338" s="4" t="s">
        <v>2882</v>
      </c>
      <c r="TQV1338" s="4" t="s">
        <v>2882</v>
      </c>
      <c r="TQW1338" s="4" t="s">
        <v>2882</v>
      </c>
      <c r="TQX1338" s="4" t="s">
        <v>2882</v>
      </c>
      <c r="TQY1338" s="4" t="s">
        <v>2882</v>
      </c>
      <c r="TQZ1338" s="4" t="s">
        <v>2882</v>
      </c>
      <c r="TRA1338" s="4" t="s">
        <v>2882</v>
      </c>
      <c r="TRB1338" s="4" t="s">
        <v>2882</v>
      </c>
      <c r="TRC1338" s="4" t="s">
        <v>2882</v>
      </c>
      <c r="TRD1338" s="4" t="s">
        <v>2882</v>
      </c>
      <c r="TRE1338" s="4" t="s">
        <v>2882</v>
      </c>
      <c r="TRF1338" s="4" t="s">
        <v>2882</v>
      </c>
      <c r="TRG1338" s="4" t="s">
        <v>2882</v>
      </c>
      <c r="TRH1338" s="4" t="s">
        <v>2882</v>
      </c>
      <c r="TRI1338" s="4" t="s">
        <v>2882</v>
      </c>
      <c r="TRJ1338" s="4" t="s">
        <v>2882</v>
      </c>
      <c r="TRK1338" s="4" t="s">
        <v>2882</v>
      </c>
      <c r="TRL1338" s="4" t="s">
        <v>2882</v>
      </c>
      <c r="TRM1338" s="4" t="s">
        <v>2882</v>
      </c>
      <c r="TRN1338" s="4" t="s">
        <v>2882</v>
      </c>
      <c r="TRO1338" s="4" t="s">
        <v>2882</v>
      </c>
      <c r="TRP1338" s="4" t="s">
        <v>2882</v>
      </c>
      <c r="TRQ1338" s="4" t="s">
        <v>2882</v>
      </c>
      <c r="TRR1338" s="4" t="s">
        <v>2882</v>
      </c>
      <c r="TRS1338" s="4" t="s">
        <v>2882</v>
      </c>
      <c r="TRT1338" s="4" t="s">
        <v>2882</v>
      </c>
      <c r="TRU1338" s="4" t="s">
        <v>2882</v>
      </c>
      <c r="TRV1338" s="4" t="s">
        <v>2882</v>
      </c>
      <c r="TRW1338" s="4" t="s">
        <v>2882</v>
      </c>
      <c r="TRX1338" s="4" t="s">
        <v>2882</v>
      </c>
      <c r="TRY1338" s="4" t="s">
        <v>2882</v>
      </c>
      <c r="TRZ1338" s="4" t="s">
        <v>2882</v>
      </c>
      <c r="TSA1338" s="4" t="s">
        <v>2882</v>
      </c>
      <c r="TSB1338" s="4" t="s">
        <v>2882</v>
      </c>
      <c r="TSC1338" s="4" t="s">
        <v>2882</v>
      </c>
      <c r="TSD1338" s="4" t="s">
        <v>2882</v>
      </c>
      <c r="TSE1338" s="4" t="s">
        <v>2882</v>
      </c>
      <c r="TSF1338" s="4" t="s">
        <v>2882</v>
      </c>
      <c r="TSG1338" s="4" t="s">
        <v>2882</v>
      </c>
      <c r="TSH1338" s="4" t="s">
        <v>2882</v>
      </c>
      <c r="TSI1338" s="4" t="s">
        <v>2882</v>
      </c>
      <c r="TSJ1338" s="4" t="s">
        <v>2882</v>
      </c>
      <c r="TSK1338" s="4" t="s">
        <v>2882</v>
      </c>
      <c r="TSL1338" s="4" t="s">
        <v>2882</v>
      </c>
      <c r="TSM1338" s="4" t="s">
        <v>2882</v>
      </c>
      <c r="TSN1338" s="4" t="s">
        <v>2882</v>
      </c>
      <c r="TSO1338" s="4" t="s">
        <v>2882</v>
      </c>
      <c r="TSP1338" s="4" t="s">
        <v>2882</v>
      </c>
      <c r="TSQ1338" s="4" t="s">
        <v>2882</v>
      </c>
      <c r="TSR1338" s="4" t="s">
        <v>2882</v>
      </c>
      <c r="TSS1338" s="4" t="s">
        <v>2882</v>
      </c>
      <c r="TST1338" s="4" t="s">
        <v>2882</v>
      </c>
      <c r="TSU1338" s="4" t="s">
        <v>2882</v>
      </c>
      <c r="TSV1338" s="4" t="s">
        <v>2882</v>
      </c>
      <c r="TSW1338" s="4" t="s">
        <v>2882</v>
      </c>
      <c r="TSX1338" s="4" t="s">
        <v>2882</v>
      </c>
      <c r="TSY1338" s="4" t="s">
        <v>2882</v>
      </c>
      <c r="TSZ1338" s="4" t="s">
        <v>2882</v>
      </c>
      <c r="TTA1338" s="4" t="s">
        <v>2882</v>
      </c>
      <c r="TTB1338" s="4" t="s">
        <v>2882</v>
      </c>
      <c r="TTC1338" s="4" t="s">
        <v>2882</v>
      </c>
      <c r="TTD1338" s="4" t="s">
        <v>2882</v>
      </c>
      <c r="TTE1338" s="4" t="s">
        <v>2882</v>
      </c>
      <c r="TTF1338" s="4" t="s">
        <v>2882</v>
      </c>
      <c r="TTG1338" s="4" t="s">
        <v>2882</v>
      </c>
      <c r="TTH1338" s="4" t="s">
        <v>2882</v>
      </c>
      <c r="TTI1338" s="4" t="s">
        <v>2882</v>
      </c>
      <c r="TTJ1338" s="4" t="s">
        <v>2882</v>
      </c>
      <c r="TTK1338" s="4" t="s">
        <v>2882</v>
      </c>
      <c r="TTL1338" s="4" t="s">
        <v>2882</v>
      </c>
      <c r="TTM1338" s="4" t="s">
        <v>2882</v>
      </c>
      <c r="TTN1338" s="4" t="s">
        <v>2882</v>
      </c>
      <c r="TTO1338" s="4" t="s">
        <v>2882</v>
      </c>
      <c r="TTP1338" s="4" t="s">
        <v>2882</v>
      </c>
      <c r="TTQ1338" s="4" t="s">
        <v>2882</v>
      </c>
      <c r="TTR1338" s="4" t="s">
        <v>2882</v>
      </c>
      <c r="TTS1338" s="4" t="s">
        <v>2882</v>
      </c>
      <c r="TTT1338" s="4" t="s">
        <v>2882</v>
      </c>
      <c r="TTU1338" s="4" t="s">
        <v>2882</v>
      </c>
      <c r="TTV1338" s="4" t="s">
        <v>2882</v>
      </c>
      <c r="TTW1338" s="4" t="s">
        <v>2882</v>
      </c>
      <c r="TTX1338" s="4" t="s">
        <v>2882</v>
      </c>
      <c r="TTY1338" s="4" t="s">
        <v>2882</v>
      </c>
      <c r="TTZ1338" s="4" t="s">
        <v>2882</v>
      </c>
      <c r="TUA1338" s="4" t="s">
        <v>2882</v>
      </c>
      <c r="TUB1338" s="4" t="s">
        <v>2882</v>
      </c>
      <c r="TUC1338" s="4" t="s">
        <v>2882</v>
      </c>
      <c r="TUD1338" s="4" t="s">
        <v>2882</v>
      </c>
      <c r="TUE1338" s="4" t="s">
        <v>2882</v>
      </c>
      <c r="TUF1338" s="4" t="s">
        <v>2882</v>
      </c>
      <c r="TUG1338" s="4" t="s">
        <v>2882</v>
      </c>
      <c r="TUH1338" s="4" t="s">
        <v>2882</v>
      </c>
      <c r="TUI1338" s="4" t="s">
        <v>2882</v>
      </c>
      <c r="TUJ1338" s="4" t="s">
        <v>2882</v>
      </c>
      <c r="TUK1338" s="4" t="s">
        <v>2882</v>
      </c>
      <c r="TUL1338" s="4" t="s">
        <v>2882</v>
      </c>
      <c r="TUM1338" s="4" t="s">
        <v>2882</v>
      </c>
      <c r="TUN1338" s="4" t="s">
        <v>2882</v>
      </c>
      <c r="TUO1338" s="4" t="s">
        <v>2882</v>
      </c>
      <c r="TUP1338" s="4" t="s">
        <v>2882</v>
      </c>
      <c r="TUQ1338" s="4" t="s">
        <v>2882</v>
      </c>
      <c r="TUR1338" s="4" t="s">
        <v>2882</v>
      </c>
      <c r="TUS1338" s="4" t="s">
        <v>2882</v>
      </c>
      <c r="TUT1338" s="4" t="s">
        <v>2882</v>
      </c>
      <c r="TUU1338" s="4" t="s">
        <v>2882</v>
      </c>
      <c r="TUV1338" s="4" t="s">
        <v>2882</v>
      </c>
      <c r="TUW1338" s="4" t="s">
        <v>2882</v>
      </c>
      <c r="TUX1338" s="4" t="s">
        <v>2882</v>
      </c>
      <c r="TUY1338" s="4" t="s">
        <v>2882</v>
      </c>
      <c r="TUZ1338" s="4" t="s">
        <v>2882</v>
      </c>
      <c r="TVA1338" s="4" t="s">
        <v>2882</v>
      </c>
      <c r="TVB1338" s="4" t="s">
        <v>2882</v>
      </c>
      <c r="TVC1338" s="4" t="s">
        <v>2882</v>
      </c>
      <c r="TVD1338" s="4" t="s">
        <v>2882</v>
      </c>
      <c r="TVE1338" s="4" t="s">
        <v>2882</v>
      </c>
      <c r="TVF1338" s="4" t="s">
        <v>2882</v>
      </c>
      <c r="TVG1338" s="4" t="s">
        <v>2882</v>
      </c>
      <c r="TVH1338" s="4" t="s">
        <v>2882</v>
      </c>
      <c r="TVI1338" s="4" t="s">
        <v>2882</v>
      </c>
      <c r="TVJ1338" s="4" t="s">
        <v>2882</v>
      </c>
      <c r="TVK1338" s="4" t="s">
        <v>2882</v>
      </c>
      <c r="TVL1338" s="4" t="s">
        <v>2882</v>
      </c>
      <c r="TVM1338" s="4" t="s">
        <v>2882</v>
      </c>
      <c r="TVN1338" s="4" t="s">
        <v>2882</v>
      </c>
      <c r="TVO1338" s="4" t="s">
        <v>2882</v>
      </c>
      <c r="TVP1338" s="4" t="s">
        <v>2882</v>
      </c>
      <c r="TVQ1338" s="4" t="s">
        <v>2882</v>
      </c>
      <c r="TVR1338" s="4" t="s">
        <v>2882</v>
      </c>
      <c r="TVS1338" s="4" t="s">
        <v>2882</v>
      </c>
      <c r="TVT1338" s="4" t="s">
        <v>2882</v>
      </c>
      <c r="TVU1338" s="4" t="s">
        <v>2882</v>
      </c>
      <c r="TVV1338" s="4" t="s">
        <v>2882</v>
      </c>
      <c r="TVW1338" s="4" t="s">
        <v>2882</v>
      </c>
      <c r="TVX1338" s="4" t="s">
        <v>2882</v>
      </c>
      <c r="TVY1338" s="4" t="s">
        <v>2882</v>
      </c>
      <c r="TVZ1338" s="4" t="s">
        <v>2882</v>
      </c>
      <c r="TWA1338" s="4" t="s">
        <v>2882</v>
      </c>
      <c r="TWB1338" s="4" t="s">
        <v>2882</v>
      </c>
      <c r="TWC1338" s="4" t="s">
        <v>2882</v>
      </c>
      <c r="TWD1338" s="4" t="s">
        <v>2882</v>
      </c>
      <c r="TWE1338" s="4" t="s">
        <v>2882</v>
      </c>
      <c r="TWF1338" s="4" t="s">
        <v>2882</v>
      </c>
      <c r="TWG1338" s="4" t="s">
        <v>2882</v>
      </c>
      <c r="TWH1338" s="4" t="s">
        <v>2882</v>
      </c>
      <c r="TWI1338" s="4" t="s">
        <v>2882</v>
      </c>
      <c r="TWJ1338" s="4" t="s">
        <v>2882</v>
      </c>
      <c r="TWK1338" s="4" t="s">
        <v>2882</v>
      </c>
      <c r="TWL1338" s="4" t="s">
        <v>2882</v>
      </c>
      <c r="TWM1338" s="4" t="s">
        <v>2882</v>
      </c>
      <c r="TWN1338" s="4" t="s">
        <v>2882</v>
      </c>
      <c r="TWO1338" s="4" t="s">
        <v>2882</v>
      </c>
      <c r="TWP1338" s="4" t="s">
        <v>2882</v>
      </c>
      <c r="TWQ1338" s="4" t="s">
        <v>2882</v>
      </c>
      <c r="TWR1338" s="4" t="s">
        <v>2882</v>
      </c>
      <c r="TWS1338" s="4" t="s">
        <v>2882</v>
      </c>
      <c r="TWT1338" s="4" t="s">
        <v>2882</v>
      </c>
      <c r="TWU1338" s="4" t="s">
        <v>2882</v>
      </c>
      <c r="TWV1338" s="4" t="s">
        <v>2882</v>
      </c>
      <c r="TWW1338" s="4" t="s">
        <v>2882</v>
      </c>
      <c r="TWX1338" s="4" t="s">
        <v>2882</v>
      </c>
      <c r="TWY1338" s="4" t="s">
        <v>2882</v>
      </c>
      <c r="TWZ1338" s="4" t="s">
        <v>2882</v>
      </c>
      <c r="TXA1338" s="4" t="s">
        <v>2882</v>
      </c>
      <c r="TXB1338" s="4" t="s">
        <v>2882</v>
      </c>
      <c r="TXC1338" s="4" t="s">
        <v>2882</v>
      </c>
      <c r="TXD1338" s="4" t="s">
        <v>2882</v>
      </c>
      <c r="TXE1338" s="4" t="s">
        <v>2882</v>
      </c>
      <c r="TXF1338" s="4" t="s">
        <v>2882</v>
      </c>
      <c r="TXG1338" s="4" t="s">
        <v>2882</v>
      </c>
      <c r="TXH1338" s="4" t="s">
        <v>2882</v>
      </c>
      <c r="TXI1338" s="4" t="s">
        <v>2882</v>
      </c>
      <c r="TXJ1338" s="4" t="s">
        <v>2882</v>
      </c>
      <c r="TXK1338" s="4" t="s">
        <v>2882</v>
      </c>
      <c r="TXL1338" s="4" t="s">
        <v>2882</v>
      </c>
      <c r="TXM1338" s="4" t="s">
        <v>2882</v>
      </c>
      <c r="TXN1338" s="4" t="s">
        <v>2882</v>
      </c>
      <c r="TXO1338" s="4" t="s">
        <v>2882</v>
      </c>
      <c r="TXP1338" s="4" t="s">
        <v>2882</v>
      </c>
      <c r="TXQ1338" s="4" t="s">
        <v>2882</v>
      </c>
      <c r="TXR1338" s="4" t="s">
        <v>2882</v>
      </c>
      <c r="TXS1338" s="4" t="s">
        <v>2882</v>
      </c>
      <c r="TXT1338" s="4" t="s">
        <v>2882</v>
      </c>
      <c r="TXU1338" s="4" t="s">
        <v>2882</v>
      </c>
      <c r="TXV1338" s="4" t="s">
        <v>2882</v>
      </c>
      <c r="TXW1338" s="4" t="s">
        <v>2882</v>
      </c>
      <c r="TXX1338" s="4" t="s">
        <v>2882</v>
      </c>
      <c r="TXY1338" s="4" t="s">
        <v>2882</v>
      </c>
      <c r="TXZ1338" s="4" t="s">
        <v>2882</v>
      </c>
      <c r="TYA1338" s="4" t="s">
        <v>2882</v>
      </c>
      <c r="TYB1338" s="4" t="s">
        <v>2882</v>
      </c>
      <c r="TYC1338" s="4" t="s">
        <v>2882</v>
      </c>
      <c r="TYD1338" s="4" t="s">
        <v>2882</v>
      </c>
      <c r="TYE1338" s="4" t="s">
        <v>2882</v>
      </c>
      <c r="TYF1338" s="4" t="s">
        <v>2882</v>
      </c>
      <c r="TYG1338" s="4" t="s">
        <v>2882</v>
      </c>
      <c r="TYH1338" s="4" t="s">
        <v>2882</v>
      </c>
      <c r="TYI1338" s="4" t="s">
        <v>2882</v>
      </c>
      <c r="TYJ1338" s="4" t="s">
        <v>2882</v>
      </c>
      <c r="TYK1338" s="4" t="s">
        <v>2882</v>
      </c>
      <c r="TYL1338" s="4" t="s">
        <v>2882</v>
      </c>
      <c r="TYM1338" s="4" t="s">
        <v>2882</v>
      </c>
      <c r="TYN1338" s="4" t="s">
        <v>2882</v>
      </c>
      <c r="TYO1338" s="4" t="s">
        <v>2882</v>
      </c>
      <c r="TYP1338" s="4" t="s">
        <v>2882</v>
      </c>
      <c r="TYQ1338" s="4" t="s">
        <v>2882</v>
      </c>
      <c r="TYR1338" s="4" t="s">
        <v>2882</v>
      </c>
      <c r="TYS1338" s="4" t="s">
        <v>2882</v>
      </c>
      <c r="TYT1338" s="4" t="s">
        <v>2882</v>
      </c>
      <c r="TYU1338" s="4" t="s">
        <v>2882</v>
      </c>
      <c r="TYV1338" s="4" t="s">
        <v>2882</v>
      </c>
      <c r="TYW1338" s="4" t="s">
        <v>2882</v>
      </c>
      <c r="TYX1338" s="4" t="s">
        <v>2882</v>
      </c>
      <c r="TYY1338" s="4" t="s">
        <v>2882</v>
      </c>
      <c r="TYZ1338" s="4" t="s">
        <v>2882</v>
      </c>
      <c r="TZA1338" s="4" t="s">
        <v>2882</v>
      </c>
      <c r="TZB1338" s="4" t="s">
        <v>2882</v>
      </c>
      <c r="TZC1338" s="4" t="s">
        <v>2882</v>
      </c>
      <c r="TZD1338" s="4" t="s">
        <v>2882</v>
      </c>
      <c r="TZE1338" s="4" t="s">
        <v>2882</v>
      </c>
      <c r="TZF1338" s="4" t="s">
        <v>2882</v>
      </c>
      <c r="TZG1338" s="4" t="s">
        <v>2882</v>
      </c>
      <c r="TZH1338" s="4" t="s">
        <v>2882</v>
      </c>
      <c r="TZI1338" s="4" t="s">
        <v>2882</v>
      </c>
      <c r="TZJ1338" s="4" t="s">
        <v>2882</v>
      </c>
      <c r="TZK1338" s="4" t="s">
        <v>2882</v>
      </c>
      <c r="TZL1338" s="4" t="s">
        <v>2882</v>
      </c>
      <c r="TZM1338" s="4" t="s">
        <v>2882</v>
      </c>
      <c r="TZN1338" s="4" t="s">
        <v>2882</v>
      </c>
      <c r="TZO1338" s="4" t="s">
        <v>2882</v>
      </c>
      <c r="TZP1338" s="4" t="s">
        <v>2882</v>
      </c>
      <c r="TZQ1338" s="4" t="s">
        <v>2882</v>
      </c>
      <c r="TZR1338" s="4" t="s">
        <v>2882</v>
      </c>
      <c r="TZS1338" s="4" t="s">
        <v>2882</v>
      </c>
      <c r="TZT1338" s="4" t="s">
        <v>2882</v>
      </c>
      <c r="TZU1338" s="4" t="s">
        <v>2882</v>
      </c>
      <c r="TZV1338" s="4" t="s">
        <v>2882</v>
      </c>
      <c r="TZW1338" s="4" t="s">
        <v>2882</v>
      </c>
      <c r="TZX1338" s="4" t="s">
        <v>2882</v>
      </c>
      <c r="TZY1338" s="4" t="s">
        <v>2882</v>
      </c>
      <c r="TZZ1338" s="4" t="s">
        <v>2882</v>
      </c>
      <c r="UAA1338" s="4" t="s">
        <v>2882</v>
      </c>
      <c r="UAB1338" s="4" t="s">
        <v>2882</v>
      </c>
      <c r="UAC1338" s="4" t="s">
        <v>2882</v>
      </c>
      <c r="UAD1338" s="4" t="s">
        <v>2882</v>
      </c>
      <c r="UAE1338" s="4" t="s">
        <v>2882</v>
      </c>
      <c r="UAF1338" s="4" t="s">
        <v>2882</v>
      </c>
      <c r="UAG1338" s="4" t="s">
        <v>2882</v>
      </c>
      <c r="UAH1338" s="4" t="s">
        <v>2882</v>
      </c>
      <c r="UAI1338" s="4" t="s">
        <v>2882</v>
      </c>
      <c r="UAJ1338" s="4" t="s">
        <v>2882</v>
      </c>
      <c r="UAK1338" s="4" t="s">
        <v>2882</v>
      </c>
      <c r="UAL1338" s="4" t="s">
        <v>2882</v>
      </c>
      <c r="UAM1338" s="4" t="s">
        <v>2882</v>
      </c>
      <c r="UAN1338" s="4" t="s">
        <v>2882</v>
      </c>
      <c r="UAO1338" s="4" t="s">
        <v>2882</v>
      </c>
      <c r="UAP1338" s="4" t="s">
        <v>2882</v>
      </c>
      <c r="UAQ1338" s="4" t="s">
        <v>2882</v>
      </c>
      <c r="UAR1338" s="4" t="s">
        <v>2882</v>
      </c>
      <c r="UAS1338" s="4" t="s">
        <v>2882</v>
      </c>
      <c r="UAT1338" s="4" t="s">
        <v>2882</v>
      </c>
      <c r="UAU1338" s="4" t="s">
        <v>2882</v>
      </c>
      <c r="UAV1338" s="4" t="s">
        <v>2882</v>
      </c>
      <c r="UAW1338" s="4" t="s">
        <v>2882</v>
      </c>
      <c r="UAX1338" s="4" t="s">
        <v>2882</v>
      </c>
      <c r="UAY1338" s="4" t="s">
        <v>2882</v>
      </c>
      <c r="UAZ1338" s="4" t="s">
        <v>2882</v>
      </c>
      <c r="UBA1338" s="4" t="s">
        <v>2882</v>
      </c>
      <c r="UBB1338" s="4" t="s">
        <v>2882</v>
      </c>
      <c r="UBC1338" s="4" t="s">
        <v>2882</v>
      </c>
      <c r="UBD1338" s="4" t="s">
        <v>2882</v>
      </c>
      <c r="UBE1338" s="4" t="s">
        <v>2882</v>
      </c>
      <c r="UBF1338" s="4" t="s">
        <v>2882</v>
      </c>
      <c r="UBG1338" s="4" t="s">
        <v>2882</v>
      </c>
      <c r="UBH1338" s="4" t="s">
        <v>2882</v>
      </c>
      <c r="UBI1338" s="4" t="s">
        <v>2882</v>
      </c>
      <c r="UBJ1338" s="4" t="s">
        <v>2882</v>
      </c>
      <c r="UBK1338" s="4" t="s">
        <v>2882</v>
      </c>
      <c r="UBL1338" s="4" t="s">
        <v>2882</v>
      </c>
      <c r="UBM1338" s="4" t="s">
        <v>2882</v>
      </c>
      <c r="UBN1338" s="4" t="s">
        <v>2882</v>
      </c>
      <c r="UBO1338" s="4" t="s">
        <v>2882</v>
      </c>
      <c r="UBP1338" s="4" t="s">
        <v>2882</v>
      </c>
      <c r="UBQ1338" s="4" t="s">
        <v>2882</v>
      </c>
      <c r="UBR1338" s="4" t="s">
        <v>2882</v>
      </c>
      <c r="UBS1338" s="4" t="s">
        <v>2882</v>
      </c>
      <c r="UBT1338" s="4" t="s">
        <v>2882</v>
      </c>
      <c r="UBU1338" s="4" t="s">
        <v>2882</v>
      </c>
      <c r="UBV1338" s="4" t="s">
        <v>2882</v>
      </c>
      <c r="UBW1338" s="4" t="s">
        <v>2882</v>
      </c>
      <c r="UBX1338" s="4" t="s">
        <v>2882</v>
      </c>
      <c r="UBY1338" s="4" t="s">
        <v>2882</v>
      </c>
      <c r="UBZ1338" s="4" t="s">
        <v>2882</v>
      </c>
      <c r="UCA1338" s="4" t="s">
        <v>2882</v>
      </c>
      <c r="UCB1338" s="4" t="s">
        <v>2882</v>
      </c>
      <c r="UCC1338" s="4" t="s">
        <v>2882</v>
      </c>
      <c r="UCD1338" s="4" t="s">
        <v>2882</v>
      </c>
      <c r="UCE1338" s="4" t="s">
        <v>2882</v>
      </c>
      <c r="UCF1338" s="4" t="s">
        <v>2882</v>
      </c>
      <c r="UCG1338" s="4" t="s">
        <v>2882</v>
      </c>
      <c r="UCH1338" s="4" t="s">
        <v>2882</v>
      </c>
      <c r="UCI1338" s="4" t="s">
        <v>2882</v>
      </c>
      <c r="UCJ1338" s="4" t="s">
        <v>2882</v>
      </c>
      <c r="UCK1338" s="4" t="s">
        <v>2882</v>
      </c>
      <c r="UCL1338" s="4" t="s">
        <v>2882</v>
      </c>
      <c r="UCM1338" s="4" t="s">
        <v>2882</v>
      </c>
      <c r="UCN1338" s="4" t="s">
        <v>2882</v>
      </c>
      <c r="UCO1338" s="4" t="s">
        <v>2882</v>
      </c>
      <c r="UCP1338" s="4" t="s">
        <v>2882</v>
      </c>
      <c r="UCQ1338" s="4" t="s">
        <v>2882</v>
      </c>
      <c r="UCR1338" s="4" t="s">
        <v>2882</v>
      </c>
      <c r="UCS1338" s="4" t="s">
        <v>2882</v>
      </c>
      <c r="UCT1338" s="4" t="s">
        <v>2882</v>
      </c>
      <c r="UCU1338" s="4" t="s">
        <v>2882</v>
      </c>
      <c r="UCV1338" s="4" t="s">
        <v>2882</v>
      </c>
      <c r="UCW1338" s="4" t="s">
        <v>2882</v>
      </c>
      <c r="UCX1338" s="4" t="s">
        <v>2882</v>
      </c>
      <c r="UCY1338" s="4" t="s">
        <v>2882</v>
      </c>
      <c r="UCZ1338" s="4" t="s">
        <v>2882</v>
      </c>
      <c r="UDA1338" s="4" t="s">
        <v>2882</v>
      </c>
      <c r="UDB1338" s="4" t="s">
        <v>2882</v>
      </c>
      <c r="UDC1338" s="4" t="s">
        <v>2882</v>
      </c>
      <c r="UDD1338" s="4" t="s">
        <v>2882</v>
      </c>
      <c r="UDE1338" s="4" t="s">
        <v>2882</v>
      </c>
      <c r="UDF1338" s="4" t="s">
        <v>2882</v>
      </c>
      <c r="UDG1338" s="4" t="s">
        <v>2882</v>
      </c>
      <c r="UDH1338" s="4" t="s">
        <v>2882</v>
      </c>
      <c r="UDI1338" s="4" t="s">
        <v>2882</v>
      </c>
      <c r="UDJ1338" s="4" t="s">
        <v>2882</v>
      </c>
      <c r="UDK1338" s="4" t="s">
        <v>2882</v>
      </c>
      <c r="UDL1338" s="4" t="s">
        <v>2882</v>
      </c>
      <c r="UDM1338" s="4" t="s">
        <v>2882</v>
      </c>
      <c r="UDN1338" s="4" t="s">
        <v>2882</v>
      </c>
      <c r="UDO1338" s="4" t="s">
        <v>2882</v>
      </c>
      <c r="UDP1338" s="4" t="s">
        <v>2882</v>
      </c>
      <c r="UDQ1338" s="4" t="s">
        <v>2882</v>
      </c>
      <c r="UDR1338" s="4" t="s">
        <v>2882</v>
      </c>
      <c r="UDS1338" s="4" t="s">
        <v>2882</v>
      </c>
      <c r="UDT1338" s="4" t="s">
        <v>2882</v>
      </c>
      <c r="UDU1338" s="4" t="s">
        <v>2882</v>
      </c>
      <c r="UDV1338" s="4" t="s">
        <v>2882</v>
      </c>
      <c r="UDW1338" s="4" t="s">
        <v>2882</v>
      </c>
      <c r="UDX1338" s="4" t="s">
        <v>2882</v>
      </c>
      <c r="UDY1338" s="4" t="s">
        <v>2882</v>
      </c>
      <c r="UDZ1338" s="4" t="s">
        <v>2882</v>
      </c>
      <c r="UEA1338" s="4" t="s">
        <v>2882</v>
      </c>
      <c r="UEB1338" s="4" t="s">
        <v>2882</v>
      </c>
      <c r="UEC1338" s="4" t="s">
        <v>2882</v>
      </c>
      <c r="UED1338" s="4" t="s">
        <v>2882</v>
      </c>
      <c r="UEE1338" s="4" t="s">
        <v>2882</v>
      </c>
      <c r="UEF1338" s="4" t="s">
        <v>2882</v>
      </c>
      <c r="UEG1338" s="4" t="s">
        <v>2882</v>
      </c>
      <c r="UEH1338" s="4" t="s">
        <v>2882</v>
      </c>
      <c r="UEI1338" s="4" t="s">
        <v>2882</v>
      </c>
      <c r="UEJ1338" s="4" t="s">
        <v>2882</v>
      </c>
      <c r="UEK1338" s="4" t="s">
        <v>2882</v>
      </c>
      <c r="UEL1338" s="4" t="s">
        <v>2882</v>
      </c>
      <c r="UEM1338" s="4" t="s">
        <v>2882</v>
      </c>
      <c r="UEN1338" s="4" t="s">
        <v>2882</v>
      </c>
      <c r="UEO1338" s="4" t="s">
        <v>2882</v>
      </c>
      <c r="UEP1338" s="4" t="s">
        <v>2882</v>
      </c>
      <c r="UEQ1338" s="4" t="s">
        <v>2882</v>
      </c>
      <c r="UER1338" s="4" t="s">
        <v>2882</v>
      </c>
      <c r="UES1338" s="4" t="s">
        <v>2882</v>
      </c>
      <c r="UET1338" s="4" t="s">
        <v>2882</v>
      </c>
      <c r="UEU1338" s="4" t="s">
        <v>2882</v>
      </c>
      <c r="UEV1338" s="4" t="s">
        <v>2882</v>
      </c>
      <c r="UEW1338" s="4" t="s">
        <v>2882</v>
      </c>
      <c r="UEX1338" s="4" t="s">
        <v>2882</v>
      </c>
      <c r="UEY1338" s="4" t="s">
        <v>2882</v>
      </c>
      <c r="UEZ1338" s="4" t="s">
        <v>2882</v>
      </c>
      <c r="UFA1338" s="4" t="s">
        <v>2882</v>
      </c>
      <c r="UFB1338" s="4" t="s">
        <v>2882</v>
      </c>
      <c r="UFC1338" s="4" t="s">
        <v>2882</v>
      </c>
      <c r="UFD1338" s="4" t="s">
        <v>2882</v>
      </c>
      <c r="UFE1338" s="4" t="s">
        <v>2882</v>
      </c>
      <c r="UFF1338" s="4" t="s">
        <v>2882</v>
      </c>
      <c r="UFG1338" s="4" t="s">
        <v>2882</v>
      </c>
      <c r="UFH1338" s="4" t="s">
        <v>2882</v>
      </c>
      <c r="UFI1338" s="4" t="s">
        <v>2882</v>
      </c>
      <c r="UFJ1338" s="4" t="s">
        <v>2882</v>
      </c>
      <c r="UFK1338" s="4" t="s">
        <v>2882</v>
      </c>
      <c r="UFL1338" s="4" t="s">
        <v>2882</v>
      </c>
      <c r="UFM1338" s="4" t="s">
        <v>2882</v>
      </c>
      <c r="UFN1338" s="4" t="s">
        <v>2882</v>
      </c>
      <c r="UFO1338" s="4" t="s">
        <v>2882</v>
      </c>
      <c r="UFP1338" s="4" t="s">
        <v>2882</v>
      </c>
      <c r="UFQ1338" s="4" t="s">
        <v>2882</v>
      </c>
      <c r="UFR1338" s="4" t="s">
        <v>2882</v>
      </c>
      <c r="UFS1338" s="4" t="s">
        <v>2882</v>
      </c>
      <c r="UFT1338" s="4" t="s">
        <v>2882</v>
      </c>
      <c r="UFU1338" s="4" t="s">
        <v>2882</v>
      </c>
      <c r="UFV1338" s="4" t="s">
        <v>2882</v>
      </c>
      <c r="UFW1338" s="4" t="s">
        <v>2882</v>
      </c>
      <c r="UFX1338" s="4" t="s">
        <v>2882</v>
      </c>
      <c r="UFY1338" s="4" t="s">
        <v>2882</v>
      </c>
      <c r="UFZ1338" s="4" t="s">
        <v>2882</v>
      </c>
      <c r="UGA1338" s="4" t="s">
        <v>2882</v>
      </c>
      <c r="UGB1338" s="4" t="s">
        <v>2882</v>
      </c>
      <c r="UGC1338" s="4" t="s">
        <v>2882</v>
      </c>
      <c r="UGD1338" s="4" t="s">
        <v>2882</v>
      </c>
      <c r="UGE1338" s="4" t="s">
        <v>2882</v>
      </c>
      <c r="UGF1338" s="4" t="s">
        <v>2882</v>
      </c>
      <c r="UGG1338" s="4" t="s">
        <v>2882</v>
      </c>
      <c r="UGH1338" s="4" t="s">
        <v>2882</v>
      </c>
      <c r="UGI1338" s="4" t="s">
        <v>2882</v>
      </c>
      <c r="UGJ1338" s="4" t="s">
        <v>2882</v>
      </c>
      <c r="UGK1338" s="4" t="s">
        <v>2882</v>
      </c>
      <c r="UGL1338" s="4" t="s">
        <v>2882</v>
      </c>
      <c r="UGM1338" s="4" t="s">
        <v>2882</v>
      </c>
      <c r="UGN1338" s="4" t="s">
        <v>2882</v>
      </c>
      <c r="UGO1338" s="4" t="s">
        <v>2882</v>
      </c>
      <c r="UGP1338" s="4" t="s">
        <v>2882</v>
      </c>
      <c r="UGQ1338" s="4" t="s">
        <v>2882</v>
      </c>
      <c r="UGR1338" s="4" t="s">
        <v>2882</v>
      </c>
      <c r="UGS1338" s="4" t="s">
        <v>2882</v>
      </c>
      <c r="UGT1338" s="4" t="s">
        <v>2882</v>
      </c>
      <c r="UGU1338" s="4" t="s">
        <v>2882</v>
      </c>
      <c r="UGV1338" s="4" t="s">
        <v>2882</v>
      </c>
      <c r="UGW1338" s="4" t="s">
        <v>2882</v>
      </c>
      <c r="UGX1338" s="4" t="s">
        <v>2882</v>
      </c>
      <c r="UGY1338" s="4" t="s">
        <v>2882</v>
      </c>
      <c r="UGZ1338" s="4" t="s">
        <v>2882</v>
      </c>
      <c r="UHA1338" s="4" t="s">
        <v>2882</v>
      </c>
      <c r="UHB1338" s="4" t="s">
        <v>2882</v>
      </c>
      <c r="UHC1338" s="4" t="s">
        <v>2882</v>
      </c>
      <c r="UHD1338" s="4" t="s">
        <v>2882</v>
      </c>
      <c r="UHE1338" s="4" t="s">
        <v>2882</v>
      </c>
      <c r="UHF1338" s="4" t="s">
        <v>2882</v>
      </c>
      <c r="UHG1338" s="4" t="s">
        <v>2882</v>
      </c>
      <c r="UHH1338" s="4" t="s">
        <v>2882</v>
      </c>
      <c r="UHI1338" s="4" t="s">
        <v>2882</v>
      </c>
      <c r="UHJ1338" s="4" t="s">
        <v>2882</v>
      </c>
      <c r="UHK1338" s="4" t="s">
        <v>2882</v>
      </c>
      <c r="UHL1338" s="4" t="s">
        <v>2882</v>
      </c>
      <c r="UHM1338" s="4" t="s">
        <v>2882</v>
      </c>
      <c r="UHN1338" s="4" t="s">
        <v>2882</v>
      </c>
      <c r="UHO1338" s="4" t="s">
        <v>2882</v>
      </c>
      <c r="UHP1338" s="4" t="s">
        <v>2882</v>
      </c>
      <c r="UHQ1338" s="4" t="s">
        <v>2882</v>
      </c>
      <c r="UHR1338" s="4" t="s">
        <v>2882</v>
      </c>
      <c r="UHS1338" s="4" t="s">
        <v>2882</v>
      </c>
      <c r="UHT1338" s="4" t="s">
        <v>2882</v>
      </c>
      <c r="UHU1338" s="4" t="s">
        <v>2882</v>
      </c>
      <c r="UHV1338" s="4" t="s">
        <v>2882</v>
      </c>
      <c r="UHW1338" s="4" t="s">
        <v>2882</v>
      </c>
      <c r="UHX1338" s="4" t="s">
        <v>2882</v>
      </c>
      <c r="UHY1338" s="4" t="s">
        <v>2882</v>
      </c>
      <c r="UHZ1338" s="4" t="s">
        <v>2882</v>
      </c>
      <c r="UIA1338" s="4" t="s">
        <v>2882</v>
      </c>
      <c r="UIB1338" s="4" t="s">
        <v>2882</v>
      </c>
      <c r="UIC1338" s="4" t="s">
        <v>2882</v>
      </c>
      <c r="UID1338" s="4" t="s">
        <v>2882</v>
      </c>
      <c r="UIE1338" s="4" t="s">
        <v>2882</v>
      </c>
      <c r="UIF1338" s="4" t="s">
        <v>2882</v>
      </c>
      <c r="UIG1338" s="4" t="s">
        <v>2882</v>
      </c>
      <c r="UIH1338" s="4" t="s">
        <v>2882</v>
      </c>
      <c r="UII1338" s="4" t="s">
        <v>2882</v>
      </c>
      <c r="UIJ1338" s="4" t="s">
        <v>2882</v>
      </c>
      <c r="UIK1338" s="4" t="s">
        <v>2882</v>
      </c>
      <c r="UIL1338" s="4" t="s">
        <v>2882</v>
      </c>
      <c r="UIM1338" s="4" t="s">
        <v>2882</v>
      </c>
      <c r="UIN1338" s="4" t="s">
        <v>2882</v>
      </c>
      <c r="UIO1338" s="4" t="s">
        <v>2882</v>
      </c>
      <c r="UIP1338" s="4" t="s">
        <v>2882</v>
      </c>
      <c r="UIQ1338" s="4" t="s">
        <v>2882</v>
      </c>
      <c r="UIR1338" s="4" t="s">
        <v>2882</v>
      </c>
      <c r="UIS1338" s="4" t="s">
        <v>2882</v>
      </c>
      <c r="UIT1338" s="4" t="s">
        <v>2882</v>
      </c>
      <c r="UIU1338" s="4" t="s">
        <v>2882</v>
      </c>
      <c r="UIV1338" s="4" t="s">
        <v>2882</v>
      </c>
      <c r="UIW1338" s="4" t="s">
        <v>2882</v>
      </c>
      <c r="UIX1338" s="4" t="s">
        <v>2882</v>
      </c>
      <c r="UIY1338" s="4" t="s">
        <v>2882</v>
      </c>
      <c r="UIZ1338" s="4" t="s">
        <v>2882</v>
      </c>
      <c r="UJA1338" s="4" t="s">
        <v>2882</v>
      </c>
      <c r="UJB1338" s="4" t="s">
        <v>2882</v>
      </c>
      <c r="UJC1338" s="4" t="s">
        <v>2882</v>
      </c>
      <c r="UJD1338" s="4" t="s">
        <v>2882</v>
      </c>
      <c r="UJE1338" s="4" t="s">
        <v>2882</v>
      </c>
      <c r="UJF1338" s="4" t="s">
        <v>2882</v>
      </c>
      <c r="UJG1338" s="4" t="s">
        <v>2882</v>
      </c>
      <c r="UJH1338" s="4" t="s">
        <v>2882</v>
      </c>
      <c r="UJI1338" s="4" t="s">
        <v>2882</v>
      </c>
      <c r="UJJ1338" s="4" t="s">
        <v>2882</v>
      </c>
      <c r="UJK1338" s="4" t="s">
        <v>2882</v>
      </c>
      <c r="UJL1338" s="4" t="s">
        <v>2882</v>
      </c>
      <c r="UJM1338" s="4" t="s">
        <v>2882</v>
      </c>
      <c r="UJN1338" s="4" t="s">
        <v>2882</v>
      </c>
      <c r="UJO1338" s="4" t="s">
        <v>2882</v>
      </c>
      <c r="UJP1338" s="4" t="s">
        <v>2882</v>
      </c>
      <c r="UJQ1338" s="4" t="s">
        <v>2882</v>
      </c>
      <c r="UJR1338" s="4" t="s">
        <v>2882</v>
      </c>
      <c r="UJS1338" s="4" t="s">
        <v>2882</v>
      </c>
      <c r="UJT1338" s="4" t="s">
        <v>2882</v>
      </c>
      <c r="UJU1338" s="4" t="s">
        <v>2882</v>
      </c>
      <c r="UJV1338" s="4" t="s">
        <v>2882</v>
      </c>
      <c r="UJW1338" s="4" t="s">
        <v>2882</v>
      </c>
      <c r="UJX1338" s="4" t="s">
        <v>2882</v>
      </c>
      <c r="UJY1338" s="4" t="s">
        <v>2882</v>
      </c>
      <c r="UJZ1338" s="4" t="s">
        <v>2882</v>
      </c>
      <c r="UKA1338" s="4" t="s">
        <v>2882</v>
      </c>
      <c r="UKB1338" s="4" t="s">
        <v>2882</v>
      </c>
      <c r="UKC1338" s="4" t="s">
        <v>2882</v>
      </c>
      <c r="UKD1338" s="4" t="s">
        <v>2882</v>
      </c>
      <c r="UKE1338" s="4" t="s">
        <v>2882</v>
      </c>
      <c r="UKF1338" s="4" t="s">
        <v>2882</v>
      </c>
      <c r="UKG1338" s="4" t="s">
        <v>2882</v>
      </c>
      <c r="UKH1338" s="4" t="s">
        <v>2882</v>
      </c>
      <c r="UKI1338" s="4" t="s">
        <v>2882</v>
      </c>
      <c r="UKJ1338" s="4" t="s">
        <v>2882</v>
      </c>
      <c r="UKK1338" s="4" t="s">
        <v>2882</v>
      </c>
      <c r="UKL1338" s="4" t="s">
        <v>2882</v>
      </c>
      <c r="UKM1338" s="4" t="s">
        <v>2882</v>
      </c>
      <c r="UKN1338" s="4" t="s">
        <v>2882</v>
      </c>
      <c r="UKO1338" s="4" t="s">
        <v>2882</v>
      </c>
      <c r="UKP1338" s="4" t="s">
        <v>2882</v>
      </c>
      <c r="UKQ1338" s="4" t="s">
        <v>2882</v>
      </c>
      <c r="UKR1338" s="4" t="s">
        <v>2882</v>
      </c>
      <c r="UKS1338" s="4" t="s">
        <v>2882</v>
      </c>
      <c r="UKT1338" s="4" t="s">
        <v>2882</v>
      </c>
      <c r="UKU1338" s="4" t="s">
        <v>2882</v>
      </c>
      <c r="UKV1338" s="4" t="s">
        <v>2882</v>
      </c>
      <c r="UKW1338" s="4" t="s">
        <v>2882</v>
      </c>
      <c r="UKX1338" s="4" t="s">
        <v>2882</v>
      </c>
      <c r="UKY1338" s="4" t="s">
        <v>2882</v>
      </c>
      <c r="UKZ1338" s="4" t="s">
        <v>2882</v>
      </c>
      <c r="ULA1338" s="4" t="s">
        <v>2882</v>
      </c>
      <c r="ULB1338" s="4" t="s">
        <v>2882</v>
      </c>
      <c r="ULC1338" s="4" t="s">
        <v>2882</v>
      </c>
      <c r="ULD1338" s="4" t="s">
        <v>2882</v>
      </c>
      <c r="ULE1338" s="4" t="s">
        <v>2882</v>
      </c>
      <c r="ULF1338" s="4" t="s">
        <v>2882</v>
      </c>
      <c r="ULG1338" s="4" t="s">
        <v>2882</v>
      </c>
      <c r="ULH1338" s="4" t="s">
        <v>2882</v>
      </c>
      <c r="ULI1338" s="4" t="s">
        <v>2882</v>
      </c>
      <c r="ULJ1338" s="4" t="s">
        <v>2882</v>
      </c>
      <c r="ULK1338" s="4" t="s">
        <v>2882</v>
      </c>
      <c r="ULL1338" s="4" t="s">
        <v>2882</v>
      </c>
      <c r="ULM1338" s="4" t="s">
        <v>2882</v>
      </c>
      <c r="ULN1338" s="4" t="s">
        <v>2882</v>
      </c>
      <c r="ULO1338" s="4" t="s">
        <v>2882</v>
      </c>
      <c r="ULP1338" s="4" t="s">
        <v>2882</v>
      </c>
      <c r="ULQ1338" s="4" t="s">
        <v>2882</v>
      </c>
      <c r="ULR1338" s="4" t="s">
        <v>2882</v>
      </c>
      <c r="ULS1338" s="4" t="s">
        <v>2882</v>
      </c>
      <c r="ULT1338" s="4" t="s">
        <v>2882</v>
      </c>
      <c r="ULU1338" s="4" t="s">
        <v>2882</v>
      </c>
      <c r="ULV1338" s="4" t="s">
        <v>2882</v>
      </c>
      <c r="ULW1338" s="4" t="s">
        <v>2882</v>
      </c>
      <c r="ULX1338" s="4" t="s">
        <v>2882</v>
      </c>
      <c r="ULY1338" s="4" t="s">
        <v>2882</v>
      </c>
      <c r="ULZ1338" s="4" t="s">
        <v>2882</v>
      </c>
      <c r="UMA1338" s="4" t="s">
        <v>2882</v>
      </c>
      <c r="UMB1338" s="4" t="s">
        <v>2882</v>
      </c>
      <c r="UMC1338" s="4" t="s">
        <v>2882</v>
      </c>
      <c r="UMD1338" s="4" t="s">
        <v>2882</v>
      </c>
      <c r="UME1338" s="4" t="s">
        <v>2882</v>
      </c>
      <c r="UMF1338" s="4" t="s">
        <v>2882</v>
      </c>
      <c r="UMG1338" s="4" t="s">
        <v>2882</v>
      </c>
      <c r="UMH1338" s="4" t="s">
        <v>2882</v>
      </c>
      <c r="UMI1338" s="4" t="s">
        <v>2882</v>
      </c>
      <c r="UMJ1338" s="4" t="s">
        <v>2882</v>
      </c>
      <c r="UMK1338" s="4" t="s">
        <v>2882</v>
      </c>
      <c r="UML1338" s="4" t="s">
        <v>2882</v>
      </c>
      <c r="UMM1338" s="4" t="s">
        <v>2882</v>
      </c>
      <c r="UMN1338" s="4" t="s">
        <v>2882</v>
      </c>
      <c r="UMO1338" s="4" t="s">
        <v>2882</v>
      </c>
      <c r="UMP1338" s="4" t="s">
        <v>2882</v>
      </c>
      <c r="UMQ1338" s="4" t="s">
        <v>2882</v>
      </c>
      <c r="UMR1338" s="4" t="s">
        <v>2882</v>
      </c>
      <c r="UMS1338" s="4" t="s">
        <v>2882</v>
      </c>
      <c r="UMT1338" s="4" t="s">
        <v>2882</v>
      </c>
      <c r="UMU1338" s="4" t="s">
        <v>2882</v>
      </c>
      <c r="UMV1338" s="4" t="s">
        <v>2882</v>
      </c>
      <c r="UMW1338" s="4" t="s">
        <v>2882</v>
      </c>
      <c r="UMX1338" s="4" t="s">
        <v>2882</v>
      </c>
      <c r="UMY1338" s="4" t="s">
        <v>2882</v>
      </c>
      <c r="UMZ1338" s="4" t="s">
        <v>2882</v>
      </c>
      <c r="UNA1338" s="4" t="s">
        <v>2882</v>
      </c>
      <c r="UNB1338" s="4" t="s">
        <v>2882</v>
      </c>
      <c r="UNC1338" s="4" t="s">
        <v>2882</v>
      </c>
      <c r="UND1338" s="4" t="s">
        <v>2882</v>
      </c>
      <c r="UNE1338" s="4" t="s">
        <v>2882</v>
      </c>
      <c r="UNF1338" s="4" t="s">
        <v>2882</v>
      </c>
      <c r="UNG1338" s="4" t="s">
        <v>2882</v>
      </c>
      <c r="UNH1338" s="4" t="s">
        <v>2882</v>
      </c>
      <c r="UNI1338" s="4" t="s">
        <v>2882</v>
      </c>
      <c r="UNJ1338" s="4" t="s">
        <v>2882</v>
      </c>
      <c r="UNK1338" s="4" t="s">
        <v>2882</v>
      </c>
      <c r="UNL1338" s="4" t="s">
        <v>2882</v>
      </c>
      <c r="UNM1338" s="4" t="s">
        <v>2882</v>
      </c>
      <c r="UNN1338" s="4" t="s">
        <v>2882</v>
      </c>
      <c r="UNO1338" s="4" t="s">
        <v>2882</v>
      </c>
      <c r="UNP1338" s="4" t="s">
        <v>2882</v>
      </c>
      <c r="UNQ1338" s="4" t="s">
        <v>2882</v>
      </c>
      <c r="UNR1338" s="4" t="s">
        <v>2882</v>
      </c>
      <c r="UNS1338" s="4" t="s">
        <v>2882</v>
      </c>
      <c r="UNT1338" s="4" t="s">
        <v>2882</v>
      </c>
      <c r="UNU1338" s="4" t="s">
        <v>2882</v>
      </c>
      <c r="UNV1338" s="4" t="s">
        <v>2882</v>
      </c>
      <c r="UNW1338" s="4" t="s">
        <v>2882</v>
      </c>
      <c r="UNX1338" s="4" t="s">
        <v>2882</v>
      </c>
      <c r="UNY1338" s="4" t="s">
        <v>2882</v>
      </c>
      <c r="UNZ1338" s="4" t="s">
        <v>2882</v>
      </c>
      <c r="UOA1338" s="4" t="s">
        <v>2882</v>
      </c>
      <c r="UOB1338" s="4" t="s">
        <v>2882</v>
      </c>
      <c r="UOC1338" s="4" t="s">
        <v>2882</v>
      </c>
      <c r="UOD1338" s="4" t="s">
        <v>2882</v>
      </c>
      <c r="UOE1338" s="4" t="s">
        <v>2882</v>
      </c>
      <c r="UOF1338" s="4" t="s">
        <v>2882</v>
      </c>
      <c r="UOG1338" s="4" t="s">
        <v>2882</v>
      </c>
      <c r="UOH1338" s="4" t="s">
        <v>2882</v>
      </c>
      <c r="UOI1338" s="4" t="s">
        <v>2882</v>
      </c>
      <c r="UOJ1338" s="4" t="s">
        <v>2882</v>
      </c>
      <c r="UOK1338" s="4" t="s">
        <v>2882</v>
      </c>
      <c r="UOL1338" s="4" t="s">
        <v>2882</v>
      </c>
      <c r="UOM1338" s="4" t="s">
        <v>2882</v>
      </c>
      <c r="UON1338" s="4" t="s">
        <v>2882</v>
      </c>
      <c r="UOO1338" s="4" t="s">
        <v>2882</v>
      </c>
      <c r="UOP1338" s="4" t="s">
        <v>2882</v>
      </c>
      <c r="UOQ1338" s="4" t="s">
        <v>2882</v>
      </c>
      <c r="UOR1338" s="4" t="s">
        <v>2882</v>
      </c>
      <c r="UOS1338" s="4" t="s">
        <v>2882</v>
      </c>
      <c r="UOT1338" s="4" t="s">
        <v>2882</v>
      </c>
      <c r="UOU1338" s="4" t="s">
        <v>2882</v>
      </c>
      <c r="UOV1338" s="4" t="s">
        <v>2882</v>
      </c>
      <c r="UOW1338" s="4" t="s">
        <v>2882</v>
      </c>
      <c r="UOX1338" s="4" t="s">
        <v>2882</v>
      </c>
      <c r="UOY1338" s="4" t="s">
        <v>2882</v>
      </c>
      <c r="UOZ1338" s="4" t="s">
        <v>2882</v>
      </c>
      <c r="UPA1338" s="4" t="s">
        <v>2882</v>
      </c>
      <c r="UPB1338" s="4" t="s">
        <v>2882</v>
      </c>
      <c r="UPC1338" s="4" t="s">
        <v>2882</v>
      </c>
      <c r="UPD1338" s="4" t="s">
        <v>2882</v>
      </c>
      <c r="UPE1338" s="4" t="s">
        <v>2882</v>
      </c>
      <c r="UPF1338" s="4" t="s">
        <v>2882</v>
      </c>
      <c r="UPG1338" s="4" t="s">
        <v>2882</v>
      </c>
      <c r="UPH1338" s="4" t="s">
        <v>2882</v>
      </c>
      <c r="UPI1338" s="4" t="s">
        <v>2882</v>
      </c>
      <c r="UPJ1338" s="4" t="s">
        <v>2882</v>
      </c>
      <c r="UPK1338" s="4" t="s">
        <v>2882</v>
      </c>
      <c r="UPL1338" s="4" t="s">
        <v>2882</v>
      </c>
      <c r="UPM1338" s="4" t="s">
        <v>2882</v>
      </c>
      <c r="UPN1338" s="4" t="s">
        <v>2882</v>
      </c>
      <c r="UPO1338" s="4" t="s">
        <v>2882</v>
      </c>
      <c r="UPP1338" s="4" t="s">
        <v>2882</v>
      </c>
      <c r="UPQ1338" s="4" t="s">
        <v>2882</v>
      </c>
      <c r="UPR1338" s="4" t="s">
        <v>2882</v>
      </c>
      <c r="UPS1338" s="4" t="s">
        <v>2882</v>
      </c>
      <c r="UPT1338" s="4" t="s">
        <v>2882</v>
      </c>
      <c r="UPU1338" s="4" t="s">
        <v>2882</v>
      </c>
      <c r="UPV1338" s="4" t="s">
        <v>2882</v>
      </c>
      <c r="UPW1338" s="4" t="s">
        <v>2882</v>
      </c>
      <c r="UPX1338" s="4" t="s">
        <v>2882</v>
      </c>
      <c r="UPY1338" s="4" t="s">
        <v>2882</v>
      </c>
      <c r="UPZ1338" s="4" t="s">
        <v>2882</v>
      </c>
      <c r="UQA1338" s="4" t="s">
        <v>2882</v>
      </c>
      <c r="UQB1338" s="4" t="s">
        <v>2882</v>
      </c>
      <c r="UQC1338" s="4" t="s">
        <v>2882</v>
      </c>
      <c r="UQD1338" s="4" t="s">
        <v>2882</v>
      </c>
      <c r="UQE1338" s="4" t="s">
        <v>2882</v>
      </c>
      <c r="UQF1338" s="4" t="s">
        <v>2882</v>
      </c>
      <c r="UQG1338" s="4" t="s">
        <v>2882</v>
      </c>
      <c r="UQH1338" s="4" t="s">
        <v>2882</v>
      </c>
      <c r="UQI1338" s="4" t="s">
        <v>2882</v>
      </c>
      <c r="UQJ1338" s="4" t="s">
        <v>2882</v>
      </c>
      <c r="UQK1338" s="4" t="s">
        <v>2882</v>
      </c>
      <c r="UQL1338" s="4" t="s">
        <v>2882</v>
      </c>
      <c r="UQM1338" s="4" t="s">
        <v>2882</v>
      </c>
      <c r="UQN1338" s="4" t="s">
        <v>2882</v>
      </c>
      <c r="UQO1338" s="4" t="s">
        <v>2882</v>
      </c>
      <c r="UQP1338" s="4" t="s">
        <v>2882</v>
      </c>
      <c r="UQQ1338" s="4" t="s">
        <v>2882</v>
      </c>
      <c r="UQR1338" s="4" t="s">
        <v>2882</v>
      </c>
      <c r="UQS1338" s="4" t="s">
        <v>2882</v>
      </c>
      <c r="UQT1338" s="4" t="s">
        <v>2882</v>
      </c>
      <c r="UQU1338" s="4" t="s">
        <v>2882</v>
      </c>
      <c r="UQV1338" s="4" t="s">
        <v>2882</v>
      </c>
      <c r="UQW1338" s="4" t="s">
        <v>2882</v>
      </c>
      <c r="UQX1338" s="4" t="s">
        <v>2882</v>
      </c>
      <c r="UQY1338" s="4" t="s">
        <v>2882</v>
      </c>
      <c r="UQZ1338" s="4" t="s">
        <v>2882</v>
      </c>
      <c r="URA1338" s="4" t="s">
        <v>2882</v>
      </c>
      <c r="URB1338" s="4" t="s">
        <v>2882</v>
      </c>
      <c r="URC1338" s="4" t="s">
        <v>2882</v>
      </c>
      <c r="URD1338" s="4" t="s">
        <v>2882</v>
      </c>
      <c r="URE1338" s="4" t="s">
        <v>2882</v>
      </c>
      <c r="URF1338" s="4" t="s">
        <v>2882</v>
      </c>
      <c r="URG1338" s="4" t="s">
        <v>2882</v>
      </c>
      <c r="URH1338" s="4" t="s">
        <v>2882</v>
      </c>
      <c r="URI1338" s="4" t="s">
        <v>2882</v>
      </c>
      <c r="URJ1338" s="4" t="s">
        <v>2882</v>
      </c>
      <c r="URK1338" s="4" t="s">
        <v>2882</v>
      </c>
      <c r="URL1338" s="4" t="s">
        <v>2882</v>
      </c>
      <c r="URM1338" s="4" t="s">
        <v>2882</v>
      </c>
      <c r="URN1338" s="4" t="s">
        <v>2882</v>
      </c>
      <c r="URO1338" s="4" t="s">
        <v>2882</v>
      </c>
      <c r="URP1338" s="4" t="s">
        <v>2882</v>
      </c>
      <c r="URQ1338" s="4" t="s">
        <v>2882</v>
      </c>
      <c r="URR1338" s="4" t="s">
        <v>2882</v>
      </c>
      <c r="URS1338" s="4" t="s">
        <v>2882</v>
      </c>
      <c r="URT1338" s="4" t="s">
        <v>2882</v>
      </c>
      <c r="URU1338" s="4" t="s">
        <v>2882</v>
      </c>
      <c r="URV1338" s="4" t="s">
        <v>2882</v>
      </c>
      <c r="URW1338" s="4" t="s">
        <v>2882</v>
      </c>
      <c r="URX1338" s="4" t="s">
        <v>2882</v>
      </c>
      <c r="URY1338" s="4" t="s">
        <v>2882</v>
      </c>
      <c r="URZ1338" s="4" t="s">
        <v>2882</v>
      </c>
      <c r="USA1338" s="4" t="s">
        <v>2882</v>
      </c>
      <c r="USB1338" s="4" t="s">
        <v>2882</v>
      </c>
      <c r="USC1338" s="4" t="s">
        <v>2882</v>
      </c>
      <c r="USD1338" s="4" t="s">
        <v>2882</v>
      </c>
      <c r="USE1338" s="4" t="s">
        <v>2882</v>
      </c>
      <c r="USF1338" s="4" t="s">
        <v>2882</v>
      </c>
      <c r="USG1338" s="4" t="s">
        <v>2882</v>
      </c>
      <c r="USH1338" s="4" t="s">
        <v>2882</v>
      </c>
      <c r="USI1338" s="4" t="s">
        <v>2882</v>
      </c>
      <c r="USJ1338" s="4" t="s">
        <v>2882</v>
      </c>
      <c r="USK1338" s="4" t="s">
        <v>2882</v>
      </c>
      <c r="USL1338" s="4" t="s">
        <v>2882</v>
      </c>
      <c r="USM1338" s="4" t="s">
        <v>2882</v>
      </c>
      <c r="USN1338" s="4" t="s">
        <v>2882</v>
      </c>
      <c r="USO1338" s="4" t="s">
        <v>2882</v>
      </c>
      <c r="USP1338" s="4" t="s">
        <v>2882</v>
      </c>
      <c r="USQ1338" s="4" t="s">
        <v>2882</v>
      </c>
      <c r="USR1338" s="4" t="s">
        <v>2882</v>
      </c>
      <c r="USS1338" s="4" t="s">
        <v>2882</v>
      </c>
      <c r="UST1338" s="4" t="s">
        <v>2882</v>
      </c>
      <c r="USU1338" s="4" t="s">
        <v>2882</v>
      </c>
      <c r="USV1338" s="4" t="s">
        <v>2882</v>
      </c>
      <c r="USW1338" s="4" t="s">
        <v>2882</v>
      </c>
      <c r="USX1338" s="4" t="s">
        <v>2882</v>
      </c>
      <c r="USY1338" s="4" t="s">
        <v>2882</v>
      </c>
      <c r="USZ1338" s="4" t="s">
        <v>2882</v>
      </c>
      <c r="UTA1338" s="4" t="s">
        <v>2882</v>
      </c>
      <c r="UTB1338" s="4" t="s">
        <v>2882</v>
      </c>
      <c r="UTC1338" s="4" t="s">
        <v>2882</v>
      </c>
      <c r="UTD1338" s="4" t="s">
        <v>2882</v>
      </c>
      <c r="UTE1338" s="4" t="s">
        <v>2882</v>
      </c>
      <c r="UTF1338" s="4" t="s">
        <v>2882</v>
      </c>
      <c r="UTG1338" s="4" t="s">
        <v>2882</v>
      </c>
      <c r="UTH1338" s="4" t="s">
        <v>2882</v>
      </c>
      <c r="UTI1338" s="4" t="s">
        <v>2882</v>
      </c>
      <c r="UTJ1338" s="4" t="s">
        <v>2882</v>
      </c>
      <c r="UTK1338" s="4" t="s">
        <v>2882</v>
      </c>
      <c r="UTL1338" s="4" t="s">
        <v>2882</v>
      </c>
      <c r="UTM1338" s="4" t="s">
        <v>2882</v>
      </c>
      <c r="UTN1338" s="4" t="s">
        <v>2882</v>
      </c>
      <c r="UTO1338" s="4" t="s">
        <v>2882</v>
      </c>
      <c r="UTP1338" s="4" t="s">
        <v>2882</v>
      </c>
      <c r="UTQ1338" s="4" t="s">
        <v>2882</v>
      </c>
      <c r="UTR1338" s="4" t="s">
        <v>2882</v>
      </c>
      <c r="UTS1338" s="4" t="s">
        <v>2882</v>
      </c>
      <c r="UTT1338" s="4" t="s">
        <v>2882</v>
      </c>
      <c r="UTU1338" s="4" t="s">
        <v>2882</v>
      </c>
      <c r="UTV1338" s="4" t="s">
        <v>2882</v>
      </c>
      <c r="UTW1338" s="4" t="s">
        <v>2882</v>
      </c>
      <c r="UTX1338" s="4" t="s">
        <v>2882</v>
      </c>
      <c r="UTY1338" s="4" t="s">
        <v>2882</v>
      </c>
      <c r="UTZ1338" s="4" t="s">
        <v>2882</v>
      </c>
      <c r="UUA1338" s="4" t="s">
        <v>2882</v>
      </c>
      <c r="UUB1338" s="4" t="s">
        <v>2882</v>
      </c>
      <c r="UUC1338" s="4" t="s">
        <v>2882</v>
      </c>
      <c r="UUD1338" s="4" t="s">
        <v>2882</v>
      </c>
      <c r="UUE1338" s="4" t="s">
        <v>2882</v>
      </c>
      <c r="UUF1338" s="4" t="s">
        <v>2882</v>
      </c>
      <c r="UUG1338" s="4" t="s">
        <v>2882</v>
      </c>
      <c r="UUH1338" s="4" t="s">
        <v>2882</v>
      </c>
      <c r="UUI1338" s="4" t="s">
        <v>2882</v>
      </c>
      <c r="UUJ1338" s="4" t="s">
        <v>2882</v>
      </c>
      <c r="UUK1338" s="4" t="s">
        <v>2882</v>
      </c>
      <c r="UUL1338" s="4" t="s">
        <v>2882</v>
      </c>
      <c r="UUM1338" s="4" t="s">
        <v>2882</v>
      </c>
      <c r="UUN1338" s="4" t="s">
        <v>2882</v>
      </c>
      <c r="UUO1338" s="4" t="s">
        <v>2882</v>
      </c>
      <c r="UUP1338" s="4" t="s">
        <v>2882</v>
      </c>
      <c r="UUQ1338" s="4" t="s">
        <v>2882</v>
      </c>
      <c r="UUR1338" s="4" t="s">
        <v>2882</v>
      </c>
      <c r="UUS1338" s="4" t="s">
        <v>2882</v>
      </c>
      <c r="UUT1338" s="4" t="s">
        <v>2882</v>
      </c>
      <c r="UUU1338" s="4" t="s">
        <v>2882</v>
      </c>
      <c r="UUV1338" s="4" t="s">
        <v>2882</v>
      </c>
      <c r="UUW1338" s="4" t="s">
        <v>2882</v>
      </c>
      <c r="UUX1338" s="4" t="s">
        <v>2882</v>
      </c>
      <c r="UUY1338" s="4" t="s">
        <v>2882</v>
      </c>
      <c r="UUZ1338" s="4" t="s">
        <v>2882</v>
      </c>
      <c r="UVA1338" s="4" t="s">
        <v>2882</v>
      </c>
      <c r="UVB1338" s="4" t="s">
        <v>2882</v>
      </c>
      <c r="UVC1338" s="4" t="s">
        <v>2882</v>
      </c>
      <c r="UVD1338" s="4" t="s">
        <v>2882</v>
      </c>
      <c r="UVE1338" s="4" t="s">
        <v>2882</v>
      </c>
      <c r="UVF1338" s="4" t="s">
        <v>2882</v>
      </c>
      <c r="UVG1338" s="4" t="s">
        <v>2882</v>
      </c>
      <c r="UVH1338" s="4" t="s">
        <v>2882</v>
      </c>
      <c r="UVI1338" s="4" t="s">
        <v>2882</v>
      </c>
      <c r="UVJ1338" s="4" t="s">
        <v>2882</v>
      </c>
      <c r="UVK1338" s="4" t="s">
        <v>2882</v>
      </c>
      <c r="UVL1338" s="4" t="s">
        <v>2882</v>
      </c>
      <c r="UVM1338" s="4" t="s">
        <v>2882</v>
      </c>
      <c r="UVN1338" s="4" t="s">
        <v>2882</v>
      </c>
      <c r="UVO1338" s="4" t="s">
        <v>2882</v>
      </c>
      <c r="UVP1338" s="4" t="s">
        <v>2882</v>
      </c>
      <c r="UVQ1338" s="4" t="s">
        <v>2882</v>
      </c>
      <c r="UVR1338" s="4" t="s">
        <v>2882</v>
      </c>
      <c r="UVS1338" s="4" t="s">
        <v>2882</v>
      </c>
      <c r="UVT1338" s="4" t="s">
        <v>2882</v>
      </c>
      <c r="UVU1338" s="4" t="s">
        <v>2882</v>
      </c>
      <c r="UVV1338" s="4" t="s">
        <v>2882</v>
      </c>
      <c r="UVW1338" s="4" t="s">
        <v>2882</v>
      </c>
      <c r="UVX1338" s="4" t="s">
        <v>2882</v>
      </c>
      <c r="UVY1338" s="4" t="s">
        <v>2882</v>
      </c>
      <c r="UVZ1338" s="4" t="s">
        <v>2882</v>
      </c>
      <c r="UWA1338" s="4" t="s">
        <v>2882</v>
      </c>
      <c r="UWB1338" s="4" t="s">
        <v>2882</v>
      </c>
      <c r="UWC1338" s="4" t="s">
        <v>2882</v>
      </c>
      <c r="UWD1338" s="4" t="s">
        <v>2882</v>
      </c>
      <c r="UWE1338" s="4" t="s">
        <v>2882</v>
      </c>
      <c r="UWF1338" s="4" t="s">
        <v>2882</v>
      </c>
      <c r="UWG1338" s="4" t="s">
        <v>2882</v>
      </c>
      <c r="UWH1338" s="4" t="s">
        <v>2882</v>
      </c>
      <c r="UWI1338" s="4" t="s">
        <v>2882</v>
      </c>
      <c r="UWJ1338" s="4" t="s">
        <v>2882</v>
      </c>
      <c r="UWK1338" s="4" t="s">
        <v>2882</v>
      </c>
      <c r="UWL1338" s="4" t="s">
        <v>2882</v>
      </c>
      <c r="UWM1338" s="4" t="s">
        <v>2882</v>
      </c>
      <c r="UWN1338" s="4" t="s">
        <v>2882</v>
      </c>
      <c r="UWO1338" s="4" t="s">
        <v>2882</v>
      </c>
      <c r="UWP1338" s="4" t="s">
        <v>2882</v>
      </c>
      <c r="UWQ1338" s="4" t="s">
        <v>2882</v>
      </c>
      <c r="UWR1338" s="4" t="s">
        <v>2882</v>
      </c>
      <c r="UWS1338" s="4" t="s">
        <v>2882</v>
      </c>
      <c r="UWT1338" s="4" t="s">
        <v>2882</v>
      </c>
      <c r="UWU1338" s="4" t="s">
        <v>2882</v>
      </c>
      <c r="UWV1338" s="4" t="s">
        <v>2882</v>
      </c>
      <c r="UWW1338" s="4" t="s">
        <v>2882</v>
      </c>
      <c r="UWX1338" s="4" t="s">
        <v>2882</v>
      </c>
      <c r="UWY1338" s="4" t="s">
        <v>2882</v>
      </c>
      <c r="UWZ1338" s="4" t="s">
        <v>2882</v>
      </c>
      <c r="UXA1338" s="4" t="s">
        <v>2882</v>
      </c>
      <c r="UXB1338" s="4" t="s">
        <v>2882</v>
      </c>
      <c r="UXC1338" s="4" t="s">
        <v>2882</v>
      </c>
      <c r="UXD1338" s="4" t="s">
        <v>2882</v>
      </c>
      <c r="UXE1338" s="4" t="s">
        <v>2882</v>
      </c>
      <c r="UXF1338" s="4" t="s">
        <v>2882</v>
      </c>
      <c r="UXG1338" s="4" t="s">
        <v>2882</v>
      </c>
      <c r="UXH1338" s="4" t="s">
        <v>2882</v>
      </c>
      <c r="UXI1338" s="4" t="s">
        <v>2882</v>
      </c>
      <c r="UXJ1338" s="4" t="s">
        <v>2882</v>
      </c>
      <c r="UXK1338" s="4" t="s">
        <v>2882</v>
      </c>
      <c r="UXL1338" s="4" t="s">
        <v>2882</v>
      </c>
      <c r="UXM1338" s="4" t="s">
        <v>2882</v>
      </c>
      <c r="UXN1338" s="4" t="s">
        <v>2882</v>
      </c>
      <c r="UXO1338" s="4" t="s">
        <v>2882</v>
      </c>
      <c r="UXP1338" s="4" t="s">
        <v>2882</v>
      </c>
      <c r="UXQ1338" s="4" t="s">
        <v>2882</v>
      </c>
      <c r="UXR1338" s="4" t="s">
        <v>2882</v>
      </c>
      <c r="UXS1338" s="4" t="s">
        <v>2882</v>
      </c>
      <c r="UXT1338" s="4" t="s">
        <v>2882</v>
      </c>
      <c r="UXU1338" s="4" t="s">
        <v>2882</v>
      </c>
      <c r="UXV1338" s="4" t="s">
        <v>2882</v>
      </c>
      <c r="UXW1338" s="4" t="s">
        <v>2882</v>
      </c>
      <c r="UXX1338" s="4" t="s">
        <v>2882</v>
      </c>
      <c r="UXY1338" s="4" t="s">
        <v>2882</v>
      </c>
      <c r="UXZ1338" s="4" t="s">
        <v>2882</v>
      </c>
      <c r="UYA1338" s="4" t="s">
        <v>2882</v>
      </c>
      <c r="UYB1338" s="4" t="s">
        <v>2882</v>
      </c>
      <c r="UYC1338" s="4" t="s">
        <v>2882</v>
      </c>
      <c r="UYD1338" s="4" t="s">
        <v>2882</v>
      </c>
      <c r="UYE1338" s="4" t="s">
        <v>2882</v>
      </c>
      <c r="UYF1338" s="4" t="s">
        <v>2882</v>
      </c>
      <c r="UYG1338" s="4" t="s">
        <v>2882</v>
      </c>
      <c r="UYH1338" s="4" t="s">
        <v>2882</v>
      </c>
      <c r="UYI1338" s="4" t="s">
        <v>2882</v>
      </c>
      <c r="UYJ1338" s="4" t="s">
        <v>2882</v>
      </c>
      <c r="UYK1338" s="4" t="s">
        <v>2882</v>
      </c>
      <c r="UYL1338" s="4" t="s">
        <v>2882</v>
      </c>
      <c r="UYM1338" s="4" t="s">
        <v>2882</v>
      </c>
      <c r="UYN1338" s="4" t="s">
        <v>2882</v>
      </c>
      <c r="UYO1338" s="4" t="s">
        <v>2882</v>
      </c>
      <c r="UYP1338" s="4" t="s">
        <v>2882</v>
      </c>
      <c r="UYQ1338" s="4" t="s">
        <v>2882</v>
      </c>
      <c r="UYR1338" s="4" t="s">
        <v>2882</v>
      </c>
      <c r="UYS1338" s="4" t="s">
        <v>2882</v>
      </c>
      <c r="UYT1338" s="4" t="s">
        <v>2882</v>
      </c>
      <c r="UYU1338" s="4" t="s">
        <v>2882</v>
      </c>
      <c r="UYV1338" s="4" t="s">
        <v>2882</v>
      </c>
      <c r="UYW1338" s="4" t="s">
        <v>2882</v>
      </c>
      <c r="UYX1338" s="4" t="s">
        <v>2882</v>
      </c>
      <c r="UYY1338" s="4" t="s">
        <v>2882</v>
      </c>
      <c r="UYZ1338" s="4" t="s">
        <v>2882</v>
      </c>
      <c r="UZA1338" s="4" t="s">
        <v>2882</v>
      </c>
      <c r="UZB1338" s="4" t="s">
        <v>2882</v>
      </c>
      <c r="UZC1338" s="4" t="s">
        <v>2882</v>
      </c>
      <c r="UZD1338" s="4" t="s">
        <v>2882</v>
      </c>
      <c r="UZE1338" s="4" t="s">
        <v>2882</v>
      </c>
      <c r="UZF1338" s="4" t="s">
        <v>2882</v>
      </c>
      <c r="UZG1338" s="4" t="s">
        <v>2882</v>
      </c>
      <c r="UZH1338" s="4" t="s">
        <v>2882</v>
      </c>
      <c r="UZI1338" s="4" t="s">
        <v>2882</v>
      </c>
      <c r="UZJ1338" s="4" t="s">
        <v>2882</v>
      </c>
      <c r="UZK1338" s="4" t="s">
        <v>2882</v>
      </c>
      <c r="UZL1338" s="4" t="s">
        <v>2882</v>
      </c>
      <c r="UZM1338" s="4" t="s">
        <v>2882</v>
      </c>
      <c r="UZN1338" s="4" t="s">
        <v>2882</v>
      </c>
      <c r="UZO1338" s="4" t="s">
        <v>2882</v>
      </c>
      <c r="UZP1338" s="4" t="s">
        <v>2882</v>
      </c>
      <c r="UZQ1338" s="4" t="s">
        <v>2882</v>
      </c>
      <c r="UZR1338" s="4" t="s">
        <v>2882</v>
      </c>
      <c r="UZS1338" s="4" t="s">
        <v>2882</v>
      </c>
      <c r="UZT1338" s="4" t="s">
        <v>2882</v>
      </c>
      <c r="UZU1338" s="4" t="s">
        <v>2882</v>
      </c>
      <c r="UZV1338" s="4" t="s">
        <v>2882</v>
      </c>
      <c r="UZW1338" s="4" t="s">
        <v>2882</v>
      </c>
      <c r="UZX1338" s="4" t="s">
        <v>2882</v>
      </c>
      <c r="UZY1338" s="4" t="s">
        <v>2882</v>
      </c>
      <c r="UZZ1338" s="4" t="s">
        <v>2882</v>
      </c>
      <c r="VAA1338" s="4" t="s">
        <v>2882</v>
      </c>
      <c r="VAB1338" s="4" t="s">
        <v>2882</v>
      </c>
      <c r="VAC1338" s="4" t="s">
        <v>2882</v>
      </c>
      <c r="VAD1338" s="4" t="s">
        <v>2882</v>
      </c>
      <c r="VAE1338" s="4" t="s">
        <v>2882</v>
      </c>
      <c r="VAF1338" s="4" t="s">
        <v>2882</v>
      </c>
      <c r="VAG1338" s="4" t="s">
        <v>2882</v>
      </c>
      <c r="VAH1338" s="4" t="s">
        <v>2882</v>
      </c>
      <c r="VAI1338" s="4" t="s">
        <v>2882</v>
      </c>
      <c r="VAJ1338" s="4" t="s">
        <v>2882</v>
      </c>
      <c r="VAK1338" s="4" t="s">
        <v>2882</v>
      </c>
      <c r="VAL1338" s="4" t="s">
        <v>2882</v>
      </c>
      <c r="VAM1338" s="4" t="s">
        <v>2882</v>
      </c>
      <c r="VAN1338" s="4" t="s">
        <v>2882</v>
      </c>
      <c r="VAO1338" s="4" t="s">
        <v>2882</v>
      </c>
      <c r="VAP1338" s="4" t="s">
        <v>2882</v>
      </c>
      <c r="VAQ1338" s="4" t="s">
        <v>2882</v>
      </c>
      <c r="VAR1338" s="4" t="s">
        <v>2882</v>
      </c>
      <c r="VAS1338" s="4" t="s">
        <v>2882</v>
      </c>
      <c r="VAT1338" s="4" t="s">
        <v>2882</v>
      </c>
      <c r="VAU1338" s="4" t="s">
        <v>2882</v>
      </c>
      <c r="VAV1338" s="4" t="s">
        <v>2882</v>
      </c>
      <c r="VAW1338" s="4" t="s">
        <v>2882</v>
      </c>
      <c r="VAX1338" s="4" t="s">
        <v>2882</v>
      </c>
      <c r="VAY1338" s="4" t="s">
        <v>2882</v>
      </c>
      <c r="VAZ1338" s="4" t="s">
        <v>2882</v>
      </c>
      <c r="VBA1338" s="4" t="s">
        <v>2882</v>
      </c>
      <c r="VBB1338" s="4" t="s">
        <v>2882</v>
      </c>
      <c r="VBC1338" s="4" t="s">
        <v>2882</v>
      </c>
      <c r="VBD1338" s="4" t="s">
        <v>2882</v>
      </c>
      <c r="VBE1338" s="4" t="s">
        <v>2882</v>
      </c>
      <c r="VBF1338" s="4" t="s">
        <v>2882</v>
      </c>
      <c r="VBG1338" s="4" t="s">
        <v>2882</v>
      </c>
      <c r="VBH1338" s="4" t="s">
        <v>2882</v>
      </c>
      <c r="VBI1338" s="4" t="s">
        <v>2882</v>
      </c>
      <c r="VBJ1338" s="4" t="s">
        <v>2882</v>
      </c>
      <c r="VBK1338" s="4" t="s">
        <v>2882</v>
      </c>
      <c r="VBL1338" s="4" t="s">
        <v>2882</v>
      </c>
      <c r="VBM1338" s="4" t="s">
        <v>2882</v>
      </c>
      <c r="VBN1338" s="4" t="s">
        <v>2882</v>
      </c>
      <c r="VBO1338" s="4" t="s">
        <v>2882</v>
      </c>
      <c r="VBP1338" s="4" t="s">
        <v>2882</v>
      </c>
      <c r="VBQ1338" s="4" t="s">
        <v>2882</v>
      </c>
      <c r="VBR1338" s="4" t="s">
        <v>2882</v>
      </c>
      <c r="VBS1338" s="4" t="s">
        <v>2882</v>
      </c>
      <c r="VBT1338" s="4" t="s">
        <v>2882</v>
      </c>
      <c r="VBU1338" s="4" t="s">
        <v>2882</v>
      </c>
      <c r="VBV1338" s="4" t="s">
        <v>2882</v>
      </c>
      <c r="VBW1338" s="4" t="s">
        <v>2882</v>
      </c>
      <c r="VBX1338" s="4" t="s">
        <v>2882</v>
      </c>
      <c r="VBY1338" s="4" t="s">
        <v>2882</v>
      </c>
      <c r="VBZ1338" s="4" t="s">
        <v>2882</v>
      </c>
      <c r="VCA1338" s="4" t="s">
        <v>2882</v>
      </c>
      <c r="VCB1338" s="4" t="s">
        <v>2882</v>
      </c>
      <c r="VCC1338" s="4" t="s">
        <v>2882</v>
      </c>
      <c r="VCD1338" s="4" t="s">
        <v>2882</v>
      </c>
      <c r="VCE1338" s="4" t="s">
        <v>2882</v>
      </c>
      <c r="VCF1338" s="4" t="s">
        <v>2882</v>
      </c>
      <c r="VCG1338" s="4" t="s">
        <v>2882</v>
      </c>
      <c r="VCH1338" s="4" t="s">
        <v>2882</v>
      </c>
      <c r="VCI1338" s="4" t="s">
        <v>2882</v>
      </c>
      <c r="VCJ1338" s="4" t="s">
        <v>2882</v>
      </c>
      <c r="VCK1338" s="4" t="s">
        <v>2882</v>
      </c>
      <c r="VCL1338" s="4" t="s">
        <v>2882</v>
      </c>
      <c r="VCM1338" s="4" t="s">
        <v>2882</v>
      </c>
      <c r="VCN1338" s="4" t="s">
        <v>2882</v>
      </c>
      <c r="VCO1338" s="4" t="s">
        <v>2882</v>
      </c>
      <c r="VCP1338" s="4" t="s">
        <v>2882</v>
      </c>
      <c r="VCQ1338" s="4" t="s">
        <v>2882</v>
      </c>
      <c r="VCR1338" s="4" t="s">
        <v>2882</v>
      </c>
      <c r="VCS1338" s="4" t="s">
        <v>2882</v>
      </c>
      <c r="VCT1338" s="4" t="s">
        <v>2882</v>
      </c>
      <c r="VCU1338" s="4" t="s">
        <v>2882</v>
      </c>
      <c r="VCV1338" s="4" t="s">
        <v>2882</v>
      </c>
      <c r="VCW1338" s="4" t="s">
        <v>2882</v>
      </c>
      <c r="VCX1338" s="4" t="s">
        <v>2882</v>
      </c>
      <c r="VCY1338" s="4" t="s">
        <v>2882</v>
      </c>
      <c r="VCZ1338" s="4" t="s">
        <v>2882</v>
      </c>
      <c r="VDA1338" s="4" t="s">
        <v>2882</v>
      </c>
      <c r="VDB1338" s="4" t="s">
        <v>2882</v>
      </c>
      <c r="VDC1338" s="4" t="s">
        <v>2882</v>
      </c>
      <c r="VDD1338" s="4" t="s">
        <v>2882</v>
      </c>
      <c r="VDE1338" s="4" t="s">
        <v>2882</v>
      </c>
      <c r="VDF1338" s="4" t="s">
        <v>2882</v>
      </c>
      <c r="VDG1338" s="4" t="s">
        <v>2882</v>
      </c>
      <c r="VDH1338" s="4" t="s">
        <v>2882</v>
      </c>
      <c r="VDI1338" s="4" t="s">
        <v>2882</v>
      </c>
      <c r="VDJ1338" s="4" t="s">
        <v>2882</v>
      </c>
      <c r="VDK1338" s="4" t="s">
        <v>2882</v>
      </c>
      <c r="VDL1338" s="4" t="s">
        <v>2882</v>
      </c>
      <c r="VDM1338" s="4" t="s">
        <v>2882</v>
      </c>
      <c r="VDN1338" s="4" t="s">
        <v>2882</v>
      </c>
      <c r="VDO1338" s="4" t="s">
        <v>2882</v>
      </c>
      <c r="VDP1338" s="4" t="s">
        <v>2882</v>
      </c>
      <c r="VDQ1338" s="4" t="s">
        <v>2882</v>
      </c>
      <c r="VDR1338" s="4" t="s">
        <v>2882</v>
      </c>
      <c r="VDS1338" s="4" t="s">
        <v>2882</v>
      </c>
      <c r="VDT1338" s="4" t="s">
        <v>2882</v>
      </c>
      <c r="VDU1338" s="4" t="s">
        <v>2882</v>
      </c>
      <c r="VDV1338" s="4" t="s">
        <v>2882</v>
      </c>
      <c r="VDW1338" s="4" t="s">
        <v>2882</v>
      </c>
      <c r="VDX1338" s="4" t="s">
        <v>2882</v>
      </c>
      <c r="VDY1338" s="4" t="s">
        <v>2882</v>
      </c>
      <c r="VDZ1338" s="4" t="s">
        <v>2882</v>
      </c>
      <c r="VEA1338" s="4" t="s">
        <v>2882</v>
      </c>
      <c r="VEB1338" s="4" t="s">
        <v>2882</v>
      </c>
      <c r="VEC1338" s="4" t="s">
        <v>2882</v>
      </c>
      <c r="VED1338" s="4" t="s">
        <v>2882</v>
      </c>
      <c r="VEE1338" s="4" t="s">
        <v>2882</v>
      </c>
      <c r="VEF1338" s="4" t="s">
        <v>2882</v>
      </c>
      <c r="VEG1338" s="4" t="s">
        <v>2882</v>
      </c>
      <c r="VEH1338" s="4" t="s">
        <v>2882</v>
      </c>
      <c r="VEI1338" s="4" t="s">
        <v>2882</v>
      </c>
      <c r="VEJ1338" s="4" t="s">
        <v>2882</v>
      </c>
      <c r="VEK1338" s="4" t="s">
        <v>2882</v>
      </c>
      <c r="VEL1338" s="4" t="s">
        <v>2882</v>
      </c>
      <c r="VEM1338" s="4" t="s">
        <v>2882</v>
      </c>
      <c r="VEN1338" s="4" t="s">
        <v>2882</v>
      </c>
      <c r="VEO1338" s="4" t="s">
        <v>2882</v>
      </c>
      <c r="VEP1338" s="4" t="s">
        <v>2882</v>
      </c>
      <c r="VEQ1338" s="4" t="s">
        <v>2882</v>
      </c>
      <c r="VER1338" s="4" t="s">
        <v>2882</v>
      </c>
      <c r="VES1338" s="4" t="s">
        <v>2882</v>
      </c>
      <c r="VET1338" s="4" t="s">
        <v>2882</v>
      </c>
      <c r="VEU1338" s="4" t="s">
        <v>2882</v>
      </c>
      <c r="VEV1338" s="4" t="s">
        <v>2882</v>
      </c>
      <c r="VEW1338" s="4" t="s">
        <v>2882</v>
      </c>
      <c r="VEX1338" s="4" t="s">
        <v>2882</v>
      </c>
      <c r="VEY1338" s="4" t="s">
        <v>2882</v>
      </c>
      <c r="VEZ1338" s="4" t="s">
        <v>2882</v>
      </c>
      <c r="VFA1338" s="4" t="s">
        <v>2882</v>
      </c>
      <c r="VFB1338" s="4" t="s">
        <v>2882</v>
      </c>
      <c r="VFC1338" s="4" t="s">
        <v>2882</v>
      </c>
      <c r="VFD1338" s="4" t="s">
        <v>2882</v>
      </c>
      <c r="VFE1338" s="4" t="s">
        <v>2882</v>
      </c>
      <c r="VFF1338" s="4" t="s">
        <v>2882</v>
      </c>
      <c r="VFG1338" s="4" t="s">
        <v>2882</v>
      </c>
      <c r="VFH1338" s="4" t="s">
        <v>2882</v>
      </c>
      <c r="VFI1338" s="4" t="s">
        <v>2882</v>
      </c>
      <c r="VFJ1338" s="4" t="s">
        <v>2882</v>
      </c>
      <c r="VFK1338" s="4" t="s">
        <v>2882</v>
      </c>
      <c r="VFL1338" s="4" t="s">
        <v>2882</v>
      </c>
      <c r="VFM1338" s="4" t="s">
        <v>2882</v>
      </c>
      <c r="VFN1338" s="4" t="s">
        <v>2882</v>
      </c>
      <c r="VFO1338" s="4" t="s">
        <v>2882</v>
      </c>
      <c r="VFP1338" s="4" t="s">
        <v>2882</v>
      </c>
      <c r="VFQ1338" s="4" t="s">
        <v>2882</v>
      </c>
      <c r="VFR1338" s="4" t="s">
        <v>2882</v>
      </c>
      <c r="VFS1338" s="4" t="s">
        <v>2882</v>
      </c>
      <c r="VFT1338" s="4" t="s">
        <v>2882</v>
      </c>
      <c r="VFU1338" s="4" t="s">
        <v>2882</v>
      </c>
      <c r="VFV1338" s="4" t="s">
        <v>2882</v>
      </c>
      <c r="VFW1338" s="4" t="s">
        <v>2882</v>
      </c>
      <c r="VFX1338" s="4" t="s">
        <v>2882</v>
      </c>
      <c r="VFY1338" s="4" t="s">
        <v>2882</v>
      </c>
      <c r="VFZ1338" s="4" t="s">
        <v>2882</v>
      </c>
      <c r="VGA1338" s="4" t="s">
        <v>2882</v>
      </c>
      <c r="VGB1338" s="4" t="s">
        <v>2882</v>
      </c>
      <c r="VGC1338" s="4" t="s">
        <v>2882</v>
      </c>
      <c r="VGD1338" s="4" t="s">
        <v>2882</v>
      </c>
      <c r="VGE1338" s="4" t="s">
        <v>2882</v>
      </c>
      <c r="VGF1338" s="4" t="s">
        <v>2882</v>
      </c>
      <c r="VGG1338" s="4" t="s">
        <v>2882</v>
      </c>
      <c r="VGH1338" s="4" t="s">
        <v>2882</v>
      </c>
      <c r="VGI1338" s="4" t="s">
        <v>2882</v>
      </c>
      <c r="VGJ1338" s="4" t="s">
        <v>2882</v>
      </c>
      <c r="VGK1338" s="4" t="s">
        <v>2882</v>
      </c>
      <c r="VGL1338" s="4" t="s">
        <v>2882</v>
      </c>
      <c r="VGM1338" s="4" t="s">
        <v>2882</v>
      </c>
      <c r="VGN1338" s="4" t="s">
        <v>2882</v>
      </c>
      <c r="VGO1338" s="4" t="s">
        <v>2882</v>
      </c>
      <c r="VGP1338" s="4" t="s">
        <v>2882</v>
      </c>
      <c r="VGQ1338" s="4" t="s">
        <v>2882</v>
      </c>
      <c r="VGR1338" s="4" t="s">
        <v>2882</v>
      </c>
      <c r="VGS1338" s="4" t="s">
        <v>2882</v>
      </c>
      <c r="VGT1338" s="4" t="s">
        <v>2882</v>
      </c>
      <c r="VGU1338" s="4" t="s">
        <v>2882</v>
      </c>
      <c r="VGV1338" s="4" t="s">
        <v>2882</v>
      </c>
      <c r="VGW1338" s="4" t="s">
        <v>2882</v>
      </c>
      <c r="VGX1338" s="4" t="s">
        <v>2882</v>
      </c>
      <c r="VGY1338" s="4" t="s">
        <v>2882</v>
      </c>
      <c r="VGZ1338" s="4" t="s">
        <v>2882</v>
      </c>
      <c r="VHA1338" s="4" t="s">
        <v>2882</v>
      </c>
      <c r="VHB1338" s="4" t="s">
        <v>2882</v>
      </c>
      <c r="VHC1338" s="4" t="s">
        <v>2882</v>
      </c>
      <c r="VHD1338" s="4" t="s">
        <v>2882</v>
      </c>
      <c r="VHE1338" s="4" t="s">
        <v>2882</v>
      </c>
      <c r="VHF1338" s="4" t="s">
        <v>2882</v>
      </c>
      <c r="VHG1338" s="4" t="s">
        <v>2882</v>
      </c>
      <c r="VHH1338" s="4" t="s">
        <v>2882</v>
      </c>
      <c r="VHI1338" s="4" t="s">
        <v>2882</v>
      </c>
      <c r="VHJ1338" s="4" t="s">
        <v>2882</v>
      </c>
      <c r="VHK1338" s="4" t="s">
        <v>2882</v>
      </c>
      <c r="VHL1338" s="4" t="s">
        <v>2882</v>
      </c>
      <c r="VHM1338" s="4" t="s">
        <v>2882</v>
      </c>
      <c r="VHN1338" s="4" t="s">
        <v>2882</v>
      </c>
      <c r="VHO1338" s="4" t="s">
        <v>2882</v>
      </c>
      <c r="VHP1338" s="4" t="s">
        <v>2882</v>
      </c>
      <c r="VHQ1338" s="4" t="s">
        <v>2882</v>
      </c>
      <c r="VHR1338" s="4" t="s">
        <v>2882</v>
      </c>
      <c r="VHS1338" s="4" t="s">
        <v>2882</v>
      </c>
      <c r="VHT1338" s="4" t="s">
        <v>2882</v>
      </c>
      <c r="VHU1338" s="4" t="s">
        <v>2882</v>
      </c>
      <c r="VHV1338" s="4" t="s">
        <v>2882</v>
      </c>
      <c r="VHW1338" s="4" t="s">
        <v>2882</v>
      </c>
      <c r="VHX1338" s="4" t="s">
        <v>2882</v>
      </c>
      <c r="VHY1338" s="4" t="s">
        <v>2882</v>
      </c>
      <c r="VHZ1338" s="4" t="s">
        <v>2882</v>
      </c>
      <c r="VIA1338" s="4" t="s">
        <v>2882</v>
      </c>
      <c r="VIB1338" s="4" t="s">
        <v>2882</v>
      </c>
      <c r="VIC1338" s="4" t="s">
        <v>2882</v>
      </c>
      <c r="VID1338" s="4" t="s">
        <v>2882</v>
      </c>
      <c r="VIE1338" s="4" t="s">
        <v>2882</v>
      </c>
      <c r="VIF1338" s="4" t="s">
        <v>2882</v>
      </c>
      <c r="VIG1338" s="4" t="s">
        <v>2882</v>
      </c>
      <c r="VIH1338" s="4" t="s">
        <v>2882</v>
      </c>
      <c r="VII1338" s="4" t="s">
        <v>2882</v>
      </c>
      <c r="VIJ1338" s="4" t="s">
        <v>2882</v>
      </c>
      <c r="VIK1338" s="4" t="s">
        <v>2882</v>
      </c>
      <c r="VIL1338" s="4" t="s">
        <v>2882</v>
      </c>
      <c r="VIM1338" s="4" t="s">
        <v>2882</v>
      </c>
      <c r="VIN1338" s="4" t="s">
        <v>2882</v>
      </c>
      <c r="VIO1338" s="4" t="s">
        <v>2882</v>
      </c>
      <c r="VIP1338" s="4" t="s">
        <v>2882</v>
      </c>
      <c r="VIQ1338" s="4" t="s">
        <v>2882</v>
      </c>
      <c r="VIR1338" s="4" t="s">
        <v>2882</v>
      </c>
      <c r="VIS1338" s="4" t="s">
        <v>2882</v>
      </c>
      <c r="VIT1338" s="4" t="s">
        <v>2882</v>
      </c>
      <c r="VIU1338" s="4" t="s">
        <v>2882</v>
      </c>
      <c r="VIV1338" s="4" t="s">
        <v>2882</v>
      </c>
      <c r="VIW1338" s="4" t="s">
        <v>2882</v>
      </c>
      <c r="VIX1338" s="4" t="s">
        <v>2882</v>
      </c>
      <c r="VIY1338" s="4" t="s">
        <v>2882</v>
      </c>
      <c r="VIZ1338" s="4" t="s">
        <v>2882</v>
      </c>
      <c r="VJA1338" s="4" t="s">
        <v>2882</v>
      </c>
      <c r="VJB1338" s="4" t="s">
        <v>2882</v>
      </c>
      <c r="VJC1338" s="4" t="s">
        <v>2882</v>
      </c>
      <c r="VJD1338" s="4" t="s">
        <v>2882</v>
      </c>
      <c r="VJE1338" s="4" t="s">
        <v>2882</v>
      </c>
      <c r="VJF1338" s="4" t="s">
        <v>2882</v>
      </c>
      <c r="VJG1338" s="4" t="s">
        <v>2882</v>
      </c>
      <c r="VJH1338" s="4" t="s">
        <v>2882</v>
      </c>
      <c r="VJI1338" s="4" t="s">
        <v>2882</v>
      </c>
      <c r="VJJ1338" s="4" t="s">
        <v>2882</v>
      </c>
      <c r="VJK1338" s="4" t="s">
        <v>2882</v>
      </c>
      <c r="VJL1338" s="4" t="s">
        <v>2882</v>
      </c>
      <c r="VJM1338" s="4" t="s">
        <v>2882</v>
      </c>
      <c r="VJN1338" s="4" t="s">
        <v>2882</v>
      </c>
      <c r="VJO1338" s="4" t="s">
        <v>2882</v>
      </c>
      <c r="VJP1338" s="4" t="s">
        <v>2882</v>
      </c>
      <c r="VJQ1338" s="4" t="s">
        <v>2882</v>
      </c>
      <c r="VJR1338" s="4" t="s">
        <v>2882</v>
      </c>
      <c r="VJS1338" s="4" t="s">
        <v>2882</v>
      </c>
      <c r="VJT1338" s="4" t="s">
        <v>2882</v>
      </c>
      <c r="VJU1338" s="4" t="s">
        <v>2882</v>
      </c>
      <c r="VJV1338" s="4" t="s">
        <v>2882</v>
      </c>
      <c r="VJW1338" s="4" t="s">
        <v>2882</v>
      </c>
      <c r="VJX1338" s="4" t="s">
        <v>2882</v>
      </c>
      <c r="VJY1338" s="4" t="s">
        <v>2882</v>
      </c>
      <c r="VJZ1338" s="4" t="s">
        <v>2882</v>
      </c>
      <c r="VKA1338" s="4" t="s">
        <v>2882</v>
      </c>
      <c r="VKB1338" s="4" t="s">
        <v>2882</v>
      </c>
      <c r="VKC1338" s="4" t="s">
        <v>2882</v>
      </c>
      <c r="VKD1338" s="4" t="s">
        <v>2882</v>
      </c>
      <c r="VKE1338" s="4" t="s">
        <v>2882</v>
      </c>
      <c r="VKF1338" s="4" t="s">
        <v>2882</v>
      </c>
      <c r="VKG1338" s="4" t="s">
        <v>2882</v>
      </c>
      <c r="VKH1338" s="4" t="s">
        <v>2882</v>
      </c>
      <c r="VKI1338" s="4" t="s">
        <v>2882</v>
      </c>
      <c r="VKJ1338" s="4" t="s">
        <v>2882</v>
      </c>
      <c r="VKK1338" s="4" t="s">
        <v>2882</v>
      </c>
      <c r="VKL1338" s="4" t="s">
        <v>2882</v>
      </c>
      <c r="VKM1338" s="4" t="s">
        <v>2882</v>
      </c>
      <c r="VKN1338" s="4" t="s">
        <v>2882</v>
      </c>
      <c r="VKO1338" s="4" t="s">
        <v>2882</v>
      </c>
      <c r="VKP1338" s="4" t="s">
        <v>2882</v>
      </c>
      <c r="VKQ1338" s="4" t="s">
        <v>2882</v>
      </c>
      <c r="VKR1338" s="4" t="s">
        <v>2882</v>
      </c>
      <c r="VKS1338" s="4" t="s">
        <v>2882</v>
      </c>
      <c r="VKT1338" s="4" t="s">
        <v>2882</v>
      </c>
      <c r="VKU1338" s="4" t="s">
        <v>2882</v>
      </c>
      <c r="VKV1338" s="4" t="s">
        <v>2882</v>
      </c>
      <c r="VKW1338" s="4" t="s">
        <v>2882</v>
      </c>
      <c r="VKX1338" s="4" t="s">
        <v>2882</v>
      </c>
      <c r="VKY1338" s="4" t="s">
        <v>2882</v>
      </c>
      <c r="VKZ1338" s="4" t="s">
        <v>2882</v>
      </c>
      <c r="VLA1338" s="4" t="s">
        <v>2882</v>
      </c>
      <c r="VLB1338" s="4" t="s">
        <v>2882</v>
      </c>
      <c r="VLC1338" s="4" t="s">
        <v>2882</v>
      </c>
      <c r="VLD1338" s="4" t="s">
        <v>2882</v>
      </c>
      <c r="VLE1338" s="4" t="s">
        <v>2882</v>
      </c>
      <c r="VLF1338" s="4" t="s">
        <v>2882</v>
      </c>
      <c r="VLG1338" s="4" t="s">
        <v>2882</v>
      </c>
      <c r="VLH1338" s="4" t="s">
        <v>2882</v>
      </c>
      <c r="VLI1338" s="4" t="s">
        <v>2882</v>
      </c>
      <c r="VLJ1338" s="4" t="s">
        <v>2882</v>
      </c>
      <c r="VLK1338" s="4" t="s">
        <v>2882</v>
      </c>
      <c r="VLL1338" s="4" t="s">
        <v>2882</v>
      </c>
      <c r="VLM1338" s="4" t="s">
        <v>2882</v>
      </c>
      <c r="VLN1338" s="4" t="s">
        <v>2882</v>
      </c>
      <c r="VLO1338" s="4" t="s">
        <v>2882</v>
      </c>
      <c r="VLP1338" s="4" t="s">
        <v>2882</v>
      </c>
      <c r="VLQ1338" s="4" t="s">
        <v>2882</v>
      </c>
      <c r="VLR1338" s="4" t="s">
        <v>2882</v>
      </c>
      <c r="VLS1338" s="4" t="s">
        <v>2882</v>
      </c>
      <c r="VLT1338" s="4" t="s">
        <v>2882</v>
      </c>
      <c r="VLU1338" s="4" t="s">
        <v>2882</v>
      </c>
      <c r="VLV1338" s="4" t="s">
        <v>2882</v>
      </c>
      <c r="VLW1338" s="4" t="s">
        <v>2882</v>
      </c>
      <c r="VLX1338" s="4" t="s">
        <v>2882</v>
      </c>
      <c r="VLY1338" s="4" t="s">
        <v>2882</v>
      </c>
      <c r="VLZ1338" s="4" t="s">
        <v>2882</v>
      </c>
      <c r="VMA1338" s="4" t="s">
        <v>2882</v>
      </c>
      <c r="VMB1338" s="4" t="s">
        <v>2882</v>
      </c>
      <c r="VMC1338" s="4" t="s">
        <v>2882</v>
      </c>
      <c r="VMD1338" s="4" t="s">
        <v>2882</v>
      </c>
      <c r="VME1338" s="4" t="s">
        <v>2882</v>
      </c>
      <c r="VMF1338" s="4" t="s">
        <v>2882</v>
      </c>
      <c r="VMG1338" s="4" t="s">
        <v>2882</v>
      </c>
      <c r="VMH1338" s="4" t="s">
        <v>2882</v>
      </c>
      <c r="VMI1338" s="4" t="s">
        <v>2882</v>
      </c>
      <c r="VMJ1338" s="4" t="s">
        <v>2882</v>
      </c>
      <c r="VMK1338" s="4" t="s">
        <v>2882</v>
      </c>
      <c r="VML1338" s="4" t="s">
        <v>2882</v>
      </c>
      <c r="VMM1338" s="4" t="s">
        <v>2882</v>
      </c>
      <c r="VMN1338" s="4" t="s">
        <v>2882</v>
      </c>
      <c r="VMO1338" s="4" t="s">
        <v>2882</v>
      </c>
      <c r="VMP1338" s="4" t="s">
        <v>2882</v>
      </c>
      <c r="VMQ1338" s="4" t="s">
        <v>2882</v>
      </c>
      <c r="VMR1338" s="4" t="s">
        <v>2882</v>
      </c>
      <c r="VMS1338" s="4" t="s">
        <v>2882</v>
      </c>
      <c r="VMT1338" s="4" t="s">
        <v>2882</v>
      </c>
      <c r="VMU1338" s="4" t="s">
        <v>2882</v>
      </c>
      <c r="VMV1338" s="4" t="s">
        <v>2882</v>
      </c>
      <c r="VMW1338" s="4" t="s">
        <v>2882</v>
      </c>
      <c r="VMX1338" s="4" t="s">
        <v>2882</v>
      </c>
      <c r="VMY1338" s="4" t="s">
        <v>2882</v>
      </c>
      <c r="VMZ1338" s="4" t="s">
        <v>2882</v>
      </c>
      <c r="VNA1338" s="4" t="s">
        <v>2882</v>
      </c>
      <c r="VNB1338" s="4" t="s">
        <v>2882</v>
      </c>
      <c r="VNC1338" s="4" t="s">
        <v>2882</v>
      </c>
      <c r="VND1338" s="4" t="s">
        <v>2882</v>
      </c>
      <c r="VNE1338" s="4" t="s">
        <v>2882</v>
      </c>
      <c r="VNF1338" s="4" t="s">
        <v>2882</v>
      </c>
      <c r="VNG1338" s="4" t="s">
        <v>2882</v>
      </c>
      <c r="VNH1338" s="4" t="s">
        <v>2882</v>
      </c>
      <c r="VNI1338" s="4" t="s">
        <v>2882</v>
      </c>
      <c r="VNJ1338" s="4" t="s">
        <v>2882</v>
      </c>
      <c r="VNK1338" s="4" t="s">
        <v>2882</v>
      </c>
      <c r="VNL1338" s="4" t="s">
        <v>2882</v>
      </c>
      <c r="VNM1338" s="4" t="s">
        <v>2882</v>
      </c>
      <c r="VNN1338" s="4" t="s">
        <v>2882</v>
      </c>
      <c r="VNO1338" s="4" t="s">
        <v>2882</v>
      </c>
      <c r="VNP1338" s="4" t="s">
        <v>2882</v>
      </c>
      <c r="VNQ1338" s="4" t="s">
        <v>2882</v>
      </c>
      <c r="VNR1338" s="4" t="s">
        <v>2882</v>
      </c>
      <c r="VNS1338" s="4" t="s">
        <v>2882</v>
      </c>
      <c r="VNT1338" s="4" t="s">
        <v>2882</v>
      </c>
      <c r="VNU1338" s="4" t="s">
        <v>2882</v>
      </c>
      <c r="VNV1338" s="4" t="s">
        <v>2882</v>
      </c>
      <c r="VNW1338" s="4" t="s">
        <v>2882</v>
      </c>
      <c r="VNX1338" s="4" t="s">
        <v>2882</v>
      </c>
      <c r="VNY1338" s="4" t="s">
        <v>2882</v>
      </c>
      <c r="VNZ1338" s="4" t="s">
        <v>2882</v>
      </c>
      <c r="VOA1338" s="4" t="s">
        <v>2882</v>
      </c>
      <c r="VOB1338" s="4" t="s">
        <v>2882</v>
      </c>
      <c r="VOC1338" s="4" t="s">
        <v>2882</v>
      </c>
      <c r="VOD1338" s="4" t="s">
        <v>2882</v>
      </c>
      <c r="VOE1338" s="4" t="s">
        <v>2882</v>
      </c>
      <c r="VOF1338" s="4" t="s">
        <v>2882</v>
      </c>
      <c r="VOG1338" s="4" t="s">
        <v>2882</v>
      </c>
      <c r="VOH1338" s="4" t="s">
        <v>2882</v>
      </c>
      <c r="VOI1338" s="4" t="s">
        <v>2882</v>
      </c>
      <c r="VOJ1338" s="4" t="s">
        <v>2882</v>
      </c>
      <c r="VOK1338" s="4" t="s">
        <v>2882</v>
      </c>
      <c r="VOL1338" s="4" t="s">
        <v>2882</v>
      </c>
      <c r="VOM1338" s="4" t="s">
        <v>2882</v>
      </c>
      <c r="VON1338" s="4" t="s">
        <v>2882</v>
      </c>
      <c r="VOO1338" s="4" t="s">
        <v>2882</v>
      </c>
      <c r="VOP1338" s="4" t="s">
        <v>2882</v>
      </c>
      <c r="VOQ1338" s="4" t="s">
        <v>2882</v>
      </c>
      <c r="VOR1338" s="4" t="s">
        <v>2882</v>
      </c>
      <c r="VOS1338" s="4" t="s">
        <v>2882</v>
      </c>
      <c r="VOT1338" s="4" t="s">
        <v>2882</v>
      </c>
      <c r="VOU1338" s="4" t="s">
        <v>2882</v>
      </c>
      <c r="VOV1338" s="4" t="s">
        <v>2882</v>
      </c>
      <c r="VOW1338" s="4" t="s">
        <v>2882</v>
      </c>
      <c r="VOX1338" s="4" t="s">
        <v>2882</v>
      </c>
      <c r="VOY1338" s="4" t="s">
        <v>2882</v>
      </c>
      <c r="VOZ1338" s="4" t="s">
        <v>2882</v>
      </c>
      <c r="VPA1338" s="4" t="s">
        <v>2882</v>
      </c>
      <c r="VPB1338" s="4" t="s">
        <v>2882</v>
      </c>
      <c r="VPC1338" s="4" t="s">
        <v>2882</v>
      </c>
      <c r="VPD1338" s="4" t="s">
        <v>2882</v>
      </c>
      <c r="VPE1338" s="4" t="s">
        <v>2882</v>
      </c>
      <c r="VPF1338" s="4" t="s">
        <v>2882</v>
      </c>
      <c r="VPG1338" s="4" t="s">
        <v>2882</v>
      </c>
      <c r="VPH1338" s="4" t="s">
        <v>2882</v>
      </c>
      <c r="VPI1338" s="4" t="s">
        <v>2882</v>
      </c>
      <c r="VPJ1338" s="4" t="s">
        <v>2882</v>
      </c>
      <c r="VPK1338" s="4" t="s">
        <v>2882</v>
      </c>
      <c r="VPL1338" s="4" t="s">
        <v>2882</v>
      </c>
      <c r="VPM1338" s="4" t="s">
        <v>2882</v>
      </c>
      <c r="VPN1338" s="4" t="s">
        <v>2882</v>
      </c>
      <c r="VPO1338" s="4" t="s">
        <v>2882</v>
      </c>
      <c r="VPP1338" s="4" t="s">
        <v>2882</v>
      </c>
      <c r="VPQ1338" s="4" t="s">
        <v>2882</v>
      </c>
      <c r="VPR1338" s="4" t="s">
        <v>2882</v>
      </c>
      <c r="VPS1338" s="4" t="s">
        <v>2882</v>
      </c>
      <c r="VPT1338" s="4" t="s">
        <v>2882</v>
      </c>
      <c r="VPU1338" s="4" t="s">
        <v>2882</v>
      </c>
      <c r="VPV1338" s="4" t="s">
        <v>2882</v>
      </c>
      <c r="VPW1338" s="4" t="s">
        <v>2882</v>
      </c>
      <c r="VPX1338" s="4" t="s">
        <v>2882</v>
      </c>
      <c r="VPY1338" s="4" t="s">
        <v>2882</v>
      </c>
      <c r="VPZ1338" s="4" t="s">
        <v>2882</v>
      </c>
      <c r="VQA1338" s="4" t="s">
        <v>2882</v>
      </c>
      <c r="VQB1338" s="4" t="s">
        <v>2882</v>
      </c>
      <c r="VQC1338" s="4" t="s">
        <v>2882</v>
      </c>
      <c r="VQD1338" s="4" t="s">
        <v>2882</v>
      </c>
      <c r="VQE1338" s="4" t="s">
        <v>2882</v>
      </c>
      <c r="VQF1338" s="4" t="s">
        <v>2882</v>
      </c>
      <c r="VQG1338" s="4" t="s">
        <v>2882</v>
      </c>
      <c r="VQH1338" s="4" t="s">
        <v>2882</v>
      </c>
      <c r="VQI1338" s="4" t="s">
        <v>2882</v>
      </c>
      <c r="VQJ1338" s="4" t="s">
        <v>2882</v>
      </c>
      <c r="VQK1338" s="4" t="s">
        <v>2882</v>
      </c>
      <c r="VQL1338" s="4" t="s">
        <v>2882</v>
      </c>
      <c r="VQM1338" s="4" t="s">
        <v>2882</v>
      </c>
      <c r="VQN1338" s="4" t="s">
        <v>2882</v>
      </c>
      <c r="VQO1338" s="4" t="s">
        <v>2882</v>
      </c>
      <c r="VQP1338" s="4" t="s">
        <v>2882</v>
      </c>
      <c r="VQQ1338" s="4" t="s">
        <v>2882</v>
      </c>
      <c r="VQR1338" s="4" t="s">
        <v>2882</v>
      </c>
      <c r="VQS1338" s="4" t="s">
        <v>2882</v>
      </c>
      <c r="VQT1338" s="4" t="s">
        <v>2882</v>
      </c>
      <c r="VQU1338" s="4" t="s">
        <v>2882</v>
      </c>
      <c r="VQV1338" s="4" t="s">
        <v>2882</v>
      </c>
      <c r="VQW1338" s="4" t="s">
        <v>2882</v>
      </c>
      <c r="VQX1338" s="4" t="s">
        <v>2882</v>
      </c>
      <c r="VQY1338" s="4" t="s">
        <v>2882</v>
      </c>
      <c r="VQZ1338" s="4" t="s">
        <v>2882</v>
      </c>
      <c r="VRA1338" s="4" t="s">
        <v>2882</v>
      </c>
      <c r="VRB1338" s="4" t="s">
        <v>2882</v>
      </c>
      <c r="VRC1338" s="4" t="s">
        <v>2882</v>
      </c>
      <c r="VRD1338" s="4" t="s">
        <v>2882</v>
      </c>
      <c r="VRE1338" s="4" t="s">
        <v>2882</v>
      </c>
      <c r="VRF1338" s="4" t="s">
        <v>2882</v>
      </c>
      <c r="VRG1338" s="4" t="s">
        <v>2882</v>
      </c>
      <c r="VRH1338" s="4" t="s">
        <v>2882</v>
      </c>
      <c r="VRI1338" s="4" t="s">
        <v>2882</v>
      </c>
      <c r="VRJ1338" s="4" t="s">
        <v>2882</v>
      </c>
      <c r="VRK1338" s="4" t="s">
        <v>2882</v>
      </c>
      <c r="VRL1338" s="4" t="s">
        <v>2882</v>
      </c>
      <c r="VRM1338" s="4" t="s">
        <v>2882</v>
      </c>
      <c r="VRN1338" s="4" t="s">
        <v>2882</v>
      </c>
      <c r="VRO1338" s="4" t="s">
        <v>2882</v>
      </c>
      <c r="VRP1338" s="4" t="s">
        <v>2882</v>
      </c>
      <c r="VRQ1338" s="4" t="s">
        <v>2882</v>
      </c>
      <c r="VRR1338" s="4" t="s">
        <v>2882</v>
      </c>
      <c r="VRS1338" s="4" t="s">
        <v>2882</v>
      </c>
      <c r="VRT1338" s="4" t="s">
        <v>2882</v>
      </c>
      <c r="VRU1338" s="4" t="s">
        <v>2882</v>
      </c>
      <c r="VRV1338" s="4" t="s">
        <v>2882</v>
      </c>
      <c r="VRW1338" s="4" t="s">
        <v>2882</v>
      </c>
      <c r="VRX1338" s="4" t="s">
        <v>2882</v>
      </c>
      <c r="VRY1338" s="4" t="s">
        <v>2882</v>
      </c>
      <c r="VRZ1338" s="4" t="s">
        <v>2882</v>
      </c>
      <c r="VSA1338" s="4" t="s">
        <v>2882</v>
      </c>
      <c r="VSB1338" s="4" t="s">
        <v>2882</v>
      </c>
      <c r="VSC1338" s="4" t="s">
        <v>2882</v>
      </c>
      <c r="VSD1338" s="4" t="s">
        <v>2882</v>
      </c>
      <c r="VSE1338" s="4" t="s">
        <v>2882</v>
      </c>
      <c r="VSF1338" s="4" t="s">
        <v>2882</v>
      </c>
      <c r="VSG1338" s="4" t="s">
        <v>2882</v>
      </c>
      <c r="VSH1338" s="4" t="s">
        <v>2882</v>
      </c>
      <c r="VSI1338" s="4" t="s">
        <v>2882</v>
      </c>
      <c r="VSJ1338" s="4" t="s">
        <v>2882</v>
      </c>
      <c r="VSK1338" s="4" t="s">
        <v>2882</v>
      </c>
      <c r="VSL1338" s="4" t="s">
        <v>2882</v>
      </c>
      <c r="VSM1338" s="4" t="s">
        <v>2882</v>
      </c>
      <c r="VSN1338" s="4" t="s">
        <v>2882</v>
      </c>
      <c r="VSO1338" s="4" t="s">
        <v>2882</v>
      </c>
      <c r="VSP1338" s="4" t="s">
        <v>2882</v>
      </c>
      <c r="VSQ1338" s="4" t="s">
        <v>2882</v>
      </c>
      <c r="VSR1338" s="4" t="s">
        <v>2882</v>
      </c>
      <c r="VSS1338" s="4" t="s">
        <v>2882</v>
      </c>
      <c r="VST1338" s="4" t="s">
        <v>2882</v>
      </c>
      <c r="VSU1338" s="4" t="s">
        <v>2882</v>
      </c>
      <c r="VSV1338" s="4" t="s">
        <v>2882</v>
      </c>
      <c r="VSW1338" s="4" t="s">
        <v>2882</v>
      </c>
      <c r="VSX1338" s="4" t="s">
        <v>2882</v>
      </c>
      <c r="VSY1338" s="4" t="s">
        <v>2882</v>
      </c>
      <c r="VSZ1338" s="4" t="s">
        <v>2882</v>
      </c>
      <c r="VTA1338" s="4" t="s">
        <v>2882</v>
      </c>
      <c r="VTB1338" s="4" t="s">
        <v>2882</v>
      </c>
      <c r="VTC1338" s="4" t="s">
        <v>2882</v>
      </c>
      <c r="VTD1338" s="4" t="s">
        <v>2882</v>
      </c>
      <c r="VTE1338" s="4" t="s">
        <v>2882</v>
      </c>
      <c r="VTF1338" s="4" t="s">
        <v>2882</v>
      </c>
      <c r="VTG1338" s="4" t="s">
        <v>2882</v>
      </c>
      <c r="VTH1338" s="4" t="s">
        <v>2882</v>
      </c>
      <c r="VTI1338" s="4" t="s">
        <v>2882</v>
      </c>
      <c r="VTJ1338" s="4" t="s">
        <v>2882</v>
      </c>
      <c r="VTK1338" s="4" t="s">
        <v>2882</v>
      </c>
      <c r="VTL1338" s="4" t="s">
        <v>2882</v>
      </c>
      <c r="VTM1338" s="4" t="s">
        <v>2882</v>
      </c>
      <c r="VTN1338" s="4" t="s">
        <v>2882</v>
      </c>
      <c r="VTO1338" s="4" t="s">
        <v>2882</v>
      </c>
      <c r="VTP1338" s="4" t="s">
        <v>2882</v>
      </c>
      <c r="VTQ1338" s="4" t="s">
        <v>2882</v>
      </c>
      <c r="VTR1338" s="4" t="s">
        <v>2882</v>
      </c>
      <c r="VTS1338" s="4" t="s">
        <v>2882</v>
      </c>
      <c r="VTT1338" s="4" t="s">
        <v>2882</v>
      </c>
      <c r="VTU1338" s="4" t="s">
        <v>2882</v>
      </c>
      <c r="VTV1338" s="4" t="s">
        <v>2882</v>
      </c>
      <c r="VTW1338" s="4" t="s">
        <v>2882</v>
      </c>
      <c r="VTX1338" s="4" t="s">
        <v>2882</v>
      </c>
      <c r="VTY1338" s="4" t="s">
        <v>2882</v>
      </c>
      <c r="VTZ1338" s="4" t="s">
        <v>2882</v>
      </c>
      <c r="VUA1338" s="4" t="s">
        <v>2882</v>
      </c>
      <c r="VUB1338" s="4" t="s">
        <v>2882</v>
      </c>
      <c r="VUC1338" s="4" t="s">
        <v>2882</v>
      </c>
      <c r="VUD1338" s="4" t="s">
        <v>2882</v>
      </c>
      <c r="VUE1338" s="4" t="s">
        <v>2882</v>
      </c>
      <c r="VUF1338" s="4" t="s">
        <v>2882</v>
      </c>
      <c r="VUG1338" s="4" t="s">
        <v>2882</v>
      </c>
      <c r="VUH1338" s="4" t="s">
        <v>2882</v>
      </c>
      <c r="VUI1338" s="4" t="s">
        <v>2882</v>
      </c>
      <c r="VUJ1338" s="4" t="s">
        <v>2882</v>
      </c>
      <c r="VUK1338" s="4" t="s">
        <v>2882</v>
      </c>
      <c r="VUL1338" s="4" t="s">
        <v>2882</v>
      </c>
      <c r="VUM1338" s="4" t="s">
        <v>2882</v>
      </c>
      <c r="VUN1338" s="4" t="s">
        <v>2882</v>
      </c>
      <c r="VUO1338" s="4" t="s">
        <v>2882</v>
      </c>
      <c r="VUP1338" s="4" t="s">
        <v>2882</v>
      </c>
      <c r="VUQ1338" s="4" t="s">
        <v>2882</v>
      </c>
      <c r="VUR1338" s="4" t="s">
        <v>2882</v>
      </c>
      <c r="VUS1338" s="4" t="s">
        <v>2882</v>
      </c>
      <c r="VUT1338" s="4" t="s">
        <v>2882</v>
      </c>
      <c r="VUU1338" s="4" t="s">
        <v>2882</v>
      </c>
      <c r="VUV1338" s="4" t="s">
        <v>2882</v>
      </c>
      <c r="VUW1338" s="4" t="s">
        <v>2882</v>
      </c>
      <c r="VUX1338" s="4" t="s">
        <v>2882</v>
      </c>
      <c r="VUY1338" s="4" t="s">
        <v>2882</v>
      </c>
      <c r="VUZ1338" s="4" t="s">
        <v>2882</v>
      </c>
      <c r="VVA1338" s="4" t="s">
        <v>2882</v>
      </c>
      <c r="VVB1338" s="4" t="s">
        <v>2882</v>
      </c>
      <c r="VVC1338" s="4" t="s">
        <v>2882</v>
      </c>
      <c r="VVD1338" s="4" t="s">
        <v>2882</v>
      </c>
      <c r="VVE1338" s="4" t="s">
        <v>2882</v>
      </c>
      <c r="VVF1338" s="4" t="s">
        <v>2882</v>
      </c>
      <c r="VVG1338" s="4" t="s">
        <v>2882</v>
      </c>
      <c r="VVH1338" s="4" t="s">
        <v>2882</v>
      </c>
      <c r="VVI1338" s="4" t="s">
        <v>2882</v>
      </c>
      <c r="VVJ1338" s="4" t="s">
        <v>2882</v>
      </c>
      <c r="VVK1338" s="4" t="s">
        <v>2882</v>
      </c>
      <c r="VVL1338" s="4" t="s">
        <v>2882</v>
      </c>
      <c r="VVM1338" s="4" t="s">
        <v>2882</v>
      </c>
      <c r="VVN1338" s="4" t="s">
        <v>2882</v>
      </c>
      <c r="VVO1338" s="4" t="s">
        <v>2882</v>
      </c>
      <c r="VVP1338" s="4" t="s">
        <v>2882</v>
      </c>
      <c r="VVQ1338" s="4" t="s">
        <v>2882</v>
      </c>
      <c r="VVR1338" s="4" t="s">
        <v>2882</v>
      </c>
      <c r="VVS1338" s="4" t="s">
        <v>2882</v>
      </c>
      <c r="VVT1338" s="4" t="s">
        <v>2882</v>
      </c>
      <c r="VVU1338" s="4" t="s">
        <v>2882</v>
      </c>
      <c r="VVV1338" s="4" t="s">
        <v>2882</v>
      </c>
      <c r="VVW1338" s="4" t="s">
        <v>2882</v>
      </c>
      <c r="VVX1338" s="4" t="s">
        <v>2882</v>
      </c>
      <c r="VVY1338" s="4" t="s">
        <v>2882</v>
      </c>
      <c r="VVZ1338" s="4" t="s">
        <v>2882</v>
      </c>
      <c r="VWA1338" s="4" t="s">
        <v>2882</v>
      </c>
      <c r="VWB1338" s="4" t="s">
        <v>2882</v>
      </c>
      <c r="VWC1338" s="4" t="s">
        <v>2882</v>
      </c>
      <c r="VWD1338" s="4" t="s">
        <v>2882</v>
      </c>
      <c r="VWE1338" s="4" t="s">
        <v>2882</v>
      </c>
      <c r="VWF1338" s="4" t="s">
        <v>2882</v>
      </c>
      <c r="VWG1338" s="4" t="s">
        <v>2882</v>
      </c>
      <c r="VWH1338" s="4" t="s">
        <v>2882</v>
      </c>
      <c r="VWI1338" s="4" t="s">
        <v>2882</v>
      </c>
      <c r="VWJ1338" s="4" t="s">
        <v>2882</v>
      </c>
      <c r="VWK1338" s="4" t="s">
        <v>2882</v>
      </c>
      <c r="VWL1338" s="4" t="s">
        <v>2882</v>
      </c>
      <c r="VWM1338" s="4" t="s">
        <v>2882</v>
      </c>
      <c r="VWN1338" s="4" t="s">
        <v>2882</v>
      </c>
      <c r="VWO1338" s="4" t="s">
        <v>2882</v>
      </c>
      <c r="VWP1338" s="4" t="s">
        <v>2882</v>
      </c>
      <c r="VWQ1338" s="4" t="s">
        <v>2882</v>
      </c>
      <c r="VWR1338" s="4" t="s">
        <v>2882</v>
      </c>
      <c r="VWS1338" s="4" t="s">
        <v>2882</v>
      </c>
      <c r="VWT1338" s="4" t="s">
        <v>2882</v>
      </c>
      <c r="VWU1338" s="4" t="s">
        <v>2882</v>
      </c>
      <c r="VWV1338" s="4" t="s">
        <v>2882</v>
      </c>
      <c r="VWW1338" s="4" t="s">
        <v>2882</v>
      </c>
      <c r="VWX1338" s="4" t="s">
        <v>2882</v>
      </c>
      <c r="VWY1338" s="4" t="s">
        <v>2882</v>
      </c>
      <c r="VWZ1338" s="4" t="s">
        <v>2882</v>
      </c>
      <c r="VXA1338" s="4" t="s">
        <v>2882</v>
      </c>
      <c r="VXB1338" s="4" t="s">
        <v>2882</v>
      </c>
      <c r="VXC1338" s="4" t="s">
        <v>2882</v>
      </c>
      <c r="VXD1338" s="4" t="s">
        <v>2882</v>
      </c>
      <c r="VXE1338" s="4" t="s">
        <v>2882</v>
      </c>
      <c r="VXF1338" s="4" t="s">
        <v>2882</v>
      </c>
      <c r="VXG1338" s="4" t="s">
        <v>2882</v>
      </c>
      <c r="VXH1338" s="4" t="s">
        <v>2882</v>
      </c>
      <c r="VXI1338" s="4" t="s">
        <v>2882</v>
      </c>
      <c r="VXJ1338" s="4" t="s">
        <v>2882</v>
      </c>
      <c r="VXK1338" s="4" t="s">
        <v>2882</v>
      </c>
      <c r="VXL1338" s="4" t="s">
        <v>2882</v>
      </c>
      <c r="VXM1338" s="4" t="s">
        <v>2882</v>
      </c>
      <c r="VXN1338" s="4" t="s">
        <v>2882</v>
      </c>
      <c r="VXO1338" s="4" t="s">
        <v>2882</v>
      </c>
      <c r="VXP1338" s="4" t="s">
        <v>2882</v>
      </c>
      <c r="VXQ1338" s="4" t="s">
        <v>2882</v>
      </c>
      <c r="VXR1338" s="4" t="s">
        <v>2882</v>
      </c>
      <c r="VXS1338" s="4" t="s">
        <v>2882</v>
      </c>
      <c r="VXT1338" s="4" t="s">
        <v>2882</v>
      </c>
      <c r="VXU1338" s="4" t="s">
        <v>2882</v>
      </c>
      <c r="VXV1338" s="4" t="s">
        <v>2882</v>
      </c>
      <c r="VXW1338" s="4" t="s">
        <v>2882</v>
      </c>
      <c r="VXX1338" s="4" t="s">
        <v>2882</v>
      </c>
      <c r="VXY1338" s="4" t="s">
        <v>2882</v>
      </c>
      <c r="VXZ1338" s="4" t="s">
        <v>2882</v>
      </c>
      <c r="VYA1338" s="4" t="s">
        <v>2882</v>
      </c>
      <c r="VYB1338" s="4" t="s">
        <v>2882</v>
      </c>
      <c r="VYC1338" s="4" t="s">
        <v>2882</v>
      </c>
      <c r="VYD1338" s="4" t="s">
        <v>2882</v>
      </c>
      <c r="VYE1338" s="4" t="s">
        <v>2882</v>
      </c>
      <c r="VYF1338" s="4" t="s">
        <v>2882</v>
      </c>
      <c r="VYG1338" s="4" t="s">
        <v>2882</v>
      </c>
      <c r="VYH1338" s="4" t="s">
        <v>2882</v>
      </c>
      <c r="VYI1338" s="4" t="s">
        <v>2882</v>
      </c>
      <c r="VYJ1338" s="4" t="s">
        <v>2882</v>
      </c>
      <c r="VYK1338" s="4" t="s">
        <v>2882</v>
      </c>
      <c r="VYL1338" s="4" t="s">
        <v>2882</v>
      </c>
      <c r="VYM1338" s="4" t="s">
        <v>2882</v>
      </c>
      <c r="VYN1338" s="4" t="s">
        <v>2882</v>
      </c>
      <c r="VYO1338" s="4" t="s">
        <v>2882</v>
      </c>
      <c r="VYP1338" s="4" t="s">
        <v>2882</v>
      </c>
      <c r="VYQ1338" s="4" t="s">
        <v>2882</v>
      </c>
      <c r="VYR1338" s="4" t="s">
        <v>2882</v>
      </c>
      <c r="VYS1338" s="4" t="s">
        <v>2882</v>
      </c>
      <c r="VYT1338" s="4" t="s">
        <v>2882</v>
      </c>
      <c r="VYU1338" s="4" t="s">
        <v>2882</v>
      </c>
      <c r="VYV1338" s="4" t="s">
        <v>2882</v>
      </c>
      <c r="VYW1338" s="4" t="s">
        <v>2882</v>
      </c>
      <c r="VYX1338" s="4" t="s">
        <v>2882</v>
      </c>
      <c r="VYY1338" s="4" t="s">
        <v>2882</v>
      </c>
      <c r="VYZ1338" s="4" t="s">
        <v>2882</v>
      </c>
      <c r="VZA1338" s="4" t="s">
        <v>2882</v>
      </c>
      <c r="VZB1338" s="4" t="s">
        <v>2882</v>
      </c>
      <c r="VZC1338" s="4" t="s">
        <v>2882</v>
      </c>
      <c r="VZD1338" s="4" t="s">
        <v>2882</v>
      </c>
      <c r="VZE1338" s="4" t="s">
        <v>2882</v>
      </c>
      <c r="VZF1338" s="4" t="s">
        <v>2882</v>
      </c>
      <c r="VZG1338" s="4" t="s">
        <v>2882</v>
      </c>
      <c r="VZH1338" s="4" t="s">
        <v>2882</v>
      </c>
      <c r="VZI1338" s="4" t="s">
        <v>2882</v>
      </c>
      <c r="VZJ1338" s="4" t="s">
        <v>2882</v>
      </c>
      <c r="VZK1338" s="4" t="s">
        <v>2882</v>
      </c>
      <c r="VZL1338" s="4" t="s">
        <v>2882</v>
      </c>
      <c r="VZM1338" s="4" t="s">
        <v>2882</v>
      </c>
      <c r="VZN1338" s="4" t="s">
        <v>2882</v>
      </c>
      <c r="VZO1338" s="4" t="s">
        <v>2882</v>
      </c>
      <c r="VZP1338" s="4" t="s">
        <v>2882</v>
      </c>
      <c r="VZQ1338" s="4" t="s">
        <v>2882</v>
      </c>
      <c r="VZR1338" s="4" t="s">
        <v>2882</v>
      </c>
      <c r="VZS1338" s="4" t="s">
        <v>2882</v>
      </c>
      <c r="VZT1338" s="4" t="s">
        <v>2882</v>
      </c>
      <c r="VZU1338" s="4" t="s">
        <v>2882</v>
      </c>
      <c r="VZV1338" s="4" t="s">
        <v>2882</v>
      </c>
      <c r="VZW1338" s="4" t="s">
        <v>2882</v>
      </c>
      <c r="VZX1338" s="4" t="s">
        <v>2882</v>
      </c>
      <c r="VZY1338" s="4" t="s">
        <v>2882</v>
      </c>
      <c r="VZZ1338" s="4" t="s">
        <v>2882</v>
      </c>
      <c r="WAA1338" s="4" t="s">
        <v>2882</v>
      </c>
      <c r="WAB1338" s="4" t="s">
        <v>2882</v>
      </c>
      <c r="WAC1338" s="4" t="s">
        <v>2882</v>
      </c>
      <c r="WAD1338" s="4" t="s">
        <v>2882</v>
      </c>
      <c r="WAE1338" s="4" t="s">
        <v>2882</v>
      </c>
      <c r="WAF1338" s="4" t="s">
        <v>2882</v>
      </c>
      <c r="WAG1338" s="4" t="s">
        <v>2882</v>
      </c>
      <c r="WAH1338" s="4" t="s">
        <v>2882</v>
      </c>
      <c r="WAI1338" s="4" t="s">
        <v>2882</v>
      </c>
      <c r="WAJ1338" s="4" t="s">
        <v>2882</v>
      </c>
      <c r="WAK1338" s="4" t="s">
        <v>2882</v>
      </c>
      <c r="WAL1338" s="4" t="s">
        <v>2882</v>
      </c>
      <c r="WAM1338" s="4" t="s">
        <v>2882</v>
      </c>
      <c r="WAN1338" s="4" t="s">
        <v>2882</v>
      </c>
      <c r="WAO1338" s="4" t="s">
        <v>2882</v>
      </c>
      <c r="WAP1338" s="4" t="s">
        <v>2882</v>
      </c>
      <c r="WAQ1338" s="4" t="s">
        <v>2882</v>
      </c>
      <c r="WAR1338" s="4" t="s">
        <v>2882</v>
      </c>
      <c r="WAS1338" s="4" t="s">
        <v>2882</v>
      </c>
      <c r="WAT1338" s="4" t="s">
        <v>2882</v>
      </c>
      <c r="WAU1338" s="4" t="s">
        <v>2882</v>
      </c>
      <c r="WAV1338" s="4" t="s">
        <v>2882</v>
      </c>
      <c r="WAW1338" s="4" t="s">
        <v>2882</v>
      </c>
      <c r="WAX1338" s="4" t="s">
        <v>2882</v>
      </c>
      <c r="WAY1338" s="4" t="s">
        <v>2882</v>
      </c>
      <c r="WAZ1338" s="4" t="s">
        <v>2882</v>
      </c>
      <c r="WBA1338" s="4" t="s">
        <v>2882</v>
      </c>
      <c r="WBB1338" s="4" t="s">
        <v>2882</v>
      </c>
      <c r="WBC1338" s="4" t="s">
        <v>2882</v>
      </c>
      <c r="WBD1338" s="4" t="s">
        <v>2882</v>
      </c>
      <c r="WBE1338" s="4" t="s">
        <v>2882</v>
      </c>
      <c r="WBF1338" s="4" t="s">
        <v>2882</v>
      </c>
      <c r="WBG1338" s="4" t="s">
        <v>2882</v>
      </c>
      <c r="WBH1338" s="4" t="s">
        <v>2882</v>
      </c>
      <c r="WBI1338" s="4" t="s">
        <v>2882</v>
      </c>
      <c r="WBJ1338" s="4" t="s">
        <v>2882</v>
      </c>
      <c r="WBK1338" s="4" t="s">
        <v>2882</v>
      </c>
      <c r="WBL1338" s="4" t="s">
        <v>2882</v>
      </c>
      <c r="WBM1338" s="4" t="s">
        <v>2882</v>
      </c>
      <c r="WBN1338" s="4" t="s">
        <v>2882</v>
      </c>
      <c r="WBO1338" s="4" t="s">
        <v>2882</v>
      </c>
      <c r="WBP1338" s="4" t="s">
        <v>2882</v>
      </c>
      <c r="WBQ1338" s="4" t="s">
        <v>2882</v>
      </c>
      <c r="WBR1338" s="4" t="s">
        <v>2882</v>
      </c>
      <c r="WBS1338" s="4" t="s">
        <v>2882</v>
      </c>
      <c r="WBT1338" s="4" t="s">
        <v>2882</v>
      </c>
      <c r="WBU1338" s="4" t="s">
        <v>2882</v>
      </c>
      <c r="WBV1338" s="4" t="s">
        <v>2882</v>
      </c>
      <c r="WBW1338" s="4" t="s">
        <v>2882</v>
      </c>
      <c r="WBX1338" s="4" t="s">
        <v>2882</v>
      </c>
      <c r="WBY1338" s="4" t="s">
        <v>2882</v>
      </c>
      <c r="WBZ1338" s="4" t="s">
        <v>2882</v>
      </c>
      <c r="WCA1338" s="4" t="s">
        <v>2882</v>
      </c>
      <c r="WCB1338" s="4" t="s">
        <v>2882</v>
      </c>
      <c r="WCC1338" s="4" t="s">
        <v>2882</v>
      </c>
      <c r="WCD1338" s="4" t="s">
        <v>2882</v>
      </c>
      <c r="WCE1338" s="4" t="s">
        <v>2882</v>
      </c>
      <c r="WCF1338" s="4" t="s">
        <v>2882</v>
      </c>
      <c r="WCG1338" s="4" t="s">
        <v>2882</v>
      </c>
      <c r="WCH1338" s="4" t="s">
        <v>2882</v>
      </c>
      <c r="WCI1338" s="4" t="s">
        <v>2882</v>
      </c>
      <c r="WCJ1338" s="4" t="s">
        <v>2882</v>
      </c>
      <c r="WCK1338" s="4" t="s">
        <v>2882</v>
      </c>
      <c r="WCL1338" s="4" t="s">
        <v>2882</v>
      </c>
      <c r="WCM1338" s="4" t="s">
        <v>2882</v>
      </c>
      <c r="WCN1338" s="4" t="s">
        <v>2882</v>
      </c>
      <c r="WCO1338" s="4" t="s">
        <v>2882</v>
      </c>
      <c r="WCP1338" s="4" t="s">
        <v>2882</v>
      </c>
      <c r="WCQ1338" s="4" t="s">
        <v>2882</v>
      </c>
      <c r="WCR1338" s="4" t="s">
        <v>2882</v>
      </c>
      <c r="WCS1338" s="4" t="s">
        <v>2882</v>
      </c>
      <c r="WCT1338" s="4" t="s">
        <v>2882</v>
      </c>
      <c r="WCU1338" s="4" t="s">
        <v>2882</v>
      </c>
      <c r="WCV1338" s="4" t="s">
        <v>2882</v>
      </c>
      <c r="WCW1338" s="4" t="s">
        <v>2882</v>
      </c>
      <c r="WCX1338" s="4" t="s">
        <v>2882</v>
      </c>
      <c r="WCY1338" s="4" t="s">
        <v>2882</v>
      </c>
      <c r="WCZ1338" s="4" t="s">
        <v>2882</v>
      </c>
      <c r="WDA1338" s="4" t="s">
        <v>2882</v>
      </c>
      <c r="WDB1338" s="4" t="s">
        <v>2882</v>
      </c>
      <c r="WDC1338" s="4" t="s">
        <v>2882</v>
      </c>
      <c r="WDD1338" s="4" t="s">
        <v>2882</v>
      </c>
      <c r="WDE1338" s="4" t="s">
        <v>2882</v>
      </c>
      <c r="WDF1338" s="4" t="s">
        <v>2882</v>
      </c>
      <c r="WDG1338" s="4" t="s">
        <v>2882</v>
      </c>
      <c r="WDH1338" s="4" t="s">
        <v>2882</v>
      </c>
      <c r="WDI1338" s="4" t="s">
        <v>2882</v>
      </c>
      <c r="WDJ1338" s="4" t="s">
        <v>2882</v>
      </c>
      <c r="WDK1338" s="4" t="s">
        <v>2882</v>
      </c>
      <c r="WDL1338" s="4" t="s">
        <v>2882</v>
      </c>
      <c r="WDM1338" s="4" t="s">
        <v>2882</v>
      </c>
      <c r="WDN1338" s="4" t="s">
        <v>2882</v>
      </c>
      <c r="WDO1338" s="4" t="s">
        <v>2882</v>
      </c>
      <c r="WDP1338" s="4" t="s">
        <v>2882</v>
      </c>
      <c r="WDQ1338" s="4" t="s">
        <v>2882</v>
      </c>
      <c r="WDR1338" s="4" t="s">
        <v>2882</v>
      </c>
      <c r="WDS1338" s="4" t="s">
        <v>2882</v>
      </c>
      <c r="WDT1338" s="4" t="s">
        <v>2882</v>
      </c>
      <c r="WDU1338" s="4" t="s">
        <v>2882</v>
      </c>
      <c r="WDV1338" s="4" t="s">
        <v>2882</v>
      </c>
      <c r="WDW1338" s="4" t="s">
        <v>2882</v>
      </c>
      <c r="WDX1338" s="4" t="s">
        <v>2882</v>
      </c>
      <c r="WDY1338" s="4" t="s">
        <v>2882</v>
      </c>
      <c r="WDZ1338" s="4" t="s">
        <v>2882</v>
      </c>
      <c r="WEA1338" s="4" t="s">
        <v>2882</v>
      </c>
      <c r="WEB1338" s="4" t="s">
        <v>2882</v>
      </c>
      <c r="WEC1338" s="4" t="s">
        <v>2882</v>
      </c>
      <c r="WED1338" s="4" t="s">
        <v>2882</v>
      </c>
      <c r="WEE1338" s="4" t="s">
        <v>2882</v>
      </c>
      <c r="WEF1338" s="4" t="s">
        <v>2882</v>
      </c>
      <c r="WEG1338" s="4" t="s">
        <v>2882</v>
      </c>
      <c r="WEH1338" s="4" t="s">
        <v>2882</v>
      </c>
      <c r="WEI1338" s="4" t="s">
        <v>2882</v>
      </c>
      <c r="WEJ1338" s="4" t="s">
        <v>2882</v>
      </c>
      <c r="WEK1338" s="4" t="s">
        <v>2882</v>
      </c>
      <c r="WEL1338" s="4" t="s">
        <v>2882</v>
      </c>
      <c r="WEM1338" s="4" t="s">
        <v>2882</v>
      </c>
      <c r="WEN1338" s="4" t="s">
        <v>2882</v>
      </c>
      <c r="WEO1338" s="4" t="s">
        <v>2882</v>
      </c>
      <c r="WEP1338" s="4" t="s">
        <v>2882</v>
      </c>
      <c r="WEQ1338" s="4" t="s">
        <v>2882</v>
      </c>
      <c r="WER1338" s="4" t="s">
        <v>2882</v>
      </c>
      <c r="WES1338" s="4" t="s">
        <v>2882</v>
      </c>
      <c r="WET1338" s="4" t="s">
        <v>2882</v>
      </c>
      <c r="WEU1338" s="4" t="s">
        <v>2882</v>
      </c>
      <c r="WEV1338" s="4" t="s">
        <v>2882</v>
      </c>
      <c r="WEW1338" s="4" t="s">
        <v>2882</v>
      </c>
      <c r="WEX1338" s="4" t="s">
        <v>2882</v>
      </c>
      <c r="WEY1338" s="4" t="s">
        <v>2882</v>
      </c>
      <c r="WEZ1338" s="4" t="s">
        <v>2882</v>
      </c>
      <c r="WFA1338" s="4" t="s">
        <v>2882</v>
      </c>
      <c r="WFB1338" s="4" t="s">
        <v>2882</v>
      </c>
      <c r="WFC1338" s="4" t="s">
        <v>2882</v>
      </c>
      <c r="WFD1338" s="4" t="s">
        <v>2882</v>
      </c>
      <c r="WFE1338" s="4" t="s">
        <v>2882</v>
      </c>
      <c r="WFF1338" s="4" t="s">
        <v>2882</v>
      </c>
      <c r="WFG1338" s="4" t="s">
        <v>2882</v>
      </c>
      <c r="WFH1338" s="4" t="s">
        <v>2882</v>
      </c>
      <c r="WFI1338" s="4" t="s">
        <v>2882</v>
      </c>
      <c r="WFJ1338" s="4" t="s">
        <v>2882</v>
      </c>
      <c r="WFK1338" s="4" t="s">
        <v>2882</v>
      </c>
      <c r="WFL1338" s="4" t="s">
        <v>2882</v>
      </c>
      <c r="WFM1338" s="4" t="s">
        <v>2882</v>
      </c>
      <c r="WFN1338" s="4" t="s">
        <v>2882</v>
      </c>
      <c r="WFO1338" s="4" t="s">
        <v>2882</v>
      </c>
      <c r="WFP1338" s="4" t="s">
        <v>2882</v>
      </c>
      <c r="WFQ1338" s="4" t="s">
        <v>2882</v>
      </c>
      <c r="WFR1338" s="4" t="s">
        <v>2882</v>
      </c>
      <c r="WFS1338" s="4" t="s">
        <v>2882</v>
      </c>
      <c r="WFT1338" s="4" t="s">
        <v>2882</v>
      </c>
      <c r="WFU1338" s="4" t="s">
        <v>2882</v>
      </c>
      <c r="WFV1338" s="4" t="s">
        <v>2882</v>
      </c>
      <c r="WFW1338" s="4" t="s">
        <v>2882</v>
      </c>
      <c r="WFX1338" s="4" t="s">
        <v>2882</v>
      </c>
      <c r="WFY1338" s="4" t="s">
        <v>2882</v>
      </c>
      <c r="WFZ1338" s="4" t="s">
        <v>2882</v>
      </c>
      <c r="WGA1338" s="4" t="s">
        <v>2882</v>
      </c>
      <c r="WGB1338" s="4" t="s">
        <v>2882</v>
      </c>
      <c r="WGC1338" s="4" t="s">
        <v>2882</v>
      </c>
      <c r="WGD1338" s="4" t="s">
        <v>2882</v>
      </c>
      <c r="WGE1338" s="4" t="s">
        <v>2882</v>
      </c>
      <c r="WGF1338" s="4" t="s">
        <v>2882</v>
      </c>
      <c r="WGG1338" s="4" t="s">
        <v>2882</v>
      </c>
      <c r="WGH1338" s="4" t="s">
        <v>2882</v>
      </c>
      <c r="WGI1338" s="4" t="s">
        <v>2882</v>
      </c>
      <c r="WGJ1338" s="4" t="s">
        <v>2882</v>
      </c>
      <c r="WGK1338" s="4" t="s">
        <v>2882</v>
      </c>
      <c r="WGL1338" s="4" t="s">
        <v>2882</v>
      </c>
      <c r="WGM1338" s="4" t="s">
        <v>2882</v>
      </c>
      <c r="WGN1338" s="4" t="s">
        <v>2882</v>
      </c>
      <c r="WGO1338" s="4" t="s">
        <v>2882</v>
      </c>
      <c r="WGP1338" s="4" t="s">
        <v>2882</v>
      </c>
      <c r="WGQ1338" s="4" t="s">
        <v>2882</v>
      </c>
      <c r="WGR1338" s="4" t="s">
        <v>2882</v>
      </c>
      <c r="WGS1338" s="4" t="s">
        <v>2882</v>
      </c>
      <c r="WGT1338" s="4" t="s">
        <v>2882</v>
      </c>
      <c r="WGU1338" s="4" t="s">
        <v>2882</v>
      </c>
      <c r="WGV1338" s="4" t="s">
        <v>2882</v>
      </c>
      <c r="WGW1338" s="4" t="s">
        <v>2882</v>
      </c>
      <c r="WGX1338" s="4" t="s">
        <v>2882</v>
      </c>
      <c r="WGY1338" s="4" t="s">
        <v>2882</v>
      </c>
      <c r="WGZ1338" s="4" t="s">
        <v>2882</v>
      </c>
      <c r="WHA1338" s="4" t="s">
        <v>2882</v>
      </c>
      <c r="WHB1338" s="4" t="s">
        <v>2882</v>
      </c>
      <c r="WHC1338" s="4" t="s">
        <v>2882</v>
      </c>
      <c r="WHD1338" s="4" t="s">
        <v>2882</v>
      </c>
      <c r="WHE1338" s="4" t="s">
        <v>2882</v>
      </c>
      <c r="WHF1338" s="4" t="s">
        <v>2882</v>
      </c>
      <c r="WHG1338" s="4" t="s">
        <v>2882</v>
      </c>
      <c r="WHH1338" s="4" t="s">
        <v>2882</v>
      </c>
      <c r="WHI1338" s="4" t="s">
        <v>2882</v>
      </c>
      <c r="WHJ1338" s="4" t="s">
        <v>2882</v>
      </c>
      <c r="WHK1338" s="4" t="s">
        <v>2882</v>
      </c>
      <c r="WHL1338" s="4" t="s">
        <v>2882</v>
      </c>
      <c r="WHM1338" s="4" t="s">
        <v>2882</v>
      </c>
      <c r="WHN1338" s="4" t="s">
        <v>2882</v>
      </c>
      <c r="WHO1338" s="4" t="s">
        <v>2882</v>
      </c>
      <c r="WHP1338" s="4" t="s">
        <v>2882</v>
      </c>
      <c r="WHQ1338" s="4" t="s">
        <v>2882</v>
      </c>
      <c r="WHR1338" s="4" t="s">
        <v>2882</v>
      </c>
      <c r="WHS1338" s="4" t="s">
        <v>2882</v>
      </c>
      <c r="WHT1338" s="4" t="s">
        <v>2882</v>
      </c>
      <c r="WHU1338" s="4" t="s">
        <v>2882</v>
      </c>
      <c r="WHV1338" s="4" t="s">
        <v>2882</v>
      </c>
      <c r="WHW1338" s="4" t="s">
        <v>2882</v>
      </c>
      <c r="WHX1338" s="4" t="s">
        <v>2882</v>
      </c>
      <c r="WHY1338" s="4" t="s">
        <v>2882</v>
      </c>
      <c r="WHZ1338" s="4" t="s">
        <v>2882</v>
      </c>
      <c r="WIA1338" s="4" t="s">
        <v>2882</v>
      </c>
      <c r="WIB1338" s="4" t="s">
        <v>2882</v>
      </c>
      <c r="WIC1338" s="4" t="s">
        <v>2882</v>
      </c>
      <c r="WID1338" s="4" t="s">
        <v>2882</v>
      </c>
      <c r="WIE1338" s="4" t="s">
        <v>2882</v>
      </c>
      <c r="WIF1338" s="4" t="s">
        <v>2882</v>
      </c>
      <c r="WIG1338" s="4" t="s">
        <v>2882</v>
      </c>
      <c r="WIH1338" s="4" t="s">
        <v>2882</v>
      </c>
      <c r="WII1338" s="4" t="s">
        <v>2882</v>
      </c>
      <c r="WIJ1338" s="4" t="s">
        <v>2882</v>
      </c>
      <c r="WIK1338" s="4" t="s">
        <v>2882</v>
      </c>
      <c r="WIL1338" s="4" t="s">
        <v>2882</v>
      </c>
      <c r="WIM1338" s="4" t="s">
        <v>2882</v>
      </c>
      <c r="WIN1338" s="4" t="s">
        <v>2882</v>
      </c>
      <c r="WIO1338" s="4" t="s">
        <v>2882</v>
      </c>
      <c r="WIP1338" s="4" t="s">
        <v>2882</v>
      </c>
      <c r="WIQ1338" s="4" t="s">
        <v>2882</v>
      </c>
      <c r="WIR1338" s="4" t="s">
        <v>2882</v>
      </c>
      <c r="WIS1338" s="4" t="s">
        <v>2882</v>
      </c>
      <c r="WIT1338" s="4" t="s">
        <v>2882</v>
      </c>
      <c r="WIU1338" s="4" t="s">
        <v>2882</v>
      </c>
      <c r="WIV1338" s="4" t="s">
        <v>2882</v>
      </c>
      <c r="WIW1338" s="4" t="s">
        <v>2882</v>
      </c>
      <c r="WIX1338" s="4" t="s">
        <v>2882</v>
      </c>
      <c r="WIY1338" s="4" t="s">
        <v>2882</v>
      </c>
      <c r="WIZ1338" s="4" t="s">
        <v>2882</v>
      </c>
      <c r="WJA1338" s="4" t="s">
        <v>2882</v>
      </c>
      <c r="WJB1338" s="4" t="s">
        <v>2882</v>
      </c>
      <c r="WJC1338" s="4" t="s">
        <v>2882</v>
      </c>
      <c r="WJD1338" s="4" t="s">
        <v>2882</v>
      </c>
      <c r="WJE1338" s="4" t="s">
        <v>2882</v>
      </c>
      <c r="WJF1338" s="4" t="s">
        <v>2882</v>
      </c>
      <c r="WJG1338" s="4" t="s">
        <v>2882</v>
      </c>
      <c r="WJH1338" s="4" t="s">
        <v>2882</v>
      </c>
      <c r="WJI1338" s="4" t="s">
        <v>2882</v>
      </c>
      <c r="WJJ1338" s="4" t="s">
        <v>2882</v>
      </c>
      <c r="WJK1338" s="4" t="s">
        <v>2882</v>
      </c>
      <c r="WJL1338" s="4" t="s">
        <v>2882</v>
      </c>
      <c r="WJM1338" s="4" t="s">
        <v>2882</v>
      </c>
      <c r="WJN1338" s="4" t="s">
        <v>2882</v>
      </c>
      <c r="WJO1338" s="4" t="s">
        <v>2882</v>
      </c>
      <c r="WJP1338" s="4" t="s">
        <v>2882</v>
      </c>
      <c r="WJQ1338" s="4" t="s">
        <v>2882</v>
      </c>
      <c r="WJR1338" s="4" t="s">
        <v>2882</v>
      </c>
      <c r="WJS1338" s="4" t="s">
        <v>2882</v>
      </c>
      <c r="WJT1338" s="4" t="s">
        <v>2882</v>
      </c>
      <c r="WJU1338" s="4" t="s">
        <v>2882</v>
      </c>
      <c r="WJV1338" s="4" t="s">
        <v>2882</v>
      </c>
      <c r="WJW1338" s="4" t="s">
        <v>2882</v>
      </c>
      <c r="WJX1338" s="4" t="s">
        <v>2882</v>
      </c>
      <c r="WJY1338" s="4" t="s">
        <v>2882</v>
      </c>
      <c r="WJZ1338" s="4" t="s">
        <v>2882</v>
      </c>
      <c r="WKA1338" s="4" t="s">
        <v>2882</v>
      </c>
      <c r="WKB1338" s="4" t="s">
        <v>2882</v>
      </c>
      <c r="WKC1338" s="4" t="s">
        <v>2882</v>
      </c>
      <c r="WKD1338" s="4" t="s">
        <v>2882</v>
      </c>
      <c r="WKE1338" s="4" t="s">
        <v>2882</v>
      </c>
      <c r="WKF1338" s="4" t="s">
        <v>2882</v>
      </c>
      <c r="WKG1338" s="4" t="s">
        <v>2882</v>
      </c>
      <c r="WKH1338" s="4" t="s">
        <v>2882</v>
      </c>
      <c r="WKI1338" s="4" t="s">
        <v>2882</v>
      </c>
      <c r="WKJ1338" s="4" t="s">
        <v>2882</v>
      </c>
      <c r="WKK1338" s="4" t="s">
        <v>2882</v>
      </c>
      <c r="WKL1338" s="4" t="s">
        <v>2882</v>
      </c>
      <c r="WKM1338" s="4" t="s">
        <v>2882</v>
      </c>
      <c r="WKN1338" s="4" t="s">
        <v>2882</v>
      </c>
      <c r="WKO1338" s="4" t="s">
        <v>2882</v>
      </c>
      <c r="WKP1338" s="4" t="s">
        <v>2882</v>
      </c>
      <c r="WKQ1338" s="4" t="s">
        <v>2882</v>
      </c>
      <c r="WKR1338" s="4" t="s">
        <v>2882</v>
      </c>
      <c r="WKS1338" s="4" t="s">
        <v>2882</v>
      </c>
      <c r="WKT1338" s="4" t="s">
        <v>2882</v>
      </c>
      <c r="WKU1338" s="4" t="s">
        <v>2882</v>
      </c>
      <c r="WKV1338" s="4" t="s">
        <v>2882</v>
      </c>
      <c r="WKW1338" s="4" t="s">
        <v>2882</v>
      </c>
      <c r="WKX1338" s="4" t="s">
        <v>2882</v>
      </c>
      <c r="WKY1338" s="4" t="s">
        <v>2882</v>
      </c>
      <c r="WKZ1338" s="4" t="s">
        <v>2882</v>
      </c>
      <c r="WLA1338" s="4" t="s">
        <v>2882</v>
      </c>
      <c r="WLB1338" s="4" t="s">
        <v>2882</v>
      </c>
      <c r="WLC1338" s="4" t="s">
        <v>2882</v>
      </c>
      <c r="WLD1338" s="4" t="s">
        <v>2882</v>
      </c>
      <c r="WLE1338" s="4" t="s">
        <v>2882</v>
      </c>
      <c r="WLF1338" s="4" t="s">
        <v>2882</v>
      </c>
      <c r="WLG1338" s="4" t="s">
        <v>2882</v>
      </c>
      <c r="WLH1338" s="4" t="s">
        <v>2882</v>
      </c>
      <c r="WLI1338" s="4" t="s">
        <v>2882</v>
      </c>
      <c r="WLJ1338" s="4" t="s">
        <v>2882</v>
      </c>
      <c r="WLK1338" s="4" t="s">
        <v>2882</v>
      </c>
      <c r="WLL1338" s="4" t="s">
        <v>2882</v>
      </c>
      <c r="WLM1338" s="4" t="s">
        <v>2882</v>
      </c>
      <c r="WLN1338" s="4" t="s">
        <v>2882</v>
      </c>
      <c r="WLO1338" s="4" t="s">
        <v>2882</v>
      </c>
      <c r="WLP1338" s="4" t="s">
        <v>2882</v>
      </c>
      <c r="WLQ1338" s="4" t="s">
        <v>2882</v>
      </c>
      <c r="WLR1338" s="4" t="s">
        <v>2882</v>
      </c>
      <c r="WLS1338" s="4" t="s">
        <v>2882</v>
      </c>
      <c r="WLT1338" s="4" t="s">
        <v>2882</v>
      </c>
      <c r="WLU1338" s="4" t="s">
        <v>2882</v>
      </c>
      <c r="WLV1338" s="4" t="s">
        <v>2882</v>
      </c>
      <c r="WLW1338" s="4" t="s">
        <v>2882</v>
      </c>
      <c r="WLX1338" s="4" t="s">
        <v>2882</v>
      </c>
      <c r="WLY1338" s="4" t="s">
        <v>2882</v>
      </c>
      <c r="WLZ1338" s="4" t="s">
        <v>2882</v>
      </c>
      <c r="WMA1338" s="4" t="s">
        <v>2882</v>
      </c>
      <c r="WMB1338" s="4" t="s">
        <v>2882</v>
      </c>
      <c r="WMC1338" s="4" t="s">
        <v>2882</v>
      </c>
      <c r="WMD1338" s="4" t="s">
        <v>2882</v>
      </c>
      <c r="WME1338" s="4" t="s">
        <v>2882</v>
      </c>
      <c r="WMF1338" s="4" t="s">
        <v>2882</v>
      </c>
      <c r="WMG1338" s="4" t="s">
        <v>2882</v>
      </c>
      <c r="WMH1338" s="4" t="s">
        <v>2882</v>
      </c>
      <c r="WMI1338" s="4" t="s">
        <v>2882</v>
      </c>
      <c r="WMJ1338" s="4" t="s">
        <v>2882</v>
      </c>
      <c r="WMK1338" s="4" t="s">
        <v>2882</v>
      </c>
      <c r="WML1338" s="4" t="s">
        <v>2882</v>
      </c>
      <c r="WMM1338" s="4" t="s">
        <v>2882</v>
      </c>
      <c r="WMN1338" s="4" t="s">
        <v>2882</v>
      </c>
      <c r="WMO1338" s="4" t="s">
        <v>2882</v>
      </c>
      <c r="WMP1338" s="4" t="s">
        <v>2882</v>
      </c>
      <c r="WMQ1338" s="4" t="s">
        <v>2882</v>
      </c>
      <c r="WMR1338" s="4" t="s">
        <v>2882</v>
      </c>
      <c r="WMS1338" s="4" t="s">
        <v>2882</v>
      </c>
      <c r="WMT1338" s="4" t="s">
        <v>2882</v>
      </c>
      <c r="WMU1338" s="4" t="s">
        <v>2882</v>
      </c>
      <c r="WMV1338" s="4" t="s">
        <v>2882</v>
      </c>
      <c r="WMW1338" s="4" t="s">
        <v>2882</v>
      </c>
      <c r="WMX1338" s="4" t="s">
        <v>2882</v>
      </c>
      <c r="WMY1338" s="4" t="s">
        <v>2882</v>
      </c>
      <c r="WMZ1338" s="4" t="s">
        <v>2882</v>
      </c>
      <c r="WNA1338" s="4" t="s">
        <v>2882</v>
      </c>
      <c r="WNB1338" s="4" t="s">
        <v>2882</v>
      </c>
      <c r="WNC1338" s="4" t="s">
        <v>2882</v>
      </c>
      <c r="WND1338" s="4" t="s">
        <v>2882</v>
      </c>
      <c r="WNE1338" s="4" t="s">
        <v>2882</v>
      </c>
      <c r="WNF1338" s="4" t="s">
        <v>2882</v>
      </c>
      <c r="WNG1338" s="4" t="s">
        <v>2882</v>
      </c>
      <c r="WNH1338" s="4" t="s">
        <v>2882</v>
      </c>
      <c r="WNI1338" s="4" t="s">
        <v>2882</v>
      </c>
      <c r="WNJ1338" s="4" t="s">
        <v>2882</v>
      </c>
      <c r="WNK1338" s="4" t="s">
        <v>2882</v>
      </c>
      <c r="WNL1338" s="4" t="s">
        <v>2882</v>
      </c>
      <c r="WNM1338" s="4" t="s">
        <v>2882</v>
      </c>
      <c r="WNN1338" s="4" t="s">
        <v>2882</v>
      </c>
      <c r="WNO1338" s="4" t="s">
        <v>2882</v>
      </c>
      <c r="WNP1338" s="4" t="s">
        <v>2882</v>
      </c>
      <c r="WNQ1338" s="4" t="s">
        <v>2882</v>
      </c>
      <c r="WNR1338" s="4" t="s">
        <v>2882</v>
      </c>
      <c r="WNS1338" s="4" t="s">
        <v>2882</v>
      </c>
      <c r="WNT1338" s="4" t="s">
        <v>2882</v>
      </c>
      <c r="WNU1338" s="4" t="s">
        <v>2882</v>
      </c>
      <c r="WNV1338" s="4" t="s">
        <v>2882</v>
      </c>
      <c r="WNW1338" s="4" t="s">
        <v>2882</v>
      </c>
      <c r="WNX1338" s="4" t="s">
        <v>2882</v>
      </c>
      <c r="WNY1338" s="4" t="s">
        <v>2882</v>
      </c>
      <c r="WNZ1338" s="4" t="s">
        <v>2882</v>
      </c>
      <c r="WOA1338" s="4" t="s">
        <v>2882</v>
      </c>
      <c r="WOB1338" s="4" t="s">
        <v>2882</v>
      </c>
      <c r="WOC1338" s="4" t="s">
        <v>2882</v>
      </c>
      <c r="WOD1338" s="4" t="s">
        <v>2882</v>
      </c>
      <c r="WOE1338" s="4" t="s">
        <v>2882</v>
      </c>
      <c r="WOF1338" s="4" t="s">
        <v>2882</v>
      </c>
      <c r="WOG1338" s="4" t="s">
        <v>2882</v>
      </c>
      <c r="WOH1338" s="4" t="s">
        <v>2882</v>
      </c>
      <c r="WOI1338" s="4" t="s">
        <v>2882</v>
      </c>
      <c r="WOJ1338" s="4" t="s">
        <v>2882</v>
      </c>
      <c r="WOK1338" s="4" t="s">
        <v>2882</v>
      </c>
      <c r="WOL1338" s="4" t="s">
        <v>2882</v>
      </c>
      <c r="WOM1338" s="4" t="s">
        <v>2882</v>
      </c>
      <c r="WON1338" s="4" t="s">
        <v>2882</v>
      </c>
      <c r="WOO1338" s="4" t="s">
        <v>2882</v>
      </c>
      <c r="WOP1338" s="4" t="s">
        <v>2882</v>
      </c>
      <c r="WOQ1338" s="4" t="s">
        <v>2882</v>
      </c>
      <c r="WOR1338" s="4" t="s">
        <v>2882</v>
      </c>
      <c r="WOS1338" s="4" t="s">
        <v>2882</v>
      </c>
      <c r="WOT1338" s="4" t="s">
        <v>2882</v>
      </c>
      <c r="WOU1338" s="4" t="s">
        <v>2882</v>
      </c>
      <c r="WOV1338" s="4" t="s">
        <v>2882</v>
      </c>
      <c r="WOW1338" s="4" t="s">
        <v>2882</v>
      </c>
      <c r="WOX1338" s="4" t="s">
        <v>2882</v>
      </c>
      <c r="WOY1338" s="4" t="s">
        <v>2882</v>
      </c>
      <c r="WOZ1338" s="4" t="s">
        <v>2882</v>
      </c>
      <c r="WPA1338" s="4" t="s">
        <v>2882</v>
      </c>
      <c r="WPB1338" s="4" t="s">
        <v>2882</v>
      </c>
      <c r="WPC1338" s="4" t="s">
        <v>2882</v>
      </c>
      <c r="WPD1338" s="4" t="s">
        <v>2882</v>
      </c>
      <c r="WPE1338" s="4" t="s">
        <v>2882</v>
      </c>
      <c r="WPF1338" s="4" t="s">
        <v>2882</v>
      </c>
      <c r="WPG1338" s="4" t="s">
        <v>2882</v>
      </c>
      <c r="WPH1338" s="4" t="s">
        <v>2882</v>
      </c>
      <c r="WPI1338" s="4" t="s">
        <v>2882</v>
      </c>
      <c r="WPJ1338" s="4" t="s">
        <v>2882</v>
      </c>
      <c r="WPK1338" s="4" t="s">
        <v>2882</v>
      </c>
      <c r="WPL1338" s="4" t="s">
        <v>2882</v>
      </c>
      <c r="WPM1338" s="4" t="s">
        <v>2882</v>
      </c>
      <c r="WPN1338" s="4" t="s">
        <v>2882</v>
      </c>
      <c r="WPO1338" s="4" t="s">
        <v>2882</v>
      </c>
      <c r="WPP1338" s="4" t="s">
        <v>2882</v>
      </c>
      <c r="WPQ1338" s="4" t="s">
        <v>2882</v>
      </c>
      <c r="WPR1338" s="4" t="s">
        <v>2882</v>
      </c>
      <c r="WPS1338" s="4" t="s">
        <v>2882</v>
      </c>
      <c r="WPT1338" s="4" t="s">
        <v>2882</v>
      </c>
      <c r="WPU1338" s="4" t="s">
        <v>2882</v>
      </c>
      <c r="WPV1338" s="4" t="s">
        <v>2882</v>
      </c>
      <c r="WPW1338" s="4" t="s">
        <v>2882</v>
      </c>
      <c r="WPX1338" s="4" t="s">
        <v>2882</v>
      </c>
      <c r="WPY1338" s="4" t="s">
        <v>2882</v>
      </c>
      <c r="WPZ1338" s="4" t="s">
        <v>2882</v>
      </c>
      <c r="WQA1338" s="4" t="s">
        <v>2882</v>
      </c>
      <c r="WQB1338" s="4" t="s">
        <v>2882</v>
      </c>
      <c r="WQC1338" s="4" t="s">
        <v>2882</v>
      </c>
      <c r="WQD1338" s="4" t="s">
        <v>2882</v>
      </c>
      <c r="WQE1338" s="4" t="s">
        <v>2882</v>
      </c>
      <c r="WQF1338" s="4" t="s">
        <v>2882</v>
      </c>
      <c r="WQG1338" s="4" t="s">
        <v>2882</v>
      </c>
      <c r="WQH1338" s="4" t="s">
        <v>2882</v>
      </c>
      <c r="WQI1338" s="4" t="s">
        <v>2882</v>
      </c>
      <c r="WQJ1338" s="4" t="s">
        <v>2882</v>
      </c>
      <c r="WQK1338" s="4" t="s">
        <v>2882</v>
      </c>
      <c r="WQL1338" s="4" t="s">
        <v>2882</v>
      </c>
      <c r="WQM1338" s="4" t="s">
        <v>2882</v>
      </c>
      <c r="WQN1338" s="4" t="s">
        <v>2882</v>
      </c>
      <c r="WQO1338" s="4" t="s">
        <v>2882</v>
      </c>
      <c r="WQP1338" s="4" t="s">
        <v>2882</v>
      </c>
      <c r="WQQ1338" s="4" t="s">
        <v>2882</v>
      </c>
      <c r="WQR1338" s="4" t="s">
        <v>2882</v>
      </c>
      <c r="WQS1338" s="4" t="s">
        <v>2882</v>
      </c>
      <c r="WQT1338" s="4" t="s">
        <v>2882</v>
      </c>
      <c r="WQU1338" s="4" t="s">
        <v>2882</v>
      </c>
      <c r="WQV1338" s="4" t="s">
        <v>2882</v>
      </c>
      <c r="WQW1338" s="4" t="s">
        <v>2882</v>
      </c>
      <c r="WQX1338" s="4" t="s">
        <v>2882</v>
      </c>
      <c r="WQY1338" s="4" t="s">
        <v>2882</v>
      </c>
      <c r="WQZ1338" s="4" t="s">
        <v>2882</v>
      </c>
      <c r="WRA1338" s="4" t="s">
        <v>2882</v>
      </c>
      <c r="WRB1338" s="4" t="s">
        <v>2882</v>
      </c>
      <c r="WRC1338" s="4" t="s">
        <v>2882</v>
      </c>
      <c r="WRD1338" s="4" t="s">
        <v>2882</v>
      </c>
      <c r="WRE1338" s="4" t="s">
        <v>2882</v>
      </c>
      <c r="WRF1338" s="4" t="s">
        <v>2882</v>
      </c>
      <c r="WRG1338" s="4" t="s">
        <v>2882</v>
      </c>
      <c r="WRH1338" s="4" t="s">
        <v>2882</v>
      </c>
      <c r="WRI1338" s="4" t="s">
        <v>2882</v>
      </c>
      <c r="WRJ1338" s="4" t="s">
        <v>2882</v>
      </c>
      <c r="WRK1338" s="4" t="s">
        <v>2882</v>
      </c>
      <c r="WRL1338" s="4" t="s">
        <v>2882</v>
      </c>
      <c r="WRM1338" s="4" t="s">
        <v>2882</v>
      </c>
      <c r="WRN1338" s="4" t="s">
        <v>2882</v>
      </c>
      <c r="WRO1338" s="4" t="s">
        <v>2882</v>
      </c>
      <c r="WRP1338" s="4" t="s">
        <v>2882</v>
      </c>
      <c r="WRQ1338" s="4" t="s">
        <v>2882</v>
      </c>
      <c r="WRR1338" s="4" t="s">
        <v>2882</v>
      </c>
      <c r="WRS1338" s="4" t="s">
        <v>2882</v>
      </c>
      <c r="WRT1338" s="4" t="s">
        <v>2882</v>
      </c>
      <c r="WRU1338" s="4" t="s">
        <v>2882</v>
      </c>
      <c r="WRV1338" s="4" t="s">
        <v>2882</v>
      </c>
      <c r="WRW1338" s="4" t="s">
        <v>2882</v>
      </c>
      <c r="WRX1338" s="4" t="s">
        <v>2882</v>
      </c>
      <c r="WRY1338" s="4" t="s">
        <v>2882</v>
      </c>
      <c r="WRZ1338" s="4" t="s">
        <v>2882</v>
      </c>
      <c r="WSA1338" s="4" t="s">
        <v>2882</v>
      </c>
      <c r="WSB1338" s="4" t="s">
        <v>2882</v>
      </c>
      <c r="WSC1338" s="4" t="s">
        <v>2882</v>
      </c>
      <c r="WSD1338" s="4" t="s">
        <v>2882</v>
      </c>
      <c r="WSE1338" s="4" t="s">
        <v>2882</v>
      </c>
      <c r="WSF1338" s="4" t="s">
        <v>2882</v>
      </c>
      <c r="WSG1338" s="4" t="s">
        <v>2882</v>
      </c>
      <c r="WSH1338" s="4" t="s">
        <v>2882</v>
      </c>
      <c r="WSI1338" s="4" t="s">
        <v>2882</v>
      </c>
      <c r="WSJ1338" s="4" t="s">
        <v>2882</v>
      </c>
      <c r="WSK1338" s="4" t="s">
        <v>2882</v>
      </c>
      <c r="WSL1338" s="4" t="s">
        <v>2882</v>
      </c>
      <c r="WSM1338" s="4" t="s">
        <v>2882</v>
      </c>
      <c r="WSN1338" s="4" t="s">
        <v>2882</v>
      </c>
      <c r="WSO1338" s="4" t="s">
        <v>2882</v>
      </c>
      <c r="WSP1338" s="4" t="s">
        <v>2882</v>
      </c>
      <c r="WSQ1338" s="4" t="s">
        <v>2882</v>
      </c>
      <c r="WSR1338" s="4" t="s">
        <v>2882</v>
      </c>
      <c r="WSS1338" s="4" t="s">
        <v>2882</v>
      </c>
      <c r="WST1338" s="4" t="s">
        <v>2882</v>
      </c>
      <c r="WSU1338" s="4" t="s">
        <v>2882</v>
      </c>
      <c r="WSV1338" s="4" t="s">
        <v>2882</v>
      </c>
      <c r="WSW1338" s="4" t="s">
        <v>2882</v>
      </c>
      <c r="WSX1338" s="4" t="s">
        <v>2882</v>
      </c>
      <c r="WSY1338" s="4" t="s">
        <v>2882</v>
      </c>
      <c r="WSZ1338" s="4" t="s">
        <v>2882</v>
      </c>
      <c r="WTA1338" s="4" t="s">
        <v>2882</v>
      </c>
      <c r="WTB1338" s="4" t="s">
        <v>2882</v>
      </c>
      <c r="WTC1338" s="4" t="s">
        <v>2882</v>
      </c>
      <c r="WTD1338" s="4" t="s">
        <v>2882</v>
      </c>
      <c r="WTE1338" s="4" t="s">
        <v>2882</v>
      </c>
      <c r="WTF1338" s="4" t="s">
        <v>2882</v>
      </c>
      <c r="WTG1338" s="4" t="s">
        <v>2882</v>
      </c>
      <c r="WTH1338" s="4" t="s">
        <v>2882</v>
      </c>
      <c r="WTI1338" s="4" t="s">
        <v>2882</v>
      </c>
      <c r="WTJ1338" s="4" t="s">
        <v>2882</v>
      </c>
      <c r="WTK1338" s="4" t="s">
        <v>2882</v>
      </c>
      <c r="WTL1338" s="4" t="s">
        <v>2882</v>
      </c>
      <c r="WTM1338" s="4" t="s">
        <v>2882</v>
      </c>
      <c r="WTN1338" s="4" t="s">
        <v>2882</v>
      </c>
      <c r="WTO1338" s="4" t="s">
        <v>2882</v>
      </c>
      <c r="WTP1338" s="4" t="s">
        <v>2882</v>
      </c>
      <c r="WTQ1338" s="4" t="s">
        <v>2882</v>
      </c>
      <c r="WTR1338" s="4" t="s">
        <v>2882</v>
      </c>
      <c r="WTS1338" s="4" t="s">
        <v>2882</v>
      </c>
      <c r="WTT1338" s="4" t="s">
        <v>2882</v>
      </c>
      <c r="WTU1338" s="4" t="s">
        <v>2882</v>
      </c>
      <c r="WTV1338" s="4" t="s">
        <v>2882</v>
      </c>
      <c r="WTW1338" s="4" t="s">
        <v>2882</v>
      </c>
      <c r="WTX1338" s="4" t="s">
        <v>2882</v>
      </c>
      <c r="WTY1338" s="4" t="s">
        <v>2882</v>
      </c>
      <c r="WTZ1338" s="4" t="s">
        <v>2882</v>
      </c>
      <c r="WUA1338" s="4" t="s">
        <v>2882</v>
      </c>
      <c r="WUB1338" s="4" t="s">
        <v>2882</v>
      </c>
      <c r="WUC1338" s="4" t="s">
        <v>2882</v>
      </c>
      <c r="WUD1338" s="4" t="s">
        <v>2882</v>
      </c>
      <c r="WUE1338" s="4" t="s">
        <v>2882</v>
      </c>
      <c r="WUF1338" s="4" t="s">
        <v>2882</v>
      </c>
      <c r="WUG1338" s="4" t="s">
        <v>2882</v>
      </c>
      <c r="WUH1338" s="4" t="s">
        <v>2882</v>
      </c>
      <c r="WUI1338" s="4" t="s">
        <v>2882</v>
      </c>
      <c r="WUJ1338" s="4" t="s">
        <v>2882</v>
      </c>
      <c r="WUK1338" s="4" t="s">
        <v>2882</v>
      </c>
      <c r="WUL1338" s="4" t="s">
        <v>2882</v>
      </c>
      <c r="WUM1338" s="4" t="s">
        <v>2882</v>
      </c>
      <c r="WUN1338" s="4" t="s">
        <v>2882</v>
      </c>
      <c r="WUO1338" s="4" t="s">
        <v>2882</v>
      </c>
      <c r="WUP1338" s="4" t="s">
        <v>2882</v>
      </c>
      <c r="WUQ1338" s="4" t="s">
        <v>2882</v>
      </c>
      <c r="WUR1338" s="4" t="s">
        <v>2882</v>
      </c>
      <c r="WUS1338" s="4" t="s">
        <v>2882</v>
      </c>
      <c r="WUT1338" s="4" t="s">
        <v>2882</v>
      </c>
      <c r="WUU1338" s="4" t="s">
        <v>2882</v>
      </c>
      <c r="WUV1338" s="4" t="s">
        <v>2882</v>
      </c>
      <c r="WUW1338" s="4" t="s">
        <v>2882</v>
      </c>
      <c r="WUX1338" s="4" t="s">
        <v>2882</v>
      </c>
      <c r="WUY1338" s="4" t="s">
        <v>2882</v>
      </c>
      <c r="WUZ1338" s="4" t="s">
        <v>2882</v>
      </c>
      <c r="WVA1338" s="4" t="s">
        <v>2882</v>
      </c>
      <c r="WVB1338" s="4" t="s">
        <v>2882</v>
      </c>
      <c r="WVC1338" s="4" t="s">
        <v>2882</v>
      </c>
      <c r="WVD1338" s="4" t="s">
        <v>2882</v>
      </c>
      <c r="WVE1338" s="4" t="s">
        <v>2882</v>
      </c>
      <c r="WVF1338" s="4" t="s">
        <v>2882</v>
      </c>
      <c r="WVG1338" s="4" t="s">
        <v>2882</v>
      </c>
      <c r="WVH1338" s="4" t="s">
        <v>2882</v>
      </c>
      <c r="WVI1338" s="4" t="s">
        <v>2882</v>
      </c>
      <c r="WVJ1338" s="4" t="s">
        <v>2882</v>
      </c>
      <c r="WVK1338" s="4" t="s">
        <v>2882</v>
      </c>
      <c r="WVL1338" s="4" t="s">
        <v>2882</v>
      </c>
      <c r="WVM1338" s="4" t="s">
        <v>2882</v>
      </c>
      <c r="WVN1338" s="4" t="s">
        <v>2882</v>
      </c>
      <c r="WVO1338" s="4" t="s">
        <v>2882</v>
      </c>
      <c r="WVP1338" s="4" t="s">
        <v>2882</v>
      </c>
      <c r="WVQ1338" s="4" t="s">
        <v>2882</v>
      </c>
      <c r="WVR1338" s="4" t="s">
        <v>2882</v>
      </c>
      <c r="WVS1338" s="4" t="s">
        <v>2882</v>
      </c>
      <c r="WVT1338" s="4" t="s">
        <v>2882</v>
      </c>
      <c r="WVU1338" s="4" t="s">
        <v>2882</v>
      </c>
      <c r="WVV1338" s="4" t="s">
        <v>2882</v>
      </c>
      <c r="WVW1338" s="4" t="s">
        <v>2882</v>
      </c>
      <c r="WVX1338" s="4" t="s">
        <v>2882</v>
      </c>
      <c r="WVY1338" s="4" t="s">
        <v>2882</v>
      </c>
      <c r="WVZ1338" s="4" t="s">
        <v>2882</v>
      </c>
      <c r="WWA1338" s="4" t="s">
        <v>2882</v>
      </c>
      <c r="WWB1338" s="4" t="s">
        <v>2882</v>
      </c>
      <c r="WWC1338" s="4" t="s">
        <v>2882</v>
      </c>
      <c r="WWD1338" s="4" t="s">
        <v>2882</v>
      </c>
      <c r="WWE1338" s="4" t="s">
        <v>2882</v>
      </c>
      <c r="WWF1338" s="4" t="s">
        <v>2882</v>
      </c>
      <c r="WWG1338" s="4" t="s">
        <v>2882</v>
      </c>
      <c r="WWH1338" s="4" t="s">
        <v>2882</v>
      </c>
      <c r="WWI1338" s="4" t="s">
        <v>2882</v>
      </c>
      <c r="WWJ1338" s="4" t="s">
        <v>2882</v>
      </c>
      <c r="WWK1338" s="4" t="s">
        <v>2882</v>
      </c>
      <c r="WWL1338" s="4" t="s">
        <v>2882</v>
      </c>
      <c r="WWM1338" s="4" t="s">
        <v>2882</v>
      </c>
      <c r="WWN1338" s="4" t="s">
        <v>2882</v>
      </c>
      <c r="WWO1338" s="4" t="s">
        <v>2882</v>
      </c>
      <c r="WWP1338" s="4" t="s">
        <v>2882</v>
      </c>
      <c r="WWQ1338" s="4" t="s">
        <v>2882</v>
      </c>
      <c r="WWR1338" s="4" t="s">
        <v>2882</v>
      </c>
      <c r="WWS1338" s="4" t="s">
        <v>2882</v>
      </c>
      <c r="WWT1338" s="4" t="s">
        <v>2882</v>
      </c>
      <c r="WWU1338" s="4" t="s">
        <v>2882</v>
      </c>
      <c r="WWV1338" s="4" t="s">
        <v>2882</v>
      </c>
      <c r="WWW1338" s="4" t="s">
        <v>2882</v>
      </c>
      <c r="WWX1338" s="4" t="s">
        <v>2882</v>
      </c>
      <c r="WWY1338" s="4" t="s">
        <v>2882</v>
      </c>
      <c r="WWZ1338" s="4" t="s">
        <v>2882</v>
      </c>
      <c r="WXA1338" s="4" t="s">
        <v>2882</v>
      </c>
      <c r="WXB1338" s="4" t="s">
        <v>2882</v>
      </c>
      <c r="WXC1338" s="4" t="s">
        <v>2882</v>
      </c>
      <c r="WXD1338" s="4" t="s">
        <v>2882</v>
      </c>
      <c r="WXE1338" s="4" t="s">
        <v>2882</v>
      </c>
      <c r="WXF1338" s="4" t="s">
        <v>2882</v>
      </c>
      <c r="WXG1338" s="4" t="s">
        <v>2882</v>
      </c>
      <c r="WXH1338" s="4" t="s">
        <v>2882</v>
      </c>
      <c r="WXI1338" s="4" t="s">
        <v>2882</v>
      </c>
      <c r="WXJ1338" s="4" t="s">
        <v>2882</v>
      </c>
      <c r="WXK1338" s="4" t="s">
        <v>2882</v>
      </c>
      <c r="WXL1338" s="4" t="s">
        <v>2882</v>
      </c>
      <c r="WXM1338" s="4" t="s">
        <v>2882</v>
      </c>
      <c r="WXN1338" s="4" t="s">
        <v>2882</v>
      </c>
      <c r="WXO1338" s="4" t="s">
        <v>2882</v>
      </c>
      <c r="WXP1338" s="4" t="s">
        <v>2882</v>
      </c>
      <c r="WXQ1338" s="4" t="s">
        <v>2882</v>
      </c>
      <c r="WXR1338" s="4" t="s">
        <v>2882</v>
      </c>
      <c r="WXS1338" s="4" t="s">
        <v>2882</v>
      </c>
      <c r="WXT1338" s="4" t="s">
        <v>2882</v>
      </c>
      <c r="WXU1338" s="4" t="s">
        <v>2882</v>
      </c>
      <c r="WXV1338" s="4" t="s">
        <v>2882</v>
      </c>
      <c r="WXW1338" s="4" t="s">
        <v>2882</v>
      </c>
      <c r="WXX1338" s="4" t="s">
        <v>2882</v>
      </c>
      <c r="WXY1338" s="4" t="s">
        <v>2882</v>
      </c>
      <c r="WXZ1338" s="4" t="s">
        <v>2882</v>
      </c>
      <c r="WYA1338" s="4" t="s">
        <v>2882</v>
      </c>
      <c r="WYB1338" s="4" t="s">
        <v>2882</v>
      </c>
      <c r="WYC1338" s="4" t="s">
        <v>2882</v>
      </c>
      <c r="WYD1338" s="4" t="s">
        <v>2882</v>
      </c>
      <c r="WYE1338" s="4" t="s">
        <v>2882</v>
      </c>
      <c r="WYF1338" s="4" t="s">
        <v>2882</v>
      </c>
      <c r="WYG1338" s="4" t="s">
        <v>2882</v>
      </c>
      <c r="WYH1338" s="4" t="s">
        <v>2882</v>
      </c>
      <c r="WYI1338" s="4" t="s">
        <v>2882</v>
      </c>
      <c r="WYJ1338" s="4" t="s">
        <v>2882</v>
      </c>
      <c r="WYK1338" s="4" t="s">
        <v>2882</v>
      </c>
      <c r="WYL1338" s="4" t="s">
        <v>2882</v>
      </c>
      <c r="WYM1338" s="4" t="s">
        <v>2882</v>
      </c>
      <c r="WYN1338" s="4" t="s">
        <v>2882</v>
      </c>
      <c r="WYO1338" s="4" t="s">
        <v>2882</v>
      </c>
      <c r="WYP1338" s="4" t="s">
        <v>2882</v>
      </c>
      <c r="WYQ1338" s="4" t="s">
        <v>2882</v>
      </c>
      <c r="WYR1338" s="4" t="s">
        <v>2882</v>
      </c>
      <c r="WYS1338" s="4" t="s">
        <v>2882</v>
      </c>
      <c r="WYT1338" s="4" t="s">
        <v>2882</v>
      </c>
      <c r="WYU1338" s="4" t="s">
        <v>2882</v>
      </c>
      <c r="WYV1338" s="4" t="s">
        <v>2882</v>
      </c>
      <c r="WYW1338" s="4" t="s">
        <v>2882</v>
      </c>
      <c r="WYX1338" s="4" t="s">
        <v>2882</v>
      </c>
      <c r="WYY1338" s="4" t="s">
        <v>2882</v>
      </c>
      <c r="WYZ1338" s="4" t="s">
        <v>2882</v>
      </c>
      <c r="WZA1338" s="4" t="s">
        <v>2882</v>
      </c>
      <c r="WZB1338" s="4" t="s">
        <v>2882</v>
      </c>
      <c r="WZC1338" s="4" t="s">
        <v>2882</v>
      </c>
      <c r="WZD1338" s="4" t="s">
        <v>2882</v>
      </c>
      <c r="WZE1338" s="4" t="s">
        <v>2882</v>
      </c>
      <c r="WZF1338" s="4" t="s">
        <v>2882</v>
      </c>
      <c r="WZG1338" s="4" t="s">
        <v>2882</v>
      </c>
      <c r="WZH1338" s="4" t="s">
        <v>2882</v>
      </c>
      <c r="WZI1338" s="4" t="s">
        <v>2882</v>
      </c>
      <c r="WZJ1338" s="4" t="s">
        <v>2882</v>
      </c>
      <c r="WZK1338" s="4" t="s">
        <v>2882</v>
      </c>
      <c r="WZL1338" s="4" t="s">
        <v>2882</v>
      </c>
      <c r="WZM1338" s="4" t="s">
        <v>2882</v>
      </c>
      <c r="WZN1338" s="4" t="s">
        <v>2882</v>
      </c>
      <c r="WZO1338" s="4" t="s">
        <v>2882</v>
      </c>
      <c r="WZP1338" s="4" t="s">
        <v>2882</v>
      </c>
      <c r="WZQ1338" s="4" t="s">
        <v>2882</v>
      </c>
      <c r="WZR1338" s="4" t="s">
        <v>2882</v>
      </c>
      <c r="WZS1338" s="4" t="s">
        <v>2882</v>
      </c>
      <c r="WZT1338" s="4" t="s">
        <v>2882</v>
      </c>
      <c r="WZU1338" s="4" t="s">
        <v>2882</v>
      </c>
      <c r="WZV1338" s="4" t="s">
        <v>2882</v>
      </c>
      <c r="WZW1338" s="4" t="s">
        <v>2882</v>
      </c>
      <c r="WZX1338" s="4" t="s">
        <v>2882</v>
      </c>
      <c r="WZY1338" s="4" t="s">
        <v>2882</v>
      </c>
      <c r="WZZ1338" s="4" t="s">
        <v>2882</v>
      </c>
      <c r="XAA1338" s="4" t="s">
        <v>2882</v>
      </c>
      <c r="XAB1338" s="4" t="s">
        <v>2882</v>
      </c>
      <c r="XAC1338" s="4" t="s">
        <v>2882</v>
      </c>
      <c r="XAD1338" s="4" t="s">
        <v>2882</v>
      </c>
      <c r="XAE1338" s="4" t="s">
        <v>2882</v>
      </c>
      <c r="XAF1338" s="4" t="s">
        <v>2882</v>
      </c>
      <c r="XAG1338" s="4" t="s">
        <v>2882</v>
      </c>
      <c r="XAH1338" s="4" t="s">
        <v>2882</v>
      </c>
      <c r="XAI1338" s="4" t="s">
        <v>2882</v>
      </c>
      <c r="XAJ1338" s="4" t="s">
        <v>2882</v>
      </c>
      <c r="XAK1338" s="4" t="s">
        <v>2882</v>
      </c>
      <c r="XAL1338" s="4" t="s">
        <v>2882</v>
      </c>
      <c r="XAM1338" s="4" t="s">
        <v>2882</v>
      </c>
      <c r="XAN1338" s="4" t="s">
        <v>2882</v>
      </c>
      <c r="XAO1338" s="4" t="s">
        <v>2882</v>
      </c>
      <c r="XAP1338" s="4" t="s">
        <v>2882</v>
      </c>
      <c r="XAQ1338" s="4" t="s">
        <v>2882</v>
      </c>
      <c r="XAR1338" s="4" t="s">
        <v>2882</v>
      </c>
      <c r="XAS1338" s="4" t="s">
        <v>2882</v>
      </c>
      <c r="XAT1338" s="4" t="s">
        <v>2882</v>
      </c>
      <c r="XAU1338" s="4" t="s">
        <v>2882</v>
      </c>
      <c r="XAV1338" s="4" t="s">
        <v>2882</v>
      </c>
      <c r="XAW1338" s="4" t="s">
        <v>2882</v>
      </c>
      <c r="XAX1338" s="4" t="s">
        <v>2882</v>
      </c>
      <c r="XAY1338" s="4" t="s">
        <v>2882</v>
      </c>
      <c r="XAZ1338" s="4" t="s">
        <v>2882</v>
      </c>
      <c r="XBA1338" s="4" t="s">
        <v>2882</v>
      </c>
      <c r="XBB1338" s="4" t="s">
        <v>2882</v>
      </c>
      <c r="XBC1338" s="4" t="s">
        <v>2882</v>
      </c>
      <c r="XBD1338" s="4" t="s">
        <v>2882</v>
      </c>
      <c r="XBE1338" s="4" t="s">
        <v>2882</v>
      </c>
      <c r="XBF1338" s="4" t="s">
        <v>2882</v>
      </c>
      <c r="XBG1338" s="4" t="s">
        <v>2882</v>
      </c>
      <c r="XBH1338" s="4" t="s">
        <v>2882</v>
      </c>
      <c r="XBI1338" s="4" t="s">
        <v>2882</v>
      </c>
      <c r="XBJ1338" s="4" t="s">
        <v>2882</v>
      </c>
      <c r="XBK1338" s="4" t="s">
        <v>2882</v>
      </c>
      <c r="XBL1338" s="4" t="s">
        <v>2882</v>
      </c>
      <c r="XBM1338" s="4" t="s">
        <v>2882</v>
      </c>
      <c r="XBN1338" s="4" t="s">
        <v>2882</v>
      </c>
      <c r="XBO1338" s="4" t="s">
        <v>2882</v>
      </c>
      <c r="XBP1338" s="4" t="s">
        <v>2882</v>
      </c>
      <c r="XBQ1338" s="4" t="s">
        <v>2882</v>
      </c>
      <c r="XBR1338" s="4" t="s">
        <v>2882</v>
      </c>
      <c r="XBS1338" s="4" t="s">
        <v>2882</v>
      </c>
      <c r="XBT1338" s="4" t="s">
        <v>2882</v>
      </c>
      <c r="XBU1338" s="4" t="s">
        <v>2882</v>
      </c>
      <c r="XBV1338" s="4" t="s">
        <v>2882</v>
      </c>
      <c r="XBW1338" s="4" t="s">
        <v>2882</v>
      </c>
      <c r="XBX1338" s="4" t="s">
        <v>2882</v>
      </c>
      <c r="XBY1338" s="4" t="s">
        <v>2882</v>
      </c>
      <c r="XBZ1338" s="4" t="s">
        <v>2882</v>
      </c>
      <c r="XCA1338" s="4" t="s">
        <v>2882</v>
      </c>
      <c r="XCB1338" s="4" t="s">
        <v>2882</v>
      </c>
      <c r="XCC1338" s="4" t="s">
        <v>2882</v>
      </c>
      <c r="XCD1338" s="4" t="s">
        <v>2882</v>
      </c>
      <c r="XCE1338" s="4" t="s">
        <v>2882</v>
      </c>
      <c r="XCF1338" s="4" t="s">
        <v>2882</v>
      </c>
      <c r="XCG1338" s="4" t="s">
        <v>2882</v>
      </c>
      <c r="XCH1338" s="4" t="s">
        <v>2882</v>
      </c>
      <c r="XCI1338" s="4" t="s">
        <v>2882</v>
      </c>
      <c r="XCJ1338" s="4" t="s">
        <v>2882</v>
      </c>
      <c r="XCK1338" s="4" t="s">
        <v>2882</v>
      </c>
      <c r="XCL1338" s="4" t="s">
        <v>2882</v>
      </c>
      <c r="XCM1338" s="4" t="s">
        <v>2882</v>
      </c>
      <c r="XCN1338" s="4" t="s">
        <v>2882</v>
      </c>
      <c r="XCO1338" s="4" t="s">
        <v>2882</v>
      </c>
      <c r="XCP1338" s="4" t="s">
        <v>2882</v>
      </c>
      <c r="XCQ1338" s="4" t="s">
        <v>2882</v>
      </c>
      <c r="XCR1338" s="4" t="s">
        <v>2882</v>
      </c>
      <c r="XCS1338" s="4" t="s">
        <v>2882</v>
      </c>
      <c r="XCT1338" s="4" t="s">
        <v>2882</v>
      </c>
      <c r="XCU1338" s="4" t="s">
        <v>2882</v>
      </c>
      <c r="XCV1338" s="4" t="s">
        <v>2882</v>
      </c>
      <c r="XCW1338" s="4" t="s">
        <v>2882</v>
      </c>
      <c r="XCX1338" s="4" t="s">
        <v>2882</v>
      </c>
      <c r="XCY1338" s="4" t="s">
        <v>2882</v>
      </c>
      <c r="XCZ1338" s="4" t="s">
        <v>2882</v>
      </c>
      <c r="XDA1338" s="4" t="s">
        <v>2882</v>
      </c>
      <c r="XDB1338" s="4" t="s">
        <v>2882</v>
      </c>
      <c r="XDC1338" s="4" t="s">
        <v>2882</v>
      </c>
      <c r="XDD1338" s="4" t="s">
        <v>2882</v>
      </c>
      <c r="XDE1338" s="4" t="s">
        <v>2882</v>
      </c>
      <c r="XDF1338" s="4" t="s">
        <v>2882</v>
      </c>
      <c r="XDG1338" s="4" t="s">
        <v>2882</v>
      </c>
      <c r="XDH1338" s="4" t="s">
        <v>2882</v>
      </c>
      <c r="XDI1338" s="4" t="s">
        <v>2882</v>
      </c>
      <c r="XDJ1338" s="4" t="s">
        <v>2882</v>
      </c>
      <c r="XDK1338" s="4" t="s">
        <v>2882</v>
      </c>
      <c r="XDL1338" s="4" t="s">
        <v>2882</v>
      </c>
      <c r="XDM1338" s="4" t="s">
        <v>2882</v>
      </c>
      <c r="XDN1338" s="4" t="s">
        <v>2882</v>
      </c>
      <c r="XDO1338" s="4" t="s">
        <v>2882</v>
      </c>
      <c r="XDP1338" s="4" t="s">
        <v>2882</v>
      </c>
      <c r="XDQ1338" s="4" t="s">
        <v>2882</v>
      </c>
      <c r="XDR1338" s="4" t="s">
        <v>2882</v>
      </c>
      <c r="XDS1338" s="4" t="s">
        <v>2882</v>
      </c>
      <c r="XDT1338" s="4" t="s">
        <v>2882</v>
      </c>
      <c r="XDU1338" s="4" t="s">
        <v>2882</v>
      </c>
      <c r="XDV1338" s="4" t="s">
        <v>2882</v>
      </c>
      <c r="XDW1338" s="4" t="s">
        <v>2882</v>
      </c>
      <c r="XDX1338" s="4" t="s">
        <v>2882</v>
      </c>
      <c r="XDY1338" s="4" t="s">
        <v>2882</v>
      </c>
      <c r="XDZ1338" s="4" t="s">
        <v>2882</v>
      </c>
      <c r="XEA1338" s="4" t="s">
        <v>2882</v>
      </c>
      <c r="XEB1338" s="4" t="s">
        <v>2882</v>
      </c>
      <c r="XEC1338" s="4" t="s">
        <v>2882</v>
      </c>
      <c r="XED1338" s="4" t="s">
        <v>2882</v>
      </c>
      <c r="XEE1338" s="4" t="s">
        <v>2882</v>
      </c>
      <c r="XEF1338" s="4" t="s">
        <v>2882</v>
      </c>
      <c r="XEG1338" s="4" t="s">
        <v>2882</v>
      </c>
      <c r="XEH1338" s="4" t="s">
        <v>2882</v>
      </c>
      <c r="XEI1338" s="4" t="s">
        <v>2882</v>
      </c>
      <c r="XEJ1338" s="4" t="s">
        <v>2882</v>
      </c>
      <c r="XEK1338" s="4" t="s">
        <v>2882</v>
      </c>
      <c r="XEL1338" s="4" t="s">
        <v>2882</v>
      </c>
      <c r="XEM1338" s="4" t="s">
        <v>2882</v>
      </c>
      <c r="XEN1338" s="4" t="s">
        <v>2882</v>
      </c>
      <c r="XEO1338" s="4" t="s">
        <v>2882</v>
      </c>
      <c r="XEP1338" s="4" t="s">
        <v>2882</v>
      </c>
      <c r="XEQ1338" s="4" t="s">
        <v>2882</v>
      </c>
      <c r="XER1338" s="4" t="s">
        <v>2882</v>
      </c>
      <c r="XES1338" s="4" t="s">
        <v>2882</v>
      </c>
      <c r="XET1338" s="4" t="s">
        <v>2882</v>
      </c>
      <c r="XEU1338" s="4" t="s">
        <v>2882</v>
      </c>
      <c r="XEV1338" s="4" t="s">
        <v>2882</v>
      </c>
      <c r="XEW1338" s="4" t="s">
        <v>2882</v>
      </c>
      <c r="XEX1338" s="4" t="s">
        <v>2882</v>
      </c>
      <c r="XEY1338" s="4" t="s">
        <v>2882</v>
      </c>
      <c r="XEZ1338" s="4" t="s">
        <v>2882</v>
      </c>
      <c r="XFA1338" s="4" t="s">
        <v>2882</v>
      </c>
      <c r="XFB1338" s="4" t="s">
        <v>2882</v>
      </c>
    </row>
    <row r="1339" spans="1:5 1847:16382" x14ac:dyDescent="0.25">
      <c r="A1339" s="5" t="s">
        <v>1485</v>
      </c>
      <c r="B1339" s="6" t="s">
        <v>1484</v>
      </c>
      <c r="C1339" s="7" t="s">
        <v>24</v>
      </c>
      <c r="D1339" s="7" t="s">
        <v>25</v>
      </c>
      <c r="E1339" s="8" t="s">
        <v>4468</v>
      </c>
      <c r="BSA1339" s="4" t="s">
        <v>2883</v>
      </c>
      <c r="BSB1339" s="4" t="s">
        <v>2883</v>
      </c>
      <c r="BSC1339" s="4" t="s">
        <v>2883</v>
      </c>
      <c r="BSD1339" s="4" t="s">
        <v>2883</v>
      </c>
      <c r="BSE1339" s="4" t="s">
        <v>2883</v>
      </c>
      <c r="BSF1339" s="4" t="s">
        <v>2883</v>
      </c>
      <c r="BSG1339" s="4" t="s">
        <v>2883</v>
      </c>
      <c r="BSH1339" s="4" t="s">
        <v>2883</v>
      </c>
      <c r="BSI1339" s="4" t="s">
        <v>2883</v>
      </c>
      <c r="BSJ1339" s="4" t="s">
        <v>2883</v>
      </c>
      <c r="BSK1339" s="4" t="s">
        <v>2883</v>
      </c>
      <c r="BSL1339" s="4" t="s">
        <v>2883</v>
      </c>
      <c r="BSM1339" s="4" t="s">
        <v>2883</v>
      </c>
      <c r="BSN1339" s="4" t="s">
        <v>2883</v>
      </c>
      <c r="BSO1339" s="4" t="s">
        <v>2883</v>
      </c>
      <c r="BSP1339" s="4" t="s">
        <v>2883</v>
      </c>
      <c r="BSQ1339" s="4" t="s">
        <v>2883</v>
      </c>
      <c r="BSR1339" s="4" t="s">
        <v>2883</v>
      </c>
      <c r="BSS1339" s="4" t="s">
        <v>2883</v>
      </c>
      <c r="BST1339" s="4" t="s">
        <v>2883</v>
      </c>
      <c r="BSU1339" s="4" t="s">
        <v>2883</v>
      </c>
      <c r="BSV1339" s="4" t="s">
        <v>2883</v>
      </c>
      <c r="BSW1339" s="4" t="s">
        <v>2883</v>
      </c>
      <c r="BSX1339" s="4" t="s">
        <v>2883</v>
      </c>
      <c r="BSY1339" s="4" t="s">
        <v>2883</v>
      </c>
      <c r="BSZ1339" s="4" t="s">
        <v>2883</v>
      </c>
      <c r="BTA1339" s="4" t="s">
        <v>2883</v>
      </c>
      <c r="BTB1339" s="4" t="s">
        <v>2883</v>
      </c>
      <c r="BTC1339" s="4" t="s">
        <v>2883</v>
      </c>
      <c r="BTD1339" s="4" t="s">
        <v>2883</v>
      </c>
      <c r="BTE1339" s="4" t="s">
        <v>2883</v>
      </c>
      <c r="BTF1339" s="4" t="s">
        <v>2883</v>
      </c>
      <c r="BTG1339" s="4" t="s">
        <v>2883</v>
      </c>
      <c r="BTH1339" s="4" t="s">
        <v>2883</v>
      </c>
      <c r="BTI1339" s="4" t="s">
        <v>2883</v>
      </c>
      <c r="BTJ1339" s="4" t="s">
        <v>2883</v>
      </c>
      <c r="BTK1339" s="4" t="s">
        <v>2883</v>
      </c>
      <c r="BTL1339" s="4" t="s">
        <v>2883</v>
      </c>
      <c r="BTM1339" s="4" t="s">
        <v>2883</v>
      </c>
      <c r="BTN1339" s="4" t="s">
        <v>2883</v>
      </c>
      <c r="BTO1339" s="4" t="s">
        <v>2883</v>
      </c>
      <c r="BTP1339" s="4" t="s">
        <v>2883</v>
      </c>
      <c r="BTQ1339" s="4" t="s">
        <v>2883</v>
      </c>
      <c r="BTR1339" s="4" t="s">
        <v>2883</v>
      </c>
      <c r="BTS1339" s="4" t="s">
        <v>2883</v>
      </c>
      <c r="BTT1339" s="4" t="s">
        <v>2883</v>
      </c>
      <c r="BTU1339" s="4" t="s">
        <v>2883</v>
      </c>
      <c r="BTV1339" s="4" t="s">
        <v>2883</v>
      </c>
      <c r="BTW1339" s="4" t="s">
        <v>2883</v>
      </c>
      <c r="BTX1339" s="4" t="s">
        <v>2883</v>
      </c>
      <c r="BTY1339" s="4" t="s">
        <v>2883</v>
      </c>
      <c r="BTZ1339" s="4" t="s">
        <v>2883</v>
      </c>
      <c r="BUA1339" s="4" t="s">
        <v>2883</v>
      </c>
      <c r="BUB1339" s="4" t="s">
        <v>2883</v>
      </c>
      <c r="BUC1339" s="4" t="s">
        <v>2883</v>
      </c>
      <c r="BUD1339" s="4" t="s">
        <v>2883</v>
      </c>
      <c r="BUE1339" s="4" t="s">
        <v>2883</v>
      </c>
      <c r="BUF1339" s="4" t="s">
        <v>2883</v>
      </c>
      <c r="BUG1339" s="4" t="s">
        <v>2883</v>
      </c>
      <c r="BUH1339" s="4" t="s">
        <v>2883</v>
      </c>
      <c r="BUI1339" s="4" t="s">
        <v>2883</v>
      </c>
      <c r="BUJ1339" s="4" t="s">
        <v>2883</v>
      </c>
      <c r="BUK1339" s="4" t="s">
        <v>2883</v>
      </c>
      <c r="BUL1339" s="4" t="s">
        <v>2883</v>
      </c>
      <c r="BUM1339" s="4" t="s">
        <v>2883</v>
      </c>
      <c r="BUN1339" s="4" t="s">
        <v>2883</v>
      </c>
      <c r="BUO1339" s="4" t="s">
        <v>2883</v>
      </c>
      <c r="BUP1339" s="4" t="s">
        <v>2883</v>
      </c>
      <c r="BUQ1339" s="4" t="s">
        <v>2883</v>
      </c>
      <c r="BUR1339" s="4" t="s">
        <v>2883</v>
      </c>
      <c r="BUS1339" s="4" t="s">
        <v>2883</v>
      </c>
      <c r="BUT1339" s="4" t="s">
        <v>2883</v>
      </c>
      <c r="BUU1339" s="4" t="s">
        <v>2883</v>
      </c>
      <c r="BUV1339" s="4" t="s">
        <v>2883</v>
      </c>
      <c r="BUW1339" s="4" t="s">
        <v>2883</v>
      </c>
      <c r="BUX1339" s="4" t="s">
        <v>2883</v>
      </c>
      <c r="BUY1339" s="4" t="s">
        <v>2883</v>
      </c>
      <c r="BUZ1339" s="4" t="s">
        <v>2883</v>
      </c>
      <c r="BVA1339" s="4" t="s">
        <v>2883</v>
      </c>
      <c r="BVB1339" s="4" t="s">
        <v>2883</v>
      </c>
      <c r="BVC1339" s="4" t="s">
        <v>2883</v>
      </c>
      <c r="BVD1339" s="4" t="s">
        <v>2883</v>
      </c>
      <c r="BVE1339" s="4" t="s">
        <v>2883</v>
      </c>
      <c r="BVF1339" s="4" t="s">
        <v>2883</v>
      </c>
      <c r="BVG1339" s="4" t="s">
        <v>2883</v>
      </c>
      <c r="BVH1339" s="4" t="s">
        <v>2883</v>
      </c>
      <c r="BVI1339" s="4" t="s">
        <v>2883</v>
      </c>
      <c r="BVJ1339" s="4" t="s">
        <v>2883</v>
      </c>
      <c r="BVK1339" s="4" t="s">
        <v>2883</v>
      </c>
      <c r="BVL1339" s="4" t="s">
        <v>2883</v>
      </c>
      <c r="BVM1339" s="4" t="s">
        <v>2883</v>
      </c>
      <c r="BVN1339" s="4" t="s">
        <v>2883</v>
      </c>
      <c r="BVO1339" s="4" t="s">
        <v>2883</v>
      </c>
      <c r="BVP1339" s="4" t="s">
        <v>2883</v>
      </c>
      <c r="BVQ1339" s="4" t="s">
        <v>2883</v>
      </c>
      <c r="BVR1339" s="4" t="s">
        <v>2883</v>
      </c>
      <c r="BVS1339" s="4" t="s">
        <v>2883</v>
      </c>
      <c r="BVT1339" s="4" t="s">
        <v>2883</v>
      </c>
      <c r="BVU1339" s="4" t="s">
        <v>2883</v>
      </c>
      <c r="BVV1339" s="4" t="s">
        <v>2883</v>
      </c>
      <c r="BVW1339" s="4" t="s">
        <v>2883</v>
      </c>
      <c r="BVX1339" s="4" t="s">
        <v>2883</v>
      </c>
      <c r="BVY1339" s="4" t="s">
        <v>2883</v>
      </c>
      <c r="BVZ1339" s="4" t="s">
        <v>2883</v>
      </c>
      <c r="BWA1339" s="4" t="s">
        <v>2883</v>
      </c>
      <c r="BWB1339" s="4" t="s">
        <v>2883</v>
      </c>
      <c r="BWC1339" s="4" t="s">
        <v>2883</v>
      </c>
      <c r="BWD1339" s="4" t="s">
        <v>2883</v>
      </c>
      <c r="BWE1339" s="4" t="s">
        <v>2883</v>
      </c>
      <c r="BWF1339" s="4" t="s">
        <v>2883</v>
      </c>
      <c r="BWG1339" s="4" t="s">
        <v>2883</v>
      </c>
      <c r="BWH1339" s="4" t="s">
        <v>2883</v>
      </c>
      <c r="BWI1339" s="4" t="s">
        <v>2883</v>
      </c>
      <c r="BWJ1339" s="4" t="s">
        <v>2883</v>
      </c>
      <c r="BWK1339" s="4" t="s">
        <v>2883</v>
      </c>
      <c r="BWL1339" s="4" t="s">
        <v>2883</v>
      </c>
      <c r="BWM1339" s="4" t="s">
        <v>2883</v>
      </c>
      <c r="BWN1339" s="4" t="s">
        <v>2883</v>
      </c>
      <c r="BWO1339" s="4" t="s">
        <v>2883</v>
      </c>
      <c r="BWP1339" s="4" t="s">
        <v>2883</v>
      </c>
      <c r="BWQ1339" s="4" t="s">
        <v>2883</v>
      </c>
      <c r="BWR1339" s="4" t="s">
        <v>2883</v>
      </c>
      <c r="BWS1339" s="4" t="s">
        <v>2883</v>
      </c>
      <c r="BWT1339" s="4" t="s">
        <v>2883</v>
      </c>
      <c r="BWU1339" s="4" t="s">
        <v>2883</v>
      </c>
      <c r="BWV1339" s="4" t="s">
        <v>2883</v>
      </c>
      <c r="BWW1339" s="4" t="s">
        <v>2883</v>
      </c>
      <c r="BWX1339" s="4" t="s">
        <v>2883</v>
      </c>
      <c r="BWY1339" s="4" t="s">
        <v>2883</v>
      </c>
      <c r="BWZ1339" s="4" t="s">
        <v>2883</v>
      </c>
      <c r="BXA1339" s="4" t="s">
        <v>2883</v>
      </c>
      <c r="BXB1339" s="4" t="s">
        <v>2883</v>
      </c>
      <c r="BXC1339" s="4" t="s">
        <v>2883</v>
      </c>
      <c r="BXD1339" s="4" t="s">
        <v>2883</v>
      </c>
      <c r="BXE1339" s="4" t="s">
        <v>2883</v>
      </c>
      <c r="BXF1339" s="4" t="s">
        <v>2883</v>
      </c>
      <c r="BXG1339" s="4" t="s">
        <v>2883</v>
      </c>
      <c r="BXH1339" s="4" t="s">
        <v>2883</v>
      </c>
      <c r="BXI1339" s="4" t="s">
        <v>2883</v>
      </c>
      <c r="BXJ1339" s="4" t="s">
        <v>2883</v>
      </c>
      <c r="BXK1339" s="4" t="s">
        <v>2883</v>
      </c>
      <c r="BXL1339" s="4" t="s">
        <v>2883</v>
      </c>
      <c r="BXM1339" s="4" t="s">
        <v>2883</v>
      </c>
      <c r="BXN1339" s="4" t="s">
        <v>2883</v>
      </c>
      <c r="BXO1339" s="4" t="s">
        <v>2883</v>
      </c>
      <c r="BXP1339" s="4" t="s">
        <v>2883</v>
      </c>
      <c r="BXQ1339" s="4" t="s">
        <v>2883</v>
      </c>
      <c r="BXR1339" s="4" t="s">
        <v>2883</v>
      </c>
      <c r="BXS1339" s="4" t="s">
        <v>2883</v>
      </c>
      <c r="BXT1339" s="4" t="s">
        <v>2883</v>
      </c>
      <c r="BXU1339" s="4" t="s">
        <v>2883</v>
      </c>
      <c r="BXV1339" s="4" t="s">
        <v>2883</v>
      </c>
      <c r="BXW1339" s="4" t="s">
        <v>2883</v>
      </c>
      <c r="BXX1339" s="4" t="s">
        <v>2883</v>
      </c>
      <c r="BXY1339" s="4" t="s">
        <v>2883</v>
      </c>
      <c r="BXZ1339" s="4" t="s">
        <v>2883</v>
      </c>
      <c r="BYA1339" s="4" t="s">
        <v>2883</v>
      </c>
      <c r="BYB1339" s="4" t="s">
        <v>2883</v>
      </c>
      <c r="BYC1339" s="4" t="s">
        <v>2883</v>
      </c>
      <c r="BYD1339" s="4" t="s">
        <v>2883</v>
      </c>
      <c r="BYE1339" s="4" t="s">
        <v>2883</v>
      </c>
      <c r="BYF1339" s="4" t="s">
        <v>2883</v>
      </c>
      <c r="BYG1339" s="4" t="s">
        <v>2883</v>
      </c>
      <c r="BYH1339" s="4" t="s">
        <v>2883</v>
      </c>
      <c r="BYI1339" s="4" t="s">
        <v>2883</v>
      </c>
      <c r="BYJ1339" s="4" t="s">
        <v>2883</v>
      </c>
      <c r="BYK1339" s="4" t="s">
        <v>2883</v>
      </c>
      <c r="BYL1339" s="4" t="s">
        <v>2883</v>
      </c>
      <c r="BYM1339" s="4" t="s">
        <v>2883</v>
      </c>
      <c r="BYN1339" s="4" t="s">
        <v>2883</v>
      </c>
      <c r="BYO1339" s="4" t="s">
        <v>2883</v>
      </c>
      <c r="BYP1339" s="4" t="s">
        <v>2883</v>
      </c>
      <c r="BYQ1339" s="4" t="s">
        <v>2883</v>
      </c>
      <c r="BYR1339" s="4" t="s">
        <v>2883</v>
      </c>
      <c r="BYS1339" s="4" t="s">
        <v>2883</v>
      </c>
      <c r="BYT1339" s="4" t="s">
        <v>2883</v>
      </c>
      <c r="BYU1339" s="4" t="s">
        <v>2883</v>
      </c>
      <c r="BYV1339" s="4" t="s">
        <v>2883</v>
      </c>
      <c r="BYW1339" s="4" t="s">
        <v>2883</v>
      </c>
      <c r="BYX1339" s="4" t="s">
        <v>2883</v>
      </c>
      <c r="BYY1339" s="4" t="s">
        <v>2883</v>
      </c>
      <c r="BYZ1339" s="4" t="s">
        <v>2883</v>
      </c>
      <c r="BZA1339" s="4" t="s">
        <v>2883</v>
      </c>
      <c r="BZB1339" s="4" t="s">
        <v>2883</v>
      </c>
      <c r="BZC1339" s="4" t="s">
        <v>2883</v>
      </c>
      <c r="BZD1339" s="4" t="s">
        <v>2883</v>
      </c>
      <c r="BZE1339" s="4" t="s">
        <v>2883</v>
      </c>
      <c r="BZF1339" s="4" t="s">
        <v>2883</v>
      </c>
      <c r="BZG1339" s="4" t="s">
        <v>2883</v>
      </c>
      <c r="BZH1339" s="4" t="s">
        <v>2883</v>
      </c>
      <c r="BZI1339" s="4" t="s">
        <v>2883</v>
      </c>
      <c r="BZJ1339" s="4" t="s">
        <v>2883</v>
      </c>
      <c r="BZK1339" s="4" t="s">
        <v>2883</v>
      </c>
      <c r="BZL1339" s="4" t="s">
        <v>2883</v>
      </c>
      <c r="BZM1339" s="4" t="s">
        <v>2883</v>
      </c>
      <c r="BZN1339" s="4" t="s">
        <v>2883</v>
      </c>
      <c r="BZO1339" s="4" t="s">
        <v>2883</v>
      </c>
      <c r="BZP1339" s="4" t="s">
        <v>2883</v>
      </c>
      <c r="BZQ1339" s="4" t="s">
        <v>2883</v>
      </c>
      <c r="BZR1339" s="4" t="s">
        <v>2883</v>
      </c>
      <c r="BZS1339" s="4" t="s">
        <v>2883</v>
      </c>
      <c r="BZT1339" s="4" t="s">
        <v>2883</v>
      </c>
      <c r="BZU1339" s="4" t="s">
        <v>2883</v>
      </c>
      <c r="BZV1339" s="4" t="s">
        <v>2883</v>
      </c>
      <c r="BZW1339" s="4" t="s">
        <v>2883</v>
      </c>
      <c r="BZX1339" s="4" t="s">
        <v>2883</v>
      </c>
      <c r="BZY1339" s="4" t="s">
        <v>2883</v>
      </c>
      <c r="BZZ1339" s="4" t="s">
        <v>2883</v>
      </c>
      <c r="CAA1339" s="4" t="s">
        <v>2883</v>
      </c>
      <c r="CAB1339" s="4" t="s">
        <v>2883</v>
      </c>
      <c r="CAC1339" s="4" t="s">
        <v>2883</v>
      </c>
      <c r="CAD1339" s="4" t="s">
        <v>2883</v>
      </c>
      <c r="CAE1339" s="4" t="s">
        <v>2883</v>
      </c>
      <c r="CAF1339" s="4" t="s">
        <v>2883</v>
      </c>
      <c r="CAG1339" s="4" t="s">
        <v>2883</v>
      </c>
      <c r="CAH1339" s="4" t="s">
        <v>2883</v>
      </c>
      <c r="CAI1339" s="4" t="s">
        <v>2883</v>
      </c>
      <c r="CAJ1339" s="4" t="s">
        <v>2883</v>
      </c>
      <c r="CAK1339" s="4" t="s">
        <v>2883</v>
      </c>
      <c r="CAL1339" s="4" t="s">
        <v>2883</v>
      </c>
      <c r="CAM1339" s="4" t="s">
        <v>2883</v>
      </c>
      <c r="CAN1339" s="4" t="s">
        <v>2883</v>
      </c>
      <c r="CAO1339" s="4" t="s">
        <v>2883</v>
      </c>
      <c r="CAP1339" s="4" t="s">
        <v>2883</v>
      </c>
      <c r="CAQ1339" s="4" t="s">
        <v>2883</v>
      </c>
      <c r="CAR1339" s="4" t="s">
        <v>2883</v>
      </c>
      <c r="CAS1339" s="4" t="s">
        <v>2883</v>
      </c>
      <c r="CAT1339" s="4" t="s">
        <v>2883</v>
      </c>
      <c r="CAU1339" s="4" t="s">
        <v>2883</v>
      </c>
      <c r="CAV1339" s="4" t="s">
        <v>2883</v>
      </c>
      <c r="CAW1339" s="4" t="s">
        <v>2883</v>
      </c>
      <c r="CAX1339" s="4" t="s">
        <v>2883</v>
      </c>
      <c r="CAY1339" s="4" t="s">
        <v>2883</v>
      </c>
      <c r="CAZ1339" s="4" t="s">
        <v>2883</v>
      </c>
      <c r="CBA1339" s="4" t="s">
        <v>2883</v>
      </c>
      <c r="CBB1339" s="4" t="s">
        <v>2883</v>
      </c>
      <c r="CBC1339" s="4" t="s">
        <v>2883</v>
      </c>
      <c r="CBD1339" s="4" t="s">
        <v>2883</v>
      </c>
      <c r="CBE1339" s="4" t="s">
        <v>2883</v>
      </c>
      <c r="CBF1339" s="4" t="s">
        <v>2883</v>
      </c>
      <c r="CBG1339" s="4" t="s">
        <v>2883</v>
      </c>
      <c r="CBH1339" s="4" t="s">
        <v>2883</v>
      </c>
      <c r="CBI1339" s="4" t="s">
        <v>2883</v>
      </c>
      <c r="CBJ1339" s="4" t="s">
        <v>2883</v>
      </c>
      <c r="CBK1339" s="4" t="s">
        <v>2883</v>
      </c>
      <c r="CBL1339" s="4" t="s">
        <v>2883</v>
      </c>
      <c r="CBM1339" s="4" t="s">
        <v>2883</v>
      </c>
      <c r="CBN1339" s="4" t="s">
        <v>2883</v>
      </c>
      <c r="CBO1339" s="4" t="s">
        <v>2883</v>
      </c>
      <c r="CBP1339" s="4" t="s">
        <v>2883</v>
      </c>
      <c r="CBQ1339" s="4" t="s">
        <v>2883</v>
      </c>
      <c r="CBR1339" s="4" t="s">
        <v>2883</v>
      </c>
      <c r="CBS1339" s="4" t="s">
        <v>2883</v>
      </c>
      <c r="CBT1339" s="4" t="s">
        <v>2883</v>
      </c>
      <c r="CBU1339" s="4" t="s">
        <v>2883</v>
      </c>
      <c r="CBV1339" s="4" t="s">
        <v>2883</v>
      </c>
      <c r="CBW1339" s="4" t="s">
        <v>2883</v>
      </c>
      <c r="CBX1339" s="4" t="s">
        <v>2883</v>
      </c>
      <c r="CBY1339" s="4" t="s">
        <v>2883</v>
      </c>
      <c r="CBZ1339" s="4" t="s">
        <v>2883</v>
      </c>
      <c r="CCA1339" s="4" t="s">
        <v>2883</v>
      </c>
      <c r="CCB1339" s="4" t="s">
        <v>2883</v>
      </c>
      <c r="CCC1339" s="4" t="s">
        <v>2883</v>
      </c>
      <c r="CCD1339" s="4" t="s">
        <v>2883</v>
      </c>
      <c r="CCE1339" s="4" t="s">
        <v>2883</v>
      </c>
      <c r="CCF1339" s="4" t="s">
        <v>2883</v>
      </c>
      <c r="CCG1339" s="4" t="s">
        <v>2883</v>
      </c>
      <c r="CCH1339" s="4" t="s">
        <v>2883</v>
      </c>
      <c r="CCI1339" s="4" t="s">
        <v>2883</v>
      </c>
      <c r="CCJ1339" s="4" t="s">
        <v>2883</v>
      </c>
      <c r="CCK1339" s="4" t="s">
        <v>2883</v>
      </c>
      <c r="CCL1339" s="4" t="s">
        <v>2883</v>
      </c>
      <c r="CCM1339" s="4" t="s">
        <v>2883</v>
      </c>
      <c r="CCN1339" s="4" t="s">
        <v>2883</v>
      </c>
      <c r="CCO1339" s="4" t="s">
        <v>2883</v>
      </c>
      <c r="CCP1339" s="4" t="s">
        <v>2883</v>
      </c>
      <c r="CCQ1339" s="4" t="s">
        <v>2883</v>
      </c>
      <c r="CCR1339" s="4" t="s">
        <v>2883</v>
      </c>
      <c r="CCS1339" s="4" t="s">
        <v>2883</v>
      </c>
      <c r="CCT1339" s="4" t="s">
        <v>2883</v>
      </c>
      <c r="CCU1339" s="4" t="s">
        <v>2883</v>
      </c>
      <c r="CCV1339" s="4" t="s">
        <v>2883</v>
      </c>
      <c r="CCW1339" s="4" t="s">
        <v>2883</v>
      </c>
      <c r="CCX1339" s="4" t="s">
        <v>2883</v>
      </c>
      <c r="CCY1339" s="4" t="s">
        <v>2883</v>
      </c>
      <c r="CCZ1339" s="4" t="s">
        <v>2883</v>
      </c>
      <c r="CDA1339" s="4" t="s">
        <v>2883</v>
      </c>
      <c r="CDB1339" s="4" t="s">
        <v>2883</v>
      </c>
      <c r="CDC1339" s="4" t="s">
        <v>2883</v>
      </c>
      <c r="CDD1339" s="4" t="s">
        <v>2883</v>
      </c>
      <c r="CDE1339" s="4" t="s">
        <v>2883</v>
      </c>
      <c r="CDF1339" s="4" t="s">
        <v>2883</v>
      </c>
      <c r="CDG1339" s="4" t="s">
        <v>2883</v>
      </c>
      <c r="CDH1339" s="4" t="s">
        <v>2883</v>
      </c>
      <c r="CDI1339" s="4" t="s">
        <v>2883</v>
      </c>
      <c r="CDJ1339" s="4" t="s">
        <v>2883</v>
      </c>
      <c r="CDK1339" s="4" t="s">
        <v>2883</v>
      </c>
      <c r="CDL1339" s="4" t="s">
        <v>2883</v>
      </c>
      <c r="CDM1339" s="4" t="s">
        <v>2883</v>
      </c>
      <c r="CDN1339" s="4" t="s">
        <v>2883</v>
      </c>
      <c r="CDO1339" s="4" t="s">
        <v>2883</v>
      </c>
      <c r="CDP1339" s="4" t="s">
        <v>2883</v>
      </c>
      <c r="CDQ1339" s="4" t="s">
        <v>2883</v>
      </c>
      <c r="CDR1339" s="4" t="s">
        <v>2883</v>
      </c>
      <c r="CDS1339" s="4" t="s">
        <v>2883</v>
      </c>
      <c r="CDT1339" s="4" t="s">
        <v>2883</v>
      </c>
      <c r="CDU1339" s="4" t="s">
        <v>2883</v>
      </c>
      <c r="CDV1339" s="4" t="s">
        <v>2883</v>
      </c>
      <c r="CDW1339" s="4" t="s">
        <v>2883</v>
      </c>
      <c r="CDX1339" s="4" t="s">
        <v>2883</v>
      </c>
      <c r="CDY1339" s="4" t="s">
        <v>2883</v>
      </c>
      <c r="CDZ1339" s="4" t="s">
        <v>2883</v>
      </c>
      <c r="CEA1339" s="4" t="s">
        <v>2883</v>
      </c>
      <c r="CEB1339" s="4" t="s">
        <v>2883</v>
      </c>
      <c r="CEC1339" s="4" t="s">
        <v>2883</v>
      </c>
      <c r="CED1339" s="4" t="s">
        <v>2883</v>
      </c>
      <c r="CEE1339" s="4" t="s">
        <v>2883</v>
      </c>
      <c r="CEF1339" s="4" t="s">
        <v>2883</v>
      </c>
      <c r="CEG1339" s="4" t="s">
        <v>2883</v>
      </c>
      <c r="CEH1339" s="4" t="s">
        <v>2883</v>
      </c>
      <c r="CEI1339" s="4" t="s">
        <v>2883</v>
      </c>
      <c r="CEJ1339" s="4" t="s">
        <v>2883</v>
      </c>
      <c r="CEK1339" s="4" t="s">
        <v>2883</v>
      </c>
      <c r="CEL1339" s="4" t="s">
        <v>2883</v>
      </c>
      <c r="CEM1339" s="4" t="s">
        <v>2883</v>
      </c>
      <c r="CEN1339" s="4" t="s">
        <v>2883</v>
      </c>
      <c r="CEO1339" s="4" t="s">
        <v>2883</v>
      </c>
      <c r="CEP1339" s="4" t="s">
        <v>2883</v>
      </c>
      <c r="CEQ1339" s="4" t="s">
        <v>2883</v>
      </c>
      <c r="CER1339" s="4" t="s">
        <v>2883</v>
      </c>
      <c r="CES1339" s="4" t="s">
        <v>2883</v>
      </c>
      <c r="CET1339" s="4" t="s">
        <v>2883</v>
      </c>
      <c r="CEU1339" s="4" t="s">
        <v>2883</v>
      </c>
      <c r="CEV1339" s="4" t="s">
        <v>2883</v>
      </c>
      <c r="CEW1339" s="4" t="s">
        <v>2883</v>
      </c>
      <c r="CEX1339" s="4" t="s">
        <v>2883</v>
      </c>
      <c r="CEY1339" s="4" t="s">
        <v>2883</v>
      </c>
      <c r="CEZ1339" s="4" t="s">
        <v>2883</v>
      </c>
      <c r="CFA1339" s="4" t="s">
        <v>2883</v>
      </c>
      <c r="CFB1339" s="4" t="s">
        <v>2883</v>
      </c>
      <c r="CFC1339" s="4" t="s">
        <v>2883</v>
      </c>
      <c r="CFD1339" s="4" t="s">
        <v>2883</v>
      </c>
      <c r="CFE1339" s="4" t="s">
        <v>2883</v>
      </c>
      <c r="CFF1339" s="4" t="s">
        <v>2883</v>
      </c>
      <c r="CFG1339" s="4" t="s">
        <v>2883</v>
      </c>
      <c r="CFH1339" s="4" t="s">
        <v>2883</v>
      </c>
      <c r="CFI1339" s="4" t="s">
        <v>2883</v>
      </c>
      <c r="CFJ1339" s="4" t="s">
        <v>2883</v>
      </c>
      <c r="CFK1339" s="4" t="s">
        <v>2883</v>
      </c>
      <c r="CFL1339" s="4" t="s">
        <v>2883</v>
      </c>
      <c r="CFM1339" s="4" t="s">
        <v>2883</v>
      </c>
      <c r="CFN1339" s="4" t="s">
        <v>2883</v>
      </c>
      <c r="CFO1339" s="4" t="s">
        <v>2883</v>
      </c>
      <c r="CFP1339" s="4" t="s">
        <v>2883</v>
      </c>
      <c r="CFQ1339" s="4" t="s">
        <v>2883</v>
      </c>
      <c r="CFR1339" s="4" t="s">
        <v>2883</v>
      </c>
      <c r="CFS1339" s="4" t="s">
        <v>2883</v>
      </c>
      <c r="CFT1339" s="4" t="s">
        <v>2883</v>
      </c>
      <c r="CFU1339" s="4" t="s">
        <v>2883</v>
      </c>
      <c r="CFV1339" s="4" t="s">
        <v>2883</v>
      </c>
      <c r="CFW1339" s="4" t="s">
        <v>2883</v>
      </c>
      <c r="CFX1339" s="4" t="s">
        <v>2883</v>
      </c>
      <c r="CFY1339" s="4" t="s">
        <v>2883</v>
      </c>
      <c r="CFZ1339" s="4" t="s">
        <v>2883</v>
      </c>
      <c r="CGA1339" s="4" t="s">
        <v>2883</v>
      </c>
      <c r="CGB1339" s="4" t="s">
        <v>2883</v>
      </c>
      <c r="CGC1339" s="4" t="s">
        <v>2883</v>
      </c>
      <c r="CGD1339" s="4" t="s">
        <v>2883</v>
      </c>
      <c r="CGE1339" s="4" t="s">
        <v>2883</v>
      </c>
      <c r="CGF1339" s="4" t="s">
        <v>2883</v>
      </c>
      <c r="CGG1339" s="4" t="s">
        <v>2883</v>
      </c>
      <c r="CGH1339" s="4" t="s">
        <v>2883</v>
      </c>
      <c r="CGI1339" s="4" t="s">
        <v>2883</v>
      </c>
      <c r="CGJ1339" s="4" t="s">
        <v>2883</v>
      </c>
      <c r="CGK1339" s="4" t="s">
        <v>2883</v>
      </c>
      <c r="CGL1339" s="4" t="s">
        <v>2883</v>
      </c>
      <c r="CGM1339" s="4" t="s">
        <v>2883</v>
      </c>
      <c r="CGN1339" s="4" t="s">
        <v>2883</v>
      </c>
      <c r="CGO1339" s="4" t="s">
        <v>2883</v>
      </c>
      <c r="CGP1339" s="4" t="s">
        <v>2883</v>
      </c>
      <c r="CGQ1339" s="4" t="s">
        <v>2883</v>
      </c>
      <c r="CGR1339" s="4" t="s">
        <v>2883</v>
      </c>
      <c r="CGS1339" s="4" t="s">
        <v>2883</v>
      </c>
      <c r="CGT1339" s="4" t="s">
        <v>2883</v>
      </c>
      <c r="CGU1339" s="4" t="s">
        <v>2883</v>
      </c>
      <c r="CGV1339" s="4" t="s">
        <v>2883</v>
      </c>
      <c r="CGW1339" s="4" t="s">
        <v>2883</v>
      </c>
      <c r="CGX1339" s="4" t="s">
        <v>2883</v>
      </c>
      <c r="CGY1339" s="4" t="s">
        <v>2883</v>
      </c>
      <c r="CGZ1339" s="4" t="s">
        <v>2883</v>
      </c>
      <c r="CHA1339" s="4" t="s">
        <v>2883</v>
      </c>
      <c r="CHB1339" s="4" t="s">
        <v>2883</v>
      </c>
      <c r="CHC1339" s="4" t="s">
        <v>2883</v>
      </c>
      <c r="CHD1339" s="4" t="s">
        <v>2883</v>
      </c>
      <c r="CHE1339" s="4" t="s">
        <v>2883</v>
      </c>
      <c r="CHF1339" s="4" t="s">
        <v>2883</v>
      </c>
      <c r="CHG1339" s="4" t="s">
        <v>2883</v>
      </c>
      <c r="CHH1339" s="4" t="s">
        <v>2883</v>
      </c>
      <c r="CHI1339" s="4" t="s">
        <v>2883</v>
      </c>
      <c r="CHJ1339" s="4" t="s">
        <v>2883</v>
      </c>
      <c r="CHK1339" s="4" t="s">
        <v>2883</v>
      </c>
      <c r="CHL1339" s="4" t="s">
        <v>2883</v>
      </c>
      <c r="CHM1339" s="4" t="s">
        <v>2883</v>
      </c>
      <c r="CHN1339" s="4" t="s">
        <v>2883</v>
      </c>
      <c r="CHO1339" s="4" t="s">
        <v>2883</v>
      </c>
      <c r="CHP1339" s="4" t="s">
        <v>2883</v>
      </c>
      <c r="CHQ1339" s="4" t="s">
        <v>2883</v>
      </c>
      <c r="CHR1339" s="4" t="s">
        <v>2883</v>
      </c>
      <c r="CHS1339" s="4" t="s">
        <v>2883</v>
      </c>
      <c r="CHT1339" s="4" t="s">
        <v>2883</v>
      </c>
      <c r="CHU1339" s="4" t="s">
        <v>2883</v>
      </c>
      <c r="CHV1339" s="4" t="s">
        <v>2883</v>
      </c>
      <c r="CHW1339" s="4" t="s">
        <v>2883</v>
      </c>
      <c r="CHX1339" s="4" t="s">
        <v>2883</v>
      </c>
      <c r="CHY1339" s="4" t="s">
        <v>2883</v>
      </c>
      <c r="CHZ1339" s="4" t="s">
        <v>2883</v>
      </c>
      <c r="CIA1339" s="4" t="s">
        <v>2883</v>
      </c>
      <c r="CIB1339" s="4" t="s">
        <v>2883</v>
      </c>
      <c r="CIC1339" s="4" t="s">
        <v>2883</v>
      </c>
      <c r="CID1339" s="4" t="s">
        <v>2883</v>
      </c>
      <c r="CIE1339" s="4" t="s">
        <v>2883</v>
      </c>
      <c r="CIF1339" s="4" t="s">
        <v>2883</v>
      </c>
      <c r="CIG1339" s="4" t="s">
        <v>2883</v>
      </c>
      <c r="CIH1339" s="4" t="s">
        <v>2883</v>
      </c>
      <c r="CII1339" s="4" t="s">
        <v>2883</v>
      </c>
      <c r="CIJ1339" s="4" t="s">
        <v>2883</v>
      </c>
      <c r="CIK1339" s="4" t="s">
        <v>2883</v>
      </c>
      <c r="CIL1339" s="4" t="s">
        <v>2883</v>
      </c>
      <c r="CIM1339" s="4" t="s">
        <v>2883</v>
      </c>
      <c r="CIN1339" s="4" t="s">
        <v>2883</v>
      </c>
      <c r="CIO1339" s="4" t="s">
        <v>2883</v>
      </c>
      <c r="CIP1339" s="4" t="s">
        <v>2883</v>
      </c>
      <c r="CIQ1339" s="4" t="s">
        <v>2883</v>
      </c>
      <c r="CIR1339" s="4" t="s">
        <v>2883</v>
      </c>
      <c r="CIS1339" s="4" t="s">
        <v>2883</v>
      </c>
      <c r="CIT1339" s="4" t="s">
        <v>2883</v>
      </c>
      <c r="CIU1339" s="4" t="s">
        <v>2883</v>
      </c>
      <c r="CIV1339" s="4" t="s">
        <v>2883</v>
      </c>
      <c r="CIW1339" s="4" t="s">
        <v>2883</v>
      </c>
      <c r="CIX1339" s="4" t="s">
        <v>2883</v>
      </c>
      <c r="CIY1339" s="4" t="s">
        <v>2883</v>
      </c>
      <c r="CIZ1339" s="4" t="s">
        <v>2883</v>
      </c>
      <c r="CJA1339" s="4" t="s">
        <v>2883</v>
      </c>
      <c r="CJB1339" s="4" t="s">
        <v>2883</v>
      </c>
      <c r="CJC1339" s="4" t="s">
        <v>2883</v>
      </c>
      <c r="CJD1339" s="4" t="s">
        <v>2883</v>
      </c>
      <c r="CJE1339" s="4" t="s">
        <v>2883</v>
      </c>
      <c r="CJF1339" s="4" t="s">
        <v>2883</v>
      </c>
      <c r="CJG1339" s="4" t="s">
        <v>2883</v>
      </c>
      <c r="CJH1339" s="4" t="s">
        <v>2883</v>
      </c>
      <c r="CJI1339" s="4" t="s">
        <v>2883</v>
      </c>
      <c r="CJJ1339" s="4" t="s">
        <v>2883</v>
      </c>
      <c r="CJK1339" s="4" t="s">
        <v>2883</v>
      </c>
      <c r="CJL1339" s="4" t="s">
        <v>2883</v>
      </c>
      <c r="CJM1339" s="4" t="s">
        <v>2883</v>
      </c>
      <c r="CJN1339" s="4" t="s">
        <v>2883</v>
      </c>
      <c r="CJO1339" s="4" t="s">
        <v>2883</v>
      </c>
      <c r="CJP1339" s="4" t="s">
        <v>2883</v>
      </c>
      <c r="CJQ1339" s="4" t="s">
        <v>2883</v>
      </c>
      <c r="CJR1339" s="4" t="s">
        <v>2883</v>
      </c>
      <c r="CJS1339" s="4" t="s">
        <v>2883</v>
      </c>
      <c r="CJT1339" s="4" t="s">
        <v>2883</v>
      </c>
      <c r="CJU1339" s="4" t="s">
        <v>2883</v>
      </c>
      <c r="CJV1339" s="4" t="s">
        <v>2883</v>
      </c>
      <c r="CJW1339" s="4" t="s">
        <v>2883</v>
      </c>
      <c r="CJX1339" s="4" t="s">
        <v>2883</v>
      </c>
      <c r="CJY1339" s="4" t="s">
        <v>2883</v>
      </c>
      <c r="CJZ1339" s="4" t="s">
        <v>2883</v>
      </c>
      <c r="CKA1339" s="4" t="s">
        <v>2883</v>
      </c>
      <c r="CKB1339" s="4" t="s">
        <v>2883</v>
      </c>
      <c r="CKC1339" s="4" t="s">
        <v>2883</v>
      </c>
      <c r="CKD1339" s="4" t="s">
        <v>2883</v>
      </c>
      <c r="CKE1339" s="4" t="s">
        <v>2883</v>
      </c>
      <c r="CKF1339" s="4" t="s">
        <v>2883</v>
      </c>
      <c r="CKG1339" s="4" t="s">
        <v>2883</v>
      </c>
      <c r="CKH1339" s="4" t="s">
        <v>2883</v>
      </c>
      <c r="CKI1339" s="4" t="s">
        <v>2883</v>
      </c>
      <c r="CKJ1339" s="4" t="s">
        <v>2883</v>
      </c>
      <c r="CKK1339" s="4" t="s">
        <v>2883</v>
      </c>
      <c r="CKL1339" s="4" t="s">
        <v>2883</v>
      </c>
      <c r="CKM1339" s="4" t="s">
        <v>2883</v>
      </c>
      <c r="CKN1339" s="4" t="s">
        <v>2883</v>
      </c>
      <c r="CKO1339" s="4" t="s">
        <v>2883</v>
      </c>
      <c r="CKP1339" s="4" t="s">
        <v>2883</v>
      </c>
      <c r="CKQ1339" s="4" t="s">
        <v>2883</v>
      </c>
      <c r="CKR1339" s="4" t="s">
        <v>2883</v>
      </c>
      <c r="CKS1339" s="4" t="s">
        <v>2883</v>
      </c>
      <c r="CKT1339" s="4" t="s">
        <v>2883</v>
      </c>
      <c r="CKU1339" s="4" t="s">
        <v>2883</v>
      </c>
      <c r="CKV1339" s="4" t="s">
        <v>2883</v>
      </c>
      <c r="CKW1339" s="4" t="s">
        <v>2883</v>
      </c>
      <c r="CKX1339" s="4" t="s">
        <v>2883</v>
      </c>
      <c r="CKY1339" s="4" t="s">
        <v>2883</v>
      </c>
      <c r="CKZ1339" s="4" t="s">
        <v>2883</v>
      </c>
      <c r="CLA1339" s="4" t="s">
        <v>2883</v>
      </c>
      <c r="CLB1339" s="4" t="s">
        <v>2883</v>
      </c>
      <c r="CLC1339" s="4" t="s">
        <v>2883</v>
      </c>
      <c r="CLD1339" s="4" t="s">
        <v>2883</v>
      </c>
      <c r="CLE1339" s="4" t="s">
        <v>2883</v>
      </c>
      <c r="CLF1339" s="4" t="s">
        <v>2883</v>
      </c>
      <c r="CLG1339" s="4" t="s">
        <v>2883</v>
      </c>
      <c r="CLH1339" s="4" t="s">
        <v>2883</v>
      </c>
      <c r="CLI1339" s="4" t="s">
        <v>2883</v>
      </c>
      <c r="CLJ1339" s="4" t="s">
        <v>2883</v>
      </c>
      <c r="CLK1339" s="4" t="s">
        <v>2883</v>
      </c>
      <c r="CLL1339" s="4" t="s">
        <v>2883</v>
      </c>
      <c r="CLM1339" s="4" t="s">
        <v>2883</v>
      </c>
      <c r="CLN1339" s="4" t="s">
        <v>2883</v>
      </c>
      <c r="CLO1339" s="4" t="s">
        <v>2883</v>
      </c>
      <c r="CLP1339" s="4" t="s">
        <v>2883</v>
      </c>
      <c r="CLQ1339" s="4" t="s">
        <v>2883</v>
      </c>
      <c r="CLR1339" s="4" t="s">
        <v>2883</v>
      </c>
      <c r="CLS1339" s="4" t="s">
        <v>2883</v>
      </c>
      <c r="CLT1339" s="4" t="s">
        <v>2883</v>
      </c>
      <c r="CLU1339" s="4" t="s">
        <v>2883</v>
      </c>
      <c r="CLV1339" s="4" t="s">
        <v>2883</v>
      </c>
      <c r="CLW1339" s="4" t="s">
        <v>2883</v>
      </c>
      <c r="CLX1339" s="4" t="s">
        <v>2883</v>
      </c>
      <c r="CLY1339" s="4" t="s">
        <v>2883</v>
      </c>
      <c r="CLZ1339" s="4" t="s">
        <v>2883</v>
      </c>
      <c r="CMA1339" s="4" t="s">
        <v>2883</v>
      </c>
      <c r="CMB1339" s="4" t="s">
        <v>2883</v>
      </c>
      <c r="CMC1339" s="4" t="s">
        <v>2883</v>
      </c>
      <c r="CMD1339" s="4" t="s">
        <v>2883</v>
      </c>
      <c r="CME1339" s="4" t="s">
        <v>2883</v>
      </c>
      <c r="CMF1339" s="4" t="s">
        <v>2883</v>
      </c>
      <c r="CMG1339" s="4" t="s">
        <v>2883</v>
      </c>
      <c r="CMH1339" s="4" t="s">
        <v>2883</v>
      </c>
      <c r="CMI1339" s="4" t="s">
        <v>2883</v>
      </c>
      <c r="CMJ1339" s="4" t="s">
        <v>2883</v>
      </c>
      <c r="CMK1339" s="4" t="s">
        <v>2883</v>
      </c>
      <c r="CML1339" s="4" t="s">
        <v>2883</v>
      </c>
      <c r="CMM1339" s="4" t="s">
        <v>2883</v>
      </c>
      <c r="CMN1339" s="4" t="s">
        <v>2883</v>
      </c>
      <c r="CMO1339" s="4" t="s">
        <v>2883</v>
      </c>
      <c r="CMP1339" s="4" t="s">
        <v>2883</v>
      </c>
      <c r="CMQ1339" s="4" t="s">
        <v>2883</v>
      </c>
      <c r="CMR1339" s="4" t="s">
        <v>2883</v>
      </c>
      <c r="CMS1339" s="4" t="s">
        <v>2883</v>
      </c>
      <c r="CMT1339" s="4" t="s">
        <v>2883</v>
      </c>
      <c r="CMU1339" s="4" t="s">
        <v>2883</v>
      </c>
      <c r="CMV1339" s="4" t="s">
        <v>2883</v>
      </c>
      <c r="CMW1339" s="4" t="s">
        <v>2883</v>
      </c>
      <c r="CMX1339" s="4" t="s">
        <v>2883</v>
      </c>
      <c r="CMY1339" s="4" t="s">
        <v>2883</v>
      </c>
      <c r="CMZ1339" s="4" t="s">
        <v>2883</v>
      </c>
      <c r="CNA1339" s="4" t="s">
        <v>2883</v>
      </c>
      <c r="CNB1339" s="4" t="s">
        <v>2883</v>
      </c>
      <c r="CNC1339" s="4" t="s">
        <v>2883</v>
      </c>
      <c r="CND1339" s="4" t="s">
        <v>2883</v>
      </c>
      <c r="CNE1339" s="4" t="s">
        <v>2883</v>
      </c>
      <c r="CNF1339" s="4" t="s">
        <v>2883</v>
      </c>
      <c r="CNG1339" s="4" t="s">
        <v>2883</v>
      </c>
      <c r="CNH1339" s="4" t="s">
        <v>2883</v>
      </c>
      <c r="CNI1339" s="4" t="s">
        <v>2883</v>
      </c>
      <c r="CNJ1339" s="4" t="s">
        <v>2883</v>
      </c>
      <c r="CNK1339" s="4" t="s">
        <v>2883</v>
      </c>
      <c r="CNL1339" s="4" t="s">
        <v>2883</v>
      </c>
      <c r="CNM1339" s="4" t="s">
        <v>2883</v>
      </c>
      <c r="CNN1339" s="4" t="s">
        <v>2883</v>
      </c>
      <c r="CNO1339" s="4" t="s">
        <v>2883</v>
      </c>
      <c r="CNP1339" s="4" t="s">
        <v>2883</v>
      </c>
      <c r="CNQ1339" s="4" t="s">
        <v>2883</v>
      </c>
      <c r="CNR1339" s="4" t="s">
        <v>2883</v>
      </c>
      <c r="CNS1339" s="4" t="s">
        <v>2883</v>
      </c>
      <c r="CNT1339" s="4" t="s">
        <v>2883</v>
      </c>
      <c r="CNU1339" s="4" t="s">
        <v>2883</v>
      </c>
      <c r="CNV1339" s="4" t="s">
        <v>2883</v>
      </c>
      <c r="CNW1339" s="4" t="s">
        <v>2883</v>
      </c>
      <c r="CNX1339" s="4" t="s">
        <v>2883</v>
      </c>
      <c r="CNY1339" s="4" t="s">
        <v>2883</v>
      </c>
      <c r="CNZ1339" s="4" t="s">
        <v>2883</v>
      </c>
      <c r="COA1339" s="4" t="s">
        <v>2883</v>
      </c>
      <c r="COB1339" s="4" t="s">
        <v>2883</v>
      </c>
      <c r="COC1339" s="4" t="s">
        <v>2883</v>
      </c>
      <c r="COD1339" s="4" t="s">
        <v>2883</v>
      </c>
      <c r="COE1339" s="4" t="s">
        <v>2883</v>
      </c>
      <c r="COF1339" s="4" t="s">
        <v>2883</v>
      </c>
      <c r="COG1339" s="4" t="s">
        <v>2883</v>
      </c>
      <c r="COH1339" s="4" t="s">
        <v>2883</v>
      </c>
      <c r="COI1339" s="4" t="s">
        <v>2883</v>
      </c>
      <c r="COJ1339" s="4" t="s">
        <v>2883</v>
      </c>
      <c r="COK1339" s="4" t="s">
        <v>2883</v>
      </c>
      <c r="COL1339" s="4" t="s">
        <v>2883</v>
      </c>
      <c r="COM1339" s="4" t="s">
        <v>2883</v>
      </c>
      <c r="CON1339" s="4" t="s">
        <v>2883</v>
      </c>
      <c r="COO1339" s="4" t="s">
        <v>2883</v>
      </c>
      <c r="COP1339" s="4" t="s">
        <v>2883</v>
      </c>
      <c r="COQ1339" s="4" t="s">
        <v>2883</v>
      </c>
      <c r="COR1339" s="4" t="s">
        <v>2883</v>
      </c>
      <c r="COS1339" s="4" t="s">
        <v>2883</v>
      </c>
      <c r="COT1339" s="4" t="s">
        <v>2883</v>
      </c>
      <c r="COU1339" s="4" t="s">
        <v>2883</v>
      </c>
      <c r="COV1339" s="4" t="s">
        <v>2883</v>
      </c>
      <c r="COW1339" s="4" t="s">
        <v>2883</v>
      </c>
      <c r="COX1339" s="4" t="s">
        <v>2883</v>
      </c>
      <c r="COY1339" s="4" t="s">
        <v>2883</v>
      </c>
      <c r="COZ1339" s="4" t="s">
        <v>2883</v>
      </c>
      <c r="CPA1339" s="4" t="s">
        <v>2883</v>
      </c>
      <c r="CPB1339" s="4" t="s">
        <v>2883</v>
      </c>
      <c r="CPC1339" s="4" t="s">
        <v>2883</v>
      </c>
      <c r="CPD1339" s="4" t="s">
        <v>2883</v>
      </c>
      <c r="CPE1339" s="4" t="s">
        <v>2883</v>
      </c>
      <c r="CPF1339" s="4" t="s">
        <v>2883</v>
      </c>
      <c r="CPG1339" s="4" t="s">
        <v>2883</v>
      </c>
      <c r="CPH1339" s="4" t="s">
        <v>2883</v>
      </c>
      <c r="CPI1339" s="4" t="s">
        <v>2883</v>
      </c>
      <c r="CPJ1339" s="4" t="s">
        <v>2883</v>
      </c>
      <c r="CPK1339" s="4" t="s">
        <v>2883</v>
      </c>
      <c r="CPL1339" s="4" t="s">
        <v>2883</v>
      </c>
      <c r="CPM1339" s="4" t="s">
        <v>2883</v>
      </c>
      <c r="CPN1339" s="4" t="s">
        <v>2883</v>
      </c>
      <c r="CPO1339" s="4" t="s">
        <v>2883</v>
      </c>
      <c r="CPP1339" s="4" t="s">
        <v>2883</v>
      </c>
      <c r="CPQ1339" s="4" t="s">
        <v>2883</v>
      </c>
      <c r="CPR1339" s="4" t="s">
        <v>2883</v>
      </c>
      <c r="CPS1339" s="4" t="s">
        <v>2883</v>
      </c>
      <c r="CPT1339" s="4" t="s">
        <v>2883</v>
      </c>
      <c r="CPU1339" s="4" t="s">
        <v>2883</v>
      </c>
      <c r="CPV1339" s="4" t="s">
        <v>2883</v>
      </c>
      <c r="CPW1339" s="4" t="s">
        <v>2883</v>
      </c>
      <c r="CPX1339" s="4" t="s">
        <v>2883</v>
      </c>
      <c r="CPY1339" s="4" t="s">
        <v>2883</v>
      </c>
      <c r="CPZ1339" s="4" t="s">
        <v>2883</v>
      </c>
      <c r="CQA1339" s="4" t="s">
        <v>2883</v>
      </c>
      <c r="CQB1339" s="4" t="s">
        <v>2883</v>
      </c>
      <c r="CQC1339" s="4" t="s">
        <v>2883</v>
      </c>
      <c r="CQD1339" s="4" t="s">
        <v>2883</v>
      </c>
      <c r="CQE1339" s="4" t="s">
        <v>2883</v>
      </c>
      <c r="CQF1339" s="4" t="s">
        <v>2883</v>
      </c>
      <c r="CQG1339" s="4" t="s">
        <v>2883</v>
      </c>
      <c r="CQH1339" s="4" t="s">
        <v>2883</v>
      </c>
      <c r="CQI1339" s="4" t="s">
        <v>2883</v>
      </c>
      <c r="CQJ1339" s="4" t="s">
        <v>2883</v>
      </c>
      <c r="CQK1339" s="4" t="s">
        <v>2883</v>
      </c>
      <c r="CQL1339" s="4" t="s">
        <v>2883</v>
      </c>
      <c r="CQM1339" s="4" t="s">
        <v>2883</v>
      </c>
      <c r="CQN1339" s="4" t="s">
        <v>2883</v>
      </c>
      <c r="CQO1339" s="4" t="s">
        <v>2883</v>
      </c>
      <c r="CQP1339" s="4" t="s">
        <v>2883</v>
      </c>
      <c r="CQQ1339" s="4" t="s">
        <v>2883</v>
      </c>
      <c r="CQR1339" s="4" t="s">
        <v>2883</v>
      </c>
      <c r="CQS1339" s="4" t="s">
        <v>2883</v>
      </c>
      <c r="CQT1339" s="4" t="s">
        <v>2883</v>
      </c>
      <c r="CQU1339" s="4" t="s">
        <v>2883</v>
      </c>
      <c r="CQV1339" s="4" t="s">
        <v>2883</v>
      </c>
      <c r="CQW1339" s="4" t="s">
        <v>2883</v>
      </c>
      <c r="CQX1339" s="4" t="s">
        <v>2883</v>
      </c>
      <c r="CQY1339" s="4" t="s">
        <v>2883</v>
      </c>
      <c r="CQZ1339" s="4" t="s">
        <v>2883</v>
      </c>
      <c r="CRA1339" s="4" t="s">
        <v>2883</v>
      </c>
      <c r="CRB1339" s="4" t="s">
        <v>2883</v>
      </c>
      <c r="CRC1339" s="4" t="s">
        <v>2883</v>
      </c>
      <c r="CRD1339" s="4" t="s">
        <v>2883</v>
      </c>
      <c r="CRE1339" s="4" t="s">
        <v>2883</v>
      </c>
      <c r="CRF1339" s="4" t="s">
        <v>2883</v>
      </c>
      <c r="CRG1339" s="4" t="s">
        <v>2883</v>
      </c>
      <c r="CRH1339" s="4" t="s">
        <v>2883</v>
      </c>
      <c r="CRI1339" s="4" t="s">
        <v>2883</v>
      </c>
      <c r="CRJ1339" s="4" t="s">
        <v>2883</v>
      </c>
      <c r="CRK1339" s="4" t="s">
        <v>2883</v>
      </c>
      <c r="CRL1339" s="4" t="s">
        <v>2883</v>
      </c>
      <c r="CRM1339" s="4" t="s">
        <v>2883</v>
      </c>
      <c r="CRN1339" s="4" t="s">
        <v>2883</v>
      </c>
      <c r="CRO1339" s="4" t="s">
        <v>2883</v>
      </c>
      <c r="CRP1339" s="4" t="s">
        <v>2883</v>
      </c>
      <c r="CRQ1339" s="4" t="s">
        <v>2883</v>
      </c>
      <c r="CRR1339" s="4" t="s">
        <v>2883</v>
      </c>
      <c r="CRS1339" s="4" t="s">
        <v>2883</v>
      </c>
      <c r="CRT1339" s="4" t="s">
        <v>2883</v>
      </c>
      <c r="CRU1339" s="4" t="s">
        <v>2883</v>
      </c>
      <c r="CRV1339" s="4" t="s">
        <v>2883</v>
      </c>
      <c r="CRW1339" s="4" t="s">
        <v>2883</v>
      </c>
      <c r="CRX1339" s="4" t="s">
        <v>2883</v>
      </c>
      <c r="CRY1339" s="4" t="s">
        <v>2883</v>
      </c>
      <c r="CRZ1339" s="4" t="s">
        <v>2883</v>
      </c>
      <c r="CSA1339" s="4" t="s">
        <v>2883</v>
      </c>
      <c r="CSB1339" s="4" t="s">
        <v>2883</v>
      </c>
      <c r="CSC1339" s="4" t="s">
        <v>2883</v>
      </c>
      <c r="CSD1339" s="4" t="s">
        <v>2883</v>
      </c>
      <c r="CSE1339" s="4" t="s">
        <v>2883</v>
      </c>
      <c r="CSF1339" s="4" t="s">
        <v>2883</v>
      </c>
      <c r="CSG1339" s="4" t="s">
        <v>2883</v>
      </c>
      <c r="CSH1339" s="4" t="s">
        <v>2883</v>
      </c>
      <c r="CSI1339" s="4" t="s">
        <v>2883</v>
      </c>
      <c r="CSJ1339" s="4" t="s">
        <v>2883</v>
      </c>
      <c r="CSK1339" s="4" t="s">
        <v>2883</v>
      </c>
      <c r="CSL1339" s="4" t="s">
        <v>2883</v>
      </c>
      <c r="CSM1339" s="4" t="s">
        <v>2883</v>
      </c>
      <c r="CSN1339" s="4" t="s">
        <v>2883</v>
      </c>
      <c r="CSO1339" s="4" t="s">
        <v>2883</v>
      </c>
      <c r="CSP1339" s="4" t="s">
        <v>2883</v>
      </c>
      <c r="CSQ1339" s="4" t="s">
        <v>2883</v>
      </c>
      <c r="CSR1339" s="4" t="s">
        <v>2883</v>
      </c>
      <c r="CSS1339" s="4" t="s">
        <v>2883</v>
      </c>
      <c r="CST1339" s="4" t="s">
        <v>2883</v>
      </c>
      <c r="CSU1339" s="4" t="s">
        <v>2883</v>
      </c>
      <c r="CSV1339" s="4" t="s">
        <v>2883</v>
      </c>
      <c r="CSW1339" s="4" t="s">
        <v>2883</v>
      </c>
      <c r="CSX1339" s="4" t="s">
        <v>2883</v>
      </c>
      <c r="CSY1339" s="4" t="s">
        <v>2883</v>
      </c>
      <c r="CSZ1339" s="4" t="s">
        <v>2883</v>
      </c>
      <c r="CTA1339" s="4" t="s">
        <v>2883</v>
      </c>
      <c r="CTB1339" s="4" t="s">
        <v>2883</v>
      </c>
      <c r="CTC1339" s="4" t="s">
        <v>2883</v>
      </c>
      <c r="CTD1339" s="4" t="s">
        <v>2883</v>
      </c>
      <c r="CTE1339" s="4" t="s">
        <v>2883</v>
      </c>
      <c r="CTF1339" s="4" t="s">
        <v>2883</v>
      </c>
      <c r="CTG1339" s="4" t="s">
        <v>2883</v>
      </c>
      <c r="CTH1339" s="4" t="s">
        <v>2883</v>
      </c>
      <c r="CTI1339" s="4" t="s">
        <v>2883</v>
      </c>
      <c r="CTJ1339" s="4" t="s">
        <v>2883</v>
      </c>
      <c r="CTK1339" s="4" t="s">
        <v>2883</v>
      </c>
      <c r="CTL1339" s="4" t="s">
        <v>2883</v>
      </c>
      <c r="CTM1339" s="4" t="s">
        <v>2883</v>
      </c>
      <c r="CTN1339" s="4" t="s">
        <v>2883</v>
      </c>
      <c r="CTO1339" s="4" t="s">
        <v>2883</v>
      </c>
      <c r="CTP1339" s="4" t="s">
        <v>2883</v>
      </c>
      <c r="CTQ1339" s="4" t="s">
        <v>2883</v>
      </c>
      <c r="CTR1339" s="4" t="s">
        <v>2883</v>
      </c>
      <c r="CTS1339" s="4" t="s">
        <v>2883</v>
      </c>
      <c r="CTT1339" s="4" t="s">
        <v>2883</v>
      </c>
      <c r="CTU1339" s="4" t="s">
        <v>2883</v>
      </c>
      <c r="CTV1339" s="4" t="s">
        <v>2883</v>
      </c>
      <c r="CTW1339" s="4" t="s">
        <v>2883</v>
      </c>
      <c r="CTX1339" s="4" t="s">
        <v>2883</v>
      </c>
      <c r="CTY1339" s="4" t="s">
        <v>2883</v>
      </c>
      <c r="CTZ1339" s="4" t="s">
        <v>2883</v>
      </c>
      <c r="CUA1339" s="4" t="s">
        <v>2883</v>
      </c>
      <c r="CUB1339" s="4" t="s">
        <v>2883</v>
      </c>
      <c r="CUC1339" s="4" t="s">
        <v>2883</v>
      </c>
      <c r="CUD1339" s="4" t="s">
        <v>2883</v>
      </c>
      <c r="CUE1339" s="4" t="s">
        <v>2883</v>
      </c>
      <c r="CUF1339" s="4" t="s">
        <v>2883</v>
      </c>
      <c r="CUG1339" s="4" t="s">
        <v>2883</v>
      </c>
      <c r="CUH1339" s="4" t="s">
        <v>2883</v>
      </c>
      <c r="CUI1339" s="4" t="s">
        <v>2883</v>
      </c>
      <c r="CUJ1339" s="4" t="s">
        <v>2883</v>
      </c>
      <c r="CUK1339" s="4" t="s">
        <v>2883</v>
      </c>
      <c r="CUL1339" s="4" t="s">
        <v>2883</v>
      </c>
      <c r="CUM1339" s="4" t="s">
        <v>2883</v>
      </c>
      <c r="CUN1339" s="4" t="s">
        <v>2883</v>
      </c>
      <c r="CUO1339" s="4" t="s">
        <v>2883</v>
      </c>
      <c r="CUP1339" s="4" t="s">
        <v>2883</v>
      </c>
      <c r="CUQ1339" s="4" t="s">
        <v>2883</v>
      </c>
      <c r="CUR1339" s="4" t="s">
        <v>2883</v>
      </c>
      <c r="CUS1339" s="4" t="s">
        <v>2883</v>
      </c>
      <c r="CUT1339" s="4" t="s">
        <v>2883</v>
      </c>
      <c r="CUU1339" s="4" t="s">
        <v>2883</v>
      </c>
      <c r="CUV1339" s="4" t="s">
        <v>2883</v>
      </c>
      <c r="CUW1339" s="4" t="s">
        <v>2883</v>
      </c>
      <c r="CUX1339" s="4" t="s">
        <v>2883</v>
      </c>
      <c r="CUY1339" s="4" t="s">
        <v>2883</v>
      </c>
      <c r="CUZ1339" s="4" t="s">
        <v>2883</v>
      </c>
      <c r="CVA1339" s="4" t="s">
        <v>2883</v>
      </c>
      <c r="CVB1339" s="4" t="s">
        <v>2883</v>
      </c>
      <c r="CVC1339" s="4" t="s">
        <v>2883</v>
      </c>
      <c r="CVD1339" s="4" t="s">
        <v>2883</v>
      </c>
      <c r="CVE1339" s="4" t="s">
        <v>2883</v>
      </c>
      <c r="CVF1339" s="4" t="s">
        <v>2883</v>
      </c>
      <c r="CVG1339" s="4" t="s">
        <v>2883</v>
      </c>
      <c r="CVH1339" s="4" t="s">
        <v>2883</v>
      </c>
      <c r="CVI1339" s="4" t="s">
        <v>2883</v>
      </c>
      <c r="CVJ1339" s="4" t="s">
        <v>2883</v>
      </c>
      <c r="CVK1339" s="4" t="s">
        <v>2883</v>
      </c>
      <c r="CVL1339" s="4" t="s">
        <v>2883</v>
      </c>
      <c r="CVM1339" s="4" t="s">
        <v>2883</v>
      </c>
      <c r="CVN1339" s="4" t="s">
        <v>2883</v>
      </c>
      <c r="CVO1339" s="4" t="s">
        <v>2883</v>
      </c>
      <c r="CVP1339" s="4" t="s">
        <v>2883</v>
      </c>
      <c r="CVQ1339" s="4" t="s">
        <v>2883</v>
      </c>
      <c r="CVR1339" s="4" t="s">
        <v>2883</v>
      </c>
      <c r="CVS1339" s="4" t="s">
        <v>2883</v>
      </c>
      <c r="CVT1339" s="4" t="s">
        <v>2883</v>
      </c>
      <c r="CVU1339" s="4" t="s">
        <v>2883</v>
      </c>
      <c r="CVV1339" s="4" t="s">
        <v>2883</v>
      </c>
      <c r="CVW1339" s="4" t="s">
        <v>2883</v>
      </c>
      <c r="CVX1339" s="4" t="s">
        <v>2883</v>
      </c>
      <c r="CVY1339" s="4" t="s">
        <v>2883</v>
      </c>
      <c r="CVZ1339" s="4" t="s">
        <v>2883</v>
      </c>
      <c r="CWA1339" s="4" t="s">
        <v>2883</v>
      </c>
      <c r="CWB1339" s="4" t="s">
        <v>2883</v>
      </c>
      <c r="CWC1339" s="4" t="s">
        <v>2883</v>
      </c>
      <c r="CWD1339" s="4" t="s">
        <v>2883</v>
      </c>
      <c r="CWE1339" s="4" t="s">
        <v>2883</v>
      </c>
      <c r="CWF1339" s="4" t="s">
        <v>2883</v>
      </c>
      <c r="CWG1339" s="4" t="s">
        <v>2883</v>
      </c>
      <c r="CWH1339" s="4" t="s">
        <v>2883</v>
      </c>
      <c r="CWI1339" s="4" t="s">
        <v>2883</v>
      </c>
      <c r="CWJ1339" s="4" t="s">
        <v>2883</v>
      </c>
      <c r="CWK1339" s="4" t="s">
        <v>2883</v>
      </c>
      <c r="CWL1339" s="4" t="s">
        <v>2883</v>
      </c>
      <c r="CWM1339" s="4" t="s">
        <v>2883</v>
      </c>
      <c r="CWN1339" s="4" t="s">
        <v>2883</v>
      </c>
      <c r="CWO1339" s="4" t="s">
        <v>2883</v>
      </c>
      <c r="CWP1339" s="4" t="s">
        <v>2883</v>
      </c>
      <c r="CWQ1339" s="4" t="s">
        <v>2883</v>
      </c>
      <c r="CWR1339" s="4" t="s">
        <v>2883</v>
      </c>
      <c r="CWS1339" s="4" t="s">
        <v>2883</v>
      </c>
      <c r="CWT1339" s="4" t="s">
        <v>2883</v>
      </c>
      <c r="CWU1339" s="4" t="s">
        <v>2883</v>
      </c>
      <c r="CWV1339" s="4" t="s">
        <v>2883</v>
      </c>
      <c r="CWW1339" s="4" t="s">
        <v>2883</v>
      </c>
      <c r="CWX1339" s="4" t="s">
        <v>2883</v>
      </c>
      <c r="CWY1339" s="4" t="s">
        <v>2883</v>
      </c>
      <c r="CWZ1339" s="4" t="s">
        <v>2883</v>
      </c>
      <c r="CXA1339" s="4" t="s">
        <v>2883</v>
      </c>
      <c r="CXB1339" s="4" t="s">
        <v>2883</v>
      </c>
      <c r="CXC1339" s="4" t="s">
        <v>2883</v>
      </c>
      <c r="CXD1339" s="4" t="s">
        <v>2883</v>
      </c>
      <c r="CXE1339" s="4" t="s">
        <v>2883</v>
      </c>
      <c r="CXF1339" s="4" t="s">
        <v>2883</v>
      </c>
      <c r="CXG1339" s="4" t="s">
        <v>2883</v>
      </c>
      <c r="CXH1339" s="4" t="s">
        <v>2883</v>
      </c>
      <c r="CXI1339" s="4" t="s">
        <v>2883</v>
      </c>
      <c r="CXJ1339" s="4" t="s">
        <v>2883</v>
      </c>
      <c r="CXK1339" s="4" t="s">
        <v>2883</v>
      </c>
      <c r="CXL1339" s="4" t="s">
        <v>2883</v>
      </c>
      <c r="CXM1339" s="4" t="s">
        <v>2883</v>
      </c>
      <c r="CXN1339" s="4" t="s">
        <v>2883</v>
      </c>
      <c r="CXO1339" s="4" t="s">
        <v>2883</v>
      </c>
      <c r="CXP1339" s="4" t="s">
        <v>2883</v>
      </c>
      <c r="CXQ1339" s="4" t="s">
        <v>2883</v>
      </c>
      <c r="CXR1339" s="4" t="s">
        <v>2883</v>
      </c>
      <c r="CXS1339" s="4" t="s">
        <v>2883</v>
      </c>
      <c r="CXT1339" s="4" t="s">
        <v>2883</v>
      </c>
      <c r="CXU1339" s="4" t="s">
        <v>2883</v>
      </c>
      <c r="CXV1339" s="4" t="s">
        <v>2883</v>
      </c>
      <c r="CXW1339" s="4" t="s">
        <v>2883</v>
      </c>
      <c r="CXX1339" s="4" t="s">
        <v>2883</v>
      </c>
      <c r="CXY1339" s="4" t="s">
        <v>2883</v>
      </c>
      <c r="CXZ1339" s="4" t="s">
        <v>2883</v>
      </c>
      <c r="CYA1339" s="4" t="s">
        <v>2883</v>
      </c>
      <c r="CYB1339" s="4" t="s">
        <v>2883</v>
      </c>
      <c r="CYC1339" s="4" t="s">
        <v>2883</v>
      </c>
      <c r="CYD1339" s="4" t="s">
        <v>2883</v>
      </c>
      <c r="CYE1339" s="4" t="s">
        <v>2883</v>
      </c>
      <c r="CYF1339" s="4" t="s">
        <v>2883</v>
      </c>
      <c r="CYG1339" s="4" t="s">
        <v>2883</v>
      </c>
      <c r="CYH1339" s="4" t="s">
        <v>2883</v>
      </c>
      <c r="CYI1339" s="4" t="s">
        <v>2883</v>
      </c>
      <c r="CYJ1339" s="4" t="s">
        <v>2883</v>
      </c>
      <c r="CYK1339" s="4" t="s">
        <v>2883</v>
      </c>
      <c r="CYL1339" s="4" t="s">
        <v>2883</v>
      </c>
      <c r="CYM1339" s="4" t="s">
        <v>2883</v>
      </c>
      <c r="CYN1339" s="4" t="s">
        <v>2883</v>
      </c>
      <c r="CYO1339" s="4" t="s">
        <v>2883</v>
      </c>
      <c r="CYP1339" s="4" t="s">
        <v>2883</v>
      </c>
      <c r="CYQ1339" s="4" t="s">
        <v>2883</v>
      </c>
      <c r="CYR1339" s="4" t="s">
        <v>2883</v>
      </c>
      <c r="CYS1339" s="4" t="s">
        <v>2883</v>
      </c>
      <c r="CYT1339" s="4" t="s">
        <v>2883</v>
      </c>
      <c r="CYU1339" s="4" t="s">
        <v>2883</v>
      </c>
      <c r="CYV1339" s="4" t="s">
        <v>2883</v>
      </c>
      <c r="CYW1339" s="4" t="s">
        <v>2883</v>
      </c>
      <c r="CYX1339" s="4" t="s">
        <v>2883</v>
      </c>
      <c r="CYY1339" s="4" t="s">
        <v>2883</v>
      </c>
      <c r="CYZ1339" s="4" t="s">
        <v>2883</v>
      </c>
      <c r="CZA1339" s="4" t="s">
        <v>2883</v>
      </c>
      <c r="CZB1339" s="4" t="s">
        <v>2883</v>
      </c>
      <c r="CZC1339" s="4" t="s">
        <v>2883</v>
      </c>
      <c r="CZD1339" s="4" t="s">
        <v>2883</v>
      </c>
      <c r="CZE1339" s="4" t="s">
        <v>2883</v>
      </c>
      <c r="CZF1339" s="4" t="s">
        <v>2883</v>
      </c>
      <c r="CZG1339" s="4" t="s">
        <v>2883</v>
      </c>
      <c r="CZH1339" s="4" t="s">
        <v>2883</v>
      </c>
      <c r="CZI1339" s="4" t="s">
        <v>2883</v>
      </c>
      <c r="CZJ1339" s="4" t="s">
        <v>2883</v>
      </c>
      <c r="CZK1339" s="4" t="s">
        <v>2883</v>
      </c>
      <c r="CZL1339" s="4" t="s">
        <v>2883</v>
      </c>
      <c r="CZM1339" s="4" t="s">
        <v>2883</v>
      </c>
      <c r="CZN1339" s="4" t="s">
        <v>2883</v>
      </c>
      <c r="CZO1339" s="4" t="s">
        <v>2883</v>
      </c>
      <c r="CZP1339" s="4" t="s">
        <v>2883</v>
      </c>
      <c r="CZQ1339" s="4" t="s">
        <v>2883</v>
      </c>
      <c r="CZR1339" s="4" t="s">
        <v>2883</v>
      </c>
      <c r="CZS1339" s="4" t="s">
        <v>2883</v>
      </c>
      <c r="CZT1339" s="4" t="s">
        <v>2883</v>
      </c>
      <c r="CZU1339" s="4" t="s">
        <v>2883</v>
      </c>
      <c r="CZV1339" s="4" t="s">
        <v>2883</v>
      </c>
      <c r="CZW1339" s="4" t="s">
        <v>2883</v>
      </c>
      <c r="CZX1339" s="4" t="s">
        <v>2883</v>
      </c>
      <c r="CZY1339" s="4" t="s">
        <v>2883</v>
      </c>
      <c r="CZZ1339" s="4" t="s">
        <v>2883</v>
      </c>
      <c r="DAA1339" s="4" t="s">
        <v>2883</v>
      </c>
      <c r="DAB1339" s="4" t="s">
        <v>2883</v>
      </c>
      <c r="DAC1339" s="4" t="s">
        <v>2883</v>
      </c>
      <c r="DAD1339" s="4" t="s">
        <v>2883</v>
      </c>
      <c r="DAE1339" s="4" t="s">
        <v>2883</v>
      </c>
      <c r="DAF1339" s="4" t="s">
        <v>2883</v>
      </c>
      <c r="DAG1339" s="4" t="s">
        <v>2883</v>
      </c>
      <c r="DAH1339" s="4" t="s">
        <v>2883</v>
      </c>
      <c r="DAI1339" s="4" t="s">
        <v>2883</v>
      </c>
      <c r="DAJ1339" s="4" t="s">
        <v>2883</v>
      </c>
      <c r="DAK1339" s="4" t="s">
        <v>2883</v>
      </c>
      <c r="DAL1339" s="4" t="s">
        <v>2883</v>
      </c>
      <c r="DAM1339" s="4" t="s">
        <v>2883</v>
      </c>
      <c r="DAN1339" s="4" t="s">
        <v>2883</v>
      </c>
      <c r="DAO1339" s="4" t="s">
        <v>2883</v>
      </c>
      <c r="DAP1339" s="4" t="s">
        <v>2883</v>
      </c>
      <c r="DAQ1339" s="4" t="s">
        <v>2883</v>
      </c>
      <c r="DAR1339" s="4" t="s">
        <v>2883</v>
      </c>
      <c r="DAS1339" s="4" t="s">
        <v>2883</v>
      </c>
      <c r="DAT1339" s="4" t="s">
        <v>2883</v>
      </c>
      <c r="DAU1339" s="4" t="s">
        <v>2883</v>
      </c>
      <c r="DAV1339" s="4" t="s">
        <v>2883</v>
      </c>
      <c r="DAW1339" s="4" t="s">
        <v>2883</v>
      </c>
      <c r="DAX1339" s="4" t="s">
        <v>2883</v>
      </c>
      <c r="DAY1339" s="4" t="s">
        <v>2883</v>
      </c>
      <c r="DAZ1339" s="4" t="s">
        <v>2883</v>
      </c>
      <c r="DBA1339" s="4" t="s">
        <v>2883</v>
      </c>
      <c r="DBB1339" s="4" t="s">
        <v>2883</v>
      </c>
      <c r="DBC1339" s="4" t="s">
        <v>2883</v>
      </c>
      <c r="DBD1339" s="4" t="s">
        <v>2883</v>
      </c>
      <c r="DBE1339" s="4" t="s">
        <v>2883</v>
      </c>
      <c r="DBF1339" s="4" t="s">
        <v>2883</v>
      </c>
      <c r="DBG1339" s="4" t="s">
        <v>2883</v>
      </c>
      <c r="DBH1339" s="4" t="s">
        <v>2883</v>
      </c>
      <c r="DBI1339" s="4" t="s">
        <v>2883</v>
      </c>
      <c r="DBJ1339" s="4" t="s">
        <v>2883</v>
      </c>
      <c r="DBK1339" s="4" t="s">
        <v>2883</v>
      </c>
      <c r="DBL1339" s="4" t="s">
        <v>2883</v>
      </c>
      <c r="DBM1339" s="4" t="s">
        <v>2883</v>
      </c>
      <c r="DBN1339" s="4" t="s">
        <v>2883</v>
      </c>
      <c r="DBO1339" s="4" t="s">
        <v>2883</v>
      </c>
      <c r="DBP1339" s="4" t="s">
        <v>2883</v>
      </c>
      <c r="DBQ1339" s="4" t="s">
        <v>2883</v>
      </c>
      <c r="DBR1339" s="4" t="s">
        <v>2883</v>
      </c>
      <c r="DBS1339" s="4" t="s">
        <v>2883</v>
      </c>
      <c r="DBT1339" s="4" t="s">
        <v>2883</v>
      </c>
      <c r="DBU1339" s="4" t="s">
        <v>2883</v>
      </c>
      <c r="DBV1339" s="4" t="s">
        <v>2883</v>
      </c>
      <c r="DBW1339" s="4" t="s">
        <v>2883</v>
      </c>
      <c r="DBX1339" s="4" t="s">
        <v>2883</v>
      </c>
      <c r="DBY1339" s="4" t="s">
        <v>2883</v>
      </c>
      <c r="DBZ1339" s="4" t="s">
        <v>2883</v>
      </c>
      <c r="DCA1339" s="4" t="s">
        <v>2883</v>
      </c>
      <c r="DCB1339" s="4" t="s">
        <v>2883</v>
      </c>
      <c r="DCC1339" s="4" t="s">
        <v>2883</v>
      </c>
      <c r="DCD1339" s="4" t="s">
        <v>2883</v>
      </c>
      <c r="DCE1339" s="4" t="s">
        <v>2883</v>
      </c>
      <c r="DCF1339" s="4" t="s">
        <v>2883</v>
      </c>
      <c r="DCG1339" s="4" t="s">
        <v>2883</v>
      </c>
      <c r="DCH1339" s="4" t="s">
        <v>2883</v>
      </c>
      <c r="DCI1339" s="4" t="s">
        <v>2883</v>
      </c>
      <c r="DCJ1339" s="4" t="s">
        <v>2883</v>
      </c>
      <c r="DCK1339" s="4" t="s">
        <v>2883</v>
      </c>
      <c r="DCL1339" s="4" t="s">
        <v>2883</v>
      </c>
      <c r="DCM1339" s="4" t="s">
        <v>2883</v>
      </c>
      <c r="DCN1339" s="4" t="s">
        <v>2883</v>
      </c>
      <c r="DCO1339" s="4" t="s">
        <v>2883</v>
      </c>
      <c r="DCP1339" s="4" t="s">
        <v>2883</v>
      </c>
      <c r="DCQ1339" s="4" t="s">
        <v>2883</v>
      </c>
      <c r="DCR1339" s="4" t="s">
        <v>2883</v>
      </c>
      <c r="DCS1339" s="4" t="s">
        <v>2883</v>
      </c>
      <c r="DCT1339" s="4" t="s">
        <v>2883</v>
      </c>
      <c r="DCU1339" s="4" t="s">
        <v>2883</v>
      </c>
      <c r="DCV1339" s="4" t="s">
        <v>2883</v>
      </c>
      <c r="DCW1339" s="4" t="s">
        <v>2883</v>
      </c>
      <c r="DCX1339" s="4" t="s">
        <v>2883</v>
      </c>
      <c r="DCY1339" s="4" t="s">
        <v>2883</v>
      </c>
      <c r="DCZ1339" s="4" t="s">
        <v>2883</v>
      </c>
      <c r="DDA1339" s="4" t="s">
        <v>2883</v>
      </c>
      <c r="DDB1339" s="4" t="s">
        <v>2883</v>
      </c>
      <c r="DDC1339" s="4" t="s">
        <v>2883</v>
      </c>
      <c r="DDD1339" s="4" t="s">
        <v>2883</v>
      </c>
      <c r="DDE1339" s="4" t="s">
        <v>2883</v>
      </c>
      <c r="DDF1339" s="4" t="s">
        <v>2883</v>
      </c>
      <c r="DDG1339" s="4" t="s">
        <v>2883</v>
      </c>
      <c r="DDH1339" s="4" t="s">
        <v>2883</v>
      </c>
      <c r="DDI1339" s="4" t="s">
        <v>2883</v>
      </c>
      <c r="DDJ1339" s="4" t="s">
        <v>2883</v>
      </c>
      <c r="DDK1339" s="4" t="s">
        <v>2883</v>
      </c>
      <c r="DDL1339" s="4" t="s">
        <v>2883</v>
      </c>
      <c r="DDM1339" s="4" t="s">
        <v>2883</v>
      </c>
      <c r="DDN1339" s="4" t="s">
        <v>2883</v>
      </c>
      <c r="DDO1339" s="4" t="s">
        <v>2883</v>
      </c>
      <c r="DDP1339" s="4" t="s">
        <v>2883</v>
      </c>
      <c r="DDQ1339" s="4" t="s">
        <v>2883</v>
      </c>
      <c r="DDR1339" s="4" t="s">
        <v>2883</v>
      </c>
      <c r="DDS1339" s="4" t="s">
        <v>2883</v>
      </c>
      <c r="DDT1339" s="4" t="s">
        <v>2883</v>
      </c>
      <c r="DDU1339" s="4" t="s">
        <v>2883</v>
      </c>
      <c r="DDV1339" s="4" t="s">
        <v>2883</v>
      </c>
      <c r="DDW1339" s="4" t="s">
        <v>2883</v>
      </c>
      <c r="DDX1339" s="4" t="s">
        <v>2883</v>
      </c>
      <c r="DDY1339" s="4" t="s">
        <v>2883</v>
      </c>
      <c r="DDZ1339" s="4" t="s">
        <v>2883</v>
      </c>
      <c r="DEA1339" s="4" t="s">
        <v>2883</v>
      </c>
      <c r="DEB1339" s="4" t="s">
        <v>2883</v>
      </c>
      <c r="DEC1339" s="4" t="s">
        <v>2883</v>
      </c>
      <c r="DED1339" s="4" t="s">
        <v>2883</v>
      </c>
      <c r="DEE1339" s="4" t="s">
        <v>2883</v>
      </c>
      <c r="DEF1339" s="4" t="s">
        <v>2883</v>
      </c>
      <c r="DEG1339" s="4" t="s">
        <v>2883</v>
      </c>
      <c r="DEH1339" s="4" t="s">
        <v>2883</v>
      </c>
      <c r="DEI1339" s="4" t="s">
        <v>2883</v>
      </c>
      <c r="DEJ1339" s="4" t="s">
        <v>2883</v>
      </c>
      <c r="DEK1339" s="4" t="s">
        <v>2883</v>
      </c>
      <c r="DEL1339" s="4" t="s">
        <v>2883</v>
      </c>
      <c r="DEM1339" s="4" t="s">
        <v>2883</v>
      </c>
      <c r="DEN1339" s="4" t="s">
        <v>2883</v>
      </c>
      <c r="DEO1339" s="4" t="s">
        <v>2883</v>
      </c>
      <c r="DEP1339" s="4" t="s">
        <v>2883</v>
      </c>
      <c r="DEQ1339" s="4" t="s">
        <v>2883</v>
      </c>
      <c r="DER1339" s="4" t="s">
        <v>2883</v>
      </c>
      <c r="DES1339" s="4" t="s">
        <v>2883</v>
      </c>
      <c r="DET1339" s="4" t="s">
        <v>2883</v>
      </c>
      <c r="DEU1339" s="4" t="s">
        <v>2883</v>
      </c>
      <c r="DEV1339" s="4" t="s">
        <v>2883</v>
      </c>
      <c r="DEW1339" s="4" t="s">
        <v>2883</v>
      </c>
      <c r="DEX1339" s="4" t="s">
        <v>2883</v>
      </c>
      <c r="DEY1339" s="4" t="s">
        <v>2883</v>
      </c>
      <c r="DEZ1339" s="4" t="s">
        <v>2883</v>
      </c>
      <c r="DFA1339" s="4" t="s">
        <v>2883</v>
      </c>
      <c r="DFB1339" s="4" t="s">
        <v>2883</v>
      </c>
      <c r="DFC1339" s="4" t="s">
        <v>2883</v>
      </c>
      <c r="DFD1339" s="4" t="s">
        <v>2883</v>
      </c>
      <c r="DFE1339" s="4" t="s">
        <v>2883</v>
      </c>
      <c r="DFF1339" s="4" t="s">
        <v>2883</v>
      </c>
      <c r="DFG1339" s="4" t="s">
        <v>2883</v>
      </c>
      <c r="DFH1339" s="4" t="s">
        <v>2883</v>
      </c>
      <c r="DFI1339" s="4" t="s">
        <v>2883</v>
      </c>
      <c r="DFJ1339" s="4" t="s">
        <v>2883</v>
      </c>
      <c r="DFK1339" s="4" t="s">
        <v>2883</v>
      </c>
      <c r="DFL1339" s="4" t="s">
        <v>2883</v>
      </c>
      <c r="DFM1339" s="4" t="s">
        <v>2883</v>
      </c>
      <c r="DFN1339" s="4" t="s">
        <v>2883</v>
      </c>
      <c r="DFO1339" s="4" t="s">
        <v>2883</v>
      </c>
      <c r="DFP1339" s="4" t="s">
        <v>2883</v>
      </c>
      <c r="DFQ1339" s="4" t="s">
        <v>2883</v>
      </c>
      <c r="DFR1339" s="4" t="s">
        <v>2883</v>
      </c>
      <c r="DFS1339" s="4" t="s">
        <v>2883</v>
      </c>
      <c r="DFT1339" s="4" t="s">
        <v>2883</v>
      </c>
      <c r="DFU1339" s="4" t="s">
        <v>2883</v>
      </c>
      <c r="DFV1339" s="4" t="s">
        <v>2883</v>
      </c>
      <c r="DFW1339" s="4" t="s">
        <v>2883</v>
      </c>
      <c r="DFX1339" s="4" t="s">
        <v>2883</v>
      </c>
      <c r="DFY1339" s="4" t="s">
        <v>2883</v>
      </c>
      <c r="DFZ1339" s="4" t="s">
        <v>2883</v>
      </c>
      <c r="DGA1339" s="4" t="s">
        <v>2883</v>
      </c>
      <c r="DGB1339" s="4" t="s">
        <v>2883</v>
      </c>
      <c r="DGC1339" s="4" t="s">
        <v>2883</v>
      </c>
      <c r="DGD1339" s="4" t="s">
        <v>2883</v>
      </c>
      <c r="DGE1339" s="4" t="s">
        <v>2883</v>
      </c>
      <c r="DGF1339" s="4" t="s">
        <v>2883</v>
      </c>
      <c r="DGG1339" s="4" t="s">
        <v>2883</v>
      </c>
      <c r="DGH1339" s="4" t="s">
        <v>2883</v>
      </c>
      <c r="DGI1339" s="4" t="s">
        <v>2883</v>
      </c>
      <c r="DGJ1339" s="4" t="s">
        <v>2883</v>
      </c>
      <c r="DGK1339" s="4" t="s">
        <v>2883</v>
      </c>
      <c r="DGL1339" s="4" t="s">
        <v>2883</v>
      </c>
      <c r="DGM1339" s="4" t="s">
        <v>2883</v>
      </c>
      <c r="DGN1339" s="4" t="s">
        <v>2883</v>
      </c>
      <c r="DGO1339" s="4" t="s">
        <v>2883</v>
      </c>
      <c r="DGP1339" s="4" t="s">
        <v>2883</v>
      </c>
      <c r="DGQ1339" s="4" t="s">
        <v>2883</v>
      </c>
      <c r="DGR1339" s="4" t="s">
        <v>2883</v>
      </c>
      <c r="DGS1339" s="4" t="s">
        <v>2883</v>
      </c>
      <c r="DGT1339" s="4" t="s">
        <v>2883</v>
      </c>
      <c r="DGU1339" s="4" t="s">
        <v>2883</v>
      </c>
      <c r="DGV1339" s="4" t="s">
        <v>2883</v>
      </c>
      <c r="DGW1339" s="4" t="s">
        <v>2883</v>
      </c>
      <c r="DGX1339" s="4" t="s">
        <v>2883</v>
      </c>
      <c r="DGY1339" s="4" t="s">
        <v>2883</v>
      </c>
      <c r="DGZ1339" s="4" t="s">
        <v>2883</v>
      </c>
      <c r="DHA1339" s="4" t="s">
        <v>2883</v>
      </c>
      <c r="DHB1339" s="4" t="s">
        <v>2883</v>
      </c>
      <c r="DHC1339" s="4" t="s">
        <v>2883</v>
      </c>
      <c r="DHD1339" s="4" t="s">
        <v>2883</v>
      </c>
      <c r="DHE1339" s="4" t="s">
        <v>2883</v>
      </c>
      <c r="DHF1339" s="4" t="s">
        <v>2883</v>
      </c>
      <c r="DHG1339" s="4" t="s">
        <v>2883</v>
      </c>
      <c r="DHH1339" s="4" t="s">
        <v>2883</v>
      </c>
      <c r="DHI1339" s="4" t="s">
        <v>2883</v>
      </c>
      <c r="DHJ1339" s="4" t="s">
        <v>2883</v>
      </c>
      <c r="DHK1339" s="4" t="s">
        <v>2883</v>
      </c>
      <c r="DHL1339" s="4" t="s">
        <v>2883</v>
      </c>
      <c r="DHM1339" s="4" t="s">
        <v>2883</v>
      </c>
      <c r="DHN1339" s="4" t="s">
        <v>2883</v>
      </c>
      <c r="DHO1339" s="4" t="s">
        <v>2883</v>
      </c>
      <c r="DHP1339" s="4" t="s">
        <v>2883</v>
      </c>
      <c r="DHQ1339" s="4" t="s">
        <v>2883</v>
      </c>
      <c r="DHR1339" s="4" t="s">
        <v>2883</v>
      </c>
      <c r="DHS1339" s="4" t="s">
        <v>2883</v>
      </c>
      <c r="DHT1339" s="4" t="s">
        <v>2883</v>
      </c>
      <c r="DHU1339" s="4" t="s">
        <v>2883</v>
      </c>
      <c r="DHV1339" s="4" t="s">
        <v>2883</v>
      </c>
      <c r="DHW1339" s="4" t="s">
        <v>2883</v>
      </c>
      <c r="DHX1339" s="4" t="s">
        <v>2883</v>
      </c>
      <c r="DHY1339" s="4" t="s">
        <v>2883</v>
      </c>
      <c r="DHZ1339" s="4" t="s">
        <v>2883</v>
      </c>
      <c r="DIA1339" s="4" t="s">
        <v>2883</v>
      </c>
      <c r="DIB1339" s="4" t="s">
        <v>2883</v>
      </c>
      <c r="DIC1339" s="4" t="s">
        <v>2883</v>
      </c>
      <c r="DID1339" s="4" t="s">
        <v>2883</v>
      </c>
      <c r="DIE1339" s="4" t="s">
        <v>2883</v>
      </c>
      <c r="DIF1339" s="4" t="s">
        <v>2883</v>
      </c>
      <c r="DIG1339" s="4" t="s">
        <v>2883</v>
      </c>
      <c r="DIH1339" s="4" t="s">
        <v>2883</v>
      </c>
      <c r="DII1339" s="4" t="s">
        <v>2883</v>
      </c>
      <c r="DIJ1339" s="4" t="s">
        <v>2883</v>
      </c>
      <c r="DIK1339" s="4" t="s">
        <v>2883</v>
      </c>
      <c r="DIL1339" s="4" t="s">
        <v>2883</v>
      </c>
      <c r="DIM1339" s="4" t="s">
        <v>2883</v>
      </c>
      <c r="DIN1339" s="4" t="s">
        <v>2883</v>
      </c>
      <c r="DIO1339" s="4" t="s">
        <v>2883</v>
      </c>
      <c r="DIP1339" s="4" t="s">
        <v>2883</v>
      </c>
      <c r="DIQ1339" s="4" t="s">
        <v>2883</v>
      </c>
      <c r="DIR1339" s="4" t="s">
        <v>2883</v>
      </c>
      <c r="DIS1339" s="4" t="s">
        <v>2883</v>
      </c>
      <c r="DIT1339" s="4" t="s">
        <v>2883</v>
      </c>
      <c r="DIU1339" s="4" t="s">
        <v>2883</v>
      </c>
      <c r="DIV1339" s="4" t="s">
        <v>2883</v>
      </c>
      <c r="DIW1339" s="4" t="s">
        <v>2883</v>
      </c>
      <c r="DIX1339" s="4" t="s">
        <v>2883</v>
      </c>
      <c r="DIY1339" s="4" t="s">
        <v>2883</v>
      </c>
      <c r="DIZ1339" s="4" t="s">
        <v>2883</v>
      </c>
      <c r="DJA1339" s="4" t="s">
        <v>2883</v>
      </c>
      <c r="DJB1339" s="4" t="s">
        <v>2883</v>
      </c>
      <c r="DJC1339" s="4" t="s">
        <v>2883</v>
      </c>
      <c r="DJD1339" s="4" t="s">
        <v>2883</v>
      </c>
      <c r="DJE1339" s="4" t="s">
        <v>2883</v>
      </c>
      <c r="DJF1339" s="4" t="s">
        <v>2883</v>
      </c>
      <c r="DJG1339" s="4" t="s">
        <v>2883</v>
      </c>
      <c r="DJH1339" s="4" t="s">
        <v>2883</v>
      </c>
      <c r="DJI1339" s="4" t="s">
        <v>2883</v>
      </c>
      <c r="DJJ1339" s="4" t="s">
        <v>2883</v>
      </c>
      <c r="DJK1339" s="4" t="s">
        <v>2883</v>
      </c>
      <c r="DJL1339" s="4" t="s">
        <v>2883</v>
      </c>
      <c r="DJM1339" s="4" t="s">
        <v>2883</v>
      </c>
      <c r="DJN1339" s="4" t="s">
        <v>2883</v>
      </c>
      <c r="DJO1339" s="4" t="s">
        <v>2883</v>
      </c>
      <c r="DJP1339" s="4" t="s">
        <v>2883</v>
      </c>
      <c r="DJQ1339" s="4" t="s">
        <v>2883</v>
      </c>
      <c r="DJR1339" s="4" t="s">
        <v>2883</v>
      </c>
      <c r="DJS1339" s="4" t="s">
        <v>2883</v>
      </c>
      <c r="DJT1339" s="4" t="s">
        <v>2883</v>
      </c>
      <c r="DJU1339" s="4" t="s">
        <v>2883</v>
      </c>
      <c r="DJV1339" s="4" t="s">
        <v>2883</v>
      </c>
      <c r="DJW1339" s="4" t="s">
        <v>2883</v>
      </c>
      <c r="DJX1339" s="4" t="s">
        <v>2883</v>
      </c>
      <c r="DJY1339" s="4" t="s">
        <v>2883</v>
      </c>
      <c r="DJZ1339" s="4" t="s">
        <v>2883</v>
      </c>
      <c r="DKA1339" s="4" t="s">
        <v>2883</v>
      </c>
      <c r="DKB1339" s="4" t="s">
        <v>2883</v>
      </c>
      <c r="DKC1339" s="4" t="s">
        <v>2883</v>
      </c>
      <c r="DKD1339" s="4" t="s">
        <v>2883</v>
      </c>
      <c r="DKE1339" s="4" t="s">
        <v>2883</v>
      </c>
      <c r="DKF1339" s="4" t="s">
        <v>2883</v>
      </c>
      <c r="DKG1339" s="4" t="s">
        <v>2883</v>
      </c>
      <c r="DKH1339" s="4" t="s">
        <v>2883</v>
      </c>
      <c r="DKI1339" s="4" t="s">
        <v>2883</v>
      </c>
      <c r="DKJ1339" s="4" t="s">
        <v>2883</v>
      </c>
      <c r="DKK1339" s="4" t="s">
        <v>2883</v>
      </c>
      <c r="DKL1339" s="4" t="s">
        <v>2883</v>
      </c>
      <c r="DKM1339" s="4" t="s">
        <v>2883</v>
      </c>
      <c r="DKN1339" s="4" t="s">
        <v>2883</v>
      </c>
      <c r="DKO1339" s="4" t="s">
        <v>2883</v>
      </c>
      <c r="DKP1339" s="4" t="s">
        <v>2883</v>
      </c>
      <c r="DKQ1339" s="4" t="s">
        <v>2883</v>
      </c>
      <c r="DKR1339" s="4" t="s">
        <v>2883</v>
      </c>
      <c r="DKS1339" s="4" t="s">
        <v>2883</v>
      </c>
      <c r="DKT1339" s="4" t="s">
        <v>2883</v>
      </c>
      <c r="DKU1339" s="4" t="s">
        <v>2883</v>
      </c>
      <c r="DKV1339" s="4" t="s">
        <v>2883</v>
      </c>
      <c r="DKW1339" s="4" t="s">
        <v>2883</v>
      </c>
      <c r="DKX1339" s="4" t="s">
        <v>2883</v>
      </c>
      <c r="DKY1339" s="4" t="s">
        <v>2883</v>
      </c>
      <c r="DKZ1339" s="4" t="s">
        <v>2883</v>
      </c>
      <c r="DLA1339" s="4" t="s">
        <v>2883</v>
      </c>
      <c r="DLB1339" s="4" t="s">
        <v>2883</v>
      </c>
      <c r="DLC1339" s="4" t="s">
        <v>2883</v>
      </c>
      <c r="DLD1339" s="4" t="s">
        <v>2883</v>
      </c>
      <c r="DLE1339" s="4" t="s">
        <v>2883</v>
      </c>
      <c r="DLF1339" s="4" t="s">
        <v>2883</v>
      </c>
      <c r="DLG1339" s="4" t="s">
        <v>2883</v>
      </c>
      <c r="DLH1339" s="4" t="s">
        <v>2883</v>
      </c>
      <c r="DLI1339" s="4" t="s">
        <v>2883</v>
      </c>
      <c r="DLJ1339" s="4" t="s">
        <v>2883</v>
      </c>
      <c r="DLK1339" s="4" t="s">
        <v>2883</v>
      </c>
      <c r="DLL1339" s="4" t="s">
        <v>2883</v>
      </c>
      <c r="DLM1339" s="4" t="s">
        <v>2883</v>
      </c>
      <c r="DLN1339" s="4" t="s">
        <v>2883</v>
      </c>
      <c r="DLO1339" s="4" t="s">
        <v>2883</v>
      </c>
      <c r="DLP1339" s="4" t="s">
        <v>2883</v>
      </c>
      <c r="DLQ1339" s="4" t="s">
        <v>2883</v>
      </c>
      <c r="DLR1339" s="4" t="s">
        <v>2883</v>
      </c>
      <c r="DLS1339" s="4" t="s">
        <v>2883</v>
      </c>
      <c r="DLT1339" s="4" t="s">
        <v>2883</v>
      </c>
      <c r="DLU1339" s="4" t="s">
        <v>2883</v>
      </c>
      <c r="DLV1339" s="4" t="s">
        <v>2883</v>
      </c>
      <c r="DLW1339" s="4" t="s">
        <v>2883</v>
      </c>
      <c r="DLX1339" s="4" t="s">
        <v>2883</v>
      </c>
      <c r="DLY1339" s="4" t="s">
        <v>2883</v>
      </c>
      <c r="DLZ1339" s="4" t="s">
        <v>2883</v>
      </c>
      <c r="DMA1339" s="4" t="s">
        <v>2883</v>
      </c>
      <c r="DMB1339" s="4" t="s">
        <v>2883</v>
      </c>
      <c r="DMC1339" s="4" t="s">
        <v>2883</v>
      </c>
      <c r="DMD1339" s="4" t="s">
        <v>2883</v>
      </c>
      <c r="DME1339" s="4" t="s">
        <v>2883</v>
      </c>
      <c r="DMF1339" s="4" t="s">
        <v>2883</v>
      </c>
      <c r="DMG1339" s="4" t="s">
        <v>2883</v>
      </c>
      <c r="DMH1339" s="4" t="s">
        <v>2883</v>
      </c>
      <c r="DMI1339" s="4" t="s">
        <v>2883</v>
      </c>
      <c r="DMJ1339" s="4" t="s">
        <v>2883</v>
      </c>
      <c r="DMK1339" s="4" t="s">
        <v>2883</v>
      </c>
      <c r="DML1339" s="4" t="s">
        <v>2883</v>
      </c>
      <c r="DMM1339" s="4" t="s">
        <v>2883</v>
      </c>
      <c r="DMN1339" s="4" t="s">
        <v>2883</v>
      </c>
      <c r="DMO1339" s="4" t="s">
        <v>2883</v>
      </c>
      <c r="DMP1339" s="4" t="s">
        <v>2883</v>
      </c>
      <c r="DMQ1339" s="4" t="s">
        <v>2883</v>
      </c>
      <c r="DMR1339" s="4" t="s">
        <v>2883</v>
      </c>
      <c r="DMS1339" s="4" t="s">
        <v>2883</v>
      </c>
      <c r="DMT1339" s="4" t="s">
        <v>2883</v>
      </c>
      <c r="DMU1339" s="4" t="s">
        <v>2883</v>
      </c>
      <c r="DMV1339" s="4" t="s">
        <v>2883</v>
      </c>
      <c r="DMW1339" s="4" t="s">
        <v>2883</v>
      </c>
      <c r="DMX1339" s="4" t="s">
        <v>2883</v>
      </c>
      <c r="DMY1339" s="4" t="s">
        <v>2883</v>
      </c>
      <c r="DMZ1339" s="4" t="s">
        <v>2883</v>
      </c>
      <c r="DNA1339" s="4" t="s">
        <v>2883</v>
      </c>
      <c r="DNB1339" s="4" t="s">
        <v>2883</v>
      </c>
      <c r="DNC1339" s="4" t="s">
        <v>2883</v>
      </c>
      <c r="DND1339" s="4" t="s">
        <v>2883</v>
      </c>
      <c r="DNE1339" s="4" t="s">
        <v>2883</v>
      </c>
      <c r="DNF1339" s="4" t="s">
        <v>2883</v>
      </c>
      <c r="DNG1339" s="4" t="s">
        <v>2883</v>
      </c>
      <c r="DNH1339" s="4" t="s">
        <v>2883</v>
      </c>
      <c r="DNI1339" s="4" t="s">
        <v>2883</v>
      </c>
      <c r="DNJ1339" s="4" t="s">
        <v>2883</v>
      </c>
      <c r="DNK1339" s="4" t="s">
        <v>2883</v>
      </c>
      <c r="DNL1339" s="4" t="s">
        <v>2883</v>
      </c>
      <c r="DNM1339" s="4" t="s">
        <v>2883</v>
      </c>
      <c r="DNN1339" s="4" t="s">
        <v>2883</v>
      </c>
      <c r="DNO1339" s="4" t="s">
        <v>2883</v>
      </c>
      <c r="DNP1339" s="4" t="s">
        <v>2883</v>
      </c>
      <c r="DNQ1339" s="4" t="s">
        <v>2883</v>
      </c>
      <c r="DNR1339" s="4" t="s">
        <v>2883</v>
      </c>
      <c r="DNS1339" s="4" t="s">
        <v>2883</v>
      </c>
      <c r="DNT1339" s="4" t="s">
        <v>2883</v>
      </c>
      <c r="DNU1339" s="4" t="s">
        <v>2883</v>
      </c>
      <c r="DNV1339" s="4" t="s">
        <v>2883</v>
      </c>
      <c r="DNW1339" s="4" t="s">
        <v>2883</v>
      </c>
      <c r="DNX1339" s="4" t="s">
        <v>2883</v>
      </c>
      <c r="DNY1339" s="4" t="s">
        <v>2883</v>
      </c>
      <c r="DNZ1339" s="4" t="s">
        <v>2883</v>
      </c>
      <c r="DOA1339" s="4" t="s">
        <v>2883</v>
      </c>
      <c r="DOB1339" s="4" t="s">
        <v>2883</v>
      </c>
      <c r="DOC1339" s="4" t="s">
        <v>2883</v>
      </c>
      <c r="DOD1339" s="4" t="s">
        <v>2883</v>
      </c>
      <c r="DOE1339" s="4" t="s">
        <v>2883</v>
      </c>
      <c r="DOF1339" s="4" t="s">
        <v>2883</v>
      </c>
      <c r="DOG1339" s="4" t="s">
        <v>2883</v>
      </c>
      <c r="DOH1339" s="4" t="s">
        <v>2883</v>
      </c>
      <c r="DOI1339" s="4" t="s">
        <v>2883</v>
      </c>
      <c r="DOJ1339" s="4" t="s">
        <v>2883</v>
      </c>
      <c r="DOK1339" s="4" t="s">
        <v>2883</v>
      </c>
      <c r="DOL1339" s="4" t="s">
        <v>2883</v>
      </c>
      <c r="DOM1339" s="4" t="s">
        <v>2883</v>
      </c>
      <c r="DON1339" s="4" t="s">
        <v>2883</v>
      </c>
      <c r="DOO1339" s="4" t="s">
        <v>2883</v>
      </c>
      <c r="DOP1339" s="4" t="s">
        <v>2883</v>
      </c>
      <c r="DOQ1339" s="4" t="s">
        <v>2883</v>
      </c>
      <c r="DOR1339" s="4" t="s">
        <v>2883</v>
      </c>
      <c r="DOS1339" s="4" t="s">
        <v>2883</v>
      </c>
      <c r="DOT1339" s="4" t="s">
        <v>2883</v>
      </c>
      <c r="DOU1339" s="4" t="s">
        <v>2883</v>
      </c>
      <c r="DOV1339" s="4" t="s">
        <v>2883</v>
      </c>
      <c r="DOW1339" s="4" t="s">
        <v>2883</v>
      </c>
      <c r="DOX1339" s="4" t="s">
        <v>2883</v>
      </c>
      <c r="DOY1339" s="4" t="s">
        <v>2883</v>
      </c>
      <c r="DOZ1339" s="4" t="s">
        <v>2883</v>
      </c>
      <c r="DPA1339" s="4" t="s">
        <v>2883</v>
      </c>
      <c r="DPB1339" s="4" t="s">
        <v>2883</v>
      </c>
      <c r="DPC1339" s="4" t="s">
        <v>2883</v>
      </c>
      <c r="DPD1339" s="4" t="s">
        <v>2883</v>
      </c>
      <c r="DPE1339" s="4" t="s">
        <v>2883</v>
      </c>
      <c r="DPF1339" s="4" t="s">
        <v>2883</v>
      </c>
      <c r="DPG1339" s="4" t="s">
        <v>2883</v>
      </c>
      <c r="DPH1339" s="4" t="s">
        <v>2883</v>
      </c>
      <c r="DPI1339" s="4" t="s">
        <v>2883</v>
      </c>
      <c r="DPJ1339" s="4" t="s">
        <v>2883</v>
      </c>
      <c r="DPK1339" s="4" t="s">
        <v>2883</v>
      </c>
      <c r="DPL1339" s="4" t="s">
        <v>2883</v>
      </c>
      <c r="DPM1339" s="4" t="s">
        <v>2883</v>
      </c>
      <c r="DPN1339" s="4" t="s">
        <v>2883</v>
      </c>
      <c r="DPO1339" s="4" t="s">
        <v>2883</v>
      </c>
      <c r="DPP1339" s="4" t="s">
        <v>2883</v>
      </c>
      <c r="DPQ1339" s="4" t="s">
        <v>2883</v>
      </c>
      <c r="DPR1339" s="4" t="s">
        <v>2883</v>
      </c>
      <c r="DPS1339" s="4" t="s">
        <v>2883</v>
      </c>
      <c r="DPT1339" s="4" t="s">
        <v>2883</v>
      </c>
      <c r="DPU1339" s="4" t="s">
        <v>2883</v>
      </c>
      <c r="DPV1339" s="4" t="s">
        <v>2883</v>
      </c>
      <c r="DPW1339" s="4" t="s">
        <v>2883</v>
      </c>
      <c r="DPX1339" s="4" t="s">
        <v>2883</v>
      </c>
      <c r="DPY1339" s="4" t="s">
        <v>2883</v>
      </c>
      <c r="DPZ1339" s="4" t="s">
        <v>2883</v>
      </c>
      <c r="DQA1339" s="4" t="s">
        <v>2883</v>
      </c>
      <c r="DQB1339" s="4" t="s">
        <v>2883</v>
      </c>
      <c r="DQC1339" s="4" t="s">
        <v>2883</v>
      </c>
      <c r="DQD1339" s="4" t="s">
        <v>2883</v>
      </c>
      <c r="DQE1339" s="4" t="s">
        <v>2883</v>
      </c>
      <c r="DQF1339" s="4" t="s">
        <v>2883</v>
      </c>
      <c r="DQG1339" s="4" t="s">
        <v>2883</v>
      </c>
      <c r="DQH1339" s="4" t="s">
        <v>2883</v>
      </c>
      <c r="DQI1339" s="4" t="s">
        <v>2883</v>
      </c>
      <c r="DQJ1339" s="4" t="s">
        <v>2883</v>
      </c>
      <c r="DQK1339" s="4" t="s">
        <v>2883</v>
      </c>
      <c r="DQL1339" s="4" t="s">
        <v>2883</v>
      </c>
      <c r="DQM1339" s="4" t="s">
        <v>2883</v>
      </c>
      <c r="DQN1339" s="4" t="s">
        <v>2883</v>
      </c>
      <c r="DQO1339" s="4" t="s">
        <v>2883</v>
      </c>
      <c r="DQP1339" s="4" t="s">
        <v>2883</v>
      </c>
      <c r="DQQ1339" s="4" t="s">
        <v>2883</v>
      </c>
      <c r="DQR1339" s="4" t="s">
        <v>2883</v>
      </c>
      <c r="DQS1339" s="4" t="s">
        <v>2883</v>
      </c>
      <c r="DQT1339" s="4" t="s">
        <v>2883</v>
      </c>
      <c r="DQU1339" s="4" t="s">
        <v>2883</v>
      </c>
      <c r="DQV1339" s="4" t="s">
        <v>2883</v>
      </c>
      <c r="DQW1339" s="4" t="s">
        <v>2883</v>
      </c>
      <c r="DQX1339" s="4" t="s">
        <v>2883</v>
      </c>
      <c r="DQY1339" s="4" t="s">
        <v>2883</v>
      </c>
      <c r="DQZ1339" s="4" t="s">
        <v>2883</v>
      </c>
      <c r="DRA1339" s="4" t="s">
        <v>2883</v>
      </c>
      <c r="DRB1339" s="4" t="s">
        <v>2883</v>
      </c>
      <c r="DRC1339" s="4" t="s">
        <v>2883</v>
      </c>
      <c r="DRD1339" s="4" t="s">
        <v>2883</v>
      </c>
      <c r="DRE1339" s="4" t="s">
        <v>2883</v>
      </c>
      <c r="DRF1339" s="4" t="s">
        <v>2883</v>
      </c>
      <c r="DRG1339" s="4" t="s">
        <v>2883</v>
      </c>
      <c r="DRH1339" s="4" t="s">
        <v>2883</v>
      </c>
      <c r="DRI1339" s="4" t="s">
        <v>2883</v>
      </c>
      <c r="DRJ1339" s="4" t="s">
        <v>2883</v>
      </c>
      <c r="DRK1339" s="4" t="s">
        <v>2883</v>
      </c>
      <c r="DRL1339" s="4" t="s">
        <v>2883</v>
      </c>
      <c r="DRM1339" s="4" t="s">
        <v>2883</v>
      </c>
      <c r="DRN1339" s="4" t="s">
        <v>2883</v>
      </c>
      <c r="DRO1339" s="4" t="s">
        <v>2883</v>
      </c>
      <c r="DRP1339" s="4" t="s">
        <v>2883</v>
      </c>
      <c r="DRQ1339" s="4" t="s">
        <v>2883</v>
      </c>
      <c r="DRR1339" s="4" t="s">
        <v>2883</v>
      </c>
      <c r="DRS1339" s="4" t="s">
        <v>2883</v>
      </c>
      <c r="DRT1339" s="4" t="s">
        <v>2883</v>
      </c>
      <c r="DRU1339" s="4" t="s">
        <v>2883</v>
      </c>
      <c r="DRV1339" s="4" t="s">
        <v>2883</v>
      </c>
      <c r="DRW1339" s="4" t="s">
        <v>2883</v>
      </c>
      <c r="DRX1339" s="4" t="s">
        <v>2883</v>
      </c>
      <c r="DRY1339" s="4" t="s">
        <v>2883</v>
      </c>
      <c r="DRZ1339" s="4" t="s">
        <v>2883</v>
      </c>
      <c r="DSA1339" s="4" t="s">
        <v>2883</v>
      </c>
      <c r="DSB1339" s="4" t="s">
        <v>2883</v>
      </c>
      <c r="DSC1339" s="4" t="s">
        <v>2883</v>
      </c>
      <c r="DSD1339" s="4" t="s">
        <v>2883</v>
      </c>
      <c r="DSE1339" s="4" t="s">
        <v>2883</v>
      </c>
      <c r="DSF1339" s="4" t="s">
        <v>2883</v>
      </c>
      <c r="DSG1339" s="4" t="s">
        <v>2883</v>
      </c>
      <c r="DSH1339" s="4" t="s">
        <v>2883</v>
      </c>
      <c r="DSI1339" s="4" t="s">
        <v>2883</v>
      </c>
      <c r="DSJ1339" s="4" t="s">
        <v>2883</v>
      </c>
      <c r="DSK1339" s="4" t="s">
        <v>2883</v>
      </c>
      <c r="DSL1339" s="4" t="s">
        <v>2883</v>
      </c>
      <c r="DSM1339" s="4" t="s">
        <v>2883</v>
      </c>
      <c r="DSN1339" s="4" t="s">
        <v>2883</v>
      </c>
      <c r="DSO1339" s="4" t="s">
        <v>2883</v>
      </c>
      <c r="DSP1339" s="4" t="s">
        <v>2883</v>
      </c>
      <c r="DSQ1339" s="4" t="s">
        <v>2883</v>
      </c>
      <c r="DSR1339" s="4" t="s">
        <v>2883</v>
      </c>
      <c r="DSS1339" s="4" t="s">
        <v>2883</v>
      </c>
      <c r="DST1339" s="4" t="s">
        <v>2883</v>
      </c>
      <c r="DSU1339" s="4" t="s">
        <v>2883</v>
      </c>
      <c r="DSV1339" s="4" t="s">
        <v>2883</v>
      </c>
      <c r="DSW1339" s="4" t="s">
        <v>2883</v>
      </c>
      <c r="DSX1339" s="4" t="s">
        <v>2883</v>
      </c>
      <c r="DSY1339" s="4" t="s">
        <v>2883</v>
      </c>
      <c r="DSZ1339" s="4" t="s">
        <v>2883</v>
      </c>
      <c r="DTA1339" s="4" t="s">
        <v>2883</v>
      </c>
      <c r="DTB1339" s="4" t="s">
        <v>2883</v>
      </c>
      <c r="DTC1339" s="4" t="s">
        <v>2883</v>
      </c>
      <c r="DTD1339" s="4" t="s">
        <v>2883</v>
      </c>
      <c r="DTE1339" s="4" t="s">
        <v>2883</v>
      </c>
      <c r="DTF1339" s="4" t="s">
        <v>2883</v>
      </c>
      <c r="DTG1339" s="4" t="s">
        <v>2883</v>
      </c>
      <c r="DTH1339" s="4" t="s">
        <v>2883</v>
      </c>
      <c r="DTI1339" s="4" t="s">
        <v>2883</v>
      </c>
      <c r="DTJ1339" s="4" t="s">
        <v>2883</v>
      </c>
      <c r="DTK1339" s="4" t="s">
        <v>2883</v>
      </c>
      <c r="DTL1339" s="4" t="s">
        <v>2883</v>
      </c>
      <c r="DTM1339" s="4" t="s">
        <v>2883</v>
      </c>
      <c r="DTN1339" s="4" t="s">
        <v>2883</v>
      </c>
      <c r="DTO1339" s="4" t="s">
        <v>2883</v>
      </c>
      <c r="DTP1339" s="4" t="s">
        <v>2883</v>
      </c>
      <c r="DTQ1339" s="4" t="s">
        <v>2883</v>
      </c>
      <c r="DTR1339" s="4" t="s">
        <v>2883</v>
      </c>
      <c r="DTS1339" s="4" t="s">
        <v>2883</v>
      </c>
      <c r="DTT1339" s="4" t="s">
        <v>2883</v>
      </c>
      <c r="DTU1339" s="4" t="s">
        <v>2883</v>
      </c>
      <c r="DTV1339" s="4" t="s">
        <v>2883</v>
      </c>
      <c r="DTW1339" s="4" t="s">
        <v>2883</v>
      </c>
      <c r="DTX1339" s="4" t="s">
        <v>2883</v>
      </c>
      <c r="DTY1339" s="4" t="s">
        <v>2883</v>
      </c>
      <c r="DTZ1339" s="4" t="s">
        <v>2883</v>
      </c>
      <c r="DUA1339" s="4" t="s">
        <v>2883</v>
      </c>
      <c r="DUB1339" s="4" t="s">
        <v>2883</v>
      </c>
      <c r="DUC1339" s="4" t="s">
        <v>2883</v>
      </c>
      <c r="DUD1339" s="4" t="s">
        <v>2883</v>
      </c>
      <c r="DUE1339" s="4" t="s">
        <v>2883</v>
      </c>
      <c r="DUF1339" s="4" t="s">
        <v>2883</v>
      </c>
      <c r="DUG1339" s="4" t="s">
        <v>2883</v>
      </c>
      <c r="DUH1339" s="4" t="s">
        <v>2883</v>
      </c>
      <c r="DUI1339" s="4" t="s">
        <v>2883</v>
      </c>
      <c r="DUJ1339" s="4" t="s">
        <v>2883</v>
      </c>
      <c r="DUK1339" s="4" t="s">
        <v>2883</v>
      </c>
      <c r="DUL1339" s="4" t="s">
        <v>2883</v>
      </c>
      <c r="DUM1339" s="4" t="s">
        <v>2883</v>
      </c>
      <c r="DUN1339" s="4" t="s">
        <v>2883</v>
      </c>
      <c r="DUO1339" s="4" t="s">
        <v>2883</v>
      </c>
      <c r="DUP1339" s="4" t="s">
        <v>2883</v>
      </c>
      <c r="DUQ1339" s="4" t="s">
        <v>2883</v>
      </c>
      <c r="DUR1339" s="4" t="s">
        <v>2883</v>
      </c>
      <c r="DUS1339" s="4" t="s">
        <v>2883</v>
      </c>
      <c r="DUT1339" s="4" t="s">
        <v>2883</v>
      </c>
      <c r="DUU1339" s="4" t="s">
        <v>2883</v>
      </c>
      <c r="DUV1339" s="4" t="s">
        <v>2883</v>
      </c>
      <c r="DUW1339" s="4" t="s">
        <v>2883</v>
      </c>
      <c r="DUX1339" s="4" t="s">
        <v>2883</v>
      </c>
      <c r="DUY1339" s="4" t="s">
        <v>2883</v>
      </c>
      <c r="DUZ1339" s="4" t="s">
        <v>2883</v>
      </c>
      <c r="DVA1339" s="4" t="s">
        <v>2883</v>
      </c>
      <c r="DVB1339" s="4" t="s">
        <v>2883</v>
      </c>
      <c r="DVC1339" s="4" t="s">
        <v>2883</v>
      </c>
      <c r="DVD1339" s="4" t="s">
        <v>2883</v>
      </c>
      <c r="DVE1339" s="4" t="s">
        <v>2883</v>
      </c>
      <c r="DVF1339" s="4" t="s">
        <v>2883</v>
      </c>
      <c r="DVG1339" s="4" t="s">
        <v>2883</v>
      </c>
      <c r="DVH1339" s="4" t="s">
        <v>2883</v>
      </c>
      <c r="DVI1339" s="4" t="s">
        <v>2883</v>
      </c>
      <c r="DVJ1339" s="4" t="s">
        <v>2883</v>
      </c>
      <c r="DVK1339" s="4" t="s">
        <v>2883</v>
      </c>
      <c r="DVL1339" s="4" t="s">
        <v>2883</v>
      </c>
      <c r="DVM1339" s="4" t="s">
        <v>2883</v>
      </c>
      <c r="DVN1339" s="4" t="s">
        <v>2883</v>
      </c>
      <c r="DVO1339" s="4" t="s">
        <v>2883</v>
      </c>
      <c r="DVP1339" s="4" t="s">
        <v>2883</v>
      </c>
      <c r="DVQ1339" s="4" t="s">
        <v>2883</v>
      </c>
      <c r="DVR1339" s="4" t="s">
        <v>2883</v>
      </c>
      <c r="DVS1339" s="4" t="s">
        <v>2883</v>
      </c>
      <c r="DVT1339" s="4" t="s">
        <v>2883</v>
      </c>
      <c r="DVU1339" s="4" t="s">
        <v>2883</v>
      </c>
      <c r="DVV1339" s="4" t="s">
        <v>2883</v>
      </c>
      <c r="DVW1339" s="4" t="s">
        <v>2883</v>
      </c>
      <c r="DVX1339" s="4" t="s">
        <v>2883</v>
      </c>
      <c r="DVY1339" s="4" t="s">
        <v>2883</v>
      </c>
      <c r="DVZ1339" s="4" t="s">
        <v>2883</v>
      </c>
      <c r="DWA1339" s="4" t="s">
        <v>2883</v>
      </c>
      <c r="DWB1339" s="4" t="s">
        <v>2883</v>
      </c>
      <c r="DWC1339" s="4" t="s">
        <v>2883</v>
      </c>
      <c r="DWD1339" s="4" t="s">
        <v>2883</v>
      </c>
      <c r="DWE1339" s="4" t="s">
        <v>2883</v>
      </c>
      <c r="DWF1339" s="4" t="s">
        <v>2883</v>
      </c>
      <c r="DWG1339" s="4" t="s">
        <v>2883</v>
      </c>
      <c r="DWH1339" s="4" t="s">
        <v>2883</v>
      </c>
      <c r="DWI1339" s="4" t="s">
        <v>2883</v>
      </c>
      <c r="DWJ1339" s="4" t="s">
        <v>2883</v>
      </c>
      <c r="DWK1339" s="4" t="s">
        <v>2883</v>
      </c>
      <c r="DWL1339" s="4" t="s">
        <v>2883</v>
      </c>
      <c r="DWM1339" s="4" t="s">
        <v>2883</v>
      </c>
      <c r="DWN1339" s="4" t="s">
        <v>2883</v>
      </c>
      <c r="DWO1339" s="4" t="s">
        <v>2883</v>
      </c>
      <c r="DWP1339" s="4" t="s">
        <v>2883</v>
      </c>
      <c r="DWQ1339" s="4" t="s">
        <v>2883</v>
      </c>
      <c r="DWR1339" s="4" t="s">
        <v>2883</v>
      </c>
      <c r="DWS1339" s="4" t="s">
        <v>2883</v>
      </c>
      <c r="DWT1339" s="4" t="s">
        <v>2883</v>
      </c>
      <c r="DWU1339" s="4" t="s">
        <v>2883</v>
      </c>
      <c r="DWV1339" s="4" t="s">
        <v>2883</v>
      </c>
      <c r="DWW1339" s="4" t="s">
        <v>2883</v>
      </c>
      <c r="DWX1339" s="4" t="s">
        <v>2883</v>
      </c>
      <c r="DWY1339" s="4" t="s">
        <v>2883</v>
      </c>
      <c r="DWZ1339" s="4" t="s">
        <v>2883</v>
      </c>
      <c r="DXA1339" s="4" t="s">
        <v>2883</v>
      </c>
      <c r="DXB1339" s="4" t="s">
        <v>2883</v>
      </c>
      <c r="DXC1339" s="4" t="s">
        <v>2883</v>
      </c>
      <c r="DXD1339" s="4" t="s">
        <v>2883</v>
      </c>
      <c r="DXE1339" s="4" t="s">
        <v>2883</v>
      </c>
      <c r="DXF1339" s="4" t="s">
        <v>2883</v>
      </c>
      <c r="DXG1339" s="4" t="s">
        <v>2883</v>
      </c>
      <c r="DXH1339" s="4" t="s">
        <v>2883</v>
      </c>
      <c r="DXI1339" s="4" t="s">
        <v>2883</v>
      </c>
      <c r="DXJ1339" s="4" t="s">
        <v>2883</v>
      </c>
      <c r="DXK1339" s="4" t="s">
        <v>2883</v>
      </c>
      <c r="DXL1339" s="4" t="s">
        <v>2883</v>
      </c>
      <c r="DXM1339" s="4" t="s">
        <v>2883</v>
      </c>
      <c r="DXN1339" s="4" t="s">
        <v>2883</v>
      </c>
      <c r="DXO1339" s="4" t="s">
        <v>2883</v>
      </c>
      <c r="DXP1339" s="4" t="s">
        <v>2883</v>
      </c>
      <c r="DXQ1339" s="4" t="s">
        <v>2883</v>
      </c>
      <c r="DXR1339" s="4" t="s">
        <v>2883</v>
      </c>
      <c r="DXS1339" s="4" t="s">
        <v>2883</v>
      </c>
      <c r="DXT1339" s="4" t="s">
        <v>2883</v>
      </c>
      <c r="DXU1339" s="4" t="s">
        <v>2883</v>
      </c>
      <c r="DXV1339" s="4" t="s">
        <v>2883</v>
      </c>
      <c r="DXW1339" s="4" t="s">
        <v>2883</v>
      </c>
      <c r="DXX1339" s="4" t="s">
        <v>2883</v>
      </c>
      <c r="DXY1339" s="4" t="s">
        <v>2883</v>
      </c>
      <c r="DXZ1339" s="4" t="s">
        <v>2883</v>
      </c>
      <c r="DYA1339" s="4" t="s">
        <v>2883</v>
      </c>
      <c r="DYB1339" s="4" t="s">
        <v>2883</v>
      </c>
      <c r="DYC1339" s="4" t="s">
        <v>2883</v>
      </c>
      <c r="DYD1339" s="4" t="s">
        <v>2883</v>
      </c>
      <c r="DYE1339" s="4" t="s">
        <v>2883</v>
      </c>
      <c r="DYF1339" s="4" t="s">
        <v>2883</v>
      </c>
      <c r="DYG1339" s="4" t="s">
        <v>2883</v>
      </c>
      <c r="DYH1339" s="4" t="s">
        <v>2883</v>
      </c>
      <c r="DYI1339" s="4" t="s">
        <v>2883</v>
      </c>
      <c r="DYJ1339" s="4" t="s">
        <v>2883</v>
      </c>
      <c r="DYK1339" s="4" t="s">
        <v>2883</v>
      </c>
      <c r="DYL1339" s="4" t="s">
        <v>2883</v>
      </c>
      <c r="DYM1339" s="4" t="s">
        <v>2883</v>
      </c>
      <c r="DYN1339" s="4" t="s">
        <v>2883</v>
      </c>
      <c r="DYO1339" s="4" t="s">
        <v>2883</v>
      </c>
      <c r="DYP1339" s="4" t="s">
        <v>2883</v>
      </c>
      <c r="DYQ1339" s="4" t="s">
        <v>2883</v>
      </c>
      <c r="DYR1339" s="4" t="s">
        <v>2883</v>
      </c>
      <c r="DYS1339" s="4" t="s">
        <v>2883</v>
      </c>
      <c r="DYT1339" s="4" t="s">
        <v>2883</v>
      </c>
      <c r="DYU1339" s="4" t="s">
        <v>2883</v>
      </c>
      <c r="DYV1339" s="4" t="s">
        <v>2883</v>
      </c>
      <c r="DYW1339" s="4" t="s">
        <v>2883</v>
      </c>
      <c r="DYX1339" s="4" t="s">
        <v>2883</v>
      </c>
      <c r="DYY1339" s="4" t="s">
        <v>2883</v>
      </c>
      <c r="DYZ1339" s="4" t="s">
        <v>2883</v>
      </c>
      <c r="DZA1339" s="4" t="s">
        <v>2883</v>
      </c>
      <c r="DZB1339" s="4" t="s">
        <v>2883</v>
      </c>
      <c r="DZC1339" s="4" t="s">
        <v>2883</v>
      </c>
      <c r="DZD1339" s="4" t="s">
        <v>2883</v>
      </c>
      <c r="DZE1339" s="4" t="s">
        <v>2883</v>
      </c>
      <c r="DZF1339" s="4" t="s">
        <v>2883</v>
      </c>
      <c r="DZG1339" s="4" t="s">
        <v>2883</v>
      </c>
      <c r="DZH1339" s="4" t="s">
        <v>2883</v>
      </c>
      <c r="DZI1339" s="4" t="s">
        <v>2883</v>
      </c>
      <c r="DZJ1339" s="4" t="s">
        <v>2883</v>
      </c>
      <c r="DZK1339" s="4" t="s">
        <v>2883</v>
      </c>
      <c r="DZL1339" s="4" t="s">
        <v>2883</v>
      </c>
      <c r="DZM1339" s="4" t="s">
        <v>2883</v>
      </c>
      <c r="DZN1339" s="4" t="s">
        <v>2883</v>
      </c>
      <c r="DZO1339" s="4" t="s">
        <v>2883</v>
      </c>
      <c r="DZP1339" s="4" t="s">
        <v>2883</v>
      </c>
      <c r="DZQ1339" s="4" t="s">
        <v>2883</v>
      </c>
      <c r="DZR1339" s="4" t="s">
        <v>2883</v>
      </c>
      <c r="DZS1339" s="4" t="s">
        <v>2883</v>
      </c>
      <c r="DZT1339" s="4" t="s">
        <v>2883</v>
      </c>
      <c r="DZU1339" s="4" t="s">
        <v>2883</v>
      </c>
      <c r="DZV1339" s="4" t="s">
        <v>2883</v>
      </c>
      <c r="DZW1339" s="4" t="s">
        <v>2883</v>
      </c>
      <c r="DZX1339" s="4" t="s">
        <v>2883</v>
      </c>
      <c r="DZY1339" s="4" t="s">
        <v>2883</v>
      </c>
      <c r="DZZ1339" s="4" t="s">
        <v>2883</v>
      </c>
      <c r="EAA1339" s="4" t="s">
        <v>2883</v>
      </c>
      <c r="EAB1339" s="4" t="s">
        <v>2883</v>
      </c>
      <c r="EAC1339" s="4" t="s">
        <v>2883</v>
      </c>
      <c r="EAD1339" s="4" t="s">
        <v>2883</v>
      </c>
      <c r="EAE1339" s="4" t="s">
        <v>2883</v>
      </c>
      <c r="EAF1339" s="4" t="s">
        <v>2883</v>
      </c>
      <c r="EAG1339" s="4" t="s">
        <v>2883</v>
      </c>
      <c r="EAH1339" s="4" t="s">
        <v>2883</v>
      </c>
      <c r="EAI1339" s="4" t="s">
        <v>2883</v>
      </c>
      <c r="EAJ1339" s="4" t="s">
        <v>2883</v>
      </c>
      <c r="EAK1339" s="4" t="s">
        <v>2883</v>
      </c>
      <c r="EAL1339" s="4" t="s">
        <v>2883</v>
      </c>
      <c r="EAM1339" s="4" t="s">
        <v>2883</v>
      </c>
      <c r="EAN1339" s="4" t="s">
        <v>2883</v>
      </c>
      <c r="EAO1339" s="4" t="s">
        <v>2883</v>
      </c>
      <c r="EAP1339" s="4" t="s">
        <v>2883</v>
      </c>
      <c r="EAQ1339" s="4" t="s">
        <v>2883</v>
      </c>
      <c r="EAR1339" s="4" t="s">
        <v>2883</v>
      </c>
      <c r="EAS1339" s="4" t="s">
        <v>2883</v>
      </c>
      <c r="EAT1339" s="4" t="s">
        <v>2883</v>
      </c>
      <c r="EAU1339" s="4" t="s">
        <v>2883</v>
      </c>
      <c r="EAV1339" s="4" t="s">
        <v>2883</v>
      </c>
      <c r="EAW1339" s="4" t="s">
        <v>2883</v>
      </c>
      <c r="EAX1339" s="4" t="s">
        <v>2883</v>
      </c>
      <c r="EAY1339" s="4" t="s">
        <v>2883</v>
      </c>
      <c r="EAZ1339" s="4" t="s">
        <v>2883</v>
      </c>
      <c r="EBA1339" s="4" t="s">
        <v>2883</v>
      </c>
      <c r="EBB1339" s="4" t="s">
        <v>2883</v>
      </c>
      <c r="EBC1339" s="4" t="s">
        <v>2883</v>
      </c>
      <c r="EBD1339" s="4" t="s">
        <v>2883</v>
      </c>
      <c r="EBE1339" s="4" t="s">
        <v>2883</v>
      </c>
      <c r="EBF1339" s="4" t="s">
        <v>2883</v>
      </c>
      <c r="EBG1339" s="4" t="s">
        <v>2883</v>
      </c>
      <c r="EBH1339" s="4" t="s">
        <v>2883</v>
      </c>
      <c r="EBI1339" s="4" t="s">
        <v>2883</v>
      </c>
      <c r="EBJ1339" s="4" t="s">
        <v>2883</v>
      </c>
      <c r="EBK1339" s="4" t="s">
        <v>2883</v>
      </c>
      <c r="EBL1339" s="4" t="s">
        <v>2883</v>
      </c>
      <c r="EBM1339" s="4" t="s">
        <v>2883</v>
      </c>
      <c r="EBN1339" s="4" t="s">
        <v>2883</v>
      </c>
      <c r="EBO1339" s="4" t="s">
        <v>2883</v>
      </c>
      <c r="EBP1339" s="4" t="s">
        <v>2883</v>
      </c>
      <c r="EBQ1339" s="4" t="s">
        <v>2883</v>
      </c>
      <c r="EBR1339" s="4" t="s">
        <v>2883</v>
      </c>
      <c r="EBS1339" s="4" t="s">
        <v>2883</v>
      </c>
      <c r="EBT1339" s="4" t="s">
        <v>2883</v>
      </c>
      <c r="EBU1339" s="4" t="s">
        <v>2883</v>
      </c>
      <c r="EBV1339" s="4" t="s">
        <v>2883</v>
      </c>
      <c r="EBW1339" s="4" t="s">
        <v>2883</v>
      </c>
      <c r="EBX1339" s="4" t="s">
        <v>2883</v>
      </c>
      <c r="EBY1339" s="4" t="s">
        <v>2883</v>
      </c>
      <c r="EBZ1339" s="4" t="s">
        <v>2883</v>
      </c>
      <c r="ECA1339" s="4" t="s">
        <v>2883</v>
      </c>
      <c r="ECB1339" s="4" t="s">
        <v>2883</v>
      </c>
      <c r="ECC1339" s="4" t="s">
        <v>2883</v>
      </c>
      <c r="ECD1339" s="4" t="s">
        <v>2883</v>
      </c>
      <c r="ECE1339" s="4" t="s">
        <v>2883</v>
      </c>
      <c r="ECF1339" s="4" t="s">
        <v>2883</v>
      </c>
      <c r="ECG1339" s="4" t="s">
        <v>2883</v>
      </c>
      <c r="ECH1339" s="4" t="s">
        <v>2883</v>
      </c>
      <c r="ECI1339" s="4" t="s">
        <v>2883</v>
      </c>
      <c r="ECJ1339" s="4" t="s">
        <v>2883</v>
      </c>
      <c r="ECK1339" s="4" t="s">
        <v>2883</v>
      </c>
      <c r="ECL1339" s="4" t="s">
        <v>2883</v>
      </c>
      <c r="ECM1339" s="4" t="s">
        <v>2883</v>
      </c>
      <c r="ECN1339" s="4" t="s">
        <v>2883</v>
      </c>
      <c r="ECO1339" s="4" t="s">
        <v>2883</v>
      </c>
      <c r="ECP1339" s="4" t="s">
        <v>2883</v>
      </c>
      <c r="ECQ1339" s="4" t="s">
        <v>2883</v>
      </c>
      <c r="ECR1339" s="4" t="s">
        <v>2883</v>
      </c>
      <c r="ECS1339" s="4" t="s">
        <v>2883</v>
      </c>
      <c r="ECT1339" s="4" t="s">
        <v>2883</v>
      </c>
      <c r="ECU1339" s="4" t="s">
        <v>2883</v>
      </c>
      <c r="ECV1339" s="4" t="s">
        <v>2883</v>
      </c>
      <c r="ECW1339" s="4" t="s">
        <v>2883</v>
      </c>
      <c r="ECX1339" s="4" t="s">
        <v>2883</v>
      </c>
      <c r="ECY1339" s="4" t="s">
        <v>2883</v>
      </c>
      <c r="ECZ1339" s="4" t="s">
        <v>2883</v>
      </c>
      <c r="EDA1339" s="4" t="s">
        <v>2883</v>
      </c>
      <c r="EDB1339" s="4" t="s">
        <v>2883</v>
      </c>
      <c r="EDC1339" s="4" t="s">
        <v>2883</v>
      </c>
      <c r="EDD1339" s="4" t="s">
        <v>2883</v>
      </c>
      <c r="EDE1339" s="4" t="s">
        <v>2883</v>
      </c>
      <c r="EDF1339" s="4" t="s">
        <v>2883</v>
      </c>
      <c r="EDG1339" s="4" t="s">
        <v>2883</v>
      </c>
      <c r="EDH1339" s="4" t="s">
        <v>2883</v>
      </c>
      <c r="EDI1339" s="4" t="s">
        <v>2883</v>
      </c>
      <c r="EDJ1339" s="4" t="s">
        <v>2883</v>
      </c>
      <c r="EDK1339" s="4" t="s">
        <v>2883</v>
      </c>
      <c r="EDL1339" s="4" t="s">
        <v>2883</v>
      </c>
      <c r="EDM1339" s="4" t="s">
        <v>2883</v>
      </c>
      <c r="EDN1339" s="4" t="s">
        <v>2883</v>
      </c>
      <c r="EDO1339" s="4" t="s">
        <v>2883</v>
      </c>
      <c r="EDP1339" s="4" t="s">
        <v>2883</v>
      </c>
      <c r="EDQ1339" s="4" t="s">
        <v>2883</v>
      </c>
      <c r="EDR1339" s="4" t="s">
        <v>2883</v>
      </c>
      <c r="EDS1339" s="4" t="s">
        <v>2883</v>
      </c>
      <c r="EDT1339" s="4" t="s">
        <v>2883</v>
      </c>
      <c r="EDU1339" s="4" t="s">
        <v>2883</v>
      </c>
      <c r="EDV1339" s="4" t="s">
        <v>2883</v>
      </c>
      <c r="EDW1339" s="4" t="s">
        <v>2883</v>
      </c>
      <c r="EDX1339" s="4" t="s">
        <v>2883</v>
      </c>
      <c r="EDY1339" s="4" t="s">
        <v>2883</v>
      </c>
      <c r="EDZ1339" s="4" t="s">
        <v>2883</v>
      </c>
      <c r="EEA1339" s="4" t="s">
        <v>2883</v>
      </c>
      <c r="EEB1339" s="4" t="s">
        <v>2883</v>
      </c>
      <c r="EEC1339" s="4" t="s">
        <v>2883</v>
      </c>
      <c r="EED1339" s="4" t="s">
        <v>2883</v>
      </c>
      <c r="EEE1339" s="4" t="s">
        <v>2883</v>
      </c>
      <c r="EEF1339" s="4" t="s">
        <v>2883</v>
      </c>
      <c r="EEG1339" s="4" t="s">
        <v>2883</v>
      </c>
      <c r="EEH1339" s="4" t="s">
        <v>2883</v>
      </c>
      <c r="EEI1339" s="4" t="s">
        <v>2883</v>
      </c>
      <c r="EEJ1339" s="4" t="s">
        <v>2883</v>
      </c>
      <c r="EEK1339" s="4" t="s">
        <v>2883</v>
      </c>
      <c r="EEL1339" s="4" t="s">
        <v>2883</v>
      </c>
      <c r="EEM1339" s="4" t="s">
        <v>2883</v>
      </c>
      <c r="EEN1339" s="4" t="s">
        <v>2883</v>
      </c>
      <c r="EEO1339" s="4" t="s">
        <v>2883</v>
      </c>
      <c r="EEP1339" s="4" t="s">
        <v>2883</v>
      </c>
      <c r="EEQ1339" s="4" t="s">
        <v>2883</v>
      </c>
      <c r="EER1339" s="4" t="s">
        <v>2883</v>
      </c>
      <c r="EES1339" s="4" t="s">
        <v>2883</v>
      </c>
      <c r="EET1339" s="4" t="s">
        <v>2883</v>
      </c>
      <c r="EEU1339" s="4" t="s">
        <v>2883</v>
      </c>
      <c r="EEV1339" s="4" t="s">
        <v>2883</v>
      </c>
      <c r="EEW1339" s="4" t="s">
        <v>2883</v>
      </c>
      <c r="EEX1339" s="4" t="s">
        <v>2883</v>
      </c>
      <c r="EEY1339" s="4" t="s">
        <v>2883</v>
      </c>
      <c r="EEZ1339" s="4" t="s">
        <v>2883</v>
      </c>
      <c r="EFA1339" s="4" t="s">
        <v>2883</v>
      </c>
      <c r="EFB1339" s="4" t="s">
        <v>2883</v>
      </c>
      <c r="EFC1339" s="4" t="s">
        <v>2883</v>
      </c>
      <c r="EFD1339" s="4" t="s">
        <v>2883</v>
      </c>
      <c r="EFE1339" s="4" t="s">
        <v>2883</v>
      </c>
      <c r="EFF1339" s="4" t="s">
        <v>2883</v>
      </c>
      <c r="EFG1339" s="4" t="s">
        <v>2883</v>
      </c>
      <c r="EFH1339" s="4" t="s">
        <v>2883</v>
      </c>
      <c r="EFI1339" s="4" t="s">
        <v>2883</v>
      </c>
      <c r="EFJ1339" s="4" t="s">
        <v>2883</v>
      </c>
      <c r="EFK1339" s="4" t="s">
        <v>2883</v>
      </c>
      <c r="EFL1339" s="4" t="s">
        <v>2883</v>
      </c>
      <c r="EFM1339" s="4" t="s">
        <v>2883</v>
      </c>
      <c r="EFN1339" s="4" t="s">
        <v>2883</v>
      </c>
      <c r="EFO1339" s="4" t="s">
        <v>2883</v>
      </c>
      <c r="EFP1339" s="4" t="s">
        <v>2883</v>
      </c>
      <c r="EFQ1339" s="4" t="s">
        <v>2883</v>
      </c>
      <c r="EFR1339" s="4" t="s">
        <v>2883</v>
      </c>
      <c r="EFS1339" s="4" t="s">
        <v>2883</v>
      </c>
      <c r="EFT1339" s="4" t="s">
        <v>2883</v>
      </c>
      <c r="EFU1339" s="4" t="s">
        <v>2883</v>
      </c>
      <c r="EFV1339" s="4" t="s">
        <v>2883</v>
      </c>
      <c r="EFW1339" s="4" t="s">
        <v>2883</v>
      </c>
      <c r="EFX1339" s="4" t="s">
        <v>2883</v>
      </c>
      <c r="EFY1339" s="4" t="s">
        <v>2883</v>
      </c>
      <c r="EFZ1339" s="4" t="s">
        <v>2883</v>
      </c>
      <c r="EGA1339" s="4" t="s">
        <v>2883</v>
      </c>
      <c r="EGB1339" s="4" t="s">
        <v>2883</v>
      </c>
      <c r="EGC1339" s="4" t="s">
        <v>2883</v>
      </c>
      <c r="EGD1339" s="4" t="s">
        <v>2883</v>
      </c>
      <c r="EGE1339" s="4" t="s">
        <v>2883</v>
      </c>
      <c r="EGF1339" s="4" t="s">
        <v>2883</v>
      </c>
      <c r="EGG1339" s="4" t="s">
        <v>2883</v>
      </c>
      <c r="EGH1339" s="4" t="s">
        <v>2883</v>
      </c>
      <c r="EGI1339" s="4" t="s">
        <v>2883</v>
      </c>
      <c r="EGJ1339" s="4" t="s">
        <v>2883</v>
      </c>
      <c r="EGK1339" s="4" t="s">
        <v>2883</v>
      </c>
      <c r="EGL1339" s="4" t="s">
        <v>2883</v>
      </c>
      <c r="EGM1339" s="4" t="s">
        <v>2883</v>
      </c>
      <c r="EGN1339" s="4" t="s">
        <v>2883</v>
      </c>
      <c r="EGO1339" s="4" t="s">
        <v>2883</v>
      </c>
      <c r="EGP1339" s="4" t="s">
        <v>2883</v>
      </c>
      <c r="EGQ1339" s="4" t="s">
        <v>2883</v>
      </c>
      <c r="EGR1339" s="4" t="s">
        <v>2883</v>
      </c>
      <c r="EGS1339" s="4" t="s">
        <v>2883</v>
      </c>
      <c r="EGT1339" s="4" t="s">
        <v>2883</v>
      </c>
      <c r="EGU1339" s="4" t="s">
        <v>2883</v>
      </c>
      <c r="EGV1339" s="4" t="s">
        <v>2883</v>
      </c>
      <c r="EGW1339" s="4" t="s">
        <v>2883</v>
      </c>
      <c r="EGX1339" s="4" t="s">
        <v>2883</v>
      </c>
      <c r="EGY1339" s="4" t="s">
        <v>2883</v>
      </c>
      <c r="EGZ1339" s="4" t="s">
        <v>2883</v>
      </c>
      <c r="EHA1339" s="4" t="s">
        <v>2883</v>
      </c>
      <c r="EHB1339" s="4" t="s">
        <v>2883</v>
      </c>
      <c r="EHC1339" s="4" t="s">
        <v>2883</v>
      </c>
      <c r="EHD1339" s="4" t="s">
        <v>2883</v>
      </c>
      <c r="EHE1339" s="4" t="s">
        <v>2883</v>
      </c>
      <c r="EHF1339" s="4" t="s">
        <v>2883</v>
      </c>
      <c r="EHG1339" s="4" t="s">
        <v>2883</v>
      </c>
      <c r="EHH1339" s="4" t="s">
        <v>2883</v>
      </c>
      <c r="EHI1339" s="4" t="s">
        <v>2883</v>
      </c>
      <c r="EHJ1339" s="4" t="s">
        <v>2883</v>
      </c>
      <c r="EHK1339" s="4" t="s">
        <v>2883</v>
      </c>
      <c r="EHL1339" s="4" t="s">
        <v>2883</v>
      </c>
      <c r="EHM1339" s="4" t="s">
        <v>2883</v>
      </c>
      <c r="EHN1339" s="4" t="s">
        <v>2883</v>
      </c>
      <c r="EHO1339" s="4" t="s">
        <v>2883</v>
      </c>
      <c r="EHP1339" s="4" t="s">
        <v>2883</v>
      </c>
      <c r="EHQ1339" s="4" t="s">
        <v>2883</v>
      </c>
      <c r="EHR1339" s="4" t="s">
        <v>2883</v>
      </c>
      <c r="EHS1339" s="4" t="s">
        <v>2883</v>
      </c>
      <c r="EHT1339" s="4" t="s">
        <v>2883</v>
      </c>
      <c r="EHU1339" s="4" t="s">
        <v>2883</v>
      </c>
      <c r="EHV1339" s="4" t="s">
        <v>2883</v>
      </c>
      <c r="EHW1339" s="4" t="s">
        <v>2883</v>
      </c>
      <c r="EHX1339" s="4" t="s">
        <v>2883</v>
      </c>
      <c r="EHY1339" s="4" t="s">
        <v>2883</v>
      </c>
      <c r="EHZ1339" s="4" t="s">
        <v>2883</v>
      </c>
      <c r="EIA1339" s="4" t="s">
        <v>2883</v>
      </c>
      <c r="EIB1339" s="4" t="s">
        <v>2883</v>
      </c>
      <c r="EIC1339" s="4" t="s">
        <v>2883</v>
      </c>
      <c r="EID1339" s="4" t="s">
        <v>2883</v>
      </c>
      <c r="EIE1339" s="4" t="s">
        <v>2883</v>
      </c>
      <c r="EIF1339" s="4" t="s">
        <v>2883</v>
      </c>
      <c r="EIG1339" s="4" t="s">
        <v>2883</v>
      </c>
      <c r="EIH1339" s="4" t="s">
        <v>2883</v>
      </c>
      <c r="EII1339" s="4" t="s">
        <v>2883</v>
      </c>
      <c r="EIJ1339" s="4" t="s">
        <v>2883</v>
      </c>
      <c r="EIK1339" s="4" t="s">
        <v>2883</v>
      </c>
      <c r="EIL1339" s="4" t="s">
        <v>2883</v>
      </c>
      <c r="EIM1339" s="4" t="s">
        <v>2883</v>
      </c>
      <c r="EIN1339" s="4" t="s">
        <v>2883</v>
      </c>
      <c r="EIO1339" s="4" t="s">
        <v>2883</v>
      </c>
      <c r="EIP1339" s="4" t="s">
        <v>2883</v>
      </c>
      <c r="EIQ1339" s="4" t="s">
        <v>2883</v>
      </c>
      <c r="EIR1339" s="4" t="s">
        <v>2883</v>
      </c>
      <c r="EIS1339" s="4" t="s">
        <v>2883</v>
      </c>
      <c r="EIT1339" s="4" t="s">
        <v>2883</v>
      </c>
      <c r="EIU1339" s="4" t="s">
        <v>2883</v>
      </c>
      <c r="EIV1339" s="4" t="s">
        <v>2883</v>
      </c>
      <c r="EIW1339" s="4" t="s">
        <v>2883</v>
      </c>
      <c r="EIX1339" s="4" t="s">
        <v>2883</v>
      </c>
      <c r="EIY1339" s="4" t="s">
        <v>2883</v>
      </c>
      <c r="EIZ1339" s="4" t="s">
        <v>2883</v>
      </c>
      <c r="EJA1339" s="4" t="s">
        <v>2883</v>
      </c>
      <c r="EJB1339" s="4" t="s">
        <v>2883</v>
      </c>
      <c r="EJC1339" s="4" t="s">
        <v>2883</v>
      </c>
      <c r="EJD1339" s="4" t="s">
        <v>2883</v>
      </c>
      <c r="EJE1339" s="4" t="s">
        <v>2883</v>
      </c>
      <c r="EJF1339" s="4" t="s">
        <v>2883</v>
      </c>
      <c r="EJG1339" s="4" t="s">
        <v>2883</v>
      </c>
      <c r="EJH1339" s="4" t="s">
        <v>2883</v>
      </c>
      <c r="EJI1339" s="4" t="s">
        <v>2883</v>
      </c>
      <c r="EJJ1339" s="4" t="s">
        <v>2883</v>
      </c>
      <c r="EJK1339" s="4" t="s">
        <v>2883</v>
      </c>
      <c r="EJL1339" s="4" t="s">
        <v>2883</v>
      </c>
      <c r="EJM1339" s="4" t="s">
        <v>2883</v>
      </c>
      <c r="EJN1339" s="4" t="s">
        <v>2883</v>
      </c>
      <c r="EJO1339" s="4" t="s">
        <v>2883</v>
      </c>
      <c r="EJP1339" s="4" t="s">
        <v>2883</v>
      </c>
      <c r="EJQ1339" s="4" t="s">
        <v>2883</v>
      </c>
      <c r="EJR1339" s="4" t="s">
        <v>2883</v>
      </c>
      <c r="EJS1339" s="4" t="s">
        <v>2883</v>
      </c>
      <c r="EJT1339" s="4" t="s">
        <v>2883</v>
      </c>
      <c r="EJU1339" s="4" t="s">
        <v>2883</v>
      </c>
      <c r="EJV1339" s="4" t="s">
        <v>2883</v>
      </c>
      <c r="EJW1339" s="4" t="s">
        <v>2883</v>
      </c>
      <c r="EJX1339" s="4" t="s">
        <v>2883</v>
      </c>
      <c r="EJY1339" s="4" t="s">
        <v>2883</v>
      </c>
      <c r="EJZ1339" s="4" t="s">
        <v>2883</v>
      </c>
      <c r="EKA1339" s="4" t="s">
        <v>2883</v>
      </c>
      <c r="EKB1339" s="4" t="s">
        <v>2883</v>
      </c>
      <c r="EKC1339" s="4" t="s">
        <v>2883</v>
      </c>
      <c r="EKD1339" s="4" t="s">
        <v>2883</v>
      </c>
      <c r="EKE1339" s="4" t="s">
        <v>2883</v>
      </c>
      <c r="EKF1339" s="4" t="s">
        <v>2883</v>
      </c>
      <c r="EKG1339" s="4" t="s">
        <v>2883</v>
      </c>
      <c r="EKH1339" s="4" t="s">
        <v>2883</v>
      </c>
      <c r="EKI1339" s="4" t="s">
        <v>2883</v>
      </c>
      <c r="EKJ1339" s="4" t="s">
        <v>2883</v>
      </c>
      <c r="EKK1339" s="4" t="s">
        <v>2883</v>
      </c>
      <c r="EKL1339" s="4" t="s">
        <v>2883</v>
      </c>
      <c r="EKM1339" s="4" t="s">
        <v>2883</v>
      </c>
      <c r="EKN1339" s="4" t="s">
        <v>2883</v>
      </c>
      <c r="EKO1339" s="4" t="s">
        <v>2883</v>
      </c>
      <c r="EKP1339" s="4" t="s">
        <v>2883</v>
      </c>
      <c r="EKQ1339" s="4" t="s">
        <v>2883</v>
      </c>
      <c r="EKR1339" s="4" t="s">
        <v>2883</v>
      </c>
      <c r="EKS1339" s="4" t="s">
        <v>2883</v>
      </c>
      <c r="EKT1339" s="4" t="s">
        <v>2883</v>
      </c>
      <c r="EKU1339" s="4" t="s">
        <v>2883</v>
      </c>
      <c r="EKV1339" s="4" t="s">
        <v>2883</v>
      </c>
      <c r="EKW1339" s="4" t="s">
        <v>2883</v>
      </c>
      <c r="EKX1339" s="4" t="s">
        <v>2883</v>
      </c>
      <c r="EKY1339" s="4" t="s">
        <v>2883</v>
      </c>
      <c r="EKZ1339" s="4" t="s">
        <v>2883</v>
      </c>
      <c r="ELA1339" s="4" t="s">
        <v>2883</v>
      </c>
      <c r="ELB1339" s="4" t="s">
        <v>2883</v>
      </c>
      <c r="ELC1339" s="4" t="s">
        <v>2883</v>
      </c>
      <c r="ELD1339" s="4" t="s">
        <v>2883</v>
      </c>
      <c r="ELE1339" s="4" t="s">
        <v>2883</v>
      </c>
      <c r="ELF1339" s="4" t="s">
        <v>2883</v>
      </c>
      <c r="ELG1339" s="4" t="s">
        <v>2883</v>
      </c>
      <c r="ELH1339" s="4" t="s">
        <v>2883</v>
      </c>
      <c r="ELI1339" s="4" t="s">
        <v>2883</v>
      </c>
      <c r="ELJ1339" s="4" t="s">
        <v>2883</v>
      </c>
      <c r="ELK1339" s="4" t="s">
        <v>2883</v>
      </c>
      <c r="ELL1339" s="4" t="s">
        <v>2883</v>
      </c>
      <c r="ELM1339" s="4" t="s">
        <v>2883</v>
      </c>
      <c r="ELN1339" s="4" t="s">
        <v>2883</v>
      </c>
      <c r="ELO1339" s="4" t="s">
        <v>2883</v>
      </c>
      <c r="ELP1339" s="4" t="s">
        <v>2883</v>
      </c>
      <c r="ELQ1339" s="4" t="s">
        <v>2883</v>
      </c>
      <c r="ELR1339" s="4" t="s">
        <v>2883</v>
      </c>
      <c r="ELS1339" s="4" t="s">
        <v>2883</v>
      </c>
      <c r="ELT1339" s="4" t="s">
        <v>2883</v>
      </c>
      <c r="ELU1339" s="4" t="s">
        <v>2883</v>
      </c>
      <c r="ELV1339" s="4" t="s">
        <v>2883</v>
      </c>
      <c r="ELW1339" s="4" t="s">
        <v>2883</v>
      </c>
      <c r="ELX1339" s="4" t="s">
        <v>2883</v>
      </c>
      <c r="ELY1339" s="4" t="s">
        <v>2883</v>
      </c>
      <c r="ELZ1339" s="4" t="s">
        <v>2883</v>
      </c>
      <c r="EMA1339" s="4" t="s">
        <v>2883</v>
      </c>
      <c r="EMB1339" s="4" t="s">
        <v>2883</v>
      </c>
      <c r="EMC1339" s="4" t="s">
        <v>2883</v>
      </c>
      <c r="EMD1339" s="4" t="s">
        <v>2883</v>
      </c>
      <c r="EME1339" s="4" t="s">
        <v>2883</v>
      </c>
      <c r="EMF1339" s="4" t="s">
        <v>2883</v>
      </c>
      <c r="EMG1339" s="4" t="s">
        <v>2883</v>
      </c>
      <c r="EMH1339" s="4" t="s">
        <v>2883</v>
      </c>
      <c r="EMI1339" s="4" t="s">
        <v>2883</v>
      </c>
      <c r="EMJ1339" s="4" t="s">
        <v>2883</v>
      </c>
      <c r="EMK1339" s="4" t="s">
        <v>2883</v>
      </c>
      <c r="EML1339" s="4" t="s">
        <v>2883</v>
      </c>
      <c r="EMM1339" s="4" t="s">
        <v>2883</v>
      </c>
      <c r="EMN1339" s="4" t="s">
        <v>2883</v>
      </c>
      <c r="EMO1339" s="4" t="s">
        <v>2883</v>
      </c>
      <c r="EMP1339" s="4" t="s">
        <v>2883</v>
      </c>
      <c r="EMQ1339" s="4" t="s">
        <v>2883</v>
      </c>
      <c r="EMR1339" s="4" t="s">
        <v>2883</v>
      </c>
      <c r="EMS1339" s="4" t="s">
        <v>2883</v>
      </c>
      <c r="EMT1339" s="4" t="s">
        <v>2883</v>
      </c>
      <c r="EMU1339" s="4" t="s">
        <v>2883</v>
      </c>
      <c r="EMV1339" s="4" t="s">
        <v>2883</v>
      </c>
      <c r="EMW1339" s="4" t="s">
        <v>2883</v>
      </c>
      <c r="EMX1339" s="4" t="s">
        <v>2883</v>
      </c>
      <c r="EMY1339" s="4" t="s">
        <v>2883</v>
      </c>
      <c r="EMZ1339" s="4" t="s">
        <v>2883</v>
      </c>
      <c r="ENA1339" s="4" t="s">
        <v>2883</v>
      </c>
      <c r="ENB1339" s="4" t="s">
        <v>2883</v>
      </c>
      <c r="ENC1339" s="4" t="s">
        <v>2883</v>
      </c>
      <c r="END1339" s="4" t="s">
        <v>2883</v>
      </c>
      <c r="ENE1339" s="4" t="s">
        <v>2883</v>
      </c>
      <c r="ENF1339" s="4" t="s">
        <v>2883</v>
      </c>
      <c r="ENG1339" s="4" t="s">
        <v>2883</v>
      </c>
      <c r="ENH1339" s="4" t="s">
        <v>2883</v>
      </c>
      <c r="ENI1339" s="4" t="s">
        <v>2883</v>
      </c>
      <c r="ENJ1339" s="4" t="s">
        <v>2883</v>
      </c>
      <c r="ENK1339" s="4" t="s">
        <v>2883</v>
      </c>
      <c r="ENL1339" s="4" t="s">
        <v>2883</v>
      </c>
      <c r="ENM1339" s="4" t="s">
        <v>2883</v>
      </c>
      <c r="ENN1339" s="4" t="s">
        <v>2883</v>
      </c>
      <c r="ENO1339" s="4" t="s">
        <v>2883</v>
      </c>
      <c r="ENP1339" s="4" t="s">
        <v>2883</v>
      </c>
      <c r="ENQ1339" s="4" t="s">
        <v>2883</v>
      </c>
      <c r="ENR1339" s="4" t="s">
        <v>2883</v>
      </c>
      <c r="ENS1339" s="4" t="s">
        <v>2883</v>
      </c>
      <c r="ENT1339" s="4" t="s">
        <v>2883</v>
      </c>
      <c r="ENU1339" s="4" t="s">
        <v>2883</v>
      </c>
      <c r="ENV1339" s="4" t="s">
        <v>2883</v>
      </c>
      <c r="ENW1339" s="4" t="s">
        <v>2883</v>
      </c>
      <c r="ENX1339" s="4" t="s">
        <v>2883</v>
      </c>
      <c r="ENY1339" s="4" t="s">
        <v>2883</v>
      </c>
      <c r="ENZ1339" s="4" t="s">
        <v>2883</v>
      </c>
      <c r="EOA1339" s="4" t="s">
        <v>2883</v>
      </c>
      <c r="EOB1339" s="4" t="s">
        <v>2883</v>
      </c>
      <c r="EOC1339" s="4" t="s">
        <v>2883</v>
      </c>
      <c r="EOD1339" s="4" t="s">
        <v>2883</v>
      </c>
      <c r="EOE1339" s="4" t="s">
        <v>2883</v>
      </c>
      <c r="EOF1339" s="4" t="s">
        <v>2883</v>
      </c>
      <c r="EOG1339" s="4" t="s">
        <v>2883</v>
      </c>
      <c r="EOH1339" s="4" t="s">
        <v>2883</v>
      </c>
      <c r="EOI1339" s="4" t="s">
        <v>2883</v>
      </c>
      <c r="EOJ1339" s="4" t="s">
        <v>2883</v>
      </c>
      <c r="EOK1339" s="4" t="s">
        <v>2883</v>
      </c>
      <c r="EOL1339" s="4" t="s">
        <v>2883</v>
      </c>
      <c r="EOM1339" s="4" t="s">
        <v>2883</v>
      </c>
      <c r="EON1339" s="4" t="s">
        <v>2883</v>
      </c>
      <c r="EOO1339" s="4" t="s">
        <v>2883</v>
      </c>
      <c r="EOP1339" s="4" t="s">
        <v>2883</v>
      </c>
      <c r="EOQ1339" s="4" t="s">
        <v>2883</v>
      </c>
      <c r="EOR1339" s="4" t="s">
        <v>2883</v>
      </c>
      <c r="EOS1339" s="4" t="s">
        <v>2883</v>
      </c>
      <c r="EOT1339" s="4" t="s">
        <v>2883</v>
      </c>
      <c r="EOU1339" s="4" t="s">
        <v>2883</v>
      </c>
      <c r="EOV1339" s="4" t="s">
        <v>2883</v>
      </c>
      <c r="EOW1339" s="4" t="s">
        <v>2883</v>
      </c>
      <c r="EOX1339" s="4" t="s">
        <v>2883</v>
      </c>
      <c r="EOY1339" s="4" t="s">
        <v>2883</v>
      </c>
      <c r="EOZ1339" s="4" t="s">
        <v>2883</v>
      </c>
      <c r="EPA1339" s="4" t="s">
        <v>2883</v>
      </c>
      <c r="EPB1339" s="4" t="s">
        <v>2883</v>
      </c>
      <c r="EPC1339" s="4" t="s">
        <v>2883</v>
      </c>
      <c r="EPD1339" s="4" t="s">
        <v>2883</v>
      </c>
      <c r="EPE1339" s="4" t="s">
        <v>2883</v>
      </c>
      <c r="EPF1339" s="4" t="s">
        <v>2883</v>
      </c>
      <c r="EPG1339" s="4" t="s">
        <v>2883</v>
      </c>
      <c r="EPH1339" s="4" t="s">
        <v>2883</v>
      </c>
      <c r="EPI1339" s="4" t="s">
        <v>2883</v>
      </c>
      <c r="EPJ1339" s="4" t="s">
        <v>2883</v>
      </c>
      <c r="EPK1339" s="4" t="s">
        <v>2883</v>
      </c>
      <c r="EPL1339" s="4" t="s">
        <v>2883</v>
      </c>
      <c r="EPM1339" s="4" t="s">
        <v>2883</v>
      </c>
      <c r="EPN1339" s="4" t="s">
        <v>2883</v>
      </c>
      <c r="EPO1339" s="4" t="s">
        <v>2883</v>
      </c>
      <c r="EPP1339" s="4" t="s">
        <v>2883</v>
      </c>
      <c r="EPQ1339" s="4" t="s">
        <v>2883</v>
      </c>
      <c r="EPR1339" s="4" t="s">
        <v>2883</v>
      </c>
      <c r="EPS1339" s="4" t="s">
        <v>2883</v>
      </c>
      <c r="EPT1339" s="4" t="s">
        <v>2883</v>
      </c>
      <c r="EPU1339" s="4" t="s">
        <v>2883</v>
      </c>
      <c r="EPV1339" s="4" t="s">
        <v>2883</v>
      </c>
      <c r="EPW1339" s="4" t="s">
        <v>2883</v>
      </c>
      <c r="EPX1339" s="4" t="s">
        <v>2883</v>
      </c>
      <c r="EPY1339" s="4" t="s">
        <v>2883</v>
      </c>
      <c r="EPZ1339" s="4" t="s">
        <v>2883</v>
      </c>
      <c r="EQA1339" s="4" t="s">
        <v>2883</v>
      </c>
      <c r="EQB1339" s="4" t="s">
        <v>2883</v>
      </c>
      <c r="EQC1339" s="4" t="s">
        <v>2883</v>
      </c>
      <c r="EQD1339" s="4" t="s">
        <v>2883</v>
      </c>
      <c r="EQE1339" s="4" t="s">
        <v>2883</v>
      </c>
      <c r="EQF1339" s="4" t="s">
        <v>2883</v>
      </c>
      <c r="EQG1339" s="4" t="s">
        <v>2883</v>
      </c>
      <c r="EQH1339" s="4" t="s">
        <v>2883</v>
      </c>
      <c r="EQI1339" s="4" t="s">
        <v>2883</v>
      </c>
      <c r="EQJ1339" s="4" t="s">
        <v>2883</v>
      </c>
      <c r="EQK1339" s="4" t="s">
        <v>2883</v>
      </c>
      <c r="EQL1339" s="4" t="s">
        <v>2883</v>
      </c>
      <c r="EQM1339" s="4" t="s">
        <v>2883</v>
      </c>
      <c r="EQN1339" s="4" t="s">
        <v>2883</v>
      </c>
      <c r="EQO1339" s="4" t="s">
        <v>2883</v>
      </c>
      <c r="EQP1339" s="4" t="s">
        <v>2883</v>
      </c>
      <c r="EQQ1339" s="4" t="s">
        <v>2883</v>
      </c>
      <c r="EQR1339" s="4" t="s">
        <v>2883</v>
      </c>
      <c r="EQS1339" s="4" t="s">
        <v>2883</v>
      </c>
      <c r="EQT1339" s="4" t="s">
        <v>2883</v>
      </c>
      <c r="EQU1339" s="4" t="s">
        <v>2883</v>
      </c>
      <c r="EQV1339" s="4" t="s">
        <v>2883</v>
      </c>
      <c r="EQW1339" s="4" t="s">
        <v>2883</v>
      </c>
      <c r="EQX1339" s="4" t="s">
        <v>2883</v>
      </c>
      <c r="EQY1339" s="4" t="s">
        <v>2883</v>
      </c>
      <c r="EQZ1339" s="4" t="s">
        <v>2883</v>
      </c>
      <c r="ERA1339" s="4" t="s">
        <v>2883</v>
      </c>
      <c r="ERB1339" s="4" t="s">
        <v>2883</v>
      </c>
      <c r="ERC1339" s="4" t="s">
        <v>2883</v>
      </c>
      <c r="ERD1339" s="4" t="s">
        <v>2883</v>
      </c>
      <c r="ERE1339" s="4" t="s">
        <v>2883</v>
      </c>
      <c r="ERF1339" s="4" t="s">
        <v>2883</v>
      </c>
      <c r="ERG1339" s="4" t="s">
        <v>2883</v>
      </c>
      <c r="ERH1339" s="4" t="s">
        <v>2883</v>
      </c>
      <c r="ERI1339" s="4" t="s">
        <v>2883</v>
      </c>
      <c r="ERJ1339" s="4" t="s">
        <v>2883</v>
      </c>
      <c r="ERK1339" s="4" t="s">
        <v>2883</v>
      </c>
      <c r="ERL1339" s="4" t="s">
        <v>2883</v>
      </c>
      <c r="ERM1339" s="4" t="s">
        <v>2883</v>
      </c>
      <c r="ERN1339" s="4" t="s">
        <v>2883</v>
      </c>
      <c r="ERO1339" s="4" t="s">
        <v>2883</v>
      </c>
      <c r="ERP1339" s="4" t="s">
        <v>2883</v>
      </c>
      <c r="ERQ1339" s="4" t="s">
        <v>2883</v>
      </c>
      <c r="ERR1339" s="4" t="s">
        <v>2883</v>
      </c>
      <c r="ERS1339" s="4" t="s">
        <v>2883</v>
      </c>
      <c r="ERT1339" s="4" t="s">
        <v>2883</v>
      </c>
      <c r="ERU1339" s="4" t="s">
        <v>2883</v>
      </c>
      <c r="ERV1339" s="4" t="s">
        <v>2883</v>
      </c>
      <c r="ERW1339" s="4" t="s">
        <v>2883</v>
      </c>
      <c r="ERX1339" s="4" t="s">
        <v>2883</v>
      </c>
      <c r="ERY1339" s="4" t="s">
        <v>2883</v>
      </c>
      <c r="ERZ1339" s="4" t="s">
        <v>2883</v>
      </c>
      <c r="ESA1339" s="4" t="s">
        <v>2883</v>
      </c>
      <c r="ESB1339" s="4" t="s">
        <v>2883</v>
      </c>
      <c r="ESC1339" s="4" t="s">
        <v>2883</v>
      </c>
      <c r="ESD1339" s="4" t="s">
        <v>2883</v>
      </c>
      <c r="ESE1339" s="4" t="s">
        <v>2883</v>
      </c>
      <c r="ESF1339" s="4" t="s">
        <v>2883</v>
      </c>
      <c r="ESG1339" s="4" t="s">
        <v>2883</v>
      </c>
      <c r="ESH1339" s="4" t="s">
        <v>2883</v>
      </c>
      <c r="ESI1339" s="4" t="s">
        <v>2883</v>
      </c>
      <c r="ESJ1339" s="4" t="s">
        <v>2883</v>
      </c>
      <c r="ESK1339" s="4" t="s">
        <v>2883</v>
      </c>
      <c r="ESL1339" s="4" t="s">
        <v>2883</v>
      </c>
      <c r="ESM1339" s="4" t="s">
        <v>2883</v>
      </c>
      <c r="ESN1339" s="4" t="s">
        <v>2883</v>
      </c>
      <c r="ESO1339" s="4" t="s">
        <v>2883</v>
      </c>
      <c r="ESP1339" s="4" t="s">
        <v>2883</v>
      </c>
      <c r="ESQ1339" s="4" t="s">
        <v>2883</v>
      </c>
      <c r="ESR1339" s="4" t="s">
        <v>2883</v>
      </c>
      <c r="ESS1339" s="4" t="s">
        <v>2883</v>
      </c>
      <c r="EST1339" s="4" t="s">
        <v>2883</v>
      </c>
      <c r="ESU1339" s="4" t="s">
        <v>2883</v>
      </c>
      <c r="ESV1339" s="4" t="s">
        <v>2883</v>
      </c>
      <c r="ESW1339" s="4" t="s">
        <v>2883</v>
      </c>
      <c r="ESX1339" s="4" t="s">
        <v>2883</v>
      </c>
      <c r="ESY1339" s="4" t="s">
        <v>2883</v>
      </c>
      <c r="ESZ1339" s="4" t="s">
        <v>2883</v>
      </c>
      <c r="ETA1339" s="4" t="s">
        <v>2883</v>
      </c>
      <c r="ETB1339" s="4" t="s">
        <v>2883</v>
      </c>
      <c r="ETC1339" s="4" t="s">
        <v>2883</v>
      </c>
      <c r="ETD1339" s="4" t="s">
        <v>2883</v>
      </c>
      <c r="ETE1339" s="4" t="s">
        <v>2883</v>
      </c>
      <c r="ETF1339" s="4" t="s">
        <v>2883</v>
      </c>
      <c r="ETG1339" s="4" t="s">
        <v>2883</v>
      </c>
      <c r="ETH1339" s="4" t="s">
        <v>2883</v>
      </c>
      <c r="ETI1339" s="4" t="s">
        <v>2883</v>
      </c>
      <c r="ETJ1339" s="4" t="s">
        <v>2883</v>
      </c>
      <c r="ETK1339" s="4" t="s">
        <v>2883</v>
      </c>
      <c r="ETL1339" s="4" t="s">
        <v>2883</v>
      </c>
      <c r="ETM1339" s="4" t="s">
        <v>2883</v>
      </c>
      <c r="ETN1339" s="4" t="s">
        <v>2883</v>
      </c>
      <c r="ETO1339" s="4" t="s">
        <v>2883</v>
      </c>
      <c r="ETP1339" s="4" t="s">
        <v>2883</v>
      </c>
      <c r="ETQ1339" s="4" t="s">
        <v>2883</v>
      </c>
      <c r="ETR1339" s="4" t="s">
        <v>2883</v>
      </c>
      <c r="ETS1339" s="4" t="s">
        <v>2883</v>
      </c>
      <c r="ETT1339" s="4" t="s">
        <v>2883</v>
      </c>
      <c r="ETU1339" s="4" t="s">
        <v>2883</v>
      </c>
      <c r="ETV1339" s="4" t="s">
        <v>2883</v>
      </c>
      <c r="ETW1339" s="4" t="s">
        <v>2883</v>
      </c>
      <c r="ETX1339" s="4" t="s">
        <v>2883</v>
      </c>
      <c r="ETY1339" s="4" t="s">
        <v>2883</v>
      </c>
      <c r="ETZ1339" s="4" t="s">
        <v>2883</v>
      </c>
      <c r="EUA1339" s="4" t="s">
        <v>2883</v>
      </c>
      <c r="EUB1339" s="4" t="s">
        <v>2883</v>
      </c>
      <c r="EUC1339" s="4" t="s">
        <v>2883</v>
      </c>
      <c r="EUD1339" s="4" t="s">
        <v>2883</v>
      </c>
      <c r="EUE1339" s="4" t="s">
        <v>2883</v>
      </c>
      <c r="EUF1339" s="4" t="s">
        <v>2883</v>
      </c>
      <c r="EUG1339" s="4" t="s">
        <v>2883</v>
      </c>
      <c r="EUH1339" s="4" t="s">
        <v>2883</v>
      </c>
      <c r="EUI1339" s="4" t="s">
        <v>2883</v>
      </c>
      <c r="EUJ1339" s="4" t="s">
        <v>2883</v>
      </c>
      <c r="EUK1339" s="4" t="s">
        <v>2883</v>
      </c>
      <c r="EUL1339" s="4" t="s">
        <v>2883</v>
      </c>
      <c r="EUM1339" s="4" t="s">
        <v>2883</v>
      </c>
      <c r="EUN1339" s="4" t="s">
        <v>2883</v>
      </c>
      <c r="EUO1339" s="4" t="s">
        <v>2883</v>
      </c>
      <c r="EUP1339" s="4" t="s">
        <v>2883</v>
      </c>
      <c r="EUQ1339" s="4" t="s">
        <v>2883</v>
      </c>
      <c r="EUR1339" s="4" t="s">
        <v>2883</v>
      </c>
      <c r="EUS1339" s="4" t="s">
        <v>2883</v>
      </c>
      <c r="EUT1339" s="4" t="s">
        <v>2883</v>
      </c>
      <c r="EUU1339" s="4" t="s">
        <v>2883</v>
      </c>
      <c r="EUV1339" s="4" t="s">
        <v>2883</v>
      </c>
      <c r="EUW1339" s="4" t="s">
        <v>2883</v>
      </c>
      <c r="EUX1339" s="4" t="s">
        <v>2883</v>
      </c>
      <c r="EUY1339" s="4" t="s">
        <v>2883</v>
      </c>
      <c r="EUZ1339" s="4" t="s">
        <v>2883</v>
      </c>
      <c r="EVA1339" s="4" t="s">
        <v>2883</v>
      </c>
      <c r="EVB1339" s="4" t="s">
        <v>2883</v>
      </c>
      <c r="EVC1339" s="4" t="s">
        <v>2883</v>
      </c>
      <c r="EVD1339" s="4" t="s">
        <v>2883</v>
      </c>
      <c r="EVE1339" s="4" t="s">
        <v>2883</v>
      </c>
      <c r="EVF1339" s="4" t="s">
        <v>2883</v>
      </c>
      <c r="EVG1339" s="4" t="s">
        <v>2883</v>
      </c>
      <c r="EVH1339" s="4" t="s">
        <v>2883</v>
      </c>
      <c r="EVI1339" s="4" t="s">
        <v>2883</v>
      </c>
      <c r="EVJ1339" s="4" t="s">
        <v>2883</v>
      </c>
      <c r="EVK1339" s="4" t="s">
        <v>2883</v>
      </c>
      <c r="EVL1339" s="4" t="s">
        <v>2883</v>
      </c>
      <c r="EVM1339" s="4" t="s">
        <v>2883</v>
      </c>
      <c r="EVN1339" s="4" t="s">
        <v>2883</v>
      </c>
      <c r="EVO1339" s="4" t="s">
        <v>2883</v>
      </c>
      <c r="EVP1339" s="4" t="s">
        <v>2883</v>
      </c>
      <c r="EVQ1339" s="4" t="s">
        <v>2883</v>
      </c>
      <c r="EVR1339" s="4" t="s">
        <v>2883</v>
      </c>
      <c r="EVS1339" s="4" t="s">
        <v>2883</v>
      </c>
      <c r="EVT1339" s="4" t="s">
        <v>2883</v>
      </c>
      <c r="EVU1339" s="4" t="s">
        <v>2883</v>
      </c>
      <c r="EVV1339" s="4" t="s">
        <v>2883</v>
      </c>
      <c r="EVW1339" s="4" t="s">
        <v>2883</v>
      </c>
      <c r="EVX1339" s="4" t="s">
        <v>2883</v>
      </c>
      <c r="EVY1339" s="4" t="s">
        <v>2883</v>
      </c>
      <c r="EVZ1339" s="4" t="s">
        <v>2883</v>
      </c>
      <c r="EWA1339" s="4" t="s">
        <v>2883</v>
      </c>
      <c r="EWB1339" s="4" t="s">
        <v>2883</v>
      </c>
      <c r="EWC1339" s="4" t="s">
        <v>2883</v>
      </c>
      <c r="EWD1339" s="4" t="s">
        <v>2883</v>
      </c>
      <c r="EWE1339" s="4" t="s">
        <v>2883</v>
      </c>
      <c r="EWF1339" s="4" t="s">
        <v>2883</v>
      </c>
      <c r="EWG1339" s="4" t="s">
        <v>2883</v>
      </c>
      <c r="EWH1339" s="4" t="s">
        <v>2883</v>
      </c>
      <c r="EWI1339" s="4" t="s">
        <v>2883</v>
      </c>
      <c r="EWJ1339" s="4" t="s">
        <v>2883</v>
      </c>
      <c r="EWK1339" s="4" t="s">
        <v>2883</v>
      </c>
      <c r="EWL1339" s="4" t="s">
        <v>2883</v>
      </c>
      <c r="EWM1339" s="4" t="s">
        <v>2883</v>
      </c>
      <c r="EWN1339" s="4" t="s">
        <v>2883</v>
      </c>
      <c r="EWO1339" s="4" t="s">
        <v>2883</v>
      </c>
      <c r="EWP1339" s="4" t="s">
        <v>2883</v>
      </c>
      <c r="EWQ1339" s="4" t="s">
        <v>2883</v>
      </c>
      <c r="EWR1339" s="4" t="s">
        <v>2883</v>
      </c>
      <c r="EWS1339" s="4" t="s">
        <v>2883</v>
      </c>
      <c r="EWT1339" s="4" t="s">
        <v>2883</v>
      </c>
      <c r="EWU1339" s="4" t="s">
        <v>2883</v>
      </c>
      <c r="EWV1339" s="4" t="s">
        <v>2883</v>
      </c>
      <c r="EWW1339" s="4" t="s">
        <v>2883</v>
      </c>
      <c r="EWX1339" s="4" t="s">
        <v>2883</v>
      </c>
      <c r="EWY1339" s="4" t="s">
        <v>2883</v>
      </c>
      <c r="EWZ1339" s="4" t="s">
        <v>2883</v>
      </c>
      <c r="EXA1339" s="4" t="s">
        <v>2883</v>
      </c>
      <c r="EXB1339" s="4" t="s">
        <v>2883</v>
      </c>
      <c r="EXC1339" s="4" t="s">
        <v>2883</v>
      </c>
      <c r="EXD1339" s="4" t="s">
        <v>2883</v>
      </c>
      <c r="EXE1339" s="4" t="s">
        <v>2883</v>
      </c>
      <c r="EXF1339" s="4" t="s">
        <v>2883</v>
      </c>
      <c r="EXG1339" s="4" t="s">
        <v>2883</v>
      </c>
      <c r="EXH1339" s="4" t="s">
        <v>2883</v>
      </c>
      <c r="EXI1339" s="4" t="s">
        <v>2883</v>
      </c>
      <c r="EXJ1339" s="4" t="s">
        <v>2883</v>
      </c>
      <c r="EXK1339" s="4" t="s">
        <v>2883</v>
      </c>
      <c r="EXL1339" s="4" t="s">
        <v>2883</v>
      </c>
      <c r="EXM1339" s="4" t="s">
        <v>2883</v>
      </c>
      <c r="EXN1339" s="4" t="s">
        <v>2883</v>
      </c>
      <c r="EXO1339" s="4" t="s">
        <v>2883</v>
      </c>
      <c r="EXP1339" s="4" t="s">
        <v>2883</v>
      </c>
      <c r="EXQ1339" s="4" t="s">
        <v>2883</v>
      </c>
      <c r="EXR1339" s="4" t="s">
        <v>2883</v>
      </c>
      <c r="EXS1339" s="4" t="s">
        <v>2883</v>
      </c>
      <c r="EXT1339" s="4" t="s">
        <v>2883</v>
      </c>
      <c r="EXU1339" s="4" t="s">
        <v>2883</v>
      </c>
      <c r="EXV1339" s="4" t="s">
        <v>2883</v>
      </c>
      <c r="EXW1339" s="4" t="s">
        <v>2883</v>
      </c>
      <c r="EXX1339" s="4" t="s">
        <v>2883</v>
      </c>
      <c r="EXY1339" s="4" t="s">
        <v>2883</v>
      </c>
      <c r="EXZ1339" s="4" t="s">
        <v>2883</v>
      </c>
      <c r="EYA1339" s="4" t="s">
        <v>2883</v>
      </c>
      <c r="EYB1339" s="4" t="s">
        <v>2883</v>
      </c>
      <c r="EYC1339" s="4" t="s">
        <v>2883</v>
      </c>
      <c r="EYD1339" s="4" t="s">
        <v>2883</v>
      </c>
      <c r="EYE1339" s="4" t="s">
        <v>2883</v>
      </c>
      <c r="EYF1339" s="4" t="s">
        <v>2883</v>
      </c>
      <c r="EYG1339" s="4" t="s">
        <v>2883</v>
      </c>
      <c r="EYH1339" s="4" t="s">
        <v>2883</v>
      </c>
      <c r="EYI1339" s="4" t="s">
        <v>2883</v>
      </c>
      <c r="EYJ1339" s="4" t="s">
        <v>2883</v>
      </c>
      <c r="EYK1339" s="4" t="s">
        <v>2883</v>
      </c>
      <c r="EYL1339" s="4" t="s">
        <v>2883</v>
      </c>
      <c r="EYM1339" s="4" t="s">
        <v>2883</v>
      </c>
      <c r="EYN1339" s="4" t="s">
        <v>2883</v>
      </c>
      <c r="EYO1339" s="4" t="s">
        <v>2883</v>
      </c>
      <c r="EYP1339" s="4" t="s">
        <v>2883</v>
      </c>
      <c r="EYQ1339" s="4" t="s">
        <v>2883</v>
      </c>
      <c r="EYR1339" s="4" t="s">
        <v>2883</v>
      </c>
      <c r="EYS1339" s="4" t="s">
        <v>2883</v>
      </c>
      <c r="EYT1339" s="4" t="s">
        <v>2883</v>
      </c>
      <c r="EYU1339" s="4" t="s">
        <v>2883</v>
      </c>
      <c r="EYV1339" s="4" t="s">
        <v>2883</v>
      </c>
      <c r="EYW1339" s="4" t="s">
        <v>2883</v>
      </c>
      <c r="EYX1339" s="4" t="s">
        <v>2883</v>
      </c>
      <c r="EYY1339" s="4" t="s">
        <v>2883</v>
      </c>
      <c r="EYZ1339" s="4" t="s">
        <v>2883</v>
      </c>
      <c r="EZA1339" s="4" t="s">
        <v>2883</v>
      </c>
      <c r="EZB1339" s="4" t="s">
        <v>2883</v>
      </c>
      <c r="EZC1339" s="4" t="s">
        <v>2883</v>
      </c>
      <c r="EZD1339" s="4" t="s">
        <v>2883</v>
      </c>
      <c r="EZE1339" s="4" t="s">
        <v>2883</v>
      </c>
      <c r="EZF1339" s="4" t="s">
        <v>2883</v>
      </c>
      <c r="EZG1339" s="4" t="s">
        <v>2883</v>
      </c>
      <c r="EZH1339" s="4" t="s">
        <v>2883</v>
      </c>
      <c r="EZI1339" s="4" t="s">
        <v>2883</v>
      </c>
      <c r="EZJ1339" s="4" t="s">
        <v>2883</v>
      </c>
      <c r="EZK1339" s="4" t="s">
        <v>2883</v>
      </c>
      <c r="EZL1339" s="4" t="s">
        <v>2883</v>
      </c>
      <c r="EZM1339" s="4" t="s">
        <v>2883</v>
      </c>
      <c r="EZN1339" s="4" t="s">
        <v>2883</v>
      </c>
      <c r="EZO1339" s="4" t="s">
        <v>2883</v>
      </c>
      <c r="EZP1339" s="4" t="s">
        <v>2883</v>
      </c>
      <c r="EZQ1339" s="4" t="s">
        <v>2883</v>
      </c>
      <c r="EZR1339" s="4" t="s">
        <v>2883</v>
      </c>
      <c r="EZS1339" s="4" t="s">
        <v>2883</v>
      </c>
      <c r="EZT1339" s="4" t="s">
        <v>2883</v>
      </c>
      <c r="EZU1339" s="4" t="s">
        <v>2883</v>
      </c>
      <c r="EZV1339" s="4" t="s">
        <v>2883</v>
      </c>
      <c r="EZW1339" s="4" t="s">
        <v>2883</v>
      </c>
      <c r="EZX1339" s="4" t="s">
        <v>2883</v>
      </c>
      <c r="EZY1339" s="4" t="s">
        <v>2883</v>
      </c>
      <c r="EZZ1339" s="4" t="s">
        <v>2883</v>
      </c>
      <c r="FAA1339" s="4" t="s">
        <v>2883</v>
      </c>
      <c r="FAB1339" s="4" t="s">
        <v>2883</v>
      </c>
      <c r="FAC1339" s="4" t="s">
        <v>2883</v>
      </c>
      <c r="FAD1339" s="4" t="s">
        <v>2883</v>
      </c>
      <c r="FAE1339" s="4" t="s">
        <v>2883</v>
      </c>
      <c r="FAF1339" s="4" t="s">
        <v>2883</v>
      </c>
      <c r="FAG1339" s="4" t="s">
        <v>2883</v>
      </c>
      <c r="FAH1339" s="4" t="s">
        <v>2883</v>
      </c>
      <c r="FAI1339" s="4" t="s">
        <v>2883</v>
      </c>
      <c r="FAJ1339" s="4" t="s">
        <v>2883</v>
      </c>
      <c r="FAK1339" s="4" t="s">
        <v>2883</v>
      </c>
      <c r="FAL1339" s="4" t="s">
        <v>2883</v>
      </c>
      <c r="FAM1339" s="4" t="s">
        <v>2883</v>
      </c>
      <c r="FAN1339" s="4" t="s">
        <v>2883</v>
      </c>
      <c r="FAO1339" s="4" t="s">
        <v>2883</v>
      </c>
      <c r="FAP1339" s="4" t="s">
        <v>2883</v>
      </c>
      <c r="FAQ1339" s="4" t="s">
        <v>2883</v>
      </c>
      <c r="FAR1339" s="4" t="s">
        <v>2883</v>
      </c>
      <c r="FAS1339" s="4" t="s">
        <v>2883</v>
      </c>
      <c r="FAT1339" s="4" t="s">
        <v>2883</v>
      </c>
      <c r="FAU1339" s="4" t="s">
        <v>2883</v>
      </c>
      <c r="FAV1339" s="4" t="s">
        <v>2883</v>
      </c>
      <c r="FAW1339" s="4" t="s">
        <v>2883</v>
      </c>
      <c r="FAX1339" s="4" t="s">
        <v>2883</v>
      </c>
      <c r="FAY1339" s="4" t="s">
        <v>2883</v>
      </c>
      <c r="FAZ1339" s="4" t="s">
        <v>2883</v>
      </c>
      <c r="FBA1339" s="4" t="s">
        <v>2883</v>
      </c>
      <c r="FBB1339" s="4" t="s">
        <v>2883</v>
      </c>
      <c r="FBC1339" s="4" t="s">
        <v>2883</v>
      </c>
      <c r="FBD1339" s="4" t="s">
        <v>2883</v>
      </c>
      <c r="FBE1339" s="4" t="s">
        <v>2883</v>
      </c>
      <c r="FBF1339" s="4" t="s">
        <v>2883</v>
      </c>
      <c r="FBG1339" s="4" t="s">
        <v>2883</v>
      </c>
      <c r="FBH1339" s="4" t="s">
        <v>2883</v>
      </c>
      <c r="FBI1339" s="4" t="s">
        <v>2883</v>
      </c>
      <c r="FBJ1339" s="4" t="s">
        <v>2883</v>
      </c>
      <c r="FBK1339" s="4" t="s">
        <v>2883</v>
      </c>
      <c r="FBL1339" s="4" t="s">
        <v>2883</v>
      </c>
      <c r="FBM1339" s="4" t="s">
        <v>2883</v>
      </c>
      <c r="FBN1339" s="4" t="s">
        <v>2883</v>
      </c>
      <c r="FBO1339" s="4" t="s">
        <v>2883</v>
      </c>
      <c r="FBP1339" s="4" t="s">
        <v>2883</v>
      </c>
      <c r="FBQ1339" s="4" t="s">
        <v>2883</v>
      </c>
      <c r="FBR1339" s="4" t="s">
        <v>2883</v>
      </c>
      <c r="FBS1339" s="4" t="s">
        <v>2883</v>
      </c>
      <c r="FBT1339" s="4" t="s">
        <v>2883</v>
      </c>
      <c r="FBU1339" s="4" t="s">
        <v>2883</v>
      </c>
      <c r="FBV1339" s="4" t="s">
        <v>2883</v>
      </c>
      <c r="FBW1339" s="4" t="s">
        <v>2883</v>
      </c>
      <c r="FBX1339" s="4" t="s">
        <v>2883</v>
      </c>
      <c r="FBY1339" s="4" t="s">
        <v>2883</v>
      </c>
      <c r="FBZ1339" s="4" t="s">
        <v>2883</v>
      </c>
      <c r="FCA1339" s="4" t="s">
        <v>2883</v>
      </c>
      <c r="FCB1339" s="4" t="s">
        <v>2883</v>
      </c>
      <c r="FCC1339" s="4" t="s">
        <v>2883</v>
      </c>
      <c r="FCD1339" s="4" t="s">
        <v>2883</v>
      </c>
      <c r="FCE1339" s="4" t="s">
        <v>2883</v>
      </c>
      <c r="FCF1339" s="4" t="s">
        <v>2883</v>
      </c>
      <c r="FCG1339" s="4" t="s">
        <v>2883</v>
      </c>
      <c r="FCH1339" s="4" t="s">
        <v>2883</v>
      </c>
      <c r="FCI1339" s="4" t="s">
        <v>2883</v>
      </c>
      <c r="FCJ1339" s="4" t="s">
        <v>2883</v>
      </c>
      <c r="FCK1339" s="4" t="s">
        <v>2883</v>
      </c>
      <c r="FCL1339" s="4" t="s">
        <v>2883</v>
      </c>
      <c r="FCM1339" s="4" t="s">
        <v>2883</v>
      </c>
      <c r="FCN1339" s="4" t="s">
        <v>2883</v>
      </c>
      <c r="FCO1339" s="4" t="s">
        <v>2883</v>
      </c>
      <c r="FCP1339" s="4" t="s">
        <v>2883</v>
      </c>
      <c r="FCQ1339" s="4" t="s">
        <v>2883</v>
      </c>
      <c r="FCR1339" s="4" t="s">
        <v>2883</v>
      </c>
      <c r="FCS1339" s="4" t="s">
        <v>2883</v>
      </c>
      <c r="FCT1339" s="4" t="s">
        <v>2883</v>
      </c>
      <c r="FCU1339" s="4" t="s">
        <v>2883</v>
      </c>
      <c r="FCV1339" s="4" t="s">
        <v>2883</v>
      </c>
      <c r="FCW1339" s="4" t="s">
        <v>2883</v>
      </c>
      <c r="FCX1339" s="4" t="s">
        <v>2883</v>
      </c>
      <c r="FCY1339" s="4" t="s">
        <v>2883</v>
      </c>
      <c r="FCZ1339" s="4" t="s">
        <v>2883</v>
      </c>
      <c r="FDA1339" s="4" t="s">
        <v>2883</v>
      </c>
      <c r="FDB1339" s="4" t="s">
        <v>2883</v>
      </c>
      <c r="FDC1339" s="4" t="s">
        <v>2883</v>
      </c>
      <c r="FDD1339" s="4" t="s">
        <v>2883</v>
      </c>
      <c r="FDE1339" s="4" t="s">
        <v>2883</v>
      </c>
      <c r="FDF1339" s="4" t="s">
        <v>2883</v>
      </c>
      <c r="FDG1339" s="4" t="s">
        <v>2883</v>
      </c>
      <c r="FDH1339" s="4" t="s">
        <v>2883</v>
      </c>
      <c r="FDI1339" s="4" t="s">
        <v>2883</v>
      </c>
      <c r="FDJ1339" s="4" t="s">
        <v>2883</v>
      </c>
      <c r="FDK1339" s="4" t="s">
        <v>2883</v>
      </c>
      <c r="FDL1339" s="4" t="s">
        <v>2883</v>
      </c>
      <c r="FDM1339" s="4" t="s">
        <v>2883</v>
      </c>
      <c r="FDN1339" s="4" t="s">
        <v>2883</v>
      </c>
      <c r="FDO1339" s="4" t="s">
        <v>2883</v>
      </c>
      <c r="FDP1339" s="4" t="s">
        <v>2883</v>
      </c>
      <c r="FDQ1339" s="4" t="s">
        <v>2883</v>
      </c>
      <c r="FDR1339" s="4" t="s">
        <v>2883</v>
      </c>
      <c r="FDS1339" s="4" t="s">
        <v>2883</v>
      </c>
      <c r="FDT1339" s="4" t="s">
        <v>2883</v>
      </c>
      <c r="FDU1339" s="4" t="s">
        <v>2883</v>
      </c>
      <c r="FDV1339" s="4" t="s">
        <v>2883</v>
      </c>
      <c r="FDW1339" s="4" t="s">
        <v>2883</v>
      </c>
      <c r="FDX1339" s="4" t="s">
        <v>2883</v>
      </c>
      <c r="FDY1339" s="4" t="s">
        <v>2883</v>
      </c>
      <c r="FDZ1339" s="4" t="s">
        <v>2883</v>
      </c>
      <c r="FEA1339" s="4" t="s">
        <v>2883</v>
      </c>
      <c r="FEB1339" s="4" t="s">
        <v>2883</v>
      </c>
      <c r="FEC1339" s="4" t="s">
        <v>2883</v>
      </c>
      <c r="FED1339" s="4" t="s">
        <v>2883</v>
      </c>
      <c r="FEE1339" s="4" t="s">
        <v>2883</v>
      </c>
      <c r="FEF1339" s="4" t="s">
        <v>2883</v>
      </c>
      <c r="FEG1339" s="4" t="s">
        <v>2883</v>
      </c>
      <c r="FEH1339" s="4" t="s">
        <v>2883</v>
      </c>
      <c r="FEI1339" s="4" t="s">
        <v>2883</v>
      </c>
      <c r="FEJ1339" s="4" t="s">
        <v>2883</v>
      </c>
      <c r="FEK1339" s="4" t="s">
        <v>2883</v>
      </c>
      <c r="FEL1339" s="4" t="s">
        <v>2883</v>
      </c>
      <c r="FEM1339" s="4" t="s">
        <v>2883</v>
      </c>
      <c r="FEN1339" s="4" t="s">
        <v>2883</v>
      </c>
      <c r="FEO1339" s="4" t="s">
        <v>2883</v>
      </c>
      <c r="FEP1339" s="4" t="s">
        <v>2883</v>
      </c>
      <c r="FEQ1339" s="4" t="s">
        <v>2883</v>
      </c>
      <c r="FER1339" s="4" t="s">
        <v>2883</v>
      </c>
      <c r="FES1339" s="4" t="s">
        <v>2883</v>
      </c>
      <c r="FET1339" s="4" t="s">
        <v>2883</v>
      </c>
      <c r="FEU1339" s="4" t="s">
        <v>2883</v>
      </c>
      <c r="FEV1339" s="4" t="s">
        <v>2883</v>
      </c>
      <c r="FEW1339" s="4" t="s">
        <v>2883</v>
      </c>
      <c r="FEX1339" s="4" t="s">
        <v>2883</v>
      </c>
      <c r="FEY1339" s="4" t="s">
        <v>2883</v>
      </c>
      <c r="FEZ1339" s="4" t="s">
        <v>2883</v>
      </c>
      <c r="FFA1339" s="4" t="s">
        <v>2883</v>
      </c>
      <c r="FFB1339" s="4" t="s">
        <v>2883</v>
      </c>
      <c r="FFC1339" s="4" t="s">
        <v>2883</v>
      </c>
      <c r="FFD1339" s="4" t="s">
        <v>2883</v>
      </c>
      <c r="FFE1339" s="4" t="s">
        <v>2883</v>
      </c>
      <c r="FFF1339" s="4" t="s">
        <v>2883</v>
      </c>
      <c r="FFG1339" s="4" t="s">
        <v>2883</v>
      </c>
      <c r="FFH1339" s="4" t="s">
        <v>2883</v>
      </c>
      <c r="FFI1339" s="4" t="s">
        <v>2883</v>
      </c>
      <c r="FFJ1339" s="4" t="s">
        <v>2883</v>
      </c>
      <c r="FFK1339" s="4" t="s">
        <v>2883</v>
      </c>
      <c r="FFL1339" s="4" t="s">
        <v>2883</v>
      </c>
      <c r="FFM1339" s="4" t="s">
        <v>2883</v>
      </c>
      <c r="FFN1339" s="4" t="s">
        <v>2883</v>
      </c>
      <c r="FFO1339" s="4" t="s">
        <v>2883</v>
      </c>
      <c r="FFP1339" s="4" t="s">
        <v>2883</v>
      </c>
      <c r="FFQ1339" s="4" t="s">
        <v>2883</v>
      </c>
      <c r="FFR1339" s="4" t="s">
        <v>2883</v>
      </c>
      <c r="FFS1339" s="4" t="s">
        <v>2883</v>
      </c>
      <c r="FFT1339" s="4" t="s">
        <v>2883</v>
      </c>
      <c r="FFU1339" s="4" t="s">
        <v>2883</v>
      </c>
      <c r="FFV1339" s="4" t="s">
        <v>2883</v>
      </c>
      <c r="FFW1339" s="4" t="s">
        <v>2883</v>
      </c>
      <c r="FFX1339" s="4" t="s">
        <v>2883</v>
      </c>
      <c r="FFY1339" s="4" t="s">
        <v>2883</v>
      </c>
      <c r="FFZ1339" s="4" t="s">
        <v>2883</v>
      </c>
      <c r="FGA1339" s="4" t="s">
        <v>2883</v>
      </c>
      <c r="FGB1339" s="4" t="s">
        <v>2883</v>
      </c>
      <c r="FGC1339" s="4" t="s">
        <v>2883</v>
      </c>
      <c r="FGD1339" s="4" t="s">
        <v>2883</v>
      </c>
      <c r="FGE1339" s="4" t="s">
        <v>2883</v>
      </c>
      <c r="FGF1339" s="4" t="s">
        <v>2883</v>
      </c>
      <c r="FGG1339" s="4" t="s">
        <v>2883</v>
      </c>
      <c r="FGH1339" s="4" t="s">
        <v>2883</v>
      </c>
      <c r="FGI1339" s="4" t="s">
        <v>2883</v>
      </c>
      <c r="FGJ1339" s="4" t="s">
        <v>2883</v>
      </c>
      <c r="FGK1339" s="4" t="s">
        <v>2883</v>
      </c>
      <c r="FGL1339" s="4" t="s">
        <v>2883</v>
      </c>
      <c r="FGM1339" s="4" t="s">
        <v>2883</v>
      </c>
      <c r="FGN1339" s="4" t="s">
        <v>2883</v>
      </c>
      <c r="FGO1339" s="4" t="s">
        <v>2883</v>
      </c>
      <c r="FGP1339" s="4" t="s">
        <v>2883</v>
      </c>
      <c r="FGQ1339" s="4" t="s">
        <v>2883</v>
      </c>
      <c r="FGR1339" s="4" t="s">
        <v>2883</v>
      </c>
      <c r="FGS1339" s="4" t="s">
        <v>2883</v>
      </c>
      <c r="FGT1339" s="4" t="s">
        <v>2883</v>
      </c>
      <c r="FGU1339" s="4" t="s">
        <v>2883</v>
      </c>
      <c r="FGV1339" s="4" t="s">
        <v>2883</v>
      </c>
      <c r="FGW1339" s="4" t="s">
        <v>2883</v>
      </c>
      <c r="FGX1339" s="4" t="s">
        <v>2883</v>
      </c>
      <c r="FGY1339" s="4" t="s">
        <v>2883</v>
      </c>
      <c r="FGZ1339" s="4" t="s">
        <v>2883</v>
      </c>
      <c r="FHA1339" s="4" t="s">
        <v>2883</v>
      </c>
      <c r="FHB1339" s="4" t="s">
        <v>2883</v>
      </c>
      <c r="FHC1339" s="4" t="s">
        <v>2883</v>
      </c>
      <c r="FHD1339" s="4" t="s">
        <v>2883</v>
      </c>
      <c r="FHE1339" s="4" t="s">
        <v>2883</v>
      </c>
      <c r="FHF1339" s="4" t="s">
        <v>2883</v>
      </c>
      <c r="FHG1339" s="4" t="s">
        <v>2883</v>
      </c>
      <c r="FHH1339" s="4" t="s">
        <v>2883</v>
      </c>
      <c r="FHI1339" s="4" t="s">
        <v>2883</v>
      </c>
      <c r="FHJ1339" s="4" t="s">
        <v>2883</v>
      </c>
      <c r="FHK1339" s="4" t="s">
        <v>2883</v>
      </c>
      <c r="FHL1339" s="4" t="s">
        <v>2883</v>
      </c>
      <c r="FHM1339" s="4" t="s">
        <v>2883</v>
      </c>
      <c r="FHN1339" s="4" t="s">
        <v>2883</v>
      </c>
      <c r="FHO1339" s="4" t="s">
        <v>2883</v>
      </c>
      <c r="FHP1339" s="4" t="s">
        <v>2883</v>
      </c>
      <c r="FHQ1339" s="4" t="s">
        <v>2883</v>
      </c>
      <c r="FHR1339" s="4" t="s">
        <v>2883</v>
      </c>
      <c r="FHS1339" s="4" t="s">
        <v>2883</v>
      </c>
      <c r="FHT1339" s="4" t="s">
        <v>2883</v>
      </c>
      <c r="FHU1339" s="4" t="s">
        <v>2883</v>
      </c>
      <c r="FHV1339" s="4" t="s">
        <v>2883</v>
      </c>
      <c r="FHW1339" s="4" t="s">
        <v>2883</v>
      </c>
      <c r="FHX1339" s="4" t="s">
        <v>2883</v>
      </c>
      <c r="FHY1339" s="4" t="s">
        <v>2883</v>
      </c>
      <c r="FHZ1339" s="4" t="s">
        <v>2883</v>
      </c>
      <c r="FIA1339" s="4" t="s">
        <v>2883</v>
      </c>
      <c r="FIB1339" s="4" t="s">
        <v>2883</v>
      </c>
      <c r="FIC1339" s="4" t="s">
        <v>2883</v>
      </c>
      <c r="FID1339" s="4" t="s">
        <v>2883</v>
      </c>
      <c r="FIE1339" s="4" t="s">
        <v>2883</v>
      </c>
      <c r="FIF1339" s="4" t="s">
        <v>2883</v>
      </c>
      <c r="FIG1339" s="4" t="s">
        <v>2883</v>
      </c>
      <c r="FIH1339" s="4" t="s">
        <v>2883</v>
      </c>
      <c r="FII1339" s="4" t="s">
        <v>2883</v>
      </c>
      <c r="FIJ1339" s="4" t="s">
        <v>2883</v>
      </c>
      <c r="FIK1339" s="4" t="s">
        <v>2883</v>
      </c>
      <c r="FIL1339" s="4" t="s">
        <v>2883</v>
      </c>
      <c r="FIM1339" s="4" t="s">
        <v>2883</v>
      </c>
      <c r="FIN1339" s="4" t="s">
        <v>2883</v>
      </c>
      <c r="FIO1339" s="4" t="s">
        <v>2883</v>
      </c>
      <c r="FIP1339" s="4" t="s">
        <v>2883</v>
      </c>
      <c r="FIQ1339" s="4" t="s">
        <v>2883</v>
      </c>
      <c r="FIR1339" s="4" t="s">
        <v>2883</v>
      </c>
      <c r="FIS1339" s="4" t="s">
        <v>2883</v>
      </c>
      <c r="FIT1339" s="4" t="s">
        <v>2883</v>
      </c>
      <c r="FIU1339" s="4" t="s">
        <v>2883</v>
      </c>
      <c r="FIV1339" s="4" t="s">
        <v>2883</v>
      </c>
      <c r="FIW1339" s="4" t="s">
        <v>2883</v>
      </c>
      <c r="FIX1339" s="4" t="s">
        <v>2883</v>
      </c>
      <c r="FIY1339" s="4" t="s">
        <v>2883</v>
      </c>
      <c r="FIZ1339" s="4" t="s">
        <v>2883</v>
      </c>
      <c r="FJA1339" s="4" t="s">
        <v>2883</v>
      </c>
      <c r="FJB1339" s="4" t="s">
        <v>2883</v>
      </c>
      <c r="FJC1339" s="4" t="s">
        <v>2883</v>
      </c>
      <c r="FJD1339" s="4" t="s">
        <v>2883</v>
      </c>
      <c r="FJE1339" s="4" t="s">
        <v>2883</v>
      </c>
      <c r="FJF1339" s="4" t="s">
        <v>2883</v>
      </c>
      <c r="FJG1339" s="4" t="s">
        <v>2883</v>
      </c>
      <c r="FJH1339" s="4" t="s">
        <v>2883</v>
      </c>
      <c r="FJI1339" s="4" t="s">
        <v>2883</v>
      </c>
      <c r="FJJ1339" s="4" t="s">
        <v>2883</v>
      </c>
      <c r="FJK1339" s="4" t="s">
        <v>2883</v>
      </c>
      <c r="FJL1339" s="4" t="s">
        <v>2883</v>
      </c>
      <c r="FJM1339" s="4" t="s">
        <v>2883</v>
      </c>
      <c r="FJN1339" s="4" t="s">
        <v>2883</v>
      </c>
      <c r="FJO1339" s="4" t="s">
        <v>2883</v>
      </c>
      <c r="FJP1339" s="4" t="s">
        <v>2883</v>
      </c>
      <c r="FJQ1339" s="4" t="s">
        <v>2883</v>
      </c>
      <c r="FJR1339" s="4" t="s">
        <v>2883</v>
      </c>
      <c r="FJS1339" s="4" t="s">
        <v>2883</v>
      </c>
      <c r="FJT1339" s="4" t="s">
        <v>2883</v>
      </c>
      <c r="FJU1339" s="4" t="s">
        <v>2883</v>
      </c>
      <c r="FJV1339" s="4" t="s">
        <v>2883</v>
      </c>
      <c r="FJW1339" s="4" t="s">
        <v>2883</v>
      </c>
      <c r="FJX1339" s="4" t="s">
        <v>2883</v>
      </c>
      <c r="FJY1339" s="4" t="s">
        <v>2883</v>
      </c>
      <c r="FJZ1339" s="4" t="s">
        <v>2883</v>
      </c>
      <c r="FKA1339" s="4" t="s">
        <v>2883</v>
      </c>
      <c r="FKB1339" s="4" t="s">
        <v>2883</v>
      </c>
      <c r="FKC1339" s="4" t="s">
        <v>2883</v>
      </c>
      <c r="FKD1339" s="4" t="s">
        <v>2883</v>
      </c>
      <c r="FKE1339" s="4" t="s">
        <v>2883</v>
      </c>
      <c r="FKF1339" s="4" t="s">
        <v>2883</v>
      </c>
      <c r="FKG1339" s="4" t="s">
        <v>2883</v>
      </c>
      <c r="FKH1339" s="4" t="s">
        <v>2883</v>
      </c>
      <c r="FKI1339" s="4" t="s">
        <v>2883</v>
      </c>
      <c r="FKJ1339" s="4" t="s">
        <v>2883</v>
      </c>
      <c r="FKK1339" s="4" t="s">
        <v>2883</v>
      </c>
      <c r="FKL1339" s="4" t="s">
        <v>2883</v>
      </c>
      <c r="FKM1339" s="4" t="s">
        <v>2883</v>
      </c>
      <c r="FKN1339" s="4" t="s">
        <v>2883</v>
      </c>
      <c r="FKO1339" s="4" t="s">
        <v>2883</v>
      </c>
      <c r="FKP1339" s="4" t="s">
        <v>2883</v>
      </c>
      <c r="FKQ1339" s="4" t="s">
        <v>2883</v>
      </c>
      <c r="FKR1339" s="4" t="s">
        <v>2883</v>
      </c>
      <c r="FKS1339" s="4" t="s">
        <v>2883</v>
      </c>
      <c r="FKT1339" s="4" t="s">
        <v>2883</v>
      </c>
      <c r="FKU1339" s="4" t="s">
        <v>2883</v>
      </c>
      <c r="FKV1339" s="4" t="s">
        <v>2883</v>
      </c>
      <c r="FKW1339" s="4" t="s">
        <v>2883</v>
      </c>
      <c r="FKX1339" s="4" t="s">
        <v>2883</v>
      </c>
      <c r="FKY1339" s="4" t="s">
        <v>2883</v>
      </c>
      <c r="FKZ1339" s="4" t="s">
        <v>2883</v>
      </c>
      <c r="FLA1339" s="4" t="s">
        <v>2883</v>
      </c>
      <c r="FLB1339" s="4" t="s">
        <v>2883</v>
      </c>
      <c r="FLC1339" s="4" t="s">
        <v>2883</v>
      </c>
      <c r="FLD1339" s="4" t="s">
        <v>2883</v>
      </c>
      <c r="FLE1339" s="4" t="s">
        <v>2883</v>
      </c>
      <c r="FLF1339" s="4" t="s">
        <v>2883</v>
      </c>
      <c r="FLG1339" s="4" t="s">
        <v>2883</v>
      </c>
      <c r="FLH1339" s="4" t="s">
        <v>2883</v>
      </c>
      <c r="FLI1339" s="4" t="s">
        <v>2883</v>
      </c>
      <c r="FLJ1339" s="4" t="s">
        <v>2883</v>
      </c>
      <c r="FLK1339" s="4" t="s">
        <v>2883</v>
      </c>
      <c r="FLL1339" s="4" t="s">
        <v>2883</v>
      </c>
      <c r="FLM1339" s="4" t="s">
        <v>2883</v>
      </c>
      <c r="FLN1339" s="4" t="s">
        <v>2883</v>
      </c>
      <c r="FLO1339" s="4" t="s">
        <v>2883</v>
      </c>
      <c r="FLP1339" s="4" t="s">
        <v>2883</v>
      </c>
      <c r="FLQ1339" s="4" t="s">
        <v>2883</v>
      </c>
      <c r="FLR1339" s="4" t="s">
        <v>2883</v>
      </c>
      <c r="FLS1339" s="4" t="s">
        <v>2883</v>
      </c>
      <c r="FLT1339" s="4" t="s">
        <v>2883</v>
      </c>
      <c r="FLU1339" s="4" t="s">
        <v>2883</v>
      </c>
      <c r="FLV1339" s="4" t="s">
        <v>2883</v>
      </c>
      <c r="FLW1339" s="4" t="s">
        <v>2883</v>
      </c>
      <c r="FLX1339" s="4" t="s">
        <v>2883</v>
      </c>
      <c r="FLY1339" s="4" t="s">
        <v>2883</v>
      </c>
      <c r="FLZ1339" s="4" t="s">
        <v>2883</v>
      </c>
      <c r="FMA1339" s="4" t="s">
        <v>2883</v>
      </c>
      <c r="FMB1339" s="4" t="s">
        <v>2883</v>
      </c>
      <c r="FMC1339" s="4" t="s">
        <v>2883</v>
      </c>
      <c r="FMD1339" s="4" t="s">
        <v>2883</v>
      </c>
      <c r="FME1339" s="4" t="s">
        <v>2883</v>
      </c>
      <c r="FMF1339" s="4" t="s">
        <v>2883</v>
      </c>
      <c r="FMG1339" s="4" t="s">
        <v>2883</v>
      </c>
      <c r="FMH1339" s="4" t="s">
        <v>2883</v>
      </c>
      <c r="FMI1339" s="4" t="s">
        <v>2883</v>
      </c>
      <c r="FMJ1339" s="4" t="s">
        <v>2883</v>
      </c>
      <c r="FMK1339" s="4" t="s">
        <v>2883</v>
      </c>
      <c r="FML1339" s="4" t="s">
        <v>2883</v>
      </c>
      <c r="FMM1339" s="4" t="s">
        <v>2883</v>
      </c>
      <c r="FMN1339" s="4" t="s">
        <v>2883</v>
      </c>
      <c r="FMO1339" s="4" t="s">
        <v>2883</v>
      </c>
      <c r="FMP1339" s="4" t="s">
        <v>2883</v>
      </c>
      <c r="FMQ1339" s="4" t="s">
        <v>2883</v>
      </c>
      <c r="FMR1339" s="4" t="s">
        <v>2883</v>
      </c>
      <c r="FMS1339" s="4" t="s">
        <v>2883</v>
      </c>
      <c r="FMT1339" s="4" t="s">
        <v>2883</v>
      </c>
      <c r="FMU1339" s="4" t="s">
        <v>2883</v>
      </c>
      <c r="FMV1339" s="4" t="s">
        <v>2883</v>
      </c>
      <c r="FMW1339" s="4" t="s">
        <v>2883</v>
      </c>
      <c r="FMX1339" s="4" t="s">
        <v>2883</v>
      </c>
      <c r="FMY1339" s="4" t="s">
        <v>2883</v>
      </c>
      <c r="FMZ1339" s="4" t="s">
        <v>2883</v>
      </c>
      <c r="FNA1339" s="4" t="s">
        <v>2883</v>
      </c>
      <c r="FNB1339" s="4" t="s">
        <v>2883</v>
      </c>
      <c r="FNC1339" s="4" t="s">
        <v>2883</v>
      </c>
      <c r="FND1339" s="4" t="s">
        <v>2883</v>
      </c>
      <c r="FNE1339" s="4" t="s">
        <v>2883</v>
      </c>
      <c r="FNF1339" s="4" t="s">
        <v>2883</v>
      </c>
      <c r="FNG1339" s="4" t="s">
        <v>2883</v>
      </c>
      <c r="FNH1339" s="4" t="s">
        <v>2883</v>
      </c>
      <c r="FNI1339" s="4" t="s">
        <v>2883</v>
      </c>
      <c r="FNJ1339" s="4" t="s">
        <v>2883</v>
      </c>
      <c r="FNK1339" s="4" t="s">
        <v>2883</v>
      </c>
      <c r="FNL1339" s="4" t="s">
        <v>2883</v>
      </c>
      <c r="FNM1339" s="4" t="s">
        <v>2883</v>
      </c>
      <c r="FNN1339" s="4" t="s">
        <v>2883</v>
      </c>
      <c r="FNO1339" s="4" t="s">
        <v>2883</v>
      </c>
      <c r="FNP1339" s="4" t="s">
        <v>2883</v>
      </c>
      <c r="FNQ1339" s="4" t="s">
        <v>2883</v>
      </c>
      <c r="FNR1339" s="4" t="s">
        <v>2883</v>
      </c>
      <c r="FNS1339" s="4" t="s">
        <v>2883</v>
      </c>
      <c r="FNT1339" s="4" t="s">
        <v>2883</v>
      </c>
      <c r="FNU1339" s="4" t="s">
        <v>2883</v>
      </c>
      <c r="FNV1339" s="4" t="s">
        <v>2883</v>
      </c>
      <c r="FNW1339" s="4" t="s">
        <v>2883</v>
      </c>
      <c r="FNX1339" s="4" t="s">
        <v>2883</v>
      </c>
      <c r="FNY1339" s="4" t="s">
        <v>2883</v>
      </c>
      <c r="FNZ1339" s="4" t="s">
        <v>2883</v>
      </c>
      <c r="FOA1339" s="4" t="s">
        <v>2883</v>
      </c>
      <c r="FOB1339" s="4" t="s">
        <v>2883</v>
      </c>
      <c r="FOC1339" s="4" t="s">
        <v>2883</v>
      </c>
      <c r="FOD1339" s="4" t="s">
        <v>2883</v>
      </c>
      <c r="FOE1339" s="4" t="s">
        <v>2883</v>
      </c>
      <c r="FOF1339" s="4" t="s">
        <v>2883</v>
      </c>
      <c r="FOG1339" s="4" t="s">
        <v>2883</v>
      </c>
      <c r="FOH1339" s="4" t="s">
        <v>2883</v>
      </c>
      <c r="FOI1339" s="4" t="s">
        <v>2883</v>
      </c>
      <c r="FOJ1339" s="4" t="s">
        <v>2883</v>
      </c>
      <c r="FOK1339" s="4" t="s">
        <v>2883</v>
      </c>
      <c r="FOL1339" s="4" t="s">
        <v>2883</v>
      </c>
      <c r="FOM1339" s="4" t="s">
        <v>2883</v>
      </c>
      <c r="FON1339" s="4" t="s">
        <v>2883</v>
      </c>
      <c r="FOO1339" s="4" t="s">
        <v>2883</v>
      </c>
      <c r="FOP1339" s="4" t="s">
        <v>2883</v>
      </c>
      <c r="FOQ1339" s="4" t="s">
        <v>2883</v>
      </c>
      <c r="FOR1339" s="4" t="s">
        <v>2883</v>
      </c>
      <c r="FOS1339" s="4" t="s">
        <v>2883</v>
      </c>
      <c r="FOT1339" s="4" t="s">
        <v>2883</v>
      </c>
      <c r="FOU1339" s="4" t="s">
        <v>2883</v>
      </c>
      <c r="FOV1339" s="4" t="s">
        <v>2883</v>
      </c>
      <c r="FOW1339" s="4" t="s">
        <v>2883</v>
      </c>
      <c r="FOX1339" s="4" t="s">
        <v>2883</v>
      </c>
      <c r="FOY1339" s="4" t="s">
        <v>2883</v>
      </c>
      <c r="FOZ1339" s="4" t="s">
        <v>2883</v>
      </c>
      <c r="FPA1339" s="4" t="s">
        <v>2883</v>
      </c>
      <c r="FPB1339" s="4" t="s">
        <v>2883</v>
      </c>
      <c r="FPC1339" s="4" t="s">
        <v>2883</v>
      </c>
      <c r="FPD1339" s="4" t="s">
        <v>2883</v>
      </c>
      <c r="FPE1339" s="4" t="s">
        <v>2883</v>
      </c>
      <c r="FPF1339" s="4" t="s">
        <v>2883</v>
      </c>
      <c r="FPG1339" s="4" t="s">
        <v>2883</v>
      </c>
      <c r="FPH1339" s="4" t="s">
        <v>2883</v>
      </c>
      <c r="FPI1339" s="4" t="s">
        <v>2883</v>
      </c>
      <c r="FPJ1339" s="4" t="s">
        <v>2883</v>
      </c>
      <c r="FPK1339" s="4" t="s">
        <v>2883</v>
      </c>
      <c r="FPL1339" s="4" t="s">
        <v>2883</v>
      </c>
      <c r="FPM1339" s="4" t="s">
        <v>2883</v>
      </c>
      <c r="FPN1339" s="4" t="s">
        <v>2883</v>
      </c>
      <c r="FPO1339" s="4" t="s">
        <v>2883</v>
      </c>
      <c r="FPP1339" s="4" t="s">
        <v>2883</v>
      </c>
      <c r="FPQ1339" s="4" t="s">
        <v>2883</v>
      </c>
      <c r="FPR1339" s="4" t="s">
        <v>2883</v>
      </c>
      <c r="FPS1339" s="4" t="s">
        <v>2883</v>
      </c>
      <c r="FPT1339" s="4" t="s">
        <v>2883</v>
      </c>
      <c r="FPU1339" s="4" t="s">
        <v>2883</v>
      </c>
      <c r="FPV1339" s="4" t="s">
        <v>2883</v>
      </c>
      <c r="FPW1339" s="4" t="s">
        <v>2883</v>
      </c>
      <c r="FPX1339" s="4" t="s">
        <v>2883</v>
      </c>
      <c r="FPY1339" s="4" t="s">
        <v>2883</v>
      </c>
      <c r="FPZ1339" s="4" t="s">
        <v>2883</v>
      </c>
      <c r="FQA1339" s="4" t="s">
        <v>2883</v>
      </c>
      <c r="FQB1339" s="4" t="s">
        <v>2883</v>
      </c>
      <c r="FQC1339" s="4" t="s">
        <v>2883</v>
      </c>
      <c r="FQD1339" s="4" t="s">
        <v>2883</v>
      </c>
      <c r="FQE1339" s="4" t="s">
        <v>2883</v>
      </c>
      <c r="FQF1339" s="4" t="s">
        <v>2883</v>
      </c>
      <c r="FQG1339" s="4" t="s">
        <v>2883</v>
      </c>
      <c r="FQH1339" s="4" t="s">
        <v>2883</v>
      </c>
      <c r="FQI1339" s="4" t="s">
        <v>2883</v>
      </c>
      <c r="FQJ1339" s="4" t="s">
        <v>2883</v>
      </c>
      <c r="FQK1339" s="4" t="s">
        <v>2883</v>
      </c>
      <c r="FQL1339" s="4" t="s">
        <v>2883</v>
      </c>
      <c r="FQM1339" s="4" t="s">
        <v>2883</v>
      </c>
      <c r="FQN1339" s="4" t="s">
        <v>2883</v>
      </c>
      <c r="FQO1339" s="4" t="s">
        <v>2883</v>
      </c>
      <c r="FQP1339" s="4" t="s">
        <v>2883</v>
      </c>
      <c r="FQQ1339" s="4" t="s">
        <v>2883</v>
      </c>
      <c r="FQR1339" s="4" t="s">
        <v>2883</v>
      </c>
      <c r="FQS1339" s="4" t="s">
        <v>2883</v>
      </c>
      <c r="FQT1339" s="4" t="s">
        <v>2883</v>
      </c>
      <c r="FQU1339" s="4" t="s">
        <v>2883</v>
      </c>
      <c r="FQV1339" s="4" t="s">
        <v>2883</v>
      </c>
      <c r="FQW1339" s="4" t="s">
        <v>2883</v>
      </c>
      <c r="FQX1339" s="4" t="s">
        <v>2883</v>
      </c>
      <c r="FQY1339" s="4" t="s">
        <v>2883</v>
      </c>
      <c r="FQZ1339" s="4" t="s">
        <v>2883</v>
      </c>
      <c r="FRA1339" s="4" t="s">
        <v>2883</v>
      </c>
      <c r="FRB1339" s="4" t="s">
        <v>2883</v>
      </c>
      <c r="FRC1339" s="4" t="s">
        <v>2883</v>
      </c>
      <c r="FRD1339" s="4" t="s">
        <v>2883</v>
      </c>
      <c r="FRE1339" s="4" t="s">
        <v>2883</v>
      </c>
      <c r="FRF1339" s="4" t="s">
        <v>2883</v>
      </c>
      <c r="FRG1339" s="4" t="s">
        <v>2883</v>
      </c>
      <c r="FRH1339" s="4" t="s">
        <v>2883</v>
      </c>
      <c r="FRI1339" s="4" t="s">
        <v>2883</v>
      </c>
      <c r="FRJ1339" s="4" t="s">
        <v>2883</v>
      </c>
      <c r="FRK1339" s="4" t="s">
        <v>2883</v>
      </c>
      <c r="FRL1339" s="4" t="s">
        <v>2883</v>
      </c>
      <c r="FRM1339" s="4" t="s">
        <v>2883</v>
      </c>
      <c r="FRN1339" s="4" t="s">
        <v>2883</v>
      </c>
      <c r="FRO1339" s="4" t="s">
        <v>2883</v>
      </c>
      <c r="FRP1339" s="4" t="s">
        <v>2883</v>
      </c>
      <c r="FRQ1339" s="4" t="s">
        <v>2883</v>
      </c>
      <c r="FRR1339" s="4" t="s">
        <v>2883</v>
      </c>
      <c r="FRS1339" s="4" t="s">
        <v>2883</v>
      </c>
      <c r="FRT1339" s="4" t="s">
        <v>2883</v>
      </c>
      <c r="FRU1339" s="4" t="s">
        <v>2883</v>
      </c>
      <c r="FRV1339" s="4" t="s">
        <v>2883</v>
      </c>
      <c r="FRW1339" s="4" t="s">
        <v>2883</v>
      </c>
      <c r="FRX1339" s="4" t="s">
        <v>2883</v>
      </c>
      <c r="FRY1339" s="4" t="s">
        <v>2883</v>
      </c>
      <c r="FRZ1339" s="4" t="s">
        <v>2883</v>
      </c>
      <c r="FSA1339" s="4" t="s">
        <v>2883</v>
      </c>
      <c r="FSB1339" s="4" t="s">
        <v>2883</v>
      </c>
      <c r="FSC1339" s="4" t="s">
        <v>2883</v>
      </c>
      <c r="FSD1339" s="4" t="s">
        <v>2883</v>
      </c>
      <c r="FSE1339" s="4" t="s">
        <v>2883</v>
      </c>
      <c r="FSF1339" s="4" t="s">
        <v>2883</v>
      </c>
      <c r="FSG1339" s="4" t="s">
        <v>2883</v>
      </c>
      <c r="FSH1339" s="4" t="s">
        <v>2883</v>
      </c>
      <c r="FSI1339" s="4" t="s">
        <v>2883</v>
      </c>
      <c r="FSJ1339" s="4" t="s">
        <v>2883</v>
      </c>
      <c r="FSK1339" s="4" t="s">
        <v>2883</v>
      </c>
      <c r="FSL1339" s="4" t="s">
        <v>2883</v>
      </c>
      <c r="FSM1339" s="4" t="s">
        <v>2883</v>
      </c>
      <c r="FSN1339" s="4" t="s">
        <v>2883</v>
      </c>
      <c r="FSO1339" s="4" t="s">
        <v>2883</v>
      </c>
      <c r="FSP1339" s="4" t="s">
        <v>2883</v>
      </c>
      <c r="FSQ1339" s="4" t="s">
        <v>2883</v>
      </c>
      <c r="FSR1339" s="4" t="s">
        <v>2883</v>
      </c>
      <c r="FSS1339" s="4" t="s">
        <v>2883</v>
      </c>
      <c r="FST1339" s="4" t="s">
        <v>2883</v>
      </c>
      <c r="FSU1339" s="4" t="s">
        <v>2883</v>
      </c>
      <c r="FSV1339" s="4" t="s">
        <v>2883</v>
      </c>
      <c r="FSW1339" s="4" t="s">
        <v>2883</v>
      </c>
      <c r="FSX1339" s="4" t="s">
        <v>2883</v>
      </c>
      <c r="FSY1339" s="4" t="s">
        <v>2883</v>
      </c>
      <c r="FSZ1339" s="4" t="s">
        <v>2883</v>
      </c>
      <c r="FTA1339" s="4" t="s">
        <v>2883</v>
      </c>
      <c r="FTB1339" s="4" t="s">
        <v>2883</v>
      </c>
      <c r="FTC1339" s="4" t="s">
        <v>2883</v>
      </c>
      <c r="FTD1339" s="4" t="s">
        <v>2883</v>
      </c>
      <c r="FTE1339" s="4" t="s">
        <v>2883</v>
      </c>
      <c r="FTF1339" s="4" t="s">
        <v>2883</v>
      </c>
      <c r="FTG1339" s="4" t="s">
        <v>2883</v>
      </c>
      <c r="FTH1339" s="4" t="s">
        <v>2883</v>
      </c>
      <c r="FTI1339" s="4" t="s">
        <v>2883</v>
      </c>
      <c r="FTJ1339" s="4" t="s">
        <v>2883</v>
      </c>
      <c r="FTK1339" s="4" t="s">
        <v>2883</v>
      </c>
      <c r="FTL1339" s="4" t="s">
        <v>2883</v>
      </c>
      <c r="FTM1339" s="4" t="s">
        <v>2883</v>
      </c>
      <c r="FTN1339" s="4" t="s">
        <v>2883</v>
      </c>
      <c r="FTO1339" s="4" t="s">
        <v>2883</v>
      </c>
      <c r="FTP1339" s="4" t="s">
        <v>2883</v>
      </c>
      <c r="FTQ1339" s="4" t="s">
        <v>2883</v>
      </c>
      <c r="FTR1339" s="4" t="s">
        <v>2883</v>
      </c>
      <c r="FTS1339" s="4" t="s">
        <v>2883</v>
      </c>
      <c r="FTT1339" s="4" t="s">
        <v>2883</v>
      </c>
      <c r="FTU1339" s="4" t="s">
        <v>2883</v>
      </c>
      <c r="FTV1339" s="4" t="s">
        <v>2883</v>
      </c>
      <c r="FTW1339" s="4" t="s">
        <v>2883</v>
      </c>
      <c r="FTX1339" s="4" t="s">
        <v>2883</v>
      </c>
      <c r="FTY1339" s="4" t="s">
        <v>2883</v>
      </c>
      <c r="FTZ1339" s="4" t="s">
        <v>2883</v>
      </c>
      <c r="FUA1339" s="4" t="s">
        <v>2883</v>
      </c>
      <c r="FUB1339" s="4" t="s">
        <v>2883</v>
      </c>
      <c r="FUC1339" s="4" t="s">
        <v>2883</v>
      </c>
      <c r="FUD1339" s="4" t="s">
        <v>2883</v>
      </c>
      <c r="FUE1339" s="4" t="s">
        <v>2883</v>
      </c>
      <c r="FUF1339" s="4" t="s">
        <v>2883</v>
      </c>
      <c r="FUG1339" s="4" t="s">
        <v>2883</v>
      </c>
      <c r="FUH1339" s="4" t="s">
        <v>2883</v>
      </c>
      <c r="FUI1339" s="4" t="s">
        <v>2883</v>
      </c>
      <c r="FUJ1339" s="4" t="s">
        <v>2883</v>
      </c>
      <c r="FUK1339" s="4" t="s">
        <v>2883</v>
      </c>
      <c r="FUL1339" s="4" t="s">
        <v>2883</v>
      </c>
      <c r="FUM1339" s="4" t="s">
        <v>2883</v>
      </c>
      <c r="FUN1339" s="4" t="s">
        <v>2883</v>
      </c>
      <c r="FUO1339" s="4" t="s">
        <v>2883</v>
      </c>
      <c r="FUP1339" s="4" t="s">
        <v>2883</v>
      </c>
      <c r="FUQ1339" s="4" t="s">
        <v>2883</v>
      </c>
      <c r="FUR1339" s="4" t="s">
        <v>2883</v>
      </c>
      <c r="FUS1339" s="4" t="s">
        <v>2883</v>
      </c>
      <c r="FUT1339" s="4" t="s">
        <v>2883</v>
      </c>
      <c r="FUU1339" s="4" t="s">
        <v>2883</v>
      </c>
      <c r="FUV1339" s="4" t="s">
        <v>2883</v>
      </c>
      <c r="FUW1339" s="4" t="s">
        <v>2883</v>
      </c>
      <c r="FUX1339" s="4" t="s">
        <v>2883</v>
      </c>
      <c r="FUY1339" s="4" t="s">
        <v>2883</v>
      </c>
      <c r="FUZ1339" s="4" t="s">
        <v>2883</v>
      </c>
      <c r="FVA1339" s="4" t="s">
        <v>2883</v>
      </c>
      <c r="FVB1339" s="4" t="s">
        <v>2883</v>
      </c>
      <c r="FVC1339" s="4" t="s">
        <v>2883</v>
      </c>
      <c r="FVD1339" s="4" t="s">
        <v>2883</v>
      </c>
      <c r="FVE1339" s="4" t="s">
        <v>2883</v>
      </c>
      <c r="FVF1339" s="4" t="s">
        <v>2883</v>
      </c>
      <c r="FVG1339" s="4" t="s">
        <v>2883</v>
      </c>
      <c r="FVH1339" s="4" t="s">
        <v>2883</v>
      </c>
      <c r="FVI1339" s="4" t="s">
        <v>2883</v>
      </c>
      <c r="FVJ1339" s="4" t="s">
        <v>2883</v>
      </c>
      <c r="FVK1339" s="4" t="s">
        <v>2883</v>
      </c>
      <c r="FVL1339" s="4" t="s">
        <v>2883</v>
      </c>
      <c r="FVM1339" s="4" t="s">
        <v>2883</v>
      </c>
      <c r="FVN1339" s="4" t="s">
        <v>2883</v>
      </c>
      <c r="FVO1339" s="4" t="s">
        <v>2883</v>
      </c>
      <c r="FVP1339" s="4" t="s">
        <v>2883</v>
      </c>
      <c r="FVQ1339" s="4" t="s">
        <v>2883</v>
      </c>
      <c r="FVR1339" s="4" t="s">
        <v>2883</v>
      </c>
      <c r="FVS1339" s="4" t="s">
        <v>2883</v>
      </c>
      <c r="FVT1339" s="4" t="s">
        <v>2883</v>
      </c>
      <c r="FVU1339" s="4" t="s">
        <v>2883</v>
      </c>
      <c r="FVV1339" s="4" t="s">
        <v>2883</v>
      </c>
      <c r="FVW1339" s="4" t="s">
        <v>2883</v>
      </c>
      <c r="FVX1339" s="4" t="s">
        <v>2883</v>
      </c>
      <c r="FVY1339" s="4" t="s">
        <v>2883</v>
      </c>
      <c r="FVZ1339" s="4" t="s">
        <v>2883</v>
      </c>
      <c r="FWA1339" s="4" t="s">
        <v>2883</v>
      </c>
      <c r="FWB1339" s="4" t="s">
        <v>2883</v>
      </c>
      <c r="FWC1339" s="4" t="s">
        <v>2883</v>
      </c>
      <c r="FWD1339" s="4" t="s">
        <v>2883</v>
      </c>
      <c r="FWE1339" s="4" t="s">
        <v>2883</v>
      </c>
      <c r="FWF1339" s="4" t="s">
        <v>2883</v>
      </c>
      <c r="FWG1339" s="4" t="s">
        <v>2883</v>
      </c>
      <c r="FWH1339" s="4" t="s">
        <v>2883</v>
      </c>
      <c r="FWI1339" s="4" t="s">
        <v>2883</v>
      </c>
      <c r="FWJ1339" s="4" t="s">
        <v>2883</v>
      </c>
      <c r="FWK1339" s="4" t="s">
        <v>2883</v>
      </c>
      <c r="FWL1339" s="4" t="s">
        <v>2883</v>
      </c>
      <c r="FWM1339" s="4" t="s">
        <v>2883</v>
      </c>
      <c r="FWN1339" s="4" t="s">
        <v>2883</v>
      </c>
      <c r="FWO1339" s="4" t="s">
        <v>2883</v>
      </c>
      <c r="FWP1339" s="4" t="s">
        <v>2883</v>
      </c>
      <c r="FWQ1339" s="4" t="s">
        <v>2883</v>
      </c>
      <c r="FWR1339" s="4" t="s">
        <v>2883</v>
      </c>
      <c r="FWS1339" s="4" t="s">
        <v>2883</v>
      </c>
      <c r="FWT1339" s="4" t="s">
        <v>2883</v>
      </c>
      <c r="FWU1339" s="4" t="s">
        <v>2883</v>
      </c>
      <c r="FWV1339" s="4" t="s">
        <v>2883</v>
      </c>
      <c r="FWW1339" s="4" t="s">
        <v>2883</v>
      </c>
      <c r="FWX1339" s="4" t="s">
        <v>2883</v>
      </c>
      <c r="FWY1339" s="4" t="s">
        <v>2883</v>
      </c>
      <c r="FWZ1339" s="4" t="s">
        <v>2883</v>
      </c>
      <c r="FXA1339" s="4" t="s">
        <v>2883</v>
      </c>
      <c r="FXB1339" s="4" t="s">
        <v>2883</v>
      </c>
      <c r="FXC1339" s="4" t="s">
        <v>2883</v>
      </c>
      <c r="FXD1339" s="4" t="s">
        <v>2883</v>
      </c>
      <c r="FXE1339" s="4" t="s">
        <v>2883</v>
      </c>
      <c r="FXF1339" s="4" t="s">
        <v>2883</v>
      </c>
      <c r="FXG1339" s="4" t="s">
        <v>2883</v>
      </c>
      <c r="FXH1339" s="4" t="s">
        <v>2883</v>
      </c>
      <c r="FXI1339" s="4" t="s">
        <v>2883</v>
      </c>
      <c r="FXJ1339" s="4" t="s">
        <v>2883</v>
      </c>
      <c r="FXK1339" s="4" t="s">
        <v>2883</v>
      </c>
      <c r="FXL1339" s="4" t="s">
        <v>2883</v>
      </c>
      <c r="FXM1339" s="4" t="s">
        <v>2883</v>
      </c>
      <c r="FXN1339" s="4" t="s">
        <v>2883</v>
      </c>
      <c r="FXO1339" s="4" t="s">
        <v>2883</v>
      </c>
      <c r="FXP1339" s="4" t="s">
        <v>2883</v>
      </c>
      <c r="FXQ1339" s="4" t="s">
        <v>2883</v>
      </c>
      <c r="FXR1339" s="4" t="s">
        <v>2883</v>
      </c>
      <c r="FXS1339" s="4" t="s">
        <v>2883</v>
      </c>
      <c r="FXT1339" s="4" t="s">
        <v>2883</v>
      </c>
      <c r="FXU1339" s="4" t="s">
        <v>2883</v>
      </c>
      <c r="FXV1339" s="4" t="s">
        <v>2883</v>
      </c>
      <c r="FXW1339" s="4" t="s">
        <v>2883</v>
      </c>
      <c r="FXX1339" s="4" t="s">
        <v>2883</v>
      </c>
      <c r="FXY1339" s="4" t="s">
        <v>2883</v>
      </c>
      <c r="FXZ1339" s="4" t="s">
        <v>2883</v>
      </c>
      <c r="FYA1339" s="4" t="s">
        <v>2883</v>
      </c>
      <c r="FYB1339" s="4" t="s">
        <v>2883</v>
      </c>
      <c r="FYC1339" s="4" t="s">
        <v>2883</v>
      </c>
      <c r="FYD1339" s="4" t="s">
        <v>2883</v>
      </c>
      <c r="FYE1339" s="4" t="s">
        <v>2883</v>
      </c>
      <c r="FYF1339" s="4" t="s">
        <v>2883</v>
      </c>
      <c r="FYG1339" s="4" t="s">
        <v>2883</v>
      </c>
      <c r="FYH1339" s="4" t="s">
        <v>2883</v>
      </c>
      <c r="FYI1339" s="4" t="s">
        <v>2883</v>
      </c>
      <c r="FYJ1339" s="4" t="s">
        <v>2883</v>
      </c>
      <c r="FYK1339" s="4" t="s">
        <v>2883</v>
      </c>
      <c r="FYL1339" s="4" t="s">
        <v>2883</v>
      </c>
      <c r="FYM1339" s="4" t="s">
        <v>2883</v>
      </c>
      <c r="FYN1339" s="4" t="s">
        <v>2883</v>
      </c>
      <c r="FYO1339" s="4" t="s">
        <v>2883</v>
      </c>
      <c r="FYP1339" s="4" t="s">
        <v>2883</v>
      </c>
      <c r="FYQ1339" s="4" t="s">
        <v>2883</v>
      </c>
      <c r="FYR1339" s="4" t="s">
        <v>2883</v>
      </c>
      <c r="FYS1339" s="4" t="s">
        <v>2883</v>
      </c>
      <c r="FYT1339" s="4" t="s">
        <v>2883</v>
      </c>
      <c r="FYU1339" s="4" t="s">
        <v>2883</v>
      </c>
      <c r="FYV1339" s="4" t="s">
        <v>2883</v>
      </c>
      <c r="FYW1339" s="4" t="s">
        <v>2883</v>
      </c>
      <c r="FYX1339" s="4" t="s">
        <v>2883</v>
      </c>
      <c r="FYY1339" s="4" t="s">
        <v>2883</v>
      </c>
      <c r="FYZ1339" s="4" t="s">
        <v>2883</v>
      </c>
      <c r="FZA1339" s="4" t="s">
        <v>2883</v>
      </c>
      <c r="FZB1339" s="4" t="s">
        <v>2883</v>
      </c>
      <c r="FZC1339" s="4" t="s">
        <v>2883</v>
      </c>
      <c r="FZD1339" s="4" t="s">
        <v>2883</v>
      </c>
      <c r="FZE1339" s="4" t="s">
        <v>2883</v>
      </c>
      <c r="FZF1339" s="4" t="s">
        <v>2883</v>
      </c>
      <c r="FZG1339" s="4" t="s">
        <v>2883</v>
      </c>
      <c r="FZH1339" s="4" t="s">
        <v>2883</v>
      </c>
      <c r="FZI1339" s="4" t="s">
        <v>2883</v>
      </c>
      <c r="FZJ1339" s="4" t="s">
        <v>2883</v>
      </c>
      <c r="FZK1339" s="4" t="s">
        <v>2883</v>
      </c>
      <c r="FZL1339" s="4" t="s">
        <v>2883</v>
      </c>
      <c r="FZM1339" s="4" t="s">
        <v>2883</v>
      </c>
      <c r="FZN1339" s="4" t="s">
        <v>2883</v>
      </c>
      <c r="FZO1339" s="4" t="s">
        <v>2883</v>
      </c>
      <c r="FZP1339" s="4" t="s">
        <v>2883</v>
      </c>
      <c r="FZQ1339" s="4" t="s">
        <v>2883</v>
      </c>
      <c r="FZR1339" s="4" t="s">
        <v>2883</v>
      </c>
      <c r="FZS1339" s="4" t="s">
        <v>2883</v>
      </c>
      <c r="FZT1339" s="4" t="s">
        <v>2883</v>
      </c>
      <c r="FZU1339" s="4" t="s">
        <v>2883</v>
      </c>
      <c r="FZV1339" s="4" t="s">
        <v>2883</v>
      </c>
      <c r="FZW1339" s="4" t="s">
        <v>2883</v>
      </c>
      <c r="FZX1339" s="4" t="s">
        <v>2883</v>
      </c>
      <c r="FZY1339" s="4" t="s">
        <v>2883</v>
      </c>
      <c r="FZZ1339" s="4" t="s">
        <v>2883</v>
      </c>
      <c r="GAA1339" s="4" t="s">
        <v>2883</v>
      </c>
      <c r="GAB1339" s="4" t="s">
        <v>2883</v>
      </c>
      <c r="GAC1339" s="4" t="s">
        <v>2883</v>
      </c>
      <c r="GAD1339" s="4" t="s">
        <v>2883</v>
      </c>
      <c r="GAE1339" s="4" t="s">
        <v>2883</v>
      </c>
      <c r="GAF1339" s="4" t="s">
        <v>2883</v>
      </c>
      <c r="GAG1339" s="4" t="s">
        <v>2883</v>
      </c>
      <c r="GAH1339" s="4" t="s">
        <v>2883</v>
      </c>
      <c r="GAI1339" s="4" t="s">
        <v>2883</v>
      </c>
      <c r="GAJ1339" s="4" t="s">
        <v>2883</v>
      </c>
      <c r="GAK1339" s="4" t="s">
        <v>2883</v>
      </c>
      <c r="GAL1339" s="4" t="s">
        <v>2883</v>
      </c>
      <c r="GAM1339" s="4" t="s">
        <v>2883</v>
      </c>
      <c r="GAN1339" s="4" t="s">
        <v>2883</v>
      </c>
      <c r="GAO1339" s="4" t="s">
        <v>2883</v>
      </c>
      <c r="GAP1339" s="4" t="s">
        <v>2883</v>
      </c>
      <c r="GAQ1339" s="4" t="s">
        <v>2883</v>
      </c>
      <c r="GAR1339" s="4" t="s">
        <v>2883</v>
      </c>
      <c r="GAS1339" s="4" t="s">
        <v>2883</v>
      </c>
      <c r="GAT1339" s="4" t="s">
        <v>2883</v>
      </c>
      <c r="GAU1339" s="4" t="s">
        <v>2883</v>
      </c>
      <c r="GAV1339" s="4" t="s">
        <v>2883</v>
      </c>
      <c r="GAW1339" s="4" t="s">
        <v>2883</v>
      </c>
      <c r="GAX1339" s="4" t="s">
        <v>2883</v>
      </c>
      <c r="GAY1339" s="4" t="s">
        <v>2883</v>
      </c>
      <c r="GAZ1339" s="4" t="s">
        <v>2883</v>
      </c>
      <c r="GBA1339" s="4" t="s">
        <v>2883</v>
      </c>
      <c r="GBB1339" s="4" t="s">
        <v>2883</v>
      </c>
      <c r="GBC1339" s="4" t="s">
        <v>2883</v>
      </c>
      <c r="GBD1339" s="4" t="s">
        <v>2883</v>
      </c>
      <c r="GBE1339" s="4" t="s">
        <v>2883</v>
      </c>
      <c r="GBF1339" s="4" t="s">
        <v>2883</v>
      </c>
      <c r="GBG1339" s="4" t="s">
        <v>2883</v>
      </c>
      <c r="GBH1339" s="4" t="s">
        <v>2883</v>
      </c>
      <c r="GBI1339" s="4" t="s">
        <v>2883</v>
      </c>
      <c r="GBJ1339" s="4" t="s">
        <v>2883</v>
      </c>
      <c r="GBK1339" s="4" t="s">
        <v>2883</v>
      </c>
      <c r="GBL1339" s="4" t="s">
        <v>2883</v>
      </c>
      <c r="GBM1339" s="4" t="s">
        <v>2883</v>
      </c>
      <c r="GBN1339" s="4" t="s">
        <v>2883</v>
      </c>
      <c r="GBO1339" s="4" t="s">
        <v>2883</v>
      </c>
      <c r="GBP1339" s="4" t="s">
        <v>2883</v>
      </c>
      <c r="GBQ1339" s="4" t="s">
        <v>2883</v>
      </c>
      <c r="GBR1339" s="4" t="s">
        <v>2883</v>
      </c>
      <c r="GBS1339" s="4" t="s">
        <v>2883</v>
      </c>
      <c r="GBT1339" s="4" t="s">
        <v>2883</v>
      </c>
      <c r="GBU1339" s="4" t="s">
        <v>2883</v>
      </c>
      <c r="GBV1339" s="4" t="s">
        <v>2883</v>
      </c>
      <c r="GBW1339" s="4" t="s">
        <v>2883</v>
      </c>
      <c r="GBX1339" s="4" t="s">
        <v>2883</v>
      </c>
      <c r="GBY1339" s="4" t="s">
        <v>2883</v>
      </c>
      <c r="GBZ1339" s="4" t="s">
        <v>2883</v>
      </c>
      <c r="GCA1339" s="4" t="s">
        <v>2883</v>
      </c>
      <c r="GCB1339" s="4" t="s">
        <v>2883</v>
      </c>
      <c r="GCC1339" s="4" t="s">
        <v>2883</v>
      </c>
      <c r="GCD1339" s="4" t="s">
        <v>2883</v>
      </c>
      <c r="GCE1339" s="4" t="s">
        <v>2883</v>
      </c>
      <c r="GCF1339" s="4" t="s">
        <v>2883</v>
      </c>
      <c r="GCG1339" s="4" t="s">
        <v>2883</v>
      </c>
      <c r="GCH1339" s="4" t="s">
        <v>2883</v>
      </c>
      <c r="GCI1339" s="4" t="s">
        <v>2883</v>
      </c>
      <c r="GCJ1339" s="4" t="s">
        <v>2883</v>
      </c>
      <c r="GCK1339" s="4" t="s">
        <v>2883</v>
      </c>
      <c r="GCL1339" s="4" t="s">
        <v>2883</v>
      </c>
      <c r="GCM1339" s="4" t="s">
        <v>2883</v>
      </c>
      <c r="GCN1339" s="4" t="s">
        <v>2883</v>
      </c>
      <c r="GCO1339" s="4" t="s">
        <v>2883</v>
      </c>
      <c r="GCP1339" s="4" t="s">
        <v>2883</v>
      </c>
      <c r="GCQ1339" s="4" t="s">
        <v>2883</v>
      </c>
      <c r="GCR1339" s="4" t="s">
        <v>2883</v>
      </c>
      <c r="GCS1339" s="4" t="s">
        <v>2883</v>
      </c>
      <c r="GCT1339" s="4" t="s">
        <v>2883</v>
      </c>
      <c r="GCU1339" s="4" t="s">
        <v>2883</v>
      </c>
      <c r="GCV1339" s="4" t="s">
        <v>2883</v>
      </c>
      <c r="GCW1339" s="4" t="s">
        <v>2883</v>
      </c>
      <c r="GCX1339" s="4" t="s">
        <v>2883</v>
      </c>
      <c r="GCY1339" s="4" t="s">
        <v>2883</v>
      </c>
      <c r="GCZ1339" s="4" t="s">
        <v>2883</v>
      </c>
      <c r="GDA1339" s="4" t="s">
        <v>2883</v>
      </c>
      <c r="GDB1339" s="4" t="s">
        <v>2883</v>
      </c>
      <c r="GDC1339" s="4" t="s">
        <v>2883</v>
      </c>
      <c r="GDD1339" s="4" t="s">
        <v>2883</v>
      </c>
      <c r="GDE1339" s="4" t="s">
        <v>2883</v>
      </c>
      <c r="GDF1339" s="4" t="s">
        <v>2883</v>
      </c>
      <c r="GDG1339" s="4" t="s">
        <v>2883</v>
      </c>
      <c r="GDH1339" s="4" t="s">
        <v>2883</v>
      </c>
      <c r="GDI1339" s="4" t="s">
        <v>2883</v>
      </c>
      <c r="GDJ1339" s="4" t="s">
        <v>2883</v>
      </c>
      <c r="GDK1339" s="4" t="s">
        <v>2883</v>
      </c>
      <c r="GDL1339" s="4" t="s">
        <v>2883</v>
      </c>
      <c r="GDM1339" s="4" t="s">
        <v>2883</v>
      </c>
      <c r="GDN1339" s="4" t="s">
        <v>2883</v>
      </c>
      <c r="GDO1339" s="4" t="s">
        <v>2883</v>
      </c>
      <c r="GDP1339" s="4" t="s">
        <v>2883</v>
      </c>
      <c r="GDQ1339" s="4" t="s">
        <v>2883</v>
      </c>
      <c r="GDR1339" s="4" t="s">
        <v>2883</v>
      </c>
      <c r="GDS1339" s="4" t="s">
        <v>2883</v>
      </c>
      <c r="GDT1339" s="4" t="s">
        <v>2883</v>
      </c>
      <c r="GDU1339" s="4" t="s">
        <v>2883</v>
      </c>
      <c r="GDV1339" s="4" t="s">
        <v>2883</v>
      </c>
      <c r="GDW1339" s="4" t="s">
        <v>2883</v>
      </c>
      <c r="GDX1339" s="4" t="s">
        <v>2883</v>
      </c>
      <c r="GDY1339" s="4" t="s">
        <v>2883</v>
      </c>
      <c r="GDZ1339" s="4" t="s">
        <v>2883</v>
      </c>
      <c r="GEA1339" s="4" t="s">
        <v>2883</v>
      </c>
      <c r="GEB1339" s="4" t="s">
        <v>2883</v>
      </c>
      <c r="GEC1339" s="4" t="s">
        <v>2883</v>
      </c>
      <c r="GED1339" s="4" t="s">
        <v>2883</v>
      </c>
      <c r="GEE1339" s="4" t="s">
        <v>2883</v>
      </c>
      <c r="GEF1339" s="4" t="s">
        <v>2883</v>
      </c>
      <c r="GEG1339" s="4" t="s">
        <v>2883</v>
      </c>
      <c r="GEH1339" s="4" t="s">
        <v>2883</v>
      </c>
      <c r="GEI1339" s="4" t="s">
        <v>2883</v>
      </c>
      <c r="GEJ1339" s="4" t="s">
        <v>2883</v>
      </c>
      <c r="GEK1339" s="4" t="s">
        <v>2883</v>
      </c>
      <c r="GEL1339" s="4" t="s">
        <v>2883</v>
      </c>
      <c r="GEM1339" s="4" t="s">
        <v>2883</v>
      </c>
      <c r="GEN1339" s="4" t="s">
        <v>2883</v>
      </c>
      <c r="GEO1339" s="4" t="s">
        <v>2883</v>
      </c>
      <c r="GEP1339" s="4" t="s">
        <v>2883</v>
      </c>
      <c r="GEQ1339" s="4" t="s">
        <v>2883</v>
      </c>
      <c r="GER1339" s="4" t="s">
        <v>2883</v>
      </c>
      <c r="GES1339" s="4" t="s">
        <v>2883</v>
      </c>
      <c r="GET1339" s="4" t="s">
        <v>2883</v>
      </c>
      <c r="GEU1339" s="4" t="s">
        <v>2883</v>
      </c>
      <c r="GEV1339" s="4" t="s">
        <v>2883</v>
      </c>
      <c r="GEW1339" s="4" t="s">
        <v>2883</v>
      </c>
      <c r="GEX1339" s="4" t="s">
        <v>2883</v>
      </c>
      <c r="GEY1339" s="4" t="s">
        <v>2883</v>
      </c>
      <c r="GEZ1339" s="4" t="s">
        <v>2883</v>
      </c>
      <c r="GFA1339" s="4" t="s">
        <v>2883</v>
      </c>
      <c r="GFB1339" s="4" t="s">
        <v>2883</v>
      </c>
      <c r="GFC1339" s="4" t="s">
        <v>2883</v>
      </c>
      <c r="GFD1339" s="4" t="s">
        <v>2883</v>
      </c>
      <c r="GFE1339" s="4" t="s">
        <v>2883</v>
      </c>
      <c r="GFF1339" s="4" t="s">
        <v>2883</v>
      </c>
      <c r="GFG1339" s="4" t="s">
        <v>2883</v>
      </c>
      <c r="GFH1339" s="4" t="s">
        <v>2883</v>
      </c>
      <c r="GFI1339" s="4" t="s">
        <v>2883</v>
      </c>
      <c r="GFJ1339" s="4" t="s">
        <v>2883</v>
      </c>
      <c r="GFK1339" s="4" t="s">
        <v>2883</v>
      </c>
      <c r="GFL1339" s="4" t="s">
        <v>2883</v>
      </c>
      <c r="GFM1339" s="4" t="s">
        <v>2883</v>
      </c>
      <c r="GFN1339" s="4" t="s">
        <v>2883</v>
      </c>
      <c r="GFO1339" s="4" t="s">
        <v>2883</v>
      </c>
      <c r="GFP1339" s="4" t="s">
        <v>2883</v>
      </c>
      <c r="GFQ1339" s="4" t="s">
        <v>2883</v>
      </c>
      <c r="GFR1339" s="4" t="s">
        <v>2883</v>
      </c>
      <c r="GFS1339" s="4" t="s">
        <v>2883</v>
      </c>
      <c r="GFT1339" s="4" t="s">
        <v>2883</v>
      </c>
      <c r="GFU1339" s="4" t="s">
        <v>2883</v>
      </c>
      <c r="GFV1339" s="4" t="s">
        <v>2883</v>
      </c>
      <c r="GFW1339" s="4" t="s">
        <v>2883</v>
      </c>
      <c r="GFX1339" s="4" t="s">
        <v>2883</v>
      </c>
      <c r="GFY1339" s="4" t="s">
        <v>2883</v>
      </c>
      <c r="GFZ1339" s="4" t="s">
        <v>2883</v>
      </c>
      <c r="GGA1339" s="4" t="s">
        <v>2883</v>
      </c>
      <c r="GGB1339" s="4" t="s">
        <v>2883</v>
      </c>
      <c r="GGC1339" s="4" t="s">
        <v>2883</v>
      </c>
      <c r="GGD1339" s="4" t="s">
        <v>2883</v>
      </c>
      <c r="GGE1339" s="4" t="s">
        <v>2883</v>
      </c>
      <c r="GGF1339" s="4" t="s">
        <v>2883</v>
      </c>
      <c r="GGG1339" s="4" t="s">
        <v>2883</v>
      </c>
      <c r="GGH1339" s="4" t="s">
        <v>2883</v>
      </c>
      <c r="GGI1339" s="4" t="s">
        <v>2883</v>
      </c>
      <c r="GGJ1339" s="4" t="s">
        <v>2883</v>
      </c>
      <c r="GGK1339" s="4" t="s">
        <v>2883</v>
      </c>
      <c r="GGL1339" s="4" t="s">
        <v>2883</v>
      </c>
      <c r="GGM1339" s="4" t="s">
        <v>2883</v>
      </c>
      <c r="GGN1339" s="4" t="s">
        <v>2883</v>
      </c>
      <c r="GGO1339" s="4" t="s">
        <v>2883</v>
      </c>
      <c r="GGP1339" s="4" t="s">
        <v>2883</v>
      </c>
      <c r="GGQ1339" s="4" t="s">
        <v>2883</v>
      </c>
      <c r="GGR1339" s="4" t="s">
        <v>2883</v>
      </c>
      <c r="GGS1339" s="4" t="s">
        <v>2883</v>
      </c>
      <c r="GGT1339" s="4" t="s">
        <v>2883</v>
      </c>
      <c r="GGU1339" s="4" t="s">
        <v>2883</v>
      </c>
      <c r="GGV1339" s="4" t="s">
        <v>2883</v>
      </c>
      <c r="GGW1339" s="4" t="s">
        <v>2883</v>
      </c>
      <c r="GGX1339" s="4" t="s">
        <v>2883</v>
      </c>
      <c r="GGY1339" s="4" t="s">
        <v>2883</v>
      </c>
      <c r="GGZ1339" s="4" t="s">
        <v>2883</v>
      </c>
      <c r="GHA1339" s="4" t="s">
        <v>2883</v>
      </c>
      <c r="GHB1339" s="4" t="s">
        <v>2883</v>
      </c>
      <c r="GHC1339" s="4" t="s">
        <v>2883</v>
      </c>
      <c r="GHD1339" s="4" t="s">
        <v>2883</v>
      </c>
      <c r="GHE1339" s="4" t="s">
        <v>2883</v>
      </c>
      <c r="GHF1339" s="4" t="s">
        <v>2883</v>
      </c>
      <c r="GHG1339" s="4" t="s">
        <v>2883</v>
      </c>
      <c r="GHH1339" s="4" t="s">
        <v>2883</v>
      </c>
      <c r="GHI1339" s="4" t="s">
        <v>2883</v>
      </c>
      <c r="GHJ1339" s="4" t="s">
        <v>2883</v>
      </c>
      <c r="GHK1339" s="4" t="s">
        <v>2883</v>
      </c>
      <c r="GHL1339" s="4" t="s">
        <v>2883</v>
      </c>
      <c r="GHM1339" s="4" t="s">
        <v>2883</v>
      </c>
      <c r="GHN1339" s="4" t="s">
        <v>2883</v>
      </c>
      <c r="GHO1339" s="4" t="s">
        <v>2883</v>
      </c>
      <c r="GHP1339" s="4" t="s">
        <v>2883</v>
      </c>
      <c r="GHQ1339" s="4" t="s">
        <v>2883</v>
      </c>
      <c r="GHR1339" s="4" t="s">
        <v>2883</v>
      </c>
      <c r="GHS1339" s="4" t="s">
        <v>2883</v>
      </c>
      <c r="GHT1339" s="4" t="s">
        <v>2883</v>
      </c>
      <c r="GHU1339" s="4" t="s">
        <v>2883</v>
      </c>
      <c r="GHV1339" s="4" t="s">
        <v>2883</v>
      </c>
      <c r="GHW1339" s="4" t="s">
        <v>2883</v>
      </c>
      <c r="GHX1339" s="4" t="s">
        <v>2883</v>
      </c>
      <c r="GHY1339" s="4" t="s">
        <v>2883</v>
      </c>
      <c r="GHZ1339" s="4" t="s">
        <v>2883</v>
      </c>
      <c r="GIA1339" s="4" t="s">
        <v>2883</v>
      </c>
      <c r="GIB1339" s="4" t="s">
        <v>2883</v>
      </c>
      <c r="GIC1339" s="4" t="s">
        <v>2883</v>
      </c>
      <c r="GID1339" s="4" t="s">
        <v>2883</v>
      </c>
      <c r="GIE1339" s="4" t="s">
        <v>2883</v>
      </c>
      <c r="GIF1339" s="4" t="s">
        <v>2883</v>
      </c>
      <c r="GIG1339" s="4" t="s">
        <v>2883</v>
      </c>
      <c r="GIH1339" s="4" t="s">
        <v>2883</v>
      </c>
      <c r="GII1339" s="4" t="s">
        <v>2883</v>
      </c>
      <c r="GIJ1339" s="4" t="s">
        <v>2883</v>
      </c>
      <c r="GIK1339" s="4" t="s">
        <v>2883</v>
      </c>
      <c r="GIL1339" s="4" t="s">
        <v>2883</v>
      </c>
      <c r="GIM1339" s="4" t="s">
        <v>2883</v>
      </c>
      <c r="GIN1339" s="4" t="s">
        <v>2883</v>
      </c>
      <c r="GIO1339" s="4" t="s">
        <v>2883</v>
      </c>
      <c r="GIP1339" s="4" t="s">
        <v>2883</v>
      </c>
      <c r="GIQ1339" s="4" t="s">
        <v>2883</v>
      </c>
      <c r="GIR1339" s="4" t="s">
        <v>2883</v>
      </c>
      <c r="GIS1339" s="4" t="s">
        <v>2883</v>
      </c>
      <c r="GIT1339" s="4" t="s">
        <v>2883</v>
      </c>
      <c r="GIU1339" s="4" t="s">
        <v>2883</v>
      </c>
      <c r="GIV1339" s="4" t="s">
        <v>2883</v>
      </c>
      <c r="GIW1339" s="4" t="s">
        <v>2883</v>
      </c>
      <c r="GIX1339" s="4" t="s">
        <v>2883</v>
      </c>
      <c r="GIY1339" s="4" t="s">
        <v>2883</v>
      </c>
      <c r="GIZ1339" s="4" t="s">
        <v>2883</v>
      </c>
      <c r="GJA1339" s="4" t="s">
        <v>2883</v>
      </c>
      <c r="GJB1339" s="4" t="s">
        <v>2883</v>
      </c>
      <c r="GJC1339" s="4" t="s">
        <v>2883</v>
      </c>
      <c r="GJD1339" s="4" t="s">
        <v>2883</v>
      </c>
      <c r="GJE1339" s="4" t="s">
        <v>2883</v>
      </c>
      <c r="GJF1339" s="4" t="s">
        <v>2883</v>
      </c>
      <c r="GJG1339" s="4" t="s">
        <v>2883</v>
      </c>
      <c r="GJH1339" s="4" t="s">
        <v>2883</v>
      </c>
      <c r="GJI1339" s="4" t="s">
        <v>2883</v>
      </c>
      <c r="GJJ1339" s="4" t="s">
        <v>2883</v>
      </c>
      <c r="GJK1339" s="4" t="s">
        <v>2883</v>
      </c>
      <c r="GJL1339" s="4" t="s">
        <v>2883</v>
      </c>
      <c r="GJM1339" s="4" t="s">
        <v>2883</v>
      </c>
      <c r="GJN1339" s="4" t="s">
        <v>2883</v>
      </c>
      <c r="GJO1339" s="4" t="s">
        <v>2883</v>
      </c>
      <c r="GJP1339" s="4" t="s">
        <v>2883</v>
      </c>
      <c r="GJQ1339" s="4" t="s">
        <v>2883</v>
      </c>
      <c r="GJR1339" s="4" t="s">
        <v>2883</v>
      </c>
      <c r="GJS1339" s="4" t="s">
        <v>2883</v>
      </c>
      <c r="GJT1339" s="4" t="s">
        <v>2883</v>
      </c>
      <c r="GJU1339" s="4" t="s">
        <v>2883</v>
      </c>
      <c r="GJV1339" s="4" t="s">
        <v>2883</v>
      </c>
      <c r="GJW1339" s="4" t="s">
        <v>2883</v>
      </c>
      <c r="GJX1339" s="4" t="s">
        <v>2883</v>
      </c>
      <c r="GJY1339" s="4" t="s">
        <v>2883</v>
      </c>
      <c r="GJZ1339" s="4" t="s">
        <v>2883</v>
      </c>
      <c r="GKA1339" s="4" t="s">
        <v>2883</v>
      </c>
      <c r="GKB1339" s="4" t="s">
        <v>2883</v>
      </c>
      <c r="GKC1339" s="4" t="s">
        <v>2883</v>
      </c>
      <c r="GKD1339" s="4" t="s">
        <v>2883</v>
      </c>
      <c r="GKE1339" s="4" t="s">
        <v>2883</v>
      </c>
      <c r="GKF1339" s="4" t="s">
        <v>2883</v>
      </c>
      <c r="GKG1339" s="4" t="s">
        <v>2883</v>
      </c>
      <c r="GKH1339" s="4" t="s">
        <v>2883</v>
      </c>
      <c r="GKI1339" s="4" t="s">
        <v>2883</v>
      </c>
      <c r="GKJ1339" s="4" t="s">
        <v>2883</v>
      </c>
      <c r="GKK1339" s="4" t="s">
        <v>2883</v>
      </c>
      <c r="GKL1339" s="4" t="s">
        <v>2883</v>
      </c>
      <c r="GKM1339" s="4" t="s">
        <v>2883</v>
      </c>
      <c r="GKN1339" s="4" t="s">
        <v>2883</v>
      </c>
      <c r="GKO1339" s="4" t="s">
        <v>2883</v>
      </c>
      <c r="GKP1339" s="4" t="s">
        <v>2883</v>
      </c>
      <c r="GKQ1339" s="4" t="s">
        <v>2883</v>
      </c>
      <c r="GKR1339" s="4" t="s">
        <v>2883</v>
      </c>
      <c r="GKS1339" s="4" t="s">
        <v>2883</v>
      </c>
      <c r="GKT1339" s="4" t="s">
        <v>2883</v>
      </c>
      <c r="GKU1339" s="4" t="s">
        <v>2883</v>
      </c>
      <c r="GKV1339" s="4" t="s">
        <v>2883</v>
      </c>
      <c r="GKW1339" s="4" t="s">
        <v>2883</v>
      </c>
      <c r="GKX1339" s="4" t="s">
        <v>2883</v>
      </c>
      <c r="GKY1339" s="4" t="s">
        <v>2883</v>
      </c>
      <c r="GKZ1339" s="4" t="s">
        <v>2883</v>
      </c>
      <c r="GLA1339" s="4" t="s">
        <v>2883</v>
      </c>
      <c r="GLB1339" s="4" t="s">
        <v>2883</v>
      </c>
      <c r="GLC1339" s="4" t="s">
        <v>2883</v>
      </c>
      <c r="GLD1339" s="4" t="s">
        <v>2883</v>
      </c>
      <c r="GLE1339" s="4" t="s">
        <v>2883</v>
      </c>
      <c r="GLF1339" s="4" t="s">
        <v>2883</v>
      </c>
      <c r="GLG1339" s="4" t="s">
        <v>2883</v>
      </c>
      <c r="GLH1339" s="4" t="s">
        <v>2883</v>
      </c>
      <c r="GLI1339" s="4" t="s">
        <v>2883</v>
      </c>
      <c r="GLJ1339" s="4" t="s">
        <v>2883</v>
      </c>
      <c r="GLK1339" s="4" t="s">
        <v>2883</v>
      </c>
      <c r="GLL1339" s="4" t="s">
        <v>2883</v>
      </c>
      <c r="GLM1339" s="4" t="s">
        <v>2883</v>
      </c>
      <c r="GLN1339" s="4" t="s">
        <v>2883</v>
      </c>
      <c r="GLO1339" s="4" t="s">
        <v>2883</v>
      </c>
      <c r="GLP1339" s="4" t="s">
        <v>2883</v>
      </c>
      <c r="GLQ1339" s="4" t="s">
        <v>2883</v>
      </c>
      <c r="GLR1339" s="4" t="s">
        <v>2883</v>
      </c>
      <c r="GLS1339" s="4" t="s">
        <v>2883</v>
      </c>
      <c r="GLT1339" s="4" t="s">
        <v>2883</v>
      </c>
      <c r="GLU1339" s="4" t="s">
        <v>2883</v>
      </c>
      <c r="GLV1339" s="4" t="s">
        <v>2883</v>
      </c>
      <c r="GLW1339" s="4" t="s">
        <v>2883</v>
      </c>
      <c r="GLX1339" s="4" t="s">
        <v>2883</v>
      </c>
      <c r="GLY1339" s="4" t="s">
        <v>2883</v>
      </c>
      <c r="GLZ1339" s="4" t="s">
        <v>2883</v>
      </c>
      <c r="GMA1339" s="4" t="s">
        <v>2883</v>
      </c>
      <c r="GMB1339" s="4" t="s">
        <v>2883</v>
      </c>
      <c r="GMC1339" s="4" t="s">
        <v>2883</v>
      </c>
      <c r="GMD1339" s="4" t="s">
        <v>2883</v>
      </c>
      <c r="GME1339" s="4" t="s">
        <v>2883</v>
      </c>
      <c r="GMF1339" s="4" t="s">
        <v>2883</v>
      </c>
      <c r="GMG1339" s="4" t="s">
        <v>2883</v>
      </c>
      <c r="GMH1339" s="4" t="s">
        <v>2883</v>
      </c>
      <c r="GMI1339" s="4" t="s">
        <v>2883</v>
      </c>
      <c r="GMJ1339" s="4" t="s">
        <v>2883</v>
      </c>
      <c r="GMK1339" s="4" t="s">
        <v>2883</v>
      </c>
      <c r="GML1339" s="4" t="s">
        <v>2883</v>
      </c>
      <c r="GMM1339" s="4" t="s">
        <v>2883</v>
      </c>
      <c r="GMN1339" s="4" t="s">
        <v>2883</v>
      </c>
      <c r="GMO1339" s="4" t="s">
        <v>2883</v>
      </c>
      <c r="GMP1339" s="4" t="s">
        <v>2883</v>
      </c>
      <c r="GMQ1339" s="4" t="s">
        <v>2883</v>
      </c>
      <c r="GMR1339" s="4" t="s">
        <v>2883</v>
      </c>
      <c r="GMS1339" s="4" t="s">
        <v>2883</v>
      </c>
      <c r="GMT1339" s="4" t="s">
        <v>2883</v>
      </c>
      <c r="GMU1339" s="4" t="s">
        <v>2883</v>
      </c>
      <c r="GMV1339" s="4" t="s">
        <v>2883</v>
      </c>
      <c r="GMW1339" s="4" t="s">
        <v>2883</v>
      </c>
      <c r="GMX1339" s="4" t="s">
        <v>2883</v>
      </c>
      <c r="GMY1339" s="4" t="s">
        <v>2883</v>
      </c>
      <c r="GMZ1339" s="4" t="s">
        <v>2883</v>
      </c>
      <c r="GNA1339" s="4" t="s">
        <v>2883</v>
      </c>
      <c r="GNB1339" s="4" t="s">
        <v>2883</v>
      </c>
      <c r="GNC1339" s="4" t="s">
        <v>2883</v>
      </c>
      <c r="GND1339" s="4" t="s">
        <v>2883</v>
      </c>
      <c r="GNE1339" s="4" t="s">
        <v>2883</v>
      </c>
      <c r="GNF1339" s="4" t="s">
        <v>2883</v>
      </c>
      <c r="GNG1339" s="4" t="s">
        <v>2883</v>
      </c>
      <c r="GNH1339" s="4" t="s">
        <v>2883</v>
      </c>
      <c r="GNI1339" s="4" t="s">
        <v>2883</v>
      </c>
      <c r="GNJ1339" s="4" t="s">
        <v>2883</v>
      </c>
      <c r="GNK1339" s="4" t="s">
        <v>2883</v>
      </c>
      <c r="GNL1339" s="4" t="s">
        <v>2883</v>
      </c>
      <c r="GNM1339" s="4" t="s">
        <v>2883</v>
      </c>
      <c r="GNN1339" s="4" t="s">
        <v>2883</v>
      </c>
      <c r="GNO1339" s="4" t="s">
        <v>2883</v>
      </c>
      <c r="GNP1339" s="4" t="s">
        <v>2883</v>
      </c>
      <c r="GNQ1339" s="4" t="s">
        <v>2883</v>
      </c>
      <c r="GNR1339" s="4" t="s">
        <v>2883</v>
      </c>
      <c r="GNS1339" s="4" t="s">
        <v>2883</v>
      </c>
      <c r="GNT1339" s="4" t="s">
        <v>2883</v>
      </c>
      <c r="GNU1339" s="4" t="s">
        <v>2883</v>
      </c>
      <c r="GNV1339" s="4" t="s">
        <v>2883</v>
      </c>
      <c r="GNW1339" s="4" t="s">
        <v>2883</v>
      </c>
      <c r="GNX1339" s="4" t="s">
        <v>2883</v>
      </c>
      <c r="GNY1339" s="4" t="s">
        <v>2883</v>
      </c>
      <c r="GNZ1339" s="4" t="s">
        <v>2883</v>
      </c>
      <c r="GOA1339" s="4" t="s">
        <v>2883</v>
      </c>
      <c r="GOB1339" s="4" t="s">
        <v>2883</v>
      </c>
      <c r="GOC1339" s="4" t="s">
        <v>2883</v>
      </c>
      <c r="GOD1339" s="4" t="s">
        <v>2883</v>
      </c>
      <c r="GOE1339" s="4" t="s">
        <v>2883</v>
      </c>
      <c r="GOF1339" s="4" t="s">
        <v>2883</v>
      </c>
      <c r="GOG1339" s="4" t="s">
        <v>2883</v>
      </c>
      <c r="GOH1339" s="4" t="s">
        <v>2883</v>
      </c>
      <c r="GOI1339" s="4" t="s">
        <v>2883</v>
      </c>
      <c r="GOJ1339" s="4" t="s">
        <v>2883</v>
      </c>
      <c r="GOK1339" s="4" t="s">
        <v>2883</v>
      </c>
      <c r="GOL1339" s="4" t="s">
        <v>2883</v>
      </c>
      <c r="GOM1339" s="4" t="s">
        <v>2883</v>
      </c>
      <c r="GON1339" s="4" t="s">
        <v>2883</v>
      </c>
      <c r="GOO1339" s="4" t="s">
        <v>2883</v>
      </c>
      <c r="GOP1339" s="4" t="s">
        <v>2883</v>
      </c>
      <c r="GOQ1339" s="4" t="s">
        <v>2883</v>
      </c>
      <c r="GOR1339" s="4" t="s">
        <v>2883</v>
      </c>
      <c r="GOS1339" s="4" t="s">
        <v>2883</v>
      </c>
      <c r="GOT1339" s="4" t="s">
        <v>2883</v>
      </c>
      <c r="GOU1339" s="4" t="s">
        <v>2883</v>
      </c>
      <c r="GOV1339" s="4" t="s">
        <v>2883</v>
      </c>
      <c r="GOW1339" s="4" t="s">
        <v>2883</v>
      </c>
      <c r="GOX1339" s="4" t="s">
        <v>2883</v>
      </c>
      <c r="GOY1339" s="4" t="s">
        <v>2883</v>
      </c>
      <c r="GOZ1339" s="4" t="s">
        <v>2883</v>
      </c>
      <c r="GPA1339" s="4" t="s">
        <v>2883</v>
      </c>
      <c r="GPB1339" s="4" t="s">
        <v>2883</v>
      </c>
      <c r="GPC1339" s="4" t="s">
        <v>2883</v>
      </c>
      <c r="GPD1339" s="4" t="s">
        <v>2883</v>
      </c>
      <c r="GPE1339" s="4" t="s">
        <v>2883</v>
      </c>
      <c r="GPF1339" s="4" t="s">
        <v>2883</v>
      </c>
      <c r="GPG1339" s="4" t="s">
        <v>2883</v>
      </c>
      <c r="GPH1339" s="4" t="s">
        <v>2883</v>
      </c>
      <c r="GPI1339" s="4" t="s">
        <v>2883</v>
      </c>
      <c r="GPJ1339" s="4" t="s">
        <v>2883</v>
      </c>
      <c r="GPK1339" s="4" t="s">
        <v>2883</v>
      </c>
      <c r="GPL1339" s="4" t="s">
        <v>2883</v>
      </c>
      <c r="GPM1339" s="4" t="s">
        <v>2883</v>
      </c>
      <c r="GPN1339" s="4" t="s">
        <v>2883</v>
      </c>
      <c r="GPO1339" s="4" t="s">
        <v>2883</v>
      </c>
      <c r="GPP1339" s="4" t="s">
        <v>2883</v>
      </c>
      <c r="GPQ1339" s="4" t="s">
        <v>2883</v>
      </c>
      <c r="GPR1339" s="4" t="s">
        <v>2883</v>
      </c>
      <c r="GPS1339" s="4" t="s">
        <v>2883</v>
      </c>
      <c r="GPT1339" s="4" t="s">
        <v>2883</v>
      </c>
      <c r="GPU1339" s="4" t="s">
        <v>2883</v>
      </c>
      <c r="GPV1339" s="4" t="s">
        <v>2883</v>
      </c>
      <c r="GPW1339" s="4" t="s">
        <v>2883</v>
      </c>
      <c r="GPX1339" s="4" t="s">
        <v>2883</v>
      </c>
      <c r="GPY1339" s="4" t="s">
        <v>2883</v>
      </c>
      <c r="GPZ1339" s="4" t="s">
        <v>2883</v>
      </c>
      <c r="GQA1339" s="4" t="s">
        <v>2883</v>
      </c>
      <c r="GQB1339" s="4" t="s">
        <v>2883</v>
      </c>
      <c r="GQC1339" s="4" t="s">
        <v>2883</v>
      </c>
      <c r="GQD1339" s="4" t="s">
        <v>2883</v>
      </c>
      <c r="GQE1339" s="4" t="s">
        <v>2883</v>
      </c>
      <c r="GQF1339" s="4" t="s">
        <v>2883</v>
      </c>
      <c r="GQG1339" s="4" t="s">
        <v>2883</v>
      </c>
      <c r="GQH1339" s="4" t="s">
        <v>2883</v>
      </c>
      <c r="GQI1339" s="4" t="s">
        <v>2883</v>
      </c>
      <c r="GQJ1339" s="4" t="s">
        <v>2883</v>
      </c>
      <c r="GQK1339" s="4" t="s">
        <v>2883</v>
      </c>
      <c r="GQL1339" s="4" t="s">
        <v>2883</v>
      </c>
      <c r="GQM1339" s="4" t="s">
        <v>2883</v>
      </c>
      <c r="GQN1339" s="4" t="s">
        <v>2883</v>
      </c>
      <c r="GQO1339" s="4" t="s">
        <v>2883</v>
      </c>
      <c r="GQP1339" s="4" t="s">
        <v>2883</v>
      </c>
      <c r="GQQ1339" s="4" t="s">
        <v>2883</v>
      </c>
      <c r="GQR1339" s="4" t="s">
        <v>2883</v>
      </c>
      <c r="GQS1339" s="4" t="s">
        <v>2883</v>
      </c>
      <c r="GQT1339" s="4" t="s">
        <v>2883</v>
      </c>
      <c r="GQU1339" s="4" t="s">
        <v>2883</v>
      </c>
      <c r="GQV1339" s="4" t="s">
        <v>2883</v>
      </c>
      <c r="GQW1339" s="4" t="s">
        <v>2883</v>
      </c>
      <c r="GQX1339" s="4" t="s">
        <v>2883</v>
      </c>
      <c r="GQY1339" s="4" t="s">
        <v>2883</v>
      </c>
      <c r="GQZ1339" s="4" t="s">
        <v>2883</v>
      </c>
      <c r="GRA1339" s="4" t="s">
        <v>2883</v>
      </c>
      <c r="GRB1339" s="4" t="s">
        <v>2883</v>
      </c>
      <c r="GRC1339" s="4" t="s">
        <v>2883</v>
      </c>
      <c r="GRD1339" s="4" t="s">
        <v>2883</v>
      </c>
      <c r="GRE1339" s="4" t="s">
        <v>2883</v>
      </c>
      <c r="GRF1339" s="4" t="s">
        <v>2883</v>
      </c>
      <c r="GRG1339" s="4" t="s">
        <v>2883</v>
      </c>
      <c r="GRH1339" s="4" t="s">
        <v>2883</v>
      </c>
      <c r="GRI1339" s="4" t="s">
        <v>2883</v>
      </c>
      <c r="GRJ1339" s="4" t="s">
        <v>2883</v>
      </c>
      <c r="GRK1339" s="4" t="s">
        <v>2883</v>
      </c>
      <c r="GRL1339" s="4" t="s">
        <v>2883</v>
      </c>
      <c r="GRM1339" s="4" t="s">
        <v>2883</v>
      </c>
      <c r="GRN1339" s="4" t="s">
        <v>2883</v>
      </c>
      <c r="GRO1339" s="4" t="s">
        <v>2883</v>
      </c>
      <c r="GRP1339" s="4" t="s">
        <v>2883</v>
      </c>
      <c r="GRQ1339" s="4" t="s">
        <v>2883</v>
      </c>
      <c r="GRR1339" s="4" t="s">
        <v>2883</v>
      </c>
      <c r="GRS1339" s="4" t="s">
        <v>2883</v>
      </c>
      <c r="GRT1339" s="4" t="s">
        <v>2883</v>
      </c>
      <c r="GRU1339" s="4" t="s">
        <v>2883</v>
      </c>
      <c r="GRV1339" s="4" t="s">
        <v>2883</v>
      </c>
      <c r="GRW1339" s="4" t="s">
        <v>2883</v>
      </c>
      <c r="GRX1339" s="4" t="s">
        <v>2883</v>
      </c>
      <c r="GRY1339" s="4" t="s">
        <v>2883</v>
      </c>
      <c r="GRZ1339" s="4" t="s">
        <v>2883</v>
      </c>
      <c r="GSA1339" s="4" t="s">
        <v>2883</v>
      </c>
      <c r="GSB1339" s="4" t="s">
        <v>2883</v>
      </c>
      <c r="GSC1339" s="4" t="s">
        <v>2883</v>
      </c>
      <c r="GSD1339" s="4" t="s">
        <v>2883</v>
      </c>
      <c r="GSE1339" s="4" t="s">
        <v>2883</v>
      </c>
      <c r="GSF1339" s="4" t="s">
        <v>2883</v>
      </c>
      <c r="GSG1339" s="4" t="s">
        <v>2883</v>
      </c>
      <c r="GSH1339" s="4" t="s">
        <v>2883</v>
      </c>
      <c r="GSI1339" s="4" t="s">
        <v>2883</v>
      </c>
      <c r="GSJ1339" s="4" t="s">
        <v>2883</v>
      </c>
      <c r="GSK1339" s="4" t="s">
        <v>2883</v>
      </c>
      <c r="GSL1339" s="4" t="s">
        <v>2883</v>
      </c>
      <c r="GSM1339" s="4" t="s">
        <v>2883</v>
      </c>
      <c r="GSN1339" s="4" t="s">
        <v>2883</v>
      </c>
      <c r="GSO1339" s="4" t="s">
        <v>2883</v>
      </c>
      <c r="GSP1339" s="4" t="s">
        <v>2883</v>
      </c>
      <c r="GSQ1339" s="4" t="s">
        <v>2883</v>
      </c>
      <c r="GSR1339" s="4" t="s">
        <v>2883</v>
      </c>
      <c r="GSS1339" s="4" t="s">
        <v>2883</v>
      </c>
      <c r="GST1339" s="4" t="s">
        <v>2883</v>
      </c>
      <c r="GSU1339" s="4" t="s">
        <v>2883</v>
      </c>
      <c r="GSV1339" s="4" t="s">
        <v>2883</v>
      </c>
      <c r="GSW1339" s="4" t="s">
        <v>2883</v>
      </c>
      <c r="GSX1339" s="4" t="s">
        <v>2883</v>
      </c>
      <c r="GSY1339" s="4" t="s">
        <v>2883</v>
      </c>
      <c r="GSZ1339" s="4" t="s">
        <v>2883</v>
      </c>
      <c r="GTA1339" s="4" t="s">
        <v>2883</v>
      </c>
      <c r="GTB1339" s="4" t="s">
        <v>2883</v>
      </c>
      <c r="GTC1339" s="4" t="s">
        <v>2883</v>
      </c>
      <c r="GTD1339" s="4" t="s">
        <v>2883</v>
      </c>
      <c r="GTE1339" s="4" t="s">
        <v>2883</v>
      </c>
      <c r="GTF1339" s="4" t="s">
        <v>2883</v>
      </c>
      <c r="GTG1339" s="4" t="s">
        <v>2883</v>
      </c>
      <c r="GTH1339" s="4" t="s">
        <v>2883</v>
      </c>
      <c r="GTI1339" s="4" t="s">
        <v>2883</v>
      </c>
      <c r="GTJ1339" s="4" t="s">
        <v>2883</v>
      </c>
      <c r="GTK1339" s="4" t="s">
        <v>2883</v>
      </c>
      <c r="GTL1339" s="4" t="s">
        <v>2883</v>
      </c>
      <c r="GTM1339" s="4" t="s">
        <v>2883</v>
      </c>
      <c r="GTN1339" s="4" t="s">
        <v>2883</v>
      </c>
      <c r="GTO1339" s="4" t="s">
        <v>2883</v>
      </c>
      <c r="GTP1339" s="4" t="s">
        <v>2883</v>
      </c>
      <c r="GTQ1339" s="4" t="s">
        <v>2883</v>
      </c>
      <c r="GTR1339" s="4" t="s">
        <v>2883</v>
      </c>
      <c r="GTS1339" s="4" t="s">
        <v>2883</v>
      </c>
      <c r="GTT1339" s="4" t="s">
        <v>2883</v>
      </c>
      <c r="GTU1339" s="4" t="s">
        <v>2883</v>
      </c>
      <c r="GTV1339" s="4" t="s">
        <v>2883</v>
      </c>
      <c r="GTW1339" s="4" t="s">
        <v>2883</v>
      </c>
      <c r="GTX1339" s="4" t="s">
        <v>2883</v>
      </c>
      <c r="GTY1339" s="4" t="s">
        <v>2883</v>
      </c>
      <c r="GTZ1339" s="4" t="s">
        <v>2883</v>
      </c>
      <c r="GUA1339" s="4" t="s">
        <v>2883</v>
      </c>
      <c r="GUB1339" s="4" t="s">
        <v>2883</v>
      </c>
      <c r="GUC1339" s="4" t="s">
        <v>2883</v>
      </c>
      <c r="GUD1339" s="4" t="s">
        <v>2883</v>
      </c>
      <c r="GUE1339" s="4" t="s">
        <v>2883</v>
      </c>
      <c r="GUF1339" s="4" t="s">
        <v>2883</v>
      </c>
      <c r="GUG1339" s="4" t="s">
        <v>2883</v>
      </c>
      <c r="GUH1339" s="4" t="s">
        <v>2883</v>
      </c>
      <c r="GUI1339" s="4" t="s">
        <v>2883</v>
      </c>
      <c r="GUJ1339" s="4" t="s">
        <v>2883</v>
      </c>
      <c r="GUK1339" s="4" t="s">
        <v>2883</v>
      </c>
      <c r="GUL1339" s="4" t="s">
        <v>2883</v>
      </c>
      <c r="GUM1339" s="4" t="s">
        <v>2883</v>
      </c>
      <c r="GUN1339" s="4" t="s">
        <v>2883</v>
      </c>
      <c r="GUO1339" s="4" t="s">
        <v>2883</v>
      </c>
      <c r="GUP1339" s="4" t="s">
        <v>2883</v>
      </c>
      <c r="GUQ1339" s="4" t="s">
        <v>2883</v>
      </c>
      <c r="GUR1339" s="4" t="s">
        <v>2883</v>
      </c>
      <c r="GUS1339" s="4" t="s">
        <v>2883</v>
      </c>
      <c r="GUT1339" s="4" t="s">
        <v>2883</v>
      </c>
      <c r="GUU1339" s="4" t="s">
        <v>2883</v>
      </c>
      <c r="GUV1339" s="4" t="s">
        <v>2883</v>
      </c>
      <c r="GUW1339" s="4" t="s">
        <v>2883</v>
      </c>
      <c r="GUX1339" s="4" t="s">
        <v>2883</v>
      </c>
      <c r="GUY1339" s="4" t="s">
        <v>2883</v>
      </c>
      <c r="GUZ1339" s="4" t="s">
        <v>2883</v>
      </c>
      <c r="GVA1339" s="4" t="s">
        <v>2883</v>
      </c>
      <c r="GVB1339" s="4" t="s">
        <v>2883</v>
      </c>
      <c r="GVC1339" s="4" t="s">
        <v>2883</v>
      </c>
      <c r="GVD1339" s="4" t="s">
        <v>2883</v>
      </c>
      <c r="GVE1339" s="4" t="s">
        <v>2883</v>
      </c>
      <c r="GVF1339" s="4" t="s">
        <v>2883</v>
      </c>
      <c r="GVG1339" s="4" t="s">
        <v>2883</v>
      </c>
      <c r="GVH1339" s="4" t="s">
        <v>2883</v>
      </c>
      <c r="GVI1339" s="4" t="s">
        <v>2883</v>
      </c>
      <c r="GVJ1339" s="4" t="s">
        <v>2883</v>
      </c>
      <c r="GVK1339" s="4" t="s">
        <v>2883</v>
      </c>
      <c r="GVL1339" s="4" t="s">
        <v>2883</v>
      </c>
      <c r="GVM1339" s="4" t="s">
        <v>2883</v>
      </c>
      <c r="GVN1339" s="4" t="s">
        <v>2883</v>
      </c>
      <c r="GVO1339" s="4" t="s">
        <v>2883</v>
      </c>
      <c r="GVP1339" s="4" t="s">
        <v>2883</v>
      </c>
      <c r="GVQ1339" s="4" t="s">
        <v>2883</v>
      </c>
      <c r="GVR1339" s="4" t="s">
        <v>2883</v>
      </c>
      <c r="GVS1339" s="4" t="s">
        <v>2883</v>
      </c>
      <c r="GVT1339" s="4" t="s">
        <v>2883</v>
      </c>
      <c r="GVU1339" s="4" t="s">
        <v>2883</v>
      </c>
      <c r="GVV1339" s="4" t="s">
        <v>2883</v>
      </c>
      <c r="GVW1339" s="4" t="s">
        <v>2883</v>
      </c>
      <c r="GVX1339" s="4" t="s">
        <v>2883</v>
      </c>
      <c r="GVY1339" s="4" t="s">
        <v>2883</v>
      </c>
      <c r="GVZ1339" s="4" t="s">
        <v>2883</v>
      </c>
      <c r="GWA1339" s="4" t="s">
        <v>2883</v>
      </c>
      <c r="GWB1339" s="4" t="s">
        <v>2883</v>
      </c>
      <c r="GWC1339" s="4" t="s">
        <v>2883</v>
      </c>
      <c r="GWD1339" s="4" t="s">
        <v>2883</v>
      </c>
      <c r="GWE1339" s="4" t="s">
        <v>2883</v>
      </c>
      <c r="GWF1339" s="4" t="s">
        <v>2883</v>
      </c>
      <c r="GWG1339" s="4" t="s">
        <v>2883</v>
      </c>
      <c r="GWH1339" s="4" t="s">
        <v>2883</v>
      </c>
      <c r="GWI1339" s="4" t="s">
        <v>2883</v>
      </c>
      <c r="GWJ1339" s="4" t="s">
        <v>2883</v>
      </c>
      <c r="GWK1339" s="4" t="s">
        <v>2883</v>
      </c>
      <c r="GWL1339" s="4" t="s">
        <v>2883</v>
      </c>
      <c r="GWM1339" s="4" t="s">
        <v>2883</v>
      </c>
      <c r="GWN1339" s="4" t="s">
        <v>2883</v>
      </c>
      <c r="GWO1339" s="4" t="s">
        <v>2883</v>
      </c>
      <c r="GWP1339" s="4" t="s">
        <v>2883</v>
      </c>
      <c r="GWQ1339" s="4" t="s">
        <v>2883</v>
      </c>
      <c r="GWR1339" s="4" t="s">
        <v>2883</v>
      </c>
      <c r="GWS1339" s="4" t="s">
        <v>2883</v>
      </c>
      <c r="GWT1339" s="4" t="s">
        <v>2883</v>
      </c>
      <c r="GWU1339" s="4" t="s">
        <v>2883</v>
      </c>
      <c r="GWV1339" s="4" t="s">
        <v>2883</v>
      </c>
      <c r="GWW1339" s="4" t="s">
        <v>2883</v>
      </c>
      <c r="GWX1339" s="4" t="s">
        <v>2883</v>
      </c>
      <c r="GWY1339" s="4" t="s">
        <v>2883</v>
      </c>
      <c r="GWZ1339" s="4" t="s">
        <v>2883</v>
      </c>
      <c r="GXA1339" s="4" t="s">
        <v>2883</v>
      </c>
      <c r="GXB1339" s="4" t="s">
        <v>2883</v>
      </c>
      <c r="GXC1339" s="4" t="s">
        <v>2883</v>
      </c>
      <c r="GXD1339" s="4" t="s">
        <v>2883</v>
      </c>
      <c r="GXE1339" s="4" t="s">
        <v>2883</v>
      </c>
      <c r="GXF1339" s="4" t="s">
        <v>2883</v>
      </c>
      <c r="GXG1339" s="4" t="s">
        <v>2883</v>
      </c>
      <c r="GXH1339" s="4" t="s">
        <v>2883</v>
      </c>
      <c r="GXI1339" s="4" t="s">
        <v>2883</v>
      </c>
      <c r="GXJ1339" s="4" t="s">
        <v>2883</v>
      </c>
      <c r="GXK1339" s="4" t="s">
        <v>2883</v>
      </c>
      <c r="GXL1339" s="4" t="s">
        <v>2883</v>
      </c>
      <c r="GXM1339" s="4" t="s">
        <v>2883</v>
      </c>
      <c r="GXN1339" s="4" t="s">
        <v>2883</v>
      </c>
      <c r="GXO1339" s="4" t="s">
        <v>2883</v>
      </c>
      <c r="GXP1339" s="4" t="s">
        <v>2883</v>
      </c>
      <c r="GXQ1339" s="4" t="s">
        <v>2883</v>
      </c>
      <c r="GXR1339" s="4" t="s">
        <v>2883</v>
      </c>
      <c r="GXS1339" s="4" t="s">
        <v>2883</v>
      </c>
      <c r="GXT1339" s="4" t="s">
        <v>2883</v>
      </c>
      <c r="GXU1339" s="4" t="s">
        <v>2883</v>
      </c>
      <c r="GXV1339" s="4" t="s">
        <v>2883</v>
      </c>
      <c r="GXW1339" s="4" t="s">
        <v>2883</v>
      </c>
      <c r="GXX1339" s="4" t="s">
        <v>2883</v>
      </c>
      <c r="GXY1339" s="4" t="s">
        <v>2883</v>
      </c>
      <c r="GXZ1339" s="4" t="s">
        <v>2883</v>
      </c>
      <c r="GYA1339" s="4" t="s">
        <v>2883</v>
      </c>
      <c r="GYB1339" s="4" t="s">
        <v>2883</v>
      </c>
      <c r="GYC1339" s="4" t="s">
        <v>2883</v>
      </c>
      <c r="GYD1339" s="4" t="s">
        <v>2883</v>
      </c>
      <c r="GYE1339" s="4" t="s">
        <v>2883</v>
      </c>
      <c r="GYF1339" s="4" t="s">
        <v>2883</v>
      </c>
      <c r="GYG1339" s="4" t="s">
        <v>2883</v>
      </c>
      <c r="GYH1339" s="4" t="s">
        <v>2883</v>
      </c>
      <c r="GYI1339" s="4" t="s">
        <v>2883</v>
      </c>
      <c r="GYJ1339" s="4" t="s">
        <v>2883</v>
      </c>
      <c r="GYK1339" s="4" t="s">
        <v>2883</v>
      </c>
      <c r="GYL1339" s="4" t="s">
        <v>2883</v>
      </c>
      <c r="GYM1339" s="4" t="s">
        <v>2883</v>
      </c>
      <c r="GYN1339" s="4" t="s">
        <v>2883</v>
      </c>
      <c r="GYO1339" s="4" t="s">
        <v>2883</v>
      </c>
      <c r="GYP1339" s="4" t="s">
        <v>2883</v>
      </c>
      <c r="GYQ1339" s="4" t="s">
        <v>2883</v>
      </c>
      <c r="GYR1339" s="4" t="s">
        <v>2883</v>
      </c>
      <c r="GYS1339" s="4" t="s">
        <v>2883</v>
      </c>
      <c r="GYT1339" s="4" t="s">
        <v>2883</v>
      </c>
      <c r="GYU1339" s="4" t="s">
        <v>2883</v>
      </c>
      <c r="GYV1339" s="4" t="s">
        <v>2883</v>
      </c>
      <c r="GYW1339" s="4" t="s">
        <v>2883</v>
      </c>
      <c r="GYX1339" s="4" t="s">
        <v>2883</v>
      </c>
      <c r="GYY1339" s="4" t="s">
        <v>2883</v>
      </c>
      <c r="GYZ1339" s="4" t="s">
        <v>2883</v>
      </c>
      <c r="GZA1339" s="4" t="s">
        <v>2883</v>
      </c>
      <c r="GZB1339" s="4" t="s">
        <v>2883</v>
      </c>
      <c r="GZC1339" s="4" t="s">
        <v>2883</v>
      </c>
      <c r="GZD1339" s="4" t="s">
        <v>2883</v>
      </c>
      <c r="GZE1339" s="4" t="s">
        <v>2883</v>
      </c>
      <c r="GZF1339" s="4" t="s">
        <v>2883</v>
      </c>
      <c r="GZG1339" s="4" t="s">
        <v>2883</v>
      </c>
      <c r="GZH1339" s="4" t="s">
        <v>2883</v>
      </c>
      <c r="GZI1339" s="4" t="s">
        <v>2883</v>
      </c>
      <c r="GZJ1339" s="4" t="s">
        <v>2883</v>
      </c>
      <c r="GZK1339" s="4" t="s">
        <v>2883</v>
      </c>
      <c r="GZL1339" s="4" t="s">
        <v>2883</v>
      </c>
      <c r="GZM1339" s="4" t="s">
        <v>2883</v>
      </c>
      <c r="GZN1339" s="4" t="s">
        <v>2883</v>
      </c>
      <c r="GZO1339" s="4" t="s">
        <v>2883</v>
      </c>
      <c r="GZP1339" s="4" t="s">
        <v>2883</v>
      </c>
      <c r="GZQ1339" s="4" t="s">
        <v>2883</v>
      </c>
      <c r="GZR1339" s="4" t="s">
        <v>2883</v>
      </c>
      <c r="GZS1339" s="4" t="s">
        <v>2883</v>
      </c>
      <c r="GZT1339" s="4" t="s">
        <v>2883</v>
      </c>
      <c r="GZU1339" s="4" t="s">
        <v>2883</v>
      </c>
      <c r="GZV1339" s="4" t="s">
        <v>2883</v>
      </c>
      <c r="GZW1339" s="4" t="s">
        <v>2883</v>
      </c>
      <c r="GZX1339" s="4" t="s">
        <v>2883</v>
      </c>
      <c r="GZY1339" s="4" t="s">
        <v>2883</v>
      </c>
      <c r="GZZ1339" s="4" t="s">
        <v>2883</v>
      </c>
      <c r="HAA1339" s="4" t="s">
        <v>2883</v>
      </c>
      <c r="HAB1339" s="4" t="s">
        <v>2883</v>
      </c>
      <c r="HAC1339" s="4" t="s">
        <v>2883</v>
      </c>
      <c r="HAD1339" s="4" t="s">
        <v>2883</v>
      </c>
      <c r="HAE1339" s="4" t="s">
        <v>2883</v>
      </c>
      <c r="HAF1339" s="4" t="s">
        <v>2883</v>
      </c>
      <c r="HAG1339" s="4" t="s">
        <v>2883</v>
      </c>
      <c r="HAH1339" s="4" t="s">
        <v>2883</v>
      </c>
      <c r="HAI1339" s="4" t="s">
        <v>2883</v>
      </c>
      <c r="HAJ1339" s="4" t="s">
        <v>2883</v>
      </c>
      <c r="HAK1339" s="4" t="s">
        <v>2883</v>
      </c>
      <c r="HAL1339" s="4" t="s">
        <v>2883</v>
      </c>
      <c r="HAM1339" s="4" t="s">
        <v>2883</v>
      </c>
      <c r="HAN1339" s="4" t="s">
        <v>2883</v>
      </c>
      <c r="HAO1339" s="4" t="s">
        <v>2883</v>
      </c>
      <c r="HAP1339" s="4" t="s">
        <v>2883</v>
      </c>
      <c r="HAQ1339" s="4" t="s">
        <v>2883</v>
      </c>
      <c r="HAR1339" s="4" t="s">
        <v>2883</v>
      </c>
      <c r="HAS1339" s="4" t="s">
        <v>2883</v>
      </c>
      <c r="HAT1339" s="4" t="s">
        <v>2883</v>
      </c>
      <c r="HAU1339" s="4" t="s">
        <v>2883</v>
      </c>
      <c r="HAV1339" s="4" t="s">
        <v>2883</v>
      </c>
      <c r="HAW1339" s="4" t="s">
        <v>2883</v>
      </c>
      <c r="HAX1339" s="4" t="s">
        <v>2883</v>
      </c>
      <c r="HAY1339" s="4" t="s">
        <v>2883</v>
      </c>
      <c r="HAZ1339" s="4" t="s">
        <v>2883</v>
      </c>
      <c r="HBA1339" s="4" t="s">
        <v>2883</v>
      </c>
      <c r="HBB1339" s="4" t="s">
        <v>2883</v>
      </c>
      <c r="HBC1339" s="4" t="s">
        <v>2883</v>
      </c>
      <c r="HBD1339" s="4" t="s">
        <v>2883</v>
      </c>
      <c r="HBE1339" s="4" t="s">
        <v>2883</v>
      </c>
      <c r="HBF1339" s="4" t="s">
        <v>2883</v>
      </c>
      <c r="HBG1339" s="4" t="s">
        <v>2883</v>
      </c>
      <c r="HBH1339" s="4" t="s">
        <v>2883</v>
      </c>
      <c r="HBI1339" s="4" t="s">
        <v>2883</v>
      </c>
      <c r="HBJ1339" s="4" t="s">
        <v>2883</v>
      </c>
      <c r="HBK1339" s="4" t="s">
        <v>2883</v>
      </c>
      <c r="HBL1339" s="4" t="s">
        <v>2883</v>
      </c>
      <c r="HBM1339" s="4" t="s">
        <v>2883</v>
      </c>
      <c r="HBN1339" s="4" t="s">
        <v>2883</v>
      </c>
      <c r="HBO1339" s="4" t="s">
        <v>2883</v>
      </c>
      <c r="HBP1339" s="4" t="s">
        <v>2883</v>
      </c>
      <c r="HBQ1339" s="4" t="s">
        <v>2883</v>
      </c>
      <c r="HBR1339" s="4" t="s">
        <v>2883</v>
      </c>
      <c r="HBS1339" s="4" t="s">
        <v>2883</v>
      </c>
      <c r="HBT1339" s="4" t="s">
        <v>2883</v>
      </c>
      <c r="HBU1339" s="4" t="s">
        <v>2883</v>
      </c>
      <c r="HBV1339" s="4" t="s">
        <v>2883</v>
      </c>
      <c r="HBW1339" s="4" t="s">
        <v>2883</v>
      </c>
      <c r="HBX1339" s="4" t="s">
        <v>2883</v>
      </c>
      <c r="HBY1339" s="4" t="s">
        <v>2883</v>
      </c>
      <c r="HBZ1339" s="4" t="s">
        <v>2883</v>
      </c>
      <c r="HCA1339" s="4" t="s">
        <v>2883</v>
      </c>
      <c r="HCB1339" s="4" t="s">
        <v>2883</v>
      </c>
      <c r="HCC1339" s="4" t="s">
        <v>2883</v>
      </c>
      <c r="HCD1339" s="4" t="s">
        <v>2883</v>
      </c>
      <c r="HCE1339" s="4" t="s">
        <v>2883</v>
      </c>
      <c r="HCF1339" s="4" t="s">
        <v>2883</v>
      </c>
      <c r="HCG1339" s="4" t="s">
        <v>2883</v>
      </c>
      <c r="HCH1339" s="4" t="s">
        <v>2883</v>
      </c>
      <c r="HCI1339" s="4" t="s">
        <v>2883</v>
      </c>
      <c r="HCJ1339" s="4" t="s">
        <v>2883</v>
      </c>
      <c r="HCK1339" s="4" t="s">
        <v>2883</v>
      </c>
      <c r="HCL1339" s="4" t="s">
        <v>2883</v>
      </c>
      <c r="HCM1339" s="4" t="s">
        <v>2883</v>
      </c>
      <c r="HCN1339" s="4" t="s">
        <v>2883</v>
      </c>
      <c r="HCO1339" s="4" t="s">
        <v>2883</v>
      </c>
      <c r="HCP1339" s="4" t="s">
        <v>2883</v>
      </c>
      <c r="HCQ1339" s="4" t="s">
        <v>2883</v>
      </c>
      <c r="HCR1339" s="4" t="s">
        <v>2883</v>
      </c>
      <c r="HCS1339" s="4" t="s">
        <v>2883</v>
      </c>
      <c r="HCT1339" s="4" t="s">
        <v>2883</v>
      </c>
      <c r="HCU1339" s="4" t="s">
        <v>2883</v>
      </c>
      <c r="HCV1339" s="4" t="s">
        <v>2883</v>
      </c>
      <c r="HCW1339" s="4" t="s">
        <v>2883</v>
      </c>
      <c r="HCX1339" s="4" t="s">
        <v>2883</v>
      </c>
      <c r="HCY1339" s="4" t="s">
        <v>2883</v>
      </c>
      <c r="HCZ1339" s="4" t="s">
        <v>2883</v>
      </c>
      <c r="HDA1339" s="4" t="s">
        <v>2883</v>
      </c>
      <c r="HDB1339" s="4" t="s">
        <v>2883</v>
      </c>
      <c r="HDC1339" s="4" t="s">
        <v>2883</v>
      </c>
      <c r="HDD1339" s="4" t="s">
        <v>2883</v>
      </c>
      <c r="HDE1339" s="4" t="s">
        <v>2883</v>
      </c>
      <c r="HDF1339" s="4" t="s">
        <v>2883</v>
      </c>
      <c r="HDG1339" s="4" t="s">
        <v>2883</v>
      </c>
      <c r="HDH1339" s="4" t="s">
        <v>2883</v>
      </c>
      <c r="HDI1339" s="4" t="s">
        <v>2883</v>
      </c>
      <c r="HDJ1339" s="4" t="s">
        <v>2883</v>
      </c>
      <c r="HDK1339" s="4" t="s">
        <v>2883</v>
      </c>
      <c r="HDL1339" s="4" t="s">
        <v>2883</v>
      </c>
      <c r="HDM1339" s="4" t="s">
        <v>2883</v>
      </c>
      <c r="HDN1339" s="4" t="s">
        <v>2883</v>
      </c>
      <c r="HDO1339" s="4" t="s">
        <v>2883</v>
      </c>
      <c r="HDP1339" s="4" t="s">
        <v>2883</v>
      </c>
      <c r="HDQ1339" s="4" t="s">
        <v>2883</v>
      </c>
      <c r="HDR1339" s="4" t="s">
        <v>2883</v>
      </c>
      <c r="HDS1339" s="4" t="s">
        <v>2883</v>
      </c>
      <c r="HDT1339" s="4" t="s">
        <v>2883</v>
      </c>
      <c r="HDU1339" s="4" t="s">
        <v>2883</v>
      </c>
      <c r="HDV1339" s="4" t="s">
        <v>2883</v>
      </c>
      <c r="HDW1339" s="4" t="s">
        <v>2883</v>
      </c>
      <c r="HDX1339" s="4" t="s">
        <v>2883</v>
      </c>
      <c r="HDY1339" s="4" t="s">
        <v>2883</v>
      </c>
      <c r="HDZ1339" s="4" t="s">
        <v>2883</v>
      </c>
      <c r="HEA1339" s="4" t="s">
        <v>2883</v>
      </c>
      <c r="HEB1339" s="4" t="s">
        <v>2883</v>
      </c>
      <c r="HEC1339" s="4" t="s">
        <v>2883</v>
      </c>
      <c r="HED1339" s="4" t="s">
        <v>2883</v>
      </c>
      <c r="HEE1339" s="4" t="s">
        <v>2883</v>
      </c>
      <c r="HEF1339" s="4" t="s">
        <v>2883</v>
      </c>
      <c r="HEG1339" s="4" t="s">
        <v>2883</v>
      </c>
      <c r="HEH1339" s="4" t="s">
        <v>2883</v>
      </c>
      <c r="HEI1339" s="4" t="s">
        <v>2883</v>
      </c>
      <c r="HEJ1339" s="4" t="s">
        <v>2883</v>
      </c>
      <c r="HEK1339" s="4" t="s">
        <v>2883</v>
      </c>
      <c r="HEL1339" s="4" t="s">
        <v>2883</v>
      </c>
      <c r="HEM1339" s="4" t="s">
        <v>2883</v>
      </c>
      <c r="HEN1339" s="4" t="s">
        <v>2883</v>
      </c>
      <c r="HEO1339" s="4" t="s">
        <v>2883</v>
      </c>
      <c r="HEP1339" s="4" t="s">
        <v>2883</v>
      </c>
      <c r="HEQ1339" s="4" t="s">
        <v>2883</v>
      </c>
      <c r="HER1339" s="4" t="s">
        <v>2883</v>
      </c>
      <c r="HES1339" s="4" t="s">
        <v>2883</v>
      </c>
      <c r="HET1339" s="4" t="s">
        <v>2883</v>
      </c>
      <c r="HEU1339" s="4" t="s">
        <v>2883</v>
      </c>
      <c r="HEV1339" s="4" t="s">
        <v>2883</v>
      </c>
      <c r="HEW1339" s="4" t="s">
        <v>2883</v>
      </c>
      <c r="HEX1339" s="4" t="s">
        <v>2883</v>
      </c>
      <c r="HEY1339" s="4" t="s">
        <v>2883</v>
      </c>
      <c r="HEZ1339" s="4" t="s">
        <v>2883</v>
      </c>
      <c r="HFA1339" s="4" t="s">
        <v>2883</v>
      </c>
      <c r="HFB1339" s="4" t="s">
        <v>2883</v>
      </c>
      <c r="HFC1339" s="4" t="s">
        <v>2883</v>
      </c>
      <c r="HFD1339" s="4" t="s">
        <v>2883</v>
      </c>
      <c r="HFE1339" s="4" t="s">
        <v>2883</v>
      </c>
      <c r="HFF1339" s="4" t="s">
        <v>2883</v>
      </c>
      <c r="HFG1339" s="4" t="s">
        <v>2883</v>
      </c>
      <c r="HFH1339" s="4" t="s">
        <v>2883</v>
      </c>
      <c r="HFI1339" s="4" t="s">
        <v>2883</v>
      </c>
      <c r="HFJ1339" s="4" t="s">
        <v>2883</v>
      </c>
      <c r="HFK1339" s="4" t="s">
        <v>2883</v>
      </c>
      <c r="HFL1339" s="4" t="s">
        <v>2883</v>
      </c>
      <c r="HFM1339" s="4" t="s">
        <v>2883</v>
      </c>
      <c r="HFN1339" s="4" t="s">
        <v>2883</v>
      </c>
      <c r="HFO1339" s="4" t="s">
        <v>2883</v>
      </c>
      <c r="HFP1339" s="4" t="s">
        <v>2883</v>
      </c>
      <c r="HFQ1339" s="4" t="s">
        <v>2883</v>
      </c>
      <c r="HFR1339" s="4" t="s">
        <v>2883</v>
      </c>
      <c r="HFS1339" s="4" t="s">
        <v>2883</v>
      </c>
      <c r="HFT1339" s="4" t="s">
        <v>2883</v>
      </c>
      <c r="HFU1339" s="4" t="s">
        <v>2883</v>
      </c>
      <c r="HFV1339" s="4" t="s">
        <v>2883</v>
      </c>
      <c r="HFW1339" s="4" t="s">
        <v>2883</v>
      </c>
      <c r="HFX1339" s="4" t="s">
        <v>2883</v>
      </c>
      <c r="HFY1339" s="4" t="s">
        <v>2883</v>
      </c>
      <c r="HFZ1339" s="4" t="s">
        <v>2883</v>
      </c>
      <c r="HGA1339" s="4" t="s">
        <v>2883</v>
      </c>
      <c r="HGB1339" s="4" t="s">
        <v>2883</v>
      </c>
      <c r="HGC1339" s="4" t="s">
        <v>2883</v>
      </c>
      <c r="HGD1339" s="4" t="s">
        <v>2883</v>
      </c>
      <c r="HGE1339" s="4" t="s">
        <v>2883</v>
      </c>
      <c r="HGF1339" s="4" t="s">
        <v>2883</v>
      </c>
      <c r="HGG1339" s="4" t="s">
        <v>2883</v>
      </c>
      <c r="HGH1339" s="4" t="s">
        <v>2883</v>
      </c>
      <c r="HGI1339" s="4" t="s">
        <v>2883</v>
      </c>
      <c r="HGJ1339" s="4" t="s">
        <v>2883</v>
      </c>
      <c r="HGK1339" s="4" t="s">
        <v>2883</v>
      </c>
      <c r="HGL1339" s="4" t="s">
        <v>2883</v>
      </c>
      <c r="HGM1339" s="4" t="s">
        <v>2883</v>
      </c>
      <c r="HGN1339" s="4" t="s">
        <v>2883</v>
      </c>
      <c r="HGO1339" s="4" t="s">
        <v>2883</v>
      </c>
      <c r="HGP1339" s="4" t="s">
        <v>2883</v>
      </c>
      <c r="HGQ1339" s="4" t="s">
        <v>2883</v>
      </c>
      <c r="HGR1339" s="4" t="s">
        <v>2883</v>
      </c>
      <c r="HGS1339" s="4" t="s">
        <v>2883</v>
      </c>
      <c r="HGT1339" s="4" t="s">
        <v>2883</v>
      </c>
      <c r="HGU1339" s="4" t="s">
        <v>2883</v>
      </c>
      <c r="HGV1339" s="4" t="s">
        <v>2883</v>
      </c>
      <c r="HGW1339" s="4" t="s">
        <v>2883</v>
      </c>
      <c r="HGX1339" s="4" t="s">
        <v>2883</v>
      </c>
      <c r="HGY1339" s="4" t="s">
        <v>2883</v>
      </c>
      <c r="HGZ1339" s="4" t="s">
        <v>2883</v>
      </c>
      <c r="HHA1339" s="4" t="s">
        <v>2883</v>
      </c>
      <c r="HHB1339" s="4" t="s">
        <v>2883</v>
      </c>
      <c r="HHC1339" s="4" t="s">
        <v>2883</v>
      </c>
      <c r="HHD1339" s="4" t="s">
        <v>2883</v>
      </c>
      <c r="HHE1339" s="4" t="s">
        <v>2883</v>
      </c>
      <c r="HHF1339" s="4" t="s">
        <v>2883</v>
      </c>
      <c r="HHG1339" s="4" t="s">
        <v>2883</v>
      </c>
      <c r="HHH1339" s="4" t="s">
        <v>2883</v>
      </c>
      <c r="HHI1339" s="4" t="s">
        <v>2883</v>
      </c>
      <c r="HHJ1339" s="4" t="s">
        <v>2883</v>
      </c>
      <c r="HHK1339" s="4" t="s">
        <v>2883</v>
      </c>
      <c r="HHL1339" s="4" t="s">
        <v>2883</v>
      </c>
      <c r="HHM1339" s="4" t="s">
        <v>2883</v>
      </c>
      <c r="HHN1339" s="4" t="s">
        <v>2883</v>
      </c>
      <c r="HHO1339" s="4" t="s">
        <v>2883</v>
      </c>
      <c r="HHP1339" s="4" t="s">
        <v>2883</v>
      </c>
      <c r="HHQ1339" s="4" t="s">
        <v>2883</v>
      </c>
      <c r="HHR1339" s="4" t="s">
        <v>2883</v>
      </c>
      <c r="HHS1339" s="4" t="s">
        <v>2883</v>
      </c>
      <c r="HHT1339" s="4" t="s">
        <v>2883</v>
      </c>
      <c r="HHU1339" s="4" t="s">
        <v>2883</v>
      </c>
      <c r="HHV1339" s="4" t="s">
        <v>2883</v>
      </c>
      <c r="HHW1339" s="4" t="s">
        <v>2883</v>
      </c>
      <c r="HHX1339" s="4" t="s">
        <v>2883</v>
      </c>
      <c r="HHY1339" s="4" t="s">
        <v>2883</v>
      </c>
      <c r="HHZ1339" s="4" t="s">
        <v>2883</v>
      </c>
      <c r="HIA1339" s="4" t="s">
        <v>2883</v>
      </c>
      <c r="HIB1339" s="4" t="s">
        <v>2883</v>
      </c>
      <c r="HIC1339" s="4" t="s">
        <v>2883</v>
      </c>
      <c r="HID1339" s="4" t="s">
        <v>2883</v>
      </c>
      <c r="HIE1339" s="4" t="s">
        <v>2883</v>
      </c>
      <c r="HIF1339" s="4" t="s">
        <v>2883</v>
      </c>
      <c r="HIG1339" s="4" t="s">
        <v>2883</v>
      </c>
      <c r="HIH1339" s="4" t="s">
        <v>2883</v>
      </c>
      <c r="HII1339" s="4" t="s">
        <v>2883</v>
      </c>
      <c r="HIJ1339" s="4" t="s">
        <v>2883</v>
      </c>
      <c r="HIK1339" s="4" t="s">
        <v>2883</v>
      </c>
      <c r="HIL1339" s="4" t="s">
        <v>2883</v>
      </c>
      <c r="HIM1339" s="4" t="s">
        <v>2883</v>
      </c>
      <c r="HIN1339" s="4" t="s">
        <v>2883</v>
      </c>
      <c r="HIO1339" s="4" t="s">
        <v>2883</v>
      </c>
      <c r="HIP1339" s="4" t="s">
        <v>2883</v>
      </c>
      <c r="HIQ1339" s="4" t="s">
        <v>2883</v>
      </c>
      <c r="HIR1339" s="4" t="s">
        <v>2883</v>
      </c>
      <c r="HIS1339" s="4" t="s">
        <v>2883</v>
      </c>
      <c r="HIT1339" s="4" t="s">
        <v>2883</v>
      </c>
      <c r="HIU1339" s="4" t="s">
        <v>2883</v>
      </c>
      <c r="HIV1339" s="4" t="s">
        <v>2883</v>
      </c>
      <c r="HIW1339" s="4" t="s">
        <v>2883</v>
      </c>
      <c r="HIX1339" s="4" t="s">
        <v>2883</v>
      </c>
      <c r="HIY1339" s="4" t="s">
        <v>2883</v>
      </c>
      <c r="HIZ1339" s="4" t="s">
        <v>2883</v>
      </c>
      <c r="HJA1339" s="4" t="s">
        <v>2883</v>
      </c>
      <c r="HJB1339" s="4" t="s">
        <v>2883</v>
      </c>
      <c r="HJC1339" s="4" t="s">
        <v>2883</v>
      </c>
      <c r="HJD1339" s="4" t="s">
        <v>2883</v>
      </c>
      <c r="HJE1339" s="4" t="s">
        <v>2883</v>
      </c>
      <c r="HJF1339" s="4" t="s">
        <v>2883</v>
      </c>
      <c r="HJG1339" s="4" t="s">
        <v>2883</v>
      </c>
      <c r="HJH1339" s="4" t="s">
        <v>2883</v>
      </c>
      <c r="HJI1339" s="4" t="s">
        <v>2883</v>
      </c>
      <c r="HJJ1339" s="4" t="s">
        <v>2883</v>
      </c>
      <c r="HJK1339" s="4" t="s">
        <v>2883</v>
      </c>
      <c r="HJL1339" s="4" t="s">
        <v>2883</v>
      </c>
      <c r="HJM1339" s="4" t="s">
        <v>2883</v>
      </c>
      <c r="HJN1339" s="4" t="s">
        <v>2883</v>
      </c>
      <c r="HJO1339" s="4" t="s">
        <v>2883</v>
      </c>
      <c r="HJP1339" s="4" t="s">
        <v>2883</v>
      </c>
      <c r="HJQ1339" s="4" t="s">
        <v>2883</v>
      </c>
      <c r="HJR1339" s="4" t="s">
        <v>2883</v>
      </c>
      <c r="HJS1339" s="4" t="s">
        <v>2883</v>
      </c>
      <c r="HJT1339" s="4" t="s">
        <v>2883</v>
      </c>
      <c r="HJU1339" s="4" t="s">
        <v>2883</v>
      </c>
      <c r="HJV1339" s="4" t="s">
        <v>2883</v>
      </c>
      <c r="HJW1339" s="4" t="s">
        <v>2883</v>
      </c>
      <c r="HJX1339" s="4" t="s">
        <v>2883</v>
      </c>
      <c r="HJY1339" s="4" t="s">
        <v>2883</v>
      </c>
      <c r="HJZ1339" s="4" t="s">
        <v>2883</v>
      </c>
      <c r="HKA1339" s="4" t="s">
        <v>2883</v>
      </c>
      <c r="HKB1339" s="4" t="s">
        <v>2883</v>
      </c>
      <c r="HKC1339" s="4" t="s">
        <v>2883</v>
      </c>
      <c r="HKD1339" s="4" t="s">
        <v>2883</v>
      </c>
      <c r="HKE1339" s="4" t="s">
        <v>2883</v>
      </c>
      <c r="HKF1339" s="4" t="s">
        <v>2883</v>
      </c>
      <c r="HKG1339" s="4" t="s">
        <v>2883</v>
      </c>
      <c r="HKH1339" s="4" t="s">
        <v>2883</v>
      </c>
      <c r="HKI1339" s="4" t="s">
        <v>2883</v>
      </c>
      <c r="HKJ1339" s="4" t="s">
        <v>2883</v>
      </c>
      <c r="HKK1339" s="4" t="s">
        <v>2883</v>
      </c>
      <c r="HKL1339" s="4" t="s">
        <v>2883</v>
      </c>
      <c r="HKM1339" s="4" t="s">
        <v>2883</v>
      </c>
      <c r="HKN1339" s="4" t="s">
        <v>2883</v>
      </c>
      <c r="HKO1339" s="4" t="s">
        <v>2883</v>
      </c>
      <c r="HKP1339" s="4" t="s">
        <v>2883</v>
      </c>
      <c r="HKQ1339" s="4" t="s">
        <v>2883</v>
      </c>
      <c r="HKR1339" s="4" t="s">
        <v>2883</v>
      </c>
      <c r="HKS1339" s="4" t="s">
        <v>2883</v>
      </c>
      <c r="HKT1339" s="4" t="s">
        <v>2883</v>
      </c>
      <c r="HKU1339" s="4" t="s">
        <v>2883</v>
      </c>
      <c r="HKV1339" s="4" t="s">
        <v>2883</v>
      </c>
      <c r="HKW1339" s="4" t="s">
        <v>2883</v>
      </c>
      <c r="HKX1339" s="4" t="s">
        <v>2883</v>
      </c>
      <c r="HKY1339" s="4" t="s">
        <v>2883</v>
      </c>
      <c r="HKZ1339" s="4" t="s">
        <v>2883</v>
      </c>
      <c r="HLA1339" s="4" t="s">
        <v>2883</v>
      </c>
      <c r="HLB1339" s="4" t="s">
        <v>2883</v>
      </c>
      <c r="HLC1339" s="4" t="s">
        <v>2883</v>
      </c>
      <c r="HLD1339" s="4" t="s">
        <v>2883</v>
      </c>
      <c r="HLE1339" s="4" t="s">
        <v>2883</v>
      </c>
      <c r="HLF1339" s="4" t="s">
        <v>2883</v>
      </c>
      <c r="HLG1339" s="4" t="s">
        <v>2883</v>
      </c>
      <c r="HLH1339" s="4" t="s">
        <v>2883</v>
      </c>
      <c r="HLI1339" s="4" t="s">
        <v>2883</v>
      </c>
      <c r="HLJ1339" s="4" t="s">
        <v>2883</v>
      </c>
      <c r="HLK1339" s="4" t="s">
        <v>2883</v>
      </c>
      <c r="HLL1339" s="4" t="s">
        <v>2883</v>
      </c>
      <c r="HLM1339" s="4" t="s">
        <v>2883</v>
      </c>
      <c r="HLN1339" s="4" t="s">
        <v>2883</v>
      </c>
      <c r="HLO1339" s="4" t="s">
        <v>2883</v>
      </c>
      <c r="HLP1339" s="4" t="s">
        <v>2883</v>
      </c>
      <c r="HLQ1339" s="4" t="s">
        <v>2883</v>
      </c>
      <c r="HLR1339" s="4" t="s">
        <v>2883</v>
      </c>
      <c r="HLS1339" s="4" t="s">
        <v>2883</v>
      </c>
      <c r="HLT1339" s="4" t="s">
        <v>2883</v>
      </c>
      <c r="HLU1339" s="4" t="s">
        <v>2883</v>
      </c>
      <c r="HLV1339" s="4" t="s">
        <v>2883</v>
      </c>
      <c r="HLW1339" s="4" t="s">
        <v>2883</v>
      </c>
      <c r="HLX1339" s="4" t="s">
        <v>2883</v>
      </c>
      <c r="HLY1339" s="4" t="s">
        <v>2883</v>
      </c>
      <c r="HLZ1339" s="4" t="s">
        <v>2883</v>
      </c>
      <c r="HMA1339" s="4" t="s">
        <v>2883</v>
      </c>
      <c r="HMB1339" s="4" t="s">
        <v>2883</v>
      </c>
      <c r="HMC1339" s="4" t="s">
        <v>2883</v>
      </c>
      <c r="HMD1339" s="4" t="s">
        <v>2883</v>
      </c>
      <c r="HME1339" s="4" t="s">
        <v>2883</v>
      </c>
      <c r="HMF1339" s="4" t="s">
        <v>2883</v>
      </c>
      <c r="HMG1339" s="4" t="s">
        <v>2883</v>
      </c>
      <c r="HMH1339" s="4" t="s">
        <v>2883</v>
      </c>
      <c r="HMI1339" s="4" t="s">
        <v>2883</v>
      </c>
      <c r="HMJ1339" s="4" t="s">
        <v>2883</v>
      </c>
      <c r="HMK1339" s="4" t="s">
        <v>2883</v>
      </c>
      <c r="HML1339" s="4" t="s">
        <v>2883</v>
      </c>
      <c r="HMM1339" s="4" t="s">
        <v>2883</v>
      </c>
      <c r="HMN1339" s="4" t="s">
        <v>2883</v>
      </c>
      <c r="HMO1339" s="4" t="s">
        <v>2883</v>
      </c>
      <c r="HMP1339" s="4" t="s">
        <v>2883</v>
      </c>
      <c r="HMQ1339" s="4" t="s">
        <v>2883</v>
      </c>
      <c r="HMR1339" s="4" t="s">
        <v>2883</v>
      </c>
      <c r="HMS1339" s="4" t="s">
        <v>2883</v>
      </c>
      <c r="HMT1339" s="4" t="s">
        <v>2883</v>
      </c>
      <c r="HMU1339" s="4" t="s">
        <v>2883</v>
      </c>
      <c r="HMV1339" s="4" t="s">
        <v>2883</v>
      </c>
      <c r="HMW1339" s="4" t="s">
        <v>2883</v>
      </c>
      <c r="HMX1339" s="4" t="s">
        <v>2883</v>
      </c>
      <c r="HMY1339" s="4" t="s">
        <v>2883</v>
      </c>
      <c r="HMZ1339" s="4" t="s">
        <v>2883</v>
      </c>
      <c r="HNA1339" s="4" t="s">
        <v>2883</v>
      </c>
      <c r="HNB1339" s="4" t="s">
        <v>2883</v>
      </c>
      <c r="HNC1339" s="4" t="s">
        <v>2883</v>
      </c>
      <c r="HND1339" s="4" t="s">
        <v>2883</v>
      </c>
      <c r="HNE1339" s="4" t="s">
        <v>2883</v>
      </c>
      <c r="HNF1339" s="4" t="s">
        <v>2883</v>
      </c>
      <c r="HNG1339" s="4" t="s">
        <v>2883</v>
      </c>
      <c r="HNH1339" s="4" t="s">
        <v>2883</v>
      </c>
      <c r="HNI1339" s="4" t="s">
        <v>2883</v>
      </c>
      <c r="HNJ1339" s="4" t="s">
        <v>2883</v>
      </c>
      <c r="HNK1339" s="4" t="s">
        <v>2883</v>
      </c>
      <c r="HNL1339" s="4" t="s">
        <v>2883</v>
      </c>
      <c r="HNM1339" s="4" t="s">
        <v>2883</v>
      </c>
      <c r="HNN1339" s="4" t="s">
        <v>2883</v>
      </c>
      <c r="HNO1339" s="4" t="s">
        <v>2883</v>
      </c>
      <c r="HNP1339" s="4" t="s">
        <v>2883</v>
      </c>
      <c r="HNQ1339" s="4" t="s">
        <v>2883</v>
      </c>
      <c r="HNR1339" s="4" t="s">
        <v>2883</v>
      </c>
      <c r="HNS1339" s="4" t="s">
        <v>2883</v>
      </c>
      <c r="HNT1339" s="4" t="s">
        <v>2883</v>
      </c>
      <c r="HNU1339" s="4" t="s">
        <v>2883</v>
      </c>
      <c r="HNV1339" s="4" t="s">
        <v>2883</v>
      </c>
      <c r="HNW1339" s="4" t="s">
        <v>2883</v>
      </c>
      <c r="HNX1339" s="4" t="s">
        <v>2883</v>
      </c>
      <c r="HNY1339" s="4" t="s">
        <v>2883</v>
      </c>
      <c r="HNZ1339" s="4" t="s">
        <v>2883</v>
      </c>
      <c r="HOA1339" s="4" t="s">
        <v>2883</v>
      </c>
      <c r="HOB1339" s="4" t="s">
        <v>2883</v>
      </c>
      <c r="HOC1339" s="4" t="s">
        <v>2883</v>
      </c>
      <c r="HOD1339" s="4" t="s">
        <v>2883</v>
      </c>
      <c r="HOE1339" s="4" t="s">
        <v>2883</v>
      </c>
      <c r="HOF1339" s="4" t="s">
        <v>2883</v>
      </c>
      <c r="HOG1339" s="4" t="s">
        <v>2883</v>
      </c>
      <c r="HOH1339" s="4" t="s">
        <v>2883</v>
      </c>
      <c r="HOI1339" s="4" t="s">
        <v>2883</v>
      </c>
      <c r="HOJ1339" s="4" t="s">
        <v>2883</v>
      </c>
      <c r="HOK1339" s="4" t="s">
        <v>2883</v>
      </c>
      <c r="HOL1339" s="4" t="s">
        <v>2883</v>
      </c>
      <c r="HOM1339" s="4" t="s">
        <v>2883</v>
      </c>
      <c r="HON1339" s="4" t="s">
        <v>2883</v>
      </c>
      <c r="HOO1339" s="4" t="s">
        <v>2883</v>
      </c>
      <c r="HOP1339" s="4" t="s">
        <v>2883</v>
      </c>
      <c r="HOQ1339" s="4" t="s">
        <v>2883</v>
      </c>
      <c r="HOR1339" s="4" t="s">
        <v>2883</v>
      </c>
      <c r="HOS1339" s="4" t="s">
        <v>2883</v>
      </c>
      <c r="HOT1339" s="4" t="s">
        <v>2883</v>
      </c>
      <c r="HOU1339" s="4" t="s">
        <v>2883</v>
      </c>
      <c r="HOV1339" s="4" t="s">
        <v>2883</v>
      </c>
      <c r="HOW1339" s="4" t="s">
        <v>2883</v>
      </c>
      <c r="HOX1339" s="4" t="s">
        <v>2883</v>
      </c>
      <c r="HOY1339" s="4" t="s">
        <v>2883</v>
      </c>
      <c r="HOZ1339" s="4" t="s">
        <v>2883</v>
      </c>
      <c r="HPA1339" s="4" t="s">
        <v>2883</v>
      </c>
      <c r="HPB1339" s="4" t="s">
        <v>2883</v>
      </c>
      <c r="HPC1339" s="4" t="s">
        <v>2883</v>
      </c>
      <c r="HPD1339" s="4" t="s">
        <v>2883</v>
      </c>
      <c r="HPE1339" s="4" t="s">
        <v>2883</v>
      </c>
      <c r="HPF1339" s="4" t="s">
        <v>2883</v>
      </c>
      <c r="HPG1339" s="4" t="s">
        <v>2883</v>
      </c>
      <c r="HPH1339" s="4" t="s">
        <v>2883</v>
      </c>
      <c r="HPI1339" s="4" t="s">
        <v>2883</v>
      </c>
      <c r="HPJ1339" s="4" t="s">
        <v>2883</v>
      </c>
      <c r="HPK1339" s="4" t="s">
        <v>2883</v>
      </c>
      <c r="HPL1339" s="4" t="s">
        <v>2883</v>
      </c>
      <c r="HPM1339" s="4" t="s">
        <v>2883</v>
      </c>
      <c r="HPN1339" s="4" t="s">
        <v>2883</v>
      </c>
      <c r="HPO1339" s="4" t="s">
        <v>2883</v>
      </c>
      <c r="HPP1339" s="4" t="s">
        <v>2883</v>
      </c>
      <c r="HPQ1339" s="4" t="s">
        <v>2883</v>
      </c>
      <c r="HPR1339" s="4" t="s">
        <v>2883</v>
      </c>
      <c r="HPS1339" s="4" t="s">
        <v>2883</v>
      </c>
      <c r="HPT1339" s="4" t="s">
        <v>2883</v>
      </c>
      <c r="HPU1339" s="4" t="s">
        <v>2883</v>
      </c>
      <c r="HPV1339" s="4" t="s">
        <v>2883</v>
      </c>
      <c r="HPW1339" s="4" t="s">
        <v>2883</v>
      </c>
      <c r="HPX1339" s="4" t="s">
        <v>2883</v>
      </c>
      <c r="HPY1339" s="4" t="s">
        <v>2883</v>
      </c>
      <c r="HPZ1339" s="4" t="s">
        <v>2883</v>
      </c>
      <c r="HQA1339" s="4" t="s">
        <v>2883</v>
      </c>
      <c r="HQB1339" s="4" t="s">
        <v>2883</v>
      </c>
      <c r="HQC1339" s="4" t="s">
        <v>2883</v>
      </c>
      <c r="HQD1339" s="4" t="s">
        <v>2883</v>
      </c>
      <c r="HQE1339" s="4" t="s">
        <v>2883</v>
      </c>
      <c r="HQF1339" s="4" t="s">
        <v>2883</v>
      </c>
      <c r="HQG1339" s="4" t="s">
        <v>2883</v>
      </c>
      <c r="HQH1339" s="4" t="s">
        <v>2883</v>
      </c>
      <c r="HQI1339" s="4" t="s">
        <v>2883</v>
      </c>
      <c r="HQJ1339" s="4" t="s">
        <v>2883</v>
      </c>
      <c r="HQK1339" s="4" t="s">
        <v>2883</v>
      </c>
      <c r="HQL1339" s="4" t="s">
        <v>2883</v>
      </c>
      <c r="HQM1339" s="4" t="s">
        <v>2883</v>
      </c>
      <c r="HQN1339" s="4" t="s">
        <v>2883</v>
      </c>
      <c r="HQO1339" s="4" t="s">
        <v>2883</v>
      </c>
      <c r="HQP1339" s="4" t="s">
        <v>2883</v>
      </c>
      <c r="HQQ1339" s="4" t="s">
        <v>2883</v>
      </c>
      <c r="HQR1339" s="4" t="s">
        <v>2883</v>
      </c>
      <c r="HQS1339" s="4" t="s">
        <v>2883</v>
      </c>
      <c r="HQT1339" s="4" t="s">
        <v>2883</v>
      </c>
      <c r="HQU1339" s="4" t="s">
        <v>2883</v>
      </c>
      <c r="HQV1339" s="4" t="s">
        <v>2883</v>
      </c>
      <c r="HQW1339" s="4" t="s">
        <v>2883</v>
      </c>
      <c r="HQX1339" s="4" t="s">
        <v>2883</v>
      </c>
      <c r="HQY1339" s="4" t="s">
        <v>2883</v>
      </c>
      <c r="HQZ1339" s="4" t="s">
        <v>2883</v>
      </c>
      <c r="HRA1339" s="4" t="s">
        <v>2883</v>
      </c>
      <c r="HRB1339" s="4" t="s">
        <v>2883</v>
      </c>
      <c r="HRC1339" s="4" t="s">
        <v>2883</v>
      </c>
      <c r="HRD1339" s="4" t="s">
        <v>2883</v>
      </c>
      <c r="HRE1339" s="4" t="s">
        <v>2883</v>
      </c>
      <c r="HRF1339" s="4" t="s">
        <v>2883</v>
      </c>
      <c r="HRG1339" s="4" t="s">
        <v>2883</v>
      </c>
      <c r="HRH1339" s="4" t="s">
        <v>2883</v>
      </c>
      <c r="HRI1339" s="4" t="s">
        <v>2883</v>
      </c>
      <c r="HRJ1339" s="4" t="s">
        <v>2883</v>
      </c>
      <c r="HRK1339" s="4" t="s">
        <v>2883</v>
      </c>
      <c r="HRL1339" s="4" t="s">
        <v>2883</v>
      </c>
      <c r="HRM1339" s="4" t="s">
        <v>2883</v>
      </c>
      <c r="HRN1339" s="4" t="s">
        <v>2883</v>
      </c>
      <c r="HRO1339" s="4" t="s">
        <v>2883</v>
      </c>
      <c r="HRP1339" s="4" t="s">
        <v>2883</v>
      </c>
      <c r="HRQ1339" s="4" t="s">
        <v>2883</v>
      </c>
      <c r="HRR1339" s="4" t="s">
        <v>2883</v>
      </c>
      <c r="HRS1339" s="4" t="s">
        <v>2883</v>
      </c>
      <c r="HRT1339" s="4" t="s">
        <v>2883</v>
      </c>
      <c r="HRU1339" s="4" t="s">
        <v>2883</v>
      </c>
      <c r="HRV1339" s="4" t="s">
        <v>2883</v>
      </c>
      <c r="HRW1339" s="4" t="s">
        <v>2883</v>
      </c>
      <c r="HRX1339" s="4" t="s">
        <v>2883</v>
      </c>
      <c r="HRY1339" s="4" t="s">
        <v>2883</v>
      </c>
      <c r="HRZ1339" s="4" t="s">
        <v>2883</v>
      </c>
      <c r="HSA1339" s="4" t="s">
        <v>2883</v>
      </c>
      <c r="HSB1339" s="4" t="s">
        <v>2883</v>
      </c>
      <c r="HSC1339" s="4" t="s">
        <v>2883</v>
      </c>
      <c r="HSD1339" s="4" t="s">
        <v>2883</v>
      </c>
      <c r="HSE1339" s="4" t="s">
        <v>2883</v>
      </c>
      <c r="HSF1339" s="4" t="s">
        <v>2883</v>
      </c>
      <c r="HSG1339" s="4" t="s">
        <v>2883</v>
      </c>
      <c r="HSH1339" s="4" t="s">
        <v>2883</v>
      </c>
      <c r="HSI1339" s="4" t="s">
        <v>2883</v>
      </c>
      <c r="HSJ1339" s="4" t="s">
        <v>2883</v>
      </c>
      <c r="HSK1339" s="4" t="s">
        <v>2883</v>
      </c>
      <c r="HSL1339" s="4" t="s">
        <v>2883</v>
      </c>
      <c r="HSM1339" s="4" t="s">
        <v>2883</v>
      </c>
      <c r="HSN1339" s="4" t="s">
        <v>2883</v>
      </c>
      <c r="HSO1339" s="4" t="s">
        <v>2883</v>
      </c>
      <c r="HSP1339" s="4" t="s">
        <v>2883</v>
      </c>
      <c r="HSQ1339" s="4" t="s">
        <v>2883</v>
      </c>
      <c r="HSR1339" s="4" t="s">
        <v>2883</v>
      </c>
      <c r="HSS1339" s="4" t="s">
        <v>2883</v>
      </c>
      <c r="HST1339" s="4" t="s">
        <v>2883</v>
      </c>
      <c r="HSU1339" s="4" t="s">
        <v>2883</v>
      </c>
      <c r="HSV1339" s="4" t="s">
        <v>2883</v>
      </c>
      <c r="HSW1339" s="4" t="s">
        <v>2883</v>
      </c>
      <c r="HSX1339" s="4" t="s">
        <v>2883</v>
      </c>
      <c r="HSY1339" s="4" t="s">
        <v>2883</v>
      </c>
      <c r="HSZ1339" s="4" t="s">
        <v>2883</v>
      </c>
      <c r="HTA1339" s="4" t="s">
        <v>2883</v>
      </c>
      <c r="HTB1339" s="4" t="s">
        <v>2883</v>
      </c>
      <c r="HTC1339" s="4" t="s">
        <v>2883</v>
      </c>
      <c r="HTD1339" s="4" t="s">
        <v>2883</v>
      </c>
      <c r="HTE1339" s="4" t="s">
        <v>2883</v>
      </c>
      <c r="HTF1339" s="4" t="s">
        <v>2883</v>
      </c>
      <c r="HTG1339" s="4" t="s">
        <v>2883</v>
      </c>
      <c r="HTH1339" s="4" t="s">
        <v>2883</v>
      </c>
      <c r="HTI1339" s="4" t="s">
        <v>2883</v>
      </c>
      <c r="HTJ1339" s="4" t="s">
        <v>2883</v>
      </c>
      <c r="HTK1339" s="4" t="s">
        <v>2883</v>
      </c>
      <c r="HTL1339" s="4" t="s">
        <v>2883</v>
      </c>
      <c r="HTM1339" s="4" t="s">
        <v>2883</v>
      </c>
      <c r="HTN1339" s="4" t="s">
        <v>2883</v>
      </c>
      <c r="HTO1339" s="4" t="s">
        <v>2883</v>
      </c>
      <c r="HTP1339" s="4" t="s">
        <v>2883</v>
      </c>
      <c r="HTQ1339" s="4" t="s">
        <v>2883</v>
      </c>
      <c r="HTR1339" s="4" t="s">
        <v>2883</v>
      </c>
      <c r="HTS1339" s="4" t="s">
        <v>2883</v>
      </c>
      <c r="HTT1339" s="4" t="s">
        <v>2883</v>
      </c>
      <c r="HTU1339" s="4" t="s">
        <v>2883</v>
      </c>
      <c r="HTV1339" s="4" t="s">
        <v>2883</v>
      </c>
      <c r="HTW1339" s="4" t="s">
        <v>2883</v>
      </c>
      <c r="HTX1339" s="4" t="s">
        <v>2883</v>
      </c>
      <c r="HTY1339" s="4" t="s">
        <v>2883</v>
      </c>
      <c r="HTZ1339" s="4" t="s">
        <v>2883</v>
      </c>
      <c r="HUA1339" s="4" t="s">
        <v>2883</v>
      </c>
      <c r="HUB1339" s="4" t="s">
        <v>2883</v>
      </c>
      <c r="HUC1339" s="4" t="s">
        <v>2883</v>
      </c>
      <c r="HUD1339" s="4" t="s">
        <v>2883</v>
      </c>
      <c r="HUE1339" s="4" t="s">
        <v>2883</v>
      </c>
      <c r="HUF1339" s="4" t="s">
        <v>2883</v>
      </c>
      <c r="HUG1339" s="4" t="s">
        <v>2883</v>
      </c>
      <c r="HUH1339" s="4" t="s">
        <v>2883</v>
      </c>
      <c r="HUI1339" s="4" t="s">
        <v>2883</v>
      </c>
      <c r="HUJ1339" s="4" t="s">
        <v>2883</v>
      </c>
      <c r="HUK1339" s="4" t="s">
        <v>2883</v>
      </c>
      <c r="HUL1339" s="4" t="s">
        <v>2883</v>
      </c>
      <c r="HUM1339" s="4" t="s">
        <v>2883</v>
      </c>
      <c r="HUN1339" s="4" t="s">
        <v>2883</v>
      </c>
      <c r="HUO1339" s="4" t="s">
        <v>2883</v>
      </c>
      <c r="HUP1339" s="4" t="s">
        <v>2883</v>
      </c>
      <c r="HUQ1339" s="4" t="s">
        <v>2883</v>
      </c>
      <c r="HUR1339" s="4" t="s">
        <v>2883</v>
      </c>
      <c r="HUS1339" s="4" t="s">
        <v>2883</v>
      </c>
      <c r="HUT1339" s="4" t="s">
        <v>2883</v>
      </c>
      <c r="HUU1339" s="4" t="s">
        <v>2883</v>
      </c>
      <c r="HUV1339" s="4" t="s">
        <v>2883</v>
      </c>
      <c r="HUW1339" s="4" t="s">
        <v>2883</v>
      </c>
      <c r="HUX1339" s="4" t="s">
        <v>2883</v>
      </c>
      <c r="HUY1339" s="4" t="s">
        <v>2883</v>
      </c>
      <c r="HUZ1339" s="4" t="s">
        <v>2883</v>
      </c>
      <c r="HVA1339" s="4" t="s">
        <v>2883</v>
      </c>
      <c r="HVB1339" s="4" t="s">
        <v>2883</v>
      </c>
      <c r="HVC1339" s="4" t="s">
        <v>2883</v>
      </c>
      <c r="HVD1339" s="4" t="s">
        <v>2883</v>
      </c>
      <c r="HVE1339" s="4" t="s">
        <v>2883</v>
      </c>
      <c r="HVF1339" s="4" t="s">
        <v>2883</v>
      </c>
      <c r="HVG1339" s="4" t="s">
        <v>2883</v>
      </c>
      <c r="HVH1339" s="4" t="s">
        <v>2883</v>
      </c>
      <c r="HVI1339" s="4" t="s">
        <v>2883</v>
      </c>
      <c r="HVJ1339" s="4" t="s">
        <v>2883</v>
      </c>
      <c r="HVK1339" s="4" t="s">
        <v>2883</v>
      </c>
      <c r="HVL1339" s="4" t="s">
        <v>2883</v>
      </c>
      <c r="HVM1339" s="4" t="s">
        <v>2883</v>
      </c>
      <c r="HVN1339" s="4" t="s">
        <v>2883</v>
      </c>
      <c r="HVO1339" s="4" t="s">
        <v>2883</v>
      </c>
      <c r="HVP1339" s="4" t="s">
        <v>2883</v>
      </c>
      <c r="HVQ1339" s="4" t="s">
        <v>2883</v>
      </c>
      <c r="HVR1339" s="4" t="s">
        <v>2883</v>
      </c>
      <c r="HVS1339" s="4" t="s">
        <v>2883</v>
      </c>
      <c r="HVT1339" s="4" t="s">
        <v>2883</v>
      </c>
      <c r="HVU1339" s="4" t="s">
        <v>2883</v>
      </c>
      <c r="HVV1339" s="4" t="s">
        <v>2883</v>
      </c>
      <c r="HVW1339" s="4" t="s">
        <v>2883</v>
      </c>
      <c r="HVX1339" s="4" t="s">
        <v>2883</v>
      </c>
      <c r="HVY1339" s="4" t="s">
        <v>2883</v>
      </c>
      <c r="HVZ1339" s="4" t="s">
        <v>2883</v>
      </c>
      <c r="HWA1339" s="4" t="s">
        <v>2883</v>
      </c>
      <c r="HWB1339" s="4" t="s">
        <v>2883</v>
      </c>
      <c r="HWC1339" s="4" t="s">
        <v>2883</v>
      </c>
      <c r="HWD1339" s="4" t="s">
        <v>2883</v>
      </c>
      <c r="HWE1339" s="4" t="s">
        <v>2883</v>
      </c>
      <c r="HWF1339" s="4" t="s">
        <v>2883</v>
      </c>
      <c r="HWG1339" s="4" t="s">
        <v>2883</v>
      </c>
      <c r="HWH1339" s="4" t="s">
        <v>2883</v>
      </c>
      <c r="HWI1339" s="4" t="s">
        <v>2883</v>
      </c>
      <c r="HWJ1339" s="4" t="s">
        <v>2883</v>
      </c>
      <c r="HWK1339" s="4" t="s">
        <v>2883</v>
      </c>
      <c r="HWL1339" s="4" t="s">
        <v>2883</v>
      </c>
      <c r="HWM1339" s="4" t="s">
        <v>2883</v>
      </c>
      <c r="HWN1339" s="4" t="s">
        <v>2883</v>
      </c>
      <c r="HWO1339" s="4" t="s">
        <v>2883</v>
      </c>
      <c r="HWP1339" s="4" t="s">
        <v>2883</v>
      </c>
      <c r="HWQ1339" s="4" t="s">
        <v>2883</v>
      </c>
      <c r="HWR1339" s="4" t="s">
        <v>2883</v>
      </c>
      <c r="HWS1339" s="4" t="s">
        <v>2883</v>
      </c>
      <c r="HWT1339" s="4" t="s">
        <v>2883</v>
      </c>
      <c r="HWU1339" s="4" t="s">
        <v>2883</v>
      </c>
      <c r="HWV1339" s="4" t="s">
        <v>2883</v>
      </c>
      <c r="HWW1339" s="4" t="s">
        <v>2883</v>
      </c>
      <c r="HWX1339" s="4" t="s">
        <v>2883</v>
      </c>
      <c r="HWY1339" s="4" t="s">
        <v>2883</v>
      </c>
      <c r="HWZ1339" s="4" t="s">
        <v>2883</v>
      </c>
      <c r="HXA1339" s="4" t="s">
        <v>2883</v>
      </c>
      <c r="HXB1339" s="4" t="s">
        <v>2883</v>
      </c>
      <c r="HXC1339" s="4" t="s">
        <v>2883</v>
      </c>
      <c r="HXD1339" s="4" t="s">
        <v>2883</v>
      </c>
      <c r="HXE1339" s="4" t="s">
        <v>2883</v>
      </c>
      <c r="HXF1339" s="4" t="s">
        <v>2883</v>
      </c>
      <c r="HXG1339" s="4" t="s">
        <v>2883</v>
      </c>
      <c r="HXH1339" s="4" t="s">
        <v>2883</v>
      </c>
      <c r="HXI1339" s="4" t="s">
        <v>2883</v>
      </c>
      <c r="HXJ1339" s="4" t="s">
        <v>2883</v>
      </c>
      <c r="HXK1339" s="4" t="s">
        <v>2883</v>
      </c>
      <c r="HXL1339" s="4" t="s">
        <v>2883</v>
      </c>
      <c r="HXM1339" s="4" t="s">
        <v>2883</v>
      </c>
      <c r="HXN1339" s="4" t="s">
        <v>2883</v>
      </c>
      <c r="HXO1339" s="4" t="s">
        <v>2883</v>
      </c>
      <c r="HXP1339" s="4" t="s">
        <v>2883</v>
      </c>
      <c r="HXQ1339" s="4" t="s">
        <v>2883</v>
      </c>
      <c r="HXR1339" s="4" t="s">
        <v>2883</v>
      </c>
      <c r="HXS1339" s="4" t="s">
        <v>2883</v>
      </c>
      <c r="HXT1339" s="4" t="s">
        <v>2883</v>
      </c>
      <c r="HXU1339" s="4" t="s">
        <v>2883</v>
      </c>
      <c r="HXV1339" s="4" t="s">
        <v>2883</v>
      </c>
      <c r="HXW1339" s="4" t="s">
        <v>2883</v>
      </c>
      <c r="HXX1339" s="4" t="s">
        <v>2883</v>
      </c>
      <c r="HXY1339" s="4" t="s">
        <v>2883</v>
      </c>
      <c r="HXZ1339" s="4" t="s">
        <v>2883</v>
      </c>
      <c r="HYA1339" s="4" t="s">
        <v>2883</v>
      </c>
      <c r="HYB1339" s="4" t="s">
        <v>2883</v>
      </c>
      <c r="HYC1339" s="4" t="s">
        <v>2883</v>
      </c>
      <c r="HYD1339" s="4" t="s">
        <v>2883</v>
      </c>
      <c r="HYE1339" s="4" t="s">
        <v>2883</v>
      </c>
      <c r="HYF1339" s="4" t="s">
        <v>2883</v>
      </c>
      <c r="HYG1339" s="4" t="s">
        <v>2883</v>
      </c>
      <c r="HYH1339" s="4" t="s">
        <v>2883</v>
      </c>
      <c r="HYI1339" s="4" t="s">
        <v>2883</v>
      </c>
      <c r="HYJ1339" s="4" t="s">
        <v>2883</v>
      </c>
      <c r="HYK1339" s="4" t="s">
        <v>2883</v>
      </c>
      <c r="HYL1339" s="4" t="s">
        <v>2883</v>
      </c>
      <c r="HYM1339" s="4" t="s">
        <v>2883</v>
      </c>
      <c r="HYN1339" s="4" t="s">
        <v>2883</v>
      </c>
      <c r="HYO1339" s="4" t="s">
        <v>2883</v>
      </c>
      <c r="HYP1339" s="4" t="s">
        <v>2883</v>
      </c>
      <c r="HYQ1339" s="4" t="s">
        <v>2883</v>
      </c>
      <c r="HYR1339" s="4" t="s">
        <v>2883</v>
      </c>
      <c r="HYS1339" s="4" t="s">
        <v>2883</v>
      </c>
      <c r="HYT1339" s="4" t="s">
        <v>2883</v>
      </c>
      <c r="HYU1339" s="4" t="s">
        <v>2883</v>
      </c>
      <c r="HYV1339" s="4" t="s">
        <v>2883</v>
      </c>
      <c r="HYW1339" s="4" t="s">
        <v>2883</v>
      </c>
      <c r="HYX1339" s="4" t="s">
        <v>2883</v>
      </c>
      <c r="HYY1339" s="4" t="s">
        <v>2883</v>
      </c>
      <c r="HYZ1339" s="4" t="s">
        <v>2883</v>
      </c>
      <c r="HZA1339" s="4" t="s">
        <v>2883</v>
      </c>
      <c r="HZB1339" s="4" t="s">
        <v>2883</v>
      </c>
      <c r="HZC1339" s="4" t="s">
        <v>2883</v>
      </c>
      <c r="HZD1339" s="4" t="s">
        <v>2883</v>
      </c>
      <c r="HZE1339" s="4" t="s">
        <v>2883</v>
      </c>
      <c r="HZF1339" s="4" t="s">
        <v>2883</v>
      </c>
      <c r="HZG1339" s="4" t="s">
        <v>2883</v>
      </c>
      <c r="HZH1339" s="4" t="s">
        <v>2883</v>
      </c>
      <c r="HZI1339" s="4" t="s">
        <v>2883</v>
      </c>
      <c r="HZJ1339" s="4" t="s">
        <v>2883</v>
      </c>
      <c r="HZK1339" s="4" t="s">
        <v>2883</v>
      </c>
      <c r="HZL1339" s="4" t="s">
        <v>2883</v>
      </c>
      <c r="HZM1339" s="4" t="s">
        <v>2883</v>
      </c>
      <c r="HZN1339" s="4" t="s">
        <v>2883</v>
      </c>
      <c r="HZO1339" s="4" t="s">
        <v>2883</v>
      </c>
      <c r="HZP1339" s="4" t="s">
        <v>2883</v>
      </c>
      <c r="HZQ1339" s="4" t="s">
        <v>2883</v>
      </c>
      <c r="HZR1339" s="4" t="s">
        <v>2883</v>
      </c>
      <c r="HZS1339" s="4" t="s">
        <v>2883</v>
      </c>
      <c r="HZT1339" s="4" t="s">
        <v>2883</v>
      </c>
      <c r="HZU1339" s="4" t="s">
        <v>2883</v>
      </c>
      <c r="HZV1339" s="4" t="s">
        <v>2883</v>
      </c>
      <c r="HZW1339" s="4" t="s">
        <v>2883</v>
      </c>
      <c r="HZX1339" s="4" t="s">
        <v>2883</v>
      </c>
      <c r="HZY1339" s="4" t="s">
        <v>2883</v>
      </c>
      <c r="HZZ1339" s="4" t="s">
        <v>2883</v>
      </c>
      <c r="IAA1339" s="4" t="s">
        <v>2883</v>
      </c>
      <c r="IAB1339" s="4" t="s">
        <v>2883</v>
      </c>
      <c r="IAC1339" s="4" t="s">
        <v>2883</v>
      </c>
      <c r="IAD1339" s="4" t="s">
        <v>2883</v>
      </c>
      <c r="IAE1339" s="4" t="s">
        <v>2883</v>
      </c>
      <c r="IAF1339" s="4" t="s">
        <v>2883</v>
      </c>
      <c r="IAG1339" s="4" t="s">
        <v>2883</v>
      </c>
      <c r="IAH1339" s="4" t="s">
        <v>2883</v>
      </c>
      <c r="IAI1339" s="4" t="s">
        <v>2883</v>
      </c>
      <c r="IAJ1339" s="4" t="s">
        <v>2883</v>
      </c>
      <c r="IAK1339" s="4" t="s">
        <v>2883</v>
      </c>
      <c r="IAL1339" s="4" t="s">
        <v>2883</v>
      </c>
      <c r="IAM1339" s="4" t="s">
        <v>2883</v>
      </c>
      <c r="IAN1339" s="4" t="s">
        <v>2883</v>
      </c>
      <c r="IAO1339" s="4" t="s">
        <v>2883</v>
      </c>
      <c r="IAP1339" s="4" t="s">
        <v>2883</v>
      </c>
      <c r="IAQ1339" s="4" t="s">
        <v>2883</v>
      </c>
      <c r="IAR1339" s="4" t="s">
        <v>2883</v>
      </c>
      <c r="IAS1339" s="4" t="s">
        <v>2883</v>
      </c>
      <c r="IAT1339" s="4" t="s">
        <v>2883</v>
      </c>
      <c r="IAU1339" s="4" t="s">
        <v>2883</v>
      </c>
      <c r="IAV1339" s="4" t="s">
        <v>2883</v>
      </c>
      <c r="IAW1339" s="4" t="s">
        <v>2883</v>
      </c>
      <c r="IAX1339" s="4" t="s">
        <v>2883</v>
      </c>
      <c r="IAY1339" s="4" t="s">
        <v>2883</v>
      </c>
      <c r="IAZ1339" s="4" t="s">
        <v>2883</v>
      </c>
      <c r="IBA1339" s="4" t="s">
        <v>2883</v>
      </c>
      <c r="IBB1339" s="4" t="s">
        <v>2883</v>
      </c>
      <c r="IBC1339" s="4" t="s">
        <v>2883</v>
      </c>
      <c r="IBD1339" s="4" t="s">
        <v>2883</v>
      </c>
      <c r="IBE1339" s="4" t="s">
        <v>2883</v>
      </c>
      <c r="IBF1339" s="4" t="s">
        <v>2883</v>
      </c>
      <c r="IBG1339" s="4" t="s">
        <v>2883</v>
      </c>
      <c r="IBH1339" s="4" t="s">
        <v>2883</v>
      </c>
      <c r="IBI1339" s="4" t="s">
        <v>2883</v>
      </c>
      <c r="IBJ1339" s="4" t="s">
        <v>2883</v>
      </c>
      <c r="IBK1339" s="4" t="s">
        <v>2883</v>
      </c>
      <c r="IBL1339" s="4" t="s">
        <v>2883</v>
      </c>
      <c r="IBM1339" s="4" t="s">
        <v>2883</v>
      </c>
      <c r="IBN1339" s="4" t="s">
        <v>2883</v>
      </c>
      <c r="IBO1339" s="4" t="s">
        <v>2883</v>
      </c>
      <c r="IBP1339" s="4" t="s">
        <v>2883</v>
      </c>
      <c r="IBQ1339" s="4" t="s">
        <v>2883</v>
      </c>
      <c r="IBR1339" s="4" t="s">
        <v>2883</v>
      </c>
      <c r="IBS1339" s="4" t="s">
        <v>2883</v>
      </c>
      <c r="IBT1339" s="4" t="s">
        <v>2883</v>
      </c>
      <c r="IBU1339" s="4" t="s">
        <v>2883</v>
      </c>
      <c r="IBV1339" s="4" t="s">
        <v>2883</v>
      </c>
      <c r="IBW1339" s="4" t="s">
        <v>2883</v>
      </c>
      <c r="IBX1339" s="4" t="s">
        <v>2883</v>
      </c>
      <c r="IBY1339" s="4" t="s">
        <v>2883</v>
      </c>
      <c r="IBZ1339" s="4" t="s">
        <v>2883</v>
      </c>
      <c r="ICA1339" s="4" t="s">
        <v>2883</v>
      </c>
      <c r="ICB1339" s="4" t="s">
        <v>2883</v>
      </c>
      <c r="ICC1339" s="4" t="s">
        <v>2883</v>
      </c>
      <c r="ICD1339" s="4" t="s">
        <v>2883</v>
      </c>
      <c r="ICE1339" s="4" t="s">
        <v>2883</v>
      </c>
      <c r="ICF1339" s="4" t="s">
        <v>2883</v>
      </c>
      <c r="ICG1339" s="4" t="s">
        <v>2883</v>
      </c>
      <c r="ICH1339" s="4" t="s">
        <v>2883</v>
      </c>
      <c r="ICI1339" s="4" t="s">
        <v>2883</v>
      </c>
      <c r="ICJ1339" s="4" t="s">
        <v>2883</v>
      </c>
      <c r="ICK1339" s="4" t="s">
        <v>2883</v>
      </c>
      <c r="ICL1339" s="4" t="s">
        <v>2883</v>
      </c>
      <c r="ICM1339" s="4" t="s">
        <v>2883</v>
      </c>
      <c r="ICN1339" s="4" t="s">
        <v>2883</v>
      </c>
      <c r="ICO1339" s="4" t="s">
        <v>2883</v>
      </c>
      <c r="ICP1339" s="4" t="s">
        <v>2883</v>
      </c>
      <c r="ICQ1339" s="4" t="s">
        <v>2883</v>
      </c>
      <c r="ICR1339" s="4" t="s">
        <v>2883</v>
      </c>
      <c r="ICS1339" s="4" t="s">
        <v>2883</v>
      </c>
      <c r="ICT1339" s="4" t="s">
        <v>2883</v>
      </c>
      <c r="ICU1339" s="4" t="s">
        <v>2883</v>
      </c>
      <c r="ICV1339" s="4" t="s">
        <v>2883</v>
      </c>
      <c r="ICW1339" s="4" t="s">
        <v>2883</v>
      </c>
      <c r="ICX1339" s="4" t="s">
        <v>2883</v>
      </c>
      <c r="ICY1339" s="4" t="s">
        <v>2883</v>
      </c>
      <c r="ICZ1339" s="4" t="s">
        <v>2883</v>
      </c>
      <c r="IDA1339" s="4" t="s">
        <v>2883</v>
      </c>
      <c r="IDB1339" s="4" t="s">
        <v>2883</v>
      </c>
      <c r="IDC1339" s="4" t="s">
        <v>2883</v>
      </c>
      <c r="IDD1339" s="4" t="s">
        <v>2883</v>
      </c>
      <c r="IDE1339" s="4" t="s">
        <v>2883</v>
      </c>
      <c r="IDF1339" s="4" t="s">
        <v>2883</v>
      </c>
      <c r="IDG1339" s="4" t="s">
        <v>2883</v>
      </c>
      <c r="IDH1339" s="4" t="s">
        <v>2883</v>
      </c>
      <c r="IDI1339" s="4" t="s">
        <v>2883</v>
      </c>
      <c r="IDJ1339" s="4" t="s">
        <v>2883</v>
      </c>
      <c r="IDK1339" s="4" t="s">
        <v>2883</v>
      </c>
      <c r="IDL1339" s="4" t="s">
        <v>2883</v>
      </c>
      <c r="IDM1339" s="4" t="s">
        <v>2883</v>
      </c>
      <c r="IDN1339" s="4" t="s">
        <v>2883</v>
      </c>
      <c r="IDO1339" s="4" t="s">
        <v>2883</v>
      </c>
      <c r="IDP1339" s="4" t="s">
        <v>2883</v>
      </c>
      <c r="IDQ1339" s="4" t="s">
        <v>2883</v>
      </c>
      <c r="IDR1339" s="4" t="s">
        <v>2883</v>
      </c>
      <c r="IDS1339" s="4" t="s">
        <v>2883</v>
      </c>
      <c r="IDT1339" s="4" t="s">
        <v>2883</v>
      </c>
      <c r="IDU1339" s="4" t="s">
        <v>2883</v>
      </c>
      <c r="IDV1339" s="4" t="s">
        <v>2883</v>
      </c>
      <c r="IDW1339" s="4" t="s">
        <v>2883</v>
      </c>
      <c r="IDX1339" s="4" t="s">
        <v>2883</v>
      </c>
      <c r="IDY1339" s="4" t="s">
        <v>2883</v>
      </c>
      <c r="IDZ1339" s="4" t="s">
        <v>2883</v>
      </c>
      <c r="IEA1339" s="4" t="s">
        <v>2883</v>
      </c>
      <c r="IEB1339" s="4" t="s">
        <v>2883</v>
      </c>
      <c r="IEC1339" s="4" t="s">
        <v>2883</v>
      </c>
      <c r="IED1339" s="4" t="s">
        <v>2883</v>
      </c>
      <c r="IEE1339" s="4" t="s">
        <v>2883</v>
      </c>
      <c r="IEF1339" s="4" t="s">
        <v>2883</v>
      </c>
      <c r="IEG1339" s="4" t="s">
        <v>2883</v>
      </c>
      <c r="IEH1339" s="4" t="s">
        <v>2883</v>
      </c>
      <c r="IEI1339" s="4" t="s">
        <v>2883</v>
      </c>
      <c r="IEJ1339" s="4" t="s">
        <v>2883</v>
      </c>
      <c r="IEK1339" s="4" t="s">
        <v>2883</v>
      </c>
      <c r="IEL1339" s="4" t="s">
        <v>2883</v>
      </c>
      <c r="IEM1339" s="4" t="s">
        <v>2883</v>
      </c>
      <c r="IEN1339" s="4" t="s">
        <v>2883</v>
      </c>
      <c r="IEO1339" s="4" t="s">
        <v>2883</v>
      </c>
      <c r="IEP1339" s="4" t="s">
        <v>2883</v>
      </c>
      <c r="IEQ1339" s="4" t="s">
        <v>2883</v>
      </c>
      <c r="IER1339" s="4" t="s">
        <v>2883</v>
      </c>
      <c r="IES1339" s="4" t="s">
        <v>2883</v>
      </c>
      <c r="IET1339" s="4" t="s">
        <v>2883</v>
      </c>
      <c r="IEU1339" s="4" t="s">
        <v>2883</v>
      </c>
      <c r="IEV1339" s="4" t="s">
        <v>2883</v>
      </c>
      <c r="IEW1339" s="4" t="s">
        <v>2883</v>
      </c>
      <c r="IEX1339" s="4" t="s">
        <v>2883</v>
      </c>
      <c r="IEY1339" s="4" t="s">
        <v>2883</v>
      </c>
      <c r="IEZ1339" s="4" t="s">
        <v>2883</v>
      </c>
      <c r="IFA1339" s="4" t="s">
        <v>2883</v>
      </c>
      <c r="IFB1339" s="4" t="s">
        <v>2883</v>
      </c>
      <c r="IFC1339" s="4" t="s">
        <v>2883</v>
      </c>
      <c r="IFD1339" s="4" t="s">
        <v>2883</v>
      </c>
      <c r="IFE1339" s="4" t="s">
        <v>2883</v>
      </c>
      <c r="IFF1339" s="4" t="s">
        <v>2883</v>
      </c>
      <c r="IFG1339" s="4" t="s">
        <v>2883</v>
      </c>
      <c r="IFH1339" s="4" t="s">
        <v>2883</v>
      </c>
      <c r="IFI1339" s="4" t="s">
        <v>2883</v>
      </c>
      <c r="IFJ1339" s="4" t="s">
        <v>2883</v>
      </c>
      <c r="IFK1339" s="4" t="s">
        <v>2883</v>
      </c>
      <c r="IFL1339" s="4" t="s">
        <v>2883</v>
      </c>
      <c r="IFM1339" s="4" t="s">
        <v>2883</v>
      </c>
      <c r="IFN1339" s="4" t="s">
        <v>2883</v>
      </c>
      <c r="IFO1339" s="4" t="s">
        <v>2883</v>
      </c>
      <c r="IFP1339" s="4" t="s">
        <v>2883</v>
      </c>
      <c r="IFQ1339" s="4" t="s">
        <v>2883</v>
      </c>
      <c r="IFR1339" s="4" t="s">
        <v>2883</v>
      </c>
      <c r="IFS1339" s="4" t="s">
        <v>2883</v>
      </c>
      <c r="IFT1339" s="4" t="s">
        <v>2883</v>
      </c>
      <c r="IFU1339" s="4" t="s">
        <v>2883</v>
      </c>
      <c r="IFV1339" s="4" t="s">
        <v>2883</v>
      </c>
      <c r="IFW1339" s="4" t="s">
        <v>2883</v>
      </c>
      <c r="IFX1339" s="4" t="s">
        <v>2883</v>
      </c>
      <c r="IFY1339" s="4" t="s">
        <v>2883</v>
      </c>
      <c r="IFZ1339" s="4" t="s">
        <v>2883</v>
      </c>
      <c r="IGA1339" s="4" t="s">
        <v>2883</v>
      </c>
      <c r="IGB1339" s="4" t="s">
        <v>2883</v>
      </c>
      <c r="IGC1339" s="4" t="s">
        <v>2883</v>
      </c>
      <c r="IGD1339" s="4" t="s">
        <v>2883</v>
      </c>
      <c r="IGE1339" s="4" t="s">
        <v>2883</v>
      </c>
      <c r="IGF1339" s="4" t="s">
        <v>2883</v>
      </c>
      <c r="IGG1339" s="4" t="s">
        <v>2883</v>
      </c>
      <c r="IGH1339" s="4" t="s">
        <v>2883</v>
      </c>
      <c r="IGI1339" s="4" t="s">
        <v>2883</v>
      </c>
      <c r="IGJ1339" s="4" t="s">
        <v>2883</v>
      </c>
      <c r="IGK1339" s="4" t="s">
        <v>2883</v>
      </c>
      <c r="IGL1339" s="4" t="s">
        <v>2883</v>
      </c>
      <c r="IGM1339" s="4" t="s">
        <v>2883</v>
      </c>
      <c r="IGN1339" s="4" t="s">
        <v>2883</v>
      </c>
      <c r="IGO1339" s="4" t="s">
        <v>2883</v>
      </c>
      <c r="IGP1339" s="4" t="s">
        <v>2883</v>
      </c>
      <c r="IGQ1339" s="4" t="s">
        <v>2883</v>
      </c>
      <c r="IGR1339" s="4" t="s">
        <v>2883</v>
      </c>
      <c r="IGS1339" s="4" t="s">
        <v>2883</v>
      </c>
      <c r="IGT1339" s="4" t="s">
        <v>2883</v>
      </c>
      <c r="IGU1339" s="4" t="s">
        <v>2883</v>
      </c>
      <c r="IGV1339" s="4" t="s">
        <v>2883</v>
      </c>
      <c r="IGW1339" s="4" t="s">
        <v>2883</v>
      </c>
      <c r="IGX1339" s="4" t="s">
        <v>2883</v>
      </c>
      <c r="IGY1339" s="4" t="s">
        <v>2883</v>
      </c>
      <c r="IGZ1339" s="4" t="s">
        <v>2883</v>
      </c>
      <c r="IHA1339" s="4" t="s">
        <v>2883</v>
      </c>
      <c r="IHB1339" s="4" t="s">
        <v>2883</v>
      </c>
      <c r="IHC1339" s="4" t="s">
        <v>2883</v>
      </c>
      <c r="IHD1339" s="4" t="s">
        <v>2883</v>
      </c>
      <c r="IHE1339" s="4" t="s">
        <v>2883</v>
      </c>
      <c r="IHF1339" s="4" t="s">
        <v>2883</v>
      </c>
      <c r="IHG1339" s="4" t="s">
        <v>2883</v>
      </c>
      <c r="IHH1339" s="4" t="s">
        <v>2883</v>
      </c>
      <c r="IHI1339" s="4" t="s">
        <v>2883</v>
      </c>
      <c r="IHJ1339" s="4" t="s">
        <v>2883</v>
      </c>
      <c r="IHK1339" s="4" t="s">
        <v>2883</v>
      </c>
      <c r="IHL1339" s="4" t="s">
        <v>2883</v>
      </c>
      <c r="IHM1339" s="4" t="s">
        <v>2883</v>
      </c>
      <c r="IHN1339" s="4" t="s">
        <v>2883</v>
      </c>
      <c r="IHO1339" s="4" t="s">
        <v>2883</v>
      </c>
      <c r="IHP1339" s="4" t="s">
        <v>2883</v>
      </c>
      <c r="IHQ1339" s="4" t="s">
        <v>2883</v>
      </c>
      <c r="IHR1339" s="4" t="s">
        <v>2883</v>
      </c>
      <c r="IHS1339" s="4" t="s">
        <v>2883</v>
      </c>
      <c r="IHT1339" s="4" t="s">
        <v>2883</v>
      </c>
      <c r="IHU1339" s="4" t="s">
        <v>2883</v>
      </c>
      <c r="IHV1339" s="4" t="s">
        <v>2883</v>
      </c>
      <c r="IHW1339" s="4" t="s">
        <v>2883</v>
      </c>
      <c r="IHX1339" s="4" t="s">
        <v>2883</v>
      </c>
      <c r="IHY1339" s="4" t="s">
        <v>2883</v>
      </c>
      <c r="IHZ1339" s="4" t="s">
        <v>2883</v>
      </c>
      <c r="IIA1339" s="4" t="s">
        <v>2883</v>
      </c>
      <c r="IIB1339" s="4" t="s">
        <v>2883</v>
      </c>
      <c r="IIC1339" s="4" t="s">
        <v>2883</v>
      </c>
      <c r="IID1339" s="4" t="s">
        <v>2883</v>
      </c>
      <c r="IIE1339" s="4" t="s">
        <v>2883</v>
      </c>
      <c r="IIF1339" s="4" t="s">
        <v>2883</v>
      </c>
      <c r="IIG1339" s="4" t="s">
        <v>2883</v>
      </c>
      <c r="IIH1339" s="4" t="s">
        <v>2883</v>
      </c>
      <c r="III1339" s="4" t="s">
        <v>2883</v>
      </c>
      <c r="IIJ1339" s="4" t="s">
        <v>2883</v>
      </c>
      <c r="IIK1339" s="4" t="s">
        <v>2883</v>
      </c>
      <c r="IIL1339" s="4" t="s">
        <v>2883</v>
      </c>
      <c r="IIM1339" s="4" t="s">
        <v>2883</v>
      </c>
      <c r="IIN1339" s="4" t="s">
        <v>2883</v>
      </c>
      <c r="IIO1339" s="4" t="s">
        <v>2883</v>
      </c>
      <c r="IIP1339" s="4" t="s">
        <v>2883</v>
      </c>
      <c r="IIQ1339" s="4" t="s">
        <v>2883</v>
      </c>
      <c r="IIR1339" s="4" t="s">
        <v>2883</v>
      </c>
      <c r="IIS1339" s="4" t="s">
        <v>2883</v>
      </c>
      <c r="IIT1339" s="4" t="s">
        <v>2883</v>
      </c>
      <c r="IIU1339" s="4" t="s">
        <v>2883</v>
      </c>
      <c r="IIV1339" s="4" t="s">
        <v>2883</v>
      </c>
      <c r="IIW1339" s="4" t="s">
        <v>2883</v>
      </c>
      <c r="IIX1339" s="4" t="s">
        <v>2883</v>
      </c>
      <c r="IIY1339" s="4" t="s">
        <v>2883</v>
      </c>
      <c r="IIZ1339" s="4" t="s">
        <v>2883</v>
      </c>
      <c r="IJA1339" s="4" t="s">
        <v>2883</v>
      </c>
      <c r="IJB1339" s="4" t="s">
        <v>2883</v>
      </c>
      <c r="IJC1339" s="4" t="s">
        <v>2883</v>
      </c>
      <c r="IJD1339" s="4" t="s">
        <v>2883</v>
      </c>
      <c r="IJE1339" s="4" t="s">
        <v>2883</v>
      </c>
      <c r="IJF1339" s="4" t="s">
        <v>2883</v>
      </c>
      <c r="IJG1339" s="4" t="s">
        <v>2883</v>
      </c>
      <c r="IJH1339" s="4" t="s">
        <v>2883</v>
      </c>
      <c r="IJI1339" s="4" t="s">
        <v>2883</v>
      </c>
      <c r="IJJ1339" s="4" t="s">
        <v>2883</v>
      </c>
      <c r="IJK1339" s="4" t="s">
        <v>2883</v>
      </c>
      <c r="IJL1339" s="4" t="s">
        <v>2883</v>
      </c>
      <c r="IJM1339" s="4" t="s">
        <v>2883</v>
      </c>
      <c r="IJN1339" s="4" t="s">
        <v>2883</v>
      </c>
      <c r="IJO1339" s="4" t="s">
        <v>2883</v>
      </c>
      <c r="IJP1339" s="4" t="s">
        <v>2883</v>
      </c>
      <c r="IJQ1339" s="4" t="s">
        <v>2883</v>
      </c>
      <c r="IJR1339" s="4" t="s">
        <v>2883</v>
      </c>
      <c r="IJS1339" s="4" t="s">
        <v>2883</v>
      </c>
      <c r="IJT1339" s="4" t="s">
        <v>2883</v>
      </c>
      <c r="IJU1339" s="4" t="s">
        <v>2883</v>
      </c>
      <c r="IJV1339" s="4" t="s">
        <v>2883</v>
      </c>
      <c r="IJW1339" s="4" t="s">
        <v>2883</v>
      </c>
      <c r="IJX1339" s="4" t="s">
        <v>2883</v>
      </c>
      <c r="IJY1339" s="4" t="s">
        <v>2883</v>
      </c>
      <c r="IJZ1339" s="4" t="s">
        <v>2883</v>
      </c>
      <c r="IKA1339" s="4" t="s">
        <v>2883</v>
      </c>
      <c r="IKB1339" s="4" t="s">
        <v>2883</v>
      </c>
      <c r="IKC1339" s="4" t="s">
        <v>2883</v>
      </c>
      <c r="IKD1339" s="4" t="s">
        <v>2883</v>
      </c>
      <c r="IKE1339" s="4" t="s">
        <v>2883</v>
      </c>
      <c r="IKF1339" s="4" t="s">
        <v>2883</v>
      </c>
      <c r="IKG1339" s="4" t="s">
        <v>2883</v>
      </c>
      <c r="IKH1339" s="4" t="s">
        <v>2883</v>
      </c>
      <c r="IKI1339" s="4" t="s">
        <v>2883</v>
      </c>
      <c r="IKJ1339" s="4" t="s">
        <v>2883</v>
      </c>
      <c r="IKK1339" s="4" t="s">
        <v>2883</v>
      </c>
      <c r="IKL1339" s="4" t="s">
        <v>2883</v>
      </c>
      <c r="IKM1339" s="4" t="s">
        <v>2883</v>
      </c>
      <c r="IKN1339" s="4" t="s">
        <v>2883</v>
      </c>
      <c r="IKO1339" s="4" t="s">
        <v>2883</v>
      </c>
      <c r="IKP1339" s="4" t="s">
        <v>2883</v>
      </c>
      <c r="IKQ1339" s="4" t="s">
        <v>2883</v>
      </c>
      <c r="IKR1339" s="4" t="s">
        <v>2883</v>
      </c>
      <c r="IKS1339" s="4" t="s">
        <v>2883</v>
      </c>
      <c r="IKT1339" s="4" t="s">
        <v>2883</v>
      </c>
      <c r="IKU1339" s="4" t="s">
        <v>2883</v>
      </c>
      <c r="IKV1339" s="4" t="s">
        <v>2883</v>
      </c>
      <c r="IKW1339" s="4" t="s">
        <v>2883</v>
      </c>
      <c r="IKX1339" s="4" t="s">
        <v>2883</v>
      </c>
      <c r="IKY1339" s="4" t="s">
        <v>2883</v>
      </c>
      <c r="IKZ1339" s="4" t="s">
        <v>2883</v>
      </c>
      <c r="ILA1339" s="4" t="s">
        <v>2883</v>
      </c>
      <c r="ILB1339" s="4" t="s">
        <v>2883</v>
      </c>
      <c r="ILC1339" s="4" t="s">
        <v>2883</v>
      </c>
      <c r="ILD1339" s="4" t="s">
        <v>2883</v>
      </c>
      <c r="ILE1339" s="4" t="s">
        <v>2883</v>
      </c>
      <c r="ILF1339" s="4" t="s">
        <v>2883</v>
      </c>
      <c r="ILG1339" s="4" t="s">
        <v>2883</v>
      </c>
      <c r="ILH1339" s="4" t="s">
        <v>2883</v>
      </c>
      <c r="ILI1339" s="4" t="s">
        <v>2883</v>
      </c>
      <c r="ILJ1339" s="4" t="s">
        <v>2883</v>
      </c>
      <c r="ILK1339" s="4" t="s">
        <v>2883</v>
      </c>
      <c r="ILL1339" s="4" t="s">
        <v>2883</v>
      </c>
      <c r="ILM1339" s="4" t="s">
        <v>2883</v>
      </c>
      <c r="ILN1339" s="4" t="s">
        <v>2883</v>
      </c>
      <c r="ILO1339" s="4" t="s">
        <v>2883</v>
      </c>
      <c r="ILP1339" s="4" t="s">
        <v>2883</v>
      </c>
      <c r="ILQ1339" s="4" t="s">
        <v>2883</v>
      </c>
      <c r="ILR1339" s="4" t="s">
        <v>2883</v>
      </c>
      <c r="ILS1339" s="4" t="s">
        <v>2883</v>
      </c>
      <c r="ILT1339" s="4" t="s">
        <v>2883</v>
      </c>
      <c r="ILU1339" s="4" t="s">
        <v>2883</v>
      </c>
      <c r="ILV1339" s="4" t="s">
        <v>2883</v>
      </c>
      <c r="ILW1339" s="4" t="s">
        <v>2883</v>
      </c>
      <c r="ILX1339" s="4" t="s">
        <v>2883</v>
      </c>
      <c r="ILY1339" s="4" t="s">
        <v>2883</v>
      </c>
      <c r="ILZ1339" s="4" t="s">
        <v>2883</v>
      </c>
      <c r="IMA1339" s="4" t="s">
        <v>2883</v>
      </c>
      <c r="IMB1339" s="4" t="s">
        <v>2883</v>
      </c>
      <c r="IMC1339" s="4" t="s">
        <v>2883</v>
      </c>
      <c r="IMD1339" s="4" t="s">
        <v>2883</v>
      </c>
      <c r="IME1339" s="4" t="s">
        <v>2883</v>
      </c>
      <c r="IMF1339" s="4" t="s">
        <v>2883</v>
      </c>
      <c r="IMG1339" s="4" t="s">
        <v>2883</v>
      </c>
      <c r="IMH1339" s="4" t="s">
        <v>2883</v>
      </c>
      <c r="IMI1339" s="4" t="s">
        <v>2883</v>
      </c>
      <c r="IMJ1339" s="4" t="s">
        <v>2883</v>
      </c>
      <c r="IMK1339" s="4" t="s">
        <v>2883</v>
      </c>
      <c r="IML1339" s="4" t="s">
        <v>2883</v>
      </c>
      <c r="IMM1339" s="4" t="s">
        <v>2883</v>
      </c>
      <c r="IMN1339" s="4" t="s">
        <v>2883</v>
      </c>
      <c r="IMO1339" s="4" t="s">
        <v>2883</v>
      </c>
      <c r="IMP1339" s="4" t="s">
        <v>2883</v>
      </c>
      <c r="IMQ1339" s="4" t="s">
        <v>2883</v>
      </c>
      <c r="IMR1339" s="4" t="s">
        <v>2883</v>
      </c>
      <c r="IMS1339" s="4" t="s">
        <v>2883</v>
      </c>
      <c r="IMT1339" s="4" t="s">
        <v>2883</v>
      </c>
      <c r="IMU1339" s="4" t="s">
        <v>2883</v>
      </c>
      <c r="IMV1339" s="4" t="s">
        <v>2883</v>
      </c>
      <c r="IMW1339" s="4" t="s">
        <v>2883</v>
      </c>
      <c r="IMX1339" s="4" t="s">
        <v>2883</v>
      </c>
      <c r="IMY1339" s="4" t="s">
        <v>2883</v>
      </c>
      <c r="IMZ1339" s="4" t="s">
        <v>2883</v>
      </c>
      <c r="INA1339" s="4" t="s">
        <v>2883</v>
      </c>
      <c r="INB1339" s="4" t="s">
        <v>2883</v>
      </c>
      <c r="INC1339" s="4" t="s">
        <v>2883</v>
      </c>
      <c r="IND1339" s="4" t="s">
        <v>2883</v>
      </c>
      <c r="INE1339" s="4" t="s">
        <v>2883</v>
      </c>
      <c r="INF1339" s="4" t="s">
        <v>2883</v>
      </c>
      <c r="ING1339" s="4" t="s">
        <v>2883</v>
      </c>
      <c r="INH1339" s="4" t="s">
        <v>2883</v>
      </c>
      <c r="INI1339" s="4" t="s">
        <v>2883</v>
      </c>
      <c r="INJ1339" s="4" t="s">
        <v>2883</v>
      </c>
      <c r="INK1339" s="4" t="s">
        <v>2883</v>
      </c>
      <c r="INL1339" s="4" t="s">
        <v>2883</v>
      </c>
      <c r="INM1339" s="4" t="s">
        <v>2883</v>
      </c>
      <c r="INN1339" s="4" t="s">
        <v>2883</v>
      </c>
      <c r="INO1339" s="4" t="s">
        <v>2883</v>
      </c>
      <c r="INP1339" s="4" t="s">
        <v>2883</v>
      </c>
      <c r="INQ1339" s="4" t="s">
        <v>2883</v>
      </c>
      <c r="INR1339" s="4" t="s">
        <v>2883</v>
      </c>
      <c r="INS1339" s="4" t="s">
        <v>2883</v>
      </c>
      <c r="INT1339" s="4" t="s">
        <v>2883</v>
      </c>
      <c r="INU1339" s="4" t="s">
        <v>2883</v>
      </c>
      <c r="INV1339" s="4" t="s">
        <v>2883</v>
      </c>
      <c r="INW1339" s="4" t="s">
        <v>2883</v>
      </c>
      <c r="INX1339" s="4" t="s">
        <v>2883</v>
      </c>
      <c r="INY1339" s="4" t="s">
        <v>2883</v>
      </c>
      <c r="INZ1339" s="4" t="s">
        <v>2883</v>
      </c>
      <c r="IOA1339" s="4" t="s">
        <v>2883</v>
      </c>
      <c r="IOB1339" s="4" t="s">
        <v>2883</v>
      </c>
      <c r="IOC1339" s="4" t="s">
        <v>2883</v>
      </c>
      <c r="IOD1339" s="4" t="s">
        <v>2883</v>
      </c>
      <c r="IOE1339" s="4" t="s">
        <v>2883</v>
      </c>
      <c r="IOF1339" s="4" t="s">
        <v>2883</v>
      </c>
      <c r="IOG1339" s="4" t="s">
        <v>2883</v>
      </c>
      <c r="IOH1339" s="4" t="s">
        <v>2883</v>
      </c>
      <c r="IOI1339" s="4" t="s">
        <v>2883</v>
      </c>
      <c r="IOJ1339" s="4" t="s">
        <v>2883</v>
      </c>
      <c r="IOK1339" s="4" t="s">
        <v>2883</v>
      </c>
      <c r="IOL1339" s="4" t="s">
        <v>2883</v>
      </c>
      <c r="IOM1339" s="4" t="s">
        <v>2883</v>
      </c>
      <c r="ION1339" s="4" t="s">
        <v>2883</v>
      </c>
      <c r="IOO1339" s="4" t="s">
        <v>2883</v>
      </c>
      <c r="IOP1339" s="4" t="s">
        <v>2883</v>
      </c>
      <c r="IOQ1339" s="4" t="s">
        <v>2883</v>
      </c>
      <c r="IOR1339" s="4" t="s">
        <v>2883</v>
      </c>
      <c r="IOS1339" s="4" t="s">
        <v>2883</v>
      </c>
      <c r="IOT1339" s="4" t="s">
        <v>2883</v>
      </c>
      <c r="IOU1339" s="4" t="s">
        <v>2883</v>
      </c>
      <c r="IOV1339" s="4" t="s">
        <v>2883</v>
      </c>
      <c r="IOW1339" s="4" t="s">
        <v>2883</v>
      </c>
      <c r="IOX1339" s="4" t="s">
        <v>2883</v>
      </c>
      <c r="IOY1339" s="4" t="s">
        <v>2883</v>
      </c>
      <c r="IOZ1339" s="4" t="s">
        <v>2883</v>
      </c>
      <c r="IPA1339" s="4" t="s">
        <v>2883</v>
      </c>
      <c r="IPB1339" s="4" t="s">
        <v>2883</v>
      </c>
      <c r="IPC1339" s="4" t="s">
        <v>2883</v>
      </c>
      <c r="IPD1339" s="4" t="s">
        <v>2883</v>
      </c>
      <c r="IPE1339" s="4" t="s">
        <v>2883</v>
      </c>
      <c r="IPF1339" s="4" t="s">
        <v>2883</v>
      </c>
      <c r="IPG1339" s="4" t="s">
        <v>2883</v>
      </c>
      <c r="IPH1339" s="4" t="s">
        <v>2883</v>
      </c>
      <c r="IPI1339" s="4" t="s">
        <v>2883</v>
      </c>
      <c r="IPJ1339" s="4" t="s">
        <v>2883</v>
      </c>
      <c r="IPK1339" s="4" t="s">
        <v>2883</v>
      </c>
      <c r="IPL1339" s="4" t="s">
        <v>2883</v>
      </c>
      <c r="IPM1339" s="4" t="s">
        <v>2883</v>
      </c>
      <c r="IPN1339" s="4" t="s">
        <v>2883</v>
      </c>
      <c r="IPO1339" s="4" t="s">
        <v>2883</v>
      </c>
      <c r="IPP1339" s="4" t="s">
        <v>2883</v>
      </c>
      <c r="IPQ1339" s="4" t="s">
        <v>2883</v>
      </c>
      <c r="IPR1339" s="4" t="s">
        <v>2883</v>
      </c>
      <c r="IPS1339" s="4" t="s">
        <v>2883</v>
      </c>
      <c r="IPT1339" s="4" t="s">
        <v>2883</v>
      </c>
      <c r="IPU1339" s="4" t="s">
        <v>2883</v>
      </c>
      <c r="IPV1339" s="4" t="s">
        <v>2883</v>
      </c>
      <c r="IPW1339" s="4" t="s">
        <v>2883</v>
      </c>
      <c r="IPX1339" s="4" t="s">
        <v>2883</v>
      </c>
      <c r="IPY1339" s="4" t="s">
        <v>2883</v>
      </c>
      <c r="IPZ1339" s="4" t="s">
        <v>2883</v>
      </c>
      <c r="IQA1339" s="4" t="s">
        <v>2883</v>
      </c>
      <c r="IQB1339" s="4" t="s">
        <v>2883</v>
      </c>
      <c r="IQC1339" s="4" t="s">
        <v>2883</v>
      </c>
      <c r="IQD1339" s="4" t="s">
        <v>2883</v>
      </c>
      <c r="IQE1339" s="4" t="s">
        <v>2883</v>
      </c>
      <c r="IQF1339" s="4" t="s">
        <v>2883</v>
      </c>
      <c r="IQG1339" s="4" t="s">
        <v>2883</v>
      </c>
      <c r="IQH1339" s="4" t="s">
        <v>2883</v>
      </c>
      <c r="IQI1339" s="4" t="s">
        <v>2883</v>
      </c>
      <c r="IQJ1339" s="4" t="s">
        <v>2883</v>
      </c>
      <c r="IQK1339" s="4" t="s">
        <v>2883</v>
      </c>
      <c r="IQL1339" s="4" t="s">
        <v>2883</v>
      </c>
      <c r="IQM1339" s="4" t="s">
        <v>2883</v>
      </c>
      <c r="IQN1339" s="4" t="s">
        <v>2883</v>
      </c>
      <c r="IQO1339" s="4" t="s">
        <v>2883</v>
      </c>
      <c r="IQP1339" s="4" t="s">
        <v>2883</v>
      </c>
      <c r="IQQ1339" s="4" t="s">
        <v>2883</v>
      </c>
      <c r="IQR1339" s="4" t="s">
        <v>2883</v>
      </c>
      <c r="IQS1339" s="4" t="s">
        <v>2883</v>
      </c>
      <c r="IQT1339" s="4" t="s">
        <v>2883</v>
      </c>
      <c r="IQU1339" s="4" t="s">
        <v>2883</v>
      </c>
      <c r="IQV1339" s="4" t="s">
        <v>2883</v>
      </c>
      <c r="IQW1339" s="4" t="s">
        <v>2883</v>
      </c>
      <c r="IQX1339" s="4" t="s">
        <v>2883</v>
      </c>
      <c r="IQY1339" s="4" t="s">
        <v>2883</v>
      </c>
      <c r="IQZ1339" s="4" t="s">
        <v>2883</v>
      </c>
      <c r="IRA1339" s="4" t="s">
        <v>2883</v>
      </c>
      <c r="IRB1339" s="4" t="s">
        <v>2883</v>
      </c>
      <c r="IRC1339" s="4" t="s">
        <v>2883</v>
      </c>
      <c r="IRD1339" s="4" t="s">
        <v>2883</v>
      </c>
      <c r="IRE1339" s="4" t="s">
        <v>2883</v>
      </c>
      <c r="IRF1339" s="4" t="s">
        <v>2883</v>
      </c>
      <c r="IRG1339" s="4" t="s">
        <v>2883</v>
      </c>
      <c r="IRH1339" s="4" t="s">
        <v>2883</v>
      </c>
      <c r="IRI1339" s="4" t="s">
        <v>2883</v>
      </c>
      <c r="IRJ1339" s="4" t="s">
        <v>2883</v>
      </c>
      <c r="IRK1339" s="4" t="s">
        <v>2883</v>
      </c>
      <c r="IRL1339" s="4" t="s">
        <v>2883</v>
      </c>
      <c r="IRM1339" s="4" t="s">
        <v>2883</v>
      </c>
      <c r="IRN1339" s="4" t="s">
        <v>2883</v>
      </c>
      <c r="IRO1339" s="4" t="s">
        <v>2883</v>
      </c>
      <c r="IRP1339" s="4" t="s">
        <v>2883</v>
      </c>
      <c r="IRQ1339" s="4" t="s">
        <v>2883</v>
      </c>
      <c r="IRR1339" s="4" t="s">
        <v>2883</v>
      </c>
      <c r="IRS1339" s="4" t="s">
        <v>2883</v>
      </c>
      <c r="IRT1339" s="4" t="s">
        <v>2883</v>
      </c>
      <c r="IRU1339" s="4" t="s">
        <v>2883</v>
      </c>
      <c r="IRV1339" s="4" t="s">
        <v>2883</v>
      </c>
      <c r="IRW1339" s="4" t="s">
        <v>2883</v>
      </c>
      <c r="IRX1339" s="4" t="s">
        <v>2883</v>
      </c>
      <c r="IRY1339" s="4" t="s">
        <v>2883</v>
      </c>
      <c r="IRZ1339" s="4" t="s">
        <v>2883</v>
      </c>
      <c r="ISA1339" s="4" t="s">
        <v>2883</v>
      </c>
      <c r="ISB1339" s="4" t="s">
        <v>2883</v>
      </c>
      <c r="ISC1339" s="4" t="s">
        <v>2883</v>
      </c>
      <c r="ISD1339" s="4" t="s">
        <v>2883</v>
      </c>
      <c r="ISE1339" s="4" t="s">
        <v>2883</v>
      </c>
      <c r="ISF1339" s="4" t="s">
        <v>2883</v>
      </c>
      <c r="ISG1339" s="4" t="s">
        <v>2883</v>
      </c>
      <c r="ISH1339" s="4" t="s">
        <v>2883</v>
      </c>
      <c r="ISI1339" s="4" t="s">
        <v>2883</v>
      </c>
      <c r="ISJ1339" s="4" t="s">
        <v>2883</v>
      </c>
      <c r="ISK1339" s="4" t="s">
        <v>2883</v>
      </c>
      <c r="ISL1339" s="4" t="s">
        <v>2883</v>
      </c>
      <c r="ISM1339" s="4" t="s">
        <v>2883</v>
      </c>
      <c r="ISN1339" s="4" t="s">
        <v>2883</v>
      </c>
      <c r="ISO1339" s="4" t="s">
        <v>2883</v>
      </c>
      <c r="ISP1339" s="4" t="s">
        <v>2883</v>
      </c>
      <c r="ISQ1339" s="4" t="s">
        <v>2883</v>
      </c>
      <c r="ISR1339" s="4" t="s">
        <v>2883</v>
      </c>
      <c r="ISS1339" s="4" t="s">
        <v>2883</v>
      </c>
      <c r="IST1339" s="4" t="s">
        <v>2883</v>
      </c>
      <c r="ISU1339" s="4" t="s">
        <v>2883</v>
      </c>
      <c r="ISV1339" s="4" t="s">
        <v>2883</v>
      </c>
      <c r="ISW1339" s="4" t="s">
        <v>2883</v>
      </c>
      <c r="ISX1339" s="4" t="s">
        <v>2883</v>
      </c>
      <c r="ISY1339" s="4" t="s">
        <v>2883</v>
      </c>
      <c r="ISZ1339" s="4" t="s">
        <v>2883</v>
      </c>
      <c r="ITA1339" s="4" t="s">
        <v>2883</v>
      </c>
      <c r="ITB1339" s="4" t="s">
        <v>2883</v>
      </c>
      <c r="ITC1339" s="4" t="s">
        <v>2883</v>
      </c>
      <c r="ITD1339" s="4" t="s">
        <v>2883</v>
      </c>
      <c r="ITE1339" s="4" t="s">
        <v>2883</v>
      </c>
      <c r="ITF1339" s="4" t="s">
        <v>2883</v>
      </c>
      <c r="ITG1339" s="4" t="s">
        <v>2883</v>
      </c>
      <c r="ITH1339" s="4" t="s">
        <v>2883</v>
      </c>
      <c r="ITI1339" s="4" t="s">
        <v>2883</v>
      </c>
      <c r="ITJ1339" s="4" t="s">
        <v>2883</v>
      </c>
      <c r="ITK1339" s="4" t="s">
        <v>2883</v>
      </c>
      <c r="ITL1339" s="4" t="s">
        <v>2883</v>
      </c>
      <c r="ITM1339" s="4" t="s">
        <v>2883</v>
      </c>
      <c r="ITN1339" s="4" t="s">
        <v>2883</v>
      </c>
      <c r="ITO1339" s="4" t="s">
        <v>2883</v>
      </c>
      <c r="ITP1339" s="4" t="s">
        <v>2883</v>
      </c>
      <c r="ITQ1339" s="4" t="s">
        <v>2883</v>
      </c>
      <c r="ITR1339" s="4" t="s">
        <v>2883</v>
      </c>
      <c r="ITS1339" s="4" t="s">
        <v>2883</v>
      </c>
      <c r="ITT1339" s="4" t="s">
        <v>2883</v>
      </c>
      <c r="ITU1339" s="4" t="s">
        <v>2883</v>
      </c>
      <c r="ITV1339" s="4" t="s">
        <v>2883</v>
      </c>
      <c r="ITW1339" s="4" t="s">
        <v>2883</v>
      </c>
      <c r="ITX1339" s="4" t="s">
        <v>2883</v>
      </c>
      <c r="ITY1339" s="4" t="s">
        <v>2883</v>
      </c>
      <c r="ITZ1339" s="4" t="s">
        <v>2883</v>
      </c>
      <c r="IUA1339" s="4" t="s">
        <v>2883</v>
      </c>
      <c r="IUB1339" s="4" t="s">
        <v>2883</v>
      </c>
      <c r="IUC1339" s="4" t="s">
        <v>2883</v>
      </c>
      <c r="IUD1339" s="4" t="s">
        <v>2883</v>
      </c>
      <c r="IUE1339" s="4" t="s">
        <v>2883</v>
      </c>
      <c r="IUF1339" s="4" t="s">
        <v>2883</v>
      </c>
      <c r="IUG1339" s="4" t="s">
        <v>2883</v>
      </c>
      <c r="IUH1339" s="4" t="s">
        <v>2883</v>
      </c>
      <c r="IUI1339" s="4" t="s">
        <v>2883</v>
      </c>
      <c r="IUJ1339" s="4" t="s">
        <v>2883</v>
      </c>
      <c r="IUK1339" s="4" t="s">
        <v>2883</v>
      </c>
      <c r="IUL1339" s="4" t="s">
        <v>2883</v>
      </c>
      <c r="IUM1339" s="4" t="s">
        <v>2883</v>
      </c>
      <c r="IUN1339" s="4" t="s">
        <v>2883</v>
      </c>
      <c r="IUO1339" s="4" t="s">
        <v>2883</v>
      </c>
      <c r="IUP1339" s="4" t="s">
        <v>2883</v>
      </c>
      <c r="IUQ1339" s="4" t="s">
        <v>2883</v>
      </c>
      <c r="IUR1339" s="4" t="s">
        <v>2883</v>
      </c>
      <c r="IUS1339" s="4" t="s">
        <v>2883</v>
      </c>
      <c r="IUT1339" s="4" t="s">
        <v>2883</v>
      </c>
      <c r="IUU1339" s="4" t="s">
        <v>2883</v>
      </c>
      <c r="IUV1339" s="4" t="s">
        <v>2883</v>
      </c>
      <c r="IUW1339" s="4" t="s">
        <v>2883</v>
      </c>
      <c r="IUX1339" s="4" t="s">
        <v>2883</v>
      </c>
      <c r="IUY1339" s="4" t="s">
        <v>2883</v>
      </c>
      <c r="IUZ1339" s="4" t="s">
        <v>2883</v>
      </c>
      <c r="IVA1339" s="4" t="s">
        <v>2883</v>
      </c>
      <c r="IVB1339" s="4" t="s">
        <v>2883</v>
      </c>
      <c r="IVC1339" s="4" t="s">
        <v>2883</v>
      </c>
      <c r="IVD1339" s="4" t="s">
        <v>2883</v>
      </c>
      <c r="IVE1339" s="4" t="s">
        <v>2883</v>
      </c>
      <c r="IVF1339" s="4" t="s">
        <v>2883</v>
      </c>
      <c r="IVG1339" s="4" t="s">
        <v>2883</v>
      </c>
      <c r="IVH1339" s="4" t="s">
        <v>2883</v>
      </c>
      <c r="IVI1339" s="4" t="s">
        <v>2883</v>
      </c>
      <c r="IVJ1339" s="4" t="s">
        <v>2883</v>
      </c>
      <c r="IVK1339" s="4" t="s">
        <v>2883</v>
      </c>
      <c r="IVL1339" s="4" t="s">
        <v>2883</v>
      </c>
      <c r="IVM1339" s="4" t="s">
        <v>2883</v>
      </c>
      <c r="IVN1339" s="4" t="s">
        <v>2883</v>
      </c>
      <c r="IVO1339" s="4" t="s">
        <v>2883</v>
      </c>
      <c r="IVP1339" s="4" t="s">
        <v>2883</v>
      </c>
      <c r="IVQ1339" s="4" t="s">
        <v>2883</v>
      </c>
      <c r="IVR1339" s="4" t="s">
        <v>2883</v>
      </c>
      <c r="IVS1339" s="4" t="s">
        <v>2883</v>
      </c>
      <c r="IVT1339" s="4" t="s">
        <v>2883</v>
      </c>
      <c r="IVU1339" s="4" t="s">
        <v>2883</v>
      </c>
      <c r="IVV1339" s="4" t="s">
        <v>2883</v>
      </c>
      <c r="IVW1339" s="4" t="s">
        <v>2883</v>
      </c>
      <c r="IVX1339" s="4" t="s">
        <v>2883</v>
      </c>
      <c r="IVY1339" s="4" t="s">
        <v>2883</v>
      </c>
      <c r="IVZ1339" s="4" t="s">
        <v>2883</v>
      </c>
      <c r="IWA1339" s="4" t="s">
        <v>2883</v>
      </c>
      <c r="IWB1339" s="4" t="s">
        <v>2883</v>
      </c>
      <c r="IWC1339" s="4" t="s">
        <v>2883</v>
      </c>
      <c r="IWD1339" s="4" t="s">
        <v>2883</v>
      </c>
      <c r="IWE1339" s="4" t="s">
        <v>2883</v>
      </c>
      <c r="IWF1339" s="4" t="s">
        <v>2883</v>
      </c>
      <c r="IWG1339" s="4" t="s">
        <v>2883</v>
      </c>
      <c r="IWH1339" s="4" t="s">
        <v>2883</v>
      </c>
      <c r="IWI1339" s="4" t="s">
        <v>2883</v>
      </c>
      <c r="IWJ1339" s="4" t="s">
        <v>2883</v>
      </c>
      <c r="IWK1339" s="4" t="s">
        <v>2883</v>
      </c>
      <c r="IWL1339" s="4" t="s">
        <v>2883</v>
      </c>
      <c r="IWM1339" s="4" t="s">
        <v>2883</v>
      </c>
      <c r="IWN1339" s="4" t="s">
        <v>2883</v>
      </c>
      <c r="IWO1339" s="4" t="s">
        <v>2883</v>
      </c>
      <c r="IWP1339" s="4" t="s">
        <v>2883</v>
      </c>
      <c r="IWQ1339" s="4" t="s">
        <v>2883</v>
      </c>
      <c r="IWR1339" s="4" t="s">
        <v>2883</v>
      </c>
      <c r="IWS1339" s="4" t="s">
        <v>2883</v>
      </c>
      <c r="IWT1339" s="4" t="s">
        <v>2883</v>
      </c>
      <c r="IWU1339" s="4" t="s">
        <v>2883</v>
      </c>
      <c r="IWV1339" s="4" t="s">
        <v>2883</v>
      </c>
      <c r="IWW1339" s="4" t="s">
        <v>2883</v>
      </c>
      <c r="IWX1339" s="4" t="s">
        <v>2883</v>
      </c>
      <c r="IWY1339" s="4" t="s">
        <v>2883</v>
      </c>
      <c r="IWZ1339" s="4" t="s">
        <v>2883</v>
      </c>
      <c r="IXA1339" s="4" t="s">
        <v>2883</v>
      </c>
      <c r="IXB1339" s="4" t="s">
        <v>2883</v>
      </c>
      <c r="IXC1339" s="4" t="s">
        <v>2883</v>
      </c>
      <c r="IXD1339" s="4" t="s">
        <v>2883</v>
      </c>
      <c r="IXE1339" s="4" t="s">
        <v>2883</v>
      </c>
      <c r="IXF1339" s="4" t="s">
        <v>2883</v>
      </c>
      <c r="IXG1339" s="4" t="s">
        <v>2883</v>
      </c>
      <c r="IXH1339" s="4" t="s">
        <v>2883</v>
      </c>
      <c r="IXI1339" s="4" t="s">
        <v>2883</v>
      </c>
      <c r="IXJ1339" s="4" t="s">
        <v>2883</v>
      </c>
      <c r="IXK1339" s="4" t="s">
        <v>2883</v>
      </c>
      <c r="IXL1339" s="4" t="s">
        <v>2883</v>
      </c>
      <c r="IXM1339" s="4" t="s">
        <v>2883</v>
      </c>
      <c r="IXN1339" s="4" t="s">
        <v>2883</v>
      </c>
      <c r="IXO1339" s="4" t="s">
        <v>2883</v>
      </c>
      <c r="IXP1339" s="4" t="s">
        <v>2883</v>
      </c>
      <c r="IXQ1339" s="4" t="s">
        <v>2883</v>
      </c>
      <c r="IXR1339" s="4" t="s">
        <v>2883</v>
      </c>
      <c r="IXS1339" s="4" t="s">
        <v>2883</v>
      </c>
      <c r="IXT1339" s="4" t="s">
        <v>2883</v>
      </c>
      <c r="IXU1339" s="4" t="s">
        <v>2883</v>
      </c>
      <c r="IXV1339" s="4" t="s">
        <v>2883</v>
      </c>
      <c r="IXW1339" s="4" t="s">
        <v>2883</v>
      </c>
      <c r="IXX1339" s="4" t="s">
        <v>2883</v>
      </c>
      <c r="IXY1339" s="4" t="s">
        <v>2883</v>
      </c>
      <c r="IXZ1339" s="4" t="s">
        <v>2883</v>
      </c>
      <c r="IYA1339" s="4" t="s">
        <v>2883</v>
      </c>
      <c r="IYB1339" s="4" t="s">
        <v>2883</v>
      </c>
      <c r="IYC1339" s="4" t="s">
        <v>2883</v>
      </c>
      <c r="IYD1339" s="4" t="s">
        <v>2883</v>
      </c>
      <c r="IYE1339" s="4" t="s">
        <v>2883</v>
      </c>
      <c r="IYF1339" s="4" t="s">
        <v>2883</v>
      </c>
      <c r="IYG1339" s="4" t="s">
        <v>2883</v>
      </c>
      <c r="IYH1339" s="4" t="s">
        <v>2883</v>
      </c>
      <c r="IYI1339" s="4" t="s">
        <v>2883</v>
      </c>
      <c r="IYJ1339" s="4" t="s">
        <v>2883</v>
      </c>
      <c r="IYK1339" s="4" t="s">
        <v>2883</v>
      </c>
      <c r="IYL1339" s="4" t="s">
        <v>2883</v>
      </c>
      <c r="IYM1339" s="4" t="s">
        <v>2883</v>
      </c>
      <c r="IYN1339" s="4" t="s">
        <v>2883</v>
      </c>
      <c r="IYO1339" s="4" t="s">
        <v>2883</v>
      </c>
      <c r="IYP1339" s="4" t="s">
        <v>2883</v>
      </c>
      <c r="IYQ1339" s="4" t="s">
        <v>2883</v>
      </c>
      <c r="IYR1339" s="4" t="s">
        <v>2883</v>
      </c>
      <c r="IYS1339" s="4" t="s">
        <v>2883</v>
      </c>
      <c r="IYT1339" s="4" t="s">
        <v>2883</v>
      </c>
      <c r="IYU1339" s="4" t="s">
        <v>2883</v>
      </c>
      <c r="IYV1339" s="4" t="s">
        <v>2883</v>
      </c>
      <c r="IYW1339" s="4" t="s">
        <v>2883</v>
      </c>
      <c r="IYX1339" s="4" t="s">
        <v>2883</v>
      </c>
      <c r="IYY1339" s="4" t="s">
        <v>2883</v>
      </c>
      <c r="IYZ1339" s="4" t="s">
        <v>2883</v>
      </c>
      <c r="IZA1339" s="4" t="s">
        <v>2883</v>
      </c>
      <c r="IZB1339" s="4" t="s">
        <v>2883</v>
      </c>
      <c r="IZC1339" s="4" t="s">
        <v>2883</v>
      </c>
      <c r="IZD1339" s="4" t="s">
        <v>2883</v>
      </c>
      <c r="IZE1339" s="4" t="s">
        <v>2883</v>
      </c>
      <c r="IZF1339" s="4" t="s">
        <v>2883</v>
      </c>
      <c r="IZG1339" s="4" t="s">
        <v>2883</v>
      </c>
      <c r="IZH1339" s="4" t="s">
        <v>2883</v>
      </c>
      <c r="IZI1339" s="4" t="s">
        <v>2883</v>
      </c>
      <c r="IZJ1339" s="4" t="s">
        <v>2883</v>
      </c>
      <c r="IZK1339" s="4" t="s">
        <v>2883</v>
      </c>
      <c r="IZL1339" s="4" t="s">
        <v>2883</v>
      </c>
      <c r="IZM1339" s="4" t="s">
        <v>2883</v>
      </c>
      <c r="IZN1339" s="4" t="s">
        <v>2883</v>
      </c>
      <c r="IZO1339" s="4" t="s">
        <v>2883</v>
      </c>
      <c r="IZP1339" s="4" t="s">
        <v>2883</v>
      </c>
      <c r="IZQ1339" s="4" t="s">
        <v>2883</v>
      </c>
      <c r="IZR1339" s="4" t="s">
        <v>2883</v>
      </c>
      <c r="IZS1339" s="4" t="s">
        <v>2883</v>
      </c>
      <c r="IZT1339" s="4" t="s">
        <v>2883</v>
      </c>
      <c r="IZU1339" s="4" t="s">
        <v>2883</v>
      </c>
      <c r="IZV1339" s="4" t="s">
        <v>2883</v>
      </c>
      <c r="IZW1339" s="4" t="s">
        <v>2883</v>
      </c>
      <c r="IZX1339" s="4" t="s">
        <v>2883</v>
      </c>
      <c r="IZY1339" s="4" t="s">
        <v>2883</v>
      </c>
      <c r="IZZ1339" s="4" t="s">
        <v>2883</v>
      </c>
      <c r="JAA1339" s="4" t="s">
        <v>2883</v>
      </c>
      <c r="JAB1339" s="4" t="s">
        <v>2883</v>
      </c>
      <c r="JAC1339" s="4" t="s">
        <v>2883</v>
      </c>
      <c r="JAD1339" s="4" t="s">
        <v>2883</v>
      </c>
      <c r="JAE1339" s="4" t="s">
        <v>2883</v>
      </c>
      <c r="JAF1339" s="4" t="s">
        <v>2883</v>
      </c>
      <c r="JAG1339" s="4" t="s">
        <v>2883</v>
      </c>
      <c r="JAH1339" s="4" t="s">
        <v>2883</v>
      </c>
      <c r="JAI1339" s="4" t="s">
        <v>2883</v>
      </c>
      <c r="JAJ1339" s="4" t="s">
        <v>2883</v>
      </c>
      <c r="JAK1339" s="4" t="s">
        <v>2883</v>
      </c>
      <c r="JAL1339" s="4" t="s">
        <v>2883</v>
      </c>
      <c r="JAM1339" s="4" t="s">
        <v>2883</v>
      </c>
      <c r="JAN1339" s="4" t="s">
        <v>2883</v>
      </c>
      <c r="JAO1339" s="4" t="s">
        <v>2883</v>
      </c>
      <c r="JAP1339" s="4" t="s">
        <v>2883</v>
      </c>
      <c r="JAQ1339" s="4" t="s">
        <v>2883</v>
      </c>
      <c r="JAR1339" s="4" t="s">
        <v>2883</v>
      </c>
      <c r="JAS1339" s="4" t="s">
        <v>2883</v>
      </c>
      <c r="JAT1339" s="4" t="s">
        <v>2883</v>
      </c>
      <c r="JAU1339" s="4" t="s">
        <v>2883</v>
      </c>
      <c r="JAV1339" s="4" t="s">
        <v>2883</v>
      </c>
      <c r="JAW1339" s="4" t="s">
        <v>2883</v>
      </c>
      <c r="JAX1339" s="4" t="s">
        <v>2883</v>
      </c>
      <c r="JAY1339" s="4" t="s">
        <v>2883</v>
      </c>
      <c r="JAZ1339" s="4" t="s">
        <v>2883</v>
      </c>
      <c r="JBA1339" s="4" t="s">
        <v>2883</v>
      </c>
      <c r="JBB1339" s="4" t="s">
        <v>2883</v>
      </c>
      <c r="JBC1339" s="4" t="s">
        <v>2883</v>
      </c>
      <c r="JBD1339" s="4" t="s">
        <v>2883</v>
      </c>
      <c r="JBE1339" s="4" t="s">
        <v>2883</v>
      </c>
      <c r="JBF1339" s="4" t="s">
        <v>2883</v>
      </c>
      <c r="JBG1339" s="4" t="s">
        <v>2883</v>
      </c>
      <c r="JBH1339" s="4" t="s">
        <v>2883</v>
      </c>
      <c r="JBI1339" s="4" t="s">
        <v>2883</v>
      </c>
      <c r="JBJ1339" s="4" t="s">
        <v>2883</v>
      </c>
      <c r="JBK1339" s="4" t="s">
        <v>2883</v>
      </c>
      <c r="JBL1339" s="4" t="s">
        <v>2883</v>
      </c>
      <c r="JBM1339" s="4" t="s">
        <v>2883</v>
      </c>
      <c r="JBN1339" s="4" t="s">
        <v>2883</v>
      </c>
      <c r="JBO1339" s="4" t="s">
        <v>2883</v>
      </c>
      <c r="JBP1339" s="4" t="s">
        <v>2883</v>
      </c>
      <c r="JBQ1339" s="4" t="s">
        <v>2883</v>
      </c>
      <c r="JBR1339" s="4" t="s">
        <v>2883</v>
      </c>
      <c r="JBS1339" s="4" t="s">
        <v>2883</v>
      </c>
      <c r="JBT1339" s="4" t="s">
        <v>2883</v>
      </c>
      <c r="JBU1339" s="4" t="s">
        <v>2883</v>
      </c>
      <c r="JBV1339" s="4" t="s">
        <v>2883</v>
      </c>
      <c r="JBW1339" s="4" t="s">
        <v>2883</v>
      </c>
      <c r="JBX1339" s="4" t="s">
        <v>2883</v>
      </c>
      <c r="JBY1339" s="4" t="s">
        <v>2883</v>
      </c>
      <c r="JBZ1339" s="4" t="s">
        <v>2883</v>
      </c>
      <c r="JCA1339" s="4" t="s">
        <v>2883</v>
      </c>
      <c r="JCB1339" s="4" t="s">
        <v>2883</v>
      </c>
      <c r="JCC1339" s="4" t="s">
        <v>2883</v>
      </c>
      <c r="JCD1339" s="4" t="s">
        <v>2883</v>
      </c>
      <c r="JCE1339" s="4" t="s">
        <v>2883</v>
      </c>
      <c r="JCF1339" s="4" t="s">
        <v>2883</v>
      </c>
      <c r="JCG1339" s="4" t="s">
        <v>2883</v>
      </c>
      <c r="JCH1339" s="4" t="s">
        <v>2883</v>
      </c>
      <c r="JCI1339" s="4" t="s">
        <v>2883</v>
      </c>
      <c r="JCJ1339" s="4" t="s">
        <v>2883</v>
      </c>
      <c r="JCK1339" s="4" t="s">
        <v>2883</v>
      </c>
      <c r="JCL1339" s="4" t="s">
        <v>2883</v>
      </c>
      <c r="JCM1339" s="4" t="s">
        <v>2883</v>
      </c>
      <c r="JCN1339" s="4" t="s">
        <v>2883</v>
      </c>
      <c r="JCO1339" s="4" t="s">
        <v>2883</v>
      </c>
      <c r="JCP1339" s="4" t="s">
        <v>2883</v>
      </c>
      <c r="JCQ1339" s="4" t="s">
        <v>2883</v>
      </c>
      <c r="JCR1339" s="4" t="s">
        <v>2883</v>
      </c>
      <c r="JCS1339" s="4" t="s">
        <v>2883</v>
      </c>
      <c r="JCT1339" s="4" t="s">
        <v>2883</v>
      </c>
      <c r="JCU1339" s="4" t="s">
        <v>2883</v>
      </c>
      <c r="JCV1339" s="4" t="s">
        <v>2883</v>
      </c>
      <c r="JCW1339" s="4" t="s">
        <v>2883</v>
      </c>
      <c r="JCX1339" s="4" t="s">
        <v>2883</v>
      </c>
      <c r="JCY1339" s="4" t="s">
        <v>2883</v>
      </c>
      <c r="JCZ1339" s="4" t="s">
        <v>2883</v>
      </c>
      <c r="JDA1339" s="4" t="s">
        <v>2883</v>
      </c>
      <c r="JDB1339" s="4" t="s">
        <v>2883</v>
      </c>
      <c r="JDC1339" s="4" t="s">
        <v>2883</v>
      </c>
      <c r="JDD1339" s="4" t="s">
        <v>2883</v>
      </c>
      <c r="JDE1339" s="4" t="s">
        <v>2883</v>
      </c>
      <c r="JDF1339" s="4" t="s">
        <v>2883</v>
      </c>
      <c r="JDG1339" s="4" t="s">
        <v>2883</v>
      </c>
      <c r="JDH1339" s="4" t="s">
        <v>2883</v>
      </c>
      <c r="JDI1339" s="4" t="s">
        <v>2883</v>
      </c>
      <c r="JDJ1339" s="4" t="s">
        <v>2883</v>
      </c>
      <c r="JDK1339" s="4" t="s">
        <v>2883</v>
      </c>
      <c r="JDL1339" s="4" t="s">
        <v>2883</v>
      </c>
      <c r="JDM1339" s="4" t="s">
        <v>2883</v>
      </c>
      <c r="JDN1339" s="4" t="s">
        <v>2883</v>
      </c>
      <c r="JDO1339" s="4" t="s">
        <v>2883</v>
      </c>
      <c r="JDP1339" s="4" t="s">
        <v>2883</v>
      </c>
      <c r="JDQ1339" s="4" t="s">
        <v>2883</v>
      </c>
      <c r="JDR1339" s="4" t="s">
        <v>2883</v>
      </c>
      <c r="JDS1339" s="4" t="s">
        <v>2883</v>
      </c>
      <c r="JDT1339" s="4" t="s">
        <v>2883</v>
      </c>
      <c r="JDU1339" s="4" t="s">
        <v>2883</v>
      </c>
      <c r="JDV1339" s="4" t="s">
        <v>2883</v>
      </c>
      <c r="JDW1339" s="4" t="s">
        <v>2883</v>
      </c>
      <c r="JDX1339" s="4" t="s">
        <v>2883</v>
      </c>
      <c r="JDY1339" s="4" t="s">
        <v>2883</v>
      </c>
      <c r="JDZ1339" s="4" t="s">
        <v>2883</v>
      </c>
      <c r="JEA1339" s="4" t="s">
        <v>2883</v>
      </c>
      <c r="JEB1339" s="4" t="s">
        <v>2883</v>
      </c>
      <c r="JEC1339" s="4" t="s">
        <v>2883</v>
      </c>
      <c r="JED1339" s="4" t="s">
        <v>2883</v>
      </c>
      <c r="JEE1339" s="4" t="s">
        <v>2883</v>
      </c>
      <c r="JEF1339" s="4" t="s">
        <v>2883</v>
      </c>
      <c r="JEG1339" s="4" t="s">
        <v>2883</v>
      </c>
      <c r="JEH1339" s="4" t="s">
        <v>2883</v>
      </c>
      <c r="JEI1339" s="4" t="s">
        <v>2883</v>
      </c>
      <c r="JEJ1339" s="4" t="s">
        <v>2883</v>
      </c>
      <c r="JEK1339" s="4" t="s">
        <v>2883</v>
      </c>
      <c r="JEL1339" s="4" t="s">
        <v>2883</v>
      </c>
      <c r="JEM1339" s="4" t="s">
        <v>2883</v>
      </c>
      <c r="JEN1339" s="4" t="s">
        <v>2883</v>
      </c>
      <c r="JEO1339" s="4" t="s">
        <v>2883</v>
      </c>
      <c r="JEP1339" s="4" t="s">
        <v>2883</v>
      </c>
      <c r="JEQ1339" s="4" t="s">
        <v>2883</v>
      </c>
      <c r="JER1339" s="4" t="s">
        <v>2883</v>
      </c>
      <c r="JES1339" s="4" t="s">
        <v>2883</v>
      </c>
      <c r="JET1339" s="4" t="s">
        <v>2883</v>
      </c>
      <c r="JEU1339" s="4" t="s">
        <v>2883</v>
      </c>
      <c r="JEV1339" s="4" t="s">
        <v>2883</v>
      </c>
      <c r="JEW1339" s="4" t="s">
        <v>2883</v>
      </c>
      <c r="JEX1339" s="4" t="s">
        <v>2883</v>
      </c>
      <c r="JEY1339" s="4" t="s">
        <v>2883</v>
      </c>
      <c r="JEZ1339" s="4" t="s">
        <v>2883</v>
      </c>
      <c r="JFA1339" s="4" t="s">
        <v>2883</v>
      </c>
      <c r="JFB1339" s="4" t="s">
        <v>2883</v>
      </c>
      <c r="JFC1339" s="4" t="s">
        <v>2883</v>
      </c>
      <c r="JFD1339" s="4" t="s">
        <v>2883</v>
      </c>
      <c r="JFE1339" s="4" t="s">
        <v>2883</v>
      </c>
      <c r="JFF1339" s="4" t="s">
        <v>2883</v>
      </c>
      <c r="JFG1339" s="4" t="s">
        <v>2883</v>
      </c>
      <c r="JFH1339" s="4" t="s">
        <v>2883</v>
      </c>
      <c r="JFI1339" s="4" t="s">
        <v>2883</v>
      </c>
      <c r="JFJ1339" s="4" t="s">
        <v>2883</v>
      </c>
      <c r="JFK1339" s="4" t="s">
        <v>2883</v>
      </c>
      <c r="JFL1339" s="4" t="s">
        <v>2883</v>
      </c>
      <c r="JFM1339" s="4" t="s">
        <v>2883</v>
      </c>
      <c r="JFN1339" s="4" t="s">
        <v>2883</v>
      </c>
      <c r="JFO1339" s="4" t="s">
        <v>2883</v>
      </c>
      <c r="JFP1339" s="4" t="s">
        <v>2883</v>
      </c>
      <c r="JFQ1339" s="4" t="s">
        <v>2883</v>
      </c>
      <c r="JFR1339" s="4" t="s">
        <v>2883</v>
      </c>
      <c r="JFS1339" s="4" t="s">
        <v>2883</v>
      </c>
      <c r="JFT1339" s="4" t="s">
        <v>2883</v>
      </c>
      <c r="JFU1339" s="4" t="s">
        <v>2883</v>
      </c>
      <c r="JFV1339" s="4" t="s">
        <v>2883</v>
      </c>
      <c r="JFW1339" s="4" t="s">
        <v>2883</v>
      </c>
      <c r="JFX1339" s="4" t="s">
        <v>2883</v>
      </c>
      <c r="JFY1339" s="4" t="s">
        <v>2883</v>
      </c>
      <c r="JFZ1339" s="4" t="s">
        <v>2883</v>
      </c>
      <c r="JGA1339" s="4" t="s">
        <v>2883</v>
      </c>
      <c r="JGB1339" s="4" t="s">
        <v>2883</v>
      </c>
      <c r="JGC1339" s="4" t="s">
        <v>2883</v>
      </c>
      <c r="JGD1339" s="4" t="s">
        <v>2883</v>
      </c>
      <c r="JGE1339" s="4" t="s">
        <v>2883</v>
      </c>
      <c r="JGF1339" s="4" t="s">
        <v>2883</v>
      </c>
      <c r="JGG1339" s="4" t="s">
        <v>2883</v>
      </c>
      <c r="JGH1339" s="4" t="s">
        <v>2883</v>
      </c>
      <c r="JGI1339" s="4" t="s">
        <v>2883</v>
      </c>
      <c r="JGJ1339" s="4" t="s">
        <v>2883</v>
      </c>
      <c r="JGK1339" s="4" t="s">
        <v>2883</v>
      </c>
      <c r="JGL1339" s="4" t="s">
        <v>2883</v>
      </c>
      <c r="JGM1339" s="4" t="s">
        <v>2883</v>
      </c>
      <c r="JGN1339" s="4" t="s">
        <v>2883</v>
      </c>
      <c r="JGO1339" s="4" t="s">
        <v>2883</v>
      </c>
      <c r="JGP1339" s="4" t="s">
        <v>2883</v>
      </c>
      <c r="JGQ1339" s="4" t="s">
        <v>2883</v>
      </c>
      <c r="JGR1339" s="4" t="s">
        <v>2883</v>
      </c>
      <c r="JGS1339" s="4" t="s">
        <v>2883</v>
      </c>
      <c r="JGT1339" s="4" t="s">
        <v>2883</v>
      </c>
      <c r="JGU1339" s="4" t="s">
        <v>2883</v>
      </c>
      <c r="JGV1339" s="4" t="s">
        <v>2883</v>
      </c>
      <c r="JGW1339" s="4" t="s">
        <v>2883</v>
      </c>
      <c r="JGX1339" s="4" t="s">
        <v>2883</v>
      </c>
      <c r="JGY1339" s="4" t="s">
        <v>2883</v>
      </c>
      <c r="JGZ1339" s="4" t="s">
        <v>2883</v>
      </c>
      <c r="JHA1339" s="4" t="s">
        <v>2883</v>
      </c>
      <c r="JHB1339" s="4" t="s">
        <v>2883</v>
      </c>
      <c r="JHC1339" s="4" t="s">
        <v>2883</v>
      </c>
      <c r="JHD1339" s="4" t="s">
        <v>2883</v>
      </c>
      <c r="JHE1339" s="4" t="s">
        <v>2883</v>
      </c>
      <c r="JHF1339" s="4" t="s">
        <v>2883</v>
      </c>
      <c r="JHG1339" s="4" t="s">
        <v>2883</v>
      </c>
      <c r="JHH1339" s="4" t="s">
        <v>2883</v>
      </c>
      <c r="JHI1339" s="4" t="s">
        <v>2883</v>
      </c>
      <c r="JHJ1339" s="4" t="s">
        <v>2883</v>
      </c>
      <c r="JHK1339" s="4" t="s">
        <v>2883</v>
      </c>
      <c r="JHL1339" s="4" t="s">
        <v>2883</v>
      </c>
      <c r="JHM1339" s="4" t="s">
        <v>2883</v>
      </c>
      <c r="JHN1339" s="4" t="s">
        <v>2883</v>
      </c>
      <c r="JHO1339" s="4" t="s">
        <v>2883</v>
      </c>
      <c r="JHP1339" s="4" t="s">
        <v>2883</v>
      </c>
      <c r="JHQ1339" s="4" t="s">
        <v>2883</v>
      </c>
      <c r="JHR1339" s="4" t="s">
        <v>2883</v>
      </c>
      <c r="JHS1339" s="4" t="s">
        <v>2883</v>
      </c>
      <c r="JHT1339" s="4" t="s">
        <v>2883</v>
      </c>
      <c r="JHU1339" s="4" t="s">
        <v>2883</v>
      </c>
      <c r="JHV1339" s="4" t="s">
        <v>2883</v>
      </c>
      <c r="JHW1339" s="4" t="s">
        <v>2883</v>
      </c>
      <c r="JHX1339" s="4" t="s">
        <v>2883</v>
      </c>
      <c r="JHY1339" s="4" t="s">
        <v>2883</v>
      </c>
      <c r="JHZ1339" s="4" t="s">
        <v>2883</v>
      </c>
      <c r="JIA1339" s="4" t="s">
        <v>2883</v>
      </c>
      <c r="JIB1339" s="4" t="s">
        <v>2883</v>
      </c>
      <c r="JIC1339" s="4" t="s">
        <v>2883</v>
      </c>
      <c r="JID1339" s="4" t="s">
        <v>2883</v>
      </c>
      <c r="JIE1339" s="4" t="s">
        <v>2883</v>
      </c>
      <c r="JIF1339" s="4" t="s">
        <v>2883</v>
      </c>
      <c r="JIG1339" s="4" t="s">
        <v>2883</v>
      </c>
      <c r="JIH1339" s="4" t="s">
        <v>2883</v>
      </c>
      <c r="JII1339" s="4" t="s">
        <v>2883</v>
      </c>
      <c r="JIJ1339" s="4" t="s">
        <v>2883</v>
      </c>
      <c r="JIK1339" s="4" t="s">
        <v>2883</v>
      </c>
      <c r="JIL1339" s="4" t="s">
        <v>2883</v>
      </c>
      <c r="JIM1339" s="4" t="s">
        <v>2883</v>
      </c>
      <c r="JIN1339" s="4" t="s">
        <v>2883</v>
      </c>
      <c r="JIO1339" s="4" t="s">
        <v>2883</v>
      </c>
      <c r="JIP1339" s="4" t="s">
        <v>2883</v>
      </c>
      <c r="JIQ1339" s="4" t="s">
        <v>2883</v>
      </c>
      <c r="JIR1339" s="4" t="s">
        <v>2883</v>
      </c>
      <c r="JIS1339" s="4" t="s">
        <v>2883</v>
      </c>
      <c r="JIT1339" s="4" t="s">
        <v>2883</v>
      </c>
      <c r="JIU1339" s="4" t="s">
        <v>2883</v>
      </c>
      <c r="JIV1339" s="4" t="s">
        <v>2883</v>
      </c>
      <c r="JIW1339" s="4" t="s">
        <v>2883</v>
      </c>
      <c r="JIX1339" s="4" t="s">
        <v>2883</v>
      </c>
      <c r="JIY1339" s="4" t="s">
        <v>2883</v>
      </c>
      <c r="JIZ1339" s="4" t="s">
        <v>2883</v>
      </c>
      <c r="JJA1339" s="4" t="s">
        <v>2883</v>
      </c>
      <c r="JJB1339" s="4" t="s">
        <v>2883</v>
      </c>
      <c r="JJC1339" s="4" t="s">
        <v>2883</v>
      </c>
      <c r="JJD1339" s="4" t="s">
        <v>2883</v>
      </c>
      <c r="JJE1339" s="4" t="s">
        <v>2883</v>
      </c>
      <c r="JJF1339" s="4" t="s">
        <v>2883</v>
      </c>
      <c r="JJG1339" s="4" t="s">
        <v>2883</v>
      </c>
      <c r="JJH1339" s="4" t="s">
        <v>2883</v>
      </c>
      <c r="JJI1339" s="4" t="s">
        <v>2883</v>
      </c>
      <c r="JJJ1339" s="4" t="s">
        <v>2883</v>
      </c>
      <c r="JJK1339" s="4" t="s">
        <v>2883</v>
      </c>
      <c r="JJL1339" s="4" t="s">
        <v>2883</v>
      </c>
      <c r="JJM1339" s="4" t="s">
        <v>2883</v>
      </c>
      <c r="JJN1339" s="4" t="s">
        <v>2883</v>
      </c>
      <c r="JJO1339" s="4" t="s">
        <v>2883</v>
      </c>
      <c r="JJP1339" s="4" t="s">
        <v>2883</v>
      </c>
      <c r="JJQ1339" s="4" t="s">
        <v>2883</v>
      </c>
      <c r="JJR1339" s="4" t="s">
        <v>2883</v>
      </c>
      <c r="JJS1339" s="4" t="s">
        <v>2883</v>
      </c>
      <c r="JJT1339" s="4" t="s">
        <v>2883</v>
      </c>
      <c r="JJU1339" s="4" t="s">
        <v>2883</v>
      </c>
      <c r="JJV1339" s="4" t="s">
        <v>2883</v>
      </c>
      <c r="JJW1339" s="4" t="s">
        <v>2883</v>
      </c>
      <c r="JJX1339" s="4" t="s">
        <v>2883</v>
      </c>
      <c r="JJY1339" s="4" t="s">
        <v>2883</v>
      </c>
      <c r="JJZ1339" s="4" t="s">
        <v>2883</v>
      </c>
      <c r="JKA1339" s="4" t="s">
        <v>2883</v>
      </c>
      <c r="JKB1339" s="4" t="s">
        <v>2883</v>
      </c>
      <c r="JKC1339" s="4" t="s">
        <v>2883</v>
      </c>
      <c r="JKD1339" s="4" t="s">
        <v>2883</v>
      </c>
      <c r="JKE1339" s="4" t="s">
        <v>2883</v>
      </c>
      <c r="JKF1339" s="4" t="s">
        <v>2883</v>
      </c>
      <c r="JKG1339" s="4" t="s">
        <v>2883</v>
      </c>
      <c r="JKH1339" s="4" t="s">
        <v>2883</v>
      </c>
      <c r="JKI1339" s="4" t="s">
        <v>2883</v>
      </c>
      <c r="JKJ1339" s="4" t="s">
        <v>2883</v>
      </c>
      <c r="JKK1339" s="4" t="s">
        <v>2883</v>
      </c>
      <c r="JKL1339" s="4" t="s">
        <v>2883</v>
      </c>
      <c r="JKM1339" s="4" t="s">
        <v>2883</v>
      </c>
      <c r="JKN1339" s="4" t="s">
        <v>2883</v>
      </c>
      <c r="JKO1339" s="4" t="s">
        <v>2883</v>
      </c>
      <c r="JKP1339" s="4" t="s">
        <v>2883</v>
      </c>
      <c r="JKQ1339" s="4" t="s">
        <v>2883</v>
      </c>
      <c r="JKR1339" s="4" t="s">
        <v>2883</v>
      </c>
      <c r="JKS1339" s="4" t="s">
        <v>2883</v>
      </c>
      <c r="JKT1339" s="4" t="s">
        <v>2883</v>
      </c>
      <c r="JKU1339" s="4" t="s">
        <v>2883</v>
      </c>
      <c r="JKV1339" s="4" t="s">
        <v>2883</v>
      </c>
      <c r="JKW1339" s="4" t="s">
        <v>2883</v>
      </c>
      <c r="JKX1339" s="4" t="s">
        <v>2883</v>
      </c>
      <c r="JKY1339" s="4" t="s">
        <v>2883</v>
      </c>
      <c r="JKZ1339" s="4" t="s">
        <v>2883</v>
      </c>
      <c r="JLA1339" s="4" t="s">
        <v>2883</v>
      </c>
      <c r="JLB1339" s="4" t="s">
        <v>2883</v>
      </c>
      <c r="JLC1339" s="4" t="s">
        <v>2883</v>
      </c>
      <c r="JLD1339" s="4" t="s">
        <v>2883</v>
      </c>
      <c r="JLE1339" s="4" t="s">
        <v>2883</v>
      </c>
      <c r="JLF1339" s="4" t="s">
        <v>2883</v>
      </c>
      <c r="JLG1339" s="4" t="s">
        <v>2883</v>
      </c>
      <c r="JLH1339" s="4" t="s">
        <v>2883</v>
      </c>
      <c r="JLI1339" s="4" t="s">
        <v>2883</v>
      </c>
      <c r="JLJ1339" s="4" t="s">
        <v>2883</v>
      </c>
      <c r="JLK1339" s="4" t="s">
        <v>2883</v>
      </c>
      <c r="JLL1339" s="4" t="s">
        <v>2883</v>
      </c>
      <c r="JLM1339" s="4" t="s">
        <v>2883</v>
      </c>
      <c r="JLN1339" s="4" t="s">
        <v>2883</v>
      </c>
      <c r="JLO1339" s="4" t="s">
        <v>2883</v>
      </c>
      <c r="JLP1339" s="4" t="s">
        <v>2883</v>
      </c>
      <c r="JLQ1339" s="4" t="s">
        <v>2883</v>
      </c>
      <c r="JLR1339" s="4" t="s">
        <v>2883</v>
      </c>
      <c r="JLS1339" s="4" t="s">
        <v>2883</v>
      </c>
      <c r="JLT1339" s="4" t="s">
        <v>2883</v>
      </c>
      <c r="JLU1339" s="4" t="s">
        <v>2883</v>
      </c>
      <c r="JLV1339" s="4" t="s">
        <v>2883</v>
      </c>
      <c r="JLW1339" s="4" t="s">
        <v>2883</v>
      </c>
      <c r="JLX1339" s="4" t="s">
        <v>2883</v>
      </c>
      <c r="JLY1339" s="4" t="s">
        <v>2883</v>
      </c>
      <c r="JLZ1339" s="4" t="s">
        <v>2883</v>
      </c>
      <c r="JMA1339" s="4" t="s">
        <v>2883</v>
      </c>
      <c r="JMB1339" s="4" t="s">
        <v>2883</v>
      </c>
      <c r="JMC1339" s="4" t="s">
        <v>2883</v>
      </c>
      <c r="JMD1339" s="4" t="s">
        <v>2883</v>
      </c>
      <c r="JME1339" s="4" t="s">
        <v>2883</v>
      </c>
      <c r="JMF1339" s="4" t="s">
        <v>2883</v>
      </c>
      <c r="JMG1339" s="4" t="s">
        <v>2883</v>
      </c>
      <c r="JMH1339" s="4" t="s">
        <v>2883</v>
      </c>
      <c r="JMI1339" s="4" t="s">
        <v>2883</v>
      </c>
      <c r="JMJ1339" s="4" t="s">
        <v>2883</v>
      </c>
      <c r="JMK1339" s="4" t="s">
        <v>2883</v>
      </c>
      <c r="JML1339" s="4" t="s">
        <v>2883</v>
      </c>
      <c r="JMM1339" s="4" t="s">
        <v>2883</v>
      </c>
      <c r="JMN1339" s="4" t="s">
        <v>2883</v>
      </c>
      <c r="JMO1339" s="4" t="s">
        <v>2883</v>
      </c>
      <c r="JMP1339" s="4" t="s">
        <v>2883</v>
      </c>
      <c r="JMQ1339" s="4" t="s">
        <v>2883</v>
      </c>
      <c r="JMR1339" s="4" t="s">
        <v>2883</v>
      </c>
      <c r="JMS1339" s="4" t="s">
        <v>2883</v>
      </c>
      <c r="JMT1339" s="4" t="s">
        <v>2883</v>
      </c>
      <c r="JMU1339" s="4" t="s">
        <v>2883</v>
      </c>
      <c r="JMV1339" s="4" t="s">
        <v>2883</v>
      </c>
      <c r="JMW1339" s="4" t="s">
        <v>2883</v>
      </c>
      <c r="JMX1339" s="4" t="s">
        <v>2883</v>
      </c>
      <c r="JMY1339" s="4" t="s">
        <v>2883</v>
      </c>
      <c r="JMZ1339" s="4" t="s">
        <v>2883</v>
      </c>
      <c r="JNA1339" s="4" t="s">
        <v>2883</v>
      </c>
      <c r="JNB1339" s="4" t="s">
        <v>2883</v>
      </c>
      <c r="JNC1339" s="4" t="s">
        <v>2883</v>
      </c>
      <c r="JND1339" s="4" t="s">
        <v>2883</v>
      </c>
      <c r="JNE1339" s="4" t="s">
        <v>2883</v>
      </c>
      <c r="JNF1339" s="4" t="s">
        <v>2883</v>
      </c>
      <c r="JNG1339" s="4" t="s">
        <v>2883</v>
      </c>
      <c r="JNH1339" s="4" t="s">
        <v>2883</v>
      </c>
      <c r="JNI1339" s="4" t="s">
        <v>2883</v>
      </c>
      <c r="JNJ1339" s="4" t="s">
        <v>2883</v>
      </c>
      <c r="JNK1339" s="4" t="s">
        <v>2883</v>
      </c>
      <c r="JNL1339" s="4" t="s">
        <v>2883</v>
      </c>
      <c r="JNM1339" s="4" t="s">
        <v>2883</v>
      </c>
      <c r="JNN1339" s="4" t="s">
        <v>2883</v>
      </c>
      <c r="JNO1339" s="4" t="s">
        <v>2883</v>
      </c>
      <c r="JNP1339" s="4" t="s">
        <v>2883</v>
      </c>
      <c r="JNQ1339" s="4" t="s">
        <v>2883</v>
      </c>
      <c r="JNR1339" s="4" t="s">
        <v>2883</v>
      </c>
      <c r="JNS1339" s="4" t="s">
        <v>2883</v>
      </c>
      <c r="JNT1339" s="4" t="s">
        <v>2883</v>
      </c>
      <c r="JNU1339" s="4" t="s">
        <v>2883</v>
      </c>
      <c r="JNV1339" s="4" t="s">
        <v>2883</v>
      </c>
      <c r="JNW1339" s="4" t="s">
        <v>2883</v>
      </c>
      <c r="JNX1339" s="4" t="s">
        <v>2883</v>
      </c>
      <c r="JNY1339" s="4" t="s">
        <v>2883</v>
      </c>
      <c r="JNZ1339" s="4" t="s">
        <v>2883</v>
      </c>
      <c r="JOA1339" s="4" t="s">
        <v>2883</v>
      </c>
      <c r="JOB1339" s="4" t="s">
        <v>2883</v>
      </c>
      <c r="JOC1339" s="4" t="s">
        <v>2883</v>
      </c>
      <c r="JOD1339" s="4" t="s">
        <v>2883</v>
      </c>
      <c r="JOE1339" s="4" t="s">
        <v>2883</v>
      </c>
      <c r="JOF1339" s="4" t="s">
        <v>2883</v>
      </c>
      <c r="JOG1339" s="4" t="s">
        <v>2883</v>
      </c>
      <c r="JOH1339" s="4" t="s">
        <v>2883</v>
      </c>
      <c r="JOI1339" s="4" t="s">
        <v>2883</v>
      </c>
      <c r="JOJ1339" s="4" t="s">
        <v>2883</v>
      </c>
      <c r="JOK1339" s="4" t="s">
        <v>2883</v>
      </c>
      <c r="JOL1339" s="4" t="s">
        <v>2883</v>
      </c>
      <c r="JOM1339" s="4" t="s">
        <v>2883</v>
      </c>
      <c r="JON1339" s="4" t="s">
        <v>2883</v>
      </c>
      <c r="JOO1339" s="4" t="s">
        <v>2883</v>
      </c>
      <c r="JOP1339" s="4" t="s">
        <v>2883</v>
      </c>
      <c r="JOQ1339" s="4" t="s">
        <v>2883</v>
      </c>
      <c r="JOR1339" s="4" t="s">
        <v>2883</v>
      </c>
      <c r="JOS1339" s="4" t="s">
        <v>2883</v>
      </c>
      <c r="JOT1339" s="4" t="s">
        <v>2883</v>
      </c>
      <c r="JOU1339" s="4" t="s">
        <v>2883</v>
      </c>
      <c r="JOV1339" s="4" t="s">
        <v>2883</v>
      </c>
      <c r="JOW1339" s="4" t="s">
        <v>2883</v>
      </c>
      <c r="JOX1339" s="4" t="s">
        <v>2883</v>
      </c>
      <c r="JOY1339" s="4" t="s">
        <v>2883</v>
      </c>
      <c r="JOZ1339" s="4" t="s">
        <v>2883</v>
      </c>
      <c r="JPA1339" s="4" t="s">
        <v>2883</v>
      </c>
      <c r="JPB1339" s="4" t="s">
        <v>2883</v>
      </c>
      <c r="JPC1339" s="4" t="s">
        <v>2883</v>
      </c>
      <c r="JPD1339" s="4" t="s">
        <v>2883</v>
      </c>
      <c r="JPE1339" s="4" t="s">
        <v>2883</v>
      </c>
      <c r="JPF1339" s="4" t="s">
        <v>2883</v>
      </c>
      <c r="JPG1339" s="4" t="s">
        <v>2883</v>
      </c>
      <c r="JPH1339" s="4" t="s">
        <v>2883</v>
      </c>
      <c r="JPI1339" s="4" t="s">
        <v>2883</v>
      </c>
      <c r="JPJ1339" s="4" t="s">
        <v>2883</v>
      </c>
      <c r="JPK1339" s="4" t="s">
        <v>2883</v>
      </c>
      <c r="JPL1339" s="4" t="s">
        <v>2883</v>
      </c>
      <c r="JPM1339" s="4" t="s">
        <v>2883</v>
      </c>
      <c r="JPN1339" s="4" t="s">
        <v>2883</v>
      </c>
      <c r="JPO1339" s="4" t="s">
        <v>2883</v>
      </c>
      <c r="JPP1339" s="4" t="s">
        <v>2883</v>
      </c>
      <c r="JPQ1339" s="4" t="s">
        <v>2883</v>
      </c>
      <c r="JPR1339" s="4" t="s">
        <v>2883</v>
      </c>
      <c r="JPS1339" s="4" t="s">
        <v>2883</v>
      </c>
      <c r="JPT1339" s="4" t="s">
        <v>2883</v>
      </c>
      <c r="JPU1339" s="4" t="s">
        <v>2883</v>
      </c>
      <c r="JPV1339" s="4" t="s">
        <v>2883</v>
      </c>
      <c r="JPW1339" s="4" t="s">
        <v>2883</v>
      </c>
      <c r="JPX1339" s="4" t="s">
        <v>2883</v>
      </c>
      <c r="JPY1339" s="4" t="s">
        <v>2883</v>
      </c>
      <c r="JPZ1339" s="4" t="s">
        <v>2883</v>
      </c>
      <c r="JQA1339" s="4" t="s">
        <v>2883</v>
      </c>
      <c r="JQB1339" s="4" t="s">
        <v>2883</v>
      </c>
      <c r="JQC1339" s="4" t="s">
        <v>2883</v>
      </c>
      <c r="JQD1339" s="4" t="s">
        <v>2883</v>
      </c>
      <c r="JQE1339" s="4" t="s">
        <v>2883</v>
      </c>
      <c r="JQF1339" s="4" t="s">
        <v>2883</v>
      </c>
      <c r="JQG1339" s="4" t="s">
        <v>2883</v>
      </c>
      <c r="JQH1339" s="4" t="s">
        <v>2883</v>
      </c>
      <c r="JQI1339" s="4" t="s">
        <v>2883</v>
      </c>
      <c r="JQJ1339" s="4" t="s">
        <v>2883</v>
      </c>
      <c r="JQK1339" s="4" t="s">
        <v>2883</v>
      </c>
      <c r="JQL1339" s="4" t="s">
        <v>2883</v>
      </c>
      <c r="JQM1339" s="4" t="s">
        <v>2883</v>
      </c>
      <c r="JQN1339" s="4" t="s">
        <v>2883</v>
      </c>
      <c r="JQO1339" s="4" t="s">
        <v>2883</v>
      </c>
      <c r="JQP1339" s="4" t="s">
        <v>2883</v>
      </c>
      <c r="JQQ1339" s="4" t="s">
        <v>2883</v>
      </c>
      <c r="JQR1339" s="4" t="s">
        <v>2883</v>
      </c>
      <c r="JQS1339" s="4" t="s">
        <v>2883</v>
      </c>
      <c r="JQT1339" s="4" t="s">
        <v>2883</v>
      </c>
      <c r="JQU1339" s="4" t="s">
        <v>2883</v>
      </c>
      <c r="JQV1339" s="4" t="s">
        <v>2883</v>
      </c>
      <c r="JQW1339" s="4" t="s">
        <v>2883</v>
      </c>
      <c r="JQX1339" s="4" t="s">
        <v>2883</v>
      </c>
      <c r="JQY1339" s="4" t="s">
        <v>2883</v>
      </c>
      <c r="JQZ1339" s="4" t="s">
        <v>2883</v>
      </c>
      <c r="JRA1339" s="4" t="s">
        <v>2883</v>
      </c>
      <c r="JRB1339" s="4" t="s">
        <v>2883</v>
      </c>
      <c r="JRC1339" s="4" t="s">
        <v>2883</v>
      </c>
      <c r="JRD1339" s="4" t="s">
        <v>2883</v>
      </c>
      <c r="JRE1339" s="4" t="s">
        <v>2883</v>
      </c>
      <c r="JRF1339" s="4" t="s">
        <v>2883</v>
      </c>
      <c r="JRG1339" s="4" t="s">
        <v>2883</v>
      </c>
      <c r="JRH1339" s="4" t="s">
        <v>2883</v>
      </c>
      <c r="JRI1339" s="4" t="s">
        <v>2883</v>
      </c>
      <c r="JRJ1339" s="4" t="s">
        <v>2883</v>
      </c>
      <c r="JRK1339" s="4" t="s">
        <v>2883</v>
      </c>
      <c r="JRL1339" s="4" t="s">
        <v>2883</v>
      </c>
      <c r="JRM1339" s="4" t="s">
        <v>2883</v>
      </c>
      <c r="JRN1339" s="4" t="s">
        <v>2883</v>
      </c>
      <c r="JRO1339" s="4" t="s">
        <v>2883</v>
      </c>
      <c r="JRP1339" s="4" t="s">
        <v>2883</v>
      </c>
      <c r="JRQ1339" s="4" t="s">
        <v>2883</v>
      </c>
      <c r="JRR1339" s="4" t="s">
        <v>2883</v>
      </c>
      <c r="JRS1339" s="4" t="s">
        <v>2883</v>
      </c>
      <c r="JRT1339" s="4" t="s">
        <v>2883</v>
      </c>
      <c r="JRU1339" s="4" t="s">
        <v>2883</v>
      </c>
      <c r="JRV1339" s="4" t="s">
        <v>2883</v>
      </c>
      <c r="JRW1339" s="4" t="s">
        <v>2883</v>
      </c>
      <c r="JRX1339" s="4" t="s">
        <v>2883</v>
      </c>
      <c r="JRY1339" s="4" t="s">
        <v>2883</v>
      </c>
      <c r="JRZ1339" s="4" t="s">
        <v>2883</v>
      </c>
      <c r="JSA1339" s="4" t="s">
        <v>2883</v>
      </c>
      <c r="JSB1339" s="4" t="s">
        <v>2883</v>
      </c>
      <c r="JSC1339" s="4" t="s">
        <v>2883</v>
      </c>
      <c r="JSD1339" s="4" t="s">
        <v>2883</v>
      </c>
      <c r="JSE1339" s="4" t="s">
        <v>2883</v>
      </c>
      <c r="JSF1339" s="4" t="s">
        <v>2883</v>
      </c>
      <c r="JSG1339" s="4" t="s">
        <v>2883</v>
      </c>
      <c r="JSH1339" s="4" t="s">
        <v>2883</v>
      </c>
      <c r="JSI1339" s="4" t="s">
        <v>2883</v>
      </c>
      <c r="JSJ1339" s="4" t="s">
        <v>2883</v>
      </c>
      <c r="JSK1339" s="4" t="s">
        <v>2883</v>
      </c>
      <c r="JSL1339" s="4" t="s">
        <v>2883</v>
      </c>
      <c r="JSM1339" s="4" t="s">
        <v>2883</v>
      </c>
      <c r="JSN1339" s="4" t="s">
        <v>2883</v>
      </c>
      <c r="JSO1339" s="4" t="s">
        <v>2883</v>
      </c>
      <c r="JSP1339" s="4" t="s">
        <v>2883</v>
      </c>
      <c r="JSQ1339" s="4" t="s">
        <v>2883</v>
      </c>
      <c r="JSR1339" s="4" t="s">
        <v>2883</v>
      </c>
      <c r="JSS1339" s="4" t="s">
        <v>2883</v>
      </c>
      <c r="JST1339" s="4" t="s">
        <v>2883</v>
      </c>
      <c r="JSU1339" s="4" t="s">
        <v>2883</v>
      </c>
      <c r="JSV1339" s="4" t="s">
        <v>2883</v>
      </c>
      <c r="JSW1339" s="4" t="s">
        <v>2883</v>
      </c>
      <c r="JSX1339" s="4" t="s">
        <v>2883</v>
      </c>
      <c r="JSY1339" s="4" t="s">
        <v>2883</v>
      </c>
      <c r="JSZ1339" s="4" t="s">
        <v>2883</v>
      </c>
      <c r="JTA1339" s="4" t="s">
        <v>2883</v>
      </c>
      <c r="JTB1339" s="4" t="s">
        <v>2883</v>
      </c>
      <c r="JTC1339" s="4" t="s">
        <v>2883</v>
      </c>
      <c r="JTD1339" s="4" t="s">
        <v>2883</v>
      </c>
      <c r="JTE1339" s="4" t="s">
        <v>2883</v>
      </c>
      <c r="JTF1339" s="4" t="s">
        <v>2883</v>
      </c>
      <c r="JTG1339" s="4" t="s">
        <v>2883</v>
      </c>
      <c r="JTH1339" s="4" t="s">
        <v>2883</v>
      </c>
      <c r="JTI1339" s="4" t="s">
        <v>2883</v>
      </c>
      <c r="JTJ1339" s="4" t="s">
        <v>2883</v>
      </c>
      <c r="JTK1339" s="4" t="s">
        <v>2883</v>
      </c>
      <c r="JTL1339" s="4" t="s">
        <v>2883</v>
      </c>
      <c r="JTM1339" s="4" t="s">
        <v>2883</v>
      </c>
      <c r="JTN1339" s="4" t="s">
        <v>2883</v>
      </c>
      <c r="JTO1339" s="4" t="s">
        <v>2883</v>
      </c>
      <c r="JTP1339" s="4" t="s">
        <v>2883</v>
      </c>
      <c r="JTQ1339" s="4" t="s">
        <v>2883</v>
      </c>
      <c r="JTR1339" s="4" t="s">
        <v>2883</v>
      </c>
      <c r="JTS1339" s="4" t="s">
        <v>2883</v>
      </c>
      <c r="JTT1339" s="4" t="s">
        <v>2883</v>
      </c>
      <c r="JTU1339" s="4" t="s">
        <v>2883</v>
      </c>
      <c r="JTV1339" s="4" t="s">
        <v>2883</v>
      </c>
      <c r="JTW1339" s="4" t="s">
        <v>2883</v>
      </c>
      <c r="JTX1339" s="4" t="s">
        <v>2883</v>
      </c>
      <c r="JTY1339" s="4" t="s">
        <v>2883</v>
      </c>
      <c r="JTZ1339" s="4" t="s">
        <v>2883</v>
      </c>
      <c r="JUA1339" s="4" t="s">
        <v>2883</v>
      </c>
      <c r="JUB1339" s="4" t="s">
        <v>2883</v>
      </c>
      <c r="JUC1339" s="4" t="s">
        <v>2883</v>
      </c>
      <c r="JUD1339" s="4" t="s">
        <v>2883</v>
      </c>
      <c r="JUE1339" s="4" t="s">
        <v>2883</v>
      </c>
      <c r="JUF1339" s="4" t="s">
        <v>2883</v>
      </c>
      <c r="JUG1339" s="4" t="s">
        <v>2883</v>
      </c>
      <c r="JUH1339" s="4" t="s">
        <v>2883</v>
      </c>
      <c r="JUI1339" s="4" t="s">
        <v>2883</v>
      </c>
      <c r="JUJ1339" s="4" t="s">
        <v>2883</v>
      </c>
      <c r="JUK1339" s="4" t="s">
        <v>2883</v>
      </c>
      <c r="JUL1339" s="4" t="s">
        <v>2883</v>
      </c>
      <c r="JUM1339" s="4" t="s">
        <v>2883</v>
      </c>
      <c r="JUN1339" s="4" t="s">
        <v>2883</v>
      </c>
      <c r="JUO1339" s="4" t="s">
        <v>2883</v>
      </c>
      <c r="JUP1339" s="4" t="s">
        <v>2883</v>
      </c>
      <c r="JUQ1339" s="4" t="s">
        <v>2883</v>
      </c>
      <c r="JUR1339" s="4" t="s">
        <v>2883</v>
      </c>
      <c r="JUS1339" s="4" t="s">
        <v>2883</v>
      </c>
      <c r="JUT1339" s="4" t="s">
        <v>2883</v>
      </c>
      <c r="JUU1339" s="4" t="s">
        <v>2883</v>
      </c>
      <c r="JUV1339" s="4" t="s">
        <v>2883</v>
      </c>
      <c r="JUW1339" s="4" t="s">
        <v>2883</v>
      </c>
      <c r="JUX1339" s="4" t="s">
        <v>2883</v>
      </c>
      <c r="JUY1339" s="4" t="s">
        <v>2883</v>
      </c>
      <c r="JUZ1339" s="4" t="s">
        <v>2883</v>
      </c>
      <c r="JVA1339" s="4" t="s">
        <v>2883</v>
      </c>
      <c r="JVB1339" s="4" t="s">
        <v>2883</v>
      </c>
      <c r="JVC1339" s="4" t="s">
        <v>2883</v>
      </c>
      <c r="JVD1339" s="4" t="s">
        <v>2883</v>
      </c>
      <c r="JVE1339" s="4" t="s">
        <v>2883</v>
      </c>
      <c r="JVF1339" s="4" t="s">
        <v>2883</v>
      </c>
      <c r="JVG1339" s="4" t="s">
        <v>2883</v>
      </c>
      <c r="JVH1339" s="4" t="s">
        <v>2883</v>
      </c>
      <c r="JVI1339" s="4" t="s">
        <v>2883</v>
      </c>
      <c r="JVJ1339" s="4" t="s">
        <v>2883</v>
      </c>
      <c r="JVK1339" s="4" t="s">
        <v>2883</v>
      </c>
      <c r="JVL1339" s="4" t="s">
        <v>2883</v>
      </c>
      <c r="JVM1339" s="4" t="s">
        <v>2883</v>
      </c>
      <c r="JVN1339" s="4" t="s">
        <v>2883</v>
      </c>
      <c r="JVO1339" s="4" t="s">
        <v>2883</v>
      </c>
      <c r="JVP1339" s="4" t="s">
        <v>2883</v>
      </c>
      <c r="JVQ1339" s="4" t="s">
        <v>2883</v>
      </c>
      <c r="JVR1339" s="4" t="s">
        <v>2883</v>
      </c>
      <c r="JVS1339" s="4" t="s">
        <v>2883</v>
      </c>
      <c r="JVT1339" s="4" t="s">
        <v>2883</v>
      </c>
      <c r="JVU1339" s="4" t="s">
        <v>2883</v>
      </c>
      <c r="JVV1339" s="4" t="s">
        <v>2883</v>
      </c>
      <c r="JVW1339" s="4" t="s">
        <v>2883</v>
      </c>
      <c r="JVX1339" s="4" t="s">
        <v>2883</v>
      </c>
      <c r="JVY1339" s="4" t="s">
        <v>2883</v>
      </c>
      <c r="JVZ1339" s="4" t="s">
        <v>2883</v>
      </c>
      <c r="JWA1339" s="4" t="s">
        <v>2883</v>
      </c>
      <c r="JWB1339" s="4" t="s">
        <v>2883</v>
      </c>
      <c r="JWC1339" s="4" t="s">
        <v>2883</v>
      </c>
      <c r="JWD1339" s="4" t="s">
        <v>2883</v>
      </c>
      <c r="JWE1339" s="4" t="s">
        <v>2883</v>
      </c>
      <c r="JWF1339" s="4" t="s">
        <v>2883</v>
      </c>
      <c r="JWG1339" s="4" t="s">
        <v>2883</v>
      </c>
      <c r="JWH1339" s="4" t="s">
        <v>2883</v>
      </c>
      <c r="JWI1339" s="4" t="s">
        <v>2883</v>
      </c>
      <c r="JWJ1339" s="4" t="s">
        <v>2883</v>
      </c>
      <c r="JWK1339" s="4" t="s">
        <v>2883</v>
      </c>
      <c r="JWL1339" s="4" t="s">
        <v>2883</v>
      </c>
      <c r="JWM1339" s="4" t="s">
        <v>2883</v>
      </c>
      <c r="JWN1339" s="4" t="s">
        <v>2883</v>
      </c>
      <c r="JWO1339" s="4" t="s">
        <v>2883</v>
      </c>
      <c r="JWP1339" s="4" t="s">
        <v>2883</v>
      </c>
      <c r="JWQ1339" s="4" t="s">
        <v>2883</v>
      </c>
      <c r="JWR1339" s="4" t="s">
        <v>2883</v>
      </c>
      <c r="JWS1339" s="4" t="s">
        <v>2883</v>
      </c>
      <c r="JWT1339" s="4" t="s">
        <v>2883</v>
      </c>
      <c r="JWU1339" s="4" t="s">
        <v>2883</v>
      </c>
      <c r="JWV1339" s="4" t="s">
        <v>2883</v>
      </c>
      <c r="JWW1339" s="4" t="s">
        <v>2883</v>
      </c>
      <c r="JWX1339" s="4" t="s">
        <v>2883</v>
      </c>
      <c r="JWY1339" s="4" t="s">
        <v>2883</v>
      </c>
      <c r="JWZ1339" s="4" t="s">
        <v>2883</v>
      </c>
      <c r="JXA1339" s="4" t="s">
        <v>2883</v>
      </c>
      <c r="JXB1339" s="4" t="s">
        <v>2883</v>
      </c>
      <c r="JXC1339" s="4" t="s">
        <v>2883</v>
      </c>
      <c r="JXD1339" s="4" t="s">
        <v>2883</v>
      </c>
      <c r="JXE1339" s="4" t="s">
        <v>2883</v>
      </c>
      <c r="JXF1339" s="4" t="s">
        <v>2883</v>
      </c>
      <c r="JXG1339" s="4" t="s">
        <v>2883</v>
      </c>
      <c r="JXH1339" s="4" t="s">
        <v>2883</v>
      </c>
      <c r="JXI1339" s="4" t="s">
        <v>2883</v>
      </c>
      <c r="JXJ1339" s="4" t="s">
        <v>2883</v>
      </c>
      <c r="JXK1339" s="4" t="s">
        <v>2883</v>
      </c>
      <c r="JXL1339" s="4" t="s">
        <v>2883</v>
      </c>
      <c r="JXM1339" s="4" t="s">
        <v>2883</v>
      </c>
      <c r="JXN1339" s="4" t="s">
        <v>2883</v>
      </c>
      <c r="JXO1339" s="4" t="s">
        <v>2883</v>
      </c>
      <c r="JXP1339" s="4" t="s">
        <v>2883</v>
      </c>
      <c r="JXQ1339" s="4" t="s">
        <v>2883</v>
      </c>
      <c r="JXR1339" s="4" t="s">
        <v>2883</v>
      </c>
      <c r="JXS1339" s="4" t="s">
        <v>2883</v>
      </c>
      <c r="JXT1339" s="4" t="s">
        <v>2883</v>
      </c>
      <c r="JXU1339" s="4" t="s">
        <v>2883</v>
      </c>
      <c r="JXV1339" s="4" t="s">
        <v>2883</v>
      </c>
      <c r="JXW1339" s="4" t="s">
        <v>2883</v>
      </c>
      <c r="JXX1339" s="4" t="s">
        <v>2883</v>
      </c>
      <c r="JXY1339" s="4" t="s">
        <v>2883</v>
      </c>
      <c r="JXZ1339" s="4" t="s">
        <v>2883</v>
      </c>
      <c r="JYA1339" s="4" t="s">
        <v>2883</v>
      </c>
      <c r="JYB1339" s="4" t="s">
        <v>2883</v>
      </c>
      <c r="JYC1339" s="4" t="s">
        <v>2883</v>
      </c>
      <c r="JYD1339" s="4" t="s">
        <v>2883</v>
      </c>
      <c r="JYE1339" s="4" t="s">
        <v>2883</v>
      </c>
      <c r="JYF1339" s="4" t="s">
        <v>2883</v>
      </c>
      <c r="JYG1339" s="4" t="s">
        <v>2883</v>
      </c>
      <c r="JYH1339" s="4" t="s">
        <v>2883</v>
      </c>
      <c r="JYI1339" s="4" t="s">
        <v>2883</v>
      </c>
      <c r="JYJ1339" s="4" t="s">
        <v>2883</v>
      </c>
      <c r="JYK1339" s="4" t="s">
        <v>2883</v>
      </c>
      <c r="JYL1339" s="4" t="s">
        <v>2883</v>
      </c>
      <c r="JYM1339" s="4" t="s">
        <v>2883</v>
      </c>
      <c r="JYN1339" s="4" t="s">
        <v>2883</v>
      </c>
      <c r="JYO1339" s="4" t="s">
        <v>2883</v>
      </c>
      <c r="JYP1339" s="4" t="s">
        <v>2883</v>
      </c>
      <c r="JYQ1339" s="4" t="s">
        <v>2883</v>
      </c>
      <c r="JYR1339" s="4" t="s">
        <v>2883</v>
      </c>
      <c r="JYS1339" s="4" t="s">
        <v>2883</v>
      </c>
      <c r="JYT1339" s="4" t="s">
        <v>2883</v>
      </c>
      <c r="JYU1339" s="4" t="s">
        <v>2883</v>
      </c>
      <c r="JYV1339" s="4" t="s">
        <v>2883</v>
      </c>
      <c r="JYW1339" s="4" t="s">
        <v>2883</v>
      </c>
      <c r="JYX1339" s="4" t="s">
        <v>2883</v>
      </c>
      <c r="JYY1339" s="4" t="s">
        <v>2883</v>
      </c>
      <c r="JYZ1339" s="4" t="s">
        <v>2883</v>
      </c>
      <c r="JZA1339" s="4" t="s">
        <v>2883</v>
      </c>
      <c r="JZB1339" s="4" t="s">
        <v>2883</v>
      </c>
      <c r="JZC1339" s="4" t="s">
        <v>2883</v>
      </c>
      <c r="JZD1339" s="4" t="s">
        <v>2883</v>
      </c>
      <c r="JZE1339" s="4" t="s">
        <v>2883</v>
      </c>
      <c r="JZF1339" s="4" t="s">
        <v>2883</v>
      </c>
      <c r="JZG1339" s="4" t="s">
        <v>2883</v>
      </c>
      <c r="JZH1339" s="4" t="s">
        <v>2883</v>
      </c>
      <c r="JZI1339" s="4" t="s">
        <v>2883</v>
      </c>
      <c r="JZJ1339" s="4" t="s">
        <v>2883</v>
      </c>
      <c r="JZK1339" s="4" t="s">
        <v>2883</v>
      </c>
      <c r="JZL1339" s="4" t="s">
        <v>2883</v>
      </c>
      <c r="JZM1339" s="4" t="s">
        <v>2883</v>
      </c>
      <c r="JZN1339" s="4" t="s">
        <v>2883</v>
      </c>
      <c r="JZO1339" s="4" t="s">
        <v>2883</v>
      </c>
      <c r="JZP1339" s="4" t="s">
        <v>2883</v>
      </c>
      <c r="JZQ1339" s="4" t="s">
        <v>2883</v>
      </c>
      <c r="JZR1339" s="4" t="s">
        <v>2883</v>
      </c>
      <c r="JZS1339" s="4" t="s">
        <v>2883</v>
      </c>
      <c r="JZT1339" s="4" t="s">
        <v>2883</v>
      </c>
      <c r="JZU1339" s="4" t="s">
        <v>2883</v>
      </c>
      <c r="JZV1339" s="4" t="s">
        <v>2883</v>
      </c>
      <c r="JZW1339" s="4" t="s">
        <v>2883</v>
      </c>
      <c r="JZX1339" s="4" t="s">
        <v>2883</v>
      </c>
      <c r="JZY1339" s="4" t="s">
        <v>2883</v>
      </c>
      <c r="JZZ1339" s="4" t="s">
        <v>2883</v>
      </c>
      <c r="KAA1339" s="4" t="s">
        <v>2883</v>
      </c>
      <c r="KAB1339" s="4" t="s">
        <v>2883</v>
      </c>
      <c r="KAC1339" s="4" t="s">
        <v>2883</v>
      </c>
      <c r="KAD1339" s="4" t="s">
        <v>2883</v>
      </c>
      <c r="KAE1339" s="4" t="s">
        <v>2883</v>
      </c>
      <c r="KAF1339" s="4" t="s">
        <v>2883</v>
      </c>
      <c r="KAG1339" s="4" t="s">
        <v>2883</v>
      </c>
      <c r="KAH1339" s="4" t="s">
        <v>2883</v>
      </c>
      <c r="KAI1339" s="4" t="s">
        <v>2883</v>
      </c>
      <c r="KAJ1339" s="4" t="s">
        <v>2883</v>
      </c>
      <c r="KAK1339" s="4" t="s">
        <v>2883</v>
      </c>
      <c r="KAL1339" s="4" t="s">
        <v>2883</v>
      </c>
      <c r="KAM1339" s="4" t="s">
        <v>2883</v>
      </c>
      <c r="KAN1339" s="4" t="s">
        <v>2883</v>
      </c>
      <c r="KAO1339" s="4" t="s">
        <v>2883</v>
      </c>
      <c r="KAP1339" s="4" t="s">
        <v>2883</v>
      </c>
      <c r="KAQ1339" s="4" t="s">
        <v>2883</v>
      </c>
      <c r="KAR1339" s="4" t="s">
        <v>2883</v>
      </c>
      <c r="KAS1339" s="4" t="s">
        <v>2883</v>
      </c>
      <c r="KAT1339" s="4" t="s">
        <v>2883</v>
      </c>
      <c r="KAU1339" s="4" t="s">
        <v>2883</v>
      </c>
      <c r="KAV1339" s="4" t="s">
        <v>2883</v>
      </c>
      <c r="KAW1339" s="4" t="s">
        <v>2883</v>
      </c>
      <c r="KAX1339" s="4" t="s">
        <v>2883</v>
      </c>
      <c r="KAY1339" s="4" t="s">
        <v>2883</v>
      </c>
      <c r="KAZ1339" s="4" t="s">
        <v>2883</v>
      </c>
      <c r="KBA1339" s="4" t="s">
        <v>2883</v>
      </c>
      <c r="KBB1339" s="4" t="s">
        <v>2883</v>
      </c>
      <c r="KBC1339" s="4" t="s">
        <v>2883</v>
      </c>
      <c r="KBD1339" s="4" t="s">
        <v>2883</v>
      </c>
      <c r="KBE1339" s="4" t="s">
        <v>2883</v>
      </c>
      <c r="KBF1339" s="4" t="s">
        <v>2883</v>
      </c>
      <c r="KBG1339" s="4" t="s">
        <v>2883</v>
      </c>
      <c r="KBH1339" s="4" t="s">
        <v>2883</v>
      </c>
      <c r="KBI1339" s="4" t="s">
        <v>2883</v>
      </c>
      <c r="KBJ1339" s="4" t="s">
        <v>2883</v>
      </c>
      <c r="KBK1339" s="4" t="s">
        <v>2883</v>
      </c>
      <c r="KBL1339" s="4" t="s">
        <v>2883</v>
      </c>
      <c r="KBM1339" s="4" t="s">
        <v>2883</v>
      </c>
      <c r="KBN1339" s="4" t="s">
        <v>2883</v>
      </c>
      <c r="KBO1339" s="4" t="s">
        <v>2883</v>
      </c>
      <c r="KBP1339" s="4" t="s">
        <v>2883</v>
      </c>
      <c r="KBQ1339" s="4" t="s">
        <v>2883</v>
      </c>
      <c r="KBR1339" s="4" t="s">
        <v>2883</v>
      </c>
      <c r="KBS1339" s="4" t="s">
        <v>2883</v>
      </c>
      <c r="KBT1339" s="4" t="s">
        <v>2883</v>
      </c>
      <c r="KBU1339" s="4" t="s">
        <v>2883</v>
      </c>
      <c r="KBV1339" s="4" t="s">
        <v>2883</v>
      </c>
      <c r="KBW1339" s="4" t="s">
        <v>2883</v>
      </c>
      <c r="KBX1339" s="4" t="s">
        <v>2883</v>
      </c>
      <c r="KBY1339" s="4" t="s">
        <v>2883</v>
      </c>
      <c r="KBZ1339" s="4" t="s">
        <v>2883</v>
      </c>
      <c r="KCA1339" s="4" t="s">
        <v>2883</v>
      </c>
      <c r="KCB1339" s="4" t="s">
        <v>2883</v>
      </c>
      <c r="KCC1339" s="4" t="s">
        <v>2883</v>
      </c>
      <c r="KCD1339" s="4" t="s">
        <v>2883</v>
      </c>
      <c r="KCE1339" s="4" t="s">
        <v>2883</v>
      </c>
      <c r="KCF1339" s="4" t="s">
        <v>2883</v>
      </c>
      <c r="KCG1339" s="4" t="s">
        <v>2883</v>
      </c>
      <c r="KCH1339" s="4" t="s">
        <v>2883</v>
      </c>
      <c r="KCI1339" s="4" t="s">
        <v>2883</v>
      </c>
      <c r="KCJ1339" s="4" t="s">
        <v>2883</v>
      </c>
      <c r="KCK1339" s="4" t="s">
        <v>2883</v>
      </c>
      <c r="KCL1339" s="4" t="s">
        <v>2883</v>
      </c>
      <c r="KCM1339" s="4" t="s">
        <v>2883</v>
      </c>
      <c r="KCN1339" s="4" t="s">
        <v>2883</v>
      </c>
      <c r="KCO1339" s="4" t="s">
        <v>2883</v>
      </c>
      <c r="KCP1339" s="4" t="s">
        <v>2883</v>
      </c>
      <c r="KCQ1339" s="4" t="s">
        <v>2883</v>
      </c>
      <c r="KCR1339" s="4" t="s">
        <v>2883</v>
      </c>
      <c r="KCS1339" s="4" t="s">
        <v>2883</v>
      </c>
      <c r="KCT1339" s="4" t="s">
        <v>2883</v>
      </c>
      <c r="KCU1339" s="4" t="s">
        <v>2883</v>
      </c>
      <c r="KCV1339" s="4" t="s">
        <v>2883</v>
      </c>
      <c r="KCW1339" s="4" t="s">
        <v>2883</v>
      </c>
      <c r="KCX1339" s="4" t="s">
        <v>2883</v>
      </c>
      <c r="KCY1339" s="4" t="s">
        <v>2883</v>
      </c>
      <c r="KCZ1339" s="4" t="s">
        <v>2883</v>
      </c>
      <c r="KDA1339" s="4" t="s">
        <v>2883</v>
      </c>
      <c r="KDB1339" s="4" t="s">
        <v>2883</v>
      </c>
      <c r="KDC1339" s="4" t="s">
        <v>2883</v>
      </c>
      <c r="KDD1339" s="4" t="s">
        <v>2883</v>
      </c>
      <c r="KDE1339" s="4" t="s">
        <v>2883</v>
      </c>
      <c r="KDF1339" s="4" t="s">
        <v>2883</v>
      </c>
      <c r="KDG1339" s="4" t="s">
        <v>2883</v>
      </c>
      <c r="KDH1339" s="4" t="s">
        <v>2883</v>
      </c>
      <c r="KDI1339" s="4" t="s">
        <v>2883</v>
      </c>
      <c r="KDJ1339" s="4" t="s">
        <v>2883</v>
      </c>
      <c r="KDK1339" s="4" t="s">
        <v>2883</v>
      </c>
      <c r="KDL1339" s="4" t="s">
        <v>2883</v>
      </c>
      <c r="KDM1339" s="4" t="s">
        <v>2883</v>
      </c>
      <c r="KDN1339" s="4" t="s">
        <v>2883</v>
      </c>
      <c r="KDO1339" s="4" t="s">
        <v>2883</v>
      </c>
      <c r="KDP1339" s="4" t="s">
        <v>2883</v>
      </c>
      <c r="KDQ1339" s="4" t="s">
        <v>2883</v>
      </c>
      <c r="KDR1339" s="4" t="s">
        <v>2883</v>
      </c>
      <c r="KDS1339" s="4" t="s">
        <v>2883</v>
      </c>
      <c r="KDT1339" s="4" t="s">
        <v>2883</v>
      </c>
      <c r="KDU1339" s="4" t="s">
        <v>2883</v>
      </c>
      <c r="KDV1339" s="4" t="s">
        <v>2883</v>
      </c>
      <c r="KDW1339" s="4" t="s">
        <v>2883</v>
      </c>
      <c r="KDX1339" s="4" t="s">
        <v>2883</v>
      </c>
      <c r="KDY1339" s="4" t="s">
        <v>2883</v>
      </c>
      <c r="KDZ1339" s="4" t="s">
        <v>2883</v>
      </c>
      <c r="KEA1339" s="4" t="s">
        <v>2883</v>
      </c>
      <c r="KEB1339" s="4" t="s">
        <v>2883</v>
      </c>
      <c r="KEC1339" s="4" t="s">
        <v>2883</v>
      </c>
      <c r="KED1339" s="4" t="s">
        <v>2883</v>
      </c>
      <c r="KEE1339" s="4" t="s">
        <v>2883</v>
      </c>
      <c r="KEF1339" s="4" t="s">
        <v>2883</v>
      </c>
      <c r="KEG1339" s="4" t="s">
        <v>2883</v>
      </c>
      <c r="KEH1339" s="4" t="s">
        <v>2883</v>
      </c>
      <c r="KEI1339" s="4" t="s">
        <v>2883</v>
      </c>
      <c r="KEJ1339" s="4" t="s">
        <v>2883</v>
      </c>
      <c r="KEK1339" s="4" t="s">
        <v>2883</v>
      </c>
      <c r="KEL1339" s="4" t="s">
        <v>2883</v>
      </c>
      <c r="KEM1339" s="4" t="s">
        <v>2883</v>
      </c>
      <c r="KEN1339" s="4" t="s">
        <v>2883</v>
      </c>
      <c r="KEO1339" s="4" t="s">
        <v>2883</v>
      </c>
      <c r="KEP1339" s="4" t="s">
        <v>2883</v>
      </c>
      <c r="KEQ1339" s="4" t="s">
        <v>2883</v>
      </c>
      <c r="KER1339" s="4" t="s">
        <v>2883</v>
      </c>
      <c r="KES1339" s="4" t="s">
        <v>2883</v>
      </c>
      <c r="KET1339" s="4" t="s">
        <v>2883</v>
      </c>
      <c r="KEU1339" s="4" t="s">
        <v>2883</v>
      </c>
      <c r="KEV1339" s="4" t="s">
        <v>2883</v>
      </c>
      <c r="KEW1339" s="4" t="s">
        <v>2883</v>
      </c>
      <c r="KEX1339" s="4" t="s">
        <v>2883</v>
      </c>
      <c r="KEY1339" s="4" t="s">
        <v>2883</v>
      </c>
      <c r="KEZ1339" s="4" t="s">
        <v>2883</v>
      </c>
      <c r="KFA1339" s="4" t="s">
        <v>2883</v>
      </c>
      <c r="KFB1339" s="4" t="s">
        <v>2883</v>
      </c>
      <c r="KFC1339" s="4" t="s">
        <v>2883</v>
      </c>
      <c r="KFD1339" s="4" t="s">
        <v>2883</v>
      </c>
      <c r="KFE1339" s="4" t="s">
        <v>2883</v>
      </c>
      <c r="KFF1339" s="4" t="s">
        <v>2883</v>
      </c>
      <c r="KFG1339" s="4" t="s">
        <v>2883</v>
      </c>
      <c r="KFH1339" s="4" t="s">
        <v>2883</v>
      </c>
      <c r="KFI1339" s="4" t="s">
        <v>2883</v>
      </c>
      <c r="KFJ1339" s="4" t="s">
        <v>2883</v>
      </c>
      <c r="KFK1339" s="4" t="s">
        <v>2883</v>
      </c>
      <c r="KFL1339" s="4" t="s">
        <v>2883</v>
      </c>
      <c r="KFM1339" s="4" t="s">
        <v>2883</v>
      </c>
      <c r="KFN1339" s="4" t="s">
        <v>2883</v>
      </c>
      <c r="KFO1339" s="4" t="s">
        <v>2883</v>
      </c>
      <c r="KFP1339" s="4" t="s">
        <v>2883</v>
      </c>
      <c r="KFQ1339" s="4" t="s">
        <v>2883</v>
      </c>
      <c r="KFR1339" s="4" t="s">
        <v>2883</v>
      </c>
      <c r="KFS1339" s="4" t="s">
        <v>2883</v>
      </c>
      <c r="KFT1339" s="4" t="s">
        <v>2883</v>
      </c>
      <c r="KFU1339" s="4" t="s">
        <v>2883</v>
      </c>
      <c r="KFV1339" s="4" t="s">
        <v>2883</v>
      </c>
      <c r="KFW1339" s="4" t="s">
        <v>2883</v>
      </c>
      <c r="KFX1339" s="4" t="s">
        <v>2883</v>
      </c>
      <c r="KFY1339" s="4" t="s">
        <v>2883</v>
      </c>
      <c r="KFZ1339" s="4" t="s">
        <v>2883</v>
      </c>
      <c r="KGA1339" s="4" t="s">
        <v>2883</v>
      </c>
      <c r="KGB1339" s="4" t="s">
        <v>2883</v>
      </c>
      <c r="KGC1339" s="4" t="s">
        <v>2883</v>
      </c>
      <c r="KGD1339" s="4" t="s">
        <v>2883</v>
      </c>
      <c r="KGE1339" s="4" t="s">
        <v>2883</v>
      </c>
      <c r="KGF1339" s="4" t="s">
        <v>2883</v>
      </c>
      <c r="KGG1339" s="4" t="s">
        <v>2883</v>
      </c>
      <c r="KGH1339" s="4" t="s">
        <v>2883</v>
      </c>
      <c r="KGI1339" s="4" t="s">
        <v>2883</v>
      </c>
      <c r="KGJ1339" s="4" t="s">
        <v>2883</v>
      </c>
      <c r="KGK1339" s="4" t="s">
        <v>2883</v>
      </c>
      <c r="KGL1339" s="4" t="s">
        <v>2883</v>
      </c>
      <c r="KGM1339" s="4" t="s">
        <v>2883</v>
      </c>
      <c r="KGN1339" s="4" t="s">
        <v>2883</v>
      </c>
      <c r="KGO1339" s="4" t="s">
        <v>2883</v>
      </c>
      <c r="KGP1339" s="4" t="s">
        <v>2883</v>
      </c>
      <c r="KGQ1339" s="4" t="s">
        <v>2883</v>
      </c>
      <c r="KGR1339" s="4" t="s">
        <v>2883</v>
      </c>
      <c r="KGS1339" s="4" t="s">
        <v>2883</v>
      </c>
      <c r="KGT1339" s="4" t="s">
        <v>2883</v>
      </c>
      <c r="KGU1339" s="4" t="s">
        <v>2883</v>
      </c>
      <c r="KGV1339" s="4" t="s">
        <v>2883</v>
      </c>
      <c r="KGW1339" s="4" t="s">
        <v>2883</v>
      </c>
      <c r="KGX1339" s="4" t="s">
        <v>2883</v>
      </c>
      <c r="KGY1339" s="4" t="s">
        <v>2883</v>
      </c>
      <c r="KGZ1339" s="4" t="s">
        <v>2883</v>
      </c>
      <c r="KHA1339" s="4" t="s">
        <v>2883</v>
      </c>
      <c r="KHB1339" s="4" t="s">
        <v>2883</v>
      </c>
      <c r="KHC1339" s="4" t="s">
        <v>2883</v>
      </c>
      <c r="KHD1339" s="4" t="s">
        <v>2883</v>
      </c>
      <c r="KHE1339" s="4" t="s">
        <v>2883</v>
      </c>
      <c r="KHF1339" s="4" t="s">
        <v>2883</v>
      </c>
      <c r="KHG1339" s="4" t="s">
        <v>2883</v>
      </c>
      <c r="KHH1339" s="4" t="s">
        <v>2883</v>
      </c>
      <c r="KHI1339" s="4" t="s">
        <v>2883</v>
      </c>
      <c r="KHJ1339" s="4" t="s">
        <v>2883</v>
      </c>
      <c r="KHK1339" s="4" t="s">
        <v>2883</v>
      </c>
      <c r="KHL1339" s="4" t="s">
        <v>2883</v>
      </c>
      <c r="KHM1339" s="4" t="s">
        <v>2883</v>
      </c>
      <c r="KHN1339" s="4" t="s">
        <v>2883</v>
      </c>
      <c r="KHO1339" s="4" t="s">
        <v>2883</v>
      </c>
      <c r="KHP1339" s="4" t="s">
        <v>2883</v>
      </c>
      <c r="KHQ1339" s="4" t="s">
        <v>2883</v>
      </c>
      <c r="KHR1339" s="4" t="s">
        <v>2883</v>
      </c>
      <c r="KHS1339" s="4" t="s">
        <v>2883</v>
      </c>
      <c r="KHT1339" s="4" t="s">
        <v>2883</v>
      </c>
      <c r="KHU1339" s="4" t="s">
        <v>2883</v>
      </c>
      <c r="KHV1339" s="4" t="s">
        <v>2883</v>
      </c>
      <c r="KHW1339" s="4" t="s">
        <v>2883</v>
      </c>
      <c r="KHX1339" s="4" t="s">
        <v>2883</v>
      </c>
      <c r="KHY1339" s="4" t="s">
        <v>2883</v>
      </c>
      <c r="KHZ1339" s="4" t="s">
        <v>2883</v>
      </c>
      <c r="KIA1339" s="4" t="s">
        <v>2883</v>
      </c>
      <c r="KIB1339" s="4" t="s">
        <v>2883</v>
      </c>
      <c r="KIC1339" s="4" t="s">
        <v>2883</v>
      </c>
      <c r="KID1339" s="4" t="s">
        <v>2883</v>
      </c>
      <c r="KIE1339" s="4" t="s">
        <v>2883</v>
      </c>
      <c r="KIF1339" s="4" t="s">
        <v>2883</v>
      </c>
      <c r="KIG1339" s="4" t="s">
        <v>2883</v>
      </c>
      <c r="KIH1339" s="4" t="s">
        <v>2883</v>
      </c>
      <c r="KII1339" s="4" t="s">
        <v>2883</v>
      </c>
      <c r="KIJ1339" s="4" t="s">
        <v>2883</v>
      </c>
      <c r="KIK1339" s="4" t="s">
        <v>2883</v>
      </c>
      <c r="KIL1339" s="4" t="s">
        <v>2883</v>
      </c>
      <c r="KIM1339" s="4" t="s">
        <v>2883</v>
      </c>
      <c r="KIN1339" s="4" t="s">
        <v>2883</v>
      </c>
      <c r="KIO1339" s="4" t="s">
        <v>2883</v>
      </c>
      <c r="KIP1339" s="4" t="s">
        <v>2883</v>
      </c>
      <c r="KIQ1339" s="4" t="s">
        <v>2883</v>
      </c>
      <c r="KIR1339" s="4" t="s">
        <v>2883</v>
      </c>
      <c r="KIS1339" s="4" t="s">
        <v>2883</v>
      </c>
      <c r="KIT1339" s="4" t="s">
        <v>2883</v>
      </c>
      <c r="KIU1339" s="4" t="s">
        <v>2883</v>
      </c>
      <c r="KIV1339" s="4" t="s">
        <v>2883</v>
      </c>
      <c r="KIW1339" s="4" t="s">
        <v>2883</v>
      </c>
      <c r="KIX1339" s="4" t="s">
        <v>2883</v>
      </c>
      <c r="KIY1339" s="4" t="s">
        <v>2883</v>
      </c>
      <c r="KIZ1339" s="4" t="s">
        <v>2883</v>
      </c>
      <c r="KJA1339" s="4" t="s">
        <v>2883</v>
      </c>
      <c r="KJB1339" s="4" t="s">
        <v>2883</v>
      </c>
      <c r="KJC1339" s="4" t="s">
        <v>2883</v>
      </c>
      <c r="KJD1339" s="4" t="s">
        <v>2883</v>
      </c>
      <c r="KJE1339" s="4" t="s">
        <v>2883</v>
      </c>
      <c r="KJF1339" s="4" t="s">
        <v>2883</v>
      </c>
      <c r="KJG1339" s="4" t="s">
        <v>2883</v>
      </c>
      <c r="KJH1339" s="4" t="s">
        <v>2883</v>
      </c>
      <c r="KJI1339" s="4" t="s">
        <v>2883</v>
      </c>
      <c r="KJJ1339" s="4" t="s">
        <v>2883</v>
      </c>
      <c r="KJK1339" s="4" t="s">
        <v>2883</v>
      </c>
      <c r="KJL1339" s="4" t="s">
        <v>2883</v>
      </c>
      <c r="KJM1339" s="4" t="s">
        <v>2883</v>
      </c>
      <c r="KJN1339" s="4" t="s">
        <v>2883</v>
      </c>
      <c r="KJO1339" s="4" t="s">
        <v>2883</v>
      </c>
      <c r="KJP1339" s="4" t="s">
        <v>2883</v>
      </c>
      <c r="KJQ1339" s="4" t="s">
        <v>2883</v>
      </c>
      <c r="KJR1339" s="4" t="s">
        <v>2883</v>
      </c>
      <c r="KJS1339" s="4" t="s">
        <v>2883</v>
      </c>
      <c r="KJT1339" s="4" t="s">
        <v>2883</v>
      </c>
      <c r="KJU1339" s="4" t="s">
        <v>2883</v>
      </c>
      <c r="KJV1339" s="4" t="s">
        <v>2883</v>
      </c>
      <c r="KJW1339" s="4" t="s">
        <v>2883</v>
      </c>
      <c r="KJX1339" s="4" t="s">
        <v>2883</v>
      </c>
      <c r="KJY1339" s="4" t="s">
        <v>2883</v>
      </c>
      <c r="KJZ1339" s="4" t="s">
        <v>2883</v>
      </c>
      <c r="KKA1339" s="4" t="s">
        <v>2883</v>
      </c>
      <c r="KKB1339" s="4" t="s">
        <v>2883</v>
      </c>
      <c r="KKC1339" s="4" t="s">
        <v>2883</v>
      </c>
      <c r="KKD1339" s="4" t="s">
        <v>2883</v>
      </c>
      <c r="KKE1339" s="4" t="s">
        <v>2883</v>
      </c>
      <c r="KKF1339" s="4" t="s">
        <v>2883</v>
      </c>
      <c r="KKG1339" s="4" t="s">
        <v>2883</v>
      </c>
      <c r="KKH1339" s="4" t="s">
        <v>2883</v>
      </c>
      <c r="KKI1339" s="4" t="s">
        <v>2883</v>
      </c>
      <c r="KKJ1339" s="4" t="s">
        <v>2883</v>
      </c>
      <c r="KKK1339" s="4" t="s">
        <v>2883</v>
      </c>
      <c r="KKL1339" s="4" t="s">
        <v>2883</v>
      </c>
      <c r="KKM1339" s="4" t="s">
        <v>2883</v>
      </c>
      <c r="KKN1339" s="4" t="s">
        <v>2883</v>
      </c>
      <c r="KKO1339" s="4" t="s">
        <v>2883</v>
      </c>
      <c r="KKP1339" s="4" t="s">
        <v>2883</v>
      </c>
      <c r="KKQ1339" s="4" t="s">
        <v>2883</v>
      </c>
      <c r="KKR1339" s="4" t="s">
        <v>2883</v>
      </c>
      <c r="KKS1339" s="4" t="s">
        <v>2883</v>
      </c>
      <c r="KKT1339" s="4" t="s">
        <v>2883</v>
      </c>
      <c r="KKU1339" s="4" t="s">
        <v>2883</v>
      </c>
      <c r="KKV1339" s="4" t="s">
        <v>2883</v>
      </c>
      <c r="KKW1339" s="4" t="s">
        <v>2883</v>
      </c>
      <c r="KKX1339" s="4" t="s">
        <v>2883</v>
      </c>
      <c r="KKY1339" s="4" t="s">
        <v>2883</v>
      </c>
      <c r="KKZ1339" s="4" t="s">
        <v>2883</v>
      </c>
      <c r="KLA1339" s="4" t="s">
        <v>2883</v>
      </c>
      <c r="KLB1339" s="4" t="s">
        <v>2883</v>
      </c>
      <c r="KLC1339" s="4" t="s">
        <v>2883</v>
      </c>
      <c r="KLD1339" s="4" t="s">
        <v>2883</v>
      </c>
      <c r="KLE1339" s="4" t="s">
        <v>2883</v>
      </c>
      <c r="KLF1339" s="4" t="s">
        <v>2883</v>
      </c>
      <c r="KLG1339" s="4" t="s">
        <v>2883</v>
      </c>
      <c r="KLH1339" s="4" t="s">
        <v>2883</v>
      </c>
      <c r="KLI1339" s="4" t="s">
        <v>2883</v>
      </c>
      <c r="KLJ1339" s="4" t="s">
        <v>2883</v>
      </c>
      <c r="KLK1339" s="4" t="s">
        <v>2883</v>
      </c>
      <c r="KLL1339" s="4" t="s">
        <v>2883</v>
      </c>
      <c r="KLM1339" s="4" t="s">
        <v>2883</v>
      </c>
      <c r="KLN1339" s="4" t="s">
        <v>2883</v>
      </c>
      <c r="KLO1339" s="4" t="s">
        <v>2883</v>
      </c>
      <c r="KLP1339" s="4" t="s">
        <v>2883</v>
      </c>
      <c r="KLQ1339" s="4" t="s">
        <v>2883</v>
      </c>
      <c r="KLR1339" s="4" t="s">
        <v>2883</v>
      </c>
      <c r="KLS1339" s="4" t="s">
        <v>2883</v>
      </c>
      <c r="KLT1339" s="4" t="s">
        <v>2883</v>
      </c>
      <c r="KLU1339" s="4" t="s">
        <v>2883</v>
      </c>
      <c r="KLV1339" s="4" t="s">
        <v>2883</v>
      </c>
      <c r="KLW1339" s="4" t="s">
        <v>2883</v>
      </c>
      <c r="KLX1339" s="4" t="s">
        <v>2883</v>
      </c>
      <c r="KLY1339" s="4" t="s">
        <v>2883</v>
      </c>
      <c r="KLZ1339" s="4" t="s">
        <v>2883</v>
      </c>
      <c r="KMA1339" s="4" t="s">
        <v>2883</v>
      </c>
      <c r="KMB1339" s="4" t="s">
        <v>2883</v>
      </c>
      <c r="KMC1339" s="4" t="s">
        <v>2883</v>
      </c>
      <c r="KMD1339" s="4" t="s">
        <v>2883</v>
      </c>
      <c r="KME1339" s="4" t="s">
        <v>2883</v>
      </c>
      <c r="KMF1339" s="4" t="s">
        <v>2883</v>
      </c>
      <c r="KMG1339" s="4" t="s">
        <v>2883</v>
      </c>
      <c r="KMH1339" s="4" t="s">
        <v>2883</v>
      </c>
      <c r="KMI1339" s="4" t="s">
        <v>2883</v>
      </c>
      <c r="KMJ1339" s="4" t="s">
        <v>2883</v>
      </c>
      <c r="KMK1339" s="4" t="s">
        <v>2883</v>
      </c>
      <c r="KML1339" s="4" t="s">
        <v>2883</v>
      </c>
      <c r="KMM1339" s="4" t="s">
        <v>2883</v>
      </c>
      <c r="KMN1339" s="4" t="s">
        <v>2883</v>
      </c>
      <c r="KMO1339" s="4" t="s">
        <v>2883</v>
      </c>
      <c r="KMP1339" s="4" t="s">
        <v>2883</v>
      </c>
      <c r="KMQ1339" s="4" t="s">
        <v>2883</v>
      </c>
      <c r="KMR1339" s="4" t="s">
        <v>2883</v>
      </c>
      <c r="KMS1339" s="4" t="s">
        <v>2883</v>
      </c>
      <c r="KMT1339" s="4" t="s">
        <v>2883</v>
      </c>
      <c r="KMU1339" s="4" t="s">
        <v>2883</v>
      </c>
      <c r="KMV1339" s="4" t="s">
        <v>2883</v>
      </c>
      <c r="KMW1339" s="4" t="s">
        <v>2883</v>
      </c>
      <c r="KMX1339" s="4" t="s">
        <v>2883</v>
      </c>
      <c r="KMY1339" s="4" t="s">
        <v>2883</v>
      </c>
      <c r="KMZ1339" s="4" t="s">
        <v>2883</v>
      </c>
      <c r="KNA1339" s="4" t="s">
        <v>2883</v>
      </c>
      <c r="KNB1339" s="4" t="s">
        <v>2883</v>
      </c>
      <c r="KNC1339" s="4" t="s">
        <v>2883</v>
      </c>
      <c r="KND1339" s="4" t="s">
        <v>2883</v>
      </c>
      <c r="KNE1339" s="4" t="s">
        <v>2883</v>
      </c>
      <c r="KNF1339" s="4" t="s">
        <v>2883</v>
      </c>
      <c r="KNG1339" s="4" t="s">
        <v>2883</v>
      </c>
      <c r="KNH1339" s="4" t="s">
        <v>2883</v>
      </c>
      <c r="KNI1339" s="4" t="s">
        <v>2883</v>
      </c>
      <c r="KNJ1339" s="4" t="s">
        <v>2883</v>
      </c>
      <c r="KNK1339" s="4" t="s">
        <v>2883</v>
      </c>
      <c r="KNL1339" s="4" t="s">
        <v>2883</v>
      </c>
      <c r="KNM1339" s="4" t="s">
        <v>2883</v>
      </c>
      <c r="KNN1339" s="4" t="s">
        <v>2883</v>
      </c>
      <c r="KNO1339" s="4" t="s">
        <v>2883</v>
      </c>
      <c r="KNP1339" s="4" t="s">
        <v>2883</v>
      </c>
      <c r="KNQ1339" s="4" t="s">
        <v>2883</v>
      </c>
      <c r="KNR1339" s="4" t="s">
        <v>2883</v>
      </c>
      <c r="KNS1339" s="4" t="s">
        <v>2883</v>
      </c>
      <c r="KNT1339" s="4" t="s">
        <v>2883</v>
      </c>
      <c r="KNU1339" s="4" t="s">
        <v>2883</v>
      </c>
      <c r="KNV1339" s="4" t="s">
        <v>2883</v>
      </c>
      <c r="KNW1339" s="4" t="s">
        <v>2883</v>
      </c>
      <c r="KNX1339" s="4" t="s">
        <v>2883</v>
      </c>
      <c r="KNY1339" s="4" t="s">
        <v>2883</v>
      </c>
      <c r="KNZ1339" s="4" t="s">
        <v>2883</v>
      </c>
      <c r="KOA1339" s="4" t="s">
        <v>2883</v>
      </c>
      <c r="KOB1339" s="4" t="s">
        <v>2883</v>
      </c>
      <c r="KOC1339" s="4" t="s">
        <v>2883</v>
      </c>
      <c r="KOD1339" s="4" t="s">
        <v>2883</v>
      </c>
      <c r="KOE1339" s="4" t="s">
        <v>2883</v>
      </c>
      <c r="KOF1339" s="4" t="s">
        <v>2883</v>
      </c>
      <c r="KOG1339" s="4" t="s">
        <v>2883</v>
      </c>
      <c r="KOH1339" s="4" t="s">
        <v>2883</v>
      </c>
      <c r="KOI1339" s="4" t="s">
        <v>2883</v>
      </c>
      <c r="KOJ1339" s="4" t="s">
        <v>2883</v>
      </c>
      <c r="KOK1339" s="4" t="s">
        <v>2883</v>
      </c>
      <c r="KOL1339" s="4" t="s">
        <v>2883</v>
      </c>
      <c r="KOM1339" s="4" t="s">
        <v>2883</v>
      </c>
      <c r="KON1339" s="4" t="s">
        <v>2883</v>
      </c>
      <c r="KOO1339" s="4" t="s">
        <v>2883</v>
      </c>
      <c r="KOP1339" s="4" t="s">
        <v>2883</v>
      </c>
      <c r="KOQ1339" s="4" t="s">
        <v>2883</v>
      </c>
      <c r="KOR1339" s="4" t="s">
        <v>2883</v>
      </c>
      <c r="KOS1339" s="4" t="s">
        <v>2883</v>
      </c>
      <c r="KOT1339" s="4" t="s">
        <v>2883</v>
      </c>
      <c r="KOU1339" s="4" t="s">
        <v>2883</v>
      </c>
      <c r="KOV1339" s="4" t="s">
        <v>2883</v>
      </c>
      <c r="KOW1339" s="4" t="s">
        <v>2883</v>
      </c>
      <c r="KOX1339" s="4" t="s">
        <v>2883</v>
      </c>
      <c r="KOY1339" s="4" t="s">
        <v>2883</v>
      </c>
      <c r="KOZ1339" s="4" t="s">
        <v>2883</v>
      </c>
      <c r="KPA1339" s="4" t="s">
        <v>2883</v>
      </c>
      <c r="KPB1339" s="4" t="s">
        <v>2883</v>
      </c>
      <c r="KPC1339" s="4" t="s">
        <v>2883</v>
      </c>
      <c r="KPD1339" s="4" t="s">
        <v>2883</v>
      </c>
      <c r="KPE1339" s="4" t="s">
        <v>2883</v>
      </c>
      <c r="KPF1339" s="4" t="s">
        <v>2883</v>
      </c>
      <c r="KPG1339" s="4" t="s">
        <v>2883</v>
      </c>
      <c r="KPH1339" s="4" t="s">
        <v>2883</v>
      </c>
      <c r="KPI1339" s="4" t="s">
        <v>2883</v>
      </c>
      <c r="KPJ1339" s="4" t="s">
        <v>2883</v>
      </c>
      <c r="KPK1339" s="4" t="s">
        <v>2883</v>
      </c>
      <c r="KPL1339" s="4" t="s">
        <v>2883</v>
      </c>
      <c r="KPM1339" s="4" t="s">
        <v>2883</v>
      </c>
      <c r="KPN1339" s="4" t="s">
        <v>2883</v>
      </c>
      <c r="KPO1339" s="4" t="s">
        <v>2883</v>
      </c>
      <c r="KPP1339" s="4" t="s">
        <v>2883</v>
      </c>
      <c r="KPQ1339" s="4" t="s">
        <v>2883</v>
      </c>
      <c r="KPR1339" s="4" t="s">
        <v>2883</v>
      </c>
      <c r="KPS1339" s="4" t="s">
        <v>2883</v>
      </c>
      <c r="KPT1339" s="4" t="s">
        <v>2883</v>
      </c>
      <c r="KPU1339" s="4" t="s">
        <v>2883</v>
      </c>
      <c r="KPV1339" s="4" t="s">
        <v>2883</v>
      </c>
      <c r="KPW1339" s="4" t="s">
        <v>2883</v>
      </c>
      <c r="KPX1339" s="4" t="s">
        <v>2883</v>
      </c>
      <c r="KPY1339" s="4" t="s">
        <v>2883</v>
      </c>
      <c r="KPZ1339" s="4" t="s">
        <v>2883</v>
      </c>
      <c r="KQA1339" s="4" t="s">
        <v>2883</v>
      </c>
      <c r="KQB1339" s="4" t="s">
        <v>2883</v>
      </c>
      <c r="KQC1339" s="4" t="s">
        <v>2883</v>
      </c>
      <c r="KQD1339" s="4" t="s">
        <v>2883</v>
      </c>
      <c r="KQE1339" s="4" t="s">
        <v>2883</v>
      </c>
      <c r="KQF1339" s="4" t="s">
        <v>2883</v>
      </c>
      <c r="KQG1339" s="4" t="s">
        <v>2883</v>
      </c>
      <c r="KQH1339" s="4" t="s">
        <v>2883</v>
      </c>
      <c r="KQI1339" s="4" t="s">
        <v>2883</v>
      </c>
      <c r="KQJ1339" s="4" t="s">
        <v>2883</v>
      </c>
      <c r="KQK1339" s="4" t="s">
        <v>2883</v>
      </c>
      <c r="KQL1339" s="4" t="s">
        <v>2883</v>
      </c>
      <c r="KQM1339" s="4" t="s">
        <v>2883</v>
      </c>
      <c r="KQN1339" s="4" t="s">
        <v>2883</v>
      </c>
      <c r="KQO1339" s="4" t="s">
        <v>2883</v>
      </c>
      <c r="KQP1339" s="4" t="s">
        <v>2883</v>
      </c>
      <c r="KQQ1339" s="4" t="s">
        <v>2883</v>
      </c>
      <c r="KQR1339" s="4" t="s">
        <v>2883</v>
      </c>
      <c r="KQS1339" s="4" t="s">
        <v>2883</v>
      </c>
      <c r="KQT1339" s="4" t="s">
        <v>2883</v>
      </c>
      <c r="KQU1339" s="4" t="s">
        <v>2883</v>
      </c>
      <c r="KQV1339" s="4" t="s">
        <v>2883</v>
      </c>
      <c r="KQW1339" s="4" t="s">
        <v>2883</v>
      </c>
      <c r="KQX1339" s="4" t="s">
        <v>2883</v>
      </c>
      <c r="KQY1339" s="4" t="s">
        <v>2883</v>
      </c>
      <c r="KQZ1339" s="4" t="s">
        <v>2883</v>
      </c>
      <c r="KRA1339" s="4" t="s">
        <v>2883</v>
      </c>
      <c r="KRB1339" s="4" t="s">
        <v>2883</v>
      </c>
      <c r="KRC1339" s="4" t="s">
        <v>2883</v>
      </c>
      <c r="KRD1339" s="4" t="s">
        <v>2883</v>
      </c>
      <c r="KRE1339" s="4" t="s">
        <v>2883</v>
      </c>
      <c r="KRF1339" s="4" t="s">
        <v>2883</v>
      </c>
      <c r="KRG1339" s="4" t="s">
        <v>2883</v>
      </c>
      <c r="KRH1339" s="4" t="s">
        <v>2883</v>
      </c>
      <c r="KRI1339" s="4" t="s">
        <v>2883</v>
      </c>
      <c r="KRJ1339" s="4" t="s">
        <v>2883</v>
      </c>
      <c r="KRK1339" s="4" t="s">
        <v>2883</v>
      </c>
      <c r="KRL1339" s="4" t="s">
        <v>2883</v>
      </c>
      <c r="KRM1339" s="4" t="s">
        <v>2883</v>
      </c>
      <c r="KRN1339" s="4" t="s">
        <v>2883</v>
      </c>
      <c r="KRO1339" s="4" t="s">
        <v>2883</v>
      </c>
      <c r="KRP1339" s="4" t="s">
        <v>2883</v>
      </c>
      <c r="KRQ1339" s="4" t="s">
        <v>2883</v>
      </c>
      <c r="KRR1339" s="4" t="s">
        <v>2883</v>
      </c>
      <c r="KRS1339" s="4" t="s">
        <v>2883</v>
      </c>
      <c r="KRT1339" s="4" t="s">
        <v>2883</v>
      </c>
      <c r="KRU1339" s="4" t="s">
        <v>2883</v>
      </c>
      <c r="KRV1339" s="4" t="s">
        <v>2883</v>
      </c>
      <c r="KRW1339" s="4" t="s">
        <v>2883</v>
      </c>
      <c r="KRX1339" s="4" t="s">
        <v>2883</v>
      </c>
      <c r="KRY1339" s="4" t="s">
        <v>2883</v>
      </c>
      <c r="KRZ1339" s="4" t="s">
        <v>2883</v>
      </c>
      <c r="KSA1339" s="4" t="s">
        <v>2883</v>
      </c>
      <c r="KSB1339" s="4" t="s">
        <v>2883</v>
      </c>
      <c r="KSC1339" s="4" t="s">
        <v>2883</v>
      </c>
      <c r="KSD1339" s="4" t="s">
        <v>2883</v>
      </c>
      <c r="KSE1339" s="4" t="s">
        <v>2883</v>
      </c>
      <c r="KSF1339" s="4" t="s">
        <v>2883</v>
      </c>
      <c r="KSG1339" s="4" t="s">
        <v>2883</v>
      </c>
      <c r="KSH1339" s="4" t="s">
        <v>2883</v>
      </c>
      <c r="KSI1339" s="4" t="s">
        <v>2883</v>
      </c>
      <c r="KSJ1339" s="4" t="s">
        <v>2883</v>
      </c>
      <c r="KSK1339" s="4" t="s">
        <v>2883</v>
      </c>
      <c r="KSL1339" s="4" t="s">
        <v>2883</v>
      </c>
      <c r="KSM1339" s="4" t="s">
        <v>2883</v>
      </c>
      <c r="KSN1339" s="4" t="s">
        <v>2883</v>
      </c>
      <c r="KSO1339" s="4" t="s">
        <v>2883</v>
      </c>
      <c r="KSP1339" s="4" t="s">
        <v>2883</v>
      </c>
      <c r="KSQ1339" s="4" t="s">
        <v>2883</v>
      </c>
      <c r="KSR1339" s="4" t="s">
        <v>2883</v>
      </c>
      <c r="KSS1339" s="4" t="s">
        <v>2883</v>
      </c>
      <c r="KST1339" s="4" t="s">
        <v>2883</v>
      </c>
      <c r="KSU1339" s="4" t="s">
        <v>2883</v>
      </c>
      <c r="KSV1339" s="4" t="s">
        <v>2883</v>
      </c>
      <c r="KSW1339" s="4" t="s">
        <v>2883</v>
      </c>
      <c r="KSX1339" s="4" t="s">
        <v>2883</v>
      </c>
      <c r="KSY1339" s="4" t="s">
        <v>2883</v>
      </c>
      <c r="KSZ1339" s="4" t="s">
        <v>2883</v>
      </c>
      <c r="KTA1339" s="4" t="s">
        <v>2883</v>
      </c>
      <c r="KTB1339" s="4" t="s">
        <v>2883</v>
      </c>
      <c r="KTC1339" s="4" t="s">
        <v>2883</v>
      </c>
      <c r="KTD1339" s="4" t="s">
        <v>2883</v>
      </c>
      <c r="KTE1339" s="4" t="s">
        <v>2883</v>
      </c>
      <c r="KTF1339" s="4" t="s">
        <v>2883</v>
      </c>
      <c r="KTG1339" s="4" t="s">
        <v>2883</v>
      </c>
      <c r="KTH1339" s="4" t="s">
        <v>2883</v>
      </c>
      <c r="KTI1339" s="4" t="s">
        <v>2883</v>
      </c>
      <c r="KTJ1339" s="4" t="s">
        <v>2883</v>
      </c>
      <c r="KTK1339" s="4" t="s">
        <v>2883</v>
      </c>
      <c r="KTL1339" s="4" t="s">
        <v>2883</v>
      </c>
      <c r="KTM1339" s="4" t="s">
        <v>2883</v>
      </c>
      <c r="KTN1339" s="4" t="s">
        <v>2883</v>
      </c>
      <c r="KTO1339" s="4" t="s">
        <v>2883</v>
      </c>
      <c r="KTP1339" s="4" t="s">
        <v>2883</v>
      </c>
      <c r="KTQ1339" s="4" t="s">
        <v>2883</v>
      </c>
      <c r="KTR1339" s="4" t="s">
        <v>2883</v>
      </c>
      <c r="KTS1339" s="4" t="s">
        <v>2883</v>
      </c>
      <c r="KTT1339" s="4" t="s">
        <v>2883</v>
      </c>
      <c r="KTU1339" s="4" t="s">
        <v>2883</v>
      </c>
      <c r="KTV1339" s="4" t="s">
        <v>2883</v>
      </c>
      <c r="KTW1339" s="4" t="s">
        <v>2883</v>
      </c>
      <c r="KTX1339" s="4" t="s">
        <v>2883</v>
      </c>
      <c r="KTY1339" s="4" t="s">
        <v>2883</v>
      </c>
      <c r="KTZ1339" s="4" t="s">
        <v>2883</v>
      </c>
      <c r="KUA1339" s="4" t="s">
        <v>2883</v>
      </c>
      <c r="KUB1339" s="4" t="s">
        <v>2883</v>
      </c>
      <c r="KUC1339" s="4" t="s">
        <v>2883</v>
      </c>
      <c r="KUD1339" s="4" t="s">
        <v>2883</v>
      </c>
      <c r="KUE1339" s="4" t="s">
        <v>2883</v>
      </c>
      <c r="KUF1339" s="4" t="s">
        <v>2883</v>
      </c>
      <c r="KUG1339" s="4" t="s">
        <v>2883</v>
      </c>
      <c r="KUH1339" s="4" t="s">
        <v>2883</v>
      </c>
      <c r="KUI1339" s="4" t="s">
        <v>2883</v>
      </c>
      <c r="KUJ1339" s="4" t="s">
        <v>2883</v>
      </c>
      <c r="KUK1339" s="4" t="s">
        <v>2883</v>
      </c>
      <c r="KUL1339" s="4" t="s">
        <v>2883</v>
      </c>
      <c r="KUM1339" s="4" t="s">
        <v>2883</v>
      </c>
      <c r="KUN1339" s="4" t="s">
        <v>2883</v>
      </c>
      <c r="KUO1339" s="4" t="s">
        <v>2883</v>
      </c>
      <c r="KUP1339" s="4" t="s">
        <v>2883</v>
      </c>
      <c r="KUQ1339" s="4" t="s">
        <v>2883</v>
      </c>
      <c r="KUR1339" s="4" t="s">
        <v>2883</v>
      </c>
      <c r="KUS1339" s="4" t="s">
        <v>2883</v>
      </c>
      <c r="KUT1339" s="4" t="s">
        <v>2883</v>
      </c>
      <c r="KUU1339" s="4" t="s">
        <v>2883</v>
      </c>
      <c r="KUV1339" s="4" t="s">
        <v>2883</v>
      </c>
      <c r="KUW1339" s="4" t="s">
        <v>2883</v>
      </c>
      <c r="KUX1339" s="4" t="s">
        <v>2883</v>
      </c>
      <c r="KUY1339" s="4" t="s">
        <v>2883</v>
      </c>
      <c r="KUZ1339" s="4" t="s">
        <v>2883</v>
      </c>
      <c r="KVA1339" s="4" t="s">
        <v>2883</v>
      </c>
      <c r="KVB1339" s="4" t="s">
        <v>2883</v>
      </c>
      <c r="KVC1339" s="4" t="s">
        <v>2883</v>
      </c>
      <c r="KVD1339" s="4" t="s">
        <v>2883</v>
      </c>
      <c r="KVE1339" s="4" t="s">
        <v>2883</v>
      </c>
      <c r="KVF1339" s="4" t="s">
        <v>2883</v>
      </c>
      <c r="KVG1339" s="4" t="s">
        <v>2883</v>
      </c>
      <c r="KVH1339" s="4" t="s">
        <v>2883</v>
      </c>
      <c r="KVI1339" s="4" t="s">
        <v>2883</v>
      </c>
      <c r="KVJ1339" s="4" t="s">
        <v>2883</v>
      </c>
      <c r="KVK1339" s="4" t="s">
        <v>2883</v>
      </c>
      <c r="KVL1339" s="4" t="s">
        <v>2883</v>
      </c>
      <c r="KVM1339" s="4" t="s">
        <v>2883</v>
      </c>
      <c r="KVN1339" s="4" t="s">
        <v>2883</v>
      </c>
      <c r="KVO1339" s="4" t="s">
        <v>2883</v>
      </c>
      <c r="KVP1339" s="4" t="s">
        <v>2883</v>
      </c>
      <c r="KVQ1339" s="4" t="s">
        <v>2883</v>
      </c>
      <c r="KVR1339" s="4" t="s">
        <v>2883</v>
      </c>
      <c r="KVS1339" s="4" t="s">
        <v>2883</v>
      </c>
      <c r="KVT1339" s="4" t="s">
        <v>2883</v>
      </c>
      <c r="KVU1339" s="4" t="s">
        <v>2883</v>
      </c>
      <c r="KVV1339" s="4" t="s">
        <v>2883</v>
      </c>
      <c r="KVW1339" s="4" t="s">
        <v>2883</v>
      </c>
      <c r="KVX1339" s="4" t="s">
        <v>2883</v>
      </c>
      <c r="KVY1339" s="4" t="s">
        <v>2883</v>
      </c>
      <c r="KVZ1339" s="4" t="s">
        <v>2883</v>
      </c>
      <c r="KWA1339" s="4" t="s">
        <v>2883</v>
      </c>
      <c r="KWB1339" s="4" t="s">
        <v>2883</v>
      </c>
      <c r="KWC1339" s="4" t="s">
        <v>2883</v>
      </c>
      <c r="KWD1339" s="4" t="s">
        <v>2883</v>
      </c>
      <c r="KWE1339" s="4" t="s">
        <v>2883</v>
      </c>
      <c r="KWF1339" s="4" t="s">
        <v>2883</v>
      </c>
      <c r="KWG1339" s="4" t="s">
        <v>2883</v>
      </c>
      <c r="KWH1339" s="4" t="s">
        <v>2883</v>
      </c>
      <c r="KWI1339" s="4" t="s">
        <v>2883</v>
      </c>
      <c r="KWJ1339" s="4" t="s">
        <v>2883</v>
      </c>
      <c r="KWK1339" s="4" t="s">
        <v>2883</v>
      </c>
      <c r="KWL1339" s="4" t="s">
        <v>2883</v>
      </c>
      <c r="KWM1339" s="4" t="s">
        <v>2883</v>
      </c>
      <c r="KWN1339" s="4" t="s">
        <v>2883</v>
      </c>
      <c r="KWO1339" s="4" t="s">
        <v>2883</v>
      </c>
      <c r="KWP1339" s="4" t="s">
        <v>2883</v>
      </c>
      <c r="KWQ1339" s="4" t="s">
        <v>2883</v>
      </c>
      <c r="KWR1339" s="4" t="s">
        <v>2883</v>
      </c>
      <c r="KWS1339" s="4" t="s">
        <v>2883</v>
      </c>
      <c r="KWT1339" s="4" t="s">
        <v>2883</v>
      </c>
      <c r="KWU1339" s="4" t="s">
        <v>2883</v>
      </c>
      <c r="KWV1339" s="4" t="s">
        <v>2883</v>
      </c>
      <c r="KWW1339" s="4" t="s">
        <v>2883</v>
      </c>
      <c r="KWX1339" s="4" t="s">
        <v>2883</v>
      </c>
      <c r="KWY1339" s="4" t="s">
        <v>2883</v>
      </c>
      <c r="KWZ1339" s="4" t="s">
        <v>2883</v>
      </c>
      <c r="KXA1339" s="4" t="s">
        <v>2883</v>
      </c>
      <c r="KXB1339" s="4" t="s">
        <v>2883</v>
      </c>
      <c r="KXC1339" s="4" t="s">
        <v>2883</v>
      </c>
      <c r="KXD1339" s="4" t="s">
        <v>2883</v>
      </c>
      <c r="KXE1339" s="4" t="s">
        <v>2883</v>
      </c>
      <c r="KXF1339" s="4" t="s">
        <v>2883</v>
      </c>
      <c r="KXG1339" s="4" t="s">
        <v>2883</v>
      </c>
      <c r="KXH1339" s="4" t="s">
        <v>2883</v>
      </c>
      <c r="KXI1339" s="4" t="s">
        <v>2883</v>
      </c>
      <c r="KXJ1339" s="4" t="s">
        <v>2883</v>
      </c>
      <c r="KXK1339" s="4" t="s">
        <v>2883</v>
      </c>
      <c r="KXL1339" s="4" t="s">
        <v>2883</v>
      </c>
      <c r="KXM1339" s="4" t="s">
        <v>2883</v>
      </c>
      <c r="KXN1339" s="4" t="s">
        <v>2883</v>
      </c>
      <c r="KXO1339" s="4" t="s">
        <v>2883</v>
      </c>
      <c r="KXP1339" s="4" t="s">
        <v>2883</v>
      </c>
      <c r="KXQ1339" s="4" t="s">
        <v>2883</v>
      </c>
      <c r="KXR1339" s="4" t="s">
        <v>2883</v>
      </c>
      <c r="KXS1339" s="4" t="s">
        <v>2883</v>
      </c>
      <c r="KXT1339" s="4" t="s">
        <v>2883</v>
      </c>
      <c r="KXU1339" s="4" t="s">
        <v>2883</v>
      </c>
      <c r="KXV1339" s="4" t="s">
        <v>2883</v>
      </c>
      <c r="KXW1339" s="4" t="s">
        <v>2883</v>
      </c>
      <c r="KXX1339" s="4" t="s">
        <v>2883</v>
      </c>
      <c r="KXY1339" s="4" t="s">
        <v>2883</v>
      </c>
      <c r="KXZ1339" s="4" t="s">
        <v>2883</v>
      </c>
      <c r="KYA1339" s="4" t="s">
        <v>2883</v>
      </c>
      <c r="KYB1339" s="4" t="s">
        <v>2883</v>
      </c>
      <c r="KYC1339" s="4" t="s">
        <v>2883</v>
      </c>
      <c r="KYD1339" s="4" t="s">
        <v>2883</v>
      </c>
      <c r="KYE1339" s="4" t="s">
        <v>2883</v>
      </c>
      <c r="KYF1339" s="4" t="s">
        <v>2883</v>
      </c>
      <c r="KYG1339" s="4" t="s">
        <v>2883</v>
      </c>
      <c r="KYH1339" s="4" t="s">
        <v>2883</v>
      </c>
      <c r="KYI1339" s="4" t="s">
        <v>2883</v>
      </c>
      <c r="KYJ1339" s="4" t="s">
        <v>2883</v>
      </c>
      <c r="KYK1339" s="4" t="s">
        <v>2883</v>
      </c>
      <c r="KYL1339" s="4" t="s">
        <v>2883</v>
      </c>
      <c r="KYM1339" s="4" t="s">
        <v>2883</v>
      </c>
      <c r="KYN1339" s="4" t="s">
        <v>2883</v>
      </c>
      <c r="KYO1339" s="4" t="s">
        <v>2883</v>
      </c>
      <c r="KYP1339" s="4" t="s">
        <v>2883</v>
      </c>
      <c r="KYQ1339" s="4" t="s">
        <v>2883</v>
      </c>
      <c r="KYR1339" s="4" t="s">
        <v>2883</v>
      </c>
      <c r="KYS1339" s="4" t="s">
        <v>2883</v>
      </c>
      <c r="KYT1339" s="4" t="s">
        <v>2883</v>
      </c>
      <c r="KYU1339" s="4" t="s">
        <v>2883</v>
      </c>
      <c r="KYV1339" s="4" t="s">
        <v>2883</v>
      </c>
      <c r="KYW1339" s="4" t="s">
        <v>2883</v>
      </c>
      <c r="KYX1339" s="4" t="s">
        <v>2883</v>
      </c>
      <c r="KYY1339" s="4" t="s">
        <v>2883</v>
      </c>
      <c r="KYZ1339" s="4" t="s">
        <v>2883</v>
      </c>
      <c r="KZA1339" s="4" t="s">
        <v>2883</v>
      </c>
      <c r="KZB1339" s="4" t="s">
        <v>2883</v>
      </c>
      <c r="KZC1339" s="4" t="s">
        <v>2883</v>
      </c>
      <c r="KZD1339" s="4" t="s">
        <v>2883</v>
      </c>
      <c r="KZE1339" s="4" t="s">
        <v>2883</v>
      </c>
      <c r="KZF1339" s="4" t="s">
        <v>2883</v>
      </c>
      <c r="KZG1339" s="4" t="s">
        <v>2883</v>
      </c>
      <c r="KZH1339" s="4" t="s">
        <v>2883</v>
      </c>
      <c r="KZI1339" s="4" t="s">
        <v>2883</v>
      </c>
      <c r="KZJ1339" s="4" t="s">
        <v>2883</v>
      </c>
      <c r="KZK1339" s="4" t="s">
        <v>2883</v>
      </c>
      <c r="KZL1339" s="4" t="s">
        <v>2883</v>
      </c>
      <c r="KZM1339" s="4" t="s">
        <v>2883</v>
      </c>
      <c r="KZN1339" s="4" t="s">
        <v>2883</v>
      </c>
      <c r="KZO1339" s="4" t="s">
        <v>2883</v>
      </c>
      <c r="KZP1339" s="4" t="s">
        <v>2883</v>
      </c>
      <c r="KZQ1339" s="4" t="s">
        <v>2883</v>
      </c>
      <c r="KZR1339" s="4" t="s">
        <v>2883</v>
      </c>
      <c r="KZS1339" s="4" t="s">
        <v>2883</v>
      </c>
      <c r="KZT1339" s="4" t="s">
        <v>2883</v>
      </c>
      <c r="KZU1339" s="4" t="s">
        <v>2883</v>
      </c>
      <c r="KZV1339" s="4" t="s">
        <v>2883</v>
      </c>
      <c r="KZW1339" s="4" t="s">
        <v>2883</v>
      </c>
      <c r="KZX1339" s="4" t="s">
        <v>2883</v>
      </c>
      <c r="KZY1339" s="4" t="s">
        <v>2883</v>
      </c>
      <c r="KZZ1339" s="4" t="s">
        <v>2883</v>
      </c>
      <c r="LAA1339" s="4" t="s">
        <v>2883</v>
      </c>
      <c r="LAB1339" s="4" t="s">
        <v>2883</v>
      </c>
      <c r="LAC1339" s="4" t="s">
        <v>2883</v>
      </c>
      <c r="LAD1339" s="4" t="s">
        <v>2883</v>
      </c>
      <c r="LAE1339" s="4" t="s">
        <v>2883</v>
      </c>
      <c r="LAF1339" s="4" t="s">
        <v>2883</v>
      </c>
      <c r="LAG1339" s="4" t="s">
        <v>2883</v>
      </c>
      <c r="LAH1339" s="4" t="s">
        <v>2883</v>
      </c>
      <c r="LAI1339" s="4" t="s">
        <v>2883</v>
      </c>
      <c r="LAJ1339" s="4" t="s">
        <v>2883</v>
      </c>
      <c r="LAK1339" s="4" t="s">
        <v>2883</v>
      </c>
      <c r="LAL1339" s="4" t="s">
        <v>2883</v>
      </c>
      <c r="LAM1339" s="4" t="s">
        <v>2883</v>
      </c>
      <c r="LAN1339" s="4" t="s">
        <v>2883</v>
      </c>
      <c r="LAO1339" s="4" t="s">
        <v>2883</v>
      </c>
      <c r="LAP1339" s="4" t="s">
        <v>2883</v>
      </c>
      <c r="LAQ1339" s="4" t="s">
        <v>2883</v>
      </c>
      <c r="LAR1339" s="4" t="s">
        <v>2883</v>
      </c>
      <c r="LAS1339" s="4" t="s">
        <v>2883</v>
      </c>
      <c r="LAT1339" s="4" t="s">
        <v>2883</v>
      </c>
      <c r="LAU1339" s="4" t="s">
        <v>2883</v>
      </c>
      <c r="LAV1339" s="4" t="s">
        <v>2883</v>
      </c>
      <c r="LAW1339" s="4" t="s">
        <v>2883</v>
      </c>
      <c r="LAX1339" s="4" t="s">
        <v>2883</v>
      </c>
      <c r="LAY1339" s="4" t="s">
        <v>2883</v>
      </c>
      <c r="LAZ1339" s="4" t="s">
        <v>2883</v>
      </c>
      <c r="LBA1339" s="4" t="s">
        <v>2883</v>
      </c>
      <c r="LBB1339" s="4" t="s">
        <v>2883</v>
      </c>
      <c r="LBC1339" s="4" t="s">
        <v>2883</v>
      </c>
      <c r="LBD1339" s="4" t="s">
        <v>2883</v>
      </c>
      <c r="LBE1339" s="4" t="s">
        <v>2883</v>
      </c>
      <c r="LBF1339" s="4" t="s">
        <v>2883</v>
      </c>
      <c r="LBG1339" s="4" t="s">
        <v>2883</v>
      </c>
      <c r="LBH1339" s="4" t="s">
        <v>2883</v>
      </c>
      <c r="LBI1339" s="4" t="s">
        <v>2883</v>
      </c>
      <c r="LBJ1339" s="4" t="s">
        <v>2883</v>
      </c>
      <c r="LBK1339" s="4" t="s">
        <v>2883</v>
      </c>
      <c r="LBL1339" s="4" t="s">
        <v>2883</v>
      </c>
      <c r="LBM1339" s="4" t="s">
        <v>2883</v>
      </c>
      <c r="LBN1339" s="4" t="s">
        <v>2883</v>
      </c>
      <c r="LBO1339" s="4" t="s">
        <v>2883</v>
      </c>
      <c r="LBP1339" s="4" t="s">
        <v>2883</v>
      </c>
      <c r="LBQ1339" s="4" t="s">
        <v>2883</v>
      </c>
      <c r="LBR1339" s="4" t="s">
        <v>2883</v>
      </c>
      <c r="LBS1339" s="4" t="s">
        <v>2883</v>
      </c>
      <c r="LBT1339" s="4" t="s">
        <v>2883</v>
      </c>
      <c r="LBU1339" s="4" t="s">
        <v>2883</v>
      </c>
      <c r="LBV1339" s="4" t="s">
        <v>2883</v>
      </c>
      <c r="LBW1339" s="4" t="s">
        <v>2883</v>
      </c>
      <c r="LBX1339" s="4" t="s">
        <v>2883</v>
      </c>
      <c r="LBY1339" s="4" t="s">
        <v>2883</v>
      </c>
      <c r="LBZ1339" s="4" t="s">
        <v>2883</v>
      </c>
      <c r="LCA1339" s="4" t="s">
        <v>2883</v>
      </c>
      <c r="LCB1339" s="4" t="s">
        <v>2883</v>
      </c>
      <c r="LCC1339" s="4" t="s">
        <v>2883</v>
      </c>
      <c r="LCD1339" s="4" t="s">
        <v>2883</v>
      </c>
      <c r="LCE1339" s="4" t="s">
        <v>2883</v>
      </c>
      <c r="LCF1339" s="4" t="s">
        <v>2883</v>
      </c>
      <c r="LCG1339" s="4" t="s">
        <v>2883</v>
      </c>
      <c r="LCH1339" s="4" t="s">
        <v>2883</v>
      </c>
      <c r="LCI1339" s="4" t="s">
        <v>2883</v>
      </c>
      <c r="LCJ1339" s="4" t="s">
        <v>2883</v>
      </c>
      <c r="LCK1339" s="4" t="s">
        <v>2883</v>
      </c>
      <c r="LCL1339" s="4" t="s">
        <v>2883</v>
      </c>
      <c r="LCM1339" s="4" t="s">
        <v>2883</v>
      </c>
      <c r="LCN1339" s="4" t="s">
        <v>2883</v>
      </c>
      <c r="LCO1339" s="4" t="s">
        <v>2883</v>
      </c>
      <c r="LCP1339" s="4" t="s">
        <v>2883</v>
      </c>
      <c r="LCQ1339" s="4" t="s">
        <v>2883</v>
      </c>
      <c r="LCR1339" s="4" t="s">
        <v>2883</v>
      </c>
      <c r="LCS1339" s="4" t="s">
        <v>2883</v>
      </c>
      <c r="LCT1339" s="4" t="s">
        <v>2883</v>
      </c>
      <c r="LCU1339" s="4" t="s">
        <v>2883</v>
      </c>
      <c r="LCV1339" s="4" t="s">
        <v>2883</v>
      </c>
      <c r="LCW1339" s="4" t="s">
        <v>2883</v>
      </c>
      <c r="LCX1339" s="4" t="s">
        <v>2883</v>
      </c>
      <c r="LCY1339" s="4" t="s">
        <v>2883</v>
      </c>
      <c r="LCZ1339" s="4" t="s">
        <v>2883</v>
      </c>
      <c r="LDA1339" s="4" t="s">
        <v>2883</v>
      </c>
      <c r="LDB1339" s="4" t="s">
        <v>2883</v>
      </c>
      <c r="LDC1339" s="4" t="s">
        <v>2883</v>
      </c>
      <c r="LDD1339" s="4" t="s">
        <v>2883</v>
      </c>
      <c r="LDE1339" s="4" t="s">
        <v>2883</v>
      </c>
      <c r="LDF1339" s="4" t="s">
        <v>2883</v>
      </c>
      <c r="LDG1339" s="4" t="s">
        <v>2883</v>
      </c>
      <c r="LDH1339" s="4" t="s">
        <v>2883</v>
      </c>
      <c r="LDI1339" s="4" t="s">
        <v>2883</v>
      </c>
      <c r="LDJ1339" s="4" t="s">
        <v>2883</v>
      </c>
      <c r="LDK1339" s="4" t="s">
        <v>2883</v>
      </c>
      <c r="LDL1339" s="4" t="s">
        <v>2883</v>
      </c>
      <c r="LDM1339" s="4" t="s">
        <v>2883</v>
      </c>
      <c r="LDN1339" s="4" t="s">
        <v>2883</v>
      </c>
      <c r="LDO1339" s="4" t="s">
        <v>2883</v>
      </c>
      <c r="LDP1339" s="4" t="s">
        <v>2883</v>
      </c>
      <c r="LDQ1339" s="4" t="s">
        <v>2883</v>
      </c>
      <c r="LDR1339" s="4" t="s">
        <v>2883</v>
      </c>
      <c r="LDS1339" s="4" t="s">
        <v>2883</v>
      </c>
      <c r="LDT1339" s="4" t="s">
        <v>2883</v>
      </c>
      <c r="LDU1339" s="4" t="s">
        <v>2883</v>
      </c>
      <c r="LDV1339" s="4" t="s">
        <v>2883</v>
      </c>
      <c r="LDW1339" s="4" t="s">
        <v>2883</v>
      </c>
      <c r="LDX1339" s="4" t="s">
        <v>2883</v>
      </c>
      <c r="LDY1339" s="4" t="s">
        <v>2883</v>
      </c>
      <c r="LDZ1339" s="4" t="s">
        <v>2883</v>
      </c>
      <c r="LEA1339" s="4" t="s">
        <v>2883</v>
      </c>
      <c r="LEB1339" s="4" t="s">
        <v>2883</v>
      </c>
      <c r="LEC1339" s="4" t="s">
        <v>2883</v>
      </c>
      <c r="LED1339" s="4" t="s">
        <v>2883</v>
      </c>
      <c r="LEE1339" s="4" t="s">
        <v>2883</v>
      </c>
      <c r="LEF1339" s="4" t="s">
        <v>2883</v>
      </c>
      <c r="LEG1339" s="4" t="s">
        <v>2883</v>
      </c>
      <c r="LEH1339" s="4" t="s">
        <v>2883</v>
      </c>
      <c r="LEI1339" s="4" t="s">
        <v>2883</v>
      </c>
      <c r="LEJ1339" s="4" t="s">
        <v>2883</v>
      </c>
      <c r="LEK1339" s="4" t="s">
        <v>2883</v>
      </c>
      <c r="LEL1339" s="4" t="s">
        <v>2883</v>
      </c>
      <c r="LEM1339" s="4" t="s">
        <v>2883</v>
      </c>
      <c r="LEN1339" s="4" t="s">
        <v>2883</v>
      </c>
      <c r="LEO1339" s="4" t="s">
        <v>2883</v>
      </c>
      <c r="LEP1339" s="4" t="s">
        <v>2883</v>
      </c>
      <c r="LEQ1339" s="4" t="s">
        <v>2883</v>
      </c>
      <c r="LER1339" s="4" t="s">
        <v>2883</v>
      </c>
      <c r="LES1339" s="4" t="s">
        <v>2883</v>
      </c>
      <c r="LET1339" s="4" t="s">
        <v>2883</v>
      </c>
      <c r="LEU1339" s="4" t="s">
        <v>2883</v>
      </c>
      <c r="LEV1339" s="4" t="s">
        <v>2883</v>
      </c>
      <c r="LEW1339" s="4" t="s">
        <v>2883</v>
      </c>
      <c r="LEX1339" s="4" t="s">
        <v>2883</v>
      </c>
      <c r="LEY1339" s="4" t="s">
        <v>2883</v>
      </c>
      <c r="LEZ1339" s="4" t="s">
        <v>2883</v>
      </c>
      <c r="LFA1339" s="4" t="s">
        <v>2883</v>
      </c>
      <c r="LFB1339" s="4" t="s">
        <v>2883</v>
      </c>
      <c r="LFC1339" s="4" t="s">
        <v>2883</v>
      </c>
      <c r="LFD1339" s="4" t="s">
        <v>2883</v>
      </c>
      <c r="LFE1339" s="4" t="s">
        <v>2883</v>
      </c>
      <c r="LFF1339" s="4" t="s">
        <v>2883</v>
      </c>
      <c r="LFG1339" s="4" t="s">
        <v>2883</v>
      </c>
      <c r="LFH1339" s="4" t="s">
        <v>2883</v>
      </c>
      <c r="LFI1339" s="4" t="s">
        <v>2883</v>
      </c>
      <c r="LFJ1339" s="4" t="s">
        <v>2883</v>
      </c>
      <c r="LFK1339" s="4" t="s">
        <v>2883</v>
      </c>
      <c r="LFL1339" s="4" t="s">
        <v>2883</v>
      </c>
      <c r="LFM1339" s="4" t="s">
        <v>2883</v>
      </c>
      <c r="LFN1339" s="4" t="s">
        <v>2883</v>
      </c>
      <c r="LFO1339" s="4" t="s">
        <v>2883</v>
      </c>
      <c r="LFP1339" s="4" t="s">
        <v>2883</v>
      </c>
      <c r="LFQ1339" s="4" t="s">
        <v>2883</v>
      </c>
      <c r="LFR1339" s="4" t="s">
        <v>2883</v>
      </c>
      <c r="LFS1339" s="4" t="s">
        <v>2883</v>
      </c>
      <c r="LFT1339" s="4" t="s">
        <v>2883</v>
      </c>
      <c r="LFU1339" s="4" t="s">
        <v>2883</v>
      </c>
      <c r="LFV1339" s="4" t="s">
        <v>2883</v>
      </c>
      <c r="LFW1339" s="4" t="s">
        <v>2883</v>
      </c>
      <c r="LFX1339" s="4" t="s">
        <v>2883</v>
      </c>
      <c r="LFY1339" s="4" t="s">
        <v>2883</v>
      </c>
      <c r="LFZ1339" s="4" t="s">
        <v>2883</v>
      </c>
      <c r="LGA1339" s="4" t="s">
        <v>2883</v>
      </c>
      <c r="LGB1339" s="4" t="s">
        <v>2883</v>
      </c>
      <c r="LGC1339" s="4" t="s">
        <v>2883</v>
      </c>
      <c r="LGD1339" s="4" t="s">
        <v>2883</v>
      </c>
      <c r="LGE1339" s="4" t="s">
        <v>2883</v>
      </c>
      <c r="LGF1339" s="4" t="s">
        <v>2883</v>
      </c>
      <c r="LGG1339" s="4" t="s">
        <v>2883</v>
      </c>
      <c r="LGH1339" s="4" t="s">
        <v>2883</v>
      </c>
      <c r="LGI1339" s="4" t="s">
        <v>2883</v>
      </c>
      <c r="LGJ1339" s="4" t="s">
        <v>2883</v>
      </c>
      <c r="LGK1339" s="4" t="s">
        <v>2883</v>
      </c>
      <c r="LGL1339" s="4" t="s">
        <v>2883</v>
      </c>
      <c r="LGM1339" s="4" t="s">
        <v>2883</v>
      </c>
      <c r="LGN1339" s="4" t="s">
        <v>2883</v>
      </c>
      <c r="LGO1339" s="4" t="s">
        <v>2883</v>
      </c>
      <c r="LGP1339" s="4" t="s">
        <v>2883</v>
      </c>
      <c r="LGQ1339" s="4" t="s">
        <v>2883</v>
      </c>
      <c r="LGR1339" s="4" t="s">
        <v>2883</v>
      </c>
      <c r="LGS1339" s="4" t="s">
        <v>2883</v>
      </c>
      <c r="LGT1339" s="4" t="s">
        <v>2883</v>
      </c>
      <c r="LGU1339" s="4" t="s">
        <v>2883</v>
      </c>
      <c r="LGV1339" s="4" t="s">
        <v>2883</v>
      </c>
      <c r="LGW1339" s="4" t="s">
        <v>2883</v>
      </c>
      <c r="LGX1339" s="4" t="s">
        <v>2883</v>
      </c>
      <c r="LGY1339" s="4" t="s">
        <v>2883</v>
      </c>
      <c r="LGZ1339" s="4" t="s">
        <v>2883</v>
      </c>
      <c r="LHA1339" s="4" t="s">
        <v>2883</v>
      </c>
      <c r="LHB1339" s="4" t="s">
        <v>2883</v>
      </c>
      <c r="LHC1339" s="4" t="s">
        <v>2883</v>
      </c>
      <c r="LHD1339" s="4" t="s">
        <v>2883</v>
      </c>
      <c r="LHE1339" s="4" t="s">
        <v>2883</v>
      </c>
      <c r="LHF1339" s="4" t="s">
        <v>2883</v>
      </c>
      <c r="LHG1339" s="4" t="s">
        <v>2883</v>
      </c>
      <c r="LHH1339" s="4" t="s">
        <v>2883</v>
      </c>
      <c r="LHI1339" s="4" t="s">
        <v>2883</v>
      </c>
      <c r="LHJ1339" s="4" t="s">
        <v>2883</v>
      </c>
      <c r="LHK1339" s="4" t="s">
        <v>2883</v>
      </c>
      <c r="LHL1339" s="4" t="s">
        <v>2883</v>
      </c>
      <c r="LHM1339" s="4" t="s">
        <v>2883</v>
      </c>
      <c r="LHN1339" s="4" t="s">
        <v>2883</v>
      </c>
      <c r="LHO1339" s="4" t="s">
        <v>2883</v>
      </c>
      <c r="LHP1339" s="4" t="s">
        <v>2883</v>
      </c>
      <c r="LHQ1339" s="4" t="s">
        <v>2883</v>
      </c>
      <c r="LHR1339" s="4" t="s">
        <v>2883</v>
      </c>
      <c r="LHS1339" s="4" t="s">
        <v>2883</v>
      </c>
      <c r="LHT1339" s="4" t="s">
        <v>2883</v>
      </c>
      <c r="LHU1339" s="4" t="s">
        <v>2883</v>
      </c>
      <c r="LHV1339" s="4" t="s">
        <v>2883</v>
      </c>
      <c r="LHW1339" s="4" t="s">
        <v>2883</v>
      </c>
      <c r="LHX1339" s="4" t="s">
        <v>2883</v>
      </c>
      <c r="LHY1339" s="4" t="s">
        <v>2883</v>
      </c>
      <c r="LHZ1339" s="4" t="s">
        <v>2883</v>
      </c>
      <c r="LIA1339" s="4" t="s">
        <v>2883</v>
      </c>
      <c r="LIB1339" s="4" t="s">
        <v>2883</v>
      </c>
      <c r="LIC1339" s="4" t="s">
        <v>2883</v>
      </c>
      <c r="LID1339" s="4" t="s">
        <v>2883</v>
      </c>
      <c r="LIE1339" s="4" t="s">
        <v>2883</v>
      </c>
      <c r="LIF1339" s="4" t="s">
        <v>2883</v>
      </c>
      <c r="LIG1339" s="4" t="s">
        <v>2883</v>
      </c>
      <c r="LIH1339" s="4" t="s">
        <v>2883</v>
      </c>
      <c r="LII1339" s="4" t="s">
        <v>2883</v>
      </c>
      <c r="LIJ1339" s="4" t="s">
        <v>2883</v>
      </c>
      <c r="LIK1339" s="4" t="s">
        <v>2883</v>
      </c>
      <c r="LIL1339" s="4" t="s">
        <v>2883</v>
      </c>
      <c r="LIM1339" s="4" t="s">
        <v>2883</v>
      </c>
      <c r="LIN1339" s="4" t="s">
        <v>2883</v>
      </c>
      <c r="LIO1339" s="4" t="s">
        <v>2883</v>
      </c>
      <c r="LIP1339" s="4" t="s">
        <v>2883</v>
      </c>
      <c r="LIQ1339" s="4" t="s">
        <v>2883</v>
      </c>
      <c r="LIR1339" s="4" t="s">
        <v>2883</v>
      </c>
      <c r="LIS1339" s="4" t="s">
        <v>2883</v>
      </c>
      <c r="LIT1339" s="4" t="s">
        <v>2883</v>
      </c>
      <c r="LIU1339" s="4" t="s">
        <v>2883</v>
      </c>
      <c r="LIV1339" s="4" t="s">
        <v>2883</v>
      </c>
      <c r="LIW1339" s="4" t="s">
        <v>2883</v>
      </c>
      <c r="LIX1339" s="4" t="s">
        <v>2883</v>
      </c>
      <c r="LIY1339" s="4" t="s">
        <v>2883</v>
      </c>
      <c r="LIZ1339" s="4" t="s">
        <v>2883</v>
      </c>
      <c r="LJA1339" s="4" t="s">
        <v>2883</v>
      </c>
      <c r="LJB1339" s="4" t="s">
        <v>2883</v>
      </c>
      <c r="LJC1339" s="4" t="s">
        <v>2883</v>
      </c>
      <c r="LJD1339" s="4" t="s">
        <v>2883</v>
      </c>
      <c r="LJE1339" s="4" t="s">
        <v>2883</v>
      </c>
      <c r="LJF1339" s="4" t="s">
        <v>2883</v>
      </c>
      <c r="LJG1339" s="4" t="s">
        <v>2883</v>
      </c>
      <c r="LJH1339" s="4" t="s">
        <v>2883</v>
      </c>
      <c r="LJI1339" s="4" t="s">
        <v>2883</v>
      </c>
      <c r="LJJ1339" s="4" t="s">
        <v>2883</v>
      </c>
      <c r="LJK1339" s="4" t="s">
        <v>2883</v>
      </c>
      <c r="LJL1339" s="4" t="s">
        <v>2883</v>
      </c>
      <c r="LJM1339" s="4" t="s">
        <v>2883</v>
      </c>
      <c r="LJN1339" s="4" t="s">
        <v>2883</v>
      </c>
      <c r="LJO1339" s="4" t="s">
        <v>2883</v>
      </c>
      <c r="LJP1339" s="4" t="s">
        <v>2883</v>
      </c>
      <c r="LJQ1339" s="4" t="s">
        <v>2883</v>
      </c>
      <c r="LJR1339" s="4" t="s">
        <v>2883</v>
      </c>
      <c r="LJS1339" s="4" t="s">
        <v>2883</v>
      </c>
      <c r="LJT1339" s="4" t="s">
        <v>2883</v>
      </c>
      <c r="LJU1339" s="4" t="s">
        <v>2883</v>
      </c>
      <c r="LJV1339" s="4" t="s">
        <v>2883</v>
      </c>
      <c r="LJW1339" s="4" t="s">
        <v>2883</v>
      </c>
      <c r="LJX1339" s="4" t="s">
        <v>2883</v>
      </c>
      <c r="LJY1339" s="4" t="s">
        <v>2883</v>
      </c>
      <c r="LJZ1339" s="4" t="s">
        <v>2883</v>
      </c>
      <c r="LKA1339" s="4" t="s">
        <v>2883</v>
      </c>
      <c r="LKB1339" s="4" t="s">
        <v>2883</v>
      </c>
      <c r="LKC1339" s="4" t="s">
        <v>2883</v>
      </c>
      <c r="LKD1339" s="4" t="s">
        <v>2883</v>
      </c>
      <c r="LKE1339" s="4" t="s">
        <v>2883</v>
      </c>
      <c r="LKF1339" s="4" t="s">
        <v>2883</v>
      </c>
      <c r="LKG1339" s="4" t="s">
        <v>2883</v>
      </c>
      <c r="LKH1339" s="4" t="s">
        <v>2883</v>
      </c>
      <c r="LKI1339" s="4" t="s">
        <v>2883</v>
      </c>
      <c r="LKJ1339" s="4" t="s">
        <v>2883</v>
      </c>
      <c r="LKK1339" s="4" t="s">
        <v>2883</v>
      </c>
      <c r="LKL1339" s="4" t="s">
        <v>2883</v>
      </c>
      <c r="LKM1339" s="4" t="s">
        <v>2883</v>
      </c>
      <c r="LKN1339" s="4" t="s">
        <v>2883</v>
      </c>
      <c r="LKO1339" s="4" t="s">
        <v>2883</v>
      </c>
      <c r="LKP1339" s="4" t="s">
        <v>2883</v>
      </c>
      <c r="LKQ1339" s="4" t="s">
        <v>2883</v>
      </c>
      <c r="LKR1339" s="4" t="s">
        <v>2883</v>
      </c>
      <c r="LKS1339" s="4" t="s">
        <v>2883</v>
      </c>
      <c r="LKT1339" s="4" t="s">
        <v>2883</v>
      </c>
      <c r="LKU1339" s="4" t="s">
        <v>2883</v>
      </c>
      <c r="LKV1339" s="4" t="s">
        <v>2883</v>
      </c>
      <c r="LKW1339" s="4" t="s">
        <v>2883</v>
      </c>
      <c r="LKX1339" s="4" t="s">
        <v>2883</v>
      </c>
      <c r="LKY1339" s="4" t="s">
        <v>2883</v>
      </c>
      <c r="LKZ1339" s="4" t="s">
        <v>2883</v>
      </c>
      <c r="LLA1339" s="4" t="s">
        <v>2883</v>
      </c>
      <c r="LLB1339" s="4" t="s">
        <v>2883</v>
      </c>
      <c r="LLC1339" s="4" t="s">
        <v>2883</v>
      </c>
      <c r="LLD1339" s="4" t="s">
        <v>2883</v>
      </c>
      <c r="LLE1339" s="4" t="s">
        <v>2883</v>
      </c>
      <c r="LLF1339" s="4" t="s">
        <v>2883</v>
      </c>
      <c r="LLG1339" s="4" t="s">
        <v>2883</v>
      </c>
      <c r="LLH1339" s="4" t="s">
        <v>2883</v>
      </c>
      <c r="LLI1339" s="4" t="s">
        <v>2883</v>
      </c>
      <c r="LLJ1339" s="4" t="s">
        <v>2883</v>
      </c>
      <c r="LLK1339" s="4" t="s">
        <v>2883</v>
      </c>
      <c r="LLL1339" s="4" t="s">
        <v>2883</v>
      </c>
      <c r="LLM1339" s="4" t="s">
        <v>2883</v>
      </c>
      <c r="LLN1339" s="4" t="s">
        <v>2883</v>
      </c>
      <c r="LLO1339" s="4" t="s">
        <v>2883</v>
      </c>
      <c r="LLP1339" s="4" t="s">
        <v>2883</v>
      </c>
      <c r="LLQ1339" s="4" t="s">
        <v>2883</v>
      </c>
      <c r="LLR1339" s="4" t="s">
        <v>2883</v>
      </c>
      <c r="LLS1339" s="4" t="s">
        <v>2883</v>
      </c>
      <c r="LLT1339" s="4" t="s">
        <v>2883</v>
      </c>
      <c r="LLU1339" s="4" t="s">
        <v>2883</v>
      </c>
      <c r="LLV1339" s="4" t="s">
        <v>2883</v>
      </c>
      <c r="LLW1339" s="4" t="s">
        <v>2883</v>
      </c>
      <c r="LLX1339" s="4" t="s">
        <v>2883</v>
      </c>
      <c r="LLY1339" s="4" t="s">
        <v>2883</v>
      </c>
      <c r="LLZ1339" s="4" t="s">
        <v>2883</v>
      </c>
      <c r="LMA1339" s="4" t="s">
        <v>2883</v>
      </c>
      <c r="LMB1339" s="4" t="s">
        <v>2883</v>
      </c>
      <c r="LMC1339" s="4" t="s">
        <v>2883</v>
      </c>
      <c r="LMD1339" s="4" t="s">
        <v>2883</v>
      </c>
      <c r="LME1339" s="4" t="s">
        <v>2883</v>
      </c>
      <c r="LMF1339" s="4" t="s">
        <v>2883</v>
      </c>
      <c r="LMG1339" s="4" t="s">
        <v>2883</v>
      </c>
      <c r="LMH1339" s="4" t="s">
        <v>2883</v>
      </c>
      <c r="LMI1339" s="4" t="s">
        <v>2883</v>
      </c>
      <c r="LMJ1339" s="4" t="s">
        <v>2883</v>
      </c>
      <c r="LMK1339" s="4" t="s">
        <v>2883</v>
      </c>
      <c r="LML1339" s="4" t="s">
        <v>2883</v>
      </c>
      <c r="LMM1339" s="4" t="s">
        <v>2883</v>
      </c>
      <c r="LMN1339" s="4" t="s">
        <v>2883</v>
      </c>
      <c r="LMO1339" s="4" t="s">
        <v>2883</v>
      </c>
      <c r="LMP1339" s="4" t="s">
        <v>2883</v>
      </c>
      <c r="LMQ1339" s="4" t="s">
        <v>2883</v>
      </c>
      <c r="LMR1339" s="4" t="s">
        <v>2883</v>
      </c>
      <c r="LMS1339" s="4" t="s">
        <v>2883</v>
      </c>
      <c r="LMT1339" s="4" t="s">
        <v>2883</v>
      </c>
      <c r="LMU1339" s="4" t="s">
        <v>2883</v>
      </c>
      <c r="LMV1339" s="4" t="s">
        <v>2883</v>
      </c>
      <c r="LMW1339" s="4" t="s">
        <v>2883</v>
      </c>
      <c r="LMX1339" s="4" t="s">
        <v>2883</v>
      </c>
      <c r="LMY1339" s="4" t="s">
        <v>2883</v>
      </c>
      <c r="LMZ1339" s="4" t="s">
        <v>2883</v>
      </c>
      <c r="LNA1339" s="4" t="s">
        <v>2883</v>
      </c>
      <c r="LNB1339" s="4" t="s">
        <v>2883</v>
      </c>
      <c r="LNC1339" s="4" t="s">
        <v>2883</v>
      </c>
      <c r="LND1339" s="4" t="s">
        <v>2883</v>
      </c>
      <c r="LNE1339" s="4" t="s">
        <v>2883</v>
      </c>
      <c r="LNF1339" s="4" t="s">
        <v>2883</v>
      </c>
      <c r="LNG1339" s="4" t="s">
        <v>2883</v>
      </c>
      <c r="LNH1339" s="4" t="s">
        <v>2883</v>
      </c>
      <c r="LNI1339" s="4" t="s">
        <v>2883</v>
      </c>
      <c r="LNJ1339" s="4" t="s">
        <v>2883</v>
      </c>
      <c r="LNK1339" s="4" t="s">
        <v>2883</v>
      </c>
      <c r="LNL1339" s="4" t="s">
        <v>2883</v>
      </c>
      <c r="LNM1339" s="4" t="s">
        <v>2883</v>
      </c>
      <c r="LNN1339" s="4" t="s">
        <v>2883</v>
      </c>
      <c r="LNO1339" s="4" t="s">
        <v>2883</v>
      </c>
      <c r="LNP1339" s="4" t="s">
        <v>2883</v>
      </c>
      <c r="LNQ1339" s="4" t="s">
        <v>2883</v>
      </c>
      <c r="LNR1339" s="4" t="s">
        <v>2883</v>
      </c>
      <c r="LNS1339" s="4" t="s">
        <v>2883</v>
      </c>
      <c r="LNT1339" s="4" t="s">
        <v>2883</v>
      </c>
      <c r="LNU1339" s="4" t="s">
        <v>2883</v>
      </c>
      <c r="LNV1339" s="4" t="s">
        <v>2883</v>
      </c>
      <c r="LNW1339" s="4" t="s">
        <v>2883</v>
      </c>
      <c r="LNX1339" s="4" t="s">
        <v>2883</v>
      </c>
      <c r="LNY1339" s="4" t="s">
        <v>2883</v>
      </c>
      <c r="LNZ1339" s="4" t="s">
        <v>2883</v>
      </c>
      <c r="LOA1339" s="4" t="s">
        <v>2883</v>
      </c>
      <c r="LOB1339" s="4" t="s">
        <v>2883</v>
      </c>
      <c r="LOC1339" s="4" t="s">
        <v>2883</v>
      </c>
      <c r="LOD1339" s="4" t="s">
        <v>2883</v>
      </c>
      <c r="LOE1339" s="4" t="s">
        <v>2883</v>
      </c>
      <c r="LOF1339" s="4" t="s">
        <v>2883</v>
      </c>
      <c r="LOG1339" s="4" t="s">
        <v>2883</v>
      </c>
      <c r="LOH1339" s="4" t="s">
        <v>2883</v>
      </c>
      <c r="LOI1339" s="4" t="s">
        <v>2883</v>
      </c>
      <c r="LOJ1339" s="4" t="s">
        <v>2883</v>
      </c>
      <c r="LOK1339" s="4" t="s">
        <v>2883</v>
      </c>
      <c r="LOL1339" s="4" t="s">
        <v>2883</v>
      </c>
      <c r="LOM1339" s="4" t="s">
        <v>2883</v>
      </c>
      <c r="LON1339" s="4" t="s">
        <v>2883</v>
      </c>
      <c r="LOO1339" s="4" t="s">
        <v>2883</v>
      </c>
      <c r="LOP1339" s="4" t="s">
        <v>2883</v>
      </c>
      <c r="LOQ1339" s="4" t="s">
        <v>2883</v>
      </c>
      <c r="LOR1339" s="4" t="s">
        <v>2883</v>
      </c>
      <c r="LOS1339" s="4" t="s">
        <v>2883</v>
      </c>
      <c r="LOT1339" s="4" t="s">
        <v>2883</v>
      </c>
      <c r="LOU1339" s="4" t="s">
        <v>2883</v>
      </c>
      <c r="LOV1339" s="4" t="s">
        <v>2883</v>
      </c>
      <c r="LOW1339" s="4" t="s">
        <v>2883</v>
      </c>
      <c r="LOX1339" s="4" t="s">
        <v>2883</v>
      </c>
      <c r="LOY1339" s="4" t="s">
        <v>2883</v>
      </c>
      <c r="LOZ1339" s="4" t="s">
        <v>2883</v>
      </c>
      <c r="LPA1339" s="4" t="s">
        <v>2883</v>
      </c>
      <c r="LPB1339" s="4" t="s">
        <v>2883</v>
      </c>
      <c r="LPC1339" s="4" t="s">
        <v>2883</v>
      </c>
      <c r="LPD1339" s="4" t="s">
        <v>2883</v>
      </c>
      <c r="LPE1339" s="4" t="s">
        <v>2883</v>
      </c>
      <c r="LPF1339" s="4" t="s">
        <v>2883</v>
      </c>
      <c r="LPG1339" s="4" t="s">
        <v>2883</v>
      </c>
      <c r="LPH1339" s="4" t="s">
        <v>2883</v>
      </c>
      <c r="LPI1339" s="4" t="s">
        <v>2883</v>
      </c>
      <c r="LPJ1339" s="4" t="s">
        <v>2883</v>
      </c>
      <c r="LPK1339" s="4" t="s">
        <v>2883</v>
      </c>
      <c r="LPL1339" s="4" t="s">
        <v>2883</v>
      </c>
      <c r="LPM1339" s="4" t="s">
        <v>2883</v>
      </c>
      <c r="LPN1339" s="4" t="s">
        <v>2883</v>
      </c>
      <c r="LPO1339" s="4" t="s">
        <v>2883</v>
      </c>
      <c r="LPP1339" s="4" t="s">
        <v>2883</v>
      </c>
      <c r="LPQ1339" s="4" t="s">
        <v>2883</v>
      </c>
      <c r="LPR1339" s="4" t="s">
        <v>2883</v>
      </c>
      <c r="LPS1339" s="4" t="s">
        <v>2883</v>
      </c>
      <c r="LPT1339" s="4" t="s">
        <v>2883</v>
      </c>
      <c r="LPU1339" s="4" t="s">
        <v>2883</v>
      </c>
      <c r="LPV1339" s="4" t="s">
        <v>2883</v>
      </c>
      <c r="LPW1339" s="4" t="s">
        <v>2883</v>
      </c>
      <c r="LPX1339" s="4" t="s">
        <v>2883</v>
      </c>
      <c r="LPY1339" s="4" t="s">
        <v>2883</v>
      </c>
      <c r="LPZ1339" s="4" t="s">
        <v>2883</v>
      </c>
      <c r="LQA1339" s="4" t="s">
        <v>2883</v>
      </c>
      <c r="LQB1339" s="4" t="s">
        <v>2883</v>
      </c>
      <c r="LQC1339" s="4" t="s">
        <v>2883</v>
      </c>
      <c r="LQD1339" s="4" t="s">
        <v>2883</v>
      </c>
      <c r="LQE1339" s="4" t="s">
        <v>2883</v>
      </c>
      <c r="LQF1339" s="4" t="s">
        <v>2883</v>
      </c>
      <c r="LQG1339" s="4" t="s">
        <v>2883</v>
      </c>
      <c r="LQH1339" s="4" t="s">
        <v>2883</v>
      </c>
      <c r="LQI1339" s="4" t="s">
        <v>2883</v>
      </c>
      <c r="LQJ1339" s="4" t="s">
        <v>2883</v>
      </c>
      <c r="LQK1339" s="4" t="s">
        <v>2883</v>
      </c>
      <c r="LQL1339" s="4" t="s">
        <v>2883</v>
      </c>
      <c r="LQM1339" s="4" t="s">
        <v>2883</v>
      </c>
      <c r="LQN1339" s="4" t="s">
        <v>2883</v>
      </c>
      <c r="LQO1339" s="4" t="s">
        <v>2883</v>
      </c>
      <c r="LQP1339" s="4" t="s">
        <v>2883</v>
      </c>
      <c r="LQQ1339" s="4" t="s">
        <v>2883</v>
      </c>
      <c r="LQR1339" s="4" t="s">
        <v>2883</v>
      </c>
      <c r="LQS1339" s="4" t="s">
        <v>2883</v>
      </c>
      <c r="LQT1339" s="4" t="s">
        <v>2883</v>
      </c>
      <c r="LQU1339" s="4" t="s">
        <v>2883</v>
      </c>
      <c r="LQV1339" s="4" t="s">
        <v>2883</v>
      </c>
      <c r="LQW1339" s="4" t="s">
        <v>2883</v>
      </c>
      <c r="LQX1339" s="4" t="s">
        <v>2883</v>
      </c>
      <c r="LQY1339" s="4" t="s">
        <v>2883</v>
      </c>
      <c r="LQZ1339" s="4" t="s">
        <v>2883</v>
      </c>
      <c r="LRA1339" s="4" t="s">
        <v>2883</v>
      </c>
      <c r="LRB1339" s="4" t="s">
        <v>2883</v>
      </c>
      <c r="LRC1339" s="4" t="s">
        <v>2883</v>
      </c>
      <c r="LRD1339" s="4" t="s">
        <v>2883</v>
      </c>
      <c r="LRE1339" s="4" t="s">
        <v>2883</v>
      </c>
      <c r="LRF1339" s="4" t="s">
        <v>2883</v>
      </c>
      <c r="LRG1339" s="4" t="s">
        <v>2883</v>
      </c>
      <c r="LRH1339" s="4" t="s">
        <v>2883</v>
      </c>
      <c r="LRI1339" s="4" t="s">
        <v>2883</v>
      </c>
      <c r="LRJ1339" s="4" t="s">
        <v>2883</v>
      </c>
      <c r="LRK1339" s="4" t="s">
        <v>2883</v>
      </c>
      <c r="LRL1339" s="4" t="s">
        <v>2883</v>
      </c>
      <c r="LRM1339" s="4" t="s">
        <v>2883</v>
      </c>
      <c r="LRN1339" s="4" t="s">
        <v>2883</v>
      </c>
      <c r="LRO1339" s="4" t="s">
        <v>2883</v>
      </c>
      <c r="LRP1339" s="4" t="s">
        <v>2883</v>
      </c>
      <c r="LRQ1339" s="4" t="s">
        <v>2883</v>
      </c>
      <c r="LRR1339" s="4" t="s">
        <v>2883</v>
      </c>
      <c r="LRS1339" s="4" t="s">
        <v>2883</v>
      </c>
      <c r="LRT1339" s="4" t="s">
        <v>2883</v>
      </c>
      <c r="LRU1339" s="4" t="s">
        <v>2883</v>
      </c>
      <c r="LRV1339" s="4" t="s">
        <v>2883</v>
      </c>
      <c r="LRW1339" s="4" t="s">
        <v>2883</v>
      </c>
      <c r="LRX1339" s="4" t="s">
        <v>2883</v>
      </c>
      <c r="LRY1339" s="4" t="s">
        <v>2883</v>
      </c>
      <c r="LRZ1339" s="4" t="s">
        <v>2883</v>
      </c>
      <c r="LSA1339" s="4" t="s">
        <v>2883</v>
      </c>
      <c r="LSB1339" s="4" t="s">
        <v>2883</v>
      </c>
      <c r="LSC1339" s="4" t="s">
        <v>2883</v>
      </c>
      <c r="LSD1339" s="4" t="s">
        <v>2883</v>
      </c>
      <c r="LSE1339" s="4" t="s">
        <v>2883</v>
      </c>
      <c r="LSF1339" s="4" t="s">
        <v>2883</v>
      </c>
      <c r="LSG1339" s="4" t="s">
        <v>2883</v>
      </c>
      <c r="LSH1339" s="4" t="s">
        <v>2883</v>
      </c>
      <c r="LSI1339" s="4" t="s">
        <v>2883</v>
      </c>
      <c r="LSJ1339" s="4" t="s">
        <v>2883</v>
      </c>
      <c r="LSK1339" s="4" t="s">
        <v>2883</v>
      </c>
      <c r="LSL1339" s="4" t="s">
        <v>2883</v>
      </c>
      <c r="LSM1339" s="4" t="s">
        <v>2883</v>
      </c>
      <c r="LSN1339" s="4" t="s">
        <v>2883</v>
      </c>
      <c r="LSO1339" s="4" t="s">
        <v>2883</v>
      </c>
      <c r="LSP1339" s="4" t="s">
        <v>2883</v>
      </c>
      <c r="LSQ1339" s="4" t="s">
        <v>2883</v>
      </c>
      <c r="LSR1339" s="4" t="s">
        <v>2883</v>
      </c>
      <c r="LSS1339" s="4" t="s">
        <v>2883</v>
      </c>
      <c r="LST1339" s="4" t="s">
        <v>2883</v>
      </c>
      <c r="LSU1339" s="4" t="s">
        <v>2883</v>
      </c>
      <c r="LSV1339" s="4" t="s">
        <v>2883</v>
      </c>
      <c r="LSW1339" s="4" t="s">
        <v>2883</v>
      </c>
      <c r="LSX1339" s="4" t="s">
        <v>2883</v>
      </c>
      <c r="LSY1339" s="4" t="s">
        <v>2883</v>
      </c>
      <c r="LSZ1339" s="4" t="s">
        <v>2883</v>
      </c>
      <c r="LTA1339" s="4" t="s">
        <v>2883</v>
      </c>
      <c r="LTB1339" s="4" t="s">
        <v>2883</v>
      </c>
      <c r="LTC1339" s="4" t="s">
        <v>2883</v>
      </c>
      <c r="LTD1339" s="4" t="s">
        <v>2883</v>
      </c>
      <c r="LTE1339" s="4" t="s">
        <v>2883</v>
      </c>
      <c r="LTF1339" s="4" t="s">
        <v>2883</v>
      </c>
      <c r="LTG1339" s="4" t="s">
        <v>2883</v>
      </c>
      <c r="LTH1339" s="4" t="s">
        <v>2883</v>
      </c>
      <c r="LTI1339" s="4" t="s">
        <v>2883</v>
      </c>
      <c r="LTJ1339" s="4" t="s">
        <v>2883</v>
      </c>
      <c r="LTK1339" s="4" t="s">
        <v>2883</v>
      </c>
      <c r="LTL1339" s="4" t="s">
        <v>2883</v>
      </c>
      <c r="LTM1339" s="4" t="s">
        <v>2883</v>
      </c>
      <c r="LTN1339" s="4" t="s">
        <v>2883</v>
      </c>
      <c r="LTO1339" s="4" t="s">
        <v>2883</v>
      </c>
      <c r="LTP1339" s="4" t="s">
        <v>2883</v>
      </c>
      <c r="LTQ1339" s="4" t="s">
        <v>2883</v>
      </c>
      <c r="LTR1339" s="4" t="s">
        <v>2883</v>
      </c>
      <c r="LTS1339" s="4" t="s">
        <v>2883</v>
      </c>
      <c r="LTT1339" s="4" t="s">
        <v>2883</v>
      </c>
      <c r="LTU1339" s="4" t="s">
        <v>2883</v>
      </c>
      <c r="LTV1339" s="4" t="s">
        <v>2883</v>
      </c>
      <c r="LTW1339" s="4" t="s">
        <v>2883</v>
      </c>
      <c r="LTX1339" s="4" t="s">
        <v>2883</v>
      </c>
      <c r="LTY1339" s="4" t="s">
        <v>2883</v>
      </c>
      <c r="LTZ1339" s="4" t="s">
        <v>2883</v>
      </c>
      <c r="LUA1339" s="4" t="s">
        <v>2883</v>
      </c>
      <c r="LUB1339" s="4" t="s">
        <v>2883</v>
      </c>
      <c r="LUC1339" s="4" t="s">
        <v>2883</v>
      </c>
      <c r="LUD1339" s="4" t="s">
        <v>2883</v>
      </c>
      <c r="LUE1339" s="4" t="s">
        <v>2883</v>
      </c>
      <c r="LUF1339" s="4" t="s">
        <v>2883</v>
      </c>
      <c r="LUG1339" s="4" t="s">
        <v>2883</v>
      </c>
      <c r="LUH1339" s="4" t="s">
        <v>2883</v>
      </c>
      <c r="LUI1339" s="4" t="s">
        <v>2883</v>
      </c>
      <c r="LUJ1339" s="4" t="s">
        <v>2883</v>
      </c>
      <c r="LUK1339" s="4" t="s">
        <v>2883</v>
      </c>
      <c r="LUL1339" s="4" t="s">
        <v>2883</v>
      </c>
      <c r="LUM1339" s="4" t="s">
        <v>2883</v>
      </c>
      <c r="LUN1339" s="4" t="s">
        <v>2883</v>
      </c>
      <c r="LUO1339" s="4" t="s">
        <v>2883</v>
      </c>
      <c r="LUP1339" s="4" t="s">
        <v>2883</v>
      </c>
      <c r="LUQ1339" s="4" t="s">
        <v>2883</v>
      </c>
      <c r="LUR1339" s="4" t="s">
        <v>2883</v>
      </c>
      <c r="LUS1339" s="4" t="s">
        <v>2883</v>
      </c>
      <c r="LUT1339" s="4" t="s">
        <v>2883</v>
      </c>
      <c r="LUU1339" s="4" t="s">
        <v>2883</v>
      </c>
      <c r="LUV1339" s="4" t="s">
        <v>2883</v>
      </c>
      <c r="LUW1339" s="4" t="s">
        <v>2883</v>
      </c>
      <c r="LUX1339" s="4" t="s">
        <v>2883</v>
      </c>
      <c r="LUY1339" s="4" t="s">
        <v>2883</v>
      </c>
      <c r="LUZ1339" s="4" t="s">
        <v>2883</v>
      </c>
      <c r="LVA1339" s="4" t="s">
        <v>2883</v>
      </c>
      <c r="LVB1339" s="4" t="s">
        <v>2883</v>
      </c>
      <c r="LVC1339" s="4" t="s">
        <v>2883</v>
      </c>
      <c r="LVD1339" s="4" t="s">
        <v>2883</v>
      </c>
      <c r="LVE1339" s="4" t="s">
        <v>2883</v>
      </c>
      <c r="LVF1339" s="4" t="s">
        <v>2883</v>
      </c>
      <c r="LVG1339" s="4" t="s">
        <v>2883</v>
      </c>
      <c r="LVH1339" s="4" t="s">
        <v>2883</v>
      </c>
      <c r="LVI1339" s="4" t="s">
        <v>2883</v>
      </c>
      <c r="LVJ1339" s="4" t="s">
        <v>2883</v>
      </c>
      <c r="LVK1339" s="4" t="s">
        <v>2883</v>
      </c>
      <c r="LVL1339" s="4" t="s">
        <v>2883</v>
      </c>
      <c r="LVM1339" s="4" t="s">
        <v>2883</v>
      </c>
      <c r="LVN1339" s="4" t="s">
        <v>2883</v>
      </c>
      <c r="LVO1339" s="4" t="s">
        <v>2883</v>
      </c>
      <c r="LVP1339" s="4" t="s">
        <v>2883</v>
      </c>
      <c r="LVQ1339" s="4" t="s">
        <v>2883</v>
      </c>
      <c r="LVR1339" s="4" t="s">
        <v>2883</v>
      </c>
      <c r="LVS1339" s="4" t="s">
        <v>2883</v>
      </c>
      <c r="LVT1339" s="4" t="s">
        <v>2883</v>
      </c>
      <c r="LVU1339" s="4" t="s">
        <v>2883</v>
      </c>
      <c r="LVV1339" s="4" t="s">
        <v>2883</v>
      </c>
      <c r="LVW1339" s="4" t="s">
        <v>2883</v>
      </c>
      <c r="LVX1339" s="4" t="s">
        <v>2883</v>
      </c>
      <c r="LVY1339" s="4" t="s">
        <v>2883</v>
      </c>
      <c r="LVZ1339" s="4" t="s">
        <v>2883</v>
      </c>
      <c r="LWA1339" s="4" t="s">
        <v>2883</v>
      </c>
      <c r="LWB1339" s="4" t="s">
        <v>2883</v>
      </c>
      <c r="LWC1339" s="4" t="s">
        <v>2883</v>
      </c>
      <c r="LWD1339" s="4" t="s">
        <v>2883</v>
      </c>
      <c r="LWE1339" s="4" t="s">
        <v>2883</v>
      </c>
      <c r="LWF1339" s="4" t="s">
        <v>2883</v>
      </c>
      <c r="LWG1339" s="4" t="s">
        <v>2883</v>
      </c>
      <c r="LWH1339" s="4" t="s">
        <v>2883</v>
      </c>
      <c r="LWI1339" s="4" t="s">
        <v>2883</v>
      </c>
      <c r="LWJ1339" s="4" t="s">
        <v>2883</v>
      </c>
      <c r="LWK1339" s="4" t="s">
        <v>2883</v>
      </c>
      <c r="LWL1339" s="4" t="s">
        <v>2883</v>
      </c>
      <c r="LWM1339" s="4" t="s">
        <v>2883</v>
      </c>
      <c r="LWN1339" s="4" t="s">
        <v>2883</v>
      </c>
      <c r="LWO1339" s="4" t="s">
        <v>2883</v>
      </c>
      <c r="LWP1339" s="4" t="s">
        <v>2883</v>
      </c>
      <c r="LWQ1339" s="4" t="s">
        <v>2883</v>
      </c>
      <c r="LWR1339" s="4" t="s">
        <v>2883</v>
      </c>
      <c r="LWS1339" s="4" t="s">
        <v>2883</v>
      </c>
      <c r="LWT1339" s="4" t="s">
        <v>2883</v>
      </c>
      <c r="LWU1339" s="4" t="s">
        <v>2883</v>
      </c>
      <c r="LWV1339" s="4" t="s">
        <v>2883</v>
      </c>
      <c r="LWW1339" s="4" t="s">
        <v>2883</v>
      </c>
      <c r="LWX1339" s="4" t="s">
        <v>2883</v>
      </c>
      <c r="LWY1339" s="4" t="s">
        <v>2883</v>
      </c>
      <c r="LWZ1339" s="4" t="s">
        <v>2883</v>
      </c>
      <c r="LXA1339" s="4" t="s">
        <v>2883</v>
      </c>
      <c r="LXB1339" s="4" t="s">
        <v>2883</v>
      </c>
      <c r="LXC1339" s="4" t="s">
        <v>2883</v>
      </c>
      <c r="LXD1339" s="4" t="s">
        <v>2883</v>
      </c>
      <c r="LXE1339" s="4" t="s">
        <v>2883</v>
      </c>
      <c r="LXF1339" s="4" t="s">
        <v>2883</v>
      </c>
      <c r="LXG1339" s="4" t="s">
        <v>2883</v>
      </c>
      <c r="LXH1339" s="4" t="s">
        <v>2883</v>
      </c>
      <c r="LXI1339" s="4" t="s">
        <v>2883</v>
      </c>
      <c r="LXJ1339" s="4" t="s">
        <v>2883</v>
      </c>
      <c r="LXK1339" s="4" t="s">
        <v>2883</v>
      </c>
      <c r="LXL1339" s="4" t="s">
        <v>2883</v>
      </c>
      <c r="LXM1339" s="4" t="s">
        <v>2883</v>
      </c>
      <c r="LXN1339" s="4" t="s">
        <v>2883</v>
      </c>
      <c r="LXO1339" s="4" t="s">
        <v>2883</v>
      </c>
      <c r="LXP1339" s="4" t="s">
        <v>2883</v>
      </c>
      <c r="LXQ1339" s="4" t="s">
        <v>2883</v>
      </c>
      <c r="LXR1339" s="4" t="s">
        <v>2883</v>
      </c>
      <c r="LXS1339" s="4" t="s">
        <v>2883</v>
      </c>
      <c r="LXT1339" s="4" t="s">
        <v>2883</v>
      </c>
      <c r="LXU1339" s="4" t="s">
        <v>2883</v>
      </c>
      <c r="LXV1339" s="4" t="s">
        <v>2883</v>
      </c>
      <c r="LXW1339" s="4" t="s">
        <v>2883</v>
      </c>
      <c r="LXX1339" s="4" t="s">
        <v>2883</v>
      </c>
      <c r="LXY1339" s="4" t="s">
        <v>2883</v>
      </c>
      <c r="LXZ1339" s="4" t="s">
        <v>2883</v>
      </c>
      <c r="LYA1339" s="4" t="s">
        <v>2883</v>
      </c>
      <c r="LYB1339" s="4" t="s">
        <v>2883</v>
      </c>
      <c r="LYC1339" s="4" t="s">
        <v>2883</v>
      </c>
      <c r="LYD1339" s="4" t="s">
        <v>2883</v>
      </c>
      <c r="LYE1339" s="4" t="s">
        <v>2883</v>
      </c>
      <c r="LYF1339" s="4" t="s">
        <v>2883</v>
      </c>
      <c r="LYG1339" s="4" t="s">
        <v>2883</v>
      </c>
      <c r="LYH1339" s="4" t="s">
        <v>2883</v>
      </c>
      <c r="LYI1339" s="4" t="s">
        <v>2883</v>
      </c>
      <c r="LYJ1339" s="4" t="s">
        <v>2883</v>
      </c>
      <c r="LYK1339" s="4" t="s">
        <v>2883</v>
      </c>
      <c r="LYL1339" s="4" t="s">
        <v>2883</v>
      </c>
      <c r="LYM1339" s="4" t="s">
        <v>2883</v>
      </c>
      <c r="LYN1339" s="4" t="s">
        <v>2883</v>
      </c>
      <c r="LYO1339" s="4" t="s">
        <v>2883</v>
      </c>
      <c r="LYP1339" s="4" t="s">
        <v>2883</v>
      </c>
      <c r="LYQ1339" s="4" t="s">
        <v>2883</v>
      </c>
      <c r="LYR1339" s="4" t="s">
        <v>2883</v>
      </c>
      <c r="LYS1339" s="4" t="s">
        <v>2883</v>
      </c>
      <c r="LYT1339" s="4" t="s">
        <v>2883</v>
      </c>
      <c r="LYU1339" s="4" t="s">
        <v>2883</v>
      </c>
      <c r="LYV1339" s="4" t="s">
        <v>2883</v>
      </c>
      <c r="LYW1339" s="4" t="s">
        <v>2883</v>
      </c>
      <c r="LYX1339" s="4" t="s">
        <v>2883</v>
      </c>
      <c r="LYY1339" s="4" t="s">
        <v>2883</v>
      </c>
      <c r="LYZ1339" s="4" t="s">
        <v>2883</v>
      </c>
      <c r="LZA1339" s="4" t="s">
        <v>2883</v>
      </c>
      <c r="LZB1339" s="4" t="s">
        <v>2883</v>
      </c>
      <c r="LZC1339" s="4" t="s">
        <v>2883</v>
      </c>
      <c r="LZD1339" s="4" t="s">
        <v>2883</v>
      </c>
      <c r="LZE1339" s="4" t="s">
        <v>2883</v>
      </c>
      <c r="LZF1339" s="4" t="s">
        <v>2883</v>
      </c>
      <c r="LZG1339" s="4" t="s">
        <v>2883</v>
      </c>
      <c r="LZH1339" s="4" t="s">
        <v>2883</v>
      </c>
      <c r="LZI1339" s="4" t="s">
        <v>2883</v>
      </c>
      <c r="LZJ1339" s="4" t="s">
        <v>2883</v>
      </c>
      <c r="LZK1339" s="4" t="s">
        <v>2883</v>
      </c>
      <c r="LZL1339" s="4" t="s">
        <v>2883</v>
      </c>
      <c r="LZM1339" s="4" t="s">
        <v>2883</v>
      </c>
      <c r="LZN1339" s="4" t="s">
        <v>2883</v>
      </c>
      <c r="LZO1339" s="4" t="s">
        <v>2883</v>
      </c>
      <c r="LZP1339" s="4" t="s">
        <v>2883</v>
      </c>
      <c r="LZQ1339" s="4" t="s">
        <v>2883</v>
      </c>
      <c r="LZR1339" s="4" t="s">
        <v>2883</v>
      </c>
      <c r="LZS1339" s="4" t="s">
        <v>2883</v>
      </c>
      <c r="LZT1339" s="4" t="s">
        <v>2883</v>
      </c>
      <c r="LZU1339" s="4" t="s">
        <v>2883</v>
      </c>
      <c r="LZV1339" s="4" t="s">
        <v>2883</v>
      </c>
      <c r="LZW1339" s="4" t="s">
        <v>2883</v>
      </c>
      <c r="LZX1339" s="4" t="s">
        <v>2883</v>
      </c>
      <c r="LZY1339" s="4" t="s">
        <v>2883</v>
      </c>
      <c r="LZZ1339" s="4" t="s">
        <v>2883</v>
      </c>
      <c r="MAA1339" s="4" t="s">
        <v>2883</v>
      </c>
      <c r="MAB1339" s="4" t="s">
        <v>2883</v>
      </c>
      <c r="MAC1339" s="4" t="s">
        <v>2883</v>
      </c>
      <c r="MAD1339" s="4" t="s">
        <v>2883</v>
      </c>
      <c r="MAE1339" s="4" t="s">
        <v>2883</v>
      </c>
      <c r="MAF1339" s="4" t="s">
        <v>2883</v>
      </c>
      <c r="MAG1339" s="4" t="s">
        <v>2883</v>
      </c>
      <c r="MAH1339" s="4" t="s">
        <v>2883</v>
      </c>
      <c r="MAI1339" s="4" t="s">
        <v>2883</v>
      </c>
      <c r="MAJ1339" s="4" t="s">
        <v>2883</v>
      </c>
      <c r="MAK1339" s="4" t="s">
        <v>2883</v>
      </c>
      <c r="MAL1339" s="4" t="s">
        <v>2883</v>
      </c>
      <c r="MAM1339" s="4" t="s">
        <v>2883</v>
      </c>
      <c r="MAN1339" s="4" t="s">
        <v>2883</v>
      </c>
      <c r="MAO1339" s="4" t="s">
        <v>2883</v>
      </c>
      <c r="MAP1339" s="4" t="s">
        <v>2883</v>
      </c>
      <c r="MAQ1339" s="4" t="s">
        <v>2883</v>
      </c>
      <c r="MAR1339" s="4" t="s">
        <v>2883</v>
      </c>
      <c r="MAS1339" s="4" t="s">
        <v>2883</v>
      </c>
      <c r="MAT1339" s="4" t="s">
        <v>2883</v>
      </c>
      <c r="MAU1339" s="4" t="s">
        <v>2883</v>
      </c>
      <c r="MAV1339" s="4" t="s">
        <v>2883</v>
      </c>
      <c r="MAW1339" s="4" t="s">
        <v>2883</v>
      </c>
      <c r="MAX1339" s="4" t="s">
        <v>2883</v>
      </c>
      <c r="MAY1339" s="4" t="s">
        <v>2883</v>
      </c>
      <c r="MAZ1339" s="4" t="s">
        <v>2883</v>
      </c>
      <c r="MBA1339" s="4" t="s">
        <v>2883</v>
      </c>
      <c r="MBB1339" s="4" t="s">
        <v>2883</v>
      </c>
      <c r="MBC1339" s="4" t="s">
        <v>2883</v>
      </c>
      <c r="MBD1339" s="4" t="s">
        <v>2883</v>
      </c>
      <c r="MBE1339" s="4" t="s">
        <v>2883</v>
      </c>
      <c r="MBF1339" s="4" t="s">
        <v>2883</v>
      </c>
      <c r="MBG1339" s="4" t="s">
        <v>2883</v>
      </c>
      <c r="MBH1339" s="4" t="s">
        <v>2883</v>
      </c>
      <c r="MBI1339" s="4" t="s">
        <v>2883</v>
      </c>
      <c r="MBJ1339" s="4" t="s">
        <v>2883</v>
      </c>
      <c r="MBK1339" s="4" t="s">
        <v>2883</v>
      </c>
      <c r="MBL1339" s="4" t="s">
        <v>2883</v>
      </c>
      <c r="MBM1339" s="4" t="s">
        <v>2883</v>
      </c>
      <c r="MBN1339" s="4" t="s">
        <v>2883</v>
      </c>
      <c r="MBO1339" s="4" t="s">
        <v>2883</v>
      </c>
      <c r="MBP1339" s="4" t="s">
        <v>2883</v>
      </c>
      <c r="MBQ1339" s="4" t="s">
        <v>2883</v>
      </c>
      <c r="MBR1339" s="4" t="s">
        <v>2883</v>
      </c>
      <c r="MBS1339" s="4" t="s">
        <v>2883</v>
      </c>
      <c r="MBT1339" s="4" t="s">
        <v>2883</v>
      </c>
      <c r="MBU1339" s="4" t="s">
        <v>2883</v>
      </c>
      <c r="MBV1339" s="4" t="s">
        <v>2883</v>
      </c>
      <c r="MBW1339" s="4" t="s">
        <v>2883</v>
      </c>
      <c r="MBX1339" s="4" t="s">
        <v>2883</v>
      </c>
      <c r="MBY1339" s="4" t="s">
        <v>2883</v>
      </c>
      <c r="MBZ1339" s="4" t="s">
        <v>2883</v>
      </c>
      <c r="MCA1339" s="4" t="s">
        <v>2883</v>
      </c>
      <c r="MCB1339" s="4" t="s">
        <v>2883</v>
      </c>
      <c r="MCC1339" s="4" t="s">
        <v>2883</v>
      </c>
      <c r="MCD1339" s="4" t="s">
        <v>2883</v>
      </c>
      <c r="MCE1339" s="4" t="s">
        <v>2883</v>
      </c>
      <c r="MCF1339" s="4" t="s">
        <v>2883</v>
      </c>
      <c r="MCG1339" s="4" t="s">
        <v>2883</v>
      </c>
      <c r="MCH1339" s="4" t="s">
        <v>2883</v>
      </c>
      <c r="MCI1339" s="4" t="s">
        <v>2883</v>
      </c>
      <c r="MCJ1339" s="4" t="s">
        <v>2883</v>
      </c>
      <c r="MCK1339" s="4" t="s">
        <v>2883</v>
      </c>
      <c r="MCL1339" s="4" t="s">
        <v>2883</v>
      </c>
      <c r="MCM1339" s="4" t="s">
        <v>2883</v>
      </c>
      <c r="MCN1339" s="4" t="s">
        <v>2883</v>
      </c>
      <c r="MCO1339" s="4" t="s">
        <v>2883</v>
      </c>
      <c r="MCP1339" s="4" t="s">
        <v>2883</v>
      </c>
      <c r="MCQ1339" s="4" t="s">
        <v>2883</v>
      </c>
      <c r="MCR1339" s="4" t="s">
        <v>2883</v>
      </c>
      <c r="MCS1339" s="4" t="s">
        <v>2883</v>
      </c>
      <c r="MCT1339" s="4" t="s">
        <v>2883</v>
      </c>
      <c r="MCU1339" s="4" t="s">
        <v>2883</v>
      </c>
      <c r="MCV1339" s="4" t="s">
        <v>2883</v>
      </c>
      <c r="MCW1339" s="4" t="s">
        <v>2883</v>
      </c>
      <c r="MCX1339" s="4" t="s">
        <v>2883</v>
      </c>
      <c r="MCY1339" s="4" t="s">
        <v>2883</v>
      </c>
      <c r="MCZ1339" s="4" t="s">
        <v>2883</v>
      </c>
      <c r="MDA1339" s="4" t="s">
        <v>2883</v>
      </c>
      <c r="MDB1339" s="4" t="s">
        <v>2883</v>
      </c>
      <c r="MDC1339" s="4" t="s">
        <v>2883</v>
      </c>
      <c r="MDD1339" s="4" t="s">
        <v>2883</v>
      </c>
      <c r="MDE1339" s="4" t="s">
        <v>2883</v>
      </c>
      <c r="MDF1339" s="4" t="s">
        <v>2883</v>
      </c>
      <c r="MDG1339" s="4" t="s">
        <v>2883</v>
      </c>
      <c r="MDH1339" s="4" t="s">
        <v>2883</v>
      </c>
      <c r="MDI1339" s="4" t="s">
        <v>2883</v>
      </c>
      <c r="MDJ1339" s="4" t="s">
        <v>2883</v>
      </c>
      <c r="MDK1339" s="4" t="s">
        <v>2883</v>
      </c>
      <c r="MDL1339" s="4" t="s">
        <v>2883</v>
      </c>
      <c r="MDM1339" s="4" t="s">
        <v>2883</v>
      </c>
      <c r="MDN1339" s="4" t="s">
        <v>2883</v>
      </c>
      <c r="MDO1339" s="4" t="s">
        <v>2883</v>
      </c>
      <c r="MDP1339" s="4" t="s">
        <v>2883</v>
      </c>
      <c r="MDQ1339" s="4" t="s">
        <v>2883</v>
      </c>
      <c r="MDR1339" s="4" t="s">
        <v>2883</v>
      </c>
      <c r="MDS1339" s="4" t="s">
        <v>2883</v>
      </c>
      <c r="MDT1339" s="4" t="s">
        <v>2883</v>
      </c>
      <c r="MDU1339" s="4" t="s">
        <v>2883</v>
      </c>
      <c r="MDV1339" s="4" t="s">
        <v>2883</v>
      </c>
      <c r="MDW1339" s="4" t="s">
        <v>2883</v>
      </c>
      <c r="MDX1339" s="4" t="s">
        <v>2883</v>
      </c>
      <c r="MDY1339" s="4" t="s">
        <v>2883</v>
      </c>
      <c r="MDZ1339" s="4" t="s">
        <v>2883</v>
      </c>
      <c r="MEA1339" s="4" t="s">
        <v>2883</v>
      </c>
      <c r="MEB1339" s="4" t="s">
        <v>2883</v>
      </c>
      <c r="MEC1339" s="4" t="s">
        <v>2883</v>
      </c>
      <c r="MED1339" s="4" t="s">
        <v>2883</v>
      </c>
      <c r="MEE1339" s="4" t="s">
        <v>2883</v>
      </c>
      <c r="MEF1339" s="4" t="s">
        <v>2883</v>
      </c>
      <c r="MEG1339" s="4" t="s">
        <v>2883</v>
      </c>
      <c r="MEH1339" s="4" t="s">
        <v>2883</v>
      </c>
      <c r="MEI1339" s="4" t="s">
        <v>2883</v>
      </c>
      <c r="MEJ1339" s="4" t="s">
        <v>2883</v>
      </c>
      <c r="MEK1339" s="4" t="s">
        <v>2883</v>
      </c>
      <c r="MEL1339" s="4" t="s">
        <v>2883</v>
      </c>
      <c r="MEM1339" s="4" t="s">
        <v>2883</v>
      </c>
      <c r="MEN1339" s="4" t="s">
        <v>2883</v>
      </c>
      <c r="MEO1339" s="4" t="s">
        <v>2883</v>
      </c>
      <c r="MEP1339" s="4" t="s">
        <v>2883</v>
      </c>
      <c r="MEQ1339" s="4" t="s">
        <v>2883</v>
      </c>
      <c r="MER1339" s="4" t="s">
        <v>2883</v>
      </c>
      <c r="MES1339" s="4" t="s">
        <v>2883</v>
      </c>
      <c r="MET1339" s="4" t="s">
        <v>2883</v>
      </c>
      <c r="MEU1339" s="4" t="s">
        <v>2883</v>
      </c>
      <c r="MEV1339" s="4" t="s">
        <v>2883</v>
      </c>
      <c r="MEW1339" s="4" t="s">
        <v>2883</v>
      </c>
      <c r="MEX1339" s="4" t="s">
        <v>2883</v>
      </c>
      <c r="MEY1339" s="4" t="s">
        <v>2883</v>
      </c>
      <c r="MEZ1339" s="4" t="s">
        <v>2883</v>
      </c>
      <c r="MFA1339" s="4" t="s">
        <v>2883</v>
      </c>
      <c r="MFB1339" s="4" t="s">
        <v>2883</v>
      </c>
      <c r="MFC1339" s="4" t="s">
        <v>2883</v>
      </c>
      <c r="MFD1339" s="4" t="s">
        <v>2883</v>
      </c>
      <c r="MFE1339" s="4" t="s">
        <v>2883</v>
      </c>
      <c r="MFF1339" s="4" t="s">
        <v>2883</v>
      </c>
      <c r="MFG1339" s="4" t="s">
        <v>2883</v>
      </c>
      <c r="MFH1339" s="4" t="s">
        <v>2883</v>
      </c>
      <c r="MFI1339" s="4" t="s">
        <v>2883</v>
      </c>
      <c r="MFJ1339" s="4" t="s">
        <v>2883</v>
      </c>
      <c r="MFK1339" s="4" t="s">
        <v>2883</v>
      </c>
      <c r="MFL1339" s="4" t="s">
        <v>2883</v>
      </c>
      <c r="MFM1339" s="4" t="s">
        <v>2883</v>
      </c>
      <c r="MFN1339" s="4" t="s">
        <v>2883</v>
      </c>
      <c r="MFO1339" s="4" t="s">
        <v>2883</v>
      </c>
      <c r="MFP1339" s="4" t="s">
        <v>2883</v>
      </c>
      <c r="MFQ1339" s="4" t="s">
        <v>2883</v>
      </c>
      <c r="MFR1339" s="4" t="s">
        <v>2883</v>
      </c>
      <c r="MFS1339" s="4" t="s">
        <v>2883</v>
      </c>
      <c r="MFT1339" s="4" t="s">
        <v>2883</v>
      </c>
      <c r="MFU1339" s="4" t="s">
        <v>2883</v>
      </c>
      <c r="MFV1339" s="4" t="s">
        <v>2883</v>
      </c>
      <c r="MFW1339" s="4" t="s">
        <v>2883</v>
      </c>
      <c r="MFX1339" s="4" t="s">
        <v>2883</v>
      </c>
      <c r="MFY1339" s="4" t="s">
        <v>2883</v>
      </c>
      <c r="MFZ1339" s="4" t="s">
        <v>2883</v>
      </c>
      <c r="MGA1339" s="4" t="s">
        <v>2883</v>
      </c>
      <c r="MGB1339" s="4" t="s">
        <v>2883</v>
      </c>
      <c r="MGC1339" s="4" t="s">
        <v>2883</v>
      </c>
      <c r="MGD1339" s="4" t="s">
        <v>2883</v>
      </c>
      <c r="MGE1339" s="4" t="s">
        <v>2883</v>
      </c>
      <c r="MGF1339" s="4" t="s">
        <v>2883</v>
      </c>
      <c r="MGG1339" s="4" t="s">
        <v>2883</v>
      </c>
      <c r="MGH1339" s="4" t="s">
        <v>2883</v>
      </c>
      <c r="MGI1339" s="4" t="s">
        <v>2883</v>
      </c>
      <c r="MGJ1339" s="4" t="s">
        <v>2883</v>
      </c>
      <c r="MGK1339" s="4" t="s">
        <v>2883</v>
      </c>
      <c r="MGL1339" s="4" t="s">
        <v>2883</v>
      </c>
      <c r="MGM1339" s="4" t="s">
        <v>2883</v>
      </c>
      <c r="MGN1339" s="4" t="s">
        <v>2883</v>
      </c>
      <c r="MGO1339" s="4" t="s">
        <v>2883</v>
      </c>
      <c r="MGP1339" s="4" t="s">
        <v>2883</v>
      </c>
      <c r="MGQ1339" s="4" t="s">
        <v>2883</v>
      </c>
      <c r="MGR1339" s="4" t="s">
        <v>2883</v>
      </c>
      <c r="MGS1339" s="4" t="s">
        <v>2883</v>
      </c>
      <c r="MGT1339" s="4" t="s">
        <v>2883</v>
      </c>
      <c r="MGU1339" s="4" t="s">
        <v>2883</v>
      </c>
      <c r="MGV1339" s="4" t="s">
        <v>2883</v>
      </c>
      <c r="MGW1339" s="4" t="s">
        <v>2883</v>
      </c>
      <c r="MGX1339" s="4" t="s">
        <v>2883</v>
      </c>
      <c r="MGY1339" s="4" t="s">
        <v>2883</v>
      </c>
      <c r="MGZ1339" s="4" t="s">
        <v>2883</v>
      </c>
      <c r="MHA1339" s="4" t="s">
        <v>2883</v>
      </c>
      <c r="MHB1339" s="4" t="s">
        <v>2883</v>
      </c>
      <c r="MHC1339" s="4" t="s">
        <v>2883</v>
      </c>
      <c r="MHD1339" s="4" t="s">
        <v>2883</v>
      </c>
      <c r="MHE1339" s="4" t="s">
        <v>2883</v>
      </c>
      <c r="MHF1339" s="4" t="s">
        <v>2883</v>
      </c>
      <c r="MHG1339" s="4" t="s">
        <v>2883</v>
      </c>
      <c r="MHH1339" s="4" t="s">
        <v>2883</v>
      </c>
      <c r="MHI1339" s="4" t="s">
        <v>2883</v>
      </c>
      <c r="MHJ1339" s="4" t="s">
        <v>2883</v>
      </c>
      <c r="MHK1339" s="4" t="s">
        <v>2883</v>
      </c>
      <c r="MHL1339" s="4" t="s">
        <v>2883</v>
      </c>
      <c r="MHM1339" s="4" t="s">
        <v>2883</v>
      </c>
      <c r="MHN1339" s="4" t="s">
        <v>2883</v>
      </c>
      <c r="MHO1339" s="4" t="s">
        <v>2883</v>
      </c>
      <c r="MHP1339" s="4" t="s">
        <v>2883</v>
      </c>
      <c r="MHQ1339" s="4" t="s">
        <v>2883</v>
      </c>
      <c r="MHR1339" s="4" t="s">
        <v>2883</v>
      </c>
      <c r="MHS1339" s="4" t="s">
        <v>2883</v>
      </c>
      <c r="MHT1339" s="4" t="s">
        <v>2883</v>
      </c>
      <c r="MHU1339" s="4" t="s">
        <v>2883</v>
      </c>
      <c r="MHV1339" s="4" t="s">
        <v>2883</v>
      </c>
      <c r="MHW1339" s="4" t="s">
        <v>2883</v>
      </c>
      <c r="MHX1339" s="4" t="s">
        <v>2883</v>
      </c>
      <c r="MHY1339" s="4" t="s">
        <v>2883</v>
      </c>
      <c r="MHZ1339" s="4" t="s">
        <v>2883</v>
      </c>
      <c r="MIA1339" s="4" t="s">
        <v>2883</v>
      </c>
      <c r="MIB1339" s="4" t="s">
        <v>2883</v>
      </c>
      <c r="MIC1339" s="4" t="s">
        <v>2883</v>
      </c>
      <c r="MID1339" s="4" t="s">
        <v>2883</v>
      </c>
      <c r="MIE1339" s="4" t="s">
        <v>2883</v>
      </c>
      <c r="MIF1339" s="4" t="s">
        <v>2883</v>
      </c>
      <c r="MIG1339" s="4" t="s">
        <v>2883</v>
      </c>
      <c r="MIH1339" s="4" t="s">
        <v>2883</v>
      </c>
      <c r="MII1339" s="4" t="s">
        <v>2883</v>
      </c>
      <c r="MIJ1339" s="4" t="s">
        <v>2883</v>
      </c>
      <c r="MIK1339" s="4" t="s">
        <v>2883</v>
      </c>
      <c r="MIL1339" s="4" t="s">
        <v>2883</v>
      </c>
      <c r="MIM1339" s="4" t="s">
        <v>2883</v>
      </c>
      <c r="MIN1339" s="4" t="s">
        <v>2883</v>
      </c>
      <c r="MIO1339" s="4" t="s">
        <v>2883</v>
      </c>
      <c r="MIP1339" s="4" t="s">
        <v>2883</v>
      </c>
      <c r="MIQ1339" s="4" t="s">
        <v>2883</v>
      </c>
      <c r="MIR1339" s="4" t="s">
        <v>2883</v>
      </c>
      <c r="MIS1339" s="4" t="s">
        <v>2883</v>
      </c>
      <c r="MIT1339" s="4" t="s">
        <v>2883</v>
      </c>
      <c r="MIU1339" s="4" t="s">
        <v>2883</v>
      </c>
      <c r="MIV1339" s="4" t="s">
        <v>2883</v>
      </c>
      <c r="MIW1339" s="4" t="s">
        <v>2883</v>
      </c>
      <c r="MIX1339" s="4" t="s">
        <v>2883</v>
      </c>
      <c r="MIY1339" s="4" t="s">
        <v>2883</v>
      </c>
      <c r="MIZ1339" s="4" t="s">
        <v>2883</v>
      </c>
      <c r="MJA1339" s="4" t="s">
        <v>2883</v>
      </c>
      <c r="MJB1339" s="4" t="s">
        <v>2883</v>
      </c>
      <c r="MJC1339" s="4" t="s">
        <v>2883</v>
      </c>
      <c r="MJD1339" s="4" t="s">
        <v>2883</v>
      </c>
      <c r="MJE1339" s="4" t="s">
        <v>2883</v>
      </c>
      <c r="MJF1339" s="4" t="s">
        <v>2883</v>
      </c>
      <c r="MJG1339" s="4" t="s">
        <v>2883</v>
      </c>
      <c r="MJH1339" s="4" t="s">
        <v>2883</v>
      </c>
      <c r="MJI1339" s="4" t="s">
        <v>2883</v>
      </c>
      <c r="MJJ1339" s="4" t="s">
        <v>2883</v>
      </c>
      <c r="MJK1339" s="4" t="s">
        <v>2883</v>
      </c>
      <c r="MJL1339" s="4" t="s">
        <v>2883</v>
      </c>
      <c r="MJM1339" s="4" t="s">
        <v>2883</v>
      </c>
      <c r="MJN1339" s="4" t="s">
        <v>2883</v>
      </c>
      <c r="MJO1339" s="4" t="s">
        <v>2883</v>
      </c>
      <c r="MJP1339" s="4" t="s">
        <v>2883</v>
      </c>
      <c r="MJQ1339" s="4" t="s">
        <v>2883</v>
      </c>
      <c r="MJR1339" s="4" t="s">
        <v>2883</v>
      </c>
      <c r="MJS1339" s="4" t="s">
        <v>2883</v>
      </c>
      <c r="MJT1339" s="4" t="s">
        <v>2883</v>
      </c>
      <c r="MJU1339" s="4" t="s">
        <v>2883</v>
      </c>
      <c r="MJV1339" s="4" t="s">
        <v>2883</v>
      </c>
      <c r="MJW1339" s="4" t="s">
        <v>2883</v>
      </c>
      <c r="MJX1339" s="4" t="s">
        <v>2883</v>
      </c>
      <c r="MJY1339" s="4" t="s">
        <v>2883</v>
      </c>
      <c r="MJZ1339" s="4" t="s">
        <v>2883</v>
      </c>
      <c r="MKA1339" s="4" t="s">
        <v>2883</v>
      </c>
      <c r="MKB1339" s="4" t="s">
        <v>2883</v>
      </c>
      <c r="MKC1339" s="4" t="s">
        <v>2883</v>
      </c>
      <c r="MKD1339" s="4" t="s">
        <v>2883</v>
      </c>
      <c r="MKE1339" s="4" t="s">
        <v>2883</v>
      </c>
      <c r="MKF1339" s="4" t="s">
        <v>2883</v>
      </c>
      <c r="MKG1339" s="4" t="s">
        <v>2883</v>
      </c>
      <c r="MKH1339" s="4" t="s">
        <v>2883</v>
      </c>
      <c r="MKI1339" s="4" t="s">
        <v>2883</v>
      </c>
      <c r="MKJ1339" s="4" t="s">
        <v>2883</v>
      </c>
      <c r="MKK1339" s="4" t="s">
        <v>2883</v>
      </c>
      <c r="MKL1339" s="4" t="s">
        <v>2883</v>
      </c>
      <c r="MKM1339" s="4" t="s">
        <v>2883</v>
      </c>
      <c r="MKN1339" s="4" t="s">
        <v>2883</v>
      </c>
      <c r="MKO1339" s="4" t="s">
        <v>2883</v>
      </c>
      <c r="MKP1339" s="4" t="s">
        <v>2883</v>
      </c>
      <c r="MKQ1339" s="4" t="s">
        <v>2883</v>
      </c>
      <c r="MKR1339" s="4" t="s">
        <v>2883</v>
      </c>
      <c r="MKS1339" s="4" t="s">
        <v>2883</v>
      </c>
      <c r="MKT1339" s="4" t="s">
        <v>2883</v>
      </c>
      <c r="MKU1339" s="4" t="s">
        <v>2883</v>
      </c>
      <c r="MKV1339" s="4" t="s">
        <v>2883</v>
      </c>
      <c r="MKW1339" s="4" t="s">
        <v>2883</v>
      </c>
      <c r="MKX1339" s="4" t="s">
        <v>2883</v>
      </c>
      <c r="MKY1339" s="4" t="s">
        <v>2883</v>
      </c>
      <c r="MKZ1339" s="4" t="s">
        <v>2883</v>
      </c>
      <c r="MLA1339" s="4" t="s">
        <v>2883</v>
      </c>
      <c r="MLB1339" s="4" t="s">
        <v>2883</v>
      </c>
      <c r="MLC1339" s="4" t="s">
        <v>2883</v>
      </c>
      <c r="MLD1339" s="4" t="s">
        <v>2883</v>
      </c>
      <c r="MLE1339" s="4" t="s">
        <v>2883</v>
      </c>
      <c r="MLF1339" s="4" t="s">
        <v>2883</v>
      </c>
      <c r="MLG1339" s="4" t="s">
        <v>2883</v>
      </c>
      <c r="MLH1339" s="4" t="s">
        <v>2883</v>
      </c>
      <c r="MLI1339" s="4" t="s">
        <v>2883</v>
      </c>
      <c r="MLJ1339" s="4" t="s">
        <v>2883</v>
      </c>
      <c r="MLK1339" s="4" t="s">
        <v>2883</v>
      </c>
      <c r="MLL1339" s="4" t="s">
        <v>2883</v>
      </c>
      <c r="MLM1339" s="4" t="s">
        <v>2883</v>
      </c>
      <c r="MLN1339" s="4" t="s">
        <v>2883</v>
      </c>
      <c r="MLO1339" s="4" t="s">
        <v>2883</v>
      </c>
      <c r="MLP1339" s="4" t="s">
        <v>2883</v>
      </c>
      <c r="MLQ1339" s="4" t="s">
        <v>2883</v>
      </c>
      <c r="MLR1339" s="4" t="s">
        <v>2883</v>
      </c>
      <c r="MLS1339" s="4" t="s">
        <v>2883</v>
      </c>
      <c r="MLT1339" s="4" t="s">
        <v>2883</v>
      </c>
      <c r="MLU1339" s="4" t="s">
        <v>2883</v>
      </c>
      <c r="MLV1339" s="4" t="s">
        <v>2883</v>
      </c>
      <c r="MLW1339" s="4" t="s">
        <v>2883</v>
      </c>
      <c r="MLX1339" s="4" t="s">
        <v>2883</v>
      </c>
      <c r="MLY1339" s="4" t="s">
        <v>2883</v>
      </c>
      <c r="MLZ1339" s="4" t="s">
        <v>2883</v>
      </c>
      <c r="MMA1339" s="4" t="s">
        <v>2883</v>
      </c>
      <c r="MMB1339" s="4" t="s">
        <v>2883</v>
      </c>
      <c r="MMC1339" s="4" t="s">
        <v>2883</v>
      </c>
      <c r="MMD1339" s="4" t="s">
        <v>2883</v>
      </c>
      <c r="MME1339" s="4" t="s">
        <v>2883</v>
      </c>
      <c r="MMF1339" s="4" t="s">
        <v>2883</v>
      </c>
      <c r="MMG1339" s="4" t="s">
        <v>2883</v>
      </c>
      <c r="MMH1339" s="4" t="s">
        <v>2883</v>
      </c>
      <c r="MMI1339" s="4" t="s">
        <v>2883</v>
      </c>
      <c r="MMJ1339" s="4" t="s">
        <v>2883</v>
      </c>
      <c r="MMK1339" s="4" t="s">
        <v>2883</v>
      </c>
      <c r="MML1339" s="4" t="s">
        <v>2883</v>
      </c>
      <c r="MMM1339" s="4" t="s">
        <v>2883</v>
      </c>
      <c r="MMN1339" s="4" t="s">
        <v>2883</v>
      </c>
      <c r="MMO1339" s="4" t="s">
        <v>2883</v>
      </c>
      <c r="MMP1339" s="4" t="s">
        <v>2883</v>
      </c>
      <c r="MMQ1339" s="4" t="s">
        <v>2883</v>
      </c>
      <c r="MMR1339" s="4" t="s">
        <v>2883</v>
      </c>
      <c r="MMS1339" s="4" t="s">
        <v>2883</v>
      </c>
      <c r="MMT1339" s="4" t="s">
        <v>2883</v>
      </c>
      <c r="MMU1339" s="4" t="s">
        <v>2883</v>
      </c>
      <c r="MMV1339" s="4" t="s">
        <v>2883</v>
      </c>
      <c r="MMW1339" s="4" t="s">
        <v>2883</v>
      </c>
      <c r="MMX1339" s="4" t="s">
        <v>2883</v>
      </c>
      <c r="MMY1339" s="4" t="s">
        <v>2883</v>
      </c>
      <c r="MMZ1339" s="4" t="s">
        <v>2883</v>
      </c>
      <c r="MNA1339" s="4" t="s">
        <v>2883</v>
      </c>
      <c r="MNB1339" s="4" t="s">
        <v>2883</v>
      </c>
      <c r="MNC1339" s="4" t="s">
        <v>2883</v>
      </c>
      <c r="MND1339" s="4" t="s">
        <v>2883</v>
      </c>
      <c r="MNE1339" s="4" t="s">
        <v>2883</v>
      </c>
      <c r="MNF1339" s="4" t="s">
        <v>2883</v>
      </c>
      <c r="MNG1339" s="4" t="s">
        <v>2883</v>
      </c>
      <c r="MNH1339" s="4" t="s">
        <v>2883</v>
      </c>
      <c r="MNI1339" s="4" t="s">
        <v>2883</v>
      </c>
      <c r="MNJ1339" s="4" t="s">
        <v>2883</v>
      </c>
      <c r="MNK1339" s="4" t="s">
        <v>2883</v>
      </c>
      <c r="MNL1339" s="4" t="s">
        <v>2883</v>
      </c>
      <c r="MNM1339" s="4" t="s">
        <v>2883</v>
      </c>
      <c r="MNN1339" s="4" t="s">
        <v>2883</v>
      </c>
      <c r="MNO1339" s="4" t="s">
        <v>2883</v>
      </c>
      <c r="MNP1339" s="4" t="s">
        <v>2883</v>
      </c>
      <c r="MNQ1339" s="4" t="s">
        <v>2883</v>
      </c>
      <c r="MNR1339" s="4" t="s">
        <v>2883</v>
      </c>
      <c r="MNS1339" s="4" t="s">
        <v>2883</v>
      </c>
      <c r="MNT1339" s="4" t="s">
        <v>2883</v>
      </c>
      <c r="MNU1339" s="4" t="s">
        <v>2883</v>
      </c>
      <c r="MNV1339" s="4" t="s">
        <v>2883</v>
      </c>
      <c r="MNW1339" s="4" t="s">
        <v>2883</v>
      </c>
      <c r="MNX1339" s="4" t="s">
        <v>2883</v>
      </c>
      <c r="MNY1339" s="4" t="s">
        <v>2883</v>
      </c>
      <c r="MNZ1339" s="4" t="s">
        <v>2883</v>
      </c>
      <c r="MOA1339" s="4" t="s">
        <v>2883</v>
      </c>
      <c r="MOB1339" s="4" t="s">
        <v>2883</v>
      </c>
      <c r="MOC1339" s="4" t="s">
        <v>2883</v>
      </c>
      <c r="MOD1339" s="4" t="s">
        <v>2883</v>
      </c>
      <c r="MOE1339" s="4" t="s">
        <v>2883</v>
      </c>
      <c r="MOF1339" s="4" t="s">
        <v>2883</v>
      </c>
      <c r="MOG1339" s="4" t="s">
        <v>2883</v>
      </c>
      <c r="MOH1339" s="4" t="s">
        <v>2883</v>
      </c>
      <c r="MOI1339" s="4" t="s">
        <v>2883</v>
      </c>
      <c r="MOJ1339" s="4" t="s">
        <v>2883</v>
      </c>
      <c r="MOK1339" s="4" t="s">
        <v>2883</v>
      </c>
      <c r="MOL1339" s="4" t="s">
        <v>2883</v>
      </c>
      <c r="MOM1339" s="4" t="s">
        <v>2883</v>
      </c>
      <c r="MON1339" s="4" t="s">
        <v>2883</v>
      </c>
      <c r="MOO1339" s="4" t="s">
        <v>2883</v>
      </c>
      <c r="MOP1339" s="4" t="s">
        <v>2883</v>
      </c>
      <c r="MOQ1339" s="4" t="s">
        <v>2883</v>
      </c>
      <c r="MOR1339" s="4" t="s">
        <v>2883</v>
      </c>
      <c r="MOS1339" s="4" t="s">
        <v>2883</v>
      </c>
      <c r="MOT1339" s="4" t="s">
        <v>2883</v>
      </c>
      <c r="MOU1339" s="4" t="s">
        <v>2883</v>
      </c>
      <c r="MOV1339" s="4" t="s">
        <v>2883</v>
      </c>
      <c r="MOW1339" s="4" t="s">
        <v>2883</v>
      </c>
      <c r="MOX1339" s="4" t="s">
        <v>2883</v>
      </c>
      <c r="MOY1339" s="4" t="s">
        <v>2883</v>
      </c>
      <c r="MOZ1339" s="4" t="s">
        <v>2883</v>
      </c>
      <c r="MPA1339" s="4" t="s">
        <v>2883</v>
      </c>
      <c r="MPB1339" s="4" t="s">
        <v>2883</v>
      </c>
      <c r="MPC1339" s="4" t="s">
        <v>2883</v>
      </c>
      <c r="MPD1339" s="4" t="s">
        <v>2883</v>
      </c>
      <c r="MPE1339" s="4" t="s">
        <v>2883</v>
      </c>
      <c r="MPF1339" s="4" t="s">
        <v>2883</v>
      </c>
      <c r="MPG1339" s="4" t="s">
        <v>2883</v>
      </c>
      <c r="MPH1339" s="4" t="s">
        <v>2883</v>
      </c>
      <c r="MPI1339" s="4" t="s">
        <v>2883</v>
      </c>
      <c r="MPJ1339" s="4" t="s">
        <v>2883</v>
      </c>
      <c r="MPK1339" s="4" t="s">
        <v>2883</v>
      </c>
      <c r="MPL1339" s="4" t="s">
        <v>2883</v>
      </c>
      <c r="MPM1339" s="4" t="s">
        <v>2883</v>
      </c>
      <c r="MPN1339" s="4" t="s">
        <v>2883</v>
      </c>
      <c r="MPO1339" s="4" t="s">
        <v>2883</v>
      </c>
      <c r="MPP1339" s="4" t="s">
        <v>2883</v>
      </c>
      <c r="MPQ1339" s="4" t="s">
        <v>2883</v>
      </c>
      <c r="MPR1339" s="4" t="s">
        <v>2883</v>
      </c>
      <c r="MPS1339" s="4" t="s">
        <v>2883</v>
      </c>
      <c r="MPT1339" s="4" t="s">
        <v>2883</v>
      </c>
      <c r="MPU1339" s="4" t="s">
        <v>2883</v>
      </c>
      <c r="MPV1339" s="4" t="s">
        <v>2883</v>
      </c>
      <c r="MPW1339" s="4" t="s">
        <v>2883</v>
      </c>
      <c r="MPX1339" s="4" t="s">
        <v>2883</v>
      </c>
      <c r="MPY1339" s="4" t="s">
        <v>2883</v>
      </c>
      <c r="MPZ1339" s="4" t="s">
        <v>2883</v>
      </c>
      <c r="MQA1339" s="4" t="s">
        <v>2883</v>
      </c>
      <c r="MQB1339" s="4" t="s">
        <v>2883</v>
      </c>
      <c r="MQC1339" s="4" t="s">
        <v>2883</v>
      </c>
      <c r="MQD1339" s="4" t="s">
        <v>2883</v>
      </c>
      <c r="MQE1339" s="4" t="s">
        <v>2883</v>
      </c>
      <c r="MQF1339" s="4" t="s">
        <v>2883</v>
      </c>
      <c r="MQG1339" s="4" t="s">
        <v>2883</v>
      </c>
      <c r="MQH1339" s="4" t="s">
        <v>2883</v>
      </c>
      <c r="MQI1339" s="4" t="s">
        <v>2883</v>
      </c>
      <c r="MQJ1339" s="4" t="s">
        <v>2883</v>
      </c>
      <c r="MQK1339" s="4" t="s">
        <v>2883</v>
      </c>
      <c r="MQL1339" s="4" t="s">
        <v>2883</v>
      </c>
      <c r="MQM1339" s="4" t="s">
        <v>2883</v>
      </c>
      <c r="MQN1339" s="4" t="s">
        <v>2883</v>
      </c>
      <c r="MQO1339" s="4" t="s">
        <v>2883</v>
      </c>
      <c r="MQP1339" s="4" t="s">
        <v>2883</v>
      </c>
      <c r="MQQ1339" s="4" t="s">
        <v>2883</v>
      </c>
      <c r="MQR1339" s="4" t="s">
        <v>2883</v>
      </c>
      <c r="MQS1339" s="4" t="s">
        <v>2883</v>
      </c>
      <c r="MQT1339" s="4" t="s">
        <v>2883</v>
      </c>
      <c r="MQU1339" s="4" t="s">
        <v>2883</v>
      </c>
      <c r="MQV1339" s="4" t="s">
        <v>2883</v>
      </c>
      <c r="MQW1339" s="4" t="s">
        <v>2883</v>
      </c>
      <c r="MQX1339" s="4" t="s">
        <v>2883</v>
      </c>
      <c r="MQY1339" s="4" t="s">
        <v>2883</v>
      </c>
      <c r="MQZ1339" s="4" t="s">
        <v>2883</v>
      </c>
      <c r="MRA1339" s="4" t="s">
        <v>2883</v>
      </c>
      <c r="MRB1339" s="4" t="s">
        <v>2883</v>
      </c>
      <c r="MRC1339" s="4" t="s">
        <v>2883</v>
      </c>
      <c r="MRD1339" s="4" t="s">
        <v>2883</v>
      </c>
      <c r="MRE1339" s="4" t="s">
        <v>2883</v>
      </c>
      <c r="MRF1339" s="4" t="s">
        <v>2883</v>
      </c>
      <c r="MRG1339" s="4" t="s">
        <v>2883</v>
      </c>
      <c r="MRH1339" s="4" t="s">
        <v>2883</v>
      </c>
      <c r="MRI1339" s="4" t="s">
        <v>2883</v>
      </c>
      <c r="MRJ1339" s="4" t="s">
        <v>2883</v>
      </c>
      <c r="MRK1339" s="4" t="s">
        <v>2883</v>
      </c>
      <c r="MRL1339" s="4" t="s">
        <v>2883</v>
      </c>
      <c r="MRM1339" s="4" t="s">
        <v>2883</v>
      </c>
      <c r="MRN1339" s="4" t="s">
        <v>2883</v>
      </c>
      <c r="MRO1339" s="4" t="s">
        <v>2883</v>
      </c>
      <c r="MRP1339" s="4" t="s">
        <v>2883</v>
      </c>
      <c r="MRQ1339" s="4" t="s">
        <v>2883</v>
      </c>
      <c r="MRR1339" s="4" t="s">
        <v>2883</v>
      </c>
      <c r="MRS1339" s="4" t="s">
        <v>2883</v>
      </c>
      <c r="MRT1339" s="4" t="s">
        <v>2883</v>
      </c>
      <c r="MRU1339" s="4" t="s">
        <v>2883</v>
      </c>
      <c r="MRV1339" s="4" t="s">
        <v>2883</v>
      </c>
      <c r="MRW1339" s="4" t="s">
        <v>2883</v>
      </c>
      <c r="MRX1339" s="4" t="s">
        <v>2883</v>
      </c>
      <c r="MRY1339" s="4" t="s">
        <v>2883</v>
      </c>
      <c r="MRZ1339" s="4" t="s">
        <v>2883</v>
      </c>
      <c r="MSA1339" s="4" t="s">
        <v>2883</v>
      </c>
      <c r="MSB1339" s="4" t="s">
        <v>2883</v>
      </c>
      <c r="MSC1339" s="4" t="s">
        <v>2883</v>
      </c>
      <c r="MSD1339" s="4" t="s">
        <v>2883</v>
      </c>
      <c r="MSE1339" s="4" t="s">
        <v>2883</v>
      </c>
      <c r="MSF1339" s="4" t="s">
        <v>2883</v>
      </c>
      <c r="MSG1339" s="4" t="s">
        <v>2883</v>
      </c>
      <c r="MSH1339" s="4" t="s">
        <v>2883</v>
      </c>
      <c r="MSI1339" s="4" t="s">
        <v>2883</v>
      </c>
      <c r="MSJ1339" s="4" t="s">
        <v>2883</v>
      </c>
      <c r="MSK1339" s="4" t="s">
        <v>2883</v>
      </c>
      <c r="MSL1339" s="4" t="s">
        <v>2883</v>
      </c>
      <c r="MSM1339" s="4" t="s">
        <v>2883</v>
      </c>
      <c r="MSN1339" s="4" t="s">
        <v>2883</v>
      </c>
      <c r="MSO1339" s="4" t="s">
        <v>2883</v>
      </c>
      <c r="MSP1339" s="4" t="s">
        <v>2883</v>
      </c>
      <c r="MSQ1339" s="4" t="s">
        <v>2883</v>
      </c>
      <c r="MSR1339" s="4" t="s">
        <v>2883</v>
      </c>
      <c r="MSS1339" s="4" t="s">
        <v>2883</v>
      </c>
      <c r="MST1339" s="4" t="s">
        <v>2883</v>
      </c>
      <c r="MSU1339" s="4" t="s">
        <v>2883</v>
      </c>
      <c r="MSV1339" s="4" t="s">
        <v>2883</v>
      </c>
      <c r="MSW1339" s="4" t="s">
        <v>2883</v>
      </c>
      <c r="MSX1339" s="4" t="s">
        <v>2883</v>
      </c>
      <c r="MSY1339" s="4" t="s">
        <v>2883</v>
      </c>
      <c r="MSZ1339" s="4" t="s">
        <v>2883</v>
      </c>
      <c r="MTA1339" s="4" t="s">
        <v>2883</v>
      </c>
      <c r="MTB1339" s="4" t="s">
        <v>2883</v>
      </c>
      <c r="MTC1339" s="4" t="s">
        <v>2883</v>
      </c>
      <c r="MTD1339" s="4" t="s">
        <v>2883</v>
      </c>
      <c r="MTE1339" s="4" t="s">
        <v>2883</v>
      </c>
      <c r="MTF1339" s="4" t="s">
        <v>2883</v>
      </c>
      <c r="MTG1339" s="4" t="s">
        <v>2883</v>
      </c>
      <c r="MTH1339" s="4" t="s">
        <v>2883</v>
      </c>
      <c r="MTI1339" s="4" t="s">
        <v>2883</v>
      </c>
      <c r="MTJ1339" s="4" t="s">
        <v>2883</v>
      </c>
      <c r="MTK1339" s="4" t="s">
        <v>2883</v>
      </c>
      <c r="MTL1339" s="4" t="s">
        <v>2883</v>
      </c>
      <c r="MTM1339" s="4" t="s">
        <v>2883</v>
      </c>
      <c r="MTN1339" s="4" t="s">
        <v>2883</v>
      </c>
      <c r="MTO1339" s="4" t="s">
        <v>2883</v>
      </c>
      <c r="MTP1339" s="4" t="s">
        <v>2883</v>
      </c>
      <c r="MTQ1339" s="4" t="s">
        <v>2883</v>
      </c>
      <c r="MTR1339" s="4" t="s">
        <v>2883</v>
      </c>
      <c r="MTS1339" s="4" t="s">
        <v>2883</v>
      </c>
      <c r="MTT1339" s="4" t="s">
        <v>2883</v>
      </c>
      <c r="MTU1339" s="4" t="s">
        <v>2883</v>
      </c>
      <c r="MTV1339" s="4" t="s">
        <v>2883</v>
      </c>
      <c r="MTW1339" s="4" t="s">
        <v>2883</v>
      </c>
      <c r="MTX1339" s="4" t="s">
        <v>2883</v>
      </c>
      <c r="MTY1339" s="4" t="s">
        <v>2883</v>
      </c>
      <c r="MTZ1339" s="4" t="s">
        <v>2883</v>
      </c>
      <c r="MUA1339" s="4" t="s">
        <v>2883</v>
      </c>
      <c r="MUB1339" s="4" t="s">
        <v>2883</v>
      </c>
      <c r="MUC1339" s="4" t="s">
        <v>2883</v>
      </c>
      <c r="MUD1339" s="4" t="s">
        <v>2883</v>
      </c>
      <c r="MUE1339" s="4" t="s">
        <v>2883</v>
      </c>
      <c r="MUF1339" s="4" t="s">
        <v>2883</v>
      </c>
      <c r="MUG1339" s="4" t="s">
        <v>2883</v>
      </c>
      <c r="MUH1339" s="4" t="s">
        <v>2883</v>
      </c>
      <c r="MUI1339" s="4" t="s">
        <v>2883</v>
      </c>
      <c r="MUJ1339" s="4" t="s">
        <v>2883</v>
      </c>
      <c r="MUK1339" s="4" t="s">
        <v>2883</v>
      </c>
      <c r="MUL1339" s="4" t="s">
        <v>2883</v>
      </c>
      <c r="MUM1339" s="4" t="s">
        <v>2883</v>
      </c>
      <c r="MUN1339" s="4" t="s">
        <v>2883</v>
      </c>
      <c r="MUO1339" s="4" t="s">
        <v>2883</v>
      </c>
      <c r="MUP1339" s="4" t="s">
        <v>2883</v>
      </c>
      <c r="MUQ1339" s="4" t="s">
        <v>2883</v>
      </c>
      <c r="MUR1339" s="4" t="s">
        <v>2883</v>
      </c>
      <c r="MUS1339" s="4" t="s">
        <v>2883</v>
      </c>
      <c r="MUT1339" s="4" t="s">
        <v>2883</v>
      </c>
      <c r="MUU1339" s="4" t="s">
        <v>2883</v>
      </c>
      <c r="MUV1339" s="4" t="s">
        <v>2883</v>
      </c>
      <c r="MUW1339" s="4" t="s">
        <v>2883</v>
      </c>
      <c r="MUX1339" s="4" t="s">
        <v>2883</v>
      </c>
      <c r="MUY1339" s="4" t="s">
        <v>2883</v>
      </c>
      <c r="MUZ1339" s="4" t="s">
        <v>2883</v>
      </c>
      <c r="MVA1339" s="4" t="s">
        <v>2883</v>
      </c>
      <c r="MVB1339" s="4" t="s">
        <v>2883</v>
      </c>
      <c r="MVC1339" s="4" t="s">
        <v>2883</v>
      </c>
      <c r="MVD1339" s="4" t="s">
        <v>2883</v>
      </c>
      <c r="MVE1339" s="4" t="s">
        <v>2883</v>
      </c>
      <c r="MVF1339" s="4" t="s">
        <v>2883</v>
      </c>
      <c r="MVG1339" s="4" t="s">
        <v>2883</v>
      </c>
      <c r="MVH1339" s="4" t="s">
        <v>2883</v>
      </c>
      <c r="MVI1339" s="4" t="s">
        <v>2883</v>
      </c>
      <c r="MVJ1339" s="4" t="s">
        <v>2883</v>
      </c>
      <c r="MVK1339" s="4" t="s">
        <v>2883</v>
      </c>
      <c r="MVL1339" s="4" t="s">
        <v>2883</v>
      </c>
      <c r="MVM1339" s="4" t="s">
        <v>2883</v>
      </c>
      <c r="MVN1339" s="4" t="s">
        <v>2883</v>
      </c>
      <c r="MVO1339" s="4" t="s">
        <v>2883</v>
      </c>
      <c r="MVP1339" s="4" t="s">
        <v>2883</v>
      </c>
      <c r="MVQ1339" s="4" t="s">
        <v>2883</v>
      </c>
      <c r="MVR1339" s="4" t="s">
        <v>2883</v>
      </c>
      <c r="MVS1339" s="4" t="s">
        <v>2883</v>
      </c>
      <c r="MVT1339" s="4" t="s">
        <v>2883</v>
      </c>
      <c r="MVU1339" s="4" t="s">
        <v>2883</v>
      </c>
      <c r="MVV1339" s="4" t="s">
        <v>2883</v>
      </c>
      <c r="MVW1339" s="4" t="s">
        <v>2883</v>
      </c>
      <c r="MVX1339" s="4" t="s">
        <v>2883</v>
      </c>
      <c r="MVY1339" s="4" t="s">
        <v>2883</v>
      </c>
      <c r="MVZ1339" s="4" t="s">
        <v>2883</v>
      </c>
      <c r="MWA1339" s="4" t="s">
        <v>2883</v>
      </c>
      <c r="MWB1339" s="4" t="s">
        <v>2883</v>
      </c>
      <c r="MWC1339" s="4" t="s">
        <v>2883</v>
      </c>
      <c r="MWD1339" s="4" t="s">
        <v>2883</v>
      </c>
      <c r="MWE1339" s="4" t="s">
        <v>2883</v>
      </c>
      <c r="MWF1339" s="4" t="s">
        <v>2883</v>
      </c>
      <c r="MWG1339" s="4" t="s">
        <v>2883</v>
      </c>
      <c r="MWH1339" s="4" t="s">
        <v>2883</v>
      </c>
      <c r="MWI1339" s="4" t="s">
        <v>2883</v>
      </c>
      <c r="MWJ1339" s="4" t="s">
        <v>2883</v>
      </c>
      <c r="MWK1339" s="4" t="s">
        <v>2883</v>
      </c>
      <c r="MWL1339" s="4" t="s">
        <v>2883</v>
      </c>
      <c r="MWM1339" s="4" t="s">
        <v>2883</v>
      </c>
      <c r="MWN1339" s="4" t="s">
        <v>2883</v>
      </c>
      <c r="MWO1339" s="4" t="s">
        <v>2883</v>
      </c>
      <c r="MWP1339" s="4" t="s">
        <v>2883</v>
      </c>
      <c r="MWQ1339" s="4" t="s">
        <v>2883</v>
      </c>
      <c r="MWR1339" s="4" t="s">
        <v>2883</v>
      </c>
      <c r="MWS1339" s="4" t="s">
        <v>2883</v>
      </c>
      <c r="MWT1339" s="4" t="s">
        <v>2883</v>
      </c>
      <c r="MWU1339" s="4" t="s">
        <v>2883</v>
      </c>
      <c r="MWV1339" s="4" t="s">
        <v>2883</v>
      </c>
      <c r="MWW1339" s="4" t="s">
        <v>2883</v>
      </c>
      <c r="MWX1339" s="4" t="s">
        <v>2883</v>
      </c>
      <c r="MWY1339" s="4" t="s">
        <v>2883</v>
      </c>
      <c r="MWZ1339" s="4" t="s">
        <v>2883</v>
      </c>
      <c r="MXA1339" s="4" t="s">
        <v>2883</v>
      </c>
      <c r="MXB1339" s="4" t="s">
        <v>2883</v>
      </c>
      <c r="MXC1339" s="4" t="s">
        <v>2883</v>
      </c>
      <c r="MXD1339" s="4" t="s">
        <v>2883</v>
      </c>
      <c r="MXE1339" s="4" t="s">
        <v>2883</v>
      </c>
      <c r="MXF1339" s="4" t="s">
        <v>2883</v>
      </c>
      <c r="MXG1339" s="4" t="s">
        <v>2883</v>
      </c>
      <c r="MXH1339" s="4" t="s">
        <v>2883</v>
      </c>
      <c r="MXI1339" s="4" t="s">
        <v>2883</v>
      </c>
      <c r="MXJ1339" s="4" t="s">
        <v>2883</v>
      </c>
      <c r="MXK1339" s="4" t="s">
        <v>2883</v>
      </c>
      <c r="MXL1339" s="4" t="s">
        <v>2883</v>
      </c>
      <c r="MXM1339" s="4" t="s">
        <v>2883</v>
      </c>
      <c r="MXN1339" s="4" t="s">
        <v>2883</v>
      </c>
      <c r="MXO1339" s="4" t="s">
        <v>2883</v>
      </c>
      <c r="MXP1339" s="4" t="s">
        <v>2883</v>
      </c>
      <c r="MXQ1339" s="4" t="s">
        <v>2883</v>
      </c>
      <c r="MXR1339" s="4" t="s">
        <v>2883</v>
      </c>
      <c r="MXS1339" s="4" t="s">
        <v>2883</v>
      </c>
      <c r="MXT1339" s="4" t="s">
        <v>2883</v>
      </c>
      <c r="MXU1339" s="4" t="s">
        <v>2883</v>
      </c>
      <c r="MXV1339" s="4" t="s">
        <v>2883</v>
      </c>
      <c r="MXW1339" s="4" t="s">
        <v>2883</v>
      </c>
      <c r="MXX1339" s="4" t="s">
        <v>2883</v>
      </c>
      <c r="MXY1339" s="4" t="s">
        <v>2883</v>
      </c>
      <c r="MXZ1339" s="4" t="s">
        <v>2883</v>
      </c>
      <c r="MYA1339" s="4" t="s">
        <v>2883</v>
      </c>
      <c r="MYB1339" s="4" t="s">
        <v>2883</v>
      </c>
      <c r="MYC1339" s="4" t="s">
        <v>2883</v>
      </c>
      <c r="MYD1339" s="4" t="s">
        <v>2883</v>
      </c>
      <c r="MYE1339" s="4" t="s">
        <v>2883</v>
      </c>
      <c r="MYF1339" s="4" t="s">
        <v>2883</v>
      </c>
      <c r="MYG1339" s="4" t="s">
        <v>2883</v>
      </c>
      <c r="MYH1339" s="4" t="s">
        <v>2883</v>
      </c>
      <c r="MYI1339" s="4" t="s">
        <v>2883</v>
      </c>
      <c r="MYJ1339" s="4" t="s">
        <v>2883</v>
      </c>
      <c r="MYK1339" s="4" t="s">
        <v>2883</v>
      </c>
      <c r="MYL1339" s="4" t="s">
        <v>2883</v>
      </c>
      <c r="MYM1339" s="4" t="s">
        <v>2883</v>
      </c>
      <c r="MYN1339" s="4" t="s">
        <v>2883</v>
      </c>
      <c r="MYO1339" s="4" t="s">
        <v>2883</v>
      </c>
      <c r="MYP1339" s="4" t="s">
        <v>2883</v>
      </c>
      <c r="MYQ1339" s="4" t="s">
        <v>2883</v>
      </c>
      <c r="MYR1339" s="4" t="s">
        <v>2883</v>
      </c>
      <c r="MYS1339" s="4" t="s">
        <v>2883</v>
      </c>
      <c r="MYT1339" s="4" t="s">
        <v>2883</v>
      </c>
      <c r="MYU1339" s="4" t="s">
        <v>2883</v>
      </c>
      <c r="MYV1339" s="4" t="s">
        <v>2883</v>
      </c>
      <c r="MYW1339" s="4" t="s">
        <v>2883</v>
      </c>
      <c r="MYX1339" s="4" t="s">
        <v>2883</v>
      </c>
      <c r="MYY1339" s="4" t="s">
        <v>2883</v>
      </c>
      <c r="MYZ1339" s="4" t="s">
        <v>2883</v>
      </c>
      <c r="MZA1339" s="4" t="s">
        <v>2883</v>
      </c>
      <c r="MZB1339" s="4" t="s">
        <v>2883</v>
      </c>
      <c r="MZC1339" s="4" t="s">
        <v>2883</v>
      </c>
      <c r="MZD1339" s="4" t="s">
        <v>2883</v>
      </c>
      <c r="MZE1339" s="4" t="s">
        <v>2883</v>
      </c>
      <c r="MZF1339" s="4" t="s">
        <v>2883</v>
      </c>
      <c r="MZG1339" s="4" t="s">
        <v>2883</v>
      </c>
      <c r="MZH1339" s="4" t="s">
        <v>2883</v>
      </c>
      <c r="MZI1339" s="4" t="s">
        <v>2883</v>
      </c>
      <c r="MZJ1339" s="4" t="s">
        <v>2883</v>
      </c>
      <c r="MZK1339" s="4" t="s">
        <v>2883</v>
      </c>
      <c r="MZL1339" s="4" t="s">
        <v>2883</v>
      </c>
      <c r="MZM1339" s="4" t="s">
        <v>2883</v>
      </c>
      <c r="MZN1339" s="4" t="s">
        <v>2883</v>
      </c>
      <c r="MZO1339" s="4" t="s">
        <v>2883</v>
      </c>
      <c r="MZP1339" s="4" t="s">
        <v>2883</v>
      </c>
      <c r="MZQ1339" s="4" t="s">
        <v>2883</v>
      </c>
      <c r="MZR1339" s="4" t="s">
        <v>2883</v>
      </c>
      <c r="MZS1339" s="4" t="s">
        <v>2883</v>
      </c>
      <c r="MZT1339" s="4" t="s">
        <v>2883</v>
      </c>
      <c r="MZU1339" s="4" t="s">
        <v>2883</v>
      </c>
      <c r="MZV1339" s="4" t="s">
        <v>2883</v>
      </c>
      <c r="MZW1339" s="4" t="s">
        <v>2883</v>
      </c>
      <c r="MZX1339" s="4" t="s">
        <v>2883</v>
      </c>
      <c r="MZY1339" s="4" t="s">
        <v>2883</v>
      </c>
      <c r="MZZ1339" s="4" t="s">
        <v>2883</v>
      </c>
      <c r="NAA1339" s="4" t="s">
        <v>2883</v>
      </c>
      <c r="NAB1339" s="4" t="s">
        <v>2883</v>
      </c>
      <c r="NAC1339" s="4" t="s">
        <v>2883</v>
      </c>
      <c r="NAD1339" s="4" t="s">
        <v>2883</v>
      </c>
      <c r="NAE1339" s="4" t="s">
        <v>2883</v>
      </c>
      <c r="NAF1339" s="4" t="s">
        <v>2883</v>
      </c>
      <c r="NAG1339" s="4" t="s">
        <v>2883</v>
      </c>
      <c r="NAH1339" s="4" t="s">
        <v>2883</v>
      </c>
      <c r="NAI1339" s="4" t="s">
        <v>2883</v>
      </c>
      <c r="NAJ1339" s="4" t="s">
        <v>2883</v>
      </c>
      <c r="NAK1339" s="4" t="s">
        <v>2883</v>
      </c>
      <c r="NAL1339" s="4" t="s">
        <v>2883</v>
      </c>
      <c r="NAM1339" s="4" t="s">
        <v>2883</v>
      </c>
      <c r="NAN1339" s="4" t="s">
        <v>2883</v>
      </c>
      <c r="NAO1339" s="4" t="s">
        <v>2883</v>
      </c>
      <c r="NAP1339" s="4" t="s">
        <v>2883</v>
      </c>
      <c r="NAQ1339" s="4" t="s">
        <v>2883</v>
      </c>
      <c r="NAR1339" s="4" t="s">
        <v>2883</v>
      </c>
      <c r="NAS1339" s="4" t="s">
        <v>2883</v>
      </c>
      <c r="NAT1339" s="4" t="s">
        <v>2883</v>
      </c>
      <c r="NAU1339" s="4" t="s">
        <v>2883</v>
      </c>
      <c r="NAV1339" s="4" t="s">
        <v>2883</v>
      </c>
      <c r="NAW1339" s="4" t="s">
        <v>2883</v>
      </c>
      <c r="NAX1339" s="4" t="s">
        <v>2883</v>
      </c>
      <c r="NAY1339" s="4" t="s">
        <v>2883</v>
      </c>
      <c r="NAZ1339" s="4" t="s">
        <v>2883</v>
      </c>
      <c r="NBA1339" s="4" t="s">
        <v>2883</v>
      </c>
      <c r="NBB1339" s="4" t="s">
        <v>2883</v>
      </c>
      <c r="NBC1339" s="4" t="s">
        <v>2883</v>
      </c>
      <c r="NBD1339" s="4" t="s">
        <v>2883</v>
      </c>
      <c r="NBE1339" s="4" t="s">
        <v>2883</v>
      </c>
      <c r="NBF1339" s="4" t="s">
        <v>2883</v>
      </c>
      <c r="NBG1339" s="4" t="s">
        <v>2883</v>
      </c>
      <c r="NBH1339" s="4" t="s">
        <v>2883</v>
      </c>
      <c r="NBI1339" s="4" t="s">
        <v>2883</v>
      </c>
      <c r="NBJ1339" s="4" t="s">
        <v>2883</v>
      </c>
      <c r="NBK1339" s="4" t="s">
        <v>2883</v>
      </c>
      <c r="NBL1339" s="4" t="s">
        <v>2883</v>
      </c>
      <c r="NBM1339" s="4" t="s">
        <v>2883</v>
      </c>
      <c r="NBN1339" s="4" t="s">
        <v>2883</v>
      </c>
      <c r="NBO1339" s="4" t="s">
        <v>2883</v>
      </c>
      <c r="NBP1339" s="4" t="s">
        <v>2883</v>
      </c>
      <c r="NBQ1339" s="4" t="s">
        <v>2883</v>
      </c>
      <c r="NBR1339" s="4" t="s">
        <v>2883</v>
      </c>
      <c r="NBS1339" s="4" t="s">
        <v>2883</v>
      </c>
      <c r="NBT1339" s="4" t="s">
        <v>2883</v>
      </c>
      <c r="NBU1339" s="4" t="s">
        <v>2883</v>
      </c>
      <c r="NBV1339" s="4" t="s">
        <v>2883</v>
      </c>
      <c r="NBW1339" s="4" t="s">
        <v>2883</v>
      </c>
      <c r="NBX1339" s="4" t="s">
        <v>2883</v>
      </c>
      <c r="NBY1339" s="4" t="s">
        <v>2883</v>
      </c>
      <c r="NBZ1339" s="4" t="s">
        <v>2883</v>
      </c>
      <c r="NCA1339" s="4" t="s">
        <v>2883</v>
      </c>
      <c r="NCB1339" s="4" t="s">
        <v>2883</v>
      </c>
      <c r="NCC1339" s="4" t="s">
        <v>2883</v>
      </c>
      <c r="NCD1339" s="4" t="s">
        <v>2883</v>
      </c>
      <c r="NCE1339" s="4" t="s">
        <v>2883</v>
      </c>
      <c r="NCF1339" s="4" t="s">
        <v>2883</v>
      </c>
      <c r="NCG1339" s="4" t="s">
        <v>2883</v>
      </c>
      <c r="NCH1339" s="4" t="s">
        <v>2883</v>
      </c>
      <c r="NCI1339" s="4" t="s">
        <v>2883</v>
      </c>
      <c r="NCJ1339" s="4" t="s">
        <v>2883</v>
      </c>
      <c r="NCK1339" s="4" t="s">
        <v>2883</v>
      </c>
      <c r="NCL1339" s="4" t="s">
        <v>2883</v>
      </c>
      <c r="NCM1339" s="4" t="s">
        <v>2883</v>
      </c>
      <c r="NCN1339" s="4" t="s">
        <v>2883</v>
      </c>
      <c r="NCO1339" s="4" t="s">
        <v>2883</v>
      </c>
      <c r="NCP1339" s="4" t="s">
        <v>2883</v>
      </c>
      <c r="NCQ1339" s="4" t="s">
        <v>2883</v>
      </c>
      <c r="NCR1339" s="4" t="s">
        <v>2883</v>
      </c>
      <c r="NCS1339" s="4" t="s">
        <v>2883</v>
      </c>
      <c r="NCT1339" s="4" t="s">
        <v>2883</v>
      </c>
      <c r="NCU1339" s="4" t="s">
        <v>2883</v>
      </c>
      <c r="NCV1339" s="4" t="s">
        <v>2883</v>
      </c>
      <c r="NCW1339" s="4" t="s">
        <v>2883</v>
      </c>
      <c r="NCX1339" s="4" t="s">
        <v>2883</v>
      </c>
      <c r="NCY1339" s="4" t="s">
        <v>2883</v>
      </c>
      <c r="NCZ1339" s="4" t="s">
        <v>2883</v>
      </c>
      <c r="NDA1339" s="4" t="s">
        <v>2883</v>
      </c>
      <c r="NDB1339" s="4" t="s">
        <v>2883</v>
      </c>
      <c r="NDC1339" s="4" t="s">
        <v>2883</v>
      </c>
      <c r="NDD1339" s="4" t="s">
        <v>2883</v>
      </c>
      <c r="NDE1339" s="4" t="s">
        <v>2883</v>
      </c>
      <c r="NDF1339" s="4" t="s">
        <v>2883</v>
      </c>
      <c r="NDG1339" s="4" t="s">
        <v>2883</v>
      </c>
      <c r="NDH1339" s="4" t="s">
        <v>2883</v>
      </c>
      <c r="NDI1339" s="4" t="s">
        <v>2883</v>
      </c>
      <c r="NDJ1339" s="4" t="s">
        <v>2883</v>
      </c>
      <c r="NDK1339" s="4" t="s">
        <v>2883</v>
      </c>
      <c r="NDL1339" s="4" t="s">
        <v>2883</v>
      </c>
      <c r="NDM1339" s="4" t="s">
        <v>2883</v>
      </c>
      <c r="NDN1339" s="4" t="s">
        <v>2883</v>
      </c>
      <c r="NDO1339" s="4" t="s">
        <v>2883</v>
      </c>
      <c r="NDP1339" s="4" t="s">
        <v>2883</v>
      </c>
      <c r="NDQ1339" s="4" t="s">
        <v>2883</v>
      </c>
      <c r="NDR1339" s="4" t="s">
        <v>2883</v>
      </c>
      <c r="NDS1339" s="4" t="s">
        <v>2883</v>
      </c>
      <c r="NDT1339" s="4" t="s">
        <v>2883</v>
      </c>
      <c r="NDU1339" s="4" t="s">
        <v>2883</v>
      </c>
      <c r="NDV1339" s="4" t="s">
        <v>2883</v>
      </c>
      <c r="NDW1339" s="4" t="s">
        <v>2883</v>
      </c>
      <c r="NDX1339" s="4" t="s">
        <v>2883</v>
      </c>
      <c r="NDY1339" s="4" t="s">
        <v>2883</v>
      </c>
      <c r="NDZ1339" s="4" t="s">
        <v>2883</v>
      </c>
      <c r="NEA1339" s="4" t="s">
        <v>2883</v>
      </c>
      <c r="NEB1339" s="4" t="s">
        <v>2883</v>
      </c>
      <c r="NEC1339" s="4" t="s">
        <v>2883</v>
      </c>
      <c r="NED1339" s="4" t="s">
        <v>2883</v>
      </c>
      <c r="NEE1339" s="4" t="s">
        <v>2883</v>
      </c>
      <c r="NEF1339" s="4" t="s">
        <v>2883</v>
      </c>
      <c r="NEG1339" s="4" t="s">
        <v>2883</v>
      </c>
      <c r="NEH1339" s="4" t="s">
        <v>2883</v>
      </c>
      <c r="NEI1339" s="4" t="s">
        <v>2883</v>
      </c>
      <c r="NEJ1339" s="4" t="s">
        <v>2883</v>
      </c>
      <c r="NEK1339" s="4" t="s">
        <v>2883</v>
      </c>
      <c r="NEL1339" s="4" t="s">
        <v>2883</v>
      </c>
      <c r="NEM1339" s="4" t="s">
        <v>2883</v>
      </c>
      <c r="NEN1339" s="4" t="s">
        <v>2883</v>
      </c>
      <c r="NEO1339" s="4" t="s">
        <v>2883</v>
      </c>
      <c r="NEP1339" s="4" t="s">
        <v>2883</v>
      </c>
      <c r="NEQ1339" s="4" t="s">
        <v>2883</v>
      </c>
      <c r="NER1339" s="4" t="s">
        <v>2883</v>
      </c>
      <c r="NES1339" s="4" t="s">
        <v>2883</v>
      </c>
      <c r="NET1339" s="4" t="s">
        <v>2883</v>
      </c>
      <c r="NEU1339" s="4" t="s">
        <v>2883</v>
      </c>
      <c r="NEV1339" s="4" t="s">
        <v>2883</v>
      </c>
      <c r="NEW1339" s="4" t="s">
        <v>2883</v>
      </c>
      <c r="NEX1339" s="4" t="s">
        <v>2883</v>
      </c>
      <c r="NEY1339" s="4" t="s">
        <v>2883</v>
      </c>
      <c r="NEZ1339" s="4" t="s">
        <v>2883</v>
      </c>
      <c r="NFA1339" s="4" t="s">
        <v>2883</v>
      </c>
      <c r="NFB1339" s="4" t="s">
        <v>2883</v>
      </c>
      <c r="NFC1339" s="4" t="s">
        <v>2883</v>
      </c>
      <c r="NFD1339" s="4" t="s">
        <v>2883</v>
      </c>
      <c r="NFE1339" s="4" t="s">
        <v>2883</v>
      </c>
      <c r="NFF1339" s="4" t="s">
        <v>2883</v>
      </c>
      <c r="NFG1339" s="4" t="s">
        <v>2883</v>
      </c>
      <c r="NFH1339" s="4" t="s">
        <v>2883</v>
      </c>
      <c r="NFI1339" s="4" t="s">
        <v>2883</v>
      </c>
      <c r="NFJ1339" s="4" t="s">
        <v>2883</v>
      </c>
      <c r="NFK1339" s="4" t="s">
        <v>2883</v>
      </c>
      <c r="NFL1339" s="4" t="s">
        <v>2883</v>
      </c>
      <c r="NFM1339" s="4" t="s">
        <v>2883</v>
      </c>
      <c r="NFN1339" s="4" t="s">
        <v>2883</v>
      </c>
      <c r="NFO1339" s="4" t="s">
        <v>2883</v>
      </c>
      <c r="NFP1339" s="4" t="s">
        <v>2883</v>
      </c>
      <c r="NFQ1339" s="4" t="s">
        <v>2883</v>
      </c>
      <c r="NFR1339" s="4" t="s">
        <v>2883</v>
      </c>
      <c r="NFS1339" s="4" t="s">
        <v>2883</v>
      </c>
      <c r="NFT1339" s="4" t="s">
        <v>2883</v>
      </c>
      <c r="NFU1339" s="4" t="s">
        <v>2883</v>
      </c>
      <c r="NFV1339" s="4" t="s">
        <v>2883</v>
      </c>
      <c r="NFW1339" s="4" t="s">
        <v>2883</v>
      </c>
      <c r="NFX1339" s="4" t="s">
        <v>2883</v>
      </c>
      <c r="NFY1339" s="4" t="s">
        <v>2883</v>
      </c>
      <c r="NFZ1339" s="4" t="s">
        <v>2883</v>
      </c>
      <c r="NGA1339" s="4" t="s">
        <v>2883</v>
      </c>
      <c r="NGB1339" s="4" t="s">
        <v>2883</v>
      </c>
      <c r="NGC1339" s="4" t="s">
        <v>2883</v>
      </c>
      <c r="NGD1339" s="4" t="s">
        <v>2883</v>
      </c>
      <c r="NGE1339" s="4" t="s">
        <v>2883</v>
      </c>
      <c r="NGF1339" s="4" t="s">
        <v>2883</v>
      </c>
      <c r="NGG1339" s="4" t="s">
        <v>2883</v>
      </c>
      <c r="NGH1339" s="4" t="s">
        <v>2883</v>
      </c>
      <c r="NGI1339" s="4" t="s">
        <v>2883</v>
      </c>
      <c r="NGJ1339" s="4" t="s">
        <v>2883</v>
      </c>
      <c r="NGK1339" s="4" t="s">
        <v>2883</v>
      </c>
      <c r="NGL1339" s="4" t="s">
        <v>2883</v>
      </c>
      <c r="NGM1339" s="4" t="s">
        <v>2883</v>
      </c>
      <c r="NGN1339" s="4" t="s">
        <v>2883</v>
      </c>
      <c r="NGO1339" s="4" t="s">
        <v>2883</v>
      </c>
      <c r="NGP1339" s="4" t="s">
        <v>2883</v>
      </c>
      <c r="NGQ1339" s="4" t="s">
        <v>2883</v>
      </c>
      <c r="NGR1339" s="4" t="s">
        <v>2883</v>
      </c>
      <c r="NGS1339" s="4" t="s">
        <v>2883</v>
      </c>
      <c r="NGT1339" s="4" t="s">
        <v>2883</v>
      </c>
      <c r="NGU1339" s="4" t="s">
        <v>2883</v>
      </c>
      <c r="NGV1339" s="4" t="s">
        <v>2883</v>
      </c>
      <c r="NGW1339" s="4" t="s">
        <v>2883</v>
      </c>
      <c r="NGX1339" s="4" t="s">
        <v>2883</v>
      </c>
      <c r="NGY1339" s="4" t="s">
        <v>2883</v>
      </c>
      <c r="NGZ1339" s="4" t="s">
        <v>2883</v>
      </c>
      <c r="NHA1339" s="4" t="s">
        <v>2883</v>
      </c>
      <c r="NHB1339" s="4" t="s">
        <v>2883</v>
      </c>
      <c r="NHC1339" s="4" t="s">
        <v>2883</v>
      </c>
      <c r="NHD1339" s="4" t="s">
        <v>2883</v>
      </c>
      <c r="NHE1339" s="4" t="s">
        <v>2883</v>
      </c>
      <c r="NHF1339" s="4" t="s">
        <v>2883</v>
      </c>
      <c r="NHG1339" s="4" t="s">
        <v>2883</v>
      </c>
      <c r="NHH1339" s="4" t="s">
        <v>2883</v>
      </c>
      <c r="NHI1339" s="4" t="s">
        <v>2883</v>
      </c>
      <c r="NHJ1339" s="4" t="s">
        <v>2883</v>
      </c>
      <c r="NHK1339" s="4" t="s">
        <v>2883</v>
      </c>
      <c r="NHL1339" s="4" t="s">
        <v>2883</v>
      </c>
      <c r="NHM1339" s="4" t="s">
        <v>2883</v>
      </c>
      <c r="NHN1339" s="4" t="s">
        <v>2883</v>
      </c>
      <c r="NHO1339" s="4" t="s">
        <v>2883</v>
      </c>
      <c r="NHP1339" s="4" t="s">
        <v>2883</v>
      </c>
      <c r="NHQ1339" s="4" t="s">
        <v>2883</v>
      </c>
      <c r="NHR1339" s="4" t="s">
        <v>2883</v>
      </c>
      <c r="NHS1339" s="4" t="s">
        <v>2883</v>
      </c>
      <c r="NHT1339" s="4" t="s">
        <v>2883</v>
      </c>
      <c r="NHU1339" s="4" t="s">
        <v>2883</v>
      </c>
      <c r="NHV1339" s="4" t="s">
        <v>2883</v>
      </c>
      <c r="NHW1339" s="4" t="s">
        <v>2883</v>
      </c>
      <c r="NHX1339" s="4" t="s">
        <v>2883</v>
      </c>
      <c r="NHY1339" s="4" t="s">
        <v>2883</v>
      </c>
      <c r="NHZ1339" s="4" t="s">
        <v>2883</v>
      </c>
      <c r="NIA1339" s="4" t="s">
        <v>2883</v>
      </c>
      <c r="NIB1339" s="4" t="s">
        <v>2883</v>
      </c>
      <c r="NIC1339" s="4" t="s">
        <v>2883</v>
      </c>
      <c r="NID1339" s="4" t="s">
        <v>2883</v>
      </c>
      <c r="NIE1339" s="4" t="s">
        <v>2883</v>
      </c>
      <c r="NIF1339" s="4" t="s">
        <v>2883</v>
      </c>
      <c r="NIG1339" s="4" t="s">
        <v>2883</v>
      </c>
      <c r="NIH1339" s="4" t="s">
        <v>2883</v>
      </c>
      <c r="NII1339" s="4" t="s">
        <v>2883</v>
      </c>
      <c r="NIJ1339" s="4" t="s">
        <v>2883</v>
      </c>
      <c r="NIK1339" s="4" t="s">
        <v>2883</v>
      </c>
      <c r="NIL1339" s="4" t="s">
        <v>2883</v>
      </c>
      <c r="NIM1339" s="4" t="s">
        <v>2883</v>
      </c>
      <c r="NIN1339" s="4" t="s">
        <v>2883</v>
      </c>
      <c r="NIO1339" s="4" t="s">
        <v>2883</v>
      </c>
      <c r="NIP1339" s="4" t="s">
        <v>2883</v>
      </c>
      <c r="NIQ1339" s="4" t="s">
        <v>2883</v>
      </c>
      <c r="NIR1339" s="4" t="s">
        <v>2883</v>
      </c>
      <c r="NIS1339" s="4" t="s">
        <v>2883</v>
      </c>
      <c r="NIT1339" s="4" t="s">
        <v>2883</v>
      </c>
      <c r="NIU1339" s="4" t="s">
        <v>2883</v>
      </c>
      <c r="NIV1339" s="4" t="s">
        <v>2883</v>
      </c>
      <c r="NIW1339" s="4" t="s">
        <v>2883</v>
      </c>
      <c r="NIX1339" s="4" t="s">
        <v>2883</v>
      </c>
      <c r="NIY1339" s="4" t="s">
        <v>2883</v>
      </c>
      <c r="NIZ1339" s="4" t="s">
        <v>2883</v>
      </c>
      <c r="NJA1339" s="4" t="s">
        <v>2883</v>
      </c>
      <c r="NJB1339" s="4" t="s">
        <v>2883</v>
      </c>
      <c r="NJC1339" s="4" t="s">
        <v>2883</v>
      </c>
      <c r="NJD1339" s="4" t="s">
        <v>2883</v>
      </c>
      <c r="NJE1339" s="4" t="s">
        <v>2883</v>
      </c>
      <c r="NJF1339" s="4" t="s">
        <v>2883</v>
      </c>
      <c r="NJG1339" s="4" t="s">
        <v>2883</v>
      </c>
      <c r="NJH1339" s="4" t="s">
        <v>2883</v>
      </c>
      <c r="NJI1339" s="4" t="s">
        <v>2883</v>
      </c>
      <c r="NJJ1339" s="4" t="s">
        <v>2883</v>
      </c>
      <c r="NJK1339" s="4" t="s">
        <v>2883</v>
      </c>
      <c r="NJL1339" s="4" t="s">
        <v>2883</v>
      </c>
      <c r="NJM1339" s="4" t="s">
        <v>2883</v>
      </c>
      <c r="NJN1339" s="4" t="s">
        <v>2883</v>
      </c>
      <c r="NJO1339" s="4" t="s">
        <v>2883</v>
      </c>
      <c r="NJP1339" s="4" t="s">
        <v>2883</v>
      </c>
      <c r="NJQ1339" s="4" t="s">
        <v>2883</v>
      </c>
      <c r="NJR1339" s="4" t="s">
        <v>2883</v>
      </c>
      <c r="NJS1339" s="4" t="s">
        <v>2883</v>
      </c>
      <c r="NJT1339" s="4" t="s">
        <v>2883</v>
      </c>
      <c r="NJU1339" s="4" t="s">
        <v>2883</v>
      </c>
      <c r="NJV1339" s="4" t="s">
        <v>2883</v>
      </c>
      <c r="NJW1339" s="4" t="s">
        <v>2883</v>
      </c>
      <c r="NJX1339" s="4" t="s">
        <v>2883</v>
      </c>
      <c r="NJY1339" s="4" t="s">
        <v>2883</v>
      </c>
      <c r="NJZ1339" s="4" t="s">
        <v>2883</v>
      </c>
      <c r="NKA1339" s="4" t="s">
        <v>2883</v>
      </c>
      <c r="NKB1339" s="4" t="s">
        <v>2883</v>
      </c>
      <c r="NKC1339" s="4" t="s">
        <v>2883</v>
      </c>
      <c r="NKD1339" s="4" t="s">
        <v>2883</v>
      </c>
      <c r="NKE1339" s="4" t="s">
        <v>2883</v>
      </c>
      <c r="NKF1339" s="4" t="s">
        <v>2883</v>
      </c>
      <c r="NKG1339" s="4" t="s">
        <v>2883</v>
      </c>
      <c r="NKH1339" s="4" t="s">
        <v>2883</v>
      </c>
      <c r="NKI1339" s="4" t="s">
        <v>2883</v>
      </c>
      <c r="NKJ1339" s="4" t="s">
        <v>2883</v>
      </c>
      <c r="NKK1339" s="4" t="s">
        <v>2883</v>
      </c>
      <c r="NKL1339" s="4" t="s">
        <v>2883</v>
      </c>
      <c r="NKM1339" s="4" t="s">
        <v>2883</v>
      </c>
      <c r="NKN1339" s="4" t="s">
        <v>2883</v>
      </c>
      <c r="NKO1339" s="4" t="s">
        <v>2883</v>
      </c>
      <c r="NKP1339" s="4" t="s">
        <v>2883</v>
      </c>
      <c r="NKQ1339" s="4" t="s">
        <v>2883</v>
      </c>
      <c r="NKR1339" s="4" t="s">
        <v>2883</v>
      </c>
      <c r="NKS1339" s="4" t="s">
        <v>2883</v>
      </c>
      <c r="NKT1339" s="4" t="s">
        <v>2883</v>
      </c>
      <c r="NKU1339" s="4" t="s">
        <v>2883</v>
      </c>
      <c r="NKV1339" s="4" t="s">
        <v>2883</v>
      </c>
      <c r="NKW1339" s="4" t="s">
        <v>2883</v>
      </c>
      <c r="NKX1339" s="4" t="s">
        <v>2883</v>
      </c>
      <c r="NKY1339" s="4" t="s">
        <v>2883</v>
      </c>
      <c r="NKZ1339" s="4" t="s">
        <v>2883</v>
      </c>
      <c r="NLA1339" s="4" t="s">
        <v>2883</v>
      </c>
      <c r="NLB1339" s="4" t="s">
        <v>2883</v>
      </c>
      <c r="NLC1339" s="4" t="s">
        <v>2883</v>
      </c>
      <c r="NLD1339" s="4" t="s">
        <v>2883</v>
      </c>
      <c r="NLE1339" s="4" t="s">
        <v>2883</v>
      </c>
      <c r="NLF1339" s="4" t="s">
        <v>2883</v>
      </c>
      <c r="NLG1339" s="4" t="s">
        <v>2883</v>
      </c>
      <c r="NLH1339" s="4" t="s">
        <v>2883</v>
      </c>
      <c r="NLI1339" s="4" t="s">
        <v>2883</v>
      </c>
      <c r="NLJ1339" s="4" t="s">
        <v>2883</v>
      </c>
      <c r="NLK1339" s="4" t="s">
        <v>2883</v>
      </c>
      <c r="NLL1339" s="4" t="s">
        <v>2883</v>
      </c>
      <c r="NLM1339" s="4" t="s">
        <v>2883</v>
      </c>
      <c r="NLN1339" s="4" t="s">
        <v>2883</v>
      </c>
      <c r="NLO1339" s="4" t="s">
        <v>2883</v>
      </c>
      <c r="NLP1339" s="4" t="s">
        <v>2883</v>
      </c>
      <c r="NLQ1339" s="4" t="s">
        <v>2883</v>
      </c>
      <c r="NLR1339" s="4" t="s">
        <v>2883</v>
      </c>
      <c r="NLS1339" s="4" t="s">
        <v>2883</v>
      </c>
      <c r="NLT1339" s="4" t="s">
        <v>2883</v>
      </c>
      <c r="NLU1339" s="4" t="s">
        <v>2883</v>
      </c>
      <c r="NLV1339" s="4" t="s">
        <v>2883</v>
      </c>
      <c r="NLW1339" s="4" t="s">
        <v>2883</v>
      </c>
      <c r="NLX1339" s="4" t="s">
        <v>2883</v>
      </c>
      <c r="NLY1339" s="4" t="s">
        <v>2883</v>
      </c>
      <c r="NLZ1339" s="4" t="s">
        <v>2883</v>
      </c>
      <c r="NMA1339" s="4" t="s">
        <v>2883</v>
      </c>
      <c r="NMB1339" s="4" t="s">
        <v>2883</v>
      </c>
      <c r="NMC1339" s="4" t="s">
        <v>2883</v>
      </c>
      <c r="NMD1339" s="4" t="s">
        <v>2883</v>
      </c>
      <c r="NME1339" s="4" t="s">
        <v>2883</v>
      </c>
      <c r="NMF1339" s="4" t="s">
        <v>2883</v>
      </c>
      <c r="NMG1339" s="4" t="s">
        <v>2883</v>
      </c>
      <c r="NMH1339" s="4" t="s">
        <v>2883</v>
      </c>
      <c r="NMI1339" s="4" t="s">
        <v>2883</v>
      </c>
      <c r="NMJ1339" s="4" t="s">
        <v>2883</v>
      </c>
      <c r="NMK1339" s="4" t="s">
        <v>2883</v>
      </c>
      <c r="NML1339" s="4" t="s">
        <v>2883</v>
      </c>
      <c r="NMM1339" s="4" t="s">
        <v>2883</v>
      </c>
      <c r="NMN1339" s="4" t="s">
        <v>2883</v>
      </c>
      <c r="NMO1339" s="4" t="s">
        <v>2883</v>
      </c>
      <c r="NMP1339" s="4" t="s">
        <v>2883</v>
      </c>
      <c r="NMQ1339" s="4" t="s">
        <v>2883</v>
      </c>
      <c r="NMR1339" s="4" t="s">
        <v>2883</v>
      </c>
      <c r="NMS1339" s="4" t="s">
        <v>2883</v>
      </c>
      <c r="NMT1339" s="4" t="s">
        <v>2883</v>
      </c>
      <c r="NMU1339" s="4" t="s">
        <v>2883</v>
      </c>
      <c r="NMV1339" s="4" t="s">
        <v>2883</v>
      </c>
      <c r="NMW1339" s="4" t="s">
        <v>2883</v>
      </c>
      <c r="NMX1339" s="4" t="s">
        <v>2883</v>
      </c>
      <c r="NMY1339" s="4" t="s">
        <v>2883</v>
      </c>
      <c r="NMZ1339" s="4" t="s">
        <v>2883</v>
      </c>
      <c r="NNA1339" s="4" t="s">
        <v>2883</v>
      </c>
      <c r="NNB1339" s="4" t="s">
        <v>2883</v>
      </c>
      <c r="NNC1339" s="4" t="s">
        <v>2883</v>
      </c>
      <c r="NND1339" s="4" t="s">
        <v>2883</v>
      </c>
      <c r="NNE1339" s="4" t="s">
        <v>2883</v>
      </c>
      <c r="NNF1339" s="4" t="s">
        <v>2883</v>
      </c>
      <c r="NNG1339" s="4" t="s">
        <v>2883</v>
      </c>
      <c r="NNH1339" s="4" t="s">
        <v>2883</v>
      </c>
      <c r="NNI1339" s="4" t="s">
        <v>2883</v>
      </c>
      <c r="NNJ1339" s="4" t="s">
        <v>2883</v>
      </c>
      <c r="NNK1339" s="4" t="s">
        <v>2883</v>
      </c>
      <c r="NNL1339" s="4" t="s">
        <v>2883</v>
      </c>
      <c r="NNM1339" s="4" t="s">
        <v>2883</v>
      </c>
      <c r="NNN1339" s="4" t="s">
        <v>2883</v>
      </c>
      <c r="NNO1339" s="4" t="s">
        <v>2883</v>
      </c>
      <c r="NNP1339" s="4" t="s">
        <v>2883</v>
      </c>
      <c r="NNQ1339" s="4" t="s">
        <v>2883</v>
      </c>
      <c r="NNR1339" s="4" t="s">
        <v>2883</v>
      </c>
      <c r="NNS1339" s="4" t="s">
        <v>2883</v>
      </c>
      <c r="NNT1339" s="4" t="s">
        <v>2883</v>
      </c>
      <c r="NNU1339" s="4" t="s">
        <v>2883</v>
      </c>
      <c r="NNV1339" s="4" t="s">
        <v>2883</v>
      </c>
      <c r="NNW1339" s="4" t="s">
        <v>2883</v>
      </c>
      <c r="NNX1339" s="4" t="s">
        <v>2883</v>
      </c>
      <c r="NNY1339" s="4" t="s">
        <v>2883</v>
      </c>
      <c r="NNZ1339" s="4" t="s">
        <v>2883</v>
      </c>
      <c r="NOA1339" s="4" t="s">
        <v>2883</v>
      </c>
      <c r="NOB1339" s="4" t="s">
        <v>2883</v>
      </c>
      <c r="NOC1339" s="4" t="s">
        <v>2883</v>
      </c>
      <c r="NOD1339" s="4" t="s">
        <v>2883</v>
      </c>
      <c r="NOE1339" s="4" t="s">
        <v>2883</v>
      </c>
      <c r="NOF1339" s="4" t="s">
        <v>2883</v>
      </c>
      <c r="NOG1339" s="4" t="s">
        <v>2883</v>
      </c>
      <c r="NOH1339" s="4" t="s">
        <v>2883</v>
      </c>
      <c r="NOI1339" s="4" t="s">
        <v>2883</v>
      </c>
      <c r="NOJ1339" s="4" t="s">
        <v>2883</v>
      </c>
      <c r="NOK1339" s="4" t="s">
        <v>2883</v>
      </c>
      <c r="NOL1339" s="4" t="s">
        <v>2883</v>
      </c>
      <c r="NOM1339" s="4" t="s">
        <v>2883</v>
      </c>
      <c r="NON1339" s="4" t="s">
        <v>2883</v>
      </c>
      <c r="NOO1339" s="4" t="s">
        <v>2883</v>
      </c>
      <c r="NOP1339" s="4" t="s">
        <v>2883</v>
      </c>
      <c r="NOQ1339" s="4" t="s">
        <v>2883</v>
      </c>
      <c r="NOR1339" s="4" t="s">
        <v>2883</v>
      </c>
      <c r="NOS1339" s="4" t="s">
        <v>2883</v>
      </c>
      <c r="NOT1339" s="4" t="s">
        <v>2883</v>
      </c>
      <c r="NOU1339" s="4" t="s">
        <v>2883</v>
      </c>
      <c r="NOV1339" s="4" t="s">
        <v>2883</v>
      </c>
      <c r="NOW1339" s="4" t="s">
        <v>2883</v>
      </c>
      <c r="NOX1339" s="4" t="s">
        <v>2883</v>
      </c>
      <c r="NOY1339" s="4" t="s">
        <v>2883</v>
      </c>
      <c r="NOZ1339" s="4" t="s">
        <v>2883</v>
      </c>
      <c r="NPA1339" s="4" t="s">
        <v>2883</v>
      </c>
      <c r="NPB1339" s="4" t="s">
        <v>2883</v>
      </c>
      <c r="NPC1339" s="4" t="s">
        <v>2883</v>
      </c>
      <c r="NPD1339" s="4" t="s">
        <v>2883</v>
      </c>
      <c r="NPE1339" s="4" t="s">
        <v>2883</v>
      </c>
      <c r="NPF1339" s="4" t="s">
        <v>2883</v>
      </c>
      <c r="NPG1339" s="4" t="s">
        <v>2883</v>
      </c>
      <c r="NPH1339" s="4" t="s">
        <v>2883</v>
      </c>
      <c r="NPI1339" s="4" t="s">
        <v>2883</v>
      </c>
      <c r="NPJ1339" s="4" t="s">
        <v>2883</v>
      </c>
      <c r="NPK1339" s="4" t="s">
        <v>2883</v>
      </c>
      <c r="NPL1339" s="4" t="s">
        <v>2883</v>
      </c>
      <c r="NPM1339" s="4" t="s">
        <v>2883</v>
      </c>
      <c r="NPN1339" s="4" t="s">
        <v>2883</v>
      </c>
      <c r="NPO1339" s="4" t="s">
        <v>2883</v>
      </c>
      <c r="NPP1339" s="4" t="s">
        <v>2883</v>
      </c>
      <c r="NPQ1339" s="4" t="s">
        <v>2883</v>
      </c>
      <c r="NPR1339" s="4" t="s">
        <v>2883</v>
      </c>
      <c r="NPS1339" s="4" t="s">
        <v>2883</v>
      </c>
      <c r="NPT1339" s="4" t="s">
        <v>2883</v>
      </c>
      <c r="NPU1339" s="4" t="s">
        <v>2883</v>
      </c>
      <c r="NPV1339" s="4" t="s">
        <v>2883</v>
      </c>
      <c r="NPW1339" s="4" t="s">
        <v>2883</v>
      </c>
      <c r="NPX1339" s="4" t="s">
        <v>2883</v>
      </c>
      <c r="NPY1339" s="4" t="s">
        <v>2883</v>
      </c>
      <c r="NPZ1339" s="4" t="s">
        <v>2883</v>
      </c>
      <c r="NQA1339" s="4" t="s">
        <v>2883</v>
      </c>
      <c r="NQB1339" s="4" t="s">
        <v>2883</v>
      </c>
      <c r="NQC1339" s="4" t="s">
        <v>2883</v>
      </c>
      <c r="NQD1339" s="4" t="s">
        <v>2883</v>
      </c>
      <c r="NQE1339" s="4" t="s">
        <v>2883</v>
      </c>
      <c r="NQF1339" s="4" t="s">
        <v>2883</v>
      </c>
      <c r="NQG1339" s="4" t="s">
        <v>2883</v>
      </c>
      <c r="NQH1339" s="4" t="s">
        <v>2883</v>
      </c>
      <c r="NQI1339" s="4" t="s">
        <v>2883</v>
      </c>
      <c r="NQJ1339" s="4" t="s">
        <v>2883</v>
      </c>
      <c r="NQK1339" s="4" t="s">
        <v>2883</v>
      </c>
      <c r="NQL1339" s="4" t="s">
        <v>2883</v>
      </c>
      <c r="NQM1339" s="4" t="s">
        <v>2883</v>
      </c>
      <c r="NQN1339" s="4" t="s">
        <v>2883</v>
      </c>
      <c r="NQO1339" s="4" t="s">
        <v>2883</v>
      </c>
      <c r="NQP1339" s="4" t="s">
        <v>2883</v>
      </c>
      <c r="NQQ1339" s="4" t="s">
        <v>2883</v>
      </c>
      <c r="NQR1339" s="4" t="s">
        <v>2883</v>
      </c>
      <c r="NQS1339" s="4" t="s">
        <v>2883</v>
      </c>
      <c r="NQT1339" s="4" t="s">
        <v>2883</v>
      </c>
      <c r="NQU1339" s="4" t="s">
        <v>2883</v>
      </c>
      <c r="NQV1339" s="4" t="s">
        <v>2883</v>
      </c>
      <c r="NQW1339" s="4" t="s">
        <v>2883</v>
      </c>
      <c r="NQX1339" s="4" t="s">
        <v>2883</v>
      </c>
      <c r="NQY1339" s="4" t="s">
        <v>2883</v>
      </c>
      <c r="NQZ1339" s="4" t="s">
        <v>2883</v>
      </c>
      <c r="NRA1339" s="4" t="s">
        <v>2883</v>
      </c>
      <c r="NRB1339" s="4" t="s">
        <v>2883</v>
      </c>
      <c r="NRC1339" s="4" t="s">
        <v>2883</v>
      </c>
      <c r="NRD1339" s="4" t="s">
        <v>2883</v>
      </c>
      <c r="NRE1339" s="4" t="s">
        <v>2883</v>
      </c>
      <c r="NRF1339" s="4" t="s">
        <v>2883</v>
      </c>
      <c r="NRG1339" s="4" t="s">
        <v>2883</v>
      </c>
      <c r="NRH1339" s="4" t="s">
        <v>2883</v>
      </c>
      <c r="NRI1339" s="4" t="s">
        <v>2883</v>
      </c>
      <c r="NRJ1339" s="4" t="s">
        <v>2883</v>
      </c>
      <c r="NRK1339" s="4" t="s">
        <v>2883</v>
      </c>
      <c r="NRL1339" s="4" t="s">
        <v>2883</v>
      </c>
      <c r="NRM1339" s="4" t="s">
        <v>2883</v>
      </c>
      <c r="NRN1339" s="4" t="s">
        <v>2883</v>
      </c>
      <c r="NRO1339" s="4" t="s">
        <v>2883</v>
      </c>
      <c r="NRP1339" s="4" t="s">
        <v>2883</v>
      </c>
      <c r="NRQ1339" s="4" t="s">
        <v>2883</v>
      </c>
      <c r="NRR1339" s="4" t="s">
        <v>2883</v>
      </c>
      <c r="NRS1339" s="4" t="s">
        <v>2883</v>
      </c>
      <c r="NRT1339" s="4" t="s">
        <v>2883</v>
      </c>
      <c r="NRU1339" s="4" t="s">
        <v>2883</v>
      </c>
      <c r="NRV1339" s="4" t="s">
        <v>2883</v>
      </c>
      <c r="NRW1339" s="4" t="s">
        <v>2883</v>
      </c>
      <c r="NRX1339" s="4" t="s">
        <v>2883</v>
      </c>
      <c r="NRY1339" s="4" t="s">
        <v>2883</v>
      </c>
      <c r="NRZ1339" s="4" t="s">
        <v>2883</v>
      </c>
      <c r="NSA1339" s="4" t="s">
        <v>2883</v>
      </c>
      <c r="NSB1339" s="4" t="s">
        <v>2883</v>
      </c>
      <c r="NSC1339" s="4" t="s">
        <v>2883</v>
      </c>
      <c r="NSD1339" s="4" t="s">
        <v>2883</v>
      </c>
      <c r="NSE1339" s="4" t="s">
        <v>2883</v>
      </c>
      <c r="NSF1339" s="4" t="s">
        <v>2883</v>
      </c>
      <c r="NSG1339" s="4" t="s">
        <v>2883</v>
      </c>
      <c r="NSH1339" s="4" t="s">
        <v>2883</v>
      </c>
      <c r="NSI1339" s="4" t="s">
        <v>2883</v>
      </c>
      <c r="NSJ1339" s="4" t="s">
        <v>2883</v>
      </c>
      <c r="NSK1339" s="4" t="s">
        <v>2883</v>
      </c>
      <c r="NSL1339" s="4" t="s">
        <v>2883</v>
      </c>
      <c r="NSM1339" s="4" t="s">
        <v>2883</v>
      </c>
      <c r="NSN1339" s="4" t="s">
        <v>2883</v>
      </c>
      <c r="NSO1339" s="4" t="s">
        <v>2883</v>
      </c>
      <c r="NSP1339" s="4" t="s">
        <v>2883</v>
      </c>
      <c r="NSQ1339" s="4" t="s">
        <v>2883</v>
      </c>
      <c r="NSR1339" s="4" t="s">
        <v>2883</v>
      </c>
      <c r="NSS1339" s="4" t="s">
        <v>2883</v>
      </c>
      <c r="NST1339" s="4" t="s">
        <v>2883</v>
      </c>
      <c r="NSU1339" s="4" t="s">
        <v>2883</v>
      </c>
      <c r="NSV1339" s="4" t="s">
        <v>2883</v>
      </c>
      <c r="NSW1339" s="4" t="s">
        <v>2883</v>
      </c>
      <c r="NSX1339" s="4" t="s">
        <v>2883</v>
      </c>
      <c r="NSY1339" s="4" t="s">
        <v>2883</v>
      </c>
      <c r="NSZ1339" s="4" t="s">
        <v>2883</v>
      </c>
      <c r="NTA1339" s="4" t="s">
        <v>2883</v>
      </c>
      <c r="NTB1339" s="4" t="s">
        <v>2883</v>
      </c>
      <c r="NTC1339" s="4" t="s">
        <v>2883</v>
      </c>
      <c r="NTD1339" s="4" t="s">
        <v>2883</v>
      </c>
      <c r="NTE1339" s="4" t="s">
        <v>2883</v>
      </c>
      <c r="NTF1339" s="4" t="s">
        <v>2883</v>
      </c>
      <c r="NTG1339" s="4" t="s">
        <v>2883</v>
      </c>
      <c r="NTH1339" s="4" t="s">
        <v>2883</v>
      </c>
      <c r="NTI1339" s="4" t="s">
        <v>2883</v>
      </c>
      <c r="NTJ1339" s="4" t="s">
        <v>2883</v>
      </c>
      <c r="NTK1339" s="4" t="s">
        <v>2883</v>
      </c>
      <c r="NTL1339" s="4" t="s">
        <v>2883</v>
      </c>
      <c r="NTM1339" s="4" t="s">
        <v>2883</v>
      </c>
      <c r="NTN1339" s="4" t="s">
        <v>2883</v>
      </c>
      <c r="NTO1339" s="4" t="s">
        <v>2883</v>
      </c>
      <c r="NTP1339" s="4" t="s">
        <v>2883</v>
      </c>
      <c r="NTQ1339" s="4" t="s">
        <v>2883</v>
      </c>
      <c r="NTR1339" s="4" t="s">
        <v>2883</v>
      </c>
      <c r="NTS1339" s="4" t="s">
        <v>2883</v>
      </c>
      <c r="NTT1339" s="4" t="s">
        <v>2883</v>
      </c>
      <c r="NTU1339" s="4" t="s">
        <v>2883</v>
      </c>
      <c r="NTV1339" s="4" t="s">
        <v>2883</v>
      </c>
      <c r="NTW1339" s="4" t="s">
        <v>2883</v>
      </c>
      <c r="NTX1339" s="4" t="s">
        <v>2883</v>
      </c>
      <c r="NTY1339" s="4" t="s">
        <v>2883</v>
      </c>
      <c r="NTZ1339" s="4" t="s">
        <v>2883</v>
      </c>
      <c r="NUA1339" s="4" t="s">
        <v>2883</v>
      </c>
      <c r="NUB1339" s="4" t="s">
        <v>2883</v>
      </c>
      <c r="NUC1339" s="4" t="s">
        <v>2883</v>
      </c>
      <c r="NUD1339" s="4" t="s">
        <v>2883</v>
      </c>
      <c r="NUE1339" s="4" t="s">
        <v>2883</v>
      </c>
      <c r="NUF1339" s="4" t="s">
        <v>2883</v>
      </c>
      <c r="NUG1339" s="4" t="s">
        <v>2883</v>
      </c>
      <c r="NUH1339" s="4" t="s">
        <v>2883</v>
      </c>
      <c r="NUI1339" s="4" t="s">
        <v>2883</v>
      </c>
      <c r="NUJ1339" s="4" t="s">
        <v>2883</v>
      </c>
      <c r="NUK1339" s="4" t="s">
        <v>2883</v>
      </c>
      <c r="NUL1339" s="4" t="s">
        <v>2883</v>
      </c>
      <c r="NUM1339" s="4" t="s">
        <v>2883</v>
      </c>
      <c r="NUN1339" s="4" t="s">
        <v>2883</v>
      </c>
      <c r="NUO1339" s="4" t="s">
        <v>2883</v>
      </c>
      <c r="NUP1339" s="4" t="s">
        <v>2883</v>
      </c>
      <c r="NUQ1339" s="4" t="s">
        <v>2883</v>
      </c>
      <c r="NUR1339" s="4" t="s">
        <v>2883</v>
      </c>
      <c r="NUS1339" s="4" t="s">
        <v>2883</v>
      </c>
      <c r="NUT1339" s="4" t="s">
        <v>2883</v>
      </c>
      <c r="NUU1339" s="4" t="s">
        <v>2883</v>
      </c>
      <c r="NUV1339" s="4" t="s">
        <v>2883</v>
      </c>
      <c r="NUW1339" s="4" t="s">
        <v>2883</v>
      </c>
      <c r="NUX1339" s="4" t="s">
        <v>2883</v>
      </c>
      <c r="NUY1339" s="4" t="s">
        <v>2883</v>
      </c>
      <c r="NUZ1339" s="4" t="s">
        <v>2883</v>
      </c>
      <c r="NVA1339" s="4" t="s">
        <v>2883</v>
      </c>
      <c r="NVB1339" s="4" t="s">
        <v>2883</v>
      </c>
      <c r="NVC1339" s="4" t="s">
        <v>2883</v>
      </c>
      <c r="NVD1339" s="4" t="s">
        <v>2883</v>
      </c>
      <c r="NVE1339" s="4" t="s">
        <v>2883</v>
      </c>
      <c r="NVF1339" s="4" t="s">
        <v>2883</v>
      </c>
      <c r="NVG1339" s="4" t="s">
        <v>2883</v>
      </c>
      <c r="NVH1339" s="4" t="s">
        <v>2883</v>
      </c>
      <c r="NVI1339" s="4" t="s">
        <v>2883</v>
      </c>
      <c r="NVJ1339" s="4" t="s">
        <v>2883</v>
      </c>
      <c r="NVK1339" s="4" t="s">
        <v>2883</v>
      </c>
      <c r="NVL1339" s="4" t="s">
        <v>2883</v>
      </c>
      <c r="NVM1339" s="4" t="s">
        <v>2883</v>
      </c>
      <c r="NVN1339" s="4" t="s">
        <v>2883</v>
      </c>
      <c r="NVO1339" s="4" t="s">
        <v>2883</v>
      </c>
      <c r="NVP1339" s="4" t="s">
        <v>2883</v>
      </c>
      <c r="NVQ1339" s="4" t="s">
        <v>2883</v>
      </c>
      <c r="NVR1339" s="4" t="s">
        <v>2883</v>
      </c>
      <c r="NVS1339" s="4" t="s">
        <v>2883</v>
      </c>
      <c r="NVT1339" s="4" t="s">
        <v>2883</v>
      </c>
      <c r="NVU1339" s="4" t="s">
        <v>2883</v>
      </c>
      <c r="NVV1339" s="4" t="s">
        <v>2883</v>
      </c>
      <c r="NVW1339" s="4" t="s">
        <v>2883</v>
      </c>
      <c r="NVX1339" s="4" t="s">
        <v>2883</v>
      </c>
      <c r="NVY1339" s="4" t="s">
        <v>2883</v>
      </c>
      <c r="NVZ1339" s="4" t="s">
        <v>2883</v>
      </c>
      <c r="NWA1339" s="4" t="s">
        <v>2883</v>
      </c>
      <c r="NWB1339" s="4" t="s">
        <v>2883</v>
      </c>
      <c r="NWC1339" s="4" t="s">
        <v>2883</v>
      </c>
      <c r="NWD1339" s="4" t="s">
        <v>2883</v>
      </c>
      <c r="NWE1339" s="4" t="s">
        <v>2883</v>
      </c>
      <c r="NWF1339" s="4" t="s">
        <v>2883</v>
      </c>
      <c r="NWG1339" s="4" t="s">
        <v>2883</v>
      </c>
      <c r="NWH1339" s="4" t="s">
        <v>2883</v>
      </c>
      <c r="NWI1339" s="4" t="s">
        <v>2883</v>
      </c>
      <c r="NWJ1339" s="4" t="s">
        <v>2883</v>
      </c>
      <c r="NWK1339" s="4" t="s">
        <v>2883</v>
      </c>
      <c r="NWL1339" s="4" t="s">
        <v>2883</v>
      </c>
      <c r="NWM1339" s="4" t="s">
        <v>2883</v>
      </c>
      <c r="NWN1339" s="4" t="s">
        <v>2883</v>
      </c>
      <c r="NWO1339" s="4" t="s">
        <v>2883</v>
      </c>
      <c r="NWP1339" s="4" t="s">
        <v>2883</v>
      </c>
      <c r="NWQ1339" s="4" t="s">
        <v>2883</v>
      </c>
      <c r="NWR1339" s="4" t="s">
        <v>2883</v>
      </c>
      <c r="NWS1339" s="4" t="s">
        <v>2883</v>
      </c>
      <c r="NWT1339" s="4" t="s">
        <v>2883</v>
      </c>
      <c r="NWU1339" s="4" t="s">
        <v>2883</v>
      </c>
      <c r="NWV1339" s="4" t="s">
        <v>2883</v>
      </c>
      <c r="NWW1339" s="4" t="s">
        <v>2883</v>
      </c>
      <c r="NWX1339" s="4" t="s">
        <v>2883</v>
      </c>
      <c r="NWY1339" s="4" t="s">
        <v>2883</v>
      </c>
      <c r="NWZ1339" s="4" t="s">
        <v>2883</v>
      </c>
      <c r="NXA1339" s="4" t="s">
        <v>2883</v>
      </c>
      <c r="NXB1339" s="4" t="s">
        <v>2883</v>
      </c>
      <c r="NXC1339" s="4" t="s">
        <v>2883</v>
      </c>
      <c r="NXD1339" s="4" t="s">
        <v>2883</v>
      </c>
      <c r="NXE1339" s="4" t="s">
        <v>2883</v>
      </c>
      <c r="NXF1339" s="4" t="s">
        <v>2883</v>
      </c>
      <c r="NXG1339" s="4" t="s">
        <v>2883</v>
      </c>
      <c r="NXH1339" s="4" t="s">
        <v>2883</v>
      </c>
      <c r="NXI1339" s="4" t="s">
        <v>2883</v>
      </c>
      <c r="NXJ1339" s="4" t="s">
        <v>2883</v>
      </c>
      <c r="NXK1339" s="4" t="s">
        <v>2883</v>
      </c>
      <c r="NXL1339" s="4" t="s">
        <v>2883</v>
      </c>
      <c r="NXM1339" s="4" t="s">
        <v>2883</v>
      </c>
      <c r="NXN1339" s="4" t="s">
        <v>2883</v>
      </c>
      <c r="NXO1339" s="4" t="s">
        <v>2883</v>
      </c>
      <c r="NXP1339" s="4" t="s">
        <v>2883</v>
      </c>
      <c r="NXQ1339" s="4" t="s">
        <v>2883</v>
      </c>
      <c r="NXR1339" s="4" t="s">
        <v>2883</v>
      </c>
      <c r="NXS1339" s="4" t="s">
        <v>2883</v>
      </c>
      <c r="NXT1339" s="4" t="s">
        <v>2883</v>
      </c>
      <c r="NXU1339" s="4" t="s">
        <v>2883</v>
      </c>
      <c r="NXV1339" s="4" t="s">
        <v>2883</v>
      </c>
      <c r="NXW1339" s="4" t="s">
        <v>2883</v>
      </c>
      <c r="NXX1339" s="4" t="s">
        <v>2883</v>
      </c>
      <c r="NXY1339" s="4" t="s">
        <v>2883</v>
      </c>
      <c r="NXZ1339" s="4" t="s">
        <v>2883</v>
      </c>
      <c r="NYA1339" s="4" t="s">
        <v>2883</v>
      </c>
      <c r="NYB1339" s="4" t="s">
        <v>2883</v>
      </c>
      <c r="NYC1339" s="4" t="s">
        <v>2883</v>
      </c>
      <c r="NYD1339" s="4" t="s">
        <v>2883</v>
      </c>
      <c r="NYE1339" s="4" t="s">
        <v>2883</v>
      </c>
      <c r="NYF1339" s="4" t="s">
        <v>2883</v>
      </c>
      <c r="NYG1339" s="4" t="s">
        <v>2883</v>
      </c>
      <c r="NYH1339" s="4" t="s">
        <v>2883</v>
      </c>
      <c r="NYI1339" s="4" t="s">
        <v>2883</v>
      </c>
      <c r="NYJ1339" s="4" t="s">
        <v>2883</v>
      </c>
      <c r="NYK1339" s="4" t="s">
        <v>2883</v>
      </c>
      <c r="NYL1339" s="4" t="s">
        <v>2883</v>
      </c>
      <c r="NYM1339" s="4" t="s">
        <v>2883</v>
      </c>
      <c r="NYN1339" s="4" t="s">
        <v>2883</v>
      </c>
      <c r="NYO1339" s="4" t="s">
        <v>2883</v>
      </c>
      <c r="NYP1339" s="4" t="s">
        <v>2883</v>
      </c>
      <c r="NYQ1339" s="4" t="s">
        <v>2883</v>
      </c>
      <c r="NYR1339" s="4" t="s">
        <v>2883</v>
      </c>
      <c r="NYS1339" s="4" t="s">
        <v>2883</v>
      </c>
      <c r="NYT1339" s="4" t="s">
        <v>2883</v>
      </c>
      <c r="NYU1339" s="4" t="s">
        <v>2883</v>
      </c>
      <c r="NYV1339" s="4" t="s">
        <v>2883</v>
      </c>
      <c r="NYW1339" s="4" t="s">
        <v>2883</v>
      </c>
      <c r="NYX1339" s="4" t="s">
        <v>2883</v>
      </c>
      <c r="NYY1339" s="4" t="s">
        <v>2883</v>
      </c>
      <c r="NYZ1339" s="4" t="s">
        <v>2883</v>
      </c>
      <c r="NZA1339" s="4" t="s">
        <v>2883</v>
      </c>
      <c r="NZB1339" s="4" t="s">
        <v>2883</v>
      </c>
      <c r="NZC1339" s="4" t="s">
        <v>2883</v>
      </c>
      <c r="NZD1339" s="4" t="s">
        <v>2883</v>
      </c>
      <c r="NZE1339" s="4" t="s">
        <v>2883</v>
      </c>
      <c r="NZF1339" s="4" t="s">
        <v>2883</v>
      </c>
      <c r="NZG1339" s="4" t="s">
        <v>2883</v>
      </c>
      <c r="NZH1339" s="4" t="s">
        <v>2883</v>
      </c>
      <c r="NZI1339" s="4" t="s">
        <v>2883</v>
      </c>
      <c r="NZJ1339" s="4" t="s">
        <v>2883</v>
      </c>
      <c r="NZK1339" s="4" t="s">
        <v>2883</v>
      </c>
      <c r="NZL1339" s="4" t="s">
        <v>2883</v>
      </c>
      <c r="NZM1339" s="4" t="s">
        <v>2883</v>
      </c>
      <c r="NZN1339" s="4" t="s">
        <v>2883</v>
      </c>
      <c r="NZO1339" s="4" t="s">
        <v>2883</v>
      </c>
      <c r="NZP1339" s="4" t="s">
        <v>2883</v>
      </c>
      <c r="NZQ1339" s="4" t="s">
        <v>2883</v>
      </c>
      <c r="NZR1339" s="4" t="s">
        <v>2883</v>
      </c>
      <c r="NZS1339" s="4" t="s">
        <v>2883</v>
      </c>
      <c r="NZT1339" s="4" t="s">
        <v>2883</v>
      </c>
      <c r="NZU1339" s="4" t="s">
        <v>2883</v>
      </c>
      <c r="NZV1339" s="4" t="s">
        <v>2883</v>
      </c>
      <c r="NZW1339" s="4" t="s">
        <v>2883</v>
      </c>
      <c r="NZX1339" s="4" t="s">
        <v>2883</v>
      </c>
      <c r="NZY1339" s="4" t="s">
        <v>2883</v>
      </c>
      <c r="NZZ1339" s="4" t="s">
        <v>2883</v>
      </c>
      <c r="OAA1339" s="4" t="s">
        <v>2883</v>
      </c>
      <c r="OAB1339" s="4" t="s">
        <v>2883</v>
      </c>
      <c r="OAC1339" s="4" t="s">
        <v>2883</v>
      </c>
      <c r="OAD1339" s="4" t="s">
        <v>2883</v>
      </c>
      <c r="OAE1339" s="4" t="s">
        <v>2883</v>
      </c>
      <c r="OAF1339" s="4" t="s">
        <v>2883</v>
      </c>
      <c r="OAG1339" s="4" t="s">
        <v>2883</v>
      </c>
      <c r="OAH1339" s="4" t="s">
        <v>2883</v>
      </c>
      <c r="OAI1339" s="4" t="s">
        <v>2883</v>
      </c>
      <c r="OAJ1339" s="4" t="s">
        <v>2883</v>
      </c>
      <c r="OAK1339" s="4" t="s">
        <v>2883</v>
      </c>
      <c r="OAL1339" s="4" t="s">
        <v>2883</v>
      </c>
      <c r="OAM1339" s="4" t="s">
        <v>2883</v>
      </c>
      <c r="OAN1339" s="4" t="s">
        <v>2883</v>
      </c>
      <c r="OAO1339" s="4" t="s">
        <v>2883</v>
      </c>
      <c r="OAP1339" s="4" t="s">
        <v>2883</v>
      </c>
      <c r="OAQ1339" s="4" t="s">
        <v>2883</v>
      </c>
      <c r="OAR1339" s="4" t="s">
        <v>2883</v>
      </c>
      <c r="OAS1339" s="4" t="s">
        <v>2883</v>
      </c>
      <c r="OAT1339" s="4" t="s">
        <v>2883</v>
      </c>
      <c r="OAU1339" s="4" t="s">
        <v>2883</v>
      </c>
      <c r="OAV1339" s="4" t="s">
        <v>2883</v>
      </c>
      <c r="OAW1339" s="4" t="s">
        <v>2883</v>
      </c>
      <c r="OAX1339" s="4" t="s">
        <v>2883</v>
      </c>
      <c r="OAY1339" s="4" t="s">
        <v>2883</v>
      </c>
      <c r="OAZ1339" s="4" t="s">
        <v>2883</v>
      </c>
      <c r="OBA1339" s="4" t="s">
        <v>2883</v>
      </c>
      <c r="OBB1339" s="4" t="s">
        <v>2883</v>
      </c>
      <c r="OBC1339" s="4" t="s">
        <v>2883</v>
      </c>
      <c r="OBD1339" s="4" t="s">
        <v>2883</v>
      </c>
      <c r="OBE1339" s="4" t="s">
        <v>2883</v>
      </c>
      <c r="OBF1339" s="4" t="s">
        <v>2883</v>
      </c>
      <c r="OBG1339" s="4" t="s">
        <v>2883</v>
      </c>
      <c r="OBH1339" s="4" t="s">
        <v>2883</v>
      </c>
      <c r="OBI1339" s="4" t="s">
        <v>2883</v>
      </c>
      <c r="OBJ1339" s="4" t="s">
        <v>2883</v>
      </c>
      <c r="OBK1339" s="4" t="s">
        <v>2883</v>
      </c>
      <c r="OBL1339" s="4" t="s">
        <v>2883</v>
      </c>
      <c r="OBM1339" s="4" t="s">
        <v>2883</v>
      </c>
      <c r="OBN1339" s="4" t="s">
        <v>2883</v>
      </c>
      <c r="OBO1339" s="4" t="s">
        <v>2883</v>
      </c>
      <c r="OBP1339" s="4" t="s">
        <v>2883</v>
      </c>
      <c r="OBQ1339" s="4" t="s">
        <v>2883</v>
      </c>
      <c r="OBR1339" s="4" t="s">
        <v>2883</v>
      </c>
      <c r="OBS1339" s="4" t="s">
        <v>2883</v>
      </c>
      <c r="OBT1339" s="4" t="s">
        <v>2883</v>
      </c>
      <c r="OBU1339" s="4" t="s">
        <v>2883</v>
      </c>
      <c r="OBV1339" s="4" t="s">
        <v>2883</v>
      </c>
      <c r="OBW1339" s="4" t="s">
        <v>2883</v>
      </c>
      <c r="OBX1339" s="4" t="s">
        <v>2883</v>
      </c>
      <c r="OBY1339" s="4" t="s">
        <v>2883</v>
      </c>
      <c r="OBZ1339" s="4" t="s">
        <v>2883</v>
      </c>
      <c r="OCA1339" s="4" t="s">
        <v>2883</v>
      </c>
      <c r="OCB1339" s="4" t="s">
        <v>2883</v>
      </c>
      <c r="OCC1339" s="4" t="s">
        <v>2883</v>
      </c>
      <c r="OCD1339" s="4" t="s">
        <v>2883</v>
      </c>
      <c r="OCE1339" s="4" t="s">
        <v>2883</v>
      </c>
      <c r="OCF1339" s="4" t="s">
        <v>2883</v>
      </c>
      <c r="OCG1339" s="4" t="s">
        <v>2883</v>
      </c>
      <c r="OCH1339" s="4" t="s">
        <v>2883</v>
      </c>
      <c r="OCI1339" s="4" t="s">
        <v>2883</v>
      </c>
      <c r="OCJ1339" s="4" t="s">
        <v>2883</v>
      </c>
      <c r="OCK1339" s="4" t="s">
        <v>2883</v>
      </c>
      <c r="OCL1339" s="4" t="s">
        <v>2883</v>
      </c>
      <c r="OCM1339" s="4" t="s">
        <v>2883</v>
      </c>
      <c r="OCN1339" s="4" t="s">
        <v>2883</v>
      </c>
      <c r="OCO1339" s="4" t="s">
        <v>2883</v>
      </c>
      <c r="OCP1339" s="4" t="s">
        <v>2883</v>
      </c>
      <c r="OCQ1339" s="4" t="s">
        <v>2883</v>
      </c>
      <c r="OCR1339" s="4" t="s">
        <v>2883</v>
      </c>
      <c r="OCS1339" s="4" t="s">
        <v>2883</v>
      </c>
      <c r="OCT1339" s="4" t="s">
        <v>2883</v>
      </c>
      <c r="OCU1339" s="4" t="s">
        <v>2883</v>
      </c>
      <c r="OCV1339" s="4" t="s">
        <v>2883</v>
      </c>
      <c r="OCW1339" s="4" t="s">
        <v>2883</v>
      </c>
      <c r="OCX1339" s="4" t="s">
        <v>2883</v>
      </c>
      <c r="OCY1339" s="4" t="s">
        <v>2883</v>
      </c>
      <c r="OCZ1339" s="4" t="s">
        <v>2883</v>
      </c>
      <c r="ODA1339" s="4" t="s">
        <v>2883</v>
      </c>
      <c r="ODB1339" s="4" t="s">
        <v>2883</v>
      </c>
      <c r="ODC1339" s="4" t="s">
        <v>2883</v>
      </c>
      <c r="ODD1339" s="4" t="s">
        <v>2883</v>
      </c>
      <c r="ODE1339" s="4" t="s">
        <v>2883</v>
      </c>
      <c r="ODF1339" s="4" t="s">
        <v>2883</v>
      </c>
      <c r="ODG1339" s="4" t="s">
        <v>2883</v>
      </c>
      <c r="ODH1339" s="4" t="s">
        <v>2883</v>
      </c>
      <c r="ODI1339" s="4" t="s">
        <v>2883</v>
      </c>
      <c r="ODJ1339" s="4" t="s">
        <v>2883</v>
      </c>
      <c r="ODK1339" s="4" t="s">
        <v>2883</v>
      </c>
      <c r="ODL1339" s="4" t="s">
        <v>2883</v>
      </c>
      <c r="ODM1339" s="4" t="s">
        <v>2883</v>
      </c>
      <c r="ODN1339" s="4" t="s">
        <v>2883</v>
      </c>
      <c r="ODO1339" s="4" t="s">
        <v>2883</v>
      </c>
      <c r="ODP1339" s="4" t="s">
        <v>2883</v>
      </c>
      <c r="ODQ1339" s="4" t="s">
        <v>2883</v>
      </c>
      <c r="ODR1339" s="4" t="s">
        <v>2883</v>
      </c>
      <c r="ODS1339" s="4" t="s">
        <v>2883</v>
      </c>
      <c r="ODT1339" s="4" t="s">
        <v>2883</v>
      </c>
      <c r="ODU1339" s="4" t="s">
        <v>2883</v>
      </c>
      <c r="ODV1339" s="4" t="s">
        <v>2883</v>
      </c>
      <c r="ODW1339" s="4" t="s">
        <v>2883</v>
      </c>
      <c r="ODX1339" s="4" t="s">
        <v>2883</v>
      </c>
      <c r="ODY1339" s="4" t="s">
        <v>2883</v>
      </c>
      <c r="ODZ1339" s="4" t="s">
        <v>2883</v>
      </c>
      <c r="OEA1339" s="4" t="s">
        <v>2883</v>
      </c>
      <c r="OEB1339" s="4" t="s">
        <v>2883</v>
      </c>
      <c r="OEC1339" s="4" t="s">
        <v>2883</v>
      </c>
      <c r="OED1339" s="4" t="s">
        <v>2883</v>
      </c>
      <c r="OEE1339" s="4" t="s">
        <v>2883</v>
      </c>
      <c r="OEF1339" s="4" t="s">
        <v>2883</v>
      </c>
      <c r="OEG1339" s="4" t="s">
        <v>2883</v>
      </c>
      <c r="OEH1339" s="4" t="s">
        <v>2883</v>
      </c>
      <c r="OEI1339" s="4" t="s">
        <v>2883</v>
      </c>
      <c r="OEJ1339" s="4" t="s">
        <v>2883</v>
      </c>
      <c r="OEK1339" s="4" t="s">
        <v>2883</v>
      </c>
      <c r="OEL1339" s="4" t="s">
        <v>2883</v>
      </c>
      <c r="OEM1339" s="4" t="s">
        <v>2883</v>
      </c>
      <c r="OEN1339" s="4" t="s">
        <v>2883</v>
      </c>
      <c r="OEO1339" s="4" t="s">
        <v>2883</v>
      </c>
      <c r="OEP1339" s="4" t="s">
        <v>2883</v>
      </c>
      <c r="OEQ1339" s="4" t="s">
        <v>2883</v>
      </c>
      <c r="OER1339" s="4" t="s">
        <v>2883</v>
      </c>
      <c r="OES1339" s="4" t="s">
        <v>2883</v>
      </c>
      <c r="OET1339" s="4" t="s">
        <v>2883</v>
      </c>
      <c r="OEU1339" s="4" t="s">
        <v>2883</v>
      </c>
      <c r="OEV1339" s="4" t="s">
        <v>2883</v>
      </c>
      <c r="OEW1339" s="4" t="s">
        <v>2883</v>
      </c>
      <c r="OEX1339" s="4" t="s">
        <v>2883</v>
      </c>
      <c r="OEY1339" s="4" t="s">
        <v>2883</v>
      </c>
      <c r="OEZ1339" s="4" t="s">
        <v>2883</v>
      </c>
      <c r="OFA1339" s="4" t="s">
        <v>2883</v>
      </c>
      <c r="OFB1339" s="4" t="s">
        <v>2883</v>
      </c>
      <c r="OFC1339" s="4" t="s">
        <v>2883</v>
      </c>
      <c r="OFD1339" s="4" t="s">
        <v>2883</v>
      </c>
      <c r="OFE1339" s="4" t="s">
        <v>2883</v>
      </c>
      <c r="OFF1339" s="4" t="s">
        <v>2883</v>
      </c>
      <c r="OFG1339" s="4" t="s">
        <v>2883</v>
      </c>
      <c r="OFH1339" s="4" t="s">
        <v>2883</v>
      </c>
      <c r="OFI1339" s="4" t="s">
        <v>2883</v>
      </c>
      <c r="OFJ1339" s="4" t="s">
        <v>2883</v>
      </c>
      <c r="OFK1339" s="4" t="s">
        <v>2883</v>
      </c>
      <c r="OFL1339" s="4" t="s">
        <v>2883</v>
      </c>
      <c r="OFM1339" s="4" t="s">
        <v>2883</v>
      </c>
      <c r="OFN1339" s="4" t="s">
        <v>2883</v>
      </c>
      <c r="OFO1339" s="4" t="s">
        <v>2883</v>
      </c>
      <c r="OFP1339" s="4" t="s">
        <v>2883</v>
      </c>
      <c r="OFQ1339" s="4" t="s">
        <v>2883</v>
      </c>
      <c r="OFR1339" s="4" t="s">
        <v>2883</v>
      </c>
      <c r="OFS1339" s="4" t="s">
        <v>2883</v>
      </c>
      <c r="OFT1339" s="4" t="s">
        <v>2883</v>
      </c>
      <c r="OFU1339" s="4" t="s">
        <v>2883</v>
      </c>
      <c r="OFV1339" s="4" t="s">
        <v>2883</v>
      </c>
      <c r="OFW1339" s="4" t="s">
        <v>2883</v>
      </c>
      <c r="OFX1339" s="4" t="s">
        <v>2883</v>
      </c>
      <c r="OFY1339" s="4" t="s">
        <v>2883</v>
      </c>
      <c r="OFZ1339" s="4" t="s">
        <v>2883</v>
      </c>
      <c r="OGA1339" s="4" t="s">
        <v>2883</v>
      </c>
      <c r="OGB1339" s="4" t="s">
        <v>2883</v>
      </c>
      <c r="OGC1339" s="4" t="s">
        <v>2883</v>
      </c>
      <c r="OGD1339" s="4" t="s">
        <v>2883</v>
      </c>
      <c r="OGE1339" s="4" t="s">
        <v>2883</v>
      </c>
      <c r="OGF1339" s="4" t="s">
        <v>2883</v>
      </c>
      <c r="OGG1339" s="4" t="s">
        <v>2883</v>
      </c>
      <c r="OGH1339" s="4" t="s">
        <v>2883</v>
      </c>
      <c r="OGI1339" s="4" t="s">
        <v>2883</v>
      </c>
      <c r="OGJ1339" s="4" t="s">
        <v>2883</v>
      </c>
      <c r="OGK1339" s="4" t="s">
        <v>2883</v>
      </c>
      <c r="OGL1339" s="4" t="s">
        <v>2883</v>
      </c>
      <c r="OGM1339" s="4" t="s">
        <v>2883</v>
      </c>
      <c r="OGN1339" s="4" t="s">
        <v>2883</v>
      </c>
      <c r="OGO1339" s="4" t="s">
        <v>2883</v>
      </c>
      <c r="OGP1339" s="4" t="s">
        <v>2883</v>
      </c>
      <c r="OGQ1339" s="4" t="s">
        <v>2883</v>
      </c>
      <c r="OGR1339" s="4" t="s">
        <v>2883</v>
      </c>
      <c r="OGS1339" s="4" t="s">
        <v>2883</v>
      </c>
      <c r="OGT1339" s="4" t="s">
        <v>2883</v>
      </c>
      <c r="OGU1339" s="4" t="s">
        <v>2883</v>
      </c>
      <c r="OGV1339" s="4" t="s">
        <v>2883</v>
      </c>
      <c r="OGW1339" s="4" t="s">
        <v>2883</v>
      </c>
      <c r="OGX1339" s="4" t="s">
        <v>2883</v>
      </c>
      <c r="OGY1339" s="4" t="s">
        <v>2883</v>
      </c>
      <c r="OGZ1339" s="4" t="s">
        <v>2883</v>
      </c>
      <c r="OHA1339" s="4" t="s">
        <v>2883</v>
      </c>
      <c r="OHB1339" s="4" t="s">
        <v>2883</v>
      </c>
      <c r="OHC1339" s="4" t="s">
        <v>2883</v>
      </c>
      <c r="OHD1339" s="4" t="s">
        <v>2883</v>
      </c>
      <c r="OHE1339" s="4" t="s">
        <v>2883</v>
      </c>
      <c r="OHF1339" s="4" t="s">
        <v>2883</v>
      </c>
      <c r="OHG1339" s="4" t="s">
        <v>2883</v>
      </c>
      <c r="OHH1339" s="4" t="s">
        <v>2883</v>
      </c>
      <c r="OHI1339" s="4" t="s">
        <v>2883</v>
      </c>
      <c r="OHJ1339" s="4" t="s">
        <v>2883</v>
      </c>
      <c r="OHK1339" s="4" t="s">
        <v>2883</v>
      </c>
      <c r="OHL1339" s="4" t="s">
        <v>2883</v>
      </c>
      <c r="OHM1339" s="4" t="s">
        <v>2883</v>
      </c>
      <c r="OHN1339" s="4" t="s">
        <v>2883</v>
      </c>
      <c r="OHO1339" s="4" t="s">
        <v>2883</v>
      </c>
      <c r="OHP1339" s="4" t="s">
        <v>2883</v>
      </c>
      <c r="OHQ1339" s="4" t="s">
        <v>2883</v>
      </c>
      <c r="OHR1339" s="4" t="s">
        <v>2883</v>
      </c>
      <c r="OHS1339" s="4" t="s">
        <v>2883</v>
      </c>
      <c r="OHT1339" s="4" t="s">
        <v>2883</v>
      </c>
      <c r="OHU1339" s="4" t="s">
        <v>2883</v>
      </c>
      <c r="OHV1339" s="4" t="s">
        <v>2883</v>
      </c>
      <c r="OHW1339" s="4" t="s">
        <v>2883</v>
      </c>
      <c r="OHX1339" s="4" t="s">
        <v>2883</v>
      </c>
      <c r="OHY1339" s="4" t="s">
        <v>2883</v>
      </c>
      <c r="OHZ1339" s="4" t="s">
        <v>2883</v>
      </c>
      <c r="OIA1339" s="4" t="s">
        <v>2883</v>
      </c>
      <c r="OIB1339" s="4" t="s">
        <v>2883</v>
      </c>
      <c r="OIC1339" s="4" t="s">
        <v>2883</v>
      </c>
      <c r="OID1339" s="4" t="s">
        <v>2883</v>
      </c>
      <c r="OIE1339" s="4" t="s">
        <v>2883</v>
      </c>
      <c r="OIF1339" s="4" t="s">
        <v>2883</v>
      </c>
      <c r="OIG1339" s="4" t="s">
        <v>2883</v>
      </c>
      <c r="OIH1339" s="4" t="s">
        <v>2883</v>
      </c>
      <c r="OII1339" s="4" t="s">
        <v>2883</v>
      </c>
      <c r="OIJ1339" s="4" t="s">
        <v>2883</v>
      </c>
      <c r="OIK1339" s="4" t="s">
        <v>2883</v>
      </c>
      <c r="OIL1339" s="4" t="s">
        <v>2883</v>
      </c>
      <c r="OIM1339" s="4" t="s">
        <v>2883</v>
      </c>
      <c r="OIN1339" s="4" t="s">
        <v>2883</v>
      </c>
      <c r="OIO1339" s="4" t="s">
        <v>2883</v>
      </c>
      <c r="OIP1339" s="4" t="s">
        <v>2883</v>
      </c>
      <c r="OIQ1339" s="4" t="s">
        <v>2883</v>
      </c>
      <c r="OIR1339" s="4" t="s">
        <v>2883</v>
      </c>
      <c r="OIS1339" s="4" t="s">
        <v>2883</v>
      </c>
      <c r="OIT1339" s="4" t="s">
        <v>2883</v>
      </c>
      <c r="OIU1339" s="4" t="s">
        <v>2883</v>
      </c>
      <c r="OIV1339" s="4" t="s">
        <v>2883</v>
      </c>
      <c r="OIW1339" s="4" t="s">
        <v>2883</v>
      </c>
      <c r="OIX1339" s="4" t="s">
        <v>2883</v>
      </c>
      <c r="OIY1339" s="4" t="s">
        <v>2883</v>
      </c>
      <c r="OIZ1339" s="4" t="s">
        <v>2883</v>
      </c>
      <c r="OJA1339" s="4" t="s">
        <v>2883</v>
      </c>
      <c r="OJB1339" s="4" t="s">
        <v>2883</v>
      </c>
      <c r="OJC1339" s="4" t="s">
        <v>2883</v>
      </c>
      <c r="OJD1339" s="4" t="s">
        <v>2883</v>
      </c>
      <c r="OJE1339" s="4" t="s">
        <v>2883</v>
      </c>
      <c r="OJF1339" s="4" t="s">
        <v>2883</v>
      </c>
      <c r="OJG1339" s="4" t="s">
        <v>2883</v>
      </c>
      <c r="OJH1339" s="4" t="s">
        <v>2883</v>
      </c>
      <c r="OJI1339" s="4" t="s">
        <v>2883</v>
      </c>
      <c r="OJJ1339" s="4" t="s">
        <v>2883</v>
      </c>
      <c r="OJK1339" s="4" t="s">
        <v>2883</v>
      </c>
      <c r="OJL1339" s="4" t="s">
        <v>2883</v>
      </c>
      <c r="OJM1339" s="4" t="s">
        <v>2883</v>
      </c>
      <c r="OJN1339" s="4" t="s">
        <v>2883</v>
      </c>
      <c r="OJO1339" s="4" t="s">
        <v>2883</v>
      </c>
      <c r="OJP1339" s="4" t="s">
        <v>2883</v>
      </c>
      <c r="OJQ1339" s="4" t="s">
        <v>2883</v>
      </c>
      <c r="OJR1339" s="4" t="s">
        <v>2883</v>
      </c>
      <c r="OJS1339" s="4" t="s">
        <v>2883</v>
      </c>
      <c r="OJT1339" s="4" t="s">
        <v>2883</v>
      </c>
      <c r="OJU1339" s="4" t="s">
        <v>2883</v>
      </c>
      <c r="OJV1339" s="4" t="s">
        <v>2883</v>
      </c>
      <c r="OJW1339" s="4" t="s">
        <v>2883</v>
      </c>
      <c r="OJX1339" s="4" t="s">
        <v>2883</v>
      </c>
      <c r="OJY1339" s="4" t="s">
        <v>2883</v>
      </c>
      <c r="OJZ1339" s="4" t="s">
        <v>2883</v>
      </c>
      <c r="OKA1339" s="4" t="s">
        <v>2883</v>
      </c>
      <c r="OKB1339" s="4" t="s">
        <v>2883</v>
      </c>
      <c r="OKC1339" s="4" t="s">
        <v>2883</v>
      </c>
      <c r="OKD1339" s="4" t="s">
        <v>2883</v>
      </c>
      <c r="OKE1339" s="4" t="s">
        <v>2883</v>
      </c>
      <c r="OKF1339" s="4" t="s">
        <v>2883</v>
      </c>
      <c r="OKG1339" s="4" t="s">
        <v>2883</v>
      </c>
      <c r="OKH1339" s="4" t="s">
        <v>2883</v>
      </c>
      <c r="OKI1339" s="4" t="s">
        <v>2883</v>
      </c>
      <c r="OKJ1339" s="4" t="s">
        <v>2883</v>
      </c>
      <c r="OKK1339" s="4" t="s">
        <v>2883</v>
      </c>
      <c r="OKL1339" s="4" t="s">
        <v>2883</v>
      </c>
      <c r="OKM1339" s="4" t="s">
        <v>2883</v>
      </c>
      <c r="OKN1339" s="4" t="s">
        <v>2883</v>
      </c>
      <c r="OKO1339" s="4" t="s">
        <v>2883</v>
      </c>
      <c r="OKP1339" s="4" t="s">
        <v>2883</v>
      </c>
      <c r="OKQ1339" s="4" t="s">
        <v>2883</v>
      </c>
      <c r="OKR1339" s="4" t="s">
        <v>2883</v>
      </c>
      <c r="OKS1339" s="4" t="s">
        <v>2883</v>
      </c>
      <c r="OKT1339" s="4" t="s">
        <v>2883</v>
      </c>
      <c r="OKU1339" s="4" t="s">
        <v>2883</v>
      </c>
      <c r="OKV1339" s="4" t="s">
        <v>2883</v>
      </c>
      <c r="OKW1339" s="4" t="s">
        <v>2883</v>
      </c>
      <c r="OKX1339" s="4" t="s">
        <v>2883</v>
      </c>
      <c r="OKY1339" s="4" t="s">
        <v>2883</v>
      </c>
      <c r="OKZ1339" s="4" t="s">
        <v>2883</v>
      </c>
      <c r="OLA1339" s="4" t="s">
        <v>2883</v>
      </c>
      <c r="OLB1339" s="4" t="s">
        <v>2883</v>
      </c>
      <c r="OLC1339" s="4" t="s">
        <v>2883</v>
      </c>
      <c r="OLD1339" s="4" t="s">
        <v>2883</v>
      </c>
      <c r="OLE1339" s="4" t="s">
        <v>2883</v>
      </c>
      <c r="OLF1339" s="4" t="s">
        <v>2883</v>
      </c>
      <c r="OLG1339" s="4" t="s">
        <v>2883</v>
      </c>
      <c r="OLH1339" s="4" t="s">
        <v>2883</v>
      </c>
      <c r="OLI1339" s="4" t="s">
        <v>2883</v>
      </c>
      <c r="OLJ1339" s="4" t="s">
        <v>2883</v>
      </c>
      <c r="OLK1339" s="4" t="s">
        <v>2883</v>
      </c>
      <c r="OLL1339" s="4" t="s">
        <v>2883</v>
      </c>
      <c r="OLM1339" s="4" t="s">
        <v>2883</v>
      </c>
      <c r="OLN1339" s="4" t="s">
        <v>2883</v>
      </c>
      <c r="OLO1339" s="4" t="s">
        <v>2883</v>
      </c>
      <c r="OLP1339" s="4" t="s">
        <v>2883</v>
      </c>
      <c r="OLQ1339" s="4" t="s">
        <v>2883</v>
      </c>
      <c r="OLR1339" s="4" t="s">
        <v>2883</v>
      </c>
      <c r="OLS1339" s="4" t="s">
        <v>2883</v>
      </c>
      <c r="OLT1339" s="4" t="s">
        <v>2883</v>
      </c>
      <c r="OLU1339" s="4" t="s">
        <v>2883</v>
      </c>
      <c r="OLV1339" s="4" t="s">
        <v>2883</v>
      </c>
      <c r="OLW1339" s="4" t="s">
        <v>2883</v>
      </c>
      <c r="OLX1339" s="4" t="s">
        <v>2883</v>
      </c>
      <c r="OLY1339" s="4" t="s">
        <v>2883</v>
      </c>
      <c r="OLZ1339" s="4" t="s">
        <v>2883</v>
      </c>
      <c r="OMA1339" s="4" t="s">
        <v>2883</v>
      </c>
      <c r="OMB1339" s="4" t="s">
        <v>2883</v>
      </c>
      <c r="OMC1339" s="4" t="s">
        <v>2883</v>
      </c>
      <c r="OMD1339" s="4" t="s">
        <v>2883</v>
      </c>
      <c r="OME1339" s="4" t="s">
        <v>2883</v>
      </c>
      <c r="OMF1339" s="4" t="s">
        <v>2883</v>
      </c>
      <c r="OMG1339" s="4" t="s">
        <v>2883</v>
      </c>
      <c r="OMH1339" s="4" t="s">
        <v>2883</v>
      </c>
      <c r="OMI1339" s="4" t="s">
        <v>2883</v>
      </c>
      <c r="OMJ1339" s="4" t="s">
        <v>2883</v>
      </c>
      <c r="OMK1339" s="4" t="s">
        <v>2883</v>
      </c>
      <c r="OML1339" s="4" t="s">
        <v>2883</v>
      </c>
      <c r="OMM1339" s="4" t="s">
        <v>2883</v>
      </c>
      <c r="OMN1339" s="4" t="s">
        <v>2883</v>
      </c>
      <c r="OMO1339" s="4" t="s">
        <v>2883</v>
      </c>
      <c r="OMP1339" s="4" t="s">
        <v>2883</v>
      </c>
      <c r="OMQ1339" s="4" t="s">
        <v>2883</v>
      </c>
      <c r="OMR1339" s="4" t="s">
        <v>2883</v>
      </c>
      <c r="OMS1339" s="4" t="s">
        <v>2883</v>
      </c>
      <c r="OMT1339" s="4" t="s">
        <v>2883</v>
      </c>
      <c r="OMU1339" s="4" t="s">
        <v>2883</v>
      </c>
      <c r="OMV1339" s="4" t="s">
        <v>2883</v>
      </c>
      <c r="OMW1339" s="4" t="s">
        <v>2883</v>
      </c>
      <c r="OMX1339" s="4" t="s">
        <v>2883</v>
      </c>
      <c r="OMY1339" s="4" t="s">
        <v>2883</v>
      </c>
      <c r="OMZ1339" s="4" t="s">
        <v>2883</v>
      </c>
      <c r="ONA1339" s="4" t="s">
        <v>2883</v>
      </c>
      <c r="ONB1339" s="4" t="s">
        <v>2883</v>
      </c>
      <c r="ONC1339" s="4" t="s">
        <v>2883</v>
      </c>
      <c r="OND1339" s="4" t="s">
        <v>2883</v>
      </c>
      <c r="ONE1339" s="4" t="s">
        <v>2883</v>
      </c>
      <c r="ONF1339" s="4" t="s">
        <v>2883</v>
      </c>
      <c r="ONG1339" s="4" t="s">
        <v>2883</v>
      </c>
      <c r="ONH1339" s="4" t="s">
        <v>2883</v>
      </c>
      <c r="ONI1339" s="4" t="s">
        <v>2883</v>
      </c>
      <c r="ONJ1339" s="4" t="s">
        <v>2883</v>
      </c>
      <c r="ONK1339" s="4" t="s">
        <v>2883</v>
      </c>
      <c r="ONL1339" s="4" t="s">
        <v>2883</v>
      </c>
      <c r="ONM1339" s="4" t="s">
        <v>2883</v>
      </c>
      <c r="ONN1339" s="4" t="s">
        <v>2883</v>
      </c>
      <c r="ONO1339" s="4" t="s">
        <v>2883</v>
      </c>
      <c r="ONP1339" s="4" t="s">
        <v>2883</v>
      </c>
      <c r="ONQ1339" s="4" t="s">
        <v>2883</v>
      </c>
      <c r="ONR1339" s="4" t="s">
        <v>2883</v>
      </c>
      <c r="ONS1339" s="4" t="s">
        <v>2883</v>
      </c>
      <c r="ONT1339" s="4" t="s">
        <v>2883</v>
      </c>
      <c r="ONU1339" s="4" t="s">
        <v>2883</v>
      </c>
      <c r="ONV1339" s="4" t="s">
        <v>2883</v>
      </c>
      <c r="ONW1339" s="4" t="s">
        <v>2883</v>
      </c>
      <c r="ONX1339" s="4" t="s">
        <v>2883</v>
      </c>
      <c r="ONY1339" s="4" t="s">
        <v>2883</v>
      </c>
      <c r="ONZ1339" s="4" t="s">
        <v>2883</v>
      </c>
      <c r="OOA1339" s="4" t="s">
        <v>2883</v>
      </c>
      <c r="OOB1339" s="4" t="s">
        <v>2883</v>
      </c>
      <c r="OOC1339" s="4" t="s">
        <v>2883</v>
      </c>
      <c r="OOD1339" s="4" t="s">
        <v>2883</v>
      </c>
      <c r="OOE1339" s="4" t="s">
        <v>2883</v>
      </c>
      <c r="OOF1339" s="4" t="s">
        <v>2883</v>
      </c>
      <c r="OOG1339" s="4" t="s">
        <v>2883</v>
      </c>
      <c r="OOH1339" s="4" t="s">
        <v>2883</v>
      </c>
      <c r="OOI1339" s="4" t="s">
        <v>2883</v>
      </c>
      <c r="OOJ1339" s="4" t="s">
        <v>2883</v>
      </c>
      <c r="OOK1339" s="4" t="s">
        <v>2883</v>
      </c>
      <c r="OOL1339" s="4" t="s">
        <v>2883</v>
      </c>
      <c r="OOM1339" s="4" t="s">
        <v>2883</v>
      </c>
      <c r="OON1339" s="4" t="s">
        <v>2883</v>
      </c>
      <c r="OOO1339" s="4" t="s">
        <v>2883</v>
      </c>
      <c r="OOP1339" s="4" t="s">
        <v>2883</v>
      </c>
      <c r="OOQ1339" s="4" t="s">
        <v>2883</v>
      </c>
      <c r="OOR1339" s="4" t="s">
        <v>2883</v>
      </c>
      <c r="OOS1339" s="4" t="s">
        <v>2883</v>
      </c>
      <c r="OOT1339" s="4" t="s">
        <v>2883</v>
      </c>
      <c r="OOU1339" s="4" t="s">
        <v>2883</v>
      </c>
      <c r="OOV1339" s="4" t="s">
        <v>2883</v>
      </c>
      <c r="OOW1339" s="4" t="s">
        <v>2883</v>
      </c>
      <c r="OOX1339" s="4" t="s">
        <v>2883</v>
      </c>
      <c r="OOY1339" s="4" t="s">
        <v>2883</v>
      </c>
      <c r="OOZ1339" s="4" t="s">
        <v>2883</v>
      </c>
      <c r="OPA1339" s="4" t="s">
        <v>2883</v>
      </c>
      <c r="OPB1339" s="4" t="s">
        <v>2883</v>
      </c>
      <c r="OPC1339" s="4" t="s">
        <v>2883</v>
      </c>
      <c r="OPD1339" s="4" t="s">
        <v>2883</v>
      </c>
      <c r="OPE1339" s="4" t="s">
        <v>2883</v>
      </c>
      <c r="OPF1339" s="4" t="s">
        <v>2883</v>
      </c>
      <c r="OPG1339" s="4" t="s">
        <v>2883</v>
      </c>
      <c r="OPH1339" s="4" t="s">
        <v>2883</v>
      </c>
      <c r="OPI1339" s="4" t="s">
        <v>2883</v>
      </c>
      <c r="OPJ1339" s="4" t="s">
        <v>2883</v>
      </c>
      <c r="OPK1339" s="4" t="s">
        <v>2883</v>
      </c>
      <c r="OPL1339" s="4" t="s">
        <v>2883</v>
      </c>
      <c r="OPM1339" s="4" t="s">
        <v>2883</v>
      </c>
      <c r="OPN1339" s="4" t="s">
        <v>2883</v>
      </c>
      <c r="OPO1339" s="4" t="s">
        <v>2883</v>
      </c>
      <c r="OPP1339" s="4" t="s">
        <v>2883</v>
      </c>
      <c r="OPQ1339" s="4" t="s">
        <v>2883</v>
      </c>
      <c r="OPR1339" s="4" t="s">
        <v>2883</v>
      </c>
      <c r="OPS1339" s="4" t="s">
        <v>2883</v>
      </c>
      <c r="OPT1339" s="4" t="s">
        <v>2883</v>
      </c>
      <c r="OPU1339" s="4" t="s">
        <v>2883</v>
      </c>
      <c r="OPV1339" s="4" t="s">
        <v>2883</v>
      </c>
      <c r="OPW1339" s="4" t="s">
        <v>2883</v>
      </c>
      <c r="OPX1339" s="4" t="s">
        <v>2883</v>
      </c>
      <c r="OPY1339" s="4" t="s">
        <v>2883</v>
      </c>
      <c r="OPZ1339" s="4" t="s">
        <v>2883</v>
      </c>
      <c r="OQA1339" s="4" t="s">
        <v>2883</v>
      </c>
      <c r="OQB1339" s="4" t="s">
        <v>2883</v>
      </c>
      <c r="OQC1339" s="4" t="s">
        <v>2883</v>
      </c>
      <c r="OQD1339" s="4" t="s">
        <v>2883</v>
      </c>
      <c r="OQE1339" s="4" t="s">
        <v>2883</v>
      </c>
      <c r="OQF1339" s="4" t="s">
        <v>2883</v>
      </c>
      <c r="OQG1339" s="4" t="s">
        <v>2883</v>
      </c>
      <c r="OQH1339" s="4" t="s">
        <v>2883</v>
      </c>
      <c r="OQI1339" s="4" t="s">
        <v>2883</v>
      </c>
      <c r="OQJ1339" s="4" t="s">
        <v>2883</v>
      </c>
      <c r="OQK1339" s="4" t="s">
        <v>2883</v>
      </c>
      <c r="OQL1339" s="4" t="s">
        <v>2883</v>
      </c>
      <c r="OQM1339" s="4" t="s">
        <v>2883</v>
      </c>
      <c r="OQN1339" s="4" t="s">
        <v>2883</v>
      </c>
      <c r="OQO1339" s="4" t="s">
        <v>2883</v>
      </c>
      <c r="OQP1339" s="4" t="s">
        <v>2883</v>
      </c>
      <c r="OQQ1339" s="4" t="s">
        <v>2883</v>
      </c>
      <c r="OQR1339" s="4" t="s">
        <v>2883</v>
      </c>
      <c r="OQS1339" s="4" t="s">
        <v>2883</v>
      </c>
      <c r="OQT1339" s="4" t="s">
        <v>2883</v>
      </c>
      <c r="OQU1339" s="4" t="s">
        <v>2883</v>
      </c>
      <c r="OQV1339" s="4" t="s">
        <v>2883</v>
      </c>
      <c r="OQW1339" s="4" t="s">
        <v>2883</v>
      </c>
      <c r="OQX1339" s="4" t="s">
        <v>2883</v>
      </c>
      <c r="OQY1339" s="4" t="s">
        <v>2883</v>
      </c>
      <c r="OQZ1339" s="4" t="s">
        <v>2883</v>
      </c>
      <c r="ORA1339" s="4" t="s">
        <v>2883</v>
      </c>
      <c r="ORB1339" s="4" t="s">
        <v>2883</v>
      </c>
      <c r="ORC1339" s="4" t="s">
        <v>2883</v>
      </c>
      <c r="ORD1339" s="4" t="s">
        <v>2883</v>
      </c>
      <c r="ORE1339" s="4" t="s">
        <v>2883</v>
      </c>
      <c r="ORF1339" s="4" t="s">
        <v>2883</v>
      </c>
      <c r="ORG1339" s="4" t="s">
        <v>2883</v>
      </c>
      <c r="ORH1339" s="4" t="s">
        <v>2883</v>
      </c>
      <c r="ORI1339" s="4" t="s">
        <v>2883</v>
      </c>
      <c r="ORJ1339" s="4" t="s">
        <v>2883</v>
      </c>
      <c r="ORK1339" s="4" t="s">
        <v>2883</v>
      </c>
      <c r="ORL1339" s="4" t="s">
        <v>2883</v>
      </c>
      <c r="ORM1339" s="4" t="s">
        <v>2883</v>
      </c>
      <c r="ORN1339" s="4" t="s">
        <v>2883</v>
      </c>
      <c r="ORO1339" s="4" t="s">
        <v>2883</v>
      </c>
      <c r="ORP1339" s="4" t="s">
        <v>2883</v>
      </c>
      <c r="ORQ1339" s="4" t="s">
        <v>2883</v>
      </c>
      <c r="ORR1339" s="4" t="s">
        <v>2883</v>
      </c>
      <c r="ORS1339" s="4" t="s">
        <v>2883</v>
      </c>
      <c r="ORT1339" s="4" t="s">
        <v>2883</v>
      </c>
      <c r="ORU1339" s="4" t="s">
        <v>2883</v>
      </c>
      <c r="ORV1339" s="4" t="s">
        <v>2883</v>
      </c>
      <c r="ORW1339" s="4" t="s">
        <v>2883</v>
      </c>
      <c r="ORX1339" s="4" t="s">
        <v>2883</v>
      </c>
      <c r="ORY1339" s="4" t="s">
        <v>2883</v>
      </c>
      <c r="ORZ1339" s="4" t="s">
        <v>2883</v>
      </c>
      <c r="OSA1339" s="4" t="s">
        <v>2883</v>
      </c>
      <c r="OSB1339" s="4" t="s">
        <v>2883</v>
      </c>
      <c r="OSC1339" s="4" t="s">
        <v>2883</v>
      </c>
      <c r="OSD1339" s="4" t="s">
        <v>2883</v>
      </c>
      <c r="OSE1339" s="4" t="s">
        <v>2883</v>
      </c>
      <c r="OSF1339" s="4" t="s">
        <v>2883</v>
      </c>
      <c r="OSG1339" s="4" t="s">
        <v>2883</v>
      </c>
      <c r="OSH1339" s="4" t="s">
        <v>2883</v>
      </c>
      <c r="OSI1339" s="4" t="s">
        <v>2883</v>
      </c>
      <c r="OSJ1339" s="4" t="s">
        <v>2883</v>
      </c>
      <c r="OSK1339" s="4" t="s">
        <v>2883</v>
      </c>
      <c r="OSL1339" s="4" t="s">
        <v>2883</v>
      </c>
      <c r="OSM1339" s="4" t="s">
        <v>2883</v>
      </c>
      <c r="OSN1339" s="4" t="s">
        <v>2883</v>
      </c>
      <c r="OSO1339" s="4" t="s">
        <v>2883</v>
      </c>
      <c r="OSP1339" s="4" t="s">
        <v>2883</v>
      </c>
      <c r="OSQ1339" s="4" t="s">
        <v>2883</v>
      </c>
      <c r="OSR1339" s="4" t="s">
        <v>2883</v>
      </c>
      <c r="OSS1339" s="4" t="s">
        <v>2883</v>
      </c>
      <c r="OST1339" s="4" t="s">
        <v>2883</v>
      </c>
      <c r="OSU1339" s="4" t="s">
        <v>2883</v>
      </c>
      <c r="OSV1339" s="4" t="s">
        <v>2883</v>
      </c>
      <c r="OSW1339" s="4" t="s">
        <v>2883</v>
      </c>
      <c r="OSX1339" s="4" t="s">
        <v>2883</v>
      </c>
      <c r="OSY1339" s="4" t="s">
        <v>2883</v>
      </c>
      <c r="OSZ1339" s="4" t="s">
        <v>2883</v>
      </c>
      <c r="OTA1339" s="4" t="s">
        <v>2883</v>
      </c>
      <c r="OTB1339" s="4" t="s">
        <v>2883</v>
      </c>
      <c r="OTC1339" s="4" t="s">
        <v>2883</v>
      </c>
      <c r="OTD1339" s="4" t="s">
        <v>2883</v>
      </c>
      <c r="OTE1339" s="4" t="s">
        <v>2883</v>
      </c>
      <c r="OTF1339" s="4" t="s">
        <v>2883</v>
      </c>
      <c r="OTG1339" s="4" t="s">
        <v>2883</v>
      </c>
      <c r="OTH1339" s="4" t="s">
        <v>2883</v>
      </c>
      <c r="OTI1339" s="4" t="s">
        <v>2883</v>
      </c>
      <c r="OTJ1339" s="4" t="s">
        <v>2883</v>
      </c>
      <c r="OTK1339" s="4" t="s">
        <v>2883</v>
      </c>
      <c r="OTL1339" s="4" t="s">
        <v>2883</v>
      </c>
      <c r="OTM1339" s="4" t="s">
        <v>2883</v>
      </c>
      <c r="OTN1339" s="4" t="s">
        <v>2883</v>
      </c>
      <c r="OTO1339" s="4" t="s">
        <v>2883</v>
      </c>
      <c r="OTP1339" s="4" t="s">
        <v>2883</v>
      </c>
      <c r="OTQ1339" s="4" t="s">
        <v>2883</v>
      </c>
      <c r="OTR1339" s="4" t="s">
        <v>2883</v>
      </c>
      <c r="OTS1339" s="4" t="s">
        <v>2883</v>
      </c>
      <c r="OTT1339" s="4" t="s">
        <v>2883</v>
      </c>
      <c r="OTU1339" s="4" t="s">
        <v>2883</v>
      </c>
      <c r="OTV1339" s="4" t="s">
        <v>2883</v>
      </c>
      <c r="OTW1339" s="4" t="s">
        <v>2883</v>
      </c>
      <c r="OTX1339" s="4" t="s">
        <v>2883</v>
      </c>
      <c r="OTY1339" s="4" t="s">
        <v>2883</v>
      </c>
      <c r="OTZ1339" s="4" t="s">
        <v>2883</v>
      </c>
      <c r="OUA1339" s="4" t="s">
        <v>2883</v>
      </c>
      <c r="OUB1339" s="4" t="s">
        <v>2883</v>
      </c>
      <c r="OUC1339" s="4" t="s">
        <v>2883</v>
      </c>
      <c r="OUD1339" s="4" t="s">
        <v>2883</v>
      </c>
      <c r="OUE1339" s="4" t="s">
        <v>2883</v>
      </c>
      <c r="OUF1339" s="4" t="s">
        <v>2883</v>
      </c>
      <c r="OUG1339" s="4" t="s">
        <v>2883</v>
      </c>
      <c r="OUH1339" s="4" t="s">
        <v>2883</v>
      </c>
      <c r="OUI1339" s="4" t="s">
        <v>2883</v>
      </c>
      <c r="OUJ1339" s="4" t="s">
        <v>2883</v>
      </c>
      <c r="OUK1339" s="4" t="s">
        <v>2883</v>
      </c>
      <c r="OUL1339" s="4" t="s">
        <v>2883</v>
      </c>
      <c r="OUM1339" s="4" t="s">
        <v>2883</v>
      </c>
      <c r="OUN1339" s="4" t="s">
        <v>2883</v>
      </c>
      <c r="OUO1339" s="4" t="s">
        <v>2883</v>
      </c>
      <c r="OUP1339" s="4" t="s">
        <v>2883</v>
      </c>
      <c r="OUQ1339" s="4" t="s">
        <v>2883</v>
      </c>
      <c r="OUR1339" s="4" t="s">
        <v>2883</v>
      </c>
      <c r="OUS1339" s="4" t="s">
        <v>2883</v>
      </c>
      <c r="OUT1339" s="4" t="s">
        <v>2883</v>
      </c>
      <c r="OUU1339" s="4" t="s">
        <v>2883</v>
      </c>
      <c r="OUV1339" s="4" t="s">
        <v>2883</v>
      </c>
      <c r="OUW1339" s="4" t="s">
        <v>2883</v>
      </c>
      <c r="OUX1339" s="4" t="s">
        <v>2883</v>
      </c>
      <c r="OUY1339" s="4" t="s">
        <v>2883</v>
      </c>
      <c r="OUZ1339" s="4" t="s">
        <v>2883</v>
      </c>
      <c r="OVA1339" s="4" t="s">
        <v>2883</v>
      </c>
      <c r="OVB1339" s="4" t="s">
        <v>2883</v>
      </c>
      <c r="OVC1339" s="4" t="s">
        <v>2883</v>
      </c>
      <c r="OVD1339" s="4" t="s">
        <v>2883</v>
      </c>
      <c r="OVE1339" s="4" t="s">
        <v>2883</v>
      </c>
      <c r="OVF1339" s="4" t="s">
        <v>2883</v>
      </c>
      <c r="OVG1339" s="4" t="s">
        <v>2883</v>
      </c>
      <c r="OVH1339" s="4" t="s">
        <v>2883</v>
      </c>
      <c r="OVI1339" s="4" t="s">
        <v>2883</v>
      </c>
      <c r="OVJ1339" s="4" t="s">
        <v>2883</v>
      </c>
      <c r="OVK1339" s="4" t="s">
        <v>2883</v>
      </c>
      <c r="OVL1339" s="4" t="s">
        <v>2883</v>
      </c>
      <c r="OVM1339" s="4" t="s">
        <v>2883</v>
      </c>
      <c r="OVN1339" s="4" t="s">
        <v>2883</v>
      </c>
      <c r="OVO1339" s="4" t="s">
        <v>2883</v>
      </c>
      <c r="OVP1339" s="4" t="s">
        <v>2883</v>
      </c>
      <c r="OVQ1339" s="4" t="s">
        <v>2883</v>
      </c>
      <c r="OVR1339" s="4" t="s">
        <v>2883</v>
      </c>
      <c r="OVS1339" s="4" t="s">
        <v>2883</v>
      </c>
      <c r="OVT1339" s="4" t="s">
        <v>2883</v>
      </c>
      <c r="OVU1339" s="4" t="s">
        <v>2883</v>
      </c>
      <c r="OVV1339" s="4" t="s">
        <v>2883</v>
      </c>
      <c r="OVW1339" s="4" t="s">
        <v>2883</v>
      </c>
      <c r="OVX1339" s="4" t="s">
        <v>2883</v>
      </c>
      <c r="OVY1339" s="4" t="s">
        <v>2883</v>
      </c>
      <c r="OVZ1339" s="4" t="s">
        <v>2883</v>
      </c>
      <c r="OWA1339" s="4" t="s">
        <v>2883</v>
      </c>
      <c r="OWB1339" s="4" t="s">
        <v>2883</v>
      </c>
      <c r="OWC1339" s="4" t="s">
        <v>2883</v>
      </c>
      <c r="OWD1339" s="4" t="s">
        <v>2883</v>
      </c>
      <c r="OWE1339" s="4" t="s">
        <v>2883</v>
      </c>
      <c r="OWF1339" s="4" t="s">
        <v>2883</v>
      </c>
      <c r="OWG1339" s="4" t="s">
        <v>2883</v>
      </c>
      <c r="OWH1339" s="4" t="s">
        <v>2883</v>
      </c>
      <c r="OWI1339" s="4" t="s">
        <v>2883</v>
      </c>
      <c r="OWJ1339" s="4" t="s">
        <v>2883</v>
      </c>
      <c r="OWK1339" s="4" t="s">
        <v>2883</v>
      </c>
      <c r="OWL1339" s="4" t="s">
        <v>2883</v>
      </c>
      <c r="OWM1339" s="4" t="s">
        <v>2883</v>
      </c>
      <c r="OWN1339" s="4" t="s">
        <v>2883</v>
      </c>
      <c r="OWO1339" s="4" t="s">
        <v>2883</v>
      </c>
      <c r="OWP1339" s="4" t="s">
        <v>2883</v>
      </c>
      <c r="OWQ1339" s="4" t="s">
        <v>2883</v>
      </c>
      <c r="OWR1339" s="4" t="s">
        <v>2883</v>
      </c>
      <c r="OWS1339" s="4" t="s">
        <v>2883</v>
      </c>
      <c r="OWT1339" s="4" t="s">
        <v>2883</v>
      </c>
      <c r="OWU1339" s="4" t="s">
        <v>2883</v>
      </c>
      <c r="OWV1339" s="4" t="s">
        <v>2883</v>
      </c>
      <c r="OWW1339" s="4" t="s">
        <v>2883</v>
      </c>
      <c r="OWX1339" s="4" t="s">
        <v>2883</v>
      </c>
      <c r="OWY1339" s="4" t="s">
        <v>2883</v>
      </c>
      <c r="OWZ1339" s="4" t="s">
        <v>2883</v>
      </c>
      <c r="OXA1339" s="4" t="s">
        <v>2883</v>
      </c>
      <c r="OXB1339" s="4" t="s">
        <v>2883</v>
      </c>
      <c r="OXC1339" s="4" t="s">
        <v>2883</v>
      </c>
      <c r="OXD1339" s="4" t="s">
        <v>2883</v>
      </c>
      <c r="OXE1339" s="4" t="s">
        <v>2883</v>
      </c>
      <c r="OXF1339" s="4" t="s">
        <v>2883</v>
      </c>
      <c r="OXG1339" s="4" t="s">
        <v>2883</v>
      </c>
      <c r="OXH1339" s="4" t="s">
        <v>2883</v>
      </c>
      <c r="OXI1339" s="4" t="s">
        <v>2883</v>
      </c>
      <c r="OXJ1339" s="4" t="s">
        <v>2883</v>
      </c>
      <c r="OXK1339" s="4" t="s">
        <v>2883</v>
      </c>
      <c r="OXL1339" s="4" t="s">
        <v>2883</v>
      </c>
      <c r="OXM1339" s="4" t="s">
        <v>2883</v>
      </c>
      <c r="OXN1339" s="4" t="s">
        <v>2883</v>
      </c>
      <c r="OXO1339" s="4" t="s">
        <v>2883</v>
      </c>
      <c r="OXP1339" s="4" t="s">
        <v>2883</v>
      </c>
      <c r="OXQ1339" s="4" t="s">
        <v>2883</v>
      </c>
      <c r="OXR1339" s="4" t="s">
        <v>2883</v>
      </c>
      <c r="OXS1339" s="4" t="s">
        <v>2883</v>
      </c>
      <c r="OXT1339" s="4" t="s">
        <v>2883</v>
      </c>
      <c r="OXU1339" s="4" t="s">
        <v>2883</v>
      </c>
      <c r="OXV1339" s="4" t="s">
        <v>2883</v>
      </c>
      <c r="OXW1339" s="4" t="s">
        <v>2883</v>
      </c>
      <c r="OXX1339" s="4" t="s">
        <v>2883</v>
      </c>
      <c r="OXY1339" s="4" t="s">
        <v>2883</v>
      </c>
      <c r="OXZ1339" s="4" t="s">
        <v>2883</v>
      </c>
      <c r="OYA1339" s="4" t="s">
        <v>2883</v>
      </c>
      <c r="OYB1339" s="4" t="s">
        <v>2883</v>
      </c>
      <c r="OYC1339" s="4" t="s">
        <v>2883</v>
      </c>
      <c r="OYD1339" s="4" t="s">
        <v>2883</v>
      </c>
      <c r="OYE1339" s="4" t="s">
        <v>2883</v>
      </c>
      <c r="OYF1339" s="4" t="s">
        <v>2883</v>
      </c>
      <c r="OYG1339" s="4" t="s">
        <v>2883</v>
      </c>
      <c r="OYH1339" s="4" t="s">
        <v>2883</v>
      </c>
      <c r="OYI1339" s="4" t="s">
        <v>2883</v>
      </c>
      <c r="OYJ1339" s="4" t="s">
        <v>2883</v>
      </c>
      <c r="OYK1339" s="4" t="s">
        <v>2883</v>
      </c>
      <c r="OYL1339" s="4" t="s">
        <v>2883</v>
      </c>
      <c r="OYM1339" s="4" t="s">
        <v>2883</v>
      </c>
      <c r="OYN1339" s="4" t="s">
        <v>2883</v>
      </c>
      <c r="OYO1339" s="4" t="s">
        <v>2883</v>
      </c>
      <c r="OYP1339" s="4" t="s">
        <v>2883</v>
      </c>
      <c r="OYQ1339" s="4" t="s">
        <v>2883</v>
      </c>
      <c r="OYR1339" s="4" t="s">
        <v>2883</v>
      </c>
      <c r="OYS1339" s="4" t="s">
        <v>2883</v>
      </c>
      <c r="OYT1339" s="4" t="s">
        <v>2883</v>
      </c>
      <c r="OYU1339" s="4" t="s">
        <v>2883</v>
      </c>
      <c r="OYV1339" s="4" t="s">
        <v>2883</v>
      </c>
      <c r="OYW1339" s="4" t="s">
        <v>2883</v>
      </c>
      <c r="OYX1339" s="4" t="s">
        <v>2883</v>
      </c>
      <c r="OYY1339" s="4" t="s">
        <v>2883</v>
      </c>
      <c r="OYZ1339" s="4" t="s">
        <v>2883</v>
      </c>
      <c r="OZA1339" s="4" t="s">
        <v>2883</v>
      </c>
      <c r="OZB1339" s="4" t="s">
        <v>2883</v>
      </c>
      <c r="OZC1339" s="4" t="s">
        <v>2883</v>
      </c>
      <c r="OZD1339" s="4" t="s">
        <v>2883</v>
      </c>
      <c r="OZE1339" s="4" t="s">
        <v>2883</v>
      </c>
      <c r="OZF1339" s="4" t="s">
        <v>2883</v>
      </c>
      <c r="OZG1339" s="4" t="s">
        <v>2883</v>
      </c>
      <c r="OZH1339" s="4" t="s">
        <v>2883</v>
      </c>
      <c r="OZI1339" s="4" t="s">
        <v>2883</v>
      </c>
      <c r="OZJ1339" s="4" t="s">
        <v>2883</v>
      </c>
      <c r="OZK1339" s="4" t="s">
        <v>2883</v>
      </c>
      <c r="OZL1339" s="4" t="s">
        <v>2883</v>
      </c>
      <c r="OZM1339" s="4" t="s">
        <v>2883</v>
      </c>
      <c r="OZN1339" s="4" t="s">
        <v>2883</v>
      </c>
      <c r="OZO1339" s="4" t="s">
        <v>2883</v>
      </c>
      <c r="OZP1339" s="4" t="s">
        <v>2883</v>
      </c>
      <c r="OZQ1339" s="4" t="s">
        <v>2883</v>
      </c>
      <c r="OZR1339" s="4" t="s">
        <v>2883</v>
      </c>
      <c r="OZS1339" s="4" t="s">
        <v>2883</v>
      </c>
      <c r="OZT1339" s="4" t="s">
        <v>2883</v>
      </c>
      <c r="OZU1339" s="4" t="s">
        <v>2883</v>
      </c>
      <c r="OZV1339" s="4" t="s">
        <v>2883</v>
      </c>
      <c r="OZW1339" s="4" t="s">
        <v>2883</v>
      </c>
      <c r="OZX1339" s="4" t="s">
        <v>2883</v>
      </c>
      <c r="OZY1339" s="4" t="s">
        <v>2883</v>
      </c>
      <c r="OZZ1339" s="4" t="s">
        <v>2883</v>
      </c>
      <c r="PAA1339" s="4" t="s">
        <v>2883</v>
      </c>
      <c r="PAB1339" s="4" t="s">
        <v>2883</v>
      </c>
      <c r="PAC1339" s="4" t="s">
        <v>2883</v>
      </c>
      <c r="PAD1339" s="4" t="s">
        <v>2883</v>
      </c>
      <c r="PAE1339" s="4" t="s">
        <v>2883</v>
      </c>
      <c r="PAF1339" s="4" t="s">
        <v>2883</v>
      </c>
      <c r="PAG1339" s="4" t="s">
        <v>2883</v>
      </c>
      <c r="PAH1339" s="4" t="s">
        <v>2883</v>
      </c>
      <c r="PAI1339" s="4" t="s">
        <v>2883</v>
      </c>
      <c r="PAJ1339" s="4" t="s">
        <v>2883</v>
      </c>
      <c r="PAK1339" s="4" t="s">
        <v>2883</v>
      </c>
      <c r="PAL1339" s="4" t="s">
        <v>2883</v>
      </c>
      <c r="PAM1339" s="4" t="s">
        <v>2883</v>
      </c>
      <c r="PAN1339" s="4" t="s">
        <v>2883</v>
      </c>
      <c r="PAO1339" s="4" t="s">
        <v>2883</v>
      </c>
      <c r="PAP1339" s="4" t="s">
        <v>2883</v>
      </c>
      <c r="PAQ1339" s="4" t="s">
        <v>2883</v>
      </c>
      <c r="PAR1339" s="4" t="s">
        <v>2883</v>
      </c>
      <c r="PAS1339" s="4" t="s">
        <v>2883</v>
      </c>
      <c r="PAT1339" s="4" t="s">
        <v>2883</v>
      </c>
      <c r="PAU1339" s="4" t="s">
        <v>2883</v>
      </c>
      <c r="PAV1339" s="4" t="s">
        <v>2883</v>
      </c>
      <c r="PAW1339" s="4" t="s">
        <v>2883</v>
      </c>
      <c r="PAX1339" s="4" t="s">
        <v>2883</v>
      </c>
      <c r="PAY1339" s="4" t="s">
        <v>2883</v>
      </c>
      <c r="PAZ1339" s="4" t="s">
        <v>2883</v>
      </c>
      <c r="PBA1339" s="4" t="s">
        <v>2883</v>
      </c>
      <c r="PBB1339" s="4" t="s">
        <v>2883</v>
      </c>
      <c r="PBC1339" s="4" t="s">
        <v>2883</v>
      </c>
      <c r="PBD1339" s="4" t="s">
        <v>2883</v>
      </c>
      <c r="PBE1339" s="4" t="s">
        <v>2883</v>
      </c>
      <c r="PBF1339" s="4" t="s">
        <v>2883</v>
      </c>
      <c r="PBG1339" s="4" t="s">
        <v>2883</v>
      </c>
      <c r="PBH1339" s="4" t="s">
        <v>2883</v>
      </c>
      <c r="PBI1339" s="4" t="s">
        <v>2883</v>
      </c>
      <c r="PBJ1339" s="4" t="s">
        <v>2883</v>
      </c>
      <c r="PBK1339" s="4" t="s">
        <v>2883</v>
      </c>
      <c r="PBL1339" s="4" t="s">
        <v>2883</v>
      </c>
      <c r="PBM1339" s="4" t="s">
        <v>2883</v>
      </c>
      <c r="PBN1339" s="4" t="s">
        <v>2883</v>
      </c>
      <c r="PBO1339" s="4" t="s">
        <v>2883</v>
      </c>
      <c r="PBP1339" s="4" t="s">
        <v>2883</v>
      </c>
      <c r="PBQ1339" s="4" t="s">
        <v>2883</v>
      </c>
      <c r="PBR1339" s="4" t="s">
        <v>2883</v>
      </c>
      <c r="PBS1339" s="4" t="s">
        <v>2883</v>
      </c>
      <c r="PBT1339" s="4" t="s">
        <v>2883</v>
      </c>
      <c r="PBU1339" s="4" t="s">
        <v>2883</v>
      </c>
      <c r="PBV1339" s="4" t="s">
        <v>2883</v>
      </c>
      <c r="PBW1339" s="4" t="s">
        <v>2883</v>
      </c>
      <c r="PBX1339" s="4" t="s">
        <v>2883</v>
      </c>
      <c r="PBY1339" s="4" t="s">
        <v>2883</v>
      </c>
      <c r="PBZ1339" s="4" t="s">
        <v>2883</v>
      </c>
      <c r="PCA1339" s="4" t="s">
        <v>2883</v>
      </c>
      <c r="PCB1339" s="4" t="s">
        <v>2883</v>
      </c>
      <c r="PCC1339" s="4" t="s">
        <v>2883</v>
      </c>
      <c r="PCD1339" s="4" t="s">
        <v>2883</v>
      </c>
      <c r="PCE1339" s="4" t="s">
        <v>2883</v>
      </c>
      <c r="PCF1339" s="4" t="s">
        <v>2883</v>
      </c>
      <c r="PCG1339" s="4" t="s">
        <v>2883</v>
      </c>
      <c r="PCH1339" s="4" t="s">
        <v>2883</v>
      </c>
      <c r="PCI1339" s="4" t="s">
        <v>2883</v>
      </c>
      <c r="PCJ1339" s="4" t="s">
        <v>2883</v>
      </c>
      <c r="PCK1339" s="4" t="s">
        <v>2883</v>
      </c>
      <c r="PCL1339" s="4" t="s">
        <v>2883</v>
      </c>
      <c r="PCM1339" s="4" t="s">
        <v>2883</v>
      </c>
      <c r="PCN1339" s="4" t="s">
        <v>2883</v>
      </c>
      <c r="PCO1339" s="4" t="s">
        <v>2883</v>
      </c>
      <c r="PCP1339" s="4" t="s">
        <v>2883</v>
      </c>
      <c r="PCQ1339" s="4" t="s">
        <v>2883</v>
      </c>
      <c r="PCR1339" s="4" t="s">
        <v>2883</v>
      </c>
      <c r="PCS1339" s="4" t="s">
        <v>2883</v>
      </c>
      <c r="PCT1339" s="4" t="s">
        <v>2883</v>
      </c>
      <c r="PCU1339" s="4" t="s">
        <v>2883</v>
      </c>
      <c r="PCV1339" s="4" t="s">
        <v>2883</v>
      </c>
      <c r="PCW1339" s="4" t="s">
        <v>2883</v>
      </c>
      <c r="PCX1339" s="4" t="s">
        <v>2883</v>
      </c>
      <c r="PCY1339" s="4" t="s">
        <v>2883</v>
      </c>
      <c r="PCZ1339" s="4" t="s">
        <v>2883</v>
      </c>
      <c r="PDA1339" s="4" t="s">
        <v>2883</v>
      </c>
      <c r="PDB1339" s="4" t="s">
        <v>2883</v>
      </c>
      <c r="PDC1339" s="4" t="s">
        <v>2883</v>
      </c>
      <c r="PDD1339" s="4" t="s">
        <v>2883</v>
      </c>
      <c r="PDE1339" s="4" t="s">
        <v>2883</v>
      </c>
      <c r="PDF1339" s="4" t="s">
        <v>2883</v>
      </c>
      <c r="PDG1339" s="4" t="s">
        <v>2883</v>
      </c>
      <c r="PDH1339" s="4" t="s">
        <v>2883</v>
      </c>
      <c r="PDI1339" s="4" t="s">
        <v>2883</v>
      </c>
      <c r="PDJ1339" s="4" t="s">
        <v>2883</v>
      </c>
      <c r="PDK1339" s="4" t="s">
        <v>2883</v>
      </c>
      <c r="PDL1339" s="4" t="s">
        <v>2883</v>
      </c>
      <c r="PDM1339" s="4" t="s">
        <v>2883</v>
      </c>
      <c r="PDN1339" s="4" t="s">
        <v>2883</v>
      </c>
      <c r="PDO1339" s="4" t="s">
        <v>2883</v>
      </c>
      <c r="PDP1339" s="4" t="s">
        <v>2883</v>
      </c>
      <c r="PDQ1339" s="4" t="s">
        <v>2883</v>
      </c>
      <c r="PDR1339" s="4" t="s">
        <v>2883</v>
      </c>
      <c r="PDS1339" s="4" t="s">
        <v>2883</v>
      </c>
      <c r="PDT1339" s="4" t="s">
        <v>2883</v>
      </c>
      <c r="PDU1339" s="4" t="s">
        <v>2883</v>
      </c>
      <c r="PDV1339" s="4" t="s">
        <v>2883</v>
      </c>
      <c r="PDW1339" s="4" t="s">
        <v>2883</v>
      </c>
      <c r="PDX1339" s="4" t="s">
        <v>2883</v>
      </c>
      <c r="PDY1339" s="4" t="s">
        <v>2883</v>
      </c>
      <c r="PDZ1339" s="4" t="s">
        <v>2883</v>
      </c>
      <c r="PEA1339" s="4" t="s">
        <v>2883</v>
      </c>
      <c r="PEB1339" s="4" t="s">
        <v>2883</v>
      </c>
      <c r="PEC1339" s="4" t="s">
        <v>2883</v>
      </c>
      <c r="PED1339" s="4" t="s">
        <v>2883</v>
      </c>
      <c r="PEE1339" s="4" t="s">
        <v>2883</v>
      </c>
      <c r="PEF1339" s="4" t="s">
        <v>2883</v>
      </c>
      <c r="PEG1339" s="4" t="s">
        <v>2883</v>
      </c>
      <c r="PEH1339" s="4" t="s">
        <v>2883</v>
      </c>
      <c r="PEI1339" s="4" t="s">
        <v>2883</v>
      </c>
      <c r="PEJ1339" s="4" t="s">
        <v>2883</v>
      </c>
      <c r="PEK1339" s="4" t="s">
        <v>2883</v>
      </c>
      <c r="PEL1339" s="4" t="s">
        <v>2883</v>
      </c>
      <c r="PEM1339" s="4" t="s">
        <v>2883</v>
      </c>
      <c r="PEN1339" s="4" t="s">
        <v>2883</v>
      </c>
      <c r="PEO1339" s="4" t="s">
        <v>2883</v>
      </c>
      <c r="PEP1339" s="4" t="s">
        <v>2883</v>
      </c>
      <c r="PEQ1339" s="4" t="s">
        <v>2883</v>
      </c>
      <c r="PER1339" s="4" t="s">
        <v>2883</v>
      </c>
      <c r="PES1339" s="4" t="s">
        <v>2883</v>
      </c>
      <c r="PET1339" s="4" t="s">
        <v>2883</v>
      </c>
      <c r="PEU1339" s="4" t="s">
        <v>2883</v>
      </c>
      <c r="PEV1339" s="4" t="s">
        <v>2883</v>
      </c>
      <c r="PEW1339" s="4" t="s">
        <v>2883</v>
      </c>
      <c r="PEX1339" s="4" t="s">
        <v>2883</v>
      </c>
      <c r="PEY1339" s="4" t="s">
        <v>2883</v>
      </c>
      <c r="PEZ1339" s="4" t="s">
        <v>2883</v>
      </c>
      <c r="PFA1339" s="4" t="s">
        <v>2883</v>
      </c>
      <c r="PFB1339" s="4" t="s">
        <v>2883</v>
      </c>
      <c r="PFC1339" s="4" t="s">
        <v>2883</v>
      </c>
      <c r="PFD1339" s="4" t="s">
        <v>2883</v>
      </c>
      <c r="PFE1339" s="4" t="s">
        <v>2883</v>
      </c>
      <c r="PFF1339" s="4" t="s">
        <v>2883</v>
      </c>
      <c r="PFG1339" s="4" t="s">
        <v>2883</v>
      </c>
      <c r="PFH1339" s="4" t="s">
        <v>2883</v>
      </c>
      <c r="PFI1339" s="4" t="s">
        <v>2883</v>
      </c>
      <c r="PFJ1339" s="4" t="s">
        <v>2883</v>
      </c>
      <c r="PFK1339" s="4" t="s">
        <v>2883</v>
      </c>
      <c r="PFL1339" s="4" t="s">
        <v>2883</v>
      </c>
      <c r="PFM1339" s="4" t="s">
        <v>2883</v>
      </c>
      <c r="PFN1339" s="4" t="s">
        <v>2883</v>
      </c>
      <c r="PFO1339" s="4" t="s">
        <v>2883</v>
      </c>
      <c r="PFP1339" s="4" t="s">
        <v>2883</v>
      </c>
      <c r="PFQ1339" s="4" t="s">
        <v>2883</v>
      </c>
      <c r="PFR1339" s="4" t="s">
        <v>2883</v>
      </c>
      <c r="PFS1339" s="4" t="s">
        <v>2883</v>
      </c>
      <c r="PFT1339" s="4" t="s">
        <v>2883</v>
      </c>
      <c r="PFU1339" s="4" t="s">
        <v>2883</v>
      </c>
      <c r="PFV1339" s="4" t="s">
        <v>2883</v>
      </c>
      <c r="PFW1339" s="4" t="s">
        <v>2883</v>
      </c>
      <c r="PFX1339" s="4" t="s">
        <v>2883</v>
      </c>
      <c r="PFY1339" s="4" t="s">
        <v>2883</v>
      </c>
      <c r="PFZ1339" s="4" t="s">
        <v>2883</v>
      </c>
      <c r="PGA1339" s="4" t="s">
        <v>2883</v>
      </c>
      <c r="PGB1339" s="4" t="s">
        <v>2883</v>
      </c>
      <c r="PGC1339" s="4" t="s">
        <v>2883</v>
      </c>
      <c r="PGD1339" s="4" t="s">
        <v>2883</v>
      </c>
      <c r="PGE1339" s="4" t="s">
        <v>2883</v>
      </c>
      <c r="PGF1339" s="4" t="s">
        <v>2883</v>
      </c>
      <c r="PGG1339" s="4" t="s">
        <v>2883</v>
      </c>
      <c r="PGH1339" s="4" t="s">
        <v>2883</v>
      </c>
      <c r="PGI1339" s="4" t="s">
        <v>2883</v>
      </c>
      <c r="PGJ1339" s="4" t="s">
        <v>2883</v>
      </c>
      <c r="PGK1339" s="4" t="s">
        <v>2883</v>
      </c>
      <c r="PGL1339" s="4" t="s">
        <v>2883</v>
      </c>
      <c r="PGM1339" s="4" t="s">
        <v>2883</v>
      </c>
      <c r="PGN1339" s="4" t="s">
        <v>2883</v>
      </c>
      <c r="PGO1339" s="4" t="s">
        <v>2883</v>
      </c>
      <c r="PGP1339" s="4" t="s">
        <v>2883</v>
      </c>
      <c r="PGQ1339" s="4" t="s">
        <v>2883</v>
      </c>
      <c r="PGR1339" s="4" t="s">
        <v>2883</v>
      </c>
      <c r="PGS1339" s="4" t="s">
        <v>2883</v>
      </c>
      <c r="PGT1339" s="4" t="s">
        <v>2883</v>
      </c>
      <c r="PGU1339" s="4" t="s">
        <v>2883</v>
      </c>
      <c r="PGV1339" s="4" t="s">
        <v>2883</v>
      </c>
      <c r="PGW1339" s="4" t="s">
        <v>2883</v>
      </c>
      <c r="PGX1339" s="4" t="s">
        <v>2883</v>
      </c>
      <c r="PGY1339" s="4" t="s">
        <v>2883</v>
      </c>
      <c r="PGZ1339" s="4" t="s">
        <v>2883</v>
      </c>
      <c r="PHA1339" s="4" t="s">
        <v>2883</v>
      </c>
      <c r="PHB1339" s="4" t="s">
        <v>2883</v>
      </c>
      <c r="PHC1339" s="4" t="s">
        <v>2883</v>
      </c>
      <c r="PHD1339" s="4" t="s">
        <v>2883</v>
      </c>
      <c r="PHE1339" s="4" t="s">
        <v>2883</v>
      </c>
      <c r="PHF1339" s="4" t="s">
        <v>2883</v>
      </c>
      <c r="PHG1339" s="4" t="s">
        <v>2883</v>
      </c>
      <c r="PHH1339" s="4" t="s">
        <v>2883</v>
      </c>
      <c r="PHI1339" s="4" t="s">
        <v>2883</v>
      </c>
      <c r="PHJ1339" s="4" t="s">
        <v>2883</v>
      </c>
      <c r="PHK1339" s="4" t="s">
        <v>2883</v>
      </c>
      <c r="PHL1339" s="4" t="s">
        <v>2883</v>
      </c>
      <c r="PHM1339" s="4" t="s">
        <v>2883</v>
      </c>
      <c r="PHN1339" s="4" t="s">
        <v>2883</v>
      </c>
      <c r="PHO1339" s="4" t="s">
        <v>2883</v>
      </c>
      <c r="PHP1339" s="4" t="s">
        <v>2883</v>
      </c>
      <c r="PHQ1339" s="4" t="s">
        <v>2883</v>
      </c>
      <c r="PHR1339" s="4" t="s">
        <v>2883</v>
      </c>
      <c r="PHS1339" s="4" t="s">
        <v>2883</v>
      </c>
      <c r="PHT1339" s="4" t="s">
        <v>2883</v>
      </c>
      <c r="PHU1339" s="4" t="s">
        <v>2883</v>
      </c>
      <c r="PHV1339" s="4" t="s">
        <v>2883</v>
      </c>
      <c r="PHW1339" s="4" t="s">
        <v>2883</v>
      </c>
      <c r="PHX1339" s="4" t="s">
        <v>2883</v>
      </c>
      <c r="PHY1339" s="4" t="s">
        <v>2883</v>
      </c>
      <c r="PHZ1339" s="4" t="s">
        <v>2883</v>
      </c>
      <c r="PIA1339" s="4" t="s">
        <v>2883</v>
      </c>
      <c r="PIB1339" s="4" t="s">
        <v>2883</v>
      </c>
      <c r="PIC1339" s="4" t="s">
        <v>2883</v>
      </c>
      <c r="PID1339" s="4" t="s">
        <v>2883</v>
      </c>
      <c r="PIE1339" s="4" t="s">
        <v>2883</v>
      </c>
      <c r="PIF1339" s="4" t="s">
        <v>2883</v>
      </c>
      <c r="PIG1339" s="4" t="s">
        <v>2883</v>
      </c>
      <c r="PIH1339" s="4" t="s">
        <v>2883</v>
      </c>
      <c r="PII1339" s="4" t="s">
        <v>2883</v>
      </c>
      <c r="PIJ1339" s="4" t="s">
        <v>2883</v>
      </c>
      <c r="PIK1339" s="4" t="s">
        <v>2883</v>
      </c>
      <c r="PIL1339" s="4" t="s">
        <v>2883</v>
      </c>
      <c r="PIM1339" s="4" t="s">
        <v>2883</v>
      </c>
      <c r="PIN1339" s="4" t="s">
        <v>2883</v>
      </c>
      <c r="PIO1339" s="4" t="s">
        <v>2883</v>
      </c>
      <c r="PIP1339" s="4" t="s">
        <v>2883</v>
      </c>
      <c r="PIQ1339" s="4" t="s">
        <v>2883</v>
      </c>
      <c r="PIR1339" s="4" t="s">
        <v>2883</v>
      </c>
      <c r="PIS1339" s="4" t="s">
        <v>2883</v>
      </c>
      <c r="PIT1339" s="4" t="s">
        <v>2883</v>
      </c>
      <c r="PIU1339" s="4" t="s">
        <v>2883</v>
      </c>
      <c r="PIV1339" s="4" t="s">
        <v>2883</v>
      </c>
      <c r="PIW1339" s="4" t="s">
        <v>2883</v>
      </c>
      <c r="PIX1339" s="4" t="s">
        <v>2883</v>
      </c>
      <c r="PIY1339" s="4" t="s">
        <v>2883</v>
      </c>
      <c r="PIZ1339" s="4" t="s">
        <v>2883</v>
      </c>
      <c r="PJA1339" s="4" t="s">
        <v>2883</v>
      </c>
      <c r="PJB1339" s="4" t="s">
        <v>2883</v>
      </c>
      <c r="PJC1339" s="4" t="s">
        <v>2883</v>
      </c>
      <c r="PJD1339" s="4" t="s">
        <v>2883</v>
      </c>
      <c r="PJE1339" s="4" t="s">
        <v>2883</v>
      </c>
      <c r="PJF1339" s="4" t="s">
        <v>2883</v>
      </c>
      <c r="PJG1339" s="4" t="s">
        <v>2883</v>
      </c>
      <c r="PJH1339" s="4" t="s">
        <v>2883</v>
      </c>
      <c r="PJI1339" s="4" t="s">
        <v>2883</v>
      </c>
      <c r="PJJ1339" s="4" t="s">
        <v>2883</v>
      </c>
      <c r="PJK1339" s="4" t="s">
        <v>2883</v>
      </c>
      <c r="PJL1339" s="4" t="s">
        <v>2883</v>
      </c>
      <c r="PJM1339" s="4" t="s">
        <v>2883</v>
      </c>
      <c r="PJN1339" s="4" t="s">
        <v>2883</v>
      </c>
      <c r="PJO1339" s="4" t="s">
        <v>2883</v>
      </c>
      <c r="PJP1339" s="4" t="s">
        <v>2883</v>
      </c>
      <c r="PJQ1339" s="4" t="s">
        <v>2883</v>
      </c>
      <c r="PJR1339" s="4" t="s">
        <v>2883</v>
      </c>
      <c r="PJS1339" s="4" t="s">
        <v>2883</v>
      </c>
      <c r="PJT1339" s="4" t="s">
        <v>2883</v>
      </c>
      <c r="PJU1339" s="4" t="s">
        <v>2883</v>
      </c>
      <c r="PJV1339" s="4" t="s">
        <v>2883</v>
      </c>
      <c r="PJW1339" s="4" t="s">
        <v>2883</v>
      </c>
      <c r="PJX1339" s="4" t="s">
        <v>2883</v>
      </c>
      <c r="PJY1339" s="4" t="s">
        <v>2883</v>
      </c>
      <c r="PJZ1339" s="4" t="s">
        <v>2883</v>
      </c>
      <c r="PKA1339" s="4" t="s">
        <v>2883</v>
      </c>
      <c r="PKB1339" s="4" t="s">
        <v>2883</v>
      </c>
      <c r="PKC1339" s="4" t="s">
        <v>2883</v>
      </c>
      <c r="PKD1339" s="4" t="s">
        <v>2883</v>
      </c>
      <c r="PKE1339" s="4" t="s">
        <v>2883</v>
      </c>
      <c r="PKF1339" s="4" t="s">
        <v>2883</v>
      </c>
      <c r="PKG1339" s="4" t="s">
        <v>2883</v>
      </c>
      <c r="PKH1339" s="4" t="s">
        <v>2883</v>
      </c>
      <c r="PKI1339" s="4" t="s">
        <v>2883</v>
      </c>
      <c r="PKJ1339" s="4" t="s">
        <v>2883</v>
      </c>
      <c r="PKK1339" s="4" t="s">
        <v>2883</v>
      </c>
      <c r="PKL1339" s="4" t="s">
        <v>2883</v>
      </c>
      <c r="PKM1339" s="4" t="s">
        <v>2883</v>
      </c>
      <c r="PKN1339" s="4" t="s">
        <v>2883</v>
      </c>
      <c r="PKO1339" s="4" t="s">
        <v>2883</v>
      </c>
      <c r="PKP1339" s="4" t="s">
        <v>2883</v>
      </c>
      <c r="PKQ1339" s="4" t="s">
        <v>2883</v>
      </c>
      <c r="PKR1339" s="4" t="s">
        <v>2883</v>
      </c>
      <c r="PKS1339" s="4" t="s">
        <v>2883</v>
      </c>
      <c r="PKT1339" s="4" t="s">
        <v>2883</v>
      </c>
      <c r="PKU1339" s="4" t="s">
        <v>2883</v>
      </c>
      <c r="PKV1339" s="4" t="s">
        <v>2883</v>
      </c>
      <c r="PKW1339" s="4" t="s">
        <v>2883</v>
      </c>
      <c r="PKX1339" s="4" t="s">
        <v>2883</v>
      </c>
      <c r="PKY1339" s="4" t="s">
        <v>2883</v>
      </c>
      <c r="PKZ1339" s="4" t="s">
        <v>2883</v>
      </c>
      <c r="PLA1339" s="4" t="s">
        <v>2883</v>
      </c>
      <c r="PLB1339" s="4" t="s">
        <v>2883</v>
      </c>
      <c r="PLC1339" s="4" t="s">
        <v>2883</v>
      </c>
      <c r="PLD1339" s="4" t="s">
        <v>2883</v>
      </c>
      <c r="PLE1339" s="4" t="s">
        <v>2883</v>
      </c>
      <c r="PLF1339" s="4" t="s">
        <v>2883</v>
      </c>
      <c r="PLG1339" s="4" t="s">
        <v>2883</v>
      </c>
      <c r="PLH1339" s="4" t="s">
        <v>2883</v>
      </c>
      <c r="PLI1339" s="4" t="s">
        <v>2883</v>
      </c>
      <c r="PLJ1339" s="4" t="s">
        <v>2883</v>
      </c>
      <c r="PLK1339" s="4" t="s">
        <v>2883</v>
      </c>
      <c r="PLL1339" s="4" t="s">
        <v>2883</v>
      </c>
      <c r="PLM1339" s="4" t="s">
        <v>2883</v>
      </c>
      <c r="PLN1339" s="4" t="s">
        <v>2883</v>
      </c>
      <c r="PLO1339" s="4" t="s">
        <v>2883</v>
      </c>
      <c r="PLP1339" s="4" t="s">
        <v>2883</v>
      </c>
      <c r="PLQ1339" s="4" t="s">
        <v>2883</v>
      </c>
      <c r="PLR1339" s="4" t="s">
        <v>2883</v>
      </c>
      <c r="PLS1339" s="4" t="s">
        <v>2883</v>
      </c>
      <c r="PLT1339" s="4" t="s">
        <v>2883</v>
      </c>
      <c r="PLU1339" s="4" t="s">
        <v>2883</v>
      </c>
      <c r="PLV1339" s="4" t="s">
        <v>2883</v>
      </c>
      <c r="PLW1339" s="4" t="s">
        <v>2883</v>
      </c>
      <c r="PLX1339" s="4" t="s">
        <v>2883</v>
      </c>
      <c r="PLY1339" s="4" t="s">
        <v>2883</v>
      </c>
      <c r="PLZ1339" s="4" t="s">
        <v>2883</v>
      </c>
      <c r="PMA1339" s="4" t="s">
        <v>2883</v>
      </c>
      <c r="PMB1339" s="4" t="s">
        <v>2883</v>
      </c>
      <c r="PMC1339" s="4" t="s">
        <v>2883</v>
      </c>
      <c r="PMD1339" s="4" t="s">
        <v>2883</v>
      </c>
      <c r="PME1339" s="4" t="s">
        <v>2883</v>
      </c>
      <c r="PMF1339" s="4" t="s">
        <v>2883</v>
      </c>
      <c r="PMG1339" s="4" t="s">
        <v>2883</v>
      </c>
      <c r="PMH1339" s="4" t="s">
        <v>2883</v>
      </c>
      <c r="PMI1339" s="4" t="s">
        <v>2883</v>
      </c>
      <c r="PMJ1339" s="4" t="s">
        <v>2883</v>
      </c>
      <c r="PMK1339" s="4" t="s">
        <v>2883</v>
      </c>
      <c r="PML1339" s="4" t="s">
        <v>2883</v>
      </c>
      <c r="PMM1339" s="4" t="s">
        <v>2883</v>
      </c>
      <c r="PMN1339" s="4" t="s">
        <v>2883</v>
      </c>
      <c r="PMO1339" s="4" t="s">
        <v>2883</v>
      </c>
      <c r="PMP1339" s="4" t="s">
        <v>2883</v>
      </c>
      <c r="PMQ1339" s="4" t="s">
        <v>2883</v>
      </c>
      <c r="PMR1339" s="4" t="s">
        <v>2883</v>
      </c>
      <c r="PMS1339" s="4" t="s">
        <v>2883</v>
      </c>
      <c r="PMT1339" s="4" t="s">
        <v>2883</v>
      </c>
      <c r="PMU1339" s="4" t="s">
        <v>2883</v>
      </c>
      <c r="PMV1339" s="4" t="s">
        <v>2883</v>
      </c>
      <c r="PMW1339" s="4" t="s">
        <v>2883</v>
      </c>
      <c r="PMX1339" s="4" t="s">
        <v>2883</v>
      </c>
      <c r="PMY1339" s="4" t="s">
        <v>2883</v>
      </c>
      <c r="PMZ1339" s="4" t="s">
        <v>2883</v>
      </c>
      <c r="PNA1339" s="4" t="s">
        <v>2883</v>
      </c>
      <c r="PNB1339" s="4" t="s">
        <v>2883</v>
      </c>
      <c r="PNC1339" s="4" t="s">
        <v>2883</v>
      </c>
      <c r="PND1339" s="4" t="s">
        <v>2883</v>
      </c>
      <c r="PNE1339" s="4" t="s">
        <v>2883</v>
      </c>
      <c r="PNF1339" s="4" t="s">
        <v>2883</v>
      </c>
      <c r="PNG1339" s="4" t="s">
        <v>2883</v>
      </c>
      <c r="PNH1339" s="4" t="s">
        <v>2883</v>
      </c>
      <c r="PNI1339" s="4" t="s">
        <v>2883</v>
      </c>
      <c r="PNJ1339" s="4" t="s">
        <v>2883</v>
      </c>
      <c r="PNK1339" s="4" t="s">
        <v>2883</v>
      </c>
      <c r="PNL1339" s="4" t="s">
        <v>2883</v>
      </c>
      <c r="PNM1339" s="4" t="s">
        <v>2883</v>
      </c>
      <c r="PNN1339" s="4" t="s">
        <v>2883</v>
      </c>
      <c r="PNO1339" s="4" t="s">
        <v>2883</v>
      </c>
      <c r="PNP1339" s="4" t="s">
        <v>2883</v>
      </c>
      <c r="PNQ1339" s="4" t="s">
        <v>2883</v>
      </c>
      <c r="PNR1339" s="4" t="s">
        <v>2883</v>
      </c>
      <c r="PNS1339" s="4" t="s">
        <v>2883</v>
      </c>
      <c r="PNT1339" s="4" t="s">
        <v>2883</v>
      </c>
      <c r="PNU1339" s="4" t="s">
        <v>2883</v>
      </c>
      <c r="PNV1339" s="4" t="s">
        <v>2883</v>
      </c>
      <c r="PNW1339" s="4" t="s">
        <v>2883</v>
      </c>
      <c r="PNX1339" s="4" t="s">
        <v>2883</v>
      </c>
      <c r="PNY1339" s="4" t="s">
        <v>2883</v>
      </c>
      <c r="PNZ1339" s="4" t="s">
        <v>2883</v>
      </c>
      <c r="POA1339" s="4" t="s">
        <v>2883</v>
      </c>
      <c r="POB1339" s="4" t="s">
        <v>2883</v>
      </c>
      <c r="POC1339" s="4" t="s">
        <v>2883</v>
      </c>
      <c r="POD1339" s="4" t="s">
        <v>2883</v>
      </c>
      <c r="POE1339" s="4" t="s">
        <v>2883</v>
      </c>
      <c r="POF1339" s="4" t="s">
        <v>2883</v>
      </c>
      <c r="POG1339" s="4" t="s">
        <v>2883</v>
      </c>
      <c r="POH1339" s="4" t="s">
        <v>2883</v>
      </c>
      <c r="POI1339" s="4" t="s">
        <v>2883</v>
      </c>
      <c r="POJ1339" s="4" t="s">
        <v>2883</v>
      </c>
      <c r="POK1339" s="4" t="s">
        <v>2883</v>
      </c>
      <c r="POL1339" s="4" t="s">
        <v>2883</v>
      </c>
      <c r="POM1339" s="4" t="s">
        <v>2883</v>
      </c>
      <c r="PON1339" s="4" t="s">
        <v>2883</v>
      </c>
      <c r="POO1339" s="4" t="s">
        <v>2883</v>
      </c>
      <c r="POP1339" s="4" t="s">
        <v>2883</v>
      </c>
      <c r="POQ1339" s="4" t="s">
        <v>2883</v>
      </c>
      <c r="POR1339" s="4" t="s">
        <v>2883</v>
      </c>
      <c r="POS1339" s="4" t="s">
        <v>2883</v>
      </c>
      <c r="POT1339" s="4" t="s">
        <v>2883</v>
      </c>
      <c r="POU1339" s="4" t="s">
        <v>2883</v>
      </c>
      <c r="POV1339" s="4" t="s">
        <v>2883</v>
      </c>
      <c r="POW1339" s="4" t="s">
        <v>2883</v>
      </c>
      <c r="POX1339" s="4" t="s">
        <v>2883</v>
      </c>
      <c r="POY1339" s="4" t="s">
        <v>2883</v>
      </c>
      <c r="POZ1339" s="4" t="s">
        <v>2883</v>
      </c>
      <c r="PPA1339" s="4" t="s">
        <v>2883</v>
      </c>
      <c r="PPB1339" s="4" t="s">
        <v>2883</v>
      </c>
      <c r="PPC1339" s="4" t="s">
        <v>2883</v>
      </c>
      <c r="PPD1339" s="4" t="s">
        <v>2883</v>
      </c>
      <c r="PPE1339" s="4" t="s">
        <v>2883</v>
      </c>
      <c r="PPF1339" s="4" t="s">
        <v>2883</v>
      </c>
      <c r="PPG1339" s="4" t="s">
        <v>2883</v>
      </c>
      <c r="PPH1339" s="4" t="s">
        <v>2883</v>
      </c>
      <c r="PPI1339" s="4" t="s">
        <v>2883</v>
      </c>
      <c r="PPJ1339" s="4" t="s">
        <v>2883</v>
      </c>
      <c r="PPK1339" s="4" t="s">
        <v>2883</v>
      </c>
      <c r="PPL1339" s="4" t="s">
        <v>2883</v>
      </c>
      <c r="PPM1339" s="4" t="s">
        <v>2883</v>
      </c>
      <c r="PPN1339" s="4" t="s">
        <v>2883</v>
      </c>
      <c r="PPO1339" s="4" t="s">
        <v>2883</v>
      </c>
      <c r="PPP1339" s="4" t="s">
        <v>2883</v>
      </c>
      <c r="PPQ1339" s="4" t="s">
        <v>2883</v>
      </c>
      <c r="PPR1339" s="4" t="s">
        <v>2883</v>
      </c>
      <c r="PPS1339" s="4" t="s">
        <v>2883</v>
      </c>
      <c r="PPT1339" s="4" t="s">
        <v>2883</v>
      </c>
      <c r="PPU1339" s="4" t="s">
        <v>2883</v>
      </c>
      <c r="PPV1339" s="4" t="s">
        <v>2883</v>
      </c>
      <c r="PPW1339" s="4" t="s">
        <v>2883</v>
      </c>
      <c r="PPX1339" s="4" t="s">
        <v>2883</v>
      </c>
      <c r="PPY1339" s="4" t="s">
        <v>2883</v>
      </c>
      <c r="PPZ1339" s="4" t="s">
        <v>2883</v>
      </c>
      <c r="PQA1339" s="4" t="s">
        <v>2883</v>
      </c>
      <c r="PQB1339" s="4" t="s">
        <v>2883</v>
      </c>
      <c r="PQC1339" s="4" t="s">
        <v>2883</v>
      </c>
      <c r="PQD1339" s="4" t="s">
        <v>2883</v>
      </c>
      <c r="PQE1339" s="4" t="s">
        <v>2883</v>
      </c>
      <c r="PQF1339" s="4" t="s">
        <v>2883</v>
      </c>
      <c r="PQG1339" s="4" t="s">
        <v>2883</v>
      </c>
      <c r="PQH1339" s="4" t="s">
        <v>2883</v>
      </c>
      <c r="PQI1339" s="4" t="s">
        <v>2883</v>
      </c>
      <c r="PQJ1339" s="4" t="s">
        <v>2883</v>
      </c>
      <c r="PQK1339" s="4" t="s">
        <v>2883</v>
      </c>
      <c r="PQL1339" s="4" t="s">
        <v>2883</v>
      </c>
      <c r="PQM1339" s="4" t="s">
        <v>2883</v>
      </c>
      <c r="PQN1339" s="4" t="s">
        <v>2883</v>
      </c>
      <c r="PQO1339" s="4" t="s">
        <v>2883</v>
      </c>
      <c r="PQP1339" s="4" t="s">
        <v>2883</v>
      </c>
      <c r="PQQ1339" s="4" t="s">
        <v>2883</v>
      </c>
      <c r="PQR1339" s="4" t="s">
        <v>2883</v>
      </c>
      <c r="PQS1339" s="4" t="s">
        <v>2883</v>
      </c>
      <c r="PQT1339" s="4" t="s">
        <v>2883</v>
      </c>
      <c r="PQU1339" s="4" t="s">
        <v>2883</v>
      </c>
      <c r="PQV1339" s="4" t="s">
        <v>2883</v>
      </c>
      <c r="PQW1339" s="4" t="s">
        <v>2883</v>
      </c>
      <c r="PQX1339" s="4" t="s">
        <v>2883</v>
      </c>
      <c r="PQY1339" s="4" t="s">
        <v>2883</v>
      </c>
      <c r="PQZ1339" s="4" t="s">
        <v>2883</v>
      </c>
      <c r="PRA1339" s="4" t="s">
        <v>2883</v>
      </c>
      <c r="PRB1339" s="4" t="s">
        <v>2883</v>
      </c>
      <c r="PRC1339" s="4" t="s">
        <v>2883</v>
      </c>
      <c r="PRD1339" s="4" t="s">
        <v>2883</v>
      </c>
      <c r="PRE1339" s="4" t="s">
        <v>2883</v>
      </c>
      <c r="PRF1339" s="4" t="s">
        <v>2883</v>
      </c>
      <c r="PRG1339" s="4" t="s">
        <v>2883</v>
      </c>
      <c r="PRH1339" s="4" t="s">
        <v>2883</v>
      </c>
      <c r="PRI1339" s="4" t="s">
        <v>2883</v>
      </c>
      <c r="PRJ1339" s="4" t="s">
        <v>2883</v>
      </c>
      <c r="PRK1339" s="4" t="s">
        <v>2883</v>
      </c>
      <c r="PRL1339" s="4" t="s">
        <v>2883</v>
      </c>
      <c r="PRM1339" s="4" t="s">
        <v>2883</v>
      </c>
      <c r="PRN1339" s="4" t="s">
        <v>2883</v>
      </c>
      <c r="PRO1339" s="4" t="s">
        <v>2883</v>
      </c>
      <c r="PRP1339" s="4" t="s">
        <v>2883</v>
      </c>
      <c r="PRQ1339" s="4" t="s">
        <v>2883</v>
      </c>
      <c r="PRR1339" s="4" t="s">
        <v>2883</v>
      </c>
      <c r="PRS1339" s="4" t="s">
        <v>2883</v>
      </c>
      <c r="PRT1339" s="4" t="s">
        <v>2883</v>
      </c>
      <c r="PRU1339" s="4" t="s">
        <v>2883</v>
      </c>
      <c r="PRV1339" s="4" t="s">
        <v>2883</v>
      </c>
      <c r="PRW1339" s="4" t="s">
        <v>2883</v>
      </c>
      <c r="PRX1339" s="4" t="s">
        <v>2883</v>
      </c>
      <c r="PRY1339" s="4" t="s">
        <v>2883</v>
      </c>
      <c r="PRZ1339" s="4" t="s">
        <v>2883</v>
      </c>
      <c r="PSA1339" s="4" t="s">
        <v>2883</v>
      </c>
      <c r="PSB1339" s="4" t="s">
        <v>2883</v>
      </c>
      <c r="PSC1339" s="4" t="s">
        <v>2883</v>
      </c>
      <c r="PSD1339" s="4" t="s">
        <v>2883</v>
      </c>
      <c r="PSE1339" s="4" t="s">
        <v>2883</v>
      </c>
      <c r="PSF1339" s="4" t="s">
        <v>2883</v>
      </c>
      <c r="PSG1339" s="4" t="s">
        <v>2883</v>
      </c>
      <c r="PSH1339" s="4" t="s">
        <v>2883</v>
      </c>
      <c r="PSI1339" s="4" t="s">
        <v>2883</v>
      </c>
      <c r="PSJ1339" s="4" t="s">
        <v>2883</v>
      </c>
      <c r="PSK1339" s="4" t="s">
        <v>2883</v>
      </c>
      <c r="PSL1339" s="4" t="s">
        <v>2883</v>
      </c>
      <c r="PSM1339" s="4" t="s">
        <v>2883</v>
      </c>
      <c r="PSN1339" s="4" t="s">
        <v>2883</v>
      </c>
      <c r="PSO1339" s="4" t="s">
        <v>2883</v>
      </c>
      <c r="PSP1339" s="4" t="s">
        <v>2883</v>
      </c>
      <c r="PSQ1339" s="4" t="s">
        <v>2883</v>
      </c>
      <c r="PSR1339" s="4" t="s">
        <v>2883</v>
      </c>
      <c r="PSS1339" s="4" t="s">
        <v>2883</v>
      </c>
      <c r="PST1339" s="4" t="s">
        <v>2883</v>
      </c>
      <c r="PSU1339" s="4" t="s">
        <v>2883</v>
      </c>
      <c r="PSV1339" s="4" t="s">
        <v>2883</v>
      </c>
      <c r="PSW1339" s="4" t="s">
        <v>2883</v>
      </c>
      <c r="PSX1339" s="4" t="s">
        <v>2883</v>
      </c>
      <c r="PSY1339" s="4" t="s">
        <v>2883</v>
      </c>
      <c r="PSZ1339" s="4" t="s">
        <v>2883</v>
      </c>
      <c r="PTA1339" s="4" t="s">
        <v>2883</v>
      </c>
      <c r="PTB1339" s="4" t="s">
        <v>2883</v>
      </c>
      <c r="PTC1339" s="4" t="s">
        <v>2883</v>
      </c>
      <c r="PTD1339" s="4" t="s">
        <v>2883</v>
      </c>
      <c r="PTE1339" s="4" t="s">
        <v>2883</v>
      </c>
      <c r="PTF1339" s="4" t="s">
        <v>2883</v>
      </c>
      <c r="PTG1339" s="4" t="s">
        <v>2883</v>
      </c>
      <c r="PTH1339" s="4" t="s">
        <v>2883</v>
      </c>
      <c r="PTI1339" s="4" t="s">
        <v>2883</v>
      </c>
      <c r="PTJ1339" s="4" t="s">
        <v>2883</v>
      </c>
      <c r="PTK1339" s="4" t="s">
        <v>2883</v>
      </c>
      <c r="PTL1339" s="4" t="s">
        <v>2883</v>
      </c>
      <c r="PTM1339" s="4" t="s">
        <v>2883</v>
      </c>
      <c r="PTN1339" s="4" t="s">
        <v>2883</v>
      </c>
      <c r="PTO1339" s="4" t="s">
        <v>2883</v>
      </c>
      <c r="PTP1339" s="4" t="s">
        <v>2883</v>
      </c>
      <c r="PTQ1339" s="4" t="s">
        <v>2883</v>
      </c>
      <c r="PTR1339" s="4" t="s">
        <v>2883</v>
      </c>
      <c r="PTS1339" s="4" t="s">
        <v>2883</v>
      </c>
      <c r="PTT1339" s="4" t="s">
        <v>2883</v>
      </c>
      <c r="PTU1339" s="4" t="s">
        <v>2883</v>
      </c>
      <c r="PTV1339" s="4" t="s">
        <v>2883</v>
      </c>
      <c r="PTW1339" s="4" t="s">
        <v>2883</v>
      </c>
      <c r="PTX1339" s="4" t="s">
        <v>2883</v>
      </c>
      <c r="PTY1339" s="4" t="s">
        <v>2883</v>
      </c>
      <c r="PTZ1339" s="4" t="s">
        <v>2883</v>
      </c>
      <c r="PUA1339" s="4" t="s">
        <v>2883</v>
      </c>
      <c r="PUB1339" s="4" t="s">
        <v>2883</v>
      </c>
      <c r="PUC1339" s="4" t="s">
        <v>2883</v>
      </c>
      <c r="PUD1339" s="4" t="s">
        <v>2883</v>
      </c>
      <c r="PUE1339" s="4" t="s">
        <v>2883</v>
      </c>
      <c r="PUF1339" s="4" t="s">
        <v>2883</v>
      </c>
      <c r="PUG1339" s="4" t="s">
        <v>2883</v>
      </c>
      <c r="PUH1339" s="4" t="s">
        <v>2883</v>
      </c>
      <c r="PUI1339" s="4" t="s">
        <v>2883</v>
      </c>
      <c r="PUJ1339" s="4" t="s">
        <v>2883</v>
      </c>
      <c r="PUK1339" s="4" t="s">
        <v>2883</v>
      </c>
      <c r="PUL1339" s="4" t="s">
        <v>2883</v>
      </c>
      <c r="PUM1339" s="4" t="s">
        <v>2883</v>
      </c>
      <c r="PUN1339" s="4" t="s">
        <v>2883</v>
      </c>
      <c r="PUO1339" s="4" t="s">
        <v>2883</v>
      </c>
      <c r="PUP1339" s="4" t="s">
        <v>2883</v>
      </c>
      <c r="PUQ1339" s="4" t="s">
        <v>2883</v>
      </c>
      <c r="PUR1339" s="4" t="s">
        <v>2883</v>
      </c>
      <c r="PUS1339" s="4" t="s">
        <v>2883</v>
      </c>
      <c r="PUT1339" s="4" t="s">
        <v>2883</v>
      </c>
      <c r="PUU1339" s="4" t="s">
        <v>2883</v>
      </c>
      <c r="PUV1339" s="4" t="s">
        <v>2883</v>
      </c>
      <c r="PUW1339" s="4" t="s">
        <v>2883</v>
      </c>
      <c r="PUX1339" s="4" t="s">
        <v>2883</v>
      </c>
      <c r="PUY1339" s="4" t="s">
        <v>2883</v>
      </c>
      <c r="PUZ1339" s="4" t="s">
        <v>2883</v>
      </c>
      <c r="PVA1339" s="4" t="s">
        <v>2883</v>
      </c>
      <c r="PVB1339" s="4" t="s">
        <v>2883</v>
      </c>
      <c r="PVC1339" s="4" t="s">
        <v>2883</v>
      </c>
      <c r="PVD1339" s="4" t="s">
        <v>2883</v>
      </c>
      <c r="PVE1339" s="4" t="s">
        <v>2883</v>
      </c>
      <c r="PVF1339" s="4" t="s">
        <v>2883</v>
      </c>
      <c r="PVG1339" s="4" t="s">
        <v>2883</v>
      </c>
      <c r="PVH1339" s="4" t="s">
        <v>2883</v>
      </c>
      <c r="PVI1339" s="4" t="s">
        <v>2883</v>
      </c>
      <c r="PVJ1339" s="4" t="s">
        <v>2883</v>
      </c>
      <c r="PVK1339" s="4" t="s">
        <v>2883</v>
      </c>
      <c r="PVL1339" s="4" t="s">
        <v>2883</v>
      </c>
      <c r="PVM1339" s="4" t="s">
        <v>2883</v>
      </c>
      <c r="PVN1339" s="4" t="s">
        <v>2883</v>
      </c>
      <c r="PVO1339" s="4" t="s">
        <v>2883</v>
      </c>
      <c r="PVP1339" s="4" t="s">
        <v>2883</v>
      </c>
      <c r="PVQ1339" s="4" t="s">
        <v>2883</v>
      </c>
      <c r="PVR1339" s="4" t="s">
        <v>2883</v>
      </c>
      <c r="PVS1339" s="4" t="s">
        <v>2883</v>
      </c>
      <c r="PVT1339" s="4" t="s">
        <v>2883</v>
      </c>
      <c r="PVU1339" s="4" t="s">
        <v>2883</v>
      </c>
      <c r="PVV1339" s="4" t="s">
        <v>2883</v>
      </c>
      <c r="PVW1339" s="4" t="s">
        <v>2883</v>
      </c>
      <c r="PVX1339" s="4" t="s">
        <v>2883</v>
      </c>
      <c r="PVY1339" s="4" t="s">
        <v>2883</v>
      </c>
      <c r="PVZ1339" s="4" t="s">
        <v>2883</v>
      </c>
      <c r="PWA1339" s="4" t="s">
        <v>2883</v>
      </c>
      <c r="PWB1339" s="4" t="s">
        <v>2883</v>
      </c>
      <c r="PWC1339" s="4" t="s">
        <v>2883</v>
      </c>
      <c r="PWD1339" s="4" t="s">
        <v>2883</v>
      </c>
      <c r="PWE1339" s="4" t="s">
        <v>2883</v>
      </c>
      <c r="PWF1339" s="4" t="s">
        <v>2883</v>
      </c>
      <c r="PWG1339" s="4" t="s">
        <v>2883</v>
      </c>
      <c r="PWH1339" s="4" t="s">
        <v>2883</v>
      </c>
      <c r="PWI1339" s="4" t="s">
        <v>2883</v>
      </c>
      <c r="PWJ1339" s="4" t="s">
        <v>2883</v>
      </c>
      <c r="PWK1339" s="4" t="s">
        <v>2883</v>
      </c>
      <c r="PWL1339" s="4" t="s">
        <v>2883</v>
      </c>
      <c r="PWM1339" s="4" t="s">
        <v>2883</v>
      </c>
      <c r="PWN1339" s="4" t="s">
        <v>2883</v>
      </c>
      <c r="PWO1339" s="4" t="s">
        <v>2883</v>
      </c>
      <c r="PWP1339" s="4" t="s">
        <v>2883</v>
      </c>
      <c r="PWQ1339" s="4" t="s">
        <v>2883</v>
      </c>
      <c r="PWR1339" s="4" t="s">
        <v>2883</v>
      </c>
      <c r="PWS1339" s="4" t="s">
        <v>2883</v>
      </c>
      <c r="PWT1339" s="4" t="s">
        <v>2883</v>
      </c>
      <c r="PWU1339" s="4" t="s">
        <v>2883</v>
      </c>
      <c r="PWV1339" s="4" t="s">
        <v>2883</v>
      </c>
      <c r="PWW1339" s="4" t="s">
        <v>2883</v>
      </c>
      <c r="PWX1339" s="4" t="s">
        <v>2883</v>
      </c>
      <c r="PWY1339" s="4" t="s">
        <v>2883</v>
      </c>
      <c r="PWZ1339" s="4" t="s">
        <v>2883</v>
      </c>
      <c r="PXA1339" s="4" t="s">
        <v>2883</v>
      </c>
      <c r="PXB1339" s="4" t="s">
        <v>2883</v>
      </c>
      <c r="PXC1339" s="4" t="s">
        <v>2883</v>
      </c>
      <c r="PXD1339" s="4" t="s">
        <v>2883</v>
      </c>
      <c r="PXE1339" s="4" t="s">
        <v>2883</v>
      </c>
      <c r="PXF1339" s="4" t="s">
        <v>2883</v>
      </c>
      <c r="PXG1339" s="4" t="s">
        <v>2883</v>
      </c>
      <c r="PXH1339" s="4" t="s">
        <v>2883</v>
      </c>
      <c r="PXI1339" s="4" t="s">
        <v>2883</v>
      </c>
      <c r="PXJ1339" s="4" t="s">
        <v>2883</v>
      </c>
      <c r="PXK1339" s="4" t="s">
        <v>2883</v>
      </c>
      <c r="PXL1339" s="4" t="s">
        <v>2883</v>
      </c>
      <c r="PXM1339" s="4" t="s">
        <v>2883</v>
      </c>
      <c r="PXN1339" s="4" t="s">
        <v>2883</v>
      </c>
      <c r="PXO1339" s="4" t="s">
        <v>2883</v>
      </c>
      <c r="PXP1339" s="4" t="s">
        <v>2883</v>
      </c>
      <c r="PXQ1339" s="4" t="s">
        <v>2883</v>
      </c>
      <c r="PXR1339" s="4" t="s">
        <v>2883</v>
      </c>
      <c r="PXS1339" s="4" t="s">
        <v>2883</v>
      </c>
      <c r="PXT1339" s="4" t="s">
        <v>2883</v>
      </c>
      <c r="PXU1339" s="4" t="s">
        <v>2883</v>
      </c>
      <c r="PXV1339" s="4" t="s">
        <v>2883</v>
      </c>
      <c r="PXW1339" s="4" t="s">
        <v>2883</v>
      </c>
      <c r="PXX1339" s="4" t="s">
        <v>2883</v>
      </c>
      <c r="PXY1339" s="4" t="s">
        <v>2883</v>
      </c>
      <c r="PXZ1339" s="4" t="s">
        <v>2883</v>
      </c>
      <c r="PYA1339" s="4" t="s">
        <v>2883</v>
      </c>
      <c r="PYB1339" s="4" t="s">
        <v>2883</v>
      </c>
      <c r="PYC1339" s="4" t="s">
        <v>2883</v>
      </c>
      <c r="PYD1339" s="4" t="s">
        <v>2883</v>
      </c>
      <c r="PYE1339" s="4" t="s">
        <v>2883</v>
      </c>
      <c r="PYF1339" s="4" t="s">
        <v>2883</v>
      </c>
      <c r="PYG1339" s="4" t="s">
        <v>2883</v>
      </c>
      <c r="PYH1339" s="4" t="s">
        <v>2883</v>
      </c>
      <c r="PYI1339" s="4" t="s">
        <v>2883</v>
      </c>
      <c r="PYJ1339" s="4" t="s">
        <v>2883</v>
      </c>
      <c r="PYK1339" s="4" t="s">
        <v>2883</v>
      </c>
      <c r="PYL1339" s="4" t="s">
        <v>2883</v>
      </c>
      <c r="PYM1339" s="4" t="s">
        <v>2883</v>
      </c>
      <c r="PYN1339" s="4" t="s">
        <v>2883</v>
      </c>
      <c r="PYO1339" s="4" t="s">
        <v>2883</v>
      </c>
      <c r="PYP1339" s="4" t="s">
        <v>2883</v>
      </c>
      <c r="PYQ1339" s="4" t="s">
        <v>2883</v>
      </c>
      <c r="PYR1339" s="4" t="s">
        <v>2883</v>
      </c>
      <c r="PYS1339" s="4" t="s">
        <v>2883</v>
      </c>
      <c r="PYT1339" s="4" t="s">
        <v>2883</v>
      </c>
      <c r="PYU1339" s="4" t="s">
        <v>2883</v>
      </c>
      <c r="PYV1339" s="4" t="s">
        <v>2883</v>
      </c>
      <c r="PYW1339" s="4" t="s">
        <v>2883</v>
      </c>
      <c r="PYX1339" s="4" t="s">
        <v>2883</v>
      </c>
      <c r="PYY1339" s="4" t="s">
        <v>2883</v>
      </c>
      <c r="PYZ1339" s="4" t="s">
        <v>2883</v>
      </c>
      <c r="PZA1339" s="4" t="s">
        <v>2883</v>
      </c>
      <c r="PZB1339" s="4" t="s">
        <v>2883</v>
      </c>
      <c r="PZC1339" s="4" t="s">
        <v>2883</v>
      </c>
      <c r="PZD1339" s="4" t="s">
        <v>2883</v>
      </c>
      <c r="PZE1339" s="4" t="s">
        <v>2883</v>
      </c>
      <c r="PZF1339" s="4" t="s">
        <v>2883</v>
      </c>
      <c r="PZG1339" s="4" t="s">
        <v>2883</v>
      </c>
      <c r="PZH1339" s="4" t="s">
        <v>2883</v>
      </c>
      <c r="PZI1339" s="4" t="s">
        <v>2883</v>
      </c>
      <c r="PZJ1339" s="4" t="s">
        <v>2883</v>
      </c>
      <c r="PZK1339" s="4" t="s">
        <v>2883</v>
      </c>
      <c r="PZL1339" s="4" t="s">
        <v>2883</v>
      </c>
      <c r="PZM1339" s="4" t="s">
        <v>2883</v>
      </c>
      <c r="PZN1339" s="4" t="s">
        <v>2883</v>
      </c>
      <c r="PZO1339" s="4" t="s">
        <v>2883</v>
      </c>
      <c r="PZP1339" s="4" t="s">
        <v>2883</v>
      </c>
      <c r="PZQ1339" s="4" t="s">
        <v>2883</v>
      </c>
      <c r="PZR1339" s="4" t="s">
        <v>2883</v>
      </c>
      <c r="PZS1339" s="4" t="s">
        <v>2883</v>
      </c>
      <c r="PZT1339" s="4" t="s">
        <v>2883</v>
      </c>
      <c r="PZU1339" s="4" t="s">
        <v>2883</v>
      </c>
      <c r="PZV1339" s="4" t="s">
        <v>2883</v>
      </c>
      <c r="PZW1339" s="4" t="s">
        <v>2883</v>
      </c>
      <c r="PZX1339" s="4" t="s">
        <v>2883</v>
      </c>
      <c r="PZY1339" s="4" t="s">
        <v>2883</v>
      </c>
      <c r="PZZ1339" s="4" t="s">
        <v>2883</v>
      </c>
      <c r="QAA1339" s="4" t="s">
        <v>2883</v>
      </c>
      <c r="QAB1339" s="4" t="s">
        <v>2883</v>
      </c>
      <c r="QAC1339" s="4" t="s">
        <v>2883</v>
      </c>
      <c r="QAD1339" s="4" t="s">
        <v>2883</v>
      </c>
      <c r="QAE1339" s="4" t="s">
        <v>2883</v>
      </c>
      <c r="QAF1339" s="4" t="s">
        <v>2883</v>
      </c>
      <c r="QAG1339" s="4" t="s">
        <v>2883</v>
      </c>
      <c r="QAH1339" s="4" t="s">
        <v>2883</v>
      </c>
      <c r="QAI1339" s="4" t="s">
        <v>2883</v>
      </c>
      <c r="QAJ1339" s="4" t="s">
        <v>2883</v>
      </c>
      <c r="QAK1339" s="4" t="s">
        <v>2883</v>
      </c>
      <c r="QAL1339" s="4" t="s">
        <v>2883</v>
      </c>
      <c r="QAM1339" s="4" t="s">
        <v>2883</v>
      </c>
      <c r="QAN1339" s="4" t="s">
        <v>2883</v>
      </c>
      <c r="QAO1339" s="4" t="s">
        <v>2883</v>
      </c>
      <c r="QAP1339" s="4" t="s">
        <v>2883</v>
      </c>
      <c r="QAQ1339" s="4" t="s">
        <v>2883</v>
      </c>
      <c r="QAR1339" s="4" t="s">
        <v>2883</v>
      </c>
      <c r="QAS1339" s="4" t="s">
        <v>2883</v>
      </c>
      <c r="QAT1339" s="4" t="s">
        <v>2883</v>
      </c>
      <c r="QAU1339" s="4" t="s">
        <v>2883</v>
      </c>
      <c r="QAV1339" s="4" t="s">
        <v>2883</v>
      </c>
      <c r="QAW1339" s="4" t="s">
        <v>2883</v>
      </c>
      <c r="QAX1339" s="4" t="s">
        <v>2883</v>
      </c>
      <c r="QAY1339" s="4" t="s">
        <v>2883</v>
      </c>
      <c r="QAZ1339" s="4" t="s">
        <v>2883</v>
      </c>
      <c r="QBA1339" s="4" t="s">
        <v>2883</v>
      </c>
      <c r="QBB1339" s="4" t="s">
        <v>2883</v>
      </c>
      <c r="QBC1339" s="4" t="s">
        <v>2883</v>
      </c>
      <c r="QBD1339" s="4" t="s">
        <v>2883</v>
      </c>
      <c r="QBE1339" s="4" t="s">
        <v>2883</v>
      </c>
      <c r="QBF1339" s="4" t="s">
        <v>2883</v>
      </c>
      <c r="QBG1339" s="4" t="s">
        <v>2883</v>
      </c>
      <c r="QBH1339" s="4" t="s">
        <v>2883</v>
      </c>
      <c r="QBI1339" s="4" t="s">
        <v>2883</v>
      </c>
      <c r="QBJ1339" s="4" t="s">
        <v>2883</v>
      </c>
      <c r="QBK1339" s="4" t="s">
        <v>2883</v>
      </c>
      <c r="QBL1339" s="4" t="s">
        <v>2883</v>
      </c>
      <c r="QBM1339" s="4" t="s">
        <v>2883</v>
      </c>
      <c r="QBN1339" s="4" t="s">
        <v>2883</v>
      </c>
      <c r="QBO1339" s="4" t="s">
        <v>2883</v>
      </c>
      <c r="QBP1339" s="4" t="s">
        <v>2883</v>
      </c>
      <c r="QBQ1339" s="4" t="s">
        <v>2883</v>
      </c>
      <c r="QBR1339" s="4" t="s">
        <v>2883</v>
      </c>
      <c r="QBS1339" s="4" t="s">
        <v>2883</v>
      </c>
      <c r="QBT1339" s="4" t="s">
        <v>2883</v>
      </c>
      <c r="QBU1339" s="4" t="s">
        <v>2883</v>
      </c>
      <c r="QBV1339" s="4" t="s">
        <v>2883</v>
      </c>
      <c r="QBW1339" s="4" t="s">
        <v>2883</v>
      </c>
      <c r="QBX1339" s="4" t="s">
        <v>2883</v>
      </c>
      <c r="QBY1339" s="4" t="s">
        <v>2883</v>
      </c>
      <c r="QBZ1339" s="4" t="s">
        <v>2883</v>
      </c>
      <c r="QCA1339" s="4" t="s">
        <v>2883</v>
      </c>
      <c r="QCB1339" s="4" t="s">
        <v>2883</v>
      </c>
      <c r="QCC1339" s="4" t="s">
        <v>2883</v>
      </c>
      <c r="QCD1339" s="4" t="s">
        <v>2883</v>
      </c>
      <c r="QCE1339" s="4" t="s">
        <v>2883</v>
      </c>
      <c r="QCF1339" s="4" t="s">
        <v>2883</v>
      </c>
      <c r="QCG1339" s="4" t="s">
        <v>2883</v>
      </c>
      <c r="QCH1339" s="4" t="s">
        <v>2883</v>
      </c>
      <c r="QCI1339" s="4" t="s">
        <v>2883</v>
      </c>
      <c r="QCJ1339" s="4" t="s">
        <v>2883</v>
      </c>
      <c r="QCK1339" s="4" t="s">
        <v>2883</v>
      </c>
      <c r="QCL1339" s="4" t="s">
        <v>2883</v>
      </c>
      <c r="QCM1339" s="4" t="s">
        <v>2883</v>
      </c>
      <c r="QCN1339" s="4" t="s">
        <v>2883</v>
      </c>
      <c r="QCO1339" s="4" t="s">
        <v>2883</v>
      </c>
      <c r="QCP1339" s="4" t="s">
        <v>2883</v>
      </c>
      <c r="QCQ1339" s="4" t="s">
        <v>2883</v>
      </c>
      <c r="QCR1339" s="4" t="s">
        <v>2883</v>
      </c>
      <c r="QCS1339" s="4" t="s">
        <v>2883</v>
      </c>
      <c r="QCT1339" s="4" t="s">
        <v>2883</v>
      </c>
      <c r="QCU1339" s="4" t="s">
        <v>2883</v>
      </c>
      <c r="QCV1339" s="4" t="s">
        <v>2883</v>
      </c>
      <c r="QCW1339" s="4" t="s">
        <v>2883</v>
      </c>
      <c r="QCX1339" s="4" t="s">
        <v>2883</v>
      </c>
      <c r="QCY1339" s="4" t="s">
        <v>2883</v>
      </c>
      <c r="QCZ1339" s="4" t="s">
        <v>2883</v>
      </c>
      <c r="QDA1339" s="4" t="s">
        <v>2883</v>
      </c>
      <c r="QDB1339" s="4" t="s">
        <v>2883</v>
      </c>
      <c r="QDC1339" s="4" t="s">
        <v>2883</v>
      </c>
      <c r="QDD1339" s="4" t="s">
        <v>2883</v>
      </c>
      <c r="QDE1339" s="4" t="s">
        <v>2883</v>
      </c>
      <c r="QDF1339" s="4" t="s">
        <v>2883</v>
      </c>
      <c r="QDG1339" s="4" t="s">
        <v>2883</v>
      </c>
      <c r="QDH1339" s="4" t="s">
        <v>2883</v>
      </c>
      <c r="QDI1339" s="4" t="s">
        <v>2883</v>
      </c>
      <c r="QDJ1339" s="4" t="s">
        <v>2883</v>
      </c>
      <c r="QDK1339" s="4" t="s">
        <v>2883</v>
      </c>
      <c r="QDL1339" s="4" t="s">
        <v>2883</v>
      </c>
      <c r="QDM1339" s="4" t="s">
        <v>2883</v>
      </c>
      <c r="QDN1339" s="4" t="s">
        <v>2883</v>
      </c>
      <c r="QDO1339" s="4" t="s">
        <v>2883</v>
      </c>
      <c r="QDP1339" s="4" t="s">
        <v>2883</v>
      </c>
      <c r="QDQ1339" s="4" t="s">
        <v>2883</v>
      </c>
      <c r="QDR1339" s="4" t="s">
        <v>2883</v>
      </c>
      <c r="QDS1339" s="4" t="s">
        <v>2883</v>
      </c>
      <c r="QDT1339" s="4" t="s">
        <v>2883</v>
      </c>
      <c r="QDU1339" s="4" t="s">
        <v>2883</v>
      </c>
      <c r="QDV1339" s="4" t="s">
        <v>2883</v>
      </c>
      <c r="QDW1339" s="4" t="s">
        <v>2883</v>
      </c>
      <c r="QDX1339" s="4" t="s">
        <v>2883</v>
      </c>
      <c r="QDY1339" s="4" t="s">
        <v>2883</v>
      </c>
      <c r="QDZ1339" s="4" t="s">
        <v>2883</v>
      </c>
      <c r="QEA1339" s="4" t="s">
        <v>2883</v>
      </c>
      <c r="QEB1339" s="4" t="s">
        <v>2883</v>
      </c>
      <c r="QEC1339" s="4" t="s">
        <v>2883</v>
      </c>
      <c r="QED1339" s="4" t="s">
        <v>2883</v>
      </c>
      <c r="QEE1339" s="4" t="s">
        <v>2883</v>
      </c>
      <c r="QEF1339" s="4" t="s">
        <v>2883</v>
      </c>
      <c r="QEG1339" s="4" t="s">
        <v>2883</v>
      </c>
      <c r="QEH1339" s="4" t="s">
        <v>2883</v>
      </c>
      <c r="QEI1339" s="4" t="s">
        <v>2883</v>
      </c>
      <c r="QEJ1339" s="4" t="s">
        <v>2883</v>
      </c>
      <c r="QEK1339" s="4" t="s">
        <v>2883</v>
      </c>
      <c r="QEL1339" s="4" t="s">
        <v>2883</v>
      </c>
      <c r="QEM1339" s="4" t="s">
        <v>2883</v>
      </c>
      <c r="QEN1339" s="4" t="s">
        <v>2883</v>
      </c>
      <c r="QEO1339" s="4" t="s">
        <v>2883</v>
      </c>
      <c r="QEP1339" s="4" t="s">
        <v>2883</v>
      </c>
      <c r="QEQ1339" s="4" t="s">
        <v>2883</v>
      </c>
      <c r="QER1339" s="4" t="s">
        <v>2883</v>
      </c>
      <c r="QES1339" s="4" t="s">
        <v>2883</v>
      </c>
      <c r="QET1339" s="4" t="s">
        <v>2883</v>
      </c>
      <c r="QEU1339" s="4" t="s">
        <v>2883</v>
      </c>
      <c r="QEV1339" s="4" t="s">
        <v>2883</v>
      </c>
      <c r="QEW1339" s="4" t="s">
        <v>2883</v>
      </c>
      <c r="QEX1339" s="4" t="s">
        <v>2883</v>
      </c>
      <c r="QEY1339" s="4" t="s">
        <v>2883</v>
      </c>
      <c r="QEZ1339" s="4" t="s">
        <v>2883</v>
      </c>
      <c r="QFA1339" s="4" t="s">
        <v>2883</v>
      </c>
      <c r="QFB1339" s="4" t="s">
        <v>2883</v>
      </c>
      <c r="QFC1339" s="4" t="s">
        <v>2883</v>
      </c>
      <c r="QFD1339" s="4" t="s">
        <v>2883</v>
      </c>
      <c r="QFE1339" s="4" t="s">
        <v>2883</v>
      </c>
      <c r="QFF1339" s="4" t="s">
        <v>2883</v>
      </c>
      <c r="QFG1339" s="4" t="s">
        <v>2883</v>
      </c>
      <c r="QFH1339" s="4" t="s">
        <v>2883</v>
      </c>
      <c r="QFI1339" s="4" t="s">
        <v>2883</v>
      </c>
      <c r="QFJ1339" s="4" t="s">
        <v>2883</v>
      </c>
      <c r="QFK1339" s="4" t="s">
        <v>2883</v>
      </c>
      <c r="QFL1339" s="4" t="s">
        <v>2883</v>
      </c>
      <c r="QFM1339" s="4" t="s">
        <v>2883</v>
      </c>
      <c r="QFN1339" s="4" t="s">
        <v>2883</v>
      </c>
      <c r="QFO1339" s="4" t="s">
        <v>2883</v>
      </c>
      <c r="QFP1339" s="4" t="s">
        <v>2883</v>
      </c>
      <c r="QFQ1339" s="4" t="s">
        <v>2883</v>
      </c>
      <c r="QFR1339" s="4" t="s">
        <v>2883</v>
      </c>
      <c r="QFS1339" s="4" t="s">
        <v>2883</v>
      </c>
      <c r="QFT1339" s="4" t="s">
        <v>2883</v>
      </c>
      <c r="QFU1339" s="4" t="s">
        <v>2883</v>
      </c>
      <c r="QFV1339" s="4" t="s">
        <v>2883</v>
      </c>
      <c r="QFW1339" s="4" t="s">
        <v>2883</v>
      </c>
      <c r="QFX1339" s="4" t="s">
        <v>2883</v>
      </c>
      <c r="QFY1339" s="4" t="s">
        <v>2883</v>
      </c>
      <c r="QFZ1339" s="4" t="s">
        <v>2883</v>
      </c>
      <c r="QGA1339" s="4" t="s">
        <v>2883</v>
      </c>
      <c r="QGB1339" s="4" t="s">
        <v>2883</v>
      </c>
      <c r="QGC1339" s="4" t="s">
        <v>2883</v>
      </c>
      <c r="QGD1339" s="4" t="s">
        <v>2883</v>
      </c>
      <c r="QGE1339" s="4" t="s">
        <v>2883</v>
      </c>
      <c r="QGF1339" s="4" t="s">
        <v>2883</v>
      </c>
      <c r="QGG1339" s="4" t="s">
        <v>2883</v>
      </c>
      <c r="QGH1339" s="4" t="s">
        <v>2883</v>
      </c>
      <c r="QGI1339" s="4" t="s">
        <v>2883</v>
      </c>
      <c r="QGJ1339" s="4" t="s">
        <v>2883</v>
      </c>
      <c r="QGK1339" s="4" t="s">
        <v>2883</v>
      </c>
      <c r="QGL1339" s="4" t="s">
        <v>2883</v>
      </c>
      <c r="QGM1339" s="4" t="s">
        <v>2883</v>
      </c>
      <c r="QGN1339" s="4" t="s">
        <v>2883</v>
      </c>
      <c r="QGO1339" s="4" t="s">
        <v>2883</v>
      </c>
      <c r="QGP1339" s="4" t="s">
        <v>2883</v>
      </c>
      <c r="QGQ1339" s="4" t="s">
        <v>2883</v>
      </c>
      <c r="QGR1339" s="4" t="s">
        <v>2883</v>
      </c>
      <c r="QGS1339" s="4" t="s">
        <v>2883</v>
      </c>
      <c r="QGT1339" s="4" t="s">
        <v>2883</v>
      </c>
      <c r="QGU1339" s="4" t="s">
        <v>2883</v>
      </c>
      <c r="QGV1339" s="4" t="s">
        <v>2883</v>
      </c>
      <c r="QGW1339" s="4" t="s">
        <v>2883</v>
      </c>
      <c r="QGX1339" s="4" t="s">
        <v>2883</v>
      </c>
      <c r="QGY1339" s="4" t="s">
        <v>2883</v>
      </c>
      <c r="QGZ1339" s="4" t="s">
        <v>2883</v>
      </c>
      <c r="QHA1339" s="4" t="s">
        <v>2883</v>
      </c>
      <c r="QHB1339" s="4" t="s">
        <v>2883</v>
      </c>
      <c r="QHC1339" s="4" t="s">
        <v>2883</v>
      </c>
      <c r="QHD1339" s="4" t="s">
        <v>2883</v>
      </c>
      <c r="QHE1339" s="4" t="s">
        <v>2883</v>
      </c>
      <c r="QHF1339" s="4" t="s">
        <v>2883</v>
      </c>
      <c r="QHG1339" s="4" t="s">
        <v>2883</v>
      </c>
      <c r="QHH1339" s="4" t="s">
        <v>2883</v>
      </c>
      <c r="QHI1339" s="4" t="s">
        <v>2883</v>
      </c>
      <c r="QHJ1339" s="4" t="s">
        <v>2883</v>
      </c>
      <c r="QHK1339" s="4" t="s">
        <v>2883</v>
      </c>
      <c r="QHL1339" s="4" t="s">
        <v>2883</v>
      </c>
      <c r="QHM1339" s="4" t="s">
        <v>2883</v>
      </c>
      <c r="QHN1339" s="4" t="s">
        <v>2883</v>
      </c>
      <c r="QHO1339" s="4" t="s">
        <v>2883</v>
      </c>
      <c r="QHP1339" s="4" t="s">
        <v>2883</v>
      </c>
      <c r="QHQ1339" s="4" t="s">
        <v>2883</v>
      </c>
      <c r="QHR1339" s="4" t="s">
        <v>2883</v>
      </c>
      <c r="QHS1339" s="4" t="s">
        <v>2883</v>
      </c>
      <c r="QHT1339" s="4" t="s">
        <v>2883</v>
      </c>
      <c r="QHU1339" s="4" t="s">
        <v>2883</v>
      </c>
      <c r="QHV1339" s="4" t="s">
        <v>2883</v>
      </c>
      <c r="QHW1339" s="4" t="s">
        <v>2883</v>
      </c>
      <c r="QHX1339" s="4" t="s">
        <v>2883</v>
      </c>
      <c r="QHY1339" s="4" t="s">
        <v>2883</v>
      </c>
      <c r="QHZ1339" s="4" t="s">
        <v>2883</v>
      </c>
      <c r="QIA1339" s="4" t="s">
        <v>2883</v>
      </c>
      <c r="QIB1339" s="4" t="s">
        <v>2883</v>
      </c>
      <c r="QIC1339" s="4" t="s">
        <v>2883</v>
      </c>
      <c r="QID1339" s="4" t="s">
        <v>2883</v>
      </c>
      <c r="QIE1339" s="4" t="s">
        <v>2883</v>
      </c>
      <c r="QIF1339" s="4" t="s">
        <v>2883</v>
      </c>
      <c r="QIG1339" s="4" t="s">
        <v>2883</v>
      </c>
      <c r="QIH1339" s="4" t="s">
        <v>2883</v>
      </c>
      <c r="QII1339" s="4" t="s">
        <v>2883</v>
      </c>
      <c r="QIJ1339" s="4" t="s">
        <v>2883</v>
      </c>
      <c r="QIK1339" s="4" t="s">
        <v>2883</v>
      </c>
      <c r="QIL1339" s="4" t="s">
        <v>2883</v>
      </c>
      <c r="QIM1339" s="4" t="s">
        <v>2883</v>
      </c>
      <c r="QIN1339" s="4" t="s">
        <v>2883</v>
      </c>
      <c r="QIO1339" s="4" t="s">
        <v>2883</v>
      </c>
      <c r="QIP1339" s="4" t="s">
        <v>2883</v>
      </c>
      <c r="QIQ1339" s="4" t="s">
        <v>2883</v>
      </c>
      <c r="QIR1339" s="4" t="s">
        <v>2883</v>
      </c>
      <c r="QIS1339" s="4" t="s">
        <v>2883</v>
      </c>
      <c r="QIT1339" s="4" t="s">
        <v>2883</v>
      </c>
      <c r="QIU1339" s="4" t="s">
        <v>2883</v>
      </c>
      <c r="QIV1339" s="4" t="s">
        <v>2883</v>
      </c>
      <c r="QIW1339" s="4" t="s">
        <v>2883</v>
      </c>
      <c r="QIX1339" s="4" t="s">
        <v>2883</v>
      </c>
      <c r="QIY1339" s="4" t="s">
        <v>2883</v>
      </c>
      <c r="QIZ1339" s="4" t="s">
        <v>2883</v>
      </c>
      <c r="QJA1339" s="4" t="s">
        <v>2883</v>
      </c>
      <c r="QJB1339" s="4" t="s">
        <v>2883</v>
      </c>
      <c r="QJC1339" s="4" t="s">
        <v>2883</v>
      </c>
      <c r="QJD1339" s="4" t="s">
        <v>2883</v>
      </c>
      <c r="QJE1339" s="4" t="s">
        <v>2883</v>
      </c>
      <c r="QJF1339" s="4" t="s">
        <v>2883</v>
      </c>
      <c r="QJG1339" s="4" t="s">
        <v>2883</v>
      </c>
      <c r="QJH1339" s="4" t="s">
        <v>2883</v>
      </c>
      <c r="QJI1339" s="4" t="s">
        <v>2883</v>
      </c>
      <c r="QJJ1339" s="4" t="s">
        <v>2883</v>
      </c>
      <c r="QJK1339" s="4" t="s">
        <v>2883</v>
      </c>
      <c r="QJL1339" s="4" t="s">
        <v>2883</v>
      </c>
      <c r="QJM1339" s="4" t="s">
        <v>2883</v>
      </c>
      <c r="QJN1339" s="4" t="s">
        <v>2883</v>
      </c>
      <c r="QJO1339" s="4" t="s">
        <v>2883</v>
      </c>
      <c r="QJP1339" s="4" t="s">
        <v>2883</v>
      </c>
      <c r="QJQ1339" s="4" t="s">
        <v>2883</v>
      </c>
      <c r="QJR1339" s="4" t="s">
        <v>2883</v>
      </c>
      <c r="QJS1339" s="4" t="s">
        <v>2883</v>
      </c>
      <c r="QJT1339" s="4" t="s">
        <v>2883</v>
      </c>
      <c r="QJU1339" s="4" t="s">
        <v>2883</v>
      </c>
      <c r="QJV1339" s="4" t="s">
        <v>2883</v>
      </c>
      <c r="QJW1339" s="4" t="s">
        <v>2883</v>
      </c>
      <c r="QJX1339" s="4" t="s">
        <v>2883</v>
      </c>
      <c r="QJY1339" s="4" t="s">
        <v>2883</v>
      </c>
      <c r="QJZ1339" s="4" t="s">
        <v>2883</v>
      </c>
      <c r="QKA1339" s="4" t="s">
        <v>2883</v>
      </c>
      <c r="QKB1339" s="4" t="s">
        <v>2883</v>
      </c>
      <c r="QKC1339" s="4" t="s">
        <v>2883</v>
      </c>
      <c r="QKD1339" s="4" t="s">
        <v>2883</v>
      </c>
      <c r="QKE1339" s="4" t="s">
        <v>2883</v>
      </c>
      <c r="QKF1339" s="4" t="s">
        <v>2883</v>
      </c>
      <c r="QKG1339" s="4" t="s">
        <v>2883</v>
      </c>
      <c r="QKH1339" s="4" t="s">
        <v>2883</v>
      </c>
      <c r="QKI1339" s="4" t="s">
        <v>2883</v>
      </c>
      <c r="QKJ1339" s="4" t="s">
        <v>2883</v>
      </c>
      <c r="QKK1339" s="4" t="s">
        <v>2883</v>
      </c>
      <c r="QKL1339" s="4" t="s">
        <v>2883</v>
      </c>
      <c r="QKM1339" s="4" t="s">
        <v>2883</v>
      </c>
      <c r="QKN1339" s="4" t="s">
        <v>2883</v>
      </c>
      <c r="QKO1339" s="4" t="s">
        <v>2883</v>
      </c>
      <c r="QKP1339" s="4" t="s">
        <v>2883</v>
      </c>
      <c r="QKQ1339" s="4" t="s">
        <v>2883</v>
      </c>
      <c r="QKR1339" s="4" t="s">
        <v>2883</v>
      </c>
      <c r="QKS1339" s="4" t="s">
        <v>2883</v>
      </c>
      <c r="QKT1339" s="4" t="s">
        <v>2883</v>
      </c>
      <c r="QKU1339" s="4" t="s">
        <v>2883</v>
      </c>
      <c r="QKV1339" s="4" t="s">
        <v>2883</v>
      </c>
      <c r="QKW1339" s="4" t="s">
        <v>2883</v>
      </c>
      <c r="QKX1339" s="4" t="s">
        <v>2883</v>
      </c>
      <c r="QKY1339" s="4" t="s">
        <v>2883</v>
      </c>
      <c r="QKZ1339" s="4" t="s">
        <v>2883</v>
      </c>
      <c r="QLA1339" s="4" t="s">
        <v>2883</v>
      </c>
      <c r="QLB1339" s="4" t="s">
        <v>2883</v>
      </c>
      <c r="QLC1339" s="4" t="s">
        <v>2883</v>
      </c>
      <c r="QLD1339" s="4" t="s">
        <v>2883</v>
      </c>
      <c r="QLE1339" s="4" t="s">
        <v>2883</v>
      </c>
      <c r="QLF1339" s="4" t="s">
        <v>2883</v>
      </c>
      <c r="QLG1339" s="4" t="s">
        <v>2883</v>
      </c>
      <c r="QLH1339" s="4" t="s">
        <v>2883</v>
      </c>
      <c r="QLI1339" s="4" t="s">
        <v>2883</v>
      </c>
      <c r="QLJ1339" s="4" t="s">
        <v>2883</v>
      </c>
      <c r="QLK1339" s="4" t="s">
        <v>2883</v>
      </c>
      <c r="QLL1339" s="4" t="s">
        <v>2883</v>
      </c>
      <c r="QLM1339" s="4" t="s">
        <v>2883</v>
      </c>
      <c r="QLN1339" s="4" t="s">
        <v>2883</v>
      </c>
      <c r="QLO1339" s="4" t="s">
        <v>2883</v>
      </c>
      <c r="QLP1339" s="4" t="s">
        <v>2883</v>
      </c>
      <c r="QLQ1339" s="4" t="s">
        <v>2883</v>
      </c>
      <c r="QLR1339" s="4" t="s">
        <v>2883</v>
      </c>
      <c r="QLS1339" s="4" t="s">
        <v>2883</v>
      </c>
      <c r="QLT1339" s="4" t="s">
        <v>2883</v>
      </c>
      <c r="QLU1339" s="4" t="s">
        <v>2883</v>
      </c>
      <c r="QLV1339" s="4" t="s">
        <v>2883</v>
      </c>
      <c r="QLW1339" s="4" t="s">
        <v>2883</v>
      </c>
      <c r="QLX1339" s="4" t="s">
        <v>2883</v>
      </c>
      <c r="QLY1339" s="4" t="s">
        <v>2883</v>
      </c>
      <c r="QLZ1339" s="4" t="s">
        <v>2883</v>
      </c>
      <c r="QMA1339" s="4" t="s">
        <v>2883</v>
      </c>
      <c r="QMB1339" s="4" t="s">
        <v>2883</v>
      </c>
      <c r="QMC1339" s="4" t="s">
        <v>2883</v>
      </c>
      <c r="QMD1339" s="4" t="s">
        <v>2883</v>
      </c>
      <c r="QME1339" s="4" t="s">
        <v>2883</v>
      </c>
      <c r="QMF1339" s="4" t="s">
        <v>2883</v>
      </c>
      <c r="QMG1339" s="4" t="s">
        <v>2883</v>
      </c>
      <c r="QMH1339" s="4" t="s">
        <v>2883</v>
      </c>
      <c r="QMI1339" s="4" t="s">
        <v>2883</v>
      </c>
      <c r="QMJ1339" s="4" t="s">
        <v>2883</v>
      </c>
      <c r="QMK1339" s="4" t="s">
        <v>2883</v>
      </c>
      <c r="QML1339" s="4" t="s">
        <v>2883</v>
      </c>
      <c r="QMM1339" s="4" t="s">
        <v>2883</v>
      </c>
      <c r="QMN1339" s="4" t="s">
        <v>2883</v>
      </c>
      <c r="QMO1339" s="4" t="s">
        <v>2883</v>
      </c>
      <c r="QMP1339" s="4" t="s">
        <v>2883</v>
      </c>
      <c r="QMQ1339" s="4" t="s">
        <v>2883</v>
      </c>
      <c r="QMR1339" s="4" t="s">
        <v>2883</v>
      </c>
      <c r="QMS1339" s="4" t="s">
        <v>2883</v>
      </c>
      <c r="QMT1339" s="4" t="s">
        <v>2883</v>
      </c>
      <c r="QMU1339" s="4" t="s">
        <v>2883</v>
      </c>
      <c r="QMV1339" s="4" t="s">
        <v>2883</v>
      </c>
      <c r="QMW1339" s="4" t="s">
        <v>2883</v>
      </c>
      <c r="QMX1339" s="4" t="s">
        <v>2883</v>
      </c>
      <c r="QMY1339" s="4" t="s">
        <v>2883</v>
      </c>
      <c r="QMZ1339" s="4" t="s">
        <v>2883</v>
      </c>
      <c r="QNA1339" s="4" t="s">
        <v>2883</v>
      </c>
      <c r="QNB1339" s="4" t="s">
        <v>2883</v>
      </c>
      <c r="QNC1339" s="4" t="s">
        <v>2883</v>
      </c>
      <c r="QND1339" s="4" t="s">
        <v>2883</v>
      </c>
      <c r="QNE1339" s="4" t="s">
        <v>2883</v>
      </c>
      <c r="QNF1339" s="4" t="s">
        <v>2883</v>
      </c>
      <c r="QNG1339" s="4" t="s">
        <v>2883</v>
      </c>
      <c r="QNH1339" s="4" t="s">
        <v>2883</v>
      </c>
      <c r="QNI1339" s="4" t="s">
        <v>2883</v>
      </c>
      <c r="QNJ1339" s="4" t="s">
        <v>2883</v>
      </c>
      <c r="QNK1339" s="4" t="s">
        <v>2883</v>
      </c>
      <c r="QNL1339" s="4" t="s">
        <v>2883</v>
      </c>
      <c r="QNM1339" s="4" t="s">
        <v>2883</v>
      </c>
      <c r="QNN1339" s="4" t="s">
        <v>2883</v>
      </c>
      <c r="QNO1339" s="4" t="s">
        <v>2883</v>
      </c>
      <c r="QNP1339" s="4" t="s">
        <v>2883</v>
      </c>
      <c r="QNQ1339" s="4" t="s">
        <v>2883</v>
      </c>
      <c r="QNR1339" s="4" t="s">
        <v>2883</v>
      </c>
      <c r="QNS1339" s="4" t="s">
        <v>2883</v>
      </c>
      <c r="QNT1339" s="4" t="s">
        <v>2883</v>
      </c>
      <c r="QNU1339" s="4" t="s">
        <v>2883</v>
      </c>
      <c r="QNV1339" s="4" t="s">
        <v>2883</v>
      </c>
      <c r="QNW1339" s="4" t="s">
        <v>2883</v>
      </c>
      <c r="QNX1339" s="4" t="s">
        <v>2883</v>
      </c>
      <c r="QNY1339" s="4" t="s">
        <v>2883</v>
      </c>
      <c r="QNZ1339" s="4" t="s">
        <v>2883</v>
      </c>
      <c r="QOA1339" s="4" t="s">
        <v>2883</v>
      </c>
      <c r="QOB1339" s="4" t="s">
        <v>2883</v>
      </c>
      <c r="QOC1339" s="4" t="s">
        <v>2883</v>
      </c>
      <c r="QOD1339" s="4" t="s">
        <v>2883</v>
      </c>
      <c r="QOE1339" s="4" t="s">
        <v>2883</v>
      </c>
      <c r="QOF1339" s="4" t="s">
        <v>2883</v>
      </c>
      <c r="QOG1339" s="4" t="s">
        <v>2883</v>
      </c>
      <c r="QOH1339" s="4" t="s">
        <v>2883</v>
      </c>
      <c r="QOI1339" s="4" t="s">
        <v>2883</v>
      </c>
      <c r="QOJ1339" s="4" t="s">
        <v>2883</v>
      </c>
      <c r="QOK1339" s="4" t="s">
        <v>2883</v>
      </c>
      <c r="QOL1339" s="4" t="s">
        <v>2883</v>
      </c>
      <c r="QOM1339" s="4" t="s">
        <v>2883</v>
      </c>
      <c r="QON1339" s="4" t="s">
        <v>2883</v>
      </c>
      <c r="QOO1339" s="4" t="s">
        <v>2883</v>
      </c>
      <c r="QOP1339" s="4" t="s">
        <v>2883</v>
      </c>
      <c r="QOQ1339" s="4" t="s">
        <v>2883</v>
      </c>
      <c r="QOR1339" s="4" t="s">
        <v>2883</v>
      </c>
      <c r="QOS1339" s="4" t="s">
        <v>2883</v>
      </c>
      <c r="QOT1339" s="4" t="s">
        <v>2883</v>
      </c>
      <c r="QOU1339" s="4" t="s">
        <v>2883</v>
      </c>
      <c r="QOV1339" s="4" t="s">
        <v>2883</v>
      </c>
      <c r="QOW1339" s="4" t="s">
        <v>2883</v>
      </c>
      <c r="QOX1339" s="4" t="s">
        <v>2883</v>
      </c>
      <c r="QOY1339" s="4" t="s">
        <v>2883</v>
      </c>
      <c r="QOZ1339" s="4" t="s">
        <v>2883</v>
      </c>
      <c r="QPA1339" s="4" t="s">
        <v>2883</v>
      </c>
      <c r="QPB1339" s="4" t="s">
        <v>2883</v>
      </c>
      <c r="QPC1339" s="4" t="s">
        <v>2883</v>
      </c>
      <c r="QPD1339" s="4" t="s">
        <v>2883</v>
      </c>
      <c r="QPE1339" s="4" t="s">
        <v>2883</v>
      </c>
      <c r="QPF1339" s="4" t="s">
        <v>2883</v>
      </c>
      <c r="QPG1339" s="4" t="s">
        <v>2883</v>
      </c>
      <c r="QPH1339" s="4" t="s">
        <v>2883</v>
      </c>
      <c r="QPI1339" s="4" t="s">
        <v>2883</v>
      </c>
      <c r="QPJ1339" s="4" t="s">
        <v>2883</v>
      </c>
      <c r="QPK1339" s="4" t="s">
        <v>2883</v>
      </c>
      <c r="QPL1339" s="4" t="s">
        <v>2883</v>
      </c>
      <c r="QPM1339" s="4" t="s">
        <v>2883</v>
      </c>
      <c r="QPN1339" s="4" t="s">
        <v>2883</v>
      </c>
      <c r="QPO1339" s="4" t="s">
        <v>2883</v>
      </c>
      <c r="QPP1339" s="4" t="s">
        <v>2883</v>
      </c>
      <c r="QPQ1339" s="4" t="s">
        <v>2883</v>
      </c>
      <c r="QPR1339" s="4" t="s">
        <v>2883</v>
      </c>
      <c r="QPS1339" s="4" t="s">
        <v>2883</v>
      </c>
      <c r="QPT1339" s="4" t="s">
        <v>2883</v>
      </c>
      <c r="QPU1339" s="4" t="s">
        <v>2883</v>
      </c>
      <c r="QPV1339" s="4" t="s">
        <v>2883</v>
      </c>
      <c r="QPW1339" s="4" t="s">
        <v>2883</v>
      </c>
      <c r="QPX1339" s="4" t="s">
        <v>2883</v>
      </c>
      <c r="QPY1339" s="4" t="s">
        <v>2883</v>
      </c>
      <c r="QPZ1339" s="4" t="s">
        <v>2883</v>
      </c>
      <c r="QQA1339" s="4" t="s">
        <v>2883</v>
      </c>
      <c r="QQB1339" s="4" t="s">
        <v>2883</v>
      </c>
      <c r="QQC1339" s="4" t="s">
        <v>2883</v>
      </c>
      <c r="QQD1339" s="4" t="s">
        <v>2883</v>
      </c>
      <c r="QQE1339" s="4" t="s">
        <v>2883</v>
      </c>
      <c r="QQF1339" s="4" t="s">
        <v>2883</v>
      </c>
      <c r="QQG1339" s="4" t="s">
        <v>2883</v>
      </c>
      <c r="QQH1339" s="4" t="s">
        <v>2883</v>
      </c>
      <c r="QQI1339" s="4" t="s">
        <v>2883</v>
      </c>
      <c r="QQJ1339" s="4" t="s">
        <v>2883</v>
      </c>
      <c r="QQK1339" s="4" t="s">
        <v>2883</v>
      </c>
      <c r="QQL1339" s="4" t="s">
        <v>2883</v>
      </c>
      <c r="QQM1339" s="4" t="s">
        <v>2883</v>
      </c>
      <c r="QQN1339" s="4" t="s">
        <v>2883</v>
      </c>
      <c r="QQO1339" s="4" t="s">
        <v>2883</v>
      </c>
      <c r="QQP1339" s="4" t="s">
        <v>2883</v>
      </c>
      <c r="QQQ1339" s="4" t="s">
        <v>2883</v>
      </c>
      <c r="QQR1339" s="4" t="s">
        <v>2883</v>
      </c>
      <c r="QQS1339" s="4" t="s">
        <v>2883</v>
      </c>
      <c r="QQT1339" s="4" t="s">
        <v>2883</v>
      </c>
      <c r="QQU1339" s="4" t="s">
        <v>2883</v>
      </c>
      <c r="QQV1339" s="4" t="s">
        <v>2883</v>
      </c>
      <c r="QQW1339" s="4" t="s">
        <v>2883</v>
      </c>
      <c r="QQX1339" s="4" t="s">
        <v>2883</v>
      </c>
      <c r="QQY1339" s="4" t="s">
        <v>2883</v>
      </c>
      <c r="QQZ1339" s="4" t="s">
        <v>2883</v>
      </c>
      <c r="QRA1339" s="4" t="s">
        <v>2883</v>
      </c>
      <c r="QRB1339" s="4" t="s">
        <v>2883</v>
      </c>
      <c r="QRC1339" s="4" t="s">
        <v>2883</v>
      </c>
      <c r="QRD1339" s="4" t="s">
        <v>2883</v>
      </c>
      <c r="QRE1339" s="4" t="s">
        <v>2883</v>
      </c>
      <c r="QRF1339" s="4" t="s">
        <v>2883</v>
      </c>
      <c r="QRG1339" s="4" t="s">
        <v>2883</v>
      </c>
      <c r="QRH1339" s="4" t="s">
        <v>2883</v>
      </c>
      <c r="QRI1339" s="4" t="s">
        <v>2883</v>
      </c>
      <c r="QRJ1339" s="4" t="s">
        <v>2883</v>
      </c>
      <c r="QRK1339" s="4" t="s">
        <v>2883</v>
      </c>
      <c r="QRL1339" s="4" t="s">
        <v>2883</v>
      </c>
      <c r="QRM1339" s="4" t="s">
        <v>2883</v>
      </c>
      <c r="QRN1339" s="4" t="s">
        <v>2883</v>
      </c>
      <c r="QRO1339" s="4" t="s">
        <v>2883</v>
      </c>
      <c r="QRP1339" s="4" t="s">
        <v>2883</v>
      </c>
      <c r="QRQ1339" s="4" t="s">
        <v>2883</v>
      </c>
      <c r="QRR1339" s="4" t="s">
        <v>2883</v>
      </c>
      <c r="QRS1339" s="4" t="s">
        <v>2883</v>
      </c>
      <c r="QRT1339" s="4" t="s">
        <v>2883</v>
      </c>
      <c r="QRU1339" s="4" t="s">
        <v>2883</v>
      </c>
      <c r="QRV1339" s="4" t="s">
        <v>2883</v>
      </c>
      <c r="QRW1339" s="4" t="s">
        <v>2883</v>
      </c>
      <c r="QRX1339" s="4" t="s">
        <v>2883</v>
      </c>
      <c r="QRY1339" s="4" t="s">
        <v>2883</v>
      </c>
      <c r="QRZ1339" s="4" t="s">
        <v>2883</v>
      </c>
      <c r="QSA1339" s="4" t="s">
        <v>2883</v>
      </c>
      <c r="QSB1339" s="4" t="s">
        <v>2883</v>
      </c>
      <c r="QSC1339" s="4" t="s">
        <v>2883</v>
      </c>
      <c r="QSD1339" s="4" t="s">
        <v>2883</v>
      </c>
      <c r="QSE1339" s="4" t="s">
        <v>2883</v>
      </c>
      <c r="QSF1339" s="4" t="s">
        <v>2883</v>
      </c>
      <c r="QSG1339" s="4" t="s">
        <v>2883</v>
      </c>
      <c r="QSH1339" s="4" t="s">
        <v>2883</v>
      </c>
      <c r="QSI1339" s="4" t="s">
        <v>2883</v>
      </c>
      <c r="QSJ1339" s="4" t="s">
        <v>2883</v>
      </c>
      <c r="QSK1339" s="4" t="s">
        <v>2883</v>
      </c>
      <c r="QSL1339" s="4" t="s">
        <v>2883</v>
      </c>
      <c r="QSM1339" s="4" t="s">
        <v>2883</v>
      </c>
      <c r="QSN1339" s="4" t="s">
        <v>2883</v>
      </c>
      <c r="QSO1339" s="4" t="s">
        <v>2883</v>
      </c>
      <c r="QSP1339" s="4" t="s">
        <v>2883</v>
      </c>
      <c r="QSQ1339" s="4" t="s">
        <v>2883</v>
      </c>
      <c r="QSR1339" s="4" t="s">
        <v>2883</v>
      </c>
      <c r="QSS1339" s="4" t="s">
        <v>2883</v>
      </c>
      <c r="QST1339" s="4" t="s">
        <v>2883</v>
      </c>
      <c r="QSU1339" s="4" t="s">
        <v>2883</v>
      </c>
      <c r="QSV1339" s="4" t="s">
        <v>2883</v>
      </c>
      <c r="QSW1339" s="4" t="s">
        <v>2883</v>
      </c>
      <c r="QSX1339" s="4" t="s">
        <v>2883</v>
      </c>
      <c r="QSY1339" s="4" t="s">
        <v>2883</v>
      </c>
      <c r="QSZ1339" s="4" t="s">
        <v>2883</v>
      </c>
      <c r="QTA1339" s="4" t="s">
        <v>2883</v>
      </c>
      <c r="QTB1339" s="4" t="s">
        <v>2883</v>
      </c>
      <c r="QTC1339" s="4" t="s">
        <v>2883</v>
      </c>
      <c r="QTD1339" s="4" t="s">
        <v>2883</v>
      </c>
      <c r="QTE1339" s="4" t="s">
        <v>2883</v>
      </c>
      <c r="QTF1339" s="4" t="s">
        <v>2883</v>
      </c>
      <c r="QTG1339" s="4" t="s">
        <v>2883</v>
      </c>
      <c r="QTH1339" s="4" t="s">
        <v>2883</v>
      </c>
      <c r="QTI1339" s="4" t="s">
        <v>2883</v>
      </c>
      <c r="QTJ1339" s="4" t="s">
        <v>2883</v>
      </c>
      <c r="QTK1339" s="4" t="s">
        <v>2883</v>
      </c>
      <c r="QTL1339" s="4" t="s">
        <v>2883</v>
      </c>
      <c r="QTM1339" s="4" t="s">
        <v>2883</v>
      </c>
      <c r="QTN1339" s="4" t="s">
        <v>2883</v>
      </c>
      <c r="QTO1339" s="4" t="s">
        <v>2883</v>
      </c>
      <c r="QTP1339" s="4" t="s">
        <v>2883</v>
      </c>
      <c r="QTQ1339" s="4" t="s">
        <v>2883</v>
      </c>
      <c r="QTR1339" s="4" t="s">
        <v>2883</v>
      </c>
      <c r="QTS1339" s="4" t="s">
        <v>2883</v>
      </c>
      <c r="QTT1339" s="4" t="s">
        <v>2883</v>
      </c>
      <c r="QTU1339" s="4" t="s">
        <v>2883</v>
      </c>
      <c r="QTV1339" s="4" t="s">
        <v>2883</v>
      </c>
      <c r="QTW1339" s="4" t="s">
        <v>2883</v>
      </c>
      <c r="QTX1339" s="4" t="s">
        <v>2883</v>
      </c>
      <c r="QTY1339" s="4" t="s">
        <v>2883</v>
      </c>
      <c r="QTZ1339" s="4" t="s">
        <v>2883</v>
      </c>
      <c r="QUA1339" s="4" t="s">
        <v>2883</v>
      </c>
      <c r="QUB1339" s="4" t="s">
        <v>2883</v>
      </c>
      <c r="QUC1339" s="4" t="s">
        <v>2883</v>
      </c>
      <c r="QUD1339" s="4" t="s">
        <v>2883</v>
      </c>
      <c r="QUE1339" s="4" t="s">
        <v>2883</v>
      </c>
      <c r="QUF1339" s="4" t="s">
        <v>2883</v>
      </c>
      <c r="QUG1339" s="4" t="s">
        <v>2883</v>
      </c>
      <c r="QUH1339" s="4" t="s">
        <v>2883</v>
      </c>
      <c r="QUI1339" s="4" t="s">
        <v>2883</v>
      </c>
      <c r="QUJ1339" s="4" t="s">
        <v>2883</v>
      </c>
      <c r="QUK1339" s="4" t="s">
        <v>2883</v>
      </c>
      <c r="QUL1339" s="4" t="s">
        <v>2883</v>
      </c>
      <c r="QUM1339" s="4" t="s">
        <v>2883</v>
      </c>
      <c r="QUN1339" s="4" t="s">
        <v>2883</v>
      </c>
      <c r="QUO1339" s="4" t="s">
        <v>2883</v>
      </c>
      <c r="QUP1339" s="4" t="s">
        <v>2883</v>
      </c>
      <c r="QUQ1339" s="4" t="s">
        <v>2883</v>
      </c>
      <c r="QUR1339" s="4" t="s">
        <v>2883</v>
      </c>
      <c r="QUS1339" s="4" t="s">
        <v>2883</v>
      </c>
      <c r="QUT1339" s="4" t="s">
        <v>2883</v>
      </c>
      <c r="QUU1339" s="4" t="s">
        <v>2883</v>
      </c>
      <c r="QUV1339" s="4" t="s">
        <v>2883</v>
      </c>
      <c r="QUW1339" s="4" t="s">
        <v>2883</v>
      </c>
      <c r="QUX1339" s="4" t="s">
        <v>2883</v>
      </c>
      <c r="QUY1339" s="4" t="s">
        <v>2883</v>
      </c>
      <c r="QUZ1339" s="4" t="s">
        <v>2883</v>
      </c>
      <c r="QVA1339" s="4" t="s">
        <v>2883</v>
      </c>
      <c r="QVB1339" s="4" t="s">
        <v>2883</v>
      </c>
      <c r="QVC1339" s="4" t="s">
        <v>2883</v>
      </c>
      <c r="QVD1339" s="4" t="s">
        <v>2883</v>
      </c>
      <c r="QVE1339" s="4" t="s">
        <v>2883</v>
      </c>
      <c r="QVF1339" s="4" t="s">
        <v>2883</v>
      </c>
      <c r="QVG1339" s="4" t="s">
        <v>2883</v>
      </c>
      <c r="QVH1339" s="4" t="s">
        <v>2883</v>
      </c>
      <c r="QVI1339" s="4" t="s">
        <v>2883</v>
      </c>
      <c r="QVJ1339" s="4" t="s">
        <v>2883</v>
      </c>
      <c r="QVK1339" s="4" t="s">
        <v>2883</v>
      </c>
      <c r="QVL1339" s="4" t="s">
        <v>2883</v>
      </c>
      <c r="QVM1339" s="4" t="s">
        <v>2883</v>
      </c>
      <c r="QVN1339" s="4" t="s">
        <v>2883</v>
      </c>
      <c r="QVO1339" s="4" t="s">
        <v>2883</v>
      </c>
      <c r="QVP1339" s="4" t="s">
        <v>2883</v>
      </c>
      <c r="QVQ1339" s="4" t="s">
        <v>2883</v>
      </c>
      <c r="QVR1339" s="4" t="s">
        <v>2883</v>
      </c>
      <c r="QVS1339" s="4" t="s">
        <v>2883</v>
      </c>
      <c r="QVT1339" s="4" t="s">
        <v>2883</v>
      </c>
      <c r="QVU1339" s="4" t="s">
        <v>2883</v>
      </c>
      <c r="QVV1339" s="4" t="s">
        <v>2883</v>
      </c>
      <c r="QVW1339" s="4" t="s">
        <v>2883</v>
      </c>
      <c r="QVX1339" s="4" t="s">
        <v>2883</v>
      </c>
      <c r="QVY1339" s="4" t="s">
        <v>2883</v>
      </c>
      <c r="QVZ1339" s="4" t="s">
        <v>2883</v>
      </c>
      <c r="QWA1339" s="4" t="s">
        <v>2883</v>
      </c>
      <c r="QWB1339" s="4" t="s">
        <v>2883</v>
      </c>
      <c r="QWC1339" s="4" t="s">
        <v>2883</v>
      </c>
      <c r="QWD1339" s="4" t="s">
        <v>2883</v>
      </c>
      <c r="QWE1339" s="4" t="s">
        <v>2883</v>
      </c>
      <c r="QWF1339" s="4" t="s">
        <v>2883</v>
      </c>
      <c r="QWG1339" s="4" t="s">
        <v>2883</v>
      </c>
      <c r="QWH1339" s="4" t="s">
        <v>2883</v>
      </c>
      <c r="QWI1339" s="4" t="s">
        <v>2883</v>
      </c>
      <c r="QWJ1339" s="4" t="s">
        <v>2883</v>
      </c>
      <c r="QWK1339" s="4" t="s">
        <v>2883</v>
      </c>
      <c r="QWL1339" s="4" t="s">
        <v>2883</v>
      </c>
      <c r="QWM1339" s="4" t="s">
        <v>2883</v>
      </c>
      <c r="QWN1339" s="4" t="s">
        <v>2883</v>
      </c>
      <c r="QWO1339" s="4" t="s">
        <v>2883</v>
      </c>
      <c r="QWP1339" s="4" t="s">
        <v>2883</v>
      </c>
      <c r="QWQ1339" s="4" t="s">
        <v>2883</v>
      </c>
      <c r="QWR1339" s="4" t="s">
        <v>2883</v>
      </c>
      <c r="QWS1339" s="4" t="s">
        <v>2883</v>
      </c>
      <c r="QWT1339" s="4" t="s">
        <v>2883</v>
      </c>
      <c r="QWU1339" s="4" t="s">
        <v>2883</v>
      </c>
      <c r="QWV1339" s="4" t="s">
        <v>2883</v>
      </c>
      <c r="QWW1339" s="4" t="s">
        <v>2883</v>
      </c>
      <c r="QWX1339" s="4" t="s">
        <v>2883</v>
      </c>
      <c r="QWY1339" s="4" t="s">
        <v>2883</v>
      </c>
      <c r="QWZ1339" s="4" t="s">
        <v>2883</v>
      </c>
      <c r="QXA1339" s="4" t="s">
        <v>2883</v>
      </c>
      <c r="QXB1339" s="4" t="s">
        <v>2883</v>
      </c>
      <c r="QXC1339" s="4" t="s">
        <v>2883</v>
      </c>
      <c r="QXD1339" s="4" t="s">
        <v>2883</v>
      </c>
      <c r="QXE1339" s="4" t="s">
        <v>2883</v>
      </c>
      <c r="QXF1339" s="4" t="s">
        <v>2883</v>
      </c>
      <c r="QXG1339" s="4" t="s">
        <v>2883</v>
      </c>
      <c r="QXH1339" s="4" t="s">
        <v>2883</v>
      </c>
      <c r="QXI1339" s="4" t="s">
        <v>2883</v>
      </c>
      <c r="QXJ1339" s="4" t="s">
        <v>2883</v>
      </c>
      <c r="QXK1339" s="4" t="s">
        <v>2883</v>
      </c>
      <c r="QXL1339" s="4" t="s">
        <v>2883</v>
      </c>
      <c r="QXM1339" s="4" t="s">
        <v>2883</v>
      </c>
      <c r="QXN1339" s="4" t="s">
        <v>2883</v>
      </c>
      <c r="QXO1339" s="4" t="s">
        <v>2883</v>
      </c>
      <c r="QXP1339" s="4" t="s">
        <v>2883</v>
      </c>
      <c r="QXQ1339" s="4" t="s">
        <v>2883</v>
      </c>
      <c r="QXR1339" s="4" t="s">
        <v>2883</v>
      </c>
      <c r="QXS1339" s="4" t="s">
        <v>2883</v>
      </c>
      <c r="QXT1339" s="4" t="s">
        <v>2883</v>
      </c>
      <c r="QXU1339" s="4" t="s">
        <v>2883</v>
      </c>
      <c r="QXV1339" s="4" t="s">
        <v>2883</v>
      </c>
      <c r="QXW1339" s="4" t="s">
        <v>2883</v>
      </c>
      <c r="QXX1339" s="4" t="s">
        <v>2883</v>
      </c>
      <c r="QXY1339" s="4" t="s">
        <v>2883</v>
      </c>
      <c r="QXZ1339" s="4" t="s">
        <v>2883</v>
      </c>
      <c r="QYA1339" s="4" t="s">
        <v>2883</v>
      </c>
      <c r="QYB1339" s="4" t="s">
        <v>2883</v>
      </c>
      <c r="QYC1339" s="4" t="s">
        <v>2883</v>
      </c>
      <c r="QYD1339" s="4" t="s">
        <v>2883</v>
      </c>
      <c r="QYE1339" s="4" t="s">
        <v>2883</v>
      </c>
      <c r="QYF1339" s="4" t="s">
        <v>2883</v>
      </c>
      <c r="QYG1339" s="4" t="s">
        <v>2883</v>
      </c>
      <c r="QYH1339" s="4" t="s">
        <v>2883</v>
      </c>
      <c r="QYI1339" s="4" t="s">
        <v>2883</v>
      </c>
      <c r="QYJ1339" s="4" t="s">
        <v>2883</v>
      </c>
      <c r="QYK1339" s="4" t="s">
        <v>2883</v>
      </c>
      <c r="QYL1339" s="4" t="s">
        <v>2883</v>
      </c>
      <c r="QYM1339" s="4" t="s">
        <v>2883</v>
      </c>
      <c r="QYN1339" s="4" t="s">
        <v>2883</v>
      </c>
      <c r="QYO1339" s="4" t="s">
        <v>2883</v>
      </c>
      <c r="QYP1339" s="4" t="s">
        <v>2883</v>
      </c>
      <c r="QYQ1339" s="4" t="s">
        <v>2883</v>
      </c>
      <c r="QYR1339" s="4" t="s">
        <v>2883</v>
      </c>
      <c r="QYS1339" s="4" t="s">
        <v>2883</v>
      </c>
      <c r="QYT1339" s="4" t="s">
        <v>2883</v>
      </c>
      <c r="QYU1339" s="4" t="s">
        <v>2883</v>
      </c>
      <c r="QYV1339" s="4" t="s">
        <v>2883</v>
      </c>
      <c r="QYW1339" s="4" t="s">
        <v>2883</v>
      </c>
      <c r="QYX1339" s="4" t="s">
        <v>2883</v>
      </c>
      <c r="QYY1339" s="4" t="s">
        <v>2883</v>
      </c>
      <c r="QYZ1339" s="4" t="s">
        <v>2883</v>
      </c>
      <c r="QZA1339" s="4" t="s">
        <v>2883</v>
      </c>
      <c r="QZB1339" s="4" t="s">
        <v>2883</v>
      </c>
      <c r="QZC1339" s="4" t="s">
        <v>2883</v>
      </c>
      <c r="QZD1339" s="4" t="s">
        <v>2883</v>
      </c>
      <c r="QZE1339" s="4" t="s">
        <v>2883</v>
      </c>
      <c r="QZF1339" s="4" t="s">
        <v>2883</v>
      </c>
      <c r="QZG1339" s="4" t="s">
        <v>2883</v>
      </c>
      <c r="QZH1339" s="4" t="s">
        <v>2883</v>
      </c>
      <c r="QZI1339" s="4" t="s">
        <v>2883</v>
      </c>
      <c r="QZJ1339" s="4" t="s">
        <v>2883</v>
      </c>
      <c r="QZK1339" s="4" t="s">
        <v>2883</v>
      </c>
      <c r="QZL1339" s="4" t="s">
        <v>2883</v>
      </c>
      <c r="QZM1339" s="4" t="s">
        <v>2883</v>
      </c>
      <c r="QZN1339" s="4" t="s">
        <v>2883</v>
      </c>
      <c r="QZO1339" s="4" t="s">
        <v>2883</v>
      </c>
      <c r="QZP1339" s="4" t="s">
        <v>2883</v>
      </c>
      <c r="QZQ1339" s="4" t="s">
        <v>2883</v>
      </c>
      <c r="QZR1339" s="4" t="s">
        <v>2883</v>
      </c>
      <c r="QZS1339" s="4" t="s">
        <v>2883</v>
      </c>
      <c r="QZT1339" s="4" t="s">
        <v>2883</v>
      </c>
      <c r="QZU1339" s="4" t="s">
        <v>2883</v>
      </c>
      <c r="QZV1339" s="4" t="s">
        <v>2883</v>
      </c>
      <c r="QZW1339" s="4" t="s">
        <v>2883</v>
      </c>
      <c r="QZX1339" s="4" t="s">
        <v>2883</v>
      </c>
      <c r="QZY1339" s="4" t="s">
        <v>2883</v>
      </c>
      <c r="QZZ1339" s="4" t="s">
        <v>2883</v>
      </c>
      <c r="RAA1339" s="4" t="s">
        <v>2883</v>
      </c>
      <c r="RAB1339" s="4" t="s">
        <v>2883</v>
      </c>
      <c r="RAC1339" s="4" t="s">
        <v>2883</v>
      </c>
      <c r="RAD1339" s="4" t="s">
        <v>2883</v>
      </c>
      <c r="RAE1339" s="4" t="s">
        <v>2883</v>
      </c>
      <c r="RAF1339" s="4" t="s">
        <v>2883</v>
      </c>
      <c r="RAG1339" s="4" t="s">
        <v>2883</v>
      </c>
      <c r="RAH1339" s="4" t="s">
        <v>2883</v>
      </c>
      <c r="RAI1339" s="4" t="s">
        <v>2883</v>
      </c>
      <c r="RAJ1339" s="4" t="s">
        <v>2883</v>
      </c>
      <c r="RAK1339" s="4" t="s">
        <v>2883</v>
      </c>
      <c r="RAL1339" s="4" t="s">
        <v>2883</v>
      </c>
      <c r="RAM1339" s="4" t="s">
        <v>2883</v>
      </c>
      <c r="RAN1339" s="4" t="s">
        <v>2883</v>
      </c>
      <c r="RAO1339" s="4" t="s">
        <v>2883</v>
      </c>
      <c r="RAP1339" s="4" t="s">
        <v>2883</v>
      </c>
      <c r="RAQ1339" s="4" t="s">
        <v>2883</v>
      </c>
      <c r="RAR1339" s="4" t="s">
        <v>2883</v>
      </c>
      <c r="RAS1339" s="4" t="s">
        <v>2883</v>
      </c>
      <c r="RAT1339" s="4" t="s">
        <v>2883</v>
      </c>
      <c r="RAU1339" s="4" t="s">
        <v>2883</v>
      </c>
      <c r="RAV1339" s="4" t="s">
        <v>2883</v>
      </c>
      <c r="RAW1339" s="4" t="s">
        <v>2883</v>
      </c>
      <c r="RAX1339" s="4" t="s">
        <v>2883</v>
      </c>
      <c r="RAY1339" s="4" t="s">
        <v>2883</v>
      </c>
      <c r="RAZ1339" s="4" t="s">
        <v>2883</v>
      </c>
      <c r="RBA1339" s="4" t="s">
        <v>2883</v>
      </c>
      <c r="RBB1339" s="4" t="s">
        <v>2883</v>
      </c>
      <c r="RBC1339" s="4" t="s">
        <v>2883</v>
      </c>
      <c r="RBD1339" s="4" t="s">
        <v>2883</v>
      </c>
      <c r="RBE1339" s="4" t="s">
        <v>2883</v>
      </c>
      <c r="RBF1339" s="4" t="s">
        <v>2883</v>
      </c>
      <c r="RBG1339" s="4" t="s">
        <v>2883</v>
      </c>
      <c r="RBH1339" s="4" t="s">
        <v>2883</v>
      </c>
      <c r="RBI1339" s="4" t="s">
        <v>2883</v>
      </c>
      <c r="RBJ1339" s="4" t="s">
        <v>2883</v>
      </c>
      <c r="RBK1339" s="4" t="s">
        <v>2883</v>
      </c>
      <c r="RBL1339" s="4" t="s">
        <v>2883</v>
      </c>
      <c r="RBM1339" s="4" t="s">
        <v>2883</v>
      </c>
      <c r="RBN1339" s="4" t="s">
        <v>2883</v>
      </c>
      <c r="RBO1339" s="4" t="s">
        <v>2883</v>
      </c>
      <c r="RBP1339" s="4" t="s">
        <v>2883</v>
      </c>
      <c r="RBQ1339" s="4" t="s">
        <v>2883</v>
      </c>
      <c r="RBR1339" s="4" t="s">
        <v>2883</v>
      </c>
      <c r="RBS1339" s="4" t="s">
        <v>2883</v>
      </c>
      <c r="RBT1339" s="4" t="s">
        <v>2883</v>
      </c>
      <c r="RBU1339" s="4" t="s">
        <v>2883</v>
      </c>
      <c r="RBV1339" s="4" t="s">
        <v>2883</v>
      </c>
      <c r="RBW1339" s="4" t="s">
        <v>2883</v>
      </c>
      <c r="RBX1339" s="4" t="s">
        <v>2883</v>
      </c>
      <c r="RBY1339" s="4" t="s">
        <v>2883</v>
      </c>
      <c r="RBZ1339" s="4" t="s">
        <v>2883</v>
      </c>
      <c r="RCA1339" s="4" t="s">
        <v>2883</v>
      </c>
      <c r="RCB1339" s="4" t="s">
        <v>2883</v>
      </c>
      <c r="RCC1339" s="4" t="s">
        <v>2883</v>
      </c>
      <c r="RCD1339" s="4" t="s">
        <v>2883</v>
      </c>
      <c r="RCE1339" s="4" t="s">
        <v>2883</v>
      </c>
      <c r="RCF1339" s="4" t="s">
        <v>2883</v>
      </c>
      <c r="RCG1339" s="4" t="s">
        <v>2883</v>
      </c>
      <c r="RCH1339" s="4" t="s">
        <v>2883</v>
      </c>
      <c r="RCI1339" s="4" t="s">
        <v>2883</v>
      </c>
      <c r="RCJ1339" s="4" t="s">
        <v>2883</v>
      </c>
      <c r="RCK1339" s="4" t="s">
        <v>2883</v>
      </c>
      <c r="RCL1339" s="4" t="s">
        <v>2883</v>
      </c>
      <c r="RCM1339" s="4" t="s">
        <v>2883</v>
      </c>
      <c r="RCN1339" s="4" t="s">
        <v>2883</v>
      </c>
      <c r="RCO1339" s="4" t="s">
        <v>2883</v>
      </c>
      <c r="RCP1339" s="4" t="s">
        <v>2883</v>
      </c>
      <c r="RCQ1339" s="4" t="s">
        <v>2883</v>
      </c>
      <c r="RCR1339" s="4" t="s">
        <v>2883</v>
      </c>
      <c r="RCS1339" s="4" t="s">
        <v>2883</v>
      </c>
      <c r="RCT1339" s="4" t="s">
        <v>2883</v>
      </c>
      <c r="RCU1339" s="4" t="s">
        <v>2883</v>
      </c>
      <c r="RCV1339" s="4" t="s">
        <v>2883</v>
      </c>
      <c r="RCW1339" s="4" t="s">
        <v>2883</v>
      </c>
      <c r="RCX1339" s="4" t="s">
        <v>2883</v>
      </c>
      <c r="RCY1339" s="4" t="s">
        <v>2883</v>
      </c>
      <c r="RCZ1339" s="4" t="s">
        <v>2883</v>
      </c>
      <c r="RDA1339" s="4" t="s">
        <v>2883</v>
      </c>
      <c r="RDB1339" s="4" t="s">
        <v>2883</v>
      </c>
      <c r="RDC1339" s="4" t="s">
        <v>2883</v>
      </c>
      <c r="RDD1339" s="4" t="s">
        <v>2883</v>
      </c>
      <c r="RDE1339" s="4" t="s">
        <v>2883</v>
      </c>
      <c r="RDF1339" s="4" t="s">
        <v>2883</v>
      </c>
      <c r="RDG1339" s="4" t="s">
        <v>2883</v>
      </c>
      <c r="RDH1339" s="4" t="s">
        <v>2883</v>
      </c>
      <c r="RDI1339" s="4" t="s">
        <v>2883</v>
      </c>
      <c r="RDJ1339" s="4" t="s">
        <v>2883</v>
      </c>
      <c r="RDK1339" s="4" t="s">
        <v>2883</v>
      </c>
      <c r="RDL1339" s="4" t="s">
        <v>2883</v>
      </c>
      <c r="RDM1339" s="4" t="s">
        <v>2883</v>
      </c>
      <c r="RDN1339" s="4" t="s">
        <v>2883</v>
      </c>
      <c r="RDO1339" s="4" t="s">
        <v>2883</v>
      </c>
      <c r="RDP1339" s="4" t="s">
        <v>2883</v>
      </c>
      <c r="RDQ1339" s="4" t="s">
        <v>2883</v>
      </c>
      <c r="RDR1339" s="4" t="s">
        <v>2883</v>
      </c>
      <c r="RDS1339" s="4" t="s">
        <v>2883</v>
      </c>
      <c r="RDT1339" s="4" t="s">
        <v>2883</v>
      </c>
      <c r="RDU1339" s="4" t="s">
        <v>2883</v>
      </c>
      <c r="RDV1339" s="4" t="s">
        <v>2883</v>
      </c>
      <c r="RDW1339" s="4" t="s">
        <v>2883</v>
      </c>
      <c r="RDX1339" s="4" t="s">
        <v>2883</v>
      </c>
      <c r="RDY1339" s="4" t="s">
        <v>2883</v>
      </c>
      <c r="RDZ1339" s="4" t="s">
        <v>2883</v>
      </c>
      <c r="REA1339" s="4" t="s">
        <v>2883</v>
      </c>
      <c r="REB1339" s="4" t="s">
        <v>2883</v>
      </c>
      <c r="REC1339" s="4" t="s">
        <v>2883</v>
      </c>
      <c r="RED1339" s="4" t="s">
        <v>2883</v>
      </c>
      <c r="REE1339" s="4" t="s">
        <v>2883</v>
      </c>
      <c r="REF1339" s="4" t="s">
        <v>2883</v>
      </c>
      <c r="REG1339" s="4" t="s">
        <v>2883</v>
      </c>
      <c r="REH1339" s="4" t="s">
        <v>2883</v>
      </c>
      <c r="REI1339" s="4" t="s">
        <v>2883</v>
      </c>
      <c r="REJ1339" s="4" t="s">
        <v>2883</v>
      </c>
      <c r="REK1339" s="4" t="s">
        <v>2883</v>
      </c>
      <c r="REL1339" s="4" t="s">
        <v>2883</v>
      </c>
      <c r="REM1339" s="4" t="s">
        <v>2883</v>
      </c>
      <c r="REN1339" s="4" t="s">
        <v>2883</v>
      </c>
      <c r="REO1339" s="4" t="s">
        <v>2883</v>
      </c>
      <c r="REP1339" s="4" t="s">
        <v>2883</v>
      </c>
      <c r="REQ1339" s="4" t="s">
        <v>2883</v>
      </c>
      <c r="RER1339" s="4" t="s">
        <v>2883</v>
      </c>
      <c r="RES1339" s="4" t="s">
        <v>2883</v>
      </c>
      <c r="RET1339" s="4" t="s">
        <v>2883</v>
      </c>
      <c r="REU1339" s="4" t="s">
        <v>2883</v>
      </c>
      <c r="REV1339" s="4" t="s">
        <v>2883</v>
      </c>
      <c r="REW1339" s="4" t="s">
        <v>2883</v>
      </c>
      <c r="REX1339" s="4" t="s">
        <v>2883</v>
      </c>
      <c r="REY1339" s="4" t="s">
        <v>2883</v>
      </c>
      <c r="REZ1339" s="4" t="s">
        <v>2883</v>
      </c>
      <c r="RFA1339" s="4" t="s">
        <v>2883</v>
      </c>
      <c r="RFB1339" s="4" t="s">
        <v>2883</v>
      </c>
      <c r="RFC1339" s="4" t="s">
        <v>2883</v>
      </c>
      <c r="RFD1339" s="4" t="s">
        <v>2883</v>
      </c>
      <c r="RFE1339" s="4" t="s">
        <v>2883</v>
      </c>
      <c r="RFF1339" s="4" t="s">
        <v>2883</v>
      </c>
      <c r="RFG1339" s="4" t="s">
        <v>2883</v>
      </c>
      <c r="RFH1339" s="4" t="s">
        <v>2883</v>
      </c>
      <c r="RFI1339" s="4" t="s">
        <v>2883</v>
      </c>
      <c r="RFJ1339" s="4" t="s">
        <v>2883</v>
      </c>
      <c r="RFK1339" s="4" t="s">
        <v>2883</v>
      </c>
      <c r="RFL1339" s="4" t="s">
        <v>2883</v>
      </c>
      <c r="RFM1339" s="4" t="s">
        <v>2883</v>
      </c>
      <c r="RFN1339" s="4" t="s">
        <v>2883</v>
      </c>
      <c r="RFO1339" s="4" t="s">
        <v>2883</v>
      </c>
      <c r="RFP1339" s="4" t="s">
        <v>2883</v>
      </c>
      <c r="RFQ1339" s="4" t="s">
        <v>2883</v>
      </c>
      <c r="RFR1339" s="4" t="s">
        <v>2883</v>
      </c>
      <c r="RFS1339" s="4" t="s">
        <v>2883</v>
      </c>
      <c r="RFT1339" s="4" t="s">
        <v>2883</v>
      </c>
      <c r="RFU1339" s="4" t="s">
        <v>2883</v>
      </c>
      <c r="RFV1339" s="4" t="s">
        <v>2883</v>
      </c>
      <c r="RFW1339" s="4" t="s">
        <v>2883</v>
      </c>
      <c r="RFX1339" s="4" t="s">
        <v>2883</v>
      </c>
      <c r="RFY1339" s="4" t="s">
        <v>2883</v>
      </c>
      <c r="RFZ1339" s="4" t="s">
        <v>2883</v>
      </c>
      <c r="RGA1339" s="4" t="s">
        <v>2883</v>
      </c>
      <c r="RGB1339" s="4" t="s">
        <v>2883</v>
      </c>
      <c r="RGC1339" s="4" t="s">
        <v>2883</v>
      </c>
      <c r="RGD1339" s="4" t="s">
        <v>2883</v>
      </c>
      <c r="RGE1339" s="4" t="s">
        <v>2883</v>
      </c>
      <c r="RGF1339" s="4" t="s">
        <v>2883</v>
      </c>
      <c r="RGG1339" s="4" t="s">
        <v>2883</v>
      </c>
      <c r="RGH1339" s="4" t="s">
        <v>2883</v>
      </c>
      <c r="RGI1339" s="4" t="s">
        <v>2883</v>
      </c>
      <c r="RGJ1339" s="4" t="s">
        <v>2883</v>
      </c>
      <c r="RGK1339" s="4" t="s">
        <v>2883</v>
      </c>
      <c r="RGL1339" s="4" t="s">
        <v>2883</v>
      </c>
      <c r="RGM1339" s="4" t="s">
        <v>2883</v>
      </c>
      <c r="RGN1339" s="4" t="s">
        <v>2883</v>
      </c>
      <c r="RGO1339" s="4" t="s">
        <v>2883</v>
      </c>
      <c r="RGP1339" s="4" t="s">
        <v>2883</v>
      </c>
      <c r="RGQ1339" s="4" t="s">
        <v>2883</v>
      </c>
      <c r="RGR1339" s="4" t="s">
        <v>2883</v>
      </c>
      <c r="RGS1339" s="4" t="s">
        <v>2883</v>
      </c>
      <c r="RGT1339" s="4" t="s">
        <v>2883</v>
      </c>
      <c r="RGU1339" s="4" t="s">
        <v>2883</v>
      </c>
      <c r="RGV1339" s="4" t="s">
        <v>2883</v>
      </c>
      <c r="RGW1339" s="4" t="s">
        <v>2883</v>
      </c>
      <c r="RGX1339" s="4" t="s">
        <v>2883</v>
      </c>
      <c r="RGY1339" s="4" t="s">
        <v>2883</v>
      </c>
      <c r="RGZ1339" s="4" t="s">
        <v>2883</v>
      </c>
      <c r="RHA1339" s="4" t="s">
        <v>2883</v>
      </c>
      <c r="RHB1339" s="4" t="s">
        <v>2883</v>
      </c>
      <c r="RHC1339" s="4" t="s">
        <v>2883</v>
      </c>
      <c r="RHD1339" s="4" t="s">
        <v>2883</v>
      </c>
      <c r="RHE1339" s="4" t="s">
        <v>2883</v>
      </c>
      <c r="RHF1339" s="4" t="s">
        <v>2883</v>
      </c>
      <c r="RHG1339" s="4" t="s">
        <v>2883</v>
      </c>
      <c r="RHH1339" s="4" t="s">
        <v>2883</v>
      </c>
      <c r="RHI1339" s="4" t="s">
        <v>2883</v>
      </c>
      <c r="RHJ1339" s="4" t="s">
        <v>2883</v>
      </c>
      <c r="RHK1339" s="4" t="s">
        <v>2883</v>
      </c>
      <c r="RHL1339" s="4" t="s">
        <v>2883</v>
      </c>
      <c r="RHM1339" s="4" t="s">
        <v>2883</v>
      </c>
      <c r="RHN1339" s="4" t="s">
        <v>2883</v>
      </c>
      <c r="RHO1339" s="4" t="s">
        <v>2883</v>
      </c>
      <c r="RHP1339" s="4" t="s">
        <v>2883</v>
      </c>
      <c r="RHQ1339" s="4" t="s">
        <v>2883</v>
      </c>
      <c r="RHR1339" s="4" t="s">
        <v>2883</v>
      </c>
      <c r="RHS1339" s="4" t="s">
        <v>2883</v>
      </c>
      <c r="RHT1339" s="4" t="s">
        <v>2883</v>
      </c>
      <c r="RHU1339" s="4" t="s">
        <v>2883</v>
      </c>
      <c r="RHV1339" s="4" t="s">
        <v>2883</v>
      </c>
      <c r="RHW1339" s="4" t="s">
        <v>2883</v>
      </c>
      <c r="RHX1339" s="4" t="s">
        <v>2883</v>
      </c>
      <c r="RHY1339" s="4" t="s">
        <v>2883</v>
      </c>
      <c r="RHZ1339" s="4" t="s">
        <v>2883</v>
      </c>
      <c r="RIA1339" s="4" t="s">
        <v>2883</v>
      </c>
      <c r="RIB1339" s="4" t="s">
        <v>2883</v>
      </c>
      <c r="RIC1339" s="4" t="s">
        <v>2883</v>
      </c>
      <c r="RID1339" s="4" t="s">
        <v>2883</v>
      </c>
      <c r="RIE1339" s="4" t="s">
        <v>2883</v>
      </c>
      <c r="RIF1339" s="4" t="s">
        <v>2883</v>
      </c>
      <c r="RIG1339" s="4" t="s">
        <v>2883</v>
      </c>
      <c r="RIH1339" s="4" t="s">
        <v>2883</v>
      </c>
      <c r="RII1339" s="4" t="s">
        <v>2883</v>
      </c>
      <c r="RIJ1339" s="4" t="s">
        <v>2883</v>
      </c>
      <c r="RIK1339" s="4" t="s">
        <v>2883</v>
      </c>
      <c r="RIL1339" s="4" t="s">
        <v>2883</v>
      </c>
      <c r="RIM1339" s="4" t="s">
        <v>2883</v>
      </c>
      <c r="RIN1339" s="4" t="s">
        <v>2883</v>
      </c>
      <c r="RIO1339" s="4" t="s">
        <v>2883</v>
      </c>
      <c r="RIP1339" s="4" t="s">
        <v>2883</v>
      </c>
      <c r="RIQ1339" s="4" t="s">
        <v>2883</v>
      </c>
      <c r="RIR1339" s="4" t="s">
        <v>2883</v>
      </c>
      <c r="RIS1339" s="4" t="s">
        <v>2883</v>
      </c>
      <c r="RIT1339" s="4" t="s">
        <v>2883</v>
      </c>
      <c r="RIU1339" s="4" t="s">
        <v>2883</v>
      </c>
      <c r="RIV1339" s="4" t="s">
        <v>2883</v>
      </c>
      <c r="RIW1339" s="4" t="s">
        <v>2883</v>
      </c>
      <c r="RIX1339" s="4" t="s">
        <v>2883</v>
      </c>
      <c r="RIY1339" s="4" t="s">
        <v>2883</v>
      </c>
      <c r="RIZ1339" s="4" t="s">
        <v>2883</v>
      </c>
      <c r="RJA1339" s="4" t="s">
        <v>2883</v>
      </c>
      <c r="RJB1339" s="4" t="s">
        <v>2883</v>
      </c>
      <c r="RJC1339" s="4" t="s">
        <v>2883</v>
      </c>
      <c r="RJD1339" s="4" t="s">
        <v>2883</v>
      </c>
      <c r="RJE1339" s="4" t="s">
        <v>2883</v>
      </c>
      <c r="RJF1339" s="4" t="s">
        <v>2883</v>
      </c>
      <c r="RJG1339" s="4" t="s">
        <v>2883</v>
      </c>
      <c r="RJH1339" s="4" t="s">
        <v>2883</v>
      </c>
      <c r="RJI1339" s="4" t="s">
        <v>2883</v>
      </c>
      <c r="RJJ1339" s="4" t="s">
        <v>2883</v>
      </c>
      <c r="RJK1339" s="4" t="s">
        <v>2883</v>
      </c>
      <c r="RJL1339" s="4" t="s">
        <v>2883</v>
      </c>
      <c r="RJM1339" s="4" t="s">
        <v>2883</v>
      </c>
      <c r="RJN1339" s="4" t="s">
        <v>2883</v>
      </c>
      <c r="RJO1339" s="4" t="s">
        <v>2883</v>
      </c>
      <c r="RJP1339" s="4" t="s">
        <v>2883</v>
      </c>
      <c r="RJQ1339" s="4" t="s">
        <v>2883</v>
      </c>
      <c r="RJR1339" s="4" t="s">
        <v>2883</v>
      </c>
      <c r="RJS1339" s="4" t="s">
        <v>2883</v>
      </c>
      <c r="RJT1339" s="4" t="s">
        <v>2883</v>
      </c>
      <c r="RJU1339" s="4" t="s">
        <v>2883</v>
      </c>
      <c r="RJV1339" s="4" t="s">
        <v>2883</v>
      </c>
      <c r="RJW1339" s="4" t="s">
        <v>2883</v>
      </c>
      <c r="RJX1339" s="4" t="s">
        <v>2883</v>
      </c>
      <c r="RJY1339" s="4" t="s">
        <v>2883</v>
      </c>
      <c r="RJZ1339" s="4" t="s">
        <v>2883</v>
      </c>
      <c r="RKA1339" s="4" t="s">
        <v>2883</v>
      </c>
      <c r="RKB1339" s="4" t="s">
        <v>2883</v>
      </c>
      <c r="RKC1339" s="4" t="s">
        <v>2883</v>
      </c>
      <c r="RKD1339" s="4" t="s">
        <v>2883</v>
      </c>
      <c r="RKE1339" s="4" t="s">
        <v>2883</v>
      </c>
      <c r="RKF1339" s="4" t="s">
        <v>2883</v>
      </c>
      <c r="RKG1339" s="4" t="s">
        <v>2883</v>
      </c>
      <c r="RKH1339" s="4" t="s">
        <v>2883</v>
      </c>
      <c r="RKI1339" s="4" t="s">
        <v>2883</v>
      </c>
      <c r="RKJ1339" s="4" t="s">
        <v>2883</v>
      </c>
      <c r="RKK1339" s="4" t="s">
        <v>2883</v>
      </c>
      <c r="RKL1339" s="4" t="s">
        <v>2883</v>
      </c>
      <c r="RKM1339" s="4" t="s">
        <v>2883</v>
      </c>
      <c r="RKN1339" s="4" t="s">
        <v>2883</v>
      </c>
      <c r="RKO1339" s="4" t="s">
        <v>2883</v>
      </c>
      <c r="RKP1339" s="4" t="s">
        <v>2883</v>
      </c>
      <c r="RKQ1339" s="4" t="s">
        <v>2883</v>
      </c>
      <c r="RKR1339" s="4" t="s">
        <v>2883</v>
      </c>
      <c r="RKS1339" s="4" t="s">
        <v>2883</v>
      </c>
      <c r="RKT1339" s="4" t="s">
        <v>2883</v>
      </c>
      <c r="RKU1339" s="4" t="s">
        <v>2883</v>
      </c>
      <c r="RKV1339" s="4" t="s">
        <v>2883</v>
      </c>
      <c r="RKW1339" s="4" t="s">
        <v>2883</v>
      </c>
      <c r="RKX1339" s="4" t="s">
        <v>2883</v>
      </c>
      <c r="RKY1339" s="4" t="s">
        <v>2883</v>
      </c>
      <c r="RKZ1339" s="4" t="s">
        <v>2883</v>
      </c>
      <c r="RLA1339" s="4" t="s">
        <v>2883</v>
      </c>
      <c r="RLB1339" s="4" t="s">
        <v>2883</v>
      </c>
      <c r="RLC1339" s="4" t="s">
        <v>2883</v>
      </c>
      <c r="RLD1339" s="4" t="s">
        <v>2883</v>
      </c>
      <c r="RLE1339" s="4" t="s">
        <v>2883</v>
      </c>
      <c r="RLF1339" s="4" t="s">
        <v>2883</v>
      </c>
      <c r="RLG1339" s="4" t="s">
        <v>2883</v>
      </c>
      <c r="RLH1339" s="4" t="s">
        <v>2883</v>
      </c>
      <c r="RLI1339" s="4" t="s">
        <v>2883</v>
      </c>
      <c r="RLJ1339" s="4" t="s">
        <v>2883</v>
      </c>
      <c r="RLK1339" s="4" t="s">
        <v>2883</v>
      </c>
      <c r="RLL1339" s="4" t="s">
        <v>2883</v>
      </c>
      <c r="RLM1339" s="4" t="s">
        <v>2883</v>
      </c>
      <c r="RLN1339" s="4" t="s">
        <v>2883</v>
      </c>
      <c r="RLO1339" s="4" t="s">
        <v>2883</v>
      </c>
      <c r="RLP1339" s="4" t="s">
        <v>2883</v>
      </c>
      <c r="RLQ1339" s="4" t="s">
        <v>2883</v>
      </c>
      <c r="RLR1339" s="4" t="s">
        <v>2883</v>
      </c>
      <c r="RLS1339" s="4" t="s">
        <v>2883</v>
      </c>
      <c r="RLT1339" s="4" t="s">
        <v>2883</v>
      </c>
      <c r="RLU1339" s="4" t="s">
        <v>2883</v>
      </c>
      <c r="RLV1339" s="4" t="s">
        <v>2883</v>
      </c>
      <c r="RLW1339" s="4" t="s">
        <v>2883</v>
      </c>
      <c r="RLX1339" s="4" t="s">
        <v>2883</v>
      </c>
      <c r="RLY1339" s="4" t="s">
        <v>2883</v>
      </c>
      <c r="RLZ1339" s="4" t="s">
        <v>2883</v>
      </c>
      <c r="RMA1339" s="4" t="s">
        <v>2883</v>
      </c>
      <c r="RMB1339" s="4" t="s">
        <v>2883</v>
      </c>
      <c r="RMC1339" s="4" t="s">
        <v>2883</v>
      </c>
      <c r="RMD1339" s="4" t="s">
        <v>2883</v>
      </c>
      <c r="RME1339" s="4" t="s">
        <v>2883</v>
      </c>
      <c r="RMF1339" s="4" t="s">
        <v>2883</v>
      </c>
      <c r="RMG1339" s="4" t="s">
        <v>2883</v>
      </c>
      <c r="RMH1339" s="4" t="s">
        <v>2883</v>
      </c>
      <c r="RMI1339" s="4" t="s">
        <v>2883</v>
      </c>
      <c r="RMJ1339" s="4" t="s">
        <v>2883</v>
      </c>
      <c r="RMK1339" s="4" t="s">
        <v>2883</v>
      </c>
      <c r="RML1339" s="4" t="s">
        <v>2883</v>
      </c>
      <c r="RMM1339" s="4" t="s">
        <v>2883</v>
      </c>
      <c r="RMN1339" s="4" t="s">
        <v>2883</v>
      </c>
      <c r="RMO1339" s="4" t="s">
        <v>2883</v>
      </c>
      <c r="RMP1339" s="4" t="s">
        <v>2883</v>
      </c>
      <c r="RMQ1339" s="4" t="s">
        <v>2883</v>
      </c>
      <c r="RMR1339" s="4" t="s">
        <v>2883</v>
      </c>
      <c r="RMS1339" s="4" t="s">
        <v>2883</v>
      </c>
      <c r="RMT1339" s="4" t="s">
        <v>2883</v>
      </c>
      <c r="RMU1339" s="4" t="s">
        <v>2883</v>
      </c>
      <c r="RMV1339" s="4" t="s">
        <v>2883</v>
      </c>
      <c r="RMW1339" s="4" t="s">
        <v>2883</v>
      </c>
      <c r="RMX1339" s="4" t="s">
        <v>2883</v>
      </c>
      <c r="RMY1339" s="4" t="s">
        <v>2883</v>
      </c>
      <c r="RMZ1339" s="4" t="s">
        <v>2883</v>
      </c>
      <c r="RNA1339" s="4" t="s">
        <v>2883</v>
      </c>
      <c r="RNB1339" s="4" t="s">
        <v>2883</v>
      </c>
      <c r="RNC1339" s="4" t="s">
        <v>2883</v>
      </c>
      <c r="RND1339" s="4" t="s">
        <v>2883</v>
      </c>
      <c r="RNE1339" s="4" t="s">
        <v>2883</v>
      </c>
      <c r="RNF1339" s="4" t="s">
        <v>2883</v>
      </c>
      <c r="RNG1339" s="4" t="s">
        <v>2883</v>
      </c>
      <c r="RNH1339" s="4" t="s">
        <v>2883</v>
      </c>
      <c r="RNI1339" s="4" t="s">
        <v>2883</v>
      </c>
      <c r="RNJ1339" s="4" t="s">
        <v>2883</v>
      </c>
      <c r="RNK1339" s="4" t="s">
        <v>2883</v>
      </c>
      <c r="RNL1339" s="4" t="s">
        <v>2883</v>
      </c>
      <c r="RNM1339" s="4" t="s">
        <v>2883</v>
      </c>
      <c r="RNN1339" s="4" t="s">
        <v>2883</v>
      </c>
      <c r="RNO1339" s="4" t="s">
        <v>2883</v>
      </c>
      <c r="RNP1339" s="4" t="s">
        <v>2883</v>
      </c>
      <c r="RNQ1339" s="4" t="s">
        <v>2883</v>
      </c>
      <c r="RNR1339" s="4" t="s">
        <v>2883</v>
      </c>
      <c r="RNS1339" s="4" t="s">
        <v>2883</v>
      </c>
      <c r="RNT1339" s="4" t="s">
        <v>2883</v>
      </c>
      <c r="RNU1339" s="4" t="s">
        <v>2883</v>
      </c>
      <c r="RNV1339" s="4" t="s">
        <v>2883</v>
      </c>
      <c r="RNW1339" s="4" t="s">
        <v>2883</v>
      </c>
      <c r="RNX1339" s="4" t="s">
        <v>2883</v>
      </c>
      <c r="RNY1339" s="4" t="s">
        <v>2883</v>
      </c>
      <c r="RNZ1339" s="4" t="s">
        <v>2883</v>
      </c>
      <c r="ROA1339" s="4" t="s">
        <v>2883</v>
      </c>
      <c r="ROB1339" s="4" t="s">
        <v>2883</v>
      </c>
      <c r="ROC1339" s="4" t="s">
        <v>2883</v>
      </c>
      <c r="ROD1339" s="4" t="s">
        <v>2883</v>
      </c>
      <c r="ROE1339" s="4" t="s">
        <v>2883</v>
      </c>
      <c r="ROF1339" s="4" t="s">
        <v>2883</v>
      </c>
      <c r="ROG1339" s="4" t="s">
        <v>2883</v>
      </c>
      <c r="ROH1339" s="4" t="s">
        <v>2883</v>
      </c>
      <c r="ROI1339" s="4" t="s">
        <v>2883</v>
      </c>
      <c r="ROJ1339" s="4" t="s">
        <v>2883</v>
      </c>
      <c r="ROK1339" s="4" t="s">
        <v>2883</v>
      </c>
      <c r="ROL1339" s="4" t="s">
        <v>2883</v>
      </c>
      <c r="ROM1339" s="4" t="s">
        <v>2883</v>
      </c>
      <c r="RON1339" s="4" t="s">
        <v>2883</v>
      </c>
      <c r="ROO1339" s="4" t="s">
        <v>2883</v>
      </c>
      <c r="ROP1339" s="4" t="s">
        <v>2883</v>
      </c>
      <c r="ROQ1339" s="4" t="s">
        <v>2883</v>
      </c>
      <c r="ROR1339" s="4" t="s">
        <v>2883</v>
      </c>
      <c r="ROS1339" s="4" t="s">
        <v>2883</v>
      </c>
      <c r="ROT1339" s="4" t="s">
        <v>2883</v>
      </c>
      <c r="ROU1339" s="4" t="s">
        <v>2883</v>
      </c>
      <c r="ROV1339" s="4" t="s">
        <v>2883</v>
      </c>
      <c r="ROW1339" s="4" t="s">
        <v>2883</v>
      </c>
      <c r="ROX1339" s="4" t="s">
        <v>2883</v>
      </c>
      <c r="ROY1339" s="4" t="s">
        <v>2883</v>
      </c>
      <c r="ROZ1339" s="4" t="s">
        <v>2883</v>
      </c>
      <c r="RPA1339" s="4" t="s">
        <v>2883</v>
      </c>
      <c r="RPB1339" s="4" t="s">
        <v>2883</v>
      </c>
      <c r="RPC1339" s="4" t="s">
        <v>2883</v>
      </c>
      <c r="RPD1339" s="4" t="s">
        <v>2883</v>
      </c>
      <c r="RPE1339" s="4" t="s">
        <v>2883</v>
      </c>
      <c r="RPF1339" s="4" t="s">
        <v>2883</v>
      </c>
      <c r="RPG1339" s="4" t="s">
        <v>2883</v>
      </c>
      <c r="RPH1339" s="4" t="s">
        <v>2883</v>
      </c>
      <c r="RPI1339" s="4" t="s">
        <v>2883</v>
      </c>
      <c r="RPJ1339" s="4" t="s">
        <v>2883</v>
      </c>
      <c r="RPK1339" s="4" t="s">
        <v>2883</v>
      </c>
      <c r="RPL1339" s="4" t="s">
        <v>2883</v>
      </c>
      <c r="RPM1339" s="4" t="s">
        <v>2883</v>
      </c>
      <c r="RPN1339" s="4" t="s">
        <v>2883</v>
      </c>
      <c r="RPO1339" s="4" t="s">
        <v>2883</v>
      </c>
      <c r="RPP1339" s="4" t="s">
        <v>2883</v>
      </c>
      <c r="RPQ1339" s="4" t="s">
        <v>2883</v>
      </c>
      <c r="RPR1339" s="4" t="s">
        <v>2883</v>
      </c>
      <c r="RPS1339" s="4" t="s">
        <v>2883</v>
      </c>
      <c r="RPT1339" s="4" t="s">
        <v>2883</v>
      </c>
      <c r="RPU1339" s="4" t="s">
        <v>2883</v>
      </c>
      <c r="RPV1339" s="4" t="s">
        <v>2883</v>
      </c>
      <c r="RPW1339" s="4" t="s">
        <v>2883</v>
      </c>
      <c r="RPX1339" s="4" t="s">
        <v>2883</v>
      </c>
      <c r="RPY1339" s="4" t="s">
        <v>2883</v>
      </c>
      <c r="RPZ1339" s="4" t="s">
        <v>2883</v>
      </c>
      <c r="RQA1339" s="4" t="s">
        <v>2883</v>
      </c>
      <c r="RQB1339" s="4" t="s">
        <v>2883</v>
      </c>
      <c r="RQC1339" s="4" t="s">
        <v>2883</v>
      </c>
      <c r="RQD1339" s="4" t="s">
        <v>2883</v>
      </c>
      <c r="RQE1339" s="4" t="s">
        <v>2883</v>
      </c>
      <c r="RQF1339" s="4" t="s">
        <v>2883</v>
      </c>
      <c r="RQG1339" s="4" t="s">
        <v>2883</v>
      </c>
      <c r="RQH1339" s="4" t="s">
        <v>2883</v>
      </c>
      <c r="RQI1339" s="4" t="s">
        <v>2883</v>
      </c>
      <c r="RQJ1339" s="4" t="s">
        <v>2883</v>
      </c>
      <c r="RQK1339" s="4" t="s">
        <v>2883</v>
      </c>
      <c r="RQL1339" s="4" t="s">
        <v>2883</v>
      </c>
      <c r="RQM1339" s="4" t="s">
        <v>2883</v>
      </c>
      <c r="RQN1339" s="4" t="s">
        <v>2883</v>
      </c>
      <c r="RQO1339" s="4" t="s">
        <v>2883</v>
      </c>
      <c r="RQP1339" s="4" t="s">
        <v>2883</v>
      </c>
      <c r="RQQ1339" s="4" t="s">
        <v>2883</v>
      </c>
      <c r="RQR1339" s="4" t="s">
        <v>2883</v>
      </c>
      <c r="RQS1339" s="4" t="s">
        <v>2883</v>
      </c>
      <c r="RQT1339" s="4" t="s">
        <v>2883</v>
      </c>
      <c r="RQU1339" s="4" t="s">
        <v>2883</v>
      </c>
      <c r="RQV1339" s="4" t="s">
        <v>2883</v>
      </c>
      <c r="RQW1339" s="4" t="s">
        <v>2883</v>
      </c>
      <c r="RQX1339" s="4" t="s">
        <v>2883</v>
      </c>
      <c r="RQY1339" s="4" t="s">
        <v>2883</v>
      </c>
      <c r="RQZ1339" s="4" t="s">
        <v>2883</v>
      </c>
      <c r="RRA1339" s="4" t="s">
        <v>2883</v>
      </c>
      <c r="RRB1339" s="4" t="s">
        <v>2883</v>
      </c>
      <c r="RRC1339" s="4" t="s">
        <v>2883</v>
      </c>
      <c r="RRD1339" s="4" t="s">
        <v>2883</v>
      </c>
      <c r="RRE1339" s="4" t="s">
        <v>2883</v>
      </c>
      <c r="RRF1339" s="4" t="s">
        <v>2883</v>
      </c>
      <c r="RRG1339" s="4" t="s">
        <v>2883</v>
      </c>
      <c r="RRH1339" s="4" t="s">
        <v>2883</v>
      </c>
      <c r="RRI1339" s="4" t="s">
        <v>2883</v>
      </c>
      <c r="RRJ1339" s="4" t="s">
        <v>2883</v>
      </c>
      <c r="RRK1339" s="4" t="s">
        <v>2883</v>
      </c>
      <c r="RRL1339" s="4" t="s">
        <v>2883</v>
      </c>
      <c r="RRM1339" s="4" t="s">
        <v>2883</v>
      </c>
      <c r="RRN1339" s="4" t="s">
        <v>2883</v>
      </c>
      <c r="RRO1339" s="4" t="s">
        <v>2883</v>
      </c>
      <c r="RRP1339" s="4" t="s">
        <v>2883</v>
      </c>
      <c r="RRQ1339" s="4" t="s">
        <v>2883</v>
      </c>
      <c r="RRR1339" s="4" t="s">
        <v>2883</v>
      </c>
      <c r="RRS1339" s="4" t="s">
        <v>2883</v>
      </c>
      <c r="RRT1339" s="4" t="s">
        <v>2883</v>
      </c>
      <c r="RRU1339" s="4" t="s">
        <v>2883</v>
      </c>
      <c r="RRV1339" s="4" t="s">
        <v>2883</v>
      </c>
      <c r="RRW1339" s="4" t="s">
        <v>2883</v>
      </c>
      <c r="RRX1339" s="4" t="s">
        <v>2883</v>
      </c>
      <c r="RRY1339" s="4" t="s">
        <v>2883</v>
      </c>
      <c r="RRZ1339" s="4" t="s">
        <v>2883</v>
      </c>
      <c r="RSA1339" s="4" t="s">
        <v>2883</v>
      </c>
      <c r="RSB1339" s="4" t="s">
        <v>2883</v>
      </c>
      <c r="RSC1339" s="4" t="s">
        <v>2883</v>
      </c>
      <c r="RSD1339" s="4" t="s">
        <v>2883</v>
      </c>
      <c r="RSE1339" s="4" t="s">
        <v>2883</v>
      </c>
      <c r="RSF1339" s="4" t="s">
        <v>2883</v>
      </c>
      <c r="RSG1339" s="4" t="s">
        <v>2883</v>
      </c>
      <c r="RSH1339" s="4" t="s">
        <v>2883</v>
      </c>
      <c r="RSI1339" s="4" t="s">
        <v>2883</v>
      </c>
      <c r="RSJ1339" s="4" t="s">
        <v>2883</v>
      </c>
      <c r="RSK1339" s="4" t="s">
        <v>2883</v>
      </c>
      <c r="RSL1339" s="4" t="s">
        <v>2883</v>
      </c>
      <c r="RSM1339" s="4" t="s">
        <v>2883</v>
      </c>
      <c r="RSN1339" s="4" t="s">
        <v>2883</v>
      </c>
      <c r="RSO1339" s="4" t="s">
        <v>2883</v>
      </c>
      <c r="RSP1339" s="4" t="s">
        <v>2883</v>
      </c>
      <c r="RSQ1339" s="4" t="s">
        <v>2883</v>
      </c>
      <c r="RSR1339" s="4" t="s">
        <v>2883</v>
      </c>
      <c r="RSS1339" s="4" t="s">
        <v>2883</v>
      </c>
      <c r="RST1339" s="4" t="s">
        <v>2883</v>
      </c>
      <c r="RSU1339" s="4" t="s">
        <v>2883</v>
      </c>
      <c r="RSV1339" s="4" t="s">
        <v>2883</v>
      </c>
      <c r="RSW1339" s="4" t="s">
        <v>2883</v>
      </c>
      <c r="RSX1339" s="4" t="s">
        <v>2883</v>
      </c>
      <c r="RSY1339" s="4" t="s">
        <v>2883</v>
      </c>
      <c r="RSZ1339" s="4" t="s">
        <v>2883</v>
      </c>
      <c r="RTA1339" s="4" t="s">
        <v>2883</v>
      </c>
      <c r="RTB1339" s="4" t="s">
        <v>2883</v>
      </c>
      <c r="RTC1339" s="4" t="s">
        <v>2883</v>
      </c>
      <c r="RTD1339" s="4" t="s">
        <v>2883</v>
      </c>
      <c r="RTE1339" s="4" t="s">
        <v>2883</v>
      </c>
      <c r="RTF1339" s="4" t="s">
        <v>2883</v>
      </c>
      <c r="RTG1339" s="4" t="s">
        <v>2883</v>
      </c>
      <c r="RTH1339" s="4" t="s">
        <v>2883</v>
      </c>
      <c r="RTI1339" s="4" t="s">
        <v>2883</v>
      </c>
      <c r="RTJ1339" s="4" t="s">
        <v>2883</v>
      </c>
      <c r="RTK1339" s="4" t="s">
        <v>2883</v>
      </c>
      <c r="RTL1339" s="4" t="s">
        <v>2883</v>
      </c>
      <c r="RTM1339" s="4" t="s">
        <v>2883</v>
      </c>
      <c r="RTN1339" s="4" t="s">
        <v>2883</v>
      </c>
      <c r="RTO1339" s="4" t="s">
        <v>2883</v>
      </c>
      <c r="RTP1339" s="4" t="s">
        <v>2883</v>
      </c>
      <c r="RTQ1339" s="4" t="s">
        <v>2883</v>
      </c>
      <c r="RTR1339" s="4" t="s">
        <v>2883</v>
      </c>
      <c r="RTS1339" s="4" t="s">
        <v>2883</v>
      </c>
      <c r="RTT1339" s="4" t="s">
        <v>2883</v>
      </c>
      <c r="RTU1339" s="4" t="s">
        <v>2883</v>
      </c>
      <c r="RTV1339" s="4" t="s">
        <v>2883</v>
      </c>
      <c r="RTW1339" s="4" t="s">
        <v>2883</v>
      </c>
      <c r="RTX1339" s="4" t="s">
        <v>2883</v>
      </c>
      <c r="RTY1339" s="4" t="s">
        <v>2883</v>
      </c>
      <c r="RTZ1339" s="4" t="s">
        <v>2883</v>
      </c>
      <c r="RUA1339" s="4" t="s">
        <v>2883</v>
      </c>
      <c r="RUB1339" s="4" t="s">
        <v>2883</v>
      </c>
      <c r="RUC1339" s="4" t="s">
        <v>2883</v>
      </c>
      <c r="RUD1339" s="4" t="s">
        <v>2883</v>
      </c>
      <c r="RUE1339" s="4" t="s">
        <v>2883</v>
      </c>
      <c r="RUF1339" s="4" t="s">
        <v>2883</v>
      </c>
      <c r="RUG1339" s="4" t="s">
        <v>2883</v>
      </c>
      <c r="RUH1339" s="4" t="s">
        <v>2883</v>
      </c>
      <c r="RUI1339" s="4" t="s">
        <v>2883</v>
      </c>
      <c r="RUJ1339" s="4" t="s">
        <v>2883</v>
      </c>
      <c r="RUK1339" s="4" t="s">
        <v>2883</v>
      </c>
      <c r="RUL1339" s="4" t="s">
        <v>2883</v>
      </c>
      <c r="RUM1339" s="4" t="s">
        <v>2883</v>
      </c>
      <c r="RUN1339" s="4" t="s">
        <v>2883</v>
      </c>
      <c r="RUO1339" s="4" t="s">
        <v>2883</v>
      </c>
      <c r="RUP1339" s="4" t="s">
        <v>2883</v>
      </c>
      <c r="RUQ1339" s="4" t="s">
        <v>2883</v>
      </c>
      <c r="RUR1339" s="4" t="s">
        <v>2883</v>
      </c>
      <c r="RUS1339" s="4" t="s">
        <v>2883</v>
      </c>
      <c r="RUT1339" s="4" t="s">
        <v>2883</v>
      </c>
      <c r="RUU1339" s="4" t="s">
        <v>2883</v>
      </c>
      <c r="RUV1339" s="4" t="s">
        <v>2883</v>
      </c>
      <c r="RUW1339" s="4" t="s">
        <v>2883</v>
      </c>
      <c r="RUX1339" s="4" t="s">
        <v>2883</v>
      </c>
      <c r="RUY1339" s="4" t="s">
        <v>2883</v>
      </c>
      <c r="RUZ1339" s="4" t="s">
        <v>2883</v>
      </c>
      <c r="RVA1339" s="4" t="s">
        <v>2883</v>
      </c>
      <c r="RVB1339" s="4" t="s">
        <v>2883</v>
      </c>
      <c r="RVC1339" s="4" t="s">
        <v>2883</v>
      </c>
      <c r="RVD1339" s="4" t="s">
        <v>2883</v>
      </c>
      <c r="RVE1339" s="4" t="s">
        <v>2883</v>
      </c>
      <c r="RVF1339" s="4" t="s">
        <v>2883</v>
      </c>
      <c r="RVG1339" s="4" t="s">
        <v>2883</v>
      </c>
      <c r="RVH1339" s="4" t="s">
        <v>2883</v>
      </c>
      <c r="RVI1339" s="4" t="s">
        <v>2883</v>
      </c>
      <c r="RVJ1339" s="4" t="s">
        <v>2883</v>
      </c>
      <c r="RVK1339" s="4" t="s">
        <v>2883</v>
      </c>
      <c r="RVL1339" s="4" t="s">
        <v>2883</v>
      </c>
      <c r="RVM1339" s="4" t="s">
        <v>2883</v>
      </c>
      <c r="RVN1339" s="4" t="s">
        <v>2883</v>
      </c>
      <c r="RVO1339" s="4" t="s">
        <v>2883</v>
      </c>
      <c r="RVP1339" s="4" t="s">
        <v>2883</v>
      </c>
      <c r="RVQ1339" s="4" t="s">
        <v>2883</v>
      </c>
      <c r="RVR1339" s="4" t="s">
        <v>2883</v>
      </c>
      <c r="RVS1339" s="4" t="s">
        <v>2883</v>
      </c>
      <c r="RVT1339" s="4" t="s">
        <v>2883</v>
      </c>
      <c r="RVU1339" s="4" t="s">
        <v>2883</v>
      </c>
      <c r="RVV1339" s="4" t="s">
        <v>2883</v>
      </c>
      <c r="RVW1339" s="4" t="s">
        <v>2883</v>
      </c>
      <c r="RVX1339" s="4" t="s">
        <v>2883</v>
      </c>
      <c r="RVY1339" s="4" t="s">
        <v>2883</v>
      </c>
      <c r="RVZ1339" s="4" t="s">
        <v>2883</v>
      </c>
      <c r="RWA1339" s="4" t="s">
        <v>2883</v>
      </c>
      <c r="RWB1339" s="4" t="s">
        <v>2883</v>
      </c>
      <c r="RWC1339" s="4" t="s">
        <v>2883</v>
      </c>
      <c r="RWD1339" s="4" t="s">
        <v>2883</v>
      </c>
      <c r="RWE1339" s="4" t="s">
        <v>2883</v>
      </c>
      <c r="RWF1339" s="4" t="s">
        <v>2883</v>
      </c>
      <c r="RWG1339" s="4" t="s">
        <v>2883</v>
      </c>
      <c r="RWH1339" s="4" t="s">
        <v>2883</v>
      </c>
      <c r="RWI1339" s="4" t="s">
        <v>2883</v>
      </c>
      <c r="RWJ1339" s="4" t="s">
        <v>2883</v>
      </c>
      <c r="RWK1339" s="4" t="s">
        <v>2883</v>
      </c>
      <c r="RWL1339" s="4" t="s">
        <v>2883</v>
      </c>
      <c r="RWM1339" s="4" t="s">
        <v>2883</v>
      </c>
      <c r="RWN1339" s="4" t="s">
        <v>2883</v>
      </c>
      <c r="RWO1339" s="4" t="s">
        <v>2883</v>
      </c>
      <c r="RWP1339" s="4" t="s">
        <v>2883</v>
      </c>
      <c r="RWQ1339" s="4" t="s">
        <v>2883</v>
      </c>
      <c r="RWR1339" s="4" t="s">
        <v>2883</v>
      </c>
      <c r="RWS1339" s="4" t="s">
        <v>2883</v>
      </c>
      <c r="RWT1339" s="4" t="s">
        <v>2883</v>
      </c>
      <c r="RWU1339" s="4" t="s">
        <v>2883</v>
      </c>
      <c r="RWV1339" s="4" t="s">
        <v>2883</v>
      </c>
      <c r="RWW1339" s="4" t="s">
        <v>2883</v>
      </c>
      <c r="RWX1339" s="4" t="s">
        <v>2883</v>
      </c>
      <c r="RWY1339" s="4" t="s">
        <v>2883</v>
      </c>
      <c r="RWZ1339" s="4" t="s">
        <v>2883</v>
      </c>
      <c r="RXA1339" s="4" t="s">
        <v>2883</v>
      </c>
      <c r="RXB1339" s="4" t="s">
        <v>2883</v>
      </c>
      <c r="RXC1339" s="4" t="s">
        <v>2883</v>
      </c>
      <c r="RXD1339" s="4" t="s">
        <v>2883</v>
      </c>
      <c r="RXE1339" s="4" t="s">
        <v>2883</v>
      </c>
      <c r="RXF1339" s="4" t="s">
        <v>2883</v>
      </c>
      <c r="RXG1339" s="4" t="s">
        <v>2883</v>
      </c>
      <c r="RXH1339" s="4" t="s">
        <v>2883</v>
      </c>
      <c r="RXI1339" s="4" t="s">
        <v>2883</v>
      </c>
      <c r="RXJ1339" s="4" t="s">
        <v>2883</v>
      </c>
      <c r="RXK1339" s="4" t="s">
        <v>2883</v>
      </c>
      <c r="RXL1339" s="4" t="s">
        <v>2883</v>
      </c>
      <c r="RXM1339" s="4" t="s">
        <v>2883</v>
      </c>
      <c r="RXN1339" s="4" t="s">
        <v>2883</v>
      </c>
      <c r="RXO1339" s="4" t="s">
        <v>2883</v>
      </c>
      <c r="RXP1339" s="4" t="s">
        <v>2883</v>
      </c>
      <c r="RXQ1339" s="4" t="s">
        <v>2883</v>
      </c>
      <c r="RXR1339" s="4" t="s">
        <v>2883</v>
      </c>
      <c r="RXS1339" s="4" t="s">
        <v>2883</v>
      </c>
      <c r="RXT1339" s="4" t="s">
        <v>2883</v>
      </c>
      <c r="RXU1339" s="4" t="s">
        <v>2883</v>
      </c>
      <c r="RXV1339" s="4" t="s">
        <v>2883</v>
      </c>
      <c r="RXW1339" s="4" t="s">
        <v>2883</v>
      </c>
      <c r="RXX1339" s="4" t="s">
        <v>2883</v>
      </c>
      <c r="RXY1339" s="4" t="s">
        <v>2883</v>
      </c>
      <c r="RXZ1339" s="4" t="s">
        <v>2883</v>
      </c>
      <c r="RYA1339" s="4" t="s">
        <v>2883</v>
      </c>
      <c r="RYB1339" s="4" t="s">
        <v>2883</v>
      </c>
      <c r="RYC1339" s="4" t="s">
        <v>2883</v>
      </c>
      <c r="RYD1339" s="4" t="s">
        <v>2883</v>
      </c>
      <c r="RYE1339" s="4" t="s">
        <v>2883</v>
      </c>
      <c r="RYF1339" s="4" t="s">
        <v>2883</v>
      </c>
      <c r="RYG1339" s="4" t="s">
        <v>2883</v>
      </c>
      <c r="RYH1339" s="4" t="s">
        <v>2883</v>
      </c>
      <c r="RYI1339" s="4" t="s">
        <v>2883</v>
      </c>
      <c r="RYJ1339" s="4" t="s">
        <v>2883</v>
      </c>
      <c r="RYK1339" s="4" t="s">
        <v>2883</v>
      </c>
      <c r="RYL1339" s="4" t="s">
        <v>2883</v>
      </c>
      <c r="RYM1339" s="4" t="s">
        <v>2883</v>
      </c>
      <c r="RYN1339" s="4" t="s">
        <v>2883</v>
      </c>
      <c r="RYO1339" s="4" t="s">
        <v>2883</v>
      </c>
      <c r="RYP1339" s="4" t="s">
        <v>2883</v>
      </c>
      <c r="RYQ1339" s="4" t="s">
        <v>2883</v>
      </c>
      <c r="RYR1339" s="4" t="s">
        <v>2883</v>
      </c>
      <c r="RYS1339" s="4" t="s">
        <v>2883</v>
      </c>
      <c r="RYT1339" s="4" t="s">
        <v>2883</v>
      </c>
      <c r="RYU1339" s="4" t="s">
        <v>2883</v>
      </c>
      <c r="RYV1339" s="4" t="s">
        <v>2883</v>
      </c>
      <c r="RYW1339" s="4" t="s">
        <v>2883</v>
      </c>
      <c r="RYX1339" s="4" t="s">
        <v>2883</v>
      </c>
      <c r="RYY1339" s="4" t="s">
        <v>2883</v>
      </c>
      <c r="RYZ1339" s="4" t="s">
        <v>2883</v>
      </c>
      <c r="RZA1339" s="4" t="s">
        <v>2883</v>
      </c>
      <c r="RZB1339" s="4" t="s">
        <v>2883</v>
      </c>
      <c r="RZC1339" s="4" t="s">
        <v>2883</v>
      </c>
      <c r="RZD1339" s="4" t="s">
        <v>2883</v>
      </c>
      <c r="RZE1339" s="4" t="s">
        <v>2883</v>
      </c>
      <c r="RZF1339" s="4" t="s">
        <v>2883</v>
      </c>
      <c r="RZG1339" s="4" t="s">
        <v>2883</v>
      </c>
      <c r="RZH1339" s="4" t="s">
        <v>2883</v>
      </c>
      <c r="RZI1339" s="4" t="s">
        <v>2883</v>
      </c>
      <c r="RZJ1339" s="4" t="s">
        <v>2883</v>
      </c>
      <c r="RZK1339" s="4" t="s">
        <v>2883</v>
      </c>
      <c r="RZL1339" s="4" t="s">
        <v>2883</v>
      </c>
      <c r="RZM1339" s="4" t="s">
        <v>2883</v>
      </c>
      <c r="RZN1339" s="4" t="s">
        <v>2883</v>
      </c>
      <c r="RZO1339" s="4" t="s">
        <v>2883</v>
      </c>
      <c r="RZP1339" s="4" t="s">
        <v>2883</v>
      </c>
      <c r="RZQ1339" s="4" t="s">
        <v>2883</v>
      </c>
      <c r="RZR1339" s="4" t="s">
        <v>2883</v>
      </c>
      <c r="RZS1339" s="4" t="s">
        <v>2883</v>
      </c>
      <c r="RZT1339" s="4" t="s">
        <v>2883</v>
      </c>
      <c r="RZU1339" s="4" t="s">
        <v>2883</v>
      </c>
      <c r="RZV1339" s="4" t="s">
        <v>2883</v>
      </c>
      <c r="RZW1339" s="4" t="s">
        <v>2883</v>
      </c>
      <c r="RZX1339" s="4" t="s">
        <v>2883</v>
      </c>
      <c r="RZY1339" s="4" t="s">
        <v>2883</v>
      </c>
      <c r="RZZ1339" s="4" t="s">
        <v>2883</v>
      </c>
      <c r="SAA1339" s="4" t="s">
        <v>2883</v>
      </c>
      <c r="SAB1339" s="4" t="s">
        <v>2883</v>
      </c>
      <c r="SAC1339" s="4" t="s">
        <v>2883</v>
      </c>
      <c r="SAD1339" s="4" t="s">
        <v>2883</v>
      </c>
      <c r="SAE1339" s="4" t="s">
        <v>2883</v>
      </c>
      <c r="SAF1339" s="4" t="s">
        <v>2883</v>
      </c>
      <c r="SAG1339" s="4" t="s">
        <v>2883</v>
      </c>
      <c r="SAH1339" s="4" t="s">
        <v>2883</v>
      </c>
      <c r="SAI1339" s="4" t="s">
        <v>2883</v>
      </c>
      <c r="SAJ1339" s="4" t="s">
        <v>2883</v>
      </c>
      <c r="SAK1339" s="4" t="s">
        <v>2883</v>
      </c>
      <c r="SAL1339" s="4" t="s">
        <v>2883</v>
      </c>
      <c r="SAM1339" s="4" t="s">
        <v>2883</v>
      </c>
      <c r="SAN1339" s="4" t="s">
        <v>2883</v>
      </c>
      <c r="SAO1339" s="4" t="s">
        <v>2883</v>
      </c>
      <c r="SAP1339" s="4" t="s">
        <v>2883</v>
      </c>
      <c r="SAQ1339" s="4" t="s">
        <v>2883</v>
      </c>
      <c r="SAR1339" s="4" t="s">
        <v>2883</v>
      </c>
      <c r="SAS1339" s="4" t="s">
        <v>2883</v>
      </c>
      <c r="SAT1339" s="4" t="s">
        <v>2883</v>
      </c>
      <c r="SAU1339" s="4" t="s">
        <v>2883</v>
      </c>
      <c r="SAV1339" s="4" t="s">
        <v>2883</v>
      </c>
      <c r="SAW1339" s="4" t="s">
        <v>2883</v>
      </c>
      <c r="SAX1339" s="4" t="s">
        <v>2883</v>
      </c>
      <c r="SAY1339" s="4" t="s">
        <v>2883</v>
      </c>
      <c r="SAZ1339" s="4" t="s">
        <v>2883</v>
      </c>
      <c r="SBA1339" s="4" t="s">
        <v>2883</v>
      </c>
      <c r="SBB1339" s="4" t="s">
        <v>2883</v>
      </c>
      <c r="SBC1339" s="4" t="s">
        <v>2883</v>
      </c>
      <c r="SBD1339" s="4" t="s">
        <v>2883</v>
      </c>
      <c r="SBE1339" s="4" t="s">
        <v>2883</v>
      </c>
      <c r="SBF1339" s="4" t="s">
        <v>2883</v>
      </c>
      <c r="SBG1339" s="4" t="s">
        <v>2883</v>
      </c>
      <c r="SBH1339" s="4" t="s">
        <v>2883</v>
      </c>
      <c r="SBI1339" s="4" t="s">
        <v>2883</v>
      </c>
      <c r="SBJ1339" s="4" t="s">
        <v>2883</v>
      </c>
      <c r="SBK1339" s="4" t="s">
        <v>2883</v>
      </c>
      <c r="SBL1339" s="4" t="s">
        <v>2883</v>
      </c>
      <c r="SBM1339" s="4" t="s">
        <v>2883</v>
      </c>
      <c r="SBN1339" s="4" t="s">
        <v>2883</v>
      </c>
      <c r="SBO1339" s="4" t="s">
        <v>2883</v>
      </c>
      <c r="SBP1339" s="4" t="s">
        <v>2883</v>
      </c>
      <c r="SBQ1339" s="4" t="s">
        <v>2883</v>
      </c>
      <c r="SBR1339" s="4" t="s">
        <v>2883</v>
      </c>
      <c r="SBS1339" s="4" t="s">
        <v>2883</v>
      </c>
      <c r="SBT1339" s="4" t="s">
        <v>2883</v>
      </c>
      <c r="SBU1339" s="4" t="s">
        <v>2883</v>
      </c>
      <c r="SBV1339" s="4" t="s">
        <v>2883</v>
      </c>
      <c r="SBW1339" s="4" t="s">
        <v>2883</v>
      </c>
      <c r="SBX1339" s="4" t="s">
        <v>2883</v>
      </c>
      <c r="SBY1339" s="4" t="s">
        <v>2883</v>
      </c>
      <c r="SBZ1339" s="4" t="s">
        <v>2883</v>
      </c>
      <c r="SCA1339" s="4" t="s">
        <v>2883</v>
      </c>
      <c r="SCB1339" s="4" t="s">
        <v>2883</v>
      </c>
      <c r="SCC1339" s="4" t="s">
        <v>2883</v>
      </c>
      <c r="SCD1339" s="4" t="s">
        <v>2883</v>
      </c>
      <c r="SCE1339" s="4" t="s">
        <v>2883</v>
      </c>
      <c r="SCF1339" s="4" t="s">
        <v>2883</v>
      </c>
      <c r="SCG1339" s="4" t="s">
        <v>2883</v>
      </c>
      <c r="SCH1339" s="4" t="s">
        <v>2883</v>
      </c>
      <c r="SCI1339" s="4" t="s">
        <v>2883</v>
      </c>
      <c r="SCJ1339" s="4" t="s">
        <v>2883</v>
      </c>
      <c r="SCK1339" s="4" t="s">
        <v>2883</v>
      </c>
      <c r="SCL1339" s="4" t="s">
        <v>2883</v>
      </c>
      <c r="SCM1339" s="4" t="s">
        <v>2883</v>
      </c>
      <c r="SCN1339" s="4" t="s">
        <v>2883</v>
      </c>
      <c r="SCO1339" s="4" t="s">
        <v>2883</v>
      </c>
      <c r="SCP1339" s="4" t="s">
        <v>2883</v>
      </c>
      <c r="SCQ1339" s="4" t="s">
        <v>2883</v>
      </c>
      <c r="SCR1339" s="4" t="s">
        <v>2883</v>
      </c>
      <c r="SCS1339" s="4" t="s">
        <v>2883</v>
      </c>
      <c r="SCT1339" s="4" t="s">
        <v>2883</v>
      </c>
      <c r="SCU1339" s="4" t="s">
        <v>2883</v>
      </c>
      <c r="SCV1339" s="4" t="s">
        <v>2883</v>
      </c>
      <c r="SCW1339" s="4" t="s">
        <v>2883</v>
      </c>
      <c r="SCX1339" s="4" t="s">
        <v>2883</v>
      </c>
      <c r="SCY1339" s="4" t="s">
        <v>2883</v>
      </c>
      <c r="SCZ1339" s="4" t="s">
        <v>2883</v>
      </c>
      <c r="SDA1339" s="4" t="s">
        <v>2883</v>
      </c>
      <c r="SDB1339" s="4" t="s">
        <v>2883</v>
      </c>
      <c r="SDC1339" s="4" t="s">
        <v>2883</v>
      </c>
      <c r="SDD1339" s="4" t="s">
        <v>2883</v>
      </c>
      <c r="SDE1339" s="4" t="s">
        <v>2883</v>
      </c>
      <c r="SDF1339" s="4" t="s">
        <v>2883</v>
      </c>
      <c r="SDG1339" s="4" t="s">
        <v>2883</v>
      </c>
      <c r="SDH1339" s="4" t="s">
        <v>2883</v>
      </c>
      <c r="SDI1339" s="4" t="s">
        <v>2883</v>
      </c>
      <c r="SDJ1339" s="4" t="s">
        <v>2883</v>
      </c>
      <c r="SDK1339" s="4" t="s">
        <v>2883</v>
      </c>
      <c r="SDL1339" s="4" t="s">
        <v>2883</v>
      </c>
      <c r="SDM1339" s="4" t="s">
        <v>2883</v>
      </c>
      <c r="SDN1339" s="4" t="s">
        <v>2883</v>
      </c>
      <c r="SDO1339" s="4" t="s">
        <v>2883</v>
      </c>
      <c r="SDP1339" s="4" t="s">
        <v>2883</v>
      </c>
      <c r="SDQ1339" s="4" t="s">
        <v>2883</v>
      </c>
      <c r="SDR1339" s="4" t="s">
        <v>2883</v>
      </c>
      <c r="SDS1339" s="4" t="s">
        <v>2883</v>
      </c>
      <c r="SDT1339" s="4" t="s">
        <v>2883</v>
      </c>
      <c r="SDU1339" s="4" t="s">
        <v>2883</v>
      </c>
      <c r="SDV1339" s="4" t="s">
        <v>2883</v>
      </c>
      <c r="SDW1339" s="4" t="s">
        <v>2883</v>
      </c>
      <c r="SDX1339" s="4" t="s">
        <v>2883</v>
      </c>
      <c r="SDY1339" s="4" t="s">
        <v>2883</v>
      </c>
      <c r="SDZ1339" s="4" t="s">
        <v>2883</v>
      </c>
      <c r="SEA1339" s="4" t="s">
        <v>2883</v>
      </c>
      <c r="SEB1339" s="4" t="s">
        <v>2883</v>
      </c>
      <c r="SEC1339" s="4" t="s">
        <v>2883</v>
      </c>
      <c r="SED1339" s="4" t="s">
        <v>2883</v>
      </c>
      <c r="SEE1339" s="4" t="s">
        <v>2883</v>
      </c>
      <c r="SEF1339" s="4" t="s">
        <v>2883</v>
      </c>
      <c r="SEG1339" s="4" t="s">
        <v>2883</v>
      </c>
      <c r="SEH1339" s="4" t="s">
        <v>2883</v>
      </c>
      <c r="SEI1339" s="4" t="s">
        <v>2883</v>
      </c>
      <c r="SEJ1339" s="4" t="s">
        <v>2883</v>
      </c>
      <c r="SEK1339" s="4" t="s">
        <v>2883</v>
      </c>
      <c r="SEL1339" s="4" t="s">
        <v>2883</v>
      </c>
      <c r="SEM1339" s="4" t="s">
        <v>2883</v>
      </c>
      <c r="SEN1339" s="4" t="s">
        <v>2883</v>
      </c>
      <c r="SEO1339" s="4" t="s">
        <v>2883</v>
      </c>
      <c r="SEP1339" s="4" t="s">
        <v>2883</v>
      </c>
      <c r="SEQ1339" s="4" t="s">
        <v>2883</v>
      </c>
      <c r="SER1339" s="4" t="s">
        <v>2883</v>
      </c>
      <c r="SES1339" s="4" t="s">
        <v>2883</v>
      </c>
      <c r="SET1339" s="4" t="s">
        <v>2883</v>
      </c>
      <c r="SEU1339" s="4" t="s">
        <v>2883</v>
      </c>
      <c r="SEV1339" s="4" t="s">
        <v>2883</v>
      </c>
      <c r="SEW1339" s="4" t="s">
        <v>2883</v>
      </c>
      <c r="SEX1339" s="4" t="s">
        <v>2883</v>
      </c>
      <c r="SEY1339" s="4" t="s">
        <v>2883</v>
      </c>
      <c r="SEZ1339" s="4" t="s">
        <v>2883</v>
      </c>
      <c r="SFA1339" s="4" t="s">
        <v>2883</v>
      </c>
      <c r="SFB1339" s="4" t="s">
        <v>2883</v>
      </c>
      <c r="SFC1339" s="4" t="s">
        <v>2883</v>
      </c>
      <c r="SFD1339" s="4" t="s">
        <v>2883</v>
      </c>
      <c r="SFE1339" s="4" t="s">
        <v>2883</v>
      </c>
      <c r="SFF1339" s="4" t="s">
        <v>2883</v>
      </c>
      <c r="SFG1339" s="4" t="s">
        <v>2883</v>
      </c>
      <c r="SFH1339" s="4" t="s">
        <v>2883</v>
      </c>
      <c r="SFI1339" s="4" t="s">
        <v>2883</v>
      </c>
      <c r="SFJ1339" s="4" t="s">
        <v>2883</v>
      </c>
      <c r="SFK1339" s="4" t="s">
        <v>2883</v>
      </c>
      <c r="SFL1339" s="4" t="s">
        <v>2883</v>
      </c>
      <c r="SFM1339" s="4" t="s">
        <v>2883</v>
      </c>
      <c r="SFN1339" s="4" t="s">
        <v>2883</v>
      </c>
      <c r="SFO1339" s="4" t="s">
        <v>2883</v>
      </c>
      <c r="SFP1339" s="4" t="s">
        <v>2883</v>
      </c>
      <c r="SFQ1339" s="4" t="s">
        <v>2883</v>
      </c>
      <c r="SFR1339" s="4" t="s">
        <v>2883</v>
      </c>
      <c r="SFS1339" s="4" t="s">
        <v>2883</v>
      </c>
      <c r="SFT1339" s="4" t="s">
        <v>2883</v>
      </c>
      <c r="SFU1339" s="4" t="s">
        <v>2883</v>
      </c>
      <c r="SFV1339" s="4" t="s">
        <v>2883</v>
      </c>
      <c r="SFW1339" s="4" t="s">
        <v>2883</v>
      </c>
      <c r="SFX1339" s="4" t="s">
        <v>2883</v>
      </c>
      <c r="SFY1339" s="4" t="s">
        <v>2883</v>
      </c>
      <c r="SFZ1339" s="4" t="s">
        <v>2883</v>
      </c>
      <c r="SGA1339" s="4" t="s">
        <v>2883</v>
      </c>
      <c r="SGB1339" s="4" t="s">
        <v>2883</v>
      </c>
      <c r="SGC1339" s="4" t="s">
        <v>2883</v>
      </c>
      <c r="SGD1339" s="4" t="s">
        <v>2883</v>
      </c>
      <c r="SGE1339" s="4" t="s">
        <v>2883</v>
      </c>
      <c r="SGF1339" s="4" t="s">
        <v>2883</v>
      </c>
      <c r="SGG1339" s="4" t="s">
        <v>2883</v>
      </c>
      <c r="SGH1339" s="4" t="s">
        <v>2883</v>
      </c>
      <c r="SGI1339" s="4" t="s">
        <v>2883</v>
      </c>
      <c r="SGJ1339" s="4" t="s">
        <v>2883</v>
      </c>
      <c r="SGK1339" s="4" t="s">
        <v>2883</v>
      </c>
      <c r="SGL1339" s="4" t="s">
        <v>2883</v>
      </c>
      <c r="SGM1339" s="4" t="s">
        <v>2883</v>
      </c>
      <c r="SGN1339" s="4" t="s">
        <v>2883</v>
      </c>
      <c r="SGO1339" s="4" t="s">
        <v>2883</v>
      </c>
      <c r="SGP1339" s="4" t="s">
        <v>2883</v>
      </c>
      <c r="SGQ1339" s="4" t="s">
        <v>2883</v>
      </c>
      <c r="SGR1339" s="4" t="s">
        <v>2883</v>
      </c>
      <c r="SGS1339" s="4" t="s">
        <v>2883</v>
      </c>
      <c r="SGT1339" s="4" t="s">
        <v>2883</v>
      </c>
      <c r="SGU1339" s="4" t="s">
        <v>2883</v>
      </c>
      <c r="SGV1339" s="4" t="s">
        <v>2883</v>
      </c>
      <c r="SGW1339" s="4" t="s">
        <v>2883</v>
      </c>
      <c r="SGX1339" s="4" t="s">
        <v>2883</v>
      </c>
      <c r="SGY1339" s="4" t="s">
        <v>2883</v>
      </c>
      <c r="SGZ1339" s="4" t="s">
        <v>2883</v>
      </c>
      <c r="SHA1339" s="4" t="s">
        <v>2883</v>
      </c>
      <c r="SHB1339" s="4" t="s">
        <v>2883</v>
      </c>
      <c r="SHC1339" s="4" t="s">
        <v>2883</v>
      </c>
      <c r="SHD1339" s="4" t="s">
        <v>2883</v>
      </c>
      <c r="SHE1339" s="4" t="s">
        <v>2883</v>
      </c>
      <c r="SHF1339" s="4" t="s">
        <v>2883</v>
      </c>
      <c r="SHG1339" s="4" t="s">
        <v>2883</v>
      </c>
      <c r="SHH1339" s="4" t="s">
        <v>2883</v>
      </c>
      <c r="SHI1339" s="4" t="s">
        <v>2883</v>
      </c>
      <c r="SHJ1339" s="4" t="s">
        <v>2883</v>
      </c>
      <c r="SHK1339" s="4" t="s">
        <v>2883</v>
      </c>
      <c r="SHL1339" s="4" t="s">
        <v>2883</v>
      </c>
      <c r="SHM1339" s="4" t="s">
        <v>2883</v>
      </c>
      <c r="SHN1339" s="4" t="s">
        <v>2883</v>
      </c>
      <c r="SHO1339" s="4" t="s">
        <v>2883</v>
      </c>
      <c r="SHP1339" s="4" t="s">
        <v>2883</v>
      </c>
      <c r="SHQ1339" s="4" t="s">
        <v>2883</v>
      </c>
      <c r="SHR1339" s="4" t="s">
        <v>2883</v>
      </c>
      <c r="SHS1339" s="4" t="s">
        <v>2883</v>
      </c>
      <c r="SHT1339" s="4" t="s">
        <v>2883</v>
      </c>
      <c r="SHU1339" s="4" t="s">
        <v>2883</v>
      </c>
      <c r="SHV1339" s="4" t="s">
        <v>2883</v>
      </c>
      <c r="SHW1339" s="4" t="s">
        <v>2883</v>
      </c>
      <c r="SHX1339" s="4" t="s">
        <v>2883</v>
      </c>
      <c r="SHY1339" s="4" t="s">
        <v>2883</v>
      </c>
      <c r="SHZ1339" s="4" t="s">
        <v>2883</v>
      </c>
      <c r="SIA1339" s="4" t="s">
        <v>2883</v>
      </c>
      <c r="SIB1339" s="4" t="s">
        <v>2883</v>
      </c>
      <c r="SIC1339" s="4" t="s">
        <v>2883</v>
      </c>
      <c r="SID1339" s="4" t="s">
        <v>2883</v>
      </c>
      <c r="SIE1339" s="4" t="s">
        <v>2883</v>
      </c>
      <c r="SIF1339" s="4" t="s">
        <v>2883</v>
      </c>
      <c r="SIG1339" s="4" t="s">
        <v>2883</v>
      </c>
      <c r="SIH1339" s="4" t="s">
        <v>2883</v>
      </c>
      <c r="SII1339" s="4" t="s">
        <v>2883</v>
      </c>
      <c r="SIJ1339" s="4" t="s">
        <v>2883</v>
      </c>
      <c r="SIK1339" s="4" t="s">
        <v>2883</v>
      </c>
      <c r="SIL1339" s="4" t="s">
        <v>2883</v>
      </c>
      <c r="SIM1339" s="4" t="s">
        <v>2883</v>
      </c>
      <c r="SIN1339" s="4" t="s">
        <v>2883</v>
      </c>
      <c r="SIO1339" s="4" t="s">
        <v>2883</v>
      </c>
      <c r="SIP1339" s="4" t="s">
        <v>2883</v>
      </c>
      <c r="SIQ1339" s="4" t="s">
        <v>2883</v>
      </c>
      <c r="SIR1339" s="4" t="s">
        <v>2883</v>
      </c>
      <c r="SIS1339" s="4" t="s">
        <v>2883</v>
      </c>
      <c r="SIT1339" s="4" t="s">
        <v>2883</v>
      </c>
      <c r="SIU1339" s="4" t="s">
        <v>2883</v>
      </c>
      <c r="SIV1339" s="4" t="s">
        <v>2883</v>
      </c>
      <c r="SIW1339" s="4" t="s">
        <v>2883</v>
      </c>
      <c r="SIX1339" s="4" t="s">
        <v>2883</v>
      </c>
      <c r="SIY1339" s="4" t="s">
        <v>2883</v>
      </c>
      <c r="SIZ1339" s="4" t="s">
        <v>2883</v>
      </c>
      <c r="SJA1339" s="4" t="s">
        <v>2883</v>
      </c>
      <c r="SJB1339" s="4" t="s">
        <v>2883</v>
      </c>
      <c r="SJC1339" s="4" t="s">
        <v>2883</v>
      </c>
      <c r="SJD1339" s="4" t="s">
        <v>2883</v>
      </c>
      <c r="SJE1339" s="4" t="s">
        <v>2883</v>
      </c>
      <c r="SJF1339" s="4" t="s">
        <v>2883</v>
      </c>
      <c r="SJG1339" s="4" t="s">
        <v>2883</v>
      </c>
      <c r="SJH1339" s="4" t="s">
        <v>2883</v>
      </c>
      <c r="SJI1339" s="4" t="s">
        <v>2883</v>
      </c>
      <c r="SJJ1339" s="4" t="s">
        <v>2883</v>
      </c>
      <c r="SJK1339" s="4" t="s">
        <v>2883</v>
      </c>
      <c r="SJL1339" s="4" t="s">
        <v>2883</v>
      </c>
      <c r="SJM1339" s="4" t="s">
        <v>2883</v>
      </c>
      <c r="SJN1339" s="4" t="s">
        <v>2883</v>
      </c>
      <c r="SJO1339" s="4" t="s">
        <v>2883</v>
      </c>
      <c r="SJP1339" s="4" t="s">
        <v>2883</v>
      </c>
      <c r="SJQ1339" s="4" t="s">
        <v>2883</v>
      </c>
      <c r="SJR1339" s="4" t="s">
        <v>2883</v>
      </c>
      <c r="SJS1339" s="4" t="s">
        <v>2883</v>
      </c>
      <c r="SJT1339" s="4" t="s">
        <v>2883</v>
      </c>
      <c r="SJU1339" s="4" t="s">
        <v>2883</v>
      </c>
      <c r="SJV1339" s="4" t="s">
        <v>2883</v>
      </c>
      <c r="SJW1339" s="4" t="s">
        <v>2883</v>
      </c>
      <c r="SJX1339" s="4" t="s">
        <v>2883</v>
      </c>
      <c r="SJY1339" s="4" t="s">
        <v>2883</v>
      </c>
      <c r="SJZ1339" s="4" t="s">
        <v>2883</v>
      </c>
      <c r="SKA1339" s="4" t="s">
        <v>2883</v>
      </c>
      <c r="SKB1339" s="4" t="s">
        <v>2883</v>
      </c>
      <c r="SKC1339" s="4" t="s">
        <v>2883</v>
      </c>
      <c r="SKD1339" s="4" t="s">
        <v>2883</v>
      </c>
      <c r="SKE1339" s="4" t="s">
        <v>2883</v>
      </c>
      <c r="SKF1339" s="4" t="s">
        <v>2883</v>
      </c>
      <c r="SKG1339" s="4" t="s">
        <v>2883</v>
      </c>
      <c r="SKH1339" s="4" t="s">
        <v>2883</v>
      </c>
      <c r="SKI1339" s="4" t="s">
        <v>2883</v>
      </c>
      <c r="SKJ1339" s="4" t="s">
        <v>2883</v>
      </c>
      <c r="SKK1339" s="4" t="s">
        <v>2883</v>
      </c>
      <c r="SKL1339" s="4" t="s">
        <v>2883</v>
      </c>
      <c r="SKM1339" s="4" t="s">
        <v>2883</v>
      </c>
      <c r="SKN1339" s="4" t="s">
        <v>2883</v>
      </c>
      <c r="SKO1339" s="4" t="s">
        <v>2883</v>
      </c>
      <c r="SKP1339" s="4" t="s">
        <v>2883</v>
      </c>
      <c r="SKQ1339" s="4" t="s">
        <v>2883</v>
      </c>
      <c r="SKR1339" s="4" t="s">
        <v>2883</v>
      </c>
      <c r="SKS1339" s="4" t="s">
        <v>2883</v>
      </c>
      <c r="SKT1339" s="4" t="s">
        <v>2883</v>
      </c>
      <c r="SKU1339" s="4" t="s">
        <v>2883</v>
      </c>
      <c r="SKV1339" s="4" t="s">
        <v>2883</v>
      </c>
      <c r="SKW1339" s="4" t="s">
        <v>2883</v>
      </c>
      <c r="SKX1339" s="4" t="s">
        <v>2883</v>
      </c>
      <c r="SKY1339" s="4" t="s">
        <v>2883</v>
      </c>
      <c r="SKZ1339" s="4" t="s">
        <v>2883</v>
      </c>
      <c r="SLA1339" s="4" t="s">
        <v>2883</v>
      </c>
      <c r="SLB1339" s="4" t="s">
        <v>2883</v>
      </c>
      <c r="SLC1339" s="4" t="s">
        <v>2883</v>
      </c>
      <c r="SLD1339" s="4" t="s">
        <v>2883</v>
      </c>
      <c r="SLE1339" s="4" t="s">
        <v>2883</v>
      </c>
      <c r="SLF1339" s="4" t="s">
        <v>2883</v>
      </c>
      <c r="SLG1339" s="4" t="s">
        <v>2883</v>
      </c>
      <c r="SLH1339" s="4" t="s">
        <v>2883</v>
      </c>
      <c r="SLI1339" s="4" t="s">
        <v>2883</v>
      </c>
      <c r="SLJ1339" s="4" t="s">
        <v>2883</v>
      </c>
      <c r="SLK1339" s="4" t="s">
        <v>2883</v>
      </c>
      <c r="SLL1339" s="4" t="s">
        <v>2883</v>
      </c>
      <c r="SLM1339" s="4" t="s">
        <v>2883</v>
      </c>
      <c r="SLN1339" s="4" t="s">
        <v>2883</v>
      </c>
      <c r="SLO1339" s="4" t="s">
        <v>2883</v>
      </c>
      <c r="SLP1339" s="4" t="s">
        <v>2883</v>
      </c>
      <c r="SLQ1339" s="4" t="s">
        <v>2883</v>
      </c>
      <c r="SLR1339" s="4" t="s">
        <v>2883</v>
      </c>
      <c r="SLS1339" s="4" t="s">
        <v>2883</v>
      </c>
      <c r="SLT1339" s="4" t="s">
        <v>2883</v>
      </c>
      <c r="SLU1339" s="4" t="s">
        <v>2883</v>
      </c>
      <c r="SLV1339" s="4" t="s">
        <v>2883</v>
      </c>
      <c r="SLW1339" s="4" t="s">
        <v>2883</v>
      </c>
      <c r="SLX1339" s="4" t="s">
        <v>2883</v>
      </c>
      <c r="SLY1339" s="4" t="s">
        <v>2883</v>
      </c>
      <c r="SLZ1339" s="4" t="s">
        <v>2883</v>
      </c>
      <c r="SMA1339" s="4" t="s">
        <v>2883</v>
      </c>
      <c r="SMB1339" s="4" t="s">
        <v>2883</v>
      </c>
      <c r="SMC1339" s="4" t="s">
        <v>2883</v>
      </c>
      <c r="SMD1339" s="4" t="s">
        <v>2883</v>
      </c>
      <c r="SME1339" s="4" t="s">
        <v>2883</v>
      </c>
      <c r="SMF1339" s="4" t="s">
        <v>2883</v>
      </c>
      <c r="SMG1339" s="4" t="s">
        <v>2883</v>
      </c>
      <c r="SMH1339" s="4" t="s">
        <v>2883</v>
      </c>
      <c r="SMI1339" s="4" t="s">
        <v>2883</v>
      </c>
      <c r="SMJ1339" s="4" t="s">
        <v>2883</v>
      </c>
      <c r="SMK1339" s="4" t="s">
        <v>2883</v>
      </c>
      <c r="SML1339" s="4" t="s">
        <v>2883</v>
      </c>
      <c r="SMM1339" s="4" t="s">
        <v>2883</v>
      </c>
      <c r="SMN1339" s="4" t="s">
        <v>2883</v>
      </c>
      <c r="SMO1339" s="4" t="s">
        <v>2883</v>
      </c>
      <c r="SMP1339" s="4" t="s">
        <v>2883</v>
      </c>
      <c r="SMQ1339" s="4" t="s">
        <v>2883</v>
      </c>
      <c r="SMR1339" s="4" t="s">
        <v>2883</v>
      </c>
      <c r="SMS1339" s="4" t="s">
        <v>2883</v>
      </c>
      <c r="SMT1339" s="4" t="s">
        <v>2883</v>
      </c>
      <c r="SMU1339" s="4" t="s">
        <v>2883</v>
      </c>
      <c r="SMV1339" s="4" t="s">
        <v>2883</v>
      </c>
      <c r="SMW1339" s="4" t="s">
        <v>2883</v>
      </c>
      <c r="SMX1339" s="4" t="s">
        <v>2883</v>
      </c>
      <c r="SMY1339" s="4" t="s">
        <v>2883</v>
      </c>
      <c r="SMZ1339" s="4" t="s">
        <v>2883</v>
      </c>
      <c r="SNA1339" s="4" t="s">
        <v>2883</v>
      </c>
      <c r="SNB1339" s="4" t="s">
        <v>2883</v>
      </c>
      <c r="SNC1339" s="4" t="s">
        <v>2883</v>
      </c>
      <c r="SND1339" s="4" t="s">
        <v>2883</v>
      </c>
      <c r="SNE1339" s="4" t="s">
        <v>2883</v>
      </c>
      <c r="SNF1339" s="4" t="s">
        <v>2883</v>
      </c>
      <c r="SNG1339" s="4" t="s">
        <v>2883</v>
      </c>
      <c r="SNH1339" s="4" t="s">
        <v>2883</v>
      </c>
      <c r="SNI1339" s="4" t="s">
        <v>2883</v>
      </c>
      <c r="SNJ1339" s="4" t="s">
        <v>2883</v>
      </c>
      <c r="SNK1339" s="4" t="s">
        <v>2883</v>
      </c>
      <c r="SNL1339" s="4" t="s">
        <v>2883</v>
      </c>
      <c r="SNM1339" s="4" t="s">
        <v>2883</v>
      </c>
      <c r="SNN1339" s="4" t="s">
        <v>2883</v>
      </c>
      <c r="SNO1339" s="4" t="s">
        <v>2883</v>
      </c>
      <c r="SNP1339" s="4" t="s">
        <v>2883</v>
      </c>
      <c r="SNQ1339" s="4" t="s">
        <v>2883</v>
      </c>
      <c r="SNR1339" s="4" t="s">
        <v>2883</v>
      </c>
      <c r="SNS1339" s="4" t="s">
        <v>2883</v>
      </c>
      <c r="SNT1339" s="4" t="s">
        <v>2883</v>
      </c>
      <c r="SNU1339" s="4" t="s">
        <v>2883</v>
      </c>
      <c r="SNV1339" s="4" t="s">
        <v>2883</v>
      </c>
      <c r="SNW1339" s="4" t="s">
        <v>2883</v>
      </c>
      <c r="SNX1339" s="4" t="s">
        <v>2883</v>
      </c>
      <c r="SNY1339" s="4" t="s">
        <v>2883</v>
      </c>
      <c r="SNZ1339" s="4" t="s">
        <v>2883</v>
      </c>
      <c r="SOA1339" s="4" t="s">
        <v>2883</v>
      </c>
      <c r="SOB1339" s="4" t="s">
        <v>2883</v>
      </c>
      <c r="SOC1339" s="4" t="s">
        <v>2883</v>
      </c>
      <c r="SOD1339" s="4" t="s">
        <v>2883</v>
      </c>
      <c r="SOE1339" s="4" t="s">
        <v>2883</v>
      </c>
      <c r="SOF1339" s="4" t="s">
        <v>2883</v>
      </c>
      <c r="SOG1339" s="4" t="s">
        <v>2883</v>
      </c>
      <c r="SOH1339" s="4" t="s">
        <v>2883</v>
      </c>
      <c r="SOI1339" s="4" t="s">
        <v>2883</v>
      </c>
      <c r="SOJ1339" s="4" t="s">
        <v>2883</v>
      </c>
      <c r="SOK1339" s="4" t="s">
        <v>2883</v>
      </c>
      <c r="SOL1339" s="4" t="s">
        <v>2883</v>
      </c>
      <c r="SOM1339" s="4" t="s">
        <v>2883</v>
      </c>
      <c r="SON1339" s="4" t="s">
        <v>2883</v>
      </c>
      <c r="SOO1339" s="4" t="s">
        <v>2883</v>
      </c>
      <c r="SOP1339" s="4" t="s">
        <v>2883</v>
      </c>
      <c r="SOQ1339" s="4" t="s">
        <v>2883</v>
      </c>
      <c r="SOR1339" s="4" t="s">
        <v>2883</v>
      </c>
      <c r="SOS1339" s="4" t="s">
        <v>2883</v>
      </c>
      <c r="SOT1339" s="4" t="s">
        <v>2883</v>
      </c>
      <c r="SOU1339" s="4" t="s">
        <v>2883</v>
      </c>
      <c r="SOV1339" s="4" t="s">
        <v>2883</v>
      </c>
      <c r="SOW1339" s="4" t="s">
        <v>2883</v>
      </c>
      <c r="SOX1339" s="4" t="s">
        <v>2883</v>
      </c>
      <c r="SOY1339" s="4" t="s">
        <v>2883</v>
      </c>
      <c r="SOZ1339" s="4" t="s">
        <v>2883</v>
      </c>
      <c r="SPA1339" s="4" t="s">
        <v>2883</v>
      </c>
      <c r="SPB1339" s="4" t="s">
        <v>2883</v>
      </c>
      <c r="SPC1339" s="4" t="s">
        <v>2883</v>
      </c>
      <c r="SPD1339" s="4" t="s">
        <v>2883</v>
      </c>
      <c r="SPE1339" s="4" t="s">
        <v>2883</v>
      </c>
      <c r="SPF1339" s="4" t="s">
        <v>2883</v>
      </c>
      <c r="SPG1339" s="4" t="s">
        <v>2883</v>
      </c>
      <c r="SPH1339" s="4" t="s">
        <v>2883</v>
      </c>
      <c r="SPI1339" s="4" t="s">
        <v>2883</v>
      </c>
      <c r="SPJ1339" s="4" t="s">
        <v>2883</v>
      </c>
      <c r="SPK1339" s="4" t="s">
        <v>2883</v>
      </c>
      <c r="SPL1339" s="4" t="s">
        <v>2883</v>
      </c>
      <c r="SPM1339" s="4" t="s">
        <v>2883</v>
      </c>
      <c r="SPN1339" s="4" t="s">
        <v>2883</v>
      </c>
      <c r="SPO1339" s="4" t="s">
        <v>2883</v>
      </c>
      <c r="SPP1339" s="4" t="s">
        <v>2883</v>
      </c>
      <c r="SPQ1339" s="4" t="s">
        <v>2883</v>
      </c>
      <c r="SPR1339" s="4" t="s">
        <v>2883</v>
      </c>
      <c r="SPS1339" s="4" t="s">
        <v>2883</v>
      </c>
      <c r="SPT1339" s="4" t="s">
        <v>2883</v>
      </c>
      <c r="SPU1339" s="4" t="s">
        <v>2883</v>
      </c>
      <c r="SPV1339" s="4" t="s">
        <v>2883</v>
      </c>
      <c r="SPW1339" s="4" t="s">
        <v>2883</v>
      </c>
      <c r="SPX1339" s="4" t="s">
        <v>2883</v>
      </c>
      <c r="SPY1339" s="4" t="s">
        <v>2883</v>
      </c>
      <c r="SPZ1339" s="4" t="s">
        <v>2883</v>
      </c>
      <c r="SQA1339" s="4" t="s">
        <v>2883</v>
      </c>
      <c r="SQB1339" s="4" t="s">
        <v>2883</v>
      </c>
      <c r="SQC1339" s="4" t="s">
        <v>2883</v>
      </c>
      <c r="SQD1339" s="4" t="s">
        <v>2883</v>
      </c>
      <c r="SQE1339" s="4" t="s">
        <v>2883</v>
      </c>
      <c r="SQF1339" s="4" t="s">
        <v>2883</v>
      </c>
      <c r="SQG1339" s="4" t="s">
        <v>2883</v>
      </c>
      <c r="SQH1339" s="4" t="s">
        <v>2883</v>
      </c>
      <c r="SQI1339" s="4" t="s">
        <v>2883</v>
      </c>
      <c r="SQJ1339" s="4" t="s">
        <v>2883</v>
      </c>
      <c r="SQK1339" s="4" t="s">
        <v>2883</v>
      </c>
      <c r="SQL1339" s="4" t="s">
        <v>2883</v>
      </c>
      <c r="SQM1339" s="4" t="s">
        <v>2883</v>
      </c>
      <c r="SQN1339" s="4" t="s">
        <v>2883</v>
      </c>
      <c r="SQO1339" s="4" t="s">
        <v>2883</v>
      </c>
      <c r="SQP1339" s="4" t="s">
        <v>2883</v>
      </c>
      <c r="SQQ1339" s="4" t="s">
        <v>2883</v>
      </c>
      <c r="SQR1339" s="4" t="s">
        <v>2883</v>
      </c>
      <c r="SQS1339" s="4" t="s">
        <v>2883</v>
      </c>
      <c r="SQT1339" s="4" t="s">
        <v>2883</v>
      </c>
      <c r="SQU1339" s="4" t="s">
        <v>2883</v>
      </c>
      <c r="SQV1339" s="4" t="s">
        <v>2883</v>
      </c>
      <c r="SQW1339" s="4" t="s">
        <v>2883</v>
      </c>
      <c r="SQX1339" s="4" t="s">
        <v>2883</v>
      </c>
      <c r="SQY1339" s="4" t="s">
        <v>2883</v>
      </c>
      <c r="SQZ1339" s="4" t="s">
        <v>2883</v>
      </c>
      <c r="SRA1339" s="4" t="s">
        <v>2883</v>
      </c>
      <c r="SRB1339" s="4" t="s">
        <v>2883</v>
      </c>
      <c r="SRC1339" s="4" t="s">
        <v>2883</v>
      </c>
      <c r="SRD1339" s="4" t="s">
        <v>2883</v>
      </c>
      <c r="SRE1339" s="4" t="s">
        <v>2883</v>
      </c>
      <c r="SRF1339" s="4" t="s">
        <v>2883</v>
      </c>
      <c r="SRG1339" s="4" t="s">
        <v>2883</v>
      </c>
      <c r="SRH1339" s="4" t="s">
        <v>2883</v>
      </c>
      <c r="SRI1339" s="4" t="s">
        <v>2883</v>
      </c>
      <c r="SRJ1339" s="4" t="s">
        <v>2883</v>
      </c>
      <c r="SRK1339" s="4" t="s">
        <v>2883</v>
      </c>
      <c r="SRL1339" s="4" t="s">
        <v>2883</v>
      </c>
      <c r="SRM1339" s="4" t="s">
        <v>2883</v>
      </c>
      <c r="SRN1339" s="4" t="s">
        <v>2883</v>
      </c>
      <c r="SRO1339" s="4" t="s">
        <v>2883</v>
      </c>
      <c r="SRP1339" s="4" t="s">
        <v>2883</v>
      </c>
      <c r="SRQ1339" s="4" t="s">
        <v>2883</v>
      </c>
      <c r="SRR1339" s="4" t="s">
        <v>2883</v>
      </c>
      <c r="SRS1339" s="4" t="s">
        <v>2883</v>
      </c>
      <c r="SRT1339" s="4" t="s">
        <v>2883</v>
      </c>
      <c r="SRU1339" s="4" t="s">
        <v>2883</v>
      </c>
      <c r="SRV1339" s="4" t="s">
        <v>2883</v>
      </c>
      <c r="SRW1339" s="4" t="s">
        <v>2883</v>
      </c>
      <c r="SRX1339" s="4" t="s">
        <v>2883</v>
      </c>
      <c r="SRY1339" s="4" t="s">
        <v>2883</v>
      </c>
      <c r="SRZ1339" s="4" t="s">
        <v>2883</v>
      </c>
      <c r="SSA1339" s="4" t="s">
        <v>2883</v>
      </c>
      <c r="SSB1339" s="4" t="s">
        <v>2883</v>
      </c>
      <c r="SSC1339" s="4" t="s">
        <v>2883</v>
      </c>
      <c r="SSD1339" s="4" t="s">
        <v>2883</v>
      </c>
      <c r="SSE1339" s="4" t="s">
        <v>2883</v>
      </c>
      <c r="SSF1339" s="4" t="s">
        <v>2883</v>
      </c>
      <c r="SSG1339" s="4" t="s">
        <v>2883</v>
      </c>
      <c r="SSH1339" s="4" t="s">
        <v>2883</v>
      </c>
      <c r="SSI1339" s="4" t="s">
        <v>2883</v>
      </c>
      <c r="SSJ1339" s="4" t="s">
        <v>2883</v>
      </c>
      <c r="SSK1339" s="4" t="s">
        <v>2883</v>
      </c>
      <c r="SSL1339" s="4" t="s">
        <v>2883</v>
      </c>
      <c r="SSM1339" s="4" t="s">
        <v>2883</v>
      </c>
      <c r="SSN1339" s="4" t="s">
        <v>2883</v>
      </c>
      <c r="SSO1339" s="4" t="s">
        <v>2883</v>
      </c>
      <c r="SSP1339" s="4" t="s">
        <v>2883</v>
      </c>
      <c r="SSQ1339" s="4" t="s">
        <v>2883</v>
      </c>
      <c r="SSR1339" s="4" t="s">
        <v>2883</v>
      </c>
      <c r="SSS1339" s="4" t="s">
        <v>2883</v>
      </c>
      <c r="SST1339" s="4" t="s">
        <v>2883</v>
      </c>
      <c r="SSU1339" s="4" t="s">
        <v>2883</v>
      </c>
      <c r="SSV1339" s="4" t="s">
        <v>2883</v>
      </c>
      <c r="SSW1339" s="4" t="s">
        <v>2883</v>
      </c>
      <c r="SSX1339" s="4" t="s">
        <v>2883</v>
      </c>
      <c r="SSY1339" s="4" t="s">
        <v>2883</v>
      </c>
      <c r="SSZ1339" s="4" t="s">
        <v>2883</v>
      </c>
      <c r="STA1339" s="4" t="s">
        <v>2883</v>
      </c>
      <c r="STB1339" s="4" t="s">
        <v>2883</v>
      </c>
      <c r="STC1339" s="4" t="s">
        <v>2883</v>
      </c>
      <c r="STD1339" s="4" t="s">
        <v>2883</v>
      </c>
      <c r="STE1339" s="4" t="s">
        <v>2883</v>
      </c>
      <c r="STF1339" s="4" t="s">
        <v>2883</v>
      </c>
      <c r="STG1339" s="4" t="s">
        <v>2883</v>
      </c>
      <c r="STH1339" s="4" t="s">
        <v>2883</v>
      </c>
      <c r="STI1339" s="4" t="s">
        <v>2883</v>
      </c>
      <c r="STJ1339" s="4" t="s">
        <v>2883</v>
      </c>
      <c r="STK1339" s="4" t="s">
        <v>2883</v>
      </c>
      <c r="STL1339" s="4" t="s">
        <v>2883</v>
      </c>
      <c r="STM1339" s="4" t="s">
        <v>2883</v>
      </c>
      <c r="STN1339" s="4" t="s">
        <v>2883</v>
      </c>
      <c r="STO1339" s="4" t="s">
        <v>2883</v>
      </c>
      <c r="STP1339" s="4" t="s">
        <v>2883</v>
      </c>
      <c r="STQ1339" s="4" t="s">
        <v>2883</v>
      </c>
      <c r="STR1339" s="4" t="s">
        <v>2883</v>
      </c>
      <c r="STS1339" s="4" t="s">
        <v>2883</v>
      </c>
      <c r="STT1339" s="4" t="s">
        <v>2883</v>
      </c>
      <c r="STU1339" s="4" t="s">
        <v>2883</v>
      </c>
      <c r="STV1339" s="4" t="s">
        <v>2883</v>
      </c>
      <c r="STW1339" s="4" t="s">
        <v>2883</v>
      </c>
      <c r="STX1339" s="4" t="s">
        <v>2883</v>
      </c>
      <c r="STY1339" s="4" t="s">
        <v>2883</v>
      </c>
      <c r="STZ1339" s="4" t="s">
        <v>2883</v>
      </c>
      <c r="SUA1339" s="4" t="s">
        <v>2883</v>
      </c>
      <c r="SUB1339" s="4" t="s">
        <v>2883</v>
      </c>
      <c r="SUC1339" s="4" t="s">
        <v>2883</v>
      </c>
      <c r="SUD1339" s="4" t="s">
        <v>2883</v>
      </c>
      <c r="SUE1339" s="4" t="s">
        <v>2883</v>
      </c>
      <c r="SUF1339" s="4" t="s">
        <v>2883</v>
      </c>
      <c r="SUG1339" s="4" t="s">
        <v>2883</v>
      </c>
      <c r="SUH1339" s="4" t="s">
        <v>2883</v>
      </c>
      <c r="SUI1339" s="4" t="s">
        <v>2883</v>
      </c>
      <c r="SUJ1339" s="4" t="s">
        <v>2883</v>
      </c>
      <c r="SUK1339" s="4" t="s">
        <v>2883</v>
      </c>
      <c r="SUL1339" s="4" t="s">
        <v>2883</v>
      </c>
      <c r="SUM1339" s="4" t="s">
        <v>2883</v>
      </c>
      <c r="SUN1339" s="4" t="s">
        <v>2883</v>
      </c>
      <c r="SUO1339" s="4" t="s">
        <v>2883</v>
      </c>
      <c r="SUP1339" s="4" t="s">
        <v>2883</v>
      </c>
      <c r="SUQ1339" s="4" t="s">
        <v>2883</v>
      </c>
      <c r="SUR1339" s="4" t="s">
        <v>2883</v>
      </c>
      <c r="SUS1339" s="4" t="s">
        <v>2883</v>
      </c>
      <c r="SUT1339" s="4" t="s">
        <v>2883</v>
      </c>
      <c r="SUU1339" s="4" t="s">
        <v>2883</v>
      </c>
      <c r="SUV1339" s="4" t="s">
        <v>2883</v>
      </c>
      <c r="SUW1339" s="4" t="s">
        <v>2883</v>
      </c>
      <c r="SUX1339" s="4" t="s">
        <v>2883</v>
      </c>
      <c r="SUY1339" s="4" t="s">
        <v>2883</v>
      </c>
      <c r="SUZ1339" s="4" t="s">
        <v>2883</v>
      </c>
      <c r="SVA1339" s="4" t="s">
        <v>2883</v>
      </c>
      <c r="SVB1339" s="4" t="s">
        <v>2883</v>
      </c>
      <c r="SVC1339" s="4" t="s">
        <v>2883</v>
      </c>
      <c r="SVD1339" s="4" t="s">
        <v>2883</v>
      </c>
      <c r="SVE1339" s="4" t="s">
        <v>2883</v>
      </c>
      <c r="SVF1339" s="4" t="s">
        <v>2883</v>
      </c>
      <c r="SVG1339" s="4" t="s">
        <v>2883</v>
      </c>
      <c r="SVH1339" s="4" t="s">
        <v>2883</v>
      </c>
      <c r="SVI1339" s="4" t="s">
        <v>2883</v>
      </c>
      <c r="SVJ1339" s="4" t="s">
        <v>2883</v>
      </c>
      <c r="SVK1339" s="4" t="s">
        <v>2883</v>
      </c>
      <c r="SVL1339" s="4" t="s">
        <v>2883</v>
      </c>
      <c r="SVM1339" s="4" t="s">
        <v>2883</v>
      </c>
      <c r="SVN1339" s="4" t="s">
        <v>2883</v>
      </c>
      <c r="SVO1339" s="4" t="s">
        <v>2883</v>
      </c>
      <c r="SVP1339" s="4" t="s">
        <v>2883</v>
      </c>
      <c r="SVQ1339" s="4" t="s">
        <v>2883</v>
      </c>
      <c r="SVR1339" s="4" t="s">
        <v>2883</v>
      </c>
      <c r="SVS1339" s="4" t="s">
        <v>2883</v>
      </c>
      <c r="SVT1339" s="4" t="s">
        <v>2883</v>
      </c>
      <c r="SVU1339" s="4" t="s">
        <v>2883</v>
      </c>
      <c r="SVV1339" s="4" t="s">
        <v>2883</v>
      </c>
      <c r="SVW1339" s="4" t="s">
        <v>2883</v>
      </c>
      <c r="SVX1339" s="4" t="s">
        <v>2883</v>
      </c>
      <c r="SVY1339" s="4" t="s">
        <v>2883</v>
      </c>
      <c r="SVZ1339" s="4" t="s">
        <v>2883</v>
      </c>
      <c r="SWA1339" s="4" t="s">
        <v>2883</v>
      </c>
      <c r="SWB1339" s="4" t="s">
        <v>2883</v>
      </c>
      <c r="SWC1339" s="4" t="s">
        <v>2883</v>
      </c>
      <c r="SWD1339" s="4" t="s">
        <v>2883</v>
      </c>
      <c r="SWE1339" s="4" t="s">
        <v>2883</v>
      </c>
      <c r="SWF1339" s="4" t="s">
        <v>2883</v>
      </c>
      <c r="SWG1339" s="4" t="s">
        <v>2883</v>
      </c>
      <c r="SWH1339" s="4" t="s">
        <v>2883</v>
      </c>
      <c r="SWI1339" s="4" t="s">
        <v>2883</v>
      </c>
      <c r="SWJ1339" s="4" t="s">
        <v>2883</v>
      </c>
      <c r="SWK1339" s="4" t="s">
        <v>2883</v>
      </c>
      <c r="SWL1339" s="4" t="s">
        <v>2883</v>
      </c>
      <c r="SWM1339" s="4" t="s">
        <v>2883</v>
      </c>
      <c r="SWN1339" s="4" t="s">
        <v>2883</v>
      </c>
      <c r="SWO1339" s="4" t="s">
        <v>2883</v>
      </c>
      <c r="SWP1339" s="4" t="s">
        <v>2883</v>
      </c>
      <c r="SWQ1339" s="4" t="s">
        <v>2883</v>
      </c>
      <c r="SWR1339" s="4" t="s">
        <v>2883</v>
      </c>
      <c r="SWS1339" s="4" t="s">
        <v>2883</v>
      </c>
      <c r="SWT1339" s="4" t="s">
        <v>2883</v>
      </c>
      <c r="SWU1339" s="4" t="s">
        <v>2883</v>
      </c>
      <c r="SWV1339" s="4" t="s">
        <v>2883</v>
      </c>
      <c r="SWW1339" s="4" t="s">
        <v>2883</v>
      </c>
      <c r="SWX1339" s="4" t="s">
        <v>2883</v>
      </c>
      <c r="SWY1339" s="4" t="s">
        <v>2883</v>
      </c>
      <c r="SWZ1339" s="4" t="s">
        <v>2883</v>
      </c>
      <c r="SXA1339" s="4" t="s">
        <v>2883</v>
      </c>
      <c r="SXB1339" s="4" t="s">
        <v>2883</v>
      </c>
      <c r="SXC1339" s="4" t="s">
        <v>2883</v>
      </c>
      <c r="SXD1339" s="4" t="s">
        <v>2883</v>
      </c>
      <c r="SXE1339" s="4" t="s">
        <v>2883</v>
      </c>
      <c r="SXF1339" s="4" t="s">
        <v>2883</v>
      </c>
      <c r="SXG1339" s="4" t="s">
        <v>2883</v>
      </c>
      <c r="SXH1339" s="4" t="s">
        <v>2883</v>
      </c>
      <c r="SXI1339" s="4" t="s">
        <v>2883</v>
      </c>
      <c r="SXJ1339" s="4" t="s">
        <v>2883</v>
      </c>
      <c r="SXK1339" s="4" t="s">
        <v>2883</v>
      </c>
      <c r="SXL1339" s="4" t="s">
        <v>2883</v>
      </c>
      <c r="SXM1339" s="4" t="s">
        <v>2883</v>
      </c>
      <c r="SXN1339" s="4" t="s">
        <v>2883</v>
      </c>
      <c r="SXO1339" s="4" t="s">
        <v>2883</v>
      </c>
      <c r="SXP1339" s="4" t="s">
        <v>2883</v>
      </c>
      <c r="SXQ1339" s="4" t="s">
        <v>2883</v>
      </c>
      <c r="SXR1339" s="4" t="s">
        <v>2883</v>
      </c>
      <c r="SXS1339" s="4" t="s">
        <v>2883</v>
      </c>
      <c r="SXT1339" s="4" t="s">
        <v>2883</v>
      </c>
      <c r="SXU1339" s="4" t="s">
        <v>2883</v>
      </c>
      <c r="SXV1339" s="4" t="s">
        <v>2883</v>
      </c>
      <c r="SXW1339" s="4" t="s">
        <v>2883</v>
      </c>
      <c r="SXX1339" s="4" t="s">
        <v>2883</v>
      </c>
      <c r="SXY1339" s="4" t="s">
        <v>2883</v>
      </c>
      <c r="SXZ1339" s="4" t="s">
        <v>2883</v>
      </c>
      <c r="SYA1339" s="4" t="s">
        <v>2883</v>
      </c>
      <c r="SYB1339" s="4" t="s">
        <v>2883</v>
      </c>
      <c r="SYC1339" s="4" t="s">
        <v>2883</v>
      </c>
      <c r="SYD1339" s="4" t="s">
        <v>2883</v>
      </c>
      <c r="SYE1339" s="4" t="s">
        <v>2883</v>
      </c>
      <c r="SYF1339" s="4" t="s">
        <v>2883</v>
      </c>
      <c r="SYG1339" s="4" t="s">
        <v>2883</v>
      </c>
      <c r="SYH1339" s="4" t="s">
        <v>2883</v>
      </c>
      <c r="SYI1339" s="4" t="s">
        <v>2883</v>
      </c>
      <c r="SYJ1339" s="4" t="s">
        <v>2883</v>
      </c>
      <c r="SYK1339" s="4" t="s">
        <v>2883</v>
      </c>
      <c r="SYL1339" s="4" t="s">
        <v>2883</v>
      </c>
      <c r="SYM1339" s="4" t="s">
        <v>2883</v>
      </c>
      <c r="SYN1339" s="4" t="s">
        <v>2883</v>
      </c>
      <c r="SYO1339" s="4" t="s">
        <v>2883</v>
      </c>
      <c r="SYP1339" s="4" t="s">
        <v>2883</v>
      </c>
      <c r="SYQ1339" s="4" t="s">
        <v>2883</v>
      </c>
      <c r="SYR1339" s="4" t="s">
        <v>2883</v>
      </c>
      <c r="SYS1339" s="4" t="s">
        <v>2883</v>
      </c>
      <c r="SYT1339" s="4" t="s">
        <v>2883</v>
      </c>
      <c r="SYU1339" s="4" t="s">
        <v>2883</v>
      </c>
      <c r="SYV1339" s="4" t="s">
        <v>2883</v>
      </c>
      <c r="SYW1339" s="4" t="s">
        <v>2883</v>
      </c>
      <c r="SYX1339" s="4" t="s">
        <v>2883</v>
      </c>
      <c r="SYY1339" s="4" t="s">
        <v>2883</v>
      </c>
      <c r="SYZ1339" s="4" t="s">
        <v>2883</v>
      </c>
      <c r="SZA1339" s="4" t="s">
        <v>2883</v>
      </c>
      <c r="SZB1339" s="4" t="s">
        <v>2883</v>
      </c>
      <c r="SZC1339" s="4" t="s">
        <v>2883</v>
      </c>
      <c r="SZD1339" s="4" t="s">
        <v>2883</v>
      </c>
      <c r="SZE1339" s="4" t="s">
        <v>2883</v>
      </c>
      <c r="SZF1339" s="4" t="s">
        <v>2883</v>
      </c>
      <c r="SZG1339" s="4" t="s">
        <v>2883</v>
      </c>
      <c r="SZH1339" s="4" t="s">
        <v>2883</v>
      </c>
      <c r="SZI1339" s="4" t="s">
        <v>2883</v>
      </c>
      <c r="SZJ1339" s="4" t="s">
        <v>2883</v>
      </c>
      <c r="SZK1339" s="4" t="s">
        <v>2883</v>
      </c>
      <c r="SZL1339" s="4" t="s">
        <v>2883</v>
      </c>
      <c r="SZM1339" s="4" t="s">
        <v>2883</v>
      </c>
      <c r="SZN1339" s="4" t="s">
        <v>2883</v>
      </c>
      <c r="SZO1339" s="4" t="s">
        <v>2883</v>
      </c>
      <c r="SZP1339" s="4" t="s">
        <v>2883</v>
      </c>
      <c r="SZQ1339" s="4" t="s">
        <v>2883</v>
      </c>
      <c r="SZR1339" s="4" t="s">
        <v>2883</v>
      </c>
      <c r="SZS1339" s="4" t="s">
        <v>2883</v>
      </c>
      <c r="SZT1339" s="4" t="s">
        <v>2883</v>
      </c>
      <c r="SZU1339" s="4" t="s">
        <v>2883</v>
      </c>
      <c r="SZV1339" s="4" t="s">
        <v>2883</v>
      </c>
      <c r="SZW1339" s="4" t="s">
        <v>2883</v>
      </c>
      <c r="SZX1339" s="4" t="s">
        <v>2883</v>
      </c>
      <c r="SZY1339" s="4" t="s">
        <v>2883</v>
      </c>
      <c r="SZZ1339" s="4" t="s">
        <v>2883</v>
      </c>
      <c r="TAA1339" s="4" t="s">
        <v>2883</v>
      </c>
      <c r="TAB1339" s="4" t="s">
        <v>2883</v>
      </c>
      <c r="TAC1339" s="4" t="s">
        <v>2883</v>
      </c>
      <c r="TAD1339" s="4" t="s">
        <v>2883</v>
      </c>
      <c r="TAE1339" s="4" t="s">
        <v>2883</v>
      </c>
      <c r="TAF1339" s="4" t="s">
        <v>2883</v>
      </c>
      <c r="TAG1339" s="4" t="s">
        <v>2883</v>
      </c>
      <c r="TAH1339" s="4" t="s">
        <v>2883</v>
      </c>
      <c r="TAI1339" s="4" t="s">
        <v>2883</v>
      </c>
      <c r="TAJ1339" s="4" t="s">
        <v>2883</v>
      </c>
      <c r="TAK1339" s="4" t="s">
        <v>2883</v>
      </c>
      <c r="TAL1339" s="4" t="s">
        <v>2883</v>
      </c>
      <c r="TAM1339" s="4" t="s">
        <v>2883</v>
      </c>
      <c r="TAN1339" s="4" t="s">
        <v>2883</v>
      </c>
      <c r="TAO1339" s="4" t="s">
        <v>2883</v>
      </c>
      <c r="TAP1339" s="4" t="s">
        <v>2883</v>
      </c>
      <c r="TAQ1339" s="4" t="s">
        <v>2883</v>
      </c>
      <c r="TAR1339" s="4" t="s">
        <v>2883</v>
      </c>
      <c r="TAS1339" s="4" t="s">
        <v>2883</v>
      </c>
      <c r="TAT1339" s="4" t="s">
        <v>2883</v>
      </c>
      <c r="TAU1339" s="4" t="s">
        <v>2883</v>
      </c>
      <c r="TAV1339" s="4" t="s">
        <v>2883</v>
      </c>
      <c r="TAW1339" s="4" t="s">
        <v>2883</v>
      </c>
      <c r="TAX1339" s="4" t="s">
        <v>2883</v>
      </c>
      <c r="TAY1339" s="4" t="s">
        <v>2883</v>
      </c>
      <c r="TAZ1339" s="4" t="s">
        <v>2883</v>
      </c>
      <c r="TBA1339" s="4" t="s">
        <v>2883</v>
      </c>
      <c r="TBB1339" s="4" t="s">
        <v>2883</v>
      </c>
      <c r="TBC1339" s="4" t="s">
        <v>2883</v>
      </c>
      <c r="TBD1339" s="4" t="s">
        <v>2883</v>
      </c>
      <c r="TBE1339" s="4" t="s">
        <v>2883</v>
      </c>
      <c r="TBF1339" s="4" t="s">
        <v>2883</v>
      </c>
      <c r="TBG1339" s="4" t="s">
        <v>2883</v>
      </c>
      <c r="TBH1339" s="4" t="s">
        <v>2883</v>
      </c>
      <c r="TBI1339" s="4" t="s">
        <v>2883</v>
      </c>
      <c r="TBJ1339" s="4" t="s">
        <v>2883</v>
      </c>
      <c r="TBK1339" s="4" t="s">
        <v>2883</v>
      </c>
      <c r="TBL1339" s="4" t="s">
        <v>2883</v>
      </c>
      <c r="TBM1339" s="4" t="s">
        <v>2883</v>
      </c>
      <c r="TBN1339" s="4" t="s">
        <v>2883</v>
      </c>
      <c r="TBO1339" s="4" t="s">
        <v>2883</v>
      </c>
      <c r="TBP1339" s="4" t="s">
        <v>2883</v>
      </c>
      <c r="TBQ1339" s="4" t="s">
        <v>2883</v>
      </c>
      <c r="TBR1339" s="4" t="s">
        <v>2883</v>
      </c>
      <c r="TBS1339" s="4" t="s">
        <v>2883</v>
      </c>
      <c r="TBT1339" s="4" t="s">
        <v>2883</v>
      </c>
      <c r="TBU1339" s="4" t="s">
        <v>2883</v>
      </c>
      <c r="TBV1339" s="4" t="s">
        <v>2883</v>
      </c>
      <c r="TBW1339" s="4" t="s">
        <v>2883</v>
      </c>
      <c r="TBX1339" s="4" t="s">
        <v>2883</v>
      </c>
      <c r="TBY1339" s="4" t="s">
        <v>2883</v>
      </c>
      <c r="TBZ1339" s="4" t="s">
        <v>2883</v>
      </c>
      <c r="TCA1339" s="4" t="s">
        <v>2883</v>
      </c>
      <c r="TCB1339" s="4" t="s">
        <v>2883</v>
      </c>
      <c r="TCC1339" s="4" t="s">
        <v>2883</v>
      </c>
      <c r="TCD1339" s="4" t="s">
        <v>2883</v>
      </c>
      <c r="TCE1339" s="4" t="s">
        <v>2883</v>
      </c>
      <c r="TCF1339" s="4" t="s">
        <v>2883</v>
      </c>
      <c r="TCG1339" s="4" t="s">
        <v>2883</v>
      </c>
      <c r="TCH1339" s="4" t="s">
        <v>2883</v>
      </c>
      <c r="TCI1339" s="4" t="s">
        <v>2883</v>
      </c>
      <c r="TCJ1339" s="4" t="s">
        <v>2883</v>
      </c>
      <c r="TCK1339" s="4" t="s">
        <v>2883</v>
      </c>
      <c r="TCL1339" s="4" t="s">
        <v>2883</v>
      </c>
      <c r="TCM1339" s="4" t="s">
        <v>2883</v>
      </c>
      <c r="TCN1339" s="4" t="s">
        <v>2883</v>
      </c>
      <c r="TCO1339" s="4" t="s">
        <v>2883</v>
      </c>
      <c r="TCP1339" s="4" t="s">
        <v>2883</v>
      </c>
      <c r="TCQ1339" s="4" t="s">
        <v>2883</v>
      </c>
      <c r="TCR1339" s="4" t="s">
        <v>2883</v>
      </c>
      <c r="TCS1339" s="4" t="s">
        <v>2883</v>
      </c>
      <c r="TCT1339" s="4" t="s">
        <v>2883</v>
      </c>
      <c r="TCU1339" s="4" t="s">
        <v>2883</v>
      </c>
      <c r="TCV1339" s="4" t="s">
        <v>2883</v>
      </c>
      <c r="TCW1339" s="4" t="s">
        <v>2883</v>
      </c>
      <c r="TCX1339" s="4" t="s">
        <v>2883</v>
      </c>
      <c r="TCY1339" s="4" t="s">
        <v>2883</v>
      </c>
      <c r="TCZ1339" s="4" t="s">
        <v>2883</v>
      </c>
      <c r="TDA1339" s="4" t="s">
        <v>2883</v>
      </c>
      <c r="TDB1339" s="4" t="s">
        <v>2883</v>
      </c>
      <c r="TDC1339" s="4" t="s">
        <v>2883</v>
      </c>
      <c r="TDD1339" s="4" t="s">
        <v>2883</v>
      </c>
      <c r="TDE1339" s="4" t="s">
        <v>2883</v>
      </c>
      <c r="TDF1339" s="4" t="s">
        <v>2883</v>
      </c>
      <c r="TDG1339" s="4" t="s">
        <v>2883</v>
      </c>
      <c r="TDH1339" s="4" t="s">
        <v>2883</v>
      </c>
      <c r="TDI1339" s="4" t="s">
        <v>2883</v>
      </c>
      <c r="TDJ1339" s="4" t="s">
        <v>2883</v>
      </c>
      <c r="TDK1339" s="4" t="s">
        <v>2883</v>
      </c>
      <c r="TDL1339" s="4" t="s">
        <v>2883</v>
      </c>
      <c r="TDM1339" s="4" t="s">
        <v>2883</v>
      </c>
      <c r="TDN1339" s="4" t="s">
        <v>2883</v>
      </c>
      <c r="TDO1339" s="4" t="s">
        <v>2883</v>
      </c>
      <c r="TDP1339" s="4" t="s">
        <v>2883</v>
      </c>
      <c r="TDQ1339" s="4" t="s">
        <v>2883</v>
      </c>
      <c r="TDR1339" s="4" t="s">
        <v>2883</v>
      </c>
      <c r="TDS1339" s="4" t="s">
        <v>2883</v>
      </c>
      <c r="TDT1339" s="4" t="s">
        <v>2883</v>
      </c>
      <c r="TDU1339" s="4" t="s">
        <v>2883</v>
      </c>
      <c r="TDV1339" s="4" t="s">
        <v>2883</v>
      </c>
      <c r="TDW1339" s="4" t="s">
        <v>2883</v>
      </c>
      <c r="TDX1339" s="4" t="s">
        <v>2883</v>
      </c>
      <c r="TDY1339" s="4" t="s">
        <v>2883</v>
      </c>
      <c r="TDZ1339" s="4" t="s">
        <v>2883</v>
      </c>
      <c r="TEA1339" s="4" t="s">
        <v>2883</v>
      </c>
      <c r="TEB1339" s="4" t="s">
        <v>2883</v>
      </c>
      <c r="TEC1339" s="4" t="s">
        <v>2883</v>
      </c>
      <c r="TED1339" s="4" t="s">
        <v>2883</v>
      </c>
      <c r="TEE1339" s="4" t="s">
        <v>2883</v>
      </c>
      <c r="TEF1339" s="4" t="s">
        <v>2883</v>
      </c>
      <c r="TEG1339" s="4" t="s">
        <v>2883</v>
      </c>
      <c r="TEH1339" s="4" t="s">
        <v>2883</v>
      </c>
      <c r="TEI1339" s="4" t="s">
        <v>2883</v>
      </c>
      <c r="TEJ1339" s="4" t="s">
        <v>2883</v>
      </c>
      <c r="TEK1339" s="4" t="s">
        <v>2883</v>
      </c>
      <c r="TEL1339" s="4" t="s">
        <v>2883</v>
      </c>
      <c r="TEM1339" s="4" t="s">
        <v>2883</v>
      </c>
      <c r="TEN1339" s="4" t="s">
        <v>2883</v>
      </c>
      <c r="TEO1339" s="4" t="s">
        <v>2883</v>
      </c>
      <c r="TEP1339" s="4" t="s">
        <v>2883</v>
      </c>
      <c r="TEQ1339" s="4" t="s">
        <v>2883</v>
      </c>
      <c r="TER1339" s="4" t="s">
        <v>2883</v>
      </c>
      <c r="TES1339" s="4" t="s">
        <v>2883</v>
      </c>
      <c r="TET1339" s="4" t="s">
        <v>2883</v>
      </c>
      <c r="TEU1339" s="4" t="s">
        <v>2883</v>
      </c>
      <c r="TEV1339" s="4" t="s">
        <v>2883</v>
      </c>
      <c r="TEW1339" s="4" t="s">
        <v>2883</v>
      </c>
      <c r="TEX1339" s="4" t="s">
        <v>2883</v>
      </c>
      <c r="TEY1339" s="4" t="s">
        <v>2883</v>
      </c>
      <c r="TEZ1339" s="4" t="s">
        <v>2883</v>
      </c>
      <c r="TFA1339" s="4" t="s">
        <v>2883</v>
      </c>
      <c r="TFB1339" s="4" t="s">
        <v>2883</v>
      </c>
      <c r="TFC1339" s="4" t="s">
        <v>2883</v>
      </c>
      <c r="TFD1339" s="4" t="s">
        <v>2883</v>
      </c>
      <c r="TFE1339" s="4" t="s">
        <v>2883</v>
      </c>
      <c r="TFF1339" s="4" t="s">
        <v>2883</v>
      </c>
      <c r="TFG1339" s="4" t="s">
        <v>2883</v>
      </c>
      <c r="TFH1339" s="4" t="s">
        <v>2883</v>
      </c>
      <c r="TFI1339" s="4" t="s">
        <v>2883</v>
      </c>
      <c r="TFJ1339" s="4" t="s">
        <v>2883</v>
      </c>
      <c r="TFK1339" s="4" t="s">
        <v>2883</v>
      </c>
      <c r="TFL1339" s="4" t="s">
        <v>2883</v>
      </c>
      <c r="TFM1339" s="4" t="s">
        <v>2883</v>
      </c>
      <c r="TFN1339" s="4" t="s">
        <v>2883</v>
      </c>
      <c r="TFO1339" s="4" t="s">
        <v>2883</v>
      </c>
      <c r="TFP1339" s="4" t="s">
        <v>2883</v>
      </c>
      <c r="TFQ1339" s="4" t="s">
        <v>2883</v>
      </c>
      <c r="TFR1339" s="4" t="s">
        <v>2883</v>
      </c>
      <c r="TFS1339" s="4" t="s">
        <v>2883</v>
      </c>
      <c r="TFT1339" s="4" t="s">
        <v>2883</v>
      </c>
      <c r="TFU1339" s="4" t="s">
        <v>2883</v>
      </c>
      <c r="TFV1339" s="4" t="s">
        <v>2883</v>
      </c>
      <c r="TFW1339" s="4" t="s">
        <v>2883</v>
      </c>
      <c r="TFX1339" s="4" t="s">
        <v>2883</v>
      </c>
      <c r="TFY1339" s="4" t="s">
        <v>2883</v>
      </c>
      <c r="TFZ1339" s="4" t="s">
        <v>2883</v>
      </c>
      <c r="TGA1339" s="4" t="s">
        <v>2883</v>
      </c>
      <c r="TGB1339" s="4" t="s">
        <v>2883</v>
      </c>
      <c r="TGC1339" s="4" t="s">
        <v>2883</v>
      </c>
      <c r="TGD1339" s="4" t="s">
        <v>2883</v>
      </c>
      <c r="TGE1339" s="4" t="s">
        <v>2883</v>
      </c>
      <c r="TGF1339" s="4" t="s">
        <v>2883</v>
      </c>
      <c r="TGG1339" s="4" t="s">
        <v>2883</v>
      </c>
      <c r="TGH1339" s="4" t="s">
        <v>2883</v>
      </c>
      <c r="TGI1339" s="4" t="s">
        <v>2883</v>
      </c>
      <c r="TGJ1339" s="4" t="s">
        <v>2883</v>
      </c>
      <c r="TGK1339" s="4" t="s">
        <v>2883</v>
      </c>
      <c r="TGL1339" s="4" t="s">
        <v>2883</v>
      </c>
      <c r="TGM1339" s="4" t="s">
        <v>2883</v>
      </c>
      <c r="TGN1339" s="4" t="s">
        <v>2883</v>
      </c>
      <c r="TGO1339" s="4" t="s">
        <v>2883</v>
      </c>
      <c r="TGP1339" s="4" t="s">
        <v>2883</v>
      </c>
      <c r="TGQ1339" s="4" t="s">
        <v>2883</v>
      </c>
      <c r="TGR1339" s="4" t="s">
        <v>2883</v>
      </c>
      <c r="TGS1339" s="4" t="s">
        <v>2883</v>
      </c>
      <c r="TGT1339" s="4" t="s">
        <v>2883</v>
      </c>
      <c r="TGU1339" s="4" t="s">
        <v>2883</v>
      </c>
      <c r="TGV1339" s="4" t="s">
        <v>2883</v>
      </c>
      <c r="TGW1339" s="4" t="s">
        <v>2883</v>
      </c>
      <c r="TGX1339" s="4" t="s">
        <v>2883</v>
      </c>
      <c r="TGY1339" s="4" t="s">
        <v>2883</v>
      </c>
      <c r="TGZ1339" s="4" t="s">
        <v>2883</v>
      </c>
      <c r="THA1339" s="4" t="s">
        <v>2883</v>
      </c>
      <c r="THB1339" s="4" t="s">
        <v>2883</v>
      </c>
      <c r="THC1339" s="4" t="s">
        <v>2883</v>
      </c>
      <c r="THD1339" s="4" t="s">
        <v>2883</v>
      </c>
      <c r="THE1339" s="4" t="s">
        <v>2883</v>
      </c>
      <c r="THF1339" s="4" t="s">
        <v>2883</v>
      </c>
      <c r="THG1339" s="4" t="s">
        <v>2883</v>
      </c>
      <c r="THH1339" s="4" t="s">
        <v>2883</v>
      </c>
      <c r="THI1339" s="4" t="s">
        <v>2883</v>
      </c>
      <c r="THJ1339" s="4" t="s">
        <v>2883</v>
      </c>
      <c r="THK1339" s="4" t="s">
        <v>2883</v>
      </c>
      <c r="THL1339" s="4" t="s">
        <v>2883</v>
      </c>
      <c r="THM1339" s="4" t="s">
        <v>2883</v>
      </c>
      <c r="THN1339" s="4" t="s">
        <v>2883</v>
      </c>
      <c r="THO1339" s="4" t="s">
        <v>2883</v>
      </c>
      <c r="THP1339" s="4" t="s">
        <v>2883</v>
      </c>
      <c r="THQ1339" s="4" t="s">
        <v>2883</v>
      </c>
      <c r="THR1339" s="4" t="s">
        <v>2883</v>
      </c>
      <c r="THS1339" s="4" t="s">
        <v>2883</v>
      </c>
      <c r="THT1339" s="4" t="s">
        <v>2883</v>
      </c>
      <c r="THU1339" s="4" t="s">
        <v>2883</v>
      </c>
      <c r="THV1339" s="4" t="s">
        <v>2883</v>
      </c>
      <c r="THW1339" s="4" t="s">
        <v>2883</v>
      </c>
      <c r="THX1339" s="4" t="s">
        <v>2883</v>
      </c>
      <c r="THY1339" s="4" t="s">
        <v>2883</v>
      </c>
      <c r="THZ1339" s="4" t="s">
        <v>2883</v>
      </c>
      <c r="TIA1339" s="4" t="s">
        <v>2883</v>
      </c>
      <c r="TIB1339" s="4" t="s">
        <v>2883</v>
      </c>
      <c r="TIC1339" s="4" t="s">
        <v>2883</v>
      </c>
      <c r="TID1339" s="4" t="s">
        <v>2883</v>
      </c>
      <c r="TIE1339" s="4" t="s">
        <v>2883</v>
      </c>
      <c r="TIF1339" s="4" t="s">
        <v>2883</v>
      </c>
      <c r="TIG1339" s="4" t="s">
        <v>2883</v>
      </c>
      <c r="TIH1339" s="4" t="s">
        <v>2883</v>
      </c>
      <c r="TII1339" s="4" t="s">
        <v>2883</v>
      </c>
      <c r="TIJ1339" s="4" t="s">
        <v>2883</v>
      </c>
      <c r="TIK1339" s="4" t="s">
        <v>2883</v>
      </c>
      <c r="TIL1339" s="4" t="s">
        <v>2883</v>
      </c>
      <c r="TIM1339" s="4" t="s">
        <v>2883</v>
      </c>
      <c r="TIN1339" s="4" t="s">
        <v>2883</v>
      </c>
      <c r="TIO1339" s="4" t="s">
        <v>2883</v>
      </c>
      <c r="TIP1339" s="4" t="s">
        <v>2883</v>
      </c>
      <c r="TIQ1339" s="4" t="s">
        <v>2883</v>
      </c>
      <c r="TIR1339" s="4" t="s">
        <v>2883</v>
      </c>
      <c r="TIS1339" s="4" t="s">
        <v>2883</v>
      </c>
      <c r="TIT1339" s="4" t="s">
        <v>2883</v>
      </c>
      <c r="TIU1339" s="4" t="s">
        <v>2883</v>
      </c>
      <c r="TIV1339" s="4" t="s">
        <v>2883</v>
      </c>
      <c r="TIW1339" s="4" t="s">
        <v>2883</v>
      </c>
      <c r="TIX1339" s="4" t="s">
        <v>2883</v>
      </c>
      <c r="TIY1339" s="4" t="s">
        <v>2883</v>
      </c>
      <c r="TIZ1339" s="4" t="s">
        <v>2883</v>
      </c>
      <c r="TJA1339" s="4" t="s">
        <v>2883</v>
      </c>
      <c r="TJB1339" s="4" t="s">
        <v>2883</v>
      </c>
      <c r="TJC1339" s="4" t="s">
        <v>2883</v>
      </c>
      <c r="TJD1339" s="4" t="s">
        <v>2883</v>
      </c>
      <c r="TJE1339" s="4" t="s">
        <v>2883</v>
      </c>
      <c r="TJF1339" s="4" t="s">
        <v>2883</v>
      </c>
      <c r="TJG1339" s="4" t="s">
        <v>2883</v>
      </c>
      <c r="TJH1339" s="4" t="s">
        <v>2883</v>
      </c>
      <c r="TJI1339" s="4" t="s">
        <v>2883</v>
      </c>
      <c r="TJJ1339" s="4" t="s">
        <v>2883</v>
      </c>
      <c r="TJK1339" s="4" t="s">
        <v>2883</v>
      </c>
      <c r="TJL1339" s="4" t="s">
        <v>2883</v>
      </c>
      <c r="TJM1339" s="4" t="s">
        <v>2883</v>
      </c>
      <c r="TJN1339" s="4" t="s">
        <v>2883</v>
      </c>
      <c r="TJO1339" s="4" t="s">
        <v>2883</v>
      </c>
      <c r="TJP1339" s="4" t="s">
        <v>2883</v>
      </c>
      <c r="TJQ1339" s="4" t="s">
        <v>2883</v>
      </c>
      <c r="TJR1339" s="4" t="s">
        <v>2883</v>
      </c>
      <c r="TJS1339" s="4" t="s">
        <v>2883</v>
      </c>
      <c r="TJT1339" s="4" t="s">
        <v>2883</v>
      </c>
      <c r="TJU1339" s="4" t="s">
        <v>2883</v>
      </c>
      <c r="TJV1339" s="4" t="s">
        <v>2883</v>
      </c>
      <c r="TJW1339" s="4" t="s">
        <v>2883</v>
      </c>
      <c r="TJX1339" s="4" t="s">
        <v>2883</v>
      </c>
      <c r="TJY1339" s="4" t="s">
        <v>2883</v>
      </c>
      <c r="TJZ1339" s="4" t="s">
        <v>2883</v>
      </c>
      <c r="TKA1339" s="4" t="s">
        <v>2883</v>
      </c>
      <c r="TKB1339" s="4" t="s">
        <v>2883</v>
      </c>
      <c r="TKC1339" s="4" t="s">
        <v>2883</v>
      </c>
      <c r="TKD1339" s="4" t="s">
        <v>2883</v>
      </c>
      <c r="TKE1339" s="4" t="s">
        <v>2883</v>
      </c>
      <c r="TKF1339" s="4" t="s">
        <v>2883</v>
      </c>
      <c r="TKG1339" s="4" t="s">
        <v>2883</v>
      </c>
      <c r="TKH1339" s="4" t="s">
        <v>2883</v>
      </c>
      <c r="TKI1339" s="4" t="s">
        <v>2883</v>
      </c>
      <c r="TKJ1339" s="4" t="s">
        <v>2883</v>
      </c>
      <c r="TKK1339" s="4" t="s">
        <v>2883</v>
      </c>
      <c r="TKL1339" s="4" t="s">
        <v>2883</v>
      </c>
      <c r="TKM1339" s="4" t="s">
        <v>2883</v>
      </c>
      <c r="TKN1339" s="4" t="s">
        <v>2883</v>
      </c>
      <c r="TKO1339" s="4" t="s">
        <v>2883</v>
      </c>
      <c r="TKP1339" s="4" t="s">
        <v>2883</v>
      </c>
      <c r="TKQ1339" s="4" t="s">
        <v>2883</v>
      </c>
      <c r="TKR1339" s="4" t="s">
        <v>2883</v>
      </c>
      <c r="TKS1339" s="4" t="s">
        <v>2883</v>
      </c>
      <c r="TKT1339" s="4" t="s">
        <v>2883</v>
      </c>
      <c r="TKU1339" s="4" t="s">
        <v>2883</v>
      </c>
      <c r="TKV1339" s="4" t="s">
        <v>2883</v>
      </c>
      <c r="TKW1339" s="4" t="s">
        <v>2883</v>
      </c>
      <c r="TKX1339" s="4" t="s">
        <v>2883</v>
      </c>
      <c r="TKY1339" s="4" t="s">
        <v>2883</v>
      </c>
      <c r="TKZ1339" s="4" t="s">
        <v>2883</v>
      </c>
      <c r="TLA1339" s="4" t="s">
        <v>2883</v>
      </c>
      <c r="TLB1339" s="4" t="s">
        <v>2883</v>
      </c>
      <c r="TLC1339" s="4" t="s">
        <v>2883</v>
      </c>
      <c r="TLD1339" s="4" t="s">
        <v>2883</v>
      </c>
      <c r="TLE1339" s="4" t="s">
        <v>2883</v>
      </c>
      <c r="TLF1339" s="4" t="s">
        <v>2883</v>
      </c>
      <c r="TLG1339" s="4" t="s">
        <v>2883</v>
      </c>
      <c r="TLH1339" s="4" t="s">
        <v>2883</v>
      </c>
      <c r="TLI1339" s="4" t="s">
        <v>2883</v>
      </c>
      <c r="TLJ1339" s="4" t="s">
        <v>2883</v>
      </c>
      <c r="TLK1339" s="4" t="s">
        <v>2883</v>
      </c>
      <c r="TLL1339" s="4" t="s">
        <v>2883</v>
      </c>
      <c r="TLM1339" s="4" t="s">
        <v>2883</v>
      </c>
      <c r="TLN1339" s="4" t="s">
        <v>2883</v>
      </c>
      <c r="TLO1339" s="4" t="s">
        <v>2883</v>
      </c>
      <c r="TLP1339" s="4" t="s">
        <v>2883</v>
      </c>
      <c r="TLQ1339" s="4" t="s">
        <v>2883</v>
      </c>
      <c r="TLR1339" s="4" t="s">
        <v>2883</v>
      </c>
      <c r="TLS1339" s="4" t="s">
        <v>2883</v>
      </c>
      <c r="TLT1339" s="4" t="s">
        <v>2883</v>
      </c>
      <c r="TLU1339" s="4" t="s">
        <v>2883</v>
      </c>
      <c r="TLV1339" s="4" t="s">
        <v>2883</v>
      </c>
      <c r="TLW1339" s="4" t="s">
        <v>2883</v>
      </c>
      <c r="TLX1339" s="4" t="s">
        <v>2883</v>
      </c>
      <c r="TLY1339" s="4" t="s">
        <v>2883</v>
      </c>
      <c r="TLZ1339" s="4" t="s">
        <v>2883</v>
      </c>
      <c r="TMA1339" s="4" t="s">
        <v>2883</v>
      </c>
      <c r="TMB1339" s="4" t="s">
        <v>2883</v>
      </c>
      <c r="TMC1339" s="4" t="s">
        <v>2883</v>
      </c>
      <c r="TMD1339" s="4" t="s">
        <v>2883</v>
      </c>
      <c r="TME1339" s="4" t="s">
        <v>2883</v>
      </c>
      <c r="TMF1339" s="4" t="s">
        <v>2883</v>
      </c>
      <c r="TMG1339" s="4" t="s">
        <v>2883</v>
      </c>
      <c r="TMH1339" s="4" t="s">
        <v>2883</v>
      </c>
      <c r="TMI1339" s="4" t="s">
        <v>2883</v>
      </c>
      <c r="TMJ1339" s="4" t="s">
        <v>2883</v>
      </c>
      <c r="TMK1339" s="4" t="s">
        <v>2883</v>
      </c>
      <c r="TML1339" s="4" t="s">
        <v>2883</v>
      </c>
      <c r="TMM1339" s="4" t="s">
        <v>2883</v>
      </c>
      <c r="TMN1339" s="4" t="s">
        <v>2883</v>
      </c>
      <c r="TMO1339" s="4" t="s">
        <v>2883</v>
      </c>
      <c r="TMP1339" s="4" t="s">
        <v>2883</v>
      </c>
      <c r="TMQ1339" s="4" t="s">
        <v>2883</v>
      </c>
      <c r="TMR1339" s="4" t="s">
        <v>2883</v>
      </c>
      <c r="TMS1339" s="4" t="s">
        <v>2883</v>
      </c>
      <c r="TMT1339" s="4" t="s">
        <v>2883</v>
      </c>
      <c r="TMU1339" s="4" t="s">
        <v>2883</v>
      </c>
      <c r="TMV1339" s="4" t="s">
        <v>2883</v>
      </c>
      <c r="TMW1339" s="4" t="s">
        <v>2883</v>
      </c>
      <c r="TMX1339" s="4" t="s">
        <v>2883</v>
      </c>
      <c r="TMY1339" s="4" t="s">
        <v>2883</v>
      </c>
      <c r="TMZ1339" s="4" t="s">
        <v>2883</v>
      </c>
      <c r="TNA1339" s="4" t="s">
        <v>2883</v>
      </c>
      <c r="TNB1339" s="4" t="s">
        <v>2883</v>
      </c>
      <c r="TNC1339" s="4" t="s">
        <v>2883</v>
      </c>
      <c r="TND1339" s="4" t="s">
        <v>2883</v>
      </c>
      <c r="TNE1339" s="4" t="s">
        <v>2883</v>
      </c>
      <c r="TNF1339" s="4" t="s">
        <v>2883</v>
      </c>
      <c r="TNG1339" s="4" t="s">
        <v>2883</v>
      </c>
      <c r="TNH1339" s="4" t="s">
        <v>2883</v>
      </c>
      <c r="TNI1339" s="4" t="s">
        <v>2883</v>
      </c>
      <c r="TNJ1339" s="4" t="s">
        <v>2883</v>
      </c>
      <c r="TNK1339" s="4" t="s">
        <v>2883</v>
      </c>
      <c r="TNL1339" s="4" t="s">
        <v>2883</v>
      </c>
      <c r="TNM1339" s="4" t="s">
        <v>2883</v>
      </c>
      <c r="TNN1339" s="4" t="s">
        <v>2883</v>
      </c>
      <c r="TNO1339" s="4" t="s">
        <v>2883</v>
      </c>
      <c r="TNP1339" s="4" t="s">
        <v>2883</v>
      </c>
      <c r="TNQ1339" s="4" t="s">
        <v>2883</v>
      </c>
      <c r="TNR1339" s="4" t="s">
        <v>2883</v>
      </c>
      <c r="TNS1339" s="4" t="s">
        <v>2883</v>
      </c>
      <c r="TNT1339" s="4" t="s">
        <v>2883</v>
      </c>
      <c r="TNU1339" s="4" t="s">
        <v>2883</v>
      </c>
      <c r="TNV1339" s="4" t="s">
        <v>2883</v>
      </c>
      <c r="TNW1339" s="4" t="s">
        <v>2883</v>
      </c>
      <c r="TNX1339" s="4" t="s">
        <v>2883</v>
      </c>
      <c r="TNY1339" s="4" t="s">
        <v>2883</v>
      </c>
      <c r="TNZ1339" s="4" t="s">
        <v>2883</v>
      </c>
      <c r="TOA1339" s="4" t="s">
        <v>2883</v>
      </c>
      <c r="TOB1339" s="4" t="s">
        <v>2883</v>
      </c>
      <c r="TOC1339" s="4" t="s">
        <v>2883</v>
      </c>
      <c r="TOD1339" s="4" t="s">
        <v>2883</v>
      </c>
      <c r="TOE1339" s="4" t="s">
        <v>2883</v>
      </c>
      <c r="TOF1339" s="4" t="s">
        <v>2883</v>
      </c>
      <c r="TOG1339" s="4" t="s">
        <v>2883</v>
      </c>
      <c r="TOH1339" s="4" t="s">
        <v>2883</v>
      </c>
      <c r="TOI1339" s="4" t="s">
        <v>2883</v>
      </c>
      <c r="TOJ1339" s="4" t="s">
        <v>2883</v>
      </c>
      <c r="TOK1339" s="4" t="s">
        <v>2883</v>
      </c>
      <c r="TOL1339" s="4" t="s">
        <v>2883</v>
      </c>
      <c r="TOM1339" s="4" t="s">
        <v>2883</v>
      </c>
      <c r="TON1339" s="4" t="s">
        <v>2883</v>
      </c>
      <c r="TOO1339" s="4" t="s">
        <v>2883</v>
      </c>
      <c r="TOP1339" s="4" t="s">
        <v>2883</v>
      </c>
      <c r="TOQ1339" s="4" t="s">
        <v>2883</v>
      </c>
      <c r="TOR1339" s="4" t="s">
        <v>2883</v>
      </c>
      <c r="TOS1339" s="4" t="s">
        <v>2883</v>
      </c>
      <c r="TOT1339" s="4" t="s">
        <v>2883</v>
      </c>
      <c r="TOU1339" s="4" t="s">
        <v>2883</v>
      </c>
      <c r="TOV1339" s="4" t="s">
        <v>2883</v>
      </c>
      <c r="TOW1339" s="4" t="s">
        <v>2883</v>
      </c>
      <c r="TOX1339" s="4" t="s">
        <v>2883</v>
      </c>
      <c r="TOY1339" s="4" t="s">
        <v>2883</v>
      </c>
      <c r="TOZ1339" s="4" t="s">
        <v>2883</v>
      </c>
      <c r="TPA1339" s="4" t="s">
        <v>2883</v>
      </c>
      <c r="TPB1339" s="4" t="s">
        <v>2883</v>
      </c>
      <c r="TPC1339" s="4" t="s">
        <v>2883</v>
      </c>
      <c r="TPD1339" s="4" t="s">
        <v>2883</v>
      </c>
      <c r="TPE1339" s="4" t="s">
        <v>2883</v>
      </c>
      <c r="TPF1339" s="4" t="s">
        <v>2883</v>
      </c>
      <c r="TPG1339" s="4" t="s">
        <v>2883</v>
      </c>
      <c r="TPH1339" s="4" t="s">
        <v>2883</v>
      </c>
      <c r="TPI1339" s="4" t="s">
        <v>2883</v>
      </c>
      <c r="TPJ1339" s="4" t="s">
        <v>2883</v>
      </c>
      <c r="TPK1339" s="4" t="s">
        <v>2883</v>
      </c>
      <c r="TPL1339" s="4" t="s">
        <v>2883</v>
      </c>
      <c r="TPM1339" s="4" t="s">
        <v>2883</v>
      </c>
      <c r="TPN1339" s="4" t="s">
        <v>2883</v>
      </c>
      <c r="TPO1339" s="4" t="s">
        <v>2883</v>
      </c>
      <c r="TPP1339" s="4" t="s">
        <v>2883</v>
      </c>
      <c r="TPQ1339" s="4" t="s">
        <v>2883</v>
      </c>
      <c r="TPR1339" s="4" t="s">
        <v>2883</v>
      </c>
      <c r="TPS1339" s="4" t="s">
        <v>2883</v>
      </c>
      <c r="TPT1339" s="4" t="s">
        <v>2883</v>
      </c>
      <c r="TPU1339" s="4" t="s">
        <v>2883</v>
      </c>
      <c r="TPV1339" s="4" t="s">
        <v>2883</v>
      </c>
      <c r="TPW1339" s="4" t="s">
        <v>2883</v>
      </c>
      <c r="TPX1339" s="4" t="s">
        <v>2883</v>
      </c>
      <c r="TPY1339" s="4" t="s">
        <v>2883</v>
      </c>
      <c r="TPZ1339" s="4" t="s">
        <v>2883</v>
      </c>
      <c r="TQA1339" s="4" t="s">
        <v>2883</v>
      </c>
      <c r="TQB1339" s="4" t="s">
        <v>2883</v>
      </c>
      <c r="TQC1339" s="4" t="s">
        <v>2883</v>
      </c>
      <c r="TQD1339" s="4" t="s">
        <v>2883</v>
      </c>
      <c r="TQE1339" s="4" t="s">
        <v>2883</v>
      </c>
      <c r="TQF1339" s="4" t="s">
        <v>2883</v>
      </c>
      <c r="TQG1339" s="4" t="s">
        <v>2883</v>
      </c>
      <c r="TQH1339" s="4" t="s">
        <v>2883</v>
      </c>
      <c r="TQI1339" s="4" t="s">
        <v>2883</v>
      </c>
      <c r="TQJ1339" s="4" t="s">
        <v>2883</v>
      </c>
      <c r="TQK1339" s="4" t="s">
        <v>2883</v>
      </c>
      <c r="TQL1339" s="4" t="s">
        <v>2883</v>
      </c>
      <c r="TQM1339" s="4" t="s">
        <v>2883</v>
      </c>
      <c r="TQN1339" s="4" t="s">
        <v>2883</v>
      </c>
      <c r="TQO1339" s="4" t="s">
        <v>2883</v>
      </c>
      <c r="TQP1339" s="4" t="s">
        <v>2883</v>
      </c>
      <c r="TQQ1339" s="4" t="s">
        <v>2883</v>
      </c>
      <c r="TQR1339" s="4" t="s">
        <v>2883</v>
      </c>
      <c r="TQS1339" s="4" t="s">
        <v>2883</v>
      </c>
      <c r="TQT1339" s="4" t="s">
        <v>2883</v>
      </c>
      <c r="TQU1339" s="4" t="s">
        <v>2883</v>
      </c>
      <c r="TQV1339" s="4" t="s">
        <v>2883</v>
      </c>
      <c r="TQW1339" s="4" t="s">
        <v>2883</v>
      </c>
      <c r="TQX1339" s="4" t="s">
        <v>2883</v>
      </c>
      <c r="TQY1339" s="4" t="s">
        <v>2883</v>
      </c>
      <c r="TQZ1339" s="4" t="s">
        <v>2883</v>
      </c>
      <c r="TRA1339" s="4" t="s">
        <v>2883</v>
      </c>
      <c r="TRB1339" s="4" t="s">
        <v>2883</v>
      </c>
      <c r="TRC1339" s="4" t="s">
        <v>2883</v>
      </c>
      <c r="TRD1339" s="4" t="s">
        <v>2883</v>
      </c>
      <c r="TRE1339" s="4" t="s">
        <v>2883</v>
      </c>
      <c r="TRF1339" s="4" t="s">
        <v>2883</v>
      </c>
      <c r="TRG1339" s="4" t="s">
        <v>2883</v>
      </c>
      <c r="TRH1339" s="4" t="s">
        <v>2883</v>
      </c>
      <c r="TRI1339" s="4" t="s">
        <v>2883</v>
      </c>
      <c r="TRJ1339" s="4" t="s">
        <v>2883</v>
      </c>
      <c r="TRK1339" s="4" t="s">
        <v>2883</v>
      </c>
      <c r="TRL1339" s="4" t="s">
        <v>2883</v>
      </c>
      <c r="TRM1339" s="4" t="s">
        <v>2883</v>
      </c>
      <c r="TRN1339" s="4" t="s">
        <v>2883</v>
      </c>
      <c r="TRO1339" s="4" t="s">
        <v>2883</v>
      </c>
      <c r="TRP1339" s="4" t="s">
        <v>2883</v>
      </c>
      <c r="TRQ1339" s="4" t="s">
        <v>2883</v>
      </c>
      <c r="TRR1339" s="4" t="s">
        <v>2883</v>
      </c>
      <c r="TRS1339" s="4" t="s">
        <v>2883</v>
      </c>
      <c r="TRT1339" s="4" t="s">
        <v>2883</v>
      </c>
      <c r="TRU1339" s="4" t="s">
        <v>2883</v>
      </c>
      <c r="TRV1339" s="4" t="s">
        <v>2883</v>
      </c>
      <c r="TRW1339" s="4" t="s">
        <v>2883</v>
      </c>
      <c r="TRX1339" s="4" t="s">
        <v>2883</v>
      </c>
      <c r="TRY1339" s="4" t="s">
        <v>2883</v>
      </c>
      <c r="TRZ1339" s="4" t="s">
        <v>2883</v>
      </c>
      <c r="TSA1339" s="4" t="s">
        <v>2883</v>
      </c>
      <c r="TSB1339" s="4" t="s">
        <v>2883</v>
      </c>
      <c r="TSC1339" s="4" t="s">
        <v>2883</v>
      </c>
      <c r="TSD1339" s="4" t="s">
        <v>2883</v>
      </c>
      <c r="TSE1339" s="4" t="s">
        <v>2883</v>
      </c>
      <c r="TSF1339" s="4" t="s">
        <v>2883</v>
      </c>
      <c r="TSG1339" s="4" t="s">
        <v>2883</v>
      </c>
      <c r="TSH1339" s="4" t="s">
        <v>2883</v>
      </c>
      <c r="TSI1339" s="4" t="s">
        <v>2883</v>
      </c>
      <c r="TSJ1339" s="4" t="s">
        <v>2883</v>
      </c>
      <c r="TSK1339" s="4" t="s">
        <v>2883</v>
      </c>
      <c r="TSL1339" s="4" t="s">
        <v>2883</v>
      </c>
      <c r="TSM1339" s="4" t="s">
        <v>2883</v>
      </c>
      <c r="TSN1339" s="4" t="s">
        <v>2883</v>
      </c>
      <c r="TSO1339" s="4" t="s">
        <v>2883</v>
      </c>
      <c r="TSP1339" s="4" t="s">
        <v>2883</v>
      </c>
      <c r="TSQ1339" s="4" t="s">
        <v>2883</v>
      </c>
      <c r="TSR1339" s="4" t="s">
        <v>2883</v>
      </c>
      <c r="TSS1339" s="4" t="s">
        <v>2883</v>
      </c>
      <c r="TST1339" s="4" t="s">
        <v>2883</v>
      </c>
      <c r="TSU1339" s="4" t="s">
        <v>2883</v>
      </c>
      <c r="TSV1339" s="4" t="s">
        <v>2883</v>
      </c>
      <c r="TSW1339" s="4" t="s">
        <v>2883</v>
      </c>
      <c r="TSX1339" s="4" t="s">
        <v>2883</v>
      </c>
      <c r="TSY1339" s="4" t="s">
        <v>2883</v>
      </c>
      <c r="TSZ1339" s="4" t="s">
        <v>2883</v>
      </c>
      <c r="TTA1339" s="4" t="s">
        <v>2883</v>
      </c>
      <c r="TTB1339" s="4" t="s">
        <v>2883</v>
      </c>
      <c r="TTC1339" s="4" t="s">
        <v>2883</v>
      </c>
      <c r="TTD1339" s="4" t="s">
        <v>2883</v>
      </c>
      <c r="TTE1339" s="4" t="s">
        <v>2883</v>
      </c>
      <c r="TTF1339" s="4" t="s">
        <v>2883</v>
      </c>
      <c r="TTG1339" s="4" t="s">
        <v>2883</v>
      </c>
      <c r="TTH1339" s="4" t="s">
        <v>2883</v>
      </c>
      <c r="TTI1339" s="4" t="s">
        <v>2883</v>
      </c>
      <c r="TTJ1339" s="4" t="s">
        <v>2883</v>
      </c>
      <c r="TTK1339" s="4" t="s">
        <v>2883</v>
      </c>
      <c r="TTL1339" s="4" t="s">
        <v>2883</v>
      </c>
      <c r="TTM1339" s="4" t="s">
        <v>2883</v>
      </c>
      <c r="TTN1339" s="4" t="s">
        <v>2883</v>
      </c>
      <c r="TTO1339" s="4" t="s">
        <v>2883</v>
      </c>
      <c r="TTP1339" s="4" t="s">
        <v>2883</v>
      </c>
      <c r="TTQ1339" s="4" t="s">
        <v>2883</v>
      </c>
      <c r="TTR1339" s="4" t="s">
        <v>2883</v>
      </c>
      <c r="TTS1339" s="4" t="s">
        <v>2883</v>
      </c>
      <c r="TTT1339" s="4" t="s">
        <v>2883</v>
      </c>
      <c r="TTU1339" s="4" t="s">
        <v>2883</v>
      </c>
      <c r="TTV1339" s="4" t="s">
        <v>2883</v>
      </c>
      <c r="TTW1339" s="4" t="s">
        <v>2883</v>
      </c>
      <c r="TTX1339" s="4" t="s">
        <v>2883</v>
      </c>
      <c r="TTY1339" s="4" t="s">
        <v>2883</v>
      </c>
      <c r="TTZ1339" s="4" t="s">
        <v>2883</v>
      </c>
      <c r="TUA1339" s="4" t="s">
        <v>2883</v>
      </c>
      <c r="TUB1339" s="4" t="s">
        <v>2883</v>
      </c>
      <c r="TUC1339" s="4" t="s">
        <v>2883</v>
      </c>
      <c r="TUD1339" s="4" t="s">
        <v>2883</v>
      </c>
      <c r="TUE1339" s="4" t="s">
        <v>2883</v>
      </c>
      <c r="TUF1339" s="4" t="s">
        <v>2883</v>
      </c>
      <c r="TUG1339" s="4" t="s">
        <v>2883</v>
      </c>
      <c r="TUH1339" s="4" t="s">
        <v>2883</v>
      </c>
      <c r="TUI1339" s="4" t="s">
        <v>2883</v>
      </c>
      <c r="TUJ1339" s="4" t="s">
        <v>2883</v>
      </c>
      <c r="TUK1339" s="4" t="s">
        <v>2883</v>
      </c>
      <c r="TUL1339" s="4" t="s">
        <v>2883</v>
      </c>
      <c r="TUM1339" s="4" t="s">
        <v>2883</v>
      </c>
      <c r="TUN1339" s="4" t="s">
        <v>2883</v>
      </c>
      <c r="TUO1339" s="4" t="s">
        <v>2883</v>
      </c>
      <c r="TUP1339" s="4" t="s">
        <v>2883</v>
      </c>
      <c r="TUQ1339" s="4" t="s">
        <v>2883</v>
      </c>
      <c r="TUR1339" s="4" t="s">
        <v>2883</v>
      </c>
      <c r="TUS1339" s="4" t="s">
        <v>2883</v>
      </c>
      <c r="TUT1339" s="4" t="s">
        <v>2883</v>
      </c>
      <c r="TUU1339" s="4" t="s">
        <v>2883</v>
      </c>
      <c r="TUV1339" s="4" t="s">
        <v>2883</v>
      </c>
      <c r="TUW1339" s="4" t="s">
        <v>2883</v>
      </c>
      <c r="TUX1339" s="4" t="s">
        <v>2883</v>
      </c>
      <c r="TUY1339" s="4" t="s">
        <v>2883</v>
      </c>
      <c r="TUZ1339" s="4" t="s">
        <v>2883</v>
      </c>
      <c r="TVA1339" s="4" t="s">
        <v>2883</v>
      </c>
      <c r="TVB1339" s="4" t="s">
        <v>2883</v>
      </c>
      <c r="TVC1339" s="4" t="s">
        <v>2883</v>
      </c>
      <c r="TVD1339" s="4" t="s">
        <v>2883</v>
      </c>
      <c r="TVE1339" s="4" t="s">
        <v>2883</v>
      </c>
      <c r="TVF1339" s="4" t="s">
        <v>2883</v>
      </c>
      <c r="TVG1339" s="4" t="s">
        <v>2883</v>
      </c>
      <c r="TVH1339" s="4" t="s">
        <v>2883</v>
      </c>
      <c r="TVI1339" s="4" t="s">
        <v>2883</v>
      </c>
      <c r="TVJ1339" s="4" t="s">
        <v>2883</v>
      </c>
      <c r="TVK1339" s="4" t="s">
        <v>2883</v>
      </c>
      <c r="TVL1339" s="4" t="s">
        <v>2883</v>
      </c>
      <c r="TVM1339" s="4" t="s">
        <v>2883</v>
      </c>
      <c r="TVN1339" s="4" t="s">
        <v>2883</v>
      </c>
      <c r="TVO1339" s="4" t="s">
        <v>2883</v>
      </c>
      <c r="TVP1339" s="4" t="s">
        <v>2883</v>
      </c>
      <c r="TVQ1339" s="4" t="s">
        <v>2883</v>
      </c>
      <c r="TVR1339" s="4" t="s">
        <v>2883</v>
      </c>
      <c r="TVS1339" s="4" t="s">
        <v>2883</v>
      </c>
      <c r="TVT1339" s="4" t="s">
        <v>2883</v>
      </c>
      <c r="TVU1339" s="4" t="s">
        <v>2883</v>
      </c>
      <c r="TVV1339" s="4" t="s">
        <v>2883</v>
      </c>
      <c r="TVW1339" s="4" t="s">
        <v>2883</v>
      </c>
      <c r="TVX1339" s="4" t="s">
        <v>2883</v>
      </c>
      <c r="TVY1339" s="4" t="s">
        <v>2883</v>
      </c>
      <c r="TVZ1339" s="4" t="s">
        <v>2883</v>
      </c>
      <c r="TWA1339" s="4" t="s">
        <v>2883</v>
      </c>
      <c r="TWB1339" s="4" t="s">
        <v>2883</v>
      </c>
      <c r="TWC1339" s="4" t="s">
        <v>2883</v>
      </c>
      <c r="TWD1339" s="4" t="s">
        <v>2883</v>
      </c>
      <c r="TWE1339" s="4" t="s">
        <v>2883</v>
      </c>
      <c r="TWF1339" s="4" t="s">
        <v>2883</v>
      </c>
      <c r="TWG1339" s="4" t="s">
        <v>2883</v>
      </c>
      <c r="TWH1339" s="4" t="s">
        <v>2883</v>
      </c>
      <c r="TWI1339" s="4" t="s">
        <v>2883</v>
      </c>
      <c r="TWJ1339" s="4" t="s">
        <v>2883</v>
      </c>
      <c r="TWK1339" s="4" t="s">
        <v>2883</v>
      </c>
      <c r="TWL1339" s="4" t="s">
        <v>2883</v>
      </c>
      <c r="TWM1339" s="4" t="s">
        <v>2883</v>
      </c>
      <c r="TWN1339" s="4" t="s">
        <v>2883</v>
      </c>
      <c r="TWO1339" s="4" t="s">
        <v>2883</v>
      </c>
      <c r="TWP1339" s="4" t="s">
        <v>2883</v>
      </c>
      <c r="TWQ1339" s="4" t="s">
        <v>2883</v>
      </c>
      <c r="TWR1339" s="4" t="s">
        <v>2883</v>
      </c>
      <c r="TWS1339" s="4" t="s">
        <v>2883</v>
      </c>
      <c r="TWT1339" s="4" t="s">
        <v>2883</v>
      </c>
      <c r="TWU1339" s="4" t="s">
        <v>2883</v>
      </c>
      <c r="TWV1339" s="4" t="s">
        <v>2883</v>
      </c>
      <c r="TWW1339" s="4" t="s">
        <v>2883</v>
      </c>
      <c r="TWX1339" s="4" t="s">
        <v>2883</v>
      </c>
      <c r="TWY1339" s="4" t="s">
        <v>2883</v>
      </c>
      <c r="TWZ1339" s="4" t="s">
        <v>2883</v>
      </c>
      <c r="TXA1339" s="4" t="s">
        <v>2883</v>
      </c>
      <c r="TXB1339" s="4" t="s">
        <v>2883</v>
      </c>
      <c r="TXC1339" s="4" t="s">
        <v>2883</v>
      </c>
      <c r="TXD1339" s="4" t="s">
        <v>2883</v>
      </c>
      <c r="TXE1339" s="4" t="s">
        <v>2883</v>
      </c>
      <c r="TXF1339" s="4" t="s">
        <v>2883</v>
      </c>
      <c r="TXG1339" s="4" t="s">
        <v>2883</v>
      </c>
      <c r="TXH1339" s="4" t="s">
        <v>2883</v>
      </c>
      <c r="TXI1339" s="4" t="s">
        <v>2883</v>
      </c>
      <c r="TXJ1339" s="4" t="s">
        <v>2883</v>
      </c>
      <c r="TXK1339" s="4" t="s">
        <v>2883</v>
      </c>
      <c r="TXL1339" s="4" t="s">
        <v>2883</v>
      </c>
      <c r="TXM1339" s="4" t="s">
        <v>2883</v>
      </c>
      <c r="TXN1339" s="4" t="s">
        <v>2883</v>
      </c>
      <c r="TXO1339" s="4" t="s">
        <v>2883</v>
      </c>
      <c r="TXP1339" s="4" t="s">
        <v>2883</v>
      </c>
      <c r="TXQ1339" s="4" t="s">
        <v>2883</v>
      </c>
      <c r="TXR1339" s="4" t="s">
        <v>2883</v>
      </c>
      <c r="TXS1339" s="4" t="s">
        <v>2883</v>
      </c>
      <c r="TXT1339" s="4" t="s">
        <v>2883</v>
      </c>
      <c r="TXU1339" s="4" t="s">
        <v>2883</v>
      </c>
      <c r="TXV1339" s="4" t="s">
        <v>2883</v>
      </c>
      <c r="TXW1339" s="4" t="s">
        <v>2883</v>
      </c>
      <c r="TXX1339" s="4" t="s">
        <v>2883</v>
      </c>
      <c r="TXY1339" s="4" t="s">
        <v>2883</v>
      </c>
      <c r="TXZ1339" s="4" t="s">
        <v>2883</v>
      </c>
      <c r="TYA1339" s="4" t="s">
        <v>2883</v>
      </c>
      <c r="TYB1339" s="4" t="s">
        <v>2883</v>
      </c>
      <c r="TYC1339" s="4" t="s">
        <v>2883</v>
      </c>
      <c r="TYD1339" s="4" t="s">
        <v>2883</v>
      </c>
      <c r="TYE1339" s="4" t="s">
        <v>2883</v>
      </c>
      <c r="TYF1339" s="4" t="s">
        <v>2883</v>
      </c>
      <c r="TYG1339" s="4" t="s">
        <v>2883</v>
      </c>
      <c r="TYH1339" s="4" t="s">
        <v>2883</v>
      </c>
      <c r="TYI1339" s="4" t="s">
        <v>2883</v>
      </c>
      <c r="TYJ1339" s="4" t="s">
        <v>2883</v>
      </c>
      <c r="TYK1339" s="4" t="s">
        <v>2883</v>
      </c>
      <c r="TYL1339" s="4" t="s">
        <v>2883</v>
      </c>
      <c r="TYM1339" s="4" t="s">
        <v>2883</v>
      </c>
      <c r="TYN1339" s="4" t="s">
        <v>2883</v>
      </c>
      <c r="TYO1339" s="4" t="s">
        <v>2883</v>
      </c>
      <c r="TYP1339" s="4" t="s">
        <v>2883</v>
      </c>
      <c r="TYQ1339" s="4" t="s">
        <v>2883</v>
      </c>
      <c r="TYR1339" s="4" t="s">
        <v>2883</v>
      </c>
      <c r="TYS1339" s="4" t="s">
        <v>2883</v>
      </c>
      <c r="TYT1339" s="4" t="s">
        <v>2883</v>
      </c>
      <c r="TYU1339" s="4" t="s">
        <v>2883</v>
      </c>
      <c r="TYV1339" s="4" t="s">
        <v>2883</v>
      </c>
      <c r="TYW1339" s="4" t="s">
        <v>2883</v>
      </c>
      <c r="TYX1339" s="4" t="s">
        <v>2883</v>
      </c>
      <c r="TYY1339" s="4" t="s">
        <v>2883</v>
      </c>
      <c r="TYZ1339" s="4" t="s">
        <v>2883</v>
      </c>
      <c r="TZA1339" s="4" t="s">
        <v>2883</v>
      </c>
      <c r="TZB1339" s="4" t="s">
        <v>2883</v>
      </c>
      <c r="TZC1339" s="4" t="s">
        <v>2883</v>
      </c>
      <c r="TZD1339" s="4" t="s">
        <v>2883</v>
      </c>
      <c r="TZE1339" s="4" t="s">
        <v>2883</v>
      </c>
      <c r="TZF1339" s="4" t="s">
        <v>2883</v>
      </c>
      <c r="TZG1339" s="4" t="s">
        <v>2883</v>
      </c>
      <c r="TZH1339" s="4" t="s">
        <v>2883</v>
      </c>
      <c r="TZI1339" s="4" t="s">
        <v>2883</v>
      </c>
      <c r="TZJ1339" s="4" t="s">
        <v>2883</v>
      </c>
      <c r="TZK1339" s="4" t="s">
        <v>2883</v>
      </c>
      <c r="TZL1339" s="4" t="s">
        <v>2883</v>
      </c>
      <c r="TZM1339" s="4" t="s">
        <v>2883</v>
      </c>
      <c r="TZN1339" s="4" t="s">
        <v>2883</v>
      </c>
      <c r="TZO1339" s="4" t="s">
        <v>2883</v>
      </c>
      <c r="TZP1339" s="4" t="s">
        <v>2883</v>
      </c>
      <c r="TZQ1339" s="4" t="s">
        <v>2883</v>
      </c>
      <c r="TZR1339" s="4" t="s">
        <v>2883</v>
      </c>
      <c r="TZS1339" s="4" t="s">
        <v>2883</v>
      </c>
      <c r="TZT1339" s="4" t="s">
        <v>2883</v>
      </c>
      <c r="TZU1339" s="4" t="s">
        <v>2883</v>
      </c>
      <c r="TZV1339" s="4" t="s">
        <v>2883</v>
      </c>
      <c r="TZW1339" s="4" t="s">
        <v>2883</v>
      </c>
      <c r="TZX1339" s="4" t="s">
        <v>2883</v>
      </c>
      <c r="TZY1339" s="4" t="s">
        <v>2883</v>
      </c>
      <c r="TZZ1339" s="4" t="s">
        <v>2883</v>
      </c>
      <c r="UAA1339" s="4" t="s">
        <v>2883</v>
      </c>
      <c r="UAB1339" s="4" t="s">
        <v>2883</v>
      </c>
      <c r="UAC1339" s="4" t="s">
        <v>2883</v>
      </c>
      <c r="UAD1339" s="4" t="s">
        <v>2883</v>
      </c>
      <c r="UAE1339" s="4" t="s">
        <v>2883</v>
      </c>
      <c r="UAF1339" s="4" t="s">
        <v>2883</v>
      </c>
      <c r="UAG1339" s="4" t="s">
        <v>2883</v>
      </c>
      <c r="UAH1339" s="4" t="s">
        <v>2883</v>
      </c>
      <c r="UAI1339" s="4" t="s">
        <v>2883</v>
      </c>
      <c r="UAJ1339" s="4" t="s">
        <v>2883</v>
      </c>
      <c r="UAK1339" s="4" t="s">
        <v>2883</v>
      </c>
      <c r="UAL1339" s="4" t="s">
        <v>2883</v>
      </c>
      <c r="UAM1339" s="4" t="s">
        <v>2883</v>
      </c>
      <c r="UAN1339" s="4" t="s">
        <v>2883</v>
      </c>
      <c r="UAO1339" s="4" t="s">
        <v>2883</v>
      </c>
      <c r="UAP1339" s="4" t="s">
        <v>2883</v>
      </c>
      <c r="UAQ1339" s="4" t="s">
        <v>2883</v>
      </c>
      <c r="UAR1339" s="4" t="s">
        <v>2883</v>
      </c>
      <c r="UAS1339" s="4" t="s">
        <v>2883</v>
      </c>
      <c r="UAT1339" s="4" t="s">
        <v>2883</v>
      </c>
      <c r="UAU1339" s="4" t="s">
        <v>2883</v>
      </c>
      <c r="UAV1339" s="4" t="s">
        <v>2883</v>
      </c>
      <c r="UAW1339" s="4" t="s">
        <v>2883</v>
      </c>
      <c r="UAX1339" s="4" t="s">
        <v>2883</v>
      </c>
      <c r="UAY1339" s="4" t="s">
        <v>2883</v>
      </c>
      <c r="UAZ1339" s="4" t="s">
        <v>2883</v>
      </c>
      <c r="UBA1339" s="4" t="s">
        <v>2883</v>
      </c>
      <c r="UBB1339" s="4" t="s">
        <v>2883</v>
      </c>
      <c r="UBC1339" s="4" t="s">
        <v>2883</v>
      </c>
      <c r="UBD1339" s="4" t="s">
        <v>2883</v>
      </c>
      <c r="UBE1339" s="4" t="s">
        <v>2883</v>
      </c>
      <c r="UBF1339" s="4" t="s">
        <v>2883</v>
      </c>
      <c r="UBG1339" s="4" t="s">
        <v>2883</v>
      </c>
      <c r="UBH1339" s="4" t="s">
        <v>2883</v>
      </c>
      <c r="UBI1339" s="4" t="s">
        <v>2883</v>
      </c>
      <c r="UBJ1339" s="4" t="s">
        <v>2883</v>
      </c>
      <c r="UBK1339" s="4" t="s">
        <v>2883</v>
      </c>
      <c r="UBL1339" s="4" t="s">
        <v>2883</v>
      </c>
      <c r="UBM1339" s="4" t="s">
        <v>2883</v>
      </c>
      <c r="UBN1339" s="4" t="s">
        <v>2883</v>
      </c>
      <c r="UBO1339" s="4" t="s">
        <v>2883</v>
      </c>
      <c r="UBP1339" s="4" t="s">
        <v>2883</v>
      </c>
      <c r="UBQ1339" s="4" t="s">
        <v>2883</v>
      </c>
      <c r="UBR1339" s="4" t="s">
        <v>2883</v>
      </c>
      <c r="UBS1339" s="4" t="s">
        <v>2883</v>
      </c>
      <c r="UBT1339" s="4" t="s">
        <v>2883</v>
      </c>
      <c r="UBU1339" s="4" t="s">
        <v>2883</v>
      </c>
      <c r="UBV1339" s="4" t="s">
        <v>2883</v>
      </c>
      <c r="UBW1339" s="4" t="s">
        <v>2883</v>
      </c>
      <c r="UBX1339" s="4" t="s">
        <v>2883</v>
      </c>
      <c r="UBY1339" s="4" t="s">
        <v>2883</v>
      </c>
      <c r="UBZ1339" s="4" t="s">
        <v>2883</v>
      </c>
      <c r="UCA1339" s="4" t="s">
        <v>2883</v>
      </c>
      <c r="UCB1339" s="4" t="s">
        <v>2883</v>
      </c>
      <c r="UCC1339" s="4" t="s">
        <v>2883</v>
      </c>
      <c r="UCD1339" s="4" t="s">
        <v>2883</v>
      </c>
      <c r="UCE1339" s="4" t="s">
        <v>2883</v>
      </c>
      <c r="UCF1339" s="4" t="s">
        <v>2883</v>
      </c>
      <c r="UCG1339" s="4" t="s">
        <v>2883</v>
      </c>
      <c r="UCH1339" s="4" t="s">
        <v>2883</v>
      </c>
      <c r="UCI1339" s="4" t="s">
        <v>2883</v>
      </c>
      <c r="UCJ1339" s="4" t="s">
        <v>2883</v>
      </c>
      <c r="UCK1339" s="4" t="s">
        <v>2883</v>
      </c>
      <c r="UCL1339" s="4" t="s">
        <v>2883</v>
      </c>
      <c r="UCM1339" s="4" t="s">
        <v>2883</v>
      </c>
      <c r="UCN1339" s="4" t="s">
        <v>2883</v>
      </c>
      <c r="UCO1339" s="4" t="s">
        <v>2883</v>
      </c>
      <c r="UCP1339" s="4" t="s">
        <v>2883</v>
      </c>
      <c r="UCQ1339" s="4" t="s">
        <v>2883</v>
      </c>
      <c r="UCR1339" s="4" t="s">
        <v>2883</v>
      </c>
      <c r="UCS1339" s="4" t="s">
        <v>2883</v>
      </c>
      <c r="UCT1339" s="4" t="s">
        <v>2883</v>
      </c>
      <c r="UCU1339" s="4" t="s">
        <v>2883</v>
      </c>
      <c r="UCV1339" s="4" t="s">
        <v>2883</v>
      </c>
      <c r="UCW1339" s="4" t="s">
        <v>2883</v>
      </c>
      <c r="UCX1339" s="4" t="s">
        <v>2883</v>
      </c>
      <c r="UCY1339" s="4" t="s">
        <v>2883</v>
      </c>
      <c r="UCZ1339" s="4" t="s">
        <v>2883</v>
      </c>
      <c r="UDA1339" s="4" t="s">
        <v>2883</v>
      </c>
      <c r="UDB1339" s="4" t="s">
        <v>2883</v>
      </c>
      <c r="UDC1339" s="4" t="s">
        <v>2883</v>
      </c>
      <c r="UDD1339" s="4" t="s">
        <v>2883</v>
      </c>
      <c r="UDE1339" s="4" t="s">
        <v>2883</v>
      </c>
      <c r="UDF1339" s="4" t="s">
        <v>2883</v>
      </c>
      <c r="UDG1339" s="4" t="s">
        <v>2883</v>
      </c>
      <c r="UDH1339" s="4" t="s">
        <v>2883</v>
      </c>
      <c r="UDI1339" s="4" t="s">
        <v>2883</v>
      </c>
      <c r="UDJ1339" s="4" t="s">
        <v>2883</v>
      </c>
      <c r="UDK1339" s="4" t="s">
        <v>2883</v>
      </c>
      <c r="UDL1339" s="4" t="s">
        <v>2883</v>
      </c>
      <c r="UDM1339" s="4" t="s">
        <v>2883</v>
      </c>
      <c r="UDN1339" s="4" t="s">
        <v>2883</v>
      </c>
      <c r="UDO1339" s="4" t="s">
        <v>2883</v>
      </c>
      <c r="UDP1339" s="4" t="s">
        <v>2883</v>
      </c>
      <c r="UDQ1339" s="4" t="s">
        <v>2883</v>
      </c>
      <c r="UDR1339" s="4" t="s">
        <v>2883</v>
      </c>
      <c r="UDS1339" s="4" t="s">
        <v>2883</v>
      </c>
      <c r="UDT1339" s="4" t="s">
        <v>2883</v>
      </c>
      <c r="UDU1339" s="4" t="s">
        <v>2883</v>
      </c>
      <c r="UDV1339" s="4" t="s">
        <v>2883</v>
      </c>
      <c r="UDW1339" s="4" t="s">
        <v>2883</v>
      </c>
      <c r="UDX1339" s="4" t="s">
        <v>2883</v>
      </c>
      <c r="UDY1339" s="4" t="s">
        <v>2883</v>
      </c>
      <c r="UDZ1339" s="4" t="s">
        <v>2883</v>
      </c>
      <c r="UEA1339" s="4" t="s">
        <v>2883</v>
      </c>
      <c r="UEB1339" s="4" t="s">
        <v>2883</v>
      </c>
      <c r="UEC1339" s="4" t="s">
        <v>2883</v>
      </c>
      <c r="UED1339" s="4" t="s">
        <v>2883</v>
      </c>
      <c r="UEE1339" s="4" t="s">
        <v>2883</v>
      </c>
      <c r="UEF1339" s="4" t="s">
        <v>2883</v>
      </c>
      <c r="UEG1339" s="4" t="s">
        <v>2883</v>
      </c>
      <c r="UEH1339" s="4" t="s">
        <v>2883</v>
      </c>
      <c r="UEI1339" s="4" t="s">
        <v>2883</v>
      </c>
      <c r="UEJ1339" s="4" t="s">
        <v>2883</v>
      </c>
      <c r="UEK1339" s="4" t="s">
        <v>2883</v>
      </c>
      <c r="UEL1339" s="4" t="s">
        <v>2883</v>
      </c>
      <c r="UEM1339" s="4" t="s">
        <v>2883</v>
      </c>
      <c r="UEN1339" s="4" t="s">
        <v>2883</v>
      </c>
      <c r="UEO1339" s="4" t="s">
        <v>2883</v>
      </c>
      <c r="UEP1339" s="4" t="s">
        <v>2883</v>
      </c>
      <c r="UEQ1339" s="4" t="s">
        <v>2883</v>
      </c>
      <c r="UER1339" s="4" t="s">
        <v>2883</v>
      </c>
      <c r="UES1339" s="4" t="s">
        <v>2883</v>
      </c>
      <c r="UET1339" s="4" t="s">
        <v>2883</v>
      </c>
      <c r="UEU1339" s="4" t="s">
        <v>2883</v>
      </c>
      <c r="UEV1339" s="4" t="s">
        <v>2883</v>
      </c>
      <c r="UEW1339" s="4" t="s">
        <v>2883</v>
      </c>
      <c r="UEX1339" s="4" t="s">
        <v>2883</v>
      </c>
      <c r="UEY1339" s="4" t="s">
        <v>2883</v>
      </c>
      <c r="UEZ1339" s="4" t="s">
        <v>2883</v>
      </c>
      <c r="UFA1339" s="4" t="s">
        <v>2883</v>
      </c>
      <c r="UFB1339" s="4" t="s">
        <v>2883</v>
      </c>
      <c r="UFC1339" s="4" t="s">
        <v>2883</v>
      </c>
      <c r="UFD1339" s="4" t="s">
        <v>2883</v>
      </c>
      <c r="UFE1339" s="4" t="s">
        <v>2883</v>
      </c>
      <c r="UFF1339" s="4" t="s">
        <v>2883</v>
      </c>
      <c r="UFG1339" s="4" t="s">
        <v>2883</v>
      </c>
      <c r="UFH1339" s="4" t="s">
        <v>2883</v>
      </c>
      <c r="UFI1339" s="4" t="s">
        <v>2883</v>
      </c>
      <c r="UFJ1339" s="4" t="s">
        <v>2883</v>
      </c>
      <c r="UFK1339" s="4" t="s">
        <v>2883</v>
      </c>
      <c r="UFL1339" s="4" t="s">
        <v>2883</v>
      </c>
      <c r="UFM1339" s="4" t="s">
        <v>2883</v>
      </c>
      <c r="UFN1339" s="4" t="s">
        <v>2883</v>
      </c>
      <c r="UFO1339" s="4" t="s">
        <v>2883</v>
      </c>
      <c r="UFP1339" s="4" t="s">
        <v>2883</v>
      </c>
      <c r="UFQ1339" s="4" t="s">
        <v>2883</v>
      </c>
      <c r="UFR1339" s="4" t="s">
        <v>2883</v>
      </c>
      <c r="UFS1339" s="4" t="s">
        <v>2883</v>
      </c>
      <c r="UFT1339" s="4" t="s">
        <v>2883</v>
      </c>
      <c r="UFU1339" s="4" t="s">
        <v>2883</v>
      </c>
      <c r="UFV1339" s="4" t="s">
        <v>2883</v>
      </c>
      <c r="UFW1339" s="4" t="s">
        <v>2883</v>
      </c>
      <c r="UFX1339" s="4" t="s">
        <v>2883</v>
      </c>
      <c r="UFY1339" s="4" t="s">
        <v>2883</v>
      </c>
      <c r="UFZ1339" s="4" t="s">
        <v>2883</v>
      </c>
      <c r="UGA1339" s="4" t="s">
        <v>2883</v>
      </c>
      <c r="UGB1339" s="4" t="s">
        <v>2883</v>
      </c>
      <c r="UGC1339" s="4" t="s">
        <v>2883</v>
      </c>
      <c r="UGD1339" s="4" t="s">
        <v>2883</v>
      </c>
      <c r="UGE1339" s="4" t="s">
        <v>2883</v>
      </c>
      <c r="UGF1339" s="4" t="s">
        <v>2883</v>
      </c>
      <c r="UGG1339" s="4" t="s">
        <v>2883</v>
      </c>
      <c r="UGH1339" s="4" t="s">
        <v>2883</v>
      </c>
      <c r="UGI1339" s="4" t="s">
        <v>2883</v>
      </c>
      <c r="UGJ1339" s="4" t="s">
        <v>2883</v>
      </c>
      <c r="UGK1339" s="4" t="s">
        <v>2883</v>
      </c>
      <c r="UGL1339" s="4" t="s">
        <v>2883</v>
      </c>
      <c r="UGM1339" s="4" t="s">
        <v>2883</v>
      </c>
      <c r="UGN1339" s="4" t="s">
        <v>2883</v>
      </c>
      <c r="UGO1339" s="4" t="s">
        <v>2883</v>
      </c>
      <c r="UGP1339" s="4" t="s">
        <v>2883</v>
      </c>
      <c r="UGQ1339" s="4" t="s">
        <v>2883</v>
      </c>
      <c r="UGR1339" s="4" t="s">
        <v>2883</v>
      </c>
      <c r="UGS1339" s="4" t="s">
        <v>2883</v>
      </c>
      <c r="UGT1339" s="4" t="s">
        <v>2883</v>
      </c>
      <c r="UGU1339" s="4" t="s">
        <v>2883</v>
      </c>
      <c r="UGV1339" s="4" t="s">
        <v>2883</v>
      </c>
      <c r="UGW1339" s="4" t="s">
        <v>2883</v>
      </c>
      <c r="UGX1339" s="4" t="s">
        <v>2883</v>
      </c>
      <c r="UGY1339" s="4" t="s">
        <v>2883</v>
      </c>
      <c r="UGZ1339" s="4" t="s">
        <v>2883</v>
      </c>
      <c r="UHA1339" s="4" t="s">
        <v>2883</v>
      </c>
      <c r="UHB1339" s="4" t="s">
        <v>2883</v>
      </c>
      <c r="UHC1339" s="4" t="s">
        <v>2883</v>
      </c>
      <c r="UHD1339" s="4" t="s">
        <v>2883</v>
      </c>
      <c r="UHE1339" s="4" t="s">
        <v>2883</v>
      </c>
      <c r="UHF1339" s="4" t="s">
        <v>2883</v>
      </c>
      <c r="UHG1339" s="4" t="s">
        <v>2883</v>
      </c>
      <c r="UHH1339" s="4" t="s">
        <v>2883</v>
      </c>
      <c r="UHI1339" s="4" t="s">
        <v>2883</v>
      </c>
      <c r="UHJ1339" s="4" t="s">
        <v>2883</v>
      </c>
      <c r="UHK1339" s="4" t="s">
        <v>2883</v>
      </c>
      <c r="UHL1339" s="4" t="s">
        <v>2883</v>
      </c>
      <c r="UHM1339" s="4" t="s">
        <v>2883</v>
      </c>
      <c r="UHN1339" s="4" t="s">
        <v>2883</v>
      </c>
      <c r="UHO1339" s="4" t="s">
        <v>2883</v>
      </c>
      <c r="UHP1339" s="4" t="s">
        <v>2883</v>
      </c>
      <c r="UHQ1339" s="4" t="s">
        <v>2883</v>
      </c>
      <c r="UHR1339" s="4" t="s">
        <v>2883</v>
      </c>
      <c r="UHS1339" s="4" t="s">
        <v>2883</v>
      </c>
      <c r="UHT1339" s="4" t="s">
        <v>2883</v>
      </c>
      <c r="UHU1339" s="4" t="s">
        <v>2883</v>
      </c>
      <c r="UHV1339" s="4" t="s">
        <v>2883</v>
      </c>
      <c r="UHW1339" s="4" t="s">
        <v>2883</v>
      </c>
      <c r="UHX1339" s="4" t="s">
        <v>2883</v>
      </c>
      <c r="UHY1339" s="4" t="s">
        <v>2883</v>
      </c>
      <c r="UHZ1339" s="4" t="s">
        <v>2883</v>
      </c>
      <c r="UIA1339" s="4" t="s">
        <v>2883</v>
      </c>
      <c r="UIB1339" s="4" t="s">
        <v>2883</v>
      </c>
      <c r="UIC1339" s="4" t="s">
        <v>2883</v>
      </c>
      <c r="UID1339" s="4" t="s">
        <v>2883</v>
      </c>
      <c r="UIE1339" s="4" t="s">
        <v>2883</v>
      </c>
      <c r="UIF1339" s="4" t="s">
        <v>2883</v>
      </c>
      <c r="UIG1339" s="4" t="s">
        <v>2883</v>
      </c>
      <c r="UIH1339" s="4" t="s">
        <v>2883</v>
      </c>
      <c r="UII1339" s="4" t="s">
        <v>2883</v>
      </c>
      <c r="UIJ1339" s="4" t="s">
        <v>2883</v>
      </c>
      <c r="UIK1339" s="4" t="s">
        <v>2883</v>
      </c>
      <c r="UIL1339" s="4" t="s">
        <v>2883</v>
      </c>
      <c r="UIM1339" s="4" t="s">
        <v>2883</v>
      </c>
      <c r="UIN1339" s="4" t="s">
        <v>2883</v>
      </c>
      <c r="UIO1339" s="4" t="s">
        <v>2883</v>
      </c>
      <c r="UIP1339" s="4" t="s">
        <v>2883</v>
      </c>
      <c r="UIQ1339" s="4" t="s">
        <v>2883</v>
      </c>
      <c r="UIR1339" s="4" t="s">
        <v>2883</v>
      </c>
      <c r="UIS1339" s="4" t="s">
        <v>2883</v>
      </c>
      <c r="UIT1339" s="4" t="s">
        <v>2883</v>
      </c>
      <c r="UIU1339" s="4" t="s">
        <v>2883</v>
      </c>
      <c r="UIV1339" s="4" t="s">
        <v>2883</v>
      </c>
      <c r="UIW1339" s="4" t="s">
        <v>2883</v>
      </c>
      <c r="UIX1339" s="4" t="s">
        <v>2883</v>
      </c>
      <c r="UIY1339" s="4" t="s">
        <v>2883</v>
      </c>
      <c r="UIZ1339" s="4" t="s">
        <v>2883</v>
      </c>
      <c r="UJA1339" s="4" t="s">
        <v>2883</v>
      </c>
      <c r="UJB1339" s="4" t="s">
        <v>2883</v>
      </c>
      <c r="UJC1339" s="4" t="s">
        <v>2883</v>
      </c>
      <c r="UJD1339" s="4" t="s">
        <v>2883</v>
      </c>
      <c r="UJE1339" s="4" t="s">
        <v>2883</v>
      </c>
      <c r="UJF1339" s="4" t="s">
        <v>2883</v>
      </c>
      <c r="UJG1339" s="4" t="s">
        <v>2883</v>
      </c>
      <c r="UJH1339" s="4" t="s">
        <v>2883</v>
      </c>
      <c r="UJI1339" s="4" t="s">
        <v>2883</v>
      </c>
      <c r="UJJ1339" s="4" t="s">
        <v>2883</v>
      </c>
      <c r="UJK1339" s="4" t="s">
        <v>2883</v>
      </c>
      <c r="UJL1339" s="4" t="s">
        <v>2883</v>
      </c>
      <c r="UJM1339" s="4" t="s">
        <v>2883</v>
      </c>
      <c r="UJN1339" s="4" t="s">
        <v>2883</v>
      </c>
      <c r="UJO1339" s="4" t="s">
        <v>2883</v>
      </c>
      <c r="UJP1339" s="4" t="s">
        <v>2883</v>
      </c>
      <c r="UJQ1339" s="4" t="s">
        <v>2883</v>
      </c>
      <c r="UJR1339" s="4" t="s">
        <v>2883</v>
      </c>
      <c r="UJS1339" s="4" t="s">
        <v>2883</v>
      </c>
      <c r="UJT1339" s="4" t="s">
        <v>2883</v>
      </c>
      <c r="UJU1339" s="4" t="s">
        <v>2883</v>
      </c>
      <c r="UJV1339" s="4" t="s">
        <v>2883</v>
      </c>
      <c r="UJW1339" s="4" t="s">
        <v>2883</v>
      </c>
      <c r="UJX1339" s="4" t="s">
        <v>2883</v>
      </c>
      <c r="UJY1339" s="4" t="s">
        <v>2883</v>
      </c>
      <c r="UJZ1339" s="4" t="s">
        <v>2883</v>
      </c>
      <c r="UKA1339" s="4" t="s">
        <v>2883</v>
      </c>
      <c r="UKB1339" s="4" t="s">
        <v>2883</v>
      </c>
      <c r="UKC1339" s="4" t="s">
        <v>2883</v>
      </c>
      <c r="UKD1339" s="4" t="s">
        <v>2883</v>
      </c>
      <c r="UKE1339" s="4" t="s">
        <v>2883</v>
      </c>
      <c r="UKF1339" s="4" t="s">
        <v>2883</v>
      </c>
      <c r="UKG1339" s="4" t="s">
        <v>2883</v>
      </c>
      <c r="UKH1339" s="4" t="s">
        <v>2883</v>
      </c>
      <c r="UKI1339" s="4" t="s">
        <v>2883</v>
      </c>
      <c r="UKJ1339" s="4" t="s">
        <v>2883</v>
      </c>
      <c r="UKK1339" s="4" t="s">
        <v>2883</v>
      </c>
      <c r="UKL1339" s="4" t="s">
        <v>2883</v>
      </c>
      <c r="UKM1339" s="4" t="s">
        <v>2883</v>
      </c>
      <c r="UKN1339" s="4" t="s">
        <v>2883</v>
      </c>
      <c r="UKO1339" s="4" t="s">
        <v>2883</v>
      </c>
      <c r="UKP1339" s="4" t="s">
        <v>2883</v>
      </c>
      <c r="UKQ1339" s="4" t="s">
        <v>2883</v>
      </c>
      <c r="UKR1339" s="4" t="s">
        <v>2883</v>
      </c>
      <c r="UKS1339" s="4" t="s">
        <v>2883</v>
      </c>
      <c r="UKT1339" s="4" t="s">
        <v>2883</v>
      </c>
      <c r="UKU1339" s="4" t="s">
        <v>2883</v>
      </c>
      <c r="UKV1339" s="4" t="s">
        <v>2883</v>
      </c>
      <c r="UKW1339" s="4" t="s">
        <v>2883</v>
      </c>
      <c r="UKX1339" s="4" t="s">
        <v>2883</v>
      </c>
      <c r="UKY1339" s="4" t="s">
        <v>2883</v>
      </c>
      <c r="UKZ1339" s="4" t="s">
        <v>2883</v>
      </c>
      <c r="ULA1339" s="4" t="s">
        <v>2883</v>
      </c>
      <c r="ULB1339" s="4" t="s">
        <v>2883</v>
      </c>
      <c r="ULC1339" s="4" t="s">
        <v>2883</v>
      </c>
      <c r="ULD1339" s="4" t="s">
        <v>2883</v>
      </c>
      <c r="ULE1339" s="4" t="s">
        <v>2883</v>
      </c>
      <c r="ULF1339" s="4" t="s">
        <v>2883</v>
      </c>
      <c r="ULG1339" s="4" t="s">
        <v>2883</v>
      </c>
      <c r="ULH1339" s="4" t="s">
        <v>2883</v>
      </c>
      <c r="ULI1339" s="4" t="s">
        <v>2883</v>
      </c>
      <c r="ULJ1339" s="4" t="s">
        <v>2883</v>
      </c>
      <c r="ULK1339" s="4" t="s">
        <v>2883</v>
      </c>
      <c r="ULL1339" s="4" t="s">
        <v>2883</v>
      </c>
      <c r="ULM1339" s="4" t="s">
        <v>2883</v>
      </c>
      <c r="ULN1339" s="4" t="s">
        <v>2883</v>
      </c>
      <c r="ULO1339" s="4" t="s">
        <v>2883</v>
      </c>
      <c r="ULP1339" s="4" t="s">
        <v>2883</v>
      </c>
      <c r="ULQ1339" s="4" t="s">
        <v>2883</v>
      </c>
      <c r="ULR1339" s="4" t="s">
        <v>2883</v>
      </c>
      <c r="ULS1339" s="4" t="s">
        <v>2883</v>
      </c>
      <c r="ULT1339" s="4" t="s">
        <v>2883</v>
      </c>
      <c r="ULU1339" s="4" t="s">
        <v>2883</v>
      </c>
      <c r="ULV1339" s="4" t="s">
        <v>2883</v>
      </c>
      <c r="ULW1339" s="4" t="s">
        <v>2883</v>
      </c>
      <c r="ULX1339" s="4" t="s">
        <v>2883</v>
      </c>
      <c r="ULY1339" s="4" t="s">
        <v>2883</v>
      </c>
      <c r="ULZ1339" s="4" t="s">
        <v>2883</v>
      </c>
      <c r="UMA1339" s="4" t="s">
        <v>2883</v>
      </c>
      <c r="UMB1339" s="4" t="s">
        <v>2883</v>
      </c>
      <c r="UMC1339" s="4" t="s">
        <v>2883</v>
      </c>
      <c r="UMD1339" s="4" t="s">
        <v>2883</v>
      </c>
      <c r="UME1339" s="4" t="s">
        <v>2883</v>
      </c>
      <c r="UMF1339" s="4" t="s">
        <v>2883</v>
      </c>
      <c r="UMG1339" s="4" t="s">
        <v>2883</v>
      </c>
      <c r="UMH1339" s="4" t="s">
        <v>2883</v>
      </c>
      <c r="UMI1339" s="4" t="s">
        <v>2883</v>
      </c>
      <c r="UMJ1339" s="4" t="s">
        <v>2883</v>
      </c>
      <c r="UMK1339" s="4" t="s">
        <v>2883</v>
      </c>
      <c r="UML1339" s="4" t="s">
        <v>2883</v>
      </c>
      <c r="UMM1339" s="4" t="s">
        <v>2883</v>
      </c>
      <c r="UMN1339" s="4" t="s">
        <v>2883</v>
      </c>
      <c r="UMO1339" s="4" t="s">
        <v>2883</v>
      </c>
      <c r="UMP1339" s="4" t="s">
        <v>2883</v>
      </c>
      <c r="UMQ1339" s="4" t="s">
        <v>2883</v>
      </c>
      <c r="UMR1339" s="4" t="s">
        <v>2883</v>
      </c>
      <c r="UMS1339" s="4" t="s">
        <v>2883</v>
      </c>
      <c r="UMT1339" s="4" t="s">
        <v>2883</v>
      </c>
      <c r="UMU1339" s="4" t="s">
        <v>2883</v>
      </c>
      <c r="UMV1339" s="4" t="s">
        <v>2883</v>
      </c>
      <c r="UMW1339" s="4" t="s">
        <v>2883</v>
      </c>
      <c r="UMX1339" s="4" t="s">
        <v>2883</v>
      </c>
      <c r="UMY1339" s="4" t="s">
        <v>2883</v>
      </c>
      <c r="UMZ1339" s="4" t="s">
        <v>2883</v>
      </c>
      <c r="UNA1339" s="4" t="s">
        <v>2883</v>
      </c>
      <c r="UNB1339" s="4" t="s">
        <v>2883</v>
      </c>
      <c r="UNC1339" s="4" t="s">
        <v>2883</v>
      </c>
      <c r="UND1339" s="4" t="s">
        <v>2883</v>
      </c>
      <c r="UNE1339" s="4" t="s">
        <v>2883</v>
      </c>
      <c r="UNF1339" s="4" t="s">
        <v>2883</v>
      </c>
      <c r="UNG1339" s="4" t="s">
        <v>2883</v>
      </c>
      <c r="UNH1339" s="4" t="s">
        <v>2883</v>
      </c>
      <c r="UNI1339" s="4" t="s">
        <v>2883</v>
      </c>
      <c r="UNJ1339" s="4" t="s">
        <v>2883</v>
      </c>
      <c r="UNK1339" s="4" t="s">
        <v>2883</v>
      </c>
      <c r="UNL1339" s="4" t="s">
        <v>2883</v>
      </c>
      <c r="UNM1339" s="4" t="s">
        <v>2883</v>
      </c>
      <c r="UNN1339" s="4" t="s">
        <v>2883</v>
      </c>
      <c r="UNO1339" s="4" t="s">
        <v>2883</v>
      </c>
      <c r="UNP1339" s="4" t="s">
        <v>2883</v>
      </c>
      <c r="UNQ1339" s="4" t="s">
        <v>2883</v>
      </c>
      <c r="UNR1339" s="4" t="s">
        <v>2883</v>
      </c>
      <c r="UNS1339" s="4" t="s">
        <v>2883</v>
      </c>
      <c r="UNT1339" s="4" t="s">
        <v>2883</v>
      </c>
      <c r="UNU1339" s="4" t="s">
        <v>2883</v>
      </c>
      <c r="UNV1339" s="4" t="s">
        <v>2883</v>
      </c>
      <c r="UNW1339" s="4" t="s">
        <v>2883</v>
      </c>
      <c r="UNX1339" s="4" t="s">
        <v>2883</v>
      </c>
      <c r="UNY1339" s="4" t="s">
        <v>2883</v>
      </c>
      <c r="UNZ1339" s="4" t="s">
        <v>2883</v>
      </c>
      <c r="UOA1339" s="4" t="s">
        <v>2883</v>
      </c>
      <c r="UOB1339" s="4" t="s">
        <v>2883</v>
      </c>
      <c r="UOC1339" s="4" t="s">
        <v>2883</v>
      </c>
      <c r="UOD1339" s="4" t="s">
        <v>2883</v>
      </c>
      <c r="UOE1339" s="4" t="s">
        <v>2883</v>
      </c>
      <c r="UOF1339" s="4" t="s">
        <v>2883</v>
      </c>
      <c r="UOG1339" s="4" t="s">
        <v>2883</v>
      </c>
      <c r="UOH1339" s="4" t="s">
        <v>2883</v>
      </c>
      <c r="UOI1339" s="4" t="s">
        <v>2883</v>
      </c>
      <c r="UOJ1339" s="4" t="s">
        <v>2883</v>
      </c>
      <c r="UOK1339" s="4" t="s">
        <v>2883</v>
      </c>
      <c r="UOL1339" s="4" t="s">
        <v>2883</v>
      </c>
      <c r="UOM1339" s="4" t="s">
        <v>2883</v>
      </c>
      <c r="UON1339" s="4" t="s">
        <v>2883</v>
      </c>
      <c r="UOO1339" s="4" t="s">
        <v>2883</v>
      </c>
      <c r="UOP1339" s="4" t="s">
        <v>2883</v>
      </c>
      <c r="UOQ1339" s="4" t="s">
        <v>2883</v>
      </c>
      <c r="UOR1339" s="4" t="s">
        <v>2883</v>
      </c>
      <c r="UOS1339" s="4" t="s">
        <v>2883</v>
      </c>
      <c r="UOT1339" s="4" t="s">
        <v>2883</v>
      </c>
      <c r="UOU1339" s="4" t="s">
        <v>2883</v>
      </c>
      <c r="UOV1339" s="4" t="s">
        <v>2883</v>
      </c>
      <c r="UOW1339" s="4" t="s">
        <v>2883</v>
      </c>
      <c r="UOX1339" s="4" t="s">
        <v>2883</v>
      </c>
      <c r="UOY1339" s="4" t="s">
        <v>2883</v>
      </c>
      <c r="UOZ1339" s="4" t="s">
        <v>2883</v>
      </c>
      <c r="UPA1339" s="4" t="s">
        <v>2883</v>
      </c>
      <c r="UPB1339" s="4" t="s">
        <v>2883</v>
      </c>
      <c r="UPC1339" s="4" t="s">
        <v>2883</v>
      </c>
      <c r="UPD1339" s="4" t="s">
        <v>2883</v>
      </c>
      <c r="UPE1339" s="4" t="s">
        <v>2883</v>
      </c>
      <c r="UPF1339" s="4" t="s">
        <v>2883</v>
      </c>
      <c r="UPG1339" s="4" t="s">
        <v>2883</v>
      </c>
      <c r="UPH1339" s="4" t="s">
        <v>2883</v>
      </c>
      <c r="UPI1339" s="4" t="s">
        <v>2883</v>
      </c>
      <c r="UPJ1339" s="4" t="s">
        <v>2883</v>
      </c>
      <c r="UPK1339" s="4" t="s">
        <v>2883</v>
      </c>
      <c r="UPL1339" s="4" t="s">
        <v>2883</v>
      </c>
      <c r="UPM1339" s="4" t="s">
        <v>2883</v>
      </c>
      <c r="UPN1339" s="4" t="s">
        <v>2883</v>
      </c>
      <c r="UPO1339" s="4" t="s">
        <v>2883</v>
      </c>
      <c r="UPP1339" s="4" t="s">
        <v>2883</v>
      </c>
      <c r="UPQ1339" s="4" t="s">
        <v>2883</v>
      </c>
      <c r="UPR1339" s="4" t="s">
        <v>2883</v>
      </c>
      <c r="UPS1339" s="4" t="s">
        <v>2883</v>
      </c>
      <c r="UPT1339" s="4" t="s">
        <v>2883</v>
      </c>
      <c r="UPU1339" s="4" t="s">
        <v>2883</v>
      </c>
      <c r="UPV1339" s="4" t="s">
        <v>2883</v>
      </c>
      <c r="UPW1339" s="4" t="s">
        <v>2883</v>
      </c>
      <c r="UPX1339" s="4" t="s">
        <v>2883</v>
      </c>
      <c r="UPY1339" s="4" t="s">
        <v>2883</v>
      </c>
      <c r="UPZ1339" s="4" t="s">
        <v>2883</v>
      </c>
      <c r="UQA1339" s="4" t="s">
        <v>2883</v>
      </c>
      <c r="UQB1339" s="4" t="s">
        <v>2883</v>
      </c>
      <c r="UQC1339" s="4" t="s">
        <v>2883</v>
      </c>
      <c r="UQD1339" s="4" t="s">
        <v>2883</v>
      </c>
      <c r="UQE1339" s="4" t="s">
        <v>2883</v>
      </c>
      <c r="UQF1339" s="4" t="s">
        <v>2883</v>
      </c>
      <c r="UQG1339" s="4" t="s">
        <v>2883</v>
      </c>
      <c r="UQH1339" s="4" t="s">
        <v>2883</v>
      </c>
      <c r="UQI1339" s="4" t="s">
        <v>2883</v>
      </c>
      <c r="UQJ1339" s="4" t="s">
        <v>2883</v>
      </c>
      <c r="UQK1339" s="4" t="s">
        <v>2883</v>
      </c>
      <c r="UQL1339" s="4" t="s">
        <v>2883</v>
      </c>
      <c r="UQM1339" s="4" t="s">
        <v>2883</v>
      </c>
      <c r="UQN1339" s="4" t="s">
        <v>2883</v>
      </c>
      <c r="UQO1339" s="4" t="s">
        <v>2883</v>
      </c>
      <c r="UQP1339" s="4" t="s">
        <v>2883</v>
      </c>
      <c r="UQQ1339" s="4" t="s">
        <v>2883</v>
      </c>
      <c r="UQR1339" s="4" t="s">
        <v>2883</v>
      </c>
      <c r="UQS1339" s="4" t="s">
        <v>2883</v>
      </c>
      <c r="UQT1339" s="4" t="s">
        <v>2883</v>
      </c>
      <c r="UQU1339" s="4" t="s">
        <v>2883</v>
      </c>
      <c r="UQV1339" s="4" t="s">
        <v>2883</v>
      </c>
      <c r="UQW1339" s="4" t="s">
        <v>2883</v>
      </c>
      <c r="UQX1339" s="4" t="s">
        <v>2883</v>
      </c>
      <c r="UQY1339" s="4" t="s">
        <v>2883</v>
      </c>
      <c r="UQZ1339" s="4" t="s">
        <v>2883</v>
      </c>
      <c r="URA1339" s="4" t="s">
        <v>2883</v>
      </c>
      <c r="URB1339" s="4" t="s">
        <v>2883</v>
      </c>
      <c r="URC1339" s="4" t="s">
        <v>2883</v>
      </c>
      <c r="URD1339" s="4" t="s">
        <v>2883</v>
      </c>
      <c r="URE1339" s="4" t="s">
        <v>2883</v>
      </c>
      <c r="URF1339" s="4" t="s">
        <v>2883</v>
      </c>
      <c r="URG1339" s="4" t="s">
        <v>2883</v>
      </c>
      <c r="URH1339" s="4" t="s">
        <v>2883</v>
      </c>
      <c r="URI1339" s="4" t="s">
        <v>2883</v>
      </c>
      <c r="URJ1339" s="4" t="s">
        <v>2883</v>
      </c>
      <c r="URK1339" s="4" t="s">
        <v>2883</v>
      </c>
      <c r="URL1339" s="4" t="s">
        <v>2883</v>
      </c>
      <c r="URM1339" s="4" t="s">
        <v>2883</v>
      </c>
      <c r="URN1339" s="4" t="s">
        <v>2883</v>
      </c>
      <c r="URO1339" s="4" t="s">
        <v>2883</v>
      </c>
      <c r="URP1339" s="4" t="s">
        <v>2883</v>
      </c>
      <c r="URQ1339" s="4" t="s">
        <v>2883</v>
      </c>
      <c r="URR1339" s="4" t="s">
        <v>2883</v>
      </c>
      <c r="URS1339" s="4" t="s">
        <v>2883</v>
      </c>
      <c r="URT1339" s="4" t="s">
        <v>2883</v>
      </c>
      <c r="URU1339" s="4" t="s">
        <v>2883</v>
      </c>
      <c r="URV1339" s="4" t="s">
        <v>2883</v>
      </c>
      <c r="URW1339" s="4" t="s">
        <v>2883</v>
      </c>
      <c r="URX1339" s="4" t="s">
        <v>2883</v>
      </c>
      <c r="URY1339" s="4" t="s">
        <v>2883</v>
      </c>
      <c r="URZ1339" s="4" t="s">
        <v>2883</v>
      </c>
      <c r="USA1339" s="4" t="s">
        <v>2883</v>
      </c>
      <c r="USB1339" s="4" t="s">
        <v>2883</v>
      </c>
      <c r="USC1339" s="4" t="s">
        <v>2883</v>
      </c>
      <c r="USD1339" s="4" t="s">
        <v>2883</v>
      </c>
      <c r="USE1339" s="4" t="s">
        <v>2883</v>
      </c>
      <c r="USF1339" s="4" t="s">
        <v>2883</v>
      </c>
      <c r="USG1339" s="4" t="s">
        <v>2883</v>
      </c>
      <c r="USH1339" s="4" t="s">
        <v>2883</v>
      </c>
      <c r="USI1339" s="4" t="s">
        <v>2883</v>
      </c>
      <c r="USJ1339" s="4" t="s">
        <v>2883</v>
      </c>
      <c r="USK1339" s="4" t="s">
        <v>2883</v>
      </c>
      <c r="USL1339" s="4" t="s">
        <v>2883</v>
      </c>
      <c r="USM1339" s="4" t="s">
        <v>2883</v>
      </c>
      <c r="USN1339" s="4" t="s">
        <v>2883</v>
      </c>
      <c r="USO1339" s="4" t="s">
        <v>2883</v>
      </c>
      <c r="USP1339" s="4" t="s">
        <v>2883</v>
      </c>
      <c r="USQ1339" s="4" t="s">
        <v>2883</v>
      </c>
      <c r="USR1339" s="4" t="s">
        <v>2883</v>
      </c>
      <c r="USS1339" s="4" t="s">
        <v>2883</v>
      </c>
      <c r="UST1339" s="4" t="s">
        <v>2883</v>
      </c>
      <c r="USU1339" s="4" t="s">
        <v>2883</v>
      </c>
      <c r="USV1339" s="4" t="s">
        <v>2883</v>
      </c>
      <c r="USW1339" s="4" t="s">
        <v>2883</v>
      </c>
      <c r="USX1339" s="4" t="s">
        <v>2883</v>
      </c>
      <c r="USY1339" s="4" t="s">
        <v>2883</v>
      </c>
      <c r="USZ1339" s="4" t="s">
        <v>2883</v>
      </c>
      <c r="UTA1339" s="4" t="s">
        <v>2883</v>
      </c>
      <c r="UTB1339" s="4" t="s">
        <v>2883</v>
      </c>
      <c r="UTC1339" s="4" t="s">
        <v>2883</v>
      </c>
      <c r="UTD1339" s="4" t="s">
        <v>2883</v>
      </c>
      <c r="UTE1339" s="4" t="s">
        <v>2883</v>
      </c>
      <c r="UTF1339" s="4" t="s">
        <v>2883</v>
      </c>
      <c r="UTG1339" s="4" t="s">
        <v>2883</v>
      </c>
      <c r="UTH1339" s="4" t="s">
        <v>2883</v>
      </c>
      <c r="UTI1339" s="4" t="s">
        <v>2883</v>
      </c>
      <c r="UTJ1339" s="4" t="s">
        <v>2883</v>
      </c>
      <c r="UTK1339" s="4" t="s">
        <v>2883</v>
      </c>
      <c r="UTL1339" s="4" t="s">
        <v>2883</v>
      </c>
      <c r="UTM1339" s="4" t="s">
        <v>2883</v>
      </c>
      <c r="UTN1339" s="4" t="s">
        <v>2883</v>
      </c>
      <c r="UTO1339" s="4" t="s">
        <v>2883</v>
      </c>
      <c r="UTP1339" s="4" t="s">
        <v>2883</v>
      </c>
      <c r="UTQ1339" s="4" t="s">
        <v>2883</v>
      </c>
      <c r="UTR1339" s="4" t="s">
        <v>2883</v>
      </c>
      <c r="UTS1339" s="4" t="s">
        <v>2883</v>
      </c>
      <c r="UTT1339" s="4" t="s">
        <v>2883</v>
      </c>
      <c r="UTU1339" s="4" t="s">
        <v>2883</v>
      </c>
      <c r="UTV1339" s="4" t="s">
        <v>2883</v>
      </c>
      <c r="UTW1339" s="4" t="s">
        <v>2883</v>
      </c>
      <c r="UTX1339" s="4" t="s">
        <v>2883</v>
      </c>
      <c r="UTY1339" s="4" t="s">
        <v>2883</v>
      </c>
      <c r="UTZ1339" s="4" t="s">
        <v>2883</v>
      </c>
      <c r="UUA1339" s="4" t="s">
        <v>2883</v>
      </c>
      <c r="UUB1339" s="4" t="s">
        <v>2883</v>
      </c>
      <c r="UUC1339" s="4" t="s">
        <v>2883</v>
      </c>
      <c r="UUD1339" s="4" t="s">
        <v>2883</v>
      </c>
      <c r="UUE1339" s="4" t="s">
        <v>2883</v>
      </c>
      <c r="UUF1339" s="4" t="s">
        <v>2883</v>
      </c>
      <c r="UUG1339" s="4" t="s">
        <v>2883</v>
      </c>
      <c r="UUH1339" s="4" t="s">
        <v>2883</v>
      </c>
      <c r="UUI1339" s="4" t="s">
        <v>2883</v>
      </c>
      <c r="UUJ1339" s="4" t="s">
        <v>2883</v>
      </c>
      <c r="UUK1339" s="4" t="s">
        <v>2883</v>
      </c>
      <c r="UUL1339" s="4" t="s">
        <v>2883</v>
      </c>
      <c r="UUM1339" s="4" t="s">
        <v>2883</v>
      </c>
      <c r="UUN1339" s="4" t="s">
        <v>2883</v>
      </c>
      <c r="UUO1339" s="4" t="s">
        <v>2883</v>
      </c>
      <c r="UUP1339" s="4" t="s">
        <v>2883</v>
      </c>
      <c r="UUQ1339" s="4" t="s">
        <v>2883</v>
      </c>
      <c r="UUR1339" s="4" t="s">
        <v>2883</v>
      </c>
      <c r="UUS1339" s="4" t="s">
        <v>2883</v>
      </c>
      <c r="UUT1339" s="4" t="s">
        <v>2883</v>
      </c>
      <c r="UUU1339" s="4" t="s">
        <v>2883</v>
      </c>
      <c r="UUV1339" s="4" t="s">
        <v>2883</v>
      </c>
      <c r="UUW1339" s="4" t="s">
        <v>2883</v>
      </c>
      <c r="UUX1339" s="4" t="s">
        <v>2883</v>
      </c>
      <c r="UUY1339" s="4" t="s">
        <v>2883</v>
      </c>
      <c r="UUZ1339" s="4" t="s">
        <v>2883</v>
      </c>
      <c r="UVA1339" s="4" t="s">
        <v>2883</v>
      </c>
      <c r="UVB1339" s="4" t="s">
        <v>2883</v>
      </c>
      <c r="UVC1339" s="4" t="s">
        <v>2883</v>
      </c>
      <c r="UVD1339" s="4" t="s">
        <v>2883</v>
      </c>
      <c r="UVE1339" s="4" t="s">
        <v>2883</v>
      </c>
      <c r="UVF1339" s="4" t="s">
        <v>2883</v>
      </c>
      <c r="UVG1339" s="4" t="s">
        <v>2883</v>
      </c>
      <c r="UVH1339" s="4" t="s">
        <v>2883</v>
      </c>
      <c r="UVI1339" s="4" t="s">
        <v>2883</v>
      </c>
      <c r="UVJ1339" s="4" t="s">
        <v>2883</v>
      </c>
      <c r="UVK1339" s="4" t="s">
        <v>2883</v>
      </c>
      <c r="UVL1339" s="4" t="s">
        <v>2883</v>
      </c>
      <c r="UVM1339" s="4" t="s">
        <v>2883</v>
      </c>
      <c r="UVN1339" s="4" t="s">
        <v>2883</v>
      </c>
      <c r="UVO1339" s="4" t="s">
        <v>2883</v>
      </c>
      <c r="UVP1339" s="4" t="s">
        <v>2883</v>
      </c>
      <c r="UVQ1339" s="4" t="s">
        <v>2883</v>
      </c>
      <c r="UVR1339" s="4" t="s">
        <v>2883</v>
      </c>
      <c r="UVS1339" s="4" t="s">
        <v>2883</v>
      </c>
      <c r="UVT1339" s="4" t="s">
        <v>2883</v>
      </c>
      <c r="UVU1339" s="4" t="s">
        <v>2883</v>
      </c>
      <c r="UVV1339" s="4" t="s">
        <v>2883</v>
      </c>
      <c r="UVW1339" s="4" t="s">
        <v>2883</v>
      </c>
      <c r="UVX1339" s="4" t="s">
        <v>2883</v>
      </c>
      <c r="UVY1339" s="4" t="s">
        <v>2883</v>
      </c>
      <c r="UVZ1339" s="4" t="s">
        <v>2883</v>
      </c>
      <c r="UWA1339" s="4" t="s">
        <v>2883</v>
      </c>
      <c r="UWB1339" s="4" t="s">
        <v>2883</v>
      </c>
      <c r="UWC1339" s="4" t="s">
        <v>2883</v>
      </c>
      <c r="UWD1339" s="4" t="s">
        <v>2883</v>
      </c>
      <c r="UWE1339" s="4" t="s">
        <v>2883</v>
      </c>
      <c r="UWF1339" s="4" t="s">
        <v>2883</v>
      </c>
      <c r="UWG1339" s="4" t="s">
        <v>2883</v>
      </c>
      <c r="UWH1339" s="4" t="s">
        <v>2883</v>
      </c>
      <c r="UWI1339" s="4" t="s">
        <v>2883</v>
      </c>
      <c r="UWJ1339" s="4" t="s">
        <v>2883</v>
      </c>
      <c r="UWK1339" s="4" t="s">
        <v>2883</v>
      </c>
      <c r="UWL1339" s="4" t="s">
        <v>2883</v>
      </c>
      <c r="UWM1339" s="4" t="s">
        <v>2883</v>
      </c>
      <c r="UWN1339" s="4" t="s">
        <v>2883</v>
      </c>
      <c r="UWO1339" s="4" t="s">
        <v>2883</v>
      </c>
      <c r="UWP1339" s="4" t="s">
        <v>2883</v>
      </c>
      <c r="UWQ1339" s="4" t="s">
        <v>2883</v>
      </c>
      <c r="UWR1339" s="4" t="s">
        <v>2883</v>
      </c>
      <c r="UWS1339" s="4" t="s">
        <v>2883</v>
      </c>
      <c r="UWT1339" s="4" t="s">
        <v>2883</v>
      </c>
      <c r="UWU1339" s="4" t="s">
        <v>2883</v>
      </c>
      <c r="UWV1339" s="4" t="s">
        <v>2883</v>
      </c>
      <c r="UWW1339" s="4" t="s">
        <v>2883</v>
      </c>
      <c r="UWX1339" s="4" t="s">
        <v>2883</v>
      </c>
      <c r="UWY1339" s="4" t="s">
        <v>2883</v>
      </c>
      <c r="UWZ1339" s="4" t="s">
        <v>2883</v>
      </c>
      <c r="UXA1339" s="4" t="s">
        <v>2883</v>
      </c>
      <c r="UXB1339" s="4" t="s">
        <v>2883</v>
      </c>
      <c r="UXC1339" s="4" t="s">
        <v>2883</v>
      </c>
      <c r="UXD1339" s="4" t="s">
        <v>2883</v>
      </c>
      <c r="UXE1339" s="4" t="s">
        <v>2883</v>
      </c>
      <c r="UXF1339" s="4" t="s">
        <v>2883</v>
      </c>
      <c r="UXG1339" s="4" t="s">
        <v>2883</v>
      </c>
      <c r="UXH1339" s="4" t="s">
        <v>2883</v>
      </c>
      <c r="UXI1339" s="4" t="s">
        <v>2883</v>
      </c>
      <c r="UXJ1339" s="4" t="s">
        <v>2883</v>
      </c>
      <c r="UXK1339" s="4" t="s">
        <v>2883</v>
      </c>
      <c r="UXL1339" s="4" t="s">
        <v>2883</v>
      </c>
      <c r="UXM1339" s="4" t="s">
        <v>2883</v>
      </c>
      <c r="UXN1339" s="4" t="s">
        <v>2883</v>
      </c>
      <c r="UXO1339" s="4" t="s">
        <v>2883</v>
      </c>
      <c r="UXP1339" s="4" t="s">
        <v>2883</v>
      </c>
      <c r="UXQ1339" s="4" t="s">
        <v>2883</v>
      </c>
      <c r="UXR1339" s="4" t="s">
        <v>2883</v>
      </c>
      <c r="UXS1339" s="4" t="s">
        <v>2883</v>
      </c>
      <c r="UXT1339" s="4" t="s">
        <v>2883</v>
      </c>
      <c r="UXU1339" s="4" t="s">
        <v>2883</v>
      </c>
      <c r="UXV1339" s="4" t="s">
        <v>2883</v>
      </c>
      <c r="UXW1339" s="4" t="s">
        <v>2883</v>
      </c>
      <c r="UXX1339" s="4" t="s">
        <v>2883</v>
      </c>
      <c r="UXY1339" s="4" t="s">
        <v>2883</v>
      </c>
      <c r="UXZ1339" s="4" t="s">
        <v>2883</v>
      </c>
      <c r="UYA1339" s="4" t="s">
        <v>2883</v>
      </c>
      <c r="UYB1339" s="4" t="s">
        <v>2883</v>
      </c>
      <c r="UYC1339" s="4" t="s">
        <v>2883</v>
      </c>
      <c r="UYD1339" s="4" t="s">
        <v>2883</v>
      </c>
      <c r="UYE1339" s="4" t="s">
        <v>2883</v>
      </c>
      <c r="UYF1339" s="4" t="s">
        <v>2883</v>
      </c>
      <c r="UYG1339" s="4" t="s">
        <v>2883</v>
      </c>
      <c r="UYH1339" s="4" t="s">
        <v>2883</v>
      </c>
      <c r="UYI1339" s="4" t="s">
        <v>2883</v>
      </c>
      <c r="UYJ1339" s="4" t="s">
        <v>2883</v>
      </c>
      <c r="UYK1339" s="4" t="s">
        <v>2883</v>
      </c>
      <c r="UYL1339" s="4" t="s">
        <v>2883</v>
      </c>
      <c r="UYM1339" s="4" t="s">
        <v>2883</v>
      </c>
      <c r="UYN1339" s="4" t="s">
        <v>2883</v>
      </c>
      <c r="UYO1339" s="4" t="s">
        <v>2883</v>
      </c>
      <c r="UYP1339" s="4" t="s">
        <v>2883</v>
      </c>
      <c r="UYQ1339" s="4" t="s">
        <v>2883</v>
      </c>
      <c r="UYR1339" s="4" t="s">
        <v>2883</v>
      </c>
      <c r="UYS1339" s="4" t="s">
        <v>2883</v>
      </c>
      <c r="UYT1339" s="4" t="s">
        <v>2883</v>
      </c>
      <c r="UYU1339" s="4" t="s">
        <v>2883</v>
      </c>
      <c r="UYV1339" s="4" t="s">
        <v>2883</v>
      </c>
      <c r="UYW1339" s="4" t="s">
        <v>2883</v>
      </c>
      <c r="UYX1339" s="4" t="s">
        <v>2883</v>
      </c>
      <c r="UYY1339" s="4" t="s">
        <v>2883</v>
      </c>
      <c r="UYZ1339" s="4" t="s">
        <v>2883</v>
      </c>
      <c r="UZA1339" s="4" t="s">
        <v>2883</v>
      </c>
      <c r="UZB1339" s="4" t="s">
        <v>2883</v>
      </c>
      <c r="UZC1339" s="4" t="s">
        <v>2883</v>
      </c>
      <c r="UZD1339" s="4" t="s">
        <v>2883</v>
      </c>
      <c r="UZE1339" s="4" t="s">
        <v>2883</v>
      </c>
      <c r="UZF1339" s="4" t="s">
        <v>2883</v>
      </c>
      <c r="UZG1339" s="4" t="s">
        <v>2883</v>
      </c>
      <c r="UZH1339" s="4" t="s">
        <v>2883</v>
      </c>
      <c r="UZI1339" s="4" t="s">
        <v>2883</v>
      </c>
      <c r="UZJ1339" s="4" t="s">
        <v>2883</v>
      </c>
      <c r="UZK1339" s="4" t="s">
        <v>2883</v>
      </c>
      <c r="UZL1339" s="4" t="s">
        <v>2883</v>
      </c>
      <c r="UZM1339" s="4" t="s">
        <v>2883</v>
      </c>
      <c r="UZN1339" s="4" t="s">
        <v>2883</v>
      </c>
      <c r="UZO1339" s="4" t="s">
        <v>2883</v>
      </c>
      <c r="UZP1339" s="4" t="s">
        <v>2883</v>
      </c>
      <c r="UZQ1339" s="4" t="s">
        <v>2883</v>
      </c>
      <c r="UZR1339" s="4" t="s">
        <v>2883</v>
      </c>
      <c r="UZS1339" s="4" t="s">
        <v>2883</v>
      </c>
      <c r="UZT1339" s="4" t="s">
        <v>2883</v>
      </c>
      <c r="UZU1339" s="4" t="s">
        <v>2883</v>
      </c>
      <c r="UZV1339" s="4" t="s">
        <v>2883</v>
      </c>
      <c r="UZW1339" s="4" t="s">
        <v>2883</v>
      </c>
      <c r="UZX1339" s="4" t="s">
        <v>2883</v>
      </c>
      <c r="UZY1339" s="4" t="s">
        <v>2883</v>
      </c>
      <c r="UZZ1339" s="4" t="s">
        <v>2883</v>
      </c>
      <c r="VAA1339" s="4" t="s">
        <v>2883</v>
      </c>
      <c r="VAB1339" s="4" t="s">
        <v>2883</v>
      </c>
      <c r="VAC1339" s="4" t="s">
        <v>2883</v>
      </c>
      <c r="VAD1339" s="4" t="s">
        <v>2883</v>
      </c>
      <c r="VAE1339" s="4" t="s">
        <v>2883</v>
      </c>
      <c r="VAF1339" s="4" t="s">
        <v>2883</v>
      </c>
      <c r="VAG1339" s="4" t="s">
        <v>2883</v>
      </c>
      <c r="VAH1339" s="4" t="s">
        <v>2883</v>
      </c>
      <c r="VAI1339" s="4" t="s">
        <v>2883</v>
      </c>
      <c r="VAJ1339" s="4" t="s">
        <v>2883</v>
      </c>
      <c r="VAK1339" s="4" t="s">
        <v>2883</v>
      </c>
      <c r="VAL1339" s="4" t="s">
        <v>2883</v>
      </c>
      <c r="VAM1339" s="4" t="s">
        <v>2883</v>
      </c>
      <c r="VAN1339" s="4" t="s">
        <v>2883</v>
      </c>
      <c r="VAO1339" s="4" t="s">
        <v>2883</v>
      </c>
      <c r="VAP1339" s="4" t="s">
        <v>2883</v>
      </c>
      <c r="VAQ1339" s="4" t="s">
        <v>2883</v>
      </c>
      <c r="VAR1339" s="4" t="s">
        <v>2883</v>
      </c>
      <c r="VAS1339" s="4" t="s">
        <v>2883</v>
      </c>
      <c r="VAT1339" s="4" t="s">
        <v>2883</v>
      </c>
      <c r="VAU1339" s="4" t="s">
        <v>2883</v>
      </c>
      <c r="VAV1339" s="4" t="s">
        <v>2883</v>
      </c>
      <c r="VAW1339" s="4" t="s">
        <v>2883</v>
      </c>
      <c r="VAX1339" s="4" t="s">
        <v>2883</v>
      </c>
      <c r="VAY1339" s="4" t="s">
        <v>2883</v>
      </c>
      <c r="VAZ1339" s="4" t="s">
        <v>2883</v>
      </c>
      <c r="VBA1339" s="4" t="s">
        <v>2883</v>
      </c>
      <c r="VBB1339" s="4" t="s">
        <v>2883</v>
      </c>
      <c r="VBC1339" s="4" t="s">
        <v>2883</v>
      </c>
      <c r="VBD1339" s="4" t="s">
        <v>2883</v>
      </c>
      <c r="VBE1339" s="4" t="s">
        <v>2883</v>
      </c>
      <c r="VBF1339" s="4" t="s">
        <v>2883</v>
      </c>
      <c r="VBG1339" s="4" t="s">
        <v>2883</v>
      </c>
      <c r="VBH1339" s="4" t="s">
        <v>2883</v>
      </c>
      <c r="VBI1339" s="4" t="s">
        <v>2883</v>
      </c>
      <c r="VBJ1339" s="4" t="s">
        <v>2883</v>
      </c>
      <c r="VBK1339" s="4" t="s">
        <v>2883</v>
      </c>
      <c r="VBL1339" s="4" t="s">
        <v>2883</v>
      </c>
      <c r="VBM1339" s="4" t="s">
        <v>2883</v>
      </c>
      <c r="VBN1339" s="4" t="s">
        <v>2883</v>
      </c>
      <c r="VBO1339" s="4" t="s">
        <v>2883</v>
      </c>
      <c r="VBP1339" s="4" t="s">
        <v>2883</v>
      </c>
      <c r="VBQ1339" s="4" t="s">
        <v>2883</v>
      </c>
      <c r="VBR1339" s="4" t="s">
        <v>2883</v>
      </c>
      <c r="VBS1339" s="4" t="s">
        <v>2883</v>
      </c>
      <c r="VBT1339" s="4" t="s">
        <v>2883</v>
      </c>
      <c r="VBU1339" s="4" t="s">
        <v>2883</v>
      </c>
      <c r="VBV1339" s="4" t="s">
        <v>2883</v>
      </c>
      <c r="VBW1339" s="4" t="s">
        <v>2883</v>
      </c>
      <c r="VBX1339" s="4" t="s">
        <v>2883</v>
      </c>
      <c r="VBY1339" s="4" t="s">
        <v>2883</v>
      </c>
      <c r="VBZ1339" s="4" t="s">
        <v>2883</v>
      </c>
      <c r="VCA1339" s="4" t="s">
        <v>2883</v>
      </c>
      <c r="VCB1339" s="4" t="s">
        <v>2883</v>
      </c>
      <c r="VCC1339" s="4" t="s">
        <v>2883</v>
      </c>
      <c r="VCD1339" s="4" t="s">
        <v>2883</v>
      </c>
      <c r="VCE1339" s="4" t="s">
        <v>2883</v>
      </c>
      <c r="VCF1339" s="4" t="s">
        <v>2883</v>
      </c>
      <c r="VCG1339" s="4" t="s">
        <v>2883</v>
      </c>
      <c r="VCH1339" s="4" t="s">
        <v>2883</v>
      </c>
      <c r="VCI1339" s="4" t="s">
        <v>2883</v>
      </c>
      <c r="VCJ1339" s="4" t="s">
        <v>2883</v>
      </c>
      <c r="VCK1339" s="4" t="s">
        <v>2883</v>
      </c>
      <c r="VCL1339" s="4" t="s">
        <v>2883</v>
      </c>
      <c r="VCM1339" s="4" t="s">
        <v>2883</v>
      </c>
      <c r="VCN1339" s="4" t="s">
        <v>2883</v>
      </c>
      <c r="VCO1339" s="4" t="s">
        <v>2883</v>
      </c>
      <c r="VCP1339" s="4" t="s">
        <v>2883</v>
      </c>
      <c r="VCQ1339" s="4" t="s">
        <v>2883</v>
      </c>
      <c r="VCR1339" s="4" t="s">
        <v>2883</v>
      </c>
      <c r="VCS1339" s="4" t="s">
        <v>2883</v>
      </c>
      <c r="VCT1339" s="4" t="s">
        <v>2883</v>
      </c>
      <c r="VCU1339" s="4" t="s">
        <v>2883</v>
      </c>
      <c r="VCV1339" s="4" t="s">
        <v>2883</v>
      </c>
      <c r="VCW1339" s="4" t="s">
        <v>2883</v>
      </c>
      <c r="VCX1339" s="4" t="s">
        <v>2883</v>
      </c>
      <c r="VCY1339" s="4" t="s">
        <v>2883</v>
      </c>
      <c r="VCZ1339" s="4" t="s">
        <v>2883</v>
      </c>
      <c r="VDA1339" s="4" t="s">
        <v>2883</v>
      </c>
      <c r="VDB1339" s="4" t="s">
        <v>2883</v>
      </c>
      <c r="VDC1339" s="4" t="s">
        <v>2883</v>
      </c>
      <c r="VDD1339" s="4" t="s">
        <v>2883</v>
      </c>
      <c r="VDE1339" s="4" t="s">
        <v>2883</v>
      </c>
      <c r="VDF1339" s="4" t="s">
        <v>2883</v>
      </c>
      <c r="VDG1339" s="4" t="s">
        <v>2883</v>
      </c>
      <c r="VDH1339" s="4" t="s">
        <v>2883</v>
      </c>
      <c r="VDI1339" s="4" t="s">
        <v>2883</v>
      </c>
      <c r="VDJ1339" s="4" t="s">
        <v>2883</v>
      </c>
      <c r="VDK1339" s="4" t="s">
        <v>2883</v>
      </c>
      <c r="VDL1339" s="4" t="s">
        <v>2883</v>
      </c>
      <c r="VDM1339" s="4" t="s">
        <v>2883</v>
      </c>
      <c r="VDN1339" s="4" t="s">
        <v>2883</v>
      </c>
      <c r="VDO1339" s="4" t="s">
        <v>2883</v>
      </c>
      <c r="VDP1339" s="4" t="s">
        <v>2883</v>
      </c>
      <c r="VDQ1339" s="4" t="s">
        <v>2883</v>
      </c>
      <c r="VDR1339" s="4" t="s">
        <v>2883</v>
      </c>
      <c r="VDS1339" s="4" t="s">
        <v>2883</v>
      </c>
      <c r="VDT1339" s="4" t="s">
        <v>2883</v>
      </c>
      <c r="VDU1339" s="4" t="s">
        <v>2883</v>
      </c>
      <c r="VDV1339" s="4" t="s">
        <v>2883</v>
      </c>
      <c r="VDW1339" s="4" t="s">
        <v>2883</v>
      </c>
      <c r="VDX1339" s="4" t="s">
        <v>2883</v>
      </c>
      <c r="VDY1339" s="4" t="s">
        <v>2883</v>
      </c>
      <c r="VDZ1339" s="4" t="s">
        <v>2883</v>
      </c>
      <c r="VEA1339" s="4" t="s">
        <v>2883</v>
      </c>
      <c r="VEB1339" s="4" t="s">
        <v>2883</v>
      </c>
      <c r="VEC1339" s="4" t="s">
        <v>2883</v>
      </c>
      <c r="VED1339" s="4" t="s">
        <v>2883</v>
      </c>
      <c r="VEE1339" s="4" t="s">
        <v>2883</v>
      </c>
      <c r="VEF1339" s="4" t="s">
        <v>2883</v>
      </c>
      <c r="VEG1339" s="4" t="s">
        <v>2883</v>
      </c>
      <c r="VEH1339" s="4" t="s">
        <v>2883</v>
      </c>
      <c r="VEI1339" s="4" t="s">
        <v>2883</v>
      </c>
      <c r="VEJ1339" s="4" t="s">
        <v>2883</v>
      </c>
      <c r="VEK1339" s="4" t="s">
        <v>2883</v>
      </c>
      <c r="VEL1339" s="4" t="s">
        <v>2883</v>
      </c>
      <c r="VEM1339" s="4" t="s">
        <v>2883</v>
      </c>
      <c r="VEN1339" s="4" t="s">
        <v>2883</v>
      </c>
      <c r="VEO1339" s="4" t="s">
        <v>2883</v>
      </c>
      <c r="VEP1339" s="4" t="s">
        <v>2883</v>
      </c>
      <c r="VEQ1339" s="4" t="s">
        <v>2883</v>
      </c>
      <c r="VER1339" s="4" t="s">
        <v>2883</v>
      </c>
      <c r="VES1339" s="4" t="s">
        <v>2883</v>
      </c>
      <c r="VET1339" s="4" t="s">
        <v>2883</v>
      </c>
      <c r="VEU1339" s="4" t="s">
        <v>2883</v>
      </c>
      <c r="VEV1339" s="4" t="s">
        <v>2883</v>
      </c>
      <c r="VEW1339" s="4" t="s">
        <v>2883</v>
      </c>
      <c r="VEX1339" s="4" t="s">
        <v>2883</v>
      </c>
      <c r="VEY1339" s="4" t="s">
        <v>2883</v>
      </c>
      <c r="VEZ1339" s="4" t="s">
        <v>2883</v>
      </c>
      <c r="VFA1339" s="4" t="s">
        <v>2883</v>
      </c>
      <c r="VFB1339" s="4" t="s">
        <v>2883</v>
      </c>
      <c r="VFC1339" s="4" t="s">
        <v>2883</v>
      </c>
      <c r="VFD1339" s="4" t="s">
        <v>2883</v>
      </c>
      <c r="VFE1339" s="4" t="s">
        <v>2883</v>
      </c>
      <c r="VFF1339" s="4" t="s">
        <v>2883</v>
      </c>
      <c r="VFG1339" s="4" t="s">
        <v>2883</v>
      </c>
      <c r="VFH1339" s="4" t="s">
        <v>2883</v>
      </c>
      <c r="VFI1339" s="4" t="s">
        <v>2883</v>
      </c>
      <c r="VFJ1339" s="4" t="s">
        <v>2883</v>
      </c>
      <c r="VFK1339" s="4" t="s">
        <v>2883</v>
      </c>
      <c r="VFL1339" s="4" t="s">
        <v>2883</v>
      </c>
      <c r="VFM1339" s="4" t="s">
        <v>2883</v>
      </c>
      <c r="VFN1339" s="4" t="s">
        <v>2883</v>
      </c>
      <c r="VFO1339" s="4" t="s">
        <v>2883</v>
      </c>
      <c r="VFP1339" s="4" t="s">
        <v>2883</v>
      </c>
      <c r="VFQ1339" s="4" t="s">
        <v>2883</v>
      </c>
      <c r="VFR1339" s="4" t="s">
        <v>2883</v>
      </c>
      <c r="VFS1339" s="4" t="s">
        <v>2883</v>
      </c>
      <c r="VFT1339" s="4" t="s">
        <v>2883</v>
      </c>
      <c r="VFU1339" s="4" t="s">
        <v>2883</v>
      </c>
      <c r="VFV1339" s="4" t="s">
        <v>2883</v>
      </c>
      <c r="VFW1339" s="4" t="s">
        <v>2883</v>
      </c>
      <c r="VFX1339" s="4" t="s">
        <v>2883</v>
      </c>
      <c r="VFY1339" s="4" t="s">
        <v>2883</v>
      </c>
      <c r="VFZ1339" s="4" t="s">
        <v>2883</v>
      </c>
      <c r="VGA1339" s="4" t="s">
        <v>2883</v>
      </c>
      <c r="VGB1339" s="4" t="s">
        <v>2883</v>
      </c>
      <c r="VGC1339" s="4" t="s">
        <v>2883</v>
      </c>
      <c r="VGD1339" s="4" t="s">
        <v>2883</v>
      </c>
      <c r="VGE1339" s="4" t="s">
        <v>2883</v>
      </c>
      <c r="VGF1339" s="4" t="s">
        <v>2883</v>
      </c>
      <c r="VGG1339" s="4" t="s">
        <v>2883</v>
      </c>
      <c r="VGH1339" s="4" t="s">
        <v>2883</v>
      </c>
      <c r="VGI1339" s="4" t="s">
        <v>2883</v>
      </c>
      <c r="VGJ1339" s="4" t="s">
        <v>2883</v>
      </c>
      <c r="VGK1339" s="4" t="s">
        <v>2883</v>
      </c>
      <c r="VGL1339" s="4" t="s">
        <v>2883</v>
      </c>
      <c r="VGM1339" s="4" t="s">
        <v>2883</v>
      </c>
      <c r="VGN1339" s="4" t="s">
        <v>2883</v>
      </c>
      <c r="VGO1339" s="4" t="s">
        <v>2883</v>
      </c>
      <c r="VGP1339" s="4" t="s">
        <v>2883</v>
      </c>
      <c r="VGQ1339" s="4" t="s">
        <v>2883</v>
      </c>
      <c r="VGR1339" s="4" t="s">
        <v>2883</v>
      </c>
      <c r="VGS1339" s="4" t="s">
        <v>2883</v>
      </c>
      <c r="VGT1339" s="4" t="s">
        <v>2883</v>
      </c>
      <c r="VGU1339" s="4" t="s">
        <v>2883</v>
      </c>
      <c r="VGV1339" s="4" t="s">
        <v>2883</v>
      </c>
      <c r="VGW1339" s="4" t="s">
        <v>2883</v>
      </c>
      <c r="VGX1339" s="4" t="s">
        <v>2883</v>
      </c>
      <c r="VGY1339" s="4" t="s">
        <v>2883</v>
      </c>
      <c r="VGZ1339" s="4" t="s">
        <v>2883</v>
      </c>
      <c r="VHA1339" s="4" t="s">
        <v>2883</v>
      </c>
      <c r="VHB1339" s="4" t="s">
        <v>2883</v>
      </c>
      <c r="VHC1339" s="4" t="s">
        <v>2883</v>
      </c>
      <c r="VHD1339" s="4" t="s">
        <v>2883</v>
      </c>
      <c r="VHE1339" s="4" t="s">
        <v>2883</v>
      </c>
      <c r="VHF1339" s="4" t="s">
        <v>2883</v>
      </c>
      <c r="VHG1339" s="4" t="s">
        <v>2883</v>
      </c>
      <c r="VHH1339" s="4" t="s">
        <v>2883</v>
      </c>
      <c r="VHI1339" s="4" t="s">
        <v>2883</v>
      </c>
      <c r="VHJ1339" s="4" t="s">
        <v>2883</v>
      </c>
      <c r="VHK1339" s="4" t="s">
        <v>2883</v>
      </c>
      <c r="VHL1339" s="4" t="s">
        <v>2883</v>
      </c>
      <c r="VHM1339" s="4" t="s">
        <v>2883</v>
      </c>
      <c r="VHN1339" s="4" t="s">
        <v>2883</v>
      </c>
      <c r="VHO1339" s="4" t="s">
        <v>2883</v>
      </c>
      <c r="VHP1339" s="4" t="s">
        <v>2883</v>
      </c>
      <c r="VHQ1339" s="4" t="s">
        <v>2883</v>
      </c>
      <c r="VHR1339" s="4" t="s">
        <v>2883</v>
      </c>
      <c r="VHS1339" s="4" t="s">
        <v>2883</v>
      </c>
      <c r="VHT1339" s="4" t="s">
        <v>2883</v>
      </c>
      <c r="VHU1339" s="4" t="s">
        <v>2883</v>
      </c>
      <c r="VHV1339" s="4" t="s">
        <v>2883</v>
      </c>
      <c r="VHW1339" s="4" t="s">
        <v>2883</v>
      </c>
      <c r="VHX1339" s="4" t="s">
        <v>2883</v>
      </c>
      <c r="VHY1339" s="4" t="s">
        <v>2883</v>
      </c>
      <c r="VHZ1339" s="4" t="s">
        <v>2883</v>
      </c>
      <c r="VIA1339" s="4" t="s">
        <v>2883</v>
      </c>
      <c r="VIB1339" s="4" t="s">
        <v>2883</v>
      </c>
      <c r="VIC1339" s="4" t="s">
        <v>2883</v>
      </c>
      <c r="VID1339" s="4" t="s">
        <v>2883</v>
      </c>
      <c r="VIE1339" s="4" t="s">
        <v>2883</v>
      </c>
      <c r="VIF1339" s="4" t="s">
        <v>2883</v>
      </c>
      <c r="VIG1339" s="4" t="s">
        <v>2883</v>
      </c>
      <c r="VIH1339" s="4" t="s">
        <v>2883</v>
      </c>
      <c r="VII1339" s="4" t="s">
        <v>2883</v>
      </c>
      <c r="VIJ1339" s="4" t="s">
        <v>2883</v>
      </c>
      <c r="VIK1339" s="4" t="s">
        <v>2883</v>
      </c>
      <c r="VIL1339" s="4" t="s">
        <v>2883</v>
      </c>
      <c r="VIM1339" s="4" t="s">
        <v>2883</v>
      </c>
      <c r="VIN1339" s="4" t="s">
        <v>2883</v>
      </c>
      <c r="VIO1339" s="4" t="s">
        <v>2883</v>
      </c>
      <c r="VIP1339" s="4" t="s">
        <v>2883</v>
      </c>
      <c r="VIQ1339" s="4" t="s">
        <v>2883</v>
      </c>
      <c r="VIR1339" s="4" t="s">
        <v>2883</v>
      </c>
      <c r="VIS1339" s="4" t="s">
        <v>2883</v>
      </c>
      <c r="VIT1339" s="4" t="s">
        <v>2883</v>
      </c>
      <c r="VIU1339" s="4" t="s">
        <v>2883</v>
      </c>
      <c r="VIV1339" s="4" t="s">
        <v>2883</v>
      </c>
      <c r="VIW1339" s="4" t="s">
        <v>2883</v>
      </c>
      <c r="VIX1339" s="4" t="s">
        <v>2883</v>
      </c>
      <c r="VIY1339" s="4" t="s">
        <v>2883</v>
      </c>
      <c r="VIZ1339" s="4" t="s">
        <v>2883</v>
      </c>
      <c r="VJA1339" s="4" t="s">
        <v>2883</v>
      </c>
      <c r="VJB1339" s="4" t="s">
        <v>2883</v>
      </c>
      <c r="VJC1339" s="4" t="s">
        <v>2883</v>
      </c>
      <c r="VJD1339" s="4" t="s">
        <v>2883</v>
      </c>
      <c r="VJE1339" s="4" t="s">
        <v>2883</v>
      </c>
      <c r="VJF1339" s="4" t="s">
        <v>2883</v>
      </c>
      <c r="VJG1339" s="4" t="s">
        <v>2883</v>
      </c>
      <c r="VJH1339" s="4" t="s">
        <v>2883</v>
      </c>
      <c r="VJI1339" s="4" t="s">
        <v>2883</v>
      </c>
      <c r="VJJ1339" s="4" t="s">
        <v>2883</v>
      </c>
      <c r="VJK1339" s="4" t="s">
        <v>2883</v>
      </c>
      <c r="VJL1339" s="4" t="s">
        <v>2883</v>
      </c>
      <c r="VJM1339" s="4" t="s">
        <v>2883</v>
      </c>
      <c r="VJN1339" s="4" t="s">
        <v>2883</v>
      </c>
      <c r="VJO1339" s="4" t="s">
        <v>2883</v>
      </c>
      <c r="VJP1339" s="4" t="s">
        <v>2883</v>
      </c>
      <c r="VJQ1339" s="4" t="s">
        <v>2883</v>
      </c>
      <c r="VJR1339" s="4" t="s">
        <v>2883</v>
      </c>
      <c r="VJS1339" s="4" t="s">
        <v>2883</v>
      </c>
      <c r="VJT1339" s="4" t="s">
        <v>2883</v>
      </c>
      <c r="VJU1339" s="4" t="s">
        <v>2883</v>
      </c>
      <c r="VJV1339" s="4" t="s">
        <v>2883</v>
      </c>
      <c r="VJW1339" s="4" t="s">
        <v>2883</v>
      </c>
      <c r="VJX1339" s="4" t="s">
        <v>2883</v>
      </c>
      <c r="VJY1339" s="4" t="s">
        <v>2883</v>
      </c>
      <c r="VJZ1339" s="4" t="s">
        <v>2883</v>
      </c>
      <c r="VKA1339" s="4" t="s">
        <v>2883</v>
      </c>
      <c r="VKB1339" s="4" t="s">
        <v>2883</v>
      </c>
      <c r="VKC1339" s="4" t="s">
        <v>2883</v>
      </c>
      <c r="VKD1339" s="4" t="s">
        <v>2883</v>
      </c>
      <c r="VKE1339" s="4" t="s">
        <v>2883</v>
      </c>
      <c r="VKF1339" s="4" t="s">
        <v>2883</v>
      </c>
      <c r="VKG1339" s="4" t="s">
        <v>2883</v>
      </c>
      <c r="VKH1339" s="4" t="s">
        <v>2883</v>
      </c>
      <c r="VKI1339" s="4" t="s">
        <v>2883</v>
      </c>
      <c r="VKJ1339" s="4" t="s">
        <v>2883</v>
      </c>
      <c r="VKK1339" s="4" t="s">
        <v>2883</v>
      </c>
      <c r="VKL1339" s="4" t="s">
        <v>2883</v>
      </c>
      <c r="VKM1339" s="4" t="s">
        <v>2883</v>
      </c>
      <c r="VKN1339" s="4" t="s">
        <v>2883</v>
      </c>
      <c r="VKO1339" s="4" t="s">
        <v>2883</v>
      </c>
      <c r="VKP1339" s="4" t="s">
        <v>2883</v>
      </c>
      <c r="VKQ1339" s="4" t="s">
        <v>2883</v>
      </c>
      <c r="VKR1339" s="4" t="s">
        <v>2883</v>
      </c>
      <c r="VKS1339" s="4" t="s">
        <v>2883</v>
      </c>
      <c r="VKT1339" s="4" t="s">
        <v>2883</v>
      </c>
      <c r="VKU1339" s="4" t="s">
        <v>2883</v>
      </c>
      <c r="VKV1339" s="4" t="s">
        <v>2883</v>
      </c>
      <c r="VKW1339" s="4" t="s">
        <v>2883</v>
      </c>
      <c r="VKX1339" s="4" t="s">
        <v>2883</v>
      </c>
      <c r="VKY1339" s="4" t="s">
        <v>2883</v>
      </c>
      <c r="VKZ1339" s="4" t="s">
        <v>2883</v>
      </c>
      <c r="VLA1339" s="4" t="s">
        <v>2883</v>
      </c>
      <c r="VLB1339" s="4" t="s">
        <v>2883</v>
      </c>
      <c r="VLC1339" s="4" t="s">
        <v>2883</v>
      </c>
      <c r="VLD1339" s="4" t="s">
        <v>2883</v>
      </c>
      <c r="VLE1339" s="4" t="s">
        <v>2883</v>
      </c>
      <c r="VLF1339" s="4" t="s">
        <v>2883</v>
      </c>
      <c r="VLG1339" s="4" t="s">
        <v>2883</v>
      </c>
      <c r="VLH1339" s="4" t="s">
        <v>2883</v>
      </c>
      <c r="VLI1339" s="4" t="s">
        <v>2883</v>
      </c>
      <c r="VLJ1339" s="4" t="s">
        <v>2883</v>
      </c>
      <c r="VLK1339" s="4" t="s">
        <v>2883</v>
      </c>
      <c r="VLL1339" s="4" t="s">
        <v>2883</v>
      </c>
      <c r="VLM1339" s="4" t="s">
        <v>2883</v>
      </c>
      <c r="VLN1339" s="4" t="s">
        <v>2883</v>
      </c>
      <c r="VLO1339" s="4" t="s">
        <v>2883</v>
      </c>
      <c r="VLP1339" s="4" t="s">
        <v>2883</v>
      </c>
      <c r="VLQ1339" s="4" t="s">
        <v>2883</v>
      </c>
      <c r="VLR1339" s="4" t="s">
        <v>2883</v>
      </c>
      <c r="VLS1339" s="4" t="s">
        <v>2883</v>
      </c>
      <c r="VLT1339" s="4" t="s">
        <v>2883</v>
      </c>
      <c r="VLU1339" s="4" t="s">
        <v>2883</v>
      </c>
      <c r="VLV1339" s="4" t="s">
        <v>2883</v>
      </c>
      <c r="VLW1339" s="4" t="s">
        <v>2883</v>
      </c>
      <c r="VLX1339" s="4" t="s">
        <v>2883</v>
      </c>
      <c r="VLY1339" s="4" t="s">
        <v>2883</v>
      </c>
      <c r="VLZ1339" s="4" t="s">
        <v>2883</v>
      </c>
      <c r="VMA1339" s="4" t="s">
        <v>2883</v>
      </c>
      <c r="VMB1339" s="4" t="s">
        <v>2883</v>
      </c>
      <c r="VMC1339" s="4" t="s">
        <v>2883</v>
      </c>
      <c r="VMD1339" s="4" t="s">
        <v>2883</v>
      </c>
      <c r="VME1339" s="4" t="s">
        <v>2883</v>
      </c>
      <c r="VMF1339" s="4" t="s">
        <v>2883</v>
      </c>
      <c r="VMG1339" s="4" t="s">
        <v>2883</v>
      </c>
      <c r="VMH1339" s="4" t="s">
        <v>2883</v>
      </c>
      <c r="VMI1339" s="4" t="s">
        <v>2883</v>
      </c>
      <c r="VMJ1339" s="4" t="s">
        <v>2883</v>
      </c>
      <c r="VMK1339" s="4" t="s">
        <v>2883</v>
      </c>
      <c r="VML1339" s="4" t="s">
        <v>2883</v>
      </c>
      <c r="VMM1339" s="4" t="s">
        <v>2883</v>
      </c>
      <c r="VMN1339" s="4" t="s">
        <v>2883</v>
      </c>
      <c r="VMO1339" s="4" t="s">
        <v>2883</v>
      </c>
      <c r="VMP1339" s="4" t="s">
        <v>2883</v>
      </c>
      <c r="VMQ1339" s="4" t="s">
        <v>2883</v>
      </c>
      <c r="VMR1339" s="4" t="s">
        <v>2883</v>
      </c>
      <c r="VMS1339" s="4" t="s">
        <v>2883</v>
      </c>
      <c r="VMT1339" s="4" t="s">
        <v>2883</v>
      </c>
      <c r="VMU1339" s="4" t="s">
        <v>2883</v>
      </c>
      <c r="VMV1339" s="4" t="s">
        <v>2883</v>
      </c>
      <c r="VMW1339" s="4" t="s">
        <v>2883</v>
      </c>
      <c r="VMX1339" s="4" t="s">
        <v>2883</v>
      </c>
      <c r="VMY1339" s="4" t="s">
        <v>2883</v>
      </c>
      <c r="VMZ1339" s="4" t="s">
        <v>2883</v>
      </c>
      <c r="VNA1339" s="4" t="s">
        <v>2883</v>
      </c>
      <c r="VNB1339" s="4" t="s">
        <v>2883</v>
      </c>
      <c r="VNC1339" s="4" t="s">
        <v>2883</v>
      </c>
      <c r="VND1339" s="4" t="s">
        <v>2883</v>
      </c>
      <c r="VNE1339" s="4" t="s">
        <v>2883</v>
      </c>
      <c r="VNF1339" s="4" t="s">
        <v>2883</v>
      </c>
      <c r="VNG1339" s="4" t="s">
        <v>2883</v>
      </c>
      <c r="VNH1339" s="4" t="s">
        <v>2883</v>
      </c>
      <c r="VNI1339" s="4" t="s">
        <v>2883</v>
      </c>
      <c r="VNJ1339" s="4" t="s">
        <v>2883</v>
      </c>
      <c r="VNK1339" s="4" t="s">
        <v>2883</v>
      </c>
      <c r="VNL1339" s="4" t="s">
        <v>2883</v>
      </c>
      <c r="VNM1339" s="4" t="s">
        <v>2883</v>
      </c>
      <c r="VNN1339" s="4" t="s">
        <v>2883</v>
      </c>
      <c r="VNO1339" s="4" t="s">
        <v>2883</v>
      </c>
      <c r="VNP1339" s="4" t="s">
        <v>2883</v>
      </c>
      <c r="VNQ1339" s="4" t="s">
        <v>2883</v>
      </c>
      <c r="VNR1339" s="4" t="s">
        <v>2883</v>
      </c>
      <c r="VNS1339" s="4" t="s">
        <v>2883</v>
      </c>
      <c r="VNT1339" s="4" t="s">
        <v>2883</v>
      </c>
      <c r="VNU1339" s="4" t="s">
        <v>2883</v>
      </c>
      <c r="VNV1339" s="4" t="s">
        <v>2883</v>
      </c>
      <c r="VNW1339" s="4" t="s">
        <v>2883</v>
      </c>
      <c r="VNX1339" s="4" t="s">
        <v>2883</v>
      </c>
      <c r="VNY1339" s="4" t="s">
        <v>2883</v>
      </c>
      <c r="VNZ1339" s="4" t="s">
        <v>2883</v>
      </c>
      <c r="VOA1339" s="4" t="s">
        <v>2883</v>
      </c>
      <c r="VOB1339" s="4" t="s">
        <v>2883</v>
      </c>
      <c r="VOC1339" s="4" t="s">
        <v>2883</v>
      </c>
      <c r="VOD1339" s="4" t="s">
        <v>2883</v>
      </c>
      <c r="VOE1339" s="4" t="s">
        <v>2883</v>
      </c>
      <c r="VOF1339" s="4" t="s">
        <v>2883</v>
      </c>
      <c r="VOG1339" s="4" t="s">
        <v>2883</v>
      </c>
      <c r="VOH1339" s="4" t="s">
        <v>2883</v>
      </c>
      <c r="VOI1339" s="4" t="s">
        <v>2883</v>
      </c>
      <c r="VOJ1339" s="4" t="s">
        <v>2883</v>
      </c>
      <c r="VOK1339" s="4" t="s">
        <v>2883</v>
      </c>
      <c r="VOL1339" s="4" t="s">
        <v>2883</v>
      </c>
      <c r="VOM1339" s="4" t="s">
        <v>2883</v>
      </c>
      <c r="VON1339" s="4" t="s">
        <v>2883</v>
      </c>
      <c r="VOO1339" s="4" t="s">
        <v>2883</v>
      </c>
      <c r="VOP1339" s="4" t="s">
        <v>2883</v>
      </c>
      <c r="VOQ1339" s="4" t="s">
        <v>2883</v>
      </c>
      <c r="VOR1339" s="4" t="s">
        <v>2883</v>
      </c>
      <c r="VOS1339" s="4" t="s">
        <v>2883</v>
      </c>
      <c r="VOT1339" s="4" t="s">
        <v>2883</v>
      </c>
      <c r="VOU1339" s="4" t="s">
        <v>2883</v>
      </c>
      <c r="VOV1339" s="4" t="s">
        <v>2883</v>
      </c>
      <c r="VOW1339" s="4" t="s">
        <v>2883</v>
      </c>
      <c r="VOX1339" s="4" t="s">
        <v>2883</v>
      </c>
      <c r="VOY1339" s="4" t="s">
        <v>2883</v>
      </c>
      <c r="VOZ1339" s="4" t="s">
        <v>2883</v>
      </c>
      <c r="VPA1339" s="4" t="s">
        <v>2883</v>
      </c>
      <c r="VPB1339" s="4" t="s">
        <v>2883</v>
      </c>
      <c r="VPC1339" s="4" t="s">
        <v>2883</v>
      </c>
      <c r="VPD1339" s="4" t="s">
        <v>2883</v>
      </c>
      <c r="VPE1339" s="4" t="s">
        <v>2883</v>
      </c>
      <c r="VPF1339" s="4" t="s">
        <v>2883</v>
      </c>
      <c r="VPG1339" s="4" t="s">
        <v>2883</v>
      </c>
      <c r="VPH1339" s="4" t="s">
        <v>2883</v>
      </c>
      <c r="VPI1339" s="4" t="s">
        <v>2883</v>
      </c>
      <c r="VPJ1339" s="4" t="s">
        <v>2883</v>
      </c>
      <c r="VPK1339" s="4" t="s">
        <v>2883</v>
      </c>
      <c r="VPL1339" s="4" t="s">
        <v>2883</v>
      </c>
      <c r="VPM1339" s="4" t="s">
        <v>2883</v>
      </c>
      <c r="VPN1339" s="4" t="s">
        <v>2883</v>
      </c>
      <c r="VPO1339" s="4" t="s">
        <v>2883</v>
      </c>
      <c r="VPP1339" s="4" t="s">
        <v>2883</v>
      </c>
      <c r="VPQ1339" s="4" t="s">
        <v>2883</v>
      </c>
      <c r="VPR1339" s="4" t="s">
        <v>2883</v>
      </c>
      <c r="VPS1339" s="4" t="s">
        <v>2883</v>
      </c>
      <c r="VPT1339" s="4" t="s">
        <v>2883</v>
      </c>
      <c r="VPU1339" s="4" t="s">
        <v>2883</v>
      </c>
      <c r="VPV1339" s="4" t="s">
        <v>2883</v>
      </c>
      <c r="VPW1339" s="4" t="s">
        <v>2883</v>
      </c>
      <c r="VPX1339" s="4" t="s">
        <v>2883</v>
      </c>
      <c r="VPY1339" s="4" t="s">
        <v>2883</v>
      </c>
      <c r="VPZ1339" s="4" t="s">
        <v>2883</v>
      </c>
      <c r="VQA1339" s="4" t="s">
        <v>2883</v>
      </c>
      <c r="VQB1339" s="4" t="s">
        <v>2883</v>
      </c>
      <c r="VQC1339" s="4" t="s">
        <v>2883</v>
      </c>
      <c r="VQD1339" s="4" t="s">
        <v>2883</v>
      </c>
      <c r="VQE1339" s="4" t="s">
        <v>2883</v>
      </c>
      <c r="VQF1339" s="4" t="s">
        <v>2883</v>
      </c>
      <c r="VQG1339" s="4" t="s">
        <v>2883</v>
      </c>
      <c r="VQH1339" s="4" t="s">
        <v>2883</v>
      </c>
      <c r="VQI1339" s="4" t="s">
        <v>2883</v>
      </c>
      <c r="VQJ1339" s="4" t="s">
        <v>2883</v>
      </c>
      <c r="VQK1339" s="4" t="s">
        <v>2883</v>
      </c>
      <c r="VQL1339" s="4" t="s">
        <v>2883</v>
      </c>
      <c r="VQM1339" s="4" t="s">
        <v>2883</v>
      </c>
      <c r="VQN1339" s="4" t="s">
        <v>2883</v>
      </c>
      <c r="VQO1339" s="4" t="s">
        <v>2883</v>
      </c>
      <c r="VQP1339" s="4" t="s">
        <v>2883</v>
      </c>
      <c r="VQQ1339" s="4" t="s">
        <v>2883</v>
      </c>
      <c r="VQR1339" s="4" t="s">
        <v>2883</v>
      </c>
      <c r="VQS1339" s="4" t="s">
        <v>2883</v>
      </c>
      <c r="VQT1339" s="4" t="s">
        <v>2883</v>
      </c>
      <c r="VQU1339" s="4" t="s">
        <v>2883</v>
      </c>
      <c r="VQV1339" s="4" t="s">
        <v>2883</v>
      </c>
      <c r="VQW1339" s="4" t="s">
        <v>2883</v>
      </c>
      <c r="VQX1339" s="4" t="s">
        <v>2883</v>
      </c>
      <c r="VQY1339" s="4" t="s">
        <v>2883</v>
      </c>
      <c r="VQZ1339" s="4" t="s">
        <v>2883</v>
      </c>
      <c r="VRA1339" s="4" t="s">
        <v>2883</v>
      </c>
      <c r="VRB1339" s="4" t="s">
        <v>2883</v>
      </c>
      <c r="VRC1339" s="4" t="s">
        <v>2883</v>
      </c>
      <c r="VRD1339" s="4" t="s">
        <v>2883</v>
      </c>
      <c r="VRE1339" s="4" t="s">
        <v>2883</v>
      </c>
      <c r="VRF1339" s="4" t="s">
        <v>2883</v>
      </c>
      <c r="VRG1339" s="4" t="s">
        <v>2883</v>
      </c>
      <c r="VRH1339" s="4" t="s">
        <v>2883</v>
      </c>
      <c r="VRI1339" s="4" t="s">
        <v>2883</v>
      </c>
      <c r="VRJ1339" s="4" t="s">
        <v>2883</v>
      </c>
      <c r="VRK1339" s="4" t="s">
        <v>2883</v>
      </c>
      <c r="VRL1339" s="4" t="s">
        <v>2883</v>
      </c>
      <c r="VRM1339" s="4" t="s">
        <v>2883</v>
      </c>
      <c r="VRN1339" s="4" t="s">
        <v>2883</v>
      </c>
      <c r="VRO1339" s="4" t="s">
        <v>2883</v>
      </c>
      <c r="VRP1339" s="4" t="s">
        <v>2883</v>
      </c>
      <c r="VRQ1339" s="4" t="s">
        <v>2883</v>
      </c>
      <c r="VRR1339" s="4" t="s">
        <v>2883</v>
      </c>
      <c r="VRS1339" s="4" t="s">
        <v>2883</v>
      </c>
      <c r="VRT1339" s="4" t="s">
        <v>2883</v>
      </c>
      <c r="VRU1339" s="4" t="s">
        <v>2883</v>
      </c>
      <c r="VRV1339" s="4" t="s">
        <v>2883</v>
      </c>
      <c r="VRW1339" s="4" t="s">
        <v>2883</v>
      </c>
      <c r="VRX1339" s="4" t="s">
        <v>2883</v>
      </c>
      <c r="VRY1339" s="4" t="s">
        <v>2883</v>
      </c>
      <c r="VRZ1339" s="4" t="s">
        <v>2883</v>
      </c>
      <c r="VSA1339" s="4" t="s">
        <v>2883</v>
      </c>
      <c r="VSB1339" s="4" t="s">
        <v>2883</v>
      </c>
      <c r="VSC1339" s="4" t="s">
        <v>2883</v>
      </c>
      <c r="VSD1339" s="4" t="s">
        <v>2883</v>
      </c>
      <c r="VSE1339" s="4" t="s">
        <v>2883</v>
      </c>
      <c r="VSF1339" s="4" t="s">
        <v>2883</v>
      </c>
      <c r="VSG1339" s="4" t="s">
        <v>2883</v>
      </c>
      <c r="VSH1339" s="4" t="s">
        <v>2883</v>
      </c>
      <c r="VSI1339" s="4" t="s">
        <v>2883</v>
      </c>
      <c r="VSJ1339" s="4" t="s">
        <v>2883</v>
      </c>
      <c r="VSK1339" s="4" t="s">
        <v>2883</v>
      </c>
      <c r="VSL1339" s="4" t="s">
        <v>2883</v>
      </c>
      <c r="VSM1339" s="4" t="s">
        <v>2883</v>
      </c>
      <c r="VSN1339" s="4" t="s">
        <v>2883</v>
      </c>
      <c r="VSO1339" s="4" t="s">
        <v>2883</v>
      </c>
      <c r="VSP1339" s="4" t="s">
        <v>2883</v>
      </c>
      <c r="VSQ1339" s="4" t="s">
        <v>2883</v>
      </c>
      <c r="VSR1339" s="4" t="s">
        <v>2883</v>
      </c>
      <c r="VSS1339" s="4" t="s">
        <v>2883</v>
      </c>
      <c r="VST1339" s="4" t="s">
        <v>2883</v>
      </c>
      <c r="VSU1339" s="4" t="s">
        <v>2883</v>
      </c>
      <c r="VSV1339" s="4" t="s">
        <v>2883</v>
      </c>
      <c r="VSW1339" s="4" t="s">
        <v>2883</v>
      </c>
      <c r="VSX1339" s="4" t="s">
        <v>2883</v>
      </c>
      <c r="VSY1339" s="4" t="s">
        <v>2883</v>
      </c>
      <c r="VSZ1339" s="4" t="s">
        <v>2883</v>
      </c>
      <c r="VTA1339" s="4" t="s">
        <v>2883</v>
      </c>
      <c r="VTB1339" s="4" t="s">
        <v>2883</v>
      </c>
      <c r="VTC1339" s="4" t="s">
        <v>2883</v>
      </c>
      <c r="VTD1339" s="4" t="s">
        <v>2883</v>
      </c>
      <c r="VTE1339" s="4" t="s">
        <v>2883</v>
      </c>
      <c r="VTF1339" s="4" t="s">
        <v>2883</v>
      </c>
      <c r="VTG1339" s="4" t="s">
        <v>2883</v>
      </c>
      <c r="VTH1339" s="4" t="s">
        <v>2883</v>
      </c>
      <c r="VTI1339" s="4" t="s">
        <v>2883</v>
      </c>
      <c r="VTJ1339" s="4" t="s">
        <v>2883</v>
      </c>
      <c r="VTK1339" s="4" t="s">
        <v>2883</v>
      </c>
      <c r="VTL1339" s="4" t="s">
        <v>2883</v>
      </c>
      <c r="VTM1339" s="4" t="s">
        <v>2883</v>
      </c>
      <c r="VTN1339" s="4" t="s">
        <v>2883</v>
      </c>
      <c r="VTO1339" s="4" t="s">
        <v>2883</v>
      </c>
      <c r="VTP1339" s="4" t="s">
        <v>2883</v>
      </c>
      <c r="VTQ1339" s="4" t="s">
        <v>2883</v>
      </c>
      <c r="VTR1339" s="4" t="s">
        <v>2883</v>
      </c>
      <c r="VTS1339" s="4" t="s">
        <v>2883</v>
      </c>
      <c r="VTT1339" s="4" t="s">
        <v>2883</v>
      </c>
      <c r="VTU1339" s="4" t="s">
        <v>2883</v>
      </c>
      <c r="VTV1339" s="4" t="s">
        <v>2883</v>
      </c>
      <c r="VTW1339" s="4" t="s">
        <v>2883</v>
      </c>
      <c r="VTX1339" s="4" t="s">
        <v>2883</v>
      </c>
      <c r="VTY1339" s="4" t="s">
        <v>2883</v>
      </c>
      <c r="VTZ1339" s="4" t="s">
        <v>2883</v>
      </c>
      <c r="VUA1339" s="4" t="s">
        <v>2883</v>
      </c>
      <c r="VUB1339" s="4" t="s">
        <v>2883</v>
      </c>
      <c r="VUC1339" s="4" t="s">
        <v>2883</v>
      </c>
      <c r="VUD1339" s="4" t="s">
        <v>2883</v>
      </c>
      <c r="VUE1339" s="4" t="s">
        <v>2883</v>
      </c>
      <c r="VUF1339" s="4" t="s">
        <v>2883</v>
      </c>
      <c r="VUG1339" s="4" t="s">
        <v>2883</v>
      </c>
      <c r="VUH1339" s="4" t="s">
        <v>2883</v>
      </c>
      <c r="VUI1339" s="4" t="s">
        <v>2883</v>
      </c>
      <c r="VUJ1339" s="4" t="s">
        <v>2883</v>
      </c>
      <c r="VUK1339" s="4" t="s">
        <v>2883</v>
      </c>
      <c r="VUL1339" s="4" t="s">
        <v>2883</v>
      </c>
      <c r="VUM1339" s="4" t="s">
        <v>2883</v>
      </c>
      <c r="VUN1339" s="4" t="s">
        <v>2883</v>
      </c>
      <c r="VUO1339" s="4" t="s">
        <v>2883</v>
      </c>
      <c r="VUP1339" s="4" t="s">
        <v>2883</v>
      </c>
      <c r="VUQ1339" s="4" t="s">
        <v>2883</v>
      </c>
      <c r="VUR1339" s="4" t="s">
        <v>2883</v>
      </c>
      <c r="VUS1339" s="4" t="s">
        <v>2883</v>
      </c>
      <c r="VUT1339" s="4" t="s">
        <v>2883</v>
      </c>
      <c r="VUU1339" s="4" t="s">
        <v>2883</v>
      </c>
      <c r="VUV1339" s="4" t="s">
        <v>2883</v>
      </c>
      <c r="VUW1339" s="4" t="s">
        <v>2883</v>
      </c>
      <c r="VUX1339" s="4" t="s">
        <v>2883</v>
      </c>
      <c r="VUY1339" s="4" t="s">
        <v>2883</v>
      </c>
      <c r="VUZ1339" s="4" t="s">
        <v>2883</v>
      </c>
      <c r="VVA1339" s="4" t="s">
        <v>2883</v>
      </c>
      <c r="VVB1339" s="4" t="s">
        <v>2883</v>
      </c>
      <c r="VVC1339" s="4" t="s">
        <v>2883</v>
      </c>
      <c r="VVD1339" s="4" t="s">
        <v>2883</v>
      </c>
      <c r="VVE1339" s="4" t="s">
        <v>2883</v>
      </c>
      <c r="VVF1339" s="4" t="s">
        <v>2883</v>
      </c>
      <c r="VVG1339" s="4" t="s">
        <v>2883</v>
      </c>
      <c r="VVH1339" s="4" t="s">
        <v>2883</v>
      </c>
      <c r="VVI1339" s="4" t="s">
        <v>2883</v>
      </c>
      <c r="VVJ1339" s="4" t="s">
        <v>2883</v>
      </c>
      <c r="VVK1339" s="4" t="s">
        <v>2883</v>
      </c>
      <c r="VVL1339" s="4" t="s">
        <v>2883</v>
      </c>
      <c r="VVM1339" s="4" t="s">
        <v>2883</v>
      </c>
      <c r="VVN1339" s="4" t="s">
        <v>2883</v>
      </c>
      <c r="VVO1339" s="4" t="s">
        <v>2883</v>
      </c>
      <c r="VVP1339" s="4" t="s">
        <v>2883</v>
      </c>
      <c r="VVQ1339" s="4" t="s">
        <v>2883</v>
      </c>
      <c r="VVR1339" s="4" t="s">
        <v>2883</v>
      </c>
      <c r="VVS1339" s="4" t="s">
        <v>2883</v>
      </c>
      <c r="VVT1339" s="4" t="s">
        <v>2883</v>
      </c>
      <c r="VVU1339" s="4" t="s">
        <v>2883</v>
      </c>
      <c r="VVV1339" s="4" t="s">
        <v>2883</v>
      </c>
      <c r="VVW1339" s="4" t="s">
        <v>2883</v>
      </c>
      <c r="VVX1339" s="4" t="s">
        <v>2883</v>
      </c>
      <c r="VVY1339" s="4" t="s">
        <v>2883</v>
      </c>
      <c r="VVZ1339" s="4" t="s">
        <v>2883</v>
      </c>
      <c r="VWA1339" s="4" t="s">
        <v>2883</v>
      </c>
      <c r="VWB1339" s="4" t="s">
        <v>2883</v>
      </c>
      <c r="VWC1339" s="4" t="s">
        <v>2883</v>
      </c>
      <c r="VWD1339" s="4" t="s">
        <v>2883</v>
      </c>
      <c r="VWE1339" s="4" t="s">
        <v>2883</v>
      </c>
      <c r="VWF1339" s="4" t="s">
        <v>2883</v>
      </c>
      <c r="VWG1339" s="4" t="s">
        <v>2883</v>
      </c>
      <c r="VWH1339" s="4" t="s">
        <v>2883</v>
      </c>
      <c r="VWI1339" s="4" t="s">
        <v>2883</v>
      </c>
      <c r="VWJ1339" s="4" t="s">
        <v>2883</v>
      </c>
      <c r="VWK1339" s="4" t="s">
        <v>2883</v>
      </c>
      <c r="VWL1339" s="4" t="s">
        <v>2883</v>
      </c>
      <c r="VWM1339" s="4" t="s">
        <v>2883</v>
      </c>
      <c r="VWN1339" s="4" t="s">
        <v>2883</v>
      </c>
      <c r="VWO1339" s="4" t="s">
        <v>2883</v>
      </c>
      <c r="VWP1339" s="4" t="s">
        <v>2883</v>
      </c>
      <c r="VWQ1339" s="4" t="s">
        <v>2883</v>
      </c>
      <c r="VWR1339" s="4" t="s">
        <v>2883</v>
      </c>
      <c r="VWS1339" s="4" t="s">
        <v>2883</v>
      </c>
      <c r="VWT1339" s="4" t="s">
        <v>2883</v>
      </c>
      <c r="VWU1339" s="4" t="s">
        <v>2883</v>
      </c>
      <c r="VWV1339" s="4" t="s">
        <v>2883</v>
      </c>
      <c r="VWW1339" s="4" t="s">
        <v>2883</v>
      </c>
      <c r="VWX1339" s="4" t="s">
        <v>2883</v>
      </c>
      <c r="VWY1339" s="4" t="s">
        <v>2883</v>
      </c>
      <c r="VWZ1339" s="4" t="s">
        <v>2883</v>
      </c>
      <c r="VXA1339" s="4" t="s">
        <v>2883</v>
      </c>
      <c r="VXB1339" s="4" t="s">
        <v>2883</v>
      </c>
      <c r="VXC1339" s="4" t="s">
        <v>2883</v>
      </c>
      <c r="VXD1339" s="4" t="s">
        <v>2883</v>
      </c>
      <c r="VXE1339" s="4" t="s">
        <v>2883</v>
      </c>
      <c r="VXF1339" s="4" t="s">
        <v>2883</v>
      </c>
      <c r="VXG1339" s="4" t="s">
        <v>2883</v>
      </c>
      <c r="VXH1339" s="4" t="s">
        <v>2883</v>
      </c>
      <c r="VXI1339" s="4" t="s">
        <v>2883</v>
      </c>
      <c r="VXJ1339" s="4" t="s">
        <v>2883</v>
      </c>
      <c r="VXK1339" s="4" t="s">
        <v>2883</v>
      </c>
      <c r="VXL1339" s="4" t="s">
        <v>2883</v>
      </c>
      <c r="VXM1339" s="4" t="s">
        <v>2883</v>
      </c>
      <c r="VXN1339" s="4" t="s">
        <v>2883</v>
      </c>
      <c r="VXO1339" s="4" t="s">
        <v>2883</v>
      </c>
      <c r="VXP1339" s="4" t="s">
        <v>2883</v>
      </c>
      <c r="VXQ1339" s="4" t="s">
        <v>2883</v>
      </c>
      <c r="VXR1339" s="4" t="s">
        <v>2883</v>
      </c>
      <c r="VXS1339" s="4" t="s">
        <v>2883</v>
      </c>
      <c r="VXT1339" s="4" t="s">
        <v>2883</v>
      </c>
      <c r="VXU1339" s="4" t="s">
        <v>2883</v>
      </c>
      <c r="VXV1339" s="4" t="s">
        <v>2883</v>
      </c>
      <c r="VXW1339" s="4" t="s">
        <v>2883</v>
      </c>
      <c r="VXX1339" s="4" t="s">
        <v>2883</v>
      </c>
      <c r="VXY1339" s="4" t="s">
        <v>2883</v>
      </c>
      <c r="VXZ1339" s="4" t="s">
        <v>2883</v>
      </c>
      <c r="VYA1339" s="4" t="s">
        <v>2883</v>
      </c>
      <c r="VYB1339" s="4" t="s">
        <v>2883</v>
      </c>
      <c r="VYC1339" s="4" t="s">
        <v>2883</v>
      </c>
      <c r="VYD1339" s="4" t="s">
        <v>2883</v>
      </c>
      <c r="VYE1339" s="4" t="s">
        <v>2883</v>
      </c>
      <c r="VYF1339" s="4" t="s">
        <v>2883</v>
      </c>
      <c r="VYG1339" s="4" t="s">
        <v>2883</v>
      </c>
      <c r="VYH1339" s="4" t="s">
        <v>2883</v>
      </c>
      <c r="VYI1339" s="4" t="s">
        <v>2883</v>
      </c>
      <c r="VYJ1339" s="4" t="s">
        <v>2883</v>
      </c>
      <c r="VYK1339" s="4" t="s">
        <v>2883</v>
      </c>
      <c r="VYL1339" s="4" t="s">
        <v>2883</v>
      </c>
      <c r="VYM1339" s="4" t="s">
        <v>2883</v>
      </c>
      <c r="VYN1339" s="4" t="s">
        <v>2883</v>
      </c>
      <c r="VYO1339" s="4" t="s">
        <v>2883</v>
      </c>
      <c r="VYP1339" s="4" t="s">
        <v>2883</v>
      </c>
      <c r="VYQ1339" s="4" t="s">
        <v>2883</v>
      </c>
      <c r="VYR1339" s="4" t="s">
        <v>2883</v>
      </c>
      <c r="VYS1339" s="4" t="s">
        <v>2883</v>
      </c>
      <c r="VYT1339" s="4" t="s">
        <v>2883</v>
      </c>
      <c r="VYU1339" s="4" t="s">
        <v>2883</v>
      </c>
      <c r="VYV1339" s="4" t="s">
        <v>2883</v>
      </c>
      <c r="VYW1339" s="4" t="s">
        <v>2883</v>
      </c>
      <c r="VYX1339" s="4" t="s">
        <v>2883</v>
      </c>
      <c r="VYY1339" s="4" t="s">
        <v>2883</v>
      </c>
      <c r="VYZ1339" s="4" t="s">
        <v>2883</v>
      </c>
      <c r="VZA1339" s="4" t="s">
        <v>2883</v>
      </c>
      <c r="VZB1339" s="4" t="s">
        <v>2883</v>
      </c>
      <c r="VZC1339" s="4" t="s">
        <v>2883</v>
      </c>
      <c r="VZD1339" s="4" t="s">
        <v>2883</v>
      </c>
      <c r="VZE1339" s="4" t="s">
        <v>2883</v>
      </c>
      <c r="VZF1339" s="4" t="s">
        <v>2883</v>
      </c>
      <c r="VZG1339" s="4" t="s">
        <v>2883</v>
      </c>
      <c r="VZH1339" s="4" t="s">
        <v>2883</v>
      </c>
      <c r="VZI1339" s="4" t="s">
        <v>2883</v>
      </c>
      <c r="VZJ1339" s="4" t="s">
        <v>2883</v>
      </c>
      <c r="VZK1339" s="4" t="s">
        <v>2883</v>
      </c>
      <c r="VZL1339" s="4" t="s">
        <v>2883</v>
      </c>
      <c r="VZM1339" s="4" t="s">
        <v>2883</v>
      </c>
      <c r="VZN1339" s="4" t="s">
        <v>2883</v>
      </c>
      <c r="VZO1339" s="4" t="s">
        <v>2883</v>
      </c>
      <c r="VZP1339" s="4" t="s">
        <v>2883</v>
      </c>
      <c r="VZQ1339" s="4" t="s">
        <v>2883</v>
      </c>
      <c r="VZR1339" s="4" t="s">
        <v>2883</v>
      </c>
      <c r="VZS1339" s="4" t="s">
        <v>2883</v>
      </c>
      <c r="VZT1339" s="4" t="s">
        <v>2883</v>
      </c>
      <c r="VZU1339" s="4" t="s">
        <v>2883</v>
      </c>
      <c r="VZV1339" s="4" t="s">
        <v>2883</v>
      </c>
      <c r="VZW1339" s="4" t="s">
        <v>2883</v>
      </c>
      <c r="VZX1339" s="4" t="s">
        <v>2883</v>
      </c>
      <c r="VZY1339" s="4" t="s">
        <v>2883</v>
      </c>
      <c r="VZZ1339" s="4" t="s">
        <v>2883</v>
      </c>
      <c r="WAA1339" s="4" t="s">
        <v>2883</v>
      </c>
      <c r="WAB1339" s="4" t="s">
        <v>2883</v>
      </c>
      <c r="WAC1339" s="4" t="s">
        <v>2883</v>
      </c>
      <c r="WAD1339" s="4" t="s">
        <v>2883</v>
      </c>
      <c r="WAE1339" s="4" t="s">
        <v>2883</v>
      </c>
      <c r="WAF1339" s="4" t="s">
        <v>2883</v>
      </c>
      <c r="WAG1339" s="4" t="s">
        <v>2883</v>
      </c>
      <c r="WAH1339" s="4" t="s">
        <v>2883</v>
      </c>
      <c r="WAI1339" s="4" t="s">
        <v>2883</v>
      </c>
      <c r="WAJ1339" s="4" t="s">
        <v>2883</v>
      </c>
      <c r="WAK1339" s="4" t="s">
        <v>2883</v>
      </c>
      <c r="WAL1339" s="4" t="s">
        <v>2883</v>
      </c>
      <c r="WAM1339" s="4" t="s">
        <v>2883</v>
      </c>
      <c r="WAN1339" s="4" t="s">
        <v>2883</v>
      </c>
      <c r="WAO1339" s="4" t="s">
        <v>2883</v>
      </c>
      <c r="WAP1339" s="4" t="s">
        <v>2883</v>
      </c>
      <c r="WAQ1339" s="4" t="s">
        <v>2883</v>
      </c>
      <c r="WAR1339" s="4" t="s">
        <v>2883</v>
      </c>
      <c r="WAS1339" s="4" t="s">
        <v>2883</v>
      </c>
      <c r="WAT1339" s="4" t="s">
        <v>2883</v>
      </c>
      <c r="WAU1339" s="4" t="s">
        <v>2883</v>
      </c>
      <c r="WAV1339" s="4" t="s">
        <v>2883</v>
      </c>
      <c r="WAW1339" s="4" t="s">
        <v>2883</v>
      </c>
      <c r="WAX1339" s="4" t="s">
        <v>2883</v>
      </c>
      <c r="WAY1339" s="4" t="s">
        <v>2883</v>
      </c>
      <c r="WAZ1339" s="4" t="s">
        <v>2883</v>
      </c>
      <c r="WBA1339" s="4" t="s">
        <v>2883</v>
      </c>
      <c r="WBB1339" s="4" t="s">
        <v>2883</v>
      </c>
      <c r="WBC1339" s="4" t="s">
        <v>2883</v>
      </c>
      <c r="WBD1339" s="4" t="s">
        <v>2883</v>
      </c>
      <c r="WBE1339" s="4" t="s">
        <v>2883</v>
      </c>
      <c r="WBF1339" s="4" t="s">
        <v>2883</v>
      </c>
      <c r="WBG1339" s="4" t="s">
        <v>2883</v>
      </c>
      <c r="WBH1339" s="4" t="s">
        <v>2883</v>
      </c>
      <c r="WBI1339" s="4" t="s">
        <v>2883</v>
      </c>
      <c r="WBJ1339" s="4" t="s">
        <v>2883</v>
      </c>
      <c r="WBK1339" s="4" t="s">
        <v>2883</v>
      </c>
      <c r="WBL1339" s="4" t="s">
        <v>2883</v>
      </c>
      <c r="WBM1339" s="4" t="s">
        <v>2883</v>
      </c>
      <c r="WBN1339" s="4" t="s">
        <v>2883</v>
      </c>
      <c r="WBO1339" s="4" t="s">
        <v>2883</v>
      </c>
      <c r="WBP1339" s="4" t="s">
        <v>2883</v>
      </c>
      <c r="WBQ1339" s="4" t="s">
        <v>2883</v>
      </c>
      <c r="WBR1339" s="4" t="s">
        <v>2883</v>
      </c>
      <c r="WBS1339" s="4" t="s">
        <v>2883</v>
      </c>
      <c r="WBT1339" s="4" t="s">
        <v>2883</v>
      </c>
      <c r="WBU1339" s="4" t="s">
        <v>2883</v>
      </c>
      <c r="WBV1339" s="4" t="s">
        <v>2883</v>
      </c>
      <c r="WBW1339" s="4" t="s">
        <v>2883</v>
      </c>
      <c r="WBX1339" s="4" t="s">
        <v>2883</v>
      </c>
      <c r="WBY1339" s="4" t="s">
        <v>2883</v>
      </c>
      <c r="WBZ1339" s="4" t="s">
        <v>2883</v>
      </c>
      <c r="WCA1339" s="4" t="s">
        <v>2883</v>
      </c>
      <c r="WCB1339" s="4" t="s">
        <v>2883</v>
      </c>
      <c r="WCC1339" s="4" t="s">
        <v>2883</v>
      </c>
      <c r="WCD1339" s="4" t="s">
        <v>2883</v>
      </c>
      <c r="WCE1339" s="4" t="s">
        <v>2883</v>
      </c>
      <c r="WCF1339" s="4" t="s">
        <v>2883</v>
      </c>
      <c r="WCG1339" s="4" t="s">
        <v>2883</v>
      </c>
      <c r="WCH1339" s="4" t="s">
        <v>2883</v>
      </c>
      <c r="WCI1339" s="4" t="s">
        <v>2883</v>
      </c>
      <c r="WCJ1339" s="4" t="s">
        <v>2883</v>
      </c>
      <c r="WCK1339" s="4" t="s">
        <v>2883</v>
      </c>
      <c r="WCL1339" s="4" t="s">
        <v>2883</v>
      </c>
      <c r="WCM1339" s="4" t="s">
        <v>2883</v>
      </c>
      <c r="WCN1339" s="4" t="s">
        <v>2883</v>
      </c>
      <c r="WCO1339" s="4" t="s">
        <v>2883</v>
      </c>
      <c r="WCP1339" s="4" t="s">
        <v>2883</v>
      </c>
      <c r="WCQ1339" s="4" t="s">
        <v>2883</v>
      </c>
      <c r="WCR1339" s="4" t="s">
        <v>2883</v>
      </c>
      <c r="WCS1339" s="4" t="s">
        <v>2883</v>
      </c>
      <c r="WCT1339" s="4" t="s">
        <v>2883</v>
      </c>
      <c r="WCU1339" s="4" t="s">
        <v>2883</v>
      </c>
      <c r="WCV1339" s="4" t="s">
        <v>2883</v>
      </c>
      <c r="WCW1339" s="4" t="s">
        <v>2883</v>
      </c>
      <c r="WCX1339" s="4" t="s">
        <v>2883</v>
      </c>
      <c r="WCY1339" s="4" t="s">
        <v>2883</v>
      </c>
      <c r="WCZ1339" s="4" t="s">
        <v>2883</v>
      </c>
      <c r="WDA1339" s="4" t="s">
        <v>2883</v>
      </c>
      <c r="WDB1339" s="4" t="s">
        <v>2883</v>
      </c>
      <c r="WDC1339" s="4" t="s">
        <v>2883</v>
      </c>
      <c r="WDD1339" s="4" t="s">
        <v>2883</v>
      </c>
      <c r="WDE1339" s="4" t="s">
        <v>2883</v>
      </c>
      <c r="WDF1339" s="4" t="s">
        <v>2883</v>
      </c>
      <c r="WDG1339" s="4" t="s">
        <v>2883</v>
      </c>
      <c r="WDH1339" s="4" t="s">
        <v>2883</v>
      </c>
      <c r="WDI1339" s="4" t="s">
        <v>2883</v>
      </c>
      <c r="WDJ1339" s="4" t="s">
        <v>2883</v>
      </c>
      <c r="WDK1339" s="4" t="s">
        <v>2883</v>
      </c>
      <c r="WDL1339" s="4" t="s">
        <v>2883</v>
      </c>
      <c r="WDM1339" s="4" t="s">
        <v>2883</v>
      </c>
      <c r="WDN1339" s="4" t="s">
        <v>2883</v>
      </c>
      <c r="WDO1339" s="4" t="s">
        <v>2883</v>
      </c>
      <c r="WDP1339" s="4" t="s">
        <v>2883</v>
      </c>
      <c r="WDQ1339" s="4" t="s">
        <v>2883</v>
      </c>
      <c r="WDR1339" s="4" t="s">
        <v>2883</v>
      </c>
      <c r="WDS1339" s="4" t="s">
        <v>2883</v>
      </c>
      <c r="WDT1339" s="4" t="s">
        <v>2883</v>
      </c>
      <c r="WDU1339" s="4" t="s">
        <v>2883</v>
      </c>
      <c r="WDV1339" s="4" t="s">
        <v>2883</v>
      </c>
      <c r="WDW1339" s="4" t="s">
        <v>2883</v>
      </c>
      <c r="WDX1339" s="4" t="s">
        <v>2883</v>
      </c>
      <c r="WDY1339" s="4" t="s">
        <v>2883</v>
      </c>
      <c r="WDZ1339" s="4" t="s">
        <v>2883</v>
      </c>
      <c r="WEA1339" s="4" t="s">
        <v>2883</v>
      </c>
      <c r="WEB1339" s="4" t="s">
        <v>2883</v>
      </c>
      <c r="WEC1339" s="4" t="s">
        <v>2883</v>
      </c>
      <c r="WED1339" s="4" t="s">
        <v>2883</v>
      </c>
      <c r="WEE1339" s="4" t="s">
        <v>2883</v>
      </c>
      <c r="WEF1339" s="4" t="s">
        <v>2883</v>
      </c>
      <c r="WEG1339" s="4" t="s">
        <v>2883</v>
      </c>
      <c r="WEH1339" s="4" t="s">
        <v>2883</v>
      </c>
      <c r="WEI1339" s="4" t="s">
        <v>2883</v>
      </c>
      <c r="WEJ1339" s="4" t="s">
        <v>2883</v>
      </c>
      <c r="WEK1339" s="4" t="s">
        <v>2883</v>
      </c>
      <c r="WEL1339" s="4" t="s">
        <v>2883</v>
      </c>
      <c r="WEM1339" s="4" t="s">
        <v>2883</v>
      </c>
      <c r="WEN1339" s="4" t="s">
        <v>2883</v>
      </c>
      <c r="WEO1339" s="4" t="s">
        <v>2883</v>
      </c>
      <c r="WEP1339" s="4" t="s">
        <v>2883</v>
      </c>
      <c r="WEQ1339" s="4" t="s">
        <v>2883</v>
      </c>
      <c r="WER1339" s="4" t="s">
        <v>2883</v>
      </c>
      <c r="WES1339" s="4" t="s">
        <v>2883</v>
      </c>
      <c r="WET1339" s="4" t="s">
        <v>2883</v>
      </c>
      <c r="WEU1339" s="4" t="s">
        <v>2883</v>
      </c>
      <c r="WEV1339" s="4" t="s">
        <v>2883</v>
      </c>
      <c r="WEW1339" s="4" t="s">
        <v>2883</v>
      </c>
      <c r="WEX1339" s="4" t="s">
        <v>2883</v>
      </c>
      <c r="WEY1339" s="4" t="s">
        <v>2883</v>
      </c>
      <c r="WEZ1339" s="4" t="s">
        <v>2883</v>
      </c>
      <c r="WFA1339" s="4" t="s">
        <v>2883</v>
      </c>
      <c r="WFB1339" s="4" t="s">
        <v>2883</v>
      </c>
      <c r="WFC1339" s="4" t="s">
        <v>2883</v>
      </c>
      <c r="WFD1339" s="4" t="s">
        <v>2883</v>
      </c>
      <c r="WFE1339" s="4" t="s">
        <v>2883</v>
      </c>
      <c r="WFF1339" s="4" t="s">
        <v>2883</v>
      </c>
      <c r="WFG1339" s="4" t="s">
        <v>2883</v>
      </c>
      <c r="WFH1339" s="4" t="s">
        <v>2883</v>
      </c>
      <c r="WFI1339" s="4" t="s">
        <v>2883</v>
      </c>
      <c r="WFJ1339" s="4" t="s">
        <v>2883</v>
      </c>
      <c r="WFK1339" s="4" t="s">
        <v>2883</v>
      </c>
      <c r="WFL1339" s="4" t="s">
        <v>2883</v>
      </c>
      <c r="WFM1339" s="4" t="s">
        <v>2883</v>
      </c>
      <c r="WFN1339" s="4" t="s">
        <v>2883</v>
      </c>
      <c r="WFO1339" s="4" t="s">
        <v>2883</v>
      </c>
      <c r="WFP1339" s="4" t="s">
        <v>2883</v>
      </c>
      <c r="WFQ1339" s="4" t="s">
        <v>2883</v>
      </c>
      <c r="WFR1339" s="4" t="s">
        <v>2883</v>
      </c>
      <c r="WFS1339" s="4" t="s">
        <v>2883</v>
      </c>
      <c r="WFT1339" s="4" t="s">
        <v>2883</v>
      </c>
      <c r="WFU1339" s="4" t="s">
        <v>2883</v>
      </c>
      <c r="WFV1339" s="4" t="s">
        <v>2883</v>
      </c>
      <c r="WFW1339" s="4" t="s">
        <v>2883</v>
      </c>
      <c r="WFX1339" s="4" t="s">
        <v>2883</v>
      </c>
      <c r="WFY1339" s="4" t="s">
        <v>2883</v>
      </c>
      <c r="WFZ1339" s="4" t="s">
        <v>2883</v>
      </c>
      <c r="WGA1339" s="4" t="s">
        <v>2883</v>
      </c>
      <c r="WGB1339" s="4" t="s">
        <v>2883</v>
      </c>
      <c r="WGC1339" s="4" t="s">
        <v>2883</v>
      </c>
      <c r="WGD1339" s="4" t="s">
        <v>2883</v>
      </c>
      <c r="WGE1339" s="4" t="s">
        <v>2883</v>
      </c>
      <c r="WGF1339" s="4" t="s">
        <v>2883</v>
      </c>
      <c r="WGG1339" s="4" t="s">
        <v>2883</v>
      </c>
      <c r="WGH1339" s="4" t="s">
        <v>2883</v>
      </c>
      <c r="WGI1339" s="4" t="s">
        <v>2883</v>
      </c>
      <c r="WGJ1339" s="4" t="s">
        <v>2883</v>
      </c>
      <c r="WGK1339" s="4" t="s">
        <v>2883</v>
      </c>
      <c r="WGL1339" s="4" t="s">
        <v>2883</v>
      </c>
      <c r="WGM1339" s="4" t="s">
        <v>2883</v>
      </c>
      <c r="WGN1339" s="4" t="s">
        <v>2883</v>
      </c>
      <c r="WGO1339" s="4" t="s">
        <v>2883</v>
      </c>
      <c r="WGP1339" s="4" t="s">
        <v>2883</v>
      </c>
      <c r="WGQ1339" s="4" t="s">
        <v>2883</v>
      </c>
      <c r="WGR1339" s="4" t="s">
        <v>2883</v>
      </c>
      <c r="WGS1339" s="4" t="s">
        <v>2883</v>
      </c>
      <c r="WGT1339" s="4" t="s">
        <v>2883</v>
      </c>
      <c r="WGU1339" s="4" t="s">
        <v>2883</v>
      </c>
      <c r="WGV1339" s="4" t="s">
        <v>2883</v>
      </c>
      <c r="WGW1339" s="4" t="s">
        <v>2883</v>
      </c>
      <c r="WGX1339" s="4" t="s">
        <v>2883</v>
      </c>
      <c r="WGY1339" s="4" t="s">
        <v>2883</v>
      </c>
      <c r="WGZ1339" s="4" t="s">
        <v>2883</v>
      </c>
      <c r="WHA1339" s="4" t="s">
        <v>2883</v>
      </c>
      <c r="WHB1339" s="4" t="s">
        <v>2883</v>
      </c>
      <c r="WHC1339" s="4" t="s">
        <v>2883</v>
      </c>
      <c r="WHD1339" s="4" t="s">
        <v>2883</v>
      </c>
      <c r="WHE1339" s="4" t="s">
        <v>2883</v>
      </c>
      <c r="WHF1339" s="4" t="s">
        <v>2883</v>
      </c>
      <c r="WHG1339" s="4" t="s">
        <v>2883</v>
      </c>
      <c r="WHH1339" s="4" t="s">
        <v>2883</v>
      </c>
      <c r="WHI1339" s="4" t="s">
        <v>2883</v>
      </c>
      <c r="WHJ1339" s="4" t="s">
        <v>2883</v>
      </c>
      <c r="WHK1339" s="4" t="s">
        <v>2883</v>
      </c>
      <c r="WHL1339" s="4" t="s">
        <v>2883</v>
      </c>
      <c r="WHM1339" s="4" t="s">
        <v>2883</v>
      </c>
      <c r="WHN1339" s="4" t="s">
        <v>2883</v>
      </c>
      <c r="WHO1339" s="4" t="s">
        <v>2883</v>
      </c>
      <c r="WHP1339" s="4" t="s">
        <v>2883</v>
      </c>
      <c r="WHQ1339" s="4" t="s">
        <v>2883</v>
      </c>
      <c r="WHR1339" s="4" t="s">
        <v>2883</v>
      </c>
      <c r="WHS1339" s="4" t="s">
        <v>2883</v>
      </c>
      <c r="WHT1339" s="4" t="s">
        <v>2883</v>
      </c>
      <c r="WHU1339" s="4" t="s">
        <v>2883</v>
      </c>
      <c r="WHV1339" s="4" t="s">
        <v>2883</v>
      </c>
      <c r="WHW1339" s="4" t="s">
        <v>2883</v>
      </c>
      <c r="WHX1339" s="4" t="s">
        <v>2883</v>
      </c>
      <c r="WHY1339" s="4" t="s">
        <v>2883</v>
      </c>
      <c r="WHZ1339" s="4" t="s">
        <v>2883</v>
      </c>
      <c r="WIA1339" s="4" t="s">
        <v>2883</v>
      </c>
      <c r="WIB1339" s="4" t="s">
        <v>2883</v>
      </c>
      <c r="WIC1339" s="4" t="s">
        <v>2883</v>
      </c>
      <c r="WID1339" s="4" t="s">
        <v>2883</v>
      </c>
      <c r="WIE1339" s="4" t="s">
        <v>2883</v>
      </c>
      <c r="WIF1339" s="4" t="s">
        <v>2883</v>
      </c>
      <c r="WIG1339" s="4" t="s">
        <v>2883</v>
      </c>
      <c r="WIH1339" s="4" t="s">
        <v>2883</v>
      </c>
      <c r="WII1339" s="4" t="s">
        <v>2883</v>
      </c>
      <c r="WIJ1339" s="4" t="s">
        <v>2883</v>
      </c>
      <c r="WIK1339" s="4" t="s">
        <v>2883</v>
      </c>
      <c r="WIL1339" s="4" t="s">
        <v>2883</v>
      </c>
      <c r="WIM1339" s="4" t="s">
        <v>2883</v>
      </c>
      <c r="WIN1339" s="4" t="s">
        <v>2883</v>
      </c>
      <c r="WIO1339" s="4" t="s">
        <v>2883</v>
      </c>
      <c r="WIP1339" s="4" t="s">
        <v>2883</v>
      </c>
      <c r="WIQ1339" s="4" t="s">
        <v>2883</v>
      </c>
      <c r="WIR1339" s="4" t="s">
        <v>2883</v>
      </c>
      <c r="WIS1339" s="4" t="s">
        <v>2883</v>
      </c>
      <c r="WIT1339" s="4" t="s">
        <v>2883</v>
      </c>
      <c r="WIU1339" s="4" t="s">
        <v>2883</v>
      </c>
      <c r="WIV1339" s="4" t="s">
        <v>2883</v>
      </c>
      <c r="WIW1339" s="4" t="s">
        <v>2883</v>
      </c>
      <c r="WIX1339" s="4" t="s">
        <v>2883</v>
      </c>
      <c r="WIY1339" s="4" t="s">
        <v>2883</v>
      </c>
      <c r="WIZ1339" s="4" t="s">
        <v>2883</v>
      </c>
      <c r="WJA1339" s="4" t="s">
        <v>2883</v>
      </c>
      <c r="WJB1339" s="4" t="s">
        <v>2883</v>
      </c>
      <c r="WJC1339" s="4" t="s">
        <v>2883</v>
      </c>
      <c r="WJD1339" s="4" t="s">
        <v>2883</v>
      </c>
      <c r="WJE1339" s="4" t="s">
        <v>2883</v>
      </c>
      <c r="WJF1339" s="4" t="s">
        <v>2883</v>
      </c>
      <c r="WJG1339" s="4" t="s">
        <v>2883</v>
      </c>
      <c r="WJH1339" s="4" t="s">
        <v>2883</v>
      </c>
      <c r="WJI1339" s="4" t="s">
        <v>2883</v>
      </c>
      <c r="WJJ1339" s="4" t="s">
        <v>2883</v>
      </c>
      <c r="WJK1339" s="4" t="s">
        <v>2883</v>
      </c>
      <c r="WJL1339" s="4" t="s">
        <v>2883</v>
      </c>
      <c r="WJM1339" s="4" t="s">
        <v>2883</v>
      </c>
      <c r="WJN1339" s="4" t="s">
        <v>2883</v>
      </c>
      <c r="WJO1339" s="4" t="s">
        <v>2883</v>
      </c>
      <c r="WJP1339" s="4" t="s">
        <v>2883</v>
      </c>
      <c r="WJQ1339" s="4" t="s">
        <v>2883</v>
      </c>
      <c r="WJR1339" s="4" t="s">
        <v>2883</v>
      </c>
      <c r="WJS1339" s="4" t="s">
        <v>2883</v>
      </c>
      <c r="WJT1339" s="4" t="s">
        <v>2883</v>
      </c>
      <c r="WJU1339" s="4" t="s">
        <v>2883</v>
      </c>
      <c r="WJV1339" s="4" t="s">
        <v>2883</v>
      </c>
      <c r="WJW1339" s="4" t="s">
        <v>2883</v>
      </c>
      <c r="WJX1339" s="4" t="s">
        <v>2883</v>
      </c>
      <c r="WJY1339" s="4" t="s">
        <v>2883</v>
      </c>
      <c r="WJZ1339" s="4" t="s">
        <v>2883</v>
      </c>
      <c r="WKA1339" s="4" t="s">
        <v>2883</v>
      </c>
      <c r="WKB1339" s="4" t="s">
        <v>2883</v>
      </c>
      <c r="WKC1339" s="4" t="s">
        <v>2883</v>
      </c>
      <c r="WKD1339" s="4" t="s">
        <v>2883</v>
      </c>
      <c r="WKE1339" s="4" t="s">
        <v>2883</v>
      </c>
      <c r="WKF1339" s="4" t="s">
        <v>2883</v>
      </c>
      <c r="WKG1339" s="4" t="s">
        <v>2883</v>
      </c>
      <c r="WKH1339" s="4" t="s">
        <v>2883</v>
      </c>
      <c r="WKI1339" s="4" t="s">
        <v>2883</v>
      </c>
      <c r="WKJ1339" s="4" t="s">
        <v>2883</v>
      </c>
      <c r="WKK1339" s="4" t="s">
        <v>2883</v>
      </c>
      <c r="WKL1339" s="4" t="s">
        <v>2883</v>
      </c>
      <c r="WKM1339" s="4" t="s">
        <v>2883</v>
      </c>
      <c r="WKN1339" s="4" t="s">
        <v>2883</v>
      </c>
      <c r="WKO1339" s="4" t="s">
        <v>2883</v>
      </c>
      <c r="WKP1339" s="4" t="s">
        <v>2883</v>
      </c>
      <c r="WKQ1339" s="4" t="s">
        <v>2883</v>
      </c>
      <c r="WKR1339" s="4" t="s">
        <v>2883</v>
      </c>
      <c r="WKS1339" s="4" t="s">
        <v>2883</v>
      </c>
      <c r="WKT1339" s="4" t="s">
        <v>2883</v>
      </c>
      <c r="WKU1339" s="4" t="s">
        <v>2883</v>
      </c>
      <c r="WKV1339" s="4" t="s">
        <v>2883</v>
      </c>
      <c r="WKW1339" s="4" t="s">
        <v>2883</v>
      </c>
      <c r="WKX1339" s="4" t="s">
        <v>2883</v>
      </c>
      <c r="WKY1339" s="4" t="s">
        <v>2883</v>
      </c>
      <c r="WKZ1339" s="4" t="s">
        <v>2883</v>
      </c>
      <c r="WLA1339" s="4" t="s">
        <v>2883</v>
      </c>
      <c r="WLB1339" s="4" t="s">
        <v>2883</v>
      </c>
      <c r="WLC1339" s="4" t="s">
        <v>2883</v>
      </c>
      <c r="WLD1339" s="4" t="s">
        <v>2883</v>
      </c>
      <c r="WLE1339" s="4" t="s">
        <v>2883</v>
      </c>
      <c r="WLF1339" s="4" t="s">
        <v>2883</v>
      </c>
      <c r="WLG1339" s="4" t="s">
        <v>2883</v>
      </c>
      <c r="WLH1339" s="4" t="s">
        <v>2883</v>
      </c>
      <c r="WLI1339" s="4" t="s">
        <v>2883</v>
      </c>
      <c r="WLJ1339" s="4" t="s">
        <v>2883</v>
      </c>
      <c r="WLK1339" s="4" t="s">
        <v>2883</v>
      </c>
      <c r="WLL1339" s="4" t="s">
        <v>2883</v>
      </c>
      <c r="WLM1339" s="4" t="s">
        <v>2883</v>
      </c>
      <c r="WLN1339" s="4" t="s">
        <v>2883</v>
      </c>
      <c r="WLO1339" s="4" t="s">
        <v>2883</v>
      </c>
      <c r="WLP1339" s="4" t="s">
        <v>2883</v>
      </c>
      <c r="WLQ1339" s="4" t="s">
        <v>2883</v>
      </c>
      <c r="WLR1339" s="4" t="s">
        <v>2883</v>
      </c>
      <c r="WLS1339" s="4" t="s">
        <v>2883</v>
      </c>
      <c r="WLT1339" s="4" t="s">
        <v>2883</v>
      </c>
      <c r="WLU1339" s="4" t="s">
        <v>2883</v>
      </c>
      <c r="WLV1339" s="4" t="s">
        <v>2883</v>
      </c>
      <c r="WLW1339" s="4" t="s">
        <v>2883</v>
      </c>
      <c r="WLX1339" s="4" t="s">
        <v>2883</v>
      </c>
      <c r="WLY1339" s="4" t="s">
        <v>2883</v>
      </c>
      <c r="WLZ1339" s="4" t="s">
        <v>2883</v>
      </c>
      <c r="WMA1339" s="4" t="s">
        <v>2883</v>
      </c>
      <c r="WMB1339" s="4" t="s">
        <v>2883</v>
      </c>
      <c r="WMC1339" s="4" t="s">
        <v>2883</v>
      </c>
      <c r="WMD1339" s="4" t="s">
        <v>2883</v>
      </c>
      <c r="WME1339" s="4" t="s">
        <v>2883</v>
      </c>
      <c r="WMF1339" s="4" t="s">
        <v>2883</v>
      </c>
      <c r="WMG1339" s="4" t="s">
        <v>2883</v>
      </c>
      <c r="WMH1339" s="4" t="s">
        <v>2883</v>
      </c>
      <c r="WMI1339" s="4" t="s">
        <v>2883</v>
      </c>
      <c r="WMJ1339" s="4" t="s">
        <v>2883</v>
      </c>
      <c r="WMK1339" s="4" t="s">
        <v>2883</v>
      </c>
      <c r="WML1339" s="4" t="s">
        <v>2883</v>
      </c>
      <c r="WMM1339" s="4" t="s">
        <v>2883</v>
      </c>
      <c r="WMN1339" s="4" t="s">
        <v>2883</v>
      </c>
      <c r="WMO1339" s="4" t="s">
        <v>2883</v>
      </c>
      <c r="WMP1339" s="4" t="s">
        <v>2883</v>
      </c>
      <c r="WMQ1339" s="4" t="s">
        <v>2883</v>
      </c>
      <c r="WMR1339" s="4" t="s">
        <v>2883</v>
      </c>
      <c r="WMS1339" s="4" t="s">
        <v>2883</v>
      </c>
      <c r="WMT1339" s="4" t="s">
        <v>2883</v>
      </c>
      <c r="WMU1339" s="4" t="s">
        <v>2883</v>
      </c>
      <c r="WMV1339" s="4" t="s">
        <v>2883</v>
      </c>
      <c r="WMW1339" s="4" t="s">
        <v>2883</v>
      </c>
      <c r="WMX1339" s="4" t="s">
        <v>2883</v>
      </c>
      <c r="WMY1339" s="4" t="s">
        <v>2883</v>
      </c>
      <c r="WMZ1339" s="4" t="s">
        <v>2883</v>
      </c>
      <c r="WNA1339" s="4" t="s">
        <v>2883</v>
      </c>
      <c r="WNB1339" s="4" t="s">
        <v>2883</v>
      </c>
      <c r="WNC1339" s="4" t="s">
        <v>2883</v>
      </c>
      <c r="WND1339" s="4" t="s">
        <v>2883</v>
      </c>
      <c r="WNE1339" s="4" t="s">
        <v>2883</v>
      </c>
      <c r="WNF1339" s="4" t="s">
        <v>2883</v>
      </c>
      <c r="WNG1339" s="4" t="s">
        <v>2883</v>
      </c>
      <c r="WNH1339" s="4" t="s">
        <v>2883</v>
      </c>
      <c r="WNI1339" s="4" t="s">
        <v>2883</v>
      </c>
      <c r="WNJ1339" s="4" t="s">
        <v>2883</v>
      </c>
      <c r="WNK1339" s="4" t="s">
        <v>2883</v>
      </c>
      <c r="WNL1339" s="4" t="s">
        <v>2883</v>
      </c>
      <c r="WNM1339" s="4" t="s">
        <v>2883</v>
      </c>
      <c r="WNN1339" s="4" t="s">
        <v>2883</v>
      </c>
      <c r="WNO1339" s="4" t="s">
        <v>2883</v>
      </c>
      <c r="WNP1339" s="4" t="s">
        <v>2883</v>
      </c>
      <c r="WNQ1339" s="4" t="s">
        <v>2883</v>
      </c>
      <c r="WNR1339" s="4" t="s">
        <v>2883</v>
      </c>
      <c r="WNS1339" s="4" t="s">
        <v>2883</v>
      </c>
      <c r="WNT1339" s="4" t="s">
        <v>2883</v>
      </c>
      <c r="WNU1339" s="4" t="s">
        <v>2883</v>
      </c>
      <c r="WNV1339" s="4" t="s">
        <v>2883</v>
      </c>
      <c r="WNW1339" s="4" t="s">
        <v>2883</v>
      </c>
      <c r="WNX1339" s="4" t="s">
        <v>2883</v>
      </c>
      <c r="WNY1339" s="4" t="s">
        <v>2883</v>
      </c>
      <c r="WNZ1339" s="4" t="s">
        <v>2883</v>
      </c>
      <c r="WOA1339" s="4" t="s">
        <v>2883</v>
      </c>
      <c r="WOB1339" s="4" t="s">
        <v>2883</v>
      </c>
      <c r="WOC1339" s="4" t="s">
        <v>2883</v>
      </c>
      <c r="WOD1339" s="4" t="s">
        <v>2883</v>
      </c>
      <c r="WOE1339" s="4" t="s">
        <v>2883</v>
      </c>
      <c r="WOF1339" s="4" t="s">
        <v>2883</v>
      </c>
      <c r="WOG1339" s="4" t="s">
        <v>2883</v>
      </c>
      <c r="WOH1339" s="4" t="s">
        <v>2883</v>
      </c>
      <c r="WOI1339" s="4" t="s">
        <v>2883</v>
      </c>
      <c r="WOJ1339" s="4" t="s">
        <v>2883</v>
      </c>
      <c r="WOK1339" s="4" t="s">
        <v>2883</v>
      </c>
      <c r="WOL1339" s="4" t="s">
        <v>2883</v>
      </c>
      <c r="WOM1339" s="4" t="s">
        <v>2883</v>
      </c>
      <c r="WON1339" s="4" t="s">
        <v>2883</v>
      </c>
      <c r="WOO1339" s="4" t="s">
        <v>2883</v>
      </c>
      <c r="WOP1339" s="4" t="s">
        <v>2883</v>
      </c>
      <c r="WOQ1339" s="4" t="s">
        <v>2883</v>
      </c>
      <c r="WOR1339" s="4" t="s">
        <v>2883</v>
      </c>
      <c r="WOS1339" s="4" t="s">
        <v>2883</v>
      </c>
      <c r="WOT1339" s="4" t="s">
        <v>2883</v>
      </c>
      <c r="WOU1339" s="4" t="s">
        <v>2883</v>
      </c>
      <c r="WOV1339" s="4" t="s">
        <v>2883</v>
      </c>
      <c r="WOW1339" s="4" t="s">
        <v>2883</v>
      </c>
      <c r="WOX1339" s="4" t="s">
        <v>2883</v>
      </c>
      <c r="WOY1339" s="4" t="s">
        <v>2883</v>
      </c>
      <c r="WOZ1339" s="4" t="s">
        <v>2883</v>
      </c>
      <c r="WPA1339" s="4" t="s">
        <v>2883</v>
      </c>
      <c r="WPB1339" s="4" t="s">
        <v>2883</v>
      </c>
      <c r="WPC1339" s="4" t="s">
        <v>2883</v>
      </c>
      <c r="WPD1339" s="4" t="s">
        <v>2883</v>
      </c>
      <c r="WPE1339" s="4" t="s">
        <v>2883</v>
      </c>
      <c r="WPF1339" s="4" t="s">
        <v>2883</v>
      </c>
      <c r="WPG1339" s="4" t="s">
        <v>2883</v>
      </c>
      <c r="WPH1339" s="4" t="s">
        <v>2883</v>
      </c>
      <c r="WPI1339" s="4" t="s">
        <v>2883</v>
      </c>
      <c r="WPJ1339" s="4" t="s">
        <v>2883</v>
      </c>
      <c r="WPK1339" s="4" t="s">
        <v>2883</v>
      </c>
      <c r="WPL1339" s="4" t="s">
        <v>2883</v>
      </c>
      <c r="WPM1339" s="4" t="s">
        <v>2883</v>
      </c>
      <c r="WPN1339" s="4" t="s">
        <v>2883</v>
      </c>
      <c r="WPO1339" s="4" t="s">
        <v>2883</v>
      </c>
      <c r="WPP1339" s="4" t="s">
        <v>2883</v>
      </c>
      <c r="WPQ1339" s="4" t="s">
        <v>2883</v>
      </c>
      <c r="WPR1339" s="4" t="s">
        <v>2883</v>
      </c>
      <c r="WPS1339" s="4" t="s">
        <v>2883</v>
      </c>
      <c r="WPT1339" s="4" t="s">
        <v>2883</v>
      </c>
      <c r="WPU1339" s="4" t="s">
        <v>2883</v>
      </c>
      <c r="WPV1339" s="4" t="s">
        <v>2883</v>
      </c>
      <c r="WPW1339" s="4" t="s">
        <v>2883</v>
      </c>
      <c r="WPX1339" s="4" t="s">
        <v>2883</v>
      </c>
      <c r="WPY1339" s="4" t="s">
        <v>2883</v>
      </c>
      <c r="WPZ1339" s="4" t="s">
        <v>2883</v>
      </c>
      <c r="WQA1339" s="4" t="s">
        <v>2883</v>
      </c>
      <c r="WQB1339" s="4" t="s">
        <v>2883</v>
      </c>
      <c r="WQC1339" s="4" t="s">
        <v>2883</v>
      </c>
      <c r="WQD1339" s="4" t="s">
        <v>2883</v>
      </c>
      <c r="WQE1339" s="4" t="s">
        <v>2883</v>
      </c>
      <c r="WQF1339" s="4" t="s">
        <v>2883</v>
      </c>
      <c r="WQG1339" s="4" t="s">
        <v>2883</v>
      </c>
      <c r="WQH1339" s="4" t="s">
        <v>2883</v>
      </c>
      <c r="WQI1339" s="4" t="s">
        <v>2883</v>
      </c>
      <c r="WQJ1339" s="4" t="s">
        <v>2883</v>
      </c>
      <c r="WQK1339" s="4" t="s">
        <v>2883</v>
      </c>
      <c r="WQL1339" s="4" t="s">
        <v>2883</v>
      </c>
      <c r="WQM1339" s="4" t="s">
        <v>2883</v>
      </c>
      <c r="WQN1339" s="4" t="s">
        <v>2883</v>
      </c>
      <c r="WQO1339" s="4" t="s">
        <v>2883</v>
      </c>
      <c r="WQP1339" s="4" t="s">
        <v>2883</v>
      </c>
      <c r="WQQ1339" s="4" t="s">
        <v>2883</v>
      </c>
      <c r="WQR1339" s="4" t="s">
        <v>2883</v>
      </c>
      <c r="WQS1339" s="4" t="s">
        <v>2883</v>
      </c>
      <c r="WQT1339" s="4" t="s">
        <v>2883</v>
      </c>
      <c r="WQU1339" s="4" t="s">
        <v>2883</v>
      </c>
      <c r="WQV1339" s="4" t="s">
        <v>2883</v>
      </c>
      <c r="WQW1339" s="4" t="s">
        <v>2883</v>
      </c>
      <c r="WQX1339" s="4" t="s">
        <v>2883</v>
      </c>
      <c r="WQY1339" s="4" t="s">
        <v>2883</v>
      </c>
      <c r="WQZ1339" s="4" t="s">
        <v>2883</v>
      </c>
      <c r="WRA1339" s="4" t="s">
        <v>2883</v>
      </c>
      <c r="WRB1339" s="4" t="s">
        <v>2883</v>
      </c>
      <c r="WRC1339" s="4" t="s">
        <v>2883</v>
      </c>
      <c r="WRD1339" s="4" t="s">
        <v>2883</v>
      </c>
      <c r="WRE1339" s="4" t="s">
        <v>2883</v>
      </c>
      <c r="WRF1339" s="4" t="s">
        <v>2883</v>
      </c>
      <c r="WRG1339" s="4" t="s">
        <v>2883</v>
      </c>
      <c r="WRH1339" s="4" t="s">
        <v>2883</v>
      </c>
      <c r="WRI1339" s="4" t="s">
        <v>2883</v>
      </c>
      <c r="WRJ1339" s="4" t="s">
        <v>2883</v>
      </c>
      <c r="WRK1339" s="4" t="s">
        <v>2883</v>
      </c>
      <c r="WRL1339" s="4" t="s">
        <v>2883</v>
      </c>
      <c r="WRM1339" s="4" t="s">
        <v>2883</v>
      </c>
      <c r="WRN1339" s="4" t="s">
        <v>2883</v>
      </c>
      <c r="WRO1339" s="4" t="s">
        <v>2883</v>
      </c>
      <c r="WRP1339" s="4" t="s">
        <v>2883</v>
      </c>
      <c r="WRQ1339" s="4" t="s">
        <v>2883</v>
      </c>
      <c r="WRR1339" s="4" t="s">
        <v>2883</v>
      </c>
      <c r="WRS1339" s="4" t="s">
        <v>2883</v>
      </c>
      <c r="WRT1339" s="4" t="s">
        <v>2883</v>
      </c>
      <c r="WRU1339" s="4" t="s">
        <v>2883</v>
      </c>
      <c r="WRV1339" s="4" t="s">
        <v>2883</v>
      </c>
      <c r="WRW1339" s="4" t="s">
        <v>2883</v>
      </c>
      <c r="WRX1339" s="4" t="s">
        <v>2883</v>
      </c>
      <c r="WRY1339" s="4" t="s">
        <v>2883</v>
      </c>
      <c r="WRZ1339" s="4" t="s">
        <v>2883</v>
      </c>
      <c r="WSA1339" s="4" t="s">
        <v>2883</v>
      </c>
      <c r="WSB1339" s="4" t="s">
        <v>2883</v>
      </c>
      <c r="WSC1339" s="4" t="s">
        <v>2883</v>
      </c>
      <c r="WSD1339" s="4" t="s">
        <v>2883</v>
      </c>
      <c r="WSE1339" s="4" t="s">
        <v>2883</v>
      </c>
      <c r="WSF1339" s="4" t="s">
        <v>2883</v>
      </c>
      <c r="WSG1339" s="4" t="s">
        <v>2883</v>
      </c>
      <c r="WSH1339" s="4" t="s">
        <v>2883</v>
      </c>
      <c r="WSI1339" s="4" t="s">
        <v>2883</v>
      </c>
      <c r="WSJ1339" s="4" t="s">
        <v>2883</v>
      </c>
      <c r="WSK1339" s="4" t="s">
        <v>2883</v>
      </c>
      <c r="WSL1339" s="4" t="s">
        <v>2883</v>
      </c>
      <c r="WSM1339" s="4" t="s">
        <v>2883</v>
      </c>
      <c r="WSN1339" s="4" t="s">
        <v>2883</v>
      </c>
      <c r="WSO1339" s="4" t="s">
        <v>2883</v>
      </c>
      <c r="WSP1339" s="4" t="s">
        <v>2883</v>
      </c>
      <c r="WSQ1339" s="4" t="s">
        <v>2883</v>
      </c>
      <c r="WSR1339" s="4" t="s">
        <v>2883</v>
      </c>
      <c r="WSS1339" s="4" t="s">
        <v>2883</v>
      </c>
      <c r="WST1339" s="4" t="s">
        <v>2883</v>
      </c>
      <c r="WSU1339" s="4" t="s">
        <v>2883</v>
      </c>
      <c r="WSV1339" s="4" t="s">
        <v>2883</v>
      </c>
      <c r="WSW1339" s="4" t="s">
        <v>2883</v>
      </c>
      <c r="WSX1339" s="4" t="s">
        <v>2883</v>
      </c>
      <c r="WSY1339" s="4" t="s">
        <v>2883</v>
      </c>
      <c r="WSZ1339" s="4" t="s">
        <v>2883</v>
      </c>
      <c r="WTA1339" s="4" t="s">
        <v>2883</v>
      </c>
      <c r="WTB1339" s="4" t="s">
        <v>2883</v>
      </c>
      <c r="WTC1339" s="4" t="s">
        <v>2883</v>
      </c>
      <c r="WTD1339" s="4" t="s">
        <v>2883</v>
      </c>
      <c r="WTE1339" s="4" t="s">
        <v>2883</v>
      </c>
      <c r="WTF1339" s="4" t="s">
        <v>2883</v>
      </c>
      <c r="WTG1339" s="4" t="s">
        <v>2883</v>
      </c>
      <c r="WTH1339" s="4" t="s">
        <v>2883</v>
      </c>
      <c r="WTI1339" s="4" t="s">
        <v>2883</v>
      </c>
      <c r="WTJ1339" s="4" t="s">
        <v>2883</v>
      </c>
      <c r="WTK1339" s="4" t="s">
        <v>2883</v>
      </c>
      <c r="WTL1339" s="4" t="s">
        <v>2883</v>
      </c>
      <c r="WTM1339" s="4" t="s">
        <v>2883</v>
      </c>
      <c r="WTN1339" s="4" t="s">
        <v>2883</v>
      </c>
      <c r="WTO1339" s="4" t="s">
        <v>2883</v>
      </c>
      <c r="WTP1339" s="4" t="s">
        <v>2883</v>
      </c>
      <c r="WTQ1339" s="4" t="s">
        <v>2883</v>
      </c>
      <c r="WTR1339" s="4" t="s">
        <v>2883</v>
      </c>
      <c r="WTS1339" s="4" t="s">
        <v>2883</v>
      </c>
      <c r="WTT1339" s="4" t="s">
        <v>2883</v>
      </c>
      <c r="WTU1339" s="4" t="s">
        <v>2883</v>
      </c>
      <c r="WTV1339" s="4" t="s">
        <v>2883</v>
      </c>
      <c r="WTW1339" s="4" t="s">
        <v>2883</v>
      </c>
      <c r="WTX1339" s="4" t="s">
        <v>2883</v>
      </c>
      <c r="WTY1339" s="4" t="s">
        <v>2883</v>
      </c>
      <c r="WTZ1339" s="4" t="s">
        <v>2883</v>
      </c>
      <c r="WUA1339" s="4" t="s">
        <v>2883</v>
      </c>
      <c r="WUB1339" s="4" t="s">
        <v>2883</v>
      </c>
      <c r="WUC1339" s="4" t="s">
        <v>2883</v>
      </c>
      <c r="WUD1339" s="4" t="s">
        <v>2883</v>
      </c>
      <c r="WUE1339" s="4" t="s">
        <v>2883</v>
      </c>
      <c r="WUF1339" s="4" t="s">
        <v>2883</v>
      </c>
      <c r="WUG1339" s="4" t="s">
        <v>2883</v>
      </c>
      <c r="WUH1339" s="4" t="s">
        <v>2883</v>
      </c>
      <c r="WUI1339" s="4" t="s">
        <v>2883</v>
      </c>
      <c r="WUJ1339" s="4" t="s">
        <v>2883</v>
      </c>
      <c r="WUK1339" s="4" t="s">
        <v>2883</v>
      </c>
      <c r="WUL1339" s="4" t="s">
        <v>2883</v>
      </c>
      <c r="WUM1339" s="4" t="s">
        <v>2883</v>
      </c>
      <c r="WUN1339" s="4" t="s">
        <v>2883</v>
      </c>
      <c r="WUO1339" s="4" t="s">
        <v>2883</v>
      </c>
      <c r="WUP1339" s="4" t="s">
        <v>2883</v>
      </c>
      <c r="WUQ1339" s="4" t="s">
        <v>2883</v>
      </c>
      <c r="WUR1339" s="4" t="s">
        <v>2883</v>
      </c>
      <c r="WUS1339" s="4" t="s">
        <v>2883</v>
      </c>
      <c r="WUT1339" s="4" t="s">
        <v>2883</v>
      </c>
      <c r="WUU1339" s="4" t="s">
        <v>2883</v>
      </c>
      <c r="WUV1339" s="4" t="s">
        <v>2883</v>
      </c>
      <c r="WUW1339" s="4" t="s">
        <v>2883</v>
      </c>
      <c r="WUX1339" s="4" t="s">
        <v>2883</v>
      </c>
      <c r="WUY1339" s="4" t="s">
        <v>2883</v>
      </c>
      <c r="WUZ1339" s="4" t="s">
        <v>2883</v>
      </c>
      <c r="WVA1339" s="4" t="s">
        <v>2883</v>
      </c>
      <c r="WVB1339" s="4" t="s">
        <v>2883</v>
      </c>
      <c r="WVC1339" s="4" t="s">
        <v>2883</v>
      </c>
      <c r="WVD1339" s="4" t="s">
        <v>2883</v>
      </c>
      <c r="WVE1339" s="4" t="s">
        <v>2883</v>
      </c>
      <c r="WVF1339" s="4" t="s">
        <v>2883</v>
      </c>
      <c r="WVG1339" s="4" t="s">
        <v>2883</v>
      </c>
      <c r="WVH1339" s="4" t="s">
        <v>2883</v>
      </c>
      <c r="WVI1339" s="4" t="s">
        <v>2883</v>
      </c>
      <c r="WVJ1339" s="4" t="s">
        <v>2883</v>
      </c>
      <c r="WVK1339" s="4" t="s">
        <v>2883</v>
      </c>
      <c r="WVL1339" s="4" t="s">
        <v>2883</v>
      </c>
      <c r="WVM1339" s="4" t="s">
        <v>2883</v>
      </c>
      <c r="WVN1339" s="4" t="s">
        <v>2883</v>
      </c>
      <c r="WVO1339" s="4" t="s">
        <v>2883</v>
      </c>
      <c r="WVP1339" s="4" t="s">
        <v>2883</v>
      </c>
      <c r="WVQ1339" s="4" t="s">
        <v>2883</v>
      </c>
      <c r="WVR1339" s="4" t="s">
        <v>2883</v>
      </c>
      <c r="WVS1339" s="4" t="s">
        <v>2883</v>
      </c>
      <c r="WVT1339" s="4" t="s">
        <v>2883</v>
      </c>
      <c r="WVU1339" s="4" t="s">
        <v>2883</v>
      </c>
      <c r="WVV1339" s="4" t="s">
        <v>2883</v>
      </c>
      <c r="WVW1339" s="4" t="s">
        <v>2883</v>
      </c>
      <c r="WVX1339" s="4" t="s">
        <v>2883</v>
      </c>
      <c r="WVY1339" s="4" t="s">
        <v>2883</v>
      </c>
      <c r="WVZ1339" s="4" t="s">
        <v>2883</v>
      </c>
      <c r="WWA1339" s="4" t="s">
        <v>2883</v>
      </c>
      <c r="WWB1339" s="4" t="s">
        <v>2883</v>
      </c>
      <c r="WWC1339" s="4" t="s">
        <v>2883</v>
      </c>
      <c r="WWD1339" s="4" t="s">
        <v>2883</v>
      </c>
      <c r="WWE1339" s="4" t="s">
        <v>2883</v>
      </c>
      <c r="WWF1339" s="4" t="s">
        <v>2883</v>
      </c>
      <c r="WWG1339" s="4" t="s">
        <v>2883</v>
      </c>
      <c r="WWH1339" s="4" t="s">
        <v>2883</v>
      </c>
      <c r="WWI1339" s="4" t="s">
        <v>2883</v>
      </c>
      <c r="WWJ1339" s="4" t="s">
        <v>2883</v>
      </c>
      <c r="WWK1339" s="4" t="s">
        <v>2883</v>
      </c>
      <c r="WWL1339" s="4" t="s">
        <v>2883</v>
      </c>
      <c r="WWM1339" s="4" t="s">
        <v>2883</v>
      </c>
      <c r="WWN1339" s="4" t="s">
        <v>2883</v>
      </c>
      <c r="WWO1339" s="4" t="s">
        <v>2883</v>
      </c>
      <c r="WWP1339" s="4" t="s">
        <v>2883</v>
      </c>
      <c r="WWQ1339" s="4" t="s">
        <v>2883</v>
      </c>
      <c r="WWR1339" s="4" t="s">
        <v>2883</v>
      </c>
      <c r="WWS1339" s="4" t="s">
        <v>2883</v>
      </c>
      <c r="WWT1339" s="4" t="s">
        <v>2883</v>
      </c>
      <c r="WWU1339" s="4" t="s">
        <v>2883</v>
      </c>
      <c r="WWV1339" s="4" t="s">
        <v>2883</v>
      </c>
      <c r="WWW1339" s="4" t="s">
        <v>2883</v>
      </c>
      <c r="WWX1339" s="4" t="s">
        <v>2883</v>
      </c>
      <c r="WWY1339" s="4" t="s">
        <v>2883</v>
      </c>
      <c r="WWZ1339" s="4" t="s">
        <v>2883</v>
      </c>
      <c r="WXA1339" s="4" t="s">
        <v>2883</v>
      </c>
      <c r="WXB1339" s="4" t="s">
        <v>2883</v>
      </c>
      <c r="WXC1339" s="4" t="s">
        <v>2883</v>
      </c>
      <c r="WXD1339" s="4" t="s">
        <v>2883</v>
      </c>
      <c r="WXE1339" s="4" t="s">
        <v>2883</v>
      </c>
      <c r="WXF1339" s="4" t="s">
        <v>2883</v>
      </c>
      <c r="WXG1339" s="4" t="s">
        <v>2883</v>
      </c>
      <c r="WXH1339" s="4" t="s">
        <v>2883</v>
      </c>
      <c r="WXI1339" s="4" t="s">
        <v>2883</v>
      </c>
      <c r="WXJ1339" s="4" t="s">
        <v>2883</v>
      </c>
      <c r="WXK1339" s="4" t="s">
        <v>2883</v>
      </c>
      <c r="WXL1339" s="4" t="s">
        <v>2883</v>
      </c>
      <c r="WXM1339" s="4" t="s">
        <v>2883</v>
      </c>
      <c r="WXN1339" s="4" t="s">
        <v>2883</v>
      </c>
      <c r="WXO1339" s="4" t="s">
        <v>2883</v>
      </c>
      <c r="WXP1339" s="4" t="s">
        <v>2883</v>
      </c>
      <c r="WXQ1339" s="4" t="s">
        <v>2883</v>
      </c>
      <c r="WXR1339" s="4" t="s">
        <v>2883</v>
      </c>
      <c r="WXS1339" s="4" t="s">
        <v>2883</v>
      </c>
      <c r="WXT1339" s="4" t="s">
        <v>2883</v>
      </c>
      <c r="WXU1339" s="4" t="s">
        <v>2883</v>
      </c>
      <c r="WXV1339" s="4" t="s">
        <v>2883</v>
      </c>
      <c r="WXW1339" s="4" t="s">
        <v>2883</v>
      </c>
      <c r="WXX1339" s="4" t="s">
        <v>2883</v>
      </c>
      <c r="WXY1339" s="4" t="s">
        <v>2883</v>
      </c>
      <c r="WXZ1339" s="4" t="s">
        <v>2883</v>
      </c>
      <c r="WYA1339" s="4" t="s">
        <v>2883</v>
      </c>
      <c r="WYB1339" s="4" t="s">
        <v>2883</v>
      </c>
      <c r="WYC1339" s="4" t="s">
        <v>2883</v>
      </c>
      <c r="WYD1339" s="4" t="s">
        <v>2883</v>
      </c>
      <c r="WYE1339" s="4" t="s">
        <v>2883</v>
      </c>
      <c r="WYF1339" s="4" t="s">
        <v>2883</v>
      </c>
      <c r="WYG1339" s="4" t="s">
        <v>2883</v>
      </c>
      <c r="WYH1339" s="4" t="s">
        <v>2883</v>
      </c>
      <c r="WYI1339" s="4" t="s">
        <v>2883</v>
      </c>
      <c r="WYJ1339" s="4" t="s">
        <v>2883</v>
      </c>
      <c r="WYK1339" s="4" t="s">
        <v>2883</v>
      </c>
      <c r="WYL1339" s="4" t="s">
        <v>2883</v>
      </c>
      <c r="WYM1339" s="4" t="s">
        <v>2883</v>
      </c>
      <c r="WYN1339" s="4" t="s">
        <v>2883</v>
      </c>
      <c r="WYO1339" s="4" t="s">
        <v>2883</v>
      </c>
      <c r="WYP1339" s="4" t="s">
        <v>2883</v>
      </c>
      <c r="WYQ1339" s="4" t="s">
        <v>2883</v>
      </c>
      <c r="WYR1339" s="4" t="s">
        <v>2883</v>
      </c>
      <c r="WYS1339" s="4" t="s">
        <v>2883</v>
      </c>
      <c r="WYT1339" s="4" t="s">
        <v>2883</v>
      </c>
      <c r="WYU1339" s="4" t="s">
        <v>2883</v>
      </c>
      <c r="WYV1339" s="4" t="s">
        <v>2883</v>
      </c>
      <c r="WYW1339" s="4" t="s">
        <v>2883</v>
      </c>
      <c r="WYX1339" s="4" t="s">
        <v>2883</v>
      </c>
      <c r="WYY1339" s="4" t="s">
        <v>2883</v>
      </c>
      <c r="WYZ1339" s="4" t="s">
        <v>2883</v>
      </c>
      <c r="WZA1339" s="4" t="s">
        <v>2883</v>
      </c>
      <c r="WZB1339" s="4" t="s">
        <v>2883</v>
      </c>
      <c r="WZC1339" s="4" t="s">
        <v>2883</v>
      </c>
      <c r="WZD1339" s="4" t="s">
        <v>2883</v>
      </c>
      <c r="WZE1339" s="4" t="s">
        <v>2883</v>
      </c>
      <c r="WZF1339" s="4" t="s">
        <v>2883</v>
      </c>
      <c r="WZG1339" s="4" t="s">
        <v>2883</v>
      </c>
      <c r="WZH1339" s="4" t="s">
        <v>2883</v>
      </c>
      <c r="WZI1339" s="4" t="s">
        <v>2883</v>
      </c>
      <c r="WZJ1339" s="4" t="s">
        <v>2883</v>
      </c>
      <c r="WZK1339" s="4" t="s">
        <v>2883</v>
      </c>
      <c r="WZL1339" s="4" t="s">
        <v>2883</v>
      </c>
      <c r="WZM1339" s="4" t="s">
        <v>2883</v>
      </c>
      <c r="WZN1339" s="4" t="s">
        <v>2883</v>
      </c>
      <c r="WZO1339" s="4" t="s">
        <v>2883</v>
      </c>
      <c r="WZP1339" s="4" t="s">
        <v>2883</v>
      </c>
      <c r="WZQ1339" s="4" t="s">
        <v>2883</v>
      </c>
      <c r="WZR1339" s="4" t="s">
        <v>2883</v>
      </c>
      <c r="WZS1339" s="4" t="s">
        <v>2883</v>
      </c>
      <c r="WZT1339" s="4" t="s">
        <v>2883</v>
      </c>
      <c r="WZU1339" s="4" t="s">
        <v>2883</v>
      </c>
      <c r="WZV1339" s="4" t="s">
        <v>2883</v>
      </c>
      <c r="WZW1339" s="4" t="s">
        <v>2883</v>
      </c>
      <c r="WZX1339" s="4" t="s">
        <v>2883</v>
      </c>
      <c r="WZY1339" s="4" t="s">
        <v>2883</v>
      </c>
      <c r="WZZ1339" s="4" t="s">
        <v>2883</v>
      </c>
      <c r="XAA1339" s="4" t="s">
        <v>2883</v>
      </c>
      <c r="XAB1339" s="4" t="s">
        <v>2883</v>
      </c>
      <c r="XAC1339" s="4" t="s">
        <v>2883</v>
      </c>
      <c r="XAD1339" s="4" t="s">
        <v>2883</v>
      </c>
      <c r="XAE1339" s="4" t="s">
        <v>2883</v>
      </c>
      <c r="XAF1339" s="4" t="s">
        <v>2883</v>
      </c>
      <c r="XAG1339" s="4" t="s">
        <v>2883</v>
      </c>
      <c r="XAH1339" s="4" t="s">
        <v>2883</v>
      </c>
      <c r="XAI1339" s="4" t="s">
        <v>2883</v>
      </c>
      <c r="XAJ1339" s="4" t="s">
        <v>2883</v>
      </c>
      <c r="XAK1339" s="4" t="s">
        <v>2883</v>
      </c>
      <c r="XAL1339" s="4" t="s">
        <v>2883</v>
      </c>
      <c r="XAM1339" s="4" t="s">
        <v>2883</v>
      </c>
      <c r="XAN1339" s="4" t="s">
        <v>2883</v>
      </c>
      <c r="XAO1339" s="4" t="s">
        <v>2883</v>
      </c>
      <c r="XAP1339" s="4" t="s">
        <v>2883</v>
      </c>
      <c r="XAQ1339" s="4" t="s">
        <v>2883</v>
      </c>
      <c r="XAR1339" s="4" t="s">
        <v>2883</v>
      </c>
      <c r="XAS1339" s="4" t="s">
        <v>2883</v>
      </c>
      <c r="XAT1339" s="4" t="s">
        <v>2883</v>
      </c>
      <c r="XAU1339" s="4" t="s">
        <v>2883</v>
      </c>
      <c r="XAV1339" s="4" t="s">
        <v>2883</v>
      </c>
      <c r="XAW1339" s="4" t="s">
        <v>2883</v>
      </c>
      <c r="XAX1339" s="4" t="s">
        <v>2883</v>
      </c>
      <c r="XAY1339" s="4" t="s">
        <v>2883</v>
      </c>
      <c r="XAZ1339" s="4" t="s">
        <v>2883</v>
      </c>
      <c r="XBA1339" s="4" t="s">
        <v>2883</v>
      </c>
      <c r="XBB1339" s="4" t="s">
        <v>2883</v>
      </c>
      <c r="XBC1339" s="4" t="s">
        <v>2883</v>
      </c>
      <c r="XBD1339" s="4" t="s">
        <v>2883</v>
      </c>
      <c r="XBE1339" s="4" t="s">
        <v>2883</v>
      </c>
      <c r="XBF1339" s="4" t="s">
        <v>2883</v>
      </c>
      <c r="XBG1339" s="4" t="s">
        <v>2883</v>
      </c>
      <c r="XBH1339" s="4" t="s">
        <v>2883</v>
      </c>
      <c r="XBI1339" s="4" t="s">
        <v>2883</v>
      </c>
      <c r="XBJ1339" s="4" t="s">
        <v>2883</v>
      </c>
      <c r="XBK1339" s="4" t="s">
        <v>2883</v>
      </c>
      <c r="XBL1339" s="4" t="s">
        <v>2883</v>
      </c>
      <c r="XBM1339" s="4" t="s">
        <v>2883</v>
      </c>
      <c r="XBN1339" s="4" t="s">
        <v>2883</v>
      </c>
      <c r="XBO1339" s="4" t="s">
        <v>2883</v>
      </c>
      <c r="XBP1339" s="4" t="s">
        <v>2883</v>
      </c>
      <c r="XBQ1339" s="4" t="s">
        <v>2883</v>
      </c>
      <c r="XBR1339" s="4" t="s">
        <v>2883</v>
      </c>
      <c r="XBS1339" s="4" t="s">
        <v>2883</v>
      </c>
      <c r="XBT1339" s="4" t="s">
        <v>2883</v>
      </c>
      <c r="XBU1339" s="4" t="s">
        <v>2883</v>
      </c>
      <c r="XBV1339" s="4" t="s">
        <v>2883</v>
      </c>
      <c r="XBW1339" s="4" t="s">
        <v>2883</v>
      </c>
      <c r="XBX1339" s="4" t="s">
        <v>2883</v>
      </c>
      <c r="XBY1339" s="4" t="s">
        <v>2883</v>
      </c>
      <c r="XBZ1339" s="4" t="s">
        <v>2883</v>
      </c>
      <c r="XCA1339" s="4" t="s">
        <v>2883</v>
      </c>
      <c r="XCB1339" s="4" t="s">
        <v>2883</v>
      </c>
      <c r="XCC1339" s="4" t="s">
        <v>2883</v>
      </c>
      <c r="XCD1339" s="4" t="s">
        <v>2883</v>
      </c>
      <c r="XCE1339" s="4" t="s">
        <v>2883</v>
      </c>
      <c r="XCF1339" s="4" t="s">
        <v>2883</v>
      </c>
      <c r="XCG1339" s="4" t="s">
        <v>2883</v>
      </c>
      <c r="XCH1339" s="4" t="s">
        <v>2883</v>
      </c>
      <c r="XCI1339" s="4" t="s">
        <v>2883</v>
      </c>
      <c r="XCJ1339" s="4" t="s">
        <v>2883</v>
      </c>
      <c r="XCK1339" s="4" t="s">
        <v>2883</v>
      </c>
      <c r="XCL1339" s="4" t="s">
        <v>2883</v>
      </c>
      <c r="XCM1339" s="4" t="s">
        <v>2883</v>
      </c>
      <c r="XCN1339" s="4" t="s">
        <v>2883</v>
      </c>
      <c r="XCO1339" s="4" t="s">
        <v>2883</v>
      </c>
      <c r="XCP1339" s="4" t="s">
        <v>2883</v>
      </c>
      <c r="XCQ1339" s="4" t="s">
        <v>2883</v>
      </c>
      <c r="XCR1339" s="4" t="s">
        <v>2883</v>
      </c>
      <c r="XCS1339" s="4" t="s">
        <v>2883</v>
      </c>
      <c r="XCT1339" s="4" t="s">
        <v>2883</v>
      </c>
      <c r="XCU1339" s="4" t="s">
        <v>2883</v>
      </c>
      <c r="XCV1339" s="4" t="s">
        <v>2883</v>
      </c>
      <c r="XCW1339" s="4" t="s">
        <v>2883</v>
      </c>
      <c r="XCX1339" s="4" t="s">
        <v>2883</v>
      </c>
      <c r="XCY1339" s="4" t="s">
        <v>2883</v>
      </c>
      <c r="XCZ1339" s="4" t="s">
        <v>2883</v>
      </c>
      <c r="XDA1339" s="4" t="s">
        <v>2883</v>
      </c>
      <c r="XDB1339" s="4" t="s">
        <v>2883</v>
      </c>
      <c r="XDC1339" s="4" t="s">
        <v>2883</v>
      </c>
      <c r="XDD1339" s="4" t="s">
        <v>2883</v>
      </c>
      <c r="XDE1339" s="4" t="s">
        <v>2883</v>
      </c>
      <c r="XDF1339" s="4" t="s">
        <v>2883</v>
      </c>
      <c r="XDG1339" s="4" t="s">
        <v>2883</v>
      </c>
      <c r="XDH1339" s="4" t="s">
        <v>2883</v>
      </c>
      <c r="XDI1339" s="4" t="s">
        <v>2883</v>
      </c>
      <c r="XDJ1339" s="4" t="s">
        <v>2883</v>
      </c>
      <c r="XDK1339" s="4" t="s">
        <v>2883</v>
      </c>
      <c r="XDL1339" s="4" t="s">
        <v>2883</v>
      </c>
      <c r="XDM1339" s="4" t="s">
        <v>2883</v>
      </c>
      <c r="XDN1339" s="4" t="s">
        <v>2883</v>
      </c>
      <c r="XDO1339" s="4" t="s">
        <v>2883</v>
      </c>
      <c r="XDP1339" s="4" t="s">
        <v>2883</v>
      </c>
      <c r="XDQ1339" s="4" t="s">
        <v>2883</v>
      </c>
      <c r="XDR1339" s="4" t="s">
        <v>2883</v>
      </c>
      <c r="XDS1339" s="4" t="s">
        <v>2883</v>
      </c>
      <c r="XDT1339" s="4" t="s">
        <v>2883</v>
      </c>
      <c r="XDU1339" s="4" t="s">
        <v>2883</v>
      </c>
      <c r="XDV1339" s="4" t="s">
        <v>2883</v>
      </c>
      <c r="XDW1339" s="4" t="s">
        <v>2883</v>
      </c>
      <c r="XDX1339" s="4" t="s">
        <v>2883</v>
      </c>
      <c r="XDY1339" s="4" t="s">
        <v>2883</v>
      </c>
      <c r="XDZ1339" s="4" t="s">
        <v>2883</v>
      </c>
      <c r="XEA1339" s="4" t="s">
        <v>2883</v>
      </c>
      <c r="XEB1339" s="4" t="s">
        <v>2883</v>
      </c>
      <c r="XEC1339" s="4" t="s">
        <v>2883</v>
      </c>
      <c r="XED1339" s="4" t="s">
        <v>2883</v>
      </c>
      <c r="XEE1339" s="4" t="s">
        <v>2883</v>
      </c>
      <c r="XEF1339" s="4" t="s">
        <v>2883</v>
      </c>
      <c r="XEG1339" s="4" t="s">
        <v>2883</v>
      </c>
      <c r="XEH1339" s="4" t="s">
        <v>2883</v>
      </c>
      <c r="XEI1339" s="4" t="s">
        <v>2883</v>
      </c>
      <c r="XEJ1339" s="4" t="s">
        <v>2883</v>
      </c>
      <c r="XEK1339" s="4" t="s">
        <v>2883</v>
      </c>
      <c r="XEL1339" s="4" t="s">
        <v>2883</v>
      </c>
      <c r="XEM1339" s="4" t="s">
        <v>2883</v>
      </c>
      <c r="XEN1339" s="4" t="s">
        <v>2883</v>
      </c>
      <c r="XEO1339" s="4" t="s">
        <v>2883</v>
      </c>
      <c r="XEP1339" s="4" t="s">
        <v>2883</v>
      </c>
      <c r="XEQ1339" s="4" t="s">
        <v>2883</v>
      </c>
      <c r="XER1339" s="4" t="s">
        <v>2883</v>
      </c>
      <c r="XES1339" s="4" t="s">
        <v>2883</v>
      </c>
      <c r="XET1339" s="4" t="s">
        <v>2883</v>
      </c>
      <c r="XEU1339" s="4" t="s">
        <v>2883</v>
      </c>
      <c r="XEV1339" s="4" t="s">
        <v>2883</v>
      </c>
      <c r="XEW1339" s="4" t="s">
        <v>2883</v>
      </c>
      <c r="XEX1339" s="4" t="s">
        <v>2883</v>
      </c>
      <c r="XEY1339" s="4" t="s">
        <v>2883</v>
      </c>
      <c r="XEZ1339" s="4" t="s">
        <v>2883</v>
      </c>
      <c r="XFA1339" s="4" t="s">
        <v>2883</v>
      </c>
      <c r="XFB1339" s="4" t="s">
        <v>2883</v>
      </c>
    </row>
    <row r="1340" spans="1:5 1847:16382" x14ac:dyDescent="0.25">
      <c r="A1340" s="5" t="s">
        <v>1487</v>
      </c>
      <c r="B1340" s="6" t="s">
        <v>1486</v>
      </c>
      <c r="C1340" s="7" t="s">
        <v>24</v>
      </c>
      <c r="D1340" s="7" t="s">
        <v>25</v>
      </c>
      <c r="E1340" s="8" t="s">
        <v>4466</v>
      </c>
    </row>
    <row r="1341" spans="1:5 1847:16382" x14ac:dyDescent="0.25">
      <c r="A1341" s="5" t="s">
        <v>1489</v>
      </c>
      <c r="B1341" s="6" t="s">
        <v>1488</v>
      </c>
      <c r="C1341" s="7" t="s">
        <v>24</v>
      </c>
      <c r="D1341" s="7" t="s">
        <v>25</v>
      </c>
      <c r="E1341" s="8" t="s">
        <v>4458</v>
      </c>
    </row>
    <row r="1342" spans="1:5 1847:16382" x14ac:dyDescent="0.25">
      <c r="A1342" s="5" t="s">
        <v>1491</v>
      </c>
      <c r="B1342" s="6" t="s">
        <v>1490</v>
      </c>
      <c r="C1342" s="7" t="s">
        <v>24</v>
      </c>
      <c r="D1342" s="7" t="s">
        <v>64</v>
      </c>
      <c r="E1342" s="8" t="s">
        <v>573</v>
      </c>
    </row>
    <row r="1343" spans="1:5 1847:16382" x14ac:dyDescent="0.25">
      <c r="A1343" s="5" t="s">
        <v>1493</v>
      </c>
      <c r="B1343" s="6" t="s">
        <v>1492</v>
      </c>
      <c r="C1343" s="7" t="s">
        <v>24</v>
      </c>
      <c r="D1343" s="7" t="s">
        <v>25</v>
      </c>
      <c r="E1343" s="8" t="s">
        <v>4466</v>
      </c>
    </row>
    <row r="1344" spans="1:5 1847:16382" x14ac:dyDescent="0.25">
      <c r="A1344" s="5" t="s">
        <v>1495</v>
      </c>
      <c r="B1344" s="6" t="s">
        <v>1494</v>
      </c>
      <c r="C1344" s="7" t="s">
        <v>24</v>
      </c>
      <c r="D1344" s="7" t="s">
        <v>64</v>
      </c>
      <c r="E1344" s="8" t="s">
        <v>426</v>
      </c>
    </row>
    <row r="1345" spans="1:5" x14ac:dyDescent="0.25">
      <c r="A1345" s="12" t="s">
        <v>1497</v>
      </c>
      <c r="B1345" s="6" t="s">
        <v>1496</v>
      </c>
      <c r="C1345" s="13" t="s">
        <v>24</v>
      </c>
      <c r="D1345" s="13" t="s">
        <v>64</v>
      </c>
      <c r="E1345" s="8" t="s">
        <v>90</v>
      </c>
    </row>
    <row r="1346" spans="1:5" x14ac:dyDescent="0.25">
      <c r="A1346" s="12" t="s">
        <v>1499</v>
      </c>
      <c r="B1346" s="11" t="s">
        <v>1498</v>
      </c>
      <c r="C1346" s="13" t="s">
        <v>24</v>
      </c>
      <c r="D1346" s="13" t="s">
        <v>64</v>
      </c>
      <c r="E1346" s="8" t="s">
        <v>93</v>
      </c>
    </row>
    <row r="1347" spans="1:5" x14ac:dyDescent="0.25">
      <c r="A1347" s="12" t="s">
        <v>3057</v>
      </c>
      <c r="B1347" s="6" t="s">
        <v>3827</v>
      </c>
      <c r="C1347" s="13" t="s">
        <v>24</v>
      </c>
      <c r="D1347" s="13" t="s">
        <v>4456</v>
      </c>
      <c r="E1347" s="8" t="s">
        <v>4454</v>
      </c>
    </row>
    <row r="1348" spans="1:5" x14ac:dyDescent="0.25">
      <c r="A1348" s="5" t="s">
        <v>1501</v>
      </c>
      <c r="B1348" s="6" t="s">
        <v>1500</v>
      </c>
      <c r="C1348" s="7" t="s">
        <v>24</v>
      </c>
      <c r="D1348" s="7" t="s">
        <v>25</v>
      </c>
      <c r="E1348" s="8" t="s">
        <v>4457</v>
      </c>
    </row>
    <row r="1349" spans="1:5" x14ac:dyDescent="0.25">
      <c r="A1349" s="12" t="s">
        <v>1503</v>
      </c>
      <c r="B1349" s="6" t="s">
        <v>1502</v>
      </c>
      <c r="C1349" s="13" t="s">
        <v>24</v>
      </c>
      <c r="D1349" s="13" t="s">
        <v>25</v>
      </c>
      <c r="E1349" s="8" t="s">
        <v>4458</v>
      </c>
    </row>
    <row r="1350" spans="1:5" x14ac:dyDescent="0.25">
      <c r="A1350" s="5" t="s">
        <v>1505</v>
      </c>
      <c r="B1350" s="6" t="s">
        <v>1504</v>
      </c>
      <c r="C1350" s="7" t="s">
        <v>24</v>
      </c>
      <c r="D1350" s="7" t="s">
        <v>25</v>
      </c>
      <c r="E1350" s="8" t="s">
        <v>4459</v>
      </c>
    </row>
    <row r="1351" spans="1:5" x14ac:dyDescent="0.25">
      <c r="A1351" s="12" t="s">
        <v>3021</v>
      </c>
      <c r="B1351" s="6" t="s">
        <v>3790</v>
      </c>
      <c r="C1351" s="13" t="s">
        <v>24</v>
      </c>
      <c r="D1351" s="13" t="s">
        <v>4456</v>
      </c>
      <c r="E1351" s="8" t="s">
        <v>4454</v>
      </c>
    </row>
    <row r="1352" spans="1:5" x14ac:dyDescent="0.25">
      <c r="A1352" s="12" t="s">
        <v>3190</v>
      </c>
      <c r="B1352" s="6" t="s">
        <v>3961</v>
      </c>
      <c r="C1352" s="13" t="s">
        <v>24</v>
      </c>
      <c r="D1352" s="13" t="s">
        <v>4456</v>
      </c>
      <c r="E1352" s="8" t="s">
        <v>4454</v>
      </c>
    </row>
    <row r="1353" spans="1:5" x14ac:dyDescent="0.25">
      <c r="A1353" s="5" t="s">
        <v>3165</v>
      </c>
      <c r="B1353" s="6" t="s">
        <v>3936</v>
      </c>
      <c r="C1353" s="7" t="s">
        <v>24</v>
      </c>
      <c r="D1353" s="7" t="s">
        <v>4456</v>
      </c>
      <c r="E1353" s="8" t="s">
        <v>4454</v>
      </c>
    </row>
    <row r="1354" spans="1:5" x14ac:dyDescent="0.25">
      <c r="A1354" s="12" t="s">
        <v>3159</v>
      </c>
      <c r="B1354" s="6" t="s">
        <v>3930</v>
      </c>
      <c r="C1354" s="13" t="s">
        <v>24</v>
      </c>
      <c r="D1354" s="13" t="s">
        <v>4456</v>
      </c>
      <c r="E1354" s="8" t="s">
        <v>4454</v>
      </c>
    </row>
    <row r="1355" spans="1:5" x14ac:dyDescent="0.25">
      <c r="A1355" s="12" t="s">
        <v>2916</v>
      </c>
      <c r="B1355" s="6" t="s">
        <v>3677</v>
      </c>
      <c r="C1355" s="13" t="s">
        <v>24</v>
      </c>
      <c r="D1355" s="13" t="s">
        <v>4456</v>
      </c>
      <c r="E1355" s="8" t="s">
        <v>4454</v>
      </c>
    </row>
    <row r="1356" spans="1:5" x14ac:dyDescent="0.25">
      <c r="A1356" s="5" t="s">
        <v>3537</v>
      </c>
      <c r="B1356" s="6" t="s">
        <v>4311</v>
      </c>
      <c r="C1356" s="7" t="s">
        <v>24</v>
      </c>
      <c r="D1356" s="7" t="s">
        <v>4456</v>
      </c>
      <c r="E1356" s="8" t="s">
        <v>4454</v>
      </c>
    </row>
    <row r="1357" spans="1:5" x14ac:dyDescent="0.25">
      <c r="A1357" s="5" t="s">
        <v>3481</v>
      </c>
      <c r="B1357" s="6" t="s">
        <v>4255</v>
      </c>
      <c r="C1357" s="7" t="s">
        <v>24</v>
      </c>
      <c r="D1357" s="7" t="s">
        <v>4456</v>
      </c>
      <c r="E1357" s="8" t="s">
        <v>4454</v>
      </c>
    </row>
    <row r="1358" spans="1:5" x14ac:dyDescent="0.25">
      <c r="A1358" s="5" t="s">
        <v>3513</v>
      </c>
      <c r="B1358" s="6" t="s">
        <v>4287</v>
      </c>
      <c r="C1358" s="7" t="s">
        <v>24</v>
      </c>
      <c r="D1358" s="7" t="s">
        <v>4456</v>
      </c>
      <c r="E1358" s="8" t="s">
        <v>4454</v>
      </c>
    </row>
    <row r="1359" spans="1:5" x14ac:dyDescent="0.25">
      <c r="A1359" s="5" t="s">
        <v>3166</v>
      </c>
      <c r="B1359" s="6" t="s">
        <v>3937</v>
      </c>
      <c r="C1359" s="7" t="s">
        <v>24</v>
      </c>
      <c r="D1359" s="7" t="s">
        <v>4456</v>
      </c>
      <c r="E1359" s="8" t="s">
        <v>4454</v>
      </c>
    </row>
    <row r="1360" spans="1:5" x14ac:dyDescent="0.25">
      <c r="A1360" s="5" t="s">
        <v>3160</v>
      </c>
      <c r="B1360" s="6" t="s">
        <v>3931</v>
      </c>
      <c r="C1360" s="7" t="s">
        <v>24</v>
      </c>
      <c r="D1360" s="7" t="s">
        <v>4456</v>
      </c>
      <c r="E1360" s="8" t="s">
        <v>4454</v>
      </c>
    </row>
    <row r="1361" spans="1:5" x14ac:dyDescent="0.25">
      <c r="A1361" s="12" t="s">
        <v>2917</v>
      </c>
      <c r="B1361" s="6" t="s">
        <v>3678</v>
      </c>
      <c r="C1361" s="13" t="s">
        <v>24</v>
      </c>
      <c r="D1361" s="13" t="s">
        <v>4456</v>
      </c>
      <c r="E1361" s="8" t="s">
        <v>4454</v>
      </c>
    </row>
    <row r="1362" spans="1:5" x14ac:dyDescent="0.25">
      <c r="A1362" s="12" t="s">
        <v>3167</v>
      </c>
      <c r="B1362" s="6" t="s">
        <v>3938</v>
      </c>
      <c r="C1362" s="13" t="s">
        <v>24</v>
      </c>
      <c r="D1362" s="13" t="s">
        <v>4456</v>
      </c>
      <c r="E1362" s="8" t="s">
        <v>4454</v>
      </c>
    </row>
    <row r="1363" spans="1:5" x14ac:dyDescent="0.25">
      <c r="A1363" s="5" t="s">
        <v>3161</v>
      </c>
      <c r="B1363" s="6" t="s">
        <v>3932</v>
      </c>
      <c r="C1363" s="7" t="s">
        <v>24</v>
      </c>
      <c r="D1363" s="7" t="s">
        <v>4456</v>
      </c>
      <c r="E1363" s="8" t="s">
        <v>4454</v>
      </c>
    </row>
    <row r="1364" spans="1:5" x14ac:dyDescent="0.25">
      <c r="A1364" s="5" t="s">
        <v>2918</v>
      </c>
      <c r="B1364" s="6" t="s">
        <v>3679</v>
      </c>
      <c r="C1364" s="7" t="s">
        <v>24</v>
      </c>
      <c r="D1364" s="7" t="s">
        <v>4456</v>
      </c>
      <c r="E1364" s="8" t="s">
        <v>4454</v>
      </c>
    </row>
    <row r="1365" spans="1:5" x14ac:dyDescent="0.25">
      <c r="A1365" s="5" t="s">
        <v>3482</v>
      </c>
      <c r="B1365" s="6" t="s">
        <v>4256</v>
      </c>
      <c r="C1365" s="7" t="s">
        <v>24</v>
      </c>
      <c r="D1365" s="7" t="s">
        <v>4456</v>
      </c>
      <c r="E1365" s="8" t="s">
        <v>4454</v>
      </c>
    </row>
    <row r="1366" spans="1:5" x14ac:dyDescent="0.25">
      <c r="A1366" s="5" t="s">
        <v>3483</v>
      </c>
      <c r="B1366" s="6" t="s">
        <v>4257</v>
      </c>
      <c r="C1366" s="7" t="s">
        <v>24</v>
      </c>
      <c r="D1366" s="7" t="s">
        <v>4456</v>
      </c>
      <c r="E1366" s="8" t="s">
        <v>4454</v>
      </c>
    </row>
    <row r="1367" spans="1:5" x14ac:dyDescent="0.25">
      <c r="A1367" s="5" t="s">
        <v>3563</v>
      </c>
      <c r="B1367" s="6" t="s">
        <v>4338</v>
      </c>
      <c r="C1367" s="7" t="s">
        <v>24</v>
      </c>
      <c r="D1367" s="7" t="s">
        <v>4456</v>
      </c>
      <c r="E1367" s="8" t="s">
        <v>4454</v>
      </c>
    </row>
    <row r="1368" spans="1:5" x14ac:dyDescent="0.25">
      <c r="A1368" s="5" t="s">
        <v>1507</v>
      </c>
      <c r="B1368" s="6" t="s">
        <v>1506</v>
      </c>
      <c r="C1368" s="7" t="s">
        <v>24</v>
      </c>
      <c r="D1368" s="7" t="s">
        <v>64</v>
      </c>
      <c r="E1368" s="8" t="s">
        <v>65</v>
      </c>
    </row>
    <row r="1369" spans="1:5" x14ac:dyDescent="0.25">
      <c r="A1369" s="5" t="s">
        <v>3168</v>
      </c>
      <c r="B1369" s="6" t="s">
        <v>3939</v>
      </c>
      <c r="C1369" s="7" t="s">
        <v>24</v>
      </c>
      <c r="D1369" s="7" t="s">
        <v>4456</v>
      </c>
      <c r="E1369" s="8" t="s">
        <v>4454</v>
      </c>
    </row>
    <row r="1370" spans="1:5" x14ac:dyDescent="0.25">
      <c r="A1370" s="12" t="s">
        <v>3162</v>
      </c>
      <c r="B1370" s="6" t="s">
        <v>3933</v>
      </c>
      <c r="C1370" s="13" t="s">
        <v>24</v>
      </c>
      <c r="D1370" s="13" t="s">
        <v>4456</v>
      </c>
      <c r="E1370" s="8" t="s">
        <v>4454</v>
      </c>
    </row>
    <row r="1371" spans="1:5" x14ac:dyDescent="0.25">
      <c r="A1371" s="12" t="s">
        <v>3240</v>
      </c>
      <c r="B1371" s="6" t="s">
        <v>4011</v>
      </c>
      <c r="C1371" s="13" t="s">
        <v>24</v>
      </c>
      <c r="D1371" s="13" t="s">
        <v>4456</v>
      </c>
      <c r="E1371" s="8" t="s">
        <v>4454</v>
      </c>
    </row>
    <row r="1372" spans="1:5" x14ac:dyDescent="0.25">
      <c r="A1372" s="12" t="s">
        <v>3242</v>
      </c>
      <c r="B1372" s="6" t="s">
        <v>4013</v>
      </c>
      <c r="C1372" s="13" t="s">
        <v>24</v>
      </c>
      <c r="D1372" s="13" t="s">
        <v>4456</v>
      </c>
      <c r="E1372" s="8" t="s">
        <v>4454</v>
      </c>
    </row>
    <row r="1373" spans="1:5" x14ac:dyDescent="0.25">
      <c r="A1373" s="12" t="s">
        <v>3241</v>
      </c>
      <c r="B1373" s="6" t="s">
        <v>4012</v>
      </c>
      <c r="C1373" s="13" t="s">
        <v>24</v>
      </c>
      <c r="D1373" s="13" t="s">
        <v>4456</v>
      </c>
      <c r="E1373" s="8" t="s">
        <v>4454</v>
      </c>
    </row>
    <row r="1374" spans="1:5" x14ac:dyDescent="0.25">
      <c r="A1374" s="5" t="s">
        <v>2921</v>
      </c>
      <c r="B1374" s="6" t="s">
        <v>3682</v>
      </c>
      <c r="C1374" s="7" t="s">
        <v>24</v>
      </c>
      <c r="D1374" s="7" t="s">
        <v>4456</v>
      </c>
      <c r="E1374" s="8" t="s">
        <v>4454</v>
      </c>
    </row>
    <row r="1375" spans="1:5" x14ac:dyDescent="0.25">
      <c r="A1375" s="5" t="s">
        <v>3050</v>
      </c>
      <c r="B1375" s="6" t="s">
        <v>3820</v>
      </c>
      <c r="C1375" s="7" t="s">
        <v>24</v>
      </c>
      <c r="D1375" s="7" t="s">
        <v>4456</v>
      </c>
      <c r="E1375" s="8" t="s">
        <v>4454</v>
      </c>
    </row>
    <row r="1376" spans="1:5" x14ac:dyDescent="0.25">
      <c r="A1376" s="5" t="s">
        <v>3484</v>
      </c>
      <c r="B1376" s="6" t="s">
        <v>4258</v>
      </c>
      <c r="C1376" s="7" t="s">
        <v>24</v>
      </c>
      <c r="D1376" s="7" t="s">
        <v>4456</v>
      </c>
      <c r="E1376" s="8" t="s">
        <v>4454</v>
      </c>
    </row>
    <row r="1377" spans="1:5" x14ac:dyDescent="0.25">
      <c r="A1377" s="5" t="s">
        <v>2919</v>
      </c>
      <c r="B1377" s="6" t="s">
        <v>3680</v>
      </c>
      <c r="C1377" s="7" t="s">
        <v>24</v>
      </c>
      <c r="D1377" s="7" t="s">
        <v>4456</v>
      </c>
      <c r="E1377" s="8" t="s">
        <v>4454</v>
      </c>
    </row>
    <row r="1378" spans="1:5" x14ac:dyDescent="0.25">
      <c r="A1378" s="5" t="s">
        <v>3169</v>
      </c>
      <c r="B1378" s="6" t="s">
        <v>3940</v>
      </c>
      <c r="C1378" s="7" t="s">
        <v>24</v>
      </c>
      <c r="D1378" s="7" t="s">
        <v>4456</v>
      </c>
      <c r="E1378" s="8" t="s">
        <v>4454</v>
      </c>
    </row>
    <row r="1379" spans="1:5" x14ac:dyDescent="0.25">
      <c r="A1379" s="5" t="s">
        <v>3163</v>
      </c>
      <c r="B1379" s="6" t="s">
        <v>3934</v>
      </c>
      <c r="C1379" s="7" t="s">
        <v>24</v>
      </c>
      <c r="D1379" s="7" t="s">
        <v>4456</v>
      </c>
      <c r="E1379" s="8" t="s">
        <v>4454</v>
      </c>
    </row>
    <row r="1380" spans="1:5" x14ac:dyDescent="0.25">
      <c r="A1380" s="5" t="s">
        <v>3170</v>
      </c>
      <c r="B1380" s="6" t="s">
        <v>3941</v>
      </c>
      <c r="C1380" s="7" t="s">
        <v>24</v>
      </c>
      <c r="D1380" s="7" t="s">
        <v>4456</v>
      </c>
      <c r="E1380" s="8" t="s">
        <v>4454</v>
      </c>
    </row>
    <row r="1381" spans="1:5" x14ac:dyDescent="0.25">
      <c r="A1381" s="5" t="s">
        <v>3164</v>
      </c>
      <c r="B1381" s="6" t="s">
        <v>3935</v>
      </c>
      <c r="C1381" s="7" t="s">
        <v>24</v>
      </c>
      <c r="D1381" s="7" t="s">
        <v>4456</v>
      </c>
      <c r="E1381" s="8" t="s">
        <v>4454</v>
      </c>
    </row>
    <row r="1382" spans="1:5" x14ac:dyDescent="0.25">
      <c r="A1382" s="5" t="s">
        <v>3485</v>
      </c>
      <c r="B1382" s="6" t="s">
        <v>4259</v>
      </c>
      <c r="C1382" s="7" t="s">
        <v>24</v>
      </c>
      <c r="D1382" s="7" t="s">
        <v>4456</v>
      </c>
      <c r="E1382" s="8" t="s">
        <v>4454</v>
      </c>
    </row>
    <row r="1383" spans="1:5" x14ac:dyDescent="0.25">
      <c r="A1383" s="5" t="s">
        <v>3486</v>
      </c>
      <c r="B1383" s="6" t="s">
        <v>4260</v>
      </c>
      <c r="C1383" s="7" t="s">
        <v>24</v>
      </c>
      <c r="D1383" s="7" t="s">
        <v>4456</v>
      </c>
      <c r="E1383" s="8" t="s">
        <v>4454</v>
      </c>
    </row>
    <row r="1384" spans="1:5" x14ac:dyDescent="0.25">
      <c r="A1384" s="5" t="s">
        <v>3322</v>
      </c>
      <c r="B1384" s="6" t="s">
        <v>4096</v>
      </c>
      <c r="C1384" s="7" t="s">
        <v>24</v>
      </c>
      <c r="D1384" s="7" t="s">
        <v>4456</v>
      </c>
      <c r="E1384" s="8" t="s">
        <v>90</v>
      </c>
    </row>
    <row r="1385" spans="1:5" x14ac:dyDescent="0.25">
      <c r="A1385" s="5" t="s">
        <v>3321</v>
      </c>
      <c r="B1385" s="6" t="s">
        <v>4095</v>
      </c>
      <c r="C1385" s="7" t="s">
        <v>24</v>
      </c>
      <c r="D1385" s="7" t="s">
        <v>4456</v>
      </c>
      <c r="E1385" s="8" t="s">
        <v>87</v>
      </c>
    </row>
    <row r="1386" spans="1:5" x14ac:dyDescent="0.25">
      <c r="A1386" s="5" t="s">
        <v>3320</v>
      </c>
      <c r="B1386" s="6" t="s">
        <v>4094</v>
      </c>
      <c r="C1386" s="7" t="s">
        <v>24</v>
      </c>
      <c r="D1386" s="7" t="s">
        <v>4456</v>
      </c>
      <c r="E1386" s="8" t="s">
        <v>65</v>
      </c>
    </row>
    <row r="1387" spans="1:5" x14ac:dyDescent="0.25">
      <c r="A1387" s="5" t="s">
        <v>1509</v>
      </c>
      <c r="B1387" s="6" t="s">
        <v>1508</v>
      </c>
      <c r="C1387" s="7" t="s">
        <v>24</v>
      </c>
      <c r="D1387" s="7" t="s">
        <v>64</v>
      </c>
      <c r="E1387" s="8" t="s">
        <v>68</v>
      </c>
    </row>
    <row r="1388" spans="1:5" x14ac:dyDescent="0.25">
      <c r="A1388" s="5" t="s">
        <v>1511</v>
      </c>
      <c r="B1388" s="6" t="s">
        <v>1510</v>
      </c>
      <c r="C1388" s="7" t="s">
        <v>24</v>
      </c>
      <c r="D1388" s="7" t="s">
        <v>64</v>
      </c>
      <c r="E1388" s="8" t="s">
        <v>65</v>
      </c>
    </row>
    <row r="1389" spans="1:5" x14ac:dyDescent="0.25">
      <c r="A1389" s="5" t="s">
        <v>1513</v>
      </c>
      <c r="B1389" s="6" t="s">
        <v>1512</v>
      </c>
      <c r="C1389" s="7" t="s">
        <v>24</v>
      </c>
      <c r="D1389" s="7" t="s">
        <v>25</v>
      </c>
      <c r="E1389" s="8" t="s">
        <v>4457</v>
      </c>
    </row>
    <row r="1390" spans="1:5" x14ac:dyDescent="0.25">
      <c r="A1390" s="5" t="s">
        <v>1515</v>
      </c>
      <c r="B1390" s="6" t="s">
        <v>1514</v>
      </c>
      <c r="C1390" s="7" t="s">
        <v>24</v>
      </c>
      <c r="D1390" s="7" t="s">
        <v>25</v>
      </c>
      <c r="E1390" s="8" t="s">
        <v>4458</v>
      </c>
    </row>
    <row r="1391" spans="1:5" x14ac:dyDescent="0.25">
      <c r="A1391" s="5" t="s">
        <v>1517</v>
      </c>
      <c r="B1391" s="6" t="s">
        <v>1516</v>
      </c>
      <c r="C1391" s="7" t="s">
        <v>24</v>
      </c>
      <c r="D1391" s="7" t="s">
        <v>25</v>
      </c>
      <c r="E1391" s="8" t="s">
        <v>4459</v>
      </c>
    </row>
    <row r="1392" spans="1:5" x14ac:dyDescent="0.25">
      <c r="A1392" s="12" t="s">
        <v>1519</v>
      </c>
      <c r="B1392" s="6" t="s">
        <v>1518</v>
      </c>
      <c r="C1392" s="13" t="s">
        <v>24</v>
      </c>
      <c r="D1392" s="13" t="s">
        <v>25</v>
      </c>
      <c r="E1392" s="8" t="s">
        <v>4461</v>
      </c>
    </row>
    <row r="1393" spans="1:5" x14ac:dyDescent="0.25">
      <c r="A1393" s="12" t="s">
        <v>1521</v>
      </c>
      <c r="B1393" s="6" t="s">
        <v>1520</v>
      </c>
      <c r="C1393" s="13" t="s">
        <v>24</v>
      </c>
      <c r="D1393" s="13" t="s">
        <v>25</v>
      </c>
      <c r="E1393" s="8" t="s">
        <v>4458</v>
      </c>
    </row>
    <row r="1394" spans="1:5" x14ac:dyDescent="0.25">
      <c r="A1394" s="12" t="s">
        <v>1523</v>
      </c>
      <c r="B1394" s="6" t="s">
        <v>1522</v>
      </c>
      <c r="C1394" s="13" t="s">
        <v>24</v>
      </c>
      <c r="D1394" s="13" t="s">
        <v>25</v>
      </c>
      <c r="E1394" s="8" t="s">
        <v>4466</v>
      </c>
    </row>
    <row r="1395" spans="1:5" x14ac:dyDescent="0.25">
      <c r="A1395" s="12" t="s">
        <v>1525</v>
      </c>
      <c r="B1395" s="6" t="s">
        <v>1524</v>
      </c>
      <c r="C1395" s="13" t="s">
        <v>24</v>
      </c>
      <c r="D1395" s="13" t="s">
        <v>25</v>
      </c>
      <c r="E1395" s="8" t="s">
        <v>4468</v>
      </c>
    </row>
    <row r="1396" spans="1:5" x14ac:dyDescent="0.25">
      <c r="A1396" s="5" t="s">
        <v>3191</v>
      </c>
      <c r="B1396" s="6" t="s">
        <v>3962</v>
      </c>
      <c r="C1396" s="7" t="s">
        <v>24</v>
      </c>
      <c r="D1396" s="7" t="s">
        <v>4456</v>
      </c>
      <c r="E1396" s="8" t="s">
        <v>4454</v>
      </c>
    </row>
    <row r="1397" spans="1:5" x14ac:dyDescent="0.25">
      <c r="A1397" s="5" t="s">
        <v>1527</v>
      </c>
      <c r="B1397" s="6" t="s">
        <v>1526</v>
      </c>
      <c r="C1397" s="7" t="s">
        <v>24</v>
      </c>
      <c r="D1397" s="7" t="s">
        <v>25</v>
      </c>
      <c r="E1397" s="8" t="s">
        <v>4458</v>
      </c>
    </row>
    <row r="1398" spans="1:5" x14ac:dyDescent="0.25">
      <c r="A1398" s="5" t="s">
        <v>1529</v>
      </c>
      <c r="B1398" s="6" t="s">
        <v>1528</v>
      </c>
      <c r="C1398" s="7" t="s">
        <v>24</v>
      </c>
      <c r="D1398" s="7" t="s">
        <v>25</v>
      </c>
      <c r="E1398" s="8" t="s">
        <v>4459</v>
      </c>
    </row>
    <row r="1399" spans="1:5" x14ac:dyDescent="0.25">
      <c r="A1399" s="5" t="s">
        <v>1531</v>
      </c>
      <c r="B1399" s="6" t="s">
        <v>1530</v>
      </c>
      <c r="C1399" s="7" t="s">
        <v>24</v>
      </c>
      <c r="D1399" s="7" t="s">
        <v>25</v>
      </c>
      <c r="E1399" s="8" t="s">
        <v>4460</v>
      </c>
    </row>
    <row r="1400" spans="1:5" x14ac:dyDescent="0.25">
      <c r="A1400" s="5" t="s">
        <v>1533</v>
      </c>
      <c r="B1400" s="6" t="s">
        <v>1532</v>
      </c>
      <c r="C1400" s="7" t="s">
        <v>24</v>
      </c>
      <c r="D1400" s="7" t="s">
        <v>25</v>
      </c>
      <c r="E1400" s="8" t="s">
        <v>4459</v>
      </c>
    </row>
    <row r="1401" spans="1:5" x14ac:dyDescent="0.25">
      <c r="A1401" s="5" t="s">
        <v>1535</v>
      </c>
      <c r="B1401" s="6" t="s">
        <v>1534</v>
      </c>
      <c r="C1401" s="13" t="s">
        <v>24</v>
      </c>
      <c r="D1401" s="13" t="s">
        <v>25</v>
      </c>
      <c r="E1401" s="8" t="s">
        <v>4459</v>
      </c>
    </row>
    <row r="1402" spans="1:5" x14ac:dyDescent="0.25">
      <c r="A1402" s="5" t="s">
        <v>1537</v>
      </c>
      <c r="B1402" s="6" t="s">
        <v>1536</v>
      </c>
      <c r="C1402" s="7" t="s">
        <v>24</v>
      </c>
      <c r="D1402" s="7" t="s">
        <v>25</v>
      </c>
      <c r="E1402" s="8" t="s">
        <v>4460</v>
      </c>
    </row>
    <row r="1403" spans="1:5" x14ac:dyDescent="0.25">
      <c r="A1403" s="5" t="s">
        <v>1539</v>
      </c>
      <c r="B1403" s="6" t="s">
        <v>1538</v>
      </c>
      <c r="C1403" s="7" t="s">
        <v>24</v>
      </c>
      <c r="D1403" s="7" t="s">
        <v>25</v>
      </c>
      <c r="E1403" s="8" t="s">
        <v>4461</v>
      </c>
    </row>
    <row r="1404" spans="1:5" x14ac:dyDescent="0.25">
      <c r="A1404" s="5" t="s">
        <v>1541</v>
      </c>
      <c r="B1404" s="6" t="s">
        <v>1540</v>
      </c>
      <c r="C1404" s="7" t="s">
        <v>24</v>
      </c>
      <c r="D1404" s="7" t="s">
        <v>25</v>
      </c>
      <c r="E1404" s="8" t="s">
        <v>4462</v>
      </c>
    </row>
    <row r="1405" spans="1:5" x14ac:dyDescent="0.25">
      <c r="A1405" s="5" t="s">
        <v>1543</v>
      </c>
      <c r="B1405" s="6" t="s">
        <v>1542</v>
      </c>
      <c r="C1405" s="7" t="s">
        <v>24</v>
      </c>
      <c r="D1405" s="7" t="s">
        <v>25</v>
      </c>
      <c r="E1405" s="8" t="s">
        <v>4464</v>
      </c>
    </row>
    <row r="1406" spans="1:5" x14ac:dyDescent="0.25">
      <c r="A1406" s="5" t="s">
        <v>1545</v>
      </c>
      <c r="B1406" s="6" t="s">
        <v>1544</v>
      </c>
      <c r="C1406" s="7" t="s">
        <v>24</v>
      </c>
      <c r="D1406" s="7" t="s">
        <v>25</v>
      </c>
      <c r="E1406" s="8" t="s">
        <v>4458</v>
      </c>
    </row>
    <row r="1407" spans="1:5" x14ac:dyDescent="0.25">
      <c r="A1407" s="5" t="s">
        <v>1547</v>
      </c>
      <c r="B1407" s="6" t="s">
        <v>1546</v>
      </c>
      <c r="C1407" s="7" t="s">
        <v>24</v>
      </c>
      <c r="D1407" s="7" t="s">
        <v>25</v>
      </c>
      <c r="E1407" s="8" t="s">
        <v>4459</v>
      </c>
    </row>
    <row r="1408" spans="1:5" x14ac:dyDescent="0.25">
      <c r="A1408" s="5" t="s">
        <v>1549</v>
      </c>
      <c r="B1408" s="6" t="s">
        <v>1548</v>
      </c>
      <c r="C1408" s="7" t="s">
        <v>24</v>
      </c>
      <c r="D1408" s="7" t="s">
        <v>25</v>
      </c>
      <c r="E1408" s="8" t="s">
        <v>4461</v>
      </c>
    </row>
    <row r="1409" spans="1:5" x14ac:dyDescent="0.25">
      <c r="A1409" s="5" t="s">
        <v>1551</v>
      </c>
      <c r="B1409" s="6" t="s">
        <v>1550</v>
      </c>
      <c r="C1409" s="7" t="s">
        <v>24</v>
      </c>
      <c r="D1409" s="7" t="s">
        <v>25</v>
      </c>
      <c r="E1409" s="8" t="s">
        <v>4462</v>
      </c>
    </row>
    <row r="1410" spans="1:5" x14ac:dyDescent="0.25">
      <c r="A1410" s="5" t="s">
        <v>1553</v>
      </c>
      <c r="B1410" s="9" t="s">
        <v>1552</v>
      </c>
      <c r="C1410" s="7" t="s">
        <v>24</v>
      </c>
      <c r="D1410" s="7" t="s">
        <v>25</v>
      </c>
      <c r="E1410" s="8" t="s">
        <v>4463</v>
      </c>
    </row>
    <row r="1411" spans="1:5" x14ac:dyDescent="0.25">
      <c r="A1411" s="5" t="s">
        <v>1555</v>
      </c>
      <c r="B1411" s="6" t="s">
        <v>1554</v>
      </c>
      <c r="C1411" s="7" t="s">
        <v>24</v>
      </c>
      <c r="D1411" s="7" t="s">
        <v>64</v>
      </c>
      <c r="E1411" s="8" t="s">
        <v>68</v>
      </c>
    </row>
    <row r="1412" spans="1:5" x14ac:dyDescent="0.25">
      <c r="A1412" s="5" t="s">
        <v>1557</v>
      </c>
      <c r="B1412" s="6" t="s">
        <v>1556</v>
      </c>
      <c r="C1412" s="7" t="s">
        <v>24</v>
      </c>
      <c r="D1412" s="7" t="s">
        <v>25</v>
      </c>
      <c r="E1412" s="8" t="s">
        <v>4464</v>
      </c>
    </row>
    <row r="1413" spans="1:5" x14ac:dyDescent="0.25">
      <c r="A1413" s="5" t="s">
        <v>1559</v>
      </c>
      <c r="B1413" s="6" t="s">
        <v>1558</v>
      </c>
      <c r="C1413" s="7" t="s">
        <v>24</v>
      </c>
      <c r="D1413" s="7" t="s">
        <v>25</v>
      </c>
      <c r="E1413" s="8" t="s">
        <v>4462</v>
      </c>
    </row>
    <row r="1414" spans="1:5" x14ac:dyDescent="0.25">
      <c r="A1414" s="5" t="s">
        <v>1561</v>
      </c>
      <c r="B1414" s="6" t="s">
        <v>1560</v>
      </c>
      <c r="C1414" s="7" t="s">
        <v>24</v>
      </c>
      <c r="D1414" s="7" t="s">
        <v>25</v>
      </c>
      <c r="E1414" s="8" t="s">
        <v>4464</v>
      </c>
    </row>
    <row r="1415" spans="1:5" x14ac:dyDescent="0.25">
      <c r="A1415" s="5" t="s">
        <v>1563</v>
      </c>
      <c r="B1415" s="6" t="s">
        <v>1562</v>
      </c>
      <c r="C1415" s="7" t="s">
        <v>24</v>
      </c>
      <c r="D1415" s="7" t="s">
        <v>25</v>
      </c>
      <c r="E1415" s="8" t="s">
        <v>4458</v>
      </c>
    </row>
    <row r="1416" spans="1:5" x14ac:dyDescent="0.25">
      <c r="A1416" s="5" t="s">
        <v>1565</v>
      </c>
      <c r="B1416" s="6" t="s">
        <v>1564</v>
      </c>
      <c r="C1416" s="7" t="s">
        <v>24</v>
      </c>
      <c r="D1416" s="7" t="s">
        <v>25</v>
      </c>
      <c r="E1416" s="8" t="s">
        <v>4461</v>
      </c>
    </row>
    <row r="1417" spans="1:5" x14ac:dyDescent="0.25">
      <c r="A1417" s="5" t="s">
        <v>1567</v>
      </c>
      <c r="B1417" s="6" t="s">
        <v>1566</v>
      </c>
      <c r="C1417" s="7" t="s">
        <v>24</v>
      </c>
      <c r="D1417" s="7" t="s">
        <v>25</v>
      </c>
      <c r="E1417" s="8" t="s">
        <v>4465</v>
      </c>
    </row>
    <row r="1418" spans="1:5" x14ac:dyDescent="0.25">
      <c r="A1418" s="5" t="s">
        <v>1569</v>
      </c>
      <c r="B1418" s="6" t="s">
        <v>1568</v>
      </c>
      <c r="C1418" s="7" t="s">
        <v>24</v>
      </c>
      <c r="D1418" s="7" t="s">
        <v>25</v>
      </c>
      <c r="E1418" s="8" t="s">
        <v>4460</v>
      </c>
    </row>
    <row r="1419" spans="1:5" x14ac:dyDescent="0.25">
      <c r="A1419" s="5" t="s">
        <v>1571</v>
      </c>
      <c r="B1419" s="6" t="s">
        <v>1570</v>
      </c>
      <c r="C1419" s="7" t="s">
        <v>24</v>
      </c>
      <c r="D1419" s="7" t="s">
        <v>25</v>
      </c>
      <c r="E1419" s="8" t="s">
        <v>4458</v>
      </c>
    </row>
    <row r="1420" spans="1:5" x14ac:dyDescent="0.25">
      <c r="A1420" s="5" t="s">
        <v>1573</v>
      </c>
      <c r="B1420" s="6" t="s">
        <v>1572</v>
      </c>
      <c r="C1420" s="7" t="s">
        <v>24</v>
      </c>
      <c r="D1420" s="7" t="s">
        <v>25</v>
      </c>
      <c r="E1420" s="8" t="s">
        <v>4459</v>
      </c>
    </row>
    <row r="1421" spans="1:5" x14ac:dyDescent="0.25">
      <c r="A1421" s="5" t="s">
        <v>1575</v>
      </c>
      <c r="B1421" s="6" t="s">
        <v>1574</v>
      </c>
      <c r="C1421" s="7" t="s">
        <v>24</v>
      </c>
      <c r="D1421" s="7" t="s">
        <v>25</v>
      </c>
      <c r="E1421" s="8" t="s">
        <v>4461</v>
      </c>
    </row>
    <row r="1422" spans="1:5" x14ac:dyDescent="0.25">
      <c r="A1422" s="5" t="s">
        <v>1577</v>
      </c>
      <c r="B1422" s="6" t="s">
        <v>1576</v>
      </c>
      <c r="C1422" s="7" t="s">
        <v>24</v>
      </c>
      <c r="D1422" s="7" t="s">
        <v>25</v>
      </c>
      <c r="E1422" s="8" t="s">
        <v>4462</v>
      </c>
    </row>
    <row r="1423" spans="1:5" x14ac:dyDescent="0.25">
      <c r="A1423" s="5" t="s">
        <v>1579</v>
      </c>
      <c r="B1423" s="6" t="s">
        <v>1578</v>
      </c>
      <c r="C1423" s="7" t="s">
        <v>24</v>
      </c>
      <c r="D1423" s="7" t="s">
        <v>25</v>
      </c>
      <c r="E1423" s="8" t="s">
        <v>4463</v>
      </c>
    </row>
    <row r="1424" spans="1:5" x14ac:dyDescent="0.25">
      <c r="A1424" s="5" t="s">
        <v>3631</v>
      </c>
      <c r="B1424" s="6" t="s">
        <v>4408</v>
      </c>
      <c r="C1424" s="7" t="s">
        <v>24</v>
      </c>
      <c r="D1424" s="7" t="s">
        <v>4456</v>
      </c>
      <c r="E1424" s="8" t="s">
        <v>68</v>
      </c>
    </row>
    <row r="1425" spans="1:5" x14ac:dyDescent="0.25">
      <c r="A1425" s="5" t="s">
        <v>1581</v>
      </c>
      <c r="B1425" s="6" t="s">
        <v>1580</v>
      </c>
      <c r="C1425" s="7" t="s">
        <v>24</v>
      </c>
      <c r="D1425" s="7" t="s">
        <v>25</v>
      </c>
      <c r="E1425" s="8" t="s">
        <v>4458</v>
      </c>
    </row>
    <row r="1426" spans="1:5" x14ac:dyDescent="0.25">
      <c r="A1426" s="5" t="s">
        <v>1583</v>
      </c>
      <c r="B1426" s="6" t="s">
        <v>1582</v>
      </c>
      <c r="C1426" s="7" t="s">
        <v>24</v>
      </c>
      <c r="D1426" s="7" t="s">
        <v>321</v>
      </c>
      <c r="E1426" s="8" t="s">
        <v>4455</v>
      </c>
    </row>
    <row r="1427" spans="1:5" x14ac:dyDescent="0.25">
      <c r="A1427" s="5" t="s">
        <v>1585</v>
      </c>
      <c r="B1427" s="6" t="s">
        <v>1584</v>
      </c>
      <c r="C1427" s="7" t="s">
        <v>24</v>
      </c>
      <c r="D1427" s="7" t="s">
        <v>321</v>
      </c>
      <c r="E1427" s="8" t="s">
        <v>4455</v>
      </c>
    </row>
    <row r="1428" spans="1:5" x14ac:dyDescent="0.25">
      <c r="A1428" s="12" t="s">
        <v>1587</v>
      </c>
      <c r="B1428" s="6" t="s">
        <v>1586</v>
      </c>
      <c r="C1428" s="13" t="s">
        <v>24</v>
      </c>
      <c r="D1428" s="13" t="s">
        <v>321</v>
      </c>
      <c r="E1428" s="10" t="s">
        <v>4455</v>
      </c>
    </row>
    <row r="1429" spans="1:5" x14ac:dyDescent="0.25">
      <c r="A1429" s="5" t="s">
        <v>1589</v>
      </c>
      <c r="B1429" s="6" t="s">
        <v>1588</v>
      </c>
      <c r="C1429" s="7" t="s">
        <v>24</v>
      </c>
      <c r="D1429" s="7" t="s">
        <v>321</v>
      </c>
      <c r="E1429" s="8" t="s">
        <v>4455</v>
      </c>
    </row>
    <row r="1430" spans="1:5" x14ac:dyDescent="0.25">
      <c r="A1430" s="5" t="s">
        <v>1591</v>
      </c>
      <c r="B1430" s="6" t="s">
        <v>1590</v>
      </c>
      <c r="C1430" s="7" t="s">
        <v>24</v>
      </c>
      <c r="D1430" s="7" t="s">
        <v>25</v>
      </c>
      <c r="E1430" s="8" t="s">
        <v>4465</v>
      </c>
    </row>
    <row r="1431" spans="1:5" x14ac:dyDescent="0.25">
      <c r="A1431" s="5" t="s">
        <v>1593</v>
      </c>
      <c r="B1431" s="6" t="s">
        <v>1592</v>
      </c>
      <c r="C1431" s="7" t="s">
        <v>24</v>
      </c>
      <c r="D1431" s="7" t="s">
        <v>25</v>
      </c>
      <c r="E1431" s="8" t="s">
        <v>4463</v>
      </c>
    </row>
    <row r="1432" spans="1:5" x14ac:dyDescent="0.25">
      <c r="A1432" s="12" t="s">
        <v>1595</v>
      </c>
      <c r="B1432" s="6" t="s">
        <v>1594</v>
      </c>
      <c r="C1432" s="13" t="s">
        <v>24</v>
      </c>
      <c r="D1432" s="13" t="s">
        <v>25</v>
      </c>
      <c r="E1432" s="8" t="s">
        <v>4467</v>
      </c>
    </row>
    <row r="1433" spans="1:5" x14ac:dyDescent="0.25">
      <c r="A1433" s="5" t="s">
        <v>1597</v>
      </c>
      <c r="B1433" s="6" t="s">
        <v>1596</v>
      </c>
      <c r="C1433" s="7" t="s">
        <v>24</v>
      </c>
      <c r="D1433" s="7" t="s">
        <v>25</v>
      </c>
      <c r="E1433" s="8" t="s">
        <v>4461</v>
      </c>
    </row>
    <row r="1434" spans="1:5" x14ac:dyDescent="0.25">
      <c r="A1434" s="5" t="s">
        <v>1599</v>
      </c>
      <c r="B1434" s="6" t="s">
        <v>1598</v>
      </c>
      <c r="C1434" s="7" t="s">
        <v>24</v>
      </c>
      <c r="D1434" s="7" t="s">
        <v>25</v>
      </c>
      <c r="E1434" s="8" t="s">
        <v>4460</v>
      </c>
    </row>
    <row r="1435" spans="1:5" x14ac:dyDescent="0.25">
      <c r="A1435" s="5" t="s">
        <v>1601</v>
      </c>
      <c r="B1435" s="6" t="s">
        <v>1600</v>
      </c>
      <c r="C1435" s="7" t="s">
        <v>24</v>
      </c>
      <c r="D1435" s="7" t="s">
        <v>25</v>
      </c>
      <c r="E1435" s="8" t="s">
        <v>4461</v>
      </c>
    </row>
    <row r="1436" spans="1:5" x14ac:dyDescent="0.25">
      <c r="A1436" s="5" t="s">
        <v>1603</v>
      </c>
      <c r="B1436" s="6" t="s">
        <v>1602</v>
      </c>
      <c r="C1436" s="7" t="s">
        <v>24</v>
      </c>
      <c r="D1436" s="7" t="s">
        <v>321</v>
      </c>
      <c r="E1436" s="8" t="s">
        <v>4455</v>
      </c>
    </row>
    <row r="1437" spans="1:5" x14ac:dyDescent="0.25">
      <c r="A1437" s="5" t="s">
        <v>1605</v>
      </c>
      <c r="B1437" s="6" t="s">
        <v>1604</v>
      </c>
      <c r="C1437" s="7" t="s">
        <v>24</v>
      </c>
      <c r="D1437" s="7" t="s">
        <v>321</v>
      </c>
      <c r="E1437" s="8" t="s">
        <v>4455</v>
      </c>
    </row>
    <row r="1438" spans="1:5" x14ac:dyDescent="0.25">
      <c r="A1438" s="5" t="s">
        <v>1607</v>
      </c>
      <c r="B1438" s="6" t="s">
        <v>1606</v>
      </c>
      <c r="C1438" s="7" t="s">
        <v>24</v>
      </c>
      <c r="D1438" s="7" t="s">
        <v>25</v>
      </c>
      <c r="E1438" s="8" t="s">
        <v>4462</v>
      </c>
    </row>
    <row r="1439" spans="1:5" x14ac:dyDescent="0.25">
      <c r="A1439" s="5" t="s">
        <v>1609</v>
      </c>
      <c r="B1439" s="6" t="s">
        <v>1608</v>
      </c>
      <c r="C1439" s="7" t="s">
        <v>24</v>
      </c>
      <c r="D1439" s="7" t="s">
        <v>25</v>
      </c>
      <c r="E1439" s="8" t="s">
        <v>4458</v>
      </c>
    </row>
    <row r="1440" spans="1:5" x14ac:dyDescent="0.25">
      <c r="A1440" s="5" t="s">
        <v>1611</v>
      </c>
      <c r="B1440" s="6" t="s">
        <v>1610</v>
      </c>
      <c r="C1440" s="7" t="s">
        <v>24</v>
      </c>
      <c r="D1440" s="7" t="s">
        <v>25</v>
      </c>
      <c r="E1440" s="8" t="s">
        <v>4458</v>
      </c>
    </row>
    <row r="1441" spans="1:5" x14ac:dyDescent="0.25">
      <c r="A1441" s="5" t="s">
        <v>1613</v>
      </c>
      <c r="B1441" s="6" t="s">
        <v>1612</v>
      </c>
      <c r="C1441" s="7" t="s">
        <v>24</v>
      </c>
      <c r="D1441" s="7" t="s">
        <v>25</v>
      </c>
      <c r="E1441" s="8" t="s">
        <v>4459</v>
      </c>
    </row>
    <row r="1442" spans="1:5" x14ac:dyDescent="0.25">
      <c r="A1442" s="5" t="s">
        <v>1615</v>
      </c>
      <c r="B1442" s="6" t="s">
        <v>1614</v>
      </c>
      <c r="C1442" s="7" t="s">
        <v>24</v>
      </c>
      <c r="D1442" s="7" t="s">
        <v>25</v>
      </c>
      <c r="E1442" s="8" t="s">
        <v>4461</v>
      </c>
    </row>
    <row r="1443" spans="1:5" x14ac:dyDescent="0.25">
      <c r="A1443" s="74" t="s">
        <v>1617</v>
      </c>
      <c r="B1443" s="75" t="s">
        <v>1616</v>
      </c>
      <c r="C1443" s="76" t="s">
        <v>24</v>
      </c>
      <c r="D1443" s="76" t="s">
        <v>321</v>
      </c>
      <c r="E1443" s="77" t="s">
        <v>4455</v>
      </c>
    </row>
    <row r="1444" spans="1:5" x14ac:dyDescent="0.25">
      <c r="A1444" s="5" t="s">
        <v>1619</v>
      </c>
      <c r="B1444" s="6" t="s">
        <v>1618</v>
      </c>
      <c r="C1444" s="7" t="s">
        <v>24</v>
      </c>
      <c r="D1444" s="7" t="s">
        <v>25</v>
      </c>
      <c r="E1444" s="8" t="s">
        <v>4468</v>
      </c>
    </row>
    <row r="1445" spans="1:5" x14ac:dyDescent="0.25">
      <c r="A1445" s="5" t="s">
        <v>1621</v>
      </c>
      <c r="B1445" s="6" t="s">
        <v>1620</v>
      </c>
      <c r="C1445" s="7" t="s">
        <v>24</v>
      </c>
      <c r="D1445" s="7" t="s">
        <v>25</v>
      </c>
      <c r="E1445" s="8" t="s">
        <v>4466</v>
      </c>
    </row>
    <row r="1446" spans="1:5" x14ac:dyDescent="0.25">
      <c r="A1446" s="5" t="s">
        <v>1623</v>
      </c>
      <c r="B1446" s="6" t="s">
        <v>1622</v>
      </c>
      <c r="C1446" s="7" t="s">
        <v>24</v>
      </c>
      <c r="D1446" s="7" t="s">
        <v>25</v>
      </c>
      <c r="E1446" s="8" t="s">
        <v>4460</v>
      </c>
    </row>
    <row r="1447" spans="1:5" x14ac:dyDescent="0.25">
      <c r="A1447" s="5" t="s">
        <v>1625</v>
      </c>
      <c r="B1447" s="6" t="s">
        <v>1624</v>
      </c>
      <c r="C1447" s="7" t="s">
        <v>24</v>
      </c>
      <c r="D1447" s="7" t="s">
        <v>64</v>
      </c>
      <c r="E1447" s="8" t="s">
        <v>99</v>
      </c>
    </row>
    <row r="1448" spans="1:5" x14ac:dyDescent="0.25">
      <c r="A1448" s="5" t="s">
        <v>1627</v>
      </c>
      <c r="B1448" s="6" t="s">
        <v>1626</v>
      </c>
      <c r="C1448" s="7" t="s">
        <v>24</v>
      </c>
      <c r="D1448" s="7" t="s">
        <v>25</v>
      </c>
      <c r="E1448" s="8" t="s">
        <v>4458</v>
      </c>
    </row>
    <row r="1449" spans="1:5" x14ac:dyDescent="0.25">
      <c r="A1449" s="5" t="s">
        <v>1629</v>
      </c>
      <c r="B1449" s="6" t="s">
        <v>1628</v>
      </c>
      <c r="C1449" s="7" t="s">
        <v>24</v>
      </c>
      <c r="D1449" s="7" t="s">
        <v>64</v>
      </c>
      <c r="E1449" s="8" t="s">
        <v>68</v>
      </c>
    </row>
    <row r="1450" spans="1:5" x14ac:dyDescent="0.25">
      <c r="A1450" s="5" t="s">
        <v>4486</v>
      </c>
      <c r="B1450" s="6" t="s">
        <v>4551</v>
      </c>
      <c r="C1450" s="7" t="s">
        <v>24</v>
      </c>
      <c r="D1450" s="7" t="s">
        <v>321</v>
      </c>
      <c r="E1450" s="8" t="s">
        <v>4455</v>
      </c>
    </row>
    <row r="1451" spans="1:5" x14ac:dyDescent="0.25">
      <c r="A1451" s="5" t="s">
        <v>1631</v>
      </c>
      <c r="B1451" s="6" t="s">
        <v>1630</v>
      </c>
      <c r="C1451" s="7" t="s">
        <v>24</v>
      </c>
      <c r="D1451" s="7" t="s">
        <v>321</v>
      </c>
      <c r="E1451" s="8" t="s">
        <v>4455</v>
      </c>
    </row>
    <row r="1452" spans="1:5" x14ac:dyDescent="0.25">
      <c r="A1452" s="5" t="s">
        <v>1633</v>
      </c>
      <c r="B1452" s="6" t="s">
        <v>1632</v>
      </c>
      <c r="C1452" s="7" t="s">
        <v>24</v>
      </c>
      <c r="D1452" s="7" t="s">
        <v>25</v>
      </c>
      <c r="E1452" s="8" t="s">
        <v>4462</v>
      </c>
    </row>
    <row r="1453" spans="1:5" x14ac:dyDescent="0.25">
      <c r="A1453" s="5" t="s">
        <v>1635</v>
      </c>
      <c r="B1453" s="6" t="s">
        <v>1634</v>
      </c>
      <c r="C1453" s="7" t="s">
        <v>24</v>
      </c>
      <c r="D1453" s="7" t="s">
        <v>25</v>
      </c>
      <c r="E1453" s="8" t="s">
        <v>4466</v>
      </c>
    </row>
    <row r="1454" spans="1:5" x14ac:dyDescent="0.25">
      <c r="A1454" s="5" t="s">
        <v>1637</v>
      </c>
      <c r="B1454" s="6" t="s">
        <v>1636</v>
      </c>
      <c r="C1454" s="7" t="s">
        <v>24</v>
      </c>
      <c r="D1454" s="7" t="s">
        <v>321</v>
      </c>
      <c r="E1454" s="8" t="s">
        <v>4455</v>
      </c>
    </row>
    <row r="1455" spans="1:5" x14ac:dyDescent="0.25">
      <c r="A1455" s="5" t="s">
        <v>1639</v>
      </c>
      <c r="B1455" s="6" t="s">
        <v>1638</v>
      </c>
      <c r="C1455" s="7" t="s">
        <v>24</v>
      </c>
      <c r="D1455" s="7" t="s">
        <v>25</v>
      </c>
      <c r="E1455" s="8" t="s">
        <v>4465</v>
      </c>
    </row>
    <row r="1456" spans="1:5" x14ac:dyDescent="0.25">
      <c r="A1456" s="5" t="s">
        <v>1641</v>
      </c>
      <c r="B1456" s="6" t="s">
        <v>1640</v>
      </c>
      <c r="C1456" s="7" t="s">
        <v>24</v>
      </c>
      <c r="D1456" s="7" t="s">
        <v>64</v>
      </c>
      <c r="E1456" s="8" t="s">
        <v>68</v>
      </c>
    </row>
    <row r="1457" spans="1:5" x14ac:dyDescent="0.25">
      <c r="A1457" s="5" t="s">
        <v>1643</v>
      </c>
      <c r="B1457" s="6" t="s">
        <v>1642</v>
      </c>
      <c r="C1457" s="7" t="s">
        <v>24</v>
      </c>
      <c r="D1457" s="7" t="s">
        <v>64</v>
      </c>
      <c r="E1457" s="8" t="s">
        <v>99</v>
      </c>
    </row>
    <row r="1458" spans="1:5" x14ac:dyDescent="0.25">
      <c r="A1458" s="5" t="s">
        <v>1645</v>
      </c>
      <c r="B1458" s="6" t="s">
        <v>1644</v>
      </c>
      <c r="C1458" s="7" t="s">
        <v>24</v>
      </c>
      <c r="D1458" s="7" t="s">
        <v>64</v>
      </c>
      <c r="E1458" s="8" t="s">
        <v>68</v>
      </c>
    </row>
    <row r="1459" spans="1:5" x14ac:dyDescent="0.25">
      <c r="A1459" s="5" t="s">
        <v>1647</v>
      </c>
      <c r="B1459" s="6" t="s">
        <v>1646</v>
      </c>
      <c r="C1459" s="7" t="s">
        <v>24</v>
      </c>
      <c r="D1459" s="7" t="s">
        <v>25</v>
      </c>
      <c r="E1459" s="8" t="s">
        <v>4457</v>
      </c>
    </row>
    <row r="1460" spans="1:5" x14ac:dyDescent="0.25">
      <c r="A1460" s="5" t="s">
        <v>3628</v>
      </c>
      <c r="B1460" s="6" t="s">
        <v>4405</v>
      </c>
      <c r="C1460" s="7" t="s">
        <v>24</v>
      </c>
      <c r="D1460" s="7" t="s">
        <v>25</v>
      </c>
      <c r="E1460" s="8" t="s">
        <v>4458</v>
      </c>
    </row>
    <row r="1461" spans="1:5" x14ac:dyDescent="0.25">
      <c r="A1461" s="5" t="s">
        <v>3630</v>
      </c>
      <c r="B1461" s="6" t="s">
        <v>4407</v>
      </c>
      <c r="C1461" s="7" t="s">
        <v>24</v>
      </c>
      <c r="D1461" s="7" t="s">
        <v>25</v>
      </c>
      <c r="E1461" s="8" t="s">
        <v>4458</v>
      </c>
    </row>
    <row r="1462" spans="1:5" x14ac:dyDescent="0.25">
      <c r="A1462" s="5" t="s">
        <v>3317</v>
      </c>
      <c r="B1462" s="6" t="s">
        <v>4091</v>
      </c>
      <c r="C1462" s="7" t="s">
        <v>24</v>
      </c>
      <c r="D1462" s="7" t="s">
        <v>64</v>
      </c>
      <c r="E1462" s="8" t="s">
        <v>99</v>
      </c>
    </row>
    <row r="1463" spans="1:5" x14ac:dyDescent="0.25">
      <c r="A1463" s="5" t="s">
        <v>1649</v>
      </c>
      <c r="B1463" s="6" t="s">
        <v>1648</v>
      </c>
      <c r="C1463" s="7" t="s">
        <v>24</v>
      </c>
      <c r="D1463" s="7" t="s">
        <v>25</v>
      </c>
      <c r="E1463" s="8" t="s">
        <v>4457</v>
      </c>
    </row>
    <row r="1464" spans="1:5" x14ac:dyDescent="0.25">
      <c r="A1464" s="5" t="s">
        <v>1651</v>
      </c>
      <c r="B1464" s="6" t="s">
        <v>1650</v>
      </c>
      <c r="C1464" s="7" t="s">
        <v>24</v>
      </c>
      <c r="D1464" s="7" t="s">
        <v>64</v>
      </c>
      <c r="E1464" s="8" t="s">
        <v>65</v>
      </c>
    </row>
    <row r="1465" spans="1:5" x14ac:dyDescent="0.25">
      <c r="A1465" s="5" t="s">
        <v>1653</v>
      </c>
      <c r="B1465" s="6" t="s">
        <v>1652</v>
      </c>
      <c r="C1465" s="7" t="s">
        <v>24</v>
      </c>
      <c r="D1465" s="7" t="s">
        <v>25</v>
      </c>
      <c r="E1465" s="8" t="s">
        <v>4457</v>
      </c>
    </row>
    <row r="1466" spans="1:5" x14ac:dyDescent="0.25">
      <c r="A1466" s="5" t="s">
        <v>1655</v>
      </c>
      <c r="B1466" s="6" t="s">
        <v>1654</v>
      </c>
      <c r="C1466" s="7" t="s">
        <v>24</v>
      </c>
      <c r="D1466" s="7" t="s">
        <v>25</v>
      </c>
      <c r="E1466" s="8" t="s">
        <v>4458</v>
      </c>
    </row>
    <row r="1467" spans="1:5" x14ac:dyDescent="0.25">
      <c r="A1467" s="5" t="s">
        <v>1657</v>
      </c>
      <c r="B1467" s="6" t="s">
        <v>1656</v>
      </c>
      <c r="C1467" s="7" t="s">
        <v>24</v>
      </c>
      <c r="D1467" s="7" t="s">
        <v>25</v>
      </c>
      <c r="E1467" s="8" t="s">
        <v>4459</v>
      </c>
    </row>
    <row r="1468" spans="1:5" x14ac:dyDescent="0.25">
      <c r="A1468" s="5" t="s">
        <v>1659</v>
      </c>
      <c r="B1468" s="6" t="s">
        <v>1658</v>
      </c>
      <c r="C1468" s="7" t="s">
        <v>24</v>
      </c>
      <c r="D1468" s="7" t="s">
        <v>25</v>
      </c>
      <c r="E1468" s="8" t="s">
        <v>4457</v>
      </c>
    </row>
    <row r="1469" spans="1:5" x14ac:dyDescent="0.25">
      <c r="A1469" s="12" t="s">
        <v>1661</v>
      </c>
      <c r="B1469" s="6" t="s">
        <v>1660</v>
      </c>
      <c r="C1469" s="13" t="s">
        <v>24</v>
      </c>
      <c r="D1469" s="13" t="s">
        <v>25</v>
      </c>
      <c r="E1469" s="8" t="s">
        <v>4458</v>
      </c>
    </row>
    <row r="1470" spans="1:5" x14ac:dyDescent="0.25">
      <c r="A1470" s="12" t="s">
        <v>1663</v>
      </c>
      <c r="B1470" s="6" t="s">
        <v>1662</v>
      </c>
      <c r="C1470" s="13" t="s">
        <v>24</v>
      </c>
      <c r="D1470" s="13" t="s">
        <v>25</v>
      </c>
      <c r="E1470" s="8" t="s">
        <v>4466</v>
      </c>
    </row>
    <row r="1471" spans="1:5" x14ac:dyDescent="0.25">
      <c r="A1471" s="12" t="s">
        <v>1665</v>
      </c>
      <c r="B1471" s="6" t="s">
        <v>1664</v>
      </c>
      <c r="C1471" s="13" t="s">
        <v>24</v>
      </c>
      <c r="D1471" s="13" t="s">
        <v>25</v>
      </c>
      <c r="E1471" s="8" t="s">
        <v>4460</v>
      </c>
    </row>
    <row r="1472" spans="1:5" x14ac:dyDescent="0.25">
      <c r="A1472" s="12" t="s">
        <v>1667</v>
      </c>
      <c r="B1472" s="6" t="s">
        <v>1666</v>
      </c>
      <c r="C1472" s="13" t="s">
        <v>24</v>
      </c>
      <c r="D1472" s="13" t="s">
        <v>64</v>
      </c>
      <c r="E1472" s="8" t="s">
        <v>68</v>
      </c>
    </row>
    <row r="1473" spans="1:5" x14ac:dyDescent="0.25">
      <c r="A1473" s="12" t="s">
        <v>1669</v>
      </c>
      <c r="B1473" s="6" t="s">
        <v>1668</v>
      </c>
      <c r="C1473" s="13" t="s">
        <v>24</v>
      </c>
      <c r="D1473" s="13" t="s">
        <v>64</v>
      </c>
      <c r="E1473" s="8" t="s">
        <v>288</v>
      </c>
    </row>
    <row r="1474" spans="1:5" x14ac:dyDescent="0.25">
      <c r="A1474" s="5" t="s">
        <v>3573</v>
      </c>
      <c r="B1474" s="6" t="s">
        <v>4348</v>
      </c>
      <c r="C1474" s="7" t="s">
        <v>24</v>
      </c>
      <c r="D1474" s="7" t="s">
        <v>4456</v>
      </c>
      <c r="E1474" s="8" t="s">
        <v>4454</v>
      </c>
    </row>
    <row r="1475" spans="1:5" x14ac:dyDescent="0.25">
      <c r="A1475" s="5" t="s">
        <v>3487</v>
      </c>
      <c r="B1475" s="6" t="s">
        <v>4261</v>
      </c>
      <c r="C1475" s="13" t="s">
        <v>24</v>
      </c>
      <c r="D1475" s="13" t="s">
        <v>4456</v>
      </c>
      <c r="E1475" s="8" t="s">
        <v>4454</v>
      </c>
    </row>
    <row r="1476" spans="1:5" x14ac:dyDescent="0.25">
      <c r="A1476" s="5" t="s">
        <v>3342</v>
      </c>
      <c r="B1476" s="6" t="s">
        <v>4112</v>
      </c>
      <c r="C1476" s="7" t="s">
        <v>24</v>
      </c>
      <c r="D1476" s="7" t="s">
        <v>4456</v>
      </c>
      <c r="E1476" s="8" t="s">
        <v>4454</v>
      </c>
    </row>
    <row r="1477" spans="1:5" x14ac:dyDescent="0.25">
      <c r="A1477" s="5" t="s">
        <v>3488</v>
      </c>
      <c r="B1477" s="6" t="s">
        <v>4262</v>
      </c>
      <c r="C1477" s="7" t="s">
        <v>24</v>
      </c>
      <c r="D1477" s="7" t="s">
        <v>4456</v>
      </c>
      <c r="E1477" s="8" t="s">
        <v>4454</v>
      </c>
    </row>
    <row r="1478" spans="1:5" x14ac:dyDescent="0.25">
      <c r="A1478" s="5" t="s">
        <v>3489</v>
      </c>
      <c r="B1478" s="6" t="s">
        <v>4263</v>
      </c>
      <c r="C1478" s="7" t="s">
        <v>24</v>
      </c>
      <c r="D1478" s="7" t="s">
        <v>4456</v>
      </c>
      <c r="E1478" s="8" t="s">
        <v>4454</v>
      </c>
    </row>
    <row r="1479" spans="1:5" x14ac:dyDescent="0.25">
      <c r="A1479" s="5" t="s">
        <v>3490</v>
      </c>
      <c r="B1479" s="6" t="s">
        <v>4264</v>
      </c>
      <c r="C1479" s="7" t="s">
        <v>24</v>
      </c>
      <c r="D1479" s="7" t="s">
        <v>4456</v>
      </c>
      <c r="E1479" s="8" t="s">
        <v>4454</v>
      </c>
    </row>
    <row r="1480" spans="1:5" x14ac:dyDescent="0.25">
      <c r="A1480" s="5" t="s">
        <v>3491</v>
      </c>
      <c r="B1480" s="6" t="s">
        <v>4265</v>
      </c>
      <c r="C1480" s="7" t="s">
        <v>24</v>
      </c>
      <c r="D1480" s="7" t="s">
        <v>4456</v>
      </c>
      <c r="E1480" s="8" t="s">
        <v>4454</v>
      </c>
    </row>
    <row r="1481" spans="1:5" x14ac:dyDescent="0.25">
      <c r="A1481" s="5" t="s">
        <v>3492</v>
      </c>
      <c r="B1481" s="6" t="s">
        <v>4266</v>
      </c>
      <c r="C1481" s="7" t="s">
        <v>24</v>
      </c>
      <c r="D1481" s="7" t="s">
        <v>4456</v>
      </c>
      <c r="E1481" s="8" t="s">
        <v>4454</v>
      </c>
    </row>
    <row r="1482" spans="1:5" x14ac:dyDescent="0.25">
      <c r="A1482" s="5" t="s">
        <v>3582</v>
      </c>
      <c r="B1482" s="6" t="s">
        <v>4358</v>
      </c>
      <c r="C1482" s="7" t="s">
        <v>24</v>
      </c>
      <c r="D1482" s="7" t="s">
        <v>4456</v>
      </c>
      <c r="E1482" s="8" t="s">
        <v>4454</v>
      </c>
    </row>
    <row r="1483" spans="1:5" x14ac:dyDescent="0.25">
      <c r="A1483" s="5" t="s">
        <v>3340</v>
      </c>
      <c r="B1483" s="6" t="s">
        <v>4110</v>
      </c>
      <c r="C1483" s="7" t="s">
        <v>24</v>
      </c>
      <c r="D1483" s="7" t="s">
        <v>4456</v>
      </c>
      <c r="E1483" s="8" t="s">
        <v>4454</v>
      </c>
    </row>
    <row r="1484" spans="1:5" x14ac:dyDescent="0.25">
      <c r="A1484" s="5" t="s">
        <v>3310</v>
      </c>
      <c r="B1484" s="6" t="s">
        <v>4082</v>
      </c>
      <c r="C1484" s="7" t="s">
        <v>24</v>
      </c>
      <c r="D1484" s="7" t="s">
        <v>64</v>
      </c>
      <c r="E1484" s="8" t="s">
        <v>99</v>
      </c>
    </row>
    <row r="1485" spans="1:5" x14ac:dyDescent="0.25">
      <c r="A1485" s="5" t="s">
        <v>1671</v>
      </c>
      <c r="B1485" s="6" t="s">
        <v>1670</v>
      </c>
      <c r="C1485" s="7" t="s">
        <v>24</v>
      </c>
      <c r="D1485" s="7" t="s">
        <v>64</v>
      </c>
      <c r="E1485" s="8" t="s">
        <v>68</v>
      </c>
    </row>
    <row r="1486" spans="1:5" x14ac:dyDescent="0.25">
      <c r="A1486" s="5" t="s">
        <v>1673</v>
      </c>
      <c r="B1486" s="6" t="s">
        <v>1672</v>
      </c>
      <c r="C1486" s="7" t="s">
        <v>24</v>
      </c>
      <c r="D1486" s="7" t="s">
        <v>64</v>
      </c>
      <c r="E1486" s="8" t="s">
        <v>288</v>
      </c>
    </row>
    <row r="1487" spans="1:5" x14ac:dyDescent="0.25">
      <c r="A1487" s="5" t="s">
        <v>1675</v>
      </c>
      <c r="B1487" s="6" t="s">
        <v>1674</v>
      </c>
      <c r="C1487" s="7" t="s">
        <v>24</v>
      </c>
      <c r="D1487" s="7" t="s">
        <v>64</v>
      </c>
      <c r="E1487" s="8" t="s">
        <v>99</v>
      </c>
    </row>
    <row r="1488" spans="1:5" x14ac:dyDescent="0.25">
      <c r="A1488" s="5" t="s">
        <v>1677</v>
      </c>
      <c r="B1488" s="6" t="s">
        <v>1676</v>
      </c>
      <c r="C1488" s="7" t="s">
        <v>24</v>
      </c>
      <c r="D1488" s="7" t="s">
        <v>25</v>
      </c>
      <c r="E1488" s="8" t="s">
        <v>4457</v>
      </c>
    </row>
    <row r="1489" spans="1:5" x14ac:dyDescent="0.25">
      <c r="A1489" s="5" t="s">
        <v>1679</v>
      </c>
      <c r="B1489" s="6" t="s">
        <v>1678</v>
      </c>
      <c r="C1489" s="7" t="s">
        <v>24</v>
      </c>
      <c r="D1489" s="7" t="s">
        <v>25</v>
      </c>
      <c r="E1489" s="8" t="s">
        <v>4457</v>
      </c>
    </row>
    <row r="1490" spans="1:5" x14ac:dyDescent="0.25">
      <c r="A1490" s="5" t="s">
        <v>1681</v>
      </c>
      <c r="B1490" s="6" t="s">
        <v>1680</v>
      </c>
      <c r="C1490" s="7" t="s">
        <v>24</v>
      </c>
      <c r="D1490" s="7" t="s">
        <v>25</v>
      </c>
      <c r="E1490" s="8" t="s">
        <v>4458</v>
      </c>
    </row>
    <row r="1491" spans="1:5" x14ac:dyDescent="0.25">
      <c r="A1491" s="5" t="s">
        <v>1683</v>
      </c>
      <c r="B1491" s="6" t="s">
        <v>1682</v>
      </c>
      <c r="C1491" s="7" t="s">
        <v>24</v>
      </c>
      <c r="D1491" s="7" t="s">
        <v>25</v>
      </c>
      <c r="E1491" s="8" t="s">
        <v>4459</v>
      </c>
    </row>
    <row r="1492" spans="1:5" x14ac:dyDescent="0.25">
      <c r="A1492" s="5" t="s">
        <v>1685</v>
      </c>
      <c r="B1492" s="6" t="s">
        <v>1684</v>
      </c>
      <c r="C1492" s="7" t="s">
        <v>24</v>
      </c>
      <c r="D1492" s="7" t="s">
        <v>562</v>
      </c>
      <c r="E1492" s="8" t="s">
        <v>4454</v>
      </c>
    </row>
    <row r="1493" spans="1:5" x14ac:dyDescent="0.25">
      <c r="A1493" s="5" t="s">
        <v>4552</v>
      </c>
      <c r="B1493" s="6" t="s">
        <v>4553</v>
      </c>
      <c r="C1493" s="7" t="s">
        <v>24</v>
      </c>
      <c r="D1493" s="7" t="s">
        <v>64</v>
      </c>
      <c r="E1493" s="8" t="s">
        <v>68</v>
      </c>
    </row>
    <row r="1494" spans="1:5" x14ac:dyDescent="0.25">
      <c r="A1494" s="5" t="s">
        <v>1687</v>
      </c>
      <c r="B1494" s="6" t="s">
        <v>1686</v>
      </c>
      <c r="C1494" s="7" t="s">
        <v>24</v>
      </c>
      <c r="D1494" s="7" t="s">
        <v>25</v>
      </c>
      <c r="E1494" s="8" t="s">
        <v>4459</v>
      </c>
    </row>
    <row r="1495" spans="1:5" x14ac:dyDescent="0.25">
      <c r="A1495" s="5" t="s">
        <v>1689</v>
      </c>
      <c r="B1495" s="6" t="s">
        <v>1688</v>
      </c>
      <c r="C1495" s="7" t="s">
        <v>24</v>
      </c>
      <c r="D1495" s="7" t="s">
        <v>25</v>
      </c>
      <c r="E1495" s="8" t="s">
        <v>4461</v>
      </c>
    </row>
    <row r="1496" spans="1:5" x14ac:dyDescent="0.25">
      <c r="A1496" s="5" t="s">
        <v>1691</v>
      </c>
      <c r="B1496" s="6" t="s">
        <v>1690</v>
      </c>
      <c r="C1496" s="7" t="s">
        <v>24</v>
      </c>
      <c r="D1496" s="7" t="s">
        <v>25</v>
      </c>
      <c r="E1496" s="8" t="s">
        <v>4465</v>
      </c>
    </row>
    <row r="1497" spans="1:5" x14ac:dyDescent="0.25">
      <c r="A1497" s="5" t="s">
        <v>1693</v>
      </c>
      <c r="B1497" s="6" t="s">
        <v>1692</v>
      </c>
      <c r="C1497" s="7" t="s">
        <v>24</v>
      </c>
      <c r="D1497" s="7" t="s">
        <v>25</v>
      </c>
      <c r="E1497" s="8" t="s">
        <v>4462</v>
      </c>
    </row>
    <row r="1498" spans="1:5" x14ac:dyDescent="0.25">
      <c r="A1498" s="5" t="s">
        <v>1695</v>
      </c>
      <c r="B1498" s="6" t="s">
        <v>1694</v>
      </c>
      <c r="C1498" s="7" t="s">
        <v>24</v>
      </c>
      <c r="D1498" s="7" t="s">
        <v>25</v>
      </c>
      <c r="E1498" s="8" t="s">
        <v>4463</v>
      </c>
    </row>
    <row r="1499" spans="1:5" x14ac:dyDescent="0.25">
      <c r="A1499" s="5" t="s">
        <v>1697</v>
      </c>
      <c r="B1499" s="6" t="s">
        <v>1696</v>
      </c>
      <c r="C1499" s="7" t="s">
        <v>24</v>
      </c>
      <c r="D1499" s="7" t="s">
        <v>25</v>
      </c>
      <c r="E1499" s="8" t="s">
        <v>4464</v>
      </c>
    </row>
    <row r="1500" spans="1:5" x14ac:dyDescent="0.25">
      <c r="A1500" s="5" t="s">
        <v>1699</v>
      </c>
      <c r="B1500" s="6" t="s">
        <v>1698</v>
      </c>
      <c r="C1500" s="7" t="s">
        <v>24</v>
      </c>
      <c r="D1500" s="7" t="s">
        <v>25</v>
      </c>
      <c r="E1500" s="8" t="s">
        <v>4465</v>
      </c>
    </row>
    <row r="1501" spans="1:5" x14ac:dyDescent="0.25">
      <c r="A1501" s="5" t="s">
        <v>1701</v>
      </c>
      <c r="B1501" s="6" t="s">
        <v>1700</v>
      </c>
      <c r="C1501" s="7" t="s">
        <v>24</v>
      </c>
      <c r="D1501" s="7" t="s">
        <v>25</v>
      </c>
      <c r="E1501" s="8" t="s">
        <v>4462</v>
      </c>
    </row>
    <row r="1502" spans="1:5" x14ac:dyDescent="0.25">
      <c r="A1502" s="5" t="s">
        <v>1703</v>
      </c>
      <c r="B1502" s="6" t="s">
        <v>1702</v>
      </c>
      <c r="C1502" s="7" t="s">
        <v>24</v>
      </c>
      <c r="D1502" s="7" t="s">
        <v>25</v>
      </c>
      <c r="E1502" s="8" t="s">
        <v>4463</v>
      </c>
    </row>
    <row r="1503" spans="1:5" x14ac:dyDescent="0.25">
      <c r="A1503" s="5" t="s">
        <v>1705</v>
      </c>
      <c r="B1503" s="6" t="s">
        <v>1704</v>
      </c>
      <c r="C1503" s="7" t="s">
        <v>24</v>
      </c>
      <c r="D1503" s="7" t="s">
        <v>25</v>
      </c>
      <c r="E1503" s="8" t="s">
        <v>4464</v>
      </c>
    </row>
    <row r="1504" spans="1:5" x14ac:dyDescent="0.25">
      <c r="A1504" s="5" t="s">
        <v>1707</v>
      </c>
      <c r="B1504" s="6" t="s">
        <v>1706</v>
      </c>
      <c r="C1504" s="7" t="s">
        <v>24</v>
      </c>
      <c r="D1504" s="7" t="s">
        <v>25</v>
      </c>
      <c r="E1504" s="8" t="s">
        <v>4459</v>
      </c>
    </row>
    <row r="1505" spans="1:5" x14ac:dyDescent="0.25">
      <c r="A1505" s="5" t="s">
        <v>1709</v>
      </c>
      <c r="B1505" s="6" t="s">
        <v>1708</v>
      </c>
      <c r="C1505" s="7" t="s">
        <v>24</v>
      </c>
      <c r="D1505" s="7" t="s">
        <v>25</v>
      </c>
      <c r="E1505" s="8" t="s">
        <v>4461</v>
      </c>
    </row>
    <row r="1506" spans="1:5" x14ac:dyDescent="0.25">
      <c r="A1506" s="5" t="s">
        <v>1711</v>
      </c>
      <c r="B1506" s="6" t="s">
        <v>1710</v>
      </c>
      <c r="C1506" s="7" t="s">
        <v>24</v>
      </c>
      <c r="D1506" s="7" t="s">
        <v>25</v>
      </c>
      <c r="E1506" s="8" t="s">
        <v>4466</v>
      </c>
    </row>
    <row r="1507" spans="1:5" x14ac:dyDescent="0.25">
      <c r="A1507" s="5" t="s">
        <v>1713</v>
      </c>
      <c r="B1507" s="6" t="s">
        <v>1712</v>
      </c>
      <c r="C1507" s="7" t="s">
        <v>24</v>
      </c>
      <c r="D1507" s="7" t="s">
        <v>25</v>
      </c>
      <c r="E1507" s="8" t="s">
        <v>4460</v>
      </c>
    </row>
    <row r="1508" spans="1:5" x14ac:dyDescent="0.25">
      <c r="A1508" s="5" t="s">
        <v>1715</v>
      </c>
      <c r="B1508" s="6" t="s">
        <v>1714</v>
      </c>
      <c r="C1508" s="7" t="s">
        <v>24</v>
      </c>
      <c r="D1508" s="7" t="s">
        <v>25</v>
      </c>
      <c r="E1508" s="8" t="s">
        <v>4458</v>
      </c>
    </row>
    <row r="1509" spans="1:5" x14ac:dyDescent="0.25">
      <c r="A1509" s="5" t="s">
        <v>1717</v>
      </c>
      <c r="B1509" s="6" t="s">
        <v>1716</v>
      </c>
      <c r="C1509" s="7" t="s">
        <v>24</v>
      </c>
      <c r="D1509" s="7" t="s">
        <v>64</v>
      </c>
      <c r="E1509" s="8" t="s">
        <v>4461</v>
      </c>
    </row>
    <row r="1510" spans="1:5" x14ac:dyDescent="0.25">
      <c r="A1510" s="5" t="s">
        <v>1719</v>
      </c>
      <c r="B1510" s="6" t="s">
        <v>1718</v>
      </c>
      <c r="C1510" s="7" t="s">
        <v>24</v>
      </c>
      <c r="D1510" s="7" t="s">
        <v>25</v>
      </c>
      <c r="E1510" s="8" t="s">
        <v>4465</v>
      </c>
    </row>
    <row r="1511" spans="1:5" x14ac:dyDescent="0.25">
      <c r="A1511" s="5" t="s">
        <v>1721</v>
      </c>
      <c r="B1511" s="6" t="s">
        <v>1720</v>
      </c>
      <c r="C1511" s="7" t="s">
        <v>24</v>
      </c>
      <c r="D1511" s="7" t="s">
        <v>25</v>
      </c>
      <c r="E1511" s="8" t="s">
        <v>4462</v>
      </c>
    </row>
    <row r="1512" spans="1:5" x14ac:dyDescent="0.25">
      <c r="A1512" s="5" t="s">
        <v>1723</v>
      </c>
      <c r="B1512" s="6" t="s">
        <v>1722</v>
      </c>
      <c r="C1512" s="7" t="s">
        <v>24</v>
      </c>
      <c r="D1512" s="7" t="s">
        <v>25</v>
      </c>
      <c r="E1512" s="8" t="s">
        <v>4463</v>
      </c>
    </row>
    <row r="1513" spans="1:5" x14ac:dyDescent="0.25">
      <c r="A1513" s="5" t="s">
        <v>1725</v>
      </c>
      <c r="B1513" s="6" t="s">
        <v>1724</v>
      </c>
      <c r="C1513" s="7" t="s">
        <v>24</v>
      </c>
      <c r="D1513" s="7" t="s">
        <v>25</v>
      </c>
      <c r="E1513" s="8" t="s">
        <v>4466</v>
      </c>
    </row>
    <row r="1514" spans="1:5" x14ac:dyDescent="0.25">
      <c r="A1514" s="5" t="s">
        <v>1727</v>
      </c>
      <c r="B1514" s="6" t="s">
        <v>1726</v>
      </c>
      <c r="C1514" s="7" t="s">
        <v>24</v>
      </c>
      <c r="D1514" s="7" t="s">
        <v>25</v>
      </c>
      <c r="E1514" s="8" t="s">
        <v>4466</v>
      </c>
    </row>
    <row r="1515" spans="1:5" x14ac:dyDescent="0.25">
      <c r="A1515" s="5" t="s">
        <v>1729</v>
      </c>
      <c r="B1515" s="6" t="s">
        <v>1728</v>
      </c>
      <c r="C1515" s="7" t="s">
        <v>24</v>
      </c>
      <c r="D1515" s="7" t="s">
        <v>25</v>
      </c>
      <c r="E1515" s="8" t="s">
        <v>4459</v>
      </c>
    </row>
    <row r="1516" spans="1:5" x14ac:dyDescent="0.25">
      <c r="A1516" s="5" t="s">
        <v>1731</v>
      </c>
      <c r="B1516" s="6" t="s">
        <v>1730</v>
      </c>
      <c r="C1516" s="7" t="s">
        <v>24</v>
      </c>
      <c r="D1516" s="7" t="s">
        <v>25</v>
      </c>
      <c r="E1516" s="8" t="s">
        <v>4461</v>
      </c>
    </row>
    <row r="1517" spans="1:5" x14ac:dyDescent="0.25">
      <c r="A1517" s="5" t="s">
        <v>1733</v>
      </c>
      <c r="B1517" s="6" t="s">
        <v>1732</v>
      </c>
      <c r="C1517" s="7" t="s">
        <v>24</v>
      </c>
      <c r="D1517" s="7" t="s">
        <v>25</v>
      </c>
      <c r="E1517" s="8" t="s">
        <v>4465</v>
      </c>
    </row>
    <row r="1518" spans="1:5" x14ac:dyDescent="0.25">
      <c r="A1518" s="5" t="s">
        <v>1735</v>
      </c>
      <c r="B1518" s="6" t="s">
        <v>1734</v>
      </c>
      <c r="C1518" s="7" t="s">
        <v>24</v>
      </c>
      <c r="D1518" s="7" t="s">
        <v>25</v>
      </c>
      <c r="E1518" s="8" t="s">
        <v>4463</v>
      </c>
    </row>
    <row r="1519" spans="1:5" x14ac:dyDescent="0.25">
      <c r="A1519" s="5" t="s">
        <v>1737</v>
      </c>
      <c r="B1519" s="6" t="s">
        <v>1736</v>
      </c>
      <c r="C1519" s="7" t="s">
        <v>24</v>
      </c>
      <c r="D1519" s="7" t="s">
        <v>25</v>
      </c>
      <c r="E1519" s="8" t="s">
        <v>4466</v>
      </c>
    </row>
    <row r="1520" spans="1:5" x14ac:dyDescent="0.25">
      <c r="A1520" s="5" t="s">
        <v>1739</v>
      </c>
      <c r="B1520" s="6" t="s">
        <v>1738</v>
      </c>
      <c r="C1520" s="7" t="s">
        <v>24</v>
      </c>
      <c r="D1520" s="7" t="s">
        <v>25</v>
      </c>
      <c r="E1520" s="8" t="s">
        <v>4459</v>
      </c>
    </row>
    <row r="1521" spans="1:5" x14ac:dyDescent="0.25">
      <c r="A1521" s="5" t="s">
        <v>1741</v>
      </c>
      <c r="B1521" s="6" t="s">
        <v>1740</v>
      </c>
      <c r="C1521" s="7" t="s">
        <v>24</v>
      </c>
      <c r="D1521" s="7" t="s">
        <v>25</v>
      </c>
      <c r="E1521" s="8" t="s">
        <v>4461</v>
      </c>
    </row>
    <row r="1522" spans="1:5" x14ac:dyDescent="0.25">
      <c r="A1522" s="5" t="s">
        <v>1743</v>
      </c>
      <c r="B1522" s="6" t="s">
        <v>1742</v>
      </c>
      <c r="C1522" s="7" t="s">
        <v>24</v>
      </c>
      <c r="D1522" s="7" t="s">
        <v>25</v>
      </c>
      <c r="E1522" s="8" t="s">
        <v>4465</v>
      </c>
    </row>
    <row r="1523" spans="1:5" x14ac:dyDescent="0.25">
      <c r="A1523" s="5" t="s">
        <v>1745</v>
      </c>
      <c r="B1523" s="6" t="s">
        <v>1744</v>
      </c>
      <c r="C1523" s="7" t="s">
        <v>24</v>
      </c>
      <c r="D1523" s="7" t="s">
        <v>25</v>
      </c>
      <c r="E1523" s="8" t="s">
        <v>4463</v>
      </c>
    </row>
    <row r="1524" spans="1:5" x14ac:dyDescent="0.25">
      <c r="A1524" s="5" t="s">
        <v>1747</v>
      </c>
      <c r="B1524" s="6" t="s">
        <v>1746</v>
      </c>
      <c r="C1524" s="7" t="s">
        <v>24</v>
      </c>
      <c r="D1524" s="7" t="s">
        <v>25</v>
      </c>
      <c r="E1524" s="8" t="s">
        <v>4459</v>
      </c>
    </row>
    <row r="1525" spans="1:5" x14ac:dyDescent="0.25">
      <c r="A1525" s="5" t="s">
        <v>1749</v>
      </c>
      <c r="B1525" s="6" t="s">
        <v>1748</v>
      </c>
      <c r="C1525" s="7" t="s">
        <v>24</v>
      </c>
      <c r="D1525" s="7" t="s">
        <v>25</v>
      </c>
      <c r="E1525" s="8" t="s">
        <v>4460</v>
      </c>
    </row>
    <row r="1526" spans="1:5" x14ac:dyDescent="0.25">
      <c r="A1526" s="5" t="s">
        <v>1751</v>
      </c>
      <c r="B1526" s="6" t="s">
        <v>1750</v>
      </c>
      <c r="C1526" s="7" t="s">
        <v>24</v>
      </c>
      <c r="D1526" s="7" t="s">
        <v>25</v>
      </c>
      <c r="E1526" s="8" t="s">
        <v>4465</v>
      </c>
    </row>
    <row r="1527" spans="1:5" x14ac:dyDescent="0.25">
      <c r="A1527" s="5" t="s">
        <v>1753</v>
      </c>
      <c r="B1527" s="6" t="s">
        <v>1752</v>
      </c>
      <c r="C1527" s="7" t="s">
        <v>24</v>
      </c>
      <c r="D1527" s="7" t="s">
        <v>25</v>
      </c>
      <c r="E1527" s="8" t="s">
        <v>4463</v>
      </c>
    </row>
    <row r="1528" spans="1:5" x14ac:dyDescent="0.25">
      <c r="A1528" s="5" t="s">
        <v>1755</v>
      </c>
      <c r="B1528" s="6" t="s">
        <v>1754</v>
      </c>
      <c r="C1528" s="7" t="s">
        <v>24</v>
      </c>
      <c r="D1528" s="7" t="s">
        <v>64</v>
      </c>
      <c r="E1528" s="8" t="s">
        <v>65</v>
      </c>
    </row>
    <row r="1529" spans="1:5" x14ac:dyDescent="0.25">
      <c r="A1529" s="5" t="s">
        <v>1757</v>
      </c>
      <c r="B1529" s="6" t="s">
        <v>1756</v>
      </c>
      <c r="C1529" s="7" t="s">
        <v>24</v>
      </c>
      <c r="D1529" s="7" t="s">
        <v>25</v>
      </c>
      <c r="E1529" s="8" t="s">
        <v>4457</v>
      </c>
    </row>
    <row r="1530" spans="1:5" x14ac:dyDescent="0.25">
      <c r="A1530" s="5" t="s">
        <v>1759</v>
      </c>
      <c r="B1530" s="6" t="s">
        <v>1758</v>
      </c>
      <c r="C1530" s="7" t="s">
        <v>24</v>
      </c>
      <c r="D1530" s="7" t="s">
        <v>25</v>
      </c>
      <c r="E1530" s="8" t="s">
        <v>4458</v>
      </c>
    </row>
    <row r="1531" spans="1:5" x14ac:dyDescent="0.25">
      <c r="A1531" s="5" t="s">
        <v>1761</v>
      </c>
      <c r="B1531" s="6" t="s">
        <v>1760</v>
      </c>
      <c r="C1531" s="7" t="s">
        <v>24</v>
      </c>
      <c r="D1531" s="7" t="s">
        <v>25</v>
      </c>
      <c r="E1531" s="8" t="s">
        <v>4459</v>
      </c>
    </row>
    <row r="1532" spans="1:5" x14ac:dyDescent="0.25">
      <c r="A1532" s="5" t="s">
        <v>1763</v>
      </c>
      <c r="B1532" s="6" t="s">
        <v>1762</v>
      </c>
      <c r="C1532" s="7" t="s">
        <v>24</v>
      </c>
      <c r="D1532" s="7" t="s">
        <v>25</v>
      </c>
      <c r="E1532" s="8" t="s">
        <v>4458</v>
      </c>
    </row>
    <row r="1533" spans="1:5" x14ac:dyDescent="0.25">
      <c r="A1533" s="5" t="s">
        <v>1765</v>
      </c>
      <c r="B1533" s="6" t="s">
        <v>1764</v>
      </c>
      <c r="C1533" s="7" t="s">
        <v>24</v>
      </c>
      <c r="D1533" s="7" t="s">
        <v>25</v>
      </c>
      <c r="E1533" s="8" t="s">
        <v>4459</v>
      </c>
    </row>
    <row r="1534" spans="1:5" x14ac:dyDescent="0.25">
      <c r="A1534" s="5" t="s">
        <v>1767</v>
      </c>
      <c r="B1534" s="6" t="s">
        <v>1766</v>
      </c>
      <c r="C1534" s="7" t="s">
        <v>24</v>
      </c>
      <c r="D1534" s="7" t="s">
        <v>25</v>
      </c>
      <c r="E1534" s="8" t="s">
        <v>4460</v>
      </c>
    </row>
    <row r="1535" spans="1:5" x14ac:dyDescent="0.25">
      <c r="A1535" s="5" t="s">
        <v>1769</v>
      </c>
      <c r="B1535" s="6" t="s">
        <v>1768</v>
      </c>
      <c r="C1535" s="7" t="s">
        <v>24</v>
      </c>
      <c r="D1535" s="7" t="s">
        <v>25</v>
      </c>
      <c r="E1535" s="8" t="s">
        <v>4458</v>
      </c>
    </row>
    <row r="1536" spans="1:5" x14ac:dyDescent="0.25">
      <c r="A1536" s="5" t="s">
        <v>1771</v>
      </c>
      <c r="B1536" s="6" t="s">
        <v>1770</v>
      </c>
      <c r="C1536" s="7" t="s">
        <v>24</v>
      </c>
      <c r="D1536" s="7" t="s">
        <v>25</v>
      </c>
      <c r="E1536" s="8" t="s">
        <v>4459</v>
      </c>
    </row>
    <row r="1537" spans="1:5" x14ac:dyDescent="0.25">
      <c r="A1537" s="5" t="s">
        <v>1773</v>
      </c>
      <c r="B1537" s="6" t="s">
        <v>1772</v>
      </c>
      <c r="C1537" s="7" t="s">
        <v>24</v>
      </c>
      <c r="D1537" s="7" t="s">
        <v>25</v>
      </c>
      <c r="E1537" s="8" t="s">
        <v>4461</v>
      </c>
    </row>
    <row r="1538" spans="1:5" x14ac:dyDescent="0.25">
      <c r="A1538" s="5" t="s">
        <v>1775</v>
      </c>
      <c r="B1538" s="6" t="s">
        <v>1774</v>
      </c>
      <c r="C1538" s="7" t="s">
        <v>24</v>
      </c>
      <c r="D1538" s="7" t="s">
        <v>25</v>
      </c>
      <c r="E1538" s="8" t="s">
        <v>4465</v>
      </c>
    </row>
    <row r="1539" spans="1:5" x14ac:dyDescent="0.25">
      <c r="A1539" s="5" t="s">
        <v>3312</v>
      </c>
      <c r="B1539" s="6" t="s">
        <v>4084</v>
      </c>
      <c r="C1539" s="7" t="s">
        <v>24</v>
      </c>
      <c r="D1539" s="7" t="s">
        <v>64</v>
      </c>
      <c r="E1539" s="8" t="s">
        <v>99</v>
      </c>
    </row>
    <row r="1540" spans="1:5" x14ac:dyDescent="0.25">
      <c r="A1540" s="5" t="s">
        <v>3312</v>
      </c>
      <c r="B1540" s="6" t="s">
        <v>4085</v>
      </c>
      <c r="C1540" s="7" t="s">
        <v>24</v>
      </c>
      <c r="D1540" s="7" t="s">
        <v>64</v>
      </c>
      <c r="E1540" s="8" t="s">
        <v>99</v>
      </c>
    </row>
    <row r="1541" spans="1:5" x14ac:dyDescent="0.25">
      <c r="A1541" s="5" t="s">
        <v>1777</v>
      </c>
      <c r="B1541" s="6" t="s">
        <v>1776</v>
      </c>
      <c r="C1541" s="7" t="s">
        <v>24</v>
      </c>
      <c r="D1541" s="7" t="s">
        <v>64</v>
      </c>
      <c r="E1541" s="8" t="s">
        <v>99</v>
      </c>
    </row>
    <row r="1542" spans="1:5" x14ac:dyDescent="0.25">
      <c r="A1542" s="5" t="s">
        <v>1779</v>
      </c>
      <c r="B1542" s="6" t="s">
        <v>1778</v>
      </c>
      <c r="C1542" s="7" t="s">
        <v>24</v>
      </c>
      <c r="D1542" s="7" t="s">
        <v>64</v>
      </c>
      <c r="E1542" s="8" t="s">
        <v>99</v>
      </c>
    </row>
    <row r="1543" spans="1:5" x14ac:dyDescent="0.25">
      <c r="A1543" s="5" t="s">
        <v>1781</v>
      </c>
      <c r="B1543" s="6" t="s">
        <v>1780</v>
      </c>
      <c r="C1543" s="7" t="s">
        <v>24</v>
      </c>
      <c r="D1543" s="7" t="s">
        <v>64</v>
      </c>
      <c r="E1543" s="8" t="s">
        <v>99</v>
      </c>
    </row>
    <row r="1544" spans="1:5" x14ac:dyDescent="0.25">
      <c r="A1544" s="5" t="s">
        <v>1783</v>
      </c>
      <c r="B1544" s="6" t="s">
        <v>1782</v>
      </c>
      <c r="C1544" s="7" t="s">
        <v>24</v>
      </c>
      <c r="D1544" s="7" t="s">
        <v>25</v>
      </c>
      <c r="E1544" s="8" t="s">
        <v>4457</v>
      </c>
    </row>
    <row r="1545" spans="1:5" x14ac:dyDescent="0.25">
      <c r="A1545" s="5" t="s">
        <v>1785</v>
      </c>
      <c r="B1545" s="6" t="s">
        <v>1784</v>
      </c>
      <c r="C1545" s="7" t="s">
        <v>24</v>
      </c>
      <c r="D1545" s="7" t="s">
        <v>25</v>
      </c>
      <c r="E1545" s="8" t="s">
        <v>4459</v>
      </c>
    </row>
    <row r="1546" spans="1:5" x14ac:dyDescent="0.25">
      <c r="A1546" s="5" t="s">
        <v>1787</v>
      </c>
      <c r="B1546" s="6" t="s">
        <v>1786</v>
      </c>
      <c r="C1546" s="7" t="s">
        <v>24</v>
      </c>
      <c r="D1546" s="7" t="s">
        <v>25</v>
      </c>
      <c r="E1546" s="8" t="s">
        <v>4458</v>
      </c>
    </row>
    <row r="1547" spans="1:5" x14ac:dyDescent="0.25">
      <c r="A1547" s="5" t="s">
        <v>1789</v>
      </c>
      <c r="B1547" s="6" t="s">
        <v>1788</v>
      </c>
      <c r="C1547" s="7" t="s">
        <v>24</v>
      </c>
      <c r="D1547" s="7" t="s">
        <v>25</v>
      </c>
      <c r="E1547" s="8" t="s">
        <v>4461</v>
      </c>
    </row>
    <row r="1548" spans="1:5" x14ac:dyDescent="0.25">
      <c r="A1548" s="5" t="s">
        <v>1791</v>
      </c>
      <c r="B1548" s="6" t="s">
        <v>1790</v>
      </c>
      <c r="C1548" s="7" t="s">
        <v>24</v>
      </c>
      <c r="D1548" s="7" t="s">
        <v>25</v>
      </c>
      <c r="E1548" s="8" t="s">
        <v>4462</v>
      </c>
    </row>
    <row r="1549" spans="1:5" x14ac:dyDescent="0.25">
      <c r="A1549" s="5" t="s">
        <v>1793</v>
      </c>
      <c r="B1549" s="6" t="s">
        <v>1792</v>
      </c>
      <c r="C1549" s="7" t="s">
        <v>24</v>
      </c>
      <c r="D1549" s="7" t="s">
        <v>25</v>
      </c>
      <c r="E1549" s="8" t="s">
        <v>4463</v>
      </c>
    </row>
    <row r="1550" spans="1:5" x14ac:dyDescent="0.25">
      <c r="A1550" s="5" t="s">
        <v>3640</v>
      </c>
      <c r="B1550" s="6" t="s">
        <v>4416</v>
      </c>
      <c r="C1550" s="7" t="s">
        <v>24</v>
      </c>
      <c r="D1550" s="7" t="s">
        <v>4474</v>
      </c>
      <c r="E1550" s="8" t="s">
        <v>4454</v>
      </c>
    </row>
    <row r="1551" spans="1:5" x14ac:dyDescent="0.25">
      <c r="A1551" s="5" t="s">
        <v>3649</v>
      </c>
      <c r="B1551" s="6" t="s">
        <v>4426</v>
      </c>
      <c r="C1551" s="7" t="s">
        <v>24</v>
      </c>
      <c r="D1551" s="7" t="s">
        <v>4474</v>
      </c>
      <c r="E1551" s="8" t="s">
        <v>4454</v>
      </c>
    </row>
    <row r="1552" spans="1:5" x14ac:dyDescent="0.25">
      <c r="A1552" s="5" t="s">
        <v>3650</v>
      </c>
      <c r="B1552" s="6" t="s">
        <v>4427</v>
      </c>
      <c r="C1552" s="7" t="s">
        <v>24</v>
      </c>
      <c r="D1552" s="7" t="s">
        <v>4474</v>
      </c>
      <c r="E1552" s="8" t="s">
        <v>4454</v>
      </c>
    </row>
    <row r="1553" spans="1:5" x14ac:dyDescent="0.25">
      <c r="A1553" s="5" t="s">
        <v>3651</v>
      </c>
      <c r="B1553" s="6" t="s">
        <v>4428</v>
      </c>
      <c r="C1553" s="7" t="s">
        <v>24</v>
      </c>
      <c r="D1553" s="7" t="s">
        <v>4474</v>
      </c>
      <c r="E1553" s="8" t="s">
        <v>4454</v>
      </c>
    </row>
    <row r="1554" spans="1:5" x14ac:dyDescent="0.25">
      <c r="A1554" s="5" t="s">
        <v>3641</v>
      </c>
      <c r="B1554" s="6" t="s">
        <v>4417</v>
      </c>
      <c r="C1554" s="7" t="s">
        <v>24</v>
      </c>
      <c r="D1554" s="7" t="s">
        <v>4474</v>
      </c>
      <c r="E1554" s="8" t="s">
        <v>4454</v>
      </c>
    </row>
    <row r="1555" spans="1:5" x14ac:dyDescent="0.25">
      <c r="A1555" s="5" t="s">
        <v>3652</v>
      </c>
      <c r="B1555" s="6" t="s">
        <v>4429</v>
      </c>
      <c r="C1555" s="7" t="s">
        <v>24</v>
      </c>
      <c r="D1555" s="7" t="s">
        <v>4474</v>
      </c>
      <c r="E1555" s="8" t="s">
        <v>4454</v>
      </c>
    </row>
    <row r="1556" spans="1:5" x14ac:dyDescent="0.25">
      <c r="A1556" s="5" t="s">
        <v>3653</v>
      </c>
      <c r="B1556" s="6" t="s">
        <v>4430</v>
      </c>
      <c r="C1556" s="7" t="s">
        <v>24</v>
      </c>
      <c r="D1556" s="7" t="s">
        <v>4474</v>
      </c>
      <c r="E1556" s="8" t="s">
        <v>4454</v>
      </c>
    </row>
    <row r="1557" spans="1:5" x14ac:dyDescent="0.25">
      <c r="A1557" s="5" t="s">
        <v>3654</v>
      </c>
      <c r="B1557" s="6" t="s">
        <v>4431</v>
      </c>
      <c r="C1557" s="7" t="s">
        <v>24</v>
      </c>
      <c r="D1557" s="7" t="s">
        <v>4474</v>
      </c>
      <c r="E1557" s="8" t="s">
        <v>4454</v>
      </c>
    </row>
    <row r="1558" spans="1:5" x14ac:dyDescent="0.25">
      <c r="A1558" s="5" t="s">
        <v>1795</v>
      </c>
      <c r="B1558" s="6" t="s">
        <v>1794</v>
      </c>
      <c r="C1558" s="7" t="s">
        <v>24</v>
      </c>
      <c r="D1558" s="7" t="s">
        <v>64</v>
      </c>
      <c r="E1558" s="8" t="s">
        <v>4469</v>
      </c>
    </row>
    <row r="1559" spans="1:5" x14ac:dyDescent="0.25">
      <c r="A1559" s="5" t="s">
        <v>1797</v>
      </c>
      <c r="B1559" s="6" t="s">
        <v>1796</v>
      </c>
      <c r="C1559" s="7" t="s">
        <v>24</v>
      </c>
      <c r="D1559" s="7" t="s">
        <v>64</v>
      </c>
      <c r="E1559" s="8" t="s">
        <v>4472</v>
      </c>
    </row>
    <row r="1560" spans="1:5" x14ac:dyDescent="0.25">
      <c r="A1560" s="5" t="s">
        <v>1799</v>
      </c>
      <c r="B1560" s="6" t="s">
        <v>1798</v>
      </c>
      <c r="C1560" s="7" t="s">
        <v>24</v>
      </c>
      <c r="D1560" s="7" t="s">
        <v>64</v>
      </c>
      <c r="E1560" s="8" t="s">
        <v>4471</v>
      </c>
    </row>
    <row r="1561" spans="1:5" x14ac:dyDescent="0.25">
      <c r="A1561" s="5" t="s">
        <v>1801</v>
      </c>
      <c r="B1561" s="6" t="s">
        <v>1800</v>
      </c>
      <c r="C1561" s="7" t="s">
        <v>24</v>
      </c>
      <c r="D1561" s="7" t="s">
        <v>64</v>
      </c>
      <c r="E1561" s="8" t="s">
        <v>4473</v>
      </c>
    </row>
    <row r="1562" spans="1:5" x14ac:dyDescent="0.25">
      <c r="A1562" s="5" t="s">
        <v>1803</v>
      </c>
      <c r="B1562" s="6" t="s">
        <v>1802</v>
      </c>
      <c r="C1562" s="7" t="s">
        <v>24</v>
      </c>
      <c r="D1562" s="7" t="s">
        <v>25</v>
      </c>
      <c r="E1562" s="8" t="s">
        <v>4457</v>
      </c>
    </row>
    <row r="1563" spans="1:5" x14ac:dyDescent="0.25">
      <c r="A1563" s="5" t="s">
        <v>1805</v>
      </c>
      <c r="B1563" s="6" t="s">
        <v>1804</v>
      </c>
      <c r="C1563" s="7" t="s">
        <v>24</v>
      </c>
      <c r="D1563" s="7" t="s">
        <v>25</v>
      </c>
      <c r="E1563" s="8" t="s">
        <v>4458</v>
      </c>
    </row>
    <row r="1564" spans="1:5" x14ac:dyDescent="0.25">
      <c r="A1564" s="5" t="s">
        <v>1807</v>
      </c>
      <c r="B1564" s="6" t="s">
        <v>1806</v>
      </c>
      <c r="C1564" s="7" t="s">
        <v>24</v>
      </c>
      <c r="D1564" s="7" t="s">
        <v>25</v>
      </c>
      <c r="E1564" s="8" t="s">
        <v>4459</v>
      </c>
    </row>
    <row r="1565" spans="1:5" x14ac:dyDescent="0.25">
      <c r="A1565" s="5" t="s">
        <v>1809</v>
      </c>
      <c r="B1565" s="6" t="s">
        <v>1808</v>
      </c>
      <c r="C1565" s="7" t="s">
        <v>24</v>
      </c>
      <c r="D1565" s="7" t="s">
        <v>25</v>
      </c>
      <c r="E1565" s="8" t="s">
        <v>4457</v>
      </c>
    </row>
    <row r="1566" spans="1:5" x14ac:dyDescent="0.25">
      <c r="A1566" s="5" t="s">
        <v>1811</v>
      </c>
      <c r="B1566" s="6" t="s">
        <v>1810</v>
      </c>
      <c r="C1566" s="7" t="s">
        <v>24</v>
      </c>
      <c r="D1566" s="7" t="s">
        <v>25</v>
      </c>
      <c r="E1566" s="8" t="s">
        <v>4458</v>
      </c>
    </row>
    <row r="1567" spans="1:5" x14ac:dyDescent="0.25">
      <c r="A1567" s="5" t="s">
        <v>1813</v>
      </c>
      <c r="B1567" s="6" t="s">
        <v>1812</v>
      </c>
      <c r="C1567" s="7" t="s">
        <v>24</v>
      </c>
      <c r="D1567" s="7" t="s">
        <v>25</v>
      </c>
      <c r="E1567" s="8" t="s">
        <v>4459</v>
      </c>
    </row>
    <row r="1568" spans="1:5" x14ac:dyDescent="0.25">
      <c r="A1568" s="5" t="s">
        <v>1815</v>
      </c>
      <c r="B1568" s="6" t="s">
        <v>1814</v>
      </c>
      <c r="C1568" s="7" t="s">
        <v>24</v>
      </c>
      <c r="D1568" s="7" t="s">
        <v>25</v>
      </c>
      <c r="E1568" s="8" t="s">
        <v>4461</v>
      </c>
    </row>
    <row r="1569" spans="1:5" x14ac:dyDescent="0.25">
      <c r="A1569" s="5" t="s">
        <v>1817</v>
      </c>
      <c r="B1569" s="6" t="s">
        <v>1816</v>
      </c>
      <c r="C1569" s="7" t="s">
        <v>24</v>
      </c>
      <c r="D1569" s="7" t="s">
        <v>25</v>
      </c>
      <c r="E1569" s="8" t="s">
        <v>4465</v>
      </c>
    </row>
    <row r="1570" spans="1:5" x14ac:dyDescent="0.25">
      <c r="A1570" s="5" t="s">
        <v>1819</v>
      </c>
      <c r="B1570" s="6" t="s">
        <v>1818</v>
      </c>
      <c r="C1570" s="7" t="s">
        <v>24</v>
      </c>
      <c r="D1570" s="7" t="s">
        <v>25</v>
      </c>
      <c r="E1570" s="8" t="s">
        <v>4462</v>
      </c>
    </row>
    <row r="1571" spans="1:5" x14ac:dyDescent="0.25">
      <c r="A1571" s="5" t="s">
        <v>1821</v>
      </c>
      <c r="B1571" s="6" t="s">
        <v>1820</v>
      </c>
      <c r="C1571" s="7" t="s">
        <v>24</v>
      </c>
      <c r="D1571" s="7" t="s">
        <v>25</v>
      </c>
      <c r="E1571" s="8" t="s">
        <v>4463</v>
      </c>
    </row>
    <row r="1572" spans="1:5" x14ac:dyDescent="0.25">
      <c r="A1572" s="5" t="s">
        <v>1823</v>
      </c>
      <c r="B1572" s="6" t="s">
        <v>1822</v>
      </c>
      <c r="C1572" s="7" t="s">
        <v>24</v>
      </c>
      <c r="D1572" s="7" t="s">
        <v>25</v>
      </c>
      <c r="E1572" s="8" t="s">
        <v>4457</v>
      </c>
    </row>
    <row r="1573" spans="1:5" x14ac:dyDescent="0.25">
      <c r="A1573" s="5" t="s">
        <v>1825</v>
      </c>
      <c r="B1573" s="6" t="s">
        <v>1824</v>
      </c>
      <c r="C1573" s="7" t="s">
        <v>24</v>
      </c>
      <c r="D1573" s="7" t="s">
        <v>25</v>
      </c>
      <c r="E1573" s="8" t="s">
        <v>4458</v>
      </c>
    </row>
    <row r="1574" spans="1:5" x14ac:dyDescent="0.25">
      <c r="A1574" s="5" t="s">
        <v>1827</v>
      </c>
      <c r="B1574" s="6" t="s">
        <v>1826</v>
      </c>
      <c r="C1574" s="7" t="s">
        <v>24</v>
      </c>
      <c r="D1574" s="7" t="s">
        <v>25</v>
      </c>
      <c r="E1574" s="8" t="s">
        <v>4459</v>
      </c>
    </row>
    <row r="1575" spans="1:5" x14ac:dyDescent="0.25">
      <c r="A1575" s="5" t="s">
        <v>3642</v>
      </c>
      <c r="B1575" s="6" t="s">
        <v>4418</v>
      </c>
      <c r="C1575" s="7" t="s">
        <v>24</v>
      </c>
      <c r="D1575" s="7" t="s">
        <v>4474</v>
      </c>
      <c r="E1575" s="8" t="s">
        <v>4454</v>
      </c>
    </row>
    <row r="1576" spans="1:5" x14ac:dyDescent="0.25">
      <c r="A1576" s="12" t="s">
        <v>3655</v>
      </c>
      <c r="B1576" s="6" t="s">
        <v>4432</v>
      </c>
      <c r="C1576" s="13" t="s">
        <v>24</v>
      </c>
      <c r="D1576" s="13" t="s">
        <v>4474</v>
      </c>
      <c r="E1576" s="8" t="s">
        <v>4454</v>
      </c>
    </row>
    <row r="1577" spans="1:5" x14ac:dyDescent="0.25">
      <c r="A1577" s="5" t="s">
        <v>3656</v>
      </c>
      <c r="B1577" s="6" t="s">
        <v>4433</v>
      </c>
      <c r="C1577" s="7" t="s">
        <v>24</v>
      </c>
      <c r="D1577" s="7" t="s">
        <v>4474</v>
      </c>
      <c r="E1577" s="8" t="s">
        <v>4454</v>
      </c>
    </row>
    <row r="1578" spans="1:5" x14ac:dyDescent="0.25">
      <c r="A1578" s="5" t="s">
        <v>3657</v>
      </c>
      <c r="B1578" s="6" t="s">
        <v>4434</v>
      </c>
      <c r="C1578" s="7" t="s">
        <v>24</v>
      </c>
      <c r="D1578" s="7" t="s">
        <v>4474</v>
      </c>
      <c r="E1578" s="8" t="s">
        <v>4454</v>
      </c>
    </row>
    <row r="1579" spans="1:5" x14ac:dyDescent="0.25">
      <c r="A1579" s="5" t="s">
        <v>1829</v>
      </c>
      <c r="B1579" s="6" t="s">
        <v>1828</v>
      </c>
      <c r="C1579" s="7" t="s">
        <v>24</v>
      </c>
      <c r="D1579" s="7" t="s">
        <v>64</v>
      </c>
      <c r="E1579" s="8" t="s">
        <v>99</v>
      </c>
    </row>
    <row r="1580" spans="1:5" x14ac:dyDescent="0.25">
      <c r="A1580" s="5" t="s">
        <v>1831</v>
      </c>
      <c r="B1580" s="6" t="s">
        <v>1830</v>
      </c>
      <c r="C1580" s="7" t="s">
        <v>24</v>
      </c>
      <c r="D1580" s="7" t="s">
        <v>64</v>
      </c>
      <c r="E1580" s="8" t="s">
        <v>68</v>
      </c>
    </row>
    <row r="1581" spans="1:5" x14ac:dyDescent="0.25">
      <c r="A1581" s="5" t="s">
        <v>1833</v>
      </c>
      <c r="B1581" s="6" t="s">
        <v>1832</v>
      </c>
      <c r="C1581" s="7" t="s">
        <v>24</v>
      </c>
      <c r="D1581" s="7" t="s">
        <v>25</v>
      </c>
      <c r="E1581" s="8" t="s">
        <v>4468</v>
      </c>
    </row>
    <row r="1582" spans="1:5" x14ac:dyDescent="0.25">
      <c r="A1582" s="5" t="s">
        <v>1835</v>
      </c>
      <c r="B1582" s="6" t="s">
        <v>1834</v>
      </c>
      <c r="C1582" s="7" t="s">
        <v>24</v>
      </c>
      <c r="D1582" s="7" t="s">
        <v>64</v>
      </c>
      <c r="E1582" s="8" t="s">
        <v>68</v>
      </c>
    </row>
    <row r="1583" spans="1:5" x14ac:dyDescent="0.25">
      <c r="A1583" s="5" t="s">
        <v>1837</v>
      </c>
      <c r="B1583" s="6" t="s">
        <v>1836</v>
      </c>
      <c r="C1583" s="7" t="s">
        <v>24</v>
      </c>
      <c r="D1583" s="7" t="s">
        <v>64</v>
      </c>
      <c r="E1583" s="8" t="s">
        <v>65</v>
      </c>
    </row>
    <row r="1584" spans="1:5" x14ac:dyDescent="0.25">
      <c r="A1584" s="5" t="s">
        <v>1839</v>
      </c>
      <c r="B1584" s="6" t="s">
        <v>1838</v>
      </c>
      <c r="C1584" s="7" t="s">
        <v>24</v>
      </c>
      <c r="D1584" s="7" t="s">
        <v>64</v>
      </c>
      <c r="E1584" s="8" t="s">
        <v>99</v>
      </c>
    </row>
    <row r="1585" spans="1:5" x14ac:dyDescent="0.25">
      <c r="A1585" s="5" t="s">
        <v>1841</v>
      </c>
      <c r="B1585" s="6" t="s">
        <v>1840</v>
      </c>
      <c r="C1585" s="7" t="s">
        <v>24</v>
      </c>
      <c r="D1585" s="7" t="s">
        <v>25</v>
      </c>
      <c r="E1585" s="8" t="s">
        <v>288</v>
      </c>
    </row>
    <row r="1586" spans="1:5" x14ac:dyDescent="0.25">
      <c r="A1586" s="5" t="s">
        <v>1843</v>
      </c>
      <c r="B1586" s="6" t="s">
        <v>1842</v>
      </c>
      <c r="C1586" s="7" t="s">
        <v>24</v>
      </c>
      <c r="D1586" s="7" t="s">
        <v>64</v>
      </c>
      <c r="E1586" s="8" t="s">
        <v>87</v>
      </c>
    </row>
    <row r="1587" spans="1:5" x14ac:dyDescent="0.25">
      <c r="A1587" s="5" t="s">
        <v>1845</v>
      </c>
      <c r="B1587" s="6" t="s">
        <v>1844</v>
      </c>
      <c r="C1587" s="7" t="s">
        <v>24</v>
      </c>
      <c r="D1587" s="7" t="s">
        <v>64</v>
      </c>
      <c r="E1587" s="8" t="s">
        <v>288</v>
      </c>
    </row>
    <row r="1588" spans="1:5" x14ac:dyDescent="0.25">
      <c r="A1588" s="5" t="s">
        <v>1847</v>
      </c>
      <c r="B1588" s="6" t="s">
        <v>1846</v>
      </c>
      <c r="C1588" s="7" t="s">
        <v>24</v>
      </c>
      <c r="D1588" s="7" t="s">
        <v>64</v>
      </c>
      <c r="E1588" s="8" t="s">
        <v>99</v>
      </c>
    </row>
    <row r="1589" spans="1:5" x14ac:dyDescent="0.25">
      <c r="A1589" s="5" t="s">
        <v>1849</v>
      </c>
      <c r="B1589" s="6" t="s">
        <v>1848</v>
      </c>
      <c r="C1589" s="7" t="s">
        <v>24</v>
      </c>
      <c r="D1589" s="7" t="s">
        <v>64</v>
      </c>
      <c r="E1589" s="8" t="s">
        <v>68</v>
      </c>
    </row>
    <row r="1590" spans="1:5" x14ac:dyDescent="0.25">
      <c r="A1590" s="5" t="s">
        <v>1851</v>
      </c>
      <c r="B1590" s="6" t="s">
        <v>1850</v>
      </c>
      <c r="C1590" s="7" t="s">
        <v>24</v>
      </c>
      <c r="D1590" s="7" t="s">
        <v>64</v>
      </c>
      <c r="E1590" s="8" t="s">
        <v>288</v>
      </c>
    </row>
    <row r="1591" spans="1:5" x14ac:dyDescent="0.25">
      <c r="A1591" s="5" t="s">
        <v>1853</v>
      </c>
      <c r="B1591" s="6" t="s">
        <v>1852</v>
      </c>
      <c r="C1591" s="7" t="s">
        <v>24</v>
      </c>
      <c r="D1591" s="7" t="s">
        <v>64</v>
      </c>
      <c r="E1591" s="8" t="s">
        <v>426</v>
      </c>
    </row>
    <row r="1592" spans="1:5" x14ac:dyDescent="0.25">
      <c r="A1592" s="5" t="s">
        <v>1855</v>
      </c>
      <c r="B1592" s="6" t="s">
        <v>1854</v>
      </c>
      <c r="C1592" s="7" t="s">
        <v>24</v>
      </c>
      <c r="D1592" s="7" t="s">
        <v>64</v>
      </c>
      <c r="E1592" s="8" t="s">
        <v>4469</v>
      </c>
    </row>
    <row r="1593" spans="1:5" x14ac:dyDescent="0.25">
      <c r="A1593" s="5" t="s">
        <v>1857</v>
      </c>
      <c r="B1593" s="6" t="s">
        <v>1856</v>
      </c>
      <c r="C1593" s="7" t="s">
        <v>24</v>
      </c>
      <c r="D1593" s="7" t="s">
        <v>64</v>
      </c>
      <c r="E1593" s="8" t="s">
        <v>4469</v>
      </c>
    </row>
    <row r="1594" spans="1:5" x14ac:dyDescent="0.25">
      <c r="A1594" s="5" t="s">
        <v>1859</v>
      </c>
      <c r="B1594" s="6" t="s">
        <v>1858</v>
      </c>
      <c r="C1594" s="7" t="s">
        <v>24</v>
      </c>
      <c r="D1594" s="7" t="s">
        <v>64</v>
      </c>
      <c r="E1594" s="8" t="s">
        <v>90</v>
      </c>
    </row>
    <row r="1595" spans="1:5" x14ac:dyDescent="0.25">
      <c r="A1595" s="5" t="s">
        <v>1861</v>
      </c>
      <c r="B1595" s="6" t="s">
        <v>1860</v>
      </c>
      <c r="C1595" s="7" t="s">
        <v>24</v>
      </c>
      <c r="D1595" s="7" t="s">
        <v>64</v>
      </c>
      <c r="E1595" s="8" t="s">
        <v>426</v>
      </c>
    </row>
    <row r="1596" spans="1:5" x14ac:dyDescent="0.25">
      <c r="A1596" s="5" t="s">
        <v>1863</v>
      </c>
      <c r="B1596" s="6" t="s">
        <v>1862</v>
      </c>
      <c r="C1596" s="7" t="s">
        <v>24</v>
      </c>
      <c r="D1596" s="7" t="s">
        <v>64</v>
      </c>
      <c r="E1596" s="8" t="s">
        <v>93</v>
      </c>
    </row>
    <row r="1597" spans="1:5" x14ac:dyDescent="0.25">
      <c r="A1597" s="5" t="s">
        <v>1865</v>
      </c>
      <c r="B1597" s="6" t="s">
        <v>1864</v>
      </c>
      <c r="C1597" s="7" t="s">
        <v>24</v>
      </c>
      <c r="D1597" s="7" t="s">
        <v>64</v>
      </c>
      <c r="E1597" s="8" t="s">
        <v>4471</v>
      </c>
    </row>
    <row r="1598" spans="1:5" x14ac:dyDescent="0.25">
      <c r="A1598" s="5" t="s">
        <v>1867</v>
      </c>
      <c r="B1598" s="6" t="s">
        <v>1866</v>
      </c>
      <c r="C1598" s="7" t="s">
        <v>24</v>
      </c>
      <c r="D1598" s="7" t="s">
        <v>64</v>
      </c>
      <c r="E1598" s="8" t="s">
        <v>573</v>
      </c>
    </row>
    <row r="1599" spans="1:5" x14ac:dyDescent="0.25">
      <c r="A1599" s="5" t="s">
        <v>3610</v>
      </c>
      <c r="B1599" s="6" t="s">
        <v>4387</v>
      </c>
      <c r="C1599" s="7" t="s">
        <v>24</v>
      </c>
      <c r="D1599" s="7" t="s">
        <v>4474</v>
      </c>
      <c r="E1599" s="8" t="s">
        <v>4454</v>
      </c>
    </row>
    <row r="1600" spans="1:5" x14ac:dyDescent="0.25">
      <c r="A1600" s="5" t="s">
        <v>3611</v>
      </c>
      <c r="B1600" s="6" t="s">
        <v>4388</v>
      </c>
      <c r="C1600" s="7" t="s">
        <v>24</v>
      </c>
      <c r="D1600" s="7" t="s">
        <v>4474</v>
      </c>
      <c r="E1600" s="8" t="s">
        <v>4454</v>
      </c>
    </row>
    <row r="1601" spans="1:5" x14ac:dyDescent="0.25">
      <c r="A1601" s="5" t="s">
        <v>3613</v>
      </c>
      <c r="B1601" s="6" t="s">
        <v>4390</v>
      </c>
      <c r="C1601" s="7" t="s">
        <v>24</v>
      </c>
      <c r="D1601" s="7" t="s">
        <v>4474</v>
      </c>
      <c r="E1601" s="8" t="s">
        <v>4454</v>
      </c>
    </row>
    <row r="1602" spans="1:5" x14ac:dyDescent="0.25">
      <c r="A1602" s="5" t="s">
        <v>1869</v>
      </c>
      <c r="B1602" s="6" t="s">
        <v>1868</v>
      </c>
      <c r="C1602" s="7" t="s">
        <v>24</v>
      </c>
      <c r="D1602" s="7" t="s">
        <v>25</v>
      </c>
      <c r="E1602" s="8" t="s">
        <v>4460</v>
      </c>
    </row>
    <row r="1603" spans="1:5" x14ac:dyDescent="0.25">
      <c r="A1603" s="5" t="s">
        <v>1871</v>
      </c>
      <c r="B1603" s="6" t="s">
        <v>1870</v>
      </c>
      <c r="C1603" s="7" t="s">
        <v>24</v>
      </c>
      <c r="D1603" s="7" t="s">
        <v>64</v>
      </c>
      <c r="E1603" s="8" t="s">
        <v>99</v>
      </c>
    </row>
    <row r="1604" spans="1:5" x14ac:dyDescent="0.25">
      <c r="A1604" s="5" t="s">
        <v>3313</v>
      </c>
      <c r="B1604" s="6" t="s">
        <v>4087</v>
      </c>
      <c r="C1604" s="7" t="s">
        <v>24</v>
      </c>
      <c r="D1604" s="7" t="s">
        <v>64</v>
      </c>
      <c r="E1604" s="8" t="s">
        <v>99</v>
      </c>
    </row>
    <row r="1605" spans="1:5" x14ac:dyDescent="0.25">
      <c r="A1605" s="5" t="s">
        <v>1873</v>
      </c>
      <c r="B1605" s="6" t="s">
        <v>1872</v>
      </c>
      <c r="C1605" s="7" t="s">
        <v>24</v>
      </c>
      <c r="D1605" s="7" t="s">
        <v>25</v>
      </c>
      <c r="E1605" s="8" t="s">
        <v>4458</v>
      </c>
    </row>
    <row r="1606" spans="1:5" x14ac:dyDescent="0.25">
      <c r="A1606" s="5" t="s">
        <v>1875</v>
      </c>
      <c r="B1606" s="6" t="s">
        <v>1874</v>
      </c>
      <c r="C1606" s="7" t="s">
        <v>24</v>
      </c>
      <c r="D1606" s="7" t="s">
        <v>64</v>
      </c>
      <c r="E1606" s="8" t="s">
        <v>65</v>
      </c>
    </row>
    <row r="1607" spans="1:5" x14ac:dyDescent="0.25">
      <c r="A1607" s="5" t="s">
        <v>1877</v>
      </c>
      <c r="B1607" s="6" t="s">
        <v>1876</v>
      </c>
      <c r="C1607" s="7" t="s">
        <v>24</v>
      </c>
      <c r="D1607" s="7" t="s">
        <v>25</v>
      </c>
      <c r="E1607" s="8" t="s">
        <v>4457</v>
      </c>
    </row>
    <row r="1608" spans="1:5" x14ac:dyDescent="0.25">
      <c r="A1608" s="5" t="s">
        <v>1879</v>
      </c>
      <c r="B1608" s="6" t="s">
        <v>1878</v>
      </c>
      <c r="C1608" s="7" t="s">
        <v>24</v>
      </c>
      <c r="D1608" s="7" t="s">
        <v>25</v>
      </c>
      <c r="E1608" s="8" t="s">
        <v>4459</v>
      </c>
    </row>
    <row r="1609" spans="1:5" x14ac:dyDescent="0.25">
      <c r="A1609" s="5" t="s">
        <v>1881</v>
      </c>
      <c r="B1609" s="6" t="s">
        <v>1880</v>
      </c>
      <c r="C1609" s="7" t="s">
        <v>24</v>
      </c>
      <c r="D1609" s="7" t="s">
        <v>25</v>
      </c>
      <c r="E1609" s="8" t="s">
        <v>4461</v>
      </c>
    </row>
    <row r="1610" spans="1:5" x14ac:dyDescent="0.25">
      <c r="A1610" s="5" t="s">
        <v>1883</v>
      </c>
      <c r="B1610" s="6" t="s">
        <v>1882</v>
      </c>
      <c r="C1610" s="7" t="s">
        <v>24</v>
      </c>
      <c r="D1610" s="7" t="s">
        <v>25</v>
      </c>
      <c r="E1610" s="8" t="s">
        <v>4460</v>
      </c>
    </row>
    <row r="1611" spans="1:5" x14ac:dyDescent="0.25">
      <c r="A1611" s="5" t="s">
        <v>4556</v>
      </c>
      <c r="B1611" s="6" t="s">
        <v>4557</v>
      </c>
      <c r="C1611" s="7" t="s">
        <v>24</v>
      </c>
      <c r="D1611" s="7" t="s">
        <v>64</v>
      </c>
      <c r="E1611" s="8" t="s">
        <v>99</v>
      </c>
    </row>
    <row r="1612" spans="1:5" x14ac:dyDescent="0.25">
      <c r="A1612" s="5" t="s">
        <v>3303</v>
      </c>
      <c r="B1612" s="6" t="s">
        <v>4074</v>
      </c>
      <c r="C1612" s="7" t="s">
        <v>24</v>
      </c>
      <c r="D1612" s="7" t="s">
        <v>64</v>
      </c>
      <c r="E1612" s="8" t="s">
        <v>99</v>
      </c>
    </row>
    <row r="1613" spans="1:5" x14ac:dyDescent="0.25">
      <c r="A1613" s="5" t="s">
        <v>3303</v>
      </c>
      <c r="B1613" s="6" t="s">
        <v>4079</v>
      </c>
      <c r="C1613" s="7" t="s">
        <v>24</v>
      </c>
      <c r="D1613" s="7" t="s">
        <v>64</v>
      </c>
      <c r="E1613" s="8" t="s">
        <v>99</v>
      </c>
    </row>
    <row r="1614" spans="1:5" x14ac:dyDescent="0.25">
      <c r="A1614" s="5" t="s">
        <v>1885</v>
      </c>
      <c r="B1614" s="6" t="s">
        <v>1884</v>
      </c>
      <c r="C1614" s="7" t="s">
        <v>24</v>
      </c>
      <c r="D1614" s="7" t="s">
        <v>64</v>
      </c>
      <c r="E1614" s="8" t="s">
        <v>4469</v>
      </c>
    </row>
    <row r="1615" spans="1:5" x14ac:dyDescent="0.25">
      <c r="A1615" s="5" t="s">
        <v>1887</v>
      </c>
      <c r="B1615" s="6" t="s">
        <v>1886</v>
      </c>
      <c r="C1615" s="7" t="s">
        <v>24</v>
      </c>
      <c r="D1615" s="7" t="s">
        <v>64</v>
      </c>
      <c r="E1615" s="8" t="s">
        <v>4472</v>
      </c>
    </row>
    <row r="1616" spans="1:5" x14ac:dyDescent="0.25">
      <c r="A1616" s="5" t="s">
        <v>1889</v>
      </c>
      <c r="B1616" s="6" t="s">
        <v>1888</v>
      </c>
      <c r="C1616" s="7" t="s">
        <v>24</v>
      </c>
      <c r="D1616" s="7" t="s">
        <v>64</v>
      </c>
      <c r="E1616" s="8" t="s">
        <v>4471</v>
      </c>
    </row>
    <row r="1617" spans="1:5" x14ac:dyDescent="0.25">
      <c r="A1617" s="5" t="s">
        <v>1891</v>
      </c>
      <c r="B1617" s="6" t="s">
        <v>1890</v>
      </c>
      <c r="C1617" s="7" t="s">
        <v>24</v>
      </c>
      <c r="D1617" s="7" t="s">
        <v>64</v>
      </c>
      <c r="E1617" s="8" t="s">
        <v>4473</v>
      </c>
    </row>
    <row r="1618" spans="1:5" x14ac:dyDescent="0.25">
      <c r="A1618" s="5" t="s">
        <v>1893</v>
      </c>
      <c r="B1618" s="6" t="s">
        <v>1892</v>
      </c>
      <c r="C1618" s="7" t="s">
        <v>24</v>
      </c>
      <c r="D1618" s="7" t="s">
        <v>64</v>
      </c>
      <c r="E1618" s="8" t="s">
        <v>4472</v>
      </c>
    </row>
    <row r="1619" spans="1:5" x14ac:dyDescent="0.25">
      <c r="A1619" s="5" t="s">
        <v>1895</v>
      </c>
      <c r="B1619" s="6" t="s">
        <v>1894</v>
      </c>
      <c r="C1619" s="7" t="s">
        <v>24</v>
      </c>
      <c r="D1619" s="7" t="s">
        <v>64</v>
      </c>
      <c r="E1619" s="8" t="s">
        <v>4469</v>
      </c>
    </row>
    <row r="1620" spans="1:5" x14ac:dyDescent="0.25">
      <c r="A1620" s="5" t="s">
        <v>1897</v>
      </c>
      <c r="B1620" s="6" t="s">
        <v>1896</v>
      </c>
      <c r="C1620" s="7" t="s">
        <v>24</v>
      </c>
      <c r="D1620" s="7" t="s">
        <v>64</v>
      </c>
      <c r="E1620" s="8" t="s">
        <v>96</v>
      </c>
    </row>
    <row r="1621" spans="1:5" x14ac:dyDescent="0.25">
      <c r="A1621" s="5" t="s">
        <v>1899</v>
      </c>
      <c r="B1621" s="6" t="s">
        <v>1898</v>
      </c>
      <c r="C1621" s="7" t="s">
        <v>24</v>
      </c>
      <c r="D1621" s="7" t="s">
        <v>64</v>
      </c>
      <c r="E1621" s="8" t="s">
        <v>426</v>
      </c>
    </row>
    <row r="1622" spans="1:5" x14ac:dyDescent="0.25">
      <c r="A1622" s="5" t="s">
        <v>1901</v>
      </c>
      <c r="B1622" s="6" t="s">
        <v>1900</v>
      </c>
      <c r="C1622" s="7" t="s">
        <v>24</v>
      </c>
      <c r="D1622" s="7" t="s">
        <v>64</v>
      </c>
      <c r="E1622" s="8" t="s">
        <v>93</v>
      </c>
    </row>
    <row r="1623" spans="1:5" x14ac:dyDescent="0.25">
      <c r="A1623" s="5" t="s">
        <v>1903</v>
      </c>
      <c r="B1623" s="6" t="s">
        <v>1902</v>
      </c>
      <c r="C1623" s="7" t="s">
        <v>24</v>
      </c>
      <c r="D1623" s="7" t="s">
        <v>64</v>
      </c>
      <c r="E1623" s="8" t="s">
        <v>93</v>
      </c>
    </row>
    <row r="1624" spans="1:5" x14ac:dyDescent="0.25">
      <c r="A1624" s="5" t="s">
        <v>1905</v>
      </c>
      <c r="B1624" s="6" t="s">
        <v>1904</v>
      </c>
      <c r="C1624" s="7" t="s">
        <v>24</v>
      </c>
      <c r="D1624" s="7" t="s">
        <v>64</v>
      </c>
      <c r="E1624" s="8" t="s">
        <v>573</v>
      </c>
    </row>
    <row r="1625" spans="1:5" x14ac:dyDescent="0.25">
      <c r="A1625" s="5" t="s">
        <v>1907</v>
      </c>
      <c r="B1625" s="6" t="s">
        <v>1906</v>
      </c>
      <c r="C1625" s="7" t="s">
        <v>24</v>
      </c>
      <c r="D1625" s="7" t="s">
        <v>64</v>
      </c>
      <c r="E1625" s="8" t="s">
        <v>96</v>
      </c>
    </row>
    <row r="1626" spans="1:5" x14ac:dyDescent="0.25">
      <c r="A1626" s="5" t="s">
        <v>1909</v>
      </c>
      <c r="B1626" s="6" t="s">
        <v>1908</v>
      </c>
      <c r="C1626" s="7" t="s">
        <v>24</v>
      </c>
      <c r="D1626" s="7" t="s">
        <v>64</v>
      </c>
      <c r="E1626" s="8" t="s">
        <v>4471</v>
      </c>
    </row>
    <row r="1627" spans="1:5" x14ac:dyDescent="0.25">
      <c r="A1627" s="5" t="s">
        <v>1911</v>
      </c>
      <c r="B1627" s="6" t="s">
        <v>1910</v>
      </c>
      <c r="C1627" s="7" t="s">
        <v>24</v>
      </c>
      <c r="D1627" s="7" t="s">
        <v>64</v>
      </c>
      <c r="E1627" s="8" t="s">
        <v>4473</v>
      </c>
    </row>
    <row r="1628" spans="1:5" x14ac:dyDescent="0.25">
      <c r="A1628" s="5" t="s">
        <v>1913</v>
      </c>
      <c r="B1628" s="6" t="s">
        <v>1912</v>
      </c>
      <c r="C1628" s="7" t="s">
        <v>24</v>
      </c>
      <c r="D1628" s="7" t="s">
        <v>25</v>
      </c>
      <c r="E1628" s="8" t="s">
        <v>4468</v>
      </c>
    </row>
    <row r="1629" spans="1:5" x14ac:dyDescent="0.25">
      <c r="A1629" s="5" t="s">
        <v>1915</v>
      </c>
      <c r="B1629" s="6" t="s">
        <v>1914</v>
      </c>
      <c r="C1629" s="7" t="s">
        <v>24</v>
      </c>
      <c r="D1629" s="7" t="s">
        <v>25</v>
      </c>
      <c r="E1629" s="8" t="s">
        <v>4458</v>
      </c>
    </row>
    <row r="1630" spans="1:5" x14ac:dyDescent="0.25">
      <c r="A1630" s="5" t="s">
        <v>1917</v>
      </c>
      <c r="B1630" s="6" t="s">
        <v>1916</v>
      </c>
      <c r="C1630" s="7" t="s">
        <v>24</v>
      </c>
      <c r="D1630" s="7" t="s">
        <v>25</v>
      </c>
      <c r="E1630" s="8" t="s">
        <v>4459</v>
      </c>
    </row>
    <row r="1631" spans="1:5" x14ac:dyDescent="0.25">
      <c r="A1631" s="5" t="s">
        <v>1919</v>
      </c>
      <c r="B1631" s="6" t="s">
        <v>1918</v>
      </c>
      <c r="C1631" s="7" t="s">
        <v>24</v>
      </c>
      <c r="D1631" s="7" t="s">
        <v>25</v>
      </c>
      <c r="E1631" s="8" t="s">
        <v>4461</v>
      </c>
    </row>
    <row r="1632" spans="1:5" x14ac:dyDescent="0.25">
      <c r="A1632" s="5" t="s">
        <v>1921</v>
      </c>
      <c r="B1632" s="6" t="s">
        <v>1920</v>
      </c>
      <c r="C1632" s="7" t="s">
        <v>24</v>
      </c>
      <c r="D1632" s="7" t="s">
        <v>25</v>
      </c>
      <c r="E1632" s="8" t="s">
        <v>4462</v>
      </c>
    </row>
    <row r="1633" spans="1:5" x14ac:dyDescent="0.25">
      <c r="A1633" s="5" t="s">
        <v>1923</v>
      </c>
      <c r="B1633" s="6" t="s">
        <v>1922</v>
      </c>
      <c r="C1633" s="13" t="s">
        <v>24</v>
      </c>
      <c r="D1633" s="13" t="s">
        <v>25</v>
      </c>
      <c r="E1633" s="8" t="s">
        <v>4463</v>
      </c>
    </row>
    <row r="1634" spans="1:5" x14ac:dyDescent="0.25">
      <c r="A1634" s="5" t="s">
        <v>1925</v>
      </c>
      <c r="B1634" s="6" t="s">
        <v>1924</v>
      </c>
      <c r="C1634" s="7" t="s">
        <v>24</v>
      </c>
      <c r="D1634" s="7" t="s">
        <v>25</v>
      </c>
      <c r="E1634" s="8" t="s">
        <v>4467</v>
      </c>
    </row>
    <row r="1635" spans="1:5" x14ac:dyDescent="0.25">
      <c r="A1635" s="5" t="s">
        <v>1927</v>
      </c>
      <c r="B1635" s="6" t="s">
        <v>1926</v>
      </c>
      <c r="C1635" s="7" t="s">
        <v>24</v>
      </c>
      <c r="D1635" s="7" t="s">
        <v>25</v>
      </c>
      <c r="E1635" s="8" t="s">
        <v>4458</v>
      </c>
    </row>
    <row r="1636" spans="1:5" x14ac:dyDescent="0.25">
      <c r="A1636" s="5" t="s">
        <v>1929</v>
      </c>
      <c r="B1636" s="6" t="s">
        <v>1928</v>
      </c>
      <c r="C1636" s="7" t="s">
        <v>24</v>
      </c>
      <c r="D1636" s="7" t="s">
        <v>25</v>
      </c>
      <c r="E1636" s="8" t="s">
        <v>4459</v>
      </c>
    </row>
    <row r="1637" spans="1:5" x14ac:dyDescent="0.25">
      <c r="A1637" s="5" t="s">
        <v>1931</v>
      </c>
      <c r="B1637" s="6" t="s">
        <v>1930</v>
      </c>
      <c r="C1637" s="7" t="s">
        <v>24</v>
      </c>
      <c r="D1637" s="7" t="s">
        <v>25</v>
      </c>
      <c r="E1637" s="8" t="s">
        <v>4461</v>
      </c>
    </row>
    <row r="1638" spans="1:5" x14ac:dyDescent="0.25">
      <c r="A1638" s="5" t="s">
        <v>1933</v>
      </c>
      <c r="B1638" s="6" t="s">
        <v>1932</v>
      </c>
      <c r="C1638" s="7" t="s">
        <v>24</v>
      </c>
      <c r="D1638" s="7" t="s">
        <v>25</v>
      </c>
      <c r="E1638" s="8" t="s">
        <v>4465</v>
      </c>
    </row>
    <row r="1639" spans="1:5" x14ac:dyDescent="0.25">
      <c r="A1639" s="5" t="s">
        <v>1935</v>
      </c>
      <c r="B1639" s="6" t="s">
        <v>1934</v>
      </c>
      <c r="C1639" s="7" t="s">
        <v>24</v>
      </c>
      <c r="D1639" s="7" t="s">
        <v>25</v>
      </c>
      <c r="E1639" s="8" t="s">
        <v>4463</v>
      </c>
    </row>
    <row r="1640" spans="1:5" x14ac:dyDescent="0.25">
      <c r="A1640" s="5" t="s">
        <v>1937</v>
      </c>
      <c r="B1640" s="6" t="s">
        <v>1936</v>
      </c>
      <c r="C1640" s="7" t="s">
        <v>24</v>
      </c>
      <c r="D1640" s="7" t="s">
        <v>25</v>
      </c>
      <c r="E1640" s="8" t="s">
        <v>4462</v>
      </c>
    </row>
    <row r="1641" spans="1:5" x14ac:dyDescent="0.25">
      <c r="A1641" s="5" t="s">
        <v>3341</v>
      </c>
      <c r="B1641" s="6" t="s">
        <v>4111</v>
      </c>
      <c r="C1641" s="7" t="s">
        <v>24</v>
      </c>
      <c r="D1641" s="7" t="s">
        <v>4456</v>
      </c>
      <c r="E1641" s="8" t="s">
        <v>4454</v>
      </c>
    </row>
    <row r="1642" spans="1:5" x14ac:dyDescent="0.25">
      <c r="A1642" s="5" t="s">
        <v>1939</v>
      </c>
      <c r="B1642" s="6" t="s">
        <v>1938</v>
      </c>
      <c r="C1642" s="7" t="s">
        <v>24</v>
      </c>
      <c r="D1642" s="7" t="s">
        <v>321</v>
      </c>
      <c r="E1642" s="8" t="s">
        <v>4455</v>
      </c>
    </row>
    <row r="1643" spans="1:5" x14ac:dyDescent="0.25">
      <c r="A1643" s="5" t="s">
        <v>1941</v>
      </c>
      <c r="B1643" s="6" t="s">
        <v>1940</v>
      </c>
      <c r="C1643" s="7" t="s">
        <v>24</v>
      </c>
      <c r="D1643" s="7" t="s">
        <v>321</v>
      </c>
      <c r="E1643" s="8" t="s">
        <v>4455</v>
      </c>
    </row>
    <row r="1644" spans="1:5" x14ac:dyDescent="0.25">
      <c r="A1644" s="5" t="s">
        <v>4482</v>
      </c>
      <c r="B1644" s="6" t="s">
        <v>4483</v>
      </c>
      <c r="C1644" s="7" t="s">
        <v>24</v>
      </c>
      <c r="D1644" s="7" t="s">
        <v>321</v>
      </c>
      <c r="E1644" s="8" t="s">
        <v>4455</v>
      </c>
    </row>
    <row r="1645" spans="1:5" x14ac:dyDescent="0.25">
      <c r="A1645" s="5" t="s">
        <v>1943</v>
      </c>
      <c r="B1645" s="6" t="s">
        <v>1942</v>
      </c>
      <c r="C1645" s="7" t="s">
        <v>24</v>
      </c>
      <c r="D1645" s="7" t="s">
        <v>64</v>
      </c>
      <c r="E1645" s="8" t="s">
        <v>573</v>
      </c>
    </row>
    <row r="1646" spans="1:5" x14ac:dyDescent="0.25">
      <c r="A1646" s="5" t="s">
        <v>1945</v>
      </c>
      <c r="B1646" s="6" t="s">
        <v>1944</v>
      </c>
      <c r="C1646" s="7" t="s">
        <v>24</v>
      </c>
      <c r="D1646" s="7" t="s">
        <v>64</v>
      </c>
      <c r="E1646" s="8" t="s">
        <v>4469</v>
      </c>
    </row>
    <row r="1647" spans="1:5" x14ac:dyDescent="0.25">
      <c r="A1647" s="5" t="s">
        <v>1947</v>
      </c>
      <c r="B1647" s="6" t="s">
        <v>1946</v>
      </c>
      <c r="C1647" s="7" t="s">
        <v>24</v>
      </c>
      <c r="D1647" s="7" t="s">
        <v>64</v>
      </c>
      <c r="E1647" s="8" t="s">
        <v>96</v>
      </c>
    </row>
    <row r="1648" spans="1:5" x14ac:dyDescent="0.25">
      <c r="A1648" s="5" t="s">
        <v>1949</v>
      </c>
      <c r="B1648" s="6" t="s">
        <v>1948</v>
      </c>
      <c r="C1648" s="7" t="s">
        <v>24</v>
      </c>
      <c r="D1648" s="7" t="s">
        <v>25</v>
      </c>
      <c r="E1648" s="8" t="s">
        <v>4460</v>
      </c>
    </row>
    <row r="1649" spans="1:5" x14ac:dyDescent="0.25">
      <c r="A1649" s="5" t="s">
        <v>1951</v>
      </c>
      <c r="B1649" s="6" t="s">
        <v>1950</v>
      </c>
      <c r="C1649" s="7" t="s">
        <v>24</v>
      </c>
      <c r="D1649" s="7" t="s">
        <v>25</v>
      </c>
      <c r="E1649" s="8" t="s">
        <v>4458</v>
      </c>
    </row>
    <row r="1650" spans="1:5" x14ac:dyDescent="0.25">
      <c r="A1650" s="5" t="s">
        <v>3343</v>
      </c>
      <c r="B1650" s="6" t="s">
        <v>4113</v>
      </c>
      <c r="C1650" s="7" t="s">
        <v>24</v>
      </c>
      <c r="D1650" s="7" t="s">
        <v>4456</v>
      </c>
      <c r="E1650" s="8" t="s">
        <v>4454</v>
      </c>
    </row>
    <row r="1651" spans="1:5" x14ac:dyDescent="0.25">
      <c r="A1651" s="5" t="s">
        <v>3282</v>
      </c>
      <c r="B1651" s="6" t="s">
        <v>4053</v>
      </c>
      <c r="C1651" s="7" t="s">
        <v>24</v>
      </c>
      <c r="D1651" s="7" t="s">
        <v>4456</v>
      </c>
      <c r="E1651" s="8" t="s">
        <v>4454</v>
      </c>
    </row>
    <row r="1652" spans="1:5" x14ac:dyDescent="0.25">
      <c r="A1652" s="5" t="s">
        <v>3291</v>
      </c>
      <c r="B1652" s="6" t="s">
        <v>4062</v>
      </c>
      <c r="C1652" s="7" t="s">
        <v>24</v>
      </c>
      <c r="D1652" s="7" t="s">
        <v>4456</v>
      </c>
      <c r="E1652" s="8" t="s">
        <v>4454</v>
      </c>
    </row>
    <row r="1653" spans="1:5" x14ac:dyDescent="0.25">
      <c r="A1653" s="12" t="s">
        <v>3296</v>
      </c>
      <c r="B1653" s="6" t="s">
        <v>4067</v>
      </c>
      <c r="C1653" s="13" t="s">
        <v>24</v>
      </c>
      <c r="D1653" s="13" t="s">
        <v>4456</v>
      </c>
      <c r="E1653" s="8" t="s">
        <v>4454</v>
      </c>
    </row>
    <row r="1654" spans="1:5" x14ac:dyDescent="0.25">
      <c r="A1654" s="5" t="s">
        <v>3174</v>
      </c>
      <c r="B1654" s="6" t="s">
        <v>3945</v>
      </c>
      <c r="C1654" s="7" t="s">
        <v>24</v>
      </c>
      <c r="D1654" s="7" t="s">
        <v>4456</v>
      </c>
      <c r="E1654" s="8" t="s">
        <v>4454</v>
      </c>
    </row>
    <row r="1655" spans="1:5" x14ac:dyDescent="0.25">
      <c r="A1655" s="5" t="s">
        <v>3275</v>
      </c>
      <c r="B1655" s="6" t="s">
        <v>4046</v>
      </c>
      <c r="C1655" s="7" t="s">
        <v>24</v>
      </c>
      <c r="D1655" s="7" t="s">
        <v>4456</v>
      </c>
      <c r="E1655" s="8" t="s">
        <v>4454</v>
      </c>
    </row>
    <row r="1656" spans="1:5" x14ac:dyDescent="0.25">
      <c r="A1656" s="5" t="s">
        <v>3238</v>
      </c>
      <c r="B1656" s="6" t="s">
        <v>4009</v>
      </c>
      <c r="C1656" s="7" t="s">
        <v>24</v>
      </c>
      <c r="D1656" s="7" t="s">
        <v>4456</v>
      </c>
      <c r="E1656" s="8" t="s">
        <v>4454</v>
      </c>
    </row>
    <row r="1657" spans="1:5" x14ac:dyDescent="0.25">
      <c r="A1657" s="5" t="s">
        <v>3280</v>
      </c>
      <c r="B1657" s="6" t="s">
        <v>4051</v>
      </c>
      <c r="C1657" s="7" t="s">
        <v>24</v>
      </c>
      <c r="D1657" s="7" t="s">
        <v>4456</v>
      </c>
      <c r="E1657" s="8" t="s">
        <v>4454</v>
      </c>
    </row>
    <row r="1658" spans="1:5" x14ac:dyDescent="0.25">
      <c r="A1658" s="5" t="s">
        <v>3290</v>
      </c>
      <c r="B1658" s="6" t="s">
        <v>4061</v>
      </c>
      <c r="C1658" s="7" t="s">
        <v>24</v>
      </c>
      <c r="D1658" s="7" t="s">
        <v>4456</v>
      </c>
      <c r="E1658" s="8" t="s">
        <v>4454</v>
      </c>
    </row>
    <row r="1659" spans="1:5" x14ac:dyDescent="0.25">
      <c r="A1659" s="5" t="s">
        <v>3175</v>
      </c>
      <c r="B1659" s="6" t="s">
        <v>3946</v>
      </c>
      <c r="C1659" s="7" t="s">
        <v>24</v>
      </c>
      <c r="D1659" s="7" t="s">
        <v>4456</v>
      </c>
      <c r="E1659" s="8" t="s">
        <v>4454</v>
      </c>
    </row>
    <row r="1660" spans="1:5" x14ac:dyDescent="0.25">
      <c r="A1660" s="5" t="s">
        <v>3176</v>
      </c>
      <c r="B1660" s="6" t="s">
        <v>3947</v>
      </c>
      <c r="C1660" s="7" t="s">
        <v>24</v>
      </c>
      <c r="D1660" s="7" t="s">
        <v>4456</v>
      </c>
      <c r="E1660" s="8" t="s">
        <v>4454</v>
      </c>
    </row>
    <row r="1661" spans="1:5" x14ac:dyDescent="0.25">
      <c r="A1661" s="5" t="s">
        <v>3177</v>
      </c>
      <c r="B1661" s="6" t="s">
        <v>3948</v>
      </c>
      <c r="C1661" s="7" t="s">
        <v>24</v>
      </c>
      <c r="D1661" s="7" t="s">
        <v>4456</v>
      </c>
      <c r="E1661" s="8" t="s">
        <v>4454</v>
      </c>
    </row>
    <row r="1662" spans="1:5" x14ac:dyDescent="0.25">
      <c r="A1662" s="5" t="s">
        <v>3178</v>
      </c>
      <c r="B1662" s="6" t="s">
        <v>3949</v>
      </c>
      <c r="C1662" s="7" t="s">
        <v>24</v>
      </c>
      <c r="D1662" s="7" t="s">
        <v>4456</v>
      </c>
      <c r="E1662" s="8" t="s">
        <v>4454</v>
      </c>
    </row>
    <row r="1663" spans="1:5" x14ac:dyDescent="0.25">
      <c r="A1663" s="5" t="s">
        <v>3289</v>
      </c>
      <c r="B1663" s="6" t="s">
        <v>4060</v>
      </c>
      <c r="C1663" s="7" t="s">
        <v>24</v>
      </c>
      <c r="D1663" s="7" t="s">
        <v>4456</v>
      </c>
      <c r="E1663" s="8" t="s">
        <v>4454</v>
      </c>
    </row>
    <row r="1664" spans="1:5" x14ac:dyDescent="0.25">
      <c r="A1664" s="5" t="s">
        <v>3284</v>
      </c>
      <c r="B1664" s="6" t="s">
        <v>4055</v>
      </c>
      <c r="C1664" s="7" t="s">
        <v>24</v>
      </c>
      <c r="D1664" s="7" t="s">
        <v>4456</v>
      </c>
      <c r="E1664" s="8" t="s">
        <v>4454</v>
      </c>
    </row>
    <row r="1665" spans="1:5" x14ac:dyDescent="0.25">
      <c r="A1665" s="5" t="s">
        <v>3278</v>
      </c>
      <c r="B1665" s="6" t="s">
        <v>4049</v>
      </c>
      <c r="C1665" s="7" t="s">
        <v>24</v>
      </c>
      <c r="D1665" s="7" t="s">
        <v>4456</v>
      </c>
      <c r="E1665" s="8" t="s">
        <v>4454</v>
      </c>
    </row>
    <row r="1666" spans="1:5" x14ac:dyDescent="0.25">
      <c r="A1666" s="5" t="s">
        <v>3192</v>
      </c>
      <c r="B1666" s="6" t="s">
        <v>3963</v>
      </c>
      <c r="C1666" s="7" t="s">
        <v>24</v>
      </c>
      <c r="D1666" s="7" t="s">
        <v>4456</v>
      </c>
      <c r="E1666" s="8" t="s">
        <v>4454</v>
      </c>
    </row>
    <row r="1667" spans="1:5" x14ac:dyDescent="0.25">
      <c r="A1667" s="5" t="s">
        <v>3189</v>
      </c>
      <c r="B1667" s="6" t="s">
        <v>3960</v>
      </c>
      <c r="C1667" s="7" t="s">
        <v>24</v>
      </c>
      <c r="D1667" s="7" t="s">
        <v>4456</v>
      </c>
      <c r="E1667" s="8" t="s">
        <v>4454</v>
      </c>
    </row>
    <row r="1668" spans="1:5" x14ac:dyDescent="0.25">
      <c r="A1668" s="5" t="s">
        <v>3179</v>
      </c>
      <c r="B1668" s="6" t="s">
        <v>3950</v>
      </c>
      <c r="C1668" s="7" t="s">
        <v>24</v>
      </c>
      <c r="D1668" s="7" t="s">
        <v>4456</v>
      </c>
      <c r="E1668" s="8" t="s">
        <v>4454</v>
      </c>
    </row>
    <row r="1669" spans="1:5" x14ac:dyDescent="0.25">
      <c r="A1669" s="5" t="s">
        <v>3180</v>
      </c>
      <c r="B1669" s="6" t="s">
        <v>3951</v>
      </c>
      <c r="C1669" s="7" t="s">
        <v>24</v>
      </c>
      <c r="D1669" s="7" t="s">
        <v>4456</v>
      </c>
      <c r="E1669" s="8" t="s">
        <v>4454</v>
      </c>
    </row>
    <row r="1670" spans="1:5" x14ac:dyDescent="0.25">
      <c r="A1670" s="12" t="s">
        <v>3181</v>
      </c>
      <c r="B1670" s="6" t="s">
        <v>3952</v>
      </c>
      <c r="C1670" s="13" t="s">
        <v>24</v>
      </c>
      <c r="D1670" s="13" t="s">
        <v>4456</v>
      </c>
      <c r="E1670" s="8" t="s">
        <v>4454</v>
      </c>
    </row>
    <row r="1671" spans="1:5" x14ac:dyDescent="0.25">
      <c r="A1671" s="5" t="s">
        <v>3194</v>
      </c>
      <c r="B1671" s="6" t="s">
        <v>3965</v>
      </c>
      <c r="C1671" s="7" t="s">
        <v>24</v>
      </c>
      <c r="D1671" s="7" t="s">
        <v>4456</v>
      </c>
      <c r="E1671" s="8" t="s">
        <v>4454</v>
      </c>
    </row>
    <row r="1672" spans="1:5" x14ac:dyDescent="0.25">
      <c r="A1672" s="5" t="s">
        <v>3283</v>
      </c>
      <c r="B1672" s="6" t="s">
        <v>4054</v>
      </c>
      <c r="C1672" s="7" t="s">
        <v>24</v>
      </c>
      <c r="D1672" s="7" t="s">
        <v>4456</v>
      </c>
      <c r="E1672" s="8" t="s">
        <v>4454</v>
      </c>
    </row>
    <row r="1673" spans="1:5" x14ac:dyDescent="0.25">
      <c r="A1673" s="5" t="s">
        <v>3318</v>
      </c>
      <c r="B1673" s="6" t="s">
        <v>4092</v>
      </c>
      <c r="C1673" s="7" t="s">
        <v>24</v>
      </c>
      <c r="D1673" s="7" t="s">
        <v>4456</v>
      </c>
      <c r="E1673" s="8" t="s">
        <v>4454</v>
      </c>
    </row>
    <row r="1674" spans="1:5" x14ac:dyDescent="0.25">
      <c r="A1674" s="5" t="s">
        <v>3319</v>
      </c>
      <c r="B1674" s="6" t="s">
        <v>4093</v>
      </c>
      <c r="C1674" s="7" t="s">
        <v>24</v>
      </c>
      <c r="D1674" s="7" t="s">
        <v>4456</v>
      </c>
      <c r="E1674" s="8" t="s">
        <v>4454</v>
      </c>
    </row>
    <row r="1675" spans="1:5" x14ac:dyDescent="0.25">
      <c r="A1675" s="5" t="s">
        <v>3277</v>
      </c>
      <c r="B1675" s="6" t="s">
        <v>4048</v>
      </c>
      <c r="C1675" s="7" t="s">
        <v>24</v>
      </c>
      <c r="D1675" s="7" t="s">
        <v>4456</v>
      </c>
      <c r="E1675" s="8" t="s">
        <v>4454</v>
      </c>
    </row>
    <row r="1676" spans="1:5" x14ac:dyDescent="0.25">
      <c r="A1676" s="5" t="s">
        <v>3182</v>
      </c>
      <c r="B1676" s="6" t="s">
        <v>3953</v>
      </c>
      <c r="C1676" s="7" t="s">
        <v>24</v>
      </c>
      <c r="D1676" s="7" t="s">
        <v>4456</v>
      </c>
      <c r="E1676" s="8" t="s">
        <v>4454</v>
      </c>
    </row>
    <row r="1677" spans="1:5" x14ac:dyDescent="0.25">
      <c r="A1677" s="5" t="s">
        <v>3183</v>
      </c>
      <c r="B1677" s="6" t="s">
        <v>3954</v>
      </c>
      <c r="C1677" s="7" t="s">
        <v>24</v>
      </c>
      <c r="D1677" s="7" t="s">
        <v>4456</v>
      </c>
      <c r="E1677" s="8" t="s">
        <v>4454</v>
      </c>
    </row>
    <row r="1678" spans="1:5" x14ac:dyDescent="0.25">
      <c r="A1678" s="5" t="s">
        <v>3269</v>
      </c>
      <c r="B1678" s="6" t="s">
        <v>4040</v>
      </c>
      <c r="C1678" s="7" t="s">
        <v>24</v>
      </c>
      <c r="D1678" s="7" t="s">
        <v>4456</v>
      </c>
      <c r="E1678" s="8" t="s">
        <v>4454</v>
      </c>
    </row>
    <row r="1679" spans="1:5" x14ac:dyDescent="0.25">
      <c r="A1679" s="5" t="s">
        <v>3286</v>
      </c>
      <c r="B1679" s="6" t="s">
        <v>4057</v>
      </c>
      <c r="C1679" s="7" t="s">
        <v>24</v>
      </c>
      <c r="D1679" s="7" t="s">
        <v>4456</v>
      </c>
      <c r="E1679" s="8" t="s">
        <v>4454</v>
      </c>
    </row>
    <row r="1680" spans="1:5" x14ac:dyDescent="0.25">
      <c r="A1680" s="5" t="s">
        <v>3193</v>
      </c>
      <c r="B1680" s="6" t="s">
        <v>3964</v>
      </c>
      <c r="C1680" s="7" t="s">
        <v>24</v>
      </c>
      <c r="D1680" s="7" t="s">
        <v>4456</v>
      </c>
      <c r="E1680" s="8" t="s">
        <v>4454</v>
      </c>
    </row>
    <row r="1681" spans="1:5" x14ac:dyDescent="0.25">
      <c r="A1681" s="5" t="s">
        <v>3285</v>
      </c>
      <c r="B1681" s="6" t="s">
        <v>4056</v>
      </c>
      <c r="C1681" s="7" t="s">
        <v>24</v>
      </c>
      <c r="D1681" s="7" t="s">
        <v>4456</v>
      </c>
      <c r="E1681" s="8" t="s">
        <v>4454</v>
      </c>
    </row>
    <row r="1682" spans="1:5" x14ac:dyDescent="0.25">
      <c r="A1682" s="5" t="s">
        <v>3279</v>
      </c>
      <c r="B1682" s="6" t="s">
        <v>4050</v>
      </c>
      <c r="C1682" s="7" t="s">
        <v>24</v>
      </c>
      <c r="D1682" s="7" t="s">
        <v>4456</v>
      </c>
      <c r="E1682" s="8" t="s">
        <v>4454</v>
      </c>
    </row>
    <row r="1683" spans="1:5" x14ac:dyDescent="0.25">
      <c r="A1683" s="12" t="s">
        <v>3184</v>
      </c>
      <c r="B1683" s="6" t="s">
        <v>3955</v>
      </c>
      <c r="C1683" s="13" t="s">
        <v>24</v>
      </c>
      <c r="D1683" s="13" t="s">
        <v>4456</v>
      </c>
      <c r="E1683" s="8" t="s">
        <v>4454</v>
      </c>
    </row>
    <row r="1684" spans="1:5" x14ac:dyDescent="0.25">
      <c r="A1684" s="12" t="s">
        <v>3185</v>
      </c>
      <c r="B1684" s="11" t="s">
        <v>3956</v>
      </c>
      <c r="C1684" s="13" t="s">
        <v>24</v>
      </c>
      <c r="D1684" s="13" t="s">
        <v>4456</v>
      </c>
      <c r="E1684" s="8" t="s">
        <v>4454</v>
      </c>
    </row>
    <row r="1685" spans="1:5" x14ac:dyDescent="0.25">
      <c r="A1685" s="5" t="s">
        <v>3020</v>
      </c>
      <c r="B1685" s="6" t="s">
        <v>3789</v>
      </c>
      <c r="C1685" s="7" t="s">
        <v>24</v>
      </c>
      <c r="D1685" s="7" t="s">
        <v>4456</v>
      </c>
      <c r="E1685" s="8" t="s">
        <v>4454</v>
      </c>
    </row>
    <row r="1686" spans="1:5" x14ac:dyDescent="0.25">
      <c r="A1686" s="12" t="s">
        <v>3295</v>
      </c>
      <c r="B1686" s="6" t="s">
        <v>4066</v>
      </c>
      <c r="C1686" s="13" t="s">
        <v>24</v>
      </c>
      <c r="D1686" s="13" t="s">
        <v>4456</v>
      </c>
      <c r="E1686" s="8" t="s">
        <v>4454</v>
      </c>
    </row>
    <row r="1687" spans="1:5" x14ac:dyDescent="0.25">
      <c r="A1687" s="5" t="s">
        <v>3281</v>
      </c>
      <c r="B1687" s="6" t="s">
        <v>4052</v>
      </c>
      <c r="C1687" s="7" t="s">
        <v>24</v>
      </c>
      <c r="D1687" s="7" t="s">
        <v>4456</v>
      </c>
      <c r="E1687" s="8" t="s">
        <v>4454</v>
      </c>
    </row>
    <row r="1688" spans="1:5" x14ac:dyDescent="0.25">
      <c r="A1688" s="5" t="s">
        <v>3276</v>
      </c>
      <c r="B1688" s="6" t="s">
        <v>4047</v>
      </c>
      <c r="C1688" s="7" t="s">
        <v>24</v>
      </c>
      <c r="D1688" s="7" t="s">
        <v>4456</v>
      </c>
      <c r="E1688" s="8" t="s">
        <v>4454</v>
      </c>
    </row>
    <row r="1689" spans="1:5" x14ac:dyDescent="0.25">
      <c r="A1689" s="5" t="s">
        <v>3186</v>
      </c>
      <c r="B1689" s="6" t="s">
        <v>3957</v>
      </c>
      <c r="C1689" s="7" t="s">
        <v>24</v>
      </c>
      <c r="D1689" s="7" t="s">
        <v>4456</v>
      </c>
      <c r="E1689" s="8" t="s">
        <v>4454</v>
      </c>
    </row>
    <row r="1690" spans="1:5" x14ac:dyDescent="0.25">
      <c r="A1690" s="12" t="s">
        <v>3187</v>
      </c>
      <c r="B1690" s="6" t="s">
        <v>3958</v>
      </c>
      <c r="C1690" s="13" t="s">
        <v>24</v>
      </c>
      <c r="D1690" s="13" t="s">
        <v>4456</v>
      </c>
      <c r="E1690" s="8" t="s">
        <v>4454</v>
      </c>
    </row>
    <row r="1691" spans="1:5" x14ac:dyDescent="0.25">
      <c r="A1691" s="5" t="s">
        <v>3188</v>
      </c>
      <c r="B1691" s="6" t="s">
        <v>3959</v>
      </c>
      <c r="C1691" s="7" t="s">
        <v>24</v>
      </c>
      <c r="D1691" s="7" t="s">
        <v>4456</v>
      </c>
      <c r="E1691" s="8" t="s">
        <v>4454</v>
      </c>
    </row>
    <row r="1692" spans="1:5" x14ac:dyDescent="0.25">
      <c r="A1692" s="12" t="s">
        <v>3259</v>
      </c>
      <c r="B1692" s="6" t="s">
        <v>4030</v>
      </c>
      <c r="C1692" s="13" t="s">
        <v>24</v>
      </c>
      <c r="D1692" s="13" t="s">
        <v>4456</v>
      </c>
      <c r="E1692" s="8" t="s">
        <v>4454</v>
      </c>
    </row>
    <row r="1693" spans="1:5" x14ac:dyDescent="0.25">
      <c r="A1693" s="12" t="s">
        <v>3265</v>
      </c>
      <c r="B1693" s="6" t="s">
        <v>4036</v>
      </c>
      <c r="C1693" s="13" t="s">
        <v>24</v>
      </c>
      <c r="D1693" s="13" t="s">
        <v>4456</v>
      </c>
      <c r="E1693" s="8" t="s">
        <v>4454</v>
      </c>
    </row>
    <row r="1694" spans="1:5" x14ac:dyDescent="0.25">
      <c r="A1694" s="5" t="s">
        <v>3493</v>
      </c>
      <c r="B1694" s="6" t="s">
        <v>4267</v>
      </c>
      <c r="C1694" s="7" t="s">
        <v>24</v>
      </c>
      <c r="D1694" s="7" t="s">
        <v>4456</v>
      </c>
      <c r="E1694" s="8" t="s">
        <v>4454</v>
      </c>
    </row>
    <row r="1695" spans="1:5" x14ac:dyDescent="0.25">
      <c r="A1695" s="12" t="s">
        <v>3494</v>
      </c>
      <c r="B1695" s="6" t="s">
        <v>4268</v>
      </c>
      <c r="C1695" s="13" t="s">
        <v>24</v>
      </c>
      <c r="D1695" s="13" t="s">
        <v>4456</v>
      </c>
      <c r="E1695" s="8" t="s">
        <v>4454</v>
      </c>
    </row>
    <row r="1696" spans="1:5" x14ac:dyDescent="0.25">
      <c r="A1696" s="12" t="s">
        <v>3581</v>
      </c>
      <c r="B1696" s="6" t="s">
        <v>4357</v>
      </c>
      <c r="C1696" s="13" t="s">
        <v>24</v>
      </c>
      <c r="D1696" s="13" t="s">
        <v>4456</v>
      </c>
      <c r="E1696" s="8" t="s">
        <v>4454</v>
      </c>
    </row>
    <row r="1697" spans="1:5" x14ac:dyDescent="0.25">
      <c r="A1697" s="5" t="s">
        <v>3495</v>
      </c>
      <c r="B1697" s="6" t="s">
        <v>4269</v>
      </c>
      <c r="C1697" s="7" t="s">
        <v>24</v>
      </c>
      <c r="D1697" s="7" t="s">
        <v>4456</v>
      </c>
      <c r="E1697" s="8" t="s">
        <v>4454</v>
      </c>
    </row>
    <row r="1698" spans="1:5" x14ac:dyDescent="0.25">
      <c r="A1698" s="5" t="s">
        <v>3267</v>
      </c>
      <c r="B1698" s="6" t="s">
        <v>4038</v>
      </c>
      <c r="C1698" s="7" t="s">
        <v>24</v>
      </c>
      <c r="D1698" s="7" t="s">
        <v>4456</v>
      </c>
      <c r="E1698" s="8" t="s">
        <v>4454</v>
      </c>
    </row>
    <row r="1699" spans="1:5" x14ac:dyDescent="0.25">
      <c r="A1699" s="5" t="s">
        <v>3268</v>
      </c>
      <c r="B1699" s="6" t="s">
        <v>4039</v>
      </c>
      <c r="C1699" s="7" t="s">
        <v>24</v>
      </c>
      <c r="D1699" s="7" t="s">
        <v>4456</v>
      </c>
      <c r="E1699" s="8" t="s">
        <v>4454</v>
      </c>
    </row>
    <row r="1700" spans="1:5" x14ac:dyDescent="0.25">
      <c r="A1700" s="5" t="s">
        <v>3049</v>
      </c>
      <c r="B1700" s="6" t="s">
        <v>3819</v>
      </c>
      <c r="C1700" s="7" t="s">
        <v>24</v>
      </c>
      <c r="D1700" s="7" t="s">
        <v>4456</v>
      </c>
      <c r="E1700" s="8" t="s">
        <v>4454</v>
      </c>
    </row>
    <row r="1701" spans="1:5" x14ac:dyDescent="0.25">
      <c r="A1701" s="5" t="s">
        <v>3496</v>
      </c>
      <c r="B1701" s="6" t="s">
        <v>4270</v>
      </c>
      <c r="C1701" s="7" t="s">
        <v>24</v>
      </c>
      <c r="D1701" s="7" t="s">
        <v>4456</v>
      </c>
      <c r="E1701" s="8" t="s">
        <v>4454</v>
      </c>
    </row>
    <row r="1702" spans="1:5" x14ac:dyDescent="0.25">
      <c r="A1702" s="5" t="s">
        <v>3567</v>
      </c>
      <c r="B1702" s="6" t="s">
        <v>4342</v>
      </c>
      <c r="C1702" s="7" t="s">
        <v>24</v>
      </c>
      <c r="D1702" s="7" t="s">
        <v>4456</v>
      </c>
      <c r="E1702" s="8" t="s">
        <v>4454</v>
      </c>
    </row>
    <row r="1703" spans="1:5" x14ac:dyDescent="0.25">
      <c r="A1703" s="5" t="s">
        <v>3497</v>
      </c>
      <c r="B1703" s="6" t="s">
        <v>4271</v>
      </c>
      <c r="C1703" s="7" t="s">
        <v>24</v>
      </c>
      <c r="D1703" s="7" t="s">
        <v>4456</v>
      </c>
      <c r="E1703" s="8" t="s">
        <v>4454</v>
      </c>
    </row>
    <row r="1704" spans="1:5" x14ac:dyDescent="0.25">
      <c r="A1704" s="5" t="s">
        <v>3498</v>
      </c>
      <c r="B1704" s="6" t="s">
        <v>4272</v>
      </c>
      <c r="C1704" s="7" t="s">
        <v>24</v>
      </c>
      <c r="D1704" s="7" t="s">
        <v>4456</v>
      </c>
      <c r="E1704" s="8" t="s">
        <v>4454</v>
      </c>
    </row>
    <row r="1705" spans="1:5" x14ac:dyDescent="0.25">
      <c r="A1705" s="5" t="s">
        <v>3499</v>
      </c>
      <c r="B1705" s="6" t="s">
        <v>4273</v>
      </c>
      <c r="C1705" s="7" t="s">
        <v>24</v>
      </c>
      <c r="D1705" s="7" t="s">
        <v>4456</v>
      </c>
      <c r="E1705" s="8" t="s">
        <v>4454</v>
      </c>
    </row>
    <row r="1706" spans="1:5" x14ac:dyDescent="0.25">
      <c r="A1706" s="5" t="s">
        <v>3500</v>
      </c>
      <c r="B1706" s="6" t="s">
        <v>4274</v>
      </c>
      <c r="C1706" s="7" t="s">
        <v>24</v>
      </c>
      <c r="D1706" s="7" t="s">
        <v>4456</v>
      </c>
      <c r="E1706" s="8" t="s">
        <v>4454</v>
      </c>
    </row>
    <row r="1707" spans="1:5" x14ac:dyDescent="0.25">
      <c r="A1707" s="5" t="s">
        <v>3501</v>
      </c>
      <c r="B1707" s="6" t="s">
        <v>4275</v>
      </c>
      <c r="C1707" s="7" t="s">
        <v>24</v>
      </c>
      <c r="D1707" s="7" t="s">
        <v>4456</v>
      </c>
      <c r="E1707" s="8" t="s">
        <v>4454</v>
      </c>
    </row>
    <row r="1708" spans="1:5" x14ac:dyDescent="0.25">
      <c r="A1708" s="5" t="s">
        <v>1953</v>
      </c>
      <c r="B1708" s="6" t="s">
        <v>1952</v>
      </c>
      <c r="C1708" s="7" t="s">
        <v>24</v>
      </c>
      <c r="D1708" s="7" t="s">
        <v>25</v>
      </c>
      <c r="E1708" s="8" t="s">
        <v>4462</v>
      </c>
    </row>
    <row r="1709" spans="1:5" x14ac:dyDescent="0.25">
      <c r="A1709" s="5" t="s">
        <v>1955</v>
      </c>
      <c r="B1709" s="6" t="s">
        <v>1954</v>
      </c>
      <c r="C1709" s="7" t="s">
        <v>24</v>
      </c>
      <c r="D1709" s="7" t="s">
        <v>25</v>
      </c>
      <c r="E1709" s="8" t="s">
        <v>4460</v>
      </c>
    </row>
    <row r="1710" spans="1:5" x14ac:dyDescent="0.25">
      <c r="A1710" s="5" t="s">
        <v>1957</v>
      </c>
      <c r="B1710" s="6" t="s">
        <v>1956</v>
      </c>
      <c r="C1710" s="7" t="s">
        <v>24</v>
      </c>
      <c r="D1710" s="7" t="s">
        <v>64</v>
      </c>
      <c r="E1710" s="8" t="s">
        <v>87</v>
      </c>
    </row>
    <row r="1711" spans="1:5" x14ac:dyDescent="0.25">
      <c r="A1711" s="5" t="s">
        <v>1959</v>
      </c>
      <c r="B1711" s="6" t="s">
        <v>1958</v>
      </c>
      <c r="C1711" s="7" t="s">
        <v>24</v>
      </c>
      <c r="D1711" s="7" t="s">
        <v>25</v>
      </c>
      <c r="E1711" s="8" t="s">
        <v>4458</v>
      </c>
    </row>
    <row r="1712" spans="1:5" x14ac:dyDescent="0.25">
      <c r="A1712" s="5" t="s">
        <v>1961</v>
      </c>
      <c r="B1712" s="6" t="s">
        <v>1960</v>
      </c>
      <c r="C1712" s="7" t="s">
        <v>24</v>
      </c>
      <c r="D1712" s="7" t="s">
        <v>25</v>
      </c>
      <c r="E1712" s="8" t="s">
        <v>4459</v>
      </c>
    </row>
    <row r="1713" spans="1:5" x14ac:dyDescent="0.25">
      <c r="A1713" s="5" t="s">
        <v>1963</v>
      </c>
      <c r="B1713" s="6" t="s">
        <v>1962</v>
      </c>
      <c r="C1713" s="7" t="s">
        <v>24</v>
      </c>
      <c r="D1713" s="7" t="s">
        <v>25</v>
      </c>
      <c r="E1713" s="8" t="s">
        <v>4461</v>
      </c>
    </row>
    <row r="1714" spans="1:5" x14ac:dyDescent="0.25">
      <c r="A1714" s="5" t="s">
        <v>3333</v>
      </c>
      <c r="B1714" s="6" t="s">
        <v>4105</v>
      </c>
      <c r="C1714" s="7" t="s">
        <v>24</v>
      </c>
      <c r="D1714" s="7" t="s">
        <v>25</v>
      </c>
      <c r="E1714" s="8" t="s">
        <v>4465</v>
      </c>
    </row>
    <row r="1715" spans="1:5" x14ac:dyDescent="0.25">
      <c r="A1715" s="5" t="s">
        <v>1965</v>
      </c>
      <c r="B1715" s="6" t="s">
        <v>1964</v>
      </c>
      <c r="C1715" s="7" t="s">
        <v>24</v>
      </c>
      <c r="D1715" s="7" t="s">
        <v>64</v>
      </c>
      <c r="E1715" s="8" t="s">
        <v>99</v>
      </c>
    </row>
    <row r="1716" spans="1:5" x14ac:dyDescent="0.25">
      <c r="A1716" s="5" t="s">
        <v>1967</v>
      </c>
      <c r="B1716" s="6" t="s">
        <v>1966</v>
      </c>
      <c r="C1716" s="7" t="s">
        <v>24</v>
      </c>
      <c r="D1716" s="7" t="s">
        <v>25</v>
      </c>
      <c r="E1716" s="8" t="s">
        <v>4458</v>
      </c>
    </row>
    <row r="1717" spans="1:5" x14ac:dyDescent="0.25">
      <c r="A1717" s="5" t="s">
        <v>1969</v>
      </c>
      <c r="B1717" s="6" t="s">
        <v>1968</v>
      </c>
      <c r="C1717" s="7" t="s">
        <v>24</v>
      </c>
      <c r="D1717" s="7" t="s">
        <v>25</v>
      </c>
      <c r="E1717" s="8" t="s">
        <v>4459</v>
      </c>
    </row>
    <row r="1718" spans="1:5" x14ac:dyDescent="0.25">
      <c r="A1718" s="5" t="s">
        <v>1971</v>
      </c>
      <c r="B1718" s="6" t="s">
        <v>1970</v>
      </c>
      <c r="C1718" s="7" t="s">
        <v>24</v>
      </c>
      <c r="D1718" s="7" t="s">
        <v>64</v>
      </c>
      <c r="E1718" s="8" t="s">
        <v>68</v>
      </c>
    </row>
    <row r="1719" spans="1:5" x14ac:dyDescent="0.25">
      <c r="A1719" s="5" t="s">
        <v>1973</v>
      </c>
      <c r="B1719" s="6" t="s">
        <v>1972</v>
      </c>
      <c r="C1719" s="7" t="s">
        <v>24</v>
      </c>
      <c r="D1719" s="7" t="s">
        <v>64</v>
      </c>
      <c r="E1719" s="8" t="s">
        <v>87</v>
      </c>
    </row>
    <row r="1720" spans="1:5" x14ac:dyDescent="0.25">
      <c r="A1720" s="5" t="s">
        <v>1975</v>
      </c>
      <c r="B1720" s="6" t="s">
        <v>1974</v>
      </c>
      <c r="C1720" s="13" t="s">
        <v>24</v>
      </c>
      <c r="D1720" s="13" t="s">
        <v>25</v>
      </c>
      <c r="E1720" s="8" t="s">
        <v>4458</v>
      </c>
    </row>
    <row r="1721" spans="1:5" x14ac:dyDescent="0.25">
      <c r="A1721" s="5" t="s">
        <v>1977</v>
      </c>
      <c r="B1721" s="6" t="s">
        <v>1976</v>
      </c>
      <c r="C1721" s="7" t="s">
        <v>24</v>
      </c>
      <c r="D1721" s="7" t="s">
        <v>25</v>
      </c>
      <c r="E1721" s="8" t="s">
        <v>4459</v>
      </c>
    </row>
    <row r="1722" spans="1:5" x14ac:dyDescent="0.25">
      <c r="A1722" s="5" t="s">
        <v>1979</v>
      </c>
      <c r="B1722" s="6" t="s">
        <v>1978</v>
      </c>
      <c r="C1722" s="7" t="s">
        <v>24</v>
      </c>
      <c r="D1722" s="7" t="s">
        <v>25</v>
      </c>
      <c r="E1722" s="8" t="s">
        <v>4461</v>
      </c>
    </row>
    <row r="1723" spans="1:5" x14ac:dyDescent="0.25">
      <c r="A1723" s="5" t="s">
        <v>1981</v>
      </c>
      <c r="B1723" s="6" t="s">
        <v>1980</v>
      </c>
      <c r="C1723" s="7" t="s">
        <v>24</v>
      </c>
      <c r="D1723" s="7" t="s">
        <v>25</v>
      </c>
      <c r="E1723" s="8" t="s">
        <v>4462</v>
      </c>
    </row>
    <row r="1724" spans="1:5" x14ac:dyDescent="0.25">
      <c r="A1724" s="5" t="s">
        <v>1983</v>
      </c>
      <c r="B1724" s="6" t="s">
        <v>1982</v>
      </c>
      <c r="C1724" s="7" t="s">
        <v>24</v>
      </c>
      <c r="D1724" s="7" t="s">
        <v>64</v>
      </c>
      <c r="E1724" s="8" t="s">
        <v>99</v>
      </c>
    </row>
    <row r="1725" spans="1:5" x14ac:dyDescent="0.25">
      <c r="A1725" s="5" t="s">
        <v>1985</v>
      </c>
      <c r="B1725" s="6" t="s">
        <v>1984</v>
      </c>
      <c r="C1725" s="7" t="s">
        <v>24</v>
      </c>
      <c r="D1725" s="7" t="s">
        <v>64</v>
      </c>
      <c r="E1725" s="8" t="s">
        <v>99</v>
      </c>
    </row>
    <row r="1726" spans="1:5" x14ac:dyDescent="0.25">
      <c r="A1726" s="5" t="s">
        <v>1987</v>
      </c>
      <c r="B1726" s="6" t="s">
        <v>1986</v>
      </c>
      <c r="C1726" s="7" t="s">
        <v>24</v>
      </c>
      <c r="D1726" s="7" t="s">
        <v>64</v>
      </c>
      <c r="E1726" s="8" t="s">
        <v>99</v>
      </c>
    </row>
    <row r="1727" spans="1:5" x14ac:dyDescent="0.25">
      <c r="A1727" s="5" t="s">
        <v>1989</v>
      </c>
      <c r="B1727" s="6" t="s">
        <v>1988</v>
      </c>
      <c r="C1727" s="7" t="s">
        <v>24</v>
      </c>
      <c r="D1727" s="7" t="s">
        <v>25</v>
      </c>
      <c r="E1727" s="8" t="s">
        <v>4457</v>
      </c>
    </row>
    <row r="1728" spans="1:5" x14ac:dyDescent="0.25">
      <c r="A1728" s="5" t="s">
        <v>1991</v>
      </c>
      <c r="B1728" s="6" t="s">
        <v>1990</v>
      </c>
      <c r="C1728" s="7" t="s">
        <v>24</v>
      </c>
      <c r="D1728" s="7" t="s">
        <v>25</v>
      </c>
      <c r="E1728" s="8" t="s">
        <v>4468</v>
      </c>
    </row>
    <row r="1729" spans="1:5" x14ac:dyDescent="0.25">
      <c r="A1729" s="5" t="s">
        <v>1993</v>
      </c>
      <c r="B1729" s="6" t="s">
        <v>1992</v>
      </c>
      <c r="C1729" s="7" t="s">
        <v>24</v>
      </c>
      <c r="D1729" s="7" t="s">
        <v>25</v>
      </c>
      <c r="E1729" s="8" t="s">
        <v>4466</v>
      </c>
    </row>
    <row r="1730" spans="1:5" x14ac:dyDescent="0.25">
      <c r="A1730" s="5" t="s">
        <v>1995</v>
      </c>
      <c r="B1730" s="6" t="s">
        <v>1994</v>
      </c>
      <c r="C1730" s="7" t="s">
        <v>24</v>
      </c>
      <c r="D1730" s="7" t="s">
        <v>25</v>
      </c>
      <c r="E1730" s="8" t="s">
        <v>4460</v>
      </c>
    </row>
    <row r="1731" spans="1:5" x14ac:dyDescent="0.25">
      <c r="A1731" s="5" t="s">
        <v>1997</v>
      </c>
      <c r="B1731" s="6" t="s">
        <v>1996</v>
      </c>
      <c r="C1731" s="7" t="s">
        <v>24</v>
      </c>
      <c r="D1731" s="7" t="s">
        <v>25</v>
      </c>
      <c r="E1731" s="8" t="s">
        <v>4461</v>
      </c>
    </row>
    <row r="1732" spans="1:5" x14ac:dyDescent="0.25">
      <c r="A1732" s="5" t="s">
        <v>1999</v>
      </c>
      <c r="B1732" s="6" t="s">
        <v>1998</v>
      </c>
      <c r="C1732" s="7" t="s">
        <v>24</v>
      </c>
      <c r="D1732" s="7" t="s">
        <v>25</v>
      </c>
      <c r="E1732" s="8" t="s">
        <v>4458</v>
      </c>
    </row>
    <row r="1733" spans="1:5" x14ac:dyDescent="0.25">
      <c r="A1733" s="5" t="s">
        <v>2001</v>
      </c>
      <c r="B1733" s="6" t="s">
        <v>2000</v>
      </c>
      <c r="C1733" s="7" t="s">
        <v>24</v>
      </c>
      <c r="D1733" s="7" t="s">
        <v>25</v>
      </c>
      <c r="E1733" s="8" t="s">
        <v>4459</v>
      </c>
    </row>
    <row r="1734" spans="1:5" x14ac:dyDescent="0.25">
      <c r="A1734" s="5" t="s">
        <v>2003</v>
      </c>
      <c r="B1734" s="6" t="s">
        <v>2002</v>
      </c>
      <c r="C1734" s="7" t="s">
        <v>24</v>
      </c>
      <c r="D1734" s="7" t="s">
        <v>25</v>
      </c>
      <c r="E1734" s="8" t="s">
        <v>4461</v>
      </c>
    </row>
    <row r="1735" spans="1:5" x14ac:dyDescent="0.25">
      <c r="A1735" s="5" t="s">
        <v>2005</v>
      </c>
      <c r="B1735" s="6" t="s">
        <v>2004</v>
      </c>
      <c r="C1735" s="7" t="s">
        <v>24</v>
      </c>
      <c r="D1735" s="7" t="s">
        <v>25</v>
      </c>
      <c r="E1735" s="8" t="s">
        <v>4462</v>
      </c>
    </row>
    <row r="1736" spans="1:5" x14ac:dyDescent="0.25">
      <c r="A1736" s="5" t="s">
        <v>2007</v>
      </c>
      <c r="B1736" s="6" t="s">
        <v>2006</v>
      </c>
      <c r="C1736" s="7" t="s">
        <v>24</v>
      </c>
      <c r="D1736" s="7" t="s">
        <v>25</v>
      </c>
      <c r="E1736" s="8" t="s">
        <v>4457</v>
      </c>
    </row>
    <row r="1737" spans="1:5" x14ac:dyDescent="0.25">
      <c r="A1737" s="5" t="s">
        <v>2009</v>
      </c>
      <c r="B1737" s="6" t="s">
        <v>2008</v>
      </c>
      <c r="C1737" s="7" t="s">
        <v>24</v>
      </c>
      <c r="D1737" s="7" t="s">
        <v>64</v>
      </c>
      <c r="E1737" s="8" t="s">
        <v>87</v>
      </c>
    </row>
    <row r="1738" spans="1:5" x14ac:dyDescent="0.25">
      <c r="A1738" s="5" t="s">
        <v>2011</v>
      </c>
      <c r="B1738" s="6" t="s">
        <v>2010</v>
      </c>
      <c r="C1738" s="7" t="s">
        <v>24</v>
      </c>
      <c r="D1738" s="7" t="s">
        <v>25</v>
      </c>
      <c r="E1738" s="8" t="s">
        <v>4458</v>
      </c>
    </row>
    <row r="1739" spans="1:5" x14ac:dyDescent="0.25">
      <c r="A1739" s="5" t="s">
        <v>2013</v>
      </c>
      <c r="B1739" s="6" t="s">
        <v>2012</v>
      </c>
      <c r="C1739" s="7" t="s">
        <v>24</v>
      </c>
      <c r="D1739" s="7" t="s">
        <v>25</v>
      </c>
      <c r="E1739" s="8" t="s">
        <v>4459</v>
      </c>
    </row>
    <row r="1740" spans="1:5" x14ac:dyDescent="0.25">
      <c r="A1740" s="5" t="s">
        <v>2015</v>
      </c>
      <c r="B1740" s="6" t="s">
        <v>2014</v>
      </c>
      <c r="C1740" s="7" t="s">
        <v>24</v>
      </c>
      <c r="D1740" s="7" t="s">
        <v>25</v>
      </c>
      <c r="E1740" s="8" t="s">
        <v>4461</v>
      </c>
    </row>
    <row r="1741" spans="1:5" x14ac:dyDescent="0.25">
      <c r="A1741" s="5" t="s">
        <v>2017</v>
      </c>
      <c r="B1741" s="6" t="s">
        <v>2016</v>
      </c>
      <c r="C1741" s="7" t="s">
        <v>24</v>
      </c>
      <c r="D1741" s="7" t="s">
        <v>25</v>
      </c>
      <c r="E1741" s="8" t="s">
        <v>4465</v>
      </c>
    </row>
    <row r="1742" spans="1:5" x14ac:dyDescent="0.25">
      <c r="A1742" s="5" t="s">
        <v>2019</v>
      </c>
      <c r="B1742" s="6" t="s">
        <v>2018</v>
      </c>
      <c r="C1742" s="7" t="s">
        <v>24</v>
      </c>
      <c r="D1742" s="7" t="s">
        <v>25</v>
      </c>
      <c r="E1742" s="8" t="s">
        <v>4462</v>
      </c>
    </row>
    <row r="1743" spans="1:5" x14ac:dyDescent="0.25">
      <c r="A1743" s="5" t="s">
        <v>2021</v>
      </c>
      <c r="B1743" s="6" t="s">
        <v>2020</v>
      </c>
      <c r="C1743" s="7" t="s">
        <v>24</v>
      </c>
      <c r="D1743" s="7" t="s">
        <v>64</v>
      </c>
      <c r="E1743" s="8" t="s">
        <v>68</v>
      </c>
    </row>
    <row r="1744" spans="1:5" x14ac:dyDescent="0.25">
      <c r="A1744" s="5" t="s">
        <v>2023</v>
      </c>
      <c r="B1744" s="6" t="s">
        <v>2022</v>
      </c>
      <c r="C1744" s="7" t="s">
        <v>24</v>
      </c>
      <c r="D1744" s="7" t="s">
        <v>64</v>
      </c>
      <c r="E1744" s="8" t="s">
        <v>90</v>
      </c>
    </row>
    <row r="1745" spans="1:5" x14ac:dyDescent="0.25">
      <c r="A1745" s="5" t="s">
        <v>2025</v>
      </c>
      <c r="B1745" s="6" t="s">
        <v>2024</v>
      </c>
      <c r="C1745" s="7" t="s">
        <v>24</v>
      </c>
      <c r="D1745" s="7" t="s">
        <v>64</v>
      </c>
      <c r="E1745" s="8" t="s">
        <v>93</v>
      </c>
    </row>
    <row r="1746" spans="1:5" x14ac:dyDescent="0.25">
      <c r="A1746" s="5" t="s">
        <v>2027</v>
      </c>
      <c r="B1746" s="6" t="s">
        <v>2026</v>
      </c>
      <c r="C1746" s="7" t="s">
        <v>24</v>
      </c>
      <c r="D1746" s="7" t="s">
        <v>64</v>
      </c>
      <c r="E1746" s="8" t="s">
        <v>99</v>
      </c>
    </row>
    <row r="1747" spans="1:5" x14ac:dyDescent="0.25">
      <c r="A1747" s="5" t="s">
        <v>2029</v>
      </c>
      <c r="B1747" s="6" t="s">
        <v>2028</v>
      </c>
      <c r="C1747" s="7" t="s">
        <v>24</v>
      </c>
      <c r="D1747" s="7" t="s">
        <v>64</v>
      </c>
      <c r="E1747" s="8" t="s">
        <v>99</v>
      </c>
    </row>
    <row r="1748" spans="1:5" x14ac:dyDescent="0.25">
      <c r="A1748" s="5" t="s">
        <v>2031</v>
      </c>
      <c r="B1748" s="6" t="s">
        <v>2030</v>
      </c>
      <c r="C1748" s="7" t="s">
        <v>24</v>
      </c>
      <c r="D1748" s="7" t="s">
        <v>64</v>
      </c>
      <c r="E1748" s="8" t="s">
        <v>99</v>
      </c>
    </row>
    <row r="1749" spans="1:5" x14ac:dyDescent="0.25">
      <c r="A1749" s="5" t="s">
        <v>2033</v>
      </c>
      <c r="B1749" s="6" t="s">
        <v>2032</v>
      </c>
      <c r="C1749" s="7" t="s">
        <v>24</v>
      </c>
      <c r="D1749" s="7" t="s">
        <v>64</v>
      </c>
      <c r="E1749" s="8" t="s">
        <v>99</v>
      </c>
    </row>
    <row r="1750" spans="1:5" x14ac:dyDescent="0.25">
      <c r="A1750" s="5" t="s">
        <v>2035</v>
      </c>
      <c r="B1750" s="6" t="s">
        <v>2034</v>
      </c>
      <c r="C1750" s="7" t="s">
        <v>24</v>
      </c>
      <c r="D1750" s="7" t="s">
        <v>64</v>
      </c>
      <c r="E1750" s="8" t="s">
        <v>65</v>
      </c>
    </row>
    <row r="1751" spans="1:5" x14ac:dyDescent="0.25">
      <c r="A1751" s="5" t="s">
        <v>2037</v>
      </c>
      <c r="B1751" s="6" t="s">
        <v>2036</v>
      </c>
      <c r="C1751" s="7" t="s">
        <v>24</v>
      </c>
      <c r="D1751" s="7" t="s">
        <v>25</v>
      </c>
      <c r="E1751" s="8" t="s">
        <v>4457</v>
      </c>
    </row>
    <row r="1752" spans="1:5" x14ac:dyDescent="0.25">
      <c r="A1752" s="5" t="s">
        <v>2039</v>
      </c>
      <c r="B1752" s="6" t="s">
        <v>2038</v>
      </c>
      <c r="C1752" s="7" t="s">
        <v>24</v>
      </c>
      <c r="D1752" s="7" t="s">
        <v>25</v>
      </c>
      <c r="E1752" s="8" t="s">
        <v>4458</v>
      </c>
    </row>
    <row r="1753" spans="1:5" x14ac:dyDescent="0.25">
      <c r="A1753" s="5" t="s">
        <v>3336</v>
      </c>
      <c r="B1753" s="6" t="s">
        <v>4108</v>
      </c>
      <c r="C1753" s="7" t="s">
        <v>24</v>
      </c>
      <c r="D1753" s="7" t="s">
        <v>25</v>
      </c>
      <c r="E1753" s="8" t="s">
        <v>4466</v>
      </c>
    </row>
    <row r="1754" spans="1:5" x14ac:dyDescent="0.25">
      <c r="A1754" s="12" t="s">
        <v>2041</v>
      </c>
      <c r="B1754" s="6" t="s">
        <v>2040</v>
      </c>
      <c r="C1754" s="13" t="s">
        <v>24</v>
      </c>
      <c r="D1754" s="13" t="s">
        <v>64</v>
      </c>
      <c r="E1754" s="8" t="s">
        <v>87</v>
      </c>
    </row>
    <row r="1755" spans="1:5" x14ac:dyDescent="0.25">
      <c r="A1755" s="5" t="s">
        <v>2043</v>
      </c>
      <c r="B1755" s="6" t="s">
        <v>2042</v>
      </c>
      <c r="C1755" s="7" t="s">
        <v>24</v>
      </c>
      <c r="D1755" s="7" t="s">
        <v>64</v>
      </c>
      <c r="E1755" s="8" t="s">
        <v>65</v>
      </c>
    </row>
    <row r="1756" spans="1:5" x14ac:dyDescent="0.25">
      <c r="A1756" s="5" t="s">
        <v>2045</v>
      </c>
      <c r="B1756" s="6" t="s">
        <v>2044</v>
      </c>
      <c r="C1756" s="7" t="s">
        <v>24</v>
      </c>
      <c r="D1756" s="7" t="s">
        <v>64</v>
      </c>
      <c r="E1756" s="8" t="s">
        <v>87</v>
      </c>
    </row>
    <row r="1757" spans="1:5" x14ac:dyDescent="0.25">
      <c r="A1757" s="5" t="s">
        <v>2047</v>
      </c>
      <c r="B1757" s="6" t="s">
        <v>2046</v>
      </c>
      <c r="C1757" s="7" t="s">
        <v>24</v>
      </c>
      <c r="D1757" s="7" t="s">
        <v>25</v>
      </c>
      <c r="E1757" s="8" t="s">
        <v>4458</v>
      </c>
    </row>
    <row r="1758" spans="1:5" x14ac:dyDescent="0.25">
      <c r="A1758" s="5" t="s">
        <v>2049</v>
      </c>
      <c r="B1758" s="6" t="s">
        <v>2048</v>
      </c>
      <c r="C1758" s="7" t="s">
        <v>24</v>
      </c>
      <c r="D1758" s="7" t="s">
        <v>25</v>
      </c>
      <c r="E1758" s="8" t="s">
        <v>4460</v>
      </c>
    </row>
    <row r="1759" spans="1:5" x14ac:dyDescent="0.25">
      <c r="A1759" s="5" t="s">
        <v>2051</v>
      </c>
      <c r="B1759" s="6" t="s">
        <v>2050</v>
      </c>
      <c r="C1759" s="7" t="s">
        <v>24</v>
      </c>
      <c r="D1759" s="7" t="s">
        <v>25</v>
      </c>
      <c r="E1759" s="8" t="s">
        <v>4457</v>
      </c>
    </row>
    <row r="1760" spans="1:5" x14ac:dyDescent="0.25">
      <c r="A1760" s="5" t="s">
        <v>2053</v>
      </c>
      <c r="B1760" s="6" t="s">
        <v>2052</v>
      </c>
      <c r="C1760" s="7" t="s">
        <v>24</v>
      </c>
      <c r="D1760" s="7" t="s">
        <v>25</v>
      </c>
      <c r="E1760" s="8" t="s">
        <v>4458</v>
      </c>
    </row>
    <row r="1761" spans="1:5" x14ac:dyDescent="0.25">
      <c r="A1761" s="12" t="s">
        <v>2055</v>
      </c>
      <c r="B1761" s="6" t="s">
        <v>2054</v>
      </c>
      <c r="C1761" s="13" t="s">
        <v>24</v>
      </c>
      <c r="D1761" s="13" t="s">
        <v>25</v>
      </c>
      <c r="E1761" s="8" t="s">
        <v>4459</v>
      </c>
    </row>
    <row r="1762" spans="1:5" x14ac:dyDescent="0.25">
      <c r="A1762" s="5" t="s">
        <v>2057</v>
      </c>
      <c r="B1762" s="6" t="s">
        <v>2056</v>
      </c>
      <c r="C1762" s="7" t="s">
        <v>24</v>
      </c>
      <c r="D1762" s="7" t="s">
        <v>25</v>
      </c>
      <c r="E1762" s="8" t="s">
        <v>4460</v>
      </c>
    </row>
    <row r="1763" spans="1:5" x14ac:dyDescent="0.25">
      <c r="A1763" s="5" t="s">
        <v>2059</v>
      </c>
      <c r="B1763" s="6" t="s">
        <v>2058</v>
      </c>
      <c r="C1763" s="7" t="s">
        <v>24</v>
      </c>
      <c r="D1763" s="7" t="s">
        <v>25</v>
      </c>
      <c r="E1763" s="8" t="s">
        <v>4465</v>
      </c>
    </row>
    <row r="1764" spans="1:5" x14ac:dyDescent="0.25">
      <c r="A1764" s="5" t="s">
        <v>3619</v>
      </c>
      <c r="B1764" s="6" t="s">
        <v>4396</v>
      </c>
      <c r="C1764" s="7" t="s">
        <v>24</v>
      </c>
      <c r="D1764" s="7" t="s">
        <v>4474</v>
      </c>
      <c r="E1764" s="8" t="s">
        <v>93</v>
      </c>
    </row>
    <row r="1765" spans="1:5" x14ac:dyDescent="0.25">
      <c r="A1765" s="5" t="s">
        <v>2061</v>
      </c>
      <c r="B1765" s="6" t="s">
        <v>2060</v>
      </c>
      <c r="C1765" s="7" t="s">
        <v>24</v>
      </c>
      <c r="D1765" s="7" t="s">
        <v>562</v>
      </c>
      <c r="E1765" s="8" t="s">
        <v>426</v>
      </c>
    </row>
    <row r="1766" spans="1:5" x14ac:dyDescent="0.25">
      <c r="A1766" s="5" t="s">
        <v>3618</v>
      </c>
      <c r="B1766" s="6" t="s">
        <v>4395</v>
      </c>
      <c r="C1766" s="7" t="s">
        <v>24</v>
      </c>
      <c r="D1766" s="7" t="s">
        <v>4474</v>
      </c>
      <c r="E1766" s="8" t="s">
        <v>426</v>
      </c>
    </row>
    <row r="1767" spans="1:5" x14ac:dyDescent="0.25">
      <c r="A1767" s="5" t="s">
        <v>2063</v>
      </c>
      <c r="B1767" s="6" t="s">
        <v>2062</v>
      </c>
      <c r="C1767" s="7" t="s">
        <v>24</v>
      </c>
      <c r="D1767" s="7" t="s">
        <v>562</v>
      </c>
      <c r="E1767" s="8" t="s">
        <v>90</v>
      </c>
    </row>
    <row r="1768" spans="1:5" x14ac:dyDescent="0.25">
      <c r="A1768" s="5" t="s">
        <v>2065</v>
      </c>
      <c r="B1768" s="6" t="s">
        <v>2064</v>
      </c>
      <c r="C1768" s="7" t="s">
        <v>24</v>
      </c>
      <c r="D1768" s="7" t="s">
        <v>562</v>
      </c>
      <c r="E1768" s="8" t="s">
        <v>93</v>
      </c>
    </row>
    <row r="1769" spans="1:5" x14ac:dyDescent="0.25">
      <c r="A1769" s="5" t="s">
        <v>3620</v>
      </c>
      <c r="B1769" s="6" t="s">
        <v>4397</v>
      </c>
      <c r="C1769" s="7" t="s">
        <v>24</v>
      </c>
      <c r="D1769" s="7" t="s">
        <v>4474</v>
      </c>
      <c r="E1769" s="8" t="s">
        <v>573</v>
      </c>
    </row>
    <row r="1770" spans="1:5" x14ac:dyDescent="0.25">
      <c r="A1770" s="5" t="s">
        <v>2067</v>
      </c>
      <c r="B1770" s="6" t="s">
        <v>2066</v>
      </c>
      <c r="C1770" s="7" t="s">
        <v>24</v>
      </c>
      <c r="D1770" s="7" t="s">
        <v>64</v>
      </c>
      <c r="E1770" s="8" t="s">
        <v>99</v>
      </c>
    </row>
    <row r="1771" spans="1:5" x14ac:dyDescent="0.25">
      <c r="A1771" s="5" t="s">
        <v>2069</v>
      </c>
      <c r="B1771" s="6" t="s">
        <v>2068</v>
      </c>
      <c r="C1771" s="7" t="s">
        <v>24</v>
      </c>
      <c r="D1771" s="7" t="s">
        <v>64</v>
      </c>
      <c r="E1771" s="8" t="s">
        <v>99</v>
      </c>
    </row>
    <row r="1772" spans="1:5" x14ac:dyDescent="0.25">
      <c r="A1772" s="5" t="s">
        <v>2071</v>
      </c>
      <c r="B1772" s="6" t="s">
        <v>2070</v>
      </c>
      <c r="C1772" s="7" t="s">
        <v>24</v>
      </c>
      <c r="D1772" s="7" t="s">
        <v>64</v>
      </c>
      <c r="E1772" s="8" t="s">
        <v>99</v>
      </c>
    </row>
    <row r="1773" spans="1:5" x14ac:dyDescent="0.25">
      <c r="A1773" s="5" t="s">
        <v>2073</v>
      </c>
      <c r="B1773" s="6" t="s">
        <v>2072</v>
      </c>
      <c r="C1773" s="7" t="s">
        <v>24</v>
      </c>
      <c r="D1773" s="7" t="s">
        <v>64</v>
      </c>
      <c r="E1773" s="8" t="s">
        <v>99</v>
      </c>
    </row>
    <row r="1774" spans="1:5" x14ac:dyDescent="0.25">
      <c r="A1774" s="5" t="s">
        <v>4558</v>
      </c>
      <c r="B1774" s="6" t="s">
        <v>4559</v>
      </c>
      <c r="C1774" s="7" t="s">
        <v>24</v>
      </c>
      <c r="D1774" s="7" t="s">
        <v>321</v>
      </c>
      <c r="E1774" s="8" t="s">
        <v>4455</v>
      </c>
    </row>
    <row r="1775" spans="1:5" x14ac:dyDescent="0.25">
      <c r="A1775" s="12" t="s">
        <v>2075</v>
      </c>
      <c r="B1775" s="6" t="s">
        <v>2074</v>
      </c>
      <c r="C1775" s="13" t="s">
        <v>24</v>
      </c>
      <c r="D1775" s="13" t="s">
        <v>64</v>
      </c>
      <c r="E1775" s="8" t="s">
        <v>4455</v>
      </c>
    </row>
    <row r="1776" spans="1:5" x14ac:dyDescent="0.25">
      <c r="A1776" s="5" t="s">
        <v>2077</v>
      </c>
      <c r="B1776" s="6" t="s">
        <v>2076</v>
      </c>
      <c r="C1776" s="7" t="s">
        <v>24</v>
      </c>
      <c r="D1776" s="7" t="s">
        <v>321</v>
      </c>
      <c r="E1776" s="8" t="s">
        <v>4455</v>
      </c>
    </row>
    <row r="1777" spans="1:5" x14ac:dyDescent="0.25">
      <c r="A1777" s="5" t="s">
        <v>2079</v>
      </c>
      <c r="B1777" s="6" t="s">
        <v>2078</v>
      </c>
      <c r="C1777" s="13" t="s">
        <v>24</v>
      </c>
      <c r="D1777" s="13" t="s">
        <v>64</v>
      </c>
      <c r="E1777" s="8" t="s">
        <v>288</v>
      </c>
    </row>
    <row r="1778" spans="1:5" x14ac:dyDescent="0.25">
      <c r="A1778" s="5" t="s">
        <v>2081</v>
      </c>
      <c r="B1778" s="6" t="s">
        <v>2080</v>
      </c>
      <c r="C1778" s="13" t="s">
        <v>24</v>
      </c>
      <c r="D1778" s="13" t="s">
        <v>64</v>
      </c>
      <c r="E1778" s="8" t="s">
        <v>426</v>
      </c>
    </row>
    <row r="1779" spans="1:5" x14ac:dyDescent="0.25">
      <c r="A1779" s="5" t="s">
        <v>2083</v>
      </c>
      <c r="B1779" s="6" t="s">
        <v>2082</v>
      </c>
      <c r="C1779" s="7" t="s">
        <v>24</v>
      </c>
      <c r="D1779" s="7" t="s">
        <v>64</v>
      </c>
      <c r="E1779" s="8" t="s">
        <v>4455</v>
      </c>
    </row>
    <row r="1780" spans="1:5" x14ac:dyDescent="0.25">
      <c r="A1780" s="5" t="s">
        <v>3095</v>
      </c>
      <c r="B1780" s="6" t="s">
        <v>3865</v>
      </c>
      <c r="C1780" s="7" t="s">
        <v>24</v>
      </c>
      <c r="D1780" s="7" t="s">
        <v>321</v>
      </c>
      <c r="E1780" s="8" t="s">
        <v>4455</v>
      </c>
    </row>
    <row r="1781" spans="1:5" x14ac:dyDescent="0.25">
      <c r="A1781" s="5" t="s">
        <v>2085</v>
      </c>
      <c r="B1781" s="6" t="s">
        <v>2084</v>
      </c>
      <c r="C1781" s="7" t="s">
        <v>24</v>
      </c>
      <c r="D1781" s="7" t="s">
        <v>64</v>
      </c>
      <c r="E1781" s="8" t="s">
        <v>426</v>
      </c>
    </row>
    <row r="1782" spans="1:5" x14ac:dyDescent="0.25">
      <c r="A1782" s="12" t="s">
        <v>2087</v>
      </c>
      <c r="B1782" s="6" t="s">
        <v>2086</v>
      </c>
      <c r="C1782" s="13" t="s">
        <v>24</v>
      </c>
      <c r="D1782" s="13" t="s">
        <v>64</v>
      </c>
      <c r="E1782" s="8" t="s">
        <v>573</v>
      </c>
    </row>
    <row r="1783" spans="1:5" x14ac:dyDescent="0.25">
      <c r="A1783" s="5" t="s">
        <v>2089</v>
      </c>
      <c r="B1783" s="6" t="s">
        <v>2088</v>
      </c>
      <c r="C1783" s="7" t="s">
        <v>24</v>
      </c>
      <c r="D1783" s="7" t="s">
        <v>64</v>
      </c>
      <c r="E1783" s="8" t="s">
        <v>4469</v>
      </c>
    </row>
    <row r="1784" spans="1:5" x14ac:dyDescent="0.25">
      <c r="A1784" s="5" t="s">
        <v>2091</v>
      </c>
      <c r="B1784" s="6" t="s">
        <v>2090</v>
      </c>
      <c r="C1784" s="7" t="s">
        <v>24</v>
      </c>
      <c r="D1784" s="7" t="s">
        <v>321</v>
      </c>
      <c r="E1784" s="8" t="s">
        <v>4455</v>
      </c>
    </row>
    <row r="1785" spans="1:5" x14ac:dyDescent="0.25">
      <c r="A1785" s="5" t="s">
        <v>2093</v>
      </c>
      <c r="B1785" s="6" t="s">
        <v>2092</v>
      </c>
      <c r="C1785" s="7" t="s">
        <v>24</v>
      </c>
      <c r="D1785" s="7" t="s">
        <v>64</v>
      </c>
      <c r="E1785" s="8" t="s">
        <v>99</v>
      </c>
    </row>
    <row r="1786" spans="1:5" x14ac:dyDescent="0.25">
      <c r="A1786" s="5" t="s">
        <v>2095</v>
      </c>
      <c r="B1786" s="6" t="s">
        <v>2094</v>
      </c>
      <c r="C1786" s="7" t="s">
        <v>24</v>
      </c>
      <c r="D1786" s="7" t="s">
        <v>64</v>
      </c>
      <c r="E1786" s="8" t="s">
        <v>68</v>
      </c>
    </row>
    <row r="1787" spans="1:5" x14ac:dyDescent="0.25">
      <c r="A1787" s="12" t="s">
        <v>2097</v>
      </c>
      <c r="B1787" s="6" t="s">
        <v>2096</v>
      </c>
      <c r="C1787" s="13" t="s">
        <v>24</v>
      </c>
      <c r="D1787" s="13" t="s">
        <v>64</v>
      </c>
      <c r="E1787" s="8" t="s">
        <v>288</v>
      </c>
    </row>
    <row r="1788" spans="1:5" x14ac:dyDescent="0.25">
      <c r="A1788" s="5" t="s">
        <v>4560</v>
      </c>
      <c r="B1788" s="6" t="s">
        <v>2082</v>
      </c>
      <c r="C1788" s="7" t="s">
        <v>24</v>
      </c>
      <c r="D1788" s="7" t="s">
        <v>64</v>
      </c>
      <c r="E1788" s="8" t="s">
        <v>4455</v>
      </c>
    </row>
    <row r="1789" spans="1:5" x14ac:dyDescent="0.25">
      <c r="A1789" s="5" t="s">
        <v>2099</v>
      </c>
      <c r="B1789" s="6" t="s">
        <v>2098</v>
      </c>
      <c r="C1789" s="7" t="s">
        <v>24</v>
      </c>
      <c r="D1789" s="7" t="s">
        <v>64</v>
      </c>
      <c r="E1789" s="8" t="s">
        <v>4454</v>
      </c>
    </row>
    <row r="1790" spans="1:5" x14ac:dyDescent="0.25">
      <c r="A1790" s="5" t="s">
        <v>2101</v>
      </c>
      <c r="B1790" s="6" t="s">
        <v>2100</v>
      </c>
      <c r="C1790" s="7" t="s">
        <v>24</v>
      </c>
      <c r="D1790" s="7" t="s">
        <v>25</v>
      </c>
      <c r="E1790" s="8" t="s">
        <v>4462</v>
      </c>
    </row>
    <row r="1791" spans="1:5" x14ac:dyDescent="0.25">
      <c r="A1791" s="5" t="s">
        <v>2103</v>
      </c>
      <c r="B1791" s="6" t="s">
        <v>2102</v>
      </c>
      <c r="C1791" s="7" t="s">
        <v>24</v>
      </c>
      <c r="D1791" s="7" t="s">
        <v>25</v>
      </c>
      <c r="E1791" s="8" t="s">
        <v>4458</v>
      </c>
    </row>
    <row r="1792" spans="1:5" x14ac:dyDescent="0.25">
      <c r="A1792" s="5" t="s">
        <v>2105</v>
      </c>
      <c r="B1792" s="6" t="s">
        <v>2104</v>
      </c>
      <c r="C1792" s="7" t="s">
        <v>24</v>
      </c>
      <c r="D1792" s="7" t="s">
        <v>25</v>
      </c>
      <c r="E1792" s="8" t="s">
        <v>4459</v>
      </c>
    </row>
    <row r="1793" spans="1:5" x14ac:dyDescent="0.25">
      <c r="A1793" s="5" t="s">
        <v>2107</v>
      </c>
      <c r="B1793" s="6" t="s">
        <v>2106</v>
      </c>
      <c r="C1793" s="7" t="s">
        <v>24</v>
      </c>
      <c r="D1793" s="7" t="s">
        <v>25</v>
      </c>
      <c r="E1793" s="8" t="s">
        <v>4461</v>
      </c>
    </row>
    <row r="1794" spans="1:5" x14ac:dyDescent="0.25">
      <c r="A1794" s="5" t="s">
        <v>3323</v>
      </c>
      <c r="B1794" s="6" t="s">
        <v>4097</v>
      </c>
      <c r="C1794" s="7" t="s">
        <v>24</v>
      </c>
      <c r="D1794" s="7" t="s">
        <v>4456</v>
      </c>
      <c r="E1794" s="8" t="s">
        <v>90</v>
      </c>
    </row>
    <row r="1795" spans="1:5" x14ac:dyDescent="0.25">
      <c r="A1795" s="5" t="s">
        <v>2109</v>
      </c>
      <c r="B1795" s="6" t="s">
        <v>2108</v>
      </c>
      <c r="C1795" s="7" t="s">
        <v>24</v>
      </c>
      <c r="D1795" s="7" t="s">
        <v>64</v>
      </c>
      <c r="E1795" s="8" t="s">
        <v>99</v>
      </c>
    </row>
    <row r="1796" spans="1:5" x14ac:dyDescent="0.25">
      <c r="A1796" s="5" t="s">
        <v>2111</v>
      </c>
      <c r="B1796" s="6" t="s">
        <v>2110</v>
      </c>
      <c r="C1796" s="7" t="s">
        <v>24</v>
      </c>
      <c r="D1796" s="7" t="s">
        <v>64</v>
      </c>
      <c r="E1796" s="8" t="s">
        <v>87</v>
      </c>
    </row>
    <row r="1797" spans="1:5" x14ac:dyDescent="0.25">
      <c r="A1797" s="5" t="s">
        <v>2113</v>
      </c>
      <c r="B1797" s="6" t="s">
        <v>2112</v>
      </c>
      <c r="C1797" s="7" t="s">
        <v>24</v>
      </c>
      <c r="D1797" s="7" t="s">
        <v>64</v>
      </c>
      <c r="E1797" s="8" t="s">
        <v>426</v>
      </c>
    </row>
    <row r="1798" spans="1:5" x14ac:dyDescent="0.25">
      <c r="A1798" s="5" t="s">
        <v>3624</v>
      </c>
      <c r="B1798" s="6" t="s">
        <v>4401</v>
      </c>
      <c r="C1798" s="7" t="s">
        <v>24</v>
      </c>
      <c r="D1798" s="7" t="s">
        <v>4474</v>
      </c>
      <c r="E1798" s="8" t="s">
        <v>4460</v>
      </c>
    </row>
    <row r="1799" spans="1:5" x14ac:dyDescent="0.25">
      <c r="A1799" s="5" t="s">
        <v>2115</v>
      </c>
      <c r="B1799" s="6" t="s">
        <v>2114</v>
      </c>
      <c r="C1799" s="7" t="s">
        <v>24</v>
      </c>
      <c r="D1799" s="7" t="s">
        <v>64</v>
      </c>
      <c r="E1799" s="8" t="s">
        <v>65</v>
      </c>
    </row>
    <row r="1800" spans="1:5" x14ac:dyDescent="0.25">
      <c r="A1800" s="5" t="s">
        <v>3294</v>
      </c>
      <c r="B1800" s="6" t="s">
        <v>4065</v>
      </c>
      <c r="C1800" s="7" t="s">
        <v>24</v>
      </c>
      <c r="D1800" s="7" t="s">
        <v>4456</v>
      </c>
      <c r="E1800" s="8" t="s">
        <v>4454</v>
      </c>
    </row>
    <row r="1801" spans="1:5" x14ac:dyDescent="0.25">
      <c r="A1801" s="5" t="s">
        <v>3239</v>
      </c>
      <c r="B1801" s="6" t="s">
        <v>4010</v>
      </c>
      <c r="C1801" s="7" t="s">
        <v>24</v>
      </c>
      <c r="D1801" s="7" t="s">
        <v>4456</v>
      </c>
      <c r="E1801" s="8" t="s">
        <v>4454</v>
      </c>
    </row>
    <row r="1802" spans="1:5" x14ac:dyDescent="0.25">
      <c r="A1802" s="5" t="s">
        <v>3554</v>
      </c>
      <c r="B1802" s="6" t="s">
        <v>4328</v>
      </c>
      <c r="C1802" s="7" t="s">
        <v>24</v>
      </c>
      <c r="D1802" s="7" t="s">
        <v>4456</v>
      </c>
      <c r="E1802" s="8" t="s">
        <v>4454</v>
      </c>
    </row>
    <row r="1803" spans="1:5" x14ac:dyDescent="0.25">
      <c r="A1803" s="5" t="s">
        <v>3571</v>
      </c>
      <c r="B1803" s="6" t="s">
        <v>4346</v>
      </c>
      <c r="C1803" s="7" t="s">
        <v>24</v>
      </c>
      <c r="D1803" s="7" t="s">
        <v>4456</v>
      </c>
      <c r="E1803" s="8" t="s">
        <v>4454</v>
      </c>
    </row>
    <row r="1804" spans="1:5" x14ac:dyDescent="0.25">
      <c r="A1804" s="5" t="s">
        <v>3621</v>
      </c>
      <c r="B1804" s="6" t="s">
        <v>4398</v>
      </c>
      <c r="C1804" s="7" t="s">
        <v>24</v>
      </c>
      <c r="D1804" s="7" t="s">
        <v>4474</v>
      </c>
      <c r="E1804" s="8" t="s">
        <v>4458</v>
      </c>
    </row>
    <row r="1805" spans="1:5" x14ac:dyDescent="0.25">
      <c r="A1805" s="5" t="s">
        <v>2117</v>
      </c>
      <c r="B1805" s="6" t="s">
        <v>2116</v>
      </c>
      <c r="C1805" s="7" t="s">
        <v>24</v>
      </c>
      <c r="D1805" s="7" t="s">
        <v>25</v>
      </c>
      <c r="E1805" s="8" t="s">
        <v>4459</v>
      </c>
    </row>
    <row r="1806" spans="1:5" x14ac:dyDescent="0.25">
      <c r="A1806" s="5" t="s">
        <v>3572</v>
      </c>
      <c r="B1806" s="6" t="s">
        <v>4347</v>
      </c>
      <c r="C1806" s="7" t="s">
        <v>24</v>
      </c>
      <c r="D1806" s="7" t="s">
        <v>4456</v>
      </c>
      <c r="E1806" s="8" t="s">
        <v>4454</v>
      </c>
    </row>
    <row r="1807" spans="1:5" x14ac:dyDescent="0.25">
      <c r="A1807" s="5" t="s">
        <v>3555</v>
      </c>
      <c r="B1807" s="6" t="s">
        <v>4329</v>
      </c>
      <c r="C1807" s="7" t="s">
        <v>24</v>
      </c>
      <c r="D1807" s="7" t="s">
        <v>4456</v>
      </c>
      <c r="E1807" s="8" t="s">
        <v>4454</v>
      </c>
    </row>
    <row r="1808" spans="1:5" x14ac:dyDescent="0.25">
      <c r="A1808" s="5" t="s">
        <v>3502</v>
      </c>
      <c r="B1808" s="6" t="s">
        <v>4276</v>
      </c>
      <c r="C1808" s="7" t="s">
        <v>24</v>
      </c>
      <c r="D1808" s="7" t="s">
        <v>4456</v>
      </c>
      <c r="E1808" s="8" t="s">
        <v>4454</v>
      </c>
    </row>
    <row r="1809" spans="1:5" x14ac:dyDescent="0.25">
      <c r="A1809" s="5" t="s">
        <v>3558</v>
      </c>
      <c r="B1809" s="6" t="s">
        <v>4332</v>
      </c>
      <c r="C1809" s="7" t="s">
        <v>24</v>
      </c>
      <c r="D1809" s="7" t="s">
        <v>4456</v>
      </c>
      <c r="E1809" s="8" t="s">
        <v>4454</v>
      </c>
    </row>
    <row r="1810" spans="1:5" x14ac:dyDescent="0.25">
      <c r="A1810" s="5" t="s">
        <v>2119</v>
      </c>
      <c r="B1810" s="6" t="s">
        <v>2118</v>
      </c>
      <c r="C1810" s="7" t="s">
        <v>24</v>
      </c>
      <c r="D1810" s="7" t="s">
        <v>562</v>
      </c>
      <c r="E1810" s="8" t="s">
        <v>4469</v>
      </c>
    </row>
    <row r="1811" spans="1:5" x14ac:dyDescent="0.25">
      <c r="A1811" s="5" t="s">
        <v>3643</v>
      </c>
      <c r="B1811" s="6" t="s">
        <v>4419</v>
      </c>
      <c r="C1811" s="13" t="s">
        <v>24</v>
      </c>
      <c r="D1811" s="13" t="s">
        <v>4474</v>
      </c>
      <c r="E1811" s="8" t="s">
        <v>4454</v>
      </c>
    </row>
    <row r="1812" spans="1:5" x14ac:dyDescent="0.25">
      <c r="A1812" s="5" t="s">
        <v>3658</v>
      </c>
      <c r="B1812" s="6" t="s">
        <v>4435</v>
      </c>
      <c r="C1812" s="7" t="s">
        <v>24</v>
      </c>
      <c r="D1812" s="7" t="s">
        <v>4474</v>
      </c>
      <c r="E1812" s="8" t="s">
        <v>4454</v>
      </c>
    </row>
    <row r="1813" spans="1:5" x14ac:dyDescent="0.25">
      <c r="A1813" s="5" t="s">
        <v>3659</v>
      </c>
      <c r="B1813" s="6" t="s">
        <v>4436</v>
      </c>
      <c r="C1813" s="7" t="s">
        <v>24</v>
      </c>
      <c r="D1813" s="7" t="s">
        <v>4474</v>
      </c>
      <c r="E1813" s="8" t="s">
        <v>4454</v>
      </c>
    </row>
    <row r="1814" spans="1:5" x14ac:dyDescent="0.25">
      <c r="A1814" s="5" t="s">
        <v>3660</v>
      </c>
      <c r="B1814" s="6" t="s">
        <v>4437</v>
      </c>
      <c r="C1814" s="7" t="s">
        <v>24</v>
      </c>
      <c r="D1814" s="7" t="s">
        <v>4474</v>
      </c>
      <c r="E1814" s="8" t="s">
        <v>4454</v>
      </c>
    </row>
    <row r="1815" spans="1:5" x14ac:dyDescent="0.25">
      <c r="A1815" s="5" t="s">
        <v>3644</v>
      </c>
      <c r="B1815" s="6" t="s">
        <v>4420</v>
      </c>
      <c r="C1815" s="7" t="s">
        <v>24</v>
      </c>
      <c r="D1815" s="7" t="s">
        <v>4474</v>
      </c>
      <c r="E1815" s="8" t="s">
        <v>4454</v>
      </c>
    </row>
    <row r="1816" spans="1:5" x14ac:dyDescent="0.25">
      <c r="A1816" s="5" t="s">
        <v>3661</v>
      </c>
      <c r="B1816" s="6" t="s">
        <v>4438</v>
      </c>
      <c r="C1816" s="7" t="s">
        <v>24</v>
      </c>
      <c r="D1816" s="7" t="s">
        <v>4474</v>
      </c>
      <c r="E1816" s="8" t="s">
        <v>4454</v>
      </c>
    </row>
    <row r="1817" spans="1:5" x14ac:dyDescent="0.25">
      <c r="A1817" s="5" t="s">
        <v>3662</v>
      </c>
      <c r="B1817" s="6" t="s">
        <v>4439</v>
      </c>
      <c r="C1817" s="7" t="s">
        <v>24</v>
      </c>
      <c r="D1817" s="7" t="s">
        <v>4474</v>
      </c>
      <c r="E1817" s="8" t="s">
        <v>4454</v>
      </c>
    </row>
    <row r="1818" spans="1:5" x14ac:dyDescent="0.25">
      <c r="A1818" s="5" t="s">
        <v>3663</v>
      </c>
      <c r="B1818" s="6" t="s">
        <v>4440</v>
      </c>
      <c r="C1818" s="13" t="s">
        <v>24</v>
      </c>
      <c r="D1818" s="13" t="s">
        <v>4474</v>
      </c>
      <c r="E1818" s="8" t="s">
        <v>4454</v>
      </c>
    </row>
    <row r="1819" spans="1:5" x14ac:dyDescent="0.25">
      <c r="A1819" s="5" t="s">
        <v>2122</v>
      </c>
      <c r="B1819" s="6" t="s">
        <v>2121</v>
      </c>
      <c r="C1819" s="7" t="s">
        <v>24</v>
      </c>
      <c r="D1819" s="7" t="s">
        <v>25</v>
      </c>
      <c r="E1819" s="8" t="s">
        <v>4460</v>
      </c>
    </row>
    <row r="1820" spans="1:5" x14ac:dyDescent="0.25">
      <c r="A1820" s="5" t="s">
        <v>2124</v>
      </c>
      <c r="B1820" s="6" t="s">
        <v>2123</v>
      </c>
      <c r="C1820" s="7" t="s">
        <v>24</v>
      </c>
      <c r="D1820" s="7" t="s">
        <v>25</v>
      </c>
      <c r="E1820" s="8" t="s">
        <v>4468</v>
      </c>
    </row>
    <row r="1821" spans="1:5" x14ac:dyDescent="0.25">
      <c r="A1821" s="5" t="s">
        <v>2126</v>
      </c>
      <c r="B1821" s="6" t="s">
        <v>2125</v>
      </c>
      <c r="C1821" s="7" t="s">
        <v>24</v>
      </c>
      <c r="D1821" s="7" t="s">
        <v>25</v>
      </c>
      <c r="E1821" s="8" t="s">
        <v>4466</v>
      </c>
    </row>
    <row r="1822" spans="1:5" x14ac:dyDescent="0.25">
      <c r="A1822" s="5" t="s">
        <v>2128</v>
      </c>
      <c r="B1822" s="6" t="s">
        <v>2127</v>
      </c>
      <c r="C1822" s="7" t="s">
        <v>24</v>
      </c>
      <c r="D1822" s="7" t="s">
        <v>64</v>
      </c>
      <c r="E1822" s="8" t="s">
        <v>93</v>
      </c>
    </row>
    <row r="1823" spans="1:5" x14ac:dyDescent="0.25">
      <c r="A1823" s="5" t="s">
        <v>2130</v>
      </c>
      <c r="B1823" s="6" t="s">
        <v>2129</v>
      </c>
      <c r="C1823" s="7" t="s">
        <v>24</v>
      </c>
      <c r="D1823" s="7" t="s">
        <v>25</v>
      </c>
      <c r="E1823" s="8" t="s">
        <v>4468</v>
      </c>
    </row>
    <row r="1824" spans="1:5" x14ac:dyDescent="0.25">
      <c r="A1824" s="5" t="s">
        <v>2132</v>
      </c>
      <c r="B1824" s="6" t="s">
        <v>2131</v>
      </c>
      <c r="C1824" s="7" t="s">
        <v>24</v>
      </c>
      <c r="D1824" s="7" t="s">
        <v>25</v>
      </c>
      <c r="E1824" s="8" t="s">
        <v>4468</v>
      </c>
    </row>
    <row r="1825" spans="1:5" x14ac:dyDescent="0.25">
      <c r="A1825" s="5" t="s">
        <v>2134</v>
      </c>
      <c r="B1825" s="6" t="s">
        <v>2133</v>
      </c>
      <c r="C1825" s="7" t="s">
        <v>24</v>
      </c>
      <c r="D1825" s="7" t="s">
        <v>25</v>
      </c>
      <c r="E1825" s="8" t="s">
        <v>4466</v>
      </c>
    </row>
    <row r="1826" spans="1:5" x14ac:dyDescent="0.25">
      <c r="A1826" s="5" t="s">
        <v>2136</v>
      </c>
      <c r="B1826" s="6" t="s">
        <v>2135</v>
      </c>
      <c r="C1826" s="7" t="s">
        <v>24</v>
      </c>
      <c r="D1826" s="7" t="s">
        <v>25</v>
      </c>
      <c r="E1826" s="8" t="s">
        <v>4460</v>
      </c>
    </row>
    <row r="1827" spans="1:5" x14ac:dyDescent="0.25">
      <c r="A1827" s="5" t="s">
        <v>2138</v>
      </c>
      <c r="B1827" s="6" t="s">
        <v>2137</v>
      </c>
      <c r="C1827" s="7" t="s">
        <v>24</v>
      </c>
      <c r="D1827" s="7" t="s">
        <v>25</v>
      </c>
      <c r="E1827" s="8" t="s">
        <v>4465</v>
      </c>
    </row>
    <row r="1828" spans="1:5" x14ac:dyDescent="0.25">
      <c r="A1828" s="5" t="s">
        <v>2140</v>
      </c>
      <c r="B1828" s="6" t="s">
        <v>2139</v>
      </c>
      <c r="C1828" s="7" t="s">
        <v>24</v>
      </c>
      <c r="D1828" s="7" t="s">
        <v>25</v>
      </c>
      <c r="E1828" s="8" t="s">
        <v>4457</v>
      </c>
    </row>
    <row r="1829" spans="1:5" x14ac:dyDescent="0.25">
      <c r="A1829" s="5" t="s">
        <v>2142</v>
      </c>
      <c r="B1829" s="6" t="s">
        <v>2141</v>
      </c>
      <c r="C1829" s="7" t="s">
        <v>24</v>
      </c>
      <c r="D1829" s="7" t="s">
        <v>25</v>
      </c>
      <c r="E1829" s="8" t="s">
        <v>4458</v>
      </c>
    </row>
    <row r="1830" spans="1:5" x14ac:dyDescent="0.25">
      <c r="A1830" s="5" t="s">
        <v>2144</v>
      </c>
      <c r="B1830" s="6" t="s">
        <v>2143</v>
      </c>
      <c r="C1830" s="7" t="s">
        <v>24</v>
      </c>
      <c r="D1830" s="7" t="s">
        <v>64</v>
      </c>
      <c r="E1830" s="8" t="s">
        <v>65</v>
      </c>
    </row>
    <row r="1831" spans="1:5" x14ac:dyDescent="0.25">
      <c r="A1831" s="5" t="s">
        <v>2146</v>
      </c>
      <c r="B1831" s="6" t="s">
        <v>2145</v>
      </c>
      <c r="C1831" s="7" t="s">
        <v>24</v>
      </c>
      <c r="D1831" s="7" t="s">
        <v>64</v>
      </c>
      <c r="E1831" s="8" t="s">
        <v>65</v>
      </c>
    </row>
    <row r="1832" spans="1:5" x14ac:dyDescent="0.25">
      <c r="A1832" s="5" t="s">
        <v>2148</v>
      </c>
      <c r="B1832" s="6" t="s">
        <v>2147</v>
      </c>
      <c r="C1832" s="7" t="s">
        <v>24</v>
      </c>
      <c r="D1832" s="7" t="s">
        <v>25</v>
      </c>
      <c r="E1832" s="8" t="s">
        <v>4457</v>
      </c>
    </row>
    <row r="1833" spans="1:5" x14ac:dyDescent="0.25">
      <c r="A1833" s="12" t="s">
        <v>2150</v>
      </c>
      <c r="B1833" s="6" t="s">
        <v>2149</v>
      </c>
      <c r="C1833" s="13" t="s">
        <v>24</v>
      </c>
      <c r="D1833" s="13" t="s">
        <v>25</v>
      </c>
      <c r="E1833" s="8" t="s">
        <v>4468</v>
      </c>
    </row>
    <row r="1834" spans="1:5" x14ac:dyDescent="0.25">
      <c r="A1834" s="5" t="s">
        <v>2152</v>
      </c>
      <c r="B1834" s="6" t="s">
        <v>2151</v>
      </c>
      <c r="C1834" s="7" t="s">
        <v>24</v>
      </c>
      <c r="D1834" s="7" t="s">
        <v>25</v>
      </c>
      <c r="E1834" s="8" t="s">
        <v>4461</v>
      </c>
    </row>
    <row r="1835" spans="1:5" x14ac:dyDescent="0.25">
      <c r="A1835" s="5" t="s">
        <v>2154</v>
      </c>
      <c r="B1835" s="6" t="s">
        <v>2153</v>
      </c>
      <c r="C1835" s="7" t="s">
        <v>24</v>
      </c>
      <c r="D1835" s="7" t="s">
        <v>25</v>
      </c>
      <c r="E1835" s="8" t="s">
        <v>4459</v>
      </c>
    </row>
    <row r="1836" spans="1:5" x14ac:dyDescent="0.25">
      <c r="A1836" s="5" t="s">
        <v>2156</v>
      </c>
      <c r="B1836" s="6" t="s">
        <v>2155</v>
      </c>
      <c r="C1836" s="7" t="s">
        <v>24</v>
      </c>
      <c r="D1836" s="7" t="s">
        <v>25</v>
      </c>
      <c r="E1836" s="8" t="s">
        <v>4462</v>
      </c>
    </row>
    <row r="1837" spans="1:5" x14ac:dyDescent="0.25">
      <c r="A1837" s="5" t="s">
        <v>2158</v>
      </c>
      <c r="B1837" s="6" t="s">
        <v>2157</v>
      </c>
      <c r="C1837" s="7" t="s">
        <v>24</v>
      </c>
      <c r="D1837" s="7" t="s">
        <v>25</v>
      </c>
      <c r="E1837" s="8" t="s">
        <v>4458</v>
      </c>
    </row>
    <row r="1838" spans="1:5" x14ac:dyDescent="0.25">
      <c r="A1838" s="5" t="s">
        <v>2160</v>
      </c>
      <c r="B1838" s="6" t="s">
        <v>2159</v>
      </c>
      <c r="C1838" s="7" t="s">
        <v>24</v>
      </c>
      <c r="D1838" s="7" t="s">
        <v>25</v>
      </c>
      <c r="E1838" s="8" t="s">
        <v>4459</v>
      </c>
    </row>
    <row r="1839" spans="1:5" x14ac:dyDescent="0.25">
      <c r="A1839" s="5" t="s">
        <v>2162</v>
      </c>
      <c r="B1839" s="6" t="s">
        <v>2161</v>
      </c>
      <c r="C1839" s="13" t="s">
        <v>24</v>
      </c>
      <c r="D1839" s="13" t="s">
        <v>25</v>
      </c>
      <c r="E1839" s="8" t="s">
        <v>4460</v>
      </c>
    </row>
    <row r="1840" spans="1:5" x14ac:dyDescent="0.25">
      <c r="A1840" s="5" t="s">
        <v>2164</v>
      </c>
      <c r="B1840" s="6" t="s">
        <v>2163</v>
      </c>
      <c r="C1840" s="7" t="s">
        <v>24</v>
      </c>
      <c r="D1840" s="7" t="s">
        <v>25</v>
      </c>
      <c r="E1840" s="8" t="s">
        <v>4459</v>
      </c>
    </row>
    <row r="1841" spans="1:5" x14ac:dyDescent="0.25">
      <c r="A1841" s="5" t="s">
        <v>2167</v>
      </c>
      <c r="B1841" s="6" t="s">
        <v>2166</v>
      </c>
      <c r="C1841" s="7" t="s">
        <v>24</v>
      </c>
      <c r="D1841" s="7" t="s">
        <v>25</v>
      </c>
      <c r="E1841" s="8" t="s">
        <v>4468</v>
      </c>
    </row>
    <row r="1842" spans="1:5" x14ac:dyDescent="0.25">
      <c r="A1842" s="5" t="s">
        <v>2169</v>
      </c>
      <c r="B1842" s="6" t="s">
        <v>2168</v>
      </c>
      <c r="C1842" s="7" t="s">
        <v>24</v>
      </c>
      <c r="D1842" s="7" t="s">
        <v>25</v>
      </c>
      <c r="E1842" s="8" t="s">
        <v>4466</v>
      </c>
    </row>
    <row r="1843" spans="1:5" x14ac:dyDescent="0.25">
      <c r="A1843" s="5" t="s">
        <v>4563</v>
      </c>
      <c r="B1843" s="6" t="s">
        <v>2165</v>
      </c>
      <c r="C1843" s="7" t="s">
        <v>24</v>
      </c>
      <c r="D1843" s="7" t="s">
        <v>25</v>
      </c>
      <c r="E1843" s="8" t="s">
        <v>4460</v>
      </c>
    </row>
    <row r="1844" spans="1:5" x14ac:dyDescent="0.25">
      <c r="A1844" s="5" t="s">
        <v>2171</v>
      </c>
      <c r="B1844" s="6" t="s">
        <v>2170</v>
      </c>
      <c r="C1844" s="7" t="s">
        <v>24</v>
      </c>
      <c r="D1844" s="7" t="s">
        <v>64</v>
      </c>
      <c r="E1844" s="8" t="s">
        <v>68</v>
      </c>
    </row>
    <row r="1845" spans="1:5" x14ac:dyDescent="0.25">
      <c r="A1845" s="5" t="s">
        <v>4564</v>
      </c>
      <c r="B1845" s="6" t="s">
        <v>2210</v>
      </c>
      <c r="C1845" s="7" t="s">
        <v>24</v>
      </c>
      <c r="D1845" s="7" t="s">
        <v>25</v>
      </c>
      <c r="E1845" s="8" t="s">
        <v>4457</v>
      </c>
    </row>
    <row r="1846" spans="1:5" x14ac:dyDescent="0.25">
      <c r="A1846" s="5" t="s">
        <v>4565</v>
      </c>
      <c r="B1846" s="6" t="s">
        <v>2211</v>
      </c>
      <c r="C1846" s="7" t="s">
        <v>24</v>
      </c>
      <c r="D1846" s="7" t="s">
        <v>25</v>
      </c>
      <c r="E1846" s="8" t="s">
        <v>4468</v>
      </c>
    </row>
    <row r="1847" spans="1:5" x14ac:dyDescent="0.25">
      <c r="A1847" s="5" t="s">
        <v>4566</v>
      </c>
      <c r="B1847" s="6" t="s">
        <v>2212</v>
      </c>
      <c r="C1847" s="7" t="s">
        <v>24</v>
      </c>
      <c r="D1847" s="7" t="s">
        <v>25</v>
      </c>
      <c r="E1847" s="8" t="s">
        <v>4458</v>
      </c>
    </row>
    <row r="1848" spans="1:5" x14ac:dyDescent="0.25">
      <c r="A1848" s="5" t="s">
        <v>2173</v>
      </c>
      <c r="B1848" s="6" t="s">
        <v>2172</v>
      </c>
      <c r="C1848" s="7" t="s">
        <v>24</v>
      </c>
      <c r="D1848" s="7" t="s">
        <v>64</v>
      </c>
      <c r="E1848" s="8" t="s">
        <v>65</v>
      </c>
    </row>
    <row r="1849" spans="1:5" x14ac:dyDescent="0.25">
      <c r="A1849" s="5" t="s">
        <v>2175</v>
      </c>
      <c r="B1849" s="6" t="s">
        <v>2174</v>
      </c>
      <c r="C1849" s="7" t="s">
        <v>24</v>
      </c>
      <c r="D1849" s="7" t="s">
        <v>64</v>
      </c>
      <c r="E1849" s="8" t="s">
        <v>68</v>
      </c>
    </row>
    <row r="1850" spans="1:5" x14ac:dyDescent="0.25">
      <c r="A1850" s="5" t="s">
        <v>2177</v>
      </c>
      <c r="B1850" s="6" t="s">
        <v>2176</v>
      </c>
      <c r="C1850" s="7" t="s">
        <v>24</v>
      </c>
      <c r="D1850" s="7" t="s">
        <v>64</v>
      </c>
      <c r="E1850" s="8" t="s">
        <v>65</v>
      </c>
    </row>
    <row r="1851" spans="1:5" x14ac:dyDescent="0.25">
      <c r="A1851" s="5" t="s">
        <v>2179</v>
      </c>
      <c r="B1851" s="6" t="s">
        <v>2178</v>
      </c>
      <c r="C1851" s="7" t="s">
        <v>24</v>
      </c>
      <c r="D1851" s="7" t="s">
        <v>64</v>
      </c>
      <c r="E1851" s="8" t="s">
        <v>65</v>
      </c>
    </row>
    <row r="1852" spans="1:5" x14ac:dyDescent="0.25">
      <c r="A1852" s="5" t="s">
        <v>2181</v>
      </c>
      <c r="B1852" s="6" t="s">
        <v>2180</v>
      </c>
      <c r="C1852" s="7" t="s">
        <v>24</v>
      </c>
      <c r="D1852" s="7" t="s">
        <v>64</v>
      </c>
      <c r="E1852" s="8" t="s">
        <v>288</v>
      </c>
    </row>
    <row r="1853" spans="1:5" x14ac:dyDescent="0.25">
      <c r="A1853" s="5" t="s">
        <v>2183</v>
      </c>
      <c r="B1853" s="6" t="s">
        <v>2182</v>
      </c>
      <c r="C1853" s="7" t="s">
        <v>24</v>
      </c>
      <c r="D1853" s="7" t="s">
        <v>25</v>
      </c>
      <c r="E1853" s="8" t="s">
        <v>4466</v>
      </c>
    </row>
    <row r="1854" spans="1:5" x14ac:dyDescent="0.25">
      <c r="A1854" s="5" t="s">
        <v>2185</v>
      </c>
      <c r="B1854" s="6" t="s">
        <v>2184</v>
      </c>
      <c r="C1854" s="7" t="s">
        <v>24</v>
      </c>
      <c r="D1854" s="7" t="s">
        <v>25</v>
      </c>
      <c r="E1854" s="8" t="s">
        <v>4462</v>
      </c>
    </row>
    <row r="1855" spans="1:5" x14ac:dyDescent="0.25">
      <c r="A1855" s="5" t="s">
        <v>2187</v>
      </c>
      <c r="B1855" s="6" t="s">
        <v>2186</v>
      </c>
      <c r="C1855" s="7" t="s">
        <v>24</v>
      </c>
      <c r="D1855" s="7" t="s">
        <v>64</v>
      </c>
      <c r="E1855" s="8" t="s">
        <v>68</v>
      </c>
    </row>
    <row r="1856" spans="1:5" x14ac:dyDescent="0.25">
      <c r="A1856" s="5" t="s">
        <v>2189</v>
      </c>
      <c r="B1856" s="6" t="s">
        <v>2188</v>
      </c>
      <c r="C1856" s="7" t="s">
        <v>24</v>
      </c>
      <c r="D1856" s="7" t="s">
        <v>25</v>
      </c>
      <c r="E1856" s="8" t="s">
        <v>4460</v>
      </c>
    </row>
    <row r="1857" spans="1:5" x14ac:dyDescent="0.25">
      <c r="A1857" s="5" t="s">
        <v>2191</v>
      </c>
      <c r="B1857" s="6" t="s">
        <v>2190</v>
      </c>
      <c r="C1857" s="7" t="s">
        <v>24</v>
      </c>
      <c r="D1857" s="7" t="s">
        <v>64</v>
      </c>
      <c r="E1857" s="8" t="s">
        <v>68</v>
      </c>
    </row>
    <row r="1858" spans="1:5" x14ac:dyDescent="0.25">
      <c r="A1858" s="5" t="s">
        <v>2193</v>
      </c>
      <c r="B1858" s="6" t="s">
        <v>2192</v>
      </c>
      <c r="C1858" s="7" t="s">
        <v>24</v>
      </c>
      <c r="D1858" s="7" t="s">
        <v>64</v>
      </c>
      <c r="E1858" s="8" t="s">
        <v>288</v>
      </c>
    </row>
    <row r="1859" spans="1:5" x14ac:dyDescent="0.25">
      <c r="A1859" s="5" t="s">
        <v>2195</v>
      </c>
      <c r="B1859" s="6" t="s">
        <v>2194</v>
      </c>
      <c r="C1859" s="7" t="s">
        <v>24</v>
      </c>
      <c r="D1859" s="7" t="s">
        <v>25</v>
      </c>
      <c r="E1859" s="8" t="s">
        <v>4466</v>
      </c>
    </row>
    <row r="1860" spans="1:5" x14ac:dyDescent="0.25">
      <c r="A1860" s="5" t="s">
        <v>2197</v>
      </c>
      <c r="B1860" s="6" t="s">
        <v>2196</v>
      </c>
      <c r="C1860" s="7" t="s">
        <v>24</v>
      </c>
      <c r="D1860" s="7" t="s">
        <v>64</v>
      </c>
      <c r="E1860" s="8" t="s">
        <v>99</v>
      </c>
    </row>
    <row r="1861" spans="1:5" x14ac:dyDescent="0.25">
      <c r="A1861" s="5" t="s">
        <v>2199</v>
      </c>
      <c r="B1861" s="6" t="s">
        <v>2198</v>
      </c>
      <c r="C1861" s="7" t="s">
        <v>24</v>
      </c>
      <c r="D1861" s="7" t="s">
        <v>64</v>
      </c>
      <c r="E1861" s="8" t="s">
        <v>68</v>
      </c>
    </row>
    <row r="1862" spans="1:5" x14ac:dyDescent="0.25">
      <c r="A1862" s="5" t="s">
        <v>2201</v>
      </c>
      <c r="B1862" s="6" t="s">
        <v>2200</v>
      </c>
      <c r="C1862" s="7" t="s">
        <v>24</v>
      </c>
      <c r="D1862" s="7" t="s">
        <v>64</v>
      </c>
      <c r="E1862" s="8" t="s">
        <v>4468</v>
      </c>
    </row>
    <row r="1863" spans="1:5" x14ac:dyDescent="0.25">
      <c r="A1863" s="5" t="s">
        <v>3585</v>
      </c>
      <c r="B1863" s="6" t="s">
        <v>4361</v>
      </c>
      <c r="C1863" s="7" t="s">
        <v>24</v>
      </c>
      <c r="D1863" s="7" t="s">
        <v>25</v>
      </c>
      <c r="E1863" s="8" t="s">
        <v>4457</v>
      </c>
    </row>
    <row r="1864" spans="1:5" x14ac:dyDescent="0.25">
      <c r="A1864" s="5" t="s">
        <v>2203</v>
      </c>
      <c r="B1864" s="6" t="s">
        <v>2202</v>
      </c>
      <c r="C1864" s="7" t="s">
        <v>24</v>
      </c>
      <c r="D1864" s="7" t="s">
        <v>25</v>
      </c>
      <c r="E1864" s="8" t="s">
        <v>4459</v>
      </c>
    </row>
    <row r="1865" spans="1:5" x14ac:dyDescent="0.25">
      <c r="A1865" s="5" t="s">
        <v>2205</v>
      </c>
      <c r="B1865" s="6" t="s">
        <v>2204</v>
      </c>
      <c r="C1865" s="7" t="s">
        <v>24</v>
      </c>
      <c r="D1865" s="7" t="s">
        <v>25</v>
      </c>
      <c r="E1865" s="8" t="s">
        <v>4461</v>
      </c>
    </row>
    <row r="1866" spans="1:5" x14ac:dyDescent="0.25">
      <c r="A1866" s="5" t="s">
        <v>2207</v>
      </c>
      <c r="B1866" s="6" t="s">
        <v>2206</v>
      </c>
      <c r="C1866" s="7" t="s">
        <v>24</v>
      </c>
      <c r="D1866" s="7" t="s">
        <v>25</v>
      </c>
      <c r="E1866" s="8" t="s">
        <v>4460</v>
      </c>
    </row>
    <row r="1867" spans="1:5" x14ac:dyDescent="0.25">
      <c r="A1867" s="5" t="s">
        <v>2209</v>
      </c>
      <c r="B1867" s="6" t="s">
        <v>2208</v>
      </c>
      <c r="C1867" s="7" t="s">
        <v>24</v>
      </c>
      <c r="D1867" s="7" t="s">
        <v>25</v>
      </c>
      <c r="E1867" s="8" t="s">
        <v>4465</v>
      </c>
    </row>
    <row r="1868" spans="1:5" x14ac:dyDescent="0.25">
      <c r="A1868" s="5" t="s">
        <v>3503</v>
      </c>
      <c r="B1868" s="6" t="s">
        <v>4277</v>
      </c>
      <c r="C1868" s="7" t="s">
        <v>24</v>
      </c>
      <c r="D1868" s="7" t="s">
        <v>4456</v>
      </c>
      <c r="E1868" s="8" t="s">
        <v>4454</v>
      </c>
    </row>
    <row r="1869" spans="1:5" x14ac:dyDescent="0.25">
      <c r="A1869" s="5" t="s">
        <v>3605</v>
      </c>
      <c r="B1869" s="6" t="s">
        <v>4382</v>
      </c>
      <c r="C1869" s="7" t="s">
        <v>24</v>
      </c>
      <c r="D1869" s="7" t="s">
        <v>64</v>
      </c>
      <c r="E1869" s="8" t="s">
        <v>99</v>
      </c>
    </row>
    <row r="1870" spans="1:5" x14ac:dyDescent="0.25">
      <c r="A1870" s="5" t="s">
        <v>3504</v>
      </c>
      <c r="B1870" s="6" t="s">
        <v>4278</v>
      </c>
      <c r="C1870" s="7" t="s">
        <v>24</v>
      </c>
      <c r="D1870" s="7" t="s">
        <v>4456</v>
      </c>
      <c r="E1870" s="8" t="s">
        <v>4454</v>
      </c>
    </row>
    <row r="1871" spans="1:5" x14ac:dyDescent="0.25">
      <c r="A1871" s="5" t="s">
        <v>3645</v>
      </c>
      <c r="B1871" s="6" t="s">
        <v>4421</v>
      </c>
      <c r="C1871" s="7" t="s">
        <v>24</v>
      </c>
      <c r="D1871" s="7" t="s">
        <v>4474</v>
      </c>
      <c r="E1871" s="8" t="s">
        <v>4454</v>
      </c>
    </row>
    <row r="1872" spans="1:5" x14ac:dyDescent="0.25">
      <c r="A1872" s="5" t="s">
        <v>3664</v>
      </c>
      <c r="B1872" s="6" t="s">
        <v>4441</v>
      </c>
      <c r="C1872" s="7" t="s">
        <v>24</v>
      </c>
      <c r="D1872" s="7" t="s">
        <v>4474</v>
      </c>
      <c r="E1872" s="8" t="s">
        <v>4454</v>
      </c>
    </row>
    <row r="1873" spans="1:5" x14ac:dyDescent="0.25">
      <c r="A1873" s="5" t="s">
        <v>3665</v>
      </c>
      <c r="B1873" s="6" t="s">
        <v>4442</v>
      </c>
      <c r="C1873" s="7" t="s">
        <v>24</v>
      </c>
      <c r="D1873" s="7" t="s">
        <v>4474</v>
      </c>
      <c r="E1873" s="8" t="s">
        <v>4454</v>
      </c>
    </row>
    <row r="1874" spans="1:5" x14ac:dyDescent="0.25">
      <c r="A1874" s="5" t="s">
        <v>3666</v>
      </c>
      <c r="B1874" s="6" t="s">
        <v>4443</v>
      </c>
      <c r="C1874" s="7" t="s">
        <v>24</v>
      </c>
      <c r="D1874" s="7" t="s">
        <v>4474</v>
      </c>
      <c r="E1874" s="8" t="s">
        <v>4454</v>
      </c>
    </row>
    <row r="1875" spans="1:5" x14ac:dyDescent="0.25">
      <c r="A1875" s="5" t="s">
        <v>4571</v>
      </c>
      <c r="B1875" s="6" t="s">
        <v>2120</v>
      </c>
      <c r="C1875" s="7" t="s">
        <v>24</v>
      </c>
      <c r="D1875" s="7" t="s">
        <v>25</v>
      </c>
      <c r="E1875" s="8" t="s">
        <v>4466</v>
      </c>
    </row>
    <row r="1876" spans="1:5" x14ac:dyDescent="0.25">
      <c r="A1876" s="5" t="s">
        <v>3505</v>
      </c>
      <c r="B1876" s="6" t="s">
        <v>4279</v>
      </c>
      <c r="C1876" s="7" t="s">
        <v>24</v>
      </c>
      <c r="D1876" s="7" t="s">
        <v>4456</v>
      </c>
      <c r="E1876" s="8" t="s">
        <v>4454</v>
      </c>
    </row>
    <row r="1877" spans="1:5" x14ac:dyDescent="0.25">
      <c r="A1877" s="5" t="s">
        <v>2214</v>
      </c>
      <c r="B1877" s="6" t="s">
        <v>2213</v>
      </c>
      <c r="C1877" s="7" t="s">
        <v>24</v>
      </c>
      <c r="D1877" s="7" t="s">
        <v>64</v>
      </c>
      <c r="E1877" s="8" t="s">
        <v>65</v>
      </c>
    </row>
    <row r="1878" spans="1:5" x14ac:dyDescent="0.25">
      <c r="A1878" s="5" t="s">
        <v>2216</v>
      </c>
      <c r="B1878" s="6" t="s">
        <v>2215</v>
      </c>
      <c r="C1878" s="7" t="s">
        <v>24</v>
      </c>
      <c r="D1878" s="7" t="s">
        <v>25</v>
      </c>
      <c r="E1878" s="8" t="s">
        <v>4465</v>
      </c>
    </row>
    <row r="1879" spans="1:5" x14ac:dyDescent="0.25">
      <c r="A1879" s="5" t="s">
        <v>2218</v>
      </c>
      <c r="B1879" s="6" t="s">
        <v>2217</v>
      </c>
      <c r="C1879" s="7" t="s">
        <v>24</v>
      </c>
      <c r="D1879" s="7" t="s">
        <v>64</v>
      </c>
      <c r="E1879" s="8" t="s">
        <v>288</v>
      </c>
    </row>
    <row r="1880" spans="1:5" x14ac:dyDescent="0.25">
      <c r="A1880" s="12" t="s">
        <v>2220</v>
      </c>
      <c r="B1880" s="6" t="s">
        <v>2219</v>
      </c>
      <c r="C1880" s="13" t="s">
        <v>24</v>
      </c>
      <c r="D1880" s="13" t="s">
        <v>64</v>
      </c>
      <c r="E1880" s="8" t="s">
        <v>65</v>
      </c>
    </row>
    <row r="1881" spans="1:5" x14ac:dyDescent="0.25">
      <c r="A1881" s="12" t="s">
        <v>2222</v>
      </c>
      <c r="B1881" s="6" t="s">
        <v>2221</v>
      </c>
      <c r="C1881" s="13" t="s">
        <v>24</v>
      </c>
      <c r="D1881" s="13" t="s">
        <v>25</v>
      </c>
      <c r="E1881" s="8" t="s">
        <v>4463</v>
      </c>
    </row>
    <row r="1882" spans="1:5" x14ac:dyDescent="0.25">
      <c r="A1882" s="5" t="s">
        <v>2224</v>
      </c>
      <c r="B1882" s="6" t="s">
        <v>2223</v>
      </c>
      <c r="C1882" s="7" t="s">
        <v>24</v>
      </c>
      <c r="D1882" s="7" t="s">
        <v>25</v>
      </c>
      <c r="E1882" s="8" t="s">
        <v>4468</v>
      </c>
    </row>
    <row r="1883" spans="1:5" x14ac:dyDescent="0.25">
      <c r="A1883" s="5" t="s">
        <v>2226</v>
      </c>
      <c r="B1883" s="6" t="s">
        <v>2225</v>
      </c>
      <c r="C1883" s="7" t="s">
        <v>24</v>
      </c>
      <c r="D1883" s="7" t="s">
        <v>25</v>
      </c>
      <c r="E1883" s="8" t="s">
        <v>4458</v>
      </c>
    </row>
    <row r="1884" spans="1:5" x14ac:dyDescent="0.25">
      <c r="A1884" s="5" t="s">
        <v>2228</v>
      </c>
      <c r="B1884" s="6" t="s">
        <v>2227</v>
      </c>
      <c r="C1884" s="7" t="s">
        <v>24</v>
      </c>
      <c r="D1884" s="7" t="s">
        <v>25</v>
      </c>
      <c r="E1884" s="8" t="s">
        <v>4459</v>
      </c>
    </row>
    <row r="1885" spans="1:5" x14ac:dyDescent="0.25">
      <c r="A1885" s="5" t="s">
        <v>2230</v>
      </c>
      <c r="B1885" s="6" t="s">
        <v>2229</v>
      </c>
      <c r="C1885" s="7" t="s">
        <v>24</v>
      </c>
      <c r="D1885" s="7" t="s">
        <v>25</v>
      </c>
      <c r="E1885" s="8" t="s">
        <v>4460</v>
      </c>
    </row>
    <row r="1886" spans="1:5" x14ac:dyDescent="0.25">
      <c r="A1886" s="5" t="s">
        <v>2232</v>
      </c>
      <c r="B1886" s="6" t="s">
        <v>2231</v>
      </c>
      <c r="C1886" s="7" t="s">
        <v>24</v>
      </c>
      <c r="D1886" s="7" t="s">
        <v>25</v>
      </c>
      <c r="E1886" s="8" t="s">
        <v>4461</v>
      </c>
    </row>
    <row r="1887" spans="1:5" x14ac:dyDescent="0.25">
      <c r="A1887" s="5" t="s">
        <v>2234</v>
      </c>
      <c r="B1887" s="6" t="s">
        <v>2233</v>
      </c>
      <c r="C1887" s="7" t="s">
        <v>24</v>
      </c>
      <c r="D1887" s="7" t="s">
        <v>25</v>
      </c>
      <c r="E1887" s="8" t="s">
        <v>4466</v>
      </c>
    </row>
    <row r="1888" spans="1:5" x14ac:dyDescent="0.25">
      <c r="A1888" s="5" t="s">
        <v>2236</v>
      </c>
      <c r="B1888" s="6" t="s">
        <v>2235</v>
      </c>
      <c r="C1888" s="7" t="s">
        <v>24</v>
      </c>
      <c r="D1888" s="7" t="s">
        <v>64</v>
      </c>
      <c r="E1888" s="8" t="s">
        <v>93</v>
      </c>
    </row>
    <row r="1889" spans="1:5" x14ac:dyDescent="0.25">
      <c r="A1889" s="5" t="s">
        <v>2238</v>
      </c>
      <c r="B1889" s="6" t="s">
        <v>2237</v>
      </c>
      <c r="C1889" s="7" t="s">
        <v>24</v>
      </c>
      <c r="D1889" s="7" t="s">
        <v>64</v>
      </c>
      <c r="E1889" s="8" t="s">
        <v>68</v>
      </c>
    </row>
    <row r="1890" spans="1:5" x14ac:dyDescent="0.25">
      <c r="A1890" s="5" t="s">
        <v>2240</v>
      </c>
      <c r="B1890" s="6" t="s">
        <v>2239</v>
      </c>
      <c r="C1890" s="7" t="s">
        <v>24</v>
      </c>
      <c r="D1890" s="7" t="s">
        <v>64</v>
      </c>
      <c r="E1890" s="8" t="s">
        <v>288</v>
      </c>
    </row>
    <row r="1891" spans="1:5" x14ac:dyDescent="0.25">
      <c r="A1891" s="5" t="s">
        <v>2242</v>
      </c>
      <c r="B1891" s="6" t="s">
        <v>2241</v>
      </c>
      <c r="C1891" s="7" t="s">
        <v>24</v>
      </c>
      <c r="D1891" s="7" t="s">
        <v>25</v>
      </c>
      <c r="E1891" s="8" t="s">
        <v>4460</v>
      </c>
    </row>
    <row r="1892" spans="1:5" x14ac:dyDescent="0.25">
      <c r="A1892" s="5" t="s">
        <v>2244</v>
      </c>
      <c r="B1892" s="6" t="s">
        <v>2243</v>
      </c>
      <c r="C1892" s="7" t="s">
        <v>24</v>
      </c>
      <c r="D1892" s="7" t="s">
        <v>25</v>
      </c>
      <c r="E1892" s="8" t="s">
        <v>4466</v>
      </c>
    </row>
    <row r="1893" spans="1:5" x14ac:dyDescent="0.25">
      <c r="A1893" s="5" t="s">
        <v>2246</v>
      </c>
      <c r="B1893" s="6" t="s">
        <v>2245</v>
      </c>
      <c r="C1893" s="7" t="s">
        <v>24</v>
      </c>
      <c r="D1893" s="7" t="s">
        <v>25</v>
      </c>
      <c r="E1893" s="8" t="s">
        <v>4465</v>
      </c>
    </row>
    <row r="1894" spans="1:5" x14ac:dyDescent="0.25">
      <c r="A1894" s="5" t="s">
        <v>2248</v>
      </c>
      <c r="B1894" s="6" t="s">
        <v>2247</v>
      </c>
      <c r="C1894" s="7" t="s">
        <v>24</v>
      </c>
      <c r="D1894" s="7" t="s">
        <v>64</v>
      </c>
      <c r="E1894" s="8" t="s">
        <v>65</v>
      </c>
    </row>
    <row r="1895" spans="1:5" x14ac:dyDescent="0.25">
      <c r="A1895" s="5" t="s">
        <v>2250</v>
      </c>
      <c r="B1895" s="6" t="s">
        <v>2249</v>
      </c>
      <c r="C1895" s="7" t="s">
        <v>24</v>
      </c>
      <c r="D1895" s="7" t="s">
        <v>64</v>
      </c>
      <c r="E1895" s="8" t="s">
        <v>68</v>
      </c>
    </row>
    <row r="1896" spans="1:5" x14ac:dyDescent="0.25">
      <c r="A1896" s="5" t="s">
        <v>2252</v>
      </c>
      <c r="B1896" s="6" t="s">
        <v>2251</v>
      </c>
      <c r="C1896" s="7" t="s">
        <v>24</v>
      </c>
      <c r="D1896" s="7" t="s">
        <v>25</v>
      </c>
      <c r="E1896" s="8" t="s">
        <v>4457</v>
      </c>
    </row>
    <row r="1897" spans="1:5" x14ac:dyDescent="0.25">
      <c r="A1897" s="5" t="s">
        <v>2254</v>
      </c>
      <c r="B1897" s="6" t="s">
        <v>2253</v>
      </c>
      <c r="C1897" s="7" t="s">
        <v>24</v>
      </c>
      <c r="D1897" s="7" t="s">
        <v>25</v>
      </c>
      <c r="E1897" s="8" t="s">
        <v>4458</v>
      </c>
    </row>
    <row r="1898" spans="1:5" x14ac:dyDescent="0.25">
      <c r="A1898" s="5" t="s">
        <v>2256</v>
      </c>
      <c r="B1898" s="6" t="s">
        <v>2255</v>
      </c>
      <c r="C1898" s="7" t="s">
        <v>24</v>
      </c>
      <c r="D1898" s="7" t="s">
        <v>25</v>
      </c>
      <c r="E1898" s="8" t="s">
        <v>4459</v>
      </c>
    </row>
    <row r="1899" spans="1:5" x14ac:dyDescent="0.25">
      <c r="A1899" s="5" t="s">
        <v>2258</v>
      </c>
      <c r="B1899" s="6" t="s">
        <v>2257</v>
      </c>
      <c r="C1899" s="7" t="s">
        <v>24</v>
      </c>
      <c r="D1899" s="7" t="s">
        <v>25</v>
      </c>
      <c r="E1899" s="8" t="s">
        <v>4458</v>
      </c>
    </row>
    <row r="1900" spans="1:5" x14ac:dyDescent="0.25">
      <c r="A1900" s="5" t="s">
        <v>2260</v>
      </c>
      <c r="B1900" s="6" t="s">
        <v>2259</v>
      </c>
      <c r="C1900" s="7" t="s">
        <v>24</v>
      </c>
      <c r="D1900" s="7" t="s">
        <v>25</v>
      </c>
      <c r="E1900" s="8" t="s">
        <v>4461</v>
      </c>
    </row>
    <row r="1901" spans="1:5" x14ac:dyDescent="0.25">
      <c r="A1901" s="5" t="s">
        <v>2262</v>
      </c>
      <c r="B1901" s="6" t="s">
        <v>2261</v>
      </c>
      <c r="C1901" s="7" t="s">
        <v>24</v>
      </c>
      <c r="D1901" s="7" t="s">
        <v>25</v>
      </c>
      <c r="E1901" s="8" t="s">
        <v>4459</v>
      </c>
    </row>
    <row r="1902" spans="1:5" x14ac:dyDescent="0.25">
      <c r="A1902" s="12" t="s">
        <v>2264</v>
      </c>
      <c r="B1902" s="6" t="s">
        <v>2263</v>
      </c>
      <c r="C1902" s="13" t="s">
        <v>24</v>
      </c>
      <c r="D1902" s="13" t="s">
        <v>64</v>
      </c>
      <c r="E1902" s="8" t="s">
        <v>65</v>
      </c>
    </row>
    <row r="1903" spans="1:5" x14ac:dyDescent="0.25">
      <c r="A1903" s="5" t="s">
        <v>2266</v>
      </c>
      <c r="B1903" s="6" t="s">
        <v>2265</v>
      </c>
      <c r="C1903" s="7" t="s">
        <v>24</v>
      </c>
      <c r="D1903" s="7" t="s">
        <v>25</v>
      </c>
      <c r="E1903" s="8" t="s">
        <v>4457</v>
      </c>
    </row>
    <row r="1904" spans="1:5" x14ac:dyDescent="0.25">
      <c r="A1904" s="5" t="s">
        <v>2268</v>
      </c>
      <c r="B1904" s="6" t="s">
        <v>2267</v>
      </c>
      <c r="C1904" s="7" t="s">
        <v>24</v>
      </c>
      <c r="D1904" s="7" t="s">
        <v>25</v>
      </c>
      <c r="E1904" s="8" t="s">
        <v>4466</v>
      </c>
    </row>
    <row r="1905" spans="1:5" x14ac:dyDescent="0.25">
      <c r="A1905" s="5" t="s">
        <v>2270</v>
      </c>
      <c r="B1905" s="6" t="s">
        <v>2269</v>
      </c>
      <c r="C1905" s="7" t="s">
        <v>24</v>
      </c>
      <c r="D1905" s="7" t="s">
        <v>25</v>
      </c>
      <c r="E1905" s="8" t="s">
        <v>4457</v>
      </c>
    </row>
    <row r="1906" spans="1:5" x14ac:dyDescent="0.25">
      <c r="A1906" s="5" t="s">
        <v>2272</v>
      </c>
      <c r="B1906" s="6" t="s">
        <v>2271</v>
      </c>
      <c r="C1906" s="7" t="s">
        <v>24</v>
      </c>
      <c r="D1906" s="7" t="s">
        <v>25</v>
      </c>
      <c r="E1906" s="8" t="s">
        <v>4458</v>
      </c>
    </row>
    <row r="1907" spans="1:5" x14ac:dyDescent="0.25">
      <c r="A1907" s="5" t="s">
        <v>2274</v>
      </c>
      <c r="B1907" s="6" t="s">
        <v>2273</v>
      </c>
      <c r="C1907" s="7" t="s">
        <v>24</v>
      </c>
      <c r="D1907" s="7" t="s">
        <v>25</v>
      </c>
      <c r="E1907" s="8" t="s">
        <v>4466</v>
      </c>
    </row>
    <row r="1908" spans="1:5" x14ac:dyDescent="0.25">
      <c r="A1908" s="5" t="s">
        <v>2276</v>
      </c>
      <c r="B1908" s="6" t="s">
        <v>2275</v>
      </c>
      <c r="C1908" s="7" t="s">
        <v>24</v>
      </c>
      <c r="D1908" s="7" t="s">
        <v>25</v>
      </c>
      <c r="E1908" s="8" t="s">
        <v>4457</v>
      </c>
    </row>
    <row r="1909" spans="1:5" x14ac:dyDescent="0.25">
      <c r="A1909" s="5" t="s">
        <v>2278</v>
      </c>
      <c r="B1909" s="6" t="s">
        <v>2277</v>
      </c>
      <c r="C1909" s="7" t="s">
        <v>24</v>
      </c>
      <c r="D1909" s="7" t="s">
        <v>25</v>
      </c>
      <c r="E1909" s="8" t="s">
        <v>4458</v>
      </c>
    </row>
    <row r="1910" spans="1:5" x14ac:dyDescent="0.25">
      <c r="A1910" s="5" t="s">
        <v>2280</v>
      </c>
      <c r="B1910" s="6" t="s">
        <v>2279</v>
      </c>
      <c r="C1910" s="7" t="s">
        <v>24</v>
      </c>
      <c r="D1910" s="7" t="s">
        <v>25</v>
      </c>
      <c r="E1910" s="8" t="s">
        <v>4459</v>
      </c>
    </row>
    <row r="1911" spans="1:5" x14ac:dyDescent="0.25">
      <c r="A1911" s="5" t="s">
        <v>2282</v>
      </c>
      <c r="B1911" s="6" t="s">
        <v>2281</v>
      </c>
      <c r="C1911" s="7" t="s">
        <v>24</v>
      </c>
      <c r="D1911" s="7" t="s">
        <v>64</v>
      </c>
      <c r="E1911" s="8" t="s">
        <v>65</v>
      </c>
    </row>
    <row r="1912" spans="1:5" x14ac:dyDescent="0.25">
      <c r="A1912" s="5" t="s">
        <v>2284</v>
      </c>
      <c r="B1912" s="6" t="s">
        <v>2283</v>
      </c>
      <c r="C1912" s="7" t="s">
        <v>24</v>
      </c>
      <c r="D1912" s="7" t="s">
        <v>64</v>
      </c>
      <c r="E1912" s="8" t="s">
        <v>87</v>
      </c>
    </row>
    <row r="1913" spans="1:5" x14ac:dyDescent="0.25">
      <c r="A1913" s="5" t="s">
        <v>2286</v>
      </c>
      <c r="B1913" s="6" t="s">
        <v>2285</v>
      </c>
      <c r="C1913" s="7" t="s">
        <v>24</v>
      </c>
      <c r="D1913" s="7" t="s">
        <v>64</v>
      </c>
      <c r="E1913" s="8" t="s">
        <v>90</v>
      </c>
    </row>
    <row r="1914" spans="1:5" x14ac:dyDescent="0.25">
      <c r="A1914" s="5" t="s">
        <v>2288</v>
      </c>
      <c r="B1914" s="6" t="s">
        <v>2287</v>
      </c>
      <c r="C1914" s="7" t="s">
        <v>24</v>
      </c>
      <c r="D1914" s="7" t="s">
        <v>64</v>
      </c>
      <c r="E1914" s="8" t="s">
        <v>573</v>
      </c>
    </row>
    <row r="1915" spans="1:5" x14ac:dyDescent="0.25">
      <c r="A1915" s="5" t="s">
        <v>2290</v>
      </c>
      <c r="B1915" s="6" t="s">
        <v>2289</v>
      </c>
      <c r="C1915" s="7" t="s">
        <v>24</v>
      </c>
      <c r="D1915" s="7" t="s">
        <v>25</v>
      </c>
      <c r="E1915" s="8" t="s">
        <v>4457</v>
      </c>
    </row>
    <row r="1916" spans="1:5" x14ac:dyDescent="0.25">
      <c r="A1916" s="5" t="s">
        <v>2292</v>
      </c>
      <c r="B1916" s="6" t="s">
        <v>2291</v>
      </c>
      <c r="C1916" s="7" t="s">
        <v>24</v>
      </c>
      <c r="D1916" s="7" t="s">
        <v>25</v>
      </c>
      <c r="E1916" s="8" t="s">
        <v>4458</v>
      </c>
    </row>
    <row r="1917" spans="1:5" x14ac:dyDescent="0.25">
      <c r="A1917" s="5" t="s">
        <v>3593</v>
      </c>
      <c r="B1917" s="6" t="s">
        <v>4368</v>
      </c>
      <c r="C1917" s="7" t="s">
        <v>24</v>
      </c>
      <c r="D1917" s="7" t="s">
        <v>25</v>
      </c>
      <c r="E1917" s="8" t="s">
        <v>4459</v>
      </c>
    </row>
    <row r="1918" spans="1:5" x14ac:dyDescent="0.25">
      <c r="A1918" s="5" t="s">
        <v>3584</v>
      </c>
      <c r="B1918" s="6" t="s">
        <v>4360</v>
      </c>
      <c r="C1918" s="7" t="s">
        <v>24</v>
      </c>
      <c r="D1918" s="7" t="s">
        <v>25</v>
      </c>
      <c r="E1918" s="8" t="s">
        <v>4457</v>
      </c>
    </row>
    <row r="1919" spans="1:5" x14ac:dyDescent="0.25">
      <c r="A1919" s="5" t="s">
        <v>2294</v>
      </c>
      <c r="B1919" s="6" t="s">
        <v>2293</v>
      </c>
      <c r="C1919" s="7" t="s">
        <v>24</v>
      </c>
      <c r="D1919" s="7" t="s">
        <v>64</v>
      </c>
      <c r="E1919" s="8" t="s">
        <v>68</v>
      </c>
    </row>
    <row r="1920" spans="1:5" x14ac:dyDescent="0.25">
      <c r="A1920" s="5" t="s">
        <v>2296</v>
      </c>
      <c r="B1920" s="6" t="s">
        <v>2295</v>
      </c>
      <c r="C1920" s="7" t="s">
        <v>24</v>
      </c>
      <c r="D1920" s="7" t="s">
        <v>64</v>
      </c>
      <c r="E1920" s="8" t="s">
        <v>288</v>
      </c>
    </row>
    <row r="1921" spans="1:5" x14ac:dyDescent="0.25">
      <c r="A1921" s="5" t="s">
        <v>2298</v>
      </c>
      <c r="B1921" s="6" t="s">
        <v>2297</v>
      </c>
      <c r="C1921" s="7" t="s">
        <v>24</v>
      </c>
      <c r="D1921" s="7" t="s">
        <v>64</v>
      </c>
      <c r="E1921" s="8" t="s">
        <v>426</v>
      </c>
    </row>
    <row r="1922" spans="1:5" x14ac:dyDescent="0.25">
      <c r="A1922" s="5" t="s">
        <v>2300</v>
      </c>
      <c r="B1922" s="6" t="s">
        <v>2299</v>
      </c>
      <c r="C1922" s="7" t="s">
        <v>24</v>
      </c>
      <c r="D1922" s="7" t="s">
        <v>25</v>
      </c>
      <c r="E1922" s="8" t="s">
        <v>4457</v>
      </c>
    </row>
    <row r="1923" spans="1:5" x14ac:dyDescent="0.25">
      <c r="A1923" s="5" t="s">
        <v>2302</v>
      </c>
      <c r="B1923" s="6" t="s">
        <v>2301</v>
      </c>
      <c r="C1923" s="7" t="s">
        <v>24</v>
      </c>
      <c r="D1923" s="7" t="s">
        <v>25</v>
      </c>
      <c r="E1923" s="8" t="s">
        <v>4468</v>
      </c>
    </row>
    <row r="1924" spans="1:5" x14ac:dyDescent="0.25">
      <c r="A1924" s="5" t="s">
        <v>2304</v>
      </c>
      <c r="B1924" s="6" t="s">
        <v>2303</v>
      </c>
      <c r="C1924" s="7" t="s">
        <v>24</v>
      </c>
      <c r="D1924" s="7" t="s">
        <v>25</v>
      </c>
      <c r="E1924" s="8" t="s">
        <v>4466</v>
      </c>
    </row>
    <row r="1925" spans="1:5" x14ac:dyDescent="0.25">
      <c r="A1925" s="5" t="s">
        <v>2306</v>
      </c>
      <c r="B1925" s="6" t="s">
        <v>2305</v>
      </c>
      <c r="C1925" s="7" t="s">
        <v>24</v>
      </c>
      <c r="D1925" s="7" t="s">
        <v>25</v>
      </c>
      <c r="E1925" s="8" t="s">
        <v>4457</v>
      </c>
    </row>
    <row r="1926" spans="1:5" x14ac:dyDescent="0.25">
      <c r="A1926" s="5" t="s">
        <v>2308</v>
      </c>
      <c r="B1926" s="6" t="s">
        <v>2307</v>
      </c>
      <c r="C1926" s="7" t="s">
        <v>24</v>
      </c>
      <c r="D1926" s="7" t="s">
        <v>64</v>
      </c>
      <c r="E1926" s="8" t="s">
        <v>65</v>
      </c>
    </row>
    <row r="1927" spans="1:5" x14ac:dyDescent="0.25">
      <c r="A1927" s="5" t="s">
        <v>2310</v>
      </c>
      <c r="B1927" s="6" t="s">
        <v>2309</v>
      </c>
      <c r="C1927" s="7" t="s">
        <v>24</v>
      </c>
      <c r="D1927" s="7" t="s">
        <v>64</v>
      </c>
      <c r="E1927" s="8" t="s">
        <v>68</v>
      </c>
    </row>
    <row r="1928" spans="1:5" x14ac:dyDescent="0.25">
      <c r="A1928" s="5" t="s">
        <v>2312</v>
      </c>
      <c r="B1928" s="6" t="s">
        <v>2311</v>
      </c>
      <c r="C1928" s="7" t="s">
        <v>24</v>
      </c>
      <c r="D1928" s="7" t="s">
        <v>64</v>
      </c>
      <c r="E1928" s="8" t="s">
        <v>87</v>
      </c>
    </row>
    <row r="1929" spans="1:5" x14ac:dyDescent="0.25">
      <c r="A1929" s="5" t="s">
        <v>2314</v>
      </c>
      <c r="B1929" s="6" t="s">
        <v>2313</v>
      </c>
      <c r="C1929" s="7" t="s">
        <v>24</v>
      </c>
      <c r="D1929" s="7" t="s">
        <v>64</v>
      </c>
      <c r="E1929" s="8" t="s">
        <v>288</v>
      </c>
    </row>
    <row r="1930" spans="1:5" x14ac:dyDescent="0.25">
      <c r="A1930" s="5" t="s">
        <v>2316</v>
      </c>
      <c r="B1930" s="6" t="s">
        <v>2315</v>
      </c>
      <c r="C1930" s="7" t="s">
        <v>24</v>
      </c>
      <c r="D1930" s="7" t="s">
        <v>64</v>
      </c>
      <c r="E1930" s="8" t="s">
        <v>93</v>
      </c>
    </row>
    <row r="1931" spans="1:5" x14ac:dyDescent="0.25">
      <c r="A1931" s="5" t="s">
        <v>2318</v>
      </c>
      <c r="B1931" s="6" t="s">
        <v>2317</v>
      </c>
      <c r="C1931" s="7" t="s">
        <v>24</v>
      </c>
      <c r="D1931" s="7" t="s">
        <v>64</v>
      </c>
      <c r="E1931" s="8" t="s">
        <v>90</v>
      </c>
    </row>
    <row r="1932" spans="1:5" x14ac:dyDescent="0.25">
      <c r="A1932" s="5" t="s">
        <v>2320</v>
      </c>
      <c r="B1932" s="6" t="s">
        <v>2319</v>
      </c>
      <c r="C1932" s="7" t="s">
        <v>24</v>
      </c>
      <c r="D1932" s="7" t="s">
        <v>25</v>
      </c>
      <c r="E1932" s="8" t="s">
        <v>4457</v>
      </c>
    </row>
    <row r="1933" spans="1:5" x14ac:dyDescent="0.25">
      <c r="A1933" s="5" t="s">
        <v>2322</v>
      </c>
      <c r="B1933" s="6" t="s">
        <v>2321</v>
      </c>
      <c r="C1933" s="7" t="s">
        <v>24</v>
      </c>
      <c r="D1933" s="7" t="s">
        <v>25</v>
      </c>
      <c r="E1933" s="8" t="s">
        <v>4468</v>
      </c>
    </row>
    <row r="1934" spans="1:5" x14ac:dyDescent="0.25">
      <c r="A1934" s="5" t="s">
        <v>2324</v>
      </c>
      <c r="B1934" s="6" t="s">
        <v>2323</v>
      </c>
      <c r="C1934" s="7" t="s">
        <v>24</v>
      </c>
      <c r="D1934" s="7" t="s">
        <v>25</v>
      </c>
      <c r="E1934" s="8" t="s">
        <v>4458</v>
      </c>
    </row>
    <row r="1935" spans="1:5" x14ac:dyDescent="0.25">
      <c r="A1935" s="5" t="s">
        <v>2326</v>
      </c>
      <c r="B1935" s="6" t="s">
        <v>2325</v>
      </c>
      <c r="C1935" s="7" t="s">
        <v>24</v>
      </c>
      <c r="D1935" s="7" t="s">
        <v>64</v>
      </c>
      <c r="E1935" s="8" t="s">
        <v>87</v>
      </c>
    </row>
    <row r="1936" spans="1:5" x14ac:dyDescent="0.25">
      <c r="A1936" s="5" t="s">
        <v>2328</v>
      </c>
      <c r="B1936" s="6" t="s">
        <v>2327</v>
      </c>
      <c r="C1936" s="7" t="s">
        <v>24</v>
      </c>
      <c r="D1936" s="7" t="s">
        <v>25</v>
      </c>
      <c r="E1936" s="8" t="s">
        <v>4457</v>
      </c>
    </row>
    <row r="1937" spans="1:5" x14ac:dyDescent="0.25">
      <c r="A1937" s="5" t="s">
        <v>2330</v>
      </c>
      <c r="B1937" s="6" t="s">
        <v>2329</v>
      </c>
      <c r="C1937" s="7" t="s">
        <v>24</v>
      </c>
      <c r="D1937" s="7" t="s">
        <v>25</v>
      </c>
      <c r="E1937" s="8" t="s">
        <v>4468</v>
      </c>
    </row>
    <row r="1938" spans="1:5" x14ac:dyDescent="0.25">
      <c r="A1938" s="5" t="s">
        <v>2332</v>
      </c>
      <c r="B1938" s="6" t="s">
        <v>2331</v>
      </c>
      <c r="C1938" s="7" t="s">
        <v>24</v>
      </c>
      <c r="D1938" s="7" t="s">
        <v>25</v>
      </c>
      <c r="E1938" s="8" t="s">
        <v>4466</v>
      </c>
    </row>
    <row r="1939" spans="1:5" x14ac:dyDescent="0.25">
      <c r="A1939" s="5" t="s">
        <v>2334</v>
      </c>
      <c r="B1939" s="6" t="s">
        <v>2333</v>
      </c>
      <c r="C1939" s="7" t="s">
        <v>24</v>
      </c>
      <c r="D1939" s="7" t="s">
        <v>64</v>
      </c>
      <c r="E1939" s="8" t="s">
        <v>99</v>
      </c>
    </row>
    <row r="1940" spans="1:5" x14ac:dyDescent="0.25">
      <c r="A1940" s="5" t="s">
        <v>2336</v>
      </c>
      <c r="B1940" s="6" t="s">
        <v>2335</v>
      </c>
      <c r="C1940" s="7" t="s">
        <v>24</v>
      </c>
      <c r="D1940" s="7" t="s">
        <v>64</v>
      </c>
      <c r="E1940" s="8" t="s">
        <v>65</v>
      </c>
    </row>
    <row r="1941" spans="1:5" x14ac:dyDescent="0.25">
      <c r="A1941" s="5" t="s">
        <v>2338</v>
      </c>
      <c r="B1941" s="6" t="s">
        <v>2337</v>
      </c>
      <c r="C1941" s="7" t="s">
        <v>24</v>
      </c>
      <c r="D1941" s="7" t="s">
        <v>64</v>
      </c>
      <c r="E1941" s="8" t="s">
        <v>68</v>
      </c>
    </row>
    <row r="1942" spans="1:5" x14ac:dyDescent="0.25">
      <c r="A1942" s="5" t="s">
        <v>2340</v>
      </c>
      <c r="B1942" s="6" t="s">
        <v>2339</v>
      </c>
      <c r="C1942" s="7" t="s">
        <v>24</v>
      </c>
      <c r="D1942" s="7" t="s">
        <v>25</v>
      </c>
      <c r="E1942" s="8" t="s">
        <v>4457</v>
      </c>
    </row>
    <row r="1943" spans="1:5" x14ac:dyDescent="0.25">
      <c r="A1943" s="5" t="s">
        <v>2342</v>
      </c>
      <c r="B1943" s="6" t="s">
        <v>2341</v>
      </c>
      <c r="C1943" s="7" t="s">
        <v>24</v>
      </c>
      <c r="D1943" s="7" t="s">
        <v>25</v>
      </c>
      <c r="E1943" s="8" t="s">
        <v>4466</v>
      </c>
    </row>
    <row r="1944" spans="1:5" x14ac:dyDescent="0.25">
      <c r="A1944" s="5" t="s">
        <v>2344</v>
      </c>
      <c r="B1944" s="6" t="s">
        <v>2343</v>
      </c>
      <c r="C1944" s="7" t="s">
        <v>24</v>
      </c>
      <c r="D1944" s="7" t="s">
        <v>25</v>
      </c>
      <c r="E1944" s="8" t="s">
        <v>4460</v>
      </c>
    </row>
    <row r="1945" spans="1:5" x14ac:dyDescent="0.25">
      <c r="A1945" s="5" t="s">
        <v>2346</v>
      </c>
      <c r="B1945" s="6" t="s">
        <v>2345</v>
      </c>
      <c r="C1945" s="7" t="s">
        <v>24</v>
      </c>
      <c r="D1945" s="7" t="s">
        <v>25</v>
      </c>
      <c r="E1945" s="8" t="s">
        <v>4465</v>
      </c>
    </row>
    <row r="1946" spans="1:5" x14ac:dyDescent="0.25">
      <c r="A1946" s="5" t="s">
        <v>2348</v>
      </c>
      <c r="B1946" s="6" t="s">
        <v>2347</v>
      </c>
      <c r="C1946" s="7" t="s">
        <v>24</v>
      </c>
      <c r="D1946" s="7" t="s">
        <v>25</v>
      </c>
      <c r="E1946" s="8" t="s">
        <v>4468</v>
      </c>
    </row>
    <row r="1947" spans="1:5" x14ac:dyDescent="0.25">
      <c r="A1947" s="5" t="s">
        <v>2350</v>
      </c>
      <c r="B1947" s="6" t="s">
        <v>2349</v>
      </c>
      <c r="C1947" s="7" t="s">
        <v>24</v>
      </c>
      <c r="D1947" s="7" t="s">
        <v>25</v>
      </c>
      <c r="E1947" s="8" t="s">
        <v>4458</v>
      </c>
    </row>
    <row r="1948" spans="1:5" x14ac:dyDescent="0.25">
      <c r="A1948" s="5" t="s">
        <v>2352</v>
      </c>
      <c r="B1948" s="6" t="s">
        <v>2351</v>
      </c>
      <c r="C1948" s="7" t="s">
        <v>24</v>
      </c>
      <c r="D1948" s="7" t="s">
        <v>64</v>
      </c>
      <c r="E1948" s="8" t="s">
        <v>99</v>
      </c>
    </row>
    <row r="1949" spans="1:5" x14ac:dyDescent="0.25">
      <c r="A1949" s="5" t="s">
        <v>2354</v>
      </c>
      <c r="B1949" s="6" t="s">
        <v>2353</v>
      </c>
      <c r="C1949" s="7" t="s">
        <v>24</v>
      </c>
      <c r="D1949" s="7" t="s">
        <v>25</v>
      </c>
      <c r="E1949" s="8" t="s">
        <v>4459</v>
      </c>
    </row>
    <row r="1950" spans="1:5" x14ac:dyDescent="0.25">
      <c r="A1950" s="5" t="s">
        <v>2356</v>
      </c>
      <c r="B1950" s="6" t="s">
        <v>2355</v>
      </c>
      <c r="C1950" s="7" t="s">
        <v>24</v>
      </c>
      <c r="D1950" s="7" t="s">
        <v>25</v>
      </c>
      <c r="E1950" s="8" t="s">
        <v>4460</v>
      </c>
    </row>
    <row r="1951" spans="1:5" x14ac:dyDescent="0.25">
      <c r="A1951" s="5" t="s">
        <v>2358</v>
      </c>
      <c r="B1951" s="6" t="s">
        <v>2357</v>
      </c>
      <c r="C1951" s="7" t="s">
        <v>24</v>
      </c>
      <c r="D1951" s="7" t="s">
        <v>25</v>
      </c>
      <c r="E1951" s="8" t="s">
        <v>4461</v>
      </c>
    </row>
    <row r="1952" spans="1:5" x14ac:dyDescent="0.25">
      <c r="A1952" s="5" t="s">
        <v>2360</v>
      </c>
      <c r="B1952" s="6" t="s">
        <v>2359</v>
      </c>
      <c r="C1952" s="7" t="s">
        <v>24</v>
      </c>
      <c r="D1952" s="7" t="s">
        <v>25</v>
      </c>
      <c r="E1952" s="8" t="s">
        <v>4468</v>
      </c>
    </row>
    <row r="1953" spans="1:5" x14ac:dyDescent="0.25">
      <c r="A1953" s="5" t="s">
        <v>2362</v>
      </c>
      <c r="B1953" s="6" t="s">
        <v>2361</v>
      </c>
      <c r="C1953" s="7" t="s">
        <v>24</v>
      </c>
      <c r="D1953" s="7" t="s">
        <v>25</v>
      </c>
      <c r="E1953" s="8" t="s">
        <v>4466</v>
      </c>
    </row>
    <row r="1954" spans="1:5" x14ac:dyDescent="0.25">
      <c r="A1954" s="5" t="s">
        <v>2364</v>
      </c>
      <c r="B1954" s="6" t="s">
        <v>2363</v>
      </c>
      <c r="C1954" s="7" t="s">
        <v>24</v>
      </c>
      <c r="D1954" s="7" t="s">
        <v>25</v>
      </c>
      <c r="E1954" s="8" t="s">
        <v>4460</v>
      </c>
    </row>
    <row r="1955" spans="1:5" x14ac:dyDescent="0.25">
      <c r="A1955" s="5" t="s">
        <v>2366</v>
      </c>
      <c r="B1955" s="6" t="s">
        <v>2365</v>
      </c>
      <c r="C1955" s="7" t="s">
        <v>24</v>
      </c>
      <c r="D1955" s="7" t="s">
        <v>64</v>
      </c>
      <c r="E1955" s="8" t="s">
        <v>65</v>
      </c>
    </row>
    <row r="1956" spans="1:5" x14ac:dyDescent="0.25">
      <c r="A1956" s="5" t="s">
        <v>2368</v>
      </c>
      <c r="B1956" s="6" t="s">
        <v>2367</v>
      </c>
      <c r="C1956" s="7" t="s">
        <v>24</v>
      </c>
      <c r="D1956" s="7" t="s">
        <v>25</v>
      </c>
      <c r="E1956" s="8" t="s">
        <v>4457</v>
      </c>
    </row>
    <row r="1957" spans="1:5" x14ac:dyDescent="0.25">
      <c r="A1957" s="5" t="s">
        <v>2370</v>
      </c>
      <c r="B1957" s="6" t="s">
        <v>2369</v>
      </c>
      <c r="C1957" s="7" t="s">
        <v>24</v>
      </c>
      <c r="D1957" s="7" t="s">
        <v>25</v>
      </c>
      <c r="E1957" s="8" t="s">
        <v>4458</v>
      </c>
    </row>
    <row r="1958" spans="1:5" x14ac:dyDescent="0.25">
      <c r="A1958" s="5" t="s">
        <v>2372</v>
      </c>
      <c r="B1958" s="6" t="s">
        <v>2371</v>
      </c>
      <c r="C1958" s="7" t="s">
        <v>24</v>
      </c>
      <c r="D1958" s="7" t="s">
        <v>25</v>
      </c>
      <c r="E1958" s="8" t="s">
        <v>4466</v>
      </c>
    </row>
    <row r="1959" spans="1:5" x14ac:dyDescent="0.25">
      <c r="A1959" s="5" t="s">
        <v>2374</v>
      </c>
      <c r="B1959" s="6" t="s">
        <v>2373</v>
      </c>
      <c r="C1959" s="7" t="s">
        <v>24</v>
      </c>
      <c r="D1959" s="7" t="s">
        <v>64</v>
      </c>
      <c r="E1959" s="8" t="s">
        <v>68</v>
      </c>
    </row>
    <row r="1960" spans="1:5" x14ac:dyDescent="0.25">
      <c r="A1960" s="5" t="s">
        <v>2376</v>
      </c>
      <c r="B1960" s="6" t="s">
        <v>2375</v>
      </c>
      <c r="C1960" s="7" t="s">
        <v>24</v>
      </c>
      <c r="D1960" s="7" t="s">
        <v>64</v>
      </c>
      <c r="E1960" s="8" t="s">
        <v>87</v>
      </c>
    </row>
    <row r="1961" spans="1:5" x14ac:dyDescent="0.25">
      <c r="A1961" s="5" t="s">
        <v>2378</v>
      </c>
      <c r="B1961" s="6" t="s">
        <v>2377</v>
      </c>
      <c r="C1961" s="7" t="s">
        <v>24</v>
      </c>
      <c r="D1961" s="7" t="s">
        <v>64</v>
      </c>
      <c r="E1961" s="8" t="s">
        <v>90</v>
      </c>
    </row>
    <row r="1962" spans="1:5" x14ac:dyDescent="0.25">
      <c r="A1962" s="5" t="s">
        <v>2380</v>
      </c>
      <c r="B1962" s="6" t="s">
        <v>2379</v>
      </c>
      <c r="C1962" s="7" t="s">
        <v>24</v>
      </c>
      <c r="D1962" s="7" t="s">
        <v>25</v>
      </c>
      <c r="E1962" s="8" t="s">
        <v>4457</v>
      </c>
    </row>
    <row r="1963" spans="1:5" x14ac:dyDescent="0.25">
      <c r="A1963" s="5" t="s">
        <v>2382</v>
      </c>
      <c r="B1963" s="6" t="s">
        <v>2381</v>
      </c>
      <c r="C1963" s="7" t="s">
        <v>24</v>
      </c>
      <c r="D1963" s="7" t="s">
        <v>25</v>
      </c>
      <c r="E1963" s="8" t="s">
        <v>4457</v>
      </c>
    </row>
    <row r="1964" spans="1:5" x14ac:dyDescent="0.25">
      <c r="A1964" s="5" t="s">
        <v>2384</v>
      </c>
      <c r="B1964" s="6" t="s">
        <v>2383</v>
      </c>
      <c r="C1964" s="7" t="s">
        <v>24</v>
      </c>
      <c r="D1964" s="7" t="s">
        <v>25</v>
      </c>
      <c r="E1964" s="8" t="s">
        <v>4468</v>
      </c>
    </row>
    <row r="1965" spans="1:5" x14ac:dyDescent="0.25">
      <c r="A1965" s="5" t="s">
        <v>3094</v>
      </c>
      <c r="B1965" s="6" t="s">
        <v>3864</v>
      </c>
      <c r="C1965" s="7" t="s">
        <v>24</v>
      </c>
      <c r="D1965" s="7" t="s">
        <v>4456</v>
      </c>
      <c r="E1965" s="8" t="s">
        <v>4454</v>
      </c>
    </row>
    <row r="1966" spans="1:5" x14ac:dyDescent="0.25">
      <c r="A1966" s="5" t="s">
        <v>2386</v>
      </c>
      <c r="B1966" s="6" t="s">
        <v>2385</v>
      </c>
      <c r="C1966" s="7" t="s">
        <v>24</v>
      </c>
      <c r="D1966" s="7" t="s">
        <v>25</v>
      </c>
      <c r="E1966" s="8" t="s">
        <v>4457</v>
      </c>
    </row>
    <row r="1967" spans="1:5" x14ac:dyDescent="0.25">
      <c r="A1967" s="12" t="s">
        <v>2388</v>
      </c>
      <c r="B1967" s="6" t="s">
        <v>2387</v>
      </c>
      <c r="C1967" s="13" t="s">
        <v>24</v>
      </c>
      <c r="D1967" s="13" t="s">
        <v>25</v>
      </c>
      <c r="E1967" s="8" t="s">
        <v>4457</v>
      </c>
    </row>
    <row r="1968" spans="1:5" x14ac:dyDescent="0.25">
      <c r="A1968" s="5" t="s">
        <v>2390</v>
      </c>
      <c r="B1968" s="6" t="s">
        <v>2389</v>
      </c>
      <c r="C1968" s="7" t="s">
        <v>24</v>
      </c>
      <c r="D1968" s="7" t="s">
        <v>25</v>
      </c>
      <c r="E1968" s="8" t="s">
        <v>4458</v>
      </c>
    </row>
    <row r="1969" spans="1:5" x14ac:dyDescent="0.25">
      <c r="A1969" s="5" t="s">
        <v>2392</v>
      </c>
      <c r="B1969" s="6" t="s">
        <v>2391</v>
      </c>
      <c r="C1969" s="7" t="s">
        <v>24</v>
      </c>
      <c r="D1969" s="7" t="s">
        <v>25</v>
      </c>
      <c r="E1969" s="8" t="s">
        <v>4459</v>
      </c>
    </row>
    <row r="1970" spans="1:5" x14ac:dyDescent="0.25">
      <c r="A1970" s="5" t="s">
        <v>2394</v>
      </c>
      <c r="B1970" s="6" t="s">
        <v>2393</v>
      </c>
      <c r="C1970" s="7" t="s">
        <v>24</v>
      </c>
      <c r="D1970" s="7" t="s">
        <v>25</v>
      </c>
      <c r="E1970" s="8" t="s">
        <v>4461</v>
      </c>
    </row>
    <row r="1971" spans="1:5" x14ac:dyDescent="0.25">
      <c r="A1971" s="5" t="s">
        <v>2396</v>
      </c>
      <c r="B1971" s="6" t="s">
        <v>2395</v>
      </c>
      <c r="C1971" s="7" t="s">
        <v>24</v>
      </c>
      <c r="D1971" s="7" t="s">
        <v>64</v>
      </c>
      <c r="E1971" s="8" t="s">
        <v>99</v>
      </c>
    </row>
    <row r="1972" spans="1:5" x14ac:dyDescent="0.25">
      <c r="A1972" s="5" t="s">
        <v>2398</v>
      </c>
      <c r="B1972" s="6" t="s">
        <v>2397</v>
      </c>
      <c r="C1972" s="7" t="s">
        <v>24</v>
      </c>
      <c r="D1972" s="7" t="s">
        <v>562</v>
      </c>
      <c r="E1972" s="8" t="s">
        <v>4472</v>
      </c>
    </row>
    <row r="1973" spans="1:5" x14ac:dyDescent="0.25">
      <c r="A1973" s="5" t="s">
        <v>2400</v>
      </c>
      <c r="B1973" s="6" t="s">
        <v>2399</v>
      </c>
      <c r="C1973" s="7" t="s">
        <v>24</v>
      </c>
      <c r="D1973" s="7" t="s">
        <v>562</v>
      </c>
      <c r="E1973" s="8" t="s">
        <v>4454</v>
      </c>
    </row>
    <row r="1974" spans="1:5" x14ac:dyDescent="0.25">
      <c r="A1974" s="5" t="s">
        <v>2402</v>
      </c>
      <c r="B1974" s="6" t="s">
        <v>2401</v>
      </c>
      <c r="C1974" s="7" t="s">
        <v>24</v>
      </c>
      <c r="D1974" s="7" t="s">
        <v>25</v>
      </c>
      <c r="E1974" s="8" t="s">
        <v>4457</v>
      </c>
    </row>
    <row r="1975" spans="1:5" x14ac:dyDescent="0.25">
      <c r="A1975" s="5" t="s">
        <v>2404</v>
      </c>
      <c r="B1975" s="6" t="s">
        <v>2403</v>
      </c>
      <c r="C1975" s="7" t="s">
        <v>24</v>
      </c>
      <c r="D1975" s="7" t="s">
        <v>25</v>
      </c>
      <c r="E1975" s="8" t="s">
        <v>4458</v>
      </c>
    </row>
    <row r="1976" spans="1:5" x14ac:dyDescent="0.25">
      <c r="A1976" s="5" t="s">
        <v>2406</v>
      </c>
      <c r="B1976" s="6" t="s">
        <v>2405</v>
      </c>
      <c r="C1976" s="7" t="s">
        <v>24</v>
      </c>
      <c r="D1976" s="7" t="s">
        <v>25</v>
      </c>
      <c r="E1976" s="8" t="s">
        <v>4459</v>
      </c>
    </row>
    <row r="1977" spans="1:5" x14ac:dyDescent="0.25">
      <c r="A1977" s="5" t="s">
        <v>2408</v>
      </c>
      <c r="B1977" s="6" t="s">
        <v>2407</v>
      </c>
      <c r="C1977" s="7" t="s">
        <v>24</v>
      </c>
      <c r="D1977" s="7" t="s">
        <v>25</v>
      </c>
      <c r="E1977" s="8" t="s">
        <v>4461</v>
      </c>
    </row>
    <row r="1978" spans="1:5" x14ac:dyDescent="0.25">
      <c r="A1978" s="5" t="s">
        <v>2410</v>
      </c>
      <c r="B1978" s="6" t="s">
        <v>2409</v>
      </c>
      <c r="C1978" s="7" t="s">
        <v>24</v>
      </c>
      <c r="D1978" s="7" t="s">
        <v>25</v>
      </c>
      <c r="E1978" s="8" t="s">
        <v>4457</v>
      </c>
    </row>
    <row r="1979" spans="1:5" x14ac:dyDescent="0.25">
      <c r="A1979" s="5" t="s">
        <v>2412</v>
      </c>
      <c r="B1979" s="6" t="s">
        <v>2411</v>
      </c>
      <c r="C1979" s="7" t="s">
        <v>24</v>
      </c>
      <c r="D1979" s="7" t="s">
        <v>25</v>
      </c>
      <c r="E1979" s="8" t="s">
        <v>4458</v>
      </c>
    </row>
    <row r="1980" spans="1:5" x14ac:dyDescent="0.25">
      <c r="A1980" s="5" t="s">
        <v>2414</v>
      </c>
      <c r="B1980" s="6" t="s">
        <v>2413</v>
      </c>
      <c r="C1980" s="7" t="s">
        <v>24</v>
      </c>
      <c r="D1980" s="7" t="s">
        <v>321</v>
      </c>
      <c r="E1980" s="8" t="s">
        <v>4455</v>
      </c>
    </row>
    <row r="1981" spans="1:5" x14ac:dyDescent="0.25">
      <c r="A1981" s="5" t="s">
        <v>2416</v>
      </c>
      <c r="B1981" s="6" t="s">
        <v>2415</v>
      </c>
      <c r="C1981" s="7" t="s">
        <v>24</v>
      </c>
      <c r="D1981" s="7" t="s">
        <v>64</v>
      </c>
      <c r="E1981" s="8" t="s">
        <v>99</v>
      </c>
    </row>
    <row r="1982" spans="1:5" x14ac:dyDescent="0.25">
      <c r="A1982" s="5" t="s">
        <v>2418</v>
      </c>
      <c r="B1982" s="6" t="s">
        <v>2417</v>
      </c>
      <c r="C1982" s="7" t="s">
        <v>24</v>
      </c>
      <c r="D1982" s="7" t="s">
        <v>25</v>
      </c>
      <c r="E1982" s="8" t="s">
        <v>4468</v>
      </c>
    </row>
    <row r="1983" spans="1:5" x14ac:dyDescent="0.25">
      <c r="A1983" s="5" t="s">
        <v>2420</v>
      </c>
      <c r="B1983" s="6" t="s">
        <v>2419</v>
      </c>
      <c r="C1983" s="7" t="s">
        <v>24</v>
      </c>
      <c r="D1983" s="7" t="s">
        <v>25</v>
      </c>
      <c r="E1983" s="8" t="s">
        <v>4466</v>
      </c>
    </row>
    <row r="1984" spans="1:5" x14ac:dyDescent="0.25">
      <c r="A1984" s="5" t="s">
        <v>2422</v>
      </c>
      <c r="B1984" s="6" t="s">
        <v>2421</v>
      </c>
      <c r="C1984" s="7" t="s">
        <v>24</v>
      </c>
      <c r="D1984" s="7" t="s">
        <v>25</v>
      </c>
      <c r="E1984" s="8" t="s">
        <v>4460</v>
      </c>
    </row>
    <row r="1985" spans="1:5" x14ac:dyDescent="0.25">
      <c r="A1985" s="5" t="s">
        <v>2424</v>
      </c>
      <c r="B1985" s="6" t="s">
        <v>2423</v>
      </c>
      <c r="C1985" s="7" t="s">
        <v>24</v>
      </c>
      <c r="D1985" s="7" t="s">
        <v>25</v>
      </c>
      <c r="E1985" s="8" t="s">
        <v>4457</v>
      </c>
    </row>
    <row r="1986" spans="1:5" x14ac:dyDescent="0.25">
      <c r="A1986" s="12" t="s">
        <v>2426</v>
      </c>
      <c r="B1986" s="6" t="s">
        <v>2425</v>
      </c>
      <c r="C1986" s="13" t="s">
        <v>24</v>
      </c>
      <c r="D1986" s="13" t="s">
        <v>25</v>
      </c>
      <c r="E1986" s="8" t="s">
        <v>4458</v>
      </c>
    </row>
    <row r="1987" spans="1:5" x14ac:dyDescent="0.25">
      <c r="A1987" s="5" t="s">
        <v>2428</v>
      </c>
      <c r="B1987" s="6" t="s">
        <v>2427</v>
      </c>
      <c r="C1987" s="7" t="s">
        <v>24</v>
      </c>
      <c r="D1987" s="7" t="s">
        <v>25</v>
      </c>
      <c r="E1987" s="8" t="s">
        <v>4458</v>
      </c>
    </row>
    <row r="1988" spans="1:5" x14ac:dyDescent="0.25">
      <c r="A1988" s="5" t="s">
        <v>2430</v>
      </c>
      <c r="B1988" s="6" t="s">
        <v>2429</v>
      </c>
      <c r="C1988" s="7" t="s">
        <v>24</v>
      </c>
      <c r="D1988" s="7" t="s">
        <v>25</v>
      </c>
      <c r="E1988" s="8" t="s">
        <v>4459</v>
      </c>
    </row>
    <row r="1989" spans="1:5" x14ac:dyDescent="0.25">
      <c r="A1989" s="5" t="s">
        <v>2432</v>
      </c>
      <c r="B1989" s="6" t="s">
        <v>2431</v>
      </c>
      <c r="C1989" s="7" t="s">
        <v>24</v>
      </c>
      <c r="D1989" s="7" t="s">
        <v>25</v>
      </c>
      <c r="E1989" s="8" t="s">
        <v>4461</v>
      </c>
    </row>
    <row r="1990" spans="1:5" x14ac:dyDescent="0.25">
      <c r="A1990" s="5" t="s">
        <v>2434</v>
      </c>
      <c r="B1990" s="6" t="s">
        <v>2433</v>
      </c>
      <c r="C1990" s="7" t="s">
        <v>24</v>
      </c>
      <c r="D1990" s="7" t="s">
        <v>25</v>
      </c>
      <c r="E1990" s="8" t="s">
        <v>4465</v>
      </c>
    </row>
    <row r="1991" spans="1:5" x14ac:dyDescent="0.25">
      <c r="A1991" s="5" t="s">
        <v>2436</v>
      </c>
      <c r="B1991" s="6" t="s">
        <v>2435</v>
      </c>
      <c r="C1991" s="7" t="s">
        <v>24</v>
      </c>
      <c r="D1991" s="7" t="s">
        <v>25</v>
      </c>
      <c r="E1991" s="8" t="s">
        <v>4458</v>
      </c>
    </row>
    <row r="1992" spans="1:5" x14ac:dyDescent="0.25">
      <c r="A1992" s="5" t="s">
        <v>2438</v>
      </c>
      <c r="B1992" s="6" t="s">
        <v>2437</v>
      </c>
      <c r="C1992" s="7" t="s">
        <v>24</v>
      </c>
      <c r="D1992" s="7" t="s">
        <v>25</v>
      </c>
      <c r="E1992" s="8" t="s">
        <v>4459</v>
      </c>
    </row>
    <row r="1993" spans="1:5" x14ac:dyDescent="0.25">
      <c r="A1993" s="5" t="s">
        <v>2440</v>
      </c>
      <c r="B1993" s="6" t="s">
        <v>2439</v>
      </c>
      <c r="C1993" s="7" t="s">
        <v>24</v>
      </c>
      <c r="D1993" s="7" t="s">
        <v>25</v>
      </c>
      <c r="E1993" s="8" t="s">
        <v>4461</v>
      </c>
    </row>
    <row r="1994" spans="1:5" x14ac:dyDescent="0.25">
      <c r="A1994" s="5" t="s">
        <v>2442</v>
      </c>
      <c r="B1994" s="6" t="s">
        <v>2441</v>
      </c>
      <c r="C1994" s="7" t="s">
        <v>24</v>
      </c>
      <c r="D1994" s="7" t="s">
        <v>25</v>
      </c>
      <c r="E1994" s="8" t="s">
        <v>4464</v>
      </c>
    </row>
    <row r="1995" spans="1:5" x14ac:dyDescent="0.25">
      <c r="A1995" s="5" t="s">
        <v>2444</v>
      </c>
      <c r="B1995" s="6" t="s">
        <v>2443</v>
      </c>
      <c r="C1995" s="7" t="s">
        <v>24</v>
      </c>
      <c r="D1995" s="7" t="s">
        <v>25</v>
      </c>
      <c r="E1995" s="8" t="s">
        <v>4462</v>
      </c>
    </row>
    <row r="1996" spans="1:5" x14ac:dyDescent="0.25">
      <c r="A1996" s="5" t="s">
        <v>2446</v>
      </c>
      <c r="B1996" s="6" t="s">
        <v>2445</v>
      </c>
      <c r="C1996" s="7" t="s">
        <v>24</v>
      </c>
      <c r="D1996" s="7" t="s">
        <v>64</v>
      </c>
      <c r="E1996" s="8" t="s">
        <v>99</v>
      </c>
    </row>
    <row r="1997" spans="1:5" x14ac:dyDescent="0.25">
      <c r="A1997" s="5" t="s">
        <v>2448</v>
      </c>
      <c r="B1997" s="6" t="s">
        <v>2447</v>
      </c>
      <c r="C1997" s="7" t="s">
        <v>24</v>
      </c>
      <c r="D1997" s="7" t="s">
        <v>64</v>
      </c>
      <c r="E1997" s="8" t="s">
        <v>68</v>
      </c>
    </row>
    <row r="1998" spans="1:5" x14ac:dyDescent="0.25">
      <c r="A1998" s="5" t="s">
        <v>2450</v>
      </c>
      <c r="B1998" s="6" t="s">
        <v>2449</v>
      </c>
      <c r="C1998" s="7" t="s">
        <v>24</v>
      </c>
      <c r="D1998" s="7" t="s">
        <v>25</v>
      </c>
      <c r="E1998" s="8" t="s">
        <v>4457</v>
      </c>
    </row>
    <row r="1999" spans="1:5" x14ac:dyDescent="0.25">
      <c r="A1999" s="5" t="s">
        <v>2452</v>
      </c>
      <c r="B1999" s="6" t="s">
        <v>2451</v>
      </c>
      <c r="C1999" s="7" t="s">
        <v>24</v>
      </c>
      <c r="D1999" s="7" t="s">
        <v>64</v>
      </c>
      <c r="E1999" s="8" t="s">
        <v>99</v>
      </c>
    </row>
    <row r="2000" spans="1:5" x14ac:dyDescent="0.25">
      <c r="A2000" s="5" t="s">
        <v>2454</v>
      </c>
      <c r="B2000" s="6" t="s">
        <v>2453</v>
      </c>
      <c r="C2000" s="7" t="s">
        <v>24</v>
      </c>
      <c r="D2000" s="7" t="s">
        <v>64</v>
      </c>
      <c r="E2000" s="8" t="s">
        <v>99</v>
      </c>
    </row>
    <row r="2001" spans="1:5" x14ac:dyDescent="0.25">
      <c r="A2001" s="5" t="s">
        <v>2456</v>
      </c>
      <c r="B2001" s="6" t="s">
        <v>2455</v>
      </c>
      <c r="C2001" s="7" t="s">
        <v>24</v>
      </c>
      <c r="D2001" s="7" t="s">
        <v>64</v>
      </c>
      <c r="E2001" s="8" t="s">
        <v>99</v>
      </c>
    </row>
    <row r="2002" spans="1:5" x14ac:dyDescent="0.25">
      <c r="A2002" s="5" t="s">
        <v>2458</v>
      </c>
      <c r="B2002" s="6" t="s">
        <v>2457</v>
      </c>
      <c r="C2002" s="7" t="s">
        <v>24</v>
      </c>
      <c r="D2002" s="7" t="s">
        <v>64</v>
      </c>
      <c r="E2002" s="8" t="s">
        <v>99</v>
      </c>
    </row>
    <row r="2003" spans="1:5" x14ac:dyDescent="0.25">
      <c r="A2003" s="12" t="s">
        <v>2460</v>
      </c>
      <c r="B2003" s="6" t="s">
        <v>2459</v>
      </c>
      <c r="C2003" s="13" t="s">
        <v>24</v>
      </c>
      <c r="D2003" s="13" t="s">
        <v>64</v>
      </c>
      <c r="E2003" s="8" t="s">
        <v>99</v>
      </c>
    </row>
    <row r="2004" spans="1:5" x14ac:dyDescent="0.25">
      <c r="A2004" s="5" t="s">
        <v>2462</v>
      </c>
      <c r="B2004" s="6" t="s">
        <v>2461</v>
      </c>
      <c r="C2004" s="7" t="s">
        <v>24</v>
      </c>
      <c r="D2004" s="7" t="s">
        <v>64</v>
      </c>
      <c r="E2004" s="8" t="s">
        <v>99</v>
      </c>
    </row>
    <row r="2005" spans="1:5" x14ac:dyDescent="0.25">
      <c r="A2005" s="5" t="s">
        <v>2464</v>
      </c>
      <c r="B2005" s="6" t="s">
        <v>2463</v>
      </c>
      <c r="C2005" s="7" t="s">
        <v>24</v>
      </c>
      <c r="D2005" s="7" t="s">
        <v>64</v>
      </c>
      <c r="E2005" s="8" t="s">
        <v>99</v>
      </c>
    </row>
    <row r="2006" spans="1:5" x14ac:dyDescent="0.25">
      <c r="A2006" s="5" t="s">
        <v>2466</v>
      </c>
      <c r="B2006" s="6" t="s">
        <v>2465</v>
      </c>
      <c r="C2006" s="7" t="s">
        <v>24</v>
      </c>
      <c r="D2006" s="7" t="s">
        <v>64</v>
      </c>
      <c r="E2006" s="8" t="s">
        <v>99</v>
      </c>
    </row>
    <row r="2007" spans="1:5" x14ac:dyDescent="0.25">
      <c r="A2007" s="5" t="s">
        <v>2468</v>
      </c>
      <c r="B2007" s="6" t="s">
        <v>2467</v>
      </c>
      <c r="C2007" s="7" t="s">
        <v>24</v>
      </c>
      <c r="D2007" s="7" t="s">
        <v>64</v>
      </c>
      <c r="E2007" s="8" t="s">
        <v>99</v>
      </c>
    </row>
    <row r="2008" spans="1:5" x14ac:dyDescent="0.25">
      <c r="A2008" s="5" t="s">
        <v>2470</v>
      </c>
      <c r="B2008" s="6" t="s">
        <v>2469</v>
      </c>
      <c r="C2008" s="7" t="s">
        <v>24</v>
      </c>
      <c r="D2008" s="7" t="s">
        <v>25</v>
      </c>
      <c r="E2008" s="8" t="s">
        <v>4466</v>
      </c>
    </row>
    <row r="2009" spans="1:5" x14ac:dyDescent="0.25">
      <c r="A2009" s="5" t="s">
        <v>2472</v>
      </c>
      <c r="B2009" s="6" t="s">
        <v>2471</v>
      </c>
      <c r="C2009" s="7" t="s">
        <v>24</v>
      </c>
      <c r="D2009" s="7" t="s">
        <v>25</v>
      </c>
      <c r="E2009" s="8" t="s">
        <v>4460</v>
      </c>
    </row>
    <row r="2010" spans="1:5" x14ac:dyDescent="0.25">
      <c r="A2010" s="5" t="s">
        <v>2474</v>
      </c>
      <c r="B2010" s="6" t="s">
        <v>2473</v>
      </c>
      <c r="C2010" s="7" t="s">
        <v>24</v>
      </c>
      <c r="D2010" s="7" t="s">
        <v>25</v>
      </c>
      <c r="E2010" s="8" t="s">
        <v>4465</v>
      </c>
    </row>
    <row r="2011" spans="1:5" x14ac:dyDescent="0.25">
      <c r="A2011" s="5" t="s">
        <v>2476</v>
      </c>
      <c r="B2011" s="6" t="s">
        <v>2475</v>
      </c>
      <c r="C2011" s="7" t="s">
        <v>24</v>
      </c>
      <c r="D2011" s="7" t="s">
        <v>25</v>
      </c>
      <c r="E2011" s="8" t="s">
        <v>4466</v>
      </c>
    </row>
    <row r="2012" spans="1:5" x14ac:dyDescent="0.25">
      <c r="A2012" s="5" t="s">
        <v>2478</v>
      </c>
      <c r="B2012" s="6" t="s">
        <v>2477</v>
      </c>
      <c r="C2012" s="7" t="s">
        <v>24</v>
      </c>
      <c r="D2012" s="7" t="s">
        <v>25</v>
      </c>
      <c r="E2012" s="8" t="s">
        <v>4459</v>
      </c>
    </row>
    <row r="2013" spans="1:5" x14ac:dyDescent="0.25">
      <c r="A2013" s="5" t="s">
        <v>2480</v>
      </c>
      <c r="B2013" s="6" t="s">
        <v>2479</v>
      </c>
      <c r="C2013" s="7" t="s">
        <v>24</v>
      </c>
      <c r="D2013" s="7" t="s">
        <v>25</v>
      </c>
      <c r="E2013" s="8" t="s">
        <v>4461</v>
      </c>
    </row>
    <row r="2014" spans="1:5" x14ac:dyDescent="0.25">
      <c r="A2014" s="5" t="s">
        <v>2482</v>
      </c>
      <c r="B2014" s="6" t="s">
        <v>2481</v>
      </c>
      <c r="C2014" s="7" t="s">
        <v>24</v>
      </c>
      <c r="D2014" s="7" t="s">
        <v>25</v>
      </c>
      <c r="E2014" s="8" t="s">
        <v>4462</v>
      </c>
    </row>
    <row r="2015" spans="1:5" x14ac:dyDescent="0.25">
      <c r="A2015" s="5" t="s">
        <v>4484</v>
      </c>
      <c r="B2015" s="6" t="s">
        <v>4485</v>
      </c>
      <c r="C2015" s="7" t="s">
        <v>24</v>
      </c>
      <c r="D2015" s="7" t="s">
        <v>321</v>
      </c>
      <c r="E2015" s="8" t="s">
        <v>4455</v>
      </c>
    </row>
    <row r="2016" spans="1:5" x14ac:dyDescent="0.25">
      <c r="A2016" s="5" t="s">
        <v>3315</v>
      </c>
      <c r="B2016" s="6" t="s">
        <v>4089</v>
      </c>
      <c r="C2016" s="7" t="s">
        <v>24</v>
      </c>
      <c r="D2016" s="7" t="s">
        <v>64</v>
      </c>
      <c r="E2016" s="8" t="s">
        <v>99</v>
      </c>
    </row>
    <row r="2017" spans="1:5" x14ac:dyDescent="0.25">
      <c r="A2017" s="5" t="s">
        <v>3316</v>
      </c>
      <c r="B2017" s="6" t="s">
        <v>4090</v>
      </c>
      <c r="C2017" s="7" t="s">
        <v>24</v>
      </c>
      <c r="D2017" s="7" t="s">
        <v>64</v>
      </c>
      <c r="E2017" s="8" t="s">
        <v>99</v>
      </c>
    </row>
    <row r="2018" spans="1:5" x14ac:dyDescent="0.25">
      <c r="A2018" s="5" t="s">
        <v>2484</v>
      </c>
      <c r="B2018" s="6" t="s">
        <v>2483</v>
      </c>
      <c r="C2018" s="7" t="s">
        <v>24</v>
      </c>
      <c r="D2018" s="7" t="s">
        <v>64</v>
      </c>
      <c r="E2018" s="8" t="s">
        <v>99</v>
      </c>
    </row>
    <row r="2019" spans="1:5" x14ac:dyDescent="0.25">
      <c r="A2019" s="5" t="s">
        <v>3324</v>
      </c>
      <c r="B2019" s="6" t="s">
        <v>4098</v>
      </c>
      <c r="C2019" s="7" t="s">
        <v>24</v>
      </c>
      <c r="D2019" s="7" t="s">
        <v>4456</v>
      </c>
      <c r="E2019" s="8" t="s">
        <v>4454</v>
      </c>
    </row>
    <row r="2020" spans="1:5" x14ac:dyDescent="0.25">
      <c r="A2020" s="5" t="s">
        <v>2486</v>
      </c>
      <c r="B2020" s="6" t="s">
        <v>2485</v>
      </c>
      <c r="C2020" s="7" t="s">
        <v>24</v>
      </c>
      <c r="D2020" s="7" t="s">
        <v>64</v>
      </c>
      <c r="E2020" s="8" t="s">
        <v>99</v>
      </c>
    </row>
    <row r="2021" spans="1:5" x14ac:dyDescent="0.25">
      <c r="A2021" s="5" t="s">
        <v>3314</v>
      </c>
      <c r="B2021" s="6" t="s">
        <v>4088</v>
      </c>
      <c r="C2021" s="7" t="s">
        <v>24</v>
      </c>
      <c r="D2021" s="7" t="s">
        <v>64</v>
      </c>
      <c r="E2021" s="8" t="s">
        <v>99</v>
      </c>
    </row>
    <row r="2022" spans="1:5" x14ac:dyDescent="0.25">
      <c r="A2022" s="5" t="s">
        <v>2488</v>
      </c>
      <c r="B2022" s="6" t="s">
        <v>2487</v>
      </c>
      <c r="C2022" s="7" t="s">
        <v>24</v>
      </c>
      <c r="D2022" s="7" t="s">
        <v>25</v>
      </c>
      <c r="E2022" s="8" t="s">
        <v>4458</v>
      </c>
    </row>
    <row r="2023" spans="1:5" x14ac:dyDescent="0.25">
      <c r="A2023" s="5" t="s">
        <v>2490</v>
      </c>
      <c r="B2023" s="6" t="s">
        <v>2489</v>
      </c>
      <c r="C2023" s="7" t="s">
        <v>24</v>
      </c>
      <c r="D2023" s="7" t="s">
        <v>25</v>
      </c>
      <c r="E2023" s="8" t="s">
        <v>4459</v>
      </c>
    </row>
    <row r="2024" spans="1:5" x14ac:dyDescent="0.25">
      <c r="A2024" s="5" t="s">
        <v>2492</v>
      </c>
      <c r="B2024" s="6" t="s">
        <v>2491</v>
      </c>
      <c r="C2024" s="7" t="s">
        <v>24</v>
      </c>
      <c r="D2024" s="7" t="s">
        <v>25</v>
      </c>
      <c r="E2024" s="8" t="s">
        <v>4466</v>
      </c>
    </row>
    <row r="2025" spans="1:5" x14ac:dyDescent="0.25">
      <c r="A2025" s="5" t="s">
        <v>2494</v>
      </c>
      <c r="B2025" s="6" t="s">
        <v>2493</v>
      </c>
      <c r="C2025" s="7" t="s">
        <v>24</v>
      </c>
      <c r="D2025" s="7" t="s">
        <v>25</v>
      </c>
      <c r="E2025" s="8" t="s">
        <v>4459</v>
      </c>
    </row>
    <row r="2026" spans="1:5" x14ac:dyDescent="0.25">
      <c r="A2026" s="5" t="s">
        <v>2496</v>
      </c>
      <c r="B2026" s="6" t="s">
        <v>2495</v>
      </c>
      <c r="C2026" s="7" t="s">
        <v>24</v>
      </c>
      <c r="D2026" s="7" t="s">
        <v>25</v>
      </c>
      <c r="E2026" s="8" t="s">
        <v>4461</v>
      </c>
    </row>
    <row r="2027" spans="1:5" x14ac:dyDescent="0.25">
      <c r="A2027" s="5" t="s">
        <v>2498</v>
      </c>
      <c r="B2027" s="6" t="s">
        <v>2497</v>
      </c>
      <c r="C2027" s="7" t="s">
        <v>24</v>
      </c>
      <c r="D2027" s="7" t="s">
        <v>25</v>
      </c>
      <c r="E2027" s="8" t="s">
        <v>4465</v>
      </c>
    </row>
    <row r="2028" spans="1:5" x14ac:dyDescent="0.25">
      <c r="A2028" s="5" t="s">
        <v>2500</v>
      </c>
      <c r="B2028" s="6" t="s">
        <v>2499</v>
      </c>
      <c r="C2028" s="7" t="s">
        <v>24</v>
      </c>
      <c r="D2028" s="7" t="s">
        <v>25</v>
      </c>
      <c r="E2028" s="8" t="s">
        <v>4464</v>
      </c>
    </row>
    <row r="2029" spans="1:5" x14ac:dyDescent="0.25">
      <c r="A2029" s="5" t="s">
        <v>2502</v>
      </c>
      <c r="B2029" s="6" t="s">
        <v>2501</v>
      </c>
      <c r="C2029" s="7" t="s">
        <v>24</v>
      </c>
      <c r="D2029" s="7" t="s">
        <v>25</v>
      </c>
      <c r="E2029" s="8" t="s">
        <v>4463</v>
      </c>
    </row>
    <row r="2030" spans="1:5" x14ac:dyDescent="0.25">
      <c r="A2030" s="5">
        <v>0</v>
      </c>
      <c r="B2030" s="115" t="s">
        <v>4628</v>
      </c>
      <c r="C2030" s="7" t="s">
        <v>2505</v>
      </c>
      <c r="D2030" s="7" t="s">
        <v>2506</v>
      </c>
      <c r="E2030" s="8" t="s">
        <v>99</v>
      </c>
    </row>
    <row r="2031" spans="1:5" x14ac:dyDescent="0.25">
      <c r="A2031" s="5" t="s">
        <v>2503</v>
      </c>
      <c r="B2031" s="6" t="s">
        <v>2504</v>
      </c>
      <c r="C2031" s="7" t="s">
        <v>2505</v>
      </c>
      <c r="D2031" s="7" t="s">
        <v>2506</v>
      </c>
      <c r="E2031" s="8" t="s">
        <v>99</v>
      </c>
    </row>
    <row r="2032" spans="1:5" x14ac:dyDescent="0.25">
      <c r="A2032" s="5" t="s">
        <v>3632</v>
      </c>
      <c r="B2032" s="6" t="s">
        <v>2507</v>
      </c>
      <c r="C2032" s="7" t="s">
        <v>2505</v>
      </c>
      <c r="D2032" s="7" t="s">
        <v>2506</v>
      </c>
      <c r="E2032" s="8" t="s">
        <v>90</v>
      </c>
    </row>
    <row r="2033" spans="1:5" x14ac:dyDescent="0.25">
      <c r="A2033" s="5" t="s">
        <v>2508</v>
      </c>
      <c r="B2033" s="6" t="s">
        <v>2509</v>
      </c>
      <c r="C2033" s="7" t="s">
        <v>2505</v>
      </c>
      <c r="D2033" s="7" t="s">
        <v>2506</v>
      </c>
      <c r="E2033" s="8" t="s">
        <v>426</v>
      </c>
    </row>
    <row r="2034" spans="1:5" x14ac:dyDescent="0.25">
      <c r="A2034" s="5" t="s">
        <v>2510</v>
      </c>
      <c r="B2034" s="6" t="s">
        <v>2511</v>
      </c>
      <c r="C2034" s="7" t="s">
        <v>2505</v>
      </c>
      <c r="D2034" s="7" t="s">
        <v>2506</v>
      </c>
      <c r="E2034" s="8" t="s">
        <v>65</v>
      </c>
    </row>
    <row r="2035" spans="1:5" x14ac:dyDescent="0.25">
      <c r="A2035" s="5" t="s">
        <v>2512</v>
      </c>
      <c r="B2035" s="6" t="s">
        <v>2513</v>
      </c>
      <c r="C2035" s="7" t="s">
        <v>2505</v>
      </c>
      <c r="D2035" s="7" t="s">
        <v>2506</v>
      </c>
      <c r="E2035" s="8" t="s">
        <v>99</v>
      </c>
    </row>
    <row r="2036" spans="1:5" x14ac:dyDescent="0.25">
      <c r="A2036" s="5" t="s">
        <v>4507</v>
      </c>
      <c r="B2036" s="6" t="s">
        <v>4508</v>
      </c>
      <c r="C2036" s="7" t="s">
        <v>2505</v>
      </c>
      <c r="D2036" s="7" t="s">
        <v>2506</v>
      </c>
      <c r="E2036" s="8" t="s">
        <v>99</v>
      </c>
    </row>
    <row r="2037" spans="1:5" x14ac:dyDescent="0.25">
      <c r="A2037" s="5" t="s">
        <v>3636</v>
      </c>
      <c r="B2037" s="6" t="s">
        <v>4412</v>
      </c>
      <c r="C2037" s="7" t="s">
        <v>2505</v>
      </c>
      <c r="D2037" s="7" t="s">
        <v>2506</v>
      </c>
      <c r="E2037" s="8" t="s">
        <v>68</v>
      </c>
    </row>
    <row r="2038" spans="1:5" x14ac:dyDescent="0.25">
      <c r="A2038" s="5" t="s">
        <v>2516</v>
      </c>
      <c r="B2038" s="6" t="s">
        <v>2517</v>
      </c>
      <c r="C2038" s="7" t="s">
        <v>2505</v>
      </c>
      <c r="D2038" s="7" t="s">
        <v>2506</v>
      </c>
      <c r="E2038" s="8" t="s">
        <v>90</v>
      </c>
    </row>
    <row r="2039" spans="1:5" x14ac:dyDescent="0.25">
      <c r="A2039" s="5" t="s">
        <v>2518</v>
      </c>
      <c r="B2039" s="6" t="s">
        <v>2519</v>
      </c>
      <c r="C2039" s="7" t="s">
        <v>2505</v>
      </c>
      <c r="D2039" s="7" t="s">
        <v>2506</v>
      </c>
      <c r="E2039" s="8" t="s">
        <v>93</v>
      </c>
    </row>
    <row r="2040" spans="1:5" x14ac:dyDescent="0.25">
      <c r="A2040" s="5" t="s">
        <v>2520</v>
      </c>
      <c r="B2040" s="6" t="s">
        <v>2521</v>
      </c>
      <c r="C2040" s="7" t="s">
        <v>2505</v>
      </c>
      <c r="D2040" s="7" t="s">
        <v>2506</v>
      </c>
      <c r="E2040" s="8" t="s">
        <v>93</v>
      </c>
    </row>
    <row r="2041" spans="1:5" x14ac:dyDescent="0.25">
      <c r="A2041" s="5" t="s">
        <v>4510</v>
      </c>
      <c r="B2041" s="6" t="s">
        <v>2534</v>
      </c>
      <c r="C2041" s="7" t="s">
        <v>2505</v>
      </c>
      <c r="D2041" s="7" t="s">
        <v>2506</v>
      </c>
      <c r="E2041" s="8" t="s">
        <v>288</v>
      </c>
    </row>
    <row r="2042" spans="1:5" x14ac:dyDescent="0.25">
      <c r="A2042" s="5" t="s">
        <v>4511</v>
      </c>
      <c r="B2042" s="6" t="s">
        <v>2535</v>
      </c>
      <c r="C2042" s="7" t="s">
        <v>2505</v>
      </c>
      <c r="D2042" s="7" t="s">
        <v>2506</v>
      </c>
      <c r="E2042" s="8" t="s">
        <v>90</v>
      </c>
    </row>
    <row r="2043" spans="1:5" x14ac:dyDescent="0.25">
      <c r="A2043" s="5" t="s">
        <v>4512</v>
      </c>
      <c r="B2043" s="9" t="s">
        <v>2514</v>
      </c>
      <c r="C2043" s="7" t="s">
        <v>2505</v>
      </c>
      <c r="D2043" s="7" t="s">
        <v>2506</v>
      </c>
      <c r="E2043" s="8" t="s">
        <v>90</v>
      </c>
    </row>
    <row r="2044" spans="1:5" x14ac:dyDescent="0.25">
      <c r="A2044" s="5" t="s">
        <v>2522</v>
      </c>
      <c r="B2044" s="6" t="s">
        <v>2523</v>
      </c>
      <c r="C2044" s="7" t="s">
        <v>2505</v>
      </c>
      <c r="D2044" s="7" t="s">
        <v>2506</v>
      </c>
      <c r="E2044" s="8" t="s">
        <v>90</v>
      </c>
    </row>
    <row r="2045" spans="1:5" x14ac:dyDescent="0.25">
      <c r="A2045" s="5" t="s">
        <v>2524</v>
      </c>
      <c r="B2045" s="6" t="s">
        <v>2525</v>
      </c>
      <c r="C2045" s="7" t="s">
        <v>2505</v>
      </c>
      <c r="D2045" s="7" t="s">
        <v>2506</v>
      </c>
      <c r="E2045" s="8" t="s">
        <v>90</v>
      </c>
    </row>
    <row r="2046" spans="1:5" x14ac:dyDescent="0.25">
      <c r="A2046" s="5" t="s">
        <v>4516</v>
      </c>
      <c r="B2046" s="6" t="s">
        <v>2515</v>
      </c>
      <c r="C2046" s="7" t="s">
        <v>2505</v>
      </c>
      <c r="D2046" s="7" t="s">
        <v>2506</v>
      </c>
      <c r="E2046" s="8" t="s">
        <v>90</v>
      </c>
    </row>
    <row r="2047" spans="1:5" x14ac:dyDescent="0.25">
      <c r="A2047" s="5" t="s">
        <v>4517</v>
      </c>
      <c r="B2047" s="6" t="s">
        <v>2536</v>
      </c>
      <c r="C2047" s="7" t="s">
        <v>2505</v>
      </c>
      <c r="D2047" s="7" t="s">
        <v>2506</v>
      </c>
      <c r="E2047" s="8" t="s">
        <v>90</v>
      </c>
    </row>
    <row r="2048" spans="1:5" x14ac:dyDescent="0.25">
      <c r="A2048" s="5" t="s">
        <v>2526</v>
      </c>
      <c r="B2048" s="6" t="s">
        <v>2527</v>
      </c>
      <c r="C2048" s="7" t="s">
        <v>2505</v>
      </c>
      <c r="D2048" s="7" t="s">
        <v>2506</v>
      </c>
      <c r="E2048" s="8" t="s">
        <v>288</v>
      </c>
    </row>
    <row r="2049" spans="1:5" x14ac:dyDescent="0.25">
      <c r="A2049" s="5" t="s">
        <v>2528</v>
      </c>
      <c r="B2049" s="6" t="s">
        <v>2529</v>
      </c>
      <c r="C2049" s="7" t="s">
        <v>2505</v>
      </c>
      <c r="D2049" s="7" t="s">
        <v>2506</v>
      </c>
      <c r="E2049" s="8" t="s">
        <v>288</v>
      </c>
    </row>
    <row r="2050" spans="1:5" x14ac:dyDescent="0.25">
      <c r="A2050" s="5" t="s">
        <v>2530</v>
      </c>
      <c r="B2050" s="6" t="s">
        <v>2531</v>
      </c>
      <c r="C2050" s="7" t="s">
        <v>2505</v>
      </c>
      <c r="D2050" s="7" t="s">
        <v>2506</v>
      </c>
      <c r="E2050" s="8" t="s">
        <v>288</v>
      </c>
    </row>
    <row r="2051" spans="1:5" x14ac:dyDescent="0.25">
      <c r="A2051" s="5" t="s">
        <v>2532</v>
      </c>
      <c r="B2051" s="6" t="s">
        <v>2533</v>
      </c>
      <c r="C2051" s="7" t="s">
        <v>2505</v>
      </c>
      <c r="D2051" s="7" t="s">
        <v>2506</v>
      </c>
      <c r="E2051" s="8" t="s">
        <v>288</v>
      </c>
    </row>
    <row r="2052" spans="1:5" x14ac:dyDescent="0.25">
      <c r="A2052" s="5" t="s">
        <v>2537</v>
      </c>
      <c r="B2052" s="6" t="s">
        <v>2538</v>
      </c>
      <c r="C2052" s="7" t="s">
        <v>2505</v>
      </c>
      <c r="D2052" s="7" t="s">
        <v>2506</v>
      </c>
      <c r="E2052" s="8" t="s">
        <v>68</v>
      </c>
    </row>
    <row r="2053" spans="1:5" x14ac:dyDescent="0.25">
      <c r="A2053" s="5" t="s">
        <v>2539</v>
      </c>
      <c r="B2053" s="6" t="s">
        <v>2540</v>
      </c>
      <c r="C2053" s="7" t="s">
        <v>2505</v>
      </c>
      <c r="D2053" s="7" t="s">
        <v>2506</v>
      </c>
      <c r="E2053" s="8" t="s">
        <v>65</v>
      </c>
    </row>
    <row r="2054" spans="1:5" x14ac:dyDescent="0.25">
      <c r="A2054" s="5" t="s">
        <v>4520</v>
      </c>
      <c r="B2054" s="6" t="s">
        <v>4521</v>
      </c>
      <c r="C2054" s="7" t="s">
        <v>2505</v>
      </c>
      <c r="D2054" s="7" t="s">
        <v>2506</v>
      </c>
      <c r="E2054" s="8" t="s">
        <v>68</v>
      </c>
    </row>
    <row r="2055" spans="1:5" x14ac:dyDescent="0.25">
      <c r="A2055" s="5" t="s">
        <v>2541</v>
      </c>
      <c r="B2055" s="6" t="s">
        <v>2542</v>
      </c>
      <c r="C2055" s="7" t="s">
        <v>2505</v>
      </c>
      <c r="D2055" s="7" t="s">
        <v>2506</v>
      </c>
      <c r="E2055" s="8" t="s">
        <v>288</v>
      </c>
    </row>
    <row r="2056" spans="1:5" x14ac:dyDescent="0.25">
      <c r="A2056" s="5" t="s">
        <v>2543</v>
      </c>
      <c r="B2056" s="6" t="s">
        <v>2544</v>
      </c>
      <c r="C2056" s="7" t="s">
        <v>2505</v>
      </c>
      <c r="D2056" s="7" t="s">
        <v>2506</v>
      </c>
      <c r="E2056" s="8" t="s">
        <v>68</v>
      </c>
    </row>
    <row r="2057" spans="1:5" x14ac:dyDescent="0.25">
      <c r="A2057" s="5" t="s">
        <v>2545</v>
      </c>
      <c r="B2057" s="6" t="s">
        <v>2546</v>
      </c>
      <c r="C2057" s="7" t="s">
        <v>2505</v>
      </c>
      <c r="D2057" s="7" t="s">
        <v>2506</v>
      </c>
      <c r="E2057" s="8" t="s">
        <v>65</v>
      </c>
    </row>
    <row r="2058" spans="1:5" x14ac:dyDescent="0.25">
      <c r="A2058" s="5" t="s">
        <v>2547</v>
      </c>
      <c r="B2058" s="6" t="s">
        <v>2548</v>
      </c>
      <c r="C2058" s="7" t="s">
        <v>2505</v>
      </c>
      <c r="D2058" s="7" t="s">
        <v>2506</v>
      </c>
      <c r="E2058" s="8" t="s">
        <v>68</v>
      </c>
    </row>
    <row r="2059" spans="1:5" x14ac:dyDescent="0.25">
      <c r="A2059" s="5" t="s">
        <v>2549</v>
      </c>
      <c r="B2059" s="6" t="s">
        <v>2550</v>
      </c>
      <c r="C2059" s="7" t="s">
        <v>2505</v>
      </c>
      <c r="D2059" s="7" t="s">
        <v>2506</v>
      </c>
      <c r="E2059" s="8" t="s">
        <v>68</v>
      </c>
    </row>
    <row r="2060" spans="1:5" x14ac:dyDescent="0.25">
      <c r="A2060" s="5" t="s">
        <v>2551</v>
      </c>
      <c r="B2060" s="6" t="s">
        <v>2552</v>
      </c>
      <c r="C2060" s="7" t="s">
        <v>2505</v>
      </c>
      <c r="D2060" s="7" t="s">
        <v>2506</v>
      </c>
      <c r="E2060" s="8" t="s">
        <v>99</v>
      </c>
    </row>
    <row r="2061" spans="1:5" x14ac:dyDescent="0.25">
      <c r="A2061" s="5" t="s">
        <v>2553</v>
      </c>
      <c r="B2061" s="6" t="s">
        <v>2554</v>
      </c>
      <c r="C2061" s="7" t="s">
        <v>2505</v>
      </c>
      <c r="D2061" s="7" t="s">
        <v>2506</v>
      </c>
      <c r="E2061" s="8" t="s">
        <v>68</v>
      </c>
    </row>
    <row r="2062" spans="1:5" x14ac:dyDescent="0.25">
      <c r="A2062" s="5" t="s">
        <v>2555</v>
      </c>
      <c r="B2062" s="6" t="s">
        <v>2556</v>
      </c>
      <c r="C2062" s="7" t="s">
        <v>2505</v>
      </c>
      <c r="D2062" s="7" t="s">
        <v>2506</v>
      </c>
      <c r="E2062" s="8" t="s">
        <v>68</v>
      </c>
    </row>
    <row r="2063" spans="1:5" x14ac:dyDescent="0.25">
      <c r="A2063" s="5" t="s">
        <v>2557</v>
      </c>
      <c r="B2063" s="6" t="s">
        <v>2558</v>
      </c>
      <c r="C2063" s="7" t="s">
        <v>2505</v>
      </c>
      <c r="D2063" s="7" t="s">
        <v>2506</v>
      </c>
      <c r="E2063" s="8" t="s">
        <v>65</v>
      </c>
    </row>
    <row r="2064" spans="1:5" x14ac:dyDescent="0.25">
      <c r="A2064" s="5" t="s">
        <v>2559</v>
      </c>
      <c r="B2064" s="6" t="s">
        <v>2560</v>
      </c>
      <c r="C2064" s="7" t="s">
        <v>2505</v>
      </c>
      <c r="D2064" s="7" t="s">
        <v>2506</v>
      </c>
      <c r="E2064" s="8" t="s">
        <v>65</v>
      </c>
    </row>
    <row r="2065" spans="1:5" x14ac:dyDescent="0.25">
      <c r="A2065" s="5" t="s">
        <v>2561</v>
      </c>
      <c r="B2065" s="6" t="s">
        <v>2562</v>
      </c>
      <c r="C2065" s="7" t="s">
        <v>2505</v>
      </c>
      <c r="D2065" s="7" t="s">
        <v>2506</v>
      </c>
      <c r="E2065" s="8" t="s">
        <v>87</v>
      </c>
    </row>
    <row r="2066" spans="1:5" x14ac:dyDescent="0.25">
      <c r="A2066" s="5" t="s">
        <v>2563</v>
      </c>
      <c r="B2066" s="6" t="s">
        <v>2564</v>
      </c>
      <c r="C2066" s="7" t="s">
        <v>2505</v>
      </c>
      <c r="D2066" s="7" t="s">
        <v>2506</v>
      </c>
      <c r="E2066" s="8" t="s">
        <v>65</v>
      </c>
    </row>
    <row r="2067" spans="1:5" x14ac:dyDescent="0.25">
      <c r="A2067" s="5" t="s">
        <v>2565</v>
      </c>
      <c r="B2067" s="6" t="s">
        <v>2566</v>
      </c>
      <c r="C2067" s="7" t="s">
        <v>2505</v>
      </c>
      <c r="D2067" s="7" t="s">
        <v>2506</v>
      </c>
      <c r="E2067" s="8" t="s">
        <v>65</v>
      </c>
    </row>
    <row r="2068" spans="1:5" x14ac:dyDescent="0.25">
      <c r="A2068" s="5" t="s">
        <v>2567</v>
      </c>
      <c r="B2068" s="6" t="s">
        <v>2568</v>
      </c>
      <c r="C2068" s="7" t="s">
        <v>2505</v>
      </c>
      <c r="D2068" s="7" t="s">
        <v>2506</v>
      </c>
      <c r="E2068" s="8" t="s">
        <v>65</v>
      </c>
    </row>
    <row r="2069" spans="1:5" x14ac:dyDescent="0.25">
      <c r="A2069" s="5" t="s">
        <v>2569</v>
      </c>
      <c r="B2069" s="6" t="s">
        <v>2570</v>
      </c>
      <c r="C2069" s="7" t="s">
        <v>2505</v>
      </c>
      <c r="D2069" s="7" t="s">
        <v>2506</v>
      </c>
      <c r="E2069" s="8" t="s">
        <v>68</v>
      </c>
    </row>
    <row r="2070" spans="1:5" x14ac:dyDescent="0.25">
      <c r="A2070" s="5" t="s">
        <v>2571</v>
      </c>
      <c r="B2070" s="6" t="s">
        <v>2572</v>
      </c>
      <c r="C2070" s="7" t="s">
        <v>2505</v>
      </c>
      <c r="D2070" s="7" t="s">
        <v>2506</v>
      </c>
      <c r="E2070" s="8" t="s">
        <v>90</v>
      </c>
    </row>
    <row r="2071" spans="1:5" x14ac:dyDescent="0.25">
      <c r="A2071" s="5" t="s">
        <v>2573</v>
      </c>
      <c r="B2071" s="6" t="s">
        <v>2574</v>
      </c>
      <c r="C2071" s="7" t="s">
        <v>2505</v>
      </c>
      <c r="D2071" s="7" t="s">
        <v>2506</v>
      </c>
      <c r="E2071" s="8" t="s">
        <v>426</v>
      </c>
    </row>
    <row r="2072" spans="1:5" x14ac:dyDescent="0.25">
      <c r="A2072" s="5" t="s">
        <v>2575</v>
      </c>
      <c r="B2072" s="6" t="s">
        <v>2576</v>
      </c>
      <c r="C2072" s="7" t="s">
        <v>2505</v>
      </c>
      <c r="D2072" s="7" t="s">
        <v>2506</v>
      </c>
      <c r="E2072" s="8" t="s">
        <v>68</v>
      </c>
    </row>
    <row r="2073" spans="1:5" x14ac:dyDescent="0.25">
      <c r="A2073" s="5" t="s">
        <v>2577</v>
      </c>
      <c r="B2073" s="6" t="s">
        <v>2578</v>
      </c>
      <c r="C2073" s="7" t="s">
        <v>2505</v>
      </c>
      <c r="D2073" s="7" t="s">
        <v>2506</v>
      </c>
      <c r="E2073" s="8" t="s">
        <v>68</v>
      </c>
    </row>
    <row r="2074" spans="1:5" x14ac:dyDescent="0.25">
      <c r="A2074" s="5" t="s">
        <v>2579</v>
      </c>
      <c r="B2074" s="6" t="s">
        <v>2580</v>
      </c>
      <c r="C2074" s="7" t="s">
        <v>2505</v>
      </c>
      <c r="D2074" s="7" t="s">
        <v>2506</v>
      </c>
      <c r="E2074" s="8" t="s">
        <v>65</v>
      </c>
    </row>
    <row r="2075" spans="1:5" x14ac:dyDescent="0.25">
      <c r="A2075" s="5" t="s">
        <v>2581</v>
      </c>
      <c r="B2075" s="6" t="s">
        <v>2582</v>
      </c>
      <c r="C2075" s="7" t="s">
        <v>2505</v>
      </c>
      <c r="D2075" s="7" t="s">
        <v>2506</v>
      </c>
      <c r="E2075" s="8" t="s">
        <v>68</v>
      </c>
    </row>
    <row r="2076" spans="1:5" x14ac:dyDescent="0.25">
      <c r="A2076" s="5" t="s">
        <v>2583</v>
      </c>
      <c r="B2076" s="6" t="s">
        <v>2584</v>
      </c>
      <c r="C2076" s="7" t="s">
        <v>2505</v>
      </c>
      <c r="D2076" s="7" t="s">
        <v>2506</v>
      </c>
      <c r="E2076" s="8" t="s">
        <v>288</v>
      </c>
    </row>
    <row r="2077" spans="1:5" x14ac:dyDescent="0.25">
      <c r="A2077" s="5" t="s">
        <v>2585</v>
      </c>
      <c r="B2077" s="6" t="s">
        <v>2586</v>
      </c>
      <c r="C2077" s="7" t="s">
        <v>2505</v>
      </c>
      <c r="D2077" s="7" t="s">
        <v>2506</v>
      </c>
      <c r="E2077" s="8" t="s">
        <v>65</v>
      </c>
    </row>
    <row r="2078" spans="1:5" x14ac:dyDescent="0.25">
      <c r="A2078" s="5" t="s">
        <v>2587</v>
      </c>
      <c r="B2078" s="6" t="s">
        <v>2588</v>
      </c>
      <c r="C2078" s="7" t="s">
        <v>2505</v>
      </c>
      <c r="D2078" s="7" t="s">
        <v>2506</v>
      </c>
      <c r="E2078" s="8" t="s">
        <v>426</v>
      </c>
    </row>
    <row r="2079" spans="1:5" x14ac:dyDescent="0.25">
      <c r="A2079" s="5" t="s">
        <v>2589</v>
      </c>
      <c r="B2079" s="6" t="s">
        <v>2590</v>
      </c>
      <c r="C2079" s="7" t="s">
        <v>2505</v>
      </c>
      <c r="D2079" s="7" t="s">
        <v>2506</v>
      </c>
      <c r="E2079" s="8" t="s">
        <v>87</v>
      </c>
    </row>
    <row r="2080" spans="1:5" x14ac:dyDescent="0.25">
      <c r="A2080" s="5" t="s">
        <v>2591</v>
      </c>
      <c r="B2080" s="6" t="s">
        <v>2592</v>
      </c>
      <c r="C2080" s="7" t="s">
        <v>2505</v>
      </c>
      <c r="D2080" s="7" t="s">
        <v>2506</v>
      </c>
      <c r="E2080" s="8" t="s">
        <v>99</v>
      </c>
    </row>
    <row r="2081" spans="1:5" x14ac:dyDescent="0.25">
      <c r="A2081" s="5" t="s">
        <v>2593</v>
      </c>
      <c r="B2081" s="6" t="s">
        <v>2594</v>
      </c>
      <c r="C2081" s="7" t="s">
        <v>2505</v>
      </c>
      <c r="D2081" s="7" t="s">
        <v>2506</v>
      </c>
      <c r="E2081" s="8" t="s">
        <v>87</v>
      </c>
    </row>
    <row r="2082" spans="1:5" x14ac:dyDescent="0.25">
      <c r="A2082" s="5" t="s">
        <v>2595</v>
      </c>
      <c r="B2082" s="6" t="s">
        <v>2596</v>
      </c>
      <c r="C2082" s="7" t="s">
        <v>2505</v>
      </c>
      <c r="D2082" s="7" t="s">
        <v>2506</v>
      </c>
      <c r="E2082" s="8" t="s">
        <v>573</v>
      </c>
    </row>
    <row r="2083" spans="1:5" x14ac:dyDescent="0.25">
      <c r="A2083" s="5" t="s">
        <v>2597</v>
      </c>
      <c r="B2083" s="6" t="s">
        <v>2598</v>
      </c>
      <c r="C2083" s="7" t="s">
        <v>2505</v>
      </c>
      <c r="D2083" s="7" t="s">
        <v>2506</v>
      </c>
      <c r="E2083" s="8" t="s">
        <v>426</v>
      </c>
    </row>
    <row r="2084" spans="1:5" x14ac:dyDescent="0.25">
      <c r="A2084" s="5" t="s">
        <v>2599</v>
      </c>
      <c r="B2084" s="6" t="s">
        <v>2600</v>
      </c>
      <c r="C2084" s="7" t="s">
        <v>2505</v>
      </c>
      <c r="D2084" s="7" t="s">
        <v>2506</v>
      </c>
      <c r="E2084" s="8" t="s">
        <v>65</v>
      </c>
    </row>
    <row r="2085" spans="1:5" x14ac:dyDescent="0.25">
      <c r="A2085" s="5" t="s">
        <v>2601</v>
      </c>
      <c r="B2085" s="6" t="s">
        <v>2602</v>
      </c>
      <c r="C2085" s="7" t="s">
        <v>2505</v>
      </c>
      <c r="D2085" s="7" t="s">
        <v>2506</v>
      </c>
      <c r="E2085" s="8" t="s">
        <v>90</v>
      </c>
    </row>
    <row r="2086" spans="1:5" x14ac:dyDescent="0.25">
      <c r="A2086" s="5" t="s">
        <v>2603</v>
      </c>
      <c r="B2086" s="6" t="s">
        <v>2604</v>
      </c>
      <c r="C2086" s="7" t="s">
        <v>2505</v>
      </c>
      <c r="D2086" s="7" t="s">
        <v>2506</v>
      </c>
      <c r="E2086" s="8" t="s">
        <v>65</v>
      </c>
    </row>
    <row r="2087" spans="1:5" x14ac:dyDescent="0.25">
      <c r="A2087" s="5" t="s">
        <v>2620</v>
      </c>
      <c r="B2087" s="6" t="s">
        <v>2621</v>
      </c>
      <c r="C2087" s="7" t="s">
        <v>2505</v>
      </c>
      <c r="D2087" s="7" t="s">
        <v>2506</v>
      </c>
      <c r="E2087" s="8" t="s">
        <v>87</v>
      </c>
    </row>
    <row r="2088" spans="1:5" x14ac:dyDescent="0.25">
      <c r="A2088" s="5" t="s">
        <v>2622</v>
      </c>
      <c r="B2088" s="6" t="s">
        <v>2623</v>
      </c>
      <c r="C2088" s="7" t="s">
        <v>2505</v>
      </c>
      <c r="D2088" s="7" t="s">
        <v>2506</v>
      </c>
      <c r="E2088" s="8" t="s">
        <v>90</v>
      </c>
    </row>
    <row r="2089" spans="1:5" x14ac:dyDescent="0.25">
      <c r="A2089" s="5" t="s">
        <v>3638</v>
      </c>
      <c r="B2089" s="6" t="s">
        <v>4414</v>
      </c>
      <c r="C2089" s="7" t="s">
        <v>2505</v>
      </c>
      <c r="D2089" s="7" t="s">
        <v>2506</v>
      </c>
      <c r="E2089" s="8" t="s">
        <v>87</v>
      </c>
    </row>
    <row r="2090" spans="1:5" x14ac:dyDescent="0.25">
      <c r="A2090" s="5" t="s">
        <v>2624</v>
      </c>
      <c r="B2090" s="6" t="s">
        <v>2625</v>
      </c>
      <c r="C2090" s="7" t="s">
        <v>2505</v>
      </c>
      <c r="D2090" s="7" t="s">
        <v>2506</v>
      </c>
      <c r="E2090" s="8" t="s">
        <v>288</v>
      </c>
    </row>
    <row r="2091" spans="1:5" x14ac:dyDescent="0.25">
      <c r="A2091" s="5" t="s">
        <v>2605</v>
      </c>
      <c r="B2091" s="6" t="s">
        <v>2606</v>
      </c>
      <c r="C2091" s="7" t="s">
        <v>2505</v>
      </c>
      <c r="D2091" s="7" t="s">
        <v>2506</v>
      </c>
      <c r="E2091" s="8" t="s">
        <v>68</v>
      </c>
    </row>
    <row r="2092" spans="1:5" x14ac:dyDescent="0.25">
      <c r="A2092" s="5" t="s">
        <v>2607</v>
      </c>
      <c r="B2092" s="6" t="s">
        <v>2608</v>
      </c>
      <c r="C2092" s="7" t="s">
        <v>2505</v>
      </c>
      <c r="D2092" s="7" t="s">
        <v>2506</v>
      </c>
      <c r="E2092" s="8" t="s">
        <v>288</v>
      </c>
    </row>
    <row r="2093" spans="1:5" x14ac:dyDescent="0.25">
      <c r="A2093" s="5" t="s">
        <v>3330</v>
      </c>
      <c r="B2093" s="6" t="s">
        <v>2609</v>
      </c>
      <c r="C2093" s="7" t="s">
        <v>2505</v>
      </c>
      <c r="D2093" s="7" t="s">
        <v>2506</v>
      </c>
      <c r="E2093" s="8" t="s">
        <v>65</v>
      </c>
    </row>
    <row r="2094" spans="1:5" x14ac:dyDescent="0.25">
      <c r="A2094" s="5" t="s">
        <v>2610</v>
      </c>
      <c r="B2094" s="6" t="s">
        <v>2611</v>
      </c>
      <c r="C2094" s="7" t="s">
        <v>2505</v>
      </c>
      <c r="D2094" s="7" t="s">
        <v>2506</v>
      </c>
      <c r="E2094" s="8" t="s">
        <v>68</v>
      </c>
    </row>
    <row r="2095" spans="1:5" x14ac:dyDescent="0.25">
      <c r="A2095" s="5" t="s">
        <v>2612</v>
      </c>
      <c r="B2095" s="6" t="s">
        <v>2613</v>
      </c>
      <c r="C2095" s="7" t="s">
        <v>2505</v>
      </c>
      <c r="D2095" s="7" t="s">
        <v>2506</v>
      </c>
      <c r="E2095" s="8" t="s">
        <v>573</v>
      </c>
    </row>
    <row r="2096" spans="1:5" x14ac:dyDescent="0.25">
      <c r="A2096" s="5" t="s">
        <v>2614</v>
      </c>
      <c r="B2096" s="6" t="s">
        <v>2615</v>
      </c>
      <c r="C2096" s="7" t="s">
        <v>2505</v>
      </c>
      <c r="D2096" s="7" t="s">
        <v>2506</v>
      </c>
      <c r="E2096" s="8" t="s">
        <v>93</v>
      </c>
    </row>
    <row r="2097" spans="1:5" x14ac:dyDescent="0.25">
      <c r="A2097" s="5" t="s">
        <v>4532</v>
      </c>
      <c r="B2097" s="6" t="s">
        <v>4533</v>
      </c>
      <c r="C2097" s="7" t="s">
        <v>2505</v>
      </c>
      <c r="D2097" s="7" t="s">
        <v>2506</v>
      </c>
      <c r="E2097" s="8" t="s">
        <v>68</v>
      </c>
    </row>
    <row r="2098" spans="1:5" x14ac:dyDescent="0.25">
      <c r="A2098" s="12" t="s">
        <v>2616</v>
      </c>
      <c r="B2098" s="6" t="s">
        <v>2617</v>
      </c>
      <c r="C2098" s="13" t="s">
        <v>2505</v>
      </c>
      <c r="D2098" s="13" t="s">
        <v>2506</v>
      </c>
      <c r="E2098" s="8" t="s">
        <v>288</v>
      </c>
    </row>
    <row r="2099" spans="1:5" x14ac:dyDescent="0.25">
      <c r="A2099" s="5" t="s">
        <v>2618</v>
      </c>
      <c r="B2099" s="6" t="s">
        <v>2619</v>
      </c>
      <c r="C2099" s="7" t="s">
        <v>2505</v>
      </c>
      <c r="D2099" s="7" t="s">
        <v>2506</v>
      </c>
      <c r="E2099" s="8" t="s">
        <v>87</v>
      </c>
    </row>
    <row r="2100" spans="1:5" x14ac:dyDescent="0.25">
      <c r="A2100" s="5" t="s">
        <v>2626</v>
      </c>
      <c r="B2100" s="6" t="s">
        <v>2627</v>
      </c>
      <c r="C2100" s="7" t="s">
        <v>2505</v>
      </c>
      <c r="D2100" s="7" t="s">
        <v>2506</v>
      </c>
      <c r="E2100" s="8" t="s">
        <v>65</v>
      </c>
    </row>
    <row r="2101" spans="1:5" x14ac:dyDescent="0.25">
      <c r="A2101" s="5" t="s">
        <v>2628</v>
      </c>
      <c r="B2101" s="6" t="s">
        <v>2629</v>
      </c>
      <c r="C2101" s="7" t="s">
        <v>2505</v>
      </c>
      <c r="D2101" s="7" t="s">
        <v>2506</v>
      </c>
      <c r="E2101" s="8" t="s">
        <v>65</v>
      </c>
    </row>
    <row r="2102" spans="1:5" x14ac:dyDescent="0.25">
      <c r="A2102" s="5" t="s">
        <v>2630</v>
      </c>
      <c r="B2102" s="6" t="s">
        <v>2631</v>
      </c>
      <c r="C2102" s="7" t="s">
        <v>2505</v>
      </c>
      <c r="D2102" s="7" t="s">
        <v>2506</v>
      </c>
      <c r="E2102" s="8" t="s">
        <v>65</v>
      </c>
    </row>
    <row r="2103" spans="1:5" x14ac:dyDescent="0.25">
      <c r="A2103" s="5" t="s">
        <v>2632</v>
      </c>
      <c r="B2103" s="6" t="s">
        <v>2633</v>
      </c>
      <c r="C2103" s="7" t="s">
        <v>2505</v>
      </c>
      <c r="D2103" s="7" t="s">
        <v>2506</v>
      </c>
      <c r="E2103" s="8" t="s">
        <v>87</v>
      </c>
    </row>
    <row r="2104" spans="1:5" x14ac:dyDescent="0.25">
      <c r="A2104" s="5" t="s">
        <v>2634</v>
      </c>
      <c r="B2104" s="6" t="s">
        <v>2635</v>
      </c>
      <c r="C2104" s="7" t="s">
        <v>2505</v>
      </c>
      <c r="D2104" s="7" t="s">
        <v>2506</v>
      </c>
      <c r="E2104" s="8" t="s">
        <v>93</v>
      </c>
    </row>
    <row r="2105" spans="1:5" x14ac:dyDescent="0.25">
      <c r="A2105" s="5" t="s">
        <v>2636</v>
      </c>
      <c r="B2105" s="6" t="s">
        <v>2637</v>
      </c>
      <c r="C2105" s="7" t="s">
        <v>2505</v>
      </c>
      <c r="D2105" s="7" t="s">
        <v>2506</v>
      </c>
      <c r="E2105" s="8" t="s">
        <v>93</v>
      </c>
    </row>
    <row r="2106" spans="1:5" x14ac:dyDescent="0.25">
      <c r="A2106" s="5" t="s">
        <v>2638</v>
      </c>
      <c r="B2106" s="6" t="s">
        <v>2639</v>
      </c>
      <c r="C2106" s="7" t="s">
        <v>2505</v>
      </c>
      <c r="D2106" s="7" t="s">
        <v>2506</v>
      </c>
      <c r="E2106" s="8" t="s">
        <v>288</v>
      </c>
    </row>
    <row r="2107" spans="1:5" x14ac:dyDescent="0.25">
      <c r="A2107" s="5" t="s">
        <v>2640</v>
      </c>
      <c r="B2107" s="6" t="s">
        <v>2641</v>
      </c>
      <c r="C2107" s="7" t="s">
        <v>2505</v>
      </c>
      <c r="D2107" s="7" t="s">
        <v>2506</v>
      </c>
      <c r="E2107" s="8" t="s">
        <v>426</v>
      </c>
    </row>
    <row r="2108" spans="1:5" x14ac:dyDescent="0.25">
      <c r="A2108" s="5" t="s">
        <v>2642</v>
      </c>
      <c r="B2108" s="6" t="s">
        <v>2643</v>
      </c>
      <c r="C2108" s="7" t="s">
        <v>2505</v>
      </c>
      <c r="D2108" s="7" t="s">
        <v>2506</v>
      </c>
      <c r="E2108" s="8" t="s">
        <v>288</v>
      </c>
    </row>
    <row r="2109" spans="1:5" x14ac:dyDescent="0.25">
      <c r="A2109" s="5" t="s">
        <v>2644</v>
      </c>
      <c r="B2109" s="6" t="s">
        <v>2645</v>
      </c>
      <c r="C2109" s="7" t="s">
        <v>2505</v>
      </c>
      <c r="D2109" s="7" t="s">
        <v>2506</v>
      </c>
      <c r="E2109" s="8" t="s">
        <v>87</v>
      </c>
    </row>
    <row r="2110" spans="1:5" x14ac:dyDescent="0.25">
      <c r="A2110" s="5" t="s">
        <v>4541</v>
      </c>
      <c r="B2110" s="6" t="s">
        <v>4542</v>
      </c>
      <c r="C2110" s="7" t="s">
        <v>2505</v>
      </c>
      <c r="D2110" s="7" t="s">
        <v>2506</v>
      </c>
      <c r="E2110" s="8" t="s">
        <v>65</v>
      </c>
    </row>
    <row r="2111" spans="1:5" x14ac:dyDescent="0.25">
      <c r="A2111" s="5" t="s">
        <v>4543</v>
      </c>
      <c r="B2111" s="6" t="s">
        <v>4544</v>
      </c>
      <c r="C2111" s="7" t="s">
        <v>2505</v>
      </c>
      <c r="D2111" s="7" t="s">
        <v>2506</v>
      </c>
      <c r="E2111" s="8" t="s">
        <v>87</v>
      </c>
    </row>
    <row r="2112" spans="1:5" x14ac:dyDescent="0.25">
      <c r="A2112" s="5" t="s">
        <v>2646</v>
      </c>
      <c r="B2112" s="6" t="s">
        <v>2647</v>
      </c>
      <c r="C2112" s="7" t="s">
        <v>2505</v>
      </c>
      <c r="D2112" s="7" t="s">
        <v>2506</v>
      </c>
      <c r="E2112" s="8" t="s">
        <v>90</v>
      </c>
    </row>
    <row r="2113" spans="1:5" x14ac:dyDescent="0.25">
      <c r="A2113" s="5" t="s">
        <v>2648</v>
      </c>
      <c r="B2113" s="6" t="s">
        <v>2649</v>
      </c>
      <c r="C2113" s="7" t="s">
        <v>2505</v>
      </c>
      <c r="D2113" s="7" t="s">
        <v>2506</v>
      </c>
      <c r="E2113" s="8" t="s">
        <v>68</v>
      </c>
    </row>
    <row r="2114" spans="1:5" x14ac:dyDescent="0.25">
      <c r="A2114" s="5" t="s">
        <v>2650</v>
      </c>
      <c r="B2114" s="6" t="s">
        <v>2651</v>
      </c>
      <c r="C2114" s="7" t="s">
        <v>2505</v>
      </c>
      <c r="D2114" s="7" t="s">
        <v>2506</v>
      </c>
      <c r="E2114" s="8" t="s">
        <v>99</v>
      </c>
    </row>
    <row r="2115" spans="1:5" x14ac:dyDescent="0.25">
      <c r="A2115" s="12" t="s">
        <v>2652</v>
      </c>
      <c r="B2115" s="6" t="s">
        <v>2653</v>
      </c>
      <c r="C2115" s="13" t="s">
        <v>2505</v>
      </c>
      <c r="D2115" s="13" t="s">
        <v>2506</v>
      </c>
      <c r="E2115" s="8" t="s">
        <v>426</v>
      </c>
    </row>
    <row r="2116" spans="1:5" x14ac:dyDescent="0.25">
      <c r="A2116" s="12" t="s">
        <v>2654</v>
      </c>
      <c r="B2116" s="6" t="s">
        <v>2655</v>
      </c>
      <c r="C2116" s="13" t="s">
        <v>2505</v>
      </c>
      <c r="D2116" s="13" t="s">
        <v>2506</v>
      </c>
      <c r="E2116" s="8" t="s">
        <v>426</v>
      </c>
    </row>
    <row r="2117" spans="1:5" x14ac:dyDescent="0.25">
      <c r="A2117" s="12" t="s">
        <v>2656</v>
      </c>
      <c r="B2117" s="6" t="s">
        <v>2657</v>
      </c>
      <c r="C2117" s="13" t="s">
        <v>2505</v>
      </c>
      <c r="D2117" s="13" t="s">
        <v>2506</v>
      </c>
      <c r="E2117" s="8" t="s">
        <v>288</v>
      </c>
    </row>
    <row r="2118" spans="1:5" x14ac:dyDescent="0.25">
      <c r="A2118" s="5" t="s">
        <v>2658</v>
      </c>
      <c r="B2118" s="6" t="s">
        <v>2659</v>
      </c>
      <c r="C2118" s="7" t="s">
        <v>2505</v>
      </c>
      <c r="D2118" s="7" t="s">
        <v>2506</v>
      </c>
      <c r="E2118" s="8" t="s">
        <v>68</v>
      </c>
    </row>
    <row r="2119" spans="1:5" x14ac:dyDescent="0.25">
      <c r="A2119" s="5" t="s">
        <v>2660</v>
      </c>
      <c r="B2119" s="6" t="s">
        <v>2661</v>
      </c>
      <c r="C2119" s="7" t="s">
        <v>2505</v>
      </c>
      <c r="D2119" s="7" t="s">
        <v>2506</v>
      </c>
      <c r="E2119" s="8" t="s">
        <v>288</v>
      </c>
    </row>
    <row r="2120" spans="1:5" x14ac:dyDescent="0.25">
      <c r="A2120" s="5" t="s">
        <v>2662</v>
      </c>
      <c r="B2120" s="6" t="s">
        <v>2663</v>
      </c>
      <c r="C2120" s="7" t="s">
        <v>2505</v>
      </c>
      <c r="D2120" s="7" t="s">
        <v>2506</v>
      </c>
      <c r="E2120" s="8" t="s">
        <v>426</v>
      </c>
    </row>
    <row r="2121" spans="1:5" x14ac:dyDescent="0.25">
      <c r="A2121" s="5" t="s">
        <v>3637</v>
      </c>
      <c r="B2121" s="6" t="s">
        <v>4413</v>
      </c>
      <c r="C2121" s="7" t="s">
        <v>2505</v>
      </c>
      <c r="D2121" s="7" t="s">
        <v>2506</v>
      </c>
      <c r="E2121" s="8" t="s">
        <v>426</v>
      </c>
    </row>
    <row r="2122" spans="1:5" x14ac:dyDescent="0.25">
      <c r="A2122" s="5" t="s">
        <v>4549</v>
      </c>
      <c r="B2122" s="6" t="s">
        <v>4550</v>
      </c>
      <c r="C2122" s="7" t="s">
        <v>2505</v>
      </c>
      <c r="D2122" s="7" t="s">
        <v>2506</v>
      </c>
      <c r="E2122" s="8" t="s">
        <v>99</v>
      </c>
    </row>
    <row r="2123" spans="1:5" x14ac:dyDescent="0.25">
      <c r="A2123" s="5" t="s">
        <v>2664</v>
      </c>
      <c r="B2123" s="6" t="s">
        <v>2665</v>
      </c>
      <c r="C2123" s="7" t="s">
        <v>2505</v>
      </c>
      <c r="D2123" s="7" t="s">
        <v>2506</v>
      </c>
      <c r="E2123" s="8" t="s">
        <v>426</v>
      </c>
    </row>
    <row r="2124" spans="1:5" x14ac:dyDescent="0.25">
      <c r="A2124" s="5" t="s">
        <v>2666</v>
      </c>
      <c r="B2124" s="6" t="s">
        <v>2667</v>
      </c>
      <c r="C2124" s="7" t="s">
        <v>2505</v>
      </c>
      <c r="D2124" s="7" t="s">
        <v>2506</v>
      </c>
      <c r="E2124" s="8" t="s">
        <v>68</v>
      </c>
    </row>
    <row r="2125" spans="1:5" x14ac:dyDescent="0.25">
      <c r="A2125" s="5" t="s">
        <v>2668</v>
      </c>
      <c r="B2125" s="6" t="s">
        <v>2669</v>
      </c>
      <c r="C2125" s="7" t="s">
        <v>2505</v>
      </c>
      <c r="D2125" s="7" t="s">
        <v>321</v>
      </c>
      <c r="E2125" s="8" t="s">
        <v>4455</v>
      </c>
    </row>
    <row r="2126" spans="1:5" x14ac:dyDescent="0.25">
      <c r="A2126" s="5" t="s">
        <v>3635</v>
      </c>
      <c r="B2126" s="6" t="s">
        <v>4411</v>
      </c>
      <c r="C2126" s="7" t="s">
        <v>2505</v>
      </c>
      <c r="D2126" s="7" t="s">
        <v>2506</v>
      </c>
      <c r="E2126" s="8" t="s">
        <v>90</v>
      </c>
    </row>
    <row r="2127" spans="1:5" x14ac:dyDescent="0.25">
      <c r="A2127" s="5" t="s">
        <v>2670</v>
      </c>
      <c r="B2127" s="6" t="s">
        <v>2671</v>
      </c>
      <c r="C2127" s="7" t="s">
        <v>2505</v>
      </c>
      <c r="D2127" s="7" t="s">
        <v>2506</v>
      </c>
      <c r="E2127" s="8" t="s">
        <v>87</v>
      </c>
    </row>
    <row r="2128" spans="1:5" x14ac:dyDescent="0.25">
      <c r="A2128" s="5" t="s">
        <v>2672</v>
      </c>
      <c r="B2128" s="6" t="s">
        <v>2673</v>
      </c>
      <c r="C2128" s="7" t="s">
        <v>2505</v>
      </c>
      <c r="D2128" s="7" t="s">
        <v>2506</v>
      </c>
      <c r="E2128" s="8" t="s">
        <v>65</v>
      </c>
    </row>
    <row r="2129" spans="1:5" x14ac:dyDescent="0.25">
      <c r="A2129" s="5" t="s">
        <v>2674</v>
      </c>
      <c r="B2129" s="6" t="s">
        <v>2675</v>
      </c>
      <c r="C2129" s="7" t="s">
        <v>2505</v>
      </c>
      <c r="D2129" s="7" t="s">
        <v>2506</v>
      </c>
      <c r="E2129" s="8" t="s">
        <v>65</v>
      </c>
    </row>
    <row r="2130" spans="1:5" x14ac:dyDescent="0.25">
      <c r="A2130" s="5" t="s">
        <v>2676</v>
      </c>
      <c r="B2130" s="6" t="s">
        <v>2677</v>
      </c>
      <c r="C2130" s="7" t="s">
        <v>2505</v>
      </c>
      <c r="D2130" s="7" t="s">
        <v>2506</v>
      </c>
      <c r="E2130" s="8" t="s">
        <v>99</v>
      </c>
    </row>
    <row r="2131" spans="1:5" x14ac:dyDescent="0.25">
      <c r="A2131" s="5" t="s">
        <v>2678</v>
      </c>
      <c r="B2131" s="6" t="s">
        <v>2679</v>
      </c>
      <c r="C2131" s="7" t="s">
        <v>2505</v>
      </c>
      <c r="D2131" s="7" t="s">
        <v>2506</v>
      </c>
      <c r="E2131" s="8" t="s">
        <v>288</v>
      </c>
    </row>
    <row r="2132" spans="1:5" x14ac:dyDescent="0.25">
      <c r="A2132" s="5" t="s">
        <v>2680</v>
      </c>
      <c r="B2132" s="6" t="s">
        <v>2681</v>
      </c>
      <c r="C2132" s="7" t="s">
        <v>2505</v>
      </c>
      <c r="D2132" s="7" t="s">
        <v>2506</v>
      </c>
      <c r="E2132" s="8" t="s">
        <v>96</v>
      </c>
    </row>
    <row r="2133" spans="1:5" x14ac:dyDescent="0.25">
      <c r="A2133" s="5" t="s">
        <v>2682</v>
      </c>
      <c r="B2133" s="6" t="s">
        <v>2683</v>
      </c>
      <c r="C2133" s="7" t="s">
        <v>2505</v>
      </c>
      <c r="D2133" s="7" t="s">
        <v>2506</v>
      </c>
      <c r="E2133" s="8" t="s">
        <v>65</v>
      </c>
    </row>
    <row r="2134" spans="1:5" x14ac:dyDescent="0.25">
      <c r="A2134" s="5" t="s">
        <v>2684</v>
      </c>
      <c r="B2134" s="6" t="s">
        <v>2685</v>
      </c>
      <c r="C2134" s="7" t="s">
        <v>2505</v>
      </c>
      <c r="D2134" s="7" t="s">
        <v>2506</v>
      </c>
      <c r="E2134" s="8" t="s">
        <v>288</v>
      </c>
    </row>
    <row r="2135" spans="1:5" x14ac:dyDescent="0.25">
      <c r="A2135" s="5" t="s">
        <v>2686</v>
      </c>
      <c r="B2135" s="6" t="s">
        <v>2687</v>
      </c>
      <c r="C2135" s="7" t="s">
        <v>2505</v>
      </c>
      <c r="D2135" s="7" t="s">
        <v>2506</v>
      </c>
      <c r="E2135" s="8" t="s">
        <v>68</v>
      </c>
    </row>
    <row r="2136" spans="1:5" x14ac:dyDescent="0.25">
      <c r="A2136" s="5" t="s">
        <v>2688</v>
      </c>
      <c r="B2136" s="6" t="s">
        <v>2689</v>
      </c>
      <c r="C2136" s="7" t="s">
        <v>2505</v>
      </c>
      <c r="D2136" s="7" t="s">
        <v>2506</v>
      </c>
      <c r="E2136" s="8" t="s">
        <v>90</v>
      </c>
    </row>
    <row r="2137" spans="1:5" x14ac:dyDescent="0.25">
      <c r="A2137" s="5" t="s">
        <v>2690</v>
      </c>
      <c r="B2137" s="6" t="s">
        <v>2691</v>
      </c>
      <c r="C2137" s="7" t="s">
        <v>2505</v>
      </c>
      <c r="D2137" s="7" t="s">
        <v>2506</v>
      </c>
      <c r="E2137" s="8" t="s">
        <v>93</v>
      </c>
    </row>
    <row r="2138" spans="1:5" x14ac:dyDescent="0.25">
      <c r="A2138" s="5" t="s">
        <v>2692</v>
      </c>
      <c r="B2138" s="6" t="s">
        <v>2693</v>
      </c>
      <c r="C2138" s="7" t="s">
        <v>2505</v>
      </c>
      <c r="D2138" s="7" t="s">
        <v>2506</v>
      </c>
      <c r="E2138" s="8" t="s">
        <v>87</v>
      </c>
    </row>
    <row r="2139" spans="1:5" x14ac:dyDescent="0.25">
      <c r="A2139" s="5" t="s">
        <v>2694</v>
      </c>
      <c r="B2139" s="6" t="s">
        <v>2695</v>
      </c>
      <c r="C2139" s="7" t="s">
        <v>2505</v>
      </c>
      <c r="D2139" s="7" t="s">
        <v>2506</v>
      </c>
      <c r="E2139" s="8" t="s">
        <v>93</v>
      </c>
    </row>
    <row r="2140" spans="1:5" x14ac:dyDescent="0.25">
      <c r="A2140" s="5" t="s">
        <v>2696</v>
      </c>
      <c r="B2140" s="6" t="s">
        <v>2697</v>
      </c>
      <c r="C2140" s="7" t="s">
        <v>2505</v>
      </c>
      <c r="D2140" s="7" t="s">
        <v>2506</v>
      </c>
      <c r="E2140" s="8" t="s">
        <v>87</v>
      </c>
    </row>
    <row r="2141" spans="1:5" x14ac:dyDescent="0.25">
      <c r="A2141" s="5" t="s">
        <v>2698</v>
      </c>
      <c r="B2141" s="6" t="s">
        <v>2699</v>
      </c>
      <c r="C2141" s="7" t="s">
        <v>2505</v>
      </c>
      <c r="D2141" s="7" t="s">
        <v>2506</v>
      </c>
      <c r="E2141" s="8" t="s">
        <v>93</v>
      </c>
    </row>
    <row r="2142" spans="1:5" x14ac:dyDescent="0.25">
      <c r="A2142" s="5" t="s">
        <v>2700</v>
      </c>
      <c r="B2142" s="6" t="s">
        <v>2701</v>
      </c>
      <c r="C2142" s="7" t="s">
        <v>2505</v>
      </c>
      <c r="D2142" s="7" t="s">
        <v>2506</v>
      </c>
      <c r="E2142" s="8" t="s">
        <v>90</v>
      </c>
    </row>
    <row r="2143" spans="1:5" x14ac:dyDescent="0.25">
      <c r="A2143" s="5" t="s">
        <v>2702</v>
      </c>
      <c r="B2143" s="6" t="s">
        <v>2703</v>
      </c>
      <c r="C2143" s="7" t="s">
        <v>2505</v>
      </c>
      <c r="D2143" s="7" t="s">
        <v>2506</v>
      </c>
      <c r="E2143" s="8" t="s">
        <v>93</v>
      </c>
    </row>
    <row r="2144" spans="1:5" x14ac:dyDescent="0.25">
      <c r="A2144" s="5" t="s">
        <v>2704</v>
      </c>
      <c r="B2144" s="6" t="s">
        <v>2705</v>
      </c>
      <c r="C2144" s="7" t="s">
        <v>2505</v>
      </c>
      <c r="D2144" s="7" t="s">
        <v>2506</v>
      </c>
      <c r="E2144" s="8" t="s">
        <v>65</v>
      </c>
    </row>
    <row r="2145" spans="1:5" x14ac:dyDescent="0.25">
      <c r="A2145" s="5" t="s">
        <v>2706</v>
      </c>
      <c r="B2145" s="6" t="s">
        <v>2707</v>
      </c>
      <c r="C2145" s="7" t="s">
        <v>2505</v>
      </c>
      <c r="D2145" s="7" t="s">
        <v>2506</v>
      </c>
      <c r="E2145" s="8" t="s">
        <v>68</v>
      </c>
    </row>
    <row r="2146" spans="1:5" x14ac:dyDescent="0.25">
      <c r="A2146" s="5" t="s">
        <v>2708</v>
      </c>
      <c r="B2146" s="6" t="s">
        <v>2709</v>
      </c>
      <c r="C2146" s="7" t="s">
        <v>2505</v>
      </c>
      <c r="D2146" s="7" t="s">
        <v>2506</v>
      </c>
      <c r="E2146" s="8" t="s">
        <v>87</v>
      </c>
    </row>
    <row r="2147" spans="1:5" x14ac:dyDescent="0.25">
      <c r="A2147" s="12" t="s">
        <v>2710</v>
      </c>
      <c r="B2147" s="6" t="s">
        <v>2711</v>
      </c>
      <c r="C2147" s="13" t="s">
        <v>2505</v>
      </c>
      <c r="D2147" s="13" t="s">
        <v>2506</v>
      </c>
      <c r="E2147" s="8" t="s">
        <v>426</v>
      </c>
    </row>
    <row r="2148" spans="1:5" x14ac:dyDescent="0.25">
      <c r="A2148" s="5" t="s">
        <v>3338</v>
      </c>
      <c r="B2148" s="6" t="s">
        <v>2712</v>
      </c>
      <c r="C2148" s="7" t="s">
        <v>2505</v>
      </c>
      <c r="D2148" s="7" t="s">
        <v>2506</v>
      </c>
      <c r="E2148" s="8" t="s">
        <v>87</v>
      </c>
    </row>
    <row r="2149" spans="1:5" x14ac:dyDescent="0.25">
      <c r="A2149" s="5" t="s">
        <v>2713</v>
      </c>
      <c r="B2149" s="6" t="s">
        <v>2714</v>
      </c>
      <c r="C2149" s="7" t="s">
        <v>2505</v>
      </c>
      <c r="D2149" s="7" t="s">
        <v>2506</v>
      </c>
      <c r="E2149" s="8" t="s">
        <v>288</v>
      </c>
    </row>
    <row r="2150" spans="1:5" x14ac:dyDescent="0.25">
      <c r="A2150" s="5" t="s">
        <v>3332</v>
      </c>
      <c r="B2150" s="6" t="s">
        <v>2715</v>
      </c>
      <c r="C2150" s="7" t="s">
        <v>2505</v>
      </c>
      <c r="D2150" s="7" t="s">
        <v>2716</v>
      </c>
      <c r="E2150" s="8" t="s">
        <v>99</v>
      </c>
    </row>
    <row r="2151" spans="1:5" x14ac:dyDescent="0.25">
      <c r="A2151" s="5" t="s">
        <v>2717</v>
      </c>
      <c r="B2151" s="6" t="s">
        <v>2718</v>
      </c>
      <c r="C2151" s="7" t="s">
        <v>2505</v>
      </c>
      <c r="D2151" s="7" t="s">
        <v>2506</v>
      </c>
      <c r="E2151" s="8" t="s">
        <v>288</v>
      </c>
    </row>
    <row r="2152" spans="1:5" x14ac:dyDescent="0.25">
      <c r="A2152" s="5" t="s">
        <v>2719</v>
      </c>
      <c r="B2152" s="6" t="s">
        <v>2720</v>
      </c>
      <c r="C2152" s="7" t="s">
        <v>2505</v>
      </c>
      <c r="D2152" s="7" t="s">
        <v>2506</v>
      </c>
      <c r="E2152" s="8" t="s">
        <v>90</v>
      </c>
    </row>
    <row r="2153" spans="1:5" x14ac:dyDescent="0.25">
      <c r="A2153" s="5" t="s">
        <v>2721</v>
      </c>
      <c r="B2153" s="6" t="s">
        <v>2722</v>
      </c>
      <c r="C2153" s="7" t="s">
        <v>2505</v>
      </c>
      <c r="D2153" s="7" t="s">
        <v>2506</v>
      </c>
      <c r="E2153" s="8" t="s">
        <v>426</v>
      </c>
    </row>
    <row r="2154" spans="1:5" x14ac:dyDescent="0.25">
      <c r="A2154" s="5" t="s">
        <v>2723</v>
      </c>
      <c r="B2154" s="6" t="s">
        <v>2724</v>
      </c>
      <c r="C2154" s="7" t="s">
        <v>2505</v>
      </c>
      <c r="D2154" s="7" t="s">
        <v>2506</v>
      </c>
      <c r="E2154" s="8" t="s">
        <v>288</v>
      </c>
    </row>
    <row r="2155" spans="1:5" x14ac:dyDescent="0.25">
      <c r="A2155" s="5" t="s">
        <v>2725</v>
      </c>
      <c r="B2155" s="6" t="s">
        <v>2726</v>
      </c>
      <c r="C2155" s="7" t="s">
        <v>2505</v>
      </c>
      <c r="D2155" s="7" t="s">
        <v>2506</v>
      </c>
      <c r="E2155" s="8" t="s">
        <v>68</v>
      </c>
    </row>
    <row r="2156" spans="1:5" x14ac:dyDescent="0.25">
      <c r="A2156" s="5" t="s">
        <v>2727</v>
      </c>
      <c r="B2156" s="6" t="s">
        <v>2728</v>
      </c>
      <c r="C2156" s="7" t="s">
        <v>2505</v>
      </c>
      <c r="D2156" s="7" t="s">
        <v>2506</v>
      </c>
      <c r="E2156" s="8" t="s">
        <v>288</v>
      </c>
    </row>
    <row r="2157" spans="1:5" x14ac:dyDescent="0.25">
      <c r="A2157" s="5" t="s">
        <v>2729</v>
      </c>
      <c r="B2157" s="6" t="s">
        <v>2730</v>
      </c>
      <c r="C2157" s="7" t="s">
        <v>2505</v>
      </c>
      <c r="D2157" s="7" t="s">
        <v>2506</v>
      </c>
      <c r="E2157" s="8" t="s">
        <v>90</v>
      </c>
    </row>
    <row r="2158" spans="1:5" x14ac:dyDescent="0.25">
      <c r="A2158" s="5" t="s">
        <v>2731</v>
      </c>
      <c r="B2158" s="6" t="s">
        <v>2732</v>
      </c>
      <c r="C2158" s="7" t="s">
        <v>2505</v>
      </c>
      <c r="D2158" s="7" t="s">
        <v>2506</v>
      </c>
      <c r="E2158" s="8" t="s">
        <v>65</v>
      </c>
    </row>
    <row r="2159" spans="1:5" x14ac:dyDescent="0.25">
      <c r="A2159" s="5" t="s">
        <v>2733</v>
      </c>
      <c r="B2159" s="6" t="s">
        <v>2734</v>
      </c>
      <c r="C2159" s="7" t="s">
        <v>2505</v>
      </c>
      <c r="D2159" s="7" t="s">
        <v>2506</v>
      </c>
      <c r="E2159" s="8" t="s">
        <v>90</v>
      </c>
    </row>
    <row r="2160" spans="1:5" x14ac:dyDescent="0.25">
      <c r="A2160" s="5" t="s">
        <v>2735</v>
      </c>
      <c r="B2160" s="6" t="s">
        <v>2736</v>
      </c>
      <c r="C2160" s="7" t="s">
        <v>2505</v>
      </c>
      <c r="D2160" s="7" t="s">
        <v>2506</v>
      </c>
      <c r="E2160" s="8" t="s">
        <v>288</v>
      </c>
    </row>
    <row r="2161" spans="1:5" x14ac:dyDescent="0.25">
      <c r="A2161" s="5" t="s">
        <v>2737</v>
      </c>
      <c r="B2161" s="6" t="s">
        <v>2738</v>
      </c>
      <c r="C2161" s="7" t="s">
        <v>2505</v>
      </c>
      <c r="D2161" s="7" t="s">
        <v>2506</v>
      </c>
      <c r="E2161" s="8" t="s">
        <v>65</v>
      </c>
    </row>
    <row r="2162" spans="1:5" x14ac:dyDescent="0.25">
      <c r="A2162" s="5" t="s">
        <v>2739</v>
      </c>
      <c r="B2162" s="6" t="s">
        <v>2740</v>
      </c>
      <c r="C2162" s="7" t="s">
        <v>2505</v>
      </c>
      <c r="D2162" s="7" t="s">
        <v>2506</v>
      </c>
      <c r="E2162" s="8" t="s">
        <v>68</v>
      </c>
    </row>
    <row r="2163" spans="1:5" x14ac:dyDescent="0.25">
      <c r="A2163" s="5" t="s">
        <v>2741</v>
      </c>
      <c r="B2163" s="6" t="s">
        <v>2742</v>
      </c>
      <c r="C2163" s="7" t="s">
        <v>2505</v>
      </c>
      <c r="D2163" s="7" t="s">
        <v>2506</v>
      </c>
      <c r="E2163" s="8" t="s">
        <v>288</v>
      </c>
    </row>
    <row r="2164" spans="1:5" x14ac:dyDescent="0.25">
      <c r="A2164" s="5" t="s">
        <v>2743</v>
      </c>
      <c r="B2164" s="6" t="s">
        <v>2744</v>
      </c>
      <c r="C2164" s="7" t="s">
        <v>2505</v>
      </c>
      <c r="D2164" s="7" t="s">
        <v>2506</v>
      </c>
      <c r="E2164" s="8" t="s">
        <v>288</v>
      </c>
    </row>
    <row r="2165" spans="1:5" x14ac:dyDescent="0.25">
      <c r="A2165" s="5" t="s">
        <v>2745</v>
      </c>
      <c r="B2165" s="6" t="s">
        <v>2746</v>
      </c>
      <c r="C2165" s="7" t="s">
        <v>2505</v>
      </c>
      <c r="D2165" s="7" t="s">
        <v>2506</v>
      </c>
      <c r="E2165" s="8" t="s">
        <v>90</v>
      </c>
    </row>
    <row r="2166" spans="1:5" x14ac:dyDescent="0.25">
      <c r="A2166" s="5" t="s">
        <v>2747</v>
      </c>
      <c r="B2166" s="6" t="s">
        <v>2748</v>
      </c>
      <c r="C2166" s="7" t="s">
        <v>2505</v>
      </c>
      <c r="D2166" s="7" t="s">
        <v>2506</v>
      </c>
      <c r="E2166" s="8" t="s">
        <v>90</v>
      </c>
    </row>
    <row r="2167" spans="1:5" x14ac:dyDescent="0.25">
      <c r="A2167" s="5" t="s">
        <v>2749</v>
      </c>
      <c r="B2167" s="6" t="s">
        <v>2750</v>
      </c>
      <c r="C2167" s="7" t="s">
        <v>2505</v>
      </c>
      <c r="D2167" s="7" t="s">
        <v>2506</v>
      </c>
      <c r="E2167" s="8" t="s">
        <v>87</v>
      </c>
    </row>
    <row r="2168" spans="1:5" x14ac:dyDescent="0.25">
      <c r="A2168" s="5" t="s">
        <v>4554</v>
      </c>
      <c r="B2168" s="6" t="s">
        <v>4555</v>
      </c>
      <c r="C2168" s="7" t="s">
        <v>2505</v>
      </c>
      <c r="D2168" s="7" t="s">
        <v>2506</v>
      </c>
      <c r="E2168" s="8" t="s">
        <v>68</v>
      </c>
    </row>
    <row r="2169" spans="1:5" x14ac:dyDescent="0.25">
      <c r="A2169" s="5" t="s">
        <v>2751</v>
      </c>
      <c r="B2169" s="6" t="s">
        <v>2752</v>
      </c>
      <c r="C2169" s="7" t="s">
        <v>2505</v>
      </c>
      <c r="D2169" s="7" t="s">
        <v>2506</v>
      </c>
      <c r="E2169" s="8" t="s">
        <v>87</v>
      </c>
    </row>
    <row r="2170" spans="1:5" x14ac:dyDescent="0.25">
      <c r="A2170" s="5" t="s">
        <v>2753</v>
      </c>
      <c r="B2170" s="6" t="s">
        <v>2754</v>
      </c>
      <c r="C2170" s="7" t="s">
        <v>2505</v>
      </c>
      <c r="D2170" s="7" t="s">
        <v>2506</v>
      </c>
      <c r="E2170" s="8" t="s">
        <v>288</v>
      </c>
    </row>
    <row r="2171" spans="1:5" x14ac:dyDescent="0.25">
      <c r="A2171" s="5" t="s">
        <v>2755</v>
      </c>
      <c r="B2171" s="6" t="s">
        <v>2756</v>
      </c>
      <c r="C2171" s="7" t="s">
        <v>2505</v>
      </c>
      <c r="D2171" s="7" t="s">
        <v>2506</v>
      </c>
      <c r="E2171" s="8" t="s">
        <v>288</v>
      </c>
    </row>
    <row r="2172" spans="1:5" x14ac:dyDescent="0.25">
      <c r="A2172" s="5" t="s">
        <v>2757</v>
      </c>
      <c r="B2172" s="6" t="s">
        <v>2758</v>
      </c>
      <c r="C2172" s="7" t="s">
        <v>2505</v>
      </c>
      <c r="D2172" s="7" t="s">
        <v>2506</v>
      </c>
      <c r="E2172" s="8" t="s">
        <v>87</v>
      </c>
    </row>
    <row r="2173" spans="1:5" x14ac:dyDescent="0.25">
      <c r="A2173" s="5" t="s">
        <v>2759</v>
      </c>
      <c r="B2173" s="6" t="s">
        <v>2760</v>
      </c>
      <c r="C2173" s="7" t="s">
        <v>2505</v>
      </c>
      <c r="D2173" s="7" t="s">
        <v>2506</v>
      </c>
      <c r="E2173" s="8" t="s">
        <v>65</v>
      </c>
    </row>
    <row r="2174" spans="1:5" x14ac:dyDescent="0.25">
      <c r="A2174" s="5" t="s">
        <v>2761</v>
      </c>
      <c r="B2174" s="6" t="s">
        <v>2762</v>
      </c>
      <c r="C2174" s="13" t="s">
        <v>2505</v>
      </c>
      <c r="D2174" s="13" t="s">
        <v>2506</v>
      </c>
      <c r="E2174" s="8" t="s">
        <v>288</v>
      </c>
    </row>
    <row r="2175" spans="1:5" x14ac:dyDescent="0.25">
      <c r="A2175" s="5" t="s">
        <v>2763</v>
      </c>
      <c r="B2175" s="6" t="s">
        <v>2764</v>
      </c>
      <c r="C2175" s="7" t="s">
        <v>2505</v>
      </c>
      <c r="D2175" s="7" t="s">
        <v>2506</v>
      </c>
      <c r="E2175" s="8" t="s">
        <v>65</v>
      </c>
    </row>
    <row r="2176" spans="1:5" x14ac:dyDescent="0.25">
      <c r="A2176" s="5" t="s">
        <v>2765</v>
      </c>
      <c r="B2176" s="6" t="s">
        <v>2766</v>
      </c>
      <c r="C2176" s="7" t="s">
        <v>2505</v>
      </c>
      <c r="D2176" s="7" t="s">
        <v>2506</v>
      </c>
      <c r="E2176" s="8" t="s">
        <v>87</v>
      </c>
    </row>
    <row r="2177" spans="1:5" x14ac:dyDescent="0.25">
      <c r="A2177" s="5" t="s">
        <v>2767</v>
      </c>
      <c r="B2177" s="6" t="s">
        <v>2768</v>
      </c>
      <c r="C2177" s="7" t="s">
        <v>2505</v>
      </c>
      <c r="D2177" s="7" t="s">
        <v>2506</v>
      </c>
      <c r="E2177" s="8" t="s">
        <v>68</v>
      </c>
    </row>
    <row r="2178" spans="1:5" x14ac:dyDescent="0.25">
      <c r="A2178" s="5" t="s">
        <v>2769</v>
      </c>
      <c r="B2178" s="6" t="s">
        <v>2770</v>
      </c>
      <c r="C2178" s="7" t="s">
        <v>2505</v>
      </c>
      <c r="D2178" s="7" t="s">
        <v>2506</v>
      </c>
      <c r="E2178" s="8" t="s">
        <v>68</v>
      </c>
    </row>
    <row r="2179" spans="1:5" x14ac:dyDescent="0.25">
      <c r="A2179" s="5" t="s">
        <v>2771</v>
      </c>
      <c r="B2179" s="6" t="s">
        <v>2772</v>
      </c>
      <c r="C2179" s="7" t="s">
        <v>2505</v>
      </c>
      <c r="D2179" s="7" t="s">
        <v>2506</v>
      </c>
      <c r="E2179" s="8" t="s">
        <v>87</v>
      </c>
    </row>
    <row r="2180" spans="1:5" x14ac:dyDescent="0.25">
      <c r="A2180" s="5" t="s">
        <v>2773</v>
      </c>
      <c r="B2180" s="6" t="s">
        <v>2774</v>
      </c>
      <c r="C2180" s="7" t="s">
        <v>2505</v>
      </c>
      <c r="D2180" s="7" t="s">
        <v>2506</v>
      </c>
      <c r="E2180" s="8" t="s">
        <v>68</v>
      </c>
    </row>
    <row r="2181" spans="1:5" x14ac:dyDescent="0.25">
      <c r="A2181" s="5" t="s">
        <v>2775</v>
      </c>
      <c r="B2181" s="6" t="s">
        <v>2776</v>
      </c>
      <c r="C2181" s="7" t="s">
        <v>2505</v>
      </c>
      <c r="D2181" s="7" t="s">
        <v>2506</v>
      </c>
      <c r="E2181" s="8" t="s">
        <v>65</v>
      </c>
    </row>
    <row r="2182" spans="1:5" x14ac:dyDescent="0.25">
      <c r="A2182" s="5" t="s">
        <v>2777</v>
      </c>
      <c r="B2182" s="6" t="s">
        <v>2778</v>
      </c>
      <c r="C2182" s="7" t="s">
        <v>2505</v>
      </c>
      <c r="D2182" s="7" t="s">
        <v>2506</v>
      </c>
      <c r="E2182" s="8" t="s">
        <v>90</v>
      </c>
    </row>
    <row r="2183" spans="1:5" x14ac:dyDescent="0.25">
      <c r="A2183" s="5" t="s">
        <v>2779</v>
      </c>
      <c r="B2183" s="6" t="s">
        <v>2780</v>
      </c>
      <c r="C2183" s="7" t="s">
        <v>2505</v>
      </c>
      <c r="D2183" s="7" t="s">
        <v>2506</v>
      </c>
      <c r="E2183" s="8" t="s">
        <v>65</v>
      </c>
    </row>
    <row r="2184" spans="1:5" x14ac:dyDescent="0.25">
      <c r="A2184" s="5" t="s">
        <v>2781</v>
      </c>
      <c r="B2184" s="6" t="s">
        <v>2782</v>
      </c>
      <c r="C2184" s="7" t="s">
        <v>2505</v>
      </c>
      <c r="D2184" s="7" t="s">
        <v>2506</v>
      </c>
      <c r="E2184" s="8" t="s">
        <v>65</v>
      </c>
    </row>
    <row r="2185" spans="1:5" x14ac:dyDescent="0.25">
      <c r="A2185" s="5" t="s">
        <v>2783</v>
      </c>
      <c r="B2185" s="6" t="s">
        <v>2784</v>
      </c>
      <c r="C2185" s="7" t="s">
        <v>2505</v>
      </c>
      <c r="D2185" s="7" t="s">
        <v>2506</v>
      </c>
      <c r="E2185" s="8" t="s">
        <v>87</v>
      </c>
    </row>
    <row r="2186" spans="1:5" x14ac:dyDescent="0.25">
      <c r="A2186" s="5" t="s">
        <v>2785</v>
      </c>
      <c r="B2186" s="6" t="s">
        <v>2786</v>
      </c>
      <c r="C2186" s="7" t="s">
        <v>2505</v>
      </c>
      <c r="D2186" s="7" t="s">
        <v>2506</v>
      </c>
      <c r="E2186" s="8" t="s">
        <v>90</v>
      </c>
    </row>
    <row r="2187" spans="1:5" x14ac:dyDescent="0.25">
      <c r="A2187" s="5" t="s">
        <v>2787</v>
      </c>
      <c r="B2187" s="6" t="s">
        <v>2788</v>
      </c>
      <c r="C2187" s="7" t="s">
        <v>2505</v>
      </c>
      <c r="D2187" s="7" t="s">
        <v>2506</v>
      </c>
      <c r="E2187" s="8" t="s">
        <v>90</v>
      </c>
    </row>
    <row r="2188" spans="1:5" x14ac:dyDescent="0.25">
      <c r="A2188" s="5" t="s">
        <v>2789</v>
      </c>
      <c r="B2188" s="6" t="s">
        <v>2790</v>
      </c>
      <c r="C2188" s="7" t="s">
        <v>2505</v>
      </c>
      <c r="D2188" s="7" t="s">
        <v>2506</v>
      </c>
      <c r="E2188" s="8" t="s">
        <v>573</v>
      </c>
    </row>
    <row r="2189" spans="1:5" x14ac:dyDescent="0.25">
      <c r="A2189" s="5" t="s">
        <v>3634</v>
      </c>
      <c r="B2189" s="6" t="s">
        <v>4410</v>
      </c>
      <c r="C2189" s="7" t="s">
        <v>2505</v>
      </c>
      <c r="D2189" s="7" t="s">
        <v>2506</v>
      </c>
      <c r="E2189" s="8" t="s">
        <v>93</v>
      </c>
    </row>
    <row r="2190" spans="1:5" x14ac:dyDescent="0.25">
      <c r="A2190" s="5" t="s">
        <v>2791</v>
      </c>
      <c r="B2190" s="6" t="s">
        <v>2792</v>
      </c>
      <c r="C2190" s="7" t="s">
        <v>2505</v>
      </c>
      <c r="D2190" s="7" t="s">
        <v>2506</v>
      </c>
      <c r="E2190" s="8" t="s">
        <v>96</v>
      </c>
    </row>
    <row r="2191" spans="1:5" x14ac:dyDescent="0.25">
      <c r="A2191" s="5" t="s">
        <v>2793</v>
      </c>
      <c r="B2191" s="6" t="s">
        <v>2794</v>
      </c>
      <c r="C2191" s="7" t="s">
        <v>2505</v>
      </c>
      <c r="D2191" s="7" t="s">
        <v>2506</v>
      </c>
      <c r="E2191" s="8" t="s">
        <v>573</v>
      </c>
    </row>
    <row r="2192" spans="1:5" x14ac:dyDescent="0.25">
      <c r="A2192" s="12" t="s">
        <v>2795</v>
      </c>
      <c r="B2192" s="6" t="s">
        <v>2796</v>
      </c>
      <c r="C2192" s="13" t="s">
        <v>2505</v>
      </c>
      <c r="D2192" s="13" t="s">
        <v>2506</v>
      </c>
      <c r="E2192" s="8" t="s">
        <v>573</v>
      </c>
    </row>
    <row r="2193" spans="1:5" x14ac:dyDescent="0.25">
      <c r="A2193" s="5" t="s">
        <v>2797</v>
      </c>
      <c r="B2193" s="6" t="s">
        <v>2798</v>
      </c>
      <c r="C2193" s="7" t="s">
        <v>2505</v>
      </c>
      <c r="D2193" s="7" t="s">
        <v>2506</v>
      </c>
      <c r="E2193" s="8" t="s">
        <v>573</v>
      </c>
    </row>
    <row r="2194" spans="1:5" x14ac:dyDescent="0.25">
      <c r="A2194" s="5" t="s">
        <v>4561</v>
      </c>
      <c r="B2194" s="6" t="s">
        <v>4562</v>
      </c>
      <c r="C2194" s="7" t="s">
        <v>2505</v>
      </c>
      <c r="D2194" s="7" t="s">
        <v>2506</v>
      </c>
      <c r="E2194" s="8" t="s">
        <v>68</v>
      </c>
    </row>
    <row r="2195" spans="1:5" x14ac:dyDescent="0.25">
      <c r="A2195" s="5" t="s">
        <v>2799</v>
      </c>
      <c r="B2195" s="6" t="s">
        <v>2800</v>
      </c>
      <c r="C2195" s="7" t="s">
        <v>2505</v>
      </c>
      <c r="D2195" s="7" t="s">
        <v>2506</v>
      </c>
      <c r="E2195" s="8" t="s">
        <v>573</v>
      </c>
    </row>
    <row r="2196" spans="1:5" x14ac:dyDescent="0.25">
      <c r="A2196" s="5" t="s">
        <v>2801</v>
      </c>
      <c r="B2196" s="6" t="s">
        <v>2802</v>
      </c>
      <c r="C2196" s="7" t="s">
        <v>2505</v>
      </c>
      <c r="D2196" s="7" t="s">
        <v>2506</v>
      </c>
      <c r="E2196" s="8" t="s">
        <v>573</v>
      </c>
    </row>
    <row r="2197" spans="1:5" x14ac:dyDescent="0.25">
      <c r="A2197" s="5" t="s">
        <v>2803</v>
      </c>
      <c r="B2197" s="6" t="s">
        <v>2804</v>
      </c>
      <c r="C2197" s="7" t="s">
        <v>2505</v>
      </c>
      <c r="D2197" s="7" t="s">
        <v>2506</v>
      </c>
      <c r="E2197" s="8" t="s">
        <v>573</v>
      </c>
    </row>
    <row r="2198" spans="1:5" x14ac:dyDescent="0.25">
      <c r="A2198" s="5" t="s">
        <v>4567</v>
      </c>
      <c r="B2198" s="6" t="s">
        <v>4568</v>
      </c>
      <c r="C2198" s="7" t="s">
        <v>2505</v>
      </c>
      <c r="D2198" s="7" t="s">
        <v>2506</v>
      </c>
      <c r="E2198" s="8" t="s">
        <v>68</v>
      </c>
    </row>
    <row r="2199" spans="1:5" x14ac:dyDescent="0.25">
      <c r="A2199" s="5" t="s">
        <v>2805</v>
      </c>
      <c r="B2199" s="6" t="s">
        <v>2806</v>
      </c>
      <c r="C2199" s="7" t="s">
        <v>2505</v>
      </c>
      <c r="D2199" s="7" t="s">
        <v>2506</v>
      </c>
      <c r="E2199" s="8" t="s">
        <v>573</v>
      </c>
    </row>
    <row r="2200" spans="1:5" x14ac:dyDescent="0.25">
      <c r="A2200" s="5" t="s">
        <v>2807</v>
      </c>
      <c r="B2200" s="6" t="s">
        <v>2808</v>
      </c>
      <c r="C2200" s="7" t="s">
        <v>2505</v>
      </c>
      <c r="D2200" s="7" t="s">
        <v>2506</v>
      </c>
      <c r="E2200" s="8" t="s">
        <v>96</v>
      </c>
    </row>
    <row r="2201" spans="1:5" x14ac:dyDescent="0.25">
      <c r="A2201" s="5" t="s">
        <v>2809</v>
      </c>
      <c r="B2201" s="6" t="s">
        <v>2810</v>
      </c>
      <c r="C2201" s="7" t="s">
        <v>2505</v>
      </c>
      <c r="D2201" s="7" t="s">
        <v>2506</v>
      </c>
      <c r="E2201" s="8" t="s">
        <v>96</v>
      </c>
    </row>
    <row r="2202" spans="1:5" x14ac:dyDescent="0.25">
      <c r="A2202" s="5" t="s">
        <v>2811</v>
      </c>
      <c r="B2202" s="6" t="s">
        <v>2812</v>
      </c>
      <c r="C2202" s="7" t="s">
        <v>2505</v>
      </c>
      <c r="D2202" s="7" t="s">
        <v>2506</v>
      </c>
      <c r="E2202" s="8" t="s">
        <v>96</v>
      </c>
    </row>
    <row r="2203" spans="1:5" x14ac:dyDescent="0.25">
      <c r="A2203" s="5" t="s">
        <v>2813</v>
      </c>
      <c r="B2203" s="6" t="s">
        <v>2814</v>
      </c>
      <c r="C2203" s="7" t="s">
        <v>2505</v>
      </c>
      <c r="D2203" s="7" t="s">
        <v>2506</v>
      </c>
      <c r="E2203" s="8" t="s">
        <v>573</v>
      </c>
    </row>
    <row r="2204" spans="1:5" x14ac:dyDescent="0.25">
      <c r="A2204" s="5" t="s">
        <v>3633</v>
      </c>
      <c r="B2204" s="6" t="s">
        <v>4409</v>
      </c>
      <c r="C2204" s="7" t="s">
        <v>2505</v>
      </c>
      <c r="D2204" s="7" t="s">
        <v>2506</v>
      </c>
      <c r="E2204" s="8" t="s">
        <v>93</v>
      </c>
    </row>
    <row r="2205" spans="1:5" x14ac:dyDescent="0.25">
      <c r="A2205" s="5" t="s">
        <v>2815</v>
      </c>
      <c r="B2205" s="6" t="s">
        <v>2816</v>
      </c>
      <c r="C2205" s="7" t="s">
        <v>2505</v>
      </c>
      <c r="D2205" s="7" t="s">
        <v>2506</v>
      </c>
      <c r="E2205" s="8" t="s">
        <v>573</v>
      </c>
    </row>
    <row r="2206" spans="1:5" x14ac:dyDescent="0.25">
      <c r="A2206" s="5" t="s">
        <v>4569</v>
      </c>
      <c r="B2206" s="6" t="s">
        <v>4570</v>
      </c>
      <c r="C2206" s="7" t="s">
        <v>2505</v>
      </c>
      <c r="D2206" s="7" t="s">
        <v>2506</v>
      </c>
      <c r="E2206" s="8" t="s">
        <v>93</v>
      </c>
    </row>
    <row r="2207" spans="1:5" x14ac:dyDescent="0.25">
      <c r="A2207" s="12" t="s">
        <v>2817</v>
      </c>
      <c r="B2207" s="6" t="s">
        <v>2818</v>
      </c>
      <c r="C2207" s="13" t="s">
        <v>2505</v>
      </c>
      <c r="D2207" s="13" t="s">
        <v>2506</v>
      </c>
      <c r="E2207" s="8" t="s">
        <v>573</v>
      </c>
    </row>
    <row r="2208" spans="1:5" x14ac:dyDescent="0.25">
      <c r="A2208" s="5" t="s">
        <v>2819</v>
      </c>
      <c r="B2208" s="6" t="s">
        <v>2820</v>
      </c>
      <c r="C2208" s="7" t="s">
        <v>2505</v>
      </c>
      <c r="D2208" s="7" t="s">
        <v>2506</v>
      </c>
      <c r="E2208" s="8" t="s">
        <v>96</v>
      </c>
    </row>
    <row r="2209" spans="1:5" x14ac:dyDescent="0.25">
      <c r="A2209" s="5" t="s">
        <v>2821</v>
      </c>
      <c r="B2209" s="6" t="s">
        <v>2822</v>
      </c>
      <c r="C2209" s="7" t="s">
        <v>2505</v>
      </c>
      <c r="D2209" s="7" t="s">
        <v>2506</v>
      </c>
      <c r="E2209" s="8" t="s">
        <v>68</v>
      </c>
    </row>
    <row r="2210" spans="1:5" x14ac:dyDescent="0.25">
      <c r="A2210" s="5" t="s">
        <v>2823</v>
      </c>
      <c r="B2210" s="6" t="s">
        <v>2824</v>
      </c>
      <c r="C2210" s="7" t="s">
        <v>2505</v>
      </c>
      <c r="D2210" s="7" t="s">
        <v>2506</v>
      </c>
      <c r="E2210" s="8" t="s">
        <v>288</v>
      </c>
    </row>
    <row r="2211" spans="1:5" x14ac:dyDescent="0.25">
      <c r="A2211" s="5" t="s">
        <v>2825</v>
      </c>
      <c r="B2211" s="6" t="s">
        <v>2826</v>
      </c>
      <c r="C2211" s="7" t="s">
        <v>2505</v>
      </c>
      <c r="D2211" s="7" t="s">
        <v>2506</v>
      </c>
      <c r="E2211" s="8" t="s">
        <v>68</v>
      </c>
    </row>
    <row r="2212" spans="1:5" x14ac:dyDescent="0.25">
      <c r="A2212" s="5" t="s">
        <v>2827</v>
      </c>
      <c r="B2212" s="6" t="s">
        <v>2828</v>
      </c>
      <c r="C2212" s="7" t="s">
        <v>2505</v>
      </c>
      <c r="D2212" s="7" t="s">
        <v>2506</v>
      </c>
      <c r="E2212" s="8" t="s">
        <v>288</v>
      </c>
    </row>
    <row r="2213" spans="1:5" x14ac:dyDescent="0.25">
      <c r="A2213" s="5" t="s">
        <v>2829</v>
      </c>
      <c r="B2213" s="6" t="s">
        <v>2830</v>
      </c>
      <c r="C2213" s="7" t="s">
        <v>2505</v>
      </c>
      <c r="D2213" s="7" t="s">
        <v>2506</v>
      </c>
      <c r="E2213" s="8" t="s">
        <v>90</v>
      </c>
    </row>
    <row r="2214" spans="1:5" x14ac:dyDescent="0.25">
      <c r="A2214" s="5" t="s">
        <v>2831</v>
      </c>
      <c r="B2214" s="6" t="s">
        <v>2832</v>
      </c>
      <c r="C2214" s="7" t="s">
        <v>2505</v>
      </c>
      <c r="D2214" s="7" t="s">
        <v>2506</v>
      </c>
      <c r="E2214" s="8" t="s">
        <v>288</v>
      </c>
    </row>
    <row r="2215" spans="1:5" x14ac:dyDescent="0.25">
      <c r="A2215" s="79" t="s">
        <v>4644</v>
      </c>
      <c r="B2215" s="115" t="s">
        <v>2832</v>
      </c>
      <c r="C2215" s="7" t="s">
        <v>2505</v>
      </c>
      <c r="D2215" s="7" t="s">
        <v>2506</v>
      </c>
      <c r="E2215" s="8" t="s">
        <v>90</v>
      </c>
    </row>
    <row r="2216" spans="1:5" x14ac:dyDescent="0.25">
      <c r="A2216" s="5" t="s">
        <v>2833</v>
      </c>
      <c r="B2216" s="6" t="s">
        <v>2834</v>
      </c>
      <c r="C2216" s="7" t="s">
        <v>2505</v>
      </c>
      <c r="D2216" s="7" t="s">
        <v>2506</v>
      </c>
      <c r="E2216" s="8" t="s">
        <v>65</v>
      </c>
    </row>
  </sheetData>
  <sortState ref="A2:F1458">
    <sortCondition ref="C2:C145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3"/>
  <sheetViews>
    <sheetView zoomScale="60" workbookViewId="0">
      <selection activeCell="H36" sqref="H36"/>
    </sheetView>
  </sheetViews>
  <sheetFormatPr baseColWidth="10" defaultRowHeight="12.75" x14ac:dyDescent="0.2"/>
  <cols>
    <col min="1" max="1" width="14.5703125" style="866" customWidth="1"/>
    <col min="2" max="2" width="17" style="866" customWidth="1"/>
    <col min="3" max="3" width="44.140625" style="866" customWidth="1"/>
    <col min="4" max="4" width="15.85546875" style="866" customWidth="1"/>
    <col min="5" max="5" width="28.42578125" style="866" customWidth="1"/>
    <col min="6" max="6" width="25.28515625" style="866" customWidth="1"/>
    <col min="7" max="7" width="13" style="866" hidden="1" customWidth="1"/>
    <col min="8" max="8" width="19.5703125" style="866" customWidth="1"/>
    <col min="9" max="9" width="12.7109375" style="866" customWidth="1"/>
    <col min="10" max="10" width="16" style="866" customWidth="1"/>
    <col min="11" max="11" width="18.42578125" style="866" customWidth="1"/>
    <col min="12" max="12" width="9.5703125" style="866" customWidth="1"/>
    <col min="13" max="13" width="42.7109375" style="866" customWidth="1"/>
    <col min="14" max="14" width="12.85546875" style="866" customWidth="1"/>
    <col min="15" max="15" width="9.5703125" style="866" customWidth="1"/>
    <col min="16" max="16" width="5.5703125" style="866" customWidth="1"/>
    <col min="17" max="17" width="15" style="866" customWidth="1"/>
    <col min="18" max="18" width="11.7109375" style="866" customWidth="1"/>
    <col min="19" max="19" width="9.85546875" style="866" customWidth="1"/>
    <col min="20" max="20" width="17" style="866" customWidth="1"/>
    <col min="21" max="21" width="24.42578125" style="866" customWidth="1"/>
    <col min="22" max="22" width="17" style="866" customWidth="1"/>
    <col min="23" max="256" width="11.42578125" style="866"/>
    <col min="257" max="257" width="14.5703125" style="866" customWidth="1"/>
    <col min="258" max="258" width="17" style="866" customWidth="1"/>
    <col min="259" max="259" width="44.140625" style="866" customWidth="1"/>
    <col min="260" max="260" width="0" style="866" hidden="1" customWidth="1"/>
    <col min="261" max="261" width="28.42578125" style="866" customWidth="1"/>
    <col min="262" max="262" width="25.28515625" style="866" customWidth="1"/>
    <col min="263" max="263" width="0" style="866" hidden="1" customWidth="1"/>
    <col min="264" max="264" width="19.5703125" style="866" customWidth="1"/>
    <col min="265" max="265" width="12.7109375" style="866" customWidth="1"/>
    <col min="266" max="266" width="16" style="866" customWidth="1"/>
    <col min="267" max="267" width="18.42578125" style="866" customWidth="1"/>
    <col min="268" max="268" width="9.5703125" style="866" customWidth="1"/>
    <col min="269" max="269" width="21.28515625" style="866" customWidth="1"/>
    <col min="270" max="270" width="7.5703125" style="866" customWidth="1"/>
    <col min="271" max="271" width="9.5703125" style="866" customWidth="1"/>
    <col min="272" max="272" width="5.5703125" style="866" customWidth="1"/>
    <col min="273" max="273" width="15" style="866" customWidth="1"/>
    <col min="274" max="274" width="11.7109375" style="866" customWidth="1"/>
    <col min="275" max="275" width="9.85546875" style="866" customWidth="1"/>
    <col min="276" max="276" width="17" style="866" customWidth="1"/>
    <col min="277" max="277" width="24.42578125" style="866" customWidth="1"/>
    <col min="278" max="278" width="17" style="866" customWidth="1"/>
    <col min="279" max="512" width="11.42578125" style="866"/>
    <col min="513" max="513" width="14.5703125" style="866" customWidth="1"/>
    <col min="514" max="514" width="17" style="866" customWidth="1"/>
    <col min="515" max="515" width="44.140625" style="866" customWidth="1"/>
    <col min="516" max="516" width="0" style="866" hidden="1" customWidth="1"/>
    <col min="517" max="517" width="28.42578125" style="866" customWidth="1"/>
    <col min="518" max="518" width="25.28515625" style="866" customWidth="1"/>
    <col min="519" max="519" width="0" style="866" hidden="1" customWidth="1"/>
    <col min="520" max="520" width="19.5703125" style="866" customWidth="1"/>
    <col min="521" max="521" width="12.7109375" style="866" customWidth="1"/>
    <col min="522" max="522" width="16" style="866" customWidth="1"/>
    <col min="523" max="523" width="18.42578125" style="866" customWidth="1"/>
    <col min="524" max="524" width="9.5703125" style="866" customWidth="1"/>
    <col min="525" max="525" width="21.28515625" style="866" customWidth="1"/>
    <col min="526" max="526" width="7.5703125" style="866" customWidth="1"/>
    <col min="527" max="527" width="9.5703125" style="866" customWidth="1"/>
    <col min="528" max="528" width="5.5703125" style="866" customWidth="1"/>
    <col min="529" max="529" width="15" style="866" customWidth="1"/>
    <col min="530" max="530" width="11.7109375" style="866" customWidth="1"/>
    <col min="531" max="531" width="9.85546875" style="866" customWidth="1"/>
    <col min="532" max="532" width="17" style="866" customWidth="1"/>
    <col min="533" max="533" width="24.42578125" style="866" customWidth="1"/>
    <col min="534" max="534" width="17" style="866" customWidth="1"/>
    <col min="535" max="768" width="11.42578125" style="866"/>
    <col min="769" max="769" width="14.5703125" style="866" customWidth="1"/>
    <col min="770" max="770" width="17" style="866" customWidth="1"/>
    <col min="771" max="771" width="44.140625" style="866" customWidth="1"/>
    <col min="772" max="772" width="0" style="866" hidden="1" customWidth="1"/>
    <col min="773" max="773" width="28.42578125" style="866" customWidth="1"/>
    <col min="774" max="774" width="25.28515625" style="866" customWidth="1"/>
    <col min="775" max="775" width="0" style="866" hidden="1" customWidth="1"/>
    <col min="776" max="776" width="19.5703125" style="866" customWidth="1"/>
    <col min="777" max="777" width="12.7109375" style="866" customWidth="1"/>
    <col min="778" max="778" width="16" style="866" customWidth="1"/>
    <col min="779" max="779" width="18.42578125" style="866" customWidth="1"/>
    <col min="780" max="780" width="9.5703125" style="866" customWidth="1"/>
    <col min="781" max="781" width="21.28515625" style="866" customWidth="1"/>
    <col min="782" max="782" width="7.5703125" style="866" customWidth="1"/>
    <col min="783" max="783" width="9.5703125" style="866" customWidth="1"/>
    <col min="784" max="784" width="5.5703125" style="866" customWidth="1"/>
    <col min="785" max="785" width="15" style="866" customWidth="1"/>
    <col min="786" max="786" width="11.7109375" style="866" customWidth="1"/>
    <col min="787" max="787" width="9.85546875" style="866" customWidth="1"/>
    <col min="788" max="788" width="17" style="866" customWidth="1"/>
    <col min="789" max="789" width="24.42578125" style="866" customWidth="1"/>
    <col min="790" max="790" width="17" style="866" customWidth="1"/>
    <col min="791" max="1024" width="11.42578125" style="866"/>
    <col min="1025" max="1025" width="14.5703125" style="866" customWidth="1"/>
    <col min="1026" max="1026" width="17" style="866" customWidth="1"/>
    <col min="1027" max="1027" width="44.140625" style="866" customWidth="1"/>
    <col min="1028" max="1028" width="0" style="866" hidden="1" customWidth="1"/>
    <col min="1029" max="1029" width="28.42578125" style="866" customWidth="1"/>
    <col min="1030" max="1030" width="25.28515625" style="866" customWidth="1"/>
    <col min="1031" max="1031" width="0" style="866" hidden="1" customWidth="1"/>
    <col min="1032" max="1032" width="19.5703125" style="866" customWidth="1"/>
    <col min="1033" max="1033" width="12.7109375" style="866" customWidth="1"/>
    <col min="1034" max="1034" width="16" style="866" customWidth="1"/>
    <col min="1035" max="1035" width="18.42578125" style="866" customWidth="1"/>
    <col min="1036" max="1036" width="9.5703125" style="866" customWidth="1"/>
    <col min="1037" max="1037" width="21.28515625" style="866" customWidth="1"/>
    <col min="1038" max="1038" width="7.5703125" style="866" customWidth="1"/>
    <col min="1039" max="1039" width="9.5703125" style="866" customWidth="1"/>
    <col min="1040" max="1040" width="5.5703125" style="866" customWidth="1"/>
    <col min="1041" max="1041" width="15" style="866" customWidth="1"/>
    <col min="1042" max="1042" width="11.7109375" style="866" customWidth="1"/>
    <col min="1043" max="1043" width="9.85546875" style="866" customWidth="1"/>
    <col min="1044" max="1044" width="17" style="866" customWidth="1"/>
    <col min="1045" max="1045" width="24.42578125" style="866" customWidth="1"/>
    <col min="1046" max="1046" width="17" style="866" customWidth="1"/>
    <col min="1047" max="1280" width="11.42578125" style="866"/>
    <col min="1281" max="1281" width="14.5703125" style="866" customWidth="1"/>
    <col min="1282" max="1282" width="17" style="866" customWidth="1"/>
    <col min="1283" max="1283" width="44.140625" style="866" customWidth="1"/>
    <col min="1284" max="1284" width="0" style="866" hidden="1" customWidth="1"/>
    <col min="1285" max="1285" width="28.42578125" style="866" customWidth="1"/>
    <col min="1286" max="1286" width="25.28515625" style="866" customWidth="1"/>
    <col min="1287" max="1287" width="0" style="866" hidden="1" customWidth="1"/>
    <col min="1288" max="1288" width="19.5703125" style="866" customWidth="1"/>
    <col min="1289" max="1289" width="12.7109375" style="866" customWidth="1"/>
    <col min="1290" max="1290" width="16" style="866" customWidth="1"/>
    <col min="1291" max="1291" width="18.42578125" style="866" customWidth="1"/>
    <col min="1292" max="1292" width="9.5703125" style="866" customWidth="1"/>
    <col min="1293" max="1293" width="21.28515625" style="866" customWidth="1"/>
    <col min="1294" max="1294" width="7.5703125" style="866" customWidth="1"/>
    <col min="1295" max="1295" width="9.5703125" style="866" customWidth="1"/>
    <col min="1296" max="1296" width="5.5703125" style="866" customWidth="1"/>
    <col min="1297" max="1297" width="15" style="866" customWidth="1"/>
    <col min="1298" max="1298" width="11.7109375" style="866" customWidth="1"/>
    <col min="1299" max="1299" width="9.85546875" style="866" customWidth="1"/>
    <col min="1300" max="1300" width="17" style="866" customWidth="1"/>
    <col min="1301" max="1301" width="24.42578125" style="866" customWidth="1"/>
    <col min="1302" max="1302" width="17" style="866" customWidth="1"/>
    <col min="1303" max="1536" width="11.42578125" style="866"/>
    <col min="1537" max="1537" width="14.5703125" style="866" customWidth="1"/>
    <col min="1538" max="1538" width="17" style="866" customWidth="1"/>
    <col min="1539" max="1539" width="44.140625" style="866" customWidth="1"/>
    <col min="1540" max="1540" width="0" style="866" hidden="1" customWidth="1"/>
    <col min="1541" max="1541" width="28.42578125" style="866" customWidth="1"/>
    <col min="1542" max="1542" width="25.28515625" style="866" customWidth="1"/>
    <col min="1543" max="1543" width="0" style="866" hidden="1" customWidth="1"/>
    <col min="1544" max="1544" width="19.5703125" style="866" customWidth="1"/>
    <col min="1545" max="1545" width="12.7109375" style="866" customWidth="1"/>
    <col min="1546" max="1546" width="16" style="866" customWidth="1"/>
    <col min="1547" max="1547" width="18.42578125" style="866" customWidth="1"/>
    <col min="1548" max="1548" width="9.5703125" style="866" customWidth="1"/>
    <col min="1549" max="1549" width="21.28515625" style="866" customWidth="1"/>
    <col min="1550" max="1550" width="7.5703125" style="866" customWidth="1"/>
    <col min="1551" max="1551" width="9.5703125" style="866" customWidth="1"/>
    <col min="1552" max="1552" width="5.5703125" style="866" customWidth="1"/>
    <col min="1553" max="1553" width="15" style="866" customWidth="1"/>
    <col min="1554" max="1554" width="11.7109375" style="866" customWidth="1"/>
    <col min="1555" max="1555" width="9.85546875" style="866" customWidth="1"/>
    <col min="1556" max="1556" width="17" style="866" customWidth="1"/>
    <col min="1557" max="1557" width="24.42578125" style="866" customWidth="1"/>
    <col min="1558" max="1558" width="17" style="866" customWidth="1"/>
    <col min="1559" max="1792" width="11.42578125" style="866"/>
    <col min="1793" max="1793" width="14.5703125" style="866" customWidth="1"/>
    <col min="1794" max="1794" width="17" style="866" customWidth="1"/>
    <col min="1795" max="1795" width="44.140625" style="866" customWidth="1"/>
    <col min="1796" max="1796" width="0" style="866" hidden="1" customWidth="1"/>
    <col min="1797" max="1797" width="28.42578125" style="866" customWidth="1"/>
    <col min="1798" max="1798" width="25.28515625" style="866" customWidth="1"/>
    <col min="1799" max="1799" width="0" style="866" hidden="1" customWidth="1"/>
    <col min="1800" max="1800" width="19.5703125" style="866" customWidth="1"/>
    <col min="1801" max="1801" width="12.7109375" style="866" customWidth="1"/>
    <col min="1802" max="1802" width="16" style="866" customWidth="1"/>
    <col min="1803" max="1803" width="18.42578125" style="866" customWidth="1"/>
    <col min="1804" max="1804" width="9.5703125" style="866" customWidth="1"/>
    <col min="1805" max="1805" width="21.28515625" style="866" customWidth="1"/>
    <col min="1806" max="1806" width="7.5703125" style="866" customWidth="1"/>
    <col min="1807" max="1807" width="9.5703125" style="866" customWidth="1"/>
    <col min="1808" max="1808" width="5.5703125" style="866" customWidth="1"/>
    <col min="1809" max="1809" width="15" style="866" customWidth="1"/>
    <col min="1810" max="1810" width="11.7109375" style="866" customWidth="1"/>
    <col min="1811" max="1811" width="9.85546875" style="866" customWidth="1"/>
    <col min="1812" max="1812" width="17" style="866" customWidth="1"/>
    <col min="1813" max="1813" width="24.42578125" style="866" customWidth="1"/>
    <col min="1814" max="1814" width="17" style="866" customWidth="1"/>
    <col min="1815" max="2048" width="11.42578125" style="866"/>
    <col min="2049" max="2049" width="14.5703125" style="866" customWidth="1"/>
    <col min="2050" max="2050" width="17" style="866" customWidth="1"/>
    <col min="2051" max="2051" width="44.140625" style="866" customWidth="1"/>
    <col min="2052" max="2052" width="0" style="866" hidden="1" customWidth="1"/>
    <col min="2053" max="2053" width="28.42578125" style="866" customWidth="1"/>
    <col min="2054" max="2054" width="25.28515625" style="866" customWidth="1"/>
    <col min="2055" max="2055" width="0" style="866" hidden="1" customWidth="1"/>
    <col min="2056" max="2056" width="19.5703125" style="866" customWidth="1"/>
    <col min="2057" max="2057" width="12.7109375" style="866" customWidth="1"/>
    <col min="2058" max="2058" width="16" style="866" customWidth="1"/>
    <col min="2059" max="2059" width="18.42578125" style="866" customWidth="1"/>
    <col min="2060" max="2060" width="9.5703125" style="866" customWidth="1"/>
    <col min="2061" max="2061" width="21.28515625" style="866" customWidth="1"/>
    <col min="2062" max="2062" width="7.5703125" style="866" customWidth="1"/>
    <col min="2063" max="2063" width="9.5703125" style="866" customWidth="1"/>
    <col min="2064" max="2064" width="5.5703125" style="866" customWidth="1"/>
    <col min="2065" max="2065" width="15" style="866" customWidth="1"/>
    <col min="2066" max="2066" width="11.7109375" style="866" customWidth="1"/>
    <col min="2067" max="2067" width="9.85546875" style="866" customWidth="1"/>
    <col min="2068" max="2068" width="17" style="866" customWidth="1"/>
    <col min="2069" max="2069" width="24.42578125" style="866" customWidth="1"/>
    <col min="2070" max="2070" width="17" style="866" customWidth="1"/>
    <col min="2071" max="2304" width="11.42578125" style="866"/>
    <col min="2305" max="2305" width="14.5703125" style="866" customWidth="1"/>
    <col min="2306" max="2306" width="17" style="866" customWidth="1"/>
    <col min="2307" max="2307" width="44.140625" style="866" customWidth="1"/>
    <col min="2308" max="2308" width="0" style="866" hidden="1" customWidth="1"/>
    <col min="2309" max="2309" width="28.42578125" style="866" customWidth="1"/>
    <col min="2310" max="2310" width="25.28515625" style="866" customWidth="1"/>
    <col min="2311" max="2311" width="0" style="866" hidden="1" customWidth="1"/>
    <col min="2312" max="2312" width="19.5703125" style="866" customWidth="1"/>
    <col min="2313" max="2313" width="12.7109375" style="866" customWidth="1"/>
    <col min="2314" max="2314" width="16" style="866" customWidth="1"/>
    <col min="2315" max="2315" width="18.42578125" style="866" customWidth="1"/>
    <col min="2316" max="2316" width="9.5703125" style="866" customWidth="1"/>
    <col min="2317" max="2317" width="21.28515625" style="866" customWidth="1"/>
    <col min="2318" max="2318" width="7.5703125" style="866" customWidth="1"/>
    <col min="2319" max="2319" width="9.5703125" style="866" customWidth="1"/>
    <col min="2320" max="2320" width="5.5703125" style="866" customWidth="1"/>
    <col min="2321" max="2321" width="15" style="866" customWidth="1"/>
    <col min="2322" max="2322" width="11.7109375" style="866" customWidth="1"/>
    <col min="2323" max="2323" width="9.85546875" style="866" customWidth="1"/>
    <col min="2324" max="2324" width="17" style="866" customWidth="1"/>
    <col min="2325" max="2325" width="24.42578125" style="866" customWidth="1"/>
    <col min="2326" max="2326" width="17" style="866" customWidth="1"/>
    <col min="2327" max="2560" width="11.42578125" style="866"/>
    <col min="2561" max="2561" width="14.5703125" style="866" customWidth="1"/>
    <col min="2562" max="2562" width="17" style="866" customWidth="1"/>
    <col min="2563" max="2563" width="44.140625" style="866" customWidth="1"/>
    <col min="2564" max="2564" width="0" style="866" hidden="1" customWidth="1"/>
    <col min="2565" max="2565" width="28.42578125" style="866" customWidth="1"/>
    <col min="2566" max="2566" width="25.28515625" style="866" customWidth="1"/>
    <col min="2567" max="2567" width="0" style="866" hidden="1" customWidth="1"/>
    <col min="2568" max="2568" width="19.5703125" style="866" customWidth="1"/>
    <col min="2569" max="2569" width="12.7109375" style="866" customWidth="1"/>
    <col min="2570" max="2570" width="16" style="866" customWidth="1"/>
    <col min="2571" max="2571" width="18.42578125" style="866" customWidth="1"/>
    <col min="2572" max="2572" width="9.5703125" style="866" customWidth="1"/>
    <col min="2573" max="2573" width="21.28515625" style="866" customWidth="1"/>
    <col min="2574" max="2574" width="7.5703125" style="866" customWidth="1"/>
    <col min="2575" max="2575" width="9.5703125" style="866" customWidth="1"/>
    <col min="2576" max="2576" width="5.5703125" style="866" customWidth="1"/>
    <col min="2577" max="2577" width="15" style="866" customWidth="1"/>
    <col min="2578" max="2578" width="11.7109375" style="866" customWidth="1"/>
    <col min="2579" max="2579" width="9.85546875" style="866" customWidth="1"/>
    <col min="2580" max="2580" width="17" style="866" customWidth="1"/>
    <col min="2581" max="2581" width="24.42578125" style="866" customWidth="1"/>
    <col min="2582" max="2582" width="17" style="866" customWidth="1"/>
    <col min="2583" max="2816" width="11.42578125" style="866"/>
    <col min="2817" max="2817" width="14.5703125" style="866" customWidth="1"/>
    <col min="2818" max="2818" width="17" style="866" customWidth="1"/>
    <col min="2819" max="2819" width="44.140625" style="866" customWidth="1"/>
    <col min="2820" max="2820" width="0" style="866" hidden="1" customWidth="1"/>
    <col min="2821" max="2821" width="28.42578125" style="866" customWidth="1"/>
    <col min="2822" max="2822" width="25.28515625" style="866" customWidth="1"/>
    <col min="2823" max="2823" width="0" style="866" hidden="1" customWidth="1"/>
    <col min="2824" max="2824" width="19.5703125" style="866" customWidth="1"/>
    <col min="2825" max="2825" width="12.7109375" style="866" customWidth="1"/>
    <col min="2826" max="2826" width="16" style="866" customWidth="1"/>
    <col min="2827" max="2827" width="18.42578125" style="866" customWidth="1"/>
    <col min="2828" max="2828" width="9.5703125" style="866" customWidth="1"/>
    <col min="2829" max="2829" width="21.28515625" style="866" customWidth="1"/>
    <col min="2830" max="2830" width="7.5703125" style="866" customWidth="1"/>
    <col min="2831" max="2831" width="9.5703125" style="866" customWidth="1"/>
    <col min="2832" max="2832" width="5.5703125" style="866" customWidth="1"/>
    <col min="2833" max="2833" width="15" style="866" customWidth="1"/>
    <col min="2834" max="2834" width="11.7109375" style="866" customWidth="1"/>
    <col min="2835" max="2835" width="9.85546875" style="866" customWidth="1"/>
    <col min="2836" max="2836" width="17" style="866" customWidth="1"/>
    <col min="2837" max="2837" width="24.42578125" style="866" customWidth="1"/>
    <col min="2838" max="2838" width="17" style="866" customWidth="1"/>
    <col min="2839" max="3072" width="11.42578125" style="866"/>
    <col min="3073" max="3073" width="14.5703125" style="866" customWidth="1"/>
    <col min="3074" max="3074" width="17" style="866" customWidth="1"/>
    <col min="3075" max="3075" width="44.140625" style="866" customWidth="1"/>
    <col min="3076" max="3076" width="0" style="866" hidden="1" customWidth="1"/>
    <col min="3077" max="3077" width="28.42578125" style="866" customWidth="1"/>
    <col min="3078" max="3078" width="25.28515625" style="866" customWidth="1"/>
    <col min="3079" max="3079" width="0" style="866" hidden="1" customWidth="1"/>
    <col min="3080" max="3080" width="19.5703125" style="866" customWidth="1"/>
    <col min="3081" max="3081" width="12.7109375" style="866" customWidth="1"/>
    <col min="3082" max="3082" width="16" style="866" customWidth="1"/>
    <col min="3083" max="3083" width="18.42578125" style="866" customWidth="1"/>
    <col min="3084" max="3084" width="9.5703125" style="866" customWidth="1"/>
    <col min="3085" max="3085" width="21.28515625" style="866" customWidth="1"/>
    <col min="3086" max="3086" width="7.5703125" style="866" customWidth="1"/>
    <col min="3087" max="3087" width="9.5703125" style="866" customWidth="1"/>
    <col min="3088" max="3088" width="5.5703125" style="866" customWidth="1"/>
    <col min="3089" max="3089" width="15" style="866" customWidth="1"/>
    <col min="3090" max="3090" width="11.7109375" style="866" customWidth="1"/>
    <col min="3091" max="3091" width="9.85546875" style="866" customWidth="1"/>
    <col min="3092" max="3092" width="17" style="866" customWidth="1"/>
    <col min="3093" max="3093" width="24.42578125" style="866" customWidth="1"/>
    <col min="3094" max="3094" width="17" style="866" customWidth="1"/>
    <col min="3095" max="3328" width="11.42578125" style="866"/>
    <col min="3329" max="3329" width="14.5703125" style="866" customWidth="1"/>
    <col min="3330" max="3330" width="17" style="866" customWidth="1"/>
    <col min="3331" max="3331" width="44.140625" style="866" customWidth="1"/>
    <col min="3332" max="3332" width="0" style="866" hidden="1" customWidth="1"/>
    <col min="3333" max="3333" width="28.42578125" style="866" customWidth="1"/>
    <col min="3334" max="3334" width="25.28515625" style="866" customWidth="1"/>
    <col min="3335" max="3335" width="0" style="866" hidden="1" customWidth="1"/>
    <col min="3336" max="3336" width="19.5703125" style="866" customWidth="1"/>
    <col min="3337" max="3337" width="12.7109375" style="866" customWidth="1"/>
    <col min="3338" max="3338" width="16" style="866" customWidth="1"/>
    <col min="3339" max="3339" width="18.42578125" style="866" customWidth="1"/>
    <col min="3340" max="3340" width="9.5703125" style="866" customWidth="1"/>
    <col min="3341" max="3341" width="21.28515625" style="866" customWidth="1"/>
    <col min="3342" max="3342" width="7.5703125" style="866" customWidth="1"/>
    <col min="3343" max="3343" width="9.5703125" style="866" customWidth="1"/>
    <col min="3344" max="3344" width="5.5703125" style="866" customWidth="1"/>
    <col min="3345" max="3345" width="15" style="866" customWidth="1"/>
    <col min="3346" max="3346" width="11.7109375" style="866" customWidth="1"/>
    <col min="3347" max="3347" width="9.85546875" style="866" customWidth="1"/>
    <col min="3348" max="3348" width="17" style="866" customWidth="1"/>
    <col min="3349" max="3349" width="24.42578125" style="866" customWidth="1"/>
    <col min="3350" max="3350" width="17" style="866" customWidth="1"/>
    <col min="3351" max="3584" width="11.42578125" style="866"/>
    <col min="3585" max="3585" width="14.5703125" style="866" customWidth="1"/>
    <col min="3586" max="3586" width="17" style="866" customWidth="1"/>
    <col min="3587" max="3587" width="44.140625" style="866" customWidth="1"/>
    <col min="3588" max="3588" width="0" style="866" hidden="1" customWidth="1"/>
    <col min="3589" max="3589" width="28.42578125" style="866" customWidth="1"/>
    <col min="3590" max="3590" width="25.28515625" style="866" customWidth="1"/>
    <col min="3591" max="3591" width="0" style="866" hidden="1" customWidth="1"/>
    <col min="3592" max="3592" width="19.5703125" style="866" customWidth="1"/>
    <col min="3593" max="3593" width="12.7109375" style="866" customWidth="1"/>
    <col min="3594" max="3594" width="16" style="866" customWidth="1"/>
    <col min="3595" max="3595" width="18.42578125" style="866" customWidth="1"/>
    <col min="3596" max="3596" width="9.5703125" style="866" customWidth="1"/>
    <col min="3597" max="3597" width="21.28515625" style="866" customWidth="1"/>
    <col min="3598" max="3598" width="7.5703125" style="866" customWidth="1"/>
    <col min="3599" max="3599" width="9.5703125" style="866" customWidth="1"/>
    <col min="3600" max="3600" width="5.5703125" style="866" customWidth="1"/>
    <col min="3601" max="3601" width="15" style="866" customWidth="1"/>
    <col min="3602" max="3602" width="11.7109375" style="866" customWidth="1"/>
    <col min="3603" max="3603" width="9.85546875" style="866" customWidth="1"/>
    <col min="3604" max="3604" width="17" style="866" customWidth="1"/>
    <col min="3605" max="3605" width="24.42578125" style="866" customWidth="1"/>
    <col min="3606" max="3606" width="17" style="866" customWidth="1"/>
    <col min="3607" max="3840" width="11.42578125" style="866"/>
    <col min="3841" max="3841" width="14.5703125" style="866" customWidth="1"/>
    <col min="3842" max="3842" width="17" style="866" customWidth="1"/>
    <col min="3843" max="3843" width="44.140625" style="866" customWidth="1"/>
    <col min="3844" max="3844" width="0" style="866" hidden="1" customWidth="1"/>
    <col min="3845" max="3845" width="28.42578125" style="866" customWidth="1"/>
    <col min="3846" max="3846" width="25.28515625" style="866" customWidth="1"/>
    <col min="3847" max="3847" width="0" style="866" hidden="1" customWidth="1"/>
    <col min="3848" max="3848" width="19.5703125" style="866" customWidth="1"/>
    <col min="3849" max="3849" width="12.7109375" style="866" customWidth="1"/>
    <col min="3850" max="3850" width="16" style="866" customWidth="1"/>
    <col min="3851" max="3851" width="18.42578125" style="866" customWidth="1"/>
    <col min="3852" max="3852" width="9.5703125" style="866" customWidth="1"/>
    <col min="3853" max="3853" width="21.28515625" style="866" customWidth="1"/>
    <col min="3854" max="3854" width="7.5703125" style="866" customWidth="1"/>
    <col min="3855" max="3855" width="9.5703125" style="866" customWidth="1"/>
    <col min="3856" max="3856" width="5.5703125" style="866" customWidth="1"/>
    <col min="3857" max="3857" width="15" style="866" customWidth="1"/>
    <col min="3858" max="3858" width="11.7109375" style="866" customWidth="1"/>
    <col min="3859" max="3859" width="9.85546875" style="866" customWidth="1"/>
    <col min="3860" max="3860" width="17" style="866" customWidth="1"/>
    <col min="3861" max="3861" width="24.42578125" style="866" customWidth="1"/>
    <col min="3862" max="3862" width="17" style="866" customWidth="1"/>
    <col min="3863" max="4096" width="11.42578125" style="866"/>
    <col min="4097" max="4097" width="14.5703125" style="866" customWidth="1"/>
    <col min="4098" max="4098" width="17" style="866" customWidth="1"/>
    <col min="4099" max="4099" width="44.140625" style="866" customWidth="1"/>
    <col min="4100" max="4100" width="0" style="866" hidden="1" customWidth="1"/>
    <col min="4101" max="4101" width="28.42578125" style="866" customWidth="1"/>
    <col min="4102" max="4102" width="25.28515625" style="866" customWidth="1"/>
    <col min="4103" max="4103" width="0" style="866" hidden="1" customWidth="1"/>
    <col min="4104" max="4104" width="19.5703125" style="866" customWidth="1"/>
    <col min="4105" max="4105" width="12.7109375" style="866" customWidth="1"/>
    <col min="4106" max="4106" width="16" style="866" customWidth="1"/>
    <col min="4107" max="4107" width="18.42578125" style="866" customWidth="1"/>
    <col min="4108" max="4108" width="9.5703125" style="866" customWidth="1"/>
    <col min="4109" max="4109" width="21.28515625" style="866" customWidth="1"/>
    <col min="4110" max="4110" width="7.5703125" style="866" customWidth="1"/>
    <col min="4111" max="4111" width="9.5703125" style="866" customWidth="1"/>
    <col min="4112" max="4112" width="5.5703125" style="866" customWidth="1"/>
    <col min="4113" max="4113" width="15" style="866" customWidth="1"/>
    <col min="4114" max="4114" width="11.7109375" style="866" customWidth="1"/>
    <col min="4115" max="4115" width="9.85546875" style="866" customWidth="1"/>
    <col min="4116" max="4116" width="17" style="866" customWidth="1"/>
    <col min="4117" max="4117" width="24.42578125" style="866" customWidth="1"/>
    <col min="4118" max="4118" width="17" style="866" customWidth="1"/>
    <col min="4119" max="4352" width="11.42578125" style="866"/>
    <col min="4353" max="4353" width="14.5703125" style="866" customWidth="1"/>
    <col min="4354" max="4354" width="17" style="866" customWidth="1"/>
    <col min="4355" max="4355" width="44.140625" style="866" customWidth="1"/>
    <col min="4356" max="4356" width="0" style="866" hidden="1" customWidth="1"/>
    <col min="4357" max="4357" width="28.42578125" style="866" customWidth="1"/>
    <col min="4358" max="4358" width="25.28515625" style="866" customWidth="1"/>
    <col min="4359" max="4359" width="0" style="866" hidden="1" customWidth="1"/>
    <col min="4360" max="4360" width="19.5703125" style="866" customWidth="1"/>
    <col min="4361" max="4361" width="12.7109375" style="866" customWidth="1"/>
    <col min="4362" max="4362" width="16" style="866" customWidth="1"/>
    <col min="4363" max="4363" width="18.42578125" style="866" customWidth="1"/>
    <col min="4364" max="4364" width="9.5703125" style="866" customWidth="1"/>
    <col min="4365" max="4365" width="21.28515625" style="866" customWidth="1"/>
    <col min="4366" max="4366" width="7.5703125" style="866" customWidth="1"/>
    <col min="4367" max="4367" width="9.5703125" style="866" customWidth="1"/>
    <col min="4368" max="4368" width="5.5703125" style="866" customWidth="1"/>
    <col min="4369" max="4369" width="15" style="866" customWidth="1"/>
    <col min="4370" max="4370" width="11.7109375" style="866" customWidth="1"/>
    <col min="4371" max="4371" width="9.85546875" style="866" customWidth="1"/>
    <col min="4372" max="4372" width="17" style="866" customWidth="1"/>
    <col min="4373" max="4373" width="24.42578125" style="866" customWidth="1"/>
    <col min="4374" max="4374" width="17" style="866" customWidth="1"/>
    <col min="4375" max="4608" width="11.42578125" style="866"/>
    <col min="4609" max="4609" width="14.5703125" style="866" customWidth="1"/>
    <col min="4610" max="4610" width="17" style="866" customWidth="1"/>
    <col min="4611" max="4611" width="44.140625" style="866" customWidth="1"/>
    <col min="4612" max="4612" width="0" style="866" hidden="1" customWidth="1"/>
    <col min="4613" max="4613" width="28.42578125" style="866" customWidth="1"/>
    <col min="4614" max="4614" width="25.28515625" style="866" customWidth="1"/>
    <col min="4615" max="4615" width="0" style="866" hidden="1" customWidth="1"/>
    <col min="4616" max="4616" width="19.5703125" style="866" customWidth="1"/>
    <col min="4617" max="4617" width="12.7109375" style="866" customWidth="1"/>
    <col min="4618" max="4618" width="16" style="866" customWidth="1"/>
    <col min="4619" max="4619" width="18.42578125" style="866" customWidth="1"/>
    <col min="4620" max="4620" width="9.5703125" style="866" customWidth="1"/>
    <col min="4621" max="4621" width="21.28515625" style="866" customWidth="1"/>
    <col min="4622" max="4622" width="7.5703125" style="866" customWidth="1"/>
    <col min="4623" max="4623" width="9.5703125" style="866" customWidth="1"/>
    <col min="4624" max="4624" width="5.5703125" style="866" customWidth="1"/>
    <col min="4625" max="4625" width="15" style="866" customWidth="1"/>
    <col min="4626" max="4626" width="11.7109375" style="866" customWidth="1"/>
    <col min="4627" max="4627" width="9.85546875" style="866" customWidth="1"/>
    <col min="4628" max="4628" width="17" style="866" customWidth="1"/>
    <col min="4629" max="4629" width="24.42578125" style="866" customWidth="1"/>
    <col min="4630" max="4630" width="17" style="866" customWidth="1"/>
    <col min="4631" max="4864" width="11.42578125" style="866"/>
    <col min="4865" max="4865" width="14.5703125" style="866" customWidth="1"/>
    <col min="4866" max="4866" width="17" style="866" customWidth="1"/>
    <col min="4867" max="4867" width="44.140625" style="866" customWidth="1"/>
    <col min="4868" max="4868" width="0" style="866" hidden="1" customWidth="1"/>
    <col min="4869" max="4869" width="28.42578125" style="866" customWidth="1"/>
    <col min="4870" max="4870" width="25.28515625" style="866" customWidth="1"/>
    <col min="4871" max="4871" width="0" style="866" hidden="1" customWidth="1"/>
    <col min="4872" max="4872" width="19.5703125" style="866" customWidth="1"/>
    <col min="4873" max="4873" width="12.7109375" style="866" customWidth="1"/>
    <col min="4874" max="4874" width="16" style="866" customWidth="1"/>
    <col min="4875" max="4875" width="18.42578125" style="866" customWidth="1"/>
    <col min="4876" max="4876" width="9.5703125" style="866" customWidth="1"/>
    <col min="4877" max="4877" width="21.28515625" style="866" customWidth="1"/>
    <col min="4878" max="4878" width="7.5703125" style="866" customWidth="1"/>
    <col min="4879" max="4879" width="9.5703125" style="866" customWidth="1"/>
    <col min="4880" max="4880" width="5.5703125" style="866" customWidth="1"/>
    <col min="4881" max="4881" width="15" style="866" customWidth="1"/>
    <col min="4882" max="4882" width="11.7109375" style="866" customWidth="1"/>
    <col min="4883" max="4883" width="9.85546875" style="866" customWidth="1"/>
    <col min="4884" max="4884" width="17" style="866" customWidth="1"/>
    <col min="4885" max="4885" width="24.42578125" style="866" customWidth="1"/>
    <col min="4886" max="4886" width="17" style="866" customWidth="1"/>
    <col min="4887" max="5120" width="11.42578125" style="866"/>
    <col min="5121" max="5121" width="14.5703125" style="866" customWidth="1"/>
    <col min="5122" max="5122" width="17" style="866" customWidth="1"/>
    <col min="5123" max="5123" width="44.140625" style="866" customWidth="1"/>
    <col min="5124" max="5124" width="0" style="866" hidden="1" customWidth="1"/>
    <col min="5125" max="5125" width="28.42578125" style="866" customWidth="1"/>
    <col min="5126" max="5126" width="25.28515625" style="866" customWidth="1"/>
    <col min="5127" max="5127" width="0" style="866" hidden="1" customWidth="1"/>
    <col min="5128" max="5128" width="19.5703125" style="866" customWidth="1"/>
    <col min="5129" max="5129" width="12.7109375" style="866" customWidth="1"/>
    <col min="5130" max="5130" width="16" style="866" customWidth="1"/>
    <col min="5131" max="5131" width="18.42578125" style="866" customWidth="1"/>
    <col min="5132" max="5132" width="9.5703125" style="866" customWidth="1"/>
    <col min="5133" max="5133" width="21.28515625" style="866" customWidth="1"/>
    <col min="5134" max="5134" width="7.5703125" style="866" customWidth="1"/>
    <col min="5135" max="5135" width="9.5703125" style="866" customWidth="1"/>
    <col min="5136" max="5136" width="5.5703125" style="866" customWidth="1"/>
    <col min="5137" max="5137" width="15" style="866" customWidth="1"/>
    <col min="5138" max="5138" width="11.7109375" style="866" customWidth="1"/>
    <col min="5139" max="5139" width="9.85546875" style="866" customWidth="1"/>
    <col min="5140" max="5140" width="17" style="866" customWidth="1"/>
    <col min="5141" max="5141" width="24.42578125" style="866" customWidth="1"/>
    <col min="5142" max="5142" width="17" style="866" customWidth="1"/>
    <col min="5143" max="5376" width="11.42578125" style="866"/>
    <col min="5377" max="5377" width="14.5703125" style="866" customWidth="1"/>
    <col min="5378" max="5378" width="17" style="866" customWidth="1"/>
    <col min="5379" max="5379" width="44.140625" style="866" customWidth="1"/>
    <col min="5380" max="5380" width="0" style="866" hidden="1" customWidth="1"/>
    <col min="5381" max="5381" width="28.42578125" style="866" customWidth="1"/>
    <col min="5382" max="5382" width="25.28515625" style="866" customWidth="1"/>
    <col min="5383" max="5383" width="0" style="866" hidden="1" customWidth="1"/>
    <col min="5384" max="5384" width="19.5703125" style="866" customWidth="1"/>
    <col min="5385" max="5385" width="12.7109375" style="866" customWidth="1"/>
    <col min="5386" max="5386" width="16" style="866" customWidth="1"/>
    <col min="5387" max="5387" width="18.42578125" style="866" customWidth="1"/>
    <col min="5388" max="5388" width="9.5703125" style="866" customWidth="1"/>
    <col min="5389" max="5389" width="21.28515625" style="866" customWidth="1"/>
    <col min="5390" max="5390" width="7.5703125" style="866" customWidth="1"/>
    <col min="5391" max="5391" width="9.5703125" style="866" customWidth="1"/>
    <col min="5392" max="5392" width="5.5703125" style="866" customWidth="1"/>
    <col min="5393" max="5393" width="15" style="866" customWidth="1"/>
    <col min="5394" max="5394" width="11.7109375" style="866" customWidth="1"/>
    <col min="5395" max="5395" width="9.85546875" style="866" customWidth="1"/>
    <col min="5396" max="5396" width="17" style="866" customWidth="1"/>
    <col min="5397" max="5397" width="24.42578125" style="866" customWidth="1"/>
    <col min="5398" max="5398" width="17" style="866" customWidth="1"/>
    <col min="5399" max="5632" width="11.42578125" style="866"/>
    <col min="5633" max="5633" width="14.5703125" style="866" customWidth="1"/>
    <col min="5634" max="5634" width="17" style="866" customWidth="1"/>
    <col min="5635" max="5635" width="44.140625" style="866" customWidth="1"/>
    <col min="5636" max="5636" width="0" style="866" hidden="1" customWidth="1"/>
    <col min="5637" max="5637" width="28.42578125" style="866" customWidth="1"/>
    <col min="5638" max="5638" width="25.28515625" style="866" customWidth="1"/>
    <col min="5639" max="5639" width="0" style="866" hidden="1" customWidth="1"/>
    <col min="5640" max="5640" width="19.5703125" style="866" customWidth="1"/>
    <col min="5641" max="5641" width="12.7109375" style="866" customWidth="1"/>
    <col min="5642" max="5642" width="16" style="866" customWidth="1"/>
    <col min="5643" max="5643" width="18.42578125" style="866" customWidth="1"/>
    <col min="5644" max="5644" width="9.5703125" style="866" customWidth="1"/>
    <col min="5645" max="5645" width="21.28515625" style="866" customWidth="1"/>
    <col min="5646" max="5646" width="7.5703125" style="866" customWidth="1"/>
    <col min="5647" max="5647" width="9.5703125" style="866" customWidth="1"/>
    <col min="5648" max="5648" width="5.5703125" style="866" customWidth="1"/>
    <col min="5649" max="5649" width="15" style="866" customWidth="1"/>
    <col min="5650" max="5650" width="11.7109375" style="866" customWidth="1"/>
    <col min="5651" max="5651" width="9.85546875" style="866" customWidth="1"/>
    <col min="5652" max="5652" width="17" style="866" customWidth="1"/>
    <col min="5653" max="5653" width="24.42578125" style="866" customWidth="1"/>
    <col min="5654" max="5654" width="17" style="866" customWidth="1"/>
    <col min="5655" max="5888" width="11.42578125" style="866"/>
    <col min="5889" max="5889" width="14.5703125" style="866" customWidth="1"/>
    <col min="5890" max="5890" width="17" style="866" customWidth="1"/>
    <col min="5891" max="5891" width="44.140625" style="866" customWidth="1"/>
    <col min="5892" max="5892" width="0" style="866" hidden="1" customWidth="1"/>
    <col min="5893" max="5893" width="28.42578125" style="866" customWidth="1"/>
    <col min="5894" max="5894" width="25.28515625" style="866" customWidth="1"/>
    <col min="5895" max="5895" width="0" style="866" hidden="1" customWidth="1"/>
    <col min="5896" max="5896" width="19.5703125" style="866" customWidth="1"/>
    <col min="5897" max="5897" width="12.7109375" style="866" customWidth="1"/>
    <col min="5898" max="5898" width="16" style="866" customWidth="1"/>
    <col min="5899" max="5899" width="18.42578125" style="866" customWidth="1"/>
    <col min="5900" max="5900" width="9.5703125" style="866" customWidth="1"/>
    <col min="5901" max="5901" width="21.28515625" style="866" customWidth="1"/>
    <col min="5902" max="5902" width="7.5703125" style="866" customWidth="1"/>
    <col min="5903" max="5903" width="9.5703125" style="866" customWidth="1"/>
    <col min="5904" max="5904" width="5.5703125" style="866" customWidth="1"/>
    <col min="5905" max="5905" width="15" style="866" customWidth="1"/>
    <col min="5906" max="5906" width="11.7109375" style="866" customWidth="1"/>
    <col min="5907" max="5907" width="9.85546875" style="866" customWidth="1"/>
    <col min="5908" max="5908" width="17" style="866" customWidth="1"/>
    <col min="5909" max="5909" width="24.42578125" style="866" customWidth="1"/>
    <col min="5910" max="5910" width="17" style="866" customWidth="1"/>
    <col min="5911" max="6144" width="11.42578125" style="866"/>
    <col min="6145" max="6145" width="14.5703125" style="866" customWidth="1"/>
    <col min="6146" max="6146" width="17" style="866" customWidth="1"/>
    <col min="6147" max="6147" width="44.140625" style="866" customWidth="1"/>
    <col min="6148" max="6148" width="0" style="866" hidden="1" customWidth="1"/>
    <col min="6149" max="6149" width="28.42578125" style="866" customWidth="1"/>
    <col min="6150" max="6150" width="25.28515625" style="866" customWidth="1"/>
    <col min="6151" max="6151" width="0" style="866" hidden="1" customWidth="1"/>
    <col min="6152" max="6152" width="19.5703125" style="866" customWidth="1"/>
    <col min="6153" max="6153" width="12.7109375" style="866" customWidth="1"/>
    <col min="6154" max="6154" width="16" style="866" customWidth="1"/>
    <col min="6155" max="6155" width="18.42578125" style="866" customWidth="1"/>
    <col min="6156" max="6156" width="9.5703125" style="866" customWidth="1"/>
    <col min="6157" max="6157" width="21.28515625" style="866" customWidth="1"/>
    <col min="6158" max="6158" width="7.5703125" style="866" customWidth="1"/>
    <col min="6159" max="6159" width="9.5703125" style="866" customWidth="1"/>
    <col min="6160" max="6160" width="5.5703125" style="866" customWidth="1"/>
    <col min="6161" max="6161" width="15" style="866" customWidth="1"/>
    <col min="6162" max="6162" width="11.7109375" style="866" customWidth="1"/>
    <col min="6163" max="6163" width="9.85546875" style="866" customWidth="1"/>
    <col min="6164" max="6164" width="17" style="866" customWidth="1"/>
    <col min="6165" max="6165" width="24.42578125" style="866" customWidth="1"/>
    <col min="6166" max="6166" width="17" style="866" customWidth="1"/>
    <col min="6167" max="6400" width="11.42578125" style="866"/>
    <col min="6401" max="6401" width="14.5703125" style="866" customWidth="1"/>
    <col min="6402" max="6402" width="17" style="866" customWidth="1"/>
    <col min="6403" max="6403" width="44.140625" style="866" customWidth="1"/>
    <col min="6404" max="6404" width="0" style="866" hidden="1" customWidth="1"/>
    <col min="6405" max="6405" width="28.42578125" style="866" customWidth="1"/>
    <col min="6406" max="6406" width="25.28515625" style="866" customWidth="1"/>
    <col min="6407" max="6407" width="0" style="866" hidden="1" customWidth="1"/>
    <col min="6408" max="6408" width="19.5703125" style="866" customWidth="1"/>
    <col min="6409" max="6409" width="12.7109375" style="866" customWidth="1"/>
    <col min="6410" max="6410" width="16" style="866" customWidth="1"/>
    <col min="6411" max="6411" width="18.42578125" style="866" customWidth="1"/>
    <col min="6412" max="6412" width="9.5703125" style="866" customWidth="1"/>
    <col min="6413" max="6413" width="21.28515625" style="866" customWidth="1"/>
    <col min="6414" max="6414" width="7.5703125" style="866" customWidth="1"/>
    <col min="6415" max="6415" width="9.5703125" style="866" customWidth="1"/>
    <col min="6416" max="6416" width="5.5703125" style="866" customWidth="1"/>
    <col min="6417" max="6417" width="15" style="866" customWidth="1"/>
    <col min="6418" max="6418" width="11.7109375" style="866" customWidth="1"/>
    <col min="6419" max="6419" width="9.85546875" style="866" customWidth="1"/>
    <col min="6420" max="6420" width="17" style="866" customWidth="1"/>
    <col min="6421" max="6421" width="24.42578125" style="866" customWidth="1"/>
    <col min="6422" max="6422" width="17" style="866" customWidth="1"/>
    <col min="6423" max="6656" width="11.42578125" style="866"/>
    <col min="6657" max="6657" width="14.5703125" style="866" customWidth="1"/>
    <col min="6658" max="6658" width="17" style="866" customWidth="1"/>
    <col min="6659" max="6659" width="44.140625" style="866" customWidth="1"/>
    <col min="6660" max="6660" width="0" style="866" hidden="1" customWidth="1"/>
    <col min="6661" max="6661" width="28.42578125" style="866" customWidth="1"/>
    <col min="6662" max="6662" width="25.28515625" style="866" customWidth="1"/>
    <col min="6663" max="6663" width="0" style="866" hidden="1" customWidth="1"/>
    <col min="6664" max="6664" width="19.5703125" style="866" customWidth="1"/>
    <col min="6665" max="6665" width="12.7109375" style="866" customWidth="1"/>
    <col min="6666" max="6666" width="16" style="866" customWidth="1"/>
    <col min="6667" max="6667" width="18.42578125" style="866" customWidth="1"/>
    <col min="6668" max="6668" width="9.5703125" style="866" customWidth="1"/>
    <col min="6669" max="6669" width="21.28515625" style="866" customWidth="1"/>
    <col min="6670" max="6670" width="7.5703125" style="866" customWidth="1"/>
    <col min="6671" max="6671" width="9.5703125" style="866" customWidth="1"/>
    <col min="6672" max="6672" width="5.5703125" style="866" customWidth="1"/>
    <col min="6673" max="6673" width="15" style="866" customWidth="1"/>
    <col min="6674" max="6674" width="11.7109375" style="866" customWidth="1"/>
    <col min="6675" max="6675" width="9.85546875" style="866" customWidth="1"/>
    <col min="6676" max="6676" width="17" style="866" customWidth="1"/>
    <col min="6677" max="6677" width="24.42578125" style="866" customWidth="1"/>
    <col min="6678" max="6678" width="17" style="866" customWidth="1"/>
    <col min="6679" max="6912" width="11.42578125" style="866"/>
    <col min="6913" max="6913" width="14.5703125" style="866" customWidth="1"/>
    <col min="6914" max="6914" width="17" style="866" customWidth="1"/>
    <col min="6915" max="6915" width="44.140625" style="866" customWidth="1"/>
    <col min="6916" max="6916" width="0" style="866" hidden="1" customWidth="1"/>
    <col min="6917" max="6917" width="28.42578125" style="866" customWidth="1"/>
    <col min="6918" max="6918" width="25.28515625" style="866" customWidth="1"/>
    <col min="6919" max="6919" width="0" style="866" hidden="1" customWidth="1"/>
    <col min="6920" max="6920" width="19.5703125" style="866" customWidth="1"/>
    <col min="6921" max="6921" width="12.7109375" style="866" customWidth="1"/>
    <col min="6922" max="6922" width="16" style="866" customWidth="1"/>
    <col min="6923" max="6923" width="18.42578125" style="866" customWidth="1"/>
    <col min="6924" max="6924" width="9.5703125" style="866" customWidth="1"/>
    <col min="6925" max="6925" width="21.28515625" style="866" customWidth="1"/>
    <col min="6926" max="6926" width="7.5703125" style="866" customWidth="1"/>
    <col min="6927" max="6927" width="9.5703125" style="866" customWidth="1"/>
    <col min="6928" max="6928" width="5.5703125" style="866" customWidth="1"/>
    <col min="6929" max="6929" width="15" style="866" customWidth="1"/>
    <col min="6930" max="6930" width="11.7109375" style="866" customWidth="1"/>
    <col min="6931" max="6931" width="9.85546875" style="866" customWidth="1"/>
    <col min="6932" max="6932" width="17" style="866" customWidth="1"/>
    <col min="6933" max="6933" width="24.42578125" style="866" customWidth="1"/>
    <col min="6934" max="6934" width="17" style="866" customWidth="1"/>
    <col min="6935" max="7168" width="11.42578125" style="866"/>
    <col min="7169" max="7169" width="14.5703125" style="866" customWidth="1"/>
    <col min="7170" max="7170" width="17" style="866" customWidth="1"/>
    <col min="7171" max="7171" width="44.140625" style="866" customWidth="1"/>
    <col min="7172" max="7172" width="0" style="866" hidden="1" customWidth="1"/>
    <col min="7173" max="7173" width="28.42578125" style="866" customWidth="1"/>
    <col min="7174" max="7174" width="25.28515625" style="866" customWidth="1"/>
    <col min="7175" max="7175" width="0" style="866" hidden="1" customWidth="1"/>
    <col min="7176" max="7176" width="19.5703125" style="866" customWidth="1"/>
    <col min="7177" max="7177" width="12.7109375" style="866" customWidth="1"/>
    <col min="7178" max="7178" width="16" style="866" customWidth="1"/>
    <col min="7179" max="7179" width="18.42578125" style="866" customWidth="1"/>
    <col min="7180" max="7180" width="9.5703125" style="866" customWidth="1"/>
    <col min="7181" max="7181" width="21.28515625" style="866" customWidth="1"/>
    <col min="7182" max="7182" width="7.5703125" style="866" customWidth="1"/>
    <col min="7183" max="7183" width="9.5703125" style="866" customWidth="1"/>
    <col min="7184" max="7184" width="5.5703125" style="866" customWidth="1"/>
    <col min="7185" max="7185" width="15" style="866" customWidth="1"/>
    <col min="7186" max="7186" width="11.7109375" style="866" customWidth="1"/>
    <col min="7187" max="7187" width="9.85546875" style="866" customWidth="1"/>
    <col min="7188" max="7188" width="17" style="866" customWidth="1"/>
    <col min="7189" max="7189" width="24.42578125" style="866" customWidth="1"/>
    <col min="7190" max="7190" width="17" style="866" customWidth="1"/>
    <col min="7191" max="7424" width="11.42578125" style="866"/>
    <col min="7425" max="7425" width="14.5703125" style="866" customWidth="1"/>
    <col min="7426" max="7426" width="17" style="866" customWidth="1"/>
    <col min="7427" max="7427" width="44.140625" style="866" customWidth="1"/>
    <col min="7428" max="7428" width="0" style="866" hidden="1" customWidth="1"/>
    <col min="7429" max="7429" width="28.42578125" style="866" customWidth="1"/>
    <col min="7430" max="7430" width="25.28515625" style="866" customWidth="1"/>
    <col min="7431" max="7431" width="0" style="866" hidden="1" customWidth="1"/>
    <col min="7432" max="7432" width="19.5703125" style="866" customWidth="1"/>
    <col min="7433" max="7433" width="12.7109375" style="866" customWidth="1"/>
    <col min="7434" max="7434" width="16" style="866" customWidth="1"/>
    <col min="7435" max="7435" width="18.42578125" style="866" customWidth="1"/>
    <col min="7436" max="7436" width="9.5703125" style="866" customWidth="1"/>
    <col min="7437" max="7437" width="21.28515625" style="866" customWidth="1"/>
    <col min="7438" max="7438" width="7.5703125" style="866" customWidth="1"/>
    <col min="7439" max="7439" width="9.5703125" style="866" customWidth="1"/>
    <col min="7440" max="7440" width="5.5703125" style="866" customWidth="1"/>
    <col min="7441" max="7441" width="15" style="866" customWidth="1"/>
    <col min="7442" max="7442" width="11.7109375" style="866" customWidth="1"/>
    <col min="7443" max="7443" width="9.85546875" style="866" customWidth="1"/>
    <col min="7444" max="7444" width="17" style="866" customWidth="1"/>
    <col min="7445" max="7445" width="24.42578125" style="866" customWidth="1"/>
    <col min="7446" max="7446" width="17" style="866" customWidth="1"/>
    <col min="7447" max="7680" width="11.42578125" style="866"/>
    <col min="7681" max="7681" width="14.5703125" style="866" customWidth="1"/>
    <col min="7682" max="7682" width="17" style="866" customWidth="1"/>
    <col min="7683" max="7683" width="44.140625" style="866" customWidth="1"/>
    <col min="7684" max="7684" width="0" style="866" hidden="1" customWidth="1"/>
    <col min="7685" max="7685" width="28.42578125" style="866" customWidth="1"/>
    <col min="7686" max="7686" width="25.28515625" style="866" customWidth="1"/>
    <col min="7687" max="7687" width="0" style="866" hidden="1" customWidth="1"/>
    <col min="7688" max="7688" width="19.5703125" style="866" customWidth="1"/>
    <col min="7689" max="7689" width="12.7109375" style="866" customWidth="1"/>
    <col min="7690" max="7690" width="16" style="866" customWidth="1"/>
    <col min="7691" max="7691" width="18.42578125" style="866" customWidth="1"/>
    <col min="7692" max="7692" width="9.5703125" style="866" customWidth="1"/>
    <col min="7693" max="7693" width="21.28515625" style="866" customWidth="1"/>
    <col min="7694" max="7694" width="7.5703125" style="866" customWidth="1"/>
    <col min="7695" max="7695" width="9.5703125" style="866" customWidth="1"/>
    <col min="7696" max="7696" width="5.5703125" style="866" customWidth="1"/>
    <col min="7697" max="7697" width="15" style="866" customWidth="1"/>
    <col min="7698" max="7698" width="11.7109375" style="866" customWidth="1"/>
    <col min="7699" max="7699" width="9.85546875" style="866" customWidth="1"/>
    <col min="7700" max="7700" width="17" style="866" customWidth="1"/>
    <col min="7701" max="7701" width="24.42578125" style="866" customWidth="1"/>
    <col min="7702" max="7702" width="17" style="866" customWidth="1"/>
    <col min="7703" max="7936" width="11.42578125" style="866"/>
    <col min="7937" max="7937" width="14.5703125" style="866" customWidth="1"/>
    <col min="7938" max="7938" width="17" style="866" customWidth="1"/>
    <col min="7939" max="7939" width="44.140625" style="866" customWidth="1"/>
    <col min="7940" max="7940" width="0" style="866" hidden="1" customWidth="1"/>
    <col min="7941" max="7941" width="28.42578125" style="866" customWidth="1"/>
    <col min="7942" max="7942" width="25.28515625" style="866" customWidth="1"/>
    <col min="7943" max="7943" width="0" style="866" hidden="1" customWidth="1"/>
    <col min="7944" max="7944" width="19.5703125" style="866" customWidth="1"/>
    <col min="7945" max="7945" width="12.7109375" style="866" customWidth="1"/>
    <col min="7946" max="7946" width="16" style="866" customWidth="1"/>
    <col min="7947" max="7947" width="18.42578125" style="866" customWidth="1"/>
    <col min="7948" max="7948" width="9.5703125" style="866" customWidth="1"/>
    <col min="7949" max="7949" width="21.28515625" style="866" customWidth="1"/>
    <col min="7950" max="7950" width="7.5703125" style="866" customWidth="1"/>
    <col min="7951" max="7951" width="9.5703125" style="866" customWidth="1"/>
    <col min="7952" max="7952" width="5.5703125" style="866" customWidth="1"/>
    <col min="7953" max="7953" width="15" style="866" customWidth="1"/>
    <col min="7954" max="7954" width="11.7109375" style="866" customWidth="1"/>
    <col min="7955" max="7955" width="9.85546875" style="866" customWidth="1"/>
    <col min="7956" max="7956" width="17" style="866" customWidth="1"/>
    <col min="7957" max="7957" width="24.42578125" style="866" customWidth="1"/>
    <col min="7958" max="7958" width="17" style="866" customWidth="1"/>
    <col min="7959" max="8192" width="11.42578125" style="866"/>
    <col min="8193" max="8193" width="14.5703125" style="866" customWidth="1"/>
    <col min="8194" max="8194" width="17" style="866" customWidth="1"/>
    <col min="8195" max="8195" width="44.140625" style="866" customWidth="1"/>
    <col min="8196" max="8196" width="0" style="866" hidden="1" customWidth="1"/>
    <col min="8197" max="8197" width="28.42578125" style="866" customWidth="1"/>
    <col min="8198" max="8198" width="25.28515625" style="866" customWidth="1"/>
    <col min="8199" max="8199" width="0" style="866" hidden="1" customWidth="1"/>
    <col min="8200" max="8200" width="19.5703125" style="866" customWidth="1"/>
    <col min="8201" max="8201" width="12.7109375" style="866" customWidth="1"/>
    <col min="8202" max="8202" width="16" style="866" customWidth="1"/>
    <col min="8203" max="8203" width="18.42578125" style="866" customWidth="1"/>
    <col min="8204" max="8204" width="9.5703125" style="866" customWidth="1"/>
    <col min="8205" max="8205" width="21.28515625" style="866" customWidth="1"/>
    <col min="8206" max="8206" width="7.5703125" style="866" customWidth="1"/>
    <col min="8207" max="8207" width="9.5703125" style="866" customWidth="1"/>
    <col min="8208" max="8208" width="5.5703125" style="866" customWidth="1"/>
    <col min="8209" max="8209" width="15" style="866" customWidth="1"/>
    <col min="8210" max="8210" width="11.7109375" style="866" customWidth="1"/>
    <col min="8211" max="8211" width="9.85546875" style="866" customWidth="1"/>
    <col min="8212" max="8212" width="17" style="866" customWidth="1"/>
    <col min="8213" max="8213" width="24.42578125" style="866" customWidth="1"/>
    <col min="8214" max="8214" width="17" style="866" customWidth="1"/>
    <col min="8215" max="8448" width="11.42578125" style="866"/>
    <col min="8449" max="8449" width="14.5703125" style="866" customWidth="1"/>
    <col min="8450" max="8450" width="17" style="866" customWidth="1"/>
    <col min="8451" max="8451" width="44.140625" style="866" customWidth="1"/>
    <col min="8452" max="8452" width="0" style="866" hidden="1" customWidth="1"/>
    <col min="8453" max="8453" width="28.42578125" style="866" customWidth="1"/>
    <col min="8454" max="8454" width="25.28515625" style="866" customWidth="1"/>
    <col min="8455" max="8455" width="0" style="866" hidden="1" customWidth="1"/>
    <col min="8456" max="8456" width="19.5703125" style="866" customWidth="1"/>
    <col min="8457" max="8457" width="12.7109375" style="866" customWidth="1"/>
    <col min="8458" max="8458" width="16" style="866" customWidth="1"/>
    <col min="8459" max="8459" width="18.42578125" style="866" customWidth="1"/>
    <col min="8460" max="8460" width="9.5703125" style="866" customWidth="1"/>
    <col min="8461" max="8461" width="21.28515625" style="866" customWidth="1"/>
    <col min="8462" max="8462" width="7.5703125" style="866" customWidth="1"/>
    <col min="8463" max="8463" width="9.5703125" style="866" customWidth="1"/>
    <col min="8464" max="8464" width="5.5703125" style="866" customWidth="1"/>
    <col min="8465" max="8465" width="15" style="866" customWidth="1"/>
    <col min="8466" max="8466" width="11.7109375" style="866" customWidth="1"/>
    <col min="8467" max="8467" width="9.85546875" style="866" customWidth="1"/>
    <col min="8468" max="8468" width="17" style="866" customWidth="1"/>
    <col min="8469" max="8469" width="24.42578125" style="866" customWidth="1"/>
    <col min="8470" max="8470" width="17" style="866" customWidth="1"/>
    <col min="8471" max="8704" width="11.42578125" style="866"/>
    <col min="8705" max="8705" width="14.5703125" style="866" customWidth="1"/>
    <col min="8706" max="8706" width="17" style="866" customWidth="1"/>
    <col min="8707" max="8707" width="44.140625" style="866" customWidth="1"/>
    <col min="8708" max="8708" width="0" style="866" hidden="1" customWidth="1"/>
    <col min="8709" max="8709" width="28.42578125" style="866" customWidth="1"/>
    <col min="8710" max="8710" width="25.28515625" style="866" customWidth="1"/>
    <col min="8711" max="8711" width="0" style="866" hidden="1" customWidth="1"/>
    <col min="8712" max="8712" width="19.5703125" style="866" customWidth="1"/>
    <col min="8713" max="8713" width="12.7109375" style="866" customWidth="1"/>
    <col min="8714" max="8714" width="16" style="866" customWidth="1"/>
    <col min="8715" max="8715" width="18.42578125" style="866" customWidth="1"/>
    <col min="8716" max="8716" width="9.5703125" style="866" customWidth="1"/>
    <col min="8717" max="8717" width="21.28515625" style="866" customWidth="1"/>
    <col min="8718" max="8718" width="7.5703125" style="866" customWidth="1"/>
    <col min="8719" max="8719" width="9.5703125" style="866" customWidth="1"/>
    <col min="8720" max="8720" width="5.5703125" style="866" customWidth="1"/>
    <col min="8721" max="8721" width="15" style="866" customWidth="1"/>
    <col min="8722" max="8722" width="11.7109375" style="866" customWidth="1"/>
    <col min="8723" max="8723" width="9.85546875" style="866" customWidth="1"/>
    <col min="8724" max="8724" width="17" style="866" customWidth="1"/>
    <col min="8725" max="8725" width="24.42578125" style="866" customWidth="1"/>
    <col min="8726" max="8726" width="17" style="866" customWidth="1"/>
    <col min="8727" max="8960" width="11.42578125" style="866"/>
    <col min="8961" max="8961" width="14.5703125" style="866" customWidth="1"/>
    <col min="8962" max="8962" width="17" style="866" customWidth="1"/>
    <col min="8963" max="8963" width="44.140625" style="866" customWidth="1"/>
    <col min="8964" max="8964" width="0" style="866" hidden="1" customWidth="1"/>
    <col min="8965" max="8965" width="28.42578125" style="866" customWidth="1"/>
    <col min="8966" max="8966" width="25.28515625" style="866" customWidth="1"/>
    <col min="8967" max="8967" width="0" style="866" hidden="1" customWidth="1"/>
    <col min="8968" max="8968" width="19.5703125" style="866" customWidth="1"/>
    <col min="8969" max="8969" width="12.7109375" style="866" customWidth="1"/>
    <col min="8970" max="8970" width="16" style="866" customWidth="1"/>
    <col min="8971" max="8971" width="18.42578125" style="866" customWidth="1"/>
    <col min="8972" max="8972" width="9.5703125" style="866" customWidth="1"/>
    <col min="8973" max="8973" width="21.28515625" style="866" customWidth="1"/>
    <col min="8974" max="8974" width="7.5703125" style="866" customWidth="1"/>
    <col min="8975" max="8975" width="9.5703125" style="866" customWidth="1"/>
    <col min="8976" max="8976" width="5.5703125" style="866" customWidth="1"/>
    <col min="8977" max="8977" width="15" style="866" customWidth="1"/>
    <col min="8978" max="8978" width="11.7109375" style="866" customWidth="1"/>
    <col min="8979" max="8979" width="9.85546875" style="866" customWidth="1"/>
    <col min="8980" max="8980" width="17" style="866" customWidth="1"/>
    <col min="8981" max="8981" width="24.42578125" style="866" customWidth="1"/>
    <col min="8982" max="8982" width="17" style="866" customWidth="1"/>
    <col min="8983" max="9216" width="11.42578125" style="866"/>
    <col min="9217" max="9217" width="14.5703125" style="866" customWidth="1"/>
    <col min="9218" max="9218" width="17" style="866" customWidth="1"/>
    <col min="9219" max="9219" width="44.140625" style="866" customWidth="1"/>
    <col min="9220" max="9220" width="0" style="866" hidden="1" customWidth="1"/>
    <col min="9221" max="9221" width="28.42578125" style="866" customWidth="1"/>
    <col min="9222" max="9222" width="25.28515625" style="866" customWidth="1"/>
    <col min="9223" max="9223" width="0" style="866" hidden="1" customWidth="1"/>
    <col min="9224" max="9224" width="19.5703125" style="866" customWidth="1"/>
    <col min="9225" max="9225" width="12.7109375" style="866" customWidth="1"/>
    <col min="9226" max="9226" width="16" style="866" customWidth="1"/>
    <col min="9227" max="9227" width="18.42578125" style="866" customWidth="1"/>
    <col min="9228" max="9228" width="9.5703125" style="866" customWidth="1"/>
    <col min="9229" max="9229" width="21.28515625" style="866" customWidth="1"/>
    <col min="9230" max="9230" width="7.5703125" style="866" customWidth="1"/>
    <col min="9231" max="9231" width="9.5703125" style="866" customWidth="1"/>
    <col min="9232" max="9232" width="5.5703125" style="866" customWidth="1"/>
    <col min="9233" max="9233" width="15" style="866" customWidth="1"/>
    <col min="9234" max="9234" width="11.7109375" style="866" customWidth="1"/>
    <col min="9235" max="9235" width="9.85546875" style="866" customWidth="1"/>
    <col min="9236" max="9236" width="17" style="866" customWidth="1"/>
    <col min="9237" max="9237" width="24.42578125" style="866" customWidth="1"/>
    <col min="9238" max="9238" width="17" style="866" customWidth="1"/>
    <col min="9239" max="9472" width="11.42578125" style="866"/>
    <col min="9473" max="9473" width="14.5703125" style="866" customWidth="1"/>
    <col min="9474" max="9474" width="17" style="866" customWidth="1"/>
    <col min="9475" max="9475" width="44.140625" style="866" customWidth="1"/>
    <col min="9476" max="9476" width="0" style="866" hidden="1" customWidth="1"/>
    <col min="9477" max="9477" width="28.42578125" style="866" customWidth="1"/>
    <col min="9478" max="9478" width="25.28515625" style="866" customWidth="1"/>
    <col min="9479" max="9479" width="0" style="866" hidden="1" customWidth="1"/>
    <col min="9480" max="9480" width="19.5703125" style="866" customWidth="1"/>
    <col min="9481" max="9481" width="12.7109375" style="866" customWidth="1"/>
    <col min="9482" max="9482" width="16" style="866" customWidth="1"/>
    <col min="9483" max="9483" width="18.42578125" style="866" customWidth="1"/>
    <col min="9484" max="9484" width="9.5703125" style="866" customWidth="1"/>
    <col min="9485" max="9485" width="21.28515625" style="866" customWidth="1"/>
    <col min="9486" max="9486" width="7.5703125" style="866" customWidth="1"/>
    <col min="9487" max="9487" width="9.5703125" style="866" customWidth="1"/>
    <col min="9488" max="9488" width="5.5703125" style="866" customWidth="1"/>
    <col min="9489" max="9489" width="15" style="866" customWidth="1"/>
    <col min="9490" max="9490" width="11.7109375" style="866" customWidth="1"/>
    <col min="9491" max="9491" width="9.85546875" style="866" customWidth="1"/>
    <col min="9492" max="9492" width="17" style="866" customWidth="1"/>
    <col min="9493" max="9493" width="24.42578125" style="866" customWidth="1"/>
    <col min="9494" max="9494" width="17" style="866" customWidth="1"/>
    <col min="9495" max="9728" width="11.42578125" style="866"/>
    <col min="9729" max="9729" width="14.5703125" style="866" customWidth="1"/>
    <col min="9730" max="9730" width="17" style="866" customWidth="1"/>
    <col min="9731" max="9731" width="44.140625" style="866" customWidth="1"/>
    <col min="9732" max="9732" width="0" style="866" hidden="1" customWidth="1"/>
    <col min="9733" max="9733" width="28.42578125" style="866" customWidth="1"/>
    <col min="9734" max="9734" width="25.28515625" style="866" customWidth="1"/>
    <col min="9735" max="9735" width="0" style="866" hidden="1" customWidth="1"/>
    <col min="9736" max="9736" width="19.5703125" style="866" customWidth="1"/>
    <col min="9737" max="9737" width="12.7109375" style="866" customWidth="1"/>
    <col min="9738" max="9738" width="16" style="866" customWidth="1"/>
    <col min="9739" max="9739" width="18.42578125" style="866" customWidth="1"/>
    <col min="9740" max="9740" width="9.5703125" style="866" customWidth="1"/>
    <col min="9741" max="9741" width="21.28515625" style="866" customWidth="1"/>
    <col min="9742" max="9742" width="7.5703125" style="866" customWidth="1"/>
    <col min="9743" max="9743" width="9.5703125" style="866" customWidth="1"/>
    <col min="9744" max="9744" width="5.5703125" style="866" customWidth="1"/>
    <col min="9745" max="9745" width="15" style="866" customWidth="1"/>
    <col min="9746" max="9746" width="11.7109375" style="866" customWidth="1"/>
    <col min="9747" max="9747" width="9.85546875" style="866" customWidth="1"/>
    <col min="9748" max="9748" width="17" style="866" customWidth="1"/>
    <col min="9749" max="9749" width="24.42578125" style="866" customWidth="1"/>
    <col min="9750" max="9750" width="17" style="866" customWidth="1"/>
    <col min="9751" max="9984" width="11.42578125" style="866"/>
    <col min="9985" max="9985" width="14.5703125" style="866" customWidth="1"/>
    <col min="9986" max="9986" width="17" style="866" customWidth="1"/>
    <col min="9987" max="9987" width="44.140625" style="866" customWidth="1"/>
    <col min="9988" max="9988" width="0" style="866" hidden="1" customWidth="1"/>
    <col min="9989" max="9989" width="28.42578125" style="866" customWidth="1"/>
    <col min="9990" max="9990" width="25.28515625" style="866" customWidth="1"/>
    <col min="9991" max="9991" width="0" style="866" hidden="1" customWidth="1"/>
    <col min="9992" max="9992" width="19.5703125" style="866" customWidth="1"/>
    <col min="9993" max="9993" width="12.7109375" style="866" customWidth="1"/>
    <col min="9994" max="9994" width="16" style="866" customWidth="1"/>
    <col min="9995" max="9995" width="18.42578125" style="866" customWidth="1"/>
    <col min="9996" max="9996" width="9.5703125" style="866" customWidth="1"/>
    <col min="9997" max="9997" width="21.28515625" style="866" customWidth="1"/>
    <col min="9998" max="9998" width="7.5703125" style="866" customWidth="1"/>
    <col min="9999" max="9999" width="9.5703125" style="866" customWidth="1"/>
    <col min="10000" max="10000" width="5.5703125" style="866" customWidth="1"/>
    <col min="10001" max="10001" width="15" style="866" customWidth="1"/>
    <col min="10002" max="10002" width="11.7109375" style="866" customWidth="1"/>
    <col min="10003" max="10003" width="9.85546875" style="866" customWidth="1"/>
    <col min="10004" max="10004" width="17" style="866" customWidth="1"/>
    <col min="10005" max="10005" width="24.42578125" style="866" customWidth="1"/>
    <col min="10006" max="10006" width="17" style="866" customWidth="1"/>
    <col min="10007" max="10240" width="11.42578125" style="866"/>
    <col min="10241" max="10241" width="14.5703125" style="866" customWidth="1"/>
    <col min="10242" max="10242" width="17" style="866" customWidth="1"/>
    <col min="10243" max="10243" width="44.140625" style="866" customWidth="1"/>
    <col min="10244" max="10244" width="0" style="866" hidden="1" customWidth="1"/>
    <col min="10245" max="10245" width="28.42578125" style="866" customWidth="1"/>
    <col min="10246" max="10246" width="25.28515625" style="866" customWidth="1"/>
    <col min="10247" max="10247" width="0" style="866" hidden="1" customWidth="1"/>
    <col min="10248" max="10248" width="19.5703125" style="866" customWidth="1"/>
    <col min="10249" max="10249" width="12.7109375" style="866" customWidth="1"/>
    <col min="10250" max="10250" width="16" style="866" customWidth="1"/>
    <col min="10251" max="10251" width="18.42578125" style="866" customWidth="1"/>
    <col min="10252" max="10252" width="9.5703125" style="866" customWidth="1"/>
    <col min="10253" max="10253" width="21.28515625" style="866" customWidth="1"/>
    <col min="10254" max="10254" width="7.5703125" style="866" customWidth="1"/>
    <col min="10255" max="10255" width="9.5703125" style="866" customWidth="1"/>
    <col min="10256" max="10256" width="5.5703125" style="866" customWidth="1"/>
    <col min="10257" max="10257" width="15" style="866" customWidth="1"/>
    <col min="10258" max="10258" width="11.7109375" style="866" customWidth="1"/>
    <col min="10259" max="10259" width="9.85546875" style="866" customWidth="1"/>
    <col min="10260" max="10260" width="17" style="866" customWidth="1"/>
    <col min="10261" max="10261" width="24.42578125" style="866" customWidth="1"/>
    <col min="10262" max="10262" width="17" style="866" customWidth="1"/>
    <col min="10263" max="10496" width="11.42578125" style="866"/>
    <col min="10497" max="10497" width="14.5703125" style="866" customWidth="1"/>
    <col min="10498" max="10498" width="17" style="866" customWidth="1"/>
    <col min="10499" max="10499" width="44.140625" style="866" customWidth="1"/>
    <col min="10500" max="10500" width="0" style="866" hidden="1" customWidth="1"/>
    <col min="10501" max="10501" width="28.42578125" style="866" customWidth="1"/>
    <col min="10502" max="10502" width="25.28515625" style="866" customWidth="1"/>
    <col min="10503" max="10503" width="0" style="866" hidden="1" customWidth="1"/>
    <col min="10504" max="10504" width="19.5703125" style="866" customWidth="1"/>
    <col min="10505" max="10505" width="12.7109375" style="866" customWidth="1"/>
    <col min="10506" max="10506" width="16" style="866" customWidth="1"/>
    <col min="10507" max="10507" width="18.42578125" style="866" customWidth="1"/>
    <col min="10508" max="10508" width="9.5703125" style="866" customWidth="1"/>
    <col min="10509" max="10509" width="21.28515625" style="866" customWidth="1"/>
    <col min="10510" max="10510" width="7.5703125" style="866" customWidth="1"/>
    <col min="10511" max="10511" width="9.5703125" style="866" customWidth="1"/>
    <col min="10512" max="10512" width="5.5703125" style="866" customWidth="1"/>
    <col min="10513" max="10513" width="15" style="866" customWidth="1"/>
    <col min="10514" max="10514" width="11.7109375" style="866" customWidth="1"/>
    <col min="10515" max="10515" width="9.85546875" style="866" customWidth="1"/>
    <col min="10516" max="10516" width="17" style="866" customWidth="1"/>
    <col min="10517" max="10517" width="24.42578125" style="866" customWidth="1"/>
    <col min="10518" max="10518" width="17" style="866" customWidth="1"/>
    <col min="10519" max="10752" width="11.42578125" style="866"/>
    <col min="10753" max="10753" width="14.5703125" style="866" customWidth="1"/>
    <col min="10754" max="10754" width="17" style="866" customWidth="1"/>
    <col min="10755" max="10755" width="44.140625" style="866" customWidth="1"/>
    <col min="10756" max="10756" width="0" style="866" hidden="1" customWidth="1"/>
    <col min="10757" max="10757" width="28.42578125" style="866" customWidth="1"/>
    <col min="10758" max="10758" width="25.28515625" style="866" customWidth="1"/>
    <col min="10759" max="10759" width="0" style="866" hidden="1" customWidth="1"/>
    <col min="10760" max="10760" width="19.5703125" style="866" customWidth="1"/>
    <col min="10761" max="10761" width="12.7109375" style="866" customWidth="1"/>
    <col min="10762" max="10762" width="16" style="866" customWidth="1"/>
    <col min="10763" max="10763" width="18.42578125" style="866" customWidth="1"/>
    <col min="10764" max="10764" width="9.5703125" style="866" customWidth="1"/>
    <col min="10765" max="10765" width="21.28515625" style="866" customWidth="1"/>
    <col min="10766" max="10766" width="7.5703125" style="866" customWidth="1"/>
    <col min="10767" max="10767" width="9.5703125" style="866" customWidth="1"/>
    <col min="10768" max="10768" width="5.5703125" style="866" customWidth="1"/>
    <col min="10769" max="10769" width="15" style="866" customWidth="1"/>
    <col min="10770" max="10770" width="11.7109375" style="866" customWidth="1"/>
    <col min="10771" max="10771" width="9.85546875" style="866" customWidth="1"/>
    <col min="10772" max="10772" width="17" style="866" customWidth="1"/>
    <col min="10773" max="10773" width="24.42578125" style="866" customWidth="1"/>
    <col min="10774" max="10774" width="17" style="866" customWidth="1"/>
    <col min="10775" max="11008" width="11.42578125" style="866"/>
    <col min="11009" max="11009" width="14.5703125" style="866" customWidth="1"/>
    <col min="11010" max="11010" width="17" style="866" customWidth="1"/>
    <col min="11011" max="11011" width="44.140625" style="866" customWidth="1"/>
    <col min="11012" max="11012" width="0" style="866" hidden="1" customWidth="1"/>
    <col min="11013" max="11013" width="28.42578125" style="866" customWidth="1"/>
    <col min="11014" max="11014" width="25.28515625" style="866" customWidth="1"/>
    <col min="11015" max="11015" width="0" style="866" hidden="1" customWidth="1"/>
    <col min="11016" max="11016" width="19.5703125" style="866" customWidth="1"/>
    <col min="11017" max="11017" width="12.7109375" style="866" customWidth="1"/>
    <col min="11018" max="11018" width="16" style="866" customWidth="1"/>
    <col min="11019" max="11019" width="18.42578125" style="866" customWidth="1"/>
    <col min="11020" max="11020" width="9.5703125" style="866" customWidth="1"/>
    <col min="11021" max="11021" width="21.28515625" style="866" customWidth="1"/>
    <col min="11022" max="11022" width="7.5703125" style="866" customWidth="1"/>
    <col min="11023" max="11023" width="9.5703125" style="866" customWidth="1"/>
    <col min="11024" max="11024" width="5.5703125" style="866" customWidth="1"/>
    <col min="11025" max="11025" width="15" style="866" customWidth="1"/>
    <col min="11026" max="11026" width="11.7109375" style="866" customWidth="1"/>
    <col min="11027" max="11027" width="9.85546875" style="866" customWidth="1"/>
    <col min="11028" max="11028" width="17" style="866" customWidth="1"/>
    <col min="11029" max="11029" width="24.42578125" style="866" customWidth="1"/>
    <col min="11030" max="11030" width="17" style="866" customWidth="1"/>
    <col min="11031" max="11264" width="11.42578125" style="866"/>
    <col min="11265" max="11265" width="14.5703125" style="866" customWidth="1"/>
    <col min="11266" max="11266" width="17" style="866" customWidth="1"/>
    <col min="11267" max="11267" width="44.140625" style="866" customWidth="1"/>
    <col min="11268" max="11268" width="0" style="866" hidden="1" customWidth="1"/>
    <col min="11269" max="11269" width="28.42578125" style="866" customWidth="1"/>
    <col min="11270" max="11270" width="25.28515625" style="866" customWidth="1"/>
    <col min="11271" max="11271" width="0" style="866" hidden="1" customWidth="1"/>
    <col min="11272" max="11272" width="19.5703125" style="866" customWidth="1"/>
    <col min="11273" max="11273" width="12.7109375" style="866" customWidth="1"/>
    <col min="11274" max="11274" width="16" style="866" customWidth="1"/>
    <col min="11275" max="11275" width="18.42578125" style="866" customWidth="1"/>
    <col min="11276" max="11276" width="9.5703125" style="866" customWidth="1"/>
    <col min="11277" max="11277" width="21.28515625" style="866" customWidth="1"/>
    <col min="11278" max="11278" width="7.5703125" style="866" customWidth="1"/>
    <col min="11279" max="11279" width="9.5703125" style="866" customWidth="1"/>
    <col min="11280" max="11280" width="5.5703125" style="866" customWidth="1"/>
    <col min="11281" max="11281" width="15" style="866" customWidth="1"/>
    <col min="11282" max="11282" width="11.7109375" style="866" customWidth="1"/>
    <col min="11283" max="11283" width="9.85546875" style="866" customWidth="1"/>
    <col min="11284" max="11284" width="17" style="866" customWidth="1"/>
    <col min="11285" max="11285" width="24.42578125" style="866" customWidth="1"/>
    <col min="11286" max="11286" width="17" style="866" customWidth="1"/>
    <col min="11287" max="11520" width="11.42578125" style="866"/>
    <col min="11521" max="11521" width="14.5703125" style="866" customWidth="1"/>
    <col min="11522" max="11522" width="17" style="866" customWidth="1"/>
    <col min="11523" max="11523" width="44.140625" style="866" customWidth="1"/>
    <col min="11524" max="11524" width="0" style="866" hidden="1" customWidth="1"/>
    <col min="11525" max="11525" width="28.42578125" style="866" customWidth="1"/>
    <col min="11526" max="11526" width="25.28515625" style="866" customWidth="1"/>
    <col min="11527" max="11527" width="0" style="866" hidden="1" customWidth="1"/>
    <col min="11528" max="11528" width="19.5703125" style="866" customWidth="1"/>
    <col min="11529" max="11529" width="12.7109375" style="866" customWidth="1"/>
    <col min="11530" max="11530" width="16" style="866" customWidth="1"/>
    <col min="11531" max="11531" width="18.42578125" style="866" customWidth="1"/>
    <col min="11532" max="11532" width="9.5703125" style="866" customWidth="1"/>
    <col min="11533" max="11533" width="21.28515625" style="866" customWidth="1"/>
    <col min="11534" max="11534" width="7.5703125" style="866" customWidth="1"/>
    <col min="11535" max="11535" width="9.5703125" style="866" customWidth="1"/>
    <col min="11536" max="11536" width="5.5703125" style="866" customWidth="1"/>
    <col min="11537" max="11537" width="15" style="866" customWidth="1"/>
    <col min="11538" max="11538" width="11.7109375" style="866" customWidth="1"/>
    <col min="11539" max="11539" width="9.85546875" style="866" customWidth="1"/>
    <col min="11540" max="11540" width="17" style="866" customWidth="1"/>
    <col min="11541" max="11541" width="24.42578125" style="866" customWidth="1"/>
    <col min="11542" max="11542" width="17" style="866" customWidth="1"/>
    <col min="11543" max="11776" width="11.42578125" style="866"/>
    <col min="11777" max="11777" width="14.5703125" style="866" customWidth="1"/>
    <col min="11778" max="11778" width="17" style="866" customWidth="1"/>
    <col min="11779" max="11779" width="44.140625" style="866" customWidth="1"/>
    <col min="11780" max="11780" width="0" style="866" hidden="1" customWidth="1"/>
    <col min="11781" max="11781" width="28.42578125" style="866" customWidth="1"/>
    <col min="11782" max="11782" width="25.28515625" style="866" customWidth="1"/>
    <col min="11783" max="11783" width="0" style="866" hidden="1" customWidth="1"/>
    <col min="11784" max="11784" width="19.5703125" style="866" customWidth="1"/>
    <col min="11785" max="11785" width="12.7109375" style="866" customWidth="1"/>
    <col min="11786" max="11786" width="16" style="866" customWidth="1"/>
    <col min="11787" max="11787" width="18.42578125" style="866" customWidth="1"/>
    <col min="11788" max="11788" width="9.5703125" style="866" customWidth="1"/>
    <col min="11789" max="11789" width="21.28515625" style="866" customWidth="1"/>
    <col min="11790" max="11790" width="7.5703125" style="866" customWidth="1"/>
    <col min="11791" max="11791" width="9.5703125" style="866" customWidth="1"/>
    <col min="11792" max="11792" width="5.5703125" style="866" customWidth="1"/>
    <col min="11793" max="11793" width="15" style="866" customWidth="1"/>
    <col min="11794" max="11794" width="11.7109375" style="866" customWidth="1"/>
    <col min="11795" max="11795" width="9.85546875" style="866" customWidth="1"/>
    <col min="11796" max="11796" width="17" style="866" customWidth="1"/>
    <col min="11797" max="11797" width="24.42578125" style="866" customWidth="1"/>
    <col min="11798" max="11798" width="17" style="866" customWidth="1"/>
    <col min="11799" max="12032" width="11.42578125" style="866"/>
    <col min="12033" max="12033" width="14.5703125" style="866" customWidth="1"/>
    <col min="12034" max="12034" width="17" style="866" customWidth="1"/>
    <col min="12035" max="12035" width="44.140625" style="866" customWidth="1"/>
    <col min="12036" max="12036" width="0" style="866" hidden="1" customWidth="1"/>
    <col min="12037" max="12037" width="28.42578125" style="866" customWidth="1"/>
    <col min="12038" max="12038" width="25.28515625" style="866" customWidth="1"/>
    <col min="12039" max="12039" width="0" style="866" hidden="1" customWidth="1"/>
    <col min="12040" max="12040" width="19.5703125" style="866" customWidth="1"/>
    <col min="12041" max="12041" width="12.7109375" style="866" customWidth="1"/>
    <col min="12042" max="12042" width="16" style="866" customWidth="1"/>
    <col min="12043" max="12043" width="18.42578125" style="866" customWidth="1"/>
    <col min="12044" max="12044" width="9.5703125" style="866" customWidth="1"/>
    <col min="12045" max="12045" width="21.28515625" style="866" customWidth="1"/>
    <col min="12046" max="12046" width="7.5703125" style="866" customWidth="1"/>
    <col min="12047" max="12047" width="9.5703125" style="866" customWidth="1"/>
    <col min="12048" max="12048" width="5.5703125" style="866" customWidth="1"/>
    <col min="12049" max="12049" width="15" style="866" customWidth="1"/>
    <col min="12050" max="12050" width="11.7109375" style="866" customWidth="1"/>
    <col min="12051" max="12051" width="9.85546875" style="866" customWidth="1"/>
    <col min="12052" max="12052" width="17" style="866" customWidth="1"/>
    <col min="12053" max="12053" width="24.42578125" style="866" customWidth="1"/>
    <col min="12054" max="12054" width="17" style="866" customWidth="1"/>
    <col min="12055" max="12288" width="11.42578125" style="866"/>
    <col min="12289" max="12289" width="14.5703125" style="866" customWidth="1"/>
    <col min="12290" max="12290" width="17" style="866" customWidth="1"/>
    <col min="12291" max="12291" width="44.140625" style="866" customWidth="1"/>
    <col min="12292" max="12292" width="0" style="866" hidden="1" customWidth="1"/>
    <col min="12293" max="12293" width="28.42578125" style="866" customWidth="1"/>
    <col min="12294" max="12294" width="25.28515625" style="866" customWidth="1"/>
    <col min="12295" max="12295" width="0" style="866" hidden="1" customWidth="1"/>
    <col min="12296" max="12296" width="19.5703125" style="866" customWidth="1"/>
    <col min="12297" max="12297" width="12.7109375" style="866" customWidth="1"/>
    <col min="12298" max="12298" width="16" style="866" customWidth="1"/>
    <col min="12299" max="12299" width="18.42578125" style="866" customWidth="1"/>
    <col min="12300" max="12300" width="9.5703125" style="866" customWidth="1"/>
    <col min="12301" max="12301" width="21.28515625" style="866" customWidth="1"/>
    <col min="12302" max="12302" width="7.5703125" style="866" customWidth="1"/>
    <col min="12303" max="12303" width="9.5703125" style="866" customWidth="1"/>
    <col min="12304" max="12304" width="5.5703125" style="866" customWidth="1"/>
    <col min="12305" max="12305" width="15" style="866" customWidth="1"/>
    <col min="12306" max="12306" width="11.7109375" style="866" customWidth="1"/>
    <col min="12307" max="12307" width="9.85546875" style="866" customWidth="1"/>
    <col min="12308" max="12308" width="17" style="866" customWidth="1"/>
    <col min="12309" max="12309" width="24.42578125" style="866" customWidth="1"/>
    <col min="12310" max="12310" width="17" style="866" customWidth="1"/>
    <col min="12311" max="12544" width="11.42578125" style="866"/>
    <col min="12545" max="12545" width="14.5703125" style="866" customWidth="1"/>
    <col min="12546" max="12546" width="17" style="866" customWidth="1"/>
    <col min="12547" max="12547" width="44.140625" style="866" customWidth="1"/>
    <col min="12548" max="12548" width="0" style="866" hidden="1" customWidth="1"/>
    <col min="12549" max="12549" width="28.42578125" style="866" customWidth="1"/>
    <col min="12550" max="12550" width="25.28515625" style="866" customWidth="1"/>
    <col min="12551" max="12551" width="0" style="866" hidden="1" customWidth="1"/>
    <col min="12552" max="12552" width="19.5703125" style="866" customWidth="1"/>
    <col min="12553" max="12553" width="12.7109375" style="866" customWidth="1"/>
    <col min="12554" max="12554" width="16" style="866" customWidth="1"/>
    <col min="12555" max="12555" width="18.42578125" style="866" customWidth="1"/>
    <col min="12556" max="12556" width="9.5703125" style="866" customWidth="1"/>
    <col min="12557" max="12557" width="21.28515625" style="866" customWidth="1"/>
    <col min="12558" max="12558" width="7.5703125" style="866" customWidth="1"/>
    <col min="12559" max="12559" width="9.5703125" style="866" customWidth="1"/>
    <col min="12560" max="12560" width="5.5703125" style="866" customWidth="1"/>
    <col min="12561" max="12561" width="15" style="866" customWidth="1"/>
    <col min="12562" max="12562" width="11.7109375" style="866" customWidth="1"/>
    <col min="12563" max="12563" width="9.85546875" style="866" customWidth="1"/>
    <col min="12564" max="12564" width="17" style="866" customWidth="1"/>
    <col min="12565" max="12565" width="24.42578125" style="866" customWidth="1"/>
    <col min="12566" max="12566" width="17" style="866" customWidth="1"/>
    <col min="12567" max="12800" width="11.42578125" style="866"/>
    <col min="12801" max="12801" width="14.5703125" style="866" customWidth="1"/>
    <col min="12802" max="12802" width="17" style="866" customWidth="1"/>
    <col min="12803" max="12803" width="44.140625" style="866" customWidth="1"/>
    <col min="12804" max="12804" width="0" style="866" hidden="1" customWidth="1"/>
    <col min="12805" max="12805" width="28.42578125" style="866" customWidth="1"/>
    <col min="12806" max="12806" width="25.28515625" style="866" customWidth="1"/>
    <col min="12807" max="12807" width="0" style="866" hidden="1" customWidth="1"/>
    <col min="12808" max="12808" width="19.5703125" style="866" customWidth="1"/>
    <col min="12809" max="12809" width="12.7109375" style="866" customWidth="1"/>
    <col min="12810" max="12810" width="16" style="866" customWidth="1"/>
    <col min="12811" max="12811" width="18.42578125" style="866" customWidth="1"/>
    <col min="12812" max="12812" width="9.5703125" style="866" customWidth="1"/>
    <col min="12813" max="12813" width="21.28515625" style="866" customWidth="1"/>
    <col min="12814" max="12814" width="7.5703125" style="866" customWidth="1"/>
    <col min="12815" max="12815" width="9.5703125" style="866" customWidth="1"/>
    <col min="12816" max="12816" width="5.5703125" style="866" customWidth="1"/>
    <col min="12817" max="12817" width="15" style="866" customWidth="1"/>
    <col min="12818" max="12818" width="11.7109375" style="866" customWidth="1"/>
    <col min="12819" max="12819" width="9.85546875" style="866" customWidth="1"/>
    <col min="12820" max="12820" width="17" style="866" customWidth="1"/>
    <col min="12821" max="12821" width="24.42578125" style="866" customWidth="1"/>
    <col min="12822" max="12822" width="17" style="866" customWidth="1"/>
    <col min="12823" max="13056" width="11.42578125" style="866"/>
    <col min="13057" max="13057" width="14.5703125" style="866" customWidth="1"/>
    <col min="13058" max="13058" width="17" style="866" customWidth="1"/>
    <col min="13059" max="13059" width="44.140625" style="866" customWidth="1"/>
    <col min="13060" max="13060" width="0" style="866" hidden="1" customWidth="1"/>
    <col min="13061" max="13061" width="28.42578125" style="866" customWidth="1"/>
    <col min="13062" max="13062" width="25.28515625" style="866" customWidth="1"/>
    <col min="13063" max="13063" width="0" style="866" hidden="1" customWidth="1"/>
    <col min="13064" max="13064" width="19.5703125" style="866" customWidth="1"/>
    <col min="13065" max="13065" width="12.7109375" style="866" customWidth="1"/>
    <col min="13066" max="13066" width="16" style="866" customWidth="1"/>
    <col min="13067" max="13067" width="18.42578125" style="866" customWidth="1"/>
    <col min="13068" max="13068" width="9.5703125" style="866" customWidth="1"/>
    <col min="13069" max="13069" width="21.28515625" style="866" customWidth="1"/>
    <col min="13070" max="13070" width="7.5703125" style="866" customWidth="1"/>
    <col min="13071" max="13071" width="9.5703125" style="866" customWidth="1"/>
    <col min="13072" max="13072" width="5.5703125" style="866" customWidth="1"/>
    <col min="13073" max="13073" width="15" style="866" customWidth="1"/>
    <col min="13074" max="13074" width="11.7109375" style="866" customWidth="1"/>
    <col min="13075" max="13075" width="9.85546875" style="866" customWidth="1"/>
    <col min="13076" max="13076" width="17" style="866" customWidth="1"/>
    <col min="13077" max="13077" width="24.42578125" style="866" customWidth="1"/>
    <col min="13078" max="13078" width="17" style="866" customWidth="1"/>
    <col min="13079" max="13312" width="11.42578125" style="866"/>
    <col min="13313" max="13313" width="14.5703125" style="866" customWidth="1"/>
    <col min="13314" max="13314" width="17" style="866" customWidth="1"/>
    <col min="13315" max="13315" width="44.140625" style="866" customWidth="1"/>
    <col min="13316" max="13316" width="0" style="866" hidden="1" customWidth="1"/>
    <col min="13317" max="13317" width="28.42578125" style="866" customWidth="1"/>
    <col min="13318" max="13318" width="25.28515625" style="866" customWidth="1"/>
    <col min="13319" max="13319" width="0" style="866" hidden="1" customWidth="1"/>
    <col min="13320" max="13320" width="19.5703125" style="866" customWidth="1"/>
    <col min="13321" max="13321" width="12.7109375" style="866" customWidth="1"/>
    <col min="13322" max="13322" width="16" style="866" customWidth="1"/>
    <col min="13323" max="13323" width="18.42578125" style="866" customWidth="1"/>
    <col min="13324" max="13324" width="9.5703125" style="866" customWidth="1"/>
    <col min="13325" max="13325" width="21.28515625" style="866" customWidth="1"/>
    <col min="13326" max="13326" width="7.5703125" style="866" customWidth="1"/>
    <col min="13327" max="13327" width="9.5703125" style="866" customWidth="1"/>
    <col min="13328" max="13328" width="5.5703125" style="866" customWidth="1"/>
    <col min="13329" max="13329" width="15" style="866" customWidth="1"/>
    <col min="13330" max="13330" width="11.7109375" style="866" customWidth="1"/>
    <col min="13331" max="13331" width="9.85546875" style="866" customWidth="1"/>
    <col min="13332" max="13332" width="17" style="866" customWidth="1"/>
    <col min="13333" max="13333" width="24.42578125" style="866" customWidth="1"/>
    <col min="13334" max="13334" width="17" style="866" customWidth="1"/>
    <col min="13335" max="13568" width="11.42578125" style="866"/>
    <col min="13569" max="13569" width="14.5703125" style="866" customWidth="1"/>
    <col min="13570" max="13570" width="17" style="866" customWidth="1"/>
    <col min="13571" max="13571" width="44.140625" style="866" customWidth="1"/>
    <col min="13572" max="13572" width="0" style="866" hidden="1" customWidth="1"/>
    <col min="13573" max="13573" width="28.42578125" style="866" customWidth="1"/>
    <col min="13574" max="13574" width="25.28515625" style="866" customWidth="1"/>
    <col min="13575" max="13575" width="0" style="866" hidden="1" customWidth="1"/>
    <col min="13576" max="13576" width="19.5703125" style="866" customWidth="1"/>
    <col min="13577" max="13577" width="12.7109375" style="866" customWidth="1"/>
    <col min="13578" max="13578" width="16" style="866" customWidth="1"/>
    <col min="13579" max="13579" width="18.42578125" style="866" customWidth="1"/>
    <col min="13580" max="13580" width="9.5703125" style="866" customWidth="1"/>
    <col min="13581" max="13581" width="21.28515625" style="866" customWidth="1"/>
    <col min="13582" max="13582" width="7.5703125" style="866" customWidth="1"/>
    <col min="13583" max="13583" width="9.5703125" style="866" customWidth="1"/>
    <col min="13584" max="13584" width="5.5703125" style="866" customWidth="1"/>
    <col min="13585" max="13585" width="15" style="866" customWidth="1"/>
    <col min="13586" max="13586" width="11.7109375" style="866" customWidth="1"/>
    <col min="13587" max="13587" width="9.85546875" style="866" customWidth="1"/>
    <col min="13588" max="13588" width="17" style="866" customWidth="1"/>
    <col min="13589" max="13589" width="24.42578125" style="866" customWidth="1"/>
    <col min="13590" max="13590" width="17" style="866" customWidth="1"/>
    <col min="13591" max="13824" width="11.42578125" style="866"/>
    <col min="13825" max="13825" width="14.5703125" style="866" customWidth="1"/>
    <col min="13826" max="13826" width="17" style="866" customWidth="1"/>
    <col min="13827" max="13827" width="44.140625" style="866" customWidth="1"/>
    <col min="13828" max="13828" width="0" style="866" hidden="1" customWidth="1"/>
    <col min="13829" max="13829" width="28.42578125" style="866" customWidth="1"/>
    <col min="13830" max="13830" width="25.28515625" style="866" customWidth="1"/>
    <col min="13831" max="13831" width="0" style="866" hidden="1" customWidth="1"/>
    <col min="13832" max="13832" width="19.5703125" style="866" customWidth="1"/>
    <col min="13833" max="13833" width="12.7109375" style="866" customWidth="1"/>
    <col min="13834" max="13834" width="16" style="866" customWidth="1"/>
    <col min="13835" max="13835" width="18.42578125" style="866" customWidth="1"/>
    <col min="13836" max="13836" width="9.5703125" style="866" customWidth="1"/>
    <col min="13837" max="13837" width="21.28515625" style="866" customWidth="1"/>
    <col min="13838" max="13838" width="7.5703125" style="866" customWidth="1"/>
    <col min="13839" max="13839" width="9.5703125" style="866" customWidth="1"/>
    <col min="13840" max="13840" width="5.5703125" style="866" customWidth="1"/>
    <col min="13841" max="13841" width="15" style="866" customWidth="1"/>
    <col min="13842" max="13842" width="11.7109375" style="866" customWidth="1"/>
    <col min="13843" max="13843" width="9.85546875" style="866" customWidth="1"/>
    <col min="13844" max="13844" width="17" style="866" customWidth="1"/>
    <col min="13845" max="13845" width="24.42578125" style="866" customWidth="1"/>
    <col min="13846" max="13846" width="17" style="866" customWidth="1"/>
    <col min="13847" max="14080" width="11.42578125" style="866"/>
    <col min="14081" max="14081" width="14.5703125" style="866" customWidth="1"/>
    <col min="14082" max="14082" width="17" style="866" customWidth="1"/>
    <col min="14083" max="14083" width="44.140625" style="866" customWidth="1"/>
    <col min="14084" max="14084" width="0" style="866" hidden="1" customWidth="1"/>
    <col min="14085" max="14085" width="28.42578125" style="866" customWidth="1"/>
    <col min="14086" max="14086" width="25.28515625" style="866" customWidth="1"/>
    <col min="14087" max="14087" width="0" style="866" hidden="1" customWidth="1"/>
    <col min="14088" max="14088" width="19.5703125" style="866" customWidth="1"/>
    <col min="14089" max="14089" width="12.7109375" style="866" customWidth="1"/>
    <col min="14090" max="14090" width="16" style="866" customWidth="1"/>
    <col min="14091" max="14091" width="18.42578125" style="866" customWidth="1"/>
    <col min="14092" max="14092" width="9.5703125" style="866" customWidth="1"/>
    <col min="14093" max="14093" width="21.28515625" style="866" customWidth="1"/>
    <col min="14094" max="14094" width="7.5703125" style="866" customWidth="1"/>
    <col min="14095" max="14095" width="9.5703125" style="866" customWidth="1"/>
    <col min="14096" max="14096" width="5.5703125" style="866" customWidth="1"/>
    <col min="14097" max="14097" width="15" style="866" customWidth="1"/>
    <col min="14098" max="14098" width="11.7109375" style="866" customWidth="1"/>
    <col min="14099" max="14099" width="9.85546875" style="866" customWidth="1"/>
    <col min="14100" max="14100" width="17" style="866" customWidth="1"/>
    <col min="14101" max="14101" width="24.42578125" style="866" customWidth="1"/>
    <col min="14102" max="14102" width="17" style="866" customWidth="1"/>
    <col min="14103" max="14336" width="11.42578125" style="866"/>
    <col min="14337" max="14337" width="14.5703125" style="866" customWidth="1"/>
    <col min="14338" max="14338" width="17" style="866" customWidth="1"/>
    <col min="14339" max="14339" width="44.140625" style="866" customWidth="1"/>
    <col min="14340" max="14340" width="0" style="866" hidden="1" customWidth="1"/>
    <col min="14341" max="14341" width="28.42578125" style="866" customWidth="1"/>
    <col min="14342" max="14342" width="25.28515625" style="866" customWidth="1"/>
    <col min="14343" max="14343" width="0" style="866" hidden="1" customWidth="1"/>
    <col min="14344" max="14344" width="19.5703125" style="866" customWidth="1"/>
    <col min="14345" max="14345" width="12.7109375" style="866" customWidth="1"/>
    <col min="14346" max="14346" width="16" style="866" customWidth="1"/>
    <col min="14347" max="14347" width="18.42578125" style="866" customWidth="1"/>
    <col min="14348" max="14348" width="9.5703125" style="866" customWidth="1"/>
    <col min="14349" max="14349" width="21.28515625" style="866" customWidth="1"/>
    <col min="14350" max="14350" width="7.5703125" style="866" customWidth="1"/>
    <col min="14351" max="14351" width="9.5703125" style="866" customWidth="1"/>
    <col min="14352" max="14352" width="5.5703125" style="866" customWidth="1"/>
    <col min="14353" max="14353" width="15" style="866" customWidth="1"/>
    <col min="14354" max="14354" width="11.7109375" style="866" customWidth="1"/>
    <col min="14355" max="14355" width="9.85546875" style="866" customWidth="1"/>
    <col min="14356" max="14356" width="17" style="866" customWidth="1"/>
    <col min="14357" max="14357" width="24.42578125" style="866" customWidth="1"/>
    <col min="14358" max="14358" width="17" style="866" customWidth="1"/>
    <col min="14359" max="14592" width="11.42578125" style="866"/>
    <col min="14593" max="14593" width="14.5703125" style="866" customWidth="1"/>
    <col min="14594" max="14594" width="17" style="866" customWidth="1"/>
    <col min="14595" max="14595" width="44.140625" style="866" customWidth="1"/>
    <col min="14596" max="14596" width="0" style="866" hidden="1" customWidth="1"/>
    <col min="14597" max="14597" width="28.42578125" style="866" customWidth="1"/>
    <col min="14598" max="14598" width="25.28515625" style="866" customWidth="1"/>
    <col min="14599" max="14599" width="0" style="866" hidden="1" customWidth="1"/>
    <col min="14600" max="14600" width="19.5703125" style="866" customWidth="1"/>
    <col min="14601" max="14601" width="12.7109375" style="866" customWidth="1"/>
    <col min="14602" max="14602" width="16" style="866" customWidth="1"/>
    <col min="14603" max="14603" width="18.42578125" style="866" customWidth="1"/>
    <col min="14604" max="14604" width="9.5703125" style="866" customWidth="1"/>
    <col min="14605" max="14605" width="21.28515625" style="866" customWidth="1"/>
    <col min="14606" max="14606" width="7.5703125" style="866" customWidth="1"/>
    <col min="14607" max="14607" width="9.5703125" style="866" customWidth="1"/>
    <col min="14608" max="14608" width="5.5703125" style="866" customWidth="1"/>
    <col min="14609" max="14609" width="15" style="866" customWidth="1"/>
    <col min="14610" max="14610" width="11.7109375" style="866" customWidth="1"/>
    <col min="14611" max="14611" width="9.85546875" style="866" customWidth="1"/>
    <col min="14612" max="14612" width="17" style="866" customWidth="1"/>
    <col min="14613" max="14613" width="24.42578125" style="866" customWidth="1"/>
    <col min="14614" max="14614" width="17" style="866" customWidth="1"/>
    <col min="14615" max="14848" width="11.42578125" style="866"/>
    <col min="14849" max="14849" width="14.5703125" style="866" customWidth="1"/>
    <col min="14850" max="14850" width="17" style="866" customWidth="1"/>
    <col min="14851" max="14851" width="44.140625" style="866" customWidth="1"/>
    <col min="14852" max="14852" width="0" style="866" hidden="1" customWidth="1"/>
    <col min="14853" max="14853" width="28.42578125" style="866" customWidth="1"/>
    <col min="14854" max="14854" width="25.28515625" style="866" customWidth="1"/>
    <col min="14855" max="14855" width="0" style="866" hidden="1" customWidth="1"/>
    <col min="14856" max="14856" width="19.5703125" style="866" customWidth="1"/>
    <col min="14857" max="14857" width="12.7109375" style="866" customWidth="1"/>
    <col min="14858" max="14858" width="16" style="866" customWidth="1"/>
    <col min="14859" max="14859" width="18.42578125" style="866" customWidth="1"/>
    <col min="14860" max="14860" width="9.5703125" style="866" customWidth="1"/>
    <col min="14861" max="14861" width="21.28515625" style="866" customWidth="1"/>
    <col min="14862" max="14862" width="7.5703125" style="866" customWidth="1"/>
    <col min="14863" max="14863" width="9.5703125" style="866" customWidth="1"/>
    <col min="14864" max="14864" width="5.5703125" style="866" customWidth="1"/>
    <col min="14865" max="14865" width="15" style="866" customWidth="1"/>
    <col min="14866" max="14866" width="11.7109375" style="866" customWidth="1"/>
    <col min="14867" max="14867" width="9.85546875" style="866" customWidth="1"/>
    <col min="14868" max="14868" width="17" style="866" customWidth="1"/>
    <col min="14869" max="14869" width="24.42578125" style="866" customWidth="1"/>
    <col min="14870" max="14870" width="17" style="866" customWidth="1"/>
    <col min="14871" max="15104" width="11.42578125" style="866"/>
    <col min="15105" max="15105" width="14.5703125" style="866" customWidth="1"/>
    <col min="15106" max="15106" width="17" style="866" customWidth="1"/>
    <col min="15107" max="15107" width="44.140625" style="866" customWidth="1"/>
    <col min="15108" max="15108" width="0" style="866" hidden="1" customWidth="1"/>
    <col min="15109" max="15109" width="28.42578125" style="866" customWidth="1"/>
    <col min="15110" max="15110" width="25.28515625" style="866" customWidth="1"/>
    <col min="15111" max="15111" width="0" style="866" hidden="1" customWidth="1"/>
    <col min="15112" max="15112" width="19.5703125" style="866" customWidth="1"/>
    <col min="15113" max="15113" width="12.7109375" style="866" customWidth="1"/>
    <col min="15114" max="15114" width="16" style="866" customWidth="1"/>
    <col min="15115" max="15115" width="18.42578125" style="866" customWidth="1"/>
    <col min="15116" max="15116" width="9.5703125" style="866" customWidth="1"/>
    <col min="15117" max="15117" width="21.28515625" style="866" customWidth="1"/>
    <col min="15118" max="15118" width="7.5703125" style="866" customWidth="1"/>
    <col min="15119" max="15119" width="9.5703125" style="866" customWidth="1"/>
    <col min="15120" max="15120" width="5.5703125" style="866" customWidth="1"/>
    <col min="15121" max="15121" width="15" style="866" customWidth="1"/>
    <col min="15122" max="15122" width="11.7109375" style="866" customWidth="1"/>
    <col min="15123" max="15123" width="9.85546875" style="866" customWidth="1"/>
    <col min="15124" max="15124" width="17" style="866" customWidth="1"/>
    <col min="15125" max="15125" width="24.42578125" style="866" customWidth="1"/>
    <col min="15126" max="15126" width="17" style="866" customWidth="1"/>
    <col min="15127" max="15360" width="11.42578125" style="866"/>
    <col min="15361" max="15361" width="14.5703125" style="866" customWidth="1"/>
    <col min="15362" max="15362" width="17" style="866" customWidth="1"/>
    <col min="15363" max="15363" width="44.140625" style="866" customWidth="1"/>
    <col min="15364" max="15364" width="0" style="866" hidden="1" customWidth="1"/>
    <col min="15365" max="15365" width="28.42578125" style="866" customWidth="1"/>
    <col min="15366" max="15366" width="25.28515625" style="866" customWidth="1"/>
    <col min="15367" max="15367" width="0" style="866" hidden="1" customWidth="1"/>
    <col min="15368" max="15368" width="19.5703125" style="866" customWidth="1"/>
    <col min="15369" max="15369" width="12.7109375" style="866" customWidth="1"/>
    <col min="15370" max="15370" width="16" style="866" customWidth="1"/>
    <col min="15371" max="15371" width="18.42578125" style="866" customWidth="1"/>
    <col min="15372" max="15372" width="9.5703125" style="866" customWidth="1"/>
    <col min="15373" max="15373" width="21.28515625" style="866" customWidth="1"/>
    <col min="15374" max="15374" width="7.5703125" style="866" customWidth="1"/>
    <col min="15375" max="15375" width="9.5703125" style="866" customWidth="1"/>
    <col min="15376" max="15376" width="5.5703125" style="866" customWidth="1"/>
    <col min="15377" max="15377" width="15" style="866" customWidth="1"/>
    <col min="15378" max="15378" width="11.7109375" style="866" customWidth="1"/>
    <col min="15379" max="15379" width="9.85546875" style="866" customWidth="1"/>
    <col min="15380" max="15380" width="17" style="866" customWidth="1"/>
    <col min="15381" max="15381" width="24.42578125" style="866" customWidth="1"/>
    <col min="15382" max="15382" width="17" style="866" customWidth="1"/>
    <col min="15383" max="15616" width="11.42578125" style="866"/>
    <col min="15617" max="15617" width="14.5703125" style="866" customWidth="1"/>
    <col min="15618" max="15618" width="17" style="866" customWidth="1"/>
    <col min="15619" max="15619" width="44.140625" style="866" customWidth="1"/>
    <col min="15620" max="15620" width="0" style="866" hidden="1" customWidth="1"/>
    <col min="15621" max="15621" width="28.42578125" style="866" customWidth="1"/>
    <col min="15622" max="15622" width="25.28515625" style="866" customWidth="1"/>
    <col min="15623" max="15623" width="0" style="866" hidden="1" customWidth="1"/>
    <col min="15624" max="15624" width="19.5703125" style="866" customWidth="1"/>
    <col min="15625" max="15625" width="12.7109375" style="866" customWidth="1"/>
    <col min="15626" max="15626" width="16" style="866" customWidth="1"/>
    <col min="15627" max="15627" width="18.42578125" style="866" customWidth="1"/>
    <col min="15628" max="15628" width="9.5703125" style="866" customWidth="1"/>
    <col min="15629" max="15629" width="21.28515625" style="866" customWidth="1"/>
    <col min="15630" max="15630" width="7.5703125" style="866" customWidth="1"/>
    <col min="15631" max="15631" width="9.5703125" style="866" customWidth="1"/>
    <col min="15632" max="15632" width="5.5703125" style="866" customWidth="1"/>
    <col min="15633" max="15633" width="15" style="866" customWidth="1"/>
    <col min="15634" max="15634" width="11.7109375" style="866" customWidth="1"/>
    <col min="15635" max="15635" width="9.85546875" style="866" customWidth="1"/>
    <col min="15636" max="15636" width="17" style="866" customWidth="1"/>
    <col min="15637" max="15637" width="24.42578125" style="866" customWidth="1"/>
    <col min="15638" max="15638" width="17" style="866" customWidth="1"/>
    <col min="15639" max="15872" width="11.42578125" style="866"/>
    <col min="15873" max="15873" width="14.5703125" style="866" customWidth="1"/>
    <col min="15874" max="15874" width="17" style="866" customWidth="1"/>
    <col min="15875" max="15875" width="44.140625" style="866" customWidth="1"/>
    <col min="15876" max="15876" width="0" style="866" hidden="1" customWidth="1"/>
    <col min="15877" max="15877" width="28.42578125" style="866" customWidth="1"/>
    <col min="15878" max="15878" width="25.28515625" style="866" customWidth="1"/>
    <col min="15879" max="15879" width="0" style="866" hidden="1" customWidth="1"/>
    <col min="15880" max="15880" width="19.5703125" style="866" customWidth="1"/>
    <col min="15881" max="15881" width="12.7109375" style="866" customWidth="1"/>
    <col min="15882" max="15882" width="16" style="866" customWidth="1"/>
    <col min="15883" max="15883" width="18.42578125" style="866" customWidth="1"/>
    <col min="15884" max="15884" width="9.5703125" style="866" customWidth="1"/>
    <col min="15885" max="15885" width="21.28515625" style="866" customWidth="1"/>
    <col min="15886" max="15886" width="7.5703125" style="866" customWidth="1"/>
    <col min="15887" max="15887" width="9.5703125" style="866" customWidth="1"/>
    <col min="15888" max="15888" width="5.5703125" style="866" customWidth="1"/>
    <col min="15889" max="15889" width="15" style="866" customWidth="1"/>
    <col min="15890" max="15890" width="11.7109375" style="866" customWidth="1"/>
    <col min="15891" max="15891" width="9.85546875" style="866" customWidth="1"/>
    <col min="15892" max="15892" width="17" style="866" customWidth="1"/>
    <col min="15893" max="15893" width="24.42578125" style="866" customWidth="1"/>
    <col min="15894" max="15894" width="17" style="866" customWidth="1"/>
    <col min="15895" max="16128" width="11.42578125" style="866"/>
    <col min="16129" max="16129" width="14.5703125" style="866" customWidth="1"/>
    <col min="16130" max="16130" width="17" style="866" customWidth="1"/>
    <col min="16131" max="16131" width="44.140625" style="866" customWidth="1"/>
    <col min="16132" max="16132" width="0" style="866" hidden="1" customWidth="1"/>
    <col min="16133" max="16133" width="28.42578125" style="866" customWidth="1"/>
    <col min="16134" max="16134" width="25.28515625" style="866" customWidth="1"/>
    <col min="16135" max="16135" width="0" style="866" hidden="1" customWidth="1"/>
    <col min="16136" max="16136" width="19.5703125" style="866" customWidth="1"/>
    <col min="16137" max="16137" width="12.7109375" style="866" customWidth="1"/>
    <col min="16138" max="16138" width="16" style="866" customWidth="1"/>
    <col min="16139" max="16139" width="18.42578125" style="866" customWidth="1"/>
    <col min="16140" max="16140" width="9.5703125" style="866" customWidth="1"/>
    <col min="16141" max="16141" width="21.28515625" style="866" customWidth="1"/>
    <col min="16142" max="16142" width="7.5703125" style="866" customWidth="1"/>
    <col min="16143" max="16143" width="9.5703125" style="866" customWidth="1"/>
    <col min="16144" max="16144" width="5.5703125" style="866" customWidth="1"/>
    <col min="16145" max="16145" width="15" style="866" customWidth="1"/>
    <col min="16146" max="16146" width="11.7109375" style="866" customWidth="1"/>
    <col min="16147" max="16147" width="9.85546875" style="866" customWidth="1"/>
    <col min="16148" max="16148" width="17" style="866" customWidth="1"/>
    <col min="16149" max="16149" width="24.42578125" style="866" customWidth="1"/>
    <col min="16150" max="16150" width="17" style="866" customWidth="1"/>
    <col min="16151" max="16384" width="11.42578125" style="866"/>
  </cols>
  <sheetData>
    <row r="1" spans="1:22" s="857" customFormat="1" ht="36.75" customHeight="1" x14ac:dyDescent="0.4">
      <c r="C1" s="857" t="s">
        <v>4827</v>
      </c>
    </row>
    <row r="2" spans="1:22" s="861" customFormat="1" ht="32.25" customHeight="1" x14ac:dyDescent="0.25">
      <c r="A2" s="858" t="s">
        <v>4828</v>
      </c>
      <c r="B2" s="859" t="s">
        <v>4829</v>
      </c>
      <c r="C2" s="859" t="s">
        <v>4830</v>
      </c>
      <c r="D2" s="859" t="s">
        <v>4831</v>
      </c>
      <c r="E2" s="859" t="s">
        <v>4832</v>
      </c>
      <c r="F2" s="859" t="s">
        <v>4833</v>
      </c>
      <c r="G2" s="859" t="s">
        <v>4834</v>
      </c>
      <c r="H2" s="860" t="s">
        <v>4835</v>
      </c>
      <c r="I2" s="859" t="s">
        <v>4836</v>
      </c>
      <c r="J2" s="859" t="s">
        <v>4837</v>
      </c>
      <c r="K2" s="859" t="s">
        <v>4838</v>
      </c>
      <c r="L2" s="859" t="s">
        <v>4839</v>
      </c>
      <c r="M2" s="859" t="s">
        <v>4840</v>
      </c>
      <c r="N2" s="859" t="s">
        <v>4841</v>
      </c>
      <c r="O2" s="859" t="s">
        <v>4842</v>
      </c>
      <c r="P2" s="859" t="s">
        <v>4843</v>
      </c>
      <c r="Q2" s="859" t="s">
        <v>4844</v>
      </c>
      <c r="R2" s="859" t="s">
        <v>4845</v>
      </c>
      <c r="S2" s="859" t="s">
        <v>4846</v>
      </c>
      <c r="T2" s="859" t="s">
        <v>4847</v>
      </c>
      <c r="U2" s="859" t="s">
        <v>4848</v>
      </c>
      <c r="V2" s="859" t="s">
        <v>4849</v>
      </c>
    </row>
    <row r="3" spans="1:22" ht="38.25" customHeight="1" x14ac:dyDescent="0.25">
      <c r="A3" s="862" t="s">
        <v>4850</v>
      </c>
      <c r="B3" s="863">
        <v>20039971</v>
      </c>
      <c r="C3" s="863" t="s">
        <v>4851</v>
      </c>
      <c r="D3" s="862" t="s">
        <v>322</v>
      </c>
      <c r="E3" s="864" t="s">
        <v>323</v>
      </c>
      <c r="F3" s="864" t="s">
        <v>4852</v>
      </c>
      <c r="G3" s="864" t="s">
        <v>4853</v>
      </c>
      <c r="H3" s="865">
        <v>45398</v>
      </c>
      <c r="I3" s="862">
        <v>130</v>
      </c>
      <c r="J3" s="863" t="s">
        <v>99</v>
      </c>
      <c r="K3" s="863" t="s">
        <v>4854</v>
      </c>
      <c r="L3" s="863" t="s">
        <v>68</v>
      </c>
      <c r="M3" s="863" t="s">
        <v>4855</v>
      </c>
      <c r="N3" s="863" t="s">
        <v>4856</v>
      </c>
      <c r="O3" s="863">
        <v>0</v>
      </c>
      <c r="P3" s="863" t="s">
        <v>99</v>
      </c>
      <c r="Q3" s="863">
        <v>0</v>
      </c>
      <c r="R3" s="863">
        <v>130</v>
      </c>
      <c r="S3" s="863">
        <v>0</v>
      </c>
      <c r="T3" s="863">
        <v>0</v>
      </c>
      <c r="U3" s="863">
        <v>0</v>
      </c>
      <c r="V3" s="863">
        <v>0</v>
      </c>
    </row>
  </sheetData>
  <pageMargins left="0.70866141732283472" right="0.70866141732283472" top="0.74803149606299213" bottom="0.74803149606299213" header="0.31496062992125984" footer="0.31496062992125984"/>
  <pageSetup paperSize="9" scale="80" orientation="landscape" horizontalDpi="0" verticalDpi="0" r:id="rId1"/>
  <headerFooter alignWithMargins="0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17</vt:i4>
      </vt:variant>
    </vt:vector>
  </HeadingPairs>
  <TitlesOfParts>
    <vt:vector size="27" baseType="lpstr">
      <vt:lpstr>RAC</vt:lpstr>
      <vt:lpstr>EJEMPLO CALCULO AGUINALDOS NUEV</vt:lpstr>
      <vt:lpstr>RAC (2025)</vt:lpstr>
      <vt:lpstr>Hoja1</vt:lpstr>
      <vt:lpstr>CONCEPTOS Y PARAMETROS</vt:lpstr>
      <vt:lpstr>POA (2024)</vt:lpstr>
      <vt:lpstr>TAB EMP</vt:lpstr>
      <vt:lpstr>TAB OBR</vt:lpstr>
      <vt:lpstr>CARGOS</vt:lpstr>
      <vt:lpstr>RRHH ( TEXTILES TRUJILLO) TRANS</vt:lpstr>
      <vt:lpstr>'EJEMPLO CALCULO AGUINALDOS NUEV'!Área_de_impresión</vt:lpstr>
      <vt:lpstr>RAC!Área_de_impresión</vt:lpstr>
      <vt:lpstr>'RRHH ( TEXTILES TRUJILLO) TRANS'!Área_de_impresión</vt:lpstr>
      <vt:lpstr>CESTAT</vt:lpstr>
      <vt:lpstr>DIAF</vt:lpstr>
      <vt:lpstr>DIASDESC</vt:lpstr>
      <vt:lpstr>DIRECTIVOS</vt:lpstr>
      <vt:lpstr>Empleado</vt:lpstr>
      <vt:lpstr>GEN</vt:lpstr>
      <vt:lpstr>HIJOS</vt:lpstr>
      <vt:lpstr>HORASE</vt:lpstr>
      <vt:lpstr>MES</vt:lpstr>
      <vt:lpstr>NAC</vt:lpstr>
      <vt:lpstr>Obrero</vt:lpstr>
      <vt:lpstr>PHIJOS</vt:lpstr>
      <vt:lpstr>TABEMP</vt:lpstr>
      <vt:lpstr>TABOBR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rrhh_01</dc:creator>
  <cp:lastModifiedBy>Luffi</cp:lastModifiedBy>
  <cp:lastPrinted>2025-08-18T14:22:36Z</cp:lastPrinted>
  <dcterms:created xsi:type="dcterms:W3CDTF">2017-01-20T14:29:13Z</dcterms:created>
  <dcterms:modified xsi:type="dcterms:W3CDTF">2025-10-22T15:11:39Z</dcterms:modified>
</cp:coreProperties>
</file>